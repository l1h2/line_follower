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rgel\Desktop\Personal\Projects\UFF\Mestrado\PET\line_follower\docs\"/>
    </mc:Choice>
  </mc:AlternateContent>
  <xr:revisionPtr revIDLastSave="0" documentId="13_ncr:1_{7483C606-CD81-466A-BBEC-BB1773C07180}" xr6:coauthVersionLast="47" xr6:coauthVersionMax="47" xr10:uidLastSave="{00000000-0000-0000-0000-000000000000}"/>
  <bookViews>
    <workbookView xWindow="-120" yWindow="-120" windowWidth="29040" windowHeight="15840" activeTab="2" xr2:uid="{1D152ABD-605F-405B-8CA4-94434D175A18}"/>
  </bookViews>
  <sheets>
    <sheet name="Line Follower" sheetId="1" r:id="rId1"/>
    <sheet name="Truth Table" sheetId="3" r:id="rId2"/>
    <sheet name="Track Observer" sheetId="5" r:id="rId3"/>
    <sheet name="Aux" sheetId="4" r:id="rId4"/>
  </sheets>
  <definedNames>
    <definedName name="_xlnm._FilterDatabase" localSheetId="2" hidden="1">'Track Observer'!$B$2:$Y$866</definedName>
    <definedName name="_xlnm._FilterDatabase" localSheetId="1" hidden="1">'Truth Table'!$B$2:$V$4098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52" i="5" l="1" a="1"/>
  <c r="Q852" i="5" s="1"/>
  <c r="Q851" i="5" a="1"/>
  <c r="Q851" i="5" s="1"/>
  <c r="Q850" i="5" a="1"/>
  <c r="Q850" i="5" s="1"/>
  <c r="Q849" i="5" a="1"/>
  <c r="Q849" i="5" s="1"/>
  <c r="Q848" i="5" a="1"/>
  <c r="Q848" i="5" s="1"/>
  <c r="Q847" i="5" a="1"/>
  <c r="Q847" i="5" s="1"/>
  <c r="Q846" i="5" a="1"/>
  <c r="Q846" i="5" s="1"/>
  <c r="Q845" i="5" a="1"/>
  <c r="Q845" i="5" s="1"/>
  <c r="Q844" i="5" a="1"/>
  <c r="Q844" i="5" s="1"/>
  <c r="Q843" i="5" a="1"/>
  <c r="Q843" i="5" s="1"/>
  <c r="Q842" i="5" a="1"/>
  <c r="Q842" i="5" s="1"/>
  <c r="Q841" i="5" a="1"/>
  <c r="Q841" i="5" s="1"/>
  <c r="Q840" i="5" a="1"/>
  <c r="Q840" i="5" s="1"/>
  <c r="Q839" i="5" a="1"/>
  <c r="Q839" i="5" s="1"/>
  <c r="Q838" i="5" a="1"/>
  <c r="Q838" i="5" s="1"/>
  <c r="Q837" i="5" a="1"/>
  <c r="Q837" i="5" s="1"/>
  <c r="Q836" i="5" a="1"/>
  <c r="Q836" i="5" s="1"/>
  <c r="Q835" i="5" a="1"/>
  <c r="Q835" i="5" s="1"/>
  <c r="Q834" i="5" a="1"/>
  <c r="Q834" i="5" s="1"/>
  <c r="Q833" i="5" a="1"/>
  <c r="Q833" i="5" s="1"/>
  <c r="Q832" i="5" a="1"/>
  <c r="Q832" i="5" s="1"/>
  <c r="Q831" i="5" a="1"/>
  <c r="Q831" i="5" s="1"/>
  <c r="Q830" i="5" a="1"/>
  <c r="Q830" i="5" s="1"/>
  <c r="Q829" i="5" a="1"/>
  <c r="Q829" i="5" s="1"/>
  <c r="Q828" i="5" a="1"/>
  <c r="Q828" i="5" s="1"/>
  <c r="Q827" i="5" a="1"/>
  <c r="Q827" i="5" s="1"/>
  <c r="Q826" i="5" a="1"/>
  <c r="Q826" i="5" s="1"/>
  <c r="Q825" i="5" a="1"/>
  <c r="Q825" i="5" s="1"/>
  <c r="Q824" i="5" a="1"/>
  <c r="Q824" i="5" s="1"/>
  <c r="Q823" i="5" a="1"/>
  <c r="Q823" i="5" s="1"/>
  <c r="Q822" i="5" a="1"/>
  <c r="Q822" i="5" s="1"/>
  <c r="Q821" i="5" a="1"/>
  <c r="Q821" i="5" s="1"/>
  <c r="Q820" i="5" a="1"/>
  <c r="Q820" i="5" s="1"/>
  <c r="Q819" i="5" a="1"/>
  <c r="Q819" i="5" s="1"/>
  <c r="Q818" i="5" a="1"/>
  <c r="Q818" i="5" s="1"/>
  <c r="Q817" i="5" a="1"/>
  <c r="Q817" i="5" s="1"/>
  <c r="Q816" i="5" a="1"/>
  <c r="Q816" i="5" s="1"/>
  <c r="Q815" i="5" a="1"/>
  <c r="Q815" i="5" s="1"/>
  <c r="Q814" i="5" a="1"/>
  <c r="Q814" i="5" s="1"/>
  <c r="Q813" i="5" a="1"/>
  <c r="Q813" i="5" s="1"/>
  <c r="Q812" i="5" a="1"/>
  <c r="Q812" i="5" s="1"/>
  <c r="Q811" i="5" a="1"/>
  <c r="Q811" i="5" s="1"/>
  <c r="Q810" i="5" a="1"/>
  <c r="Q810" i="5" s="1"/>
  <c r="Q809" i="5" a="1"/>
  <c r="Q809" i="5" s="1"/>
  <c r="Q808" i="5" a="1"/>
  <c r="Q808" i="5" s="1"/>
  <c r="Q807" i="5" a="1"/>
  <c r="Q807" i="5" s="1"/>
  <c r="Q806" i="5" a="1"/>
  <c r="Q806" i="5" s="1"/>
  <c r="Q805" i="5" a="1"/>
  <c r="Q805" i="5" s="1"/>
  <c r="Q804" i="5" a="1"/>
  <c r="Q804" i="5" s="1"/>
  <c r="Q803" i="5" a="1"/>
  <c r="Q803" i="5" s="1"/>
  <c r="Q802" i="5" a="1"/>
  <c r="Q802" i="5" s="1"/>
  <c r="Q801" i="5" a="1"/>
  <c r="Q801" i="5" s="1"/>
  <c r="Q800" i="5" a="1"/>
  <c r="Q800" i="5" s="1"/>
  <c r="Q799" i="5" a="1"/>
  <c r="Q799" i="5" s="1"/>
  <c r="Q798" i="5" a="1"/>
  <c r="Q798" i="5" s="1"/>
  <c r="Q797" i="5" a="1"/>
  <c r="Q797" i="5" s="1"/>
  <c r="Q796" i="5" a="1"/>
  <c r="Q796" i="5" s="1"/>
  <c r="Q795" i="5" a="1"/>
  <c r="Q795" i="5" s="1"/>
  <c r="Q794" i="5" a="1"/>
  <c r="Q794" i="5" s="1"/>
  <c r="Q793" i="5" a="1"/>
  <c r="Q793" i="5" s="1"/>
  <c r="Q792" i="5" a="1"/>
  <c r="Q792" i="5" s="1"/>
  <c r="Q791" i="5" a="1"/>
  <c r="Q791" i="5" s="1"/>
  <c r="Q790" i="5" a="1"/>
  <c r="Q790" i="5" s="1"/>
  <c r="Q789" i="5" a="1"/>
  <c r="Q789" i="5" s="1"/>
  <c r="Q788" i="5" a="1"/>
  <c r="Q788" i="5" s="1"/>
  <c r="Q787" i="5" a="1"/>
  <c r="Q787" i="5" s="1"/>
  <c r="Q786" i="5" a="1"/>
  <c r="Q786" i="5" s="1"/>
  <c r="Q785" i="5" a="1"/>
  <c r="Q785" i="5" s="1"/>
  <c r="Q784" i="5" a="1"/>
  <c r="Q784" i="5" s="1"/>
  <c r="Q783" i="5" a="1"/>
  <c r="Q783" i="5" s="1"/>
  <c r="Q782" i="5" a="1"/>
  <c r="Q782" i="5" s="1"/>
  <c r="Q781" i="5" a="1"/>
  <c r="Q781" i="5" s="1"/>
  <c r="Q780" i="5" a="1"/>
  <c r="Q780" i="5" s="1"/>
  <c r="Q779" i="5" a="1"/>
  <c r="Q779" i="5" s="1"/>
  <c r="Q778" i="5" a="1"/>
  <c r="Q778" i="5" s="1"/>
  <c r="Q777" i="5" a="1"/>
  <c r="Q777" i="5" s="1"/>
  <c r="Q776" i="5" a="1"/>
  <c r="Q776" i="5" s="1"/>
  <c r="Q775" i="5" a="1"/>
  <c r="Q775" i="5" s="1"/>
  <c r="Q774" i="5" a="1"/>
  <c r="Q774" i="5" s="1"/>
  <c r="Q773" i="5" a="1"/>
  <c r="Q773" i="5" s="1"/>
  <c r="Q772" i="5" a="1"/>
  <c r="Q772" i="5" s="1"/>
  <c r="Q771" i="5" a="1"/>
  <c r="Q771" i="5" s="1"/>
  <c r="Q770" i="5" a="1"/>
  <c r="Q770" i="5" s="1"/>
  <c r="Q769" i="5" a="1"/>
  <c r="Q769" i="5" s="1"/>
  <c r="Q768" i="5" a="1"/>
  <c r="Q768" i="5" s="1"/>
  <c r="Q767" i="5" a="1"/>
  <c r="Q767" i="5" s="1"/>
  <c r="Q766" i="5" a="1"/>
  <c r="Q766" i="5" s="1"/>
  <c r="Q765" i="5" a="1"/>
  <c r="Q765" i="5" s="1"/>
  <c r="Q764" i="5" a="1"/>
  <c r="Q764" i="5" s="1"/>
  <c r="Q763" i="5" a="1"/>
  <c r="Q763" i="5" s="1"/>
  <c r="Q762" i="5" a="1"/>
  <c r="Q762" i="5" s="1"/>
  <c r="Q761" i="5" a="1"/>
  <c r="Q761" i="5" s="1"/>
  <c r="Q760" i="5" a="1"/>
  <c r="Q760" i="5" s="1"/>
  <c r="Q759" i="5" a="1"/>
  <c r="Q759" i="5" s="1"/>
  <c r="Q758" i="5" a="1"/>
  <c r="Q758" i="5" s="1"/>
  <c r="Q757" i="5" a="1"/>
  <c r="Q757" i="5" s="1"/>
  <c r="Q756" i="5" a="1"/>
  <c r="Q756" i="5" s="1"/>
  <c r="Q755" i="5" a="1"/>
  <c r="Q755" i="5" s="1"/>
  <c r="Q754" i="5" a="1"/>
  <c r="Q754" i="5" s="1"/>
  <c r="Q753" i="5" a="1"/>
  <c r="Q753" i="5" s="1"/>
  <c r="Q752" i="5" a="1"/>
  <c r="Q752" i="5" s="1"/>
  <c r="Q751" i="5" a="1"/>
  <c r="Q751" i="5" s="1"/>
  <c r="Q750" i="5" a="1"/>
  <c r="Q750" i="5" s="1"/>
  <c r="Q749" i="5" a="1"/>
  <c r="Q749" i="5" s="1"/>
  <c r="Q748" i="5" a="1"/>
  <c r="Q748" i="5" s="1"/>
  <c r="Q747" i="5" a="1"/>
  <c r="Q747" i="5" s="1"/>
  <c r="Q746" i="5" a="1"/>
  <c r="Q746" i="5" s="1"/>
  <c r="Q745" i="5" a="1"/>
  <c r="Q745" i="5" s="1"/>
  <c r="Q744" i="5" a="1"/>
  <c r="Q744" i="5" s="1"/>
  <c r="Q743" i="5" a="1"/>
  <c r="Q743" i="5" s="1"/>
  <c r="Q742" i="5" a="1"/>
  <c r="Q742" i="5" s="1"/>
  <c r="Q741" i="5" a="1"/>
  <c r="Q741" i="5" s="1"/>
  <c r="Q740" i="5" a="1"/>
  <c r="Q740" i="5" s="1"/>
  <c r="Q739" i="5" a="1"/>
  <c r="Q739" i="5" s="1"/>
  <c r="Q738" i="5" a="1"/>
  <c r="Q738" i="5" s="1"/>
  <c r="Q737" i="5" a="1"/>
  <c r="Q737" i="5" s="1"/>
  <c r="Q736" i="5" a="1"/>
  <c r="Q736" i="5" s="1"/>
  <c r="Q735" i="5" a="1"/>
  <c r="Q735" i="5" s="1"/>
  <c r="Q734" i="5" a="1"/>
  <c r="Q734" i="5" s="1"/>
  <c r="Q733" i="5" a="1"/>
  <c r="Q733" i="5" s="1"/>
  <c r="Q732" i="5" a="1"/>
  <c r="Q732" i="5" s="1"/>
  <c r="Q731" i="5" a="1"/>
  <c r="Q731" i="5" s="1"/>
  <c r="Q730" i="5" a="1"/>
  <c r="Q730" i="5" s="1"/>
  <c r="Q729" i="5" a="1"/>
  <c r="Q729" i="5" s="1"/>
  <c r="Q728" i="5" a="1"/>
  <c r="Q728" i="5" s="1"/>
  <c r="Q727" i="5" a="1"/>
  <c r="Q727" i="5" s="1"/>
  <c r="Q726" i="5" a="1"/>
  <c r="Q726" i="5" s="1"/>
  <c r="Q725" i="5" a="1"/>
  <c r="Q725" i="5" s="1"/>
  <c r="Q724" i="5" a="1"/>
  <c r="Q724" i="5" s="1"/>
  <c r="Q723" i="5" a="1"/>
  <c r="Q723" i="5" s="1"/>
  <c r="Q722" i="5" a="1"/>
  <c r="Q722" i="5" s="1"/>
  <c r="Q721" i="5" a="1"/>
  <c r="Q721" i="5" s="1"/>
  <c r="Q720" i="5" a="1"/>
  <c r="Q720" i="5" s="1"/>
  <c r="Q719" i="5" a="1"/>
  <c r="Q719" i="5" s="1"/>
  <c r="Q718" i="5" a="1"/>
  <c r="Q718" i="5" s="1"/>
  <c r="Q717" i="5" a="1"/>
  <c r="Q717" i="5" s="1"/>
  <c r="Q716" i="5" a="1"/>
  <c r="Q716" i="5" s="1"/>
  <c r="Q715" i="5" a="1"/>
  <c r="Q715" i="5" s="1"/>
  <c r="Q714" i="5" a="1"/>
  <c r="Q714" i="5" s="1"/>
  <c r="Q713" i="5" a="1"/>
  <c r="Q713" i="5" s="1"/>
  <c r="Q712" i="5" a="1"/>
  <c r="Q712" i="5" s="1"/>
  <c r="Q711" i="5" a="1"/>
  <c r="Q711" i="5" s="1"/>
  <c r="Q710" i="5" a="1"/>
  <c r="Q710" i="5" s="1"/>
  <c r="Q709" i="5" a="1"/>
  <c r="Q709" i="5" s="1"/>
  <c r="Q708" i="5" a="1"/>
  <c r="Q708" i="5" s="1"/>
  <c r="Q707" i="5" a="1"/>
  <c r="Q707" i="5" s="1"/>
  <c r="Q706" i="5" a="1"/>
  <c r="Q706" i="5" s="1"/>
  <c r="Q705" i="5" a="1"/>
  <c r="Q705" i="5" s="1"/>
  <c r="Q704" i="5" a="1"/>
  <c r="Q704" i="5" s="1"/>
  <c r="Q703" i="5" a="1"/>
  <c r="Q703" i="5" s="1"/>
  <c r="Q702" i="5" a="1"/>
  <c r="Q702" i="5" s="1"/>
  <c r="Q701" i="5" a="1"/>
  <c r="Q701" i="5" s="1"/>
  <c r="Q700" i="5" a="1"/>
  <c r="Q700" i="5" s="1"/>
  <c r="Q699" i="5" a="1"/>
  <c r="Q699" i="5" s="1"/>
  <c r="Q698" i="5" a="1"/>
  <c r="Q698" i="5" s="1"/>
  <c r="Q697" i="5" a="1"/>
  <c r="Q697" i="5" s="1"/>
  <c r="Q696" i="5" a="1"/>
  <c r="Q696" i="5" s="1"/>
  <c r="Q695" i="5" a="1"/>
  <c r="Q695" i="5" s="1"/>
  <c r="Q694" i="5" a="1"/>
  <c r="Q694" i="5" s="1"/>
  <c r="Q693" i="5" a="1"/>
  <c r="Q693" i="5" s="1"/>
  <c r="Q692" i="5" a="1"/>
  <c r="Q692" i="5" s="1"/>
  <c r="Q691" i="5" a="1"/>
  <c r="Q691" i="5" s="1"/>
  <c r="Q690" i="5" a="1"/>
  <c r="Q690" i="5" s="1"/>
  <c r="Q689" i="5" a="1"/>
  <c r="Q689" i="5" s="1"/>
  <c r="Q688" i="5" a="1"/>
  <c r="Q688" i="5" s="1"/>
  <c r="Q687" i="5" a="1"/>
  <c r="Q687" i="5" s="1"/>
  <c r="Q686" i="5" a="1"/>
  <c r="Q686" i="5" s="1"/>
  <c r="Q685" i="5" a="1"/>
  <c r="Q685" i="5" s="1"/>
  <c r="Q684" i="5" a="1"/>
  <c r="Q684" i="5" s="1"/>
  <c r="Q683" i="5" a="1"/>
  <c r="Q683" i="5" s="1"/>
  <c r="Q682" i="5" a="1"/>
  <c r="Q682" i="5" s="1"/>
  <c r="Q681" i="5" a="1"/>
  <c r="Q681" i="5" s="1"/>
  <c r="Q680" i="5" a="1"/>
  <c r="Q680" i="5" s="1"/>
  <c r="Q679" i="5" a="1"/>
  <c r="Q679" i="5" s="1"/>
  <c r="Q678" i="5" a="1"/>
  <c r="Q678" i="5" s="1"/>
  <c r="Q677" i="5" a="1"/>
  <c r="Q677" i="5" s="1"/>
  <c r="Q676" i="5" a="1"/>
  <c r="Q676" i="5" s="1"/>
  <c r="Q675" i="5" a="1"/>
  <c r="Q675" i="5" s="1"/>
  <c r="Q674" i="5" a="1"/>
  <c r="Q674" i="5" s="1"/>
  <c r="Q673" i="5" a="1"/>
  <c r="Q673" i="5" s="1"/>
  <c r="Q672" i="5" a="1"/>
  <c r="Q672" i="5" s="1"/>
  <c r="Q671" i="5" a="1"/>
  <c r="Q671" i="5" s="1"/>
  <c r="Q670" i="5" a="1"/>
  <c r="Q670" i="5" s="1"/>
  <c r="Q669" i="5" a="1"/>
  <c r="Q669" i="5" s="1"/>
  <c r="Q668" i="5" a="1"/>
  <c r="Q668" i="5" s="1"/>
  <c r="Q667" i="5" a="1"/>
  <c r="Q667" i="5" s="1"/>
  <c r="Q666" i="5" a="1"/>
  <c r="Q666" i="5" s="1"/>
  <c r="Q665" i="5" a="1"/>
  <c r="Q665" i="5" s="1"/>
  <c r="Q664" i="5" a="1"/>
  <c r="Q664" i="5" s="1"/>
  <c r="Q663" i="5" a="1"/>
  <c r="Q663" i="5" s="1"/>
  <c r="Q662" i="5" a="1"/>
  <c r="Q662" i="5" s="1"/>
  <c r="Q661" i="5" a="1"/>
  <c r="Q661" i="5" s="1"/>
  <c r="Q660" i="5" a="1"/>
  <c r="Q660" i="5" s="1"/>
  <c r="Q659" i="5" a="1"/>
  <c r="Q659" i="5" s="1"/>
  <c r="Q658" i="5" a="1"/>
  <c r="Q658" i="5" s="1"/>
  <c r="Q657" i="5" a="1"/>
  <c r="Q657" i="5" s="1"/>
  <c r="Q656" i="5" a="1"/>
  <c r="Q656" i="5" s="1"/>
  <c r="Q655" i="5" a="1"/>
  <c r="Q655" i="5" s="1"/>
  <c r="Q654" i="5" a="1"/>
  <c r="Q654" i="5" s="1"/>
  <c r="Q653" i="5" a="1"/>
  <c r="Q653" i="5" s="1"/>
  <c r="Q652" i="5" a="1"/>
  <c r="Q652" i="5" s="1"/>
  <c r="Q651" i="5" a="1"/>
  <c r="Q651" i="5" s="1"/>
  <c r="Q650" i="5" a="1"/>
  <c r="Q650" i="5" s="1"/>
  <c r="Q649" i="5" a="1"/>
  <c r="Q649" i="5" s="1"/>
  <c r="Q648" i="5" a="1"/>
  <c r="Q648" i="5" s="1"/>
  <c r="Q647" i="5" a="1"/>
  <c r="Q647" i="5" s="1"/>
  <c r="Q646" i="5" a="1"/>
  <c r="Q646" i="5" s="1"/>
  <c r="Q645" i="5" a="1"/>
  <c r="Q645" i="5" s="1"/>
  <c r="Q644" i="5" a="1"/>
  <c r="Q644" i="5" s="1"/>
  <c r="Q643" i="5" a="1"/>
  <c r="Q643" i="5" s="1"/>
  <c r="Q642" i="5" a="1"/>
  <c r="Q642" i="5" s="1"/>
  <c r="Q641" i="5" a="1"/>
  <c r="Q641" i="5" s="1"/>
  <c r="Q640" i="5" a="1"/>
  <c r="Q640" i="5" s="1"/>
  <c r="Q639" i="5" a="1"/>
  <c r="Q639" i="5" s="1"/>
  <c r="Q638" i="5" a="1"/>
  <c r="Q638" i="5" s="1"/>
  <c r="Q637" i="5" a="1"/>
  <c r="Q637" i="5" s="1"/>
  <c r="Q636" i="5" a="1"/>
  <c r="Q636" i="5" s="1"/>
  <c r="Q635" i="5" a="1"/>
  <c r="Q635" i="5" s="1"/>
  <c r="Q634" i="5" a="1"/>
  <c r="Q634" i="5" s="1"/>
  <c r="Q633" i="5" a="1"/>
  <c r="Q633" i="5" s="1"/>
  <c r="Q632" i="5" a="1"/>
  <c r="Q632" i="5" s="1"/>
  <c r="Q631" i="5" a="1"/>
  <c r="Q631" i="5" s="1"/>
  <c r="Q630" i="5" a="1"/>
  <c r="Q630" i="5" s="1"/>
  <c r="Q629" i="5" a="1"/>
  <c r="Q629" i="5" s="1"/>
  <c r="Q628" i="5" a="1"/>
  <c r="Q628" i="5" s="1"/>
  <c r="Q627" i="5" a="1"/>
  <c r="Q627" i="5" s="1"/>
  <c r="Q626" i="5" a="1"/>
  <c r="Q626" i="5" s="1"/>
  <c r="Q625" i="5" a="1"/>
  <c r="Q625" i="5" s="1"/>
  <c r="Q624" i="5" a="1"/>
  <c r="Q624" i="5" s="1"/>
  <c r="Q623" i="5" a="1"/>
  <c r="Q623" i="5" s="1"/>
  <c r="Q622" i="5" a="1"/>
  <c r="Q622" i="5" s="1"/>
  <c r="Q621" i="5" a="1"/>
  <c r="Q621" i="5" s="1"/>
  <c r="Q620" i="5" a="1"/>
  <c r="Q620" i="5" s="1"/>
  <c r="Q619" i="5" a="1"/>
  <c r="Q619" i="5" s="1"/>
  <c r="Q618" i="5" a="1"/>
  <c r="Q618" i="5" s="1"/>
  <c r="Q617" i="5" a="1"/>
  <c r="Q617" i="5" s="1"/>
  <c r="Q616" i="5" a="1"/>
  <c r="Q616" i="5" s="1"/>
  <c r="Q615" i="5" a="1"/>
  <c r="Q615" i="5" s="1"/>
  <c r="Q614" i="5" a="1"/>
  <c r="Q614" i="5" s="1"/>
  <c r="Q613" i="5" a="1"/>
  <c r="Q613" i="5" s="1"/>
  <c r="Q612" i="5" a="1"/>
  <c r="Q612" i="5" s="1"/>
  <c r="Q611" i="5" a="1"/>
  <c r="Q611" i="5" s="1"/>
  <c r="Q610" i="5" a="1"/>
  <c r="Q610" i="5" s="1"/>
  <c r="Q609" i="5" a="1"/>
  <c r="Q609" i="5" s="1"/>
  <c r="Q608" i="5" a="1"/>
  <c r="Q608" i="5" s="1"/>
  <c r="Q607" i="5" a="1"/>
  <c r="Q607" i="5" s="1"/>
  <c r="Q606" i="5" a="1"/>
  <c r="Q606" i="5" s="1"/>
  <c r="Q605" i="5" a="1"/>
  <c r="Q605" i="5" s="1"/>
  <c r="Q604" i="5" a="1"/>
  <c r="Q604" i="5" s="1"/>
  <c r="Q603" i="5" a="1"/>
  <c r="Q603" i="5" s="1"/>
  <c r="Q602" i="5" a="1"/>
  <c r="Q602" i="5" s="1"/>
  <c r="Q601" i="5" a="1"/>
  <c r="Q601" i="5" s="1"/>
  <c r="Q600" i="5" a="1"/>
  <c r="Q600" i="5" s="1"/>
  <c r="Q599" i="5" a="1"/>
  <c r="Q599" i="5" s="1"/>
  <c r="Q598" i="5" a="1"/>
  <c r="Q598" i="5" s="1"/>
  <c r="Q597" i="5" a="1"/>
  <c r="Q597" i="5" s="1"/>
  <c r="Q596" i="5" a="1"/>
  <c r="Q596" i="5" s="1"/>
  <c r="Q595" i="5" a="1"/>
  <c r="Q595" i="5" s="1"/>
  <c r="Q594" i="5" a="1"/>
  <c r="Q594" i="5" s="1"/>
  <c r="Q593" i="5" a="1"/>
  <c r="Q593" i="5" s="1"/>
  <c r="Q592" i="5" a="1"/>
  <c r="Q592" i="5" s="1"/>
  <c r="Q591" i="5" a="1"/>
  <c r="Q591" i="5" s="1"/>
  <c r="Q590" i="5" a="1"/>
  <c r="Q590" i="5" s="1"/>
  <c r="Q589" i="5" a="1"/>
  <c r="Q589" i="5" s="1"/>
  <c r="Q588" i="5" a="1"/>
  <c r="Q588" i="5" s="1"/>
  <c r="Q587" i="5" a="1"/>
  <c r="Q587" i="5" s="1"/>
  <c r="Q586" i="5" a="1"/>
  <c r="Q586" i="5" s="1"/>
  <c r="Q585" i="5" a="1"/>
  <c r="Q585" i="5" s="1"/>
  <c r="Q584" i="5" a="1"/>
  <c r="Q584" i="5" s="1"/>
  <c r="Q583" i="5" a="1"/>
  <c r="Q583" i="5" s="1"/>
  <c r="Q582" i="5" a="1"/>
  <c r="Q582" i="5" s="1"/>
  <c r="Q581" i="5" a="1"/>
  <c r="Q581" i="5" s="1"/>
  <c r="Q580" i="5" a="1"/>
  <c r="Q580" i="5" s="1"/>
  <c r="Q579" i="5" a="1"/>
  <c r="Q579" i="5" s="1"/>
  <c r="Q578" i="5" a="1"/>
  <c r="Q578" i="5" s="1"/>
  <c r="Q577" i="5" a="1"/>
  <c r="Q577" i="5" s="1"/>
  <c r="Q576" i="5" a="1"/>
  <c r="Q576" i="5" s="1"/>
  <c r="Q575" i="5" a="1"/>
  <c r="Q575" i="5" s="1"/>
  <c r="Q574" i="5" a="1"/>
  <c r="Q574" i="5" s="1"/>
  <c r="Q573" i="5" a="1"/>
  <c r="Q573" i="5" s="1"/>
  <c r="Q572" i="5" a="1"/>
  <c r="Q572" i="5" s="1"/>
  <c r="Q571" i="5" a="1"/>
  <c r="Q571" i="5" s="1"/>
  <c r="Q570" i="5" a="1"/>
  <c r="Q570" i="5" s="1"/>
  <c r="Q569" i="5" a="1"/>
  <c r="Q569" i="5" s="1"/>
  <c r="Q568" i="5" a="1"/>
  <c r="Q568" i="5" s="1"/>
  <c r="Q567" i="5" a="1"/>
  <c r="Q567" i="5" s="1"/>
  <c r="Q566" i="5" a="1"/>
  <c r="Q566" i="5" s="1"/>
  <c r="Q565" i="5" a="1"/>
  <c r="Q565" i="5" s="1"/>
  <c r="Q564" i="5" a="1"/>
  <c r="Q564" i="5" s="1"/>
  <c r="Q563" i="5" a="1"/>
  <c r="Q563" i="5" s="1"/>
  <c r="Q562" i="5" a="1"/>
  <c r="Q562" i="5" s="1"/>
  <c r="Q561" i="5" a="1"/>
  <c r="Q561" i="5" s="1"/>
  <c r="Q560" i="5" a="1"/>
  <c r="Q560" i="5" s="1"/>
  <c r="Q559" i="5" a="1"/>
  <c r="Q559" i="5" s="1"/>
  <c r="Q558" i="5" a="1"/>
  <c r="Q558" i="5" s="1"/>
  <c r="Q557" i="5" a="1"/>
  <c r="Q557" i="5" s="1"/>
  <c r="Q556" i="5" a="1"/>
  <c r="Q556" i="5" s="1"/>
  <c r="Q555" i="5" a="1"/>
  <c r="Q555" i="5" s="1"/>
  <c r="Q554" i="5" a="1"/>
  <c r="Q554" i="5" s="1"/>
  <c r="Q553" i="5" a="1"/>
  <c r="Q553" i="5" s="1"/>
  <c r="Q552" i="5" a="1"/>
  <c r="Q552" i="5" s="1"/>
  <c r="Q551" i="5" a="1"/>
  <c r="Q551" i="5" s="1"/>
  <c r="Q550" i="5" a="1"/>
  <c r="Q550" i="5" s="1"/>
  <c r="Q549" i="5" a="1"/>
  <c r="Q549" i="5" s="1"/>
  <c r="Q548" i="5" a="1"/>
  <c r="Q548" i="5" s="1"/>
  <c r="Q547" i="5" a="1"/>
  <c r="Q547" i="5" s="1"/>
  <c r="Q546" i="5" a="1"/>
  <c r="Q546" i="5" s="1"/>
  <c r="Q545" i="5" a="1"/>
  <c r="Q545" i="5" s="1"/>
  <c r="Q544" i="5" a="1"/>
  <c r="Q544" i="5" s="1"/>
  <c r="Q543" i="5" a="1"/>
  <c r="Q543" i="5" s="1"/>
  <c r="Q542" i="5" a="1"/>
  <c r="Q542" i="5" s="1"/>
  <c r="Q541" i="5" a="1"/>
  <c r="Q541" i="5" s="1"/>
  <c r="Q540" i="5" a="1"/>
  <c r="Q540" i="5" s="1"/>
  <c r="Q539" i="5" a="1"/>
  <c r="Q539" i="5" s="1"/>
  <c r="Q538" i="5" a="1"/>
  <c r="Q538" i="5" s="1"/>
  <c r="Q537" i="5" a="1"/>
  <c r="Q537" i="5" s="1"/>
  <c r="Q536" i="5" a="1"/>
  <c r="Q536" i="5" s="1"/>
  <c r="Q535" i="5" a="1"/>
  <c r="Q535" i="5" s="1"/>
  <c r="Q534" i="5" a="1"/>
  <c r="Q534" i="5" s="1"/>
  <c r="Q533" i="5" a="1"/>
  <c r="Q533" i="5" s="1"/>
  <c r="Q532" i="5" a="1"/>
  <c r="Q532" i="5" s="1"/>
  <c r="Q531" i="5" a="1"/>
  <c r="Q531" i="5" s="1"/>
  <c r="Q530" i="5" a="1"/>
  <c r="Q530" i="5" s="1"/>
  <c r="Q529" i="5" a="1"/>
  <c r="Q529" i="5" s="1"/>
  <c r="Q528" i="5" a="1"/>
  <c r="Q528" i="5" s="1"/>
  <c r="Q527" i="5" a="1"/>
  <c r="Q527" i="5" s="1"/>
  <c r="Q526" i="5" a="1"/>
  <c r="Q526" i="5" s="1"/>
  <c r="Q525" i="5" a="1"/>
  <c r="Q525" i="5" s="1"/>
  <c r="Q524" i="5" a="1"/>
  <c r="Q524" i="5" s="1"/>
  <c r="Q523" i="5" a="1"/>
  <c r="Q523" i="5" s="1"/>
  <c r="Q522" i="5" a="1"/>
  <c r="Q522" i="5" s="1"/>
  <c r="Q521" i="5" a="1"/>
  <c r="Q521" i="5" s="1"/>
  <c r="Q520" i="5" a="1"/>
  <c r="Q520" i="5" s="1"/>
  <c r="Q519" i="5" a="1"/>
  <c r="Q519" i="5" s="1"/>
  <c r="Q518" i="5" a="1"/>
  <c r="Q518" i="5" s="1"/>
  <c r="Q517" i="5" a="1"/>
  <c r="Q517" i="5" s="1"/>
  <c r="Q516" i="5" a="1"/>
  <c r="Q516" i="5" s="1"/>
  <c r="Q515" i="5" a="1"/>
  <c r="Q515" i="5" s="1"/>
  <c r="Q514" i="5" a="1"/>
  <c r="Q514" i="5" s="1"/>
  <c r="Q513" i="5" a="1"/>
  <c r="Q513" i="5" s="1"/>
  <c r="Q512" i="5" a="1"/>
  <c r="Q512" i="5" s="1"/>
  <c r="Q511" i="5" a="1"/>
  <c r="Q511" i="5" s="1"/>
  <c r="Q510" i="5" a="1"/>
  <c r="Q510" i="5" s="1"/>
  <c r="Q509" i="5" a="1"/>
  <c r="Q509" i="5" s="1"/>
  <c r="Q508" i="5" a="1"/>
  <c r="Q508" i="5" s="1"/>
  <c r="Q507" i="5" a="1"/>
  <c r="Q507" i="5" s="1"/>
  <c r="Q506" i="5" a="1"/>
  <c r="Q506" i="5" s="1"/>
  <c r="Q505" i="5" a="1"/>
  <c r="Q505" i="5" s="1"/>
  <c r="Q504" i="5" a="1"/>
  <c r="Q504" i="5" s="1"/>
  <c r="Q503" i="5" a="1"/>
  <c r="Q503" i="5" s="1"/>
  <c r="Q502" i="5" a="1"/>
  <c r="Q502" i="5" s="1"/>
  <c r="Q501" i="5" a="1"/>
  <c r="Q501" i="5" s="1"/>
  <c r="Q500" i="5" a="1"/>
  <c r="Q500" i="5" s="1"/>
  <c r="Q499" i="5" a="1"/>
  <c r="Q499" i="5" s="1"/>
  <c r="Q498" i="5" a="1"/>
  <c r="Q498" i="5" s="1"/>
  <c r="Q497" i="5" a="1"/>
  <c r="Q497" i="5" s="1"/>
  <c r="Q496" i="5" a="1"/>
  <c r="Q496" i="5" s="1"/>
  <c r="Q495" i="5" a="1"/>
  <c r="Q495" i="5" s="1"/>
  <c r="Q494" i="5" a="1"/>
  <c r="Q494" i="5" s="1"/>
  <c r="Q493" i="5" a="1"/>
  <c r="Q493" i="5" s="1"/>
  <c r="Q492" i="5" a="1"/>
  <c r="Q492" i="5" s="1"/>
  <c r="Q491" i="5" a="1"/>
  <c r="Q491" i="5" s="1"/>
  <c r="Q490" i="5" a="1"/>
  <c r="Q490" i="5" s="1"/>
  <c r="Q489" i="5" a="1"/>
  <c r="Q489" i="5" s="1"/>
  <c r="Q488" i="5" a="1"/>
  <c r="Q488" i="5" s="1"/>
  <c r="Q487" i="5" a="1"/>
  <c r="Q487" i="5" s="1"/>
  <c r="Q486" i="5" a="1"/>
  <c r="Q486" i="5" s="1"/>
  <c r="Q485" i="5" a="1"/>
  <c r="Q485" i="5" s="1"/>
  <c r="Q484" i="5" a="1"/>
  <c r="Q484" i="5" s="1"/>
  <c r="Q483" i="5" a="1"/>
  <c r="Q483" i="5" s="1"/>
  <c r="Q482" i="5" a="1"/>
  <c r="Q482" i="5" s="1"/>
  <c r="Q481" i="5" a="1"/>
  <c r="Q481" i="5" s="1"/>
  <c r="Q480" i="5" a="1"/>
  <c r="Q480" i="5" s="1"/>
  <c r="Q479" i="5" a="1"/>
  <c r="Q479" i="5" s="1"/>
  <c r="Q478" i="5" a="1"/>
  <c r="Q478" i="5" s="1"/>
  <c r="Q477" i="5" a="1"/>
  <c r="Q477" i="5" s="1"/>
  <c r="Q476" i="5" a="1"/>
  <c r="Q476" i="5" s="1"/>
  <c r="Q475" i="5" a="1"/>
  <c r="Q475" i="5" s="1"/>
  <c r="Q474" i="5" a="1"/>
  <c r="Q474" i="5" s="1"/>
  <c r="Q473" i="5" a="1"/>
  <c r="Q473" i="5" s="1"/>
  <c r="Q472" i="5" a="1"/>
  <c r="Q472" i="5" s="1"/>
  <c r="Q471" i="5" a="1"/>
  <c r="Q471" i="5" s="1"/>
  <c r="Q470" i="5" a="1"/>
  <c r="Q470" i="5" s="1"/>
  <c r="Q469" i="5" a="1"/>
  <c r="Q469" i="5" s="1"/>
  <c r="Q468" i="5" a="1"/>
  <c r="Q468" i="5" s="1"/>
  <c r="Q467" i="5" a="1"/>
  <c r="Q467" i="5" s="1"/>
  <c r="Q466" i="5" a="1"/>
  <c r="Q466" i="5" s="1"/>
  <c r="Q465" i="5" a="1"/>
  <c r="Q465" i="5" s="1"/>
  <c r="Q464" i="5" a="1"/>
  <c r="Q464" i="5" s="1"/>
  <c r="Q463" i="5" a="1"/>
  <c r="Q463" i="5" s="1"/>
  <c r="Q462" i="5" a="1"/>
  <c r="Q462" i="5" s="1"/>
  <c r="Q461" i="5" a="1"/>
  <c r="Q461" i="5" s="1"/>
  <c r="Q460" i="5" a="1"/>
  <c r="Q460" i="5" s="1"/>
  <c r="Q459" i="5" a="1"/>
  <c r="Q459" i="5" s="1"/>
  <c r="Q458" i="5" a="1"/>
  <c r="Q458" i="5" s="1"/>
  <c r="Q457" i="5" a="1"/>
  <c r="Q457" i="5" s="1"/>
  <c r="Q456" i="5" a="1"/>
  <c r="Q456" i="5" s="1"/>
  <c r="Q455" i="5" a="1"/>
  <c r="Q455" i="5" s="1"/>
  <c r="Q454" i="5" a="1"/>
  <c r="Q454" i="5" s="1"/>
  <c r="Q453" i="5" a="1"/>
  <c r="Q453" i="5" s="1"/>
  <c r="Q452" i="5" a="1"/>
  <c r="Q452" i="5" s="1"/>
  <c r="Q451" i="5" a="1"/>
  <c r="Q451" i="5" s="1"/>
  <c r="Q450" i="5" a="1"/>
  <c r="Q450" i="5" s="1"/>
  <c r="Q449" i="5" a="1"/>
  <c r="Q449" i="5" s="1"/>
  <c r="Q448" i="5" a="1"/>
  <c r="Q448" i="5" s="1"/>
  <c r="Q447" i="5" a="1"/>
  <c r="Q447" i="5" s="1"/>
  <c r="Q446" i="5" a="1"/>
  <c r="Q446" i="5" s="1"/>
  <c r="Q445" i="5" a="1"/>
  <c r="Q445" i="5" s="1"/>
  <c r="Q444" i="5" a="1"/>
  <c r="Q444" i="5" s="1"/>
  <c r="Q443" i="5" a="1"/>
  <c r="Q443" i="5" s="1"/>
  <c r="Q442" i="5" a="1"/>
  <c r="Q442" i="5" s="1"/>
  <c r="Q441" i="5" a="1"/>
  <c r="Q441" i="5" s="1"/>
  <c r="Q440" i="5" a="1"/>
  <c r="Q440" i="5" s="1"/>
  <c r="Q439" i="5" a="1"/>
  <c r="Q439" i="5" s="1"/>
  <c r="Q438" i="5" a="1"/>
  <c r="Q438" i="5" s="1"/>
  <c r="Q437" i="5" a="1"/>
  <c r="Q437" i="5" s="1"/>
  <c r="Q436" i="5" a="1"/>
  <c r="Q436" i="5" s="1"/>
  <c r="Q435" i="5" a="1"/>
  <c r="Q435" i="5" s="1"/>
  <c r="Q434" i="5" a="1"/>
  <c r="Q434" i="5" s="1"/>
  <c r="Q433" i="5" a="1"/>
  <c r="Q433" i="5" s="1"/>
  <c r="Q432" i="5" a="1"/>
  <c r="Q432" i="5" s="1"/>
  <c r="Q431" i="5" a="1"/>
  <c r="Q431" i="5" s="1"/>
  <c r="Q430" i="5" a="1"/>
  <c r="Q430" i="5" s="1"/>
  <c r="Q429" i="5" a="1"/>
  <c r="Q429" i="5" s="1"/>
  <c r="Q428" i="5" a="1"/>
  <c r="Q428" i="5" s="1"/>
  <c r="Q427" i="5" a="1"/>
  <c r="Q427" i="5" s="1"/>
  <c r="Q426" i="5" a="1"/>
  <c r="Q426" i="5" s="1"/>
  <c r="Q425" i="5" a="1"/>
  <c r="Q425" i="5" s="1"/>
  <c r="Q424" i="5" a="1"/>
  <c r="Q424" i="5" s="1"/>
  <c r="Q423" i="5" a="1"/>
  <c r="Q423" i="5" s="1"/>
  <c r="Q422" i="5" a="1"/>
  <c r="Q422" i="5" s="1"/>
  <c r="Q421" i="5" a="1"/>
  <c r="Q421" i="5" s="1"/>
  <c r="Q420" i="5" a="1"/>
  <c r="Q420" i="5" s="1"/>
  <c r="Q419" i="5" a="1"/>
  <c r="Q419" i="5" s="1"/>
  <c r="Q418" i="5" a="1"/>
  <c r="Q418" i="5" s="1"/>
  <c r="Q417" i="5" a="1"/>
  <c r="Q417" i="5" s="1"/>
  <c r="Q416" i="5" a="1"/>
  <c r="Q416" i="5" s="1"/>
  <c r="Q415" i="5" a="1"/>
  <c r="Q415" i="5" s="1"/>
  <c r="Q414" i="5" a="1"/>
  <c r="Q414" i="5" s="1"/>
  <c r="Q413" i="5" a="1"/>
  <c r="Q413" i="5" s="1"/>
  <c r="Q412" i="5" a="1"/>
  <c r="Q412" i="5" s="1"/>
  <c r="Q411" i="5" a="1"/>
  <c r="Q411" i="5" s="1"/>
  <c r="Q410" i="5" a="1"/>
  <c r="Q410" i="5" s="1"/>
  <c r="Q409" i="5" a="1"/>
  <c r="Q409" i="5" s="1"/>
  <c r="Q408" i="5" a="1"/>
  <c r="Q408" i="5" s="1"/>
  <c r="Q407" i="5" a="1"/>
  <c r="Q407" i="5" s="1"/>
  <c r="Q406" i="5" a="1"/>
  <c r="Q406" i="5" s="1"/>
  <c r="Q405" i="5" a="1"/>
  <c r="Q405" i="5" s="1"/>
  <c r="Q404" i="5" a="1"/>
  <c r="Q404" i="5" s="1"/>
  <c r="Q403" i="5" a="1"/>
  <c r="Q403" i="5" s="1"/>
  <c r="Q402" i="5" a="1"/>
  <c r="Q402" i="5" s="1"/>
  <c r="Q401" i="5" a="1"/>
  <c r="Q401" i="5" s="1"/>
  <c r="Q400" i="5" a="1"/>
  <c r="Q400" i="5" s="1"/>
  <c r="Q399" i="5" a="1"/>
  <c r="Q399" i="5" s="1"/>
  <c r="Q398" i="5" a="1"/>
  <c r="Q398" i="5" s="1"/>
  <c r="Q397" i="5" a="1"/>
  <c r="Q397" i="5" s="1"/>
  <c r="Q396" i="5" a="1"/>
  <c r="Q396" i="5" s="1"/>
  <c r="Q395" i="5" a="1"/>
  <c r="Q395" i="5" s="1"/>
  <c r="Q394" i="5" a="1"/>
  <c r="Q394" i="5" s="1"/>
  <c r="Q393" i="5" a="1"/>
  <c r="Q393" i="5" s="1"/>
  <c r="Q392" i="5" a="1"/>
  <c r="Q392" i="5" s="1"/>
  <c r="Q391" i="5" a="1"/>
  <c r="Q391" i="5" s="1"/>
  <c r="Q390" i="5" a="1"/>
  <c r="Q390" i="5" s="1"/>
  <c r="Q389" i="5" a="1"/>
  <c r="Q389" i="5" s="1"/>
  <c r="Q388" i="5" a="1"/>
  <c r="Q388" i="5" s="1"/>
  <c r="Q387" i="5" a="1"/>
  <c r="Q387" i="5" s="1"/>
  <c r="Q386" i="5" a="1"/>
  <c r="Q386" i="5" s="1"/>
  <c r="Q385" i="5" a="1"/>
  <c r="Q385" i="5" s="1"/>
  <c r="Q384" i="5" a="1"/>
  <c r="Q384" i="5" s="1"/>
  <c r="Q383" i="5" a="1"/>
  <c r="Q383" i="5" s="1"/>
  <c r="Q382" i="5" a="1"/>
  <c r="Q382" i="5" s="1"/>
  <c r="Q381" i="5" a="1"/>
  <c r="Q381" i="5" s="1"/>
  <c r="Q380" i="5" a="1"/>
  <c r="Q380" i="5" s="1"/>
  <c r="Q379" i="5" a="1"/>
  <c r="Q379" i="5" s="1"/>
  <c r="Q378" i="5" a="1"/>
  <c r="Q378" i="5" s="1"/>
  <c r="Q377" i="5" a="1"/>
  <c r="Q377" i="5" s="1"/>
  <c r="Q376" i="5" a="1"/>
  <c r="Q376" i="5" s="1"/>
  <c r="Q375" i="5" a="1"/>
  <c r="Q375" i="5" s="1"/>
  <c r="Q374" i="5" a="1"/>
  <c r="Q374" i="5" s="1"/>
  <c r="Q373" i="5" a="1"/>
  <c r="Q373" i="5" s="1"/>
  <c r="Q372" i="5" a="1"/>
  <c r="Q372" i="5" s="1"/>
  <c r="Q371" i="5" a="1"/>
  <c r="Q371" i="5" s="1"/>
  <c r="Q370" i="5" a="1"/>
  <c r="Q370" i="5" s="1"/>
  <c r="Q369" i="5" a="1"/>
  <c r="Q369" i="5" s="1"/>
  <c r="Q368" i="5" a="1"/>
  <c r="Q368" i="5" s="1"/>
  <c r="Q367" i="5" a="1"/>
  <c r="Q367" i="5" s="1"/>
  <c r="Q366" i="5" a="1"/>
  <c r="Q366" i="5" s="1"/>
  <c r="Q365" i="5" a="1"/>
  <c r="Q365" i="5" s="1"/>
  <c r="Q364" i="5" a="1"/>
  <c r="Q364" i="5" s="1"/>
  <c r="Q363" i="5" a="1"/>
  <c r="Q363" i="5" s="1"/>
  <c r="Q362" i="5" a="1"/>
  <c r="Q362" i="5" s="1"/>
  <c r="Q361" i="5" a="1"/>
  <c r="Q361" i="5" s="1"/>
  <c r="Q360" i="5" a="1"/>
  <c r="Q360" i="5" s="1"/>
  <c r="Q359" i="5" a="1"/>
  <c r="Q359" i="5" s="1"/>
  <c r="Q358" i="5" a="1"/>
  <c r="Q358" i="5" s="1"/>
  <c r="Q357" i="5" a="1"/>
  <c r="Q357" i="5" s="1"/>
  <c r="Q356" i="5" a="1"/>
  <c r="Q356" i="5" s="1"/>
  <c r="Q355" i="5" a="1"/>
  <c r="Q355" i="5" s="1"/>
  <c r="Q354" i="5" a="1"/>
  <c r="Q354" i="5" s="1"/>
  <c r="Q353" i="5" a="1"/>
  <c r="Q353" i="5" s="1"/>
  <c r="Q352" i="5" a="1"/>
  <c r="Q352" i="5" s="1"/>
  <c r="Q351" i="5" a="1"/>
  <c r="Q351" i="5" s="1"/>
  <c r="Q350" i="5" a="1"/>
  <c r="Q350" i="5" s="1"/>
  <c r="Q349" i="5" a="1"/>
  <c r="Q349" i="5" s="1"/>
  <c r="Q348" i="5" a="1"/>
  <c r="Q348" i="5" s="1"/>
  <c r="Q347" i="5" a="1"/>
  <c r="Q347" i="5" s="1"/>
  <c r="Q346" i="5" a="1"/>
  <c r="Q346" i="5" s="1"/>
  <c r="Q345" i="5" a="1"/>
  <c r="Q345" i="5" s="1"/>
  <c r="Q344" i="5" a="1"/>
  <c r="Q344" i="5" s="1"/>
  <c r="Q343" i="5" a="1"/>
  <c r="Q343" i="5" s="1"/>
  <c r="Q342" i="5" a="1"/>
  <c r="Q342" i="5" s="1"/>
  <c r="Q341" i="5" a="1"/>
  <c r="Q341" i="5" s="1"/>
  <c r="Q340" i="5" a="1"/>
  <c r="Q340" i="5" s="1"/>
  <c r="Q339" i="5" a="1"/>
  <c r="Q339" i="5" s="1"/>
  <c r="Q338" i="5" a="1"/>
  <c r="Q338" i="5" s="1"/>
  <c r="Q337" i="5" a="1"/>
  <c r="Q337" i="5" s="1"/>
  <c r="Q336" i="5" a="1"/>
  <c r="Q336" i="5" s="1"/>
  <c r="Q335" i="5" a="1"/>
  <c r="Q335" i="5" s="1"/>
  <c r="Q334" i="5" a="1"/>
  <c r="Q334" i="5" s="1"/>
  <c r="Q333" i="5" a="1"/>
  <c r="Q333" i="5" s="1"/>
  <c r="Q332" i="5" a="1"/>
  <c r="Q332" i="5" s="1"/>
  <c r="Q331" i="5" a="1"/>
  <c r="Q331" i="5" s="1"/>
  <c r="Q330" i="5" a="1"/>
  <c r="Q330" i="5" s="1"/>
  <c r="Q329" i="5" a="1"/>
  <c r="Q329" i="5" s="1"/>
  <c r="Q328" i="5" a="1"/>
  <c r="Q328" i="5" s="1"/>
  <c r="Q327" i="5" a="1"/>
  <c r="Q327" i="5" s="1"/>
  <c r="Q326" i="5" a="1"/>
  <c r="Q326" i="5" s="1"/>
  <c r="Q325" i="5" a="1"/>
  <c r="Q325" i="5" s="1"/>
  <c r="Q324" i="5" a="1"/>
  <c r="Q324" i="5" s="1"/>
  <c r="Q323" i="5" a="1"/>
  <c r="Q323" i="5" s="1"/>
  <c r="Q322" i="5" a="1"/>
  <c r="Q322" i="5" s="1"/>
  <c r="Q321" i="5" a="1"/>
  <c r="Q321" i="5" s="1"/>
  <c r="Q320" i="5" a="1"/>
  <c r="Q320" i="5" s="1"/>
  <c r="Q319" i="5" a="1"/>
  <c r="Q319" i="5" s="1"/>
  <c r="Q318" i="5" a="1"/>
  <c r="Q318" i="5" s="1"/>
  <c r="Q317" i="5" a="1"/>
  <c r="Q317" i="5" s="1"/>
  <c r="Q316" i="5" a="1"/>
  <c r="Q316" i="5" s="1"/>
  <c r="Q315" i="5" a="1"/>
  <c r="Q315" i="5" s="1"/>
  <c r="Q314" i="5" a="1"/>
  <c r="Q314" i="5" s="1"/>
  <c r="Q313" i="5" a="1"/>
  <c r="Q313" i="5" s="1"/>
  <c r="Q312" i="5" a="1"/>
  <c r="Q312" i="5" s="1"/>
  <c r="Q311" i="5" a="1"/>
  <c r="Q311" i="5" s="1"/>
  <c r="Q310" i="5" a="1"/>
  <c r="Q310" i="5" s="1"/>
  <c r="Q309" i="5" a="1"/>
  <c r="Q309" i="5" s="1"/>
  <c r="Q308" i="5" a="1"/>
  <c r="Q308" i="5" s="1"/>
  <c r="Q307" i="5" a="1"/>
  <c r="Q307" i="5" s="1"/>
  <c r="Q306" i="5" a="1"/>
  <c r="Q306" i="5" s="1"/>
  <c r="Q305" i="5" a="1"/>
  <c r="Q305" i="5" s="1"/>
  <c r="Q304" i="5" a="1"/>
  <c r="Q304" i="5" s="1"/>
  <c r="Q303" i="5" a="1"/>
  <c r="Q303" i="5" s="1"/>
  <c r="Q302" i="5" a="1"/>
  <c r="Q302" i="5" s="1"/>
  <c r="Q301" i="5" a="1"/>
  <c r="Q301" i="5" s="1"/>
  <c r="Q300" i="5" a="1"/>
  <c r="Q300" i="5" s="1"/>
  <c r="Q299" i="5" a="1"/>
  <c r="Q299" i="5" s="1"/>
  <c r="Q298" i="5" a="1"/>
  <c r="Q298" i="5" s="1"/>
  <c r="Q297" i="5" a="1"/>
  <c r="Q297" i="5" s="1"/>
  <c r="Q296" i="5" a="1"/>
  <c r="Q296" i="5" s="1"/>
  <c r="Q295" i="5" a="1"/>
  <c r="Q295" i="5" s="1"/>
  <c r="Q294" i="5" a="1"/>
  <c r="Q294" i="5" s="1"/>
  <c r="Q293" i="5" a="1"/>
  <c r="Q293" i="5" s="1"/>
  <c r="Q292" i="5" a="1"/>
  <c r="Q292" i="5" s="1"/>
  <c r="Q291" i="5" a="1"/>
  <c r="Q291" i="5" s="1"/>
  <c r="Q290" i="5" a="1"/>
  <c r="Q290" i="5" s="1"/>
  <c r="Q289" i="5" a="1"/>
  <c r="Q289" i="5" s="1"/>
  <c r="Q288" i="5" a="1"/>
  <c r="Q288" i="5" s="1"/>
  <c r="Q287" i="5" a="1"/>
  <c r="Q287" i="5" s="1"/>
  <c r="Q286" i="5" a="1"/>
  <c r="Q286" i="5" s="1"/>
  <c r="Q285" i="5" a="1"/>
  <c r="Q285" i="5" s="1"/>
  <c r="Q284" i="5" a="1"/>
  <c r="Q284" i="5" s="1"/>
  <c r="Q283" i="5" a="1"/>
  <c r="Q283" i="5" s="1"/>
  <c r="Q282" i="5" a="1"/>
  <c r="Q282" i="5" s="1"/>
  <c r="Q281" i="5" a="1"/>
  <c r="Q281" i="5" s="1"/>
  <c r="Q280" i="5" a="1"/>
  <c r="Q280" i="5" s="1"/>
  <c r="Q279" i="5" a="1"/>
  <c r="Q279" i="5" s="1"/>
  <c r="Q278" i="5" a="1"/>
  <c r="Q278" i="5" s="1"/>
  <c r="Q277" i="5" a="1"/>
  <c r="Q277" i="5" s="1"/>
  <c r="Q276" i="5" a="1"/>
  <c r="Q276" i="5" s="1"/>
  <c r="Q275" i="5" a="1"/>
  <c r="Q275" i="5" s="1"/>
  <c r="Q274" i="5" a="1"/>
  <c r="Q274" i="5" s="1"/>
  <c r="Q273" i="5" a="1"/>
  <c r="Q273" i="5" s="1"/>
  <c r="Q272" i="5" a="1"/>
  <c r="Q272" i="5" s="1"/>
  <c r="Q271" i="5" a="1"/>
  <c r="Q271" i="5" s="1"/>
  <c r="Q270" i="5" a="1"/>
  <c r="Q270" i="5" s="1"/>
  <c r="Q269" i="5" a="1"/>
  <c r="Q269" i="5" s="1"/>
  <c r="Q268" i="5" a="1"/>
  <c r="Q268" i="5" s="1"/>
  <c r="Q267" i="5" a="1"/>
  <c r="Q267" i="5" s="1"/>
  <c r="Q266" i="5" a="1"/>
  <c r="Q266" i="5" s="1"/>
  <c r="Q265" i="5" a="1"/>
  <c r="Q265" i="5" s="1"/>
  <c r="Q264" i="5" a="1"/>
  <c r="Q264" i="5" s="1"/>
  <c r="Q263" i="5" a="1"/>
  <c r="Q263" i="5" s="1"/>
  <c r="Q262" i="5" a="1"/>
  <c r="Q262" i="5" s="1"/>
  <c r="Q261" i="5" a="1"/>
  <c r="Q261" i="5" s="1"/>
  <c r="Q260" i="5" a="1"/>
  <c r="Q260" i="5" s="1"/>
  <c r="Q259" i="5" a="1"/>
  <c r="Q259" i="5" s="1"/>
  <c r="Q258" i="5" a="1"/>
  <c r="Q258" i="5" s="1"/>
  <c r="Q257" i="5" a="1"/>
  <c r="Q257" i="5" s="1"/>
  <c r="Q256" i="5" a="1"/>
  <c r="Q256" i="5" s="1"/>
  <c r="Q255" i="5" a="1"/>
  <c r="Q255" i="5" s="1"/>
  <c r="Q254" i="5" a="1"/>
  <c r="Q254" i="5" s="1"/>
  <c r="Q253" i="5" a="1"/>
  <c r="Q253" i="5" s="1"/>
  <c r="Q252" i="5" a="1"/>
  <c r="Q252" i="5" s="1"/>
  <c r="Q251" i="5" a="1"/>
  <c r="Q251" i="5" s="1"/>
  <c r="Q250" i="5" a="1"/>
  <c r="Q250" i="5" s="1"/>
  <c r="Q249" i="5" a="1"/>
  <c r="Q249" i="5" s="1"/>
  <c r="Q248" i="5" a="1"/>
  <c r="Q248" i="5" s="1"/>
  <c r="Q247" i="5" a="1"/>
  <c r="Q247" i="5" s="1"/>
  <c r="Q246" i="5" a="1"/>
  <c r="Q246" i="5" s="1"/>
  <c r="Q245" i="5" a="1"/>
  <c r="Q245" i="5" s="1"/>
  <c r="Q244" i="5" a="1"/>
  <c r="Q244" i="5" s="1"/>
  <c r="Q243" i="5" a="1"/>
  <c r="Q243" i="5" s="1"/>
  <c r="Q242" i="5" a="1"/>
  <c r="Q242" i="5" s="1"/>
  <c r="Q241" i="5" a="1"/>
  <c r="Q241" i="5" s="1"/>
  <c r="Q240" i="5" a="1"/>
  <c r="Q240" i="5" s="1"/>
  <c r="Q239" i="5" a="1"/>
  <c r="Q239" i="5" s="1"/>
  <c r="Q238" i="5" a="1"/>
  <c r="Q238" i="5" s="1"/>
  <c r="Q237" i="5" a="1"/>
  <c r="Q237" i="5" s="1"/>
  <c r="Q236" i="5" a="1"/>
  <c r="Q236" i="5" s="1"/>
  <c r="Q235" i="5" a="1"/>
  <c r="Q235" i="5" s="1"/>
  <c r="Q234" i="5" a="1"/>
  <c r="Q234" i="5" s="1"/>
  <c r="Q233" i="5" a="1"/>
  <c r="Q233" i="5" s="1"/>
  <c r="Q232" i="5" a="1"/>
  <c r="Q232" i="5" s="1"/>
  <c r="Q231" i="5" a="1"/>
  <c r="Q231" i="5" s="1"/>
  <c r="Q230" i="5" a="1"/>
  <c r="Q230" i="5" s="1"/>
  <c r="Q229" i="5" a="1"/>
  <c r="Q229" i="5" s="1"/>
  <c r="Q228" i="5" a="1"/>
  <c r="Q228" i="5" s="1"/>
  <c r="Q227" i="5" a="1"/>
  <c r="Q227" i="5" s="1"/>
  <c r="Q226" i="5" a="1"/>
  <c r="Q226" i="5" s="1"/>
  <c r="Q225" i="5" a="1"/>
  <c r="Q225" i="5" s="1"/>
  <c r="Q224" i="5" a="1"/>
  <c r="Q224" i="5" s="1"/>
  <c r="Q223" i="5" a="1"/>
  <c r="Q223" i="5" s="1"/>
  <c r="Q222" i="5" a="1"/>
  <c r="Q222" i="5" s="1"/>
  <c r="Q221" i="5" a="1"/>
  <c r="Q221" i="5" s="1"/>
  <c r="Q220" i="5" a="1"/>
  <c r="Q220" i="5" s="1"/>
  <c r="Q219" i="5" a="1"/>
  <c r="Q219" i="5" s="1"/>
  <c r="Q218" i="5" a="1"/>
  <c r="Q218" i="5" s="1"/>
  <c r="Q217" i="5" a="1"/>
  <c r="Q217" i="5" s="1"/>
  <c r="Q216" i="5" a="1"/>
  <c r="Q216" i="5" s="1"/>
  <c r="Q215" i="5" a="1"/>
  <c r="Q215" i="5" s="1"/>
  <c r="Q214" i="5" a="1"/>
  <c r="Q214" i="5" s="1"/>
  <c r="Q213" i="5" a="1"/>
  <c r="Q213" i="5" s="1"/>
  <c r="Q212" i="5" a="1"/>
  <c r="Q212" i="5" s="1"/>
  <c r="Q211" i="5" a="1"/>
  <c r="Q211" i="5" s="1"/>
  <c r="Q210" i="5" a="1"/>
  <c r="Q210" i="5" s="1"/>
  <c r="Q209" i="5" a="1"/>
  <c r="Q209" i="5" s="1"/>
  <c r="Q208" i="5" a="1"/>
  <c r="Q208" i="5" s="1"/>
  <c r="Q207" i="5" a="1"/>
  <c r="Q207" i="5" s="1"/>
  <c r="Q206" i="5" a="1"/>
  <c r="Q206" i="5" s="1"/>
  <c r="Q205" i="5" a="1"/>
  <c r="Q205" i="5" s="1"/>
  <c r="Q204" i="5" a="1"/>
  <c r="Q204" i="5" s="1"/>
  <c r="Q203" i="5" a="1"/>
  <c r="Q203" i="5" s="1"/>
  <c r="Q202" i="5" a="1"/>
  <c r="Q202" i="5" s="1"/>
  <c r="Q201" i="5" a="1"/>
  <c r="Q201" i="5" s="1"/>
  <c r="Q200" i="5" a="1"/>
  <c r="Q200" i="5" s="1"/>
  <c r="Q199" i="5" a="1"/>
  <c r="Q199" i="5" s="1"/>
  <c r="Q198" i="5" a="1"/>
  <c r="Q198" i="5" s="1"/>
  <c r="Q197" i="5" a="1"/>
  <c r="Q197" i="5" s="1"/>
  <c r="Q196" i="5" a="1"/>
  <c r="Q196" i="5" s="1"/>
  <c r="Q195" i="5" a="1"/>
  <c r="Q195" i="5" s="1"/>
  <c r="Q194" i="5" a="1"/>
  <c r="Q194" i="5" s="1"/>
  <c r="Q193" i="5" a="1"/>
  <c r="Q193" i="5" s="1"/>
  <c r="Q192" i="5" a="1"/>
  <c r="Q192" i="5" s="1"/>
  <c r="Q191" i="5" a="1"/>
  <c r="Q191" i="5" s="1"/>
  <c r="Q190" i="5" a="1"/>
  <c r="Q190" i="5" s="1"/>
  <c r="Q189" i="5" a="1"/>
  <c r="Q189" i="5" s="1"/>
  <c r="Q188" i="5" a="1"/>
  <c r="Q188" i="5" s="1"/>
  <c r="Q187" i="5" a="1"/>
  <c r="Q187" i="5" s="1"/>
  <c r="Q186" i="5" a="1"/>
  <c r="Q186" i="5" s="1"/>
  <c r="Q185" i="5" a="1"/>
  <c r="Q185" i="5" s="1"/>
  <c r="Q184" i="5" a="1"/>
  <c r="Q184" i="5" s="1"/>
  <c r="Q183" i="5" a="1"/>
  <c r="Q183" i="5" s="1"/>
  <c r="Q182" i="5" a="1"/>
  <c r="Q182" i="5" s="1"/>
  <c r="Q181" i="5" a="1"/>
  <c r="Q181" i="5" s="1"/>
  <c r="Q180" i="5" a="1"/>
  <c r="Q180" i="5" s="1"/>
  <c r="Q179" i="5" a="1"/>
  <c r="Q179" i="5" s="1"/>
  <c r="Q178" i="5" a="1"/>
  <c r="Q178" i="5" s="1"/>
  <c r="Q177" i="5" a="1"/>
  <c r="Q177" i="5" s="1"/>
  <c r="Q176" i="5" a="1"/>
  <c r="Q176" i="5" s="1"/>
  <c r="Q175" i="5" a="1"/>
  <c r="Q175" i="5" s="1"/>
  <c r="Q174" i="5" a="1"/>
  <c r="Q174" i="5" s="1"/>
  <c r="Q173" i="5" a="1"/>
  <c r="Q173" i="5" s="1"/>
  <c r="Q172" i="5" a="1"/>
  <c r="Q172" i="5" s="1"/>
  <c r="Q171" i="5" a="1"/>
  <c r="Q171" i="5" s="1"/>
  <c r="Q170" i="5" a="1"/>
  <c r="Q170" i="5" s="1"/>
  <c r="Q169" i="5" a="1"/>
  <c r="Q169" i="5" s="1"/>
  <c r="Q168" i="5" a="1"/>
  <c r="Q168" i="5" s="1"/>
  <c r="Q167" i="5" a="1"/>
  <c r="Q167" i="5" s="1"/>
  <c r="Q166" i="5" a="1"/>
  <c r="Q166" i="5" s="1"/>
  <c r="Q165" i="5" a="1"/>
  <c r="Q165" i="5" s="1"/>
  <c r="Q164" i="5" a="1"/>
  <c r="Q164" i="5" s="1"/>
  <c r="Q163" i="5" a="1"/>
  <c r="Q163" i="5" s="1"/>
  <c r="Q162" i="5" a="1"/>
  <c r="Q162" i="5" s="1"/>
  <c r="Q161" i="5" a="1"/>
  <c r="Q161" i="5" s="1"/>
  <c r="Q160" i="5" a="1"/>
  <c r="Q160" i="5" s="1"/>
  <c r="Q159" i="5" a="1"/>
  <c r="Q159" i="5" s="1"/>
  <c r="Q158" i="5" a="1"/>
  <c r="Q158" i="5" s="1"/>
  <c r="Q157" i="5" a="1"/>
  <c r="Q157" i="5" s="1"/>
  <c r="Q156" i="5" a="1"/>
  <c r="Q156" i="5" s="1"/>
  <c r="Q155" i="5" a="1"/>
  <c r="Q155" i="5" s="1"/>
  <c r="Q154" i="5" a="1"/>
  <c r="Q154" i="5" s="1"/>
  <c r="Q153" i="5" a="1"/>
  <c r="Q153" i="5" s="1"/>
  <c r="Q152" i="5" a="1"/>
  <c r="Q152" i="5" s="1"/>
  <c r="Q151" i="5" a="1"/>
  <c r="Q151" i="5" s="1"/>
  <c r="Q150" i="5" a="1"/>
  <c r="Q150" i="5" s="1"/>
  <c r="Q149" i="5" a="1"/>
  <c r="Q149" i="5" s="1"/>
  <c r="Q148" i="5" a="1"/>
  <c r="Q148" i="5" s="1"/>
  <c r="Q147" i="5" a="1"/>
  <c r="Q147" i="5" s="1"/>
  <c r="Q146" i="5" a="1"/>
  <c r="Q146" i="5" s="1"/>
  <c r="Q145" i="5" a="1"/>
  <c r="Q145" i="5" s="1"/>
  <c r="Q144" i="5" a="1"/>
  <c r="Q144" i="5" s="1"/>
  <c r="Q143" i="5" a="1"/>
  <c r="Q143" i="5" s="1"/>
  <c r="Q142" i="5" a="1"/>
  <c r="Q142" i="5" s="1"/>
  <c r="Q141" i="5" a="1"/>
  <c r="Q141" i="5" s="1"/>
  <c r="Q140" i="5" a="1"/>
  <c r="Q140" i="5" s="1"/>
  <c r="Q139" i="5" a="1"/>
  <c r="Q139" i="5" s="1"/>
  <c r="Q138" i="5" a="1"/>
  <c r="Q138" i="5" s="1"/>
  <c r="Q137" i="5" a="1"/>
  <c r="Q137" i="5" s="1"/>
  <c r="Q136" i="5" a="1"/>
  <c r="Q136" i="5" s="1"/>
  <c r="Q135" i="5" a="1"/>
  <c r="Q135" i="5" s="1"/>
  <c r="Q134" i="5" a="1"/>
  <c r="Q134" i="5" s="1"/>
  <c r="Q133" i="5" a="1"/>
  <c r="Q133" i="5" s="1"/>
  <c r="Q132" i="5" a="1"/>
  <c r="Q132" i="5" s="1"/>
  <c r="Q131" i="5" a="1"/>
  <c r="Q131" i="5" s="1"/>
  <c r="Q130" i="5" a="1"/>
  <c r="Q130" i="5" s="1"/>
  <c r="Q129" i="5" a="1"/>
  <c r="Q129" i="5" s="1"/>
  <c r="Q128" i="5" a="1"/>
  <c r="Q128" i="5" s="1"/>
  <c r="Q127" i="5" a="1"/>
  <c r="Q127" i="5" s="1"/>
  <c r="Q126" i="5" a="1"/>
  <c r="Q126" i="5" s="1"/>
  <c r="Q125" i="5" a="1"/>
  <c r="Q125" i="5" s="1"/>
  <c r="Q124" i="5" a="1"/>
  <c r="Q124" i="5" s="1"/>
  <c r="Q123" i="5" a="1"/>
  <c r="Q123" i="5" s="1"/>
  <c r="Q122" i="5" a="1"/>
  <c r="Q122" i="5" s="1"/>
  <c r="Q121" i="5" a="1"/>
  <c r="Q121" i="5" s="1"/>
  <c r="Q120" i="5" a="1"/>
  <c r="Q120" i="5" s="1"/>
  <c r="Q119" i="5" a="1"/>
  <c r="Q119" i="5" s="1"/>
  <c r="Q118" i="5" a="1"/>
  <c r="Q118" i="5" s="1"/>
  <c r="Q117" i="5" a="1"/>
  <c r="Q117" i="5" s="1"/>
  <c r="Q116" i="5" a="1"/>
  <c r="Q116" i="5" s="1"/>
  <c r="Q115" i="5" a="1"/>
  <c r="Q115" i="5" s="1"/>
  <c r="Q114" i="5" a="1"/>
  <c r="Q114" i="5" s="1"/>
  <c r="Q113" i="5" a="1"/>
  <c r="Q113" i="5" s="1"/>
  <c r="Q112" i="5" a="1"/>
  <c r="Q112" i="5" s="1"/>
  <c r="Q111" i="5" a="1"/>
  <c r="Q111" i="5" s="1"/>
  <c r="Q110" i="5" a="1"/>
  <c r="Q110" i="5" s="1"/>
  <c r="Q109" i="5" a="1"/>
  <c r="Q109" i="5" s="1"/>
  <c r="Q108" i="5" a="1"/>
  <c r="Q108" i="5" s="1"/>
  <c r="Q107" i="5" a="1"/>
  <c r="Q107" i="5" s="1"/>
  <c r="Q106" i="5" a="1"/>
  <c r="Q106" i="5" s="1"/>
  <c r="Q105" i="5" a="1"/>
  <c r="Q105" i="5" s="1"/>
  <c r="Q104" i="5" a="1"/>
  <c r="Q104" i="5" s="1"/>
  <c r="Q103" i="5" a="1"/>
  <c r="Q103" i="5" s="1"/>
  <c r="Q102" i="5" a="1"/>
  <c r="Q102" i="5" s="1"/>
  <c r="Q101" i="5" a="1"/>
  <c r="Q101" i="5" s="1"/>
  <c r="Q100" i="5" a="1"/>
  <c r="Q100" i="5" s="1"/>
  <c r="Q99" i="5" a="1"/>
  <c r="Q99" i="5" s="1"/>
  <c r="Q98" i="5" a="1"/>
  <c r="Q98" i="5" s="1"/>
  <c r="Q97" i="5" a="1"/>
  <c r="Q97" i="5" s="1"/>
  <c r="Q96" i="5" a="1"/>
  <c r="Q96" i="5" s="1"/>
  <c r="Q95" i="5" a="1"/>
  <c r="Q95" i="5" s="1"/>
  <c r="Q94" i="5" a="1"/>
  <c r="Q94" i="5" s="1"/>
  <c r="Q93" i="5" a="1"/>
  <c r="Q93" i="5" s="1"/>
  <c r="Q92" i="5" a="1"/>
  <c r="Q92" i="5" s="1"/>
  <c r="Q91" i="5" a="1"/>
  <c r="Q91" i="5" s="1"/>
  <c r="Q90" i="5" a="1"/>
  <c r="Q90" i="5" s="1"/>
  <c r="Q89" i="5" a="1"/>
  <c r="Q89" i="5" s="1"/>
  <c r="Q88" i="5" a="1"/>
  <c r="Q88" i="5" s="1"/>
  <c r="Q87" i="5" a="1"/>
  <c r="Q87" i="5" s="1"/>
  <c r="Q86" i="5" a="1"/>
  <c r="Q86" i="5" s="1"/>
  <c r="Q85" i="5" a="1"/>
  <c r="Q85" i="5" s="1"/>
  <c r="Q84" i="5" a="1"/>
  <c r="Q84" i="5" s="1"/>
  <c r="Q83" i="5" a="1"/>
  <c r="Q83" i="5" s="1"/>
  <c r="Q82" i="5" a="1"/>
  <c r="Q82" i="5" s="1"/>
  <c r="Q81" i="5" a="1"/>
  <c r="Q81" i="5" s="1"/>
  <c r="Q80" i="5" a="1"/>
  <c r="Q80" i="5" s="1"/>
  <c r="Q79" i="5" a="1"/>
  <c r="Q79" i="5" s="1"/>
  <c r="Q78" i="5" a="1"/>
  <c r="Q78" i="5" s="1"/>
  <c r="Q77" i="5" a="1"/>
  <c r="Q77" i="5" s="1"/>
  <c r="Q76" i="5" a="1"/>
  <c r="Q76" i="5" s="1"/>
  <c r="Q75" i="5" a="1"/>
  <c r="Q75" i="5" s="1"/>
  <c r="Q74" i="5" a="1"/>
  <c r="Q74" i="5" s="1"/>
  <c r="Q73" i="5" a="1"/>
  <c r="Q73" i="5" s="1"/>
  <c r="Q72" i="5" a="1"/>
  <c r="Q72" i="5" s="1"/>
  <c r="Q71" i="5" a="1"/>
  <c r="Q71" i="5" s="1"/>
  <c r="Q70" i="5" a="1"/>
  <c r="Q70" i="5" s="1"/>
  <c r="Q69" i="5" a="1"/>
  <c r="Q69" i="5" s="1"/>
  <c r="Q68" i="5" a="1"/>
  <c r="Q68" i="5" s="1"/>
  <c r="Q67" i="5" a="1"/>
  <c r="Q67" i="5" s="1"/>
  <c r="Q66" i="5" a="1"/>
  <c r="Q66" i="5" s="1"/>
  <c r="Q65" i="5" a="1"/>
  <c r="Q65" i="5" s="1"/>
  <c r="Q64" i="5" a="1"/>
  <c r="Q64" i="5" s="1"/>
  <c r="Q63" i="5" a="1"/>
  <c r="Q63" i="5" s="1"/>
  <c r="Q62" i="5" a="1"/>
  <c r="Q62" i="5" s="1"/>
  <c r="Q61" i="5" a="1"/>
  <c r="Q61" i="5" s="1"/>
  <c r="Q60" i="5" a="1"/>
  <c r="Q60" i="5" s="1"/>
  <c r="Q59" i="5" a="1"/>
  <c r="Q59" i="5" s="1"/>
  <c r="Q58" i="5" a="1"/>
  <c r="Q58" i="5" s="1"/>
  <c r="Q57" i="5" a="1"/>
  <c r="Q57" i="5" s="1"/>
  <c r="Q56" i="5" a="1"/>
  <c r="Q56" i="5" s="1"/>
  <c r="Q55" i="5" a="1"/>
  <c r="Q55" i="5" s="1"/>
  <c r="Q54" i="5" a="1"/>
  <c r="Q54" i="5" s="1"/>
  <c r="Q53" i="5" a="1"/>
  <c r="Q53" i="5" s="1"/>
  <c r="Q52" i="5" a="1"/>
  <c r="Q52" i="5" s="1"/>
  <c r="Q51" i="5" a="1"/>
  <c r="Q51" i="5" s="1"/>
  <c r="Q50" i="5" a="1"/>
  <c r="Q50" i="5" s="1"/>
  <c r="Q49" i="5" a="1"/>
  <c r="Q49" i="5" s="1"/>
  <c r="Q48" i="5" a="1"/>
  <c r="Q48" i="5" s="1"/>
  <c r="Q47" i="5" a="1"/>
  <c r="Q47" i="5" s="1"/>
  <c r="Q46" i="5" a="1"/>
  <c r="Q46" i="5" s="1"/>
  <c r="Q45" i="5" a="1"/>
  <c r="Q45" i="5" s="1"/>
  <c r="Q44" i="5" a="1"/>
  <c r="Q44" i="5" s="1"/>
  <c r="Q43" i="5" a="1"/>
  <c r="Q43" i="5" s="1"/>
  <c r="Q42" i="5" a="1"/>
  <c r="Q42" i="5" s="1"/>
  <c r="Q41" i="5" a="1"/>
  <c r="Q41" i="5" s="1"/>
  <c r="Q40" i="5" a="1"/>
  <c r="Q40" i="5" s="1"/>
  <c r="Q39" i="5" a="1"/>
  <c r="Q39" i="5" s="1"/>
  <c r="Q38" i="5" a="1"/>
  <c r="Q38" i="5" s="1"/>
  <c r="Q37" i="5" a="1"/>
  <c r="Q37" i="5" s="1"/>
  <c r="Q36" i="5" a="1"/>
  <c r="Q36" i="5" s="1"/>
  <c r="Q35" i="5" a="1"/>
  <c r="Q35" i="5" s="1"/>
  <c r="Q34" i="5" a="1"/>
  <c r="Q34" i="5" s="1"/>
  <c r="Q33" i="5" a="1"/>
  <c r="Q33" i="5" s="1"/>
  <c r="Q32" i="5" a="1"/>
  <c r="Q32" i="5" s="1"/>
  <c r="Q31" i="5" a="1"/>
  <c r="Q31" i="5" s="1"/>
  <c r="Q30" i="5" a="1"/>
  <c r="Q30" i="5" s="1"/>
  <c r="Q29" i="5" a="1"/>
  <c r="Q29" i="5" s="1"/>
  <c r="Q28" i="5" a="1"/>
  <c r="Q28" i="5" s="1"/>
  <c r="Q27" i="5" a="1"/>
  <c r="Q27" i="5" s="1"/>
  <c r="Q26" i="5" a="1"/>
  <c r="Q26" i="5" s="1"/>
  <c r="Q25" i="5" a="1"/>
  <c r="Q25" i="5" s="1"/>
  <c r="Q24" i="5" a="1"/>
  <c r="Q24" i="5" s="1"/>
  <c r="Q23" i="5" a="1"/>
  <c r="Q23" i="5" s="1"/>
  <c r="Q22" i="5" a="1"/>
  <c r="Q22" i="5" s="1"/>
  <c r="Q21" i="5" a="1"/>
  <c r="Q21" i="5" s="1"/>
  <c r="Q20" i="5" a="1"/>
  <c r="Q20" i="5" s="1"/>
  <c r="Q19" i="5" a="1"/>
  <c r="Q19" i="5" s="1"/>
  <c r="Q18" i="5" a="1"/>
  <c r="Q18" i="5" s="1"/>
  <c r="Q17" i="5" a="1"/>
  <c r="Q17" i="5" s="1"/>
  <c r="Q16" i="5" a="1"/>
  <c r="Q16" i="5" s="1"/>
  <c r="Q15" i="5" a="1"/>
  <c r="Q15" i="5" s="1"/>
  <c r="Q14" i="5" a="1"/>
  <c r="Q14" i="5" s="1"/>
  <c r="Q13" i="5" a="1"/>
  <c r="Q13" i="5" s="1"/>
  <c r="Q12" i="5" a="1"/>
  <c r="Q12" i="5" s="1"/>
  <c r="Q11" i="5" a="1"/>
  <c r="Q11" i="5" s="1"/>
  <c r="Q10" i="5" a="1"/>
  <c r="Q10" i="5" s="1"/>
  <c r="Q9" i="5" a="1"/>
  <c r="Q9" i="5" s="1"/>
  <c r="Q8" i="5" a="1"/>
  <c r="Q8" i="5" s="1"/>
  <c r="Q7" i="5" a="1"/>
  <c r="Q7" i="5" s="1"/>
  <c r="Q6" i="5" a="1"/>
  <c r="Q6" i="5" s="1"/>
  <c r="Q5" i="5" a="1"/>
  <c r="Q5" i="5" s="1"/>
  <c r="Q4" i="5" a="1"/>
  <c r="Q4" i="5" s="1"/>
  <c r="Q3" i="5" a="1"/>
  <c r="Q3" i="5" s="1"/>
  <c r="Q866" i="5" a="1"/>
  <c r="Q866" i="5" s="1"/>
  <c r="Q865" i="5" a="1"/>
  <c r="Q865" i="5" s="1"/>
  <c r="Q864" i="5" a="1"/>
  <c r="Q864" i="5" s="1"/>
  <c r="Q863" i="5" a="1"/>
  <c r="Q863" i="5" s="1"/>
  <c r="Q862" i="5" a="1"/>
  <c r="Q862" i="5" s="1"/>
  <c r="Q861" i="5" a="1"/>
  <c r="Q861" i="5" s="1"/>
  <c r="Q860" i="5" a="1"/>
  <c r="Q860" i="5" s="1"/>
  <c r="Q859" i="5" a="1"/>
  <c r="Q859" i="5" s="1"/>
  <c r="Q858" i="5" a="1"/>
  <c r="Q858" i="5" s="1"/>
  <c r="Q857" i="5" a="1"/>
  <c r="Q857" i="5" s="1"/>
  <c r="Q856" i="5" a="1"/>
  <c r="Q856" i="5" s="1"/>
  <c r="Q855" i="5" a="1"/>
  <c r="Q855" i="5" s="1"/>
  <c r="Q854" i="5" a="1"/>
  <c r="Q854" i="5" s="1"/>
  <c r="Q853" i="5" a="1"/>
  <c r="Q853" i="5" s="1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W40" i="5" s="1"/>
  <c r="P40" i="5"/>
  <c r="P41" i="5"/>
  <c r="P42" i="5"/>
  <c r="P43" i="5"/>
  <c r="P44" i="5"/>
  <c r="X45" i="5" s="1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W95" i="5" s="1"/>
  <c r="P95" i="5"/>
  <c r="V96" i="5" s="1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W144" i="5" s="1"/>
  <c r="P144" i="5"/>
  <c r="P145" i="5"/>
  <c r="P146" i="5"/>
  <c r="P147" i="5"/>
  <c r="P148" i="5"/>
  <c r="P149" i="5"/>
  <c r="P150" i="5"/>
  <c r="P151" i="5"/>
  <c r="P152" i="5"/>
  <c r="P153" i="5"/>
  <c r="P154" i="5"/>
  <c r="P155" i="5"/>
  <c r="V156" i="5" s="1"/>
  <c r="P156" i="5"/>
  <c r="X157" i="5" s="1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W180" i="5" s="1"/>
  <c r="P180" i="5"/>
  <c r="X181" i="5" s="1"/>
  <c r="P181" i="5"/>
  <c r="P182" i="5"/>
  <c r="P183" i="5"/>
  <c r="P184" i="5"/>
  <c r="P185" i="5"/>
  <c r="P186" i="5"/>
  <c r="P187" i="5"/>
  <c r="P188" i="5"/>
  <c r="P189" i="5"/>
  <c r="P190" i="5"/>
  <c r="P191" i="5"/>
  <c r="W192" i="5" s="1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X205" i="5" s="1"/>
  <c r="P205" i="5"/>
  <c r="P206" i="5"/>
  <c r="P207" i="5"/>
  <c r="P208" i="5"/>
  <c r="P209" i="5"/>
  <c r="P210" i="5"/>
  <c r="P211" i="5"/>
  <c r="P212" i="5"/>
  <c r="P213" i="5"/>
  <c r="W214" i="5" s="1"/>
  <c r="P214" i="5"/>
  <c r="P215" i="5"/>
  <c r="P216" i="5"/>
  <c r="P217" i="5"/>
  <c r="P218" i="5"/>
  <c r="P219" i="5"/>
  <c r="P220" i="5"/>
  <c r="P221" i="5"/>
  <c r="P222" i="5"/>
  <c r="P223" i="5"/>
  <c r="V224" i="5" s="1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41" i="5"/>
  <c r="P242" i="5"/>
  <c r="P243" i="5"/>
  <c r="P244" i="5"/>
  <c r="P245" i="5"/>
  <c r="P246" i="5"/>
  <c r="P247" i="5"/>
  <c r="P248" i="5"/>
  <c r="P249" i="5"/>
  <c r="P250" i="5"/>
  <c r="P251" i="5"/>
  <c r="P252" i="5"/>
  <c r="X253" i="5" s="1"/>
  <c r="P253" i="5"/>
  <c r="V254" i="5" s="1"/>
  <c r="P254" i="5"/>
  <c r="P255" i="5"/>
  <c r="P256" i="5"/>
  <c r="P257" i="5"/>
  <c r="P258" i="5"/>
  <c r="P259" i="5"/>
  <c r="P260" i="5"/>
  <c r="P261" i="5"/>
  <c r="W262" i="5" s="1"/>
  <c r="P262" i="5"/>
  <c r="P263" i="5"/>
  <c r="P264" i="5"/>
  <c r="P265" i="5"/>
  <c r="P266" i="5"/>
  <c r="P267" i="5"/>
  <c r="P268" i="5"/>
  <c r="P269" i="5"/>
  <c r="P270" i="5"/>
  <c r="X271" i="5" s="1"/>
  <c r="P271" i="5"/>
  <c r="X272" i="5" s="1"/>
  <c r="P272" i="5"/>
  <c r="P273" i="5"/>
  <c r="P274" i="5"/>
  <c r="P275" i="5"/>
  <c r="P276" i="5"/>
  <c r="P277" i="5"/>
  <c r="P278" i="5"/>
  <c r="P279" i="5"/>
  <c r="P280" i="5"/>
  <c r="P281" i="5"/>
  <c r="W282" i="5" s="1"/>
  <c r="P282" i="5"/>
  <c r="P283" i="5"/>
  <c r="P284" i="5"/>
  <c r="P285" i="5"/>
  <c r="P286" i="5"/>
  <c r="P287" i="5"/>
  <c r="P288" i="5"/>
  <c r="P289" i="5"/>
  <c r="P290" i="5"/>
  <c r="P291" i="5"/>
  <c r="P292" i="5"/>
  <c r="P293" i="5"/>
  <c r="P294" i="5"/>
  <c r="P295" i="5"/>
  <c r="P296" i="5"/>
  <c r="P297" i="5"/>
  <c r="P298" i="5"/>
  <c r="P299" i="5"/>
  <c r="P300" i="5"/>
  <c r="P301" i="5"/>
  <c r="P302" i="5"/>
  <c r="P303" i="5"/>
  <c r="P304" i="5"/>
  <c r="P305" i="5"/>
  <c r="P306" i="5"/>
  <c r="P307" i="5"/>
  <c r="P308" i="5"/>
  <c r="X309" i="5" s="1"/>
  <c r="P309" i="5"/>
  <c r="P310" i="5"/>
  <c r="P311" i="5"/>
  <c r="P312" i="5"/>
  <c r="P313" i="5"/>
  <c r="P314" i="5"/>
  <c r="P315" i="5"/>
  <c r="P316" i="5"/>
  <c r="X317" i="5" s="1"/>
  <c r="P317" i="5"/>
  <c r="V318" i="5" s="1"/>
  <c r="P318" i="5"/>
  <c r="P319" i="5"/>
  <c r="P320" i="5"/>
  <c r="P321" i="5"/>
  <c r="P322" i="5"/>
  <c r="P323" i="5"/>
  <c r="P324" i="5"/>
  <c r="V325" i="5" s="1"/>
  <c r="P325" i="5"/>
  <c r="V326" i="5" s="1"/>
  <c r="P326" i="5"/>
  <c r="P327" i="5"/>
  <c r="P328" i="5"/>
  <c r="P329" i="5"/>
  <c r="P330" i="5"/>
  <c r="P331" i="5"/>
  <c r="P332" i="5"/>
  <c r="P333" i="5"/>
  <c r="P334" i="5"/>
  <c r="P335" i="5"/>
  <c r="P336" i="5"/>
  <c r="P337" i="5"/>
  <c r="P338" i="5"/>
  <c r="P339" i="5"/>
  <c r="P340" i="5"/>
  <c r="P341" i="5"/>
  <c r="P342" i="5"/>
  <c r="P343" i="5"/>
  <c r="P344" i="5"/>
  <c r="P345" i="5"/>
  <c r="P346" i="5"/>
  <c r="P347" i="5"/>
  <c r="P348" i="5"/>
  <c r="P349" i="5"/>
  <c r="P350" i="5"/>
  <c r="V351" i="5" s="1"/>
  <c r="P351" i="5"/>
  <c r="P352" i="5"/>
  <c r="P353" i="5"/>
  <c r="P354" i="5"/>
  <c r="P355" i="5"/>
  <c r="P356" i="5"/>
  <c r="P357" i="5"/>
  <c r="X358" i="5" s="1"/>
  <c r="P358" i="5"/>
  <c r="P359" i="5"/>
  <c r="P360" i="5"/>
  <c r="P361" i="5"/>
  <c r="P362" i="5"/>
  <c r="P363" i="5"/>
  <c r="P364" i="5"/>
  <c r="X365" i="5" s="1"/>
  <c r="P365" i="5"/>
  <c r="V366" i="5" s="1"/>
  <c r="P366" i="5"/>
  <c r="P367" i="5"/>
  <c r="P368" i="5"/>
  <c r="P369" i="5"/>
  <c r="P370" i="5"/>
  <c r="P371" i="5"/>
  <c r="V372" i="5" s="1"/>
  <c r="P372" i="5"/>
  <c r="P373" i="5"/>
  <c r="P374" i="5"/>
  <c r="P375" i="5"/>
  <c r="P376" i="5"/>
  <c r="P377" i="5"/>
  <c r="P378" i="5"/>
  <c r="P379" i="5"/>
  <c r="P380" i="5"/>
  <c r="P381" i="5"/>
  <c r="P382" i="5"/>
  <c r="P383" i="5"/>
  <c r="P384" i="5"/>
  <c r="P385" i="5"/>
  <c r="P386" i="5"/>
  <c r="P387" i="5"/>
  <c r="P388" i="5"/>
  <c r="P389" i="5"/>
  <c r="P390" i="5"/>
  <c r="P391" i="5"/>
  <c r="P392" i="5"/>
  <c r="P393" i="5"/>
  <c r="P394" i="5"/>
  <c r="P395" i="5"/>
  <c r="P396" i="5"/>
  <c r="P397" i="5"/>
  <c r="P398" i="5"/>
  <c r="P399" i="5"/>
  <c r="V400" i="5" s="1"/>
  <c r="P400" i="5"/>
  <c r="P401" i="5"/>
  <c r="P402" i="5"/>
  <c r="P403" i="5"/>
  <c r="P404" i="5"/>
  <c r="P405" i="5"/>
  <c r="V406" i="5" s="1"/>
  <c r="P406" i="5"/>
  <c r="W407" i="5" s="1"/>
  <c r="P407" i="5"/>
  <c r="P408" i="5"/>
  <c r="P409" i="5"/>
  <c r="P410" i="5"/>
  <c r="P411" i="5"/>
  <c r="P412" i="5"/>
  <c r="W413" i="5" s="1"/>
  <c r="P413" i="5"/>
  <c r="P414" i="5"/>
  <c r="P415" i="5"/>
  <c r="P416" i="5"/>
  <c r="P417" i="5"/>
  <c r="P418" i="5"/>
  <c r="P419" i="5"/>
  <c r="P420" i="5"/>
  <c r="P421" i="5"/>
  <c r="P422" i="5"/>
  <c r="P423" i="5"/>
  <c r="P424" i="5"/>
  <c r="P425" i="5"/>
  <c r="V426" i="5" s="1"/>
  <c r="P426" i="5"/>
  <c r="P427" i="5"/>
  <c r="P428" i="5"/>
  <c r="P429" i="5"/>
  <c r="P430" i="5"/>
  <c r="P431" i="5"/>
  <c r="X432" i="5" s="1"/>
  <c r="P432" i="5"/>
  <c r="X433" i="5" s="1"/>
  <c r="P433" i="5"/>
  <c r="P434" i="5"/>
  <c r="P435" i="5"/>
  <c r="P436" i="5"/>
  <c r="P437" i="5"/>
  <c r="P438" i="5"/>
  <c r="V439" i="5" s="1"/>
  <c r="P439" i="5"/>
  <c r="W440" i="5" s="1"/>
  <c r="P440" i="5"/>
  <c r="P441" i="5"/>
  <c r="P442" i="5"/>
  <c r="P443" i="5"/>
  <c r="P444" i="5"/>
  <c r="P445" i="5"/>
  <c r="W446" i="5" s="1"/>
  <c r="P446" i="5"/>
  <c r="P447" i="5"/>
  <c r="P448" i="5"/>
  <c r="P449" i="5"/>
  <c r="P450" i="5"/>
  <c r="P451" i="5"/>
  <c r="V452" i="5" s="1"/>
  <c r="P452" i="5"/>
  <c r="P453" i="5"/>
  <c r="P454" i="5"/>
  <c r="P455" i="5"/>
  <c r="P456" i="5"/>
  <c r="P457" i="5"/>
  <c r="V458" i="5" s="1"/>
  <c r="P458" i="5"/>
  <c r="P459" i="5"/>
  <c r="P460" i="5"/>
  <c r="P461" i="5"/>
  <c r="P462" i="5"/>
  <c r="X463" i="5" s="1"/>
  <c r="P463" i="5"/>
  <c r="X464" i="5" s="1"/>
  <c r="P464" i="5"/>
  <c r="P465" i="5"/>
  <c r="P466" i="5"/>
  <c r="P467" i="5"/>
  <c r="P468" i="5"/>
  <c r="V469" i="5" s="1"/>
  <c r="P469" i="5"/>
  <c r="P470" i="5"/>
  <c r="P471" i="5"/>
  <c r="P472" i="5"/>
  <c r="P473" i="5"/>
  <c r="V474" i="5" s="1"/>
  <c r="P474" i="5"/>
  <c r="P475" i="5"/>
  <c r="P476" i="5"/>
  <c r="P477" i="5"/>
  <c r="P478" i="5"/>
  <c r="P479" i="5"/>
  <c r="X480" i="5" s="1"/>
  <c r="P480" i="5"/>
  <c r="P481" i="5"/>
  <c r="P482" i="5"/>
  <c r="P483" i="5"/>
  <c r="P484" i="5"/>
  <c r="V485" i="5" s="1"/>
  <c r="P485" i="5"/>
  <c r="P486" i="5"/>
  <c r="P487" i="5"/>
  <c r="P488" i="5"/>
  <c r="P489" i="5"/>
  <c r="P490" i="5"/>
  <c r="P491" i="5"/>
  <c r="P492" i="5"/>
  <c r="P493" i="5"/>
  <c r="P494" i="5"/>
  <c r="X495" i="5" s="1"/>
  <c r="P495" i="5"/>
  <c r="P496" i="5"/>
  <c r="P497" i="5"/>
  <c r="P498" i="5"/>
  <c r="P499" i="5"/>
  <c r="P500" i="5"/>
  <c r="X501" i="5" s="1"/>
  <c r="P501" i="5"/>
  <c r="P502" i="5"/>
  <c r="P503" i="5"/>
  <c r="P504" i="5"/>
  <c r="P505" i="5"/>
  <c r="V506" i="5" s="1"/>
  <c r="P506" i="5"/>
  <c r="P507" i="5"/>
  <c r="P508" i="5"/>
  <c r="P509" i="5"/>
  <c r="P510" i="5"/>
  <c r="P511" i="5"/>
  <c r="P512" i="5"/>
  <c r="P513" i="5"/>
  <c r="P514" i="5"/>
  <c r="P515" i="5"/>
  <c r="P516" i="5"/>
  <c r="V517" i="5" s="1"/>
  <c r="P517" i="5"/>
  <c r="P518" i="5"/>
  <c r="P519" i="5"/>
  <c r="P520" i="5"/>
  <c r="P521" i="5"/>
  <c r="V522" i="5" s="1"/>
  <c r="P522" i="5"/>
  <c r="P523" i="5"/>
  <c r="P524" i="5"/>
  <c r="P525" i="5"/>
  <c r="P526" i="5"/>
  <c r="X527" i="5" s="1"/>
  <c r="P527" i="5"/>
  <c r="X528" i="5" s="1"/>
  <c r="P528" i="5"/>
  <c r="P529" i="5"/>
  <c r="P530" i="5"/>
  <c r="P531" i="5"/>
  <c r="P532" i="5"/>
  <c r="W533" i="5" s="1"/>
  <c r="P533" i="5"/>
  <c r="P534" i="5"/>
  <c r="P535" i="5"/>
  <c r="P536" i="5"/>
  <c r="P537" i="5"/>
  <c r="V538" i="5" s="1"/>
  <c r="P538" i="5"/>
  <c r="P539" i="5"/>
  <c r="P540" i="5"/>
  <c r="P541" i="5"/>
  <c r="P542" i="5"/>
  <c r="X543" i="5" s="1"/>
  <c r="P543" i="5"/>
  <c r="X544" i="5" s="1"/>
  <c r="P544" i="5"/>
  <c r="P545" i="5"/>
  <c r="P546" i="5"/>
  <c r="P547" i="5"/>
  <c r="P548" i="5"/>
  <c r="V549" i="5" s="1"/>
  <c r="P549" i="5"/>
  <c r="P550" i="5"/>
  <c r="P551" i="5"/>
  <c r="P552" i="5"/>
  <c r="P553" i="5"/>
  <c r="V554" i="5" s="1"/>
  <c r="P554" i="5"/>
  <c r="P555" i="5"/>
  <c r="P556" i="5"/>
  <c r="P557" i="5"/>
  <c r="P558" i="5"/>
  <c r="X559" i="5" s="1"/>
  <c r="P559" i="5"/>
  <c r="X560" i="5" s="1"/>
  <c r="P560" i="5"/>
  <c r="P561" i="5"/>
  <c r="P562" i="5"/>
  <c r="P563" i="5"/>
  <c r="P564" i="5"/>
  <c r="V565" i="5" s="1"/>
  <c r="P565" i="5"/>
  <c r="P566" i="5"/>
  <c r="P567" i="5"/>
  <c r="P568" i="5"/>
  <c r="P569" i="5"/>
  <c r="V570" i="5" s="1"/>
  <c r="P570" i="5"/>
  <c r="P571" i="5"/>
  <c r="P572" i="5"/>
  <c r="P573" i="5"/>
  <c r="P574" i="5"/>
  <c r="X575" i="5" s="1"/>
  <c r="P575" i="5"/>
  <c r="X576" i="5" s="1"/>
  <c r="P576" i="5"/>
  <c r="P577" i="5"/>
  <c r="P578" i="5"/>
  <c r="P579" i="5"/>
  <c r="P580" i="5"/>
  <c r="V581" i="5" s="1"/>
  <c r="P581" i="5"/>
  <c r="P582" i="5"/>
  <c r="P583" i="5"/>
  <c r="P584" i="5"/>
  <c r="P585" i="5"/>
  <c r="V586" i="5" s="1"/>
  <c r="P586" i="5"/>
  <c r="P587" i="5"/>
  <c r="P588" i="5"/>
  <c r="P589" i="5"/>
  <c r="P590" i="5"/>
  <c r="P591" i="5"/>
  <c r="X592" i="5" s="1"/>
  <c r="P592" i="5"/>
  <c r="P593" i="5"/>
  <c r="P594" i="5"/>
  <c r="P595" i="5"/>
  <c r="P596" i="5"/>
  <c r="V597" i="5" s="1"/>
  <c r="P597" i="5"/>
  <c r="P598" i="5"/>
  <c r="P599" i="5"/>
  <c r="P600" i="5"/>
  <c r="P601" i="5"/>
  <c r="V602" i="5" s="1"/>
  <c r="P602" i="5"/>
  <c r="P603" i="5"/>
  <c r="P604" i="5"/>
  <c r="P605" i="5"/>
  <c r="P606" i="5"/>
  <c r="X607" i="5" s="1"/>
  <c r="P607" i="5"/>
  <c r="X608" i="5" s="1"/>
  <c r="P608" i="5"/>
  <c r="P609" i="5"/>
  <c r="P610" i="5"/>
  <c r="P611" i="5"/>
  <c r="P612" i="5"/>
  <c r="V613" i="5" s="1"/>
  <c r="P613" i="5"/>
  <c r="P614" i="5"/>
  <c r="P615" i="5"/>
  <c r="V616" i="5" s="1"/>
  <c r="P616" i="5"/>
  <c r="P617" i="5"/>
  <c r="V618" i="5" s="1"/>
  <c r="P618" i="5"/>
  <c r="P619" i="5"/>
  <c r="P620" i="5"/>
  <c r="P621" i="5" s="1"/>
  <c r="P622" i="5" s="1"/>
  <c r="P623" i="5" s="1"/>
  <c r="P624" i="5" s="1"/>
  <c r="P625" i="5" s="1"/>
  <c r="P626" i="5" s="1"/>
  <c r="P627" i="5" s="1"/>
  <c r="P628" i="5" s="1"/>
  <c r="P629" i="5" s="1"/>
  <c r="P630" i="5" s="1"/>
  <c r="P631" i="5" s="1"/>
  <c r="P632" i="5" s="1"/>
  <c r="P633" i="5" s="1"/>
  <c r="P634" i="5" s="1"/>
  <c r="P635" i="5" s="1"/>
  <c r="P636" i="5" s="1"/>
  <c r="P637" i="5" s="1"/>
  <c r="P638" i="5" s="1"/>
  <c r="P639" i="5" s="1"/>
  <c r="P640" i="5" s="1"/>
  <c r="P641" i="5" s="1"/>
  <c r="P642" i="5" s="1"/>
  <c r="P643" i="5" s="1"/>
  <c r="P644" i="5" s="1"/>
  <c r="P645" i="5" s="1"/>
  <c r="P646" i="5" s="1"/>
  <c r="P647" i="5" s="1"/>
  <c r="P648" i="5" s="1"/>
  <c r="P649" i="5" s="1"/>
  <c r="P650" i="5" s="1"/>
  <c r="P651" i="5" s="1"/>
  <c r="P652" i="5" s="1"/>
  <c r="P653" i="5" s="1"/>
  <c r="P654" i="5" s="1"/>
  <c r="P655" i="5" s="1"/>
  <c r="P656" i="5" s="1"/>
  <c r="P657" i="5" s="1"/>
  <c r="P658" i="5" s="1"/>
  <c r="P659" i="5" s="1"/>
  <c r="P660" i="5" s="1"/>
  <c r="P661" i="5" s="1"/>
  <c r="P662" i="5" s="1"/>
  <c r="P663" i="5" s="1"/>
  <c r="P664" i="5" s="1"/>
  <c r="P665" i="5" s="1"/>
  <c r="P666" i="5" s="1"/>
  <c r="P667" i="5" s="1"/>
  <c r="P668" i="5" s="1"/>
  <c r="P669" i="5" s="1"/>
  <c r="P670" i="5" s="1"/>
  <c r="P671" i="5" s="1"/>
  <c r="P672" i="5" s="1"/>
  <c r="P673" i="5" s="1"/>
  <c r="P674" i="5" s="1"/>
  <c r="P675" i="5" s="1"/>
  <c r="P676" i="5" s="1"/>
  <c r="P677" i="5" s="1"/>
  <c r="P678" i="5" s="1"/>
  <c r="P679" i="5" s="1"/>
  <c r="P680" i="5" s="1"/>
  <c r="P681" i="5" s="1"/>
  <c r="P682" i="5" s="1"/>
  <c r="P683" i="5" s="1"/>
  <c r="P684" i="5" s="1"/>
  <c r="P685" i="5"/>
  <c r="V686" i="5" s="1"/>
  <c r="P686" i="5"/>
  <c r="V687" i="5" s="1"/>
  <c r="P687" i="5"/>
  <c r="X688" i="5" s="1"/>
  <c r="P688" i="5"/>
  <c r="P689" i="5"/>
  <c r="P690" i="5"/>
  <c r="V691" i="5" s="1"/>
  <c r="P691" i="5"/>
  <c r="V692" i="5" s="1"/>
  <c r="P692" i="5"/>
  <c r="W693" i="5" s="1"/>
  <c r="P693" i="5"/>
  <c r="P694" i="5"/>
  <c r="V695" i="5" s="1"/>
  <c r="P695" i="5"/>
  <c r="V696" i="5" s="1"/>
  <c r="P696" i="5"/>
  <c r="P697" i="5"/>
  <c r="P698" i="5"/>
  <c r="W699" i="5" s="1"/>
  <c r="P699" i="5"/>
  <c r="V700" i="5" s="1"/>
  <c r="P700" i="5"/>
  <c r="V701" i="5" s="1"/>
  <c r="P701" i="5"/>
  <c r="V702" i="5" s="1"/>
  <c r="P702" i="5"/>
  <c r="V703" i="5" s="1"/>
  <c r="P703" i="5"/>
  <c r="X704" i="5" s="1"/>
  <c r="P704" i="5"/>
  <c r="P705" i="5"/>
  <c r="P706" i="5"/>
  <c r="V707" i="5" s="1"/>
  <c r="P707" i="5"/>
  <c r="V708" i="5" s="1"/>
  <c r="P708" i="5"/>
  <c r="V709" i="5" s="1"/>
  <c r="P709" i="5"/>
  <c r="V710" i="5" s="1"/>
  <c r="P710" i="5"/>
  <c r="P711" i="5"/>
  <c r="V712" i="5" s="1"/>
  <c r="P712" i="5"/>
  <c r="P713" i="5"/>
  <c r="P714" i="5"/>
  <c r="W715" i="5" s="1"/>
  <c r="P715" i="5"/>
  <c r="V716" i="5" s="1"/>
  <c r="P716" i="5"/>
  <c r="V717" i="5" s="1"/>
  <c r="P717" i="5"/>
  <c r="V718" i="5" s="1"/>
  <c r="P718" i="5"/>
  <c r="V719" i="5" s="1"/>
  <c r="P719" i="5"/>
  <c r="X720" i="5" s="1"/>
  <c r="P720" i="5"/>
  <c r="P721" i="5"/>
  <c r="V722" i="5" s="1"/>
  <c r="P722" i="5"/>
  <c r="V723" i="5" s="1"/>
  <c r="P723" i="5"/>
  <c r="V724" i="5" s="1"/>
  <c r="P724" i="5"/>
  <c r="V725" i="5" s="1"/>
  <c r="P725" i="5"/>
  <c r="V726" i="5" s="1"/>
  <c r="P726" i="5"/>
  <c r="P727" i="5"/>
  <c r="V728" i="5" s="1"/>
  <c r="P728" i="5"/>
  <c r="P729" i="5"/>
  <c r="P730" i="5"/>
  <c r="W731" i="5" s="1"/>
  <c r="P731" i="5"/>
  <c r="V732" i="5" s="1"/>
  <c r="P732" i="5"/>
  <c r="V733" i="5" s="1"/>
  <c r="P733" i="5"/>
  <c r="P734" i="5"/>
  <c r="V735" i="5" s="1"/>
  <c r="P735" i="5"/>
  <c r="X736" i="5" s="1"/>
  <c r="P736" i="5"/>
  <c r="V737" i="5" s="1"/>
  <c r="P737" i="5"/>
  <c r="V738" i="5" s="1"/>
  <c r="P738" i="5"/>
  <c r="V739" i="5" s="1"/>
  <c r="P739" i="5"/>
  <c r="V740" i="5" s="1"/>
  <c r="P740" i="5"/>
  <c r="V741" i="5" s="1"/>
  <c r="P741" i="5"/>
  <c r="V742" i="5" s="1"/>
  <c r="P742" i="5"/>
  <c r="V743" i="5" s="1"/>
  <c r="P743" i="5"/>
  <c r="V744" i="5" s="1"/>
  <c r="P744" i="5"/>
  <c r="P745" i="5"/>
  <c r="P746" i="5"/>
  <c r="W747" i="5" s="1"/>
  <c r="P747" i="5"/>
  <c r="V748" i="5" s="1"/>
  <c r="P748" i="5"/>
  <c r="V749" i="5" s="1"/>
  <c r="P749" i="5"/>
  <c r="V750" i="5" s="1"/>
  <c r="P750" i="5"/>
  <c r="V751" i="5" s="1"/>
  <c r="P751" i="5"/>
  <c r="X752" i="5" s="1"/>
  <c r="P752" i="5"/>
  <c r="V753" i="5" s="1"/>
  <c r="P753" i="5"/>
  <c r="P754" i="5"/>
  <c r="V755" i="5" s="1"/>
  <c r="P755" i="5"/>
  <c r="V756" i="5" s="1"/>
  <c r="P756" i="5"/>
  <c r="P757" i="5"/>
  <c r="P758" i="5"/>
  <c r="V759" i="5" s="1"/>
  <c r="P759" i="5"/>
  <c r="V760" i="5" s="1"/>
  <c r="P760" i="5"/>
  <c r="V761" i="5" s="1"/>
  <c r="P761" i="5"/>
  <c r="P762" i="5"/>
  <c r="W763" i="5" s="1"/>
  <c r="P763" i="5"/>
  <c r="V764" i="5" s="1"/>
  <c r="P764" i="5"/>
  <c r="V765" i="5" s="1"/>
  <c r="P765" i="5"/>
  <c r="V766" i="5" s="1"/>
  <c r="P766" i="5"/>
  <c r="V767" i="5" s="1"/>
  <c r="P767" i="5"/>
  <c r="X768" i="5" s="1"/>
  <c r="P768" i="5"/>
  <c r="P769" i="5"/>
  <c r="P770" i="5"/>
  <c r="V771" i="5" s="1"/>
  <c r="P771" i="5"/>
  <c r="V772" i="5" s="1"/>
  <c r="P772" i="5"/>
  <c r="V773" i="5" s="1"/>
  <c r="P773" i="5"/>
  <c r="P774" i="5"/>
  <c r="P775" i="5"/>
  <c r="V776" i="5" s="1"/>
  <c r="P776" i="5"/>
  <c r="P777" i="5"/>
  <c r="P778" i="5"/>
  <c r="W779" i="5" s="1"/>
  <c r="P779" i="5"/>
  <c r="V780" i="5" s="1"/>
  <c r="P780" i="5"/>
  <c r="V781" i="5" s="1"/>
  <c r="P781" i="5"/>
  <c r="V782" i="5" s="1"/>
  <c r="P782" i="5"/>
  <c r="V783" i="5" s="1"/>
  <c r="P783" i="5"/>
  <c r="X784" i="5" s="1"/>
  <c r="P784" i="5"/>
  <c r="P785" i="5"/>
  <c r="V786" i="5" s="1"/>
  <c r="P786" i="5"/>
  <c r="V787" i="5" s="1"/>
  <c r="P787" i="5"/>
  <c r="V788" i="5" s="1"/>
  <c r="P788" i="5"/>
  <c r="V789" i="5" s="1"/>
  <c r="P789" i="5"/>
  <c r="V790" i="5" s="1"/>
  <c r="P790" i="5"/>
  <c r="V791" i="5" s="1"/>
  <c r="P791" i="5"/>
  <c r="V792" i="5" s="1"/>
  <c r="P792" i="5"/>
  <c r="V793" i="5" s="1"/>
  <c r="P793" i="5"/>
  <c r="P794" i="5"/>
  <c r="W795" i="5" s="1"/>
  <c r="P795" i="5"/>
  <c r="V796" i="5" s="1"/>
  <c r="P796" i="5"/>
  <c r="V797" i="5" s="1"/>
  <c r="P797" i="5"/>
  <c r="V798" i="5" s="1"/>
  <c r="P798" i="5"/>
  <c r="V799" i="5" s="1"/>
  <c r="P799" i="5"/>
  <c r="X800" i="5" s="1"/>
  <c r="P800" i="5"/>
  <c r="P801" i="5"/>
  <c r="V802" i="5" s="1"/>
  <c r="P802" i="5"/>
  <c r="P803" i="5" s="1"/>
  <c r="P804" i="5" s="1"/>
  <c r="P805" i="5" s="1"/>
  <c r="P806" i="5" s="1"/>
  <c r="P807" i="5" s="1"/>
  <c r="P808" i="5" s="1"/>
  <c r="P809" i="5" s="1"/>
  <c r="P810" i="5" s="1"/>
  <c r="P811" i="5" s="1"/>
  <c r="P812" i="5" s="1"/>
  <c r="P813" i="5" s="1"/>
  <c r="P814" i="5" s="1"/>
  <c r="P815" i="5" s="1"/>
  <c r="P816" i="5" s="1"/>
  <c r="P817" i="5" s="1"/>
  <c r="P818" i="5" s="1"/>
  <c r="P819" i="5" s="1"/>
  <c r="P820" i="5" s="1"/>
  <c r="P821" i="5" s="1"/>
  <c r="P822" i="5" s="1"/>
  <c r="P823" i="5" s="1"/>
  <c r="P824" i="5" s="1"/>
  <c r="P825" i="5" s="1"/>
  <c r="P826" i="5" s="1"/>
  <c r="P827" i="5" s="1"/>
  <c r="P828" i="5" s="1"/>
  <c r="P829" i="5" s="1"/>
  <c r="P830" i="5" s="1"/>
  <c r="P831" i="5" s="1"/>
  <c r="P832" i="5" s="1"/>
  <c r="P833" i="5" s="1"/>
  <c r="P834" i="5" s="1"/>
  <c r="P835" i="5" s="1"/>
  <c r="P836" i="5" s="1"/>
  <c r="P837" i="5" s="1"/>
  <c r="P838" i="5" s="1"/>
  <c r="P839" i="5" s="1"/>
  <c r="P840" i="5" s="1"/>
  <c r="P841" i="5"/>
  <c r="W842" i="5" s="1"/>
  <c r="P842" i="5"/>
  <c r="P843" i="5" s="1"/>
  <c r="P844" i="5"/>
  <c r="V845" i="5" s="1"/>
  <c r="P845" i="5"/>
  <c r="P846" i="5"/>
  <c r="V847" i="5" s="1"/>
  <c r="P847" i="5"/>
  <c r="P848" i="5"/>
  <c r="P849" i="5"/>
  <c r="V850" i="5" s="1"/>
  <c r="P850" i="5"/>
  <c r="V851" i="5" s="1"/>
  <c r="P851" i="5"/>
  <c r="V852" i="5" s="1"/>
  <c r="P852" i="5"/>
  <c r="V853" i="5" s="1"/>
  <c r="P853" i="5"/>
  <c r="V854" i="5" s="1"/>
  <c r="P854" i="5"/>
  <c r="P855" i="5" s="1"/>
  <c r="P856" i="5" s="1"/>
  <c r="P857" i="5" s="1"/>
  <c r="P858" i="5" s="1"/>
  <c r="P859" i="5" s="1"/>
  <c r="P860" i="5" s="1"/>
  <c r="P861" i="5" s="1"/>
  <c r="P862" i="5" s="1"/>
  <c r="P863" i="5" s="1"/>
  <c r="P864" i="5" s="1"/>
  <c r="P865" i="5" s="1"/>
  <c r="P866" i="5" s="1"/>
  <c r="P4" i="5"/>
  <c r="V5" i="5" s="1"/>
  <c r="V4" i="5"/>
  <c r="W4" i="5"/>
  <c r="X4" i="5"/>
  <c r="X439" i="5"/>
  <c r="X3" i="5"/>
  <c r="W3" i="5"/>
  <c r="V3" i="5"/>
  <c r="V51" i="5"/>
  <c r="V108" i="5"/>
  <c r="X132" i="5"/>
  <c r="X143" i="5"/>
  <c r="W168" i="5"/>
  <c r="V169" i="5"/>
  <c r="V204" i="5"/>
  <c r="X233" i="5"/>
  <c r="V234" i="5"/>
  <c r="X244" i="5"/>
  <c r="V252" i="5"/>
  <c r="V281" i="5"/>
  <c r="X291" i="5"/>
  <c r="W300" i="5"/>
  <c r="X316" i="5"/>
  <c r="W334" i="5"/>
  <c r="W342" i="5"/>
  <c r="X364" i="5"/>
  <c r="X387" i="5"/>
  <c r="X394" i="5"/>
  <c r="V420" i="5"/>
  <c r="V490" i="5"/>
  <c r="X496" i="5"/>
  <c r="X512" i="5"/>
  <c r="V689" i="5"/>
  <c r="V690" i="5"/>
  <c r="V694" i="5"/>
  <c r="V697" i="5"/>
  <c r="V705" i="5"/>
  <c r="V706" i="5"/>
  <c r="V711" i="5"/>
  <c r="V713" i="5"/>
  <c r="V721" i="5"/>
  <c r="V727" i="5"/>
  <c r="V729" i="5"/>
  <c r="V734" i="5"/>
  <c r="V745" i="5"/>
  <c r="V754" i="5"/>
  <c r="V757" i="5"/>
  <c r="V758" i="5"/>
  <c r="V769" i="5"/>
  <c r="V770" i="5"/>
  <c r="V774" i="5"/>
  <c r="V775" i="5"/>
  <c r="V777" i="5"/>
  <c r="V785" i="5"/>
  <c r="V801" i="5"/>
  <c r="V848" i="5"/>
  <c r="V849" i="5"/>
  <c r="C16" i="1" a="1"/>
  <c r="C16" i="1" s="1"/>
  <c r="B4098" i="4"/>
  <c r="B4097" i="4"/>
  <c r="B4096" i="4"/>
  <c r="B4095" i="4"/>
  <c r="B4094" i="4"/>
  <c r="B4093" i="4"/>
  <c r="B4092" i="4"/>
  <c r="B4091" i="4"/>
  <c r="B4090" i="4"/>
  <c r="B4089" i="4"/>
  <c r="B4088" i="4"/>
  <c r="B4087" i="4"/>
  <c r="B4086" i="4"/>
  <c r="B4085" i="4"/>
  <c r="B4084" i="4"/>
  <c r="B4083" i="4"/>
  <c r="B4082" i="4"/>
  <c r="B4081" i="4"/>
  <c r="B4080" i="4"/>
  <c r="B4079" i="4"/>
  <c r="B4078" i="4"/>
  <c r="B4077" i="4"/>
  <c r="B4076" i="4"/>
  <c r="B4075" i="4"/>
  <c r="B4074" i="4"/>
  <c r="B4073" i="4"/>
  <c r="B4072" i="4"/>
  <c r="B4071" i="4"/>
  <c r="B4070" i="4"/>
  <c r="B4069" i="4"/>
  <c r="B4068" i="4"/>
  <c r="B4067" i="4"/>
  <c r="B4066" i="4"/>
  <c r="B4065" i="4"/>
  <c r="B4064" i="4"/>
  <c r="B4063" i="4"/>
  <c r="B4062" i="4"/>
  <c r="B4061" i="4"/>
  <c r="B4060" i="4"/>
  <c r="B4059" i="4"/>
  <c r="B4058" i="4"/>
  <c r="B4057" i="4"/>
  <c r="B4056" i="4"/>
  <c r="B4055" i="4"/>
  <c r="B4054" i="4"/>
  <c r="B4053" i="4"/>
  <c r="B4052" i="4"/>
  <c r="B4051" i="4"/>
  <c r="B4050" i="4"/>
  <c r="B4049" i="4"/>
  <c r="B4048" i="4"/>
  <c r="B4047" i="4"/>
  <c r="B4046" i="4"/>
  <c r="B4045" i="4"/>
  <c r="B4044" i="4"/>
  <c r="B4043" i="4"/>
  <c r="B4042" i="4"/>
  <c r="B4041" i="4"/>
  <c r="B4040" i="4"/>
  <c r="B4039" i="4"/>
  <c r="B4038" i="4"/>
  <c r="B4037" i="4"/>
  <c r="B4036" i="4"/>
  <c r="B4035" i="4"/>
  <c r="B4034" i="4"/>
  <c r="B4033" i="4"/>
  <c r="B4032" i="4"/>
  <c r="B4031" i="4"/>
  <c r="B4030" i="4"/>
  <c r="B4029" i="4"/>
  <c r="B4028" i="4"/>
  <c r="B4027" i="4"/>
  <c r="B4026" i="4"/>
  <c r="B4025" i="4"/>
  <c r="B4024" i="4"/>
  <c r="B4023" i="4"/>
  <c r="B4022" i="4"/>
  <c r="B4021" i="4"/>
  <c r="B4020" i="4"/>
  <c r="B4019" i="4"/>
  <c r="B4018" i="4"/>
  <c r="B4017" i="4"/>
  <c r="B4016" i="4"/>
  <c r="B4015" i="4"/>
  <c r="B4014" i="4"/>
  <c r="B4013" i="4"/>
  <c r="B4012" i="4"/>
  <c r="B4011" i="4"/>
  <c r="B4010" i="4"/>
  <c r="B4009" i="4"/>
  <c r="B4008" i="4"/>
  <c r="B4007" i="4"/>
  <c r="B4006" i="4"/>
  <c r="B4005" i="4"/>
  <c r="B4004" i="4"/>
  <c r="B4003" i="4"/>
  <c r="B4002" i="4"/>
  <c r="B4001" i="4"/>
  <c r="B4000" i="4"/>
  <c r="B3999" i="4"/>
  <c r="B3998" i="4"/>
  <c r="B3997" i="4"/>
  <c r="B3996" i="4"/>
  <c r="B3995" i="4"/>
  <c r="B3994" i="4"/>
  <c r="B3993" i="4"/>
  <c r="B3992" i="4"/>
  <c r="B3991" i="4"/>
  <c r="B3990" i="4"/>
  <c r="B3989" i="4"/>
  <c r="B3988" i="4"/>
  <c r="B3987" i="4"/>
  <c r="B3986" i="4"/>
  <c r="B3985" i="4"/>
  <c r="B3984" i="4"/>
  <c r="B3983" i="4"/>
  <c r="B3982" i="4"/>
  <c r="B3981" i="4"/>
  <c r="B3980" i="4"/>
  <c r="B3979" i="4"/>
  <c r="B3978" i="4"/>
  <c r="B3977" i="4"/>
  <c r="B3976" i="4"/>
  <c r="B3975" i="4"/>
  <c r="B3974" i="4"/>
  <c r="B3973" i="4"/>
  <c r="B3972" i="4"/>
  <c r="B3971" i="4"/>
  <c r="B3970" i="4"/>
  <c r="B3969" i="4"/>
  <c r="B3968" i="4"/>
  <c r="B3967" i="4"/>
  <c r="B3966" i="4"/>
  <c r="B3965" i="4"/>
  <c r="B3964" i="4"/>
  <c r="B3963" i="4"/>
  <c r="B3962" i="4"/>
  <c r="B3961" i="4"/>
  <c r="B3960" i="4"/>
  <c r="B3959" i="4"/>
  <c r="B3958" i="4"/>
  <c r="B3957" i="4"/>
  <c r="B3956" i="4"/>
  <c r="B3955" i="4"/>
  <c r="B3954" i="4"/>
  <c r="B3953" i="4"/>
  <c r="B3952" i="4"/>
  <c r="B3951" i="4"/>
  <c r="B3950" i="4"/>
  <c r="B3949" i="4"/>
  <c r="B3948" i="4"/>
  <c r="B3947" i="4"/>
  <c r="B3946" i="4"/>
  <c r="B3945" i="4"/>
  <c r="B3944" i="4"/>
  <c r="B3943" i="4"/>
  <c r="B3942" i="4"/>
  <c r="B3941" i="4"/>
  <c r="B3940" i="4"/>
  <c r="B3939" i="4"/>
  <c r="B3938" i="4"/>
  <c r="B3937" i="4"/>
  <c r="B3936" i="4"/>
  <c r="B3935" i="4"/>
  <c r="B3934" i="4"/>
  <c r="B3933" i="4"/>
  <c r="B3932" i="4"/>
  <c r="B3931" i="4"/>
  <c r="B3930" i="4"/>
  <c r="B3929" i="4"/>
  <c r="B3928" i="4"/>
  <c r="B3927" i="4"/>
  <c r="B3926" i="4"/>
  <c r="B3925" i="4"/>
  <c r="B3924" i="4"/>
  <c r="B3923" i="4"/>
  <c r="B3922" i="4"/>
  <c r="B3921" i="4"/>
  <c r="B3920" i="4"/>
  <c r="B3919" i="4"/>
  <c r="B3918" i="4"/>
  <c r="B3917" i="4"/>
  <c r="B3916" i="4"/>
  <c r="B3915" i="4"/>
  <c r="B3914" i="4"/>
  <c r="B3913" i="4"/>
  <c r="B3912" i="4"/>
  <c r="B3911" i="4"/>
  <c r="B3910" i="4"/>
  <c r="B3909" i="4"/>
  <c r="B3908" i="4"/>
  <c r="B3907" i="4"/>
  <c r="B3906" i="4"/>
  <c r="B3905" i="4"/>
  <c r="B3904" i="4"/>
  <c r="B3903" i="4"/>
  <c r="B3902" i="4"/>
  <c r="B3901" i="4"/>
  <c r="B3900" i="4"/>
  <c r="B3899" i="4"/>
  <c r="B3898" i="4"/>
  <c r="B3897" i="4"/>
  <c r="B3896" i="4"/>
  <c r="B3895" i="4"/>
  <c r="B3894" i="4"/>
  <c r="B3893" i="4"/>
  <c r="B3892" i="4"/>
  <c r="B3891" i="4"/>
  <c r="B3890" i="4"/>
  <c r="B3889" i="4"/>
  <c r="B3888" i="4"/>
  <c r="B3887" i="4"/>
  <c r="B3886" i="4"/>
  <c r="B3885" i="4"/>
  <c r="B3884" i="4"/>
  <c r="B3883" i="4"/>
  <c r="B3882" i="4"/>
  <c r="B3881" i="4"/>
  <c r="B3880" i="4"/>
  <c r="B3879" i="4"/>
  <c r="B3878" i="4"/>
  <c r="B3877" i="4"/>
  <c r="B3876" i="4"/>
  <c r="B3875" i="4"/>
  <c r="B3874" i="4"/>
  <c r="B3873" i="4"/>
  <c r="B3872" i="4"/>
  <c r="B3871" i="4"/>
  <c r="B3870" i="4"/>
  <c r="B3869" i="4"/>
  <c r="B3868" i="4"/>
  <c r="B3867" i="4"/>
  <c r="B3866" i="4"/>
  <c r="B3865" i="4"/>
  <c r="B3864" i="4"/>
  <c r="B3863" i="4"/>
  <c r="B3862" i="4"/>
  <c r="B3861" i="4"/>
  <c r="B3860" i="4"/>
  <c r="B3859" i="4"/>
  <c r="B3858" i="4"/>
  <c r="B3857" i="4"/>
  <c r="B3856" i="4"/>
  <c r="B3855" i="4"/>
  <c r="B3854" i="4"/>
  <c r="B3853" i="4"/>
  <c r="B3852" i="4"/>
  <c r="B3851" i="4"/>
  <c r="B3850" i="4"/>
  <c r="B3849" i="4"/>
  <c r="B3848" i="4"/>
  <c r="B3847" i="4"/>
  <c r="B3846" i="4"/>
  <c r="B3845" i="4"/>
  <c r="B3844" i="4"/>
  <c r="B3843" i="4"/>
  <c r="B3842" i="4"/>
  <c r="B3841" i="4"/>
  <c r="B3840" i="4"/>
  <c r="B3839" i="4"/>
  <c r="B3838" i="4"/>
  <c r="B3837" i="4"/>
  <c r="B3836" i="4"/>
  <c r="B3835" i="4"/>
  <c r="B3834" i="4"/>
  <c r="B3833" i="4"/>
  <c r="B3832" i="4"/>
  <c r="B3831" i="4"/>
  <c r="B3830" i="4"/>
  <c r="B3829" i="4"/>
  <c r="B3828" i="4"/>
  <c r="B3827" i="4"/>
  <c r="B3826" i="4"/>
  <c r="B3825" i="4"/>
  <c r="B3824" i="4"/>
  <c r="B3823" i="4"/>
  <c r="B3822" i="4"/>
  <c r="B3821" i="4"/>
  <c r="B3820" i="4"/>
  <c r="B3819" i="4"/>
  <c r="B3818" i="4"/>
  <c r="B3817" i="4"/>
  <c r="B3816" i="4"/>
  <c r="B3815" i="4"/>
  <c r="B3814" i="4"/>
  <c r="B3813" i="4"/>
  <c r="B3812" i="4"/>
  <c r="B3811" i="4"/>
  <c r="B3810" i="4"/>
  <c r="B3809" i="4"/>
  <c r="B3808" i="4"/>
  <c r="B3807" i="4"/>
  <c r="B3806" i="4"/>
  <c r="B3805" i="4"/>
  <c r="B3804" i="4"/>
  <c r="B3803" i="4"/>
  <c r="B3802" i="4"/>
  <c r="B3801" i="4"/>
  <c r="B3800" i="4"/>
  <c r="B3799" i="4"/>
  <c r="B3798" i="4"/>
  <c r="B3797" i="4"/>
  <c r="B3796" i="4"/>
  <c r="B3795" i="4"/>
  <c r="B3794" i="4"/>
  <c r="B3793" i="4"/>
  <c r="B3792" i="4"/>
  <c r="B3791" i="4"/>
  <c r="B3790" i="4"/>
  <c r="B3789" i="4"/>
  <c r="B3788" i="4"/>
  <c r="B3787" i="4"/>
  <c r="B3786" i="4"/>
  <c r="B3785" i="4"/>
  <c r="B3784" i="4"/>
  <c r="B3783" i="4"/>
  <c r="B3782" i="4"/>
  <c r="B3781" i="4"/>
  <c r="B3780" i="4"/>
  <c r="B3779" i="4"/>
  <c r="B3778" i="4"/>
  <c r="B3777" i="4"/>
  <c r="B3776" i="4"/>
  <c r="B3775" i="4"/>
  <c r="B3774" i="4"/>
  <c r="B3773" i="4"/>
  <c r="B3772" i="4"/>
  <c r="B3771" i="4"/>
  <c r="B3770" i="4"/>
  <c r="B3769" i="4"/>
  <c r="B3768" i="4"/>
  <c r="B3767" i="4"/>
  <c r="B3766" i="4"/>
  <c r="B3765" i="4"/>
  <c r="B3764" i="4"/>
  <c r="B3763" i="4"/>
  <c r="B3762" i="4"/>
  <c r="B3761" i="4"/>
  <c r="B3760" i="4"/>
  <c r="B3759" i="4"/>
  <c r="B3758" i="4"/>
  <c r="B3757" i="4"/>
  <c r="B3756" i="4"/>
  <c r="B3755" i="4"/>
  <c r="B3754" i="4"/>
  <c r="B3753" i="4"/>
  <c r="B3752" i="4"/>
  <c r="B3751" i="4"/>
  <c r="B3750" i="4"/>
  <c r="B3749" i="4"/>
  <c r="B3748" i="4"/>
  <c r="B3747" i="4"/>
  <c r="B3746" i="4"/>
  <c r="B3745" i="4"/>
  <c r="B3744" i="4"/>
  <c r="B3743" i="4"/>
  <c r="B3742" i="4"/>
  <c r="B3741" i="4"/>
  <c r="B3740" i="4"/>
  <c r="B3739" i="4"/>
  <c r="B3738" i="4"/>
  <c r="B3737" i="4"/>
  <c r="B3736" i="4"/>
  <c r="B3735" i="4"/>
  <c r="B3734" i="4"/>
  <c r="B3733" i="4"/>
  <c r="B3732" i="4"/>
  <c r="B3731" i="4"/>
  <c r="B3730" i="4"/>
  <c r="B3729" i="4"/>
  <c r="B3728" i="4"/>
  <c r="B3727" i="4"/>
  <c r="B3726" i="4"/>
  <c r="B3725" i="4"/>
  <c r="B3724" i="4"/>
  <c r="B3723" i="4"/>
  <c r="B3722" i="4"/>
  <c r="B3721" i="4"/>
  <c r="B3720" i="4"/>
  <c r="B3719" i="4"/>
  <c r="B3718" i="4"/>
  <c r="B3717" i="4"/>
  <c r="B3716" i="4"/>
  <c r="B3715" i="4"/>
  <c r="B3714" i="4"/>
  <c r="B3713" i="4"/>
  <c r="B3712" i="4"/>
  <c r="B3711" i="4"/>
  <c r="B3710" i="4"/>
  <c r="B3709" i="4"/>
  <c r="B3708" i="4"/>
  <c r="B3707" i="4"/>
  <c r="B3706" i="4"/>
  <c r="B3705" i="4"/>
  <c r="B3704" i="4"/>
  <c r="B3703" i="4"/>
  <c r="B3702" i="4"/>
  <c r="B3701" i="4"/>
  <c r="B3700" i="4"/>
  <c r="B3699" i="4"/>
  <c r="B3698" i="4"/>
  <c r="B3697" i="4"/>
  <c r="B3696" i="4"/>
  <c r="B3695" i="4"/>
  <c r="B3694" i="4"/>
  <c r="B3693" i="4"/>
  <c r="B3692" i="4"/>
  <c r="B3691" i="4"/>
  <c r="B3690" i="4"/>
  <c r="B3689" i="4"/>
  <c r="B3688" i="4"/>
  <c r="B3687" i="4"/>
  <c r="B3686" i="4"/>
  <c r="B3685" i="4"/>
  <c r="B3684" i="4"/>
  <c r="B3683" i="4"/>
  <c r="B3682" i="4"/>
  <c r="B3681" i="4"/>
  <c r="B3680" i="4"/>
  <c r="B3679" i="4"/>
  <c r="B3678" i="4"/>
  <c r="B3677" i="4"/>
  <c r="B3676" i="4"/>
  <c r="B3675" i="4"/>
  <c r="B3674" i="4"/>
  <c r="B3673" i="4"/>
  <c r="B3672" i="4"/>
  <c r="B3671" i="4"/>
  <c r="B3670" i="4"/>
  <c r="B3669" i="4"/>
  <c r="B3668" i="4"/>
  <c r="B3667" i="4"/>
  <c r="B3666" i="4"/>
  <c r="B3665" i="4"/>
  <c r="B3664" i="4"/>
  <c r="B3663" i="4"/>
  <c r="B3662" i="4"/>
  <c r="B3661" i="4"/>
  <c r="B3660" i="4"/>
  <c r="B3659" i="4"/>
  <c r="B3658" i="4"/>
  <c r="B3657" i="4"/>
  <c r="B3656" i="4"/>
  <c r="B3655" i="4"/>
  <c r="B3654" i="4"/>
  <c r="B3653" i="4"/>
  <c r="B3652" i="4"/>
  <c r="B3651" i="4"/>
  <c r="B3650" i="4"/>
  <c r="B3649" i="4"/>
  <c r="B3648" i="4"/>
  <c r="B3647" i="4"/>
  <c r="B3646" i="4"/>
  <c r="B3645" i="4"/>
  <c r="B3644" i="4"/>
  <c r="B3643" i="4"/>
  <c r="B3642" i="4"/>
  <c r="B3641" i="4"/>
  <c r="B3640" i="4"/>
  <c r="B3639" i="4"/>
  <c r="B3638" i="4"/>
  <c r="B3637" i="4"/>
  <c r="B3636" i="4"/>
  <c r="B3635" i="4"/>
  <c r="B3634" i="4"/>
  <c r="B3633" i="4"/>
  <c r="B3632" i="4"/>
  <c r="B3631" i="4"/>
  <c r="B3630" i="4"/>
  <c r="B3629" i="4"/>
  <c r="B3628" i="4"/>
  <c r="B3627" i="4"/>
  <c r="B3626" i="4"/>
  <c r="B3625" i="4"/>
  <c r="B3624" i="4"/>
  <c r="B3623" i="4"/>
  <c r="B3622" i="4"/>
  <c r="B3621" i="4"/>
  <c r="B3620" i="4"/>
  <c r="B3619" i="4"/>
  <c r="B3618" i="4"/>
  <c r="B3617" i="4"/>
  <c r="B3616" i="4"/>
  <c r="B3615" i="4"/>
  <c r="B3614" i="4"/>
  <c r="B3613" i="4"/>
  <c r="B3612" i="4"/>
  <c r="B3611" i="4"/>
  <c r="B3610" i="4"/>
  <c r="B3609" i="4"/>
  <c r="B3608" i="4"/>
  <c r="B3607" i="4"/>
  <c r="B3606" i="4"/>
  <c r="B3605" i="4"/>
  <c r="B3604" i="4"/>
  <c r="B3603" i="4"/>
  <c r="B3602" i="4"/>
  <c r="B3601" i="4"/>
  <c r="B3600" i="4"/>
  <c r="B3599" i="4"/>
  <c r="B3598" i="4"/>
  <c r="B3597" i="4"/>
  <c r="B3596" i="4"/>
  <c r="B3595" i="4"/>
  <c r="B3594" i="4"/>
  <c r="B3593" i="4"/>
  <c r="B3592" i="4"/>
  <c r="B3591" i="4"/>
  <c r="B3590" i="4"/>
  <c r="B3589" i="4"/>
  <c r="B3588" i="4"/>
  <c r="B3587" i="4"/>
  <c r="B3586" i="4"/>
  <c r="B3585" i="4"/>
  <c r="B3584" i="4"/>
  <c r="B3583" i="4"/>
  <c r="B3582" i="4"/>
  <c r="B3581" i="4"/>
  <c r="B3580" i="4"/>
  <c r="B3579" i="4"/>
  <c r="B3578" i="4"/>
  <c r="B3577" i="4"/>
  <c r="B3576" i="4"/>
  <c r="B3575" i="4"/>
  <c r="B3574" i="4"/>
  <c r="B3573" i="4"/>
  <c r="B3572" i="4"/>
  <c r="B3571" i="4"/>
  <c r="B3570" i="4"/>
  <c r="B3569" i="4"/>
  <c r="B3568" i="4"/>
  <c r="B3567" i="4"/>
  <c r="B3566" i="4"/>
  <c r="B3565" i="4"/>
  <c r="B3564" i="4"/>
  <c r="B3563" i="4"/>
  <c r="B3562" i="4"/>
  <c r="B3561" i="4"/>
  <c r="B3560" i="4"/>
  <c r="B3559" i="4"/>
  <c r="B3558" i="4"/>
  <c r="B3557" i="4"/>
  <c r="B3556" i="4"/>
  <c r="B3555" i="4"/>
  <c r="B3554" i="4"/>
  <c r="B3553" i="4"/>
  <c r="B3552" i="4"/>
  <c r="B3551" i="4"/>
  <c r="B3550" i="4"/>
  <c r="B3549" i="4"/>
  <c r="B3548" i="4"/>
  <c r="B3547" i="4"/>
  <c r="B3546" i="4"/>
  <c r="B3545" i="4"/>
  <c r="B3544" i="4"/>
  <c r="B3543" i="4"/>
  <c r="B3542" i="4"/>
  <c r="B3541" i="4"/>
  <c r="B3540" i="4"/>
  <c r="B3539" i="4"/>
  <c r="B3538" i="4"/>
  <c r="B3537" i="4"/>
  <c r="B3536" i="4"/>
  <c r="B3535" i="4"/>
  <c r="B3534" i="4"/>
  <c r="B3533" i="4"/>
  <c r="B3532" i="4"/>
  <c r="B3531" i="4"/>
  <c r="B3530" i="4"/>
  <c r="B3529" i="4"/>
  <c r="B3528" i="4"/>
  <c r="B3527" i="4"/>
  <c r="B3526" i="4"/>
  <c r="B3525" i="4"/>
  <c r="B3524" i="4"/>
  <c r="B3523" i="4"/>
  <c r="B3522" i="4"/>
  <c r="B3521" i="4"/>
  <c r="B3520" i="4"/>
  <c r="B3519" i="4"/>
  <c r="B3518" i="4"/>
  <c r="B3517" i="4"/>
  <c r="B3516" i="4"/>
  <c r="B3515" i="4"/>
  <c r="B3514" i="4"/>
  <c r="B3513" i="4"/>
  <c r="B3512" i="4"/>
  <c r="B3511" i="4"/>
  <c r="B3510" i="4"/>
  <c r="B3509" i="4"/>
  <c r="B3508" i="4"/>
  <c r="B3507" i="4"/>
  <c r="B3506" i="4"/>
  <c r="B3505" i="4"/>
  <c r="B3504" i="4"/>
  <c r="B3503" i="4"/>
  <c r="B3502" i="4"/>
  <c r="B3501" i="4"/>
  <c r="B3500" i="4"/>
  <c r="B3499" i="4"/>
  <c r="B3498" i="4"/>
  <c r="B3497" i="4"/>
  <c r="B3496" i="4"/>
  <c r="B3495" i="4"/>
  <c r="B3494" i="4"/>
  <c r="B3493" i="4"/>
  <c r="B3492" i="4"/>
  <c r="B3491" i="4"/>
  <c r="B3490" i="4"/>
  <c r="B3489" i="4"/>
  <c r="B3488" i="4"/>
  <c r="B3487" i="4"/>
  <c r="B3486" i="4"/>
  <c r="B3485" i="4"/>
  <c r="B3484" i="4"/>
  <c r="B3483" i="4"/>
  <c r="B3482" i="4"/>
  <c r="B3481" i="4"/>
  <c r="B3480" i="4"/>
  <c r="B3479" i="4"/>
  <c r="B3478" i="4"/>
  <c r="B3477" i="4"/>
  <c r="B3476" i="4"/>
  <c r="B3475" i="4"/>
  <c r="B3474" i="4"/>
  <c r="B3473" i="4"/>
  <c r="B3472" i="4"/>
  <c r="B3471" i="4"/>
  <c r="B3470" i="4"/>
  <c r="B3469" i="4"/>
  <c r="B3468" i="4"/>
  <c r="B3467" i="4"/>
  <c r="B3466" i="4"/>
  <c r="B3465" i="4"/>
  <c r="B3464" i="4"/>
  <c r="B3463" i="4"/>
  <c r="B3462" i="4"/>
  <c r="B3461" i="4"/>
  <c r="B3460" i="4"/>
  <c r="B3459" i="4"/>
  <c r="B3458" i="4"/>
  <c r="B3457" i="4"/>
  <c r="B3456" i="4"/>
  <c r="B3455" i="4"/>
  <c r="B3454" i="4"/>
  <c r="B3453" i="4"/>
  <c r="B3452" i="4"/>
  <c r="B3451" i="4"/>
  <c r="B3450" i="4"/>
  <c r="B3449" i="4"/>
  <c r="B3448" i="4"/>
  <c r="B3447" i="4"/>
  <c r="B3446" i="4"/>
  <c r="B3445" i="4"/>
  <c r="B3444" i="4"/>
  <c r="B3443" i="4"/>
  <c r="B3442" i="4"/>
  <c r="B3441" i="4"/>
  <c r="B3440" i="4"/>
  <c r="B3439" i="4"/>
  <c r="B3438" i="4"/>
  <c r="B3437" i="4"/>
  <c r="B3436" i="4"/>
  <c r="B3435" i="4"/>
  <c r="B3434" i="4"/>
  <c r="B3433" i="4"/>
  <c r="B3432" i="4"/>
  <c r="B3431" i="4"/>
  <c r="B3430" i="4"/>
  <c r="B3429" i="4"/>
  <c r="B3428" i="4"/>
  <c r="B3427" i="4"/>
  <c r="B3426" i="4"/>
  <c r="B3425" i="4"/>
  <c r="B3424" i="4"/>
  <c r="B3423" i="4"/>
  <c r="B3422" i="4"/>
  <c r="B3421" i="4"/>
  <c r="B3420" i="4"/>
  <c r="B3419" i="4"/>
  <c r="B3418" i="4"/>
  <c r="B3417" i="4"/>
  <c r="B3416" i="4"/>
  <c r="B3415" i="4"/>
  <c r="B3414" i="4"/>
  <c r="B3413" i="4"/>
  <c r="B3412" i="4"/>
  <c r="B3411" i="4"/>
  <c r="B3410" i="4"/>
  <c r="B3409" i="4"/>
  <c r="B3408" i="4"/>
  <c r="B3407" i="4"/>
  <c r="B3406" i="4"/>
  <c r="B3405" i="4"/>
  <c r="B3404" i="4"/>
  <c r="B3403" i="4"/>
  <c r="B3402" i="4"/>
  <c r="B3401" i="4"/>
  <c r="B3400" i="4"/>
  <c r="B3399" i="4"/>
  <c r="B3398" i="4"/>
  <c r="B3397" i="4"/>
  <c r="B3396" i="4"/>
  <c r="B3395" i="4"/>
  <c r="B3394" i="4"/>
  <c r="B3393" i="4"/>
  <c r="B3392" i="4"/>
  <c r="B3391" i="4"/>
  <c r="B3390" i="4"/>
  <c r="B3389" i="4"/>
  <c r="B3388" i="4"/>
  <c r="B3387" i="4"/>
  <c r="B3386" i="4"/>
  <c r="B3385" i="4"/>
  <c r="B3384" i="4"/>
  <c r="B3383" i="4"/>
  <c r="B3382" i="4"/>
  <c r="B3381" i="4"/>
  <c r="B3380" i="4"/>
  <c r="B3379" i="4"/>
  <c r="B3378" i="4"/>
  <c r="B3377" i="4"/>
  <c r="B3376" i="4"/>
  <c r="B3375" i="4"/>
  <c r="B3374" i="4"/>
  <c r="B3373" i="4"/>
  <c r="B3372" i="4"/>
  <c r="B3371" i="4"/>
  <c r="B3370" i="4"/>
  <c r="B3369" i="4"/>
  <c r="B3368" i="4"/>
  <c r="B3367" i="4"/>
  <c r="B3366" i="4"/>
  <c r="B3365" i="4"/>
  <c r="B3364" i="4"/>
  <c r="B3363" i="4"/>
  <c r="B3362" i="4"/>
  <c r="B3361" i="4"/>
  <c r="B3360" i="4"/>
  <c r="B3359" i="4"/>
  <c r="B3358" i="4"/>
  <c r="B3357" i="4"/>
  <c r="B3356" i="4"/>
  <c r="B3355" i="4"/>
  <c r="B3354" i="4"/>
  <c r="B3353" i="4"/>
  <c r="B3352" i="4"/>
  <c r="B3351" i="4"/>
  <c r="B3350" i="4"/>
  <c r="B3349" i="4"/>
  <c r="B3348" i="4"/>
  <c r="B3347" i="4"/>
  <c r="B3346" i="4"/>
  <c r="B3345" i="4"/>
  <c r="B3344" i="4"/>
  <c r="B3343" i="4"/>
  <c r="B3342" i="4"/>
  <c r="B3341" i="4"/>
  <c r="B3340" i="4"/>
  <c r="B3339" i="4"/>
  <c r="B3338" i="4"/>
  <c r="B3337" i="4"/>
  <c r="B3336" i="4"/>
  <c r="B3335" i="4"/>
  <c r="B3334" i="4"/>
  <c r="B3333" i="4"/>
  <c r="B3332" i="4"/>
  <c r="B3331" i="4"/>
  <c r="B3330" i="4"/>
  <c r="B3329" i="4"/>
  <c r="B3328" i="4"/>
  <c r="B3327" i="4"/>
  <c r="B3326" i="4"/>
  <c r="B3325" i="4"/>
  <c r="B3324" i="4"/>
  <c r="B3323" i="4"/>
  <c r="B3322" i="4"/>
  <c r="B3321" i="4"/>
  <c r="B3320" i="4"/>
  <c r="B3319" i="4"/>
  <c r="B3318" i="4"/>
  <c r="B3317" i="4"/>
  <c r="B3316" i="4"/>
  <c r="B3315" i="4"/>
  <c r="B3314" i="4"/>
  <c r="B3313" i="4"/>
  <c r="B3312" i="4"/>
  <c r="B3311" i="4"/>
  <c r="B3310" i="4"/>
  <c r="B3309" i="4"/>
  <c r="B3308" i="4"/>
  <c r="B3307" i="4"/>
  <c r="B3306" i="4"/>
  <c r="B3305" i="4"/>
  <c r="B3304" i="4"/>
  <c r="B3303" i="4"/>
  <c r="B3302" i="4"/>
  <c r="B3301" i="4"/>
  <c r="B3300" i="4"/>
  <c r="B3299" i="4"/>
  <c r="B3298" i="4"/>
  <c r="B3297" i="4"/>
  <c r="B3296" i="4"/>
  <c r="B3295" i="4"/>
  <c r="B3294" i="4"/>
  <c r="B3293" i="4"/>
  <c r="B3292" i="4"/>
  <c r="B3291" i="4"/>
  <c r="B3290" i="4"/>
  <c r="B3289" i="4"/>
  <c r="B3288" i="4"/>
  <c r="B3287" i="4"/>
  <c r="B3286" i="4"/>
  <c r="B3285" i="4"/>
  <c r="B3284" i="4"/>
  <c r="B3283" i="4"/>
  <c r="B3282" i="4"/>
  <c r="B3281" i="4"/>
  <c r="B3280" i="4"/>
  <c r="B3279" i="4"/>
  <c r="B3278" i="4"/>
  <c r="B3277" i="4"/>
  <c r="B3276" i="4"/>
  <c r="B3275" i="4"/>
  <c r="B3274" i="4"/>
  <c r="B3273" i="4"/>
  <c r="B3272" i="4"/>
  <c r="B3271" i="4"/>
  <c r="B3270" i="4"/>
  <c r="B3269" i="4"/>
  <c r="B3268" i="4"/>
  <c r="B3267" i="4"/>
  <c r="B3266" i="4"/>
  <c r="B3265" i="4"/>
  <c r="B3264" i="4"/>
  <c r="B3263" i="4"/>
  <c r="B3262" i="4"/>
  <c r="B3261" i="4"/>
  <c r="B3260" i="4"/>
  <c r="B3259" i="4"/>
  <c r="B3258" i="4"/>
  <c r="B3257" i="4"/>
  <c r="B3256" i="4"/>
  <c r="B3255" i="4"/>
  <c r="B3254" i="4"/>
  <c r="B3253" i="4"/>
  <c r="B3252" i="4"/>
  <c r="B3251" i="4"/>
  <c r="B3250" i="4"/>
  <c r="B3249" i="4"/>
  <c r="B3248" i="4"/>
  <c r="B3247" i="4"/>
  <c r="B3246" i="4"/>
  <c r="B3245" i="4"/>
  <c r="B3244" i="4"/>
  <c r="B3243" i="4"/>
  <c r="B3242" i="4"/>
  <c r="B3241" i="4"/>
  <c r="B3240" i="4"/>
  <c r="B3239" i="4"/>
  <c r="B3238" i="4"/>
  <c r="B3237" i="4"/>
  <c r="B3236" i="4"/>
  <c r="B3235" i="4"/>
  <c r="B3234" i="4"/>
  <c r="B3233" i="4"/>
  <c r="B3232" i="4"/>
  <c r="B3231" i="4"/>
  <c r="B3230" i="4"/>
  <c r="B3229" i="4"/>
  <c r="B3228" i="4"/>
  <c r="B3227" i="4"/>
  <c r="B3226" i="4"/>
  <c r="B3225" i="4"/>
  <c r="B3224" i="4"/>
  <c r="B3223" i="4"/>
  <c r="B3222" i="4"/>
  <c r="B3221" i="4"/>
  <c r="B3220" i="4"/>
  <c r="B3219" i="4"/>
  <c r="B3218" i="4"/>
  <c r="B3217" i="4"/>
  <c r="B3216" i="4"/>
  <c r="B3215" i="4"/>
  <c r="B3214" i="4"/>
  <c r="B3213" i="4"/>
  <c r="B3212" i="4"/>
  <c r="B3211" i="4"/>
  <c r="B3210" i="4"/>
  <c r="B3209" i="4"/>
  <c r="B3208" i="4"/>
  <c r="B3207" i="4"/>
  <c r="B3206" i="4"/>
  <c r="B3205" i="4"/>
  <c r="B3204" i="4"/>
  <c r="B3203" i="4"/>
  <c r="B3202" i="4"/>
  <c r="B3201" i="4"/>
  <c r="B3200" i="4"/>
  <c r="B3199" i="4"/>
  <c r="B3198" i="4"/>
  <c r="B3197" i="4"/>
  <c r="B3196" i="4"/>
  <c r="B3195" i="4"/>
  <c r="B3194" i="4"/>
  <c r="B3193" i="4"/>
  <c r="B3192" i="4"/>
  <c r="B3191" i="4"/>
  <c r="B3190" i="4"/>
  <c r="B3189" i="4"/>
  <c r="B3188" i="4"/>
  <c r="B3187" i="4"/>
  <c r="B3186" i="4"/>
  <c r="B3185" i="4"/>
  <c r="B3184" i="4"/>
  <c r="B3183" i="4"/>
  <c r="B3182" i="4"/>
  <c r="B3181" i="4"/>
  <c r="B3180" i="4"/>
  <c r="B3179" i="4"/>
  <c r="B3178" i="4"/>
  <c r="B3177" i="4"/>
  <c r="B3176" i="4"/>
  <c r="B3175" i="4"/>
  <c r="B3174" i="4"/>
  <c r="B3173" i="4"/>
  <c r="B3172" i="4"/>
  <c r="B3171" i="4"/>
  <c r="B3170" i="4"/>
  <c r="B3169" i="4"/>
  <c r="B3168" i="4"/>
  <c r="B3167" i="4"/>
  <c r="B3166" i="4"/>
  <c r="B3165" i="4"/>
  <c r="B3164" i="4"/>
  <c r="B3163" i="4"/>
  <c r="B3162" i="4"/>
  <c r="B3161" i="4"/>
  <c r="B3160" i="4"/>
  <c r="B3159" i="4"/>
  <c r="B3158" i="4"/>
  <c r="B3157" i="4"/>
  <c r="B3156" i="4"/>
  <c r="B3155" i="4"/>
  <c r="B3154" i="4"/>
  <c r="B3153" i="4"/>
  <c r="B3152" i="4"/>
  <c r="B3151" i="4"/>
  <c r="B3150" i="4"/>
  <c r="B3149" i="4"/>
  <c r="B3148" i="4"/>
  <c r="B3147" i="4"/>
  <c r="B3146" i="4"/>
  <c r="B3145" i="4"/>
  <c r="B3144" i="4"/>
  <c r="B3143" i="4"/>
  <c r="B3142" i="4"/>
  <c r="B3141" i="4"/>
  <c r="B3140" i="4"/>
  <c r="B3139" i="4"/>
  <c r="B3138" i="4"/>
  <c r="B3137" i="4"/>
  <c r="B3136" i="4"/>
  <c r="B3135" i="4"/>
  <c r="B3134" i="4"/>
  <c r="B3133" i="4"/>
  <c r="B3132" i="4"/>
  <c r="B3131" i="4"/>
  <c r="B3130" i="4"/>
  <c r="B3129" i="4"/>
  <c r="B3128" i="4"/>
  <c r="B3127" i="4"/>
  <c r="B3126" i="4"/>
  <c r="B3125" i="4"/>
  <c r="B3124" i="4"/>
  <c r="B3123" i="4"/>
  <c r="B3122" i="4"/>
  <c r="B3121" i="4"/>
  <c r="B3120" i="4"/>
  <c r="B3119" i="4"/>
  <c r="B3118" i="4"/>
  <c r="B3117" i="4"/>
  <c r="B3116" i="4"/>
  <c r="B3115" i="4"/>
  <c r="B3114" i="4"/>
  <c r="B3113" i="4"/>
  <c r="B3112" i="4"/>
  <c r="B3111" i="4"/>
  <c r="B3110" i="4"/>
  <c r="B3109" i="4"/>
  <c r="B3108" i="4"/>
  <c r="B3107" i="4"/>
  <c r="B3106" i="4"/>
  <c r="B3105" i="4"/>
  <c r="B3104" i="4"/>
  <c r="B3103" i="4"/>
  <c r="B3102" i="4"/>
  <c r="B3101" i="4"/>
  <c r="B3100" i="4"/>
  <c r="B3099" i="4"/>
  <c r="B3098" i="4"/>
  <c r="B3097" i="4"/>
  <c r="B3096" i="4"/>
  <c r="B3095" i="4"/>
  <c r="B3094" i="4"/>
  <c r="B3093" i="4"/>
  <c r="B3092" i="4"/>
  <c r="B3091" i="4"/>
  <c r="B3090" i="4"/>
  <c r="B3089" i="4"/>
  <c r="B3088" i="4"/>
  <c r="B3087" i="4"/>
  <c r="B3086" i="4"/>
  <c r="B3085" i="4"/>
  <c r="B3084" i="4"/>
  <c r="B3083" i="4"/>
  <c r="B3082" i="4"/>
  <c r="B3081" i="4"/>
  <c r="B3080" i="4"/>
  <c r="B3079" i="4"/>
  <c r="B3078" i="4"/>
  <c r="B3077" i="4"/>
  <c r="B3076" i="4"/>
  <c r="B3075" i="4"/>
  <c r="B3074" i="4"/>
  <c r="B3073" i="4"/>
  <c r="B3072" i="4"/>
  <c r="B3071" i="4"/>
  <c r="B3070" i="4"/>
  <c r="B3069" i="4"/>
  <c r="B3068" i="4"/>
  <c r="B3067" i="4"/>
  <c r="B3066" i="4"/>
  <c r="B3065" i="4"/>
  <c r="B3064" i="4"/>
  <c r="B3063" i="4"/>
  <c r="B3062" i="4"/>
  <c r="B3061" i="4"/>
  <c r="B3060" i="4"/>
  <c r="B3059" i="4"/>
  <c r="B3058" i="4"/>
  <c r="B3057" i="4"/>
  <c r="B3056" i="4"/>
  <c r="B3055" i="4"/>
  <c r="B3054" i="4"/>
  <c r="B3053" i="4"/>
  <c r="B3052" i="4"/>
  <c r="B3051" i="4"/>
  <c r="B3050" i="4"/>
  <c r="B3049" i="4"/>
  <c r="B3048" i="4"/>
  <c r="B3047" i="4"/>
  <c r="B3046" i="4"/>
  <c r="B3045" i="4"/>
  <c r="B3044" i="4"/>
  <c r="B3043" i="4"/>
  <c r="B3042" i="4"/>
  <c r="B3041" i="4"/>
  <c r="B3040" i="4"/>
  <c r="B3039" i="4"/>
  <c r="B3038" i="4"/>
  <c r="B3037" i="4"/>
  <c r="B3036" i="4"/>
  <c r="B3035" i="4"/>
  <c r="B3034" i="4"/>
  <c r="B3033" i="4"/>
  <c r="B3032" i="4"/>
  <c r="B3031" i="4"/>
  <c r="B3030" i="4"/>
  <c r="B3029" i="4"/>
  <c r="B3028" i="4"/>
  <c r="B3027" i="4"/>
  <c r="B3026" i="4"/>
  <c r="B3025" i="4"/>
  <c r="B3024" i="4"/>
  <c r="B3023" i="4"/>
  <c r="B3022" i="4"/>
  <c r="B3021" i="4"/>
  <c r="B3020" i="4"/>
  <c r="B3019" i="4"/>
  <c r="B3018" i="4"/>
  <c r="B3017" i="4"/>
  <c r="B3016" i="4"/>
  <c r="B3015" i="4"/>
  <c r="B3014" i="4"/>
  <c r="B3013" i="4"/>
  <c r="B3012" i="4"/>
  <c r="B3011" i="4"/>
  <c r="B3010" i="4"/>
  <c r="B3009" i="4"/>
  <c r="B3008" i="4"/>
  <c r="B3007" i="4"/>
  <c r="B3006" i="4"/>
  <c r="B3005" i="4"/>
  <c r="B3004" i="4"/>
  <c r="B3003" i="4"/>
  <c r="B3002" i="4"/>
  <c r="B3001" i="4"/>
  <c r="B3000" i="4"/>
  <c r="B2999" i="4"/>
  <c r="B2998" i="4"/>
  <c r="B2997" i="4"/>
  <c r="B2996" i="4"/>
  <c r="B2995" i="4"/>
  <c r="B2994" i="4"/>
  <c r="B2993" i="4"/>
  <c r="B2992" i="4"/>
  <c r="B2991" i="4"/>
  <c r="B2990" i="4"/>
  <c r="B2989" i="4"/>
  <c r="B2988" i="4"/>
  <c r="B2987" i="4"/>
  <c r="B2986" i="4"/>
  <c r="B2985" i="4"/>
  <c r="B2984" i="4"/>
  <c r="B2983" i="4"/>
  <c r="B2982" i="4"/>
  <c r="B2981" i="4"/>
  <c r="B2980" i="4"/>
  <c r="B2979" i="4"/>
  <c r="B2978" i="4"/>
  <c r="B2977" i="4"/>
  <c r="B2976" i="4"/>
  <c r="B2975" i="4"/>
  <c r="B2974" i="4"/>
  <c r="B2973" i="4"/>
  <c r="B2972" i="4"/>
  <c r="B2971" i="4"/>
  <c r="B2970" i="4"/>
  <c r="B2969" i="4"/>
  <c r="B2968" i="4"/>
  <c r="B2967" i="4"/>
  <c r="B2966" i="4"/>
  <c r="B2965" i="4"/>
  <c r="B2964" i="4"/>
  <c r="B2963" i="4"/>
  <c r="B2962" i="4"/>
  <c r="B2961" i="4"/>
  <c r="B2960" i="4"/>
  <c r="B2959" i="4"/>
  <c r="B2958" i="4"/>
  <c r="B2957" i="4"/>
  <c r="B2956" i="4"/>
  <c r="B2955" i="4"/>
  <c r="B2954" i="4"/>
  <c r="B2953" i="4"/>
  <c r="B2952" i="4"/>
  <c r="B2951" i="4"/>
  <c r="B2950" i="4"/>
  <c r="B2949" i="4"/>
  <c r="B2948" i="4"/>
  <c r="B2947" i="4"/>
  <c r="B2946" i="4"/>
  <c r="B2945" i="4"/>
  <c r="B2944" i="4"/>
  <c r="B2943" i="4"/>
  <c r="B2942" i="4"/>
  <c r="B2941" i="4"/>
  <c r="B2940" i="4"/>
  <c r="B2939" i="4"/>
  <c r="B2938" i="4"/>
  <c r="B2937" i="4"/>
  <c r="B2936" i="4"/>
  <c r="B2935" i="4"/>
  <c r="B2934" i="4"/>
  <c r="B2933" i="4"/>
  <c r="B2932" i="4"/>
  <c r="B2931" i="4"/>
  <c r="B2930" i="4"/>
  <c r="B2929" i="4"/>
  <c r="B2928" i="4"/>
  <c r="B2927" i="4"/>
  <c r="B2926" i="4"/>
  <c r="B2925" i="4"/>
  <c r="B2924" i="4"/>
  <c r="B2923" i="4"/>
  <c r="B2922" i="4"/>
  <c r="B2921" i="4"/>
  <c r="B2920" i="4"/>
  <c r="B2919" i="4"/>
  <c r="B2918" i="4"/>
  <c r="B2917" i="4"/>
  <c r="B2916" i="4"/>
  <c r="B2915" i="4"/>
  <c r="B2914" i="4"/>
  <c r="B2913" i="4"/>
  <c r="B2912" i="4"/>
  <c r="B2911" i="4"/>
  <c r="B2910" i="4"/>
  <c r="B2909" i="4"/>
  <c r="B2908" i="4"/>
  <c r="B2907" i="4"/>
  <c r="B2906" i="4"/>
  <c r="B2905" i="4"/>
  <c r="B2904" i="4"/>
  <c r="B2903" i="4"/>
  <c r="B2902" i="4"/>
  <c r="B2901" i="4"/>
  <c r="B2900" i="4"/>
  <c r="B2899" i="4"/>
  <c r="B2898" i="4"/>
  <c r="B2897" i="4"/>
  <c r="B2896" i="4"/>
  <c r="B2895" i="4"/>
  <c r="B2894" i="4"/>
  <c r="B2893" i="4"/>
  <c r="B2892" i="4"/>
  <c r="B2891" i="4"/>
  <c r="B2890" i="4"/>
  <c r="B2889" i="4"/>
  <c r="B2888" i="4"/>
  <c r="B2887" i="4"/>
  <c r="B2886" i="4"/>
  <c r="B2885" i="4"/>
  <c r="B2884" i="4"/>
  <c r="B2883" i="4"/>
  <c r="B2882" i="4"/>
  <c r="B2881" i="4"/>
  <c r="B2880" i="4"/>
  <c r="B2879" i="4"/>
  <c r="B2878" i="4"/>
  <c r="B2877" i="4"/>
  <c r="B2876" i="4"/>
  <c r="B2875" i="4"/>
  <c r="B2874" i="4"/>
  <c r="B2873" i="4"/>
  <c r="B2872" i="4"/>
  <c r="B2871" i="4"/>
  <c r="B2870" i="4"/>
  <c r="B2869" i="4"/>
  <c r="B2868" i="4"/>
  <c r="B2867" i="4"/>
  <c r="B2866" i="4"/>
  <c r="B2865" i="4"/>
  <c r="B2864" i="4"/>
  <c r="B2863" i="4"/>
  <c r="B2862" i="4"/>
  <c r="B2861" i="4"/>
  <c r="B2860" i="4"/>
  <c r="B2859" i="4"/>
  <c r="B2858" i="4"/>
  <c r="B2857" i="4"/>
  <c r="B2856" i="4"/>
  <c r="B2855" i="4"/>
  <c r="B2854" i="4"/>
  <c r="B2853" i="4"/>
  <c r="B2852" i="4"/>
  <c r="B2851" i="4"/>
  <c r="B2850" i="4"/>
  <c r="B2849" i="4"/>
  <c r="B2848" i="4"/>
  <c r="B2847" i="4"/>
  <c r="B2846" i="4"/>
  <c r="B2845" i="4"/>
  <c r="B2844" i="4"/>
  <c r="B2843" i="4"/>
  <c r="B2842" i="4"/>
  <c r="B2841" i="4"/>
  <c r="B2840" i="4"/>
  <c r="B2839" i="4"/>
  <c r="B2838" i="4"/>
  <c r="B2837" i="4"/>
  <c r="B2836" i="4"/>
  <c r="B2835" i="4"/>
  <c r="B2834" i="4"/>
  <c r="B2833" i="4"/>
  <c r="B2832" i="4"/>
  <c r="B2831" i="4"/>
  <c r="B2830" i="4"/>
  <c r="B2829" i="4"/>
  <c r="B2828" i="4"/>
  <c r="B2827" i="4"/>
  <c r="B2826" i="4"/>
  <c r="B2825" i="4"/>
  <c r="B2824" i="4"/>
  <c r="B2823" i="4"/>
  <c r="B2822" i="4"/>
  <c r="B2821" i="4"/>
  <c r="B2820" i="4"/>
  <c r="B2819" i="4"/>
  <c r="B2818" i="4"/>
  <c r="B2817" i="4"/>
  <c r="B2816" i="4"/>
  <c r="B2815" i="4"/>
  <c r="B2814" i="4"/>
  <c r="B2813" i="4"/>
  <c r="B2812" i="4"/>
  <c r="B2811" i="4"/>
  <c r="B2810" i="4"/>
  <c r="B2809" i="4"/>
  <c r="B2808" i="4"/>
  <c r="B2807" i="4"/>
  <c r="B2806" i="4"/>
  <c r="B2805" i="4"/>
  <c r="B2804" i="4"/>
  <c r="B2803" i="4"/>
  <c r="B2802" i="4"/>
  <c r="B2801" i="4"/>
  <c r="B2800" i="4"/>
  <c r="B2799" i="4"/>
  <c r="B2798" i="4"/>
  <c r="B2797" i="4"/>
  <c r="B2796" i="4"/>
  <c r="B2795" i="4"/>
  <c r="B2794" i="4"/>
  <c r="B2793" i="4"/>
  <c r="B2792" i="4"/>
  <c r="B2791" i="4"/>
  <c r="B2790" i="4"/>
  <c r="B2789" i="4"/>
  <c r="B2788" i="4"/>
  <c r="B2787" i="4"/>
  <c r="B2786" i="4"/>
  <c r="B2785" i="4"/>
  <c r="B2784" i="4"/>
  <c r="B2783" i="4"/>
  <c r="B2782" i="4"/>
  <c r="B2781" i="4"/>
  <c r="B2780" i="4"/>
  <c r="B2779" i="4"/>
  <c r="B2778" i="4"/>
  <c r="B2777" i="4"/>
  <c r="B2776" i="4"/>
  <c r="B2775" i="4"/>
  <c r="B2774" i="4"/>
  <c r="B2773" i="4"/>
  <c r="B2772" i="4"/>
  <c r="B2771" i="4"/>
  <c r="B2770" i="4"/>
  <c r="B2769" i="4"/>
  <c r="B2768" i="4"/>
  <c r="B2767" i="4"/>
  <c r="B2766" i="4"/>
  <c r="B2765" i="4"/>
  <c r="B2764" i="4"/>
  <c r="B2763" i="4"/>
  <c r="B2762" i="4"/>
  <c r="B2761" i="4"/>
  <c r="B2760" i="4"/>
  <c r="B2759" i="4"/>
  <c r="B2758" i="4"/>
  <c r="B2757" i="4"/>
  <c r="B2756" i="4"/>
  <c r="B2755" i="4"/>
  <c r="B2754" i="4"/>
  <c r="B2753" i="4"/>
  <c r="B2752" i="4"/>
  <c r="B2751" i="4"/>
  <c r="B2750" i="4"/>
  <c r="B2749" i="4"/>
  <c r="B2748" i="4"/>
  <c r="B2747" i="4"/>
  <c r="B2746" i="4"/>
  <c r="B2745" i="4"/>
  <c r="B2744" i="4"/>
  <c r="B2743" i="4"/>
  <c r="B2742" i="4"/>
  <c r="B2741" i="4"/>
  <c r="B2740" i="4"/>
  <c r="B2739" i="4"/>
  <c r="B2738" i="4"/>
  <c r="B2737" i="4"/>
  <c r="B2736" i="4"/>
  <c r="B2735" i="4"/>
  <c r="B2734" i="4"/>
  <c r="B2733" i="4"/>
  <c r="B2732" i="4"/>
  <c r="B2731" i="4"/>
  <c r="B2730" i="4"/>
  <c r="B2729" i="4"/>
  <c r="B2728" i="4"/>
  <c r="B2727" i="4"/>
  <c r="B2726" i="4"/>
  <c r="B2725" i="4"/>
  <c r="B2724" i="4"/>
  <c r="B2723" i="4"/>
  <c r="B2722" i="4"/>
  <c r="B2721" i="4"/>
  <c r="B2720" i="4"/>
  <c r="B2719" i="4"/>
  <c r="B2718" i="4"/>
  <c r="B2717" i="4"/>
  <c r="B2716" i="4"/>
  <c r="B2715" i="4"/>
  <c r="B2714" i="4"/>
  <c r="B2713" i="4"/>
  <c r="B2712" i="4"/>
  <c r="B2711" i="4"/>
  <c r="B2710" i="4"/>
  <c r="B2709" i="4"/>
  <c r="B2708" i="4"/>
  <c r="B2707" i="4"/>
  <c r="B2706" i="4"/>
  <c r="B2705" i="4"/>
  <c r="B2704" i="4"/>
  <c r="B2703" i="4"/>
  <c r="B2702" i="4"/>
  <c r="B2701" i="4"/>
  <c r="B2700" i="4"/>
  <c r="B2699" i="4"/>
  <c r="B2698" i="4"/>
  <c r="B2697" i="4"/>
  <c r="B2696" i="4"/>
  <c r="B2695" i="4"/>
  <c r="B2694" i="4"/>
  <c r="B2693" i="4"/>
  <c r="B2692" i="4"/>
  <c r="B2691" i="4"/>
  <c r="B2690" i="4"/>
  <c r="B2689" i="4"/>
  <c r="B2688" i="4"/>
  <c r="B2687" i="4"/>
  <c r="B2686" i="4"/>
  <c r="B2685" i="4"/>
  <c r="B2684" i="4"/>
  <c r="B2683" i="4"/>
  <c r="B2682" i="4"/>
  <c r="B2681" i="4"/>
  <c r="B2680" i="4"/>
  <c r="B2679" i="4"/>
  <c r="B2678" i="4"/>
  <c r="B2677" i="4"/>
  <c r="B2676" i="4"/>
  <c r="B2675" i="4"/>
  <c r="B2674" i="4"/>
  <c r="B2673" i="4"/>
  <c r="B2672" i="4"/>
  <c r="B2671" i="4"/>
  <c r="B2670" i="4"/>
  <c r="B2669" i="4"/>
  <c r="B2668" i="4"/>
  <c r="B2667" i="4"/>
  <c r="B2666" i="4"/>
  <c r="B2665" i="4"/>
  <c r="B2664" i="4"/>
  <c r="B2663" i="4"/>
  <c r="B2662" i="4"/>
  <c r="B2661" i="4"/>
  <c r="B2660" i="4"/>
  <c r="B2659" i="4"/>
  <c r="B2658" i="4"/>
  <c r="B2657" i="4"/>
  <c r="B2656" i="4"/>
  <c r="B2655" i="4"/>
  <c r="B2654" i="4"/>
  <c r="B2653" i="4"/>
  <c r="B2652" i="4"/>
  <c r="B2651" i="4"/>
  <c r="B2650" i="4"/>
  <c r="B2649" i="4"/>
  <c r="B2648" i="4"/>
  <c r="B2647" i="4"/>
  <c r="B2646" i="4"/>
  <c r="B2645" i="4"/>
  <c r="B2644" i="4"/>
  <c r="B2643" i="4"/>
  <c r="B2642" i="4"/>
  <c r="B2641" i="4"/>
  <c r="B2640" i="4"/>
  <c r="B2639" i="4"/>
  <c r="B2638" i="4"/>
  <c r="B2637" i="4"/>
  <c r="B2636" i="4"/>
  <c r="B2635" i="4"/>
  <c r="B2634" i="4"/>
  <c r="B2633" i="4"/>
  <c r="B2632" i="4"/>
  <c r="B2631" i="4"/>
  <c r="B2630" i="4"/>
  <c r="B2629" i="4"/>
  <c r="B2628" i="4"/>
  <c r="B2627" i="4"/>
  <c r="B2626" i="4"/>
  <c r="B2625" i="4"/>
  <c r="B2624" i="4"/>
  <c r="B2623" i="4"/>
  <c r="B2622" i="4"/>
  <c r="B2621" i="4"/>
  <c r="B2620" i="4"/>
  <c r="B2619" i="4"/>
  <c r="B2618" i="4"/>
  <c r="B2617" i="4"/>
  <c r="B2616" i="4"/>
  <c r="B2615" i="4"/>
  <c r="B2614" i="4"/>
  <c r="B2613" i="4"/>
  <c r="B2612" i="4"/>
  <c r="B2611" i="4"/>
  <c r="B2610" i="4"/>
  <c r="B2609" i="4"/>
  <c r="B2608" i="4"/>
  <c r="B2607" i="4"/>
  <c r="B2606" i="4"/>
  <c r="B2605" i="4"/>
  <c r="B2604" i="4"/>
  <c r="B2603" i="4"/>
  <c r="B2602" i="4"/>
  <c r="B2601" i="4"/>
  <c r="B2600" i="4"/>
  <c r="B2599" i="4"/>
  <c r="B2598" i="4"/>
  <c r="B2597" i="4"/>
  <c r="B2596" i="4"/>
  <c r="B2595" i="4"/>
  <c r="B2594" i="4"/>
  <c r="B2593" i="4"/>
  <c r="B2592" i="4"/>
  <c r="B2591" i="4"/>
  <c r="B2590" i="4"/>
  <c r="B2589" i="4"/>
  <c r="B2588" i="4"/>
  <c r="B2587" i="4"/>
  <c r="B2586" i="4"/>
  <c r="B2585" i="4"/>
  <c r="B2584" i="4"/>
  <c r="B2583" i="4"/>
  <c r="B2582" i="4"/>
  <c r="B2581" i="4"/>
  <c r="B2580" i="4"/>
  <c r="B2579" i="4"/>
  <c r="B2578" i="4"/>
  <c r="B2577" i="4"/>
  <c r="B2576" i="4"/>
  <c r="B2575" i="4"/>
  <c r="B2574" i="4"/>
  <c r="B2573" i="4"/>
  <c r="B2572" i="4"/>
  <c r="B2571" i="4"/>
  <c r="B2570" i="4"/>
  <c r="B2569" i="4"/>
  <c r="B2568" i="4"/>
  <c r="B2567" i="4"/>
  <c r="B2566" i="4"/>
  <c r="B2565" i="4"/>
  <c r="B2564" i="4"/>
  <c r="B2563" i="4"/>
  <c r="B2562" i="4"/>
  <c r="B2561" i="4"/>
  <c r="B2560" i="4"/>
  <c r="B2559" i="4"/>
  <c r="B2558" i="4"/>
  <c r="B2557" i="4"/>
  <c r="B2556" i="4"/>
  <c r="B2555" i="4"/>
  <c r="B2554" i="4"/>
  <c r="B2553" i="4"/>
  <c r="B2552" i="4"/>
  <c r="B2551" i="4"/>
  <c r="B2550" i="4"/>
  <c r="B2549" i="4"/>
  <c r="B2548" i="4"/>
  <c r="B2547" i="4"/>
  <c r="B2546" i="4"/>
  <c r="B2545" i="4"/>
  <c r="B2544" i="4"/>
  <c r="B2543" i="4"/>
  <c r="B2542" i="4"/>
  <c r="B2541" i="4"/>
  <c r="B2540" i="4"/>
  <c r="B2539" i="4"/>
  <c r="B2538" i="4"/>
  <c r="B2537" i="4"/>
  <c r="B2536" i="4"/>
  <c r="B2535" i="4"/>
  <c r="B2534" i="4"/>
  <c r="B2533" i="4"/>
  <c r="B2532" i="4"/>
  <c r="B2531" i="4"/>
  <c r="B2530" i="4"/>
  <c r="B2529" i="4"/>
  <c r="B2528" i="4"/>
  <c r="B2527" i="4"/>
  <c r="B2526" i="4"/>
  <c r="B2525" i="4"/>
  <c r="B2524" i="4"/>
  <c r="B2523" i="4"/>
  <c r="B2522" i="4"/>
  <c r="B2521" i="4"/>
  <c r="B2520" i="4"/>
  <c r="B2519" i="4"/>
  <c r="B2518" i="4"/>
  <c r="B2517" i="4"/>
  <c r="B2516" i="4"/>
  <c r="B2515" i="4"/>
  <c r="B2514" i="4"/>
  <c r="B2513" i="4"/>
  <c r="B2512" i="4"/>
  <c r="B2511" i="4"/>
  <c r="B2510" i="4"/>
  <c r="B2509" i="4"/>
  <c r="B2508" i="4"/>
  <c r="B2507" i="4"/>
  <c r="B2506" i="4"/>
  <c r="B2505" i="4"/>
  <c r="B2504" i="4"/>
  <c r="B2503" i="4"/>
  <c r="B2502" i="4"/>
  <c r="B2501" i="4"/>
  <c r="B2500" i="4"/>
  <c r="B2499" i="4"/>
  <c r="B2498" i="4"/>
  <c r="B2497" i="4"/>
  <c r="B2496" i="4"/>
  <c r="B2495" i="4"/>
  <c r="B2494" i="4"/>
  <c r="B2493" i="4"/>
  <c r="B2492" i="4"/>
  <c r="B2491" i="4"/>
  <c r="B2490" i="4"/>
  <c r="B2489" i="4"/>
  <c r="B2488" i="4"/>
  <c r="B2487" i="4"/>
  <c r="B2486" i="4"/>
  <c r="B2485" i="4"/>
  <c r="B2484" i="4"/>
  <c r="B2483" i="4"/>
  <c r="B2482" i="4"/>
  <c r="B2481" i="4"/>
  <c r="B2480" i="4"/>
  <c r="B2479" i="4"/>
  <c r="B2478" i="4"/>
  <c r="B2477" i="4"/>
  <c r="B2476" i="4"/>
  <c r="B2475" i="4"/>
  <c r="B2474" i="4"/>
  <c r="B2473" i="4"/>
  <c r="B2472" i="4"/>
  <c r="B2471" i="4"/>
  <c r="B2470" i="4"/>
  <c r="B2469" i="4"/>
  <c r="B2468" i="4"/>
  <c r="B2467" i="4"/>
  <c r="B2466" i="4"/>
  <c r="B2465" i="4"/>
  <c r="B2464" i="4"/>
  <c r="B2463" i="4"/>
  <c r="B2462" i="4"/>
  <c r="B2461" i="4"/>
  <c r="B2460" i="4"/>
  <c r="B2459" i="4"/>
  <c r="B2458" i="4"/>
  <c r="B2457" i="4"/>
  <c r="B2456" i="4"/>
  <c r="B2455" i="4"/>
  <c r="B2454" i="4"/>
  <c r="B2453" i="4"/>
  <c r="B2452" i="4"/>
  <c r="B2451" i="4"/>
  <c r="B2450" i="4"/>
  <c r="B2449" i="4"/>
  <c r="B2448" i="4"/>
  <c r="B2447" i="4"/>
  <c r="B2446" i="4"/>
  <c r="B2445" i="4"/>
  <c r="B2444" i="4"/>
  <c r="B2443" i="4"/>
  <c r="B2442" i="4"/>
  <c r="B2441" i="4"/>
  <c r="B2440" i="4"/>
  <c r="B2439" i="4"/>
  <c r="B2438" i="4"/>
  <c r="B2437" i="4"/>
  <c r="B2436" i="4"/>
  <c r="B2435" i="4"/>
  <c r="B2434" i="4"/>
  <c r="B2433" i="4"/>
  <c r="B2432" i="4"/>
  <c r="B2431" i="4"/>
  <c r="B2430" i="4"/>
  <c r="B2429" i="4"/>
  <c r="B2428" i="4"/>
  <c r="B2427" i="4"/>
  <c r="B2426" i="4"/>
  <c r="B2425" i="4"/>
  <c r="B2424" i="4"/>
  <c r="B2423" i="4"/>
  <c r="B2422" i="4"/>
  <c r="B2421" i="4"/>
  <c r="B2420" i="4"/>
  <c r="B2419" i="4"/>
  <c r="B2418" i="4"/>
  <c r="B2417" i="4"/>
  <c r="B2416" i="4"/>
  <c r="B2415" i="4"/>
  <c r="B2414" i="4"/>
  <c r="B2413" i="4"/>
  <c r="B2412" i="4"/>
  <c r="B2411" i="4"/>
  <c r="B2410" i="4"/>
  <c r="B2409" i="4"/>
  <c r="B2408" i="4"/>
  <c r="B2407" i="4"/>
  <c r="B2406" i="4"/>
  <c r="B2405" i="4"/>
  <c r="B2404" i="4"/>
  <c r="B2403" i="4"/>
  <c r="B2402" i="4"/>
  <c r="B2401" i="4"/>
  <c r="B2400" i="4"/>
  <c r="B2399" i="4"/>
  <c r="B2398" i="4"/>
  <c r="B2397" i="4"/>
  <c r="B2396" i="4"/>
  <c r="B2395" i="4"/>
  <c r="B2394" i="4"/>
  <c r="B2393" i="4"/>
  <c r="B2392" i="4"/>
  <c r="B2391" i="4"/>
  <c r="B2390" i="4"/>
  <c r="B2389" i="4"/>
  <c r="B2388" i="4"/>
  <c r="B2387" i="4"/>
  <c r="B2386" i="4"/>
  <c r="B2385" i="4"/>
  <c r="B2384" i="4"/>
  <c r="B2383" i="4"/>
  <c r="B2382" i="4"/>
  <c r="B2381" i="4"/>
  <c r="B2380" i="4"/>
  <c r="B2379" i="4"/>
  <c r="B2378" i="4"/>
  <c r="B2377" i="4"/>
  <c r="B2376" i="4"/>
  <c r="B2375" i="4"/>
  <c r="B2374" i="4"/>
  <c r="B2373" i="4"/>
  <c r="B2372" i="4"/>
  <c r="B2371" i="4"/>
  <c r="B2370" i="4"/>
  <c r="B2369" i="4"/>
  <c r="B2368" i="4"/>
  <c r="B2367" i="4"/>
  <c r="B2366" i="4"/>
  <c r="B2365" i="4"/>
  <c r="B2364" i="4"/>
  <c r="B2363" i="4"/>
  <c r="B2362" i="4"/>
  <c r="B2361" i="4"/>
  <c r="B2360" i="4"/>
  <c r="B2359" i="4"/>
  <c r="B2358" i="4"/>
  <c r="B2357" i="4"/>
  <c r="B2356" i="4"/>
  <c r="B2355" i="4"/>
  <c r="B2354" i="4"/>
  <c r="B2353" i="4"/>
  <c r="B2352" i="4"/>
  <c r="B2351" i="4"/>
  <c r="B2350" i="4"/>
  <c r="B2349" i="4"/>
  <c r="B2348" i="4"/>
  <c r="B2347" i="4"/>
  <c r="B2346" i="4"/>
  <c r="B2345" i="4"/>
  <c r="B2344" i="4"/>
  <c r="B2343" i="4"/>
  <c r="B2342" i="4"/>
  <c r="B2341" i="4"/>
  <c r="B2340" i="4"/>
  <c r="B2339" i="4"/>
  <c r="B2338" i="4"/>
  <c r="B2337" i="4"/>
  <c r="B2336" i="4"/>
  <c r="B2335" i="4"/>
  <c r="B2334" i="4"/>
  <c r="B2333" i="4"/>
  <c r="B2332" i="4"/>
  <c r="B2331" i="4"/>
  <c r="B2330" i="4"/>
  <c r="B2329" i="4"/>
  <c r="B2328" i="4"/>
  <c r="B2327" i="4"/>
  <c r="B2326" i="4"/>
  <c r="B2325" i="4"/>
  <c r="B2324" i="4"/>
  <c r="B2323" i="4"/>
  <c r="B2322" i="4"/>
  <c r="B2321" i="4"/>
  <c r="B2320" i="4"/>
  <c r="B2319" i="4"/>
  <c r="B2318" i="4"/>
  <c r="B2317" i="4"/>
  <c r="B2316" i="4"/>
  <c r="B2315" i="4"/>
  <c r="B2314" i="4"/>
  <c r="B2313" i="4"/>
  <c r="B2312" i="4"/>
  <c r="B2311" i="4"/>
  <c r="B2310" i="4"/>
  <c r="B2309" i="4"/>
  <c r="B2308" i="4"/>
  <c r="B2307" i="4"/>
  <c r="B2306" i="4"/>
  <c r="B2305" i="4"/>
  <c r="B2304" i="4"/>
  <c r="B2303" i="4"/>
  <c r="B2302" i="4"/>
  <c r="B2301" i="4"/>
  <c r="B2300" i="4"/>
  <c r="B2299" i="4"/>
  <c r="B2298" i="4"/>
  <c r="B2297" i="4"/>
  <c r="B2296" i="4"/>
  <c r="B2295" i="4"/>
  <c r="B2294" i="4"/>
  <c r="B2293" i="4"/>
  <c r="B2292" i="4"/>
  <c r="B2291" i="4"/>
  <c r="B2290" i="4"/>
  <c r="B2289" i="4"/>
  <c r="B2288" i="4"/>
  <c r="B2287" i="4"/>
  <c r="B2286" i="4"/>
  <c r="B2285" i="4"/>
  <c r="B2284" i="4"/>
  <c r="B2283" i="4"/>
  <c r="B2282" i="4"/>
  <c r="B2281" i="4"/>
  <c r="B2280" i="4"/>
  <c r="B2279" i="4"/>
  <c r="B2278" i="4"/>
  <c r="B2277" i="4"/>
  <c r="B2276" i="4"/>
  <c r="B2275" i="4"/>
  <c r="B2274" i="4"/>
  <c r="B2273" i="4"/>
  <c r="B2272" i="4"/>
  <c r="B2271" i="4"/>
  <c r="B2270" i="4"/>
  <c r="B2269" i="4"/>
  <c r="B2268" i="4"/>
  <c r="B2267" i="4"/>
  <c r="B2266" i="4"/>
  <c r="B2265" i="4"/>
  <c r="B2264" i="4"/>
  <c r="B2263" i="4"/>
  <c r="B2262" i="4"/>
  <c r="B2261" i="4"/>
  <c r="B2260" i="4"/>
  <c r="B2259" i="4"/>
  <c r="B2258" i="4"/>
  <c r="B2257" i="4"/>
  <c r="B2256" i="4"/>
  <c r="B2255" i="4"/>
  <c r="B2254" i="4"/>
  <c r="B2253" i="4"/>
  <c r="B2252" i="4"/>
  <c r="B2251" i="4"/>
  <c r="B2250" i="4"/>
  <c r="B2249" i="4"/>
  <c r="B2248" i="4"/>
  <c r="B2247" i="4"/>
  <c r="B2246" i="4"/>
  <c r="B2245" i="4"/>
  <c r="B2244" i="4"/>
  <c r="B2243" i="4"/>
  <c r="B2242" i="4"/>
  <c r="B2241" i="4"/>
  <c r="B2240" i="4"/>
  <c r="B2239" i="4"/>
  <c r="B2238" i="4"/>
  <c r="B2237" i="4"/>
  <c r="B2236" i="4"/>
  <c r="B2235" i="4"/>
  <c r="B2234" i="4"/>
  <c r="B2233" i="4"/>
  <c r="B2232" i="4"/>
  <c r="B2231" i="4"/>
  <c r="B2230" i="4"/>
  <c r="B2229" i="4"/>
  <c r="B2228" i="4"/>
  <c r="B2227" i="4"/>
  <c r="B2226" i="4"/>
  <c r="B2225" i="4"/>
  <c r="B2224" i="4"/>
  <c r="B2223" i="4"/>
  <c r="B2222" i="4"/>
  <c r="B2221" i="4"/>
  <c r="B2220" i="4"/>
  <c r="B2219" i="4"/>
  <c r="B2218" i="4"/>
  <c r="B2217" i="4"/>
  <c r="B2216" i="4"/>
  <c r="B2215" i="4"/>
  <c r="B2214" i="4"/>
  <c r="B2213" i="4"/>
  <c r="B2212" i="4"/>
  <c r="B2211" i="4"/>
  <c r="B2210" i="4"/>
  <c r="B2209" i="4"/>
  <c r="B2208" i="4"/>
  <c r="B2207" i="4"/>
  <c r="B2206" i="4"/>
  <c r="B2205" i="4"/>
  <c r="B2204" i="4"/>
  <c r="B2203" i="4"/>
  <c r="B2202" i="4"/>
  <c r="B2201" i="4"/>
  <c r="B2200" i="4"/>
  <c r="B2199" i="4"/>
  <c r="B2198" i="4"/>
  <c r="B2197" i="4"/>
  <c r="B2196" i="4"/>
  <c r="B2195" i="4"/>
  <c r="B2194" i="4"/>
  <c r="B2193" i="4"/>
  <c r="B2192" i="4"/>
  <c r="B2191" i="4"/>
  <c r="B2190" i="4"/>
  <c r="B2189" i="4"/>
  <c r="B2188" i="4"/>
  <c r="B2187" i="4"/>
  <c r="B2186" i="4"/>
  <c r="B2185" i="4"/>
  <c r="B2184" i="4"/>
  <c r="B2183" i="4"/>
  <c r="B2182" i="4"/>
  <c r="B2181" i="4"/>
  <c r="B2180" i="4"/>
  <c r="B2179" i="4"/>
  <c r="B2178" i="4"/>
  <c r="B2177" i="4"/>
  <c r="B2176" i="4"/>
  <c r="B2175" i="4"/>
  <c r="B2174" i="4"/>
  <c r="B2173" i="4"/>
  <c r="B2172" i="4"/>
  <c r="B2171" i="4"/>
  <c r="B2170" i="4"/>
  <c r="B2169" i="4"/>
  <c r="B2168" i="4"/>
  <c r="B2167" i="4"/>
  <c r="B2166" i="4"/>
  <c r="B2165" i="4"/>
  <c r="B2164" i="4"/>
  <c r="B2163" i="4"/>
  <c r="B2162" i="4"/>
  <c r="B2161" i="4"/>
  <c r="B2160" i="4"/>
  <c r="B2159" i="4"/>
  <c r="B2158" i="4"/>
  <c r="B2157" i="4"/>
  <c r="B2156" i="4"/>
  <c r="B2155" i="4"/>
  <c r="B2154" i="4"/>
  <c r="B2153" i="4"/>
  <c r="B2152" i="4"/>
  <c r="B2151" i="4"/>
  <c r="B2150" i="4"/>
  <c r="B2149" i="4"/>
  <c r="B2148" i="4"/>
  <c r="B2147" i="4"/>
  <c r="B2146" i="4"/>
  <c r="B2145" i="4"/>
  <c r="B2144" i="4"/>
  <c r="B2143" i="4"/>
  <c r="B2142" i="4"/>
  <c r="B2141" i="4"/>
  <c r="B2140" i="4"/>
  <c r="B2139" i="4"/>
  <c r="B2138" i="4"/>
  <c r="B2137" i="4"/>
  <c r="B2136" i="4"/>
  <c r="B2135" i="4"/>
  <c r="B2134" i="4"/>
  <c r="B2133" i="4"/>
  <c r="B2132" i="4"/>
  <c r="B2131" i="4"/>
  <c r="B2130" i="4"/>
  <c r="B2129" i="4"/>
  <c r="B2128" i="4"/>
  <c r="B2127" i="4"/>
  <c r="B2126" i="4"/>
  <c r="B2125" i="4"/>
  <c r="B2124" i="4"/>
  <c r="B2123" i="4"/>
  <c r="B2122" i="4"/>
  <c r="B2121" i="4"/>
  <c r="B2120" i="4"/>
  <c r="B2119" i="4"/>
  <c r="B2118" i="4"/>
  <c r="B2117" i="4"/>
  <c r="B2116" i="4"/>
  <c r="B2115" i="4"/>
  <c r="B2114" i="4"/>
  <c r="B2113" i="4"/>
  <c r="B2112" i="4"/>
  <c r="B2111" i="4"/>
  <c r="B2110" i="4"/>
  <c r="B2109" i="4"/>
  <c r="B2108" i="4"/>
  <c r="B2107" i="4"/>
  <c r="B2106" i="4"/>
  <c r="B2105" i="4"/>
  <c r="B2104" i="4"/>
  <c r="B2103" i="4"/>
  <c r="B2102" i="4"/>
  <c r="B2101" i="4"/>
  <c r="B2100" i="4"/>
  <c r="B2099" i="4"/>
  <c r="B2098" i="4"/>
  <c r="B2097" i="4"/>
  <c r="B2096" i="4"/>
  <c r="B2095" i="4"/>
  <c r="B2094" i="4"/>
  <c r="B2093" i="4"/>
  <c r="B2092" i="4"/>
  <c r="B2091" i="4"/>
  <c r="B2090" i="4"/>
  <c r="B2089" i="4"/>
  <c r="B2088" i="4"/>
  <c r="B2087" i="4"/>
  <c r="B2086" i="4"/>
  <c r="B2085" i="4"/>
  <c r="B2084" i="4"/>
  <c r="B2083" i="4"/>
  <c r="B2082" i="4"/>
  <c r="B2081" i="4"/>
  <c r="B2080" i="4"/>
  <c r="B2079" i="4"/>
  <c r="B2078" i="4"/>
  <c r="B2077" i="4"/>
  <c r="B2076" i="4"/>
  <c r="B2075" i="4"/>
  <c r="B2074" i="4"/>
  <c r="B2073" i="4"/>
  <c r="B2072" i="4"/>
  <c r="B2071" i="4"/>
  <c r="B2070" i="4"/>
  <c r="B2069" i="4"/>
  <c r="B2068" i="4"/>
  <c r="B2067" i="4"/>
  <c r="B2066" i="4"/>
  <c r="B2065" i="4"/>
  <c r="B2064" i="4"/>
  <c r="B2063" i="4"/>
  <c r="B2062" i="4"/>
  <c r="B2061" i="4"/>
  <c r="B2060" i="4"/>
  <c r="B2059" i="4"/>
  <c r="B2058" i="4"/>
  <c r="B2057" i="4"/>
  <c r="B2056" i="4"/>
  <c r="B2055" i="4"/>
  <c r="B2054" i="4"/>
  <c r="B2053" i="4"/>
  <c r="B2052" i="4"/>
  <c r="B2051" i="4"/>
  <c r="B2050" i="4"/>
  <c r="B2049" i="4"/>
  <c r="B2048" i="4"/>
  <c r="B2047" i="4"/>
  <c r="B2046" i="4"/>
  <c r="B2045" i="4"/>
  <c r="B2044" i="4"/>
  <c r="B2043" i="4"/>
  <c r="B2042" i="4"/>
  <c r="B2041" i="4"/>
  <c r="B2040" i="4"/>
  <c r="B2039" i="4"/>
  <c r="B2038" i="4"/>
  <c r="B2037" i="4"/>
  <c r="B2036" i="4"/>
  <c r="B2035" i="4"/>
  <c r="B2034" i="4"/>
  <c r="B2033" i="4"/>
  <c r="B2032" i="4"/>
  <c r="B2031" i="4"/>
  <c r="B2030" i="4"/>
  <c r="B2029" i="4"/>
  <c r="B2028" i="4"/>
  <c r="B2027" i="4"/>
  <c r="B2026" i="4"/>
  <c r="B2025" i="4"/>
  <c r="B2024" i="4"/>
  <c r="B2023" i="4"/>
  <c r="B2022" i="4"/>
  <c r="B2021" i="4"/>
  <c r="B2020" i="4"/>
  <c r="B2019" i="4"/>
  <c r="B2018" i="4"/>
  <c r="B2017" i="4"/>
  <c r="B2016" i="4"/>
  <c r="B2015" i="4"/>
  <c r="B2014" i="4"/>
  <c r="B2013" i="4"/>
  <c r="B2012" i="4"/>
  <c r="B2011" i="4"/>
  <c r="B2010" i="4"/>
  <c r="B2009" i="4"/>
  <c r="B2008" i="4"/>
  <c r="B2007" i="4"/>
  <c r="B2006" i="4"/>
  <c r="B2005" i="4"/>
  <c r="B2004" i="4"/>
  <c r="B2003" i="4"/>
  <c r="B2002" i="4"/>
  <c r="B2001" i="4"/>
  <c r="B2000" i="4"/>
  <c r="B1999" i="4"/>
  <c r="B1998" i="4"/>
  <c r="B1997" i="4"/>
  <c r="B1996" i="4"/>
  <c r="B1995" i="4"/>
  <c r="B1994" i="4"/>
  <c r="B1993" i="4"/>
  <c r="B1992" i="4"/>
  <c r="B1991" i="4"/>
  <c r="B1990" i="4"/>
  <c r="B1989" i="4"/>
  <c r="B1988" i="4"/>
  <c r="B1987" i="4"/>
  <c r="B1986" i="4"/>
  <c r="B1985" i="4"/>
  <c r="B1984" i="4"/>
  <c r="B1983" i="4"/>
  <c r="B1982" i="4"/>
  <c r="B1981" i="4"/>
  <c r="B1980" i="4"/>
  <c r="B1979" i="4"/>
  <c r="B1978" i="4"/>
  <c r="B1977" i="4"/>
  <c r="B1976" i="4"/>
  <c r="B1975" i="4"/>
  <c r="B1974" i="4"/>
  <c r="B1973" i="4"/>
  <c r="B1972" i="4"/>
  <c r="B1971" i="4"/>
  <c r="B1970" i="4"/>
  <c r="B1969" i="4"/>
  <c r="B1968" i="4"/>
  <c r="B1967" i="4"/>
  <c r="B1966" i="4"/>
  <c r="B1965" i="4"/>
  <c r="B1964" i="4"/>
  <c r="B1963" i="4"/>
  <c r="B1962" i="4"/>
  <c r="B1961" i="4"/>
  <c r="B1960" i="4"/>
  <c r="B1959" i="4"/>
  <c r="B1958" i="4"/>
  <c r="B1957" i="4"/>
  <c r="B1956" i="4"/>
  <c r="B1955" i="4"/>
  <c r="B1954" i="4"/>
  <c r="B1953" i="4"/>
  <c r="B1952" i="4"/>
  <c r="B1951" i="4"/>
  <c r="B1950" i="4"/>
  <c r="B1949" i="4"/>
  <c r="B1948" i="4"/>
  <c r="B1947" i="4"/>
  <c r="B1946" i="4"/>
  <c r="B1945" i="4"/>
  <c r="B1944" i="4"/>
  <c r="B1943" i="4"/>
  <c r="B1942" i="4"/>
  <c r="B1941" i="4"/>
  <c r="B1940" i="4"/>
  <c r="B1939" i="4"/>
  <c r="B1938" i="4"/>
  <c r="B1937" i="4"/>
  <c r="B1936" i="4"/>
  <c r="B1935" i="4"/>
  <c r="B1934" i="4"/>
  <c r="B1933" i="4"/>
  <c r="B1932" i="4"/>
  <c r="B1931" i="4"/>
  <c r="B1930" i="4"/>
  <c r="B1929" i="4"/>
  <c r="B1928" i="4"/>
  <c r="B1927" i="4"/>
  <c r="B1926" i="4"/>
  <c r="B1925" i="4"/>
  <c r="B1924" i="4"/>
  <c r="B1923" i="4"/>
  <c r="B1922" i="4"/>
  <c r="B1921" i="4"/>
  <c r="B1920" i="4"/>
  <c r="B1919" i="4"/>
  <c r="B1918" i="4"/>
  <c r="B1917" i="4"/>
  <c r="B1916" i="4"/>
  <c r="B1915" i="4"/>
  <c r="B1914" i="4"/>
  <c r="B1913" i="4"/>
  <c r="B1912" i="4"/>
  <c r="B1911" i="4"/>
  <c r="B1910" i="4"/>
  <c r="B1909" i="4"/>
  <c r="B1908" i="4"/>
  <c r="B1907" i="4"/>
  <c r="B1906" i="4"/>
  <c r="B1905" i="4"/>
  <c r="B1904" i="4"/>
  <c r="B1903" i="4"/>
  <c r="B1902" i="4"/>
  <c r="B1901" i="4"/>
  <c r="B1900" i="4"/>
  <c r="B1899" i="4"/>
  <c r="B1898" i="4"/>
  <c r="B1897" i="4"/>
  <c r="B1896" i="4"/>
  <c r="B1895" i="4"/>
  <c r="B1894" i="4"/>
  <c r="B1893" i="4"/>
  <c r="B1892" i="4"/>
  <c r="B1891" i="4"/>
  <c r="B1890" i="4"/>
  <c r="B1889" i="4"/>
  <c r="B1888" i="4"/>
  <c r="B1887" i="4"/>
  <c r="B1886" i="4"/>
  <c r="B1885" i="4"/>
  <c r="B1884" i="4"/>
  <c r="B1883" i="4"/>
  <c r="B1882" i="4"/>
  <c r="B1881" i="4"/>
  <c r="B1880" i="4"/>
  <c r="B1879" i="4"/>
  <c r="B1878" i="4"/>
  <c r="B1877" i="4"/>
  <c r="B1876" i="4"/>
  <c r="B1875" i="4"/>
  <c r="B1874" i="4"/>
  <c r="B1873" i="4"/>
  <c r="B1872" i="4"/>
  <c r="B1871" i="4"/>
  <c r="B1870" i="4"/>
  <c r="B1869" i="4"/>
  <c r="B1868" i="4"/>
  <c r="B1867" i="4"/>
  <c r="B1866" i="4"/>
  <c r="B1865" i="4"/>
  <c r="B1864" i="4"/>
  <c r="B1863" i="4"/>
  <c r="B1862" i="4"/>
  <c r="B1861" i="4"/>
  <c r="B1860" i="4"/>
  <c r="B1859" i="4"/>
  <c r="B1858" i="4"/>
  <c r="B1857" i="4"/>
  <c r="B1856" i="4"/>
  <c r="B1855" i="4"/>
  <c r="B1854" i="4"/>
  <c r="B1853" i="4"/>
  <c r="B1852" i="4"/>
  <c r="B1851" i="4"/>
  <c r="B1850" i="4"/>
  <c r="B1849" i="4"/>
  <c r="B1848" i="4"/>
  <c r="B1847" i="4"/>
  <c r="B1846" i="4"/>
  <c r="B1845" i="4"/>
  <c r="B1844" i="4"/>
  <c r="B1843" i="4"/>
  <c r="B1842" i="4"/>
  <c r="B1841" i="4"/>
  <c r="B1840" i="4"/>
  <c r="B1839" i="4"/>
  <c r="B1838" i="4"/>
  <c r="B1837" i="4"/>
  <c r="B1836" i="4"/>
  <c r="B1835" i="4"/>
  <c r="B1834" i="4"/>
  <c r="B1833" i="4"/>
  <c r="B1832" i="4"/>
  <c r="B1831" i="4"/>
  <c r="B1830" i="4"/>
  <c r="B1829" i="4"/>
  <c r="B1828" i="4"/>
  <c r="B1827" i="4"/>
  <c r="B1826" i="4"/>
  <c r="B1825" i="4"/>
  <c r="B1824" i="4"/>
  <c r="B1823" i="4"/>
  <c r="B1822" i="4"/>
  <c r="B1821" i="4"/>
  <c r="B1820" i="4"/>
  <c r="B1819" i="4"/>
  <c r="B1818" i="4"/>
  <c r="B1817" i="4"/>
  <c r="B1816" i="4"/>
  <c r="B1815" i="4"/>
  <c r="B1814" i="4"/>
  <c r="B1813" i="4"/>
  <c r="B1812" i="4"/>
  <c r="B1811" i="4"/>
  <c r="B1810" i="4"/>
  <c r="B1809" i="4"/>
  <c r="B1808" i="4"/>
  <c r="B1807" i="4"/>
  <c r="B1806" i="4"/>
  <c r="B1805" i="4"/>
  <c r="B1804" i="4"/>
  <c r="B1803" i="4"/>
  <c r="B1802" i="4"/>
  <c r="B1801" i="4"/>
  <c r="B1800" i="4"/>
  <c r="B1799" i="4"/>
  <c r="B1798" i="4"/>
  <c r="B1797" i="4"/>
  <c r="B1796" i="4"/>
  <c r="B1795" i="4"/>
  <c r="B1794" i="4"/>
  <c r="B1793" i="4"/>
  <c r="B1792" i="4"/>
  <c r="B1791" i="4"/>
  <c r="B1790" i="4"/>
  <c r="B1789" i="4"/>
  <c r="B1788" i="4"/>
  <c r="B1787" i="4"/>
  <c r="B1786" i="4"/>
  <c r="B1785" i="4"/>
  <c r="B1784" i="4"/>
  <c r="B1783" i="4"/>
  <c r="B1782" i="4"/>
  <c r="B1781" i="4"/>
  <c r="B1780" i="4"/>
  <c r="B1779" i="4"/>
  <c r="B1778" i="4"/>
  <c r="B1777" i="4"/>
  <c r="B1776" i="4"/>
  <c r="B1775" i="4"/>
  <c r="B1774" i="4"/>
  <c r="B1773" i="4"/>
  <c r="B1772" i="4"/>
  <c r="B1771" i="4"/>
  <c r="B1770" i="4"/>
  <c r="B1769" i="4"/>
  <c r="B1768" i="4"/>
  <c r="B1767" i="4"/>
  <c r="B1766" i="4"/>
  <c r="B1765" i="4"/>
  <c r="B1764" i="4"/>
  <c r="B1763" i="4"/>
  <c r="B1762" i="4"/>
  <c r="B1761" i="4"/>
  <c r="B1760" i="4"/>
  <c r="B1759" i="4"/>
  <c r="B1758" i="4"/>
  <c r="B1757" i="4"/>
  <c r="B1756" i="4"/>
  <c r="B1755" i="4"/>
  <c r="B1754" i="4"/>
  <c r="B1753" i="4"/>
  <c r="B1752" i="4"/>
  <c r="B1751" i="4"/>
  <c r="B1750" i="4"/>
  <c r="B1749" i="4"/>
  <c r="B1748" i="4"/>
  <c r="B1747" i="4"/>
  <c r="B1746" i="4"/>
  <c r="B1745" i="4"/>
  <c r="B1744" i="4"/>
  <c r="B1743" i="4"/>
  <c r="B1742" i="4"/>
  <c r="B1741" i="4"/>
  <c r="B1740" i="4"/>
  <c r="B1739" i="4"/>
  <c r="B1738" i="4"/>
  <c r="B1737" i="4"/>
  <c r="B1736" i="4"/>
  <c r="B1735" i="4"/>
  <c r="B1734" i="4"/>
  <c r="B1733" i="4"/>
  <c r="B1732" i="4"/>
  <c r="B1731" i="4"/>
  <c r="B1730" i="4"/>
  <c r="B1729" i="4"/>
  <c r="B1728" i="4"/>
  <c r="B1727" i="4"/>
  <c r="B1726" i="4"/>
  <c r="B1725" i="4"/>
  <c r="B1724" i="4"/>
  <c r="B1723" i="4"/>
  <c r="B1722" i="4"/>
  <c r="B1721" i="4"/>
  <c r="B1720" i="4"/>
  <c r="B1719" i="4"/>
  <c r="B1718" i="4"/>
  <c r="B1717" i="4"/>
  <c r="B1716" i="4"/>
  <c r="B1715" i="4"/>
  <c r="B1714" i="4"/>
  <c r="B1713" i="4"/>
  <c r="B1712" i="4"/>
  <c r="B1711" i="4"/>
  <c r="B1710" i="4"/>
  <c r="B1709" i="4"/>
  <c r="B1708" i="4"/>
  <c r="B1707" i="4"/>
  <c r="B1706" i="4"/>
  <c r="B1705" i="4"/>
  <c r="B1704" i="4"/>
  <c r="B1703" i="4"/>
  <c r="B1702" i="4"/>
  <c r="B1701" i="4"/>
  <c r="B1700" i="4"/>
  <c r="B1699" i="4"/>
  <c r="B1698" i="4"/>
  <c r="B1697" i="4"/>
  <c r="B1696" i="4"/>
  <c r="B1695" i="4"/>
  <c r="B1694" i="4"/>
  <c r="B1693" i="4"/>
  <c r="B1692" i="4"/>
  <c r="B1691" i="4"/>
  <c r="B1690" i="4"/>
  <c r="B1689" i="4"/>
  <c r="B1688" i="4"/>
  <c r="B1687" i="4"/>
  <c r="B1686" i="4"/>
  <c r="B1685" i="4"/>
  <c r="B1684" i="4"/>
  <c r="B1683" i="4"/>
  <c r="B1682" i="4"/>
  <c r="B1681" i="4"/>
  <c r="B1680" i="4"/>
  <c r="B1679" i="4"/>
  <c r="B1678" i="4"/>
  <c r="B1677" i="4"/>
  <c r="B1676" i="4"/>
  <c r="B1675" i="4"/>
  <c r="B1674" i="4"/>
  <c r="B1673" i="4"/>
  <c r="B1672" i="4"/>
  <c r="B1671" i="4"/>
  <c r="B1670" i="4"/>
  <c r="B1669" i="4"/>
  <c r="B1668" i="4"/>
  <c r="B1667" i="4"/>
  <c r="B1666" i="4"/>
  <c r="B1665" i="4"/>
  <c r="B1664" i="4"/>
  <c r="B1663" i="4"/>
  <c r="B1662" i="4"/>
  <c r="B1661" i="4"/>
  <c r="B1660" i="4"/>
  <c r="B1659" i="4"/>
  <c r="B1658" i="4"/>
  <c r="B1657" i="4"/>
  <c r="B1656" i="4"/>
  <c r="B1655" i="4"/>
  <c r="B1654" i="4"/>
  <c r="B1653" i="4"/>
  <c r="B1652" i="4"/>
  <c r="B1651" i="4"/>
  <c r="B1650" i="4"/>
  <c r="B1649" i="4"/>
  <c r="B1648" i="4"/>
  <c r="B1647" i="4"/>
  <c r="B1646" i="4"/>
  <c r="B1645" i="4"/>
  <c r="B1644" i="4"/>
  <c r="B1643" i="4"/>
  <c r="B1642" i="4"/>
  <c r="B1641" i="4"/>
  <c r="B1640" i="4"/>
  <c r="B1639" i="4"/>
  <c r="B1638" i="4"/>
  <c r="B1637" i="4"/>
  <c r="B1636" i="4"/>
  <c r="B1635" i="4"/>
  <c r="B1634" i="4"/>
  <c r="B1633" i="4"/>
  <c r="B1632" i="4"/>
  <c r="B1631" i="4"/>
  <c r="B1630" i="4"/>
  <c r="B1629" i="4"/>
  <c r="B1628" i="4"/>
  <c r="B1627" i="4"/>
  <c r="B1626" i="4"/>
  <c r="B1625" i="4"/>
  <c r="B1624" i="4"/>
  <c r="B1623" i="4"/>
  <c r="B1622" i="4"/>
  <c r="B1621" i="4"/>
  <c r="B1620" i="4"/>
  <c r="B1619" i="4"/>
  <c r="B1618" i="4"/>
  <c r="B1617" i="4"/>
  <c r="B1616" i="4"/>
  <c r="B1615" i="4"/>
  <c r="B1614" i="4"/>
  <c r="B1613" i="4"/>
  <c r="B1612" i="4"/>
  <c r="B1611" i="4"/>
  <c r="B1610" i="4"/>
  <c r="B1609" i="4"/>
  <c r="B1608" i="4"/>
  <c r="B1607" i="4"/>
  <c r="B1606" i="4"/>
  <c r="B1605" i="4"/>
  <c r="B1604" i="4"/>
  <c r="B1603" i="4"/>
  <c r="B1602" i="4"/>
  <c r="B1601" i="4"/>
  <c r="B1600" i="4"/>
  <c r="B1599" i="4"/>
  <c r="B1598" i="4"/>
  <c r="B1597" i="4"/>
  <c r="B1596" i="4"/>
  <c r="B1595" i="4"/>
  <c r="B1594" i="4"/>
  <c r="B1593" i="4"/>
  <c r="B1592" i="4"/>
  <c r="B1591" i="4"/>
  <c r="B1590" i="4"/>
  <c r="B1589" i="4"/>
  <c r="B1588" i="4"/>
  <c r="B1587" i="4"/>
  <c r="B1586" i="4"/>
  <c r="B1585" i="4"/>
  <c r="B1584" i="4"/>
  <c r="B1583" i="4"/>
  <c r="B1582" i="4"/>
  <c r="B1581" i="4"/>
  <c r="B1580" i="4"/>
  <c r="B1579" i="4"/>
  <c r="B1578" i="4"/>
  <c r="B1577" i="4"/>
  <c r="B1576" i="4"/>
  <c r="B1575" i="4"/>
  <c r="B1574" i="4"/>
  <c r="B1573" i="4"/>
  <c r="B1572" i="4"/>
  <c r="B1571" i="4"/>
  <c r="B1570" i="4"/>
  <c r="B1569" i="4"/>
  <c r="B1568" i="4"/>
  <c r="B1567" i="4"/>
  <c r="B1566" i="4"/>
  <c r="B1565" i="4"/>
  <c r="B1564" i="4"/>
  <c r="B1563" i="4"/>
  <c r="B1562" i="4"/>
  <c r="B1561" i="4"/>
  <c r="B1560" i="4"/>
  <c r="B1559" i="4"/>
  <c r="B1558" i="4"/>
  <c r="B1557" i="4"/>
  <c r="B1556" i="4"/>
  <c r="B1555" i="4"/>
  <c r="B1554" i="4"/>
  <c r="B1553" i="4"/>
  <c r="B1552" i="4"/>
  <c r="B1551" i="4"/>
  <c r="B1550" i="4"/>
  <c r="B1549" i="4"/>
  <c r="B1548" i="4"/>
  <c r="B1547" i="4"/>
  <c r="B1546" i="4"/>
  <c r="B1545" i="4"/>
  <c r="B1544" i="4"/>
  <c r="B1543" i="4"/>
  <c r="B1542" i="4"/>
  <c r="B1541" i="4"/>
  <c r="B1540" i="4"/>
  <c r="B1539" i="4"/>
  <c r="B1538" i="4"/>
  <c r="B1537" i="4"/>
  <c r="B1536" i="4"/>
  <c r="B1535" i="4"/>
  <c r="B1534" i="4"/>
  <c r="B1533" i="4"/>
  <c r="B1532" i="4"/>
  <c r="B1531" i="4"/>
  <c r="B1530" i="4"/>
  <c r="B1529" i="4"/>
  <c r="B1528" i="4"/>
  <c r="B1527" i="4"/>
  <c r="B1526" i="4"/>
  <c r="B1525" i="4"/>
  <c r="B1524" i="4"/>
  <c r="B1523" i="4"/>
  <c r="B1522" i="4"/>
  <c r="B1521" i="4"/>
  <c r="B1520" i="4"/>
  <c r="B1519" i="4"/>
  <c r="B1518" i="4"/>
  <c r="B1517" i="4"/>
  <c r="B1516" i="4"/>
  <c r="B1515" i="4"/>
  <c r="B1514" i="4"/>
  <c r="B1513" i="4"/>
  <c r="B1512" i="4"/>
  <c r="B1511" i="4"/>
  <c r="B1510" i="4"/>
  <c r="B1509" i="4"/>
  <c r="B1508" i="4"/>
  <c r="B1507" i="4"/>
  <c r="B1506" i="4"/>
  <c r="B1505" i="4"/>
  <c r="B1504" i="4"/>
  <c r="B1503" i="4"/>
  <c r="B1502" i="4"/>
  <c r="B1501" i="4"/>
  <c r="B1500" i="4"/>
  <c r="B1499" i="4"/>
  <c r="B1498" i="4"/>
  <c r="B1497" i="4"/>
  <c r="B1496" i="4"/>
  <c r="B1495" i="4"/>
  <c r="B1494" i="4"/>
  <c r="B1493" i="4"/>
  <c r="B1492" i="4"/>
  <c r="B1491" i="4"/>
  <c r="B1490" i="4"/>
  <c r="B1489" i="4"/>
  <c r="B1488" i="4"/>
  <c r="B1487" i="4"/>
  <c r="B1486" i="4"/>
  <c r="B1485" i="4"/>
  <c r="B1484" i="4"/>
  <c r="B1483" i="4"/>
  <c r="B1482" i="4"/>
  <c r="B1481" i="4"/>
  <c r="B1480" i="4"/>
  <c r="B1479" i="4"/>
  <c r="B1478" i="4"/>
  <c r="B1477" i="4"/>
  <c r="B1476" i="4"/>
  <c r="B1475" i="4"/>
  <c r="B1474" i="4"/>
  <c r="B1473" i="4"/>
  <c r="B1472" i="4"/>
  <c r="B1471" i="4"/>
  <c r="B1470" i="4"/>
  <c r="B1469" i="4"/>
  <c r="B1468" i="4"/>
  <c r="B1467" i="4"/>
  <c r="B1466" i="4"/>
  <c r="B1465" i="4"/>
  <c r="B1464" i="4"/>
  <c r="B1463" i="4"/>
  <c r="B1462" i="4"/>
  <c r="B1461" i="4"/>
  <c r="B1460" i="4"/>
  <c r="B1459" i="4"/>
  <c r="B1458" i="4"/>
  <c r="B1457" i="4"/>
  <c r="B1456" i="4"/>
  <c r="B1455" i="4"/>
  <c r="B1454" i="4"/>
  <c r="B1453" i="4"/>
  <c r="B1452" i="4"/>
  <c r="B1451" i="4"/>
  <c r="B1450" i="4"/>
  <c r="B1449" i="4"/>
  <c r="B1448" i="4"/>
  <c r="B1447" i="4"/>
  <c r="B1446" i="4"/>
  <c r="B1445" i="4"/>
  <c r="B1444" i="4"/>
  <c r="B1443" i="4"/>
  <c r="B1442" i="4"/>
  <c r="B1441" i="4"/>
  <c r="B1440" i="4"/>
  <c r="B1439" i="4"/>
  <c r="B1438" i="4"/>
  <c r="B1437" i="4"/>
  <c r="B1436" i="4"/>
  <c r="B1435" i="4"/>
  <c r="B1434" i="4"/>
  <c r="B1433" i="4"/>
  <c r="B1432" i="4"/>
  <c r="B1431" i="4"/>
  <c r="B1430" i="4"/>
  <c r="B1429" i="4"/>
  <c r="B1428" i="4"/>
  <c r="B1427" i="4"/>
  <c r="B1426" i="4"/>
  <c r="B1425" i="4"/>
  <c r="B1424" i="4"/>
  <c r="B1423" i="4"/>
  <c r="B1422" i="4"/>
  <c r="B1421" i="4"/>
  <c r="B1420" i="4"/>
  <c r="B1419" i="4"/>
  <c r="B1418" i="4"/>
  <c r="B1417" i="4"/>
  <c r="B1416" i="4"/>
  <c r="B1415" i="4"/>
  <c r="B1414" i="4"/>
  <c r="B1413" i="4"/>
  <c r="B1412" i="4"/>
  <c r="B1411" i="4"/>
  <c r="B1410" i="4"/>
  <c r="B1409" i="4"/>
  <c r="B1408" i="4"/>
  <c r="B1407" i="4"/>
  <c r="B1406" i="4"/>
  <c r="B1405" i="4"/>
  <c r="B1404" i="4"/>
  <c r="B1403" i="4"/>
  <c r="B1402" i="4"/>
  <c r="B1401" i="4"/>
  <c r="B1400" i="4"/>
  <c r="B1399" i="4"/>
  <c r="B1398" i="4"/>
  <c r="B1397" i="4"/>
  <c r="B1396" i="4"/>
  <c r="B1395" i="4"/>
  <c r="B1394" i="4"/>
  <c r="B1393" i="4"/>
  <c r="B1392" i="4"/>
  <c r="B1391" i="4"/>
  <c r="B1390" i="4"/>
  <c r="B1389" i="4"/>
  <c r="B1388" i="4"/>
  <c r="B1387" i="4"/>
  <c r="B1386" i="4"/>
  <c r="B1385" i="4"/>
  <c r="B1384" i="4"/>
  <c r="B1383" i="4"/>
  <c r="B1382" i="4"/>
  <c r="B1381" i="4"/>
  <c r="B1380" i="4"/>
  <c r="B1379" i="4"/>
  <c r="B1378" i="4"/>
  <c r="B1377" i="4"/>
  <c r="B1376" i="4"/>
  <c r="B1375" i="4"/>
  <c r="B1374" i="4"/>
  <c r="B1373" i="4"/>
  <c r="B1372" i="4"/>
  <c r="B1371" i="4"/>
  <c r="B1370" i="4"/>
  <c r="B1369" i="4"/>
  <c r="B1368" i="4"/>
  <c r="B1367" i="4"/>
  <c r="B1366" i="4"/>
  <c r="B1365" i="4"/>
  <c r="B1364" i="4"/>
  <c r="B1363" i="4"/>
  <c r="B1362" i="4"/>
  <c r="B1361" i="4"/>
  <c r="B1360" i="4"/>
  <c r="B1359" i="4"/>
  <c r="B1358" i="4"/>
  <c r="B1357" i="4"/>
  <c r="B1356" i="4"/>
  <c r="B1355" i="4"/>
  <c r="B1354" i="4"/>
  <c r="B1353" i="4"/>
  <c r="B1352" i="4"/>
  <c r="B1351" i="4"/>
  <c r="B1350" i="4"/>
  <c r="B1349" i="4"/>
  <c r="B1348" i="4"/>
  <c r="B1347" i="4"/>
  <c r="B1346" i="4"/>
  <c r="B1345" i="4"/>
  <c r="B1344" i="4"/>
  <c r="B1343" i="4"/>
  <c r="B1342" i="4"/>
  <c r="B1341" i="4"/>
  <c r="B1340" i="4"/>
  <c r="B1339" i="4"/>
  <c r="B1338" i="4"/>
  <c r="B1337" i="4"/>
  <c r="B1336" i="4"/>
  <c r="B1335" i="4"/>
  <c r="B1334" i="4"/>
  <c r="B1333" i="4"/>
  <c r="B1332" i="4"/>
  <c r="B1331" i="4"/>
  <c r="B1330" i="4"/>
  <c r="B1329" i="4"/>
  <c r="B1328" i="4"/>
  <c r="B1327" i="4"/>
  <c r="B1326" i="4"/>
  <c r="B1325" i="4"/>
  <c r="B1324" i="4"/>
  <c r="B1323" i="4"/>
  <c r="B1322" i="4"/>
  <c r="B1321" i="4"/>
  <c r="B1320" i="4"/>
  <c r="B1319" i="4"/>
  <c r="B1318" i="4"/>
  <c r="B1317" i="4"/>
  <c r="B1316" i="4"/>
  <c r="B1315" i="4"/>
  <c r="B1314" i="4"/>
  <c r="B1313" i="4"/>
  <c r="B1312" i="4"/>
  <c r="B1311" i="4"/>
  <c r="B1310" i="4"/>
  <c r="B1309" i="4"/>
  <c r="B1308" i="4"/>
  <c r="B1307" i="4"/>
  <c r="B1306" i="4"/>
  <c r="B1305" i="4"/>
  <c r="B1304" i="4"/>
  <c r="B1303" i="4"/>
  <c r="B1302" i="4"/>
  <c r="B1301" i="4"/>
  <c r="B1300" i="4"/>
  <c r="B1299" i="4"/>
  <c r="B1298" i="4"/>
  <c r="B1297" i="4"/>
  <c r="B1296" i="4"/>
  <c r="B1295" i="4"/>
  <c r="B1294" i="4"/>
  <c r="B1293" i="4"/>
  <c r="B1292" i="4"/>
  <c r="B1291" i="4"/>
  <c r="B1290" i="4"/>
  <c r="B1289" i="4"/>
  <c r="B1288" i="4"/>
  <c r="B1287" i="4"/>
  <c r="B1286" i="4"/>
  <c r="B1285" i="4"/>
  <c r="B1284" i="4"/>
  <c r="B1283" i="4"/>
  <c r="B1282" i="4"/>
  <c r="B1281" i="4"/>
  <c r="B1280" i="4"/>
  <c r="B1279" i="4"/>
  <c r="B1278" i="4"/>
  <c r="B1277" i="4"/>
  <c r="B1276" i="4"/>
  <c r="B1275" i="4"/>
  <c r="B1274" i="4"/>
  <c r="B1273" i="4"/>
  <c r="B1272" i="4"/>
  <c r="B1271" i="4"/>
  <c r="B1270" i="4"/>
  <c r="B1269" i="4"/>
  <c r="B1268" i="4"/>
  <c r="B1267" i="4"/>
  <c r="B1266" i="4"/>
  <c r="B1265" i="4"/>
  <c r="B1264" i="4"/>
  <c r="B1263" i="4"/>
  <c r="B1262" i="4"/>
  <c r="B1261" i="4"/>
  <c r="B1260" i="4"/>
  <c r="B1259" i="4"/>
  <c r="B1258" i="4"/>
  <c r="B1257" i="4"/>
  <c r="B1256" i="4"/>
  <c r="B1255" i="4"/>
  <c r="B1254" i="4"/>
  <c r="B1253" i="4"/>
  <c r="B1252" i="4"/>
  <c r="B1251" i="4"/>
  <c r="B1250" i="4"/>
  <c r="B1249" i="4"/>
  <c r="B1248" i="4"/>
  <c r="B1247" i="4"/>
  <c r="B1246" i="4"/>
  <c r="B1245" i="4"/>
  <c r="B1244" i="4"/>
  <c r="B1243" i="4"/>
  <c r="B1242" i="4"/>
  <c r="B1241" i="4"/>
  <c r="B1240" i="4"/>
  <c r="B1239" i="4"/>
  <c r="B1238" i="4"/>
  <c r="B1237" i="4"/>
  <c r="B1236" i="4"/>
  <c r="B1235" i="4"/>
  <c r="B1234" i="4"/>
  <c r="B1233" i="4"/>
  <c r="B1232" i="4"/>
  <c r="B1231" i="4"/>
  <c r="B1230" i="4"/>
  <c r="B1229" i="4"/>
  <c r="B1228" i="4"/>
  <c r="B1227" i="4"/>
  <c r="B1226" i="4"/>
  <c r="B1225" i="4"/>
  <c r="B1224" i="4"/>
  <c r="B1223" i="4"/>
  <c r="B1222" i="4"/>
  <c r="B1221" i="4"/>
  <c r="B1220" i="4"/>
  <c r="B1219" i="4"/>
  <c r="B1218" i="4"/>
  <c r="B1217" i="4"/>
  <c r="B1216" i="4"/>
  <c r="B1215" i="4"/>
  <c r="B1214" i="4"/>
  <c r="B1213" i="4"/>
  <c r="B1212" i="4"/>
  <c r="B1211" i="4"/>
  <c r="B1210" i="4"/>
  <c r="B1209" i="4"/>
  <c r="B1208" i="4"/>
  <c r="B1207" i="4"/>
  <c r="B1206" i="4"/>
  <c r="B1205" i="4"/>
  <c r="B1204" i="4"/>
  <c r="B1203" i="4"/>
  <c r="B1202" i="4"/>
  <c r="B1201" i="4"/>
  <c r="B1200" i="4"/>
  <c r="B1199" i="4"/>
  <c r="B1198" i="4"/>
  <c r="B1197" i="4"/>
  <c r="B1196" i="4"/>
  <c r="B1195" i="4"/>
  <c r="B1194" i="4"/>
  <c r="B1193" i="4"/>
  <c r="B1192" i="4"/>
  <c r="B1191" i="4"/>
  <c r="B1190" i="4"/>
  <c r="B1189" i="4"/>
  <c r="B1188" i="4"/>
  <c r="B1187" i="4"/>
  <c r="B1186" i="4"/>
  <c r="B1185" i="4"/>
  <c r="B1184" i="4"/>
  <c r="B1183" i="4"/>
  <c r="B1182" i="4"/>
  <c r="B1181" i="4"/>
  <c r="B1180" i="4"/>
  <c r="B1179" i="4"/>
  <c r="B1178" i="4"/>
  <c r="B1177" i="4"/>
  <c r="B1176" i="4"/>
  <c r="B1175" i="4"/>
  <c r="B1174" i="4"/>
  <c r="B1173" i="4"/>
  <c r="B1172" i="4"/>
  <c r="B1171" i="4"/>
  <c r="B1170" i="4"/>
  <c r="B1169" i="4"/>
  <c r="B1168" i="4"/>
  <c r="B1167" i="4"/>
  <c r="B1166" i="4"/>
  <c r="B1165" i="4"/>
  <c r="B1164" i="4"/>
  <c r="B1163" i="4"/>
  <c r="B1162" i="4"/>
  <c r="B1161" i="4"/>
  <c r="B1160" i="4"/>
  <c r="B1159" i="4"/>
  <c r="B1158" i="4"/>
  <c r="B1157" i="4"/>
  <c r="B1156" i="4"/>
  <c r="B1155" i="4"/>
  <c r="B1154" i="4"/>
  <c r="B1153" i="4"/>
  <c r="B1152" i="4"/>
  <c r="B1151" i="4"/>
  <c r="B1150" i="4"/>
  <c r="B1149" i="4"/>
  <c r="B1148" i="4"/>
  <c r="B1147" i="4"/>
  <c r="B1146" i="4"/>
  <c r="B1145" i="4"/>
  <c r="B1144" i="4"/>
  <c r="B1143" i="4"/>
  <c r="B1142" i="4"/>
  <c r="B1141" i="4"/>
  <c r="B1140" i="4"/>
  <c r="B1139" i="4"/>
  <c r="B1138" i="4"/>
  <c r="B1137" i="4"/>
  <c r="B1136" i="4"/>
  <c r="B1135" i="4"/>
  <c r="B1134" i="4"/>
  <c r="B1133" i="4"/>
  <c r="B1132" i="4"/>
  <c r="B1131" i="4"/>
  <c r="B1130" i="4"/>
  <c r="B1129" i="4"/>
  <c r="B1128" i="4"/>
  <c r="B1127" i="4"/>
  <c r="B1126" i="4"/>
  <c r="B1125" i="4"/>
  <c r="B1124" i="4"/>
  <c r="B1123" i="4"/>
  <c r="B1122" i="4"/>
  <c r="B1121" i="4"/>
  <c r="B1120" i="4"/>
  <c r="B1119" i="4"/>
  <c r="B1118" i="4"/>
  <c r="B1117" i="4"/>
  <c r="B1116" i="4"/>
  <c r="B1115" i="4"/>
  <c r="B1114" i="4"/>
  <c r="B1113" i="4"/>
  <c r="B1112" i="4"/>
  <c r="B1111" i="4"/>
  <c r="B1110" i="4"/>
  <c r="B1109" i="4"/>
  <c r="B1108" i="4"/>
  <c r="B1107" i="4"/>
  <c r="B1106" i="4"/>
  <c r="B1105" i="4"/>
  <c r="B1104" i="4"/>
  <c r="B1103" i="4"/>
  <c r="B1102" i="4"/>
  <c r="B1101" i="4"/>
  <c r="B1100" i="4"/>
  <c r="B1099" i="4"/>
  <c r="B1098" i="4"/>
  <c r="B1097" i="4"/>
  <c r="B1096" i="4"/>
  <c r="B1095" i="4"/>
  <c r="B1094" i="4"/>
  <c r="B1093" i="4"/>
  <c r="B1092" i="4"/>
  <c r="B1091" i="4"/>
  <c r="B1090" i="4"/>
  <c r="B1089" i="4"/>
  <c r="B1088" i="4"/>
  <c r="B1087" i="4"/>
  <c r="B1086" i="4"/>
  <c r="B1085" i="4"/>
  <c r="B1084" i="4"/>
  <c r="B1083" i="4"/>
  <c r="B1082" i="4"/>
  <c r="B1081" i="4"/>
  <c r="B1080" i="4"/>
  <c r="B1079" i="4"/>
  <c r="B1078" i="4"/>
  <c r="B1077" i="4"/>
  <c r="B1076" i="4"/>
  <c r="B1075" i="4"/>
  <c r="B1074" i="4"/>
  <c r="B1073" i="4"/>
  <c r="B1072" i="4"/>
  <c r="B1071" i="4"/>
  <c r="B1070" i="4"/>
  <c r="B1069" i="4"/>
  <c r="B1068" i="4"/>
  <c r="B1067" i="4"/>
  <c r="B1066" i="4"/>
  <c r="B1065" i="4"/>
  <c r="B1064" i="4"/>
  <c r="B1063" i="4"/>
  <c r="B1062" i="4"/>
  <c r="B1061" i="4"/>
  <c r="B1060" i="4"/>
  <c r="B1059" i="4"/>
  <c r="B1058" i="4"/>
  <c r="B1057" i="4"/>
  <c r="B1056" i="4"/>
  <c r="B1055" i="4"/>
  <c r="B1054" i="4"/>
  <c r="B1053" i="4"/>
  <c r="B1052" i="4"/>
  <c r="B1051" i="4"/>
  <c r="B1050" i="4"/>
  <c r="B1049" i="4"/>
  <c r="B1048" i="4"/>
  <c r="B1047" i="4"/>
  <c r="B1046" i="4"/>
  <c r="B1045" i="4"/>
  <c r="B1044" i="4"/>
  <c r="B1043" i="4"/>
  <c r="B1042" i="4"/>
  <c r="B1041" i="4"/>
  <c r="B1040" i="4"/>
  <c r="B1039" i="4"/>
  <c r="B1038" i="4"/>
  <c r="B1037" i="4"/>
  <c r="B1036" i="4"/>
  <c r="B1035" i="4"/>
  <c r="B1034" i="4"/>
  <c r="B1033" i="4"/>
  <c r="B1032" i="4"/>
  <c r="B1031" i="4"/>
  <c r="B1030" i="4"/>
  <c r="B1029" i="4"/>
  <c r="B1028" i="4"/>
  <c r="B1027" i="4"/>
  <c r="B1026" i="4"/>
  <c r="B1025" i="4"/>
  <c r="B1024" i="4"/>
  <c r="B1023" i="4"/>
  <c r="B1022" i="4"/>
  <c r="B1021" i="4"/>
  <c r="B1020" i="4"/>
  <c r="B1019" i="4"/>
  <c r="B1018" i="4"/>
  <c r="B1017" i="4"/>
  <c r="B1016" i="4"/>
  <c r="B1015" i="4"/>
  <c r="B1014" i="4"/>
  <c r="B1013" i="4"/>
  <c r="B1012" i="4"/>
  <c r="B1011" i="4"/>
  <c r="B1010" i="4"/>
  <c r="B1009" i="4"/>
  <c r="B1008" i="4"/>
  <c r="B1007" i="4"/>
  <c r="B1006" i="4"/>
  <c r="B1005" i="4"/>
  <c r="B1004" i="4"/>
  <c r="B1003" i="4"/>
  <c r="B1002" i="4"/>
  <c r="B1001" i="4"/>
  <c r="B1000" i="4"/>
  <c r="B999" i="4"/>
  <c r="B998" i="4"/>
  <c r="B997" i="4"/>
  <c r="B996" i="4"/>
  <c r="B995" i="4"/>
  <c r="B994" i="4"/>
  <c r="B993" i="4"/>
  <c r="B992" i="4"/>
  <c r="B991" i="4"/>
  <c r="B990" i="4"/>
  <c r="B989" i="4"/>
  <c r="B988" i="4"/>
  <c r="B987" i="4"/>
  <c r="B986" i="4"/>
  <c r="B985" i="4"/>
  <c r="B984" i="4"/>
  <c r="B983" i="4"/>
  <c r="B982" i="4"/>
  <c r="B981" i="4"/>
  <c r="B980" i="4"/>
  <c r="B979" i="4"/>
  <c r="B978" i="4"/>
  <c r="B977" i="4"/>
  <c r="B976" i="4"/>
  <c r="B975" i="4"/>
  <c r="B974" i="4"/>
  <c r="B973" i="4"/>
  <c r="B972" i="4"/>
  <c r="B971" i="4"/>
  <c r="B970" i="4"/>
  <c r="B969" i="4"/>
  <c r="B968" i="4"/>
  <c r="B967" i="4"/>
  <c r="B966" i="4"/>
  <c r="B965" i="4"/>
  <c r="B964" i="4"/>
  <c r="B963" i="4"/>
  <c r="B962" i="4"/>
  <c r="B961" i="4"/>
  <c r="B960" i="4"/>
  <c r="B959" i="4"/>
  <c r="B958" i="4"/>
  <c r="B957" i="4"/>
  <c r="B956" i="4"/>
  <c r="B955" i="4"/>
  <c r="B954" i="4"/>
  <c r="B953" i="4"/>
  <c r="B952" i="4"/>
  <c r="B951" i="4"/>
  <c r="B950" i="4"/>
  <c r="B949" i="4"/>
  <c r="B948" i="4"/>
  <c r="B947" i="4"/>
  <c r="B946" i="4"/>
  <c r="B945" i="4"/>
  <c r="B944" i="4"/>
  <c r="B943" i="4"/>
  <c r="B942" i="4"/>
  <c r="B941" i="4"/>
  <c r="B940" i="4"/>
  <c r="B939" i="4"/>
  <c r="B938" i="4"/>
  <c r="B937" i="4"/>
  <c r="B936" i="4"/>
  <c r="B935" i="4"/>
  <c r="B934" i="4"/>
  <c r="B933" i="4"/>
  <c r="B932" i="4"/>
  <c r="B931" i="4"/>
  <c r="B930" i="4"/>
  <c r="B929" i="4"/>
  <c r="B928" i="4"/>
  <c r="B927" i="4"/>
  <c r="B926" i="4"/>
  <c r="B925" i="4"/>
  <c r="B924" i="4"/>
  <c r="B923" i="4"/>
  <c r="B922" i="4"/>
  <c r="B921" i="4"/>
  <c r="B920" i="4"/>
  <c r="B919" i="4"/>
  <c r="B918" i="4"/>
  <c r="B917" i="4"/>
  <c r="B916" i="4"/>
  <c r="B915" i="4"/>
  <c r="B914" i="4"/>
  <c r="B913" i="4"/>
  <c r="B912" i="4"/>
  <c r="B911" i="4"/>
  <c r="B910" i="4"/>
  <c r="B909" i="4"/>
  <c r="B908" i="4"/>
  <c r="B907" i="4"/>
  <c r="B906" i="4"/>
  <c r="B905" i="4"/>
  <c r="B904" i="4"/>
  <c r="B903" i="4"/>
  <c r="B902" i="4"/>
  <c r="B901" i="4"/>
  <c r="B900" i="4"/>
  <c r="B899" i="4"/>
  <c r="B898" i="4"/>
  <c r="B897" i="4"/>
  <c r="B896" i="4"/>
  <c r="B895" i="4"/>
  <c r="B894" i="4"/>
  <c r="B893" i="4"/>
  <c r="B892" i="4"/>
  <c r="B891" i="4"/>
  <c r="B890" i="4"/>
  <c r="B889" i="4"/>
  <c r="B888" i="4"/>
  <c r="B887" i="4"/>
  <c r="B886" i="4"/>
  <c r="B885" i="4"/>
  <c r="B884" i="4"/>
  <c r="B883" i="4"/>
  <c r="B882" i="4"/>
  <c r="B881" i="4"/>
  <c r="B880" i="4"/>
  <c r="B879" i="4"/>
  <c r="B878" i="4"/>
  <c r="B877" i="4"/>
  <c r="B876" i="4"/>
  <c r="B875" i="4"/>
  <c r="B874" i="4"/>
  <c r="B873" i="4"/>
  <c r="B872" i="4"/>
  <c r="B871" i="4"/>
  <c r="B870" i="4"/>
  <c r="B869" i="4"/>
  <c r="B868" i="4"/>
  <c r="B867" i="4"/>
  <c r="B866" i="4"/>
  <c r="B865" i="4"/>
  <c r="B864" i="4"/>
  <c r="B863" i="4"/>
  <c r="B862" i="4"/>
  <c r="B861" i="4"/>
  <c r="B860" i="4"/>
  <c r="B859" i="4"/>
  <c r="B858" i="4"/>
  <c r="B857" i="4"/>
  <c r="B856" i="4"/>
  <c r="B855" i="4"/>
  <c r="B854" i="4"/>
  <c r="B853" i="4"/>
  <c r="B852" i="4"/>
  <c r="B851" i="4"/>
  <c r="B850" i="4"/>
  <c r="B849" i="4"/>
  <c r="B848" i="4"/>
  <c r="B847" i="4"/>
  <c r="B846" i="4"/>
  <c r="B845" i="4"/>
  <c r="B844" i="4"/>
  <c r="B843" i="4"/>
  <c r="B842" i="4"/>
  <c r="B841" i="4"/>
  <c r="B840" i="4"/>
  <c r="B839" i="4"/>
  <c r="B838" i="4"/>
  <c r="B837" i="4"/>
  <c r="B836" i="4"/>
  <c r="B835" i="4"/>
  <c r="B834" i="4"/>
  <c r="B833" i="4"/>
  <c r="B832" i="4"/>
  <c r="B831" i="4"/>
  <c r="B830" i="4"/>
  <c r="B829" i="4"/>
  <c r="B828" i="4"/>
  <c r="B827" i="4"/>
  <c r="B826" i="4"/>
  <c r="B825" i="4"/>
  <c r="B824" i="4"/>
  <c r="B823" i="4"/>
  <c r="B822" i="4"/>
  <c r="B821" i="4"/>
  <c r="B820" i="4"/>
  <c r="B819" i="4"/>
  <c r="B818" i="4"/>
  <c r="B817" i="4"/>
  <c r="B816" i="4"/>
  <c r="B815" i="4"/>
  <c r="B814" i="4"/>
  <c r="B813" i="4"/>
  <c r="B812" i="4"/>
  <c r="B811" i="4"/>
  <c r="B810" i="4"/>
  <c r="B809" i="4"/>
  <c r="B808" i="4"/>
  <c r="B807" i="4"/>
  <c r="B806" i="4"/>
  <c r="B805" i="4"/>
  <c r="B804" i="4"/>
  <c r="B803" i="4"/>
  <c r="B802" i="4"/>
  <c r="B801" i="4"/>
  <c r="B800" i="4"/>
  <c r="B799" i="4"/>
  <c r="B798" i="4"/>
  <c r="B797" i="4"/>
  <c r="B796" i="4"/>
  <c r="B795" i="4"/>
  <c r="B794" i="4"/>
  <c r="B793" i="4"/>
  <c r="B792" i="4"/>
  <c r="B791" i="4"/>
  <c r="B790" i="4"/>
  <c r="B789" i="4"/>
  <c r="B788" i="4"/>
  <c r="B787" i="4"/>
  <c r="B786" i="4"/>
  <c r="B785" i="4"/>
  <c r="B784" i="4"/>
  <c r="B783" i="4"/>
  <c r="B782" i="4"/>
  <c r="B781" i="4"/>
  <c r="B780" i="4"/>
  <c r="B779" i="4"/>
  <c r="B778" i="4"/>
  <c r="B777" i="4"/>
  <c r="B776" i="4"/>
  <c r="B775" i="4"/>
  <c r="B774" i="4"/>
  <c r="B773" i="4"/>
  <c r="B772" i="4"/>
  <c r="B771" i="4"/>
  <c r="B770" i="4"/>
  <c r="B769" i="4"/>
  <c r="B768" i="4"/>
  <c r="B767" i="4"/>
  <c r="B766" i="4"/>
  <c r="B765" i="4"/>
  <c r="B764" i="4"/>
  <c r="B763" i="4"/>
  <c r="B762" i="4"/>
  <c r="B761" i="4"/>
  <c r="B760" i="4"/>
  <c r="B759" i="4"/>
  <c r="B758" i="4"/>
  <c r="B757" i="4"/>
  <c r="B756" i="4"/>
  <c r="B755" i="4"/>
  <c r="B754" i="4"/>
  <c r="B753" i="4"/>
  <c r="B752" i="4"/>
  <c r="B751" i="4"/>
  <c r="B750" i="4"/>
  <c r="B749" i="4"/>
  <c r="B748" i="4"/>
  <c r="B747" i="4"/>
  <c r="B746" i="4"/>
  <c r="B745" i="4"/>
  <c r="B744" i="4"/>
  <c r="B743" i="4"/>
  <c r="B742" i="4"/>
  <c r="B741" i="4"/>
  <c r="B740" i="4"/>
  <c r="B739" i="4"/>
  <c r="B738" i="4"/>
  <c r="B737" i="4"/>
  <c r="B736" i="4"/>
  <c r="B735" i="4"/>
  <c r="B734" i="4"/>
  <c r="B733" i="4"/>
  <c r="B732" i="4"/>
  <c r="B731" i="4"/>
  <c r="B730" i="4"/>
  <c r="B729" i="4"/>
  <c r="B728" i="4"/>
  <c r="B727" i="4"/>
  <c r="B726" i="4"/>
  <c r="B725" i="4"/>
  <c r="B724" i="4"/>
  <c r="B723" i="4"/>
  <c r="B722" i="4"/>
  <c r="B721" i="4"/>
  <c r="B720" i="4"/>
  <c r="B719" i="4"/>
  <c r="B718" i="4"/>
  <c r="B717" i="4"/>
  <c r="B716" i="4"/>
  <c r="B715" i="4"/>
  <c r="B714" i="4"/>
  <c r="B713" i="4"/>
  <c r="B712" i="4"/>
  <c r="B711" i="4"/>
  <c r="B710" i="4"/>
  <c r="B709" i="4"/>
  <c r="B708" i="4"/>
  <c r="B707" i="4"/>
  <c r="B706" i="4"/>
  <c r="B705" i="4"/>
  <c r="B704" i="4"/>
  <c r="B703" i="4"/>
  <c r="B702" i="4"/>
  <c r="B701" i="4"/>
  <c r="B700" i="4"/>
  <c r="B699" i="4"/>
  <c r="B698" i="4"/>
  <c r="B697" i="4"/>
  <c r="B696" i="4"/>
  <c r="B695" i="4"/>
  <c r="B694" i="4"/>
  <c r="B693" i="4"/>
  <c r="B692" i="4"/>
  <c r="B691" i="4"/>
  <c r="B690" i="4"/>
  <c r="B689" i="4"/>
  <c r="B688" i="4"/>
  <c r="B687" i="4"/>
  <c r="B686" i="4"/>
  <c r="B685" i="4"/>
  <c r="B684" i="4"/>
  <c r="B683" i="4"/>
  <c r="B682" i="4"/>
  <c r="B681" i="4"/>
  <c r="B680" i="4"/>
  <c r="B679" i="4"/>
  <c r="B678" i="4"/>
  <c r="B677" i="4"/>
  <c r="B676" i="4"/>
  <c r="B675" i="4"/>
  <c r="B674" i="4"/>
  <c r="B673" i="4"/>
  <c r="B672" i="4"/>
  <c r="B671" i="4"/>
  <c r="B670" i="4"/>
  <c r="B669" i="4"/>
  <c r="B668" i="4"/>
  <c r="B667" i="4"/>
  <c r="B666" i="4"/>
  <c r="B665" i="4"/>
  <c r="B664" i="4"/>
  <c r="B663" i="4"/>
  <c r="B662" i="4"/>
  <c r="B661" i="4"/>
  <c r="B660" i="4"/>
  <c r="B659" i="4"/>
  <c r="B658" i="4"/>
  <c r="B657" i="4"/>
  <c r="B656" i="4"/>
  <c r="B655" i="4"/>
  <c r="B654" i="4"/>
  <c r="B653" i="4"/>
  <c r="B652" i="4"/>
  <c r="B651" i="4"/>
  <c r="B650" i="4"/>
  <c r="B649" i="4"/>
  <c r="B648" i="4"/>
  <c r="B647" i="4"/>
  <c r="B646" i="4"/>
  <c r="B645" i="4"/>
  <c r="B644" i="4"/>
  <c r="B643" i="4"/>
  <c r="B642" i="4"/>
  <c r="B641" i="4"/>
  <c r="B640" i="4"/>
  <c r="B639" i="4"/>
  <c r="B638" i="4"/>
  <c r="B637" i="4"/>
  <c r="B636" i="4"/>
  <c r="B635" i="4"/>
  <c r="B634" i="4"/>
  <c r="B633" i="4"/>
  <c r="B632" i="4"/>
  <c r="B631" i="4"/>
  <c r="B630" i="4"/>
  <c r="B629" i="4"/>
  <c r="B628" i="4"/>
  <c r="B627" i="4"/>
  <c r="B626" i="4"/>
  <c r="B625" i="4"/>
  <c r="B624" i="4"/>
  <c r="B623" i="4"/>
  <c r="B622" i="4"/>
  <c r="B621" i="4"/>
  <c r="B620" i="4"/>
  <c r="B619" i="4"/>
  <c r="B618" i="4"/>
  <c r="B617" i="4"/>
  <c r="B616" i="4"/>
  <c r="B615" i="4"/>
  <c r="B614" i="4"/>
  <c r="B613" i="4"/>
  <c r="B612" i="4"/>
  <c r="B611" i="4"/>
  <c r="B610" i="4"/>
  <c r="B609" i="4"/>
  <c r="B608" i="4"/>
  <c r="B607" i="4"/>
  <c r="B606" i="4"/>
  <c r="B605" i="4"/>
  <c r="B604" i="4"/>
  <c r="B603" i="4"/>
  <c r="B602" i="4"/>
  <c r="B601" i="4"/>
  <c r="B600" i="4"/>
  <c r="B599" i="4"/>
  <c r="B598" i="4"/>
  <c r="B597" i="4"/>
  <c r="B596" i="4"/>
  <c r="B595" i="4"/>
  <c r="B594" i="4"/>
  <c r="B593" i="4"/>
  <c r="B592" i="4"/>
  <c r="B591" i="4"/>
  <c r="B590" i="4"/>
  <c r="B589" i="4"/>
  <c r="B588" i="4"/>
  <c r="B587" i="4"/>
  <c r="B586" i="4"/>
  <c r="B585" i="4"/>
  <c r="B584" i="4"/>
  <c r="B583" i="4"/>
  <c r="B582" i="4"/>
  <c r="B581" i="4"/>
  <c r="B580" i="4"/>
  <c r="B579" i="4"/>
  <c r="B578" i="4"/>
  <c r="B577" i="4"/>
  <c r="B576" i="4"/>
  <c r="B575" i="4"/>
  <c r="B574" i="4"/>
  <c r="B573" i="4"/>
  <c r="B572" i="4"/>
  <c r="B571" i="4"/>
  <c r="B570" i="4"/>
  <c r="B569" i="4"/>
  <c r="B568" i="4"/>
  <c r="B567" i="4"/>
  <c r="B566" i="4"/>
  <c r="B565" i="4"/>
  <c r="B564" i="4"/>
  <c r="B563" i="4"/>
  <c r="B562" i="4"/>
  <c r="B561" i="4"/>
  <c r="B560" i="4"/>
  <c r="B559" i="4"/>
  <c r="B558" i="4"/>
  <c r="B557" i="4"/>
  <c r="B556" i="4"/>
  <c r="B555" i="4"/>
  <c r="B554" i="4"/>
  <c r="B553" i="4"/>
  <c r="B552" i="4"/>
  <c r="B551" i="4"/>
  <c r="B550" i="4"/>
  <c r="B549" i="4"/>
  <c r="B548" i="4"/>
  <c r="B547" i="4"/>
  <c r="B546" i="4"/>
  <c r="B545" i="4"/>
  <c r="B544" i="4"/>
  <c r="B543" i="4"/>
  <c r="B542" i="4"/>
  <c r="B541" i="4"/>
  <c r="B540" i="4"/>
  <c r="B539" i="4"/>
  <c r="B538" i="4"/>
  <c r="B537" i="4"/>
  <c r="B536" i="4"/>
  <c r="B535" i="4"/>
  <c r="B534" i="4"/>
  <c r="B533" i="4"/>
  <c r="B532" i="4"/>
  <c r="B531" i="4"/>
  <c r="B530" i="4"/>
  <c r="B529" i="4"/>
  <c r="B528" i="4"/>
  <c r="B527" i="4"/>
  <c r="B526" i="4"/>
  <c r="B525" i="4"/>
  <c r="B524" i="4"/>
  <c r="B523" i="4"/>
  <c r="B522" i="4"/>
  <c r="B521" i="4"/>
  <c r="B520" i="4"/>
  <c r="B519" i="4"/>
  <c r="B518" i="4"/>
  <c r="B517" i="4"/>
  <c r="B516" i="4"/>
  <c r="B515" i="4"/>
  <c r="B514" i="4"/>
  <c r="B513" i="4"/>
  <c r="B512" i="4"/>
  <c r="B511" i="4"/>
  <c r="B510" i="4"/>
  <c r="B509" i="4"/>
  <c r="B508" i="4"/>
  <c r="B507" i="4"/>
  <c r="B506" i="4"/>
  <c r="B505" i="4"/>
  <c r="B504" i="4"/>
  <c r="B503" i="4"/>
  <c r="B502" i="4"/>
  <c r="B501" i="4"/>
  <c r="B500" i="4"/>
  <c r="B499" i="4"/>
  <c r="B498" i="4"/>
  <c r="B497" i="4"/>
  <c r="B496" i="4"/>
  <c r="B495" i="4"/>
  <c r="B494" i="4"/>
  <c r="B493" i="4"/>
  <c r="B492" i="4"/>
  <c r="B491" i="4"/>
  <c r="B490" i="4"/>
  <c r="B489" i="4"/>
  <c r="B488" i="4"/>
  <c r="B487" i="4"/>
  <c r="B486" i="4"/>
  <c r="B485" i="4"/>
  <c r="B484" i="4"/>
  <c r="B483" i="4"/>
  <c r="B482" i="4"/>
  <c r="B481" i="4"/>
  <c r="B480" i="4"/>
  <c r="B479" i="4"/>
  <c r="B478" i="4"/>
  <c r="B477" i="4"/>
  <c r="B476" i="4"/>
  <c r="B475" i="4"/>
  <c r="B474" i="4"/>
  <c r="B473" i="4"/>
  <c r="B472" i="4"/>
  <c r="B471" i="4"/>
  <c r="B470" i="4"/>
  <c r="B469" i="4"/>
  <c r="B468" i="4"/>
  <c r="B467" i="4"/>
  <c r="B466" i="4"/>
  <c r="B465" i="4"/>
  <c r="B464" i="4"/>
  <c r="B463" i="4"/>
  <c r="B462" i="4"/>
  <c r="B461" i="4"/>
  <c r="B460" i="4"/>
  <c r="B459" i="4"/>
  <c r="B458" i="4"/>
  <c r="B457" i="4"/>
  <c r="B456" i="4"/>
  <c r="B455" i="4"/>
  <c r="B454" i="4"/>
  <c r="B453" i="4"/>
  <c r="B452" i="4"/>
  <c r="B451" i="4"/>
  <c r="B450" i="4"/>
  <c r="B449" i="4"/>
  <c r="B448" i="4"/>
  <c r="B447" i="4"/>
  <c r="B446" i="4"/>
  <c r="B445" i="4"/>
  <c r="B444" i="4"/>
  <c r="B443" i="4"/>
  <c r="B442" i="4"/>
  <c r="B441" i="4"/>
  <c r="B440" i="4"/>
  <c r="B439" i="4"/>
  <c r="B438" i="4"/>
  <c r="B437" i="4"/>
  <c r="B436" i="4"/>
  <c r="B435" i="4"/>
  <c r="B434" i="4"/>
  <c r="B433" i="4"/>
  <c r="B432" i="4"/>
  <c r="B431" i="4"/>
  <c r="B430" i="4"/>
  <c r="B429" i="4"/>
  <c r="B428" i="4"/>
  <c r="B427" i="4"/>
  <c r="B426" i="4"/>
  <c r="B425" i="4"/>
  <c r="B424" i="4"/>
  <c r="B423" i="4"/>
  <c r="B422" i="4"/>
  <c r="B421" i="4"/>
  <c r="B420" i="4"/>
  <c r="B419" i="4"/>
  <c r="B418" i="4"/>
  <c r="B417" i="4"/>
  <c r="B416" i="4"/>
  <c r="B415" i="4"/>
  <c r="B414" i="4"/>
  <c r="B413" i="4"/>
  <c r="B412" i="4"/>
  <c r="B411" i="4"/>
  <c r="B410" i="4"/>
  <c r="B409" i="4"/>
  <c r="B408" i="4"/>
  <c r="B407" i="4"/>
  <c r="B406" i="4"/>
  <c r="B405" i="4"/>
  <c r="B404" i="4"/>
  <c r="B403" i="4"/>
  <c r="B402" i="4"/>
  <c r="B401" i="4"/>
  <c r="B400" i="4"/>
  <c r="B399" i="4"/>
  <c r="B398" i="4"/>
  <c r="B397" i="4"/>
  <c r="B396" i="4"/>
  <c r="B395" i="4"/>
  <c r="B394" i="4"/>
  <c r="B393" i="4"/>
  <c r="B392" i="4"/>
  <c r="B391" i="4"/>
  <c r="B390" i="4"/>
  <c r="B389" i="4"/>
  <c r="B388" i="4"/>
  <c r="B387" i="4"/>
  <c r="B386" i="4"/>
  <c r="B385" i="4"/>
  <c r="B384" i="4"/>
  <c r="B383" i="4"/>
  <c r="B382" i="4"/>
  <c r="B381" i="4"/>
  <c r="B380" i="4"/>
  <c r="B379" i="4"/>
  <c r="B378" i="4"/>
  <c r="B377" i="4"/>
  <c r="B376" i="4"/>
  <c r="B375" i="4"/>
  <c r="B374" i="4"/>
  <c r="B373" i="4"/>
  <c r="B372" i="4"/>
  <c r="B371" i="4"/>
  <c r="B370" i="4"/>
  <c r="B369" i="4"/>
  <c r="B368" i="4"/>
  <c r="B367" i="4"/>
  <c r="B366" i="4"/>
  <c r="B365" i="4"/>
  <c r="B364" i="4"/>
  <c r="B363" i="4"/>
  <c r="B362" i="4"/>
  <c r="B361" i="4"/>
  <c r="B360" i="4"/>
  <c r="B359" i="4"/>
  <c r="B358" i="4"/>
  <c r="B357" i="4"/>
  <c r="B356" i="4"/>
  <c r="B355" i="4"/>
  <c r="B354" i="4"/>
  <c r="B353" i="4"/>
  <c r="B352" i="4"/>
  <c r="B351" i="4"/>
  <c r="B350" i="4"/>
  <c r="B349" i="4"/>
  <c r="B348" i="4"/>
  <c r="B347" i="4"/>
  <c r="B346" i="4"/>
  <c r="B345" i="4"/>
  <c r="B344" i="4"/>
  <c r="B343" i="4"/>
  <c r="B342" i="4"/>
  <c r="B341" i="4"/>
  <c r="B340" i="4"/>
  <c r="B339" i="4"/>
  <c r="B338" i="4"/>
  <c r="B337" i="4"/>
  <c r="B336" i="4"/>
  <c r="B335" i="4"/>
  <c r="B334" i="4"/>
  <c r="B333" i="4"/>
  <c r="B332" i="4"/>
  <c r="B331" i="4"/>
  <c r="B330" i="4"/>
  <c r="B329" i="4"/>
  <c r="B328" i="4"/>
  <c r="B327" i="4"/>
  <c r="B326" i="4"/>
  <c r="B325" i="4"/>
  <c r="B324" i="4"/>
  <c r="B323" i="4"/>
  <c r="B322" i="4"/>
  <c r="B321" i="4"/>
  <c r="B320" i="4"/>
  <c r="B319" i="4"/>
  <c r="B318" i="4"/>
  <c r="B317" i="4"/>
  <c r="B316" i="4"/>
  <c r="B315" i="4"/>
  <c r="B314" i="4"/>
  <c r="B313" i="4"/>
  <c r="B312" i="4"/>
  <c r="B311" i="4"/>
  <c r="B310" i="4"/>
  <c r="B309" i="4"/>
  <c r="B308" i="4"/>
  <c r="B307" i="4"/>
  <c r="B306" i="4"/>
  <c r="B305" i="4"/>
  <c r="B304" i="4"/>
  <c r="B303" i="4"/>
  <c r="B302" i="4"/>
  <c r="B301" i="4"/>
  <c r="B300" i="4"/>
  <c r="B299" i="4"/>
  <c r="B298" i="4"/>
  <c r="B297" i="4"/>
  <c r="B296" i="4"/>
  <c r="B295" i="4"/>
  <c r="B294" i="4"/>
  <c r="B293" i="4"/>
  <c r="B292" i="4"/>
  <c r="B291" i="4"/>
  <c r="B290" i="4"/>
  <c r="B289" i="4"/>
  <c r="B288" i="4"/>
  <c r="B287" i="4"/>
  <c r="B286" i="4"/>
  <c r="B285" i="4"/>
  <c r="B284" i="4"/>
  <c r="B283" i="4"/>
  <c r="B282" i="4"/>
  <c r="B281" i="4"/>
  <c r="B280" i="4"/>
  <c r="B279" i="4"/>
  <c r="B278" i="4"/>
  <c r="B277" i="4"/>
  <c r="B276" i="4"/>
  <c r="B275" i="4"/>
  <c r="B274" i="4"/>
  <c r="B273" i="4"/>
  <c r="B272" i="4"/>
  <c r="B271" i="4"/>
  <c r="B270" i="4"/>
  <c r="B269" i="4"/>
  <c r="B268" i="4"/>
  <c r="B267" i="4"/>
  <c r="B266" i="4"/>
  <c r="B265" i="4"/>
  <c r="B264" i="4"/>
  <c r="B263" i="4"/>
  <c r="B262" i="4"/>
  <c r="B261" i="4"/>
  <c r="B260" i="4"/>
  <c r="B259" i="4"/>
  <c r="B258" i="4"/>
  <c r="B257" i="4"/>
  <c r="B256" i="4"/>
  <c r="B255" i="4"/>
  <c r="B254" i="4"/>
  <c r="B253" i="4"/>
  <c r="B252" i="4"/>
  <c r="B251" i="4"/>
  <c r="B250" i="4"/>
  <c r="B249" i="4"/>
  <c r="B248" i="4"/>
  <c r="B247" i="4"/>
  <c r="B246" i="4"/>
  <c r="B245" i="4"/>
  <c r="B244" i="4"/>
  <c r="B243" i="4"/>
  <c r="B242" i="4"/>
  <c r="B241" i="4"/>
  <c r="B240" i="4"/>
  <c r="B239" i="4"/>
  <c r="B238" i="4"/>
  <c r="B237" i="4"/>
  <c r="B236" i="4"/>
  <c r="B235" i="4"/>
  <c r="B234" i="4"/>
  <c r="B233" i="4"/>
  <c r="B232" i="4"/>
  <c r="B231" i="4"/>
  <c r="B230" i="4"/>
  <c r="B229" i="4"/>
  <c r="B228" i="4"/>
  <c r="B227" i="4"/>
  <c r="B226" i="4"/>
  <c r="B225" i="4"/>
  <c r="B224" i="4"/>
  <c r="B223" i="4"/>
  <c r="B222" i="4"/>
  <c r="B221" i="4"/>
  <c r="B220" i="4"/>
  <c r="B219" i="4"/>
  <c r="B218" i="4"/>
  <c r="B217" i="4"/>
  <c r="B216" i="4"/>
  <c r="B215" i="4"/>
  <c r="B214" i="4"/>
  <c r="B213" i="4"/>
  <c r="B212" i="4"/>
  <c r="B211" i="4"/>
  <c r="B210" i="4"/>
  <c r="B209" i="4"/>
  <c r="B208" i="4"/>
  <c r="B207" i="4"/>
  <c r="B206" i="4"/>
  <c r="B205" i="4"/>
  <c r="B204" i="4"/>
  <c r="B203" i="4"/>
  <c r="B202" i="4"/>
  <c r="B201" i="4"/>
  <c r="B200" i="4"/>
  <c r="B199" i="4"/>
  <c r="B198" i="4"/>
  <c r="B197" i="4"/>
  <c r="B196" i="4"/>
  <c r="B195" i="4"/>
  <c r="B194" i="4"/>
  <c r="B193" i="4"/>
  <c r="B192" i="4"/>
  <c r="B191" i="4"/>
  <c r="B190" i="4"/>
  <c r="B189" i="4"/>
  <c r="B188" i="4"/>
  <c r="B187" i="4"/>
  <c r="B186" i="4"/>
  <c r="B185" i="4"/>
  <c r="B184" i="4"/>
  <c r="B183" i="4"/>
  <c r="B182" i="4"/>
  <c r="B181" i="4"/>
  <c r="B180" i="4"/>
  <c r="B179" i="4"/>
  <c r="B178" i="4"/>
  <c r="B177" i="4"/>
  <c r="B176" i="4"/>
  <c r="B175" i="4"/>
  <c r="B174" i="4"/>
  <c r="B173" i="4"/>
  <c r="B172" i="4"/>
  <c r="B171" i="4"/>
  <c r="B170" i="4"/>
  <c r="B169" i="4"/>
  <c r="B168" i="4"/>
  <c r="B167" i="4"/>
  <c r="B166" i="4"/>
  <c r="B165" i="4"/>
  <c r="B164" i="4"/>
  <c r="B163" i="4"/>
  <c r="B162" i="4"/>
  <c r="B161" i="4"/>
  <c r="B160" i="4"/>
  <c r="B159" i="4"/>
  <c r="B158" i="4"/>
  <c r="B157" i="4"/>
  <c r="B156" i="4"/>
  <c r="B155" i="4"/>
  <c r="B154" i="4"/>
  <c r="B153" i="4"/>
  <c r="B152" i="4"/>
  <c r="B151" i="4"/>
  <c r="B150" i="4"/>
  <c r="B149" i="4"/>
  <c r="B148" i="4"/>
  <c r="B147" i="4"/>
  <c r="B146" i="4"/>
  <c r="B145" i="4"/>
  <c r="B144" i="4"/>
  <c r="B143" i="4"/>
  <c r="B142" i="4"/>
  <c r="B141" i="4"/>
  <c r="B140" i="4"/>
  <c r="B139" i="4"/>
  <c r="B138" i="4"/>
  <c r="B137" i="4"/>
  <c r="B136" i="4"/>
  <c r="B135" i="4"/>
  <c r="B134" i="4"/>
  <c r="B133" i="4"/>
  <c r="B132" i="4"/>
  <c r="B131" i="4"/>
  <c r="B130" i="4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3" i="4"/>
  <c r="D4" i="4"/>
  <c r="D5" i="4"/>
  <c r="D6" i="4"/>
  <c r="D7" i="4"/>
  <c r="D8" i="4"/>
  <c r="D9" i="4"/>
  <c r="D3" i="4"/>
  <c r="C11" i="1"/>
  <c r="C5" i="1"/>
  <c r="C6" i="1" s="1"/>
  <c r="C7" i="1" s="1"/>
  <c r="O2" i="1"/>
  <c r="P2" i="1"/>
  <c r="Q2" i="1"/>
  <c r="N2" i="1"/>
  <c r="J2" i="1"/>
  <c r="K2" i="1"/>
  <c r="L2" i="1"/>
  <c r="I2" i="1"/>
  <c r="Y3" i="5" l="1"/>
  <c r="Y4" i="5"/>
  <c r="Y600" i="5"/>
  <c r="Y571" i="5"/>
  <c r="Y587" i="5"/>
  <c r="X5" i="5"/>
  <c r="W5" i="5"/>
  <c r="Y5" i="5" s="1"/>
  <c r="V803" i="5"/>
  <c r="W843" i="5"/>
  <c r="V855" i="5"/>
  <c r="V844" i="5"/>
  <c r="V842" i="5"/>
  <c r="V779" i="5"/>
  <c r="X751" i="5"/>
  <c r="W720" i="5"/>
  <c r="V693" i="5"/>
  <c r="V501" i="5"/>
  <c r="Y501" i="5" s="1"/>
  <c r="X325" i="5"/>
  <c r="W800" i="5"/>
  <c r="X773" i="5"/>
  <c r="W751" i="5"/>
  <c r="Y751" i="5" s="1"/>
  <c r="V720" i="5"/>
  <c r="X692" i="5"/>
  <c r="W496" i="5"/>
  <c r="W325" i="5"/>
  <c r="Y325" i="5" s="1"/>
  <c r="V800" i="5"/>
  <c r="W773" i="5"/>
  <c r="V747" i="5"/>
  <c r="X719" i="5"/>
  <c r="W688" i="5"/>
  <c r="X469" i="5"/>
  <c r="X281" i="5"/>
  <c r="X799" i="5"/>
  <c r="X741" i="5"/>
  <c r="W719" i="5"/>
  <c r="V688" i="5"/>
  <c r="Y688" i="5" s="1"/>
  <c r="W469" i="5"/>
  <c r="Y469" i="5" s="1"/>
  <c r="W272" i="5"/>
  <c r="X853" i="5"/>
  <c r="W799" i="5"/>
  <c r="Y799" i="5" s="1"/>
  <c r="X772" i="5"/>
  <c r="W741" i="5"/>
  <c r="Y741" i="5" s="1"/>
  <c r="V715" i="5"/>
  <c r="X687" i="5"/>
  <c r="V446" i="5"/>
  <c r="W853" i="5"/>
  <c r="X797" i="5"/>
  <c r="W768" i="5"/>
  <c r="X709" i="5"/>
  <c r="W687" i="5"/>
  <c r="Y687" i="5" s="1"/>
  <c r="X224" i="5"/>
  <c r="V795" i="5"/>
  <c r="V768" i="5"/>
  <c r="X740" i="5"/>
  <c r="W709" i="5"/>
  <c r="X613" i="5"/>
  <c r="W224" i="5"/>
  <c r="Y224" i="5" s="1"/>
  <c r="X852" i="5"/>
  <c r="X789" i="5"/>
  <c r="X767" i="5"/>
  <c r="W736" i="5"/>
  <c r="W613" i="5"/>
  <c r="W439" i="5"/>
  <c r="Y439" i="5" s="1"/>
  <c r="X169" i="5"/>
  <c r="X848" i="5"/>
  <c r="W789" i="5"/>
  <c r="W767" i="5"/>
  <c r="Y767" i="5" s="1"/>
  <c r="V736" i="5"/>
  <c r="X708" i="5"/>
  <c r="X406" i="5"/>
  <c r="W848" i="5"/>
  <c r="Y848" i="5" s="1"/>
  <c r="V763" i="5"/>
  <c r="X735" i="5"/>
  <c r="W704" i="5"/>
  <c r="X581" i="5"/>
  <c r="W406" i="5"/>
  <c r="X788" i="5"/>
  <c r="X757" i="5"/>
  <c r="W735" i="5"/>
  <c r="V704" i="5"/>
  <c r="X400" i="5"/>
  <c r="X847" i="5"/>
  <c r="W784" i="5"/>
  <c r="W757" i="5"/>
  <c r="Y757" i="5" s="1"/>
  <c r="V731" i="5"/>
  <c r="X703" i="5"/>
  <c r="V533" i="5"/>
  <c r="W372" i="5"/>
  <c r="Y372" i="5" s="1"/>
  <c r="W847" i="5"/>
  <c r="Y847" i="5" s="1"/>
  <c r="V784" i="5"/>
  <c r="X725" i="5"/>
  <c r="W703" i="5"/>
  <c r="W528" i="5"/>
  <c r="V843" i="5"/>
  <c r="X783" i="5"/>
  <c r="X756" i="5"/>
  <c r="W725" i="5"/>
  <c r="Y725" i="5" s="1"/>
  <c r="V699" i="5"/>
  <c r="V528" i="5"/>
  <c r="X842" i="5"/>
  <c r="W783" i="5"/>
  <c r="Y783" i="5" s="1"/>
  <c r="W752" i="5"/>
  <c r="X693" i="5"/>
  <c r="V334" i="5"/>
  <c r="X781" i="5"/>
  <c r="V752" i="5"/>
  <c r="X724" i="5"/>
  <c r="W501" i="5"/>
  <c r="V622" i="5"/>
  <c r="Y622" i="5" s="1"/>
  <c r="W622" i="5"/>
  <c r="X622" i="5"/>
  <c r="W619" i="5"/>
  <c r="X619" i="5"/>
  <c r="V619" i="5"/>
  <c r="W603" i="5"/>
  <c r="X603" i="5"/>
  <c r="V603" i="5"/>
  <c r="W587" i="5"/>
  <c r="X587" i="5"/>
  <c r="V587" i="5"/>
  <c r="W571" i="5"/>
  <c r="X571" i="5"/>
  <c r="V571" i="5"/>
  <c r="W555" i="5"/>
  <c r="X555" i="5"/>
  <c r="V555" i="5"/>
  <c r="W539" i="5"/>
  <c r="X539" i="5"/>
  <c r="V539" i="5"/>
  <c r="Y539" i="5" s="1"/>
  <c r="W523" i="5"/>
  <c r="X523" i="5"/>
  <c r="V523" i="5"/>
  <c r="W507" i="5"/>
  <c r="X507" i="5"/>
  <c r="V507" i="5"/>
  <c r="Y507" i="5" s="1"/>
  <c r="W491" i="5"/>
  <c r="X491" i="5"/>
  <c r="V491" i="5"/>
  <c r="Y491" i="5" s="1"/>
  <c r="W475" i="5"/>
  <c r="X475" i="5"/>
  <c r="V475" i="5"/>
  <c r="W459" i="5"/>
  <c r="X459" i="5"/>
  <c r="V459" i="5"/>
  <c r="V443" i="5"/>
  <c r="Y443" i="5" s="1"/>
  <c r="W443" i="5"/>
  <c r="X443" i="5"/>
  <c r="W427" i="5"/>
  <c r="X427" i="5"/>
  <c r="V427" i="5"/>
  <c r="Y427" i="5" s="1"/>
  <c r="V411" i="5"/>
  <c r="Y411" i="5" s="1"/>
  <c r="W411" i="5"/>
  <c r="X411" i="5"/>
  <c r="V395" i="5"/>
  <c r="W395" i="5"/>
  <c r="X395" i="5"/>
  <c r="V379" i="5"/>
  <c r="Y379" i="5" s="1"/>
  <c r="W379" i="5"/>
  <c r="X379" i="5"/>
  <c r="V363" i="5"/>
  <c r="W363" i="5"/>
  <c r="X363" i="5"/>
  <c r="X347" i="5"/>
  <c r="V347" i="5"/>
  <c r="W347" i="5"/>
  <c r="X331" i="5"/>
  <c r="V331" i="5"/>
  <c r="Y331" i="5" s="1"/>
  <c r="W331" i="5"/>
  <c r="X315" i="5"/>
  <c r="V315" i="5"/>
  <c r="Y315" i="5" s="1"/>
  <c r="W315" i="5"/>
  <c r="X299" i="5"/>
  <c r="V299" i="5"/>
  <c r="Y299" i="5" s="1"/>
  <c r="W299" i="5"/>
  <c r="X283" i="5"/>
  <c r="V283" i="5"/>
  <c r="W283" i="5"/>
  <c r="X267" i="5"/>
  <c r="V267" i="5"/>
  <c r="Y267" i="5" s="1"/>
  <c r="W267" i="5"/>
  <c r="X251" i="5"/>
  <c r="V251" i="5"/>
  <c r="W251" i="5"/>
  <c r="X235" i="5"/>
  <c r="V235" i="5"/>
  <c r="W235" i="5"/>
  <c r="X219" i="5"/>
  <c r="V219" i="5"/>
  <c r="W219" i="5"/>
  <c r="X203" i="5"/>
  <c r="V203" i="5"/>
  <c r="W203" i="5"/>
  <c r="V187" i="5"/>
  <c r="Y187" i="5" s="1"/>
  <c r="X187" i="5"/>
  <c r="W187" i="5"/>
  <c r="V171" i="5"/>
  <c r="X171" i="5"/>
  <c r="W171" i="5"/>
  <c r="V155" i="5"/>
  <c r="Y155" i="5" s="1"/>
  <c r="X155" i="5"/>
  <c r="W155" i="5"/>
  <c r="V139" i="5"/>
  <c r="X139" i="5"/>
  <c r="W139" i="5"/>
  <c r="V123" i="5"/>
  <c r="Y123" i="5" s="1"/>
  <c r="X123" i="5"/>
  <c r="W123" i="5"/>
  <c r="V107" i="5"/>
  <c r="X107" i="5"/>
  <c r="W107" i="5"/>
  <c r="V91" i="5"/>
  <c r="Y91" i="5" s="1"/>
  <c r="X91" i="5"/>
  <c r="W91" i="5"/>
  <c r="V75" i="5"/>
  <c r="Y75" i="5" s="1"/>
  <c r="W75" i="5"/>
  <c r="X75" i="5"/>
  <c r="V59" i="5"/>
  <c r="Y59" i="5" s="1"/>
  <c r="W59" i="5"/>
  <c r="X59" i="5"/>
  <c r="V43" i="5"/>
  <c r="W43" i="5"/>
  <c r="X43" i="5"/>
  <c r="V27" i="5"/>
  <c r="W27" i="5"/>
  <c r="X27" i="5"/>
  <c r="V11" i="5"/>
  <c r="W11" i="5"/>
  <c r="X11" i="5"/>
  <c r="X794" i="5"/>
  <c r="V794" i="5"/>
  <c r="Y794" i="5" s="1"/>
  <c r="W794" i="5"/>
  <c r="V778" i="5"/>
  <c r="Y778" i="5" s="1"/>
  <c r="X778" i="5"/>
  <c r="W778" i="5"/>
  <c r="W762" i="5"/>
  <c r="X762" i="5"/>
  <c r="V762" i="5"/>
  <c r="W746" i="5"/>
  <c r="X746" i="5"/>
  <c r="V746" i="5"/>
  <c r="W730" i="5"/>
  <c r="X730" i="5"/>
  <c r="V730" i="5"/>
  <c r="W714" i="5"/>
  <c r="X714" i="5"/>
  <c r="V714" i="5"/>
  <c r="Y714" i="5" s="1"/>
  <c r="W698" i="5"/>
  <c r="X698" i="5"/>
  <c r="V698" i="5"/>
  <c r="V846" i="5"/>
  <c r="W846" i="5"/>
  <c r="X846" i="5"/>
  <c r="V560" i="5"/>
  <c r="X474" i="5"/>
  <c r="X372" i="5"/>
  <c r="W234" i="5"/>
  <c r="V362" i="5"/>
  <c r="Y362" i="5" s="1"/>
  <c r="W362" i="5"/>
  <c r="X362" i="5"/>
  <c r="V585" i="5"/>
  <c r="W585" i="5"/>
  <c r="X585" i="5"/>
  <c r="V472" i="5"/>
  <c r="Y472" i="5" s="1"/>
  <c r="W472" i="5"/>
  <c r="X472" i="5"/>
  <c r="V328" i="5"/>
  <c r="Y328" i="5" s="1"/>
  <c r="W328" i="5"/>
  <c r="X328" i="5"/>
  <c r="V184" i="5"/>
  <c r="Y184" i="5" s="1"/>
  <c r="X184" i="5"/>
  <c r="W184" i="5"/>
  <c r="V615" i="5"/>
  <c r="W615" i="5"/>
  <c r="X615" i="5"/>
  <c r="V599" i="5"/>
  <c r="Y599" i="5" s="1"/>
  <c r="W599" i="5"/>
  <c r="X599" i="5"/>
  <c r="V583" i="5"/>
  <c r="W583" i="5"/>
  <c r="X583" i="5"/>
  <c r="V567" i="5"/>
  <c r="W567" i="5"/>
  <c r="X567" i="5"/>
  <c r="V551" i="5"/>
  <c r="W551" i="5"/>
  <c r="X551" i="5"/>
  <c r="V535" i="5"/>
  <c r="W535" i="5"/>
  <c r="X535" i="5"/>
  <c r="V519" i="5"/>
  <c r="W519" i="5"/>
  <c r="X519" i="5"/>
  <c r="V503" i="5"/>
  <c r="Y503" i="5" s="1"/>
  <c r="W503" i="5"/>
  <c r="X503" i="5"/>
  <c r="V487" i="5"/>
  <c r="Y487" i="5" s="1"/>
  <c r="W487" i="5"/>
  <c r="X487" i="5"/>
  <c r="V471" i="5"/>
  <c r="W471" i="5"/>
  <c r="X471" i="5"/>
  <c r="V455" i="5"/>
  <c r="Y455" i="5" s="1"/>
  <c r="W455" i="5"/>
  <c r="X455" i="5"/>
  <c r="V423" i="5"/>
  <c r="Y423" i="5" s="1"/>
  <c r="W423" i="5"/>
  <c r="X423" i="5"/>
  <c r="V407" i="5"/>
  <c r="X407" i="5"/>
  <c r="V391" i="5"/>
  <c r="X391" i="5"/>
  <c r="W391" i="5"/>
  <c r="V375" i="5"/>
  <c r="X375" i="5"/>
  <c r="W375" i="5"/>
  <c r="V359" i="5"/>
  <c r="X359" i="5"/>
  <c r="W359" i="5"/>
  <c r="V343" i="5"/>
  <c r="X343" i="5"/>
  <c r="V327" i="5"/>
  <c r="X327" i="5"/>
  <c r="W327" i="5"/>
  <c r="V311" i="5"/>
  <c r="X311" i="5"/>
  <c r="W311" i="5"/>
  <c r="V295" i="5"/>
  <c r="W295" i="5"/>
  <c r="X295" i="5"/>
  <c r="V279" i="5"/>
  <c r="W279" i="5"/>
  <c r="X279" i="5"/>
  <c r="V263" i="5"/>
  <c r="Y263" i="5" s="1"/>
  <c r="W263" i="5"/>
  <c r="X263" i="5"/>
  <c r="V247" i="5"/>
  <c r="W247" i="5"/>
  <c r="X247" i="5"/>
  <c r="V231" i="5"/>
  <c r="Y231" i="5" s="1"/>
  <c r="W231" i="5"/>
  <c r="X231" i="5"/>
  <c r="V215" i="5"/>
  <c r="W215" i="5"/>
  <c r="X215" i="5"/>
  <c r="V199" i="5"/>
  <c r="W199" i="5"/>
  <c r="X199" i="5"/>
  <c r="V183" i="5"/>
  <c r="W183" i="5"/>
  <c r="X183" i="5"/>
  <c r="V167" i="5"/>
  <c r="W167" i="5"/>
  <c r="X167" i="5"/>
  <c r="V151" i="5"/>
  <c r="W151" i="5"/>
  <c r="X151" i="5"/>
  <c r="V135" i="5"/>
  <c r="W135" i="5"/>
  <c r="X135" i="5"/>
  <c r="V119" i="5"/>
  <c r="Y119" i="5" s="1"/>
  <c r="W119" i="5"/>
  <c r="X119" i="5"/>
  <c r="V103" i="5"/>
  <c r="W103" i="5"/>
  <c r="X103" i="5"/>
  <c r="V87" i="5"/>
  <c r="Y87" i="5" s="1"/>
  <c r="W87" i="5"/>
  <c r="X87" i="5"/>
  <c r="V71" i="5"/>
  <c r="Y71" i="5" s="1"/>
  <c r="W71" i="5"/>
  <c r="X71" i="5"/>
  <c r="V55" i="5"/>
  <c r="W55" i="5"/>
  <c r="X55" i="5"/>
  <c r="V39" i="5"/>
  <c r="Y39" i="5" s="1"/>
  <c r="W39" i="5"/>
  <c r="X39" i="5"/>
  <c r="V23" i="5"/>
  <c r="W23" i="5"/>
  <c r="X23" i="5"/>
  <c r="V7" i="5"/>
  <c r="Y7" i="5" s="1"/>
  <c r="W7" i="5"/>
  <c r="X7" i="5"/>
  <c r="W852" i="5"/>
  <c r="Y852" i="5" s="1"/>
  <c r="X793" i="5"/>
  <c r="W788" i="5"/>
  <c r="Y788" i="5" s="1"/>
  <c r="X777" i="5"/>
  <c r="W772" i="5"/>
  <c r="Y772" i="5" s="1"/>
  <c r="X761" i="5"/>
  <c r="W756" i="5"/>
  <c r="Y756" i="5" s="1"/>
  <c r="X745" i="5"/>
  <c r="W740" i="5"/>
  <c r="Y740" i="5" s="1"/>
  <c r="X729" i="5"/>
  <c r="W724" i="5"/>
  <c r="Y724" i="5" s="1"/>
  <c r="X713" i="5"/>
  <c r="W708" i="5"/>
  <c r="Y708" i="5" s="1"/>
  <c r="X697" i="5"/>
  <c r="W692" i="5"/>
  <c r="W608" i="5"/>
  <c r="W581" i="5"/>
  <c r="Y581" i="5" s="1"/>
  <c r="W554" i="5"/>
  <c r="Y554" i="5" s="1"/>
  <c r="V496" i="5"/>
  <c r="Y496" i="5" s="1"/>
  <c r="W433" i="5"/>
  <c r="W400" i="5"/>
  <c r="Y400" i="5" s="1"/>
  <c r="V272" i="5"/>
  <c r="Y272" i="5" s="1"/>
  <c r="X95" i="5"/>
  <c r="V298" i="5"/>
  <c r="Y298" i="5" s="1"/>
  <c r="W298" i="5"/>
  <c r="X298" i="5"/>
  <c r="V154" i="5"/>
  <c r="W154" i="5"/>
  <c r="X154" i="5"/>
  <c r="V42" i="5"/>
  <c r="Y42" i="5" s="1"/>
  <c r="W42" i="5"/>
  <c r="X42" i="5"/>
  <c r="V569" i="5"/>
  <c r="W569" i="5"/>
  <c r="X569" i="5"/>
  <c r="V488" i="5"/>
  <c r="Y488" i="5" s="1"/>
  <c r="W488" i="5"/>
  <c r="X488" i="5"/>
  <c r="V344" i="5"/>
  <c r="Y344" i="5" s="1"/>
  <c r="W344" i="5"/>
  <c r="X344" i="5"/>
  <c r="V216" i="5"/>
  <c r="X216" i="5"/>
  <c r="V72" i="5"/>
  <c r="Y72" i="5" s="1"/>
  <c r="X72" i="5"/>
  <c r="W72" i="5"/>
  <c r="V614" i="5"/>
  <c r="Y614" i="5" s="1"/>
  <c r="W614" i="5"/>
  <c r="X614" i="5"/>
  <c r="V598" i="5"/>
  <c r="Y598" i="5" s="1"/>
  <c r="W598" i="5"/>
  <c r="X598" i="5"/>
  <c r="V582" i="5"/>
  <c r="W582" i="5"/>
  <c r="X582" i="5"/>
  <c r="V566" i="5"/>
  <c r="W566" i="5"/>
  <c r="X566" i="5"/>
  <c r="V550" i="5"/>
  <c r="W550" i="5"/>
  <c r="X550" i="5"/>
  <c r="V534" i="5"/>
  <c r="Y534" i="5" s="1"/>
  <c r="W534" i="5"/>
  <c r="X534" i="5"/>
  <c r="V518" i="5"/>
  <c r="W518" i="5"/>
  <c r="X518" i="5"/>
  <c r="V502" i="5"/>
  <c r="Y502" i="5" s="1"/>
  <c r="W502" i="5"/>
  <c r="X502" i="5"/>
  <c r="V486" i="5"/>
  <c r="W486" i="5"/>
  <c r="X486" i="5"/>
  <c r="V470" i="5"/>
  <c r="W470" i="5"/>
  <c r="X470" i="5"/>
  <c r="V454" i="5"/>
  <c r="W454" i="5"/>
  <c r="X454" i="5"/>
  <c r="V438" i="5"/>
  <c r="W438" i="5"/>
  <c r="X438" i="5"/>
  <c r="V422" i="5"/>
  <c r="W422" i="5"/>
  <c r="X422" i="5"/>
  <c r="V390" i="5"/>
  <c r="W390" i="5"/>
  <c r="X390" i="5"/>
  <c r="V374" i="5"/>
  <c r="Y374" i="5" s="1"/>
  <c r="W374" i="5"/>
  <c r="X374" i="5"/>
  <c r="W326" i="5"/>
  <c r="Y326" i="5" s="1"/>
  <c r="X326" i="5"/>
  <c r="W310" i="5"/>
  <c r="V310" i="5"/>
  <c r="X310" i="5"/>
  <c r="W294" i="5"/>
  <c r="V294" i="5"/>
  <c r="Y294" i="5" s="1"/>
  <c r="X294" i="5"/>
  <c r="W278" i="5"/>
  <c r="V278" i="5"/>
  <c r="X278" i="5"/>
  <c r="W246" i="5"/>
  <c r="V246" i="5"/>
  <c r="X246" i="5"/>
  <c r="W230" i="5"/>
  <c r="V230" i="5"/>
  <c r="X230" i="5"/>
  <c r="W198" i="5"/>
  <c r="V198" i="5"/>
  <c r="Y198" i="5" s="1"/>
  <c r="X198" i="5"/>
  <c r="W182" i="5"/>
  <c r="V182" i="5"/>
  <c r="X182" i="5"/>
  <c r="W166" i="5"/>
  <c r="V166" i="5"/>
  <c r="Y166" i="5" s="1"/>
  <c r="X166" i="5"/>
  <c r="W150" i="5"/>
  <c r="V150" i="5"/>
  <c r="Y150" i="5" s="1"/>
  <c r="X150" i="5"/>
  <c r="W134" i="5"/>
  <c r="V134" i="5"/>
  <c r="X134" i="5"/>
  <c r="W118" i="5"/>
  <c r="V118" i="5"/>
  <c r="W102" i="5"/>
  <c r="V102" i="5"/>
  <c r="X102" i="5"/>
  <c r="V86" i="5"/>
  <c r="W86" i="5"/>
  <c r="X86" i="5"/>
  <c r="V70" i="5"/>
  <c r="Y70" i="5" s="1"/>
  <c r="W70" i="5"/>
  <c r="X70" i="5"/>
  <c r="V54" i="5"/>
  <c r="W54" i="5"/>
  <c r="X54" i="5"/>
  <c r="V38" i="5"/>
  <c r="W38" i="5"/>
  <c r="X38" i="5"/>
  <c r="V22" i="5"/>
  <c r="W22" i="5"/>
  <c r="X22" i="5"/>
  <c r="V6" i="5"/>
  <c r="W6" i="5"/>
  <c r="X6" i="5"/>
  <c r="X798" i="5"/>
  <c r="W793" i="5"/>
  <c r="Y793" i="5" s="1"/>
  <c r="X782" i="5"/>
  <c r="W777" i="5"/>
  <c r="Y777" i="5" s="1"/>
  <c r="X766" i="5"/>
  <c r="W761" i="5"/>
  <c r="Y761" i="5" s="1"/>
  <c r="X750" i="5"/>
  <c r="W745" i="5"/>
  <c r="X734" i="5"/>
  <c r="W729" i="5"/>
  <c r="Y729" i="5" s="1"/>
  <c r="X718" i="5"/>
  <c r="W713" i="5"/>
  <c r="Y713" i="5" s="1"/>
  <c r="X702" i="5"/>
  <c r="W697" i="5"/>
  <c r="X686" i="5"/>
  <c r="V608" i="5"/>
  <c r="Y608" i="5" s="1"/>
  <c r="X549" i="5"/>
  <c r="X522" i="5"/>
  <c r="W464" i="5"/>
  <c r="V433" i="5"/>
  <c r="Y433" i="5" s="1"/>
  <c r="W358" i="5"/>
  <c r="W216" i="5"/>
  <c r="V95" i="5"/>
  <c r="Y95" i="5" s="1"/>
  <c r="W474" i="5"/>
  <c r="Y474" i="5" s="1"/>
  <c r="V617" i="5"/>
  <c r="W617" i="5"/>
  <c r="X617" i="5"/>
  <c r="V521" i="5"/>
  <c r="Y521" i="5" s="1"/>
  <c r="W521" i="5"/>
  <c r="X521" i="5"/>
  <c r="V393" i="5"/>
  <c r="Y393" i="5" s="1"/>
  <c r="W393" i="5"/>
  <c r="V249" i="5"/>
  <c r="W249" i="5"/>
  <c r="X249" i="5"/>
  <c r="V424" i="5"/>
  <c r="W424" i="5"/>
  <c r="X424" i="5"/>
  <c r="X554" i="5"/>
  <c r="W453" i="5"/>
  <c r="X453" i="5"/>
  <c r="V437" i="5"/>
  <c r="W437" i="5"/>
  <c r="X437" i="5"/>
  <c r="V421" i="5"/>
  <c r="Y421" i="5" s="1"/>
  <c r="W421" i="5"/>
  <c r="X421" i="5"/>
  <c r="V405" i="5"/>
  <c r="Y405" i="5" s="1"/>
  <c r="W405" i="5"/>
  <c r="X405" i="5"/>
  <c r="V389" i="5"/>
  <c r="W389" i="5"/>
  <c r="X389" i="5"/>
  <c r="W373" i="5"/>
  <c r="X373" i="5"/>
  <c r="V357" i="5"/>
  <c r="W357" i="5"/>
  <c r="V341" i="5"/>
  <c r="W341" i="5"/>
  <c r="X341" i="5"/>
  <c r="V293" i="5"/>
  <c r="Y293" i="5" s="1"/>
  <c r="W293" i="5"/>
  <c r="X293" i="5"/>
  <c r="V277" i="5"/>
  <c r="Y277" i="5" s="1"/>
  <c r="W277" i="5"/>
  <c r="X277" i="5"/>
  <c r="V261" i="5"/>
  <c r="W261" i="5"/>
  <c r="V245" i="5"/>
  <c r="W245" i="5"/>
  <c r="X245" i="5"/>
  <c r="V229" i="5"/>
  <c r="W229" i="5"/>
  <c r="X229" i="5"/>
  <c r="V213" i="5"/>
  <c r="W213" i="5"/>
  <c r="X213" i="5"/>
  <c r="X197" i="5"/>
  <c r="V197" i="5"/>
  <c r="W197" i="5"/>
  <c r="X165" i="5"/>
  <c r="V165" i="5"/>
  <c r="Y165" i="5" s="1"/>
  <c r="W165" i="5"/>
  <c r="X149" i="5"/>
  <c r="V149" i="5"/>
  <c r="W149" i="5"/>
  <c r="X133" i="5"/>
  <c r="W133" i="5"/>
  <c r="X117" i="5"/>
  <c r="V117" i="5"/>
  <c r="Y117" i="5" s="1"/>
  <c r="W117" i="5"/>
  <c r="X101" i="5"/>
  <c r="V101" i="5"/>
  <c r="W101" i="5"/>
  <c r="V85" i="5"/>
  <c r="W85" i="5"/>
  <c r="X85" i="5"/>
  <c r="V69" i="5"/>
  <c r="Y69" i="5" s="1"/>
  <c r="W69" i="5"/>
  <c r="X69" i="5"/>
  <c r="V53" i="5"/>
  <c r="W53" i="5"/>
  <c r="X53" i="5"/>
  <c r="V37" i="5"/>
  <c r="W37" i="5"/>
  <c r="X37" i="5"/>
  <c r="V21" i="5"/>
  <c r="W21" i="5"/>
  <c r="X21" i="5"/>
  <c r="X851" i="5"/>
  <c r="X803" i="5"/>
  <c r="W798" i="5"/>
  <c r="Y798" i="5" s="1"/>
  <c r="X787" i="5"/>
  <c r="W782" i="5"/>
  <c r="Y782" i="5" s="1"/>
  <c r="X771" i="5"/>
  <c r="W766" i="5"/>
  <c r="X755" i="5"/>
  <c r="W750" i="5"/>
  <c r="X739" i="5"/>
  <c r="W734" i="5"/>
  <c r="Y734" i="5" s="1"/>
  <c r="X723" i="5"/>
  <c r="W718" i="5"/>
  <c r="Y718" i="5" s="1"/>
  <c r="X707" i="5"/>
  <c r="W702" i="5"/>
  <c r="Y702" i="5" s="1"/>
  <c r="X691" i="5"/>
  <c r="W686" i="5"/>
  <c r="Y686" i="5" s="1"/>
  <c r="W576" i="5"/>
  <c r="W549" i="5"/>
  <c r="Y549" i="5" s="1"/>
  <c r="W522" i="5"/>
  <c r="V464" i="5"/>
  <c r="W394" i="5"/>
  <c r="V358" i="5"/>
  <c r="X262" i="5"/>
  <c r="X214" i="5"/>
  <c r="V58" i="5"/>
  <c r="Y58" i="5" s="1"/>
  <c r="W58" i="5"/>
  <c r="X58" i="5"/>
  <c r="V537" i="5"/>
  <c r="W537" i="5"/>
  <c r="X537" i="5"/>
  <c r="V409" i="5"/>
  <c r="Y409" i="5" s="1"/>
  <c r="W409" i="5"/>
  <c r="X409" i="5"/>
  <c r="V265" i="5"/>
  <c r="Y265" i="5" s="1"/>
  <c r="W265" i="5"/>
  <c r="X265" i="5"/>
  <c r="W586" i="5"/>
  <c r="W281" i="5"/>
  <c r="Y281" i="5" s="1"/>
  <c r="W616" i="5"/>
  <c r="X616" i="5"/>
  <c r="V552" i="5"/>
  <c r="Y552" i="5" s="1"/>
  <c r="W552" i="5"/>
  <c r="X552" i="5"/>
  <c r="V504" i="5"/>
  <c r="W504" i="5"/>
  <c r="X504" i="5"/>
  <c r="V456" i="5"/>
  <c r="Y456" i="5" s="1"/>
  <c r="W456" i="5"/>
  <c r="X456" i="5"/>
  <c r="V392" i="5"/>
  <c r="Y392" i="5" s="1"/>
  <c r="W392" i="5"/>
  <c r="X392" i="5"/>
  <c r="V312" i="5"/>
  <c r="W312" i="5"/>
  <c r="X312" i="5"/>
  <c r="V264" i="5"/>
  <c r="W264" i="5"/>
  <c r="X264" i="5"/>
  <c r="V200" i="5"/>
  <c r="X200" i="5"/>
  <c r="W200" i="5"/>
  <c r="V152" i="5"/>
  <c r="Y152" i="5" s="1"/>
  <c r="X152" i="5"/>
  <c r="W152" i="5"/>
  <c r="V104" i="5"/>
  <c r="X104" i="5"/>
  <c r="W104" i="5"/>
  <c r="V88" i="5"/>
  <c r="X88" i="5"/>
  <c r="W88" i="5"/>
  <c r="V56" i="5"/>
  <c r="X56" i="5"/>
  <c r="W56" i="5"/>
  <c r="V8" i="5"/>
  <c r="X8" i="5"/>
  <c r="W8" i="5"/>
  <c r="V612" i="5"/>
  <c r="W612" i="5"/>
  <c r="X612" i="5"/>
  <c r="V596" i="5"/>
  <c r="W596" i="5"/>
  <c r="X596" i="5"/>
  <c r="V580" i="5"/>
  <c r="W580" i="5"/>
  <c r="X580" i="5"/>
  <c r="V564" i="5"/>
  <c r="Y564" i="5" s="1"/>
  <c r="W564" i="5"/>
  <c r="X564" i="5"/>
  <c r="V548" i="5"/>
  <c r="Y548" i="5" s="1"/>
  <c r="W548" i="5"/>
  <c r="X548" i="5"/>
  <c r="V532" i="5"/>
  <c r="W532" i="5"/>
  <c r="X532" i="5"/>
  <c r="V516" i="5"/>
  <c r="Y516" i="5" s="1"/>
  <c r="W516" i="5"/>
  <c r="X516" i="5"/>
  <c r="V500" i="5"/>
  <c r="W500" i="5"/>
  <c r="X500" i="5"/>
  <c r="V484" i="5"/>
  <c r="W484" i="5"/>
  <c r="X484" i="5"/>
  <c r="V468" i="5"/>
  <c r="W468" i="5"/>
  <c r="X468" i="5"/>
  <c r="V436" i="5"/>
  <c r="W436" i="5"/>
  <c r="X436" i="5"/>
  <c r="V404" i="5"/>
  <c r="Y404" i="5" s="1"/>
  <c r="W404" i="5"/>
  <c r="X404" i="5"/>
  <c r="V388" i="5"/>
  <c r="W388" i="5"/>
  <c r="X388" i="5"/>
  <c r="V356" i="5"/>
  <c r="Y356" i="5" s="1"/>
  <c r="W356" i="5"/>
  <c r="X356" i="5"/>
  <c r="X340" i="5"/>
  <c r="V340" i="5"/>
  <c r="W340" i="5"/>
  <c r="X324" i="5"/>
  <c r="V324" i="5"/>
  <c r="Y324" i="5" s="1"/>
  <c r="W324" i="5"/>
  <c r="X308" i="5"/>
  <c r="V308" i="5"/>
  <c r="Y308" i="5" s="1"/>
  <c r="X292" i="5"/>
  <c r="W292" i="5"/>
  <c r="X276" i="5"/>
  <c r="V276" i="5"/>
  <c r="W276" i="5"/>
  <c r="X260" i="5"/>
  <c r="V260" i="5"/>
  <c r="W260" i="5"/>
  <c r="X228" i="5"/>
  <c r="V228" i="5"/>
  <c r="W228" i="5"/>
  <c r="X212" i="5"/>
  <c r="V212" i="5"/>
  <c r="W212" i="5"/>
  <c r="X196" i="5"/>
  <c r="V196" i="5"/>
  <c r="Y196" i="5" s="1"/>
  <c r="W196" i="5"/>
  <c r="X180" i="5"/>
  <c r="V180" i="5"/>
  <c r="X164" i="5"/>
  <c r="V164" i="5"/>
  <c r="Y164" i="5" s="1"/>
  <c r="W164" i="5"/>
  <c r="X148" i="5"/>
  <c r="V148" i="5"/>
  <c r="W148" i="5"/>
  <c r="X116" i="5"/>
  <c r="V116" i="5"/>
  <c r="Y116" i="5" s="1"/>
  <c r="W116" i="5"/>
  <c r="X100" i="5"/>
  <c r="V100" i="5"/>
  <c r="Y100" i="5" s="1"/>
  <c r="W100" i="5"/>
  <c r="V84" i="5"/>
  <c r="Y84" i="5" s="1"/>
  <c r="W84" i="5"/>
  <c r="X84" i="5"/>
  <c r="V68" i="5"/>
  <c r="Y68" i="5" s="1"/>
  <c r="W68" i="5"/>
  <c r="X68" i="5"/>
  <c r="V52" i="5"/>
  <c r="Y52" i="5" s="1"/>
  <c r="W52" i="5"/>
  <c r="X52" i="5"/>
  <c r="V36" i="5"/>
  <c r="W36" i="5"/>
  <c r="X36" i="5"/>
  <c r="V20" i="5"/>
  <c r="W20" i="5"/>
  <c r="X20" i="5"/>
  <c r="W851" i="5"/>
  <c r="Y851" i="5" s="1"/>
  <c r="W803" i="5"/>
  <c r="X792" i="5"/>
  <c r="W787" i="5"/>
  <c r="Y787" i="5" s="1"/>
  <c r="X776" i="5"/>
  <c r="W771" i="5"/>
  <c r="Y771" i="5" s="1"/>
  <c r="X760" i="5"/>
  <c r="W755" i="5"/>
  <c r="Y755" i="5" s="1"/>
  <c r="X744" i="5"/>
  <c r="W739" i="5"/>
  <c r="X728" i="5"/>
  <c r="W723" i="5"/>
  <c r="Y723" i="5" s="1"/>
  <c r="X712" i="5"/>
  <c r="W707" i="5"/>
  <c r="Y707" i="5" s="1"/>
  <c r="X696" i="5"/>
  <c r="W691" i="5"/>
  <c r="Y691" i="5" s="1"/>
  <c r="V576" i="5"/>
  <c r="Y576" i="5" s="1"/>
  <c r="X517" i="5"/>
  <c r="X490" i="5"/>
  <c r="V394" i="5"/>
  <c r="Y394" i="5" s="1"/>
  <c r="X357" i="5"/>
  <c r="W309" i="5"/>
  <c r="V262" i="5"/>
  <c r="Y262" i="5" s="1"/>
  <c r="V214" i="5"/>
  <c r="X144" i="5"/>
  <c r="V442" i="5"/>
  <c r="W442" i="5"/>
  <c r="X442" i="5"/>
  <c r="V282" i="5"/>
  <c r="Y282" i="5" s="1"/>
  <c r="X282" i="5"/>
  <c r="V425" i="5"/>
  <c r="W425" i="5"/>
  <c r="X425" i="5"/>
  <c r="V408" i="5"/>
  <c r="Y408" i="5" s="1"/>
  <c r="W408" i="5"/>
  <c r="X408" i="5"/>
  <c r="V611" i="5"/>
  <c r="W611" i="5"/>
  <c r="X611" i="5"/>
  <c r="V595" i="5"/>
  <c r="Y595" i="5" s="1"/>
  <c r="W595" i="5"/>
  <c r="X595" i="5"/>
  <c r="V579" i="5"/>
  <c r="W579" i="5"/>
  <c r="X579" i="5"/>
  <c r="V563" i="5"/>
  <c r="W563" i="5"/>
  <c r="X563" i="5"/>
  <c r="V547" i="5"/>
  <c r="W547" i="5"/>
  <c r="X547" i="5"/>
  <c r="V531" i="5"/>
  <c r="W531" i="5"/>
  <c r="X531" i="5"/>
  <c r="V515" i="5"/>
  <c r="Y515" i="5" s="1"/>
  <c r="W515" i="5"/>
  <c r="X515" i="5"/>
  <c r="V499" i="5"/>
  <c r="W499" i="5"/>
  <c r="X499" i="5"/>
  <c r="V483" i="5"/>
  <c r="Y483" i="5" s="1"/>
  <c r="W483" i="5"/>
  <c r="X483" i="5"/>
  <c r="V467" i="5"/>
  <c r="Y467" i="5" s="1"/>
  <c r="W467" i="5"/>
  <c r="X467" i="5"/>
  <c r="X451" i="5"/>
  <c r="V451" i="5"/>
  <c r="Y451" i="5" s="1"/>
  <c r="W451" i="5"/>
  <c r="X435" i="5"/>
  <c r="V435" i="5"/>
  <c r="Y435" i="5" s="1"/>
  <c r="W435" i="5"/>
  <c r="X419" i="5"/>
  <c r="V419" i="5"/>
  <c r="W419" i="5"/>
  <c r="X403" i="5"/>
  <c r="V403" i="5"/>
  <c r="Y403" i="5" s="1"/>
  <c r="W403" i="5"/>
  <c r="X371" i="5"/>
  <c r="V371" i="5"/>
  <c r="Y371" i="5" s="1"/>
  <c r="W371" i="5"/>
  <c r="X355" i="5"/>
  <c r="V355" i="5"/>
  <c r="W355" i="5"/>
  <c r="X339" i="5"/>
  <c r="V339" i="5"/>
  <c r="W339" i="5"/>
  <c r="X275" i="5"/>
  <c r="V275" i="5"/>
  <c r="W275" i="5"/>
  <c r="X259" i="5"/>
  <c r="V259" i="5"/>
  <c r="W259" i="5"/>
  <c r="X243" i="5"/>
  <c r="V243" i="5"/>
  <c r="X227" i="5"/>
  <c r="V227" i="5"/>
  <c r="W227" i="5"/>
  <c r="X211" i="5"/>
  <c r="W211" i="5"/>
  <c r="V211" i="5"/>
  <c r="Y211" i="5" s="1"/>
  <c r="X195" i="5"/>
  <c r="W195" i="5"/>
  <c r="V195" i="5"/>
  <c r="X179" i="5"/>
  <c r="W179" i="5"/>
  <c r="V179" i="5"/>
  <c r="Y179" i="5" s="1"/>
  <c r="X163" i="5"/>
  <c r="W163" i="5"/>
  <c r="V163" i="5"/>
  <c r="X147" i="5"/>
  <c r="W147" i="5"/>
  <c r="V147" i="5"/>
  <c r="X131" i="5"/>
  <c r="W131" i="5"/>
  <c r="V131" i="5"/>
  <c r="X115" i="5"/>
  <c r="W115" i="5"/>
  <c r="V115" i="5"/>
  <c r="Y115" i="5" s="1"/>
  <c r="X99" i="5"/>
  <c r="W99" i="5"/>
  <c r="V99" i="5"/>
  <c r="X83" i="5"/>
  <c r="W83" i="5"/>
  <c r="V83" i="5"/>
  <c r="Y83" i="5" s="1"/>
  <c r="X67" i="5"/>
  <c r="W67" i="5"/>
  <c r="V67" i="5"/>
  <c r="Y67" i="5" s="1"/>
  <c r="X51" i="5"/>
  <c r="W51" i="5"/>
  <c r="Y51" i="5" s="1"/>
  <c r="X35" i="5"/>
  <c r="W35" i="5"/>
  <c r="V35" i="5"/>
  <c r="X19" i="5"/>
  <c r="W19" i="5"/>
  <c r="V19" i="5"/>
  <c r="X845" i="5"/>
  <c r="W792" i="5"/>
  <c r="W776" i="5"/>
  <c r="Y776" i="5" s="1"/>
  <c r="X765" i="5"/>
  <c r="W760" i="5"/>
  <c r="Y760" i="5" s="1"/>
  <c r="X749" i="5"/>
  <c r="W744" i="5"/>
  <c r="Y744" i="5" s="1"/>
  <c r="X733" i="5"/>
  <c r="W728" i="5"/>
  <c r="Y728" i="5" s="1"/>
  <c r="X717" i="5"/>
  <c r="W712" i="5"/>
  <c r="X701" i="5"/>
  <c r="W696" i="5"/>
  <c r="Y696" i="5" s="1"/>
  <c r="X602" i="5"/>
  <c r="W544" i="5"/>
  <c r="W517" i="5"/>
  <c r="W490" i="5"/>
  <c r="X426" i="5"/>
  <c r="X393" i="5"/>
  <c r="X351" i="5"/>
  <c r="V309" i="5"/>
  <c r="Y309" i="5" s="1"/>
  <c r="X261" i="5"/>
  <c r="V144" i="5"/>
  <c r="V186" i="5"/>
  <c r="W186" i="5"/>
  <c r="X186" i="5"/>
  <c r="V441" i="5"/>
  <c r="Y441" i="5" s="1"/>
  <c r="W441" i="5"/>
  <c r="X441" i="5"/>
  <c r="X323" i="5"/>
  <c r="V323" i="5"/>
  <c r="Y323" i="5" s="1"/>
  <c r="W323" i="5"/>
  <c r="V610" i="5"/>
  <c r="W610" i="5"/>
  <c r="X610" i="5"/>
  <c r="V594" i="5"/>
  <c r="W594" i="5"/>
  <c r="X594" i="5"/>
  <c r="V578" i="5"/>
  <c r="W578" i="5"/>
  <c r="X578" i="5"/>
  <c r="V562" i="5"/>
  <c r="Y562" i="5" s="1"/>
  <c r="W562" i="5"/>
  <c r="X562" i="5"/>
  <c r="V546" i="5"/>
  <c r="W546" i="5"/>
  <c r="X546" i="5"/>
  <c r="V530" i="5"/>
  <c r="W530" i="5"/>
  <c r="X530" i="5"/>
  <c r="V514" i="5"/>
  <c r="W514" i="5"/>
  <c r="X514" i="5"/>
  <c r="V498" i="5"/>
  <c r="W498" i="5"/>
  <c r="X498" i="5"/>
  <c r="V482" i="5"/>
  <c r="W482" i="5"/>
  <c r="X482" i="5"/>
  <c r="V466" i="5"/>
  <c r="W466" i="5"/>
  <c r="X466" i="5"/>
  <c r="V450" i="5"/>
  <c r="W450" i="5"/>
  <c r="X450" i="5"/>
  <c r="X434" i="5"/>
  <c r="V434" i="5"/>
  <c r="W434" i="5"/>
  <c r="X418" i="5"/>
  <c r="V418" i="5"/>
  <c r="W418" i="5"/>
  <c r="X402" i="5"/>
  <c r="V402" i="5"/>
  <c r="W402" i="5"/>
  <c r="W386" i="5"/>
  <c r="X386" i="5"/>
  <c r="W370" i="5"/>
  <c r="X370" i="5"/>
  <c r="V370" i="5"/>
  <c r="Y370" i="5" s="1"/>
  <c r="W354" i="5"/>
  <c r="X354" i="5"/>
  <c r="V354" i="5"/>
  <c r="W338" i="5"/>
  <c r="X338" i="5"/>
  <c r="V338" i="5"/>
  <c r="Y338" i="5" s="1"/>
  <c r="W322" i="5"/>
  <c r="X322" i="5"/>
  <c r="V322" i="5"/>
  <c r="Y322" i="5" s="1"/>
  <c r="W306" i="5"/>
  <c r="X306" i="5"/>
  <c r="V306" i="5"/>
  <c r="V290" i="5"/>
  <c r="W290" i="5"/>
  <c r="X290" i="5"/>
  <c r="V274" i="5"/>
  <c r="W274" i="5"/>
  <c r="X274" i="5"/>
  <c r="V258" i="5"/>
  <c r="W258" i="5"/>
  <c r="X258" i="5"/>
  <c r="V242" i="5"/>
  <c r="W242" i="5"/>
  <c r="X242" i="5"/>
  <c r="V226" i="5"/>
  <c r="W226" i="5"/>
  <c r="X226" i="5"/>
  <c r="V210" i="5"/>
  <c r="W210" i="5"/>
  <c r="X210" i="5"/>
  <c r="V194" i="5"/>
  <c r="W194" i="5"/>
  <c r="X194" i="5"/>
  <c r="V178" i="5"/>
  <c r="W178" i="5"/>
  <c r="X178" i="5"/>
  <c r="V162" i="5"/>
  <c r="W162" i="5"/>
  <c r="X162" i="5"/>
  <c r="V146" i="5"/>
  <c r="W146" i="5"/>
  <c r="X146" i="5"/>
  <c r="V130" i="5"/>
  <c r="Y130" i="5" s="1"/>
  <c r="W130" i="5"/>
  <c r="X130" i="5"/>
  <c r="V114" i="5"/>
  <c r="W114" i="5"/>
  <c r="X114" i="5"/>
  <c r="V98" i="5"/>
  <c r="W98" i="5"/>
  <c r="X98" i="5"/>
  <c r="V82" i="5"/>
  <c r="W82" i="5"/>
  <c r="X82" i="5"/>
  <c r="V66" i="5"/>
  <c r="W66" i="5"/>
  <c r="X66" i="5"/>
  <c r="V50" i="5"/>
  <c r="W50" i="5"/>
  <c r="X50" i="5"/>
  <c r="V34" i="5"/>
  <c r="W34" i="5"/>
  <c r="X34" i="5"/>
  <c r="V18" i="5"/>
  <c r="W18" i="5"/>
  <c r="X18" i="5"/>
  <c r="X850" i="5"/>
  <c r="W845" i="5"/>
  <c r="Y845" i="5" s="1"/>
  <c r="X802" i="5"/>
  <c r="W797" i="5"/>
  <c r="Y797" i="5" s="1"/>
  <c r="X786" i="5"/>
  <c r="W781" i="5"/>
  <c r="Y781" i="5" s="1"/>
  <c r="X770" i="5"/>
  <c r="W765" i="5"/>
  <c r="X754" i="5"/>
  <c r="W749" i="5"/>
  <c r="Y749" i="5" s="1"/>
  <c r="X738" i="5"/>
  <c r="W733" i="5"/>
  <c r="X722" i="5"/>
  <c r="W717" i="5"/>
  <c r="Y717" i="5" s="1"/>
  <c r="X706" i="5"/>
  <c r="W701" i="5"/>
  <c r="Y701" i="5" s="1"/>
  <c r="X690" i="5"/>
  <c r="W602" i="5"/>
  <c r="Y602" i="5" s="1"/>
  <c r="V544" i="5"/>
  <c r="X485" i="5"/>
  <c r="X458" i="5"/>
  <c r="W426" i="5"/>
  <c r="Y426" i="5" s="1"/>
  <c r="W387" i="5"/>
  <c r="W351" i="5"/>
  <c r="W308" i="5"/>
  <c r="V553" i="5"/>
  <c r="Y553" i="5" s="1"/>
  <c r="W553" i="5"/>
  <c r="X553" i="5"/>
  <c r="V473" i="5"/>
  <c r="W473" i="5"/>
  <c r="X473" i="5"/>
  <c r="V361" i="5"/>
  <c r="W361" i="5"/>
  <c r="X361" i="5"/>
  <c r="V313" i="5"/>
  <c r="W313" i="5"/>
  <c r="X313" i="5"/>
  <c r="V185" i="5"/>
  <c r="W185" i="5"/>
  <c r="X185" i="5"/>
  <c r="V121" i="5"/>
  <c r="Y121" i="5" s="1"/>
  <c r="X121" i="5"/>
  <c r="V89" i="5"/>
  <c r="W89" i="5"/>
  <c r="X89" i="5"/>
  <c r="V41" i="5"/>
  <c r="Y41" i="5" s="1"/>
  <c r="W41" i="5"/>
  <c r="X41" i="5"/>
  <c r="V9" i="5"/>
  <c r="W9" i="5"/>
  <c r="X9" i="5"/>
  <c r="W169" i="5"/>
  <c r="Y169" i="5" s="1"/>
  <c r="V520" i="5"/>
  <c r="W520" i="5"/>
  <c r="X520" i="5"/>
  <c r="V360" i="5"/>
  <c r="W360" i="5"/>
  <c r="X360" i="5"/>
  <c r="V232" i="5"/>
  <c r="W232" i="5"/>
  <c r="X232" i="5"/>
  <c r="V136" i="5"/>
  <c r="Y136" i="5" s="1"/>
  <c r="X136" i="5"/>
  <c r="W136" i="5"/>
  <c r="V40" i="5"/>
  <c r="X40" i="5"/>
  <c r="X307" i="5"/>
  <c r="V307" i="5"/>
  <c r="Y307" i="5" s="1"/>
  <c r="W307" i="5"/>
  <c r="V609" i="5"/>
  <c r="W609" i="5"/>
  <c r="X609" i="5"/>
  <c r="V593" i="5"/>
  <c r="Y593" i="5" s="1"/>
  <c r="W593" i="5"/>
  <c r="X593" i="5"/>
  <c r="V577" i="5"/>
  <c r="W577" i="5"/>
  <c r="X577" i="5"/>
  <c r="V561" i="5"/>
  <c r="W561" i="5"/>
  <c r="X561" i="5"/>
  <c r="V545" i="5"/>
  <c r="Y545" i="5" s="1"/>
  <c r="W545" i="5"/>
  <c r="X545" i="5"/>
  <c r="V529" i="5"/>
  <c r="W529" i="5"/>
  <c r="X529" i="5"/>
  <c r="V513" i="5"/>
  <c r="W513" i="5"/>
  <c r="X513" i="5"/>
  <c r="V497" i="5"/>
  <c r="W497" i="5"/>
  <c r="X497" i="5"/>
  <c r="V481" i="5"/>
  <c r="Y481" i="5" s="1"/>
  <c r="W481" i="5"/>
  <c r="X481" i="5"/>
  <c r="V465" i="5"/>
  <c r="W465" i="5"/>
  <c r="X465" i="5"/>
  <c r="X449" i="5"/>
  <c r="V449" i="5"/>
  <c r="W449" i="5"/>
  <c r="X417" i="5"/>
  <c r="V417" i="5"/>
  <c r="W417" i="5"/>
  <c r="X401" i="5"/>
  <c r="V401" i="5"/>
  <c r="W401" i="5"/>
  <c r="X385" i="5"/>
  <c r="V385" i="5"/>
  <c r="Y385" i="5" s="1"/>
  <c r="W385" i="5"/>
  <c r="X369" i="5"/>
  <c r="V369" i="5"/>
  <c r="W369" i="5"/>
  <c r="X353" i="5"/>
  <c r="V353" i="5"/>
  <c r="Y353" i="5" s="1"/>
  <c r="W353" i="5"/>
  <c r="V337" i="5"/>
  <c r="X337" i="5"/>
  <c r="W337" i="5"/>
  <c r="V321" i="5"/>
  <c r="Y321" i="5" s="1"/>
  <c r="X321" i="5"/>
  <c r="W321" i="5"/>
  <c r="V305" i="5"/>
  <c r="Y305" i="5" s="1"/>
  <c r="X305" i="5"/>
  <c r="W305" i="5"/>
  <c r="V289" i="5"/>
  <c r="Y289" i="5" s="1"/>
  <c r="X289" i="5"/>
  <c r="W289" i="5"/>
  <c r="V273" i="5"/>
  <c r="X273" i="5"/>
  <c r="W273" i="5"/>
  <c r="V257" i="5"/>
  <c r="X257" i="5"/>
  <c r="W257" i="5"/>
  <c r="V241" i="5"/>
  <c r="X241" i="5"/>
  <c r="W241" i="5"/>
  <c r="V225" i="5"/>
  <c r="X225" i="5"/>
  <c r="W225" i="5"/>
  <c r="V209" i="5"/>
  <c r="Y209" i="5" s="1"/>
  <c r="X209" i="5"/>
  <c r="W209" i="5"/>
  <c r="V193" i="5"/>
  <c r="X193" i="5"/>
  <c r="V177" i="5"/>
  <c r="X177" i="5"/>
  <c r="W177" i="5"/>
  <c r="V161" i="5"/>
  <c r="X161" i="5"/>
  <c r="W161" i="5"/>
  <c r="V145" i="5"/>
  <c r="Y145" i="5" s="1"/>
  <c r="X145" i="5"/>
  <c r="W145" i="5"/>
  <c r="V129" i="5"/>
  <c r="X129" i="5"/>
  <c r="W129" i="5"/>
  <c r="V113" i="5"/>
  <c r="Y113" i="5" s="1"/>
  <c r="X113" i="5"/>
  <c r="W113" i="5"/>
  <c r="V97" i="5"/>
  <c r="X97" i="5"/>
  <c r="W97" i="5"/>
  <c r="V81" i="5"/>
  <c r="W81" i="5"/>
  <c r="X81" i="5"/>
  <c r="V65" i="5"/>
  <c r="W65" i="5"/>
  <c r="X65" i="5"/>
  <c r="V49" i="5"/>
  <c r="Y49" i="5" s="1"/>
  <c r="W49" i="5"/>
  <c r="X49" i="5"/>
  <c r="V33" i="5"/>
  <c r="W33" i="5"/>
  <c r="X33" i="5"/>
  <c r="V17" i="5"/>
  <c r="W17" i="5"/>
  <c r="X17" i="5"/>
  <c r="X855" i="5"/>
  <c r="W850" i="5"/>
  <c r="Y850" i="5" s="1"/>
  <c r="W802" i="5"/>
  <c r="X791" i="5"/>
  <c r="W786" i="5"/>
  <c r="Y786" i="5" s="1"/>
  <c r="X775" i="5"/>
  <c r="W770" i="5"/>
  <c r="X759" i="5"/>
  <c r="W754" i="5"/>
  <c r="X743" i="5"/>
  <c r="W738" i="5"/>
  <c r="Y738" i="5" s="1"/>
  <c r="X727" i="5"/>
  <c r="W722" i="5"/>
  <c r="Y722" i="5" s="1"/>
  <c r="X711" i="5"/>
  <c r="W706" i="5"/>
  <c r="X695" i="5"/>
  <c r="W690" i="5"/>
  <c r="Y690" i="5" s="1"/>
  <c r="X597" i="5"/>
  <c r="X570" i="5"/>
  <c r="W512" i="5"/>
  <c r="W485" i="5"/>
  <c r="W458" i="5"/>
  <c r="Y458" i="5" s="1"/>
  <c r="X420" i="5"/>
  <c r="V387" i="5"/>
  <c r="X300" i="5"/>
  <c r="V133" i="5"/>
  <c r="Y133" i="5" s="1"/>
  <c r="V410" i="5"/>
  <c r="Y410" i="5" s="1"/>
  <c r="W410" i="5"/>
  <c r="X410" i="5"/>
  <c r="V346" i="5"/>
  <c r="W346" i="5"/>
  <c r="X346" i="5"/>
  <c r="V266" i="5"/>
  <c r="Y266" i="5" s="1"/>
  <c r="W266" i="5"/>
  <c r="X266" i="5"/>
  <c r="V218" i="5"/>
  <c r="Y218" i="5" s="1"/>
  <c r="W218" i="5"/>
  <c r="X218" i="5"/>
  <c r="V170" i="5"/>
  <c r="Y170" i="5" s="1"/>
  <c r="W170" i="5"/>
  <c r="X170" i="5"/>
  <c r="V106" i="5"/>
  <c r="W106" i="5"/>
  <c r="V74" i="5"/>
  <c r="Y74" i="5" s="1"/>
  <c r="W74" i="5"/>
  <c r="X74" i="5"/>
  <c r="V26" i="5"/>
  <c r="Y26" i="5" s="1"/>
  <c r="W26" i="5"/>
  <c r="X26" i="5"/>
  <c r="V601" i="5"/>
  <c r="W601" i="5"/>
  <c r="X601" i="5"/>
  <c r="V505" i="5"/>
  <c r="W505" i="5"/>
  <c r="X505" i="5"/>
  <c r="V457" i="5"/>
  <c r="W457" i="5"/>
  <c r="X457" i="5"/>
  <c r="V377" i="5"/>
  <c r="W377" i="5"/>
  <c r="X377" i="5"/>
  <c r="V345" i="5"/>
  <c r="W345" i="5"/>
  <c r="X345" i="5"/>
  <c r="V329" i="5"/>
  <c r="Y329" i="5" s="1"/>
  <c r="W329" i="5"/>
  <c r="X329" i="5"/>
  <c r="V297" i="5"/>
  <c r="Y297" i="5" s="1"/>
  <c r="W297" i="5"/>
  <c r="X297" i="5"/>
  <c r="V233" i="5"/>
  <c r="Y233" i="5" s="1"/>
  <c r="W233" i="5"/>
  <c r="V153" i="5"/>
  <c r="W153" i="5"/>
  <c r="X153" i="5"/>
  <c r="V105" i="5"/>
  <c r="Y105" i="5" s="1"/>
  <c r="W105" i="5"/>
  <c r="X105" i="5"/>
  <c r="V25" i="5"/>
  <c r="W25" i="5"/>
  <c r="X25" i="5"/>
  <c r="V600" i="5"/>
  <c r="W600" i="5"/>
  <c r="X600" i="5"/>
  <c r="V296" i="5"/>
  <c r="W296" i="5"/>
  <c r="X296" i="5"/>
  <c r="V448" i="5"/>
  <c r="W448" i="5"/>
  <c r="X448" i="5"/>
  <c r="V432" i="5"/>
  <c r="W432" i="5"/>
  <c r="V416" i="5"/>
  <c r="W416" i="5"/>
  <c r="X416" i="5"/>
  <c r="V384" i="5"/>
  <c r="W384" i="5"/>
  <c r="X384" i="5"/>
  <c r="V368" i="5"/>
  <c r="W368" i="5"/>
  <c r="X368" i="5"/>
  <c r="V352" i="5"/>
  <c r="W352" i="5"/>
  <c r="X352" i="5"/>
  <c r="V336" i="5"/>
  <c r="W336" i="5"/>
  <c r="X336" i="5"/>
  <c r="V320" i="5"/>
  <c r="W320" i="5"/>
  <c r="X320" i="5"/>
  <c r="V304" i="5"/>
  <c r="W304" i="5"/>
  <c r="X304" i="5"/>
  <c r="V288" i="5"/>
  <c r="W288" i="5"/>
  <c r="X288" i="5"/>
  <c r="V256" i="5"/>
  <c r="W256" i="5"/>
  <c r="X256" i="5"/>
  <c r="V240" i="5"/>
  <c r="W240" i="5"/>
  <c r="X240" i="5"/>
  <c r="V208" i="5"/>
  <c r="W208" i="5"/>
  <c r="X208" i="5"/>
  <c r="W176" i="5"/>
  <c r="V176" i="5"/>
  <c r="X176" i="5"/>
  <c r="W160" i="5"/>
  <c r="V160" i="5"/>
  <c r="X160" i="5"/>
  <c r="W128" i="5"/>
  <c r="V128" i="5"/>
  <c r="X128" i="5"/>
  <c r="W112" i="5"/>
  <c r="V112" i="5"/>
  <c r="X112" i="5"/>
  <c r="W96" i="5"/>
  <c r="X96" i="5"/>
  <c r="V80" i="5"/>
  <c r="W80" i="5"/>
  <c r="X80" i="5"/>
  <c r="V64" i="5"/>
  <c r="W64" i="5"/>
  <c r="X64" i="5"/>
  <c r="V48" i="5"/>
  <c r="W48" i="5"/>
  <c r="X48" i="5"/>
  <c r="V32" i="5"/>
  <c r="W32" i="5"/>
  <c r="X32" i="5"/>
  <c r="V16" i="5"/>
  <c r="W16" i="5"/>
  <c r="X16" i="5"/>
  <c r="W855" i="5"/>
  <c r="X844" i="5"/>
  <c r="X796" i="5"/>
  <c r="W791" i="5"/>
  <c r="X780" i="5"/>
  <c r="W775" i="5"/>
  <c r="Y775" i="5" s="1"/>
  <c r="X764" i="5"/>
  <c r="W759" i="5"/>
  <c r="Y759" i="5" s="1"/>
  <c r="X748" i="5"/>
  <c r="W743" i="5"/>
  <c r="Y743" i="5" s="1"/>
  <c r="X732" i="5"/>
  <c r="W727" i="5"/>
  <c r="Y727" i="5" s="1"/>
  <c r="X716" i="5"/>
  <c r="W711" i="5"/>
  <c r="Y711" i="5" s="1"/>
  <c r="X700" i="5"/>
  <c r="W695" i="5"/>
  <c r="W597" i="5"/>
  <c r="Y597" i="5" s="1"/>
  <c r="W570" i="5"/>
  <c r="Y570" i="5" s="1"/>
  <c r="V512" i="5"/>
  <c r="V453" i="5"/>
  <c r="Y453" i="5" s="1"/>
  <c r="W420" i="5"/>
  <c r="V386" i="5"/>
  <c r="Y386" i="5" s="1"/>
  <c r="W343" i="5"/>
  <c r="V300" i="5"/>
  <c r="Y300" i="5" s="1"/>
  <c r="W193" i="5"/>
  <c r="W132" i="5"/>
  <c r="V378" i="5"/>
  <c r="W378" i="5"/>
  <c r="X378" i="5"/>
  <c r="X586" i="5"/>
  <c r="V489" i="5"/>
  <c r="W489" i="5"/>
  <c r="X489" i="5"/>
  <c r="X106" i="5"/>
  <c r="V536" i="5"/>
  <c r="W536" i="5"/>
  <c r="X536" i="5"/>
  <c r="V376" i="5"/>
  <c r="W376" i="5"/>
  <c r="X376" i="5"/>
  <c r="V248" i="5"/>
  <c r="W248" i="5"/>
  <c r="X248" i="5"/>
  <c r="V120" i="5"/>
  <c r="X120" i="5"/>
  <c r="V24" i="5"/>
  <c r="X24" i="5"/>
  <c r="W24" i="5"/>
  <c r="V607" i="5"/>
  <c r="Y607" i="5" s="1"/>
  <c r="W607" i="5"/>
  <c r="V591" i="5"/>
  <c r="W591" i="5"/>
  <c r="V575" i="5"/>
  <c r="W575" i="5"/>
  <c r="V559" i="5"/>
  <c r="Y559" i="5" s="1"/>
  <c r="W559" i="5"/>
  <c r="V543" i="5"/>
  <c r="W543" i="5"/>
  <c r="V527" i="5"/>
  <c r="W527" i="5"/>
  <c r="V511" i="5"/>
  <c r="Y511" i="5" s="1"/>
  <c r="W511" i="5"/>
  <c r="V495" i="5"/>
  <c r="W495" i="5"/>
  <c r="V479" i="5"/>
  <c r="W479" i="5"/>
  <c r="V463" i="5"/>
  <c r="W463" i="5"/>
  <c r="W447" i="5"/>
  <c r="X447" i="5"/>
  <c r="V431" i="5"/>
  <c r="Y431" i="5" s="1"/>
  <c r="W431" i="5"/>
  <c r="X431" i="5"/>
  <c r="V415" i="5"/>
  <c r="W415" i="5"/>
  <c r="X415" i="5"/>
  <c r="V399" i="5"/>
  <c r="Y399" i="5" s="1"/>
  <c r="W399" i="5"/>
  <c r="X399" i="5"/>
  <c r="V383" i="5"/>
  <c r="W383" i="5"/>
  <c r="Y383" i="5" s="1"/>
  <c r="X383" i="5"/>
  <c r="V367" i="5"/>
  <c r="W367" i="5"/>
  <c r="X367" i="5"/>
  <c r="W335" i="5"/>
  <c r="X335" i="5"/>
  <c r="W319" i="5"/>
  <c r="V319" i="5"/>
  <c r="X319" i="5"/>
  <c r="W303" i="5"/>
  <c r="V303" i="5"/>
  <c r="X303" i="5"/>
  <c r="W287" i="5"/>
  <c r="V287" i="5"/>
  <c r="X287" i="5"/>
  <c r="W271" i="5"/>
  <c r="V271" i="5"/>
  <c r="W255" i="5"/>
  <c r="V255" i="5"/>
  <c r="X255" i="5"/>
  <c r="W239" i="5"/>
  <c r="V239" i="5"/>
  <c r="Y239" i="5" s="1"/>
  <c r="X239" i="5"/>
  <c r="W223" i="5"/>
  <c r="V223" i="5"/>
  <c r="Y223" i="5" s="1"/>
  <c r="X223" i="5"/>
  <c r="W207" i="5"/>
  <c r="V207" i="5"/>
  <c r="Y207" i="5" s="1"/>
  <c r="X207" i="5"/>
  <c r="W191" i="5"/>
  <c r="V191" i="5"/>
  <c r="X191" i="5"/>
  <c r="W175" i="5"/>
  <c r="V175" i="5"/>
  <c r="X175" i="5"/>
  <c r="W159" i="5"/>
  <c r="V159" i="5"/>
  <c r="X159" i="5"/>
  <c r="W143" i="5"/>
  <c r="V143" i="5"/>
  <c r="Y143" i="5" s="1"/>
  <c r="W127" i="5"/>
  <c r="V127" i="5"/>
  <c r="Y127" i="5" s="1"/>
  <c r="X127" i="5"/>
  <c r="W111" i="5"/>
  <c r="V111" i="5"/>
  <c r="Y111" i="5" s="1"/>
  <c r="X111" i="5"/>
  <c r="V79" i="5"/>
  <c r="W79" i="5"/>
  <c r="X79" i="5"/>
  <c r="V63" i="5"/>
  <c r="W63" i="5"/>
  <c r="X63" i="5"/>
  <c r="V47" i="5"/>
  <c r="W47" i="5"/>
  <c r="X47" i="5"/>
  <c r="V31" i="5"/>
  <c r="W31" i="5"/>
  <c r="X31" i="5"/>
  <c r="V15" i="5"/>
  <c r="W15" i="5"/>
  <c r="X15" i="5"/>
  <c r="X849" i="5"/>
  <c r="W844" i="5"/>
  <c r="X801" i="5"/>
  <c r="W796" i="5"/>
  <c r="Y796" i="5" s="1"/>
  <c r="X785" i="5"/>
  <c r="W780" i="5"/>
  <c r="Y780" i="5" s="1"/>
  <c r="X769" i="5"/>
  <c r="W764" i="5"/>
  <c r="X753" i="5"/>
  <c r="W748" i="5"/>
  <c r="Y748" i="5" s="1"/>
  <c r="X737" i="5"/>
  <c r="W732" i="5"/>
  <c r="Y732" i="5" s="1"/>
  <c r="X721" i="5"/>
  <c r="W716" i="5"/>
  <c r="Y716" i="5" s="1"/>
  <c r="X705" i="5"/>
  <c r="W700" i="5"/>
  <c r="Y700" i="5" s="1"/>
  <c r="X689" i="5"/>
  <c r="W621" i="5"/>
  <c r="X565" i="5"/>
  <c r="X538" i="5"/>
  <c r="X511" i="5"/>
  <c r="W480" i="5"/>
  <c r="X452" i="5"/>
  <c r="X342" i="5"/>
  <c r="W244" i="5"/>
  <c r="X192" i="5"/>
  <c r="V132" i="5"/>
  <c r="V330" i="5"/>
  <c r="W330" i="5"/>
  <c r="X330" i="5"/>
  <c r="V250" i="5"/>
  <c r="Y250" i="5" s="1"/>
  <c r="W250" i="5"/>
  <c r="X250" i="5"/>
  <c r="V202" i="5"/>
  <c r="W202" i="5"/>
  <c r="X202" i="5"/>
  <c r="V138" i="5"/>
  <c r="W138" i="5"/>
  <c r="X138" i="5"/>
  <c r="V90" i="5"/>
  <c r="W90" i="5"/>
  <c r="X90" i="5"/>
  <c r="V10" i="5"/>
  <c r="W10" i="5"/>
  <c r="X10" i="5"/>
  <c r="V217" i="5"/>
  <c r="W217" i="5"/>
  <c r="X217" i="5"/>
  <c r="V137" i="5"/>
  <c r="Y137" i="5" s="1"/>
  <c r="W137" i="5"/>
  <c r="X137" i="5"/>
  <c r="V73" i="5"/>
  <c r="Y73" i="5" s="1"/>
  <c r="W73" i="5"/>
  <c r="X73" i="5"/>
  <c r="V584" i="5"/>
  <c r="Y584" i="5" s="1"/>
  <c r="W584" i="5"/>
  <c r="X584" i="5"/>
  <c r="V280" i="5"/>
  <c r="W280" i="5"/>
  <c r="X280" i="5"/>
  <c r="V606" i="5"/>
  <c r="W606" i="5"/>
  <c r="X606" i="5"/>
  <c r="V590" i="5"/>
  <c r="W590" i="5"/>
  <c r="X590" i="5"/>
  <c r="V574" i="5"/>
  <c r="Y574" i="5" s="1"/>
  <c r="W574" i="5"/>
  <c r="X574" i="5"/>
  <c r="V558" i="5"/>
  <c r="W558" i="5"/>
  <c r="X558" i="5"/>
  <c r="V542" i="5"/>
  <c r="Y542" i="5" s="1"/>
  <c r="W542" i="5"/>
  <c r="X542" i="5"/>
  <c r="V526" i="5"/>
  <c r="W526" i="5"/>
  <c r="X526" i="5"/>
  <c r="V510" i="5"/>
  <c r="Y510" i="5" s="1"/>
  <c r="W510" i="5"/>
  <c r="X510" i="5"/>
  <c r="V494" i="5"/>
  <c r="W494" i="5"/>
  <c r="X494" i="5"/>
  <c r="V478" i="5"/>
  <c r="W478" i="5"/>
  <c r="X478" i="5"/>
  <c r="V462" i="5"/>
  <c r="W462" i="5"/>
  <c r="X462" i="5"/>
  <c r="W430" i="5"/>
  <c r="V430" i="5"/>
  <c r="Y430" i="5" s="1"/>
  <c r="X430" i="5"/>
  <c r="W414" i="5"/>
  <c r="X414" i="5"/>
  <c r="W398" i="5"/>
  <c r="V398" i="5"/>
  <c r="Y398" i="5" s="1"/>
  <c r="X398" i="5"/>
  <c r="W382" i="5"/>
  <c r="V382" i="5"/>
  <c r="X382" i="5"/>
  <c r="W366" i="5"/>
  <c r="X366" i="5"/>
  <c r="W350" i="5"/>
  <c r="V350" i="5"/>
  <c r="Y350" i="5" s="1"/>
  <c r="X350" i="5"/>
  <c r="W318" i="5"/>
  <c r="X318" i="5"/>
  <c r="W302" i="5"/>
  <c r="V302" i="5"/>
  <c r="X302" i="5"/>
  <c r="W286" i="5"/>
  <c r="V286" i="5"/>
  <c r="X286" i="5"/>
  <c r="W270" i="5"/>
  <c r="V270" i="5"/>
  <c r="X270" i="5"/>
  <c r="W254" i="5"/>
  <c r="X254" i="5"/>
  <c r="W238" i="5"/>
  <c r="V238" i="5"/>
  <c r="Y238" i="5" s="1"/>
  <c r="X238" i="5"/>
  <c r="W222" i="5"/>
  <c r="V222" i="5"/>
  <c r="Y222" i="5" s="1"/>
  <c r="X222" i="5"/>
  <c r="W206" i="5"/>
  <c r="V206" i="5"/>
  <c r="Y206" i="5" s="1"/>
  <c r="X206" i="5"/>
  <c r="W190" i="5"/>
  <c r="V190" i="5"/>
  <c r="X190" i="5"/>
  <c r="W174" i="5"/>
  <c r="V174" i="5"/>
  <c r="X174" i="5"/>
  <c r="W158" i="5"/>
  <c r="V158" i="5"/>
  <c r="X158" i="5"/>
  <c r="W142" i="5"/>
  <c r="V142" i="5"/>
  <c r="Y142" i="5" s="1"/>
  <c r="X142" i="5"/>
  <c r="W126" i="5"/>
  <c r="V126" i="5"/>
  <c r="Y126" i="5" s="1"/>
  <c r="X126" i="5"/>
  <c r="W110" i="5"/>
  <c r="V110" i="5"/>
  <c r="X110" i="5"/>
  <c r="W94" i="5"/>
  <c r="V94" i="5"/>
  <c r="X94" i="5"/>
  <c r="W78" i="5"/>
  <c r="X78" i="5"/>
  <c r="V78" i="5"/>
  <c r="Y78" i="5" s="1"/>
  <c r="W62" i="5"/>
  <c r="X62" i="5"/>
  <c r="V62" i="5"/>
  <c r="W46" i="5"/>
  <c r="X46" i="5"/>
  <c r="V46" i="5"/>
  <c r="W30" i="5"/>
  <c r="X30" i="5"/>
  <c r="V30" i="5"/>
  <c r="W14" i="5"/>
  <c r="X14" i="5"/>
  <c r="V14" i="5"/>
  <c r="X854" i="5"/>
  <c r="W849" i="5"/>
  <c r="Y849" i="5" s="1"/>
  <c r="W801" i="5"/>
  <c r="X790" i="5"/>
  <c r="W785" i="5"/>
  <c r="Y785" i="5" s="1"/>
  <c r="X774" i="5"/>
  <c r="W769" i="5"/>
  <c r="X758" i="5"/>
  <c r="W753" i="5"/>
  <c r="X742" i="5"/>
  <c r="W737" i="5"/>
  <c r="Y737" i="5" s="1"/>
  <c r="X726" i="5"/>
  <c r="W721" i="5"/>
  <c r="X710" i="5"/>
  <c r="W705" i="5"/>
  <c r="Y705" i="5" s="1"/>
  <c r="X694" i="5"/>
  <c r="W689" i="5"/>
  <c r="Y689" i="5" s="1"/>
  <c r="W592" i="5"/>
  <c r="W565" i="5"/>
  <c r="W538" i="5"/>
  <c r="V480" i="5"/>
  <c r="Y480" i="5" s="1"/>
  <c r="W452" i="5"/>
  <c r="V414" i="5"/>
  <c r="V342" i="5"/>
  <c r="V292" i="5"/>
  <c r="Y292" i="5" s="1"/>
  <c r="V244" i="5"/>
  <c r="V192" i="5"/>
  <c r="Y192" i="5" s="1"/>
  <c r="W121" i="5"/>
  <c r="V201" i="5"/>
  <c r="W201" i="5"/>
  <c r="X201" i="5"/>
  <c r="V568" i="5"/>
  <c r="Y568" i="5" s="1"/>
  <c r="W568" i="5"/>
  <c r="X568" i="5"/>
  <c r="V168" i="5"/>
  <c r="X168" i="5"/>
  <c r="V621" i="5"/>
  <c r="Y621" i="5" s="1"/>
  <c r="X621" i="5"/>
  <c r="V605" i="5"/>
  <c r="W605" i="5"/>
  <c r="X605" i="5"/>
  <c r="V589" i="5"/>
  <c r="W589" i="5"/>
  <c r="X589" i="5"/>
  <c r="V573" i="5"/>
  <c r="W573" i="5"/>
  <c r="X573" i="5"/>
  <c r="V557" i="5"/>
  <c r="Y557" i="5" s="1"/>
  <c r="W557" i="5"/>
  <c r="X557" i="5"/>
  <c r="V541" i="5"/>
  <c r="W541" i="5"/>
  <c r="X541" i="5"/>
  <c r="V525" i="5"/>
  <c r="W525" i="5"/>
  <c r="X525" i="5"/>
  <c r="V509" i="5"/>
  <c r="W509" i="5"/>
  <c r="X509" i="5"/>
  <c r="V493" i="5"/>
  <c r="W493" i="5"/>
  <c r="X493" i="5"/>
  <c r="V477" i="5"/>
  <c r="Y477" i="5" s="1"/>
  <c r="W477" i="5"/>
  <c r="X477" i="5"/>
  <c r="V461" i="5"/>
  <c r="W461" i="5"/>
  <c r="X461" i="5"/>
  <c r="W445" i="5"/>
  <c r="V445" i="5"/>
  <c r="X445" i="5"/>
  <c r="W429" i="5"/>
  <c r="V429" i="5"/>
  <c r="Y429" i="5" s="1"/>
  <c r="X429" i="5"/>
  <c r="W397" i="5"/>
  <c r="V397" i="5"/>
  <c r="X397" i="5"/>
  <c r="V381" i="5"/>
  <c r="W381" i="5"/>
  <c r="X381" i="5"/>
  <c r="V365" i="5"/>
  <c r="W365" i="5"/>
  <c r="V349" i="5"/>
  <c r="W349" i="5"/>
  <c r="X349" i="5"/>
  <c r="V333" i="5"/>
  <c r="W333" i="5"/>
  <c r="X333" i="5"/>
  <c r="V317" i="5"/>
  <c r="W317" i="5"/>
  <c r="V301" i="5"/>
  <c r="Y301" i="5" s="1"/>
  <c r="W301" i="5"/>
  <c r="X301" i="5"/>
  <c r="V285" i="5"/>
  <c r="W285" i="5"/>
  <c r="X285" i="5"/>
  <c r="V269" i="5"/>
  <c r="W269" i="5"/>
  <c r="X269" i="5"/>
  <c r="V253" i="5"/>
  <c r="W253" i="5"/>
  <c r="V237" i="5"/>
  <c r="W237" i="5"/>
  <c r="X237" i="5"/>
  <c r="V221" i="5"/>
  <c r="W221" i="5"/>
  <c r="X221" i="5"/>
  <c r="V205" i="5"/>
  <c r="Y205" i="5" s="1"/>
  <c r="W205" i="5"/>
  <c r="V189" i="5"/>
  <c r="W189" i="5"/>
  <c r="X189" i="5"/>
  <c r="V173" i="5"/>
  <c r="W173" i="5"/>
  <c r="X173" i="5"/>
  <c r="V157" i="5"/>
  <c r="Y157" i="5" s="1"/>
  <c r="W157" i="5"/>
  <c r="V141" i="5"/>
  <c r="W141" i="5"/>
  <c r="X141" i="5"/>
  <c r="V125" i="5"/>
  <c r="W125" i="5"/>
  <c r="X125" i="5"/>
  <c r="V109" i="5"/>
  <c r="W109" i="5"/>
  <c r="X109" i="5"/>
  <c r="V93" i="5"/>
  <c r="Y93" i="5" s="1"/>
  <c r="W93" i="5"/>
  <c r="X93" i="5"/>
  <c r="V77" i="5"/>
  <c r="W77" i="5"/>
  <c r="X77" i="5"/>
  <c r="V61" i="5"/>
  <c r="Y61" i="5" s="1"/>
  <c r="W61" i="5"/>
  <c r="X61" i="5"/>
  <c r="V45" i="5"/>
  <c r="Y45" i="5" s="1"/>
  <c r="W45" i="5"/>
  <c r="V29" i="5"/>
  <c r="W29" i="5"/>
  <c r="X29" i="5"/>
  <c r="V13" i="5"/>
  <c r="W13" i="5"/>
  <c r="X13" i="5"/>
  <c r="W854" i="5"/>
  <c r="X843" i="5"/>
  <c r="Y843" i="5" s="1"/>
  <c r="X795" i="5"/>
  <c r="W790" i="5"/>
  <c r="X779" i="5"/>
  <c r="W774" i="5"/>
  <c r="Y774" i="5" s="1"/>
  <c r="X763" i="5"/>
  <c r="W758" i="5"/>
  <c r="X747" i="5"/>
  <c r="W742" i="5"/>
  <c r="X731" i="5"/>
  <c r="Y731" i="5" s="1"/>
  <c r="W726" i="5"/>
  <c r="Y726" i="5" s="1"/>
  <c r="X715" i="5"/>
  <c r="Y715" i="5" s="1"/>
  <c r="W710" i="5"/>
  <c r="X699" i="5"/>
  <c r="W694" i="5"/>
  <c r="Y694" i="5" s="1"/>
  <c r="X618" i="5"/>
  <c r="V592" i="5"/>
  <c r="Y592" i="5" s="1"/>
  <c r="X533" i="5"/>
  <c r="X506" i="5"/>
  <c r="X479" i="5"/>
  <c r="V447" i="5"/>
  <c r="Y447" i="5" s="1"/>
  <c r="X413" i="5"/>
  <c r="V335" i="5"/>
  <c r="W291" i="5"/>
  <c r="W243" i="5"/>
  <c r="W181" i="5"/>
  <c r="W120" i="5"/>
  <c r="V314" i="5"/>
  <c r="W314" i="5"/>
  <c r="X314" i="5"/>
  <c r="V122" i="5"/>
  <c r="Y122" i="5" s="1"/>
  <c r="W122" i="5"/>
  <c r="X122" i="5"/>
  <c r="V57" i="5"/>
  <c r="W57" i="5"/>
  <c r="X57" i="5"/>
  <c r="V440" i="5"/>
  <c r="Y440" i="5" s="1"/>
  <c r="X440" i="5"/>
  <c r="V620" i="5"/>
  <c r="W620" i="5"/>
  <c r="X620" i="5"/>
  <c r="V604" i="5"/>
  <c r="W604" i="5"/>
  <c r="X604" i="5"/>
  <c r="V588" i="5"/>
  <c r="W588" i="5"/>
  <c r="X588" i="5"/>
  <c r="V572" i="5"/>
  <c r="W572" i="5"/>
  <c r="X572" i="5"/>
  <c r="V556" i="5"/>
  <c r="Y556" i="5" s="1"/>
  <c r="W556" i="5"/>
  <c r="X556" i="5"/>
  <c r="V540" i="5"/>
  <c r="W540" i="5"/>
  <c r="X540" i="5"/>
  <c r="V524" i="5"/>
  <c r="W524" i="5"/>
  <c r="X524" i="5"/>
  <c r="V508" i="5"/>
  <c r="W508" i="5"/>
  <c r="X508" i="5"/>
  <c r="V492" i="5"/>
  <c r="Y492" i="5" s="1"/>
  <c r="W492" i="5"/>
  <c r="X492" i="5"/>
  <c r="V476" i="5"/>
  <c r="W476" i="5"/>
  <c r="X476" i="5"/>
  <c r="V460" i="5"/>
  <c r="Y460" i="5" s="1"/>
  <c r="W460" i="5"/>
  <c r="X460" i="5"/>
  <c r="W444" i="5"/>
  <c r="V444" i="5"/>
  <c r="X444" i="5"/>
  <c r="W428" i="5"/>
  <c r="V428" i="5"/>
  <c r="X428" i="5"/>
  <c r="W412" i="5"/>
  <c r="V412" i="5"/>
  <c r="Y412" i="5" s="1"/>
  <c r="X412" i="5"/>
  <c r="W396" i="5"/>
  <c r="V396" i="5"/>
  <c r="Y396" i="5" s="1"/>
  <c r="X396" i="5"/>
  <c r="W380" i="5"/>
  <c r="V380" i="5"/>
  <c r="Y380" i="5" s="1"/>
  <c r="X380" i="5"/>
  <c r="W364" i="5"/>
  <c r="V364" i="5"/>
  <c r="Y364" i="5" s="1"/>
  <c r="W348" i="5"/>
  <c r="V348" i="5"/>
  <c r="X348" i="5"/>
  <c r="W332" i="5"/>
  <c r="V332" i="5"/>
  <c r="X332" i="5"/>
  <c r="W316" i="5"/>
  <c r="V316" i="5"/>
  <c r="Y316" i="5" s="1"/>
  <c r="W284" i="5"/>
  <c r="X284" i="5"/>
  <c r="V284" i="5"/>
  <c r="W268" i="5"/>
  <c r="X268" i="5"/>
  <c r="V268" i="5"/>
  <c r="W252" i="5"/>
  <c r="X252" i="5"/>
  <c r="W236" i="5"/>
  <c r="X236" i="5"/>
  <c r="V236" i="5"/>
  <c r="Y236" i="5" s="1"/>
  <c r="W220" i="5"/>
  <c r="X220" i="5"/>
  <c r="V220" i="5"/>
  <c r="Y220" i="5" s="1"/>
  <c r="W204" i="5"/>
  <c r="Y204" i="5" s="1"/>
  <c r="X204" i="5"/>
  <c r="W188" i="5"/>
  <c r="X188" i="5"/>
  <c r="V188" i="5"/>
  <c r="W172" i="5"/>
  <c r="X172" i="5"/>
  <c r="V172" i="5"/>
  <c r="W156" i="5"/>
  <c r="X156" i="5"/>
  <c r="W140" i="5"/>
  <c r="X140" i="5"/>
  <c r="V140" i="5"/>
  <c r="Y140" i="5" s="1"/>
  <c r="W124" i="5"/>
  <c r="X124" i="5"/>
  <c r="V124" i="5"/>
  <c r="Y124" i="5" s="1"/>
  <c r="W108" i="5"/>
  <c r="Y108" i="5" s="1"/>
  <c r="X108" i="5"/>
  <c r="W92" i="5"/>
  <c r="X92" i="5"/>
  <c r="V92" i="5"/>
  <c r="V76" i="5"/>
  <c r="W76" i="5"/>
  <c r="X76" i="5"/>
  <c r="V60" i="5"/>
  <c r="Y60" i="5" s="1"/>
  <c r="W60" i="5"/>
  <c r="X60" i="5"/>
  <c r="V44" i="5"/>
  <c r="Y44" i="5" s="1"/>
  <c r="W44" i="5"/>
  <c r="X44" i="5"/>
  <c r="V28" i="5"/>
  <c r="W28" i="5"/>
  <c r="X28" i="5"/>
  <c r="V12" i="5"/>
  <c r="W12" i="5"/>
  <c r="X12" i="5"/>
  <c r="W618" i="5"/>
  <c r="X591" i="5"/>
  <c r="W560" i="5"/>
  <c r="W506" i="5"/>
  <c r="X446" i="5"/>
  <c r="V413" i="5"/>
  <c r="Y413" i="5" s="1"/>
  <c r="V373" i="5"/>
  <c r="Y373" i="5" s="1"/>
  <c r="X334" i="5"/>
  <c r="V291" i="5"/>
  <c r="Y291" i="5" s="1"/>
  <c r="X234" i="5"/>
  <c r="V181" i="5"/>
  <c r="X118" i="5"/>
  <c r="N3" i="3" a="1"/>
  <c r="N3" i="3" s="1"/>
  <c r="N99" i="3" a="1"/>
  <c r="N99" i="3" s="1"/>
  <c r="N777" i="3" a="1"/>
  <c r="N777" i="3" s="1"/>
  <c r="N153" i="3" a="1"/>
  <c r="N153" i="3" s="1"/>
  <c r="N1481" i="3" a="1"/>
  <c r="N1481" i="3" s="1"/>
  <c r="N62" i="3" a="1"/>
  <c r="N62" i="3" s="1"/>
  <c r="N520" i="3" a="1"/>
  <c r="N520" i="3" s="1"/>
  <c r="N392" i="3" a="1"/>
  <c r="N392" i="3" s="1"/>
  <c r="N71" i="3" a="1"/>
  <c r="N71" i="3" s="1"/>
  <c r="N180" i="3" a="1"/>
  <c r="N180" i="3" s="1"/>
  <c r="N580" i="3" a="1"/>
  <c r="N580" i="3" s="1"/>
  <c r="N74" i="3" a="1"/>
  <c r="N74" i="3" s="1"/>
  <c r="N189" i="3" a="1"/>
  <c r="N189" i="3" s="1"/>
  <c r="N643" i="3" a="1"/>
  <c r="N643" i="3" s="1"/>
  <c r="N80" i="3" a="1"/>
  <c r="N80" i="3" s="1"/>
  <c r="N198" i="3" a="1"/>
  <c r="N198" i="3" s="1"/>
  <c r="N707" i="3" a="1"/>
  <c r="N707" i="3" s="1"/>
  <c r="N89" i="3" a="1"/>
  <c r="N89" i="3" s="1"/>
  <c r="N207" i="3" a="1"/>
  <c r="N207" i="3" s="1"/>
  <c r="N4098" i="3" a="1"/>
  <c r="N4098" i="3" s="1"/>
  <c r="N4097" i="3" a="1"/>
  <c r="N4097" i="3" s="1"/>
  <c r="N4096" i="3" a="1"/>
  <c r="N4096" i="3" s="1"/>
  <c r="N4095" i="3" a="1"/>
  <c r="N4095" i="3" s="1"/>
  <c r="N4094" i="3" a="1"/>
  <c r="N4094" i="3" s="1"/>
  <c r="N4093" i="3" a="1"/>
  <c r="N4093" i="3" s="1"/>
  <c r="N4077" i="3" a="1"/>
  <c r="N4077" i="3" s="1"/>
  <c r="N4061" i="3" a="1"/>
  <c r="N4061" i="3" s="1"/>
  <c r="N4045" i="3" a="1"/>
  <c r="N4045" i="3" s="1"/>
  <c r="N4029" i="3" a="1"/>
  <c r="N4029" i="3" s="1"/>
  <c r="N4013" i="3" a="1"/>
  <c r="N4013" i="3" s="1"/>
  <c r="N3997" i="3" a="1"/>
  <c r="N3997" i="3" s="1"/>
  <c r="N3981" i="3" a="1"/>
  <c r="N3981" i="3" s="1"/>
  <c r="N3965" i="3" a="1"/>
  <c r="N3965" i="3" s="1"/>
  <c r="N3949" i="3" a="1"/>
  <c r="N3949" i="3" s="1"/>
  <c r="N3933" i="3" a="1"/>
  <c r="N3933" i="3" s="1"/>
  <c r="N3917" i="3" a="1"/>
  <c r="N3917" i="3" s="1"/>
  <c r="N3901" i="3" a="1"/>
  <c r="N3901" i="3" s="1"/>
  <c r="N3885" i="3" a="1"/>
  <c r="N3885" i="3" s="1"/>
  <c r="N3869" i="3" a="1"/>
  <c r="N3869" i="3" s="1"/>
  <c r="N3853" i="3" a="1"/>
  <c r="N3853" i="3" s="1"/>
  <c r="N3837" i="3" a="1"/>
  <c r="N3837" i="3" s="1"/>
  <c r="N3821" i="3" a="1"/>
  <c r="N3821" i="3" s="1"/>
  <c r="N3805" i="3" a="1"/>
  <c r="N3805" i="3" s="1"/>
  <c r="N3790" i="3" a="1"/>
  <c r="N3790" i="3" s="1"/>
  <c r="N3774" i="3" a="1"/>
  <c r="N3774" i="3" s="1"/>
  <c r="N3758" i="3" a="1"/>
  <c r="N3758" i="3" s="1"/>
  <c r="N3742" i="3" a="1"/>
  <c r="N3742" i="3" s="1"/>
  <c r="N3726" i="3" a="1"/>
  <c r="N3726" i="3" s="1"/>
  <c r="N3710" i="3" a="1"/>
  <c r="N3710" i="3" s="1"/>
  <c r="N3694" i="3" a="1"/>
  <c r="N3694" i="3" s="1"/>
  <c r="N3678" i="3" a="1"/>
  <c r="N3678" i="3" s="1"/>
  <c r="N3662" i="3" a="1"/>
  <c r="N3662" i="3" s="1"/>
  <c r="N3647" i="3" a="1"/>
  <c r="N3647" i="3" s="1"/>
  <c r="N3631" i="3" a="1"/>
  <c r="N3631" i="3" s="1"/>
  <c r="N3615" i="3" a="1"/>
  <c r="N3615" i="3" s="1"/>
  <c r="N3599" i="3" a="1"/>
  <c r="N3599" i="3" s="1"/>
  <c r="N3583" i="3" a="1"/>
  <c r="N3583" i="3" s="1"/>
  <c r="N3567" i="3" a="1"/>
  <c r="N3567" i="3" s="1"/>
  <c r="N3551" i="3" a="1"/>
  <c r="N3551" i="3" s="1"/>
  <c r="N3535" i="3" a="1"/>
  <c r="N3535" i="3" s="1"/>
  <c r="N3519" i="3" a="1"/>
  <c r="N3519" i="3" s="1"/>
  <c r="N3503" i="3" a="1"/>
  <c r="N3503" i="3" s="1"/>
  <c r="N3487" i="3" a="1"/>
  <c r="N3487" i="3" s="1"/>
  <c r="N3472" i="3" a="1"/>
  <c r="N3472" i="3" s="1"/>
  <c r="N3457" i="3" a="1"/>
  <c r="N3457" i="3" s="1"/>
  <c r="N3443" i="3" a="1"/>
  <c r="N3443" i="3" s="1"/>
  <c r="N3430" i="3" a="1"/>
  <c r="N3430" i="3" s="1"/>
  <c r="N3414" i="3" a="1"/>
  <c r="N3414" i="3" s="1"/>
  <c r="N3399" i="3" a="1"/>
  <c r="N3399" i="3" s="1"/>
  <c r="N3385" i="3" a="1"/>
  <c r="N3385" i="3" s="1"/>
  <c r="N3370" i="3" a="1"/>
  <c r="N3370" i="3" s="1"/>
  <c r="N3355" i="3" a="1"/>
  <c r="N3355" i="3" s="1"/>
  <c r="N3339" i="3" a="1"/>
  <c r="N3339" i="3" s="1"/>
  <c r="N3323" i="3" a="1"/>
  <c r="N3323" i="3" s="1"/>
  <c r="N3308" i="3" a="1"/>
  <c r="N3308" i="3" s="1"/>
  <c r="N3292" i="3" a="1"/>
  <c r="N3292" i="3" s="1"/>
  <c r="N3277" i="3" a="1"/>
  <c r="N3277" i="3" s="1"/>
  <c r="N3263" i="3" a="1"/>
  <c r="N3263" i="3" s="1"/>
  <c r="N3248" i="3" a="1"/>
  <c r="N3248" i="3" s="1"/>
  <c r="N3233" i="3" a="1"/>
  <c r="N3233" i="3" s="1"/>
  <c r="N3218" i="3" a="1"/>
  <c r="N3218" i="3" s="1"/>
  <c r="N3202" i="3" a="1"/>
  <c r="N3202" i="3" s="1"/>
  <c r="N3187" i="3" a="1"/>
  <c r="N3187" i="3" s="1"/>
  <c r="N3172" i="3" a="1"/>
  <c r="N3172" i="3" s="1"/>
  <c r="N3156" i="3" a="1"/>
  <c r="N3156" i="3" s="1"/>
  <c r="N3142" i="3" a="1"/>
  <c r="N3142" i="3" s="1"/>
  <c r="N3126" i="3" a="1"/>
  <c r="N3126" i="3" s="1"/>
  <c r="N3110" i="3" a="1"/>
  <c r="N3110" i="3" s="1"/>
  <c r="N3094" i="3" a="1"/>
  <c r="N3094" i="3" s="1"/>
  <c r="N3078" i="3" a="1"/>
  <c r="N3078" i="3" s="1"/>
  <c r="N3063" i="3" a="1"/>
  <c r="N3063" i="3" s="1"/>
  <c r="N3048" i="3" a="1"/>
  <c r="N3048" i="3" s="1"/>
  <c r="N3032" i="3" a="1"/>
  <c r="N3032" i="3" s="1"/>
  <c r="N3016" i="3" a="1"/>
  <c r="N3016" i="3" s="1"/>
  <c r="N3000" i="3" a="1"/>
  <c r="N3000" i="3" s="1"/>
  <c r="N2985" i="3" a="1"/>
  <c r="N2985" i="3" s="1"/>
  <c r="N2969" i="3" a="1"/>
  <c r="N2969" i="3" s="1"/>
  <c r="N2953" i="3" a="1"/>
  <c r="N2953" i="3" s="1"/>
  <c r="N2938" i="3" a="1"/>
  <c r="N2938" i="3" s="1"/>
  <c r="N2909" i="3" a="1"/>
  <c r="N2909" i="3" s="1"/>
  <c r="N2893" i="3" a="1"/>
  <c r="N2893" i="3" s="1"/>
  <c r="N2863" i="3" a="1"/>
  <c r="N2863" i="3" s="1"/>
  <c r="N2847" i="3" a="1"/>
  <c r="N2847" i="3" s="1"/>
  <c r="N2831" i="3" a="1"/>
  <c r="N2831" i="3" s="1"/>
  <c r="N2815" i="3" a="1"/>
  <c r="N2815" i="3" s="1"/>
  <c r="N2799" i="3" a="1"/>
  <c r="N2799" i="3" s="1"/>
  <c r="N2783" i="3" a="1"/>
  <c r="N2783" i="3" s="1"/>
  <c r="N4092" i="3" a="1"/>
  <c r="N4092" i="3" s="1"/>
  <c r="N4091" i="3" a="1"/>
  <c r="N4091" i="3" s="1"/>
  <c r="N4090" i="3" a="1"/>
  <c r="N4090" i="3" s="1"/>
  <c r="N4089" i="3" a="1"/>
  <c r="N4089" i="3" s="1"/>
  <c r="N4088" i="3" a="1"/>
  <c r="N4088" i="3" s="1"/>
  <c r="N4087" i="3" a="1"/>
  <c r="N4087" i="3" s="1"/>
  <c r="N4086" i="3" a="1"/>
  <c r="N4086" i="3" s="1"/>
  <c r="N4070" i="3" a="1"/>
  <c r="N4070" i="3" s="1"/>
  <c r="N4054" i="3" a="1"/>
  <c r="N4054" i="3" s="1"/>
  <c r="N4038" i="3" a="1"/>
  <c r="N4038" i="3" s="1"/>
  <c r="N4022" i="3" a="1"/>
  <c r="N4022" i="3" s="1"/>
  <c r="N4006" i="3" a="1"/>
  <c r="N4006" i="3" s="1"/>
  <c r="N3990" i="3" a="1"/>
  <c r="N3990" i="3" s="1"/>
  <c r="N3974" i="3" a="1"/>
  <c r="N3974" i="3" s="1"/>
  <c r="N3958" i="3" a="1"/>
  <c r="N3958" i="3" s="1"/>
  <c r="N3942" i="3" a="1"/>
  <c r="N3942" i="3" s="1"/>
  <c r="N3926" i="3" a="1"/>
  <c r="N3926" i="3" s="1"/>
  <c r="N3910" i="3" a="1"/>
  <c r="N3910" i="3" s="1"/>
  <c r="N3894" i="3" a="1"/>
  <c r="N3894" i="3" s="1"/>
  <c r="N3878" i="3" a="1"/>
  <c r="N3878" i="3" s="1"/>
  <c r="N3862" i="3" a="1"/>
  <c r="N3862" i="3" s="1"/>
  <c r="N3846" i="3" a="1"/>
  <c r="N3846" i="3" s="1"/>
  <c r="N3830" i="3" a="1"/>
  <c r="N3830" i="3" s="1"/>
  <c r="N3814" i="3" a="1"/>
  <c r="N3814" i="3" s="1"/>
  <c r="N3799" i="3" a="1"/>
  <c r="N3799" i="3" s="1"/>
  <c r="N3783" i="3" a="1"/>
  <c r="N3783" i="3" s="1"/>
  <c r="N3767" i="3" a="1"/>
  <c r="N3767" i="3" s="1"/>
  <c r="N3751" i="3" a="1"/>
  <c r="N3751" i="3" s="1"/>
  <c r="N3735" i="3" a="1"/>
  <c r="N3735" i="3" s="1"/>
  <c r="N3719" i="3" a="1"/>
  <c r="N3719" i="3" s="1"/>
  <c r="N3703" i="3" a="1"/>
  <c r="N3703" i="3" s="1"/>
  <c r="N3687" i="3" a="1"/>
  <c r="N3687" i="3" s="1"/>
  <c r="N3671" i="3" a="1"/>
  <c r="N3671" i="3" s="1"/>
  <c r="N3656" i="3" a="1"/>
  <c r="N3656" i="3" s="1"/>
  <c r="N3640" i="3" a="1"/>
  <c r="N3640" i="3" s="1"/>
  <c r="N3624" i="3" a="1"/>
  <c r="N3624" i="3" s="1"/>
  <c r="N3608" i="3" a="1"/>
  <c r="N3608" i="3" s="1"/>
  <c r="N3592" i="3" a="1"/>
  <c r="N3592" i="3" s="1"/>
  <c r="N3576" i="3" a="1"/>
  <c r="N3576" i="3" s="1"/>
  <c r="N3560" i="3" a="1"/>
  <c r="N3560" i="3" s="1"/>
  <c r="N3544" i="3" a="1"/>
  <c r="N3544" i="3" s="1"/>
  <c r="N3528" i="3" a="1"/>
  <c r="N3528" i="3" s="1"/>
  <c r="N3512" i="3" a="1"/>
  <c r="N3512" i="3" s="1"/>
  <c r="N3496" i="3" a="1"/>
  <c r="N3496" i="3" s="1"/>
  <c r="N3481" i="3" a="1"/>
  <c r="N3481" i="3" s="1"/>
  <c r="N3465" i="3" a="1"/>
  <c r="N3465" i="3" s="1"/>
  <c r="N3451" i="3" a="1"/>
  <c r="N3451" i="3" s="1"/>
  <c r="N3423" i="3" a="1"/>
  <c r="N3423" i="3" s="1"/>
  <c r="N3379" i="3" a="1"/>
  <c r="N3379" i="3" s="1"/>
  <c r="N3363" i="3" a="1"/>
  <c r="N3363" i="3" s="1"/>
  <c r="N3348" i="3" a="1"/>
  <c r="N3348" i="3" s="1"/>
  <c r="N3332" i="3" a="1"/>
  <c r="N3332" i="3" s="1"/>
  <c r="N3316" i="3" a="1"/>
  <c r="N3316" i="3" s="1"/>
  <c r="N3301" i="3" a="1"/>
  <c r="N3301" i="3" s="1"/>
  <c r="N3285" i="3" a="1"/>
  <c r="N3285" i="3" s="1"/>
  <c r="N3270" i="3" a="1"/>
  <c r="N3270" i="3" s="1"/>
  <c r="N3256" i="3" a="1"/>
  <c r="N3256" i="3" s="1"/>
  <c r="N3242" i="3" a="1"/>
  <c r="N3242" i="3" s="1"/>
  <c r="N3226" i="3" a="1"/>
  <c r="N3226" i="3" s="1"/>
  <c r="N3211" i="3" a="1"/>
  <c r="N3211" i="3" s="1"/>
  <c r="N4085" i="3" a="1"/>
  <c r="N4085" i="3" s="1"/>
  <c r="N4069" i="3" a="1"/>
  <c r="N4069" i="3" s="1"/>
  <c r="N4053" i="3" a="1"/>
  <c r="N4053" i="3" s="1"/>
  <c r="N4037" i="3" a="1"/>
  <c r="N4037" i="3" s="1"/>
  <c r="N4021" i="3" a="1"/>
  <c r="N4021" i="3" s="1"/>
  <c r="N4005" i="3" a="1"/>
  <c r="N4005" i="3" s="1"/>
  <c r="N3989" i="3" a="1"/>
  <c r="N3989" i="3" s="1"/>
  <c r="N3973" i="3" a="1"/>
  <c r="N3973" i="3" s="1"/>
  <c r="N3957" i="3" a="1"/>
  <c r="N3957" i="3" s="1"/>
  <c r="N3941" i="3" a="1"/>
  <c r="N3941" i="3" s="1"/>
  <c r="N3925" i="3" a="1"/>
  <c r="N3925" i="3" s="1"/>
  <c r="N3909" i="3" a="1"/>
  <c r="N3909" i="3" s="1"/>
  <c r="N3893" i="3" a="1"/>
  <c r="N3893" i="3" s="1"/>
  <c r="N3877" i="3" a="1"/>
  <c r="N3877" i="3" s="1"/>
  <c r="N3861" i="3" a="1"/>
  <c r="N3861" i="3" s="1"/>
  <c r="N3845" i="3" a="1"/>
  <c r="N3845" i="3" s="1"/>
  <c r="N3829" i="3" a="1"/>
  <c r="N3829" i="3" s="1"/>
  <c r="N3813" i="3" a="1"/>
  <c r="N3813" i="3" s="1"/>
  <c r="N3798" i="3" a="1"/>
  <c r="N3798" i="3" s="1"/>
  <c r="N3782" i="3" a="1"/>
  <c r="N3782" i="3" s="1"/>
  <c r="N3766" i="3" a="1"/>
  <c r="N3766" i="3" s="1"/>
  <c r="N3750" i="3" a="1"/>
  <c r="N3750" i="3" s="1"/>
  <c r="N3734" i="3" a="1"/>
  <c r="N3734" i="3" s="1"/>
  <c r="N3718" i="3" a="1"/>
  <c r="N3718" i="3" s="1"/>
  <c r="N3702" i="3" a="1"/>
  <c r="N3702" i="3" s="1"/>
  <c r="N3686" i="3" a="1"/>
  <c r="N3686" i="3" s="1"/>
  <c r="N3670" i="3" a="1"/>
  <c r="N3670" i="3" s="1"/>
  <c r="N3655" i="3" a="1"/>
  <c r="N3655" i="3" s="1"/>
  <c r="N3639" i="3" a="1"/>
  <c r="N3639" i="3" s="1"/>
  <c r="N3623" i="3" a="1"/>
  <c r="N3623" i="3" s="1"/>
  <c r="N3607" i="3" a="1"/>
  <c r="N3607" i="3" s="1"/>
  <c r="N3591" i="3" a="1"/>
  <c r="N3591" i="3" s="1"/>
  <c r="N3575" i="3" a="1"/>
  <c r="N3575" i="3" s="1"/>
  <c r="N3559" i="3" a="1"/>
  <c r="N3559" i="3" s="1"/>
  <c r="N3543" i="3" a="1"/>
  <c r="N3543" i="3" s="1"/>
  <c r="N3527" i="3" a="1"/>
  <c r="N3527" i="3" s="1"/>
  <c r="N3511" i="3" a="1"/>
  <c r="N3511" i="3" s="1"/>
  <c r="N3495" i="3" a="1"/>
  <c r="N3495" i="3" s="1"/>
  <c r="N3480" i="3" a="1"/>
  <c r="N3480" i="3" s="1"/>
  <c r="N3464" i="3" a="1"/>
  <c r="N3464" i="3" s="1"/>
  <c r="N3450" i="3" a="1"/>
  <c r="N3450" i="3" s="1"/>
  <c r="N3437" i="3" a="1"/>
  <c r="N3437" i="3" s="1"/>
  <c r="N3422" i="3" a="1"/>
  <c r="N3422" i="3" s="1"/>
  <c r="N3407" i="3" a="1"/>
  <c r="N3407" i="3" s="1"/>
  <c r="N3393" i="3" a="1"/>
  <c r="N3393" i="3" s="1"/>
  <c r="N3378" i="3" a="1"/>
  <c r="N3378" i="3" s="1"/>
  <c r="N3362" i="3" a="1"/>
  <c r="N3362" i="3" s="1"/>
  <c r="N3347" i="3" a="1"/>
  <c r="N3347" i="3" s="1"/>
  <c r="N3331" i="3" a="1"/>
  <c r="N3331" i="3" s="1"/>
  <c r="N3315" i="3" a="1"/>
  <c r="N3315" i="3" s="1"/>
  <c r="N3300" i="3" a="1"/>
  <c r="N3300" i="3" s="1"/>
  <c r="N3284" i="3" a="1"/>
  <c r="N3284" i="3" s="1"/>
  <c r="N3241" i="3" a="1"/>
  <c r="N3241" i="3" s="1"/>
  <c r="N3225" i="3" a="1"/>
  <c r="N3225" i="3" s="1"/>
  <c r="N3210" i="3" a="1"/>
  <c r="N3210" i="3" s="1"/>
  <c r="N3194" i="3" a="1"/>
  <c r="N3194" i="3" s="1"/>
  <c r="N3179" i="3" a="1"/>
  <c r="N3179" i="3" s="1"/>
  <c r="N3164" i="3" a="1"/>
  <c r="N3164" i="3" s="1"/>
  <c r="N3149" i="3" a="1"/>
  <c r="N3149" i="3" s="1"/>
  <c r="N3134" i="3" a="1"/>
  <c r="N3134" i="3" s="1"/>
  <c r="N3118" i="3" a="1"/>
  <c r="N3118" i="3" s="1"/>
  <c r="N3102" i="3" a="1"/>
  <c r="N3102" i="3" s="1"/>
  <c r="N3086" i="3" a="1"/>
  <c r="N3086" i="3" s="1"/>
  <c r="N3070" i="3" a="1"/>
  <c r="N3070" i="3" s="1"/>
  <c r="N3055" i="3" a="1"/>
  <c r="N3055" i="3" s="1"/>
  <c r="N3040" i="3" a="1"/>
  <c r="N3040" i="3" s="1"/>
  <c r="N3024" i="3" a="1"/>
  <c r="N3024" i="3" s="1"/>
  <c r="N3008" i="3" a="1"/>
  <c r="N3008" i="3" s="1"/>
  <c r="N2992" i="3" a="1"/>
  <c r="N2992" i="3" s="1"/>
  <c r="N2977" i="3" a="1"/>
  <c r="N2977" i="3" s="1"/>
  <c r="N2961" i="3" a="1"/>
  <c r="N2961" i="3" s="1"/>
  <c r="N2945" i="3" a="1"/>
  <c r="N2945" i="3" s="1"/>
  <c r="N2930" i="3" a="1"/>
  <c r="N2930" i="3" s="1"/>
  <c r="N2917" i="3" a="1"/>
  <c r="N2917" i="3" s="1"/>
  <c r="N2901" i="3" a="1"/>
  <c r="N2901" i="3" s="1"/>
  <c r="N2885" i="3" a="1"/>
  <c r="N2885" i="3" s="1"/>
  <c r="N2870" i="3" a="1"/>
  <c r="N2870" i="3" s="1"/>
  <c r="N2855" i="3" a="1"/>
  <c r="N2855" i="3" s="1"/>
  <c r="N2839" i="3" a="1"/>
  <c r="N2839" i="3" s="1"/>
  <c r="N2823" i="3" a="1"/>
  <c r="N2823" i="3" s="1"/>
  <c r="N2807" i="3" a="1"/>
  <c r="N2807" i="3" s="1"/>
  <c r="N2791" i="3" a="1"/>
  <c r="N2791" i="3" s="1"/>
  <c r="N2775" i="3" a="1"/>
  <c r="N2775" i="3" s="1"/>
  <c r="N4084" i="3" a="1"/>
  <c r="N4084" i="3" s="1"/>
  <c r="N4065" i="3" a="1"/>
  <c r="N4065" i="3" s="1"/>
  <c r="N4046" i="3" a="1"/>
  <c r="N4046" i="3" s="1"/>
  <c r="N4026" i="3" a="1"/>
  <c r="N4026" i="3" s="1"/>
  <c r="N4007" i="3" a="1"/>
  <c r="N4007" i="3" s="1"/>
  <c r="N3986" i="3" a="1"/>
  <c r="N3986" i="3" s="1"/>
  <c r="N3967" i="3" a="1"/>
  <c r="N3967" i="3" s="1"/>
  <c r="N3947" i="3" a="1"/>
  <c r="N3947" i="3" s="1"/>
  <c r="N3928" i="3" a="1"/>
  <c r="N3928" i="3" s="1"/>
  <c r="N3907" i="3" a="1"/>
  <c r="N3907" i="3" s="1"/>
  <c r="N3888" i="3" a="1"/>
  <c r="N3888" i="3" s="1"/>
  <c r="N3868" i="3" a="1"/>
  <c r="N3868" i="3" s="1"/>
  <c r="N3849" i="3" a="1"/>
  <c r="N3849" i="3" s="1"/>
  <c r="N3828" i="3" a="1"/>
  <c r="N3828" i="3" s="1"/>
  <c r="N3809" i="3" a="1"/>
  <c r="N3809" i="3" s="1"/>
  <c r="N3791" i="3" a="1"/>
  <c r="N3791" i="3" s="1"/>
  <c r="N3771" i="3" a="1"/>
  <c r="N3771" i="3" s="1"/>
  <c r="N3752" i="3" a="1"/>
  <c r="N3752" i="3" s="1"/>
  <c r="N3731" i="3" a="1"/>
  <c r="N3731" i="3" s="1"/>
  <c r="N3712" i="3" a="1"/>
  <c r="N3712" i="3" s="1"/>
  <c r="N3692" i="3" a="1"/>
  <c r="N3692" i="3" s="1"/>
  <c r="N3673" i="3" a="1"/>
  <c r="N3673" i="3" s="1"/>
  <c r="N3653" i="3" a="1"/>
  <c r="N3653" i="3" s="1"/>
  <c r="N3634" i="3" a="1"/>
  <c r="N3634" i="3" s="1"/>
  <c r="N3614" i="3" a="1"/>
  <c r="N3614" i="3" s="1"/>
  <c r="N3595" i="3" a="1"/>
  <c r="N3595" i="3" s="1"/>
  <c r="N3574" i="3" a="1"/>
  <c r="N3574" i="3" s="1"/>
  <c r="N3555" i="3" a="1"/>
  <c r="N3555" i="3" s="1"/>
  <c r="N3536" i="3" a="1"/>
  <c r="N3536" i="3" s="1"/>
  <c r="N3516" i="3" a="1"/>
  <c r="N3516" i="3" s="1"/>
  <c r="N3497" i="3" a="1"/>
  <c r="N3497" i="3" s="1"/>
  <c r="N3477" i="3" a="1"/>
  <c r="N3477" i="3" s="1"/>
  <c r="N3459" i="3" a="1"/>
  <c r="N3459" i="3" s="1"/>
  <c r="N3442" i="3" a="1"/>
  <c r="N3442" i="3" s="1"/>
  <c r="N3425" i="3" a="1"/>
  <c r="N3425" i="3" s="1"/>
  <c r="N3405" i="3" a="1"/>
  <c r="N3405" i="3" s="1"/>
  <c r="N3388" i="3" a="1"/>
  <c r="N3388" i="3" s="1"/>
  <c r="N3369" i="3" a="1"/>
  <c r="N3369" i="3" s="1"/>
  <c r="N3351" i="3" a="1"/>
  <c r="N3351" i="3" s="1"/>
  <c r="N3330" i="3" a="1"/>
  <c r="N3330" i="3" s="1"/>
  <c r="N3311" i="3" a="1"/>
  <c r="N3311" i="3" s="1"/>
  <c r="N3293" i="3" a="1"/>
  <c r="N3293" i="3" s="1"/>
  <c r="N3274" i="3" a="1"/>
  <c r="N3274" i="3" s="1"/>
  <c r="N3257" i="3" a="1"/>
  <c r="N3257" i="3" s="1"/>
  <c r="N3238" i="3" a="1"/>
  <c r="N3238" i="3" s="1"/>
  <c r="N3220" i="3" a="1"/>
  <c r="N3220" i="3" s="1"/>
  <c r="N4083" i="3" a="1"/>
  <c r="N4083" i="3" s="1"/>
  <c r="N4064" i="3" a="1"/>
  <c r="N4064" i="3" s="1"/>
  <c r="N4044" i="3" a="1"/>
  <c r="N4044" i="3" s="1"/>
  <c r="N4025" i="3" a="1"/>
  <c r="N4025" i="3" s="1"/>
  <c r="N4004" i="3" a="1"/>
  <c r="N4004" i="3" s="1"/>
  <c r="N3985" i="3" a="1"/>
  <c r="N3985" i="3" s="1"/>
  <c r="N3966" i="3" a="1"/>
  <c r="N3966" i="3" s="1"/>
  <c r="N3946" i="3" a="1"/>
  <c r="N3946" i="3" s="1"/>
  <c r="N3927" i="3" a="1"/>
  <c r="N3927" i="3" s="1"/>
  <c r="N3906" i="3" a="1"/>
  <c r="N3906" i="3" s="1"/>
  <c r="N3887" i="3" a="1"/>
  <c r="N3887" i="3" s="1"/>
  <c r="N3867" i="3" a="1"/>
  <c r="N3867" i="3" s="1"/>
  <c r="N3848" i="3" a="1"/>
  <c r="N3848" i="3" s="1"/>
  <c r="N3827" i="3" a="1"/>
  <c r="N3827" i="3" s="1"/>
  <c r="N3808" i="3" a="1"/>
  <c r="N3808" i="3" s="1"/>
  <c r="N3789" i="3" a="1"/>
  <c r="N3789" i="3" s="1"/>
  <c r="N4082" i="3" a="1"/>
  <c r="N4082" i="3" s="1"/>
  <c r="N4063" i="3" a="1"/>
  <c r="N4063" i="3" s="1"/>
  <c r="N4043" i="3" a="1"/>
  <c r="N4043" i="3" s="1"/>
  <c r="N4024" i="3" a="1"/>
  <c r="N4024" i="3" s="1"/>
  <c r="N4003" i="3" a="1"/>
  <c r="N4003" i="3" s="1"/>
  <c r="N3984" i="3" a="1"/>
  <c r="N3984" i="3" s="1"/>
  <c r="N4081" i="3" a="1"/>
  <c r="N4081" i="3" s="1"/>
  <c r="N4062" i="3" a="1"/>
  <c r="N4062" i="3" s="1"/>
  <c r="N4042" i="3" a="1"/>
  <c r="N4042" i="3" s="1"/>
  <c r="N4023" i="3" a="1"/>
  <c r="N4023" i="3" s="1"/>
  <c r="N4002" i="3" a="1"/>
  <c r="N4002" i="3" s="1"/>
  <c r="N3983" i="3" a="1"/>
  <c r="N3983" i="3" s="1"/>
  <c r="N4080" i="3" a="1"/>
  <c r="N4080" i="3" s="1"/>
  <c r="N4060" i="3" a="1"/>
  <c r="N4060" i="3" s="1"/>
  <c r="N4041" i="3" a="1"/>
  <c r="N4041" i="3" s="1"/>
  <c r="N4020" i="3" a="1"/>
  <c r="N4020" i="3" s="1"/>
  <c r="N4001" i="3" a="1"/>
  <c r="N4001" i="3" s="1"/>
  <c r="N4079" i="3" a="1"/>
  <c r="N4079" i="3" s="1"/>
  <c r="N4059" i="3" a="1"/>
  <c r="N4059" i="3" s="1"/>
  <c r="N4040" i="3" a="1"/>
  <c r="N4040" i="3" s="1"/>
  <c r="N4019" i="3" a="1"/>
  <c r="N4019" i="3" s="1"/>
  <c r="N4000" i="3" a="1"/>
  <c r="N4000" i="3" s="1"/>
  <c r="N3980" i="3" a="1"/>
  <c r="N3980" i="3" s="1"/>
  <c r="N3961" i="3" a="1"/>
  <c r="N3961" i="3" s="1"/>
  <c r="N3940" i="3" a="1"/>
  <c r="N3940" i="3" s="1"/>
  <c r="N3921" i="3" a="1"/>
  <c r="N3921" i="3" s="1"/>
  <c r="N3902" i="3" a="1"/>
  <c r="N3902" i="3" s="1"/>
  <c r="N3882" i="3" a="1"/>
  <c r="N3882" i="3" s="1"/>
  <c r="N3863" i="3" a="1"/>
  <c r="N3863" i="3" s="1"/>
  <c r="N3842" i="3" a="1"/>
  <c r="N3842" i="3" s="1"/>
  <c r="N3823" i="3" a="1"/>
  <c r="N3823" i="3" s="1"/>
  <c r="N3803" i="3" a="1"/>
  <c r="N3803" i="3" s="1"/>
  <c r="N3785" i="3" a="1"/>
  <c r="N3785" i="3" s="1"/>
  <c r="N3764" i="3" a="1"/>
  <c r="N3764" i="3" s="1"/>
  <c r="N3745" i="3" a="1"/>
  <c r="N3745" i="3" s="1"/>
  <c r="N3725" i="3" a="1"/>
  <c r="N3725" i="3" s="1"/>
  <c r="N3706" i="3" a="1"/>
  <c r="N3706" i="3" s="1"/>
  <c r="N3685" i="3" a="1"/>
  <c r="N3685" i="3" s="1"/>
  <c r="N3666" i="3" a="1"/>
  <c r="N3666" i="3" s="1"/>
  <c r="N3648" i="3" a="1"/>
  <c r="N3648" i="3" s="1"/>
  <c r="N3628" i="3" a="1"/>
  <c r="N3628" i="3" s="1"/>
  <c r="N3609" i="3" a="1"/>
  <c r="N3609" i="3" s="1"/>
  <c r="N3588" i="3" a="1"/>
  <c r="N3588" i="3" s="1"/>
  <c r="N3569" i="3" a="1"/>
  <c r="N3569" i="3" s="1"/>
  <c r="N3549" i="3" a="1"/>
  <c r="N3549" i="3" s="1"/>
  <c r="N3530" i="3" a="1"/>
  <c r="N3530" i="3" s="1"/>
  <c r="N4078" i="3" a="1"/>
  <c r="N4078" i="3" s="1"/>
  <c r="N4058" i="3" a="1"/>
  <c r="N4058" i="3" s="1"/>
  <c r="N4039" i="3" a="1"/>
  <c r="N4039" i="3" s="1"/>
  <c r="N4018" i="3" a="1"/>
  <c r="N4018" i="3" s="1"/>
  <c r="N3999" i="3" a="1"/>
  <c r="N3999" i="3" s="1"/>
  <c r="N3979" i="3" a="1"/>
  <c r="N3979" i="3" s="1"/>
  <c r="N3960" i="3" a="1"/>
  <c r="N3960" i="3" s="1"/>
  <c r="N3939" i="3" a="1"/>
  <c r="N3939" i="3" s="1"/>
  <c r="N3920" i="3" a="1"/>
  <c r="N3920" i="3" s="1"/>
  <c r="N3900" i="3" a="1"/>
  <c r="N3900" i="3" s="1"/>
  <c r="N3881" i="3" a="1"/>
  <c r="N3881" i="3" s="1"/>
  <c r="N3860" i="3" a="1"/>
  <c r="N3860" i="3" s="1"/>
  <c r="N3841" i="3" a="1"/>
  <c r="N3841" i="3" s="1"/>
  <c r="N3822" i="3" a="1"/>
  <c r="N3822" i="3" s="1"/>
  <c r="N3802" i="3" a="1"/>
  <c r="N3802" i="3" s="1"/>
  <c r="N3784" i="3" a="1"/>
  <c r="N3784" i="3" s="1"/>
  <c r="N3763" i="3" a="1"/>
  <c r="N3763" i="3" s="1"/>
  <c r="N3744" i="3" a="1"/>
  <c r="N3744" i="3" s="1"/>
  <c r="N3724" i="3" a="1"/>
  <c r="N3724" i="3" s="1"/>
  <c r="N3705" i="3" a="1"/>
  <c r="N3705" i="3" s="1"/>
  <c r="N3684" i="3" a="1"/>
  <c r="N3684" i="3" s="1"/>
  <c r="N3665" i="3" a="1"/>
  <c r="N3665" i="3" s="1"/>
  <c r="N3646" i="3" a="1"/>
  <c r="N3646" i="3" s="1"/>
  <c r="N3627" i="3" a="1"/>
  <c r="N3627" i="3" s="1"/>
  <c r="N3606" i="3" a="1"/>
  <c r="N3606" i="3" s="1"/>
  <c r="N3587" i="3" a="1"/>
  <c r="N3587" i="3" s="1"/>
  <c r="N3568" i="3" a="1"/>
  <c r="N3568" i="3" s="1"/>
  <c r="N3548" i="3" a="1"/>
  <c r="N3548" i="3" s="1"/>
  <c r="N3529" i="3" a="1"/>
  <c r="N3529" i="3" s="1"/>
  <c r="N4076" i="3" a="1"/>
  <c r="N4076" i="3" s="1"/>
  <c r="N4057" i="3" a="1"/>
  <c r="N4057" i="3" s="1"/>
  <c r="N4036" i="3" a="1"/>
  <c r="N4036" i="3" s="1"/>
  <c r="N4017" i="3" a="1"/>
  <c r="N4017" i="3" s="1"/>
  <c r="N3998" i="3" a="1"/>
  <c r="N3998" i="3" s="1"/>
  <c r="N3978" i="3" a="1"/>
  <c r="N3978" i="3" s="1"/>
  <c r="N3959" i="3" a="1"/>
  <c r="N3959" i="3" s="1"/>
  <c r="N3938" i="3" a="1"/>
  <c r="N3938" i="3" s="1"/>
  <c r="N3919" i="3" a="1"/>
  <c r="N3919" i="3" s="1"/>
  <c r="N3899" i="3" a="1"/>
  <c r="N3899" i="3" s="1"/>
  <c r="N3880" i="3" a="1"/>
  <c r="N3880" i="3" s="1"/>
  <c r="N3859" i="3" a="1"/>
  <c r="N3859" i="3" s="1"/>
  <c r="N3840" i="3" a="1"/>
  <c r="N3840" i="3" s="1"/>
  <c r="N3820" i="3" a="1"/>
  <c r="N3820" i="3" s="1"/>
  <c r="N3801" i="3" a="1"/>
  <c r="N3801" i="3" s="1"/>
  <c r="N3781" i="3" a="1"/>
  <c r="N3781" i="3" s="1"/>
  <c r="N3762" i="3" a="1"/>
  <c r="N3762" i="3" s="1"/>
  <c r="N3743" i="3" a="1"/>
  <c r="N3743" i="3" s="1"/>
  <c r="N3723" i="3" a="1"/>
  <c r="N3723" i="3" s="1"/>
  <c r="N3704" i="3" a="1"/>
  <c r="N3704" i="3" s="1"/>
  <c r="N3683" i="3" a="1"/>
  <c r="N3683" i="3" s="1"/>
  <c r="N3664" i="3" a="1"/>
  <c r="N3664" i="3" s="1"/>
  <c r="N3645" i="3" a="1"/>
  <c r="N3645" i="3" s="1"/>
  <c r="N3626" i="3" a="1"/>
  <c r="N3626" i="3" s="1"/>
  <c r="N3605" i="3" a="1"/>
  <c r="N3605" i="3" s="1"/>
  <c r="N3586" i="3" a="1"/>
  <c r="N3586" i="3" s="1"/>
  <c r="N3566" i="3" a="1"/>
  <c r="N3566" i="3" s="1"/>
  <c r="N3547" i="3" a="1"/>
  <c r="N3547" i="3" s="1"/>
  <c r="N3526" i="3" a="1"/>
  <c r="N3526" i="3" s="1"/>
  <c r="N3507" i="3" a="1"/>
  <c r="N3507" i="3" s="1"/>
  <c r="N3488" i="3" a="1"/>
  <c r="N3488" i="3" s="1"/>
  <c r="N3469" i="3" a="1"/>
  <c r="N3469" i="3" s="1"/>
  <c r="N3452" i="3" a="1"/>
  <c r="N3452" i="3" s="1"/>
  <c r="N3434" i="3" a="1"/>
  <c r="N3434" i="3" s="1"/>
  <c r="N3416" i="3" a="1"/>
  <c r="N3416" i="3" s="1"/>
  <c r="N3381" i="3" a="1"/>
  <c r="N3381" i="3" s="1"/>
  <c r="N3360" i="3" a="1"/>
  <c r="N3360" i="3" s="1"/>
  <c r="N3342" i="3" a="1"/>
  <c r="N3342" i="3" s="1"/>
  <c r="N3322" i="3" a="1"/>
  <c r="N3322" i="3" s="1"/>
  <c r="N3304" i="3" a="1"/>
  <c r="N3304" i="3" s="1"/>
  <c r="N3283" i="3" a="1"/>
  <c r="N3283" i="3" s="1"/>
  <c r="N3266" i="3" a="1"/>
  <c r="N3266" i="3" s="1"/>
  <c r="N3249" i="3" a="1"/>
  <c r="N3249" i="3" s="1"/>
  <c r="N3230" i="3" a="1"/>
  <c r="N3230" i="3" s="1"/>
  <c r="N3212" i="3" a="1"/>
  <c r="N3212" i="3" s="1"/>
  <c r="N3193" i="3" a="1"/>
  <c r="N3193" i="3" s="1"/>
  <c r="N3176" i="3" a="1"/>
  <c r="N3176" i="3" s="1"/>
  <c r="N3158" i="3" a="1"/>
  <c r="N3158" i="3" s="1"/>
  <c r="N3141" i="3" a="1"/>
  <c r="N3141" i="3" s="1"/>
  <c r="N3123" i="3" a="1"/>
  <c r="N3123" i="3" s="1"/>
  <c r="N3105" i="3" a="1"/>
  <c r="N3105" i="3" s="1"/>
  <c r="N3087" i="3" a="1"/>
  <c r="N3087" i="3" s="1"/>
  <c r="N3068" i="3" a="1"/>
  <c r="N3068" i="3" s="1"/>
  <c r="N3051" i="3" a="1"/>
  <c r="N3051" i="3" s="1"/>
  <c r="N3034" i="3" a="1"/>
  <c r="N3034" i="3" s="1"/>
  <c r="N3015" i="3" a="1"/>
  <c r="N3015" i="3" s="1"/>
  <c r="N2997" i="3" a="1"/>
  <c r="N2997" i="3" s="1"/>
  <c r="N2980" i="3" a="1"/>
  <c r="N2980" i="3" s="1"/>
  <c r="N2962" i="3" a="1"/>
  <c r="N2962" i="3" s="1"/>
  <c r="N2911" i="3" a="1"/>
  <c r="N2911" i="3" s="1"/>
  <c r="N2892" i="3" a="1"/>
  <c r="N2892" i="3" s="1"/>
  <c r="N2875" i="3" a="1"/>
  <c r="N2875" i="3" s="1"/>
  <c r="N2858" i="3" a="1"/>
  <c r="N2858" i="3" s="1"/>
  <c r="N2840" i="3" a="1"/>
  <c r="N2840" i="3" s="1"/>
  <c r="N2821" i="3" a="1"/>
  <c r="N2821" i="3" s="1"/>
  <c r="N2803" i="3" a="1"/>
  <c r="N2803" i="3" s="1"/>
  <c r="N2785" i="3" a="1"/>
  <c r="N2785" i="3" s="1"/>
  <c r="N2767" i="3" a="1"/>
  <c r="N2767" i="3" s="1"/>
  <c r="N2752" i="3" a="1"/>
  <c r="N2752" i="3" s="1"/>
  <c r="N2736" i="3" a="1"/>
  <c r="N2736" i="3" s="1"/>
  <c r="N2720" i="3" a="1"/>
  <c r="N2720" i="3" s="1"/>
  <c r="N2704" i="3" a="1"/>
  <c r="N2704" i="3" s="1"/>
  <c r="N2688" i="3" a="1"/>
  <c r="N2688" i="3" s="1"/>
  <c r="N2672" i="3" a="1"/>
  <c r="N2672" i="3" s="1"/>
  <c r="N2656" i="3" a="1"/>
  <c r="N2656" i="3" s="1"/>
  <c r="N2642" i="3" a="1"/>
  <c r="N2642" i="3" s="1"/>
  <c r="N2627" i="3" a="1"/>
  <c r="N2627" i="3" s="1"/>
  <c r="N2611" i="3" a="1"/>
  <c r="N2611" i="3" s="1"/>
  <c r="N2596" i="3" a="1"/>
  <c r="N2596" i="3" s="1"/>
  <c r="N2581" i="3" a="1"/>
  <c r="N2581" i="3" s="1"/>
  <c r="N2566" i="3" a="1"/>
  <c r="N2566" i="3" s="1"/>
  <c r="N2551" i="3" a="1"/>
  <c r="N2551" i="3" s="1"/>
  <c r="N4075" i="3" a="1"/>
  <c r="N4075" i="3" s="1"/>
  <c r="N4056" i="3" a="1"/>
  <c r="N4056" i="3" s="1"/>
  <c r="N4035" i="3" a="1"/>
  <c r="N4035" i="3" s="1"/>
  <c r="N4016" i="3" a="1"/>
  <c r="N4016" i="3" s="1"/>
  <c r="N3996" i="3" a="1"/>
  <c r="N3996" i="3" s="1"/>
  <c r="N3977" i="3" a="1"/>
  <c r="N3977" i="3" s="1"/>
  <c r="N4074" i="3" a="1"/>
  <c r="N4074" i="3" s="1"/>
  <c r="N4055" i="3" a="1"/>
  <c r="N4055" i="3" s="1"/>
  <c r="N4034" i="3" a="1"/>
  <c r="N4034" i="3" s="1"/>
  <c r="N4015" i="3" a="1"/>
  <c r="N4015" i="3" s="1"/>
  <c r="N3995" i="3" a="1"/>
  <c r="N3995" i="3" s="1"/>
  <c r="N3976" i="3" a="1"/>
  <c r="N3976" i="3" s="1"/>
  <c r="N4073" i="3" a="1"/>
  <c r="N4073" i="3" s="1"/>
  <c r="N4052" i="3" a="1"/>
  <c r="N4052" i="3" s="1"/>
  <c r="N4033" i="3" a="1"/>
  <c r="N4033" i="3" s="1"/>
  <c r="N4014" i="3" a="1"/>
  <c r="N4014" i="3" s="1"/>
  <c r="N3994" i="3" a="1"/>
  <c r="N3994" i="3" s="1"/>
  <c r="N4072" i="3" a="1"/>
  <c r="N4072" i="3" s="1"/>
  <c r="N4051" i="3" a="1"/>
  <c r="N4051" i="3" s="1"/>
  <c r="N4032" i="3" a="1"/>
  <c r="N4032" i="3" s="1"/>
  <c r="N4012" i="3" a="1"/>
  <c r="N4012" i="3" s="1"/>
  <c r="N3993" i="3" a="1"/>
  <c r="N3993" i="3" s="1"/>
  <c r="N3972" i="3" a="1"/>
  <c r="N3972" i="3" s="1"/>
  <c r="N3953" i="3" a="1"/>
  <c r="N3953" i="3" s="1"/>
  <c r="N3934" i="3" a="1"/>
  <c r="N3934" i="3" s="1"/>
  <c r="N3914" i="3" a="1"/>
  <c r="N3914" i="3" s="1"/>
  <c r="N3895" i="3" a="1"/>
  <c r="N3895" i="3" s="1"/>
  <c r="N3874" i="3" a="1"/>
  <c r="N3874" i="3" s="1"/>
  <c r="N3855" i="3" a="1"/>
  <c r="N3855" i="3" s="1"/>
  <c r="N3835" i="3" a="1"/>
  <c r="N3835" i="3" s="1"/>
  <c r="N3816" i="3" a="1"/>
  <c r="N3816" i="3" s="1"/>
  <c r="N3796" i="3" a="1"/>
  <c r="N3796" i="3" s="1"/>
  <c r="N3777" i="3" a="1"/>
  <c r="N3777" i="3" s="1"/>
  <c r="N3757" i="3" a="1"/>
  <c r="N3757" i="3" s="1"/>
  <c r="N3738" i="3" a="1"/>
  <c r="N3738" i="3" s="1"/>
  <c r="N3717" i="3" a="1"/>
  <c r="N3717" i="3" s="1"/>
  <c r="N3698" i="3" a="1"/>
  <c r="N3698" i="3" s="1"/>
  <c r="N3679" i="3" a="1"/>
  <c r="N3679" i="3" s="1"/>
  <c r="N3659" i="3" a="1"/>
  <c r="N3659" i="3" s="1"/>
  <c r="N3641" i="3" a="1"/>
  <c r="N3641" i="3" s="1"/>
  <c r="N3620" i="3" a="1"/>
  <c r="N3620" i="3" s="1"/>
  <c r="N3601" i="3" a="1"/>
  <c r="N3601" i="3" s="1"/>
  <c r="N3581" i="3" a="1"/>
  <c r="N3581" i="3" s="1"/>
  <c r="N3562" i="3" a="1"/>
  <c r="N3562" i="3" s="1"/>
  <c r="N3541" i="3" a="1"/>
  <c r="N3541" i="3" s="1"/>
  <c r="N4071" i="3" a="1"/>
  <c r="N4071" i="3" s="1"/>
  <c r="N4050" i="3" a="1"/>
  <c r="N4050" i="3" s="1"/>
  <c r="N4031" i="3" a="1"/>
  <c r="N4031" i="3" s="1"/>
  <c r="N4011" i="3" a="1"/>
  <c r="N4011" i="3" s="1"/>
  <c r="N3992" i="3" a="1"/>
  <c r="N3992" i="3" s="1"/>
  <c r="N3971" i="3" a="1"/>
  <c r="N3971" i="3" s="1"/>
  <c r="N3952" i="3" a="1"/>
  <c r="N3952" i="3" s="1"/>
  <c r="N3932" i="3" a="1"/>
  <c r="N3932" i="3" s="1"/>
  <c r="N3913" i="3" a="1"/>
  <c r="N3913" i="3" s="1"/>
  <c r="N3892" i="3" a="1"/>
  <c r="N3892" i="3" s="1"/>
  <c r="N3873" i="3" a="1"/>
  <c r="N3873" i="3" s="1"/>
  <c r="N3854" i="3" a="1"/>
  <c r="N3854" i="3" s="1"/>
  <c r="N3834" i="3" a="1"/>
  <c r="N3834" i="3" s="1"/>
  <c r="N3815" i="3" a="1"/>
  <c r="N3815" i="3" s="1"/>
  <c r="N3795" i="3" a="1"/>
  <c r="N3795" i="3" s="1"/>
  <c r="N3776" i="3" a="1"/>
  <c r="N3776" i="3" s="1"/>
  <c r="N3756" i="3" a="1"/>
  <c r="N3756" i="3" s="1"/>
  <c r="N3737" i="3" a="1"/>
  <c r="N3737" i="3" s="1"/>
  <c r="N3716" i="3" a="1"/>
  <c r="N3716" i="3" s="1"/>
  <c r="N3697" i="3" a="1"/>
  <c r="N3697" i="3" s="1"/>
  <c r="N3677" i="3" a="1"/>
  <c r="N3677" i="3" s="1"/>
  <c r="N3638" i="3" a="1"/>
  <c r="N3638" i="3" s="1"/>
  <c r="N3619" i="3" a="1"/>
  <c r="N3619" i="3" s="1"/>
  <c r="N3600" i="3" a="1"/>
  <c r="N3600" i="3" s="1"/>
  <c r="N3580" i="3" a="1"/>
  <c r="N3580" i="3" s="1"/>
  <c r="N3561" i="3" a="1"/>
  <c r="N3561" i="3" s="1"/>
  <c r="N3540" i="3" a="1"/>
  <c r="N3540" i="3" s="1"/>
  <c r="N3521" i="3" a="1"/>
  <c r="N3521" i="3" s="1"/>
  <c r="N4068" i="3" a="1"/>
  <c r="N4068" i="3" s="1"/>
  <c r="N4049" i="3" a="1"/>
  <c r="N4049" i="3" s="1"/>
  <c r="N4030" i="3" a="1"/>
  <c r="N4030" i="3" s="1"/>
  <c r="N4010" i="3" a="1"/>
  <c r="N4010" i="3" s="1"/>
  <c r="N3991" i="3" a="1"/>
  <c r="N3991" i="3" s="1"/>
  <c r="N3970" i="3" a="1"/>
  <c r="N3970" i="3" s="1"/>
  <c r="N3951" i="3" a="1"/>
  <c r="N3951" i="3" s="1"/>
  <c r="N3931" i="3" a="1"/>
  <c r="N3931" i="3" s="1"/>
  <c r="N3912" i="3" a="1"/>
  <c r="N3912" i="3" s="1"/>
  <c r="N3891" i="3" a="1"/>
  <c r="N3891" i="3" s="1"/>
  <c r="N3872" i="3" a="1"/>
  <c r="N3872" i="3" s="1"/>
  <c r="N3852" i="3" a="1"/>
  <c r="N3852" i="3" s="1"/>
  <c r="N3833" i="3" a="1"/>
  <c r="N3833" i="3" s="1"/>
  <c r="N3812" i="3" a="1"/>
  <c r="N3812" i="3" s="1"/>
  <c r="N3794" i="3" a="1"/>
  <c r="N3794" i="3" s="1"/>
  <c r="N3775" i="3" a="1"/>
  <c r="N3775" i="3" s="1"/>
  <c r="N3755" i="3" a="1"/>
  <c r="N3755" i="3" s="1"/>
  <c r="N3736" i="3" a="1"/>
  <c r="N3736" i="3" s="1"/>
  <c r="N3715" i="3" a="1"/>
  <c r="N3715" i="3" s="1"/>
  <c r="N3696" i="3" a="1"/>
  <c r="N3696" i="3" s="1"/>
  <c r="N3676" i="3" a="1"/>
  <c r="N3676" i="3" s="1"/>
  <c r="N3658" i="3" a="1"/>
  <c r="N3658" i="3" s="1"/>
  <c r="N3637" i="3" a="1"/>
  <c r="N3637" i="3" s="1"/>
  <c r="N3618" i="3" a="1"/>
  <c r="N3618" i="3" s="1"/>
  <c r="N3598" i="3" a="1"/>
  <c r="N3598" i="3" s="1"/>
  <c r="N3579" i="3" a="1"/>
  <c r="N3579" i="3" s="1"/>
  <c r="N3558" i="3" a="1"/>
  <c r="N3558" i="3" s="1"/>
  <c r="N3539" i="3" a="1"/>
  <c r="N3539" i="3" s="1"/>
  <c r="N3520" i="3" a="1"/>
  <c r="N3520" i="3" s="1"/>
  <c r="N3500" i="3" a="1"/>
  <c r="N3500" i="3" s="1"/>
  <c r="N3482" i="3" a="1"/>
  <c r="N3482" i="3" s="1"/>
  <c r="N3461" i="3" a="1"/>
  <c r="N3461" i="3" s="1"/>
  <c r="N3445" i="3" a="1"/>
  <c r="N3445" i="3" s="1"/>
  <c r="N3428" i="3" a="1"/>
  <c r="N3428" i="3" s="1"/>
  <c r="N3409" i="3" a="1"/>
  <c r="N3409" i="3" s="1"/>
  <c r="N3391" i="3" a="1"/>
  <c r="N3391" i="3" s="1"/>
  <c r="N3373" i="3" a="1"/>
  <c r="N3373" i="3" s="1"/>
  <c r="N3354" i="3" a="1"/>
  <c r="N3354" i="3" s="1"/>
  <c r="N3335" i="3" a="1"/>
  <c r="N3335" i="3" s="1"/>
  <c r="N3314" i="3" a="1"/>
  <c r="N3314" i="3" s="1"/>
  <c r="N3296" i="3" a="1"/>
  <c r="N3296" i="3" s="1"/>
  <c r="N3278" i="3" a="1"/>
  <c r="N3278" i="3" s="1"/>
  <c r="N3260" i="3" a="1"/>
  <c r="N3260" i="3" s="1"/>
  <c r="N3243" i="3" a="1"/>
  <c r="N3243" i="3" s="1"/>
  <c r="N3223" i="3" a="1"/>
  <c r="N3223" i="3" s="1"/>
  <c r="N3204" i="3" a="1"/>
  <c r="N3204" i="3" s="1"/>
  <c r="N4067" i="3" a="1"/>
  <c r="N4067" i="3" s="1"/>
  <c r="N4048" i="3" a="1"/>
  <c r="N4048" i="3" s="1"/>
  <c r="N4028" i="3" a="1"/>
  <c r="N4028" i="3" s="1"/>
  <c r="N4009" i="3" a="1"/>
  <c r="N4009" i="3" s="1"/>
  <c r="N3988" i="3" a="1"/>
  <c r="N3988" i="3" s="1"/>
  <c r="N3969" i="3" a="1"/>
  <c r="N3969" i="3" s="1"/>
  <c r="N3950" i="3" a="1"/>
  <c r="N3950" i="3" s="1"/>
  <c r="N3930" i="3" a="1"/>
  <c r="N3930" i="3" s="1"/>
  <c r="N3911" i="3" a="1"/>
  <c r="N3911" i="3" s="1"/>
  <c r="N4066" i="3" a="1"/>
  <c r="N4066" i="3" s="1"/>
  <c r="N4047" i="3" a="1"/>
  <c r="N4047" i="3" s="1"/>
  <c r="N4027" i="3" a="1"/>
  <c r="N4027" i="3" s="1"/>
  <c r="N4008" i="3" a="1"/>
  <c r="N4008" i="3" s="1"/>
  <c r="N3987" i="3" a="1"/>
  <c r="N3987" i="3" s="1"/>
  <c r="N3968" i="3" a="1"/>
  <c r="N3968" i="3" s="1"/>
  <c r="N3948" i="3" a="1"/>
  <c r="N3948" i="3" s="1"/>
  <c r="N3929" i="3" a="1"/>
  <c r="N3929" i="3" s="1"/>
  <c r="N3908" i="3" a="1"/>
  <c r="N3908" i="3" s="1"/>
  <c r="N3889" i="3" a="1"/>
  <c r="N3889" i="3" s="1"/>
  <c r="N3870" i="3" a="1"/>
  <c r="N3870" i="3" s="1"/>
  <c r="N3850" i="3" a="1"/>
  <c r="N3850" i="3" s="1"/>
  <c r="N3831" i="3" a="1"/>
  <c r="N3831" i="3" s="1"/>
  <c r="N3810" i="3" a="1"/>
  <c r="N3810" i="3" s="1"/>
  <c r="N3792" i="3" a="1"/>
  <c r="N3792" i="3" s="1"/>
  <c r="N3772" i="3" a="1"/>
  <c r="N3772" i="3" s="1"/>
  <c r="N3753" i="3" a="1"/>
  <c r="N3753" i="3" s="1"/>
  <c r="N3732" i="3" a="1"/>
  <c r="N3732" i="3" s="1"/>
  <c r="N3713" i="3" a="1"/>
  <c r="N3713" i="3" s="1"/>
  <c r="N3693" i="3" a="1"/>
  <c r="N3693" i="3" s="1"/>
  <c r="N3674" i="3" a="1"/>
  <c r="N3674" i="3" s="1"/>
  <c r="N3654" i="3" a="1"/>
  <c r="N3654" i="3" s="1"/>
  <c r="N3635" i="3" a="1"/>
  <c r="N3635" i="3" s="1"/>
  <c r="N3616" i="3" a="1"/>
  <c r="N3616" i="3" s="1"/>
  <c r="N3596" i="3" a="1"/>
  <c r="N3596" i="3" s="1"/>
  <c r="N3577" i="3" a="1"/>
  <c r="N3577" i="3" s="1"/>
  <c r="N3556" i="3" a="1"/>
  <c r="N3556" i="3" s="1"/>
  <c r="N3537" i="3" a="1"/>
  <c r="N3537" i="3" s="1"/>
  <c r="N3517" i="3" a="1"/>
  <c r="N3517" i="3" s="1"/>
  <c r="N3498" i="3" a="1"/>
  <c r="N3498" i="3" s="1"/>
  <c r="N3478" i="3" a="1"/>
  <c r="N3478" i="3" s="1"/>
  <c r="N3460" i="3" a="1"/>
  <c r="N3460" i="3" s="1"/>
  <c r="N3426" i="3" a="1"/>
  <c r="N3426" i="3" s="1"/>
  <c r="N3406" i="3" a="1"/>
  <c r="N3406" i="3" s="1"/>
  <c r="N3389" i="3" a="1"/>
  <c r="N3389" i="3" s="1"/>
  <c r="N3371" i="3" a="1"/>
  <c r="N3371" i="3" s="1"/>
  <c r="N3352" i="3" a="1"/>
  <c r="N3352" i="3" s="1"/>
  <c r="N3333" i="3" a="1"/>
  <c r="N3333" i="3" s="1"/>
  <c r="N3312" i="3" a="1"/>
  <c r="N3312" i="3" s="1"/>
  <c r="N3294" i="3" a="1"/>
  <c r="N3294" i="3" s="1"/>
  <c r="N3275" i="3" a="1"/>
  <c r="N3275" i="3" s="1"/>
  <c r="N3258" i="3" a="1"/>
  <c r="N3258" i="3" s="1"/>
  <c r="N3239" i="3" a="1"/>
  <c r="N3239" i="3" s="1"/>
  <c r="N3221" i="3" a="1"/>
  <c r="N3221" i="3" s="1"/>
  <c r="N3201" i="3" a="1"/>
  <c r="N3201" i="3" s="1"/>
  <c r="N3184" i="3" a="1"/>
  <c r="N3184" i="3" s="1"/>
  <c r="N3167" i="3" a="1"/>
  <c r="N3167" i="3" s="1"/>
  <c r="N3150" i="3" a="1"/>
  <c r="N3150" i="3" s="1"/>
  <c r="N3132" i="3" a="1"/>
  <c r="N3132" i="3" s="1"/>
  <c r="N3114" i="3" a="1"/>
  <c r="N3114" i="3" s="1"/>
  <c r="N3096" i="3" a="1"/>
  <c r="N3096" i="3" s="1"/>
  <c r="N3077" i="3" a="1"/>
  <c r="N3077" i="3" s="1"/>
  <c r="N3060" i="3" a="1"/>
  <c r="N3060" i="3" s="1"/>
  <c r="N3043" i="3" a="1"/>
  <c r="N3043" i="3" s="1"/>
  <c r="N3025" i="3" a="1"/>
  <c r="N3025" i="3" s="1"/>
  <c r="N3006" i="3" a="1"/>
  <c r="N3006" i="3" s="1"/>
  <c r="N2988" i="3" a="1"/>
  <c r="N2988" i="3" s="1"/>
  <c r="N2971" i="3" a="1"/>
  <c r="N2971" i="3" s="1"/>
  <c r="N2952" i="3" a="1"/>
  <c r="N2952" i="3" s="1"/>
  <c r="N2935" i="3" a="1"/>
  <c r="N2935" i="3" s="1"/>
  <c r="N2920" i="3" a="1"/>
  <c r="N2920" i="3" s="1"/>
  <c r="N2902" i="3" a="1"/>
  <c r="N2902" i="3" s="1"/>
  <c r="N2883" i="3" a="1"/>
  <c r="N2883" i="3" s="1"/>
  <c r="N2866" i="3" a="1"/>
  <c r="N2866" i="3" s="1"/>
  <c r="N2849" i="3" a="1"/>
  <c r="N2849" i="3" s="1"/>
  <c r="N2830" i="3" a="1"/>
  <c r="N2830" i="3" s="1"/>
  <c r="N2812" i="3" a="1"/>
  <c r="N2812" i="3" s="1"/>
  <c r="N2794" i="3" a="1"/>
  <c r="N2794" i="3" s="1"/>
  <c r="N2776" i="3" a="1"/>
  <c r="N2776" i="3" s="1"/>
  <c r="N2760" i="3" a="1"/>
  <c r="N2760" i="3" s="1"/>
  <c r="N2744" i="3" a="1"/>
  <c r="N2744" i="3" s="1"/>
  <c r="N2728" i="3" a="1"/>
  <c r="N2728" i="3" s="1"/>
  <c r="N2712" i="3" a="1"/>
  <c r="N2712" i="3" s="1"/>
  <c r="N2696" i="3" a="1"/>
  <c r="N2696" i="3" s="1"/>
  <c r="N2680" i="3" a="1"/>
  <c r="N2680" i="3" s="1"/>
  <c r="N2664" i="3" a="1"/>
  <c r="N2664" i="3" s="1"/>
  <c r="N2649" i="3" a="1"/>
  <c r="N2649" i="3" s="1"/>
  <c r="N2635" i="3" a="1"/>
  <c r="N2635" i="3" s="1"/>
  <c r="N2619" i="3" a="1"/>
  <c r="N2619" i="3" s="1"/>
  <c r="N2603" i="3" a="1"/>
  <c r="N2603" i="3" s="1"/>
  <c r="N2573" i="3" a="1"/>
  <c r="N2573" i="3" s="1"/>
  <c r="N2559" i="3" a="1"/>
  <c r="N2559" i="3" s="1"/>
  <c r="N2543" i="3" a="1"/>
  <c r="N2543" i="3" s="1"/>
  <c r="N3982" i="3" a="1"/>
  <c r="N3982" i="3" s="1"/>
  <c r="N3922" i="3" a="1"/>
  <c r="N3922" i="3" s="1"/>
  <c r="N3875" i="3" a="1"/>
  <c r="N3875" i="3" s="1"/>
  <c r="N3826" i="3" a="1"/>
  <c r="N3826" i="3" s="1"/>
  <c r="N3786" i="3" a="1"/>
  <c r="N3786" i="3" s="1"/>
  <c r="N3746" i="3" a="1"/>
  <c r="N3746" i="3" s="1"/>
  <c r="N3707" i="3" a="1"/>
  <c r="N3707" i="3" s="1"/>
  <c r="N3667" i="3" a="1"/>
  <c r="N3667" i="3" s="1"/>
  <c r="N3629" i="3" a="1"/>
  <c r="N3629" i="3" s="1"/>
  <c r="N3589" i="3" a="1"/>
  <c r="N3589" i="3" s="1"/>
  <c r="N3550" i="3" a="1"/>
  <c r="N3550" i="3" s="1"/>
  <c r="N3513" i="3" a="1"/>
  <c r="N3513" i="3" s="1"/>
  <c r="N3486" i="3" a="1"/>
  <c r="N3486" i="3" s="1"/>
  <c r="N3462" i="3" a="1"/>
  <c r="N3462" i="3" s="1"/>
  <c r="N3439" i="3" a="1"/>
  <c r="N3439" i="3" s="1"/>
  <c r="N3415" i="3" a="1"/>
  <c r="N3415" i="3" s="1"/>
  <c r="N3392" i="3" a="1"/>
  <c r="N3392" i="3" s="1"/>
  <c r="N3366" i="3" a="1"/>
  <c r="N3366" i="3" s="1"/>
  <c r="N3341" i="3" a="1"/>
  <c r="N3341" i="3" s="1"/>
  <c r="N3317" i="3" a="1"/>
  <c r="N3317" i="3" s="1"/>
  <c r="N3289" i="3" a="1"/>
  <c r="N3289" i="3" s="1"/>
  <c r="N3216" i="3" a="1"/>
  <c r="N3216" i="3" s="1"/>
  <c r="N3174" i="3" a="1"/>
  <c r="N3174" i="3" s="1"/>
  <c r="N3153" i="3" a="1"/>
  <c r="N3153" i="3" s="1"/>
  <c r="N3135" i="3" a="1"/>
  <c r="N3135" i="3" s="1"/>
  <c r="N3113" i="3" a="1"/>
  <c r="N3113" i="3" s="1"/>
  <c r="N3092" i="3" a="1"/>
  <c r="N3092" i="3" s="1"/>
  <c r="N3072" i="3" a="1"/>
  <c r="N3072" i="3" s="1"/>
  <c r="N3052" i="3" a="1"/>
  <c r="N3052" i="3" s="1"/>
  <c r="N3031" i="3" a="1"/>
  <c r="N3031" i="3" s="1"/>
  <c r="N3011" i="3" a="1"/>
  <c r="N3011" i="3" s="1"/>
  <c r="N2990" i="3" a="1"/>
  <c r="N2990" i="3" s="1"/>
  <c r="N2970" i="3" a="1"/>
  <c r="N2970" i="3" s="1"/>
  <c r="N2949" i="3" a="1"/>
  <c r="N2949" i="3" s="1"/>
  <c r="N2929" i="3" a="1"/>
  <c r="N2929" i="3" s="1"/>
  <c r="N2912" i="3" a="1"/>
  <c r="N2912" i="3" s="1"/>
  <c r="N3975" i="3" a="1"/>
  <c r="N3975" i="3" s="1"/>
  <c r="N3918" i="3" a="1"/>
  <c r="N3918" i="3" s="1"/>
  <c r="N3871" i="3" a="1"/>
  <c r="N3871" i="3" s="1"/>
  <c r="N3825" i="3" a="1"/>
  <c r="N3825" i="3" s="1"/>
  <c r="N3780" i="3" a="1"/>
  <c r="N3780" i="3" s="1"/>
  <c r="N3741" i="3" a="1"/>
  <c r="N3741" i="3" s="1"/>
  <c r="N3701" i="3" a="1"/>
  <c r="N3701" i="3" s="1"/>
  <c r="N3663" i="3" a="1"/>
  <c r="N3663" i="3" s="1"/>
  <c r="N3625" i="3" a="1"/>
  <c r="N3625" i="3" s="1"/>
  <c r="N3585" i="3" a="1"/>
  <c r="N3585" i="3" s="1"/>
  <c r="N3546" i="3" a="1"/>
  <c r="N3546" i="3" s="1"/>
  <c r="N3510" i="3" a="1"/>
  <c r="N3510" i="3" s="1"/>
  <c r="N3438" i="3" a="1"/>
  <c r="N3438" i="3" s="1"/>
  <c r="N3413" i="3" a="1"/>
  <c r="N3413" i="3" s="1"/>
  <c r="N3390" i="3" a="1"/>
  <c r="N3390" i="3" s="1"/>
  <c r="N3365" i="3" a="1"/>
  <c r="N3365" i="3" s="1"/>
  <c r="N3964" i="3" a="1"/>
  <c r="N3964" i="3" s="1"/>
  <c r="N3916" i="3" a="1"/>
  <c r="N3916" i="3" s="1"/>
  <c r="N3866" i="3" a="1"/>
  <c r="N3866" i="3" s="1"/>
  <c r="N3824" i="3" a="1"/>
  <c r="N3824" i="3" s="1"/>
  <c r="N3779" i="3" a="1"/>
  <c r="N3779" i="3" s="1"/>
  <c r="N3740" i="3" a="1"/>
  <c r="N3740" i="3" s="1"/>
  <c r="N3700" i="3" a="1"/>
  <c r="N3700" i="3" s="1"/>
  <c r="N3661" i="3" a="1"/>
  <c r="N3661" i="3" s="1"/>
  <c r="N3622" i="3" a="1"/>
  <c r="N3622" i="3" s="1"/>
  <c r="N3584" i="3" a="1"/>
  <c r="N3584" i="3" s="1"/>
  <c r="N3545" i="3" a="1"/>
  <c r="N3545" i="3" s="1"/>
  <c r="N3509" i="3" a="1"/>
  <c r="N3509" i="3" s="1"/>
  <c r="N3485" i="3" a="1"/>
  <c r="N3485" i="3" s="1"/>
  <c r="N3458" i="3" a="1"/>
  <c r="N3458" i="3" s="1"/>
  <c r="N3436" i="3" a="1"/>
  <c r="N3436" i="3" s="1"/>
  <c r="N3412" i="3" a="1"/>
  <c r="N3412" i="3" s="1"/>
  <c r="N3387" i="3" a="1"/>
  <c r="N3387" i="3" s="1"/>
  <c r="N3364" i="3" a="1"/>
  <c r="N3364" i="3" s="1"/>
  <c r="N3338" i="3" a="1"/>
  <c r="N3338" i="3" s="1"/>
  <c r="N3310" i="3" a="1"/>
  <c r="N3310" i="3" s="1"/>
  <c r="N3287" i="3" a="1"/>
  <c r="N3287" i="3" s="1"/>
  <c r="N3264" i="3" a="1"/>
  <c r="N3264" i="3" s="1"/>
  <c r="N3237" i="3" a="1"/>
  <c r="N3237" i="3" s="1"/>
  <c r="N3214" i="3" a="1"/>
  <c r="N3214" i="3" s="1"/>
  <c r="N3191" i="3" a="1"/>
  <c r="N3191" i="3" s="1"/>
  <c r="N3171" i="3" a="1"/>
  <c r="N3171" i="3" s="1"/>
  <c r="N3131" i="3" a="1"/>
  <c r="N3131" i="3" s="1"/>
  <c r="N3111" i="3" a="1"/>
  <c r="N3111" i="3" s="1"/>
  <c r="N3090" i="3" a="1"/>
  <c r="N3090" i="3" s="1"/>
  <c r="N3069" i="3" a="1"/>
  <c r="N3069" i="3" s="1"/>
  <c r="N3050" i="3" a="1"/>
  <c r="N3050" i="3" s="1"/>
  <c r="N3029" i="3" a="1"/>
  <c r="N3029" i="3" s="1"/>
  <c r="N3009" i="3" a="1"/>
  <c r="N3009" i="3" s="1"/>
  <c r="N2987" i="3" a="1"/>
  <c r="N2987" i="3" s="1"/>
  <c r="N2967" i="3" a="1"/>
  <c r="N2967" i="3" s="1"/>
  <c r="N2947" i="3" a="1"/>
  <c r="N2947" i="3" s="1"/>
  <c r="N2928" i="3" a="1"/>
  <c r="N2928" i="3" s="1"/>
  <c r="N2908" i="3" a="1"/>
  <c r="N2908" i="3" s="1"/>
  <c r="N3963" i="3" a="1"/>
  <c r="N3963" i="3" s="1"/>
  <c r="N3915" i="3" a="1"/>
  <c r="N3915" i="3" s="1"/>
  <c r="N3865" i="3" a="1"/>
  <c r="N3865" i="3" s="1"/>
  <c r="N3819" i="3" a="1"/>
  <c r="N3819" i="3" s="1"/>
  <c r="N3778" i="3" a="1"/>
  <c r="N3778" i="3" s="1"/>
  <c r="N3739" i="3" a="1"/>
  <c r="N3739" i="3" s="1"/>
  <c r="N3699" i="3" a="1"/>
  <c r="N3699" i="3" s="1"/>
  <c r="N3660" i="3" a="1"/>
  <c r="N3660" i="3" s="1"/>
  <c r="N3621" i="3" a="1"/>
  <c r="N3621" i="3" s="1"/>
  <c r="N3582" i="3" a="1"/>
  <c r="N3582" i="3" s="1"/>
  <c r="N3542" i="3" a="1"/>
  <c r="N3542" i="3" s="1"/>
  <c r="N3508" i="3" a="1"/>
  <c r="N3508" i="3" s="1"/>
  <c r="N3484" i="3" a="1"/>
  <c r="N3484" i="3" s="1"/>
  <c r="N3435" i="3" a="1"/>
  <c r="N3435" i="3" s="1"/>
  <c r="N3411" i="3" a="1"/>
  <c r="N3411" i="3" s="1"/>
  <c r="N3386" i="3" a="1"/>
  <c r="N3386" i="3" s="1"/>
  <c r="N3361" i="3" a="1"/>
  <c r="N3361" i="3" s="1"/>
  <c r="N3337" i="3" a="1"/>
  <c r="N3337" i="3" s="1"/>
  <c r="N3286" i="3" a="1"/>
  <c r="N3286" i="3" s="1"/>
  <c r="N3262" i="3" a="1"/>
  <c r="N3262" i="3" s="1"/>
  <c r="N3236" i="3" a="1"/>
  <c r="N3236" i="3" s="1"/>
  <c r="N3213" i="3" a="1"/>
  <c r="N3213" i="3" s="1"/>
  <c r="N3190" i="3" a="1"/>
  <c r="N3190" i="3" s="1"/>
  <c r="N3170" i="3" a="1"/>
  <c r="N3170" i="3" s="1"/>
  <c r="N3151" i="3" a="1"/>
  <c r="N3151" i="3" s="1"/>
  <c r="N3130" i="3" a="1"/>
  <c r="N3130" i="3" s="1"/>
  <c r="N3109" i="3" a="1"/>
  <c r="N3109" i="3" s="1"/>
  <c r="N3089" i="3" a="1"/>
  <c r="N3089" i="3" s="1"/>
  <c r="N3067" i="3" a="1"/>
  <c r="N3067" i="3" s="1"/>
  <c r="N3049" i="3" a="1"/>
  <c r="N3049" i="3" s="1"/>
  <c r="N3028" i="3" a="1"/>
  <c r="N3028" i="3" s="1"/>
  <c r="N3007" i="3" a="1"/>
  <c r="N3007" i="3" s="1"/>
  <c r="N2966" i="3" a="1"/>
  <c r="N2966" i="3" s="1"/>
  <c r="N2946" i="3" a="1"/>
  <c r="N2946" i="3" s="1"/>
  <c r="N2927" i="3" a="1"/>
  <c r="N2927" i="3" s="1"/>
  <c r="N2907" i="3" a="1"/>
  <c r="N2907" i="3" s="1"/>
  <c r="N2887" i="3" a="1"/>
  <c r="N2887" i="3" s="1"/>
  <c r="N3962" i="3" a="1"/>
  <c r="N3962" i="3" s="1"/>
  <c r="N3905" i="3" a="1"/>
  <c r="N3905" i="3" s="1"/>
  <c r="N3864" i="3" a="1"/>
  <c r="N3864" i="3" s="1"/>
  <c r="N3818" i="3" a="1"/>
  <c r="N3818" i="3" s="1"/>
  <c r="N3773" i="3" a="1"/>
  <c r="N3773" i="3" s="1"/>
  <c r="N3733" i="3" a="1"/>
  <c r="N3733" i="3" s="1"/>
  <c r="N3695" i="3" a="1"/>
  <c r="N3695" i="3" s="1"/>
  <c r="N3657" i="3" a="1"/>
  <c r="N3657" i="3" s="1"/>
  <c r="N3617" i="3" a="1"/>
  <c r="N3617" i="3" s="1"/>
  <c r="N3578" i="3" a="1"/>
  <c r="N3578" i="3" s="1"/>
  <c r="N3538" i="3" a="1"/>
  <c r="N3538" i="3" s="1"/>
  <c r="N3506" i="3" a="1"/>
  <c r="N3506" i="3" s="1"/>
  <c r="N3483" i="3" a="1"/>
  <c r="N3483" i="3" s="1"/>
  <c r="N3456" i="3" a="1"/>
  <c r="N3456" i="3" s="1"/>
  <c r="N3410" i="3" a="1"/>
  <c r="N3410" i="3" s="1"/>
  <c r="N3384" i="3" a="1"/>
  <c r="N3384" i="3" s="1"/>
  <c r="N3359" i="3" a="1"/>
  <c r="N3359" i="3" s="1"/>
  <c r="N3336" i="3" a="1"/>
  <c r="N3336" i="3" s="1"/>
  <c r="N3309" i="3" a="1"/>
  <c r="N3309" i="3" s="1"/>
  <c r="N3282" i="3" a="1"/>
  <c r="N3282" i="3" s="1"/>
  <c r="N3261" i="3" a="1"/>
  <c r="N3261" i="3" s="1"/>
  <c r="N3235" i="3" a="1"/>
  <c r="N3235" i="3" s="1"/>
  <c r="N3209" i="3" a="1"/>
  <c r="N3209" i="3" s="1"/>
  <c r="N3189" i="3" a="1"/>
  <c r="N3189" i="3" s="1"/>
  <c r="N3169" i="3" a="1"/>
  <c r="N3169" i="3" s="1"/>
  <c r="N3148" i="3" a="1"/>
  <c r="N3148" i="3" s="1"/>
  <c r="N3129" i="3" a="1"/>
  <c r="N3129" i="3" s="1"/>
  <c r="N3108" i="3" a="1"/>
  <c r="N3108" i="3" s="1"/>
  <c r="N3088" i="3" a="1"/>
  <c r="N3088" i="3" s="1"/>
  <c r="N3066" i="3" a="1"/>
  <c r="N3066" i="3" s="1"/>
  <c r="N3047" i="3" a="1"/>
  <c r="N3047" i="3" s="1"/>
  <c r="N3027" i="3" a="1"/>
  <c r="N3027" i="3" s="1"/>
  <c r="N3005" i="3" a="1"/>
  <c r="N3005" i="3" s="1"/>
  <c r="N2986" i="3" a="1"/>
  <c r="N2986" i="3" s="1"/>
  <c r="N2965" i="3" a="1"/>
  <c r="N2965" i="3" s="1"/>
  <c r="N2944" i="3" a="1"/>
  <c r="N2944" i="3" s="1"/>
  <c r="N2926" i="3" a="1"/>
  <c r="N2926" i="3" s="1"/>
  <c r="N2906" i="3" a="1"/>
  <c r="N2906" i="3" s="1"/>
  <c r="N3956" i="3" a="1"/>
  <c r="N3956" i="3" s="1"/>
  <c r="N3904" i="3" a="1"/>
  <c r="N3904" i="3" s="1"/>
  <c r="N3858" i="3" a="1"/>
  <c r="N3858" i="3" s="1"/>
  <c r="N3817" i="3" a="1"/>
  <c r="N3817" i="3" s="1"/>
  <c r="N3770" i="3" a="1"/>
  <c r="N3770" i="3" s="1"/>
  <c r="N3730" i="3" a="1"/>
  <c r="N3730" i="3" s="1"/>
  <c r="N3691" i="3" a="1"/>
  <c r="N3691" i="3" s="1"/>
  <c r="N3652" i="3" a="1"/>
  <c r="N3652" i="3" s="1"/>
  <c r="N3613" i="3" a="1"/>
  <c r="N3613" i="3" s="1"/>
  <c r="N3573" i="3" a="1"/>
  <c r="N3573" i="3" s="1"/>
  <c r="N3534" i="3" a="1"/>
  <c r="N3534" i="3" s="1"/>
  <c r="N3505" i="3" a="1"/>
  <c r="N3505" i="3" s="1"/>
  <c r="N3479" i="3" a="1"/>
  <c r="N3479" i="3" s="1"/>
  <c r="N3455" i="3" a="1"/>
  <c r="N3455" i="3" s="1"/>
  <c r="N3433" i="3" a="1"/>
  <c r="N3433" i="3" s="1"/>
  <c r="N3408" i="3" a="1"/>
  <c r="N3408" i="3" s="1"/>
  <c r="N3334" i="3" a="1"/>
  <c r="N3334" i="3" s="1"/>
  <c r="N3307" i="3" a="1"/>
  <c r="N3307" i="3" s="1"/>
  <c r="N3281" i="3" a="1"/>
  <c r="N3281" i="3" s="1"/>
  <c r="N3259" i="3" a="1"/>
  <c r="N3259" i="3" s="1"/>
  <c r="N3234" i="3" a="1"/>
  <c r="N3234" i="3" s="1"/>
  <c r="N3208" i="3" a="1"/>
  <c r="N3208" i="3" s="1"/>
  <c r="N3188" i="3" a="1"/>
  <c r="N3188" i="3" s="1"/>
  <c r="N3168" i="3" a="1"/>
  <c r="N3168" i="3" s="1"/>
  <c r="N3128" i="3" a="1"/>
  <c r="N3128" i="3" s="1"/>
  <c r="N3107" i="3" a="1"/>
  <c r="N3107" i="3" s="1"/>
  <c r="N3085" i="3" a="1"/>
  <c r="N3085" i="3" s="1"/>
  <c r="N3065" i="3" a="1"/>
  <c r="N3065" i="3" s="1"/>
  <c r="N3955" i="3" a="1"/>
  <c r="N3955" i="3" s="1"/>
  <c r="N3903" i="3" a="1"/>
  <c r="N3903" i="3" s="1"/>
  <c r="N3857" i="3" a="1"/>
  <c r="N3857" i="3" s="1"/>
  <c r="N3811" i="3" a="1"/>
  <c r="N3811" i="3" s="1"/>
  <c r="N3769" i="3" a="1"/>
  <c r="N3769" i="3" s="1"/>
  <c r="N3729" i="3" a="1"/>
  <c r="N3729" i="3" s="1"/>
  <c r="N3690" i="3" a="1"/>
  <c r="N3690" i="3" s="1"/>
  <c r="N3651" i="3" a="1"/>
  <c r="N3651" i="3" s="1"/>
  <c r="N3612" i="3" a="1"/>
  <c r="N3612" i="3" s="1"/>
  <c r="N3572" i="3" a="1"/>
  <c r="N3572" i="3" s="1"/>
  <c r="N3533" i="3" a="1"/>
  <c r="N3533" i="3" s="1"/>
  <c r="N3504" i="3" a="1"/>
  <c r="N3504" i="3" s="1"/>
  <c r="N3476" i="3" a="1"/>
  <c r="N3476" i="3" s="1"/>
  <c r="N3454" i="3" a="1"/>
  <c r="N3454" i="3" s="1"/>
  <c r="N3432" i="3" a="1"/>
  <c r="N3432" i="3" s="1"/>
  <c r="N3404" i="3" a="1"/>
  <c r="N3404" i="3" s="1"/>
  <c r="N3383" i="3" a="1"/>
  <c r="N3383" i="3" s="1"/>
  <c r="N3358" i="3" a="1"/>
  <c r="N3358" i="3" s="1"/>
  <c r="N3329" i="3" a="1"/>
  <c r="N3329" i="3" s="1"/>
  <c r="N3306" i="3" a="1"/>
  <c r="N3306" i="3" s="1"/>
  <c r="N3280" i="3" a="1"/>
  <c r="N3280" i="3" s="1"/>
  <c r="N3255" i="3" a="1"/>
  <c r="N3255" i="3" s="1"/>
  <c r="N3232" i="3" a="1"/>
  <c r="N3232" i="3" s="1"/>
  <c r="N3207" i="3" a="1"/>
  <c r="N3207" i="3" s="1"/>
  <c r="N3186" i="3" a="1"/>
  <c r="N3186" i="3" s="1"/>
  <c r="N3166" i="3" a="1"/>
  <c r="N3166" i="3" s="1"/>
  <c r="N3147" i="3" a="1"/>
  <c r="N3147" i="3" s="1"/>
  <c r="N3127" i="3" a="1"/>
  <c r="N3127" i="3" s="1"/>
  <c r="N3106" i="3" a="1"/>
  <c r="N3106" i="3" s="1"/>
  <c r="N3084" i="3" a="1"/>
  <c r="N3084" i="3" s="1"/>
  <c r="N3064" i="3" a="1"/>
  <c r="N3064" i="3" s="1"/>
  <c r="N3045" i="3" a="1"/>
  <c r="N3045" i="3" s="1"/>
  <c r="N3023" i="3" a="1"/>
  <c r="N3023" i="3" s="1"/>
  <c r="N3003" i="3" a="1"/>
  <c r="N3003" i="3" s="1"/>
  <c r="N2983" i="3" a="1"/>
  <c r="N2983" i="3" s="1"/>
  <c r="N2963" i="3" a="1"/>
  <c r="N2963" i="3" s="1"/>
  <c r="N2942" i="3" a="1"/>
  <c r="N2942" i="3" s="1"/>
  <c r="N2924" i="3" a="1"/>
  <c r="N2924" i="3" s="1"/>
  <c r="N3954" i="3" a="1"/>
  <c r="N3954" i="3" s="1"/>
  <c r="N3898" i="3" a="1"/>
  <c r="N3898" i="3" s="1"/>
  <c r="N3856" i="3" a="1"/>
  <c r="N3856" i="3" s="1"/>
  <c r="N3807" i="3" a="1"/>
  <c r="N3807" i="3" s="1"/>
  <c r="N3768" i="3" a="1"/>
  <c r="N3768" i="3" s="1"/>
  <c r="N3728" i="3" a="1"/>
  <c r="N3728" i="3" s="1"/>
  <c r="N3689" i="3" a="1"/>
  <c r="N3689" i="3" s="1"/>
  <c r="N3650" i="3" a="1"/>
  <c r="N3650" i="3" s="1"/>
  <c r="N3611" i="3" a="1"/>
  <c r="N3611" i="3" s="1"/>
  <c r="N3571" i="3" a="1"/>
  <c r="N3571" i="3" s="1"/>
  <c r="N3532" i="3" a="1"/>
  <c r="N3532" i="3" s="1"/>
  <c r="N3502" i="3" a="1"/>
  <c r="N3502" i="3" s="1"/>
  <c r="N3475" i="3" a="1"/>
  <c r="N3475" i="3" s="1"/>
  <c r="N3453" i="3" a="1"/>
  <c r="N3453" i="3" s="1"/>
  <c r="N3431" i="3" a="1"/>
  <c r="N3431" i="3" s="1"/>
  <c r="N3403" i="3" a="1"/>
  <c r="N3403" i="3" s="1"/>
  <c r="N3382" i="3" a="1"/>
  <c r="N3382" i="3" s="1"/>
  <c r="N3357" i="3" a="1"/>
  <c r="N3357" i="3" s="1"/>
  <c r="N3328" i="3" a="1"/>
  <c r="N3328" i="3" s="1"/>
  <c r="N3305" i="3" a="1"/>
  <c r="N3305" i="3" s="1"/>
  <c r="N3254" i="3" a="1"/>
  <c r="N3254" i="3" s="1"/>
  <c r="N3231" i="3" a="1"/>
  <c r="N3231" i="3" s="1"/>
  <c r="N3206" i="3" a="1"/>
  <c r="N3206" i="3" s="1"/>
  <c r="N3185" i="3" a="1"/>
  <c r="N3185" i="3" s="1"/>
  <c r="N3165" i="3" a="1"/>
  <c r="N3165" i="3" s="1"/>
  <c r="N3146" i="3" a="1"/>
  <c r="N3146" i="3" s="1"/>
  <c r="N3125" i="3" a="1"/>
  <c r="N3125" i="3" s="1"/>
  <c r="N3104" i="3" a="1"/>
  <c r="N3104" i="3" s="1"/>
  <c r="N3083" i="3" a="1"/>
  <c r="N3083" i="3" s="1"/>
  <c r="N3044" i="3" a="1"/>
  <c r="N3044" i="3" s="1"/>
  <c r="N3022" i="3" a="1"/>
  <c r="N3022" i="3" s="1"/>
  <c r="N3002" i="3" a="1"/>
  <c r="N3002" i="3" s="1"/>
  <c r="N2982" i="3" a="1"/>
  <c r="N2982" i="3" s="1"/>
  <c r="N2960" i="3" a="1"/>
  <c r="N2960" i="3" s="1"/>
  <c r="N2941" i="3" a="1"/>
  <c r="N2941" i="3" s="1"/>
  <c r="N2923" i="3" a="1"/>
  <c r="N2923" i="3" s="1"/>
  <c r="N3945" i="3" a="1"/>
  <c r="N3945" i="3" s="1"/>
  <c r="N3897" i="3" a="1"/>
  <c r="N3897" i="3" s="1"/>
  <c r="N3851" i="3" a="1"/>
  <c r="N3851" i="3" s="1"/>
  <c r="N3806" i="3" a="1"/>
  <c r="N3806" i="3" s="1"/>
  <c r="N3765" i="3" a="1"/>
  <c r="N3765" i="3" s="1"/>
  <c r="N3727" i="3" a="1"/>
  <c r="N3727" i="3" s="1"/>
  <c r="N3688" i="3" a="1"/>
  <c r="N3688" i="3" s="1"/>
  <c r="N3649" i="3" a="1"/>
  <c r="N3649" i="3" s="1"/>
  <c r="N3610" i="3" a="1"/>
  <c r="N3610" i="3" s="1"/>
  <c r="N3570" i="3" a="1"/>
  <c r="N3570" i="3" s="1"/>
  <c r="N3531" i="3" a="1"/>
  <c r="N3531" i="3" s="1"/>
  <c r="N3501" i="3" a="1"/>
  <c r="N3501" i="3" s="1"/>
  <c r="N3474" i="3" a="1"/>
  <c r="N3474" i="3" s="1"/>
  <c r="N3429" i="3" a="1"/>
  <c r="N3429" i="3" s="1"/>
  <c r="N3402" i="3" a="1"/>
  <c r="N3402" i="3" s="1"/>
  <c r="N3380" i="3" a="1"/>
  <c r="N3380" i="3" s="1"/>
  <c r="N3356" i="3" a="1"/>
  <c r="N3356" i="3" s="1"/>
  <c r="N3327" i="3" a="1"/>
  <c r="N3327" i="3" s="1"/>
  <c r="N3303" i="3" a="1"/>
  <c r="N3303" i="3" s="1"/>
  <c r="N3279" i="3" a="1"/>
  <c r="N3279" i="3" s="1"/>
  <c r="N3253" i="3" a="1"/>
  <c r="N3253" i="3" s="1"/>
  <c r="N3229" i="3" a="1"/>
  <c r="N3229" i="3" s="1"/>
  <c r="N3205" i="3" a="1"/>
  <c r="N3205" i="3" s="1"/>
  <c r="N3183" i="3" a="1"/>
  <c r="N3183" i="3" s="1"/>
  <c r="N3163" i="3" a="1"/>
  <c r="N3163" i="3" s="1"/>
  <c r="N3145" i="3" a="1"/>
  <c r="N3145" i="3" s="1"/>
  <c r="N3124" i="3" a="1"/>
  <c r="N3124" i="3" s="1"/>
  <c r="N3103" i="3" a="1"/>
  <c r="N3103" i="3" s="1"/>
  <c r="N3082" i="3" a="1"/>
  <c r="N3082" i="3" s="1"/>
  <c r="N3062" i="3" a="1"/>
  <c r="N3062" i="3" s="1"/>
  <c r="N3042" i="3" a="1"/>
  <c r="N3042" i="3" s="1"/>
  <c r="N3021" i="3" a="1"/>
  <c r="N3021" i="3" s="1"/>
  <c r="N3001" i="3" a="1"/>
  <c r="N3001" i="3" s="1"/>
  <c r="N2981" i="3" a="1"/>
  <c r="N2981" i="3" s="1"/>
  <c r="N2959" i="3" a="1"/>
  <c r="N2959" i="3" s="1"/>
  <c r="N2940" i="3" a="1"/>
  <c r="N2940" i="3" s="1"/>
  <c r="N2922" i="3" a="1"/>
  <c r="N2922" i="3" s="1"/>
  <c r="N3944" i="3" a="1"/>
  <c r="N3944" i="3" s="1"/>
  <c r="N3896" i="3" a="1"/>
  <c r="N3896" i="3" s="1"/>
  <c r="N3847" i="3" a="1"/>
  <c r="N3847" i="3" s="1"/>
  <c r="N3804" i="3" a="1"/>
  <c r="N3804" i="3" s="1"/>
  <c r="N3761" i="3" a="1"/>
  <c r="N3761" i="3" s="1"/>
  <c r="N3722" i="3" a="1"/>
  <c r="N3722" i="3" s="1"/>
  <c r="N3682" i="3" a="1"/>
  <c r="N3682" i="3" s="1"/>
  <c r="N3644" i="3" a="1"/>
  <c r="N3644" i="3" s="1"/>
  <c r="N3604" i="3" a="1"/>
  <c r="N3604" i="3" s="1"/>
  <c r="N3565" i="3" a="1"/>
  <c r="N3565" i="3" s="1"/>
  <c r="N3525" i="3" a="1"/>
  <c r="N3525" i="3" s="1"/>
  <c r="N3499" i="3" a="1"/>
  <c r="N3499" i="3" s="1"/>
  <c r="N3473" i="3" a="1"/>
  <c r="N3473" i="3" s="1"/>
  <c r="N3449" i="3" a="1"/>
  <c r="N3449" i="3" s="1"/>
  <c r="N3427" i="3" a="1"/>
  <c r="N3427" i="3" s="1"/>
  <c r="N3401" i="3" a="1"/>
  <c r="N3401" i="3" s="1"/>
  <c r="N3377" i="3" a="1"/>
  <c r="N3377" i="3" s="1"/>
  <c r="N3943" i="3" a="1"/>
  <c r="N3943" i="3" s="1"/>
  <c r="N3890" i="3" a="1"/>
  <c r="N3890" i="3" s="1"/>
  <c r="N3844" i="3" a="1"/>
  <c r="N3844" i="3" s="1"/>
  <c r="N3760" i="3" a="1"/>
  <c r="N3760" i="3" s="1"/>
  <c r="N3721" i="3" a="1"/>
  <c r="N3721" i="3" s="1"/>
  <c r="N3681" i="3" a="1"/>
  <c r="N3681" i="3" s="1"/>
  <c r="N3643" i="3" a="1"/>
  <c r="N3643" i="3" s="1"/>
  <c r="N3603" i="3" a="1"/>
  <c r="N3603" i="3" s="1"/>
  <c r="N3564" i="3" a="1"/>
  <c r="N3564" i="3" s="1"/>
  <c r="N3524" i="3" a="1"/>
  <c r="N3524" i="3" s="1"/>
  <c r="N3494" i="3" a="1"/>
  <c r="N3494" i="3" s="1"/>
  <c r="N3471" i="3" a="1"/>
  <c r="N3471" i="3" s="1"/>
  <c r="N3448" i="3" a="1"/>
  <c r="N3448" i="3" s="1"/>
  <c r="N3424" i="3" a="1"/>
  <c r="N3424" i="3" s="1"/>
  <c r="N3400" i="3" a="1"/>
  <c r="N3400" i="3" s="1"/>
  <c r="N3376" i="3" a="1"/>
  <c r="N3376" i="3" s="1"/>
  <c r="N3350" i="3" a="1"/>
  <c r="N3350" i="3" s="1"/>
  <c r="N3325" i="3" a="1"/>
  <c r="N3325" i="3" s="1"/>
  <c r="N3299" i="3" a="1"/>
  <c r="N3299" i="3" s="1"/>
  <c r="N3273" i="3" a="1"/>
  <c r="N3273" i="3" s="1"/>
  <c r="N3251" i="3" a="1"/>
  <c r="N3251" i="3" s="1"/>
  <c r="N3227" i="3" a="1"/>
  <c r="N3227" i="3" s="1"/>
  <c r="N3200" i="3" a="1"/>
  <c r="N3200" i="3" s="1"/>
  <c r="N3181" i="3" a="1"/>
  <c r="N3181" i="3" s="1"/>
  <c r="N3161" i="3" a="1"/>
  <c r="N3161" i="3" s="1"/>
  <c r="N3143" i="3" a="1"/>
  <c r="N3143" i="3" s="1"/>
  <c r="N3121" i="3" a="1"/>
  <c r="N3121" i="3" s="1"/>
  <c r="N3100" i="3" a="1"/>
  <c r="N3100" i="3" s="1"/>
  <c r="N3080" i="3" a="1"/>
  <c r="N3080" i="3" s="1"/>
  <c r="N3059" i="3" a="1"/>
  <c r="N3059" i="3" s="1"/>
  <c r="N3039" i="3" a="1"/>
  <c r="N3039" i="3" s="1"/>
  <c r="N3019" i="3" a="1"/>
  <c r="N3019" i="3" s="1"/>
  <c r="N2998" i="3" a="1"/>
  <c r="N2998" i="3" s="1"/>
  <c r="N2978" i="3" a="1"/>
  <c r="N2978" i="3" s="1"/>
  <c r="N2957" i="3" a="1"/>
  <c r="N2957" i="3" s="1"/>
  <c r="N2937" i="3" a="1"/>
  <c r="N2937" i="3" s="1"/>
  <c r="N2919" i="3" a="1"/>
  <c r="N2919" i="3" s="1"/>
  <c r="N2898" i="3" a="1"/>
  <c r="N2898" i="3" s="1"/>
  <c r="N2878" i="3" a="1"/>
  <c r="N2878" i="3" s="1"/>
  <c r="N2859" i="3" a="1"/>
  <c r="N2859" i="3" s="1"/>
  <c r="N2837" i="3" a="1"/>
  <c r="N2837" i="3" s="1"/>
  <c r="N2817" i="3" a="1"/>
  <c r="N2817" i="3" s="1"/>
  <c r="N2796" i="3" a="1"/>
  <c r="N2796" i="3" s="1"/>
  <c r="N2774" i="3" a="1"/>
  <c r="N2774" i="3" s="1"/>
  <c r="N2757" i="3" a="1"/>
  <c r="N2757" i="3" s="1"/>
  <c r="N2739" i="3" a="1"/>
  <c r="N2739" i="3" s="1"/>
  <c r="N2721" i="3" a="1"/>
  <c r="N2721" i="3" s="1"/>
  <c r="N2702" i="3" a="1"/>
  <c r="N2702" i="3" s="1"/>
  <c r="N2684" i="3" a="1"/>
  <c r="N2684" i="3" s="1"/>
  <c r="N2666" i="3" a="1"/>
  <c r="N2666" i="3" s="1"/>
  <c r="N2648" i="3" a="1"/>
  <c r="N2648" i="3" s="1"/>
  <c r="N2632" i="3" a="1"/>
  <c r="N2632" i="3" s="1"/>
  <c r="N2614" i="3" a="1"/>
  <c r="N2614" i="3" s="1"/>
  <c r="N2579" i="3" a="1"/>
  <c r="N2579" i="3" s="1"/>
  <c r="N2563" i="3" a="1"/>
  <c r="N2563" i="3" s="1"/>
  <c r="N2545" i="3" a="1"/>
  <c r="N2545" i="3" s="1"/>
  <c r="N2529" i="3" a="1"/>
  <c r="N2529" i="3" s="1"/>
  <c r="N2514" i="3" a="1"/>
  <c r="N2514" i="3" s="1"/>
  <c r="N2498" i="3" a="1"/>
  <c r="N2498" i="3" s="1"/>
  <c r="N2483" i="3" a="1"/>
  <c r="N2483" i="3" s="1"/>
  <c r="N2468" i="3" a="1"/>
  <c r="N2468" i="3" s="1"/>
  <c r="N2452" i="3" a="1"/>
  <c r="N2452" i="3" s="1"/>
  <c r="N2437" i="3" a="1"/>
  <c r="N2437" i="3" s="1"/>
  <c r="N2423" i="3" a="1"/>
  <c r="N2423" i="3" s="1"/>
  <c r="N2407" i="3" a="1"/>
  <c r="N2407" i="3" s="1"/>
  <c r="N2391" i="3" a="1"/>
  <c r="N2391" i="3" s="1"/>
  <c r="N2375" i="3" a="1"/>
  <c r="N2375" i="3" s="1"/>
  <c r="N2359" i="3" a="1"/>
  <c r="N2359" i="3" s="1"/>
  <c r="N2343" i="3" a="1"/>
  <c r="N2343" i="3" s="1"/>
  <c r="N2327" i="3" a="1"/>
  <c r="N2327" i="3" s="1"/>
  <c r="N2311" i="3" a="1"/>
  <c r="N2311" i="3" s="1"/>
  <c r="N2295" i="3" a="1"/>
  <c r="N2295" i="3" s="1"/>
  <c r="N2279" i="3" a="1"/>
  <c r="N2279" i="3" s="1"/>
  <c r="N2263" i="3" a="1"/>
  <c r="N2263" i="3" s="1"/>
  <c r="N2248" i="3" a="1"/>
  <c r="N2248" i="3" s="1"/>
  <c r="N2233" i="3" a="1"/>
  <c r="N2233" i="3" s="1"/>
  <c r="N2217" i="3" a="1"/>
  <c r="N2217" i="3" s="1"/>
  <c r="N2201" i="3" a="1"/>
  <c r="N2201" i="3" s="1"/>
  <c r="N2185" i="3" a="1"/>
  <c r="N2185" i="3" s="1"/>
  <c r="N2169" i="3" a="1"/>
  <c r="N2169" i="3" s="1"/>
  <c r="N2153" i="3" a="1"/>
  <c r="N2153" i="3" s="1"/>
  <c r="N2137" i="3" a="1"/>
  <c r="N2137" i="3" s="1"/>
  <c r="N2122" i="3" a="1"/>
  <c r="N2122" i="3" s="1"/>
  <c r="N3937" i="3" a="1"/>
  <c r="N3937" i="3" s="1"/>
  <c r="N3886" i="3" a="1"/>
  <c r="N3886" i="3" s="1"/>
  <c r="N3843" i="3" a="1"/>
  <c r="N3843" i="3" s="1"/>
  <c r="N3800" i="3" a="1"/>
  <c r="N3800" i="3" s="1"/>
  <c r="N3759" i="3" a="1"/>
  <c r="N3759" i="3" s="1"/>
  <c r="N3720" i="3" a="1"/>
  <c r="N3720" i="3" s="1"/>
  <c r="N3680" i="3" a="1"/>
  <c r="N3680" i="3" s="1"/>
  <c r="N3642" i="3" a="1"/>
  <c r="N3642" i="3" s="1"/>
  <c r="N3602" i="3" a="1"/>
  <c r="N3602" i="3" s="1"/>
  <c r="N3563" i="3" a="1"/>
  <c r="N3563" i="3" s="1"/>
  <c r="N3523" i="3" a="1"/>
  <c r="N3523" i="3" s="1"/>
  <c r="N3493" i="3" a="1"/>
  <c r="N3493" i="3" s="1"/>
  <c r="N3470" i="3" a="1"/>
  <c r="N3470" i="3" s="1"/>
  <c r="N3447" i="3" a="1"/>
  <c r="N3447" i="3" s="1"/>
  <c r="N3421" i="3" a="1"/>
  <c r="N3421" i="3" s="1"/>
  <c r="N3398" i="3" a="1"/>
  <c r="N3398" i="3" s="1"/>
  <c r="N3375" i="3" a="1"/>
  <c r="N3375" i="3" s="1"/>
  <c r="N3349" i="3" a="1"/>
  <c r="N3349" i="3" s="1"/>
  <c r="N3324" i="3" a="1"/>
  <c r="N3324" i="3" s="1"/>
  <c r="N3298" i="3" a="1"/>
  <c r="N3298" i="3" s="1"/>
  <c r="N3272" i="3" a="1"/>
  <c r="N3272" i="3" s="1"/>
  <c r="N3250" i="3" a="1"/>
  <c r="N3250" i="3" s="1"/>
  <c r="N3224" i="3" a="1"/>
  <c r="N3224" i="3" s="1"/>
  <c r="N3199" i="3" a="1"/>
  <c r="N3199" i="3" s="1"/>
  <c r="N3180" i="3" a="1"/>
  <c r="N3180" i="3" s="1"/>
  <c r="N3160" i="3" a="1"/>
  <c r="N3160" i="3" s="1"/>
  <c r="N3140" i="3" a="1"/>
  <c r="N3140" i="3" s="1"/>
  <c r="N3120" i="3" a="1"/>
  <c r="N3120" i="3" s="1"/>
  <c r="N3099" i="3" a="1"/>
  <c r="N3099" i="3" s="1"/>
  <c r="N3079" i="3" a="1"/>
  <c r="N3079" i="3" s="1"/>
  <c r="N3058" i="3" a="1"/>
  <c r="N3058" i="3" s="1"/>
  <c r="N3038" i="3" a="1"/>
  <c r="N3038" i="3" s="1"/>
  <c r="N3018" i="3" a="1"/>
  <c r="N3018" i="3" s="1"/>
  <c r="N2996" i="3" a="1"/>
  <c r="N2996" i="3" s="1"/>
  <c r="N2976" i="3" a="1"/>
  <c r="N2976" i="3" s="1"/>
  <c r="N2956" i="3" a="1"/>
  <c r="N2956" i="3" s="1"/>
  <c r="N2936" i="3" a="1"/>
  <c r="N2936" i="3" s="1"/>
  <c r="N2918" i="3" a="1"/>
  <c r="N2918" i="3" s="1"/>
  <c r="N3936" i="3" a="1"/>
  <c r="N3936" i="3" s="1"/>
  <c r="N3884" i="3" a="1"/>
  <c r="N3884" i="3" s="1"/>
  <c r="N3839" i="3" a="1"/>
  <c r="N3839" i="3" s="1"/>
  <c r="N3797" i="3" a="1"/>
  <c r="N3797" i="3" s="1"/>
  <c r="N3754" i="3" a="1"/>
  <c r="N3754" i="3" s="1"/>
  <c r="N3714" i="3" a="1"/>
  <c r="N3714" i="3" s="1"/>
  <c r="N3675" i="3" a="1"/>
  <c r="N3675" i="3" s="1"/>
  <c r="N3636" i="3" a="1"/>
  <c r="N3636" i="3" s="1"/>
  <c r="N3597" i="3" a="1"/>
  <c r="N3597" i="3" s="1"/>
  <c r="N3557" i="3" a="1"/>
  <c r="N3557" i="3" s="1"/>
  <c r="N3522" i="3" a="1"/>
  <c r="N3522" i="3" s="1"/>
  <c r="N3492" i="3" a="1"/>
  <c r="N3492" i="3" s="1"/>
  <c r="N3468" i="3" a="1"/>
  <c r="N3468" i="3" s="1"/>
  <c r="N3446" i="3" a="1"/>
  <c r="N3446" i="3" s="1"/>
  <c r="N3420" i="3" a="1"/>
  <c r="N3420" i="3" s="1"/>
  <c r="N3397" i="3" a="1"/>
  <c r="N3397" i="3" s="1"/>
  <c r="N3374" i="3" a="1"/>
  <c r="N3374" i="3" s="1"/>
  <c r="N3346" i="3" a="1"/>
  <c r="N3346" i="3" s="1"/>
  <c r="N3321" i="3" a="1"/>
  <c r="N3321" i="3" s="1"/>
  <c r="N3297" i="3" a="1"/>
  <c r="N3297" i="3" s="1"/>
  <c r="N3271" i="3" a="1"/>
  <c r="N3271" i="3" s="1"/>
  <c r="N3247" i="3" a="1"/>
  <c r="N3247" i="3" s="1"/>
  <c r="N3198" i="3" a="1"/>
  <c r="N3198" i="3" s="1"/>
  <c r="N3178" i="3" a="1"/>
  <c r="N3178" i="3" s="1"/>
  <c r="N3159" i="3" a="1"/>
  <c r="N3159" i="3" s="1"/>
  <c r="N3139" i="3" a="1"/>
  <c r="N3139" i="3" s="1"/>
  <c r="N3119" i="3" a="1"/>
  <c r="N3119" i="3" s="1"/>
  <c r="N3098" i="3" a="1"/>
  <c r="N3098" i="3" s="1"/>
  <c r="N3076" i="3" a="1"/>
  <c r="N3076" i="3" s="1"/>
  <c r="N3057" i="3" a="1"/>
  <c r="N3057" i="3" s="1"/>
  <c r="N3037" i="3" a="1"/>
  <c r="N3037" i="3" s="1"/>
  <c r="N3017" i="3" a="1"/>
  <c r="N3017" i="3" s="1"/>
  <c r="N2995" i="3" a="1"/>
  <c r="N2995" i="3" s="1"/>
  <c r="N2975" i="3" a="1"/>
  <c r="N2975" i="3" s="1"/>
  <c r="N2955" i="3" a="1"/>
  <c r="N2955" i="3" s="1"/>
  <c r="N2934" i="3" a="1"/>
  <c r="N2934" i="3" s="1"/>
  <c r="N2916" i="3" a="1"/>
  <c r="N2916" i="3" s="1"/>
  <c r="N2896" i="3" a="1"/>
  <c r="N2896" i="3" s="1"/>
  <c r="N3935" i="3" a="1"/>
  <c r="N3935" i="3" s="1"/>
  <c r="N3883" i="3" a="1"/>
  <c r="N3883" i="3" s="1"/>
  <c r="N3838" i="3" a="1"/>
  <c r="N3838" i="3" s="1"/>
  <c r="N3793" i="3" a="1"/>
  <c r="N3793" i="3" s="1"/>
  <c r="N3749" i="3" a="1"/>
  <c r="N3749" i="3" s="1"/>
  <c r="N3711" i="3" a="1"/>
  <c r="N3711" i="3" s="1"/>
  <c r="N3672" i="3" a="1"/>
  <c r="N3672" i="3" s="1"/>
  <c r="N3633" i="3" a="1"/>
  <c r="N3633" i="3" s="1"/>
  <c r="N3594" i="3" a="1"/>
  <c r="N3594" i="3" s="1"/>
  <c r="N3554" i="3" a="1"/>
  <c r="N3554" i="3" s="1"/>
  <c r="N3518" i="3" a="1"/>
  <c r="N3518" i="3" s="1"/>
  <c r="N3491" i="3" a="1"/>
  <c r="N3491" i="3" s="1"/>
  <c r="N3467" i="3" a="1"/>
  <c r="N3467" i="3" s="1"/>
  <c r="N3444" i="3" a="1"/>
  <c r="N3444" i="3" s="1"/>
  <c r="N3419" i="3" a="1"/>
  <c r="N3419" i="3" s="1"/>
  <c r="N3396" i="3" a="1"/>
  <c r="N3396" i="3" s="1"/>
  <c r="N3372" i="3" a="1"/>
  <c r="N3372" i="3" s="1"/>
  <c r="N3345" i="3" a="1"/>
  <c r="N3345" i="3" s="1"/>
  <c r="N3320" i="3" a="1"/>
  <c r="N3320" i="3" s="1"/>
  <c r="N3295" i="3" a="1"/>
  <c r="N3295" i="3" s="1"/>
  <c r="N3269" i="3" a="1"/>
  <c r="N3269" i="3" s="1"/>
  <c r="N3246" i="3" a="1"/>
  <c r="N3246" i="3" s="1"/>
  <c r="N3222" i="3" a="1"/>
  <c r="N3222" i="3" s="1"/>
  <c r="N3197" i="3" a="1"/>
  <c r="N3197" i="3" s="1"/>
  <c r="N3157" i="3" a="1"/>
  <c r="N3157" i="3" s="1"/>
  <c r="N3138" i="3" a="1"/>
  <c r="N3138" i="3" s="1"/>
  <c r="N3117" i="3" a="1"/>
  <c r="N3117" i="3" s="1"/>
  <c r="N3097" i="3" a="1"/>
  <c r="N3097" i="3" s="1"/>
  <c r="N3075" i="3" a="1"/>
  <c r="N3075" i="3" s="1"/>
  <c r="N3056" i="3" a="1"/>
  <c r="N3056" i="3" s="1"/>
  <c r="N3036" i="3" a="1"/>
  <c r="N3036" i="3" s="1"/>
  <c r="N3014" i="3" a="1"/>
  <c r="N3014" i="3" s="1"/>
  <c r="N2994" i="3" a="1"/>
  <c r="N2994" i="3" s="1"/>
  <c r="N2974" i="3" a="1"/>
  <c r="N2974" i="3" s="1"/>
  <c r="N2954" i="3" a="1"/>
  <c r="N2954" i="3" s="1"/>
  <c r="N2933" i="3" a="1"/>
  <c r="N2933" i="3" s="1"/>
  <c r="N2915" i="3" a="1"/>
  <c r="N2915" i="3" s="1"/>
  <c r="N2895" i="3" a="1"/>
  <c r="N2895" i="3" s="1"/>
  <c r="N3924" i="3" a="1"/>
  <c r="N3924" i="3" s="1"/>
  <c r="N3879" i="3" a="1"/>
  <c r="N3879" i="3" s="1"/>
  <c r="N3836" i="3" a="1"/>
  <c r="N3836" i="3" s="1"/>
  <c r="N3788" i="3" a="1"/>
  <c r="N3788" i="3" s="1"/>
  <c r="N3748" i="3" a="1"/>
  <c r="N3748" i="3" s="1"/>
  <c r="N3709" i="3" a="1"/>
  <c r="N3709" i="3" s="1"/>
  <c r="N3669" i="3" a="1"/>
  <c r="N3669" i="3" s="1"/>
  <c r="N3632" i="3" a="1"/>
  <c r="N3632" i="3" s="1"/>
  <c r="N3593" i="3" a="1"/>
  <c r="N3593" i="3" s="1"/>
  <c r="N3553" i="3" a="1"/>
  <c r="N3553" i="3" s="1"/>
  <c r="N3515" i="3" a="1"/>
  <c r="N3515" i="3" s="1"/>
  <c r="N3490" i="3" a="1"/>
  <c r="N3490" i="3" s="1"/>
  <c r="N3466" i="3" a="1"/>
  <c r="N3466" i="3" s="1"/>
  <c r="N3441" i="3" a="1"/>
  <c r="N3441" i="3" s="1"/>
  <c r="N3418" i="3" a="1"/>
  <c r="N3418" i="3" s="1"/>
  <c r="N3395" i="3" a="1"/>
  <c r="N3395" i="3" s="1"/>
  <c r="N3368" i="3" a="1"/>
  <c r="N3368" i="3" s="1"/>
  <c r="N3344" i="3" a="1"/>
  <c r="N3344" i="3" s="1"/>
  <c r="N3319" i="3" a="1"/>
  <c r="N3319" i="3" s="1"/>
  <c r="N3291" i="3" a="1"/>
  <c r="N3291" i="3" s="1"/>
  <c r="N3268" i="3" a="1"/>
  <c r="N3268" i="3" s="1"/>
  <c r="N3245" i="3" a="1"/>
  <c r="N3245" i="3" s="1"/>
  <c r="N3219" i="3" a="1"/>
  <c r="N3219" i="3" s="1"/>
  <c r="N3196" i="3" a="1"/>
  <c r="N3196" i="3" s="1"/>
  <c r="N3177" i="3" a="1"/>
  <c r="N3177" i="3" s="1"/>
  <c r="N3155" i="3" a="1"/>
  <c r="N3155" i="3" s="1"/>
  <c r="N3137" i="3" a="1"/>
  <c r="N3137" i="3" s="1"/>
  <c r="N3116" i="3" a="1"/>
  <c r="N3116" i="3" s="1"/>
  <c r="N3095" i="3" a="1"/>
  <c r="N3095" i="3" s="1"/>
  <c r="N3074" i="3" a="1"/>
  <c r="N3074" i="3" s="1"/>
  <c r="N3054" i="3" a="1"/>
  <c r="N3054" i="3" s="1"/>
  <c r="N3035" i="3" a="1"/>
  <c r="N3035" i="3" s="1"/>
  <c r="N3013" i="3" a="1"/>
  <c r="N3013" i="3" s="1"/>
  <c r="N2993" i="3" a="1"/>
  <c r="N2993" i="3" s="1"/>
  <c r="N2973" i="3" a="1"/>
  <c r="N2973" i="3" s="1"/>
  <c r="N2951" i="3" a="1"/>
  <c r="N2951" i="3" s="1"/>
  <c r="N2932" i="3" a="1"/>
  <c r="N2932" i="3" s="1"/>
  <c r="N3923" i="3" a="1"/>
  <c r="N3923" i="3" s="1"/>
  <c r="N3876" i="3" a="1"/>
  <c r="N3876" i="3" s="1"/>
  <c r="N3832" i="3" a="1"/>
  <c r="N3832" i="3" s="1"/>
  <c r="N3787" i="3" a="1"/>
  <c r="N3787" i="3" s="1"/>
  <c r="N3747" i="3" a="1"/>
  <c r="N3747" i="3" s="1"/>
  <c r="N3708" i="3" a="1"/>
  <c r="N3708" i="3" s="1"/>
  <c r="N3668" i="3" a="1"/>
  <c r="N3668" i="3" s="1"/>
  <c r="N3630" i="3" a="1"/>
  <c r="N3630" i="3" s="1"/>
  <c r="N3590" i="3" a="1"/>
  <c r="N3590" i="3" s="1"/>
  <c r="N3552" i="3" a="1"/>
  <c r="N3552" i="3" s="1"/>
  <c r="N3514" i="3" a="1"/>
  <c r="N3514" i="3" s="1"/>
  <c r="N3489" i="3" a="1"/>
  <c r="N3489" i="3" s="1"/>
  <c r="N3463" i="3" a="1"/>
  <c r="N3463" i="3" s="1"/>
  <c r="N3440" i="3" a="1"/>
  <c r="N3440" i="3" s="1"/>
  <c r="N3417" i="3" a="1"/>
  <c r="N3417" i="3" s="1"/>
  <c r="N3394" i="3" a="1"/>
  <c r="N3394" i="3" s="1"/>
  <c r="N3367" i="3" a="1"/>
  <c r="N3367" i="3" s="1"/>
  <c r="N3343" i="3" a="1"/>
  <c r="N3343" i="3" s="1"/>
  <c r="N3318" i="3" a="1"/>
  <c r="N3318" i="3" s="1"/>
  <c r="N3290" i="3" a="1"/>
  <c r="N3290" i="3" s="1"/>
  <c r="N3267" i="3" a="1"/>
  <c r="N3267" i="3" s="1"/>
  <c r="N3244" i="3" a="1"/>
  <c r="N3244" i="3" s="1"/>
  <c r="N3217" i="3" a="1"/>
  <c r="N3217" i="3" s="1"/>
  <c r="N3195" i="3" a="1"/>
  <c r="N3195" i="3" s="1"/>
  <c r="N3175" i="3" a="1"/>
  <c r="N3175" i="3" s="1"/>
  <c r="N3154" i="3" a="1"/>
  <c r="N3154" i="3" s="1"/>
  <c r="N3136" i="3" a="1"/>
  <c r="N3136" i="3" s="1"/>
  <c r="N3115" i="3" a="1"/>
  <c r="N3115" i="3" s="1"/>
  <c r="N3093" i="3" a="1"/>
  <c r="N3093" i="3" s="1"/>
  <c r="N3073" i="3" a="1"/>
  <c r="N3073" i="3" s="1"/>
  <c r="N3053" i="3" a="1"/>
  <c r="N3053" i="3" s="1"/>
  <c r="N3033" i="3" a="1"/>
  <c r="N3033" i="3" s="1"/>
  <c r="N3012" i="3" a="1"/>
  <c r="N3012" i="3" s="1"/>
  <c r="N2991" i="3" a="1"/>
  <c r="N2991" i="3" s="1"/>
  <c r="N2972" i="3" a="1"/>
  <c r="N2972" i="3" s="1"/>
  <c r="N2950" i="3" a="1"/>
  <c r="N2950" i="3" s="1"/>
  <c r="N2931" i="3" a="1"/>
  <c r="N2931" i="3" s="1"/>
  <c r="N2913" i="3" a="1"/>
  <c r="N2913" i="3" s="1"/>
  <c r="N2891" i="3" a="1"/>
  <c r="N2891" i="3" s="1"/>
  <c r="N2872" i="3" a="1"/>
  <c r="N2872" i="3" s="1"/>
  <c r="N2852" i="3" a="1"/>
  <c r="N2852" i="3" s="1"/>
  <c r="N2832" i="3" a="1"/>
  <c r="N2832" i="3" s="1"/>
  <c r="N2810" i="3" a="1"/>
  <c r="N2810" i="3" s="1"/>
  <c r="N2789" i="3" a="1"/>
  <c r="N2789" i="3" s="1"/>
  <c r="N2769" i="3" a="1"/>
  <c r="N2769" i="3" s="1"/>
  <c r="N2751" i="3" a="1"/>
  <c r="N2751" i="3" s="1"/>
  <c r="N2733" i="3" a="1"/>
  <c r="N2733" i="3" s="1"/>
  <c r="N2715" i="3" a="1"/>
  <c r="N2715" i="3" s="1"/>
  <c r="N2697" i="3" a="1"/>
  <c r="N2697" i="3" s="1"/>
  <c r="N2678" i="3" a="1"/>
  <c r="N2678" i="3" s="1"/>
  <c r="N2660" i="3" a="1"/>
  <c r="N2660" i="3" s="1"/>
  <c r="N2644" i="3" a="1"/>
  <c r="N2644" i="3" s="1"/>
  <c r="N2626" i="3" a="1"/>
  <c r="N2626" i="3" s="1"/>
  <c r="N2608" i="3" a="1"/>
  <c r="N2608" i="3" s="1"/>
  <c r="N2591" i="3" a="1"/>
  <c r="N2591" i="3" s="1"/>
  <c r="N2574" i="3" a="1"/>
  <c r="N2574" i="3" s="1"/>
  <c r="N2557" i="3" a="1"/>
  <c r="N2557" i="3" s="1"/>
  <c r="N2540" i="3" a="1"/>
  <c r="N2540" i="3" s="1"/>
  <c r="N2524" i="3" a="1"/>
  <c r="N2524" i="3" s="1"/>
  <c r="N2509" i="3" a="1"/>
  <c r="N2509" i="3" s="1"/>
  <c r="N2494" i="3" a="1"/>
  <c r="N2494" i="3" s="1"/>
  <c r="N2479" i="3" a="1"/>
  <c r="N2479" i="3" s="1"/>
  <c r="N2463" i="3" a="1"/>
  <c r="N2463" i="3" s="1"/>
  <c r="N2447" i="3" a="1"/>
  <c r="N2447" i="3" s="1"/>
  <c r="N2433" i="3" a="1"/>
  <c r="N2433" i="3" s="1"/>
  <c r="N2418" i="3" a="1"/>
  <c r="N2418" i="3" s="1"/>
  <c r="N2402" i="3" a="1"/>
  <c r="N2402" i="3" s="1"/>
  <c r="N2386" i="3" a="1"/>
  <c r="N2386" i="3" s="1"/>
  <c r="N2370" i="3" a="1"/>
  <c r="N2370" i="3" s="1"/>
  <c r="N2354" i="3" a="1"/>
  <c r="N2354" i="3" s="1"/>
  <c r="N2338" i="3" a="1"/>
  <c r="N2338" i="3" s="1"/>
  <c r="N2322" i="3" a="1"/>
  <c r="N2322" i="3" s="1"/>
  <c r="N2306" i="3" a="1"/>
  <c r="N2306" i="3" s="1"/>
  <c r="N2290" i="3" a="1"/>
  <c r="N2290" i="3" s="1"/>
  <c r="N2274" i="3" a="1"/>
  <c r="N2274" i="3" s="1"/>
  <c r="N2259" i="3" a="1"/>
  <c r="N2259" i="3" s="1"/>
  <c r="N2244" i="3" a="1"/>
  <c r="N2244" i="3" s="1"/>
  <c r="N2228" i="3" a="1"/>
  <c r="N2228" i="3" s="1"/>
  <c r="N2212" i="3" a="1"/>
  <c r="N2212" i="3" s="1"/>
  <c r="N2196" i="3" a="1"/>
  <c r="N2196" i="3" s="1"/>
  <c r="N2180" i="3" a="1"/>
  <c r="N2180" i="3" s="1"/>
  <c r="N2164" i="3" a="1"/>
  <c r="N2164" i="3" s="1"/>
  <c r="N2148" i="3" a="1"/>
  <c r="N2148" i="3" s="1"/>
  <c r="N2132" i="3" a="1"/>
  <c r="N2132" i="3" s="1"/>
  <c r="N2118" i="3" a="1"/>
  <c r="N2118" i="3" s="1"/>
  <c r="N3353" i="3" a="1"/>
  <c r="N3353" i="3" s="1"/>
  <c r="N3162" i="3" a="1"/>
  <c r="N3162" i="3" s="1"/>
  <c r="N3020" i="3" a="1"/>
  <c r="N3020" i="3" s="1"/>
  <c r="N2914" i="3" a="1"/>
  <c r="N2914" i="3" s="1"/>
  <c r="N2880" i="3" a="1"/>
  <c r="N2880" i="3" s="1"/>
  <c r="N2857" i="3" a="1"/>
  <c r="N2857" i="3" s="1"/>
  <c r="N2834" i="3" a="1"/>
  <c r="N2834" i="3" s="1"/>
  <c r="N2809" i="3" a="1"/>
  <c r="N2809" i="3" s="1"/>
  <c r="N2786" i="3" a="1"/>
  <c r="N2786" i="3" s="1"/>
  <c r="N2764" i="3" a="1"/>
  <c r="N2764" i="3" s="1"/>
  <c r="N2743" i="3" a="1"/>
  <c r="N2743" i="3" s="1"/>
  <c r="N2723" i="3" a="1"/>
  <c r="N2723" i="3" s="1"/>
  <c r="N2701" i="3" a="1"/>
  <c r="N2701" i="3" s="1"/>
  <c r="N2681" i="3" a="1"/>
  <c r="N2681" i="3" s="1"/>
  <c r="N2659" i="3" a="1"/>
  <c r="N2659" i="3" s="1"/>
  <c r="N2640" i="3" a="1"/>
  <c r="N2640" i="3" s="1"/>
  <c r="N2621" i="3" a="1"/>
  <c r="N2621" i="3" s="1"/>
  <c r="N2600" i="3" a="1"/>
  <c r="N2600" i="3" s="1"/>
  <c r="N2582" i="3" a="1"/>
  <c r="N2582" i="3" s="1"/>
  <c r="N2562" i="3" a="1"/>
  <c r="N2562" i="3" s="1"/>
  <c r="N2541" i="3" a="1"/>
  <c r="N2541" i="3" s="1"/>
  <c r="N2523" i="3" a="1"/>
  <c r="N2523" i="3" s="1"/>
  <c r="N2506" i="3" a="1"/>
  <c r="N2506" i="3" s="1"/>
  <c r="N2489" i="3" a="1"/>
  <c r="N2489" i="3" s="1"/>
  <c r="N2472" i="3" a="1"/>
  <c r="N2472" i="3" s="1"/>
  <c r="N2454" i="3" a="1"/>
  <c r="N2454" i="3" s="1"/>
  <c r="N2436" i="3" a="1"/>
  <c r="N2436" i="3" s="1"/>
  <c r="N2420" i="3" a="1"/>
  <c r="N2420" i="3" s="1"/>
  <c r="N2401" i="3" a="1"/>
  <c r="N2401" i="3" s="1"/>
  <c r="N2383" i="3" a="1"/>
  <c r="N2383" i="3" s="1"/>
  <c r="N2365" i="3" a="1"/>
  <c r="N2365" i="3" s="1"/>
  <c r="N2347" i="3" a="1"/>
  <c r="N2347" i="3" s="1"/>
  <c r="N2329" i="3" a="1"/>
  <c r="N2329" i="3" s="1"/>
  <c r="N2310" i="3" a="1"/>
  <c r="N2310" i="3" s="1"/>
  <c r="N2292" i="3" a="1"/>
  <c r="N2292" i="3" s="1"/>
  <c r="N2273" i="3" a="1"/>
  <c r="N2273" i="3" s="1"/>
  <c r="N2256" i="3" a="1"/>
  <c r="N2256" i="3" s="1"/>
  <c r="N2239" i="3" a="1"/>
  <c r="N2239" i="3" s="1"/>
  <c r="N2221" i="3" a="1"/>
  <c r="N2221" i="3" s="1"/>
  <c r="N2203" i="3" a="1"/>
  <c r="N2203" i="3" s="1"/>
  <c r="N2184" i="3" a="1"/>
  <c r="N2184" i="3" s="1"/>
  <c r="N2166" i="3" a="1"/>
  <c r="N2166" i="3" s="1"/>
  <c r="N2147" i="3" a="1"/>
  <c r="N2147" i="3" s="1"/>
  <c r="N2129" i="3" a="1"/>
  <c r="N2129" i="3" s="1"/>
  <c r="N2113" i="3" a="1"/>
  <c r="N2113" i="3" s="1"/>
  <c r="N2097" i="3" a="1"/>
  <c r="N2097" i="3" s="1"/>
  <c r="N2083" i="3" a="1"/>
  <c r="N2083" i="3" s="1"/>
  <c r="N2068" i="3" a="1"/>
  <c r="N2068" i="3" s="1"/>
  <c r="N2054" i="3" a="1"/>
  <c r="N2054" i="3" s="1"/>
  <c r="N2038" i="3" a="1"/>
  <c r="N2038" i="3" s="1"/>
  <c r="N2022" i="3" a="1"/>
  <c r="N2022" i="3" s="1"/>
  <c r="N2006" i="3" a="1"/>
  <c r="N2006" i="3" s="1"/>
  <c r="N1990" i="3" a="1"/>
  <c r="N1990" i="3" s="1"/>
  <c r="N1975" i="3" a="1"/>
  <c r="N1975" i="3" s="1"/>
  <c r="N1960" i="3" a="1"/>
  <c r="N1960" i="3" s="1"/>
  <c r="N1946" i="3" a="1"/>
  <c r="N1946" i="3" s="1"/>
  <c r="N1930" i="3" a="1"/>
  <c r="N1930" i="3" s="1"/>
  <c r="N1914" i="3" a="1"/>
  <c r="N1914" i="3" s="1"/>
  <c r="N1898" i="3" a="1"/>
  <c r="N1898" i="3" s="1"/>
  <c r="N1882" i="3" a="1"/>
  <c r="N1882" i="3" s="1"/>
  <c r="N1867" i="3" a="1"/>
  <c r="N1867" i="3" s="1"/>
  <c r="N1851" i="3" a="1"/>
  <c r="N1851" i="3" s="1"/>
  <c r="N1835" i="3" a="1"/>
  <c r="N1835" i="3" s="1"/>
  <c r="N1819" i="3" a="1"/>
  <c r="N1819" i="3" s="1"/>
  <c r="N1804" i="3" a="1"/>
  <c r="N1804" i="3" s="1"/>
  <c r="N1788" i="3" a="1"/>
  <c r="N1788" i="3" s="1"/>
  <c r="N1772" i="3" a="1"/>
  <c r="N1772" i="3" s="1"/>
  <c r="N1756" i="3" a="1"/>
  <c r="N1756" i="3" s="1"/>
  <c r="N1740" i="3" a="1"/>
  <c r="N1740" i="3" s="1"/>
  <c r="N1724" i="3" a="1"/>
  <c r="N1724" i="3" s="1"/>
  <c r="N1708" i="3" a="1"/>
  <c r="N1708" i="3" s="1"/>
  <c r="N1693" i="3" a="1"/>
  <c r="N1693" i="3" s="1"/>
  <c r="N1677" i="3" a="1"/>
  <c r="N1677" i="3" s="1"/>
  <c r="N1661" i="3" a="1"/>
  <c r="N1661" i="3" s="1"/>
  <c r="N1645" i="3" a="1"/>
  <c r="N1645" i="3" s="1"/>
  <c r="N1630" i="3" a="1"/>
  <c r="N1630" i="3" s="1"/>
  <c r="N1615" i="3" a="1"/>
  <c r="N1615" i="3" s="1"/>
  <c r="N1600" i="3" a="1"/>
  <c r="N1600" i="3" s="1"/>
  <c r="N3340" i="3" a="1"/>
  <c r="N3340" i="3" s="1"/>
  <c r="N3152" i="3" a="1"/>
  <c r="N3152" i="3" s="1"/>
  <c r="N3010" i="3" a="1"/>
  <c r="N3010" i="3" s="1"/>
  <c r="N2910" i="3" a="1"/>
  <c r="N2910" i="3" s="1"/>
  <c r="N2879" i="3" a="1"/>
  <c r="N2879" i="3" s="1"/>
  <c r="N2856" i="3" a="1"/>
  <c r="N2856" i="3" s="1"/>
  <c r="N3326" i="3" a="1"/>
  <c r="N3326" i="3" s="1"/>
  <c r="N3144" i="3" a="1"/>
  <c r="N3144" i="3" s="1"/>
  <c r="N3004" i="3" a="1"/>
  <c r="N3004" i="3" s="1"/>
  <c r="N2905" i="3" a="1"/>
  <c r="N2905" i="3" s="1"/>
  <c r="N2877" i="3" a="1"/>
  <c r="N2877" i="3" s="1"/>
  <c r="N2854" i="3" a="1"/>
  <c r="N2854" i="3" s="1"/>
  <c r="N2829" i="3" a="1"/>
  <c r="N2829" i="3" s="1"/>
  <c r="N2806" i="3" a="1"/>
  <c r="N2806" i="3" s="1"/>
  <c r="N2782" i="3" a="1"/>
  <c r="N2782" i="3" s="1"/>
  <c r="N2762" i="3" a="1"/>
  <c r="N2762" i="3" s="1"/>
  <c r="N2741" i="3" a="1"/>
  <c r="N2741" i="3" s="1"/>
  <c r="N2719" i="3" a="1"/>
  <c r="N2719" i="3" s="1"/>
  <c r="N2699" i="3" a="1"/>
  <c r="N2699" i="3" s="1"/>
  <c r="N2677" i="3" a="1"/>
  <c r="N2677" i="3" s="1"/>
  <c r="N2657" i="3" a="1"/>
  <c r="N2657" i="3" s="1"/>
  <c r="N2638" i="3" a="1"/>
  <c r="N2638" i="3" s="1"/>
  <c r="N2618" i="3" a="1"/>
  <c r="N2618" i="3" s="1"/>
  <c r="N2598" i="3" a="1"/>
  <c r="N2598" i="3" s="1"/>
  <c r="N2578" i="3" a="1"/>
  <c r="N2578" i="3" s="1"/>
  <c r="N2560" i="3" a="1"/>
  <c r="N2560" i="3" s="1"/>
  <c r="N2539" i="3" a="1"/>
  <c r="N2539" i="3" s="1"/>
  <c r="N2521" i="3" a="1"/>
  <c r="N2521" i="3" s="1"/>
  <c r="N2504" i="3" a="1"/>
  <c r="N2504" i="3" s="1"/>
  <c r="N2487" i="3" a="1"/>
  <c r="N2487" i="3" s="1"/>
  <c r="N2470" i="3" a="1"/>
  <c r="N2470" i="3" s="1"/>
  <c r="N2451" i="3" a="1"/>
  <c r="N2451" i="3" s="1"/>
  <c r="N2434" i="3" a="1"/>
  <c r="N2434" i="3" s="1"/>
  <c r="N2417" i="3" a="1"/>
  <c r="N2417" i="3" s="1"/>
  <c r="N2399" i="3" a="1"/>
  <c r="N2399" i="3" s="1"/>
  <c r="N2381" i="3" a="1"/>
  <c r="N2381" i="3" s="1"/>
  <c r="N2363" i="3" a="1"/>
  <c r="N2363" i="3" s="1"/>
  <c r="N2345" i="3" a="1"/>
  <c r="N2345" i="3" s="1"/>
  <c r="N2326" i="3" a="1"/>
  <c r="N2326" i="3" s="1"/>
  <c r="N2308" i="3" a="1"/>
  <c r="N2308" i="3" s="1"/>
  <c r="N2289" i="3" a="1"/>
  <c r="N2289" i="3" s="1"/>
  <c r="N2271" i="3" a="1"/>
  <c r="N2271" i="3" s="1"/>
  <c r="N2254" i="3" a="1"/>
  <c r="N2254" i="3" s="1"/>
  <c r="N2237" i="3" a="1"/>
  <c r="N2237" i="3" s="1"/>
  <c r="N2219" i="3" a="1"/>
  <c r="N2219" i="3" s="1"/>
  <c r="N2200" i="3" a="1"/>
  <c r="N2200" i="3" s="1"/>
  <c r="N2182" i="3" a="1"/>
  <c r="N2182" i="3" s="1"/>
  <c r="N2163" i="3" a="1"/>
  <c r="N2163" i="3" s="1"/>
  <c r="N2145" i="3" a="1"/>
  <c r="N2145" i="3" s="1"/>
  <c r="N2127" i="3" a="1"/>
  <c r="N2127" i="3" s="1"/>
  <c r="N2111" i="3" a="1"/>
  <c r="N2111" i="3" s="1"/>
  <c r="N2095" i="3" a="1"/>
  <c r="N2095" i="3" s="1"/>
  <c r="N2081" i="3" a="1"/>
  <c r="N2081" i="3" s="1"/>
  <c r="N2066" i="3" a="1"/>
  <c r="N2066" i="3" s="1"/>
  <c r="N2052" i="3" a="1"/>
  <c r="N2052" i="3" s="1"/>
  <c r="N2036" i="3" a="1"/>
  <c r="N2036" i="3" s="1"/>
  <c r="N2020" i="3" a="1"/>
  <c r="N2020" i="3" s="1"/>
  <c r="N2004" i="3" a="1"/>
  <c r="N2004" i="3" s="1"/>
  <c r="N1988" i="3" a="1"/>
  <c r="N1988" i="3" s="1"/>
  <c r="N1973" i="3" a="1"/>
  <c r="N1973" i="3" s="1"/>
  <c r="N1958" i="3" a="1"/>
  <c r="N1958" i="3" s="1"/>
  <c r="N1944" i="3" a="1"/>
  <c r="N1944" i="3" s="1"/>
  <c r="N1928" i="3" a="1"/>
  <c r="N1928" i="3" s="1"/>
  <c r="N1912" i="3" a="1"/>
  <c r="N1912" i="3" s="1"/>
  <c r="N1896" i="3" a="1"/>
  <c r="N1896" i="3" s="1"/>
  <c r="N1880" i="3" a="1"/>
  <c r="N1880" i="3" s="1"/>
  <c r="N1865" i="3" a="1"/>
  <c r="N1865" i="3" s="1"/>
  <c r="N1849" i="3" a="1"/>
  <c r="N1849" i="3" s="1"/>
  <c r="N1833" i="3" a="1"/>
  <c r="N1833" i="3" s="1"/>
  <c r="N1817" i="3" a="1"/>
  <c r="N1817" i="3" s="1"/>
  <c r="N1802" i="3" a="1"/>
  <c r="N1802" i="3" s="1"/>
  <c r="N1786" i="3" a="1"/>
  <c r="N1786" i="3" s="1"/>
  <c r="N1770" i="3" a="1"/>
  <c r="N1770" i="3" s="1"/>
  <c r="N1754" i="3" a="1"/>
  <c r="N1754" i="3" s="1"/>
  <c r="N1738" i="3" a="1"/>
  <c r="N1738" i="3" s="1"/>
  <c r="N1722" i="3" a="1"/>
  <c r="N1722" i="3" s="1"/>
  <c r="N1706" i="3" a="1"/>
  <c r="N1706" i="3" s="1"/>
  <c r="N1691" i="3" a="1"/>
  <c r="N1691" i="3" s="1"/>
  <c r="N1675" i="3" a="1"/>
  <c r="N1675" i="3" s="1"/>
  <c r="N1659" i="3" a="1"/>
  <c r="N1659" i="3" s="1"/>
  <c r="N1643" i="3" a="1"/>
  <c r="N1643" i="3" s="1"/>
  <c r="N3313" i="3" a="1"/>
  <c r="N3313" i="3" s="1"/>
  <c r="N3133" i="3" a="1"/>
  <c r="N3133" i="3" s="1"/>
  <c r="N2999" i="3" a="1"/>
  <c r="N2999" i="3" s="1"/>
  <c r="N2904" i="3" a="1"/>
  <c r="N2904" i="3" s="1"/>
  <c r="N2876" i="3" a="1"/>
  <c r="N2876" i="3" s="1"/>
  <c r="N2853" i="3" a="1"/>
  <c r="N2853" i="3" s="1"/>
  <c r="N2828" i="3" a="1"/>
  <c r="N2828" i="3" s="1"/>
  <c r="N2805" i="3" a="1"/>
  <c r="N2805" i="3" s="1"/>
  <c r="N2781" i="3" a="1"/>
  <c r="N2781" i="3" s="1"/>
  <c r="N2761" i="3" a="1"/>
  <c r="N2761" i="3" s="1"/>
  <c r="N2740" i="3" a="1"/>
  <c r="N2740" i="3" s="1"/>
  <c r="N2718" i="3" a="1"/>
  <c r="N2718" i="3" s="1"/>
  <c r="N2698" i="3" a="1"/>
  <c r="N2698" i="3" s="1"/>
  <c r="N2676" i="3" a="1"/>
  <c r="N2676" i="3" s="1"/>
  <c r="N2655" i="3" a="1"/>
  <c r="N2655" i="3" s="1"/>
  <c r="N2637" i="3" a="1"/>
  <c r="N2637" i="3" s="1"/>
  <c r="N2617" i="3" a="1"/>
  <c r="N2617" i="3" s="1"/>
  <c r="N2597" i="3" a="1"/>
  <c r="N2597" i="3" s="1"/>
  <c r="N2577" i="3" a="1"/>
  <c r="N2577" i="3" s="1"/>
  <c r="N2558" i="3" a="1"/>
  <c r="N2558" i="3" s="1"/>
  <c r="N2538" i="3" a="1"/>
  <c r="N2538" i="3" s="1"/>
  <c r="N2520" i="3" a="1"/>
  <c r="N2520" i="3" s="1"/>
  <c r="N2503" i="3" a="1"/>
  <c r="N2503" i="3" s="1"/>
  <c r="N2486" i="3" a="1"/>
  <c r="N2486" i="3" s="1"/>
  <c r="N2469" i="3" a="1"/>
  <c r="N2469" i="3" s="1"/>
  <c r="N2450" i="3" a="1"/>
  <c r="N2450" i="3" s="1"/>
  <c r="N2416" i="3" a="1"/>
  <c r="N2416" i="3" s="1"/>
  <c r="N2398" i="3" a="1"/>
  <c r="N2398" i="3" s="1"/>
  <c r="N2380" i="3" a="1"/>
  <c r="N2380" i="3" s="1"/>
  <c r="N2362" i="3" a="1"/>
  <c r="N2362" i="3" s="1"/>
  <c r="N2344" i="3" a="1"/>
  <c r="N2344" i="3" s="1"/>
  <c r="N2325" i="3" a="1"/>
  <c r="N2325" i="3" s="1"/>
  <c r="N2307" i="3" a="1"/>
  <c r="N2307" i="3" s="1"/>
  <c r="N2288" i="3" a="1"/>
  <c r="N2288" i="3" s="1"/>
  <c r="N2270" i="3" a="1"/>
  <c r="N2270" i="3" s="1"/>
  <c r="N2253" i="3" a="1"/>
  <c r="N2253" i="3" s="1"/>
  <c r="N2236" i="3" a="1"/>
  <c r="N2236" i="3" s="1"/>
  <c r="N2218" i="3" a="1"/>
  <c r="N2218" i="3" s="1"/>
  <c r="N2199" i="3" a="1"/>
  <c r="N2199" i="3" s="1"/>
  <c r="N2181" i="3" a="1"/>
  <c r="N2181" i="3" s="1"/>
  <c r="N2162" i="3" a="1"/>
  <c r="N2162" i="3" s="1"/>
  <c r="N2144" i="3" a="1"/>
  <c r="N2144" i="3" s="1"/>
  <c r="N2126" i="3" a="1"/>
  <c r="N2126" i="3" s="1"/>
  <c r="N2110" i="3" a="1"/>
  <c r="N2110" i="3" s="1"/>
  <c r="N2080" i="3" a="1"/>
  <c r="N2080" i="3" s="1"/>
  <c r="N2051" i="3" a="1"/>
  <c r="N2051" i="3" s="1"/>
  <c r="N2035" i="3" a="1"/>
  <c r="N2035" i="3" s="1"/>
  <c r="N2019" i="3" a="1"/>
  <c r="N2019" i="3" s="1"/>
  <c r="N2003" i="3" a="1"/>
  <c r="N2003" i="3" s="1"/>
  <c r="N1987" i="3" a="1"/>
  <c r="N1987" i="3" s="1"/>
  <c r="N1972" i="3" a="1"/>
  <c r="N1972" i="3" s="1"/>
  <c r="N1957" i="3" a="1"/>
  <c r="N1957" i="3" s="1"/>
  <c r="N1943" i="3" a="1"/>
  <c r="N1943" i="3" s="1"/>
  <c r="N1927" i="3" a="1"/>
  <c r="N1927" i="3" s="1"/>
  <c r="N1911" i="3" a="1"/>
  <c r="N1911" i="3" s="1"/>
  <c r="N1895" i="3" a="1"/>
  <c r="N1895" i="3" s="1"/>
  <c r="N1879" i="3" a="1"/>
  <c r="N1879" i="3" s="1"/>
  <c r="N1864" i="3" a="1"/>
  <c r="N1864" i="3" s="1"/>
  <c r="N1848" i="3" a="1"/>
  <c r="N1848" i="3" s="1"/>
  <c r="N1832" i="3" a="1"/>
  <c r="N1832" i="3" s="1"/>
  <c r="N1816" i="3" a="1"/>
  <c r="N1816" i="3" s="1"/>
  <c r="N1801" i="3" a="1"/>
  <c r="N1801" i="3" s="1"/>
  <c r="N1785" i="3" a="1"/>
  <c r="N1785" i="3" s="1"/>
  <c r="N1769" i="3" a="1"/>
  <c r="N1769" i="3" s="1"/>
  <c r="N1753" i="3" a="1"/>
  <c r="N1753" i="3" s="1"/>
  <c r="N1737" i="3" a="1"/>
  <c r="N1737" i="3" s="1"/>
  <c r="N1721" i="3" a="1"/>
  <c r="N1721" i="3" s="1"/>
  <c r="N1705" i="3" a="1"/>
  <c r="N1705" i="3" s="1"/>
  <c r="N1690" i="3" a="1"/>
  <c r="N1690" i="3" s="1"/>
  <c r="N1674" i="3" a="1"/>
  <c r="N1674" i="3" s="1"/>
  <c r="N1658" i="3" a="1"/>
  <c r="N1658" i="3" s="1"/>
  <c r="N1642" i="3" a="1"/>
  <c r="N1642" i="3" s="1"/>
  <c r="N1627" i="3" a="1"/>
  <c r="N1627" i="3" s="1"/>
  <c r="N1612" i="3" a="1"/>
  <c r="N1612" i="3" s="1"/>
  <c r="N1597" i="3" a="1"/>
  <c r="N1597" i="3" s="1"/>
  <c r="N1581" i="3" a="1"/>
  <c r="N1581" i="3" s="1"/>
  <c r="N1565" i="3" a="1"/>
  <c r="N1565" i="3" s="1"/>
  <c r="N1549" i="3" a="1"/>
  <c r="N1549" i="3" s="1"/>
  <c r="N1534" i="3" a="1"/>
  <c r="N1534" i="3" s="1"/>
  <c r="N1518" i="3" a="1"/>
  <c r="N1518" i="3" s="1"/>
  <c r="N1502" i="3" a="1"/>
  <c r="N1502" i="3" s="1"/>
  <c r="N1486" i="3" a="1"/>
  <c r="N1486" i="3" s="1"/>
  <c r="N3302" i="3" a="1"/>
  <c r="N3302" i="3" s="1"/>
  <c r="N3122" i="3" a="1"/>
  <c r="N3122" i="3" s="1"/>
  <c r="N2989" i="3" a="1"/>
  <c r="N2989" i="3" s="1"/>
  <c r="N2903" i="3" a="1"/>
  <c r="N2903" i="3" s="1"/>
  <c r="N2874" i="3" a="1"/>
  <c r="N2874" i="3" s="1"/>
  <c r="N2851" i="3" a="1"/>
  <c r="N2851" i="3" s="1"/>
  <c r="N2827" i="3" a="1"/>
  <c r="N2827" i="3" s="1"/>
  <c r="N2804" i="3" a="1"/>
  <c r="N2804" i="3" s="1"/>
  <c r="N2780" i="3" a="1"/>
  <c r="N2780" i="3" s="1"/>
  <c r="N2759" i="3" a="1"/>
  <c r="N2759" i="3" s="1"/>
  <c r="N2738" i="3" a="1"/>
  <c r="N2738" i="3" s="1"/>
  <c r="N2717" i="3" a="1"/>
  <c r="N2717" i="3" s="1"/>
  <c r="N2695" i="3" a="1"/>
  <c r="N2695" i="3" s="1"/>
  <c r="N2675" i="3" a="1"/>
  <c r="N2675" i="3" s="1"/>
  <c r="N2654" i="3" a="1"/>
  <c r="N2654" i="3" s="1"/>
  <c r="N2616" i="3" a="1"/>
  <c r="N2616" i="3" s="1"/>
  <c r="N2595" i="3" a="1"/>
  <c r="N2595" i="3" s="1"/>
  <c r="N2576" i="3" a="1"/>
  <c r="N2576" i="3" s="1"/>
  <c r="N2556" i="3" a="1"/>
  <c r="N2556" i="3" s="1"/>
  <c r="N2537" i="3" a="1"/>
  <c r="N2537" i="3" s="1"/>
  <c r="N2502" i="3" a="1"/>
  <c r="N2502" i="3" s="1"/>
  <c r="N2485" i="3" a="1"/>
  <c r="N2485" i="3" s="1"/>
  <c r="N2467" i="3" a="1"/>
  <c r="N2467" i="3" s="1"/>
  <c r="N2449" i="3" a="1"/>
  <c r="N2449" i="3" s="1"/>
  <c r="N2432" i="3" a="1"/>
  <c r="N2432" i="3" s="1"/>
  <c r="N2415" i="3" a="1"/>
  <c r="N2415" i="3" s="1"/>
  <c r="N2397" i="3" a="1"/>
  <c r="N2397" i="3" s="1"/>
  <c r="N2379" i="3" a="1"/>
  <c r="N2379" i="3" s="1"/>
  <c r="N2361" i="3" a="1"/>
  <c r="N2361" i="3" s="1"/>
  <c r="N2342" i="3" a="1"/>
  <c r="N2342" i="3" s="1"/>
  <c r="N2324" i="3" a="1"/>
  <c r="N2324" i="3" s="1"/>
  <c r="N2305" i="3" a="1"/>
  <c r="N2305" i="3" s="1"/>
  <c r="N2287" i="3" a="1"/>
  <c r="N2287" i="3" s="1"/>
  <c r="N2269" i="3" a="1"/>
  <c r="N2269" i="3" s="1"/>
  <c r="N2252" i="3" a="1"/>
  <c r="N2252" i="3" s="1"/>
  <c r="N2235" i="3" a="1"/>
  <c r="N2235" i="3" s="1"/>
  <c r="N2216" i="3" a="1"/>
  <c r="N2216" i="3" s="1"/>
  <c r="N2198" i="3" a="1"/>
  <c r="N2198" i="3" s="1"/>
  <c r="N2179" i="3" a="1"/>
  <c r="N2179" i="3" s="1"/>
  <c r="N2161" i="3" a="1"/>
  <c r="N2161" i="3" s="1"/>
  <c r="N2143" i="3" a="1"/>
  <c r="N2143" i="3" s="1"/>
  <c r="N2125" i="3" a="1"/>
  <c r="N2125" i="3" s="1"/>
  <c r="N2109" i="3" a="1"/>
  <c r="N2109" i="3" s="1"/>
  <c r="N2094" i="3" a="1"/>
  <c r="N2094" i="3" s="1"/>
  <c r="N2079" i="3" a="1"/>
  <c r="N2079" i="3" s="1"/>
  <c r="N2065" i="3" a="1"/>
  <c r="N2065" i="3" s="1"/>
  <c r="N2050" i="3" a="1"/>
  <c r="N2050" i="3" s="1"/>
  <c r="N2034" i="3" a="1"/>
  <c r="N2034" i="3" s="1"/>
  <c r="N2018" i="3" a="1"/>
  <c r="N2018" i="3" s="1"/>
  <c r="N2002" i="3" a="1"/>
  <c r="N2002" i="3" s="1"/>
  <c r="N1986" i="3" a="1"/>
  <c r="N1986" i="3" s="1"/>
  <c r="N1971" i="3" a="1"/>
  <c r="N1971" i="3" s="1"/>
  <c r="N1956" i="3" a="1"/>
  <c r="N1956" i="3" s="1"/>
  <c r="N1942" i="3" a="1"/>
  <c r="N1942" i="3" s="1"/>
  <c r="N1926" i="3" a="1"/>
  <c r="N1926" i="3" s="1"/>
  <c r="N1910" i="3" a="1"/>
  <c r="N1910" i="3" s="1"/>
  <c r="N1894" i="3" a="1"/>
  <c r="N1894" i="3" s="1"/>
  <c r="N1863" i="3" a="1"/>
  <c r="N1863" i="3" s="1"/>
  <c r="N1847" i="3" a="1"/>
  <c r="N1847" i="3" s="1"/>
  <c r="N1831" i="3" a="1"/>
  <c r="N1831" i="3" s="1"/>
  <c r="N1815" i="3" a="1"/>
  <c r="N1815" i="3" s="1"/>
  <c r="N1800" i="3" a="1"/>
  <c r="N1800" i="3" s="1"/>
  <c r="N1784" i="3" a="1"/>
  <c r="N1784" i="3" s="1"/>
  <c r="N1768" i="3" a="1"/>
  <c r="N1768" i="3" s="1"/>
  <c r="N1752" i="3" a="1"/>
  <c r="N1752" i="3" s="1"/>
  <c r="N1736" i="3" a="1"/>
  <c r="N1736" i="3" s="1"/>
  <c r="N1720" i="3" a="1"/>
  <c r="N1720" i="3" s="1"/>
  <c r="N1704" i="3" a="1"/>
  <c r="N1704" i="3" s="1"/>
  <c r="N1689" i="3" a="1"/>
  <c r="N1689" i="3" s="1"/>
  <c r="N1673" i="3" a="1"/>
  <c r="N1673" i="3" s="1"/>
  <c r="N1657" i="3" a="1"/>
  <c r="N1657" i="3" s="1"/>
  <c r="N1641" i="3" a="1"/>
  <c r="N1641" i="3" s="1"/>
  <c r="N1626" i="3" a="1"/>
  <c r="N1626" i="3" s="1"/>
  <c r="N1611" i="3" a="1"/>
  <c r="N1611" i="3" s="1"/>
  <c r="N1596" i="3" a="1"/>
  <c r="N1596" i="3" s="1"/>
  <c r="N1580" i="3" a="1"/>
  <c r="N1580" i="3" s="1"/>
  <c r="N1564" i="3" a="1"/>
  <c r="N1564" i="3" s="1"/>
  <c r="N1548" i="3" a="1"/>
  <c r="N1548" i="3" s="1"/>
  <c r="N1533" i="3" a="1"/>
  <c r="N1533" i="3" s="1"/>
  <c r="N1517" i="3" a="1"/>
  <c r="N1517" i="3" s="1"/>
  <c r="N1501" i="3" a="1"/>
  <c r="N1501" i="3" s="1"/>
  <c r="N1485" i="3" a="1"/>
  <c r="N1485" i="3" s="1"/>
  <c r="N3288" i="3" a="1"/>
  <c r="N3288" i="3" s="1"/>
  <c r="N3112" i="3" a="1"/>
  <c r="N3112" i="3" s="1"/>
  <c r="N2984" i="3" a="1"/>
  <c r="N2984" i="3" s="1"/>
  <c r="N2900" i="3" a="1"/>
  <c r="N2900" i="3" s="1"/>
  <c r="N2873" i="3" a="1"/>
  <c r="N2873" i="3" s="1"/>
  <c r="N2850" i="3" a="1"/>
  <c r="N2850" i="3" s="1"/>
  <c r="N2826" i="3" a="1"/>
  <c r="N2826" i="3" s="1"/>
  <c r="N2802" i="3" a="1"/>
  <c r="N2802" i="3" s="1"/>
  <c r="N2779" i="3" a="1"/>
  <c r="N2779" i="3" s="1"/>
  <c r="N2758" i="3" a="1"/>
  <c r="N2758" i="3" s="1"/>
  <c r="N2737" i="3" a="1"/>
  <c r="N2737" i="3" s="1"/>
  <c r="N2716" i="3" a="1"/>
  <c r="N2716" i="3" s="1"/>
  <c r="N2694" i="3" a="1"/>
  <c r="N2694" i="3" s="1"/>
  <c r="N2674" i="3" a="1"/>
  <c r="N2674" i="3" s="1"/>
  <c r="N2653" i="3" a="1"/>
  <c r="N2653" i="3" s="1"/>
  <c r="N2636" i="3" a="1"/>
  <c r="N2636" i="3" s="1"/>
  <c r="N2615" i="3" a="1"/>
  <c r="N2615" i="3" s="1"/>
  <c r="N2594" i="3" a="1"/>
  <c r="N2594" i="3" s="1"/>
  <c r="N2575" i="3" a="1"/>
  <c r="N2575" i="3" s="1"/>
  <c r="N2555" i="3" a="1"/>
  <c r="N2555" i="3" s="1"/>
  <c r="N2536" i="3" a="1"/>
  <c r="N2536" i="3" s="1"/>
  <c r="N2519" i="3" a="1"/>
  <c r="N2519" i="3" s="1"/>
  <c r="N2501" i="3" a="1"/>
  <c r="N2501" i="3" s="1"/>
  <c r="N2484" i="3" a="1"/>
  <c r="N2484" i="3" s="1"/>
  <c r="N2466" i="3" a="1"/>
  <c r="N2466" i="3" s="1"/>
  <c r="N2448" i="3" a="1"/>
  <c r="N2448" i="3" s="1"/>
  <c r="N2431" i="3" a="1"/>
  <c r="N2431" i="3" s="1"/>
  <c r="N2414" i="3" a="1"/>
  <c r="N2414" i="3" s="1"/>
  <c r="N2396" i="3" a="1"/>
  <c r="N2396" i="3" s="1"/>
  <c r="N2378" i="3" a="1"/>
  <c r="N2378" i="3" s="1"/>
  <c r="N2360" i="3" a="1"/>
  <c r="N2360" i="3" s="1"/>
  <c r="N2341" i="3" a="1"/>
  <c r="N2341" i="3" s="1"/>
  <c r="N2323" i="3" a="1"/>
  <c r="N2323" i="3" s="1"/>
  <c r="N2304" i="3" a="1"/>
  <c r="N2304" i="3" s="1"/>
  <c r="N2286" i="3" a="1"/>
  <c r="N2286" i="3" s="1"/>
  <c r="N2268" i="3" a="1"/>
  <c r="N2268" i="3" s="1"/>
  <c r="N2251" i="3" a="1"/>
  <c r="N2251" i="3" s="1"/>
  <c r="N2234" i="3" a="1"/>
  <c r="N2234" i="3" s="1"/>
  <c r="N2215" i="3" a="1"/>
  <c r="N2215" i="3" s="1"/>
  <c r="N2197" i="3" a="1"/>
  <c r="N2197" i="3" s="1"/>
  <c r="N2178" i="3" a="1"/>
  <c r="N2178" i="3" s="1"/>
  <c r="N2160" i="3" a="1"/>
  <c r="N2160" i="3" s="1"/>
  <c r="N2142" i="3" a="1"/>
  <c r="N2142" i="3" s="1"/>
  <c r="N2108" i="3" a="1"/>
  <c r="N2108" i="3" s="1"/>
  <c r="N2093" i="3" a="1"/>
  <c r="N2093" i="3" s="1"/>
  <c r="N2078" i="3" a="1"/>
  <c r="N2078" i="3" s="1"/>
  <c r="N2064" i="3" a="1"/>
  <c r="N2064" i="3" s="1"/>
  <c r="N2049" i="3" a="1"/>
  <c r="N2049" i="3" s="1"/>
  <c r="N2033" i="3" a="1"/>
  <c r="N2033" i="3" s="1"/>
  <c r="N2017" i="3" a="1"/>
  <c r="N2017" i="3" s="1"/>
  <c r="N2001" i="3" a="1"/>
  <c r="N2001" i="3" s="1"/>
  <c r="N1985" i="3" a="1"/>
  <c r="N1985" i="3" s="1"/>
  <c r="N1970" i="3" a="1"/>
  <c r="N1970" i="3" s="1"/>
  <c r="N1955" i="3" a="1"/>
  <c r="N1955" i="3" s="1"/>
  <c r="N1941" i="3" a="1"/>
  <c r="N1941" i="3" s="1"/>
  <c r="N1925" i="3" a="1"/>
  <c r="N1925" i="3" s="1"/>
  <c r="N1909" i="3" a="1"/>
  <c r="N1909" i="3" s="1"/>
  <c r="N1893" i="3" a="1"/>
  <c r="N1893" i="3" s="1"/>
  <c r="N1878" i="3" a="1"/>
  <c r="N1878" i="3" s="1"/>
  <c r="N1862" i="3" a="1"/>
  <c r="N1862" i="3" s="1"/>
  <c r="N1846" i="3" a="1"/>
  <c r="N1846" i="3" s="1"/>
  <c r="N1830" i="3" a="1"/>
  <c r="N1830" i="3" s="1"/>
  <c r="N1814" i="3" a="1"/>
  <c r="N1814" i="3" s="1"/>
  <c r="N1799" i="3" a="1"/>
  <c r="N1799" i="3" s="1"/>
  <c r="N1783" i="3" a="1"/>
  <c r="N1783" i="3" s="1"/>
  <c r="N1767" i="3" a="1"/>
  <c r="N1767" i="3" s="1"/>
  <c r="N1751" i="3" a="1"/>
  <c r="N1751" i="3" s="1"/>
  <c r="N1735" i="3" a="1"/>
  <c r="N1735" i="3" s="1"/>
  <c r="N1719" i="3" a="1"/>
  <c r="N1719" i="3" s="1"/>
  <c r="N1703" i="3" a="1"/>
  <c r="N1703" i="3" s="1"/>
  <c r="N1688" i="3" a="1"/>
  <c r="N1688" i="3" s="1"/>
  <c r="N1672" i="3" a="1"/>
  <c r="N1672" i="3" s="1"/>
  <c r="N1656" i="3" a="1"/>
  <c r="N1656" i="3" s="1"/>
  <c r="N1640" i="3" a="1"/>
  <c r="N1640" i="3" s="1"/>
  <c r="N1625" i="3" a="1"/>
  <c r="N1625" i="3" s="1"/>
  <c r="N1610" i="3" a="1"/>
  <c r="N1610" i="3" s="1"/>
  <c r="N1595" i="3" a="1"/>
  <c r="N1595" i="3" s="1"/>
  <c r="N1579" i="3" a="1"/>
  <c r="N1579" i="3" s="1"/>
  <c r="N1563" i="3" a="1"/>
  <c r="N1563" i="3" s="1"/>
  <c r="N1547" i="3" a="1"/>
  <c r="N1547" i="3" s="1"/>
  <c r="N1532" i="3" a="1"/>
  <c r="N1532" i="3" s="1"/>
  <c r="N1516" i="3" a="1"/>
  <c r="N1516" i="3" s="1"/>
  <c r="N1500" i="3" a="1"/>
  <c r="N1500" i="3" s="1"/>
  <c r="N1484" i="3" a="1"/>
  <c r="N1484" i="3" s="1"/>
  <c r="N3276" i="3" a="1"/>
  <c r="N3276" i="3" s="1"/>
  <c r="N3101" i="3" a="1"/>
  <c r="N3101" i="3" s="1"/>
  <c r="N2979" i="3" a="1"/>
  <c r="N2979" i="3" s="1"/>
  <c r="N2899" i="3" a="1"/>
  <c r="N2899" i="3" s="1"/>
  <c r="N2871" i="3" a="1"/>
  <c r="N2871" i="3" s="1"/>
  <c r="N2848" i="3" a="1"/>
  <c r="N2848" i="3" s="1"/>
  <c r="N2825" i="3" a="1"/>
  <c r="N2825" i="3" s="1"/>
  <c r="N2801" i="3" a="1"/>
  <c r="N2801" i="3" s="1"/>
  <c r="N2778" i="3" a="1"/>
  <c r="N2778" i="3" s="1"/>
  <c r="N2756" i="3" a="1"/>
  <c r="N2756" i="3" s="1"/>
  <c r="N2735" i="3" a="1"/>
  <c r="N2735" i="3" s="1"/>
  <c r="N2714" i="3" a="1"/>
  <c r="N2714" i="3" s="1"/>
  <c r="N2693" i="3" a="1"/>
  <c r="N2693" i="3" s="1"/>
  <c r="N2673" i="3" a="1"/>
  <c r="N2673" i="3" s="1"/>
  <c r="N2652" i="3" a="1"/>
  <c r="N2652" i="3" s="1"/>
  <c r="N2634" i="3" a="1"/>
  <c r="N2634" i="3" s="1"/>
  <c r="N2613" i="3" a="1"/>
  <c r="N2613" i="3" s="1"/>
  <c r="N2593" i="3" a="1"/>
  <c r="N2593" i="3" s="1"/>
  <c r="N2572" i="3" a="1"/>
  <c r="N2572" i="3" s="1"/>
  <c r="N2554" i="3" a="1"/>
  <c r="N2554" i="3" s="1"/>
  <c r="N2535" i="3" a="1"/>
  <c r="N2535" i="3" s="1"/>
  <c r="N2518" i="3" a="1"/>
  <c r="N2518" i="3" s="1"/>
  <c r="N2500" i="3" a="1"/>
  <c r="N2500" i="3" s="1"/>
  <c r="N2482" i="3" a="1"/>
  <c r="N2482" i="3" s="1"/>
  <c r="N2465" i="3" a="1"/>
  <c r="N2465" i="3" s="1"/>
  <c r="N2430" i="3" a="1"/>
  <c r="N2430" i="3" s="1"/>
  <c r="N2413" i="3" a="1"/>
  <c r="N2413" i="3" s="1"/>
  <c r="N2395" i="3" a="1"/>
  <c r="N2395" i="3" s="1"/>
  <c r="N2377" i="3" a="1"/>
  <c r="N2377" i="3" s="1"/>
  <c r="N2358" i="3" a="1"/>
  <c r="N2358" i="3" s="1"/>
  <c r="N2340" i="3" a="1"/>
  <c r="N2340" i="3" s="1"/>
  <c r="N2321" i="3" a="1"/>
  <c r="N2321" i="3" s="1"/>
  <c r="N2303" i="3" a="1"/>
  <c r="N2303" i="3" s="1"/>
  <c r="N2285" i="3" a="1"/>
  <c r="N2285" i="3" s="1"/>
  <c r="N2267" i="3" a="1"/>
  <c r="N2267" i="3" s="1"/>
  <c r="N2250" i="3" a="1"/>
  <c r="N2250" i="3" s="1"/>
  <c r="N2232" i="3" a="1"/>
  <c r="N2232" i="3" s="1"/>
  <c r="N2214" i="3" a="1"/>
  <c r="N2214" i="3" s="1"/>
  <c r="N2195" i="3" a="1"/>
  <c r="N2195" i="3" s="1"/>
  <c r="N2177" i="3" a="1"/>
  <c r="N2177" i="3" s="1"/>
  <c r="N2159" i="3" a="1"/>
  <c r="N2159" i="3" s="1"/>
  <c r="N2141" i="3" a="1"/>
  <c r="N2141" i="3" s="1"/>
  <c r="N2124" i="3" a="1"/>
  <c r="N2124" i="3" s="1"/>
  <c r="N2107" i="3" a="1"/>
  <c r="N2107" i="3" s="1"/>
  <c r="N2092" i="3" a="1"/>
  <c r="N2092" i="3" s="1"/>
  <c r="N2077" i="3" a="1"/>
  <c r="N2077" i="3" s="1"/>
  <c r="N2063" i="3" a="1"/>
  <c r="N2063" i="3" s="1"/>
  <c r="N2048" i="3" a="1"/>
  <c r="N2048" i="3" s="1"/>
  <c r="N2032" i="3" a="1"/>
  <c r="N2032" i="3" s="1"/>
  <c r="N2016" i="3" a="1"/>
  <c r="N2016" i="3" s="1"/>
  <c r="N2000" i="3" a="1"/>
  <c r="N2000" i="3" s="1"/>
  <c r="N1984" i="3" a="1"/>
  <c r="N1984" i="3" s="1"/>
  <c r="N1969" i="3" a="1"/>
  <c r="N1969" i="3" s="1"/>
  <c r="N1954" i="3" a="1"/>
  <c r="N1954" i="3" s="1"/>
  <c r="N1940" i="3" a="1"/>
  <c r="N1940" i="3" s="1"/>
  <c r="N1924" i="3" a="1"/>
  <c r="N1924" i="3" s="1"/>
  <c r="N1908" i="3" a="1"/>
  <c r="N1908" i="3" s="1"/>
  <c r="N1892" i="3" a="1"/>
  <c r="N1892" i="3" s="1"/>
  <c r="N1877" i="3" a="1"/>
  <c r="N1877" i="3" s="1"/>
  <c r="N1861" i="3" a="1"/>
  <c r="N1861" i="3" s="1"/>
  <c r="N1845" i="3" a="1"/>
  <c r="N1845" i="3" s="1"/>
  <c r="N1829" i="3" a="1"/>
  <c r="N1829" i="3" s="1"/>
  <c r="N1813" i="3" a="1"/>
  <c r="N1813" i="3" s="1"/>
  <c r="N1798" i="3" a="1"/>
  <c r="N1798" i="3" s="1"/>
  <c r="N1782" i="3" a="1"/>
  <c r="N1782" i="3" s="1"/>
  <c r="N1766" i="3" a="1"/>
  <c r="N1766" i="3" s="1"/>
  <c r="N3265" i="3" a="1"/>
  <c r="N3265" i="3" s="1"/>
  <c r="N3091" i="3" a="1"/>
  <c r="N3091" i="3" s="1"/>
  <c r="N2968" i="3" a="1"/>
  <c r="N2968" i="3" s="1"/>
  <c r="N2897" i="3" a="1"/>
  <c r="N2897" i="3" s="1"/>
  <c r="N2869" i="3" a="1"/>
  <c r="N2869" i="3" s="1"/>
  <c r="N2846" i="3" a="1"/>
  <c r="N2846" i="3" s="1"/>
  <c r="N2824" i="3" a="1"/>
  <c r="N2824" i="3" s="1"/>
  <c r="N2800" i="3" a="1"/>
  <c r="N2800" i="3" s="1"/>
  <c r="N2777" i="3" a="1"/>
  <c r="N2777" i="3" s="1"/>
  <c r="N2755" i="3" a="1"/>
  <c r="N2755" i="3" s="1"/>
  <c r="N2734" i="3" a="1"/>
  <c r="N2734" i="3" s="1"/>
  <c r="N2713" i="3" a="1"/>
  <c r="N2713" i="3" s="1"/>
  <c r="N2692" i="3" a="1"/>
  <c r="N2692" i="3" s="1"/>
  <c r="N2671" i="3" a="1"/>
  <c r="N2671" i="3" s="1"/>
  <c r="N2651" i="3" a="1"/>
  <c r="N2651" i="3" s="1"/>
  <c r="N2633" i="3" a="1"/>
  <c r="N2633" i="3" s="1"/>
  <c r="N2612" i="3" a="1"/>
  <c r="N2612" i="3" s="1"/>
  <c r="N2592" i="3" a="1"/>
  <c r="N2592" i="3" s="1"/>
  <c r="N2571" i="3" a="1"/>
  <c r="N2571" i="3" s="1"/>
  <c r="N2553" i="3" a="1"/>
  <c r="N2553" i="3" s="1"/>
  <c r="N2534" i="3" a="1"/>
  <c r="N2534" i="3" s="1"/>
  <c r="N2517" i="3" a="1"/>
  <c r="N2517" i="3" s="1"/>
  <c r="N2499" i="3" a="1"/>
  <c r="N2499" i="3" s="1"/>
  <c r="N2481" i="3" a="1"/>
  <c r="N2481" i="3" s="1"/>
  <c r="N2464" i="3" a="1"/>
  <c r="N2464" i="3" s="1"/>
  <c r="N2446" i="3" a="1"/>
  <c r="N2446" i="3" s="1"/>
  <c r="N2429" i="3" a="1"/>
  <c r="N2429" i="3" s="1"/>
  <c r="N2412" i="3" a="1"/>
  <c r="N2412" i="3" s="1"/>
  <c r="N2394" i="3" a="1"/>
  <c r="N2394" i="3" s="1"/>
  <c r="N2376" i="3" a="1"/>
  <c r="N2376" i="3" s="1"/>
  <c r="N2357" i="3" a="1"/>
  <c r="N2357" i="3" s="1"/>
  <c r="N2339" i="3" a="1"/>
  <c r="N2339" i="3" s="1"/>
  <c r="N2320" i="3" a="1"/>
  <c r="N2320" i="3" s="1"/>
  <c r="N2302" i="3" a="1"/>
  <c r="N2302" i="3" s="1"/>
  <c r="N2284" i="3" a="1"/>
  <c r="N2284" i="3" s="1"/>
  <c r="N2266" i="3" a="1"/>
  <c r="N2266" i="3" s="1"/>
  <c r="N2249" i="3" a="1"/>
  <c r="N2249" i="3" s="1"/>
  <c r="N2231" i="3" a="1"/>
  <c r="N2231" i="3" s="1"/>
  <c r="N2213" i="3" a="1"/>
  <c r="N2213" i="3" s="1"/>
  <c r="N2194" i="3" a="1"/>
  <c r="N2194" i="3" s="1"/>
  <c r="N2176" i="3" a="1"/>
  <c r="N2176" i="3" s="1"/>
  <c r="N2158" i="3" a="1"/>
  <c r="N2158" i="3" s="1"/>
  <c r="N2140" i="3" a="1"/>
  <c r="N2140" i="3" s="1"/>
  <c r="N2123" i="3" a="1"/>
  <c r="N2123" i="3" s="1"/>
  <c r="N2106" i="3" a="1"/>
  <c r="N2106" i="3" s="1"/>
  <c r="N2091" i="3" a="1"/>
  <c r="N2091" i="3" s="1"/>
  <c r="N2076" i="3" a="1"/>
  <c r="N2076" i="3" s="1"/>
  <c r="N2062" i="3" a="1"/>
  <c r="N2062" i="3" s="1"/>
  <c r="N2047" i="3" a="1"/>
  <c r="N2047" i="3" s="1"/>
  <c r="N2031" i="3" a="1"/>
  <c r="N2031" i="3" s="1"/>
  <c r="N2015" i="3" a="1"/>
  <c r="N2015" i="3" s="1"/>
  <c r="N1999" i="3" a="1"/>
  <c r="N1999" i="3" s="1"/>
  <c r="N1983" i="3" a="1"/>
  <c r="N1983" i="3" s="1"/>
  <c r="N1968" i="3" a="1"/>
  <c r="N1968" i="3" s="1"/>
  <c r="N1953" i="3" a="1"/>
  <c r="N1953" i="3" s="1"/>
  <c r="N1939" i="3" a="1"/>
  <c r="N1939" i="3" s="1"/>
  <c r="N1923" i="3" a="1"/>
  <c r="N1923" i="3" s="1"/>
  <c r="N1907" i="3" a="1"/>
  <c r="N1907" i="3" s="1"/>
  <c r="N1891" i="3" a="1"/>
  <c r="N1891" i="3" s="1"/>
  <c r="N1876" i="3" a="1"/>
  <c r="N1876" i="3" s="1"/>
  <c r="N3252" i="3" a="1"/>
  <c r="N3252" i="3" s="1"/>
  <c r="N3081" i="3" a="1"/>
  <c r="N3081" i="3" s="1"/>
  <c r="N2964" i="3" a="1"/>
  <c r="N2964" i="3" s="1"/>
  <c r="N2894" i="3" a="1"/>
  <c r="N2894" i="3" s="1"/>
  <c r="N2868" i="3" a="1"/>
  <c r="N2868" i="3" s="1"/>
  <c r="N2845" i="3" a="1"/>
  <c r="N2845" i="3" s="1"/>
  <c r="N2822" i="3" a="1"/>
  <c r="N2822" i="3" s="1"/>
  <c r="N2798" i="3" a="1"/>
  <c r="N2798" i="3" s="1"/>
  <c r="N2773" i="3" a="1"/>
  <c r="N2773" i="3" s="1"/>
  <c r="N2754" i="3" a="1"/>
  <c r="N2754" i="3" s="1"/>
  <c r="N2732" i="3" a="1"/>
  <c r="N2732" i="3" s="1"/>
  <c r="N2711" i="3" a="1"/>
  <c r="N2711" i="3" s="1"/>
  <c r="N2691" i="3" a="1"/>
  <c r="N2691" i="3" s="1"/>
  <c r="N2670" i="3" a="1"/>
  <c r="N2670" i="3" s="1"/>
  <c r="N2631" i="3" a="1"/>
  <c r="N2631" i="3" s="1"/>
  <c r="N2610" i="3" a="1"/>
  <c r="N2610" i="3" s="1"/>
  <c r="N2590" i="3" a="1"/>
  <c r="N2590" i="3" s="1"/>
  <c r="N2570" i="3" a="1"/>
  <c r="N2570" i="3" s="1"/>
  <c r="N2552" i="3" a="1"/>
  <c r="N2552" i="3" s="1"/>
  <c r="N2533" i="3" a="1"/>
  <c r="N2533" i="3" s="1"/>
  <c r="N2516" i="3" a="1"/>
  <c r="N2516" i="3" s="1"/>
  <c r="N2480" i="3" a="1"/>
  <c r="N2480" i="3" s="1"/>
  <c r="N2462" i="3" a="1"/>
  <c r="N2462" i="3" s="1"/>
  <c r="N2445" i="3" a="1"/>
  <c r="N2445" i="3" s="1"/>
  <c r="N2428" i="3" a="1"/>
  <c r="N2428" i="3" s="1"/>
  <c r="N2411" i="3" a="1"/>
  <c r="N2411" i="3" s="1"/>
  <c r="N2393" i="3" a="1"/>
  <c r="N2393" i="3" s="1"/>
  <c r="N2374" i="3" a="1"/>
  <c r="N2374" i="3" s="1"/>
  <c r="N2356" i="3" a="1"/>
  <c r="N2356" i="3" s="1"/>
  <c r="N2337" i="3" a="1"/>
  <c r="N2337" i="3" s="1"/>
  <c r="N2319" i="3" a="1"/>
  <c r="N2319" i="3" s="1"/>
  <c r="N2301" i="3" a="1"/>
  <c r="N2301" i="3" s="1"/>
  <c r="N2283" i="3" a="1"/>
  <c r="N2283" i="3" s="1"/>
  <c r="N2265" i="3" a="1"/>
  <c r="N2265" i="3" s="1"/>
  <c r="N2247" i="3" a="1"/>
  <c r="N2247" i="3" s="1"/>
  <c r="N2230" i="3" a="1"/>
  <c r="N2230" i="3" s="1"/>
  <c r="N2211" i="3" a="1"/>
  <c r="N2211" i="3" s="1"/>
  <c r="N2193" i="3" a="1"/>
  <c r="N2193" i="3" s="1"/>
  <c r="N2175" i="3" a="1"/>
  <c r="N2175" i="3" s="1"/>
  <c r="N2157" i="3" a="1"/>
  <c r="N2157" i="3" s="1"/>
  <c r="N2139" i="3" a="1"/>
  <c r="N2139" i="3" s="1"/>
  <c r="N2105" i="3" a="1"/>
  <c r="N2105" i="3" s="1"/>
  <c r="N2090" i="3" a="1"/>
  <c r="N2090" i="3" s="1"/>
  <c r="N2075" i="3" a="1"/>
  <c r="N2075" i="3" s="1"/>
  <c r="N2061" i="3" a="1"/>
  <c r="N2061" i="3" s="1"/>
  <c r="N2046" i="3" a="1"/>
  <c r="N2046" i="3" s="1"/>
  <c r="N2030" i="3" a="1"/>
  <c r="N2030" i="3" s="1"/>
  <c r="N2014" i="3" a="1"/>
  <c r="N2014" i="3" s="1"/>
  <c r="N1998" i="3" a="1"/>
  <c r="N1998" i="3" s="1"/>
  <c r="N1982" i="3" a="1"/>
  <c r="N1982" i="3" s="1"/>
  <c r="N1967" i="3" a="1"/>
  <c r="N1967" i="3" s="1"/>
  <c r="N1952" i="3" a="1"/>
  <c r="N1952" i="3" s="1"/>
  <c r="N1938" i="3" a="1"/>
  <c r="N1938" i="3" s="1"/>
  <c r="N1922" i="3" a="1"/>
  <c r="N1922" i="3" s="1"/>
  <c r="N1906" i="3" a="1"/>
  <c r="N1906" i="3" s="1"/>
  <c r="N1890" i="3" a="1"/>
  <c r="N1890" i="3" s="1"/>
  <c r="N1875" i="3" a="1"/>
  <c r="N1875" i="3" s="1"/>
  <c r="N1859" i="3" a="1"/>
  <c r="N1859" i="3" s="1"/>
  <c r="N1843" i="3" a="1"/>
  <c r="N1843" i="3" s="1"/>
  <c r="N1827" i="3" a="1"/>
  <c r="N1827" i="3" s="1"/>
  <c r="N1796" i="3" a="1"/>
  <c r="N1796" i="3" s="1"/>
  <c r="N1780" i="3" a="1"/>
  <c r="N1780" i="3" s="1"/>
  <c r="N1764" i="3" a="1"/>
  <c r="N1764" i="3" s="1"/>
  <c r="N1748" i="3" a="1"/>
  <c r="N1748" i="3" s="1"/>
  <c r="N1732" i="3" a="1"/>
  <c r="N1732" i="3" s="1"/>
  <c r="N1716" i="3" a="1"/>
  <c r="N1716" i="3" s="1"/>
  <c r="N1700" i="3" a="1"/>
  <c r="N1700" i="3" s="1"/>
  <c r="N1685" i="3" a="1"/>
  <c r="N1685" i="3" s="1"/>
  <c r="N1669" i="3" a="1"/>
  <c r="N1669" i="3" s="1"/>
  <c r="N1653" i="3" a="1"/>
  <c r="N1653" i="3" s="1"/>
  <c r="N1637" i="3" a="1"/>
  <c r="N1637" i="3" s="1"/>
  <c r="N1622" i="3" a="1"/>
  <c r="N1622" i="3" s="1"/>
  <c r="N1607" i="3" a="1"/>
  <c r="N1607" i="3" s="1"/>
  <c r="N3240" i="3" a="1"/>
  <c r="N3240" i="3" s="1"/>
  <c r="N3071" i="3" a="1"/>
  <c r="N3071" i="3" s="1"/>
  <c r="N2958" i="3" a="1"/>
  <c r="N2958" i="3" s="1"/>
  <c r="N2890" i="3" a="1"/>
  <c r="N2890" i="3" s="1"/>
  <c r="N2867" i="3" a="1"/>
  <c r="N2867" i="3" s="1"/>
  <c r="N3228" i="3" a="1"/>
  <c r="N3228" i="3" s="1"/>
  <c r="N3061" i="3" a="1"/>
  <c r="N3061" i="3" s="1"/>
  <c r="N2948" i="3" a="1"/>
  <c r="N2948" i="3" s="1"/>
  <c r="N2889" i="3" a="1"/>
  <c r="N2889" i="3" s="1"/>
  <c r="N2865" i="3" a="1"/>
  <c r="N2865" i="3" s="1"/>
  <c r="N2843" i="3" a="1"/>
  <c r="N2843" i="3" s="1"/>
  <c r="N2819" i="3" a="1"/>
  <c r="N2819" i="3" s="1"/>
  <c r="N2795" i="3" a="1"/>
  <c r="N2795" i="3" s="1"/>
  <c r="N2771" i="3" a="1"/>
  <c r="N2771" i="3" s="1"/>
  <c r="N2750" i="3" a="1"/>
  <c r="N2750" i="3" s="1"/>
  <c r="N2730" i="3" a="1"/>
  <c r="N2730" i="3" s="1"/>
  <c r="N2709" i="3" a="1"/>
  <c r="N2709" i="3" s="1"/>
  <c r="N2689" i="3" a="1"/>
  <c r="N2689" i="3" s="1"/>
  <c r="N2668" i="3" a="1"/>
  <c r="N2668" i="3" s="1"/>
  <c r="N2629" i="3" a="1"/>
  <c r="N2629" i="3" s="1"/>
  <c r="N2607" i="3" a="1"/>
  <c r="N2607" i="3" s="1"/>
  <c r="N2588" i="3" a="1"/>
  <c r="N2588" i="3" s="1"/>
  <c r="N2549" i="3" a="1"/>
  <c r="N2549" i="3" s="1"/>
  <c r="N2531" i="3" a="1"/>
  <c r="N2531" i="3" s="1"/>
  <c r="N2513" i="3" a="1"/>
  <c r="N2513" i="3" s="1"/>
  <c r="N2496" i="3" a="1"/>
  <c r="N2496" i="3" s="1"/>
  <c r="N2478" i="3" a="1"/>
  <c r="N2478" i="3" s="1"/>
  <c r="N2460" i="3" a="1"/>
  <c r="N2460" i="3" s="1"/>
  <c r="N2443" i="3" a="1"/>
  <c r="N2443" i="3" s="1"/>
  <c r="N2426" i="3" a="1"/>
  <c r="N2426" i="3" s="1"/>
  <c r="N2409" i="3" a="1"/>
  <c r="N2409" i="3" s="1"/>
  <c r="N2390" i="3" a="1"/>
  <c r="N2390" i="3" s="1"/>
  <c r="N2372" i="3" a="1"/>
  <c r="N2372" i="3" s="1"/>
  <c r="N2353" i="3" a="1"/>
  <c r="N2353" i="3" s="1"/>
  <c r="N2335" i="3" a="1"/>
  <c r="N2335" i="3" s="1"/>
  <c r="N2317" i="3" a="1"/>
  <c r="N2317" i="3" s="1"/>
  <c r="N2299" i="3" a="1"/>
  <c r="N2299" i="3" s="1"/>
  <c r="N2281" i="3" a="1"/>
  <c r="N2281" i="3" s="1"/>
  <c r="N2262" i="3" a="1"/>
  <c r="N2262" i="3" s="1"/>
  <c r="N2227" i="3" a="1"/>
  <c r="N2227" i="3" s="1"/>
  <c r="N2209" i="3" a="1"/>
  <c r="N2209" i="3" s="1"/>
  <c r="N2191" i="3" a="1"/>
  <c r="N2191" i="3" s="1"/>
  <c r="N2173" i="3" a="1"/>
  <c r="N2173" i="3" s="1"/>
  <c r="N2155" i="3" a="1"/>
  <c r="N2155" i="3" s="1"/>
  <c r="N2136" i="3" a="1"/>
  <c r="N2136" i="3" s="1"/>
  <c r="N2120" i="3" a="1"/>
  <c r="N2120" i="3" s="1"/>
  <c r="N2103" i="3" a="1"/>
  <c r="N2103" i="3" s="1"/>
  <c r="N2088" i="3" a="1"/>
  <c r="N2088" i="3" s="1"/>
  <c r="N2073" i="3" a="1"/>
  <c r="N2073" i="3" s="1"/>
  <c r="N2059" i="3" a="1"/>
  <c r="N2059" i="3" s="1"/>
  <c r="N2044" i="3" a="1"/>
  <c r="N2044" i="3" s="1"/>
  <c r="N2028" i="3" a="1"/>
  <c r="N2028" i="3" s="1"/>
  <c r="N2012" i="3" a="1"/>
  <c r="N2012" i="3" s="1"/>
  <c r="N1996" i="3" a="1"/>
  <c r="N1996" i="3" s="1"/>
  <c r="N1981" i="3" a="1"/>
  <c r="N1981" i="3" s="1"/>
  <c r="N1965" i="3" a="1"/>
  <c r="N1965" i="3" s="1"/>
  <c r="N1936" i="3" a="1"/>
  <c r="N1936" i="3" s="1"/>
  <c r="N1920" i="3" a="1"/>
  <c r="N1920" i="3" s="1"/>
  <c r="N1904" i="3" a="1"/>
  <c r="N1904" i="3" s="1"/>
  <c r="N1888" i="3" a="1"/>
  <c r="N1888" i="3" s="1"/>
  <c r="N1873" i="3" a="1"/>
  <c r="N1873" i="3" s="1"/>
  <c r="N1857" i="3" a="1"/>
  <c r="N1857" i="3" s="1"/>
  <c r="N1841" i="3" a="1"/>
  <c r="N1841" i="3" s="1"/>
  <c r="N1825" i="3" a="1"/>
  <c r="N1825" i="3" s="1"/>
  <c r="N1810" i="3" a="1"/>
  <c r="N1810" i="3" s="1"/>
  <c r="N1794" i="3" a="1"/>
  <c r="N1794" i="3" s="1"/>
  <c r="N1778" i="3" a="1"/>
  <c r="N1778" i="3" s="1"/>
  <c r="N1762" i="3" a="1"/>
  <c r="N1762" i="3" s="1"/>
  <c r="N1746" i="3" a="1"/>
  <c r="N1746" i="3" s="1"/>
  <c r="N1730" i="3" a="1"/>
  <c r="N1730" i="3" s="1"/>
  <c r="N1714" i="3" a="1"/>
  <c r="N1714" i="3" s="1"/>
  <c r="N1698" i="3" a="1"/>
  <c r="N1698" i="3" s="1"/>
  <c r="N1683" i="3" a="1"/>
  <c r="N1683" i="3" s="1"/>
  <c r="N1667" i="3" a="1"/>
  <c r="N1667" i="3" s="1"/>
  <c r="N1651" i="3" a="1"/>
  <c r="N1651" i="3" s="1"/>
  <c r="N1635" i="3" a="1"/>
  <c r="N1635" i="3" s="1"/>
  <c r="N1621" i="3" a="1"/>
  <c r="N1621" i="3" s="1"/>
  <c r="N1606" i="3" a="1"/>
  <c r="N1606" i="3" s="1"/>
  <c r="N1590" i="3" a="1"/>
  <c r="N1590" i="3" s="1"/>
  <c r="N1574" i="3" a="1"/>
  <c r="N1574" i="3" s="1"/>
  <c r="N1558" i="3" a="1"/>
  <c r="N1558" i="3" s="1"/>
  <c r="N1542" i="3" a="1"/>
  <c r="N1542" i="3" s="1"/>
  <c r="N1527" i="3" a="1"/>
  <c r="N1527" i="3" s="1"/>
  <c r="N1511" i="3" a="1"/>
  <c r="N1511" i="3" s="1"/>
  <c r="N1495" i="3" a="1"/>
  <c r="N1495" i="3" s="1"/>
  <c r="N1479" i="3" a="1"/>
  <c r="N1479" i="3" s="1"/>
  <c r="N1463" i="3" a="1"/>
  <c r="N1463" i="3" s="1"/>
  <c r="N1447" i="3" a="1"/>
  <c r="N1447" i="3" s="1"/>
  <c r="N1433" i="3" a="1"/>
  <c r="N1433" i="3" s="1"/>
  <c r="N1417" i="3" a="1"/>
  <c r="N1417" i="3" s="1"/>
  <c r="N1401" i="3" a="1"/>
  <c r="N1401" i="3" s="1"/>
  <c r="N1385" i="3" a="1"/>
  <c r="N1385" i="3" s="1"/>
  <c r="N1357" i="3" a="1"/>
  <c r="N1357" i="3" s="1"/>
  <c r="N1342" i="3" a="1"/>
  <c r="N1342" i="3" s="1"/>
  <c r="N1327" i="3" a="1"/>
  <c r="N1327" i="3" s="1"/>
  <c r="N1313" i="3" a="1"/>
  <c r="N1313" i="3" s="1"/>
  <c r="N1297" i="3" a="1"/>
  <c r="N1297" i="3" s="1"/>
  <c r="N1281" i="3" a="1"/>
  <c r="N1281" i="3" s="1"/>
  <c r="N1265" i="3" a="1"/>
  <c r="N1265" i="3" s="1"/>
  <c r="N1249" i="3" a="1"/>
  <c r="N1249" i="3" s="1"/>
  <c r="N1234" i="3" a="1"/>
  <c r="N1234" i="3" s="1"/>
  <c r="N1218" i="3" a="1"/>
  <c r="N1218" i="3" s="1"/>
  <c r="N1202" i="3" a="1"/>
  <c r="N1202" i="3" s="1"/>
  <c r="N1186" i="3" a="1"/>
  <c r="N1186" i="3" s="1"/>
  <c r="N1171" i="3" a="1"/>
  <c r="N1171" i="3" s="1"/>
  <c r="N1155" i="3" a="1"/>
  <c r="N1155" i="3" s="1"/>
  <c r="N1139" i="3" a="1"/>
  <c r="N1139" i="3" s="1"/>
  <c r="N1123" i="3" a="1"/>
  <c r="N1123" i="3" s="1"/>
  <c r="N1093" i="3" a="1"/>
  <c r="N1093" i="3" s="1"/>
  <c r="N1077" i="3" a="1"/>
  <c r="N1077" i="3" s="1"/>
  <c r="N1061" i="3" a="1"/>
  <c r="N1061" i="3" s="1"/>
  <c r="N1045" i="3" a="1"/>
  <c r="N1045" i="3" s="1"/>
  <c r="N1030" i="3" a="1"/>
  <c r="N1030" i="3" s="1"/>
  <c r="N1015" i="3" a="1"/>
  <c r="N1015" i="3" s="1"/>
  <c r="N999" i="3" a="1"/>
  <c r="N999" i="3" s="1"/>
  <c r="N984" i="3" a="1"/>
  <c r="N984" i="3" s="1"/>
  <c r="N968" i="3" a="1"/>
  <c r="N968" i="3" s="1"/>
  <c r="N953" i="3" a="1"/>
  <c r="N953" i="3" s="1"/>
  <c r="N938" i="3" a="1"/>
  <c r="N938" i="3" s="1"/>
  <c r="N894" i="3" a="1"/>
  <c r="N894" i="3" s="1"/>
  <c r="N878" i="3" a="1"/>
  <c r="N878" i="3" s="1"/>
  <c r="N863" i="3" a="1"/>
  <c r="N863" i="3" s="1"/>
  <c r="N833" i="3" a="1"/>
  <c r="N833" i="3" s="1"/>
  <c r="N819" i="3" a="1"/>
  <c r="N819" i="3" s="1"/>
  <c r="N804" i="3" a="1"/>
  <c r="N804" i="3" s="1"/>
  <c r="N790" i="3" a="1"/>
  <c r="N790" i="3" s="1"/>
  <c r="N774" i="3" a="1"/>
  <c r="N774" i="3" s="1"/>
  <c r="N759" i="3" a="1"/>
  <c r="N759" i="3" s="1"/>
  <c r="N743" i="3" a="1"/>
  <c r="N743" i="3" s="1"/>
  <c r="N728" i="3" a="1"/>
  <c r="N728" i="3" s="1"/>
  <c r="N3215" i="3" a="1"/>
  <c r="N3215" i="3" s="1"/>
  <c r="N2943" i="3" a="1"/>
  <c r="N2943" i="3" s="1"/>
  <c r="N2888" i="3" a="1"/>
  <c r="N2888" i="3" s="1"/>
  <c r="N2842" i="3" a="1"/>
  <c r="N2842" i="3" s="1"/>
  <c r="N2818" i="3" a="1"/>
  <c r="N2818" i="3" s="1"/>
  <c r="N2793" i="3" a="1"/>
  <c r="N2793" i="3" s="1"/>
  <c r="N2770" i="3" a="1"/>
  <c r="N2770" i="3" s="1"/>
  <c r="N2749" i="3" a="1"/>
  <c r="N2749" i="3" s="1"/>
  <c r="N2729" i="3" a="1"/>
  <c r="N2729" i="3" s="1"/>
  <c r="N2708" i="3" a="1"/>
  <c r="N2708" i="3" s="1"/>
  <c r="N2687" i="3" a="1"/>
  <c r="N2687" i="3" s="1"/>
  <c r="N2667" i="3" a="1"/>
  <c r="N2667" i="3" s="1"/>
  <c r="N2647" i="3" a="1"/>
  <c r="N2647" i="3" s="1"/>
  <c r="N2628" i="3" a="1"/>
  <c r="N2628" i="3" s="1"/>
  <c r="N2606" i="3" a="1"/>
  <c r="N2606" i="3" s="1"/>
  <c r="N2587" i="3" a="1"/>
  <c r="N2587" i="3" s="1"/>
  <c r="N2568" i="3" a="1"/>
  <c r="N2568" i="3" s="1"/>
  <c r="N2548" i="3" a="1"/>
  <c r="N2548" i="3" s="1"/>
  <c r="N2530" i="3" a="1"/>
  <c r="N2530" i="3" s="1"/>
  <c r="N2512" i="3" a="1"/>
  <c r="N2512" i="3" s="1"/>
  <c r="N2495" i="3" a="1"/>
  <c r="N2495" i="3" s="1"/>
  <c r="N2477" i="3" a="1"/>
  <c r="N2477" i="3" s="1"/>
  <c r="N2459" i="3" a="1"/>
  <c r="N2459" i="3" s="1"/>
  <c r="N2442" i="3" a="1"/>
  <c r="N2442" i="3" s="1"/>
  <c r="N2425" i="3" a="1"/>
  <c r="N2425" i="3" s="1"/>
  <c r="N2408" i="3" a="1"/>
  <c r="N2408" i="3" s="1"/>
  <c r="N2389" i="3" a="1"/>
  <c r="N2389" i="3" s="1"/>
  <c r="N2371" i="3" a="1"/>
  <c r="N2371" i="3" s="1"/>
  <c r="N2352" i="3" a="1"/>
  <c r="N2352" i="3" s="1"/>
  <c r="N2334" i="3" a="1"/>
  <c r="N2334" i="3" s="1"/>
  <c r="N2316" i="3" a="1"/>
  <c r="N2316" i="3" s="1"/>
  <c r="N2298" i="3" a="1"/>
  <c r="N2298" i="3" s="1"/>
  <c r="N2280" i="3" a="1"/>
  <c r="N2280" i="3" s="1"/>
  <c r="N2245" i="3" a="1"/>
  <c r="N2245" i="3" s="1"/>
  <c r="N2226" i="3" a="1"/>
  <c r="N2226" i="3" s="1"/>
  <c r="N2208" i="3" a="1"/>
  <c r="N2208" i="3" s="1"/>
  <c r="N2190" i="3" a="1"/>
  <c r="N2190" i="3" s="1"/>
  <c r="N2172" i="3" a="1"/>
  <c r="N2172" i="3" s="1"/>
  <c r="N2154" i="3" a="1"/>
  <c r="N2154" i="3" s="1"/>
  <c r="N2135" i="3" a="1"/>
  <c r="N2135" i="3" s="1"/>
  <c r="N2119" i="3" a="1"/>
  <c r="N2119" i="3" s="1"/>
  <c r="N2102" i="3" a="1"/>
  <c r="N2102" i="3" s="1"/>
  <c r="N2087" i="3" a="1"/>
  <c r="N2087" i="3" s="1"/>
  <c r="N2072" i="3" a="1"/>
  <c r="N2072" i="3" s="1"/>
  <c r="N2058" i="3" a="1"/>
  <c r="N2058" i="3" s="1"/>
  <c r="N2043" i="3" a="1"/>
  <c r="N2043" i="3" s="1"/>
  <c r="N2027" i="3" a="1"/>
  <c r="N2027" i="3" s="1"/>
  <c r="N2011" i="3" a="1"/>
  <c r="N2011" i="3" s="1"/>
  <c r="N1995" i="3" a="1"/>
  <c r="N1995" i="3" s="1"/>
  <c r="N1980" i="3" a="1"/>
  <c r="N1980" i="3" s="1"/>
  <c r="N1964" i="3" a="1"/>
  <c r="N1964" i="3" s="1"/>
  <c r="N1950" i="3" a="1"/>
  <c r="N1950" i="3" s="1"/>
  <c r="N1935" i="3" a="1"/>
  <c r="N1935" i="3" s="1"/>
  <c r="N1919" i="3" a="1"/>
  <c r="N1919" i="3" s="1"/>
  <c r="N1903" i="3" a="1"/>
  <c r="N1903" i="3" s="1"/>
  <c r="N1887" i="3" a="1"/>
  <c r="N1887" i="3" s="1"/>
  <c r="N1872" i="3" a="1"/>
  <c r="N1872" i="3" s="1"/>
  <c r="N1856" i="3" a="1"/>
  <c r="N1856" i="3" s="1"/>
  <c r="N1840" i="3" a="1"/>
  <c r="N1840" i="3" s="1"/>
  <c r="N1824" i="3" a="1"/>
  <c r="N1824" i="3" s="1"/>
  <c r="N1809" i="3" a="1"/>
  <c r="N1809" i="3" s="1"/>
  <c r="N1793" i="3" a="1"/>
  <c r="N1793" i="3" s="1"/>
  <c r="N1777" i="3" a="1"/>
  <c r="N1777" i="3" s="1"/>
  <c r="N1761" i="3" a="1"/>
  <c r="N1761" i="3" s="1"/>
  <c r="N1745" i="3" a="1"/>
  <c r="N1745" i="3" s="1"/>
  <c r="N1729" i="3" a="1"/>
  <c r="N1729" i="3" s="1"/>
  <c r="N1713" i="3" a="1"/>
  <c r="N1713" i="3" s="1"/>
  <c r="N1697" i="3" a="1"/>
  <c r="N1697" i="3" s="1"/>
  <c r="N1682" i="3" a="1"/>
  <c r="N1682" i="3" s="1"/>
  <c r="N1666" i="3" a="1"/>
  <c r="N1666" i="3" s="1"/>
  <c r="N1650" i="3" a="1"/>
  <c r="N1650" i="3" s="1"/>
  <c r="N1620" i="3" a="1"/>
  <c r="N1620" i="3" s="1"/>
  <c r="N1605" i="3" a="1"/>
  <c r="N1605" i="3" s="1"/>
  <c r="N1589" i="3" a="1"/>
  <c r="N1589" i="3" s="1"/>
  <c r="N1573" i="3" a="1"/>
  <c r="N1573" i="3" s="1"/>
  <c r="N1557" i="3" a="1"/>
  <c r="N1557" i="3" s="1"/>
  <c r="N1541" i="3" a="1"/>
  <c r="N1541" i="3" s="1"/>
  <c r="N1526" i="3" a="1"/>
  <c r="N1526" i="3" s="1"/>
  <c r="N1510" i="3" a="1"/>
  <c r="N1510" i="3" s="1"/>
  <c r="N1494" i="3" a="1"/>
  <c r="N1494" i="3" s="1"/>
  <c r="N3203" i="3" a="1"/>
  <c r="N3203" i="3" s="1"/>
  <c r="N3046" i="3" a="1"/>
  <c r="N3046" i="3" s="1"/>
  <c r="N2939" i="3" a="1"/>
  <c r="N2939" i="3" s="1"/>
  <c r="N2886" i="3" a="1"/>
  <c r="N2886" i="3" s="1"/>
  <c r="N2864" i="3" a="1"/>
  <c r="N2864" i="3" s="1"/>
  <c r="N2841" i="3" a="1"/>
  <c r="N2841" i="3" s="1"/>
  <c r="N2816" i="3" a="1"/>
  <c r="N2816" i="3" s="1"/>
  <c r="N2792" i="3" a="1"/>
  <c r="N2792" i="3" s="1"/>
  <c r="N2768" i="3" a="1"/>
  <c r="N2768" i="3" s="1"/>
  <c r="N2748" i="3" a="1"/>
  <c r="N2748" i="3" s="1"/>
  <c r="N2727" i="3" a="1"/>
  <c r="N2727" i="3" s="1"/>
  <c r="N2707" i="3" a="1"/>
  <c r="N2707" i="3" s="1"/>
  <c r="N2686" i="3" a="1"/>
  <c r="N2686" i="3" s="1"/>
  <c r="N2665" i="3" a="1"/>
  <c r="N2665" i="3" s="1"/>
  <c r="N2646" i="3" a="1"/>
  <c r="N2646" i="3" s="1"/>
  <c r="N2625" i="3" a="1"/>
  <c r="N2625" i="3" s="1"/>
  <c r="N2605" i="3" a="1"/>
  <c r="N2605" i="3" s="1"/>
  <c r="N2586" i="3" a="1"/>
  <c r="N2586" i="3" s="1"/>
  <c r="N2567" i="3" a="1"/>
  <c r="N2567" i="3" s="1"/>
  <c r="N2547" i="3" a="1"/>
  <c r="N2547" i="3" s="1"/>
  <c r="N2528" i="3" a="1"/>
  <c r="N2528" i="3" s="1"/>
  <c r="N2511" i="3" a="1"/>
  <c r="N2511" i="3" s="1"/>
  <c r="N2493" i="3" a="1"/>
  <c r="N2493" i="3" s="1"/>
  <c r="N2476" i="3" a="1"/>
  <c r="N2476" i="3" s="1"/>
  <c r="N2458" i="3" a="1"/>
  <c r="N2458" i="3" s="1"/>
  <c r="N2441" i="3" a="1"/>
  <c r="N2441" i="3" s="1"/>
  <c r="N2424" i="3" a="1"/>
  <c r="N2424" i="3" s="1"/>
  <c r="N2406" i="3" a="1"/>
  <c r="N2406" i="3" s="1"/>
  <c r="N2388" i="3" a="1"/>
  <c r="N2388" i="3" s="1"/>
  <c r="N2369" i="3" a="1"/>
  <c r="N2369" i="3" s="1"/>
  <c r="N2351" i="3" a="1"/>
  <c r="N2351" i="3" s="1"/>
  <c r="N2333" i="3" a="1"/>
  <c r="N2333" i="3" s="1"/>
  <c r="N2315" i="3" a="1"/>
  <c r="N2315" i="3" s="1"/>
  <c r="N2297" i="3" a="1"/>
  <c r="N2297" i="3" s="1"/>
  <c r="N2278" i="3" a="1"/>
  <c r="N2278" i="3" s="1"/>
  <c r="N2261" i="3" a="1"/>
  <c r="N2261" i="3" s="1"/>
  <c r="N2243" i="3" a="1"/>
  <c r="N2243" i="3" s="1"/>
  <c r="N2225" i="3" a="1"/>
  <c r="N2225" i="3" s="1"/>
  <c r="N2207" i="3" a="1"/>
  <c r="N2207" i="3" s="1"/>
  <c r="N2189" i="3" a="1"/>
  <c r="N2189" i="3" s="1"/>
  <c r="N2171" i="3" a="1"/>
  <c r="N2171" i="3" s="1"/>
  <c r="N2152" i="3" a="1"/>
  <c r="N2152" i="3" s="1"/>
  <c r="N2134" i="3" a="1"/>
  <c r="N2134" i="3" s="1"/>
  <c r="N2117" i="3" a="1"/>
  <c r="N2117" i="3" s="1"/>
  <c r="N2101" i="3" a="1"/>
  <c r="N2101" i="3" s="1"/>
  <c r="N2086" i="3" a="1"/>
  <c r="N2086" i="3" s="1"/>
  <c r="N2071" i="3" a="1"/>
  <c r="N2071" i="3" s="1"/>
  <c r="N2042" i="3" a="1"/>
  <c r="N2042" i="3" s="1"/>
  <c r="N2026" i="3" a="1"/>
  <c r="N2026" i="3" s="1"/>
  <c r="N2010" i="3" a="1"/>
  <c r="N2010" i="3" s="1"/>
  <c r="N1994" i="3" a="1"/>
  <c r="N1994" i="3" s="1"/>
  <c r="N1979" i="3" a="1"/>
  <c r="N1979" i="3" s="1"/>
  <c r="N1934" i="3" a="1"/>
  <c r="N1934" i="3" s="1"/>
  <c r="N1918" i="3" a="1"/>
  <c r="N1918" i="3" s="1"/>
  <c r="N1902" i="3" a="1"/>
  <c r="N1902" i="3" s="1"/>
  <c r="N1886" i="3" a="1"/>
  <c r="N1886" i="3" s="1"/>
  <c r="N1871" i="3" a="1"/>
  <c r="N1871" i="3" s="1"/>
  <c r="N1855" i="3" a="1"/>
  <c r="N1855" i="3" s="1"/>
  <c r="N1839" i="3" a="1"/>
  <c r="N1839" i="3" s="1"/>
  <c r="N1823" i="3" a="1"/>
  <c r="N1823" i="3" s="1"/>
  <c r="N1808" i="3" a="1"/>
  <c r="N1808" i="3" s="1"/>
  <c r="N1792" i="3" a="1"/>
  <c r="N1792" i="3" s="1"/>
  <c r="N1776" i="3" a="1"/>
  <c r="N1776" i="3" s="1"/>
  <c r="N1760" i="3" a="1"/>
  <c r="N1760" i="3" s="1"/>
  <c r="N1744" i="3" a="1"/>
  <c r="N1744" i="3" s="1"/>
  <c r="N1728" i="3" a="1"/>
  <c r="N1728" i="3" s="1"/>
  <c r="N1712" i="3" a="1"/>
  <c r="N1712" i="3" s="1"/>
  <c r="N1696" i="3" a="1"/>
  <c r="N1696" i="3" s="1"/>
  <c r="N1681" i="3" a="1"/>
  <c r="N1681" i="3" s="1"/>
  <c r="N1665" i="3" a="1"/>
  <c r="N1665" i="3" s="1"/>
  <c r="N1649" i="3" a="1"/>
  <c r="N1649" i="3" s="1"/>
  <c r="N1634" i="3" a="1"/>
  <c r="N1634" i="3" s="1"/>
  <c r="N1619" i="3" a="1"/>
  <c r="N1619" i="3" s="1"/>
  <c r="N1604" i="3" a="1"/>
  <c r="N1604" i="3" s="1"/>
  <c r="N1588" i="3" a="1"/>
  <c r="N1588" i="3" s="1"/>
  <c r="N1572" i="3" a="1"/>
  <c r="N1572" i="3" s="1"/>
  <c r="N1556" i="3" a="1"/>
  <c r="N1556" i="3" s="1"/>
  <c r="N1540" i="3" a="1"/>
  <c r="N1540" i="3" s="1"/>
  <c r="N1525" i="3" a="1"/>
  <c r="N1525" i="3" s="1"/>
  <c r="N1509" i="3" a="1"/>
  <c r="N1509" i="3" s="1"/>
  <c r="N1493" i="3" a="1"/>
  <c r="N1493" i="3" s="1"/>
  <c r="N1477" i="3" a="1"/>
  <c r="N1477" i="3" s="1"/>
  <c r="N3192" i="3" a="1"/>
  <c r="N3192" i="3" s="1"/>
  <c r="N3041" i="3" a="1"/>
  <c r="N3041" i="3" s="1"/>
  <c r="N2884" i="3" a="1"/>
  <c r="N2884" i="3" s="1"/>
  <c r="N2862" i="3" a="1"/>
  <c r="N2862" i="3" s="1"/>
  <c r="N2838" i="3" a="1"/>
  <c r="N2838" i="3" s="1"/>
  <c r="N2814" i="3" a="1"/>
  <c r="N2814" i="3" s="1"/>
  <c r="N2790" i="3" a="1"/>
  <c r="N2790" i="3" s="1"/>
  <c r="N2766" i="3" a="1"/>
  <c r="N2766" i="3" s="1"/>
  <c r="N2747" i="3" a="1"/>
  <c r="N2747" i="3" s="1"/>
  <c r="N2726" i="3" a="1"/>
  <c r="N2726" i="3" s="1"/>
  <c r="N2706" i="3" a="1"/>
  <c r="N2706" i="3" s="1"/>
  <c r="N2685" i="3" a="1"/>
  <c r="N2685" i="3" s="1"/>
  <c r="N2663" i="3" a="1"/>
  <c r="N2663" i="3" s="1"/>
  <c r="N2645" i="3" a="1"/>
  <c r="N2645" i="3" s="1"/>
  <c r="N2624" i="3" a="1"/>
  <c r="N2624" i="3" s="1"/>
  <c r="N2604" i="3" a="1"/>
  <c r="N2604" i="3" s="1"/>
  <c r="N2585" i="3" a="1"/>
  <c r="N2585" i="3" s="1"/>
  <c r="N2546" i="3" a="1"/>
  <c r="N2546" i="3" s="1"/>
  <c r="N2527" i="3" a="1"/>
  <c r="N2527" i="3" s="1"/>
  <c r="N2510" i="3" a="1"/>
  <c r="N2510" i="3" s="1"/>
  <c r="N2492" i="3" a="1"/>
  <c r="N2492" i="3" s="1"/>
  <c r="N2475" i="3" a="1"/>
  <c r="N2475" i="3" s="1"/>
  <c r="N2457" i="3" a="1"/>
  <c r="N2457" i="3" s="1"/>
  <c r="N2440" i="3" a="1"/>
  <c r="N2440" i="3" s="1"/>
  <c r="N2405" i="3" a="1"/>
  <c r="N2405" i="3" s="1"/>
  <c r="N2387" i="3" a="1"/>
  <c r="N2387" i="3" s="1"/>
  <c r="N2368" i="3" a="1"/>
  <c r="N2368" i="3" s="1"/>
  <c r="N2350" i="3" a="1"/>
  <c r="N2350" i="3" s="1"/>
  <c r="N2332" i="3" a="1"/>
  <c r="N2332" i="3" s="1"/>
  <c r="N2314" i="3" a="1"/>
  <c r="N2314" i="3" s="1"/>
  <c r="N2296" i="3" a="1"/>
  <c r="N2296" i="3" s="1"/>
  <c r="N2277" i="3" a="1"/>
  <c r="N2277" i="3" s="1"/>
  <c r="N2260" i="3" a="1"/>
  <c r="N2260" i="3" s="1"/>
  <c r="N2242" i="3" a="1"/>
  <c r="N2242" i="3" s="1"/>
  <c r="N2224" i="3" a="1"/>
  <c r="N2224" i="3" s="1"/>
  <c r="N2206" i="3" a="1"/>
  <c r="N2206" i="3" s="1"/>
  <c r="N2188" i="3" a="1"/>
  <c r="N2188" i="3" s="1"/>
  <c r="N2170" i="3" a="1"/>
  <c r="N2170" i="3" s="1"/>
  <c r="N2151" i="3" a="1"/>
  <c r="N2151" i="3" s="1"/>
  <c r="N2133" i="3" a="1"/>
  <c r="N2133" i="3" s="1"/>
  <c r="N2116" i="3" a="1"/>
  <c r="N2116" i="3" s="1"/>
  <c r="N2100" i="3" a="1"/>
  <c r="N2100" i="3" s="1"/>
  <c r="N2085" i="3" a="1"/>
  <c r="N2085" i="3" s="1"/>
  <c r="N2070" i="3" a="1"/>
  <c r="N2070" i="3" s="1"/>
  <c r="N2057" i="3" a="1"/>
  <c r="N2057" i="3" s="1"/>
  <c r="N2041" i="3" a="1"/>
  <c r="N2041" i="3" s="1"/>
  <c r="N2025" i="3" a="1"/>
  <c r="N2025" i="3" s="1"/>
  <c r="N2009" i="3" a="1"/>
  <c r="N2009" i="3" s="1"/>
  <c r="N1993" i="3" a="1"/>
  <c r="N1993" i="3" s="1"/>
  <c r="N1978" i="3" a="1"/>
  <c r="N1978" i="3" s="1"/>
  <c r="N1963" i="3" a="1"/>
  <c r="N1963" i="3" s="1"/>
  <c r="N1949" i="3" a="1"/>
  <c r="N1949" i="3" s="1"/>
  <c r="N1933" i="3" a="1"/>
  <c r="N1933" i="3" s="1"/>
  <c r="N1917" i="3" a="1"/>
  <c r="N1917" i="3" s="1"/>
  <c r="N1901" i="3" a="1"/>
  <c r="N1901" i="3" s="1"/>
  <c r="N1885" i="3" a="1"/>
  <c r="N1885" i="3" s="1"/>
  <c r="N1870" i="3" a="1"/>
  <c r="N1870" i="3" s="1"/>
  <c r="N1854" i="3" a="1"/>
  <c r="N1854" i="3" s="1"/>
  <c r="N1838" i="3" a="1"/>
  <c r="N1838" i="3" s="1"/>
  <c r="N1822" i="3" a="1"/>
  <c r="N1822" i="3" s="1"/>
  <c r="N1807" i="3" a="1"/>
  <c r="N1807" i="3" s="1"/>
  <c r="N1791" i="3" a="1"/>
  <c r="N1791" i="3" s="1"/>
  <c r="N1775" i="3" a="1"/>
  <c r="N1775" i="3" s="1"/>
  <c r="N1759" i="3" a="1"/>
  <c r="N1759" i="3" s="1"/>
  <c r="N1743" i="3" a="1"/>
  <c r="N1743" i="3" s="1"/>
  <c r="N1727" i="3" a="1"/>
  <c r="N1727" i="3" s="1"/>
  <c r="N1711" i="3" a="1"/>
  <c r="N1711" i="3" s="1"/>
  <c r="N1695" i="3" a="1"/>
  <c r="N1695" i="3" s="1"/>
  <c r="N1680" i="3" a="1"/>
  <c r="N1680" i="3" s="1"/>
  <c r="N1664" i="3" a="1"/>
  <c r="N1664" i="3" s="1"/>
  <c r="N1648" i="3" a="1"/>
  <c r="N1648" i="3" s="1"/>
  <c r="N1633" i="3" a="1"/>
  <c r="N1633" i="3" s="1"/>
  <c r="N1618" i="3" a="1"/>
  <c r="N1618" i="3" s="1"/>
  <c r="N1603" i="3" a="1"/>
  <c r="N1603" i="3" s="1"/>
  <c r="N1587" i="3" a="1"/>
  <c r="N1587" i="3" s="1"/>
  <c r="N1571" i="3" a="1"/>
  <c r="N1571" i="3" s="1"/>
  <c r="N1555" i="3" a="1"/>
  <c r="N1555" i="3" s="1"/>
  <c r="N1539" i="3" a="1"/>
  <c r="N1539" i="3" s="1"/>
  <c r="N1524" i="3" a="1"/>
  <c r="N1524" i="3" s="1"/>
  <c r="N1508" i="3" a="1"/>
  <c r="N1508" i="3" s="1"/>
  <c r="N1492" i="3" a="1"/>
  <c r="N1492" i="3" s="1"/>
  <c r="N1476" i="3" a="1"/>
  <c r="N1476" i="3" s="1"/>
  <c r="N3182" i="3" a="1"/>
  <c r="N3182" i="3" s="1"/>
  <c r="N3030" i="3" a="1"/>
  <c r="N3030" i="3" s="1"/>
  <c r="N2925" i="3" a="1"/>
  <c r="N2925" i="3" s="1"/>
  <c r="N2882" i="3" a="1"/>
  <c r="N2882" i="3" s="1"/>
  <c r="N2861" i="3" a="1"/>
  <c r="N2861" i="3" s="1"/>
  <c r="N2836" i="3" a="1"/>
  <c r="N2836" i="3" s="1"/>
  <c r="N2813" i="3" a="1"/>
  <c r="N2813" i="3" s="1"/>
  <c r="N2788" i="3" a="1"/>
  <c r="N2788" i="3" s="1"/>
  <c r="N2746" i="3" a="1"/>
  <c r="N2746" i="3" s="1"/>
  <c r="N2725" i="3" a="1"/>
  <c r="N2725" i="3" s="1"/>
  <c r="N2705" i="3" a="1"/>
  <c r="N2705" i="3" s="1"/>
  <c r="N2683" i="3" a="1"/>
  <c r="N2683" i="3" s="1"/>
  <c r="N2662" i="3" a="1"/>
  <c r="N2662" i="3" s="1"/>
  <c r="N2643" i="3" a="1"/>
  <c r="N2643" i="3" s="1"/>
  <c r="N2623" i="3" a="1"/>
  <c r="N2623" i="3" s="1"/>
  <c r="N2602" i="3" a="1"/>
  <c r="N2602" i="3" s="1"/>
  <c r="N2584" i="3" a="1"/>
  <c r="N2584" i="3" s="1"/>
  <c r="N2565" i="3" a="1"/>
  <c r="N2565" i="3" s="1"/>
  <c r="N2544" i="3" a="1"/>
  <c r="N2544" i="3" s="1"/>
  <c r="N2526" i="3" a="1"/>
  <c r="N2526" i="3" s="1"/>
  <c r="N2508" i="3" a="1"/>
  <c r="N2508" i="3" s="1"/>
  <c r="N2491" i="3" a="1"/>
  <c r="N2491" i="3" s="1"/>
  <c r="N2474" i="3" a="1"/>
  <c r="N2474" i="3" s="1"/>
  <c r="N2456" i="3" a="1"/>
  <c r="N2456" i="3" s="1"/>
  <c r="N2439" i="3" a="1"/>
  <c r="N2439" i="3" s="1"/>
  <c r="N2422" i="3" a="1"/>
  <c r="N2422" i="3" s="1"/>
  <c r="N2404" i="3" a="1"/>
  <c r="N2404" i="3" s="1"/>
  <c r="N2385" i="3" a="1"/>
  <c r="N2385" i="3" s="1"/>
  <c r="N2367" i="3" a="1"/>
  <c r="N2367" i="3" s="1"/>
  <c r="N2349" i="3" a="1"/>
  <c r="N2349" i="3" s="1"/>
  <c r="N2331" i="3" a="1"/>
  <c r="N2331" i="3" s="1"/>
  <c r="N2313" i="3" a="1"/>
  <c r="N2313" i="3" s="1"/>
  <c r="N2294" i="3" a="1"/>
  <c r="N2294" i="3" s="1"/>
  <c r="N2276" i="3" a="1"/>
  <c r="N2276" i="3" s="1"/>
  <c r="N2258" i="3" a="1"/>
  <c r="N2258" i="3" s="1"/>
  <c r="N2241" i="3" a="1"/>
  <c r="N2241" i="3" s="1"/>
  <c r="N2223" i="3" a="1"/>
  <c r="N2223" i="3" s="1"/>
  <c r="N2205" i="3" a="1"/>
  <c r="N2205" i="3" s="1"/>
  <c r="N2187" i="3" a="1"/>
  <c r="N2187" i="3" s="1"/>
  <c r="N2168" i="3" a="1"/>
  <c r="N2168" i="3" s="1"/>
  <c r="N2150" i="3" a="1"/>
  <c r="N2150" i="3" s="1"/>
  <c r="N2131" i="3" a="1"/>
  <c r="N2131" i="3" s="1"/>
  <c r="N2115" i="3" a="1"/>
  <c r="N2115" i="3" s="1"/>
  <c r="N2099" i="3" a="1"/>
  <c r="N2099" i="3" s="1"/>
  <c r="N2056" i="3" a="1"/>
  <c r="N2056" i="3" s="1"/>
  <c r="N2040" i="3" a="1"/>
  <c r="N2040" i="3" s="1"/>
  <c r="N2024" i="3" a="1"/>
  <c r="N2024" i="3" s="1"/>
  <c r="N2008" i="3" a="1"/>
  <c r="N2008" i="3" s="1"/>
  <c r="N1992" i="3" a="1"/>
  <c r="N1992" i="3" s="1"/>
  <c r="N1977" i="3" a="1"/>
  <c r="N1977" i="3" s="1"/>
  <c r="N1962" i="3" a="1"/>
  <c r="N1962" i="3" s="1"/>
  <c r="N1948" i="3" a="1"/>
  <c r="N1948" i="3" s="1"/>
  <c r="N1932" i="3" a="1"/>
  <c r="N1932" i="3" s="1"/>
  <c r="N1916" i="3" a="1"/>
  <c r="N1916" i="3" s="1"/>
  <c r="N1900" i="3" a="1"/>
  <c r="N1900" i="3" s="1"/>
  <c r="N1884" i="3" a="1"/>
  <c r="N1884" i="3" s="1"/>
  <c r="N1869" i="3" a="1"/>
  <c r="N1869" i="3" s="1"/>
  <c r="N1853" i="3" a="1"/>
  <c r="N1853" i="3" s="1"/>
  <c r="N1837" i="3" a="1"/>
  <c r="N1837" i="3" s="1"/>
  <c r="N1821" i="3" a="1"/>
  <c r="N1821" i="3" s="1"/>
  <c r="N1806" i="3" a="1"/>
  <c r="N1806" i="3" s="1"/>
  <c r="N1790" i="3" a="1"/>
  <c r="N1790" i="3" s="1"/>
  <c r="N1774" i="3" a="1"/>
  <c r="N1774" i="3" s="1"/>
  <c r="N1758" i="3" a="1"/>
  <c r="N1758" i="3" s="1"/>
  <c r="N1742" i="3" a="1"/>
  <c r="N1742" i="3" s="1"/>
  <c r="N1726" i="3" a="1"/>
  <c r="N1726" i="3" s="1"/>
  <c r="N1710" i="3" a="1"/>
  <c r="N1710" i="3" s="1"/>
  <c r="N1679" i="3" a="1"/>
  <c r="N1679" i="3" s="1"/>
  <c r="N1663" i="3" a="1"/>
  <c r="N1663" i="3" s="1"/>
  <c r="N1647" i="3" a="1"/>
  <c r="N1647" i="3" s="1"/>
  <c r="N1632" i="3" a="1"/>
  <c r="N1632" i="3" s="1"/>
  <c r="N1617" i="3" a="1"/>
  <c r="N1617" i="3" s="1"/>
  <c r="N1602" i="3" a="1"/>
  <c r="N1602" i="3" s="1"/>
  <c r="N1586" i="3" a="1"/>
  <c r="N1586" i="3" s="1"/>
  <c r="N1570" i="3" a="1"/>
  <c r="N1570" i="3" s="1"/>
  <c r="N1554" i="3" a="1"/>
  <c r="N1554" i="3" s="1"/>
  <c r="N1538" i="3" a="1"/>
  <c r="N1538" i="3" s="1"/>
  <c r="N1523" i="3" a="1"/>
  <c r="N1523" i="3" s="1"/>
  <c r="N1507" i="3" a="1"/>
  <c r="N1507" i="3" s="1"/>
  <c r="N1491" i="3" a="1"/>
  <c r="N1491" i="3" s="1"/>
  <c r="N1475" i="3" a="1"/>
  <c r="N1475" i="3" s="1"/>
  <c r="N3173" i="3" a="1"/>
  <c r="N3173" i="3" s="1"/>
  <c r="N3026" i="3" a="1"/>
  <c r="N3026" i="3" s="1"/>
  <c r="N2921" i="3" a="1"/>
  <c r="N2921" i="3" s="1"/>
  <c r="N2881" i="3" a="1"/>
  <c r="N2881" i="3" s="1"/>
  <c r="N2860" i="3" a="1"/>
  <c r="N2860" i="3" s="1"/>
  <c r="N2835" i="3" a="1"/>
  <c r="N2835" i="3" s="1"/>
  <c r="N2811" i="3" a="1"/>
  <c r="N2811" i="3" s="1"/>
  <c r="N2787" i="3" a="1"/>
  <c r="N2787" i="3" s="1"/>
  <c r="N2765" i="3" a="1"/>
  <c r="N2765" i="3" s="1"/>
  <c r="N2745" i="3" a="1"/>
  <c r="N2745" i="3" s="1"/>
  <c r="N2724" i="3" a="1"/>
  <c r="N2724" i="3" s="1"/>
  <c r="N2703" i="3" a="1"/>
  <c r="N2703" i="3" s="1"/>
  <c r="N2682" i="3" a="1"/>
  <c r="N2682" i="3" s="1"/>
  <c r="N2661" i="3" a="1"/>
  <c r="N2661" i="3" s="1"/>
  <c r="N2641" i="3" a="1"/>
  <c r="N2641" i="3" s="1"/>
  <c r="N2622" i="3" a="1"/>
  <c r="N2622" i="3" s="1"/>
  <c r="N2601" i="3" a="1"/>
  <c r="N2601" i="3" s="1"/>
  <c r="N2583" i="3" a="1"/>
  <c r="N2583" i="3" s="1"/>
  <c r="N2564" i="3" a="1"/>
  <c r="N2564" i="3" s="1"/>
  <c r="N2542" i="3" a="1"/>
  <c r="N2542" i="3" s="1"/>
  <c r="N2525" i="3" a="1"/>
  <c r="N2525" i="3" s="1"/>
  <c r="N2507" i="3" a="1"/>
  <c r="N2507" i="3" s="1"/>
  <c r="N2490" i="3" a="1"/>
  <c r="N2490" i="3" s="1"/>
  <c r="N2473" i="3" a="1"/>
  <c r="N2473" i="3" s="1"/>
  <c r="N2455" i="3" a="1"/>
  <c r="N2455" i="3" s="1"/>
  <c r="N2438" i="3" a="1"/>
  <c r="N2438" i="3" s="1"/>
  <c r="N2421" i="3" a="1"/>
  <c r="N2421" i="3" s="1"/>
  <c r="N2403" i="3" a="1"/>
  <c r="N2403" i="3" s="1"/>
  <c r="N2384" i="3" a="1"/>
  <c r="N2384" i="3" s="1"/>
  <c r="N2366" i="3" a="1"/>
  <c r="N2366" i="3" s="1"/>
  <c r="N2348" i="3" a="1"/>
  <c r="N2348" i="3" s="1"/>
  <c r="N2330" i="3" a="1"/>
  <c r="N2330" i="3" s="1"/>
  <c r="N2312" i="3" a="1"/>
  <c r="N2312" i="3" s="1"/>
  <c r="N2293" i="3" a="1"/>
  <c r="N2293" i="3" s="1"/>
  <c r="N2275" i="3" a="1"/>
  <c r="N2275" i="3" s="1"/>
  <c r="N2257" i="3" a="1"/>
  <c r="N2257" i="3" s="1"/>
  <c r="N2240" i="3" a="1"/>
  <c r="N2240" i="3" s="1"/>
  <c r="N2222" i="3" a="1"/>
  <c r="N2222" i="3" s="1"/>
  <c r="N2204" i="3" a="1"/>
  <c r="N2204" i="3" s="1"/>
  <c r="N2186" i="3" a="1"/>
  <c r="N2186" i="3" s="1"/>
  <c r="N2167" i="3" a="1"/>
  <c r="N2167" i="3" s="1"/>
  <c r="N2149" i="3" a="1"/>
  <c r="N2149" i="3" s="1"/>
  <c r="N2130" i="3" a="1"/>
  <c r="N2130" i="3" s="1"/>
  <c r="N2114" i="3" a="1"/>
  <c r="N2114" i="3" s="1"/>
  <c r="N2098" i="3" a="1"/>
  <c r="N2098" i="3" s="1"/>
  <c r="N2084" i="3" a="1"/>
  <c r="N2084" i="3" s="1"/>
  <c r="N2069" i="3" a="1"/>
  <c r="N2069" i="3" s="1"/>
  <c r="N2055" i="3" a="1"/>
  <c r="N2055" i="3" s="1"/>
  <c r="N2039" i="3" a="1"/>
  <c r="N2039" i="3" s="1"/>
  <c r="N2023" i="3" a="1"/>
  <c r="N2023" i="3" s="1"/>
  <c r="N2007" i="3" a="1"/>
  <c r="N2007" i="3" s="1"/>
  <c r="N1991" i="3" a="1"/>
  <c r="N1991" i="3" s="1"/>
  <c r="N1976" i="3" a="1"/>
  <c r="N1976" i="3" s="1"/>
  <c r="N1961" i="3" a="1"/>
  <c r="N1961" i="3" s="1"/>
  <c r="N1947" i="3" a="1"/>
  <c r="N1947" i="3" s="1"/>
  <c r="N1931" i="3" a="1"/>
  <c r="N1931" i="3" s="1"/>
  <c r="N1915" i="3" a="1"/>
  <c r="N1915" i="3" s="1"/>
  <c r="N1899" i="3" a="1"/>
  <c r="N1899" i="3" s="1"/>
  <c r="N1883" i="3" a="1"/>
  <c r="N1883" i="3" s="1"/>
  <c r="N1868" i="3" a="1"/>
  <c r="N1868" i="3" s="1"/>
  <c r="N1852" i="3" a="1"/>
  <c r="N1852" i="3" s="1"/>
  <c r="N1836" i="3" a="1"/>
  <c r="N1836" i="3" s="1"/>
  <c r="N1820" i="3" a="1"/>
  <c r="N1820" i="3" s="1"/>
  <c r="N1805" i="3" a="1"/>
  <c r="N1805" i="3" s="1"/>
  <c r="N1789" i="3" a="1"/>
  <c r="N1789" i="3" s="1"/>
  <c r="N1773" i="3" a="1"/>
  <c r="N1773" i="3" s="1"/>
  <c r="N1757" i="3" a="1"/>
  <c r="N1757" i="3" s="1"/>
  <c r="N1741" i="3" a="1"/>
  <c r="N1741" i="3" s="1"/>
  <c r="N1725" i="3" a="1"/>
  <c r="N1725" i="3" s="1"/>
  <c r="N1709" i="3" a="1"/>
  <c r="N1709" i="3" s="1"/>
  <c r="N1694" i="3" a="1"/>
  <c r="N1694" i="3" s="1"/>
  <c r="N1678" i="3" a="1"/>
  <c r="N1678" i="3" s="1"/>
  <c r="N1662" i="3" a="1"/>
  <c r="N1662" i="3" s="1"/>
  <c r="N1646" i="3" a="1"/>
  <c r="N1646" i="3" s="1"/>
  <c r="N1631" i="3" a="1"/>
  <c r="N1631" i="3" s="1"/>
  <c r="N1616" i="3" a="1"/>
  <c r="N1616" i="3" s="1"/>
  <c r="N1601" i="3" a="1"/>
  <c r="N1601" i="3" s="1"/>
  <c r="N1585" i="3" a="1"/>
  <c r="N1585" i="3" s="1"/>
  <c r="N1569" i="3" a="1"/>
  <c r="N1569" i="3" s="1"/>
  <c r="N1553" i="3" a="1"/>
  <c r="N1553" i="3" s="1"/>
  <c r="N1537" i="3" a="1"/>
  <c r="N1537" i="3" s="1"/>
  <c r="N1522" i="3" a="1"/>
  <c r="N1522" i="3" s="1"/>
  <c r="N1506" i="3" a="1"/>
  <c r="N1506" i="3" s="1"/>
  <c r="N1490" i="3" a="1"/>
  <c r="N1490" i="3" s="1"/>
  <c r="N1474" i="3" a="1"/>
  <c r="N1474" i="3" s="1"/>
  <c r="N1458" i="3" a="1"/>
  <c r="N1458" i="3" s="1"/>
  <c r="N1442" i="3" a="1"/>
  <c r="N1442" i="3" s="1"/>
  <c r="N1428" i="3" a="1"/>
  <c r="N1428" i="3" s="1"/>
  <c r="N1412" i="3" a="1"/>
  <c r="N1412" i="3" s="1"/>
  <c r="N1396" i="3" a="1"/>
  <c r="N1396" i="3" s="1"/>
  <c r="N1382" i="3" a="1"/>
  <c r="N1382" i="3" s="1"/>
  <c r="N1368" i="3" a="1"/>
  <c r="N1368" i="3" s="1"/>
  <c r="N1353" i="3" a="1"/>
  <c r="N1353" i="3" s="1"/>
  <c r="N1337" i="3" a="1"/>
  <c r="N1337" i="3" s="1"/>
  <c r="N1323" i="3" a="1"/>
  <c r="N1323" i="3" s="1"/>
  <c r="N1308" i="3" a="1"/>
  <c r="N1308" i="3" s="1"/>
  <c r="N1292" i="3" a="1"/>
  <c r="N1292" i="3" s="1"/>
  <c r="N1276" i="3" a="1"/>
  <c r="N1276" i="3" s="1"/>
  <c r="N1260" i="3" a="1"/>
  <c r="N1260" i="3" s="1"/>
  <c r="N1244" i="3" a="1"/>
  <c r="N1244" i="3" s="1"/>
  <c r="N1229" i="3" a="1"/>
  <c r="N1229" i="3" s="1"/>
  <c r="N1213" i="3" a="1"/>
  <c r="N1213" i="3" s="1"/>
  <c r="N1197" i="3" a="1"/>
  <c r="N1197" i="3" s="1"/>
  <c r="N1181" i="3" a="1"/>
  <c r="N1181" i="3" s="1"/>
  <c r="N1166" i="3" a="1"/>
  <c r="N1166" i="3" s="1"/>
  <c r="N1150" i="3" a="1"/>
  <c r="N1150" i="3" s="1"/>
  <c r="N1134" i="3" a="1"/>
  <c r="N1134" i="3" s="1"/>
  <c r="N1118" i="3" a="1"/>
  <c r="N1118" i="3" s="1"/>
  <c r="N1103" i="3" a="1"/>
  <c r="N1103" i="3" s="1"/>
  <c r="N1088" i="3" a="1"/>
  <c r="N1088" i="3" s="1"/>
  <c r="N1072" i="3" a="1"/>
  <c r="N1072" i="3" s="1"/>
  <c r="N1056" i="3" a="1"/>
  <c r="N1056" i="3" s="1"/>
  <c r="N1040" i="3" a="1"/>
  <c r="N1040" i="3" s="1"/>
  <c r="N1025" i="3" a="1"/>
  <c r="N1025" i="3" s="1"/>
  <c r="N1010" i="3" a="1"/>
  <c r="N1010" i="3" s="1"/>
  <c r="N994" i="3" a="1"/>
  <c r="N994" i="3" s="1"/>
  <c r="N979" i="3" a="1"/>
  <c r="N979" i="3" s="1"/>
  <c r="N963" i="3" a="1"/>
  <c r="N963" i="3" s="1"/>
  <c r="N948" i="3" a="1"/>
  <c r="N948" i="3" s="1"/>
  <c r="N933" i="3" a="1"/>
  <c r="N933" i="3" s="1"/>
  <c r="N918" i="3" a="1"/>
  <c r="N918" i="3" s="1"/>
  <c r="N904" i="3" a="1"/>
  <c r="N904" i="3" s="1"/>
  <c r="N889" i="3" a="1"/>
  <c r="N889" i="3" s="1"/>
  <c r="N873" i="3" a="1"/>
  <c r="N873" i="3" s="1"/>
  <c r="N858" i="3" a="1"/>
  <c r="N858" i="3" s="1"/>
  <c r="N844" i="3" a="1"/>
  <c r="N844" i="3" s="1"/>
  <c r="N814" i="3" a="1"/>
  <c r="N814" i="3" s="1"/>
  <c r="N799" i="3" a="1"/>
  <c r="N799" i="3" s="1"/>
  <c r="N785" i="3" a="1"/>
  <c r="N785" i="3" s="1"/>
  <c r="N770" i="3" a="1"/>
  <c r="N770" i="3" s="1"/>
  <c r="N754" i="3" a="1"/>
  <c r="N754" i="3" s="1"/>
  <c r="N739" i="3" a="1"/>
  <c r="N739" i="3" s="1"/>
  <c r="N723" i="3" a="1"/>
  <c r="N723" i="3" s="1"/>
  <c r="N2844" i="3" a="1"/>
  <c r="N2844" i="3" s="1"/>
  <c r="N2669" i="3" a="1"/>
  <c r="N2669" i="3" s="1"/>
  <c r="N2515" i="3" a="1"/>
  <c r="N2515" i="3" s="1"/>
  <c r="N2373" i="3" a="1"/>
  <c r="N2373" i="3" s="1"/>
  <c r="N2229" i="3" a="1"/>
  <c r="N2229" i="3" s="1"/>
  <c r="N2089" i="3" a="1"/>
  <c r="N2089" i="3" s="1"/>
  <c r="N1966" i="3" a="1"/>
  <c r="N1966" i="3" s="1"/>
  <c r="N1850" i="3" a="1"/>
  <c r="N1850" i="3" s="1"/>
  <c r="N1765" i="3" a="1"/>
  <c r="N1765" i="3" s="1"/>
  <c r="N1701" i="3" a="1"/>
  <c r="N1701" i="3" s="1"/>
  <c r="N1638" i="3" a="1"/>
  <c r="N1638" i="3" s="1"/>
  <c r="N1592" i="3" a="1"/>
  <c r="N1592" i="3" s="1"/>
  <c r="N1552" i="3" a="1"/>
  <c r="N1552" i="3" s="1"/>
  <c r="N1519" i="3" a="1"/>
  <c r="N1519" i="3" s="1"/>
  <c r="N1482" i="3" a="1"/>
  <c r="N1482" i="3" s="1"/>
  <c r="N1460" i="3" a="1"/>
  <c r="N1460" i="3" s="1"/>
  <c r="N1441" i="3" a="1"/>
  <c r="N1441" i="3" s="1"/>
  <c r="N1425" i="3" a="1"/>
  <c r="N1425" i="3" s="1"/>
  <c r="N1407" i="3" a="1"/>
  <c r="N1407" i="3" s="1"/>
  <c r="N1389" i="3" a="1"/>
  <c r="N1389" i="3" s="1"/>
  <c r="N1373" i="3" a="1"/>
  <c r="N1373" i="3" s="1"/>
  <c r="N1356" i="3" a="1"/>
  <c r="N1356" i="3" s="1"/>
  <c r="N1339" i="3" a="1"/>
  <c r="N1339" i="3" s="1"/>
  <c r="N1322" i="3" a="1"/>
  <c r="N1322" i="3" s="1"/>
  <c r="N1305" i="3" a="1"/>
  <c r="N1305" i="3" s="1"/>
  <c r="N1287" i="3" a="1"/>
  <c r="N1287" i="3" s="1"/>
  <c r="N1269" i="3" a="1"/>
  <c r="N1269" i="3" s="1"/>
  <c r="N1251" i="3" a="1"/>
  <c r="N1251" i="3" s="1"/>
  <c r="N1233" i="3" a="1"/>
  <c r="N1233" i="3" s="1"/>
  <c r="N1215" i="3" a="1"/>
  <c r="N1215" i="3" s="1"/>
  <c r="N1196" i="3" a="1"/>
  <c r="N1196" i="3" s="1"/>
  <c r="N1178" i="3" a="1"/>
  <c r="N1178" i="3" s="1"/>
  <c r="N1161" i="3" a="1"/>
  <c r="N1161" i="3" s="1"/>
  <c r="N1143" i="3" a="1"/>
  <c r="N1143" i="3" s="1"/>
  <c r="N1125" i="3" a="1"/>
  <c r="N1125" i="3" s="1"/>
  <c r="N1107" i="3" a="1"/>
  <c r="N1107" i="3" s="1"/>
  <c r="N1090" i="3" a="1"/>
  <c r="N1090" i="3" s="1"/>
  <c r="N1071" i="3" a="1"/>
  <c r="N1071" i="3" s="1"/>
  <c r="N1053" i="3" a="1"/>
  <c r="N1053" i="3" s="1"/>
  <c r="N1036" i="3" a="1"/>
  <c r="N1036" i="3" s="1"/>
  <c r="N1019" i="3" a="1"/>
  <c r="N1019" i="3" s="1"/>
  <c r="N1001" i="3" a="1"/>
  <c r="N1001" i="3" s="1"/>
  <c r="N983" i="3" a="1"/>
  <c r="N983" i="3" s="1"/>
  <c r="N965" i="3" a="1"/>
  <c r="N965" i="3" s="1"/>
  <c r="N947" i="3" a="1"/>
  <c r="N947" i="3" s="1"/>
  <c r="N930" i="3" a="1"/>
  <c r="N930" i="3" s="1"/>
  <c r="N913" i="3" a="1"/>
  <c r="N913" i="3" s="1"/>
  <c r="N898" i="3" a="1"/>
  <c r="N898" i="3" s="1"/>
  <c r="N880" i="3" a="1"/>
  <c r="N880" i="3" s="1"/>
  <c r="N862" i="3" a="1"/>
  <c r="N862" i="3" s="1"/>
  <c r="N846" i="3" a="1"/>
  <c r="N846" i="3" s="1"/>
  <c r="N828" i="3" a="1"/>
  <c r="N828" i="3" s="1"/>
  <c r="N811" i="3" a="1"/>
  <c r="N811" i="3" s="1"/>
  <c r="N796" i="3" a="1"/>
  <c r="N796" i="3" s="1"/>
  <c r="N778" i="3" a="1"/>
  <c r="N778" i="3" s="1"/>
  <c r="N761" i="3" a="1"/>
  <c r="N761" i="3" s="1"/>
  <c r="N742" i="3" a="1"/>
  <c r="N742" i="3" s="1"/>
  <c r="N725" i="3" a="1"/>
  <c r="N725" i="3" s="1"/>
  <c r="N708" i="3" a="1"/>
  <c r="N708" i="3" s="1"/>
  <c r="N692" i="3" a="1"/>
  <c r="N692" i="3" s="1"/>
  <c r="N676" i="3" a="1"/>
  <c r="N676" i="3" s="1"/>
  <c r="N660" i="3" a="1"/>
  <c r="N660" i="3" s="1"/>
  <c r="N644" i="3" a="1"/>
  <c r="N644" i="3" s="1"/>
  <c r="N628" i="3" a="1"/>
  <c r="N628" i="3" s="1"/>
  <c r="N613" i="3" a="1"/>
  <c r="N613" i="3" s="1"/>
  <c r="N597" i="3" a="1"/>
  <c r="N597" i="3" s="1"/>
  <c r="N581" i="3" a="1"/>
  <c r="N581" i="3" s="1"/>
  <c r="N565" i="3" a="1"/>
  <c r="N565" i="3" s="1"/>
  <c r="N550" i="3" a="1"/>
  <c r="N550" i="3" s="1"/>
  <c r="N536" i="3" a="1"/>
  <c r="N536" i="3" s="1"/>
  <c r="N521" i="3" a="1"/>
  <c r="N521" i="3" s="1"/>
  <c r="N505" i="3" a="1"/>
  <c r="N505" i="3" s="1"/>
  <c r="N489" i="3" a="1"/>
  <c r="N489" i="3" s="1"/>
  <c r="N473" i="3" a="1"/>
  <c r="N473" i="3" s="1"/>
  <c r="N457" i="3" a="1"/>
  <c r="N457" i="3" s="1"/>
  <c r="N441" i="3" a="1"/>
  <c r="N441" i="3" s="1"/>
  <c r="N425" i="3" a="1"/>
  <c r="N425" i="3" s="1"/>
  <c r="N409" i="3" a="1"/>
  <c r="N409" i="3" s="1"/>
  <c r="N393" i="3" a="1"/>
  <c r="N393" i="3" s="1"/>
  <c r="N377" i="3" a="1"/>
  <c r="N377" i="3" s="1"/>
  <c r="N361" i="3" a="1"/>
  <c r="N361" i="3" s="1"/>
  <c r="N345" i="3" a="1"/>
  <c r="N345" i="3" s="1"/>
  <c r="N329" i="3" a="1"/>
  <c r="N329" i="3" s="1"/>
  <c r="N313" i="3" a="1"/>
  <c r="N313" i="3" s="1"/>
  <c r="N297" i="3" a="1"/>
  <c r="N297" i="3" s="1"/>
  <c r="N2833" i="3" a="1"/>
  <c r="N2833" i="3" s="1"/>
  <c r="N2658" i="3" a="1"/>
  <c r="N2658" i="3" s="1"/>
  <c r="N2505" i="3" a="1"/>
  <c r="N2505" i="3" s="1"/>
  <c r="N2364" i="3" a="1"/>
  <c r="N2364" i="3" s="1"/>
  <c r="N2220" i="3" a="1"/>
  <c r="N2220" i="3" s="1"/>
  <c r="N2082" i="3" a="1"/>
  <c r="N2082" i="3" s="1"/>
  <c r="N1959" i="3" a="1"/>
  <c r="N1959" i="3" s="1"/>
  <c r="N1844" i="3" a="1"/>
  <c r="N1844" i="3" s="1"/>
  <c r="N1763" i="3" a="1"/>
  <c r="N1763" i="3" s="1"/>
  <c r="N1699" i="3" a="1"/>
  <c r="N1699" i="3" s="1"/>
  <c r="N2820" i="3" a="1"/>
  <c r="N2820" i="3" s="1"/>
  <c r="N2650" i="3" a="1"/>
  <c r="N2650" i="3" s="1"/>
  <c r="N2497" i="3" a="1"/>
  <c r="N2497" i="3" s="1"/>
  <c r="N2355" i="3" a="1"/>
  <c r="N2355" i="3" s="1"/>
  <c r="N2210" i="3" a="1"/>
  <c r="N2210" i="3" s="1"/>
  <c r="N2074" i="3" a="1"/>
  <c r="N2074" i="3" s="1"/>
  <c r="N1951" i="3" a="1"/>
  <c r="N1951" i="3" s="1"/>
  <c r="N1842" i="3" a="1"/>
  <c r="N1842" i="3" s="1"/>
  <c r="N1755" i="3" a="1"/>
  <c r="N1755" i="3" s="1"/>
  <c r="N1692" i="3" a="1"/>
  <c r="N1692" i="3" s="1"/>
  <c r="N1629" i="3" a="1"/>
  <c r="N1629" i="3" s="1"/>
  <c r="N1584" i="3" a="1"/>
  <c r="N1584" i="3" s="1"/>
  <c r="N1550" i="3" a="1"/>
  <c r="N1550" i="3" s="1"/>
  <c r="N1514" i="3" a="1"/>
  <c r="N1514" i="3" s="1"/>
  <c r="N1480" i="3" a="1"/>
  <c r="N1480" i="3" s="1"/>
  <c r="N1457" i="3" a="1"/>
  <c r="N1457" i="3" s="1"/>
  <c r="N1440" i="3" a="1"/>
  <c r="N1440" i="3" s="1"/>
  <c r="N1423" i="3" a="1"/>
  <c r="N1423" i="3" s="1"/>
  <c r="N1405" i="3" a="1"/>
  <c r="N1405" i="3" s="1"/>
  <c r="N1387" i="3" a="1"/>
  <c r="N1387" i="3" s="1"/>
  <c r="N1371" i="3" a="1"/>
  <c r="N1371" i="3" s="1"/>
  <c r="N1355" i="3" a="1"/>
  <c r="N1355" i="3" s="1"/>
  <c r="N1336" i="3" a="1"/>
  <c r="N1336" i="3" s="1"/>
  <c r="N1303" i="3" a="1"/>
  <c r="N1303" i="3" s="1"/>
  <c r="N1285" i="3" a="1"/>
  <c r="N1285" i="3" s="1"/>
  <c r="N1267" i="3" a="1"/>
  <c r="N1267" i="3" s="1"/>
  <c r="N1248" i="3" a="1"/>
  <c r="N1248" i="3" s="1"/>
  <c r="N1231" i="3" a="1"/>
  <c r="N1231" i="3" s="1"/>
  <c r="N1212" i="3" a="1"/>
  <c r="N1212" i="3" s="1"/>
  <c r="N1194" i="3" a="1"/>
  <c r="N1194" i="3" s="1"/>
  <c r="N1176" i="3" a="1"/>
  <c r="N1176" i="3" s="1"/>
  <c r="N1159" i="3" a="1"/>
  <c r="N1159" i="3" s="1"/>
  <c r="N1141" i="3" a="1"/>
  <c r="N1141" i="3" s="1"/>
  <c r="N1122" i="3" a="1"/>
  <c r="N1122" i="3" s="1"/>
  <c r="N1105" i="3" a="1"/>
  <c r="N1105" i="3" s="1"/>
  <c r="N1087" i="3" a="1"/>
  <c r="N1087" i="3" s="1"/>
  <c r="N1069" i="3" a="1"/>
  <c r="N1069" i="3" s="1"/>
  <c r="N1051" i="3" a="1"/>
  <c r="N1051" i="3" s="1"/>
  <c r="N1034" i="3" a="1"/>
  <c r="N1034" i="3" s="1"/>
  <c r="N1017" i="3" a="1"/>
  <c r="N1017" i="3" s="1"/>
  <c r="N998" i="3" a="1"/>
  <c r="N998" i="3" s="1"/>
  <c r="N981" i="3" a="1"/>
  <c r="N981" i="3" s="1"/>
  <c r="N962" i="3" a="1"/>
  <c r="N962" i="3" s="1"/>
  <c r="N946" i="3" a="1"/>
  <c r="N946" i="3" s="1"/>
  <c r="N928" i="3" a="1"/>
  <c r="N928" i="3" s="1"/>
  <c r="N911" i="3" a="1"/>
  <c r="N911" i="3" s="1"/>
  <c r="N896" i="3" a="1"/>
  <c r="N896" i="3" s="1"/>
  <c r="N877" i="3" a="1"/>
  <c r="N877" i="3" s="1"/>
  <c r="N860" i="3" a="1"/>
  <c r="N860" i="3" s="1"/>
  <c r="N843" i="3" a="1"/>
  <c r="N843" i="3" s="1"/>
  <c r="N826" i="3" a="1"/>
  <c r="N826" i="3" s="1"/>
  <c r="N810" i="3" a="1"/>
  <c r="N810" i="3" s="1"/>
  <c r="N794" i="3" a="1"/>
  <c r="N794" i="3" s="1"/>
  <c r="N776" i="3" a="1"/>
  <c r="N776" i="3" s="1"/>
  <c r="N758" i="3" a="1"/>
  <c r="N758" i="3" s="1"/>
  <c r="N741" i="3" a="1"/>
  <c r="N741" i="3" s="1"/>
  <c r="N722" i="3" a="1"/>
  <c r="N722" i="3" s="1"/>
  <c r="N706" i="3" a="1"/>
  <c r="N706" i="3" s="1"/>
  <c r="N690" i="3" a="1"/>
  <c r="N690" i="3" s="1"/>
  <c r="N674" i="3" a="1"/>
  <c r="N674" i="3" s="1"/>
  <c r="N658" i="3" a="1"/>
  <c r="N658" i="3" s="1"/>
  <c r="N642" i="3" a="1"/>
  <c r="N642" i="3" s="1"/>
  <c r="N626" i="3" a="1"/>
  <c r="N626" i="3" s="1"/>
  <c r="N611" i="3" a="1"/>
  <c r="N611" i="3" s="1"/>
  <c r="N595" i="3" a="1"/>
  <c r="N595" i="3" s="1"/>
  <c r="N579" i="3" a="1"/>
  <c r="N579" i="3" s="1"/>
  <c r="N563" i="3" a="1"/>
  <c r="N563" i="3" s="1"/>
  <c r="N548" i="3" a="1"/>
  <c r="N548" i="3" s="1"/>
  <c r="N519" i="3" a="1"/>
  <c r="N519" i="3" s="1"/>
  <c r="N503" i="3" a="1"/>
  <c r="N503" i="3" s="1"/>
  <c r="N487" i="3" a="1"/>
  <c r="N487" i="3" s="1"/>
  <c r="N471" i="3" a="1"/>
  <c r="N471" i="3" s="1"/>
  <c r="N455" i="3" a="1"/>
  <c r="N455" i="3" s="1"/>
  <c r="N439" i="3" a="1"/>
  <c r="N439" i="3" s="1"/>
  <c r="N423" i="3" a="1"/>
  <c r="N423" i="3" s="1"/>
  <c r="N407" i="3" a="1"/>
  <c r="N407" i="3" s="1"/>
  <c r="N391" i="3" a="1"/>
  <c r="N391" i="3" s="1"/>
  <c r="N375" i="3" a="1"/>
  <c r="N375" i="3" s="1"/>
  <c r="N359" i="3" a="1"/>
  <c r="N359" i="3" s="1"/>
  <c r="N343" i="3" a="1"/>
  <c r="N343" i="3" s="1"/>
  <c r="N327" i="3" a="1"/>
  <c r="N327" i="3" s="1"/>
  <c r="N311" i="3" a="1"/>
  <c r="N311" i="3" s="1"/>
  <c r="N295" i="3" a="1"/>
  <c r="N295" i="3" s="1"/>
  <c r="N2808" i="3" a="1"/>
  <c r="N2808" i="3" s="1"/>
  <c r="N2639" i="3" a="1"/>
  <c r="N2639" i="3" s="1"/>
  <c r="N2488" i="3" a="1"/>
  <c r="N2488" i="3" s="1"/>
  <c r="N2346" i="3" a="1"/>
  <c r="N2346" i="3" s="1"/>
  <c r="N2202" i="3" a="1"/>
  <c r="N2202" i="3" s="1"/>
  <c r="N2067" i="3" a="1"/>
  <c r="N2067" i="3" s="1"/>
  <c r="N1945" i="3" a="1"/>
  <c r="N1945" i="3" s="1"/>
  <c r="N1834" i="3" a="1"/>
  <c r="N1834" i="3" s="1"/>
  <c r="N1750" i="3" a="1"/>
  <c r="N1750" i="3" s="1"/>
  <c r="N1687" i="3" a="1"/>
  <c r="N1687" i="3" s="1"/>
  <c r="N1628" i="3" a="1"/>
  <c r="N1628" i="3" s="1"/>
  <c r="N1583" i="3" a="1"/>
  <c r="N1583" i="3" s="1"/>
  <c r="N1546" i="3" a="1"/>
  <c r="N1546" i="3" s="1"/>
  <c r="N1513" i="3" a="1"/>
  <c r="N1513" i="3" s="1"/>
  <c r="N1478" i="3" a="1"/>
  <c r="N1478" i="3" s="1"/>
  <c r="N1456" i="3" a="1"/>
  <c r="N1456" i="3" s="1"/>
  <c r="N1439" i="3" a="1"/>
  <c r="N1439" i="3" s="1"/>
  <c r="N1422" i="3" a="1"/>
  <c r="N1422" i="3" s="1"/>
  <c r="N1404" i="3" a="1"/>
  <c r="N1404" i="3" s="1"/>
  <c r="N1386" i="3" a="1"/>
  <c r="N1386" i="3" s="1"/>
  <c r="N1370" i="3" a="1"/>
  <c r="N1370" i="3" s="1"/>
  <c r="N1354" i="3" a="1"/>
  <c r="N1354" i="3" s="1"/>
  <c r="N1335" i="3" a="1"/>
  <c r="N1335" i="3" s="1"/>
  <c r="N1320" i="3" a="1"/>
  <c r="N1320" i="3" s="1"/>
  <c r="N1302" i="3" a="1"/>
  <c r="N1302" i="3" s="1"/>
  <c r="N1284" i="3" a="1"/>
  <c r="N1284" i="3" s="1"/>
  <c r="N1266" i="3" a="1"/>
  <c r="N1266" i="3" s="1"/>
  <c r="N1247" i="3" a="1"/>
  <c r="N1247" i="3" s="1"/>
  <c r="N1230" i="3" a="1"/>
  <c r="N1230" i="3" s="1"/>
  <c r="N1211" i="3" a="1"/>
  <c r="N1211" i="3" s="1"/>
  <c r="N1193" i="3" a="1"/>
  <c r="N1193" i="3" s="1"/>
  <c r="N1158" i="3" a="1"/>
  <c r="N1158" i="3" s="1"/>
  <c r="N1140" i="3" a="1"/>
  <c r="N1140" i="3" s="1"/>
  <c r="N1121" i="3" a="1"/>
  <c r="N1121" i="3" s="1"/>
  <c r="N1104" i="3" a="1"/>
  <c r="N1104" i="3" s="1"/>
  <c r="N1086" i="3" a="1"/>
  <c r="N1086" i="3" s="1"/>
  <c r="N1068" i="3" a="1"/>
  <c r="N1068" i="3" s="1"/>
  <c r="N1050" i="3" a="1"/>
  <c r="N1050" i="3" s="1"/>
  <c r="N1033" i="3" a="1"/>
  <c r="N1033" i="3" s="1"/>
  <c r="N1016" i="3" a="1"/>
  <c r="N1016" i="3" s="1"/>
  <c r="N997" i="3" a="1"/>
  <c r="N997" i="3" s="1"/>
  <c r="N980" i="3" a="1"/>
  <c r="N980" i="3" s="1"/>
  <c r="N961" i="3" a="1"/>
  <c r="N961" i="3" s="1"/>
  <c r="N945" i="3" a="1"/>
  <c r="N945" i="3" s="1"/>
  <c r="N927" i="3" a="1"/>
  <c r="N927" i="3" s="1"/>
  <c r="N910" i="3" a="1"/>
  <c r="N910" i="3" s="1"/>
  <c r="N895" i="3" a="1"/>
  <c r="N895" i="3" s="1"/>
  <c r="N876" i="3" a="1"/>
  <c r="N876" i="3" s="1"/>
  <c r="N859" i="3" a="1"/>
  <c r="N859" i="3" s="1"/>
  <c r="N842" i="3" a="1"/>
  <c r="N842" i="3" s="1"/>
  <c r="N825" i="3" a="1"/>
  <c r="N825" i="3" s="1"/>
  <c r="N809" i="3" a="1"/>
  <c r="N809" i="3" s="1"/>
  <c r="N793" i="3" a="1"/>
  <c r="N793" i="3" s="1"/>
  <c r="N775" i="3" a="1"/>
  <c r="N775" i="3" s="1"/>
  <c r="N757" i="3" a="1"/>
  <c r="N757" i="3" s="1"/>
  <c r="N740" i="3" a="1"/>
  <c r="N740" i="3" s="1"/>
  <c r="N721" i="3" a="1"/>
  <c r="N721" i="3" s="1"/>
  <c r="N705" i="3" a="1"/>
  <c r="N705" i="3" s="1"/>
  <c r="N689" i="3" a="1"/>
  <c r="N689" i="3" s="1"/>
  <c r="N673" i="3" a="1"/>
  <c r="N673" i="3" s="1"/>
  <c r="N657" i="3" a="1"/>
  <c r="N657" i="3" s="1"/>
  <c r="N641" i="3" a="1"/>
  <c r="N641" i="3" s="1"/>
  <c r="N625" i="3" a="1"/>
  <c r="N625" i="3" s="1"/>
  <c r="N610" i="3" a="1"/>
  <c r="N610" i="3" s="1"/>
  <c r="N594" i="3" a="1"/>
  <c r="N594" i="3" s="1"/>
  <c r="N578" i="3" a="1"/>
  <c r="N578" i="3" s="1"/>
  <c r="N547" i="3" a="1"/>
  <c r="N547" i="3" s="1"/>
  <c r="N534" i="3" a="1"/>
  <c r="N534" i="3" s="1"/>
  <c r="N518" i="3" a="1"/>
  <c r="N518" i="3" s="1"/>
  <c r="N502" i="3" a="1"/>
  <c r="N502" i="3" s="1"/>
  <c r="N486" i="3" a="1"/>
  <c r="N486" i="3" s="1"/>
  <c r="N470" i="3" a="1"/>
  <c r="N470" i="3" s="1"/>
  <c r="N454" i="3" a="1"/>
  <c r="N454" i="3" s="1"/>
  <c r="N438" i="3" a="1"/>
  <c r="N438" i="3" s="1"/>
  <c r="N422" i="3" a="1"/>
  <c r="N422" i="3" s="1"/>
  <c r="N406" i="3" a="1"/>
  <c r="N406" i="3" s="1"/>
  <c r="N390" i="3" a="1"/>
  <c r="N390" i="3" s="1"/>
  <c r="N374" i="3" a="1"/>
  <c r="N374" i="3" s="1"/>
  <c r="N358" i="3" a="1"/>
  <c r="N358" i="3" s="1"/>
  <c r="N342" i="3" a="1"/>
  <c r="N342" i="3" s="1"/>
  <c r="N326" i="3" a="1"/>
  <c r="N326" i="3" s="1"/>
  <c r="N310" i="3" a="1"/>
  <c r="N310" i="3" s="1"/>
  <c r="N294" i="3" a="1"/>
  <c r="N294" i="3" s="1"/>
  <c r="N278" i="3" a="1"/>
  <c r="N278" i="3" s="1"/>
  <c r="N2797" i="3" a="1"/>
  <c r="N2797" i="3" s="1"/>
  <c r="N2630" i="3" a="1"/>
  <c r="N2630" i="3" s="1"/>
  <c r="N2336" i="3" a="1"/>
  <c r="N2336" i="3" s="1"/>
  <c r="N2192" i="3" a="1"/>
  <c r="N2192" i="3" s="1"/>
  <c r="N2060" i="3" a="1"/>
  <c r="N2060" i="3" s="1"/>
  <c r="N1937" i="3" a="1"/>
  <c r="N1937" i="3" s="1"/>
  <c r="N1828" i="3" a="1"/>
  <c r="N1828" i="3" s="1"/>
  <c r="N1749" i="3" a="1"/>
  <c r="N1749" i="3" s="1"/>
  <c r="N1686" i="3" a="1"/>
  <c r="N1686" i="3" s="1"/>
  <c r="N1624" i="3" a="1"/>
  <c r="N1624" i="3" s="1"/>
  <c r="N1582" i="3" a="1"/>
  <c r="N1582" i="3" s="1"/>
  <c r="N1545" i="3" a="1"/>
  <c r="N1545" i="3" s="1"/>
  <c r="N1512" i="3" a="1"/>
  <c r="N1512" i="3" s="1"/>
  <c r="N1473" i="3" a="1"/>
  <c r="N1473" i="3" s="1"/>
  <c r="N1455" i="3" a="1"/>
  <c r="N1455" i="3" s="1"/>
  <c r="N1438" i="3" a="1"/>
  <c r="N1438" i="3" s="1"/>
  <c r="N1421" i="3" a="1"/>
  <c r="N1421" i="3" s="1"/>
  <c r="N1403" i="3" a="1"/>
  <c r="N1403" i="3" s="1"/>
  <c r="N1369" i="3" a="1"/>
  <c r="N1369" i="3" s="1"/>
  <c r="N1352" i="3" a="1"/>
  <c r="N1352" i="3" s="1"/>
  <c r="N1334" i="3" a="1"/>
  <c r="N1334" i="3" s="1"/>
  <c r="N1319" i="3" a="1"/>
  <c r="N1319" i="3" s="1"/>
  <c r="N1301" i="3" a="1"/>
  <c r="N1301" i="3" s="1"/>
  <c r="N1283" i="3" a="1"/>
  <c r="N1283" i="3" s="1"/>
  <c r="N1264" i="3" a="1"/>
  <c r="N1264" i="3" s="1"/>
  <c r="N1246" i="3" a="1"/>
  <c r="N1246" i="3" s="1"/>
  <c r="N1228" i="3" a="1"/>
  <c r="N1228" i="3" s="1"/>
  <c r="N1210" i="3" a="1"/>
  <c r="N1210" i="3" s="1"/>
  <c r="N1192" i="3" a="1"/>
  <c r="N1192" i="3" s="1"/>
  <c r="N1175" i="3" a="1"/>
  <c r="N1175" i="3" s="1"/>
  <c r="N1157" i="3" a="1"/>
  <c r="N1157" i="3" s="1"/>
  <c r="N1138" i="3" a="1"/>
  <c r="N1138" i="3" s="1"/>
  <c r="N1120" i="3" a="1"/>
  <c r="N1120" i="3" s="1"/>
  <c r="N1102" i="3" a="1"/>
  <c r="N1102" i="3" s="1"/>
  <c r="N1085" i="3" a="1"/>
  <c r="N1085" i="3" s="1"/>
  <c r="N1067" i="3" a="1"/>
  <c r="N1067" i="3" s="1"/>
  <c r="N1049" i="3" a="1"/>
  <c r="N1049" i="3" s="1"/>
  <c r="N1032" i="3" a="1"/>
  <c r="N1032" i="3" s="1"/>
  <c r="N1014" i="3" a="1"/>
  <c r="N1014" i="3" s="1"/>
  <c r="N996" i="3" a="1"/>
  <c r="N996" i="3" s="1"/>
  <c r="N978" i="3" a="1"/>
  <c r="N978" i="3" s="1"/>
  <c r="N960" i="3" a="1"/>
  <c r="N960" i="3" s="1"/>
  <c r="N944" i="3" a="1"/>
  <c r="N944" i="3" s="1"/>
  <c r="N926" i="3" a="1"/>
  <c r="N926" i="3" s="1"/>
  <c r="N909" i="3" a="1"/>
  <c r="N909" i="3" s="1"/>
  <c r="N893" i="3" a="1"/>
  <c r="N893" i="3" s="1"/>
  <c r="N875" i="3" a="1"/>
  <c r="N875" i="3" s="1"/>
  <c r="N857" i="3" a="1"/>
  <c r="N857" i="3" s="1"/>
  <c r="N841" i="3" a="1"/>
  <c r="N841" i="3" s="1"/>
  <c r="N824" i="3" a="1"/>
  <c r="N824" i="3" s="1"/>
  <c r="N808" i="3" a="1"/>
  <c r="N808" i="3" s="1"/>
  <c r="N792" i="3" a="1"/>
  <c r="N792" i="3" s="1"/>
  <c r="N773" i="3" a="1"/>
  <c r="N773" i="3" s="1"/>
  <c r="N756" i="3" a="1"/>
  <c r="N756" i="3" s="1"/>
  <c r="N738" i="3" a="1"/>
  <c r="N738" i="3" s="1"/>
  <c r="N720" i="3" a="1"/>
  <c r="N720" i="3" s="1"/>
  <c r="N704" i="3" a="1"/>
  <c r="N704" i="3" s="1"/>
  <c r="N688" i="3" a="1"/>
  <c r="N688" i="3" s="1"/>
  <c r="N672" i="3" a="1"/>
  <c r="N672" i="3" s="1"/>
  <c r="N656" i="3" a="1"/>
  <c r="N656" i="3" s="1"/>
  <c r="N640" i="3" a="1"/>
  <c r="N640" i="3" s="1"/>
  <c r="N624" i="3" a="1"/>
  <c r="N624" i="3" s="1"/>
  <c r="N609" i="3" a="1"/>
  <c r="N609" i="3" s="1"/>
  <c r="N593" i="3" a="1"/>
  <c r="N593" i="3" s="1"/>
  <c r="N577" i="3" a="1"/>
  <c r="N577" i="3" s="1"/>
  <c r="N562" i="3" a="1"/>
  <c r="N562" i="3" s="1"/>
  <c r="N546" i="3" a="1"/>
  <c r="N546" i="3" s="1"/>
  <c r="N533" i="3" a="1"/>
  <c r="N533" i="3" s="1"/>
  <c r="N517" i="3" a="1"/>
  <c r="N517" i="3" s="1"/>
  <c r="N501" i="3" a="1"/>
  <c r="N501" i="3" s="1"/>
  <c r="N485" i="3" a="1"/>
  <c r="N485" i="3" s="1"/>
  <c r="N469" i="3" a="1"/>
  <c r="N469" i="3" s="1"/>
  <c r="N453" i="3" a="1"/>
  <c r="N453" i="3" s="1"/>
  <c r="N437" i="3" a="1"/>
  <c r="N437" i="3" s="1"/>
  <c r="N421" i="3" a="1"/>
  <c r="N421" i="3" s="1"/>
  <c r="N405" i="3" a="1"/>
  <c r="N405" i="3" s="1"/>
  <c r="N389" i="3" a="1"/>
  <c r="N389" i="3" s="1"/>
  <c r="N373" i="3" a="1"/>
  <c r="N373" i="3" s="1"/>
  <c r="N357" i="3" a="1"/>
  <c r="N357" i="3" s="1"/>
  <c r="N341" i="3" a="1"/>
  <c r="N341" i="3" s="1"/>
  <c r="N325" i="3" a="1"/>
  <c r="N325" i="3" s="1"/>
  <c r="N309" i="3" a="1"/>
  <c r="N309" i="3" s="1"/>
  <c r="N293" i="3" a="1"/>
  <c r="N293" i="3" s="1"/>
  <c r="N2784" i="3" a="1"/>
  <c r="N2784" i="3" s="1"/>
  <c r="N2620" i="3" a="1"/>
  <c r="N2620" i="3" s="1"/>
  <c r="N2471" i="3" a="1"/>
  <c r="N2471" i="3" s="1"/>
  <c r="N2328" i="3" a="1"/>
  <c r="N2328" i="3" s="1"/>
  <c r="N2183" i="3" a="1"/>
  <c r="N2183" i="3" s="1"/>
  <c r="N2053" i="3" a="1"/>
  <c r="N2053" i="3" s="1"/>
  <c r="N1929" i="3" a="1"/>
  <c r="N1929" i="3" s="1"/>
  <c r="N1826" i="3" a="1"/>
  <c r="N1826" i="3" s="1"/>
  <c r="N1747" i="3" a="1"/>
  <c r="N1747" i="3" s="1"/>
  <c r="N1684" i="3" a="1"/>
  <c r="N1684" i="3" s="1"/>
  <c r="N1623" i="3" a="1"/>
  <c r="N1623" i="3" s="1"/>
  <c r="N1578" i="3" a="1"/>
  <c r="N1578" i="3" s="1"/>
  <c r="N1544" i="3" a="1"/>
  <c r="N1544" i="3" s="1"/>
  <c r="N1505" i="3" a="1"/>
  <c r="N1505" i="3" s="1"/>
  <c r="N1472" i="3" a="1"/>
  <c r="N1472" i="3" s="1"/>
  <c r="N1454" i="3" a="1"/>
  <c r="N1454" i="3" s="1"/>
  <c r="N1437" i="3" a="1"/>
  <c r="N1437" i="3" s="1"/>
  <c r="N1420" i="3" a="1"/>
  <c r="N1420" i="3" s="1"/>
  <c r="N1402" i="3" a="1"/>
  <c r="N1402" i="3" s="1"/>
  <c r="N1384" i="3" a="1"/>
  <c r="N1384" i="3" s="1"/>
  <c r="N1351" i="3" a="1"/>
  <c r="N1351" i="3" s="1"/>
  <c r="N1333" i="3" a="1"/>
  <c r="N1333" i="3" s="1"/>
  <c r="N1318" i="3" a="1"/>
  <c r="N1318" i="3" s="1"/>
  <c r="N1300" i="3" a="1"/>
  <c r="N1300" i="3" s="1"/>
  <c r="N1282" i="3" a="1"/>
  <c r="N1282" i="3" s="1"/>
  <c r="N1263" i="3" a="1"/>
  <c r="N1263" i="3" s="1"/>
  <c r="N1245" i="3" a="1"/>
  <c r="N1245" i="3" s="1"/>
  <c r="N1227" i="3" a="1"/>
  <c r="N1227" i="3" s="1"/>
  <c r="N1209" i="3" a="1"/>
  <c r="N1209" i="3" s="1"/>
  <c r="N1191" i="3" a="1"/>
  <c r="N1191" i="3" s="1"/>
  <c r="N1174" i="3" a="1"/>
  <c r="N1174" i="3" s="1"/>
  <c r="N1156" i="3" a="1"/>
  <c r="N1156" i="3" s="1"/>
  <c r="N1137" i="3" a="1"/>
  <c r="N1137" i="3" s="1"/>
  <c r="N1119" i="3" a="1"/>
  <c r="N1119" i="3" s="1"/>
  <c r="N1084" i="3" a="1"/>
  <c r="N1084" i="3" s="1"/>
  <c r="N1066" i="3" a="1"/>
  <c r="N1066" i="3" s="1"/>
  <c r="N1048" i="3" a="1"/>
  <c r="N1048" i="3" s="1"/>
  <c r="N1031" i="3" a="1"/>
  <c r="N1031" i="3" s="1"/>
  <c r="N1013" i="3" a="1"/>
  <c r="N1013" i="3" s="1"/>
  <c r="N995" i="3" a="1"/>
  <c r="N995" i="3" s="1"/>
  <c r="N977" i="3" a="1"/>
  <c r="N977" i="3" s="1"/>
  <c r="N959" i="3" a="1"/>
  <c r="N959" i="3" s="1"/>
  <c r="N943" i="3" a="1"/>
  <c r="N943" i="3" s="1"/>
  <c r="N925" i="3" a="1"/>
  <c r="N925" i="3" s="1"/>
  <c r="N908" i="3" a="1"/>
  <c r="N908" i="3" s="1"/>
  <c r="N892" i="3" a="1"/>
  <c r="N892" i="3" s="1"/>
  <c r="N874" i="3" a="1"/>
  <c r="N874" i="3" s="1"/>
  <c r="N856" i="3" a="1"/>
  <c r="N856" i="3" s="1"/>
  <c r="N840" i="3" a="1"/>
  <c r="N840" i="3" s="1"/>
  <c r="N823" i="3" a="1"/>
  <c r="N823" i="3" s="1"/>
  <c r="N807" i="3" a="1"/>
  <c r="N807" i="3" s="1"/>
  <c r="N791" i="3" a="1"/>
  <c r="N791" i="3" s="1"/>
  <c r="N772" i="3" a="1"/>
  <c r="N772" i="3" s="1"/>
  <c r="N755" i="3" a="1"/>
  <c r="N755" i="3" s="1"/>
  <c r="N737" i="3" a="1"/>
  <c r="N737" i="3" s="1"/>
  <c r="N719" i="3" a="1"/>
  <c r="N719" i="3" s="1"/>
  <c r="N703" i="3" a="1"/>
  <c r="N703" i="3" s="1"/>
  <c r="N687" i="3" a="1"/>
  <c r="N687" i="3" s="1"/>
  <c r="N671" i="3" a="1"/>
  <c r="N671" i="3" s="1"/>
  <c r="N655" i="3" a="1"/>
  <c r="N655" i="3" s="1"/>
  <c r="N639" i="3" a="1"/>
  <c r="N639" i="3" s="1"/>
  <c r="N623" i="3" a="1"/>
  <c r="N623" i="3" s="1"/>
  <c r="N608" i="3" a="1"/>
  <c r="N608" i="3" s="1"/>
  <c r="N592" i="3" a="1"/>
  <c r="N592" i="3" s="1"/>
  <c r="N576" i="3" a="1"/>
  <c r="N576" i="3" s="1"/>
  <c r="N561" i="3" a="1"/>
  <c r="N561" i="3" s="1"/>
  <c r="N545" i="3" a="1"/>
  <c r="N545" i="3" s="1"/>
  <c r="N532" i="3" a="1"/>
  <c r="N532" i="3" s="1"/>
  <c r="N516" i="3" a="1"/>
  <c r="N516" i="3" s="1"/>
  <c r="N500" i="3" a="1"/>
  <c r="N500" i="3" s="1"/>
  <c r="N484" i="3" a="1"/>
  <c r="N484" i="3" s="1"/>
  <c r="N468" i="3" a="1"/>
  <c r="N468" i="3" s="1"/>
  <c r="N452" i="3" a="1"/>
  <c r="N452" i="3" s="1"/>
  <c r="N436" i="3" a="1"/>
  <c r="N436" i="3" s="1"/>
  <c r="N420" i="3" a="1"/>
  <c r="N420" i="3" s="1"/>
  <c r="N404" i="3" a="1"/>
  <c r="N404" i="3" s="1"/>
  <c r="N388" i="3" a="1"/>
  <c r="N388" i="3" s="1"/>
  <c r="N372" i="3" a="1"/>
  <c r="N372" i="3" s="1"/>
  <c r="N356" i="3" a="1"/>
  <c r="N356" i="3" s="1"/>
  <c r="N340" i="3" a="1"/>
  <c r="N340" i="3" s="1"/>
  <c r="N324" i="3" a="1"/>
  <c r="N324" i="3" s="1"/>
  <c r="N308" i="3" a="1"/>
  <c r="N308" i="3" s="1"/>
  <c r="N292" i="3" a="1"/>
  <c r="N292" i="3" s="1"/>
  <c r="N2772" i="3" a="1"/>
  <c r="N2772" i="3" s="1"/>
  <c r="N2609" i="3" a="1"/>
  <c r="N2609" i="3" s="1"/>
  <c r="N2461" i="3" a="1"/>
  <c r="N2461" i="3" s="1"/>
  <c r="N2318" i="3" a="1"/>
  <c r="N2318" i="3" s="1"/>
  <c r="N2174" i="3" a="1"/>
  <c r="N2174" i="3" s="1"/>
  <c r="N2045" i="3" a="1"/>
  <c r="N2045" i="3" s="1"/>
  <c r="N1921" i="3" a="1"/>
  <c r="N1921" i="3" s="1"/>
  <c r="N1818" i="3" a="1"/>
  <c r="N1818" i="3" s="1"/>
  <c r="N1739" i="3" a="1"/>
  <c r="N1739" i="3" s="1"/>
  <c r="N1676" i="3" a="1"/>
  <c r="N1676" i="3" s="1"/>
  <c r="N1577" i="3" a="1"/>
  <c r="N1577" i="3" s="1"/>
  <c r="N1543" i="3" a="1"/>
  <c r="N1543" i="3" s="1"/>
  <c r="N1504" i="3" a="1"/>
  <c r="N1504" i="3" s="1"/>
  <c r="N1471" i="3" a="1"/>
  <c r="N1471" i="3" s="1"/>
  <c r="N1453" i="3" a="1"/>
  <c r="N1453" i="3" s="1"/>
  <c r="N1436" i="3" a="1"/>
  <c r="N1436" i="3" s="1"/>
  <c r="N1419" i="3" a="1"/>
  <c r="N1419" i="3" s="1"/>
  <c r="N1400" i="3" a="1"/>
  <c r="N1400" i="3" s="1"/>
  <c r="N1383" i="3" a="1"/>
  <c r="N1383" i="3" s="1"/>
  <c r="N1367" i="3" a="1"/>
  <c r="N1367" i="3" s="1"/>
  <c r="N1350" i="3" a="1"/>
  <c r="N1350" i="3" s="1"/>
  <c r="N1332" i="3" a="1"/>
  <c r="N1332" i="3" s="1"/>
  <c r="N1317" i="3" a="1"/>
  <c r="N1317" i="3" s="1"/>
  <c r="N1299" i="3" a="1"/>
  <c r="N1299" i="3" s="1"/>
  <c r="N1280" i="3" a="1"/>
  <c r="N1280" i="3" s="1"/>
  <c r="N1262" i="3" a="1"/>
  <c r="N1262" i="3" s="1"/>
  <c r="N1226" i="3" a="1"/>
  <c r="N1226" i="3" s="1"/>
  <c r="N1208" i="3" a="1"/>
  <c r="N1208" i="3" s="1"/>
  <c r="N1190" i="3" a="1"/>
  <c r="N1190" i="3" s="1"/>
  <c r="N1173" i="3" a="1"/>
  <c r="N1173" i="3" s="1"/>
  <c r="N1154" i="3" a="1"/>
  <c r="N1154" i="3" s="1"/>
  <c r="N1136" i="3" a="1"/>
  <c r="N1136" i="3" s="1"/>
  <c r="N1117" i="3" a="1"/>
  <c r="N1117" i="3" s="1"/>
  <c r="N1101" i="3" a="1"/>
  <c r="N1101" i="3" s="1"/>
  <c r="N1083" i="3" a="1"/>
  <c r="N1083" i="3" s="1"/>
  <c r="N1065" i="3" a="1"/>
  <c r="N1065" i="3" s="1"/>
  <c r="N1047" i="3" a="1"/>
  <c r="N1047" i="3" s="1"/>
  <c r="N1029" i="3" a="1"/>
  <c r="N1029" i="3" s="1"/>
  <c r="N1012" i="3" a="1"/>
  <c r="N1012" i="3" s="1"/>
  <c r="N976" i="3" a="1"/>
  <c r="N976" i="3" s="1"/>
  <c r="N958" i="3" a="1"/>
  <c r="N958" i="3" s="1"/>
  <c r="N942" i="3" a="1"/>
  <c r="N942" i="3" s="1"/>
  <c r="N924" i="3" a="1"/>
  <c r="N924" i="3" s="1"/>
  <c r="N907" i="3" a="1"/>
  <c r="N907" i="3" s="1"/>
  <c r="N891" i="3" a="1"/>
  <c r="N891" i="3" s="1"/>
  <c r="N872" i="3" a="1"/>
  <c r="N872" i="3" s="1"/>
  <c r="N855" i="3" a="1"/>
  <c r="N855" i="3" s="1"/>
  <c r="N839" i="3" a="1"/>
  <c r="N839" i="3" s="1"/>
  <c r="N822" i="3" a="1"/>
  <c r="N822" i="3" s="1"/>
  <c r="N806" i="3" a="1"/>
  <c r="N806" i="3" s="1"/>
  <c r="N789" i="3" a="1"/>
  <c r="N789" i="3" s="1"/>
  <c r="N771" i="3" a="1"/>
  <c r="N771" i="3" s="1"/>
  <c r="N753" i="3" a="1"/>
  <c r="N753" i="3" s="1"/>
  <c r="N736" i="3" a="1"/>
  <c r="N736" i="3" s="1"/>
  <c r="N718" i="3" a="1"/>
  <c r="N718" i="3" s="1"/>
  <c r="N702" i="3" a="1"/>
  <c r="N702" i="3" s="1"/>
  <c r="N686" i="3" a="1"/>
  <c r="N686" i="3" s="1"/>
  <c r="N670" i="3" a="1"/>
  <c r="N670" i="3" s="1"/>
  <c r="N654" i="3" a="1"/>
  <c r="N654" i="3" s="1"/>
  <c r="N638" i="3" a="1"/>
  <c r="N638" i="3" s="1"/>
  <c r="N622" i="3" a="1"/>
  <c r="N622" i="3" s="1"/>
  <c r="N607" i="3" a="1"/>
  <c r="N607" i="3" s="1"/>
  <c r="N591" i="3" a="1"/>
  <c r="N591" i="3" s="1"/>
  <c r="N575" i="3" a="1"/>
  <c r="N575" i="3" s="1"/>
  <c r="N560" i="3" a="1"/>
  <c r="N560" i="3" s="1"/>
  <c r="N544" i="3" a="1"/>
  <c r="N544" i="3" s="1"/>
  <c r="N531" i="3" a="1"/>
  <c r="N531" i="3" s="1"/>
  <c r="N515" i="3" a="1"/>
  <c r="N515" i="3" s="1"/>
  <c r="N499" i="3" a="1"/>
  <c r="N499" i="3" s="1"/>
  <c r="N483" i="3" a="1"/>
  <c r="N483" i="3" s="1"/>
  <c r="N467" i="3" a="1"/>
  <c r="N467" i="3" s="1"/>
  <c r="N451" i="3" a="1"/>
  <c r="N451" i="3" s="1"/>
  <c r="N435" i="3" a="1"/>
  <c r="N435" i="3" s="1"/>
  <c r="N419" i="3" a="1"/>
  <c r="N419" i="3" s="1"/>
  <c r="N403" i="3" a="1"/>
  <c r="N403" i="3" s="1"/>
  <c r="N387" i="3" a="1"/>
  <c r="N387" i="3" s="1"/>
  <c r="N371" i="3" a="1"/>
  <c r="N371" i="3" s="1"/>
  <c r="N355" i="3" a="1"/>
  <c r="N355" i="3" s="1"/>
  <c r="N339" i="3" a="1"/>
  <c r="N339" i="3" s="1"/>
  <c r="N323" i="3" a="1"/>
  <c r="N323" i="3" s="1"/>
  <c r="N307" i="3" a="1"/>
  <c r="N307" i="3" s="1"/>
  <c r="N291" i="3" a="1"/>
  <c r="N291" i="3" s="1"/>
  <c r="N2763" i="3" a="1"/>
  <c r="N2763" i="3" s="1"/>
  <c r="N2599" i="3" a="1"/>
  <c r="N2599" i="3" s="1"/>
  <c r="N2453" i="3" a="1"/>
  <c r="N2453" i="3" s="1"/>
  <c r="N2309" i="3" a="1"/>
  <c r="N2309" i="3" s="1"/>
  <c r="N2165" i="3" a="1"/>
  <c r="N2165" i="3" s="1"/>
  <c r="N2037" i="3" a="1"/>
  <c r="N2037" i="3" s="1"/>
  <c r="N1913" i="3" a="1"/>
  <c r="N1913" i="3" s="1"/>
  <c r="N1812" i="3" a="1"/>
  <c r="N1812" i="3" s="1"/>
  <c r="N1734" i="3" a="1"/>
  <c r="N1734" i="3" s="1"/>
  <c r="N1671" i="3" a="1"/>
  <c r="N1671" i="3" s="1"/>
  <c r="N1614" i="3" a="1"/>
  <c r="N1614" i="3" s="1"/>
  <c r="N1576" i="3" a="1"/>
  <c r="N1576" i="3" s="1"/>
  <c r="N1536" i="3" a="1"/>
  <c r="N1536" i="3" s="1"/>
  <c r="N1503" i="3" a="1"/>
  <c r="N1503" i="3" s="1"/>
  <c r="N1470" i="3" a="1"/>
  <c r="N1470" i="3" s="1"/>
  <c r="N1452" i="3" a="1"/>
  <c r="N1452" i="3" s="1"/>
  <c r="N1418" i="3" a="1"/>
  <c r="N1418" i="3" s="1"/>
  <c r="N1399" i="3" a="1"/>
  <c r="N1399" i="3" s="1"/>
  <c r="N1366" i="3" a="1"/>
  <c r="N1366" i="3" s="1"/>
  <c r="N1349" i="3" a="1"/>
  <c r="N1349" i="3" s="1"/>
  <c r="N1331" i="3" a="1"/>
  <c r="N1331" i="3" s="1"/>
  <c r="N1316" i="3" a="1"/>
  <c r="N1316" i="3" s="1"/>
  <c r="N1298" i="3" a="1"/>
  <c r="N1298" i="3" s="1"/>
  <c r="N1279" i="3" a="1"/>
  <c r="N1279" i="3" s="1"/>
  <c r="N1261" i="3" a="1"/>
  <c r="N1261" i="3" s="1"/>
  <c r="N1243" i="3" a="1"/>
  <c r="N1243" i="3" s="1"/>
  <c r="N1225" i="3" a="1"/>
  <c r="N1225" i="3" s="1"/>
  <c r="N1207" i="3" a="1"/>
  <c r="N1207" i="3" s="1"/>
  <c r="N1189" i="3" a="1"/>
  <c r="N1189" i="3" s="1"/>
  <c r="N1172" i="3" a="1"/>
  <c r="N1172" i="3" s="1"/>
  <c r="N1153" i="3" a="1"/>
  <c r="N1153" i="3" s="1"/>
  <c r="N1135" i="3" a="1"/>
  <c r="N1135" i="3" s="1"/>
  <c r="N1116" i="3" a="1"/>
  <c r="N1116" i="3" s="1"/>
  <c r="N1100" i="3" a="1"/>
  <c r="N1100" i="3" s="1"/>
  <c r="N1082" i="3" a="1"/>
  <c r="N1082" i="3" s="1"/>
  <c r="N1064" i="3" a="1"/>
  <c r="N1064" i="3" s="1"/>
  <c r="N1046" i="3" a="1"/>
  <c r="N1046" i="3" s="1"/>
  <c r="N1028" i="3" a="1"/>
  <c r="N1028" i="3" s="1"/>
  <c r="N1011" i="3" a="1"/>
  <c r="N1011" i="3" s="1"/>
  <c r="N993" i="3" a="1"/>
  <c r="N993" i="3" s="1"/>
  <c r="N975" i="3" a="1"/>
  <c r="N975" i="3" s="1"/>
  <c r="N957" i="3" a="1"/>
  <c r="N957" i="3" s="1"/>
  <c r="N941" i="3" a="1"/>
  <c r="N941" i="3" s="1"/>
  <c r="N923" i="3" a="1"/>
  <c r="N923" i="3" s="1"/>
  <c r="N906" i="3" a="1"/>
  <c r="N906" i="3" s="1"/>
  <c r="N890" i="3" a="1"/>
  <c r="N890" i="3" s="1"/>
  <c r="N871" i="3" a="1"/>
  <c r="N871" i="3" s="1"/>
  <c r="N854" i="3" a="1"/>
  <c r="N854" i="3" s="1"/>
  <c r="N838" i="3" a="1"/>
  <c r="N838" i="3" s="1"/>
  <c r="N821" i="3" a="1"/>
  <c r="N821" i="3" s="1"/>
  <c r="N805" i="3" a="1"/>
  <c r="N805" i="3" s="1"/>
  <c r="N788" i="3" a="1"/>
  <c r="N788" i="3" s="1"/>
  <c r="N752" i="3" a="1"/>
  <c r="N752" i="3" s="1"/>
  <c r="N735" i="3" a="1"/>
  <c r="N735" i="3" s="1"/>
  <c r="N717" i="3" a="1"/>
  <c r="N717" i="3" s="1"/>
  <c r="N701" i="3" a="1"/>
  <c r="N701" i="3" s="1"/>
  <c r="N685" i="3" a="1"/>
  <c r="N685" i="3" s="1"/>
  <c r="N669" i="3" a="1"/>
  <c r="N669" i="3" s="1"/>
  <c r="N653" i="3" a="1"/>
  <c r="N653" i="3" s="1"/>
  <c r="N637" i="3" a="1"/>
  <c r="N637" i="3" s="1"/>
  <c r="N621" i="3" a="1"/>
  <c r="N621" i="3" s="1"/>
  <c r="N606" i="3" a="1"/>
  <c r="N606" i="3" s="1"/>
  <c r="N590" i="3" a="1"/>
  <c r="N590" i="3" s="1"/>
  <c r="N574" i="3" a="1"/>
  <c r="N574" i="3" s="1"/>
  <c r="N559" i="3" a="1"/>
  <c r="N559" i="3" s="1"/>
  <c r="N543" i="3" a="1"/>
  <c r="N543" i="3" s="1"/>
  <c r="N530" i="3" a="1"/>
  <c r="N530" i="3" s="1"/>
  <c r="N514" i="3" a="1"/>
  <c r="N514" i="3" s="1"/>
  <c r="N498" i="3" a="1"/>
  <c r="N498" i="3" s="1"/>
  <c r="N482" i="3" a="1"/>
  <c r="N482" i="3" s="1"/>
  <c r="N466" i="3" a="1"/>
  <c r="N466" i="3" s="1"/>
  <c r="N450" i="3" a="1"/>
  <c r="N450" i="3" s="1"/>
  <c r="N434" i="3" a="1"/>
  <c r="N434" i="3" s="1"/>
  <c r="N418" i="3" a="1"/>
  <c r="N418" i="3" s="1"/>
  <c r="N402" i="3" a="1"/>
  <c r="N402" i="3" s="1"/>
  <c r="N386" i="3" a="1"/>
  <c r="N386" i="3" s="1"/>
  <c r="N370" i="3" a="1"/>
  <c r="N370" i="3" s="1"/>
  <c r="N354" i="3" a="1"/>
  <c r="N354" i="3" s="1"/>
  <c r="N338" i="3" a="1"/>
  <c r="N338" i="3" s="1"/>
  <c r="N322" i="3" a="1"/>
  <c r="N322" i="3" s="1"/>
  <c r="N306" i="3" a="1"/>
  <c r="N306" i="3" s="1"/>
  <c r="N290" i="3" a="1"/>
  <c r="N290" i="3" s="1"/>
  <c r="N2753" i="3" a="1"/>
  <c r="N2753" i="3" s="1"/>
  <c r="N2589" i="3" a="1"/>
  <c r="N2589" i="3" s="1"/>
  <c r="N2444" i="3" a="1"/>
  <c r="N2444" i="3" s="1"/>
  <c r="N2300" i="3" a="1"/>
  <c r="N2300" i="3" s="1"/>
  <c r="N2156" i="3" a="1"/>
  <c r="N2156" i="3" s="1"/>
  <c r="N2029" i="3" a="1"/>
  <c r="N2029" i="3" s="1"/>
  <c r="N1905" i="3" a="1"/>
  <c r="N1905" i="3" s="1"/>
  <c r="N1811" i="3" a="1"/>
  <c r="N1811" i="3" s="1"/>
  <c r="N1733" i="3" a="1"/>
  <c r="N1733" i="3" s="1"/>
  <c r="N1670" i="3" a="1"/>
  <c r="N1670" i="3" s="1"/>
  <c r="N1613" i="3" a="1"/>
  <c r="N1613" i="3" s="1"/>
  <c r="N1575" i="3" a="1"/>
  <c r="N1575" i="3" s="1"/>
  <c r="N1535" i="3" a="1"/>
  <c r="N1535" i="3" s="1"/>
  <c r="N1499" i="3" a="1"/>
  <c r="N1499" i="3" s="1"/>
  <c r="N1469" i="3" a="1"/>
  <c r="N1469" i="3" s="1"/>
  <c r="N1451" i="3" a="1"/>
  <c r="N1451" i="3" s="1"/>
  <c r="N1435" i="3" a="1"/>
  <c r="N1435" i="3" s="1"/>
  <c r="N1416" i="3" a="1"/>
  <c r="N1416" i="3" s="1"/>
  <c r="N1398" i="3" a="1"/>
  <c r="N1398" i="3" s="1"/>
  <c r="N1381" i="3" a="1"/>
  <c r="N1381" i="3" s="1"/>
  <c r="N1365" i="3" a="1"/>
  <c r="N1365" i="3" s="1"/>
  <c r="N1348" i="3" a="1"/>
  <c r="N1348" i="3" s="1"/>
  <c r="N1315" i="3" a="1"/>
  <c r="N1315" i="3" s="1"/>
  <c r="N1296" i="3" a="1"/>
  <c r="N1296" i="3" s="1"/>
  <c r="N1278" i="3" a="1"/>
  <c r="N1278" i="3" s="1"/>
  <c r="N1259" i="3" a="1"/>
  <c r="N1259" i="3" s="1"/>
  <c r="N1242" i="3" a="1"/>
  <c r="N1242" i="3" s="1"/>
  <c r="N1224" i="3" a="1"/>
  <c r="N1224" i="3" s="1"/>
  <c r="N1206" i="3" a="1"/>
  <c r="N1206" i="3" s="1"/>
  <c r="N1188" i="3" a="1"/>
  <c r="N1188" i="3" s="1"/>
  <c r="N1170" i="3" a="1"/>
  <c r="N1170" i="3" s="1"/>
  <c r="N1152" i="3" a="1"/>
  <c r="N1152" i="3" s="1"/>
  <c r="N1133" i="3" a="1"/>
  <c r="N1133" i="3" s="1"/>
  <c r="N1115" i="3" a="1"/>
  <c r="N1115" i="3" s="1"/>
  <c r="N1099" i="3" a="1"/>
  <c r="N1099" i="3" s="1"/>
  <c r="N1081" i="3" a="1"/>
  <c r="N1081" i="3" s="1"/>
  <c r="N1063" i="3" a="1"/>
  <c r="N1063" i="3" s="1"/>
  <c r="N1044" i="3" a="1"/>
  <c r="N1044" i="3" s="1"/>
  <c r="N1027" i="3" a="1"/>
  <c r="N1027" i="3" s="1"/>
  <c r="N1009" i="3" a="1"/>
  <c r="N1009" i="3" s="1"/>
  <c r="N992" i="3" a="1"/>
  <c r="N992" i="3" s="1"/>
  <c r="N974" i="3" a="1"/>
  <c r="N974" i="3" s="1"/>
  <c r="N940" i="3" a="1"/>
  <c r="N940" i="3" s="1"/>
  <c r="N922" i="3" a="1"/>
  <c r="N922" i="3" s="1"/>
  <c r="N905" i="3" a="1"/>
  <c r="N905" i="3" s="1"/>
  <c r="N888" i="3" a="1"/>
  <c r="N888" i="3" s="1"/>
  <c r="N870" i="3" a="1"/>
  <c r="N870" i="3" s="1"/>
  <c r="N853" i="3" a="1"/>
  <c r="N853" i="3" s="1"/>
  <c r="N837" i="3" a="1"/>
  <c r="N837" i="3" s="1"/>
  <c r="N803" i="3" a="1"/>
  <c r="N803" i="3" s="1"/>
  <c r="N787" i="3" a="1"/>
  <c r="N787" i="3" s="1"/>
  <c r="N769" i="3" a="1"/>
  <c r="N769" i="3" s="1"/>
  <c r="N751" i="3" a="1"/>
  <c r="N751" i="3" s="1"/>
  <c r="N734" i="3" a="1"/>
  <c r="N734" i="3" s="1"/>
  <c r="N716" i="3" a="1"/>
  <c r="N716" i="3" s="1"/>
  <c r="N700" i="3" a="1"/>
  <c r="N700" i="3" s="1"/>
  <c r="N684" i="3" a="1"/>
  <c r="N684" i="3" s="1"/>
  <c r="N668" i="3" a="1"/>
  <c r="N668" i="3" s="1"/>
  <c r="N652" i="3" a="1"/>
  <c r="N652" i="3" s="1"/>
  <c r="N636" i="3" a="1"/>
  <c r="N636" i="3" s="1"/>
  <c r="N605" i="3" a="1"/>
  <c r="N605" i="3" s="1"/>
  <c r="N589" i="3" a="1"/>
  <c r="N589" i="3" s="1"/>
  <c r="N573" i="3" a="1"/>
  <c r="N573" i="3" s="1"/>
  <c r="N558" i="3" a="1"/>
  <c r="N558" i="3" s="1"/>
  <c r="N542" i="3" a="1"/>
  <c r="N542" i="3" s="1"/>
  <c r="N529" i="3" a="1"/>
  <c r="N529" i="3" s="1"/>
  <c r="N513" i="3" a="1"/>
  <c r="N513" i="3" s="1"/>
  <c r="N497" i="3" a="1"/>
  <c r="N497" i="3" s="1"/>
  <c r="N481" i="3" a="1"/>
  <c r="N481" i="3" s="1"/>
  <c r="N465" i="3" a="1"/>
  <c r="N465" i="3" s="1"/>
  <c r="N449" i="3" a="1"/>
  <c r="N449" i="3" s="1"/>
  <c r="N433" i="3" a="1"/>
  <c r="N433" i="3" s="1"/>
  <c r="N417" i="3" a="1"/>
  <c r="N417" i="3" s="1"/>
  <c r="N401" i="3" a="1"/>
  <c r="N401" i="3" s="1"/>
  <c r="N385" i="3" a="1"/>
  <c r="N385" i="3" s="1"/>
  <c r="N369" i="3" a="1"/>
  <c r="N369" i="3" s="1"/>
  <c r="N353" i="3" a="1"/>
  <c r="N353" i="3" s="1"/>
  <c r="N337" i="3" a="1"/>
  <c r="N337" i="3" s="1"/>
  <c r="N321" i="3" a="1"/>
  <c r="N321" i="3" s="1"/>
  <c r="N305" i="3" a="1"/>
  <c r="N305" i="3" s="1"/>
  <c r="N289" i="3" a="1"/>
  <c r="N289" i="3" s="1"/>
  <c r="N2742" i="3" a="1"/>
  <c r="N2742" i="3" s="1"/>
  <c r="N2580" i="3" a="1"/>
  <c r="N2580" i="3" s="1"/>
  <c r="N2435" i="3" a="1"/>
  <c r="N2435" i="3" s="1"/>
  <c r="N2291" i="3" a="1"/>
  <c r="N2291" i="3" s="1"/>
  <c r="N2146" i="3" a="1"/>
  <c r="N2146" i="3" s="1"/>
  <c r="N2021" i="3" a="1"/>
  <c r="N2021" i="3" s="1"/>
  <c r="N1897" i="3" a="1"/>
  <c r="N1897" i="3" s="1"/>
  <c r="N1803" i="3" a="1"/>
  <c r="N1803" i="3" s="1"/>
  <c r="N1731" i="3" a="1"/>
  <c r="N1731" i="3" s="1"/>
  <c r="N2731" i="3" a="1"/>
  <c r="N2731" i="3" s="1"/>
  <c r="N2569" i="3" a="1"/>
  <c r="N2569" i="3" s="1"/>
  <c r="N2427" i="3" a="1"/>
  <c r="N2427" i="3" s="1"/>
  <c r="N2282" i="3" a="1"/>
  <c r="N2282" i="3" s="1"/>
  <c r="N2138" i="3" a="1"/>
  <c r="N2138" i="3" s="1"/>
  <c r="N2013" i="3" a="1"/>
  <c r="N2013" i="3" s="1"/>
  <c r="N1889" i="3" a="1"/>
  <c r="N1889" i="3" s="1"/>
  <c r="N1797" i="3" a="1"/>
  <c r="N1797" i="3" s="1"/>
  <c r="N1723" i="3" a="1"/>
  <c r="N1723" i="3" s="1"/>
  <c r="N1660" i="3" a="1"/>
  <c r="N1660" i="3" s="1"/>
  <c r="N1608" i="3" a="1"/>
  <c r="N1608" i="3" s="1"/>
  <c r="N1567" i="3" a="1"/>
  <c r="N1567" i="3" s="1"/>
  <c r="N1531" i="3" a="1"/>
  <c r="N1531" i="3" s="1"/>
  <c r="N1497" i="3" a="1"/>
  <c r="N1497" i="3" s="1"/>
  <c r="N1467" i="3" a="1"/>
  <c r="N1467" i="3" s="1"/>
  <c r="N1449" i="3" a="1"/>
  <c r="N1449" i="3" s="1"/>
  <c r="N1432" i="3" a="1"/>
  <c r="N1432" i="3" s="1"/>
  <c r="N1414" i="3" a="1"/>
  <c r="N1414" i="3" s="1"/>
  <c r="N1395" i="3" a="1"/>
  <c r="N1395" i="3" s="1"/>
  <c r="N1379" i="3" a="1"/>
  <c r="N1379" i="3" s="1"/>
  <c r="N1363" i="3" a="1"/>
  <c r="N1363" i="3" s="1"/>
  <c r="N1346" i="3" a="1"/>
  <c r="N1346" i="3" s="1"/>
  <c r="N1329" i="3" a="1"/>
  <c r="N1329" i="3" s="1"/>
  <c r="N1312" i="3" a="1"/>
  <c r="N1312" i="3" s="1"/>
  <c r="N1294" i="3" a="1"/>
  <c r="N1294" i="3" s="1"/>
  <c r="N1275" i="3" a="1"/>
  <c r="N1275" i="3" s="1"/>
  <c r="N1257" i="3" a="1"/>
  <c r="N1257" i="3" s="1"/>
  <c r="N1240" i="3" a="1"/>
  <c r="N1240" i="3" s="1"/>
  <c r="N1222" i="3" a="1"/>
  <c r="N1222" i="3" s="1"/>
  <c r="N1204" i="3" a="1"/>
  <c r="N1204" i="3" s="1"/>
  <c r="N1185" i="3" a="1"/>
  <c r="N1185" i="3" s="1"/>
  <c r="N1168" i="3" a="1"/>
  <c r="N1168" i="3" s="1"/>
  <c r="N1149" i="3" a="1"/>
  <c r="N1149" i="3" s="1"/>
  <c r="N1131" i="3" a="1"/>
  <c r="N1131" i="3" s="1"/>
  <c r="N1113" i="3" a="1"/>
  <c r="N1113" i="3" s="1"/>
  <c r="N1097" i="3" a="1"/>
  <c r="N1097" i="3" s="1"/>
  <c r="N1079" i="3" a="1"/>
  <c r="N1079" i="3" s="1"/>
  <c r="N1060" i="3" a="1"/>
  <c r="N1060" i="3" s="1"/>
  <c r="N1042" i="3" a="1"/>
  <c r="N1042" i="3" s="1"/>
  <c r="N1024" i="3" a="1"/>
  <c r="N1024" i="3" s="1"/>
  <c r="N1007" i="3" a="1"/>
  <c r="N1007" i="3" s="1"/>
  <c r="N990" i="3" a="1"/>
  <c r="N990" i="3" s="1"/>
  <c r="N972" i="3" a="1"/>
  <c r="N972" i="3" s="1"/>
  <c r="N955" i="3" a="1"/>
  <c r="N955" i="3" s="1"/>
  <c r="N937" i="3" a="1"/>
  <c r="N937" i="3" s="1"/>
  <c r="N920" i="3" a="1"/>
  <c r="N920" i="3" s="1"/>
  <c r="N903" i="3" a="1"/>
  <c r="N903" i="3" s="1"/>
  <c r="N886" i="3" a="1"/>
  <c r="N886" i="3" s="1"/>
  <c r="N869" i="3" a="1"/>
  <c r="N869" i="3" s="1"/>
  <c r="N835" i="3" a="1"/>
  <c r="N835" i="3" s="1"/>
  <c r="N818" i="3" a="1"/>
  <c r="N818" i="3" s="1"/>
  <c r="N801" i="3" a="1"/>
  <c r="N801" i="3" s="1"/>
  <c r="N784" i="3" a="1"/>
  <c r="N784" i="3" s="1"/>
  <c r="N767" i="3" a="1"/>
  <c r="N767" i="3" s="1"/>
  <c r="N749" i="3" a="1"/>
  <c r="N749" i="3" s="1"/>
  <c r="N732" i="3" a="1"/>
  <c r="N732" i="3" s="1"/>
  <c r="N714" i="3" a="1"/>
  <c r="N714" i="3" s="1"/>
  <c r="N698" i="3" a="1"/>
  <c r="N698" i="3" s="1"/>
  <c r="N682" i="3" a="1"/>
  <c r="N682" i="3" s="1"/>
  <c r="N666" i="3" a="1"/>
  <c r="N666" i="3" s="1"/>
  <c r="N650" i="3" a="1"/>
  <c r="N650" i="3" s="1"/>
  <c r="N634" i="3" a="1"/>
  <c r="N634" i="3" s="1"/>
  <c r="N619" i="3" a="1"/>
  <c r="N619" i="3" s="1"/>
  <c r="N603" i="3" a="1"/>
  <c r="N603" i="3" s="1"/>
  <c r="N587" i="3" a="1"/>
  <c r="N587" i="3" s="1"/>
  <c r="N571" i="3" a="1"/>
  <c r="N571" i="3" s="1"/>
  <c r="N556" i="3" a="1"/>
  <c r="N556" i="3" s="1"/>
  <c r="N541" i="3" a="1"/>
  <c r="N541" i="3" s="1"/>
  <c r="N527" i="3" a="1"/>
  <c r="N527" i="3" s="1"/>
  <c r="N511" i="3" a="1"/>
  <c r="N511" i="3" s="1"/>
  <c r="N495" i="3" a="1"/>
  <c r="N495" i="3" s="1"/>
  <c r="N479" i="3" a="1"/>
  <c r="N479" i="3" s="1"/>
  <c r="N463" i="3" a="1"/>
  <c r="N463" i="3" s="1"/>
  <c r="N447" i="3" a="1"/>
  <c r="N447" i="3" s="1"/>
  <c r="N431" i="3" a="1"/>
  <c r="N431" i="3" s="1"/>
  <c r="N415" i="3" a="1"/>
  <c r="N415" i="3" s="1"/>
  <c r="N399" i="3" a="1"/>
  <c r="N399" i="3" s="1"/>
  <c r="N383" i="3" a="1"/>
  <c r="N383" i="3" s="1"/>
  <c r="N367" i="3" a="1"/>
  <c r="N367" i="3" s="1"/>
  <c r="N351" i="3" a="1"/>
  <c r="N351" i="3" s="1"/>
  <c r="N335" i="3" a="1"/>
  <c r="N335" i="3" s="1"/>
  <c r="N319" i="3" a="1"/>
  <c r="N319" i="3" s="1"/>
  <c r="N303" i="3" a="1"/>
  <c r="N303" i="3" s="1"/>
  <c r="N287" i="3" a="1"/>
  <c r="N287" i="3" s="1"/>
  <c r="N271" i="3" a="1"/>
  <c r="N271" i="3" s="1"/>
  <c r="N255" i="3" a="1"/>
  <c r="N255" i="3" s="1"/>
  <c r="N240" i="3" a="1"/>
  <c r="N240" i="3" s="1"/>
  <c r="N224" i="3" a="1"/>
  <c r="N224" i="3" s="1"/>
  <c r="N208" i="3" a="1"/>
  <c r="N208" i="3" s="1"/>
  <c r="N192" i="3" a="1"/>
  <c r="N192" i="3" s="1"/>
  <c r="N176" i="3" a="1"/>
  <c r="N176" i="3" s="1"/>
  <c r="N161" i="3" a="1"/>
  <c r="N161" i="3" s="1"/>
  <c r="N145" i="3" a="1"/>
  <c r="N145" i="3" s="1"/>
  <c r="N129" i="3" a="1"/>
  <c r="N129" i="3" s="1"/>
  <c r="N113" i="3" a="1"/>
  <c r="N113" i="3" s="1"/>
  <c r="N97" i="3" a="1"/>
  <c r="N97" i="3" s="1"/>
  <c r="N81" i="3" a="1"/>
  <c r="N81" i="3" s="1"/>
  <c r="N65" i="3" a="1"/>
  <c r="N65" i="3" s="1"/>
  <c r="N49" i="3" a="1"/>
  <c r="N49" i="3" s="1"/>
  <c r="N33" i="3" a="1"/>
  <c r="N33" i="3" s="1"/>
  <c r="N17" i="3" a="1"/>
  <c r="N17" i="3" s="1"/>
  <c r="N2722" i="3" a="1"/>
  <c r="N2722" i="3" s="1"/>
  <c r="N2561" i="3" a="1"/>
  <c r="N2561" i="3" s="1"/>
  <c r="N2419" i="3" a="1"/>
  <c r="N2419" i="3" s="1"/>
  <c r="N2272" i="3" a="1"/>
  <c r="N2272" i="3" s="1"/>
  <c r="N2128" i="3" a="1"/>
  <c r="N2128" i="3" s="1"/>
  <c r="N2005" i="3" a="1"/>
  <c r="N2005" i="3" s="1"/>
  <c r="N1881" i="3" a="1"/>
  <c r="N1881" i="3" s="1"/>
  <c r="N1795" i="3" a="1"/>
  <c r="N1795" i="3" s="1"/>
  <c r="N1718" i="3" a="1"/>
  <c r="N1718" i="3" s="1"/>
  <c r="N1655" i="3" a="1"/>
  <c r="N1655" i="3" s="1"/>
  <c r="N1566" i="3" a="1"/>
  <c r="N1566" i="3" s="1"/>
  <c r="N1530" i="3" a="1"/>
  <c r="N1530" i="3" s="1"/>
  <c r="N1496" i="3" a="1"/>
  <c r="N1496" i="3" s="1"/>
  <c r="N1466" i="3" a="1"/>
  <c r="N1466" i="3" s="1"/>
  <c r="N1448" i="3" a="1"/>
  <c r="N1448" i="3" s="1"/>
  <c r="N1431" i="3" a="1"/>
  <c r="N1431" i="3" s="1"/>
  <c r="N1413" i="3" a="1"/>
  <c r="N1413" i="3" s="1"/>
  <c r="N1394" i="3" a="1"/>
  <c r="N1394" i="3" s="1"/>
  <c r="N1378" i="3" a="1"/>
  <c r="N1378" i="3" s="1"/>
  <c r="N1362" i="3" a="1"/>
  <c r="N1362" i="3" s="1"/>
  <c r="N1345" i="3" a="1"/>
  <c r="N1345" i="3" s="1"/>
  <c r="N1328" i="3" a="1"/>
  <c r="N1328" i="3" s="1"/>
  <c r="N1311" i="3" a="1"/>
  <c r="N1311" i="3" s="1"/>
  <c r="N1293" i="3" a="1"/>
  <c r="N1293" i="3" s="1"/>
  <c r="N1274" i="3" a="1"/>
  <c r="N1274" i="3" s="1"/>
  <c r="N1256" i="3" a="1"/>
  <c r="N1256" i="3" s="1"/>
  <c r="N1239" i="3" a="1"/>
  <c r="N1239" i="3" s="1"/>
  <c r="N1221" i="3" a="1"/>
  <c r="N1221" i="3" s="1"/>
  <c r="N1203" i="3" a="1"/>
  <c r="N1203" i="3" s="1"/>
  <c r="N1184" i="3" a="1"/>
  <c r="N1184" i="3" s="1"/>
  <c r="N1167" i="3" a="1"/>
  <c r="N1167" i="3" s="1"/>
  <c r="N1148" i="3" a="1"/>
  <c r="N1148" i="3" s="1"/>
  <c r="N1130" i="3" a="1"/>
  <c r="N1130" i="3" s="1"/>
  <c r="N1112" i="3" a="1"/>
  <c r="N1112" i="3" s="1"/>
  <c r="N1096" i="3" a="1"/>
  <c r="N1096" i="3" s="1"/>
  <c r="N1078" i="3" a="1"/>
  <c r="N1078" i="3" s="1"/>
  <c r="N1059" i="3" a="1"/>
  <c r="N1059" i="3" s="1"/>
  <c r="N1041" i="3" a="1"/>
  <c r="N1041" i="3" s="1"/>
  <c r="N1023" i="3" a="1"/>
  <c r="N1023" i="3" s="1"/>
  <c r="N1006" i="3" a="1"/>
  <c r="N1006" i="3" s="1"/>
  <c r="N989" i="3" a="1"/>
  <c r="N989" i="3" s="1"/>
  <c r="N971" i="3" a="1"/>
  <c r="N971" i="3" s="1"/>
  <c r="N954" i="3" a="1"/>
  <c r="N954" i="3" s="1"/>
  <c r="N936" i="3" a="1"/>
  <c r="N936" i="3" s="1"/>
  <c r="N919" i="3" a="1"/>
  <c r="N919" i="3" s="1"/>
  <c r="N902" i="3" a="1"/>
  <c r="N902" i="3" s="1"/>
  <c r="N885" i="3" a="1"/>
  <c r="N885" i="3" s="1"/>
  <c r="N868" i="3" a="1"/>
  <c r="N868" i="3" s="1"/>
  <c r="N851" i="3" a="1"/>
  <c r="N851" i="3" s="1"/>
  <c r="N834" i="3" a="1"/>
  <c r="N834" i="3" s="1"/>
  <c r="N817" i="3" a="1"/>
  <c r="N817" i="3" s="1"/>
  <c r="N800" i="3" a="1"/>
  <c r="N800" i="3" s="1"/>
  <c r="N783" i="3" a="1"/>
  <c r="N783" i="3" s="1"/>
  <c r="N766" i="3" a="1"/>
  <c r="N766" i="3" s="1"/>
  <c r="N748" i="3" a="1"/>
  <c r="N748" i="3" s="1"/>
  <c r="N731" i="3" a="1"/>
  <c r="N731" i="3" s="1"/>
  <c r="N713" i="3" a="1"/>
  <c r="N713" i="3" s="1"/>
  <c r="N697" i="3" a="1"/>
  <c r="N697" i="3" s="1"/>
  <c r="N681" i="3" a="1"/>
  <c r="N681" i="3" s="1"/>
  <c r="N665" i="3" a="1"/>
  <c r="N665" i="3" s="1"/>
  <c r="N649" i="3" a="1"/>
  <c r="N649" i="3" s="1"/>
  <c r="N633" i="3" a="1"/>
  <c r="N633" i="3" s="1"/>
  <c r="N618" i="3" a="1"/>
  <c r="N618" i="3" s="1"/>
  <c r="N602" i="3" a="1"/>
  <c r="N602" i="3" s="1"/>
  <c r="N586" i="3" a="1"/>
  <c r="N586" i="3" s="1"/>
  <c r="N570" i="3" a="1"/>
  <c r="N570" i="3" s="1"/>
  <c r="N555" i="3" a="1"/>
  <c r="N555" i="3" s="1"/>
  <c r="N526" i="3" a="1"/>
  <c r="N526" i="3" s="1"/>
  <c r="N510" i="3" a="1"/>
  <c r="N510" i="3" s="1"/>
  <c r="N494" i="3" a="1"/>
  <c r="N494" i="3" s="1"/>
  <c r="N478" i="3" a="1"/>
  <c r="N478" i="3" s="1"/>
  <c r="N462" i="3" a="1"/>
  <c r="N462" i="3" s="1"/>
  <c r="N446" i="3" a="1"/>
  <c r="N446" i="3" s="1"/>
  <c r="N430" i="3" a="1"/>
  <c r="N430" i="3" s="1"/>
  <c r="N414" i="3" a="1"/>
  <c r="N414" i="3" s="1"/>
  <c r="N398" i="3" a="1"/>
  <c r="N398" i="3" s="1"/>
  <c r="N382" i="3" a="1"/>
  <c r="N382" i="3" s="1"/>
  <c r="N366" i="3" a="1"/>
  <c r="N366" i="3" s="1"/>
  <c r="N350" i="3" a="1"/>
  <c r="N350" i="3" s="1"/>
  <c r="N334" i="3" a="1"/>
  <c r="N334" i="3" s="1"/>
  <c r="N318" i="3" a="1"/>
  <c r="N318" i="3" s="1"/>
  <c r="N302" i="3" a="1"/>
  <c r="N302" i="3" s="1"/>
  <c r="N286" i="3" a="1"/>
  <c r="N286" i="3" s="1"/>
  <c r="N2710" i="3" a="1"/>
  <c r="N2710" i="3" s="1"/>
  <c r="N2550" i="3" a="1"/>
  <c r="N2550" i="3" s="1"/>
  <c r="N2410" i="3" a="1"/>
  <c r="N2410" i="3" s="1"/>
  <c r="N2264" i="3" a="1"/>
  <c r="N2264" i="3" s="1"/>
  <c r="N2121" i="3" a="1"/>
  <c r="N2121" i="3" s="1"/>
  <c r="N1997" i="3" a="1"/>
  <c r="N1997" i="3" s="1"/>
  <c r="N1874" i="3" a="1"/>
  <c r="N1874" i="3" s="1"/>
  <c r="N1787" i="3" a="1"/>
  <c r="N1787" i="3" s="1"/>
  <c r="N1717" i="3" a="1"/>
  <c r="N1717" i="3" s="1"/>
  <c r="N1654" i="3" a="1"/>
  <c r="N1654" i="3" s="1"/>
  <c r="N1599" i="3" a="1"/>
  <c r="N1599" i="3" s="1"/>
  <c r="N1562" i="3" a="1"/>
  <c r="N1562" i="3" s="1"/>
  <c r="N1529" i="3" a="1"/>
  <c r="N1529" i="3" s="1"/>
  <c r="N1489" i="3" a="1"/>
  <c r="N1489" i="3" s="1"/>
  <c r="N1465" i="3" a="1"/>
  <c r="N1465" i="3" s="1"/>
  <c r="N1446" i="3" a="1"/>
  <c r="N1446" i="3" s="1"/>
  <c r="N1430" i="3" a="1"/>
  <c r="N1430" i="3" s="1"/>
  <c r="N1411" i="3" a="1"/>
  <c r="N1411" i="3" s="1"/>
  <c r="N1393" i="3" a="1"/>
  <c r="N1393" i="3" s="1"/>
  <c r="N1377" i="3" a="1"/>
  <c r="N1377" i="3" s="1"/>
  <c r="N1361" i="3" a="1"/>
  <c r="N1361" i="3" s="1"/>
  <c r="N1344" i="3" a="1"/>
  <c r="N1344" i="3" s="1"/>
  <c r="N1310" i="3" a="1"/>
  <c r="N1310" i="3" s="1"/>
  <c r="N1291" i="3" a="1"/>
  <c r="N1291" i="3" s="1"/>
  <c r="N1273" i="3" a="1"/>
  <c r="N1273" i="3" s="1"/>
  <c r="N1255" i="3" a="1"/>
  <c r="N1255" i="3" s="1"/>
  <c r="N1238" i="3" a="1"/>
  <c r="N1238" i="3" s="1"/>
  <c r="N1220" i="3" a="1"/>
  <c r="N1220" i="3" s="1"/>
  <c r="N1201" i="3" a="1"/>
  <c r="N1201" i="3" s="1"/>
  <c r="N1183" i="3" a="1"/>
  <c r="N1183" i="3" s="1"/>
  <c r="N1165" i="3" a="1"/>
  <c r="N1165" i="3" s="1"/>
  <c r="N1147" i="3" a="1"/>
  <c r="N1147" i="3" s="1"/>
  <c r="N1129" i="3" a="1"/>
  <c r="N1129" i="3" s="1"/>
  <c r="N1111" i="3" a="1"/>
  <c r="N1111" i="3" s="1"/>
  <c r="N1095" i="3" a="1"/>
  <c r="N1095" i="3" s="1"/>
  <c r="N1076" i="3" a="1"/>
  <c r="N1076" i="3" s="1"/>
  <c r="N1058" i="3" a="1"/>
  <c r="N1058" i="3" s="1"/>
  <c r="N1005" i="3" a="1"/>
  <c r="N1005" i="3" s="1"/>
  <c r="N988" i="3" a="1"/>
  <c r="N988" i="3" s="1"/>
  <c r="N970" i="3" a="1"/>
  <c r="N970" i="3" s="1"/>
  <c r="N952" i="3" a="1"/>
  <c r="N952" i="3" s="1"/>
  <c r="N935" i="3" a="1"/>
  <c r="N935" i="3" s="1"/>
  <c r="N917" i="3" a="1"/>
  <c r="N917" i="3" s="1"/>
  <c r="N901" i="3" a="1"/>
  <c r="N901" i="3" s="1"/>
  <c r="N884" i="3" a="1"/>
  <c r="N884" i="3" s="1"/>
  <c r="N867" i="3" a="1"/>
  <c r="N867" i="3" s="1"/>
  <c r="N850" i="3" a="1"/>
  <c r="N850" i="3" s="1"/>
  <c r="N832" i="3" a="1"/>
  <c r="N832" i="3" s="1"/>
  <c r="N816" i="3" a="1"/>
  <c r="N816" i="3" s="1"/>
  <c r="N782" i="3" a="1"/>
  <c r="N782" i="3" s="1"/>
  <c r="N765" i="3" a="1"/>
  <c r="N765" i="3" s="1"/>
  <c r="N747" i="3" a="1"/>
  <c r="N747" i="3" s="1"/>
  <c r="N730" i="3" a="1"/>
  <c r="N730" i="3" s="1"/>
  <c r="N712" i="3" a="1"/>
  <c r="N712" i="3" s="1"/>
  <c r="N696" i="3" a="1"/>
  <c r="N696" i="3" s="1"/>
  <c r="N680" i="3" a="1"/>
  <c r="N680" i="3" s="1"/>
  <c r="N664" i="3" a="1"/>
  <c r="N664" i="3" s="1"/>
  <c r="N648" i="3" a="1"/>
  <c r="N648" i="3" s="1"/>
  <c r="N632" i="3" a="1"/>
  <c r="N632" i="3" s="1"/>
  <c r="N617" i="3" a="1"/>
  <c r="N617" i="3" s="1"/>
  <c r="N601" i="3" a="1"/>
  <c r="N601" i="3" s="1"/>
  <c r="N585" i="3" a="1"/>
  <c r="N585" i="3" s="1"/>
  <c r="N569" i="3" a="1"/>
  <c r="N569" i="3" s="1"/>
  <c r="N554" i="3" a="1"/>
  <c r="N554" i="3" s="1"/>
  <c r="N540" i="3" a="1"/>
  <c r="N540" i="3" s="1"/>
  <c r="N525" i="3" a="1"/>
  <c r="N525" i="3" s="1"/>
  <c r="N509" i="3" a="1"/>
  <c r="N509" i="3" s="1"/>
  <c r="N493" i="3" a="1"/>
  <c r="N493" i="3" s="1"/>
  <c r="N477" i="3" a="1"/>
  <c r="N477" i="3" s="1"/>
  <c r="N461" i="3" a="1"/>
  <c r="N461" i="3" s="1"/>
  <c r="N445" i="3" a="1"/>
  <c r="N445" i="3" s="1"/>
  <c r="N429" i="3" a="1"/>
  <c r="N429" i="3" s="1"/>
  <c r="N413" i="3" a="1"/>
  <c r="N413" i="3" s="1"/>
  <c r="N397" i="3" a="1"/>
  <c r="N397" i="3" s="1"/>
  <c r="N381" i="3" a="1"/>
  <c r="N381" i="3" s="1"/>
  <c r="N365" i="3" a="1"/>
  <c r="N365" i="3" s="1"/>
  <c r="N349" i="3" a="1"/>
  <c r="N349" i="3" s="1"/>
  <c r="N333" i="3" a="1"/>
  <c r="N333" i="3" s="1"/>
  <c r="N317" i="3" a="1"/>
  <c r="N317" i="3" s="1"/>
  <c r="N301" i="3" a="1"/>
  <c r="N301" i="3" s="1"/>
  <c r="N285" i="3" a="1"/>
  <c r="N285" i="3" s="1"/>
  <c r="N2700" i="3" a="1"/>
  <c r="N2700" i="3" s="1"/>
  <c r="N2400" i="3" a="1"/>
  <c r="N2400" i="3" s="1"/>
  <c r="N2255" i="3" a="1"/>
  <c r="N2255" i="3" s="1"/>
  <c r="N2112" i="3" a="1"/>
  <c r="N2112" i="3" s="1"/>
  <c r="N1989" i="3" a="1"/>
  <c r="N1989" i="3" s="1"/>
  <c r="N1866" i="3" a="1"/>
  <c r="N1866" i="3" s="1"/>
  <c r="N1781" i="3" a="1"/>
  <c r="N1781" i="3" s="1"/>
  <c r="N1715" i="3" a="1"/>
  <c r="N1715" i="3" s="1"/>
  <c r="N1652" i="3" a="1"/>
  <c r="N1652" i="3" s="1"/>
  <c r="N1598" i="3" a="1"/>
  <c r="N1598" i="3" s="1"/>
  <c r="N1561" i="3" a="1"/>
  <c r="N1561" i="3" s="1"/>
  <c r="N1528" i="3" a="1"/>
  <c r="N1528" i="3" s="1"/>
  <c r="N1488" i="3" a="1"/>
  <c r="N1488" i="3" s="1"/>
  <c r="N1464" i="3" a="1"/>
  <c r="N1464" i="3" s="1"/>
  <c r="N1445" i="3" a="1"/>
  <c r="N1445" i="3" s="1"/>
  <c r="N1429" i="3" a="1"/>
  <c r="N1429" i="3" s="1"/>
  <c r="N1410" i="3" a="1"/>
  <c r="N1410" i="3" s="1"/>
  <c r="N1392" i="3" a="1"/>
  <c r="N1392" i="3" s="1"/>
  <c r="N1376" i="3" a="1"/>
  <c r="N1376" i="3" s="1"/>
  <c r="N1360" i="3" a="1"/>
  <c r="N1360" i="3" s="1"/>
  <c r="N1343" i="3" a="1"/>
  <c r="N1343" i="3" s="1"/>
  <c r="N1326" i="3" a="1"/>
  <c r="N1326" i="3" s="1"/>
  <c r="N1309" i="3" a="1"/>
  <c r="N1309" i="3" s="1"/>
  <c r="N1290" i="3" a="1"/>
  <c r="N1290" i="3" s="1"/>
  <c r="N1272" i="3" a="1"/>
  <c r="N1272" i="3" s="1"/>
  <c r="N1254" i="3" a="1"/>
  <c r="N1254" i="3" s="1"/>
  <c r="N1237" i="3" a="1"/>
  <c r="N1237" i="3" s="1"/>
  <c r="N1219" i="3" a="1"/>
  <c r="N1219" i="3" s="1"/>
  <c r="N1200" i="3" a="1"/>
  <c r="N1200" i="3" s="1"/>
  <c r="N1182" i="3" a="1"/>
  <c r="N1182" i="3" s="1"/>
  <c r="N1164" i="3" a="1"/>
  <c r="N1164" i="3" s="1"/>
  <c r="N1146" i="3" a="1"/>
  <c r="N1146" i="3" s="1"/>
  <c r="N1128" i="3" a="1"/>
  <c r="N1128" i="3" s="1"/>
  <c r="N1110" i="3" a="1"/>
  <c r="N1110" i="3" s="1"/>
  <c r="N1094" i="3" a="1"/>
  <c r="N1094" i="3" s="1"/>
  <c r="N1075" i="3" a="1"/>
  <c r="N1075" i="3" s="1"/>
  <c r="N1057" i="3" a="1"/>
  <c r="N1057" i="3" s="1"/>
  <c r="N1039" i="3" a="1"/>
  <c r="N1039" i="3" s="1"/>
  <c r="N1022" i="3" a="1"/>
  <c r="N1022" i="3" s="1"/>
  <c r="N1004" i="3" a="1"/>
  <c r="N1004" i="3" s="1"/>
  <c r="N987" i="3" a="1"/>
  <c r="N987" i="3" s="1"/>
  <c r="N969" i="3" a="1"/>
  <c r="N969" i="3" s="1"/>
  <c r="N951" i="3" a="1"/>
  <c r="N951" i="3" s="1"/>
  <c r="N934" i="3" a="1"/>
  <c r="N934" i="3" s="1"/>
  <c r="N916" i="3" a="1"/>
  <c r="N916" i="3" s="1"/>
  <c r="N900" i="3" a="1"/>
  <c r="N900" i="3" s="1"/>
  <c r="N883" i="3" a="1"/>
  <c r="N883" i="3" s="1"/>
  <c r="N866" i="3" a="1"/>
  <c r="N866" i="3" s="1"/>
  <c r="N849" i="3" a="1"/>
  <c r="N849" i="3" s="1"/>
  <c r="N831" i="3" a="1"/>
  <c r="N831" i="3" s="1"/>
  <c r="N815" i="3" a="1"/>
  <c r="N815" i="3" s="1"/>
  <c r="N798" i="3" a="1"/>
  <c r="N798" i="3" s="1"/>
  <c r="N781" i="3" a="1"/>
  <c r="N781" i="3" s="1"/>
  <c r="N764" i="3" a="1"/>
  <c r="N764" i="3" s="1"/>
  <c r="N746" i="3" a="1"/>
  <c r="N746" i="3" s="1"/>
  <c r="N729" i="3" a="1"/>
  <c r="N729" i="3" s="1"/>
  <c r="N711" i="3" a="1"/>
  <c r="N711" i="3" s="1"/>
  <c r="N695" i="3" a="1"/>
  <c r="N695" i="3" s="1"/>
  <c r="N679" i="3" a="1"/>
  <c r="N679" i="3" s="1"/>
  <c r="N663" i="3" a="1"/>
  <c r="N663" i="3" s="1"/>
  <c r="N647" i="3" a="1"/>
  <c r="N647" i="3" s="1"/>
  <c r="N631" i="3" a="1"/>
  <c r="N631" i="3" s="1"/>
  <c r="N616" i="3" a="1"/>
  <c r="N616" i="3" s="1"/>
  <c r="N600" i="3" a="1"/>
  <c r="N600" i="3" s="1"/>
  <c r="N584" i="3" a="1"/>
  <c r="N584" i="3" s="1"/>
  <c r="N568" i="3" a="1"/>
  <c r="N568" i="3" s="1"/>
  <c r="N553" i="3" a="1"/>
  <c r="N553" i="3" s="1"/>
  <c r="N539" i="3" a="1"/>
  <c r="N539" i="3" s="1"/>
  <c r="N524" i="3" a="1"/>
  <c r="N524" i="3" s="1"/>
  <c r="N508" i="3" a="1"/>
  <c r="N508" i="3" s="1"/>
  <c r="N492" i="3" a="1"/>
  <c r="N492" i="3" s="1"/>
  <c r="N476" i="3" a="1"/>
  <c r="N476" i="3" s="1"/>
  <c r="N460" i="3" a="1"/>
  <c r="N460" i="3" s="1"/>
  <c r="N444" i="3" a="1"/>
  <c r="N444" i="3" s="1"/>
  <c r="N428" i="3" a="1"/>
  <c r="N428" i="3" s="1"/>
  <c r="N412" i="3" a="1"/>
  <c r="N412" i="3" s="1"/>
  <c r="N396" i="3" a="1"/>
  <c r="N396" i="3" s="1"/>
  <c r="N380" i="3" a="1"/>
  <c r="N380" i="3" s="1"/>
  <c r="N364" i="3" a="1"/>
  <c r="N364" i="3" s="1"/>
  <c r="N348" i="3" a="1"/>
  <c r="N348" i="3" s="1"/>
  <c r="N332" i="3" a="1"/>
  <c r="N332" i="3" s="1"/>
  <c r="N316" i="3" a="1"/>
  <c r="N316" i="3" s="1"/>
  <c r="N300" i="3" a="1"/>
  <c r="N300" i="3" s="1"/>
  <c r="N284" i="3" a="1"/>
  <c r="N284" i="3" s="1"/>
  <c r="N2690" i="3" a="1"/>
  <c r="N2690" i="3" s="1"/>
  <c r="N2532" i="3" a="1"/>
  <c r="N2532" i="3" s="1"/>
  <c r="N2392" i="3" a="1"/>
  <c r="N2392" i="3" s="1"/>
  <c r="N2246" i="3" a="1"/>
  <c r="N2246" i="3" s="1"/>
  <c r="N2104" i="3" a="1"/>
  <c r="N2104" i="3" s="1"/>
  <c r="N1860" i="3" a="1"/>
  <c r="N1860" i="3" s="1"/>
  <c r="N1779" i="3" a="1"/>
  <c r="N1779" i="3" s="1"/>
  <c r="N1707" i="3" a="1"/>
  <c r="N1707" i="3" s="1"/>
  <c r="N1644" i="3" a="1"/>
  <c r="N1644" i="3" s="1"/>
  <c r="N1594" i="3" a="1"/>
  <c r="N1594" i="3" s="1"/>
  <c r="N1560" i="3" a="1"/>
  <c r="N1560" i="3" s="1"/>
  <c r="N1521" i="3" a="1"/>
  <c r="N1521" i="3" s="1"/>
  <c r="N1487" i="3" a="1"/>
  <c r="N1487" i="3" s="1"/>
  <c r="N1462" i="3" a="1"/>
  <c r="N1462" i="3" s="1"/>
  <c r="N1444" i="3" a="1"/>
  <c r="N1444" i="3" s="1"/>
  <c r="N1427" i="3" a="1"/>
  <c r="N1427" i="3" s="1"/>
  <c r="N1409" i="3" a="1"/>
  <c r="N1409" i="3" s="1"/>
  <c r="N1391" i="3" a="1"/>
  <c r="N1391" i="3" s="1"/>
  <c r="N1375" i="3" a="1"/>
  <c r="N1375" i="3" s="1"/>
  <c r="N1359" i="3" a="1"/>
  <c r="N1359" i="3" s="1"/>
  <c r="N1341" i="3" a="1"/>
  <c r="N1341" i="3" s="1"/>
  <c r="N1325" i="3" a="1"/>
  <c r="N1325" i="3" s="1"/>
  <c r="N1307" i="3" a="1"/>
  <c r="N1307" i="3" s="1"/>
  <c r="N1289" i="3" a="1"/>
  <c r="N1289" i="3" s="1"/>
  <c r="N1271" i="3" a="1"/>
  <c r="N1271" i="3" s="1"/>
  <c r="N1253" i="3" a="1"/>
  <c r="N1253" i="3" s="1"/>
  <c r="N1236" i="3" a="1"/>
  <c r="N1236" i="3" s="1"/>
  <c r="N1217" i="3" a="1"/>
  <c r="N1217" i="3" s="1"/>
  <c r="N1199" i="3" a="1"/>
  <c r="N1199" i="3" s="1"/>
  <c r="N1180" i="3" a="1"/>
  <c r="N1180" i="3" s="1"/>
  <c r="N1163" i="3" a="1"/>
  <c r="N1163" i="3" s="1"/>
  <c r="N1145" i="3" a="1"/>
  <c r="N1145" i="3" s="1"/>
  <c r="N1127" i="3" a="1"/>
  <c r="N1127" i="3" s="1"/>
  <c r="N1109" i="3" a="1"/>
  <c r="N1109" i="3" s="1"/>
  <c r="N1092" i="3" a="1"/>
  <c r="N1092" i="3" s="1"/>
  <c r="N1074" i="3" a="1"/>
  <c r="N1074" i="3" s="1"/>
  <c r="N1055" i="3" a="1"/>
  <c r="N1055" i="3" s="1"/>
  <c r="N1038" i="3" a="1"/>
  <c r="N1038" i="3" s="1"/>
  <c r="N1021" i="3" a="1"/>
  <c r="N1021" i="3" s="1"/>
  <c r="N1003" i="3" a="1"/>
  <c r="N1003" i="3" s="1"/>
  <c r="N986" i="3" a="1"/>
  <c r="N986" i="3" s="1"/>
  <c r="N967" i="3" a="1"/>
  <c r="N967" i="3" s="1"/>
  <c r="N950" i="3" a="1"/>
  <c r="N950" i="3" s="1"/>
  <c r="N932" i="3" a="1"/>
  <c r="N932" i="3" s="1"/>
  <c r="N915" i="3" a="1"/>
  <c r="N915" i="3" s="1"/>
  <c r="N899" i="3" a="1"/>
  <c r="N899" i="3" s="1"/>
  <c r="N882" i="3" a="1"/>
  <c r="N882" i="3" s="1"/>
  <c r="N865" i="3" a="1"/>
  <c r="N865" i="3" s="1"/>
  <c r="N848" i="3" a="1"/>
  <c r="N848" i="3" s="1"/>
  <c r="N830" i="3" a="1"/>
  <c r="N830" i="3" s="1"/>
  <c r="N813" i="3" a="1"/>
  <c r="N813" i="3" s="1"/>
  <c r="N780" i="3" a="1"/>
  <c r="N780" i="3" s="1"/>
  <c r="N763" i="3" a="1"/>
  <c r="N763" i="3" s="1"/>
  <c r="N745" i="3" a="1"/>
  <c r="N745" i="3" s="1"/>
  <c r="N727" i="3" a="1"/>
  <c r="N727" i="3" s="1"/>
  <c r="N710" i="3" a="1"/>
  <c r="N710" i="3" s="1"/>
  <c r="N694" i="3" a="1"/>
  <c r="N694" i="3" s="1"/>
  <c r="N678" i="3" a="1"/>
  <c r="N678" i="3" s="1"/>
  <c r="N662" i="3" a="1"/>
  <c r="N662" i="3" s="1"/>
  <c r="N646" i="3" a="1"/>
  <c r="N646" i="3" s="1"/>
  <c r="N630" i="3" a="1"/>
  <c r="N630" i="3" s="1"/>
  <c r="N615" i="3" a="1"/>
  <c r="N615" i="3" s="1"/>
  <c r="N599" i="3" a="1"/>
  <c r="N599" i="3" s="1"/>
  <c r="N583" i="3" a="1"/>
  <c r="N583" i="3" s="1"/>
  <c r="N567" i="3" a="1"/>
  <c r="N567" i="3" s="1"/>
  <c r="N552" i="3" a="1"/>
  <c r="N552" i="3" s="1"/>
  <c r="N538" i="3" a="1"/>
  <c r="N538" i="3" s="1"/>
  <c r="N523" i="3" a="1"/>
  <c r="N523" i="3" s="1"/>
  <c r="N507" i="3" a="1"/>
  <c r="N507" i="3" s="1"/>
  <c r="N491" i="3" a="1"/>
  <c r="N491" i="3" s="1"/>
  <c r="N475" i="3" a="1"/>
  <c r="N475" i="3" s="1"/>
  <c r="N459" i="3" a="1"/>
  <c r="N459" i="3" s="1"/>
  <c r="N443" i="3" a="1"/>
  <c r="N443" i="3" s="1"/>
  <c r="N427" i="3" a="1"/>
  <c r="N427" i="3" s="1"/>
  <c r="N411" i="3" a="1"/>
  <c r="N411" i="3" s="1"/>
  <c r="N395" i="3" a="1"/>
  <c r="N395" i="3" s="1"/>
  <c r="N379" i="3" a="1"/>
  <c r="N379" i="3" s="1"/>
  <c r="N363" i="3" a="1"/>
  <c r="N363" i="3" s="1"/>
  <c r="N347" i="3" a="1"/>
  <c r="N347" i="3" s="1"/>
  <c r="N331" i="3" a="1"/>
  <c r="N331" i="3" s="1"/>
  <c r="N315" i="3" a="1"/>
  <c r="N315" i="3" s="1"/>
  <c r="N299" i="3" a="1"/>
  <c r="N299" i="3" s="1"/>
  <c r="N2679" i="3" a="1"/>
  <c r="N2679" i="3" s="1"/>
  <c r="N2522" i="3" a="1"/>
  <c r="N2522" i="3" s="1"/>
  <c r="N2382" i="3" a="1"/>
  <c r="N2382" i="3" s="1"/>
  <c r="N2238" i="3" a="1"/>
  <c r="N2238" i="3" s="1"/>
  <c r="N2096" i="3" a="1"/>
  <c r="N2096" i="3" s="1"/>
  <c r="N1974" i="3" a="1"/>
  <c r="N1974" i="3" s="1"/>
  <c r="N1858" i="3" a="1"/>
  <c r="N1858" i="3" s="1"/>
  <c r="N1771" i="3" a="1"/>
  <c r="N1771" i="3" s="1"/>
  <c r="N1702" i="3" a="1"/>
  <c r="N1702" i="3" s="1"/>
  <c r="N1639" i="3" a="1"/>
  <c r="N1639" i="3" s="1"/>
  <c r="N1593" i="3" a="1"/>
  <c r="N1593" i="3" s="1"/>
  <c r="N1559" i="3" a="1"/>
  <c r="N1559" i="3" s="1"/>
  <c r="N1520" i="3" a="1"/>
  <c r="N1520" i="3" s="1"/>
  <c r="N1483" i="3" a="1"/>
  <c r="N1483" i="3" s="1"/>
  <c r="N1461" i="3" a="1"/>
  <c r="N1461" i="3" s="1"/>
  <c r="N1443" i="3" a="1"/>
  <c r="N1443" i="3" s="1"/>
  <c r="N1426" i="3" a="1"/>
  <c r="N1426" i="3" s="1"/>
  <c r="N1408" i="3" a="1"/>
  <c r="N1408" i="3" s="1"/>
  <c r="N1390" i="3" a="1"/>
  <c r="N1390" i="3" s="1"/>
  <c r="N1374" i="3" a="1"/>
  <c r="N1374" i="3" s="1"/>
  <c r="N1358" i="3" a="1"/>
  <c r="N1358" i="3" s="1"/>
  <c r="N1340" i="3" a="1"/>
  <c r="N1340" i="3" s="1"/>
  <c r="N1324" i="3" a="1"/>
  <c r="N1324" i="3" s="1"/>
  <c r="N1306" i="3" a="1"/>
  <c r="N1306" i="3" s="1"/>
  <c r="N1288" i="3" a="1"/>
  <c r="N1288" i="3" s="1"/>
  <c r="N1270" i="3" a="1"/>
  <c r="N1270" i="3" s="1"/>
  <c r="N1252" i="3" a="1"/>
  <c r="N1252" i="3" s="1"/>
  <c r="N1235" i="3" a="1"/>
  <c r="N1235" i="3" s="1"/>
  <c r="N1216" i="3" a="1"/>
  <c r="N1216" i="3" s="1"/>
  <c r="N1198" i="3" a="1"/>
  <c r="N1198" i="3" s="1"/>
  <c r="N1179" i="3" a="1"/>
  <c r="N1179" i="3" s="1"/>
  <c r="N1162" i="3" a="1"/>
  <c r="N1162" i="3" s="1"/>
  <c r="N1144" i="3" a="1"/>
  <c r="N1144" i="3" s="1"/>
  <c r="N1126" i="3" a="1"/>
  <c r="N1126" i="3" s="1"/>
  <c r="N1108" i="3" a="1"/>
  <c r="N1108" i="3" s="1"/>
  <c r="N1091" i="3" a="1"/>
  <c r="N1091" i="3" s="1"/>
  <c r="N1073" i="3" a="1"/>
  <c r="N1073" i="3" s="1"/>
  <c r="N1054" i="3" a="1"/>
  <c r="N1054" i="3" s="1"/>
  <c r="N1037" i="3" a="1"/>
  <c r="N1037" i="3" s="1"/>
  <c r="N1020" i="3" a="1"/>
  <c r="N1020" i="3" s="1"/>
  <c r="N1002" i="3" a="1"/>
  <c r="N1002" i="3" s="1"/>
  <c r="N985" i="3" a="1"/>
  <c r="N985" i="3" s="1"/>
  <c r="N966" i="3" a="1"/>
  <c r="N966" i="3" s="1"/>
  <c r="N949" i="3" a="1"/>
  <c r="N949" i="3" s="1"/>
  <c r="N931" i="3" a="1"/>
  <c r="N931" i="3" s="1"/>
  <c r="N914" i="3" a="1"/>
  <c r="N914" i="3" s="1"/>
  <c r="N881" i="3" a="1"/>
  <c r="N881" i="3" s="1"/>
  <c r="N864" i="3" a="1"/>
  <c r="N864" i="3" s="1"/>
  <c r="N847" i="3" a="1"/>
  <c r="N847" i="3" s="1"/>
  <c r="N829" i="3" a="1"/>
  <c r="N829" i="3" s="1"/>
  <c r="N812" i="3" a="1"/>
  <c r="N812" i="3" s="1"/>
  <c r="N797" i="3" a="1"/>
  <c r="N797" i="3" s="1"/>
  <c r="N779" i="3" a="1"/>
  <c r="N779" i="3" s="1"/>
  <c r="N762" i="3" a="1"/>
  <c r="N762" i="3" s="1"/>
  <c r="N744" i="3" a="1"/>
  <c r="N744" i="3" s="1"/>
  <c r="N726" i="3" a="1"/>
  <c r="N726" i="3" s="1"/>
  <c r="N709" i="3" a="1"/>
  <c r="N709" i="3" s="1"/>
  <c r="N693" i="3" a="1"/>
  <c r="N693" i="3" s="1"/>
  <c r="N677" i="3" a="1"/>
  <c r="N677" i="3" s="1"/>
  <c r="N661" i="3" a="1"/>
  <c r="N661" i="3" s="1"/>
  <c r="N645" i="3" a="1"/>
  <c r="N645" i="3" s="1"/>
  <c r="N629" i="3" a="1"/>
  <c r="N629" i="3" s="1"/>
  <c r="N614" i="3" a="1"/>
  <c r="N614" i="3" s="1"/>
  <c r="N598" i="3" a="1"/>
  <c r="N598" i="3" s="1"/>
  <c r="N582" i="3" a="1"/>
  <c r="N582" i="3" s="1"/>
  <c r="N566" i="3" a="1"/>
  <c r="N566" i="3" s="1"/>
  <c r="N551" i="3" a="1"/>
  <c r="N551" i="3" s="1"/>
  <c r="N537" i="3" a="1"/>
  <c r="N537" i="3" s="1"/>
  <c r="N522" i="3" a="1"/>
  <c r="N522" i="3" s="1"/>
  <c r="N506" i="3" a="1"/>
  <c r="N506" i="3" s="1"/>
  <c r="N490" i="3" a="1"/>
  <c r="N490" i="3" s="1"/>
  <c r="N474" i="3" a="1"/>
  <c r="N474" i="3" s="1"/>
  <c r="N458" i="3" a="1"/>
  <c r="N458" i="3" s="1"/>
  <c r="N442" i="3" a="1"/>
  <c r="N442" i="3" s="1"/>
  <c r="N426" i="3" a="1"/>
  <c r="N426" i="3" s="1"/>
  <c r="N410" i="3" a="1"/>
  <c r="N410" i="3" s="1"/>
  <c r="N394" i="3" a="1"/>
  <c r="N394" i="3" s="1"/>
  <c r="N378" i="3" a="1"/>
  <c r="N378" i="3" s="1"/>
  <c r="N362" i="3" a="1"/>
  <c r="N362" i="3" s="1"/>
  <c r="N346" i="3" a="1"/>
  <c r="N346" i="3" s="1"/>
  <c r="N330" i="3" a="1"/>
  <c r="N330" i="3" s="1"/>
  <c r="N314" i="3" a="1"/>
  <c r="N314" i="3" s="1"/>
  <c r="N298" i="3" a="1"/>
  <c r="N298" i="3" s="1"/>
  <c r="N282" i="3" a="1"/>
  <c r="N282" i="3" s="1"/>
  <c r="N266" i="3" a="1"/>
  <c r="N266" i="3" s="1"/>
  <c r="N250" i="3" a="1"/>
  <c r="N250" i="3" s="1"/>
  <c r="N235" i="3" a="1"/>
  <c r="N235" i="3" s="1"/>
  <c r="N219" i="3" a="1"/>
  <c r="N219" i="3" s="1"/>
  <c r="N203" i="3" a="1"/>
  <c r="N203" i="3" s="1"/>
  <c r="N187" i="3" a="1"/>
  <c r="N187" i="3" s="1"/>
  <c r="N171" i="3" a="1"/>
  <c r="N171" i="3" s="1"/>
  <c r="N156" i="3" a="1"/>
  <c r="N156" i="3" s="1"/>
  <c r="N140" i="3" a="1"/>
  <c r="N140" i="3" s="1"/>
  <c r="N124" i="3" a="1"/>
  <c r="N124" i="3" s="1"/>
  <c r="N108" i="3" a="1"/>
  <c r="N108" i="3" s="1"/>
  <c r="N92" i="3" a="1"/>
  <c r="N92" i="3" s="1"/>
  <c r="N76" i="3" a="1"/>
  <c r="N76" i="3" s="1"/>
  <c r="N60" i="3" a="1"/>
  <c r="N60" i="3" s="1"/>
  <c r="N44" i="3" a="1"/>
  <c r="N44" i="3" s="1"/>
  <c r="N28" i="3" a="1"/>
  <c r="N28" i="3" s="1"/>
  <c r="N12" i="3" a="1"/>
  <c r="N12" i="3" s="1"/>
  <c r="N1668" i="3" a="1"/>
  <c r="N1668" i="3" s="1"/>
  <c r="N1415" i="3" a="1"/>
  <c r="N1415" i="3" s="1"/>
  <c r="N1277" i="3" a="1"/>
  <c r="N1277" i="3" s="1"/>
  <c r="N1132" i="3" a="1"/>
  <c r="N1132" i="3" s="1"/>
  <c r="N991" i="3" a="1"/>
  <c r="N991" i="3" s="1"/>
  <c r="N852" i="3" a="1"/>
  <c r="N852" i="3" s="1"/>
  <c r="N715" i="3" a="1"/>
  <c r="N715" i="3" s="1"/>
  <c r="N588" i="3" a="1"/>
  <c r="N588" i="3" s="1"/>
  <c r="N464" i="3" a="1"/>
  <c r="N464" i="3" s="1"/>
  <c r="N336" i="3" a="1"/>
  <c r="N336" i="3" s="1"/>
  <c r="N272" i="3" a="1"/>
  <c r="N272" i="3" s="1"/>
  <c r="N253" i="3" a="1"/>
  <c r="N253" i="3" s="1"/>
  <c r="N236" i="3" a="1"/>
  <c r="N236" i="3" s="1"/>
  <c r="N217" i="3" a="1"/>
  <c r="N217" i="3" s="1"/>
  <c r="N199" i="3" a="1"/>
  <c r="N199" i="3" s="1"/>
  <c r="N181" i="3" a="1"/>
  <c r="N181" i="3" s="1"/>
  <c r="N164" i="3" a="1"/>
  <c r="N164" i="3" s="1"/>
  <c r="N146" i="3" a="1"/>
  <c r="N146" i="3" s="1"/>
  <c r="N127" i="3" a="1"/>
  <c r="N127" i="3" s="1"/>
  <c r="N109" i="3" a="1"/>
  <c r="N109" i="3" s="1"/>
  <c r="N90" i="3" a="1"/>
  <c r="N90" i="3" s="1"/>
  <c r="N72" i="3" a="1"/>
  <c r="N72" i="3" s="1"/>
  <c r="N54" i="3" a="1"/>
  <c r="N54" i="3" s="1"/>
  <c r="N36" i="3" a="1"/>
  <c r="N36" i="3" s="1"/>
  <c r="N18" i="3" a="1"/>
  <c r="N18" i="3" s="1"/>
  <c r="N1609" i="3" a="1"/>
  <c r="N1609" i="3" s="1"/>
  <c r="N1397" i="3" a="1"/>
  <c r="N1397" i="3" s="1"/>
  <c r="N1258" i="3" a="1"/>
  <c r="N1258" i="3" s="1"/>
  <c r="N1114" i="3" a="1"/>
  <c r="N1114" i="3" s="1"/>
  <c r="N973" i="3" a="1"/>
  <c r="N973" i="3" s="1"/>
  <c r="N836" i="3" a="1"/>
  <c r="N836" i="3" s="1"/>
  <c r="N699" i="3" a="1"/>
  <c r="N699" i="3" s="1"/>
  <c r="N572" i="3" a="1"/>
  <c r="N572" i="3" s="1"/>
  <c r="N448" i="3" a="1"/>
  <c r="N448" i="3" s="1"/>
  <c r="N320" i="3" a="1"/>
  <c r="N320" i="3" s="1"/>
  <c r="N269" i="3" a="1"/>
  <c r="N269" i="3" s="1"/>
  <c r="N251" i="3" a="1"/>
  <c r="N251" i="3" s="1"/>
  <c r="N233" i="3" a="1"/>
  <c r="N233" i="3" s="1"/>
  <c r="N215" i="3" a="1"/>
  <c r="N215" i="3" s="1"/>
  <c r="N197" i="3" a="1"/>
  <c r="N197" i="3" s="1"/>
  <c r="N179" i="3" a="1"/>
  <c r="N179" i="3" s="1"/>
  <c r="N162" i="3" a="1"/>
  <c r="N162" i="3" s="1"/>
  <c r="N143" i="3" a="1"/>
  <c r="N143" i="3" s="1"/>
  <c r="N125" i="3" a="1"/>
  <c r="N125" i="3" s="1"/>
  <c r="N106" i="3" a="1"/>
  <c r="N106" i="3" s="1"/>
  <c r="N88" i="3" a="1"/>
  <c r="N88" i="3" s="1"/>
  <c r="N70" i="3" a="1"/>
  <c r="N70" i="3" s="1"/>
  <c r="N52" i="3" a="1"/>
  <c r="N52" i="3" s="1"/>
  <c r="N34" i="3" a="1"/>
  <c r="N34" i="3" s="1"/>
  <c r="N15" i="3" a="1"/>
  <c r="N15" i="3" s="1"/>
  <c r="N1591" i="3" a="1"/>
  <c r="N1591" i="3" s="1"/>
  <c r="N1388" i="3" a="1"/>
  <c r="N1388" i="3" s="1"/>
  <c r="N1250" i="3" a="1"/>
  <c r="N1250" i="3" s="1"/>
  <c r="N1106" i="3" a="1"/>
  <c r="N1106" i="3" s="1"/>
  <c r="N964" i="3" a="1"/>
  <c r="N964" i="3" s="1"/>
  <c r="N827" i="3" a="1"/>
  <c r="N827" i="3" s="1"/>
  <c r="N691" i="3" a="1"/>
  <c r="N691" i="3" s="1"/>
  <c r="N564" i="3" a="1"/>
  <c r="N564" i="3" s="1"/>
  <c r="N440" i="3" a="1"/>
  <c r="N440" i="3" s="1"/>
  <c r="N312" i="3" a="1"/>
  <c r="N312" i="3" s="1"/>
  <c r="N268" i="3" a="1"/>
  <c r="N268" i="3" s="1"/>
  <c r="N249" i="3" a="1"/>
  <c r="N249" i="3" s="1"/>
  <c r="N232" i="3" a="1"/>
  <c r="N232" i="3" s="1"/>
  <c r="N214" i="3" a="1"/>
  <c r="N214" i="3" s="1"/>
  <c r="N196" i="3" a="1"/>
  <c r="N196" i="3" s="1"/>
  <c r="N178" i="3" a="1"/>
  <c r="N178" i="3" s="1"/>
  <c r="N160" i="3" a="1"/>
  <c r="N160" i="3" s="1"/>
  <c r="N142" i="3" a="1"/>
  <c r="N142" i="3" s="1"/>
  <c r="N123" i="3" a="1"/>
  <c r="N123" i="3" s="1"/>
  <c r="N105" i="3" a="1"/>
  <c r="N105" i="3" s="1"/>
  <c r="N87" i="3" a="1"/>
  <c r="N87" i="3" s="1"/>
  <c r="N69" i="3" a="1"/>
  <c r="N69" i="3" s="1"/>
  <c r="N51" i="3" a="1"/>
  <c r="N51" i="3" s="1"/>
  <c r="N32" i="3" a="1"/>
  <c r="N32" i="3" s="1"/>
  <c r="N14" i="3" a="1"/>
  <c r="N14" i="3" s="1"/>
  <c r="N1568" i="3" a="1"/>
  <c r="N1568" i="3" s="1"/>
  <c r="N1380" i="3" a="1"/>
  <c r="N1380" i="3" s="1"/>
  <c r="N1241" i="3" a="1"/>
  <c r="N1241" i="3" s="1"/>
  <c r="N1098" i="3" a="1"/>
  <c r="N1098" i="3" s="1"/>
  <c r="N956" i="3" a="1"/>
  <c r="N956" i="3" s="1"/>
  <c r="N820" i="3" a="1"/>
  <c r="N820" i="3" s="1"/>
  <c r="N683" i="3" a="1"/>
  <c r="N683" i="3" s="1"/>
  <c r="N557" i="3" a="1"/>
  <c r="N557" i="3" s="1"/>
  <c r="N432" i="3" a="1"/>
  <c r="N432" i="3" s="1"/>
  <c r="N304" i="3" a="1"/>
  <c r="N304" i="3" s="1"/>
  <c r="N267" i="3" a="1"/>
  <c r="N267" i="3" s="1"/>
  <c r="N248" i="3" a="1"/>
  <c r="N248" i="3" s="1"/>
  <c r="N231" i="3" a="1"/>
  <c r="N231" i="3" s="1"/>
  <c r="N213" i="3" a="1"/>
  <c r="N213" i="3" s="1"/>
  <c r="N195" i="3" a="1"/>
  <c r="N195" i="3" s="1"/>
  <c r="N177" i="3" a="1"/>
  <c r="N177" i="3" s="1"/>
  <c r="N159" i="3" a="1"/>
  <c r="N159" i="3" s="1"/>
  <c r="N141" i="3" a="1"/>
  <c r="N141" i="3" s="1"/>
  <c r="N122" i="3" a="1"/>
  <c r="N122" i="3" s="1"/>
  <c r="N104" i="3" a="1"/>
  <c r="N104" i="3" s="1"/>
  <c r="N86" i="3" a="1"/>
  <c r="N86" i="3" s="1"/>
  <c r="N68" i="3" a="1"/>
  <c r="N68" i="3" s="1"/>
  <c r="N50" i="3" a="1"/>
  <c r="N50" i="3" s="1"/>
  <c r="N31" i="3" a="1"/>
  <c r="N31" i="3" s="1"/>
  <c r="N13" i="3" a="1"/>
  <c r="N13" i="3" s="1"/>
  <c r="N1551" i="3" a="1"/>
  <c r="N1551" i="3" s="1"/>
  <c r="N1372" i="3" a="1"/>
  <c r="N1372" i="3" s="1"/>
  <c r="N1232" i="3" a="1"/>
  <c r="N1232" i="3" s="1"/>
  <c r="N1089" i="3" a="1"/>
  <c r="N1089" i="3" s="1"/>
  <c r="N675" i="3" a="1"/>
  <c r="N675" i="3" s="1"/>
  <c r="N549" i="3" a="1"/>
  <c r="N549" i="3" s="1"/>
  <c r="N424" i="3" a="1"/>
  <c r="N424" i="3" s="1"/>
  <c r="N296" i="3" a="1"/>
  <c r="N296" i="3" s="1"/>
  <c r="N265" i="3" a="1"/>
  <c r="N265" i="3" s="1"/>
  <c r="N247" i="3" a="1"/>
  <c r="N247" i="3" s="1"/>
  <c r="N230" i="3" a="1"/>
  <c r="N230" i="3" s="1"/>
  <c r="N212" i="3" a="1"/>
  <c r="N212" i="3" s="1"/>
  <c r="N194" i="3" a="1"/>
  <c r="N194" i="3" s="1"/>
  <c r="N175" i="3" a="1"/>
  <c r="N175" i="3" s="1"/>
  <c r="N158" i="3" a="1"/>
  <c r="N158" i="3" s="1"/>
  <c r="N139" i="3" a="1"/>
  <c r="N139" i="3" s="1"/>
  <c r="N121" i="3" a="1"/>
  <c r="N121" i="3" s="1"/>
  <c r="N103" i="3" a="1"/>
  <c r="N103" i="3" s="1"/>
  <c r="N85" i="3" a="1"/>
  <c r="N85" i="3" s="1"/>
  <c r="N67" i="3" a="1"/>
  <c r="N67" i="3" s="1"/>
  <c r="N48" i="3" a="1"/>
  <c r="N48" i="3" s="1"/>
  <c r="N30" i="3" a="1"/>
  <c r="N30" i="3" s="1"/>
  <c r="N11" i="3" a="1"/>
  <c r="N11" i="3" s="1"/>
  <c r="N1364" i="3" a="1"/>
  <c r="N1364" i="3" s="1"/>
  <c r="N1223" i="3" a="1"/>
  <c r="N1223" i="3" s="1"/>
  <c r="N1080" i="3" a="1"/>
  <c r="N1080" i="3" s="1"/>
  <c r="N939" i="3" a="1"/>
  <c r="N939" i="3" s="1"/>
  <c r="N802" i="3" a="1"/>
  <c r="N802" i="3" s="1"/>
  <c r="N667" i="3" a="1"/>
  <c r="N667" i="3" s="1"/>
  <c r="N416" i="3" a="1"/>
  <c r="N416" i="3" s="1"/>
  <c r="N288" i="3" a="1"/>
  <c r="N288" i="3" s="1"/>
  <c r="N264" i="3" a="1"/>
  <c r="N264" i="3" s="1"/>
  <c r="N246" i="3" a="1"/>
  <c r="N246" i="3" s="1"/>
  <c r="N229" i="3" a="1"/>
  <c r="N229" i="3" s="1"/>
  <c r="N211" i="3" a="1"/>
  <c r="N211" i="3" s="1"/>
  <c r="N193" i="3" a="1"/>
  <c r="N193" i="3" s="1"/>
  <c r="N174" i="3" a="1"/>
  <c r="N174" i="3" s="1"/>
  <c r="N157" i="3" a="1"/>
  <c r="N157" i="3" s="1"/>
  <c r="N138" i="3" a="1"/>
  <c r="N138" i="3" s="1"/>
  <c r="N120" i="3" a="1"/>
  <c r="N120" i="3" s="1"/>
  <c r="N102" i="3" a="1"/>
  <c r="N102" i="3" s="1"/>
  <c r="N84" i="3" a="1"/>
  <c r="N84" i="3" s="1"/>
  <c r="N66" i="3" a="1"/>
  <c r="N66" i="3" s="1"/>
  <c r="N47" i="3" a="1"/>
  <c r="N47" i="3" s="1"/>
  <c r="N29" i="3" a="1"/>
  <c r="N29" i="3" s="1"/>
  <c r="N10" i="3" a="1"/>
  <c r="N10" i="3" s="1"/>
  <c r="N1515" i="3" a="1"/>
  <c r="N1515" i="3" s="1"/>
  <c r="N1214" i="3" a="1"/>
  <c r="N1214" i="3" s="1"/>
  <c r="N1070" i="3" a="1"/>
  <c r="N1070" i="3" s="1"/>
  <c r="N929" i="3" a="1"/>
  <c r="N929" i="3" s="1"/>
  <c r="N795" i="3" a="1"/>
  <c r="N795" i="3" s="1"/>
  <c r="N659" i="3" a="1"/>
  <c r="N659" i="3" s="1"/>
  <c r="N535" i="3" a="1"/>
  <c r="N535" i="3" s="1"/>
  <c r="N408" i="3" a="1"/>
  <c r="N408" i="3" s="1"/>
  <c r="N283" i="3" a="1"/>
  <c r="N283" i="3" s="1"/>
  <c r="N263" i="3" a="1"/>
  <c r="N263" i="3" s="1"/>
  <c r="N245" i="3" a="1"/>
  <c r="N245" i="3" s="1"/>
  <c r="N228" i="3" a="1"/>
  <c r="N228" i="3" s="1"/>
  <c r="N210" i="3" a="1"/>
  <c r="N210" i="3" s="1"/>
  <c r="N191" i="3" a="1"/>
  <c r="N191" i="3" s="1"/>
  <c r="N173" i="3" a="1"/>
  <c r="N173" i="3" s="1"/>
  <c r="N155" i="3" a="1"/>
  <c r="N155" i="3" s="1"/>
  <c r="N137" i="3" a="1"/>
  <c r="N137" i="3" s="1"/>
  <c r="N119" i="3" a="1"/>
  <c r="N119" i="3" s="1"/>
  <c r="N101" i="3" a="1"/>
  <c r="N101" i="3" s="1"/>
  <c r="N83" i="3" a="1"/>
  <c r="N83" i="3" s="1"/>
  <c r="N64" i="3" a="1"/>
  <c r="N64" i="3" s="1"/>
  <c r="N46" i="3" a="1"/>
  <c r="N46" i="3" s="1"/>
  <c r="N27" i="3" a="1"/>
  <c r="N27" i="3" s="1"/>
  <c r="N9" i="3" a="1"/>
  <c r="N9" i="3" s="1"/>
  <c r="N1498" i="3" a="1"/>
  <c r="N1498" i="3" s="1"/>
  <c r="N1347" i="3" a="1"/>
  <c r="N1347" i="3" s="1"/>
  <c r="N1205" i="3" a="1"/>
  <c r="N1205" i="3" s="1"/>
  <c r="N1062" i="3" a="1"/>
  <c r="N1062" i="3" s="1"/>
  <c r="N921" i="3" a="1"/>
  <c r="N921" i="3" s="1"/>
  <c r="N786" i="3" a="1"/>
  <c r="N786" i="3" s="1"/>
  <c r="N651" i="3" a="1"/>
  <c r="N651" i="3" s="1"/>
  <c r="N528" i="3" a="1"/>
  <c r="N528" i="3" s="1"/>
  <c r="N400" i="3" a="1"/>
  <c r="N400" i="3" s="1"/>
  <c r="N281" i="3" a="1"/>
  <c r="N281" i="3" s="1"/>
  <c r="N262" i="3" a="1"/>
  <c r="N262" i="3" s="1"/>
  <c r="N244" i="3" a="1"/>
  <c r="N244" i="3" s="1"/>
  <c r="N227" i="3" a="1"/>
  <c r="N227" i="3" s="1"/>
  <c r="N209" i="3" a="1"/>
  <c r="N209" i="3" s="1"/>
  <c r="N190" i="3" a="1"/>
  <c r="N190" i="3" s="1"/>
  <c r="N172" i="3" a="1"/>
  <c r="N172" i="3" s="1"/>
  <c r="N154" i="3" a="1"/>
  <c r="N154" i="3" s="1"/>
  <c r="N136" i="3" a="1"/>
  <c r="N136" i="3" s="1"/>
  <c r="N118" i="3" a="1"/>
  <c r="N118" i="3" s="1"/>
  <c r="N100" i="3" a="1"/>
  <c r="N100" i="3" s="1"/>
  <c r="N82" i="3" a="1"/>
  <c r="N82" i="3" s="1"/>
  <c r="N63" i="3" a="1"/>
  <c r="N63" i="3" s="1"/>
  <c r="N45" i="3" a="1"/>
  <c r="N45" i="3" s="1"/>
  <c r="N26" i="3" a="1"/>
  <c r="N26" i="3" s="1"/>
  <c r="N8" i="3" a="1"/>
  <c r="N8" i="3" s="1"/>
  <c r="N1468" i="3" a="1"/>
  <c r="N1468" i="3" s="1"/>
  <c r="N1330" i="3" a="1"/>
  <c r="N1330" i="3" s="1"/>
  <c r="N1187" i="3" a="1"/>
  <c r="N1187" i="3" s="1"/>
  <c r="N1043" i="3" a="1"/>
  <c r="N1043" i="3" s="1"/>
  <c r="N768" i="3" a="1"/>
  <c r="N768" i="3" s="1"/>
  <c r="N635" i="3" a="1"/>
  <c r="N635" i="3" s="1"/>
  <c r="N512" i="3" a="1"/>
  <c r="N512" i="3" s="1"/>
  <c r="N384" i="3" a="1"/>
  <c r="N384" i="3" s="1"/>
  <c r="N279" i="3" a="1"/>
  <c r="N279" i="3" s="1"/>
  <c r="N260" i="3" a="1"/>
  <c r="N260" i="3" s="1"/>
  <c r="N225" i="3" a="1"/>
  <c r="N225" i="3" s="1"/>
  <c r="N206" i="3" a="1"/>
  <c r="N206" i="3" s="1"/>
  <c r="N188" i="3" a="1"/>
  <c r="N188" i="3" s="1"/>
  <c r="N170" i="3" a="1"/>
  <c r="N170" i="3" s="1"/>
  <c r="N152" i="3" a="1"/>
  <c r="N152" i="3" s="1"/>
  <c r="N134" i="3" a="1"/>
  <c r="N134" i="3" s="1"/>
  <c r="N116" i="3" a="1"/>
  <c r="N116" i="3" s="1"/>
  <c r="N98" i="3" a="1"/>
  <c r="N98" i="3" s="1"/>
  <c r="N79" i="3" a="1"/>
  <c r="N79" i="3" s="1"/>
  <c r="N61" i="3" a="1"/>
  <c r="N61" i="3" s="1"/>
  <c r="N42" i="3" a="1"/>
  <c r="N42" i="3" s="1"/>
  <c r="N24" i="3" a="1"/>
  <c r="N24" i="3" s="1"/>
  <c r="N6" i="3" a="1"/>
  <c r="N6" i="3" s="1"/>
  <c r="N1459" i="3" a="1"/>
  <c r="N1459" i="3" s="1"/>
  <c r="N1321" i="3" a="1"/>
  <c r="N1321" i="3" s="1"/>
  <c r="N1177" i="3" a="1"/>
  <c r="N1177" i="3" s="1"/>
  <c r="N1035" i="3" a="1"/>
  <c r="N1035" i="3" s="1"/>
  <c r="N897" i="3" a="1"/>
  <c r="N897" i="3" s="1"/>
  <c r="N760" i="3" a="1"/>
  <c r="N760" i="3" s="1"/>
  <c r="N627" i="3" a="1"/>
  <c r="N627" i="3" s="1"/>
  <c r="N504" i="3" a="1"/>
  <c r="N504" i="3" s="1"/>
  <c r="N376" i="3" a="1"/>
  <c r="N376" i="3" s="1"/>
  <c r="N277" i="3" a="1"/>
  <c r="N277" i="3" s="1"/>
  <c r="N259" i="3" a="1"/>
  <c r="N259" i="3" s="1"/>
  <c r="N242" i="3" a="1"/>
  <c r="N242" i="3" s="1"/>
  <c r="N223" i="3" a="1"/>
  <c r="N223" i="3" s="1"/>
  <c r="N205" i="3" a="1"/>
  <c r="N205" i="3" s="1"/>
  <c r="N186" i="3" a="1"/>
  <c r="N186" i="3" s="1"/>
  <c r="N169" i="3" a="1"/>
  <c r="N169" i="3" s="1"/>
  <c r="N151" i="3" a="1"/>
  <c r="N151" i="3" s="1"/>
  <c r="N133" i="3" a="1"/>
  <c r="N133" i="3" s="1"/>
  <c r="N115" i="3" a="1"/>
  <c r="N115" i="3" s="1"/>
  <c r="N96" i="3" a="1"/>
  <c r="N96" i="3" s="1"/>
  <c r="N78" i="3" a="1"/>
  <c r="N78" i="3" s="1"/>
  <c r="N59" i="3" a="1"/>
  <c r="N59" i="3" s="1"/>
  <c r="N41" i="3" a="1"/>
  <c r="N41" i="3" s="1"/>
  <c r="N23" i="3" a="1"/>
  <c r="N23" i="3" s="1"/>
  <c r="N5" i="3" a="1"/>
  <c r="N5" i="3" s="1"/>
  <c r="N1450" i="3" a="1"/>
  <c r="N1450" i="3" s="1"/>
  <c r="N1314" i="3" a="1"/>
  <c r="N1314" i="3" s="1"/>
  <c r="N1169" i="3" a="1"/>
  <c r="N1169" i="3" s="1"/>
  <c r="N1026" i="3" a="1"/>
  <c r="N1026" i="3" s="1"/>
  <c r="N887" i="3" a="1"/>
  <c r="N887" i="3" s="1"/>
  <c r="N750" i="3" a="1"/>
  <c r="N750" i="3" s="1"/>
  <c r="N620" i="3" a="1"/>
  <c r="N620" i="3" s="1"/>
  <c r="N496" i="3" a="1"/>
  <c r="N496" i="3" s="1"/>
  <c r="N368" i="3" a="1"/>
  <c r="N368" i="3" s="1"/>
  <c r="N276" i="3" a="1"/>
  <c r="N276" i="3" s="1"/>
  <c r="N258" i="3" a="1"/>
  <c r="N258" i="3" s="1"/>
  <c r="N241" i="3" a="1"/>
  <c r="N241" i="3" s="1"/>
  <c r="N222" i="3" a="1"/>
  <c r="N222" i="3" s="1"/>
  <c r="N204" i="3" a="1"/>
  <c r="N204" i="3" s="1"/>
  <c r="N185" i="3" a="1"/>
  <c r="N185" i="3" s="1"/>
  <c r="N168" i="3" a="1"/>
  <c r="N168" i="3" s="1"/>
  <c r="N150" i="3" a="1"/>
  <c r="N150" i="3" s="1"/>
  <c r="N132" i="3" a="1"/>
  <c r="N132" i="3" s="1"/>
  <c r="N114" i="3" a="1"/>
  <c r="N114" i="3" s="1"/>
  <c r="N95" i="3" a="1"/>
  <c r="N95" i="3" s="1"/>
  <c r="N77" i="3" a="1"/>
  <c r="N77" i="3" s="1"/>
  <c r="N58" i="3" a="1"/>
  <c r="N58" i="3" s="1"/>
  <c r="N40" i="3" a="1"/>
  <c r="N40" i="3" s="1"/>
  <c r="N22" i="3" a="1"/>
  <c r="N22" i="3" s="1"/>
  <c r="N4" i="3" a="1"/>
  <c r="N4" i="3" s="1"/>
  <c r="N1304" i="3" a="1"/>
  <c r="N1304" i="3" s="1"/>
  <c r="N1160" i="3" a="1"/>
  <c r="N1160" i="3" s="1"/>
  <c r="N1018" i="3" a="1"/>
  <c r="N1018" i="3" s="1"/>
  <c r="N879" i="3" a="1"/>
  <c r="N879" i="3" s="1"/>
  <c r="N612" i="3" a="1"/>
  <c r="N612" i="3" s="1"/>
  <c r="N488" i="3" a="1"/>
  <c r="N488" i="3" s="1"/>
  <c r="N360" i="3" a="1"/>
  <c r="N360" i="3" s="1"/>
  <c r="N275" i="3" a="1"/>
  <c r="N275" i="3" s="1"/>
  <c r="N257" i="3" a="1"/>
  <c r="N257" i="3" s="1"/>
  <c r="N239" i="3" a="1"/>
  <c r="N239" i="3" s="1"/>
  <c r="N221" i="3" a="1"/>
  <c r="N221" i="3" s="1"/>
  <c r="N202" i="3" a="1"/>
  <c r="N202" i="3" s="1"/>
  <c r="N184" i="3" a="1"/>
  <c r="N184" i="3" s="1"/>
  <c r="N167" i="3" a="1"/>
  <c r="N167" i="3" s="1"/>
  <c r="N149" i="3" a="1"/>
  <c r="N149" i="3" s="1"/>
  <c r="N131" i="3" a="1"/>
  <c r="N131" i="3" s="1"/>
  <c r="N112" i="3" a="1"/>
  <c r="N112" i="3" s="1"/>
  <c r="N94" i="3" a="1"/>
  <c r="N94" i="3" s="1"/>
  <c r="N75" i="3" a="1"/>
  <c r="N75" i="3" s="1"/>
  <c r="N57" i="3" a="1"/>
  <c r="N57" i="3" s="1"/>
  <c r="N39" i="3" a="1"/>
  <c r="N39" i="3" s="1"/>
  <c r="N21" i="3" a="1"/>
  <c r="N21" i="3" s="1"/>
  <c r="N1434" i="3" a="1"/>
  <c r="N1434" i="3" s="1"/>
  <c r="N1295" i="3" a="1"/>
  <c r="N1295" i="3" s="1"/>
  <c r="N1151" i="3" a="1"/>
  <c r="N1151" i="3" s="1"/>
  <c r="N1008" i="3" a="1"/>
  <c r="N1008" i="3" s="1"/>
  <c r="N733" i="3" a="1"/>
  <c r="N733" i="3" s="1"/>
  <c r="N604" i="3" a="1"/>
  <c r="N604" i="3" s="1"/>
  <c r="N480" i="3" a="1"/>
  <c r="N480" i="3" s="1"/>
  <c r="N352" i="3" a="1"/>
  <c r="N352" i="3" s="1"/>
  <c r="N274" i="3" a="1"/>
  <c r="N274" i="3" s="1"/>
  <c r="N256" i="3" a="1"/>
  <c r="N256" i="3" s="1"/>
  <c r="N238" i="3" a="1"/>
  <c r="N238" i="3" s="1"/>
  <c r="N220" i="3" a="1"/>
  <c r="N220" i="3" s="1"/>
  <c r="N201" i="3" a="1"/>
  <c r="N201" i="3" s="1"/>
  <c r="N183" i="3" a="1"/>
  <c r="N183" i="3" s="1"/>
  <c r="N166" i="3" a="1"/>
  <c r="N166" i="3" s="1"/>
  <c r="N148" i="3" a="1"/>
  <c r="N148" i="3" s="1"/>
  <c r="N1424" i="3" a="1"/>
  <c r="N1424" i="3" s="1"/>
  <c r="N1286" i="3" a="1"/>
  <c r="N1286" i="3" s="1"/>
  <c r="N1142" i="3" a="1"/>
  <c r="N1142" i="3" s="1"/>
  <c r="N1000" i="3" a="1"/>
  <c r="N1000" i="3" s="1"/>
  <c r="N861" i="3" a="1"/>
  <c r="N861" i="3" s="1"/>
  <c r="N724" i="3" a="1"/>
  <c r="N724" i="3" s="1"/>
  <c r="N596" i="3" a="1"/>
  <c r="N596" i="3" s="1"/>
  <c r="N472" i="3" a="1"/>
  <c r="N472" i="3" s="1"/>
  <c r="N344" i="3" a="1"/>
  <c r="N344" i="3" s="1"/>
  <c r="N273" i="3" a="1"/>
  <c r="N273" i="3" s="1"/>
  <c r="N254" i="3" a="1"/>
  <c r="N254" i="3" s="1"/>
  <c r="N237" i="3" a="1"/>
  <c r="N237" i="3" s="1"/>
  <c r="N218" i="3" a="1"/>
  <c r="N218" i="3" s="1"/>
  <c r="N200" i="3" a="1"/>
  <c r="N200" i="3" s="1"/>
  <c r="N182" i="3" a="1"/>
  <c r="N182" i="3" s="1"/>
  <c r="N165" i="3" a="1"/>
  <c r="N165" i="3" s="1"/>
  <c r="N147" i="3" a="1"/>
  <c r="N147" i="3" s="1"/>
  <c r="N128" i="3" a="1"/>
  <c r="N128" i="3" s="1"/>
  <c r="N110" i="3" a="1"/>
  <c r="N110" i="3" s="1"/>
  <c r="N91" i="3" a="1"/>
  <c r="N91" i="3" s="1"/>
  <c r="N73" i="3" a="1"/>
  <c r="N73" i="3" s="1"/>
  <c r="N55" i="3" a="1"/>
  <c r="N55" i="3" s="1"/>
  <c r="N37" i="3" a="1"/>
  <c r="N37" i="3" s="1"/>
  <c r="N19" i="3" a="1"/>
  <c r="N19" i="3" s="1"/>
  <c r="N93" i="3" a="1"/>
  <c r="N93" i="3" s="1"/>
  <c r="N216" i="3" a="1"/>
  <c r="N216" i="3" s="1"/>
  <c r="N845" i="3" a="1"/>
  <c r="N845" i="3" s="1"/>
  <c r="N912" i="3" a="1"/>
  <c r="N912" i="3" s="1"/>
  <c r="N226" i="3" a="1"/>
  <c r="N226" i="3" s="1"/>
  <c r="N7" i="3" a="1"/>
  <c r="N7" i="3" s="1"/>
  <c r="N107" i="3" a="1"/>
  <c r="N107" i="3" s="1"/>
  <c r="N234" i="3" a="1"/>
  <c r="N234" i="3" s="1"/>
  <c r="N982" i="3" a="1"/>
  <c r="N982" i="3" s="1"/>
  <c r="N16" i="3" a="1"/>
  <c r="N16" i="3" s="1"/>
  <c r="N111" i="3" a="1"/>
  <c r="N111" i="3" s="1"/>
  <c r="N243" i="3" a="1"/>
  <c r="N243" i="3" s="1"/>
  <c r="N1052" i="3" a="1"/>
  <c r="N1052" i="3" s="1"/>
  <c r="N20" i="3" a="1"/>
  <c r="N20" i="3" s="1"/>
  <c r="N117" i="3" a="1"/>
  <c r="N117" i="3" s="1"/>
  <c r="N252" i="3" a="1"/>
  <c r="N252" i="3" s="1"/>
  <c r="N1124" i="3" a="1"/>
  <c r="N1124" i="3" s="1"/>
  <c r="N25" i="3" a="1"/>
  <c r="N25" i="3" s="1"/>
  <c r="N126" i="3" a="1"/>
  <c r="N126" i="3" s="1"/>
  <c r="N261" i="3" a="1"/>
  <c r="N261" i="3" s="1"/>
  <c r="N1195" i="3" a="1"/>
  <c r="N1195" i="3" s="1"/>
  <c r="N35" i="3" a="1"/>
  <c r="N35" i="3" s="1"/>
  <c r="N130" i="3" a="1"/>
  <c r="N130" i="3" s="1"/>
  <c r="N1268" i="3" a="1"/>
  <c r="N1268" i="3" s="1"/>
  <c r="N270" i="3" a="1"/>
  <c r="N270" i="3" s="1"/>
  <c r="N38" i="3" a="1"/>
  <c r="N38" i="3" s="1"/>
  <c r="N135" i="3" a="1"/>
  <c r="N135" i="3" s="1"/>
  <c r="N280" i="3" a="1"/>
  <c r="N280" i="3" s="1"/>
  <c r="N1338" i="3" a="1"/>
  <c r="N1338" i="3" s="1"/>
  <c r="N43" i="3" a="1"/>
  <c r="N43" i="3" s="1"/>
  <c r="N144" i="3" a="1"/>
  <c r="N144" i="3" s="1"/>
  <c r="N328" i="3" a="1"/>
  <c r="N328" i="3" s="1"/>
  <c r="N1406" i="3" a="1"/>
  <c r="N1406" i="3" s="1"/>
  <c r="N53" i="3" a="1"/>
  <c r="N53" i="3" s="1"/>
  <c r="N56" i="3" a="1"/>
  <c r="N56" i="3" s="1"/>
  <c r="N163" i="3" a="1"/>
  <c r="N163" i="3" s="1"/>
  <c r="N456" i="3" a="1"/>
  <c r="N456" i="3" s="1"/>
  <c r="N1636" i="3" a="1"/>
  <c r="N1636" i="3" s="1"/>
  <c r="C10" i="1"/>
  <c r="C12" i="1" s="1"/>
  <c r="Y334" i="5" l="1"/>
  <c r="Y763" i="5"/>
  <c r="Y803" i="5"/>
  <c r="Y764" i="5"/>
  <c r="Y228" i="5"/>
  <c r="Y246" i="5"/>
  <c r="Y618" i="5"/>
  <c r="Y92" i="5"/>
  <c r="Y188" i="5"/>
  <c r="Y284" i="5"/>
  <c r="Y790" i="5"/>
  <c r="Y349" i="5"/>
  <c r="Y541" i="5"/>
  <c r="Y168" i="5"/>
  <c r="Y565" i="5"/>
  <c r="Y801" i="5"/>
  <c r="Y575" i="5"/>
  <c r="Y420" i="5"/>
  <c r="Y25" i="5"/>
  <c r="Y97" i="5"/>
  <c r="Y273" i="5"/>
  <c r="Y579" i="5"/>
  <c r="Y36" i="5"/>
  <c r="Y56" i="5"/>
  <c r="Y616" i="5"/>
  <c r="Y53" i="5"/>
  <c r="Y149" i="5"/>
  <c r="Y245" i="5"/>
  <c r="Y54" i="5"/>
  <c r="Y486" i="5"/>
  <c r="Y215" i="5"/>
  <c r="Y391" i="5"/>
  <c r="Y583" i="5"/>
  <c r="Y251" i="5"/>
  <c r="Y476" i="5"/>
  <c r="Y57" i="5"/>
  <c r="Y533" i="5"/>
  <c r="Y77" i="5"/>
  <c r="Y461" i="5"/>
  <c r="Y254" i="5"/>
  <c r="Y366" i="5"/>
  <c r="Y558" i="5"/>
  <c r="Y255" i="5"/>
  <c r="Y791" i="5"/>
  <c r="Y345" i="5"/>
  <c r="Y346" i="5"/>
  <c r="Y17" i="5"/>
  <c r="Y193" i="5"/>
  <c r="Y369" i="5"/>
  <c r="Y465" i="5"/>
  <c r="Y40" i="5"/>
  <c r="Y9" i="5"/>
  <c r="Y792" i="5"/>
  <c r="Y99" i="5"/>
  <c r="Y419" i="5"/>
  <c r="Y499" i="5"/>
  <c r="Y442" i="5"/>
  <c r="Y739" i="5"/>
  <c r="Y148" i="5"/>
  <c r="Y358" i="5"/>
  <c r="Y766" i="5"/>
  <c r="Y424" i="5"/>
  <c r="Y390" i="5"/>
  <c r="Y135" i="5"/>
  <c r="Y603" i="5"/>
  <c r="Y76" i="5"/>
  <c r="Y158" i="5"/>
  <c r="Y159" i="5"/>
  <c r="Y376" i="5"/>
  <c r="Y313" i="5"/>
  <c r="Y468" i="5"/>
  <c r="Y264" i="5"/>
  <c r="Y750" i="5"/>
  <c r="Y572" i="5"/>
  <c r="Y173" i="5"/>
  <c r="Y269" i="5"/>
  <c r="Y365" i="5"/>
  <c r="Y854" i="5"/>
  <c r="Y174" i="5"/>
  <c r="Y478" i="5"/>
  <c r="Y138" i="5"/>
  <c r="Y63" i="5"/>
  <c r="Y175" i="5"/>
  <c r="Y367" i="5"/>
  <c r="Y463" i="5"/>
  <c r="Y591" i="5"/>
  <c r="Y536" i="5"/>
  <c r="Y512" i="5"/>
  <c r="Y416" i="5"/>
  <c r="Y561" i="5"/>
  <c r="Y361" i="5"/>
  <c r="Y178" i="5"/>
  <c r="Y610" i="5"/>
  <c r="Y490" i="5"/>
  <c r="Y275" i="5"/>
  <c r="Y260" i="5"/>
  <c r="Y484" i="5"/>
  <c r="Y580" i="5"/>
  <c r="Y88" i="5"/>
  <c r="Y312" i="5"/>
  <c r="Y586" i="5"/>
  <c r="Y261" i="5"/>
  <c r="Y389" i="5"/>
  <c r="Y278" i="5"/>
  <c r="Y582" i="5"/>
  <c r="Y55" i="5"/>
  <c r="Y311" i="5"/>
  <c r="Y407" i="5"/>
  <c r="Y585" i="5"/>
  <c r="Y171" i="5"/>
  <c r="Y347" i="5"/>
  <c r="Y523" i="5"/>
  <c r="Y736" i="5"/>
  <c r="Y795" i="5"/>
  <c r="Y773" i="5"/>
  <c r="Y462" i="5"/>
  <c r="Y90" i="5"/>
  <c r="Y47" i="5"/>
  <c r="Y177" i="5"/>
  <c r="Y259" i="5"/>
  <c r="Y340" i="5"/>
  <c r="Y566" i="5"/>
  <c r="Y295" i="5"/>
  <c r="Y12" i="5"/>
  <c r="Y14" i="5"/>
  <c r="Y94" i="5"/>
  <c r="Y270" i="5"/>
  <c r="Y382" i="5"/>
  <c r="Y538" i="5"/>
  <c r="Y271" i="5"/>
  <c r="Y377" i="5"/>
  <c r="Y33" i="5"/>
  <c r="Y517" i="5"/>
  <c r="Y19" i="5"/>
  <c r="Y195" i="5"/>
  <c r="Y214" i="5"/>
  <c r="Y327" i="5"/>
  <c r="Y730" i="5"/>
  <c r="Y528" i="5"/>
  <c r="Y719" i="5"/>
  <c r="Y522" i="5"/>
  <c r="Y249" i="5"/>
  <c r="Y422" i="5"/>
  <c r="Y151" i="5"/>
  <c r="Y519" i="5"/>
  <c r="Y11" i="5"/>
  <c r="Y619" i="5"/>
  <c r="Y699" i="5"/>
  <c r="Y789" i="5"/>
  <c r="Y479" i="5"/>
  <c r="Y189" i="5"/>
  <c r="Y285" i="5"/>
  <c r="Y381" i="5"/>
  <c r="Y190" i="5"/>
  <c r="Y494" i="5"/>
  <c r="Y202" i="5"/>
  <c r="Y79" i="5"/>
  <c r="Y191" i="5"/>
  <c r="Y695" i="5"/>
  <c r="Y96" i="5"/>
  <c r="Y106" i="5"/>
  <c r="Y473" i="5"/>
  <c r="Y339" i="5"/>
  <c r="Y276" i="5"/>
  <c r="Y500" i="5"/>
  <c r="Y709" i="5"/>
  <c r="Y181" i="5"/>
  <c r="Y28" i="5"/>
  <c r="Y332" i="5"/>
  <c r="Y588" i="5"/>
  <c r="Y710" i="5"/>
  <c r="Y13" i="5"/>
  <c r="Y573" i="5"/>
  <c r="Y201" i="5"/>
  <c r="Y721" i="5"/>
  <c r="Y30" i="5"/>
  <c r="Y110" i="5"/>
  <c r="Y286" i="5"/>
  <c r="Y287" i="5"/>
  <c r="Y495" i="5"/>
  <c r="Y489" i="5"/>
  <c r="Y153" i="5"/>
  <c r="Y129" i="5"/>
  <c r="Y577" i="5"/>
  <c r="Y733" i="5"/>
  <c r="Y35" i="5"/>
  <c r="Y611" i="5"/>
  <c r="Y180" i="5"/>
  <c r="Y388" i="5"/>
  <c r="Y104" i="5"/>
  <c r="Y85" i="5"/>
  <c r="Y197" i="5"/>
  <c r="Y86" i="5"/>
  <c r="Y182" i="5"/>
  <c r="Y518" i="5"/>
  <c r="Y569" i="5"/>
  <c r="Y247" i="5"/>
  <c r="Y615" i="5"/>
  <c r="Y234" i="5"/>
  <c r="Y746" i="5"/>
  <c r="Y107" i="5"/>
  <c r="Y283" i="5"/>
  <c r="Y363" i="5"/>
  <c r="Y459" i="5"/>
  <c r="Y704" i="5"/>
  <c r="Y693" i="5"/>
  <c r="Y855" i="5"/>
  <c r="Y428" i="5"/>
  <c r="Y508" i="5"/>
  <c r="Y314" i="5"/>
  <c r="Y109" i="5"/>
  <c r="Y397" i="5"/>
  <c r="Y493" i="5"/>
  <c r="Y590" i="5"/>
  <c r="Y24" i="5"/>
  <c r="Y457" i="5"/>
  <c r="Y387" i="5"/>
  <c r="Y225" i="5"/>
  <c r="Y401" i="5"/>
  <c r="Y497" i="5"/>
  <c r="Y232" i="5"/>
  <c r="Y89" i="5"/>
  <c r="Y131" i="5"/>
  <c r="Y531" i="5"/>
  <c r="Y596" i="5"/>
  <c r="Y697" i="5"/>
  <c r="Y6" i="5"/>
  <c r="Y438" i="5"/>
  <c r="Y167" i="5"/>
  <c r="Y343" i="5"/>
  <c r="Y535" i="5"/>
  <c r="Y27" i="5"/>
  <c r="Y203" i="5"/>
  <c r="Y735" i="5"/>
  <c r="Y712" i="5"/>
  <c r="Y355" i="5"/>
  <c r="Y101" i="5"/>
  <c r="Y102" i="5"/>
  <c r="Y310" i="5"/>
  <c r="Y692" i="5"/>
  <c r="Y555" i="5"/>
  <c r="Y613" i="5"/>
  <c r="Y853" i="5"/>
  <c r="Y604" i="5"/>
  <c r="Y29" i="5"/>
  <c r="Y589" i="5"/>
  <c r="Y244" i="5"/>
  <c r="Y46" i="5"/>
  <c r="Y302" i="5"/>
  <c r="Y217" i="5"/>
  <c r="Y15" i="5"/>
  <c r="Y303" i="5"/>
  <c r="Y120" i="5"/>
  <c r="Y352" i="5"/>
  <c r="Y762" i="5"/>
  <c r="Y475" i="5"/>
  <c r="Y446" i="5"/>
  <c r="Y779" i="5"/>
  <c r="Y253" i="5"/>
  <c r="Y348" i="5"/>
  <c r="Y444" i="5"/>
  <c r="Y524" i="5"/>
  <c r="Y742" i="5"/>
  <c r="Y125" i="5"/>
  <c r="Y221" i="5"/>
  <c r="Y317" i="5"/>
  <c r="Y509" i="5"/>
  <c r="Y753" i="5"/>
  <c r="Y606" i="5"/>
  <c r="Y527" i="5"/>
  <c r="Y378" i="5"/>
  <c r="Y32" i="5"/>
  <c r="Y128" i="5"/>
  <c r="Y256" i="5"/>
  <c r="Y296" i="5"/>
  <c r="Y505" i="5"/>
  <c r="Y485" i="5"/>
  <c r="Y65" i="5"/>
  <c r="Y241" i="5"/>
  <c r="Y417" i="5"/>
  <c r="Y513" i="5"/>
  <c r="Y360" i="5"/>
  <c r="Y351" i="5"/>
  <c r="Y765" i="5"/>
  <c r="Y50" i="5"/>
  <c r="Y402" i="5"/>
  <c r="Y482" i="5"/>
  <c r="Y147" i="5"/>
  <c r="Y227" i="5"/>
  <c r="Y547" i="5"/>
  <c r="Y612" i="5"/>
  <c r="Y21" i="5"/>
  <c r="Y213" i="5"/>
  <c r="Y22" i="5"/>
  <c r="Y118" i="5"/>
  <c r="Y454" i="5"/>
  <c r="Y183" i="5"/>
  <c r="Y359" i="5"/>
  <c r="Y551" i="5"/>
  <c r="Y43" i="5"/>
  <c r="Y219" i="5"/>
  <c r="Y703" i="5"/>
  <c r="Y406" i="5"/>
  <c r="Y747" i="5"/>
  <c r="Y842" i="5"/>
  <c r="Y526" i="5"/>
  <c r="Y330" i="5"/>
  <c r="Y415" i="5"/>
  <c r="Y186" i="5"/>
  <c r="Y532" i="5"/>
  <c r="Y504" i="5"/>
  <c r="Y537" i="5"/>
  <c r="Y341" i="5"/>
  <c r="Y437" i="5"/>
  <c r="Y103" i="5"/>
  <c r="Y471" i="5"/>
  <c r="Y844" i="5"/>
  <c r="Y342" i="5"/>
  <c r="Y156" i="5"/>
  <c r="Y252" i="5"/>
  <c r="Y620" i="5"/>
  <c r="Y335" i="5"/>
  <c r="Y758" i="5"/>
  <c r="Y605" i="5"/>
  <c r="Y414" i="5"/>
  <c r="Y769" i="5"/>
  <c r="Y62" i="5"/>
  <c r="Y318" i="5"/>
  <c r="Y10" i="5"/>
  <c r="Y132" i="5"/>
  <c r="Y31" i="5"/>
  <c r="Y319" i="5"/>
  <c r="Y543" i="5"/>
  <c r="Y248" i="5"/>
  <c r="Y802" i="5"/>
  <c r="Y161" i="5"/>
  <c r="Y337" i="5"/>
  <c r="Y185" i="5"/>
  <c r="Y243" i="5"/>
  <c r="Y425" i="5"/>
  <c r="Y212" i="5"/>
  <c r="Y436" i="5"/>
  <c r="Y200" i="5"/>
  <c r="Y617" i="5"/>
  <c r="Y230" i="5"/>
  <c r="Y550" i="5"/>
  <c r="Y154" i="5"/>
  <c r="Y23" i="5"/>
  <c r="Y279" i="5"/>
  <c r="Y846" i="5"/>
  <c r="Y139" i="5"/>
  <c r="Y395" i="5"/>
  <c r="Y752" i="5"/>
  <c r="Y506" i="5"/>
  <c r="Y172" i="5"/>
  <c r="Y268" i="5"/>
  <c r="Y540" i="5"/>
  <c r="Y141" i="5"/>
  <c r="Y237" i="5"/>
  <c r="Y333" i="5"/>
  <c r="Y445" i="5"/>
  <c r="Y525" i="5"/>
  <c r="Y452" i="5"/>
  <c r="Y280" i="5"/>
  <c r="Y601" i="5"/>
  <c r="Y81" i="5"/>
  <c r="Y257" i="5"/>
  <c r="Y449" i="5"/>
  <c r="Y529" i="5"/>
  <c r="Y520" i="5"/>
  <c r="Y163" i="5"/>
  <c r="Y563" i="5"/>
  <c r="Y20" i="5"/>
  <c r="Y8" i="5"/>
  <c r="Y37" i="5"/>
  <c r="Y229" i="5"/>
  <c r="Y357" i="5"/>
  <c r="Y745" i="5"/>
  <c r="Y38" i="5"/>
  <c r="Y134" i="5"/>
  <c r="Y470" i="5"/>
  <c r="Y216" i="5"/>
  <c r="Y199" i="5"/>
  <c r="Y375" i="5"/>
  <c r="Y567" i="5"/>
  <c r="Y698" i="5"/>
  <c r="Y235" i="5"/>
  <c r="Y98" i="5"/>
  <c r="Y258" i="5"/>
  <c r="Y354" i="5"/>
  <c r="Y768" i="5"/>
  <c r="Y274" i="5"/>
  <c r="Y194" i="5"/>
  <c r="Y464" i="5"/>
  <c r="Y208" i="5"/>
  <c r="Y450" i="5"/>
  <c r="Y336" i="5"/>
  <c r="Y754" i="5"/>
  <c r="Y114" i="5"/>
  <c r="Y546" i="5"/>
  <c r="Y432" i="5"/>
  <c r="Y18" i="5"/>
  <c r="Y16" i="5"/>
  <c r="Y112" i="5"/>
  <c r="Y240" i="5"/>
  <c r="Y448" i="5"/>
  <c r="Y34" i="5"/>
  <c r="Y290" i="5"/>
  <c r="Y466" i="5"/>
  <c r="Y770" i="5"/>
  <c r="Y210" i="5"/>
  <c r="Y306" i="5"/>
  <c r="Y80" i="5"/>
  <c r="Y560" i="5"/>
  <c r="Y530" i="5"/>
  <c r="Y226" i="5"/>
  <c r="Y368" i="5"/>
  <c r="Y609" i="5"/>
  <c r="Y146" i="5"/>
  <c r="Y578" i="5"/>
  <c r="Y144" i="5"/>
  <c r="Y784" i="5"/>
  <c r="Y800" i="5"/>
  <c r="Y48" i="5"/>
  <c r="Y160" i="5"/>
  <c r="Y288" i="5"/>
  <c r="Y66" i="5"/>
  <c r="Y418" i="5"/>
  <c r="Y498" i="5"/>
  <c r="Y320" i="5"/>
  <c r="Y242" i="5"/>
  <c r="Y384" i="5"/>
  <c r="Y544" i="5"/>
  <c r="Y162" i="5"/>
  <c r="Y594" i="5"/>
  <c r="Y64" i="5"/>
  <c r="Y176" i="5"/>
  <c r="Y304" i="5"/>
  <c r="Y706" i="5"/>
  <c r="Y82" i="5"/>
  <c r="Y434" i="5"/>
  <c r="Y514" i="5"/>
  <c r="Y720" i="5"/>
  <c r="V856" i="5"/>
  <c r="W856" i="5"/>
  <c r="X856" i="5"/>
  <c r="V804" i="5"/>
  <c r="W804" i="5"/>
  <c r="X804" i="5"/>
  <c r="W623" i="5"/>
  <c r="V623" i="5"/>
  <c r="X623" i="5"/>
  <c r="T252" i="3"/>
  <c r="U252" i="3"/>
  <c r="U30" i="3"/>
  <c r="T30" i="3"/>
  <c r="U1057" i="3"/>
  <c r="T1057" i="3"/>
  <c r="U1497" i="3"/>
  <c r="T1497" i="3"/>
  <c r="T128" i="3"/>
  <c r="U128" i="3"/>
  <c r="U7" i="3"/>
  <c r="T7" i="3"/>
  <c r="U59" i="3"/>
  <c r="T59" i="3"/>
  <c r="U760" i="3"/>
  <c r="T760" i="3"/>
  <c r="T188" i="3"/>
  <c r="U188" i="3"/>
  <c r="U63" i="3"/>
  <c r="T63" i="3"/>
  <c r="U786" i="3"/>
  <c r="T786" i="3"/>
  <c r="U191" i="3"/>
  <c r="T191" i="3"/>
  <c r="U47" i="3"/>
  <c r="T47" i="3"/>
  <c r="U802" i="3"/>
  <c r="T802" i="3"/>
  <c r="T212" i="3"/>
  <c r="U212" i="3"/>
  <c r="U86" i="3"/>
  <c r="T86" i="3"/>
  <c r="U956" i="3"/>
  <c r="T956" i="3"/>
  <c r="U214" i="3"/>
  <c r="T214" i="3"/>
  <c r="U52" i="3"/>
  <c r="T52" i="3"/>
  <c r="U699" i="3"/>
  <c r="T699" i="3"/>
  <c r="U181" i="3"/>
  <c r="T181" i="3"/>
  <c r="U12" i="3"/>
  <c r="T12" i="3"/>
  <c r="U266" i="3"/>
  <c r="T266" i="3"/>
  <c r="U522" i="3"/>
  <c r="T522" i="3"/>
  <c r="U779" i="3"/>
  <c r="T779" i="3"/>
  <c r="U1073" i="3"/>
  <c r="T1073" i="3"/>
  <c r="T1358" i="3"/>
  <c r="U1358" i="3"/>
  <c r="U2096" i="3"/>
  <c r="T2096" i="3"/>
  <c r="U475" i="3"/>
  <c r="T475" i="3"/>
  <c r="U727" i="3"/>
  <c r="T727" i="3"/>
  <c r="U1021" i="3"/>
  <c r="T1021" i="3"/>
  <c r="U1307" i="3"/>
  <c r="T1307" i="3"/>
  <c r="U1779" i="3"/>
  <c r="T1779" i="3"/>
  <c r="T428" i="3"/>
  <c r="U428" i="3"/>
  <c r="U679" i="3"/>
  <c r="T679" i="3"/>
  <c r="U951" i="3"/>
  <c r="T951" i="3"/>
  <c r="U1237" i="3"/>
  <c r="T1237" i="3"/>
  <c r="U1561" i="3"/>
  <c r="T1561" i="3"/>
  <c r="U365" i="3"/>
  <c r="T365" i="3"/>
  <c r="U617" i="3"/>
  <c r="T617" i="3"/>
  <c r="U901" i="3"/>
  <c r="T901" i="3"/>
  <c r="U1220" i="3"/>
  <c r="T1220" i="3"/>
  <c r="T1562" i="3"/>
  <c r="U1562" i="3"/>
  <c r="U350" i="3"/>
  <c r="T350" i="3"/>
  <c r="U618" i="3"/>
  <c r="T618" i="3"/>
  <c r="U885" i="3"/>
  <c r="T885" i="3"/>
  <c r="U1167" i="3"/>
  <c r="T1167" i="3"/>
  <c r="U1448" i="3"/>
  <c r="T1448" i="3"/>
  <c r="T33" i="3"/>
  <c r="U33" i="3"/>
  <c r="U287" i="3"/>
  <c r="T287" i="3"/>
  <c r="U541" i="3"/>
  <c r="T541" i="3"/>
  <c r="U801" i="3"/>
  <c r="T801" i="3"/>
  <c r="U1097" i="3"/>
  <c r="T1097" i="3"/>
  <c r="U1379" i="3"/>
  <c r="T1379" i="3"/>
  <c r="U2282" i="3"/>
  <c r="T2282" i="3"/>
  <c r="U337" i="3"/>
  <c r="T337" i="3"/>
  <c r="U589" i="3"/>
  <c r="T589" i="3"/>
  <c r="U888" i="3"/>
  <c r="T888" i="3"/>
  <c r="U1188" i="3"/>
  <c r="T1188" i="3"/>
  <c r="U1499" i="3"/>
  <c r="T1499" i="3"/>
  <c r="U322" i="3"/>
  <c r="T322" i="3"/>
  <c r="U574" i="3"/>
  <c r="T574" i="3"/>
  <c r="U854" i="3"/>
  <c r="T854" i="3"/>
  <c r="U1135" i="3"/>
  <c r="T1135" i="3"/>
  <c r="U1452" i="3"/>
  <c r="T1452" i="3"/>
  <c r="U291" i="3"/>
  <c r="T291" i="3"/>
  <c r="T544" i="3"/>
  <c r="U544" i="3"/>
  <c r="U806" i="3"/>
  <c r="T806" i="3"/>
  <c r="U1101" i="3"/>
  <c r="T1101" i="3"/>
  <c r="U1400" i="3"/>
  <c r="T1400" i="3"/>
  <c r="U2609" i="3"/>
  <c r="T2609" i="3"/>
  <c r="T516" i="3"/>
  <c r="U516" i="3"/>
  <c r="U772" i="3"/>
  <c r="T772" i="3"/>
  <c r="U1048" i="3"/>
  <c r="T1048" i="3"/>
  <c r="U1351" i="3"/>
  <c r="T1351" i="3"/>
  <c r="U2183" i="3"/>
  <c r="T2183" i="3"/>
  <c r="U469" i="3"/>
  <c r="T469" i="3"/>
  <c r="U720" i="3"/>
  <c r="T720" i="3"/>
  <c r="U996" i="3"/>
  <c r="T996" i="3"/>
  <c r="U1283" i="3"/>
  <c r="T1283" i="3"/>
  <c r="U1749" i="3"/>
  <c r="T1749" i="3"/>
  <c r="U406" i="3"/>
  <c r="T406" i="3"/>
  <c r="U673" i="3"/>
  <c r="T673" i="3"/>
  <c r="U945" i="3"/>
  <c r="T945" i="3"/>
  <c r="U1247" i="3"/>
  <c r="T1247" i="3"/>
  <c r="U1583" i="3"/>
  <c r="T1583" i="3"/>
  <c r="U359" i="3"/>
  <c r="T359" i="3"/>
  <c r="U626" i="3"/>
  <c r="T626" i="3"/>
  <c r="U896" i="3"/>
  <c r="T896" i="3"/>
  <c r="U1176" i="3"/>
  <c r="T1176" i="3"/>
  <c r="T1480" i="3"/>
  <c r="U1480" i="3"/>
  <c r="U1763" i="3"/>
  <c r="T1763" i="3"/>
  <c r="U409" i="3"/>
  <c r="T409" i="3"/>
  <c r="U660" i="3"/>
  <c r="T660" i="3"/>
  <c r="U930" i="3"/>
  <c r="T930" i="3"/>
  <c r="U1215" i="3"/>
  <c r="T1215" i="3"/>
  <c r="U1519" i="3"/>
  <c r="T1519" i="3"/>
  <c r="U754" i="3"/>
  <c r="T754" i="3"/>
  <c r="U1010" i="3"/>
  <c r="T1010" i="3"/>
  <c r="U1260" i="3"/>
  <c r="T1260" i="3"/>
  <c r="T1506" i="3"/>
  <c r="U1506" i="3"/>
  <c r="U1757" i="3"/>
  <c r="T1757" i="3"/>
  <c r="U2007" i="3"/>
  <c r="T2007" i="3"/>
  <c r="U2275" i="3"/>
  <c r="T2275" i="3"/>
  <c r="U2564" i="3"/>
  <c r="T2564" i="3"/>
  <c r="U2921" i="3"/>
  <c r="T2921" i="3"/>
  <c r="U1679" i="3"/>
  <c r="T1679" i="3"/>
  <c r="U1948" i="3"/>
  <c r="T1948" i="3"/>
  <c r="T2241" i="3"/>
  <c r="U2241" i="3"/>
  <c r="U2526" i="3"/>
  <c r="T2526" i="3"/>
  <c r="T2882" i="3"/>
  <c r="U2882" i="3"/>
  <c r="T1664" i="3"/>
  <c r="U1664" i="3"/>
  <c r="U1917" i="3"/>
  <c r="T1917" i="3"/>
  <c r="U2170" i="3"/>
  <c r="T2170" i="3"/>
  <c r="U2475" i="3"/>
  <c r="T2475" i="3"/>
  <c r="U2814" i="3"/>
  <c r="T2814" i="3"/>
  <c r="U1634" i="3"/>
  <c r="T1634" i="3"/>
  <c r="U1886" i="3"/>
  <c r="T1886" i="3"/>
  <c r="U2189" i="3"/>
  <c r="T2189" i="3"/>
  <c r="U2476" i="3"/>
  <c r="T2476" i="3"/>
  <c r="U2792" i="3"/>
  <c r="T2792" i="3"/>
  <c r="U1620" i="3"/>
  <c r="T1620" i="3"/>
  <c r="U1887" i="3"/>
  <c r="T1887" i="3"/>
  <c r="U2135" i="3"/>
  <c r="T2135" i="3"/>
  <c r="T2442" i="3"/>
  <c r="U2442" i="3"/>
  <c r="U2749" i="3"/>
  <c r="T2749" i="3"/>
  <c r="U863" i="3"/>
  <c r="T863" i="3"/>
  <c r="U1155" i="3"/>
  <c r="T1155" i="3"/>
  <c r="U1417" i="3"/>
  <c r="T1417" i="3"/>
  <c r="U1667" i="3"/>
  <c r="T1667" i="3"/>
  <c r="U1920" i="3"/>
  <c r="T1920" i="3"/>
  <c r="U2191" i="3"/>
  <c r="T2191" i="3"/>
  <c r="U2496" i="3"/>
  <c r="T2496" i="3"/>
  <c r="U2865" i="3"/>
  <c r="T2865" i="3"/>
  <c r="U1700" i="3"/>
  <c r="T1700" i="3"/>
  <c r="U1967" i="3"/>
  <c r="T1967" i="3"/>
  <c r="U2247" i="3"/>
  <c r="T2247" i="3"/>
  <c r="U2552" i="3"/>
  <c r="T2552" i="3"/>
  <c r="U2964" i="3"/>
  <c r="T2964" i="3"/>
  <c r="U2076" i="3"/>
  <c r="T2076" i="3"/>
  <c r="U2357" i="3"/>
  <c r="T2357" i="3"/>
  <c r="U2651" i="3"/>
  <c r="T2651" i="3"/>
  <c r="U1782" i="3"/>
  <c r="T1782" i="3"/>
  <c r="U2032" i="3"/>
  <c r="T2032" i="3"/>
  <c r="U2303" i="3"/>
  <c r="T2303" i="3"/>
  <c r="U2613" i="3"/>
  <c r="T2613" i="3"/>
  <c r="T3276" i="3"/>
  <c r="U3276" i="3"/>
  <c r="U1719" i="3"/>
  <c r="T1719" i="3"/>
  <c r="U1970" i="3"/>
  <c r="T1970" i="3"/>
  <c r="U2251" i="3"/>
  <c r="T2251" i="3"/>
  <c r="U2536" i="3"/>
  <c r="T2536" i="3"/>
  <c r="U2873" i="3"/>
  <c r="T2873" i="3"/>
  <c r="U1657" i="3"/>
  <c r="T1657" i="3"/>
  <c r="U1926" i="3"/>
  <c r="T1926" i="3"/>
  <c r="U2179" i="3"/>
  <c r="T2179" i="3"/>
  <c r="U2467" i="3"/>
  <c r="T2467" i="3"/>
  <c r="U2827" i="3"/>
  <c r="T2827" i="3"/>
  <c r="U1627" i="3"/>
  <c r="T1627" i="3"/>
  <c r="U1879" i="3"/>
  <c r="T1879" i="3"/>
  <c r="U2162" i="3"/>
  <c r="T2162" i="3"/>
  <c r="U2469" i="3"/>
  <c r="T2469" i="3"/>
  <c r="U2781" i="3"/>
  <c r="T2781" i="3"/>
  <c r="U1754" i="3"/>
  <c r="T1754" i="3"/>
  <c r="U2004" i="3"/>
  <c r="T2004" i="3"/>
  <c r="U2271" i="3"/>
  <c r="T2271" i="3"/>
  <c r="U2560" i="3"/>
  <c r="T2560" i="3"/>
  <c r="U2905" i="3"/>
  <c r="T2905" i="3"/>
  <c r="U1693" i="3"/>
  <c r="T1693" i="3"/>
  <c r="U1946" i="3"/>
  <c r="T1946" i="3"/>
  <c r="U2203" i="3"/>
  <c r="T2203" i="3"/>
  <c r="U2489" i="3"/>
  <c r="T2489" i="3"/>
  <c r="U2809" i="3"/>
  <c r="T2809" i="3"/>
  <c r="U2244" i="3"/>
  <c r="T2244" i="3"/>
  <c r="U2494" i="3"/>
  <c r="T2494" i="3"/>
  <c r="U2769" i="3"/>
  <c r="T2769" i="3"/>
  <c r="U3093" i="3"/>
  <c r="T3093" i="3"/>
  <c r="U3463" i="3"/>
  <c r="T3463" i="3"/>
  <c r="U2993" i="3"/>
  <c r="T2993" i="3"/>
  <c r="T3344" i="3"/>
  <c r="U3344" i="3"/>
  <c r="U3879" i="3"/>
  <c r="T3879" i="3"/>
  <c r="U3197" i="3"/>
  <c r="T3197" i="3"/>
  <c r="U3633" i="3"/>
  <c r="T3633" i="3"/>
  <c r="U3057" i="3"/>
  <c r="T3057" i="3"/>
  <c r="U3446" i="3"/>
  <c r="T3446" i="3"/>
  <c r="U2956" i="3"/>
  <c r="T2956" i="3"/>
  <c r="U3298" i="3"/>
  <c r="T3298" i="3"/>
  <c r="U3800" i="3"/>
  <c r="T3800" i="3"/>
  <c r="U2311" i="3"/>
  <c r="T2311" i="3"/>
  <c r="U2563" i="3"/>
  <c r="T2563" i="3"/>
  <c r="U2878" i="3"/>
  <c r="T2878" i="3"/>
  <c r="T3200" i="3"/>
  <c r="U3200" i="3"/>
  <c r="U3643" i="3"/>
  <c r="T3643" i="3"/>
  <c r="T3644" i="3"/>
  <c r="U3644" i="3"/>
  <c r="U3082" i="3"/>
  <c r="T3082" i="3"/>
  <c r="U3474" i="3"/>
  <c r="T3474" i="3"/>
  <c r="U2982" i="3"/>
  <c r="T2982" i="3"/>
  <c r="U3382" i="3"/>
  <c r="T3382" i="3"/>
  <c r="U3954" i="3"/>
  <c r="T3954" i="3"/>
  <c r="T3232" i="3"/>
  <c r="U3232" i="3"/>
  <c r="U3690" i="3"/>
  <c r="T3690" i="3"/>
  <c r="U3281" i="3"/>
  <c r="T3281" i="3"/>
  <c r="U3858" i="3"/>
  <c r="T3858" i="3"/>
  <c r="U3169" i="3"/>
  <c r="T3169" i="3"/>
  <c r="U3617" i="3"/>
  <c r="T3617" i="3"/>
  <c r="U3049" i="3"/>
  <c r="T3049" i="3"/>
  <c r="U3435" i="3"/>
  <c r="T3435" i="3"/>
  <c r="U2947" i="3"/>
  <c r="T2947" i="3"/>
  <c r="U3310" i="3"/>
  <c r="T3310" i="3"/>
  <c r="U3824" i="3"/>
  <c r="T3824" i="3"/>
  <c r="U3825" i="3"/>
  <c r="T3825" i="3"/>
  <c r="U3153" i="3"/>
  <c r="T3153" i="3"/>
  <c r="U3667" i="3"/>
  <c r="T3667" i="3"/>
  <c r="U2680" i="3"/>
  <c r="T2680" i="3"/>
  <c r="U2952" i="3"/>
  <c r="T2952" i="3"/>
  <c r="U3239" i="3"/>
  <c r="T3239" i="3"/>
  <c r="T3556" i="3"/>
  <c r="U3556" i="3"/>
  <c r="U3870" i="3"/>
  <c r="T3870" i="3"/>
  <c r="U4009" i="3"/>
  <c r="T4009" i="3"/>
  <c r="U3428" i="3"/>
  <c r="T3428" i="3"/>
  <c r="U3736" i="3"/>
  <c r="T3736" i="3"/>
  <c r="U4049" i="3"/>
  <c r="T4049" i="3"/>
  <c r="U3815" i="3"/>
  <c r="T3815" i="3"/>
  <c r="U3581" i="3"/>
  <c r="T3581" i="3"/>
  <c r="U3895" i="3"/>
  <c r="T3895" i="3"/>
  <c r="U3995" i="3"/>
  <c r="T3995" i="3"/>
  <c r="U2627" i="3"/>
  <c r="T2627" i="3"/>
  <c r="U2892" i="3"/>
  <c r="T2892" i="3"/>
  <c r="T3212" i="3"/>
  <c r="U3212" i="3"/>
  <c r="U3526" i="3"/>
  <c r="T3526" i="3"/>
  <c r="U3840" i="3"/>
  <c r="T3840" i="3"/>
  <c r="U3587" i="3"/>
  <c r="T3587" i="3"/>
  <c r="T3900" i="3"/>
  <c r="U3900" i="3"/>
  <c r="U3648" i="3"/>
  <c r="T3648" i="3"/>
  <c r="U3961" i="3"/>
  <c r="T3961" i="3"/>
  <c r="U4062" i="3"/>
  <c r="T4062" i="3"/>
  <c r="U3946" i="3"/>
  <c r="T3946" i="3"/>
  <c r="U3369" i="3"/>
  <c r="T3369" i="3"/>
  <c r="U3673" i="3"/>
  <c r="T3673" i="3"/>
  <c r="U3986" i="3"/>
  <c r="T3986" i="3"/>
  <c r="T2930" i="3"/>
  <c r="U2930" i="3"/>
  <c r="U3179" i="3"/>
  <c r="T3179" i="3"/>
  <c r="U3450" i="3"/>
  <c r="T3450" i="3"/>
  <c r="U3702" i="3"/>
  <c r="T3702" i="3"/>
  <c r="U3957" i="3"/>
  <c r="T3957" i="3"/>
  <c r="T3316" i="3"/>
  <c r="U3316" i="3"/>
  <c r="U3608" i="3"/>
  <c r="T3608" i="3"/>
  <c r="U3862" i="3"/>
  <c r="T3862" i="3"/>
  <c r="U4088" i="3"/>
  <c r="T4088" i="3"/>
  <c r="U2985" i="3"/>
  <c r="T2985" i="3"/>
  <c r="U3233" i="3"/>
  <c r="T3233" i="3"/>
  <c r="U3472" i="3"/>
  <c r="T3472" i="3"/>
  <c r="U3726" i="3"/>
  <c r="T3726" i="3"/>
  <c r="U3981" i="3"/>
  <c r="T3981" i="3"/>
  <c r="U198" i="3"/>
  <c r="T198" i="3"/>
  <c r="U154" i="3"/>
  <c r="T154" i="3"/>
  <c r="U167" i="3"/>
  <c r="T167" i="3"/>
  <c r="U162" i="3"/>
  <c r="T162" i="3"/>
  <c r="T2690" i="3"/>
  <c r="U2690" i="3"/>
  <c r="U1204" i="3"/>
  <c r="T1204" i="3"/>
  <c r="U38" i="3"/>
  <c r="T38" i="3"/>
  <c r="U150" i="3"/>
  <c r="T150" i="3"/>
  <c r="U107" i="3"/>
  <c r="T107" i="3"/>
  <c r="U183" i="3"/>
  <c r="T183" i="3"/>
  <c r="U1195" i="3"/>
  <c r="T1195" i="3"/>
  <c r="U75" i="3"/>
  <c r="T75" i="3"/>
  <c r="U78" i="3"/>
  <c r="T78" i="3"/>
  <c r="U82" i="3"/>
  <c r="T82" i="3"/>
  <c r="U921" i="3"/>
  <c r="T921" i="3"/>
  <c r="U210" i="3"/>
  <c r="T210" i="3"/>
  <c r="U66" i="3"/>
  <c r="T66" i="3"/>
  <c r="U939" i="3"/>
  <c r="T939" i="3"/>
  <c r="U230" i="3"/>
  <c r="T230" i="3"/>
  <c r="T104" i="3"/>
  <c r="U104" i="3"/>
  <c r="U1098" i="3"/>
  <c r="T1098" i="3"/>
  <c r="T232" i="3"/>
  <c r="U232" i="3"/>
  <c r="U70" i="3"/>
  <c r="T70" i="3"/>
  <c r="U836" i="3"/>
  <c r="T836" i="3"/>
  <c r="U199" i="3"/>
  <c r="T199" i="3"/>
  <c r="U28" i="3"/>
  <c r="T28" i="3"/>
  <c r="U282" i="3"/>
  <c r="T282" i="3"/>
  <c r="U537" i="3"/>
  <c r="T537" i="3"/>
  <c r="U797" i="3"/>
  <c r="T797" i="3"/>
  <c r="U1091" i="3"/>
  <c r="T1091" i="3"/>
  <c r="T1374" i="3"/>
  <c r="U1374" i="3"/>
  <c r="U2238" i="3"/>
  <c r="T2238" i="3"/>
  <c r="U491" i="3"/>
  <c r="T491" i="3"/>
  <c r="U745" i="3"/>
  <c r="T745" i="3"/>
  <c r="U1038" i="3"/>
  <c r="T1038" i="3"/>
  <c r="U1325" i="3"/>
  <c r="T1325" i="3"/>
  <c r="U1860" i="3"/>
  <c r="T1860" i="3"/>
  <c r="T444" i="3"/>
  <c r="U444" i="3"/>
  <c r="U695" i="3"/>
  <c r="T695" i="3"/>
  <c r="U969" i="3"/>
  <c r="T969" i="3"/>
  <c r="T1254" i="3"/>
  <c r="U1254" i="3"/>
  <c r="T1598" i="3"/>
  <c r="U1598" i="3"/>
  <c r="U381" i="3"/>
  <c r="T381" i="3"/>
  <c r="T632" i="3"/>
  <c r="U632" i="3"/>
  <c r="U917" i="3"/>
  <c r="T917" i="3"/>
  <c r="T1238" i="3"/>
  <c r="U1238" i="3"/>
  <c r="U1599" i="3"/>
  <c r="T1599" i="3"/>
  <c r="U366" i="3"/>
  <c r="T366" i="3"/>
  <c r="U633" i="3"/>
  <c r="T633" i="3"/>
  <c r="U902" i="3"/>
  <c r="T902" i="3"/>
  <c r="U1184" i="3"/>
  <c r="T1184" i="3"/>
  <c r="T1466" i="3"/>
  <c r="U1466" i="3"/>
  <c r="T49" i="3"/>
  <c r="U49" i="3"/>
  <c r="U303" i="3"/>
  <c r="T303" i="3"/>
  <c r="T556" i="3"/>
  <c r="U556" i="3"/>
  <c r="U818" i="3"/>
  <c r="T818" i="3"/>
  <c r="U1113" i="3"/>
  <c r="T1113" i="3"/>
  <c r="U1395" i="3"/>
  <c r="T1395" i="3"/>
  <c r="U2427" i="3"/>
  <c r="T2427" i="3"/>
  <c r="U353" i="3"/>
  <c r="T353" i="3"/>
  <c r="U605" i="3"/>
  <c r="T605" i="3"/>
  <c r="U905" i="3"/>
  <c r="T905" i="3"/>
  <c r="U1206" i="3"/>
  <c r="T1206" i="3"/>
  <c r="U1535" i="3"/>
  <c r="T1535" i="3"/>
  <c r="U338" i="3"/>
  <c r="T338" i="3"/>
  <c r="U590" i="3"/>
  <c r="T590" i="3"/>
  <c r="U871" i="3"/>
  <c r="T871" i="3"/>
  <c r="U1153" i="3"/>
  <c r="T1153" i="3"/>
  <c r="T1470" i="3"/>
  <c r="U1470" i="3"/>
  <c r="U307" i="3"/>
  <c r="T307" i="3"/>
  <c r="T560" i="3"/>
  <c r="U560" i="3"/>
  <c r="U822" i="3"/>
  <c r="T822" i="3"/>
  <c r="U1117" i="3"/>
  <c r="T1117" i="3"/>
  <c r="U1419" i="3"/>
  <c r="T1419" i="3"/>
  <c r="U2772" i="3"/>
  <c r="T2772" i="3"/>
  <c r="T532" i="3"/>
  <c r="U532" i="3"/>
  <c r="U791" i="3"/>
  <c r="T791" i="3"/>
  <c r="U1066" i="3"/>
  <c r="T1066" i="3"/>
  <c r="U1384" i="3"/>
  <c r="T1384" i="3"/>
  <c r="U2328" i="3"/>
  <c r="T2328" i="3"/>
  <c r="U485" i="3"/>
  <c r="T485" i="3"/>
  <c r="U738" i="3"/>
  <c r="T738" i="3"/>
  <c r="U1014" i="3"/>
  <c r="T1014" i="3"/>
  <c r="U1301" i="3"/>
  <c r="T1301" i="3"/>
  <c r="U1828" i="3"/>
  <c r="T1828" i="3"/>
  <c r="U422" i="3"/>
  <c r="T422" i="3"/>
  <c r="U689" i="3"/>
  <c r="T689" i="3"/>
  <c r="U961" i="3"/>
  <c r="T961" i="3"/>
  <c r="T1266" i="3"/>
  <c r="U1266" i="3"/>
  <c r="U1628" i="3"/>
  <c r="T1628" i="3"/>
  <c r="U375" i="3"/>
  <c r="T375" i="3"/>
  <c r="U642" i="3"/>
  <c r="T642" i="3"/>
  <c r="U911" i="3"/>
  <c r="T911" i="3"/>
  <c r="U1194" i="3"/>
  <c r="T1194" i="3"/>
  <c r="T1514" i="3"/>
  <c r="U1514" i="3"/>
  <c r="U1844" i="3"/>
  <c r="T1844" i="3"/>
  <c r="U425" i="3"/>
  <c r="T425" i="3"/>
  <c r="U676" i="3"/>
  <c r="T676" i="3"/>
  <c r="U947" i="3"/>
  <c r="T947" i="3"/>
  <c r="U1233" i="3"/>
  <c r="T1233" i="3"/>
  <c r="T1552" i="3"/>
  <c r="U1552" i="3"/>
  <c r="U770" i="3"/>
  <c r="T770" i="3"/>
  <c r="U1025" i="3"/>
  <c r="T1025" i="3"/>
  <c r="U1276" i="3"/>
  <c r="T1276" i="3"/>
  <c r="T1522" i="3"/>
  <c r="U1522" i="3"/>
  <c r="U1773" i="3"/>
  <c r="T1773" i="3"/>
  <c r="U2023" i="3"/>
  <c r="T2023" i="3"/>
  <c r="U2293" i="3"/>
  <c r="T2293" i="3"/>
  <c r="U2583" i="3"/>
  <c r="T2583" i="3"/>
  <c r="T3026" i="3"/>
  <c r="U3026" i="3"/>
  <c r="U1710" i="3"/>
  <c r="T1710" i="3"/>
  <c r="U1962" i="3"/>
  <c r="T1962" i="3"/>
  <c r="U2258" i="3"/>
  <c r="T2258" i="3"/>
  <c r="U2544" i="3"/>
  <c r="T2544" i="3"/>
  <c r="U2925" i="3"/>
  <c r="T2925" i="3"/>
  <c r="T1680" i="3"/>
  <c r="U1680" i="3"/>
  <c r="U1933" i="3"/>
  <c r="T1933" i="3"/>
  <c r="U2188" i="3"/>
  <c r="T2188" i="3"/>
  <c r="U2492" i="3"/>
  <c r="T2492" i="3"/>
  <c r="U2838" i="3"/>
  <c r="T2838" i="3"/>
  <c r="U1649" i="3"/>
  <c r="T1649" i="3"/>
  <c r="U1902" i="3"/>
  <c r="T1902" i="3"/>
  <c r="U2207" i="3"/>
  <c r="T2207" i="3"/>
  <c r="U2493" i="3"/>
  <c r="T2493" i="3"/>
  <c r="U2816" i="3"/>
  <c r="T2816" i="3"/>
  <c r="U1650" i="3"/>
  <c r="T1650" i="3"/>
  <c r="U1903" i="3"/>
  <c r="T1903" i="3"/>
  <c r="U2154" i="3"/>
  <c r="T2154" i="3"/>
  <c r="U2459" i="3"/>
  <c r="T2459" i="3"/>
  <c r="T2770" i="3"/>
  <c r="U2770" i="3"/>
  <c r="U878" i="3"/>
  <c r="T878" i="3"/>
  <c r="U1171" i="3"/>
  <c r="T1171" i="3"/>
  <c r="U1433" i="3"/>
  <c r="T1433" i="3"/>
  <c r="U1683" i="3"/>
  <c r="T1683" i="3"/>
  <c r="U1936" i="3"/>
  <c r="T1936" i="3"/>
  <c r="T2209" i="3"/>
  <c r="U2209" i="3"/>
  <c r="U2513" i="3"/>
  <c r="T2513" i="3"/>
  <c r="U2889" i="3"/>
  <c r="T2889" i="3"/>
  <c r="U1716" i="3"/>
  <c r="T1716" i="3"/>
  <c r="U1982" i="3"/>
  <c r="T1982" i="3"/>
  <c r="T2265" i="3"/>
  <c r="U2265" i="3"/>
  <c r="T2570" i="3"/>
  <c r="U2570" i="3"/>
  <c r="U3081" i="3"/>
  <c r="T3081" i="3"/>
  <c r="U2091" i="3"/>
  <c r="T2091" i="3"/>
  <c r="U2376" i="3"/>
  <c r="T2376" i="3"/>
  <c r="U2671" i="3"/>
  <c r="T2671" i="3"/>
  <c r="U1798" i="3"/>
  <c r="T1798" i="3"/>
  <c r="U2048" i="3"/>
  <c r="T2048" i="3"/>
  <c r="T2321" i="3"/>
  <c r="U2321" i="3"/>
  <c r="T2634" i="3"/>
  <c r="U2634" i="3"/>
  <c r="U1484" i="3"/>
  <c r="T1484" i="3"/>
  <c r="U1735" i="3"/>
  <c r="T1735" i="3"/>
  <c r="T1985" i="3"/>
  <c r="U1985" i="3"/>
  <c r="U2268" i="3"/>
  <c r="T2268" i="3"/>
  <c r="U2555" i="3"/>
  <c r="T2555" i="3"/>
  <c r="U2900" i="3"/>
  <c r="T2900" i="3"/>
  <c r="U1673" i="3"/>
  <c r="T1673" i="3"/>
  <c r="U1942" i="3"/>
  <c r="T1942" i="3"/>
  <c r="U2198" i="3"/>
  <c r="T2198" i="3"/>
  <c r="U2485" i="3"/>
  <c r="T2485" i="3"/>
  <c r="U2851" i="3"/>
  <c r="T2851" i="3"/>
  <c r="U1642" i="3"/>
  <c r="T1642" i="3"/>
  <c r="U1895" i="3"/>
  <c r="T1895" i="3"/>
  <c r="U2181" i="3"/>
  <c r="T2181" i="3"/>
  <c r="U2486" i="3"/>
  <c r="T2486" i="3"/>
  <c r="U2805" i="3"/>
  <c r="T2805" i="3"/>
  <c r="U1770" i="3"/>
  <c r="T1770" i="3"/>
  <c r="U2020" i="3"/>
  <c r="T2020" i="3"/>
  <c r="T2289" i="3"/>
  <c r="U2289" i="3"/>
  <c r="T2578" i="3"/>
  <c r="U2578" i="3"/>
  <c r="T3004" i="3"/>
  <c r="U3004" i="3"/>
  <c r="U1708" i="3"/>
  <c r="T1708" i="3"/>
  <c r="U1960" i="3"/>
  <c r="T1960" i="3"/>
  <c r="U2221" i="3"/>
  <c r="T2221" i="3"/>
  <c r="T2506" i="3"/>
  <c r="U2506" i="3"/>
  <c r="T2834" i="3"/>
  <c r="U2834" i="3"/>
  <c r="U2259" i="3"/>
  <c r="T2259" i="3"/>
  <c r="U2509" i="3"/>
  <c r="T2509" i="3"/>
  <c r="U2789" i="3"/>
  <c r="T2789" i="3"/>
  <c r="U3115" i="3"/>
  <c r="T3115" i="3"/>
  <c r="U3489" i="3"/>
  <c r="T3489" i="3"/>
  <c r="U3013" i="3"/>
  <c r="T3013" i="3"/>
  <c r="T3368" i="3"/>
  <c r="U3368" i="3"/>
  <c r="T3924" i="3"/>
  <c r="U3924" i="3"/>
  <c r="U3222" i="3"/>
  <c r="T3222" i="3"/>
  <c r="U3672" i="3"/>
  <c r="T3672" i="3"/>
  <c r="T3076" i="3"/>
  <c r="U3076" i="3"/>
  <c r="T3468" i="3"/>
  <c r="U3468" i="3"/>
  <c r="U2976" i="3"/>
  <c r="T2976" i="3"/>
  <c r="T3324" i="3"/>
  <c r="U3324" i="3"/>
  <c r="U3843" i="3"/>
  <c r="T3843" i="3"/>
  <c r="U2327" i="3"/>
  <c r="T2327" i="3"/>
  <c r="U2579" i="3"/>
  <c r="T2579" i="3"/>
  <c r="T2898" i="3"/>
  <c r="U2898" i="3"/>
  <c r="U3227" i="3"/>
  <c r="T3227" i="3"/>
  <c r="U3681" i="3"/>
  <c r="T3681" i="3"/>
  <c r="U3682" i="3"/>
  <c r="T3682" i="3"/>
  <c r="U3103" i="3"/>
  <c r="T3103" i="3"/>
  <c r="U3501" i="3"/>
  <c r="T3501" i="3"/>
  <c r="T3002" i="3"/>
  <c r="U3002" i="3"/>
  <c r="U3403" i="3"/>
  <c r="T3403" i="3"/>
  <c r="U2924" i="3"/>
  <c r="T2924" i="3"/>
  <c r="U3255" i="3"/>
  <c r="T3255" i="3"/>
  <c r="U3729" i="3"/>
  <c r="T3729" i="3"/>
  <c r="U3307" i="3"/>
  <c r="T3307" i="3"/>
  <c r="U3904" i="3"/>
  <c r="T3904" i="3"/>
  <c r="U3189" i="3"/>
  <c r="T3189" i="3"/>
  <c r="U3657" i="3"/>
  <c r="T3657" i="3"/>
  <c r="U3067" i="3"/>
  <c r="T3067" i="3"/>
  <c r="T3484" i="3"/>
  <c r="U3484" i="3"/>
  <c r="U2967" i="3"/>
  <c r="T2967" i="3"/>
  <c r="U3338" i="3"/>
  <c r="T3338" i="3"/>
  <c r="U3866" i="3"/>
  <c r="T3866" i="3"/>
  <c r="U3871" i="3"/>
  <c r="T3871" i="3"/>
  <c r="U3174" i="3"/>
  <c r="T3174" i="3"/>
  <c r="U3707" i="3"/>
  <c r="T3707" i="3"/>
  <c r="U2696" i="3"/>
  <c r="T2696" i="3"/>
  <c r="U2971" i="3"/>
  <c r="T2971" i="3"/>
  <c r="U3258" i="3"/>
  <c r="T3258" i="3"/>
  <c r="U3577" i="3"/>
  <c r="T3577" i="3"/>
  <c r="U3889" i="3"/>
  <c r="T3889" i="3"/>
  <c r="T4028" i="3"/>
  <c r="U4028" i="3"/>
  <c r="T3445" i="3"/>
  <c r="U3445" i="3"/>
  <c r="U3755" i="3"/>
  <c r="T3755" i="3"/>
  <c r="T4068" i="3"/>
  <c r="U4068" i="3"/>
  <c r="U3834" i="3"/>
  <c r="T3834" i="3"/>
  <c r="U3601" i="3"/>
  <c r="T3601" i="3"/>
  <c r="U3914" i="3"/>
  <c r="T3914" i="3"/>
  <c r="U4015" i="3"/>
  <c r="T4015" i="3"/>
  <c r="T2642" i="3"/>
  <c r="U2642" i="3"/>
  <c r="U2911" i="3"/>
  <c r="T2911" i="3"/>
  <c r="U3230" i="3"/>
  <c r="T3230" i="3"/>
  <c r="U3547" i="3"/>
  <c r="T3547" i="3"/>
  <c r="U3859" i="3"/>
  <c r="T3859" i="3"/>
  <c r="U3606" i="3"/>
  <c r="T3606" i="3"/>
  <c r="U3920" i="3"/>
  <c r="T3920" i="3"/>
  <c r="U3666" i="3"/>
  <c r="T3666" i="3"/>
  <c r="T3980" i="3"/>
  <c r="U3980" i="3"/>
  <c r="U4081" i="3"/>
  <c r="T4081" i="3"/>
  <c r="U3966" i="3"/>
  <c r="T3966" i="3"/>
  <c r="T3388" i="3"/>
  <c r="U3388" i="3"/>
  <c r="T3692" i="3"/>
  <c r="U3692" i="3"/>
  <c r="U4007" i="3"/>
  <c r="T4007" i="3"/>
  <c r="U2945" i="3"/>
  <c r="T2945" i="3"/>
  <c r="U3194" i="3"/>
  <c r="T3194" i="3"/>
  <c r="U3464" i="3"/>
  <c r="T3464" i="3"/>
  <c r="U3718" i="3"/>
  <c r="T3718" i="3"/>
  <c r="U3973" i="3"/>
  <c r="T3973" i="3"/>
  <c r="T3332" i="3"/>
  <c r="U3332" i="3"/>
  <c r="U3624" i="3"/>
  <c r="T3624" i="3"/>
  <c r="U3878" i="3"/>
  <c r="T3878" i="3"/>
  <c r="U4089" i="3"/>
  <c r="T4089" i="3"/>
  <c r="T3000" i="3"/>
  <c r="U3000" i="3"/>
  <c r="T3248" i="3"/>
  <c r="U3248" i="3"/>
  <c r="U3487" i="3"/>
  <c r="T3487" i="3"/>
  <c r="U3742" i="3"/>
  <c r="T3742" i="3"/>
  <c r="U3997" i="3"/>
  <c r="T3997" i="3"/>
  <c r="T80" i="3"/>
  <c r="U80" i="3"/>
  <c r="U1459" i="3"/>
  <c r="T1459" i="3"/>
  <c r="T352" i="3"/>
  <c r="U352" i="3"/>
  <c r="U549" i="3"/>
  <c r="T549" i="3"/>
  <c r="U315" i="3"/>
  <c r="T315" i="3"/>
  <c r="U712" i="3"/>
  <c r="T712" i="3"/>
  <c r="T1274" i="3"/>
  <c r="U1274" i="3"/>
  <c r="U16" i="3"/>
  <c r="T16" i="3"/>
  <c r="U130" i="3"/>
  <c r="T130" i="3"/>
  <c r="T200" i="3"/>
  <c r="U200" i="3"/>
  <c r="U222" i="3"/>
  <c r="T222" i="3"/>
  <c r="U218" i="3"/>
  <c r="T218" i="3"/>
  <c r="U241" i="3"/>
  <c r="T241" i="3"/>
  <c r="U163" i="3"/>
  <c r="T163" i="3"/>
  <c r="U912" i="3"/>
  <c r="T912" i="3"/>
  <c r="U237" i="3"/>
  <c r="T237" i="3"/>
  <c r="T220" i="3"/>
  <c r="U220" i="3"/>
  <c r="U94" i="3"/>
  <c r="T94" i="3"/>
  <c r="U1160" i="3"/>
  <c r="T1160" i="3"/>
  <c r="U258" i="3"/>
  <c r="T258" i="3"/>
  <c r="T96" i="3"/>
  <c r="U96" i="3"/>
  <c r="U1035" i="3"/>
  <c r="T1035" i="3"/>
  <c r="U225" i="3"/>
  <c r="T225" i="3"/>
  <c r="T100" i="3"/>
  <c r="U100" i="3"/>
  <c r="U1062" i="3"/>
  <c r="T1062" i="3"/>
  <c r="T228" i="3"/>
  <c r="U228" i="3"/>
  <c r="T84" i="3"/>
  <c r="U84" i="3"/>
  <c r="U1080" i="3"/>
  <c r="T1080" i="3"/>
  <c r="U247" i="3"/>
  <c r="T247" i="3"/>
  <c r="U122" i="3"/>
  <c r="T122" i="3"/>
  <c r="U1241" i="3"/>
  <c r="T1241" i="3"/>
  <c r="U249" i="3"/>
  <c r="T249" i="3"/>
  <c r="T88" i="3"/>
  <c r="U88" i="3"/>
  <c r="U973" i="3"/>
  <c r="T973" i="3"/>
  <c r="U217" i="3"/>
  <c r="T217" i="3"/>
  <c r="U44" i="3"/>
  <c r="T44" i="3"/>
  <c r="U298" i="3"/>
  <c r="T298" i="3"/>
  <c r="U551" i="3"/>
  <c r="T551" i="3"/>
  <c r="U812" i="3"/>
  <c r="T812" i="3"/>
  <c r="U1108" i="3"/>
  <c r="T1108" i="3"/>
  <c r="T1390" i="3"/>
  <c r="U1390" i="3"/>
  <c r="U2382" i="3"/>
  <c r="T2382" i="3"/>
  <c r="U507" i="3"/>
  <c r="T507" i="3"/>
  <c r="U763" i="3"/>
  <c r="T763" i="3"/>
  <c r="U1055" i="3"/>
  <c r="T1055" i="3"/>
  <c r="U1341" i="3"/>
  <c r="T1341" i="3"/>
  <c r="U2104" i="3"/>
  <c r="T2104" i="3"/>
  <c r="T460" i="3"/>
  <c r="U460" i="3"/>
  <c r="U711" i="3"/>
  <c r="T711" i="3"/>
  <c r="U987" i="3"/>
  <c r="T987" i="3"/>
  <c r="U1272" i="3"/>
  <c r="T1272" i="3"/>
  <c r="U1652" i="3"/>
  <c r="T1652" i="3"/>
  <c r="U397" i="3"/>
  <c r="T397" i="3"/>
  <c r="U648" i="3"/>
  <c r="T648" i="3"/>
  <c r="U935" i="3"/>
  <c r="T935" i="3"/>
  <c r="U1255" i="3"/>
  <c r="T1255" i="3"/>
  <c r="U1654" i="3"/>
  <c r="T1654" i="3"/>
  <c r="U382" i="3"/>
  <c r="T382" i="3"/>
  <c r="U649" i="3"/>
  <c r="T649" i="3"/>
  <c r="U919" i="3"/>
  <c r="T919" i="3"/>
  <c r="U1203" i="3"/>
  <c r="T1203" i="3"/>
  <c r="T1496" i="3"/>
  <c r="U1496" i="3"/>
  <c r="T65" i="3"/>
  <c r="U65" i="3"/>
  <c r="U319" i="3"/>
  <c r="T319" i="3"/>
  <c r="U571" i="3"/>
  <c r="T571" i="3"/>
  <c r="U835" i="3"/>
  <c r="T835" i="3"/>
  <c r="U1131" i="3"/>
  <c r="T1131" i="3"/>
  <c r="T1414" i="3"/>
  <c r="U1414" i="3"/>
  <c r="U2569" i="3"/>
  <c r="T2569" i="3"/>
  <c r="U369" i="3"/>
  <c r="T369" i="3"/>
  <c r="T636" i="3"/>
  <c r="U636" i="3"/>
  <c r="U922" i="3"/>
  <c r="T922" i="3"/>
  <c r="U1224" i="3"/>
  <c r="T1224" i="3"/>
  <c r="U1575" i="3"/>
  <c r="T1575" i="3"/>
  <c r="U354" i="3"/>
  <c r="T354" i="3"/>
  <c r="U606" i="3"/>
  <c r="T606" i="3"/>
  <c r="U890" i="3"/>
  <c r="T890" i="3"/>
  <c r="U1172" i="3"/>
  <c r="T1172" i="3"/>
  <c r="U1503" i="3"/>
  <c r="T1503" i="3"/>
  <c r="U323" i="3"/>
  <c r="T323" i="3"/>
  <c r="U575" i="3"/>
  <c r="T575" i="3"/>
  <c r="U839" i="3"/>
  <c r="T839" i="3"/>
  <c r="U1136" i="3"/>
  <c r="T1136" i="3"/>
  <c r="U1436" i="3"/>
  <c r="T1436" i="3"/>
  <c r="T292" i="3"/>
  <c r="U292" i="3"/>
  <c r="U545" i="3"/>
  <c r="T545" i="3"/>
  <c r="U807" i="3"/>
  <c r="T807" i="3"/>
  <c r="U1084" i="3"/>
  <c r="T1084" i="3"/>
  <c r="T1402" i="3"/>
  <c r="U1402" i="3"/>
  <c r="U2471" i="3"/>
  <c r="T2471" i="3"/>
  <c r="U501" i="3"/>
  <c r="T501" i="3"/>
  <c r="U756" i="3"/>
  <c r="T756" i="3"/>
  <c r="U1032" i="3"/>
  <c r="T1032" i="3"/>
  <c r="U1319" i="3"/>
  <c r="T1319" i="3"/>
  <c r="T1937" i="3"/>
  <c r="U1937" i="3"/>
  <c r="U438" i="3"/>
  <c r="T438" i="3"/>
  <c r="U705" i="3"/>
  <c r="T705" i="3"/>
  <c r="U980" i="3"/>
  <c r="T980" i="3"/>
  <c r="U1284" i="3"/>
  <c r="T1284" i="3"/>
  <c r="U1687" i="3"/>
  <c r="T1687" i="3"/>
  <c r="U391" i="3"/>
  <c r="T391" i="3"/>
  <c r="U658" i="3"/>
  <c r="T658" i="3"/>
  <c r="U928" i="3"/>
  <c r="T928" i="3"/>
  <c r="U1212" i="3"/>
  <c r="T1212" i="3"/>
  <c r="T1550" i="3"/>
  <c r="U1550" i="3"/>
  <c r="U1959" i="3"/>
  <c r="T1959" i="3"/>
  <c r="U441" i="3"/>
  <c r="T441" i="3"/>
  <c r="U692" i="3"/>
  <c r="T692" i="3"/>
  <c r="U965" i="3"/>
  <c r="T965" i="3"/>
  <c r="U1251" i="3"/>
  <c r="T1251" i="3"/>
  <c r="T1592" i="3"/>
  <c r="U1592" i="3"/>
  <c r="U785" i="3"/>
  <c r="T785" i="3"/>
  <c r="U1040" i="3"/>
  <c r="T1040" i="3"/>
  <c r="U1292" i="3"/>
  <c r="T1292" i="3"/>
  <c r="U1537" i="3"/>
  <c r="T1537" i="3"/>
  <c r="U1789" i="3"/>
  <c r="T1789" i="3"/>
  <c r="U2039" i="3"/>
  <c r="T2039" i="3"/>
  <c r="U2312" i="3"/>
  <c r="T2312" i="3"/>
  <c r="U2601" i="3"/>
  <c r="T2601" i="3"/>
  <c r="U3173" i="3"/>
  <c r="T3173" i="3"/>
  <c r="U1726" i="3"/>
  <c r="T1726" i="3"/>
  <c r="T1977" i="3"/>
  <c r="U1977" i="3"/>
  <c r="U2276" i="3"/>
  <c r="T2276" i="3"/>
  <c r="U2565" i="3"/>
  <c r="T2565" i="3"/>
  <c r="U3030" i="3"/>
  <c r="T3030" i="3"/>
  <c r="U1695" i="3"/>
  <c r="T1695" i="3"/>
  <c r="U1949" i="3"/>
  <c r="T1949" i="3"/>
  <c r="U2206" i="3"/>
  <c r="T2206" i="3"/>
  <c r="U2510" i="3"/>
  <c r="T2510" i="3"/>
  <c r="U2862" i="3"/>
  <c r="T2862" i="3"/>
  <c r="U1665" i="3"/>
  <c r="T1665" i="3"/>
  <c r="U1918" i="3"/>
  <c r="T1918" i="3"/>
  <c r="T2225" i="3"/>
  <c r="U2225" i="3"/>
  <c r="U2511" i="3"/>
  <c r="T2511" i="3"/>
  <c r="U2841" i="3"/>
  <c r="T2841" i="3"/>
  <c r="U1666" i="3"/>
  <c r="T1666" i="3"/>
  <c r="U1919" i="3"/>
  <c r="T1919" i="3"/>
  <c r="U2172" i="3"/>
  <c r="T2172" i="3"/>
  <c r="U2477" i="3"/>
  <c r="T2477" i="3"/>
  <c r="U2793" i="3"/>
  <c r="T2793" i="3"/>
  <c r="U894" i="3"/>
  <c r="T894" i="3"/>
  <c r="U1186" i="3"/>
  <c r="T1186" i="3"/>
  <c r="U1447" i="3"/>
  <c r="T1447" i="3"/>
  <c r="U1698" i="3"/>
  <c r="T1698" i="3"/>
  <c r="U1965" i="3"/>
  <c r="T1965" i="3"/>
  <c r="U2227" i="3"/>
  <c r="T2227" i="3"/>
  <c r="U2531" i="3"/>
  <c r="T2531" i="3"/>
  <c r="U2948" i="3"/>
  <c r="T2948" i="3"/>
  <c r="U1732" i="3"/>
  <c r="T1732" i="3"/>
  <c r="U1998" i="3"/>
  <c r="T1998" i="3"/>
  <c r="U2283" i="3"/>
  <c r="T2283" i="3"/>
  <c r="U2590" i="3"/>
  <c r="T2590" i="3"/>
  <c r="T3252" i="3"/>
  <c r="U3252" i="3"/>
  <c r="U2106" i="3"/>
  <c r="T2106" i="3"/>
  <c r="U2394" i="3"/>
  <c r="T2394" i="3"/>
  <c r="U2692" i="3"/>
  <c r="T2692" i="3"/>
  <c r="U1813" i="3"/>
  <c r="T1813" i="3"/>
  <c r="U2063" i="3"/>
  <c r="T2063" i="3"/>
  <c r="U2340" i="3"/>
  <c r="T2340" i="3"/>
  <c r="U2652" i="3"/>
  <c r="T2652" i="3"/>
  <c r="U1500" i="3"/>
  <c r="T1500" i="3"/>
  <c r="U1751" i="3"/>
  <c r="T1751" i="3"/>
  <c r="T2001" i="3"/>
  <c r="U2001" i="3"/>
  <c r="U2286" i="3"/>
  <c r="T2286" i="3"/>
  <c r="U2575" i="3"/>
  <c r="T2575" i="3"/>
  <c r="U2984" i="3"/>
  <c r="T2984" i="3"/>
  <c r="U1689" i="3"/>
  <c r="T1689" i="3"/>
  <c r="U1956" i="3"/>
  <c r="T1956" i="3"/>
  <c r="U2216" i="3"/>
  <c r="T2216" i="3"/>
  <c r="U2502" i="3"/>
  <c r="T2502" i="3"/>
  <c r="T2874" i="3"/>
  <c r="U2874" i="3"/>
  <c r="U1658" i="3"/>
  <c r="T1658" i="3"/>
  <c r="U1911" i="3"/>
  <c r="T1911" i="3"/>
  <c r="U2199" i="3"/>
  <c r="T2199" i="3"/>
  <c r="U2503" i="3"/>
  <c r="T2503" i="3"/>
  <c r="U2828" i="3"/>
  <c r="T2828" i="3"/>
  <c r="U1786" i="3"/>
  <c r="T1786" i="3"/>
  <c r="U2036" i="3"/>
  <c r="T2036" i="3"/>
  <c r="U2308" i="3"/>
  <c r="T2308" i="3"/>
  <c r="U2598" i="3"/>
  <c r="T2598" i="3"/>
  <c r="T3144" i="3"/>
  <c r="U3144" i="3"/>
  <c r="U1724" i="3"/>
  <c r="T1724" i="3"/>
  <c r="U1975" i="3"/>
  <c r="T1975" i="3"/>
  <c r="U2239" i="3"/>
  <c r="T2239" i="3"/>
  <c r="U2523" i="3"/>
  <c r="T2523" i="3"/>
  <c r="U2857" i="3"/>
  <c r="T2857" i="3"/>
  <c r="U2274" i="3"/>
  <c r="T2274" i="3"/>
  <c r="U2524" i="3"/>
  <c r="T2524" i="3"/>
  <c r="T2810" i="3"/>
  <c r="U2810" i="3"/>
  <c r="T3136" i="3"/>
  <c r="U3136" i="3"/>
  <c r="U3514" i="3"/>
  <c r="T3514" i="3"/>
  <c r="U3035" i="3"/>
  <c r="T3035" i="3"/>
  <c r="U3395" i="3"/>
  <c r="T3395" i="3"/>
  <c r="U2895" i="3"/>
  <c r="T2895" i="3"/>
  <c r="U3246" i="3"/>
  <c r="T3246" i="3"/>
  <c r="U3711" i="3"/>
  <c r="T3711" i="3"/>
  <c r="U3098" i="3"/>
  <c r="T3098" i="3"/>
  <c r="T3492" i="3"/>
  <c r="U3492" i="3"/>
  <c r="U2996" i="3"/>
  <c r="T2996" i="3"/>
  <c r="U3349" i="3"/>
  <c r="T3349" i="3"/>
  <c r="U3886" i="3"/>
  <c r="T3886" i="3"/>
  <c r="U2343" i="3"/>
  <c r="T2343" i="3"/>
  <c r="U2614" i="3"/>
  <c r="T2614" i="3"/>
  <c r="U2919" i="3"/>
  <c r="T2919" i="3"/>
  <c r="U3251" i="3"/>
  <c r="T3251" i="3"/>
  <c r="U3721" i="3"/>
  <c r="T3721" i="3"/>
  <c r="U3722" i="3"/>
  <c r="T3722" i="3"/>
  <c r="T3124" i="3"/>
  <c r="U3124" i="3"/>
  <c r="U3531" i="3"/>
  <c r="T3531" i="3"/>
  <c r="U3022" i="3"/>
  <c r="T3022" i="3"/>
  <c r="U3431" i="3"/>
  <c r="T3431" i="3"/>
  <c r="U2942" i="3"/>
  <c r="T2942" i="3"/>
  <c r="T3280" i="3"/>
  <c r="U3280" i="3"/>
  <c r="U3769" i="3"/>
  <c r="T3769" i="3"/>
  <c r="U3334" i="3"/>
  <c r="T3334" i="3"/>
  <c r="T3956" i="3"/>
  <c r="U3956" i="3"/>
  <c r="U3209" i="3"/>
  <c r="T3209" i="3"/>
  <c r="U3695" i="3"/>
  <c r="T3695" i="3"/>
  <c r="U3089" i="3"/>
  <c r="T3089" i="3"/>
  <c r="T3508" i="3"/>
  <c r="U3508" i="3"/>
  <c r="U2987" i="3"/>
  <c r="T2987" i="3"/>
  <c r="T3364" i="3"/>
  <c r="U3364" i="3"/>
  <c r="T3916" i="3"/>
  <c r="U3916" i="3"/>
  <c r="U3918" i="3"/>
  <c r="T3918" i="3"/>
  <c r="T3216" i="3"/>
  <c r="U3216" i="3"/>
  <c r="U3746" i="3"/>
  <c r="T3746" i="3"/>
  <c r="U2712" i="3"/>
  <c r="T2712" i="3"/>
  <c r="U2988" i="3"/>
  <c r="T2988" i="3"/>
  <c r="U3275" i="3"/>
  <c r="T3275" i="3"/>
  <c r="T3596" i="3"/>
  <c r="U3596" i="3"/>
  <c r="T3908" i="3"/>
  <c r="U3908" i="3"/>
  <c r="U4048" i="3"/>
  <c r="T4048" i="3"/>
  <c r="U3461" i="3"/>
  <c r="T3461" i="3"/>
  <c r="U3775" i="3"/>
  <c r="T3775" i="3"/>
  <c r="U3521" i="3"/>
  <c r="T3521" i="3"/>
  <c r="U3854" i="3"/>
  <c r="T3854" i="3"/>
  <c r="T3620" i="3"/>
  <c r="U3620" i="3"/>
  <c r="U3934" i="3"/>
  <c r="T3934" i="3"/>
  <c r="U4034" i="3"/>
  <c r="T4034" i="3"/>
  <c r="U2656" i="3"/>
  <c r="T2656" i="3"/>
  <c r="T2962" i="3"/>
  <c r="U2962" i="3"/>
  <c r="U3249" i="3"/>
  <c r="T3249" i="3"/>
  <c r="U3566" i="3"/>
  <c r="T3566" i="3"/>
  <c r="U3880" i="3"/>
  <c r="T3880" i="3"/>
  <c r="U3627" i="3"/>
  <c r="T3627" i="3"/>
  <c r="U3939" i="3"/>
  <c r="T3939" i="3"/>
  <c r="T3685" i="3"/>
  <c r="U3685" i="3"/>
  <c r="U4000" i="3"/>
  <c r="T4000" i="3"/>
  <c r="U3984" i="3"/>
  <c r="T3984" i="3"/>
  <c r="U3985" i="3"/>
  <c r="T3985" i="3"/>
  <c r="U3405" i="3"/>
  <c r="T3405" i="3"/>
  <c r="U3712" i="3"/>
  <c r="T3712" i="3"/>
  <c r="U4026" i="3"/>
  <c r="T4026" i="3"/>
  <c r="U2961" i="3"/>
  <c r="T2961" i="3"/>
  <c r="U3210" i="3"/>
  <c r="T3210" i="3"/>
  <c r="U3480" i="3"/>
  <c r="T3480" i="3"/>
  <c r="U3734" i="3"/>
  <c r="T3734" i="3"/>
  <c r="U3989" i="3"/>
  <c r="T3989" i="3"/>
  <c r="T3348" i="3"/>
  <c r="U3348" i="3"/>
  <c r="T3640" i="3"/>
  <c r="U3640" i="3"/>
  <c r="U3894" i="3"/>
  <c r="T3894" i="3"/>
  <c r="U4090" i="3"/>
  <c r="T4090" i="3"/>
  <c r="T3016" i="3"/>
  <c r="U3016" i="3"/>
  <c r="U3263" i="3"/>
  <c r="T3263" i="3"/>
  <c r="U3503" i="3"/>
  <c r="T3503" i="3"/>
  <c r="U3758" i="3"/>
  <c r="T3758" i="3"/>
  <c r="U4013" i="3"/>
  <c r="T4013" i="3"/>
  <c r="U643" i="3"/>
  <c r="T643" i="3"/>
  <c r="U274" i="3"/>
  <c r="T274" i="3"/>
  <c r="T512" i="3"/>
  <c r="U512" i="3"/>
  <c r="U881" i="3"/>
  <c r="T881" i="3"/>
  <c r="U461" i="3"/>
  <c r="T461" i="3"/>
  <c r="U920" i="3"/>
  <c r="T920" i="3"/>
  <c r="U861" i="3"/>
  <c r="T861" i="3"/>
  <c r="U277" i="3"/>
  <c r="T277" i="3"/>
  <c r="U35" i="3"/>
  <c r="T35" i="3"/>
  <c r="U879" i="3"/>
  <c r="T879" i="3"/>
  <c r="U226" i="3"/>
  <c r="T226" i="3"/>
  <c r="U1018" i="3"/>
  <c r="T1018" i="3"/>
  <c r="U897" i="3"/>
  <c r="T897" i="3"/>
  <c r="U261" i="3"/>
  <c r="T261" i="3"/>
  <c r="U845" i="3"/>
  <c r="T845" i="3"/>
  <c r="U254" i="3"/>
  <c r="T254" i="3"/>
  <c r="U238" i="3"/>
  <c r="T238" i="3"/>
  <c r="T112" i="3"/>
  <c r="U112" i="3"/>
  <c r="U1304" i="3"/>
  <c r="T1304" i="3"/>
  <c r="T276" i="3"/>
  <c r="U276" i="3"/>
  <c r="U115" i="3"/>
  <c r="T115" i="3"/>
  <c r="U1177" i="3"/>
  <c r="T1177" i="3"/>
  <c r="T260" i="3"/>
  <c r="U260" i="3"/>
  <c r="U118" i="3"/>
  <c r="T118" i="3"/>
  <c r="U1205" i="3"/>
  <c r="T1205" i="3"/>
  <c r="U245" i="3"/>
  <c r="T245" i="3"/>
  <c r="U102" i="3"/>
  <c r="T102" i="3"/>
  <c r="U1223" i="3"/>
  <c r="T1223" i="3"/>
  <c r="U265" i="3"/>
  <c r="T265" i="3"/>
  <c r="U141" i="3"/>
  <c r="T141" i="3"/>
  <c r="U1380" i="3"/>
  <c r="T1380" i="3"/>
  <c r="T268" i="3"/>
  <c r="U268" i="3"/>
  <c r="U106" i="3"/>
  <c r="T106" i="3"/>
  <c r="U1114" i="3"/>
  <c r="T1114" i="3"/>
  <c r="T236" i="3"/>
  <c r="U236" i="3"/>
  <c r="U60" i="3"/>
  <c r="T60" i="3"/>
  <c r="U314" i="3"/>
  <c r="T314" i="3"/>
  <c r="U566" i="3"/>
  <c r="T566" i="3"/>
  <c r="U829" i="3"/>
  <c r="T829" i="3"/>
  <c r="U1126" i="3"/>
  <c r="T1126" i="3"/>
  <c r="U1408" i="3"/>
  <c r="T1408" i="3"/>
  <c r="T2522" i="3"/>
  <c r="U2522" i="3"/>
  <c r="U523" i="3"/>
  <c r="T523" i="3"/>
  <c r="U780" i="3"/>
  <c r="T780" i="3"/>
  <c r="U1074" i="3"/>
  <c r="T1074" i="3"/>
  <c r="U1359" i="3"/>
  <c r="T1359" i="3"/>
  <c r="U2246" i="3"/>
  <c r="T2246" i="3"/>
  <c r="T476" i="3"/>
  <c r="U476" i="3"/>
  <c r="U729" i="3"/>
  <c r="T729" i="3"/>
  <c r="U1004" i="3"/>
  <c r="T1004" i="3"/>
  <c r="T1290" i="3"/>
  <c r="U1290" i="3"/>
  <c r="U1715" i="3"/>
  <c r="T1715" i="3"/>
  <c r="U413" i="3"/>
  <c r="T413" i="3"/>
  <c r="U664" i="3"/>
  <c r="T664" i="3"/>
  <c r="U952" i="3"/>
  <c r="T952" i="3"/>
  <c r="U1273" i="3"/>
  <c r="T1273" i="3"/>
  <c r="U1717" i="3"/>
  <c r="T1717" i="3"/>
  <c r="U398" i="3"/>
  <c r="T398" i="3"/>
  <c r="U665" i="3"/>
  <c r="T665" i="3"/>
  <c r="U936" i="3"/>
  <c r="T936" i="3"/>
  <c r="U1221" i="3"/>
  <c r="T1221" i="3"/>
  <c r="T1530" i="3"/>
  <c r="U1530" i="3"/>
  <c r="U81" i="3"/>
  <c r="T81" i="3"/>
  <c r="U335" i="3"/>
  <c r="T335" i="3"/>
  <c r="U587" i="3"/>
  <c r="T587" i="3"/>
  <c r="U869" i="3"/>
  <c r="T869" i="3"/>
  <c r="U1149" i="3"/>
  <c r="T1149" i="3"/>
  <c r="U1432" i="3"/>
  <c r="T1432" i="3"/>
  <c r="U2731" i="3"/>
  <c r="T2731" i="3"/>
  <c r="U385" i="3"/>
  <c r="T385" i="3"/>
  <c r="U652" i="3"/>
  <c r="T652" i="3"/>
  <c r="U940" i="3"/>
  <c r="T940" i="3"/>
  <c r="U1242" i="3"/>
  <c r="T1242" i="3"/>
  <c r="U1613" i="3"/>
  <c r="T1613" i="3"/>
  <c r="U370" i="3"/>
  <c r="T370" i="3"/>
  <c r="U621" i="3"/>
  <c r="T621" i="3"/>
  <c r="U906" i="3"/>
  <c r="T906" i="3"/>
  <c r="U1189" i="3"/>
  <c r="T1189" i="3"/>
  <c r="T1536" i="3"/>
  <c r="U1536" i="3"/>
  <c r="U339" i="3"/>
  <c r="T339" i="3"/>
  <c r="U591" i="3"/>
  <c r="T591" i="3"/>
  <c r="U855" i="3"/>
  <c r="T855" i="3"/>
  <c r="U1154" i="3"/>
  <c r="T1154" i="3"/>
  <c r="U1453" i="3"/>
  <c r="T1453" i="3"/>
  <c r="T308" i="3"/>
  <c r="U308" i="3"/>
  <c r="U561" i="3"/>
  <c r="T561" i="3"/>
  <c r="U823" i="3"/>
  <c r="T823" i="3"/>
  <c r="U1119" i="3"/>
  <c r="T1119" i="3"/>
  <c r="U1420" i="3"/>
  <c r="T1420" i="3"/>
  <c r="U2620" i="3"/>
  <c r="T2620" i="3"/>
  <c r="U517" i="3"/>
  <c r="T517" i="3"/>
  <c r="U773" i="3"/>
  <c r="T773" i="3"/>
  <c r="U1049" i="3"/>
  <c r="T1049" i="3"/>
  <c r="T1334" i="3"/>
  <c r="U1334" i="3"/>
  <c r="U2060" i="3"/>
  <c r="T2060" i="3"/>
  <c r="U454" i="3"/>
  <c r="T454" i="3"/>
  <c r="U721" i="3"/>
  <c r="T721" i="3"/>
  <c r="U997" i="3"/>
  <c r="T997" i="3"/>
  <c r="T1302" i="3"/>
  <c r="U1302" i="3"/>
  <c r="U1750" i="3"/>
  <c r="T1750" i="3"/>
  <c r="U407" i="3"/>
  <c r="T407" i="3"/>
  <c r="U674" i="3"/>
  <c r="T674" i="3"/>
  <c r="U946" i="3"/>
  <c r="T946" i="3"/>
  <c r="U1231" i="3"/>
  <c r="T1231" i="3"/>
  <c r="T1584" i="3"/>
  <c r="U1584" i="3"/>
  <c r="U2082" i="3"/>
  <c r="T2082" i="3"/>
  <c r="U457" i="3"/>
  <c r="T457" i="3"/>
  <c r="U708" i="3"/>
  <c r="T708" i="3"/>
  <c r="U983" i="3"/>
  <c r="T983" i="3"/>
  <c r="U1269" i="3"/>
  <c r="T1269" i="3"/>
  <c r="U1638" i="3"/>
  <c r="T1638" i="3"/>
  <c r="U799" i="3"/>
  <c r="T799" i="3"/>
  <c r="U1056" i="3"/>
  <c r="T1056" i="3"/>
  <c r="U1308" i="3"/>
  <c r="T1308" i="3"/>
  <c r="U1553" i="3"/>
  <c r="T1553" i="3"/>
  <c r="U1805" i="3"/>
  <c r="T1805" i="3"/>
  <c r="U2055" i="3"/>
  <c r="T2055" i="3"/>
  <c r="U2330" i="3"/>
  <c r="T2330" i="3"/>
  <c r="U2622" i="3"/>
  <c r="T2622" i="3"/>
  <c r="U1475" i="3"/>
  <c r="T1475" i="3"/>
  <c r="U1742" i="3"/>
  <c r="T1742" i="3"/>
  <c r="U1992" i="3"/>
  <c r="T1992" i="3"/>
  <c r="U2294" i="3"/>
  <c r="T2294" i="3"/>
  <c r="U2584" i="3"/>
  <c r="T2584" i="3"/>
  <c r="U3182" i="3"/>
  <c r="T3182" i="3"/>
  <c r="U1711" i="3"/>
  <c r="T1711" i="3"/>
  <c r="U1963" i="3"/>
  <c r="T1963" i="3"/>
  <c r="U2224" i="3"/>
  <c r="T2224" i="3"/>
  <c r="U2527" i="3"/>
  <c r="T2527" i="3"/>
  <c r="U2884" i="3"/>
  <c r="T2884" i="3"/>
  <c r="U1681" i="3"/>
  <c r="T1681" i="3"/>
  <c r="U1934" i="3"/>
  <c r="T1934" i="3"/>
  <c r="U2243" i="3"/>
  <c r="T2243" i="3"/>
  <c r="U2528" i="3"/>
  <c r="T2528" i="3"/>
  <c r="U2864" i="3"/>
  <c r="T2864" i="3"/>
  <c r="U1682" i="3"/>
  <c r="T1682" i="3"/>
  <c r="U1935" i="3"/>
  <c r="T1935" i="3"/>
  <c r="U2190" i="3"/>
  <c r="T2190" i="3"/>
  <c r="U2495" i="3"/>
  <c r="T2495" i="3"/>
  <c r="T2818" i="3"/>
  <c r="U2818" i="3"/>
  <c r="U938" i="3"/>
  <c r="T938" i="3"/>
  <c r="U1202" i="3"/>
  <c r="T1202" i="3"/>
  <c r="U1463" i="3"/>
  <c r="T1463" i="3"/>
  <c r="U1714" i="3"/>
  <c r="T1714" i="3"/>
  <c r="U1981" i="3"/>
  <c r="T1981" i="3"/>
  <c r="U2262" i="3"/>
  <c r="T2262" i="3"/>
  <c r="U2549" i="3"/>
  <c r="T2549" i="3"/>
  <c r="U3061" i="3"/>
  <c r="T3061" i="3"/>
  <c r="U1748" i="3"/>
  <c r="T1748" i="3"/>
  <c r="U2014" i="3"/>
  <c r="T2014" i="3"/>
  <c r="U2301" i="3"/>
  <c r="T2301" i="3"/>
  <c r="T2610" i="3"/>
  <c r="U2610" i="3"/>
  <c r="U1876" i="3"/>
  <c r="T1876" i="3"/>
  <c r="U2123" i="3"/>
  <c r="T2123" i="3"/>
  <c r="U2412" i="3"/>
  <c r="T2412" i="3"/>
  <c r="U2713" i="3"/>
  <c r="T2713" i="3"/>
  <c r="T1829" i="3"/>
  <c r="U1829" i="3"/>
  <c r="U2077" i="3"/>
  <c r="T2077" i="3"/>
  <c r="U2358" i="3"/>
  <c r="T2358" i="3"/>
  <c r="U2673" i="3"/>
  <c r="T2673" i="3"/>
  <c r="U1516" i="3"/>
  <c r="T1516" i="3"/>
  <c r="U1767" i="3"/>
  <c r="T1767" i="3"/>
  <c r="T2017" i="3"/>
  <c r="U2017" i="3"/>
  <c r="U2304" i="3"/>
  <c r="T2304" i="3"/>
  <c r="T2594" i="3"/>
  <c r="U2594" i="3"/>
  <c r="T3112" i="3"/>
  <c r="U3112" i="3"/>
  <c r="T1704" i="3"/>
  <c r="U1704" i="3"/>
  <c r="U1971" i="3"/>
  <c r="T1971" i="3"/>
  <c r="U2235" i="3"/>
  <c r="T2235" i="3"/>
  <c r="U2537" i="3"/>
  <c r="T2537" i="3"/>
  <c r="U2903" i="3"/>
  <c r="T2903" i="3"/>
  <c r="U1674" i="3"/>
  <c r="T1674" i="3"/>
  <c r="U1927" i="3"/>
  <c r="T1927" i="3"/>
  <c r="U2218" i="3"/>
  <c r="T2218" i="3"/>
  <c r="U2520" i="3"/>
  <c r="T2520" i="3"/>
  <c r="U2853" i="3"/>
  <c r="T2853" i="3"/>
  <c r="U1802" i="3"/>
  <c r="T1802" i="3"/>
  <c r="U2052" i="3"/>
  <c r="T2052" i="3"/>
  <c r="U2326" i="3"/>
  <c r="T2326" i="3"/>
  <c r="T2618" i="3"/>
  <c r="U2618" i="3"/>
  <c r="U3326" i="3"/>
  <c r="T3326" i="3"/>
  <c r="U1740" i="3"/>
  <c r="T1740" i="3"/>
  <c r="U1990" i="3"/>
  <c r="T1990" i="3"/>
  <c r="U2256" i="3"/>
  <c r="T2256" i="3"/>
  <c r="U2541" i="3"/>
  <c r="T2541" i="3"/>
  <c r="U2880" i="3"/>
  <c r="T2880" i="3"/>
  <c r="U2290" i="3"/>
  <c r="T2290" i="3"/>
  <c r="U2540" i="3"/>
  <c r="T2540" i="3"/>
  <c r="U2832" i="3"/>
  <c r="T2832" i="3"/>
  <c r="U3154" i="3"/>
  <c r="T3154" i="3"/>
  <c r="T3552" i="3"/>
  <c r="U3552" i="3"/>
  <c r="U3054" i="3"/>
  <c r="T3054" i="3"/>
  <c r="U3418" i="3"/>
  <c r="T3418" i="3"/>
  <c r="U2915" i="3"/>
  <c r="T2915" i="3"/>
  <c r="U3269" i="3"/>
  <c r="T3269" i="3"/>
  <c r="U3749" i="3"/>
  <c r="T3749" i="3"/>
  <c r="U3119" i="3"/>
  <c r="T3119" i="3"/>
  <c r="U3522" i="3"/>
  <c r="T3522" i="3"/>
  <c r="T3018" i="3"/>
  <c r="U3018" i="3"/>
  <c r="U3375" i="3"/>
  <c r="T3375" i="3"/>
  <c r="U3937" i="3"/>
  <c r="T3937" i="3"/>
  <c r="U2359" i="3"/>
  <c r="T2359" i="3"/>
  <c r="U2632" i="3"/>
  <c r="T2632" i="3"/>
  <c r="U2937" i="3"/>
  <c r="T2937" i="3"/>
  <c r="U3273" i="3"/>
  <c r="T3273" i="3"/>
  <c r="U3760" i="3"/>
  <c r="T3760" i="3"/>
  <c r="U3761" i="3"/>
  <c r="T3761" i="3"/>
  <c r="U3145" i="3"/>
  <c r="T3145" i="3"/>
  <c r="U3570" i="3"/>
  <c r="T3570" i="3"/>
  <c r="T3044" i="3"/>
  <c r="U3044" i="3"/>
  <c r="U3453" i="3"/>
  <c r="T3453" i="3"/>
  <c r="U2963" i="3"/>
  <c r="T2963" i="3"/>
  <c r="U3306" i="3"/>
  <c r="T3306" i="3"/>
  <c r="U3811" i="3"/>
  <c r="T3811" i="3"/>
  <c r="T3408" i="3"/>
  <c r="U3408" i="3"/>
  <c r="T2906" i="3"/>
  <c r="U2906" i="3"/>
  <c r="U3235" i="3"/>
  <c r="T3235" i="3"/>
  <c r="U3733" i="3"/>
  <c r="T3733" i="3"/>
  <c r="U3109" i="3"/>
  <c r="T3109" i="3"/>
  <c r="U3542" i="3"/>
  <c r="T3542" i="3"/>
  <c r="T3009" i="3"/>
  <c r="U3009" i="3"/>
  <c r="U3387" i="3"/>
  <c r="T3387" i="3"/>
  <c r="T3964" i="3"/>
  <c r="U3964" i="3"/>
  <c r="U3975" i="3"/>
  <c r="T3975" i="3"/>
  <c r="U3289" i="3"/>
  <c r="T3289" i="3"/>
  <c r="U3786" i="3"/>
  <c r="T3786" i="3"/>
  <c r="U2728" i="3"/>
  <c r="T2728" i="3"/>
  <c r="U3006" i="3"/>
  <c r="T3006" i="3"/>
  <c r="U3294" i="3"/>
  <c r="T3294" i="3"/>
  <c r="U3616" i="3"/>
  <c r="T3616" i="3"/>
  <c r="U3929" i="3"/>
  <c r="T3929" i="3"/>
  <c r="U4067" i="3"/>
  <c r="T4067" i="3"/>
  <c r="U3482" i="3"/>
  <c r="T3482" i="3"/>
  <c r="U3794" i="3"/>
  <c r="T3794" i="3"/>
  <c r="T3540" i="3"/>
  <c r="U3540" i="3"/>
  <c r="U3873" i="3"/>
  <c r="T3873" i="3"/>
  <c r="U3641" i="3"/>
  <c r="T3641" i="3"/>
  <c r="U3953" i="3"/>
  <c r="T3953" i="3"/>
  <c r="U4055" i="3"/>
  <c r="T4055" i="3"/>
  <c r="U2672" i="3"/>
  <c r="T2672" i="3"/>
  <c r="T2980" i="3"/>
  <c r="U2980" i="3"/>
  <c r="U3266" i="3"/>
  <c r="T3266" i="3"/>
  <c r="U3586" i="3"/>
  <c r="T3586" i="3"/>
  <c r="U3899" i="3"/>
  <c r="T3899" i="3"/>
  <c r="U3646" i="3"/>
  <c r="T3646" i="3"/>
  <c r="U3960" i="3"/>
  <c r="T3960" i="3"/>
  <c r="U3706" i="3"/>
  <c r="T3706" i="3"/>
  <c r="U4019" i="3"/>
  <c r="T4019" i="3"/>
  <c r="U4003" i="3"/>
  <c r="T4003" i="3"/>
  <c r="T4004" i="3"/>
  <c r="U4004" i="3"/>
  <c r="U3425" i="3"/>
  <c r="T3425" i="3"/>
  <c r="U3731" i="3"/>
  <c r="T3731" i="3"/>
  <c r="U4046" i="3"/>
  <c r="T4046" i="3"/>
  <c r="U2977" i="3"/>
  <c r="T2977" i="3"/>
  <c r="U3225" i="3"/>
  <c r="T3225" i="3"/>
  <c r="U3495" i="3"/>
  <c r="T3495" i="3"/>
  <c r="U3750" i="3"/>
  <c r="T3750" i="3"/>
  <c r="U4005" i="3"/>
  <c r="T4005" i="3"/>
  <c r="U3363" i="3"/>
  <c r="T3363" i="3"/>
  <c r="U3656" i="3"/>
  <c r="T3656" i="3"/>
  <c r="U3910" i="3"/>
  <c r="T3910" i="3"/>
  <c r="U4091" i="3"/>
  <c r="T4091" i="3"/>
  <c r="T3032" i="3"/>
  <c r="U3032" i="3"/>
  <c r="U3277" i="3"/>
  <c r="T3277" i="3"/>
  <c r="U3519" i="3"/>
  <c r="T3519" i="3"/>
  <c r="U3774" i="3"/>
  <c r="T3774" i="3"/>
  <c r="U4029" i="3"/>
  <c r="T4029" i="3"/>
  <c r="U189" i="3"/>
  <c r="T189" i="3"/>
  <c r="T1406" i="3"/>
  <c r="U1406" i="3"/>
  <c r="U19" i="3"/>
  <c r="T19" i="3"/>
  <c r="T408" i="3"/>
  <c r="U408" i="3"/>
  <c r="U1461" i="3"/>
  <c r="T1461" i="3"/>
  <c r="U129" i="3"/>
  <c r="T129" i="3"/>
  <c r="U733" i="3"/>
  <c r="T733" i="3"/>
  <c r="T1450" i="3"/>
  <c r="U1450" i="3"/>
  <c r="U1636" i="3"/>
  <c r="T1636" i="3"/>
  <c r="T57" i="3"/>
  <c r="U57" i="3"/>
  <c r="T456" i="3"/>
  <c r="U456" i="3"/>
  <c r="U201" i="3"/>
  <c r="T201" i="3"/>
  <c r="U206" i="3"/>
  <c r="T206" i="3"/>
  <c r="U56" i="3"/>
  <c r="T56" i="3"/>
  <c r="U126" i="3"/>
  <c r="T126" i="3"/>
  <c r="U53" i="3"/>
  <c r="T53" i="3"/>
  <c r="T25" i="3"/>
  <c r="U25" i="3"/>
  <c r="T216" i="3"/>
  <c r="U216" i="3"/>
  <c r="U273" i="3"/>
  <c r="T273" i="3"/>
  <c r="T256" i="3"/>
  <c r="U256" i="3"/>
  <c r="U131" i="3"/>
  <c r="T131" i="3"/>
  <c r="U4" i="3"/>
  <c r="T4" i="3"/>
  <c r="T368" i="3"/>
  <c r="U368" i="3"/>
  <c r="U133" i="3"/>
  <c r="T133" i="3"/>
  <c r="U1321" i="3"/>
  <c r="T1321" i="3"/>
  <c r="U279" i="3"/>
  <c r="T279" i="3"/>
  <c r="T136" i="3"/>
  <c r="U136" i="3"/>
  <c r="U1347" i="3"/>
  <c r="T1347" i="3"/>
  <c r="U263" i="3"/>
  <c r="T263" i="3"/>
  <c r="T120" i="3"/>
  <c r="U120" i="3"/>
  <c r="U1364" i="3"/>
  <c r="T1364" i="3"/>
  <c r="T296" i="3"/>
  <c r="U296" i="3"/>
  <c r="U159" i="3"/>
  <c r="T159" i="3"/>
  <c r="T1568" i="3"/>
  <c r="U1568" i="3"/>
  <c r="T312" i="3"/>
  <c r="U312" i="3"/>
  <c r="U125" i="3"/>
  <c r="T125" i="3"/>
  <c r="T1258" i="3"/>
  <c r="U1258" i="3"/>
  <c r="U253" i="3"/>
  <c r="T253" i="3"/>
  <c r="U76" i="3"/>
  <c r="T76" i="3"/>
  <c r="U330" i="3"/>
  <c r="T330" i="3"/>
  <c r="U582" i="3"/>
  <c r="T582" i="3"/>
  <c r="U847" i="3"/>
  <c r="T847" i="3"/>
  <c r="U1144" i="3"/>
  <c r="T1144" i="3"/>
  <c r="T1426" i="3"/>
  <c r="U1426" i="3"/>
  <c r="U2679" i="3"/>
  <c r="T2679" i="3"/>
  <c r="U538" i="3"/>
  <c r="T538" i="3"/>
  <c r="U813" i="3"/>
  <c r="T813" i="3"/>
  <c r="U1092" i="3"/>
  <c r="T1092" i="3"/>
  <c r="U1375" i="3"/>
  <c r="T1375" i="3"/>
  <c r="U2392" i="3"/>
  <c r="T2392" i="3"/>
  <c r="T492" i="3"/>
  <c r="U492" i="3"/>
  <c r="U746" i="3"/>
  <c r="T746" i="3"/>
  <c r="U1022" i="3"/>
  <c r="T1022" i="3"/>
  <c r="U1309" i="3"/>
  <c r="T1309" i="3"/>
  <c r="U1781" i="3"/>
  <c r="T1781" i="3"/>
  <c r="U429" i="3"/>
  <c r="T429" i="3"/>
  <c r="U680" i="3"/>
  <c r="T680" i="3"/>
  <c r="U970" i="3"/>
  <c r="T970" i="3"/>
  <c r="U1291" i="3"/>
  <c r="T1291" i="3"/>
  <c r="U1787" i="3"/>
  <c r="T1787" i="3"/>
  <c r="U414" i="3"/>
  <c r="T414" i="3"/>
  <c r="U681" i="3"/>
  <c r="T681" i="3"/>
  <c r="U954" i="3"/>
  <c r="T954" i="3"/>
  <c r="U1239" i="3"/>
  <c r="T1239" i="3"/>
  <c r="T1566" i="3"/>
  <c r="U1566" i="3"/>
  <c r="U97" i="3"/>
  <c r="T97" i="3"/>
  <c r="U351" i="3"/>
  <c r="T351" i="3"/>
  <c r="U603" i="3"/>
  <c r="T603" i="3"/>
  <c r="U886" i="3"/>
  <c r="T886" i="3"/>
  <c r="U1168" i="3"/>
  <c r="T1168" i="3"/>
  <c r="U1449" i="3"/>
  <c r="T1449" i="3"/>
  <c r="U1731" i="3"/>
  <c r="T1731" i="3"/>
  <c r="U401" i="3"/>
  <c r="T401" i="3"/>
  <c r="U668" i="3"/>
  <c r="T668" i="3"/>
  <c r="U974" i="3"/>
  <c r="T974" i="3"/>
  <c r="U1259" i="3"/>
  <c r="T1259" i="3"/>
  <c r="U1670" i="3"/>
  <c r="T1670" i="3"/>
  <c r="U386" i="3"/>
  <c r="T386" i="3"/>
  <c r="U637" i="3"/>
  <c r="T637" i="3"/>
  <c r="U923" i="3"/>
  <c r="T923" i="3"/>
  <c r="U1207" i="3"/>
  <c r="T1207" i="3"/>
  <c r="T1576" i="3"/>
  <c r="U1576" i="3"/>
  <c r="U355" i="3"/>
  <c r="T355" i="3"/>
  <c r="U607" i="3"/>
  <c r="T607" i="3"/>
  <c r="U872" i="3"/>
  <c r="T872" i="3"/>
  <c r="U1173" i="3"/>
  <c r="T1173" i="3"/>
  <c r="U1471" i="3"/>
  <c r="T1471" i="3"/>
  <c r="T324" i="3"/>
  <c r="U324" i="3"/>
  <c r="T576" i="3"/>
  <c r="U576" i="3"/>
  <c r="U840" i="3"/>
  <c r="T840" i="3"/>
  <c r="U1137" i="3"/>
  <c r="T1137" i="3"/>
  <c r="U1437" i="3"/>
  <c r="T1437" i="3"/>
  <c r="U2784" i="3"/>
  <c r="T2784" i="3"/>
  <c r="U533" i="3"/>
  <c r="T533" i="3"/>
  <c r="U792" i="3"/>
  <c r="T792" i="3"/>
  <c r="U1067" i="3"/>
  <c r="T1067" i="3"/>
  <c r="U1352" i="3"/>
  <c r="T1352" i="3"/>
  <c r="U2192" i="3"/>
  <c r="T2192" i="3"/>
  <c r="U470" i="3"/>
  <c r="T470" i="3"/>
  <c r="U740" i="3"/>
  <c r="T740" i="3"/>
  <c r="U1016" i="3"/>
  <c r="T1016" i="3"/>
  <c r="U1320" i="3"/>
  <c r="T1320" i="3"/>
  <c r="U1834" i="3"/>
  <c r="T1834" i="3"/>
  <c r="U423" i="3"/>
  <c r="T423" i="3"/>
  <c r="U690" i="3"/>
  <c r="T690" i="3"/>
  <c r="U962" i="3"/>
  <c r="T962" i="3"/>
  <c r="T1248" i="3"/>
  <c r="U1248" i="3"/>
  <c r="U1629" i="3"/>
  <c r="T1629" i="3"/>
  <c r="U2220" i="3"/>
  <c r="T2220" i="3"/>
  <c r="U473" i="3"/>
  <c r="T473" i="3"/>
  <c r="U725" i="3"/>
  <c r="T725" i="3"/>
  <c r="U1001" i="3"/>
  <c r="T1001" i="3"/>
  <c r="U1287" i="3"/>
  <c r="T1287" i="3"/>
  <c r="U1701" i="3"/>
  <c r="T1701" i="3"/>
  <c r="U814" i="3"/>
  <c r="T814" i="3"/>
  <c r="U1072" i="3"/>
  <c r="T1072" i="3"/>
  <c r="U1323" i="3"/>
  <c r="T1323" i="3"/>
  <c r="U1569" i="3"/>
  <c r="T1569" i="3"/>
  <c r="U1820" i="3"/>
  <c r="T1820" i="3"/>
  <c r="U2069" i="3"/>
  <c r="T2069" i="3"/>
  <c r="U2348" i="3"/>
  <c r="T2348" i="3"/>
  <c r="U2641" i="3"/>
  <c r="T2641" i="3"/>
  <c r="U1491" i="3"/>
  <c r="T1491" i="3"/>
  <c r="U1758" i="3"/>
  <c r="T1758" i="3"/>
  <c r="U2008" i="3"/>
  <c r="T2008" i="3"/>
  <c r="T2313" i="3"/>
  <c r="U2313" i="3"/>
  <c r="T2602" i="3"/>
  <c r="U2602" i="3"/>
  <c r="U1476" i="3"/>
  <c r="T1476" i="3"/>
  <c r="U1727" i="3"/>
  <c r="T1727" i="3"/>
  <c r="U1978" i="3"/>
  <c r="T1978" i="3"/>
  <c r="U2242" i="3"/>
  <c r="T2242" i="3"/>
  <c r="T2546" i="3"/>
  <c r="U2546" i="3"/>
  <c r="U3041" i="3"/>
  <c r="T3041" i="3"/>
  <c r="T1696" i="3"/>
  <c r="U1696" i="3"/>
  <c r="U1979" i="3"/>
  <c r="T1979" i="3"/>
  <c r="U2261" i="3"/>
  <c r="T2261" i="3"/>
  <c r="U2547" i="3"/>
  <c r="T2547" i="3"/>
  <c r="U2886" i="3"/>
  <c r="T2886" i="3"/>
  <c r="U1697" i="3"/>
  <c r="T1697" i="3"/>
  <c r="U1950" i="3"/>
  <c r="T1950" i="3"/>
  <c r="U2208" i="3"/>
  <c r="T2208" i="3"/>
  <c r="U2512" i="3"/>
  <c r="T2512" i="3"/>
  <c r="T2842" i="3"/>
  <c r="U2842" i="3"/>
  <c r="U953" i="3"/>
  <c r="T953" i="3"/>
  <c r="U1218" i="3"/>
  <c r="T1218" i="3"/>
  <c r="U1479" i="3"/>
  <c r="T1479" i="3"/>
  <c r="U1730" i="3"/>
  <c r="T1730" i="3"/>
  <c r="U1996" i="3"/>
  <c r="T1996" i="3"/>
  <c r="T2281" i="3"/>
  <c r="U2281" i="3"/>
  <c r="U2588" i="3"/>
  <c r="T2588" i="3"/>
  <c r="T3228" i="3"/>
  <c r="U3228" i="3"/>
  <c r="U1764" i="3"/>
  <c r="T1764" i="3"/>
  <c r="U2030" i="3"/>
  <c r="T2030" i="3"/>
  <c r="U2319" i="3"/>
  <c r="T2319" i="3"/>
  <c r="U2631" i="3"/>
  <c r="T2631" i="3"/>
  <c r="T1891" i="3"/>
  <c r="U1891" i="3"/>
  <c r="U2140" i="3"/>
  <c r="T2140" i="3"/>
  <c r="U2429" i="3"/>
  <c r="T2429" i="3"/>
  <c r="U2734" i="3"/>
  <c r="T2734" i="3"/>
  <c r="T1845" i="3"/>
  <c r="U1845" i="3"/>
  <c r="U2092" i="3"/>
  <c r="T2092" i="3"/>
  <c r="T2377" i="3"/>
  <c r="U2377" i="3"/>
  <c r="U2693" i="3"/>
  <c r="T2693" i="3"/>
  <c r="U1532" i="3"/>
  <c r="T1532" i="3"/>
  <c r="U1783" i="3"/>
  <c r="T1783" i="3"/>
  <c r="T2033" i="3"/>
  <c r="U2033" i="3"/>
  <c r="U2323" i="3"/>
  <c r="T2323" i="3"/>
  <c r="U2615" i="3"/>
  <c r="T2615" i="3"/>
  <c r="T3288" i="3"/>
  <c r="U3288" i="3"/>
  <c r="T1720" i="3"/>
  <c r="U1720" i="3"/>
  <c r="U1986" i="3"/>
  <c r="T1986" i="3"/>
  <c r="U2252" i="3"/>
  <c r="T2252" i="3"/>
  <c r="U2556" i="3"/>
  <c r="T2556" i="3"/>
  <c r="U2989" i="3"/>
  <c r="T2989" i="3"/>
  <c r="U1690" i="3"/>
  <c r="T1690" i="3"/>
  <c r="U1943" i="3"/>
  <c r="T1943" i="3"/>
  <c r="U2236" i="3"/>
  <c r="T2236" i="3"/>
  <c r="T2538" i="3"/>
  <c r="U2538" i="3"/>
  <c r="U2876" i="3"/>
  <c r="T2876" i="3"/>
  <c r="T1817" i="3"/>
  <c r="U1817" i="3"/>
  <c r="U2066" i="3"/>
  <c r="T2066" i="3"/>
  <c r="T2345" i="3"/>
  <c r="U2345" i="3"/>
  <c r="U2638" i="3"/>
  <c r="T2638" i="3"/>
  <c r="U2856" i="3"/>
  <c r="T2856" i="3"/>
  <c r="U1756" i="3"/>
  <c r="T1756" i="3"/>
  <c r="U2006" i="3"/>
  <c r="T2006" i="3"/>
  <c r="T2273" i="3"/>
  <c r="U2273" i="3"/>
  <c r="T2562" i="3"/>
  <c r="U2562" i="3"/>
  <c r="T2914" i="3"/>
  <c r="U2914" i="3"/>
  <c r="U2306" i="3"/>
  <c r="T2306" i="3"/>
  <c r="U2557" i="3"/>
  <c r="T2557" i="3"/>
  <c r="U2852" i="3"/>
  <c r="T2852" i="3"/>
  <c r="U3175" i="3"/>
  <c r="T3175" i="3"/>
  <c r="U3590" i="3"/>
  <c r="T3590" i="3"/>
  <c r="U3074" i="3"/>
  <c r="T3074" i="3"/>
  <c r="U3441" i="3"/>
  <c r="T3441" i="3"/>
  <c r="U2933" i="3"/>
  <c r="T2933" i="3"/>
  <c r="U3295" i="3"/>
  <c r="T3295" i="3"/>
  <c r="U3793" i="3"/>
  <c r="T3793" i="3"/>
  <c r="U3139" i="3"/>
  <c r="T3139" i="3"/>
  <c r="T3557" i="3"/>
  <c r="U3557" i="3"/>
  <c r="U3038" i="3"/>
  <c r="T3038" i="3"/>
  <c r="U3398" i="3"/>
  <c r="T3398" i="3"/>
  <c r="U2122" i="3"/>
  <c r="T2122" i="3"/>
  <c r="U2375" i="3"/>
  <c r="T2375" i="3"/>
  <c r="U2648" i="3"/>
  <c r="T2648" i="3"/>
  <c r="U2957" i="3"/>
  <c r="T2957" i="3"/>
  <c r="U3299" i="3"/>
  <c r="T3299" i="3"/>
  <c r="T3844" i="3"/>
  <c r="U3844" i="3"/>
  <c r="T3804" i="3"/>
  <c r="U3804" i="3"/>
  <c r="U3163" i="3"/>
  <c r="T3163" i="3"/>
  <c r="U3610" i="3"/>
  <c r="T3610" i="3"/>
  <c r="U3083" i="3"/>
  <c r="T3083" i="3"/>
  <c r="U3475" i="3"/>
  <c r="T3475" i="3"/>
  <c r="U2983" i="3"/>
  <c r="T2983" i="3"/>
  <c r="U3329" i="3"/>
  <c r="T3329" i="3"/>
  <c r="U3857" i="3"/>
  <c r="T3857" i="3"/>
  <c r="T3433" i="3"/>
  <c r="U3433" i="3"/>
  <c r="U2926" i="3"/>
  <c r="T2926" i="3"/>
  <c r="U3261" i="3"/>
  <c r="T3261" i="3"/>
  <c r="U3773" i="3"/>
  <c r="T3773" i="3"/>
  <c r="U3130" i="3"/>
  <c r="T3130" i="3"/>
  <c r="U3582" i="3"/>
  <c r="T3582" i="3"/>
  <c r="U3029" i="3"/>
  <c r="T3029" i="3"/>
  <c r="T3412" i="3"/>
  <c r="U3412" i="3"/>
  <c r="U3365" i="3"/>
  <c r="T3365" i="3"/>
  <c r="U2912" i="3"/>
  <c r="T2912" i="3"/>
  <c r="U3317" i="3"/>
  <c r="T3317" i="3"/>
  <c r="U3826" i="3"/>
  <c r="T3826" i="3"/>
  <c r="U2744" i="3"/>
  <c r="T2744" i="3"/>
  <c r="U3025" i="3"/>
  <c r="T3025" i="3"/>
  <c r="T3312" i="3"/>
  <c r="U3312" i="3"/>
  <c r="U3635" i="3"/>
  <c r="T3635" i="3"/>
  <c r="T3948" i="3"/>
  <c r="U3948" i="3"/>
  <c r="T3204" i="3"/>
  <c r="U3204" i="3"/>
  <c r="T3500" i="3"/>
  <c r="U3500" i="3"/>
  <c r="T3812" i="3"/>
  <c r="U3812" i="3"/>
  <c r="U3561" i="3"/>
  <c r="T3561" i="3"/>
  <c r="T3892" i="3"/>
  <c r="U3892" i="3"/>
  <c r="U3659" i="3"/>
  <c r="T3659" i="3"/>
  <c r="T3972" i="3"/>
  <c r="U3972" i="3"/>
  <c r="U4074" i="3"/>
  <c r="T4074" i="3"/>
  <c r="U2688" i="3"/>
  <c r="T2688" i="3"/>
  <c r="U2997" i="3"/>
  <c r="T2997" i="3"/>
  <c r="U3283" i="3"/>
  <c r="T3283" i="3"/>
  <c r="U3605" i="3"/>
  <c r="T3605" i="3"/>
  <c r="U3919" i="3"/>
  <c r="T3919" i="3"/>
  <c r="U3665" i="3"/>
  <c r="T3665" i="3"/>
  <c r="U3979" i="3"/>
  <c r="T3979" i="3"/>
  <c r="U3725" i="3"/>
  <c r="T3725" i="3"/>
  <c r="U4040" i="3"/>
  <c r="T4040" i="3"/>
  <c r="U4024" i="3"/>
  <c r="T4024" i="3"/>
  <c r="U4025" i="3"/>
  <c r="T4025" i="3"/>
  <c r="U3442" i="3"/>
  <c r="T3442" i="3"/>
  <c r="U3752" i="3"/>
  <c r="T3752" i="3"/>
  <c r="U4065" i="3"/>
  <c r="T4065" i="3"/>
  <c r="T2992" i="3"/>
  <c r="U2992" i="3"/>
  <c r="U3241" i="3"/>
  <c r="T3241" i="3"/>
  <c r="U3511" i="3"/>
  <c r="T3511" i="3"/>
  <c r="U3766" i="3"/>
  <c r="T3766" i="3"/>
  <c r="U4021" i="3"/>
  <c r="T4021" i="3"/>
  <c r="U3379" i="3"/>
  <c r="T3379" i="3"/>
  <c r="U3671" i="3"/>
  <c r="T3671" i="3"/>
  <c r="U3926" i="3"/>
  <c r="T3926" i="3"/>
  <c r="T4092" i="3"/>
  <c r="U4092" i="3"/>
  <c r="T3048" i="3"/>
  <c r="U3048" i="3"/>
  <c r="T3292" i="3"/>
  <c r="U3292" i="3"/>
  <c r="U3535" i="3"/>
  <c r="T3535" i="3"/>
  <c r="U3790" i="3"/>
  <c r="T3790" i="3"/>
  <c r="U4045" i="3"/>
  <c r="T4045" i="3"/>
  <c r="U74" i="3"/>
  <c r="T74" i="3"/>
  <c r="T496" i="3"/>
  <c r="U496" i="3"/>
  <c r="T424" i="3"/>
  <c r="U424" i="3"/>
  <c r="U177" i="3"/>
  <c r="T177" i="3"/>
  <c r="U14" i="3"/>
  <c r="T14" i="3"/>
  <c r="T440" i="3"/>
  <c r="U440" i="3"/>
  <c r="U143" i="3"/>
  <c r="T143" i="3"/>
  <c r="U1397" i="3"/>
  <c r="T1397" i="3"/>
  <c r="T272" i="3"/>
  <c r="U272" i="3"/>
  <c r="T92" i="3"/>
  <c r="U92" i="3"/>
  <c r="U346" i="3"/>
  <c r="T346" i="3"/>
  <c r="U598" i="3"/>
  <c r="T598" i="3"/>
  <c r="U864" i="3"/>
  <c r="T864" i="3"/>
  <c r="U1162" i="3"/>
  <c r="T1162" i="3"/>
  <c r="U1443" i="3"/>
  <c r="T1443" i="3"/>
  <c r="U299" i="3"/>
  <c r="T299" i="3"/>
  <c r="T552" i="3"/>
  <c r="U552" i="3"/>
  <c r="U830" i="3"/>
  <c r="T830" i="3"/>
  <c r="U1109" i="3"/>
  <c r="T1109" i="3"/>
  <c r="U1391" i="3"/>
  <c r="T1391" i="3"/>
  <c r="U2532" i="3"/>
  <c r="T2532" i="3"/>
  <c r="T508" i="3"/>
  <c r="U508" i="3"/>
  <c r="U764" i="3"/>
  <c r="T764" i="3"/>
  <c r="U1039" i="3"/>
  <c r="T1039" i="3"/>
  <c r="T1326" i="3"/>
  <c r="U1326" i="3"/>
  <c r="U1866" i="3"/>
  <c r="T1866" i="3"/>
  <c r="U445" i="3"/>
  <c r="T445" i="3"/>
  <c r="U696" i="3"/>
  <c r="T696" i="3"/>
  <c r="U988" i="3"/>
  <c r="T988" i="3"/>
  <c r="T1310" i="3"/>
  <c r="U1310" i="3"/>
  <c r="U1874" i="3"/>
  <c r="T1874" i="3"/>
  <c r="U430" i="3"/>
  <c r="T430" i="3"/>
  <c r="U697" i="3"/>
  <c r="T697" i="3"/>
  <c r="U971" i="3"/>
  <c r="T971" i="3"/>
  <c r="U1256" i="3"/>
  <c r="T1256" i="3"/>
  <c r="U1655" i="3"/>
  <c r="T1655" i="3"/>
  <c r="U113" i="3"/>
  <c r="T113" i="3"/>
  <c r="U367" i="3"/>
  <c r="T367" i="3"/>
  <c r="U619" i="3"/>
  <c r="T619" i="3"/>
  <c r="U903" i="3"/>
  <c r="T903" i="3"/>
  <c r="U1185" i="3"/>
  <c r="T1185" i="3"/>
  <c r="U1467" i="3"/>
  <c r="T1467" i="3"/>
  <c r="U1803" i="3"/>
  <c r="T1803" i="3"/>
  <c r="U417" i="3"/>
  <c r="T417" i="3"/>
  <c r="U684" i="3"/>
  <c r="T684" i="3"/>
  <c r="U992" i="3"/>
  <c r="T992" i="3"/>
  <c r="T1278" i="3"/>
  <c r="U1278" i="3"/>
  <c r="U1733" i="3"/>
  <c r="T1733" i="3"/>
  <c r="U402" i="3"/>
  <c r="T402" i="3"/>
  <c r="U653" i="3"/>
  <c r="T653" i="3"/>
  <c r="U941" i="3"/>
  <c r="T941" i="3"/>
  <c r="U1225" i="3"/>
  <c r="T1225" i="3"/>
  <c r="U1614" i="3"/>
  <c r="T1614" i="3"/>
  <c r="U371" i="3"/>
  <c r="T371" i="3"/>
  <c r="U622" i="3"/>
  <c r="T622" i="3"/>
  <c r="U891" i="3"/>
  <c r="T891" i="3"/>
  <c r="U1190" i="3"/>
  <c r="T1190" i="3"/>
  <c r="T1504" i="3"/>
  <c r="U1504" i="3"/>
  <c r="T340" i="3"/>
  <c r="U340" i="3"/>
  <c r="T592" i="3"/>
  <c r="U592" i="3"/>
  <c r="U856" i="3"/>
  <c r="T856" i="3"/>
  <c r="U1156" i="3"/>
  <c r="T1156" i="3"/>
  <c r="T1454" i="3"/>
  <c r="U1454" i="3"/>
  <c r="U293" i="3"/>
  <c r="T293" i="3"/>
  <c r="U546" i="3"/>
  <c r="T546" i="3"/>
  <c r="U808" i="3"/>
  <c r="T808" i="3"/>
  <c r="U1085" i="3"/>
  <c r="T1085" i="3"/>
  <c r="U1369" i="3"/>
  <c r="T1369" i="3"/>
  <c r="U2336" i="3"/>
  <c r="T2336" i="3"/>
  <c r="U486" i="3"/>
  <c r="T486" i="3"/>
  <c r="U757" i="3"/>
  <c r="T757" i="3"/>
  <c r="U1033" i="3"/>
  <c r="T1033" i="3"/>
  <c r="U1335" i="3"/>
  <c r="T1335" i="3"/>
  <c r="T1945" i="3"/>
  <c r="U1945" i="3"/>
  <c r="U439" i="3"/>
  <c r="T439" i="3"/>
  <c r="U706" i="3"/>
  <c r="T706" i="3"/>
  <c r="U981" i="3"/>
  <c r="T981" i="3"/>
  <c r="U1267" i="3"/>
  <c r="T1267" i="3"/>
  <c r="U1692" i="3"/>
  <c r="T1692" i="3"/>
  <c r="U2364" i="3"/>
  <c r="T2364" i="3"/>
  <c r="U489" i="3"/>
  <c r="T489" i="3"/>
  <c r="U742" i="3"/>
  <c r="T742" i="3"/>
  <c r="U1019" i="3"/>
  <c r="T1019" i="3"/>
  <c r="U1305" i="3"/>
  <c r="T1305" i="3"/>
  <c r="U1765" i="3"/>
  <c r="T1765" i="3"/>
  <c r="U844" i="3"/>
  <c r="T844" i="3"/>
  <c r="U1088" i="3"/>
  <c r="T1088" i="3"/>
  <c r="U1337" i="3"/>
  <c r="T1337" i="3"/>
  <c r="U1585" i="3"/>
  <c r="T1585" i="3"/>
  <c r="U1836" i="3"/>
  <c r="T1836" i="3"/>
  <c r="U2084" i="3"/>
  <c r="T2084" i="3"/>
  <c r="U2366" i="3"/>
  <c r="T2366" i="3"/>
  <c r="U2661" i="3"/>
  <c r="T2661" i="3"/>
  <c r="U1507" i="3"/>
  <c r="T1507" i="3"/>
  <c r="U1774" i="3"/>
  <c r="T1774" i="3"/>
  <c r="U2024" i="3"/>
  <c r="T2024" i="3"/>
  <c r="U2331" i="3"/>
  <c r="T2331" i="3"/>
  <c r="U2623" i="3"/>
  <c r="T2623" i="3"/>
  <c r="U1492" i="3"/>
  <c r="T1492" i="3"/>
  <c r="U1743" i="3"/>
  <c r="T1743" i="3"/>
  <c r="T1993" i="3"/>
  <c r="U1993" i="3"/>
  <c r="U2260" i="3"/>
  <c r="T2260" i="3"/>
  <c r="U2585" i="3"/>
  <c r="T2585" i="3"/>
  <c r="T3192" i="3"/>
  <c r="U3192" i="3"/>
  <c r="T1712" i="3"/>
  <c r="U1712" i="3"/>
  <c r="U1994" i="3"/>
  <c r="T1994" i="3"/>
  <c r="U2278" i="3"/>
  <c r="T2278" i="3"/>
  <c r="U2567" i="3"/>
  <c r="T2567" i="3"/>
  <c r="U2939" i="3"/>
  <c r="T2939" i="3"/>
  <c r="U1713" i="3"/>
  <c r="T1713" i="3"/>
  <c r="U1964" i="3"/>
  <c r="T1964" i="3"/>
  <c r="U2226" i="3"/>
  <c r="T2226" i="3"/>
  <c r="T2530" i="3"/>
  <c r="U2530" i="3"/>
  <c r="U2888" i="3"/>
  <c r="T2888" i="3"/>
  <c r="U968" i="3"/>
  <c r="T968" i="3"/>
  <c r="U1234" i="3"/>
  <c r="T1234" i="3"/>
  <c r="U1495" i="3"/>
  <c r="T1495" i="3"/>
  <c r="U1746" i="3"/>
  <c r="T1746" i="3"/>
  <c r="U2012" i="3"/>
  <c r="T2012" i="3"/>
  <c r="U2299" i="3"/>
  <c r="T2299" i="3"/>
  <c r="U2607" i="3"/>
  <c r="T2607" i="3"/>
  <c r="U2867" i="3"/>
  <c r="T2867" i="3"/>
  <c r="U1780" i="3"/>
  <c r="T1780" i="3"/>
  <c r="U2046" i="3"/>
  <c r="T2046" i="3"/>
  <c r="T2337" i="3"/>
  <c r="U2337" i="3"/>
  <c r="U2670" i="3"/>
  <c r="T2670" i="3"/>
  <c r="U1907" i="3"/>
  <c r="T1907" i="3"/>
  <c r="U2158" i="3"/>
  <c r="T2158" i="3"/>
  <c r="U2446" i="3"/>
  <c r="T2446" i="3"/>
  <c r="U2755" i="3"/>
  <c r="T2755" i="3"/>
  <c r="T1861" i="3"/>
  <c r="U1861" i="3"/>
  <c r="U2107" i="3"/>
  <c r="T2107" i="3"/>
  <c r="U2395" i="3"/>
  <c r="T2395" i="3"/>
  <c r="T2714" i="3"/>
  <c r="U2714" i="3"/>
  <c r="U1547" i="3"/>
  <c r="T1547" i="3"/>
  <c r="U1799" i="3"/>
  <c r="T1799" i="3"/>
  <c r="T2049" i="3"/>
  <c r="U2049" i="3"/>
  <c r="U2341" i="3"/>
  <c r="T2341" i="3"/>
  <c r="U2636" i="3"/>
  <c r="T2636" i="3"/>
  <c r="U1485" i="3"/>
  <c r="T1485" i="3"/>
  <c r="T1736" i="3"/>
  <c r="U1736" i="3"/>
  <c r="U2002" i="3"/>
  <c r="T2002" i="3"/>
  <c r="U2269" i="3"/>
  <c r="T2269" i="3"/>
  <c r="U2576" i="3"/>
  <c r="T2576" i="3"/>
  <c r="U3122" i="3"/>
  <c r="T3122" i="3"/>
  <c r="U1705" i="3"/>
  <c r="T1705" i="3"/>
  <c r="U1957" i="3"/>
  <c r="T1957" i="3"/>
  <c r="U2253" i="3"/>
  <c r="T2253" i="3"/>
  <c r="U2558" i="3"/>
  <c r="T2558" i="3"/>
  <c r="U2904" i="3"/>
  <c r="T2904" i="3"/>
  <c r="T1833" i="3"/>
  <c r="U1833" i="3"/>
  <c r="T2081" i="3"/>
  <c r="U2081" i="3"/>
  <c r="U2363" i="3"/>
  <c r="T2363" i="3"/>
  <c r="U2657" i="3"/>
  <c r="T2657" i="3"/>
  <c r="U2879" i="3"/>
  <c r="T2879" i="3"/>
  <c r="U1772" i="3"/>
  <c r="T1772" i="3"/>
  <c r="U2022" i="3"/>
  <c r="T2022" i="3"/>
  <c r="U2292" i="3"/>
  <c r="T2292" i="3"/>
  <c r="U2582" i="3"/>
  <c r="T2582" i="3"/>
  <c r="T3020" i="3"/>
  <c r="U3020" i="3"/>
  <c r="U2322" i="3"/>
  <c r="T2322" i="3"/>
  <c r="U2574" i="3"/>
  <c r="T2574" i="3"/>
  <c r="U2872" i="3"/>
  <c r="T2872" i="3"/>
  <c r="U3195" i="3"/>
  <c r="T3195" i="3"/>
  <c r="U3630" i="3"/>
  <c r="T3630" i="3"/>
  <c r="U3095" i="3"/>
  <c r="T3095" i="3"/>
  <c r="U3466" i="3"/>
  <c r="T3466" i="3"/>
  <c r="T2954" i="3"/>
  <c r="U2954" i="3"/>
  <c r="T3320" i="3"/>
  <c r="U3320" i="3"/>
  <c r="U3838" i="3"/>
  <c r="T3838" i="3"/>
  <c r="U3159" i="3"/>
  <c r="T3159" i="3"/>
  <c r="U3597" i="3"/>
  <c r="T3597" i="3"/>
  <c r="U3058" i="3"/>
  <c r="T3058" i="3"/>
  <c r="U3421" i="3"/>
  <c r="T3421" i="3"/>
  <c r="T2137" i="3"/>
  <c r="U2137" i="3"/>
  <c r="U2391" i="3"/>
  <c r="T2391" i="3"/>
  <c r="T2666" i="3"/>
  <c r="U2666" i="3"/>
  <c r="U2978" i="3"/>
  <c r="T2978" i="3"/>
  <c r="U3325" i="3"/>
  <c r="T3325" i="3"/>
  <c r="U3890" i="3"/>
  <c r="T3890" i="3"/>
  <c r="U3847" i="3"/>
  <c r="T3847" i="3"/>
  <c r="U3183" i="3"/>
  <c r="T3183" i="3"/>
  <c r="U3649" i="3"/>
  <c r="T3649" i="3"/>
  <c r="T3104" i="3"/>
  <c r="U3104" i="3"/>
  <c r="U3502" i="3"/>
  <c r="T3502" i="3"/>
  <c r="U3003" i="3"/>
  <c r="T3003" i="3"/>
  <c r="U3358" i="3"/>
  <c r="T3358" i="3"/>
  <c r="U3903" i="3"/>
  <c r="T3903" i="3"/>
  <c r="U3455" i="3"/>
  <c r="T3455" i="3"/>
  <c r="U2944" i="3"/>
  <c r="T2944" i="3"/>
  <c r="U3282" i="3"/>
  <c r="T3282" i="3"/>
  <c r="U3818" i="3"/>
  <c r="T3818" i="3"/>
  <c r="U3151" i="3"/>
  <c r="T3151" i="3"/>
  <c r="T3621" i="3"/>
  <c r="U3621" i="3"/>
  <c r="U3050" i="3"/>
  <c r="T3050" i="3"/>
  <c r="U3436" i="3"/>
  <c r="T3436" i="3"/>
  <c r="U3390" i="3"/>
  <c r="T3390" i="3"/>
  <c r="U2929" i="3"/>
  <c r="T2929" i="3"/>
  <c r="U3341" i="3"/>
  <c r="T3341" i="3"/>
  <c r="U3875" i="3"/>
  <c r="T3875" i="3"/>
  <c r="U2760" i="3"/>
  <c r="T2760" i="3"/>
  <c r="U3043" i="3"/>
  <c r="T3043" i="3"/>
  <c r="U3333" i="3"/>
  <c r="T3333" i="3"/>
  <c r="U3654" i="3"/>
  <c r="T3654" i="3"/>
  <c r="U3968" i="3"/>
  <c r="T3968" i="3"/>
  <c r="U3223" i="3"/>
  <c r="T3223" i="3"/>
  <c r="U3520" i="3"/>
  <c r="T3520" i="3"/>
  <c r="U3833" i="3"/>
  <c r="T3833" i="3"/>
  <c r="T3580" i="3"/>
  <c r="U3580" i="3"/>
  <c r="U3913" i="3"/>
  <c r="T3913" i="3"/>
  <c r="U3679" i="3"/>
  <c r="T3679" i="3"/>
  <c r="U3993" i="3"/>
  <c r="T3993" i="3"/>
  <c r="U3977" i="3"/>
  <c r="T3977" i="3"/>
  <c r="U2704" i="3"/>
  <c r="T2704" i="3"/>
  <c r="U3015" i="3"/>
  <c r="T3015" i="3"/>
  <c r="T3304" i="3"/>
  <c r="U3304" i="3"/>
  <c r="U3626" i="3"/>
  <c r="T3626" i="3"/>
  <c r="U3938" i="3"/>
  <c r="T3938" i="3"/>
  <c r="T3684" i="3"/>
  <c r="U3684" i="3"/>
  <c r="U3999" i="3"/>
  <c r="T3999" i="3"/>
  <c r="U3745" i="3"/>
  <c r="T3745" i="3"/>
  <c r="U4059" i="3"/>
  <c r="T4059" i="3"/>
  <c r="U4043" i="3"/>
  <c r="T4043" i="3"/>
  <c r="T4044" i="3"/>
  <c r="U4044" i="3"/>
  <c r="U3459" i="3"/>
  <c r="T3459" i="3"/>
  <c r="U3771" i="3"/>
  <c r="T3771" i="3"/>
  <c r="T4084" i="3"/>
  <c r="U4084" i="3"/>
  <c r="T3008" i="3"/>
  <c r="U3008" i="3"/>
  <c r="T3284" i="3"/>
  <c r="U3284" i="3"/>
  <c r="U3527" i="3"/>
  <c r="T3527" i="3"/>
  <c r="U3782" i="3"/>
  <c r="T3782" i="3"/>
  <c r="U4037" i="3"/>
  <c r="T4037" i="3"/>
  <c r="U3423" i="3"/>
  <c r="T3423" i="3"/>
  <c r="U3687" i="3"/>
  <c r="T3687" i="3"/>
  <c r="U3942" i="3"/>
  <c r="T3942" i="3"/>
  <c r="U2783" i="3"/>
  <c r="T2783" i="3"/>
  <c r="U3063" i="3"/>
  <c r="T3063" i="3"/>
  <c r="T3308" i="3"/>
  <c r="U3308" i="3"/>
  <c r="U3551" i="3"/>
  <c r="T3551" i="3"/>
  <c r="T3805" i="3"/>
  <c r="U3805" i="3"/>
  <c r="U4061" i="3"/>
  <c r="T4061" i="3"/>
  <c r="T580" i="3"/>
  <c r="U580" i="3"/>
  <c r="U669" i="3"/>
  <c r="T669" i="3"/>
  <c r="U1671" i="3"/>
  <c r="T1671" i="3"/>
  <c r="U638" i="3"/>
  <c r="T638" i="3"/>
  <c r="U1208" i="3"/>
  <c r="T1208" i="3"/>
  <c r="T608" i="3"/>
  <c r="U608" i="3"/>
  <c r="U1174" i="3"/>
  <c r="T1174" i="3"/>
  <c r="T1472" i="3"/>
  <c r="U1472" i="3"/>
  <c r="U309" i="3"/>
  <c r="T309" i="3"/>
  <c r="U824" i="3"/>
  <c r="T824" i="3"/>
  <c r="U1102" i="3"/>
  <c r="T1102" i="3"/>
  <c r="U1403" i="3"/>
  <c r="T1403" i="3"/>
  <c r="U2630" i="3"/>
  <c r="T2630" i="3"/>
  <c r="U502" i="3"/>
  <c r="T502" i="3"/>
  <c r="U775" i="3"/>
  <c r="T775" i="3"/>
  <c r="U1050" i="3"/>
  <c r="T1050" i="3"/>
  <c r="T1354" i="3"/>
  <c r="U1354" i="3"/>
  <c r="U2067" i="3"/>
  <c r="T2067" i="3"/>
  <c r="U455" i="3"/>
  <c r="T455" i="3"/>
  <c r="U722" i="3"/>
  <c r="T722" i="3"/>
  <c r="U998" i="3"/>
  <c r="T998" i="3"/>
  <c r="U1285" i="3"/>
  <c r="T1285" i="3"/>
  <c r="U1755" i="3"/>
  <c r="T1755" i="3"/>
  <c r="U2505" i="3"/>
  <c r="T2505" i="3"/>
  <c r="U505" i="3"/>
  <c r="T505" i="3"/>
  <c r="U761" i="3"/>
  <c r="T761" i="3"/>
  <c r="U1036" i="3"/>
  <c r="T1036" i="3"/>
  <c r="T1322" i="3"/>
  <c r="U1322" i="3"/>
  <c r="T1850" i="3"/>
  <c r="U1850" i="3"/>
  <c r="U858" i="3"/>
  <c r="T858" i="3"/>
  <c r="U1103" i="3"/>
  <c r="T1103" i="3"/>
  <c r="U1353" i="3"/>
  <c r="T1353" i="3"/>
  <c r="U1601" i="3"/>
  <c r="T1601" i="3"/>
  <c r="U1852" i="3"/>
  <c r="T1852" i="3"/>
  <c r="U2098" i="3"/>
  <c r="T2098" i="3"/>
  <c r="U2384" i="3"/>
  <c r="T2384" i="3"/>
  <c r="T2682" i="3"/>
  <c r="U2682" i="3"/>
  <c r="U1523" i="3"/>
  <c r="T1523" i="3"/>
  <c r="U1790" i="3"/>
  <c r="T1790" i="3"/>
  <c r="U2040" i="3"/>
  <c r="T2040" i="3"/>
  <c r="U2349" i="3"/>
  <c r="T2349" i="3"/>
  <c r="U2643" i="3"/>
  <c r="T2643" i="3"/>
  <c r="U1508" i="3"/>
  <c r="T1508" i="3"/>
  <c r="U1759" i="3"/>
  <c r="T1759" i="3"/>
  <c r="T2009" i="3"/>
  <c r="U2009" i="3"/>
  <c r="U2277" i="3"/>
  <c r="T2277" i="3"/>
  <c r="U2604" i="3"/>
  <c r="T2604" i="3"/>
  <c r="U1477" i="3"/>
  <c r="T1477" i="3"/>
  <c r="T1728" i="3"/>
  <c r="U1728" i="3"/>
  <c r="U2010" i="3"/>
  <c r="T2010" i="3"/>
  <c r="T2297" i="3"/>
  <c r="U2297" i="3"/>
  <c r="T2586" i="3"/>
  <c r="U2586" i="3"/>
  <c r="U3046" i="3"/>
  <c r="T3046" i="3"/>
  <c r="U1729" i="3"/>
  <c r="T1729" i="3"/>
  <c r="U1980" i="3"/>
  <c r="T1980" i="3"/>
  <c r="U2245" i="3"/>
  <c r="T2245" i="3"/>
  <c r="U2548" i="3"/>
  <c r="T2548" i="3"/>
  <c r="U2943" i="3"/>
  <c r="T2943" i="3"/>
  <c r="U984" i="3"/>
  <c r="T984" i="3"/>
  <c r="U1249" i="3"/>
  <c r="T1249" i="3"/>
  <c r="U1511" i="3"/>
  <c r="T1511" i="3"/>
  <c r="U1762" i="3"/>
  <c r="T1762" i="3"/>
  <c r="U2028" i="3"/>
  <c r="T2028" i="3"/>
  <c r="U2317" i="3"/>
  <c r="T2317" i="3"/>
  <c r="U2629" i="3"/>
  <c r="T2629" i="3"/>
  <c r="T2890" i="3"/>
  <c r="U2890" i="3"/>
  <c r="U1796" i="3"/>
  <c r="T1796" i="3"/>
  <c r="U2061" i="3"/>
  <c r="T2061" i="3"/>
  <c r="U2356" i="3"/>
  <c r="T2356" i="3"/>
  <c r="U2691" i="3"/>
  <c r="T2691" i="3"/>
  <c r="U1923" i="3"/>
  <c r="T1923" i="3"/>
  <c r="U2176" i="3"/>
  <c r="T2176" i="3"/>
  <c r="U2464" i="3"/>
  <c r="T2464" i="3"/>
  <c r="U2777" i="3"/>
  <c r="T2777" i="3"/>
  <c r="T1877" i="3"/>
  <c r="U1877" i="3"/>
  <c r="U2124" i="3"/>
  <c r="T2124" i="3"/>
  <c r="U2413" i="3"/>
  <c r="T2413" i="3"/>
  <c r="U2735" i="3"/>
  <c r="T2735" i="3"/>
  <c r="U1563" i="3"/>
  <c r="T1563" i="3"/>
  <c r="U1814" i="3"/>
  <c r="T1814" i="3"/>
  <c r="U2064" i="3"/>
  <c r="T2064" i="3"/>
  <c r="U2360" i="3"/>
  <c r="T2360" i="3"/>
  <c r="U2653" i="3"/>
  <c r="T2653" i="3"/>
  <c r="U1501" i="3"/>
  <c r="T1501" i="3"/>
  <c r="T1752" i="3"/>
  <c r="U1752" i="3"/>
  <c r="U2018" i="3"/>
  <c r="T2018" i="3"/>
  <c r="U2287" i="3"/>
  <c r="T2287" i="3"/>
  <c r="U2595" i="3"/>
  <c r="T2595" i="3"/>
  <c r="U3302" i="3"/>
  <c r="T3302" i="3"/>
  <c r="U1721" i="3"/>
  <c r="T1721" i="3"/>
  <c r="U1972" i="3"/>
  <c r="T1972" i="3"/>
  <c r="U2270" i="3"/>
  <c r="T2270" i="3"/>
  <c r="U2577" i="3"/>
  <c r="T2577" i="3"/>
  <c r="U2999" i="3"/>
  <c r="T2999" i="3"/>
  <c r="U1849" i="3"/>
  <c r="T1849" i="3"/>
  <c r="U2095" i="3"/>
  <c r="T2095" i="3"/>
  <c r="U2381" i="3"/>
  <c r="T2381" i="3"/>
  <c r="U2677" i="3"/>
  <c r="T2677" i="3"/>
  <c r="U2910" i="3"/>
  <c r="T2910" i="3"/>
  <c r="U1788" i="3"/>
  <c r="T1788" i="3"/>
  <c r="U2038" i="3"/>
  <c r="T2038" i="3"/>
  <c r="U2310" i="3"/>
  <c r="T2310" i="3"/>
  <c r="U2600" i="3"/>
  <c r="T2600" i="3"/>
  <c r="U3162" i="3"/>
  <c r="T3162" i="3"/>
  <c r="U2338" i="3"/>
  <c r="T2338" i="3"/>
  <c r="U2591" i="3"/>
  <c r="T2591" i="3"/>
  <c r="U2891" i="3"/>
  <c r="T2891" i="3"/>
  <c r="U3217" i="3"/>
  <c r="T3217" i="3"/>
  <c r="T3668" i="3"/>
  <c r="U3668" i="3"/>
  <c r="T3116" i="3"/>
  <c r="U3116" i="3"/>
  <c r="U3490" i="3"/>
  <c r="T3490" i="3"/>
  <c r="U2974" i="3"/>
  <c r="T2974" i="3"/>
  <c r="U3345" i="3"/>
  <c r="T3345" i="3"/>
  <c r="U3883" i="3"/>
  <c r="T3883" i="3"/>
  <c r="U3178" i="3"/>
  <c r="T3178" i="3"/>
  <c r="T3636" i="3"/>
  <c r="U3636" i="3"/>
  <c r="U3079" i="3"/>
  <c r="T3079" i="3"/>
  <c r="U3447" i="3"/>
  <c r="T3447" i="3"/>
  <c r="T2153" i="3"/>
  <c r="U2153" i="3"/>
  <c r="U2407" i="3"/>
  <c r="T2407" i="3"/>
  <c r="U2684" i="3"/>
  <c r="T2684" i="3"/>
  <c r="U2998" i="3"/>
  <c r="T2998" i="3"/>
  <c r="U3350" i="3"/>
  <c r="T3350" i="3"/>
  <c r="U3943" i="3"/>
  <c r="T3943" i="3"/>
  <c r="U3896" i="3"/>
  <c r="T3896" i="3"/>
  <c r="U3205" i="3"/>
  <c r="T3205" i="3"/>
  <c r="U3688" i="3"/>
  <c r="T3688" i="3"/>
  <c r="U3125" i="3"/>
  <c r="T3125" i="3"/>
  <c r="T3532" i="3"/>
  <c r="U3532" i="3"/>
  <c r="U3023" i="3"/>
  <c r="T3023" i="3"/>
  <c r="U3383" i="3"/>
  <c r="T3383" i="3"/>
  <c r="U3955" i="3"/>
  <c r="T3955" i="3"/>
  <c r="U3479" i="3"/>
  <c r="T3479" i="3"/>
  <c r="U2965" i="3"/>
  <c r="T2965" i="3"/>
  <c r="U3309" i="3"/>
  <c r="T3309" i="3"/>
  <c r="U3864" i="3"/>
  <c r="T3864" i="3"/>
  <c r="U3170" i="3"/>
  <c r="T3170" i="3"/>
  <c r="T3660" i="3"/>
  <c r="U3660" i="3"/>
  <c r="U3069" i="3"/>
  <c r="T3069" i="3"/>
  <c r="U3458" i="3"/>
  <c r="T3458" i="3"/>
  <c r="U3413" i="3"/>
  <c r="T3413" i="3"/>
  <c r="U2949" i="3"/>
  <c r="T2949" i="3"/>
  <c r="U3366" i="3"/>
  <c r="T3366" i="3"/>
  <c r="U3922" i="3"/>
  <c r="T3922" i="3"/>
  <c r="U2776" i="3"/>
  <c r="T2776" i="3"/>
  <c r="T3060" i="3"/>
  <c r="U3060" i="3"/>
  <c r="T3352" i="3"/>
  <c r="U3352" i="3"/>
  <c r="U3674" i="3"/>
  <c r="T3674" i="3"/>
  <c r="U3987" i="3"/>
  <c r="T3987" i="3"/>
  <c r="U3243" i="3"/>
  <c r="T3243" i="3"/>
  <c r="U3539" i="3"/>
  <c r="T3539" i="3"/>
  <c r="T3852" i="3"/>
  <c r="U3852" i="3"/>
  <c r="U3600" i="3"/>
  <c r="T3600" i="3"/>
  <c r="T3932" i="3"/>
  <c r="U3932" i="3"/>
  <c r="U3698" i="3"/>
  <c r="T3698" i="3"/>
  <c r="T4012" i="3"/>
  <c r="U4012" i="3"/>
  <c r="T3996" i="3"/>
  <c r="U3996" i="3"/>
  <c r="U2720" i="3"/>
  <c r="T2720" i="3"/>
  <c r="T3034" i="3"/>
  <c r="U3034" i="3"/>
  <c r="U3322" i="3"/>
  <c r="T3322" i="3"/>
  <c r="U3645" i="3"/>
  <c r="T3645" i="3"/>
  <c r="U3959" i="3"/>
  <c r="T3959" i="3"/>
  <c r="U3705" i="3"/>
  <c r="T3705" i="3"/>
  <c r="U4018" i="3"/>
  <c r="T4018" i="3"/>
  <c r="T3764" i="3"/>
  <c r="U3764" i="3"/>
  <c r="U4079" i="3"/>
  <c r="T4079" i="3"/>
  <c r="U4063" i="3"/>
  <c r="T4063" i="3"/>
  <c r="U4064" i="3"/>
  <c r="T4064" i="3"/>
  <c r="U3477" i="3"/>
  <c r="T3477" i="3"/>
  <c r="U3791" i="3"/>
  <c r="T3791" i="3"/>
  <c r="U2775" i="3"/>
  <c r="T2775" i="3"/>
  <c r="T3024" i="3"/>
  <c r="U3024" i="3"/>
  <c r="T3300" i="3"/>
  <c r="U3300" i="3"/>
  <c r="U3543" i="3"/>
  <c r="T3543" i="3"/>
  <c r="U3798" i="3"/>
  <c r="T3798" i="3"/>
  <c r="U4053" i="3"/>
  <c r="T4053" i="3"/>
  <c r="U3451" i="3"/>
  <c r="T3451" i="3"/>
  <c r="U3703" i="3"/>
  <c r="T3703" i="3"/>
  <c r="U3958" i="3"/>
  <c r="T3958" i="3"/>
  <c r="U2799" i="3"/>
  <c r="T2799" i="3"/>
  <c r="U3078" i="3"/>
  <c r="T3078" i="3"/>
  <c r="U3323" i="3"/>
  <c r="T3323" i="3"/>
  <c r="U3567" i="3"/>
  <c r="T3567" i="3"/>
  <c r="U3821" i="3"/>
  <c r="T3821" i="3"/>
  <c r="U4077" i="3"/>
  <c r="T4077" i="3"/>
  <c r="T180" i="3"/>
  <c r="U180" i="3"/>
  <c r="U149" i="3"/>
  <c r="T149" i="3"/>
  <c r="U6" i="3"/>
  <c r="T6" i="3"/>
  <c r="T108" i="3"/>
  <c r="U108" i="3"/>
  <c r="U781" i="3"/>
  <c r="T781" i="3"/>
  <c r="U1997" i="3"/>
  <c r="T1997" i="3"/>
  <c r="U1718" i="3"/>
  <c r="T1718" i="3"/>
  <c r="U1296" i="3"/>
  <c r="T1296" i="3"/>
  <c r="U418" i="3"/>
  <c r="T418" i="3"/>
  <c r="U1243" i="3"/>
  <c r="T1243" i="3"/>
  <c r="U387" i="3"/>
  <c r="T387" i="3"/>
  <c r="U907" i="3"/>
  <c r="T907" i="3"/>
  <c r="T356" i="3"/>
  <c r="U356" i="3"/>
  <c r="U874" i="3"/>
  <c r="T874" i="3"/>
  <c r="U562" i="3"/>
  <c r="T562" i="3"/>
  <c r="T144" i="3"/>
  <c r="U144" i="3"/>
  <c r="U117" i="3"/>
  <c r="T117" i="3"/>
  <c r="U37" i="3"/>
  <c r="T37" i="3"/>
  <c r="T596" i="3"/>
  <c r="U596" i="3"/>
  <c r="T480" i="3"/>
  <c r="U480" i="3"/>
  <c r="T184" i="3"/>
  <c r="U184" i="3"/>
  <c r="U58" i="3"/>
  <c r="T58" i="3"/>
  <c r="U750" i="3"/>
  <c r="T750" i="3"/>
  <c r="U186" i="3"/>
  <c r="T186" i="3"/>
  <c r="U24" i="3"/>
  <c r="T24" i="3"/>
  <c r="U635" i="3"/>
  <c r="T635" i="3"/>
  <c r="U190" i="3"/>
  <c r="T190" i="3"/>
  <c r="U27" i="3"/>
  <c r="T27" i="3"/>
  <c r="U535" i="3"/>
  <c r="T535" i="3"/>
  <c r="U174" i="3"/>
  <c r="T174" i="3"/>
  <c r="U48" i="3"/>
  <c r="T48" i="3"/>
  <c r="U675" i="3"/>
  <c r="T675" i="3"/>
  <c r="U213" i="3"/>
  <c r="T213" i="3"/>
  <c r="U51" i="3"/>
  <c r="T51" i="3"/>
  <c r="U691" i="3"/>
  <c r="T691" i="3"/>
  <c r="U179" i="3"/>
  <c r="T179" i="3"/>
  <c r="U18" i="3"/>
  <c r="T18" i="3"/>
  <c r="T464" i="3"/>
  <c r="U464" i="3"/>
  <c r="T124" i="3"/>
  <c r="U124" i="3"/>
  <c r="U378" i="3"/>
  <c r="T378" i="3"/>
  <c r="U629" i="3"/>
  <c r="T629" i="3"/>
  <c r="U914" i="3"/>
  <c r="T914" i="3"/>
  <c r="U1198" i="3"/>
  <c r="T1198" i="3"/>
  <c r="U1483" i="3"/>
  <c r="T1483" i="3"/>
  <c r="U331" i="3"/>
  <c r="T331" i="3"/>
  <c r="U583" i="3"/>
  <c r="T583" i="3"/>
  <c r="U865" i="3"/>
  <c r="T865" i="3"/>
  <c r="U1145" i="3"/>
  <c r="T1145" i="3"/>
  <c r="U1427" i="3"/>
  <c r="T1427" i="3"/>
  <c r="T284" i="3"/>
  <c r="U284" i="3"/>
  <c r="U539" i="3"/>
  <c r="T539" i="3"/>
  <c r="U798" i="3"/>
  <c r="T798" i="3"/>
  <c r="U1075" i="3"/>
  <c r="T1075" i="3"/>
  <c r="U1360" i="3"/>
  <c r="T1360" i="3"/>
  <c r="U2112" i="3"/>
  <c r="T2112" i="3"/>
  <c r="U477" i="3"/>
  <c r="T477" i="3"/>
  <c r="U730" i="3"/>
  <c r="T730" i="3"/>
  <c r="U1058" i="3"/>
  <c r="T1058" i="3"/>
  <c r="U1361" i="3"/>
  <c r="T1361" i="3"/>
  <c r="T2121" i="3"/>
  <c r="U2121" i="3"/>
  <c r="U462" i="3"/>
  <c r="T462" i="3"/>
  <c r="U731" i="3"/>
  <c r="T731" i="3"/>
  <c r="U1006" i="3"/>
  <c r="T1006" i="3"/>
  <c r="U1293" i="3"/>
  <c r="T1293" i="3"/>
  <c r="U1795" i="3"/>
  <c r="T1795" i="3"/>
  <c r="U145" i="3"/>
  <c r="T145" i="3"/>
  <c r="U399" i="3"/>
  <c r="T399" i="3"/>
  <c r="U650" i="3"/>
  <c r="T650" i="3"/>
  <c r="U937" i="3"/>
  <c r="T937" i="3"/>
  <c r="U1222" i="3"/>
  <c r="T1222" i="3"/>
  <c r="U1531" i="3"/>
  <c r="T1531" i="3"/>
  <c r="U2021" i="3"/>
  <c r="T2021" i="3"/>
  <c r="U449" i="3"/>
  <c r="T449" i="3"/>
  <c r="U716" i="3"/>
  <c r="T716" i="3"/>
  <c r="U1027" i="3"/>
  <c r="T1027" i="3"/>
  <c r="U1315" i="3"/>
  <c r="T1315" i="3"/>
  <c r="T1905" i="3"/>
  <c r="U1905" i="3"/>
  <c r="U434" i="3"/>
  <c r="T434" i="3"/>
  <c r="U685" i="3"/>
  <c r="T685" i="3"/>
  <c r="U975" i="3"/>
  <c r="T975" i="3"/>
  <c r="U1261" i="3"/>
  <c r="T1261" i="3"/>
  <c r="U1734" i="3"/>
  <c r="T1734" i="3"/>
  <c r="U403" i="3"/>
  <c r="T403" i="3"/>
  <c r="U654" i="3"/>
  <c r="T654" i="3"/>
  <c r="U924" i="3"/>
  <c r="T924" i="3"/>
  <c r="U1226" i="3"/>
  <c r="T1226" i="3"/>
  <c r="U1577" i="3"/>
  <c r="T1577" i="3"/>
  <c r="T372" i="3"/>
  <c r="U372" i="3"/>
  <c r="U623" i="3"/>
  <c r="T623" i="3"/>
  <c r="U892" i="3"/>
  <c r="T892" i="3"/>
  <c r="U1191" i="3"/>
  <c r="T1191" i="3"/>
  <c r="U1505" i="3"/>
  <c r="T1505" i="3"/>
  <c r="U325" i="3"/>
  <c r="T325" i="3"/>
  <c r="U577" i="3"/>
  <c r="T577" i="3"/>
  <c r="U841" i="3"/>
  <c r="T841" i="3"/>
  <c r="U1120" i="3"/>
  <c r="T1120" i="3"/>
  <c r="U1421" i="3"/>
  <c r="T1421" i="3"/>
  <c r="U2797" i="3"/>
  <c r="T2797" i="3"/>
  <c r="U518" i="3"/>
  <c r="T518" i="3"/>
  <c r="U793" i="3"/>
  <c r="T793" i="3"/>
  <c r="U1068" i="3"/>
  <c r="T1068" i="3"/>
  <c r="T1370" i="3"/>
  <c r="U1370" i="3"/>
  <c r="U2202" i="3"/>
  <c r="T2202" i="3"/>
  <c r="U471" i="3"/>
  <c r="T471" i="3"/>
  <c r="U741" i="3"/>
  <c r="T741" i="3"/>
  <c r="U1017" i="3"/>
  <c r="T1017" i="3"/>
  <c r="U1303" i="3"/>
  <c r="T1303" i="3"/>
  <c r="U1842" i="3"/>
  <c r="T1842" i="3"/>
  <c r="T2658" i="3"/>
  <c r="U2658" i="3"/>
  <c r="U521" i="3"/>
  <c r="T521" i="3"/>
  <c r="U778" i="3"/>
  <c r="T778" i="3"/>
  <c r="U1053" i="3"/>
  <c r="T1053" i="3"/>
  <c r="U1339" i="3"/>
  <c r="T1339" i="3"/>
  <c r="U1966" i="3"/>
  <c r="T1966" i="3"/>
  <c r="U873" i="3"/>
  <c r="T873" i="3"/>
  <c r="U1118" i="3"/>
  <c r="T1118" i="3"/>
  <c r="U1368" i="3"/>
  <c r="T1368" i="3"/>
  <c r="T1616" i="3"/>
  <c r="U1616" i="3"/>
  <c r="U1868" i="3"/>
  <c r="T1868" i="3"/>
  <c r="U2114" i="3"/>
  <c r="T2114" i="3"/>
  <c r="U2403" i="3"/>
  <c r="T2403" i="3"/>
  <c r="U2703" i="3"/>
  <c r="T2703" i="3"/>
  <c r="T1538" i="3"/>
  <c r="U1538" i="3"/>
  <c r="U1806" i="3"/>
  <c r="T1806" i="3"/>
  <c r="U2056" i="3"/>
  <c r="T2056" i="3"/>
  <c r="U2367" i="3"/>
  <c r="T2367" i="3"/>
  <c r="U2662" i="3"/>
  <c r="T2662" i="3"/>
  <c r="U1524" i="3"/>
  <c r="T1524" i="3"/>
  <c r="U1775" i="3"/>
  <c r="T1775" i="3"/>
  <c r="T2025" i="3"/>
  <c r="U2025" i="3"/>
  <c r="U2296" i="3"/>
  <c r="T2296" i="3"/>
  <c r="U2624" i="3"/>
  <c r="T2624" i="3"/>
  <c r="U1493" i="3"/>
  <c r="T1493" i="3"/>
  <c r="T1744" i="3"/>
  <c r="U1744" i="3"/>
  <c r="U2026" i="3"/>
  <c r="T2026" i="3"/>
  <c r="U2315" i="3"/>
  <c r="T2315" i="3"/>
  <c r="U2605" i="3"/>
  <c r="T2605" i="3"/>
  <c r="U3203" i="3"/>
  <c r="T3203" i="3"/>
  <c r="U1745" i="3"/>
  <c r="T1745" i="3"/>
  <c r="U1995" i="3"/>
  <c r="T1995" i="3"/>
  <c r="U2280" i="3"/>
  <c r="T2280" i="3"/>
  <c r="U2568" i="3"/>
  <c r="T2568" i="3"/>
  <c r="U3215" i="3"/>
  <c r="T3215" i="3"/>
  <c r="U999" i="3"/>
  <c r="T999" i="3"/>
  <c r="U1265" i="3"/>
  <c r="T1265" i="3"/>
  <c r="U1527" i="3"/>
  <c r="T1527" i="3"/>
  <c r="U1778" i="3"/>
  <c r="T1778" i="3"/>
  <c r="U2044" i="3"/>
  <c r="T2044" i="3"/>
  <c r="U2335" i="3"/>
  <c r="T2335" i="3"/>
  <c r="U2668" i="3"/>
  <c r="T2668" i="3"/>
  <c r="U2958" i="3"/>
  <c r="T2958" i="3"/>
  <c r="U1827" i="3"/>
  <c r="T1827" i="3"/>
  <c r="U2075" i="3"/>
  <c r="T2075" i="3"/>
  <c r="U2374" i="3"/>
  <c r="T2374" i="3"/>
  <c r="U2711" i="3"/>
  <c r="T2711" i="3"/>
  <c r="U1939" i="3"/>
  <c r="T1939" i="3"/>
  <c r="U2194" i="3"/>
  <c r="T2194" i="3"/>
  <c r="U2481" i="3"/>
  <c r="T2481" i="3"/>
  <c r="U2800" i="3"/>
  <c r="T2800" i="3"/>
  <c r="U1892" i="3"/>
  <c r="T1892" i="3"/>
  <c r="U2141" i="3"/>
  <c r="T2141" i="3"/>
  <c r="U2430" i="3"/>
  <c r="T2430" i="3"/>
  <c r="U2756" i="3"/>
  <c r="T2756" i="3"/>
  <c r="U1579" i="3"/>
  <c r="T1579" i="3"/>
  <c r="U1830" i="3"/>
  <c r="T1830" i="3"/>
  <c r="U2078" i="3"/>
  <c r="T2078" i="3"/>
  <c r="U2378" i="3"/>
  <c r="T2378" i="3"/>
  <c r="T2674" i="3"/>
  <c r="U2674" i="3"/>
  <c r="U1517" i="3"/>
  <c r="T1517" i="3"/>
  <c r="T1768" i="3"/>
  <c r="U1768" i="3"/>
  <c r="U2034" i="3"/>
  <c r="T2034" i="3"/>
  <c r="T2305" i="3"/>
  <c r="U2305" i="3"/>
  <c r="U2616" i="3"/>
  <c r="T2616" i="3"/>
  <c r="T1486" i="3"/>
  <c r="U1486" i="3"/>
  <c r="U1737" i="3"/>
  <c r="T1737" i="3"/>
  <c r="U1987" i="3"/>
  <c r="T1987" i="3"/>
  <c r="U2288" i="3"/>
  <c r="T2288" i="3"/>
  <c r="U2597" i="3"/>
  <c r="T2597" i="3"/>
  <c r="U3133" i="3"/>
  <c r="T3133" i="3"/>
  <c r="U1865" i="3"/>
  <c r="T1865" i="3"/>
  <c r="U2111" i="3"/>
  <c r="T2111" i="3"/>
  <c r="U2399" i="3"/>
  <c r="T2399" i="3"/>
  <c r="U2699" i="3"/>
  <c r="T2699" i="3"/>
  <c r="T3010" i="3"/>
  <c r="U3010" i="3"/>
  <c r="U1804" i="3"/>
  <c r="T1804" i="3"/>
  <c r="U2054" i="3"/>
  <c r="T2054" i="3"/>
  <c r="T2329" i="3"/>
  <c r="U2329" i="3"/>
  <c r="U2621" i="3"/>
  <c r="T2621" i="3"/>
  <c r="U3353" i="3"/>
  <c r="T3353" i="3"/>
  <c r="U2354" i="3"/>
  <c r="T2354" i="3"/>
  <c r="U2608" i="3"/>
  <c r="T2608" i="3"/>
  <c r="U2913" i="3"/>
  <c r="T2913" i="3"/>
  <c r="T3244" i="3"/>
  <c r="U3244" i="3"/>
  <c r="T3708" i="3"/>
  <c r="U3708" i="3"/>
  <c r="U3137" i="3"/>
  <c r="T3137" i="3"/>
  <c r="U3515" i="3"/>
  <c r="T3515" i="3"/>
  <c r="U2994" i="3"/>
  <c r="T2994" i="3"/>
  <c r="T3372" i="3"/>
  <c r="U3372" i="3"/>
  <c r="U3935" i="3"/>
  <c r="T3935" i="3"/>
  <c r="U3198" i="3"/>
  <c r="T3198" i="3"/>
  <c r="U3675" i="3"/>
  <c r="T3675" i="3"/>
  <c r="U3099" i="3"/>
  <c r="T3099" i="3"/>
  <c r="U3470" i="3"/>
  <c r="T3470" i="3"/>
  <c r="T2169" i="3"/>
  <c r="U2169" i="3"/>
  <c r="U2423" i="3"/>
  <c r="T2423" i="3"/>
  <c r="U2702" i="3"/>
  <c r="T2702" i="3"/>
  <c r="U3019" i="3"/>
  <c r="T3019" i="3"/>
  <c r="T3376" i="3"/>
  <c r="U3376" i="3"/>
  <c r="U3377" i="3"/>
  <c r="T3377" i="3"/>
  <c r="U3944" i="3"/>
  <c r="T3944" i="3"/>
  <c r="U3229" i="3"/>
  <c r="T3229" i="3"/>
  <c r="U3727" i="3"/>
  <c r="T3727" i="3"/>
  <c r="U3146" i="3"/>
  <c r="T3146" i="3"/>
  <c r="U3571" i="3"/>
  <c r="T3571" i="3"/>
  <c r="U3045" i="3"/>
  <c r="T3045" i="3"/>
  <c r="T3404" i="3"/>
  <c r="U3404" i="3"/>
  <c r="U3065" i="3"/>
  <c r="T3065" i="3"/>
  <c r="U3505" i="3"/>
  <c r="T3505" i="3"/>
  <c r="U2986" i="3"/>
  <c r="T2986" i="3"/>
  <c r="T3336" i="3"/>
  <c r="U3336" i="3"/>
  <c r="U3905" i="3"/>
  <c r="T3905" i="3"/>
  <c r="U3190" i="3"/>
  <c r="T3190" i="3"/>
  <c r="U3699" i="3"/>
  <c r="T3699" i="3"/>
  <c r="U3090" i="3"/>
  <c r="T3090" i="3"/>
  <c r="T3485" i="3"/>
  <c r="U3485" i="3"/>
  <c r="U3438" i="3"/>
  <c r="T3438" i="3"/>
  <c r="U2970" i="3"/>
  <c r="T2970" i="3"/>
  <c r="T3392" i="3"/>
  <c r="U3392" i="3"/>
  <c r="U3982" i="3"/>
  <c r="T3982" i="3"/>
  <c r="T2794" i="3"/>
  <c r="U2794" i="3"/>
  <c r="U3077" i="3"/>
  <c r="T3077" i="3"/>
  <c r="U3371" i="3"/>
  <c r="T3371" i="3"/>
  <c r="U3693" i="3"/>
  <c r="T3693" i="3"/>
  <c r="U4008" i="3"/>
  <c r="T4008" i="3"/>
  <c r="T3260" i="3"/>
  <c r="U3260" i="3"/>
  <c r="U3558" i="3"/>
  <c r="T3558" i="3"/>
  <c r="U3872" i="3"/>
  <c r="T3872" i="3"/>
  <c r="U3619" i="3"/>
  <c r="T3619" i="3"/>
  <c r="U3952" i="3"/>
  <c r="T3952" i="3"/>
  <c r="U3717" i="3"/>
  <c r="T3717" i="3"/>
  <c r="U4032" i="3"/>
  <c r="T4032" i="3"/>
  <c r="U4016" i="3"/>
  <c r="T4016" i="3"/>
  <c r="U2736" i="3"/>
  <c r="T2736" i="3"/>
  <c r="U3051" i="3"/>
  <c r="T3051" i="3"/>
  <c r="U3342" i="3"/>
  <c r="T3342" i="3"/>
  <c r="U3664" i="3"/>
  <c r="T3664" i="3"/>
  <c r="U3978" i="3"/>
  <c r="T3978" i="3"/>
  <c r="T3724" i="3"/>
  <c r="U3724" i="3"/>
  <c r="U4039" i="3"/>
  <c r="T4039" i="3"/>
  <c r="U3785" i="3"/>
  <c r="T3785" i="3"/>
  <c r="U4001" i="3"/>
  <c r="T4001" i="3"/>
  <c r="U4082" i="3"/>
  <c r="T4082" i="3"/>
  <c r="U4083" i="3"/>
  <c r="T4083" i="3"/>
  <c r="U3497" i="3"/>
  <c r="T3497" i="3"/>
  <c r="U3809" i="3"/>
  <c r="T3809" i="3"/>
  <c r="U2791" i="3"/>
  <c r="T2791" i="3"/>
  <c r="T3040" i="3"/>
  <c r="U3040" i="3"/>
  <c r="U3315" i="3"/>
  <c r="T3315" i="3"/>
  <c r="U3559" i="3"/>
  <c r="T3559" i="3"/>
  <c r="U3813" i="3"/>
  <c r="T3813" i="3"/>
  <c r="U4069" i="3"/>
  <c r="T4069" i="3"/>
  <c r="U3465" i="3"/>
  <c r="T3465" i="3"/>
  <c r="U3719" i="3"/>
  <c r="T3719" i="3"/>
  <c r="U3974" i="3"/>
  <c r="T3974" i="3"/>
  <c r="U2815" i="3"/>
  <c r="T2815" i="3"/>
  <c r="U3094" i="3"/>
  <c r="T3094" i="3"/>
  <c r="U3339" i="3"/>
  <c r="T3339" i="3"/>
  <c r="U3583" i="3"/>
  <c r="T3583" i="3"/>
  <c r="U3837" i="3"/>
  <c r="T3837" i="3"/>
  <c r="U4093" i="3"/>
  <c r="T4093" i="3"/>
  <c r="U71" i="3"/>
  <c r="T71" i="3"/>
  <c r="U93" i="3"/>
  <c r="T93" i="3"/>
  <c r="U138" i="3"/>
  <c r="T138" i="3"/>
  <c r="U195" i="3"/>
  <c r="T195" i="3"/>
  <c r="U567" i="3"/>
  <c r="T567" i="3"/>
  <c r="U1344" i="3"/>
  <c r="T1344" i="3"/>
  <c r="U989" i="3"/>
  <c r="T989" i="3"/>
  <c r="U1009" i="3"/>
  <c r="T1009" i="3"/>
  <c r="U1811" i="3"/>
  <c r="T1811" i="3"/>
  <c r="U957" i="3"/>
  <c r="T957" i="3"/>
  <c r="U1543" i="3"/>
  <c r="T1543" i="3"/>
  <c r="U43" i="3"/>
  <c r="T43" i="3"/>
  <c r="U20" i="3"/>
  <c r="T20" i="3"/>
  <c r="U55" i="3"/>
  <c r="T55" i="3"/>
  <c r="U724" i="3"/>
  <c r="T724" i="3"/>
  <c r="T604" i="3"/>
  <c r="U604" i="3"/>
  <c r="U202" i="3"/>
  <c r="T202" i="3"/>
  <c r="U77" i="3"/>
  <c r="T77" i="3"/>
  <c r="U887" i="3"/>
  <c r="T887" i="3"/>
  <c r="U205" i="3"/>
  <c r="T205" i="3"/>
  <c r="U42" i="3"/>
  <c r="T42" i="3"/>
  <c r="U768" i="3"/>
  <c r="T768" i="3"/>
  <c r="U209" i="3"/>
  <c r="T209" i="3"/>
  <c r="U46" i="3"/>
  <c r="T46" i="3"/>
  <c r="U659" i="3"/>
  <c r="T659" i="3"/>
  <c r="U193" i="3"/>
  <c r="T193" i="3"/>
  <c r="U67" i="3"/>
  <c r="T67" i="3"/>
  <c r="U1089" i="3"/>
  <c r="T1089" i="3"/>
  <c r="U231" i="3"/>
  <c r="T231" i="3"/>
  <c r="U69" i="3"/>
  <c r="T69" i="3"/>
  <c r="U827" i="3"/>
  <c r="T827" i="3"/>
  <c r="U197" i="3"/>
  <c r="T197" i="3"/>
  <c r="U36" i="3"/>
  <c r="T36" i="3"/>
  <c r="T588" i="3"/>
  <c r="U588" i="3"/>
  <c r="T140" i="3"/>
  <c r="U140" i="3"/>
  <c r="U394" i="3"/>
  <c r="T394" i="3"/>
  <c r="U645" i="3"/>
  <c r="T645" i="3"/>
  <c r="U931" i="3"/>
  <c r="T931" i="3"/>
  <c r="U1216" i="3"/>
  <c r="T1216" i="3"/>
  <c r="T1520" i="3"/>
  <c r="U1520" i="3"/>
  <c r="U347" i="3"/>
  <c r="T347" i="3"/>
  <c r="U599" i="3"/>
  <c r="T599" i="3"/>
  <c r="U882" i="3"/>
  <c r="T882" i="3"/>
  <c r="U1163" i="3"/>
  <c r="T1163" i="3"/>
  <c r="U1444" i="3"/>
  <c r="T1444" i="3"/>
  <c r="T300" i="3"/>
  <c r="U300" i="3"/>
  <c r="U553" i="3"/>
  <c r="T553" i="3"/>
  <c r="U815" i="3"/>
  <c r="T815" i="3"/>
  <c r="U1094" i="3"/>
  <c r="T1094" i="3"/>
  <c r="U1376" i="3"/>
  <c r="T1376" i="3"/>
  <c r="U2255" i="3"/>
  <c r="T2255" i="3"/>
  <c r="U493" i="3"/>
  <c r="T493" i="3"/>
  <c r="U747" i="3"/>
  <c r="T747" i="3"/>
  <c r="U1076" i="3"/>
  <c r="T1076" i="3"/>
  <c r="U1377" i="3"/>
  <c r="T1377" i="3"/>
  <c r="U2264" i="3"/>
  <c r="T2264" i="3"/>
  <c r="U478" i="3"/>
  <c r="T478" i="3"/>
  <c r="U748" i="3"/>
  <c r="T748" i="3"/>
  <c r="U1023" i="3"/>
  <c r="T1023" i="3"/>
  <c r="U1311" i="3"/>
  <c r="T1311" i="3"/>
  <c r="T1881" i="3"/>
  <c r="U1881" i="3"/>
  <c r="U161" i="3"/>
  <c r="T161" i="3"/>
  <c r="U415" i="3"/>
  <c r="T415" i="3"/>
  <c r="U666" i="3"/>
  <c r="T666" i="3"/>
  <c r="U955" i="3"/>
  <c r="T955" i="3"/>
  <c r="U1240" i="3"/>
  <c r="T1240" i="3"/>
  <c r="U1567" i="3"/>
  <c r="T1567" i="3"/>
  <c r="U2146" i="3"/>
  <c r="T2146" i="3"/>
  <c r="U465" i="3"/>
  <c r="T465" i="3"/>
  <c r="U734" i="3"/>
  <c r="T734" i="3"/>
  <c r="U1044" i="3"/>
  <c r="T1044" i="3"/>
  <c r="U1348" i="3"/>
  <c r="T1348" i="3"/>
  <c r="U2029" i="3"/>
  <c r="T2029" i="3"/>
  <c r="U450" i="3"/>
  <c r="T450" i="3"/>
  <c r="U701" i="3"/>
  <c r="T701" i="3"/>
  <c r="U993" i="3"/>
  <c r="T993" i="3"/>
  <c r="U1279" i="3"/>
  <c r="T1279" i="3"/>
  <c r="U1812" i="3"/>
  <c r="T1812" i="3"/>
  <c r="U419" i="3"/>
  <c r="T419" i="3"/>
  <c r="U670" i="3"/>
  <c r="T670" i="3"/>
  <c r="U942" i="3"/>
  <c r="T942" i="3"/>
  <c r="T1262" i="3"/>
  <c r="U1262" i="3"/>
  <c r="U1676" i="3"/>
  <c r="T1676" i="3"/>
  <c r="T388" i="3"/>
  <c r="U388" i="3"/>
  <c r="U639" i="3"/>
  <c r="T639" i="3"/>
  <c r="U908" i="3"/>
  <c r="T908" i="3"/>
  <c r="U1209" i="3"/>
  <c r="T1209" i="3"/>
  <c r="T1544" i="3"/>
  <c r="U1544" i="3"/>
  <c r="U341" i="3"/>
  <c r="T341" i="3"/>
  <c r="U593" i="3"/>
  <c r="T593" i="3"/>
  <c r="U857" i="3"/>
  <c r="T857" i="3"/>
  <c r="U1138" i="3"/>
  <c r="T1138" i="3"/>
  <c r="T1438" i="3"/>
  <c r="U1438" i="3"/>
  <c r="U278" i="3"/>
  <c r="T278" i="3"/>
  <c r="U534" i="3"/>
  <c r="T534" i="3"/>
  <c r="U809" i="3"/>
  <c r="T809" i="3"/>
  <c r="U1086" i="3"/>
  <c r="T1086" i="3"/>
  <c r="T1386" i="3"/>
  <c r="U1386" i="3"/>
  <c r="U2346" i="3"/>
  <c r="T2346" i="3"/>
  <c r="U487" i="3"/>
  <c r="T487" i="3"/>
  <c r="U758" i="3"/>
  <c r="T758" i="3"/>
  <c r="U1034" i="3"/>
  <c r="T1034" i="3"/>
  <c r="U1336" i="3"/>
  <c r="T1336" i="3"/>
  <c r="U1951" i="3"/>
  <c r="T1951" i="3"/>
  <c r="U2833" i="3"/>
  <c r="T2833" i="3"/>
  <c r="T536" i="3"/>
  <c r="U536" i="3"/>
  <c r="U796" i="3"/>
  <c r="T796" i="3"/>
  <c r="U1071" i="3"/>
  <c r="T1071" i="3"/>
  <c r="U1356" i="3"/>
  <c r="T1356" i="3"/>
  <c r="T2089" i="3"/>
  <c r="U2089" i="3"/>
  <c r="U889" i="3"/>
  <c r="T889" i="3"/>
  <c r="U1134" i="3"/>
  <c r="T1134" i="3"/>
  <c r="T1382" i="3"/>
  <c r="U1382" i="3"/>
  <c r="U1631" i="3"/>
  <c r="T1631" i="3"/>
  <c r="T1883" i="3"/>
  <c r="U1883" i="3"/>
  <c r="U2130" i="3"/>
  <c r="T2130" i="3"/>
  <c r="U2421" i="3"/>
  <c r="T2421" i="3"/>
  <c r="U2724" i="3"/>
  <c r="T2724" i="3"/>
  <c r="T1554" i="3"/>
  <c r="U1554" i="3"/>
  <c r="T1821" i="3"/>
  <c r="U1821" i="3"/>
  <c r="U2099" i="3"/>
  <c r="T2099" i="3"/>
  <c r="T2385" i="3"/>
  <c r="U2385" i="3"/>
  <c r="U2683" i="3"/>
  <c r="T2683" i="3"/>
  <c r="U1539" i="3"/>
  <c r="T1539" i="3"/>
  <c r="U1791" i="3"/>
  <c r="T1791" i="3"/>
  <c r="T2041" i="3"/>
  <c r="U2041" i="3"/>
  <c r="U2314" i="3"/>
  <c r="T2314" i="3"/>
  <c r="U2645" i="3"/>
  <c r="T2645" i="3"/>
  <c r="U1509" i="3"/>
  <c r="T1509" i="3"/>
  <c r="T1760" i="3"/>
  <c r="U1760" i="3"/>
  <c r="U2042" i="3"/>
  <c r="T2042" i="3"/>
  <c r="U2333" i="3"/>
  <c r="T2333" i="3"/>
  <c r="U2625" i="3"/>
  <c r="T2625" i="3"/>
  <c r="T1494" i="3"/>
  <c r="U1494" i="3"/>
  <c r="U1761" i="3"/>
  <c r="T1761" i="3"/>
  <c r="U2011" i="3"/>
  <c r="T2011" i="3"/>
  <c r="U2298" i="3"/>
  <c r="T2298" i="3"/>
  <c r="U2587" i="3"/>
  <c r="T2587" i="3"/>
  <c r="U728" i="3"/>
  <c r="T728" i="3"/>
  <c r="U1015" i="3"/>
  <c r="T1015" i="3"/>
  <c r="U1281" i="3"/>
  <c r="T1281" i="3"/>
  <c r="T1542" i="3"/>
  <c r="U1542" i="3"/>
  <c r="U1794" i="3"/>
  <c r="T1794" i="3"/>
  <c r="U2059" i="3"/>
  <c r="T2059" i="3"/>
  <c r="T2353" i="3"/>
  <c r="U2353" i="3"/>
  <c r="U2689" i="3"/>
  <c r="T2689" i="3"/>
  <c r="U3071" i="3"/>
  <c r="T3071" i="3"/>
  <c r="U1843" i="3"/>
  <c r="T1843" i="3"/>
  <c r="U2090" i="3"/>
  <c r="T2090" i="3"/>
  <c r="T2393" i="3"/>
  <c r="U2393" i="3"/>
  <c r="U2732" i="3"/>
  <c r="T2732" i="3"/>
  <c r="T1953" i="3"/>
  <c r="U1953" i="3"/>
  <c r="U2213" i="3"/>
  <c r="T2213" i="3"/>
  <c r="U2499" i="3"/>
  <c r="T2499" i="3"/>
  <c r="U2824" i="3"/>
  <c r="T2824" i="3"/>
  <c r="U1908" i="3"/>
  <c r="T1908" i="3"/>
  <c r="U2159" i="3"/>
  <c r="T2159" i="3"/>
  <c r="U2465" i="3"/>
  <c r="T2465" i="3"/>
  <c r="T2778" i="3"/>
  <c r="U2778" i="3"/>
  <c r="U1595" i="3"/>
  <c r="T1595" i="3"/>
  <c r="U1846" i="3"/>
  <c r="T1846" i="3"/>
  <c r="U2093" i="3"/>
  <c r="T2093" i="3"/>
  <c r="U2396" i="3"/>
  <c r="T2396" i="3"/>
  <c r="U2694" i="3"/>
  <c r="T2694" i="3"/>
  <c r="U1533" i="3"/>
  <c r="T1533" i="3"/>
  <c r="T1784" i="3"/>
  <c r="U1784" i="3"/>
  <c r="U2050" i="3"/>
  <c r="T2050" i="3"/>
  <c r="U2324" i="3"/>
  <c r="T2324" i="3"/>
  <c r="U2654" i="3"/>
  <c r="T2654" i="3"/>
  <c r="T1502" i="3"/>
  <c r="U1502" i="3"/>
  <c r="U1753" i="3"/>
  <c r="T1753" i="3"/>
  <c r="U2003" i="3"/>
  <c r="T2003" i="3"/>
  <c r="U2307" i="3"/>
  <c r="T2307" i="3"/>
  <c r="U2617" i="3"/>
  <c r="T2617" i="3"/>
  <c r="U3313" i="3"/>
  <c r="T3313" i="3"/>
  <c r="U1880" i="3"/>
  <c r="T1880" i="3"/>
  <c r="U2127" i="3"/>
  <c r="T2127" i="3"/>
  <c r="T2417" i="3"/>
  <c r="U2417" i="3"/>
  <c r="U2719" i="3"/>
  <c r="T2719" i="3"/>
  <c r="T3152" i="3"/>
  <c r="U3152" i="3"/>
  <c r="U1819" i="3"/>
  <c r="T1819" i="3"/>
  <c r="U2068" i="3"/>
  <c r="T2068" i="3"/>
  <c r="U2347" i="3"/>
  <c r="T2347" i="3"/>
  <c r="U2640" i="3"/>
  <c r="T2640" i="3"/>
  <c r="U2118" i="3"/>
  <c r="T2118" i="3"/>
  <c r="U2370" i="3"/>
  <c r="T2370" i="3"/>
  <c r="T2626" i="3"/>
  <c r="U2626" i="3"/>
  <c r="U2931" i="3"/>
  <c r="T2931" i="3"/>
  <c r="U3267" i="3"/>
  <c r="T3267" i="3"/>
  <c r="U3747" i="3"/>
  <c r="T3747" i="3"/>
  <c r="U3155" i="3"/>
  <c r="T3155" i="3"/>
  <c r="U3553" i="3"/>
  <c r="T3553" i="3"/>
  <c r="U3014" i="3"/>
  <c r="T3014" i="3"/>
  <c r="T3396" i="3"/>
  <c r="U3396" i="3"/>
  <c r="U2896" i="3"/>
  <c r="T2896" i="3"/>
  <c r="U3247" i="3"/>
  <c r="T3247" i="3"/>
  <c r="U3714" i="3"/>
  <c r="T3714" i="3"/>
  <c r="T3120" i="3"/>
  <c r="U3120" i="3"/>
  <c r="T3493" i="3"/>
  <c r="U3493" i="3"/>
  <c r="T2185" i="3"/>
  <c r="U2185" i="3"/>
  <c r="U2437" i="3"/>
  <c r="T2437" i="3"/>
  <c r="U2721" i="3"/>
  <c r="T2721" i="3"/>
  <c r="U3039" i="3"/>
  <c r="T3039" i="3"/>
  <c r="T3400" i="3"/>
  <c r="U3400" i="3"/>
  <c r="U3401" i="3"/>
  <c r="T3401" i="3"/>
  <c r="T2922" i="3"/>
  <c r="U2922" i="3"/>
  <c r="U3253" i="3"/>
  <c r="T3253" i="3"/>
  <c r="U3765" i="3"/>
  <c r="T3765" i="3"/>
  <c r="U3165" i="3"/>
  <c r="T3165" i="3"/>
  <c r="U3611" i="3"/>
  <c r="T3611" i="3"/>
  <c r="T3064" i="3"/>
  <c r="U3064" i="3"/>
  <c r="U3432" i="3"/>
  <c r="T3432" i="3"/>
  <c r="U3085" i="3"/>
  <c r="T3085" i="3"/>
  <c r="U3534" i="3"/>
  <c r="T3534" i="3"/>
  <c r="U3005" i="3"/>
  <c r="T3005" i="3"/>
  <c r="U3359" i="3"/>
  <c r="T3359" i="3"/>
  <c r="U3962" i="3"/>
  <c r="T3962" i="3"/>
  <c r="U3213" i="3"/>
  <c r="T3213" i="3"/>
  <c r="U3739" i="3"/>
  <c r="T3739" i="3"/>
  <c r="U3111" i="3"/>
  <c r="T3111" i="3"/>
  <c r="U3509" i="3"/>
  <c r="T3509" i="3"/>
  <c r="U3510" i="3"/>
  <c r="T3510" i="3"/>
  <c r="U2990" i="3"/>
  <c r="T2990" i="3"/>
  <c r="U3415" i="3"/>
  <c r="T3415" i="3"/>
  <c r="U2543" i="3"/>
  <c r="T2543" i="3"/>
  <c r="U2812" i="3"/>
  <c r="T2812" i="3"/>
  <c r="T3096" i="3"/>
  <c r="U3096" i="3"/>
  <c r="U3389" i="3"/>
  <c r="T3389" i="3"/>
  <c r="U3713" i="3"/>
  <c r="T3713" i="3"/>
  <c r="U4027" i="3"/>
  <c r="T4027" i="3"/>
  <c r="U3278" i="3"/>
  <c r="T3278" i="3"/>
  <c r="U3579" i="3"/>
  <c r="T3579" i="3"/>
  <c r="U3891" i="3"/>
  <c r="T3891" i="3"/>
  <c r="U3638" i="3"/>
  <c r="T3638" i="3"/>
  <c r="U3971" i="3"/>
  <c r="T3971" i="3"/>
  <c r="U3738" i="3"/>
  <c r="T3738" i="3"/>
  <c r="U4051" i="3"/>
  <c r="T4051" i="3"/>
  <c r="U4035" i="3"/>
  <c r="T4035" i="3"/>
  <c r="U2752" i="3"/>
  <c r="T2752" i="3"/>
  <c r="T3068" i="3"/>
  <c r="U3068" i="3"/>
  <c r="T3360" i="3"/>
  <c r="U3360" i="3"/>
  <c r="U3683" i="3"/>
  <c r="T3683" i="3"/>
  <c r="U3998" i="3"/>
  <c r="T3998" i="3"/>
  <c r="U3744" i="3"/>
  <c r="T3744" i="3"/>
  <c r="U4058" i="3"/>
  <c r="T4058" i="3"/>
  <c r="U3803" i="3"/>
  <c r="T3803" i="3"/>
  <c r="T4020" i="3"/>
  <c r="U4020" i="3"/>
  <c r="U3789" i="3"/>
  <c r="T3789" i="3"/>
  <c r="T3220" i="3"/>
  <c r="U3220" i="3"/>
  <c r="T3516" i="3"/>
  <c r="U3516" i="3"/>
  <c r="T3828" i="3"/>
  <c r="U3828" i="3"/>
  <c r="U2807" i="3"/>
  <c r="T2807" i="3"/>
  <c r="U3055" i="3"/>
  <c r="T3055" i="3"/>
  <c r="U3331" i="3"/>
  <c r="T3331" i="3"/>
  <c r="U3575" i="3"/>
  <c r="T3575" i="3"/>
  <c r="U3829" i="3"/>
  <c r="T3829" i="3"/>
  <c r="U4085" i="3"/>
  <c r="T4085" i="3"/>
  <c r="U3481" i="3"/>
  <c r="T3481" i="3"/>
  <c r="U3735" i="3"/>
  <c r="T3735" i="3"/>
  <c r="U3990" i="3"/>
  <c r="T3990" i="3"/>
  <c r="U2831" i="3"/>
  <c r="T2831" i="3"/>
  <c r="U3110" i="3"/>
  <c r="T3110" i="3"/>
  <c r="U3355" i="3"/>
  <c r="T3355" i="3"/>
  <c r="U3599" i="3"/>
  <c r="T3599" i="3"/>
  <c r="U3853" i="3"/>
  <c r="T3853" i="3"/>
  <c r="U4094" i="3"/>
  <c r="T4094" i="3"/>
  <c r="T392" i="3"/>
  <c r="U392" i="3"/>
  <c r="U22" i="3"/>
  <c r="T22" i="3"/>
  <c r="T472" i="3"/>
  <c r="U472" i="3"/>
  <c r="U157" i="3"/>
  <c r="T157" i="3"/>
  <c r="U1179" i="3"/>
  <c r="T1179" i="3"/>
  <c r="U1005" i="3"/>
  <c r="T1005" i="3"/>
  <c r="T1897" i="3"/>
  <c r="U1897" i="3"/>
  <c r="U1026" i="3"/>
  <c r="T1026" i="3"/>
  <c r="U227" i="3"/>
  <c r="T227" i="3"/>
  <c r="U85" i="3"/>
  <c r="T85" i="3"/>
  <c r="U964" i="3"/>
  <c r="T964" i="3"/>
  <c r="U215" i="3"/>
  <c r="T215" i="3"/>
  <c r="T156" i="3"/>
  <c r="U156" i="3"/>
  <c r="U410" i="3"/>
  <c r="T410" i="3"/>
  <c r="U661" i="3"/>
  <c r="T661" i="3"/>
  <c r="U949" i="3"/>
  <c r="T949" i="3"/>
  <c r="T1235" i="3"/>
  <c r="U1235" i="3"/>
  <c r="U1559" i="3"/>
  <c r="T1559" i="3"/>
  <c r="U363" i="3"/>
  <c r="T363" i="3"/>
  <c r="U615" i="3"/>
  <c r="T615" i="3"/>
  <c r="U899" i="3"/>
  <c r="T899" i="3"/>
  <c r="U1180" i="3"/>
  <c r="T1180" i="3"/>
  <c r="T1462" i="3"/>
  <c r="U1462" i="3"/>
  <c r="T316" i="3"/>
  <c r="U316" i="3"/>
  <c r="T568" i="3"/>
  <c r="U568" i="3"/>
  <c r="U831" i="3"/>
  <c r="T831" i="3"/>
  <c r="U1110" i="3"/>
  <c r="T1110" i="3"/>
  <c r="U1392" i="3"/>
  <c r="T1392" i="3"/>
  <c r="U2400" i="3"/>
  <c r="T2400" i="3"/>
  <c r="U509" i="3"/>
  <c r="T509" i="3"/>
  <c r="U765" i="3"/>
  <c r="T765" i="3"/>
  <c r="U1095" i="3"/>
  <c r="T1095" i="3"/>
  <c r="U1393" i="3"/>
  <c r="T1393" i="3"/>
  <c r="U2410" i="3"/>
  <c r="T2410" i="3"/>
  <c r="U494" i="3"/>
  <c r="T494" i="3"/>
  <c r="U766" i="3"/>
  <c r="T766" i="3"/>
  <c r="U1041" i="3"/>
  <c r="T1041" i="3"/>
  <c r="U1328" i="3"/>
  <c r="T1328" i="3"/>
  <c r="U2005" i="3"/>
  <c r="T2005" i="3"/>
  <c r="T176" i="3"/>
  <c r="U176" i="3"/>
  <c r="U431" i="3"/>
  <c r="T431" i="3"/>
  <c r="U682" i="3"/>
  <c r="T682" i="3"/>
  <c r="U972" i="3"/>
  <c r="T972" i="3"/>
  <c r="U1257" i="3"/>
  <c r="T1257" i="3"/>
  <c r="T1608" i="3"/>
  <c r="U1608" i="3"/>
  <c r="U2291" i="3"/>
  <c r="T2291" i="3"/>
  <c r="U481" i="3"/>
  <c r="T481" i="3"/>
  <c r="U751" i="3"/>
  <c r="T751" i="3"/>
  <c r="U1063" i="3"/>
  <c r="T1063" i="3"/>
  <c r="U1365" i="3"/>
  <c r="T1365" i="3"/>
  <c r="U2156" i="3"/>
  <c r="T2156" i="3"/>
  <c r="U466" i="3"/>
  <c r="T466" i="3"/>
  <c r="U717" i="3"/>
  <c r="T717" i="3"/>
  <c r="U1011" i="3"/>
  <c r="T1011" i="3"/>
  <c r="T1298" i="3"/>
  <c r="U1298" i="3"/>
  <c r="T1913" i="3"/>
  <c r="U1913" i="3"/>
  <c r="U435" i="3"/>
  <c r="T435" i="3"/>
  <c r="U686" i="3"/>
  <c r="T686" i="3"/>
  <c r="U958" i="3"/>
  <c r="T958" i="3"/>
  <c r="U1280" i="3"/>
  <c r="T1280" i="3"/>
  <c r="U1739" i="3"/>
  <c r="T1739" i="3"/>
  <c r="T404" i="3"/>
  <c r="U404" i="3"/>
  <c r="U655" i="3"/>
  <c r="T655" i="3"/>
  <c r="U925" i="3"/>
  <c r="T925" i="3"/>
  <c r="U1227" i="3"/>
  <c r="T1227" i="3"/>
  <c r="T1578" i="3"/>
  <c r="U1578" i="3"/>
  <c r="U357" i="3"/>
  <c r="T357" i="3"/>
  <c r="U609" i="3"/>
  <c r="T609" i="3"/>
  <c r="U875" i="3"/>
  <c r="T875" i="3"/>
  <c r="U1157" i="3"/>
  <c r="T1157" i="3"/>
  <c r="U1455" i="3"/>
  <c r="T1455" i="3"/>
  <c r="U294" i="3"/>
  <c r="T294" i="3"/>
  <c r="U547" i="3"/>
  <c r="T547" i="3"/>
  <c r="U825" i="3"/>
  <c r="T825" i="3"/>
  <c r="U1104" i="3"/>
  <c r="T1104" i="3"/>
  <c r="U1404" i="3"/>
  <c r="T1404" i="3"/>
  <c r="U2488" i="3"/>
  <c r="T2488" i="3"/>
  <c r="U503" i="3"/>
  <c r="T503" i="3"/>
  <c r="U776" i="3"/>
  <c r="T776" i="3"/>
  <c r="U1051" i="3"/>
  <c r="T1051" i="3"/>
  <c r="U1355" i="3"/>
  <c r="T1355" i="3"/>
  <c r="U2074" i="3"/>
  <c r="T2074" i="3"/>
  <c r="U297" i="3"/>
  <c r="T297" i="3"/>
  <c r="U550" i="3"/>
  <c r="T550" i="3"/>
  <c r="U811" i="3"/>
  <c r="T811" i="3"/>
  <c r="U1090" i="3"/>
  <c r="T1090" i="3"/>
  <c r="U1373" i="3"/>
  <c r="T1373" i="3"/>
  <c r="U2229" i="3"/>
  <c r="T2229" i="3"/>
  <c r="U904" i="3"/>
  <c r="T904" i="3"/>
  <c r="U1150" i="3"/>
  <c r="T1150" i="3"/>
  <c r="U1396" i="3"/>
  <c r="T1396" i="3"/>
  <c r="U1646" i="3"/>
  <c r="T1646" i="3"/>
  <c r="T1899" i="3"/>
  <c r="U1899" i="3"/>
  <c r="U2149" i="3"/>
  <c r="T2149" i="3"/>
  <c r="U2438" i="3"/>
  <c r="T2438" i="3"/>
  <c r="U2745" i="3"/>
  <c r="T2745" i="3"/>
  <c r="T1570" i="3"/>
  <c r="U1570" i="3"/>
  <c r="T1837" i="3"/>
  <c r="U1837" i="3"/>
  <c r="U2115" i="3"/>
  <c r="T2115" i="3"/>
  <c r="U2404" i="3"/>
  <c r="T2404" i="3"/>
  <c r="U2705" i="3"/>
  <c r="T2705" i="3"/>
  <c r="U1555" i="3"/>
  <c r="T1555" i="3"/>
  <c r="U1807" i="3"/>
  <c r="T1807" i="3"/>
  <c r="T2057" i="3"/>
  <c r="U2057" i="3"/>
  <c r="U2332" i="3"/>
  <c r="T2332" i="3"/>
  <c r="U2663" i="3"/>
  <c r="T2663" i="3"/>
  <c r="U1525" i="3"/>
  <c r="T1525" i="3"/>
  <c r="T1776" i="3"/>
  <c r="U1776" i="3"/>
  <c r="U2071" i="3"/>
  <c r="T2071" i="3"/>
  <c r="U2351" i="3"/>
  <c r="T2351" i="3"/>
  <c r="U2646" i="3"/>
  <c r="T2646" i="3"/>
  <c r="T1510" i="3"/>
  <c r="U1510" i="3"/>
  <c r="U1777" i="3"/>
  <c r="T1777" i="3"/>
  <c r="U2027" i="3"/>
  <c r="T2027" i="3"/>
  <c r="U2316" i="3"/>
  <c r="T2316" i="3"/>
  <c r="U2606" i="3"/>
  <c r="T2606" i="3"/>
  <c r="U743" i="3"/>
  <c r="T743" i="3"/>
  <c r="U1030" i="3"/>
  <c r="T1030" i="3"/>
  <c r="U1297" i="3"/>
  <c r="T1297" i="3"/>
  <c r="T1558" i="3"/>
  <c r="U1558" i="3"/>
  <c r="U1810" i="3"/>
  <c r="T1810" i="3"/>
  <c r="T2073" i="3"/>
  <c r="U2073" i="3"/>
  <c r="U2372" i="3"/>
  <c r="T2372" i="3"/>
  <c r="U2709" i="3"/>
  <c r="T2709" i="3"/>
  <c r="T3240" i="3"/>
  <c r="U3240" i="3"/>
  <c r="U1859" i="3"/>
  <c r="T1859" i="3"/>
  <c r="T2105" i="3"/>
  <c r="U2105" i="3"/>
  <c r="U2411" i="3"/>
  <c r="T2411" i="3"/>
  <c r="T2754" i="3"/>
  <c r="U2754" i="3"/>
  <c r="U1968" i="3"/>
  <c r="T1968" i="3"/>
  <c r="U2231" i="3"/>
  <c r="T2231" i="3"/>
  <c r="U2517" i="3"/>
  <c r="T2517" i="3"/>
  <c r="U2846" i="3"/>
  <c r="T2846" i="3"/>
  <c r="U1924" i="3"/>
  <c r="T1924" i="3"/>
  <c r="T2177" i="3"/>
  <c r="U2177" i="3"/>
  <c r="T2482" i="3"/>
  <c r="U2482" i="3"/>
  <c r="U2801" i="3"/>
  <c r="T2801" i="3"/>
  <c r="T1610" i="3"/>
  <c r="U1610" i="3"/>
  <c r="U1862" i="3"/>
  <c r="T1862" i="3"/>
  <c r="U2108" i="3"/>
  <c r="T2108" i="3"/>
  <c r="U2414" i="3"/>
  <c r="T2414" i="3"/>
  <c r="U2716" i="3"/>
  <c r="T2716" i="3"/>
  <c r="U1548" i="3"/>
  <c r="T1548" i="3"/>
  <c r="T1800" i="3"/>
  <c r="U1800" i="3"/>
  <c r="T2065" i="3"/>
  <c r="U2065" i="3"/>
  <c r="U2342" i="3"/>
  <c r="T2342" i="3"/>
  <c r="U2675" i="3"/>
  <c r="T2675" i="3"/>
  <c r="T1518" i="3"/>
  <c r="U1518" i="3"/>
  <c r="U1769" i="3"/>
  <c r="T1769" i="3"/>
  <c r="U2019" i="3"/>
  <c r="T2019" i="3"/>
  <c r="U2325" i="3"/>
  <c r="T2325" i="3"/>
  <c r="U2637" i="3"/>
  <c r="T2637" i="3"/>
  <c r="U1643" i="3"/>
  <c r="T1643" i="3"/>
  <c r="U1896" i="3"/>
  <c r="T1896" i="3"/>
  <c r="T2145" i="3"/>
  <c r="U2145" i="3"/>
  <c r="T2434" i="3"/>
  <c r="U2434" i="3"/>
  <c r="U2741" i="3"/>
  <c r="T2741" i="3"/>
  <c r="T3340" i="3"/>
  <c r="U3340" i="3"/>
  <c r="U1835" i="3"/>
  <c r="T1835" i="3"/>
  <c r="U2083" i="3"/>
  <c r="T2083" i="3"/>
  <c r="U2365" i="3"/>
  <c r="T2365" i="3"/>
  <c r="U2659" i="3"/>
  <c r="T2659" i="3"/>
  <c r="U2132" i="3"/>
  <c r="T2132" i="3"/>
  <c r="U2386" i="3"/>
  <c r="T2386" i="3"/>
  <c r="U2644" i="3"/>
  <c r="T2644" i="3"/>
  <c r="U2950" i="3"/>
  <c r="T2950" i="3"/>
  <c r="U3290" i="3"/>
  <c r="T3290" i="3"/>
  <c r="U3787" i="3"/>
  <c r="T3787" i="3"/>
  <c r="U3177" i="3"/>
  <c r="T3177" i="3"/>
  <c r="U3593" i="3"/>
  <c r="T3593" i="3"/>
  <c r="T3036" i="3"/>
  <c r="U3036" i="3"/>
  <c r="U3419" i="3"/>
  <c r="T3419" i="3"/>
  <c r="U2916" i="3"/>
  <c r="T2916" i="3"/>
  <c r="U3271" i="3"/>
  <c r="T3271" i="3"/>
  <c r="U3754" i="3"/>
  <c r="T3754" i="3"/>
  <c r="T3140" i="3"/>
  <c r="U3140" i="3"/>
  <c r="U3523" i="3"/>
  <c r="T3523" i="3"/>
  <c r="T2201" i="3"/>
  <c r="U2201" i="3"/>
  <c r="U2452" i="3"/>
  <c r="T2452" i="3"/>
  <c r="U2739" i="3"/>
  <c r="T2739" i="3"/>
  <c r="U3059" i="3"/>
  <c r="T3059" i="3"/>
  <c r="U3424" i="3"/>
  <c r="T3424" i="3"/>
  <c r="T3427" i="3"/>
  <c r="U3427" i="3"/>
  <c r="U2940" i="3"/>
  <c r="T2940" i="3"/>
  <c r="U3279" i="3"/>
  <c r="T3279" i="3"/>
  <c r="U3806" i="3"/>
  <c r="T3806" i="3"/>
  <c r="U3185" i="3"/>
  <c r="T3185" i="3"/>
  <c r="U3650" i="3"/>
  <c r="T3650" i="3"/>
  <c r="T3084" i="3"/>
  <c r="U3084" i="3"/>
  <c r="U3454" i="3"/>
  <c r="T3454" i="3"/>
  <c r="U3107" i="3"/>
  <c r="T3107" i="3"/>
  <c r="U3573" i="3"/>
  <c r="T3573" i="3"/>
  <c r="U3027" i="3"/>
  <c r="T3027" i="3"/>
  <c r="T3384" i="3"/>
  <c r="U3384" i="3"/>
  <c r="U2887" i="3"/>
  <c r="T2887" i="3"/>
  <c r="T3236" i="3"/>
  <c r="U3236" i="3"/>
  <c r="U3778" i="3"/>
  <c r="T3778" i="3"/>
  <c r="U3131" i="3"/>
  <c r="T3131" i="3"/>
  <c r="U3545" i="3"/>
  <c r="T3545" i="3"/>
  <c r="U3546" i="3"/>
  <c r="T3546" i="3"/>
  <c r="U3011" i="3"/>
  <c r="T3011" i="3"/>
  <c r="U3439" i="3"/>
  <c r="T3439" i="3"/>
  <c r="U2559" i="3"/>
  <c r="T2559" i="3"/>
  <c r="U2830" i="3"/>
  <c r="T2830" i="3"/>
  <c r="U3114" i="3"/>
  <c r="T3114" i="3"/>
  <c r="U3406" i="3"/>
  <c r="T3406" i="3"/>
  <c r="T3732" i="3"/>
  <c r="U3732" i="3"/>
  <c r="U4047" i="3"/>
  <c r="T4047" i="3"/>
  <c r="T3296" i="3"/>
  <c r="U3296" i="3"/>
  <c r="U3598" i="3"/>
  <c r="T3598" i="3"/>
  <c r="U3912" i="3"/>
  <c r="T3912" i="3"/>
  <c r="U3677" i="3"/>
  <c r="T3677" i="3"/>
  <c r="U3992" i="3"/>
  <c r="T3992" i="3"/>
  <c r="U3757" i="3"/>
  <c r="T3757" i="3"/>
  <c r="U4072" i="3"/>
  <c r="T4072" i="3"/>
  <c r="U4056" i="3"/>
  <c r="T4056" i="3"/>
  <c r="U2767" i="3"/>
  <c r="T2767" i="3"/>
  <c r="U3087" i="3"/>
  <c r="T3087" i="3"/>
  <c r="U3381" i="3"/>
  <c r="T3381" i="3"/>
  <c r="T3704" i="3"/>
  <c r="U3704" i="3"/>
  <c r="U4017" i="3"/>
  <c r="T4017" i="3"/>
  <c r="U3763" i="3"/>
  <c r="T3763" i="3"/>
  <c r="U4078" i="3"/>
  <c r="T4078" i="3"/>
  <c r="U3823" i="3"/>
  <c r="T3823" i="3"/>
  <c r="U4041" i="3"/>
  <c r="T4041" i="3"/>
  <c r="U3808" i="3"/>
  <c r="T3808" i="3"/>
  <c r="U3238" i="3"/>
  <c r="T3238" i="3"/>
  <c r="U3536" i="3"/>
  <c r="T3536" i="3"/>
  <c r="U3849" i="3"/>
  <c r="T3849" i="3"/>
  <c r="U2823" i="3"/>
  <c r="T2823" i="3"/>
  <c r="U3070" i="3"/>
  <c r="T3070" i="3"/>
  <c r="U3347" i="3"/>
  <c r="T3347" i="3"/>
  <c r="U3591" i="3"/>
  <c r="T3591" i="3"/>
  <c r="U3845" i="3"/>
  <c r="T3845" i="3"/>
  <c r="U3211" i="3"/>
  <c r="T3211" i="3"/>
  <c r="U3496" i="3"/>
  <c r="T3496" i="3"/>
  <c r="U3751" i="3"/>
  <c r="T3751" i="3"/>
  <c r="U4006" i="3"/>
  <c r="T4006" i="3"/>
  <c r="U2847" i="3"/>
  <c r="T2847" i="3"/>
  <c r="U3126" i="3"/>
  <c r="T3126" i="3"/>
  <c r="U3370" i="3"/>
  <c r="T3370" i="3"/>
  <c r="U3615" i="3"/>
  <c r="T3615" i="3"/>
  <c r="U3869" i="3"/>
  <c r="T3869" i="3"/>
  <c r="U4095" i="3"/>
  <c r="T4095" i="3"/>
  <c r="T520" i="3"/>
  <c r="U520" i="3"/>
  <c r="U151" i="3"/>
  <c r="T151" i="3"/>
  <c r="T9" i="3"/>
  <c r="U9" i="3"/>
  <c r="U614" i="3"/>
  <c r="T614" i="3"/>
  <c r="U1989" i="3"/>
  <c r="T1989" i="3"/>
  <c r="U433" i="3"/>
  <c r="T433" i="3"/>
  <c r="U95" i="3"/>
  <c r="T95" i="3"/>
  <c r="U61" i="3"/>
  <c r="T61" i="3"/>
  <c r="U64" i="3"/>
  <c r="T64" i="3"/>
  <c r="U211" i="3"/>
  <c r="T211" i="3"/>
  <c r="T1232" i="3"/>
  <c r="U1232" i="3"/>
  <c r="T248" i="3"/>
  <c r="U248" i="3"/>
  <c r="U54" i="3"/>
  <c r="T54" i="3"/>
  <c r="T280" i="3"/>
  <c r="U280" i="3"/>
  <c r="U91" i="3"/>
  <c r="T91" i="3"/>
  <c r="U1008" i="3"/>
  <c r="T1008" i="3"/>
  <c r="U114" i="3"/>
  <c r="T114" i="3"/>
  <c r="U242" i="3"/>
  <c r="T242" i="3"/>
  <c r="T244" i="3"/>
  <c r="U244" i="3"/>
  <c r="U929" i="3"/>
  <c r="T929" i="3"/>
  <c r="U103" i="3"/>
  <c r="T103" i="3"/>
  <c r="U1372" i="3"/>
  <c r="T1372" i="3"/>
  <c r="U267" i="3"/>
  <c r="T267" i="3"/>
  <c r="U105" i="3"/>
  <c r="T105" i="3"/>
  <c r="U1106" i="3"/>
  <c r="T1106" i="3"/>
  <c r="U233" i="3"/>
  <c r="T233" i="3"/>
  <c r="U72" i="3"/>
  <c r="T72" i="3"/>
  <c r="U852" i="3"/>
  <c r="T852" i="3"/>
  <c r="U171" i="3"/>
  <c r="T171" i="3"/>
  <c r="U426" i="3"/>
  <c r="T426" i="3"/>
  <c r="U677" i="3"/>
  <c r="T677" i="3"/>
  <c r="U966" i="3"/>
  <c r="T966" i="3"/>
  <c r="U1252" i="3"/>
  <c r="T1252" i="3"/>
  <c r="U1593" i="3"/>
  <c r="T1593" i="3"/>
  <c r="U379" i="3"/>
  <c r="T379" i="3"/>
  <c r="U630" i="3"/>
  <c r="T630" i="3"/>
  <c r="U915" i="3"/>
  <c r="T915" i="3"/>
  <c r="U1199" i="3"/>
  <c r="T1199" i="3"/>
  <c r="U1487" i="3"/>
  <c r="T1487" i="3"/>
  <c r="T332" i="3"/>
  <c r="U332" i="3"/>
  <c r="T584" i="3"/>
  <c r="U584" i="3"/>
  <c r="U849" i="3"/>
  <c r="T849" i="3"/>
  <c r="U1128" i="3"/>
  <c r="T1128" i="3"/>
  <c r="T1410" i="3"/>
  <c r="U1410" i="3"/>
  <c r="U2700" i="3"/>
  <c r="T2700" i="3"/>
  <c r="U525" i="3"/>
  <c r="T525" i="3"/>
  <c r="U782" i="3"/>
  <c r="T782" i="3"/>
  <c r="U1111" i="3"/>
  <c r="T1111" i="3"/>
  <c r="U1411" i="3"/>
  <c r="T1411" i="3"/>
  <c r="U2550" i="3"/>
  <c r="T2550" i="3"/>
  <c r="U510" i="3"/>
  <c r="T510" i="3"/>
  <c r="U783" i="3"/>
  <c r="T783" i="3"/>
  <c r="U1059" i="3"/>
  <c r="T1059" i="3"/>
  <c r="U1345" i="3"/>
  <c r="T1345" i="3"/>
  <c r="U2128" i="3"/>
  <c r="T2128" i="3"/>
  <c r="T192" i="3"/>
  <c r="U192" i="3"/>
  <c r="U447" i="3"/>
  <c r="T447" i="3"/>
  <c r="U698" i="3"/>
  <c r="T698" i="3"/>
  <c r="U990" i="3"/>
  <c r="T990" i="3"/>
  <c r="U1275" i="3"/>
  <c r="T1275" i="3"/>
  <c r="U1660" i="3"/>
  <c r="T1660" i="3"/>
  <c r="U2435" i="3"/>
  <c r="T2435" i="3"/>
  <c r="U497" i="3"/>
  <c r="T497" i="3"/>
  <c r="U769" i="3"/>
  <c r="T769" i="3"/>
  <c r="U1081" i="3"/>
  <c r="T1081" i="3"/>
  <c r="U1381" i="3"/>
  <c r="T1381" i="3"/>
  <c r="U2300" i="3"/>
  <c r="T2300" i="3"/>
  <c r="U482" i="3"/>
  <c r="T482" i="3"/>
  <c r="U735" i="3"/>
  <c r="T735" i="3"/>
  <c r="U1028" i="3"/>
  <c r="T1028" i="3"/>
  <c r="U1316" i="3"/>
  <c r="T1316" i="3"/>
  <c r="U2037" i="3"/>
  <c r="T2037" i="3"/>
  <c r="U451" i="3"/>
  <c r="T451" i="3"/>
  <c r="U702" i="3"/>
  <c r="T702" i="3"/>
  <c r="U976" i="3"/>
  <c r="T976" i="3"/>
  <c r="U1299" i="3"/>
  <c r="T1299" i="3"/>
  <c r="U1818" i="3"/>
  <c r="T1818" i="3"/>
  <c r="T420" i="3"/>
  <c r="U420" i="3"/>
  <c r="U671" i="3"/>
  <c r="T671" i="3"/>
  <c r="U943" i="3"/>
  <c r="T943" i="3"/>
  <c r="U1245" i="3"/>
  <c r="T1245" i="3"/>
  <c r="U1623" i="3"/>
  <c r="T1623" i="3"/>
  <c r="U373" i="3"/>
  <c r="T373" i="3"/>
  <c r="T624" i="3"/>
  <c r="U624" i="3"/>
  <c r="U893" i="3"/>
  <c r="T893" i="3"/>
  <c r="U1175" i="3"/>
  <c r="T1175" i="3"/>
  <c r="U1473" i="3"/>
  <c r="T1473" i="3"/>
  <c r="U310" i="3"/>
  <c r="T310" i="3"/>
  <c r="U578" i="3"/>
  <c r="T578" i="3"/>
  <c r="U842" i="3"/>
  <c r="T842" i="3"/>
  <c r="U1121" i="3"/>
  <c r="T1121" i="3"/>
  <c r="T1422" i="3"/>
  <c r="U1422" i="3"/>
  <c r="U2639" i="3"/>
  <c r="T2639" i="3"/>
  <c r="U519" i="3"/>
  <c r="T519" i="3"/>
  <c r="U794" i="3"/>
  <c r="T794" i="3"/>
  <c r="U1069" i="3"/>
  <c r="T1069" i="3"/>
  <c r="U1371" i="3"/>
  <c r="T1371" i="3"/>
  <c r="U2210" i="3"/>
  <c r="T2210" i="3"/>
  <c r="U313" i="3"/>
  <c r="T313" i="3"/>
  <c r="U565" i="3"/>
  <c r="T565" i="3"/>
  <c r="U828" i="3"/>
  <c r="T828" i="3"/>
  <c r="U1107" i="3"/>
  <c r="T1107" i="3"/>
  <c r="U1389" i="3"/>
  <c r="T1389" i="3"/>
  <c r="U2373" i="3"/>
  <c r="T2373" i="3"/>
  <c r="U918" i="3"/>
  <c r="T918" i="3"/>
  <c r="U1166" i="3"/>
  <c r="T1166" i="3"/>
  <c r="U1412" i="3"/>
  <c r="T1412" i="3"/>
  <c r="U1662" i="3"/>
  <c r="T1662" i="3"/>
  <c r="U1915" i="3"/>
  <c r="T1915" i="3"/>
  <c r="U2167" i="3"/>
  <c r="T2167" i="3"/>
  <c r="U2455" i="3"/>
  <c r="T2455" i="3"/>
  <c r="U2765" i="3"/>
  <c r="T2765" i="3"/>
  <c r="T1586" i="3"/>
  <c r="U1586" i="3"/>
  <c r="T1853" i="3"/>
  <c r="U1853" i="3"/>
  <c r="U2131" i="3"/>
  <c r="T2131" i="3"/>
  <c r="U2422" i="3"/>
  <c r="T2422" i="3"/>
  <c r="U2725" i="3"/>
  <c r="T2725" i="3"/>
  <c r="U1571" i="3"/>
  <c r="T1571" i="3"/>
  <c r="U1822" i="3"/>
  <c r="T1822" i="3"/>
  <c r="U2070" i="3"/>
  <c r="T2070" i="3"/>
  <c r="U2350" i="3"/>
  <c r="T2350" i="3"/>
  <c r="U2685" i="3"/>
  <c r="T2685" i="3"/>
  <c r="U1540" i="3"/>
  <c r="T1540" i="3"/>
  <c r="T1792" i="3"/>
  <c r="U1792" i="3"/>
  <c r="U2086" i="3"/>
  <c r="T2086" i="3"/>
  <c r="T2369" i="3"/>
  <c r="U2369" i="3"/>
  <c r="U2665" i="3"/>
  <c r="T2665" i="3"/>
  <c r="T1526" i="3"/>
  <c r="U1526" i="3"/>
  <c r="U1793" i="3"/>
  <c r="T1793" i="3"/>
  <c r="U2043" i="3"/>
  <c r="T2043" i="3"/>
  <c r="U2334" i="3"/>
  <c r="T2334" i="3"/>
  <c r="U2628" i="3"/>
  <c r="T2628" i="3"/>
  <c r="U759" i="3"/>
  <c r="T759" i="3"/>
  <c r="U1045" i="3"/>
  <c r="T1045" i="3"/>
  <c r="U1313" i="3"/>
  <c r="T1313" i="3"/>
  <c r="T1574" i="3"/>
  <c r="U1574" i="3"/>
  <c r="U1825" i="3"/>
  <c r="T1825" i="3"/>
  <c r="U2088" i="3"/>
  <c r="T2088" i="3"/>
  <c r="U2390" i="3"/>
  <c r="T2390" i="3"/>
  <c r="T2730" i="3"/>
  <c r="U2730" i="3"/>
  <c r="U1607" i="3"/>
  <c r="T1607" i="3"/>
  <c r="U1875" i="3"/>
  <c r="T1875" i="3"/>
  <c r="U2139" i="3"/>
  <c r="T2139" i="3"/>
  <c r="U2428" i="3"/>
  <c r="T2428" i="3"/>
  <c r="U2773" i="3"/>
  <c r="T2773" i="3"/>
  <c r="U1983" i="3"/>
  <c r="T1983" i="3"/>
  <c r="T2249" i="3"/>
  <c r="U2249" i="3"/>
  <c r="U2534" i="3"/>
  <c r="T2534" i="3"/>
  <c r="U2869" i="3"/>
  <c r="T2869" i="3"/>
  <c r="U1940" i="3"/>
  <c r="T1940" i="3"/>
  <c r="U2195" i="3"/>
  <c r="T2195" i="3"/>
  <c r="U2500" i="3"/>
  <c r="T2500" i="3"/>
  <c r="U2825" i="3"/>
  <c r="T2825" i="3"/>
  <c r="U1625" i="3"/>
  <c r="T1625" i="3"/>
  <c r="U1878" i="3"/>
  <c r="T1878" i="3"/>
  <c r="U2142" i="3"/>
  <c r="T2142" i="3"/>
  <c r="U2431" i="3"/>
  <c r="T2431" i="3"/>
  <c r="U2737" i="3"/>
  <c r="T2737" i="3"/>
  <c r="U1564" i="3"/>
  <c r="T1564" i="3"/>
  <c r="U1815" i="3"/>
  <c r="T1815" i="3"/>
  <c r="U2079" i="3"/>
  <c r="T2079" i="3"/>
  <c r="T2361" i="3"/>
  <c r="U2361" i="3"/>
  <c r="U2695" i="3"/>
  <c r="T2695" i="3"/>
  <c r="T1534" i="3"/>
  <c r="U1534" i="3"/>
  <c r="U1785" i="3"/>
  <c r="T1785" i="3"/>
  <c r="U2035" i="3"/>
  <c r="T2035" i="3"/>
  <c r="U2344" i="3"/>
  <c r="T2344" i="3"/>
  <c r="U2655" i="3"/>
  <c r="T2655" i="3"/>
  <c r="U1659" i="3"/>
  <c r="T1659" i="3"/>
  <c r="U1912" i="3"/>
  <c r="T1912" i="3"/>
  <c r="U2163" i="3"/>
  <c r="T2163" i="3"/>
  <c r="U2451" i="3"/>
  <c r="T2451" i="3"/>
  <c r="T2762" i="3"/>
  <c r="U2762" i="3"/>
  <c r="T1600" i="3"/>
  <c r="U1600" i="3"/>
  <c r="U1851" i="3"/>
  <c r="T1851" i="3"/>
  <c r="T2097" i="3"/>
  <c r="U2097" i="3"/>
  <c r="U2383" i="3"/>
  <c r="T2383" i="3"/>
  <c r="U2681" i="3"/>
  <c r="T2681" i="3"/>
  <c r="U2148" i="3"/>
  <c r="T2148" i="3"/>
  <c r="U2402" i="3"/>
  <c r="T2402" i="3"/>
  <c r="U2660" i="3"/>
  <c r="T2660" i="3"/>
  <c r="U2972" i="3"/>
  <c r="T2972" i="3"/>
  <c r="U3318" i="3"/>
  <c r="T3318" i="3"/>
  <c r="U3832" i="3"/>
  <c r="T3832" i="3"/>
  <c r="T3196" i="3"/>
  <c r="U3196" i="3"/>
  <c r="T3632" i="3"/>
  <c r="U3632" i="3"/>
  <c r="T3056" i="3"/>
  <c r="U3056" i="3"/>
  <c r="U3444" i="3"/>
  <c r="T3444" i="3"/>
  <c r="U2934" i="3"/>
  <c r="T2934" i="3"/>
  <c r="U3297" i="3"/>
  <c r="T3297" i="3"/>
  <c r="U3797" i="3"/>
  <c r="T3797" i="3"/>
  <c r="T3160" i="3"/>
  <c r="U3160" i="3"/>
  <c r="U3563" i="3"/>
  <c r="T3563" i="3"/>
  <c r="T2217" i="3"/>
  <c r="U2217" i="3"/>
  <c r="U2468" i="3"/>
  <c r="T2468" i="3"/>
  <c r="U2757" i="3"/>
  <c r="T2757" i="3"/>
  <c r="T3080" i="3"/>
  <c r="U3080" i="3"/>
  <c r="U3448" i="3"/>
  <c r="T3448" i="3"/>
  <c r="U3449" i="3"/>
  <c r="T3449" i="3"/>
  <c r="U2959" i="3"/>
  <c r="T2959" i="3"/>
  <c r="U3303" i="3"/>
  <c r="T3303" i="3"/>
  <c r="U3851" i="3"/>
  <c r="T3851" i="3"/>
  <c r="U3206" i="3"/>
  <c r="T3206" i="3"/>
  <c r="U3689" i="3"/>
  <c r="T3689" i="3"/>
  <c r="U3106" i="3"/>
  <c r="T3106" i="3"/>
  <c r="T3476" i="3"/>
  <c r="U3476" i="3"/>
  <c r="T3128" i="3"/>
  <c r="U3128" i="3"/>
  <c r="T3613" i="3"/>
  <c r="U3613" i="3"/>
  <c r="U3047" i="3"/>
  <c r="T3047" i="3"/>
  <c r="U3410" i="3"/>
  <c r="T3410" i="3"/>
  <c r="U2907" i="3"/>
  <c r="T2907" i="3"/>
  <c r="U3262" i="3"/>
  <c r="T3262" i="3"/>
  <c r="U3819" i="3"/>
  <c r="T3819" i="3"/>
  <c r="U3171" i="3"/>
  <c r="T3171" i="3"/>
  <c r="U3584" i="3"/>
  <c r="T3584" i="3"/>
  <c r="U3585" i="3"/>
  <c r="T3585" i="3"/>
  <c r="U3031" i="3"/>
  <c r="T3031" i="3"/>
  <c r="U3462" i="3"/>
  <c r="T3462" i="3"/>
  <c r="U2573" i="3"/>
  <c r="T2573" i="3"/>
  <c r="U2849" i="3"/>
  <c r="T2849" i="3"/>
  <c r="T3132" i="3"/>
  <c r="U3132" i="3"/>
  <c r="U3426" i="3"/>
  <c r="T3426" i="3"/>
  <c r="U3753" i="3"/>
  <c r="T3753" i="3"/>
  <c r="U4066" i="3"/>
  <c r="T4066" i="3"/>
  <c r="U3314" i="3"/>
  <c r="T3314" i="3"/>
  <c r="U3618" i="3"/>
  <c r="T3618" i="3"/>
  <c r="U3931" i="3"/>
  <c r="T3931" i="3"/>
  <c r="U3697" i="3"/>
  <c r="T3697" i="3"/>
  <c r="U4011" i="3"/>
  <c r="T4011" i="3"/>
  <c r="U3777" i="3"/>
  <c r="T3777" i="3"/>
  <c r="U3994" i="3"/>
  <c r="T3994" i="3"/>
  <c r="U4075" i="3"/>
  <c r="T4075" i="3"/>
  <c r="U2785" i="3"/>
  <c r="T2785" i="3"/>
  <c r="U3105" i="3"/>
  <c r="T3105" i="3"/>
  <c r="T3416" i="3"/>
  <c r="U3416" i="3"/>
  <c r="U3723" i="3"/>
  <c r="T3723" i="3"/>
  <c r="T4036" i="3"/>
  <c r="U4036" i="3"/>
  <c r="U3784" i="3"/>
  <c r="T3784" i="3"/>
  <c r="U3530" i="3"/>
  <c r="T3530" i="3"/>
  <c r="U3842" i="3"/>
  <c r="T3842" i="3"/>
  <c r="T4060" i="3"/>
  <c r="U4060" i="3"/>
  <c r="U3827" i="3"/>
  <c r="T3827" i="3"/>
  <c r="U3257" i="3"/>
  <c r="T3257" i="3"/>
  <c r="U3555" i="3"/>
  <c r="T3555" i="3"/>
  <c r="T3868" i="3"/>
  <c r="U3868" i="3"/>
  <c r="U2839" i="3"/>
  <c r="T2839" i="3"/>
  <c r="U3086" i="3"/>
  <c r="T3086" i="3"/>
  <c r="U3362" i="3"/>
  <c r="T3362" i="3"/>
  <c r="U3607" i="3"/>
  <c r="T3607" i="3"/>
  <c r="U3861" i="3"/>
  <c r="T3861" i="3"/>
  <c r="U3226" i="3"/>
  <c r="T3226" i="3"/>
  <c r="T3512" i="3"/>
  <c r="U3512" i="3"/>
  <c r="U3767" i="3"/>
  <c r="T3767" i="3"/>
  <c r="U4022" i="3"/>
  <c r="T4022" i="3"/>
  <c r="U2863" i="3"/>
  <c r="T2863" i="3"/>
  <c r="U3142" i="3"/>
  <c r="T3142" i="3"/>
  <c r="U3385" i="3"/>
  <c r="T3385" i="3"/>
  <c r="U3631" i="3"/>
  <c r="T3631" i="3"/>
  <c r="U3885" i="3"/>
  <c r="T3885" i="3"/>
  <c r="U4096" i="3"/>
  <c r="T4096" i="3"/>
  <c r="U62" i="3"/>
  <c r="T62" i="3"/>
  <c r="T344" i="3"/>
  <c r="U344" i="3"/>
  <c r="T328" i="3"/>
  <c r="U328" i="3"/>
  <c r="T172" i="3"/>
  <c r="U172" i="3"/>
  <c r="U362" i="3"/>
  <c r="T362" i="3"/>
  <c r="U1343" i="3"/>
  <c r="T1343" i="3"/>
  <c r="U700" i="3"/>
  <c r="T700" i="3"/>
  <c r="U221" i="3"/>
  <c r="T221" i="3"/>
  <c r="U223" i="3"/>
  <c r="T223" i="3"/>
  <c r="U1043" i="3"/>
  <c r="T1043" i="3"/>
  <c r="U795" i="3"/>
  <c r="T795" i="3"/>
  <c r="U87" i="3"/>
  <c r="T87" i="3"/>
  <c r="U715" i="3"/>
  <c r="T715" i="3"/>
  <c r="U243" i="3"/>
  <c r="T243" i="3"/>
  <c r="U1000" i="3"/>
  <c r="T1000" i="3"/>
  <c r="U239" i="3"/>
  <c r="T239" i="3"/>
  <c r="U1169" i="3"/>
  <c r="T1169" i="3"/>
  <c r="U79" i="3"/>
  <c r="T79" i="3"/>
  <c r="U1187" i="3"/>
  <c r="T1187" i="3"/>
  <c r="T83" i="3"/>
  <c r="U83" i="3"/>
  <c r="U229" i="3"/>
  <c r="T229" i="3"/>
  <c r="U135" i="3"/>
  <c r="T135" i="3"/>
  <c r="U111" i="3"/>
  <c r="T111" i="3"/>
  <c r="U110" i="3"/>
  <c r="T110" i="3"/>
  <c r="U1142" i="3"/>
  <c r="T1142" i="3"/>
  <c r="U1151" i="3"/>
  <c r="T1151" i="3"/>
  <c r="U257" i="3"/>
  <c r="T257" i="3"/>
  <c r="T132" i="3"/>
  <c r="U132" i="3"/>
  <c r="T1314" i="3"/>
  <c r="U1314" i="3"/>
  <c r="U259" i="3"/>
  <c r="T259" i="3"/>
  <c r="U98" i="3"/>
  <c r="T98" i="3"/>
  <c r="T1330" i="3"/>
  <c r="U1330" i="3"/>
  <c r="U262" i="3"/>
  <c r="T262" i="3"/>
  <c r="U101" i="3"/>
  <c r="T101" i="3"/>
  <c r="U1070" i="3"/>
  <c r="T1070" i="3"/>
  <c r="U246" i="3"/>
  <c r="T246" i="3"/>
  <c r="U121" i="3"/>
  <c r="T121" i="3"/>
  <c r="U1551" i="3"/>
  <c r="T1551" i="3"/>
  <c r="T304" i="3"/>
  <c r="U304" i="3"/>
  <c r="U123" i="3"/>
  <c r="T123" i="3"/>
  <c r="U1250" i="3"/>
  <c r="T1250" i="3"/>
  <c r="U251" i="3"/>
  <c r="T251" i="3"/>
  <c r="U90" i="3"/>
  <c r="T90" i="3"/>
  <c r="U991" i="3"/>
  <c r="T991" i="3"/>
  <c r="U187" i="3"/>
  <c r="T187" i="3"/>
  <c r="U442" i="3"/>
  <c r="T442" i="3"/>
  <c r="U693" i="3"/>
  <c r="T693" i="3"/>
  <c r="U985" i="3"/>
  <c r="T985" i="3"/>
  <c r="T1270" i="3"/>
  <c r="U1270" i="3"/>
  <c r="U1639" i="3"/>
  <c r="T1639" i="3"/>
  <c r="U395" i="3"/>
  <c r="T395" i="3"/>
  <c r="U646" i="3"/>
  <c r="T646" i="3"/>
  <c r="U932" i="3"/>
  <c r="T932" i="3"/>
  <c r="U1217" i="3"/>
  <c r="T1217" i="3"/>
  <c r="U1521" i="3"/>
  <c r="T1521" i="3"/>
  <c r="T348" i="3"/>
  <c r="U348" i="3"/>
  <c r="T600" i="3"/>
  <c r="U600" i="3"/>
  <c r="U866" i="3"/>
  <c r="T866" i="3"/>
  <c r="U1146" i="3"/>
  <c r="T1146" i="3"/>
  <c r="U1429" i="3"/>
  <c r="T1429" i="3"/>
  <c r="U285" i="3"/>
  <c r="T285" i="3"/>
  <c r="T540" i="3"/>
  <c r="U540" i="3"/>
  <c r="U816" i="3"/>
  <c r="T816" i="3"/>
  <c r="U1129" i="3"/>
  <c r="T1129" i="3"/>
  <c r="T1430" i="3"/>
  <c r="U1430" i="3"/>
  <c r="U2710" i="3"/>
  <c r="T2710" i="3"/>
  <c r="U526" i="3"/>
  <c r="T526" i="3"/>
  <c r="U800" i="3"/>
  <c r="T800" i="3"/>
  <c r="U1078" i="3"/>
  <c r="T1078" i="3"/>
  <c r="T1362" i="3"/>
  <c r="U1362" i="3"/>
  <c r="U2272" i="3"/>
  <c r="T2272" i="3"/>
  <c r="T208" i="3"/>
  <c r="U208" i="3"/>
  <c r="U463" i="3"/>
  <c r="T463" i="3"/>
  <c r="U714" i="3"/>
  <c r="T714" i="3"/>
  <c r="U1007" i="3"/>
  <c r="T1007" i="3"/>
  <c r="T1294" i="3"/>
  <c r="U1294" i="3"/>
  <c r="U1723" i="3"/>
  <c r="T1723" i="3"/>
  <c r="U2580" i="3"/>
  <c r="T2580" i="3"/>
  <c r="U513" i="3"/>
  <c r="T513" i="3"/>
  <c r="U787" i="3"/>
  <c r="T787" i="3"/>
  <c r="U1099" i="3"/>
  <c r="T1099" i="3"/>
  <c r="T1398" i="3"/>
  <c r="U1398" i="3"/>
  <c r="U2444" i="3"/>
  <c r="T2444" i="3"/>
  <c r="U498" i="3"/>
  <c r="T498" i="3"/>
  <c r="U752" i="3"/>
  <c r="T752" i="3"/>
  <c r="U1046" i="3"/>
  <c r="T1046" i="3"/>
  <c r="U1331" i="3"/>
  <c r="T1331" i="3"/>
  <c r="U2165" i="3"/>
  <c r="T2165" i="3"/>
  <c r="U467" i="3"/>
  <c r="T467" i="3"/>
  <c r="U718" i="3"/>
  <c r="T718" i="3"/>
  <c r="U1012" i="3"/>
  <c r="T1012" i="3"/>
  <c r="U1317" i="3"/>
  <c r="T1317" i="3"/>
  <c r="T1921" i="3"/>
  <c r="U1921" i="3"/>
  <c r="T436" i="3"/>
  <c r="U436" i="3"/>
  <c r="U687" i="3"/>
  <c r="T687" i="3"/>
  <c r="U959" i="3"/>
  <c r="T959" i="3"/>
  <c r="U1263" i="3"/>
  <c r="T1263" i="3"/>
  <c r="U1684" i="3"/>
  <c r="T1684" i="3"/>
  <c r="U389" i="3"/>
  <c r="T389" i="3"/>
  <c r="U640" i="3"/>
  <c r="T640" i="3"/>
  <c r="U909" i="3"/>
  <c r="T909" i="3"/>
  <c r="U1192" i="3"/>
  <c r="T1192" i="3"/>
  <c r="T1512" i="3"/>
  <c r="U1512" i="3"/>
  <c r="U326" i="3"/>
  <c r="T326" i="3"/>
  <c r="U594" i="3"/>
  <c r="T594" i="3"/>
  <c r="U859" i="3"/>
  <c r="T859" i="3"/>
  <c r="U1140" i="3"/>
  <c r="T1140" i="3"/>
  <c r="U1439" i="3"/>
  <c r="T1439" i="3"/>
  <c r="U2808" i="3"/>
  <c r="T2808" i="3"/>
  <c r="T548" i="3"/>
  <c r="U548" i="3"/>
  <c r="U810" i="3"/>
  <c r="T810" i="3"/>
  <c r="U1087" i="3"/>
  <c r="T1087" i="3"/>
  <c r="U1387" i="3"/>
  <c r="T1387" i="3"/>
  <c r="U2355" i="3"/>
  <c r="T2355" i="3"/>
  <c r="U329" i="3"/>
  <c r="T329" i="3"/>
  <c r="U581" i="3"/>
  <c r="T581" i="3"/>
  <c r="U846" i="3"/>
  <c r="T846" i="3"/>
  <c r="U1125" i="3"/>
  <c r="T1125" i="3"/>
  <c r="U1407" i="3"/>
  <c r="T1407" i="3"/>
  <c r="U2515" i="3"/>
  <c r="T2515" i="3"/>
  <c r="U933" i="3"/>
  <c r="T933" i="3"/>
  <c r="U1181" i="3"/>
  <c r="T1181" i="3"/>
  <c r="U1428" i="3"/>
  <c r="T1428" i="3"/>
  <c r="U1678" i="3"/>
  <c r="T1678" i="3"/>
  <c r="U1931" i="3"/>
  <c r="T1931" i="3"/>
  <c r="U2186" i="3"/>
  <c r="T2186" i="3"/>
  <c r="U2473" i="3"/>
  <c r="T2473" i="3"/>
  <c r="U2787" i="3"/>
  <c r="T2787" i="3"/>
  <c r="T1602" i="3"/>
  <c r="U1602" i="3"/>
  <c r="T1869" i="3"/>
  <c r="U1869" i="3"/>
  <c r="U2150" i="3"/>
  <c r="T2150" i="3"/>
  <c r="U2439" i="3"/>
  <c r="T2439" i="3"/>
  <c r="T2746" i="3"/>
  <c r="U2746" i="3"/>
  <c r="U1587" i="3"/>
  <c r="T1587" i="3"/>
  <c r="U1838" i="3"/>
  <c r="T1838" i="3"/>
  <c r="U2085" i="3"/>
  <c r="T2085" i="3"/>
  <c r="U2368" i="3"/>
  <c r="T2368" i="3"/>
  <c r="T2706" i="3"/>
  <c r="U2706" i="3"/>
  <c r="U1556" i="3"/>
  <c r="T1556" i="3"/>
  <c r="T1808" i="3"/>
  <c r="U1808" i="3"/>
  <c r="U2101" i="3"/>
  <c r="T2101" i="3"/>
  <c r="U2388" i="3"/>
  <c r="T2388" i="3"/>
  <c r="U2686" i="3"/>
  <c r="T2686" i="3"/>
  <c r="U1541" i="3"/>
  <c r="T1541" i="3"/>
  <c r="U1809" i="3"/>
  <c r="T1809" i="3"/>
  <c r="U2058" i="3"/>
  <c r="T2058" i="3"/>
  <c r="U2352" i="3"/>
  <c r="T2352" i="3"/>
  <c r="U2647" i="3"/>
  <c r="T2647" i="3"/>
  <c r="U774" i="3"/>
  <c r="T774" i="3"/>
  <c r="U1061" i="3"/>
  <c r="T1061" i="3"/>
  <c r="U1327" i="3"/>
  <c r="T1327" i="3"/>
  <c r="T1590" i="3"/>
  <c r="U1590" i="3"/>
  <c r="U1841" i="3"/>
  <c r="T1841" i="3"/>
  <c r="U2103" i="3"/>
  <c r="T2103" i="3"/>
  <c r="T2409" i="3"/>
  <c r="U2409" i="3"/>
  <c r="U2750" i="3"/>
  <c r="T2750" i="3"/>
  <c r="U1622" i="3"/>
  <c r="T1622" i="3"/>
  <c r="U1890" i="3"/>
  <c r="T1890" i="3"/>
  <c r="U2157" i="3"/>
  <c r="T2157" i="3"/>
  <c r="U2445" i="3"/>
  <c r="T2445" i="3"/>
  <c r="U2798" i="3"/>
  <c r="T2798" i="3"/>
  <c r="U1999" i="3"/>
  <c r="T1999" i="3"/>
  <c r="U2266" i="3"/>
  <c r="T2266" i="3"/>
  <c r="U2553" i="3"/>
  <c r="T2553" i="3"/>
  <c r="U2897" i="3"/>
  <c r="T2897" i="3"/>
  <c r="U1954" i="3"/>
  <c r="T1954" i="3"/>
  <c r="U2214" i="3"/>
  <c r="T2214" i="3"/>
  <c r="U2518" i="3"/>
  <c r="T2518" i="3"/>
  <c r="U2848" i="3"/>
  <c r="T2848" i="3"/>
  <c r="T1640" i="3"/>
  <c r="U1640" i="3"/>
  <c r="T1893" i="3"/>
  <c r="U1893" i="3"/>
  <c r="U2160" i="3"/>
  <c r="T2160" i="3"/>
  <c r="U2448" i="3"/>
  <c r="T2448" i="3"/>
  <c r="U2758" i="3"/>
  <c r="T2758" i="3"/>
  <c r="U1580" i="3"/>
  <c r="T1580" i="3"/>
  <c r="U1831" i="3"/>
  <c r="T1831" i="3"/>
  <c r="U2094" i="3"/>
  <c r="T2094" i="3"/>
  <c r="U2379" i="3"/>
  <c r="T2379" i="3"/>
  <c r="U2717" i="3"/>
  <c r="T2717" i="3"/>
  <c r="U1549" i="3"/>
  <c r="T1549" i="3"/>
  <c r="U1801" i="3"/>
  <c r="T1801" i="3"/>
  <c r="U2051" i="3"/>
  <c r="T2051" i="3"/>
  <c r="U2362" i="3"/>
  <c r="T2362" i="3"/>
  <c r="U2676" i="3"/>
  <c r="T2676" i="3"/>
  <c r="U1675" i="3"/>
  <c r="T1675" i="3"/>
  <c r="U1928" i="3"/>
  <c r="T1928" i="3"/>
  <c r="U2182" i="3"/>
  <c r="T2182" i="3"/>
  <c r="U2470" i="3"/>
  <c r="T2470" i="3"/>
  <c r="U2782" i="3"/>
  <c r="T2782" i="3"/>
  <c r="U1615" i="3"/>
  <c r="T1615" i="3"/>
  <c r="T1867" i="3"/>
  <c r="U1867" i="3"/>
  <c r="T2113" i="3"/>
  <c r="U2113" i="3"/>
  <c r="T2401" i="3"/>
  <c r="U2401" i="3"/>
  <c r="U2701" i="3"/>
  <c r="T2701" i="3"/>
  <c r="U2164" i="3"/>
  <c r="T2164" i="3"/>
  <c r="C21" i="1" s="1"/>
  <c r="U2418" i="3"/>
  <c r="T2418" i="3"/>
  <c r="U2678" i="3"/>
  <c r="T2678" i="3"/>
  <c r="U2991" i="3"/>
  <c r="T2991" i="3"/>
  <c r="U3343" i="3"/>
  <c r="T3343" i="3"/>
  <c r="T3876" i="3"/>
  <c r="U3876" i="3"/>
  <c r="U3219" i="3"/>
  <c r="T3219" i="3"/>
  <c r="U3669" i="3"/>
  <c r="T3669" i="3"/>
  <c r="U3075" i="3"/>
  <c r="T3075" i="3"/>
  <c r="U3467" i="3"/>
  <c r="T3467" i="3"/>
  <c r="U2955" i="3"/>
  <c r="T2955" i="3"/>
  <c r="U3321" i="3"/>
  <c r="T3321" i="3"/>
  <c r="U3839" i="3"/>
  <c r="T3839" i="3"/>
  <c r="T3180" i="3"/>
  <c r="U3180" i="3"/>
  <c r="U3602" i="3"/>
  <c r="T3602" i="3"/>
  <c r="T2233" i="3"/>
  <c r="U2233" i="3"/>
  <c r="U2483" i="3"/>
  <c r="T2483" i="3"/>
  <c r="U2774" i="3"/>
  <c r="T2774" i="3"/>
  <c r="T3100" i="3"/>
  <c r="U3100" i="3"/>
  <c r="U3471" i="3"/>
  <c r="T3471" i="3"/>
  <c r="U3473" i="3"/>
  <c r="T3473" i="3"/>
  <c r="U2981" i="3"/>
  <c r="T2981" i="3"/>
  <c r="U3327" i="3"/>
  <c r="T3327" i="3"/>
  <c r="U3897" i="3"/>
  <c r="T3897" i="3"/>
  <c r="U3231" i="3"/>
  <c r="T3231" i="3"/>
  <c r="U3728" i="3"/>
  <c r="T3728" i="3"/>
  <c r="U3127" i="3"/>
  <c r="T3127" i="3"/>
  <c r="T3504" i="3"/>
  <c r="U3504" i="3"/>
  <c r="T3168" i="3"/>
  <c r="U3168" i="3"/>
  <c r="T3652" i="3"/>
  <c r="U3652" i="3"/>
  <c r="U3066" i="3"/>
  <c r="T3066" i="3"/>
  <c r="U3456" i="3"/>
  <c r="T3456" i="3"/>
  <c r="U2927" i="3"/>
  <c r="T2927" i="3"/>
  <c r="U3286" i="3"/>
  <c r="T3286" i="3"/>
  <c r="U3865" i="3"/>
  <c r="T3865" i="3"/>
  <c r="U3191" i="3"/>
  <c r="T3191" i="3"/>
  <c r="U3622" i="3"/>
  <c r="T3622" i="3"/>
  <c r="U3625" i="3"/>
  <c r="T3625" i="3"/>
  <c r="T3052" i="3"/>
  <c r="U3052" i="3"/>
  <c r="U3486" i="3"/>
  <c r="T3486" i="3"/>
  <c r="U2603" i="3"/>
  <c r="T2603" i="3"/>
  <c r="T2866" i="3"/>
  <c r="U2866" i="3"/>
  <c r="U3150" i="3"/>
  <c r="T3150" i="3"/>
  <c r="T3460" i="3"/>
  <c r="U3460" i="3"/>
  <c r="T3772" i="3"/>
  <c r="U3772" i="3"/>
  <c r="U3911" i="3"/>
  <c r="T3911" i="3"/>
  <c r="U3335" i="3"/>
  <c r="T3335" i="3"/>
  <c r="U3637" i="3"/>
  <c r="T3637" i="3"/>
  <c r="U3951" i="3"/>
  <c r="T3951" i="3"/>
  <c r="T3716" i="3"/>
  <c r="U3716" i="3"/>
  <c r="U4031" i="3"/>
  <c r="T4031" i="3"/>
  <c r="T3796" i="3"/>
  <c r="U3796" i="3"/>
  <c r="U4014" i="3"/>
  <c r="T4014" i="3"/>
  <c r="U2551" i="3"/>
  <c r="T2551" i="3"/>
  <c r="U2803" i="3"/>
  <c r="T2803" i="3"/>
  <c r="U3123" i="3"/>
  <c r="T3123" i="3"/>
  <c r="U3434" i="3"/>
  <c r="T3434" i="3"/>
  <c r="U3743" i="3"/>
  <c r="T3743" i="3"/>
  <c r="U4057" i="3"/>
  <c r="T4057" i="3"/>
  <c r="U3802" i="3"/>
  <c r="T3802" i="3"/>
  <c r="U3549" i="3"/>
  <c r="T3549" i="3"/>
  <c r="U3863" i="3"/>
  <c r="T3863" i="3"/>
  <c r="U4080" i="3"/>
  <c r="T4080" i="3"/>
  <c r="U3848" i="3"/>
  <c r="T3848" i="3"/>
  <c r="U3274" i="3"/>
  <c r="T3274" i="3"/>
  <c r="U3574" i="3"/>
  <c r="T3574" i="3"/>
  <c r="U3888" i="3"/>
  <c r="T3888" i="3"/>
  <c r="U2855" i="3"/>
  <c r="T2855" i="3"/>
  <c r="U3102" i="3"/>
  <c r="T3102" i="3"/>
  <c r="U3378" i="3"/>
  <c r="T3378" i="3"/>
  <c r="U3623" i="3"/>
  <c r="T3623" i="3"/>
  <c r="U3877" i="3"/>
  <c r="T3877" i="3"/>
  <c r="U3242" i="3"/>
  <c r="T3242" i="3"/>
  <c r="U3528" i="3"/>
  <c r="T3528" i="3"/>
  <c r="U3783" i="3"/>
  <c r="T3783" i="3"/>
  <c r="U4038" i="3"/>
  <c r="T4038" i="3"/>
  <c r="U2893" i="3"/>
  <c r="T2893" i="3"/>
  <c r="T3156" i="3"/>
  <c r="U3156" i="3"/>
  <c r="U3399" i="3"/>
  <c r="T3399" i="3"/>
  <c r="U3647" i="3"/>
  <c r="T3647" i="3"/>
  <c r="U3901" i="3"/>
  <c r="T3901" i="3"/>
  <c r="U4097" i="3"/>
  <c r="T4097" i="3"/>
  <c r="U1481" i="3"/>
  <c r="T1481" i="3"/>
  <c r="U11" i="3"/>
  <c r="T11" i="3"/>
  <c r="U169" i="3"/>
  <c r="T169" i="3"/>
  <c r="T336" i="3"/>
  <c r="U336" i="3"/>
  <c r="U1409" i="3"/>
  <c r="T1409" i="3"/>
  <c r="U713" i="3"/>
  <c r="T713" i="3"/>
  <c r="U1052" i="3"/>
  <c r="T1052" i="3"/>
  <c r="U275" i="3"/>
  <c r="T275" i="3"/>
  <c r="U281" i="3"/>
  <c r="T281" i="3"/>
  <c r="T264" i="3"/>
  <c r="U264" i="3"/>
  <c r="U142" i="3"/>
  <c r="T142" i="3"/>
  <c r="U269" i="3"/>
  <c r="T269" i="3"/>
  <c r="U1132" i="3"/>
  <c r="T1132" i="3"/>
  <c r="U458" i="3"/>
  <c r="T458" i="3"/>
  <c r="U1002" i="3"/>
  <c r="T1002" i="3"/>
  <c r="U1702" i="3"/>
  <c r="T1702" i="3"/>
  <c r="U662" i="3"/>
  <c r="T662" i="3"/>
  <c r="U950" i="3"/>
  <c r="T950" i="3"/>
  <c r="T1560" i="3"/>
  <c r="U1560" i="3"/>
  <c r="T364" i="3"/>
  <c r="U364" i="3"/>
  <c r="T616" i="3"/>
  <c r="U616" i="3"/>
  <c r="U883" i="3"/>
  <c r="T883" i="3"/>
  <c r="U1164" i="3"/>
  <c r="T1164" i="3"/>
  <c r="U1445" i="3"/>
  <c r="T1445" i="3"/>
  <c r="U301" i="3"/>
  <c r="T301" i="3"/>
  <c r="U554" i="3"/>
  <c r="T554" i="3"/>
  <c r="U832" i="3"/>
  <c r="T832" i="3"/>
  <c r="U1147" i="3"/>
  <c r="T1147" i="3"/>
  <c r="T1446" i="3"/>
  <c r="U1446" i="3"/>
  <c r="U286" i="3"/>
  <c r="T286" i="3"/>
  <c r="U555" i="3"/>
  <c r="T555" i="3"/>
  <c r="U817" i="3"/>
  <c r="T817" i="3"/>
  <c r="U1096" i="3"/>
  <c r="T1096" i="3"/>
  <c r="T1378" i="3"/>
  <c r="U1378" i="3"/>
  <c r="U2419" i="3"/>
  <c r="T2419" i="3"/>
  <c r="T224" i="3"/>
  <c r="U224" i="3"/>
  <c r="U479" i="3"/>
  <c r="T479" i="3"/>
  <c r="U732" i="3"/>
  <c r="T732" i="3"/>
  <c r="U1024" i="3"/>
  <c r="T1024" i="3"/>
  <c r="U1312" i="3"/>
  <c r="T1312" i="3"/>
  <c r="U1797" i="3"/>
  <c r="T1797" i="3"/>
  <c r="U2742" i="3"/>
  <c r="T2742" i="3"/>
  <c r="U529" i="3"/>
  <c r="T529" i="3"/>
  <c r="U803" i="3"/>
  <c r="T803" i="3"/>
  <c r="U1115" i="3"/>
  <c r="T1115" i="3"/>
  <c r="U1416" i="3"/>
  <c r="T1416" i="3"/>
  <c r="U2589" i="3"/>
  <c r="T2589" i="3"/>
  <c r="U514" i="3"/>
  <c r="T514" i="3"/>
  <c r="U788" i="3"/>
  <c r="T788" i="3"/>
  <c r="U1064" i="3"/>
  <c r="T1064" i="3"/>
  <c r="U1349" i="3"/>
  <c r="T1349" i="3"/>
  <c r="U2309" i="3"/>
  <c r="T2309" i="3"/>
  <c r="U483" i="3"/>
  <c r="T483" i="3"/>
  <c r="U736" i="3"/>
  <c r="T736" i="3"/>
  <c r="U1029" i="3"/>
  <c r="T1029" i="3"/>
  <c r="U1332" i="3"/>
  <c r="T1332" i="3"/>
  <c r="U2045" i="3"/>
  <c r="T2045" i="3"/>
  <c r="T452" i="3"/>
  <c r="U452" i="3"/>
  <c r="U703" i="3"/>
  <c r="T703" i="3"/>
  <c r="U977" i="3"/>
  <c r="T977" i="3"/>
  <c r="T1282" i="3"/>
  <c r="U1282" i="3"/>
  <c r="U1747" i="3"/>
  <c r="T1747" i="3"/>
  <c r="U405" i="3"/>
  <c r="T405" i="3"/>
  <c r="U656" i="3"/>
  <c r="T656" i="3"/>
  <c r="U926" i="3"/>
  <c r="T926" i="3"/>
  <c r="U1210" i="3"/>
  <c r="T1210" i="3"/>
  <c r="U1545" i="3"/>
  <c r="T1545" i="3"/>
  <c r="U342" i="3"/>
  <c r="T342" i="3"/>
  <c r="U610" i="3"/>
  <c r="T610" i="3"/>
  <c r="U876" i="3"/>
  <c r="T876" i="3"/>
  <c r="U1158" i="3"/>
  <c r="T1158" i="3"/>
  <c r="U1456" i="3"/>
  <c r="T1456" i="3"/>
  <c r="U295" i="3"/>
  <c r="T295" i="3"/>
  <c r="U563" i="3"/>
  <c r="T563" i="3"/>
  <c r="U826" i="3"/>
  <c r="T826" i="3"/>
  <c r="U1105" i="3"/>
  <c r="T1105" i="3"/>
  <c r="U1405" i="3"/>
  <c r="T1405" i="3"/>
  <c r="U2497" i="3"/>
  <c r="T2497" i="3"/>
  <c r="U345" i="3"/>
  <c r="T345" i="3"/>
  <c r="U597" i="3"/>
  <c r="T597" i="3"/>
  <c r="U862" i="3"/>
  <c r="T862" i="3"/>
  <c r="U1143" i="3"/>
  <c r="T1143" i="3"/>
  <c r="U1425" i="3"/>
  <c r="T1425" i="3"/>
  <c r="U2669" i="3"/>
  <c r="T2669" i="3"/>
  <c r="U948" i="3"/>
  <c r="T948" i="3"/>
  <c r="U1197" i="3"/>
  <c r="T1197" i="3"/>
  <c r="T1442" i="3"/>
  <c r="U1442" i="3"/>
  <c r="U1694" i="3"/>
  <c r="T1694" i="3"/>
  <c r="U1947" i="3"/>
  <c r="T1947" i="3"/>
  <c r="U2204" i="3"/>
  <c r="T2204" i="3"/>
  <c r="T2490" i="3"/>
  <c r="U2490" i="3"/>
  <c r="U2811" i="3"/>
  <c r="T2811" i="3"/>
  <c r="U1617" i="3"/>
  <c r="T1617" i="3"/>
  <c r="U1884" i="3"/>
  <c r="T1884" i="3"/>
  <c r="U2168" i="3"/>
  <c r="T2168" i="3"/>
  <c r="U2456" i="3"/>
  <c r="T2456" i="3"/>
  <c r="U2788" i="3"/>
  <c r="T2788" i="3"/>
  <c r="U1603" i="3"/>
  <c r="T1603" i="3"/>
  <c r="U1854" i="3"/>
  <c r="T1854" i="3"/>
  <c r="U2100" i="3"/>
  <c r="T2100" i="3"/>
  <c r="U2387" i="3"/>
  <c r="T2387" i="3"/>
  <c r="U2726" i="3"/>
  <c r="T2726" i="3"/>
  <c r="U1572" i="3"/>
  <c r="T1572" i="3"/>
  <c r="U1823" i="3"/>
  <c r="T1823" i="3"/>
  <c r="U2117" i="3"/>
  <c r="T2117" i="3"/>
  <c r="U2406" i="3"/>
  <c r="T2406" i="3"/>
  <c r="U2707" i="3"/>
  <c r="T2707" i="3"/>
  <c r="U1557" i="3"/>
  <c r="T1557" i="3"/>
  <c r="U1824" i="3"/>
  <c r="T1824" i="3"/>
  <c r="U2072" i="3"/>
  <c r="T2072" i="3"/>
  <c r="U2371" i="3"/>
  <c r="T2371" i="3"/>
  <c r="U2667" i="3"/>
  <c r="T2667" i="3"/>
  <c r="U790" i="3"/>
  <c r="T790" i="3"/>
  <c r="U1077" i="3"/>
  <c r="T1077" i="3"/>
  <c r="T1342" i="3"/>
  <c r="U1342" i="3"/>
  <c r="U1606" i="3"/>
  <c r="T1606" i="3"/>
  <c r="U1857" i="3"/>
  <c r="T1857" i="3"/>
  <c r="U2120" i="3"/>
  <c r="T2120" i="3"/>
  <c r="U2426" i="3"/>
  <c r="T2426" i="3"/>
  <c r="U2771" i="3"/>
  <c r="T2771" i="3"/>
  <c r="U1637" i="3"/>
  <c r="T1637" i="3"/>
  <c r="U1906" i="3"/>
  <c r="T1906" i="3"/>
  <c r="U2175" i="3"/>
  <c r="T2175" i="3"/>
  <c r="U2462" i="3"/>
  <c r="T2462" i="3"/>
  <c r="U2822" i="3"/>
  <c r="T2822" i="3"/>
  <c r="U2015" i="3"/>
  <c r="T2015" i="3"/>
  <c r="U2284" i="3"/>
  <c r="T2284" i="3"/>
  <c r="U2571" i="3"/>
  <c r="T2571" i="3"/>
  <c r="U2968" i="3"/>
  <c r="T2968" i="3"/>
  <c r="T1969" i="3"/>
  <c r="U1969" i="3"/>
  <c r="U2232" i="3"/>
  <c r="T2232" i="3"/>
  <c r="U2535" i="3"/>
  <c r="T2535" i="3"/>
  <c r="U2871" i="3"/>
  <c r="T2871" i="3"/>
  <c r="T1656" i="3"/>
  <c r="U1656" i="3"/>
  <c r="U1909" i="3"/>
  <c r="T1909" i="3"/>
  <c r="U2178" i="3"/>
  <c r="T2178" i="3"/>
  <c r="T2466" i="3"/>
  <c r="U2466" i="3"/>
  <c r="U2779" i="3"/>
  <c r="T2779" i="3"/>
  <c r="U1596" i="3"/>
  <c r="T1596" i="3"/>
  <c r="U1847" i="3"/>
  <c r="T1847" i="3"/>
  <c r="U2109" i="3"/>
  <c r="T2109" i="3"/>
  <c r="U2397" i="3"/>
  <c r="T2397" i="3"/>
  <c r="T2738" i="3"/>
  <c r="U2738" i="3"/>
  <c r="U1565" i="3"/>
  <c r="T1565" i="3"/>
  <c r="T1816" i="3"/>
  <c r="U1816" i="3"/>
  <c r="U2080" i="3"/>
  <c r="T2080" i="3"/>
  <c r="U2380" i="3"/>
  <c r="T2380" i="3"/>
  <c r="T2698" i="3"/>
  <c r="U2698" i="3"/>
  <c r="U1691" i="3"/>
  <c r="T1691" i="3"/>
  <c r="U1944" i="3"/>
  <c r="T1944" i="3"/>
  <c r="U2200" i="3"/>
  <c r="T2200" i="3"/>
  <c r="U2487" i="3"/>
  <c r="T2487" i="3"/>
  <c r="U2806" i="3"/>
  <c r="T2806" i="3"/>
  <c r="U1630" i="3"/>
  <c r="T1630" i="3"/>
  <c r="U1882" i="3"/>
  <c r="T1882" i="3"/>
  <c r="T2129" i="3"/>
  <c r="U2129" i="3"/>
  <c r="U2420" i="3"/>
  <c r="T2420" i="3"/>
  <c r="U2723" i="3"/>
  <c r="T2723" i="3"/>
  <c r="U2180" i="3"/>
  <c r="T2180" i="3"/>
  <c r="U2433" i="3"/>
  <c r="T2433" i="3"/>
  <c r="U2697" i="3"/>
  <c r="T2697" i="3"/>
  <c r="T3012" i="3"/>
  <c r="U3012" i="3"/>
  <c r="U3367" i="3"/>
  <c r="T3367" i="3"/>
  <c r="U3923" i="3"/>
  <c r="T3923" i="3"/>
  <c r="U3245" i="3"/>
  <c r="T3245" i="3"/>
  <c r="U3709" i="3"/>
  <c r="T3709" i="3"/>
  <c r="U3097" i="3"/>
  <c r="T3097" i="3"/>
  <c r="U3491" i="3"/>
  <c r="T3491" i="3"/>
  <c r="U2975" i="3"/>
  <c r="T2975" i="3"/>
  <c r="U3346" i="3"/>
  <c r="T3346" i="3"/>
  <c r="T3884" i="3"/>
  <c r="U3884" i="3"/>
  <c r="U3199" i="3"/>
  <c r="T3199" i="3"/>
  <c r="U3642" i="3"/>
  <c r="T3642" i="3"/>
  <c r="U2248" i="3"/>
  <c r="T2248" i="3"/>
  <c r="T2498" i="3"/>
  <c r="U2498" i="3"/>
  <c r="U2796" i="3"/>
  <c r="T2796" i="3"/>
  <c r="U3121" i="3"/>
  <c r="T3121" i="3"/>
  <c r="U3494" i="3"/>
  <c r="T3494" i="3"/>
  <c r="U3499" i="3"/>
  <c r="T3499" i="3"/>
  <c r="U3001" i="3"/>
  <c r="T3001" i="3"/>
  <c r="T3356" i="3"/>
  <c r="U3356" i="3"/>
  <c r="U3945" i="3"/>
  <c r="T3945" i="3"/>
  <c r="U3254" i="3"/>
  <c r="T3254" i="3"/>
  <c r="U3768" i="3"/>
  <c r="T3768" i="3"/>
  <c r="U3147" i="3"/>
  <c r="T3147" i="3"/>
  <c r="T3533" i="3"/>
  <c r="U3533" i="3"/>
  <c r="T3188" i="3"/>
  <c r="U3188" i="3"/>
  <c r="U3691" i="3"/>
  <c r="T3691" i="3"/>
  <c r="T3088" i="3"/>
  <c r="U3088" i="3"/>
  <c r="U3483" i="3"/>
  <c r="T3483" i="3"/>
  <c r="T2946" i="3"/>
  <c r="U2946" i="3"/>
  <c r="U3337" i="3"/>
  <c r="T3337" i="3"/>
  <c r="U3915" i="3"/>
  <c r="T3915" i="3"/>
  <c r="U3214" i="3"/>
  <c r="T3214" i="3"/>
  <c r="T3661" i="3"/>
  <c r="U3661" i="3"/>
  <c r="U3663" i="3"/>
  <c r="T3663" i="3"/>
  <c r="T3072" i="3"/>
  <c r="U3072" i="3"/>
  <c r="U3513" i="3"/>
  <c r="T3513" i="3"/>
  <c r="U2619" i="3"/>
  <c r="T2619" i="3"/>
  <c r="U2883" i="3"/>
  <c r="T2883" i="3"/>
  <c r="U3167" i="3"/>
  <c r="T3167" i="3"/>
  <c r="U3478" i="3"/>
  <c r="T3478" i="3"/>
  <c r="U3792" i="3"/>
  <c r="T3792" i="3"/>
  <c r="U3930" i="3"/>
  <c r="T3930" i="3"/>
  <c r="U3354" i="3"/>
  <c r="T3354" i="3"/>
  <c r="U3658" i="3"/>
  <c r="T3658" i="3"/>
  <c r="U3970" i="3"/>
  <c r="T3970" i="3"/>
  <c r="U3737" i="3"/>
  <c r="T3737" i="3"/>
  <c r="U4050" i="3"/>
  <c r="T4050" i="3"/>
  <c r="U3816" i="3"/>
  <c r="T3816" i="3"/>
  <c r="U4033" i="3"/>
  <c r="T4033" i="3"/>
  <c r="U2566" i="3"/>
  <c r="T2566" i="3"/>
  <c r="U2821" i="3"/>
  <c r="T2821" i="3"/>
  <c r="U3141" i="3"/>
  <c r="T3141" i="3"/>
  <c r="T3452" i="3"/>
  <c r="U3452" i="3"/>
  <c r="U3762" i="3"/>
  <c r="T3762" i="3"/>
  <c r="T4076" i="3"/>
  <c r="U4076" i="3"/>
  <c r="U3822" i="3"/>
  <c r="T3822" i="3"/>
  <c r="U3569" i="3"/>
  <c r="T3569" i="3"/>
  <c r="U3882" i="3"/>
  <c r="T3882" i="3"/>
  <c r="U3983" i="3"/>
  <c r="T3983" i="3"/>
  <c r="U3867" i="3"/>
  <c r="T3867" i="3"/>
  <c r="U3293" i="3"/>
  <c r="T3293" i="3"/>
  <c r="U3595" i="3"/>
  <c r="T3595" i="3"/>
  <c r="U3907" i="3"/>
  <c r="T3907" i="3"/>
  <c r="U2870" i="3"/>
  <c r="T2870" i="3"/>
  <c r="U3118" i="3"/>
  <c r="T3118" i="3"/>
  <c r="U3393" i="3"/>
  <c r="T3393" i="3"/>
  <c r="U3639" i="3"/>
  <c r="T3639" i="3"/>
  <c r="U3893" i="3"/>
  <c r="T3893" i="3"/>
  <c r="T3256" i="3"/>
  <c r="U3256" i="3"/>
  <c r="U3544" i="3"/>
  <c r="T3544" i="3"/>
  <c r="U3799" i="3"/>
  <c r="T3799" i="3"/>
  <c r="U4054" i="3"/>
  <c r="T4054" i="3"/>
  <c r="U2909" i="3"/>
  <c r="T2909" i="3"/>
  <c r="T3172" i="3"/>
  <c r="U3172" i="3"/>
  <c r="U3414" i="3"/>
  <c r="T3414" i="3"/>
  <c r="U3662" i="3"/>
  <c r="T3662" i="3"/>
  <c r="U3917" i="3"/>
  <c r="T3917" i="3"/>
  <c r="U4098" i="3"/>
  <c r="T4098" i="3"/>
  <c r="U153" i="3"/>
  <c r="T153" i="3"/>
  <c r="T384" i="3"/>
  <c r="U384" i="3"/>
  <c r="U40" i="3"/>
  <c r="T40" i="3"/>
  <c r="T564" i="3"/>
  <c r="U564" i="3"/>
  <c r="U848" i="3"/>
  <c r="T848" i="3"/>
  <c r="U446" i="3"/>
  <c r="T446" i="3"/>
  <c r="T116" i="3"/>
  <c r="U116" i="3"/>
  <c r="U119" i="3"/>
  <c r="T119" i="3"/>
  <c r="U139" i="3"/>
  <c r="T139" i="3"/>
  <c r="T432" i="3"/>
  <c r="U432" i="3"/>
  <c r="U1388" i="3"/>
  <c r="T1388" i="3"/>
  <c r="U109" i="3"/>
  <c r="T109" i="3"/>
  <c r="U203" i="3"/>
  <c r="T203" i="3"/>
  <c r="U709" i="3"/>
  <c r="T709" i="3"/>
  <c r="U1288" i="3"/>
  <c r="T1288" i="3"/>
  <c r="U411" i="3"/>
  <c r="T411" i="3"/>
  <c r="U1236" i="3"/>
  <c r="T1236" i="3"/>
  <c r="U270" i="3"/>
  <c r="T270" i="3"/>
  <c r="U982" i="3"/>
  <c r="T982" i="3"/>
  <c r="U147" i="3"/>
  <c r="T147" i="3"/>
  <c r="U1424" i="3"/>
  <c r="T1424" i="3"/>
  <c r="T1434" i="3"/>
  <c r="U1434" i="3"/>
  <c r="T360" i="3"/>
  <c r="U360" i="3"/>
  <c r="T168" i="3"/>
  <c r="U168" i="3"/>
  <c r="U5" i="3"/>
  <c r="T5" i="3"/>
  <c r="T376" i="3"/>
  <c r="U376" i="3"/>
  <c r="U134" i="3"/>
  <c r="T134" i="3"/>
  <c r="U8" i="3"/>
  <c r="T8" i="3"/>
  <c r="T400" i="3"/>
  <c r="U400" i="3"/>
  <c r="U137" i="3"/>
  <c r="T137" i="3"/>
  <c r="U1515" i="3"/>
  <c r="T1515" i="3"/>
  <c r="T288" i="3"/>
  <c r="U288" i="3"/>
  <c r="U158" i="3"/>
  <c r="T158" i="3"/>
  <c r="U31" i="3"/>
  <c r="T31" i="3"/>
  <c r="U557" i="3"/>
  <c r="T557" i="3"/>
  <c r="T160" i="3"/>
  <c r="U160" i="3"/>
  <c r="U1591" i="3"/>
  <c r="T1591" i="3"/>
  <c r="T320" i="3"/>
  <c r="U320" i="3"/>
  <c r="U127" i="3"/>
  <c r="T127" i="3"/>
  <c r="U1277" i="3"/>
  <c r="T1277" i="3"/>
  <c r="U219" i="3"/>
  <c r="T219" i="3"/>
  <c r="U474" i="3"/>
  <c r="T474" i="3"/>
  <c r="U726" i="3"/>
  <c r="T726" i="3"/>
  <c r="U1020" i="3"/>
  <c r="T1020" i="3"/>
  <c r="T1306" i="3"/>
  <c r="U1306" i="3"/>
  <c r="U1771" i="3"/>
  <c r="T1771" i="3"/>
  <c r="U427" i="3"/>
  <c r="T427" i="3"/>
  <c r="U678" i="3"/>
  <c r="T678" i="3"/>
  <c r="U967" i="3"/>
  <c r="T967" i="3"/>
  <c r="U1253" i="3"/>
  <c r="T1253" i="3"/>
  <c r="T1594" i="3"/>
  <c r="U1594" i="3"/>
  <c r="T380" i="3"/>
  <c r="U380" i="3"/>
  <c r="U631" i="3"/>
  <c r="T631" i="3"/>
  <c r="U900" i="3"/>
  <c r="T900" i="3"/>
  <c r="U1182" i="3"/>
  <c r="T1182" i="3"/>
  <c r="T1464" i="3"/>
  <c r="U1464" i="3"/>
  <c r="U317" i="3"/>
  <c r="T317" i="3"/>
  <c r="U569" i="3"/>
  <c r="T569" i="3"/>
  <c r="U850" i="3"/>
  <c r="T850" i="3"/>
  <c r="U1165" i="3"/>
  <c r="T1165" i="3"/>
  <c r="U1465" i="3"/>
  <c r="T1465" i="3"/>
  <c r="U302" i="3"/>
  <c r="T302" i="3"/>
  <c r="U570" i="3"/>
  <c r="T570" i="3"/>
  <c r="U834" i="3"/>
  <c r="T834" i="3"/>
  <c r="U1112" i="3"/>
  <c r="T1112" i="3"/>
  <c r="T1394" i="3"/>
  <c r="U1394" i="3"/>
  <c r="U2561" i="3"/>
  <c r="T2561" i="3"/>
  <c r="T240" i="3"/>
  <c r="U240" i="3"/>
  <c r="U495" i="3"/>
  <c r="T495" i="3"/>
  <c r="U749" i="3"/>
  <c r="T749" i="3"/>
  <c r="U1042" i="3"/>
  <c r="T1042" i="3"/>
  <c r="U1329" i="3"/>
  <c r="T1329" i="3"/>
  <c r="T1889" i="3"/>
  <c r="U1889" i="3"/>
  <c r="U289" i="3"/>
  <c r="T289" i="3"/>
  <c r="U542" i="3"/>
  <c r="T542" i="3"/>
  <c r="U837" i="3"/>
  <c r="T837" i="3"/>
  <c r="U1133" i="3"/>
  <c r="T1133" i="3"/>
  <c r="U1435" i="3"/>
  <c r="T1435" i="3"/>
  <c r="U2753" i="3"/>
  <c r="T2753" i="3"/>
  <c r="U530" i="3"/>
  <c r="T530" i="3"/>
  <c r="U805" i="3"/>
  <c r="T805" i="3"/>
  <c r="U1082" i="3"/>
  <c r="T1082" i="3"/>
  <c r="T1366" i="3"/>
  <c r="U1366" i="3"/>
  <c r="U2453" i="3"/>
  <c r="T2453" i="3"/>
  <c r="U499" i="3"/>
  <c r="T499" i="3"/>
  <c r="U753" i="3"/>
  <c r="T753" i="3"/>
  <c r="U1047" i="3"/>
  <c r="T1047" i="3"/>
  <c r="T1350" i="3"/>
  <c r="U1350" i="3"/>
  <c r="U2174" i="3"/>
  <c r="T2174" i="3"/>
  <c r="T468" i="3"/>
  <c r="U468" i="3"/>
  <c r="U719" i="3"/>
  <c r="T719" i="3"/>
  <c r="U995" i="3"/>
  <c r="T995" i="3"/>
  <c r="U1300" i="3"/>
  <c r="T1300" i="3"/>
  <c r="U1826" i="3"/>
  <c r="T1826" i="3"/>
  <c r="U421" i="3"/>
  <c r="T421" i="3"/>
  <c r="U672" i="3"/>
  <c r="T672" i="3"/>
  <c r="U944" i="3"/>
  <c r="T944" i="3"/>
  <c r="U1228" i="3"/>
  <c r="T1228" i="3"/>
  <c r="T1582" i="3"/>
  <c r="U1582" i="3"/>
  <c r="U358" i="3"/>
  <c r="T358" i="3"/>
  <c r="U625" i="3"/>
  <c r="T625" i="3"/>
  <c r="U895" i="3"/>
  <c r="T895" i="3"/>
  <c r="U1193" i="3"/>
  <c r="T1193" i="3"/>
  <c r="T1478" i="3"/>
  <c r="U1478" i="3"/>
  <c r="U311" i="3"/>
  <c r="T311" i="3"/>
  <c r="U579" i="3"/>
  <c r="T579" i="3"/>
  <c r="U843" i="3"/>
  <c r="T843" i="3"/>
  <c r="U1122" i="3"/>
  <c r="T1122" i="3"/>
  <c r="U1423" i="3"/>
  <c r="T1423" i="3"/>
  <c r="T2650" i="3"/>
  <c r="U2650" i="3"/>
  <c r="U361" i="3"/>
  <c r="T361" i="3"/>
  <c r="U613" i="3"/>
  <c r="T613" i="3"/>
  <c r="U880" i="3"/>
  <c r="T880" i="3"/>
  <c r="U1161" i="3"/>
  <c r="T1161" i="3"/>
  <c r="U1441" i="3"/>
  <c r="T1441" i="3"/>
  <c r="U2844" i="3"/>
  <c r="T2844" i="3"/>
  <c r="U963" i="3"/>
  <c r="T963" i="3"/>
  <c r="U1213" i="3"/>
  <c r="T1213" i="3"/>
  <c r="T1458" i="3"/>
  <c r="U1458" i="3"/>
  <c r="U1709" i="3"/>
  <c r="T1709" i="3"/>
  <c r="T1961" i="3"/>
  <c r="U1961" i="3"/>
  <c r="U2222" i="3"/>
  <c r="T2222" i="3"/>
  <c r="U2507" i="3"/>
  <c r="T2507" i="3"/>
  <c r="U2835" i="3"/>
  <c r="T2835" i="3"/>
  <c r="T1632" i="3"/>
  <c r="U1632" i="3"/>
  <c r="U1900" i="3"/>
  <c r="T1900" i="3"/>
  <c r="U2187" i="3"/>
  <c r="T2187" i="3"/>
  <c r="T2474" i="3"/>
  <c r="U2474" i="3"/>
  <c r="U2813" i="3"/>
  <c r="T2813" i="3"/>
  <c r="U1618" i="3"/>
  <c r="T1618" i="3"/>
  <c r="U1870" i="3"/>
  <c r="T1870" i="3"/>
  <c r="U2116" i="3"/>
  <c r="T2116" i="3"/>
  <c r="U2405" i="3"/>
  <c r="T2405" i="3"/>
  <c r="U2747" i="3"/>
  <c r="T2747" i="3"/>
  <c r="U1588" i="3"/>
  <c r="T1588" i="3"/>
  <c r="U1839" i="3"/>
  <c r="T1839" i="3"/>
  <c r="U2134" i="3"/>
  <c r="T2134" i="3"/>
  <c r="U2424" i="3"/>
  <c r="T2424" i="3"/>
  <c r="U2727" i="3"/>
  <c r="T2727" i="3"/>
  <c r="U1573" i="3"/>
  <c r="T1573" i="3"/>
  <c r="U1840" i="3"/>
  <c r="T1840" i="3"/>
  <c r="U2087" i="3"/>
  <c r="T2087" i="3"/>
  <c r="U2389" i="3"/>
  <c r="T2389" i="3"/>
  <c r="U2687" i="3"/>
  <c r="T2687" i="3"/>
  <c r="U804" i="3"/>
  <c r="T804" i="3"/>
  <c r="U1093" i="3"/>
  <c r="T1093" i="3"/>
  <c r="U1357" i="3"/>
  <c r="T1357" i="3"/>
  <c r="U1621" i="3"/>
  <c r="T1621" i="3"/>
  <c r="U1873" i="3"/>
  <c r="T1873" i="3"/>
  <c r="U2136" i="3"/>
  <c r="T2136" i="3"/>
  <c r="U2443" i="3"/>
  <c r="T2443" i="3"/>
  <c r="U2795" i="3"/>
  <c r="T2795" i="3"/>
  <c r="U1653" i="3"/>
  <c r="T1653" i="3"/>
  <c r="U1922" i="3"/>
  <c r="T1922" i="3"/>
  <c r="T2193" i="3"/>
  <c r="U2193" i="3"/>
  <c r="U2480" i="3"/>
  <c r="T2480" i="3"/>
  <c r="U2845" i="3"/>
  <c r="T2845" i="3"/>
  <c r="U2031" i="3"/>
  <c r="T2031" i="3"/>
  <c r="U2302" i="3"/>
  <c r="T2302" i="3"/>
  <c r="U2592" i="3"/>
  <c r="T2592" i="3"/>
  <c r="U3091" i="3"/>
  <c r="T3091" i="3"/>
  <c r="U1984" i="3"/>
  <c r="T1984" i="3"/>
  <c r="U2250" i="3"/>
  <c r="T2250" i="3"/>
  <c r="T2554" i="3"/>
  <c r="U2554" i="3"/>
  <c r="U2899" i="3"/>
  <c r="T2899" i="3"/>
  <c r="T1672" i="3"/>
  <c r="U1672" i="3"/>
  <c r="U1925" i="3"/>
  <c r="T1925" i="3"/>
  <c r="U2197" i="3"/>
  <c r="T2197" i="3"/>
  <c r="U2484" i="3"/>
  <c r="T2484" i="3"/>
  <c r="T2802" i="3"/>
  <c r="U2802" i="3"/>
  <c r="U1611" i="3"/>
  <c r="T1611" i="3"/>
  <c r="U1863" i="3"/>
  <c r="T1863" i="3"/>
  <c r="U2125" i="3"/>
  <c r="T2125" i="3"/>
  <c r="U2415" i="3"/>
  <c r="T2415" i="3"/>
  <c r="U2759" i="3"/>
  <c r="T2759" i="3"/>
  <c r="U1581" i="3"/>
  <c r="T1581" i="3"/>
  <c r="U1832" i="3"/>
  <c r="T1832" i="3"/>
  <c r="U2110" i="3"/>
  <c r="T2110" i="3"/>
  <c r="U2398" i="3"/>
  <c r="T2398" i="3"/>
  <c r="U2718" i="3"/>
  <c r="T2718" i="3"/>
  <c r="U1706" i="3"/>
  <c r="T1706" i="3"/>
  <c r="U1958" i="3"/>
  <c r="T1958" i="3"/>
  <c r="U2219" i="3"/>
  <c r="T2219" i="3"/>
  <c r="U2504" i="3"/>
  <c r="T2504" i="3"/>
  <c r="U2829" i="3"/>
  <c r="T2829" i="3"/>
  <c r="U1645" i="3"/>
  <c r="T1645" i="3"/>
  <c r="U1898" i="3"/>
  <c r="T1898" i="3"/>
  <c r="U2147" i="3"/>
  <c r="T2147" i="3"/>
  <c r="U2436" i="3"/>
  <c r="T2436" i="3"/>
  <c r="U2743" i="3"/>
  <c r="T2743" i="3"/>
  <c r="U2196" i="3"/>
  <c r="T2196" i="3"/>
  <c r="U2447" i="3"/>
  <c r="T2447" i="3"/>
  <c r="U2715" i="3"/>
  <c r="T2715" i="3"/>
  <c r="U3033" i="3"/>
  <c r="T3033" i="3"/>
  <c r="U3394" i="3"/>
  <c r="T3394" i="3"/>
  <c r="U2932" i="3"/>
  <c r="T2932" i="3"/>
  <c r="T3268" i="3"/>
  <c r="U3268" i="3"/>
  <c r="T3748" i="3"/>
  <c r="U3748" i="3"/>
  <c r="U3117" i="3"/>
  <c r="T3117" i="3"/>
  <c r="U3518" i="3"/>
  <c r="T3518" i="3"/>
  <c r="U2995" i="3"/>
  <c r="T2995" i="3"/>
  <c r="U3374" i="3"/>
  <c r="T3374" i="3"/>
  <c r="U3936" i="3"/>
  <c r="T3936" i="3"/>
  <c r="T3224" i="3"/>
  <c r="U3224" i="3"/>
  <c r="T3680" i="3"/>
  <c r="U3680" i="3"/>
  <c r="U2263" i="3"/>
  <c r="T2263" i="3"/>
  <c r="T2514" i="3"/>
  <c r="U2514" i="3"/>
  <c r="U2817" i="3"/>
  <c r="T2817" i="3"/>
  <c r="U3143" i="3"/>
  <c r="T3143" i="3"/>
  <c r="T3524" i="3"/>
  <c r="U3524" i="3"/>
  <c r="U3525" i="3"/>
  <c r="T3525" i="3"/>
  <c r="U3021" i="3"/>
  <c r="T3021" i="3"/>
  <c r="T3380" i="3"/>
  <c r="U3380" i="3"/>
  <c r="U2923" i="3"/>
  <c r="T2923" i="3"/>
  <c r="U3305" i="3"/>
  <c r="T3305" i="3"/>
  <c r="U3807" i="3"/>
  <c r="T3807" i="3"/>
  <c r="U3166" i="3"/>
  <c r="T3166" i="3"/>
  <c r="T3572" i="3"/>
  <c r="U3572" i="3"/>
  <c r="T3208" i="3"/>
  <c r="U3208" i="3"/>
  <c r="U3730" i="3"/>
  <c r="T3730" i="3"/>
  <c r="T3108" i="3"/>
  <c r="U3108" i="3"/>
  <c r="U3506" i="3"/>
  <c r="T3506" i="3"/>
  <c r="U2966" i="3"/>
  <c r="T2966" i="3"/>
  <c r="U3361" i="3"/>
  <c r="T3361" i="3"/>
  <c r="U3963" i="3"/>
  <c r="T3963" i="3"/>
  <c r="U3237" i="3"/>
  <c r="T3237" i="3"/>
  <c r="T3700" i="3"/>
  <c r="U3700" i="3"/>
  <c r="U3701" i="3"/>
  <c r="T3701" i="3"/>
  <c r="T3092" i="3"/>
  <c r="U3092" i="3"/>
  <c r="U3550" i="3"/>
  <c r="T3550" i="3"/>
  <c r="U2635" i="3"/>
  <c r="T2635" i="3"/>
  <c r="U2902" i="3"/>
  <c r="T2902" i="3"/>
  <c r="T3184" i="3"/>
  <c r="U3184" i="3"/>
  <c r="U3498" i="3"/>
  <c r="T3498" i="3"/>
  <c r="U3810" i="3"/>
  <c r="T3810" i="3"/>
  <c r="U3950" i="3"/>
  <c r="T3950" i="3"/>
  <c r="U3373" i="3"/>
  <c r="T3373" i="3"/>
  <c r="T3676" i="3"/>
  <c r="U3676" i="3"/>
  <c r="U3991" i="3"/>
  <c r="T3991" i="3"/>
  <c r="T3756" i="3"/>
  <c r="U3756" i="3"/>
  <c r="U4071" i="3"/>
  <c r="T4071" i="3"/>
  <c r="U3835" i="3"/>
  <c r="T3835" i="3"/>
  <c r="T4052" i="3"/>
  <c r="U4052" i="3"/>
  <c r="U2581" i="3"/>
  <c r="T2581" i="3"/>
  <c r="U2840" i="3"/>
  <c r="T2840" i="3"/>
  <c r="U3158" i="3"/>
  <c r="T3158" i="3"/>
  <c r="U3469" i="3"/>
  <c r="T3469" i="3"/>
  <c r="U3781" i="3"/>
  <c r="T3781" i="3"/>
  <c r="U3529" i="3"/>
  <c r="T3529" i="3"/>
  <c r="U3841" i="3"/>
  <c r="T3841" i="3"/>
  <c r="T3588" i="3"/>
  <c r="U3588" i="3"/>
  <c r="U3902" i="3"/>
  <c r="T3902" i="3"/>
  <c r="U4002" i="3"/>
  <c r="T4002" i="3"/>
  <c r="U3887" i="3"/>
  <c r="T3887" i="3"/>
  <c r="U3311" i="3"/>
  <c r="T3311" i="3"/>
  <c r="U3614" i="3"/>
  <c r="T3614" i="3"/>
  <c r="U3928" i="3"/>
  <c r="T3928" i="3"/>
  <c r="U2885" i="3"/>
  <c r="T2885" i="3"/>
  <c r="U3134" i="3"/>
  <c r="T3134" i="3"/>
  <c r="U3407" i="3"/>
  <c r="T3407" i="3"/>
  <c r="U3655" i="3"/>
  <c r="T3655" i="3"/>
  <c r="U3909" i="3"/>
  <c r="T3909" i="3"/>
  <c r="U3270" i="3"/>
  <c r="T3270" i="3"/>
  <c r="U3560" i="3"/>
  <c r="T3560" i="3"/>
  <c r="U3814" i="3"/>
  <c r="T3814" i="3"/>
  <c r="U4070" i="3"/>
  <c r="T4070" i="3"/>
  <c r="T2938" i="3"/>
  <c r="U2938" i="3"/>
  <c r="U3187" i="3"/>
  <c r="T3187" i="3"/>
  <c r="U3430" i="3"/>
  <c r="T3430" i="3"/>
  <c r="U3678" i="3"/>
  <c r="T3678" i="3"/>
  <c r="U3933" i="3"/>
  <c r="T3933" i="3"/>
  <c r="U207" i="3"/>
  <c r="T207" i="3"/>
  <c r="U777" i="3"/>
  <c r="T777" i="3"/>
  <c r="T1498" i="3"/>
  <c r="U1498" i="3"/>
  <c r="U32" i="3"/>
  <c r="T32" i="3"/>
  <c r="U1127" i="3"/>
  <c r="T1127" i="3"/>
  <c r="U383" i="3"/>
  <c r="T383" i="3"/>
  <c r="T1338" i="3"/>
  <c r="U1338" i="3"/>
  <c r="T1286" i="3"/>
  <c r="U1286" i="3"/>
  <c r="U1468" i="3"/>
  <c r="T1468" i="3"/>
  <c r="U1214" i="3"/>
  <c r="T1214" i="3"/>
  <c r="U13" i="3"/>
  <c r="T13" i="3"/>
  <c r="U1268" i="3"/>
  <c r="T1268" i="3"/>
  <c r="U234" i="3"/>
  <c r="T234" i="3"/>
  <c r="U165" i="3"/>
  <c r="T165" i="3"/>
  <c r="T148" i="3"/>
  <c r="U148" i="3"/>
  <c r="U21" i="3"/>
  <c r="T21" i="3"/>
  <c r="T488" i="3"/>
  <c r="U488" i="3"/>
  <c r="U185" i="3"/>
  <c r="T185" i="3"/>
  <c r="U23" i="3"/>
  <c r="T23" i="3"/>
  <c r="T504" i="3"/>
  <c r="U504" i="3"/>
  <c r="T152" i="3"/>
  <c r="U152" i="3"/>
  <c r="U26" i="3"/>
  <c r="T26" i="3"/>
  <c r="T528" i="3"/>
  <c r="U528" i="3"/>
  <c r="U155" i="3"/>
  <c r="T155" i="3"/>
  <c r="U10" i="3"/>
  <c r="T10" i="3"/>
  <c r="T416" i="3"/>
  <c r="U416" i="3"/>
  <c r="U175" i="3"/>
  <c r="T175" i="3"/>
  <c r="U50" i="3"/>
  <c r="T50" i="3"/>
  <c r="U683" i="3"/>
  <c r="T683" i="3"/>
  <c r="U178" i="3"/>
  <c r="T178" i="3"/>
  <c r="U15" i="3"/>
  <c r="T15" i="3"/>
  <c r="T448" i="3"/>
  <c r="U448" i="3"/>
  <c r="U146" i="3"/>
  <c r="T146" i="3"/>
  <c r="U1415" i="3"/>
  <c r="T1415" i="3"/>
  <c r="U235" i="3"/>
  <c r="T235" i="3"/>
  <c r="U490" i="3"/>
  <c r="T490" i="3"/>
  <c r="U744" i="3"/>
  <c r="T744" i="3"/>
  <c r="U1037" i="3"/>
  <c r="T1037" i="3"/>
  <c r="U1324" i="3"/>
  <c r="T1324" i="3"/>
  <c r="U1858" i="3"/>
  <c r="T1858" i="3"/>
  <c r="U443" i="3"/>
  <c r="T443" i="3"/>
  <c r="U694" i="3"/>
  <c r="T694" i="3"/>
  <c r="U986" i="3"/>
  <c r="T986" i="3"/>
  <c r="U1271" i="3"/>
  <c r="T1271" i="3"/>
  <c r="U1644" i="3"/>
  <c r="T1644" i="3"/>
  <c r="T396" i="3"/>
  <c r="U396" i="3"/>
  <c r="U647" i="3"/>
  <c r="T647" i="3"/>
  <c r="U916" i="3"/>
  <c r="T916" i="3"/>
  <c r="U1200" i="3"/>
  <c r="T1200" i="3"/>
  <c r="T1488" i="3"/>
  <c r="U1488" i="3"/>
  <c r="U333" i="3"/>
  <c r="T333" i="3"/>
  <c r="U585" i="3"/>
  <c r="T585" i="3"/>
  <c r="U867" i="3"/>
  <c r="T867" i="3"/>
  <c r="U1183" i="3"/>
  <c r="T1183" i="3"/>
  <c r="U1489" i="3"/>
  <c r="T1489" i="3"/>
  <c r="U318" i="3"/>
  <c r="T318" i="3"/>
  <c r="U586" i="3"/>
  <c r="T586" i="3"/>
  <c r="U851" i="3"/>
  <c r="T851" i="3"/>
  <c r="U1130" i="3"/>
  <c r="T1130" i="3"/>
  <c r="U1413" i="3"/>
  <c r="T1413" i="3"/>
  <c r="T2722" i="3"/>
  <c r="U2722" i="3"/>
  <c r="U255" i="3"/>
  <c r="T255" i="3"/>
  <c r="U511" i="3"/>
  <c r="T511" i="3"/>
  <c r="U767" i="3"/>
  <c r="T767" i="3"/>
  <c r="U1060" i="3"/>
  <c r="T1060" i="3"/>
  <c r="T1346" i="3"/>
  <c r="U1346" i="3"/>
  <c r="U2013" i="3"/>
  <c r="T2013" i="3"/>
  <c r="U305" i="3"/>
  <c r="T305" i="3"/>
  <c r="U558" i="3"/>
  <c r="T558" i="3"/>
  <c r="U853" i="3"/>
  <c r="T853" i="3"/>
  <c r="U1152" i="3"/>
  <c r="T1152" i="3"/>
  <c r="U1451" i="3"/>
  <c r="T1451" i="3"/>
  <c r="U290" i="3"/>
  <c r="T290" i="3"/>
  <c r="U543" i="3"/>
  <c r="T543" i="3"/>
  <c r="U821" i="3"/>
  <c r="T821" i="3"/>
  <c r="U1100" i="3"/>
  <c r="T1100" i="3"/>
  <c r="U1399" i="3"/>
  <c r="T1399" i="3"/>
  <c r="U2599" i="3"/>
  <c r="T2599" i="3"/>
  <c r="U515" i="3"/>
  <c r="T515" i="3"/>
  <c r="U771" i="3"/>
  <c r="T771" i="3"/>
  <c r="U1065" i="3"/>
  <c r="T1065" i="3"/>
  <c r="U1367" i="3"/>
  <c r="T1367" i="3"/>
  <c r="U2318" i="3"/>
  <c r="T2318" i="3"/>
  <c r="T484" i="3"/>
  <c r="U484" i="3"/>
  <c r="U737" i="3"/>
  <c r="T737" i="3"/>
  <c r="U1013" i="3"/>
  <c r="T1013" i="3"/>
  <c r="T1318" i="3"/>
  <c r="U1318" i="3"/>
  <c r="T1929" i="3"/>
  <c r="U1929" i="3"/>
  <c r="U437" i="3"/>
  <c r="T437" i="3"/>
  <c r="U688" i="3"/>
  <c r="T688" i="3"/>
  <c r="U960" i="3"/>
  <c r="T960" i="3"/>
  <c r="T1246" i="3"/>
  <c r="U1246" i="3"/>
  <c r="T1624" i="3"/>
  <c r="U1624" i="3"/>
  <c r="U374" i="3"/>
  <c r="T374" i="3"/>
  <c r="T641" i="3"/>
  <c r="U641" i="3"/>
  <c r="U910" i="3"/>
  <c r="T910" i="3"/>
  <c r="U1211" i="3"/>
  <c r="T1211" i="3"/>
  <c r="U1513" i="3"/>
  <c r="T1513" i="3"/>
  <c r="U327" i="3"/>
  <c r="T327" i="3"/>
  <c r="U595" i="3"/>
  <c r="T595" i="3"/>
  <c r="U860" i="3"/>
  <c r="T860" i="3"/>
  <c r="U1141" i="3"/>
  <c r="T1141" i="3"/>
  <c r="U1440" i="3"/>
  <c r="T1440" i="3"/>
  <c r="U2820" i="3"/>
  <c r="T2820" i="3"/>
  <c r="U377" i="3"/>
  <c r="T377" i="3"/>
  <c r="T628" i="3"/>
  <c r="U628" i="3"/>
  <c r="U898" i="3"/>
  <c r="T898" i="3"/>
  <c r="U1178" i="3"/>
  <c r="T1178" i="3"/>
  <c r="U1460" i="3"/>
  <c r="T1460" i="3"/>
  <c r="U723" i="3"/>
  <c r="T723" i="3"/>
  <c r="U979" i="3"/>
  <c r="T979" i="3"/>
  <c r="U1229" i="3"/>
  <c r="T1229" i="3"/>
  <c r="T1474" i="3"/>
  <c r="U1474" i="3"/>
  <c r="U1725" i="3"/>
  <c r="T1725" i="3"/>
  <c r="U1976" i="3"/>
  <c r="T1976" i="3"/>
  <c r="U2240" i="3"/>
  <c r="T2240" i="3"/>
  <c r="U2525" i="3"/>
  <c r="T2525" i="3"/>
  <c r="U2860" i="3"/>
  <c r="T2860" i="3"/>
  <c r="U1647" i="3"/>
  <c r="T1647" i="3"/>
  <c r="U1916" i="3"/>
  <c r="T1916" i="3"/>
  <c r="U2205" i="3"/>
  <c r="T2205" i="3"/>
  <c r="U2491" i="3"/>
  <c r="T2491" i="3"/>
  <c r="U2836" i="3"/>
  <c r="T2836" i="3"/>
  <c r="U1633" i="3"/>
  <c r="T1633" i="3"/>
  <c r="T1885" i="3"/>
  <c r="U1885" i="3"/>
  <c r="U2133" i="3"/>
  <c r="T2133" i="3"/>
  <c r="U2440" i="3"/>
  <c r="T2440" i="3"/>
  <c r="U2766" i="3"/>
  <c r="T2766" i="3"/>
  <c r="U1604" i="3"/>
  <c r="T1604" i="3"/>
  <c r="U1855" i="3"/>
  <c r="T1855" i="3"/>
  <c r="U2152" i="3"/>
  <c r="T2152" i="3"/>
  <c r="U2441" i="3"/>
  <c r="T2441" i="3"/>
  <c r="U2748" i="3"/>
  <c r="T2748" i="3"/>
  <c r="U1589" i="3"/>
  <c r="T1589" i="3"/>
  <c r="U1856" i="3"/>
  <c r="T1856" i="3"/>
  <c r="U2102" i="3"/>
  <c r="T2102" i="3"/>
  <c r="U2408" i="3"/>
  <c r="T2408" i="3"/>
  <c r="U2708" i="3"/>
  <c r="T2708" i="3"/>
  <c r="U819" i="3"/>
  <c r="T819" i="3"/>
  <c r="U1123" i="3"/>
  <c r="T1123" i="3"/>
  <c r="U1385" i="3"/>
  <c r="T1385" i="3"/>
  <c r="U1635" i="3"/>
  <c r="T1635" i="3"/>
  <c r="U1888" i="3"/>
  <c r="T1888" i="3"/>
  <c r="U2155" i="3"/>
  <c r="T2155" i="3"/>
  <c r="U2460" i="3"/>
  <c r="T2460" i="3"/>
  <c r="U2819" i="3"/>
  <c r="T2819" i="3"/>
  <c r="U1669" i="3"/>
  <c r="T1669" i="3"/>
  <c r="U1938" i="3"/>
  <c r="T1938" i="3"/>
  <c r="U2211" i="3"/>
  <c r="T2211" i="3"/>
  <c r="U2516" i="3"/>
  <c r="T2516" i="3"/>
  <c r="U2868" i="3"/>
  <c r="T2868" i="3"/>
  <c r="U2047" i="3"/>
  <c r="T2047" i="3"/>
  <c r="U2320" i="3"/>
  <c r="T2320" i="3"/>
  <c r="U2612" i="3"/>
  <c r="T2612" i="3"/>
  <c r="U3265" i="3"/>
  <c r="T3265" i="3"/>
  <c r="U2000" i="3"/>
  <c r="T2000" i="3"/>
  <c r="U2267" i="3"/>
  <c r="T2267" i="3"/>
  <c r="U2572" i="3"/>
  <c r="T2572" i="3"/>
  <c r="U2979" i="3"/>
  <c r="T2979" i="3"/>
  <c r="T1688" i="3"/>
  <c r="U1688" i="3"/>
  <c r="U1941" i="3"/>
  <c r="T1941" i="3"/>
  <c r="U2215" i="3"/>
  <c r="T2215" i="3"/>
  <c r="U2501" i="3"/>
  <c r="T2501" i="3"/>
  <c r="T2826" i="3"/>
  <c r="U2826" i="3"/>
  <c r="U1626" i="3"/>
  <c r="T1626" i="3"/>
  <c r="U1894" i="3"/>
  <c r="T1894" i="3"/>
  <c r="U2143" i="3"/>
  <c r="T2143" i="3"/>
  <c r="U2432" i="3"/>
  <c r="T2432" i="3"/>
  <c r="U2780" i="3"/>
  <c r="T2780" i="3"/>
  <c r="U1597" i="3"/>
  <c r="T1597" i="3"/>
  <c r="U1848" i="3"/>
  <c r="T1848" i="3"/>
  <c r="U2126" i="3"/>
  <c r="T2126" i="3"/>
  <c r="U2416" i="3"/>
  <c r="T2416" i="3"/>
  <c r="U2740" i="3"/>
  <c r="T2740" i="3"/>
  <c r="U1722" i="3"/>
  <c r="T1722" i="3"/>
  <c r="U1973" i="3"/>
  <c r="T1973" i="3"/>
  <c r="U2237" i="3"/>
  <c r="T2237" i="3"/>
  <c r="U2521" i="3"/>
  <c r="T2521" i="3"/>
  <c r="U2854" i="3"/>
  <c r="T2854" i="3"/>
  <c r="U1661" i="3"/>
  <c r="T1661" i="3"/>
  <c r="U1914" i="3"/>
  <c r="T1914" i="3"/>
  <c r="U2166" i="3"/>
  <c r="T2166" i="3"/>
  <c r="U2454" i="3"/>
  <c r="T2454" i="3"/>
  <c r="U2764" i="3"/>
  <c r="T2764" i="3"/>
  <c r="U2212" i="3"/>
  <c r="T2212" i="3"/>
  <c r="U2463" i="3"/>
  <c r="T2463" i="3"/>
  <c r="U2733" i="3"/>
  <c r="T2733" i="3"/>
  <c r="U3053" i="3"/>
  <c r="T3053" i="3"/>
  <c r="U3417" i="3"/>
  <c r="T3417" i="3"/>
  <c r="U2951" i="3"/>
  <c r="T2951" i="3"/>
  <c r="U3291" i="3"/>
  <c r="T3291" i="3"/>
  <c r="T3788" i="3"/>
  <c r="U3788" i="3"/>
  <c r="U3138" i="3"/>
  <c r="T3138" i="3"/>
  <c r="U3554" i="3"/>
  <c r="T3554" i="3"/>
  <c r="U3017" i="3"/>
  <c r="T3017" i="3"/>
  <c r="U3397" i="3"/>
  <c r="T3397" i="3"/>
  <c r="U2918" i="3"/>
  <c r="T2918" i="3"/>
  <c r="U3250" i="3"/>
  <c r="T3250" i="3"/>
  <c r="U3720" i="3"/>
  <c r="T3720" i="3"/>
  <c r="U2279" i="3"/>
  <c r="T2279" i="3"/>
  <c r="U2529" i="3"/>
  <c r="T2529" i="3"/>
  <c r="U2837" i="3"/>
  <c r="T2837" i="3"/>
  <c r="U3161" i="3"/>
  <c r="T3161" i="3"/>
  <c r="T3564" i="3"/>
  <c r="U3564" i="3"/>
  <c r="U3565" i="3"/>
  <c r="T3565" i="3"/>
  <c r="U3042" i="3"/>
  <c r="T3042" i="3"/>
  <c r="U3402" i="3"/>
  <c r="T3402" i="3"/>
  <c r="U2941" i="3"/>
  <c r="T2941" i="3"/>
  <c r="T3328" i="3"/>
  <c r="U3328" i="3"/>
  <c r="U3856" i="3"/>
  <c r="T3856" i="3"/>
  <c r="U3186" i="3"/>
  <c r="T3186" i="3"/>
  <c r="T3612" i="3"/>
  <c r="U3612" i="3"/>
  <c r="U3234" i="3"/>
  <c r="T3234" i="3"/>
  <c r="U3770" i="3"/>
  <c r="T3770" i="3"/>
  <c r="U3129" i="3"/>
  <c r="T3129" i="3"/>
  <c r="U3538" i="3"/>
  <c r="T3538" i="3"/>
  <c r="U3007" i="3"/>
  <c r="T3007" i="3"/>
  <c r="U3386" i="3"/>
  <c r="T3386" i="3"/>
  <c r="U2908" i="3"/>
  <c r="T2908" i="3"/>
  <c r="T3264" i="3"/>
  <c r="U3264" i="3"/>
  <c r="T3740" i="3"/>
  <c r="U3740" i="3"/>
  <c r="T3741" i="3"/>
  <c r="U3741" i="3"/>
  <c r="U3113" i="3"/>
  <c r="T3113" i="3"/>
  <c r="U3589" i="3"/>
  <c r="T3589" i="3"/>
  <c r="U2649" i="3"/>
  <c r="T2649" i="3"/>
  <c r="U2920" i="3"/>
  <c r="T2920" i="3"/>
  <c r="U3201" i="3"/>
  <c r="T3201" i="3"/>
  <c r="U3517" i="3"/>
  <c r="T3517" i="3"/>
  <c r="U3831" i="3"/>
  <c r="T3831" i="3"/>
  <c r="U3969" i="3"/>
  <c r="T3969" i="3"/>
  <c r="U3391" i="3"/>
  <c r="T3391" i="3"/>
  <c r="U3696" i="3"/>
  <c r="T3696" i="3"/>
  <c r="U4010" i="3"/>
  <c r="T4010" i="3"/>
  <c r="U3776" i="3"/>
  <c r="T3776" i="3"/>
  <c r="U3541" i="3"/>
  <c r="T3541" i="3"/>
  <c r="U3855" i="3"/>
  <c r="T3855" i="3"/>
  <c r="U4073" i="3"/>
  <c r="T4073" i="3"/>
  <c r="U2596" i="3"/>
  <c r="T2596" i="3"/>
  <c r="T2858" i="3"/>
  <c r="U2858" i="3"/>
  <c r="T3176" i="3"/>
  <c r="U3176" i="3"/>
  <c r="U3488" i="3"/>
  <c r="T3488" i="3"/>
  <c r="U3801" i="3"/>
  <c r="T3801" i="3"/>
  <c r="T3548" i="3"/>
  <c r="U3548" i="3"/>
  <c r="T3860" i="3"/>
  <c r="U3860" i="3"/>
  <c r="U3609" i="3"/>
  <c r="T3609" i="3"/>
  <c r="U3921" i="3"/>
  <c r="T3921" i="3"/>
  <c r="U4023" i="3"/>
  <c r="T4023" i="3"/>
  <c r="U3906" i="3"/>
  <c r="T3906" i="3"/>
  <c r="U3330" i="3"/>
  <c r="T3330" i="3"/>
  <c r="U3634" i="3"/>
  <c r="T3634" i="3"/>
  <c r="U3947" i="3"/>
  <c r="T3947" i="3"/>
  <c r="U2901" i="3"/>
  <c r="T2901" i="3"/>
  <c r="U3149" i="3"/>
  <c r="T3149" i="3"/>
  <c r="U3422" i="3"/>
  <c r="T3422" i="3"/>
  <c r="U3670" i="3"/>
  <c r="T3670" i="3"/>
  <c r="U3925" i="3"/>
  <c r="T3925" i="3"/>
  <c r="U3285" i="3"/>
  <c r="T3285" i="3"/>
  <c r="T3576" i="3"/>
  <c r="U3576" i="3"/>
  <c r="U3830" i="3"/>
  <c r="T3830" i="3"/>
  <c r="U4086" i="3"/>
  <c r="T4086" i="3"/>
  <c r="U2953" i="3"/>
  <c r="T2953" i="3"/>
  <c r="U3202" i="3"/>
  <c r="T3202" i="3"/>
  <c r="U3443" i="3"/>
  <c r="T3443" i="3"/>
  <c r="U3694" i="3"/>
  <c r="T3694" i="3"/>
  <c r="U3949" i="3"/>
  <c r="T3949" i="3"/>
  <c r="U89" i="3"/>
  <c r="T89" i="3"/>
  <c r="U99" i="3"/>
  <c r="T99" i="3"/>
  <c r="U1124" i="3"/>
  <c r="T1124" i="3"/>
  <c r="U283" i="3"/>
  <c r="T283" i="3"/>
  <c r="T620" i="3"/>
  <c r="U620" i="3"/>
  <c r="U1609" i="3"/>
  <c r="T1609" i="3"/>
  <c r="T524" i="3"/>
  <c r="U524" i="3"/>
  <c r="U634" i="3"/>
  <c r="T634" i="3"/>
  <c r="T73" i="3"/>
  <c r="U73" i="3"/>
  <c r="U1295" i="3"/>
  <c r="T1295" i="3"/>
  <c r="U182" i="3"/>
  <c r="T182" i="3"/>
  <c r="U166" i="3"/>
  <c r="T166" i="3"/>
  <c r="U39" i="3"/>
  <c r="T39" i="3"/>
  <c r="T612" i="3"/>
  <c r="U612" i="3"/>
  <c r="T204" i="3"/>
  <c r="U204" i="3"/>
  <c r="T41" i="3"/>
  <c r="U41" i="3"/>
  <c r="U627" i="3"/>
  <c r="T627" i="3"/>
  <c r="U170" i="3"/>
  <c r="T170" i="3"/>
  <c r="U45" i="3"/>
  <c r="T45" i="3"/>
  <c r="U651" i="3"/>
  <c r="T651" i="3"/>
  <c r="U173" i="3"/>
  <c r="T173" i="3"/>
  <c r="U29" i="3"/>
  <c r="T29" i="3"/>
  <c r="U667" i="3"/>
  <c r="T667" i="3"/>
  <c r="U194" i="3"/>
  <c r="T194" i="3"/>
  <c r="U68" i="3"/>
  <c r="T68" i="3"/>
  <c r="U820" i="3"/>
  <c r="T820" i="3"/>
  <c r="T196" i="3"/>
  <c r="U196" i="3"/>
  <c r="U34" i="3"/>
  <c r="T34" i="3"/>
  <c r="T572" i="3"/>
  <c r="U572" i="3"/>
  <c r="T164" i="3"/>
  <c r="U164" i="3"/>
  <c r="U1668" i="3"/>
  <c r="T1668" i="3"/>
  <c r="U250" i="3"/>
  <c r="T250" i="3"/>
  <c r="U506" i="3"/>
  <c r="T506" i="3"/>
  <c r="U762" i="3"/>
  <c r="T762" i="3"/>
  <c r="U1054" i="3"/>
  <c r="T1054" i="3"/>
  <c r="U1340" i="3"/>
  <c r="T1340" i="3"/>
  <c r="U1974" i="3"/>
  <c r="T1974" i="3"/>
  <c r="U459" i="3"/>
  <c r="T459" i="3"/>
  <c r="U710" i="3"/>
  <c r="T710" i="3"/>
  <c r="U1003" i="3"/>
  <c r="T1003" i="3"/>
  <c r="U1289" i="3"/>
  <c r="T1289" i="3"/>
  <c r="U1707" i="3"/>
  <c r="T1707" i="3"/>
  <c r="T412" i="3"/>
  <c r="U412" i="3"/>
  <c r="U663" i="3"/>
  <c r="T663" i="3"/>
  <c r="U934" i="3"/>
  <c r="T934" i="3"/>
  <c r="U1219" i="3"/>
  <c r="T1219" i="3"/>
  <c r="T1528" i="3"/>
  <c r="U1528" i="3"/>
  <c r="U349" i="3"/>
  <c r="T349" i="3"/>
  <c r="U601" i="3"/>
  <c r="T601" i="3"/>
  <c r="U884" i="3"/>
  <c r="T884" i="3"/>
  <c r="U1201" i="3"/>
  <c r="T1201" i="3"/>
  <c r="U1529" i="3"/>
  <c r="T1529" i="3"/>
  <c r="U334" i="3"/>
  <c r="T334" i="3"/>
  <c r="U602" i="3"/>
  <c r="T602" i="3"/>
  <c r="U868" i="3"/>
  <c r="T868" i="3"/>
  <c r="U1148" i="3"/>
  <c r="T1148" i="3"/>
  <c r="U1431" i="3"/>
  <c r="T1431" i="3"/>
  <c r="T17" i="3"/>
  <c r="U17" i="3"/>
  <c r="U271" i="3"/>
  <c r="T271" i="3"/>
  <c r="U527" i="3"/>
  <c r="T527" i="3"/>
  <c r="U784" i="3"/>
  <c r="T784" i="3"/>
  <c r="U1079" i="3"/>
  <c r="T1079" i="3"/>
  <c r="U1363" i="3"/>
  <c r="T1363" i="3"/>
  <c r="U2138" i="3"/>
  <c r="T2138" i="3"/>
  <c r="U321" i="3"/>
  <c r="T321" i="3"/>
  <c r="U573" i="3"/>
  <c r="T573" i="3"/>
  <c r="U870" i="3"/>
  <c r="T870" i="3"/>
  <c r="U1170" i="3"/>
  <c r="T1170" i="3"/>
  <c r="U1469" i="3"/>
  <c r="T1469" i="3"/>
  <c r="U306" i="3"/>
  <c r="T306" i="3"/>
  <c r="U559" i="3"/>
  <c r="T559" i="3"/>
  <c r="U838" i="3"/>
  <c r="T838" i="3"/>
  <c r="U1116" i="3"/>
  <c r="T1116" i="3"/>
  <c r="T1418" i="3"/>
  <c r="U1418" i="3"/>
  <c r="U2763" i="3"/>
  <c r="T2763" i="3"/>
  <c r="U531" i="3"/>
  <c r="T531" i="3"/>
  <c r="U789" i="3"/>
  <c r="T789" i="3"/>
  <c r="U1083" i="3"/>
  <c r="T1083" i="3"/>
  <c r="U1383" i="3"/>
  <c r="T1383" i="3"/>
  <c r="U2461" i="3"/>
  <c r="T2461" i="3"/>
  <c r="T500" i="3"/>
  <c r="U500" i="3"/>
  <c r="U755" i="3"/>
  <c r="T755" i="3"/>
  <c r="U1031" i="3"/>
  <c r="T1031" i="3"/>
  <c r="U1333" i="3"/>
  <c r="T1333" i="3"/>
  <c r="U2053" i="3"/>
  <c r="T2053" i="3"/>
  <c r="U453" i="3"/>
  <c r="T453" i="3"/>
  <c r="U704" i="3"/>
  <c r="T704" i="3"/>
  <c r="U978" i="3"/>
  <c r="T978" i="3"/>
  <c r="U1264" i="3"/>
  <c r="T1264" i="3"/>
  <c r="U1686" i="3"/>
  <c r="T1686" i="3"/>
  <c r="U390" i="3"/>
  <c r="T390" i="3"/>
  <c r="U657" i="3"/>
  <c r="T657" i="3"/>
  <c r="U927" i="3"/>
  <c r="T927" i="3"/>
  <c r="U1230" i="3"/>
  <c r="T1230" i="3"/>
  <c r="T1546" i="3"/>
  <c r="U1546" i="3"/>
  <c r="U343" i="3"/>
  <c r="T343" i="3"/>
  <c r="U611" i="3"/>
  <c r="T611" i="3"/>
  <c r="U877" i="3"/>
  <c r="T877" i="3"/>
  <c r="U1159" i="3"/>
  <c r="T1159" i="3"/>
  <c r="U1457" i="3"/>
  <c r="T1457" i="3"/>
  <c r="U1699" i="3"/>
  <c r="T1699" i="3"/>
  <c r="U393" i="3"/>
  <c r="T393" i="3"/>
  <c r="U644" i="3"/>
  <c r="T644" i="3"/>
  <c r="U913" i="3"/>
  <c r="T913" i="3"/>
  <c r="U1196" i="3"/>
  <c r="T1196" i="3"/>
  <c r="T1482" i="3"/>
  <c r="U1482" i="3"/>
  <c r="U739" i="3"/>
  <c r="T739" i="3"/>
  <c r="U994" i="3"/>
  <c r="T994" i="3"/>
  <c r="U1244" i="3"/>
  <c r="T1244" i="3"/>
  <c r="T1490" i="3"/>
  <c r="U1490" i="3"/>
  <c r="U1741" i="3"/>
  <c r="T1741" i="3"/>
  <c r="U1991" i="3"/>
  <c r="T1991" i="3"/>
  <c r="T2257" i="3"/>
  <c r="U2257" i="3"/>
  <c r="U2542" i="3"/>
  <c r="T2542" i="3"/>
  <c r="U2881" i="3"/>
  <c r="T2881" i="3"/>
  <c r="U1663" i="3"/>
  <c r="T1663" i="3"/>
  <c r="U1932" i="3"/>
  <c r="T1932" i="3"/>
  <c r="U2223" i="3"/>
  <c r="T2223" i="3"/>
  <c r="U2508" i="3"/>
  <c r="T2508" i="3"/>
  <c r="U2861" i="3"/>
  <c r="T2861" i="3"/>
  <c r="T1648" i="3"/>
  <c r="U1648" i="3"/>
  <c r="T1901" i="3"/>
  <c r="U1901" i="3"/>
  <c r="U2151" i="3"/>
  <c r="T2151" i="3"/>
  <c r="U2457" i="3"/>
  <c r="T2457" i="3"/>
  <c r="U2790" i="3"/>
  <c r="T2790" i="3"/>
  <c r="U1619" i="3"/>
  <c r="T1619" i="3"/>
  <c r="U1871" i="3"/>
  <c r="T1871" i="3"/>
  <c r="U2171" i="3"/>
  <c r="T2171" i="3"/>
  <c r="T2458" i="3"/>
  <c r="U2458" i="3"/>
  <c r="U2768" i="3"/>
  <c r="T2768" i="3"/>
  <c r="U1605" i="3"/>
  <c r="T1605" i="3"/>
  <c r="U1872" i="3"/>
  <c r="T1872" i="3"/>
  <c r="U2119" i="3"/>
  <c r="T2119" i="3"/>
  <c r="T2425" i="3"/>
  <c r="U2425" i="3"/>
  <c r="U2729" i="3"/>
  <c r="T2729" i="3"/>
  <c r="U833" i="3"/>
  <c r="T833" i="3"/>
  <c r="U1139" i="3"/>
  <c r="T1139" i="3"/>
  <c r="U1401" i="3"/>
  <c r="T1401" i="3"/>
  <c r="U1651" i="3"/>
  <c r="T1651" i="3"/>
  <c r="U1904" i="3"/>
  <c r="T1904" i="3"/>
  <c r="U2173" i="3"/>
  <c r="T2173" i="3"/>
  <c r="U2478" i="3"/>
  <c r="T2478" i="3"/>
  <c r="U2843" i="3"/>
  <c r="T2843" i="3"/>
  <c r="U1685" i="3"/>
  <c r="T1685" i="3"/>
  <c r="U1952" i="3"/>
  <c r="T1952" i="3"/>
  <c r="U2230" i="3"/>
  <c r="T2230" i="3"/>
  <c r="U2533" i="3"/>
  <c r="T2533" i="3"/>
  <c r="U2894" i="3"/>
  <c r="T2894" i="3"/>
  <c r="U2062" i="3"/>
  <c r="T2062" i="3"/>
  <c r="U2339" i="3"/>
  <c r="T2339" i="3"/>
  <c r="U2633" i="3"/>
  <c r="T2633" i="3"/>
  <c r="U1766" i="3"/>
  <c r="T1766" i="3"/>
  <c r="U2016" i="3"/>
  <c r="T2016" i="3"/>
  <c r="U2285" i="3"/>
  <c r="T2285" i="3"/>
  <c r="U2593" i="3"/>
  <c r="T2593" i="3"/>
  <c r="U3101" i="3"/>
  <c r="T3101" i="3"/>
  <c r="U1703" i="3"/>
  <c r="T1703" i="3"/>
  <c r="U1955" i="3"/>
  <c r="T1955" i="3"/>
  <c r="U2234" i="3"/>
  <c r="T2234" i="3"/>
  <c r="U2519" i="3"/>
  <c r="T2519" i="3"/>
  <c r="T2850" i="3"/>
  <c r="U2850" i="3"/>
  <c r="U1641" i="3"/>
  <c r="T1641" i="3"/>
  <c r="U1910" i="3"/>
  <c r="T1910" i="3"/>
  <c r="T2161" i="3"/>
  <c r="U2161" i="3"/>
  <c r="U2449" i="3"/>
  <c r="T2449" i="3"/>
  <c r="U2804" i="3"/>
  <c r="T2804" i="3"/>
  <c r="U1612" i="3"/>
  <c r="T1612" i="3"/>
  <c r="U1864" i="3"/>
  <c r="T1864" i="3"/>
  <c r="U2144" i="3"/>
  <c r="T2144" i="3"/>
  <c r="T2450" i="3"/>
  <c r="U2450" i="3"/>
  <c r="U2761" i="3"/>
  <c r="T2761" i="3"/>
  <c r="U1738" i="3"/>
  <c r="T1738" i="3"/>
  <c r="U1988" i="3"/>
  <c r="T1988" i="3"/>
  <c r="U2254" i="3"/>
  <c r="T2254" i="3"/>
  <c r="U2539" i="3"/>
  <c r="T2539" i="3"/>
  <c r="U2877" i="3"/>
  <c r="T2877" i="3"/>
  <c r="U1677" i="3"/>
  <c r="T1677" i="3"/>
  <c r="U1930" i="3"/>
  <c r="T1930" i="3"/>
  <c r="U2184" i="3"/>
  <c r="T2184" i="3"/>
  <c r="U2472" i="3"/>
  <c r="T2472" i="3"/>
  <c r="T2786" i="3"/>
  <c r="U2786" i="3"/>
  <c r="U2228" i="3"/>
  <c r="T2228" i="3"/>
  <c r="U2479" i="3"/>
  <c r="T2479" i="3"/>
  <c r="U2751" i="3"/>
  <c r="T2751" i="3"/>
  <c r="U3073" i="3"/>
  <c r="T3073" i="3"/>
  <c r="T3440" i="3"/>
  <c r="U3440" i="3"/>
  <c r="U2973" i="3"/>
  <c r="T2973" i="3"/>
  <c r="U3319" i="3"/>
  <c r="T3319" i="3"/>
  <c r="T3836" i="3"/>
  <c r="U3836" i="3"/>
  <c r="U3157" i="3"/>
  <c r="T3157" i="3"/>
  <c r="U3594" i="3"/>
  <c r="T3594" i="3"/>
  <c r="U3037" i="3"/>
  <c r="T3037" i="3"/>
  <c r="T3420" i="3"/>
  <c r="U3420" i="3"/>
  <c r="U2936" i="3"/>
  <c r="T2936" i="3"/>
  <c r="T3272" i="3"/>
  <c r="U3272" i="3"/>
  <c r="U3759" i="3"/>
  <c r="T3759" i="3"/>
  <c r="U2295" i="3"/>
  <c r="T2295" i="3"/>
  <c r="U2545" i="3"/>
  <c r="T2545" i="3"/>
  <c r="U2859" i="3"/>
  <c r="T2859" i="3"/>
  <c r="U3181" i="3"/>
  <c r="T3181" i="3"/>
  <c r="U3603" i="3"/>
  <c r="T3603" i="3"/>
  <c r="T3604" i="3"/>
  <c r="U3604" i="3"/>
  <c r="U3062" i="3"/>
  <c r="T3062" i="3"/>
  <c r="U3429" i="3"/>
  <c r="T3429" i="3"/>
  <c r="U2960" i="3"/>
  <c r="T2960" i="3"/>
  <c r="U3357" i="3"/>
  <c r="T3357" i="3"/>
  <c r="U3898" i="3"/>
  <c r="T3898" i="3"/>
  <c r="U3207" i="3"/>
  <c r="T3207" i="3"/>
  <c r="U3651" i="3"/>
  <c r="T3651" i="3"/>
  <c r="U3259" i="3"/>
  <c r="T3259" i="3"/>
  <c r="U3817" i="3"/>
  <c r="T3817" i="3"/>
  <c r="T3148" i="3"/>
  <c r="U3148" i="3"/>
  <c r="U3578" i="3"/>
  <c r="T3578" i="3"/>
  <c r="T3028" i="3"/>
  <c r="U3028" i="3"/>
  <c r="U3411" i="3"/>
  <c r="T3411" i="3"/>
  <c r="U2928" i="3"/>
  <c r="T2928" i="3"/>
  <c r="U3287" i="3"/>
  <c r="T3287" i="3"/>
  <c r="U3779" i="3"/>
  <c r="T3779" i="3"/>
  <c r="T3780" i="3"/>
  <c r="U3780" i="3"/>
  <c r="U3135" i="3"/>
  <c r="T3135" i="3"/>
  <c r="U3629" i="3"/>
  <c r="T3629" i="3"/>
  <c r="U2664" i="3"/>
  <c r="T2664" i="3"/>
  <c r="U2935" i="3"/>
  <c r="T2935" i="3"/>
  <c r="U3221" i="3"/>
  <c r="T3221" i="3"/>
  <c r="U3537" i="3"/>
  <c r="T3537" i="3"/>
  <c r="U3850" i="3"/>
  <c r="T3850" i="3"/>
  <c r="T3988" i="3"/>
  <c r="U3988" i="3"/>
  <c r="U3409" i="3"/>
  <c r="T3409" i="3"/>
  <c r="U3715" i="3"/>
  <c r="T3715" i="3"/>
  <c r="U4030" i="3"/>
  <c r="T4030" i="3"/>
  <c r="U3795" i="3"/>
  <c r="T3795" i="3"/>
  <c r="U3562" i="3"/>
  <c r="T3562" i="3"/>
  <c r="U3874" i="3"/>
  <c r="T3874" i="3"/>
  <c r="U3976" i="3"/>
  <c r="T3976" i="3"/>
  <c r="U2611" i="3"/>
  <c r="T2611" i="3"/>
  <c r="U2875" i="3"/>
  <c r="T2875" i="3"/>
  <c r="U3193" i="3"/>
  <c r="T3193" i="3"/>
  <c r="U3507" i="3"/>
  <c r="T3507" i="3"/>
  <c r="T3820" i="3"/>
  <c r="U3820" i="3"/>
  <c r="U3568" i="3"/>
  <c r="T3568" i="3"/>
  <c r="U3881" i="3"/>
  <c r="T3881" i="3"/>
  <c r="T3628" i="3"/>
  <c r="U3628" i="3"/>
  <c r="T3940" i="3"/>
  <c r="U3940" i="3"/>
  <c r="U4042" i="3"/>
  <c r="T4042" i="3"/>
  <c r="U3927" i="3"/>
  <c r="T3927" i="3"/>
  <c r="U3351" i="3"/>
  <c r="T3351" i="3"/>
  <c r="U3653" i="3"/>
  <c r="T3653" i="3"/>
  <c r="U3967" i="3"/>
  <c r="T3967" i="3"/>
  <c r="U2917" i="3"/>
  <c r="T2917" i="3"/>
  <c r="T3164" i="3"/>
  <c r="U3164" i="3"/>
  <c r="U3437" i="3"/>
  <c r="T3437" i="3"/>
  <c r="U3686" i="3"/>
  <c r="T3686" i="3"/>
  <c r="U3941" i="3"/>
  <c r="T3941" i="3"/>
  <c r="U3301" i="3"/>
  <c r="T3301" i="3"/>
  <c r="U3592" i="3"/>
  <c r="T3592" i="3"/>
  <c r="U3846" i="3"/>
  <c r="T3846" i="3"/>
  <c r="U4087" i="3"/>
  <c r="T4087" i="3"/>
  <c r="U2969" i="3"/>
  <c r="T2969" i="3"/>
  <c r="U3218" i="3"/>
  <c r="T3218" i="3"/>
  <c r="U3457" i="3"/>
  <c r="T3457" i="3"/>
  <c r="U3710" i="3"/>
  <c r="T3710" i="3"/>
  <c r="U3965" i="3"/>
  <c r="T3965" i="3"/>
  <c r="U707" i="3"/>
  <c r="T707" i="3"/>
  <c r="Q3" i="3"/>
  <c r="U3" i="3"/>
  <c r="T3" i="3"/>
  <c r="C22" i="1"/>
  <c r="V1321" i="3"/>
  <c r="V330" i="3"/>
  <c r="V1309" i="3"/>
  <c r="V97" i="3"/>
  <c r="V386" i="3"/>
  <c r="V324" i="3"/>
  <c r="V1320" i="3"/>
  <c r="V1323" i="3"/>
  <c r="V2281" i="3"/>
  <c r="V1713" i="3"/>
  <c r="V2888" i="3"/>
  <c r="V2299" i="3"/>
  <c r="V1780" i="3"/>
  <c r="V1907" i="3"/>
  <c r="V2107" i="3"/>
  <c r="V1547" i="3"/>
  <c r="V2002" i="3"/>
  <c r="V3122" i="3"/>
  <c r="V2081" i="3"/>
  <c r="V2292" i="3"/>
  <c r="V2574" i="3"/>
  <c r="V3320" i="3"/>
  <c r="V3058" i="3"/>
  <c r="V2391" i="3"/>
  <c r="V3890" i="3"/>
  <c r="V3649" i="3"/>
  <c r="V3903" i="3"/>
  <c r="V3050" i="3"/>
  <c r="V3875" i="3"/>
  <c r="V3654" i="3"/>
  <c r="V3520" i="3"/>
  <c r="V3015" i="3"/>
  <c r="V3938" i="3"/>
  <c r="V3745" i="3"/>
  <c r="V4044" i="3"/>
  <c r="V3771" i="3"/>
  <c r="V3527" i="3"/>
  <c r="V3423" i="3"/>
  <c r="V580" i="3"/>
  <c r="V252" i="3"/>
  <c r="V472" i="3"/>
  <c r="V352" i="3"/>
  <c r="V167" i="3"/>
  <c r="V40" i="3"/>
  <c r="V620" i="3"/>
  <c r="V169" i="3"/>
  <c r="V6" i="3"/>
  <c r="V512" i="3"/>
  <c r="V172" i="3"/>
  <c r="V9" i="3"/>
  <c r="V408" i="3"/>
  <c r="V157" i="3"/>
  <c r="V30" i="3"/>
  <c r="V549" i="3"/>
  <c r="V195" i="3"/>
  <c r="V32" i="3"/>
  <c r="V564" i="3"/>
  <c r="V162" i="3"/>
  <c r="V1609" i="3"/>
  <c r="V336" i="3"/>
  <c r="V108" i="3"/>
  <c r="V362" i="3"/>
  <c r="V614" i="3"/>
  <c r="V881" i="3"/>
  <c r="V1179" i="3"/>
  <c r="V1461" i="3"/>
  <c r="V315" i="3"/>
  <c r="V567" i="3"/>
  <c r="V848" i="3"/>
  <c r="V1127" i="3"/>
  <c r="V1409" i="3"/>
  <c r="V2690" i="3"/>
  <c r="V524" i="3"/>
  <c r="V781" i="3"/>
  <c r="V1057" i="3"/>
  <c r="V1343" i="3"/>
  <c r="V1989" i="3"/>
  <c r="V461" i="3"/>
  <c r="V712" i="3"/>
  <c r="V1005" i="3"/>
  <c r="V1344" i="3"/>
  <c r="V1997" i="3"/>
  <c r="V446" i="3"/>
  <c r="V713" i="3"/>
  <c r="V989" i="3"/>
  <c r="V1274" i="3"/>
  <c r="V1718" i="3"/>
  <c r="V129" i="3"/>
  <c r="V383" i="3"/>
  <c r="V634" i="3"/>
  <c r="V920" i="3"/>
  <c r="V1204" i="3"/>
  <c r="V1497" i="3"/>
  <c r="V1897" i="3"/>
  <c r="V433" i="3"/>
  <c r="V700" i="3"/>
  <c r="V1009" i="3"/>
  <c r="V1296" i="3"/>
  <c r="V1811" i="3"/>
  <c r="V418" i="3"/>
  <c r="V669" i="3"/>
  <c r="V957" i="3"/>
  <c r="V1243" i="3"/>
  <c r="V1671" i="3"/>
  <c r="V387" i="3"/>
  <c r="V638" i="3"/>
  <c r="V907" i="3"/>
  <c r="V1208" i="3"/>
  <c r="V1543" i="3"/>
  <c r="V356" i="3"/>
  <c r="V608" i="3"/>
  <c r="V874" i="3"/>
  <c r="V1174" i="3"/>
  <c r="V1472" i="3"/>
  <c r="V309" i="3"/>
  <c r="V562" i="3"/>
  <c r="V824" i="3"/>
  <c r="V1102" i="3"/>
  <c r="V1403" i="3"/>
  <c r="V2630" i="3"/>
  <c r="V502" i="3"/>
  <c r="V775" i="3"/>
  <c r="V1050" i="3"/>
  <c r="V1354" i="3"/>
  <c r="V2067" i="3"/>
  <c r="V455" i="3"/>
  <c r="V722" i="3"/>
  <c r="V998" i="3"/>
  <c r="V1285" i="3"/>
  <c r="V1755" i="3"/>
  <c r="V2505" i="3"/>
  <c r="V505" i="3"/>
  <c r="V761" i="3"/>
  <c r="V1036" i="3"/>
  <c r="V1322" i="3"/>
  <c r="V1850" i="3"/>
  <c r="V858" i="3"/>
  <c r="V1103" i="3"/>
  <c r="V1353" i="3"/>
  <c r="V1601" i="3"/>
  <c r="V1852" i="3"/>
  <c r="V2098" i="3"/>
  <c r="V2384" i="3"/>
  <c r="V2682" i="3"/>
  <c r="V1523" i="3"/>
  <c r="V1790" i="3"/>
  <c r="V2040" i="3"/>
  <c r="V2349" i="3"/>
  <c r="V2643" i="3"/>
  <c r="V1508" i="3"/>
  <c r="V1759" i="3"/>
  <c r="V2009" i="3"/>
  <c r="V2277" i="3"/>
  <c r="V2604" i="3"/>
  <c r="V1477" i="3"/>
  <c r="V1728" i="3"/>
  <c r="V2010" i="3"/>
  <c r="V2297" i="3"/>
  <c r="V2586" i="3"/>
  <c r="V3046" i="3"/>
  <c r="V1729" i="3"/>
  <c r="V1980" i="3"/>
  <c r="V2245" i="3"/>
  <c r="V2548" i="3"/>
  <c r="V2943" i="3"/>
  <c r="V984" i="3"/>
  <c r="V1249" i="3"/>
  <c r="V1511" i="3"/>
  <c r="V1762" i="3"/>
  <c r="V2028" i="3"/>
  <c r="V2317" i="3"/>
  <c r="V2629" i="3"/>
  <c r="V2890" i="3"/>
  <c r="V1796" i="3"/>
  <c r="V2061" i="3"/>
  <c r="V2356" i="3"/>
  <c r="V2691" i="3"/>
  <c r="V1923" i="3"/>
  <c r="V2176" i="3"/>
  <c r="V2464" i="3"/>
  <c r="V2777" i="3"/>
  <c r="V1877" i="3"/>
  <c r="V2124" i="3"/>
  <c r="V2413" i="3"/>
  <c r="V2735" i="3"/>
  <c r="V1563" i="3"/>
  <c r="V1814" i="3"/>
  <c r="V2064" i="3"/>
  <c r="V2360" i="3"/>
  <c r="V2653" i="3"/>
  <c r="V1501" i="3"/>
  <c r="V1752" i="3"/>
  <c r="V2018" i="3"/>
  <c r="V2287" i="3"/>
  <c r="V2595" i="3"/>
  <c r="V3302" i="3"/>
  <c r="V1721" i="3"/>
  <c r="V1972" i="3"/>
  <c r="V2270" i="3"/>
  <c r="V2577" i="3"/>
  <c r="V2999" i="3"/>
  <c r="V1849" i="3"/>
  <c r="V2095" i="3"/>
  <c r="V2381" i="3"/>
  <c r="V2677" i="3"/>
  <c r="V2910" i="3"/>
  <c r="V1788" i="3"/>
  <c r="V2038" i="3"/>
  <c r="V2310" i="3"/>
  <c r="V2600" i="3"/>
  <c r="V3162" i="3"/>
  <c r="V2338" i="3"/>
  <c r="V2591" i="3"/>
  <c r="V2891" i="3"/>
  <c r="V3217" i="3"/>
  <c r="V3668" i="3"/>
  <c r="V3116" i="3"/>
  <c r="V3490" i="3"/>
  <c r="V2974" i="3"/>
  <c r="V3345" i="3"/>
  <c r="V3883" i="3"/>
  <c r="V3178" i="3"/>
  <c r="V3636" i="3"/>
  <c r="V3079" i="3"/>
  <c r="V3447" i="3"/>
  <c r="V2153" i="3"/>
  <c r="V2407" i="3"/>
  <c r="V2684" i="3"/>
  <c r="V2998" i="3"/>
  <c r="V3350" i="3"/>
  <c r="V3943" i="3"/>
  <c r="V3896" i="3"/>
  <c r="V3205" i="3"/>
  <c r="V3688" i="3"/>
  <c r="V3125" i="3"/>
  <c r="V3532" i="3"/>
  <c r="V3023" i="3"/>
  <c r="V3383" i="3"/>
  <c r="V3955" i="3"/>
  <c r="V3479" i="3"/>
  <c r="V2965" i="3"/>
  <c r="V3309" i="3"/>
  <c r="V3864" i="3"/>
  <c r="V3170" i="3"/>
  <c r="V3660" i="3"/>
  <c r="V3069" i="3"/>
  <c r="V3458" i="3"/>
  <c r="V3413" i="3"/>
  <c r="V2949" i="3"/>
  <c r="V3366" i="3"/>
  <c r="V3922" i="3"/>
  <c r="V2776" i="3"/>
  <c r="V3060" i="3"/>
  <c r="V3352" i="3"/>
  <c r="V3674" i="3"/>
  <c r="V3987" i="3"/>
  <c r="V3243" i="3"/>
  <c r="V3539" i="3"/>
  <c r="V3852" i="3"/>
  <c r="V3600" i="3"/>
  <c r="V3932" i="3"/>
  <c r="V3698" i="3"/>
  <c r="V4012" i="3"/>
  <c r="V3996" i="3"/>
  <c r="V2720" i="3"/>
  <c r="V3034" i="3"/>
  <c r="V3322" i="3"/>
  <c r="V3645" i="3"/>
  <c r="V3959" i="3"/>
  <c r="V3705" i="3"/>
  <c r="V4018" i="3"/>
  <c r="V3764" i="3"/>
  <c r="V4079" i="3"/>
  <c r="V4063" i="3"/>
  <c r="V4064" i="3"/>
  <c r="V3477" i="3"/>
  <c r="V3791" i="3"/>
  <c r="V2775" i="3"/>
  <c r="V3024" i="3"/>
  <c r="V3300" i="3"/>
  <c r="V3543" i="3"/>
  <c r="V3798" i="3"/>
  <c r="V4053" i="3"/>
  <c r="V3451" i="3"/>
  <c r="V3703" i="3"/>
  <c r="V3958" i="3"/>
  <c r="V2799" i="3"/>
  <c r="V3078" i="3"/>
  <c r="V3323" i="3"/>
  <c r="V3567" i="3"/>
  <c r="V3821" i="3"/>
  <c r="V4077" i="3"/>
  <c r="V180" i="3"/>
  <c r="V4" i="3"/>
  <c r="V125" i="3"/>
  <c r="V1375" i="3"/>
  <c r="V954" i="3"/>
  <c r="V1259" i="3"/>
  <c r="V576" i="3"/>
  <c r="V1834" i="3"/>
  <c r="V814" i="3"/>
  <c r="V2313" i="3"/>
  <c r="V1479" i="3"/>
  <c r="V2140" i="3"/>
  <c r="V2556" i="3"/>
  <c r="V2638" i="3"/>
  <c r="V2852" i="3"/>
  <c r="V3398" i="3"/>
  <c r="V3329" i="3"/>
  <c r="V3029" i="3"/>
  <c r="V3635" i="3"/>
  <c r="V4074" i="3"/>
  <c r="V3605" i="3"/>
  <c r="V4025" i="3"/>
  <c r="V2992" i="3"/>
  <c r="V74" i="3"/>
  <c r="V496" i="3"/>
  <c r="V424" i="3"/>
  <c r="V864" i="3"/>
  <c r="V1326" i="3"/>
  <c r="V113" i="3"/>
  <c r="V402" i="3"/>
  <c r="V1190" i="3"/>
  <c r="V1085" i="3"/>
  <c r="V706" i="3"/>
  <c r="V1765" i="3"/>
  <c r="V1337" i="3"/>
  <c r="V2366" i="3"/>
  <c r="V1492" i="3"/>
  <c r="V3192" i="3"/>
  <c r="V2278" i="3"/>
  <c r="V1964" i="3"/>
  <c r="V968" i="3"/>
  <c r="V1746" i="3"/>
  <c r="V2867" i="3"/>
  <c r="V2670" i="3"/>
  <c r="V2446" i="3"/>
  <c r="V2755" i="3"/>
  <c r="V2714" i="3"/>
  <c r="V2341" i="3"/>
  <c r="V1485" i="3"/>
  <c r="V2269" i="3"/>
  <c r="V1705" i="3"/>
  <c r="V2558" i="3"/>
  <c r="V2363" i="3"/>
  <c r="V1772" i="3"/>
  <c r="V3020" i="3"/>
  <c r="V2872" i="3"/>
  <c r="V3095" i="3"/>
  <c r="V3838" i="3"/>
  <c r="V3421" i="3"/>
  <c r="V2978" i="3"/>
  <c r="V3104" i="3"/>
  <c r="V3358" i="3"/>
  <c r="V3282" i="3"/>
  <c r="V3621" i="3"/>
  <c r="V3341" i="3"/>
  <c r="V3333" i="3"/>
  <c r="V3580" i="3"/>
  <c r="V3993" i="3"/>
  <c r="V3684" i="3"/>
  <c r="V3459" i="3"/>
  <c r="V3284" i="3"/>
  <c r="V4037" i="3"/>
  <c r="V3687" i="3"/>
  <c r="V2783" i="3"/>
  <c r="V3063" i="3"/>
  <c r="V3308" i="3"/>
  <c r="V4061" i="3"/>
  <c r="V328" i="3"/>
  <c r="V19" i="3"/>
  <c r="V144" i="3"/>
  <c r="V117" i="3"/>
  <c r="V37" i="3"/>
  <c r="V596" i="3"/>
  <c r="V480" i="3"/>
  <c r="V184" i="3"/>
  <c r="V58" i="3"/>
  <c r="V750" i="3"/>
  <c r="V186" i="3"/>
  <c r="V24" i="3"/>
  <c r="V635" i="3"/>
  <c r="V190" i="3"/>
  <c r="V27" i="3"/>
  <c r="V535" i="3"/>
  <c r="V174" i="3"/>
  <c r="V48" i="3"/>
  <c r="V675" i="3"/>
  <c r="V213" i="3"/>
  <c r="V51" i="3"/>
  <c r="V691" i="3"/>
  <c r="V179" i="3"/>
  <c r="V18" i="3"/>
  <c r="V464" i="3"/>
  <c r="V124" i="3"/>
  <c r="V378" i="3"/>
  <c r="V629" i="3"/>
  <c r="V914" i="3"/>
  <c r="V1198" i="3"/>
  <c r="V1483" i="3"/>
  <c r="V331" i="3"/>
  <c r="V583" i="3"/>
  <c r="V865" i="3"/>
  <c r="V1145" i="3"/>
  <c r="V1427" i="3"/>
  <c r="V284" i="3"/>
  <c r="V539" i="3"/>
  <c r="V798" i="3"/>
  <c r="V1075" i="3"/>
  <c r="V1360" i="3"/>
  <c r="V2112" i="3"/>
  <c r="V477" i="3"/>
  <c r="V730" i="3"/>
  <c r="V1058" i="3"/>
  <c r="V1361" i="3"/>
  <c r="V2121" i="3"/>
  <c r="V462" i="3"/>
  <c r="V731" i="3"/>
  <c r="V1006" i="3"/>
  <c r="V1293" i="3"/>
  <c r="V1795" i="3"/>
  <c r="V145" i="3"/>
  <c r="V399" i="3"/>
  <c r="V650" i="3"/>
  <c r="V937" i="3"/>
  <c r="V1222" i="3"/>
  <c r="V1531" i="3"/>
  <c r="V2021" i="3"/>
  <c r="V449" i="3"/>
  <c r="V716" i="3"/>
  <c r="V1027" i="3"/>
  <c r="V1315" i="3"/>
  <c r="V1905" i="3"/>
  <c r="V434" i="3"/>
  <c r="V685" i="3"/>
  <c r="V975" i="3"/>
  <c r="V1261" i="3"/>
  <c r="V1734" i="3"/>
  <c r="V403" i="3"/>
  <c r="V654" i="3"/>
  <c r="V924" i="3"/>
  <c r="V1226" i="3"/>
  <c r="V1577" i="3"/>
  <c r="V372" i="3"/>
  <c r="V623" i="3"/>
  <c r="V892" i="3"/>
  <c r="V1191" i="3"/>
  <c r="V1505" i="3"/>
  <c r="V325" i="3"/>
  <c r="V577" i="3"/>
  <c r="V841" i="3"/>
  <c r="V1120" i="3"/>
  <c r="V1421" i="3"/>
  <c r="V2797" i="3"/>
  <c r="V518" i="3"/>
  <c r="V793" i="3"/>
  <c r="V1068" i="3"/>
  <c r="V1370" i="3"/>
  <c r="V2202" i="3"/>
  <c r="V471" i="3"/>
  <c r="V741" i="3"/>
  <c r="V1017" i="3"/>
  <c r="V1303" i="3"/>
  <c r="V1842" i="3"/>
  <c r="V2658" i="3"/>
  <c r="V521" i="3"/>
  <c r="V778" i="3"/>
  <c r="V1053" i="3"/>
  <c r="V1339" i="3"/>
  <c r="V1966" i="3"/>
  <c r="V873" i="3"/>
  <c r="V1118" i="3"/>
  <c r="V1368" i="3"/>
  <c r="V1616" i="3"/>
  <c r="V1868" i="3"/>
  <c r="V2114" i="3"/>
  <c r="V2403" i="3"/>
  <c r="V2703" i="3"/>
  <c r="V1538" i="3"/>
  <c r="V1806" i="3"/>
  <c r="V2056" i="3"/>
  <c r="V2367" i="3"/>
  <c r="V2662" i="3"/>
  <c r="V1524" i="3"/>
  <c r="V1775" i="3"/>
  <c r="V2025" i="3"/>
  <c r="V2296" i="3"/>
  <c r="V2624" i="3"/>
  <c r="V1493" i="3"/>
  <c r="V1744" i="3"/>
  <c r="V2026" i="3"/>
  <c r="V2315" i="3"/>
  <c r="V2605" i="3"/>
  <c r="V3203" i="3"/>
  <c r="V1745" i="3"/>
  <c r="V1995" i="3"/>
  <c r="V2280" i="3"/>
  <c r="V2568" i="3"/>
  <c r="V3215" i="3"/>
  <c r="V999" i="3"/>
  <c r="V1265" i="3"/>
  <c r="V1527" i="3"/>
  <c r="V1778" i="3"/>
  <c r="V2044" i="3"/>
  <c r="V2335" i="3"/>
  <c r="V2668" i="3"/>
  <c r="V2958" i="3"/>
  <c r="V1827" i="3"/>
  <c r="V2075" i="3"/>
  <c r="V2374" i="3"/>
  <c r="V2711" i="3"/>
  <c r="V1939" i="3"/>
  <c r="V2194" i="3"/>
  <c r="V2481" i="3"/>
  <c r="V2800" i="3"/>
  <c r="V1892" i="3"/>
  <c r="V2141" i="3"/>
  <c r="V2430" i="3"/>
  <c r="V2756" i="3"/>
  <c r="V1579" i="3"/>
  <c r="V1830" i="3"/>
  <c r="V2078" i="3"/>
  <c r="V2378" i="3"/>
  <c r="V2674" i="3"/>
  <c r="V1517" i="3"/>
  <c r="V1768" i="3"/>
  <c r="V2034" i="3"/>
  <c r="V2305" i="3"/>
  <c r="V2616" i="3"/>
  <c r="V1486" i="3"/>
  <c r="V1737" i="3"/>
  <c r="V1987" i="3"/>
  <c r="V2288" i="3"/>
  <c r="V2597" i="3"/>
  <c r="V3133" i="3"/>
  <c r="V1865" i="3"/>
  <c r="V2111" i="3"/>
  <c r="V2399" i="3"/>
  <c r="V2699" i="3"/>
  <c r="V3010" i="3"/>
  <c r="V1804" i="3"/>
  <c r="V2054" i="3"/>
  <c r="V2329" i="3"/>
  <c r="V2621" i="3"/>
  <c r="V3353" i="3"/>
  <c r="V2354" i="3"/>
  <c r="V2608" i="3"/>
  <c r="V2913" i="3"/>
  <c r="V3244" i="3"/>
  <c r="V3708" i="3"/>
  <c r="V3137" i="3"/>
  <c r="V3515" i="3"/>
  <c r="V2994" i="3"/>
  <c r="V3372" i="3"/>
  <c r="V3935" i="3"/>
  <c r="V3198" i="3"/>
  <c r="V3675" i="3"/>
  <c r="V3099" i="3"/>
  <c r="V3470" i="3"/>
  <c r="V2169" i="3"/>
  <c r="V2423" i="3"/>
  <c r="V2702" i="3"/>
  <c r="V3019" i="3"/>
  <c r="V3376" i="3"/>
  <c r="V3377" i="3"/>
  <c r="V3944" i="3"/>
  <c r="V3229" i="3"/>
  <c r="V3727" i="3"/>
  <c r="V3146" i="3"/>
  <c r="V3571" i="3"/>
  <c r="V3045" i="3"/>
  <c r="V3404" i="3"/>
  <c r="V3065" i="3"/>
  <c r="V3505" i="3"/>
  <c r="V2986" i="3"/>
  <c r="V3336" i="3"/>
  <c r="V3905" i="3"/>
  <c r="V3190" i="3"/>
  <c r="V3699" i="3"/>
  <c r="V3090" i="3"/>
  <c r="V3485" i="3"/>
  <c r="V3438" i="3"/>
  <c r="V2970" i="3"/>
  <c r="V3392" i="3"/>
  <c r="V3982" i="3"/>
  <c r="V2794" i="3"/>
  <c r="V3077" i="3"/>
  <c r="V3371" i="3"/>
  <c r="V3693" i="3"/>
  <c r="V4008" i="3"/>
  <c r="V3260" i="3"/>
  <c r="V3558" i="3"/>
  <c r="V3872" i="3"/>
  <c r="V3619" i="3"/>
  <c r="V3952" i="3"/>
  <c r="V3717" i="3"/>
  <c r="V4032" i="3"/>
  <c r="V4016" i="3"/>
  <c r="V2736" i="3"/>
  <c r="V3051" i="3"/>
  <c r="V3342" i="3"/>
  <c r="V3664" i="3"/>
  <c r="V3978" i="3"/>
  <c r="V3724" i="3"/>
  <c r="V4039" i="3"/>
  <c r="V3785" i="3"/>
  <c r="V4001" i="3"/>
  <c r="V4082" i="3"/>
  <c r="V4083" i="3"/>
  <c r="V3497" i="3"/>
  <c r="V3809" i="3"/>
  <c r="V2791" i="3"/>
  <c r="V3040" i="3"/>
  <c r="V3315" i="3"/>
  <c r="V3559" i="3"/>
  <c r="V3813" i="3"/>
  <c r="V4069" i="3"/>
  <c r="V3465" i="3"/>
  <c r="V3719" i="3"/>
  <c r="V3974" i="3"/>
  <c r="V2815" i="3"/>
  <c r="V3094" i="3"/>
  <c r="V3339" i="3"/>
  <c r="V3583" i="3"/>
  <c r="V3837" i="3"/>
  <c r="V4093" i="3"/>
  <c r="V71" i="3"/>
  <c r="V368" i="3"/>
  <c r="V1258" i="3"/>
  <c r="V1022" i="3"/>
  <c r="V351" i="3"/>
  <c r="V1207" i="3"/>
  <c r="V2784" i="3"/>
  <c r="V1248" i="3"/>
  <c r="V1820" i="3"/>
  <c r="V1978" i="3"/>
  <c r="V2512" i="3"/>
  <c r="V2631" i="3"/>
  <c r="V2033" i="3"/>
  <c r="V2066" i="3"/>
  <c r="V3175" i="3"/>
  <c r="V3299" i="3"/>
  <c r="V2926" i="3"/>
  <c r="V2744" i="3"/>
  <c r="V3892" i="3"/>
  <c r="V3979" i="3"/>
  <c r="V4092" i="3"/>
  <c r="V151" i="3"/>
  <c r="V1397" i="3"/>
  <c r="V1109" i="3"/>
  <c r="V430" i="3"/>
  <c r="V417" i="3"/>
  <c r="V622" i="3"/>
  <c r="V808" i="3"/>
  <c r="V439" i="3"/>
  <c r="V742" i="3"/>
  <c r="V844" i="3"/>
  <c r="V1585" i="3"/>
  <c r="V1774" i="3"/>
  <c r="V2260" i="3"/>
  <c r="V1712" i="3"/>
  <c r="V2567" i="3"/>
  <c r="V2226" i="3"/>
  <c r="V1234" i="3"/>
  <c r="V2012" i="3"/>
  <c r="V2046" i="3"/>
  <c r="V2395" i="3"/>
  <c r="V1799" i="3"/>
  <c r="V2636" i="3"/>
  <c r="V2576" i="3"/>
  <c r="V1957" i="3"/>
  <c r="V2904" i="3"/>
  <c r="V2657" i="3"/>
  <c r="V2022" i="3"/>
  <c r="V2322" i="3"/>
  <c r="V3630" i="3"/>
  <c r="V2954" i="3"/>
  <c r="V3597" i="3"/>
  <c r="V2666" i="3"/>
  <c r="V3847" i="3"/>
  <c r="V3502" i="3"/>
  <c r="V3455" i="3"/>
  <c r="V3818" i="3"/>
  <c r="V3390" i="3"/>
  <c r="V3043" i="3"/>
  <c r="V3223" i="3"/>
  <c r="V3679" i="3"/>
  <c r="V2704" i="3"/>
  <c r="V3626" i="3"/>
  <c r="V4059" i="3"/>
  <c r="V4084" i="3"/>
  <c r="V3782" i="3"/>
  <c r="V3942" i="3"/>
  <c r="V3551" i="3"/>
  <c r="V43" i="3"/>
  <c r="V55" i="3"/>
  <c r="V202" i="3"/>
  <c r="V887" i="3"/>
  <c r="V205" i="3"/>
  <c r="V42" i="3"/>
  <c r="V768" i="3"/>
  <c r="V209" i="3"/>
  <c r="V46" i="3"/>
  <c r="V659" i="3"/>
  <c r="V193" i="3"/>
  <c r="V67" i="3"/>
  <c r="V1089" i="3"/>
  <c r="V231" i="3"/>
  <c r="V69" i="3"/>
  <c r="V827" i="3"/>
  <c r="V197" i="3"/>
  <c r="V36" i="3"/>
  <c r="V588" i="3"/>
  <c r="V140" i="3"/>
  <c r="V394" i="3"/>
  <c r="V645" i="3"/>
  <c r="V931" i="3"/>
  <c r="V1216" i="3"/>
  <c r="V1520" i="3"/>
  <c r="V347" i="3"/>
  <c r="V599" i="3"/>
  <c r="V882" i="3"/>
  <c r="V1163" i="3"/>
  <c r="V1444" i="3"/>
  <c r="V300" i="3"/>
  <c r="V553" i="3"/>
  <c r="V815" i="3"/>
  <c r="V1094" i="3"/>
  <c r="V1376" i="3"/>
  <c r="V2255" i="3"/>
  <c r="V493" i="3"/>
  <c r="V747" i="3"/>
  <c r="V1076" i="3"/>
  <c r="V1377" i="3"/>
  <c r="V2264" i="3"/>
  <c r="V478" i="3"/>
  <c r="V748" i="3"/>
  <c r="V1023" i="3"/>
  <c r="V1311" i="3"/>
  <c r="V1881" i="3"/>
  <c r="V161" i="3"/>
  <c r="V415" i="3"/>
  <c r="V666" i="3"/>
  <c r="V955" i="3"/>
  <c r="V1240" i="3"/>
  <c r="V1567" i="3"/>
  <c r="V2146" i="3"/>
  <c r="V465" i="3"/>
  <c r="V734" i="3"/>
  <c r="V1044" i="3"/>
  <c r="V1348" i="3"/>
  <c r="V2029" i="3"/>
  <c r="V450" i="3"/>
  <c r="V701" i="3"/>
  <c r="V993" i="3"/>
  <c r="V1279" i="3"/>
  <c r="V1812" i="3"/>
  <c r="V419" i="3"/>
  <c r="V670" i="3"/>
  <c r="V942" i="3"/>
  <c r="V1262" i="3"/>
  <c r="V1676" i="3"/>
  <c r="V388" i="3"/>
  <c r="V639" i="3"/>
  <c r="V908" i="3"/>
  <c r="V1209" i="3"/>
  <c r="V1544" i="3"/>
  <c r="V341" i="3"/>
  <c r="V593" i="3"/>
  <c r="V857" i="3"/>
  <c r="V1138" i="3"/>
  <c r="V1438" i="3"/>
  <c r="V278" i="3"/>
  <c r="V534" i="3"/>
  <c r="V809" i="3"/>
  <c r="V1086" i="3"/>
  <c r="V1386" i="3"/>
  <c r="V2346" i="3"/>
  <c r="V487" i="3"/>
  <c r="V758" i="3"/>
  <c r="V1034" i="3"/>
  <c r="V1336" i="3"/>
  <c r="V1951" i="3"/>
  <c r="V2833" i="3"/>
  <c r="V536" i="3"/>
  <c r="V796" i="3"/>
  <c r="V1071" i="3"/>
  <c r="V1356" i="3"/>
  <c r="V2089" i="3"/>
  <c r="V889" i="3"/>
  <c r="V1134" i="3"/>
  <c r="V1382" i="3"/>
  <c r="V1631" i="3"/>
  <c r="V1883" i="3"/>
  <c r="V2130" i="3"/>
  <c r="V2421" i="3"/>
  <c r="V2724" i="3"/>
  <c r="V1554" i="3"/>
  <c r="V1821" i="3"/>
  <c r="V2099" i="3"/>
  <c r="V2385" i="3"/>
  <c r="V2683" i="3"/>
  <c r="V1539" i="3"/>
  <c r="V1791" i="3"/>
  <c r="V2041" i="3"/>
  <c r="V2314" i="3"/>
  <c r="V2645" i="3"/>
  <c r="V1509" i="3"/>
  <c r="V1760" i="3"/>
  <c r="V2042" i="3"/>
  <c r="V2333" i="3"/>
  <c r="V2625" i="3"/>
  <c r="V1494" i="3"/>
  <c r="V1761" i="3"/>
  <c r="V2011" i="3"/>
  <c r="V2298" i="3"/>
  <c r="V2587" i="3"/>
  <c r="V728" i="3"/>
  <c r="V1015" i="3"/>
  <c r="V1281" i="3"/>
  <c r="V1542" i="3"/>
  <c r="V1794" i="3"/>
  <c r="V2059" i="3"/>
  <c r="V2353" i="3"/>
  <c r="V2689" i="3"/>
  <c r="V3071" i="3"/>
  <c r="V1843" i="3"/>
  <c r="V2090" i="3"/>
  <c r="V2393" i="3"/>
  <c r="V2732" i="3"/>
  <c r="V1953" i="3"/>
  <c r="V2213" i="3"/>
  <c r="V2499" i="3"/>
  <c r="V2824" i="3"/>
  <c r="V1908" i="3"/>
  <c r="V2159" i="3"/>
  <c r="V2465" i="3"/>
  <c r="V2778" i="3"/>
  <c r="V1595" i="3"/>
  <c r="V1846" i="3"/>
  <c r="V2093" i="3"/>
  <c r="V2396" i="3"/>
  <c r="V2694" i="3"/>
  <c r="V1533" i="3"/>
  <c r="V1784" i="3"/>
  <c r="V2050" i="3"/>
  <c r="V2324" i="3"/>
  <c r="V2654" i="3"/>
  <c r="V1502" i="3"/>
  <c r="V1753" i="3"/>
  <c r="V2003" i="3"/>
  <c r="V2307" i="3"/>
  <c r="V2617" i="3"/>
  <c r="V3313" i="3"/>
  <c r="V1880" i="3"/>
  <c r="V2127" i="3"/>
  <c r="V2417" i="3"/>
  <c r="V2719" i="3"/>
  <c r="V3152" i="3"/>
  <c r="V1819" i="3"/>
  <c r="V2068" i="3"/>
  <c r="V2347" i="3"/>
  <c r="V2640" i="3"/>
  <c r="V2118" i="3"/>
  <c r="V2370" i="3"/>
  <c r="V2626" i="3"/>
  <c r="V2931" i="3"/>
  <c r="V3267" i="3"/>
  <c r="V3747" i="3"/>
  <c r="V3155" i="3"/>
  <c r="V3553" i="3"/>
  <c r="V3014" i="3"/>
  <c r="V3396" i="3"/>
  <c r="V2896" i="3"/>
  <c r="V3247" i="3"/>
  <c r="V3714" i="3"/>
  <c r="V3120" i="3"/>
  <c r="V3493" i="3"/>
  <c r="V2185" i="3"/>
  <c r="V2437" i="3"/>
  <c r="V2721" i="3"/>
  <c r="V3039" i="3"/>
  <c r="V3400" i="3"/>
  <c r="V3401" i="3"/>
  <c r="V2922" i="3"/>
  <c r="V3253" i="3"/>
  <c r="V3765" i="3"/>
  <c r="V3165" i="3"/>
  <c r="V3611" i="3"/>
  <c r="V3064" i="3"/>
  <c r="V3432" i="3"/>
  <c r="V3085" i="3"/>
  <c r="V3534" i="3"/>
  <c r="V3005" i="3"/>
  <c r="V3359" i="3"/>
  <c r="V3962" i="3"/>
  <c r="V3213" i="3"/>
  <c r="V3739" i="3"/>
  <c r="V3111" i="3"/>
  <c r="V3509" i="3"/>
  <c r="V3510" i="3"/>
  <c r="V2990" i="3"/>
  <c r="V3415" i="3"/>
  <c r="V2543" i="3"/>
  <c r="V2812" i="3"/>
  <c r="V3096" i="3"/>
  <c r="V3389" i="3"/>
  <c r="V3713" i="3"/>
  <c r="V4027" i="3"/>
  <c r="V3278" i="3"/>
  <c r="V3579" i="3"/>
  <c r="V3891" i="3"/>
  <c r="V3638" i="3"/>
  <c r="V3971" i="3"/>
  <c r="V3738" i="3"/>
  <c r="V4051" i="3"/>
  <c r="V4035" i="3"/>
  <c r="V2752" i="3"/>
  <c r="V3068" i="3"/>
  <c r="V3360" i="3"/>
  <c r="V3683" i="3"/>
  <c r="V3998" i="3"/>
  <c r="V3744" i="3"/>
  <c r="V4058" i="3"/>
  <c r="V3803" i="3"/>
  <c r="V4020" i="3"/>
  <c r="V3789" i="3"/>
  <c r="V3220" i="3"/>
  <c r="V3516" i="3"/>
  <c r="V3828" i="3"/>
  <c r="V2807" i="3"/>
  <c r="V3055" i="3"/>
  <c r="V3331" i="3"/>
  <c r="V3575" i="3"/>
  <c r="V3829" i="3"/>
  <c r="V4085" i="3"/>
  <c r="V3481" i="3"/>
  <c r="V3735" i="3"/>
  <c r="V3990" i="3"/>
  <c r="V2831" i="3"/>
  <c r="V3110" i="3"/>
  <c r="V3355" i="3"/>
  <c r="V3599" i="3"/>
  <c r="V3853" i="3"/>
  <c r="V4094" i="3"/>
  <c r="V392" i="3"/>
  <c r="V273" i="3"/>
  <c r="V296" i="3"/>
  <c r="V2679" i="3"/>
  <c r="V970" i="3"/>
  <c r="V1731" i="3"/>
  <c r="V355" i="3"/>
  <c r="V1352" i="3"/>
  <c r="V2220" i="3"/>
  <c r="V1569" i="3"/>
  <c r="V2602" i="3"/>
  <c r="V2261" i="3"/>
  <c r="V953" i="3"/>
  <c r="V1891" i="3"/>
  <c r="V2323" i="3"/>
  <c r="V1943" i="3"/>
  <c r="V1756" i="3"/>
  <c r="V3139" i="3"/>
  <c r="V2957" i="3"/>
  <c r="V3857" i="3"/>
  <c r="V2912" i="3"/>
  <c r="V3972" i="3"/>
  <c r="V3665" i="3"/>
  <c r="V3752" i="3"/>
  <c r="V3511" i="3"/>
  <c r="V3790" i="3"/>
  <c r="V384" i="3"/>
  <c r="V440" i="3"/>
  <c r="V552" i="3"/>
  <c r="V696" i="3"/>
  <c r="V619" i="3"/>
  <c r="V653" i="3"/>
  <c r="V856" i="3"/>
  <c r="V2336" i="3"/>
  <c r="V981" i="3"/>
  <c r="V1088" i="3"/>
  <c r="V1836" i="3"/>
  <c r="V2024" i="3"/>
  <c r="V2585" i="3"/>
  <c r="V1994" i="3"/>
  <c r="V2939" i="3"/>
  <c r="V2530" i="3"/>
  <c r="V1495" i="3"/>
  <c r="V2607" i="3"/>
  <c r="V2337" i="3"/>
  <c r="V2158" i="3"/>
  <c r="V1861" i="3"/>
  <c r="V2049" i="3"/>
  <c r="V1736" i="3"/>
  <c r="V2253" i="3"/>
  <c r="V1833" i="3"/>
  <c r="V2879" i="3"/>
  <c r="V2582" i="3"/>
  <c r="V3195" i="3"/>
  <c r="V3466" i="3"/>
  <c r="V3159" i="3"/>
  <c r="V2137" i="3"/>
  <c r="V3325" i="3"/>
  <c r="V3183" i="3"/>
  <c r="V3003" i="3"/>
  <c r="V2944" i="3"/>
  <c r="V3151" i="3"/>
  <c r="V3436" i="3"/>
  <c r="V2929" i="3"/>
  <c r="V2760" i="3"/>
  <c r="V3968" i="3"/>
  <c r="V3833" i="3"/>
  <c r="V3913" i="3"/>
  <c r="V3977" i="3"/>
  <c r="V3304" i="3"/>
  <c r="V3999" i="3"/>
  <c r="V4043" i="3"/>
  <c r="V3008" i="3"/>
  <c r="V3805" i="3"/>
  <c r="V20" i="3"/>
  <c r="V724" i="3"/>
  <c r="V604" i="3"/>
  <c r="V77" i="3"/>
  <c r="V1338" i="3"/>
  <c r="V1052" i="3"/>
  <c r="V73" i="3"/>
  <c r="V861" i="3"/>
  <c r="V733" i="3"/>
  <c r="V221" i="3"/>
  <c r="V95" i="3"/>
  <c r="V1026" i="3"/>
  <c r="V223" i="3"/>
  <c r="V61" i="3"/>
  <c r="V1043" i="3"/>
  <c r="V227" i="3"/>
  <c r="V64" i="3"/>
  <c r="V795" i="3"/>
  <c r="V211" i="3"/>
  <c r="V85" i="3"/>
  <c r="V1232" i="3"/>
  <c r="V248" i="3"/>
  <c r="V87" i="3"/>
  <c r="V964" i="3"/>
  <c r="V215" i="3"/>
  <c r="V54" i="3"/>
  <c r="V715" i="3"/>
  <c r="V156" i="3"/>
  <c r="V410" i="3"/>
  <c r="V661" i="3"/>
  <c r="V949" i="3"/>
  <c r="V1235" i="3"/>
  <c r="V1559" i="3"/>
  <c r="V363" i="3"/>
  <c r="V615" i="3"/>
  <c r="V899" i="3"/>
  <c r="V1180" i="3"/>
  <c r="V1462" i="3"/>
  <c r="V316" i="3"/>
  <c r="V568" i="3"/>
  <c r="V831" i="3"/>
  <c r="V1110" i="3"/>
  <c r="V1392" i="3"/>
  <c r="V2400" i="3"/>
  <c r="V509" i="3"/>
  <c r="V765" i="3"/>
  <c r="V1095" i="3"/>
  <c r="V1393" i="3"/>
  <c r="V2410" i="3"/>
  <c r="V494" i="3"/>
  <c r="V766" i="3"/>
  <c r="V1041" i="3"/>
  <c r="V1328" i="3"/>
  <c r="V2005" i="3"/>
  <c r="V176" i="3"/>
  <c r="V431" i="3"/>
  <c r="V682" i="3"/>
  <c r="V972" i="3"/>
  <c r="V1257" i="3"/>
  <c r="V1608" i="3"/>
  <c r="V2291" i="3"/>
  <c r="V481" i="3"/>
  <c r="V751" i="3"/>
  <c r="V1063" i="3"/>
  <c r="V1365" i="3"/>
  <c r="V2156" i="3"/>
  <c r="V466" i="3"/>
  <c r="V717" i="3"/>
  <c r="V1011" i="3"/>
  <c r="V1298" i="3"/>
  <c r="V1913" i="3"/>
  <c r="V435" i="3"/>
  <c r="V686" i="3"/>
  <c r="V958" i="3"/>
  <c r="V1280" i="3"/>
  <c r="V1739" i="3"/>
  <c r="V404" i="3"/>
  <c r="V655" i="3"/>
  <c r="V925" i="3"/>
  <c r="V1227" i="3"/>
  <c r="V1578" i="3"/>
  <c r="V357" i="3"/>
  <c r="V609" i="3"/>
  <c r="V875" i="3"/>
  <c r="V1157" i="3"/>
  <c r="V1455" i="3"/>
  <c r="V294" i="3"/>
  <c r="V547" i="3"/>
  <c r="V825" i="3"/>
  <c r="V1104" i="3"/>
  <c r="V1404" i="3"/>
  <c r="V2488" i="3"/>
  <c r="V503" i="3"/>
  <c r="V776" i="3"/>
  <c r="V1051" i="3"/>
  <c r="V1355" i="3"/>
  <c r="V2074" i="3"/>
  <c r="V297" i="3"/>
  <c r="V550" i="3"/>
  <c r="V811" i="3"/>
  <c r="V1090" i="3"/>
  <c r="V1373" i="3"/>
  <c r="V2229" i="3"/>
  <c r="V904" i="3"/>
  <c r="V1150" i="3"/>
  <c r="V1396" i="3"/>
  <c r="V1646" i="3"/>
  <c r="V1899" i="3"/>
  <c r="V2149" i="3"/>
  <c r="V2438" i="3"/>
  <c r="V2745" i="3"/>
  <c r="V1570" i="3"/>
  <c r="V1837" i="3"/>
  <c r="V2115" i="3"/>
  <c r="V2404" i="3"/>
  <c r="V2705" i="3"/>
  <c r="V1555" i="3"/>
  <c r="V1807" i="3"/>
  <c r="V2057" i="3"/>
  <c r="V2332" i="3"/>
  <c r="V2663" i="3"/>
  <c r="V1525" i="3"/>
  <c r="V1776" i="3"/>
  <c r="V2071" i="3"/>
  <c r="V2351" i="3"/>
  <c r="V2646" i="3"/>
  <c r="V1510" i="3"/>
  <c r="V1777" i="3"/>
  <c r="V2027" i="3"/>
  <c r="V2316" i="3"/>
  <c r="V2606" i="3"/>
  <c r="V743" i="3"/>
  <c r="V1030" i="3"/>
  <c r="V1297" i="3"/>
  <c r="V1558" i="3"/>
  <c r="V1810" i="3"/>
  <c r="V2073" i="3"/>
  <c r="V2372" i="3"/>
  <c r="V2709" i="3"/>
  <c r="V3240" i="3"/>
  <c r="V1859" i="3"/>
  <c r="V2105" i="3"/>
  <c r="V2411" i="3"/>
  <c r="V2754" i="3"/>
  <c r="V1968" i="3"/>
  <c r="V2231" i="3"/>
  <c r="V2517" i="3"/>
  <c r="V2846" i="3"/>
  <c r="V1924" i="3"/>
  <c r="V2177" i="3"/>
  <c r="V2482" i="3"/>
  <c r="V2801" i="3"/>
  <c r="V1610" i="3"/>
  <c r="V1862" i="3"/>
  <c r="V2108" i="3"/>
  <c r="V2414" i="3"/>
  <c r="V2716" i="3"/>
  <c r="V1548" i="3"/>
  <c r="V1800" i="3"/>
  <c r="V2065" i="3"/>
  <c r="V2342" i="3"/>
  <c r="V2675" i="3"/>
  <c r="V1518" i="3"/>
  <c r="V1769" i="3"/>
  <c r="V2019" i="3"/>
  <c r="V2325" i="3"/>
  <c r="V2637" i="3"/>
  <c r="V1643" i="3"/>
  <c r="V1896" i="3"/>
  <c r="V2145" i="3"/>
  <c r="V2434" i="3"/>
  <c r="V2741" i="3"/>
  <c r="V3340" i="3"/>
  <c r="V1835" i="3"/>
  <c r="V2083" i="3"/>
  <c r="V2365" i="3"/>
  <c r="V2659" i="3"/>
  <c r="V2132" i="3"/>
  <c r="V2386" i="3"/>
  <c r="V2644" i="3"/>
  <c r="V2950" i="3"/>
  <c r="V3290" i="3"/>
  <c r="V3787" i="3"/>
  <c r="V3177" i="3"/>
  <c r="V3593" i="3"/>
  <c r="V3036" i="3"/>
  <c r="V3419" i="3"/>
  <c r="V2916" i="3"/>
  <c r="V3271" i="3"/>
  <c r="V3754" i="3"/>
  <c r="V3140" i="3"/>
  <c r="V3523" i="3"/>
  <c r="V2201" i="3"/>
  <c r="V2452" i="3"/>
  <c r="V2739" i="3"/>
  <c r="V3059" i="3"/>
  <c r="V3424" i="3"/>
  <c r="V3427" i="3"/>
  <c r="V2940" i="3"/>
  <c r="V3279" i="3"/>
  <c r="V3806" i="3"/>
  <c r="V3185" i="3"/>
  <c r="V3650" i="3"/>
  <c r="V3084" i="3"/>
  <c r="V3454" i="3"/>
  <c r="V3107" i="3"/>
  <c r="V3573" i="3"/>
  <c r="V3027" i="3"/>
  <c r="V3384" i="3"/>
  <c r="V2887" i="3"/>
  <c r="V3236" i="3"/>
  <c r="V3778" i="3"/>
  <c r="V3131" i="3"/>
  <c r="V3545" i="3"/>
  <c r="V3546" i="3"/>
  <c r="V3011" i="3"/>
  <c r="V3439" i="3"/>
  <c r="V2559" i="3"/>
  <c r="V2830" i="3"/>
  <c r="V3114" i="3"/>
  <c r="V3406" i="3"/>
  <c r="V3732" i="3"/>
  <c r="V4047" i="3"/>
  <c r="V3296" i="3"/>
  <c r="V3598" i="3"/>
  <c r="V3912" i="3"/>
  <c r="V3677" i="3"/>
  <c r="V3992" i="3"/>
  <c r="V3757" i="3"/>
  <c r="V4072" i="3"/>
  <c r="V4056" i="3"/>
  <c r="V2767" i="3"/>
  <c r="V3087" i="3"/>
  <c r="V3381" i="3"/>
  <c r="V3704" i="3"/>
  <c r="V4017" i="3"/>
  <c r="V3763" i="3"/>
  <c r="V4078" i="3"/>
  <c r="V3823" i="3"/>
  <c r="V4041" i="3"/>
  <c r="V3808" i="3"/>
  <c r="V3238" i="3"/>
  <c r="V3536" i="3"/>
  <c r="V3849" i="3"/>
  <c r="V2823" i="3"/>
  <c r="V3070" i="3"/>
  <c r="V3347" i="3"/>
  <c r="V3591" i="3"/>
  <c r="V3845" i="3"/>
  <c r="V3211" i="3"/>
  <c r="V3496" i="3"/>
  <c r="V3751" i="3"/>
  <c r="V4006" i="3"/>
  <c r="V2847" i="3"/>
  <c r="V3126" i="3"/>
  <c r="V3370" i="3"/>
  <c r="V3615" i="3"/>
  <c r="V3869" i="3"/>
  <c r="V4095" i="3"/>
  <c r="V520" i="3"/>
  <c r="V216" i="3"/>
  <c r="V159" i="3"/>
  <c r="V538" i="3"/>
  <c r="V1291" i="3"/>
  <c r="V401" i="3"/>
  <c r="V607" i="3"/>
  <c r="V2192" i="3"/>
  <c r="V725" i="3"/>
  <c r="V2348" i="3"/>
  <c r="V1696" i="3"/>
  <c r="V2030" i="3"/>
  <c r="V2092" i="3"/>
  <c r="V1720" i="3"/>
  <c r="V1817" i="3"/>
  <c r="V2914" i="3"/>
  <c r="V3295" i="3"/>
  <c r="V2375" i="3"/>
  <c r="V3475" i="3"/>
  <c r="V3582" i="3"/>
  <c r="V3312" i="3"/>
  <c r="V3659" i="3"/>
  <c r="V3919" i="3"/>
  <c r="V3442" i="3"/>
  <c r="V3241" i="3"/>
  <c r="V4045" i="3"/>
  <c r="V1459" i="3"/>
  <c r="V14" i="3"/>
  <c r="V299" i="3"/>
  <c r="V445" i="3"/>
  <c r="V367" i="3"/>
  <c r="V1278" i="3"/>
  <c r="V891" i="3"/>
  <c r="V1033" i="3"/>
  <c r="V1692" i="3"/>
  <c r="V1743" i="3"/>
  <c r="V1008" i="3"/>
  <c r="V1187" i="3"/>
  <c r="V103" i="3"/>
  <c r="V1106" i="3"/>
  <c r="V1252" i="3"/>
  <c r="V915" i="3"/>
  <c r="V584" i="3"/>
  <c r="V1411" i="3"/>
  <c r="V1345" i="3"/>
  <c r="V990" i="3"/>
  <c r="V2300" i="3"/>
  <c r="V2037" i="3"/>
  <c r="V420" i="3"/>
  <c r="V1175" i="3"/>
  <c r="V519" i="3"/>
  <c r="V313" i="3"/>
  <c r="V2373" i="3"/>
  <c r="V1586" i="3"/>
  <c r="V2369" i="3"/>
  <c r="V1912" i="3"/>
  <c r="V2163" i="3"/>
  <c r="V2451" i="3"/>
  <c r="V2762" i="3"/>
  <c r="V1600" i="3"/>
  <c r="V1851" i="3"/>
  <c r="V2097" i="3"/>
  <c r="V2383" i="3"/>
  <c r="V2681" i="3"/>
  <c r="V2148" i="3"/>
  <c r="V2402" i="3"/>
  <c r="V2660" i="3"/>
  <c r="V2972" i="3"/>
  <c r="V3318" i="3"/>
  <c r="V3832" i="3"/>
  <c r="V3196" i="3"/>
  <c r="V3632" i="3"/>
  <c r="V3056" i="3"/>
  <c r="V3444" i="3"/>
  <c r="V2934" i="3"/>
  <c r="V3297" i="3"/>
  <c r="V3797" i="3"/>
  <c r="V3160" i="3"/>
  <c r="V3563" i="3"/>
  <c r="V2217" i="3"/>
  <c r="V2468" i="3"/>
  <c r="V2757" i="3"/>
  <c r="V3080" i="3"/>
  <c r="V3448" i="3"/>
  <c r="V3449" i="3"/>
  <c r="V2959" i="3"/>
  <c r="V3303" i="3"/>
  <c r="V3851" i="3"/>
  <c r="V3206" i="3"/>
  <c r="V3689" i="3"/>
  <c r="V3106" i="3"/>
  <c r="V3476" i="3"/>
  <c r="V3128" i="3"/>
  <c r="V3613" i="3"/>
  <c r="V3047" i="3"/>
  <c r="V3410" i="3"/>
  <c r="V2907" i="3"/>
  <c r="V3262" i="3"/>
  <c r="V3819" i="3"/>
  <c r="V3171" i="3"/>
  <c r="V3584" i="3"/>
  <c r="V3585" i="3"/>
  <c r="V3031" i="3"/>
  <c r="V3462" i="3"/>
  <c r="V2573" i="3"/>
  <c r="V2849" i="3"/>
  <c r="V3132" i="3"/>
  <c r="V3426" i="3"/>
  <c r="V3753" i="3"/>
  <c r="V4066" i="3"/>
  <c r="V3314" i="3"/>
  <c r="V3618" i="3"/>
  <c r="V3931" i="3"/>
  <c r="V3697" i="3"/>
  <c r="V4011" i="3"/>
  <c r="V3777" i="3"/>
  <c r="V3994" i="3"/>
  <c r="V4075" i="3"/>
  <c r="V2785" i="3"/>
  <c r="V3105" i="3"/>
  <c r="V3416" i="3"/>
  <c r="V3723" i="3"/>
  <c r="V4036" i="3"/>
  <c r="V3784" i="3"/>
  <c r="V3530" i="3"/>
  <c r="V3842" i="3"/>
  <c r="V4060" i="3"/>
  <c r="V3827" i="3"/>
  <c r="V3257" i="3"/>
  <c r="V3555" i="3"/>
  <c r="V3868" i="3"/>
  <c r="V2839" i="3"/>
  <c r="V3086" i="3"/>
  <c r="V3362" i="3"/>
  <c r="V3607" i="3"/>
  <c r="V3861" i="3"/>
  <c r="V3226" i="3"/>
  <c r="V3512" i="3"/>
  <c r="V3767" i="3"/>
  <c r="V4022" i="3"/>
  <c r="V2863" i="3"/>
  <c r="V3142" i="3"/>
  <c r="V3385" i="3"/>
  <c r="V3631" i="3"/>
  <c r="V3885" i="3"/>
  <c r="V4096" i="3"/>
  <c r="V62" i="3"/>
  <c r="V25" i="3"/>
  <c r="V1364" i="3"/>
  <c r="V1426" i="3"/>
  <c r="V680" i="3"/>
  <c r="V1168" i="3"/>
  <c r="V1576" i="3"/>
  <c r="V533" i="3"/>
  <c r="V1629" i="3"/>
  <c r="V2069" i="3"/>
  <c r="V2242" i="3"/>
  <c r="V2208" i="3"/>
  <c r="V2319" i="3"/>
  <c r="V1783" i="3"/>
  <c r="V2538" i="3"/>
  <c r="V3074" i="3"/>
  <c r="V2648" i="3"/>
  <c r="V3365" i="3"/>
  <c r="V4021" i="3"/>
  <c r="V1124" i="3"/>
  <c r="V1498" i="3"/>
  <c r="V272" i="3"/>
  <c r="V830" i="3"/>
  <c r="V988" i="3"/>
  <c r="V1185" i="3"/>
  <c r="V1614" i="3"/>
  <c r="V293" i="3"/>
  <c r="V1335" i="3"/>
  <c r="V2084" i="3"/>
  <c r="V243" i="3"/>
  <c r="V239" i="3"/>
  <c r="V242" i="3"/>
  <c r="V929" i="3"/>
  <c r="V105" i="3"/>
  <c r="V171" i="3"/>
  <c r="V966" i="3"/>
  <c r="V630" i="3"/>
  <c r="V332" i="3"/>
  <c r="V1410" i="3"/>
  <c r="V1111" i="3"/>
  <c r="V1059" i="3"/>
  <c r="V447" i="3"/>
  <c r="V497" i="3"/>
  <c r="V1028" i="3"/>
  <c r="V1299" i="3"/>
  <c r="V1623" i="3"/>
  <c r="V310" i="3"/>
  <c r="V2639" i="3"/>
  <c r="V1371" i="3"/>
  <c r="V1107" i="3"/>
  <c r="V1662" i="3"/>
  <c r="V1853" i="3"/>
  <c r="V1822" i="3"/>
  <c r="V1792" i="3"/>
  <c r="V1793" i="3"/>
  <c r="V1045" i="3"/>
  <c r="V2088" i="3"/>
  <c r="V1607" i="3"/>
  <c r="V2428" i="3"/>
  <c r="V2249" i="3"/>
  <c r="V1940" i="3"/>
  <c r="V2825" i="3"/>
  <c r="V1878" i="3"/>
  <c r="V2142" i="3"/>
  <c r="V2431" i="3"/>
  <c r="V2737" i="3"/>
  <c r="V1564" i="3"/>
  <c r="V1815" i="3"/>
  <c r="V1534" i="3"/>
  <c r="V1785" i="3"/>
  <c r="V2035" i="3"/>
  <c r="V2344" i="3"/>
  <c r="V2655" i="3"/>
  <c r="V1659" i="3"/>
  <c r="V135" i="3"/>
  <c r="V111" i="3"/>
  <c r="V110" i="3"/>
  <c r="V1142" i="3"/>
  <c r="V1151" i="3"/>
  <c r="V257" i="3"/>
  <c r="V132" i="3"/>
  <c r="V1314" i="3"/>
  <c r="V259" i="3"/>
  <c r="V98" i="3"/>
  <c r="V1330" i="3"/>
  <c r="V262" i="3"/>
  <c r="V101" i="3"/>
  <c r="V1070" i="3"/>
  <c r="V246" i="3"/>
  <c r="V121" i="3"/>
  <c r="V1551" i="3"/>
  <c r="V304" i="3"/>
  <c r="V123" i="3"/>
  <c r="V1250" i="3"/>
  <c r="V251" i="3"/>
  <c r="V90" i="3"/>
  <c r="V991" i="3"/>
  <c r="V187" i="3"/>
  <c r="V442" i="3"/>
  <c r="V693" i="3"/>
  <c r="V985" i="3"/>
  <c r="V1270" i="3"/>
  <c r="V1639" i="3"/>
  <c r="V395" i="3"/>
  <c r="V646" i="3"/>
  <c r="V932" i="3"/>
  <c r="V1217" i="3"/>
  <c r="V1521" i="3"/>
  <c r="V348" i="3"/>
  <c r="V600" i="3"/>
  <c r="V866" i="3"/>
  <c r="V1146" i="3"/>
  <c r="V1429" i="3"/>
  <c r="V285" i="3"/>
  <c r="V540" i="3"/>
  <c r="V816" i="3"/>
  <c r="V1129" i="3"/>
  <c r="V1430" i="3"/>
  <c r="V2710" i="3"/>
  <c r="V526" i="3"/>
  <c r="V800" i="3"/>
  <c r="V1078" i="3"/>
  <c r="V1362" i="3"/>
  <c r="V2272" i="3"/>
  <c r="V208" i="3"/>
  <c r="V463" i="3"/>
  <c r="V714" i="3"/>
  <c r="V1007" i="3"/>
  <c r="V1294" i="3"/>
  <c r="V1723" i="3"/>
  <c r="V2580" i="3"/>
  <c r="V513" i="3"/>
  <c r="V787" i="3"/>
  <c r="V1099" i="3"/>
  <c r="V1398" i="3"/>
  <c r="V2444" i="3"/>
  <c r="V498" i="3"/>
  <c r="V752" i="3"/>
  <c r="V1046" i="3"/>
  <c r="V1331" i="3"/>
  <c r="V2165" i="3"/>
  <c r="V467" i="3"/>
  <c r="V718" i="3"/>
  <c r="V1012" i="3"/>
  <c r="V1317" i="3"/>
  <c r="V1921" i="3"/>
  <c r="V436" i="3"/>
  <c r="V687" i="3"/>
  <c r="V959" i="3"/>
  <c r="V1263" i="3"/>
  <c r="V1684" i="3"/>
  <c r="V389" i="3"/>
  <c r="V640" i="3"/>
  <c r="V909" i="3"/>
  <c r="V1192" i="3"/>
  <c r="V1512" i="3"/>
  <c r="V326" i="3"/>
  <c r="V594" i="3"/>
  <c r="V859" i="3"/>
  <c r="V1140" i="3"/>
  <c r="V1439" i="3"/>
  <c r="V2808" i="3"/>
  <c r="V548" i="3"/>
  <c r="V810" i="3"/>
  <c r="V1087" i="3"/>
  <c r="V1387" i="3"/>
  <c r="V2355" i="3"/>
  <c r="V329" i="3"/>
  <c r="V581" i="3"/>
  <c r="V846" i="3"/>
  <c r="V1125" i="3"/>
  <c r="V1407" i="3"/>
  <c r="V2515" i="3"/>
  <c r="V933" i="3"/>
  <c r="V1181" i="3"/>
  <c r="V1428" i="3"/>
  <c r="V1678" i="3"/>
  <c r="V1931" i="3"/>
  <c r="V2186" i="3"/>
  <c r="V2473" i="3"/>
  <c r="V2787" i="3"/>
  <c r="V1602" i="3"/>
  <c r="V1869" i="3"/>
  <c r="V2150" i="3"/>
  <c r="V2439" i="3"/>
  <c r="V2746" i="3"/>
  <c r="V1587" i="3"/>
  <c r="V1838" i="3"/>
  <c r="V2085" i="3"/>
  <c r="V2368" i="3"/>
  <c r="V2706" i="3"/>
  <c r="V1556" i="3"/>
  <c r="V1808" i="3"/>
  <c r="V2101" i="3"/>
  <c r="V2388" i="3"/>
  <c r="V2686" i="3"/>
  <c r="V1541" i="3"/>
  <c r="V1809" i="3"/>
  <c r="V2058" i="3"/>
  <c r="V2352" i="3"/>
  <c r="V2647" i="3"/>
  <c r="V774" i="3"/>
  <c r="V1061" i="3"/>
  <c r="V1327" i="3"/>
  <c r="V1590" i="3"/>
  <c r="V1841" i="3"/>
  <c r="V2103" i="3"/>
  <c r="V2409" i="3"/>
  <c r="V2750" i="3"/>
  <c r="V1622" i="3"/>
  <c r="V1890" i="3"/>
  <c r="V2157" i="3"/>
  <c r="V2445" i="3"/>
  <c r="V2798" i="3"/>
  <c r="V1999" i="3"/>
  <c r="V2266" i="3"/>
  <c r="V2553" i="3"/>
  <c r="V2897" i="3"/>
  <c r="V1954" i="3"/>
  <c r="V2214" i="3"/>
  <c r="V2518" i="3"/>
  <c r="V2848" i="3"/>
  <c r="V1640" i="3"/>
  <c r="V1893" i="3"/>
  <c r="V2160" i="3"/>
  <c r="V2448" i="3"/>
  <c r="V2758" i="3"/>
  <c r="V1580" i="3"/>
  <c r="V1831" i="3"/>
  <c r="V2094" i="3"/>
  <c r="V2379" i="3"/>
  <c r="V2717" i="3"/>
  <c r="V1549" i="3"/>
  <c r="V1801" i="3"/>
  <c r="V2051" i="3"/>
  <c r="V2362" i="3"/>
  <c r="V2676" i="3"/>
  <c r="V1675" i="3"/>
  <c r="V1928" i="3"/>
  <c r="V2182" i="3"/>
  <c r="V2470" i="3"/>
  <c r="V2782" i="3"/>
  <c r="V1615" i="3"/>
  <c r="V1867" i="3"/>
  <c r="V2113" i="3"/>
  <c r="V2401" i="3"/>
  <c r="V2701" i="3"/>
  <c r="V2164" i="3"/>
  <c r="V2418" i="3"/>
  <c r="V2678" i="3"/>
  <c r="V2991" i="3"/>
  <c r="V3343" i="3"/>
  <c r="V3876" i="3"/>
  <c r="V3219" i="3"/>
  <c r="V3669" i="3"/>
  <c r="V3075" i="3"/>
  <c r="V3467" i="3"/>
  <c r="V2955" i="3"/>
  <c r="V3321" i="3"/>
  <c r="V3839" i="3"/>
  <c r="V3180" i="3"/>
  <c r="V3602" i="3"/>
  <c r="V2233" i="3"/>
  <c r="V2483" i="3"/>
  <c r="V2774" i="3"/>
  <c r="V3100" i="3"/>
  <c r="V3471" i="3"/>
  <c r="V3473" i="3"/>
  <c r="V2981" i="3"/>
  <c r="V3327" i="3"/>
  <c r="V3897" i="3"/>
  <c r="V3231" i="3"/>
  <c r="V3728" i="3"/>
  <c r="V3127" i="3"/>
  <c r="V3504" i="3"/>
  <c r="V3168" i="3"/>
  <c r="V3652" i="3"/>
  <c r="V3066" i="3"/>
  <c r="V3456" i="3"/>
  <c r="V2927" i="3"/>
  <c r="V3286" i="3"/>
  <c r="V3865" i="3"/>
  <c r="V3191" i="3"/>
  <c r="V3622" i="3"/>
  <c r="V3625" i="3"/>
  <c r="V3052" i="3"/>
  <c r="V3486" i="3"/>
  <c r="V2603" i="3"/>
  <c r="V2866" i="3"/>
  <c r="V3150" i="3"/>
  <c r="V3460" i="3"/>
  <c r="V3772" i="3"/>
  <c r="V3911" i="3"/>
  <c r="V3335" i="3"/>
  <c r="V3637" i="3"/>
  <c r="V3951" i="3"/>
  <c r="V3716" i="3"/>
  <c r="V4031" i="3"/>
  <c r="V3796" i="3"/>
  <c r="V4014" i="3"/>
  <c r="V2551" i="3"/>
  <c r="V2803" i="3"/>
  <c r="V3123" i="3"/>
  <c r="V3434" i="3"/>
  <c r="V3743" i="3"/>
  <c r="V4057" i="3"/>
  <c r="V3802" i="3"/>
  <c r="V3549" i="3"/>
  <c r="V3863" i="3"/>
  <c r="V4080" i="3"/>
  <c r="V3848" i="3"/>
  <c r="V3274" i="3"/>
  <c r="V3574" i="3"/>
  <c r="V3888" i="3"/>
  <c r="V2855" i="3"/>
  <c r="V3102" i="3"/>
  <c r="V3378" i="3"/>
  <c r="V3623" i="3"/>
  <c r="V3877" i="3"/>
  <c r="V3242" i="3"/>
  <c r="V3528" i="3"/>
  <c r="V3783" i="3"/>
  <c r="V4038" i="3"/>
  <c r="V2893" i="3"/>
  <c r="V3156" i="3"/>
  <c r="V3399" i="3"/>
  <c r="V3647" i="3"/>
  <c r="V3901" i="3"/>
  <c r="V4097" i="3"/>
  <c r="V1481" i="3"/>
  <c r="V279" i="3"/>
  <c r="V582" i="3"/>
  <c r="V1781" i="3"/>
  <c r="V886" i="3"/>
  <c r="V923" i="3"/>
  <c r="V1437" i="3"/>
  <c r="V690" i="3"/>
  <c r="V1701" i="3"/>
  <c r="V1758" i="3"/>
  <c r="V2546" i="3"/>
  <c r="V1950" i="3"/>
  <c r="V3228" i="3"/>
  <c r="V2693" i="3"/>
  <c r="V2989" i="3"/>
  <c r="V2562" i="3"/>
  <c r="V2933" i="3"/>
  <c r="V2122" i="3"/>
  <c r="V2983" i="3"/>
  <c r="V3204" i="3"/>
  <c r="V3926" i="3"/>
  <c r="V149" i="3"/>
  <c r="V2532" i="3"/>
  <c r="V1874" i="3"/>
  <c r="V1803" i="3"/>
  <c r="V1156" i="3"/>
  <c r="V1267" i="3"/>
  <c r="V2661" i="3"/>
  <c r="V280" i="3"/>
  <c r="V114" i="3"/>
  <c r="V79" i="3"/>
  <c r="V229" i="3"/>
  <c r="V852" i="3"/>
  <c r="V782" i="3"/>
  <c r="V510" i="3"/>
  <c r="V2128" i="3"/>
  <c r="V698" i="3"/>
  <c r="V1660" i="3"/>
  <c r="V1081" i="3"/>
  <c r="V735" i="3"/>
  <c r="V702" i="3"/>
  <c r="V671" i="3"/>
  <c r="V624" i="3"/>
  <c r="V842" i="3"/>
  <c r="V794" i="3"/>
  <c r="V828" i="3"/>
  <c r="V1166" i="3"/>
  <c r="V2167" i="3"/>
  <c r="V2422" i="3"/>
  <c r="V2070" i="3"/>
  <c r="V2086" i="3"/>
  <c r="V1526" i="3"/>
  <c r="V759" i="3"/>
  <c r="V1825" i="3"/>
  <c r="V1875" i="3"/>
  <c r="V2773" i="3"/>
  <c r="V2534" i="3"/>
  <c r="V2079" i="3"/>
  <c r="V38" i="3"/>
  <c r="V1286" i="3"/>
  <c r="V150" i="3"/>
  <c r="V277" i="3"/>
  <c r="V1468" i="3"/>
  <c r="V281" i="3"/>
  <c r="V119" i="3"/>
  <c r="V1214" i="3"/>
  <c r="V264" i="3"/>
  <c r="V139" i="3"/>
  <c r="V13" i="3"/>
  <c r="V432" i="3"/>
  <c r="V142" i="3"/>
  <c r="V1388" i="3"/>
  <c r="V269" i="3"/>
  <c r="V109" i="3"/>
  <c r="V1132" i="3"/>
  <c r="V203" i="3"/>
  <c r="V458" i="3"/>
  <c r="V709" i="3"/>
  <c r="V1002" i="3"/>
  <c r="V1288" i="3"/>
  <c r="V1702" i="3"/>
  <c r="V411" i="3"/>
  <c r="V662" i="3"/>
  <c r="V950" i="3"/>
  <c r="V1236" i="3"/>
  <c r="V1560" i="3"/>
  <c r="V364" i="3"/>
  <c r="V616" i="3"/>
  <c r="V883" i="3"/>
  <c r="V1164" i="3"/>
  <c r="V1445" i="3"/>
  <c r="V301" i="3"/>
  <c r="V554" i="3"/>
  <c r="V832" i="3"/>
  <c r="V1147" i="3"/>
  <c r="V1446" i="3"/>
  <c r="V286" i="3"/>
  <c r="V555" i="3"/>
  <c r="V817" i="3"/>
  <c r="V1096" i="3"/>
  <c r="V1378" i="3"/>
  <c r="V2419" i="3"/>
  <c r="V224" i="3"/>
  <c r="V479" i="3"/>
  <c r="V732" i="3"/>
  <c r="V1024" i="3"/>
  <c r="V1312" i="3"/>
  <c r="V1797" i="3"/>
  <c r="V2742" i="3"/>
  <c r="V529" i="3"/>
  <c r="V803" i="3"/>
  <c r="V1115" i="3"/>
  <c r="V1416" i="3"/>
  <c r="V2589" i="3"/>
  <c r="V514" i="3"/>
  <c r="V788" i="3"/>
  <c r="V1064" i="3"/>
  <c r="V1349" i="3"/>
  <c r="V2309" i="3"/>
  <c r="V483" i="3"/>
  <c r="V736" i="3"/>
  <c r="V1029" i="3"/>
  <c r="V1332" i="3"/>
  <c r="V2045" i="3"/>
  <c r="V452" i="3"/>
  <c r="V703" i="3"/>
  <c r="V977" i="3"/>
  <c r="V1282" i="3"/>
  <c r="V1747" i="3"/>
  <c r="V405" i="3"/>
  <c r="V656" i="3"/>
  <c r="V926" i="3"/>
  <c r="V1210" i="3"/>
  <c r="V1545" i="3"/>
  <c r="V342" i="3"/>
  <c r="V610" i="3"/>
  <c r="V876" i="3"/>
  <c r="V1158" i="3"/>
  <c r="V1456" i="3"/>
  <c r="V295" i="3"/>
  <c r="V563" i="3"/>
  <c r="V826" i="3"/>
  <c r="V1105" i="3"/>
  <c r="V1405" i="3"/>
  <c r="V2497" i="3"/>
  <c r="V345" i="3"/>
  <c r="V597" i="3"/>
  <c r="V862" i="3"/>
  <c r="V1143" i="3"/>
  <c r="V1425" i="3"/>
  <c r="V2669" i="3"/>
  <c r="V948" i="3"/>
  <c r="V1197" i="3"/>
  <c r="V1442" i="3"/>
  <c r="V1694" i="3"/>
  <c r="V1947" i="3"/>
  <c r="V2204" i="3"/>
  <c r="V2490" i="3"/>
  <c r="V2811" i="3"/>
  <c r="V1617" i="3"/>
  <c r="V1884" i="3"/>
  <c r="V2168" i="3"/>
  <c r="V2456" i="3"/>
  <c r="V2788" i="3"/>
  <c r="V1603" i="3"/>
  <c r="V1854" i="3"/>
  <c r="V2100" i="3"/>
  <c r="V2387" i="3"/>
  <c r="V2726" i="3"/>
  <c r="V1572" i="3"/>
  <c r="V1823" i="3"/>
  <c r="V2117" i="3"/>
  <c r="V2406" i="3"/>
  <c r="V2707" i="3"/>
  <c r="V1557" i="3"/>
  <c r="V1824" i="3"/>
  <c r="V2072" i="3"/>
  <c r="V2371" i="3"/>
  <c r="V2667" i="3"/>
  <c r="V790" i="3"/>
  <c r="V1077" i="3"/>
  <c r="V1342" i="3"/>
  <c r="V1606" i="3"/>
  <c r="V1857" i="3"/>
  <c r="V2120" i="3"/>
  <c r="V2426" i="3"/>
  <c r="V2771" i="3"/>
  <c r="V1637" i="3"/>
  <c r="V1906" i="3"/>
  <c r="V2175" i="3"/>
  <c r="V2462" i="3"/>
  <c r="V2822" i="3"/>
  <c r="V2015" i="3"/>
  <c r="V2284" i="3"/>
  <c r="V2571" i="3"/>
  <c r="V2968" i="3"/>
  <c r="V1969" i="3"/>
  <c r="V2232" i="3"/>
  <c r="V2535" i="3"/>
  <c r="V2871" i="3"/>
  <c r="V1656" i="3"/>
  <c r="V1909" i="3"/>
  <c r="V2178" i="3"/>
  <c r="V2466" i="3"/>
  <c r="V2779" i="3"/>
  <c r="V1596" i="3"/>
  <c r="V1847" i="3"/>
  <c r="V2109" i="3"/>
  <c r="V2397" i="3"/>
  <c r="V2738" i="3"/>
  <c r="V1565" i="3"/>
  <c r="V1816" i="3"/>
  <c r="V2080" i="3"/>
  <c r="V2380" i="3"/>
  <c r="V2698" i="3"/>
  <c r="V1691" i="3"/>
  <c r="V1944" i="3"/>
  <c r="V2200" i="3"/>
  <c r="V2487" i="3"/>
  <c r="V2806" i="3"/>
  <c r="V1630" i="3"/>
  <c r="V1882" i="3"/>
  <c r="V2129" i="3"/>
  <c r="V2420" i="3"/>
  <c r="V2723" i="3"/>
  <c r="V2180" i="3"/>
  <c r="V2433" i="3"/>
  <c r="V2697" i="3"/>
  <c r="V3012" i="3"/>
  <c r="V3367" i="3"/>
  <c r="V3923" i="3"/>
  <c r="V3245" i="3"/>
  <c r="V3709" i="3"/>
  <c r="V3097" i="3"/>
  <c r="V3491" i="3"/>
  <c r="V2975" i="3"/>
  <c r="V3346" i="3"/>
  <c r="V3884" i="3"/>
  <c r="V3199" i="3"/>
  <c r="V3642" i="3"/>
  <c r="V2248" i="3"/>
  <c r="V2498" i="3"/>
  <c r="V2796" i="3"/>
  <c r="V3121" i="3"/>
  <c r="V3494" i="3"/>
  <c r="V3499" i="3"/>
  <c r="V3001" i="3"/>
  <c r="V3356" i="3"/>
  <c r="V3945" i="3"/>
  <c r="V3254" i="3"/>
  <c r="V3768" i="3"/>
  <c r="V3147" i="3"/>
  <c r="V3533" i="3"/>
  <c r="V3188" i="3"/>
  <c r="V3691" i="3"/>
  <c r="V3088" i="3"/>
  <c r="V3483" i="3"/>
  <c r="V2946" i="3"/>
  <c r="V3337" i="3"/>
  <c r="V3915" i="3"/>
  <c r="V3214" i="3"/>
  <c r="V3661" i="3"/>
  <c r="V3663" i="3"/>
  <c r="V3072" i="3"/>
  <c r="V3513" i="3"/>
  <c r="V2619" i="3"/>
  <c r="V2883" i="3"/>
  <c r="V3167" i="3"/>
  <c r="V3478" i="3"/>
  <c r="V3792" i="3"/>
  <c r="V3930" i="3"/>
  <c r="V3354" i="3"/>
  <c r="V3658" i="3"/>
  <c r="V3970" i="3"/>
  <c r="V3737" i="3"/>
  <c r="V4050" i="3"/>
  <c r="V3816" i="3"/>
  <c r="V4033" i="3"/>
  <c r="V2566" i="3"/>
  <c r="V2821" i="3"/>
  <c r="V3141" i="3"/>
  <c r="V3452" i="3"/>
  <c r="V3762" i="3"/>
  <c r="V4076" i="3"/>
  <c r="V3822" i="3"/>
  <c r="V3569" i="3"/>
  <c r="V3882" i="3"/>
  <c r="V3983" i="3"/>
  <c r="V3867" i="3"/>
  <c r="V3293" i="3"/>
  <c r="V3595" i="3"/>
  <c r="V3907" i="3"/>
  <c r="V2870" i="3"/>
  <c r="V3118" i="3"/>
  <c r="V3393" i="3"/>
  <c r="V3639" i="3"/>
  <c r="V3893" i="3"/>
  <c r="V3256" i="3"/>
  <c r="V3544" i="3"/>
  <c r="V3799" i="3"/>
  <c r="V4054" i="3"/>
  <c r="V2909" i="3"/>
  <c r="V3172" i="3"/>
  <c r="V3414" i="3"/>
  <c r="V3662" i="3"/>
  <c r="V3917" i="3"/>
  <c r="V4098" i="3"/>
  <c r="V153" i="3"/>
  <c r="V256" i="3"/>
  <c r="V1568" i="3"/>
  <c r="V813" i="3"/>
  <c r="V414" i="3"/>
  <c r="V668" i="3"/>
  <c r="V1173" i="3"/>
  <c r="V470" i="3"/>
  <c r="V473" i="3"/>
  <c r="V2641" i="3"/>
  <c r="V2547" i="3"/>
  <c r="V1730" i="3"/>
  <c r="V2429" i="3"/>
  <c r="V2615" i="3"/>
  <c r="V2236" i="3"/>
  <c r="V2006" i="3"/>
  <c r="V3590" i="3"/>
  <c r="V3844" i="3"/>
  <c r="V3433" i="3"/>
  <c r="V3412" i="3"/>
  <c r="V3948" i="3"/>
  <c r="V2688" i="3"/>
  <c r="V4040" i="3"/>
  <c r="V3535" i="3"/>
  <c r="V22" i="3"/>
  <c r="V177" i="3"/>
  <c r="V1162" i="3"/>
  <c r="V1866" i="3"/>
  <c r="V1256" i="3"/>
  <c r="V684" i="3"/>
  <c r="V371" i="3"/>
  <c r="V546" i="3"/>
  <c r="V1945" i="3"/>
  <c r="V489" i="3"/>
  <c r="V2331" i="3"/>
  <c r="V91" i="3"/>
  <c r="V244" i="3"/>
  <c r="V1372" i="3"/>
  <c r="V233" i="3"/>
  <c r="V426" i="3"/>
  <c r="V1593" i="3"/>
  <c r="V1199" i="3"/>
  <c r="V1128" i="3"/>
  <c r="V525" i="3"/>
  <c r="V783" i="3"/>
  <c r="V1275" i="3"/>
  <c r="V769" i="3"/>
  <c r="V482" i="3"/>
  <c r="V976" i="3"/>
  <c r="V1245" i="3"/>
  <c r="V578" i="3"/>
  <c r="V565" i="3"/>
  <c r="V918" i="3"/>
  <c r="V2455" i="3"/>
  <c r="V2725" i="3"/>
  <c r="V2350" i="3"/>
  <c r="V2043" i="3"/>
  <c r="V1313" i="3"/>
  <c r="V2390" i="3"/>
  <c r="V2139" i="3"/>
  <c r="V1983" i="3"/>
  <c r="V2869" i="3"/>
  <c r="V2195" i="3"/>
  <c r="V1625" i="3"/>
  <c r="V2695" i="3"/>
  <c r="V128" i="3"/>
  <c r="V275" i="3"/>
  <c r="V116" i="3"/>
  <c r="V147" i="3"/>
  <c r="V1434" i="3"/>
  <c r="V5" i="3"/>
  <c r="V8" i="3"/>
  <c r="V137" i="3"/>
  <c r="V1515" i="3"/>
  <c r="V158" i="3"/>
  <c r="V31" i="3"/>
  <c r="V557" i="3"/>
  <c r="V160" i="3"/>
  <c r="V1591" i="3"/>
  <c r="V320" i="3"/>
  <c r="V127" i="3"/>
  <c r="V1277" i="3"/>
  <c r="V219" i="3"/>
  <c r="V474" i="3"/>
  <c r="V726" i="3"/>
  <c r="V1020" i="3"/>
  <c r="V1306" i="3"/>
  <c r="V1771" i="3"/>
  <c r="V427" i="3"/>
  <c r="V678" i="3"/>
  <c r="V967" i="3"/>
  <c r="V1253" i="3"/>
  <c r="V1594" i="3"/>
  <c r="V380" i="3"/>
  <c r="V631" i="3"/>
  <c r="V900" i="3"/>
  <c r="V1182" i="3"/>
  <c r="V1464" i="3"/>
  <c r="V317" i="3"/>
  <c r="V569" i="3"/>
  <c r="V850" i="3"/>
  <c r="V1165" i="3"/>
  <c r="V1465" i="3"/>
  <c r="V302" i="3"/>
  <c r="V570" i="3"/>
  <c r="V834" i="3"/>
  <c r="V1112" i="3"/>
  <c r="V1394" i="3"/>
  <c r="V2561" i="3"/>
  <c r="V240" i="3"/>
  <c r="V495" i="3"/>
  <c r="V749" i="3"/>
  <c r="V1042" i="3"/>
  <c r="V1329" i="3"/>
  <c r="V1889" i="3"/>
  <c r="V289" i="3"/>
  <c r="V542" i="3"/>
  <c r="V837" i="3"/>
  <c r="V1133" i="3"/>
  <c r="V1435" i="3"/>
  <c r="V2753" i="3"/>
  <c r="V530" i="3"/>
  <c r="V805" i="3"/>
  <c r="V1082" i="3"/>
  <c r="V1366" i="3"/>
  <c r="V2453" i="3"/>
  <c r="V499" i="3"/>
  <c r="V753" i="3"/>
  <c r="V1047" i="3"/>
  <c r="V1350" i="3"/>
  <c r="V2174" i="3"/>
  <c r="V468" i="3"/>
  <c r="V719" i="3"/>
  <c r="V995" i="3"/>
  <c r="V1300" i="3"/>
  <c r="V1826" i="3"/>
  <c r="V421" i="3"/>
  <c r="V672" i="3"/>
  <c r="V944" i="3"/>
  <c r="V1228" i="3"/>
  <c r="V1582" i="3"/>
  <c r="V358" i="3"/>
  <c r="V625" i="3"/>
  <c r="V895" i="3"/>
  <c r="V1193" i="3"/>
  <c r="V1478" i="3"/>
  <c r="V311" i="3"/>
  <c r="V579" i="3"/>
  <c r="V843" i="3"/>
  <c r="V1122" i="3"/>
  <c r="V1423" i="3"/>
  <c r="V2650" i="3"/>
  <c r="V361" i="3"/>
  <c r="V613" i="3"/>
  <c r="V880" i="3"/>
  <c r="V1161" i="3"/>
  <c r="V1441" i="3"/>
  <c r="V2844" i="3"/>
  <c r="V963" i="3"/>
  <c r="V1213" i="3"/>
  <c r="V1458" i="3"/>
  <c r="V1709" i="3"/>
  <c r="V1961" i="3"/>
  <c r="V2222" i="3"/>
  <c r="V2507" i="3"/>
  <c r="V2835" i="3"/>
  <c r="V1632" i="3"/>
  <c r="V1900" i="3"/>
  <c r="V2187" i="3"/>
  <c r="V2474" i="3"/>
  <c r="V2813" i="3"/>
  <c r="V1618" i="3"/>
  <c r="V1870" i="3"/>
  <c r="V2116" i="3"/>
  <c r="V2405" i="3"/>
  <c r="V2747" i="3"/>
  <c r="V1588" i="3"/>
  <c r="V1839" i="3"/>
  <c r="V2134" i="3"/>
  <c r="V2424" i="3"/>
  <c r="V2727" i="3"/>
  <c r="V1573" i="3"/>
  <c r="V1840" i="3"/>
  <c r="V2087" i="3"/>
  <c r="V2389" i="3"/>
  <c r="V2687" i="3"/>
  <c r="V804" i="3"/>
  <c r="V1093" i="3"/>
  <c r="V1357" i="3"/>
  <c r="V1621" i="3"/>
  <c r="V1873" i="3"/>
  <c r="V2136" i="3"/>
  <c r="V2443" i="3"/>
  <c r="V2795" i="3"/>
  <c r="V1653" i="3"/>
  <c r="V1922" i="3"/>
  <c r="V2193" i="3"/>
  <c r="V2480" i="3"/>
  <c r="V2845" i="3"/>
  <c r="V2031" i="3"/>
  <c r="V2302" i="3"/>
  <c r="V2592" i="3"/>
  <c r="V3091" i="3"/>
  <c r="V1984" i="3"/>
  <c r="V2250" i="3"/>
  <c r="V2554" i="3"/>
  <c r="V2899" i="3"/>
  <c r="V1672" i="3"/>
  <c r="V1925" i="3"/>
  <c r="V2197" i="3"/>
  <c r="V2484" i="3"/>
  <c r="V2802" i="3"/>
  <c r="V1611" i="3"/>
  <c r="V1863" i="3"/>
  <c r="V2125" i="3"/>
  <c r="V2415" i="3"/>
  <c r="V2759" i="3"/>
  <c r="V1581" i="3"/>
  <c r="V1832" i="3"/>
  <c r="V2110" i="3"/>
  <c r="V2398" i="3"/>
  <c r="V2718" i="3"/>
  <c r="V1706" i="3"/>
  <c r="V1958" i="3"/>
  <c r="V2219" i="3"/>
  <c r="V2504" i="3"/>
  <c r="V2829" i="3"/>
  <c r="V1645" i="3"/>
  <c r="V1898" i="3"/>
  <c r="V2147" i="3"/>
  <c r="V2436" i="3"/>
  <c r="V2743" i="3"/>
  <c r="V2196" i="3"/>
  <c r="V2447" i="3"/>
  <c r="V2715" i="3"/>
  <c r="V3033" i="3"/>
  <c r="V3394" i="3"/>
  <c r="V2932" i="3"/>
  <c r="V3268" i="3"/>
  <c r="V3748" i="3"/>
  <c r="V3117" i="3"/>
  <c r="V3518" i="3"/>
  <c r="V2995" i="3"/>
  <c r="V3374" i="3"/>
  <c r="V3936" i="3"/>
  <c r="V3224" i="3"/>
  <c r="V3680" i="3"/>
  <c r="V2263" i="3"/>
  <c r="V2514" i="3"/>
  <c r="V2817" i="3"/>
  <c r="V3143" i="3"/>
  <c r="V3524" i="3"/>
  <c r="V3525" i="3"/>
  <c r="V3021" i="3"/>
  <c r="V3380" i="3"/>
  <c r="V2923" i="3"/>
  <c r="V3305" i="3"/>
  <c r="V3807" i="3"/>
  <c r="V3166" i="3"/>
  <c r="V3572" i="3"/>
  <c r="V3208" i="3"/>
  <c r="V3730" i="3"/>
  <c r="V3108" i="3"/>
  <c r="V3506" i="3"/>
  <c r="V2966" i="3"/>
  <c r="V3361" i="3"/>
  <c r="V3963" i="3"/>
  <c r="V3237" i="3"/>
  <c r="V3700" i="3"/>
  <c r="V3701" i="3"/>
  <c r="V3092" i="3"/>
  <c r="V3550" i="3"/>
  <c r="V2635" i="3"/>
  <c r="V2902" i="3"/>
  <c r="V3184" i="3"/>
  <c r="V3498" i="3"/>
  <c r="V3810" i="3"/>
  <c r="V3950" i="3"/>
  <c r="V3373" i="3"/>
  <c r="V3676" i="3"/>
  <c r="V3991" i="3"/>
  <c r="V3756" i="3"/>
  <c r="V4071" i="3"/>
  <c r="V3835" i="3"/>
  <c r="V4052" i="3"/>
  <c r="V2581" i="3"/>
  <c r="V2840" i="3"/>
  <c r="V3158" i="3"/>
  <c r="V3469" i="3"/>
  <c r="V3781" i="3"/>
  <c r="V3529" i="3"/>
  <c r="V3841" i="3"/>
  <c r="V3588" i="3"/>
  <c r="V3902" i="3"/>
  <c r="V4002" i="3"/>
  <c r="V3887" i="3"/>
  <c r="V3311" i="3"/>
  <c r="V3614" i="3"/>
  <c r="V3928" i="3"/>
  <c r="V2885" i="3"/>
  <c r="V3134" i="3"/>
  <c r="V3407" i="3"/>
  <c r="V3655" i="3"/>
  <c r="V3909" i="3"/>
  <c r="V3270" i="3"/>
  <c r="V3560" i="3"/>
  <c r="V3814" i="3"/>
  <c r="V4070" i="3"/>
  <c r="V2938" i="3"/>
  <c r="V3187" i="3"/>
  <c r="V3430" i="3"/>
  <c r="V3678" i="3"/>
  <c r="V3933" i="3"/>
  <c r="V207" i="3"/>
  <c r="V777" i="3"/>
  <c r="V1347" i="3"/>
  <c r="V847" i="3"/>
  <c r="V429" i="3"/>
  <c r="V1449" i="3"/>
  <c r="V872" i="3"/>
  <c r="V423" i="3"/>
  <c r="V1727" i="3"/>
  <c r="V1697" i="3"/>
  <c r="V2588" i="3"/>
  <c r="V1845" i="3"/>
  <c r="V1986" i="3"/>
  <c r="V2856" i="3"/>
  <c r="V3441" i="3"/>
  <c r="V3804" i="3"/>
  <c r="V3317" i="3"/>
  <c r="V3048" i="3"/>
  <c r="V274" i="3"/>
  <c r="V138" i="3"/>
  <c r="V598" i="3"/>
  <c r="V1391" i="3"/>
  <c r="V1310" i="3"/>
  <c r="V903" i="3"/>
  <c r="V1225" i="3"/>
  <c r="V1454" i="3"/>
  <c r="V486" i="3"/>
  <c r="V2364" i="3"/>
  <c r="V1993" i="3"/>
  <c r="V1000" i="3"/>
  <c r="V1169" i="3"/>
  <c r="V83" i="3"/>
  <c r="V267" i="3"/>
  <c r="V72" i="3"/>
  <c r="V677" i="3"/>
  <c r="V379" i="3"/>
  <c r="V1487" i="3"/>
  <c r="V849" i="3"/>
  <c r="V2700" i="3"/>
  <c r="V2550" i="3"/>
  <c r="V192" i="3"/>
  <c r="V2435" i="3"/>
  <c r="V1381" i="3"/>
  <c r="V1316" i="3"/>
  <c r="V1818" i="3"/>
  <c r="V373" i="3"/>
  <c r="V1473" i="3"/>
  <c r="V1422" i="3"/>
  <c r="V2210" i="3"/>
  <c r="V1389" i="3"/>
  <c r="V1915" i="3"/>
  <c r="V2131" i="3"/>
  <c r="V1540" i="3"/>
  <c r="V2665" i="3"/>
  <c r="V2628" i="3"/>
  <c r="V2730" i="3"/>
  <c r="V2361" i="3"/>
  <c r="V16" i="3"/>
  <c r="V1295" i="3"/>
  <c r="V1450" i="3"/>
  <c r="V270" i="3"/>
  <c r="V982" i="3"/>
  <c r="V1424" i="3"/>
  <c r="V360" i="3"/>
  <c r="V168" i="3"/>
  <c r="V376" i="3"/>
  <c r="V134" i="3"/>
  <c r="V400" i="3"/>
  <c r="V288" i="3"/>
  <c r="V1268" i="3"/>
  <c r="V234" i="3"/>
  <c r="V165" i="3"/>
  <c r="V148" i="3"/>
  <c r="V21" i="3"/>
  <c r="V488" i="3"/>
  <c r="V185" i="3"/>
  <c r="V23" i="3"/>
  <c r="V504" i="3"/>
  <c r="V152" i="3"/>
  <c r="V26" i="3"/>
  <c r="V528" i="3"/>
  <c r="V155" i="3"/>
  <c r="V10" i="3"/>
  <c r="V416" i="3"/>
  <c r="V175" i="3"/>
  <c r="V50" i="3"/>
  <c r="V683" i="3"/>
  <c r="V178" i="3"/>
  <c r="V15" i="3"/>
  <c r="V448" i="3"/>
  <c r="V146" i="3"/>
  <c r="V1415" i="3"/>
  <c r="V235" i="3"/>
  <c r="V490" i="3"/>
  <c r="V744" i="3"/>
  <c r="V1037" i="3"/>
  <c r="V1324" i="3"/>
  <c r="V1858" i="3"/>
  <c r="V443" i="3"/>
  <c r="V694" i="3"/>
  <c r="V986" i="3"/>
  <c r="V1271" i="3"/>
  <c r="V1644" i="3"/>
  <c r="V396" i="3"/>
  <c r="V647" i="3"/>
  <c r="V916" i="3"/>
  <c r="V1200" i="3"/>
  <c r="V1488" i="3"/>
  <c r="V333" i="3"/>
  <c r="V585" i="3"/>
  <c r="V867" i="3"/>
  <c r="V1183" i="3"/>
  <c r="V1489" i="3"/>
  <c r="V318" i="3"/>
  <c r="V586" i="3"/>
  <c r="V851" i="3"/>
  <c r="V1130" i="3"/>
  <c r="V1413" i="3"/>
  <c r="V2722" i="3"/>
  <c r="V255" i="3"/>
  <c r="V511" i="3"/>
  <c r="V767" i="3"/>
  <c r="V1060" i="3"/>
  <c r="V1346" i="3"/>
  <c r="V2013" i="3"/>
  <c r="V305" i="3"/>
  <c r="V558" i="3"/>
  <c r="V853" i="3"/>
  <c r="V1152" i="3"/>
  <c r="V1451" i="3"/>
  <c r="V290" i="3"/>
  <c r="V543" i="3"/>
  <c r="V821" i="3"/>
  <c r="V1100" i="3"/>
  <c r="V1399" i="3"/>
  <c r="V2599" i="3"/>
  <c r="V515" i="3"/>
  <c r="V771" i="3"/>
  <c r="V1065" i="3"/>
  <c r="V1367" i="3"/>
  <c r="V2318" i="3"/>
  <c r="V484" i="3"/>
  <c r="V737" i="3"/>
  <c r="V1013" i="3"/>
  <c r="V1318" i="3"/>
  <c r="V1929" i="3"/>
  <c r="V437" i="3"/>
  <c r="V688" i="3"/>
  <c r="V960" i="3"/>
  <c r="V1246" i="3"/>
  <c r="V1624" i="3"/>
  <c r="V374" i="3"/>
  <c r="V641" i="3"/>
  <c r="V910" i="3"/>
  <c r="V1211" i="3"/>
  <c r="V1513" i="3"/>
  <c r="V327" i="3"/>
  <c r="V595" i="3"/>
  <c r="V860" i="3"/>
  <c r="V1141" i="3"/>
  <c r="V1440" i="3"/>
  <c r="V2820" i="3"/>
  <c r="V377" i="3"/>
  <c r="V628" i="3"/>
  <c r="V898" i="3"/>
  <c r="V1178" i="3"/>
  <c r="V1460" i="3"/>
  <c r="V723" i="3"/>
  <c r="V979" i="3"/>
  <c r="V1229" i="3"/>
  <c r="V1474" i="3"/>
  <c r="V1725" i="3"/>
  <c r="V1976" i="3"/>
  <c r="V2240" i="3"/>
  <c r="V2525" i="3"/>
  <c r="V2860" i="3"/>
  <c r="V1647" i="3"/>
  <c r="V1916" i="3"/>
  <c r="V2205" i="3"/>
  <c r="V2491" i="3"/>
  <c r="V2836" i="3"/>
  <c r="V1633" i="3"/>
  <c r="V1885" i="3"/>
  <c r="V2133" i="3"/>
  <c r="V2440" i="3"/>
  <c r="V2766" i="3"/>
  <c r="V1604" i="3"/>
  <c r="V1855" i="3"/>
  <c r="V2152" i="3"/>
  <c r="V2441" i="3"/>
  <c r="V2748" i="3"/>
  <c r="V1589" i="3"/>
  <c r="V1856" i="3"/>
  <c r="V2102" i="3"/>
  <c r="V2408" i="3"/>
  <c r="V2708" i="3"/>
  <c r="V819" i="3"/>
  <c r="V1123" i="3"/>
  <c r="V1385" i="3"/>
  <c r="V1635" i="3"/>
  <c r="V1888" i="3"/>
  <c r="V2155" i="3"/>
  <c r="V2460" i="3"/>
  <c r="V2819" i="3"/>
  <c r="V1669" i="3"/>
  <c r="V1938" i="3"/>
  <c r="V2211" i="3"/>
  <c r="V2516" i="3"/>
  <c r="V2868" i="3"/>
  <c r="V2047" i="3"/>
  <c r="V2320" i="3"/>
  <c r="V2612" i="3"/>
  <c r="V3265" i="3"/>
  <c r="V2000" i="3"/>
  <c r="V2267" i="3"/>
  <c r="V2572" i="3"/>
  <c r="V2979" i="3"/>
  <c r="V1688" i="3"/>
  <c r="V1941" i="3"/>
  <c r="V2215" i="3"/>
  <c r="V2501" i="3"/>
  <c r="V2826" i="3"/>
  <c r="V1626" i="3"/>
  <c r="V1894" i="3"/>
  <c r="V2143" i="3"/>
  <c r="V2432" i="3"/>
  <c r="V2780" i="3"/>
  <c r="V1597" i="3"/>
  <c r="V1848" i="3"/>
  <c r="V2126" i="3"/>
  <c r="V2416" i="3"/>
  <c r="V2740" i="3"/>
  <c r="V1722" i="3"/>
  <c r="V1973" i="3"/>
  <c r="V2237" i="3"/>
  <c r="V2521" i="3"/>
  <c r="V2854" i="3"/>
  <c r="V1661" i="3"/>
  <c r="V1914" i="3"/>
  <c r="V2166" i="3"/>
  <c r="V2454" i="3"/>
  <c r="V2764" i="3"/>
  <c r="V2212" i="3"/>
  <c r="V2463" i="3"/>
  <c r="V2733" i="3"/>
  <c r="V3053" i="3"/>
  <c r="V3417" i="3"/>
  <c r="V2951" i="3"/>
  <c r="V3291" i="3"/>
  <c r="V3788" i="3"/>
  <c r="V3138" i="3"/>
  <c r="V3554" i="3"/>
  <c r="V3017" i="3"/>
  <c r="V3397" i="3"/>
  <c r="V2918" i="3"/>
  <c r="V3250" i="3"/>
  <c r="V3720" i="3"/>
  <c r="V2279" i="3"/>
  <c r="V2529" i="3"/>
  <c r="V2837" i="3"/>
  <c r="V3161" i="3"/>
  <c r="V3564" i="3"/>
  <c r="V3565" i="3"/>
  <c r="V3042" i="3"/>
  <c r="V3402" i="3"/>
  <c r="V2941" i="3"/>
  <c r="V3328" i="3"/>
  <c r="V3856" i="3"/>
  <c r="V3186" i="3"/>
  <c r="V3612" i="3"/>
  <c r="V3234" i="3"/>
  <c r="V3770" i="3"/>
  <c r="V3129" i="3"/>
  <c r="V3538" i="3"/>
  <c r="V3007" i="3"/>
  <c r="V3386" i="3"/>
  <c r="V2908" i="3"/>
  <c r="V3264" i="3"/>
  <c r="V3740" i="3"/>
  <c r="V3741" i="3"/>
  <c r="V3113" i="3"/>
  <c r="V3589" i="3"/>
  <c r="V2649" i="3"/>
  <c r="V2920" i="3"/>
  <c r="V3201" i="3"/>
  <c r="V3517" i="3"/>
  <c r="V3831" i="3"/>
  <c r="V3969" i="3"/>
  <c r="V3391" i="3"/>
  <c r="V3696" i="3"/>
  <c r="V4010" i="3"/>
  <c r="V3776" i="3"/>
  <c r="V3541" i="3"/>
  <c r="V3855" i="3"/>
  <c r="V4073" i="3"/>
  <c r="V2596" i="3"/>
  <c r="V2858" i="3"/>
  <c r="V3176" i="3"/>
  <c r="V3488" i="3"/>
  <c r="V3801" i="3"/>
  <c r="V3548" i="3"/>
  <c r="V3860" i="3"/>
  <c r="V3609" i="3"/>
  <c r="V3921" i="3"/>
  <c r="V4023" i="3"/>
  <c r="V3906" i="3"/>
  <c r="V3330" i="3"/>
  <c r="V3634" i="3"/>
  <c r="V3947" i="3"/>
  <c r="V2901" i="3"/>
  <c r="V3149" i="3"/>
  <c r="V3422" i="3"/>
  <c r="V3670" i="3"/>
  <c r="V3925" i="3"/>
  <c r="V3285" i="3"/>
  <c r="V3576" i="3"/>
  <c r="V3830" i="3"/>
  <c r="V4086" i="3"/>
  <c r="V2953" i="3"/>
  <c r="V3202" i="3"/>
  <c r="V3443" i="3"/>
  <c r="V3694" i="3"/>
  <c r="V3949" i="3"/>
  <c r="V89" i="3"/>
  <c r="V99" i="3"/>
  <c r="V133" i="3"/>
  <c r="V253" i="3"/>
  <c r="V746" i="3"/>
  <c r="V1566" i="3"/>
  <c r="V637" i="3"/>
  <c r="V1137" i="3"/>
  <c r="V962" i="3"/>
  <c r="V1072" i="3"/>
  <c r="V2008" i="3"/>
  <c r="V1979" i="3"/>
  <c r="V1218" i="3"/>
  <c r="V1532" i="3"/>
  <c r="V1690" i="3"/>
  <c r="V2306" i="3"/>
  <c r="V3557" i="3"/>
  <c r="V3163" i="3"/>
  <c r="V3130" i="3"/>
  <c r="V3500" i="3"/>
  <c r="V3671" i="3"/>
  <c r="V93" i="3"/>
  <c r="V154" i="3"/>
  <c r="V143" i="3"/>
  <c r="V1443" i="3"/>
  <c r="V764" i="3"/>
  <c r="V971" i="3"/>
  <c r="V992" i="3"/>
  <c r="V1504" i="3"/>
  <c r="V1305" i="3"/>
  <c r="V451" i="3"/>
  <c r="V943" i="3"/>
  <c r="V893" i="3"/>
  <c r="V1121" i="3"/>
  <c r="V1069" i="3"/>
  <c r="V1412" i="3"/>
  <c r="V2765" i="3"/>
  <c r="V1571" i="3"/>
  <c r="V2685" i="3"/>
  <c r="V2334" i="3"/>
  <c r="V1574" i="3"/>
  <c r="V2500" i="3"/>
  <c r="V130" i="3"/>
  <c r="V107" i="3"/>
  <c r="V182" i="3"/>
  <c r="V166" i="3"/>
  <c r="V39" i="3"/>
  <c r="V612" i="3"/>
  <c r="V204" i="3"/>
  <c r="V41" i="3"/>
  <c r="V627" i="3"/>
  <c r="V170" i="3"/>
  <c r="V45" i="3"/>
  <c r="V651" i="3"/>
  <c r="V173" i="3"/>
  <c r="V29" i="3"/>
  <c r="V667" i="3"/>
  <c r="V194" i="3"/>
  <c r="V68" i="3"/>
  <c r="V820" i="3"/>
  <c r="V196" i="3"/>
  <c r="V34" i="3"/>
  <c r="V572" i="3"/>
  <c r="V164" i="3"/>
  <c r="V1668" i="3"/>
  <c r="V250" i="3"/>
  <c r="V506" i="3"/>
  <c r="V762" i="3"/>
  <c r="V1054" i="3"/>
  <c r="V1340" i="3"/>
  <c r="V1974" i="3"/>
  <c r="V459" i="3"/>
  <c r="V710" i="3"/>
  <c r="V1003" i="3"/>
  <c r="V1289" i="3"/>
  <c r="V1707" i="3"/>
  <c r="V412" i="3"/>
  <c r="V663" i="3"/>
  <c r="V934" i="3"/>
  <c r="V1219" i="3"/>
  <c r="V1528" i="3"/>
  <c r="V349" i="3"/>
  <c r="V601" i="3"/>
  <c r="V884" i="3"/>
  <c r="V1201" i="3"/>
  <c r="V1529" i="3"/>
  <c r="V334" i="3"/>
  <c r="V602" i="3"/>
  <c r="V868" i="3"/>
  <c r="V1148" i="3"/>
  <c r="V1431" i="3"/>
  <c r="V17" i="3"/>
  <c r="V271" i="3"/>
  <c r="V527" i="3"/>
  <c r="V784" i="3"/>
  <c r="V1079" i="3"/>
  <c r="V1363" i="3"/>
  <c r="V2138" i="3"/>
  <c r="V321" i="3"/>
  <c r="V573" i="3"/>
  <c r="V870" i="3"/>
  <c r="V1170" i="3"/>
  <c r="V1469" i="3"/>
  <c r="V306" i="3"/>
  <c r="V559" i="3"/>
  <c r="V838" i="3"/>
  <c r="V1116" i="3"/>
  <c r="V1418" i="3"/>
  <c r="V2763" i="3"/>
  <c r="V531" i="3"/>
  <c r="V789" i="3"/>
  <c r="V1083" i="3"/>
  <c r="V1383" i="3"/>
  <c r="V2461" i="3"/>
  <c r="V500" i="3"/>
  <c r="V755" i="3"/>
  <c r="V1031" i="3"/>
  <c r="V1333" i="3"/>
  <c r="V2053" i="3"/>
  <c r="V453" i="3"/>
  <c r="V704" i="3"/>
  <c r="V978" i="3"/>
  <c r="V1264" i="3"/>
  <c r="V1686" i="3"/>
  <c r="V390" i="3"/>
  <c r="V657" i="3"/>
  <c r="V927" i="3"/>
  <c r="V1230" i="3"/>
  <c r="V1546" i="3"/>
  <c r="V343" i="3"/>
  <c r="V611" i="3"/>
  <c r="V877" i="3"/>
  <c r="V1159" i="3"/>
  <c r="V1457" i="3"/>
  <c r="V1699" i="3"/>
  <c r="V393" i="3"/>
  <c r="V644" i="3"/>
  <c r="V913" i="3"/>
  <c r="V1196" i="3"/>
  <c r="V1482" i="3"/>
  <c r="V739" i="3"/>
  <c r="V994" i="3"/>
  <c r="V1244" i="3"/>
  <c r="V1490" i="3"/>
  <c r="V1741" i="3"/>
  <c r="V1991" i="3"/>
  <c r="V2257" i="3"/>
  <c r="V2542" i="3"/>
  <c r="V2881" i="3"/>
  <c r="V1663" i="3"/>
  <c r="V1932" i="3"/>
  <c r="V2223" i="3"/>
  <c r="V2508" i="3"/>
  <c r="V2861" i="3"/>
  <c r="V1648" i="3"/>
  <c r="V1901" i="3"/>
  <c r="V2151" i="3"/>
  <c r="V2457" i="3"/>
  <c r="V2790" i="3"/>
  <c r="V1619" i="3"/>
  <c r="V1871" i="3"/>
  <c r="V2171" i="3"/>
  <c r="V2458" i="3"/>
  <c r="V2768" i="3"/>
  <c r="V1605" i="3"/>
  <c r="V1872" i="3"/>
  <c r="V2119" i="3"/>
  <c r="V2425" i="3"/>
  <c r="V2729" i="3"/>
  <c r="V833" i="3"/>
  <c r="V1139" i="3"/>
  <c r="V1401" i="3"/>
  <c r="V1651" i="3"/>
  <c r="V1904" i="3"/>
  <c r="V2173" i="3"/>
  <c r="V2478" i="3"/>
  <c r="V2843" i="3"/>
  <c r="V1685" i="3"/>
  <c r="V1952" i="3"/>
  <c r="V2230" i="3"/>
  <c r="V2533" i="3"/>
  <c r="V2894" i="3"/>
  <c r="V2062" i="3"/>
  <c r="V2339" i="3"/>
  <c r="V2633" i="3"/>
  <c r="V1766" i="3"/>
  <c r="V2016" i="3"/>
  <c r="V2285" i="3"/>
  <c r="V2593" i="3"/>
  <c r="V3101" i="3"/>
  <c r="V1703" i="3"/>
  <c r="V1955" i="3"/>
  <c r="V2234" i="3"/>
  <c r="V2519" i="3"/>
  <c r="V2850" i="3"/>
  <c r="V1641" i="3"/>
  <c r="V1910" i="3"/>
  <c r="V2161" i="3"/>
  <c r="V2449" i="3"/>
  <c r="V2804" i="3"/>
  <c r="V1612" i="3"/>
  <c r="V1864" i="3"/>
  <c r="V2144" i="3"/>
  <c r="V2450" i="3"/>
  <c r="V2761" i="3"/>
  <c r="V1738" i="3"/>
  <c r="V1988" i="3"/>
  <c r="V2254" i="3"/>
  <c r="V2539" i="3"/>
  <c r="V2877" i="3"/>
  <c r="V1677" i="3"/>
  <c r="V1930" i="3"/>
  <c r="V2184" i="3"/>
  <c r="V2472" i="3"/>
  <c r="V2786" i="3"/>
  <c r="V2228" i="3"/>
  <c r="V2479" i="3"/>
  <c r="V2751" i="3"/>
  <c r="V3073" i="3"/>
  <c r="V3440" i="3"/>
  <c r="V2973" i="3"/>
  <c r="V3319" i="3"/>
  <c r="V3836" i="3"/>
  <c r="V3157" i="3"/>
  <c r="V3594" i="3"/>
  <c r="V3037" i="3"/>
  <c r="V3420" i="3"/>
  <c r="V2936" i="3"/>
  <c r="V3272" i="3"/>
  <c r="V3759" i="3"/>
  <c r="V2295" i="3"/>
  <c r="V2545" i="3"/>
  <c r="V2859" i="3"/>
  <c r="V3181" i="3"/>
  <c r="V3603" i="3"/>
  <c r="V3604" i="3"/>
  <c r="V3062" i="3"/>
  <c r="V3429" i="3"/>
  <c r="V2960" i="3"/>
  <c r="V3357" i="3"/>
  <c r="V3898" i="3"/>
  <c r="V3207" i="3"/>
  <c r="V3651" i="3"/>
  <c r="V3259" i="3"/>
  <c r="V3817" i="3"/>
  <c r="V3148" i="3"/>
  <c r="V3578" i="3"/>
  <c r="V3028" i="3"/>
  <c r="V3411" i="3"/>
  <c r="V2928" i="3"/>
  <c r="V3287" i="3"/>
  <c r="V3779" i="3"/>
  <c r="V3780" i="3"/>
  <c r="V3135" i="3"/>
  <c r="V3629" i="3"/>
  <c r="V2664" i="3"/>
  <c r="V2935" i="3"/>
  <c r="V3221" i="3"/>
  <c r="V3537" i="3"/>
  <c r="V3850" i="3"/>
  <c r="V3988" i="3"/>
  <c r="V3409" i="3"/>
  <c r="V3715" i="3"/>
  <c r="V4030" i="3"/>
  <c r="V3795" i="3"/>
  <c r="V3562" i="3"/>
  <c r="V3874" i="3"/>
  <c r="V3976" i="3"/>
  <c r="V2611" i="3"/>
  <c r="V2875" i="3"/>
  <c r="V3193" i="3"/>
  <c r="V3507" i="3"/>
  <c r="V3820" i="3"/>
  <c r="V3568" i="3"/>
  <c r="V3881" i="3"/>
  <c r="V3628" i="3"/>
  <c r="V3940" i="3"/>
  <c r="V4042" i="3"/>
  <c r="V3927" i="3"/>
  <c r="V3351" i="3"/>
  <c r="V3653" i="3"/>
  <c r="V3967" i="3"/>
  <c r="V2917" i="3"/>
  <c r="V3164" i="3"/>
  <c r="V3437" i="3"/>
  <c r="V3686" i="3"/>
  <c r="V3941" i="3"/>
  <c r="V3301" i="3"/>
  <c r="V3592" i="3"/>
  <c r="V3846" i="3"/>
  <c r="V4087" i="3"/>
  <c r="V2969" i="3"/>
  <c r="V3218" i="3"/>
  <c r="V3457" i="3"/>
  <c r="V3710" i="3"/>
  <c r="V3965" i="3"/>
  <c r="V707" i="3"/>
  <c r="V3" i="3"/>
  <c r="C23" i="1" s="1"/>
  <c r="V53" i="3"/>
  <c r="V120" i="3"/>
  <c r="V1092" i="3"/>
  <c r="V681" i="3"/>
  <c r="V974" i="3"/>
  <c r="V1471" i="3"/>
  <c r="V740" i="3"/>
  <c r="V1001" i="3"/>
  <c r="V1476" i="3"/>
  <c r="V2886" i="3"/>
  <c r="V1996" i="3"/>
  <c r="V2734" i="3"/>
  <c r="V3288" i="3"/>
  <c r="V2876" i="3"/>
  <c r="V2273" i="3"/>
  <c r="V3793" i="3"/>
  <c r="V3083" i="3"/>
  <c r="V3773" i="3"/>
  <c r="V3025" i="3"/>
  <c r="V3561" i="3"/>
  <c r="V3283" i="3"/>
  <c r="V4024" i="3"/>
  <c r="V3379" i="3"/>
  <c r="V1406" i="3"/>
  <c r="V11" i="3"/>
  <c r="V346" i="3"/>
  <c r="V508" i="3"/>
  <c r="V697" i="3"/>
  <c r="V1467" i="3"/>
  <c r="V941" i="3"/>
  <c r="V592" i="3"/>
  <c r="V1369" i="3"/>
  <c r="V1019" i="3"/>
  <c r="V2623" i="3"/>
  <c r="V1636" i="3"/>
  <c r="V35" i="3"/>
  <c r="V7" i="3"/>
  <c r="V200" i="3"/>
  <c r="V183" i="3"/>
  <c r="V57" i="3"/>
  <c r="V879" i="3"/>
  <c r="V222" i="3"/>
  <c r="V59" i="3"/>
  <c r="V760" i="3"/>
  <c r="V188" i="3"/>
  <c r="V63" i="3"/>
  <c r="V786" i="3"/>
  <c r="V191" i="3"/>
  <c r="V47" i="3"/>
  <c r="V802" i="3"/>
  <c r="V212" i="3"/>
  <c r="V86" i="3"/>
  <c r="V956" i="3"/>
  <c r="V214" i="3"/>
  <c r="V52" i="3"/>
  <c r="V699" i="3"/>
  <c r="V181" i="3"/>
  <c r="V12" i="3"/>
  <c r="V266" i="3"/>
  <c r="V522" i="3"/>
  <c r="V779" i="3"/>
  <c r="V1073" i="3"/>
  <c r="V1358" i="3"/>
  <c r="V2096" i="3"/>
  <c r="V475" i="3"/>
  <c r="V727" i="3"/>
  <c r="V1021" i="3"/>
  <c r="V1307" i="3"/>
  <c r="V1779" i="3"/>
  <c r="V428" i="3"/>
  <c r="V679" i="3"/>
  <c r="V951" i="3"/>
  <c r="V1237" i="3"/>
  <c r="V1561" i="3"/>
  <c r="V365" i="3"/>
  <c r="V617" i="3"/>
  <c r="V901" i="3"/>
  <c r="V1220" i="3"/>
  <c r="V1562" i="3"/>
  <c r="V350" i="3"/>
  <c r="V618" i="3"/>
  <c r="V885" i="3"/>
  <c r="V1167" i="3"/>
  <c r="V1448" i="3"/>
  <c r="V33" i="3"/>
  <c r="V287" i="3"/>
  <c r="V541" i="3"/>
  <c r="V801" i="3"/>
  <c r="V1097" i="3"/>
  <c r="V1379" i="3"/>
  <c r="V2282" i="3"/>
  <c r="V337" i="3"/>
  <c r="V589" i="3"/>
  <c r="V888" i="3"/>
  <c r="V1188" i="3"/>
  <c r="V1499" i="3"/>
  <c r="V322" i="3"/>
  <c r="V574" i="3"/>
  <c r="V854" i="3"/>
  <c r="V1135" i="3"/>
  <c r="V1452" i="3"/>
  <c r="V291" i="3"/>
  <c r="V544" i="3"/>
  <c r="V806" i="3"/>
  <c r="V1101" i="3"/>
  <c r="V1400" i="3"/>
  <c r="V2609" i="3"/>
  <c r="V516" i="3"/>
  <c r="V772" i="3"/>
  <c r="V1048" i="3"/>
  <c r="V1351" i="3"/>
  <c r="V2183" i="3"/>
  <c r="V469" i="3"/>
  <c r="V720" i="3"/>
  <c r="V996" i="3"/>
  <c r="V1283" i="3"/>
  <c r="V1749" i="3"/>
  <c r="V406" i="3"/>
  <c r="V673" i="3"/>
  <c r="V945" i="3"/>
  <c r="V1247" i="3"/>
  <c r="V1583" i="3"/>
  <c r="V359" i="3"/>
  <c r="V626" i="3"/>
  <c r="V896" i="3"/>
  <c r="V1176" i="3"/>
  <c r="V1480" i="3"/>
  <c r="V1763" i="3"/>
  <c r="V409" i="3"/>
  <c r="V660" i="3"/>
  <c r="V930" i="3"/>
  <c r="V1215" i="3"/>
  <c r="V1519" i="3"/>
  <c r="V754" i="3"/>
  <c r="V1010" i="3"/>
  <c r="V1260" i="3"/>
  <c r="V1506" i="3"/>
  <c r="V1757" i="3"/>
  <c r="V2007" i="3"/>
  <c r="V2275" i="3"/>
  <c r="V2564" i="3"/>
  <c r="V2921" i="3"/>
  <c r="V1679" i="3"/>
  <c r="V1948" i="3"/>
  <c r="V2241" i="3"/>
  <c r="V2526" i="3"/>
  <c r="V2882" i="3"/>
  <c r="V1664" i="3"/>
  <c r="V1917" i="3"/>
  <c r="V2170" i="3"/>
  <c r="V2475" i="3"/>
  <c r="V2814" i="3"/>
  <c r="V1634" i="3"/>
  <c r="V1886" i="3"/>
  <c r="V2189" i="3"/>
  <c r="V2476" i="3"/>
  <c r="V2792" i="3"/>
  <c r="V1620" i="3"/>
  <c r="V1887" i="3"/>
  <c r="V2135" i="3"/>
  <c r="V2442" i="3"/>
  <c r="V2749" i="3"/>
  <c r="V863" i="3"/>
  <c r="V1155" i="3"/>
  <c r="V1417" i="3"/>
  <c r="V1667" i="3"/>
  <c r="V1920" i="3"/>
  <c r="V2191" i="3"/>
  <c r="V2496" i="3"/>
  <c r="V2865" i="3"/>
  <c r="V1700" i="3"/>
  <c r="V1967" i="3"/>
  <c r="V2247" i="3"/>
  <c r="V2552" i="3"/>
  <c r="V2964" i="3"/>
  <c r="V2076" i="3"/>
  <c r="V2357" i="3"/>
  <c r="V2651" i="3"/>
  <c r="V1782" i="3"/>
  <c r="V2032" i="3"/>
  <c r="V2303" i="3"/>
  <c r="V2613" i="3"/>
  <c r="V3276" i="3"/>
  <c r="V1719" i="3"/>
  <c r="V1970" i="3"/>
  <c r="V2251" i="3"/>
  <c r="V2536" i="3"/>
  <c r="V2873" i="3"/>
  <c r="V1657" i="3"/>
  <c r="V1926" i="3"/>
  <c r="V2179" i="3"/>
  <c r="V2467" i="3"/>
  <c r="V2827" i="3"/>
  <c r="V1627" i="3"/>
  <c r="V1879" i="3"/>
  <c r="V2162" i="3"/>
  <c r="V2469" i="3"/>
  <c r="V2781" i="3"/>
  <c r="V1754" i="3"/>
  <c r="V2004" i="3"/>
  <c r="V2271" i="3"/>
  <c r="V2560" i="3"/>
  <c r="V2905" i="3"/>
  <c r="V1693" i="3"/>
  <c r="V1946" i="3"/>
  <c r="V2203" i="3"/>
  <c r="V2489" i="3"/>
  <c r="V2809" i="3"/>
  <c r="V2244" i="3"/>
  <c r="V2494" i="3"/>
  <c r="V2769" i="3"/>
  <c r="V3093" i="3"/>
  <c r="V3463" i="3"/>
  <c r="V2993" i="3"/>
  <c r="V3344" i="3"/>
  <c r="V3879" i="3"/>
  <c r="V3197" i="3"/>
  <c r="V3633" i="3"/>
  <c r="V3057" i="3"/>
  <c r="V3446" i="3"/>
  <c r="V2956" i="3"/>
  <c r="V3298" i="3"/>
  <c r="V3800" i="3"/>
  <c r="V2311" i="3"/>
  <c r="V2563" i="3"/>
  <c r="V2878" i="3"/>
  <c r="V3200" i="3"/>
  <c r="V3643" i="3"/>
  <c r="V3644" i="3"/>
  <c r="V3082" i="3"/>
  <c r="V3474" i="3"/>
  <c r="V2982" i="3"/>
  <c r="V3382" i="3"/>
  <c r="V3954" i="3"/>
  <c r="V3232" i="3"/>
  <c r="V3690" i="3"/>
  <c r="V3281" i="3"/>
  <c r="V3858" i="3"/>
  <c r="V3169" i="3"/>
  <c r="V3617" i="3"/>
  <c r="V3049" i="3"/>
  <c r="V3435" i="3"/>
  <c r="V2947" i="3"/>
  <c r="V3310" i="3"/>
  <c r="V3824" i="3"/>
  <c r="V3825" i="3"/>
  <c r="V3153" i="3"/>
  <c r="V3667" i="3"/>
  <c r="V2680" i="3"/>
  <c r="V2952" i="3"/>
  <c r="V3239" i="3"/>
  <c r="V3556" i="3"/>
  <c r="V3870" i="3"/>
  <c r="V4009" i="3"/>
  <c r="V3428" i="3"/>
  <c r="V3736" i="3"/>
  <c r="V4049" i="3"/>
  <c r="V3815" i="3"/>
  <c r="V3581" i="3"/>
  <c r="V3895" i="3"/>
  <c r="V3995" i="3"/>
  <c r="V2627" i="3"/>
  <c r="V2892" i="3"/>
  <c r="V3212" i="3"/>
  <c r="V3526" i="3"/>
  <c r="V3840" i="3"/>
  <c r="V3587" i="3"/>
  <c r="V3900" i="3"/>
  <c r="V3648" i="3"/>
  <c r="V3961" i="3"/>
  <c r="V4062" i="3"/>
  <c r="V3946" i="3"/>
  <c r="V3369" i="3"/>
  <c r="V3673" i="3"/>
  <c r="V3986" i="3"/>
  <c r="V2930" i="3"/>
  <c r="V3179" i="3"/>
  <c r="V3450" i="3"/>
  <c r="V3702" i="3"/>
  <c r="V3957" i="3"/>
  <c r="V3316" i="3"/>
  <c r="V3608" i="3"/>
  <c r="V3862" i="3"/>
  <c r="V4088" i="3"/>
  <c r="V2985" i="3"/>
  <c r="V3233" i="3"/>
  <c r="V3472" i="3"/>
  <c r="V3726" i="3"/>
  <c r="V3981" i="3"/>
  <c r="V198" i="3"/>
  <c r="V131" i="3"/>
  <c r="V312" i="3"/>
  <c r="V2392" i="3"/>
  <c r="V1239" i="3"/>
  <c r="V1670" i="3"/>
  <c r="V840" i="3"/>
  <c r="V1016" i="3"/>
  <c r="V1287" i="3"/>
  <c r="V1491" i="3"/>
  <c r="V3041" i="3"/>
  <c r="V2842" i="3"/>
  <c r="V1764" i="3"/>
  <c r="V2377" i="3"/>
  <c r="V2252" i="3"/>
  <c r="V2345" i="3"/>
  <c r="V2557" i="3"/>
  <c r="V3038" i="3"/>
  <c r="V3610" i="3"/>
  <c r="V3261" i="3"/>
  <c r="V3826" i="3"/>
  <c r="V3812" i="3"/>
  <c r="V2997" i="3"/>
  <c r="V3725" i="3"/>
  <c r="V4065" i="3"/>
  <c r="V3766" i="3"/>
  <c r="V3292" i="3"/>
  <c r="V344" i="3"/>
  <c r="V283" i="3"/>
  <c r="V92" i="3"/>
  <c r="V1039" i="3"/>
  <c r="V1655" i="3"/>
  <c r="V1733" i="3"/>
  <c r="V340" i="3"/>
  <c r="V757" i="3"/>
  <c r="V1507" i="3"/>
  <c r="V456" i="3"/>
  <c r="V1195" i="3"/>
  <c r="V226" i="3"/>
  <c r="V218" i="3"/>
  <c r="V201" i="3"/>
  <c r="V75" i="3"/>
  <c r="V1018" i="3"/>
  <c r="V241" i="3"/>
  <c r="V78" i="3"/>
  <c r="V897" i="3"/>
  <c r="V206" i="3"/>
  <c r="V82" i="3"/>
  <c r="V921" i="3"/>
  <c r="V210" i="3"/>
  <c r="V66" i="3"/>
  <c r="V939" i="3"/>
  <c r="V230" i="3"/>
  <c r="V104" i="3"/>
  <c r="V1098" i="3"/>
  <c r="V232" i="3"/>
  <c r="V70" i="3"/>
  <c r="V836" i="3"/>
  <c r="V199" i="3"/>
  <c r="V28" i="3"/>
  <c r="V282" i="3"/>
  <c r="V537" i="3"/>
  <c r="V797" i="3"/>
  <c r="V1091" i="3"/>
  <c r="V1374" i="3"/>
  <c r="V2238" i="3"/>
  <c r="V491" i="3"/>
  <c r="V745" i="3"/>
  <c r="V1038" i="3"/>
  <c r="V1325" i="3"/>
  <c r="V1860" i="3"/>
  <c r="V444" i="3"/>
  <c r="V695" i="3"/>
  <c r="V969" i="3"/>
  <c r="V1254" i="3"/>
  <c r="V1598" i="3"/>
  <c r="V381" i="3"/>
  <c r="V632" i="3"/>
  <c r="V917" i="3"/>
  <c r="V1238" i="3"/>
  <c r="V1599" i="3"/>
  <c r="V366" i="3"/>
  <c r="V633" i="3"/>
  <c r="V902" i="3"/>
  <c r="V1184" i="3"/>
  <c r="V1466" i="3"/>
  <c r="V49" i="3"/>
  <c r="V303" i="3"/>
  <c r="V556" i="3"/>
  <c r="V818" i="3"/>
  <c r="V1113" i="3"/>
  <c r="V1395" i="3"/>
  <c r="V2427" i="3"/>
  <c r="V353" i="3"/>
  <c r="V605" i="3"/>
  <c r="V905" i="3"/>
  <c r="V1206" i="3"/>
  <c r="V1535" i="3"/>
  <c r="V338" i="3"/>
  <c r="V590" i="3"/>
  <c r="V871" i="3"/>
  <c r="V1153" i="3"/>
  <c r="V1470" i="3"/>
  <c r="V307" i="3"/>
  <c r="V560" i="3"/>
  <c r="V822" i="3"/>
  <c r="V1117" i="3"/>
  <c r="V1419" i="3"/>
  <c r="V2772" i="3"/>
  <c r="V532" i="3"/>
  <c r="V791" i="3"/>
  <c r="V1066" i="3"/>
  <c r="V1384" i="3"/>
  <c r="V2328" i="3"/>
  <c r="V485" i="3"/>
  <c r="V738" i="3"/>
  <c r="V1014" i="3"/>
  <c r="V1301" i="3"/>
  <c r="V1828" i="3"/>
  <c r="V422" i="3"/>
  <c r="V689" i="3"/>
  <c r="V961" i="3"/>
  <c r="V1266" i="3"/>
  <c r="V1628" i="3"/>
  <c r="V375" i="3"/>
  <c r="V642" i="3"/>
  <c r="V911" i="3"/>
  <c r="V1194" i="3"/>
  <c r="V1514" i="3"/>
  <c r="V1844" i="3"/>
  <c r="V425" i="3"/>
  <c r="V676" i="3"/>
  <c r="V947" i="3"/>
  <c r="V1233" i="3"/>
  <c r="V1552" i="3"/>
  <c r="V770" i="3"/>
  <c r="V1025" i="3"/>
  <c r="V1276" i="3"/>
  <c r="V1522" i="3"/>
  <c r="V1773" i="3"/>
  <c r="V2023" i="3"/>
  <c r="V2293" i="3"/>
  <c r="V2583" i="3"/>
  <c r="V3026" i="3"/>
  <c r="V1710" i="3"/>
  <c r="V1962" i="3"/>
  <c r="V2258" i="3"/>
  <c r="V2544" i="3"/>
  <c r="V2925" i="3"/>
  <c r="V1680" i="3"/>
  <c r="V1933" i="3"/>
  <c r="V2188" i="3"/>
  <c r="V2492" i="3"/>
  <c r="V2838" i="3"/>
  <c r="V1649" i="3"/>
  <c r="V1902" i="3"/>
  <c r="V2207" i="3"/>
  <c r="V2493" i="3"/>
  <c r="V2816" i="3"/>
  <c r="V1650" i="3"/>
  <c r="V1903" i="3"/>
  <c r="V2154" i="3"/>
  <c r="V2459" i="3"/>
  <c r="V2770" i="3"/>
  <c r="V878" i="3"/>
  <c r="V1171" i="3"/>
  <c r="V1433" i="3"/>
  <c r="V1683" i="3"/>
  <c r="V1936" i="3"/>
  <c r="V2209" i="3"/>
  <c r="V2513" i="3"/>
  <c r="V2889" i="3"/>
  <c r="V1716" i="3"/>
  <c r="V1982" i="3"/>
  <c r="V2265" i="3"/>
  <c r="V2570" i="3"/>
  <c r="V3081" i="3"/>
  <c r="V2091" i="3"/>
  <c r="V2376" i="3"/>
  <c r="V2671" i="3"/>
  <c r="V1798" i="3"/>
  <c r="V2048" i="3"/>
  <c r="V2321" i="3"/>
  <c r="V2634" i="3"/>
  <c r="V1484" i="3"/>
  <c r="V1735" i="3"/>
  <c r="V1985" i="3"/>
  <c r="V2268" i="3"/>
  <c r="V2555" i="3"/>
  <c r="V2900" i="3"/>
  <c r="V1673" i="3"/>
  <c r="V1942" i="3"/>
  <c r="V2198" i="3"/>
  <c r="V2485" i="3"/>
  <c r="V2851" i="3"/>
  <c r="V1642" i="3"/>
  <c r="V1895" i="3"/>
  <c r="V2181" i="3"/>
  <c r="V2486" i="3"/>
  <c r="V2805" i="3"/>
  <c r="V1770" i="3"/>
  <c r="V2020" i="3"/>
  <c r="V2289" i="3"/>
  <c r="V2578" i="3"/>
  <c r="V3004" i="3"/>
  <c r="V1708" i="3"/>
  <c r="V1960" i="3"/>
  <c r="V2221" i="3"/>
  <c r="V2506" i="3"/>
  <c r="V2834" i="3"/>
  <c r="V2259" i="3"/>
  <c r="V2509" i="3"/>
  <c r="V2789" i="3"/>
  <c r="V3115" i="3"/>
  <c r="V3489" i="3"/>
  <c r="V3013" i="3"/>
  <c r="V3368" i="3"/>
  <c r="V3924" i="3"/>
  <c r="V3222" i="3"/>
  <c r="V3672" i="3"/>
  <c r="V3076" i="3"/>
  <c r="V3468" i="3"/>
  <c r="V2976" i="3"/>
  <c r="V3324" i="3"/>
  <c r="V3843" i="3"/>
  <c r="V2327" i="3"/>
  <c r="V2579" i="3"/>
  <c r="V2898" i="3"/>
  <c r="V3227" i="3"/>
  <c r="V3681" i="3"/>
  <c r="V3682" i="3"/>
  <c r="V3103" i="3"/>
  <c r="V3501" i="3"/>
  <c r="V3002" i="3"/>
  <c r="V3403" i="3"/>
  <c r="V2924" i="3"/>
  <c r="V3255" i="3"/>
  <c r="V3729" i="3"/>
  <c r="V3307" i="3"/>
  <c r="V3904" i="3"/>
  <c r="V3189" i="3"/>
  <c r="V3657" i="3"/>
  <c r="V3067" i="3"/>
  <c r="V3484" i="3"/>
  <c r="V2967" i="3"/>
  <c r="V3338" i="3"/>
  <c r="V3866" i="3"/>
  <c r="V3871" i="3"/>
  <c r="V3174" i="3"/>
  <c r="V3707" i="3"/>
  <c r="V2696" i="3"/>
  <c r="V2971" i="3"/>
  <c r="V3258" i="3"/>
  <c r="V3577" i="3"/>
  <c r="V3889" i="3"/>
  <c r="V4028" i="3"/>
  <c r="V3445" i="3"/>
  <c r="V3755" i="3"/>
  <c r="V4068" i="3"/>
  <c r="V3834" i="3"/>
  <c r="V3601" i="3"/>
  <c r="V3914" i="3"/>
  <c r="V4015" i="3"/>
  <c r="V2642" i="3"/>
  <c r="V2911" i="3"/>
  <c r="V3230" i="3"/>
  <c r="V3547" i="3"/>
  <c r="V3859" i="3"/>
  <c r="V3606" i="3"/>
  <c r="V3920" i="3"/>
  <c r="V3666" i="3"/>
  <c r="V3980" i="3"/>
  <c r="V4081" i="3"/>
  <c r="V3966" i="3"/>
  <c r="V3388" i="3"/>
  <c r="V3692" i="3"/>
  <c r="V4007" i="3"/>
  <c r="V2945" i="3"/>
  <c r="V3194" i="3"/>
  <c r="V3464" i="3"/>
  <c r="V3718" i="3"/>
  <c r="V3973" i="3"/>
  <c r="V3332" i="3"/>
  <c r="V3624" i="3"/>
  <c r="V3878" i="3"/>
  <c r="V4089" i="3"/>
  <c r="V3000" i="3"/>
  <c r="V3248" i="3"/>
  <c r="V3487" i="3"/>
  <c r="V3742" i="3"/>
  <c r="V3997" i="3"/>
  <c r="V80" i="3"/>
  <c r="V136" i="3"/>
  <c r="V1144" i="3"/>
  <c r="V1787" i="3"/>
  <c r="V1067" i="3"/>
  <c r="V261" i="3"/>
  <c r="V237" i="3"/>
  <c r="V94" i="3"/>
  <c r="V1160" i="3"/>
  <c r="V96" i="3"/>
  <c r="V100" i="3"/>
  <c r="V1062" i="3"/>
  <c r="V84" i="3"/>
  <c r="V1080" i="3"/>
  <c r="V122" i="3"/>
  <c r="V249" i="3"/>
  <c r="V217" i="3"/>
  <c r="V298" i="3"/>
  <c r="V812" i="3"/>
  <c r="V1390" i="3"/>
  <c r="V2382" i="3"/>
  <c r="V763" i="3"/>
  <c r="V1341" i="3"/>
  <c r="V460" i="3"/>
  <c r="V987" i="3"/>
  <c r="V1652" i="3"/>
  <c r="V648" i="3"/>
  <c r="V1654" i="3"/>
  <c r="V649" i="3"/>
  <c r="V1203" i="3"/>
  <c r="V1496" i="3"/>
  <c r="V571" i="3"/>
  <c r="V1131" i="3"/>
  <c r="V2569" i="3"/>
  <c r="V636" i="3"/>
  <c r="V1224" i="3"/>
  <c r="V354" i="3"/>
  <c r="V606" i="3"/>
  <c r="V1172" i="3"/>
  <c r="V1503" i="3"/>
  <c r="V323" i="3"/>
  <c r="V575" i="3"/>
  <c r="V839" i="3"/>
  <c r="V1136" i="3"/>
  <c r="V1436" i="3"/>
  <c r="V292" i="3"/>
  <c r="V545" i="3"/>
  <c r="V807" i="3"/>
  <c r="V1084" i="3"/>
  <c r="V1402" i="3"/>
  <c r="V2471" i="3"/>
  <c r="V501" i="3"/>
  <c r="V756" i="3"/>
  <c r="V1032" i="3"/>
  <c r="V1319" i="3"/>
  <c r="V1937" i="3"/>
  <c r="V438" i="3"/>
  <c r="V705" i="3"/>
  <c r="V980" i="3"/>
  <c r="V1284" i="3"/>
  <c r="V1687" i="3"/>
  <c r="V391" i="3"/>
  <c r="V658" i="3"/>
  <c r="V928" i="3"/>
  <c r="V1212" i="3"/>
  <c r="V1550" i="3"/>
  <c r="V1959" i="3"/>
  <c r="V441" i="3"/>
  <c r="V692" i="3"/>
  <c r="V965" i="3"/>
  <c r="V1251" i="3"/>
  <c r="V1592" i="3"/>
  <c r="V785" i="3"/>
  <c r="V1040" i="3"/>
  <c r="V1292" i="3"/>
  <c r="V1537" i="3"/>
  <c r="V1789" i="3"/>
  <c r="V2039" i="3"/>
  <c r="V2312" i="3"/>
  <c r="V2601" i="3"/>
  <c r="V3173" i="3"/>
  <c r="V1726" i="3"/>
  <c r="V1977" i="3"/>
  <c r="V2276" i="3"/>
  <c r="V2565" i="3"/>
  <c r="V3030" i="3"/>
  <c r="V1695" i="3"/>
  <c r="V1949" i="3"/>
  <c r="V2206" i="3"/>
  <c r="V2510" i="3"/>
  <c r="V2862" i="3"/>
  <c r="V1665" i="3"/>
  <c r="V1918" i="3"/>
  <c r="V2225" i="3"/>
  <c r="V2511" i="3"/>
  <c r="V2841" i="3"/>
  <c r="V1666" i="3"/>
  <c r="V1919" i="3"/>
  <c r="V2172" i="3"/>
  <c r="V2477" i="3"/>
  <c r="V2793" i="3"/>
  <c r="V894" i="3"/>
  <c r="V1186" i="3"/>
  <c r="V1447" i="3"/>
  <c r="V1698" i="3"/>
  <c r="V1965" i="3"/>
  <c r="V2227" i="3"/>
  <c r="V2531" i="3"/>
  <c r="V2948" i="3"/>
  <c r="V1732" i="3"/>
  <c r="V1998" i="3"/>
  <c r="V2283" i="3"/>
  <c r="V2590" i="3"/>
  <c r="V3252" i="3"/>
  <c r="V2106" i="3"/>
  <c r="V2394" i="3"/>
  <c r="V2692" i="3"/>
  <c r="V1813" i="3"/>
  <c r="V2063" i="3"/>
  <c r="V2340" i="3"/>
  <c r="V2652" i="3"/>
  <c r="V1500" i="3"/>
  <c r="V1751" i="3"/>
  <c r="V2001" i="3"/>
  <c r="V2286" i="3"/>
  <c r="V2575" i="3"/>
  <c r="V2984" i="3"/>
  <c r="V1689" i="3"/>
  <c r="V1956" i="3"/>
  <c r="V2216" i="3"/>
  <c r="V2502" i="3"/>
  <c r="V2874" i="3"/>
  <c r="V1658" i="3"/>
  <c r="V1911" i="3"/>
  <c r="V2199" i="3"/>
  <c r="V2503" i="3"/>
  <c r="V2828" i="3"/>
  <c r="V1786" i="3"/>
  <c r="V2036" i="3"/>
  <c r="V2308" i="3"/>
  <c r="V2598" i="3"/>
  <c r="V3144" i="3"/>
  <c r="V1724" i="3"/>
  <c r="V1975" i="3"/>
  <c r="V2239" i="3"/>
  <c r="V2523" i="3"/>
  <c r="V2857" i="3"/>
  <c r="V2274" i="3"/>
  <c r="V2524" i="3"/>
  <c r="V2810" i="3"/>
  <c r="V3136" i="3"/>
  <c r="V3514" i="3"/>
  <c r="V3035" i="3"/>
  <c r="V3395" i="3"/>
  <c r="V2895" i="3"/>
  <c r="V3246" i="3"/>
  <c r="V3711" i="3"/>
  <c r="V3098" i="3"/>
  <c r="V3492" i="3"/>
  <c r="V2996" i="3"/>
  <c r="V3349" i="3"/>
  <c r="V3886" i="3"/>
  <c r="V2343" i="3"/>
  <c r="V2614" i="3"/>
  <c r="V2919" i="3"/>
  <c r="V3251" i="3"/>
  <c r="V3721" i="3"/>
  <c r="V3722" i="3"/>
  <c r="V3124" i="3"/>
  <c r="V3531" i="3"/>
  <c r="V3022" i="3"/>
  <c r="V3431" i="3"/>
  <c r="V2942" i="3"/>
  <c r="V3280" i="3"/>
  <c r="V3769" i="3"/>
  <c r="V3334" i="3"/>
  <c r="V3956" i="3"/>
  <c r="V3209" i="3"/>
  <c r="V3695" i="3"/>
  <c r="V3089" i="3"/>
  <c r="V3508" i="3"/>
  <c r="V2987" i="3"/>
  <c r="V3364" i="3"/>
  <c r="V3916" i="3"/>
  <c r="V3918" i="3"/>
  <c r="V3216" i="3"/>
  <c r="V3746" i="3"/>
  <c r="V2712" i="3"/>
  <c r="V2988" i="3"/>
  <c r="V3275" i="3"/>
  <c r="V3596" i="3"/>
  <c r="V3908" i="3"/>
  <c r="V4048" i="3"/>
  <c r="V3461" i="3"/>
  <c r="V3775" i="3"/>
  <c r="V3521" i="3"/>
  <c r="V3854" i="3"/>
  <c r="V3620" i="3"/>
  <c r="V3934" i="3"/>
  <c r="V4034" i="3"/>
  <c r="V2656" i="3"/>
  <c r="V2962" i="3"/>
  <c r="V3249" i="3"/>
  <c r="V3566" i="3"/>
  <c r="V3880" i="3"/>
  <c r="V3627" i="3"/>
  <c r="V3939" i="3"/>
  <c r="V3685" i="3"/>
  <c r="V4000" i="3"/>
  <c r="V3984" i="3"/>
  <c r="V3985" i="3"/>
  <c r="V3405" i="3"/>
  <c r="V3712" i="3"/>
  <c r="V4026" i="3"/>
  <c r="V2961" i="3"/>
  <c r="V3210" i="3"/>
  <c r="V3480" i="3"/>
  <c r="V3734" i="3"/>
  <c r="V3989" i="3"/>
  <c r="V3348" i="3"/>
  <c r="V3640" i="3"/>
  <c r="V3894" i="3"/>
  <c r="V4090" i="3"/>
  <c r="V3016" i="3"/>
  <c r="V3263" i="3"/>
  <c r="V3503" i="3"/>
  <c r="V3758" i="3"/>
  <c r="V4013" i="3"/>
  <c r="V643" i="3"/>
  <c r="V263" i="3"/>
  <c r="V76" i="3"/>
  <c r="V492" i="3"/>
  <c r="V603" i="3"/>
  <c r="V792" i="3"/>
  <c r="V163" i="3"/>
  <c r="V912" i="3"/>
  <c r="V220" i="3"/>
  <c r="V258" i="3"/>
  <c r="V1035" i="3"/>
  <c r="V225" i="3"/>
  <c r="V228" i="3"/>
  <c r="V247" i="3"/>
  <c r="V1241" i="3"/>
  <c r="V88" i="3"/>
  <c r="V973" i="3"/>
  <c r="V44" i="3"/>
  <c r="V551" i="3"/>
  <c r="V1108" i="3"/>
  <c r="V507" i="3"/>
  <c r="V1055" i="3"/>
  <c r="V2104" i="3"/>
  <c r="V711" i="3"/>
  <c r="V1272" i="3"/>
  <c r="V397" i="3"/>
  <c r="V935" i="3"/>
  <c r="V1255" i="3"/>
  <c r="V382" i="3"/>
  <c r="V919" i="3"/>
  <c r="V65" i="3"/>
  <c r="V319" i="3"/>
  <c r="V835" i="3"/>
  <c r="V1414" i="3"/>
  <c r="V369" i="3"/>
  <c r="V922" i="3"/>
  <c r="V1575" i="3"/>
  <c r="V890" i="3"/>
  <c r="V56" i="3"/>
  <c r="V126" i="3"/>
  <c r="V845" i="3"/>
  <c r="V254" i="3"/>
  <c r="V238" i="3"/>
  <c r="V112" i="3"/>
  <c r="V1304" i="3"/>
  <c r="V276" i="3"/>
  <c r="V115" i="3"/>
  <c r="V1177" i="3"/>
  <c r="V260" i="3"/>
  <c r="V118" i="3"/>
  <c r="V1205" i="3"/>
  <c r="V245" i="3"/>
  <c r="V102" i="3"/>
  <c r="V1223" i="3"/>
  <c r="V265" i="3"/>
  <c r="V141" i="3"/>
  <c r="V1380" i="3"/>
  <c r="V268" i="3"/>
  <c r="V106" i="3"/>
  <c r="V1114" i="3"/>
  <c r="V236" i="3"/>
  <c r="V60" i="3"/>
  <c r="V314" i="3"/>
  <c r="V566" i="3"/>
  <c r="V829" i="3"/>
  <c r="V1126" i="3"/>
  <c r="V1408" i="3"/>
  <c r="V2522" i="3"/>
  <c r="V523" i="3"/>
  <c r="V780" i="3"/>
  <c r="V1074" i="3"/>
  <c r="V1359" i="3"/>
  <c r="V2246" i="3"/>
  <c r="V476" i="3"/>
  <c r="V729" i="3"/>
  <c r="V1004" i="3"/>
  <c r="V1290" i="3"/>
  <c r="V1715" i="3"/>
  <c r="V413" i="3"/>
  <c r="V664" i="3"/>
  <c r="V952" i="3"/>
  <c r="V1273" i="3"/>
  <c r="V1717" i="3"/>
  <c r="V398" i="3"/>
  <c r="V665" i="3"/>
  <c r="V936" i="3"/>
  <c r="V1221" i="3"/>
  <c r="V1530" i="3"/>
  <c r="V81" i="3"/>
  <c r="V335" i="3"/>
  <c r="V587" i="3"/>
  <c r="V869" i="3"/>
  <c r="V1149" i="3"/>
  <c r="V1432" i="3"/>
  <c r="V2731" i="3"/>
  <c r="V385" i="3"/>
  <c r="V652" i="3"/>
  <c r="V940" i="3"/>
  <c r="V1242" i="3"/>
  <c r="V1613" i="3"/>
  <c r="V370" i="3"/>
  <c r="V621" i="3"/>
  <c r="V906" i="3"/>
  <c r="V1189" i="3"/>
  <c r="V1536" i="3"/>
  <c r="V339" i="3"/>
  <c r="V591" i="3"/>
  <c r="V855" i="3"/>
  <c r="V1154" i="3"/>
  <c r="V1453" i="3"/>
  <c r="V308" i="3"/>
  <c r="V561" i="3"/>
  <c r="V823" i="3"/>
  <c r="V1119" i="3"/>
  <c r="V1420" i="3"/>
  <c r="V2620" i="3"/>
  <c r="V517" i="3"/>
  <c r="V773" i="3"/>
  <c r="V1049" i="3"/>
  <c r="V1334" i="3"/>
  <c r="V2060" i="3"/>
  <c r="V454" i="3"/>
  <c r="V721" i="3"/>
  <c r="V997" i="3"/>
  <c r="V1302" i="3"/>
  <c r="V1750" i="3"/>
  <c r="V407" i="3"/>
  <c r="V674" i="3"/>
  <c r="V946" i="3"/>
  <c r="V1231" i="3"/>
  <c r="V1584" i="3"/>
  <c r="V2082" i="3"/>
  <c r="V457" i="3"/>
  <c r="V708" i="3"/>
  <c r="V983" i="3"/>
  <c r="V1269" i="3"/>
  <c r="V1638" i="3"/>
  <c r="V799" i="3"/>
  <c r="V1056" i="3"/>
  <c r="V1308" i="3"/>
  <c r="V1553" i="3"/>
  <c r="V1805" i="3"/>
  <c r="V2055" i="3"/>
  <c r="V2330" i="3"/>
  <c r="V2622" i="3"/>
  <c r="V1475" i="3"/>
  <c r="V1742" i="3"/>
  <c r="V1992" i="3"/>
  <c r="V2294" i="3"/>
  <c r="V2584" i="3"/>
  <c r="V3182" i="3"/>
  <c r="V1711" i="3"/>
  <c r="V1963" i="3"/>
  <c r="V2224" i="3"/>
  <c r="V2527" i="3"/>
  <c r="V2884" i="3"/>
  <c r="V1681" i="3"/>
  <c r="V1934" i="3"/>
  <c r="V2243" i="3"/>
  <c r="V2528" i="3"/>
  <c r="V2864" i="3"/>
  <c r="V1682" i="3"/>
  <c r="V1935" i="3"/>
  <c r="V2190" i="3"/>
  <c r="V2495" i="3"/>
  <c r="V2818" i="3"/>
  <c r="V938" i="3"/>
  <c r="V1202" i="3"/>
  <c r="V1463" i="3"/>
  <c r="V1714" i="3"/>
  <c r="V1981" i="3"/>
  <c r="V2262" i="3"/>
  <c r="V2549" i="3"/>
  <c r="V3061" i="3"/>
  <c r="V1748" i="3"/>
  <c r="V2014" i="3"/>
  <c r="V2301" i="3"/>
  <c r="V2610" i="3"/>
  <c r="V1876" i="3"/>
  <c r="V2123" i="3"/>
  <c r="V2412" i="3"/>
  <c r="V2713" i="3"/>
  <c r="V1829" i="3"/>
  <c r="V2077" i="3"/>
  <c r="V2358" i="3"/>
  <c r="V2673" i="3"/>
  <c r="V1516" i="3"/>
  <c r="V1767" i="3"/>
  <c r="V2017" i="3"/>
  <c r="V2304" i="3"/>
  <c r="V2594" i="3"/>
  <c r="V3112" i="3"/>
  <c r="V1704" i="3"/>
  <c r="V1971" i="3"/>
  <c r="V2235" i="3"/>
  <c r="V2537" i="3"/>
  <c r="V2903" i="3"/>
  <c r="V1674" i="3"/>
  <c r="V1927" i="3"/>
  <c r="V2218" i="3"/>
  <c r="V2520" i="3"/>
  <c r="V2853" i="3"/>
  <c r="V1802" i="3"/>
  <c r="V2052" i="3"/>
  <c r="V2326" i="3"/>
  <c r="V2618" i="3"/>
  <c r="V3326" i="3"/>
  <c r="V1740" i="3"/>
  <c r="V1990" i="3"/>
  <c r="V2256" i="3"/>
  <c r="V2541" i="3"/>
  <c r="V2880" i="3"/>
  <c r="V2290" i="3"/>
  <c r="V2540" i="3"/>
  <c r="V2832" i="3"/>
  <c r="V3154" i="3"/>
  <c r="V3552" i="3"/>
  <c r="V3054" i="3"/>
  <c r="V3418" i="3"/>
  <c r="V2915" i="3"/>
  <c r="V3269" i="3"/>
  <c r="V3749" i="3"/>
  <c r="V3119" i="3"/>
  <c r="V3522" i="3"/>
  <c r="V3018" i="3"/>
  <c r="V3375" i="3"/>
  <c r="V3937" i="3"/>
  <c r="V2359" i="3"/>
  <c r="V2632" i="3"/>
  <c r="V2937" i="3"/>
  <c r="V3273" i="3"/>
  <c r="V3760" i="3"/>
  <c r="V3761" i="3"/>
  <c r="V3145" i="3"/>
  <c r="V3570" i="3"/>
  <c r="V3044" i="3"/>
  <c r="V3453" i="3"/>
  <c r="V2963" i="3"/>
  <c r="V3306" i="3"/>
  <c r="V3811" i="3"/>
  <c r="V3408" i="3"/>
  <c r="V2906" i="3"/>
  <c r="V3235" i="3"/>
  <c r="V3733" i="3"/>
  <c r="V3109" i="3"/>
  <c r="V3542" i="3"/>
  <c r="V3009" i="3"/>
  <c r="V3387" i="3"/>
  <c r="V3964" i="3"/>
  <c r="V3975" i="3"/>
  <c r="V3289" i="3"/>
  <c r="V3786" i="3"/>
  <c r="V2728" i="3"/>
  <c r="V3006" i="3"/>
  <c r="V3294" i="3"/>
  <c r="V3616" i="3"/>
  <c r="V3929" i="3"/>
  <c r="V4067" i="3"/>
  <c r="V3482" i="3"/>
  <c r="V3794" i="3"/>
  <c r="V3540" i="3"/>
  <c r="V3873" i="3"/>
  <c r="V3641" i="3"/>
  <c r="V3953" i="3"/>
  <c r="V4055" i="3"/>
  <c r="V2672" i="3"/>
  <c r="V2980" i="3"/>
  <c r="V3266" i="3"/>
  <c r="V3586" i="3"/>
  <c r="V3899" i="3"/>
  <c r="V3646" i="3"/>
  <c r="V3960" i="3"/>
  <c r="V3706" i="3"/>
  <c r="V4019" i="3"/>
  <c r="V4003" i="3"/>
  <c r="V4004" i="3"/>
  <c r="V3425" i="3"/>
  <c r="V3731" i="3"/>
  <c r="V4046" i="3"/>
  <c r="V2977" i="3"/>
  <c r="V3225" i="3"/>
  <c r="V3495" i="3"/>
  <c r="V3750" i="3"/>
  <c r="V4005" i="3"/>
  <c r="V3363" i="3"/>
  <c r="V3656" i="3"/>
  <c r="V3910" i="3"/>
  <c r="V4091" i="3"/>
  <c r="V3032" i="3"/>
  <c r="V3277" i="3"/>
  <c r="V3519" i="3"/>
  <c r="V3774" i="3"/>
  <c r="V4029" i="3"/>
  <c r="V189" i="3"/>
  <c r="S45" i="3"/>
  <c r="R45" i="3"/>
  <c r="S35" i="3"/>
  <c r="R35" i="3"/>
  <c r="S7" i="3"/>
  <c r="R7" i="3"/>
  <c r="S200" i="3"/>
  <c r="R200" i="3"/>
  <c r="S183" i="3"/>
  <c r="R183" i="3"/>
  <c r="R57" i="3"/>
  <c r="S57" i="3"/>
  <c r="S879" i="3"/>
  <c r="R879" i="3"/>
  <c r="S222" i="3"/>
  <c r="R222" i="3"/>
  <c r="S59" i="3"/>
  <c r="R59" i="3"/>
  <c r="R760" i="3"/>
  <c r="S760" i="3"/>
  <c r="S188" i="3"/>
  <c r="R188" i="3"/>
  <c r="S63" i="3"/>
  <c r="R63" i="3"/>
  <c r="S786" i="3"/>
  <c r="R786" i="3"/>
  <c r="S191" i="3"/>
  <c r="R191" i="3"/>
  <c r="S47" i="3"/>
  <c r="R47" i="3"/>
  <c r="S802" i="3"/>
  <c r="R802" i="3"/>
  <c r="S212" i="3"/>
  <c r="R212" i="3"/>
  <c r="S86" i="3"/>
  <c r="R86" i="3"/>
  <c r="R956" i="3"/>
  <c r="S956" i="3"/>
  <c r="S214" i="3"/>
  <c r="R214" i="3"/>
  <c r="S52" i="3"/>
  <c r="R52" i="3"/>
  <c r="S699" i="3"/>
  <c r="R699" i="3"/>
  <c r="S181" i="3"/>
  <c r="R181" i="3"/>
  <c r="S12" i="3"/>
  <c r="R12" i="3"/>
  <c r="S266" i="3"/>
  <c r="R266" i="3"/>
  <c r="S522" i="3"/>
  <c r="R522" i="3"/>
  <c r="S779" i="3"/>
  <c r="R779" i="3"/>
  <c r="S1073" i="3"/>
  <c r="R1073" i="3"/>
  <c r="R1358" i="3"/>
  <c r="S1358" i="3"/>
  <c r="S2096" i="3"/>
  <c r="R2096" i="3"/>
  <c r="S475" i="3"/>
  <c r="R475" i="3"/>
  <c r="S727" i="3"/>
  <c r="R727" i="3"/>
  <c r="S1021" i="3"/>
  <c r="R1021" i="3"/>
  <c r="R1307" i="3"/>
  <c r="S1307" i="3"/>
  <c r="S1779" i="3"/>
  <c r="R1779" i="3"/>
  <c r="S428" i="3"/>
  <c r="R428" i="3"/>
  <c r="S679" i="3"/>
  <c r="R679" i="3"/>
  <c r="S951" i="3"/>
  <c r="R951" i="3"/>
  <c r="S1237" i="3"/>
  <c r="R1237" i="3"/>
  <c r="S1561" i="3"/>
  <c r="R1561" i="3"/>
  <c r="S365" i="3"/>
  <c r="R365" i="3"/>
  <c r="S617" i="3"/>
  <c r="R617" i="3"/>
  <c r="S901" i="3"/>
  <c r="R901" i="3"/>
  <c r="R1220" i="3"/>
  <c r="S1220" i="3"/>
  <c r="S1562" i="3"/>
  <c r="R1562" i="3"/>
  <c r="S350" i="3"/>
  <c r="R350" i="3"/>
  <c r="S618" i="3"/>
  <c r="R618" i="3"/>
  <c r="S885" i="3"/>
  <c r="R885" i="3"/>
  <c r="S1167" i="3"/>
  <c r="R1167" i="3"/>
  <c r="S1448" i="3"/>
  <c r="R1448" i="3"/>
  <c r="R33" i="3"/>
  <c r="S33" i="3"/>
  <c r="S287" i="3"/>
  <c r="R287" i="3"/>
  <c r="S541" i="3"/>
  <c r="R541" i="3"/>
  <c r="S801" i="3"/>
  <c r="R801" i="3"/>
  <c r="S1097" i="3"/>
  <c r="R1097" i="3"/>
  <c r="R1379" i="3"/>
  <c r="S1379" i="3"/>
  <c r="S2282" i="3"/>
  <c r="R2282" i="3"/>
  <c r="R337" i="3"/>
  <c r="S337" i="3"/>
  <c r="S589" i="3"/>
  <c r="R589" i="3"/>
  <c r="S888" i="3"/>
  <c r="R888" i="3"/>
  <c r="R1188" i="3"/>
  <c r="S1188" i="3"/>
  <c r="R1499" i="3"/>
  <c r="S1499" i="3"/>
  <c r="S322" i="3"/>
  <c r="R322" i="3"/>
  <c r="S574" i="3"/>
  <c r="R574" i="3"/>
  <c r="S854" i="3"/>
  <c r="R854" i="3"/>
  <c r="S1135" i="3"/>
  <c r="R1135" i="3"/>
  <c r="S1452" i="3"/>
  <c r="R1452" i="3"/>
  <c r="S291" i="3"/>
  <c r="R291" i="3"/>
  <c r="S544" i="3"/>
  <c r="R544" i="3"/>
  <c r="S806" i="3"/>
  <c r="R806" i="3"/>
  <c r="S1101" i="3"/>
  <c r="R1101" i="3"/>
  <c r="S1400" i="3"/>
  <c r="R1400" i="3"/>
  <c r="S2609" i="3"/>
  <c r="R2609" i="3"/>
  <c r="S516" i="3"/>
  <c r="R516" i="3"/>
  <c r="S772" i="3"/>
  <c r="R772" i="3"/>
  <c r="S1048" i="3"/>
  <c r="R1048" i="3"/>
  <c r="R1351" i="3"/>
  <c r="S1351" i="3"/>
  <c r="S2183" i="3"/>
  <c r="R2183" i="3"/>
  <c r="S469" i="3"/>
  <c r="R469" i="3"/>
  <c r="R720" i="3"/>
  <c r="S720" i="3"/>
  <c r="R996" i="3"/>
  <c r="S996" i="3"/>
  <c r="R1283" i="3"/>
  <c r="S1283" i="3"/>
  <c r="S1749" i="3"/>
  <c r="R1749" i="3"/>
  <c r="S406" i="3"/>
  <c r="R406" i="3"/>
  <c r="S673" i="3"/>
  <c r="R673" i="3"/>
  <c r="S945" i="3"/>
  <c r="R945" i="3"/>
  <c r="S1247" i="3"/>
  <c r="R1247" i="3"/>
  <c r="S1583" i="3"/>
  <c r="R1583" i="3"/>
  <c r="S359" i="3"/>
  <c r="R359" i="3"/>
  <c r="S626" i="3"/>
  <c r="R626" i="3"/>
  <c r="S896" i="3"/>
  <c r="R896" i="3"/>
  <c r="S1176" i="3"/>
  <c r="R1176" i="3"/>
  <c r="S1480" i="3"/>
  <c r="R1480" i="3"/>
  <c r="S1763" i="3"/>
  <c r="R1763" i="3"/>
  <c r="R409" i="3"/>
  <c r="S409" i="3"/>
  <c r="S660" i="3"/>
  <c r="R660" i="3"/>
  <c r="S930" i="3"/>
  <c r="R930" i="3"/>
  <c r="S1215" i="3"/>
  <c r="R1215" i="3"/>
  <c r="R1519" i="3"/>
  <c r="S1519" i="3"/>
  <c r="S754" i="3"/>
  <c r="R754" i="3"/>
  <c r="S1010" i="3"/>
  <c r="R1010" i="3"/>
  <c r="S1260" i="3"/>
  <c r="R1260" i="3"/>
  <c r="S1506" i="3"/>
  <c r="R1506" i="3"/>
  <c r="S1757" i="3"/>
  <c r="R1757" i="3"/>
  <c r="S2007" i="3"/>
  <c r="R2007" i="3"/>
  <c r="S2275" i="3"/>
  <c r="R2275" i="3"/>
  <c r="S2564" i="3"/>
  <c r="R2564" i="3"/>
  <c r="S2921" i="3"/>
  <c r="R2921" i="3"/>
  <c r="S1679" i="3"/>
  <c r="R1679" i="3"/>
  <c r="S1948" i="3"/>
  <c r="R1948" i="3"/>
  <c r="S2241" i="3"/>
  <c r="R2241" i="3"/>
  <c r="S2526" i="3"/>
  <c r="R2526" i="3"/>
  <c r="S2882" i="3"/>
  <c r="R2882" i="3"/>
  <c r="S1664" i="3"/>
  <c r="R1664" i="3"/>
  <c r="S1917" i="3"/>
  <c r="R1917" i="3"/>
  <c r="S2170" i="3"/>
  <c r="R2170" i="3"/>
  <c r="R2475" i="3"/>
  <c r="S2475" i="3"/>
  <c r="S2814" i="3"/>
  <c r="R2814" i="3"/>
  <c r="S1634" i="3"/>
  <c r="R1634" i="3"/>
  <c r="S1886" i="3"/>
  <c r="R1886" i="3"/>
  <c r="S2189" i="3"/>
  <c r="R2189" i="3"/>
  <c r="S2476" i="3"/>
  <c r="R2476" i="3"/>
  <c r="S2792" i="3"/>
  <c r="R2792" i="3"/>
  <c r="S1620" i="3"/>
  <c r="R1620" i="3"/>
  <c r="S1887" i="3"/>
  <c r="R1887" i="3"/>
  <c r="S2135" i="3"/>
  <c r="R2135" i="3"/>
  <c r="S2442" i="3"/>
  <c r="R2442" i="3"/>
  <c r="S2749" i="3"/>
  <c r="R2749" i="3"/>
  <c r="S863" i="3"/>
  <c r="R863" i="3"/>
  <c r="S1155" i="3"/>
  <c r="R1155" i="3"/>
  <c r="S1417" i="3"/>
  <c r="R1417" i="3"/>
  <c r="R1667" i="3"/>
  <c r="S1667" i="3"/>
  <c r="R1920" i="3"/>
  <c r="S1920" i="3"/>
  <c r="S2191" i="3"/>
  <c r="R2191" i="3"/>
  <c r="R2496" i="3"/>
  <c r="S2496" i="3"/>
  <c r="S2865" i="3"/>
  <c r="R2865" i="3"/>
  <c r="S1700" i="3"/>
  <c r="R1700" i="3"/>
  <c r="S1967" i="3"/>
  <c r="R1967" i="3"/>
  <c r="S2247" i="3"/>
  <c r="R2247" i="3"/>
  <c r="R2552" i="3"/>
  <c r="S2552" i="3"/>
  <c r="S2964" i="3"/>
  <c r="R2964" i="3"/>
  <c r="R2076" i="3"/>
  <c r="S2076" i="3"/>
  <c r="S2357" i="3"/>
  <c r="R2357" i="3"/>
  <c r="S2651" i="3"/>
  <c r="R2651" i="3"/>
  <c r="S1782" i="3"/>
  <c r="R1782" i="3"/>
  <c r="S2032" i="3"/>
  <c r="R2032" i="3"/>
  <c r="S2303" i="3"/>
  <c r="R2303" i="3"/>
  <c r="S2613" i="3"/>
  <c r="R2613" i="3"/>
  <c r="S3276" i="3"/>
  <c r="R3276" i="3"/>
  <c r="S1719" i="3"/>
  <c r="R1719" i="3"/>
  <c r="S1970" i="3"/>
  <c r="R1970" i="3"/>
  <c r="S2251" i="3"/>
  <c r="R2251" i="3"/>
  <c r="R2536" i="3"/>
  <c r="S2536" i="3"/>
  <c r="R2873" i="3"/>
  <c r="S2873" i="3"/>
  <c r="S1657" i="3"/>
  <c r="R1657" i="3"/>
  <c r="S1926" i="3"/>
  <c r="R1926" i="3"/>
  <c r="S2179" i="3"/>
  <c r="R2179" i="3"/>
  <c r="R2467" i="3"/>
  <c r="S2467" i="3"/>
  <c r="S2827" i="3"/>
  <c r="R2827" i="3"/>
  <c r="R1627" i="3"/>
  <c r="S1627" i="3"/>
  <c r="S1879" i="3"/>
  <c r="R1879" i="3"/>
  <c r="S2162" i="3"/>
  <c r="R2162" i="3"/>
  <c r="S2469" i="3"/>
  <c r="R2469" i="3"/>
  <c r="R2781" i="3"/>
  <c r="S2781" i="3"/>
  <c r="S1754" i="3"/>
  <c r="R1754" i="3"/>
  <c r="S2004" i="3"/>
  <c r="R2004" i="3"/>
  <c r="S2271" i="3"/>
  <c r="R2271" i="3"/>
  <c r="R2560" i="3"/>
  <c r="S2560" i="3"/>
  <c r="S2905" i="3"/>
  <c r="R2905" i="3"/>
  <c r="S1693" i="3"/>
  <c r="R1693" i="3"/>
  <c r="S1946" i="3"/>
  <c r="R1946" i="3"/>
  <c r="S2203" i="3"/>
  <c r="R2203" i="3"/>
  <c r="S2489" i="3"/>
  <c r="R2489" i="3"/>
  <c r="R2809" i="3"/>
  <c r="S2809" i="3"/>
  <c r="R2244" i="3"/>
  <c r="S2244" i="3"/>
  <c r="S2494" i="3"/>
  <c r="R2494" i="3"/>
  <c r="S2769" i="3"/>
  <c r="R2769" i="3"/>
  <c r="S3093" i="3"/>
  <c r="R3093" i="3"/>
  <c r="S3463" i="3"/>
  <c r="R3463" i="3"/>
  <c r="S2993" i="3"/>
  <c r="R2993" i="3"/>
  <c r="S3344" i="3"/>
  <c r="R3344" i="3"/>
  <c r="S3879" i="3"/>
  <c r="R3879" i="3"/>
  <c r="S3197" i="3"/>
  <c r="R3197" i="3"/>
  <c r="S3633" i="3"/>
  <c r="R3633" i="3"/>
  <c r="S3057" i="3"/>
  <c r="R3057" i="3"/>
  <c r="S3446" i="3"/>
  <c r="R3446" i="3"/>
  <c r="S2956" i="3"/>
  <c r="R2956" i="3"/>
  <c r="S3298" i="3"/>
  <c r="R3298" i="3"/>
  <c r="S3800" i="3"/>
  <c r="R3800" i="3"/>
  <c r="S2311" i="3"/>
  <c r="R2311" i="3"/>
  <c r="S2563" i="3"/>
  <c r="R2563" i="3"/>
  <c r="S2878" i="3"/>
  <c r="R2878" i="3"/>
  <c r="R3200" i="3"/>
  <c r="S3200" i="3"/>
  <c r="S3643" i="3"/>
  <c r="R3643" i="3"/>
  <c r="S3644" i="3"/>
  <c r="R3644" i="3"/>
  <c r="S3082" i="3"/>
  <c r="R3082" i="3"/>
  <c r="S3474" i="3"/>
  <c r="R3474" i="3"/>
  <c r="S2982" i="3"/>
  <c r="R2982" i="3"/>
  <c r="R3382" i="3"/>
  <c r="S3382" i="3"/>
  <c r="S3954" i="3"/>
  <c r="R3954" i="3"/>
  <c r="S3232" i="3"/>
  <c r="R3232" i="3"/>
  <c r="S3690" i="3"/>
  <c r="R3690" i="3"/>
  <c r="S3281" i="3"/>
  <c r="R3281" i="3"/>
  <c r="S3858" i="3"/>
  <c r="R3858" i="3"/>
  <c r="S3169" i="3"/>
  <c r="R3169" i="3"/>
  <c r="S3617" i="3"/>
  <c r="R3617" i="3"/>
  <c r="S3049" i="3"/>
  <c r="R3049" i="3"/>
  <c r="R3435" i="3"/>
  <c r="S3435" i="3"/>
  <c r="S2947" i="3"/>
  <c r="R2947" i="3"/>
  <c r="R3310" i="3"/>
  <c r="S3310" i="3"/>
  <c r="S3824" i="3"/>
  <c r="R3824" i="3"/>
  <c r="S3825" i="3"/>
  <c r="R3825" i="3"/>
  <c r="S3153" i="3"/>
  <c r="R3153" i="3"/>
  <c r="S3667" i="3"/>
  <c r="R3667" i="3"/>
  <c r="S2680" i="3"/>
  <c r="R2680" i="3"/>
  <c r="S2952" i="3"/>
  <c r="R2952" i="3"/>
  <c r="R3239" i="3"/>
  <c r="S3239" i="3"/>
  <c r="S3556" i="3"/>
  <c r="R3556" i="3"/>
  <c r="S3870" i="3"/>
  <c r="R3870" i="3"/>
  <c r="S4009" i="3"/>
  <c r="R4009" i="3"/>
  <c r="S3428" i="3"/>
  <c r="R3428" i="3"/>
  <c r="S3736" i="3"/>
  <c r="R3736" i="3"/>
  <c r="S4049" i="3"/>
  <c r="R4049" i="3"/>
  <c r="S3815" i="3"/>
  <c r="R3815" i="3"/>
  <c r="S3581" i="3"/>
  <c r="R3581" i="3"/>
  <c r="S3895" i="3"/>
  <c r="R3895" i="3"/>
  <c r="S3995" i="3"/>
  <c r="R3995" i="3"/>
  <c r="S2627" i="3"/>
  <c r="R2627" i="3"/>
  <c r="S2892" i="3"/>
  <c r="R2892" i="3"/>
  <c r="S3212" i="3"/>
  <c r="R3212" i="3"/>
  <c r="S3526" i="3"/>
  <c r="R3526" i="3"/>
  <c r="S3840" i="3"/>
  <c r="R3840" i="3"/>
  <c r="R3587" i="3"/>
  <c r="S3587" i="3"/>
  <c r="S3900" i="3"/>
  <c r="R3900" i="3"/>
  <c r="S3648" i="3"/>
  <c r="R3648" i="3"/>
  <c r="S3961" i="3"/>
  <c r="R3961" i="3"/>
  <c r="S4062" i="3"/>
  <c r="R4062" i="3"/>
  <c r="S3946" i="3"/>
  <c r="R3946" i="3"/>
  <c r="S3369" i="3"/>
  <c r="R3369" i="3"/>
  <c r="S3673" i="3"/>
  <c r="R3673" i="3"/>
  <c r="S3986" i="3"/>
  <c r="R3986" i="3"/>
  <c r="S2930" i="3"/>
  <c r="R2930" i="3"/>
  <c r="R3179" i="3"/>
  <c r="S3179" i="3"/>
  <c r="S3450" i="3"/>
  <c r="R3450" i="3"/>
  <c r="R3702" i="3"/>
  <c r="S3702" i="3"/>
  <c r="S3957" i="3"/>
  <c r="R3957" i="3"/>
  <c r="S3316" i="3"/>
  <c r="R3316" i="3"/>
  <c r="S3608" i="3"/>
  <c r="R3608" i="3"/>
  <c r="S3862" i="3"/>
  <c r="R3862" i="3"/>
  <c r="S4088" i="3"/>
  <c r="R4088" i="3"/>
  <c r="S2985" i="3"/>
  <c r="R2985" i="3"/>
  <c r="S3233" i="3"/>
  <c r="R3233" i="3"/>
  <c r="S3472" i="3"/>
  <c r="R3472" i="3"/>
  <c r="R3726" i="3"/>
  <c r="S3726" i="3"/>
  <c r="S3981" i="3"/>
  <c r="R3981" i="3"/>
  <c r="S198" i="3"/>
  <c r="R198" i="3"/>
  <c r="S39" i="3"/>
  <c r="R39" i="3"/>
  <c r="S218" i="3"/>
  <c r="R218" i="3"/>
  <c r="S1018" i="3"/>
  <c r="R1018" i="3"/>
  <c r="S897" i="3"/>
  <c r="R897" i="3"/>
  <c r="S82" i="3"/>
  <c r="R82" i="3"/>
  <c r="S921" i="3"/>
  <c r="R921" i="3"/>
  <c r="S210" i="3"/>
  <c r="R210" i="3"/>
  <c r="S66" i="3"/>
  <c r="R66" i="3"/>
  <c r="S939" i="3"/>
  <c r="R939" i="3"/>
  <c r="S230" i="3"/>
  <c r="R230" i="3"/>
  <c r="S104" i="3"/>
  <c r="R104" i="3"/>
  <c r="S1098" i="3"/>
  <c r="R1098" i="3"/>
  <c r="S232" i="3"/>
  <c r="R232" i="3"/>
  <c r="S70" i="3"/>
  <c r="R70" i="3"/>
  <c r="S836" i="3"/>
  <c r="R836" i="3"/>
  <c r="S199" i="3"/>
  <c r="R199" i="3"/>
  <c r="S28" i="3"/>
  <c r="R28" i="3"/>
  <c r="S282" i="3"/>
  <c r="R282" i="3"/>
  <c r="R537" i="3"/>
  <c r="S537" i="3"/>
  <c r="S797" i="3"/>
  <c r="R797" i="3"/>
  <c r="S1091" i="3"/>
  <c r="R1091" i="3"/>
  <c r="R1374" i="3"/>
  <c r="S1374" i="3"/>
  <c r="S2238" i="3"/>
  <c r="R2238" i="3"/>
  <c r="S491" i="3"/>
  <c r="R491" i="3"/>
  <c r="S745" i="3"/>
  <c r="R745" i="3"/>
  <c r="S1038" i="3"/>
  <c r="R1038" i="3"/>
  <c r="R1325" i="3"/>
  <c r="S1325" i="3"/>
  <c r="S1860" i="3"/>
  <c r="R1860" i="3"/>
  <c r="S444" i="3"/>
  <c r="R444" i="3"/>
  <c r="S695" i="3"/>
  <c r="R695" i="3"/>
  <c r="S969" i="3"/>
  <c r="R969" i="3"/>
  <c r="R1254" i="3"/>
  <c r="S1254" i="3"/>
  <c r="R1598" i="3"/>
  <c r="S1598" i="3"/>
  <c r="S381" i="3"/>
  <c r="R381" i="3"/>
  <c r="R632" i="3"/>
  <c r="S632" i="3"/>
  <c r="S917" i="3"/>
  <c r="R917" i="3"/>
  <c r="S1238" i="3"/>
  <c r="R1238" i="3"/>
  <c r="S1599" i="3"/>
  <c r="R1599" i="3"/>
  <c r="S366" i="3"/>
  <c r="R366" i="3"/>
  <c r="S633" i="3"/>
  <c r="R633" i="3"/>
  <c r="S902" i="3"/>
  <c r="R902" i="3"/>
  <c r="S1184" i="3"/>
  <c r="R1184" i="3"/>
  <c r="S1466" i="3"/>
  <c r="R1466" i="3"/>
  <c r="R49" i="3"/>
  <c r="S49" i="3"/>
  <c r="S303" i="3"/>
  <c r="R303" i="3"/>
  <c r="S556" i="3"/>
  <c r="R556" i="3"/>
  <c r="S818" i="3"/>
  <c r="R818" i="3"/>
  <c r="S1113" i="3"/>
  <c r="R1113" i="3"/>
  <c r="R1395" i="3"/>
  <c r="S1395" i="3"/>
  <c r="R2427" i="3"/>
  <c r="S2427" i="3"/>
  <c r="R353" i="3"/>
  <c r="S353" i="3"/>
  <c r="S605" i="3"/>
  <c r="R605" i="3"/>
  <c r="S905" i="3"/>
  <c r="R905" i="3"/>
  <c r="S1206" i="3"/>
  <c r="R1206" i="3"/>
  <c r="S1535" i="3"/>
  <c r="R1535" i="3"/>
  <c r="S338" i="3"/>
  <c r="R338" i="3"/>
  <c r="S590" i="3"/>
  <c r="R590" i="3"/>
  <c r="S871" i="3"/>
  <c r="R871" i="3"/>
  <c r="S1153" i="3"/>
  <c r="R1153" i="3"/>
  <c r="R1470" i="3"/>
  <c r="S1470" i="3"/>
  <c r="S307" i="3"/>
  <c r="R307" i="3"/>
  <c r="S560" i="3"/>
  <c r="R560" i="3"/>
  <c r="S822" i="3"/>
  <c r="R822" i="3"/>
  <c r="S1117" i="3"/>
  <c r="R1117" i="3"/>
  <c r="R1419" i="3"/>
  <c r="S1419" i="3"/>
  <c r="R2772" i="3"/>
  <c r="S2772" i="3"/>
  <c r="S532" i="3"/>
  <c r="R532" i="3"/>
  <c r="S791" i="3"/>
  <c r="R791" i="3"/>
  <c r="S1066" i="3"/>
  <c r="R1066" i="3"/>
  <c r="S1384" i="3"/>
  <c r="R1384" i="3"/>
  <c r="S2328" i="3"/>
  <c r="R2328" i="3"/>
  <c r="S485" i="3"/>
  <c r="R485" i="3"/>
  <c r="S738" i="3"/>
  <c r="R738" i="3"/>
  <c r="S1014" i="3"/>
  <c r="R1014" i="3"/>
  <c r="R1301" i="3"/>
  <c r="S1301" i="3"/>
  <c r="S1828" i="3"/>
  <c r="R1828" i="3"/>
  <c r="S422" i="3"/>
  <c r="R422" i="3"/>
  <c r="S689" i="3"/>
  <c r="R689" i="3"/>
  <c r="S961" i="3"/>
  <c r="R961" i="3"/>
  <c r="S1266" i="3"/>
  <c r="R1266" i="3"/>
  <c r="S1628" i="3"/>
  <c r="R1628" i="3"/>
  <c r="S375" i="3"/>
  <c r="R375" i="3"/>
  <c r="S642" i="3"/>
  <c r="R642" i="3"/>
  <c r="S911" i="3"/>
  <c r="R911" i="3"/>
  <c r="S1194" i="3"/>
  <c r="R1194" i="3"/>
  <c r="S1514" i="3"/>
  <c r="R1514" i="3"/>
  <c r="S1844" i="3"/>
  <c r="R1844" i="3"/>
  <c r="R425" i="3"/>
  <c r="S425" i="3"/>
  <c r="S676" i="3"/>
  <c r="R676" i="3"/>
  <c r="R947" i="3"/>
  <c r="S947" i="3"/>
  <c r="S1233" i="3"/>
  <c r="R1233" i="3"/>
  <c r="R1552" i="3"/>
  <c r="S1552" i="3"/>
  <c r="S770" i="3"/>
  <c r="R770" i="3"/>
  <c r="S1025" i="3"/>
  <c r="R1025" i="3"/>
  <c r="S1276" i="3"/>
  <c r="R1276" i="3"/>
  <c r="S1522" i="3"/>
  <c r="R1522" i="3"/>
  <c r="S1773" i="3"/>
  <c r="R1773" i="3"/>
  <c r="S2023" i="3"/>
  <c r="R2023" i="3"/>
  <c r="S2293" i="3"/>
  <c r="R2293" i="3"/>
  <c r="S2583" i="3"/>
  <c r="R2583" i="3"/>
  <c r="R3026" i="3"/>
  <c r="S3026" i="3"/>
  <c r="S1710" i="3"/>
  <c r="R1710" i="3"/>
  <c r="S1962" i="3"/>
  <c r="R1962" i="3"/>
  <c r="S2258" i="3"/>
  <c r="R2258" i="3"/>
  <c r="R2544" i="3"/>
  <c r="S2544" i="3"/>
  <c r="R2925" i="3"/>
  <c r="S2925" i="3"/>
  <c r="S1680" i="3"/>
  <c r="R1680" i="3"/>
  <c r="S1933" i="3"/>
  <c r="R1933" i="3"/>
  <c r="R2188" i="3"/>
  <c r="S2188" i="3"/>
  <c r="S2492" i="3"/>
  <c r="R2492" i="3"/>
  <c r="S2838" i="3"/>
  <c r="R2838" i="3"/>
  <c r="S1649" i="3"/>
  <c r="R1649" i="3"/>
  <c r="S1902" i="3"/>
  <c r="R1902" i="3"/>
  <c r="S2207" i="3"/>
  <c r="R2207" i="3"/>
  <c r="S2493" i="3"/>
  <c r="R2493" i="3"/>
  <c r="S2816" i="3"/>
  <c r="R2816" i="3"/>
  <c r="S1650" i="3"/>
  <c r="R1650" i="3"/>
  <c r="S1903" i="3"/>
  <c r="R1903" i="3"/>
  <c r="S2154" i="3"/>
  <c r="R2154" i="3"/>
  <c r="R2459" i="3"/>
  <c r="S2459" i="3"/>
  <c r="S2770" i="3"/>
  <c r="R2770" i="3"/>
  <c r="S878" i="3"/>
  <c r="R878" i="3"/>
  <c r="R1171" i="3"/>
  <c r="S1171" i="3"/>
  <c r="S1433" i="3"/>
  <c r="R1433" i="3"/>
  <c r="R1683" i="3"/>
  <c r="S1683" i="3"/>
  <c r="R1936" i="3"/>
  <c r="S1936" i="3"/>
  <c r="S2209" i="3"/>
  <c r="R2209" i="3"/>
  <c r="S2513" i="3"/>
  <c r="R2513" i="3"/>
  <c r="S2889" i="3"/>
  <c r="R2889" i="3"/>
  <c r="S1716" i="3"/>
  <c r="R1716" i="3"/>
  <c r="S1982" i="3"/>
  <c r="R1982" i="3"/>
  <c r="S2265" i="3"/>
  <c r="R2265" i="3"/>
  <c r="R2570" i="3"/>
  <c r="S2570" i="3"/>
  <c r="S3081" i="3"/>
  <c r="R3081" i="3"/>
  <c r="S2091" i="3"/>
  <c r="R2091" i="3"/>
  <c r="S2376" i="3"/>
  <c r="R2376" i="3"/>
  <c r="S2671" i="3"/>
  <c r="R2671" i="3"/>
  <c r="S1798" i="3"/>
  <c r="R1798" i="3"/>
  <c r="S2048" i="3"/>
  <c r="R2048" i="3"/>
  <c r="S2321" i="3"/>
  <c r="R2321" i="3"/>
  <c r="R2634" i="3"/>
  <c r="S2634" i="3"/>
  <c r="S1484" i="3"/>
  <c r="R1484" i="3"/>
  <c r="S1735" i="3"/>
  <c r="R1735" i="3"/>
  <c r="S1985" i="3"/>
  <c r="R1985" i="3"/>
  <c r="R2268" i="3"/>
  <c r="S2268" i="3"/>
  <c r="S2555" i="3"/>
  <c r="R2555" i="3"/>
  <c r="S2900" i="3"/>
  <c r="R2900" i="3"/>
  <c r="S1673" i="3"/>
  <c r="R1673" i="3"/>
  <c r="S1942" i="3"/>
  <c r="R1942" i="3"/>
  <c r="S2198" i="3"/>
  <c r="R2198" i="3"/>
  <c r="R2485" i="3"/>
  <c r="S2485" i="3"/>
  <c r="S2851" i="3"/>
  <c r="R2851" i="3"/>
  <c r="S1642" i="3"/>
  <c r="R1642" i="3"/>
  <c r="S1895" i="3"/>
  <c r="R1895" i="3"/>
  <c r="S2181" i="3"/>
  <c r="R2181" i="3"/>
  <c r="R2486" i="3"/>
  <c r="S2486" i="3"/>
  <c r="R2805" i="3"/>
  <c r="S2805" i="3"/>
  <c r="S1770" i="3"/>
  <c r="R1770" i="3"/>
  <c r="S2020" i="3"/>
  <c r="R2020" i="3"/>
  <c r="S2289" i="3"/>
  <c r="R2289" i="3"/>
  <c r="R2578" i="3"/>
  <c r="S2578" i="3"/>
  <c r="S3004" i="3"/>
  <c r="R3004" i="3"/>
  <c r="S1708" i="3"/>
  <c r="R1708" i="3"/>
  <c r="R1960" i="3"/>
  <c r="S1960" i="3"/>
  <c r="S2221" i="3"/>
  <c r="R2221" i="3"/>
  <c r="R2506" i="3"/>
  <c r="S2506" i="3"/>
  <c r="R2834" i="3"/>
  <c r="S2834" i="3"/>
  <c r="S2259" i="3"/>
  <c r="R2259" i="3"/>
  <c r="S2509" i="3"/>
  <c r="R2509" i="3"/>
  <c r="S2789" i="3"/>
  <c r="R2789" i="3"/>
  <c r="R3115" i="3"/>
  <c r="S3115" i="3"/>
  <c r="S3489" i="3"/>
  <c r="R3489" i="3"/>
  <c r="R3013" i="3"/>
  <c r="S3013" i="3"/>
  <c r="S3368" i="3"/>
  <c r="R3368" i="3"/>
  <c r="S3924" i="3"/>
  <c r="R3924" i="3"/>
  <c r="R3222" i="3"/>
  <c r="S3222" i="3"/>
  <c r="S3672" i="3"/>
  <c r="R3672" i="3"/>
  <c r="S3076" i="3"/>
  <c r="R3076" i="3"/>
  <c r="S3468" i="3"/>
  <c r="R3468" i="3"/>
  <c r="S2976" i="3"/>
  <c r="R2976" i="3"/>
  <c r="S3324" i="3"/>
  <c r="R3324" i="3"/>
  <c r="S3843" i="3"/>
  <c r="R3843" i="3"/>
  <c r="S2327" i="3"/>
  <c r="R2327" i="3"/>
  <c r="S2579" i="3"/>
  <c r="R2579" i="3"/>
  <c r="R2898" i="3"/>
  <c r="S2898" i="3"/>
  <c r="R3227" i="3"/>
  <c r="S3227" i="3"/>
  <c r="S3681" i="3"/>
  <c r="R3681" i="3"/>
  <c r="S3682" i="3"/>
  <c r="R3682" i="3"/>
  <c r="R3103" i="3"/>
  <c r="S3103" i="3"/>
  <c r="S3501" i="3"/>
  <c r="R3501" i="3"/>
  <c r="R3002" i="3"/>
  <c r="S3002" i="3"/>
  <c r="R3403" i="3"/>
  <c r="S3403" i="3"/>
  <c r="S2924" i="3"/>
  <c r="R2924" i="3"/>
  <c r="S3255" i="3"/>
  <c r="R3255" i="3"/>
  <c r="S3729" i="3"/>
  <c r="R3729" i="3"/>
  <c r="R3307" i="3"/>
  <c r="S3307" i="3"/>
  <c r="S3904" i="3"/>
  <c r="R3904" i="3"/>
  <c r="R3189" i="3"/>
  <c r="S3189" i="3"/>
  <c r="S3657" i="3"/>
  <c r="R3657" i="3"/>
  <c r="S3067" i="3"/>
  <c r="R3067" i="3"/>
  <c r="S3484" i="3"/>
  <c r="R3484" i="3"/>
  <c r="R2967" i="3"/>
  <c r="S2967" i="3"/>
  <c r="S3338" i="3"/>
  <c r="R3338" i="3"/>
  <c r="S3866" i="3"/>
  <c r="R3866" i="3"/>
  <c r="S3871" i="3"/>
  <c r="R3871" i="3"/>
  <c r="R3174" i="3"/>
  <c r="S3174" i="3"/>
  <c r="S3707" i="3"/>
  <c r="R3707" i="3"/>
  <c r="S2696" i="3"/>
  <c r="R2696" i="3"/>
  <c r="S2971" i="3"/>
  <c r="R2971" i="3"/>
  <c r="S3258" i="3"/>
  <c r="R3258" i="3"/>
  <c r="S3577" i="3"/>
  <c r="R3577" i="3"/>
  <c r="S3889" i="3"/>
  <c r="R3889" i="3"/>
  <c r="S4028" i="3"/>
  <c r="R4028" i="3"/>
  <c r="S3445" i="3"/>
  <c r="R3445" i="3"/>
  <c r="S3755" i="3"/>
  <c r="R3755" i="3"/>
  <c r="S4068" i="3"/>
  <c r="R4068" i="3"/>
  <c r="S3834" i="3"/>
  <c r="R3834" i="3"/>
  <c r="S3601" i="3"/>
  <c r="R3601" i="3"/>
  <c r="S3914" i="3"/>
  <c r="R3914" i="3"/>
  <c r="S4015" i="3"/>
  <c r="R4015" i="3"/>
  <c r="R2642" i="3"/>
  <c r="S2642" i="3"/>
  <c r="R2911" i="3"/>
  <c r="S2911" i="3"/>
  <c r="R3230" i="3"/>
  <c r="S3230" i="3"/>
  <c r="S3547" i="3"/>
  <c r="R3547" i="3"/>
  <c r="S3859" i="3"/>
  <c r="R3859" i="3"/>
  <c r="S3606" i="3"/>
  <c r="R3606" i="3"/>
  <c r="S3920" i="3"/>
  <c r="R3920" i="3"/>
  <c r="S3666" i="3"/>
  <c r="R3666" i="3"/>
  <c r="S3980" i="3"/>
  <c r="R3980" i="3"/>
  <c r="S4081" i="3"/>
  <c r="R4081" i="3"/>
  <c r="S3966" i="3"/>
  <c r="R3966" i="3"/>
  <c r="S3388" i="3"/>
  <c r="R3388" i="3"/>
  <c r="S3692" i="3"/>
  <c r="R3692" i="3"/>
  <c r="S4007" i="3"/>
  <c r="R4007" i="3"/>
  <c r="S2945" i="3"/>
  <c r="R2945" i="3"/>
  <c r="R3194" i="3"/>
  <c r="S3194" i="3"/>
  <c r="S3464" i="3"/>
  <c r="R3464" i="3"/>
  <c r="R3718" i="3"/>
  <c r="S3718" i="3"/>
  <c r="S3973" i="3"/>
  <c r="R3973" i="3"/>
  <c r="S3332" i="3"/>
  <c r="R3332" i="3"/>
  <c r="S3624" i="3"/>
  <c r="R3624" i="3"/>
  <c r="S3878" i="3"/>
  <c r="R3878" i="3"/>
  <c r="S4089" i="3"/>
  <c r="R4089" i="3"/>
  <c r="S3000" i="3"/>
  <c r="R3000" i="3"/>
  <c r="S3248" i="3"/>
  <c r="R3248" i="3"/>
  <c r="S3487" i="3"/>
  <c r="R3487" i="3"/>
  <c r="R3742" i="3"/>
  <c r="S3742" i="3"/>
  <c r="S3997" i="3"/>
  <c r="R3997" i="3"/>
  <c r="S80" i="3"/>
  <c r="R80" i="3"/>
  <c r="S170" i="3"/>
  <c r="R170" i="3"/>
  <c r="R201" i="3"/>
  <c r="S201" i="3"/>
  <c r="R241" i="3"/>
  <c r="S241" i="3"/>
  <c r="S206" i="3"/>
  <c r="R206" i="3"/>
  <c r="S912" i="3"/>
  <c r="R912" i="3"/>
  <c r="S94" i="3"/>
  <c r="R94" i="3"/>
  <c r="S1160" i="3"/>
  <c r="R1160" i="3"/>
  <c r="S1035" i="3"/>
  <c r="R1035" i="3"/>
  <c r="R225" i="3"/>
  <c r="S225" i="3"/>
  <c r="S228" i="3"/>
  <c r="R228" i="3"/>
  <c r="S1080" i="3"/>
  <c r="R1080" i="3"/>
  <c r="S122" i="3"/>
  <c r="R122" i="3"/>
  <c r="R249" i="3"/>
  <c r="S249" i="3"/>
  <c r="S973" i="3"/>
  <c r="R973" i="3"/>
  <c r="S44" i="3"/>
  <c r="R44" i="3"/>
  <c r="S551" i="3"/>
  <c r="R551" i="3"/>
  <c r="S812" i="3"/>
  <c r="R812" i="3"/>
  <c r="R1390" i="3"/>
  <c r="S1390" i="3"/>
  <c r="S2382" i="3"/>
  <c r="R2382" i="3"/>
  <c r="S507" i="3"/>
  <c r="R507" i="3"/>
  <c r="S763" i="3"/>
  <c r="R763" i="3"/>
  <c r="S1055" i="3"/>
  <c r="R1055" i="3"/>
  <c r="R1341" i="3"/>
  <c r="S1341" i="3"/>
  <c r="S2104" i="3"/>
  <c r="R2104" i="3"/>
  <c r="S460" i="3"/>
  <c r="R460" i="3"/>
  <c r="S711" i="3"/>
  <c r="R711" i="3"/>
  <c r="S987" i="3"/>
  <c r="R987" i="3"/>
  <c r="R1272" i="3"/>
  <c r="S1272" i="3"/>
  <c r="S1652" i="3"/>
  <c r="R1652" i="3"/>
  <c r="S397" i="3"/>
  <c r="R397" i="3"/>
  <c r="R648" i="3"/>
  <c r="S648" i="3"/>
  <c r="S935" i="3"/>
  <c r="R935" i="3"/>
  <c r="R1255" i="3"/>
  <c r="S1255" i="3"/>
  <c r="S1654" i="3"/>
  <c r="R1654" i="3"/>
  <c r="S382" i="3"/>
  <c r="R382" i="3"/>
  <c r="S649" i="3"/>
  <c r="R649" i="3"/>
  <c r="S919" i="3"/>
  <c r="R919" i="3"/>
  <c r="R1203" i="3"/>
  <c r="S1203" i="3"/>
  <c r="S1496" i="3"/>
  <c r="R1496" i="3"/>
  <c r="R65" i="3"/>
  <c r="S65" i="3"/>
  <c r="S319" i="3"/>
  <c r="R319" i="3"/>
  <c r="S571" i="3"/>
  <c r="R571" i="3"/>
  <c r="S835" i="3"/>
  <c r="R835" i="3"/>
  <c r="S1131" i="3"/>
  <c r="R1131" i="3"/>
  <c r="R1414" i="3"/>
  <c r="S1414" i="3"/>
  <c r="S2569" i="3"/>
  <c r="R2569" i="3"/>
  <c r="R369" i="3"/>
  <c r="S369" i="3"/>
  <c r="S636" i="3"/>
  <c r="R636" i="3"/>
  <c r="S922" i="3"/>
  <c r="R922" i="3"/>
  <c r="S1224" i="3"/>
  <c r="R1224" i="3"/>
  <c r="S1575" i="3"/>
  <c r="R1575" i="3"/>
  <c r="S354" i="3"/>
  <c r="R354" i="3"/>
  <c r="S606" i="3"/>
  <c r="R606" i="3"/>
  <c r="S890" i="3"/>
  <c r="R890" i="3"/>
  <c r="R1172" i="3"/>
  <c r="S1172" i="3"/>
  <c r="R1503" i="3"/>
  <c r="S1503" i="3"/>
  <c r="S323" i="3"/>
  <c r="R323" i="3"/>
  <c r="S575" i="3"/>
  <c r="R575" i="3"/>
  <c r="S839" i="3"/>
  <c r="R839" i="3"/>
  <c r="S1136" i="3"/>
  <c r="R1136" i="3"/>
  <c r="S1436" i="3"/>
  <c r="R1436" i="3"/>
  <c r="S292" i="3"/>
  <c r="R292" i="3"/>
  <c r="R545" i="3"/>
  <c r="S545" i="3"/>
  <c r="S807" i="3"/>
  <c r="R807" i="3"/>
  <c r="R1084" i="3"/>
  <c r="S1084" i="3"/>
  <c r="S1402" i="3"/>
  <c r="R1402" i="3"/>
  <c r="S2471" i="3"/>
  <c r="R2471" i="3"/>
  <c r="S501" i="3"/>
  <c r="R501" i="3"/>
  <c r="S756" i="3"/>
  <c r="R756" i="3"/>
  <c r="S1032" i="3"/>
  <c r="R1032" i="3"/>
  <c r="R1319" i="3"/>
  <c r="S1319" i="3"/>
  <c r="S1937" i="3"/>
  <c r="R1937" i="3"/>
  <c r="S438" i="3"/>
  <c r="R438" i="3"/>
  <c r="S705" i="3"/>
  <c r="R705" i="3"/>
  <c r="R980" i="3"/>
  <c r="S980" i="3"/>
  <c r="S1284" i="3"/>
  <c r="R1284" i="3"/>
  <c r="S1687" i="3"/>
  <c r="R1687" i="3"/>
  <c r="S391" i="3"/>
  <c r="R391" i="3"/>
  <c r="S658" i="3"/>
  <c r="R658" i="3"/>
  <c r="S928" i="3"/>
  <c r="R928" i="3"/>
  <c r="R1212" i="3"/>
  <c r="S1212" i="3"/>
  <c r="R1550" i="3"/>
  <c r="S1550" i="3"/>
  <c r="S1959" i="3"/>
  <c r="R1959" i="3"/>
  <c r="R441" i="3"/>
  <c r="S441" i="3"/>
  <c r="S692" i="3"/>
  <c r="R692" i="3"/>
  <c r="S965" i="3"/>
  <c r="R965" i="3"/>
  <c r="S1251" i="3"/>
  <c r="R1251" i="3"/>
  <c r="R1592" i="3"/>
  <c r="S1592" i="3"/>
  <c r="S785" i="3"/>
  <c r="R785" i="3"/>
  <c r="S1040" i="3"/>
  <c r="R1040" i="3"/>
  <c r="S1292" i="3"/>
  <c r="R1292" i="3"/>
  <c r="S1537" i="3"/>
  <c r="R1537" i="3"/>
  <c r="S1789" i="3"/>
  <c r="R1789" i="3"/>
  <c r="S2039" i="3"/>
  <c r="R2039" i="3"/>
  <c r="S2312" i="3"/>
  <c r="R2312" i="3"/>
  <c r="S2601" i="3"/>
  <c r="R2601" i="3"/>
  <c r="S3173" i="3"/>
  <c r="R3173" i="3"/>
  <c r="S1726" i="3"/>
  <c r="R1726" i="3"/>
  <c r="S1977" i="3"/>
  <c r="R1977" i="3"/>
  <c r="R2276" i="3"/>
  <c r="S2276" i="3"/>
  <c r="S2565" i="3"/>
  <c r="R2565" i="3"/>
  <c r="S3030" i="3"/>
  <c r="R3030" i="3"/>
  <c r="S1695" i="3"/>
  <c r="R1695" i="3"/>
  <c r="S1949" i="3"/>
  <c r="R1949" i="3"/>
  <c r="S2206" i="3"/>
  <c r="R2206" i="3"/>
  <c r="S2510" i="3"/>
  <c r="R2510" i="3"/>
  <c r="S2862" i="3"/>
  <c r="R2862" i="3"/>
  <c r="S1665" i="3"/>
  <c r="R1665" i="3"/>
  <c r="S1918" i="3"/>
  <c r="R1918" i="3"/>
  <c r="R2225" i="3"/>
  <c r="S2225" i="3"/>
  <c r="S2511" i="3"/>
  <c r="R2511" i="3"/>
  <c r="S2841" i="3"/>
  <c r="R2841" i="3"/>
  <c r="S1666" i="3"/>
  <c r="R1666" i="3"/>
  <c r="S1919" i="3"/>
  <c r="R1919" i="3"/>
  <c r="R2172" i="3"/>
  <c r="S2172" i="3"/>
  <c r="S2477" i="3"/>
  <c r="R2477" i="3"/>
  <c r="S2793" i="3"/>
  <c r="R2793" i="3"/>
  <c r="S894" i="3"/>
  <c r="R894" i="3"/>
  <c r="S1186" i="3"/>
  <c r="R1186" i="3"/>
  <c r="R1447" i="3"/>
  <c r="S1447" i="3"/>
  <c r="S1698" i="3"/>
  <c r="R1698" i="3"/>
  <c r="S1965" i="3"/>
  <c r="R1965" i="3"/>
  <c r="S2227" i="3"/>
  <c r="R2227" i="3"/>
  <c r="S2531" i="3"/>
  <c r="R2531" i="3"/>
  <c r="S2948" i="3"/>
  <c r="R2948" i="3"/>
  <c r="S1732" i="3"/>
  <c r="R1732" i="3"/>
  <c r="S1998" i="3"/>
  <c r="R1998" i="3"/>
  <c r="S2283" i="3"/>
  <c r="R2283" i="3"/>
  <c r="S2590" i="3"/>
  <c r="R2590" i="3"/>
  <c r="S3252" i="3"/>
  <c r="R3252" i="3"/>
  <c r="S2106" i="3"/>
  <c r="R2106" i="3"/>
  <c r="S2394" i="3"/>
  <c r="R2394" i="3"/>
  <c r="R2692" i="3"/>
  <c r="S2692" i="3"/>
  <c r="S1813" i="3"/>
  <c r="R1813" i="3"/>
  <c r="S2063" i="3"/>
  <c r="R2063" i="3"/>
  <c r="R2340" i="3"/>
  <c r="S2340" i="3"/>
  <c r="S2652" i="3"/>
  <c r="R2652" i="3"/>
  <c r="S1500" i="3"/>
  <c r="R1500" i="3"/>
  <c r="S1751" i="3"/>
  <c r="R1751" i="3"/>
  <c r="S2001" i="3"/>
  <c r="R2001" i="3"/>
  <c r="S2286" i="3"/>
  <c r="R2286" i="3"/>
  <c r="S2575" i="3"/>
  <c r="R2575" i="3"/>
  <c r="S2984" i="3"/>
  <c r="R2984" i="3"/>
  <c r="S1689" i="3"/>
  <c r="R1689" i="3"/>
  <c r="S1956" i="3"/>
  <c r="R1956" i="3"/>
  <c r="S2216" i="3"/>
  <c r="R2216" i="3"/>
  <c r="S2502" i="3"/>
  <c r="R2502" i="3"/>
  <c r="R2874" i="3"/>
  <c r="S2874" i="3"/>
  <c r="S1658" i="3"/>
  <c r="R1658" i="3"/>
  <c r="S1911" i="3"/>
  <c r="R1911" i="3"/>
  <c r="S2199" i="3"/>
  <c r="R2199" i="3"/>
  <c r="S2503" i="3"/>
  <c r="R2503" i="3"/>
  <c r="S2828" i="3"/>
  <c r="R2828" i="3"/>
  <c r="S1786" i="3"/>
  <c r="R1786" i="3"/>
  <c r="R2036" i="3"/>
  <c r="S2036" i="3"/>
  <c r="R2308" i="3"/>
  <c r="S2308" i="3"/>
  <c r="S2598" i="3"/>
  <c r="R2598" i="3"/>
  <c r="S3144" i="3"/>
  <c r="R3144" i="3"/>
  <c r="S1724" i="3"/>
  <c r="R1724" i="3"/>
  <c r="S1975" i="3"/>
  <c r="R1975" i="3"/>
  <c r="S2239" i="3"/>
  <c r="R2239" i="3"/>
  <c r="S2523" i="3"/>
  <c r="R2523" i="3"/>
  <c r="S2857" i="3"/>
  <c r="R2857" i="3"/>
  <c r="S2274" i="3"/>
  <c r="R2274" i="3"/>
  <c r="S2524" i="3"/>
  <c r="R2524" i="3"/>
  <c r="R2810" i="3"/>
  <c r="S2810" i="3"/>
  <c r="R3136" i="3"/>
  <c r="S3136" i="3"/>
  <c r="S3514" i="3"/>
  <c r="R3514" i="3"/>
  <c r="S3035" i="3"/>
  <c r="R3035" i="3"/>
  <c r="R3395" i="3"/>
  <c r="S3395" i="3"/>
  <c r="R2895" i="3"/>
  <c r="S2895" i="3"/>
  <c r="R3246" i="3"/>
  <c r="S3246" i="3"/>
  <c r="S3711" i="3"/>
  <c r="R3711" i="3"/>
  <c r="R3098" i="3"/>
  <c r="S3098" i="3"/>
  <c r="S3492" i="3"/>
  <c r="R3492" i="3"/>
  <c r="S2996" i="3"/>
  <c r="R2996" i="3"/>
  <c r="S3349" i="3"/>
  <c r="R3349" i="3"/>
  <c r="S3886" i="3"/>
  <c r="R3886" i="3"/>
  <c r="S2343" i="3"/>
  <c r="R2343" i="3"/>
  <c r="S2614" i="3"/>
  <c r="R2614" i="3"/>
  <c r="R2919" i="3"/>
  <c r="S2919" i="3"/>
  <c r="R3251" i="3"/>
  <c r="S3251" i="3"/>
  <c r="S3721" i="3"/>
  <c r="R3721" i="3"/>
  <c r="S3722" i="3"/>
  <c r="R3722" i="3"/>
  <c r="R3124" i="3"/>
  <c r="S3124" i="3"/>
  <c r="R3531" i="3"/>
  <c r="S3531" i="3"/>
  <c r="S3022" i="3"/>
  <c r="R3022" i="3"/>
  <c r="S3431" i="3"/>
  <c r="R3431" i="3"/>
  <c r="S2942" i="3"/>
  <c r="R2942" i="3"/>
  <c r="S3280" i="3"/>
  <c r="R3280" i="3"/>
  <c r="S3769" i="3"/>
  <c r="R3769" i="3"/>
  <c r="R3334" i="3"/>
  <c r="S3334" i="3"/>
  <c r="S3956" i="3"/>
  <c r="R3956" i="3"/>
  <c r="S3209" i="3"/>
  <c r="R3209" i="3"/>
  <c r="S3695" i="3"/>
  <c r="R3695" i="3"/>
  <c r="S3089" i="3"/>
  <c r="R3089" i="3"/>
  <c r="S3508" i="3"/>
  <c r="R3508" i="3"/>
  <c r="R2987" i="3"/>
  <c r="S2987" i="3"/>
  <c r="S3364" i="3"/>
  <c r="R3364" i="3"/>
  <c r="S3916" i="3"/>
  <c r="R3916" i="3"/>
  <c r="S3918" i="3"/>
  <c r="R3918" i="3"/>
  <c r="S3216" i="3"/>
  <c r="R3216" i="3"/>
  <c r="S3746" i="3"/>
  <c r="R3746" i="3"/>
  <c r="S2712" i="3"/>
  <c r="R2712" i="3"/>
  <c r="S2988" i="3"/>
  <c r="R2988" i="3"/>
  <c r="R3275" i="3"/>
  <c r="S3275" i="3"/>
  <c r="S3596" i="3"/>
  <c r="R3596" i="3"/>
  <c r="S3908" i="3"/>
  <c r="R3908" i="3"/>
  <c r="S4048" i="3"/>
  <c r="R4048" i="3"/>
  <c r="S3461" i="3"/>
  <c r="R3461" i="3"/>
  <c r="S3775" i="3"/>
  <c r="R3775" i="3"/>
  <c r="R3521" i="3"/>
  <c r="S3521" i="3"/>
  <c r="S3854" i="3"/>
  <c r="R3854" i="3"/>
  <c r="S3620" i="3"/>
  <c r="R3620" i="3"/>
  <c r="S3934" i="3"/>
  <c r="R3934" i="3"/>
  <c r="S4034" i="3"/>
  <c r="R4034" i="3"/>
  <c r="R2656" i="3"/>
  <c r="S2656" i="3"/>
  <c r="R2962" i="3"/>
  <c r="S2962" i="3"/>
  <c r="S3249" i="3"/>
  <c r="R3249" i="3"/>
  <c r="S3566" i="3"/>
  <c r="R3566" i="3"/>
  <c r="S3880" i="3"/>
  <c r="R3880" i="3"/>
  <c r="S3627" i="3"/>
  <c r="R3627" i="3"/>
  <c r="S3939" i="3"/>
  <c r="R3939" i="3"/>
  <c r="S3685" i="3"/>
  <c r="R3685" i="3"/>
  <c r="S4000" i="3"/>
  <c r="R4000" i="3"/>
  <c r="S3984" i="3"/>
  <c r="R3984" i="3"/>
  <c r="R3985" i="3"/>
  <c r="S3985" i="3"/>
  <c r="S3405" i="3"/>
  <c r="R3405" i="3"/>
  <c r="S3712" i="3"/>
  <c r="R3712" i="3"/>
  <c r="S4026" i="3"/>
  <c r="R4026" i="3"/>
  <c r="S2961" i="3"/>
  <c r="R2961" i="3"/>
  <c r="S3210" i="3"/>
  <c r="R3210" i="3"/>
  <c r="S3480" i="3"/>
  <c r="R3480" i="3"/>
  <c r="R3734" i="3"/>
  <c r="S3734" i="3"/>
  <c r="S3989" i="3"/>
  <c r="R3989" i="3"/>
  <c r="S3348" i="3"/>
  <c r="R3348" i="3"/>
  <c r="S3640" i="3"/>
  <c r="R3640" i="3"/>
  <c r="S3894" i="3"/>
  <c r="R3894" i="3"/>
  <c r="S4090" i="3"/>
  <c r="R4090" i="3"/>
  <c r="S3016" i="3"/>
  <c r="R3016" i="3"/>
  <c r="S3263" i="3"/>
  <c r="R3263" i="3"/>
  <c r="S3503" i="3"/>
  <c r="R3503" i="3"/>
  <c r="R3758" i="3"/>
  <c r="S3758" i="3"/>
  <c r="S4013" i="3"/>
  <c r="R4013" i="3"/>
  <c r="R643" i="3"/>
  <c r="S643" i="3"/>
  <c r="S456" i="3"/>
  <c r="R456" i="3"/>
  <c r="S75" i="3"/>
  <c r="R75" i="3"/>
  <c r="S78" i="3"/>
  <c r="R78" i="3"/>
  <c r="S163" i="3"/>
  <c r="R163" i="3"/>
  <c r="S261" i="3"/>
  <c r="R261" i="3"/>
  <c r="S237" i="3"/>
  <c r="R237" i="3"/>
  <c r="S220" i="3"/>
  <c r="R220" i="3"/>
  <c r="S258" i="3"/>
  <c r="R258" i="3"/>
  <c r="S96" i="3"/>
  <c r="R96" i="3"/>
  <c r="S100" i="3"/>
  <c r="R100" i="3"/>
  <c r="S1062" i="3"/>
  <c r="R1062" i="3"/>
  <c r="S84" i="3"/>
  <c r="R84" i="3"/>
  <c r="S247" i="3"/>
  <c r="R247" i="3"/>
  <c r="S1241" i="3"/>
  <c r="R1241" i="3"/>
  <c r="S88" i="3"/>
  <c r="R88" i="3"/>
  <c r="R217" i="3"/>
  <c r="S217" i="3"/>
  <c r="S298" i="3"/>
  <c r="R298" i="3"/>
  <c r="R1108" i="3"/>
  <c r="S1108" i="3"/>
  <c r="S56" i="3"/>
  <c r="R56" i="3"/>
  <c r="S126" i="3"/>
  <c r="R126" i="3"/>
  <c r="S845" i="3"/>
  <c r="R845" i="3"/>
  <c r="S254" i="3"/>
  <c r="R254" i="3"/>
  <c r="S238" i="3"/>
  <c r="R238" i="3"/>
  <c r="S112" i="3"/>
  <c r="R112" i="3"/>
  <c r="S1304" i="3"/>
  <c r="R1304" i="3"/>
  <c r="S276" i="3"/>
  <c r="R276" i="3"/>
  <c r="S115" i="3"/>
  <c r="R115" i="3"/>
  <c r="S1177" i="3"/>
  <c r="R1177" i="3"/>
  <c r="S260" i="3"/>
  <c r="R260" i="3"/>
  <c r="S118" i="3"/>
  <c r="R118" i="3"/>
  <c r="S1205" i="3"/>
  <c r="R1205" i="3"/>
  <c r="S245" i="3"/>
  <c r="R245" i="3"/>
  <c r="S102" i="3"/>
  <c r="R102" i="3"/>
  <c r="S1223" i="3"/>
  <c r="R1223" i="3"/>
  <c r="R265" i="3"/>
  <c r="S265" i="3"/>
  <c r="S141" i="3"/>
  <c r="R141" i="3"/>
  <c r="S1380" i="3"/>
  <c r="R1380" i="3"/>
  <c r="S268" i="3"/>
  <c r="R268" i="3"/>
  <c r="S106" i="3"/>
  <c r="R106" i="3"/>
  <c r="S1114" i="3"/>
  <c r="R1114" i="3"/>
  <c r="S236" i="3"/>
  <c r="R236" i="3"/>
  <c r="S60" i="3"/>
  <c r="R60" i="3"/>
  <c r="S314" i="3"/>
  <c r="R314" i="3"/>
  <c r="S566" i="3"/>
  <c r="R566" i="3"/>
  <c r="S829" i="3"/>
  <c r="R829" i="3"/>
  <c r="S1126" i="3"/>
  <c r="R1126" i="3"/>
  <c r="S1408" i="3"/>
  <c r="R1408" i="3"/>
  <c r="R2522" i="3"/>
  <c r="S2522" i="3"/>
  <c r="S523" i="3"/>
  <c r="R523" i="3"/>
  <c r="S780" i="3"/>
  <c r="R780" i="3"/>
  <c r="S1074" i="3"/>
  <c r="R1074" i="3"/>
  <c r="R1359" i="3"/>
  <c r="S1359" i="3"/>
  <c r="S2246" i="3"/>
  <c r="R2246" i="3"/>
  <c r="S476" i="3"/>
  <c r="R476" i="3"/>
  <c r="S729" i="3"/>
  <c r="R729" i="3"/>
  <c r="R1004" i="3"/>
  <c r="S1004" i="3"/>
  <c r="S1290" i="3"/>
  <c r="R1290" i="3"/>
  <c r="S1715" i="3"/>
  <c r="R1715" i="3"/>
  <c r="S413" i="3"/>
  <c r="R413" i="3"/>
  <c r="R664" i="3"/>
  <c r="S664" i="3"/>
  <c r="S952" i="3"/>
  <c r="R952" i="3"/>
  <c r="S1273" i="3"/>
  <c r="R1273" i="3"/>
  <c r="S1717" i="3"/>
  <c r="R1717" i="3"/>
  <c r="S398" i="3"/>
  <c r="R398" i="3"/>
  <c r="S665" i="3"/>
  <c r="R665" i="3"/>
  <c r="S936" i="3"/>
  <c r="R936" i="3"/>
  <c r="S1221" i="3"/>
  <c r="R1221" i="3"/>
  <c r="S1530" i="3"/>
  <c r="R1530" i="3"/>
  <c r="R81" i="3"/>
  <c r="S81" i="3"/>
  <c r="S335" i="3"/>
  <c r="R335" i="3"/>
  <c r="S587" i="3"/>
  <c r="R587" i="3"/>
  <c r="S869" i="3"/>
  <c r="R869" i="3"/>
  <c r="S1149" i="3"/>
  <c r="R1149" i="3"/>
  <c r="S1432" i="3"/>
  <c r="R1432" i="3"/>
  <c r="S2731" i="3"/>
  <c r="R2731" i="3"/>
  <c r="R385" i="3"/>
  <c r="S385" i="3"/>
  <c r="S652" i="3"/>
  <c r="R652" i="3"/>
  <c r="R940" i="3"/>
  <c r="S940" i="3"/>
  <c r="S1242" i="3"/>
  <c r="R1242" i="3"/>
  <c r="R1613" i="3"/>
  <c r="S1613" i="3"/>
  <c r="S370" i="3"/>
  <c r="R370" i="3"/>
  <c r="S621" i="3"/>
  <c r="R621" i="3"/>
  <c r="S906" i="3"/>
  <c r="R906" i="3"/>
  <c r="S1189" i="3"/>
  <c r="R1189" i="3"/>
  <c r="S1536" i="3"/>
  <c r="R1536" i="3"/>
  <c r="S339" i="3"/>
  <c r="R339" i="3"/>
  <c r="S591" i="3"/>
  <c r="R591" i="3"/>
  <c r="S855" i="3"/>
  <c r="R855" i="3"/>
  <c r="S1154" i="3"/>
  <c r="R1154" i="3"/>
  <c r="R1453" i="3"/>
  <c r="S1453" i="3"/>
  <c r="S308" i="3"/>
  <c r="R308" i="3"/>
  <c r="R561" i="3"/>
  <c r="S561" i="3"/>
  <c r="S823" i="3"/>
  <c r="R823" i="3"/>
  <c r="S1119" i="3"/>
  <c r="R1119" i="3"/>
  <c r="S1420" i="3"/>
  <c r="R1420" i="3"/>
  <c r="S2620" i="3"/>
  <c r="R2620" i="3"/>
  <c r="S517" i="3"/>
  <c r="R517" i="3"/>
  <c r="S773" i="3"/>
  <c r="R773" i="3"/>
  <c r="S1049" i="3"/>
  <c r="R1049" i="3"/>
  <c r="R1334" i="3"/>
  <c r="S1334" i="3"/>
  <c r="R2060" i="3"/>
  <c r="S2060" i="3"/>
  <c r="S454" i="3"/>
  <c r="R454" i="3"/>
  <c r="S721" i="3"/>
  <c r="R721" i="3"/>
  <c r="S997" i="3"/>
  <c r="R997" i="3"/>
  <c r="R1302" i="3"/>
  <c r="S1302" i="3"/>
  <c r="S1750" i="3"/>
  <c r="R1750" i="3"/>
  <c r="S407" i="3"/>
  <c r="R407" i="3"/>
  <c r="S674" i="3"/>
  <c r="R674" i="3"/>
  <c r="S946" i="3"/>
  <c r="R946" i="3"/>
  <c r="S1231" i="3"/>
  <c r="R1231" i="3"/>
  <c r="S1584" i="3"/>
  <c r="R1584" i="3"/>
  <c r="R2082" i="3"/>
  <c r="S2082" i="3"/>
  <c r="R457" i="3"/>
  <c r="S457" i="3"/>
  <c r="S708" i="3"/>
  <c r="R708" i="3"/>
  <c r="S983" i="3"/>
  <c r="R983" i="3"/>
  <c r="R1269" i="3"/>
  <c r="S1269" i="3"/>
  <c r="S1638" i="3"/>
  <c r="R1638" i="3"/>
  <c r="S799" i="3"/>
  <c r="R799" i="3"/>
  <c r="S1056" i="3"/>
  <c r="R1056" i="3"/>
  <c r="S1308" i="3"/>
  <c r="R1308" i="3"/>
  <c r="S1553" i="3"/>
  <c r="R1553" i="3"/>
  <c r="S1805" i="3"/>
  <c r="R1805" i="3"/>
  <c r="S2055" i="3"/>
  <c r="R2055" i="3"/>
  <c r="S2330" i="3"/>
  <c r="R2330" i="3"/>
  <c r="S2622" i="3"/>
  <c r="R2622" i="3"/>
  <c r="R1475" i="3"/>
  <c r="S1475" i="3"/>
  <c r="S1742" i="3"/>
  <c r="R1742" i="3"/>
  <c r="S1992" i="3"/>
  <c r="R1992" i="3"/>
  <c r="S2294" i="3"/>
  <c r="R2294" i="3"/>
  <c r="R2584" i="3"/>
  <c r="S2584" i="3"/>
  <c r="R3182" i="3"/>
  <c r="S3182" i="3"/>
  <c r="S1711" i="3"/>
  <c r="R1711" i="3"/>
  <c r="S1963" i="3"/>
  <c r="R1963" i="3"/>
  <c r="S2224" i="3"/>
  <c r="R2224" i="3"/>
  <c r="S2527" i="3"/>
  <c r="R2527" i="3"/>
  <c r="S2884" i="3"/>
  <c r="R2884" i="3"/>
  <c r="S1681" i="3"/>
  <c r="R1681" i="3"/>
  <c r="S1934" i="3"/>
  <c r="R1934" i="3"/>
  <c r="S2243" i="3"/>
  <c r="R2243" i="3"/>
  <c r="R2528" i="3"/>
  <c r="S2528" i="3"/>
  <c r="S2864" i="3"/>
  <c r="R2864" i="3"/>
  <c r="S1682" i="3"/>
  <c r="R1682" i="3"/>
  <c r="S1935" i="3"/>
  <c r="R1935" i="3"/>
  <c r="S2190" i="3"/>
  <c r="R2190" i="3"/>
  <c r="R2495" i="3"/>
  <c r="S2495" i="3"/>
  <c r="S2818" i="3"/>
  <c r="R2818" i="3"/>
  <c r="S938" i="3"/>
  <c r="R938" i="3"/>
  <c r="S1202" i="3"/>
  <c r="R1202" i="3"/>
  <c r="R1463" i="3"/>
  <c r="S1463" i="3"/>
  <c r="S1714" i="3"/>
  <c r="R1714" i="3"/>
  <c r="S1981" i="3"/>
  <c r="R1981" i="3"/>
  <c r="S2262" i="3"/>
  <c r="R2262" i="3"/>
  <c r="R2549" i="3"/>
  <c r="S2549" i="3"/>
  <c r="R3061" i="3"/>
  <c r="S3061" i="3"/>
  <c r="S1748" i="3"/>
  <c r="R1748" i="3"/>
  <c r="S2014" i="3"/>
  <c r="R2014" i="3"/>
  <c r="S2301" i="3"/>
  <c r="R2301" i="3"/>
  <c r="R2610" i="3"/>
  <c r="S2610" i="3"/>
  <c r="S1876" i="3"/>
  <c r="R1876" i="3"/>
  <c r="S2123" i="3"/>
  <c r="R2123" i="3"/>
  <c r="S2412" i="3"/>
  <c r="R2412" i="3"/>
  <c r="S2713" i="3"/>
  <c r="R2713" i="3"/>
  <c r="S1829" i="3"/>
  <c r="R1829" i="3"/>
  <c r="S2077" i="3"/>
  <c r="R2077" i="3"/>
  <c r="S2358" i="3"/>
  <c r="R2358" i="3"/>
  <c r="S2673" i="3"/>
  <c r="R2673" i="3"/>
  <c r="S1516" i="3"/>
  <c r="R1516" i="3"/>
  <c r="S1767" i="3"/>
  <c r="R1767" i="3"/>
  <c r="R2017" i="3"/>
  <c r="S2017" i="3"/>
  <c r="S2304" i="3"/>
  <c r="R2304" i="3"/>
  <c r="R2594" i="3"/>
  <c r="S2594" i="3"/>
  <c r="R3112" i="3"/>
  <c r="S3112" i="3"/>
  <c r="S1704" i="3"/>
  <c r="R1704" i="3"/>
  <c r="S1971" i="3"/>
  <c r="R1971" i="3"/>
  <c r="S2235" i="3"/>
  <c r="R2235" i="3"/>
  <c r="S2537" i="3"/>
  <c r="R2537" i="3"/>
  <c r="R2903" i="3"/>
  <c r="S2903" i="3"/>
  <c r="S1674" i="3"/>
  <c r="R1674" i="3"/>
  <c r="S1927" i="3"/>
  <c r="R1927" i="3"/>
  <c r="S2218" i="3"/>
  <c r="R2218" i="3"/>
  <c r="R2520" i="3"/>
  <c r="S2520" i="3"/>
  <c r="R2853" i="3"/>
  <c r="S2853" i="3"/>
  <c r="S1802" i="3"/>
  <c r="R1802" i="3"/>
  <c r="R2052" i="3"/>
  <c r="S2052" i="3"/>
  <c r="S2326" i="3"/>
  <c r="R2326" i="3"/>
  <c r="R2618" i="3"/>
  <c r="S2618" i="3"/>
  <c r="R3326" i="3"/>
  <c r="S3326" i="3"/>
  <c r="S1740" i="3"/>
  <c r="R1740" i="3"/>
  <c r="S1990" i="3"/>
  <c r="R1990" i="3"/>
  <c r="S2256" i="3"/>
  <c r="R2256" i="3"/>
  <c r="S2541" i="3"/>
  <c r="R2541" i="3"/>
  <c r="S2880" i="3"/>
  <c r="R2880" i="3"/>
  <c r="S2290" i="3"/>
  <c r="R2290" i="3"/>
  <c r="S2540" i="3"/>
  <c r="R2540" i="3"/>
  <c r="S2832" i="3"/>
  <c r="R2832" i="3"/>
  <c r="S3154" i="3"/>
  <c r="R3154" i="3"/>
  <c r="S3552" i="3"/>
  <c r="R3552" i="3"/>
  <c r="S3054" i="3"/>
  <c r="R3054" i="3"/>
  <c r="S3418" i="3"/>
  <c r="R3418" i="3"/>
  <c r="S2915" i="3"/>
  <c r="R2915" i="3"/>
  <c r="S3269" i="3"/>
  <c r="R3269" i="3"/>
  <c r="S3749" i="3"/>
  <c r="R3749" i="3"/>
  <c r="R3119" i="3"/>
  <c r="S3119" i="3"/>
  <c r="S3522" i="3"/>
  <c r="R3522" i="3"/>
  <c r="S3018" i="3"/>
  <c r="R3018" i="3"/>
  <c r="S3375" i="3"/>
  <c r="R3375" i="3"/>
  <c r="R3937" i="3"/>
  <c r="S3937" i="3"/>
  <c r="S2359" i="3"/>
  <c r="R2359" i="3"/>
  <c r="R2632" i="3"/>
  <c r="S2632" i="3"/>
  <c r="R2937" i="3"/>
  <c r="S2937" i="3"/>
  <c r="S3273" i="3"/>
  <c r="R3273" i="3"/>
  <c r="S3760" i="3"/>
  <c r="R3760" i="3"/>
  <c r="S3761" i="3"/>
  <c r="R3761" i="3"/>
  <c r="S3145" i="3"/>
  <c r="R3145" i="3"/>
  <c r="S3570" i="3"/>
  <c r="R3570" i="3"/>
  <c r="S3044" i="3"/>
  <c r="R3044" i="3"/>
  <c r="S3453" i="3"/>
  <c r="R3453" i="3"/>
  <c r="R2963" i="3"/>
  <c r="S2963" i="3"/>
  <c r="S3306" i="3"/>
  <c r="R3306" i="3"/>
  <c r="S3811" i="3"/>
  <c r="R3811" i="3"/>
  <c r="S3408" i="3"/>
  <c r="R3408" i="3"/>
  <c r="S2906" i="3"/>
  <c r="R2906" i="3"/>
  <c r="R3235" i="3"/>
  <c r="S3235" i="3"/>
  <c r="S3733" i="3"/>
  <c r="R3733" i="3"/>
  <c r="R3109" i="3"/>
  <c r="S3109" i="3"/>
  <c r="S3542" i="3"/>
  <c r="R3542" i="3"/>
  <c r="S3009" i="3"/>
  <c r="R3009" i="3"/>
  <c r="R3387" i="3"/>
  <c r="S3387" i="3"/>
  <c r="S3964" i="3"/>
  <c r="R3964" i="3"/>
  <c r="S3975" i="3"/>
  <c r="R3975" i="3"/>
  <c r="S3289" i="3"/>
  <c r="R3289" i="3"/>
  <c r="S3786" i="3"/>
  <c r="R3786" i="3"/>
  <c r="S2728" i="3"/>
  <c r="R2728" i="3"/>
  <c r="S3006" i="3"/>
  <c r="R3006" i="3"/>
  <c r="R3294" i="3"/>
  <c r="S3294" i="3"/>
  <c r="S3616" i="3"/>
  <c r="R3616" i="3"/>
  <c r="S3929" i="3"/>
  <c r="R3929" i="3"/>
  <c r="S4067" i="3"/>
  <c r="R4067" i="3"/>
  <c r="S3482" i="3"/>
  <c r="R3482" i="3"/>
  <c r="S3794" i="3"/>
  <c r="R3794" i="3"/>
  <c r="S3540" i="3"/>
  <c r="R3540" i="3"/>
  <c r="S3873" i="3"/>
  <c r="R3873" i="3"/>
  <c r="S3641" i="3"/>
  <c r="R3641" i="3"/>
  <c r="S3953" i="3"/>
  <c r="R3953" i="3"/>
  <c r="S4055" i="3"/>
  <c r="R4055" i="3"/>
  <c r="R2672" i="3"/>
  <c r="S2672" i="3"/>
  <c r="S2980" i="3"/>
  <c r="R2980" i="3"/>
  <c r="S3266" i="3"/>
  <c r="R3266" i="3"/>
  <c r="S3586" i="3"/>
  <c r="R3586" i="3"/>
  <c r="S3899" i="3"/>
  <c r="R3899" i="3"/>
  <c r="R3646" i="3"/>
  <c r="S3646" i="3"/>
  <c r="S3960" i="3"/>
  <c r="R3960" i="3"/>
  <c r="S3706" i="3"/>
  <c r="R3706" i="3"/>
  <c r="S4019" i="3"/>
  <c r="R4019" i="3"/>
  <c r="R4003" i="3"/>
  <c r="S4003" i="3"/>
  <c r="S4004" i="3"/>
  <c r="R4004" i="3"/>
  <c r="S3425" i="3"/>
  <c r="R3425" i="3"/>
  <c r="S3731" i="3"/>
  <c r="R3731" i="3"/>
  <c r="S4046" i="3"/>
  <c r="R4046" i="3"/>
  <c r="R2977" i="3"/>
  <c r="S2977" i="3"/>
  <c r="S3225" i="3"/>
  <c r="R3225" i="3"/>
  <c r="S3495" i="3"/>
  <c r="R3495" i="3"/>
  <c r="R3750" i="3"/>
  <c r="S3750" i="3"/>
  <c r="S4005" i="3"/>
  <c r="R4005" i="3"/>
  <c r="R3363" i="3"/>
  <c r="S3363" i="3"/>
  <c r="S3656" i="3"/>
  <c r="R3656" i="3"/>
  <c r="S3910" i="3"/>
  <c r="R3910" i="3"/>
  <c r="R4091" i="3"/>
  <c r="S4091" i="3"/>
  <c r="S3032" i="3"/>
  <c r="R3032" i="3"/>
  <c r="S3277" i="3"/>
  <c r="R3277" i="3"/>
  <c r="S3519" i="3"/>
  <c r="R3519" i="3"/>
  <c r="R3774" i="3"/>
  <c r="S3774" i="3"/>
  <c r="S4029" i="3"/>
  <c r="R4029" i="3"/>
  <c r="S189" i="3"/>
  <c r="R189" i="3"/>
  <c r="S131" i="3"/>
  <c r="R131" i="3"/>
  <c r="S136" i="3"/>
  <c r="R136" i="3"/>
  <c r="R1347" i="3"/>
  <c r="S1347" i="3"/>
  <c r="S263" i="3"/>
  <c r="R263" i="3"/>
  <c r="S120" i="3"/>
  <c r="R120" i="3"/>
  <c r="S1364" i="3"/>
  <c r="R1364" i="3"/>
  <c r="S296" i="3"/>
  <c r="R296" i="3"/>
  <c r="S159" i="3"/>
  <c r="R159" i="3"/>
  <c r="S1568" i="3"/>
  <c r="R1568" i="3"/>
  <c r="S312" i="3"/>
  <c r="R312" i="3"/>
  <c r="S125" i="3"/>
  <c r="R125" i="3"/>
  <c r="S1258" i="3"/>
  <c r="R1258" i="3"/>
  <c r="S253" i="3"/>
  <c r="R253" i="3"/>
  <c r="S76" i="3"/>
  <c r="R76" i="3"/>
  <c r="S330" i="3"/>
  <c r="R330" i="3"/>
  <c r="S582" i="3"/>
  <c r="R582" i="3"/>
  <c r="S847" i="3"/>
  <c r="R847" i="3"/>
  <c r="S1144" i="3"/>
  <c r="R1144" i="3"/>
  <c r="S1426" i="3"/>
  <c r="R1426" i="3"/>
  <c r="R2679" i="3"/>
  <c r="S2679" i="3"/>
  <c r="S538" i="3"/>
  <c r="R538" i="3"/>
  <c r="S813" i="3"/>
  <c r="R813" i="3"/>
  <c r="R1092" i="3"/>
  <c r="S1092" i="3"/>
  <c r="R1375" i="3"/>
  <c r="S1375" i="3"/>
  <c r="S2392" i="3"/>
  <c r="R2392" i="3"/>
  <c r="S492" i="3"/>
  <c r="R492" i="3"/>
  <c r="S746" i="3"/>
  <c r="R746" i="3"/>
  <c r="S1022" i="3"/>
  <c r="R1022" i="3"/>
  <c r="R1309" i="3"/>
  <c r="S1309" i="3"/>
  <c r="S1781" i="3"/>
  <c r="R1781" i="3"/>
  <c r="S429" i="3"/>
  <c r="R429" i="3"/>
  <c r="R680" i="3"/>
  <c r="S680" i="3"/>
  <c r="S970" i="3"/>
  <c r="R970" i="3"/>
  <c r="R1291" i="3"/>
  <c r="S1291" i="3"/>
  <c r="S1787" i="3"/>
  <c r="R1787" i="3"/>
  <c r="S414" i="3"/>
  <c r="R414" i="3"/>
  <c r="S681" i="3"/>
  <c r="R681" i="3"/>
  <c r="S954" i="3"/>
  <c r="R954" i="3"/>
  <c r="S1239" i="3"/>
  <c r="R1239" i="3"/>
  <c r="R1566" i="3"/>
  <c r="S1566" i="3"/>
  <c r="R97" i="3"/>
  <c r="S97" i="3"/>
  <c r="S351" i="3"/>
  <c r="R351" i="3"/>
  <c r="S603" i="3"/>
  <c r="R603" i="3"/>
  <c r="S886" i="3"/>
  <c r="R886" i="3"/>
  <c r="S1168" i="3"/>
  <c r="R1168" i="3"/>
  <c r="S1449" i="3"/>
  <c r="R1449" i="3"/>
  <c r="S1731" i="3"/>
  <c r="R1731" i="3"/>
  <c r="R401" i="3"/>
  <c r="S401" i="3"/>
  <c r="S668" i="3"/>
  <c r="R668" i="3"/>
  <c r="S974" i="3"/>
  <c r="R974" i="3"/>
  <c r="R1259" i="3"/>
  <c r="S1259" i="3"/>
  <c r="S1670" i="3"/>
  <c r="R1670" i="3"/>
  <c r="S386" i="3"/>
  <c r="R386" i="3"/>
  <c r="S637" i="3"/>
  <c r="R637" i="3"/>
  <c r="S923" i="3"/>
  <c r="R923" i="3"/>
  <c r="S1207" i="3"/>
  <c r="R1207" i="3"/>
  <c r="S1576" i="3"/>
  <c r="R1576" i="3"/>
  <c r="S355" i="3"/>
  <c r="R355" i="3"/>
  <c r="S607" i="3"/>
  <c r="R607" i="3"/>
  <c r="S872" i="3"/>
  <c r="R872" i="3"/>
  <c r="S1173" i="3"/>
  <c r="R1173" i="3"/>
  <c r="R1471" i="3"/>
  <c r="S1471" i="3"/>
  <c r="S324" i="3"/>
  <c r="R324" i="3"/>
  <c r="S576" i="3"/>
  <c r="R576" i="3"/>
  <c r="R840" i="3"/>
  <c r="S840" i="3"/>
  <c r="S1137" i="3"/>
  <c r="R1137" i="3"/>
  <c r="R1437" i="3"/>
  <c r="S1437" i="3"/>
  <c r="S2784" i="3"/>
  <c r="R2784" i="3"/>
  <c r="S533" i="3"/>
  <c r="R533" i="3"/>
  <c r="R792" i="3"/>
  <c r="S792" i="3"/>
  <c r="S1067" i="3"/>
  <c r="R1067" i="3"/>
  <c r="S1352" i="3"/>
  <c r="R1352" i="3"/>
  <c r="S2192" i="3"/>
  <c r="R2192" i="3"/>
  <c r="S470" i="3"/>
  <c r="R470" i="3"/>
  <c r="S740" i="3"/>
  <c r="R740" i="3"/>
  <c r="S1016" i="3"/>
  <c r="R1016" i="3"/>
  <c r="S1320" i="3"/>
  <c r="R1320" i="3"/>
  <c r="S1834" i="3"/>
  <c r="R1834" i="3"/>
  <c r="S423" i="3"/>
  <c r="R423" i="3"/>
  <c r="S690" i="3"/>
  <c r="R690" i="3"/>
  <c r="S962" i="3"/>
  <c r="R962" i="3"/>
  <c r="S1248" i="3"/>
  <c r="R1248" i="3"/>
  <c r="R1629" i="3"/>
  <c r="S1629" i="3"/>
  <c r="R2220" i="3"/>
  <c r="S2220" i="3"/>
  <c r="R473" i="3"/>
  <c r="S473" i="3"/>
  <c r="S725" i="3"/>
  <c r="R725" i="3"/>
  <c r="S1001" i="3"/>
  <c r="R1001" i="3"/>
  <c r="R1287" i="3"/>
  <c r="S1287" i="3"/>
  <c r="S1701" i="3"/>
  <c r="R1701" i="3"/>
  <c r="S814" i="3"/>
  <c r="R814" i="3"/>
  <c r="S1072" i="3"/>
  <c r="R1072" i="3"/>
  <c r="R1323" i="3"/>
  <c r="S1323" i="3"/>
  <c r="S1569" i="3"/>
  <c r="R1569" i="3"/>
  <c r="S1820" i="3"/>
  <c r="R1820" i="3"/>
  <c r="R2069" i="3"/>
  <c r="S2069" i="3"/>
  <c r="R2348" i="3"/>
  <c r="S2348" i="3"/>
  <c r="S2641" i="3"/>
  <c r="R2641" i="3"/>
  <c r="R1491" i="3"/>
  <c r="S1491" i="3"/>
  <c r="S1758" i="3"/>
  <c r="R1758" i="3"/>
  <c r="S2008" i="3"/>
  <c r="R2008" i="3"/>
  <c r="S2313" i="3"/>
  <c r="R2313" i="3"/>
  <c r="R2602" i="3"/>
  <c r="S2602" i="3"/>
  <c r="S1476" i="3"/>
  <c r="R1476" i="3"/>
  <c r="S1727" i="3"/>
  <c r="R1727" i="3"/>
  <c r="R1978" i="3"/>
  <c r="S1978" i="3"/>
  <c r="S2242" i="3"/>
  <c r="R2242" i="3"/>
  <c r="R2546" i="3"/>
  <c r="S2546" i="3"/>
  <c r="R3041" i="3"/>
  <c r="S3041" i="3"/>
  <c r="S1696" i="3"/>
  <c r="R1696" i="3"/>
  <c r="S1979" i="3"/>
  <c r="R1979" i="3"/>
  <c r="S2261" i="3"/>
  <c r="R2261" i="3"/>
  <c r="S2547" i="3"/>
  <c r="R2547" i="3"/>
  <c r="S2886" i="3"/>
  <c r="R2886" i="3"/>
  <c r="S1697" i="3"/>
  <c r="R1697" i="3"/>
  <c r="S1950" i="3"/>
  <c r="R1950" i="3"/>
  <c r="S2208" i="3"/>
  <c r="R2208" i="3"/>
  <c r="R2512" i="3"/>
  <c r="S2512" i="3"/>
  <c r="S2842" i="3"/>
  <c r="R2842" i="3"/>
  <c r="S953" i="3"/>
  <c r="R953" i="3"/>
  <c r="S1218" i="3"/>
  <c r="R1218" i="3"/>
  <c r="R1479" i="3"/>
  <c r="S1479" i="3"/>
  <c r="S1730" i="3"/>
  <c r="R1730" i="3"/>
  <c r="S1996" i="3"/>
  <c r="R1996" i="3"/>
  <c r="S2281" i="3"/>
  <c r="R2281" i="3"/>
  <c r="S2588" i="3"/>
  <c r="R2588" i="3"/>
  <c r="S3228" i="3"/>
  <c r="R3228" i="3"/>
  <c r="S1764" i="3"/>
  <c r="R1764" i="3"/>
  <c r="S2030" i="3"/>
  <c r="R2030" i="3"/>
  <c r="S2319" i="3"/>
  <c r="R2319" i="3"/>
  <c r="S2631" i="3"/>
  <c r="R2631" i="3"/>
  <c r="S1891" i="3"/>
  <c r="R1891" i="3"/>
  <c r="R2140" i="3"/>
  <c r="S2140" i="3"/>
  <c r="R2429" i="3"/>
  <c r="S2429" i="3"/>
  <c r="S2734" i="3"/>
  <c r="R2734" i="3"/>
  <c r="S1845" i="3"/>
  <c r="R1845" i="3"/>
  <c r="R2092" i="3"/>
  <c r="S2092" i="3"/>
  <c r="S2377" i="3"/>
  <c r="R2377" i="3"/>
  <c r="S2693" i="3"/>
  <c r="R2693" i="3"/>
  <c r="S1532" i="3"/>
  <c r="R1532" i="3"/>
  <c r="S1783" i="3"/>
  <c r="R1783" i="3"/>
  <c r="S2033" i="3"/>
  <c r="R2033" i="3"/>
  <c r="S2323" i="3"/>
  <c r="R2323" i="3"/>
  <c r="S2615" i="3"/>
  <c r="R2615" i="3"/>
  <c r="S3288" i="3"/>
  <c r="R3288" i="3"/>
  <c r="S1720" i="3"/>
  <c r="R1720" i="3"/>
  <c r="S1986" i="3"/>
  <c r="R1986" i="3"/>
  <c r="R2252" i="3"/>
  <c r="S2252" i="3"/>
  <c r="S2556" i="3"/>
  <c r="R2556" i="3"/>
  <c r="R2989" i="3"/>
  <c r="S2989" i="3"/>
  <c r="S1690" i="3"/>
  <c r="R1690" i="3"/>
  <c r="S1943" i="3"/>
  <c r="R1943" i="3"/>
  <c r="R2236" i="3"/>
  <c r="S2236" i="3"/>
  <c r="R2538" i="3"/>
  <c r="S2538" i="3"/>
  <c r="S2876" i="3"/>
  <c r="R2876" i="3"/>
  <c r="S1817" i="3"/>
  <c r="R1817" i="3"/>
  <c r="S2066" i="3"/>
  <c r="R2066" i="3"/>
  <c r="S2345" i="3"/>
  <c r="R2345" i="3"/>
  <c r="S2638" i="3"/>
  <c r="R2638" i="3"/>
  <c r="S2856" i="3"/>
  <c r="R2856" i="3"/>
  <c r="S1756" i="3"/>
  <c r="R1756" i="3"/>
  <c r="S2006" i="3"/>
  <c r="R2006" i="3"/>
  <c r="S2273" i="3"/>
  <c r="R2273" i="3"/>
  <c r="R2562" i="3"/>
  <c r="S2562" i="3"/>
  <c r="R2914" i="3"/>
  <c r="S2914" i="3"/>
  <c r="S2306" i="3"/>
  <c r="R2306" i="3"/>
  <c r="S2557" i="3"/>
  <c r="R2557" i="3"/>
  <c r="S2852" i="3"/>
  <c r="R2852" i="3"/>
  <c r="R3175" i="3"/>
  <c r="S3175" i="3"/>
  <c r="S3590" i="3"/>
  <c r="R3590" i="3"/>
  <c r="S3074" i="3"/>
  <c r="R3074" i="3"/>
  <c r="S3441" i="3"/>
  <c r="R3441" i="3"/>
  <c r="R2933" i="3"/>
  <c r="S2933" i="3"/>
  <c r="S3295" i="3"/>
  <c r="R3295" i="3"/>
  <c r="S3793" i="3"/>
  <c r="R3793" i="3"/>
  <c r="R3139" i="3"/>
  <c r="S3139" i="3"/>
  <c r="S3557" i="3"/>
  <c r="R3557" i="3"/>
  <c r="S3038" i="3"/>
  <c r="R3038" i="3"/>
  <c r="R3398" i="3"/>
  <c r="S3398" i="3"/>
  <c r="S2122" i="3"/>
  <c r="R2122" i="3"/>
  <c r="S2375" i="3"/>
  <c r="R2375" i="3"/>
  <c r="R2648" i="3"/>
  <c r="S2648" i="3"/>
  <c r="R2957" i="3"/>
  <c r="S2957" i="3"/>
  <c r="R3299" i="3"/>
  <c r="S3299" i="3"/>
  <c r="S3844" i="3"/>
  <c r="R3844" i="3"/>
  <c r="S3804" i="3"/>
  <c r="R3804" i="3"/>
  <c r="R3163" i="3"/>
  <c r="S3163" i="3"/>
  <c r="S3610" i="3"/>
  <c r="R3610" i="3"/>
  <c r="S3083" i="3"/>
  <c r="R3083" i="3"/>
  <c r="S3475" i="3"/>
  <c r="R3475" i="3"/>
  <c r="R2983" i="3"/>
  <c r="S2983" i="3"/>
  <c r="S3329" i="3"/>
  <c r="R3329" i="3"/>
  <c r="R3857" i="3"/>
  <c r="S3857" i="3"/>
  <c r="S3433" i="3"/>
  <c r="R3433" i="3"/>
  <c r="S2926" i="3"/>
  <c r="R2926" i="3"/>
  <c r="R3261" i="3"/>
  <c r="S3261" i="3"/>
  <c r="S3773" i="3"/>
  <c r="R3773" i="3"/>
  <c r="S3130" i="3"/>
  <c r="R3130" i="3"/>
  <c r="R3582" i="3"/>
  <c r="S3582" i="3"/>
  <c r="R3029" i="3"/>
  <c r="S3029" i="3"/>
  <c r="S3412" i="3"/>
  <c r="R3412" i="3"/>
  <c r="S3365" i="3"/>
  <c r="R3365" i="3"/>
  <c r="S2912" i="3"/>
  <c r="R2912" i="3"/>
  <c r="S3317" i="3"/>
  <c r="R3317" i="3"/>
  <c r="S3826" i="3"/>
  <c r="R3826" i="3"/>
  <c r="S2744" i="3"/>
  <c r="R2744" i="3"/>
  <c r="S3025" i="3"/>
  <c r="R3025" i="3"/>
  <c r="S3312" i="3"/>
  <c r="R3312" i="3"/>
  <c r="S3635" i="3"/>
  <c r="R3635" i="3"/>
  <c r="S3948" i="3"/>
  <c r="R3948" i="3"/>
  <c r="S3204" i="3"/>
  <c r="R3204" i="3"/>
  <c r="S3500" i="3"/>
  <c r="R3500" i="3"/>
  <c r="S3812" i="3"/>
  <c r="R3812" i="3"/>
  <c r="R3561" i="3"/>
  <c r="S3561" i="3"/>
  <c r="S3892" i="3"/>
  <c r="R3892" i="3"/>
  <c r="R3659" i="3"/>
  <c r="S3659" i="3"/>
  <c r="S3972" i="3"/>
  <c r="R3972" i="3"/>
  <c r="S4074" i="3"/>
  <c r="R4074" i="3"/>
  <c r="S2688" i="3"/>
  <c r="R2688" i="3"/>
  <c r="R2997" i="3"/>
  <c r="S2997" i="3"/>
  <c r="R3283" i="3"/>
  <c r="S3283" i="3"/>
  <c r="S3605" i="3"/>
  <c r="R3605" i="3"/>
  <c r="S3919" i="3"/>
  <c r="R3919" i="3"/>
  <c r="S3665" i="3"/>
  <c r="R3665" i="3"/>
  <c r="S3979" i="3"/>
  <c r="R3979" i="3"/>
  <c r="S3725" i="3"/>
  <c r="R3725" i="3"/>
  <c r="S4040" i="3"/>
  <c r="R4040" i="3"/>
  <c r="S4024" i="3"/>
  <c r="R4024" i="3"/>
  <c r="R4025" i="3"/>
  <c r="S4025" i="3"/>
  <c r="S3442" i="3"/>
  <c r="R3442" i="3"/>
  <c r="S3752" i="3"/>
  <c r="R3752" i="3"/>
  <c r="R4065" i="3"/>
  <c r="S4065" i="3"/>
  <c r="S2992" i="3"/>
  <c r="R2992" i="3"/>
  <c r="S3241" i="3"/>
  <c r="R3241" i="3"/>
  <c r="S3511" i="3"/>
  <c r="R3511" i="3"/>
  <c r="R3766" i="3"/>
  <c r="S3766" i="3"/>
  <c r="S4021" i="3"/>
  <c r="R4021" i="3"/>
  <c r="R3379" i="3"/>
  <c r="S3379" i="3"/>
  <c r="S3671" i="3"/>
  <c r="R3671" i="3"/>
  <c r="S3926" i="3"/>
  <c r="R3926" i="3"/>
  <c r="S4092" i="3"/>
  <c r="R4092" i="3"/>
  <c r="S3048" i="3"/>
  <c r="R3048" i="3"/>
  <c r="S3292" i="3"/>
  <c r="R3292" i="3"/>
  <c r="R3535" i="3"/>
  <c r="S3535" i="3"/>
  <c r="S3790" i="3"/>
  <c r="R3790" i="3"/>
  <c r="S4045" i="3"/>
  <c r="R4045" i="3"/>
  <c r="S74" i="3"/>
  <c r="R74" i="3"/>
  <c r="S130" i="3"/>
  <c r="R130" i="3"/>
  <c r="R25" i="3"/>
  <c r="S25" i="3"/>
  <c r="S279" i="3"/>
  <c r="R279" i="3"/>
  <c r="R1124" i="3"/>
  <c r="S1124" i="3"/>
  <c r="R93" i="3"/>
  <c r="S93" i="3"/>
  <c r="S344" i="3"/>
  <c r="R344" i="3"/>
  <c r="S274" i="3"/>
  <c r="R274" i="3"/>
  <c r="S149" i="3"/>
  <c r="R149" i="3"/>
  <c r="S22" i="3"/>
  <c r="R22" i="3"/>
  <c r="S496" i="3"/>
  <c r="R496" i="3"/>
  <c r="S151" i="3"/>
  <c r="R151" i="3"/>
  <c r="R1459" i="3"/>
  <c r="S1459" i="3"/>
  <c r="S384" i="3"/>
  <c r="R384" i="3"/>
  <c r="S154" i="3"/>
  <c r="R154" i="3"/>
  <c r="S1498" i="3"/>
  <c r="R1498" i="3"/>
  <c r="S283" i="3"/>
  <c r="R283" i="3"/>
  <c r="S138" i="3"/>
  <c r="R138" i="3"/>
  <c r="S11" i="3"/>
  <c r="R11" i="3"/>
  <c r="S424" i="3"/>
  <c r="R424" i="3"/>
  <c r="R177" i="3"/>
  <c r="S177" i="3"/>
  <c r="S14" i="3"/>
  <c r="R14" i="3"/>
  <c r="S440" i="3"/>
  <c r="R440" i="3"/>
  <c r="S143" i="3"/>
  <c r="R143" i="3"/>
  <c r="R1397" i="3"/>
  <c r="S1397" i="3"/>
  <c r="S272" i="3"/>
  <c r="R272" i="3"/>
  <c r="S92" i="3"/>
  <c r="R92" i="3"/>
  <c r="S346" i="3"/>
  <c r="R346" i="3"/>
  <c r="S598" i="3"/>
  <c r="R598" i="3"/>
  <c r="R864" i="3"/>
  <c r="S864" i="3"/>
  <c r="S1162" i="3"/>
  <c r="R1162" i="3"/>
  <c r="R1443" i="3"/>
  <c r="S1443" i="3"/>
  <c r="S299" i="3"/>
  <c r="R299" i="3"/>
  <c r="S552" i="3"/>
  <c r="R552" i="3"/>
  <c r="S830" i="3"/>
  <c r="R830" i="3"/>
  <c r="S1109" i="3"/>
  <c r="R1109" i="3"/>
  <c r="R1391" i="3"/>
  <c r="S1391" i="3"/>
  <c r="S2532" i="3"/>
  <c r="R2532" i="3"/>
  <c r="S508" i="3"/>
  <c r="R508" i="3"/>
  <c r="S764" i="3"/>
  <c r="R764" i="3"/>
  <c r="S1039" i="3"/>
  <c r="R1039" i="3"/>
  <c r="R1326" i="3"/>
  <c r="S1326" i="3"/>
  <c r="S1866" i="3"/>
  <c r="R1866" i="3"/>
  <c r="S445" i="3"/>
  <c r="R445" i="3"/>
  <c r="R696" i="3"/>
  <c r="S696" i="3"/>
  <c r="R988" i="3"/>
  <c r="S988" i="3"/>
  <c r="R1310" i="3"/>
  <c r="S1310" i="3"/>
  <c r="S1874" i="3"/>
  <c r="R1874" i="3"/>
  <c r="S430" i="3"/>
  <c r="R430" i="3"/>
  <c r="S697" i="3"/>
  <c r="R697" i="3"/>
  <c r="S971" i="3"/>
  <c r="R971" i="3"/>
  <c r="S1256" i="3"/>
  <c r="R1256" i="3"/>
  <c r="S1655" i="3"/>
  <c r="R1655" i="3"/>
  <c r="R113" i="3"/>
  <c r="S113" i="3"/>
  <c r="S367" i="3"/>
  <c r="R367" i="3"/>
  <c r="S619" i="3"/>
  <c r="R619" i="3"/>
  <c r="S903" i="3"/>
  <c r="R903" i="3"/>
  <c r="S1185" i="3"/>
  <c r="R1185" i="3"/>
  <c r="R1467" i="3"/>
  <c r="S1467" i="3"/>
  <c r="S1803" i="3"/>
  <c r="R1803" i="3"/>
  <c r="R417" i="3"/>
  <c r="S417" i="3"/>
  <c r="S684" i="3"/>
  <c r="R684" i="3"/>
  <c r="S992" i="3"/>
  <c r="R992" i="3"/>
  <c r="R1278" i="3"/>
  <c r="S1278" i="3"/>
  <c r="S1733" i="3"/>
  <c r="R1733" i="3"/>
  <c r="S402" i="3"/>
  <c r="R402" i="3"/>
  <c r="S653" i="3"/>
  <c r="R653" i="3"/>
  <c r="S941" i="3"/>
  <c r="R941" i="3"/>
  <c r="S1225" i="3"/>
  <c r="R1225" i="3"/>
  <c r="R1614" i="3"/>
  <c r="S1614" i="3"/>
  <c r="S371" i="3"/>
  <c r="R371" i="3"/>
  <c r="S622" i="3"/>
  <c r="R622" i="3"/>
  <c r="S891" i="3"/>
  <c r="R891" i="3"/>
  <c r="S1190" i="3"/>
  <c r="R1190" i="3"/>
  <c r="S1504" i="3"/>
  <c r="R1504" i="3"/>
  <c r="S340" i="3"/>
  <c r="R340" i="3"/>
  <c r="S592" i="3"/>
  <c r="R592" i="3"/>
  <c r="R856" i="3"/>
  <c r="S856" i="3"/>
  <c r="R1156" i="3"/>
  <c r="S1156" i="3"/>
  <c r="R1454" i="3"/>
  <c r="S1454" i="3"/>
  <c r="S293" i="3"/>
  <c r="R293" i="3"/>
  <c r="S546" i="3"/>
  <c r="R546" i="3"/>
  <c r="R808" i="3"/>
  <c r="S808" i="3"/>
  <c r="S1085" i="3"/>
  <c r="R1085" i="3"/>
  <c r="S1369" i="3"/>
  <c r="R1369" i="3"/>
  <c r="S2336" i="3"/>
  <c r="R2336" i="3"/>
  <c r="S486" i="3"/>
  <c r="R486" i="3"/>
  <c r="S757" i="3"/>
  <c r="R757" i="3"/>
  <c r="S1033" i="3"/>
  <c r="R1033" i="3"/>
  <c r="R1335" i="3"/>
  <c r="S1335" i="3"/>
  <c r="S1945" i="3"/>
  <c r="R1945" i="3"/>
  <c r="S439" i="3"/>
  <c r="R439" i="3"/>
  <c r="S706" i="3"/>
  <c r="R706" i="3"/>
  <c r="S981" i="3"/>
  <c r="R981" i="3"/>
  <c r="R1267" i="3"/>
  <c r="S1267" i="3"/>
  <c r="S1692" i="3"/>
  <c r="R1692" i="3"/>
  <c r="R2364" i="3"/>
  <c r="S2364" i="3"/>
  <c r="R489" i="3"/>
  <c r="S489" i="3"/>
  <c r="S742" i="3"/>
  <c r="R742" i="3"/>
  <c r="S1019" i="3"/>
  <c r="R1019" i="3"/>
  <c r="S1305" i="3"/>
  <c r="R1305" i="3"/>
  <c r="S1765" i="3"/>
  <c r="R1765" i="3"/>
  <c r="S844" i="3"/>
  <c r="R844" i="3"/>
  <c r="S1088" i="3"/>
  <c r="R1088" i="3"/>
  <c r="S1337" i="3"/>
  <c r="R1337" i="3"/>
  <c r="S1585" i="3"/>
  <c r="R1585" i="3"/>
  <c r="S1836" i="3"/>
  <c r="R1836" i="3"/>
  <c r="R2084" i="3"/>
  <c r="S2084" i="3"/>
  <c r="S2366" i="3"/>
  <c r="R2366" i="3"/>
  <c r="S2661" i="3"/>
  <c r="R2661" i="3"/>
  <c r="R1507" i="3"/>
  <c r="S1507" i="3"/>
  <c r="S1774" i="3"/>
  <c r="R1774" i="3"/>
  <c r="S2024" i="3"/>
  <c r="R2024" i="3"/>
  <c r="S2331" i="3"/>
  <c r="R2331" i="3"/>
  <c r="S2623" i="3"/>
  <c r="R2623" i="3"/>
  <c r="S1492" i="3"/>
  <c r="R1492" i="3"/>
  <c r="S1743" i="3"/>
  <c r="R1743" i="3"/>
  <c r="S1993" i="3"/>
  <c r="R1993" i="3"/>
  <c r="R2260" i="3"/>
  <c r="S2260" i="3"/>
  <c r="S2585" i="3"/>
  <c r="R2585" i="3"/>
  <c r="R3192" i="3"/>
  <c r="S3192" i="3"/>
  <c r="S1712" i="3"/>
  <c r="R1712" i="3"/>
  <c r="S1994" i="3"/>
  <c r="R1994" i="3"/>
  <c r="S2278" i="3"/>
  <c r="R2278" i="3"/>
  <c r="S2567" i="3"/>
  <c r="R2567" i="3"/>
  <c r="S2939" i="3"/>
  <c r="R2939" i="3"/>
  <c r="S1713" i="3"/>
  <c r="R1713" i="3"/>
  <c r="S1964" i="3"/>
  <c r="R1964" i="3"/>
  <c r="S2226" i="3"/>
  <c r="R2226" i="3"/>
  <c r="R2530" i="3"/>
  <c r="S2530" i="3"/>
  <c r="S2888" i="3"/>
  <c r="R2888" i="3"/>
  <c r="S968" i="3"/>
  <c r="R968" i="3"/>
  <c r="S1234" i="3"/>
  <c r="R1234" i="3"/>
  <c r="R1495" i="3"/>
  <c r="S1495" i="3"/>
  <c r="S1746" i="3"/>
  <c r="R1746" i="3"/>
  <c r="S2012" i="3"/>
  <c r="R2012" i="3"/>
  <c r="S2299" i="3"/>
  <c r="R2299" i="3"/>
  <c r="S2607" i="3"/>
  <c r="R2607" i="3"/>
  <c r="S2867" i="3"/>
  <c r="R2867" i="3"/>
  <c r="S1780" i="3"/>
  <c r="R1780" i="3"/>
  <c r="S2046" i="3"/>
  <c r="R2046" i="3"/>
  <c r="S2337" i="3"/>
  <c r="R2337" i="3"/>
  <c r="R2670" i="3"/>
  <c r="S2670" i="3"/>
  <c r="S1907" i="3"/>
  <c r="R1907" i="3"/>
  <c r="S2158" i="3"/>
  <c r="R2158" i="3"/>
  <c r="S2446" i="3"/>
  <c r="R2446" i="3"/>
  <c r="S2755" i="3"/>
  <c r="R2755" i="3"/>
  <c r="S1861" i="3"/>
  <c r="R1861" i="3"/>
  <c r="S2107" i="3"/>
  <c r="R2107" i="3"/>
  <c r="S2395" i="3"/>
  <c r="R2395" i="3"/>
  <c r="S2714" i="3"/>
  <c r="R2714" i="3"/>
  <c r="R1547" i="3"/>
  <c r="S1547" i="3"/>
  <c r="S1799" i="3"/>
  <c r="R1799" i="3"/>
  <c r="S2049" i="3"/>
  <c r="R2049" i="3"/>
  <c r="S2341" i="3"/>
  <c r="R2341" i="3"/>
  <c r="S2636" i="3"/>
  <c r="R2636" i="3"/>
  <c r="R1485" i="3"/>
  <c r="S1485" i="3"/>
  <c r="S1736" i="3"/>
  <c r="R1736" i="3"/>
  <c r="S2002" i="3"/>
  <c r="R2002" i="3"/>
  <c r="S2269" i="3"/>
  <c r="R2269" i="3"/>
  <c r="R2576" i="3"/>
  <c r="S2576" i="3"/>
  <c r="R3122" i="3"/>
  <c r="S3122" i="3"/>
  <c r="S1705" i="3"/>
  <c r="R1705" i="3"/>
  <c r="S1957" i="3"/>
  <c r="R1957" i="3"/>
  <c r="R2253" i="3"/>
  <c r="S2253" i="3"/>
  <c r="S2558" i="3"/>
  <c r="R2558" i="3"/>
  <c r="S2904" i="3"/>
  <c r="R2904" i="3"/>
  <c r="S1833" i="3"/>
  <c r="R1833" i="3"/>
  <c r="S2081" i="3"/>
  <c r="R2081" i="3"/>
  <c r="S2363" i="3"/>
  <c r="R2363" i="3"/>
  <c r="S2657" i="3"/>
  <c r="R2657" i="3"/>
  <c r="R2879" i="3"/>
  <c r="S2879" i="3"/>
  <c r="S1772" i="3"/>
  <c r="R1772" i="3"/>
  <c r="S2022" i="3"/>
  <c r="R2022" i="3"/>
  <c r="R2292" i="3"/>
  <c r="S2292" i="3"/>
  <c r="S2582" i="3"/>
  <c r="R2582" i="3"/>
  <c r="S3020" i="3"/>
  <c r="R3020" i="3"/>
  <c r="S2322" i="3"/>
  <c r="R2322" i="3"/>
  <c r="S2574" i="3"/>
  <c r="R2574" i="3"/>
  <c r="S2872" i="3"/>
  <c r="R2872" i="3"/>
  <c r="R3195" i="3"/>
  <c r="S3195" i="3"/>
  <c r="R3630" i="3"/>
  <c r="S3630" i="3"/>
  <c r="S3095" i="3"/>
  <c r="R3095" i="3"/>
  <c r="S3466" i="3"/>
  <c r="R3466" i="3"/>
  <c r="S2954" i="3"/>
  <c r="R2954" i="3"/>
  <c r="S3320" i="3"/>
  <c r="R3320" i="3"/>
  <c r="S3838" i="3"/>
  <c r="R3838" i="3"/>
  <c r="S3159" i="3"/>
  <c r="R3159" i="3"/>
  <c r="S3597" i="3"/>
  <c r="R3597" i="3"/>
  <c r="S3058" i="3"/>
  <c r="R3058" i="3"/>
  <c r="S3421" i="3"/>
  <c r="R3421" i="3"/>
  <c r="S2137" i="3"/>
  <c r="R2137" i="3"/>
  <c r="S2391" i="3"/>
  <c r="R2391" i="3"/>
  <c r="R2666" i="3"/>
  <c r="S2666" i="3"/>
  <c r="S2978" i="3"/>
  <c r="R2978" i="3"/>
  <c r="R3325" i="3"/>
  <c r="S3325" i="3"/>
  <c r="S3890" i="3"/>
  <c r="R3890" i="3"/>
  <c r="S3847" i="3"/>
  <c r="R3847" i="3"/>
  <c r="R3183" i="3"/>
  <c r="S3183" i="3"/>
  <c r="S3649" i="3"/>
  <c r="R3649" i="3"/>
  <c r="S3104" i="3"/>
  <c r="R3104" i="3"/>
  <c r="S3502" i="3"/>
  <c r="R3502" i="3"/>
  <c r="S3003" i="3"/>
  <c r="R3003" i="3"/>
  <c r="R3358" i="3"/>
  <c r="S3358" i="3"/>
  <c r="S3903" i="3"/>
  <c r="R3903" i="3"/>
  <c r="S3455" i="3"/>
  <c r="R3455" i="3"/>
  <c r="S2944" i="3"/>
  <c r="R2944" i="3"/>
  <c r="S3282" i="3"/>
  <c r="R3282" i="3"/>
  <c r="S3818" i="3"/>
  <c r="R3818" i="3"/>
  <c r="R3151" i="3"/>
  <c r="S3151" i="3"/>
  <c r="S3621" i="3"/>
  <c r="R3621" i="3"/>
  <c r="S3050" i="3"/>
  <c r="R3050" i="3"/>
  <c r="S3436" i="3"/>
  <c r="R3436" i="3"/>
  <c r="R3390" i="3"/>
  <c r="S3390" i="3"/>
  <c r="S2929" i="3"/>
  <c r="R2929" i="3"/>
  <c r="S3341" i="3"/>
  <c r="R3341" i="3"/>
  <c r="R3875" i="3"/>
  <c r="S3875" i="3"/>
  <c r="S2760" i="3"/>
  <c r="R2760" i="3"/>
  <c r="S3043" i="3"/>
  <c r="R3043" i="3"/>
  <c r="S3333" i="3"/>
  <c r="R3333" i="3"/>
  <c r="R3654" i="3"/>
  <c r="S3654" i="3"/>
  <c r="S3968" i="3"/>
  <c r="R3968" i="3"/>
  <c r="R3223" i="3"/>
  <c r="S3223" i="3"/>
  <c r="S3520" i="3"/>
  <c r="R3520" i="3"/>
  <c r="S3833" i="3"/>
  <c r="R3833" i="3"/>
  <c r="S3580" i="3"/>
  <c r="R3580" i="3"/>
  <c r="S3913" i="3"/>
  <c r="R3913" i="3"/>
  <c r="S3679" i="3"/>
  <c r="R3679" i="3"/>
  <c r="S3993" i="3"/>
  <c r="R3993" i="3"/>
  <c r="S3977" i="3"/>
  <c r="R3977" i="3"/>
  <c r="S2704" i="3"/>
  <c r="R2704" i="3"/>
  <c r="R3015" i="3"/>
  <c r="S3015" i="3"/>
  <c r="S3304" i="3"/>
  <c r="R3304" i="3"/>
  <c r="S3626" i="3"/>
  <c r="R3626" i="3"/>
  <c r="S3938" i="3"/>
  <c r="R3938" i="3"/>
  <c r="S3684" i="3"/>
  <c r="R3684" i="3"/>
  <c r="S3999" i="3"/>
  <c r="R3999" i="3"/>
  <c r="S3745" i="3"/>
  <c r="R3745" i="3"/>
  <c r="S4059" i="3"/>
  <c r="R4059" i="3"/>
  <c r="R4043" i="3"/>
  <c r="S4043" i="3"/>
  <c r="S4044" i="3"/>
  <c r="R4044" i="3"/>
  <c r="R3459" i="3"/>
  <c r="S3459" i="3"/>
  <c r="S3771" i="3"/>
  <c r="R3771" i="3"/>
  <c r="S4084" i="3"/>
  <c r="R4084" i="3"/>
  <c r="S3008" i="3"/>
  <c r="R3008" i="3"/>
  <c r="S3284" i="3"/>
  <c r="R3284" i="3"/>
  <c r="S3527" i="3"/>
  <c r="R3527" i="3"/>
  <c r="S3782" i="3"/>
  <c r="R3782" i="3"/>
  <c r="S4037" i="3"/>
  <c r="R4037" i="3"/>
  <c r="R3423" i="3"/>
  <c r="S3423" i="3"/>
  <c r="S3687" i="3"/>
  <c r="R3687" i="3"/>
  <c r="S3942" i="3"/>
  <c r="R3942" i="3"/>
  <c r="R2783" i="3"/>
  <c r="S2783" i="3"/>
  <c r="R3063" i="3"/>
  <c r="S3063" i="3"/>
  <c r="S3308" i="3"/>
  <c r="R3308" i="3"/>
  <c r="S3551" i="3"/>
  <c r="R3551" i="3"/>
  <c r="S3805" i="3"/>
  <c r="R3805" i="3"/>
  <c r="S4061" i="3"/>
  <c r="R4061" i="3"/>
  <c r="S580" i="3"/>
  <c r="R580" i="3"/>
  <c r="R41" i="3"/>
  <c r="S41" i="3"/>
  <c r="R273" i="3"/>
  <c r="S273" i="3"/>
  <c r="S1321" i="3"/>
  <c r="R1321" i="3"/>
  <c r="R1406" i="3"/>
  <c r="S1406" i="3"/>
  <c r="S328" i="3"/>
  <c r="R328" i="3"/>
  <c r="S252" i="3"/>
  <c r="R252" i="3"/>
  <c r="S19" i="3"/>
  <c r="R19" i="3"/>
  <c r="S472" i="3"/>
  <c r="R472" i="3"/>
  <c r="S352" i="3"/>
  <c r="R352" i="3"/>
  <c r="S167" i="3"/>
  <c r="R167" i="3"/>
  <c r="S40" i="3"/>
  <c r="R40" i="3"/>
  <c r="S620" i="3"/>
  <c r="R620" i="3"/>
  <c r="R169" i="3"/>
  <c r="S169" i="3"/>
  <c r="S6" i="3"/>
  <c r="R6" i="3"/>
  <c r="S512" i="3"/>
  <c r="R512" i="3"/>
  <c r="S172" i="3"/>
  <c r="R172" i="3"/>
  <c r="R9" i="3"/>
  <c r="S9" i="3"/>
  <c r="S408" i="3"/>
  <c r="R408" i="3"/>
  <c r="S157" i="3"/>
  <c r="R157" i="3"/>
  <c r="S30" i="3"/>
  <c r="R30" i="3"/>
  <c r="S549" i="3"/>
  <c r="R549" i="3"/>
  <c r="S195" i="3"/>
  <c r="R195" i="3"/>
  <c r="S32" i="3"/>
  <c r="R32" i="3"/>
  <c r="S564" i="3"/>
  <c r="R564" i="3"/>
  <c r="S162" i="3"/>
  <c r="R162" i="3"/>
  <c r="S1609" i="3"/>
  <c r="R1609" i="3"/>
  <c r="S336" i="3"/>
  <c r="R336" i="3"/>
  <c r="S108" i="3"/>
  <c r="R108" i="3"/>
  <c r="S362" i="3"/>
  <c r="R362" i="3"/>
  <c r="S614" i="3"/>
  <c r="R614" i="3"/>
  <c r="S881" i="3"/>
  <c r="R881" i="3"/>
  <c r="S1179" i="3"/>
  <c r="R1179" i="3"/>
  <c r="R1461" i="3"/>
  <c r="S1461" i="3"/>
  <c r="S315" i="3"/>
  <c r="R315" i="3"/>
  <c r="S567" i="3"/>
  <c r="R567" i="3"/>
  <c r="R848" i="3"/>
  <c r="S848" i="3"/>
  <c r="S1127" i="3"/>
  <c r="R1127" i="3"/>
  <c r="S1409" i="3"/>
  <c r="R1409" i="3"/>
  <c r="R2690" i="3"/>
  <c r="S2690" i="3"/>
  <c r="S524" i="3"/>
  <c r="R524" i="3"/>
  <c r="S781" i="3"/>
  <c r="R781" i="3"/>
  <c r="S1057" i="3"/>
  <c r="R1057" i="3"/>
  <c r="R1343" i="3"/>
  <c r="S1343" i="3"/>
  <c r="S1989" i="3"/>
  <c r="R1989" i="3"/>
  <c r="S461" i="3"/>
  <c r="R461" i="3"/>
  <c r="R712" i="3"/>
  <c r="S712" i="3"/>
  <c r="S1005" i="3"/>
  <c r="R1005" i="3"/>
  <c r="S1344" i="3"/>
  <c r="R1344" i="3"/>
  <c r="S1997" i="3"/>
  <c r="R1997" i="3"/>
  <c r="S446" i="3"/>
  <c r="R446" i="3"/>
  <c r="S713" i="3"/>
  <c r="R713" i="3"/>
  <c r="S989" i="3"/>
  <c r="R989" i="3"/>
  <c r="S1274" i="3"/>
  <c r="R1274" i="3"/>
  <c r="S1718" i="3"/>
  <c r="R1718" i="3"/>
  <c r="R129" i="3"/>
  <c r="S129" i="3"/>
  <c r="S383" i="3"/>
  <c r="R383" i="3"/>
  <c r="S634" i="3"/>
  <c r="R634" i="3"/>
  <c r="S920" i="3"/>
  <c r="R920" i="3"/>
  <c r="R1204" i="3"/>
  <c r="S1204" i="3"/>
  <c r="S1497" i="3"/>
  <c r="R1497" i="3"/>
  <c r="S1897" i="3"/>
  <c r="R1897" i="3"/>
  <c r="R433" i="3"/>
  <c r="S433" i="3"/>
  <c r="S700" i="3"/>
  <c r="R700" i="3"/>
  <c r="S1009" i="3"/>
  <c r="R1009" i="3"/>
  <c r="R1296" i="3"/>
  <c r="S1296" i="3"/>
  <c r="S1811" i="3"/>
  <c r="R1811" i="3"/>
  <c r="S418" i="3"/>
  <c r="R418" i="3"/>
  <c r="S669" i="3"/>
  <c r="R669" i="3"/>
  <c r="S957" i="3"/>
  <c r="R957" i="3"/>
  <c r="S1243" i="3"/>
  <c r="R1243" i="3"/>
  <c r="S1671" i="3"/>
  <c r="R1671" i="3"/>
  <c r="S387" i="3"/>
  <c r="R387" i="3"/>
  <c r="S638" i="3"/>
  <c r="R638" i="3"/>
  <c r="S907" i="3"/>
  <c r="R907" i="3"/>
  <c r="S1208" i="3"/>
  <c r="R1208" i="3"/>
  <c r="S1543" i="3"/>
  <c r="R1543" i="3"/>
  <c r="S356" i="3"/>
  <c r="R356" i="3"/>
  <c r="R608" i="3"/>
  <c r="S608" i="3"/>
  <c r="S874" i="3"/>
  <c r="R874" i="3"/>
  <c r="S1174" i="3"/>
  <c r="R1174" i="3"/>
  <c r="S1472" i="3"/>
  <c r="R1472" i="3"/>
  <c r="S309" i="3"/>
  <c r="R309" i="3"/>
  <c r="S562" i="3"/>
  <c r="R562" i="3"/>
  <c r="R824" i="3"/>
  <c r="S824" i="3"/>
  <c r="S1102" i="3"/>
  <c r="R1102" i="3"/>
  <c r="R1403" i="3"/>
  <c r="S1403" i="3"/>
  <c r="S2630" i="3"/>
  <c r="R2630" i="3"/>
  <c r="S502" i="3"/>
  <c r="R502" i="3"/>
  <c r="S775" i="3"/>
  <c r="R775" i="3"/>
  <c r="S1050" i="3"/>
  <c r="R1050" i="3"/>
  <c r="S1354" i="3"/>
  <c r="R1354" i="3"/>
  <c r="S2067" i="3"/>
  <c r="R2067" i="3"/>
  <c r="S455" i="3"/>
  <c r="R455" i="3"/>
  <c r="S722" i="3"/>
  <c r="R722" i="3"/>
  <c r="S998" i="3"/>
  <c r="R998" i="3"/>
  <c r="R1285" i="3"/>
  <c r="S1285" i="3"/>
  <c r="S1755" i="3"/>
  <c r="R1755" i="3"/>
  <c r="S2505" i="3"/>
  <c r="R2505" i="3"/>
  <c r="R505" i="3"/>
  <c r="S505" i="3"/>
  <c r="S761" i="3"/>
  <c r="R761" i="3"/>
  <c r="R1036" i="3"/>
  <c r="S1036" i="3"/>
  <c r="S1322" i="3"/>
  <c r="R1322" i="3"/>
  <c r="S1850" i="3"/>
  <c r="R1850" i="3"/>
  <c r="S858" i="3"/>
  <c r="R858" i="3"/>
  <c r="S1103" i="3"/>
  <c r="R1103" i="3"/>
  <c r="S1353" i="3"/>
  <c r="R1353" i="3"/>
  <c r="S1601" i="3"/>
  <c r="R1601" i="3"/>
  <c r="S1852" i="3"/>
  <c r="R1852" i="3"/>
  <c r="S2098" i="3"/>
  <c r="R2098" i="3"/>
  <c r="S2384" i="3"/>
  <c r="R2384" i="3"/>
  <c r="S2682" i="3"/>
  <c r="R2682" i="3"/>
  <c r="R1523" i="3"/>
  <c r="S1523" i="3"/>
  <c r="S1790" i="3"/>
  <c r="R1790" i="3"/>
  <c r="S2040" i="3"/>
  <c r="R2040" i="3"/>
  <c r="S2349" i="3"/>
  <c r="R2349" i="3"/>
  <c r="S2643" i="3"/>
  <c r="R2643" i="3"/>
  <c r="S1508" i="3"/>
  <c r="R1508" i="3"/>
  <c r="S1759" i="3"/>
  <c r="R1759" i="3"/>
  <c r="S2009" i="3"/>
  <c r="R2009" i="3"/>
  <c r="S2277" i="3"/>
  <c r="R2277" i="3"/>
  <c r="S2604" i="3"/>
  <c r="R2604" i="3"/>
  <c r="R1477" i="3"/>
  <c r="S1477" i="3"/>
  <c r="S1728" i="3"/>
  <c r="R1728" i="3"/>
  <c r="S2010" i="3"/>
  <c r="R2010" i="3"/>
  <c r="R2297" i="3"/>
  <c r="S2297" i="3"/>
  <c r="R2586" i="3"/>
  <c r="S2586" i="3"/>
  <c r="S3046" i="3"/>
  <c r="R3046" i="3"/>
  <c r="S1729" i="3"/>
  <c r="R1729" i="3"/>
  <c r="S1980" i="3"/>
  <c r="R1980" i="3"/>
  <c r="S2245" i="3"/>
  <c r="R2245" i="3"/>
  <c r="S2548" i="3"/>
  <c r="R2548" i="3"/>
  <c r="R2943" i="3"/>
  <c r="S2943" i="3"/>
  <c r="S984" i="3"/>
  <c r="R984" i="3"/>
  <c r="S1249" i="3"/>
  <c r="R1249" i="3"/>
  <c r="R1511" i="3"/>
  <c r="S1511" i="3"/>
  <c r="S1762" i="3"/>
  <c r="R1762" i="3"/>
  <c r="R2028" i="3"/>
  <c r="S2028" i="3"/>
  <c r="S2317" i="3"/>
  <c r="R2317" i="3"/>
  <c r="S2629" i="3"/>
  <c r="R2629" i="3"/>
  <c r="S2890" i="3"/>
  <c r="R2890" i="3"/>
  <c r="S1796" i="3"/>
  <c r="R1796" i="3"/>
  <c r="S2061" i="3"/>
  <c r="R2061" i="3"/>
  <c r="R2356" i="3"/>
  <c r="S2356" i="3"/>
  <c r="S2691" i="3"/>
  <c r="R2691" i="3"/>
  <c r="S1923" i="3"/>
  <c r="R1923" i="3"/>
  <c r="S2176" i="3"/>
  <c r="R2176" i="3"/>
  <c r="S2464" i="3"/>
  <c r="R2464" i="3"/>
  <c r="S2777" i="3"/>
  <c r="R2777" i="3"/>
  <c r="S1877" i="3"/>
  <c r="R1877" i="3"/>
  <c r="R2124" i="3"/>
  <c r="S2124" i="3"/>
  <c r="S2413" i="3"/>
  <c r="R2413" i="3"/>
  <c r="R2735" i="3"/>
  <c r="S2735" i="3"/>
  <c r="R1563" i="3"/>
  <c r="S1563" i="3"/>
  <c r="S1814" i="3"/>
  <c r="R1814" i="3"/>
  <c r="S2064" i="3"/>
  <c r="R2064" i="3"/>
  <c r="S2360" i="3"/>
  <c r="R2360" i="3"/>
  <c r="R2653" i="3"/>
  <c r="S2653" i="3"/>
  <c r="R1501" i="3"/>
  <c r="S1501" i="3"/>
  <c r="S1752" i="3"/>
  <c r="R1752" i="3"/>
  <c r="S2018" i="3"/>
  <c r="R2018" i="3"/>
  <c r="S2287" i="3"/>
  <c r="R2287" i="3"/>
  <c r="S2595" i="3"/>
  <c r="R2595" i="3"/>
  <c r="R3302" i="3"/>
  <c r="S3302" i="3"/>
  <c r="S1721" i="3"/>
  <c r="R1721" i="3"/>
  <c r="S1972" i="3"/>
  <c r="R1972" i="3"/>
  <c r="S2270" i="3"/>
  <c r="R2270" i="3"/>
  <c r="S2577" i="3"/>
  <c r="R2577" i="3"/>
  <c r="R2999" i="3"/>
  <c r="S2999" i="3"/>
  <c r="S1849" i="3"/>
  <c r="R1849" i="3"/>
  <c r="S2095" i="3"/>
  <c r="R2095" i="3"/>
  <c r="R2381" i="3"/>
  <c r="S2381" i="3"/>
  <c r="S2677" i="3"/>
  <c r="R2677" i="3"/>
  <c r="S2910" i="3"/>
  <c r="R2910" i="3"/>
  <c r="S1788" i="3"/>
  <c r="R1788" i="3"/>
  <c r="S2038" i="3"/>
  <c r="R2038" i="3"/>
  <c r="S2310" i="3"/>
  <c r="R2310" i="3"/>
  <c r="R2600" i="3"/>
  <c r="S2600" i="3"/>
  <c r="R3162" i="3"/>
  <c r="S3162" i="3"/>
  <c r="R2338" i="3"/>
  <c r="S2338" i="3"/>
  <c r="S2591" i="3"/>
  <c r="R2591" i="3"/>
  <c r="S2891" i="3"/>
  <c r="R2891" i="3"/>
  <c r="S3217" i="3"/>
  <c r="R3217" i="3"/>
  <c r="S3668" i="3"/>
  <c r="R3668" i="3"/>
  <c r="S3116" i="3"/>
  <c r="R3116" i="3"/>
  <c r="S3490" i="3"/>
  <c r="R3490" i="3"/>
  <c r="S2974" i="3"/>
  <c r="R2974" i="3"/>
  <c r="S3345" i="3"/>
  <c r="R3345" i="3"/>
  <c r="S3883" i="3"/>
  <c r="R3883" i="3"/>
  <c r="S3178" i="3"/>
  <c r="R3178" i="3"/>
  <c r="S3636" i="3"/>
  <c r="R3636" i="3"/>
  <c r="R3079" i="3"/>
  <c r="S3079" i="3"/>
  <c r="S3447" i="3"/>
  <c r="R3447" i="3"/>
  <c r="S2153" i="3"/>
  <c r="R2153" i="3"/>
  <c r="S2407" i="3"/>
  <c r="R2407" i="3"/>
  <c r="S2684" i="3"/>
  <c r="R2684" i="3"/>
  <c r="S2998" i="3"/>
  <c r="R2998" i="3"/>
  <c r="R3350" i="3"/>
  <c r="S3350" i="3"/>
  <c r="S3943" i="3"/>
  <c r="R3943" i="3"/>
  <c r="S3896" i="3"/>
  <c r="R3896" i="3"/>
  <c r="S3205" i="3"/>
  <c r="R3205" i="3"/>
  <c r="S3688" i="3"/>
  <c r="R3688" i="3"/>
  <c r="S3125" i="3"/>
  <c r="R3125" i="3"/>
  <c r="S3532" i="3"/>
  <c r="R3532" i="3"/>
  <c r="R3023" i="3"/>
  <c r="S3023" i="3"/>
  <c r="S3383" i="3"/>
  <c r="R3383" i="3"/>
  <c r="R3955" i="3"/>
  <c r="S3955" i="3"/>
  <c r="R3479" i="3"/>
  <c r="S3479" i="3"/>
  <c r="R2965" i="3"/>
  <c r="S2965" i="3"/>
  <c r="S3309" i="3"/>
  <c r="R3309" i="3"/>
  <c r="S3864" i="3"/>
  <c r="R3864" i="3"/>
  <c r="S3170" i="3"/>
  <c r="R3170" i="3"/>
  <c r="S3660" i="3"/>
  <c r="R3660" i="3"/>
  <c r="R3069" i="3"/>
  <c r="S3069" i="3"/>
  <c r="S3458" i="3"/>
  <c r="R3458" i="3"/>
  <c r="S3413" i="3"/>
  <c r="R3413" i="3"/>
  <c r="R2949" i="3"/>
  <c r="S2949" i="3"/>
  <c r="R3366" i="3"/>
  <c r="S3366" i="3"/>
  <c r="S3922" i="3"/>
  <c r="R3922" i="3"/>
  <c r="S2776" i="3"/>
  <c r="R2776" i="3"/>
  <c r="S3060" i="3"/>
  <c r="R3060" i="3"/>
  <c r="S3352" i="3"/>
  <c r="R3352" i="3"/>
  <c r="S3674" i="3"/>
  <c r="R3674" i="3"/>
  <c r="S3987" i="3"/>
  <c r="R3987" i="3"/>
  <c r="R3243" i="3"/>
  <c r="S3243" i="3"/>
  <c r="S3539" i="3"/>
  <c r="R3539" i="3"/>
  <c r="S3852" i="3"/>
  <c r="R3852" i="3"/>
  <c r="S3600" i="3"/>
  <c r="R3600" i="3"/>
  <c r="S3932" i="3"/>
  <c r="R3932" i="3"/>
  <c r="S3698" i="3"/>
  <c r="R3698" i="3"/>
  <c r="S4012" i="3"/>
  <c r="R4012" i="3"/>
  <c r="S3996" i="3"/>
  <c r="R3996" i="3"/>
  <c r="S2720" i="3"/>
  <c r="R2720" i="3"/>
  <c r="S3034" i="3"/>
  <c r="R3034" i="3"/>
  <c r="S3322" i="3"/>
  <c r="R3322" i="3"/>
  <c r="S3645" i="3"/>
  <c r="R3645" i="3"/>
  <c r="S3959" i="3"/>
  <c r="R3959" i="3"/>
  <c r="S3705" i="3"/>
  <c r="R3705" i="3"/>
  <c r="S4018" i="3"/>
  <c r="R4018" i="3"/>
  <c r="S3764" i="3"/>
  <c r="R3764" i="3"/>
  <c r="S4079" i="3"/>
  <c r="R4079" i="3"/>
  <c r="S4063" i="3"/>
  <c r="R4063" i="3"/>
  <c r="S4064" i="3"/>
  <c r="R4064" i="3"/>
  <c r="S3477" i="3"/>
  <c r="R3477" i="3"/>
  <c r="S3791" i="3"/>
  <c r="R3791" i="3"/>
  <c r="R2775" i="3"/>
  <c r="S2775" i="3"/>
  <c r="S3024" i="3"/>
  <c r="R3024" i="3"/>
  <c r="R3300" i="3"/>
  <c r="S3300" i="3"/>
  <c r="R3543" i="3"/>
  <c r="S3543" i="3"/>
  <c r="S3798" i="3"/>
  <c r="R3798" i="3"/>
  <c r="S4053" i="3"/>
  <c r="R4053" i="3"/>
  <c r="S3451" i="3"/>
  <c r="R3451" i="3"/>
  <c r="S3703" i="3"/>
  <c r="R3703" i="3"/>
  <c r="S3958" i="3"/>
  <c r="R3958" i="3"/>
  <c r="R2799" i="3"/>
  <c r="S2799" i="3"/>
  <c r="S3078" i="3"/>
  <c r="R3078" i="3"/>
  <c r="R3323" i="3"/>
  <c r="S3323" i="3"/>
  <c r="S3567" i="3"/>
  <c r="R3567" i="3"/>
  <c r="S3821" i="3"/>
  <c r="R3821" i="3"/>
  <c r="S4077" i="3"/>
  <c r="R4077" i="3"/>
  <c r="S180" i="3"/>
  <c r="R180" i="3"/>
  <c r="S627" i="3"/>
  <c r="R627" i="3"/>
  <c r="S216" i="3"/>
  <c r="R216" i="3"/>
  <c r="S750" i="3"/>
  <c r="R750" i="3"/>
  <c r="S174" i="3"/>
  <c r="R174" i="3"/>
  <c r="S213" i="3"/>
  <c r="R213" i="3"/>
  <c r="S51" i="3"/>
  <c r="R51" i="3"/>
  <c r="S691" i="3"/>
  <c r="R691" i="3"/>
  <c r="S179" i="3"/>
  <c r="R179" i="3"/>
  <c r="S18" i="3"/>
  <c r="R18" i="3"/>
  <c r="S464" i="3"/>
  <c r="R464" i="3"/>
  <c r="S124" i="3"/>
  <c r="R124" i="3"/>
  <c r="S378" i="3"/>
  <c r="R378" i="3"/>
  <c r="R629" i="3"/>
  <c r="S629" i="3"/>
  <c r="S914" i="3"/>
  <c r="R914" i="3"/>
  <c r="S1198" i="3"/>
  <c r="R1198" i="3"/>
  <c r="R1483" i="3"/>
  <c r="S1483" i="3"/>
  <c r="S331" i="3"/>
  <c r="R331" i="3"/>
  <c r="S583" i="3"/>
  <c r="R583" i="3"/>
  <c r="S865" i="3"/>
  <c r="R865" i="3"/>
  <c r="S1145" i="3"/>
  <c r="R1145" i="3"/>
  <c r="R1427" i="3"/>
  <c r="S1427" i="3"/>
  <c r="S284" i="3"/>
  <c r="R284" i="3"/>
  <c r="S539" i="3"/>
  <c r="R539" i="3"/>
  <c r="S798" i="3"/>
  <c r="R798" i="3"/>
  <c r="R1075" i="3"/>
  <c r="S1075" i="3"/>
  <c r="S1360" i="3"/>
  <c r="R1360" i="3"/>
  <c r="S2112" i="3"/>
  <c r="R2112" i="3"/>
  <c r="S477" i="3"/>
  <c r="R477" i="3"/>
  <c r="S730" i="3"/>
  <c r="R730" i="3"/>
  <c r="S1058" i="3"/>
  <c r="R1058" i="3"/>
  <c r="S1361" i="3"/>
  <c r="R1361" i="3"/>
  <c r="S2121" i="3"/>
  <c r="R2121" i="3"/>
  <c r="S462" i="3"/>
  <c r="R462" i="3"/>
  <c r="S731" i="3"/>
  <c r="R731" i="3"/>
  <c r="S1006" i="3"/>
  <c r="R1006" i="3"/>
  <c r="R1293" i="3"/>
  <c r="S1293" i="3"/>
  <c r="S1795" i="3"/>
  <c r="R1795" i="3"/>
  <c r="R145" i="3"/>
  <c r="S145" i="3"/>
  <c r="S399" i="3"/>
  <c r="R399" i="3"/>
  <c r="S650" i="3"/>
  <c r="R650" i="3"/>
  <c r="S937" i="3"/>
  <c r="R937" i="3"/>
  <c r="S1222" i="3"/>
  <c r="R1222" i="3"/>
  <c r="R1531" i="3"/>
  <c r="S1531" i="3"/>
  <c r="S2021" i="3"/>
  <c r="R2021" i="3"/>
  <c r="R449" i="3"/>
  <c r="S449" i="3"/>
  <c r="S716" i="3"/>
  <c r="R716" i="3"/>
  <c r="S1027" i="3"/>
  <c r="R1027" i="3"/>
  <c r="R1315" i="3"/>
  <c r="S1315" i="3"/>
  <c r="S1905" i="3"/>
  <c r="R1905" i="3"/>
  <c r="S434" i="3"/>
  <c r="R434" i="3"/>
  <c r="S685" i="3"/>
  <c r="R685" i="3"/>
  <c r="S975" i="3"/>
  <c r="R975" i="3"/>
  <c r="R1261" i="3"/>
  <c r="S1261" i="3"/>
  <c r="S1734" i="3"/>
  <c r="R1734" i="3"/>
  <c r="S403" i="3"/>
  <c r="R403" i="3"/>
  <c r="S654" i="3"/>
  <c r="R654" i="3"/>
  <c r="R924" i="3"/>
  <c r="S924" i="3"/>
  <c r="S1226" i="3"/>
  <c r="R1226" i="3"/>
  <c r="S1577" i="3"/>
  <c r="R1577" i="3"/>
  <c r="S372" i="3"/>
  <c r="R372" i="3"/>
  <c r="S623" i="3"/>
  <c r="R623" i="3"/>
  <c r="R892" i="3"/>
  <c r="S892" i="3"/>
  <c r="S1191" i="3"/>
  <c r="R1191" i="3"/>
  <c r="S1505" i="3"/>
  <c r="R1505" i="3"/>
  <c r="S325" i="3"/>
  <c r="R325" i="3"/>
  <c r="R577" i="3"/>
  <c r="S577" i="3"/>
  <c r="S841" i="3"/>
  <c r="R841" i="3"/>
  <c r="S1120" i="3"/>
  <c r="R1120" i="3"/>
  <c r="R1421" i="3"/>
  <c r="S1421" i="3"/>
  <c r="R2797" i="3"/>
  <c r="S2797" i="3"/>
  <c r="S518" i="3"/>
  <c r="R518" i="3"/>
  <c r="S793" i="3"/>
  <c r="R793" i="3"/>
  <c r="R1068" i="3"/>
  <c r="S1068" i="3"/>
  <c r="S1370" i="3"/>
  <c r="R1370" i="3"/>
  <c r="S2202" i="3"/>
  <c r="R2202" i="3"/>
  <c r="S471" i="3"/>
  <c r="R471" i="3"/>
  <c r="S741" i="3"/>
  <c r="R741" i="3"/>
  <c r="S1017" i="3"/>
  <c r="R1017" i="3"/>
  <c r="R1303" i="3"/>
  <c r="S1303" i="3"/>
  <c r="S1842" i="3"/>
  <c r="R1842" i="3"/>
  <c r="R2658" i="3"/>
  <c r="S2658" i="3"/>
  <c r="R521" i="3"/>
  <c r="S521" i="3"/>
  <c r="S778" i="3"/>
  <c r="R778" i="3"/>
  <c r="S1053" i="3"/>
  <c r="R1053" i="3"/>
  <c r="R1339" i="3"/>
  <c r="S1339" i="3"/>
  <c r="S1966" i="3"/>
  <c r="R1966" i="3"/>
  <c r="S873" i="3"/>
  <c r="R873" i="3"/>
  <c r="S1118" i="3"/>
  <c r="R1118" i="3"/>
  <c r="S1368" i="3"/>
  <c r="R1368" i="3"/>
  <c r="S1616" i="3"/>
  <c r="R1616" i="3"/>
  <c r="S1868" i="3"/>
  <c r="R1868" i="3"/>
  <c r="S2114" i="3"/>
  <c r="R2114" i="3"/>
  <c r="S2403" i="3"/>
  <c r="R2403" i="3"/>
  <c r="R2703" i="3"/>
  <c r="S2703" i="3"/>
  <c r="S1538" i="3"/>
  <c r="R1538" i="3"/>
  <c r="S1806" i="3"/>
  <c r="R1806" i="3"/>
  <c r="S2056" i="3"/>
  <c r="R2056" i="3"/>
  <c r="S2367" i="3"/>
  <c r="R2367" i="3"/>
  <c r="R2662" i="3"/>
  <c r="S2662" i="3"/>
  <c r="S1524" i="3"/>
  <c r="R1524" i="3"/>
  <c r="S1775" i="3"/>
  <c r="R1775" i="3"/>
  <c r="S2025" i="3"/>
  <c r="R2025" i="3"/>
  <c r="S2296" i="3"/>
  <c r="R2296" i="3"/>
  <c r="R2624" i="3"/>
  <c r="S2624" i="3"/>
  <c r="R1493" i="3"/>
  <c r="S1493" i="3"/>
  <c r="S1744" i="3"/>
  <c r="R1744" i="3"/>
  <c r="S2026" i="3"/>
  <c r="R2026" i="3"/>
  <c r="S2315" i="3"/>
  <c r="R2315" i="3"/>
  <c r="S2605" i="3"/>
  <c r="R2605" i="3"/>
  <c r="R3203" i="3"/>
  <c r="S3203" i="3"/>
  <c r="S1745" i="3"/>
  <c r="R1745" i="3"/>
  <c r="S1995" i="3"/>
  <c r="R1995" i="3"/>
  <c r="S2280" i="3"/>
  <c r="R2280" i="3"/>
  <c r="R2568" i="3"/>
  <c r="S2568" i="3"/>
  <c r="R3215" i="3"/>
  <c r="S3215" i="3"/>
  <c r="S999" i="3"/>
  <c r="R999" i="3"/>
  <c r="S1265" i="3"/>
  <c r="R1265" i="3"/>
  <c r="S1527" i="3"/>
  <c r="R1527" i="3"/>
  <c r="S1778" i="3"/>
  <c r="R1778" i="3"/>
  <c r="R2044" i="3"/>
  <c r="S2044" i="3"/>
  <c r="S2335" i="3"/>
  <c r="R2335" i="3"/>
  <c r="S2668" i="3"/>
  <c r="R2668" i="3"/>
  <c r="S2958" i="3"/>
  <c r="R2958" i="3"/>
  <c r="S1827" i="3"/>
  <c r="R1827" i="3"/>
  <c r="S2075" i="3"/>
  <c r="R2075" i="3"/>
  <c r="S2374" i="3"/>
  <c r="R2374" i="3"/>
  <c r="R2711" i="3"/>
  <c r="S2711" i="3"/>
  <c r="S1939" i="3"/>
  <c r="R1939" i="3"/>
  <c r="S2194" i="3"/>
  <c r="R2194" i="3"/>
  <c r="S2481" i="3"/>
  <c r="R2481" i="3"/>
  <c r="S2800" i="3"/>
  <c r="R2800" i="3"/>
  <c r="S1892" i="3"/>
  <c r="R1892" i="3"/>
  <c r="S2141" i="3"/>
  <c r="R2141" i="3"/>
  <c r="S2430" i="3"/>
  <c r="R2430" i="3"/>
  <c r="R2756" i="3"/>
  <c r="S2756" i="3"/>
  <c r="R1579" i="3"/>
  <c r="S1579" i="3"/>
  <c r="S1830" i="3"/>
  <c r="R1830" i="3"/>
  <c r="S2078" i="3"/>
  <c r="R2078" i="3"/>
  <c r="S2378" i="3"/>
  <c r="R2378" i="3"/>
  <c r="R2674" i="3"/>
  <c r="S2674" i="3"/>
  <c r="R1517" i="3"/>
  <c r="S1517" i="3"/>
  <c r="S1768" i="3"/>
  <c r="R1768" i="3"/>
  <c r="S2034" i="3"/>
  <c r="R2034" i="3"/>
  <c r="S2305" i="3"/>
  <c r="R2305" i="3"/>
  <c r="R2616" i="3"/>
  <c r="S2616" i="3"/>
  <c r="R1486" i="3"/>
  <c r="S1486" i="3"/>
  <c r="S1737" i="3"/>
  <c r="R1737" i="3"/>
  <c r="R1987" i="3"/>
  <c r="S1987" i="3"/>
  <c r="S2288" i="3"/>
  <c r="R2288" i="3"/>
  <c r="S2597" i="3"/>
  <c r="R2597" i="3"/>
  <c r="R3133" i="3"/>
  <c r="S3133" i="3"/>
  <c r="S1865" i="3"/>
  <c r="R1865" i="3"/>
  <c r="S2111" i="3"/>
  <c r="R2111" i="3"/>
  <c r="S2399" i="3"/>
  <c r="R2399" i="3"/>
  <c r="R2699" i="3"/>
  <c r="S2699" i="3"/>
  <c r="S3010" i="3"/>
  <c r="R3010" i="3"/>
  <c r="S1804" i="3"/>
  <c r="R1804" i="3"/>
  <c r="S2054" i="3"/>
  <c r="R2054" i="3"/>
  <c r="S2329" i="3"/>
  <c r="R2329" i="3"/>
  <c r="S2621" i="3"/>
  <c r="R2621" i="3"/>
  <c r="S3353" i="3"/>
  <c r="R3353" i="3"/>
  <c r="S2354" i="3"/>
  <c r="R2354" i="3"/>
  <c r="R2608" i="3"/>
  <c r="S2608" i="3"/>
  <c r="R2913" i="3"/>
  <c r="S2913" i="3"/>
  <c r="S3244" i="3"/>
  <c r="R3244" i="3"/>
  <c r="S3708" i="3"/>
  <c r="R3708" i="3"/>
  <c r="S3137" i="3"/>
  <c r="R3137" i="3"/>
  <c r="S3515" i="3"/>
  <c r="R3515" i="3"/>
  <c r="S2994" i="3"/>
  <c r="R2994" i="3"/>
  <c r="S3372" i="3"/>
  <c r="R3372" i="3"/>
  <c r="S3935" i="3"/>
  <c r="R3935" i="3"/>
  <c r="R3198" i="3"/>
  <c r="S3198" i="3"/>
  <c r="S3675" i="3"/>
  <c r="R3675" i="3"/>
  <c r="R3099" i="3"/>
  <c r="S3099" i="3"/>
  <c r="S3470" i="3"/>
  <c r="R3470" i="3"/>
  <c r="S2169" i="3"/>
  <c r="R2169" i="3"/>
  <c r="S2423" i="3"/>
  <c r="R2423" i="3"/>
  <c r="S2702" i="3"/>
  <c r="R2702" i="3"/>
  <c r="S3019" i="3"/>
  <c r="R3019" i="3"/>
  <c r="S3376" i="3"/>
  <c r="R3376" i="3"/>
  <c r="S3377" i="3"/>
  <c r="R3377" i="3"/>
  <c r="S3944" i="3"/>
  <c r="R3944" i="3"/>
  <c r="S3229" i="3"/>
  <c r="R3229" i="3"/>
  <c r="S3727" i="3"/>
  <c r="R3727" i="3"/>
  <c r="S3146" i="3"/>
  <c r="R3146" i="3"/>
  <c r="S3571" i="3"/>
  <c r="R3571" i="3"/>
  <c r="R3045" i="3"/>
  <c r="S3045" i="3"/>
  <c r="S3404" i="3"/>
  <c r="R3404" i="3"/>
  <c r="R3065" i="3"/>
  <c r="S3065" i="3"/>
  <c r="R3505" i="3"/>
  <c r="S3505" i="3"/>
  <c r="S2986" i="3"/>
  <c r="R2986" i="3"/>
  <c r="S3336" i="3"/>
  <c r="R3336" i="3"/>
  <c r="S3905" i="3"/>
  <c r="R3905" i="3"/>
  <c r="R3190" i="3"/>
  <c r="S3190" i="3"/>
  <c r="S3699" i="3"/>
  <c r="R3699" i="3"/>
  <c r="S3090" i="3"/>
  <c r="R3090" i="3"/>
  <c r="S3485" i="3"/>
  <c r="R3485" i="3"/>
  <c r="S3438" i="3"/>
  <c r="R3438" i="3"/>
  <c r="S2970" i="3"/>
  <c r="R2970" i="3"/>
  <c r="S3392" i="3"/>
  <c r="R3392" i="3"/>
  <c r="S3982" i="3"/>
  <c r="R3982" i="3"/>
  <c r="S2794" i="3"/>
  <c r="R2794" i="3"/>
  <c r="R3077" i="3"/>
  <c r="S3077" i="3"/>
  <c r="R3371" i="3"/>
  <c r="S3371" i="3"/>
  <c r="S3693" i="3"/>
  <c r="R3693" i="3"/>
  <c r="S4008" i="3"/>
  <c r="R4008" i="3"/>
  <c r="S3260" i="3"/>
  <c r="R3260" i="3"/>
  <c r="S3558" i="3"/>
  <c r="R3558" i="3"/>
  <c r="S3872" i="3"/>
  <c r="R3872" i="3"/>
  <c r="S3619" i="3"/>
  <c r="R3619" i="3"/>
  <c r="S3952" i="3"/>
  <c r="R3952" i="3"/>
  <c r="S3717" i="3"/>
  <c r="R3717" i="3"/>
  <c r="S4032" i="3"/>
  <c r="R4032" i="3"/>
  <c r="S4016" i="3"/>
  <c r="R4016" i="3"/>
  <c r="S2736" i="3"/>
  <c r="R2736" i="3"/>
  <c r="R3051" i="3"/>
  <c r="S3051" i="3"/>
  <c r="R3342" i="3"/>
  <c r="S3342" i="3"/>
  <c r="S3664" i="3"/>
  <c r="R3664" i="3"/>
  <c r="S3978" i="3"/>
  <c r="R3978" i="3"/>
  <c r="S3724" i="3"/>
  <c r="R3724" i="3"/>
  <c r="S4039" i="3"/>
  <c r="R4039" i="3"/>
  <c r="S3785" i="3"/>
  <c r="R3785" i="3"/>
  <c r="S4001" i="3"/>
  <c r="R4001" i="3"/>
  <c r="S4082" i="3"/>
  <c r="R4082" i="3"/>
  <c r="R4083" i="3"/>
  <c r="S4083" i="3"/>
  <c r="R3497" i="3"/>
  <c r="S3497" i="3"/>
  <c r="R3809" i="3"/>
  <c r="S3809" i="3"/>
  <c r="R2791" i="3"/>
  <c r="S2791" i="3"/>
  <c r="S3040" i="3"/>
  <c r="R3040" i="3"/>
  <c r="R3315" i="3"/>
  <c r="S3315" i="3"/>
  <c r="S3559" i="3"/>
  <c r="R3559" i="3"/>
  <c r="S3813" i="3"/>
  <c r="R3813" i="3"/>
  <c r="S4069" i="3"/>
  <c r="R4069" i="3"/>
  <c r="S3465" i="3"/>
  <c r="R3465" i="3"/>
  <c r="S3719" i="3"/>
  <c r="R3719" i="3"/>
  <c r="S3974" i="3"/>
  <c r="R3974" i="3"/>
  <c r="R2815" i="3"/>
  <c r="S2815" i="3"/>
  <c r="R3094" i="3"/>
  <c r="S3094" i="3"/>
  <c r="R3339" i="3"/>
  <c r="S3339" i="3"/>
  <c r="S3583" i="3"/>
  <c r="R3583" i="3"/>
  <c r="S3837" i="3"/>
  <c r="R3837" i="3"/>
  <c r="S4093" i="3"/>
  <c r="R4093" i="3"/>
  <c r="S71" i="3"/>
  <c r="R71" i="3"/>
  <c r="S182" i="3"/>
  <c r="R182" i="3"/>
  <c r="S1195" i="3"/>
  <c r="R1195" i="3"/>
  <c r="S37" i="3"/>
  <c r="R37" i="3"/>
  <c r="S27" i="3"/>
  <c r="R27" i="3"/>
  <c r="S724" i="3"/>
  <c r="R724" i="3"/>
  <c r="S202" i="3"/>
  <c r="R202" i="3"/>
  <c r="R77" i="3"/>
  <c r="S77" i="3"/>
  <c r="S887" i="3"/>
  <c r="R887" i="3"/>
  <c r="S205" i="3"/>
  <c r="R205" i="3"/>
  <c r="S42" i="3"/>
  <c r="R42" i="3"/>
  <c r="R768" i="3"/>
  <c r="S768" i="3"/>
  <c r="R209" i="3"/>
  <c r="S209" i="3"/>
  <c r="S46" i="3"/>
  <c r="R46" i="3"/>
  <c r="S659" i="3"/>
  <c r="R659" i="3"/>
  <c r="R193" i="3"/>
  <c r="S193" i="3"/>
  <c r="S67" i="3"/>
  <c r="R67" i="3"/>
  <c r="S1089" i="3"/>
  <c r="R1089" i="3"/>
  <c r="S231" i="3"/>
  <c r="R231" i="3"/>
  <c r="S69" i="3"/>
  <c r="R69" i="3"/>
  <c r="S827" i="3"/>
  <c r="R827" i="3"/>
  <c r="S197" i="3"/>
  <c r="R197" i="3"/>
  <c r="S36" i="3"/>
  <c r="R36" i="3"/>
  <c r="S588" i="3"/>
  <c r="R588" i="3"/>
  <c r="S140" i="3"/>
  <c r="R140" i="3"/>
  <c r="S394" i="3"/>
  <c r="R394" i="3"/>
  <c r="S645" i="3"/>
  <c r="R645" i="3"/>
  <c r="S931" i="3"/>
  <c r="R931" i="3"/>
  <c r="S1216" i="3"/>
  <c r="R1216" i="3"/>
  <c r="S1520" i="3"/>
  <c r="R1520" i="3"/>
  <c r="S347" i="3"/>
  <c r="R347" i="3"/>
  <c r="S599" i="3"/>
  <c r="R599" i="3"/>
  <c r="S882" i="3"/>
  <c r="R882" i="3"/>
  <c r="S1163" i="3"/>
  <c r="R1163" i="3"/>
  <c r="S1444" i="3"/>
  <c r="R1444" i="3"/>
  <c r="S300" i="3"/>
  <c r="R300" i="3"/>
  <c r="R553" i="3"/>
  <c r="S553" i="3"/>
  <c r="S815" i="3"/>
  <c r="R815" i="3"/>
  <c r="S1094" i="3"/>
  <c r="R1094" i="3"/>
  <c r="S1376" i="3"/>
  <c r="R1376" i="3"/>
  <c r="S2255" i="3"/>
  <c r="R2255" i="3"/>
  <c r="S493" i="3"/>
  <c r="R493" i="3"/>
  <c r="S747" i="3"/>
  <c r="R747" i="3"/>
  <c r="R1076" i="3"/>
  <c r="S1076" i="3"/>
  <c r="S1377" i="3"/>
  <c r="R1377" i="3"/>
  <c r="S2264" i="3"/>
  <c r="R2264" i="3"/>
  <c r="S478" i="3"/>
  <c r="R478" i="3"/>
  <c r="S748" i="3"/>
  <c r="R748" i="3"/>
  <c r="S1023" i="3"/>
  <c r="R1023" i="3"/>
  <c r="R1311" i="3"/>
  <c r="S1311" i="3"/>
  <c r="S1881" i="3"/>
  <c r="R1881" i="3"/>
  <c r="R161" i="3"/>
  <c r="S161" i="3"/>
  <c r="S415" i="3"/>
  <c r="R415" i="3"/>
  <c r="S666" i="3"/>
  <c r="R666" i="3"/>
  <c r="S955" i="3"/>
  <c r="R955" i="3"/>
  <c r="S1240" i="3"/>
  <c r="R1240" i="3"/>
  <c r="S1567" i="3"/>
  <c r="R1567" i="3"/>
  <c r="S2146" i="3"/>
  <c r="R2146" i="3"/>
  <c r="R465" i="3"/>
  <c r="S465" i="3"/>
  <c r="S734" i="3"/>
  <c r="R734" i="3"/>
  <c r="R1044" i="3"/>
  <c r="S1044" i="3"/>
  <c r="S1348" i="3"/>
  <c r="R1348" i="3"/>
  <c r="S2029" i="3"/>
  <c r="R2029" i="3"/>
  <c r="S450" i="3"/>
  <c r="R450" i="3"/>
  <c r="S701" i="3"/>
  <c r="R701" i="3"/>
  <c r="S993" i="3"/>
  <c r="R993" i="3"/>
  <c r="R1279" i="3"/>
  <c r="S1279" i="3"/>
  <c r="S1812" i="3"/>
  <c r="R1812" i="3"/>
  <c r="S419" i="3"/>
  <c r="R419" i="3"/>
  <c r="S670" i="3"/>
  <c r="R670" i="3"/>
  <c r="S942" i="3"/>
  <c r="R942" i="3"/>
  <c r="R1262" i="3"/>
  <c r="S1262" i="3"/>
  <c r="S1676" i="3"/>
  <c r="R1676" i="3"/>
  <c r="S388" i="3"/>
  <c r="R388" i="3"/>
  <c r="S639" i="3"/>
  <c r="R639" i="3"/>
  <c r="R908" i="3"/>
  <c r="S908" i="3"/>
  <c r="S1209" i="3"/>
  <c r="R1209" i="3"/>
  <c r="S1544" i="3"/>
  <c r="R1544" i="3"/>
  <c r="S341" i="3"/>
  <c r="R341" i="3"/>
  <c r="S593" i="3"/>
  <c r="R593" i="3"/>
  <c r="S857" i="3"/>
  <c r="R857" i="3"/>
  <c r="S1138" i="3"/>
  <c r="R1138" i="3"/>
  <c r="R1438" i="3"/>
  <c r="S1438" i="3"/>
  <c r="S278" i="3"/>
  <c r="R278" i="3"/>
  <c r="S534" i="3"/>
  <c r="R534" i="3"/>
  <c r="S809" i="3"/>
  <c r="R809" i="3"/>
  <c r="S1086" i="3"/>
  <c r="R1086" i="3"/>
  <c r="S1386" i="3"/>
  <c r="R1386" i="3"/>
  <c r="S2346" i="3"/>
  <c r="R2346" i="3"/>
  <c r="S487" i="3"/>
  <c r="R487" i="3"/>
  <c r="S758" i="3"/>
  <c r="R758" i="3"/>
  <c r="S1034" i="3"/>
  <c r="R1034" i="3"/>
  <c r="S1336" i="3"/>
  <c r="R1336" i="3"/>
  <c r="S1951" i="3"/>
  <c r="R1951" i="3"/>
  <c r="S2833" i="3"/>
  <c r="R2833" i="3"/>
  <c r="S536" i="3"/>
  <c r="R536" i="3"/>
  <c r="S796" i="3"/>
  <c r="R796" i="3"/>
  <c r="S1071" i="3"/>
  <c r="R1071" i="3"/>
  <c r="S1356" i="3"/>
  <c r="R1356" i="3"/>
  <c r="S2089" i="3"/>
  <c r="R2089" i="3"/>
  <c r="S889" i="3"/>
  <c r="R889" i="3"/>
  <c r="S1134" i="3"/>
  <c r="R1134" i="3"/>
  <c r="R1382" i="3"/>
  <c r="S1382" i="3"/>
  <c r="S1631" i="3"/>
  <c r="R1631" i="3"/>
  <c r="S1883" i="3"/>
  <c r="R1883" i="3"/>
  <c r="S2130" i="3"/>
  <c r="R2130" i="3"/>
  <c r="S2421" i="3"/>
  <c r="R2421" i="3"/>
  <c r="S2724" i="3"/>
  <c r="R2724" i="3"/>
  <c r="S1554" i="3"/>
  <c r="R1554" i="3"/>
  <c r="S1821" i="3"/>
  <c r="R1821" i="3"/>
  <c r="S2099" i="3"/>
  <c r="R2099" i="3"/>
  <c r="S2385" i="3"/>
  <c r="R2385" i="3"/>
  <c r="R2683" i="3"/>
  <c r="S2683" i="3"/>
  <c r="R1539" i="3"/>
  <c r="S1539" i="3"/>
  <c r="S1791" i="3"/>
  <c r="R1791" i="3"/>
  <c r="S2041" i="3"/>
  <c r="R2041" i="3"/>
  <c r="S2314" i="3"/>
  <c r="R2314" i="3"/>
  <c r="R2645" i="3"/>
  <c r="S2645" i="3"/>
  <c r="R1509" i="3"/>
  <c r="S1509" i="3"/>
  <c r="S1760" i="3"/>
  <c r="R1760" i="3"/>
  <c r="S2042" i="3"/>
  <c r="R2042" i="3"/>
  <c r="S2333" i="3"/>
  <c r="R2333" i="3"/>
  <c r="S2625" i="3"/>
  <c r="R2625" i="3"/>
  <c r="R1494" i="3"/>
  <c r="S1494" i="3"/>
  <c r="S1761" i="3"/>
  <c r="R1761" i="3"/>
  <c r="S2011" i="3"/>
  <c r="R2011" i="3"/>
  <c r="S2298" i="3"/>
  <c r="R2298" i="3"/>
  <c r="S2587" i="3"/>
  <c r="R2587" i="3"/>
  <c r="R728" i="3"/>
  <c r="S728" i="3"/>
  <c r="S1015" i="3"/>
  <c r="R1015" i="3"/>
  <c r="S1281" i="3"/>
  <c r="R1281" i="3"/>
  <c r="R1542" i="3"/>
  <c r="S1542" i="3"/>
  <c r="S1794" i="3"/>
  <c r="R1794" i="3"/>
  <c r="S2059" i="3"/>
  <c r="R2059" i="3"/>
  <c r="R2353" i="3"/>
  <c r="S2353" i="3"/>
  <c r="S2689" i="3"/>
  <c r="R2689" i="3"/>
  <c r="R3071" i="3"/>
  <c r="S3071" i="3"/>
  <c r="S1843" i="3"/>
  <c r="R1843" i="3"/>
  <c r="S2090" i="3"/>
  <c r="R2090" i="3"/>
  <c r="S2393" i="3"/>
  <c r="R2393" i="3"/>
  <c r="S2732" i="3"/>
  <c r="R2732" i="3"/>
  <c r="S1953" i="3"/>
  <c r="R1953" i="3"/>
  <c r="S2213" i="3"/>
  <c r="R2213" i="3"/>
  <c r="S2499" i="3"/>
  <c r="R2499" i="3"/>
  <c r="S2824" i="3"/>
  <c r="R2824" i="3"/>
  <c r="S1908" i="3"/>
  <c r="R1908" i="3"/>
  <c r="S2159" i="3"/>
  <c r="R2159" i="3"/>
  <c r="S2465" i="3"/>
  <c r="R2465" i="3"/>
  <c r="S2778" i="3"/>
  <c r="R2778" i="3"/>
  <c r="R1595" i="3"/>
  <c r="S1595" i="3"/>
  <c r="S1846" i="3"/>
  <c r="R1846" i="3"/>
  <c r="S2093" i="3"/>
  <c r="R2093" i="3"/>
  <c r="R2396" i="3"/>
  <c r="S2396" i="3"/>
  <c r="S2694" i="3"/>
  <c r="R2694" i="3"/>
  <c r="R1533" i="3"/>
  <c r="S1533" i="3"/>
  <c r="S1784" i="3"/>
  <c r="R1784" i="3"/>
  <c r="S2050" i="3"/>
  <c r="R2050" i="3"/>
  <c r="R2324" i="3"/>
  <c r="S2324" i="3"/>
  <c r="R2654" i="3"/>
  <c r="S2654" i="3"/>
  <c r="R1502" i="3"/>
  <c r="S1502" i="3"/>
  <c r="S1753" i="3"/>
  <c r="R1753" i="3"/>
  <c r="S2003" i="3"/>
  <c r="R2003" i="3"/>
  <c r="S2307" i="3"/>
  <c r="R2307" i="3"/>
  <c r="S2617" i="3"/>
  <c r="R2617" i="3"/>
  <c r="S3313" i="3"/>
  <c r="R3313" i="3"/>
  <c r="R1880" i="3"/>
  <c r="S1880" i="3"/>
  <c r="S2127" i="3"/>
  <c r="R2127" i="3"/>
  <c r="S2417" i="3"/>
  <c r="R2417" i="3"/>
  <c r="R2719" i="3"/>
  <c r="S2719" i="3"/>
  <c r="S3152" i="3"/>
  <c r="R3152" i="3"/>
  <c r="S1819" i="3"/>
  <c r="R1819" i="3"/>
  <c r="R2068" i="3"/>
  <c r="S2068" i="3"/>
  <c r="S2347" i="3"/>
  <c r="R2347" i="3"/>
  <c r="R2640" i="3"/>
  <c r="S2640" i="3"/>
  <c r="S2118" i="3"/>
  <c r="R2118" i="3"/>
  <c r="S2370" i="3"/>
  <c r="R2370" i="3"/>
  <c r="R2626" i="3"/>
  <c r="S2626" i="3"/>
  <c r="S2931" i="3"/>
  <c r="R2931" i="3"/>
  <c r="R3267" i="3"/>
  <c r="S3267" i="3"/>
  <c r="S3747" i="3"/>
  <c r="R3747" i="3"/>
  <c r="R3155" i="3"/>
  <c r="S3155" i="3"/>
  <c r="S3553" i="3"/>
  <c r="R3553" i="3"/>
  <c r="S3014" i="3"/>
  <c r="R3014" i="3"/>
  <c r="S3396" i="3"/>
  <c r="R3396" i="3"/>
  <c r="S2896" i="3"/>
  <c r="R2896" i="3"/>
  <c r="S3247" i="3"/>
  <c r="R3247" i="3"/>
  <c r="S3714" i="3"/>
  <c r="R3714" i="3"/>
  <c r="S3120" i="3"/>
  <c r="R3120" i="3"/>
  <c r="S3493" i="3"/>
  <c r="R3493" i="3"/>
  <c r="S2185" i="3"/>
  <c r="R2185" i="3"/>
  <c r="R2437" i="3"/>
  <c r="S2437" i="3"/>
  <c r="S2721" i="3"/>
  <c r="R2721" i="3"/>
  <c r="R3039" i="3"/>
  <c r="S3039" i="3"/>
  <c r="S3400" i="3"/>
  <c r="R3400" i="3"/>
  <c r="S3401" i="3"/>
  <c r="R3401" i="3"/>
  <c r="S2922" i="3"/>
  <c r="R2922" i="3"/>
  <c r="S3253" i="3"/>
  <c r="R3253" i="3"/>
  <c r="S3765" i="3"/>
  <c r="R3765" i="3"/>
  <c r="R3165" i="3"/>
  <c r="S3165" i="3"/>
  <c r="S3611" i="3"/>
  <c r="R3611" i="3"/>
  <c r="S3064" i="3"/>
  <c r="R3064" i="3"/>
  <c r="S3432" i="3"/>
  <c r="R3432" i="3"/>
  <c r="R3085" i="3"/>
  <c r="S3085" i="3"/>
  <c r="S3534" i="3"/>
  <c r="R3534" i="3"/>
  <c r="R3005" i="3"/>
  <c r="S3005" i="3"/>
  <c r="S3359" i="3"/>
  <c r="R3359" i="3"/>
  <c r="S3962" i="3"/>
  <c r="R3962" i="3"/>
  <c r="R3213" i="3"/>
  <c r="S3213" i="3"/>
  <c r="S3739" i="3"/>
  <c r="R3739" i="3"/>
  <c r="S3111" i="3"/>
  <c r="R3111" i="3"/>
  <c r="S3509" i="3"/>
  <c r="R3509" i="3"/>
  <c r="R3510" i="3"/>
  <c r="S3510" i="3"/>
  <c r="S2990" i="3"/>
  <c r="R2990" i="3"/>
  <c r="S3415" i="3"/>
  <c r="R3415" i="3"/>
  <c r="S2543" i="3"/>
  <c r="R2543" i="3"/>
  <c r="S2812" i="3"/>
  <c r="R2812" i="3"/>
  <c r="R3096" i="3"/>
  <c r="S3096" i="3"/>
  <c r="S3389" i="3"/>
  <c r="R3389" i="3"/>
  <c r="S3713" i="3"/>
  <c r="R3713" i="3"/>
  <c r="S4027" i="3"/>
  <c r="R4027" i="3"/>
  <c r="R3278" i="3"/>
  <c r="S3278" i="3"/>
  <c r="S3579" i="3"/>
  <c r="R3579" i="3"/>
  <c r="S3891" i="3"/>
  <c r="R3891" i="3"/>
  <c r="R3638" i="3"/>
  <c r="S3638" i="3"/>
  <c r="S3971" i="3"/>
  <c r="R3971" i="3"/>
  <c r="S3738" i="3"/>
  <c r="R3738" i="3"/>
  <c r="S4051" i="3"/>
  <c r="R4051" i="3"/>
  <c r="S4035" i="3"/>
  <c r="R4035" i="3"/>
  <c r="S2752" i="3"/>
  <c r="R2752" i="3"/>
  <c r="S3068" i="3"/>
  <c r="R3068" i="3"/>
  <c r="S3360" i="3"/>
  <c r="R3360" i="3"/>
  <c r="S3683" i="3"/>
  <c r="R3683" i="3"/>
  <c r="S3998" i="3"/>
  <c r="R3998" i="3"/>
  <c r="S3744" i="3"/>
  <c r="R3744" i="3"/>
  <c r="S4058" i="3"/>
  <c r="R4058" i="3"/>
  <c r="S3803" i="3"/>
  <c r="R3803" i="3"/>
  <c r="S4020" i="3"/>
  <c r="R4020" i="3"/>
  <c r="S3789" i="3"/>
  <c r="R3789" i="3"/>
  <c r="S3220" i="3"/>
  <c r="R3220" i="3"/>
  <c r="S3516" i="3"/>
  <c r="R3516" i="3"/>
  <c r="S3828" i="3"/>
  <c r="R3828" i="3"/>
  <c r="R2807" i="3"/>
  <c r="S2807" i="3"/>
  <c r="R3055" i="3"/>
  <c r="S3055" i="3"/>
  <c r="R3331" i="3"/>
  <c r="S3331" i="3"/>
  <c r="S3575" i="3"/>
  <c r="R3575" i="3"/>
  <c r="S3829" i="3"/>
  <c r="R3829" i="3"/>
  <c r="S4085" i="3"/>
  <c r="R4085" i="3"/>
  <c r="S3481" i="3"/>
  <c r="R3481" i="3"/>
  <c r="S3735" i="3"/>
  <c r="R3735" i="3"/>
  <c r="S3990" i="3"/>
  <c r="R3990" i="3"/>
  <c r="R2831" i="3"/>
  <c r="S2831" i="3"/>
  <c r="S3110" i="3"/>
  <c r="R3110" i="3"/>
  <c r="R3355" i="3"/>
  <c r="S3355" i="3"/>
  <c r="R3599" i="3"/>
  <c r="S3599" i="3"/>
  <c r="S3853" i="3"/>
  <c r="R3853" i="3"/>
  <c r="S4094" i="3"/>
  <c r="R4094" i="3"/>
  <c r="S392" i="3"/>
  <c r="R392" i="3"/>
  <c r="S166" i="3"/>
  <c r="R166" i="3"/>
  <c r="S226" i="3"/>
  <c r="R226" i="3"/>
  <c r="S117" i="3"/>
  <c r="R117" i="3"/>
  <c r="S186" i="3"/>
  <c r="R186" i="3"/>
  <c r="S675" i="3"/>
  <c r="R675" i="3"/>
  <c r="S1338" i="3"/>
  <c r="R1338" i="3"/>
  <c r="R73" i="3"/>
  <c r="S73" i="3"/>
  <c r="S733" i="3"/>
  <c r="R733" i="3"/>
  <c r="S1026" i="3"/>
  <c r="R1026" i="3"/>
  <c r="S61" i="3"/>
  <c r="R61" i="3"/>
  <c r="R1043" i="3"/>
  <c r="S1043" i="3"/>
  <c r="S227" i="3"/>
  <c r="R227" i="3"/>
  <c r="S64" i="3"/>
  <c r="R64" i="3"/>
  <c r="S795" i="3"/>
  <c r="R795" i="3"/>
  <c r="S211" i="3"/>
  <c r="R211" i="3"/>
  <c r="S85" i="3"/>
  <c r="R85" i="3"/>
  <c r="S1232" i="3"/>
  <c r="R1232" i="3"/>
  <c r="S248" i="3"/>
  <c r="R248" i="3"/>
  <c r="S87" i="3"/>
  <c r="R87" i="3"/>
  <c r="R964" i="3"/>
  <c r="S964" i="3"/>
  <c r="S215" i="3"/>
  <c r="R215" i="3"/>
  <c r="S54" i="3"/>
  <c r="R54" i="3"/>
  <c r="S715" i="3"/>
  <c r="R715" i="3"/>
  <c r="S156" i="3"/>
  <c r="R156" i="3"/>
  <c r="S410" i="3"/>
  <c r="R410" i="3"/>
  <c r="S661" i="3"/>
  <c r="R661" i="3"/>
  <c r="S949" i="3"/>
  <c r="R949" i="3"/>
  <c r="R1235" i="3"/>
  <c r="S1235" i="3"/>
  <c r="S1559" i="3"/>
  <c r="R1559" i="3"/>
  <c r="S363" i="3"/>
  <c r="R363" i="3"/>
  <c r="S615" i="3"/>
  <c r="R615" i="3"/>
  <c r="S899" i="3"/>
  <c r="R899" i="3"/>
  <c r="R1180" i="3"/>
  <c r="S1180" i="3"/>
  <c r="R1462" i="3"/>
  <c r="S1462" i="3"/>
  <c r="S316" i="3"/>
  <c r="R316" i="3"/>
  <c r="S568" i="3"/>
  <c r="R568" i="3"/>
  <c r="S831" i="3"/>
  <c r="R831" i="3"/>
  <c r="S1110" i="3"/>
  <c r="R1110" i="3"/>
  <c r="S1392" i="3"/>
  <c r="R1392" i="3"/>
  <c r="S2400" i="3"/>
  <c r="R2400" i="3"/>
  <c r="S509" i="3"/>
  <c r="R509" i="3"/>
  <c r="S765" i="3"/>
  <c r="R765" i="3"/>
  <c r="S1095" i="3"/>
  <c r="R1095" i="3"/>
  <c r="S1393" i="3"/>
  <c r="R1393" i="3"/>
  <c r="R2410" i="3"/>
  <c r="S2410" i="3"/>
  <c r="S494" i="3"/>
  <c r="R494" i="3"/>
  <c r="S766" i="3"/>
  <c r="R766" i="3"/>
  <c r="S1041" i="3"/>
  <c r="R1041" i="3"/>
  <c r="S1328" i="3"/>
  <c r="R1328" i="3"/>
  <c r="S2005" i="3"/>
  <c r="R2005" i="3"/>
  <c r="S176" i="3"/>
  <c r="R176" i="3"/>
  <c r="S431" i="3"/>
  <c r="R431" i="3"/>
  <c r="S682" i="3"/>
  <c r="R682" i="3"/>
  <c r="R972" i="3"/>
  <c r="S972" i="3"/>
  <c r="S1257" i="3"/>
  <c r="R1257" i="3"/>
  <c r="S1608" i="3"/>
  <c r="R1608" i="3"/>
  <c r="S2291" i="3"/>
  <c r="R2291" i="3"/>
  <c r="R481" i="3"/>
  <c r="S481" i="3"/>
  <c r="S751" i="3"/>
  <c r="R751" i="3"/>
  <c r="S1063" i="3"/>
  <c r="R1063" i="3"/>
  <c r="R1365" i="3"/>
  <c r="S1365" i="3"/>
  <c r="R2156" i="3"/>
  <c r="S2156" i="3"/>
  <c r="S466" i="3"/>
  <c r="R466" i="3"/>
  <c r="S717" i="3"/>
  <c r="R717" i="3"/>
  <c r="R1011" i="3"/>
  <c r="S1011" i="3"/>
  <c r="S1298" i="3"/>
  <c r="R1298" i="3"/>
  <c r="S1913" i="3"/>
  <c r="R1913" i="3"/>
  <c r="S435" i="3"/>
  <c r="R435" i="3"/>
  <c r="S686" i="3"/>
  <c r="R686" i="3"/>
  <c r="S958" i="3"/>
  <c r="R958" i="3"/>
  <c r="R1280" i="3"/>
  <c r="S1280" i="3"/>
  <c r="S1739" i="3"/>
  <c r="R1739" i="3"/>
  <c r="S404" i="3"/>
  <c r="R404" i="3"/>
  <c r="S655" i="3"/>
  <c r="R655" i="3"/>
  <c r="S925" i="3"/>
  <c r="R925" i="3"/>
  <c r="S1227" i="3"/>
  <c r="R1227" i="3"/>
  <c r="S1578" i="3"/>
  <c r="R1578" i="3"/>
  <c r="S357" i="3"/>
  <c r="R357" i="3"/>
  <c r="S609" i="3"/>
  <c r="R609" i="3"/>
  <c r="S875" i="3"/>
  <c r="R875" i="3"/>
  <c r="S1157" i="3"/>
  <c r="R1157" i="3"/>
  <c r="R1455" i="3"/>
  <c r="S1455" i="3"/>
  <c r="S294" i="3"/>
  <c r="R294" i="3"/>
  <c r="S547" i="3"/>
  <c r="R547" i="3"/>
  <c r="S825" i="3"/>
  <c r="R825" i="3"/>
  <c r="S1104" i="3"/>
  <c r="R1104" i="3"/>
  <c r="S1404" i="3"/>
  <c r="R1404" i="3"/>
  <c r="S2488" i="3"/>
  <c r="R2488" i="3"/>
  <c r="S503" i="3"/>
  <c r="R503" i="3"/>
  <c r="R776" i="3"/>
  <c r="S776" i="3"/>
  <c r="S1051" i="3"/>
  <c r="R1051" i="3"/>
  <c r="R1355" i="3"/>
  <c r="S1355" i="3"/>
  <c r="S2074" i="3"/>
  <c r="R2074" i="3"/>
  <c r="R297" i="3"/>
  <c r="S297" i="3"/>
  <c r="S550" i="3"/>
  <c r="R550" i="3"/>
  <c r="S811" i="3"/>
  <c r="R811" i="3"/>
  <c r="S1090" i="3"/>
  <c r="R1090" i="3"/>
  <c r="R1373" i="3"/>
  <c r="S1373" i="3"/>
  <c r="S2229" i="3"/>
  <c r="R2229" i="3"/>
  <c r="S904" i="3"/>
  <c r="R904" i="3"/>
  <c r="S1150" i="3"/>
  <c r="R1150" i="3"/>
  <c r="S1396" i="3"/>
  <c r="R1396" i="3"/>
  <c r="S1646" i="3"/>
  <c r="R1646" i="3"/>
  <c r="S1899" i="3"/>
  <c r="R1899" i="3"/>
  <c r="S2149" i="3"/>
  <c r="R2149" i="3"/>
  <c r="R2438" i="3"/>
  <c r="S2438" i="3"/>
  <c r="R2745" i="3"/>
  <c r="S2745" i="3"/>
  <c r="S1570" i="3"/>
  <c r="R1570" i="3"/>
  <c r="S1837" i="3"/>
  <c r="R1837" i="3"/>
  <c r="S2115" i="3"/>
  <c r="R2115" i="3"/>
  <c r="R2404" i="3"/>
  <c r="S2404" i="3"/>
  <c r="R2705" i="3"/>
  <c r="S2705" i="3"/>
  <c r="R1555" i="3"/>
  <c r="S1555" i="3"/>
  <c r="S1807" i="3"/>
  <c r="R1807" i="3"/>
  <c r="S2057" i="3"/>
  <c r="R2057" i="3"/>
  <c r="R2332" i="3"/>
  <c r="S2332" i="3"/>
  <c r="S2663" i="3"/>
  <c r="R2663" i="3"/>
  <c r="R1525" i="3"/>
  <c r="S1525" i="3"/>
  <c r="S1776" i="3"/>
  <c r="R1776" i="3"/>
  <c r="S2071" i="3"/>
  <c r="R2071" i="3"/>
  <c r="S2351" i="3"/>
  <c r="R2351" i="3"/>
  <c r="S2646" i="3"/>
  <c r="R2646" i="3"/>
  <c r="R1510" i="3"/>
  <c r="S1510" i="3"/>
  <c r="S1777" i="3"/>
  <c r="R1777" i="3"/>
  <c r="R2027" i="3"/>
  <c r="S2027" i="3"/>
  <c r="R2316" i="3"/>
  <c r="S2316" i="3"/>
  <c r="S2606" i="3"/>
  <c r="R2606" i="3"/>
  <c r="S743" i="3"/>
  <c r="R743" i="3"/>
  <c r="S1030" i="3"/>
  <c r="R1030" i="3"/>
  <c r="S1297" i="3"/>
  <c r="R1297" i="3"/>
  <c r="R1558" i="3"/>
  <c r="S1558" i="3"/>
  <c r="S1810" i="3"/>
  <c r="R1810" i="3"/>
  <c r="S2073" i="3"/>
  <c r="R2073" i="3"/>
  <c r="R2372" i="3"/>
  <c r="S2372" i="3"/>
  <c r="S2709" i="3"/>
  <c r="R2709" i="3"/>
  <c r="S3240" i="3"/>
  <c r="R3240" i="3"/>
  <c r="S1859" i="3"/>
  <c r="R1859" i="3"/>
  <c r="S2105" i="3"/>
  <c r="R2105" i="3"/>
  <c r="S2411" i="3"/>
  <c r="R2411" i="3"/>
  <c r="R2754" i="3"/>
  <c r="S2754" i="3"/>
  <c r="R1968" i="3"/>
  <c r="S1968" i="3"/>
  <c r="S2231" i="3"/>
  <c r="R2231" i="3"/>
  <c r="R2517" i="3"/>
  <c r="S2517" i="3"/>
  <c r="S2846" i="3"/>
  <c r="R2846" i="3"/>
  <c r="S1924" i="3"/>
  <c r="R1924" i="3"/>
  <c r="S2177" i="3"/>
  <c r="R2177" i="3"/>
  <c r="R2482" i="3"/>
  <c r="S2482" i="3"/>
  <c r="S2801" i="3"/>
  <c r="R2801" i="3"/>
  <c r="S1610" i="3"/>
  <c r="R1610" i="3"/>
  <c r="S1862" i="3"/>
  <c r="R1862" i="3"/>
  <c r="R2108" i="3"/>
  <c r="S2108" i="3"/>
  <c r="S2414" i="3"/>
  <c r="R2414" i="3"/>
  <c r="S2716" i="3"/>
  <c r="R2716" i="3"/>
  <c r="S1548" i="3"/>
  <c r="R1548" i="3"/>
  <c r="S1800" i="3"/>
  <c r="R1800" i="3"/>
  <c r="S2065" i="3"/>
  <c r="R2065" i="3"/>
  <c r="S2342" i="3"/>
  <c r="R2342" i="3"/>
  <c r="S2675" i="3"/>
  <c r="R2675" i="3"/>
  <c r="R1518" i="3"/>
  <c r="S1518" i="3"/>
  <c r="S1769" i="3"/>
  <c r="R1769" i="3"/>
  <c r="S2019" i="3"/>
  <c r="R2019" i="3"/>
  <c r="S2325" i="3"/>
  <c r="R2325" i="3"/>
  <c r="S2637" i="3"/>
  <c r="R2637" i="3"/>
  <c r="R1643" i="3"/>
  <c r="S1643" i="3"/>
  <c r="R1896" i="3"/>
  <c r="S1896" i="3"/>
  <c r="S2145" i="3"/>
  <c r="R2145" i="3"/>
  <c r="S2434" i="3"/>
  <c r="R2434" i="3"/>
  <c r="S2741" i="3"/>
  <c r="R2741" i="3"/>
  <c r="S3340" i="3"/>
  <c r="R3340" i="3"/>
  <c r="S1835" i="3"/>
  <c r="R1835" i="3"/>
  <c r="S2083" i="3"/>
  <c r="R2083" i="3"/>
  <c r="S2365" i="3"/>
  <c r="R2365" i="3"/>
  <c r="S2659" i="3"/>
  <c r="R2659" i="3"/>
  <c r="R2132" i="3"/>
  <c r="S2132" i="3"/>
  <c r="S2386" i="3"/>
  <c r="R2386" i="3"/>
  <c r="S2644" i="3"/>
  <c r="R2644" i="3"/>
  <c r="S2950" i="3"/>
  <c r="R2950" i="3"/>
  <c r="S3290" i="3"/>
  <c r="R3290" i="3"/>
  <c r="R3787" i="3"/>
  <c r="S3787" i="3"/>
  <c r="S3177" i="3"/>
  <c r="R3177" i="3"/>
  <c r="S3593" i="3"/>
  <c r="R3593" i="3"/>
  <c r="S3036" i="3"/>
  <c r="R3036" i="3"/>
  <c r="R3419" i="3"/>
  <c r="S3419" i="3"/>
  <c r="S2916" i="3"/>
  <c r="R2916" i="3"/>
  <c r="S3271" i="3"/>
  <c r="R3271" i="3"/>
  <c r="S3754" i="3"/>
  <c r="R3754" i="3"/>
  <c r="R3140" i="3"/>
  <c r="S3140" i="3"/>
  <c r="R3523" i="3"/>
  <c r="S3523" i="3"/>
  <c r="S2201" i="3"/>
  <c r="R2201" i="3"/>
  <c r="S2452" i="3"/>
  <c r="R2452" i="3"/>
  <c r="S2739" i="3"/>
  <c r="R2739" i="3"/>
  <c r="S3059" i="3"/>
  <c r="R3059" i="3"/>
  <c r="S3424" i="3"/>
  <c r="R3424" i="3"/>
  <c r="S3427" i="3"/>
  <c r="R3427" i="3"/>
  <c r="S2940" i="3"/>
  <c r="R2940" i="3"/>
  <c r="S3279" i="3"/>
  <c r="R3279" i="3"/>
  <c r="S3806" i="3"/>
  <c r="R3806" i="3"/>
  <c r="S3185" i="3"/>
  <c r="R3185" i="3"/>
  <c r="S3650" i="3"/>
  <c r="R3650" i="3"/>
  <c r="S3084" i="3"/>
  <c r="R3084" i="3"/>
  <c r="R3454" i="3"/>
  <c r="S3454" i="3"/>
  <c r="R3107" i="3"/>
  <c r="S3107" i="3"/>
  <c r="S3573" i="3"/>
  <c r="R3573" i="3"/>
  <c r="R3027" i="3"/>
  <c r="S3027" i="3"/>
  <c r="S3384" i="3"/>
  <c r="R3384" i="3"/>
  <c r="R2887" i="3"/>
  <c r="S2887" i="3"/>
  <c r="S3236" i="3"/>
  <c r="R3236" i="3"/>
  <c r="S3778" i="3"/>
  <c r="R3778" i="3"/>
  <c r="R3131" i="3"/>
  <c r="S3131" i="3"/>
  <c r="S3545" i="3"/>
  <c r="R3545" i="3"/>
  <c r="S3546" i="3"/>
  <c r="R3546" i="3"/>
  <c r="S3011" i="3"/>
  <c r="R3011" i="3"/>
  <c r="S3439" i="3"/>
  <c r="R3439" i="3"/>
  <c r="S2559" i="3"/>
  <c r="R2559" i="3"/>
  <c r="S2830" i="3"/>
  <c r="R2830" i="3"/>
  <c r="S3114" i="3"/>
  <c r="R3114" i="3"/>
  <c r="R3406" i="3"/>
  <c r="S3406" i="3"/>
  <c r="S3732" i="3"/>
  <c r="R3732" i="3"/>
  <c r="S4047" i="3"/>
  <c r="R4047" i="3"/>
  <c r="S3296" i="3"/>
  <c r="R3296" i="3"/>
  <c r="S3598" i="3"/>
  <c r="R3598" i="3"/>
  <c r="S3912" i="3"/>
  <c r="R3912" i="3"/>
  <c r="S3677" i="3"/>
  <c r="R3677" i="3"/>
  <c r="S3992" i="3"/>
  <c r="R3992" i="3"/>
  <c r="S3757" i="3"/>
  <c r="R3757" i="3"/>
  <c r="S4072" i="3"/>
  <c r="R4072" i="3"/>
  <c r="S4056" i="3"/>
  <c r="R4056" i="3"/>
  <c r="R2767" i="3"/>
  <c r="S2767" i="3"/>
  <c r="R3087" i="3"/>
  <c r="S3087" i="3"/>
  <c r="S3381" i="3"/>
  <c r="R3381" i="3"/>
  <c r="S3704" i="3"/>
  <c r="R3704" i="3"/>
  <c r="S4017" i="3"/>
  <c r="R4017" i="3"/>
  <c r="S3763" i="3"/>
  <c r="R3763" i="3"/>
  <c r="S4078" i="3"/>
  <c r="R4078" i="3"/>
  <c r="S3823" i="3"/>
  <c r="R3823" i="3"/>
  <c r="S4041" i="3"/>
  <c r="R4041" i="3"/>
  <c r="S3808" i="3"/>
  <c r="R3808" i="3"/>
  <c r="R3238" i="3"/>
  <c r="S3238" i="3"/>
  <c r="S3536" i="3"/>
  <c r="R3536" i="3"/>
  <c r="R3849" i="3"/>
  <c r="S3849" i="3"/>
  <c r="R2823" i="3"/>
  <c r="S2823" i="3"/>
  <c r="S3070" i="3"/>
  <c r="R3070" i="3"/>
  <c r="R3347" i="3"/>
  <c r="S3347" i="3"/>
  <c r="S3591" i="3"/>
  <c r="R3591" i="3"/>
  <c r="S3845" i="3"/>
  <c r="R3845" i="3"/>
  <c r="R3211" i="3"/>
  <c r="S3211" i="3"/>
  <c r="S3496" i="3"/>
  <c r="R3496" i="3"/>
  <c r="S3751" i="3"/>
  <c r="R3751" i="3"/>
  <c r="S4006" i="3"/>
  <c r="R4006" i="3"/>
  <c r="R2847" i="3"/>
  <c r="S2847" i="3"/>
  <c r="S3126" i="3"/>
  <c r="R3126" i="3"/>
  <c r="S3370" i="3"/>
  <c r="R3370" i="3"/>
  <c r="S3615" i="3"/>
  <c r="R3615" i="3"/>
  <c r="S3869" i="3"/>
  <c r="R3869" i="3"/>
  <c r="S4095" i="3"/>
  <c r="R4095" i="3"/>
  <c r="S520" i="3"/>
  <c r="R520" i="3"/>
  <c r="S256" i="3"/>
  <c r="R256" i="3"/>
  <c r="S596" i="3"/>
  <c r="R596" i="3"/>
  <c r="S635" i="3"/>
  <c r="R635" i="3"/>
  <c r="S43" i="3"/>
  <c r="R43" i="3"/>
  <c r="R1052" i="3"/>
  <c r="S1052" i="3"/>
  <c r="S861" i="3"/>
  <c r="R861" i="3"/>
  <c r="S221" i="3"/>
  <c r="R221" i="3"/>
  <c r="S95" i="3"/>
  <c r="R95" i="3"/>
  <c r="S223" i="3"/>
  <c r="R223" i="3"/>
  <c r="S280" i="3"/>
  <c r="R280" i="3"/>
  <c r="S243" i="3"/>
  <c r="R243" i="3"/>
  <c r="S91" i="3"/>
  <c r="R91" i="3"/>
  <c r="S1000" i="3"/>
  <c r="R1000" i="3"/>
  <c r="S1008" i="3"/>
  <c r="R1008" i="3"/>
  <c r="S239" i="3"/>
  <c r="R239" i="3"/>
  <c r="S114" i="3"/>
  <c r="R114" i="3"/>
  <c r="S1169" i="3"/>
  <c r="R1169" i="3"/>
  <c r="S242" i="3"/>
  <c r="R242" i="3"/>
  <c r="S79" i="3"/>
  <c r="R79" i="3"/>
  <c r="S1187" i="3"/>
  <c r="R1187" i="3"/>
  <c r="S244" i="3"/>
  <c r="R244" i="3"/>
  <c r="S83" i="3"/>
  <c r="R83" i="3"/>
  <c r="S929" i="3"/>
  <c r="R929" i="3"/>
  <c r="S229" i="3"/>
  <c r="R229" i="3"/>
  <c r="S103" i="3"/>
  <c r="R103" i="3"/>
  <c r="S1372" i="3"/>
  <c r="R1372" i="3"/>
  <c r="S267" i="3"/>
  <c r="R267" i="3"/>
  <c r="R105" i="3"/>
  <c r="S105" i="3"/>
  <c r="S1106" i="3"/>
  <c r="R1106" i="3"/>
  <c r="R233" i="3"/>
  <c r="S233" i="3"/>
  <c r="S72" i="3"/>
  <c r="R72" i="3"/>
  <c r="S852" i="3"/>
  <c r="R852" i="3"/>
  <c r="S171" i="3"/>
  <c r="R171" i="3"/>
  <c r="S426" i="3"/>
  <c r="R426" i="3"/>
  <c r="S677" i="3"/>
  <c r="R677" i="3"/>
  <c r="S966" i="3"/>
  <c r="R966" i="3"/>
  <c r="S1252" i="3"/>
  <c r="R1252" i="3"/>
  <c r="S1593" i="3"/>
  <c r="R1593" i="3"/>
  <c r="S379" i="3"/>
  <c r="R379" i="3"/>
  <c r="S630" i="3"/>
  <c r="R630" i="3"/>
  <c r="R915" i="3"/>
  <c r="S915" i="3"/>
  <c r="S1199" i="3"/>
  <c r="R1199" i="3"/>
  <c r="R1487" i="3"/>
  <c r="S1487" i="3"/>
  <c r="S332" i="3"/>
  <c r="R332" i="3"/>
  <c r="S584" i="3"/>
  <c r="R584" i="3"/>
  <c r="S849" i="3"/>
  <c r="R849" i="3"/>
  <c r="S1128" i="3"/>
  <c r="R1128" i="3"/>
  <c r="S1410" i="3"/>
  <c r="R1410" i="3"/>
  <c r="S2700" i="3"/>
  <c r="R2700" i="3"/>
  <c r="S525" i="3"/>
  <c r="R525" i="3"/>
  <c r="S782" i="3"/>
  <c r="R782" i="3"/>
  <c r="S1111" i="3"/>
  <c r="R1111" i="3"/>
  <c r="R1411" i="3"/>
  <c r="S1411" i="3"/>
  <c r="R2550" i="3"/>
  <c r="S2550" i="3"/>
  <c r="S510" i="3"/>
  <c r="R510" i="3"/>
  <c r="S783" i="3"/>
  <c r="R783" i="3"/>
  <c r="S1059" i="3"/>
  <c r="R1059" i="3"/>
  <c r="S1345" i="3"/>
  <c r="R1345" i="3"/>
  <c r="S2128" i="3"/>
  <c r="R2128" i="3"/>
  <c r="S192" i="3"/>
  <c r="R192" i="3"/>
  <c r="S447" i="3"/>
  <c r="R447" i="3"/>
  <c r="S698" i="3"/>
  <c r="R698" i="3"/>
  <c r="S990" i="3"/>
  <c r="R990" i="3"/>
  <c r="R1275" i="3"/>
  <c r="S1275" i="3"/>
  <c r="S1660" i="3"/>
  <c r="R1660" i="3"/>
  <c r="R2435" i="3"/>
  <c r="S2435" i="3"/>
  <c r="R497" i="3"/>
  <c r="S497" i="3"/>
  <c r="S769" i="3"/>
  <c r="R769" i="3"/>
  <c r="S1081" i="3"/>
  <c r="R1081" i="3"/>
  <c r="R1381" i="3"/>
  <c r="S1381" i="3"/>
  <c r="R2300" i="3"/>
  <c r="S2300" i="3"/>
  <c r="S482" i="3"/>
  <c r="R482" i="3"/>
  <c r="S735" i="3"/>
  <c r="R735" i="3"/>
  <c r="R1028" i="3"/>
  <c r="S1028" i="3"/>
  <c r="S1316" i="3"/>
  <c r="R1316" i="3"/>
  <c r="S2037" i="3"/>
  <c r="R2037" i="3"/>
  <c r="S451" i="3"/>
  <c r="R451" i="3"/>
  <c r="S702" i="3"/>
  <c r="R702" i="3"/>
  <c r="S976" i="3"/>
  <c r="R976" i="3"/>
  <c r="R1299" i="3"/>
  <c r="S1299" i="3"/>
  <c r="S1818" i="3"/>
  <c r="R1818" i="3"/>
  <c r="S420" i="3"/>
  <c r="R420" i="3"/>
  <c r="S671" i="3"/>
  <c r="R671" i="3"/>
  <c r="S943" i="3"/>
  <c r="R943" i="3"/>
  <c r="S1245" i="3"/>
  <c r="R1245" i="3"/>
  <c r="S1623" i="3"/>
  <c r="R1623" i="3"/>
  <c r="S373" i="3"/>
  <c r="R373" i="3"/>
  <c r="R624" i="3"/>
  <c r="S624" i="3"/>
  <c r="S893" i="3"/>
  <c r="R893" i="3"/>
  <c r="S1175" i="3"/>
  <c r="R1175" i="3"/>
  <c r="S1473" i="3"/>
  <c r="R1473" i="3"/>
  <c r="S310" i="3"/>
  <c r="R310" i="3"/>
  <c r="S578" i="3"/>
  <c r="R578" i="3"/>
  <c r="S842" i="3"/>
  <c r="R842" i="3"/>
  <c r="S1121" i="3"/>
  <c r="R1121" i="3"/>
  <c r="R1422" i="3"/>
  <c r="S1422" i="3"/>
  <c r="S2639" i="3"/>
  <c r="R2639" i="3"/>
  <c r="S519" i="3"/>
  <c r="R519" i="3"/>
  <c r="S794" i="3"/>
  <c r="R794" i="3"/>
  <c r="S1069" i="3"/>
  <c r="R1069" i="3"/>
  <c r="R1371" i="3"/>
  <c r="S1371" i="3"/>
  <c r="R2210" i="3"/>
  <c r="S2210" i="3"/>
  <c r="R313" i="3"/>
  <c r="S313" i="3"/>
  <c r="S565" i="3"/>
  <c r="R565" i="3"/>
  <c r="S828" i="3"/>
  <c r="R828" i="3"/>
  <c r="R1107" i="3"/>
  <c r="S1107" i="3"/>
  <c r="R1389" i="3"/>
  <c r="S1389" i="3"/>
  <c r="S2373" i="3"/>
  <c r="R2373" i="3"/>
  <c r="S918" i="3"/>
  <c r="R918" i="3"/>
  <c r="S1166" i="3"/>
  <c r="R1166" i="3"/>
  <c r="S1412" i="3"/>
  <c r="R1412" i="3"/>
  <c r="S1662" i="3"/>
  <c r="R1662" i="3"/>
  <c r="S1915" i="3"/>
  <c r="R1915" i="3"/>
  <c r="S2167" i="3"/>
  <c r="R2167" i="3"/>
  <c r="R2455" i="3"/>
  <c r="S2455" i="3"/>
  <c r="R2765" i="3"/>
  <c r="S2765" i="3"/>
  <c r="S1586" i="3"/>
  <c r="R1586" i="3"/>
  <c r="S1853" i="3"/>
  <c r="R1853" i="3"/>
  <c r="S2131" i="3"/>
  <c r="R2131" i="3"/>
  <c r="S2422" i="3"/>
  <c r="R2422" i="3"/>
  <c r="S2725" i="3"/>
  <c r="R2725" i="3"/>
  <c r="R1571" i="3"/>
  <c r="S1571" i="3"/>
  <c r="S1822" i="3"/>
  <c r="R1822" i="3"/>
  <c r="S2070" i="3"/>
  <c r="R2070" i="3"/>
  <c r="S2350" i="3"/>
  <c r="R2350" i="3"/>
  <c r="S2685" i="3"/>
  <c r="R2685" i="3"/>
  <c r="S1540" i="3"/>
  <c r="R1540" i="3"/>
  <c r="S1792" i="3"/>
  <c r="R1792" i="3"/>
  <c r="S2086" i="3"/>
  <c r="R2086" i="3"/>
  <c r="S2369" i="3"/>
  <c r="R2369" i="3"/>
  <c r="S2665" i="3"/>
  <c r="R2665" i="3"/>
  <c r="R1526" i="3"/>
  <c r="S1526" i="3"/>
  <c r="S1793" i="3"/>
  <c r="R1793" i="3"/>
  <c r="S2043" i="3"/>
  <c r="R2043" i="3"/>
  <c r="S2334" i="3"/>
  <c r="R2334" i="3"/>
  <c r="S2628" i="3"/>
  <c r="R2628" i="3"/>
  <c r="S759" i="3"/>
  <c r="R759" i="3"/>
  <c r="S1045" i="3"/>
  <c r="R1045" i="3"/>
  <c r="S1313" i="3"/>
  <c r="R1313" i="3"/>
  <c r="R1574" i="3"/>
  <c r="S1574" i="3"/>
  <c r="S1825" i="3"/>
  <c r="R1825" i="3"/>
  <c r="S2088" i="3"/>
  <c r="R2088" i="3"/>
  <c r="S2390" i="3"/>
  <c r="R2390" i="3"/>
  <c r="S2730" i="3"/>
  <c r="R2730" i="3"/>
  <c r="S1607" i="3"/>
  <c r="R1607" i="3"/>
  <c r="S1875" i="3"/>
  <c r="R1875" i="3"/>
  <c r="S2139" i="3"/>
  <c r="R2139" i="3"/>
  <c r="S2428" i="3"/>
  <c r="R2428" i="3"/>
  <c r="S2773" i="3"/>
  <c r="R2773" i="3"/>
  <c r="S1983" i="3"/>
  <c r="R1983" i="3"/>
  <c r="S2249" i="3"/>
  <c r="R2249" i="3"/>
  <c r="R2534" i="3"/>
  <c r="S2534" i="3"/>
  <c r="R2869" i="3"/>
  <c r="S2869" i="3"/>
  <c r="S1940" i="3"/>
  <c r="R1940" i="3"/>
  <c r="S2195" i="3"/>
  <c r="R2195" i="3"/>
  <c r="S2500" i="3"/>
  <c r="R2500" i="3"/>
  <c r="S2825" i="3"/>
  <c r="R2825" i="3"/>
  <c r="S1625" i="3"/>
  <c r="R1625" i="3"/>
  <c r="S1878" i="3"/>
  <c r="R1878" i="3"/>
  <c r="S2142" i="3"/>
  <c r="R2142" i="3"/>
  <c r="S2431" i="3"/>
  <c r="R2431" i="3"/>
  <c r="S2737" i="3"/>
  <c r="R2737" i="3"/>
  <c r="S1564" i="3"/>
  <c r="R1564" i="3"/>
  <c r="S1815" i="3"/>
  <c r="R1815" i="3"/>
  <c r="S2079" i="3"/>
  <c r="R2079" i="3"/>
  <c r="S2361" i="3"/>
  <c r="R2361" i="3"/>
  <c r="R2695" i="3"/>
  <c r="S2695" i="3"/>
  <c r="R1534" i="3"/>
  <c r="S1534" i="3"/>
  <c r="S1785" i="3"/>
  <c r="R1785" i="3"/>
  <c r="S2035" i="3"/>
  <c r="R2035" i="3"/>
  <c r="S2344" i="3"/>
  <c r="R2344" i="3"/>
  <c r="S2655" i="3"/>
  <c r="R2655" i="3"/>
  <c r="R1659" i="3"/>
  <c r="S1659" i="3"/>
  <c r="R1912" i="3"/>
  <c r="S1912" i="3"/>
  <c r="S2163" i="3"/>
  <c r="R2163" i="3"/>
  <c r="R2451" i="3"/>
  <c r="S2451" i="3"/>
  <c r="S2762" i="3"/>
  <c r="R2762" i="3"/>
  <c r="S1600" i="3"/>
  <c r="R1600" i="3"/>
  <c r="S1851" i="3"/>
  <c r="R1851" i="3"/>
  <c r="R2097" i="3"/>
  <c r="S2097" i="3"/>
  <c r="S2383" i="3"/>
  <c r="R2383" i="3"/>
  <c r="R2681" i="3"/>
  <c r="S2681" i="3"/>
  <c r="R2148" i="3"/>
  <c r="S2148" i="3"/>
  <c r="S2402" i="3"/>
  <c r="R2402" i="3"/>
  <c r="S2660" i="3"/>
  <c r="R2660" i="3"/>
  <c r="S2972" i="3"/>
  <c r="R2972" i="3"/>
  <c r="R3318" i="3"/>
  <c r="S3318" i="3"/>
  <c r="S3832" i="3"/>
  <c r="R3832" i="3"/>
  <c r="S3196" i="3"/>
  <c r="R3196" i="3"/>
  <c r="S3632" i="3"/>
  <c r="R3632" i="3"/>
  <c r="S3056" i="3"/>
  <c r="R3056" i="3"/>
  <c r="S3444" i="3"/>
  <c r="R3444" i="3"/>
  <c r="S2934" i="3"/>
  <c r="R2934" i="3"/>
  <c r="S3297" i="3"/>
  <c r="R3297" i="3"/>
  <c r="S3797" i="3"/>
  <c r="R3797" i="3"/>
  <c r="R3160" i="3"/>
  <c r="S3160" i="3"/>
  <c r="S3563" i="3"/>
  <c r="R3563" i="3"/>
  <c r="S2217" i="3"/>
  <c r="R2217" i="3"/>
  <c r="S2468" i="3"/>
  <c r="R2468" i="3"/>
  <c r="S2757" i="3"/>
  <c r="R2757" i="3"/>
  <c r="S3080" i="3"/>
  <c r="R3080" i="3"/>
  <c r="S3448" i="3"/>
  <c r="R3448" i="3"/>
  <c r="R3449" i="3"/>
  <c r="S3449" i="3"/>
  <c r="R2959" i="3"/>
  <c r="S2959" i="3"/>
  <c r="S3303" i="3"/>
  <c r="R3303" i="3"/>
  <c r="S3851" i="3"/>
  <c r="R3851" i="3"/>
  <c r="R3206" i="3"/>
  <c r="S3206" i="3"/>
  <c r="S3689" i="3"/>
  <c r="R3689" i="3"/>
  <c r="R3106" i="3"/>
  <c r="S3106" i="3"/>
  <c r="S3476" i="3"/>
  <c r="R3476" i="3"/>
  <c r="S3128" i="3"/>
  <c r="R3128" i="3"/>
  <c r="S3613" i="3"/>
  <c r="R3613" i="3"/>
  <c r="R3047" i="3"/>
  <c r="S3047" i="3"/>
  <c r="S3410" i="3"/>
  <c r="R3410" i="3"/>
  <c r="S2907" i="3"/>
  <c r="R2907" i="3"/>
  <c r="R3262" i="3"/>
  <c r="S3262" i="3"/>
  <c r="S3819" i="3"/>
  <c r="R3819" i="3"/>
  <c r="R3171" i="3"/>
  <c r="S3171" i="3"/>
  <c r="S3584" i="3"/>
  <c r="R3584" i="3"/>
  <c r="S3585" i="3"/>
  <c r="R3585" i="3"/>
  <c r="R3031" i="3"/>
  <c r="S3031" i="3"/>
  <c r="S3462" i="3"/>
  <c r="R3462" i="3"/>
  <c r="S2573" i="3"/>
  <c r="R2573" i="3"/>
  <c r="R2849" i="3"/>
  <c r="S2849" i="3"/>
  <c r="S3132" i="3"/>
  <c r="R3132" i="3"/>
  <c r="S3426" i="3"/>
  <c r="R3426" i="3"/>
  <c r="S3753" i="3"/>
  <c r="R3753" i="3"/>
  <c r="S4066" i="3"/>
  <c r="R4066" i="3"/>
  <c r="S3314" i="3"/>
  <c r="R3314" i="3"/>
  <c r="S3618" i="3"/>
  <c r="R3618" i="3"/>
  <c r="S3931" i="3"/>
  <c r="R3931" i="3"/>
  <c r="S3697" i="3"/>
  <c r="R3697" i="3"/>
  <c r="S4011" i="3"/>
  <c r="R4011" i="3"/>
  <c r="S3777" i="3"/>
  <c r="R3777" i="3"/>
  <c r="S3994" i="3"/>
  <c r="R3994" i="3"/>
  <c r="S4075" i="3"/>
  <c r="R4075" i="3"/>
  <c r="S2785" i="3"/>
  <c r="R2785" i="3"/>
  <c r="S3105" i="3"/>
  <c r="R3105" i="3"/>
  <c r="S3416" i="3"/>
  <c r="R3416" i="3"/>
  <c r="S3723" i="3"/>
  <c r="R3723" i="3"/>
  <c r="S4036" i="3"/>
  <c r="R4036" i="3"/>
  <c r="S3784" i="3"/>
  <c r="R3784" i="3"/>
  <c r="S3530" i="3"/>
  <c r="R3530" i="3"/>
  <c r="S3842" i="3"/>
  <c r="R3842" i="3"/>
  <c r="S4060" i="3"/>
  <c r="R4060" i="3"/>
  <c r="R3827" i="3"/>
  <c r="S3827" i="3"/>
  <c r="S3257" i="3"/>
  <c r="R3257" i="3"/>
  <c r="S3555" i="3"/>
  <c r="R3555" i="3"/>
  <c r="S3868" i="3"/>
  <c r="R3868" i="3"/>
  <c r="R2839" i="3"/>
  <c r="S2839" i="3"/>
  <c r="S3086" i="3"/>
  <c r="R3086" i="3"/>
  <c r="S3362" i="3"/>
  <c r="R3362" i="3"/>
  <c r="R3607" i="3"/>
  <c r="S3607" i="3"/>
  <c r="S3861" i="3"/>
  <c r="R3861" i="3"/>
  <c r="S3226" i="3"/>
  <c r="R3226" i="3"/>
  <c r="S3512" i="3"/>
  <c r="R3512" i="3"/>
  <c r="S3767" i="3"/>
  <c r="R3767" i="3"/>
  <c r="S4022" i="3"/>
  <c r="R4022" i="3"/>
  <c r="R2863" i="3"/>
  <c r="S2863" i="3"/>
  <c r="R3142" i="3"/>
  <c r="S3142" i="3"/>
  <c r="S3385" i="3"/>
  <c r="R3385" i="3"/>
  <c r="S3631" i="3"/>
  <c r="R3631" i="3"/>
  <c r="S3885" i="3"/>
  <c r="R3885" i="3"/>
  <c r="S4096" i="3"/>
  <c r="R4096" i="3"/>
  <c r="S62" i="3"/>
  <c r="R62" i="3"/>
  <c r="S107" i="3"/>
  <c r="R107" i="3"/>
  <c r="S1636" i="3"/>
  <c r="R1636" i="3"/>
  <c r="S133" i="3"/>
  <c r="R133" i="3"/>
  <c r="S58" i="3"/>
  <c r="R58" i="3"/>
  <c r="S190" i="3"/>
  <c r="R190" i="3"/>
  <c r="R604" i="3"/>
  <c r="S604" i="3"/>
  <c r="S110" i="3"/>
  <c r="R110" i="3"/>
  <c r="R257" i="3"/>
  <c r="S257" i="3"/>
  <c r="S1314" i="3"/>
  <c r="R1314" i="3"/>
  <c r="S98" i="3"/>
  <c r="R98" i="3"/>
  <c r="S262" i="3"/>
  <c r="R262" i="3"/>
  <c r="S1070" i="3"/>
  <c r="R1070" i="3"/>
  <c r="R121" i="3"/>
  <c r="S121" i="3"/>
  <c r="S123" i="3"/>
  <c r="R123" i="3"/>
  <c r="S251" i="3"/>
  <c r="R251" i="3"/>
  <c r="S991" i="3"/>
  <c r="R991" i="3"/>
  <c r="S187" i="3"/>
  <c r="R187" i="3"/>
  <c r="S442" i="3"/>
  <c r="R442" i="3"/>
  <c r="S693" i="3"/>
  <c r="R693" i="3"/>
  <c r="S985" i="3"/>
  <c r="R985" i="3"/>
  <c r="R1270" i="3"/>
  <c r="S1270" i="3"/>
  <c r="S1639" i="3"/>
  <c r="R1639" i="3"/>
  <c r="S395" i="3"/>
  <c r="R395" i="3"/>
  <c r="S646" i="3"/>
  <c r="R646" i="3"/>
  <c r="R932" i="3"/>
  <c r="S932" i="3"/>
  <c r="S1217" i="3"/>
  <c r="R1217" i="3"/>
  <c r="S1521" i="3"/>
  <c r="R1521" i="3"/>
  <c r="S348" i="3"/>
  <c r="R348" i="3"/>
  <c r="S600" i="3"/>
  <c r="R600" i="3"/>
  <c r="S866" i="3"/>
  <c r="R866" i="3"/>
  <c r="S1146" i="3"/>
  <c r="R1146" i="3"/>
  <c r="R1429" i="3"/>
  <c r="S1429" i="3"/>
  <c r="S285" i="3"/>
  <c r="R285" i="3"/>
  <c r="S540" i="3"/>
  <c r="R540" i="3"/>
  <c r="R816" i="3"/>
  <c r="S816" i="3"/>
  <c r="S1129" i="3"/>
  <c r="R1129" i="3"/>
  <c r="R1430" i="3"/>
  <c r="S1430" i="3"/>
  <c r="R2710" i="3"/>
  <c r="S2710" i="3"/>
  <c r="S526" i="3"/>
  <c r="R526" i="3"/>
  <c r="R800" i="3"/>
  <c r="S800" i="3"/>
  <c r="S1078" i="3"/>
  <c r="R1078" i="3"/>
  <c r="S1362" i="3"/>
  <c r="R1362" i="3"/>
  <c r="S2272" i="3"/>
  <c r="R2272" i="3"/>
  <c r="S208" i="3"/>
  <c r="R208" i="3"/>
  <c r="S463" i="3"/>
  <c r="R463" i="3"/>
  <c r="S714" i="3"/>
  <c r="R714" i="3"/>
  <c r="S1007" i="3"/>
  <c r="R1007" i="3"/>
  <c r="R1294" i="3"/>
  <c r="S1294" i="3"/>
  <c r="S1723" i="3"/>
  <c r="R1723" i="3"/>
  <c r="S2580" i="3"/>
  <c r="R2580" i="3"/>
  <c r="R513" i="3"/>
  <c r="S513" i="3"/>
  <c r="S787" i="3"/>
  <c r="R787" i="3"/>
  <c r="S1099" i="3"/>
  <c r="R1099" i="3"/>
  <c r="R1398" i="3"/>
  <c r="S1398" i="3"/>
  <c r="S2444" i="3"/>
  <c r="R2444" i="3"/>
  <c r="S498" i="3"/>
  <c r="R498" i="3"/>
  <c r="R752" i="3"/>
  <c r="S752" i="3"/>
  <c r="S1046" i="3"/>
  <c r="R1046" i="3"/>
  <c r="R1331" i="3"/>
  <c r="S1331" i="3"/>
  <c r="S2165" i="3"/>
  <c r="R2165" i="3"/>
  <c r="S467" i="3"/>
  <c r="R467" i="3"/>
  <c r="S718" i="3"/>
  <c r="R718" i="3"/>
  <c r="R1012" i="3"/>
  <c r="S1012" i="3"/>
  <c r="R1317" i="3"/>
  <c r="S1317" i="3"/>
  <c r="S1921" i="3"/>
  <c r="R1921" i="3"/>
  <c r="S436" i="3"/>
  <c r="R436" i="3"/>
  <c r="S687" i="3"/>
  <c r="R687" i="3"/>
  <c r="S959" i="3"/>
  <c r="R959" i="3"/>
  <c r="R1263" i="3"/>
  <c r="S1263" i="3"/>
  <c r="S1684" i="3"/>
  <c r="R1684" i="3"/>
  <c r="S389" i="3"/>
  <c r="R389" i="3"/>
  <c r="R640" i="3"/>
  <c r="S640" i="3"/>
  <c r="S909" i="3"/>
  <c r="R909" i="3"/>
  <c r="S1192" i="3"/>
  <c r="R1192" i="3"/>
  <c r="S1512" i="3"/>
  <c r="R1512" i="3"/>
  <c r="S326" i="3"/>
  <c r="R326" i="3"/>
  <c r="S594" i="3"/>
  <c r="R594" i="3"/>
  <c r="S859" i="3"/>
  <c r="R859" i="3"/>
  <c r="R1140" i="3"/>
  <c r="S1140" i="3"/>
  <c r="R1439" i="3"/>
  <c r="S1439" i="3"/>
  <c r="S2808" i="3"/>
  <c r="R2808" i="3"/>
  <c r="S548" i="3"/>
  <c r="R548" i="3"/>
  <c r="S810" i="3"/>
  <c r="R810" i="3"/>
  <c r="S1087" i="3"/>
  <c r="R1087" i="3"/>
  <c r="R1387" i="3"/>
  <c r="S1387" i="3"/>
  <c r="S2355" i="3"/>
  <c r="R2355" i="3"/>
  <c r="R329" i="3"/>
  <c r="S329" i="3"/>
  <c r="S581" i="3"/>
  <c r="R581" i="3"/>
  <c r="S846" i="3"/>
  <c r="R846" i="3"/>
  <c r="S1125" i="3"/>
  <c r="R1125" i="3"/>
  <c r="R1407" i="3"/>
  <c r="S1407" i="3"/>
  <c r="S2515" i="3"/>
  <c r="R2515" i="3"/>
  <c r="S933" i="3"/>
  <c r="R933" i="3"/>
  <c r="S1181" i="3"/>
  <c r="R1181" i="3"/>
  <c r="S1428" i="3"/>
  <c r="R1428" i="3"/>
  <c r="S1678" i="3"/>
  <c r="R1678" i="3"/>
  <c r="S1931" i="3"/>
  <c r="R1931" i="3"/>
  <c r="S2186" i="3"/>
  <c r="R2186" i="3"/>
  <c r="S2473" i="3"/>
  <c r="R2473" i="3"/>
  <c r="R2787" i="3"/>
  <c r="S2787" i="3"/>
  <c r="S1602" i="3"/>
  <c r="R1602" i="3"/>
  <c r="S1869" i="3"/>
  <c r="R1869" i="3"/>
  <c r="S2150" i="3"/>
  <c r="R2150" i="3"/>
  <c r="R2439" i="3"/>
  <c r="S2439" i="3"/>
  <c r="S2746" i="3"/>
  <c r="R2746" i="3"/>
  <c r="R1587" i="3"/>
  <c r="S1587" i="3"/>
  <c r="S1838" i="3"/>
  <c r="R1838" i="3"/>
  <c r="S2085" i="3"/>
  <c r="R2085" i="3"/>
  <c r="S2368" i="3"/>
  <c r="R2368" i="3"/>
  <c r="S2706" i="3"/>
  <c r="R2706" i="3"/>
  <c r="S1556" i="3"/>
  <c r="R1556" i="3"/>
  <c r="R1808" i="3"/>
  <c r="S1808" i="3"/>
  <c r="S2101" i="3"/>
  <c r="R2101" i="3"/>
  <c r="R2388" i="3"/>
  <c r="S2388" i="3"/>
  <c r="S2686" i="3"/>
  <c r="R2686" i="3"/>
  <c r="R1541" i="3"/>
  <c r="S1541" i="3"/>
  <c r="S1809" i="3"/>
  <c r="R1809" i="3"/>
  <c r="S2058" i="3"/>
  <c r="R2058" i="3"/>
  <c r="S2352" i="3"/>
  <c r="R2352" i="3"/>
  <c r="S2647" i="3"/>
  <c r="R2647" i="3"/>
  <c r="S774" i="3"/>
  <c r="R774" i="3"/>
  <c r="S1061" i="3"/>
  <c r="R1061" i="3"/>
  <c r="R1327" i="3"/>
  <c r="S1327" i="3"/>
  <c r="R1590" i="3"/>
  <c r="S1590" i="3"/>
  <c r="S1841" i="3"/>
  <c r="R1841" i="3"/>
  <c r="S2103" i="3"/>
  <c r="R2103" i="3"/>
  <c r="S2409" i="3"/>
  <c r="R2409" i="3"/>
  <c r="S2750" i="3"/>
  <c r="R2750" i="3"/>
  <c r="R1622" i="3"/>
  <c r="S1622" i="3"/>
  <c r="S1890" i="3"/>
  <c r="R1890" i="3"/>
  <c r="S2157" i="3"/>
  <c r="R2157" i="3"/>
  <c r="S2445" i="3"/>
  <c r="R2445" i="3"/>
  <c r="S2798" i="3"/>
  <c r="R2798" i="3"/>
  <c r="S1999" i="3"/>
  <c r="R1999" i="3"/>
  <c r="S2266" i="3"/>
  <c r="R2266" i="3"/>
  <c r="S2553" i="3"/>
  <c r="R2553" i="3"/>
  <c r="S2897" i="3"/>
  <c r="R2897" i="3"/>
  <c r="S1954" i="3"/>
  <c r="R1954" i="3"/>
  <c r="S2214" i="3"/>
  <c r="R2214" i="3"/>
  <c r="S2518" i="3"/>
  <c r="R2518" i="3"/>
  <c r="S2848" i="3"/>
  <c r="R2848" i="3"/>
  <c r="S1640" i="3"/>
  <c r="R1640" i="3"/>
  <c r="S1893" i="3"/>
  <c r="R1893" i="3"/>
  <c r="S2160" i="3"/>
  <c r="R2160" i="3"/>
  <c r="R2448" i="3"/>
  <c r="S2448" i="3"/>
  <c r="S2758" i="3"/>
  <c r="R2758" i="3"/>
  <c r="S1580" i="3"/>
  <c r="R1580" i="3"/>
  <c r="S1831" i="3"/>
  <c r="R1831" i="3"/>
  <c r="S2094" i="3"/>
  <c r="R2094" i="3"/>
  <c r="S2379" i="3"/>
  <c r="R2379" i="3"/>
  <c r="R2717" i="3"/>
  <c r="S2717" i="3"/>
  <c r="R1549" i="3"/>
  <c r="S1549" i="3"/>
  <c r="S1801" i="3"/>
  <c r="R1801" i="3"/>
  <c r="S2051" i="3"/>
  <c r="R2051" i="3"/>
  <c r="S2362" i="3"/>
  <c r="R2362" i="3"/>
  <c r="S2676" i="3"/>
  <c r="R2676" i="3"/>
  <c r="R1675" i="3"/>
  <c r="S1675" i="3"/>
  <c r="R1928" i="3"/>
  <c r="S1928" i="3"/>
  <c r="S2182" i="3"/>
  <c r="R2182" i="3"/>
  <c r="S2470" i="3"/>
  <c r="R2470" i="3"/>
  <c r="S2782" i="3"/>
  <c r="R2782" i="3"/>
  <c r="S1615" i="3"/>
  <c r="R1615" i="3"/>
  <c r="S1867" i="3"/>
  <c r="R1867" i="3"/>
  <c r="S2113" i="3"/>
  <c r="R2113" i="3"/>
  <c r="S2401" i="3"/>
  <c r="R2401" i="3"/>
  <c r="R2701" i="3"/>
  <c r="S2701" i="3"/>
  <c r="R2164" i="3"/>
  <c r="S2164" i="3"/>
  <c r="R2418" i="3"/>
  <c r="S2418" i="3"/>
  <c r="S2678" i="3"/>
  <c r="R2678" i="3"/>
  <c r="R2991" i="3"/>
  <c r="S2991" i="3"/>
  <c r="S3343" i="3"/>
  <c r="R3343" i="3"/>
  <c r="S3876" i="3"/>
  <c r="R3876" i="3"/>
  <c r="R3219" i="3"/>
  <c r="S3219" i="3"/>
  <c r="S3669" i="3"/>
  <c r="R3669" i="3"/>
  <c r="S3075" i="3"/>
  <c r="R3075" i="3"/>
  <c r="R3467" i="3"/>
  <c r="S3467" i="3"/>
  <c r="S2955" i="3"/>
  <c r="R2955" i="3"/>
  <c r="S3321" i="3"/>
  <c r="R3321" i="3"/>
  <c r="S3839" i="3"/>
  <c r="R3839" i="3"/>
  <c r="S3180" i="3"/>
  <c r="R3180" i="3"/>
  <c r="S3602" i="3"/>
  <c r="R3602" i="3"/>
  <c r="S2233" i="3"/>
  <c r="R2233" i="3"/>
  <c r="S2483" i="3"/>
  <c r="R2483" i="3"/>
  <c r="R2774" i="3"/>
  <c r="S2774" i="3"/>
  <c r="S3100" i="3"/>
  <c r="R3100" i="3"/>
  <c r="R3471" i="3"/>
  <c r="S3471" i="3"/>
  <c r="S3473" i="3"/>
  <c r="R3473" i="3"/>
  <c r="R2981" i="3"/>
  <c r="S2981" i="3"/>
  <c r="S3327" i="3"/>
  <c r="R3327" i="3"/>
  <c r="R3897" i="3"/>
  <c r="S3897" i="3"/>
  <c r="R3231" i="3"/>
  <c r="S3231" i="3"/>
  <c r="S3728" i="3"/>
  <c r="R3728" i="3"/>
  <c r="S3127" i="3"/>
  <c r="R3127" i="3"/>
  <c r="S3504" i="3"/>
  <c r="R3504" i="3"/>
  <c r="R3168" i="3"/>
  <c r="S3168" i="3"/>
  <c r="S3652" i="3"/>
  <c r="R3652" i="3"/>
  <c r="R3066" i="3"/>
  <c r="S3066" i="3"/>
  <c r="S3456" i="3"/>
  <c r="R3456" i="3"/>
  <c r="R2927" i="3"/>
  <c r="S2927" i="3"/>
  <c r="R3286" i="3"/>
  <c r="S3286" i="3"/>
  <c r="S3865" i="3"/>
  <c r="R3865" i="3"/>
  <c r="R3191" i="3"/>
  <c r="S3191" i="3"/>
  <c r="R3622" i="3"/>
  <c r="S3622" i="3"/>
  <c r="S3625" i="3"/>
  <c r="R3625" i="3"/>
  <c r="S3052" i="3"/>
  <c r="R3052" i="3"/>
  <c r="S3486" i="3"/>
  <c r="R3486" i="3"/>
  <c r="S2603" i="3"/>
  <c r="R2603" i="3"/>
  <c r="S2866" i="3"/>
  <c r="R2866" i="3"/>
  <c r="S3150" i="3"/>
  <c r="R3150" i="3"/>
  <c r="S3460" i="3"/>
  <c r="R3460" i="3"/>
  <c r="S3772" i="3"/>
  <c r="R3772" i="3"/>
  <c r="S3911" i="3"/>
  <c r="R3911" i="3"/>
  <c r="S3335" i="3"/>
  <c r="R3335" i="3"/>
  <c r="S3637" i="3"/>
  <c r="R3637" i="3"/>
  <c r="S3951" i="3"/>
  <c r="R3951" i="3"/>
  <c r="S3716" i="3"/>
  <c r="R3716" i="3"/>
  <c r="S4031" i="3"/>
  <c r="R4031" i="3"/>
  <c r="S3796" i="3"/>
  <c r="R3796" i="3"/>
  <c r="S4014" i="3"/>
  <c r="R4014" i="3"/>
  <c r="S2551" i="3"/>
  <c r="R2551" i="3"/>
  <c r="S2803" i="3"/>
  <c r="R2803" i="3"/>
  <c r="R3123" i="3"/>
  <c r="S3123" i="3"/>
  <c r="S3434" i="3"/>
  <c r="R3434" i="3"/>
  <c r="S3743" i="3"/>
  <c r="R3743" i="3"/>
  <c r="S4057" i="3"/>
  <c r="R4057" i="3"/>
  <c r="S3802" i="3"/>
  <c r="R3802" i="3"/>
  <c r="S3549" i="3"/>
  <c r="R3549" i="3"/>
  <c r="S3863" i="3"/>
  <c r="R3863" i="3"/>
  <c r="S4080" i="3"/>
  <c r="R4080" i="3"/>
  <c r="S3848" i="3"/>
  <c r="R3848" i="3"/>
  <c r="S3274" i="3"/>
  <c r="R3274" i="3"/>
  <c r="R3574" i="3"/>
  <c r="S3574" i="3"/>
  <c r="S3888" i="3"/>
  <c r="R3888" i="3"/>
  <c r="R2855" i="3"/>
  <c r="S2855" i="3"/>
  <c r="S3102" i="3"/>
  <c r="R3102" i="3"/>
  <c r="S3378" i="3"/>
  <c r="R3378" i="3"/>
  <c r="S3623" i="3"/>
  <c r="R3623" i="3"/>
  <c r="S3877" i="3"/>
  <c r="R3877" i="3"/>
  <c r="S3242" i="3"/>
  <c r="R3242" i="3"/>
  <c r="S3528" i="3"/>
  <c r="R3528" i="3"/>
  <c r="S3783" i="3"/>
  <c r="R3783" i="3"/>
  <c r="S4038" i="3"/>
  <c r="R4038" i="3"/>
  <c r="R2893" i="3"/>
  <c r="S2893" i="3"/>
  <c r="S3156" i="3"/>
  <c r="R3156" i="3"/>
  <c r="S3399" i="3"/>
  <c r="R3399" i="3"/>
  <c r="S3647" i="3"/>
  <c r="R3647" i="3"/>
  <c r="S3901" i="3"/>
  <c r="R3901" i="3"/>
  <c r="S4097" i="3"/>
  <c r="R4097" i="3"/>
  <c r="S1481" i="3"/>
  <c r="R1481" i="3"/>
  <c r="S651" i="3"/>
  <c r="R651" i="3"/>
  <c r="S368" i="3"/>
  <c r="R368" i="3"/>
  <c r="S184" i="3"/>
  <c r="R184" i="3"/>
  <c r="S535" i="3"/>
  <c r="R535" i="3"/>
  <c r="S55" i="3"/>
  <c r="R55" i="3"/>
  <c r="S111" i="3"/>
  <c r="R111" i="3"/>
  <c r="S1151" i="3"/>
  <c r="R1151" i="3"/>
  <c r="S132" i="3"/>
  <c r="R132" i="3"/>
  <c r="S259" i="3"/>
  <c r="R259" i="3"/>
  <c r="S1330" i="3"/>
  <c r="R1330" i="3"/>
  <c r="R101" i="3"/>
  <c r="S101" i="3"/>
  <c r="S246" i="3"/>
  <c r="R246" i="3"/>
  <c r="S1551" i="3"/>
  <c r="R1551" i="3"/>
  <c r="S304" i="3"/>
  <c r="R304" i="3"/>
  <c r="S1250" i="3"/>
  <c r="R1250" i="3"/>
  <c r="S90" i="3"/>
  <c r="R90" i="3"/>
  <c r="S38" i="3"/>
  <c r="R38" i="3"/>
  <c r="S16" i="3"/>
  <c r="R16" i="3"/>
  <c r="S128" i="3"/>
  <c r="R128" i="3"/>
  <c r="R1286" i="3"/>
  <c r="S1286" i="3"/>
  <c r="R1295" i="3"/>
  <c r="S1295" i="3"/>
  <c r="S275" i="3"/>
  <c r="R275" i="3"/>
  <c r="S150" i="3"/>
  <c r="R150" i="3"/>
  <c r="S1450" i="3"/>
  <c r="R1450" i="3"/>
  <c r="S277" i="3"/>
  <c r="R277" i="3"/>
  <c r="S116" i="3"/>
  <c r="R116" i="3"/>
  <c r="S1468" i="3"/>
  <c r="R1468" i="3"/>
  <c r="R281" i="3"/>
  <c r="S281" i="3"/>
  <c r="S119" i="3"/>
  <c r="R119" i="3"/>
  <c r="S1214" i="3"/>
  <c r="R1214" i="3"/>
  <c r="S264" i="3"/>
  <c r="R264" i="3"/>
  <c r="S139" i="3"/>
  <c r="R139" i="3"/>
  <c r="S13" i="3"/>
  <c r="R13" i="3"/>
  <c r="S432" i="3"/>
  <c r="R432" i="3"/>
  <c r="S142" i="3"/>
  <c r="R142" i="3"/>
  <c r="S1388" i="3"/>
  <c r="R1388" i="3"/>
  <c r="S269" i="3"/>
  <c r="R269" i="3"/>
  <c r="S109" i="3"/>
  <c r="R109" i="3"/>
  <c r="R1132" i="3"/>
  <c r="S1132" i="3"/>
  <c r="S203" i="3"/>
  <c r="R203" i="3"/>
  <c r="S458" i="3"/>
  <c r="R458" i="3"/>
  <c r="S709" i="3"/>
  <c r="R709" i="3"/>
  <c r="S1002" i="3"/>
  <c r="R1002" i="3"/>
  <c r="S1288" i="3"/>
  <c r="R1288" i="3"/>
  <c r="S1702" i="3"/>
  <c r="R1702" i="3"/>
  <c r="S411" i="3"/>
  <c r="R411" i="3"/>
  <c r="S662" i="3"/>
  <c r="R662" i="3"/>
  <c r="S950" i="3"/>
  <c r="R950" i="3"/>
  <c r="R1236" i="3"/>
  <c r="S1236" i="3"/>
  <c r="S1560" i="3"/>
  <c r="R1560" i="3"/>
  <c r="S364" i="3"/>
  <c r="R364" i="3"/>
  <c r="R616" i="3"/>
  <c r="S616" i="3"/>
  <c r="R883" i="3"/>
  <c r="S883" i="3"/>
  <c r="R1164" i="3"/>
  <c r="S1164" i="3"/>
  <c r="R1445" i="3"/>
  <c r="S1445" i="3"/>
  <c r="S301" i="3"/>
  <c r="R301" i="3"/>
  <c r="S554" i="3"/>
  <c r="R554" i="3"/>
  <c r="R832" i="3"/>
  <c r="S832" i="3"/>
  <c r="S1147" i="3"/>
  <c r="R1147" i="3"/>
  <c r="R1446" i="3"/>
  <c r="S1446" i="3"/>
  <c r="S286" i="3"/>
  <c r="R286" i="3"/>
  <c r="S555" i="3"/>
  <c r="R555" i="3"/>
  <c r="S817" i="3"/>
  <c r="R817" i="3"/>
  <c r="S1096" i="3"/>
  <c r="R1096" i="3"/>
  <c r="S1378" i="3"/>
  <c r="R1378" i="3"/>
  <c r="R2419" i="3"/>
  <c r="S2419" i="3"/>
  <c r="S224" i="3"/>
  <c r="R224" i="3"/>
  <c r="S479" i="3"/>
  <c r="R479" i="3"/>
  <c r="S732" i="3"/>
  <c r="R732" i="3"/>
  <c r="S1024" i="3"/>
  <c r="R1024" i="3"/>
  <c r="S1312" i="3"/>
  <c r="R1312" i="3"/>
  <c r="S1797" i="3"/>
  <c r="R1797" i="3"/>
  <c r="S2742" i="3"/>
  <c r="R2742" i="3"/>
  <c r="R529" i="3"/>
  <c r="S529" i="3"/>
  <c r="S803" i="3"/>
  <c r="R803" i="3"/>
  <c r="S1115" i="3"/>
  <c r="R1115" i="3"/>
  <c r="S1416" i="3"/>
  <c r="R1416" i="3"/>
  <c r="S2589" i="3"/>
  <c r="R2589" i="3"/>
  <c r="S514" i="3"/>
  <c r="R514" i="3"/>
  <c r="S788" i="3"/>
  <c r="R788" i="3"/>
  <c r="S1064" i="3"/>
  <c r="R1064" i="3"/>
  <c r="R1349" i="3"/>
  <c r="S1349" i="3"/>
  <c r="S2309" i="3"/>
  <c r="R2309" i="3"/>
  <c r="S483" i="3"/>
  <c r="R483" i="3"/>
  <c r="R736" i="3"/>
  <c r="S736" i="3"/>
  <c r="S1029" i="3"/>
  <c r="R1029" i="3"/>
  <c r="S1332" i="3"/>
  <c r="R1332" i="3"/>
  <c r="S2045" i="3"/>
  <c r="R2045" i="3"/>
  <c r="S452" i="3"/>
  <c r="R452" i="3"/>
  <c r="S703" i="3"/>
  <c r="R703" i="3"/>
  <c r="S977" i="3"/>
  <c r="R977" i="3"/>
  <c r="S1282" i="3"/>
  <c r="R1282" i="3"/>
  <c r="S1747" i="3"/>
  <c r="R1747" i="3"/>
  <c r="S405" i="3"/>
  <c r="R405" i="3"/>
  <c r="R656" i="3"/>
  <c r="S656" i="3"/>
  <c r="S926" i="3"/>
  <c r="R926" i="3"/>
  <c r="S1210" i="3"/>
  <c r="R1210" i="3"/>
  <c r="S1545" i="3"/>
  <c r="R1545" i="3"/>
  <c r="S342" i="3"/>
  <c r="R342" i="3"/>
  <c r="S610" i="3"/>
  <c r="R610" i="3"/>
  <c r="S876" i="3"/>
  <c r="R876" i="3"/>
  <c r="S1158" i="3"/>
  <c r="R1158" i="3"/>
  <c r="S1456" i="3"/>
  <c r="R1456" i="3"/>
  <c r="S295" i="3"/>
  <c r="R295" i="3"/>
  <c r="S563" i="3"/>
  <c r="R563" i="3"/>
  <c r="S826" i="3"/>
  <c r="R826" i="3"/>
  <c r="S1105" i="3"/>
  <c r="R1105" i="3"/>
  <c r="R1405" i="3"/>
  <c r="S1405" i="3"/>
  <c r="S2497" i="3"/>
  <c r="R2497" i="3"/>
  <c r="R345" i="3"/>
  <c r="S345" i="3"/>
  <c r="S597" i="3"/>
  <c r="R597" i="3"/>
  <c r="S862" i="3"/>
  <c r="R862" i="3"/>
  <c r="S1143" i="3"/>
  <c r="R1143" i="3"/>
  <c r="S1425" i="3"/>
  <c r="R1425" i="3"/>
  <c r="S2669" i="3"/>
  <c r="R2669" i="3"/>
  <c r="R948" i="3"/>
  <c r="S948" i="3"/>
  <c r="S1197" i="3"/>
  <c r="R1197" i="3"/>
  <c r="S1442" i="3"/>
  <c r="R1442" i="3"/>
  <c r="S1694" i="3"/>
  <c r="R1694" i="3"/>
  <c r="S1947" i="3"/>
  <c r="R1947" i="3"/>
  <c r="R2204" i="3"/>
  <c r="S2204" i="3"/>
  <c r="R2490" i="3"/>
  <c r="S2490" i="3"/>
  <c r="S2811" i="3"/>
  <c r="R2811" i="3"/>
  <c r="S1617" i="3"/>
  <c r="R1617" i="3"/>
  <c r="S1884" i="3"/>
  <c r="R1884" i="3"/>
  <c r="S2168" i="3"/>
  <c r="R2168" i="3"/>
  <c r="S2456" i="3"/>
  <c r="R2456" i="3"/>
  <c r="S2788" i="3"/>
  <c r="R2788" i="3"/>
  <c r="R1603" i="3"/>
  <c r="S1603" i="3"/>
  <c r="S1854" i="3"/>
  <c r="R1854" i="3"/>
  <c r="R2100" i="3"/>
  <c r="S2100" i="3"/>
  <c r="S2387" i="3"/>
  <c r="R2387" i="3"/>
  <c r="R2726" i="3"/>
  <c r="S2726" i="3"/>
  <c r="S1572" i="3"/>
  <c r="R1572" i="3"/>
  <c r="S1823" i="3"/>
  <c r="R1823" i="3"/>
  <c r="S2117" i="3"/>
  <c r="R2117" i="3"/>
  <c r="S2406" i="3"/>
  <c r="R2406" i="3"/>
  <c r="S2707" i="3"/>
  <c r="R2707" i="3"/>
  <c r="R1557" i="3"/>
  <c r="S1557" i="3"/>
  <c r="R1824" i="3"/>
  <c r="S1824" i="3"/>
  <c r="S2072" i="3"/>
  <c r="R2072" i="3"/>
  <c r="S2371" i="3"/>
  <c r="R2371" i="3"/>
  <c r="S2667" i="3"/>
  <c r="R2667" i="3"/>
  <c r="S790" i="3"/>
  <c r="R790" i="3"/>
  <c r="S1077" i="3"/>
  <c r="R1077" i="3"/>
  <c r="R1342" i="3"/>
  <c r="S1342" i="3"/>
  <c r="R1606" i="3"/>
  <c r="S1606" i="3"/>
  <c r="S1857" i="3"/>
  <c r="R1857" i="3"/>
  <c r="S2120" i="3"/>
  <c r="R2120" i="3"/>
  <c r="R2426" i="3"/>
  <c r="S2426" i="3"/>
  <c r="S2771" i="3"/>
  <c r="R2771" i="3"/>
  <c r="S1637" i="3"/>
  <c r="R1637" i="3"/>
  <c r="S1906" i="3"/>
  <c r="R1906" i="3"/>
  <c r="S2175" i="3"/>
  <c r="R2175" i="3"/>
  <c r="R2462" i="3"/>
  <c r="S2462" i="3"/>
  <c r="S2822" i="3"/>
  <c r="R2822" i="3"/>
  <c r="S2015" i="3"/>
  <c r="R2015" i="3"/>
  <c r="R2284" i="3"/>
  <c r="S2284" i="3"/>
  <c r="S2571" i="3"/>
  <c r="R2571" i="3"/>
  <c r="S2968" i="3"/>
  <c r="R2968" i="3"/>
  <c r="S1969" i="3"/>
  <c r="R1969" i="3"/>
  <c r="S2232" i="3"/>
  <c r="R2232" i="3"/>
  <c r="S2535" i="3"/>
  <c r="R2535" i="3"/>
  <c r="R2871" i="3"/>
  <c r="S2871" i="3"/>
  <c r="S1656" i="3"/>
  <c r="R1656" i="3"/>
  <c r="S1909" i="3"/>
  <c r="R1909" i="3"/>
  <c r="S2178" i="3"/>
  <c r="R2178" i="3"/>
  <c r="R2466" i="3"/>
  <c r="S2466" i="3"/>
  <c r="S2779" i="3"/>
  <c r="R2779" i="3"/>
  <c r="S1596" i="3"/>
  <c r="R1596" i="3"/>
  <c r="S1847" i="3"/>
  <c r="R1847" i="3"/>
  <c r="S2109" i="3"/>
  <c r="R2109" i="3"/>
  <c r="S2397" i="3"/>
  <c r="R2397" i="3"/>
  <c r="R2738" i="3"/>
  <c r="S2738" i="3"/>
  <c r="R1565" i="3"/>
  <c r="S1565" i="3"/>
  <c r="R1816" i="3"/>
  <c r="S1816" i="3"/>
  <c r="S2080" i="3"/>
  <c r="R2080" i="3"/>
  <c r="R2380" i="3"/>
  <c r="S2380" i="3"/>
  <c r="S2698" i="3"/>
  <c r="R2698" i="3"/>
  <c r="R1691" i="3"/>
  <c r="S1691" i="3"/>
  <c r="R1944" i="3"/>
  <c r="S1944" i="3"/>
  <c r="S2200" i="3"/>
  <c r="R2200" i="3"/>
  <c r="S2487" i="3"/>
  <c r="R2487" i="3"/>
  <c r="S2806" i="3"/>
  <c r="R2806" i="3"/>
  <c r="R1630" i="3"/>
  <c r="S1630" i="3"/>
  <c r="S1882" i="3"/>
  <c r="R1882" i="3"/>
  <c r="S2129" i="3"/>
  <c r="R2129" i="3"/>
  <c r="S2420" i="3"/>
  <c r="R2420" i="3"/>
  <c r="S2723" i="3"/>
  <c r="R2723" i="3"/>
  <c r="R2180" i="3"/>
  <c r="S2180" i="3"/>
  <c r="S2433" i="3"/>
  <c r="R2433" i="3"/>
  <c r="S2697" i="3"/>
  <c r="R2697" i="3"/>
  <c r="S3012" i="3"/>
  <c r="R3012" i="3"/>
  <c r="S3367" i="3"/>
  <c r="R3367" i="3"/>
  <c r="S3923" i="3"/>
  <c r="R3923" i="3"/>
  <c r="S3245" i="3"/>
  <c r="R3245" i="3"/>
  <c r="S3709" i="3"/>
  <c r="R3709" i="3"/>
  <c r="S3097" i="3"/>
  <c r="R3097" i="3"/>
  <c r="S3491" i="3"/>
  <c r="R3491" i="3"/>
  <c r="R2975" i="3"/>
  <c r="S2975" i="3"/>
  <c r="S3346" i="3"/>
  <c r="R3346" i="3"/>
  <c r="S3884" i="3"/>
  <c r="R3884" i="3"/>
  <c r="R3199" i="3"/>
  <c r="S3199" i="3"/>
  <c r="S3642" i="3"/>
  <c r="R3642" i="3"/>
  <c r="S2248" i="3"/>
  <c r="R2248" i="3"/>
  <c r="R2498" i="3"/>
  <c r="S2498" i="3"/>
  <c r="S2796" i="3"/>
  <c r="R2796" i="3"/>
  <c r="S3121" i="3"/>
  <c r="R3121" i="3"/>
  <c r="S3494" i="3"/>
  <c r="R3494" i="3"/>
  <c r="S3499" i="3"/>
  <c r="R3499" i="3"/>
  <c r="R3001" i="3"/>
  <c r="S3001" i="3"/>
  <c r="S3356" i="3"/>
  <c r="R3356" i="3"/>
  <c r="R3945" i="3"/>
  <c r="S3945" i="3"/>
  <c r="R3254" i="3"/>
  <c r="S3254" i="3"/>
  <c r="S3768" i="3"/>
  <c r="R3768" i="3"/>
  <c r="R3147" i="3"/>
  <c r="S3147" i="3"/>
  <c r="S3533" i="3"/>
  <c r="R3533" i="3"/>
  <c r="S3188" i="3"/>
  <c r="R3188" i="3"/>
  <c r="S3691" i="3"/>
  <c r="R3691" i="3"/>
  <c r="S3088" i="3"/>
  <c r="R3088" i="3"/>
  <c r="S3483" i="3"/>
  <c r="R3483" i="3"/>
  <c r="S2946" i="3"/>
  <c r="R2946" i="3"/>
  <c r="S3337" i="3"/>
  <c r="R3337" i="3"/>
  <c r="R3915" i="3"/>
  <c r="S3915" i="3"/>
  <c r="R3214" i="3"/>
  <c r="S3214" i="3"/>
  <c r="S3661" i="3"/>
  <c r="R3661" i="3"/>
  <c r="S3663" i="3"/>
  <c r="R3663" i="3"/>
  <c r="S3072" i="3"/>
  <c r="R3072" i="3"/>
  <c r="S3513" i="3"/>
  <c r="R3513" i="3"/>
  <c r="S2619" i="3"/>
  <c r="R2619" i="3"/>
  <c r="S2883" i="3"/>
  <c r="R2883" i="3"/>
  <c r="R3167" i="3"/>
  <c r="S3167" i="3"/>
  <c r="S3478" i="3"/>
  <c r="R3478" i="3"/>
  <c r="S3792" i="3"/>
  <c r="R3792" i="3"/>
  <c r="S3930" i="3"/>
  <c r="R3930" i="3"/>
  <c r="S3354" i="3"/>
  <c r="R3354" i="3"/>
  <c r="S3658" i="3"/>
  <c r="R3658" i="3"/>
  <c r="S3970" i="3"/>
  <c r="R3970" i="3"/>
  <c r="S3737" i="3"/>
  <c r="R3737" i="3"/>
  <c r="S4050" i="3"/>
  <c r="R4050" i="3"/>
  <c r="S3816" i="3"/>
  <c r="R3816" i="3"/>
  <c r="S4033" i="3"/>
  <c r="R4033" i="3"/>
  <c r="R2566" i="3"/>
  <c r="S2566" i="3"/>
  <c r="R2821" i="3"/>
  <c r="S2821" i="3"/>
  <c r="S3141" i="3"/>
  <c r="R3141" i="3"/>
  <c r="S3452" i="3"/>
  <c r="R3452" i="3"/>
  <c r="S3762" i="3"/>
  <c r="R3762" i="3"/>
  <c r="S4076" i="3"/>
  <c r="R4076" i="3"/>
  <c r="S3822" i="3"/>
  <c r="R3822" i="3"/>
  <c r="R3569" i="3"/>
  <c r="S3569" i="3"/>
  <c r="S3882" i="3"/>
  <c r="R3882" i="3"/>
  <c r="S3983" i="3"/>
  <c r="R3983" i="3"/>
  <c r="R3867" i="3"/>
  <c r="S3867" i="3"/>
  <c r="S3293" i="3"/>
  <c r="R3293" i="3"/>
  <c r="R3595" i="3"/>
  <c r="S3595" i="3"/>
  <c r="S3907" i="3"/>
  <c r="R3907" i="3"/>
  <c r="S2870" i="3"/>
  <c r="R2870" i="3"/>
  <c r="S3118" i="3"/>
  <c r="R3118" i="3"/>
  <c r="S3393" i="3"/>
  <c r="R3393" i="3"/>
  <c r="S3639" i="3"/>
  <c r="R3639" i="3"/>
  <c r="S3893" i="3"/>
  <c r="R3893" i="3"/>
  <c r="S3256" i="3"/>
  <c r="R3256" i="3"/>
  <c r="S3544" i="3"/>
  <c r="R3544" i="3"/>
  <c r="S3799" i="3"/>
  <c r="R3799" i="3"/>
  <c r="S4054" i="3"/>
  <c r="R4054" i="3"/>
  <c r="R2909" i="3"/>
  <c r="S2909" i="3"/>
  <c r="S3172" i="3"/>
  <c r="R3172" i="3"/>
  <c r="R3414" i="3"/>
  <c r="S3414" i="3"/>
  <c r="R3662" i="3"/>
  <c r="S3662" i="3"/>
  <c r="S3917" i="3"/>
  <c r="R3917" i="3"/>
  <c r="S4098" i="3"/>
  <c r="R4098" i="3"/>
  <c r="R153" i="3"/>
  <c r="S153" i="3"/>
  <c r="S612" i="3"/>
  <c r="R612" i="3"/>
  <c r="S53" i="3"/>
  <c r="R53" i="3"/>
  <c r="S144" i="3"/>
  <c r="R144" i="3"/>
  <c r="S24" i="3"/>
  <c r="R24" i="3"/>
  <c r="S20" i="3"/>
  <c r="R20" i="3"/>
  <c r="S135" i="3"/>
  <c r="R135" i="3"/>
  <c r="S1142" i="3"/>
  <c r="R1142" i="3"/>
  <c r="S270" i="3"/>
  <c r="R270" i="3"/>
  <c r="S982" i="3"/>
  <c r="R982" i="3"/>
  <c r="S147" i="3"/>
  <c r="R147" i="3"/>
  <c r="S1424" i="3"/>
  <c r="R1424" i="3"/>
  <c r="S1434" i="3"/>
  <c r="R1434" i="3"/>
  <c r="S360" i="3"/>
  <c r="R360" i="3"/>
  <c r="S168" i="3"/>
  <c r="R168" i="3"/>
  <c r="S5" i="3"/>
  <c r="R5" i="3"/>
  <c r="S376" i="3"/>
  <c r="R376" i="3"/>
  <c r="S134" i="3"/>
  <c r="R134" i="3"/>
  <c r="S8" i="3"/>
  <c r="R8" i="3"/>
  <c r="S400" i="3"/>
  <c r="R400" i="3"/>
  <c r="R137" i="3"/>
  <c r="S137" i="3"/>
  <c r="R1515" i="3"/>
  <c r="S1515" i="3"/>
  <c r="S288" i="3"/>
  <c r="R288" i="3"/>
  <c r="S158" i="3"/>
  <c r="R158" i="3"/>
  <c r="S31" i="3"/>
  <c r="R31" i="3"/>
  <c r="S557" i="3"/>
  <c r="R557" i="3"/>
  <c r="S160" i="3"/>
  <c r="R160" i="3"/>
  <c r="S1591" i="3"/>
  <c r="R1591" i="3"/>
  <c r="S320" i="3"/>
  <c r="R320" i="3"/>
  <c r="S127" i="3"/>
  <c r="R127" i="3"/>
  <c r="R1277" i="3"/>
  <c r="S1277" i="3"/>
  <c r="S219" i="3"/>
  <c r="R219" i="3"/>
  <c r="S474" i="3"/>
  <c r="R474" i="3"/>
  <c r="S726" i="3"/>
  <c r="R726" i="3"/>
  <c r="R1020" i="3"/>
  <c r="S1020" i="3"/>
  <c r="S1306" i="3"/>
  <c r="R1306" i="3"/>
  <c r="S1771" i="3"/>
  <c r="R1771" i="3"/>
  <c r="S427" i="3"/>
  <c r="R427" i="3"/>
  <c r="S678" i="3"/>
  <c r="R678" i="3"/>
  <c r="S967" i="3"/>
  <c r="R967" i="3"/>
  <c r="R1253" i="3"/>
  <c r="S1253" i="3"/>
  <c r="S1594" i="3"/>
  <c r="R1594" i="3"/>
  <c r="S380" i="3"/>
  <c r="R380" i="3"/>
  <c r="S631" i="3"/>
  <c r="R631" i="3"/>
  <c r="R900" i="3"/>
  <c r="S900" i="3"/>
  <c r="S1182" i="3"/>
  <c r="R1182" i="3"/>
  <c r="S1464" i="3"/>
  <c r="R1464" i="3"/>
  <c r="S317" i="3"/>
  <c r="R317" i="3"/>
  <c r="R569" i="3"/>
  <c r="S569" i="3"/>
  <c r="S850" i="3"/>
  <c r="R850" i="3"/>
  <c r="S1165" i="3"/>
  <c r="R1165" i="3"/>
  <c r="S1465" i="3"/>
  <c r="R1465" i="3"/>
  <c r="S302" i="3"/>
  <c r="R302" i="3"/>
  <c r="S570" i="3"/>
  <c r="R570" i="3"/>
  <c r="S834" i="3"/>
  <c r="R834" i="3"/>
  <c r="S1112" i="3"/>
  <c r="R1112" i="3"/>
  <c r="S1394" i="3"/>
  <c r="R1394" i="3"/>
  <c r="S2561" i="3"/>
  <c r="R2561" i="3"/>
  <c r="S240" i="3"/>
  <c r="R240" i="3"/>
  <c r="S495" i="3"/>
  <c r="R495" i="3"/>
  <c r="S749" i="3"/>
  <c r="R749" i="3"/>
  <c r="S1042" i="3"/>
  <c r="R1042" i="3"/>
  <c r="S1329" i="3"/>
  <c r="R1329" i="3"/>
  <c r="S1889" i="3"/>
  <c r="R1889" i="3"/>
  <c r="R289" i="3"/>
  <c r="S289" i="3"/>
  <c r="S542" i="3"/>
  <c r="R542" i="3"/>
  <c r="S837" i="3"/>
  <c r="R837" i="3"/>
  <c r="S1133" i="3"/>
  <c r="R1133" i="3"/>
  <c r="R1435" i="3"/>
  <c r="S1435" i="3"/>
  <c r="S2753" i="3"/>
  <c r="R2753" i="3"/>
  <c r="S530" i="3"/>
  <c r="R530" i="3"/>
  <c r="S805" i="3"/>
  <c r="R805" i="3"/>
  <c r="S1082" i="3"/>
  <c r="R1082" i="3"/>
  <c r="R1366" i="3"/>
  <c r="S1366" i="3"/>
  <c r="S2453" i="3"/>
  <c r="R2453" i="3"/>
  <c r="S499" i="3"/>
  <c r="R499" i="3"/>
  <c r="S753" i="3"/>
  <c r="R753" i="3"/>
  <c r="S1047" i="3"/>
  <c r="R1047" i="3"/>
  <c r="R1350" i="3"/>
  <c r="S1350" i="3"/>
  <c r="S2174" i="3"/>
  <c r="R2174" i="3"/>
  <c r="S468" i="3"/>
  <c r="R468" i="3"/>
  <c r="S719" i="3"/>
  <c r="R719" i="3"/>
  <c r="S995" i="3"/>
  <c r="R995" i="3"/>
  <c r="S1300" i="3"/>
  <c r="R1300" i="3"/>
  <c r="S1826" i="3"/>
  <c r="R1826" i="3"/>
  <c r="S421" i="3"/>
  <c r="R421" i="3"/>
  <c r="R672" i="3"/>
  <c r="S672" i="3"/>
  <c r="S944" i="3"/>
  <c r="R944" i="3"/>
  <c r="R1228" i="3"/>
  <c r="S1228" i="3"/>
  <c r="R1582" i="3"/>
  <c r="S1582" i="3"/>
  <c r="S358" i="3"/>
  <c r="R358" i="3"/>
  <c r="S625" i="3"/>
  <c r="R625" i="3"/>
  <c r="S895" i="3"/>
  <c r="R895" i="3"/>
  <c r="S1193" i="3"/>
  <c r="R1193" i="3"/>
  <c r="R1478" i="3"/>
  <c r="S1478" i="3"/>
  <c r="S311" i="3"/>
  <c r="R311" i="3"/>
  <c r="S579" i="3"/>
  <c r="R579" i="3"/>
  <c r="S843" i="3"/>
  <c r="R843" i="3"/>
  <c r="S1122" i="3"/>
  <c r="R1122" i="3"/>
  <c r="R1423" i="3"/>
  <c r="S1423" i="3"/>
  <c r="R2650" i="3"/>
  <c r="S2650" i="3"/>
  <c r="R361" i="3"/>
  <c r="S361" i="3"/>
  <c r="S613" i="3"/>
  <c r="R613" i="3"/>
  <c r="S880" i="3"/>
  <c r="R880" i="3"/>
  <c r="S1161" i="3"/>
  <c r="R1161" i="3"/>
  <c r="S1441" i="3"/>
  <c r="R1441" i="3"/>
  <c r="S2844" i="3"/>
  <c r="R2844" i="3"/>
  <c r="S963" i="3"/>
  <c r="R963" i="3"/>
  <c r="S1213" i="3"/>
  <c r="R1213" i="3"/>
  <c r="S1458" i="3"/>
  <c r="R1458" i="3"/>
  <c r="S1709" i="3"/>
  <c r="R1709" i="3"/>
  <c r="S1961" i="3"/>
  <c r="R1961" i="3"/>
  <c r="S2222" i="3"/>
  <c r="R2222" i="3"/>
  <c r="S2507" i="3"/>
  <c r="R2507" i="3"/>
  <c r="R2835" i="3"/>
  <c r="S2835" i="3"/>
  <c r="S1632" i="3"/>
  <c r="R1632" i="3"/>
  <c r="S1900" i="3"/>
  <c r="R1900" i="3"/>
  <c r="S2187" i="3"/>
  <c r="R2187" i="3"/>
  <c r="R2474" i="3"/>
  <c r="S2474" i="3"/>
  <c r="R2813" i="3"/>
  <c r="S2813" i="3"/>
  <c r="S1618" i="3"/>
  <c r="R1618" i="3"/>
  <c r="S1870" i="3"/>
  <c r="R1870" i="3"/>
  <c r="R2116" i="3"/>
  <c r="S2116" i="3"/>
  <c r="S2405" i="3"/>
  <c r="R2405" i="3"/>
  <c r="R2747" i="3"/>
  <c r="S2747" i="3"/>
  <c r="S1588" i="3"/>
  <c r="R1588" i="3"/>
  <c r="S1839" i="3"/>
  <c r="R1839" i="3"/>
  <c r="S2134" i="3"/>
  <c r="R2134" i="3"/>
  <c r="S2424" i="3"/>
  <c r="R2424" i="3"/>
  <c r="R2727" i="3"/>
  <c r="S2727" i="3"/>
  <c r="R1573" i="3"/>
  <c r="S1573" i="3"/>
  <c r="R1840" i="3"/>
  <c r="S1840" i="3"/>
  <c r="S2087" i="3"/>
  <c r="R2087" i="3"/>
  <c r="S2389" i="3"/>
  <c r="R2389" i="3"/>
  <c r="R2687" i="3"/>
  <c r="S2687" i="3"/>
  <c r="S804" i="3"/>
  <c r="R804" i="3"/>
  <c r="S1093" i="3"/>
  <c r="R1093" i="3"/>
  <c r="R1357" i="3"/>
  <c r="S1357" i="3"/>
  <c r="R1621" i="3"/>
  <c r="S1621" i="3"/>
  <c r="S1873" i="3"/>
  <c r="R1873" i="3"/>
  <c r="S2136" i="3"/>
  <c r="R2136" i="3"/>
  <c r="R2443" i="3"/>
  <c r="S2443" i="3"/>
  <c r="R2795" i="3"/>
  <c r="S2795" i="3"/>
  <c r="S1653" i="3"/>
  <c r="R1653" i="3"/>
  <c r="S1922" i="3"/>
  <c r="R1922" i="3"/>
  <c r="S2193" i="3"/>
  <c r="R2193" i="3"/>
  <c r="S2480" i="3"/>
  <c r="R2480" i="3"/>
  <c r="R2845" i="3"/>
  <c r="S2845" i="3"/>
  <c r="S2031" i="3"/>
  <c r="R2031" i="3"/>
  <c r="S2302" i="3"/>
  <c r="R2302" i="3"/>
  <c r="R2592" i="3"/>
  <c r="S2592" i="3"/>
  <c r="R3091" i="3"/>
  <c r="S3091" i="3"/>
  <c r="S1984" i="3"/>
  <c r="R1984" i="3"/>
  <c r="S2250" i="3"/>
  <c r="R2250" i="3"/>
  <c r="R2554" i="3"/>
  <c r="S2554" i="3"/>
  <c r="R2899" i="3"/>
  <c r="S2899" i="3"/>
  <c r="S1672" i="3"/>
  <c r="R1672" i="3"/>
  <c r="S1925" i="3"/>
  <c r="R1925" i="3"/>
  <c r="S2197" i="3"/>
  <c r="R2197" i="3"/>
  <c r="S2484" i="3"/>
  <c r="R2484" i="3"/>
  <c r="S2802" i="3"/>
  <c r="R2802" i="3"/>
  <c r="R1611" i="3"/>
  <c r="S1611" i="3"/>
  <c r="S1863" i="3"/>
  <c r="R1863" i="3"/>
  <c r="R2125" i="3"/>
  <c r="S2125" i="3"/>
  <c r="R2415" i="3"/>
  <c r="S2415" i="3"/>
  <c r="R2759" i="3"/>
  <c r="S2759" i="3"/>
  <c r="R1581" i="3"/>
  <c r="S1581" i="3"/>
  <c r="R1832" i="3"/>
  <c r="S1832" i="3"/>
  <c r="S2110" i="3"/>
  <c r="R2110" i="3"/>
  <c r="S2398" i="3"/>
  <c r="R2398" i="3"/>
  <c r="S2718" i="3"/>
  <c r="R2718" i="3"/>
  <c r="S1706" i="3"/>
  <c r="R1706" i="3"/>
  <c r="S1958" i="3"/>
  <c r="R1958" i="3"/>
  <c r="S2219" i="3"/>
  <c r="R2219" i="3"/>
  <c r="R2504" i="3"/>
  <c r="S2504" i="3"/>
  <c r="R2829" i="3"/>
  <c r="S2829" i="3"/>
  <c r="S1645" i="3"/>
  <c r="R1645" i="3"/>
  <c r="S1898" i="3"/>
  <c r="R1898" i="3"/>
  <c r="S2147" i="3"/>
  <c r="R2147" i="3"/>
  <c r="S2436" i="3"/>
  <c r="R2436" i="3"/>
  <c r="R2743" i="3"/>
  <c r="S2743" i="3"/>
  <c r="R2196" i="3"/>
  <c r="S2196" i="3"/>
  <c r="R2447" i="3"/>
  <c r="S2447" i="3"/>
  <c r="S2715" i="3"/>
  <c r="R2715" i="3"/>
  <c r="S3033" i="3"/>
  <c r="R3033" i="3"/>
  <c r="S3394" i="3"/>
  <c r="R3394" i="3"/>
  <c r="S2932" i="3"/>
  <c r="R2932" i="3"/>
  <c r="S3268" i="3"/>
  <c r="R3268" i="3"/>
  <c r="S3748" i="3"/>
  <c r="R3748" i="3"/>
  <c r="S3117" i="3"/>
  <c r="R3117" i="3"/>
  <c r="R3518" i="3"/>
  <c r="S3518" i="3"/>
  <c r="S2995" i="3"/>
  <c r="R2995" i="3"/>
  <c r="R3374" i="3"/>
  <c r="S3374" i="3"/>
  <c r="S3936" i="3"/>
  <c r="R3936" i="3"/>
  <c r="S3224" i="3"/>
  <c r="R3224" i="3"/>
  <c r="S3680" i="3"/>
  <c r="R3680" i="3"/>
  <c r="S2263" i="3"/>
  <c r="R2263" i="3"/>
  <c r="R2514" i="3"/>
  <c r="S2514" i="3"/>
  <c r="S2817" i="3"/>
  <c r="R2817" i="3"/>
  <c r="S3143" i="3"/>
  <c r="R3143" i="3"/>
  <c r="S3524" i="3"/>
  <c r="R3524" i="3"/>
  <c r="S3525" i="3"/>
  <c r="R3525" i="3"/>
  <c r="R3021" i="3"/>
  <c r="S3021" i="3"/>
  <c r="S3380" i="3"/>
  <c r="R3380" i="3"/>
  <c r="R2923" i="3"/>
  <c r="S2923" i="3"/>
  <c r="S3305" i="3"/>
  <c r="R3305" i="3"/>
  <c r="S3807" i="3"/>
  <c r="R3807" i="3"/>
  <c r="R3166" i="3"/>
  <c r="S3166" i="3"/>
  <c r="S3572" i="3"/>
  <c r="R3572" i="3"/>
  <c r="S3208" i="3"/>
  <c r="R3208" i="3"/>
  <c r="S3730" i="3"/>
  <c r="R3730" i="3"/>
  <c r="R3108" i="3"/>
  <c r="S3108" i="3"/>
  <c r="S3506" i="3"/>
  <c r="R3506" i="3"/>
  <c r="S2966" i="3"/>
  <c r="R2966" i="3"/>
  <c r="S3361" i="3"/>
  <c r="R3361" i="3"/>
  <c r="R3963" i="3"/>
  <c r="S3963" i="3"/>
  <c r="S3237" i="3"/>
  <c r="R3237" i="3"/>
  <c r="S3700" i="3"/>
  <c r="R3700" i="3"/>
  <c r="S3701" i="3"/>
  <c r="R3701" i="3"/>
  <c r="R3092" i="3"/>
  <c r="S3092" i="3"/>
  <c r="S3550" i="3"/>
  <c r="R3550" i="3"/>
  <c r="S2635" i="3"/>
  <c r="R2635" i="3"/>
  <c r="S2902" i="3"/>
  <c r="R2902" i="3"/>
  <c r="R3184" i="3"/>
  <c r="S3184" i="3"/>
  <c r="S3498" i="3"/>
  <c r="R3498" i="3"/>
  <c r="S3810" i="3"/>
  <c r="R3810" i="3"/>
  <c r="S3950" i="3"/>
  <c r="R3950" i="3"/>
  <c r="S3373" i="3"/>
  <c r="R3373" i="3"/>
  <c r="S3676" i="3"/>
  <c r="R3676" i="3"/>
  <c r="S3991" i="3"/>
  <c r="R3991" i="3"/>
  <c r="S3756" i="3"/>
  <c r="R3756" i="3"/>
  <c r="S4071" i="3"/>
  <c r="R4071" i="3"/>
  <c r="R3835" i="3"/>
  <c r="S3835" i="3"/>
  <c r="S4052" i="3"/>
  <c r="R4052" i="3"/>
  <c r="S2581" i="3"/>
  <c r="R2581" i="3"/>
  <c r="S2840" i="3"/>
  <c r="R2840" i="3"/>
  <c r="R3158" i="3"/>
  <c r="S3158" i="3"/>
  <c r="S3469" i="3"/>
  <c r="R3469" i="3"/>
  <c r="S3781" i="3"/>
  <c r="R3781" i="3"/>
  <c r="S3529" i="3"/>
  <c r="R3529" i="3"/>
  <c r="S3841" i="3"/>
  <c r="R3841" i="3"/>
  <c r="S3588" i="3"/>
  <c r="R3588" i="3"/>
  <c r="S3902" i="3"/>
  <c r="R3902" i="3"/>
  <c r="S4002" i="3"/>
  <c r="R4002" i="3"/>
  <c r="S3887" i="3"/>
  <c r="R3887" i="3"/>
  <c r="S3311" i="3"/>
  <c r="R3311" i="3"/>
  <c r="R3614" i="3"/>
  <c r="S3614" i="3"/>
  <c r="S3928" i="3"/>
  <c r="R3928" i="3"/>
  <c r="R2885" i="3"/>
  <c r="S2885" i="3"/>
  <c r="S3134" i="3"/>
  <c r="R3134" i="3"/>
  <c r="S3407" i="3"/>
  <c r="R3407" i="3"/>
  <c r="S3655" i="3"/>
  <c r="R3655" i="3"/>
  <c r="S3909" i="3"/>
  <c r="R3909" i="3"/>
  <c r="R3270" i="3"/>
  <c r="S3270" i="3"/>
  <c r="S3560" i="3"/>
  <c r="R3560" i="3"/>
  <c r="S3814" i="3"/>
  <c r="R3814" i="3"/>
  <c r="S4070" i="3"/>
  <c r="R4070" i="3"/>
  <c r="R2938" i="3"/>
  <c r="S2938" i="3"/>
  <c r="R3187" i="3"/>
  <c r="S3187" i="3"/>
  <c r="S3430" i="3"/>
  <c r="R3430" i="3"/>
  <c r="R3678" i="3"/>
  <c r="S3678" i="3"/>
  <c r="S3933" i="3"/>
  <c r="R3933" i="3"/>
  <c r="S207" i="3"/>
  <c r="R207" i="3"/>
  <c r="S777" i="3"/>
  <c r="R777" i="3"/>
  <c r="S4" i="3"/>
  <c r="R4" i="3"/>
  <c r="S480" i="3"/>
  <c r="R480" i="3"/>
  <c r="S48" i="3"/>
  <c r="R48" i="3"/>
  <c r="R1268" i="3"/>
  <c r="S1268" i="3"/>
  <c r="S234" i="3"/>
  <c r="R234" i="3"/>
  <c r="S165" i="3"/>
  <c r="R165" i="3"/>
  <c r="S148" i="3"/>
  <c r="R148" i="3"/>
  <c r="S21" i="3"/>
  <c r="R21" i="3"/>
  <c r="S488" i="3"/>
  <c r="R488" i="3"/>
  <c r="R185" i="3"/>
  <c r="S185" i="3"/>
  <c r="S23" i="3"/>
  <c r="R23" i="3"/>
  <c r="S504" i="3"/>
  <c r="R504" i="3"/>
  <c r="S152" i="3"/>
  <c r="R152" i="3"/>
  <c r="S26" i="3"/>
  <c r="R26" i="3"/>
  <c r="S528" i="3"/>
  <c r="R528" i="3"/>
  <c r="S155" i="3"/>
  <c r="R155" i="3"/>
  <c r="S10" i="3"/>
  <c r="R10" i="3"/>
  <c r="S416" i="3"/>
  <c r="R416" i="3"/>
  <c r="S175" i="3"/>
  <c r="R175" i="3"/>
  <c r="S50" i="3"/>
  <c r="R50" i="3"/>
  <c r="S683" i="3"/>
  <c r="R683" i="3"/>
  <c r="S178" i="3"/>
  <c r="R178" i="3"/>
  <c r="S15" i="3"/>
  <c r="R15" i="3"/>
  <c r="S448" i="3"/>
  <c r="R448" i="3"/>
  <c r="S146" i="3"/>
  <c r="R146" i="3"/>
  <c r="R1415" i="3"/>
  <c r="S1415" i="3"/>
  <c r="S235" i="3"/>
  <c r="R235" i="3"/>
  <c r="S490" i="3"/>
  <c r="R490" i="3"/>
  <c r="R744" i="3"/>
  <c r="S744" i="3"/>
  <c r="S1037" i="3"/>
  <c r="R1037" i="3"/>
  <c r="S1324" i="3"/>
  <c r="R1324" i="3"/>
  <c r="S1858" i="3"/>
  <c r="R1858" i="3"/>
  <c r="S443" i="3"/>
  <c r="R443" i="3"/>
  <c r="S694" i="3"/>
  <c r="R694" i="3"/>
  <c r="S986" i="3"/>
  <c r="R986" i="3"/>
  <c r="R1271" i="3"/>
  <c r="S1271" i="3"/>
  <c r="S1644" i="3"/>
  <c r="R1644" i="3"/>
  <c r="S396" i="3"/>
  <c r="R396" i="3"/>
  <c r="S647" i="3"/>
  <c r="R647" i="3"/>
  <c r="R916" i="3"/>
  <c r="S916" i="3"/>
  <c r="S1200" i="3"/>
  <c r="R1200" i="3"/>
  <c r="S1488" i="3"/>
  <c r="R1488" i="3"/>
  <c r="S333" i="3"/>
  <c r="R333" i="3"/>
  <c r="R585" i="3"/>
  <c r="S585" i="3"/>
  <c r="S867" i="3"/>
  <c r="R867" i="3"/>
  <c r="S1183" i="3"/>
  <c r="R1183" i="3"/>
  <c r="S1489" i="3"/>
  <c r="R1489" i="3"/>
  <c r="S318" i="3"/>
  <c r="R318" i="3"/>
  <c r="S586" i="3"/>
  <c r="R586" i="3"/>
  <c r="S851" i="3"/>
  <c r="R851" i="3"/>
  <c r="S1130" i="3"/>
  <c r="R1130" i="3"/>
  <c r="R1413" i="3"/>
  <c r="S1413" i="3"/>
  <c r="S2722" i="3"/>
  <c r="R2722" i="3"/>
  <c r="S255" i="3"/>
  <c r="R255" i="3"/>
  <c r="S511" i="3"/>
  <c r="R511" i="3"/>
  <c r="S767" i="3"/>
  <c r="R767" i="3"/>
  <c r="R1060" i="3"/>
  <c r="S1060" i="3"/>
  <c r="S1346" i="3"/>
  <c r="R1346" i="3"/>
  <c r="S2013" i="3"/>
  <c r="R2013" i="3"/>
  <c r="R305" i="3"/>
  <c r="S305" i="3"/>
  <c r="S558" i="3"/>
  <c r="R558" i="3"/>
  <c r="S853" i="3"/>
  <c r="R853" i="3"/>
  <c r="S1152" i="3"/>
  <c r="R1152" i="3"/>
  <c r="R1451" i="3"/>
  <c r="S1451" i="3"/>
  <c r="S290" i="3"/>
  <c r="R290" i="3"/>
  <c r="S543" i="3"/>
  <c r="R543" i="3"/>
  <c r="S821" i="3"/>
  <c r="R821" i="3"/>
  <c r="R1100" i="3"/>
  <c r="S1100" i="3"/>
  <c r="R1399" i="3"/>
  <c r="S1399" i="3"/>
  <c r="S2599" i="3"/>
  <c r="R2599" i="3"/>
  <c r="S515" i="3"/>
  <c r="R515" i="3"/>
  <c r="S771" i="3"/>
  <c r="R771" i="3"/>
  <c r="S1065" i="3"/>
  <c r="R1065" i="3"/>
  <c r="R1367" i="3"/>
  <c r="S1367" i="3"/>
  <c r="S2318" i="3"/>
  <c r="R2318" i="3"/>
  <c r="S484" i="3"/>
  <c r="R484" i="3"/>
  <c r="S737" i="3"/>
  <c r="R737" i="3"/>
  <c r="S1013" i="3"/>
  <c r="R1013" i="3"/>
  <c r="R1318" i="3"/>
  <c r="S1318" i="3"/>
  <c r="S1929" i="3"/>
  <c r="R1929" i="3"/>
  <c r="S437" i="3"/>
  <c r="R437" i="3"/>
  <c r="R688" i="3"/>
  <c r="S688" i="3"/>
  <c r="S960" i="3"/>
  <c r="R960" i="3"/>
  <c r="S1246" i="3"/>
  <c r="R1246" i="3"/>
  <c r="S1624" i="3"/>
  <c r="R1624" i="3"/>
  <c r="S374" i="3"/>
  <c r="R374" i="3"/>
  <c r="S641" i="3"/>
  <c r="R641" i="3"/>
  <c r="S910" i="3"/>
  <c r="R910" i="3"/>
  <c r="S1211" i="3"/>
  <c r="R1211" i="3"/>
  <c r="S1513" i="3"/>
  <c r="R1513" i="3"/>
  <c r="S327" i="3"/>
  <c r="R327" i="3"/>
  <c r="S595" i="3"/>
  <c r="R595" i="3"/>
  <c r="S860" i="3"/>
  <c r="R860" i="3"/>
  <c r="S1141" i="3"/>
  <c r="R1141" i="3"/>
  <c r="S1440" i="3"/>
  <c r="R1440" i="3"/>
  <c r="S2820" i="3"/>
  <c r="R2820" i="3"/>
  <c r="R377" i="3"/>
  <c r="S377" i="3"/>
  <c r="S628" i="3"/>
  <c r="R628" i="3"/>
  <c r="S898" i="3"/>
  <c r="R898" i="3"/>
  <c r="S1178" i="3"/>
  <c r="R1178" i="3"/>
  <c r="S1460" i="3"/>
  <c r="R1460" i="3"/>
  <c r="S723" i="3"/>
  <c r="R723" i="3"/>
  <c r="R979" i="3"/>
  <c r="S979" i="3"/>
  <c r="S1229" i="3"/>
  <c r="R1229" i="3"/>
  <c r="S1474" i="3"/>
  <c r="R1474" i="3"/>
  <c r="S1725" i="3"/>
  <c r="R1725" i="3"/>
  <c r="S1976" i="3"/>
  <c r="R1976" i="3"/>
  <c r="S2240" i="3"/>
  <c r="R2240" i="3"/>
  <c r="R2525" i="3"/>
  <c r="S2525" i="3"/>
  <c r="S2860" i="3"/>
  <c r="R2860" i="3"/>
  <c r="S1647" i="3"/>
  <c r="R1647" i="3"/>
  <c r="S1916" i="3"/>
  <c r="R1916" i="3"/>
  <c r="S2205" i="3"/>
  <c r="R2205" i="3"/>
  <c r="S2491" i="3"/>
  <c r="R2491" i="3"/>
  <c r="S2836" i="3"/>
  <c r="R2836" i="3"/>
  <c r="S1633" i="3"/>
  <c r="R1633" i="3"/>
  <c r="S1885" i="3"/>
  <c r="R1885" i="3"/>
  <c r="S2133" i="3"/>
  <c r="R2133" i="3"/>
  <c r="S2440" i="3"/>
  <c r="R2440" i="3"/>
  <c r="S2766" i="3"/>
  <c r="R2766" i="3"/>
  <c r="S1604" i="3"/>
  <c r="R1604" i="3"/>
  <c r="S1855" i="3"/>
  <c r="R1855" i="3"/>
  <c r="S2152" i="3"/>
  <c r="R2152" i="3"/>
  <c r="S2441" i="3"/>
  <c r="R2441" i="3"/>
  <c r="S2748" i="3"/>
  <c r="R2748" i="3"/>
  <c r="R1589" i="3"/>
  <c r="S1589" i="3"/>
  <c r="R1856" i="3"/>
  <c r="S1856" i="3"/>
  <c r="S2102" i="3"/>
  <c r="R2102" i="3"/>
  <c r="S2408" i="3"/>
  <c r="R2408" i="3"/>
  <c r="R2708" i="3"/>
  <c r="S2708" i="3"/>
  <c r="S819" i="3"/>
  <c r="R819" i="3"/>
  <c r="S1123" i="3"/>
  <c r="R1123" i="3"/>
  <c r="S1385" i="3"/>
  <c r="R1385" i="3"/>
  <c r="R1635" i="3"/>
  <c r="S1635" i="3"/>
  <c r="R1888" i="3"/>
  <c r="S1888" i="3"/>
  <c r="S2155" i="3"/>
  <c r="R2155" i="3"/>
  <c r="S2460" i="3"/>
  <c r="R2460" i="3"/>
  <c r="S2819" i="3"/>
  <c r="R2819" i="3"/>
  <c r="S1669" i="3"/>
  <c r="R1669" i="3"/>
  <c r="S1938" i="3"/>
  <c r="R1938" i="3"/>
  <c r="S2211" i="3"/>
  <c r="R2211" i="3"/>
  <c r="S2516" i="3"/>
  <c r="R2516" i="3"/>
  <c r="S2868" i="3"/>
  <c r="R2868" i="3"/>
  <c r="S2047" i="3"/>
  <c r="R2047" i="3"/>
  <c r="S2320" i="3"/>
  <c r="R2320" i="3"/>
  <c r="S2612" i="3"/>
  <c r="R2612" i="3"/>
  <c r="S3265" i="3"/>
  <c r="R3265" i="3"/>
  <c r="S2000" i="3"/>
  <c r="R2000" i="3"/>
  <c r="S2267" i="3"/>
  <c r="R2267" i="3"/>
  <c r="S2572" i="3"/>
  <c r="R2572" i="3"/>
  <c r="S2979" i="3"/>
  <c r="R2979" i="3"/>
  <c r="S1688" i="3"/>
  <c r="R1688" i="3"/>
  <c r="S1941" i="3"/>
  <c r="R1941" i="3"/>
  <c r="S2215" i="3"/>
  <c r="R2215" i="3"/>
  <c r="S2501" i="3"/>
  <c r="R2501" i="3"/>
  <c r="S2826" i="3"/>
  <c r="R2826" i="3"/>
  <c r="S1626" i="3"/>
  <c r="R1626" i="3"/>
  <c r="S1894" i="3"/>
  <c r="R1894" i="3"/>
  <c r="S2143" i="3"/>
  <c r="R2143" i="3"/>
  <c r="S2432" i="3"/>
  <c r="R2432" i="3"/>
  <c r="S2780" i="3"/>
  <c r="R2780" i="3"/>
  <c r="R1597" i="3"/>
  <c r="S1597" i="3"/>
  <c r="R1848" i="3"/>
  <c r="S1848" i="3"/>
  <c r="S2126" i="3"/>
  <c r="R2126" i="3"/>
  <c r="R2416" i="3"/>
  <c r="S2416" i="3"/>
  <c r="S2740" i="3"/>
  <c r="R2740" i="3"/>
  <c r="S1722" i="3"/>
  <c r="R1722" i="3"/>
  <c r="S1973" i="3"/>
  <c r="R1973" i="3"/>
  <c r="S2237" i="3"/>
  <c r="R2237" i="3"/>
  <c r="S2521" i="3"/>
  <c r="R2521" i="3"/>
  <c r="S2854" i="3"/>
  <c r="R2854" i="3"/>
  <c r="S1661" i="3"/>
  <c r="R1661" i="3"/>
  <c r="S1914" i="3"/>
  <c r="R1914" i="3"/>
  <c r="S2166" i="3"/>
  <c r="R2166" i="3"/>
  <c r="S2454" i="3"/>
  <c r="R2454" i="3"/>
  <c r="S2764" i="3"/>
  <c r="R2764" i="3"/>
  <c r="R2212" i="3"/>
  <c r="S2212" i="3"/>
  <c r="S2463" i="3"/>
  <c r="R2463" i="3"/>
  <c r="S2733" i="3"/>
  <c r="R2733" i="3"/>
  <c r="R3053" i="3"/>
  <c r="S3053" i="3"/>
  <c r="S3417" i="3"/>
  <c r="R3417" i="3"/>
  <c r="R2951" i="3"/>
  <c r="S2951" i="3"/>
  <c r="R3291" i="3"/>
  <c r="S3291" i="3"/>
  <c r="S3788" i="3"/>
  <c r="R3788" i="3"/>
  <c r="S3138" i="3"/>
  <c r="R3138" i="3"/>
  <c r="S3554" i="3"/>
  <c r="R3554" i="3"/>
  <c r="S3017" i="3"/>
  <c r="R3017" i="3"/>
  <c r="S3397" i="3"/>
  <c r="R3397" i="3"/>
  <c r="S2918" i="3"/>
  <c r="R2918" i="3"/>
  <c r="R3250" i="3"/>
  <c r="S3250" i="3"/>
  <c r="S3720" i="3"/>
  <c r="R3720" i="3"/>
  <c r="S2279" i="3"/>
  <c r="R2279" i="3"/>
  <c r="S2529" i="3"/>
  <c r="R2529" i="3"/>
  <c r="R2837" i="3"/>
  <c r="S2837" i="3"/>
  <c r="S3161" i="3"/>
  <c r="R3161" i="3"/>
  <c r="S3564" i="3"/>
  <c r="R3564" i="3"/>
  <c r="S3565" i="3"/>
  <c r="R3565" i="3"/>
  <c r="S3042" i="3"/>
  <c r="R3042" i="3"/>
  <c r="S3402" i="3"/>
  <c r="R3402" i="3"/>
  <c r="R2941" i="3"/>
  <c r="S2941" i="3"/>
  <c r="S3328" i="3"/>
  <c r="R3328" i="3"/>
  <c r="S3856" i="3"/>
  <c r="R3856" i="3"/>
  <c r="S3186" i="3"/>
  <c r="R3186" i="3"/>
  <c r="S3612" i="3"/>
  <c r="R3612" i="3"/>
  <c r="S3234" i="3"/>
  <c r="R3234" i="3"/>
  <c r="S3770" i="3"/>
  <c r="R3770" i="3"/>
  <c r="S3129" i="3"/>
  <c r="R3129" i="3"/>
  <c r="S3538" i="3"/>
  <c r="R3538" i="3"/>
  <c r="R3007" i="3"/>
  <c r="S3007" i="3"/>
  <c r="S3386" i="3"/>
  <c r="R3386" i="3"/>
  <c r="S2908" i="3"/>
  <c r="R2908" i="3"/>
  <c r="S3264" i="3"/>
  <c r="R3264" i="3"/>
  <c r="S3740" i="3"/>
  <c r="R3740" i="3"/>
  <c r="S3741" i="3"/>
  <c r="R3741" i="3"/>
  <c r="S3113" i="3"/>
  <c r="R3113" i="3"/>
  <c r="S3589" i="3"/>
  <c r="R3589" i="3"/>
  <c r="S2649" i="3"/>
  <c r="R2649" i="3"/>
  <c r="S2920" i="3"/>
  <c r="R2920" i="3"/>
  <c r="S3201" i="3"/>
  <c r="R3201" i="3"/>
  <c r="S3517" i="3"/>
  <c r="R3517" i="3"/>
  <c r="S3831" i="3"/>
  <c r="R3831" i="3"/>
  <c r="S3969" i="3"/>
  <c r="R3969" i="3"/>
  <c r="S3391" i="3"/>
  <c r="R3391" i="3"/>
  <c r="S3696" i="3"/>
  <c r="R3696" i="3"/>
  <c r="S4010" i="3"/>
  <c r="R4010" i="3"/>
  <c r="S3776" i="3"/>
  <c r="R3776" i="3"/>
  <c r="S3541" i="3"/>
  <c r="R3541" i="3"/>
  <c r="S3855" i="3"/>
  <c r="R3855" i="3"/>
  <c r="R4073" i="3"/>
  <c r="S4073" i="3"/>
  <c r="S2596" i="3"/>
  <c r="R2596" i="3"/>
  <c r="S2858" i="3"/>
  <c r="R2858" i="3"/>
  <c r="S3176" i="3"/>
  <c r="R3176" i="3"/>
  <c r="S3488" i="3"/>
  <c r="R3488" i="3"/>
  <c r="S3801" i="3"/>
  <c r="R3801" i="3"/>
  <c r="S3548" i="3"/>
  <c r="R3548" i="3"/>
  <c r="S3860" i="3"/>
  <c r="R3860" i="3"/>
  <c r="S3609" i="3"/>
  <c r="R3609" i="3"/>
  <c r="S3921" i="3"/>
  <c r="R3921" i="3"/>
  <c r="S4023" i="3"/>
  <c r="R4023" i="3"/>
  <c r="S3906" i="3"/>
  <c r="R3906" i="3"/>
  <c r="S3330" i="3"/>
  <c r="R3330" i="3"/>
  <c r="S3634" i="3"/>
  <c r="R3634" i="3"/>
  <c r="S3947" i="3"/>
  <c r="R3947" i="3"/>
  <c r="R2901" i="3"/>
  <c r="S2901" i="3"/>
  <c r="R3149" i="3"/>
  <c r="S3149" i="3"/>
  <c r="R3422" i="3"/>
  <c r="S3422" i="3"/>
  <c r="R3670" i="3"/>
  <c r="S3670" i="3"/>
  <c r="S3925" i="3"/>
  <c r="R3925" i="3"/>
  <c r="S3285" i="3"/>
  <c r="R3285" i="3"/>
  <c r="S3576" i="3"/>
  <c r="R3576" i="3"/>
  <c r="S3830" i="3"/>
  <c r="R3830" i="3"/>
  <c r="S4086" i="3"/>
  <c r="R4086" i="3"/>
  <c r="S2953" i="3"/>
  <c r="R2953" i="3"/>
  <c r="S3202" i="3"/>
  <c r="R3202" i="3"/>
  <c r="S3443" i="3"/>
  <c r="R3443" i="3"/>
  <c r="R3694" i="3"/>
  <c r="S3694" i="3"/>
  <c r="S3949" i="3"/>
  <c r="R3949" i="3"/>
  <c r="R89" i="3"/>
  <c r="S89" i="3"/>
  <c r="S99" i="3"/>
  <c r="R99" i="3"/>
  <c r="S204" i="3"/>
  <c r="R204" i="3"/>
  <c r="S173" i="3"/>
  <c r="R173" i="3"/>
  <c r="S29" i="3"/>
  <c r="R29" i="3"/>
  <c r="S667" i="3"/>
  <c r="R667" i="3"/>
  <c r="S194" i="3"/>
  <c r="R194" i="3"/>
  <c r="S68" i="3"/>
  <c r="R68" i="3"/>
  <c r="S820" i="3"/>
  <c r="R820" i="3"/>
  <c r="S196" i="3"/>
  <c r="R196" i="3"/>
  <c r="S34" i="3"/>
  <c r="R34" i="3"/>
  <c r="S572" i="3"/>
  <c r="R572" i="3"/>
  <c r="S164" i="3"/>
  <c r="R164" i="3"/>
  <c r="S1668" i="3"/>
  <c r="R1668" i="3"/>
  <c r="S250" i="3"/>
  <c r="R250" i="3"/>
  <c r="S506" i="3"/>
  <c r="R506" i="3"/>
  <c r="S762" i="3"/>
  <c r="R762" i="3"/>
  <c r="S1054" i="3"/>
  <c r="R1054" i="3"/>
  <c r="S1340" i="3"/>
  <c r="R1340" i="3"/>
  <c r="S1974" i="3"/>
  <c r="R1974" i="3"/>
  <c r="S459" i="3"/>
  <c r="R459" i="3"/>
  <c r="S710" i="3"/>
  <c r="R710" i="3"/>
  <c r="S1003" i="3"/>
  <c r="R1003" i="3"/>
  <c r="S1289" i="3"/>
  <c r="R1289" i="3"/>
  <c r="S1707" i="3"/>
  <c r="R1707" i="3"/>
  <c r="S412" i="3"/>
  <c r="R412" i="3"/>
  <c r="S663" i="3"/>
  <c r="R663" i="3"/>
  <c r="S934" i="3"/>
  <c r="R934" i="3"/>
  <c r="S1219" i="3"/>
  <c r="R1219" i="3"/>
  <c r="S1528" i="3"/>
  <c r="R1528" i="3"/>
  <c r="S349" i="3"/>
  <c r="R349" i="3"/>
  <c r="S601" i="3"/>
  <c r="R601" i="3"/>
  <c r="R884" i="3"/>
  <c r="S884" i="3"/>
  <c r="S1201" i="3"/>
  <c r="R1201" i="3"/>
  <c r="S1529" i="3"/>
  <c r="R1529" i="3"/>
  <c r="S334" i="3"/>
  <c r="R334" i="3"/>
  <c r="S602" i="3"/>
  <c r="R602" i="3"/>
  <c r="S868" i="3"/>
  <c r="R868" i="3"/>
  <c r="R1148" i="3"/>
  <c r="S1148" i="3"/>
  <c r="R1431" i="3"/>
  <c r="S1431" i="3"/>
  <c r="R17" i="3"/>
  <c r="S17" i="3"/>
  <c r="S271" i="3"/>
  <c r="R271" i="3"/>
  <c r="S527" i="3"/>
  <c r="R527" i="3"/>
  <c r="R784" i="3"/>
  <c r="S784" i="3"/>
  <c r="S1079" i="3"/>
  <c r="R1079" i="3"/>
  <c r="R1363" i="3"/>
  <c r="S1363" i="3"/>
  <c r="S2138" i="3"/>
  <c r="R2138" i="3"/>
  <c r="R321" i="3"/>
  <c r="S321" i="3"/>
  <c r="S573" i="3"/>
  <c r="R573" i="3"/>
  <c r="S870" i="3"/>
  <c r="R870" i="3"/>
  <c r="S1170" i="3"/>
  <c r="R1170" i="3"/>
  <c r="R1469" i="3"/>
  <c r="S1469" i="3"/>
  <c r="S306" i="3"/>
  <c r="R306" i="3"/>
  <c r="S559" i="3"/>
  <c r="R559" i="3"/>
  <c r="S838" i="3"/>
  <c r="R838" i="3"/>
  <c r="R1116" i="3"/>
  <c r="S1116" i="3"/>
  <c r="S1418" i="3"/>
  <c r="R1418" i="3"/>
  <c r="R2763" i="3"/>
  <c r="S2763" i="3"/>
  <c r="S531" i="3"/>
  <c r="R531" i="3"/>
  <c r="S789" i="3"/>
  <c r="R789" i="3"/>
  <c r="S1083" i="3"/>
  <c r="R1083" i="3"/>
  <c r="R1383" i="3"/>
  <c r="S1383" i="3"/>
  <c r="R2461" i="3"/>
  <c r="S2461" i="3"/>
  <c r="S500" i="3"/>
  <c r="R500" i="3"/>
  <c r="S755" i="3"/>
  <c r="R755" i="3"/>
  <c r="S1031" i="3"/>
  <c r="R1031" i="3"/>
  <c r="R1333" i="3"/>
  <c r="S1333" i="3"/>
  <c r="S2053" i="3"/>
  <c r="R2053" i="3"/>
  <c r="S453" i="3"/>
  <c r="R453" i="3"/>
  <c r="R704" i="3"/>
  <c r="S704" i="3"/>
  <c r="S978" i="3"/>
  <c r="R978" i="3"/>
  <c r="S1264" i="3"/>
  <c r="R1264" i="3"/>
  <c r="S1686" i="3"/>
  <c r="R1686" i="3"/>
  <c r="S390" i="3"/>
  <c r="R390" i="3"/>
  <c r="S657" i="3"/>
  <c r="R657" i="3"/>
  <c r="S927" i="3"/>
  <c r="R927" i="3"/>
  <c r="S1230" i="3"/>
  <c r="R1230" i="3"/>
  <c r="S1546" i="3"/>
  <c r="R1546" i="3"/>
  <c r="S343" i="3"/>
  <c r="R343" i="3"/>
  <c r="S611" i="3"/>
  <c r="R611" i="3"/>
  <c r="S877" i="3"/>
  <c r="R877" i="3"/>
  <c r="S1159" i="3"/>
  <c r="R1159" i="3"/>
  <c r="S1457" i="3"/>
  <c r="R1457" i="3"/>
  <c r="S1699" i="3"/>
  <c r="R1699" i="3"/>
  <c r="R393" i="3"/>
  <c r="S393" i="3"/>
  <c r="S644" i="3"/>
  <c r="R644" i="3"/>
  <c r="S913" i="3"/>
  <c r="R913" i="3"/>
  <c r="R1196" i="3"/>
  <c r="S1196" i="3"/>
  <c r="S1482" i="3"/>
  <c r="R1482" i="3"/>
  <c r="S739" i="3"/>
  <c r="R739" i="3"/>
  <c r="S994" i="3"/>
  <c r="R994" i="3"/>
  <c r="R1244" i="3"/>
  <c r="S1244" i="3"/>
  <c r="S1490" i="3"/>
  <c r="R1490" i="3"/>
  <c r="S1741" i="3"/>
  <c r="R1741" i="3"/>
  <c r="S1991" i="3"/>
  <c r="R1991" i="3"/>
  <c r="S2257" i="3"/>
  <c r="R2257" i="3"/>
  <c r="R2542" i="3"/>
  <c r="S2542" i="3"/>
  <c r="S2881" i="3"/>
  <c r="R2881" i="3"/>
  <c r="S1663" i="3"/>
  <c r="R1663" i="3"/>
  <c r="S1932" i="3"/>
  <c r="R1932" i="3"/>
  <c r="S2223" i="3"/>
  <c r="R2223" i="3"/>
  <c r="S2508" i="3"/>
  <c r="R2508" i="3"/>
  <c r="R2861" i="3"/>
  <c r="S2861" i="3"/>
  <c r="R1648" i="3"/>
  <c r="S1648" i="3"/>
  <c r="S1901" i="3"/>
  <c r="R1901" i="3"/>
  <c r="S2151" i="3"/>
  <c r="R2151" i="3"/>
  <c r="S2457" i="3"/>
  <c r="R2457" i="3"/>
  <c r="S2790" i="3"/>
  <c r="R2790" i="3"/>
  <c r="R1619" i="3"/>
  <c r="S1619" i="3"/>
  <c r="S1871" i="3"/>
  <c r="R1871" i="3"/>
  <c r="S2171" i="3"/>
  <c r="R2171" i="3"/>
  <c r="R2458" i="3"/>
  <c r="S2458" i="3"/>
  <c r="S2768" i="3"/>
  <c r="R2768" i="3"/>
  <c r="R1605" i="3"/>
  <c r="S1605" i="3"/>
  <c r="R1872" i="3"/>
  <c r="S1872" i="3"/>
  <c r="S2119" i="3"/>
  <c r="R2119" i="3"/>
  <c r="S2425" i="3"/>
  <c r="R2425" i="3"/>
  <c r="R2729" i="3"/>
  <c r="S2729" i="3"/>
  <c r="S833" i="3"/>
  <c r="R833" i="3"/>
  <c r="R1139" i="3"/>
  <c r="S1139" i="3"/>
  <c r="S1401" i="3"/>
  <c r="R1401" i="3"/>
  <c r="R1651" i="3"/>
  <c r="S1651" i="3"/>
  <c r="R1904" i="3"/>
  <c r="S1904" i="3"/>
  <c r="S2173" i="3"/>
  <c r="R2173" i="3"/>
  <c r="S2478" i="3"/>
  <c r="R2478" i="3"/>
  <c r="S2843" i="3"/>
  <c r="R2843" i="3"/>
  <c r="S1685" i="3"/>
  <c r="R1685" i="3"/>
  <c r="R1952" i="3"/>
  <c r="S1952" i="3"/>
  <c r="S2230" i="3"/>
  <c r="R2230" i="3"/>
  <c r="R2533" i="3"/>
  <c r="S2533" i="3"/>
  <c r="S2894" i="3"/>
  <c r="R2894" i="3"/>
  <c r="S2062" i="3"/>
  <c r="R2062" i="3"/>
  <c r="S2339" i="3"/>
  <c r="R2339" i="3"/>
  <c r="S2633" i="3"/>
  <c r="R2633" i="3"/>
  <c r="S1766" i="3"/>
  <c r="R1766" i="3"/>
  <c r="S2016" i="3"/>
  <c r="R2016" i="3"/>
  <c r="S2285" i="3"/>
  <c r="R2285" i="3"/>
  <c r="S2593" i="3"/>
  <c r="R2593" i="3"/>
  <c r="S3101" i="3"/>
  <c r="R3101" i="3"/>
  <c r="S1703" i="3"/>
  <c r="R1703" i="3"/>
  <c r="S1955" i="3"/>
  <c r="R1955" i="3"/>
  <c r="S2234" i="3"/>
  <c r="R2234" i="3"/>
  <c r="S2519" i="3"/>
  <c r="R2519" i="3"/>
  <c r="S2850" i="3"/>
  <c r="R2850" i="3"/>
  <c r="S1641" i="3"/>
  <c r="R1641" i="3"/>
  <c r="S1910" i="3"/>
  <c r="R1910" i="3"/>
  <c r="S2161" i="3"/>
  <c r="R2161" i="3"/>
  <c r="S2449" i="3"/>
  <c r="R2449" i="3"/>
  <c r="S2804" i="3"/>
  <c r="R2804" i="3"/>
  <c r="S1612" i="3"/>
  <c r="R1612" i="3"/>
  <c r="R1864" i="3"/>
  <c r="S1864" i="3"/>
  <c r="S2144" i="3"/>
  <c r="R2144" i="3"/>
  <c r="R2450" i="3"/>
  <c r="S2450" i="3"/>
  <c r="S2761" i="3"/>
  <c r="R2761" i="3"/>
  <c r="S1738" i="3"/>
  <c r="R1738" i="3"/>
  <c r="S1988" i="3"/>
  <c r="R1988" i="3"/>
  <c r="S2254" i="3"/>
  <c r="R2254" i="3"/>
  <c r="S2539" i="3"/>
  <c r="R2539" i="3"/>
  <c r="R2877" i="3"/>
  <c r="S2877" i="3"/>
  <c r="S1677" i="3"/>
  <c r="R1677" i="3"/>
  <c r="S1930" i="3"/>
  <c r="R1930" i="3"/>
  <c r="S2184" i="3"/>
  <c r="R2184" i="3"/>
  <c r="S2472" i="3"/>
  <c r="R2472" i="3"/>
  <c r="S2786" i="3"/>
  <c r="R2786" i="3"/>
  <c r="R2228" i="3"/>
  <c r="S2228" i="3"/>
  <c r="S2479" i="3"/>
  <c r="R2479" i="3"/>
  <c r="R2751" i="3"/>
  <c r="S2751" i="3"/>
  <c r="S3073" i="3"/>
  <c r="R3073" i="3"/>
  <c r="S3440" i="3"/>
  <c r="R3440" i="3"/>
  <c r="R2973" i="3"/>
  <c r="S2973" i="3"/>
  <c r="S3319" i="3"/>
  <c r="R3319" i="3"/>
  <c r="S3836" i="3"/>
  <c r="R3836" i="3"/>
  <c r="S3157" i="3"/>
  <c r="R3157" i="3"/>
  <c r="S3594" i="3"/>
  <c r="R3594" i="3"/>
  <c r="R3037" i="3"/>
  <c r="S3037" i="3"/>
  <c r="S3420" i="3"/>
  <c r="R3420" i="3"/>
  <c r="S2936" i="3"/>
  <c r="R2936" i="3"/>
  <c r="S3272" i="3"/>
  <c r="R3272" i="3"/>
  <c r="S3759" i="3"/>
  <c r="R3759" i="3"/>
  <c r="S2295" i="3"/>
  <c r="R2295" i="3"/>
  <c r="S2545" i="3"/>
  <c r="R2545" i="3"/>
  <c r="R2859" i="3"/>
  <c r="S2859" i="3"/>
  <c r="R3181" i="3"/>
  <c r="S3181" i="3"/>
  <c r="S3603" i="3"/>
  <c r="R3603" i="3"/>
  <c r="S3604" i="3"/>
  <c r="R3604" i="3"/>
  <c r="S3062" i="3"/>
  <c r="R3062" i="3"/>
  <c r="S3429" i="3"/>
  <c r="R3429" i="3"/>
  <c r="S2960" i="3"/>
  <c r="R2960" i="3"/>
  <c r="R3357" i="3"/>
  <c r="S3357" i="3"/>
  <c r="S3898" i="3"/>
  <c r="R3898" i="3"/>
  <c r="R3207" i="3"/>
  <c r="S3207" i="3"/>
  <c r="S3651" i="3"/>
  <c r="R3651" i="3"/>
  <c r="R3259" i="3"/>
  <c r="S3259" i="3"/>
  <c r="R3817" i="3"/>
  <c r="S3817" i="3"/>
  <c r="S3148" i="3"/>
  <c r="R3148" i="3"/>
  <c r="S3578" i="3"/>
  <c r="R3578" i="3"/>
  <c r="S3028" i="3"/>
  <c r="R3028" i="3"/>
  <c r="R3411" i="3"/>
  <c r="S3411" i="3"/>
  <c r="S2928" i="3"/>
  <c r="R2928" i="3"/>
  <c r="S3287" i="3"/>
  <c r="R3287" i="3"/>
  <c r="S3779" i="3"/>
  <c r="R3779" i="3"/>
  <c r="S3780" i="3"/>
  <c r="R3780" i="3"/>
  <c r="R3135" i="3"/>
  <c r="S3135" i="3"/>
  <c r="S3629" i="3"/>
  <c r="R3629" i="3"/>
  <c r="R2664" i="3"/>
  <c r="S2664" i="3"/>
  <c r="R2935" i="3"/>
  <c r="S2935" i="3"/>
  <c r="R3221" i="3"/>
  <c r="S3221" i="3"/>
  <c r="S3537" i="3"/>
  <c r="R3537" i="3"/>
  <c r="S3850" i="3"/>
  <c r="R3850" i="3"/>
  <c r="S3988" i="3"/>
  <c r="R3988" i="3"/>
  <c r="S3409" i="3"/>
  <c r="R3409" i="3"/>
  <c r="S3715" i="3"/>
  <c r="R3715" i="3"/>
  <c r="S4030" i="3"/>
  <c r="R4030" i="3"/>
  <c r="S3795" i="3"/>
  <c r="R3795" i="3"/>
  <c r="S3562" i="3"/>
  <c r="R3562" i="3"/>
  <c r="S3874" i="3"/>
  <c r="R3874" i="3"/>
  <c r="S3976" i="3"/>
  <c r="R3976" i="3"/>
  <c r="S2611" i="3"/>
  <c r="R2611" i="3"/>
  <c r="S2875" i="3"/>
  <c r="R2875" i="3"/>
  <c r="S3193" i="3"/>
  <c r="R3193" i="3"/>
  <c r="S3507" i="3"/>
  <c r="R3507" i="3"/>
  <c r="S3820" i="3"/>
  <c r="R3820" i="3"/>
  <c r="S3568" i="3"/>
  <c r="R3568" i="3"/>
  <c r="S3881" i="3"/>
  <c r="R3881" i="3"/>
  <c r="S3628" i="3"/>
  <c r="R3628" i="3"/>
  <c r="S3940" i="3"/>
  <c r="R3940" i="3"/>
  <c r="S4042" i="3"/>
  <c r="R4042" i="3"/>
  <c r="S3927" i="3"/>
  <c r="R3927" i="3"/>
  <c r="S3351" i="3"/>
  <c r="R3351" i="3"/>
  <c r="S3653" i="3"/>
  <c r="R3653" i="3"/>
  <c r="S3967" i="3"/>
  <c r="R3967" i="3"/>
  <c r="R2917" i="3"/>
  <c r="S2917" i="3"/>
  <c r="S3164" i="3"/>
  <c r="R3164" i="3"/>
  <c r="S3437" i="3"/>
  <c r="R3437" i="3"/>
  <c r="R3686" i="3"/>
  <c r="S3686" i="3"/>
  <c r="S3941" i="3"/>
  <c r="R3941" i="3"/>
  <c r="S3301" i="3"/>
  <c r="R3301" i="3"/>
  <c r="S3592" i="3"/>
  <c r="R3592" i="3"/>
  <c r="S3846" i="3"/>
  <c r="R3846" i="3"/>
  <c r="S4087" i="3"/>
  <c r="R4087" i="3"/>
  <c r="S2969" i="3"/>
  <c r="R2969" i="3"/>
  <c r="S3218" i="3"/>
  <c r="R3218" i="3"/>
  <c r="S3457" i="3"/>
  <c r="R3457" i="3"/>
  <c r="R3710" i="3"/>
  <c r="S3710" i="3"/>
  <c r="S3965" i="3"/>
  <c r="R3965" i="3"/>
  <c r="S707" i="3"/>
  <c r="R707" i="3"/>
  <c r="S3" i="3"/>
  <c r="R3" i="3"/>
  <c r="P68" i="3"/>
  <c r="Q68" i="3"/>
  <c r="P1219" i="3"/>
  <c r="Q1219" i="3"/>
  <c r="P527" i="3"/>
  <c r="Q527" i="3"/>
  <c r="P1116" i="3"/>
  <c r="Q1116" i="3"/>
  <c r="P978" i="3"/>
  <c r="Q978" i="3"/>
  <c r="P913" i="3"/>
  <c r="Q913" i="3"/>
  <c r="P2151" i="3"/>
  <c r="Q2151" i="3"/>
  <c r="P1401" i="3"/>
  <c r="Q1401" i="3"/>
  <c r="P1766" i="3"/>
  <c r="Q1766" i="3"/>
  <c r="P1864" i="3"/>
  <c r="Q1864" i="3"/>
  <c r="P2479" i="3"/>
  <c r="Q2479" i="3"/>
  <c r="P2545" i="3"/>
  <c r="Q2545" i="3"/>
  <c r="P3148" i="3"/>
  <c r="Q3148" i="3"/>
  <c r="P3221" i="3"/>
  <c r="Q3221" i="3"/>
  <c r="P2875" i="3"/>
  <c r="Q2875" i="3"/>
  <c r="P3628" i="3"/>
  <c r="Q3628" i="3"/>
  <c r="P3927" i="3"/>
  <c r="Q3927" i="3"/>
  <c r="P3653" i="3"/>
  <c r="Q3653" i="3"/>
  <c r="P3846" i="3"/>
  <c r="Q3846" i="3"/>
  <c r="P57" i="3"/>
  <c r="Q57" i="3"/>
  <c r="P63" i="3"/>
  <c r="Q63" i="3"/>
  <c r="P191" i="3"/>
  <c r="Q191" i="3"/>
  <c r="P802" i="3"/>
  <c r="Q802" i="3"/>
  <c r="P212" i="3"/>
  <c r="Q212" i="3"/>
  <c r="P86" i="3"/>
  <c r="Q86" i="3"/>
  <c r="P956" i="3"/>
  <c r="Q956" i="3"/>
  <c r="P214" i="3"/>
  <c r="Q214" i="3"/>
  <c r="P52" i="3"/>
  <c r="Q52" i="3"/>
  <c r="P699" i="3"/>
  <c r="Q699" i="3"/>
  <c r="P181" i="3"/>
  <c r="Q181" i="3"/>
  <c r="P12" i="3"/>
  <c r="Q12" i="3"/>
  <c r="P266" i="3"/>
  <c r="Q266" i="3"/>
  <c r="P522" i="3"/>
  <c r="Q522" i="3"/>
  <c r="P779" i="3"/>
  <c r="Q779" i="3"/>
  <c r="P1073" i="3"/>
  <c r="Q1073" i="3"/>
  <c r="P1358" i="3"/>
  <c r="Q1358" i="3"/>
  <c r="P2096" i="3"/>
  <c r="Q2096" i="3"/>
  <c r="P475" i="3"/>
  <c r="Q475" i="3"/>
  <c r="P727" i="3"/>
  <c r="Q727" i="3"/>
  <c r="P1021" i="3"/>
  <c r="Q1021" i="3"/>
  <c r="P1307" i="3"/>
  <c r="Q1307" i="3"/>
  <c r="P1779" i="3"/>
  <c r="Q1779" i="3"/>
  <c r="P428" i="3"/>
  <c r="Q428" i="3"/>
  <c r="P679" i="3"/>
  <c r="Q679" i="3"/>
  <c r="P951" i="3"/>
  <c r="Q951" i="3"/>
  <c r="P1237" i="3"/>
  <c r="Q1237" i="3"/>
  <c r="P1561" i="3"/>
  <c r="Q1561" i="3"/>
  <c r="P365" i="3"/>
  <c r="Q365" i="3"/>
  <c r="P617" i="3"/>
  <c r="Q617" i="3"/>
  <c r="P901" i="3"/>
  <c r="Q901" i="3"/>
  <c r="P1220" i="3"/>
  <c r="Q1220" i="3"/>
  <c r="P1562" i="3"/>
  <c r="Q1562" i="3"/>
  <c r="P350" i="3"/>
  <c r="Q350" i="3"/>
  <c r="P618" i="3"/>
  <c r="Q618" i="3"/>
  <c r="P885" i="3"/>
  <c r="Q885" i="3"/>
  <c r="P1167" i="3"/>
  <c r="Q1167" i="3"/>
  <c r="P1448" i="3"/>
  <c r="Q1448" i="3"/>
  <c r="P33" i="3"/>
  <c r="Q33" i="3"/>
  <c r="P287" i="3"/>
  <c r="Q287" i="3"/>
  <c r="P541" i="3"/>
  <c r="Q541" i="3"/>
  <c r="P801" i="3"/>
  <c r="Q801" i="3"/>
  <c r="P1097" i="3"/>
  <c r="Q1097" i="3"/>
  <c r="P1379" i="3"/>
  <c r="Q1379" i="3"/>
  <c r="P2282" i="3"/>
  <c r="Q2282" i="3"/>
  <c r="P337" i="3"/>
  <c r="Q337" i="3"/>
  <c r="P589" i="3"/>
  <c r="Q589" i="3"/>
  <c r="P888" i="3"/>
  <c r="Q888" i="3"/>
  <c r="P1188" i="3"/>
  <c r="Q1188" i="3"/>
  <c r="P1499" i="3"/>
  <c r="Q1499" i="3"/>
  <c r="P322" i="3"/>
  <c r="Q322" i="3"/>
  <c r="P574" i="3"/>
  <c r="Q574" i="3"/>
  <c r="P854" i="3"/>
  <c r="Q854" i="3"/>
  <c r="P1135" i="3"/>
  <c r="Q1135" i="3"/>
  <c r="P1452" i="3"/>
  <c r="Q1452" i="3"/>
  <c r="P291" i="3"/>
  <c r="Q291" i="3"/>
  <c r="P544" i="3"/>
  <c r="Q544" i="3"/>
  <c r="P806" i="3"/>
  <c r="Q806" i="3"/>
  <c r="P1101" i="3"/>
  <c r="Q1101" i="3"/>
  <c r="P1400" i="3"/>
  <c r="Q1400" i="3"/>
  <c r="P2609" i="3"/>
  <c r="Q2609" i="3"/>
  <c r="P516" i="3"/>
  <c r="Q516" i="3"/>
  <c r="P772" i="3"/>
  <c r="Q772" i="3"/>
  <c r="P1048" i="3"/>
  <c r="Q1048" i="3"/>
  <c r="P1351" i="3"/>
  <c r="Q1351" i="3"/>
  <c r="P2183" i="3"/>
  <c r="Q2183" i="3"/>
  <c r="P469" i="3"/>
  <c r="Q469" i="3"/>
  <c r="P720" i="3"/>
  <c r="Q720" i="3"/>
  <c r="P996" i="3"/>
  <c r="Q996" i="3"/>
  <c r="P1283" i="3"/>
  <c r="Q1283" i="3"/>
  <c r="P1749" i="3"/>
  <c r="Q1749" i="3"/>
  <c r="P406" i="3"/>
  <c r="Q406" i="3"/>
  <c r="P673" i="3"/>
  <c r="Q673" i="3"/>
  <c r="P945" i="3"/>
  <c r="Q945" i="3"/>
  <c r="P1247" i="3"/>
  <c r="Q1247" i="3"/>
  <c r="P1583" i="3"/>
  <c r="Q1583" i="3"/>
  <c r="P359" i="3"/>
  <c r="Q359" i="3"/>
  <c r="P626" i="3"/>
  <c r="Q626" i="3"/>
  <c r="P896" i="3"/>
  <c r="Q896" i="3"/>
  <c r="P1176" i="3"/>
  <c r="Q1176" i="3"/>
  <c r="P1480" i="3"/>
  <c r="Q1480" i="3"/>
  <c r="P1763" i="3"/>
  <c r="Q1763" i="3"/>
  <c r="P409" i="3"/>
  <c r="Q409" i="3"/>
  <c r="P660" i="3"/>
  <c r="Q660" i="3"/>
  <c r="P930" i="3"/>
  <c r="Q930" i="3"/>
  <c r="P1215" i="3"/>
  <c r="Q1215" i="3"/>
  <c r="P1519" i="3"/>
  <c r="Q1519" i="3"/>
  <c r="P754" i="3"/>
  <c r="Q754" i="3"/>
  <c r="P1010" i="3"/>
  <c r="Q1010" i="3"/>
  <c r="P1260" i="3"/>
  <c r="Q1260" i="3"/>
  <c r="P1506" i="3"/>
  <c r="Q1506" i="3"/>
  <c r="P1757" i="3"/>
  <c r="Q1757" i="3"/>
  <c r="P2007" i="3"/>
  <c r="Q2007" i="3"/>
  <c r="P2275" i="3"/>
  <c r="Q2275" i="3"/>
  <c r="P2564" i="3"/>
  <c r="Q2564" i="3"/>
  <c r="P2921" i="3"/>
  <c r="Q2921" i="3"/>
  <c r="P1679" i="3"/>
  <c r="Q1679" i="3"/>
  <c r="P1948" i="3"/>
  <c r="Q1948" i="3"/>
  <c r="P2241" i="3"/>
  <c r="Q2241" i="3"/>
  <c r="P2526" i="3"/>
  <c r="Q2526" i="3"/>
  <c r="P2882" i="3"/>
  <c r="Q2882" i="3"/>
  <c r="P1664" i="3"/>
  <c r="Q1664" i="3"/>
  <c r="P1917" i="3"/>
  <c r="Q1917" i="3"/>
  <c r="P2170" i="3"/>
  <c r="Q2170" i="3"/>
  <c r="P2475" i="3"/>
  <c r="Q2475" i="3"/>
  <c r="P2814" i="3"/>
  <c r="Q2814" i="3"/>
  <c r="P1634" i="3"/>
  <c r="Q1634" i="3"/>
  <c r="P1886" i="3"/>
  <c r="Q1886" i="3"/>
  <c r="P2189" i="3"/>
  <c r="Q2189" i="3"/>
  <c r="P2476" i="3"/>
  <c r="Q2476" i="3"/>
  <c r="P2792" i="3"/>
  <c r="Q2792" i="3"/>
  <c r="P1620" i="3"/>
  <c r="Q1620" i="3"/>
  <c r="P1887" i="3"/>
  <c r="Q1887" i="3"/>
  <c r="P2135" i="3"/>
  <c r="Q2135" i="3"/>
  <c r="P2442" i="3"/>
  <c r="Q2442" i="3"/>
  <c r="P2749" i="3"/>
  <c r="Q2749" i="3"/>
  <c r="P863" i="3"/>
  <c r="Q863" i="3"/>
  <c r="P1155" i="3"/>
  <c r="Q1155" i="3"/>
  <c r="P1417" i="3"/>
  <c r="Q1417" i="3"/>
  <c r="P1667" i="3"/>
  <c r="Q1667" i="3"/>
  <c r="P1920" i="3"/>
  <c r="Q1920" i="3"/>
  <c r="P2191" i="3"/>
  <c r="Q2191" i="3"/>
  <c r="P2496" i="3"/>
  <c r="Q2496" i="3"/>
  <c r="P2865" i="3"/>
  <c r="Q2865" i="3"/>
  <c r="P1700" i="3"/>
  <c r="Q1700" i="3"/>
  <c r="P1967" i="3"/>
  <c r="Q1967" i="3"/>
  <c r="P2247" i="3"/>
  <c r="Q2247" i="3"/>
  <c r="P2552" i="3"/>
  <c r="Q2552" i="3"/>
  <c r="P2964" i="3"/>
  <c r="Q2964" i="3"/>
  <c r="P2076" i="3"/>
  <c r="Q2076" i="3"/>
  <c r="P2357" i="3"/>
  <c r="Q2357" i="3"/>
  <c r="P2651" i="3"/>
  <c r="Q2651" i="3"/>
  <c r="P1782" i="3"/>
  <c r="Q1782" i="3"/>
  <c r="P2032" i="3"/>
  <c r="Q2032" i="3"/>
  <c r="P2303" i="3"/>
  <c r="Q2303" i="3"/>
  <c r="P2613" i="3"/>
  <c r="Q2613" i="3"/>
  <c r="P3276" i="3"/>
  <c r="Q3276" i="3"/>
  <c r="P1719" i="3"/>
  <c r="Q1719" i="3"/>
  <c r="P1970" i="3"/>
  <c r="Q1970" i="3"/>
  <c r="P2251" i="3"/>
  <c r="Q2251" i="3"/>
  <c r="P2536" i="3"/>
  <c r="Q2536" i="3"/>
  <c r="P2873" i="3"/>
  <c r="Q2873" i="3"/>
  <c r="P1657" i="3"/>
  <c r="Q1657" i="3"/>
  <c r="P1926" i="3"/>
  <c r="Q1926" i="3"/>
  <c r="P2179" i="3"/>
  <c r="Q2179" i="3"/>
  <c r="P2467" i="3"/>
  <c r="Q2467" i="3"/>
  <c r="P2827" i="3"/>
  <c r="Q2827" i="3"/>
  <c r="P1627" i="3"/>
  <c r="Q1627" i="3"/>
  <c r="P1879" i="3"/>
  <c r="Q1879" i="3"/>
  <c r="P2162" i="3"/>
  <c r="Q2162" i="3"/>
  <c r="P2469" i="3"/>
  <c r="Q2469" i="3"/>
  <c r="P2781" i="3"/>
  <c r="Q2781" i="3"/>
  <c r="P1754" i="3"/>
  <c r="Q1754" i="3"/>
  <c r="P2004" i="3"/>
  <c r="Q2004" i="3"/>
  <c r="P2271" i="3"/>
  <c r="Q2271" i="3"/>
  <c r="P2560" i="3"/>
  <c r="Q2560" i="3"/>
  <c r="P2905" i="3"/>
  <c r="Q2905" i="3"/>
  <c r="P1693" i="3"/>
  <c r="Q1693" i="3"/>
  <c r="P1946" i="3"/>
  <c r="Q1946" i="3"/>
  <c r="P2203" i="3"/>
  <c r="Q2203" i="3"/>
  <c r="P2489" i="3"/>
  <c r="Q2489" i="3"/>
  <c r="P2809" i="3"/>
  <c r="Q2809" i="3"/>
  <c r="P2244" i="3"/>
  <c r="Q2244" i="3"/>
  <c r="P2494" i="3"/>
  <c r="Q2494" i="3"/>
  <c r="P2769" i="3"/>
  <c r="Q2769" i="3"/>
  <c r="P3093" i="3"/>
  <c r="Q3093" i="3"/>
  <c r="P3463" i="3"/>
  <c r="Q3463" i="3"/>
  <c r="P2993" i="3"/>
  <c r="Q2993" i="3"/>
  <c r="P3344" i="3"/>
  <c r="Q3344" i="3"/>
  <c r="P3879" i="3"/>
  <c r="Q3879" i="3"/>
  <c r="P3197" i="3"/>
  <c r="Q3197" i="3"/>
  <c r="P3633" i="3"/>
  <c r="Q3633" i="3"/>
  <c r="P3057" i="3"/>
  <c r="Q3057" i="3"/>
  <c r="P3446" i="3"/>
  <c r="Q3446" i="3"/>
  <c r="P2956" i="3"/>
  <c r="Q2956" i="3"/>
  <c r="P3298" i="3"/>
  <c r="Q3298" i="3"/>
  <c r="P3800" i="3"/>
  <c r="Q3800" i="3"/>
  <c r="P2311" i="3"/>
  <c r="Q2311" i="3"/>
  <c r="P2563" i="3"/>
  <c r="Q2563" i="3"/>
  <c r="P2878" i="3"/>
  <c r="Q2878" i="3"/>
  <c r="P3200" i="3"/>
  <c r="Q3200" i="3"/>
  <c r="P3643" i="3"/>
  <c r="Q3643" i="3"/>
  <c r="P3644" i="3"/>
  <c r="Q3644" i="3"/>
  <c r="P3082" i="3"/>
  <c r="Q3082" i="3"/>
  <c r="P3474" i="3"/>
  <c r="Q3474" i="3"/>
  <c r="P2982" i="3"/>
  <c r="Q2982" i="3"/>
  <c r="P3382" i="3"/>
  <c r="Q3382" i="3"/>
  <c r="P3954" i="3"/>
  <c r="Q3954" i="3"/>
  <c r="P3232" i="3"/>
  <c r="Q3232" i="3"/>
  <c r="P3690" i="3"/>
  <c r="Q3690" i="3"/>
  <c r="P3281" i="3"/>
  <c r="Q3281" i="3"/>
  <c r="P3858" i="3"/>
  <c r="Q3858" i="3"/>
  <c r="P3169" i="3"/>
  <c r="Q3169" i="3"/>
  <c r="P3617" i="3"/>
  <c r="Q3617" i="3"/>
  <c r="P3049" i="3"/>
  <c r="Q3049" i="3"/>
  <c r="P3435" i="3"/>
  <c r="Q3435" i="3"/>
  <c r="P2947" i="3"/>
  <c r="Q2947" i="3"/>
  <c r="P3310" i="3"/>
  <c r="Q3310" i="3"/>
  <c r="P3824" i="3"/>
  <c r="Q3824" i="3"/>
  <c r="P3825" i="3"/>
  <c r="Q3825" i="3"/>
  <c r="P3153" i="3"/>
  <c r="Q3153" i="3"/>
  <c r="P3667" i="3"/>
  <c r="Q3667" i="3"/>
  <c r="P2680" i="3"/>
  <c r="Q2680" i="3"/>
  <c r="P2952" i="3"/>
  <c r="Q2952" i="3"/>
  <c r="P3239" i="3"/>
  <c r="Q3239" i="3"/>
  <c r="P3556" i="3"/>
  <c r="Q3556" i="3"/>
  <c r="P3870" i="3"/>
  <c r="Q3870" i="3"/>
  <c r="P4009" i="3"/>
  <c r="Q4009" i="3"/>
  <c r="P3428" i="3"/>
  <c r="Q3428" i="3"/>
  <c r="P3736" i="3"/>
  <c r="Q3736" i="3"/>
  <c r="P4049" i="3"/>
  <c r="Q4049" i="3"/>
  <c r="P3815" i="3"/>
  <c r="Q3815" i="3"/>
  <c r="P3581" i="3"/>
  <c r="Q3581" i="3"/>
  <c r="P3895" i="3"/>
  <c r="Q3895" i="3"/>
  <c r="P3995" i="3"/>
  <c r="Q3995" i="3"/>
  <c r="P2627" i="3"/>
  <c r="Q2627" i="3"/>
  <c r="P2892" i="3"/>
  <c r="Q2892" i="3"/>
  <c r="P3212" i="3"/>
  <c r="Q3212" i="3"/>
  <c r="P3526" i="3"/>
  <c r="Q3526" i="3"/>
  <c r="P3840" i="3"/>
  <c r="Q3840" i="3"/>
  <c r="P3587" i="3"/>
  <c r="Q3587" i="3"/>
  <c r="P3900" i="3"/>
  <c r="Q3900" i="3"/>
  <c r="P3648" i="3"/>
  <c r="Q3648" i="3"/>
  <c r="P3961" i="3"/>
  <c r="Q3961" i="3"/>
  <c r="P4062" i="3"/>
  <c r="Q4062" i="3"/>
  <c r="P3946" i="3"/>
  <c r="Q3946" i="3"/>
  <c r="P3369" i="3"/>
  <c r="Q3369" i="3"/>
  <c r="P3673" i="3"/>
  <c r="Q3673" i="3"/>
  <c r="P3986" i="3"/>
  <c r="Q3986" i="3"/>
  <c r="P2930" i="3"/>
  <c r="Q2930" i="3"/>
  <c r="P3179" i="3"/>
  <c r="Q3179" i="3"/>
  <c r="P3450" i="3"/>
  <c r="Q3450" i="3"/>
  <c r="P3702" i="3"/>
  <c r="Q3702" i="3"/>
  <c r="P3957" i="3"/>
  <c r="Q3957" i="3"/>
  <c r="P3316" i="3"/>
  <c r="Q3316" i="3"/>
  <c r="P3608" i="3"/>
  <c r="Q3608" i="3"/>
  <c r="P3862" i="3"/>
  <c r="Q3862" i="3"/>
  <c r="P4088" i="3"/>
  <c r="Q4088" i="3"/>
  <c r="P2985" i="3"/>
  <c r="Q2985" i="3"/>
  <c r="P3233" i="3"/>
  <c r="Q3233" i="3"/>
  <c r="P3472" i="3"/>
  <c r="Q3472" i="3"/>
  <c r="P3726" i="3"/>
  <c r="Q3726" i="3"/>
  <c r="P3981" i="3"/>
  <c r="Q3981" i="3"/>
  <c r="P198" i="3"/>
  <c r="Q198" i="3"/>
  <c r="P39" i="3"/>
  <c r="Q39" i="3"/>
  <c r="P194" i="3"/>
  <c r="Q194" i="3"/>
  <c r="P459" i="3"/>
  <c r="Q459" i="3"/>
  <c r="P1148" i="3"/>
  <c r="Q1148" i="3"/>
  <c r="P1083" i="3"/>
  <c r="Q1083" i="3"/>
  <c r="P657" i="3"/>
  <c r="Q657" i="3"/>
  <c r="P1196" i="3"/>
  <c r="Q1196" i="3"/>
  <c r="P2223" i="3"/>
  <c r="Q2223" i="3"/>
  <c r="P2119" i="3"/>
  <c r="Q2119" i="3"/>
  <c r="P2533" i="3"/>
  <c r="Q2533" i="3"/>
  <c r="P2161" i="3"/>
  <c r="Q2161" i="3"/>
  <c r="P2877" i="3"/>
  <c r="Q2877" i="3"/>
  <c r="P3157" i="3"/>
  <c r="Q3157" i="3"/>
  <c r="P3062" i="3"/>
  <c r="Q3062" i="3"/>
  <c r="P3028" i="3"/>
  <c r="Q3028" i="3"/>
  <c r="P2935" i="3"/>
  <c r="Q2935" i="3"/>
  <c r="P2611" i="3"/>
  <c r="Q2611" i="3"/>
  <c r="P3940" i="3"/>
  <c r="Q3940" i="3"/>
  <c r="P3164" i="3"/>
  <c r="Q3164" i="3"/>
  <c r="P226" i="3"/>
  <c r="Q226" i="3"/>
  <c r="P201" i="3"/>
  <c r="Q201" i="3"/>
  <c r="P222" i="3"/>
  <c r="Q222" i="3"/>
  <c r="P760" i="3"/>
  <c r="Q760" i="3"/>
  <c r="P786" i="3"/>
  <c r="Q786" i="3"/>
  <c r="P163" i="3"/>
  <c r="Q163" i="3"/>
  <c r="P912" i="3"/>
  <c r="Q912" i="3"/>
  <c r="P220" i="3"/>
  <c r="Q220" i="3"/>
  <c r="P1018" i="3"/>
  <c r="Q1018" i="3"/>
  <c r="P78" i="3"/>
  <c r="Q78" i="3"/>
  <c r="P206" i="3"/>
  <c r="Q206" i="3"/>
  <c r="P82" i="3"/>
  <c r="Q82" i="3"/>
  <c r="P921" i="3"/>
  <c r="Q921" i="3"/>
  <c r="P210" i="3"/>
  <c r="Q210" i="3"/>
  <c r="P66" i="3"/>
  <c r="Q66" i="3"/>
  <c r="P939" i="3"/>
  <c r="Q939" i="3"/>
  <c r="P230" i="3"/>
  <c r="Q230" i="3"/>
  <c r="P104" i="3"/>
  <c r="Q104" i="3"/>
  <c r="P1098" i="3"/>
  <c r="Q1098" i="3"/>
  <c r="P232" i="3"/>
  <c r="Q232" i="3"/>
  <c r="P70" i="3"/>
  <c r="Q70" i="3"/>
  <c r="P836" i="3"/>
  <c r="Q836" i="3"/>
  <c r="P199" i="3"/>
  <c r="Q199" i="3"/>
  <c r="P28" i="3"/>
  <c r="Q28" i="3"/>
  <c r="P282" i="3"/>
  <c r="Q282" i="3"/>
  <c r="P537" i="3"/>
  <c r="Q537" i="3"/>
  <c r="P797" i="3"/>
  <c r="Q797" i="3"/>
  <c r="P1091" i="3"/>
  <c r="Q1091" i="3"/>
  <c r="P1374" i="3"/>
  <c r="Q1374" i="3"/>
  <c r="P2238" i="3"/>
  <c r="Q2238" i="3"/>
  <c r="P491" i="3"/>
  <c r="Q491" i="3"/>
  <c r="P745" i="3"/>
  <c r="Q745" i="3"/>
  <c r="P1038" i="3"/>
  <c r="Q1038" i="3"/>
  <c r="P1325" i="3"/>
  <c r="Q1325" i="3"/>
  <c r="P1860" i="3"/>
  <c r="Q1860" i="3"/>
  <c r="P444" i="3"/>
  <c r="Q444" i="3"/>
  <c r="P695" i="3"/>
  <c r="Q695" i="3"/>
  <c r="P969" i="3"/>
  <c r="Q969" i="3"/>
  <c r="P1254" i="3"/>
  <c r="Q1254" i="3"/>
  <c r="P1598" i="3"/>
  <c r="Q1598" i="3"/>
  <c r="P381" i="3"/>
  <c r="Q381" i="3"/>
  <c r="P632" i="3"/>
  <c r="Q632" i="3"/>
  <c r="P917" i="3"/>
  <c r="Q917" i="3"/>
  <c r="P1238" i="3"/>
  <c r="Q1238" i="3"/>
  <c r="P1599" i="3"/>
  <c r="Q1599" i="3"/>
  <c r="P366" i="3"/>
  <c r="Q366" i="3"/>
  <c r="P633" i="3"/>
  <c r="Q633" i="3"/>
  <c r="P902" i="3"/>
  <c r="Q902" i="3"/>
  <c r="P1184" i="3"/>
  <c r="Q1184" i="3"/>
  <c r="P1466" i="3"/>
  <c r="Q1466" i="3"/>
  <c r="P49" i="3"/>
  <c r="Q49" i="3"/>
  <c r="P303" i="3"/>
  <c r="Q303" i="3"/>
  <c r="P556" i="3"/>
  <c r="Q556" i="3"/>
  <c r="P818" i="3"/>
  <c r="Q818" i="3"/>
  <c r="P1113" i="3"/>
  <c r="Q1113" i="3"/>
  <c r="P1395" i="3"/>
  <c r="Q1395" i="3"/>
  <c r="P2427" i="3"/>
  <c r="Q2427" i="3"/>
  <c r="P353" i="3"/>
  <c r="Q353" i="3"/>
  <c r="P605" i="3"/>
  <c r="Q605" i="3"/>
  <c r="P905" i="3"/>
  <c r="Q905" i="3"/>
  <c r="P1206" i="3"/>
  <c r="Q1206" i="3"/>
  <c r="P1535" i="3"/>
  <c r="Q1535" i="3"/>
  <c r="P338" i="3"/>
  <c r="Q338" i="3"/>
  <c r="P590" i="3"/>
  <c r="Q590" i="3"/>
  <c r="P871" i="3"/>
  <c r="Q871" i="3"/>
  <c r="P1153" i="3"/>
  <c r="Q1153" i="3"/>
  <c r="P1470" i="3"/>
  <c r="Q1470" i="3"/>
  <c r="P307" i="3"/>
  <c r="Q307" i="3"/>
  <c r="P560" i="3"/>
  <c r="Q560" i="3"/>
  <c r="P822" i="3"/>
  <c r="Q822" i="3"/>
  <c r="P1117" i="3"/>
  <c r="Q1117" i="3"/>
  <c r="P1419" i="3"/>
  <c r="Q1419" i="3"/>
  <c r="P2772" i="3"/>
  <c r="Q2772" i="3"/>
  <c r="P532" i="3"/>
  <c r="Q532" i="3"/>
  <c r="P791" i="3"/>
  <c r="Q791" i="3"/>
  <c r="P1066" i="3"/>
  <c r="Q1066" i="3"/>
  <c r="P1384" i="3"/>
  <c r="Q1384" i="3"/>
  <c r="P2328" i="3"/>
  <c r="Q2328" i="3"/>
  <c r="P485" i="3"/>
  <c r="Q485" i="3"/>
  <c r="P738" i="3"/>
  <c r="Q738" i="3"/>
  <c r="P1014" i="3"/>
  <c r="Q1014" i="3"/>
  <c r="P1301" i="3"/>
  <c r="Q1301" i="3"/>
  <c r="P1828" i="3"/>
  <c r="Q1828" i="3"/>
  <c r="P422" i="3"/>
  <c r="Q422" i="3"/>
  <c r="P689" i="3"/>
  <c r="Q689" i="3"/>
  <c r="P961" i="3"/>
  <c r="Q961" i="3"/>
  <c r="P1266" i="3"/>
  <c r="Q1266" i="3"/>
  <c r="P1628" i="3"/>
  <c r="Q1628" i="3"/>
  <c r="P375" i="3"/>
  <c r="Q375" i="3"/>
  <c r="P642" i="3"/>
  <c r="Q642" i="3"/>
  <c r="P911" i="3"/>
  <c r="Q911" i="3"/>
  <c r="P1194" i="3"/>
  <c r="Q1194" i="3"/>
  <c r="P1514" i="3"/>
  <c r="Q1514" i="3"/>
  <c r="P1844" i="3"/>
  <c r="Q1844" i="3"/>
  <c r="P425" i="3"/>
  <c r="Q425" i="3"/>
  <c r="P676" i="3"/>
  <c r="Q676" i="3"/>
  <c r="P947" i="3"/>
  <c r="Q947" i="3"/>
  <c r="P1233" i="3"/>
  <c r="Q1233" i="3"/>
  <c r="P1552" i="3"/>
  <c r="Q1552" i="3"/>
  <c r="P770" i="3"/>
  <c r="Q770" i="3"/>
  <c r="P1025" i="3"/>
  <c r="Q1025" i="3"/>
  <c r="P1276" i="3"/>
  <c r="Q1276" i="3"/>
  <c r="P1522" i="3"/>
  <c r="Q1522" i="3"/>
  <c r="P1773" i="3"/>
  <c r="Q1773" i="3"/>
  <c r="P2023" i="3"/>
  <c r="Q2023" i="3"/>
  <c r="P2293" i="3"/>
  <c r="Q2293" i="3"/>
  <c r="P2583" i="3"/>
  <c r="Q2583" i="3"/>
  <c r="P3026" i="3"/>
  <c r="Q3026" i="3"/>
  <c r="P1710" i="3"/>
  <c r="Q1710" i="3"/>
  <c r="P1962" i="3"/>
  <c r="Q1962" i="3"/>
  <c r="P2258" i="3"/>
  <c r="Q2258" i="3"/>
  <c r="P2544" i="3"/>
  <c r="Q2544" i="3"/>
  <c r="P2925" i="3"/>
  <c r="Q2925" i="3"/>
  <c r="P1680" i="3"/>
  <c r="Q1680" i="3"/>
  <c r="P1933" i="3"/>
  <c r="Q1933" i="3"/>
  <c r="P2188" i="3"/>
  <c r="Q2188" i="3"/>
  <c r="P2492" i="3"/>
  <c r="Q2492" i="3"/>
  <c r="P2838" i="3"/>
  <c r="Q2838" i="3"/>
  <c r="P1649" i="3"/>
  <c r="Q1649" i="3"/>
  <c r="P1902" i="3"/>
  <c r="Q1902" i="3"/>
  <c r="P2207" i="3"/>
  <c r="Q2207" i="3"/>
  <c r="P2493" i="3"/>
  <c r="Q2493" i="3"/>
  <c r="P2816" i="3"/>
  <c r="Q2816" i="3"/>
  <c r="P1650" i="3"/>
  <c r="Q1650" i="3"/>
  <c r="P1903" i="3"/>
  <c r="Q1903" i="3"/>
  <c r="P2154" i="3"/>
  <c r="Q2154" i="3"/>
  <c r="P2459" i="3"/>
  <c r="Q2459" i="3"/>
  <c r="P2770" i="3"/>
  <c r="Q2770" i="3"/>
  <c r="P878" i="3"/>
  <c r="Q878" i="3"/>
  <c r="P1171" i="3"/>
  <c r="Q1171" i="3"/>
  <c r="P1433" i="3"/>
  <c r="Q1433" i="3"/>
  <c r="P1683" i="3"/>
  <c r="Q1683" i="3"/>
  <c r="P1936" i="3"/>
  <c r="Q1936" i="3"/>
  <c r="P2209" i="3"/>
  <c r="Q2209" i="3"/>
  <c r="P2513" i="3"/>
  <c r="Q2513" i="3"/>
  <c r="P2889" i="3"/>
  <c r="Q2889" i="3"/>
  <c r="P1716" i="3"/>
  <c r="Q1716" i="3"/>
  <c r="P1982" i="3"/>
  <c r="Q1982" i="3"/>
  <c r="P2265" i="3"/>
  <c r="Q2265" i="3"/>
  <c r="P2570" i="3"/>
  <c r="Q2570" i="3"/>
  <c r="P3081" i="3"/>
  <c r="Q3081" i="3"/>
  <c r="P2091" i="3"/>
  <c r="Q2091" i="3"/>
  <c r="P2376" i="3"/>
  <c r="Q2376" i="3"/>
  <c r="P2671" i="3"/>
  <c r="Q2671" i="3"/>
  <c r="P1798" i="3"/>
  <c r="Q1798" i="3"/>
  <c r="P2048" i="3"/>
  <c r="Q2048" i="3"/>
  <c r="P2321" i="3"/>
  <c r="Q2321" i="3"/>
  <c r="P2634" i="3"/>
  <c r="Q2634" i="3"/>
  <c r="P1484" i="3"/>
  <c r="Q1484" i="3"/>
  <c r="P1735" i="3"/>
  <c r="Q1735" i="3"/>
  <c r="P1985" i="3"/>
  <c r="Q1985" i="3"/>
  <c r="P2268" i="3"/>
  <c r="Q2268" i="3"/>
  <c r="P2555" i="3"/>
  <c r="Q2555" i="3"/>
  <c r="P2900" i="3"/>
  <c r="Q2900" i="3"/>
  <c r="P1673" i="3"/>
  <c r="Q1673" i="3"/>
  <c r="P1942" i="3"/>
  <c r="Q1942" i="3"/>
  <c r="P2198" i="3"/>
  <c r="Q2198" i="3"/>
  <c r="P2485" i="3"/>
  <c r="Q2485" i="3"/>
  <c r="P2851" i="3"/>
  <c r="Q2851" i="3"/>
  <c r="P1642" i="3"/>
  <c r="Q1642" i="3"/>
  <c r="P1895" i="3"/>
  <c r="Q1895" i="3"/>
  <c r="P2181" i="3"/>
  <c r="Q2181" i="3"/>
  <c r="P2486" i="3"/>
  <c r="Q2486" i="3"/>
  <c r="P2805" i="3"/>
  <c r="Q2805" i="3"/>
  <c r="P1770" i="3"/>
  <c r="Q1770" i="3"/>
  <c r="P2020" i="3"/>
  <c r="Q2020" i="3"/>
  <c r="P2289" i="3"/>
  <c r="Q2289" i="3"/>
  <c r="P2578" i="3"/>
  <c r="Q2578" i="3"/>
  <c r="P3004" i="3"/>
  <c r="Q3004" i="3"/>
  <c r="P1708" i="3"/>
  <c r="Q1708" i="3"/>
  <c r="P1960" i="3"/>
  <c r="Q1960" i="3"/>
  <c r="P2221" i="3"/>
  <c r="Q2221" i="3"/>
  <c r="P2506" i="3"/>
  <c r="Q2506" i="3"/>
  <c r="P2834" i="3"/>
  <c r="Q2834" i="3"/>
  <c r="P2259" i="3"/>
  <c r="Q2259" i="3"/>
  <c r="P2509" i="3"/>
  <c r="Q2509" i="3"/>
  <c r="P2789" i="3"/>
  <c r="Q2789" i="3"/>
  <c r="P3115" i="3"/>
  <c r="Q3115" i="3"/>
  <c r="P3489" i="3"/>
  <c r="Q3489" i="3"/>
  <c r="P3013" i="3"/>
  <c r="Q3013" i="3"/>
  <c r="P3368" i="3"/>
  <c r="Q3368" i="3"/>
  <c r="P3924" i="3"/>
  <c r="Q3924" i="3"/>
  <c r="P3222" i="3"/>
  <c r="Q3222" i="3"/>
  <c r="P3672" i="3"/>
  <c r="Q3672" i="3"/>
  <c r="P3076" i="3"/>
  <c r="Q3076" i="3"/>
  <c r="P3468" i="3"/>
  <c r="Q3468" i="3"/>
  <c r="P2976" i="3"/>
  <c r="Q2976" i="3"/>
  <c r="P3324" i="3"/>
  <c r="Q3324" i="3"/>
  <c r="P3843" i="3"/>
  <c r="Q3843" i="3"/>
  <c r="P2327" i="3"/>
  <c r="Q2327" i="3"/>
  <c r="P2579" i="3"/>
  <c r="Q2579" i="3"/>
  <c r="P2898" i="3"/>
  <c r="Q2898" i="3"/>
  <c r="P3227" i="3"/>
  <c r="Q3227" i="3"/>
  <c r="P3681" i="3"/>
  <c r="Q3681" i="3"/>
  <c r="P3682" i="3"/>
  <c r="Q3682" i="3"/>
  <c r="P3103" i="3"/>
  <c r="Q3103" i="3"/>
  <c r="P3501" i="3"/>
  <c r="Q3501" i="3"/>
  <c r="P3002" i="3"/>
  <c r="Q3002" i="3"/>
  <c r="P3403" i="3"/>
  <c r="Q3403" i="3"/>
  <c r="P2924" i="3"/>
  <c r="Q2924" i="3"/>
  <c r="P3255" i="3"/>
  <c r="Q3255" i="3"/>
  <c r="P3729" i="3"/>
  <c r="Q3729" i="3"/>
  <c r="P3307" i="3"/>
  <c r="Q3307" i="3"/>
  <c r="P3904" i="3"/>
  <c r="Q3904" i="3"/>
  <c r="P3189" i="3"/>
  <c r="Q3189" i="3"/>
  <c r="P3657" i="3"/>
  <c r="Q3657" i="3"/>
  <c r="P3067" i="3"/>
  <c r="Q3067" i="3"/>
  <c r="P3484" i="3"/>
  <c r="Q3484" i="3"/>
  <c r="P2967" i="3"/>
  <c r="Q2967" i="3"/>
  <c r="P3338" i="3"/>
  <c r="Q3338" i="3"/>
  <c r="P3866" i="3"/>
  <c r="Q3866" i="3"/>
  <c r="P3871" i="3"/>
  <c r="Q3871" i="3"/>
  <c r="P3174" i="3"/>
  <c r="Q3174" i="3"/>
  <c r="P3707" i="3"/>
  <c r="Q3707" i="3"/>
  <c r="P2696" i="3"/>
  <c r="Q2696" i="3"/>
  <c r="P2971" i="3"/>
  <c r="Q2971" i="3"/>
  <c r="P3258" i="3"/>
  <c r="Q3258" i="3"/>
  <c r="P3577" i="3"/>
  <c r="Q3577" i="3"/>
  <c r="P3889" i="3"/>
  <c r="Q3889" i="3"/>
  <c r="P4028" i="3"/>
  <c r="Q4028" i="3"/>
  <c r="P3445" i="3"/>
  <c r="Q3445" i="3"/>
  <c r="P3755" i="3"/>
  <c r="Q3755" i="3"/>
  <c r="P4068" i="3"/>
  <c r="Q4068" i="3"/>
  <c r="P3834" i="3"/>
  <c r="Q3834" i="3"/>
  <c r="P3601" i="3"/>
  <c r="Q3601" i="3"/>
  <c r="P3914" i="3"/>
  <c r="Q3914" i="3"/>
  <c r="P4015" i="3"/>
  <c r="Q4015" i="3"/>
  <c r="P2642" i="3"/>
  <c r="Q2642" i="3"/>
  <c r="P2911" i="3"/>
  <c r="Q2911" i="3"/>
  <c r="P3230" i="3"/>
  <c r="Q3230" i="3"/>
  <c r="P3547" i="3"/>
  <c r="Q3547" i="3"/>
  <c r="P3859" i="3"/>
  <c r="Q3859" i="3"/>
  <c r="P3606" i="3"/>
  <c r="Q3606" i="3"/>
  <c r="P3920" i="3"/>
  <c r="Q3920" i="3"/>
  <c r="P3666" i="3"/>
  <c r="Q3666" i="3"/>
  <c r="P3980" i="3"/>
  <c r="Q3980" i="3"/>
  <c r="P4081" i="3"/>
  <c r="Q4081" i="3"/>
  <c r="P3966" i="3"/>
  <c r="Q3966" i="3"/>
  <c r="P3388" i="3"/>
  <c r="Q3388" i="3"/>
  <c r="P3692" i="3"/>
  <c r="Q3692" i="3"/>
  <c r="P4007" i="3"/>
  <c r="Q4007" i="3"/>
  <c r="P2945" i="3"/>
  <c r="Q2945" i="3"/>
  <c r="P3194" i="3"/>
  <c r="Q3194" i="3"/>
  <c r="P3464" i="3"/>
  <c r="Q3464" i="3"/>
  <c r="P3718" i="3"/>
  <c r="Q3718" i="3"/>
  <c r="P3973" i="3"/>
  <c r="Q3973" i="3"/>
  <c r="P3332" i="3"/>
  <c r="Q3332" i="3"/>
  <c r="P3624" i="3"/>
  <c r="Q3624" i="3"/>
  <c r="P3878" i="3"/>
  <c r="Q3878" i="3"/>
  <c r="P4089" i="3"/>
  <c r="Q4089" i="3"/>
  <c r="P3000" i="3"/>
  <c r="Q3000" i="3"/>
  <c r="P3248" i="3"/>
  <c r="Q3248" i="3"/>
  <c r="P3487" i="3"/>
  <c r="Q3487" i="3"/>
  <c r="P3742" i="3"/>
  <c r="Q3742" i="3"/>
  <c r="P3997" i="3"/>
  <c r="Q3997" i="3"/>
  <c r="P80" i="3"/>
  <c r="Q80" i="3"/>
  <c r="P200" i="3"/>
  <c r="Q200" i="3"/>
  <c r="P34" i="3"/>
  <c r="Q34" i="3"/>
  <c r="P412" i="3"/>
  <c r="Q412" i="3"/>
  <c r="P1431" i="3"/>
  <c r="Q1431" i="3"/>
  <c r="P559" i="3"/>
  <c r="Q559" i="3"/>
  <c r="P453" i="3"/>
  <c r="Q453" i="3"/>
  <c r="P1699" i="3"/>
  <c r="Q1699" i="3"/>
  <c r="P2881" i="3"/>
  <c r="Q2881" i="3"/>
  <c r="P2768" i="3"/>
  <c r="Q2768" i="3"/>
  <c r="P2230" i="3"/>
  <c r="Q2230" i="3"/>
  <c r="P1641" i="3"/>
  <c r="Q1641" i="3"/>
  <c r="P3073" i="3"/>
  <c r="Q3073" i="3"/>
  <c r="P3604" i="3"/>
  <c r="Q3604" i="3"/>
  <c r="P3409" i="3"/>
  <c r="Q3409" i="3"/>
  <c r="P2969" i="3"/>
  <c r="Q2969" i="3"/>
  <c r="P218" i="3"/>
  <c r="Q218" i="3"/>
  <c r="P879" i="3"/>
  <c r="Q879" i="3"/>
  <c r="P59" i="3"/>
  <c r="Q59" i="3"/>
  <c r="P188" i="3"/>
  <c r="Q188" i="3"/>
  <c r="P47" i="3"/>
  <c r="Q47" i="3"/>
  <c r="P261" i="3"/>
  <c r="Q261" i="3"/>
  <c r="P237" i="3"/>
  <c r="Q237" i="3"/>
  <c r="P75" i="3"/>
  <c r="Q75" i="3"/>
  <c r="P241" i="3"/>
  <c r="Q241" i="3"/>
  <c r="P897" i="3"/>
  <c r="Q897" i="3"/>
  <c r="P56" i="3"/>
  <c r="Q56" i="3"/>
  <c r="P126" i="3"/>
  <c r="Q126" i="3"/>
  <c r="P845" i="3"/>
  <c r="Q845" i="3"/>
  <c r="P254" i="3"/>
  <c r="Q254" i="3"/>
  <c r="P238" i="3"/>
  <c r="Q238" i="3"/>
  <c r="P94" i="3"/>
  <c r="Q94" i="3"/>
  <c r="P1160" i="3"/>
  <c r="Q1160" i="3"/>
  <c r="P258" i="3"/>
  <c r="Q258" i="3"/>
  <c r="P96" i="3"/>
  <c r="Q96" i="3"/>
  <c r="P1035" i="3"/>
  <c r="Q1035" i="3"/>
  <c r="P225" i="3"/>
  <c r="Q225" i="3"/>
  <c r="P100" i="3"/>
  <c r="Q100" i="3"/>
  <c r="P1062" i="3"/>
  <c r="Q1062" i="3"/>
  <c r="P228" i="3"/>
  <c r="Q228" i="3"/>
  <c r="P84" i="3"/>
  <c r="Q84" i="3"/>
  <c r="P1080" i="3"/>
  <c r="Q1080" i="3"/>
  <c r="P247" i="3"/>
  <c r="Q247" i="3"/>
  <c r="P122" i="3"/>
  <c r="Q122" i="3"/>
  <c r="P1241" i="3"/>
  <c r="Q1241" i="3"/>
  <c r="P249" i="3"/>
  <c r="Q249" i="3"/>
  <c r="P88" i="3"/>
  <c r="Q88" i="3"/>
  <c r="P973" i="3"/>
  <c r="Q973" i="3"/>
  <c r="P217" i="3"/>
  <c r="Q217" i="3"/>
  <c r="P44" i="3"/>
  <c r="Q44" i="3"/>
  <c r="P298" i="3"/>
  <c r="Q298" i="3"/>
  <c r="P551" i="3"/>
  <c r="Q551" i="3"/>
  <c r="P812" i="3"/>
  <c r="Q812" i="3"/>
  <c r="P1108" i="3"/>
  <c r="Q1108" i="3"/>
  <c r="P1390" i="3"/>
  <c r="Q1390" i="3"/>
  <c r="P2382" i="3"/>
  <c r="Q2382" i="3"/>
  <c r="P507" i="3"/>
  <c r="Q507" i="3"/>
  <c r="P763" i="3"/>
  <c r="Q763" i="3"/>
  <c r="P1055" i="3"/>
  <c r="Q1055" i="3"/>
  <c r="P1341" i="3"/>
  <c r="Q1341" i="3"/>
  <c r="P2104" i="3"/>
  <c r="Q2104" i="3"/>
  <c r="P460" i="3"/>
  <c r="Q460" i="3"/>
  <c r="P711" i="3"/>
  <c r="Q711" i="3"/>
  <c r="P987" i="3"/>
  <c r="Q987" i="3"/>
  <c r="P1272" i="3"/>
  <c r="Q1272" i="3"/>
  <c r="P1652" i="3"/>
  <c r="Q1652" i="3"/>
  <c r="P397" i="3"/>
  <c r="Q397" i="3"/>
  <c r="P648" i="3"/>
  <c r="Q648" i="3"/>
  <c r="P935" i="3"/>
  <c r="Q935" i="3"/>
  <c r="P1255" i="3"/>
  <c r="Q1255" i="3"/>
  <c r="P1654" i="3"/>
  <c r="Q1654" i="3"/>
  <c r="P382" i="3"/>
  <c r="Q382" i="3"/>
  <c r="P649" i="3"/>
  <c r="Q649" i="3"/>
  <c r="P919" i="3"/>
  <c r="Q919" i="3"/>
  <c r="P1203" i="3"/>
  <c r="Q1203" i="3"/>
  <c r="P1496" i="3"/>
  <c r="Q1496" i="3"/>
  <c r="P65" i="3"/>
  <c r="Q65" i="3"/>
  <c r="P319" i="3"/>
  <c r="Q319" i="3"/>
  <c r="P571" i="3"/>
  <c r="Q571" i="3"/>
  <c r="P835" i="3"/>
  <c r="Q835" i="3"/>
  <c r="P1131" i="3"/>
  <c r="Q1131" i="3"/>
  <c r="P1414" i="3"/>
  <c r="Q1414" i="3"/>
  <c r="P2569" i="3"/>
  <c r="Q2569" i="3"/>
  <c r="P369" i="3"/>
  <c r="Q369" i="3"/>
  <c r="P636" i="3"/>
  <c r="Q636" i="3"/>
  <c r="P922" i="3"/>
  <c r="Q922" i="3"/>
  <c r="P1224" i="3"/>
  <c r="Q1224" i="3"/>
  <c r="P1575" i="3"/>
  <c r="Q1575" i="3"/>
  <c r="P354" i="3"/>
  <c r="Q354" i="3"/>
  <c r="P606" i="3"/>
  <c r="Q606" i="3"/>
  <c r="P890" i="3"/>
  <c r="Q890" i="3"/>
  <c r="P1172" i="3"/>
  <c r="Q1172" i="3"/>
  <c r="P1503" i="3"/>
  <c r="Q1503" i="3"/>
  <c r="P323" i="3"/>
  <c r="Q323" i="3"/>
  <c r="P575" i="3"/>
  <c r="Q575" i="3"/>
  <c r="P839" i="3"/>
  <c r="Q839" i="3"/>
  <c r="P1136" i="3"/>
  <c r="Q1136" i="3"/>
  <c r="P1436" i="3"/>
  <c r="Q1436" i="3"/>
  <c r="P292" i="3"/>
  <c r="Q292" i="3"/>
  <c r="P545" i="3"/>
  <c r="Q545" i="3"/>
  <c r="P807" i="3"/>
  <c r="Q807" i="3"/>
  <c r="P1084" i="3"/>
  <c r="Q1084" i="3"/>
  <c r="P1402" i="3"/>
  <c r="Q1402" i="3"/>
  <c r="P2471" i="3"/>
  <c r="Q2471" i="3"/>
  <c r="P501" i="3"/>
  <c r="Q501" i="3"/>
  <c r="P756" i="3"/>
  <c r="Q756" i="3"/>
  <c r="P1032" i="3"/>
  <c r="Q1032" i="3"/>
  <c r="P1319" i="3"/>
  <c r="Q1319" i="3"/>
  <c r="P1937" i="3"/>
  <c r="Q1937" i="3"/>
  <c r="P438" i="3"/>
  <c r="Q438" i="3"/>
  <c r="P705" i="3"/>
  <c r="Q705" i="3"/>
  <c r="P980" i="3"/>
  <c r="Q980" i="3"/>
  <c r="P1284" i="3"/>
  <c r="Q1284" i="3"/>
  <c r="P1687" i="3"/>
  <c r="Q1687" i="3"/>
  <c r="P391" i="3"/>
  <c r="Q391" i="3"/>
  <c r="P658" i="3"/>
  <c r="Q658" i="3"/>
  <c r="P928" i="3"/>
  <c r="Q928" i="3"/>
  <c r="P1212" i="3"/>
  <c r="Q1212" i="3"/>
  <c r="P1550" i="3"/>
  <c r="Q1550" i="3"/>
  <c r="P1959" i="3"/>
  <c r="Q1959" i="3"/>
  <c r="P441" i="3"/>
  <c r="Q441" i="3"/>
  <c r="P692" i="3"/>
  <c r="Q692" i="3"/>
  <c r="P965" i="3"/>
  <c r="Q965" i="3"/>
  <c r="P1251" i="3"/>
  <c r="Q1251" i="3"/>
  <c r="P1592" i="3"/>
  <c r="Q1592" i="3"/>
  <c r="P785" i="3"/>
  <c r="Q785" i="3"/>
  <c r="P1040" i="3"/>
  <c r="Q1040" i="3"/>
  <c r="P1292" i="3"/>
  <c r="Q1292" i="3"/>
  <c r="P1537" i="3"/>
  <c r="Q1537" i="3"/>
  <c r="P1789" i="3"/>
  <c r="Q1789" i="3"/>
  <c r="P2039" i="3"/>
  <c r="Q2039" i="3"/>
  <c r="P2312" i="3"/>
  <c r="Q2312" i="3"/>
  <c r="P2601" i="3"/>
  <c r="Q2601" i="3"/>
  <c r="P3173" i="3"/>
  <c r="Q3173" i="3"/>
  <c r="P1726" i="3"/>
  <c r="Q1726" i="3"/>
  <c r="P1977" i="3"/>
  <c r="Q1977" i="3"/>
  <c r="P2276" i="3"/>
  <c r="Q2276" i="3"/>
  <c r="P2565" i="3"/>
  <c r="Q2565" i="3"/>
  <c r="P3030" i="3"/>
  <c r="Q3030" i="3"/>
  <c r="P1695" i="3"/>
  <c r="Q1695" i="3"/>
  <c r="P1949" i="3"/>
  <c r="Q1949" i="3"/>
  <c r="P2206" i="3"/>
  <c r="Q2206" i="3"/>
  <c r="P2510" i="3"/>
  <c r="Q2510" i="3"/>
  <c r="P2862" i="3"/>
  <c r="Q2862" i="3"/>
  <c r="P1665" i="3"/>
  <c r="Q1665" i="3"/>
  <c r="P1918" i="3"/>
  <c r="Q1918" i="3"/>
  <c r="P2225" i="3"/>
  <c r="Q2225" i="3"/>
  <c r="P2511" i="3"/>
  <c r="Q2511" i="3"/>
  <c r="P2841" i="3"/>
  <c r="Q2841" i="3"/>
  <c r="P1666" i="3"/>
  <c r="Q1666" i="3"/>
  <c r="P1919" i="3"/>
  <c r="Q1919" i="3"/>
  <c r="P2172" i="3"/>
  <c r="Q2172" i="3"/>
  <c r="P2477" i="3"/>
  <c r="Q2477" i="3"/>
  <c r="P2793" i="3"/>
  <c r="Q2793" i="3"/>
  <c r="P894" i="3"/>
  <c r="Q894" i="3"/>
  <c r="P1186" i="3"/>
  <c r="Q1186" i="3"/>
  <c r="P1447" i="3"/>
  <c r="Q1447" i="3"/>
  <c r="P1698" i="3"/>
  <c r="Q1698" i="3"/>
  <c r="P1965" i="3"/>
  <c r="Q1965" i="3"/>
  <c r="P2227" i="3"/>
  <c r="Q2227" i="3"/>
  <c r="P2531" i="3"/>
  <c r="Q2531" i="3"/>
  <c r="P2948" i="3"/>
  <c r="Q2948" i="3"/>
  <c r="P1732" i="3"/>
  <c r="Q1732" i="3"/>
  <c r="P1998" i="3"/>
  <c r="Q1998" i="3"/>
  <c r="P2283" i="3"/>
  <c r="Q2283" i="3"/>
  <c r="P2590" i="3"/>
  <c r="Q2590" i="3"/>
  <c r="P3252" i="3"/>
  <c r="Q3252" i="3"/>
  <c r="P2106" i="3"/>
  <c r="Q2106" i="3"/>
  <c r="P2394" i="3"/>
  <c r="Q2394" i="3"/>
  <c r="P2692" i="3"/>
  <c r="Q2692" i="3"/>
  <c r="P1813" i="3"/>
  <c r="Q1813" i="3"/>
  <c r="P2063" i="3"/>
  <c r="Q2063" i="3"/>
  <c r="P2340" i="3"/>
  <c r="Q2340" i="3"/>
  <c r="P2652" i="3"/>
  <c r="Q2652" i="3"/>
  <c r="P1500" i="3"/>
  <c r="Q1500" i="3"/>
  <c r="P1751" i="3"/>
  <c r="Q1751" i="3"/>
  <c r="P2001" i="3"/>
  <c r="Q2001" i="3"/>
  <c r="P2286" i="3"/>
  <c r="Q2286" i="3"/>
  <c r="P2575" i="3"/>
  <c r="Q2575" i="3"/>
  <c r="P2984" i="3"/>
  <c r="Q2984" i="3"/>
  <c r="P1689" i="3"/>
  <c r="Q1689" i="3"/>
  <c r="P1956" i="3"/>
  <c r="Q1956" i="3"/>
  <c r="P2216" i="3"/>
  <c r="Q2216" i="3"/>
  <c r="P2502" i="3"/>
  <c r="Q2502" i="3"/>
  <c r="P2874" i="3"/>
  <c r="Q2874" i="3"/>
  <c r="P1658" i="3"/>
  <c r="Q1658" i="3"/>
  <c r="P1911" i="3"/>
  <c r="Q1911" i="3"/>
  <c r="P2199" i="3"/>
  <c r="Q2199" i="3"/>
  <c r="P2503" i="3"/>
  <c r="Q2503" i="3"/>
  <c r="P2828" i="3"/>
  <c r="Q2828" i="3"/>
  <c r="P1786" i="3"/>
  <c r="Q1786" i="3"/>
  <c r="P2036" i="3"/>
  <c r="Q2036" i="3"/>
  <c r="P2308" i="3"/>
  <c r="Q2308" i="3"/>
  <c r="P2598" i="3"/>
  <c r="Q2598" i="3"/>
  <c r="P3144" i="3"/>
  <c r="Q3144" i="3"/>
  <c r="P1724" i="3"/>
  <c r="Q1724" i="3"/>
  <c r="P1975" i="3"/>
  <c r="Q1975" i="3"/>
  <c r="P2239" i="3"/>
  <c r="Q2239" i="3"/>
  <c r="P2523" i="3"/>
  <c r="Q2523" i="3"/>
  <c r="P2857" i="3"/>
  <c r="Q2857" i="3"/>
  <c r="P2274" i="3"/>
  <c r="Q2274" i="3"/>
  <c r="P2524" i="3"/>
  <c r="Q2524" i="3"/>
  <c r="P2810" i="3"/>
  <c r="Q2810" i="3"/>
  <c r="P3136" i="3"/>
  <c r="Q3136" i="3"/>
  <c r="P3514" i="3"/>
  <c r="Q3514" i="3"/>
  <c r="P3035" i="3"/>
  <c r="Q3035" i="3"/>
  <c r="P3395" i="3"/>
  <c r="Q3395" i="3"/>
  <c r="P2895" i="3"/>
  <c r="Q2895" i="3"/>
  <c r="P3246" i="3"/>
  <c r="Q3246" i="3"/>
  <c r="P3711" i="3"/>
  <c r="Q3711" i="3"/>
  <c r="P3098" i="3"/>
  <c r="Q3098" i="3"/>
  <c r="P3492" i="3"/>
  <c r="Q3492" i="3"/>
  <c r="P2996" i="3"/>
  <c r="Q2996" i="3"/>
  <c r="P3349" i="3"/>
  <c r="Q3349" i="3"/>
  <c r="P3886" i="3"/>
  <c r="Q3886" i="3"/>
  <c r="P2343" i="3"/>
  <c r="Q2343" i="3"/>
  <c r="P2614" i="3"/>
  <c r="Q2614" i="3"/>
  <c r="P2919" i="3"/>
  <c r="Q2919" i="3"/>
  <c r="P3251" i="3"/>
  <c r="Q3251" i="3"/>
  <c r="P3721" i="3"/>
  <c r="Q3721" i="3"/>
  <c r="P3722" i="3"/>
  <c r="Q3722" i="3"/>
  <c r="P3124" i="3"/>
  <c r="Q3124" i="3"/>
  <c r="P3531" i="3"/>
  <c r="Q3531" i="3"/>
  <c r="P3022" i="3"/>
  <c r="Q3022" i="3"/>
  <c r="P3431" i="3"/>
  <c r="Q3431" i="3"/>
  <c r="P2942" i="3"/>
  <c r="Q2942" i="3"/>
  <c r="P3280" i="3"/>
  <c r="Q3280" i="3"/>
  <c r="P3769" i="3"/>
  <c r="Q3769" i="3"/>
  <c r="P3334" i="3"/>
  <c r="Q3334" i="3"/>
  <c r="P3956" i="3"/>
  <c r="Q3956" i="3"/>
  <c r="P3209" i="3"/>
  <c r="Q3209" i="3"/>
  <c r="P3695" i="3"/>
  <c r="Q3695" i="3"/>
  <c r="P3089" i="3"/>
  <c r="Q3089" i="3"/>
  <c r="P3508" i="3"/>
  <c r="Q3508" i="3"/>
  <c r="P2987" i="3"/>
  <c r="Q2987" i="3"/>
  <c r="P3364" i="3"/>
  <c r="Q3364" i="3"/>
  <c r="P3916" i="3"/>
  <c r="Q3916" i="3"/>
  <c r="P3918" i="3"/>
  <c r="Q3918" i="3"/>
  <c r="P3216" i="3"/>
  <c r="Q3216" i="3"/>
  <c r="P3746" i="3"/>
  <c r="Q3746" i="3"/>
  <c r="P2712" i="3"/>
  <c r="Q2712" i="3"/>
  <c r="P2988" i="3"/>
  <c r="Q2988" i="3"/>
  <c r="P3275" i="3"/>
  <c r="Q3275" i="3"/>
  <c r="P3596" i="3"/>
  <c r="Q3596" i="3"/>
  <c r="P3908" i="3"/>
  <c r="Q3908" i="3"/>
  <c r="P4048" i="3"/>
  <c r="Q4048" i="3"/>
  <c r="P3461" i="3"/>
  <c r="Q3461" i="3"/>
  <c r="P3775" i="3"/>
  <c r="Q3775" i="3"/>
  <c r="P3521" i="3"/>
  <c r="Q3521" i="3"/>
  <c r="P3854" i="3"/>
  <c r="Q3854" i="3"/>
  <c r="P3620" i="3"/>
  <c r="Q3620" i="3"/>
  <c r="P3934" i="3"/>
  <c r="Q3934" i="3"/>
  <c r="P4034" i="3"/>
  <c r="Q4034" i="3"/>
  <c r="P2656" i="3"/>
  <c r="Q2656" i="3"/>
  <c r="P2962" i="3"/>
  <c r="Q2962" i="3"/>
  <c r="P3249" i="3"/>
  <c r="Q3249" i="3"/>
  <c r="P3566" i="3"/>
  <c r="Q3566" i="3"/>
  <c r="P3880" i="3"/>
  <c r="Q3880" i="3"/>
  <c r="P3627" i="3"/>
  <c r="Q3627" i="3"/>
  <c r="P3939" i="3"/>
  <c r="Q3939" i="3"/>
  <c r="P3685" i="3"/>
  <c r="Q3685" i="3"/>
  <c r="P4000" i="3"/>
  <c r="Q4000" i="3"/>
  <c r="P3984" i="3"/>
  <c r="Q3984" i="3"/>
  <c r="P3985" i="3"/>
  <c r="Q3985" i="3"/>
  <c r="P3405" i="3"/>
  <c r="Q3405" i="3"/>
  <c r="P3712" i="3"/>
  <c r="Q3712" i="3"/>
  <c r="P4026" i="3"/>
  <c r="Q4026" i="3"/>
  <c r="P2961" i="3"/>
  <c r="Q2961" i="3"/>
  <c r="P3210" i="3"/>
  <c r="Q3210" i="3"/>
  <c r="P3480" i="3"/>
  <c r="Q3480" i="3"/>
  <c r="P3734" i="3"/>
  <c r="Q3734" i="3"/>
  <c r="P3989" i="3"/>
  <c r="Q3989" i="3"/>
  <c r="P3348" i="3"/>
  <c r="Q3348" i="3"/>
  <c r="P3640" i="3"/>
  <c r="Q3640" i="3"/>
  <c r="P3894" i="3"/>
  <c r="Q3894" i="3"/>
  <c r="P4090" i="3"/>
  <c r="Q4090" i="3"/>
  <c r="P3016" i="3"/>
  <c r="Q3016" i="3"/>
  <c r="P3263" i="3"/>
  <c r="Q3263" i="3"/>
  <c r="P3503" i="3"/>
  <c r="Q3503" i="3"/>
  <c r="P3758" i="3"/>
  <c r="Q3758" i="3"/>
  <c r="P4013" i="3"/>
  <c r="Q4013" i="3"/>
  <c r="P643" i="3"/>
  <c r="Q643" i="3"/>
  <c r="P41" i="3"/>
  <c r="Q41" i="3"/>
  <c r="P250" i="3"/>
  <c r="Q250" i="3"/>
  <c r="P1528" i="3"/>
  <c r="Q1528" i="3"/>
  <c r="P1079" i="3"/>
  <c r="Q1079" i="3"/>
  <c r="P1418" i="3"/>
  <c r="Q1418" i="3"/>
  <c r="P1686" i="3"/>
  <c r="Q1686" i="3"/>
  <c r="P739" i="3"/>
  <c r="Q739" i="3"/>
  <c r="P2457" i="3"/>
  <c r="Q2457" i="3"/>
  <c r="P1904" i="3"/>
  <c r="Q1904" i="3"/>
  <c r="P2285" i="3"/>
  <c r="Q2285" i="3"/>
  <c r="P1612" i="3"/>
  <c r="Q1612" i="3"/>
  <c r="P2472" i="3"/>
  <c r="Q2472" i="3"/>
  <c r="P3759" i="3"/>
  <c r="Q3759" i="3"/>
  <c r="P3817" i="3"/>
  <c r="Q3817" i="3"/>
  <c r="P3537" i="3"/>
  <c r="Q3537" i="3"/>
  <c r="P3193" i="3"/>
  <c r="Q3193" i="3"/>
  <c r="P4042" i="3"/>
  <c r="Q4042" i="3"/>
  <c r="P3351" i="3"/>
  <c r="Q3351" i="3"/>
  <c r="P3967" i="3"/>
  <c r="Q3967" i="3"/>
  <c r="P3301" i="3"/>
  <c r="Q3301" i="3"/>
  <c r="P112" i="3"/>
  <c r="Q112" i="3"/>
  <c r="P1177" i="3"/>
  <c r="Q1177" i="3"/>
  <c r="P118" i="3"/>
  <c r="Q118" i="3"/>
  <c r="P1205" i="3"/>
  <c r="Q1205" i="3"/>
  <c r="P245" i="3"/>
  <c r="Q245" i="3"/>
  <c r="P102" i="3"/>
  <c r="Q102" i="3"/>
  <c r="P1223" i="3"/>
  <c r="Q1223" i="3"/>
  <c r="P265" i="3"/>
  <c r="Q265" i="3"/>
  <c r="P141" i="3"/>
  <c r="Q141" i="3"/>
  <c r="P1380" i="3"/>
  <c r="Q1380" i="3"/>
  <c r="P268" i="3"/>
  <c r="Q268" i="3"/>
  <c r="P106" i="3"/>
  <c r="Q106" i="3"/>
  <c r="P1114" i="3"/>
  <c r="Q1114" i="3"/>
  <c r="P236" i="3"/>
  <c r="Q236" i="3"/>
  <c r="P60" i="3"/>
  <c r="Q60" i="3"/>
  <c r="P314" i="3"/>
  <c r="Q314" i="3"/>
  <c r="P566" i="3"/>
  <c r="Q566" i="3"/>
  <c r="P829" i="3"/>
  <c r="Q829" i="3"/>
  <c r="P1126" i="3"/>
  <c r="Q1126" i="3"/>
  <c r="P1408" i="3"/>
  <c r="Q1408" i="3"/>
  <c r="P2522" i="3"/>
  <c r="Q2522" i="3"/>
  <c r="P523" i="3"/>
  <c r="Q523" i="3"/>
  <c r="P780" i="3"/>
  <c r="Q780" i="3"/>
  <c r="P1074" i="3"/>
  <c r="Q1074" i="3"/>
  <c r="P1359" i="3"/>
  <c r="Q1359" i="3"/>
  <c r="P2246" i="3"/>
  <c r="Q2246" i="3"/>
  <c r="P476" i="3"/>
  <c r="Q476" i="3"/>
  <c r="P729" i="3"/>
  <c r="Q729" i="3"/>
  <c r="P1004" i="3"/>
  <c r="Q1004" i="3"/>
  <c r="P1290" i="3"/>
  <c r="Q1290" i="3"/>
  <c r="P1715" i="3"/>
  <c r="Q1715" i="3"/>
  <c r="P413" i="3"/>
  <c r="Q413" i="3"/>
  <c r="P664" i="3"/>
  <c r="Q664" i="3"/>
  <c r="P952" i="3"/>
  <c r="Q952" i="3"/>
  <c r="P1273" i="3"/>
  <c r="Q1273" i="3"/>
  <c r="P1717" i="3"/>
  <c r="Q1717" i="3"/>
  <c r="P398" i="3"/>
  <c r="Q398" i="3"/>
  <c r="P665" i="3"/>
  <c r="Q665" i="3"/>
  <c r="P936" i="3"/>
  <c r="Q936" i="3"/>
  <c r="P1221" i="3"/>
  <c r="Q1221" i="3"/>
  <c r="P1530" i="3"/>
  <c r="Q1530" i="3"/>
  <c r="P81" i="3"/>
  <c r="Q81" i="3"/>
  <c r="P335" i="3"/>
  <c r="Q335" i="3"/>
  <c r="P587" i="3"/>
  <c r="Q587" i="3"/>
  <c r="P869" i="3"/>
  <c r="Q869" i="3"/>
  <c r="P1149" i="3"/>
  <c r="Q1149" i="3"/>
  <c r="P1432" i="3"/>
  <c r="Q1432" i="3"/>
  <c r="P2731" i="3"/>
  <c r="Q2731" i="3"/>
  <c r="P385" i="3"/>
  <c r="Q385" i="3"/>
  <c r="P652" i="3"/>
  <c r="Q652" i="3"/>
  <c r="P940" i="3"/>
  <c r="Q940" i="3"/>
  <c r="P1242" i="3"/>
  <c r="Q1242" i="3"/>
  <c r="P1613" i="3"/>
  <c r="Q1613" i="3"/>
  <c r="P370" i="3"/>
  <c r="Q370" i="3"/>
  <c r="P621" i="3"/>
  <c r="Q621" i="3"/>
  <c r="P906" i="3"/>
  <c r="Q906" i="3"/>
  <c r="P1189" i="3"/>
  <c r="Q1189" i="3"/>
  <c r="P1536" i="3"/>
  <c r="Q1536" i="3"/>
  <c r="P339" i="3"/>
  <c r="Q339" i="3"/>
  <c r="P591" i="3"/>
  <c r="Q591" i="3"/>
  <c r="P855" i="3"/>
  <c r="Q855" i="3"/>
  <c r="P1154" i="3"/>
  <c r="Q1154" i="3"/>
  <c r="P1453" i="3"/>
  <c r="Q1453" i="3"/>
  <c r="P308" i="3"/>
  <c r="Q308" i="3"/>
  <c r="P561" i="3"/>
  <c r="Q561" i="3"/>
  <c r="P823" i="3"/>
  <c r="Q823" i="3"/>
  <c r="P1119" i="3"/>
  <c r="Q1119" i="3"/>
  <c r="P1420" i="3"/>
  <c r="Q1420" i="3"/>
  <c r="P2620" i="3"/>
  <c r="Q2620" i="3"/>
  <c r="P517" i="3"/>
  <c r="Q517" i="3"/>
  <c r="P773" i="3"/>
  <c r="Q773" i="3"/>
  <c r="P1049" i="3"/>
  <c r="Q1049" i="3"/>
  <c r="P1334" i="3"/>
  <c r="Q1334" i="3"/>
  <c r="P2060" i="3"/>
  <c r="Q2060" i="3"/>
  <c r="P454" i="3"/>
  <c r="Q454" i="3"/>
  <c r="P721" i="3"/>
  <c r="Q721" i="3"/>
  <c r="P997" i="3"/>
  <c r="Q997" i="3"/>
  <c r="P1302" i="3"/>
  <c r="Q1302" i="3"/>
  <c r="P1750" i="3"/>
  <c r="Q1750" i="3"/>
  <c r="P407" i="3"/>
  <c r="Q407" i="3"/>
  <c r="P674" i="3"/>
  <c r="Q674" i="3"/>
  <c r="P946" i="3"/>
  <c r="Q946" i="3"/>
  <c r="P1231" i="3"/>
  <c r="Q1231" i="3"/>
  <c r="P1584" i="3"/>
  <c r="Q1584" i="3"/>
  <c r="P2082" i="3"/>
  <c r="Q2082" i="3"/>
  <c r="P457" i="3"/>
  <c r="Q457" i="3"/>
  <c r="P708" i="3"/>
  <c r="Q708" i="3"/>
  <c r="P983" i="3"/>
  <c r="Q983" i="3"/>
  <c r="P1269" i="3"/>
  <c r="Q1269" i="3"/>
  <c r="P1638" i="3"/>
  <c r="Q1638" i="3"/>
  <c r="P799" i="3"/>
  <c r="Q799" i="3"/>
  <c r="P1056" i="3"/>
  <c r="Q1056" i="3"/>
  <c r="P1308" i="3"/>
  <c r="Q1308" i="3"/>
  <c r="P1553" i="3"/>
  <c r="Q1553" i="3"/>
  <c r="P1805" i="3"/>
  <c r="Q1805" i="3"/>
  <c r="P2055" i="3"/>
  <c r="Q2055" i="3"/>
  <c r="P2330" i="3"/>
  <c r="Q2330" i="3"/>
  <c r="P2622" i="3"/>
  <c r="Q2622" i="3"/>
  <c r="P1475" i="3"/>
  <c r="Q1475" i="3"/>
  <c r="P1742" i="3"/>
  <c r="Q1742" i="3"/>
  <c r="P1992" i="3"/>
  <c r="Q1992" i="3"/>
  <c r="P2294" i="3"/>
  <c r="Q2294" i="3"/>
  <c r="P2584" i="3"/>
  <c r="Q2584" i="3"/>
  <c r="P3182" i="3"/>
  <c r="Q3182" i="3"/>
  <c r="P1711" i="3"/>
  <c r="Q1711" i="3"/>
  <c r="P1963" i="3"/>
  <c r="Q1963" i="3"/>
  <c r="P2224" i="3"/>
  <c r="Q2224" i="3"/>
  <c r="P2527" i="3"/>
  <c r="Q2527" i="3"/>
  <c r="P2884" i="3"/>
  <c r="Q2884" i="3"/>
  <c r="P1681" i="3"/>
  <c r="Q1681" i="3"/>
  <c r="P1934" i="3"/>
  <c r="Q1934" i="3"/>
  <c r="P2243" i="3"/>
  <c r="Q2243" i="3"/>
  <c r="P2528" i="3"/>
  <c r="Q2528" i="3"/>
  <c r="P2864" i="3"/>
  <c r="Q2864" i="3"/>
  <c r="P1682" i="3"/>
  <c r="Q1682" i="3"/>
  <c r="P1935" i="3"/>
  <c r="Q1935" i="3"/>
  <c r="P2190" i="3"/>
  <c r="Q2190" i="3"/>
  <c r="P2495" i="3"/>
  <c r="Q2495" i="3"/>
  <c r="P2818" i="3"/>
  <c r="Q2818" i="3"/>
  <c r="P938" i="3"/>
  <c r="Q938" i="3"/>
  <c r="P1202" i="3"/>
  <c r="Q1202" i="3"/>
  <c r="P1463" i="3"/>
  <c r="Q1463" i="3"/>
  <c r="P1714" i="3"/>
  <c r="Q1714" i="3"/>
  <c r="P1981" i="3"/>
  <c r="Q1981" i="3"/>
  <c r="P2262" i="3"/>
  <c r="Q2262" i="3"/>
  <c r="P2549" i="3"/>
  <c r="Q2549" i="3"/>
  <c r="P3061" i="3"/>
  <c r="Q3061" i="3"/>
  <c r="P1748" i="3"/>
  <c r="Q1748" i="3"/>
  <c r="P2014" i="3"/>
  <c r="Q2014" i="3"/>
  <c r="P2301" i="3"/>
  <c r="Q2301" i="3"/>
  <c r="P2610" i="3"/>
  <c r="Q2610" i="3"/>
  <c r="P1876" i="3"/>
  <c r="Q1876" i="3"/>
  <c r="P2123" i="3"/>
  <c r="Q2123" i="3"/>
  <c r="P2412" i="3"/>
  <c r="Q2412" i="3"/>
  <c r="P2713" i="3"/>
  <c r="Q2713" i="3"/>
  <c r="P1829" i="3"/>
  <c r="Q1829" i="3"/>
  <c r="P2077" i="3"/>
  <c r="Q2077" i="3"/>
  <c r="P2358" i="3"/>
  <c r="Q2358" i="3"/>
  <c r="P2673" i="3"/>
  <c r="Q2673" i="3"/>
  <c r="P1516" i="3"/>
  <c r="Q1516" i="3"/>
  <c r="P1767" i="3"/>
  <c r="Q1767" i="3"/>
  <c r="P2017" i="3"/>
  <c r="Q2017" i="3"/>
  <c r="P2304" i="3"/>
  <c r="Q2304" i="3"/>
  <c r="P2594" i="3"/>
  <c r="Q2594" i="3"/>
  <c r="P3112" i="3"/>
  <c r="Q3112" i="3"/>
  <c r="P1704" i="3"/>
  <c r="Q1704" i="3"/>
  <c r="P1971" i="3"/>
  <c r="Q1971" i="3"/>
  <c r="P2235" i="3"/>
  <c r="Q2235" i="3"/>
  <c r="P2537" i="3"/>
  <c r="Q2537" i="3"/>
  <c r="P2903" i="3"/>
  <c r="Q2903" i="3"/>
  <c r="P1674" i="3"/>
  <c r="Q1674" i="3"/>
  <c r="P1927" i="3"/>
  <c r="Q1927" i="3"/>
  <c r="P2218" i="3"/>
  <c r="Q2218" i="3"/>
  <c r="P2520" i="3"/>
  <c r="Q2520" i="3"/>
  <c r="P2853" i="3"/>
  <c r="Q2853" i="3"/>
  <c r="P1802" i="3"/>
  <c r="Q1802" i="3"/>
  <c r="P2052" i="3"/>
  <c r="Q2052" i="3"/>
  <c r="P2326" i="3"/>
  <c r="Q2326" i="3"/>
  <c r="P2618" i="3"/>
  <c r="Q2618" i="3"/>
  <c r="P3326" i="3"/>
  <c r="Q3326" i="3"/>
  <c r="P1740" i="3"/>
  <c r="Q1740" i="3"/>
  <c r="P1990" i="3"/>
  <c r="Q1990" i="3"/>
  <c r="P2256" i="3"/>
  <c r="Q2256" i="3"/>
  <c r="P2541" i="3"/>
  <c r="Q2541" i="3"/>
  <c r="P2880" i="3"/>
  <c r="Q2880" i="3"/>
  <c r="P2290" i="3"/>
  <c r="Q2290" i="3"/>
  <c r="P2540" i="3"/>
  <c r="Q2540" i="3"/>
  <c r="P2832" i="3"/>
  <c r="Q2832" i="3"/>
  <c r="P3154" i="3"/>
  <c r="Q3154" i="3"/>
  <c r="P3552" i="3"/>
  <c r="Q3552" i="3"/>
  <c r="P3054" i="3"/>
  <c r="Q3054" i="3"/>
  <c r="P3418" i="3"/>
  <c r="Q3418" i="3"/>
  <c r="P2915" i="3"/>
  <c r="Q2915" i="3"/>
  <c r="P3269" i="3"/>
  <c r="Q3269" i="3"/>
  <c r="P3749" i="3"/>
  <c r="Q3749" i="3"/>
  <c r="P3119" i="3"/>
  <c r="Q3119" i="3"/>
  <c r="P3522" i="3"/>
  <c r="Q3522" i="3"/>
  <c r="P3018" i="3"/>
  <c r="Q3018" i="3"/>
  <c r="P3375" i="3"/>
  <c r="Q3375" i="3"/>
  <c r="P3937" i="3"/>
  <c r="Q3937" i="3"/>
  <c r="P2359" i="3"/>
  <c r="Q2359" i="3"/>
  <c r="P2632" i="3"/>
  <c r="Q2632" i="3"/>
  <c r="P2937" i="3"/>
  <c r="Q2937" i="3"/>
  <c r="P3273" i="3"/>
  <c r="Q3273" i="3"/>
  <c r="P3760" i="3"/>
  <c r="Q3760" i="3"/>
  <c r="P3761" i="3"/>
  <c r="Q3761" i="3"/>
  <c r="P3145" i="3"/>
  <c r="Q3145" i="3"/>
  <c r="P3570" i="3"/>
  <c r="Q3570" i="3"/>
  <c r="P3044" i="3"/>
  <c r="Q3044" i="3"/>
  <c r="P3453" i="3"/>
  <c r="Q3453" i="3"/>
  <c r="P2963" i="3"/>
  <c r="Q2963" i="3"/>
  <c r="P3306" i="3"/>
  <c r="Q3306" i="3"/>
  <c r="P3811" i="3"/>
  <c r="Q3811" i="3"/>
  <c r="P3408" i="3"/>
  <c r="Q3408" i="3"/>
  <c r="P2906" i="3"/>
  <c r="Q2906" i="3"/>
  <c r="P3235" i="3"/>
  <c r="Q3235" i="3"/>
  <c r="P3733" i="3"/>
  <c r="Q3733" i="3"/>
  <c r="P3109" i="3"/>
  <c r="Q3109" i="3"/>
  <c r="P3542" i="3"/>
  <c r="Q3542" i="3"/>
  <c r="P3009" i="3"/>
  <c r="Q3009" i="3"/>
  <c r="P3387" i="3"/>
  <c r="Q3387" i="3"/>
  <c r="P3964" i="3"/>
  <c r="Q3964" i="3"/>
  <c r="P3975" i="3"/>
  <c r="Q3975" i="3"/>
  <c r="P3289" i="3"/>
  <c r="Q3289" i="3"/>
  <c r="P3786" i="3"/>
  <c r="Q3786" i="3"/>
  <c r="P2728" i="3"/>
  <c r="Q2728" i="3"/>
  <c r="P3006" i="3"/>
  <c r="Q3006" i="3"/>
  <c r="P3294" i="3"/>
  <c r="Q3294" i="3"/>
  <c r="P3616" i="3"/>
  <c r="Q3616" i="3"/>
  <c r="P3929" i="3"/>
  <c r="Q3929" i="3"/>
  <c r="P4067" i="3"/>
  <c r="Q4067" i="3"/>
  <c r="P3482" i="3"/>
  <c r="Q3482" i="3"/>
  <c r="P3794" i="3"/>
  <c r="Q3794" i="3"/>
  <c r="P3540" i="3"/>
  <c r="Q3540" i="3"/>
  <c r="P3873" i="3"/>
  <c r="Q3873" i="3"/>
  <c r="P3641" i="3"/>
  <c r="Q3641" i="3"/>
  <c r="P3953" i="3"/>
  <c r="Q3953" i="3"/>
  <c r="P4055" i="3"/>
  <c r="Q4055" i="3"/>
  <c r="P2672" i="3"/>
  <c r="Q2672" i="3"/>
  <c r="P2980" i="3"/>
  <c r="Q2980" i="3"/>
  <c r="P3266" i="3"/>
  <c r="Q3266" i="3"/>
  <c r="P3586" i="3"/>
  <c r="Q3586" i="3"/>
  <c r="P3899" i="3"/>
  <c r="Q3899" i="3"/>
  <c r="P3646" i="3"/>
  <c r="Q3646" i="3"/>
  <c r="P3960" i="3"/>
  <c r="Q3960" i="3"/>
  <c r="P3706" i="3"/>
  <c r="Q3706" i="3"/>
  <c r="P4019" i="3"/>
  <c r="Q4019" i="3"/>
  <c r="P4003" i="3"/>
  <c r="Q4003" i="3"/>
  <c r="P4004" i="3"/>
  <c r="Q4004" i="3"/>
  <c r="P3425" i="3"/>
  <c r="Q3425" i="3"/>
  <c r="P3731" i="3"/>
  <c r="Q3731" i="3"/>
  <c r="P4046" i="3"/>
  <c r="Q4046" i="3"/>
  <c r="P2977" i="3"/>
  <c r="Q2977" i="3"/>
  <c r="P3225" i="3"/>
  <c r="Q3225" i="3"/>
  <c r="P3495" i="3"/>
  <c r="Q3495" i="3"/>
  <c r="P3750" i="3"/>
  <c r="Q3750" i="3"/>
  <c r="P4005" i="3"/>
  <c r="Q4005" i="3"/>
  <c r="P3363" i="3"/>
  <c r="Q3363" i="3"/>
  <c r="P3656" i="3"/>
  <c r="Q3656" i="3"/>
  <c r="P3910" i="3"/>
  <c r="Q3910" i="3"/>
  <c r="P4091" i="3"/>
  <c r="Q4091" i="3"/>
  <c r="P3032" i="3"/>
  <c r="Q3032" i="3"/>
  <c r="P3277" i="3"/>
  <c r="Q3277" i="3"/>
  <c r="P3519" i="3"/>
  <c r="Q3519" i="3"/>
  <c r="P3774" i="3"/>
  <c r="Q3774" i="3"/>
  <c r="P4029" i="3"/>
  <c r="Q4029" i="3"/>
  <c r="P189" i="3"/>
  <c r="Q189" i="3"/>
  <c r="P183" i="3"/>
  <c r="Q183" i="3"/>
  <c r="P667" i="3"/>
  <c r="Q667" i="3"/>
  <c r="P1340" i="3"/>
  <c r="Q1340" i="3"/>
  <c r="P884" i="3"/>
  <c r="Q884" i="3"/>
  <c r="P321" i="3"/>
  <c r="Q321" i="3"/>
  <c r="P1031" i="3"/>
  <c r="Q1031" i="3"/>
  <c r="P877" i="3"/>
  <c r="Q877" i="3"/>
  <c r="P2257" i="3"/>
  <c r="Q2257" i="3"/>
  <c r="P1619" i="3"/>
  <c r="Q1619" i="3"/>
  <c r="P1651" i="3"/>
  <c r="Q1651" i="3"/>
  <c r="P2016" i="3"/>
  <c r="Q2016" i="3"/>
  <c r="P1988" i="3"/>
  <c r="Q1988" i="3"/>
  <c r="P3836" i="3"/>
  <c r="Q3836" i="3"/>
  <c r="P2960" i="3"/>
  <c r="Q2960" i="3"/>
  <c r="P3779" i="3"/>
  <c r="Q3779" i="3"/>
  <c r="P4030" i="3"/>
  <c r="Q4030" i="3"/>
  <c r="P3568" i="3"/>
  <c r="Q3568" i="3"/>
  <c r="P2917" i="3"/>
  <c r="Q2917" i="3"/>
  <c r="P456" i="3"/>
  <c r="Q456" i="3"/>
  <c r="P260" i="3"/>
  <c r="Q260" i="3"/>
  <c r="P1406" i="3"/>
  <c r="Q1406" i="3"/>
  <c r="P1124" i="3"/>
  <c r="Q1124" i="3"/>
  <c r="P93" i="3"/>
  <c r="Q93" i="3"/>
  <c r="P344" i="3"/>
  <c r="Q344" i="3"/>
  <c r="P274" i="3"/>
  <c r="Q274" i="3"/>
  <c r="P131" i="3"/>
  <c r="Q131" i="3"/>
  <c r="P4" i="3"/>
  <c r="Q4" i="3"/>
  <c r="P368" i="3"/>
  <c r="Q368" i="3"/>
  <c r="P133" i="3"/>
  <c r="Q133" i="3"/>
  <c r="P1321" i="3"/>
  <c r="Q1321" i="3"/>
  <c r="P279" i="3"/>
  <c r="Q279" i="3"/>
  <c r="P136" i="3"/>
  <c r="Q136" i="3"/>
  <c r="P1347" i="3"/>
  <c r="Q1347" i="3"/>
  <c r="P263" i="3"/>
  <c r="Q263" i="3"/>
  <c r="P120" i="3"/>
  <c r="Q120" i="3"/>
  <c r="P1364" i="3"/>
  <c r="Q1364" i="3"/>
  <c r="P296" i="3"/>
  <c r="Q296" i="3"/>
  <c r="P159" i="3"/>
  <c r="Q159" i="3"/>
  <c r="P1568" i="3"/>
  <c r="Q1568" i="3"/>
  <c r="P312" i="3"/>
  <c r="Q312" i="3"/>
  <c r="P125" i="3"/>
  <c r="Q125" i="3"/>
  <c r="P1258" i="3"/>
  <c r="Q1258" i="3"/>
  <c r="P253" i="3"/>
  <c r="Q253" i="3"/>
  <c r="P76" i="3"/>
  <c r="Q76" i="3"/>
  <c r="P330" i="3"/>
  <c r="Q330" i="3"/>
  <c r="P582" i="3"/>
  <c r="Q582" i="3"/>
  <c r="P847" i="3"/>
  <c r="Q847" i="3"/>
  <c r="P1144" i="3"/>
  <c r="Q1144" i="3"/>
  <c r="P1426" i="3"/>
  <c r="Q1426" i="3"/>
  <c r="P2679" i="3"/>
  <c r="Q2679" i="3"/>
  <c r="P538" i="3"/>
  <c r="Q538" i="3"/>
  <c r="P813" i="3"/>
  <c r="Q813" i="3"/>
  <c r="P1092" i="3"/>
  <c r="Q1092" i="3"/>
  <c r="P1375" i="3"/>
  <c r="Q1375" i="3"/>
  <c r="P2392" i="3"/>
  <c r="Q2392" i="3"/>
  <c r="P492" i="3"/>
  <c r="Q492" i="3"/>
  <c r="P746" i="3"/>
  <c r="Q746" i="3"/>
  <c r="P1022" i="3"/>
  <c r="Q1022" i="3"/>
  <c r="P1309" i="3"/>
  <c r="Q1309" i="3"/>
  <c r="P1781" i="3"/>
  <c r="Q1781" i="3"/>
  <c r="P429" i="3"/>
  <c r="Q429" i="3"/>
  <c r="P680" i="3"/>
  <c r="Q680" i="3"/>
  <c r="P970" i="3"/>
  <c r="Q970" i="3"/>
  <c r="P1291" i="3"/>
  <c r="Q1291" i="3"/>
  <c r="P1787" i="3"/>
  <c r="Q1787" i="3"/>
  <c r="P414" i="3"/>
  <c r="Q414" i="3"/>
  <c r="P681" i="3"/>
  <c r="Q681" i="3"/>
  <c r="P954" i="3"/>
  <c r="Q954" i="3"/>
  <c r="P1239" i="3"/>
  <c r="Q1239" i="3"/>
  <c r="P1566" i="3"/>
  <c r="Q1566" i="3"/>
  <c r="P97" i="3"/>
  <c r="Q97" i="3"/>
  <c r="P351" i="3"/>
  <c r="Q351" i="3"/>
  <c r="P603" i="3"/>
  <c r="Q603" i="3"/>
  <c r="P886" i="3"/>
  <c r="Q886" i="3"/>
  <c r="P1168" i="3"/>
  <c r="Q1168" i="3"/>
  <c r="P1449" i="3"/>
  <c r="Q1449" i="3"/>
  <c r="P1731" i="3"/>
  <c r="Q1731" i="3"/>
  <c r="P401" i="3"/>
  <c r="Q401" i="3"/>
  <c r="P668" i="3"/>
  <c r="Q668" i="3"/>
  <c r="P974" i="3"/>
  <c r="Q974" i="3"/>
  <c r="P1259" i="3"/>
  <c r="Q1259" i="3"/>
  <c r="P1670" i="3"/>
  <c r="Q1670" i="3"/>
  <c r="P386" i="3"/>
  <c r="Q386" i="3"/>
  <c r="P637" i="3"/>
  <c r="Q637" i="3"/>
  <c r="P923" i="3"/>
  <c r="Q923" i="3"/>
  <c r="P1207" i="3"/>
  <c r="Q1207" i="3"/>
  <c r="P1576" i="3"/>
  <c r="Q1576" i="3"/>
  <c r="P355" i="3"/>
  <c r="Q355" i="3"/>
  <c r="P607" i="3"/>
  <c r="Q607" i="3"/>
  <c r="P872" i="3"/>
  <c r="Q872" i="3"/>
  <c r="P1173" i="3"/>
  <c r="Q1173" i="3"/>
  <c r="P1471" i="3"/>
  <c r="Q1471" i="3"/>
  <c r="P324" i="3"/>
  <c r="Q324" i="3"/>
  <c r="P576" i="3"/>
  <c r="Q576" i="3"/>
  <c r="P840" i="3"/>
  <c r="Q840" i="3"/>
  <c r="P1137" i="3"/>
  <c r="Q1137" i="3"/>
  <c r="P1437" i="3"/>
  <c r="Q1437" i="3"/>
  <c r="P2784" i="3"/>
  <c r="Q2784" i="3"/>
  <c r="P533" i="3"/>
  <c r="Q533" i="3"/>
  <c r="P792" i="3"/>
  <c r="Q792" i="3"/>
  <c r="P1067" i="3"/>
  <c r="Q1067" i="3"/>
  <c r="P1352" i="3"/>
  <c r="Q1352" i="3"/>
  <c r="P2192" i="3"/>
  <c r="Q2192" i="3"/>
  <c r="P470" i="3"/>
  <c r="Q470" i="3"/>
  <c r="P740" i="3"/>
  <c r="Q740" i="3"/>
  <c r="P1016" i="3"/>
  <c r="Q1016" i="3"/>
  <c r="P1320" i="3"/>
  <c r="Q1320" i="3"/>
  <c r="P1834" i="3"/>
  <c r="Q1834" i="3"/>
  <c r="P423" i="3"/>
  <c r="Q423" i="3"/>
  <c r="P690" i="3"/>
  <c r="Q690" i="3"/>
  <c r="P962" i="3"/>
  <c r="Q962" i="3"/>
  <c r="P1248" i="3"/>
  <c r="Q1248" i="3"/>
  <c r="P1629" i="3"/>
  <c r="Q1629" i="3"/>
  <c r="P2220" i="3"/>
  <c r="Q2220" i="3"/>
  <c r="P473" i="3"/>
  <c r="Q473" i="3"/>
  <c r="P725" i="3"/>
  <c r="Q725" i="3"/>
  <c r="P1001" i="3"/>
  <c r="Q1001" i="3"/>
  <c r="P1287" i="3"/>
  <c r="Q1287" i="3"/>
  <c r="P1701" i="3"/>
  <c r="Q1701" i="3"/>
  <c r="P814" i="3"/>
  <c r="Q814" i="3"/>
  <c r="P1072" i="3"/>
  <c r="Q1072" i="3"/>
  <c r="P1323" i="3"/>
  <c r="Q1323" i="3"/>
  <c r="P1569" i="3"/>
  <c r="Q1569" i="3"/>
  <c r="P1820" i="3"/>
  <c r="Q1820" i="3"/>
  <c r="P2069" i="3"/>
  <c r="Q2069" i="3"/>
  <c r="P2348" i="3"/>
  <c r="Q2348" i="3"/>
  <c r="P2641" i="3"/>
  <c r="Q2641" i="3"/>
  <c r="P1491" i="3"/>
  <c r="Q1491" i="3"/>
  <c r="P1758" i="3"/>
  <c r="Q1758" i="3"/>
  <c r="P2008" i="3"/>
  <c r="Q2008" i="3"/>
  <c r="P2313" i="3"/>
  <c r="Q2313" i="3"/>
  <c r="P2602" i="3"/>
  <c r="Q2602" i="3"/>
  <c r="P1476" i="3"/>
  <c r="Q1476" i="3"/>
  <c r="P1727" i="3"/>
  <c r="Q1727" i="3"/>
  <c r="P1978" i="3"/>
  <c r="Q1978" i="3"/>
  <c r="P2242" i="3"/>
  <c r="Q2242" i="3"/>
  <c r="P2546" i="3"/>
  <c r="Q2546" i="3"/>
  <c r="P3041" i="3"/>
  <c r="Q3041" i="3"/>
  <c r="P1696" i="3"/>
  <c r="Q1696" i="3"/>
  <c r="P1979" i="3"/>
  <c r="Q1979" i="3"/>
  <c r="P2261" i="3"/>
  <c r="Q2261" i="3"/>
  <c r="P2547" i="3"/>
  <c r="Q2547" i="3"/>
  <c r="P2886" i="3"/>
  <c r="Q2886" i="3"/>
  <c r="P1697" i="3"/>
  <c r="Q1697" i="3"/>
  <c r="P1950" i="3"/>
  <c r="Q1950" i="3"/>
  <c r="P2208" i="3"/>
  <c r="Q2208" i="3"/>
  <c r="P2512" i="3"/>
  <c r="Q2512" i="3"/>
  <c r="P2842" i="3"/>
  <c r="Q2842" i="3"/>
  <c r="P953" i="3"/>
  <c r="Q953" i="3"/>
  <c r="P1218" i="3"/>
  <c r="Q1218" i="3"/>
  <c r="P1479" i="3"/>
  <c r="Q1479" i="3"/>
  <c r="P1730" i="3"/>
  <c r="Q1730" i="3"/>
  <c r="P1996" i="3"/>
  <c r="Q1996" i="3"/>
  <c r="P2281" i="3"/>
  <c r="Q2281" i="3"/>
  <c r="P2588" i="3"/>
  <c r="Q2588" i="3"/>
  <c r="P3228" i="3"/>
  <c r="Q3228" i="3"/>
  <c r="P1764" i="3"/>
  <c r="Q1764" i="3"/>
  <c r="P2030" i="3"/>
  <c r="Q2030" i="3"/>
  <c r="P2319" i="3"/>
  <c r="Q2319" i="3"/>
  <c r="P2631" i="3"/>
  <c r="Q2631" i="3"/>
  <c r="P1891" i="3"/>
  <c r="Q1891" i="3"/>
  <c r="P2140" i="3"/>
  <c r="Q2140" i="3"/>
  <c r="P2429" i="3"/>
  <c r="Q2429" i="3"/>
  <c r="P2734" i="3"/>
  <c r="Q2734" i="3"/>
  <c r="P1845" i="3"/>
  <c r="Q1845" i="3"/>
  <c r="P2092" i="3"/>
  <c r="Q2092" i="3"/>
  <c r="P2377" i="3"/>
  <c r="Q2377" i="3"/>
  <c r="P2693" i="3"/>
  <c r="Q2693" i="3"/>
  <c r="P1532" i="3"/>
  <c r="Q1532" i="3"/>
  <c r="P1783" i="3"/>
  <c r="Q1783" i="3"/>
  <c r="P2033" i="3"/>
  <c r="Q2033" i="3"/>
  <c r="P2323" i="3"/>
  <c r="Q2323" i="3"/>
  <c r="P2615" i="3"/>
  <c r="Q2615" i="3"/>
  <c r="P3288" i="3"/>
  <c r="Q3288" i="3"/>
  <c r="P1720" i="3"/>
  <c r="Q1720" i="3"/>
  <c r="P1986" i="3"/>
  <c r="Q1986" i="3"/>
  <c r="P2252" i="3"/>
  <c r="Q2252" i="3"/>
  <c r="P2556" i="3"/>
  <c r="Q2556" i="3"/>
  <c r="P2989" i="3"/>
  <c r="Q2989" i="3"/>
  <c r="P1690" i="3"/>
  <c r="Q1690" i="3"/>
  <c r="P1943" i="3"/>
  <c r="Q1943" i="3"/>
  <c r="P2236" i="3"/>
  <c r="Q2236" i="3"/>
  <c r="P2538" i="3"/>
  <c r="Q2538" i="3"/>
  <c r="P2876" i="3"/>
  <c r="Q2876" i="3"/>
  <c r="P1817" i="3"/>
  <c r="Q1817" i="3"/>
  <c r="P2066" i="3"/>
  <c r="Q2066" i="3"/>
  <c r="P2345" i="3"/>
  <c r="Q2345" i="3"/>
  <c r="P2638" i="3"/>
  <c r="Q2638" i="3"/>
  <c r="P2856" i="3"/>
  <c r="Q2856" i="3"/>
  <c r="P1756" i="3"/>
  <c r="Q1756" i="3"/>
  <c r="P2006" i="3"/>
  <c r="Q2006" i="3"/>
  <c r="P2273" i="3"/>
  <c r="Q2273" i="3"/>
  <c r="P2562" i="3"/>
  <c r="Q2562" i="3"/>
  <c r="P2914" i="3"/>
  <c r="Q2914" i="3"/>
  <c r="P2306" i="3"/>
  <c r="Q2306" i="3"/>
  <c r="P2557" i="3"/>
  <c r="Q2557" i="3"/>
  <c r="P2852" i="3"/>
  <c r="Q2852" i="3"/>
  <c r="P3175" i="3"/>
  <c r="Q3175" i="3"/>
  <c r="P3590" i="3"/>
  <c r="Q3590" i="3"/>
  <c r="P3074" i="3"/>
  <c r="Q3074" i="3"/>
  <c r="P3441" i="3"/>
  <c r="Q3441" i="3"/>
  <c r="P2933" i="3"/>
  <c r="Q2933" i="3"/>
  <c r="P3295" i="3"/>
  <c r="Q3295" i="3"/>
  <c r="P3793" i="3"/>
  <c r="Q3793" i="3"/>
  <c r="P3139" i="3"/>
  <c r="Q3139" i="3"/>
  <c r="P3557" i="3"/>
  <c r="Q3557" i="3"/>
  <c r="P3038" i="3"/>
  <c r="Q3038" i="3"/>
  <c r="P3398" i="3"/>
  <c r="Q3398" i="3"/>
  <c r="P2122" i="3"/>
  <c r="Q2122" i="3"/>
  <c r="P2375" i="3"/>
  <c r="Q2375" i="3"/>
  <c r="P2648" i="3"/>
  <c r="Q2648" i="3"/>
  <c r="P2957" i="3"/>
  <c r="Q2957" i="3"/>
  <c r="P3299" i="3"/>
  <c r="Q3299" i="3"/>
  <c r="P3844" i="3"/>
  <c r="Q3844" i="3"/>
  <c r="P3804" i="3"/>
  <c r="Q3804" i="3"/>
  <c r="P3163" i="3"/>
  <c r="Q3163" i="3"/>
  <c r="P3610" i="3"/>
  <c r="Q3610" i="3"/>
  <c r="P3083" i="3"/>
  <c r="Q3083" i="3"/>
  <c r="P3475" i="3"/>
  <c r="Q3475" i="3"/>
  <c r="P2983" i="3"/>
  <c r="Q2983" i="3"/>
  <c r="P3329" i="3"/>
  <c r="Q3329" i="3"/>
  <c r="P3857" i="3"/>
  <c r="Q3857" i="3"/>
  <c r="P3433" i="3"/>
  <c r="Q3433" i="3"/>
  <c r="P2926" i="3"/>
  <c r="Q2926" i="3"/>
  <c r="P3261" i="3"/>
  <c r="Q3261" i="3"/>
  <c r="P3773" i="3"/>
  <c r="Q3773" i="3"/>
  <c r="P3130" i="3"/>
  <c r="Q3130" i="3"/>
  <c r="P3582" i="3"/>
  <c r="Q3582" i="3"/>
  <c r="P3029" i="3"/>
  <c r="Q3029" i="3"/>
  <c r="P3412" i="3"/>
  <c r="Q3412" i="3"/>
  <c r="P3365" i="3"/>
  <c r="Q3365" i="3"/>
  <c r="P2912" i="3"/>
  <c r="Q2912" i="3"/>
  <c r="P3317" i="3"/>
  <c r="Q3317" i="3"/>
  <c r="P3826" i="3"/>
  <c r="Q3826" i="3"/>
  <c r="P2744" i="3"/>
  <c r="Q2744" i="3"/>
  <c r="P3025" i="3"/>
  <c r="Q3025" i="3"/>
  <c r="P3312" i="3"/>
  <c r="Q3312" i="3"/>
  <c r="P3635" i="3"/>
  <c r="Q3635" i="3"/>
  <c r="P3948" i="3"/>
  <c r="Q3948" i="3"/>
  <c r="P3204" i="3"/>
  <c r="Q3204" i="3"/>
  <c r="P3500" i="3"/>
  <c r="Q3500" i="3"/>
  <c r="P3812" i="3"/>
  <c r="Q3812" i="3"/>
  <c r="P3561" i="3"/>
  <c r="Q3561" i="3"/>
  <c r="P3892" i="3"/>
  <c r="Q3892" i="3"/>
  <c r="P3659" i="3"/>
  <c r="Q3659" i="3"/>
  <c r="P3972" i="3"/>
  <c r="Q3972" i="3"/>
  <c r="P4074" i="3"/>
  <c r="Q4074" i="3"/>
  <c r="P2688" i="3"/>
  <c r="Q2688" i="3"/>
  <c r="P2997" i="3"/>
  <c r="Q2997" i="3"/>
  <c r="P3283" i="3"/>
  <c r="Q3283" i="3"/>
  <c r="P3605" i="3"/>
  <c r="Q3605" i="3"/>
  <c r="P3919" i="3"/>
  <c r="Q3919" i="3"/>
  <c r="P3665" i="3"/>
  <c r="Q3665" i="3"/>
  <c r="P3979" i="3"/>
  <c r="Q3979" i="3"/>
  <c r="P3725" i="3"/>
  <c r="Q3725" i="3"/>
  <c r="P4040" i="3"/>
  <c r="Q4040" i="3"/>
  <c r="P4024" i="3"/>
  <c r="Q4024" i="3"/>
  <c r="P4025" i="3"/>
  <c r="Q4025" i="3"/>
  <c r="P3442" i="3"/>
  <c r="Q3442" i="3"/>
  <c r="P3752" i="3"/>
  <c r="Q3752" i="3"/>
  <c r="P4065" i="3"/>
  <c r="Q4065" i="3"/>
  <c r="P2992" i="3"/>
  <c r="Q2992" i="3"/>
  <c r="P3241" i="3"/>
  <c r="Q3241" i="3"/>
  <c r="P3511" i="3"/>
  <c r="Q3511" i="3"/>
  <c r="P3766" i="3"/>
  <c r="Q3766" i="3"/>
  <c r="P4021" i="3"/>
  <c r="Q4021" i="3"/>
  <c r="P3379" i="3"/>
  <c r="Q3379" i="3"/>
  <c r="P3671" i="3"/>
  <c r="Q3671" i="3"/>
  <c r="P3926" i="3"/>
  <c r="Q3926" i="3"/>
  <c r="P4092" i="3"/>
  <c r="Q4092" i="3"/>
  <c r="P3048" i="3"/>
  <c r="Q3048" i="3"/>
  <c r="P3292" i="3"/>
  <c r="Q3292" i="3"/>
  <c r="P3535" i="3"/>
  <c r="Q3535" i="3"/>
  <c r="P3790" i="3"/>
  <c r="Q3790" i="3"/>
  <c r="P4045" i="3"/>
  <c r="Q4045" i="3"/>
  <c r="P74" i="3"/>
  <c r="Q74" i="3"/>
  <c r="P762" i="3"/>
  <c r="Q762" i="3"/>
  <c r="P601" i="3"/>
  <c r="Q601" i="3"/>
  <c r="P1363" i="3"/>
  <c r="Q1363" i="3"/>
  <c r="P2763" i="3"/>
  <c r="Q2763" i="3"/>
  <c r="P1264" i="3"/>
  <c r="Q1264" i="3"/>
  <c r="P644" i="3"/>
  <c r="Q644" i="3"/>
  <c r="P1932" i="3"/>
  <c r="Q1932" i="3"/>
  <c r="P1605" i="3"/>
  <c r="Q1605" i="3"/>
  <c r="P1685" i="3"/>
  <c r="Q1685" i="3"/>
  <c r="P2234" i="3"/>
  <c r="Q2234" i="3"/>
  <c r="P2450" i="3"/>
  <c r="Q2450" i="3"/>
  <c r="P2184" i="3"/>
  <c r="Q2184" i="3"/>
  <c r="P3594" i="3"/>
  <c r="Q3594" i="3"/>
  <c r="P3357" i="3"/>
  <c r="Q3357" i="3"/>
  <c r="P2928" i="3"/>
  <c r="Q2928" i="3"/>
  <c r="P3562" i="3"/>
  <c r="Q3562" i="3"/>
  <c r="P3710" i="3"/>
  <c r="Q3710" i="3"/>
  <c r="P1304" i="3"/>
  <c r="Q1304" i="3"/>
  <c r="P22" i="3"/>
  <c r="Q22" i="3"/>
  <c r="P154" i="3"/>
  <c r="Q154" i="3"/>
  <c r="P283" i="3"/>
  <c r="Q283" i="3"/>
  <c r="P138" i="3"/>
  <c r="Q138" i="3"/>
  <c r="P424" i="3"/>
  <c r="Q424" i="3"/>
  <c r="P177" i="3"/>
  <c r="Q177" i="3"/>
  <c r="P14" i="3"/>
  <c r="Q14" i="3"/>
  <c r="P440" i="3"/>
  <c r="Q440" i="3"/>
  <c r="P143" i="3"/>
  <c r="Q143" i="3"/>
  <c r="P1397" i="3"/>
  <c r="Q1397" i="3"/>
  <c r="P272" i="3"/>
  <c r="Q272" i="3"/>
  <c r="P92" i="3"/>
  <c r="Q92" i="3"/>
  <c r="P346" i="3"/>
  <c r="Q346" i="3"/>
  <c r="P598" i="3"/>
  <c r="Q598" i="3"/>
  <c r="P864" i="3"/>
  <c r="Q864" i="3"/>
  <c r="P1162" i="3"/>
  <c r="Q1162" i="3"/>
  <c r="P1443" i="3"/>
  <c r="Q1443" i="3"/>
  <c r="P299" i="3"/>
  <c r="Q299" i="3"/>
  <c r="P552" i="3"/>
  <c r="Q552" i="3"/>
  <c r="P830" i="3"/>
  <c r="Q830" i="3"/>
  <c r="P1109" i="3"/>
  <c r="Q1109" i="3"/>
  <c r="P1391" i="3"/>
  <c r="Q1391" i="3"/>
  <c r="P2532" i="3"/>
  <c r="Q2532" i="3"/>
  <c r="P508" i="3"/>
  <c r="Q508" i="3"/>
  <c r="P764" i="3"/>
  <c r="Q764" i="3"/>
  <c r="P1039" i="3"/>
  <c r="Q1039" i="3"/>
  <c r="P1326" i="3"/>
  <c r="Q1326" i="3"/>
  <c r="P1866" i="3"/>
  <c r="Q1866" i="3"/>
  <c r="P445" i="3"/>
  <c r="Q445" i="3"/>
  <c r="P696" i="3"/>
  <c r="Q696" i="3"/>
  <c r="P988" i="3"/>
  <c r="Q988" i="3"/>
  <c r="P1310" i="3"/>
  <c r="Q1310" i="3"/>
  <c r="P1874" i="3"/>
  <c r="Q1874" i="3"/>
  <c r="P430" i="3"/>
  <c r="Q430" i="3"/>
  <c r="P697" i="3"/>
  <c r="Q697" i="3"/>
  <c r="P971" i="3"/>
  <c r="Q971" i="3"/>
  <c r="P1256" i="3"/>
  <c r="Q1256" i="3"/>
  <c r="P1655" i="3"/>
  <c r="Q1655" i="3"/>
  <c r="P113" i="3"/>
  <c r="Q113" i="3"/>
  <c r="P367" i="3"/>
  <c r="Q367" i="3"/>
  <c r="P619" i="3"/>
  <c r="Q619" i="3"/>
  <c r="P903" i="3"/>
  <c r="Q903" i="3"/>
  <c r="P1185" i="3"/>
  <c r="Q1185" i="3"/>
  <c r="P1467" i="3"/>
  <c r="Q1467" i="3"/>
  <c r="P1803" i="3"/>
  <c r="Q1803" i="3"/>
  <c r="P417" i="3"/>
  <c r="Q417" i="3"/>
  <c r="P684" i="3"/>
  <c r="Q684" i="3"/>
  <c r="P992" i="3"/>
  <c r="Q992" i="3"/>
  <c r="P1278" i="3"/>
  <c r="Q1278" i="3"/>
  <c r="P1733" i="3"/>
  <c r="Q1733" i="3"/>
  <c r="P402" i="3"/>
  <c r="Q402" i="3"/>
  <c r="P653" i="3"/>
  <c r="Q653" i="3"/>
  <c r="P941" i="3"/>
  <c r="Q941" i="3"/>
  <c r="P1225" i="3"/>
  <c r="Q1225" i="3"/>
  <c r="P1614" i="3"/>
  <c r="Q1614" i="3"/>
  <c r="P371" i="3"/>
  <c r="Q371" i="3"/>
  <c r="P622" i="3"/>
  <c r="Q622" i="3"/>
  <c r="P891" i="3"/>
  <c r="Q891" i="3"/>
  <c r="P1190" i="3"/>
  <c r="Q1190" i="3"/>
  <c r="P1504" i="3"/>
  <c r="Q1504" i="3"/>
  <c r="P340" i="3"/>
  <c r="Q340" i="3"/>
  <c r="P592" i="3"/>
  <c r="Q592" i="3"/>
  <c r="P856" i="3"/>
  <c r="Q856" i="3"/>
  <c r="P1156" i="3"/>
  <c r="Q1156" i="3"/>
  <c r="P1454" i="3"/>
  <c r="Q1454" i="3"/>
  <c r="P293" i="3"/>
  <c r="Q293" i="3"/>
  <c r="P546" i="3"/>
  <c r="Q546" i="3"/>
  <c r="P808" i="3"/>
  <c r="Q808" i="3"/>
  <c r="P1085" i="3"/>
  <c r="Q1085" i="3"/>
  <c r="P1369" i="3"/>
  <c r="Q1369" i="3"/>
  <c r="P2336" i="3"/>
  <c r="Q2336" i="3"/>
  <c r="P486" i="3"/>
  <c r="Q486" i="3"/>
  <c r="P757" i="3"/>
  <c r="Q757" i="3"/>
  <c r="P1033" i="3"/>
  <c r="Q1033" i="3"/>
  <c r="P1335" i="3"/>
  <c r="Q1335" i="3"/>
  <c r="P1945" i="3"/>
  <c r="Q1945" i="3"/>
  <c r="P439" i="3"/>
  <c r="Q439" i="3"/>
  <c r="P706" i="3"/>
  <c r="Q706" i="3"/>
  <c r="P981" i="3"/>
  <c r="Q981" i="3"/>
  <c r="P1267" i="3"/>
  <c r="Q1267" i="3"/>
  <c r="P1692" i="3"/>
  <c r="Q1692" i="3"/>
  <c r="P2364" i="3"/>
  <c r="Q2364" i="3"/>
  <c r="P489" i="3"/>
  <c r="Q489" i="3"/>
  <c r="P742" i="3"/>
  <c r="Q742" i="3"/>
  <c r="P1019" i="3"/>
  <c r="Q1019" i="3"/>
  <c r="P1305" i="3"/>
  <c r="Q1305" i="3"/>
  <c r="P1765" i="3"/>
  <c r="Q1765" i="3"/>
  <c r="P844" i="3"/>
  <c r="Q844" i="3"/>
  <c r="P1088" i="3"/>
  <c r="Q1088" i="3"/>
  <c r="P1337" i="3"/>
  <c r="Q1337" i="3"/>
  <c r="P1585" i="3"/>
  <c r="Q1585" i="3"/>
  <c r="P1836" i="3"/>
  <c r="Q1836" i="3"/>
  <c r="P2084" i="3"/>
  <c r="Q2084" i="3"/>
  <c r="P2366" i="3"/>
  <c r="Q2366" i="3"/>
  <c r="P2661" i="3"/>
  <c r="Q2661" i="3"/>
  <c r="P1507" i="3"/>
  <c r="Q1507" i="3"/>
  <c r="P1774" i="3"/>
  <c r="Q1774" i="3"/>
  <c r="P2024" i="3"/>
  <c r="Q2024" i="3"/>
  <c r="P2331" i="3"/>
  <c r="Q2331" i="3"/>
  <c r="P2623" i="3"/>
  <c r="Q2623" i="3"/>
  <c r="P1492" i="3"/>
  <c r="Q1492" i="3"/>
  <c r="P1743" i="3"/>
  <c r="Q1743" i="3"/>
  <c r="P1993" i="3"/>
  <c r="Q1993" i="3"/>
  <c r="P2260" i="3"/>
  <c r="Q2260" i="3"/>
  <c r="P2585" i="3"/>
  <c r="Q2585" i="3"/>
  <c r="P3192" i="3"/>
  <c r="Q3192" i="3"/>
  <c r="P1712" i="3"/>
  <c r="Q1712" i="3"/>
  <c r="P1994" i="3"/>
  <c r="Q1994" i="3"/>
  <c r="P2278" i="3"/>
  <c r="Q2278" i="3"/>
  <c r="P2567" i="3"/>
  <c r="Q2567" i="3"/>
  <c r="P2939" i="3"/>
  <c r="Q2939" i="3"/>
  <c r="P1713" i="3"/>
  <c r="Q1713" i="3"/>
  <c r="P1964" i="3"/>
  <c r="Q1964" i="3"/>
  <c r="P2226" i="3"/>
  <c r="Q2226" i="3"/>
  <c r="P2530" i="3"/>
  <c r="Q2530" i="3"/>
  <c r="P2888" i="3"/>
  <c r="Q2888" i="3"/>
  <c r="P968" i="3"/>
  <c r="Q968" i="3"/>
  <c r="P1234" i="3"/>
  <c r="Q1234" i="3"/>
  <c r="P1495" i="3"/>
  <c r="Q1495" i="3"/>
  <c r="P1746" i="3"/>
  <c r="Q1746" i="3"/>
  <c r="P2012" i="3"/>
  <c r="Q2012" i="3"/>
  <c r="P2299" i="3"/>
  <c r="Q2299" i="3"/>
  <c r="P2607" i="3"/>
  <c r="Q2607" i="3"/>
  <c r="P2867" i="3"/>
  <c r="Q2867" i="3"/>
  <c r="P1780" i="3"/>
  <c r="Q1780" i="3"/>
  <c r="P2046" i="3"/>
  <c r="Q2046" i="3"/>
  <c r="P2337" i="3"/>
  <c r="Q2337" i="3"/>
  <c r="P2670" i="3"/>
  <c r="Q2670" i="3"/>
  <c r="P1907" i="3"/>
  <c r="Q1907" i="3"/>
  <c r="P2158" i="3"/>
  <c r="Q2158" i="3"/>
  <c r="P2446" i="3"/>
  <c r="Q2446" i="3"/>
  <c r="P2755" i="3"/>
  <c r="Q2755" i="3"/>
  <c r="P1861" i="3"/>
  <c r="Q1861" i="3"/>
  <c r="P2107" i="3"/>
  <c r="Q2107" i="3"/>
  <c r="P2395" i="3"/>
  <c r="Q2395" i="3"/>
  <c r="P2714" i="3"/>
  <c r="Q2714" i="3"/>
  <c r="P1547" i="3"/>
  <c r="Q1547" i="3"/>
  <c r="P1799" i="3"/>
  <c r="Q1799" i="3"/>
  <c r="P2049" i="3"/>
  <c r="Q2049" i="3"/>
  <c r="P2341" i="3"/>
  <c r="Q2341" i="3"/>
  <c r="P2636" i="3"/>
  <c r="Q2636" i="3"/>
  <c r="P1485" i="3"/>
  <c r="Q1485" i="3"/>
  <c r="P1736" i="3"/>
  <c r="Q1736" i="3"/>
  <c r="P2002" i="3"/>
  <c r="Q2002" i="3"/>
  <c r="P2269" i="3"/>
  <c r="Q2269" i="3"/>
  <c r="P2576" i="3"/>
  <c r="Q2576" i="3"/>
  <c r="P3122" i="3"/>
  <c r="Q3122" i="3"/>
  <c r="P1705" i="3"/>
  <c r="Q1705" i="3"/>
  <c r="P1957" i="3"/>
  <c r="Q1957" i="3"/>
  <c r="P2253" i="3"/>
  <c r="Q2253" i="3"/>
  <c r="P2558" i="3"/>
  <c r="Q2558" i="3"/>
  <c r="P2904" i="3"/>
  <c r="Q2904" i="3"/>
  <c r="P1833" i="3"/>
  <c r="Q1833" i="3"/>
  <c r="P2081" i="3"/>
  <c r="Q2081" i="3"/>
  <c r="P2363" i="3"/>
  <c r="Q2363" i="3"/>
  <c r="P2657" i="3"/>
  <c r="Q2657" i="3"/>
  <c r="P2879" i="3"/>
  <c r="Q2879" i="3"/>
  <c r="P1772" i="3"/>
  <c r="Q1772" i="3"/>
  <c r="P2022" i="3"/>
  <c r="Q2022" i="3"/>
  <c r="P2292" i="3"/>
  <c r="Q2292" i="3"/>
  <c r="P2582" i="3"/>
  <c r="Q2582" i="3"/>
  <c r="P3020" i="3"/>
  <c r="Q3020" i="3"/>
  <c r="P2322" i="3"/>
  <c r="Q2322" i="3"/>
  <c r="P2574" i="3"/>
  <c r="Q2574" i="3"/>
  <c r="P2872" i="3"/>
  <c r="Q2872" i="3"/>
  <c r="P3195" i="3"/>
  <c r="Q3195" i="3"/>
  <c r="P3630" i="3"/>
  <c r="Q3630" i="3"/>
  <c r="P3095" i="3"/>
  <c r="Q3095" i="3"/>
  <c r="P3466" i="3"/>
  <c r="Q3466" i="3"/>
  <c r="P2954" i="3"/>
  <c r="Q2954" i="3"/>
  <c r="P3320" i="3"/>
  <c r="Q3320" i="3"/>
  <c r="P3838" i="3"/>
  <c r="Q3838" i="3"/>
  <c r="P3159" i="3"/>
  <c r="Q3159" i="3"/>
  <c r="P3597" i="3"/>
  <c r="Q3597" i="3"/>
  <c r="P3058" i="3"/>
  <c r="Q3058" i="3"/>
  <c r="P3421" i="3"/>
  <c r="Q3421" i="3"/>
  <c r="P2137" i="3"/>
  <c r="Q2137" i="3"/>
  <c r="P2391" i="3"/>
  <c r="Q2391" i="3"/>
  <c r="P2666" i="3"/>
  <c r="Q2666" i="3"/>
  <c r="P2978" i="3"/>
  <c r="Q2978" i="3"/>
  <c r="P3325" i="3"/>
  <c r="Q3325" i="3"/>
  <c r="P3890" i="3"/>
  <c r="Q3890" i="3"/>
  <c r="P3847" i="3"/>
  <c r="Q3847" i="3"/>
  <c r="P3183" i="3"/>
  <c r="Q3183" i="3"/>
  <c r="P3649" i="3"/>
  <c r="Q3649" i="3"/>
  <c r="P3104" i="3"/>
  <c r="Q3104" i="3"/>
  <c r="P3502" i="3"/>
  <c r="Q3502" i="3"/>
  <c r="P3003" i="3"/>
  <c r="Q3003" i="3"/>
  <c r="P3358" i="3"/>
  <c r="Q3358" i="3"/>
  <c r="P3903" i="3"/>
  <c r="Q3903" i="3"/>
  <c r="P3455" i="3"/>
  <c r="Q3455" i="3"/>
  <c r="P2944" i="3"/>
  <c r="Q2944" i="3"/>
  <c r="P3282" i="3"/>
  <c r="Q3282" i="3"/>
  <c r="P3818" i="3"/>
  <c r="Q3818" i="3"/>
  <c r="P3151" i="3"/>
  <c r="Q3151" i="3"/>
  <c r="P3621" i="3"/>
  <c r="Q3621" i="3"/>
  <c r="P3050" i="3"/>
  <c r="Q3050" i="3"/>
  <c r="P3436" i="3"/>
  <c r="Q3436" i="3"/>
  <c r="P3390" i="3"/>
  <c r="Q3390" i="3"/>
  <c r="P2929" i="3"/>
  <c r="Q2929" i="3"/>
  <c r="P3341" i="3"/>
  <c r="Q3341" i="3"/>
  <c r="P3875" i="3"/>
  <c r="Q3875" i="3"/>
  <c r="P2760" i="3"/>
  <c r="Q2760" i="3"/>
  <c r="P3043" i="3"/>
  <c r="Q3043" i="3"/>
  <c r="P3333" i="3"/>
  <c r="Q3333" i="3"/>
  <c r="P3654" i="3"/>
  <c r="Q3654" i="3"/>
  <c r="P3968" i="3"/>
  <c r="Q3968" i="3"/>
  <c r="P3223" i="3"/>
  <c r="Q3223" i="3"/>
  <c r="P3520" i="3"/>
  <c r="Q3520" i="3"/>
  <c r="P3833" i="3"/>
  <c r="Q3833" i="3"/>
  <c r="P3580" i="3"/>
  <c r="Q3580" i="3"/>
  <c r="P3913" i="3"/>
  <c r="Q3913" i="3"/>
  <c r="P3679" i="3"/>
  <c r="Q3679" i="3"/>
  <c r="P3993" i="3"/>
  <c r="Q3993" i="3"/>
  <c r="P3977" i="3"/>
  <c r="Q3977" i="3"/>
  <c r="P2704" i="3"/>
  <c r="Q2704" i="3"/>
  <c r="P3015" i="3"/>
  <c r="Q3015" i="3"/>
  <c r="P3304" i="3"/>
  <c r="Q3304" i="3"/>
  <c r="P3626" i="3"/>
  <c r="Q3626" i="3"/>
  <c r="P3938" i="3"/>
  <c r="Q3938" i="3"/>
  <c r="P3684" i="3"/>
  <c r="Q3684" i="3"/>
  <c r="P3999" i="3"/>
  <c r="Q3999" i="3"/>
  <c r="P3745" i="3"/>
  <c r="Q3745" i="3"/>
  <c r="P4059" i="3"/>
  <c r="Q4059" i="3"/>
  <c r="P4043" i="3"/>
  <c r="Q4043" i="3"/>
  <c r="P4044" i="3"/>
  <c r="Q4044" i="3"/>
  <c r="P3459" i="3"/>
  <c r="Q3459" i="3"/>
  <c r="P3771" i="3"/>
  <c r="Q3771" i="3"/>
  <c r="P4084" i="3"/>
  <c r="Q4084" i="3"/>
  <c r="P3008" i="3"/>
  <c r="Q3008" i="3"/>
  <c r="P3284" i="3"/>
  <c r="Q3284" i="3"/>
  <c r="P3527" i="3"/>
  <c r="Q3527" i="3"/>
  <c r="P3782" i="3"/>
  <c r="Q3782" i="3"/>
  <c r="P4037" i="3"/>
  <c r="Q4037" i="3"/>
  <c r="P3423" i="3"/>
  <c r="Q3423" i="3"/>
  <c r="P3687" i="3"/>
  <c r="Q3687" i="3"/>
  <c r="P3942" i="3"/>
  <c r="Q3942" i="3"/>
  <c r="P2783" i="3"/>
  <c r="Q2783" i="3"/>
  <c r="P3063" i="3"/>
  <c r="Q3063" i="3"/>
  <c r="P3308" i="3"/>
  <c r="Q3308" i="3"/>
  <c r="P3551" i="3"/>
  <c r="Q3551" i="3"/>
  <c r="P3805" i="3"/>
  <c r="Q3805" i="3"/>
  <c r="P4061" i="3"/>
  <c r="Q4061" i="3"/>
  <c r="P580" i="3"/>
  <c r="Q580" i="3"/>
  <c r="P35" i="3"/>
  <c r="Q35" i="3"/>
  <c r="P29" i="3"/>
  <c r="Q29" i="3"/>
  <c r="P1974" i="3"/>
  <c r="Q1974" i="3"/>
  <c r="P1529" i="3"/>
  <c r="Q1529" i="3"/>
  <c r="P870" i="3"/>
  <c r="Q870" i="3"/>
  <c r="P2461" i="3"/>
  <c r="Q2461" i="3"/>
  <c r="P1546" i="3"/>
  <c r="Q1546" i="3"/>
  <c r="P1991" i="3"/>
  <c r="Q1991" i="3"/>
  <c r="P1871" i="3"/>
  <c r="Q1871" i="3"/>
  <c r="P2173" i="3"/>
  <c r="Q2173" i="3"/>
  <c r="P3101" i="3"/>
  <c r="Q3101" i="3"/>
  <c r="P2228" i="3"/>
  <c r="Q2228" i="3"/>
  <c r="P2295" i="3"/>
  <c r="Q2295" i="3"/>
  <c r="P3578" i="3"/>
  <c r="Q3578" i="3"/>
  <c r="P3988" i="3"/>
  <c r="Q3988" i="3"/>
  <c r="P3437" i="3"/>
  <c r="Q3437" i="3"/>
  <c r="P1195" i="3"/>
  <c r="Q1195" i="3"/>
  <c r="P276" i="3"/>
  <c r="Q276" i="3"/>
  <c r="P151" i="3"/>
  <c r="Q151" i="3"/>
  <c r="P1498" i="3"/>
  <c r="Q1498" i="3"/>
  <c r="P11" i="3"/>
  <c r="Q11" i="3"/>
  <c r="P144" i="3"/>
  <c r="Q144" i="3"/>
  <c r="P117" i="3"/>
  <c r="Q117" i="3"/>
  <c r="P37" i="3"/>
  <c r="Q37" i="3"/>
  <c r="P596" i="3"/>
  <c r="Q596" i="3"/>
  <c r="P480" i="3"/>
  <c r="Q480" i="3"/>
  <c r="P167" i="3"/>
  <c r="Q167" i="3"/>
  <c r="P40" i="3"/>
  <c r="Q40" i="3"/>
  <c r="P620" i="3"/>
  <c r="Q620" i="3"/>
  <c r="P169" i="3"/>
  <c r="Q169" i="3"/>
  <c r="P6" i="3"/>
  <c r="Q6" i="3"/>
  <c r="P512" i="3"/>
  <c r="Q512" i="3"/>
  <c r="P172" i="3"/>
  <c r="Q172" i="3"/>
  <c r="P9" i="3"/>
  <c r="Q9" i="3"/>
  <c r="P408" i="3"/>
  <c r="Q408" i="3"/>
  <c r="P157" i="3"/>
  <c r="Q157" i="3"/>
  <c r="P30" i="3"/>
  <c r="Q30" i="3"/>
  <c r="P549" i="3"/>
  <c r="Q549" i="3"/>
  <c r="P195" i="3"/>
  <c r="Q195" i="3"/>
  <c r="P32" i="3"/>
  <c r="Q32" i="3"/>
  <c r="P564" i="3"/>
  <c r="Q564" i="3"/>
  <c r="P162" i="3"/>
  <c r="Q162" i="3"/>
  <c r="P1609" i="3"/>
  <c r="Q1609" i="3"/>
  <c r="P336" i="3"/>
  <c r="Q336" i="3"/>
  <c r="P108" i="3"/>
  <c r="Q108" i="3"/>
  <c r="P362" i="3"/>
  <c r="Q362" i="3"/>
  <c r="P614" i="3"/>
  <c r="Q614" i="3"/>
  <c r="P881" i="3"/>
  <c r="Q881" i="3"/>
  <c r="P1179" i="3"/>
  <c r="Q1179" i="3"/>
  <c r="P1461" i="3"/>
  <c r="Q1461" i="3"/>
  <c r="P315" i="3"/>
  <c r="Q315" i="3"/>
  <c r="P567" i="3"/>
  <c r="Q567" i="3"/>
  <c r="P848" i="3"/>
  <c r="Q848" i="3"/>
  <c r="P1127" i="3"/>
  <c r="Q1127" i="3"/>
  <c r="P1409" i="3"/>
  <c r="Q1409" i="3"/>
  <c r="P2690" i="3"/>
  <c r="Q2690" i="3"/>
  <c r="P524" i="3"/>
  <c r="Q524" i="3"/>
  <c r="P781" i="3"/>
  <c r="Q781" i="3"/>
  <c r="P1057" i="3"/>
  <c r="Q1057" i="3"/>
  <c r="P1343" i="3"/>
  <c r="Q1343" i="3"/>
  <c r="P1989" i="3"/>
  <c r="Q1989" i="3"/>
  <c r="P461" i="3"/>
  <c r="Q461" i="3"/>
  <c r="P712" i="3"/>
  <c r="Q712" i="3"/>
  <c r="P1005" i="3"/>
  <c r="Q1005" i="3"/>
  <c r="P1344" i="3"/>
  <c r="Q1344" i="3"/>
  <c r="P1997" i="3"/>
  <c r="Q1997" i="3"/>
  <c r="P446" i="3"/>
  <c r="Q446" i="3"/>
  <c r="P713" i="3"/>
  <c r="Q713" i="3"/>
  <c r="P989" i="3"/>
  <c r="Q989" i="3"/>
  <c r="P1274" i="3"/>
  <c r="Q1274" i="3"/>
  <c r="P1718" i="3"/>
  <c r="Q1718" i="3"/>
  <c r="P129" i="3"/>
  <c r="Q129" i="3"/>
  <c r="P383" i="3"/>
  <c r="Q383" i="3"/>
  <c r="P634" i="3"/>
  <c r="Q634" i="3"/>
  <c r="P920" i="3"/>
  <c r="Q920" i="3"/>
  <c r="P1204" i="3"/>
  <c r="Q1204" i="3"/>
  <c r="P1497" i="3"/>
  <c r="Q1497" i="3"/>
  <c r="P1897" i="3"/>
  <c r="Q1897" i="3"/>
  <c r="P433" i="3"/>
  <c r="Q433" i="3"/>
  <c r="P700" i="3"/>
  <c r="Q700" i="3"/>
  <c r="P1009" i="3"/>
  <c r="Q1009" i="3"/>
  <c r="P1296" i="3"/>
  <c r="Q1296" i="3"/>
  <c r="P1811" i="3"/>
  <c r="Q1811" i="3"/>
  <c r="P418" i="3"/>
  <c r="Q418" i="3"/>
  <c r="P669" i="3"/>
  <c r="Q669" i="3"/>
  <c r="P957" i="3"/>
  <c r="Q957" i="3"/>
  <c r="P1243" i="3"/>
  <c r="Q1243" i="3"/>
  <c r="P1671" i="3"/>
  <c r="Q1671" i="3"/>
  <c r="P387" i="3"/>
  <c r="Q387" i="3"/>
  <c r="P638" i="3"/>
  <c r="Q638" i="3"/>
  <c r="P907" i="3"/>
  <c r="Q907" i="3"/>
  <c r="P1208" i="3"/>
  <c r="Q1208" i="3"/>
  <c r="P1543" i="3"/>
  <c r="Q1543" i="3"/>
  <c r="P356" i="3"/>
  <c r="Q356" i="3"/>
  <c r="P608" i="3"/>
  <c r="Q608" i="3"/>
  <c r="P874" i="3"/>
  <c r="Q874" i="3"/>
  <c r="P1174" i="3"/>
  <c r="Q1174" i="3"/>
  <c r="P1472" i="3"/>
  <c r="Q1472" i="3"/>
  <c r="P309" i="3"/>
  <c r="Q309" i="3"/>
  <c r="P562" i="3"/>
  <c r="Q562" i="3"/>
  <c r="P824" i="3"/>
  <c r="Q824" i="3"/>
  <c r="P1102" i="3"/>
  <c r="Q1102" i="3"/>
  <c r="P1403" i="3"/>
  <c r="Q1403" i="3"/>
  <c r="P2630" i="3"/>
  <c r="Q2630" i="3"/>
  <c r="P502" i="3"/>
  <c r="Q502" i="3"/>
  <c r="P775" i="3"/>
  <c r="Q775" i="3"/>
  <c r="P1050" i="3"/>
  <c r="Q1050" i="3"/>
  <c r="P1354" i="3"/>
  <c r="Q1354" i="3"/>
  <c r="P2067" i="3"/>
  <c r="Q2067" i="3"/>
  <c r="P455" i="3"/>
  <c r="Q455" i="3"/>
  <c r="P722" i="3"/>
  <c r="Q722" i="3"/>
  <c r="P998" i="3"/>
  <c r="Q998" i="3"/>
  <c r="P1285" i="3"/>
  <c r="Q1285" i="3"/>
  <c r="P1755" i="3"/>
  <c r="Q1755" i="3"/>
  <c r="P2505" i="3"/>
  <c r="Q2505" i="3"/>
  <c r="P505" i="3"/>
  <c r="Q505" i="3"/>
  <c r="P761" i="3"/>
  <c r="Q761" i="3"/>
  <c r="P1036" i="3"/>
  <c r="Q1036" i="3"/>
  <c r="P1322" i="3"/>
  <c r="Q1322" i="3"/>
  <c r="P1850" i="3"/>
  <c r="Q1850" i="3"/>
  <c r="P858" i="3"/>
  <c r="Q858" i="3"/>
  <c r="P1103" i="3"/>
  <c r="Q1103" i="3"/>
  <c r="P1353" i="3"/>
  <c r="Q1353" i="3"/>
  <c r="P1601" i="3"/>
  <c r="Q1601" i="3"/>
  <c r="P1852" i="3"/>
  <c r="Q1852" i="3"/>
  <c r="P2098" i="3"/>
  <c r="Q2098" i="3"/>
  <c r="P2384" i="3"/>
  <c r="Q2384" i="3"/>
  <c r="P2682" i="3"/>
  <c r="Q2682" i="3"/>
  <c r="P1523" i="3"/>
  <c r="Q1523" i="3"/>
  <c r="P1790" i="3"/>
  <c r="Q1790" i="3"/>
  <c r="P2040" i="3"/>
  <c r="Q2040" i="3"/>
  <c r="P2349" i="3"/>
  <c r="Q2349" i="3"/>
  <c r="P2643" i="3"/>
  <c r="Q2643" i="3"/>
  <c r="P1508" i="3"/>
  <c r="Q1508" i="3"/>
  <c r="P1759" i="3"/>
  <c r="Q1759" i="3"/>
  <c r="P2009" i="3"/>
  <c r="Q2009" i="3"/>
  <c r="P2277" i="3"/>
  <c r="Q2277" i="3"/>
  <c r="P2604" i="3"/>
  <c r="Q2604" i="3"/>
  <c r="P1477" i="3"/>
  <c r="Q1477" i="3"/>
  <c r="P1728" i="3"/>
  <c r="Q1728" i="3"/>
  <c r="P2010" i="3"/>
  <c r="Q2010" i="3"/>
  <c r="P2297" i="3"/>
  <c r="Q2297" i="3"/>
  <c r="P2586" i="3"/>
  <c r="Q2586" i="3"/>
  <c r="P3046" i="3"/>
  <c r="Q3046" i="3"/>
  <c r="P1729" i="3"/>
  <c r="Q1729" i="3"/>
  <c r="P1980" i="3"/>
  <c r="Q1980" i="3"/>
  <c r="P2245" i="3"/>
  <c r="Q2245" i="3"/>
  <c r="P2548" i="3"/>
  <c r="Q2548" i="3"/>
  <c r="P2943" i="3"/>
  <c r="Q2943" i="3"/>
  <c r="P984" i="3"/>
  <c r="Q984" i="3"/>
  <c r="P1249" i="3"/>
  <c r="Q1249" i="3"/>
  <c r="P1511" i="3"/>
  <c r="Q1511" i="3"/>
  <c r="P1762" i="3"/>
  <c r="Q1762" i="3"/>
  <c r="P2028" i="3"/>
  <c r="Q2028" i="3"/>
  <c r="P2317" i="3"/>
  <c r="Q2317" i="3"/>
  <c r="P2629" i="3"/>
  <c r="Q2629" i="3"/>
  <c r="P2890" i="3"/>
  <c r="Q2890" i="3"/>
  <c r="P1796" i="3"/>
  <c r="Q1796" i="3"/>
  <c r="P2061" i="3"/>
  <c r="Q2061" i="3"/>
  <c r="P2356" i="3"/>
  <c r="Q2356" i="3"/>
  <c r="P2691" i="3"/>
  <c r="Q2691" i="3"/>
  <c r="P1923" i="3"/>
  <c r="Q1923" i="3"/>
  <c r="P2176" i="3"/>
  <c r="Q2176" i="3"/>
  <c r="P2464" i="3"/>
  <c r="Q2464" i="3"/>
  <c r="P2777" i="3"/>
  <c r="Q2777" i="3"/>
  <c r="P1877" i="3"/>
  <c r="Q1877" i="3"/>
  <c r="P2124" i="3"/>
  <c r="Q2124" i="3"/>
  <c r="P2413" i="3"/>
  <c r="Q2413" i="3"/>
  <c r="P2735" i="3"/>
  <c r="Q2735" i="3"/>
  <c r="P1563" i="3"/>
  <c r="Q1563" i="3"/>
  <c r="P1814" i="3"/>
  <c r="Q1814" i="3"/>
  <c r="P2064" i="3"/>
  <c r="Q2064" i="3"/>
  <c r="P2360" i="3"/>
  <c r="Q2360" i="3"/>
  <c r="P2653" i="3"/>
  <c r="Q2653" i="3"/>
  <c r="P1501" i="3"/>
  <c r="Q1501" i="3"/>
  <c r="P1752" i="3"/>
  <c r="Q1752" i="3"/>
  <c r="P2018" i="3"/>
  <c r="Q2018" i="3"/>
  <c r="P2287" i="3"/>
  <c r="Q2287" i="3"/>
  <c r="P2595" i="3"/>
  <c r="Q2595" i="3"/>
  <c r="P3302" i="3"/>
  <c r="Q3302" i="3"/>
  <c r="P1721" i="3"/>
  <c r="Q1721" i="3"/>
  <c r="P1972" i="3"/>
  <c r="Q1972" i="3"/>
  <c r="P2270" i="3"/>
  <c r="Q2270" i="3"/>
  <c r="P2577" i="3"/>
  <c r="Q2577" i="3"/>
  <c r="P2999" i="3"/>
  <c r="Q2999" i="3"/>
  <c r="P1849" i="3"/>
  <c r="Q1849" i="3"/>
  <c r="P2095" i="3"/>
  <c r="Q2095" i="3"/>
  <c r="P2381" i="3"/>
  <c r="Q2381" i="3"/>
  <c r="P2677" i="3"/>
  <c r="Q2677" i="3"/>
  <c r="P2910" i="3"/>
  <c r="Q2910" i="3"/>
  <c r="P1788" i="3"/>
  <c r="Q1788" i="3"/>
  <c r="P2038" i="3"/>
  <c r="Q2038" i="3"/>
  <c r="P2310" i="3"/>
  <c r="Q2310" i="3"/>
  <c r="P2600" i="3"/>
  <c r="Q2600" i="3"/>
  <c r="P3162" i="3"/>
  <c r="Q3162" i="3"/>
  <c r="P2338" i="3"/>
  <c r="Q2338" i="3"/>
  <c r="P2591" i="3"/>
  <c r="Q2591" i="3"/>
  <c r="P2891" i="3"/>
  <c r="Q2891" i="3"/>
  <c r="P3217" i="3"/>
  <c r="Q3217" i="3"/>
  <c r="P3668" i="3"/>
  <c r="Q3668" i="3"/>
  <c r="P3116" i="3"/>
  <c r="Q3116" i="3"/>
  <c r="P3490" i="3"/>
  <c r="Q3490" i="3"/>
  <c r="P2974" i="3"/>
  <c r="Q2974" i="3"/>
  <c r="P3345" i="3"/>
  <c r="Q3345" i="3"/>
  <c r="P3883" i="3"/>
  <c r="Q3883" i="3"/>
  <c r="P3178" i="3"/>
  <c r="Q3178" i="3"/>
  <c r="P3636" i="3"/>
  <c r="Q3636" i="3"/>
  <c r="P3079" i="3"/>
  <c r="Q3079" i="3"/>
  <c r="P3447" i="3"/>
  <c r="Q3447" i="3"/>
  <c r="P2153" i="3"/>
  <c r="Q2153" i="3"/>
  <c r="P2407" i="3"/>
  <c r="Q2407" i="3"/>
  <c r="P2684" i="3"/>
  <c r="Q2684" i="3"/>
  <c r="P2998" i="3"/>
  <c r="Q2998" i="3"/>
  <c r="P3350" i="3"/>
  <c r="Q3350" i="3"/>
  <c r="P3943" i="3"/>
  <c r="Q3943" i="3"/>
  <c r="P3896" i="3"/>
  <c r="Q3896" i="3"/>
  <c r="P3205" i="3"/>
  <c r="Q3205" i="3"/>
  <c r="P3688" i="3"/>
  <c r="Q3688" i="3"/>
  <c r="P3125" i="3"/>
  <c r="Q3125" i="3"/>
  <c r="P3532" i="3"/>
  <c r="Q3532" i="3"/>
  <c r="P3023" i="3"/>
  <c r="Q3023" i="3"/>
  <c r="P3383" i="3"/>
  <c r="Q3383" i="3"/>
  <c r="P3955" i="3"/>
  <c r="Q3955" i="3"/>
  <c r="P3479" i="3"/>
  <c r="Q3479" i="3"/>
  <c r="P2965" i="3"/>
  <c r="Q2965" i="3"/>
  <c r="P3309" i="3"/>
  <c r="Q3309" i="3"/>
  <c r="P3864" i="3"/>
  <c r="Q3864" i="3"/>
  <c r="P3170" i="3"/>
  <c r="Q3170" i="3"/>
  <c r="P3660" i="3"/>
  <c r="Q3660" i="3"/>
  <c r="P3069" i="3"/>
  <c r="Q3069" i="3"/>
  <c r="P3458" i="3"/>
  <c r="Q3458" i="3"/>
  <c r="P3413" i="3"/>
  <c r="Q3413" i="3"/>
  <c r="P2949" i="3"/>
  <c r="Q2949" i="3"/>
  <c r="P3366" i="3"/>
  <c r="Q3366" i="3"/>
  <c r="P3922" i="3"/>
  <c r="Q3922" i="3"/>
  <c r="P2776" i="3"/>
  <c r="Q2776" i="3"/>
  <c r="P3060" i="3"/>
  <c r="Q3060" i="3"/>
  <c r="P3352" i="3"/>
  <c r="Q3352" i="3"/>
  <c r="P3674" i="3"/>
  <c r="Q3674" i="3"/>
  <c r="P3987" i="3"/>
  <c r="Q3987" i="3"/>
  <c r="P3243" i="3"/>
  <c r="Q3243" i="3"/>
  <c r="P3539" i="3"/>
  <c r="Q3539" i="3"/>
  <c r="P3852" i="3"/>
  <c r="Q3852" i="3"/>
  <c r="P3600" i="3"/>
  <c r="Q3600" i="3"/>
  <c r="P3932" i="3"/>
  <c r="Q3932" i="3"/>
  <c r="P3698" i="3"/>
  <c r="Q3698" i="3"/>
  <c r="P4012" i="3"/>
  <c r="Q4012" i="3"/>
  <c r="P3996" i="3"/>
  <c r="Q3996" i="3"/>
  <c r="P2720" i="3"/>
  <c r="Q2720" i="3"/>
  <c r="P3034" i="3"/>
  <c r="Q3034" i="3"/>
  <c r="P3322" i="3"/>
  <c r="Q3322" i="3"/>
  <c r="P3645" i="3"/>
  <c r="Q3645" i="3"/>
  <c r="P3959" i="3"/>
  <c r="Q3959" i="3"/>
  <c r="P3705" i="3"/>
  <c r="Q3705" i="3"/>
  <c r="P4018" i="3"/>
  <c r="Q4018" i="3"/>
  <c r="P3764" i="3"/>
  <c r="Q3764" i="3"/>
  <c r="P4079" i="3"/>
  <c r="Q4079" i="3"/>
  <c r="P4063" i="3"/>
  <c r="Q4063" i="3"/>
  <c r="P4064" i="3"/>
  <c r="Q4064" i="3"/>
  <c r="P3477" i="3"/>
  <c r="Q3477" i="3"/>
  <c r="P3791" i="3"/>
  <c r="Q3791" i="3"/>
  <c r="P2775" i="3"/>
  <c r="Q2775" i="3"/>
  <c r="P3024" i="3"/>
  <c r="Q3024" i="3"/>
  <c r="P3300" i="3"/>
  <c r="Q3300" i="3"/>
  <c r="P3543" i="3"/>
  <c r="Q3543" i="3"/>
  <c r="P3798" i="3"/>
  <c r="Q3798" i="3"/>
  <c r="P4053" i="3"/>
  <c r="Q4053" i="3"/>
  <c r="P3451" i="3"/>
  <c r="Q3451" i="3"/>
  <c r="P3703" i="3"/>
  <c r="Q3703" i="3"/>
  <c r="P3958" i="3"/>
  <c r="Q3958" i="3"/>
  <c r="P2799" i="3"/>
  <c r="Q2799" i="3"/>
  <c r="P3078" i="3"/>
  <c r="Q3078" i="3"/>
  <c r="P3323" i="3"/>
  <c r="Q3323" i="3"/>
  <c r="P3567" i="3"/>
  <c r="Q3567" i="3"/>
  <c r="P3821" i="3"/>
  <c r="Q3821" i="3"/>
  <c r="P4077" i="3"/>
  <c r="Q4077" i="3"/>
  <c r="P180" i="3"/>
  <c r="Q180" i="3"/>
  <c r="P173" i="3"/>
  <c r="Q173" i="3"/>
  <c r="P710" i="3"/>
  <c r="Q710" i="3"/>
  <c r="P868" i="3"/>
  <c r="Q868" i="3"/>
  <c r="P789" i="3"/>
  <c r="Q789" i="3"/>
  <c r="P1457" i="3"/>
  <c r="Q1457" i="3"/>
  <c r="P2171" i="3"/>
  <c r="Q2171" i="3"/>
  <c r="P1703" i="3"/>
  <c r="Q1703" i="3"/>
  <c r="P2936" i="3"/>
  <c r="Q2936" i="3"/>
  <c r="P4087" i="3"/>
  <c r="Q4087" i="3"/>
  <c r="P273" i="3"/>
  <c r="Q273" i="3"/>
  <c r="P352" i="3"/>
  <c r="Q352" i="3"/>
  <c r="P20" i="3"/>
  <c r="Q20" i="3"/>
  <c r="P55" i="3"/>
  <c r="Q55" i="3"/>
  <c r="P724" i="3"/>
  <c r="Q724" i="3"/>
  <c r="P604" i="3"/>
  <c r="Q604" i="3"/>
  <c r="P184" i="3"/>
  <c r="Q184" i="3"/>
  <c r="P58" i="3"/>
  <c r="Q58" i="3"/>
  <c r="P750" i="3"/>
  <c r="Q750" i="3"/>
  <c r="P186" i="3"/>
  <c r="Q186" i="3"/>
  <c r="P24" i="3"/>
  <c r="Q24" i="3"/>
  <c r="P635" i="3"/>
  <c r="Q635" i="3"/>
  <c r="P190" i="3"/>
  <c r="Q190" i="3"/>
  <c r="P27" i="3"/>
  <c r="Q27" i="3"/>
  <c r="P535" i="3"/>
  <c r="Q535" i="3"/>
  <c r="P174" i="3"/>
  <c r="Q174" i="3"/>
  <c r="P48" i="3"/>
  <c r="Q48" i="3"/>
  <c r="P675" i="3"/>
  <c r="Q675" i="3"/>
  <c r="P213" i="3"/>
  <c r="Q213" i="3"/>
  <c r="P51" i="3"/>
  <c r="Q51" i="3"/>
  <c r="P691" i="3"/>
  <c r="Q691" i="3"/>
  <c r="P179" i="3"/>
  <c r="Q179" i="3"/>
  <c r="P18" i="3"/>
  <c r="Q18" i="3"/>
  <c r="P464" i="3"/>
  <c r="Q464" i="3"/>
  <c r="P124" i="3"/>
  <c r="Q124" i="3"/>
  <c r="P378" i="3"/>
  <c r="Q378" i="3"/>
  <c r="P629" i="3"/>
  <c r="Q629" i="3"/>
  <c r="P914" i="3"/>
  <c r="Q914" i="3"/>
  <c r="P1198" i="3"/>
  <c r="Q1198" i="3"/>
  <c r="P1483" i="3"/>
  <c r="Q1483" i="3"/>
  <c r="P331" i="3"/>
  <c r="Q331" i="3"/>
  <c r="P583" i="3"/>
  <c r="Q583" i="3"/>
  <c r="P865" i="3"/>
  <c r="Q865" i="3"/>
  <c r="P1145" i="3"/>
  <c r="Q1145" i="3"/>
  <c r="P1427" i="3"/>
  <c r="Q1427" i="3"/>
  <c r="P284" i="3"/>
  <c r="Q284" i="3"/>
  <c r="P539" i="3"/>
  <c r="Q539" i="3"/>
  <c r="P798" i="3"/>
  <c r="Q798" i="3"/>
  <c r="P1075" i="3"/>
  <c r="Q1075" i="3"/>
  <c r="P1360" i="3"/>
  <c r="Q1360" i="3"/>
  <c r="P2112" i="3"/>
  <c r="Q2112" i="3"/>
  <c r="P477" i="3"/>
  <c r="Q477" i="3"/>
  <c r="P730" i="3"/>
  <c r="Q730" i="3"/>
  <c r="P1058" i="3"/>
  <c r="Q1058" i="3"/>
  <c r="P1361" i="3"/>
  <c r="Q1361" i="3"/>
  <c r="P2121" i="3"/>
  <c r="Q2121" i="3"/>
  <c r="P462" i="3"/>
  <c r="Q462" i="3"/>
  <c r="P731" i="3"/>
  <c r="Q731" i="3"/>
  <c r="P1006" i="3"/>
  <c r="Q1006" i="3"/>
  <c r="P1293" i="3"/>
  <c r="Q1293" i="3"/>
  <c r="P1795" i="3"/>
  <c r="Q1795" i="3"/>
  <c r="P145" i="3"/>
  <c r="Q145" i="3"/>
  <c r="P399" i="3"/>
  <c r="Q399" i="3"/>
  <c r="P650" i="3"/>
  <c r="Q650" i="3"/>
  <c r="P937" i="3"/>
  <c r="Q937" i="3"/>
  <c r="P1222" i="3"/>
  <c r="Q1222" i="3"/>
  <c r="P1531" i="3"/>
  <c r="Q1531" i="3"/>
  <c r="P2021" i="3"/>
  <c r="Q2021" i="3"/>
  <c r="P449" i="3"/>
  <c r="Q449" i="3"/>
  <c r="P716" i="3"/>
  <c r="Q716" i="3"/>
  <c r="P1027" i="3"/>
  <c r="Q1027" i="3"/>
  <c r="P1315" i="3"/>
  <c r="Q1315" i="3"/>
  <c r="P1905" i="3"/>
  <c r="Q1905" i="3"/>
  <c r="P434" i="3"/>
  <c r="Q434" i="3"/>
  <c r="P685" i="3"/>
  <c r="Q685" i="3"/>
  <c r="P975" i="3"/>
  <c r="Q975" i="3"/>
  <c r="P1261" i="3"/>
  <c r="Q1261" i="3"/>
  <c r="P1734" i="3"/>
  <c r="Q1734" i="3"/>
  <c r="P403" i="3"/>
  <c r="Q403" i="3"/>
  <c r="P654" i="3"/>
  <c r="Q654" i="3"/>
  <c r="P924" i="3"/>
  <c r="Q924" i="3"/>
  <c r="P1226" i="3"/>
  <c r="Q1226" i="3"/>
  <c r="P1577" i="3"/>
  <c r="Q1577" i="3"/>
  <c r="P372" i="3"/>
  <c r="Q372" i="3"/>
  <c r="P623" i="3"/>
  <c r="Q623" i="3"/>
  <c r="P892" i="3"/>
  <c r="Q892" i="3"/>
  <c r="P1191" i="3"/>
  <c r="Q1191" i="3"/>
  <c r="P1505" i="3"/>
  <c r="Q1505" i="3"/>
  <c r="P325" i="3"/>
  <c r="Q325" i="3"/>
  <c r="P577" i="3"/>
  <c r="Q577" i="3"/>
  <c r="P841" i="3"/>
  <c r="Q841" i="3"/>
  <c r="P1120" i="3"/>
  <c r="Q1120" i="3"/>
  <c r="P1421" i="3"/>
  <c r="Q1421" i="3"/>
  <c r="P2797" i="3"/>
  <c r="Q2797" i="3"/>
  <c r="P518" i="3"/>
  <c r="Q518" i="3"/>
  <c r="P793" i="3"/>
  <c r="Q793" i="3"/>
  <c r="P1068" i="3"/>
  <c r="Q1068" i="3"/>
  <c r="P1370" i="3"/>
  <c r="Q1370" i="3"/>
  <c r="P2202" i="3"/>
  <c r="Q2202" i="3"/>
  <c r="P471" i="3"/>
  <c r="Q471" i="3"/>
  <c r="P741" i="3"/>
  <c r="Q741" i="3"/>
  <c r="P1017" i="3"/>
  <c r="Q1017" i="3"/>
  <c r="P1303" i="3"/>
  <c r="Q1303" i="3"/>
  <c r="P1842" i="3"/>
  <c r="Q1842" i="3"/>
  <c r="P2658" i="3"/>
  <c r="Q2658" i="3"/>
  <c r="P521" i="3"/>
  <c r="Q521" i="3"/>
  <c r="P778" i="3"/>
  <c r="Q778" i="3"/>
  <c r="P1053" i="3"/>
  <c r="Q1053" i="3"/>
  <c r="P1339" i="3"/>
  <c r="Q1339" i="3"/>
  <c r="P1966" i="3"/>
  <c r="Q1966" i="3"/>
  <c r="P873" i="3"/>
  <c r="Q873" i="3"/>
  <c r="P1118" i="3"/>
  <c r="Q1118" i="3"/>
  <c r="P1368" i="3"/>
  <c r="Q1368" i="3"/>
  <c r="P1616" i="3"/>
  <c r="Q1616" i="3"/>
  <c r="P1868" i="3"/>
  <c r="Q1868" i="3"/>
  <c r="P2114" i="3"/>
  <c r="Q2114" i="3"/>
  <c r="P2403" i="3"/>
  <c r="Q2403" i="3"/>
  <c r="P2703" i="3"/>
  <c r="Q2703" i="3"/>
  <c r="P1538" i="3"/>
  <c r="Q1538" i="3"/>
  <c r="P1806" i="3"/>
  <c r="Q1806" i="3"/>
  <c r="P2056" i="3"/>
  <c r="Q2056" i="3"/>
  <c r="P2367" i="3"/>
  <c r="Q2367" i="3"/>
  <c r="P2662" i="3"/>
  <c r="Q2662" i="3"/>
  <c r="P1524" i="3"/>
  <c r="Q1524" i="3"/>
  <c r="P1775" i="3"/>
  <c r="Q1775" i="3"/>
  <c r="P2025" i="3"/>
  <c r="Q2025" i="3"/>
  <c r="P2296" i="3"/>
  <c r="Q2296" i="3"/>
  <c r="P2624" i="3"/>
  <c r="Q2624" i="3"/>
  <c r="P1493" i="3"/>
  <c r="Q1493" i="3"/>
  <c r="P1744" i="3"/>
  <c r="Q1744" i="3"/>
  <c r="P2026" i="3"/>
  <c r="Q2026" i="3"/>
  <c r="P2315" i="3"/>
  <c r="Q2315" i="3"/>
  <c r="P2605" i="3"/>
  <c r="Q2605" i="3"/>
  <c r="P3203" i="3"/>
  <c r="Q3203" i="3"/>
  <c r="P1745" i="3"/>
  <c r="Q1745" i="3"/>
  <c r="P1995" i="3"/>
  <c r="Q1995" i="3"/>
  <c r="P2280" i="3"/>
  <c r="Q2280" i="3"/>
  <c r="P2568" i="3"/>
  <c r="Q2568" i="3"/>
  <c r="P3215" i="3"/>
  <c r="Q3215" i="3"/>
  <c r="P999" i="3"/>
  <c r="Q999" i="3"/>
  <c r="P1265" i="3"/>
  <c r="Q1265" i="3"/>
  <c r="P1527" i="3"/>
  <c r="Q1527" i="3"/>
  <c r="P1778" i="3"/>
  <c r="Q1778" i="3"/>
  <c r="P2044" i="3"/>
  <c r="Q2044" i="3"/>
  <c r="P2335" i="3"/>
  <c r="Q2335" i="3"/>
  <c r="P2668" i="3"/>
  <c r="Q2668" i="3"/>
  <c r="P2958" i="3"/>
  <c r="Q2958" i="3"/>
  <c r="P1827" i="3"/>
  <c r="Q1827" i="3"/>
  <c r="P2075" i="3"/>
  <c r="Q2075" i="3"/>
  <c r="P2374" i="3"/>
  <c r="Q2374" i="3"/>
  <c r="P2711" i="3"/>
  <c r="Q2711" i="3"/>
  <c r="P1939" i="3"/>
  <c r="Q1939" i="3"/>
  <c r="P2194" i="3"/>
  <c r="Q2194" i="3"/>
  <c r="P2481" i="3"/>
  <c r="Q2481" i="3"/>
  <c r="P2800" i="3"/>
  <c r="Q2800" i="3"/>
  <c r="P1892" i="3"/>
  <c r="Q1892" i="3"/>
  <c r="P2141" i="3"/>
  <c r="Q2141" i="3"/>
  <c r="P2430" i="3"/>
  <c r="Q2430" i="3"/>
  <c r="P2756" i="3"/>
  <c r="Q2756" i="3"/>
  <c r="P1579" i="3"/>
  <c r="Q1579" i="3"/>
  <c r="P1830" i="3"/>
  <c r="Q1830" i="3"/>
  <c r="P2078" i="3"/>
  <c r="Q2078" i="3"/>
  <c r="P2378" i="3"/>
  <c r="Q2378" i="3"/>
  <c r="P2674" i="3"/>
  <c r="Q2674" i="3"/>
  <c r="P1517" i="3"/>
  <c r="Q1517" i="3"/>
  <c r="P1768" i="3"/>
  <c r="Q1768" i="3"/>
  <c r="P2034" i="3"/>
  <c r="Q2034" i="3"/>
  <c r="P2305" i="3"/>
  <c r="Q2305" i="3"/>
  <c r="P2616" i="3"/>
  <c r="Q2616" i="3"/>
  <c r="P1486" i="3"/>
  <c r="Q1486" i="3"/>
  <c r="P1737" i="3"/>
  <c r="Q1737" i="3"/>
  <c r="P1987" i="3"/>
  <c r="Q1987" i="3"/>
  <c r="P2288" i="3"/>
  <c r="Q2288" i="3"/>
  <c r="P2597" i="3"/>
  <c r="Q2597" i="3"/>
  <c r="P3133" i="3"/>
  <c r="Q3133" i="3"/>
  <c r="P1865" i="3"/>
  <c r="Q1865" i="3"/>
  <c r="P2111" i="3"/>
  <c r="Q2111" i="3"/>
  <c r="P2399" i="3"/>
  <c r="Q2399" i="3"/>
  <c r="P2699" i="3"/>
  <c r="Q2699" i="3"/>
  <c r="P3010" i="3"/>
  <c r="Q3010" i="3"/>
  <c r="P1804" i="3"/>
  <c r="Q1804" i="3"/>
  <c r="P2054" i="3"/>
  <c r="Q2054" i="3"/>
  <c r="P2329" i="3"/>
  <c r="Q2329" i="3"/>
  <c r="P2621" i="3"/>
  <c r="Q2621" i="3"/>
  <c r="P3353" i="3"/>
  <c r="Q3353" i="3"/>
  <c r="P2354" i="3"/>
  <c r="Q2354" i="3"/>
  <c r="P2608" i="3"/>
  <c r="Q2608" i="3"/>
  <c r="P2913" i="3"/>
  <c r="Q2913" i="3"/>
  <c r="P3244" i="3"/>
  <c r="Q3244" i="3"/>
  <c r="P3708" i="3"/>
  <c r="Q3708" i="3"/>
  <c r="P3137" i="3"/>
  <c r="Q3137" i="3"/>
  <c r="P3515" i="3"/>
  <c r="Q3515" i="3"/>
  <c r="P2994" i="3"/>
  <c r="Q2994" i="3"/>
  <c r="P3372" i="3"/>
  <c r="Q3372" i="3"/>
  <c r="P3935" i="3"/>
  <c r="Q3935" i="3"/>
  <c r="P3198" i="3"/>
  <c r="Q3198" i="3"/>
  <c r="P3675" i="3"/>
  <c r="Q3675" i="3"/>
  <c r="P3099" i="3"/>
  <c r="Q3099" i="3"/>
  <c r="P3470" i="3"/>
  <c r="Q3470" i="3"/>
  <c r="P2169" i="3"/>
  <c r="Q2169" i="3"/>
  <c r="P2423" i="3"/>
  <c r="Q2423" i="3"/>
  <c r="P2702" i="3"/>
  <c r="Q2702" i="3"/>
  <c r="P3019" i="3"/>
  <c r="Q3019" i="3"/>
  <c r="P3376" i="3"/>
  <c r="Q3376" i="3"/>
  <c r="P3377" i="3"/>
  <c r="Q3377" i="3"/>
  <c r="P3944" i="3"/>
  <c r="Q3944" i="3"/>
  <c r="P3229" i="3"/>
  <c r="Q3229" i="3"/>
  <c r="P3727" i="3"/>
  <c r="Q3727" i="3"/>
  <c r="P3146" i="3"/>
  <c r="Q3146" i="3"/>
  <c r="P3571" i="3"/>
  <c r="Q3571" i="3"/>
  <c r="P3045" i="3"/>
  <c r="Q3045" i="3"/>
  <c r="P3404" i="3"/>
  <c r="Q3404" i="3"/>
  <c r="P3065" i="3"/>
  <c r="Q3065" i="3"/>
  <c r="P3505" i="3"/>
  <c r="Q3505" i="3"/>
  <c r="P2986" i="3"/>
  <c r="Q2986" i="3"/>
  <c r="P3336" i="3"/>
  <c r="Q3336" i="3"/>
  <c r="P3905" i="3"/>
  <c r="Q3905" i="3"/>
  <c r="P3190" i="3"/>
  <c r="Q3190" i="3"/>
  <c r="P3699" i="3"/>
  <c r="Q3699" i="3"/>
  <c r="P3090" i="3"/>
  <c r="Q3090" i="3"/>
  <c r="P3485" i="3"/>
  <c r="Q3485" i="3"/>
  <c r="P3438" i="3"/>
  <c r="Q3438" i="3"/>
  <c r="P2970" i="3"/>
  <c r="Q2970" i="3"/>
  <c r="P3392" i="3"/>
  <c r="Q3392" i="3"/>
  <c r="P3982" i="3"/>
  <c r="Q3982" i="3"/>
  <c r="P2794" i="3"/>
  <c r="Q2794" i="3"/>
  <c r="P3077" i="3"/>
  <c r="Q3077" i="3"/>
  <c r="P3371" i="3"/>
  <c r="Q3371" i="3"/>
  <c r="P3693" i="3"/>
  <c r="Q3693" i="3"/>
  <c r="P4008" i="3"/>
  <c r="Q4008" i="3"/>
  <c r="P3260" i="3"/>
  <c r="Q3260" i="3"/>
  <c r="P3558" i="3"/>
  <c r="Q3558" i="3"/>
  <c r="P3872" i="3"/>
  <c r="Q3872" i="3"/>
  <c r="P3619" i="3"/>
  <c r="Q3619" i="3"/>
  <c r="P3952" i="3"/>
  <c r="Q3952" i="3"/>
  <c r="P3717" i="3"/>
  <c r="Q3717" i="3"/>
  <c r="P4032" i="3"/>
  <c r="Q4032" i="3"/>
  <c r="P4016" i="3"/>
  <c r="Q4016" i="3"/>
  <c r="P2736" i="3"/>
  <c r="Q2736" i="3"/>
  <c r="P3051" i="3"/>
  <c r="Q3051" i="3"/>
  <c r="P3342" i="3"/>
  <c r="Q3342" i="3"/>
  <c r="P3664" i="3"/>
  <c r="Q3664" i="3"/>
  <c r="P3978" i="3"/>
  <c r="Q3978" i="3"/>
  <c r="P3724" i="3"/>
  <c r="Q3724" i="3"/>
  <c r="P4039" i="3"/>
  <c r="Q4039" i="3"/>
  <c r="P3785" i="3"/>
  <c r="Q3785" i="3"/>
  <c r="P4001" i="3"/>
  <c r="Q4001" i="3"/>
  <c r="P4082" i="3"/>
  <c r="Q4082" i="3"/>
  <c r="P4083" i="3"/>
  <c r="Q4083" i="3"/>
  <c r="P3497" i="3"/>
  <c r="Q3497" i="3"/>
  <c r="P3809" i="3"/>
  <c r="Q3809" i="3"/>
  <c r="P2791" i="3"/>
  <c r="Q2791" i="3"/>
  <c r="P3040" i="3"/>
  <c r="Q3040" i="3"/>
  <c r="P3315" i="3"/>
  <c r="Q3315" i="3"/>
  <c r="P3559" i="3"/>
  <c r="Q3559" i="3"/>
  <c r="P3813" i="3"/>
  <c r="Q3813" i="3"/>
  <c r="P4069" i="3"/>
  <c r="Q4069" i="3"/>
  <c r="P3465" i="3"/>
  <c r="Q3465" i="3"/>
  <c r="P3719" i="3"/>
  <c r="Q3719" i="3"/>
  <c r="P3974" i="3"/>
  <c r="Q3974" i="3"/>
  <c r="P2815" i="3"/>
  <c r="Q2815" i="3"/>
  <c r="P3094" i="3"/>
  <c r="Q3094" i="3"/>
  <c r="P3339" i="3"/>
  <c r="Q3339" i="3"/>
  <c r="P3583" i="3"/>
  <c r="Q3583" i="3"/>
  <c r="P3837" i="3"/>
  <c r="Q3837" i="3"/>
  <c r="P4093" i="3"/>
  <c r="Q4093" i="3"/>
  <c r="P71" i="3"/>
  <c r="Q71" i="3"/>
  <c r="P196" i="3"/>
  <c r="Q196" i="3"/>
  <c r="P1289" i="3"/>
  <c r="Q1289" i="3"/>
  <c r="P334" i="3"/>
  <c r="Q334" i="3"/>
  <c r="P1170" i="3"/>
  <c r="Q1170" i="3"/>
  <c r="P2053" i="3"/>
  <c r="Q2053" i="3"/>
  <c r="P1159" i="3"/>
  <c r="Q1159" i="3"/>
  <c r="P2542" i="3"/>
  <c r="Q2542" i="3"/>
  <c r="P1139" i="3"/>
  <c r="Q1139" i="3"/>
  <c r="P2633" i="3"/>
  <c r="Q2633" i="3"/>
  <c r="P2804" i="3"/>
  <c r="Q2804" i="3"/>
  <c r="P1677" i="3"/>
  <c r="Q1677" i="3"/>
  <c r="P3037" i="3"/>
  <c r="Q3037" i="3"/>
  <c r="P3207" i="3"/>
  <c r="Q3207" i="3"/>
  <c r="P2664" i="3"/>
  <c r="Q2664" i="3"/>
  <c r="P3820" i="3"/>
  <c r="Q3820" i="3"/>
  <c r="P3457" i="3"/>
  <c r="Q3457" i="3"/>
  <c r="P216" i="3"/>
  <c r="Q216" i="3"/>
  <c r="P472" i="3"/>
  <c r="Q472" i="3"/>
  <c r="P1338" i="3"/>
  <c r="Q1338" i="3"/>
  <c r="P733" i="3"/>
  <c r="Q733" i="3"/>
  <c r="P887" i="3"/>
  <c r="Q887" i="3"/>
  <c r="P205" i="3"/>
  <c r="Q205" i="3"/>
  <c r="P42" i="3"/>
  <c r="Q42" i="3"/>
  <c r="P768" i="3"/>
  <c r="Q768" i="3"/>
  <c r="P209" i="3"/>
  <c r="Q209" i="3"/>
  <c r="P46" i="3"/>
  <c r="Q46" i="3"/>
  <c r="P659" i="3"/>
  <c r="Q659" i="3"/>
  <c r="P193" i="3"/>
  <c r="Q193" i="3"/>
  <c r="P67" i="3"/>
  <c r="Q67" i="3"/>
  <c r="P1089" i="3"/>
  <c r="Q1089" i="3"/>
  <c r="P231" i="3"/>
  <c r="Q231" i="3"/>
  <c r="P69" i="3"/>
  <c r="Q69" i="3"/>
  <c r="P827" i="3"/>
  <c r="Q827" i="3"/>
  <c r="P197" i="3"/>
  <c r="Q197" i="3"/>
  <c r="P36" i="3"/>
  <c r="Q36" i="3"/>
  <c r="P588" i="3"/>
  <c r="Q588" i="3"/>
  <c r="P140" i="3"/>
  <c r="Q140" i="3"/>
  <c r="P394" i="3"/>
  <c r="Q394" i="3"/>
  <c r="P645" i="3"/>
  <c r="Q645" i="3"/>
  <c r="P931" i="3"/>
  <c r="Q931" i="3"/>
  <c r="P1216" i="3"/>
  <c r="Q1216" i="3"/>
  <c r="P1520" i="3"/>
  <c r="Q1520" i="3"/>
  <c r="P347" i="3"/>
  <c r="Q347" i="3"/>
  <c r="P599" i="3"/>
  <c r="Q599" i="3"/>
  <c r="P882" i="3"/>
  <c r="Q882" i="3"/>
  <c r="P1163" i="3"/>
  <c r="Q1163" i="3"/>
  <c r="P1444" i="3"/>
  <c r="Q1444" i="3"/>
  <c r="P300" i="3"/>
  <c r="Q300" i="3"/>
  <c r="P553" i="3"/>
  <c r="Q553" i="3"/>
  <c r="P815" i="3"/>
  <c r="Q815" i="3"/>
  <c r="P1094" i="3"/>
  <c r="Q1094" i="3"/>
  <c r="P1376" i="3"/>
  <c r="Q1376" i="3"/>
  <c r="P2255" i="3"/>
  <c r="Q2255" i="3"/>
  <c r="P493" i="3"/>
  <c r="Q493" i="3"/>
  <c r="P747" i="3"/>
  <c r="Q747" i="3"/>
  <c r="P1076" i="3"/>
  <c r="Q1076" i="3"/>
  <c r="P1377" i="3"/>
  <c r="Q1377" i="3"/>
  <c r="P2264" i="3"/>
  <c r="Q2264" i="3"/>
  <c r="P478" i="3"/>
  <c r="Q478" i="3"/>
  <c r="P748" i="3"/>
  <c r="Q748" i="3"/>
  <c r="P1023" i="3"/>
  <c r="Q1023" i="3"/>
  <c r="P1311" i="3"/>
  <c r="Q1311" i="3"/>
  <c r="P1881" i="3"/>
  <c r="Q1881" i="3"/>
  <c r="P161" i="3"/>
  <c r="Q161" i="3"/>
  <c r="P415" i="3"/>
  <c r="Q415" i="3"/>
  <c r="P666" i="3"/>
  <c r="Q666" i="3"/>
  <c r="P955" i="3"/>
  <c r="Q955" i="3"/>
  <c r="P1240" i="3"/>
  <c r="Q1240" i="3"/>
  <c r="P1567" i="3"/>
  <c r="Q1567" i="3"/>
  <c r="P2146" i="3"/>
  <c r="Q2146" i="3"/>
  <c r="P465" i="3"/>
  <c r="Q465" i="3"/>
  <c r="P734" i="3"/>
  <c r="Q734" i="3"/>
  <c r="P1044" i="3"/>
  <c r="Q1044" i="3"/>
  <c r="P1348" i="3"/>
  <c r="Q1348" i="3"/>
  <c r="P2029" i="3"/>
  <c r="Q2029" i="3"/>
  <c r="P450" i="3"/>
  <c r="Q450" i="3"/>
  <c r="P701" i="3"/>
  <c r="Q701" i="3"/>
  <c r="P993" i="3"/>
  <c r="Q993" i="3"/>
  <c r="P1279" i="3"/>
  <c r="Q1279" i="3"/>
  <c r="P1812" i="3"/>
  <c r="Q1812" i="3"/>
  <c r="P419" i="3"/>
  <c r="Q419" i="3"/>
  <c r="P670" i="3"/>
  <c r="Q670" i="3"/>
  <c r="P942" i="3"/>
  <c r="Q942" i="3"/>
  <c r="P1262" i="3"/>
  <c r="Q1262" i="3"/>
  <c r="P1676" i="3"/>
  <c r="Q1676" i="3"/>
  <c r="P388" i="3"/>
  <c r="Q388" i="3"/>
  <c r="P639" i="3"/>
  <c r="Q639" i="3"/>
  <c r="P908" i="3"/>
  <c r="Q908" i="3"/>
  <c r="P1209" i="3"/>
  <c r="Q1209" i="3"/>
  <c r="P1544" i="3"/>
  <c r="Q1544" i="3"/>
  <c r="P341" i="3"/>
  <c r="Q341" i="3"/>
  <c r="P593" i="3"/>
  <c r="Q593" i="3"/>
  <c r="P857" i="3"/>
  <c r="Q857" i="3"/>
  <c r="P1138" i="3"/>
  <c r="Q1138" i="3"/>
  <c r="P1438" i="3"/>
  <c r="Q1438" i="3"/>
  <c r="P278" i="3"/>
  <c r="Q278" i="3"/>
  <c r="P534" i="3"/>
  <c r="Q534" i="3"/>
  <c r="P809" i="3"/>
  <c r="Q809" i="3"/>
  <c r="P1086" i="3"/>
  <c r="Q1086" i="3"/>
  <c r="P1386" i="3"/>
  <c r="Q1386" i="3"/>
  <c r="P2346" i="3"/>
  <c r="Q2346" i="3"/>
  <c r="P487" i="3"/>
  <c r="Q487" i="3"/>
  <c r="P758" i="3"/>
  <c r="Q758" i="3"/>
  <c r="P1034" i="3"/>
  <c r="Q1034" i="3"/>
  <c r="P1336" i="3"/>
  <c r="Q1336" i="3"/>
  <c r="P1951" i="3"/>
  <c r="Q1951" i="3"/>
  <c r="P2833" i="3"/>
  <c r="Q2833" i="3"/>
  <c r="P536" i="3"/>
  <c r="Q536" i="3"/>
  <c r="P796" i="3"/>
  <c r="Q796" i="3"/>
  <c r="P1071" i="3"/>
  <c r="Q1071" i="3"/>
  <c r="P1356" i="3"/>
  <c r="Q1356" i="3"/>
  <c r="P2089" i="3"/>
  <c r="Q2089" i="3"/>
  <c r="P889" i="3"/>
  <c r="Q889" i="3"/>
  <c r="P1134" i="3"/>
  <c r="Q1134" i="3"/>
  <c r="P1382" i="3"/>
  <c r="Q1382" i="3"/>
  <c r="P1631" i="3"/>
  <c r="Q1631" i="3"/>
  <c r="P1883" i="3"/>
  <c r="Q1883" i="3"/>
  <c r="P2130" i="3"/>
  <c r="Q2130" i="3"/>
  <c r="P2421" i="3"/>
  <c r="Q2421" i="3"/>
  <c r="P2724" i="3"/>
  <c r="Q2724" i="3"/>
  <c r="P1554" i="3"/>
  <c r="Q1554" i="3"/>
  <c r="P1821" i="3"/>
  <c r="Q1821" i="3"/>
  <c r="P2099" i="3"/>
  <c r="Q2099" i="3"/>
  <c r="P2385" i="3"/>
  <c r="Q2385" i="3"/>
  <c r="P2683" i="3"/>
  <c r="Q2683" i="3"/>
  <c r="P1539" i="3"/>
  <c r="Q1539" i="3"/>
  <c r="P1791" i="3"/>
  <c r="Q1791" i="3"/>
  <c r="P2041" i="3"/>
  <c r="Q2041" i="3"/>
  <c r="P2314" i="3"/>
  <c r="Q2314" i="3"/>
  <c r="P2645" i="3"/>
  <c r="Q2645" i="3"/>
  <c r="P1509" i="3"/>
  <c r="Q1509" i="3"/>
  <c r="P1760" i="3"/>
  <c r="Q1760" i="3"/>
  <c r="P2042" i="3"/>
  <c r="Q2042" i="3"/>
  <c r="P2333" i="3"/>
  <c r="Q2333" i="3"/>
  <c r="P2625" i="3"/>
  <c r="Q2625" i="3"/>
  <c r="P1494" i="3"/>
  <c r="Q1494" i="3"/>
  <c r="P1761" i="3"/>
  <c r="Q1761" i="3"/>
  <c r="P2011" i="3"/>
  <c r="Q2011" i="3"/>
  <c r="P2298" i="3"/>
  <c r="Q2298" i="3"/>
  <c r="P2587" i="3"/>
  <c r="Q2587" i="3"/>
  <c r="P728" i="3"/>
  <c r="Q728" i="3"/>
  <c r="P1015" i="3"/>
  <c r="Q1015" i="3"/>
  <c r="P1281" i="3"/>
  <c r="Q1281" i="3"/>
  <c r="P1542" i="3"/>
  <c r="Q1542" i="3"/>
  <c r="P1794" i="3"/>
  <c r="Q1794" i="3"/>
  <c r="P2059" i="3"/>
  <c r="Q2059" i="3"/>
  <c r="P2353" i="3"/>
  <c r="Q2353" i="3"/>
  <c r="P2689" i="3"/>
  <c r="Q2689" i="3"/>
  <c r="P3071" i="3"/>
  <c r="Q3071" i="3"/>
  <c r="P1843" i="3"/>
  <c r="Q1843" i="3"/>
  <c r="P2090" i="3"/>
  <c r="Q2090" i="3"/>
  <c r="P2393" i="3"/>
  <c r="Q2393" i="3"/>
  <c r="P2732" i="3"/>
  <c r="Q2732" i="3"/>
  <c r="P1953" i="3"/>
  <c r="Q1953" i="3"/>
  <c r="P2213" i="3"/>
  <c r="Q2213" i="3"/>
  <c r="P2499" i="3"/>
  <c r="Q2499" i="3"/>
  <c r="P2824" i="3"/>
  <c r="Q2824" i="3"/>
  <c r="P1908" i="3"/>
  <c r="Q1908" i="3"/>
  <c r="P2159" i="3"/>
  <c r="Q2159" i="3"/>
  <c r="P2465" i="3"/>
  <c r="Q2465" i="3"/>
  <c r="P2778" i="3"/>
  <c r="Q2778" i="3"/>
  <c r="P1595" i="3"/>
  <c r="Q1595" i="3"/>
  <c r="P1846" i="3"/>
  <c r="Q1846" i="3"/>
  <c r="P2093" i="3"/>
  <c r="Q2093" i="3"/>
  <c r="P2396" i="3"/>
  <c r="Q2396" i="3"/>
  <c r="P2694" i="3"/>
  <c r="Q2694" i="3"/>
  <c r="P1533" i="3"/>
  <c r="Q1533" i="3"/>
  <c r="P1784" i="3"/>
  <c r="Q1784" i="3"/>
  <c r="P2050" i="3"/>
  <c r="Q2050" i="3"/>
  <c r="P2324" i="3"/>
  <c r="Q2324" i="3"/>
  <c r="P2654" i="3"/>
  <c r="Q2654" i="3"/>
  <c r="P1502" i="3"/>
  <c r="Q1502" i="3"/>
  <c r="P1753" i="3"/>
  <c r="Q1753" i="3"/>
  <c r="P2003" i="3"/>
  <c r="Q2003" i="3"/>
  <c r="P2307" i="3"/>
  <c r="Q2307" i="3"/>
  <c r="P2617" i="3"/>
  <c r="Q2617" i="3"/>
  <c r="P3313" i="3"/>
  <c r="Q3313" i="3"/>
  <c r="P1880" i="3"/>
  <c r="Q1880" i="3"/>
  <c r="P2127" i="3"/>
  <c r="Q2127" i="3"/>
  <c r="P2417" i="3"/>
  <c r="Q2417" i="3"/>
  <c r="P2719" i="3"/>
  <c r="Q2719" i="3"/>
  <c r="P3152" i="3"/>
  <c r="Q3152" i="3"/>
  <c r="P1819" i="3"/>
  <c r="Q1819" i="3"/>
  <c r="P2068" i="3"/>
  <c r="Q2068" i="3"/>
  <c r="P2347" i="3"/>
  <c r="Q2347" i="3"/>
  <c r="P2640" i="3"/>
  <c r="Q2640" i="3"/>
  <c r="P2118" i="3"/>
  <c r="Q2118" i="3"/>
  <c r="P2370" i="3"/>
  <c r="Q2370" i="3"/>
  <c r="P2626" i="3"/>
  <c r="Q2626" i="3"/>
  <c r="P2931" i="3"/>
  <c r="Q2931" i="3"/>
  <c r="P3267" i="3"/>
  <c r="Q3267" i="3"/>
  <c r="P3747" i="3"/>
  <c r="Q3747" i="3"/>
  <c r="P3155" i="3"/>
  <c r="Q3155" i="3"/>
  <c r="P3553" i="3"/>
  <c r="Q3553" i="3"/>
  <c r="P3014" i="3"/>
  <c r="Q3014" i="3"/>
  <c r="P3396" i="3"/>
  <c r="Q3396" i="3"/>
  <c r="P2896" i="3"/>
  <c r="Q2896" i="3"/>
  <c r="P3247" i="3"/>
  <c r="Q3247" i="3"/>
  <c r="P3714" i="3"/>
  <c r="Q3714" i="3"/>
  <c r="P3120" i="3"/>
  <c r="Q3120" i="3"/>
  <c r="P3493" i="3"/>
  <c r="Q3493" i="3"/>
  <c r="P2185" i="3"/>
  <c r="Q2185" i="3"/>
  <c r="P2437" i="3"/>
  <c r="Q2437" i="3"/>
  <c r="P2721" i="3"/>
  <c r="Q2721" i="3"/>
  <c r="P3039" i="3"/>
  <c r="Q3039" i="3"/>
  <c r="P3400" i="3"/>
  <c r="Q3400" i="3"/>
  <c r="P3401" i="3"/>
  <c r="Q3401" i="3"/>
  <c r="P2922" i="3"/>
  <c r="Q2922" i="3"/>
  <c r="P3253" i="3"/>
  <c r="Q3253" i="3"/>
  <c r="P3765" i="3"/>
  <c r="Q3765" i="3"/>
  <c r="P3165" i="3"/>
  <c r="Q3165" i="3"/>
  <c r="P3611" i="3"/>
  <c r="Q3611" i="3"/>
  <c r="P3064" i="3"/>
  <c r="Q3064" i="3"/>
  <c r="P3432" i="3"/>
  <c r="Q3432" i="3"/>
  <c r="P3085" i="3"/>
  <c r="Q3085" i="3"/>
  <c r="P3534" i="3"/>
  <c r="Q3534" i="3"/>
  <c r="P3005" i="3"/>
  <c r="Q3005" i="3"/>
  <c r="P3359" i="3"/>
  <c r="Q3359" i="3"/>
  <c r="P3962" i="3"/>
  <c r="Q3962" i="3"/>
  <c r="P3213" i="3"/>
  <c r="Q3213" i="3"/>
  <c r="P3739" i="3"/>
  <c r="Q3739" i="3"/>
  <c r="P3111" i="3"/>
  <c r="Q3111" i="3"/>
  <c r="P3509" i="3"/>
  <c r="Q3509" i="3"/>
  <c r="P3510" i="3"/>
  <c r="Q3510" i="3"/>
  <c r="P2990" i="3"/>
  <c r="Q2990" i="3"/>
  <c r="P3415" i="3"/>
  <c r="Q3415" i="3"/>
  <c r="P2543" i="3"/>
  <c r="Q2543" i="3"/>
  <c r="P2812" i="3"/>
  <c r="Q2812" i="3"/>
  <c r="P3096" i="3"/>
  <c r="Q3096" i="3"/>
  <c r="P3389" i="3"/>
  <c r="Q3389" i="3"/>
  <c r="P3713" i="3"/>
  <c r="Q3713" i="3"/>
  <c r="P4027" i="3"/>
  <c r="Q4027" i="3"/>
  <c r="P3278" i="3"/>
  <c r="Q3278" i="3"/>
  <c r="P3579" i="3"/>
  <c r="Q3579" i="3"/>
  <c r="P3891" i="3"/>
  <c r="Q3891" i="3"/>
  <c r="P3638" i="3"/>
  <c r="Q3638" i="3"/>
  <c r="P3971" i="3"/>
  <c r="Q3971" i="3"/>
  <c r="P3738" i="3"/>
  <c r="Q3738" i="3"/>
  <c r="P4051" i="3"/>
  <c r="Q4051" i="3"/>
  <c r="P4035" i="3"/>
  <c r="Q4035" i="3"/>
  <c r="P2752" i="3"/>
  <c r="Q2752" i="3"/>
  <c r="P3068" i="3"/>
  <c r="Q3068" i="3"/>
  <c r="P3360" i="3"/>
  <c r="Q3360" i="3"/>
  <c r="P3683" i="3"/>
  <c r="Q3683" i="3"/>
  <c r="P3998" i="3"/>
  <c r="Q3998" i="3"/>
  <c r="P3744" i="3"/>
  <c r="Q3744" i="3"/>
  <c r="P4058" i="3"/>
  <c r="Q4058" i="3"/>
  <c r="P3803" i="3"/>
  <c r="Q3803" i="3"/>
  <c r="P4020" i="3"/>
  <c r="Q4020" i="3"/>
  <c r="P3789" i="3"/>
  <c r="Q3789" i="3"/>
  <c r="P3220" i="3"/>
  <c r="Q3220" i="3"/>
  <c r="P3516" i="3"/>
  <c r="Q3516" i="3"/>
  <c r="P3828" i="3"/>
  <c r="Q3828" i="3"/>
  <c r="P2807" i="3"/>
  <c r="Q2807" i="3"/>
  <c r="P3055" i="3"/>
  <c r="Q3055" i="3"/>
  <c r="P3331" i="3"/>
  <c r="Q3331" i="3"/>
  <c r="P3575" i="3"/>
  <c r="Q3575" i="3"/>
  <c r="P3829" i="3"/>
  <c r="Q3829" i="3"/>
  <c r="P4085" i="3"/>
  <c r="Q4085" i="3"/>
  <c r="P3481" i="3"/>
  <c r="Q3481" i="3"/>
  <c r="P3735" i="3"/>
  <c r="Q3735" i="3"/>
  <c r="P3990" i="3"/>
  <c r="Q3990" i="3"/>
  <c r="P2831" i="3"/>
  <c r="Q2831" i="3"/>
  <c r="P3110" i="3"/>
  <c r="Q3110" i="3"/>
  <c r="P3355" i="3"/>
  <c r="Q3355" i="3"/>
  <c r="P3599" i="3"/>
  <c r="Q3599" i="3"/>
  <c r="P3853" i="3"/>
  <c r="Q3853" i="3"/>
  <c r="P4094" i="3"/>
  <c r="Q4094" i="3"/>
  <c r="P392" i="3"/>
  <c r="Q392" i="3"/>
  <c r="P612" i="3"/>
  <c r="Q612" i="3"/>
  <c r="P820" i="3"/>
  <c r="Q820" i="3"/>
  <c r="P1003" i="3"/>
  <c r="Q1003" i="3"/>
  <c r="P17" i="3"/>
  <c r="Q17" i="3"/>
  <c r="P306" i="3"/>
  <c r="Q306" i="3"/>
  <c r="P1333" i="3"/>
  <c r="Q1333" i="3"/>
  <c r="P611" i="3"/>
  <c r="Q611" i="3"/>
  <c r="P1244" i="3"/>
  <c r="Q1244" i="3"/>
  <c r="P1901" i="3"/>
  <c r="Q1901" i="3"/>
  <c r="P833" i="3"/>
  <c r="Q833" i="3"/>
  <c r="P2339" i="3"/>
  <c r="Q2339" i="3"/>
  <c r="P2449" i="3"/>
  <c r="Q2449" i="3"/>
  <c r="P1930" i="3"/>
  <c r="Q1930" i="3"/>
  <c r="P3420" i="3"/>
  <c r="Q3420" i="3"/>
  <c r="P3898" i="3"/>
  <c r="Q3898" i="3"/>
  <c r="P3629" i="3"/>
  <c r="Q3629" i="3"/>
  <c r="P3507" i="3"/>
  <c r="Q3507" i="3"/>
  <c r="P3965" i="3"/>
  <c r="Q3965" i="3"/>
  <c r="P252" i="3"/>
  <c r="Q252" i="3"/>
  <c r="P1459" i="3"/>
  <c r="Q1459" i="3"/>
  <c r="P73" i="3"/>
  <c r="Q73" i="3"/>
  <c r="P77" i="3"/>
  <c r="Q77" i="3"/>
  <c r="P91" i="3"/>
  <c r="Q91" i="3"/>
  <c r="P1000" i="3"/>
  <c r="Q1000" i="3"/>
  <c r="P1008" i="3"/>
  <c r="Q1008" i="3"/>
  <c r="P221" i="3"/>
  <c r="Q221" i="3"/>
  <c r="P95" i="3"/>
  <c r="Q95" i="3"/>
  <c r="P1026" i="3"/>
  <c r="Q1026" i="3"/>
  <c r="P223" i="3"/>
  <c r="Q223" i="3"/>
  <c r="P61" i="3"/>
  <c r="Q61" i="3"/>
  <c r="P1043" i="3"/>
  <c r="Q1043" i="3"/>
  <c r="P227" i="3"/>
  <c r="Q227" i="3"/>
  <c r="P64" i="3"/>
  <c r="Q64" i="3"/>
  <c r="P795" i="3"/>
  <c r="Q795" i="3"/>
  <c r="P211" i="3"/>
  <c r="Q211" i="3"/>
  <c r="P85" i="3"/>
  <c r="Q85" i="3"/>
  <c r="P1232" i="3"/>
  <c r="Q1232" i="3"/>
  <c r="P248" i="3"/>
  <c r="Q248" i="3"/>
  <c r="P87" i="3"/>
  <c r="Q87" i="3"/>
  <c r="P964" i="3"/>
  <c r="Q964" i="3"/>
  <c r="P215" i="3"/>
  <c r="Q215" i="3"/>
  <c r="P54" i="3"/>
  <c r="Q54" i="3"/>
  <c r="P715" i="3"/>
  <c r="Q715" i="3"/>
  <c r="P156" i="3"/>
  <c r="Q156" i="3"/>
  <c r="P410" i="3"/>
  <c r="Q410" i="3"/>
  <c r="P661" i="3"/>
  <c r="Q661" i="3"/>
  <c r="P949" i="3"/>
  <c r="Q949" i="3"/>
  <c r="P1235" i="3"/>
  <c r="Q1235" i="3"/>
  <c r="P1559" i="3"/>
  <c r="Q1559" i="3"/>
  <c r="P363" i="3"/>
  <c r="Q363" i="3"/>
  <c r="P615" i="3"/>
  <c r="Q615" i="3"/>
  <c r="P899" i="3"/>
  <c r="Q899" i="3"/>
  <c r="P1180" i="3"/>
  <c r="Q1180" i="3"/>
  <c r="P1462" i="3"/>
  <c r="Q1462" i="3"/>
  <c r="P316" i="3"/>
  <c r="Q316" i="3"/>
  <c r="P568" i="3"/>
  <c r="Q568" i="3"/>
  <c r="P831" i="3"/>
  <c r="Q831" i="3"/>
  <c r="P1110" i="3"/>
  <c r="Q1110" i="3"/>
  <c r="P1392" i="3"/>
  <c r="Q1392" i="3"/>
  <c r="P2400" i="3"/>
  <c r="Q2400" i="3"/>
  <c r="P509" i="3"/>
  <c r="Q509" i="3"/>
  <c r="P765" i="3"/>
  <c r="Q765" i="3"/>
  <c r="P1095" i="3"/>
  <c r="Q1095" i="3"/>
  <c r="P1393" i="3"/>
  <c r="Q1393" i="3"/>
  <c r="P2410" i="3"/>
  <c r="Q2410" i="3"/>
  <c r="P494" i="3"/>
  <c r="Q494" i="3"/>
  <c r="P766" i="3"/>
  <c r="Q766" i="3"/>
  <c r="P1041" i="3"/>
  <c r="Q1041" i="3"/>
  <c r="P1328" i="3"/>
  <c r="Q1328" i="3"/>
  <c r="P2005" i="3"/>
  <c r="Q2005" i="3"/>
  <c r="P176" i="3"/>
  <c r="Q176" i="3"/>
  <c r="P431" i="3"/>
  <c r="Q431" i="3"/>
  <c r="P682" i="3"/>
  <c r="Q682" i="3"/>
  <c r="P972" i="3"/>
  <c r="Q972" i="3"/>
  <c r="P1257" i="3"/>
  <c r="Q1257" i="3"/>
  <c r="P1608" i="3"/>
  <c r="Q1608" i="3"/>
  <c r="P2291" i="3"/>
  <c r="Q2291" i="3"/>
  <c r="P481" i="3"/>
  <c r="Q481" i="3"/>
  <c r="P751" i="3"/>
  <c r="Q751" i="3"/>
  <c r="P1063" i="3"/>
  <c r="Q1063" i="3"/>
  <c r="P1365" i="3"/>
  <c r="Q1365" i="3"/>
  <c r="P2156" i="3"/>
  <c r="Q2156" i="3"/>
  <c r="P466" i="3"/>
  <c r="Q466" i="3"/>
  <c r="P717" i="3"/>
  <c r="Q717" i="3"/>
  <c r="P1011" i="3"/>
  <c r="Q1011" i="3"/>
  <c r="P1298" i="3"/>
  <c r="Q1298" i="3"/>
  <c r="P1913" i="3"/>
  <c r="Q1913" i="3"/>
  <c r="P435" i="3"/>
  <c r="Q435" i="3"/>
  <c r="P686" i="3"/>
  <c r="Q686" i="3"/>
  <c r="P958" i="3"/>
  <c r="Q958" i="3"/>
  <c r="P1280" i="3"/>
  <c r="Q1280" i="3"/>
  <c r="P1739" i="3"/>
  <c r="Q1739" i="3"/>
  <c r="P404" i="3"/>
  <c r="Q404" i="3"/>
  <c r="P655" i="3"/>
  <c r="Q655" i="3"/>
  <c r="P925" i="3"/>
  <c r="Q925" i="3"/>
  <c r="P1227" i="3"/>
  <c r="Q1227" i="3"/>
  <c r="P1578" i="3"/>
  <c r="Q1578" i="3"/>
  <c r="P357" i="3"/>
  <c r="Q357" i="3"/>
  <c r="P609" i="3"/>
  <c r="Q609" i="3"/>
  <c r="P875" i="3"/>
  <c r="Q875" i="3"/>
  <c r="P1157" i="3"/>
  <c r="Q1157" i="3"/>
  <c r="P1455" i="3"/>
  <c r="Q1455" i="3"/>
  <c r="P294" i="3"/>
  <c r="Q294" i="3"/>
  <c r="P547" i="3"/>
  <c r="Q547" i="3"/>
  <c r="P825" i="3"/>
  <c r="Q825" i="3"/>
  <c r="P1104" i="3"/>
  <c r="Q1104" i="3"/>
  <c r="P1404" i="3"/>
  <c r="Q1404" i="3"/>
  <c r="P2488" i="3"/>
  <c r="Q2488" i="3"/>
  <c r="P503" i="3"/>
  <c r="Q503" i="3"/>
  <c r="P776" i="3"/>
  <c r="Q776" i="3"/>
  <c r="P1051" i="3"/>
  <c r="Q1051" i="3"/>
  <c r="P1355" i="3"/>
  <c r="Q1355" i="3"/>
  <c r="P2074" i="3"/>
  <c r="Q2074" i="3"/>
  <c r="P297" i="3"/>
  <c r="Q297" i="3"/>
  <c r="P550" i="3"/>
  <c r="Q550" i="3"/>
  <c r="P811" i="3"/>
  <c r="Q811" i="3"/>
  <c r="P1090" i="3"/>
  <c r="Q1090" i="3"/>
  <c r="P1373" i="3"/>
  <c r="Q1373" i="3"/>
  <c r="P2229" i="3"/>
  <c r="Q2229" i="3"/>
  <c r="P904" i="3"/>
  <c r="Q904" i="3"/>
  <c r="P1150" i="3"/>
  <c r="Q1150" i="3"/>
  <c r="P1396" i="3"/>
  <c r="Q1396" i="3"/>
  <c r="P1646" i="3"/>
  <c r="Q1646" i="3"/>
  <c r="P1899" i="3"/>
  <c r="Q1899" i="3"/>
  <c r="P2149" i="3"/>
  <c r="Q2149" i="3"/>
  <c r="P2438" i="3"/>
  <c r="Q2438" i="3"/>
  <c r="P2745" i="3"/>
  <c r="Q2745" i="3"/>
  <c r="P1570" i="3"/>
  <c r="Q1570" i="3"/>
  <c r="P1837" i="3"/>
  <c r="Q1837" i="3"/>
  <c r="P2115" i="3"/>
  <c r="Q2115" i="3"/>
  <c r="P2404" i="3"/>
  <c r="Q2404" i="3"/>
  <c r="P2705" i="3"/>
  <c r="Q2705" i="3"/>
  <c r="P1555" i="3"/>
  <c r="Q1555" i="3"/>
  <c r="P1807" i="3"/>
  <c r="Q1807" i="3"/>
  <c r="P2057" i="3"/>
  <c r="Q2057" i="3"/>
  <c r="P2332" i="3"/>
  <c r="Q2332" i="3"/>
  <c r="P2663" i="3"/>
  <c r="Q2663" i="3"/>
  <c r="P1525" i="3"/>
  <c r="Q1525" i="3"/>
  <c r="P1776" i="3"/>
  <c r="Q1776" i="3"/>
  <c r="P2071" i="3"/>
  <c r="Q2071" i="3"/>
  <c r="P2351" i="3"/>
  <c r="Q2351" i="3"/>
  <c r="P2646" i="3"/>
  <c r="Q2646" i="3"/>
  <c r="P1510" i="3"/>
  <c r="Q1510" i="3"/>
  <c r="P1777" i="3"/>
  <c r="Q1777" i="3"/>
  <c r="P2027" i="3"/>
  <c r="Q2027" i="3"/>
  <c r="P2316" i="3"/>
  <c r="Q2316" i="3"/>
  <c r="P2606" i="3"/>
  <c r="Q2606" i="3"/>
  <c r="P743" i="3"/>
  <c r="Q743" i="3"/>
  <c r="P1030" i="3"/>
  <c r="Q1030" i="3"/>
  <c r="P1297" i="3"/>
  <c r="Q1297" i="3"/>
  <c r="P1558" i="3"/>
  <c r="Q1558" i="3"/>
  <c r="P1810" i="3"/>
  <c r="Q1810" i="3"/>
  <c r="P2073" i="3"/>
  <c r="Q2073" i="3"/>
  <c r="P2372" i="3"/>
  <c r="Q2372" i="3"/>
  <c r="P2709" i="3"/>
  <c r="Q2709" i="3"/>
  <c r="P3240" i="3"/>
  <c r="Q3240" i="3"/>
  <c r="P1859" i="3"/>
  <c r="Q1859" i="3"/>
  <c r="P2105" i="3"/>
  <c r="Q2105" i="3"/>
  <c r="P2411" i="3"/>
  <c r="Q2411" i="3"/>
  <c r="P2754" i="3"/>
  <c r="Q2754" i="3"/>
  <c r="P1968" i="3"/>
  <c r="Q1968" i="3"/>
  <c r="P2231" i="3"/>
  <c r="Q2231" i="3"/>
  <c r="P2517" i="3"/>
  <c r="Q2517" i="3"/>
  <c r="P2846" i="3"/>
  <c r="Q2846" i="3"/>
  <c r="P1924" i="3"/>
  <c r="Q1924" i="3"/>
  <c r="P2177" i="3"/>
  <c r="Q2177" i="3"/>
  <c r="P2482" i="3"/>
  <c r="Q2482" i="3"/>
  <c r="P2801" i="3"/>
  <c r="Q2801" i="3"/>
  <c r="P1610" i="3"/>
  <c r="Q1610" i="3"/>
  <c r="P1862" i="3"/>
  <c r="Q1862" i="3"/>
  <c r="P2108" i="3"/>
  <c r="Q2108" i="3"/>
  <c r="P2414" i="3"/>
  <c r="Q2414" i="3"/>
  <c r="P2716" i="3"/>
  <c r="Q2716" i="3"/>
  <c r="P1548" i="3"/>
  <c r="Q1548" i="3"/>
  <c r="P1800" i="3"/>
  <c r="Q1800" i="3"/>
  <c r="P2065" i="3"/>
  <c r="Q2065" i="3"/>
  <c r="P2342" i="3"/>
  <c r="Q2342" i="3"/>
  <c r="P2675" i="3"/>
  <c r="Q2675" i="3"/>
  <c r="P1518" i="3"/>
  <c r="Q1518" i="3"/>
  <c r="P1769" i="3"/>
  <c r="Q1769" i="3"/>
  <c r="P2019" i="3"/>
  <c r="Q2019" i="3"/>
  <c r="P2325" i="3"/>
  <c r="Q2325" i="3"/>
  <c r="P2637" i="3"/>
  <c r="Q2637" i="3"/>
  <c r="P1643" i="3"/>
  <c r="Q1643" i="3"/>
  <c r="P1896" i="3"/>
  <c r="Q1896" i="3"/>
  <c r="P2145" i="3"/>
  <c r="Q2145" i="3"/>
  <c r="P2434" i="3"/>
  <c r="Q2434" i="3"/>
  <c r="P2741" i="3"/>
  <c r="Q2741" i="3"/>
  <c r="P3340" i="3"/>
  <c r="Q3340" i="3"/>
  <c r="P1835" i="3"/>
  <c r="Q1835" i="3"/>
  <c r="P2083" i="3"/>
  <c r="Q2083" i="3"/>
  <c r="P2365" i="3"/>
  <c r="Q2365" i="3"/>
  <c r="P2659" i="3"/>
  <c r="Q2659" i="3"/>
  <c r="P2132" i="3"/>
  <c r="Q2132" i="3"/>
  <c r="P2386" i="3"/>
  <c r="Q2386" i="3"/>
  <c r="P2644" i="3"/>
  <c r="Q2644" i="3"/>
  <c r="P2950" i="3"/>
  <c r="Q2950" i="3"/>
  <c r="P3290" i="3"/>
  <c r="Q3290" i="3"/>
  <c r="P3787" i="3"/>
  <c r="Q3787" i="3"/>
  <c r="P3177" i="3"/>
  <c r="Q3177" i="3"/>
  <c r="P3593" i="3"/>
  <c r="Q3593" i="3"/>
  <c r="P3036" i="3"/>
  <c r="Q3036" i="3"/>
  <c r="P3419" i="3"/>
  <c r="Q3419" i="3"/>
  <c r="P2916" i="3"/>
  <c r="Q2916" i="3"/>
  <c r="P3271" i="3"/>
  <c r="Q3271" i="3"/>
  <c r="P3754" i="3"/>
  <c r="Q3754" i="3"/>
  <c r="P3140" i="3"/>
  <c r="Q3140" i="3"/>
  <c r="P3523" i="3"/>
  <c r="Q3523" i="3"/>
  <c r="P2201" i="3"/>
  <c r="Q2201" i="3"/>
  <c r="P2452" i="3"/>
  <c r="Q2452" i="3"/>
  <c r="P2739" i="3"/>
  <c r="Q2739" i="3"/>
  <c r="P3059" i="3"/>
  <c r="Q3059" i="3"/>
  <c r="P3424" i="3"/>
  <c r="Q3424" i="3"/>
  <c r="P3427" i="3"/>
  <c r="Q3427" i="3"/>
  <c r="P2940" i="3"/>
  <c r="Q2940" i="3"/>
  <c r="P3279" i="3"/>
  <c r="Q3279" i="3"/>
  <c r="P3806" i="3"/>
  <c r="Q3806" i="3"/>
  <c r="P3185" i="3"/>
  <c r="Q3185" i="3"/>
  <c r="P3650" i="3"/>
  <c r="Q3650" i="3"/>
  <c r="P3084" i="3"/>
  <c r="Q3084" i="3"/>
  <c r="P3454" i="3"/>
  <c r="Q3454" i="3"/>
  <c r="P3107" i="3"/>
  <c r="Q3107" i="3"/>
  <c r="P3573" i="3"/>
  <c r="Q3573" i="3"/>
  <c r="P3027" i="3"/>
  <c r="Q3027" i="3"/>
  <c r="P3384" i="3"/>
  <c r="Q3384" i="3"/>
  <c r="P2887" i="3"/>
  <c r="Q2887" i="3"/>
  <c r="P3236" i="3"/>
  <c r="Q3236" i="3"/>
  <c r="P3778" i="3"/>
  <c r="Q3778" i="3"/>
  <c r="P3131" i="3"/>
  <c r="Q3131" i="3"/>
  <c r="P3545" i="3"/>
  <c r="Q3545" i="3"/>
  <c r="P3546" i="3"/>
  <c r="Q3546" i="3"/>
  <c r="P3011" i="3"/>
  <c r="Q3011" i="3"/>
  <c r="P3439" i="3"/>
  <c r="Q3439" i="3"/>
  <c r="P2559" i="3"/>
  <c r="Q2559" i="3"/>
  <c r="P2830" i="3"/>
  <c r="Q2830" i="3"/>
  <c r="P3114" i="3"/>
  <c r="Q3114" i="3"/>
  <c r="P3406" i="3"/>
  <c r="Q3406" i="3"/>
  <c r="P3732" i="3"/>
  <c r="Q3732" i="3"/>
  <c r="P4047" i="3"/>
  <c r="Q4047" i="3"/>
  <c r="P3296" i="3"/>
  <c r="Q3296" i="3"/>
  <c r="P3598" i="3"/>
  <c r="Q3598" i="3"/>
  <c r="P3912" i="3"/>
  <c r="Q3912" i="3"/>
  <c r="P3677" i="3"/>
  <c r="Q3677" i="3"/>
  <c r="P3992" i="3"/>
  <c r="Q3992" i="3"/>
  <c r="P3757" i="3"/>
  <c r="Q3757" i="3"/>
  <c r="P4072" i="3"/>
  <c r="Q4072" i="3"/>
  <c r="P4056" i="3"/>
  <c r="Q4056" i="3"/>
  <c r="P2767" i="3"/>
  <c r="Q2767" i="3"/>
  <c r="P3087" i="3"/>
  <c r="Q3087" i="3"/>
  <c r="P3381" i="3"/>
  <c r="Q3381" i="3"/>
  <c r="P3704" i="3"/>
  <c r="Q3704" i="3"/>
  <c r="P4017" i="3"/>
  <c r="Q4017" i="3"/>
  <c r="P3763" i="3"/>
  <c r="Q3763" i="3"/>
  <c r="P4078" i="3"/>
  <c r="Q4078" i="3"/>
  <c r="P3823" i="3"/>
  <c r="Q3823" i="3"/>
  <c r="P4041" i="3"/>
  <c r="Q4041" i="3"/>
  <c r="P3808" i="3"/>
  <c r="Q3808" i="3"/>
  <c r="P3238" i="3"/>
  <c r="Q3238" i="3"/>
  <c r="P3536" i="3"/>
  <c r="Q3536" i="3"/>
  <c r="P3849" i="3"/>
  <c r="Q3849" i="3"/>
  <c r="P2823" i="3"/>
  <c r="Q2823" i="3"/>
  <c r="P3070" i="3"/>
  <c r="Q3070" i="3"/>
  <c r="P3347" i="3"/>
  <c r="Q3347" i="3"/>
  <c r="P3591" i="3"/>
  <c r="Q3591" i="3"/>
  <c r="P3845" i="3"/>
  <c r="Q3845" i="3"/>
  <c r="P3211" i="3"/>
  <c r="Q3211" i="3"/>
  <c r="P3496" i="3"/>
  <c r="Q3496" i="3"/>
  <c r="P3751" i="3"/>
  <c r="Q3751" i="3"/>
  <c r="P4006" i="3"/>
  <c r="Q4006" i="3"/>
  <c r="P2847" i="3"/>
  <c r="Q2847" i="3"/>
  <c r="P3126" i="3"/>
  <c r="Q3126" i="3"/>
  <c r="P3370" i="3"/>
  <c r="Q3370" i="3"/>
  <c r="P3615" i="3"/>
  <c r="Q3615" i="3"/>
  <c r="P3869" i="3"/>
  <c r="Q3869" i="3"/>
  <c r="P4095" i="3"/>
  <c r="Q4095" i="3"/>
  <c r="P520" i="3"/>
  <c r="Q520" i="3"/>
  <c r="P7" i="3"/>
  <c r="Q7" i="3"/>
  <c r="P170" i="3"/>
  <c r="Q170" i="3"/>
  <c r="P164" i="3"/>
  <c r="Q164" i="3"/>
  <c r="P663" i="3"/>
  <c r="Q663" i="3"/>
  <c r="P784" i="3"/>
  <c r="Q784" i="3"/>
  <c r="P500" i="3"/>
  <c r="Q500" i="3"/>
  <c r="P927" i="3"/>
  <c r="Q927" i="3"/>
  <c r="P994" i="3"/>
  <c r="Q994" i="3"/>
  <c r="P1648" i="3"/>
  <c r="Q1648" i="3"/>
  <c r="P2729" i="3"/>
  <c r="Q2729" i="3"/>
  <c r="P2062" i="3"/>
  <c r="Q2062" i="3"/>
  <c r="P1910" i="3"/>
  <c r="Q1910" i="3"/>
  <c r="P2539" i="3"/>
  <c r="Q2539" i="3"/>
  <c r="P2973" i="3"/>
  <c r="Q2973" i="3"/>
  <c r="P2859" i="3"/>
  <c r="Q2859" i="3"/>
  <c r="P3651" i="3"/>
  <c r="Q3651" i="3"/>
  <c r="P3780" i="3"/>
  <c r="Q3780" i="3"/>
  <c r="P3715" i="3"/>
  <c r="Q3715" i="3"/>
  <c r="P3881" i="3"/>
  <c r="Q3881" i="3"/>
  <c r="P3218" i="3"/>
  <c r="Q3218" i="3"/>
  <c r="P25" i="3"/>
  <c r="Q25" i="3"/>
  <c r="P149" i="3"/>
  <c r="Q149" i="3"/>
  <c r="P1052" i="3"/>
  <c r="Q1052" i="3"/>
  <c r="P243" i="3"/>
  <c r="Q243" i="3"/>
  <c r="P111" i="3"/>
  <c r="Q111" i="3"/>
  <c r="P1151" i="3"/>
  <c r="Q1151" i="3"/>
  <c r="P239" i="3"/>
  <c r="Q239" i="3"/>
  <c r="P1169" i="3"/>
  <c r="Q1169" i="3"/>
  <c r="P242" i="3"/>
  <c r="Q242" i="3"/>
  <c r="P79" i="3"/>
  <c r="Q79" i="3"/>
  <c r="P1187" i="3"/>
  <c r="Q1187" i="3"/>
  <c r="P244" i="3"/>
  <c r="Q244" i="3"/>
  <c r="P83" i="3"/>
  <c r="Q83" i="3"/>
  <c r="P929" i="3"/>
  <c r="Q929" i="3"/>
  <c r="P229" i="3"/>
  <c r="Q229" i="3"/>
  <c r="P103" i="3"/>
  <c r="Q103" i="3"/>
  <c r="P1372" i="3"/>
  <c r="Q1372" i="3"/>
  <c r="P267" i="3"/>
  <c r="Q267" i="3"/>
  <c r="P105" i="3"/>
  <c r="Q105" i="3"/>
  <c r="P1106" i="3"/>
  <c r="Q1106" i="3"/>
  <c r="P233" i="3"/>
  <c r="Q233" i="3"/>
  <c r="P72" i="3"/>
  <c r="Q72" i="3"/>
  <c r="P852" i="3"/>
  <c r="Q852" i="3"/>
  <c r="P171" i="3"/>
  <c r="Q171" i="3"/>
  <c r="P426" i="3"/>
  <c r="Q426" i="3"/>
  <c r="P677" i="3"/>
  <c r="Q677" i="3"/>
  <c r="P966" i="3"/>
  <c r="Q966" i="3"/>
  <c r="P1252" i="3"/>
  <c r="Q1252" i="3"/>
  <c r="P1593" i="3"/>
  <c r="Q1593" i="3"/>
  <c r="P379" i="3"/>
  <c r="Q379" i="3"/>
  <c r="P630" i="3"/>
  <c r="Q630" i="3"/>
  <c r="P915" i="3"/>
  <c r="Q915" i="3"/>
  <c r="P1199" i="3"/>
  <c r="Q1199" i="3"/>
  <c r="P1487" i="3"/>
  <c r="Q1487" i="3"/>
  <c r="P332" i="3"/>
  <c r="Q332" i="3"/>
  <c r="P584" i="3"/>
  <c r="Q584" i="3"/>
  <c r="P849" i="3"/>
  <c r="Q849" i="3"/>
  <c r="P1128" i="3"/>
  <c r="Q1128" i="3"/>
  <c r="P1410" i="3"/>
  <c r="Q1410" i="3"/>
  <c r="P2700" i="3"/>
  <c r="Q2700" i="3"/>
  <c r="P525" i="3"/>
  <c r="Q525" i="3"/>
  <c r="P782" i="3"/>
  <c r="Q782" i="3"/>
  <c r="P1111" i="3"/>
  <c r="Q1111" i="3"/>
  <c r="P1411" i="3"/>
  <c r="Q1411" i="3"/>
  <c r="P2550" i="3"/>
  <c r="Q2550" i="3"/>
  <c r="P510" i="3"/>
  <c r="Q510" i="3"/>
  <c r="P783" i="3"/>
  <c r="Q783" i="3"/>
  <c r="P1059" i="3"/>
  <c r="Q1059" i="3"/>
  <c r="P1345" i="3"/>
  <c r="Q1345" i="3"/>
  <c r="P2128" i="3"/>
  <c r="Q2128" i="3"/>
  <c r="P192" i="3"/>
  <c r="Q192" i="3"/>
  <c r="P447" i="3"/>
  <c r="Q447" i="3"/>
  <c r="P698" i="3"/>
  <c r="Q698" i="3"/>
  <c r="P990" i="3"/>
  <c r="Q990" i="3"/>
  <c r="P1275" i="3"/>
  <c r="Q1275" i="3"/>
  <c r="P1660" i="3"/>
  <c r="Q1660" i="3"/>
  <c r="P2435" i="3"/>
  <c r="Q2435" i="3"/>
  <c r="P497" i="3"/>
  <c r="Q497" i="3"/>
  <c r="P769" i="3"/>
  <c r="Q769" i="3"/>
  <c r="P1081" i="3"/>
  <c r="Q1081" i="3"/>
  <c r="P1381" i="3"/>
  <c r="Q1381" i="3"/>
  <c r="P2300" i="3"/>
  <c r="Q2300" i="3"/>
  <c r="P482" i="3"/>
  <c r="Q482" i="3"/>
  <c r="P735" i="3"/>
  <c r="Q735" i="3"/>
  <c r="P1028" i="3"/>
  <c r="Q1028" i="3"/>
  <c r="P1316" i="3"/>
  <c r="Q1316" i="3"/>
  <c r="P2037" i="3"/>
  <c r="Q2037" i="3"/>
  <c r="P451" i="3"/>
  <c r="Q451" i="3"/>
  <c r="P702" i="3"/>
  <c r="Q702" i="3"/>
  <c r="P976" i="3"/>
  <c r="Q976" i="3"/>
  <c r="P1299" i="3"/>
  <c r="Q1299" i="3"/>
  <c r="P1818" i="3"/>
  <c r="Q1818" i="3"/>
  <c r="P420" i="3"/>
  <c r="Q420" i="3"/>
  <c r="P671" i="3"/>
  <c r="Q671" i="3"/>
  <c r="P943" i="3"/>
  <c r="Q943" i="3"/>
  <c r="P1245" i="3"/>
  <c r="Q1245" i="3"/>
  <c r="P1623" i="3"/>
  <c r="Q1623" i="3"/>
  <c r="P373" i="3"/>
  <c r="Q373" i="3"/>
  <c r="P624" i="3"/>
  <c r="Q624" i="3"/>
  <c r="P893" i="3"/>
  <c r="Q893" i="3"/>
  <c r="P1175" i="3"/>
  <c r="Q1175" i="3"/>
  <c r="P1473" i="3"/>
  <c r="Q1473" i="3"/>
  <c r="P310" i="3"/>
  <c r="Q310" i="3"/>
  <c r="P578" i="3"/>
  <c r="Q578" i="3"/>
  <c r="P842" i="3"/>
  <c r="Q842" i="3"/>
  <c r="P1121" i="3"/>
  <c r="Q1121" i="3"/>
  <c r="P1422" i="3"/>
  <c r="Q1422" i="3"/>
  <c r="P2639" i="3"/>
  <c r="Q2639" i="3"/>
  <c r="P519" i="3"/>
  <c r="Q519" i="3"/>
  <c r="P794" i="3"/>
  <c r="Q794" i="3"/>
  <c r="P1069" i="3"/>
  <c r="Q1069" i="3"/>
  <c r="P1371" i="3"/>
  <c r="Q1371" i="3"/>
  <c r="P2210" i="3"/>
  <c r="Q2210" i="3"/>
  <c r="P313" i="3"/>
  <c r="Q313" i="3"/>
  <c r="P565" i="3"/>
  <c r="Q565" i="3"/>
  <c r="P828" i="3"/>
  <c r="Q828" i="3"/>
  <c r="P1107" i="3"/>
  <c r="Q1107" i="3"/>
  <c r="P1389" i="3"/>
  <c r="Q1389" i="3"/>
  <c r="P2373" i="3"/>
  <c r="Q2373" i="3"/>
  <c r="P918" i="3"/>
  <c r="Q918" i="3"/>
  <c r="P1166" i="3"/>
  <c r="Q1166" i="3"/>
  <c r="P1412" i="3"/>
  <c r="Q1412" i="3"/>
  <c r="P1662" i="3"/>
  <c r="Q1662" i="3"/>
  <c r="P1915" i="3"/>
  <c r="Q1915" i="3"/>
  <c r="P2167" i="3"/>
  <c r="Q2167" i="3"/>
  <c r="P2455" i="3"/>
  <c r="Q2455" i="3"/>
  <c r="P2765" i="3"/>
  <c r="Q2765" i="3"/>
  <c r="P1586" i="3"/>
  <c r="Q1586" i="3"/>
  <c r="P1853" i="3"/>
  <c r="Q1853" i="3"/>
  <c r="P2131" i="3"/>
  <c r="Q2131" i="3"/>
  <c r="P2422" i="3"/>
  <c r="Q2422" i="3"/>
  <c r="P2725" i="3"/>
  <c r="Q2725" i="3"/>
  <c r="P1571" i="3"/>
  <c r="Q1571" i="3"/>
  <c r="P1822" i="3"/>
  <c r="Q1822" i="3"/>
  <c r="P2070" i="3"/>
  <c r="Q2070" i="3"/>
  <c r="P2350" i="3"/>
  <c r="Q2350" i="3"/>
  <c r="P2685" i="3"/>
  <c r="Q2685" i="3"/>
  <c r="P1540" i="3"/>
  <c r="Q1540" i="3"/>
  <c r="P1792" i="3"/>
  <c r="Q1792" i="3"/>
  <c r="P2086" i="3"/>
  <c r="Q2086" i="3"/>
  <c r="P2369" i="3"/>
  <c r="Q2369" i="3"/>
  <c r="P2665" i="3"/>
  <c r="Q2665" i="3"/>
  <c r="P1526" i="3"/>
  <c r="Q1526" i="3"/>
  <c r="P1793" i="3"/>
  <c r="Q1793" i="3"/>
  <c r="P2043" i="3"/>
  <c r="Q2043" i="3"/>
  <c r="P2334" i="3"/>
  <c r="Q2334" i="3"/>
  <c r="P2628" i="3"/>
  <c r="Q2628" i="3"/>
  <c r="P759" i="3"/>
  <c r="Q759" i="3"/>
  <c r="P1045" i="3"/>
  <c r="Q1045" i="3"/>
  <c r="P1313" i="3"/>
  <c r="Q1313" i="3"/>
  <c r="P1574" i="3"/>
  <c r="Q1574" i="3"/>
  <c r="P1825" i="3"/>
  <c r="Q1825" i="3"/>
  <c r="P2088" i="3"/>
  <c r="Q2088" i="3"/>
  <c r="P2390" i="3"/>
  <c r="Q2390" i="3"/>
  <c r="P2730" i="3"/>
  <c r="Q2730" i="3"/>
  <c r="P1607" i="3"/>
  <c r="Q1607" i="3"/>
  <c r="P1875" i="3"/>
  <c r="Q1875" i="3"/>
  <c r="P2139" i="3"/>
  <c r="Q2139" i="3"/>
  <c r="P2428" i="3"/>
  <c r="Q2428" i="3"/>
  <c r="P2773" i="3"/>
  <c r="Q2773" i="3"/>
  <c r="P1983" i="3"/>
  <c r="Q1983" i="3"/>
  <c r="P2249" i="3"/>
  <c r="Q2249" i="3"/>
  <c r="P2534" i="3"/>
  <c r="Q2534" i="3"/>
  <c r="P2869" i="3"/>
  <c r="Q2869" i="3"/>
  <c r="P1940" i="3"/>
  <c r="Q1940" i="3"/>
  <c r="P2195" i="3"/>
  <c r="Q2195" i="3"/>
  <c r="P2500" i="3"/>
  <c r="Q2500" i="3"/>
  <c r="P2825" i="3"/>
  <c r="Q2825" i="3"/>
  <c r="P1625" i="3"/>
  <c r="Q1625" i="3"/>
  <c r="P1878" i="3"/>
  <c r="Q1878" i="3"/>
  <c r="P2142" i="3"/>
  <c r="Q2142" i="3"/>
  <c r="P2431" i="3"/>
  <c r="Q2431" i="3"/>
  <c r="P2737" i="3"/>
  <c r="Q2737" i="3"/>
  <c r="P1564" i="3"/>
  <c r="Q1564" i="3"/>
  <c r="P1815" i="3"/>
  <c r="Q1815" i="3"/>
  <c r="P2079" i="3"/>
  <c r="Q2079" i="3"/>
  <c r="P2361" i="3"/>
  <c r="Q2361" i="3"/>
  <c r="P2695" i="3"/>
  <c r="Q2695" i="3"/>
  <c r="P1534" i="3"/>
  <c r="Q1534" i="3"/>
  <c r="P1785" i="3"/>
  <c r="Q1785" i="3"/>
  <c r="P2035" i="3"/>
  <c r="Q2035" i="3"/>
  <c r="P2344" i="3"/>
  <c r="Q2344" i="3"/>
  <c r="P2655" i="3"/>
  <c r="Q2655" i="3"/>
  <c r="P1659" i="3"/>
  <c r="Q1659" i="3"/>
  <c r="P1912" i="3"/>
  <c r="Q1912" i="3"/>
  <c r="P2163" i="3"/>
  <c r="Q2163" i="3"/>
  <c r="P2451" i="3"/>
  <c r="Q2451" i="3"/>
  <c r="P2762" i="3"/>
  <c r="Q2762" i="3"/>
  <c r="P1600" i="3"/>
  <c r="Q1600" i="3"/>
  <c r="P1851" i="3"/>
  <c r="Q1851" i="3"/>
  <c r="P2097" i="3"/>
  <c r="Q2097" i="3"/>
  <c r="P2383" i="3"/>
  <c r="Q2383" i="3"/>
  <c r="P2681" i="3"/>
  <c r="Q2681" i="3"/>
  <c r="P2148" i="3"/>
  <c r="Q2148" i="3"/>
  <c r="P2402" i="3"/>
  <c r="Q2402" i="3"/>
  <c r="P2660" i="3"/>
  <c r="Q2660" i="3"/>
  <c r="P2972" i="3"/>
  <c r="Q2972" i="3"/>
  <c r="P3318" i="3"/>
  <c r="Q3318" i="3"/>
  <c r="P3832" i="3"/>
  <c r="Q3832" i="3"/>
  <c r="P3196" i="3"/>
  <c r="Q3196" i="3"/>
  <c r="P3632" i="3"/>
  <c r="Q3632" i="3"/>
  <c r="P3056" i="3"/>
  <c r="Q3056" i="3"/>
  <c r="P3444" i="3"/>
  <c r="Q3444" i="3"/>
  <c r="P2934" i="3"/>
  <c r="Q2934" i="3"/>
  <c r="P3297" i="3"/>
  <c r="Q3297" i="3"/>
  <c r="P3797" i="3"/>
  <c r="Q3797" i="3"/>
  <c r="P3160" i="3"/>
  <c r="Q3160" i="3"/>
  <c r="P3563" i="3"/>
  <c r="Q3563" i="3"/>
  <c r="P2217" i="3"/>
  <c r="Q2217" i="3"/>
  <c r="P2468" i="3"/>
  <c r="Q2468" i="3"/>
  <c r="P2757" i="3"/>
  <c r="Q2757" i="3"/>
  <c r="P3080" i="3"/>
  <c r="Q3080" i="3"/>
  <c r="P3448" i="3"/>
  <c r="Q3448" i="3"/>
  <c r="P3449" i="3"/>
  <c r="Q3449" i="3"/>
  <c r="P2959" i="3"/>
  <c r="Q2959" i="3"/>
  <c r="P3303" i="3"/>
  <c r="Q3303" i="3"/>
  <c r="P3851" i="3"/>
  <c r="Q3851" i="3"/>
  <c r="P3206" i="3"/>
  <c r="Q3206" i="3"/>
  <c r="P3689" i="3"/>
  <c r="Q3689" i="3"/>
  <c r="P3106" i="3"/>
  <c r="Q3106" i="3"/>
  <c r="P3476" i="3"/>
  <c r="Q3476" i="3"/>
  <c r="P3128" i="3"/>
  <c r="Q3128" i="3"/>
  <c r="P3613" i="3"/>
  <c r="Q3613" i="3"/>
  <c r="P3047" i="3"/>
  <c r="Q3047" i="3"/>
  <c r="P3410" i="3"/>
  <c r="Q3410" i="3"/>
  <c r="P2907" i="3"/>
  <c r="Q2907" i="3"/>
  <c r="P3262" i="3"/>
  <c r="Q3262" i="3"/>
  <c r="P3819" i="3"/>
  <c r="Q3819" i="3"/>
  <c r="P3171" i="3"/>
  <c r="Q3171" i="3"/>
  <c r="P3584" i="3"/>
  <c r="Q3584" i="3"/>
  <c r="P3585" i="3"/>
  <c r="Q3585" i="3"/>
  <c r="P3031" i="3"/>
  <c r="Q3031" i="3"/>
  <c r="P3462" i="3"/>
  <c r="Q3462" i="3"/>
  <c r="P2573" i="3"/>
  <c r="Q2573" i="3"/>
  <c r="P2849" i="3"/>
  <c r="Q2849" i="3"/>
  <c r="P3132" i="3"/>
  <c r="Q3132" i="3"/>
  <c r="P3426" i="3"/>
  <c r="Q3426" i="3"/>
  <c r="P3753" i="3"/>
  <c r="Q3753" i="3"/>
  <c r="P4066" i="3"/>
  <c r="Q4066" i="3"/>
  <c r="P3314" i="3"/>
  <c r="Q3314" i="3"/>
  <c r="P3618" i="3"/>
  <c r="Q3618" i="3"/>
  <c r="P3931" i="3"/>
  <c r="Q3931" i="3"/>
  <c r="P3697" i="3"/>
  <c r="Q3697" i="3"/>
  <c r="P4011" i="3"/>
  <c r="Q4011" i="3"/>
  <c r="P3777" i="3"/>
  <c r="Q3777" i="3"/>
  <c r="P3994" i="3"/>
  <c r="Q3994" i="3"/>
  <c r="P4075" i="3"/>
  <c r="Q4075" i="3"/>
  <c r="P2785" i="3"/>
  <c r="Q2785" i="3"/>
  <c r="P3105" i="3"/>
  <c r="Q3105" i="3"/>
  <c r="P3416" i="3"/>
  <c r="Q3416" i="3"/>
  <c r="P3723" i="3"/>
  <c r="Q3723" i="3"/>
  <c r="P4036" i="3"/>
  <c r="Q4036" i="3"/>
  <c r="P3784" i="3"/>
  <c r="Q3784" i="3"/>
  <c r="P3530" i="3"/>
  <c r="Q3530" i="3"/>
  <c r="P3842" i="3"/>
  <c r="Q3842" i="3"/>
  <c r="P4060" i="3"/>
  <c r="Q4060" i="3"/>
  <c r="P3827" i="3"/>
  <c r="Q3827" i="3"/>
  <c r="P3257" i="3"/>
  <c r="Q3257" i="3"/>
  <c r="P3555" i="3"/>
  <c r="Q3555" i="3"/>
  <c r="P3868" i="3"/>
  <c r="Q3868" i="3"/>
  <c r="P2839" i="3"/>
  <c r="Q2839" i="3"/>
  <c r="P3086" i="3"/>
  <c r="Q3086" i="3"/>
  <c r="P3362" i="3"/>
  <c r="Q3362" i="3"/>
  <c r="P3607" i="3"/>
  <c r="Q3607" i="3"/>
  <c r="P3861" i="3"/>
  <c r="Q3861" i="3"/>
  <c r="P3226" i="3"/>
  <c r="Q3226" i="3"/>
  <c r="P3512" i="3"/>
  <c r="Q3512" i="3"/>
  <c r="P3767" i="3"/>
  <c r="Q3767" i="3"/>
  <c r="P4022" i="3"/>
  <c r="Q4022" i="3"/>
  <c r="P2863" i="3"/>
  <c r="Q2863" i="3"/>
  <c r="P3142" i="3"/>
  <c r="Q3142" i="3"/>
  <c r="P3385" i="3"/>
  <c r="Q3385" i="3"/>
  <c r="P3631" i="3"/>
  <c r="Q3631" i="3"/>
  <c r="P3885" i="3"/>
  <c r="Q3885" i="3"/>
  <c r="P4096" i="3"/>
  <c r="Q4096" i="3"/>
  <c r="P62" i="3"/>
  <c r="Q62" i="3"/>
  <c r="P204" i="3"/>
  <c r="Q204" i="3"/>
  <c r="P572" i="3"/>
  <c r="Q572" i="3"/>
  <c r="P934" i="3"/>
  <c r="Q934" i="3"/>
  <c r="P271" i="3"/>
  <c r="Q271" i="3"/>
  <c r="P838" i="3"/>
  <c r="Q838" i="3"/>
  <c r="P704" i="3"/>
  <c r="Q704" i="3"/>
  <c r="P393" i="3"/>
  <c r="Q393" i="3"/>
  <c r="P1663" i="3"/>
  <c r="Q1663" i="3"/>
  <c r="P2458" i="3"/>
  <c r="Q2458" i="3"/>
  <c r="P2843" i="3"/>
  <c r="Q2843" i="3"/>
  <c r="P1955" i="3"/>
  <c r="Q1955" i="3"/>
  <c r="P2761" i="3"/>
  <c r="Q2761" i="3"/>
  <c r="P2751" i="3"/>
  <c r="Q2751" i="3"/>
  <c r="P3603" i="3"/>
  <c r="Q3603" i="3"/>
  <c r="P3411" i="3"/>
  <c r="Q3411" i="3"/>
  <c r="P3795" i="3"/>
  <c r="Q3795" i="3"/>
  <c r="P3592" i="3"/>
  <c r="Q3592" i="3"/>
  <c r="P53" i="3"/>
  <c r="Q53" i="3"/>
  <c r="P328" i="3"/>
  <c r="Q328" i="3"/>
  <c r="P384" i="3"/>
  <c r="Q384" i="3"/>
  <c r="P202" i="3"/>
  <c r="Q202" i="3"/>
  <c r="P280" i="3"/>
  <c r="Q280" i="3"/>
  <c r="P135" i="3"/>
  <c r="Q135" i="3"/>
  <c r="P110" i="3"/>
  <c r="Q110" i="3"/>
  <c r="P1142" i="3"/>
  <c r="Q1142" i="3"/>
  <c r="P114" i="3"/>
  <c r="Q114" i="3"/>
  <c r="P38" i="3"/>
  <c r="Q38" i="3"/>
  <c r="P16" i="3"/>
  <c r="Q16" i="3"/>
  <c r="P128" i="3"/>
  <c r="Q128" i="3"/>
  <c r="P1286" i="3"/>
  <c r="Q1286" i="3"/>
  <c r="P1295" i="3"/>
  <c r="Q1295" i="3"/>
  <c r="P257" i="3"/>
  <c r="Q257" i="3"/>
  <c r="P132" i="3"/>
  <c r="Q132" i="3"/>
  <c r="P1314" i="3"/>
  <c r="Q1314" i="3"/>
  <c r="P259" i="3"/>
  <c r="Q259" i="3"/>
  <c r="P98" i="3"/>
  <c r="Q98" i="3"/>
  <c r="P1330" i="3"/>
  <c r="Q1330" i="3"/>
  <c r="P262" i="3"/>
  <c r="Q262" i="3"/>
  <c r="P101" i="3"/>
  <c r="Q101" i="3"/>
  <c r="P1070" i="3"/>
  <c r="Q1070" i="3"/>
  <c r="P246" i="3"/>
  <c r="Q246" i="3"/>
  <c r="P121" i="3"/>
  <c r="Q121" i="3"/>
  <c r="P1551" i="3"/>
  <c r="Q1551" i="3"/>
  <c r="P304" i="3"/>
  <c r="Q304" i="3"/>
  <c r="P123" i="3"/>
  <c r="Q123" i="3"/>
  <c r="P1250" i="3"/>
  <c r="Q1250" i="3"/>
  <c r="P251" i="3"/>
  <c r="Q251" i="3"/>
  <c r="P90" i="3"/>
  <c r="Q90" i="3"/>
  <c r="P991" i="3"/>
  <c r="Q991" i="3"/>
  <c r="P187" i="3"/>
  <c r="Q187" i="3"/>
  <c r="P442" i="3"/>
  <c r="Q442" i="3"/>
  <c r="P693" i="3"/>
  <c r="Q693" i="3"/>
  <c r="P985" i="3"/>
  <c r="Q985" i="3"/>
  <c r="P1270" i="3"/>
  <c r="Q1270" i="3"/>
  <c r="P1639" i="3"/>
  <c r="Q1639" i="3"/>
  <c r="P395" i="3"/>
  <c r="Q395" i="3"/>
  <c r="P646" i="3"/>
  <c r="Q646" i="3"/>
  <c r="P932" i="3"/>
  <c r="Q932" i="3"/>
  <c r="P1217" i="3"/>
  <c r="Q1217" i="3"/>
  <c r="P1521" i="3"/>
  <c r="Q1521" i="3"/>
  <c r="P348" i="3"/>
  <c r="Q348" i="3"/>
  <c r="P600" i="3"/>
  <c r="Q600" i="3"/>
  <c r="P866" i="3"/>
  <c r="Q866" i="3"/>
  <c r="P1146" i="3"/>
  <c r="Q1146" i="3"/>
  <c r="P1429" i="3"/>
  <c r="Q1429" i="3"/>
  <c r="P285" i="3"/>
  <c r="Q285" i="3"/>
  <c r="P540" i="3"/>
  <c r="Q540" i="3"/>
  <c r="P816" i="3"/>
  <c r="Q816" i="3"/>
  <c r="P1129" i="3"/>
  <c r="Q1129" i="3"/>
  <c r="P1430" i="3"/>
  <c r="Q1430" i="3"/>
  <c r="P2710" i="3"/>
  <c r="Q2710" i="3"/>
  <c r="P526" i="3"/>
  <c r="Q526" i="3"/>
  <c r="P800" i="3"/>
  <c r="Q800" i="3"/>
  <c r="P1078" i="3"/>
  <c r="Q1078" i="3"/>
  <c r="P1362" i="3"/>
  <c r="Q1362" i="3"/>
  <c r="P2272" i="3"/>
  <c r="Q2272" i="3"/>
  <c r="P208" i="3"/>
  <c r="Q208" i="3"/>
  <c r="P463" i="3"/>
  <c r="Q463" i="3"/>
  <c r="P714" i="3"/>
  <c r="Q714" i="3"/>
  <c r="P1007" i="3"/>
  <c r="Q1007" i="3"/>
  <c r="P1294" i="3"/>
  <c r="Q1294" i="3"/>
  <c r="P1723" i="3"/>
  <c r="Q1723" i="3"/>
  <c r="P2580" i="3"/>
  <c r="Q2580" i="3"/>
  <c r="P513" i="3"/>
  <c r="Q513" i="3"/>
  <c r="P787" i="3"/>
  <c r="Q787" i="3"/>
  <c r="P1099" i="3"/>
  <c r="Q1099" i="3"/>
  <c r="P1398" i="3"/>
  <c r="Q1398" i="3"/>
  <c r="P2444" i="3"/>
  <c r="Q2444" i="3"/>
  <c r="P498" i="3"/>
  <c r="Q498" i="3"/>
  <c r="P752" i="3"/>
  <c r="Q752" i="3"/>
  <c r="P1046" i="3"/>
  <c r="Q1046" i="3"/>
  <c r="P1331" i="3"/>
  <c r="Q1331" i="3"/>
  <c r="P2165" i="3"/>
  <c r="Q2165" i="3"/>
  <c r="P467" i="3"/>
  <c r="Q467" i="3"/>
  <c r="P718" i="3"/>
  <c r="Q718" i="3"/>
  <c r="P1012" i="3"/>
  <c r="Q1012" i="3"/>
  <c r="P1317" i="3"/>
  <c r="Q1317" i="3"/>
  <c r="P1921" i="3"/>
  <c r="Q1921" i="3"/>
  <c r="P436" i="3"/>
  <c r="Q436" i="3"/>
  <c r="P687" i="3"/>
  <c r="Q687" i="3"/>
  <c r="P959" i="3"/>
  <c r="Q959" i="3"/>
  <c r="P1263" i="3"/>
  <c r="Q1263" i="3"/>
  <c r="P1684" i="3"/>
  <c r="Q1684" i="3"/>
  <c r="P389" i="3"/>
  <c r="Q389" i="3"/>
  <c r="P640" i="3"/>
  <c r="Q640" i="3"/>
  <c r="P909" i="3"/>
  <c r="Q909" i="3"/>
  <c r="P1192" i="3"/>
  <c r="Q1192" i="3"/>
  <c r="P1512" i="3"/>
  <c r="Q1512" i="3"/>
  <c r="P326" i="3"/>
  <c r="Q326" i="3"/>
  <c r="P594" i="3"/>
  <c r="Q594" i="3"/>
  <c r="P859" i="3"/>
  <c r="Q859" i="3"/>
  <c r="P1140" i="3"/>
  <c r="Q1140" i="3"/>
  <c r="P1439" i="3"/>
  <c r="Q1439" i="3"/>
  <c r="P2808" i="3"/>
  <c r="Q2808" i="3"/>
  <c r="P548" i="3"/>
  <c r="Q548" i="3"/>
  <c r="P810" i="3"/>
  <c r="Q810" i="3"/>
  <c r="P1087" i="3"/>
  <c r="Q1087" i="3"/>
  <c r="P1387" i="3"/>
  <c r="Q1387" i="3"/>
  <c r="P2355" i="3"/>
  <c r="Q2355" i="3"/>
  <c r="P329" i="3"/>
  <c r="Q329" i="3"/>
  <c r="P581" i="3"/>
  <c r="Q581" i="3"/>
  <c r="P846" i="3"/>
  <c r="Q846" i="3"/>
  <c r="P1125" i="3"/>
  <c r="Q1125" i="3"/>
  <c r="P1407" i="3"/>
  <c r="Q1407" i="3"/>
  <c r="P2515" i="3"/>
  <c r="Q2515" i="3"/>
  <c r="P933" i="3"/>
  <c r="Q933" i="3"/>
  <c r="P1181" i="3"/>
  <c r="Q1181" i="3"/>
  <c r="P1428" i="3"/>
  <c r="Q1428" i="3"/>
  <c r="P1678" i="3"/>
  <c r="Q1678" i="3"/>
  <c r="P1931" i="3"/>
  <c r="Q1931" i="3"/>
  <c r="P2186" i="3"/>
  <c r="Q2186" i="3"/>
  <c r="P2473" i="3"/>
  <c r="Q2473" i="3"/>
  <c r="P2787" i="3"/>
  <c r="Q2787" i="3"/>
  <c r="P1602" i="3"/>
  <c r="Q1602" i="3"/>
  <c r="P1869" i="3"/>
  <c r="Q1869" i="3"/>
  <c r="P2150" i="3"/>
  <c r="Q2150" i="3"/>
  <c r="P2439" i="3"/>
  <c r="Q2439" i="3"/>
  <c r="P2746" i="3"/>
  <c r="Q2746" i="3"/>
  <c r="P1587" i="3"/>
  <c r="Q1587" i="3"/>
  <c r="P1838" i="3"/>
  <c r="Q1838" i="3"/>
  <c r="P2085" i="3"/>
  <c r="Q2085" i="3"/>
  <c r="P2368" i="3"/>
  <c r="Q2368" i="3"/>
  <c r="P2706" i="3"/>
  <c r="Q2706" i="3"/>
  <c r="P1556" i="3"/>
  <c r="Q1556" i="3"/>
  <c r="P1808" i="3"/>
  <c r="Q1808" i="3"/>
  <c r="P2101" i="3"/>
  <c r="Q2101" i="3"/>
  <c r="P2388" i="3"/>
  <c r="Q2388" i="3"/>
  <c r="P2686" i="3"/>
  <c r="Q2686" i="3"/>
  <c r="P1541" i="3"/>
  <c r="Q1541" i="3"/>
  <c r="P1809" i="3"/>
  <c r="Q1809" i="3"/>
  <c r="P2058" i="3"/>
  <c r="Q2058" i="3"/>
  <c r="P2352" i="3"/>
  <c r="Q2352" i="3"/>
  <c r="P2647" i="3"/>
  <c r="Q2647" i="3"/>
  <c r="P774" i="3"/>
  <c r="Q774" i="3"/>
  <c r="P1061" i="3"/>
  <c r="Q1061" i="3"/>
  <c r="P1327" i="3"/>
  <c r="Q1327" i="3"/>
  <c r="P1590" i="3"/>
  <c r="Q1590" i="3"/>
  <c r="P1841" i="3"/>
  <c r="Q1841" i="3"/>
  <c r="P2103" i="3"/>
  <c r="Q2103" i="3"/>
  <c r="P2409" i="3"/>
  <c r="Q2409" i="3"/>
  <c r="P2750" i="3"/>
  <c r="Q2750" i="3"/>
  <c r="P1622" i="3"/>
  <c r="Q1622" i="3"/>
  <c r="P1890" i="3"/>
  <c r="Q1890" i="3"/>
  <c r="P2157" i="3"/>
  <c r="Q2157" i="3"/>
  <c r="P2445" i="3"/>
  <c r="Q2445" i="3"/>
  <c r="P2798" i="3"/>
  <c r="Q2798" i="3"/>
  <c r="P1999" i="3"/>
  <c r="Q1999" i="3"/>
  <c r="P2266" i="3"/>
  <c r="Q2266" i="3"/>
  <c r="P2553" i="3"/>
  <c r="Q2553" i="3"/>
  <c r="P2897" i="3"/>
  <c r="Q2897" i="3"/>
  <c r="P1954" i="3"/>
  <c r="Q1954" i="3"/>
  <c r="P2214" i="3"/>
  <c r="Q2214" i="3"/>
  <c r="P2518" i="3"/>
  <c r="Q2518" i="3"/>
  <c r="P2848" i="3"/>
  <c r="Q2848" i="3"/>
  <c r="P1640" i="3"/>
  <c r="Q1640" i="3"/>
  <c r="P1893" i="3"/>
  <c r="Q1893" i="3"/>
  <c r="P2160" i="3"/>
  <c r="Q2160" i="3"/>
  <c r="P2448" i="3"/>
  <c r="Q2448" i="3"/>
  <c r="P2758" i="3"/>
  <c r="Q2758" i="3"/>
  <c r="P1580" i="3"/>
  <c r="Q1580" i="3"/>
  <c r="P1831" i="3"/>
  <c r="Q1831" i="3"/>
  <c r="P2094" i="3"/>
  <c r="Q2094" i="3"/>
  <c r="P2379" i="3"/>
  <c r="Q2379" i="3"/>
  <c r="P2717" i="3"/>
  <c r="Q2717" i="3"/>
  <c r="P1549" i="3"/>
  <c r="Q1549" i="3"/>
  <c r="P1801" i="3"/>
  <c r="Q1801" i="3"/>
  <c r="P2051" i="3"/>
  <c r="Q2051" i="3"/>
  <c r="P2362" i="3"/>
  <c r="Q2362" i="3"/>
  <c r="P2676" i="3"/>
  <c r="Q2676" i="3"/>
  <c r="P1675" i="3"/>
  <c r="Q1675" i="3"/>
  <c r="P1928" i="3"/>
  <c r="Q1928" i="3"/>
  <c r="P2182" i="3"/>
  <c r="Q2182" i="3"/>
  <c r="P2470" i="3"/>
  <c r="Q2470" i="3"/>
  <c r="P2782" i="3"/>
  <c r="Q2782" i="3"/>
  <c r="P1615" i="3"/>
  <c r="Q1615" i="3"/>
  <c r="P1867" i="3"/>
  <c r="Q1867" i="3"/>
  <c r="P2113" i="3"/>
  <c r="Q2113" i="3"/>
  <c r="P2401" i="3"/>
  <c r="Q2401" i="3"/>
  <c r="P2701" i="3"/>
  <c r="Q2701" i="3"/>
  <c r="P2164" i="3"/>
  <c r="Q2164" i="3"/>
  <c r="P2418" i="3"/>
  <c r="Q2418" i="3"/>
  <c r="P2678" i="3"/>
  <c r="Q2678" i="3"/>
  <c r="P2991" i="3"/>
  <c r="Q2991" i="3"/>
  <c r="P3343" i="3"/>
  <c r="Q3343" i="3"/>
  <c r="P3876" i="3"/>
  <c r="Q3876" i="3"/>
  <c r="P3219" i="3"/>
  <c r="Q3219" i="3"/>
  <c r="P3669" i="3"/>
  <c r="Q3669" i="3"/>
  <c r="P3075" i="3"/>
  <c r="Q3075" i="3"/>
  <c r="P3467" i="3"/>
  <c r="Q3467" i="3"/>
  <c r="P2955" i="3"/>
  <c r="Q2955" i="3"/>
  <c r="P3321" i="3"/>
  <c r="Q3321" i="3"/>
  <c r="P3839" i="3"/>
  <c r="Q3839" i="3"/>
  <c r="P3180" i="3"/>
  <c r="Q3180" i="3"/>
  <c r="P3602" i="3"/>
  <c r="Q3602" i="3"/>
  <c r="P2233" i="3"/>
  <c r="Q2233" i="3"/>
  <c r="P2483" i="3"/>
  <c r="Q2483" i="3"/>
  <c r="P2774" i="3"/>
  <c r="Q2774" i="3"/>
  <c r="P3100" i="3"/>
  <c r="Q3100" i="3"/>
  <c r="P3471" i="3"/>
  <c r="Q3471" i="3"/>
  <c r="P3473" i="3"/>
  <c r="Q3473" i="3"/>
  <c r="P2981" i="3"/>
  <c r="Q2981" i="3"/>
  <c r="P3327" i="3"/>
  <c r="Q3327" i="3"/>
  <c r="P3897" i="3"/>
  <c r="Q3897" i="3"/>
  <c r="P3231" i="3"/>
  <c r="Q3231" i="3"/>
  <c r="P3728" i="3"/>
  <c r="Q3728" i="3"/>
  <c r="P3127" i="3"/>
  <c r="Q3127" i="3"/>
  <c r="P3504" i="3"/>
  <c r="Q3504" i="3"/>
  <c r="P3168" i="3"/>
  <c r="Q3168" i="3"/>
  <c r="P3652" i="3"/>
  <c r="Q3652" i="3"/>
  <c r="P3066" i="3"/>
  <c r="Q3066" i="3"/>
  <c r="P3456" i="3"/>
  <c r="Q3456" i="3"/>
  <c r="P2927" i="3"/>
  <c r="Q2927" i="3"/>
  <c r="P3286" i="3"/>
  <c r="Q3286" i="3"/>
  <c r="P3865" i="3"/>
  <c r="Q3865" i="3"/>
  <c r="P3191" i="3"/>
  <c r="Q3191" i="3"/>
  <c r="P3622" i="3"/>
  <c r="Q3622" i="3"/>
  <c r="P3625" i="3"/>
  <c r="Q3625" i="3"/>
  <c r="P3052" i="3"/>
  <c r="Q3052" i="3"/>
  <c r="P3486" i="3"/>
  <c r="Q3486" i="3"/>
  <c r="P2603" i="3"/>
  <c r="Q2603" i="3"/>
  <c r="P2866" i="3"/>
  <c r="Q2866" i="3"/>
  <c r="P3150" i="3"/>
  <c r="Q3150" i="3"/>
  <c r="P3460" i="3"/>
  <c r="Q3460" i="3"/>
  <c r="P3772" i="3"/>
  <c r="Q3772" i="3"/>
  <c r="P3911" i="3"/>
  <c r="Q3911" i="3"/>
  <c r="P3335" i="3"/>
  <c r="Q3335" i="3"/>
  <c r="P3637" i="3"/>
  <c r="Q3637" i="3"/>
  <c r="P3951" i="3"/>
  <c r="Q3951" i="3"/>
  <c r="P3716" i="3"/>
  <c r="Q3716" i="3"/>
  <c r="P4031" i="3"/>
  <c r="Q4031" i="3"/>
  <c r="P3796" i="3"/>
  <c r="Q3796" i="3"/>
  <c r="P4014" i="3"/>
  <c r="Q4014" i="3"/>
  <c r="P2551" i="3"/>
  <c r="Q2551" i="3"/>
  <c r="P2803" i="3"/>
  <c r="Q2803" i="3"/>
  <c r="P3123" i="3"/>
  <c r="Q3123" i="3"/>
  <c r="P3434" i="3"/>
  <c r="Q3434" i="3"/>
  <c r="P3743" i="3"/>
  <c r="Q3743" i="3"/>
  <c r="P4057" i="3"/>
  <c r="Q4057" i="3"/>
  <c r="P3802" i="3"/>
  <c r="Q3802" i="3"/>
  <c r="P3549" i="3"/>
  <c r="Q3549" i="3"/>
  <c r="P3863" i="3"/>
  <c r="Q3863" i="3"/>
  <c r="P4080" i="3"/>
  <c r="Q4080" i="3"/>
  <c r="P3848" i="3"/>
  <c r="Q3848" i="3"/>
  <c r="P3274" i="3"/>
  <c r="Q3274" i="3"/>
  <c r="P3574" i="3"/>
  <c r="Q3574" i="3"/>
  <c r="P3888" i="3"/>
  <c r="Q3888" i="3"/>
  <c r="P2855" i="3"/>
  <c r="Q2855" i="3"/>
  <c r="P3102" i="3"/>
  <c r="Q3102" i="3"/>
  <c r="P3378" i="3"/>
  <c r="Q3378" i="3"/>
  <c r="P3623" i="3"/>
  <c r="Q3623" i="3"/>
  <c r="P3877" i="3"/>
  <c r="Q3877" i="3"/>
  <c r="P3242" i="3"/>
  <c r="Q3242" i="3"/>
  <c r="P3528" i="3"/>
  <c r="Q3528" i="3"/>
  <c r="P3783" i="3"/>
  <c r="Q3783" i="3"/>
  <c r="P4038" i="3"/>
  <c r="Q4038" i="3"/>
  <c r="P2893" i="3"/>
  <c r="Q2893" i="3"/>
  <c r="P3156" i="3"/>
  <c r="Q3156" i="3"/>
  <c r="P3399" i="3"/>
  <c r="Q3399" i="3"/>
  <c r="P3647" i="3"/>
  <c r="Q3647" i="3"/>
  <c r="P3901" i="3"/>
  <c r="Q3901" i="3"/>
  <c r="P4097" i="3"/>
  <c r="Q4097" i="3"/>
  <c r="P1481" i="3"/>
  <c r="Q1481" i="3"/>
  <c r="P1636" i="3"/>
  <c r="Q1636" i="3"/>
  <c r="P627" i="3"/>
  <c r="Q627" i="3"/>
  <c r="P1668" i="3"/>
  <c r="Q1668" i="3"/>
  <c r="P1707" i="3"/>
  <c r="Q1707" i="3"/>
  <c r="P602" i="3"/>
  <c r="Q602" i="3"/>
  <c r="P1469" i="3"/>
  <c r="Q1469" i="3"/>
  <c r="P755" i="3"/>
  <c r="Q755" i="3"/>
  <c r="P343" i="3"/>
  <c r="Q343" i="3"/>
  <c r="P1490" i="3"/>
  <c r="Q1490" i="3"/>
  <c r="P2861" i="3"/>
  <c r="Q2861" i="3"/>
  <c r="P1872" i="3"/>
  <c r="Q1872" i="3"/>
  <c r="P1952" i="3"/>
  <c r="Q1952" i="3"/>
  <c r="P2519" i="3"/>
  <c r="Q2519" i="3"/>
  <c r="P1738" i="3"/>
  <c r="Q1738" i="3"/>
  <c r="P3319" i="3"/>
  <c r="Q3319" i="3"/>
  <c r="P3429" i="3"/>
  <c r="Q3429" i="3"/>
  <c r="P3287" i="3"/>
  <c r="Q3287" i="3"/>
  <c r="P3874" i="3"/>
  <c r="Q3874" i="3"/>
  <c r="P707" i="3"/>
  <c r="Q707" i="3"/>
  <c r="P19" i="3"/>
  <c r="Q19" i="3"/>
  <c r="P43" i="3"/>
  <c r="Q43" i="3"/>
  <c r="P861" i="3"/>
  <c r="Q861" i="3"/>
  <c r="P270" i="3"/>
  <c r="Q270" i="3"/>
  <c r="P982" i="3"/>
  <c r="Q982" i="3"/>
  <c r="P147" i="3"/>
  <c r="Q147" i="3"/>
  <c r="P1424" i="3"/>
  <c r="Q1424" i="3"/>
  <c r="P1434" i="3"/>
  <c r="Q1434" i="3"/>
  <c r="P275" i="3"/>
  <c r="Q275" i="3"/>
  <c r="P150" i="3"/>
  <c r="Q150" i="3"/>
  <c r="P1450" i="3"/>
  <c r="Q1450" i="3"/>
  <c r="P277" i="3"/>
  <c r="Q277" i="3"/>
  <c r="P116" i="3"/>
  <c r="Q116" i="3"/>
  <c r="P1468" i="3"/>
  <c r="Q1468" i="3"/>
  <c r="P281" i="3"/>
  <c r="Q281" i="3"/>
  <c r="P119" i="3"/>
  <c r="Q119" i="3"/>
  <c r="P1214" i="3"/>
  <c r="Q1214" i="3"/>
  <c r="P264" i="3"/>
  <c r="Q264" i="3"/>
  <c r="P139" i="3"/>
  <c r="Q139" i="3"/>
  <c r="P13" i="3"/>
  <c r="Q13" i="3"/>
  <c r="P432" i="3"/>
  <c r="Q432" i="3"/>
  <c r="P142" i="3"/>
  <c r="Q142" i="3"/>
  <c r="P1388" i="3"/>
  <c r="Q1388" i="3"/>
  <c r="P269" i="3"/>
  <c r="Q269" i="3"/>
  <c r="P109" i="3"/>
  <c r="Q109" i="3"/>
  <c r="P1132" i="3"/>
  <c r="Q1132" i="3"/>
  <c r="P203" i="3"/>
  <c r="Q203" i="3"/>
  <c r="P458" i="3"/>
  <c r="Q458" i="3"/>
  <c r="P709" i="3"/>
  <c r="Q709" i="3"/>
  <c r="P1002" i="3"/>
  <c r="Q1002" i="3"/>
  <c r="P1288" i="3"/>
  <c r="Q1288" i="3"/>
  <c r="P1702" i="3"/>
  <c r="Q1702" i="3"/>
  <c r="P411" i="3"/>
  <c r="Q411" i="3"/>
  <c r="P662" i="3"/>
  <c r="Q662" i="3"/>
  <c r="P950" i="3"/>
  <c r="Q950" i="3"/>
  <c r="P1236" i="3"/>
  <c r="Q1236" i="3"/>
  <c r="P1560" i="3"/>
  <c r="Q1560" i="3"/>
  <c r="P364" i="3"/>
  <c r="Q364" i="3"/>
  <c r="P616" i="3"/>
  <c r="Q616" i="3"/>
  <c r="P883" i="3"/>
  <c r="Q883" i="3"/>
  <c r="P1164" i="3"/>
  <c r="Q1164" i="3"/>
  <c r="P1445" i="3"/>
  <c r="Q1445" i="3"/>
  <c r="P301" i="3"/>
  <c r="Q301" i="3"/>
  <c r="P554" i="3"/>
  <c r="Q554" i="3"/>
  <c r="P832" i="3"/>
  <c r="Q832" i="3"/>
  <c r="P1147" i="3"/>
  <c r="Q1147" i="3"/>
  <c r="P1446" i="3"/>
  <c r="Q1446" i="3"/>
  <c r="P286" i="3"/>
  <c r="Q286" i="3"/>
  <c r="P555" i="3"/>
  <c r="Q555" i="3"/>
  <c r="P817" i="3"/>
  <c r="Q817" i="3"/>
  <c r="P1096" i="3"/>
  <c r="Q1096" i="3"/>
  <c r="P1378" i="3"/>
  <c r="Q1378" i="3"/>
  <c r="P2419" i="3"/>
  <c r="Q2419" i="3"/>
  <c r="P224" i="3"/>
  <c r="Q224" i="3"/>
  <c r="P479" i="3"/>
  <c r="Q479" i="3"/>
  <c r="P732" i="3"/>
  <c r="Q732" i="3"/>
  <c r="P1024" i="3"/>
  <c r="Q1024" i="3"/>
  <c r="P1312" i="3"/>
  <c r="Q1312" i="3"/>
  <c r="P1797" i="3"/>
  <c r="Q1797" i="3"/>
  <c r="P2742" i="3"/>
  <c r="Q2742" i="3"/>
  <c r="P529" i="3"/>
  <c r="Q529" i="3"/>
  <c r="P803" i="3"/>
  <c r="Q803" i="3"/>
  <c r="P1115" i="3"/>
  <c r="Q1115" i="3"/>
  <c r="P1416" i="3"/>
  <c r="Q1416" i="3"/>
  <c r="P2589" i="3"/>
  <c r="Q2589" i="3"/>
  <c r="P514" i="3"/>
  <c r="Q514" i="3"/>
  <c r="P788" i="3"/>
  <c r="Q788" i="3"/>
  <c r="P1064" i="3"/>
  <c r="Q1064" i="3"/>
  <c r="P1349" i="3"/>
  <c r="Q1349" i="3"/>
  <c r="P2309" i="3"/>
  <c r="Q2309" i="3"/>
  <c r="P483" i="3"/>
  <c r="Q483" i="3"/>
  <c r="P736" i="3"/>
  <c r="Q736" i="3"/>
  <c r="P1029" i="3"/>
  <c r="Q1029" i="3"/>
  <c r="P1332" i="3"/>
  <c r="Q1332" i="3"/>
  <c r="P2045" i="3"/>
  <c r="Q2045" i="3"/>
  <c r="P452" i="3"/>
  <c r="Q452" i="3"/>
  <c r="P703" i="3"/>
  <c r="Q703" i="3"/>
  <c r="P977" i="3"/>
  <c r="Q977" i="3"/>
  <c r="P1282" i="3"/>
  <c r="Q1282" i="3"/>
  <c r="P1747" i="3"/>
  <c r="Q1747" i="3"/>
  <c r="P405" i="3"/>
  <c r="Q405" i="3"/>
  <c r="P656" i="3"/>
  <c r="Q656" i="3"/>
  <c r="P926" i="3"/>
  <c r="Q926" i="3"/>
  <c r="P1210" i="3"/>
  <c r="Q1210" i="3"/>
  <c r="P1545" i="3"/>
  <c r="Q1545" i="3"/>
  <c r="P342" i="3"/>
  <c r="Q342" i="3"/>
  <c r="P610" i="3"/>
  <c r="Q610" i="3"/>
  <c r="P876" i="3"/>
  <c r="Q876" i="3"/>
  <c r="P1158" i="3"/>
  <c r="Q1158" i="3"/>
  <c r="P1456" i="3"/>
  <c r="Q1456" i="3"/>
  <c r="P295" i="3"/>
  <c r="Q295" i="3"/>
  <c r="P563" i="3"/>
  <c r="Q563" i="3"/>
  <c r="P826" i="3"/>
  <c r="Q826" i="3"/>
  <c r="P1105" i="3"/>
  <c r="Q1105" i="3"/>
  <c r="P1405" i="3"/>
  <c r="Q1405" i="3"/>
  <c r="P2497" i="3"/>
  <c r="Q2497" i="3"/>
  <c r="P345" i="3"/>
  <c r="Q345" i="3"/>
  <c r="P597" i="3"/>
  <c r="Q597" i="3"/>
  <c r="P862" i="3"/>
  <c r="Q862" i="3"/>
  <c r="P1143" i="3"/>
  <c r="Q1143" i="3"/>
  <c r="P1425" i="3"/>
  <c r="Q1425" i="3"/>
  <c r="P2669" i="3"/>
  <c r="Q2669" i="3"/>
  <c r="P948" i="3"/>
  <c r="Q948" i="3"/>
  <c r="P1197" i="3"/>
  <c r="Q1197" i="3"/>
  <c r="P1442" i="3"/>
  <c r="Q1442" i="3"/>
  <c r="P1694" i="3"/>
  <c r="Q1694" i="3"/>
  <c r="P1947" i="3"/>
  <c r="Q1947" i="3"/>
  <c r="P2204" i="3"/>
  <c r="Q2204" i="3"/>
  <c r="P2490" i="3"/>
  <c r="Q2490" i="3"/>
  <c r="P2811" i="3"/>
  <c r="Q2811" i="3"/>
  <c r="P1617" i="3"/>
  <c r="Q1617" i="3"/>
  <c r="P1884" i="3"/>
  <c r="Q1884" i="3"/>
  <c r="P2168" i="3"/>
  <c r="Q2168" i="3"/>
  <c r="P2456" i="3"/>
  <c r="Q2456" i="3"/>
  <c r="P2788" i="3"/>
  <c r="Q2788" i="3"/>
  <c r="P1603" i="3"/>
  <c r="Q1603" i="3"/>
  <c r="P1854" i="3"/>
  <c r="Q1854" i="3"/>
  <c r="P2100" i="3"/>
  <c r="Q2100" i="3"/>
  <c r="P2387" i="3"/>
  <c r="Q2387" i="3"/>
  <c r="P2726" i="3"/>
  <c r="Q2726" i="3"/>
  <c r="P1572" i="3"/>
  <c r="Q1572" i="3"/>
  <c r="P1823" i="3"/>
  <c r="Q1823" i="3"/>
  <c r="P2117" i="3"/>
  <c r="Q2117" i="3"/>
  <c r="P2406" i="3"/>
  <c r="Q2406" i="3"/>
  <c r="P2707" i="3"/>
  <c r="Q2707" i="3"/>
  <c r="P1557" i="3"/>
  <c r="Q1557" i="3"/>
  <c r="P1824" i="3"/>
  <c r="Q1824" i="3"/>
  <c r="P2072" i="3"/>
  <c r="Q2072" i="3"/>
  <c r="P2371" i="3"/>
  <c r="Q2371" i="3"/>
  <c r="P2667" i="3"/>
  <c r="Q2667" i="3"/>
  <c r="P790" i="3"/>
  <c r="Q790" i="3"/>
  <c r="P1077" i="3"/>
  <c r="Q1077" i="3"/>
  <c r="P1342" i="3"/>
  <c r="Q1342" i="3"/>
  <c r="P1606" i="3"/>
  <c r="Q1606" i="3"/>
  <c r="P1857" i="3"/>
  <c r="Q1857" i="3"/>
  <c r="P2120" i="3"/>
  <c r="Q2120" i="3"/>
  <c r="P2426" i="3"/>
  <c r="Q2426" i="3"/>
  <c r="P2771" i="3"/>
  <c r="Q2771" i="3"/>
  <c r="P1637" i="3"/>
  <c r="Q1637" i="3"/>
  <c r="P1906" i="3"/>
  <c r="Q1906" i="3"/>
  <c r="P2175" i="3"/>
  <c r="Q2175" i="3"/>
  <c r="P2462" i="3"/>
  <c r="Q2462" i="3"/>
  <c r="P2822" i="3"/>
  <c r="Q2822" i="3"/>
  <c r="P2015" i="3"/>
  <c r="Q2015" i="3"/>
  <c r="P2284" i="3"/>
  <c r="Q2284" i="3"/>
  <c r="P2571" i="3"/>
  <c r="Q2571" i="3"/>
  <c r="P2968" i="3"/>
  <c r="Q2968" i="3"/>
  <c r="P1969" i="3"/>
  <c r="Q1969" i="3"/>
  <c r="P2232" i="3"/>
  <c r="Q2232" i="3"/>
  <c r="P2535" i="3"/>
  <c r="Q2535" i="3"/>
  <c r="P2871" i="3"/>
  <c r="Q2871" i="3"/>
  <c r="P1656" i="3"/>
  <c r="Q1656" i="3"/>
  <c r="P1909" i="3"/>
  <c r="Q1909" i="3"/>
  <c r="P2178" i="3"/>
  <c r="Q2178" i="3"/>
  <c r="P2466" i="3"/>
  <c r="Q2466" i="3"/>
  <c r="P2779" i="3"/>
  <c r="Q2779" i="3"/>
  <c r="P1596" i="3"/>
  <c r="Q1596" i="3"/>
  <c r="P1847" i="3"/>
  <c r="Q1847" i="3"/>
  <c r="P2109" i="3"/>
  <c r="Q2109" i="3"/>
  <c r="P2397" i="3"/>
  <c r="Q2397" i="3"/>
  <c r="P2738" i="3"/>
  <c r="Q2738" i="3"/>
  <c r="P1565" i="3"/>
  <c r="Q1565" i="3"/>
  <c r="P1816" i="3"/>
  <c r="Q1816" i="3"/>
  <c r="P2080" i="3"/>
  <c r="Q2080" i="3"/>
  <c r="P2380" i="3"/>
  <c r="Q2380" i="3"/>
  <c r="P2698" i="3"/>
  <c r="Q2698" i="3"/>
  <c r="P1691" i="3"/>
  <c r="Q1691" i="3"/>
  <c r="P1944" i="3"/>
  <c r="Q1944" i="3"/>
  <c r="P2200" i="3"/>
  <c r="Q2200" i="3"/>
  <c r="P2487" i="3"/>
  <c r="Q2487" i="3"/>
  <c r="P2806" i="3"/>
  <c r="Q2806" i="3"/>
  <c r="P1630" i="3"/>
  <c r="Q1630" i="3"/>
  <c r="P1882" i="3"/>
  <c r="Q1882" i="3"/>
  <c r="P2129" i="3"/>
  <c r="Q2129" i="3"/>
  <c r="P2420" i="3"/>
  <c r="Q2420" i="3"/>
  <c r="P2723" i="3"/>
  <c r="Q2723" i="3"/>
  <c r="P2180" i="3"/>
  <c r="Q2180" i="3"/>
  <c r="P2433" i="3"/>
  <c r="Q2433" i="3"/>
  <c r="P2697" i="3"/>
  <c r="Q2697" i="3"/>
  <c r="P3012" i="3"/>
  <c r="Q3012" i="3"/>
  <c r="P3367" i="3"/>
  <c r="Q3367" i="3"/>
  <c r="P3923" i="3"/>
  <c r="Q3923" i="3"/>
  <c r="P3245" i="3"/>
  <c r="Q3245" i="3"/>
  <c r="P3709" i="3"/>
  <c r="Q3709" i="3"/>
  <c r="P3097" i="3"/>
  <c r="Q3097" i="3"/>
  <c r="P3491" i="3"/>
  <c r="Q3491" i="3"/>
  <c r="P2975" i="3"/>
  <c r="Q2975" i="3"/>
  <c r="P3346" i="3"/>
  <c r="Q3346" i="3"/>
  <c r="P3884" i="3"/>
  <c r="Q3884" i="3"/>
  <c r="P3199" i="3"/>
  <c r="Q3199" i="3"/>
  <c r="P3642" i="3"/>
  <c r="Q3642" i="3"/>
  <c r="P2248" i="3"/>
  <c r="Q2248" i="3"/>
  <c r="P2498" i="3"/>
  <c r="Q2498" i="3"/>
  <c r="P2796" i="3"/>
  <c r="Q2796" i="3"/>
  <c r="P3121" i="3"/>
  <c r="Q3121" i="3"/>
  <c r="P3494" i="3"/>
  <c r="Q3494" i="3"/>
  <c r="P3499" i="3"/>
  <c r="Q3499" i="3"/>
  <c r="P3001" i="3"/>
  <c r="Q3001" i="3"/>
  <c r="P3356" i="3"/>
  <c r="Q3356" i="3"/>
  <c r="P3945" i="3"/>
  <c r="Q3945" i="3"/>
  <c r="P3254" i="3"/>
  <c r="Q3254" i="3"/>
  <c r="P3768" i="3"/>
  <c r="Q3768" i="3"/>
  <c r="P3147" i="3"/>
  <c r="Q3147" i="3"/>
  <c r="P3533" i="3"/>
  <c r="Q3533" i="3"/>
  <c r="P3188" i="3"/>
  <c r="Q3188" i="3"/>
  <c r="P3691" i="3"/>
  <c r="Q3691" i="3"/>
  <c r="P3088" i="3"/>
  <c r="Q3088" i="3"/>
  <c r="P3483" i="3"/>
  <c r="Q3483" i="3"/>
  <c r="P2946" i="3"/>
  <c r="Q2946" i="3"/>
  <c r="P3337" i="3"/>
  <c r="Q3337" i="3"/>
  <c r="P3915" i="3"/>
  <c r="Q3915" i="3"/>
  <c r="P3214" i="3"/>
  <c r="Q3214" i="3"/>
  <c r="P3661" i="3"/>
  <c r="Q3661" i="3"/>
  <c r="P3663" i="3"/>
  <c r="Q3663" i="3"/>
  <c r="P3072" i="3"/>
  <c r="Q3072" i="3"/>
  <c r="P3513" i="3"/>
  <c r="Q3513" i="3"/>
  <c r="P2619" i="3"/>
  <c r="Q2619" i="3"/>
  <c r="P2883" i="3"/>
  <c r="Q2883" i="3"/>
  <c r="P3167" i="3"/>
  <c r="Q3167" i="3"/>
  <c r="P3478" i="3"/>
  <c r="Q3478" i="3"/>
  <c r="P3792" i="3"/>
  <c r="Q3792" i="3"/>
  <c r="P3930" i="3"/>
  <c r="Q3930" i="3"/>
  <c r="P3354" i="3"/>
  <c r="Q3354" i="3"/>
  <c r="P3658" i="3"/>
  <c r="Q3658" i="3"/>
  <c r="P3970" i="3"/>
  <c r="Q3970" i="3"/>
  <c r="P3737" i="3"/>
  <c r="Q3737" i="3"/>
  <c r="P4050" i="3"/>
  <c r="Q4050" i="3"/>
  <c r="P3816" i="3"/>
  <c r="Q3816" i="3"/>
  <c r="P4033" i="3"/>
  <c r="Q4033" i="3"/>
  <c r="P2566" i="3"/>
  <c r="Q2566" i="3"/>
  <c r="P2821" i="3"/>
  <c r="Q2821" i="3"/>
  <c r="P3141" i="3"/>
  <c r="Q3141" i="3"/>
  <c r="P3452" i="3"/>
  <c r="Q3452" i="3"/>
  <c r="P3762" i="3"/>
  <c r="Q3762" i="3"/>
  <c r="P4076" i="3"/>
  <c r="Q4076" i="3"/>
  <c r="P3822" i="3"/>
  <c r="Q3822" i="3"/>
  <c r="P3569" i="3"/>
  <c r="Q3569" i="3"/>
  <c r="P3882" i="3"/>
  <c r="Q3882" i="3"/>
  <c r="P3983" i="3"/>
  <c r="Q3983" i="3"/>
  <c r="P3867" i="3"/>
  <c r="Q3867" i="3"/>
  <c r="P3293" i="3"/>
  <c r="Q3293" i="3"/>
  <c r="P3595" i="3"/>
  <c r="Q3595" i="3"/>
  <c r="P3907" i="3"/>
  <c r="Q3907" i="3"/>
  <c r="P2870" i="3"/>
  <c r="Q2870" i="3"/>
  <c r="P3118" i="3"/>
  <c r="Q3118" i="3"/>
  <c r="P3393" i="3"/>
  <c r="Q3393" i="3"/>
  <c r="P3639" i="3"/>
  <c r="Q3639" i="3"/>
  <c r="P3893" i="3"/>
  <c r="Q3893" i="3"/>
  <c r="P3256" i="3"/>
  <c r="Q3256" i="3"/>
  <c r="P3544" i="3"/>
  <c r="Q3544" i="3"/>
  <c r="P3799" i="3"/>
  <c r="Q3799" i="3"/>
  <c r="P4054" i="3"/>
  <c r="Q4054" i="3"/>
  <c r="P2909" i="3"/>
  <c r="Q2909" i="3"/>
  <c r="P3172" i="3"/>
  <c r="Q3172" i="3"/>
  <c r="P3414" i="3"/>
  <c r="Q3414" i="3"/>
  <c r="P3662" i="3"/>
  <c r="Q3662" i="3"/>
  <c r="P3917" i="3"/>
  <c r="Q3917" i="3"/>
  <c r="P4098" i="3"/>
  <c r="Q4098" i="3"/>
  <c r="P153" i="3"/>
  <c r="Q153" i="3"/>
  <c r="P45" i="3"/>
  <c r="Q45" i="3"/>
  <c r="P506" i="3"/>
  <c r="Q506" i="3"/>
  <c r="P349" i="3"/>
  <c r="Q349" i="3"/>
  <c r="P2138" i="3"/>
  <c r="Q2138" i="3"/>
  <c r="P531" i="3"/>
  <c r="Q531" i="3"/>
  <c r="P390" i="3"/>
  <c r="Q390" i="3"/>
  <c r="P1482" i="3"/>
  <c r="Q1482" i="3"/>
  <c r="P2508" i="3"/>
  <c r="Q2508" i="3"/>
  <c r="P2425" i="3"/>
  <c r="Q2425" i="3"/>
  <c r="P2894" i="3"/>
  <c r="Q2894" i="3"/>
  <c r="P2850" i="3"/>
  <c r="Q2850" i="3"/>
  <c r="P2254" i="3"/>
  <c r="Q2254" i="3"/>
  <c r="P3440" i="3"/>
  <c r="Q3440" i="3"/>
  <c r="P3181" i="3"/>
  <c r="Q3181" i="3"/>
  <c r="P3135" i="3"/>
  <c r="Q3135" i="3"/>
  <c r="P3976" i="3"/>
  <c r="Q3976" i="3"/>
  <c r="P3686" i="3"/>
  <c r="Q3686" i="3"/>
  <c r="P256" i="3"/>
  <c r="Q256" i="3"/>
  <c r="P1268" i="3"/>
  <c r="Q1268" i="3"/>
  <c r="P165" i="3"/>
  <c r="Q165" i="3"/>
  <c r="P3" i="3"/>
  <c r="P360" i="3"/>
  <c r="Q360" i="3"/>
  <c r="P168" i="3"/>
  <c r="Q168" i="3"/>
  <c r="P5" i="3"/>
  <c r="Q5" i="3"/>
  <c r="P376" i="3"/>
  <c r="Q376" i="3"/>
  <c r="P134" i="3"/>
  <c r="Q134" i="3"/>
  <c r="P8" i="3"/>
  <c r="Q8" i="3"/>
  <c r="P400" i="3"/>
  <c r="Q400" i="3"/>
  <c r="P137" i="3"/>
  <c r="Q137" i="3"/>
  <c r="P1515" i="3"/>
  <c r="Q1515" i="3"/>
  <c r="P288" i="3"/>
  <c r="Q288" i="3"/>
  <c r="P158" i="3"/>
  <c r="Q158" i="3"/>
  <c r="P31" i="3"/>
  <c r="Q31" i="3"/>
  <c r="P557" i="3"/>
  <c r="Q557" i="3"/>
  <c r="P160" i="3"/>
  <c r="Q160" i="3"/>
  <c r="P1591" i="3"/>
  <c r="Q1591" i="3"/>
  <c r="P320" i="3"/>
  <c r="Q320" i="3"/>
  <c r="P127" i="3"/>
  <c r="Q127" i="3"/>
  <c r="P1277" i="3"/>
  <c r="Q1277" i="3"/>
  <c r="P219" i="3"/>
  <c r="Q219" i="3"/>
  <c r="P474" i="3"/>
  <c r="Q474" i="3"/>
  <c r="P726" i="3"/>
  <c r="Q726" i="3"/>
  <c r="P1020" i="3"/>
  <c r="Q1020" i="3"/>
  <c r="P1306" i="3"/>
  <c r="Q1306" i="3"/>
  <c r="P1771" i="3"/>
  <c r="Q1771" i="3"/>
  <c r="P427" i="3"/>
  <c r="Q427" i="3"/>
  <c r="P678" i="3"/>
  <c r="Q678" i="3"/>
  <c r="P967" i="3"/>
  <c r="Q967" i="3"/>
  <c r="P1253" i="3"/>
  <c r="Q1253" i="3"/>
  <c r="P1594" i="3"/>
  <c r="Q1594" i="3"/>
  <c r="P380" i="3"/>
  <c r="Q380" i="3"/>
  <c r="P631" i="3"/>
  <c r="Q631" i="3"/>
  <c r="P900" i="3"/>
  <c r="Q900" i="3"/>
  <c r="P1182" i="3"/>
  <c r="Q1182" i="3"/>
  <c r="P1464" i="3"/>
  <c r="Q1464" i="3"/>
  <c r="P317" i="3"/>
  <c r="Q317" i="3"/>
  <c r="P569" i="3"/>
  <c r="Q569" i="3"/>
  <c r="P850" i="3"/>
  <c r="Q850" i="3"/>
  <c r="P1165" i="3"/>
  <c r="Q1165" i="3"/>
  <c r="P1465" i="3"/>
  <c r="Q1465" i="3"/>
  <c r="P302" i="3"/>
  <c r="Q302" i="3"/>
  <c r="P570" i="3"/>
  <c r="Q570" i="3"/>
  <c r="P834" i="3"/>
  <c r="Q834" i="3"/>
  <c r="P1112" i="3"/>
  <c r="Q1112" i="3"/>
  <c r="P1394" i="3"/>
  <c r="Q1394" i="3"/>
  <c r="P2561" i="3"/>
  <c r="Q2561" i="3"/>
  <c r="P240" i="3"/>
  <c r="Q240" i="3"/>
  <c r="P495" i="3"/>
  <c r="Q495" i="3"/>
  <c r="P749" i="3"/>
  <c r="Q749" i="3"/>
  <c r="P1042" i="3"/>
  <c r="Q1042" i="3"/>
  <c r="P1329" i="3"/>
  <c r="Q1329" i="3"/>
  <c r="P1889" i="3"/>
  <c r="Q1889" i="3"/>
  <c r="P289" i="3"/>
  <c r="Q289" i="3"/>
  <c r="P542" i="3"/>
  <c r="Q542" i="3"/>
  <c r="P837" i="3"/>
  <c r="Q837" i="3"/>
  <c r="P1133" i="3"/>
  <c r="Q1133" i="3"/>
  <c r="P1435" i="3"/>
  <c r="Q1435" i="3"/>
  <c r="P2753" i="3"/>
  <c r="Q2753" i="3"/>
  <c r="P530" i="3"/>
  <c r="Q530" i="3"/>
  <c r="P805" i="3"/>
  <c r="Q805" i="3"/>
  <c r="P1082" i="3"/>
  <c r="Q1082" i="3"/>
  <c r="P1366" i="3"/>
  <c r="Q1366" i="3"/>
  <c r="P2453" i="3"/>
  <c r="Q2453" i="3"/>
  <c r="P499" i="3"/>
  <c r="Q499" i="3"/>
  <c r="P753" i="3"/>
  <c r="Q753" i="3"/>
  <c r="P1047" i="3"/>
  <c r="Q1047" i="3"/>
  <c r="P1350" i="3"/>
  <c r="Q1350" i="3"/>
  <c r="P2174" i="3"/>
  <c r="Q2174" i="3"/>
  <c r="P468" i="3"/>
  <c r="Q468" i="3"/>
  <c r="P719" i="3"/>
  <c r="Q719" i="3"/>
  <c r="P995" i="3"/>
  <c r="Q995" i="3"/>
  <c r="P1300" i="3"/>
  <c r="Q1300" i="3"/>
  <c r="P1826" i="3"/>
  <c r="Q1826" i="3"/>
  <c r="P421" i="3"/>
  <c r="Q421" i="3"/>
  <c r="P672" i="3"/>
  <c r="Q672" i="3"/>
  <c r="P944" i="3"/>
  <c r="Q944" i="3"/>
  <c r="P1228" i="3"/>
  <c r="Q1228" i="3"/>
  <c r="P1582" i="3"/>
  <c r="Q1582" i="3"/>
  <c r="P358" i="3"/>
  <c r="Q358" i="3"/>
  <c r="P625" i="3"/>
  <c r="Q625" i="3"/>
  <c r="P895" i="3"/>
  <c r="Q895" i="3"/>
  <c r="P1193" i="3"/>
  <c r="Q1193" i="3"/>
  <c r="P1478" i="3"/>
  <c r="Q1478" i="3"/>
  <c r="P311" i="3"/>
  <c r="Q311" i="3"/>
  <c r="P579" i="3"/>
  <c r="Q579" i="3"/>
  <c r="P843" i="3"/>
  <c r="Q843" i="3"/>
  <c r="P1122" i="3"/>
  <c r="Q1122" i="3"/>
  <c r="P1423" i="3"/>
  <c r="Q1423" i="3"/>
  <c r="P2650" i="3"/>
  <c r="Q2650" i="3"/>
  <c r="P361" i="3"/>
  <c r="Q361" i="3"/>
  <c r="P613" i="3"/>
  <c r="Q613" i="3"/>
  <c r="P880" i="3"/>
  <c r="Q880" i="3"/>
  <c r="P1161" i="3"/>
  <c r="Q1161" i="3"/>
  <c r="P1441" i="3"/>
  <c r="Q1441" i="3"/>
  <c r="P2844" i="3"/>
  <c r="Q2844" i="3"/>
  <c r="P963" i="3"/>
  <c r="Q963" i="3"/>
  <c r="P1213" i="3"/>
  <c r="Q1213" i="3"/>
  <c r="P1458" i="3"/>
  <c r="Q1458" i="3"/>
  <c r="P1709" i="3"/>
  <c r="Q1709" i="3"/>
  <c r="P1961" i="3"/>
  <c r="Q1961" i="3"/>
  <c r="P2222" i="3"/>
  <c r="Q2222" i="3"/>
  <c r="P2507" i="3"/>
  <c r="Q2507" i="3"/>
  <c r="P2835" i="3"/>
  <c r="Q2835" i="3"/>
  <c r="P1632" i="3"/>
  <c r="Q1632" i="3"/>
  <c r="P1900" i="3"/>
  <c r="Q1900" i="3"/>
  <c r="P2187" i="3"/>
  <c r="Q2187" i="3"/>
  <c r="P2474" i="3"/>
  <c r="Q2474" i="3"/>
  <c r="P2813" i="3"/>
  <c r="Q2813" i="3"/>
  <c r="P1618" i="3"/>
  <c r="Q1618" i="3"/>
  <c r="P1870" i="3"/>
  <c r="Q1870" i="3"/>
  <c r="P2116" i="3"/>
  <c r="Q2116" i="3"/>
  <c r="P2405" i="3"/>
  <c r="Q2405" i="3"/>
  <c r="P2747" i="3"/>
  <c r="Q2747" i="3"/>
  <c r="P1588" i="3"/>
  <c r="Q1588" i="3"/>
  <c r="P1839" i="3"/>
  <c r="Q1839" i="3"/>
  <c r="P2134" i="3"/>
  <c r="Q2134" i="3"/>
  <c r="P2424" i="3"/>
  <c r="Q2424" i="3"/>
  <c r="P2727" i="3"/>
  <c r="Q2727" i="3"/>
  <c r="P1573" i="3"/>
  <c r="Q1573" i="3"/>
  <c r="P1840" i="3"/>
  <c r="Q1840" i="3"/>
  <c r="P2087" i="3"/>
  <c r="Q2087" i="3"/>
  <c r="P2389" i="3"/>
  <c r="Q2389" i="3"/>
  <c r="P2687" i="3"/>
  <c r="Q2687" i="3"/>
  <c r="P804" i="3"/>
  <c r="Q804" i="3"/>
  <c r="P1093" i="3"/>
  <c r="Q1093" i="3"/>
  <c r="P1357" i="3"/>
  <c r="Q1357" i="3"/>
  <c r="P1621" i="3"/>
  <c r="Q1621" i="3"/>
  <c r="P1873" i="3"/>
  <c r="Q1873" i="3"/>
  <c r="P2136" i="3"/>
  <c r="Q2136" i="3"/>
  <c r="P2443" i="3"/>
  <c r="Q2443" i="3"/>
  <c r="P2795" i="3"/>
  <c r="Q2795" i="3"/>
  <c r="P1653" i="3"/>
  <c r="Q1653" i="3"/>
  <c r="P1922" i="3"/>
  <c r="Q1922" i="3"/>
  <c r="P2193" i="3"/>
  <c r="Q2193" i="3"/>
  <c r="P2480" i="3"/>
  <c r="Q2480" i="3"/>
  <c r="P2845" i="3"/>
  <c r="Q2845" i="3"/>
  <c r="P2031" i="3"/>
  <c r="Q2031" i="3"/>
  <c r="P2302" i="3"/>
  <c r="Q2302" i="3"/>
  <c r="P2592" i="3"/>
  <c r="Q2592" i="3"/>
  <c r="P3091" i="3"/>
  <c r="Q3091" i="3"/>
  <c r="P1984" i="3"/>
  <c r="Q1984" i="3"/>
  <c r="P2250" i="3"/>
  <c r="Q2250" i="3"/>
  <c r="P2554" i="3"/>
  <c r="Q2554" i="3"/>
  <c r="P2899" i="3"/>
  <c r="Q2899" i="3"/>
  <c r="P1672" i="3"/>
  <c r="Q1672" i="3"/>
  <c r="P1925" i="3"/>
  <c r="Q1925" i="3"/>
  <c r="P2197" i="3"/>
  <c r="Q2197" i="3"/>
  <c r="P2484" i="3"/>
  <c r="Q2484" i="3"/>
  <c r="P2802" i="3"/>
  <c r="Q2802" i="3"/>
  <c r="P1611" i="3"/>
  <c r="Q1611" i="3"/>
  <c r="P1863" i="3"/>
  <c r="Q1863" i="3"/>
  <c r="P2125" i="3"/>
  <c r="Q2125" i="3"/>
  <c r="P2415" i="3"/>
  <c r="Q2415" i="3"/>
  <c r="P2759" i="3"/>
  <c r="Q2759" i="3"/>
  <c r="P1581" i="3"/>
  <c r="Q1581" i="3"/>
  <c r="P1832" i="3"/>
  <c r="Q1832" i="3"/>
  <c r="P2110" i="3"/>
  <c r="Q2110" i="3"/>
  <c r="P2398" i="3"/>
  <c r="Q2398" i="3"/>
  <c r="P2718" i="3"/>
  <c r="Q2718" i="3"/>
  <c r="P1706" i="3"/>
  <c r="Q1706" i="3"/>
  <c r="P1958" i="3"/>
  <c r="Q1958" i="3"/>
  <c r="P2219" i="3"/>
  <c r="Q2219" i="3"/>
  <c r="P2504" i="3"/>
  <c r="Q2504" i="3"/>
  <c r="P2829" i="3"/>
  <c r="Q2829" i="3"/>
  <c r="P1645" i="3"/>
  <c r="Q1645" i="3"/>
  <c r="P1898" i="3"/>
  <c r="Q1898" i="3"/>
  <c r="P2147" i="3"/>
  <c r="Q2147" i="3"/>
  <c r="P2436" i="3"/>
  <c r="Q2436" i="3"/>
  <c r="P2743" i="3"/>
  <c r="Q2743" i="3"/>
  <c r="P2196" i="3"/>
  <c r="Q2196" i="3"/>
  <c r="P2447" i="3"/>
  <c r="Q2447" i="3"/>
  <c r="P2715" i="3"/>
  <c r="Q2715" i="3"/>
  <c r="P3033" i="3"/>
  <c r="Q3033" i="3"/>
  <c r="P3394" i="3"/>
  <c r="Q3394" i="3"/>
  <c r="P2932" i="3"/>
  <c r="Q2932" i="3"/>
  <c r="P3268" i="3"/>
  <c r="Q3268" i="3"/>
  <c r="P3748" i="3"/>
  <c r="Q3748" i="3"/>
  <c r="P3117" i="3"/>
  <c r="Q3117" i="3"/>
  <c r="P3518" i="3"/>
  <c r="Q3518" i="3"/>
  <c r="P2995" i="3"/>
  <c r="Q2995" i="3"/>
  <c r="P3374" i="3"/>
  <c r="Q3374" i="3"/>
  <c r="P3936" i="3"/>
  <c r="Q3936" i="3"/>
  <c r="P3224" i="3"/>
  <c r="Q3224" i="3"/>
  <c r="P3680" i="3"/>
  <c r="Q3680" i="3"/>
  <c r="P2263" i="3"/>
  <c r="Q2263" i="3"/>
  <c r="P2514" i="3"/>
  <c r="Q2514" i="3"/>
  <c r="P2817" i="3"/>
  <c r="Q2817" i="3"/>
  <c r="P3143" i="3"/>
  <c r="Q3143" i="3"/>
  <c r="P3524" i="3"/>
  <c r="Q3524" i="3"/>
  <c r="P3525" i="3"/>
  <c r="Q3525" i="3"/>
  <c r="P3021" i="3"/>
  <c r="Q3021" i="3"/>
  <c r="P3380" i="3"/>
  <c r="Q3380" i="3"/>
  <c r="P2923" i="3"/>
  <c r="Q2923" i="3"/>
  <c r="P3305" i="3"/>
  <c r="Q3305" i="3"/>
  <c r="P3807" i="3"/>
  <c r="Q3807" i="3"/>
  <c r="P3166" i="3"/>
  <c r="Q3166" i="3"/>
  <c r="P3572" i="3"/>
  <c r="Q3572" i="3"/>
  <c r="P3208" i="3"/>
  <c r="Q3208" i="3"/>
  <c r="P3730" i="3"/>
  <c r="Q3730" i="3"/>
  <c r="P3108" i="3"/>
  <c r="Q3108" i="3"/>
  <c r="P3506" i="3"/>
  <c r="Q3506" i="3"/>
  <c r="P2966" i="3"/>
  <c r="Q2966" i="3"/>
  <c r="P3361" i="3"/>
  <c r="Q3361" i="3"/>
  <c r="P3963" i="3"/>
  <c r="Q3963" i="3"/>
  <c r="P3237" i="3"/>
  <c r="Q3237" i="3"/>
  <c r="P3700" i="3"/>
  <c r="Q3700" i="3"/>
  <c r="P3701" i="3"/>
  <c r="Q3701" i="3"/>
  <c r="P3092" i="3"/>
  <c r="Q3092" i="3"/>
  <c r="P3550" i="3"/>
  <c r="Q3550" i="3"/>
  <c r="P2635" i="3"/>
  <c r="Q2635" i="3"/>
  <c r="P2902" i="3"/>
  <c r="Q2902" i="3"/>
  <c r="P3184" i="3"/>
  <c r="Q3184" i="3"/>
  <c r="P3498" i="3"/>
  <c r="Q3498" i="3"/>
  <c r="P3810" i="3"/>
  <c r="Q3810" i="3"/>
  <c r="P3950" i="3"/>
  <c r="Q3950" i="3"/>
  <c r="P3373" i="3"/>
  <c r="Q3373" i="3"/>
  <c r="P3676" i="3"/>
  <c r="Q3676" i="3"/>
  <c r="P3991" i="3"/>
  <c r="Q3991" i="3"/>
  <c r="P3756" i="3"/>
  <c r="Q3756" i="3"/>
  <c r="P4071" i="3"/>
  <c r="Q4071" i="3"/>
  <c r="P3835" i="3"/>
  <c r="Q3835" i="3"/>
  <c r="P4052" i="3"/>
  <c r="Q4052" i="3"/>
  <c r="P2581" i="3"/>
  <c r="Q2581" i="3"/>
  <c r="P2840" i="3"/>
  <c r="Q2840" i="3"/>
  <c r="P3158" i="3"/>
  <c r="Q3158" i="3"/>
  <c r="P3469" i="3"/>
  <c r="Q3469" i="3"/>
  <c r="P3781" i="3"/>
  <c r="Q3781" i="3"/>
  <c r="P3529" i="3"/>
  <c r="Q3529" i="3"/>
  <c r="P3841" i="3"/>
  <c r="Q3841" i="3"/>
  <c r="P3588" i="3"/>
  <c r="Q3588" i="3"/>
  <c r="P3902" i="3"/>
  <c r="Q3902" i="3"/>
  <c r="P4002" i="3"/>
  <c r="Q4002" i="3"/>
  <c r="P3887" i="3"/>
  <c r="Q3887" i="3"/>
  <c r="P3311" i="3"/>
  <c r="Q3311" i="3"/>
  <c r="P3614" i="3"/>
  <c r="Q3614" i="3"/>
  <c r="P3928" i="3"/>
  <c r="Q3928" i="3"/>
  <c r="P2885" i="3"/>
  <c r="Q2885" i="3"/>
  <c r="P3134" i="3"/>
  <c r="Q3134" i="3"/>
  <c r="P3407" i="3"/>
  <c r="Q3407" i="3"/>
  <c r="P3655" i="3"/>
  <c r="Q3655" i="3"/>
  <c r="P3909" i="3"/>
  <c r="Q3909" i="3"/>
  <c r="P3270" i="3"/>
  <c r="Q3270" i="3"/>
  <c r="P3560" i="3"/>
  <c r="Q3560" i="3"/>
  <c r="P3814" i="3"/>
  <c r="Q3814" i="3"/>
  <c r="P4070" i="3"/>
  <c r="Q4070" i="3"/>
  <c r="P2938" i="3"/>
  <c r="Q2938" i="3"/>
  <c r="P3187" i="3"/>
  <c r="Q3187" i="3"/>
  <c r="P3430" i="3"/>
  <c r="Q3430" i="3"/>
  <c r="P3678" i="3"/>
  <c r="Q3678" i="3"/>
  <c r="P3933" i="3"/>
  <c r="Q3933" i="3"/>
  <c r="P207" i="3"/>
  <c r="Q207" i="3"/>
  <c r="P777" i="3"/>
  <c r="Q777" i="3"/>
  <c r="P651" i="3"/>
  <c r="Q651" i="3"/>
  <c r="P1054" i="3"/>
  <c r="Q1054" i="3"/>
  <c r="P1201" i="3"/>
  <c r="Q1201" i="3"/>
  <c r="P573" i="3"/>
  <c r="Q573" i="3"/>
  <c r="P1383" i="3"/>
  <c r="Q1383" i="3"/>
  <c r="P1230" i="3"/>
  <c r="Q1230" i="3"/>
  <c r="P1741" i="3"/>
  <c r="Q1741" i="3"/>
  <c r="P2790" i="3"/>
  <c r="Q2790" i="3"/>
  <c r="P2478" i="3"/>
  <c r="Q2478" i="3"/>
  <c r="P2593" i="3"/>
  <c r="Q2593" i="3"/>
  <c r="P2144" i="3"/>
  <c r="Q2144" i="3"/>
  <c r="P2786" i="3"/>
  <c r="Q2786" i="3"/>
  <c r="P3272" i="3"/>
  <c r="Q3272" i="3"/>
  <c r="P3259" i="3"/>
  <c r="Q3259" i="3"/>
  <c r="P3850" i="3"/>
  <c r="Q3850" i="3"/>
  <c r="P3941" i="3"/>
  <c r="Q3941" i="3"/>
  <c r="P115" i="3"/>
  <c r="Q115" i="3"/>
  <c r="P496" i="3"/>
  <c r="Q496" i="3"/>
  <c r="P234" i="3"/>
  <c r="Q234" i="3"/>
  <c r="P148" i="3"/>
  <c r="Q148" i="3"/>
  <c r="P130" i="3"/>
  <c r="Q130" i="3"/>
  <c r="P107" i="3"/>
  <c r="Q107" i="3"/>
  <c r="P182" i="3"/>
  <c r="Q182" i="3"/>
  <c r="P166" i="3"/>
  <c r="Q166" i="3"/>
  <c r="P21" i="3"/>
  <c r="Q21" i="3"/>
  <c r="P488" i="3"/>
  <c r="Q488" i="3"/>
  <c r="P185" i="3"/>
  <c r="Q185" i="3"/>
  <c r="P23" i="3"/>
  <c r="Q23" i="3"/>
  <c r="P504" i="3"/>
  <c r="Q504" i="3"/>
  <c r="P152" i="3"/>
  <c r="Q152" i="3"/>
  <c r="P26" i="3"/>
  <c r="Q26" i="3"/>
  <c r="P528" i="3"/>
  <c r="Q528" i="3"/>
  <c r="P155" i="3"/>
  <c r="Q155" i="3"/>
  <c r="P10" i="3"/>
  <c r="Q10" i="3"/>
  <c r="P416" i="3"/>
  <c r="Q416" i="3"/>
  <c r="P175" i="3"/>
  <c r="Q175" i="3"/>
  <c r="P50" i="3"/>
  <c r="Q50" i="3"/>
  <c r="P683" i="3"/>
  <c r="Q683" i="3"/>
  <c r="P178" i="3"/>
  <c r="Q178" i="3"/>
  <c r="P15" i="3"/>
  <c r="Q15" i="3"/>
  <c r="P448" i="3"/>
  <c r="Q448" i="3"/>
  <c r="P146" i="3"/>
  <c r="Q146" i="3"/>
  <c r="P1415" i="3"/>
  <c r="Q1415" i="3"/>
  <c r="P235" i="3"/>
  <c r="Q235" i="3"/>
  <c r="P490" i="3"/>
  <c r="Q490" i="3"/>
  <c r="P744" i="3"/>
  <c r="Q744" i="3"/>
  <c r="P1037" i="3"/>
  <c r="Q1037" i="3"/>
  <c r="P1324" i="3"/>
  <c r="Q1324" i="3"/>
  <c r="P1858" i="3"/>
  <c r="Q1858" i="3"/>
  <c r="P443" i="3"/>
  <c r="Q443" i="3"/>
  <c r="P694" i="3"/>
  <c r="Q694" i="3"/>
  <c r="P986" i="3"/>
  <c r="Q986" i="3"/>
  <c r="P1271" i="3"/>
  <c r="Q1271" i="3"/>
  <c r="P1644" i="3"/>
  <c r="Q1644" i="3"/>
  <c r="P396" i="3"/>
  <c r="Q396" i="3"/>
  <c r="P647" i="3"/>
  <c r="Q647" i="3"/>
  <c r="P916" i="3"/>
  <c r="Q916" i="3"/>
  <c r="P1200" i="3"/>
  <c r="Q1200" i="3"/>
  <c r="P1488" i="3"/>
  <c r="Q1488" i="3"/>
  <c r="P333" i="3"/>
  <c r="Q333" i="3"/>
  <c r="P585" i="3"/>
  <c r="Q585" i="3"/>
  <c r="P867" i="3"/>
  <c r="Q867" i="3"/>
  <c r="P1183" i="3"/>
  <c r="Q1183" i="3"/>
  <c r="P1489" i="3"/>
  <c r="Q1489" i="3"/>
  <c r="P318" i="3"/>
  <c r="Q318" i="3"/>
  <c r="P586" i="3"/>
  <c r="Q586" i="3"/>
  <c r="P851" i="3"/>
  <c r="Q851" i="3"/>
  <c r="P1130" i="3"/>
  <c r="Q1130" i="3"/>
  <c r="P1413" i="3"/>
  <c r="Q1413" i="3"/>
  <c r="P2722" i="3"/>
  <c r="Q2722" i="3"/>
  <c r="P255" i="3"/>
  <c r="Q255" i="3"/>
  <c r="P511" i="3"/>
  <c r="Q511" i="3"/>
  <c r="P767" i="3"/>
  <c r="Q767" i="3"/>
  <c r="P1060" i="3"/>
  <c r="Q1060" i="3"/>
  <c r="P1346" i="3"/>
  <c r="Q1346" i="3"/>
  <c r="P2013" i="3"/>
  <c r="Q2013" i="3"/>
  <c r="P305" i="3"/>
  <c r="Q305" i="3"/>
  <c r="P558" i="3"/>
  <c r="Q558" i="3"/>
  <c r="P853" i="3"/>
  <c r="Q853" i="3"/>
  <c r="P1152" i="3"/>
  <c r="Q1152" i="3"/>
  <c r="P1451" i="3"/>
  <c r="Q1451" i="3"/>
  <c r="P290" i="3"/>
  <c r="Q290" i="3"/>
  <c r="P543" i="3"/>
  <c r="Q543" i="3"/>
  <c r="P821" i="3"/>
  <c r="Q821" i="3"/>
  <c r="P1100" i="3"/>
  <c r="Q1100" i="3"/>
  <c r="P1399" i="3"/>
  <c r="Q1399" i="3"/>
  <c r="P2599" i="3"/>
  <c r="Q2599" i="3"/>
  <c r="P515" i="3"/>
  <c r="Q515" i="3"/>
  <c r="P771" i="3"/>
  <c r="Q771" i="3"/>
  <c r="P1065" i="3"/>
  <c r="Q1065" i="3"/>
  <c r="P1367" i="3"/>
  <c r="Q1367" i="3"/>
  <c r="P2318" i="3"/>
  <c r="Q2318" i="3"/>
  <c r="P484" i="3"/>
  <c r="Q484" i="3"/>
  <c r="P737" i="3"/>
  <c r="Q737" i="3"/>
  <c r="P1013" i="3"/>
  <c r="Q1013" i="3"/>
  <c r="P1318" i="3"/>
  <c r="Q1318" i="3"/>
  <c r="P1929" i="3"/>
  <c r="Q1929" i="3"/>
  <c r="P437" i="3"/>
  <c r="Q437" i="3"/>
  <c r="P688" i="3"/>
  <c r="Q688" i="3"/>
  <c r="P960" i="3"/>
  <c r="Q960" i="3"/>
  <c r="P1246" i="3"/>
  <c r="Q1246" i="3"/>
  <c r="P1624" i="3"/>
  <c r="Q1624" i="3"/>
  <c r="P374" i="3"/>
  <c r="Q374" i="3"/>
  <c r="P641" i="3"/>
  <c r="Q641" i="3"/>
  <c r="P910" i="3"/>
  <c r="Q910" i="3"/>
  <c r="P1211" i="3"/>
  <c r="Q1211" i="3"/>
  <c r="P1513" i="3"/>
  <c r="Q1513" i="3"/>
  <c r="P327" i="3"/>
  <c r="Q327" i="3"/>
  <c r="P595" i="3"/>
  <c r="Q595" i="3"/>
  <c r="P860" i="3"/>
  <c r="Q860" i="3"/>
  <c r="P1141" i="3"/>
  <c r="Q1141" i="3"/>
  <c r="P1440" i="3"/>
  <c r="Q1440" i="3"/>
  <c r="P2820" i="3"/>
  <c r="Q2820" i="3"/>
  <c r="P377" i="3"/>
  <c r="Q377" i="3"/>
  <c r="P628" i="3"/>
  <c r="Q628" i="3"/>
  <c r="P898" i="3"/>
  <c r="Q898" i="3"/>
  <c r="P1178" i="3"/>
  <c r="Q1178" i="3"/>
  <c r="P1460" i="3"/>
  <c r="Q1460" i="3"/>
  <c r="P723" i="3"/>
  <c r="Q723" i="3"/>
  <c r="P979" i="3"/>
  <c r="Q979" i="3"/>
  <c r="P1229" i="3"/>
  <c r="Q1229" i="3"/>
  <c r="P1474" i="3"/>
  <c r="Q1474" i="3"/>
  <c r="P1725" i="3"/>
  <c r="Q1725" i="3"/>
  <c r="P1976" i="3"/>
  <c r="Q1976" i="3"/>
  <c r="P2240" i="3"/>
  <c r="Q2240" i="3"/>
  <c r="P2525" i="3"/>
  <c r="Q2525" i="3"/>
  <c r="P2860" i="3"/>
  <c r="Q2860" i="3"/>
  <c r="P1647" i="3"/>
  <c r="Q1647" i="3"/>
  <c r="P1916" i="3"/>
  <c r="Q1916" i="3"/>
  <c r="P2205" i="3"/>
  <c r="Q2205" i="3"/>
  <c r="P2491" i="3"/>
  <c r="Q2491" i="3"/>
  <c r="P2836" i="3"/>
  <c r="Q2836" i="3"/>
  <c r="P1633" i="3"/>
  <c r="Q1633" i="3"/>
  <c r="P1885" i="3"/>
  <c r="Q1885" i="3"/>
  <c r="P2133" i="3"/>
  <c r="Q2133" i="3"/>
  <c r="P2440" i="3"/>
  <c r="Q2440" i="3"/>
  <c r="P2766" i="3"/>
  <c r="Q2766" i="3"/>
  <c r="P1604" i="3"/>
  <c r="Q1604" i="3"/>
  <c r="P1855" i="3"/>
  <c r="Q1855" i="3"/>
  <c r="P2152" i="3"/>
  <c r="Q2152" i="3"/>
  <c r="P2441" i="3"/>
  <c r="Q2441" i="3"/>
  <c r="P2748" i="3"/>
  <c r="Q2748" i="3"/>
  <c r="P1589" i="3"/>
  <c r="Q1589" i="3"/>
  <c r="P1856" i="3"/>
  <c r="Q1856" i="3"/>
  <c r="P2102" i="3"/>
  <c r="Q2102" i="3"/>
  <c r="P2408" i="3"/>
  <c r="Q2408" i="3"/>
  <c r="P2708" i="3"/>
  <c r="Q2708" i="3"/>
  <c r="P819" i="3"/>
  <c r="Q819" i="3"/>
  <c r="P1123" i="3"/>
  <c r="Q1123" i="3"/>
  <c r="P1385" i="3"/>
  <c r="Q1385" i="3"/>
  <c r="P1635" i="3"/>
  <c r="Q1635" i="3"/>
  <c r="P1888" i="3"/>
  <c r="Q1888" i="3"/>
  <c r="P2155" i="3"/>
  <c r="Q2155" i="3"/>
  <c r="P2460" i="3"/>
  <c r="Q2460" i="3"/>
  <c r="P2819" i="3"/>
  <c r="Q2819" i="3"/>
  <c r="P1669" i="3"/>
  <c r="Q1669" i="3"/>
  <c r="P1938" i="3"/>
  <c r="Q1938" i="3"/>
  <c r="P2211" i="3"/>
  <c r="Q2211" i="3"/>
  <c r="P2516" i="3"/>
  <c r="Q2516" i="3"/>
  <c r="P2868" i="3"/>
  <c r="Q2868" i="3"/>
  <c r="P2047" i="3"/>
  <c r="Q2047" i="3"/>
  <c r="P2320" i="3"/>
  <c r="Q2320" i="3"/>
  <c r="P2612" i="3"/>
  <c r="Q2612" i="3"/>
  <c r="P3265" i="3"/>
  <c r="Q3265" i="3"/>
  <c r="P2000" i="3"/>
  <c r="Q2000" i="3"/>
  <c r="P2267" i="3"/>
  <c r="Q2267" i="3"/>
  <c r="P2572" i="3"/>
  <c r="Q2572" i="3"/>
  <c r="P2979" i="3"/>
  <c r="Q2979" i="3"/>
  <c r="P1688" i="3"/>
  <c r="Q1688" i="3"/>
  <c r="P1941" i="3"/>
  <c r="Q1941" i="3"/>
  <c r="P2215" i="3"/>
  <c r="Q2215" i="3"/>
  <c r="P2501" i="3"/>
  <c r="Q2501" i="3"/>
  <c r="P2826" i="3"/>
  <c r="Q2826" i="3"/>
  <c r="P1626" i="3"/>
  <c r="Q1626" i="3"/>
  <c r="P1894" i="3"/>
  <c r="Q1894" i="3"/>
  <c r="P2143" i="3"/>
  <c r="Q2143" i="3"/>
  <c r="P2432" i="3"/>
  <c r="Q2432" i="3"/>
  <c r="P2780" i="3"/>
  <c r="Q2780" i="3"/>
  <c r="P1597" i="3"/>
  <c r="Q1597" i="3"/>
  <c r="P1848" i="3"/>
  <c r="Q1848" i="3"/>
  <c r="P2126" i="3"/>
  <c r="Q2126" i="3"/>
  <c r="P2416" i="3"/>
  <c r="Q2416" i="3"/>
  <c r="P2740" i="3"/>
  <c r="Q2740" i="3"/>
  <c r="P1722" i="3"/>
  <c r="Q1722" i="3"/>
  <c r="P1973" i="3"/>
  <c r="Q1973" i="3"/>
  <c r="P2237" i="3"/>
  <c r="Q2237" i="3"/>
  <c r="P2521" i="3"/>
  <c r="Q2521" i="3"/>
  <c r="P2854" i="3"/>
  <c r="Q2854" i="3"/>
  <c r="P1661" i="3"/>
  <c r="Q1661" i="3"/>
  <c r="P1914" i="3"/>
  <c r="Q1914" i="3"/>
  <c r="P2166" i="3"/>
  <c r="Q2166" i="3"/>
  <c r="P2454" i="3"/>
  <c r="Q2454" i="3"/>
  <c r="P2764" i="3"/>
  <c r="Q2764" i="3"/>
  <c r="P2212" i="3"/>
  <c r="Q2212" i="3"/>
  <c r="P2463" i="3"/>
  <c r="Q2463" i="3"/>
  <c r="P2733" i="3"/>
  <c r="Q2733" i="3"/>
  <c r="P3053" i="3"/>
  <c r="Q3053" i="3"/>
  <c r="P3417" i="3"/>
  <c r="Q3417" i="3"/>
  <c r="P2951" i="3"/>
  <c r="Q2951" i="3"/>
  <c r="P3291" i="3"/>
  <c r="Q3291" i="3"/>
  <c r="P3788" i="3"/>
  <c r="Q3788" i="3"/>
  <c r="P3138" i="3"/>
  <c r="Q3138" i="3"/>
  <c r="P3554" i="3"/>
  <c r="Q3554" i="3"/>
  <c r="P3017" i="3"/>
  <c r="Q3017" i="3"/>
  <c r="P3397" i="3"/>
  <c r="Q3397" i="3"/>
  <c r="P2918" i="3"/>
  <c r="Q2918" i="3"/>
  <c r="P3250" i="3"/>
  <c r="Q3250" i="3"/>
  <c r="P3720" i="3"/>
  <c r="Q3720" i="3"/>
  <c r="P2279" i="3"/>
  <c r="Q2279" i="3"/>
  <c r="P2529" i="3"/>
  <c r="Q2529" i="3"/>
  <c r="P2837" i="3"/>
  <c r="Q2837" i="3"/>
  <c r="P3161" i="3"/>
  <c r="Q3161" i="3"/>
  <c r="P3564" i="3"/>
  <c r="Q3564" i="3"/>
  <c r="P3565" i="3"/>
  <c r="Q3565" i="3"/>
  <c r="P3042" i="3"/>
  <c r="Q3042" i="3"/>
  <c r="P3402" i="3"/>
  <c r="Q3402" i="3"/>
  <c r="P2941" i="3"/>
  <c r="Q2941" i="3"/>
  <c r="P3328" i="3"/>
  <c r="Q3328" i="3"/>
  <c r="P3856" i="3"/>
  <c r="Q3856" i="3"/>
  <c r="P3186" i="3"/>
  <c r="Q3186" i="3"/>
  <c r="P3612" i="3"/>
  <c r="Q3612" i="3"/>
  <c r="P3234" i="3"/>
  <c r="Q3234" i="3"/>
  <c r="P3770" i="3"/>
  <c r="Q3770" i="3"/>
  <c r="P3129" i="3"/>
  <c r="Q3129" i="3"/>
  <c r="P3538" i="3"/>
  <c r="Q3538" i="3"/>
  <c r="P3007" i="3"/>
  <c r="Q3007" i="3"/>
  <c r="P3386" i="3"/>
  <c r="Q3386" i="3"/>
  <c r="P2908" i="3"/>
  <c r="Q2908" i="3"/>
  <c r="P3264" i="3"/>
  <c r="Q3264" i="3"/>
  <c r="P3740" i="3"/>
  <c r="Q3740" i="3"/>
  <c r="P3741" i="3"/>
  <c r="Q3741" i="3"/>
  <c r="P3113" i="3"/>
  <c r="Q3113" i="3"/>
  <c r="P3589" i="3"/>
  <c r="Q3589" i="3"/>
  <c r="P2649" i="3"/>
  <c r="Q2649" i="3"/>
  <c r="P2920" i="3"/>
  <c r="Q2920" i="3"/>
  <c r="P3201" i="3"/>
  <c r="Q3201" i="3"/>
  <c r="P3517" i="3"/>
  <c r="Q3517" i="3"/>
  <c r="P3831" i="3"/>
  <c r="Q3831" i="3"/>
  <c r="P3969" i="3"/>
  <c r="Q3969" i="3"/>
  <c r="P3391" i="3"/>
  <c r="Q3391" i="3"/>
  <c r="P3696" i="3"/>
  <c r="Q3696" i="3"/>
  <c r="P4010" i="3"/>
  <c r="Q4010" i="3"/>
  <c r="P3776" i="3"/>
  <c r="Q3776" i="3"/>
  <c r="P3541" i="3"/>
  <c r="Q3541" i="3"/>
  <c r="P3855" i="3"/>
  <c r="Q3855" i="3"/>
  <c r="P4073" i="3"/>
  <c r="Q4073" i="3"/>
  <c r="P2596" i="3"/>
  <c r="Q2596" i="3"/>
  <c r="P2858" i="3"/>
  <c r="Q2858" i="3"/>
  <c r="P3176" i="3"/>
  <c r="Q3176" i="3"/>
  <c r="P3488" i="3"/>
  <c r="Q3488" i="3"/>
  <c r="P3801" i="3"/>
  <c r="Q3801" i="3"/>
  <c r="P3548" i="3"/>
  <c r="Q3548" i="3"/>
  <c r="P3860" i="3"/>
  <c r="Q3860" i="3"/>
  <c r="P3609" i="3"/>
  <c r="Q3609" i="3"/>
  <c r="P3921" i="3"/>
  <c r="Q3921" i="3"/>
  <c r="P4023" i="3"/>
  <c r="Q4023" i="3"/>
  <c r="P3906" i="3"/>
  <c r="Q3906" i="3"/>
  <c r="P3330" i="3"/>
  <c r="Q3330" i="3"/>
  <c r="P3634" i="3"/>
  <c r="Q3634" i="3"/>
  <c r="P3947" i="3"/>
  <c r="Q3947" i="3"/>
  <c r="P2901" i="3"/>
  <c r="Q2901" i="3"/>
  <c r="P3149" i="3"/>
  <c r="Q3149" i="3"/>
  <c r="P3422" i="3"/>
  <c r="Q3422" i="3"/>
  <c r="P3670" i="3"/>
  <c r="Q3670" i="3"/>
  <c r="P3925" i="3"/>
  <c r="Q3925" i="3"/>
  <c r="P3285" i="3"/>
  <c r="Q3285" i="3"/>
  <c r="P3576" i="3"/>
  <c r="Q3576" i="3"/>
  <c r="P3830" i="3"/>
  <c r="Q3830" i="3"/>
  <c r="P4086" i="3"/>
  <c r="Q4086" i="3"/>
  <c r="P2953" i="3"/>
  <c r="Q2953" i="3"/>
  <c r="P3202" i="3"/>
  <c r="Q3202" i="3"/>
  <c r="P3443" i="3"/>
  <c r="Q3443" i="3"/>
  <c r="P3694" i="3"/>
  <c r="Q3694" i="3"/>
  <c r="P3949" i="3"/>
  <c r="Q3949" i="3"/>
  <c r="P89" i="3"/>
  <c r="Q89" i="3"/>
  <c r="P99" i="3"/>
  <c r="Q99" i="3"/>
  <c r="O3" i="3" a="1"/>
  <c r="Y623" i="5" l="1"/>
  <c r="Y804" i="5"/>
  <c r="Y856" i="5"/>
  <c r="X624" i="5"/>
  <c r="V624" i="5"/>
  <c r="Y624" i="5" s="1"/>
  <c r="W624" i="5"/>
  <c r="V805" i="5"/>
  <c r="W805" i="5"/>
  <c r="X805" i="5"/>
  <c r="V857" i="5"/>
  <c r="W857" i="5"/>
  <c r="X857" i="5"/>
  <c r="O3" i="3"/>
  <c r="Y857" i="5" l="1"/>
  <c r="Y805" i="5"/>
  <c r="V625" i="5"/>
  <c r="W625" i="5"/>
  <c r="X625" i="5"/>
  <c r="X858" i="5"/>
  <c r="V858" i="5"/>
  <c r="W858" i="5"/>
  <c r="V806" i="5"/>
  <c r="W806" i="5"/>
  <c r="X806" i="5"/>
  <c r="Y806" i="5" l="1"/>
  <c r="Y858" i="5"/>
  <c r="Y625" i="5"/>
  <c r="W859" i="5"/>
  <c r="X859" i="5"/>
  <c r="V859" i="5"/>
  <c r="V807" i="5"/>
  <c r="W807" i="5"/>
  <c r="X807" i="5"/>
  <c r="V626" i="5"/>
  <c r="W626" i="5"/>
  <c r="X626" i="5"/>
  <c r="Y859" i="5" l="1"/>
  <c r="Y626" i="5"/>
  <c r="Y807" i="5"/>
  <c r="V860" i="5"/>
  <c r="W860" i="5"/>
  <c r="X860" i="5"/>
  <c r="V808" i="5"/>
  <c r="W808" i="5"/>
  <c r="X808" i="5"/>
  <c r="V627" i="5"/>
  <c r="W627" i="5"/>
  <c r="X627" i="5"/>
  <c r="Y808" i="5" l="1"/>
  <c r="Y627" i="5"/>
  <c r="Y860" i="5"/>
  <c r="V809" i="5"/>
  <c r="W809" i="5"/>
  <c r="X809" i="5"/>
  <c r="V628" i="5"/>
  <c r="X628" i="5"/>
  <c r="W628" i="5"/>
  <c r="V861" i="5"/>
  <c r="W861" i="5"/>
  <c r="X861" i="5"/>
  <c r="Y861" i="5" l="1"/>
  <c r="Y628" i="5"/>
  <c r="Y809" i="5"/>
  <c r="X629" i="5"/>
  <c r="W629" i="5"/>
  <c r="V629" i="5"/>
  <c r="Y629" i="5" s="1"/>
  <c r="V862" i="5"/>
  <c r="W862" i="5"/>
  <c r="X862" i="5"/>
  <c r="V810" i="5"/>
  <c r="X810" i="5"/>
  <c r="W810" i="5"/>
  <c r="Y810" i="5" l="1"/>
  <c r="Y862" i="5"/>
  <c r="W811" i="5"/>
  <c r="X811" i="5"/>
  <c r="V811" i="5"/>
  <c r="W863" i="5"/>
  <c r="X863" i="5"/>
  <c r="V863" i="5"/>
  <c r="V630" i="5"/>
  <c r="W630" i="5"/>
  <c r="X630" i="5"/>
  <c r="Y863" i="5" l="1"/>
  <c r="Y811" i="5"/>
  <c r="Y630" i="5"/>
  <c r="X864" i="5"/>
  <c r="V864" i="5"/>
  <c r="W864" i="5"/>
  <c r="W631" i="5"/>
  <c r="X631" i="5"/>
  <c r="V631" i="5"/>
  <c r="V812" i="5"/>
  <c r="W812" i="5"/>
  <c r="X812" i="5"/>
  <c r="Y631" i="5" l="1"/>
  <c r="Y864" i="5"/>
  <c r="Y812" i="5"/>
  <c r="V813" i="5"/>
  <c r="W813" i="5"/>
  <c r="X813" i="5"/>
  <c r="W632" i="5"/>
  <c r="X632" i="5"/>
  <c r="V632" i="5"/>
  <c r="V865" i="5"/>
  <c r="W865" i="5"/>
  <c r="X865" i="5"/>
  <c r="Y865" i="5" l="1"/>
  <c r="Y632" i="5"/>
  <c r="Y813" i="5"/>
  <c r="V633" i="5"/>
  <c r="W633" i="5"/>
  <c r="X633" i="5"/>
  <c r="V866" i="5"/>
  <c r="W866" i="5"/>
  <c r="X866" i="5"/>
  <c r="V814" i="5"/>
  <c r="W814" i="5"/>
  <c r="X814" i="5"/>
  <c r="Y866" i="5" l="1"/>
  <c r="Y633" i="5"/>
  <c r="Y814" i="5"/>
  <c r="X815" i="5"/>
  <c r="W815" i="5"/>
  <c r="V815" i="5"/>
  <c r="V634" i="5"/>
  <c r="W634" i="5"/>
  <c r="X634" i="5"/>
  <c r="Y815" i="5" l="1"/>
  <c r="Y634" i="5"/>
  <c r="X816" i="5"/>
  <c r="V816" i="5"/>
  <c r="W816" i="5"/>
  <c r="W635" i="5"/>
  <c r="X635" i="5"/>
  <c r="V635" i="5"/>
  <c r="Y635" i="5" l="1"/>
  <c r="Y816" i="5"/>
  <c r="X636" i="5"/>
  <c r="V636" i="5"/>
  <c r="W636" i="5"/>
  <c r="V817" i="5"/>
  <c r="W817" i="5"/>
  <c r="X817" i="5"/>
  <c r="Y636" i="5" l="1"/>
  <c r="Y817" i="5"/>
  <c r="V818" i="5"/>
  <c r="W818" i="5"/>
  <c r="X818" i="5"/>
  <c r="V637" i="5"/>
  <c r="X637" i="5"/>
  <c r="W637" i="5"/>
  <c r="Y637" i="5" l="1"/>
  <c r="Y818" i="5"/>
  <c r="V819" i="5"/>
  <c r="W819" i="5"/>
  <c r="X819" i="5"/>
  <c r="V638" i="5"/>
  <c r="W638" i="5"/>
  <c r="X638" i="5"/>
  <c r="Y638" i="5" l="1"/>
  <c r="Y819" i="5"/>
  <c r="W639" i="5"/>
  <c r="V639" i="5"/>
  <c r="X639" i="5"/>
  <c r="X820" i="5"/>
  <c r="V820" i="5"/>
  <c r="W820" i="5"/>
  <c r="Y820" i="5" l="1"/>
  <c r="Y639" i="5"/>
  <c r="W821" i="5"/>
  <c r="V821" i="5"/>
  <c r="X821" i="5"/>
  <c r="X640" i="5"/>
  <c r="V640" i="5"/>
  <c r="W640" i="5"/>
  <c r="Y821" i="5" l="1"/>
  <c r="Y640" i="5"/>
  <c r="V641" i="5"/>
  <c r="W641" i="5"/>
  <c r="X641" i="5"/>
  <c r="V822" i="5"/>
  <c r="W822" i="5"/>
  <c r="X822" i="5"/>
  <c r="Y822" i="5" l="1"/>
  <c r="Y641" i="5"/>
  <c r="V823" i="5"/>
  <c r="W823" i="5"/>
  <c r="X823" i="5"/>
  <c r="V642" i="5"/>
  <c r="W642" i="5"/>
  <c r="X642" i="5"/>
  <c r="Y642" i="5" l="1"/>
  <c r="Y823" i="5"/>
  <c r="V643" i="5"/>
  <c r="X643" i="5"/>
  <c r="W643" i="5"/>
  <c r="V824" i="5"/>
  <c r="W824" i="5"/>
  <c r="X824" i="5"/>
  <c r="Y824" i="5" l="1"/>
  <c r="Y643" i="5"/>
  <c r="V825" i="5"/>
  <c r="W825" i="5"/>
  <c r="X825" i="5"/>
  <c r="V644" i="5"/>
  <c r="Y644" i="5" s="1"/>
  <c r="X644" i="5"/>
  <c r="W644" i="5"/>
  <c r="Y825" i="5" l="1"/>
  <c r="V645" i="5"/>
  <c r="W645" i="5"/>
  <c r="X645" i="5"/>
  <c r="W826" i="5"/>
  <c r="V826" i="5"/>
  <c r="X826" i="5"/>
  <c r="Y826" i="5" l="1"/>
  <c r="Y645" i="5"/>
  <c r="W827" i="5"/>
  <c r="X827" i="5"/>
  <c r="V827" i="5"/>
  <c r="Y827" i="5" s="1"/>
  <c r="V646" i="5"/>
  <c r="W646" i="5"/>
  <c r="X646" i="5"/>
  <c r="Y646" i="5" l="1"/>
  <c r="W647" i="5"/>
  <c r="X647" i="5"/>
  <c r="V647" i="5"/>
  <c r="Y647" i="5" s="1"/>
  <c r="V828" i="5"/>
  <c r="W828" i="5"/>
  <c r="X828" i="5"/>
  <c r="Y828" i="5" l="1"/>
  <c r="V829" i="5"/>
  <c r="W829" i="5"/>
  <c r="X829" i="5"/>
  <c r="W648" i="5"/>
  <c r="V648" i="5"/>
  <c r="X648" i="5"/>
  <c r="Y648" i="5" l="1"/>
  <c r="Y829" i="5"/>
  <c r="W649" i="5"/>
  <c r="V649" i="5"/>
  <c r="X649" i="5"/>
  <c r="V830" i="5"/>
  <c r="W830" i="5"/>
  <c r="X830" i="5"/>
  <c r="Y830" i="5" l="1"/>
  <c r="Y649" i="5"/>
  <c r="X831" i="5"/>
  <c r="W831" i="5"/>
  <c r="V831" i="5"/>
  <c r="X650" i="5"/>
  <c r="V650" i="5"/>
  <c r="W650" i="5"/>
  <c r="Y831" i="5" l="1"/>
  <c r="Y650" i="5"/>
  <c r="W651" i="5"/>
  <c r="V651" i="5"/>
  <c r="X651" i="5"/>
  <c r="X832" i="5"/>
  <c r="V832" i="5"/>
  <c r="W832" i="5"/>
  <c r="Y651" i="5" l="1"/>
  <c r="Y832" i="5"/>
  <c r="V833" i="5"/>
  <c r="W833" i="5"/>
  <c r="X833" i="5"/>
  <c r="X652" i="5"/>
  <c r="W652" i="5"/>
  <c r="V652" i="5"/>
  <c r="Y652" i="5" l="1"/>
  <c r="Y833" i="5"/>
  <c r="V653" i="5"/>
  <c r="X653" i="5"/>
  <c r="W653" i="5"/>
  <c r="V834" i="5"/>
  <c r="W834" i="5"/>
  <c r="X834" i="5"/>
  <c r="Y834" i="5" l="1"/>
  <c r="Y653" i="5"/>
  <c r="V835" i="5"/>
  <c r="W835" i="5"/>
  <c r="X835" i="5"/>
  <c r="X654" i="5"/>
  <c r="V654" i="5"/>
  <c r="W654" i="5"/>
  <c r="Y654" i="5" l="1"/>
  <c r="Y835" i="5"/>
  <c r="V655" i="5"/>
  <c r="W655" i="5"/>
  <c r="X655" i="5"/>
  <c r="X836" i="5"/>
  <c r="V836" i="5"/>
  <c r="W836" i="5"/>
  <c r="Y655" i="5" l="1"/>
  <c r="Y836" i="5"/>
  <c r="W837" i="5"/>
  <c r="X837" i="5"/>
  <c r="V837" i="5"/>
  <c r="V656" i="5"/>
  <c r="W656" i="5"/>
  <c r="X656" i="5"/>
  <c r="Y656" i="5" l="1"/>
  <c r="Y837" i="5"/>
  <c r="X657" i="5"/>
  <c r="V657" i="5"/>
  <c r="W657" i="5"/>
  <c r="V838" i="5"/>
  <c r="W838" i="5"/>
  <c r="X838" i="5"/>
  <c r="Y838" i="5" l="1"/>
  <c r="Y657" i="5"/>
  <c r="V839" i="5"/>
  <c r="W839" i="5"/>
  <c r="X839" i="5"/>
  <c r="W658" i="5"/>
  <c r="V658" i="5"/>
  <c r="X658" i="5"/>
  <c r="Y658" i="5" l="1"/>
  <c r="Y839" i="5"/>
  <c r="V659" i="5"/>
  <c r="W659" i="5"/>
  <c r="X659" i="5"/>
  <c r="V840" i="5"/>
  <c r="W840" i="5"/>
  <c r="X840" i="5"/>
  <c r="Y840" i="5" l="1"/>
  <c r="Y659" i="5"/>
  <c r="V841" i="5"/>
  <c r="W841" i="5"/>
  <c r="X841" i="5"/>
  <c r="V660" i="5"/>
  <c r="W660" i="5"/>
  <c r="X660" i="5"/>
  <c r="Y660" i="5" l="1"/>
  <c r="Y841" i="5"/>
  <c r="V661" i="5"/>
  <c r="W661" i="5"/>
  <c r="X661" i="5"/>
  <c r="Y661" i="5" l="1"/>
  <c r="V662" i="5"/>
  <c r="W662" i="5"/>
  <c r="X662" i="5"/>
  <c r="Y662" i="5" l="1"/>
  <c r="V663" i="5"/>
  <c r="X663" i="5"/>
  <c r="W663" i="5"/>
  <c r="Y663" i="5" l="1"/>
  <c r="W664" i="5"/>
  <c r="X664" i="5"/>
  <c r="V664" i="5"/>
  <c r="Y664" i="5" l="1"/>
  <c r="W665" i="5"/>
  <c r="X665" i="5"/>
  <c r="V665" i="5"/>
  <c r="Y665" i="5" l="1"/>
  <c r="V666" i="5"/>
  <c r="W666" i="5"/>
  <c r="X666" i="5"/>
  <c r="Y666" i="5" l="1"/>
  <c r="V667" i="5"/>
  <c r="W667" i="5"/>
  <c r="X667" i="5"/>
  <c r="Y667" i="5" l="1"/>
  <c r="V668" i="5"/>
  <c r="W668" i="5"/>
  <c r="X668" i="5"/>
  <c r="Y668" i="5" l="1"/>
  <c r="X669" i="5"/>
  <c r="V669" i="5"/>
  <c r="W669" i="5"/>
  <c r="Y669" i="5" l="1"/>
  <c r="X670" i="5"/>
  <c r="W670" i="5"/>
  <c r="V670" i="5"/>
  <c r="Y670" i="5" s="1"/>
  <c r="X671" i="5" l="1"/>
  <c r="V671" i="5"/>
  <c r="W671" i="5"/>
  <c r="Y671" i="5" l="1"/>
  <c r="V672" i="5"/>
  <c r="W672" i="5"/>
  <c r="X672" i="5"/>
  <c r="Y672" i="5" l="1"/>
  <c r="V673" i="5"/>
  <c r="W673" i="5"/>
  <c r="X673" i="5"/>
  <c r="Y673" i="5" l="1"/>
  <c r="V674" i="5"/>
  <c r="W674" i="5"/>
  <c r="X674" i="5"/>
  <c r="Y674" i="5" l="1"/>
  <c r="V675" i="5"/>
  <c r="W675" i="5"/>
  <c r="X675" i="5"/>
  <c r="Y675" i="5" l="1"/>
  <c r="V676" i="5"/>
  <c r="X676" i="5"/>
  <c r="W676" i="5"/>
  <c r="Y676" i="5" l="1"/>
  <c r="X677" i="5"/>
  <c r="V677" i="5"/>
  <c r="W677" i="5"/>
  <c r="Y677" i="5" l="1"/>
  <c r="V678" i="5"/>
  <c r="W678" i="5"/>
  <c r="X678" i="5"/>
  <c r="Y678" i="5" l="1"/>
  <c r="V679" i="5"/>
  <c r="W679" i="5"/>
  <c r="X679" i="5"/>
  <c r="Y679" i="5" l="1"/>
  <c r="W680" i="5"/>
  <c r="V680" i="5"/>
  <c r="X680" i="5"/>
  <c r="Y680" i="5" l="1"/>
  <c r="V681" i="5"/>
  <c r="W681" i="5"/>
  <c r="X681" i="5"/>
  <c r="Y681" i="5" l="1"/>
  <c r="V682" i="5"/>
  <c r="X682" i="5"/>
  <c r="W682" i="5"/>
  <c r="Y682" i="5" l="1"/>
  <c r="W683" i="5"/>
  <c r="X683" i="5"/>
  <c r="V683" i="5"/>
  <c r="Y683" i="5" s="1"/>
  <c r="V684" i="5" l="1"/>
  <c r="W684" i="5"/>
  <c r="X684" i="5"/>
  <c r="Y684" i="5" l="1"/>
  <c r="V685" i="5"/>
  <c r="W685" i="5"/>
  <c r="X685" i="5"/>
  <c r="Y685" i="5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<sst xmlns="http://schemas.openxmlformats.org/spreadsheetml/2006/main" count="80" uniqueCount="44">
  <si>
    <t>Error</t>
  </si>
  <si>
    <t>Total Error</t>
  </si>
  <si>
    <t>Total central sensors</t>
  </si>
  <si>
    <t>Error weight</t>
  </si>
  <si>
    <t>Avg error</t>
  </si>
  <si>
    <t>Max error</t>
  </si>
  <si>
    <t>Min error</t>
  </si>
  <si>
    <t>IR1</t>
  </si>
  <si>
    <t>IR2</t>
  </si>
  <si>
    <t>IR3</t>
  </si>
  <si>
    <t>IR4</t>
  </si>
  <si>
    <t>IR5</t>
  </si>
  <si>
    <t>IR6</t>
  </si>
  <si>
    <t>IR8</t>
  </si>
  <si>
    <t>IR9</t>
  </si>
  <si>
    <t>IR10</t>
  </si>
  <si>
    <t>IR11</t>
  </si>
  <si>
    <t>IR12</t>
  </si>
  <si>
    <t>IR7</t>
  </si>
  <si>
    <t>Errors</t>
  </si>
  <si>
    <t>line</t>
  </si>
  <si>
    <t>straight</t>
  </si>
  <si>
    <t>curve</t>
  </si>
  <si>
    <t>marker</t>
  </si>
  <si>
    <t>crossing</t>
  </si>
  <si>
    <t>pitch</t>
  </si>
  <si>
    <t>Left</t>
  </si>
  <si>
    <t>Right</t>
  </si>
  <si>
    <t>Middle</t>
  </si>
  <si>
    <t>left</t>
  </si>
  <si>
    <t>right</t>
  </si>
  <si>
    <t>Center</t>
  </si>
  <si>
    <t>Invalid Central Sensor Gaps</t>
  </si>
  <si>
    <t>Error Constants</t>
  </si>
  <si>
    <t>Central Sensors</t>
  </si>
  <si>
    <t>Error Values</t>
  </si>
  <si>
    <t>Observer</t>
  </si>
  <si>
    <t>lost left</t>
  </si>
  <si>
    <t>lost right</t>
  </si>
  <si>
    <t>Text Representations</t>
  </si>
  <si>
    <t>Last Error</t>
  </si>
  <si>
    <t>Index</t>
  </si>
  <si>
    <t>Timestamp</t>
  </si>
  <si>
    <t>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</si>
</sst>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3" tint="0.89999084444715716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ashDot">
        <color indexed="64"/>
      </right>
      <top style="thin">
        <color indexed="64"/>
      </top>
      <bottom style="thin">
        <color indexed="64"/>
      </bottom>
      <diagonal/>
    </border>
    <border>
      <left style="dashDot">
        <color indexed="64"/>
      </left>
      <right style="dashDot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dashDot">
        <color indexed="64"/>
      </right>
      <top/>
      <bottom style="thin">
        <color indexed="64"/>
      </bottom>
      <diagonal/>
    </border>
    <border>
      <left style="dashDot">
        <color indexed="64"/>
      </left>
      <right style="dashDot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ashDot">
        <color indexed="64"/>
      </right>
      <top/>
      <bottom style="thin">
        <color indexed="64"/>
      </bottom>
      <diagonal/>
    </border>
    <border>
      <left style="medium">
        <color indexed="64"/>
      </left>
      <right style="dashDot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ashDot">
        <color indexed="64"/>
      </right>
      <top style="thin">
        <color indexed="64"/>
      </top>
      <bottom style="medium">
        <color indexed="64"/>
      </bottom>
      <diagonal/>
    </border>
    <border>
      <left/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ashDot">
        <color indexed="64"/>
      </right>
      <top style="thin">
        <color indexed="64"/>
      </top>
      <bottom style="medium">
        <color indexed="64"/>
      </bottom>
      <diagonal/>
    </border>
    <border>
      <left style="dashDot">
        <color indexed="64"/>
      </left>
      <right style="dashDot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0" fontId="1" fillId="2" borderId="40" xfId="0" applyFont="1" applyFill="1" applyBorder="1" applyAlignment="1">
      <alignment horizontal="center" vertical="center"/>
    </xf>
    <xf numFmtId="0" fontId="0" fillId="5" borderId="32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EAD5"/>
      <color rgb="FFFFFFCC"/>
      <color rgb="FFFFCC99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61963-E9B1-4143-9531-47522E9DF3A3}">
  <dimension ref="B2:T35"/>
  <sheetViews>
    <sheetView showGridLines="0" workbookViewId="0">
      <selection activeCell="C23" sqref="C23"/>
    </sheetView>
  </sheetViews>
  <sheetFormatPr defaultRowHeight="15" x14ac:dyDescent="0.25"/>
  <cols>
    <col min="1" max="1" width="9.140625" style="1"/>
    <col min="2" max="2" width="19.7109375" style="1" bestFit="1" customWidth="1"/>
    <col min="3" max="16384" width="9.140625" style="1"/>
  </cols>
  <sheetData>
    <row r="2" spans="2:20" x14ac:dyDescent="0.25">
      <c r="B2" s="47" t="s">
        <v>33</v>
      </c>
      <c r="C2" s="47"/>
      <c r="I2" s="44">
        <f>I6*(COLUMN(A1)-1)*$C$3</f>
        <v>0</v>
      </c>
      <c r="J2" s="44">
        <f>J6*(COLUMN(B1)-1)*$C$3</f>
        <v>0</v>
      </c>
      <c r="K2" s="44">
        <f>K6*(COLUMN(C1)-1)*$C$3</f>
        <v>0</v>
      </c>
      <c r="L2" s="44">
        <f>L6*(COLUMN(D1)-1)*$C$3</f>
        <v>6</v>
      </c>
      <c r="M2" s="40" t="s">
        <v>19</v>
      </c>
      <c r="N2" s="45">
        <f>N6*(COLUMN(E1)-1)*$C$3</f>
        <v>8</v>
      </c>
      <c r="O2" s="45">
        <f>O6*(COLUMN(F1)-1)*$C$3</f>
        <v>0</v>
      </c>
      <c r="P2" s="45">
        <f>P6*(COLUMN(G1)-1)*$C$3</f>
        <v>0</v>
      </c>
      <c r="Q2" s="45">
        <f>Q6*(COLUMN(H1)-1)*$C$3</f>
        <v>0</v>
      </c>
    </row>
    <row r="3" spans="2:20" x14ac:dyDescent="0.25">
      <c r="B3" s="41" t="s">
        <v>3</v>
      </c>
      <c r="C3" s="4">
        <v>2</v>
      </c>
    </row>
    <row r="4" spans="2:20" x14ac:dyDescent="0.25">
      <c r="B4" s="41" t="s">
        <v>2</v>
      </c>
      <c r="C4" s="4">
        <v>8</v>
      </c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</row>
    <row r="5" spans="2:20" x14ac:dyDescent="0.25">
      <c r="B5" s="41" t="s">
        <v>4</v>
      </c>
      <c r="C5" s="44">
        <f>C3*(C4-1)/2</f>
        <v>7</v>
      </c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</row>
    <row r="6" spans="2:20" x14ac:dyDescent="0.25">
      <c r="B6" s="41" t="s">
        <v>5</v>
      </c>
      <c r="C6" s="44">
        <f>(C4-1)*C3-C5</f>
        <v>7</v>
      </c>
      <c r="F6" s="42"/>
      <c r="G6" s="42">
        <v>1</v>
      </c>
      <c r="H6" s="42"/>
      <c r="I6" s="42">
        <v>0</v>
      </c>
      <c r="J6" s="42">
        <v>0</v>
      </c>
      <c r="K6" s="42">
        <v>0</v>
      </c>
      <c r="L6" s="42">
        <v>1</v>
      </c>
      <c r="M6" s="42">
        <v>1</v>
      </c>
      <c r="N6" s="42">
        <v>1</v>
      </c>
      <c r="O6" s="42">
        <v>0</v>
      </c>
      <c r="P6" s="42">
        <v>0</v>
      </c>
      <c r="Q6" s="42">
        <v>0</v>
      </c>
      <c r="R6" s="42"/>
      <c r="S6" s="42">
        <v>0</v>
      </c>
      <c r="T6" s="42"/>
    </row>
    <row r="7" spans="2:20" x14ac:dyDescent="0.25">
      <c r="B7" s="41" t="s">
        <v>6</v>
      </c>
      <c r="C7" s="44">
        <f>-C6</f>
        <v>-7</v>
      </c>
      <c r="F7" s="42"/>
      <c r="G7" s="43" t="s">
        <v>7</v>
      </c>
      <c r="H7" s="42"/>
      <c r="I7" s="43" t="s">
        <v>8</v>
      </c>
      <c r="J7" s="43" t="s">
        <v>9</v>
      </c>
      <c r="K7" s="43" t="s">
        <v>10</v>
      </c>
      <c r="L7" s="43" t="s">
        <v>11</v>
      </c>
      <c r="M7" s="43" t="s">
        <v>12</v>
      </c>
      <c r="N7" s="43" t="s">
        <v>13</v>
      </c>
      <c r="O7" s="43" t="s">
        <v>14</v>
      </c>
      <c r="P7" s="43" t="s">
        <v>15</v>
      </c>
      <c r="Q7" s="43" t="s">
        <v>16</v>
      </c>
      <c r="R7" s="42"/>
      <c r="S7" s="43" t="s">
        <v>17</v>
      </c>
      <c r="T7" s="42"/>
    </row>
    <row r="8" spans="2:20" x14ac:dyDescent="0.25">
      <c r="J8" s="42"/>
      <c r="K8" s="42"/>
      <c r="L8" s="42"/>
      <c r="M8" s="42"/>
      <c r="N8" s="42"/>
      <c r="O8" s="42"/>
      <c r="P8" s="42"/>
    </row>
    <row r="9" spans="2:20" x14ac:dyDescent="0.25">
      <c r="B9" s="47" t="s">
        <v>35</v>
      </c>
      <c r="C9" s="47"/>
      <c r="K9" s="42"/>
      <c r="L9" s="42"/>
      <c r="M9" s="42"/>
      <c r="N9" s="42"/>
      <c r="O9" s="42"/>
    </row>
    <row r="10" spans="2:20" x14ac:dyDescent="0.25">
      <c r="B10" s="41" t="s">
        <v>1</v>
      </c>
      <c r="C10" s="44">
        <f>SUM(I2:L2,N2:Q2)</f>
        <v>14</v>
      </c>
      <c r="K10" s="42"/>
      <c r="L10" s="42"/>
      <c r="M10" s="42"/>
      <c r="N10" s="42"/>
      <c r="O10" s="42"/>
    </row>
    <row r="11" spans="2:20" x14ac:dyDescent="0.25">
      <c r="B11" s="41" t="s">
        <v>34</v>
      </c>
      <c r="C11" s="44">
        <f>SUM(I6:L6,N6:Q6)</f>
        <v>2</v>
      </c>
      <c r="K11" s="42"/>
      <c r="L11" s="42"/>
      <c r="M11" s="42"/>
      <c r="N11" s="42"/>
      <c r="O11" s="42"/>
    </row>
    <row r="12" spans="2:20" x14ac:dyDescent="0.25">
      <c r="B12" s="41" t="s">
        <v>0</v>
      </c>
      <c r="C12" s="44">
        <f>IF(AND(C11=0,M6=1),0,INT(C10/C11-C5))</f>
        <v>0</v>
      </c>
      <c r="K12" s="42"/>
      <c r="L12" s="42"/>
      <c r="M12" s="42"/>
      <c r="N12" s="42"/>
      <c r="O12" s="42"/>
    </row>
    <row r="13" spans="2:20" x14ac:dyDescent="0.25">
      <c r="B13" s="41" t="s">
        <v>40</v>
      </c>
      <c r="C13" s="4">
        <v>-7</v>
      </c>
      <c r="K13" s="42"/>
      <c r="L13" s="42"/>
      <c r="M13" s="42"/>
      <c r="N13" s="42"/>
      <c r="O13" s="42"/>
    </row>
    <row r="14" spans="2:20" x14ac:dyDescent="0.25">
      <c r="K14" s="42"/>
      <c r="L14" s="42"/>
      <c r="M14" s="42"/>
      <c r="N14" s="42"/>
      <c r="O14" s="42"/>
    </row>
    <row r="15" spans="2:20" x14ac:dyDescent="0.25">
      <c r="B15" s="47" t="s">
        <v>36</v>
      </c>
      <c r="C15" s="47"/>
      <c r="K15" s="42"/>
      <c r="L15" s="42"/>
      <c r="M15" s="42"/>
      <c r="N15" s="42"/>
      <c r="O15" s="42"/>
    </row>
    <row r="16" spans="2:20" x14ac:dyDescent="0.25">
      <c r="B16" s="41" t="s">
        <v>20</v>
      </c>
      <c r="C16" s="44" t="b" cm="1">
        <f t="array" ref="C16:C20">TRANSPOSE(_xlfn.XLOOKUP(_xlfn.TEXTJOIN(,,G6,I6:Q6,S6,M17),Aux!B3:B4098,'Truth Table'!O3:S4098))=1</f>
        <v>1</v>
      </c>
      <c r="K16" s="42"/>
      <c r="L16" s="42"/>
      <c r="M16" s="42"/>
      <c r="N16" s="42"/>
      <c r="O16" s="42"/>
    </row>
    <row r="17" spans="2:17" x14ac:dyDescent="0.25">
      <c r="B17" s="41" t="s">
        <v>21</v>
      </c>
      <c r="C17" s="44" t="b">
        <v>1</v>
      </c>
      <c r="K17" s="42"/>
      <c r="L17" s="42"/>
      <c r="M17" s="42">
        <v>1</v>
      </c>
      <c r="N17" s="42"/>
      <c r="O17" s="42"/>
    </row>
    <row r="18" spans="2:17" x14ac:dyDescent="0.25">
      <c r="B18" s="41" t="s">
        <v>24</v>
      </c>
      <c r="C18" s="44" t="b">
        <v>0</v>
      </c>
      <c r="K18" s="42"/>
      <c r="L18" s="42"/>
      <c r="M18" s="43" t="s">
        <v>18</v>
      </c>
      <c r="N18" s="42"/>
      <c r="O18" s="42"/>
    </row>
    <row r="19" spans="2:17" x14ac:dyDescent="0.25">
      <c r="B19" s="41" t="s">
        <v>22</v>
      </c>
      <c r="C19" s="44" t="b">
        <v>1</v>
      </c>
      <c r="K19" s="42"/>
      <c r="L19" s="42"/>
      <c r="M19" s="42"/>
      <c r="N19" s="42"/>
      <c r="O19" s="42"/>
    </row>
    <row r="20" spans="2:17" x14ac:dyDescent="0.25">
      <c r="B20" s="41" t="s">
        <v>23</v>
      </c>
      <c r="C20" s="44" t="b">
        <v>0</v>
      </c>
      <c r="K20" s="42"/>
      <c r="L20" s="42"/>
      <c r="M20" s="42"/>
      <c r="N20" s="42"/>
      <c r="O20" s="42"/>
    </row>
    <row r="21" spans="2:17" x14ac:dyDescent="0.25">
      <c r="B21" s="41" t="s">
        <v>37</v>
      </c>
      <c r="C21" s="44" t="b">
        <f>AND(_xlfn.XLOOKUP(_xlfn.TEXTJOIN(,,G6,I6:Q6,S6,M17),Aux!B3:B4098,'Truth Table'!T3:T4098)=1,C13&lt;=C7)</f>
        <v>0</v>
      </c>
      <c r="K21" s="42"/>
      <c r="L21" s="42"/>
      <c r="M21" s="42"/>
      <c r="N21" s="42"/>
      <c r="O21" s="42"/>
    </row>
    <row r="22" spans="2:17" x14ac:dyDescent="0.25">
      <c r="B22" s="41" t="s">
        <v>38</v>
      </c>
      <c r="C22" s="44" t="b">
        <f>AND(_xlfn.XLOOKUP(_xlfn.TEXTJOIN(,,G6,I6:Q6,S6,M17),Aux!B3:B4098,'Truth Table'!U3:U4098)=1,C13&gt;=C6)</f>
        <v>0</v>
      </c>
      <c r="K22" s="42"/>
      <c r="L22" s="42"/>
      <c r="M22" s="42"/>
      <c r="N22" s="42"/>
      <c r="O22" s="42"/>
    </row>
    <row r="23" spans="2:17" x14ac:dyDescent="0.25">
      <c r="B23" s="41" t="s">
        <v>25</v>
      </c>
      <c r="C23" s="44" t="b">
        <f>AND(_xlfn.XLOOKUP(_xlfn.TEXTJOIN(,,G6,I6:Q6,S6,M17),Aux!B3:B4098,'Truth Table'!V3:V4098)=1,ABS(C13)&lt;C6)</f>
        <v>0</v>
      </c>
      <c r="K23" s="42"/>
      <c r="L23" s="42"/>
      <c r="M23" s="42"/>
      <c r="N23" s="42"/>
      <c r="O23" s="42"/>
    </row>
    <row r="24" spans="2:17" x14ac:dyDescent="0.25">
      <c r="K24" s="42"/>
      <c r="L24" s="42"/>
      <c r="M24" s="42"/>
      <c r="N24" s="42"/>
      <c r="O24" s="42"/>
    </row>
    <row r="25" spans="2:17" x14ac:dyDescent="0.25">
      <c r="K25" s="42"/>
      <c r="L25" s="42"/>
      <c r="M25" s="42"/>
      <c r="N25" s="42"/>
      <c r="O25" s="42"/>
    </row>
    <row r="26" spans="2:17" x14ac:dyDescent="0.25">
      <c r="K26" s="42"/>
      <c r="L26" s="42"/>
      <c r="M26" s="42"/>
      <c r="N26" s="42"/>
      <c r="O26" s="42"/>
    </row>
    <row r="27" spans="2:17" x14ac:dyDescent="0.25">
      <c r="K27" s="42"/>
      <c r="L27" s="42"/>
      <c r="M27" s="42"/>
      <c r="N27" s="42"/>
      <c r="O27" s="42"/>
    </row>
    <row r="28" spans="2:17" x14ac:dyDescent="0.25">
      <c r="K28" s="42"/>
      <c r="L28" s="42"/>
      <c r="M28" s="42"/>
      <c r="N28" s="42"/>
      <c r="O28" s="42"/>
    </row>
    <row r="29" spans="2:17" x14ac:dyDescent="0.25">
      <c r="J29" s="42"/>
      <c r="K29" s="42"/>
      <c r="L29" s="42"/>
      <c r="M29" s="42"/>
      <c r="N29" s="42"/>
      <c r="O29" s="42"/>
      <c r="P29" s="42"/>
    </row>
    <row r="30" spans="2:17" x14ac:dyDescent="0.25">
      <c r="I30" s="42"/>
      <c r="J30" s="42"/>
      <c r="K30" s="42"/>
      <c r="L30" s="42"/>
      <c r="M30" s="42"/>
      <c r="N30" s="42"/>
      <c r="O30" s="42"/>
      <c r="P30" s="42"/>
      <c r="Q30" s="42"/>
    </row>
    <row r="31" spans="2:17" x14ac:dyDescent="0.25">
      <c r="I31" s="42"/>
      <c r="J31" s="42"/>
      <c r="K31" s="42"/>
      <c r="L31" s="42"/>
      <c r="M31" s="42"/>
      <c r="N31" s="42"/>
      <c r="O31" s="42"/>
      <c r="P31" s="42"/>
      <c r="Q31" s="42"/>
    </row>
    <row r="32" spans="2:17" x14ac:dyDescent="0.25">
      <c r="I32" s="42"/>
      <c r="J32" s="42"/>
      <c r="K32" s="42"/>
      <c r="L32" s="42"/>
      <c r="M32" s="42"/>
      <c r="N32" s="42"/>
      <c r="O32" s="42"/>
      <c r="P32" s="42"/>
      <c r="Q32" s="42"/>
    </row>
    <row r="33" spans="9:17" x14ac:dyDescent="0.25">
      <c r="I33" s="42"/>
      <c r="J33" s="42"/>
      <c r="K33" s="42"/>
      <c r="L33" s="42"/>
      <c r="M33" s="42"/>
      <c r="N33" s="42"/>
      <c r="O33" s="42"/>
      <c r="P33" s="42"/>
      <c r="Q33" s="42"/>
    </row>
    <row r="34" spans="9:17" x14ac:dyDescent="0.25">
      <c r="I34" s="42"/>
      <c r="J34" s="42"/>
      <c r="K34" s="42"/>
      <c r="L34" s="42"/>
      <c r="M34" s="42"/>
      <c r="N34" s="42"/>
      <c r="O34" s="42"/>
      <c r="P34" s="42"/>
      <c r="Q34" s="42"/>
    </row>
    <row r="35" spans="9:17" x14ac:dyDescent="0.25">
      <c r="I35" s="42"/>
      <c r="J35" s="42"/>
      <c r="K35" s="42"/>
      <c r="L35" s="42"/>
      <c r="M35" s="42"/>
      <c r="N35" s="42"/>
      <c r="O35" s="42"/>
      <c r="P35" s="42"/>
      <c r="Q35" s="42"/>
    </row>
  </sheetData>
  <mergeCells count="3">
    <mergeCell ref="B2:C2"/>
    <mergeCell ref="B9:C9"/>
    <mergeCell ref="B15:C15"/>
  </mergeCells>
  <conditionalFormatting sqref="C16:C23">
    <cfRule type="cellIs" dxfId="7" priority="1" operator="equal">
      <formula>FALSE</formula>
    </cfRule>
    <cfRule type="cellIs" dxfId="6" priority="2" operator="equal">
      <formula>TRUE</formula>
    </cfRule>
  </conditionalFormatting>
  <conditionalFormatting sqref="G6 I6:Q6 S6 M17">
    <cfRule type="cellIs" dxfId="5" priority="3" operator="equal">
      <formula>1</formula>
    </cfRule>
    <cfRule type="cellIs" dxfId="4" priority="4" operator="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DC1A4-77C5-4E39-AD2F-B0971E851109}">
  <dimension ref="B1:V4098"/>
  <sheetViews>
    <sheetView showGridLines="0" workbookViewId="0">
      <pane ySplit="2" topLeftCell="A3" activePane="bottomLeft" state="frozen"/>
      <selection pane="bottomLeft" activeCell="N3" sqref="N3"/>
    </sheetView>
  </sheetViews>
  <sheetFormatPr defaultRowHeight="15" x14ac:dyDescent="0.25"/>
  <sheetData>
    <row r="1" spans="2:22" ht="15.75" thickBot="1" x14ac:dyDescent="0.3"/>
    <row r="2" spans="2:22" ht="15.75" thickBot="1" x14ac:dyDescent="0.3">
      <c r="B2" s="30" t="s">
        <v>26</v>
      </c>
      <c r="C2" s="31" t="s">
        <v>8</v>
      </c>
      <c r="D2" s="31" t="s">
        <v>9</v>
      </c>
      <c r="E2" s="31" t="s">
        <v>10</v>
      </c>
      <c r="F2" s="31" t="s">
        <v>11</v>
      </c>
      <c r="G2" s="31" t="s">
        <v>31</v>
      </c>
      <c r="H2" s="31" t="s">
        <v>13</v>
      </c>
      <c r="I2" s="31" t="s">
        <v>14</v>
      </c>
      <c r="J2" s="31" t="s">
        <v>15</v>
      </c>
      <c r="K2" s="31" t="s">
        <v>16</v>
      </c>
      <c r="L2" s="31" t="s">
        <v>27</v>
      </c>
      <c r="M2" s="31" t="s">
        <v>28</v>
      </c>
      <c r="N2" s="35" t="s">
        <v>0</v>
      </c>
      <c r="O2" s="30" t="s">
        <v>20</v>
      </c>
      <c r="P2" s="31" t="s">
        <v>21</v>
      </c>
      <c r="Q2" s="31" t="s">
        <v>24</v>
      </c>
      <c r="R2" s="31" t="s">
        <v>22</v>
      </c>
      <c r="S2" s="31" t="s">
        <v>23</v>
      </c>
      <c r="T2" s="31" t="s">
        <v>29</v>
      </c>
      <c r="U2" s="32" t="s">
        <v>30</v>
      </c>
      <c r="V2" s="34" t="s">
        <v>25</v>
      </c>
    </row>
    <row r="3" spans="2:22" x14ac:dyDescent="0.25">
      <c r="B3" s="15">
        <v>0</v>
      </c>
      <c r="C3" s="11">
        <v>0</v>
      </c>
      <c r="D3" s="12">
        <v>0</v>
      </c>
      <c r="E3" s="12">
        <v>0</v>
      </c>
      <c r="F3" s="12">
        <v>0</v>
      </c>
      <c r="G3" s="12">
        <v>0</v>
      </c>
      <c r="H3" s="12">
        <v>0</v>
      </c>
      <c r="I3" s="12">
        <v>0</v>
      </c>
      <c r="J3" s="12">
        <v>0</v>
      </c>
      <c r="K3" s="13">
        <v>0</v>
      </c>
      <c r="L3" s="14">
        <v>0</v>
      </c>
      <c r="M3" s="3">
        <v>0</v>
      </c>
      <c r="N3" s="36" t="e" cm="1">
        <f t="array" ref="N3">IF(OR(ISNUMBER(FIND(Aux!$D$3:$D$9,_xlfn.TEXTJOIN(,,C3:K3)))),NA(),IF(AND(SUM(C3:F3,H3:K3)=0,G3=1),0,INT((SUMPRODUCT(C3:F3,COLUMN($A$1:$D$1)-1)+SUMPRODUCT(H3:K3,COLUMN($E$1:$H$1)-1))*'Line Follower'!$C$3/SUM(C3:F3,H3:K3)-'Line Follower'!$C$5)))</f>
        <v>#DIV/0!</v>
      </c>
      <c r="O3" s="27" t="e" cm="1">
        <f t="array" ref="O3:O4098">IF(ABS(N3:N4098)&lt;='Line Follower'!$C$6,1,0)</f>
        <v>#DIV/0!</v>
      </c>
      <c r="P3" s="28" t="e">
        <f t="shared" ref="P3:P66" si="0">IF(AND(N3=0,G3=1,M3=1),1,0)</f>
        <v>#DIV/0!</v>
      </c>
      <c r="Q3" s="28" t="e">
        <f t="shared" ref="Q3:Q66" si="1">IF(ISERROR(N3),N3,IF(SUM(C3:K3)&gt;=4,1,0))</f>
        <v>#DIV/0!</v>
      </c>
      <c r="R3" s="28" t="e">
        <f>IF(AND(B3=1,N3&gt;'Line Follower'!$C$7,SUM(C3:K3)&lt;4),1,0)</f>
        <v>#DIV/0!</v>
      </c>
      <c r="S3" s="28" t="e">
        <f>IF(AND(L3=1,N3&lt;'Line Follower'!$C$6,SUM(C3:K3)&lt;4),1,0)</f>
        <v>#DIV/0!</v>
      </c>
      <c r="T3" s="28">
        <f>IF(ISNA(N3),NA(),IF(SUM(C3:L3)=0,1,0))</f>
        <v>1</v>
      </c>
      <c r="U3" s="2">
        <f>IF(ISNA(N3),NA(),IF(SUM(B3:K3)=0,1,0))</f>
        <v>1</v>
      </c>
      <c r="V3" s="29">
        <f>IF(ISNA(N3),NA(),IF(SUM(B3:L3)=0,1,0))</f>
        <v>1</v>
      </c>
    </row>
    <row r="4" spans="2:22" x14ac:dyDescent="0.25">
      <c r="B4" s="16">
        <v>1</v>
      </c>
      <c r="C4" s="7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9">
        <v>0</v>
      </c>
      <c r="L4" s="10">
        <v>0</v>
      </c>
      <c r="M4" s="6">
        <v>0</v>
      </c>
      <c r="N4" s="37" t="e" cm="1">
        <f t="array" ref="N4">IF(OR(ISNUMBER(FIND(Aux!$D$3:$D$9,_xlfn.TEXTJOIN(,,C4:K4)))),NA(),IF(AND(SUM(C4:F4,H4:K4)=0,G4=1),0,INT((SUMPRODUCT(C4:F4,COLUMN($A$1:$D$1)-1)+SUMPRODUCT(H4:K4,COLUMN($E$1:$H$1)-1))*'Line Follower'!$C$3/SUM(C4:F4,H4:K4)-'Line Follower'!$C$5)))</f>
        <v>#DIV/0!</v>
      </c>
      <c r="O4" s="22" t="e">
        <v>#DIV/0!</v>
      </c>
      <c r="P4" s="4" t="e">
        <f t="shared" si="0"/>
        <v>#DIV/0!</v>
      </c>
      <c r="Q4" s="4" t="e">
        <f t="shared" si="1"/>
        <v>#DIV/0!</v>
      </c>
      <c r="R4" s="4" t="e">
        <f>IF(AND(B4=1,N4&gt;'Line Follower'!$C$7,SUM(C4:K4)&lt;4),1,0)</f>
        <v>#DIV/0!</v>
      </c>
      <c r="S4" s="4" t="e">
        <f>IF(AND(L4=1,N4&lt;'Line Follower'!$C$6,SUM(C4:K4)&lt;4),1,0)</f>
        <v>#DIV/0!</v>
      </c>
      <c r="T4" s="4">
        <f t="shared" ref="T4:T67" si="2">IF(ISNA(N4),NA(),IF(SUM(C4:L4)=0,1,0))</f>
        <v>1</v>
      </c>
      <c r="U4" s="5">
        <f t="shared" ref="U4:U67" si="3">IF(ISNA(N4),NA(),IF(SUM(B4:K4)=0,1,0))</f>
        <v>0</v>
      </c>
      <c r="V4" s="23">
        <f t="shared" ref="V4:V67" si="4">IF(ISNA(N4),NA(),IF(SUM(B4:L4)=0,1,0))</f>
        <v>0</v>
      </c>
    </row>
    <row r="5" spans="2:22" x14ac:dyDescent="0.25">
      <c r="B5" s="16">
        <v>0</v>
      </c>
      <c r="C5" s="7">
        <v>1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9">
        <v>0</v>
      </c>
      <c r="L5" s="10">
        <v>0</v>
      </c>
      <c r="M5" s="6">
        <v>0</v>
      </c>
      <c r="N5" s="37" cm="1">
        <f t="array" ref="N5">IF(OR(ISNUMBER(FIND(Aux!$D$3:$D$9,_xlfn.TEXTJOIN(,,C5:K5)))),NA(),IF(AND(SUM(C5:F5,H5:K5)=0,G5=1),0,INT((SUMPRODUCT(C5:F5,COLUMN($A$1:$D$1)-1)+SUMPRODUCT(H5:K5,COLUMN($E$1:$H$1)-1))*'Line Follower'!$C$3/SUM(C5:F5,H5:K5)-'Line Follower'!$C$5)))</f>
        <v>-7</v>
      </c>
      <c r="O5" s="22">
        <v>1</v>
      </c>
      <c r="P5" s="4">
        <f t="shared" si="0"/>
        <v>0</v>
      </c>
      <c r="Q5" s="4">
        <f t="shared" si="1"/>
        <v>0</v>
      </c>
      <c r="R5" s="4">
        <f>IF(AND(B5=1,N5&gt;'Line Follower'!$C$7,SUM(C5:K5)&lt;4),1,0)</f>
        <v>0</v>
      </c>
      <c r="S5" s="4">
        <f>IF(AND(L5=1,N5&lt;'Line Follower'!$C$6,SUM(C5:K5)&lt;4),1,0)</f>
        <v>0</v>
      </c>
      <c r="T5" s="4">
        <f t="shared" si="2"/>
        <v>0</v>
      </c>
      <c r="U5" s="5">
        <f t="shared" si="3"/>
        <v>0</v>
      </c>
      <c r="V5" s="23">
        <f t="shared" si="4"/>
        <v>0</v>
      </c>
    </row>
    <row r="6" spans="2:22" x14ac:dyDescent="0.25">
      <c r="B6" s="16">
        <v>1</v>
      </c>
      <c r="C6" s="7">
        <v>1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9">
        <v>0</v>
      </c>
      <c r="L6" s="10">
        <v>0</v>
      </c>
      <c r="M6" s="6">
        <v>0</v>
      </c>
      <c r="N6" s="37" cm="1">
        <f t="array" ref="N6">IF(OR(ISNUMBER(FIND(Aux!$D$3:$D$9,_xlfn.TEXTJOIN(,,C6:K6)))),NA(),IF(AND(SUM(C6:F6,H6:K6)=0,G6=1),0,INT((SUMPRODUCT(C6:F6,COLUMN($A$1:$D$1)-1)+SUMPRODUCT(H6:K6,COLUMN($E$1:$H$1)-1))*'Line Follower'!$C$3/SUM(C6:F6,H6:K6)-'Line Follower'!$C$5)))</f>
        <v>-7</v>
      </c>
      <c r="O6" s="22">
        <v>1</v>
      </c>
      <c r="P6" s="4">
        <f t="shared" si="0"/>
        <v>0</v>
      </c>
      <c r="Q6" s="4">
        <f t="shared" si="1"/>
        <v>0</v>
      </c>
      <c r="R6" s="4">
        <f>IF(AND(B6=1,N6&gt;'Line Follower'!$C$7,SUM(C6:K6)&lt;4),1,0)</f>
        <v>0</v>
      </c>
      <c r="S6" s="4">
        <f>IF(AND(L6=1,N6&lt;'Line Follower'!$C$6,SUM(C6:K6)&lt;4),1,0)</f>
        <v>0</v>
      </c>
      <c r="T6" s="4">
        <f t="shared" si="2"/>
        <v>0</v>
      </c>
      <c r="U6" s="5">
        <f t="shared" si="3"/>
        <v>0</v>
      </c>
      <c r="V6" s="23">
        <f t="shared" si="4"/>
        <v>0</v>
      </c>
    </row>
    <row r="7" spans="2:22" x14ac:dyDescent="0.25">
      <c r="B7" s="16">
        <v>0</v>
      </c>
      <c r="C7" s="7">
        <v>0</v>
      </c>
      <c r="D7" s="8">
        <v>1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9">
        <v>0</v>
      </c>
      <c r="L7" s="10">
        <v>0</v>
      </c>
      <c r="M7" s="6">
        <v>0</v>
      </c>
      <c r="N7" s="37" cm="1">
        <f t="array" ref="N7">IF(OR(ISNUMBER(FIND(Aux!$D$3:$D$9,_xlfn.TEXTJOIN(,,C7:K7)))),NA(),IF(AND(SUM(C7:F7,H7:K7)=0,G7=1),0,INT((SUMPRODUCT(C7:F7,COLUMN($A$1:$D$1)-1)+SUMPRODUCT(H7:K7,COLUMN($E$1:$H$1)-1))*'Line Follower'!$C$3/SUM(C7:F7,H7:K7)-'Line Follower'!$C$5)))</f>
        <v>-5</v>
      </c>
      <c r="O7" s="22">
        <v>1</v>
      </c>
      <c r="P7" s="4">
        <f t="shared" si="0"/>
        <v>0</v>
      </c>
      <c r="Q7" s="4">
        <f t="shared" si="1"/>
        <v>0</v>
      </c>
      <c r="R7" s="4">
        <f>IF(AND(B7=1,N7&gt;'Line Follower'!$C$7,SUM(C7:K7)&lt;4),1,0)</f>
        <v>0</v>
      </c>
      <c r="S7" s="4">
        <f>IF(AND(L7=1,N7&lt;'Line Follower'!$C$6,SUM(C7:K7)&lt;4),1,0)</f>
        <v>0</v>
      </c>
      <c r="T7" s="4">
        <f t="shared" si="2"/>
        <v>0</v>
      </c>
      <c r="U7" s="5">
        <f t="shared" si="3"/>
        <v>0</v>
      </c>
      <c r="V7" s="23">
        <f t="shared" si="4"/>
        <v>0</v>
      </c>
    </row>
    <row r="8" spans="2:22" x14ac:dyDescent="0.25">
      <c r="B8" s="16">
        <v>1</v>
      </c>
      <c r="C8" s="7">
        <v>0</v>
      </c>
      <c r="D8" s="8">
        <v>1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9">
        <v>0</v>
      </c>
      <c r="L8" s="10">
        <v>0</v>
      </c>
      <c r="M8" s="6">
        <v>0</v>
      </c>
      <c r="N8" s="37" cm="1">
        <f t="array" ref="N8">IF(OR(ISNUMBER(FIND(Aux!$D$3:$D$9,_xlfn.TEXTJOIN(,,C8:K8)))),NA(),IF(AND(SUM(C8:F8,H8:K8)=0,G8=1),0,INT((SUMPRODUCT(C8:F8,COLUMN($A$1:$D$1)-1)+SUMPRODUCT(H8:K8,COLUMN($E$1:$H$1)-1))*'Line Follower'!$C$3/SUM(C8:F8,H8:K8)-'Line Follower'!$C$5)))</f>
        <v>-5</v>
      </c>
      <c r="O8" s="22">
        <v>1</v>
      </c>
      <c r="P8" s="4">
        <f t="shared" si="0"/>
        <v>0</v>
      </c>
      <c r="Q8" s="4">
        <f t="shared" si="1"/>
        <v>0</v>
      </c>
      <c r="R8" s="4">
        <f>IF(AND(B8=1,N8&gt;'Line Follower'!$C$7,SUM(C8:K8)&lt;4),1,0)</f>
        <v>1</v>
      </c>
      <c r="S8" s="4">
        <f>IF(AND(L8=1,N8&lt;'Line Follower'!$C$6,SUM(C8:K8)&lt;4),1,0)</f>
        <v>0</v>
      </c>
      <c r="T8" s="4">
        <f t="shared" si="2"/>
        <v>0</v>
      </c>
      <c r="U8" s="5">
        <f t="shared" si="3"/>
        <v>0</v>
      </c>
      <c r="V8" s="23">
        <f t="shared" si="4"/>
        <v>0</v>
      </c>
    </row>
    <row r="9" spans="2:22" x14ac:dyDescent="0.25">
      <c r="B9" s="16">
        <v>0</v>
      </c>
      <c r="C9" s="7">
        <v>1</v>
      </c>
      <c r="D9" s="8">
        <v>1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9">
        <v>0</v>
      </c>
      <c r="L9" s="10">
        <v>0</v>
      </c>
      <c r="M9" s="6">
        <v>0</v>
      </c>
      <c r="N9" s="37" cm="1">
        <f t="array" ref="N9">IF(OR(ISNUMBER(FIND(Aux!$D$3:$D$9,_xlfn.TEXTJOIN(,,C9:K9)))),NA(),IF(AND(SUM(C9:F9,H9:K9)=0,G9=1),0,INT((SUMPRODUCT(C9:F9,COLUMN($A$1:$D$1)-1)+SUMPRODUCT(H9:K9,COLUMN($E$1:$H$1)-1))*'Line Follower'!$C$3/SUM(C9:F9,H9:K9)-'Line Follower'!$C$5)))</f>
        <v>-6</v>
      </c>
      <c r="O9" s="22">
        <v>1</v>
      </c>
      <c r="P9" s="4">
        <f t="shared" si="0"/>
        <v>0</v>
      </c>
      <c r="Q9" s="4">
        <f t="shared" si="1"/>
        <v>0</v>
      </c>
      <c r="R9" s="4">
        <f>IF(AND(B9=1,N9&gt;'Line Follower'!$C$7,SUM(C9:K9)&lt;4),1,0)</f>
        <v>0</v>
      </c>
      <c r="S9" s="4">
        <f>IF(AND(L9=1,N9&lt;'Line Follower'!$C$6,SUM(C9:K9)&lt;4),1,0)</f>
        <v>0</v>
      </c>
      <c r="T9" s="4">
        <f t="shared" si="2"/>
        <v>0</v>
      </c>
      <c r="U9" s="5">
        <f t="shared" si="3"/>
        <v>0</v>
      </c>
      <c r="V9" s="23">
        <f t="shared" si="4"/>
        <v>0</v>
      </c>
    </row>
    <row r="10" spans="2:22" x14ac:dyDescent="0.25">
      <c r="B10" s="16">
        <v>1</v>
      </c>
      <c r="C10" s="7">
        <v>1</v>
      </c>
      <c r="D10" s="8">
        <v>1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9">
        <v>0</v>
      </c>
      <c r="L10" s="10">
        <v>0</v>
      </c>
      <c r="M10" s="6">
        <v>0</v>
      </c>
      <c r="N10" s="37" cm="1">
        <f t="array" ref="N10">IF(OR(ISNUMBER(FIND(Aux!$D$3:$D$9,_xlfn.TEXTJOIN(,,C10:K10)))),NA(),IF(AND(SUM(C10:F10,H10:K10)=0,G10=1),0,INT((SUMPRODUCT(C10:F10,COLUMN($A$1:$D$1)-1)+SUMPRODUCT(H10:K10,COLUMN($E$1:$H$1)-1))*'Line Follower'!$C$3/SUM(C10:F10,H10:K10)-'Line Follower'!$C$5)))</f>
        <v>-6</v>
      </c>
      <c r="O10" s="22">
        <v>1</v>
      </c>
      <c r="P10" s="4">
        <f t="shared" si="0"/>
        <v>0</v>
      </c>
      <c r="Q10" s="4">
        <f t="shared" si="1"/>
        <v>0</v>
      </c>
      <c r="R10" s="4">
        <f>IF(AND(B10=1,N10&gt;'Line Follower'!$C$7,SUM(C10:K10)&lt;4),1,0)</f>
        <v>1</v>
      </c>
      <c r="S10" s="4">
        <f>IF(AND(L10=1,N10&lt;'Line Follower'!$C$6,SUM(C10:K10)&lt;4),1,0)</f>
        <v>0</v>
      </c>
      <c r="T10" s="4">
        <f t="shared" si="2"/>
        <v>0</v>
      </c>
      <c r="U10" s="5">
        <f t="shared" si="3"/>
        <v>0</v>
      </c>
      <c r="V10" s="23">
        <f t="shared" si="4"/>
        <v>0</v>
      </c>
    </row>
    <row r="11" spans="2:22" x14ac:dyDescent="0.25">
      <c r="B11" s="16">
        <v>0</v>
      </c>
      <c r="C11" s="7">
        <v>0</v>
      </c>
      <c r="D11" s="8">
        <v>0</v>
      </c>
      <c r="E11" s="8">
        <v>1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9">
        <v>0</v>
      </c>
      <c r="L11" s="10">
        <v>0</v>
      </c>
      <c r="M11" s="6">
        <v>0</v>
      </c>
      <c r="N11" s="37" cm="1">
        <f t="array" ref="N11">IF(OR(ISNUMBER(FIND(Aux!$D$3:$D$9,_xlfn.TEXTJOIN(,,C11:K11)))),NA(),IF(AND(SUM(C11:F11,H11:K11)=0,G11=1),0,INT((SUMPRODUCT(C11:F11,COLUMN($A$1:$D$1)-1)+SUMPRODUCT(H11:K11,COLUMN($E$1:$H$1)-1))*'Line Follower'!$C$3/SUM(C11:F11,H11:K11)-'Line Follower'!$C$5)))</f>
        <v>-3</v>
      </c>
      <c r="O11" s="22">
        <v>1</v>
      </c>
      <c r="P11" s="4">
        <f t="shared" si="0"/>
        <v>0</v>
      </c>
      <c r="Q11" s="4">
        <f t="shared" si="1"/>
        <v>0</v>
      </c>
      <c r="R11" s="4">
        <f>IF(AND(B11=1,N11&gt;'Line Follower'!$C$7,SUM(C11:K11)&lt;4),1,0)</f>
        <v>0</v>
      </c>
      <c r="S11" s="4">
        <f>IF(AND(L11=1,N11&lt;'Line Follower'!$C$6,SUM(C11:K11)&lt;4),1,0)</f>
        <v>0</v>
      </c>
      <c r="T11" s="4">
        <f t="shared" si="2"/>
        <v>0</v>
      </c>
      <c r="U11" s="5">
        <f t="shared" si="3"/>
        <v>0</v>
      </c>
      <c r="V11" s="23">
        <f t="shared" si="4"/>
        <v>0</v>
      </c>
    </row>
    <row r="12" spans="2:22" x14ac:dyDescent="0.25">
      <c r="B12" s="16">
        <v>1</v>
      </c>
      <c r="C12" s="7">
        <v>0</v>
      </c>
      <c r="D12" s="8">
        <v>0</v>
      </c>
      <c r="E12" s="8">
        <v>1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9">
        <v>0</v>
      </c>
      <c r="L12" s="10">
        <v>0</v>
      </c>
      <c r="M12" s="6">
        <v>0</v>
      </c>
      <c r="N12" s="37" cm="1">
        <f t="array" ref="N12">IF(OR(ISNUMBER(FIND(Aux!$D$3:$D$9,_xlfn.TEXTJOIN(,,C12:K12)))),NA(),IF(AND(SUM(C12:F12,H12:K12)=0,G12=1),0,INT((SUMPRODUCT(C12:F12,COLUMN($A$1:$D$1)-1)+SUMPRODUCT(H12:K12,COLUMN($E$1:$H$1)-1))*'Line Follower'!$C$3/SUM(C12:F12,H12:K12)-'Line Follower'!$C$5)))</f>
        <v>-3</v>
      </c>
      <c r="O12" s="22">
        <v>1</v>
      </c>
      <c r="P12" s="4">
        <f t="shared" si="0"/>
        <v>0</v>
      </c>
      <c r="Q12" s="4">
        <f t="shared" si="1"/>
        <v>0</v>
      </c>
      <c r="R12" s="4">
        <f>IF(AND(B12=1,N12&gt;'Line Follower'!$C$7,SUM(C12:K12)&lt;4),1,0)</f>
        <v>1</v>
      </c>
      <c r="S12" s="4">
        <f>IF(AND(L12=1,N12&lt;'Line Follower'!$C$6,SUM(C12:K12)&lt;4),1,0)</f>
        <v>0</v>
      </c>
      <c r="T12" s="4">
        <f t="shared" si="2"/>
        <v>0</v>
      </c>
      <c r="U12" s="5">
        <f t="shared" si="3"/>
        <v>0</v>
      </c>
      <c r="V12" s="23">
        <f t="shared" si="4"/>
        <v>0</v>
      </c>
    </row>
    <row r="13" spans="2:22" x14ac:dyDescent="0.25">
      <c r="B13" s="16">
        <v>0</v>
      </c>
      <c r="C13" s="7">
        <v>1</v>
      </c>
      <c r="D13" s="8">
        <v>0</v>
      </c>
      <c r="E13" s="8">
        <v>1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9">
        <v>0</v>
      </c>
      <c r="L13" s="10">
        <v>0</v>
      </c>
      <c r="M13" s="6">
        <v>0</v>
      </c>
      <c r="N13" s="37" t="e" cm="1">
        <f t="array" ref="N13">IF(OR(ISNUMBER(FIND(Aux!$D$3:$D$9,_xlfn.TEXTJOIN(,,C13:K13)))),NA(),IF(AND(SUM(C13:F13,H13:K13)=0,G13=1),0,INT((SUMPRODUCT(C13:F13,COLUMN($A$1:$D$1)-1)+SUMPRODUCT(H13:K13,COLUMN($E$1:$H$1)-1))*'Line Follower'!$C$3/SUM(C13:F13,H13:K13)-'Line Follower'!$C$5)))</f>
        <v>#N/A</v>
      </c>
      <c r="O13" s="22" t="e">
        <v>#N/A</v>
      </c>
      <c r="P13" s="4" t="e">
        <f t="shared" si="0"/>
        <v>#N/A</v>
      </c>
      <c r="Q13" s="4" t="e">
        <f t="shared" si="1"/>
        <v>#N/A</v>
      </c>
      <c r="R13" s="4" t="e">
        <f>IF(AND(B13=1,N13&gt;'Line Follower'!$C$7,SUM(C13:K13)&lt;4),1,0)</f>
        <v>#N/A</v>
      </c>
      <c r="S13" s="4" t="e">
        <f>IF(AND(L13=1,N13&lt;'Line Follower'!$C$6,SUM(C13:K13)&lt;4),1,0)</f>
        <v>#N/A</v>
      </c>
      <c r="T13" s="4" t="e">
        <f t="shared" si="2"/>
        <v>#N/A</v>
      </c>
      <c r="U13" s="5" t="e">
        <f t="shared" si="3"/>
        <v>#N/A</v>
      </c>
      <c r="V13" s="23" t="e">
        <f t="shared" si="4"/>
        <v>#N/A</v>
      </c>
    </row>
    <row r="14" spans="2:22" x14ac:dyDescent="0.25">
      <c r="B14" s="16">
        <v>1</v>
      </c>
      <c r="C14" s="7">
        <v>1</v>
      </c>
      <c r="D14" s="8">
        <v>0</v>
      </c>
      <c r="E14" s="8">
        <v>1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9">
        <v>0</v>
      </c>
      <c r="L14" s="10">
        <v>0</v>
      </c>
      <c r="M14" s="6">
        <v>0</v>
      </c>
      <c r="N14" s="37" t="e" cm="1">
        <f t="array" ref="N14">IF(OR(ISNUMBER(FIND(Aux!$D$3:$D$9,_xlfn.TEXTJOIN(,,C14:K14)))),NA(),IF(AND(SUM(C14:F14,H14:K14)=0,G14=1),0,INT((SUMPRODUCT(C14:F14,COLUMN($A$1:$D$1)-1)+SUMPRODUCT(H14:K14,COLUMN($E$1:$H$1)-1))*'Line Follower'!$C$3/SUM(C14:F14,H14:K14)-'Line Follower'!$C$5)))</f>
        <v>#N/A</v>
      </c>
      <c r="O14" s="22" t="e">
        <v>#N/A</v>
      </c>
      <c r="P14" s="4" t="e">
        <f t="shared" si="0"/>
        <v>#N/A</v>
      </c>
      <c r="Q14" s="4" t="e">
        <f t="shared" si="1"/>
        <v>#N/A</v>
      </c>
      <c r="R14" s="4" t="e">
        <f>IF(AND(B14=1,N14&gt;'Line Follower'!$C$7,SUM(C14:K14)&lt;4),1,0)</f>
        <v>#N/A</v>
      </c>
      <c r="S14" s="4" t="e">
        <f>IF(AND(L14=1,N14&lt;'Line Follower'!$C$6,SUM(C14:K14)&lt;4),1,0)</f>
        <v>#N/A</v>
      </c>
      <c r="T14" s="4" t="e">
        <f t="shared" si="2"/>
        <v>#N/A</v>
      </c>
      <c r="U14" s="5" t="e">
        <f t="shared" si="3"/>
        <v>#N/A</v>
      </c>
      <c r="V14" s="23" t="e">
        <f t="shared" si="4"/>
        <v>#N/A</v>
      </c>
    </row>
    <row r="15" spans="2:22" x14ac:dyDescent="0.25">
      <c r="B15" s="16">
        <v>0</v>
      </c>
      <c r="C15" s="7">
        <v>0</v>
      </c>
      <c r="D15" s="8">
        <v>1</v>
      </c>
      <c r="E15" s="8">
        <v>1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9">
        <v>0</v>
      </c>
      <c r="L15" s="10">
        <v>0</v>
      </c>
      <c r="M15" s="6">
        <v>0</v>
      </c>
      <c r="N15" s="37" cm="1">
        <f t="array" ref="N15">IF(OR(ISNUMBER(FIND(Aux!$D$3:$D$9,_xlfn.TEXTJOIN(,,C15:K15)))),NA(),IF(AND(SUM(C15:F15,H15:K15)=0,G15=1),0,INT((SUMPRODUCT(C15:F15,COLUMN($A$1:$D$1)-1)+SUMPRODUCT(H15:K15,COLUMN($E$1:$H$1)-1))*'Line Follower'!$C$3/SUM(C15:F15,H15:K15)-'Line Follower'!$C$5)))</f>
        <v>-4</v>
      </c>
      <c r="O15" s="22">
        <v>1</v>
      </c>
      <c r="P15" s="4">
        <f t="shared" si="0"/>
        <v>0</v>
      </c>
      <c r="Q15" s="4">
        <f t="shared" si="1"/>
        <v>0</v>
      </c>
      <c r="R15" s="4">
        <f>IF(AND(B15=1,N15&gt;'Line Follower'!$C$7,SUM(C15:K15)&lt;4),1,0)</f>
        <v>0</v>
      </c>
      <c r="S15" s="4">
        <f>IF(AND(L15=1,N15&lt;'Line Follower'!$C$6,SUM(C15:K15)&lt;4),1,0)</f>
        <v>0</v>
      </c>
      <c r="T15" s="4">
        <f t="shared" si="2"/>
        <v>0</v>
      </c>
      <c r="U15" s="5">
        <f t="shared" si="3"/>
        <v>0</v>
      </c>
      <c r="V15" s="23">
        <f t="shared" si="4"/>
        <v>0</v>
      </c>
    </row>
    <row r="16" spans="2:22" x14ac:dyDescent="0.25">
      <c r="B16" s="16">
        <v>1</v>
      </c>
      <c r="C16" s="7">
        <v>0</v>
      </c>
      <c r="D16" s="8">
        <v>1</v>
      </c>
      <c r="E16" s="8">
        <v>1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9">
        <v>0</v>
      </c>
      <c r="L16" s="10">
        <v>0</v>
      </c>
      <c r="M16" s="6">
        <v>0</v>
      </c>
      <c r="N16" s="37" cm="1">
        <f t="array" ref="N16">IF(OR(ISNUMBER(FIND(Aux!$D$3:$D$9,_xlfn.TEXTJOIN(,,C16:K16)))),NA(),IF(AND(SUM(C16:F16,H16:K16)=0,G16=1),0,INT((SUMPRODUCT(C16:F16,COLUMN($A$1:$D$1)-1)+SUMPRODUCT(H16:K16,COLUMN($E$1:$H$1)-1))*'Line Follower'!$C$3/SUM(C16:F16,H16:K16)-'Line Follower'!$C$5)))</f>
        <v>-4</v>
      </c>
      <c r="O16" s="22">
        <v>1</v>
      </c>
      <c r="P16" s="4">
        <f t="shared" si="0"/>
        <v>0</v>
      </c>
      <c r="Q16" s="4">
        <f t="shared" si="1"/>
        <v>0</v>
      </c>
      <c r="R16" s="4">
        <f>IF(AND(B16=1,N16&gt;'Line Follower'!$C$7,SUM(C16:K16)&lt;4),1,0)</f>
        <v>1</v>
      </c>
      <c r="S16" s="4">
        <f>IF(AND(L16=1,N16&lt;'Line Follower'!$C$6,SUM(C16:K16)&lt;4),1,0)</f>
        <v>0</v>
      </c>
      <c r="T16" s="4">
        <f t="shared" si="2"/>
        <v>0</v>
      </c>
      <c r="U16" s="5">
        <f t="shared" si="3"/>
        <v>0</v>
      </c>
      <c r="V16" s="23">
        <f t="shared" si="4"/>
        <v>0</v>
      </c>
    </row>
    <row r="17" spans="2:22" x14ac:dyDescent="0.25">
      <c r="B17" s="16">
        <v>0</v>
      </c>
      <c r="C17" s="7">
        <v>1</v>
      </c>
      <c r="D17" s="8">
        <v>1</v>
      </c>
      <c r="E17" s="8">
        <v>1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9">
        <v>0</v>
      </c>
      <c r="L17" s="10">
        <v>0</v>
      </c>
      <c r="M17" s="6">
        <v>0</v>
      </c>
      <c r="N17" s="37" cm="1">
        <f t="array" ref="N17">IF(OR(ISNUMBER(FIND(Aux!$D$3:$D$9,_xlfn.TEXTJOIN(,,C17:K17)))),NA(),IF(AND(SUM(C17:F17,H17:K17)=0,G17=1),0,INT((SUMPRODUCT(C17:F17,COLUMN($A$1:$D$1)-1)+SUMPRODUCT(H17:K17,COLUMN($E$1:$H$1)-1))*'Line Follower'!$C$3/SUM(C17:F17,H17:K17)-'Line Follower'!$C$5)))</f>
        <v>-5</v>
      </c>
      <c r="O17" s="22">
        <v>1</v>
      </c>
      <c r="P17" s="4">
        <f t="shared" si="0"/>
        <v>0</v>
      </c>
      <c r="Q17" s="4">
        <f t="shared" si="1"/>
        <v>0</v>
      </c>
      <c r="R17" s="4">
        <f>IF(AND(B17=1,N17&gt;'Line Follower'!$C$7,SUM(C17:K17)&lt;4),1,0)</f>
        <v>0</v>
      </c>
      <c r="S17" s="4">
        <f>IF(AND(L17=1,N17&lt;'Line Follower'!$C$6,SUM(C17:K17)&lt;4),1,0)</f>
        <v>0</v>
      </c>
      <c r="T17" s="4">
        <f t="shared" si="2"/>
        <v>0</v>
      </c>
      <c r="U17" s="5">
        <f t="shared" si="3"/>
        <v>0</v>
      </c>
      <c r="V17" s="23">
        <f t="shared" si="4"/>
        <v>0</v>
      </c>
    </row>
    <row r="18" spans="2:22" x14ac:dyDescent="0.25">
      <c r="B18" s="16">
        <v>1</v>
      </c>
      <c r="C18" s="7">
        <v>1</v>
      </c>
      <c r="D18" s="8">
        <v>1</v>
      </c>
      <c r="E18" s="8">
        <v>1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9">
        <v>0</v>
      </c>
      <c r="L18" s="10">
        <v>0</v>
      </c>
      <c r="M18" s="6">
        <v>0</v>
      </c>
      <c r="N18" s="37" cm="1">
        <f t="array" ref="N18">IF(OR(ISNUMBER(FIND(Aux!$D$3:$D$9,_xlfn.TEXTJOIN(,,C18:K18)))),NA(),IF(AND(SUM(C18:F18,H18:K18)=0,G18=1),0,INT((SUMPRODUCT(C18:F18,COLUMN($A$1:$D$1)-1)+SUMPRODUCT(H18:K18,COLUMN($E$1:$H$1)-1))*'Line Follower'!$C$3/SUM(C18:F18,H18:K18)-'Line Follower'!$C$5)))</f>
        <v>-5</v>
      </c>
      <c r="O18" s="22">
        <v>1</v>
      </c>
      <c r="P18" s="4">
        <f t="shared" si="0"/>
        <v>0</v>
      </c>
      <c r="Q18" s="4">
        <f t="shared" si="1"/>
        <v>0</v>
      </c>
      <c r="R18" s="4">
        <f>IF(AND(B18=1,N18&gt;'Line Follower'!$C$7,SUM(C18:K18)&lt;4),1,0)</f>
        <v>1</v>
      </c>
      <c r="S18" s="4">
        <f>IF(AND(L18=1,N18&lt;'Line Follower'!$C$6,SUM(C18:K18)&lt;4),1,0)</f>
        <v>0</v>
      </c>
      <c r="T18" s="4">
        <f t="shared" si="2"/>
        <v>0</v>
      </c>
      <c r="U18" s="5">
        <f t="shared" si="3"/>
        <v>0</v>
      </c>
      <c r="V18" s="23">
        <f t="shared" si="4"/>
        <v>0</v>
      </c>
    </row>
    <row r="19" spans="2:22" x14ac:dyDescent="0.25">
      <c r="B19" s="16">
        <v>0</v>
      </c>
      <c r="C19" s="7">
        <v>0</v>
      </c>
      <c r="D19" s="8">
        <v>0</v>
      </c>
      <c r="E19" s="8">
        <v>0</v>
      </c>
      <c r="F19" s="8">
        <v>1</v>
      </c>
      <c r="G19" s="8">
        <v>0</v>
      </c>
      <c r="H19" s="8">
        <v>0</v>
      </c>
      <c r="I19" s="8">
        <v>0</v>
      </c>
      <c r="J19" s="8">
        <v>0</v>
      </c>
      <c r="K19" s="9">
        <v>0</v>
      </c>
      <c r="L19" s="10">
        <v>0</v>
      </c>
      <c r="M19" s="6">
        <v>0</v>
      </c>
      <c r="N19" s="37" cm="1">
        <f t="array" ref="N19">IF(OR(ISNUMBER(FIND(Aux!$D$3:$D$9,_xlfn.TEXTJOIN(,,C19:K19)))),NA(),IF(AND(SUM(C19:F19,H19:K19)=0,G19=1),0,INT((SUMPRODUCT(C19:F19,COLUMN($A$1:$D$1)-1)+SUMPRODUCT(H19:K19,COLUMN($E$1:$H$1)-1))*'Line Follower'!$C$3/SUM(C19:F19,H19:K19)-'Line Follower'!$C$5)))</f>
        <v>-1</v>
      </c>
      <c r="O19" s="22">
        <v>1</v>
      </c>
      <c r="P19" s="4">
        <f t="shared" si="0"/>
        <v>0</v>
      </c>
      <c r="Q19" s="4">
        <f t="shared" si="1"/>
        <v>0</v>
      </c>
      <c r="R19" s="4">
        <f>IF(AND(B19=1,N19&gt;'Line Follower'!$C$7,SUM(C19:K19)&lt;4),1,0)</f>
        <v>0</v>
      </c>
      <c r="S19" s="4">
        <f>IF(AND(L19=1,N19&lt;'Line Follower'!$C$6,SUM(C19:K19)&lt;4),1,0)</f>
        <v>0</v>
      </c>
      <c r="T19" s="4">
        <f t="shared" si="2"/>
        <v>0</v>
      </c>
      <c r="U19" s="5">
        <f t="shared" si="3"/>
        <v>0</v>
      </c>
      <c r="V19" s="23">
        <f t="shared" si="4"/>
        <v>0</v>
      </c>
    </row>
    <row r="20" spans="2:22" x14ac:dyDescent="0.25">
      <c r="B20" s="16">
        <v>1</v>
      </c>
      <c r="C20" s="7">
        <v>0</v>
      </c>
      <c r="D20" s="8">
        <v>0</v>
      </c>
      <c r="E20" s="8">
        <v>0</v>
      </c>
      <c r="F20" s="8">
        <v>1</v>
      </c>
      <c r="G20" s="8">
        <v>0</v>
      </c>
      <c r="H20" s="8">
        <v>0</v>
      </c>
      <c r="I20" s="8">
        <v>0</v>
      </c>
      <c r="J20" s="8">
        <v>0</v>
      </c>
      <c r="K20" s="9">
        <v>0</v>
      </c>
      <c r="L20" s="10">
        <v>0</v>
      </c>
      <c r="M20" s="6">
        <v>0</v>
      </c>
      <c r="N20" s="37" cm="1">
        <f t="array" ref="N20">IF(OR(ISNUMBER(FIND(Aux!$D$3:$D$9,_xlfn.TEXTJOIN(,,C20:K20)))),NA(),IF(AND(SUM(C20:F20,H20:K20)=0,G20=1),0,INT((SUMPRODUCT(C20:F20,COLUMN($A$1:$D$1)-1)+SUMPRODUCT(H20:K20,COLUMN($E$1:$H$1)-1))*'Line Follower'!$C$3/SUM(C20:F20,H20:K20)-'Line Follower'!$C$5)))</f>
        <v>-1</v>
      </c>
      <c r="O20" s="22">
        <v>1</v>
      </c>
      <c r="P20" s="4">
        <f t="shared" si="0"/>
        <v>0</v>
      </c>
      <c r="Q20" s="4">
        <f t="shared" si="1"/>
        <v>0</v>
      </c>
      <c r="R20" s="4">
        <f>IF(AND(B20=1,N20&gt;'Line Follower'!$C$7,SUM(C20:K20)&lt;4),1,0)</f>
        <v>1</v>
      </c>
      <c r="S20" s="4">
        <f>IF(AND(L20=1,N20&lt;'Line Follower'!$C$6,SUM(C20:K20)&lt;4),1,0)</f>
        <v>0</v>
      </c>
      <c r="T20" s="4">
        <f t="shared" si="2"/>
        <v>0</v>
      </c>
      <c r="U20" s="5">
        <f t="shared" si="3"/>
        <v>0</v>
      </c>
      <c r="V20" s="23">
        <f t="shared" si="4"/>
        <v>0</v>
      </c>
    </row>
    <row r="21" spans="2:22" x14ac:dyDescent="0.25">
      <c r="B21" s="16">
        <v>0</v>
      </c>
      <c r="C21" s="7">
        <v>1</v>
      </c>
      <c r="D21" s="8">
        <v>0</v>
      </c>
      <c r="E21" s="8">
        <v>0</v>
      </c>
      <c r="F21" s="8">
        <v>1</v>
      </c>
      <c r="G21" s="8">
        <v>0</v>
      </c>
      <c r="H21" s="8">
        <v>0</v>
      </c>
      <c r="I21" s="8">
        <v>0</v>
      </c>
      <c r="J21" s="8">
        <v>0</v>
      </c>
      <c r="K21" s="9">
        <v>0</v>
      </c>
      <c r="L21" s="10">
        <v>0</v>
      </c>
      <c r="M21" s="6">
        <v>0</v>
      </c>
      <c r="N21" s="37" t="e" cm="1">
        <f t="array" ref="N21">IF(OR(ISNUMBER(FIND(Aux!$D$3:$D$9,_xlfn.TEXTJOIN(,,C21:K21)))),NA(),IF(AND(SUM(C21:F21,H21:K21)=0,G21=1),0,INT((SUMPRODUCT(C21:F21,COLUMN($A$1:$D$1)-1)+SUMPRODUCT(H21:K21,COLUMN($E$1:$H$1)-1))*'Line Follower'!$C$3/SUM(C21:F21,H21:K21)-'Line Follower'!$C$5)))</f>
        <v>#N/A</v>
      </c>
      <c r="O21" s="22" t="e">
        <v>#N/A</v>
      </c>
      <c r="P21" s="4" t="e">
        <f t="shared" si="0"/>
        <v>#N/A</v>
      </c>
      <c r="Q21" s="4" t="e">
        <f t="shared" si="1"/>
        <v>#N/A</v>
      </c>
      <c r="R21" s="4" t="e">
        <f>IF(AND(B21=1,N21&gt;'Line Follower'!$C$7,SUM(C21:K21)&lt;4),1,0)</f>
        <v>#N/A</v>
      </c>
      <c r="S21" s="4" t="e">
        <f>IF(AND(L21=1,N21&lt;'Line Follower'!$C$6,SUM(C21:K21)&lt;4),1,0)</f>
        <v>#N/A</v>
      </c>
      <c r="T21" s="4" t="e">
        <f t="shared" si="2"/>
        <v>#N/A</v>
      </c>
      <c r="U21" s="5" t="e">
        <f t="shared" si="3"/>
        <v>#N/A</v>
      </c>
      <c r="V21" s="23" t="e">
        <f t="shared" si="4"/>
        <v>#N/A</v>
      </c>
    </row>
    <row r="22" spans="2:22" x14ac:dyDescent="0.25">
      <c r="B22" s="16">
        <v>1</v>
      </c>
      <c r="C22" s="7">
        <v>1</v>
      </c>
      <c r="D22" s="8">
        <v>0</v>
      </c>
      <c r="E22" s="8">
        <v>0</v>
      </c>
      <c r="F22" s="8">
        <v>1</v>
      </c>
      <c r="G22" s="8">
        <v>0</v>
      </c>
      <c r="H22" s="8">
        <v>0</v>
      </c>
      <c r="I22" s="8">
        <v>0</v>
      </c>
      <c r="J22" s="8">
        <v>0</v>
      </c>
      <c r="K22" s="9">
        <v>0</v>
      </c>
      <c r="L22" s="10">
        <v>0</v>
      </c>
      <c r="M22" s="6">
        <v>0</v>
      </c>
      <c r="N22" s="37" t="e" cm="1">
        <f t="array" ref="N22">IF(OR(ISNUMBER(FIND(Aux!$D$3:$D$9,_xlfn.TEXTJOIN(,,C22:K22)))),NA(),IF(AND(SUM(C22:F22,H22:K22)=0,G22=1),0,INT((SUMPRODUCT(C22:F22,COLUMN($A$1:$D$1)-1)+SUMPRODUCT(H22:K22,COLUMN($E$1:$H$1)-1))*'Line Follower'!$C$3/SUM(C22:F22,H22:K22)-'Line Follower'!$C$5)))</f>
        <v>#N/A</v>
      </c>
      <c r="O22" s="22" t="e">
        <v>#N/A</v>
      </c>
      <c r="P22" s="4" t="e">
        <f t="shared" si="0"/>
        <v>#N/A</v>
      </c>
      <c r="Q22" s="4" t="e">
        <f t="shared" si="1"/>
        <v>#N/A</v>
      </c>
      <c r="R22" s="4" t="e">
        <f>IF(AND(B22=1,N22&gt;'Line Follower'!$C$7,SUM(C22:K22)&lt;4),1,0)</f>
        <v>#N/A</v>
      </c>
      <c r="S22" s="4" t="e">
        <f>IF(AND(L22=1,N22&lt;'Line Follower'!$C$6,SUM(C22:K22)&lt;4),1,0)</f>
        <v>#N/A</v>
      </c>
      <c r="T22" s="4" t="e">
        <f t="shared" si="2"/>
        <v>#N/A</v>
      </c>
      <c r="U22" s="5" t="e">
        <f t="shared" si="3"/>
        <v>#N/A</v>
      </c>
      <c r="V22" s="23" t="e">
        <f t="shared" si="4"/>
        <v>#N/A</v>
      </c>
    </row>
    <row r="23" spans="2:22" x14ac:dyDescent="0.25">
      <c r="B23" s="16">
        <v>0</v>
      </c>
      <c r="C23" s="7">
        <v>0</v>
      </c>
      <c r="D23" s="8">
        <v>1</v>
      </c>
      <c r="E23" s="8">
        <v>0</v>
      </c>
      <c r="F23" s="8">
        <v>1</v>
      </c>
      <c r="G23" s="8">
        <v>0</v>
      </c>
      <c r="H23" s="8">
        <v>0</v>
      </c>
      <c r="I23" s="8">
        <v>0</v>
      </c>
      <c r="J23" s="8">
        <v>0</v>
      </c>
      <c r="K23" s="9">
        <v>0</v>
      </c>
      <c r="L23" s="10">
        <v>0</v>
      </c>
      <c r="M23" s="6">
        <v>0</v>
      </c>
      <c r="N23" s="37" t="e" cm="1">
        <f t="array" ref="N23">IF(OR(ISNUMBER(FIND(Aux!$D$3:$D$9,_xlfn.TEXTJOIN(,,C23:K23)))),NA(),IF(AND(SUM(C23:F23,H23:K23)=0,G23=1),0,INT((SUMPRODUCT(C23:F23,COLUMN($A$1:$D$1)-1)+SUMPRODUCT(H23:K23,COLUMN($E$1:$H$1)-1))*'Line Follower'!$C$3/SUM(C23:F23,H23:K23)-'Line Follower'!$C$5)))</f>
        <v>#N/A</v>
      </c>
      <c r="O23" s="22" t="e">
        <v>#N/A</v>
      </c>
      <c r="P23" s="4" t="e">
        <f t="shared" si="0"/>
        <v>#N/A</v>
      </c>
      <c r="Q23" s="4" t="e">
        <f t="shared" si="1"/>
        <v>#N/A</v>
      </c>
      <c r="R23" s="4" t="e">
        <f>IF(AND(B23=1,N23&gt;'Line Follower'!$C$7,SUM(C23:K23)&lt;4),1,0)</f>
        <v>#N/A</v>
      </c>
      <c r="S23" s="4" t="e">
        <f>IF(AND(L23=1,N23&lt;'Line Follower'!$C$6,SUM(C23:K23)&lt;4),1,0)</f>
        <v>#N/A</v>
      </c>
      <c r="T23" s="4" t="e">
        <f t="shared" si="2"/>
        <v>#N/A</v>
      </c>
      <c r="U23" s="5" t="e">
        <f t="shared" si="3"/>
        <v>#N/A</v>
      </c>
      <c r="V23" s="23" t="e">
        <f t="shared" si="4"/>
        <v>#N/A</v>
      </c>
    </row>
    <row r="24" spans="2:22" x14ac:dyDescent="0.25">
      <c r="B24" s="16">
        <v>1</v>
      </c>
      <c r="C24" s="7">
        <v>0</v>
      </c>
      <c r="D24" s="8">
        <v>1</v>
      </c>
      <c r="E24" s="8">
        <v>0</v>
      </c>
      <c r="F24" s="8">
        <v>1</v>
      </c>
      <c r="G24" s="8">
        <v>0</v>
      </c>
      <c r="H24" s="8">
        <v>0</v>
      </c>
      <c r="I24" s="8">
        <v>0</v>
      </c>
      <c r="J24" s="8">
        <v>0</v>
      </c>
      <c r="K24" s="9">
        <v>0</v>
      </c>
      <c r="L24" s="10">
        <v>0</v>
      </c>
      <c r="M24" s="6">
        <v>0</v>
      </c>
      <c r="N24" s="37" t="e" cm="1">
        <f t="array" ref="N24">IF(OR(ISNUMBER(FIND(Aux!$D$3:$D$9,_xlfn.TEXTJOIN(,,C24:K24)))),NA(),IF(AND(SUM(C24:F24,H24:K24)=0,G24=1),0,INT((SUMPRODUCT(C24:F24,COLUMN($A$1:$D$1)-1)+SUMPRODUCT(H24:K24,COLUMN($E$1:$H$1)-1))*'Line Follower'!$C$3/SUM(C24:F24,H24:K24)-'Line Follower'!$C$5)))</f>
        <v>#N/A</v>
      </c>
      <c r="O24" s="22" t="e">
        <v>#N/A</v>
      </c>
      <c r="P24" s="4" t="e">
        <f t="shared" si="0"/>
        <v>#N/A</v>
      </c>
      <c r="Q24" s="4" t="e">
        <f t="shared" si="1"/>
        <v>#N/A</v>
      </c>
      <c r="R24" s="4" t="e">
        <f>IF(AND(B24=1,N24&gt;'Line Follower'!$C$7,SUM(C24:K24)&lt;4),1,0)</f>
        <v>#N/A</v>
      </c>
      <c r="S24" s="4" t="e">
        <f>IF(AND(L24=1,N24&lt;'Line Follower'!$C$6,SUM(C24:K24)&lt;4),1,0)</f>
        <v>#N/A</v>
      </c>
      <c r="T24" s="4" t="e">
        <f t="shared" si="2"/>
        <v>#N/A</v>
      </c>
      <c r="U24" s="5" t="e">
        <f t="shared" si="3"/>
        <v>#N/A</v>
      </c>
      <c r="V24" s="23" t="e">
        <f t="shared" si="4"/>
        <v>#N/A</v>
      </c>
    </row>
    <row r="25" spans="2:22" x14ac:dyDescent="0.25">
      <c r="B25" s="16">
        <v>0</v>
      </c>
      <c r="C25" s="7">
        <v>1</v>
      </c>
      <c r="D25" s="8">
        <v>1</v>
      </c>
      <c r="E25" s="8">
        <v>0</v>
      </c>
      <c r="F25" s="8">
        <v>1</v>
      </c>
      <c r="G25" s="8">
        <v>0</v>
      </c>
      <c r="H25" s="8">
        <v>0</v>
      </c>
      <c r="I25" s="8">
        <v>0</v>
      </c>
      <c r="J25" s="8">
        <v>0</v>
      </c>
      <c r="K25" s="9">
        <v>0</v>
      </c>
      <c r="L25" s="10">
        <v>0</v>
      </c>
      <c r="M25" s="6">
        <v>0</v>
      </c>
      <c r="N25" s="37" t="e" cm="1">
        <f t="array" ref="N25">IF(OR(ISNUMBER(FIND(Aux!$D$3:$D$9,_xlfn.TEXTJOIN(,,C25:K25)))),NA(),IF(AND(SUM(C25:F25,H25:K25)=0,G25=1),0,INT((SUMPRODUCT(C25:F25,COLUMN($A$1:$D$1)-1)+SUMPRODUCT(H25:K25,COLUMN($E$1:$H$1)-1))*'Line Follower'!$C$3/SUM(C25:F25,H25:K25)-'Line Follower'!$C$5)))</f>
        <v>#N/A</v>
      </c>
      <c r="O25" s="22" t="e">
        <v>#N/A</v>
      </c>
      <c r="P25" s="4" t="e">
        <f t="shared" si="0"/>
        <v>#N/A</v>
      </c>
      <c r="Q25" s="4" t="e">
        <f t="shared" si="1"/>
        <v>#N/A</v>
      </c>
      <c r="R25" s="4" t="e">
        <f>IF(AND(B25=1,N25&gt;'Line Follower'!$C$7,SUM(C25:K25)&lt;4),1,0)</f>
        <v>#N/A</v>
      </c>
      <c r="S25" s="4" t="e">
        <f>IF(AND(L25=1,N25&lt;'Line Follower'!$C$6,SUM(C25:K25)&lt;4),1,0)</f>
        <v>#N/A</v>
      </c>
      <c r="T25" s="4" t="e">
        <f t="shared" si="2"/>
        <v>#N/A</v>
      </c>
      <c r="U25" s="5" t="e">
        <f t="shared" si="3"/>
        <v>#N/A</v>
      </c>
      <c r="V25" s="23" t="e">
        <f t="shared" si="4"/>
        <v>#N/A</v>
      </c>
    </row>
    <row r="26" spans="2:22" x14ac:dyDescent="0.25">
      <c r="B26" s="16">
        <v>1</v>
      </c>
      <c r="C26" s="7">
        <v>1</v>
      </c>
      <c r="D26" s="8">
        <v>1</v>
      </c>
      <c r="E26" s="8">
        <v>0</v>
      </c>
      <c r="F26" s="8">
        <v>1</v>
      </c>
      <c r="G26" s="8">
        <v>0</v>
      </c>
      <c r="H26" s="8">
        <v>0</v>
      </c>
      <c r="I26" s="8">
        <v>0</v>
      </c>
      <c r="J26" s="8">
        <v>0</v>
      </c>
      <c r="K26" s="9">
        <v>0</v>
      </c>
      <c r="L26" s="10">
        <v>0</v>
      </c>
      <c r="M26" s="6">
        <v>0</v>
      </c>
      <c r="N26" s="37" t="e" cm="1">
        <f t="array" ref="N26">IF(OR(ISNUMBER(FIND(Aux!$D$3:$D$9,_xlfn.TEXTJOIN(,,C26:K26)))),NA(),IF(AND(SUM(C26:F26,H26:K26)=0,G26=1),0,INT((SUMPRODUCT(C26:F26,COLUMN($A$1:$D$1)-1)+SUMPRODUCT(H26:K26,COLUMN($E$1:$H$1)-1))*'Line Follower'!$C$3/SUM(C26:F26,H26:K26)-'Line Follower'!$C$5)))</f>
        <v>#N/A</v>
      </c>
      <c r="O26" s="22" t="e">
        <v>#N/A</v>
      </c>
      <c r="P26" s="4" t="e">
        <f t="shared" si="0"/>
        <v>#N/A</v>
      </c>
      <c r="Q26" s="4" t="e">
        <f t="shared" si="1"/>
        <v>#N/A</v>
      </c>
      <c r="R26" s="4" t="e">
        <f>IF(AND(B26=1,N26&gt;'Line Follower'!$C$7,SUM(C26:K26)&lt;4),1,0)</f>
        <v>#N/A</v>
      </c>
      <c r="S26" s="4" t="e">
        <f>IF(AND(L26=1,N26&lt;'Line Follower'!$C$6,SUM(C26:K26)&lt;4),1,0)</f>
        <v>#N/A</v>
      </c>
      <c r="T26" s="4" t="e">
        <f t="shared" si="2"/>
        <v>#N/A</v>
      </c>
      <c r="U26" s="5" t="e">
        <f t="shared" si="3"/>
        <v>#N/A</v>
      </c>
      <c r="V26" s="23" t="e">
        <f t="shared" si="4"/>
        <v>#N/A</v>
      </c>
    </row>
    <row r="27" spans="2:22" x14ac:dyDescent="0.25">
      <c r="B27" s="16">
        <v>0</v>
      </c>
      <c r="C27" s="7">
        <v>0</v>
      </c>
      <c r="D27" s="8">
        <v>0</v>
      </c>
      <c r="E27" s="8">
        <v>1</v>
      </c>
      <c r="F27" s="8">
        <v>1</v>
      </c>
      <c r="G27" s="8">
        <v>0</v>
      </c>
      <c r="H27" s="8">
        <v>0</v>
      </c>
      <c r="I27" s="8">
        <v>0</v>
      </c>
      <c r="J27" s="8">
        <v>0</v>
      </c>
      <c r="K27" s="9">
        <v>0</v>
      </c>
      <c r="L27" s="10">
        <v>0</v>
      </c>
      <c r="M27" s="6">
        <v>0</v>
      </c>
      <c r="N27" s="37" cm="1">
        <f t="array" ref="N27">IF(OR(ISNUMBER(FIND(Aux!$D$3:$D$9,_xlfn.TEXTJOIN(,,C27:K27)))),NA(),IF(AND(SUM(C27:F27,H27:K27)=0,G27=1),0,INT((SUMPRODUCT(C27:F27,COLUMN($A$1:$D$1)-1)+SUMPRODUCT(H27:K27,COLUMN($E$1:$H$1)-1))*'Line Follower'!$C$3/SUM(C27:F27,H27:K27)-'Line Follower'!$C$5)))</f>
        <v>-2</v>
      </c>
      <c r="O27" s="22">
        <v>1</v>
      </c>
      <c r="P27" s="4">
        <f t="shared" si="0"/>
        <v>0</v>
      </c>
      <c r="Q27" s="4">
        <f t="shared" si="1"/>
        <v>0</v>
      </c>
      <c r="R27" s="4">
        <f>IF(AND(B27=1,N27&gt;'Line Follower'!$C$7,SUM(C27:K27)&lt;4),1,0)</f>
        <v>0</v>
      </c>
      <c r="S27" s="4">
        <f>IF(AND(L27=1,N27&lt;'Line Follower'!$C$6,SUM(C27:K27)&lt;4),1,0)</f>
        <v>0</v>
      </c>
      <c r="T27" s="4">
        <f t="shared" si="2"/>
        <v>0</v>
      </c>
      <c r="U27" s="5">
        <f t="shared" si="3"/>
        <v>0</v>
      </c>
      <c r="V27" s="23">
        <f t="shared" si="4"/>
        <v>0</v>
      </c>
    </row>
    <row r="28" spans="2:22" x14ac:dyDescent="0.25">
      <c r="B28" s="16">
        <v>1</v>
      </c>
      <c r="C28" s="7">
        <v>0</v>
      </c>
      <c r="D28" s="8">
        <v>0</v>
      </c>
      <c r="E28" s="8">
        <v>1</v>
      </c>
      <c r="F28" s="8">
        <v>1</v>
      </c>
      <c r="G28" s="8">
        <v>0</v>
      </c>
      <c r="H28" s="8">
        <v>0</v>
      </c>
      <c r="I28" s="8">
        <v>0</v>
      </c>
      <c r="J28" s="8">
        <v>0</v>
      </c>
      <c r="K28" s="9">
        <v>0</v>
      </c>
      <c r="L28" s="10">
        <v>0</v>
      </c>
      <c r="M28" s="6">
        <v>0</v>
      </c>
      <c r="N28" s="37" cm="1">
        <f t="array" ref="N28">IF(OR(ISNUMBER(FIND(Aux!$D$3:$D$9,_xlfn.TEXTJOIN(,,C28:K28)))),NA(),IF(AND(SUM(C28:F28,H28:K28)=0,G28=1),0,INT((SUMPRODUCT(C28:F28,COLUMN($A$1:$D$1)-1)+SUMPRODUCT(H28:K28,COLUMN($E$1:$H$1)-1))*'Line Follower'!$C$3/SUM(C28:F28,H28:K28)-'Line Follower'!$C$5)))</f>
        <v>-2</v>
      </c>
      <c r="O28" s="22">
        <v>1</v>
      </c>
      <c r="P28" s="4">
        <f t="shared" si="0"/>
        <v>0</v>
      </c>
      <c r="Q28" s="4">
        <f t="shared" si="1"/>
        <v>0</v>
      </c>
      <c r="R28" s="4">
        <f>IF(AND(B28=1,N28&gt;'Line Follower'!$C$7,SUM(C28:K28)&lt;4),1,0)</f>
        <v>1</v>
      </c>
      <c r="S28" s="4">
        <f>IF(AND(L28=1,N28&lt;'Line Follower'!$C$6,SUM(C28:K28)&lt;4),1,0)</f>
        <v>0</v>
      </c>
      <c r="T28" s="4">
        <f t="shared" si="2"/>
        <v>0</v>
      </c>
      <c r="U28" s="5">
        <f t="shared" si="3"/>
        <v>0</v>
      </c>
      <c r="V28" s="23">
        <f t="shared" si="4"/>
        <v>0</v>
      </c>
    </row>
    <row r="29" spans="2:22" x14ac:dyDescent="0.25">
      <c r="B29" s="16">
        <v>0</v>
      </c>
      <c r="C29" s="7">
        <v>1</v>
      </c>
      <c r="D29" s="8">
        <v>0</v>
      </c>
      <c r="E29" s="8">
        <v>1</v>
      </c>
      <c r="F29" s="8">
        <v>1</v>
      </c>
      <c r="G29" s="8">
        <v>0</v>
      </c>
      <c r="H29" s="8">
        <v>0</v>
      </c>
      <c r="I29" s="8">
        <v>0</v>
      </c>
      <c r="J29" s="8">
        <v>0</v>
      </c>
      <c r="K29" s="9">
        <v>0</v>
      </c>
      <c r="L29" s="10">
        <v>0</v>
      </c>
      <c r="M29" s="6">
        <v>0</v>
      </c>
      <c r="N29" s="37" t="e" cm="1">
        <f t="array" ref="N29">IF(OR(ISNUMBER(FIND(Aux!$D$3:$D$9,_xlfn.TEXTJOIN(,,C29:K29)))),NA(),IF(AND(SUM(C29:F29,H29:K29)=0,G29=1),0,INT((SUMPRODUCT(C29:F29,COLUMN($A$1:$D$1)-1)+SUMPRODUCT(H29:K29,COLUMN($E$1:$H$1)-1))*'Line Follower'!$C$3/SUM(C29:F29,H29:K29)-'Line Follower'!$C$5)))</f>
        <v>#N/A</v>
      </c>
      <c r="O29" s="22" t="e">
        <v>#N/A</v>
      </c>
      <c r="P29" s="4" t="e">
        <f t="shared" si="0"/>
        <v>#N/A</v>
      </c>
      <c r="Q29" s="4" t="e">
        <f t="shared" si="1"/>
        <v>#N/A</v>
      </c>
      <c r="R29" s="4" t="e">
        <f>IF(AND(B29=1,N29&gt;'Line Follower'!$C$7,SUM(C29:K29)&lt;4),1,0)</f>
        <v>#N/A</v>
      </c>
      <c r="S29" s="4" t="e">
        <f>IF(AND(L29=1,N29&lt;'Line Follower'!$C$6,SUM(C29:K29)&lt;4),1,0)</f>
        <v>#N/A</v>
      </c>
      <c r="T29" s="4" t="e">
        <f t="shared" si="2"/>
        <v>#N/A</v>
      </c>
      <c r="U29" s="5" t="e">
        <f t="shared" si="3"/>
        <v>#N/A</v>
      </c>
      <c r="V29" s="23" t="e">
        <f t="shared" si="4"/>
        <v>#N/A</v>
      </c>
    </row>
    <row r="30" spans="2:22" x14ac:dyDescent="0.25">
      <c r="B30" s="16">
        <v>1</v>
      </c>
      <c r="C30" s="7">
        <v>1</v>
      </c>
      <c r="D30" s="8">
        <v>0</v>
      </c>
      <c r="E30" s="8">
        <v>1</v>
      </c>
      <c r="F30" s="8">
        <v>1</v>
      </c>
      <c r="G30" s="8">
        <v>0</v>
      </c>
      <c r="H30" s="8">
        <v>0</v>
      </c>
      <c r="I30" s="8">
        <v>0</v>
      </c>
      <c r="J30" s="8">
        <v>0</v>
      </c>
      <c r="K30" s="9">
        <v>0</v>
      </c>
      <c r="L30" s="10">
        <v>0</v>
      </c>
      <c r="M30" s="6">
        <v>0</v>
      </c>
      <c r="N30" s="37" t="e" cm="1">
        <f t="array" ref="N30">IF(OR(ISNUMBER(FIND(Aux!$D$3:$D$9,_xlfn.TEXTJOIN(,,C30:K30)))),NA(),IF(AND(SUM(C30:F30,H30:K30)=0,G30=1),0,INT((SUMPRODUCT(C30:F30,COLUMN($A$1:$D$1)-1)+SUMPRODUCT(H30:K30,COLUMN($E$1:$H$1)-1))*'Line Follower'!$C$3/SUM(C30:F30,H30:K30)-'Line Follower'!$C$5)))</f>
        <v>#N/A</v>
      </c>
      <c r="O30" s="22" t="e">
        <v>#N/A</v>
      </c>
      <c r="P30" s="4" t="e">
        <f t="shared" si="0"/>
        <v>#N/A</v>
      </c>
      <c r="Q30" s="4" t="e">
        <f t="shared" si="1"/>
        <v>#N/A</v>
      </c>
      <c r="R30" s="4" t="e">
        <f>IF(AND(B30=1,N30&gt;'Line Follower'!$C$7,SUM(C30:K30)&lt;4),1,0)</f>
        <v>#N/A</v>
      </c>
      <c r="S30" s="4" t="e">
        <f>IF(AND(L30=1,N30&lt;'Line Follower'!$C$6,SUM(C30:K30)&lt;4),1,0)</f>
        <v>#N/A</v>
      </c>
      <c r="T30" s="4" t="e">
        <f t="shared" si="2"/>
        <v>#N/A</v>
      </c>
      <c r="U30" s="5" t="e">
        <f t="shared" si="3"/>
        <v>#N/A</v>
      </c>
      <c r="V30" s="23" t="e">
        <f t="shared" si="4"/>
        <v>#N/A</v>
      </c>
    </row>
    <row r="31" spans="2:22" x14ac:dyDescent="0.25">
      <c r="B31" s="16">
        <v>0</v>
      </c>
      <c r="C31" s="7">
        <v>0</v>
      </c>
      <c r="D31" s="8">
        <v>1</v>
      </c>
      <c r="E31" s="8">
        <v>1</v>
      </c>
      <c r="F31" s="8">
        <v>1</v>
      </c>
      <c r="G31" s="8">
        <v>0</v>
      </c>
      <c r="H31" s="8">
        <v>0</v>
      </c>
      <c r="I31" s="8">
        <v>0</v>
      </c>
      <c r="J31" s="8">
        <v>0</v>
      </c>
      <c r="K31" s="9">
        <v>0</v>
      </c>
      <c r="L31" s="10">
        <v>0</v>
      </c>
      <c r="M31" s="6">
        <v>0</v>
      </c>
      <c r="N31" s="37" cm="1">
        <f t="array" ref="N31">IF(OR(ISNUMBER(FIND(Aux!$D$3:$D$9,_xlfn.TEXTJOIN(,,C31:K31)))),NA(),IF(AND(SUM(C31:F31,H31:K31)=0,G31=1),0,INT((SUMPRODUCT(C31:F31,COLUMN($A$1:$D$1)-1)+SUMPRODUCT(H31:K31,COLUMN($E$1:$H$1)-1))*'Line Follower'!$C$3/SUM(C31:F31,H31:K31)-'Line Follower'!$C$5)))</f>
        <v>-3</v>
      </c>
      <c r="O31" s="22">
        <v>1</v>
      </c>
      <c r="P31" s="4">
        <f t="shared" si="0"/>
        <v>0</v>
      </c>
      <c r="Q31" s="4">
        <f t="shared" si="1"/>
        <v>0</v>
      </c>
      <c r="R31" s="4">
        <f>IF(AND(B31=1,N31&gt;'Line Follower'!$C$7,SUM(C31:K31)&lt;4),1,0)</f>
        <v>0</v>
      </c>
      <c r="S31" s="4">
        <f>IF(AND(L31=1,N31&lt;'Line Follower'!$C$6,SUM(C31:K31)&lt;4),1,0)</f>
        <v>0</v>
      </c>
      <c r="T31" s="4">
        <f t="shared" si="2"/>
        <v>0</v>
      </c>
      <c r="U31" s="5">
        <f t="shared" si="3"/>
        <v>0</v>
      </c>
      <c r="V31" s="23">
        <f t="shared" si="4"/>
        <v>0</v>
      </c>
    </row>
    <row r="32" spans="2:22" x14ac:dyDescent="0.25">
      <c r="B32" s="16">
        <v>1</v>
      </c>
      <c r="C32" s="7">
        <v>0</v>
      </c>
      <c r="D32" s="8">
        <v>1</v>
      </c>
      <c r="E32" s="8">
        <v>1</v>
      </c>
      <c r="F32" s="8">
        <v>1</v>
      </c>
      <c r="G32" s="8">
        <v>0</v>
      </c>
      <c r="H32" s="8">
        <v>0</v>
      </c>
      <c r="I32" s="8">
        <v>0</v>
      </c>
      <c r="J32" s="8">
        <v>0</v>
      </c>
      <c r="K32" s="9">
        <v>0</v>
      </c>
      <c r="L32" s="10">
        <v>0</v>
      </c>
      <c r="M32" s="6">
        <v>0</v>
      </c>
      <c r="N32" s="37" cm="1">
        <f t="array" ref="N32">IF(OR(ISNUMBER(FIND(Aux!$D$3:$D$9,_xlfn.TEXTJOIN(,,C32:K32)))),NA(),IF(AND(SUM(C32:F32,H32:K32)=0,G32=1),0,INT((SUMPRODUCT(C32:F32,COLUMN($A$1:$D$1)-1)+SUMPRODUCT(H32:K32,COLUMN($E$1:$H$1)-1))*'Line Follower'!$C$3/SUM(C32:F32,H32:K32)-'Line Follower'!$C$5)))</f>
        <v>-3</v>
      </c>
      <c r="O32" s="22">
        <v>1</v>
      </c>
      <c r="P32" s="4">
        <f t="shared" si="0"/>
        <v>0</v>
      </c>
      <c r="Q32" s="4">
        <f t="shared" si="1"/>
        <v>0</v>
      </c>
      <c r="R32" s="4">
        <f>IF(AND(B32=1,N32&gt;'Line Follower'!$C$7,SUM(C32:K32)&lt;4),1,0)</f>
        <v>1</v>
      </c>
      <c r="S32" s="4">
        <f>IF(AND(L32=1,N32&lt;'Line Follower'!$C$6,SUM(C32:K32)&lt;4),1,0)</f>
        <v>0</v>
      </c>
      <c r="T32" s="4">
        <f t="shared" si="2"/>
        <v>0</v>
      </c>
      <c r="U32" s="5">
        <f t="shared" si="3"/>
        <v>0</v>
      </c>
      <c r="V32" s="23">
        <f t="shared" si="4"/>
        <v>0</v>
      </c>
    </row>
    <row r="33" spans="2:22" x14ac:dyDescent="0.25">
      <c r="B33" s="16">
        <v>0</v>
      </c>
      <c r="C33" s="7">
        <v>1</v>
      </c>
      <c r="D33" s="8">
        <v>1</v>
      </c>
      <c r="E33" s="8">
        <v>1</v>
      </c>
      <c r="F33" s="8">
        <v>1</v>
      </c>
      <c r="G33" s="8">
        <v>0</v>
      </c>
      <c r="H33" s="8">
        <v>0</v>
      </c>
      <c r="I33" s="8">
        <v>0</v>
      </c>
      <c r="J33" s="8">
        <v>0</v>
      </c>
      <c r="K33" s="9">
        <v>0</v>
      </c>
      <c r="L33" s="10">
        <v>0</v>
      </c>
      <c r="M33" s="6">
        <v>0</v>
      </c>
      <c r="N33" s="37" cm="1">
        <f t="array" ref="N33">IF(OR(ISNUMBER(FIND(Aux!$D$3:$D$9,_xlfn.TEXTJOIN(,,C33:K33)))),NA(),IF(AND(SUM(C33:F33,H33:K33)=0,G33=1),0,INT((SUMPRODUCT(C33:F33,COLUMN($A$1:$D$1)-1)+SUMPRODUCT(H33:K33,COLUMN($E$1:$H$1)-1))*'Line Follower'!$C$3/SUM(C33:F33,H33:K33)-'Line Follower'!$C$5)))</f>
        <v>-4</v>
      </c>
      <c r="O33" s="22">
        <v>1</v>
      </c>
      <c r="P33" s="4">
        <f t="shared" si="0"/>
        <v>0</v>
      </c>
      <c r="Q33" s="4">
        <f t="shared" si="1"/>
        <v>1</v>
      </c>
      <c r="R33" s="4">
        <f>IF(AND(B33=1,N33&gt;'Line Follower'!$C$7,SUM(C33:K33)&lt;4),1,0)</f>
        <v>0</v>
      </c>
      <c r="S33" s="4">
        <f>IF(AND(L33=1,N33&lt;'Line Follower'!$C$6,SUM(C33:K33)&lt;4),1,0)</f>
        <v>0</v>
      </c>
      <c r="T33" s="4">
        <f t="shared" si="2"/>
        <v>0</v>
      </c>
      <c r="U33" s="5">
        <f t="shared" si="3"/>
        <v>0</v>
      </c>
      <c r="V33" s="23">
        <f t="shared" si="4"/>
        <v>0</v>
      </c>
    </row>
    <row r="34" spans="2:22" x14ac:dyDescent="0.25">
      <c r="B34" s="16">
        <v>1</v>
      </c>
      <c r="C34" s="7">
        <v>1</v>
      </c>
      <c r="D34" s="8">
        <v>1</v>
      </c>
      <c r="E34" s="8">
        <v>1</v>
      </c>
      <c r="F34" s="8">
        <v>1</v>
      </c>
      <c r="G34" s="8">
        <v>0</v>
      </c>
      <c r="H34" s="8">
        <v>0</v>
      </c>
      <c r="I34" s="8">
        <v>0</v>
      </c>
      <c r="J34" s="8">
        <v>0</v>
      </c>
      <c r="K34" s="9">
        <v>0</v>
      </c>
      <c r="L34" s="10">
        <v>0</v>
      </c>
      <c r="M34" s="6">
        <v>0</v>
      </c>
      <c r="N34" s="37" cm="1">
        <f t="array" ref="N34">IF(OR(ISNUMBER(FIND(Aux!$D$3:$D$9,_xlfn.TEXTJOIN(,,C34:K34)))),NA(),IF(AND(SUM(C34:F34,H34:K34)=0,G34=1),0,INT((SUMPRODUCT(C34:F34,COLUMN($A$1:$D$1)-1)+SUMPRODUCT(H34:K34,COLUMN($E$1:$H$1)-1))*'Line Follower'!$C$3/SUM(C34:F34,H34:K34)-'Line Follower'!$C$5)))</f>
        <v>-4</v>
      </c>
      <c r="O34" s="22">
        <v>1</v>
      </c>
      <c r="P34" s="4">
        <f t="shared" si="0"/>
        <v>0</v>
      </c>
      <c r="Q34" s="4">
        <f t="shared" si="1"/>
        <v>1</v>
      </c>
      <c r="R34" s="4">
        <f>IF(AND(B34=1,N34&gt;'Line Follower'!$C$7,SUM(C34:K34)&lt;4),1,0)</f>
        <v>0</v>
      </c>
      <c r="S34" s="4">
        <f>IF(AND(L34=1,N34&lt;'Line Follower'!$C$6,SUM(C34:K34)&lt;4),1,0)</f>
        <v>0</v>
      </c>
      <c r="T34" s="4">
        <f t="shared" si="2"/>
        <v>0</v>
      </c>
      <c r="U34" s="5">
        <f t="shared" si="3"/>
        <v>0</v>
      </c>
      <c r="V34" s="23">
        <f t="shared" si="4"/>
        <v>0</v>
      </c>
    </row>
    <row r="35" spans="2:22" x14ac:dyDescent="0.25">
      <c r="B35" s="16">
        <v>0</v>
      </c>
      <c r="C35" s="7">
        <v>0</v>
      </c>
      <c r="D35" s="8">
        <v>0</v>
      </c>
      <c r="E35" s="8">
        <v>0</v>
      </c>
      <c r="F35" s="8">
        <v>0</v>
      </c>
      <c r="G35" s="8">
        <v>1</v>
      </c>
      <c r="H35" s="8">
        <v>0</v>
      </c>
      <c r="I35" s="8">
        <v>0</v>
      </c>
      <c r="J35" s="8">
        <v>0</v>
      </c>
      <c r="K35" s="9">
        <v>0</v>
      </c>
      <c r="L35" s="10">
        <v>0</v>
      </c>
      <c r="M35" s="6">
        <v>0</v>
      </c>
      <c r="N35" s="37" cm="1">
        <f t="array" ref="N35">IF(OR(ISNUMBER(FIND(Aux!$D$3:$D$9,_xlfn.TEXTJOIN(,,C35:K35)))),NA(),IF(AND(SUM(C35:F35,H35:K35)=0,G35=1),0,INT((SUMPRODUCT(C35:F35,COLUMN($A$1:$D$1)-1)+SUMPRODUCT(H35:K35,COLUMN($E$1:$H$1)-1))*'Line Follower'!$C$3/SUM(C35:F35,H35:K35)-'Line Follower'!$C$5)))</f>
        <v>0</v>
      </c>
      <c r="O35" s="22">
        <v>1</v>
      </c>
      <c r="P35" s="4">
        <f t="shared" si="0"/>
        <v>0</v>
      </c>
      <c r="Q35" s="4">
        <f t="shared" si="1"/>
        <v>0</v>
      </c>
      <c r="R35" s="4">
        <f>IF(AND(B35=1,N35&gt;'Line Follower'!$C$7,SUM(C35:K35)&lt;4),1,0)</f>
        <v>0</v>
      </c>
      <c r="S35" s="4">
        <f>IF(AND(L35=1,N35&lt;'Line Follower'!$C$6,SUM(C35:K35)&lt;4),1,0)</f>
        <v>0</v>
      </c>
      <c r="T35" s="4">
        <f t="shared" si="2"/>
        <v>0</v>
      </c>
      <c r="U35" s="5">
        <f t="shared" si="3"/>
        <v>0</v>
      </c>
      <c r="V35" s="23">
        <f t="shared" si="4"/>
        <v>0</v>
      </c>
    </row>
    <row r="36" spans="2:22" x14ac:dyDescent="0.25">
      <c r="B36" s="16">
        <v>1</v>
      </c>
      <c r="C36" s="7">
        <v>0</v>
      </c>
      <c r="D36" s="8">
        <v>0</v>
      </c>
      <c r="E36" s="8">
        <v>0</v>
      </c>
      <c r="F36" s="8">
        <v>0</v>
      </c>
      <c r="G36" s="8">
        <v>1</v>
      </c>
      <c r="H36" s="8">
        <v>0</v>
      </c>
      <c r="I36" s="8">
        <v>0</v>
      </c>
      <c r="J36" s="8">
        <v>0</v>
      </c>
      <c r="K36" s="9">
        <v>0</v>
      </c>
      <c r="L36" s="10">
        <v>0</v>
      </c>
      <c r="M36" s="6">
        <v>0</v>
      </c>
      <c r="N36" s="37" cm="1">
        <f t="array" ref="N36">IF(OR(ISNUMBER(FIND(Aux!$D$3:$D$9,_xlfn.TEXTJOIN(,,C36:K36)))),NA(),IF(AND(SUM(C36:F36,H36:K36)=0,G36=1),0,INT((SUMPRODUCT(C36:F36,COLUMN($A$1:$D$1)-1)+SUMPRODUCT(H36:K36,COLUMN($E$1:$H$1)-1))*'Line Follower'!$C$3/SUM(C36:F36,H36:K36)-'Line Follower'!$C$5)))</f>
        <v>0</v>
      </c>
      <c r="O36" s="22">
        <v>1</v>
      </c>
      <c r="P36" s="4">
        <f t="shared" si="0"/>
        <v>0</v>
      </c>
      <c r="Q36" s="4">
        <f t="shared" si="1"/>
        <v>0</v>
      </c>
      <c r="R36" s="4">
        <f>IF(AND(B36=1,N36&gt;'Line Follower'!$C$7,SUM(C36:K36)&lt;4),1,0)</f>
        <v>1</v>
      </c>
      <c r="S36" s="4">
        <f>IF(AND(L36=1,N36&lt;'Line Follower'!$C$6,SUM(C36:K36)&lt;4),1,0)</f>
        <v>0</v>
      </c>
      <c r="T36" s="4">
        <f t="shared" si="2"/>
        <v>0</v>
      </c>
      <c r="U36" s="5">
        <f t="shared" si="3"/>
        <v>0</v>
      </c>
      <c r="V36" s="23">
        <f t="shared" si="4"/>
        <v>0</v>
      </c>
    </row>
    <row r="37" spans="2:22" x14ac:dyDescent="0.25">
      <c r="B37" s="16">
        <v>0</v>
      </c>
      <c r="C37" s="7">
        <v>1</v>
      </c>
      <c r="D37" s="8">
        <v>0</v>
      </c>
      <c r="E37" s="8">
        <v>0</v>
      </c>
      <c r="F37" s="8">
        <v>0</v>
      </c>
      <c r="G37" s="8">
        <v>1</v>
      </c>
      <c r="H37" s="8">
        <v>0</v>
      </c>
      <c r="I37" s="8">
        <v>0</v>
      </c>
      <c r="J37" s="8">
        <v>0</v>
      </c>
      <c r="K37" s="9">
        <v>0</v>
      </c>
      <c r="L37" s="10">
        <v>0</v>
      </c>
      <c r="M37" s="6">
        <v>0</v>
      </c>
      <c r="N37" s="37" t="e" cm="1">
        <f t="array" ref="N37">IF(OR(ISNUMBER(FIND(Aux!$D$3:$D$9,_xlfn.TEXTJOIN(,,C37:K37)))),NA(),IF(AND(SUM(C37:F37,H37:K37)=0,G37=1),0,INT((SUMPRODUCT(C37:F37,COLUMN($A$1:$D$1)-1)+SUMPRODUCT(H37:K37,COLUMN($E$1:$H$1)-1))*'Line Follower'!$C$3/SUM(C37:F37,H37:K37)-'Line Follower'!$C$5)))</f>
        <v>#N/A</v>
      </c>
      <c r="O37" s="22" t="e">
        <v>#N/A</v>
      </c>
      <c r="P37" s="4" t="e">
        <f t="shared" si="0"/>
        <v>#N/A</v>
      </c>
      <c r="Q37" s="4" t="e">
        <f t="shared" si="1"/>
        <v>#N/A</v>
      </c>
      <c r="R37" s="4" t="e">
        <f>IF(AND(B37=1,N37&gt;'Line Follower'!$C$7,SUM(C37:K37)&lt;4),1,0)</f>
        <v>#N/A</v>
      </c>
      <c r="S37" s="4" t="e">
        <f>IF(AND(L37=1,N37&lt;'Line Follower'!$C$6,SUM(C37:K37)&lt;4),1,0)</f>
        <v>#N/A</v>
      </c>
      <c r="T37" s="4" t="e">
        <f t="shared" si="2"/>
        <v>#N/A</v>
      </c>
      <c r="U37" s="5" t="e">
        <f t="shared" si="3"/>
        <v>#N/A</v>
      </c>
      <c r="V37" s="23" t="e">
        <f t="shared" si="4"/>
        <v>#N/A</v>
      </c>
    </row>
    <row r="38" spans="2:22" x14ac:dyDescent="0.25">
      <c r="B38" s="16">
        <v>1</v>
      </c>
      <c r="C38" s="7">
        <v>1</v>
      </c>
      <c r="D38" s="8">
        <v>0</v>
      </c>
      <c r="E38" s="8">
        <v>0</v>
      </c>
      <c r="F38" s="8">
        <v>0</v>
      </c>
      <c r="G38" s="8">
        <v>1</v>
      </c>
      <c r="H38" s="8">
        <v>0</v>
      </c>
      <c r="I38" s="8">
        <v>0</v>
      </c>
      <c r="J38" s="8">
        <v>0</v>
      </c>
      <c r="K38" s="9">
        <v>0</v>
      </c>
      <c r="L38" s="10">
        <v>0</v>
      </c>
      <c r="M38" s="6">
        <v>0</v>
      </c>
      <c r="N38" s="37" t="e" cm="1">
        <f t="array" ref="N38">IF(OR(ISNUMBER(FIND(Aux!$D$3:$D$9,_xlfn.TEXTJOIN(,,C38:K38)))),NA(),IF(AND(SUM(C38:F38,H38:K38)=0,G38=1),0,INT((SUMPRODUCT(C38:F38,COLUMN($A$1:$D$1)-1)+SUMPRODUCT(H38:K38,COLUMN($E$1:$H$1)-1))*'Line Follower'!$C$3/SUM(C38:F38,H38:K38)-'Line Follower'!$C$5)))</f>
        <v>#N/A</v>
      </c>
      <c r="O38" s="22" t="e">
        <v>#N/A</v>
      </c>
      <c r="P38" s="4" t="e">
        <f t="shared" si="0"/>
        <v>#N/A</v>
      </c>
      <c r="Q38" s="4" t="e">
        <f t="shared" si="1"/>
        <v>#N/A</v>
      </c>
      <c r="R38" s="4" t="e">
        <f>IF(AND(B38=1,N38&gt;'Line Follower'!$C$7,SUM(C38:K38)&lt;4),1,0)</f>
        <v>#N/A</v>
      </c>
      <c r="S38" s="4" t="e">
        <f>IF(AND(L38=1,N38&lt;'Line Follower'!$C$6,SUM(C38:K38)&lt;4),1,0)</f>
        <v>#N/A</v>
      </c>
      <c r="T38" s="4" t="e">
        <f t="shared" si="2"/>
        <v>#N/A</v>
      </c>
      <c r="U38" s="5" t="e">
        <f t="shared" si="3"/>
        <v>#N/A</v>
      </c>
      <c r="V38" s="23" t="e">
        <f t="shared" si="4"/>
        <v>#N/A</v>
      </c>
    </row>
    <row r="39" spans="2:22" x14ac:dyDescent="0.25">
      <c r="B39" s="16">
        <v>0</v>
      </c>
      <c r="C39" s="7">
        <v>0</v>
      </c>
      <c r="D39" s="8">
        <v>1</v>
      </c>
      <c r="E39" s="8">
        <v>0</v>
      </c>
      <c r="F39" s="8">
        <v>0</v>
      </c>
      <c r="G39" s="8">
        <v>1</v>
      </c>
      <c r="H39" s="8">
        <v>0</v>
      </c>
      <c r="I39" s="8">
        <v>0</v>
      </c>
      <c r="J39" s="8">
        <v>0</v>
      </c>
      <c r="K39" s="9">
        <v>0</v>
      </c>
      <c r="L39" s="10">
        <v>0</v>
      </c>
      <c r="M39" s="6">
        <v>0</v>
      </c>
      <c r="N39" s="37" t="e" cm="1">
        <f t="array" ref="N39">IF(OR(ISNUMBER(FIND(Aux!$D$3:$D$9,_xlfn.TEXTJOIN(,,C39:K39)))),NA(),IF(AND(SUM(C39:F39,H39:K39)=0,G39=1),0,INT((SUMPRODUCT(C39:F39,COLUMN($A$1:$D$1)-1)+SUMPRODUCT(H39:K39,COLUMN($E$1:$H$1)-1))*'Line Follower'!$C$3/SUM(C39:F39,H39:K39)-'Line Follower'!$C$5)))</f>
        <v>#N/A</v>
      </c>
      <c r="O39" s="22" t="e">
        <v>#N/A</v>
      </c>
      <c r="P39" s="4" t="e">
        <f t="shared" si="0"/>
        <v>#N/A</v>
      </c>
      <c r="Q39" s="4" t="e">
        <f t="shared" si="1"/>
        <v>#N/A</v>
      </c>
      <c r="R39" s="4" t="e">
        <f>IF(AND(B39=1,N39&gt;'Line Follower'!$C$7,SUM(C39:K39)&lt;4),1,0)</f>
        <v>#N/A</v>
      </c>
      <c r="S39" s="4" t="e">
        <f>IF(AND(L39=1,N39&lt;'Line Follower'!$C$6,SUM(C39:K39)&lt;4),1,0)</f>
        <v>#N/A</v>
      </c>
      <c r="T39" s="4" t="e">
        <f t="shared" si="2"/>
        <v>#N/A</v>
      </c>
      <c r="U39" s="5" t="e">
        <f t="shared" si="3"/>
        <v>#N/A</v>
      </c>
      <c r="V39" s="23" t="e">
        <f t="shared" si="4"/>
        <v>#N/A</v>
      </c>
    </row>
    <row r="40" spans="2:22" x14ac:dyDescent="0.25">
      <c r="B40" s="16">
        <v>1</v>
      </c>
      <c r="C40" s="7">
        <v>0</v>
      </c>
      <c r="D40" s="8">
        <v>1</v>
      </c>
      <c r="E40" s="8">
        <v>0</v>
      </c>
      <c r="F40" s="8">
        <v>0</v>
      </c>
      <c r="G40" s="8">
        <v>1</v>
      </c>
      <c r="H40" s="8">
        <v>0</v>
      </c>
      <c r="I40" s="8">
        <v>0</v>
      </c>
      <c r="J40" s="8">
        <v>0</v>
      </c>
      <c r="K40" s="9">
        <v>0</v>
      </c>
      <c r="L40" s="10">
        <v>0</v>
      </c>
      <c r="M40" s="6">
        <v>0</v>
      </c>
      <c r="N40" s="37" t="e" cm="1">
        <f t="array" ref="N40">IF(OR(ISNUMBER(FIND(Aux!$D$3:$D$9,_xlfn.TEXTJOIN(,,C40:K40)))),NA(),IF(AND(SUM(C40:F40,H40:K40)=0,G40=1),0,INT((SUMPRODUCT(C40:F40,COLUMN($A$1:$D$1)-1)+SUMPRODUCT(H40:K40,COLUMN($E$1:$H$1)-1))*'Line Follower'!$C$3/SUM(C40:F40,H40:K40)-'Line Follower'!$C$5)))</f>
        <v>#N/A</v>
      </c>
      <c r="O40" s="22" t="e">
        <v>#N/A</v>
      </c>
      <c r="P40" s="4" t="e">
        <f t="shared" si="0"/>
        <v>#N/A</v>
      </c>
      <c r="Q40" s="4" t="e">
        <f t="shared" si="1"/>
        <v>#N/A</v>
      </c>
      <c r="R40" s="4" t="e">
        <f>IF(AND(B40=1,N40&gt;'Line Follower'!$C$7,SUM(C40:K40)&lt;4),1,0)</f>
        <v>#N/A</v>
      </c>
      <c r="S40" s="4" t="e">
        <f>IF(AND(L40=1,N40&lt;'Line Follower'!$C$6,SUM(C40:K40)&lt;4),1,0)</f>
        <v>#N/A</v>
      </c>
      <c r="T40" s="4" t="e">
        <f t="shared" si="2"/>
        <v>#N/A</v>
      </c>
      <c r="U40" s="5" t="e">
        <f t="shared" si="3"/>
        <v>#N/A</v>
      </c>
      <c r="V40" s="23" t="e">
        <f t="shared" si="4"/>
        <v>#N/A</v>
      </c>
    </row>
    <row r="41" spans="2:22" x14ac:dyDescent="0.25">
      <c r="B41" s="16">
        <v>0</v>
      </c>
      <c r="C41" s="7">
        <v>1</v>
      </c>
      <c r="D41" s="8">
        <v>1</v>
      </c>
      <c r="E41" s="8">
        <v>0</v>
      </c>
      <c r="F41" s="8">
        <v>0</v>
      </c>
      <c r="G41" s="8">
        <v>1</v>
      </c>
      <c r="H41" s="8">
        <v>0</v>
      </c>
      <c r="I41" s="8">
        <v>0</v>
      </c>
      <c r="J41" s="8">
        <v>0</v>
      </c>
      <c r="K41" s="9">
        <v>0</v>
      </c>
      <c r="L41" s="10">
        <v>0</v>
      </c>
      <c r="M41" s="6">
        <v>0</v>
      </c>
      <c r="N41" s="37" t="e" cm="1">
        <f t="array" ref="N41">IF(OR(ISNUMBER(FIND(Aux!$D$3:$D$9,_xlfn.TEXTJOIN(,,C41:K41)))),NA(),IF(AND(SUM(C41:F41,H41:K41)=0,G41=1),0,INT((SUMPRODUCT(C41:F41,COLUMN($A$1:$D$1)-1)+SUMPRODUCT(H41:K41,COLUMN($E$1:$H$1)-1))*'Line Follower'!$C$3/SUM(C41:F41,H41:K41)-'Line Follower'!$C$5)))</f>
        <v>#N/A</v>
      </c>
      <c r="O41" s="22" t="e">
        <v>#N/A</v>
      </c>
      <c r="P41" s="4" t="e">
        <f t="shared" si="0"/>
        <v>#N/A</v>
      </c>
      <c r="Q41" s="4" t="e">
        <f t="shared" si="1"/>
        <v>#N/A</v>
      </c>
      <c r="R41" s="4" t="e">
        <f>IF(AND(B41=1,N41&gt;'Line Follower'!$C$7,SUM(C41:K41)&lt;4),1,0)</f>
        <v>#N/A</v>
      </c>
      <c r="S41" s="4" t="e">
        <f>IF(AND(L41=1,N41&lt;'Line Follower'!$C$6,SUM(C41:K41)&lt;4),1,0)</f>
        <v>#N/A</v>
      </c>
      <c r="T41" s="4" t="e">
        <f t="shared" si="2"/>
        <v>#N/A</v>
      </c>
      <c r="U41" s="5" t="e">
        <f t="shared" si="3"/>
        <v>#N/A</v>
      </c>
      <c r="V41" s="23" t="e">
        <f t="shared" si="4"/>
        <v>#N/A</v>
      </c>
    </row>
    <row r="42" spans="2:22" x14ac:dyDescent="0.25">
      <c r="B42" s="16">
        <v>1</v>
      </c>
      <c r="C42" s="7">
        <v>1</v>
      </c>
      <c r="D42" s="8">
        <v>1</v>
      </c>
      <c r="E42" s="8">
        <v>0</v>
      </c>
      <c r="F42" s="8">
        <v>0</v>
      </c>
      <c r="G42" s="8">
        <v>1</v>
      </c>
      <c r="H42" s="8">
        <v>0</v>
      </c>
      <c r="I42" s="8">
        <v>0</v>
      </c>
      <c r="J42" s="8">
        <v>0</v>
      </c>
      <c r="K42" s="9">
        <v>0</v>
      </c>
      <c r="L42" s="10">
        <v>0</v>
      </c>
      <c r="M42" s="6">
        <v>0</v>
      </c>
      <c r="N42" s="37" t="e" cm="1">
        <f t="array" ref="N42">IF(OR(ISNUMBER(FIND(Aux!$D$3:$D$9,_xlfn.TEXTJOIN(,,C42:K42)))),NA(),IF(AND(SUM(C42:F42,H42:K42)=0,G42=1),0,INT((SUMPRODUCT(C42:F42,COLUMN($A$1:$D$1)-1)+SUMPRODUCT(H42:K42,COLUMN($E$1:$H$1)-1))*'Line Follower'!$C$3/SUM(C42:F42,H42:K42)-'Line Follower'!$C$5)))</f>
        <v>#N/A</v>
      </c>
      <c r="O42" s="22" t="e">
        <v>#N/A</v>
      </c>
      <c r="P42" s="4" t="e">
        <f t="shared" si="0"/>
        <v>#N/A</v>
      </c>
      <c r="Q42" s="4" t="e">
        <f t="shared" si="1"/>
        <v>#N/A</v>
      </c>
      <c r="R42" s="4" t="e">
        <f>IF(AND(B42=1,N42&gt;'Line Follower'!$C$7,SUM(C42:K42)&lt;4),1,0)</f>
        <v>#N/A</v>
      </c>
      <c r="S42" s="4" t="e">
        <f>IF(AND(L42=1,N42&lt;'Line Follower'!$C$6,SUM(C42:K42)&lt;4),1,0)</f>
        <v>#N/A</v>
      </c>
      <c r="T42" s="4" t="e">
        <f t="shared" si="2"/>
        <v>#N/A</v>
      </c>
      <c r="U42" s="5" t="e">
        <f t="shared" si="3"/>
        <v>#N/A</v>
      </c>
      <c r="V42" s="23" t="e">
        <f t="shared" si="4"/>
        <v>#N/A</v>
      </c>
    </row>
    <row r="43" spans="2:22" x14ac:dyDescent="0.25">
      <c r="B43" s="16">
        <v>0</v>
      </c>
      <c r="C43" s="7">
        <v>0</v>
      </c>
      <c r="D43" s="8">
        <v>0</v>
      </c>
      <c r="E43" s="8">
        <v>1</v>
      </c>
      <c r="F43" s="8">
        <v>0</v>
      </c>
      <c r="G43" s="8">
        <v>1</v>
      </c>
      <c r="H43" s="8">
        <v>0</v>
      </c>
      <c r="I43" s="8">
        <v>0</v>
      </c>
      <c r="J43" s="8">
        <v>0</v>
      </c>
      <c r="K43" s="9">
        <v>0</v>
      </c>
      <c r="L43" s="10">
        <v>0</v>
      </c>
      <c r="M43" s="6">
        <v>0</v>
      </c>
      <c r="N43" s="37" t="e" cm="1">
        <f t="array" ref="N43">IF(OR(ISNUMBER(FIND(Aux!$D$3:$D$9,_xlfn.TEXTJOIN(,,C43:K43)))),NA(),IF(AND(SUM(C43:F43,H43:K43)=0,G43=1),0,INT((SUMPRODUCT(C43:F43,COLUMN($A$1:$D$1)-1)+SUMPRODUCT(H43:K43,COLUMN($E$1:$H$1)-1))*'Line Follower'!$C$3/SUM(C43:F43,H43:K43)-'Line Follower'!$C$5)))</f>
        <v>#N/A</v>
      </c>
      <c r="O43" s="22" t="e">
        <v>#N/A</v>
      </c>
      <c r="P43" s="4" t="e">
        <f t="shared" si="0"/>
        <v>#N/A</v>
      </c>
      <c r="Q43" s="4" t="e">
        <f t="shared" si="1"/>
        <v>#N/A</v>
      </c>
      <c r="R43" s="4" t="e">
        <f>IF(AND(B43=1,N43&gt;'Line Follower'!$C$7,SUM(C43:K43)&lt;4),1,0)</f>
        <v>#N/A</v>
      </c>
      <c r="S43" s="4" t="e">
        <f>IF(AND(L43=1,N43&lt;'Line Follower'!$C$6,SUM(C43:K43)&lt;4),1,0)</f>
        <v>#N/A</v>
      </c>
      <c r="T43" s="4" t="e">
        <f t="shared" si="2"/>
        <v>#N/A</v>
      </c>
      <c r="U43" s="5" t="e">
        <f t="shared" si="3"/>
        <v>#N/A</v>
      </c>
      <c r="V43" s="23" t="e">
        <f t="shared" si="4"/>
        <v>#N/A</v>
      </c>
    </row>
    <row r="44" spans="2:22" x14ac:dyDescent="0.25">
      <c r="B44" s="16">
        <v>1</v>
      </c>
      <c r="C44" s="7">
        <v>0</v>
      </c>
      <c r="D44" s="8">
        <v>0</v>
      </c>
      <c r="E44" s="8">
        <v>1</v>
      </c>
      <c r="F44" s="8">
        <v>0</v>
      </c>
      <c r="G44" s="8">
        <v>1</v>
      </c>
      <c r="H44" s="8">
        <v>0</v>
      </c>
      <c r="I44" s="8">
        <v>0</v>
      </c>
      <c r="J44" s="8">
        <v>0</v>
      </c>
      <c r="K44" s="9">
        <v>0</v>
      </c>
      <c r="L44" s="10">
        <v>0</v>
      </c>
      <c r="M44" s="6">
        <v>0</v>
      </c>
      <c r="N44" s="37" t="e" cm="1">
        <f t="array" ref="N44">IF(OR(ISNUMBER(FIND(Aux!$D$3:$D$9,_xlfn.TEXTJOIN(,,C44:K44)))),NA(),IF(AND(SUM(C44:F44,H44:K44)=0,G44=1),0,INT((SUMPRODUCT(C44:F44,COLUMN($A$1:$D$1)-1)+SUMPRODUCT(H44:K44,COLUMN($E$1:$H$1)-1))*'Line Follower'!$C$3/SUM(C44:F44,H44:K44)-'Line Follower'!$C$5)))</f>
        <v>#N/A</v>
      </c>
      <c r="O44" s="22" t="e">
        <v>#N/A</v>
      </c>
      <c r="P44" s="4" t="e">
        <f t="shared" si="0"/>
        <v>#N/A</v>
      </c>
      <c r="Q44" s="4" t="e">
        <f t="shared" si="1"/>
        <v>#N/A</v>
      </c>
      <c r="R44" s="4" t="e">
        <f>IF(AND(B44=1,N44&gt;'Line Follower'!$C$7,SUM(C44:K44)&lt;4),1,0)</f>
        <v>#N/A</v>
      </c>
      <c r="S44" s="4" t="e">
        <f>IF(AND(L44=1,N44&lt;'Line Follower'!$C$6,SUM(C44:K44)&lt;4),1,0)</f>
        <v>#N/A</v>
      </c>
      <c r="T44" s="4" t="e">
        <f t="shared" si="2"/>
        <v>#N/A</v>
      </c>
      <c r="U44" s="5" t="e">
        <f t="shared" si="3"/>
        <v>#N/A</v>
      </c>
      <c r="V44" s="23" t="e">
        <f t="shared" si="4"/>
        <v>#N/A</v>
      </c>
    </row>
    <row r="45" spans="2:22" x14ac:dyDescent="0.25">
      <c r="B45" s="16">
        <v>0</v>
      </c>
      <c r="C45" s="7">
        <v>1</v>
      </c>
      <c r="D45" s="8">
        <v>0</v>
      </c>
      <c r="E45" s="8">
        <v>1</v>
      </c>
      <c r="F45" s="8">
        <v>0</v>
      </c>
      <c r="G45" s="8">
        <v>1</v>
      </c>
      <c r="H45" s="8">
        <v>0</v>
      </c>
      <c r="I45" s="8">
        <v>0</v>
      </c>
      <c r="J45" s="8">
        <v>0</v>
      </c>
      <c r="K45" s="9">
        <v>0</v>
      </c>
      <c r="L45" s="10">
        <v>0</v>
      </c>
      <c r="M45" s="6">
        <v>0</v>
      </c>
      <c r="N45" s="37" t="e" cm="1">
        <f t="array" ref="N45">IF(OR(ISNUMBER(FIND(Aux!$D$3:$D$9,_xlfn.TEXTJOIN(,,C45:K45)))),NA(),IF(AND(SUM(C45:F45,H45:K45)=0,G45=1),0,INT((SUMPRODUCT(C45:F45,COLUMN($A$1:$D$1)-1)+SUMPRODUCT(H45:K45,COLUMN($E$1:$H$1)-1))*'Line Follower'!$C$3/SUM(C45:F45,H45:K45)-'Line Follower'!$C$5)))</f>
        <v>#N/A</v>
      </c>
      <c r="O45" s="22" t="e">
        <v>#N/A</v>
      </c>
      <c r="P45" s="4" t="e">
        <f t="shared" si="0"/>
        <v>#N/A</v>
      </c>
      <c r="Q45" s="4" t="e">
        <f t="shared" si="1"/>
        <v>#N/A</v>
      </c>
      <c r="R45" s="4" t="e">
        <f>IF(AND(B45=1,N45&gt;'Line Follower'!$C$7,SUM(C45:K45)&lt;4),1,0)</f>
        <v>#N/A</v>
      </c>
      <c r="S45" s="4" t="e">
        <f>IF(AND(L45=1,N45&lt;'Line Follower'!$C$6,SUM(C45:K45)&lt;4),1,0)</f>
        <v>#N/A</v>
      </c>
      <c r="T45" s="4" t="e">
        <f t="shared" si="2"/>
        <v>#N/A</v>
      </c>
      <c r="U45" s="5" t="e">
        <f t="shared" si="3"/>
        <v>#N/A</v>
      </c>
      <c r="V45" s="23" t="e">
        <f t="shared" si="4"/>
        <v>#N/A</v>
      </c>
    </row>
    <row r="46" spans="2:22" x14ac:dyDescent="0.25">
      <c r="B46" s="16">
        <v>1</v>
      </c>
      <c r="C46" s="7">
        <v>1</v>
      </c>
      <c r="D46" s="8">
        <v>0</v>
      </c>
      <c r="E46" s="8">
        <v>1</v>
      </c>
      <c r="F46" s="8">
        <v>0</v>
      </c>
      <c r="G46" s="8">
        <v>1</v>
      </c>
      <c r="H46" s="8">
        <v>0</v>
      </c>
      <c r="I46" s="8">
        <v>0</v>
      </c>
      <c r="J46" s="8">
        <v>0</v>
      </c>
      <c r="K46" s="9">
        <v>0</v>
      </c>
      <c r="L46" s="10">
        <v>0</v>
      </c>
      <c r="M46" s="6">
        <v>0</v>
      </c>
      <c r="N46" s="37" t="e" cm="1">
        <f t="array" ref="N46">IF(OR(ISNUMBER(FIND(Aux!$D$3:$D$9,_xlfn.TEXTJOIN(,,C46:K46)))),NA(),IF(AND(SUM(C46:F46,H46:K46)=0,G46=1),0,INT((SUMPRODUCT(C46:F46,COLUMN($A$1:$D$1)-1)+SUMPRODUCT(H46:K46,COLUMN($E$1:$H$1)-1))*'Line Follower'!$C$3/SUM(C46:F46,H46:K46)-'Line Follower'!$C$5)))</f>
        <v>#N/A</v>
      </c>
      <c r="O46" s="22" t="e">
        <v>#N/A</v>
      </c>
      <c r="P46" s="4" t="e">
        <f t="shared" si="0"/>
        <v>#N/A</v>
      </c>
      <c r="Q46" s="4" t="e">
        <f t="shared" si="1"/>
        <v>#N/A</v>
      </c>
      <c r="R46" s="4" t="e">
        <f>IF(AND(B46=1,N46&gt;'Line Follower'!$C$7,SUM(C46:K46)&lt;4),1,0)</f>
        <v>#N/A</v>
      </c>
      <c r="S46" s="4" t="e">
        <f>IF(AND(L46=1,N46&lt;'Line Follower'!$C$6,SUM(C46:K46)&lt;4),1,0)</f>
        <v>#N/A</v>
      </c>
      <c r="T46" s="4" t="e">
        <f t="shared" si="2"/>
        <v>#N/A</v>
      </c>
      <c r="U46" s="5" t="e">
        <f t="shared" si="3"/>
        <v>#N/A</v>
      </c>
      <c r="V46" s="23" t="e">
        <f t="shared" si="4"/>
        <v>#N/A</v>
      </c>
    </row>
    <row r="47" spans="2:22" x14ac:dyDescent="0.25">
      <c r="B47" s="16">
        <v>0</v>
      </c>
      <c r="C47" s="7">
        <v>0</v>
      </c>
      <c r="D47" s="8">
        <v>1</v>
      </c>
      <c r="E47" s="8">
        <v>1</v>
      </c>
      <c r="F47" s="8">
        <v>0</v>
      </c>
      <c r="G47" s="8">
        <v>1</v>
      </c>
      <c r="H47" s="8">
        <v>0</v>
      </c>
      <c r="I47" s="8">
        <v>0</v>
      </c>
      <c r="J47" s="8">
        <v>0</v>
      </c>
      <c r="K47" s="9">
        <v>0</v>
      </c>
      <c r="L47" s="10">
        <v>0</v>
      </c>
      <c r="M47" s="6">
        <v>0</v>
      </c>
      <c r="N47" s="37" t="e" cm="1">
        <f t="array" ref="N47">IF(OR(ISNUMBER(FIND(Aux!$D$3:$D$9,_xlfn.TEXTJOIN(,,C47:K47)))),NA(),IF(AND(SUM(C47:F47,H47:K47)=0,G47=1),0,INT((SUMPRODUCT(C47:F47,COLUMN($A$1:$D$1)-1)+SUMPRODUCT(H47:K47,COLUMN($E$1:$H$1)-1))*'Line Follower'!$C$3/SUM(C47:F47,H47:K47)-'Line Follower'!$C$5)))</f>
        <v>#N/A</v>
      </c>
      <c r="O47" s="22" t="e">
        <v>#N/A</v>
      </c>
      <c r="P47" s="4" t="e">
        <f t="shared" si="0"/>
        <v>#N/A</v>
      </c>
      <c r="Q47" s="4" t="e">
        <f t="shared" si="1"/>
        <v>#N/A</v>
      </c>
      <c r="R47" s="4" t="e">
        <f>IF(AND(B47=1,N47&gt;'Line Follower'!$C$7,SUM(C47:K47)&lt;4),1,0)</f>
        <v>#N/A</v>
      </c>
      <c r="S47" s="4" t="e">
        <f>IF(AND(L47=1,N47&lt;'Line Follower'!$C$6,SUM(C47:K47)&lt;4),1,0)</f>
        <v>#N/A</v>
      </c>
      <c r="T47" s="4" t="e">
        <f t="shared" si="2"/>
        <v>#N/A</v>
      </c>
      <c r="U47" s="5" t="e">
        <f t="shared" si="3"/>
        <v>#N/A</v>
      </c>
      <c r="V47" s="23" t="e">
        <f t="shared" si="4"/>
        <v>#N/A</v>
      </c>
    </row>
    <row r="48" spans="2:22" x14ac:dyDescent="0.25">
      <c r="B48" s="16">
        <v>1</v>
      </c>
      <c r="C48" s="7">
        <v>0</v>
      </c>
      <c r="D48" s="8">
        <v>1</v>
      </c>
      <c r="E48" s="8">
        <v>1</v>
      </c>
      <c r="F48" s="8">
        <v>0</v>
      </c>
      <c r="G48" s="8">
        <v>1</v>
      </c>
      <c r="H48" s="8">
        <v>0</v>
      </c>
      <c r="I48" s="8">
        <v>0</v>
      </c>
      <c r="J48" s="8">
        <v>0</v>
      </c>
      <c r="K48" s="9">
        <v>0</v>
      </c>
      <c r="L48" s="10">
        <v>0</v>
      </c>
      <c r="M48" s="6">
        <v>0</v>
      </c>
      <c r="N48" s="37" t="e" cm="1">
        <f t="array" ref="N48">IF(OR(ISNUMBER(FIND(Aux!$D$3:$D$9,_xlfn.TEXTJOIN(,,C48:K48)))),NA(),IF(AND(SUM(C48:F48,H48:K48)=0,G48=1),0,INT((SUMPRODUCT(C48:F48,COLUMN($A$1:$D$1)-1)+SUMPRODUCT(H48:K48,COLUMN($E$1:$H$1)-1))*'Line Follower'!$C$3/SUM(C48:F48,H48:K48)-'Line Follower'!$C$5)))</f>
        <v>#N/A</v>
      </c>
      <c r="O48" s="22" t="e">
        <v>#N/A</v>
      </c>
      <c r="P48" s="4" t="e">
        <f t="shared" si="0"/>
        <v>#N/A</v>
      </c>
      <c r="Q48" s="4" t="e">
        <f t="shared" si="1"/>
        <v>#N/A</v>
      </c>
      <c r="R48" s="4" t="e">
        <f>IF(AND(B48=1,N48&gt;'Line Follower'!$C$7,SUM(C48:K48)&lt;4),1,0)</f>
        <v>#N/A</v>
      </c>
      <c r="S48" s="4" t="e">
        <f>IF(AND(L48=1,N48&lt;'Line Follower'!$C$6,SUM(C48:K48)&lt;4),1,0)</f>
        <v>#N/A</v>
      </c>
      <c r="T48" s="4" t="e">
        <f t="shared" si="2"/>
        <v>#N/A</v>
      </c>
      <c r="U48" s="5" t="e">
        <f t="shared" si="3"/>
        <v>#N/A</v>
      </c>
      <c r="V48" s="23" t="e">
        <f t="shared" si="4"/>
        <v>#N/A</v>
      </c>
    </row>
    <row r="49" spans="2:22" x14ac:dyDescent="0.25">
      <c r="B49" s="16">
        <v>0</v>
      </c>
      <c r="C49" s="7">
        <v>1</v>
      </c>
      <c r="D49" s="8">
        <v>1</v>
      </c>
      <c r="E49" s="8">
        <v>1</v>
      </c>
      <c r="F49" s="8">
        <v>0</v>
      </c>
      <c r="G49" s="8">
        <v>1</v>
      </c>
      <c r="H49" s="8">
        <v>0</v>
      </c>
      <c r="I49" s="8">
        <v>0</v>
      </c>
      <c r="J49" s="8">
        <v>0</v>
      </c>
      <c r="K49" s="9">
        <v>0</v>
      </c>
      <c r="L49" s="10">
        <v>0</v>
      </c>
      <c r="M49" s="6">
        <v>0</v>
      </c>
      <c r="N49" s="37" t="e" cm="1">
        <f t="array" ref="N49">IF(OR(ISNUMBER(FIND(Aux!$D$3:$D$9,_xlfn.TEXTJOIN(,,C49:K49)))),NA(),IF(AND(SUM(C49:F49,H49:K49)=0,G49=1),0,INT((SUMPRODUCT(C49:F49,COLUMN($A$1:$D$1)-1)+SUMPRODUCT(H49:K49,COLUMN($E$1:$H$1)-1))*'Line Follower'!$C$3/SUM(C49:F49,H49:K49)-'Line Follower'!$C$5)))</f>
        <v>#N/A</v>
      </c>
      <c r="O49" s="22" t="e">
        <v>#N/A</v>
      </c>
      <c r="P49" s="4" t="e">
        <f t="shared" si="0"/>
        <v>#N/A</v>
      </c>
      <c r="Q49" s="4" t="e">
        <f t="shared" si="1"/>
        <v>#N/A</v>
      </c>
      <c r="R49" s="4" t="e">
        <f>IF(AND(B49=1,N49&gt;'Line Follower'!$C$7,SUM(C49:K49)&lt;4),1,0)</f>
        <v>#N/A</v>
      </c>
      <c r="S49" s="4" t="e">
        <f>IF(AND(L49=1,N49&lt;'Line Follower'!$C$6,SUM(C49:K49)&lt;4),1,0)</f>
        <v>#N/A</v>
      </c>
      <c r="T49" s="4" t="e">
        <f t="shared" si="2"/>
        <v>#N/A</v>
      </c>
      <c r="U49" s="5" t="e">
        <f t="shared" si="3"/>
        <v>#N/A</v>
      </c>
      <c r="V49" s="23" t="e">
        <f t="shared" si="4"/>
        <v>#N/A</v>
      </c>
    </row>
    <row r="50" spans="2:22" x14ac:dyDescent="0.25">
      <c r="B50" s="16">
        <v>1</v>
      </c>
      <c r="C50" s="7">
        <v>1</v>
      </c>
      <c r="D50" s="8">
        <v>1</v>
      </c>
      <c r="E50" s="8">
        <v>1</v>
      </c>
      <c r="F50" s="8">
        <v>0</v>
      </c>
      <c r="G50" s="8">
        <v>1</v>
      </c>
      <c r="H50" s="8">
        <v>0</v>
      </c>
      <c r="I50" s="8">
        <v>0</v>
      </c>
      <c r="J50" s="8">
        <v>0</v>
      </c>
      <c r="K50" s="9">
        <v>0</v>
      </c>
      <c r="L50" s="10">
        <v>0</v>
      </c>
      <c r="M50" s="6">
        <v>0</v>
      </c>
      <c r="N50" s="37" t="e" cm="1">
        <f t="array" ref="N50">IF(OR(ISNUMBER(FIND(Aux!$D$3:$D$9,_xlfn.TEXTJOIN(,,C50:K50)))),NA(),IF(AND(SUM(C50:F50,H50:K50)=0,G50=1),0,INT((SUMPRODUCT(C50:F50,COLUMN($A$1:$D$1)-1)+SUMPRODUCT(H50:K50,COLUMN($E$1:$H$1)-1))*'Line Follower'!$C$3/SUM(C50:F50,H50:K50)-'Line Follower'!$C$5)))</f>
        <v>#N/A</v>
      </c>
      <c r="O50" s="22" t="e">
        <v>#N/A</v>
      </c>
      <c r="P50" s="4" t="e">
        <f t="shared" si="0"/>
        <v>#N/A</v>
      </c>
      <c r="Q50" s="4" t="e">
        <f t="shared" si="1"/>
        <v>#N/A</v>
      </c>
      <c r="R50" s="4" t="e">
        <f>IF(AND(B50=1,N50&gt;'Line Follower'!$C$7,SUM(C50:K50)&lt;4),1,0)</f>
        <v>#N/A</v>
      </c>
      <c r="S50" s="4" t="e">
        <f>IF(AND(L50=1,N50&lt;'Line Follower'!$C$6,SUM(C50:K50)&lt;4),1,0)</f>
        <v>#N/A</v>
      </c>
      <c r="T50" s="4" t="e">
        <f t="shared" si="2"/>
        <v>#N/A</v>
      </c>
      <c r="U50" s="5" t="e">
        <f t="shared" si="3"/>
        <v>#N/A</v>
      </c>
      <c r="V50" s="23" t="e">
        <f t="shared" si="4"/>
        <v>#N/A</v>
      </c>
    </row>
    <row r="51" spans="2:22" x14ac:dyDescent="0.25">
      <c r="B51" s="16">
        <v>0</v>
      </c>
      <c r="C51" s="7">
        <v>0</v>
      </c>
      <c r="D51" s="8">
        <v>0</v>
      </c>
      <c r="E51" s="8">
        <v>0</v>
      </c>
      <c r="F51" s="8">
        <v>1</v>
      </c>
      <c r="G51" s="8">
        <v>1</v>
      </c>
      <c r="H51" s="8">
        <v>0</v>
      </c>
      <c r="I51" s="8">
        <v>0</v>
      </c>
      <c r="J51" s="8">
        <v>0</v>
      </c>
      <c r="K51" s="9">
        <v>0</v>
      </c>
      <c r="L51" s="10">
        <v>0</v>
      </c>
      <c r="M51" s="6">
        <v>0</v>
      </c>
      <c r="N51" s="37" cm="1">
        <f t="array" ref="N51">IF(OR(ISNUMBER(FIND(Aux!$D$3:$D$9,_xlfn.TEXTJOIN(,,C51:K51)))),NA(),IF(AND(SUM(C51:F51,H51:K51)=0,G51=1),0,INT((SUMPRODUCT(C51:F51,COLUMN($A$1:$D$1)-1)+SUMPRODUCT(H51:K51,COLUMN($E$1:$H$1)-1))*'Line Follower'!$C$3/SUM(C51:F51,H51:K51)-'Line Follower'!$C$5)))</f>
        <v>-1</v>
      </c>
      <c r="O51" s="22">
        <v>1</v>
      </c>
      <c r="P51" s="4">
        <f t="shared" si="0"/>
        <v>0</v>
      </c>
      <c r="Q51" s="4">
        <f t="shared" si="1"/>
        <v>0</v>
      </c>
      <c r="R51" s="4">
        <f>IF(AND(B51=1,N51&gt;'Line Follower'!$C$7,SUM(C51:K51)&lt;4),1,0)</f>
        <v>0</v>
      </c>
      <c r="S51" s="4">
        <f>IF(AND(L51=1,N51&lt;'Line Follower'!$C$6,SUM(C51:K51)&lt;4),1,0)</f>
        <v>0</v>
      </c>
      <c r="T51" s="4">
        <f t="shared" si="2"/>
        <v>0</v>
      </c>
      <c r="U51" s="5">
        <f t="shared" si="3"/>
        <v>0</v>
      </c>
      <c r="V51" s="23">
        <f t="shared" si="4"/>
        <v>0</v>
      </c>
    </row>
    <row r="52" spans="2:22" x14ac:dyDescent="0.25">
      <c r="B52" s="16">
        <v>1</v>
      </c>
      <c r="C52" s="7">
        <v>0</v>
      </c>
      <c r="D52" s="8">
        <v>0</v>
      </c>
      <c r="E52" s="8">
        <v>0</v>
      </c>
      <c r="F52" s="8">
        <v>1</v>
      </c>
      <c r="G52" s="8">
        <v>1</v>
      </c>
      <c r="H52" s="8">
        <v>0</v>
      </c>
      <c r="I52" s="8">
        <v>0</v>
      </c>
      <c r="J52" s="8">
        <v>0</v>
      </c>
      <c r="K52" s="9">
        <v>0</v>
      </c>
      <c r="L52" s="10">
        <v>0</v>
      </c>
      <c r="M52" s="6">
        <v>0</v>
      </c>
      <c r="N52" s="37" cm="1">
        <f t="array" ref="N52">IF(OR(ISNUMBER(FIND(Aux!$D$3:$D$9,_xlfn.TEXTJOIN(,,C52:K52)))),NA(),IF(AND(SUM(C52:F52,H52:K52)=0,G52=1),0,INT((SUMPRODUCT(C52:F52,COLUMN($A$1:$D$1)-1)+SUMPRODUCT(H52:K52,COLUMN($E$1:$H$1)-1))*'Line Follower'!$C$3/SUM(C52:F52,H52:K52)-'Line Follower'!$C$5)))</f>
        <v>-1</v>
      </c>
      <c r="O52" s="22">
        <v>1</v>
      </c>
      <c r="P52" s="4">
        <f t="shared" si="0"/>
        <v>0</v>
      </c>
      <c r="Q52" s="4">
        <f t="shared" si="1"/>
        <v>0</v>
      </c>
      <c r="R52" s="4">
        <f>IF(AND(B52=1,N52&gt;'Line Follower'!$C$7,SUM(C52:K52)&lt;4),1,0)</f>
        <v>1</v>
      </c>
      <c r="S52" s="4">
        <f>IF(AND(L52=1,N52&lt;'Line Follower'!$C$6,SUM(C52:K52)&lt;4),1,0)</f>
        <v>0</v>
      </c>
      <c r="T52" s="4">
        <f t="shared" si="2"/>
        <v>0</v>
      </c>
      <c r="U52" s="5">
        <f t="shared" si="3"/>
        <v>0</v>
      </c>
      <c r="V52" s="23">
        <f t="shared" si="4"/>
        <v>0</v>
      </c>
    </row>
    <row r="53" spans="2:22" x14ac:dyDescent="0.25">
      <c r="B53" s="16">
        <v>0</v>
      </c>
      <c r="C53" s="7">
        <v>1</v>
      </c>
      <c r="D53" s="8">
        <v>0</v>
      </c>
      <c r="E53" s="8">
        <v>0</v>
      </c>
      <c r="F53" s="8">
        <v>1</v>
      </c>
      <c r="G53" s="8">
        <v>1</v>
      </c>
      <c r="H53" s="8">
        <v>0</v>
      </c>
      <c r="I53" s="8">
        <v>0</v>
      </c>
      <c r="J53" s="8">
        <v>0</v>
      </c>
      <c r="K53" s="9">
        <v>0</v>
      </c>
      <c r="L53" s="10">
        <v>0</v>
      </c>
      <c r="M53" s="6">
        <v>0</v>
      </c>
      <c r="N53" s="37" t="e" cm="1">
        <f t="array" ref="N53">IF(OR(ISNUMBER(FIND(Aux!$D$3:$D$9,_xlfn.TEXTJOIN(,,C53:K53)))),NA(),IF(AND(SUM(C53:F53,H53:K53)=0,G53=1),0,INT((SUMPRODUCT(C53:F53,COLUMN($A$1:$D$1)-1)+SUMPRODUCT(H53:K53,COLUMN($E$1:$H$1)-1))*'Line Follower'!$C$3/SUM(C53:F53,H53:K53)-'Line Follower'!$C$5)))</f>
        <v>#N/A</v>
      </c>
      <c r="O53" s="22" t="e">
        <v>#N/A</v>
      </c>
      <c r="P53" s="4" t="e">
        <f t="shared" si="0"/>
        <v>#N/A</v>
      </c>
      <c r="Q53" s="4" t="e">
        <f t="shared" si="1"/>
        <v>#N/A</v>
      </c>
      <c r="R53" s="4" t="e">
        <f>IF(AND(B53=1,N53&gt;'Line Follower'!$C$7,SUM(C53:K53)&lt;4),1,0)</f>
        <v>#N/A</v>
      </c>
      <c r="S53" s="4" t="e">
        <f>IF(AND(L53=1,N53&lt;'Line Follower'!$C$6,SUM(C53:K53)&lt;4),1,0)</f>
        <v>#N/A</v>
      </c>
      <c r="T53" s="4" t="e">
        <f t="shared" si="2"/>
        <v>#N/A</v>
      </c>
      <c r="U53" s="5" t="e">
        <f t="shared" si="3"/>
        <v>#N/A</v>
      </c>
      <c r="V53" s="23" t="e">
        <f t="shared" si="4"/>
        <v>#N/A</v>
      </c>
    </row>
    <row r="54" spans="2:22" x14ac:dyDescent="0.25">
      <c r="B54" s="16">
        <v>1</v>
      </c>
      <c r="C54" s="7">
        <v>1</v>
      </c>
      <c r="D54" s="8">
        <v>0</v>
      </c>
      <c r="E54" s="8">
        <v>0</v>
      </c>
      <c r="F54" s="8">
        <v>1</v>
      </c>
      <c r="G54" s="8">
        <v>1</v>
      </c>
      <c r="H54" s="8">
        <v>0</v>
      </c>
      <c r="I54" s="8">
        <v>0</v>
      </c>
      <c r="J54" s="8">
        <v>0</v>
      </c>
      <c r="K54" s="9">
        <v>0</v>
      </c>
      <c r="L54" s="10">
        <v>0</v>
      </c>
      <c r="M54" s="6">
        <v>0</v>
      </c>
      <c r="N54" s="37" t="e" cm="1">
        <f t="array" ref="N54">IF(OR(ISNUMBER(FIND(Aux!$D$3:$D$9,_xlfn.TEXTJOIN(,,C54:K54)))),NA(),IF(AND(SUM(C54:F54,H54:K54)=0,G54=1),0,INT((SUMPRODUCT(C54:F54,COLUMN($A$1:$D$1)-1)+SUMPRODUCT(H54:K54,COLUMN($E$1:$H$1)-1))*'Line Follower'!$C$3/SUM(C54:F54,H54:K54)-'Line Follower'!$C$5)))</f>
        <v>#N/A</v>
      </c>
      <c r="O54" s="22" t="e">
        <v>#N/A</v>
      </c>
      <c r="P54" s="4" t="e">
        <f t="shared" si="0"/>
        <v>#N/A</v>
      </c>
      <c r="Q54" s="4" t="e">
        <f t="shared" si="1"/>
        <v>#N/A</v>
      </c>
      <c r="R54" s="4" t="e">
        <f>IF(AND(B54=1,N54&gt;'Line Follower'!$C$7,SUM(C54:K54)&lt;4),1,0)</f>
        <v>#N/A</v>
      </c>
      <c r="S54" s="4" t="e">
        <f>IF(AND(L54=1,N54&lt;'Line Follower'!$C$6,SUM(C54:K54)&lt;4),1,0)</f>
        <v>#N/A</v>
      </c>
      <c r="T54" s="4" t="e">
        <f t="shared" si="2"/>
        <v>#N/A</v>
      </c>
      <c r="U54" s="5" t="e">
        <f t="shared" si="3"/>
        <v>#N/A</v>
      </c>
      <c r="V54" s="23" t="e">
        <f t="shared" si="4"/>
        <v>#N/A</v>
      </c>
    </row>
    <row r="55" spans="2:22" x14ac:dyDescent="0.25">
      <c r="B55" s="16">
        <v>0</v>
      </c>
      <c r="C55" s="7">
        <v>0</v>
      </c>
      <c r="D55" s="8">
        <v>1</v>
      </c>
      <c r="E55" s="8">
        <v>0</v>
      </c>
      <c r="F55" s="8">
        <v>1</v>
      </c>
      <c r="G55" s="8">
        <v>1</v>
      </c>
      <c r="H55" s="8">
        <v>0</v>
      </c>
      <c r="I55" s="8">
        <v>0</v>
      </c>
      <c r="J55" s="8">
        <v>0</v>
      </c>
      <c r="K55" s="9">
        <v>0</v>
      </c>
      <c r="L55" s="10">
        <v>0</v>
      </c>
      <c r="M55" s="6">
        <v>0</v>
      </c>
      <c r="N55" s="37" t="e" cm="1">
        <f t="array" ref="N55">IF(OR(ISNUMBER(FIND(Aux!$D$3:$D$9,_xlfn.TEXTJOIN(,,C55:K55)))),NA(),IF(AND(SUM(C55:F55,H55:K55)=0,G55=1),0,INT((SUMPRODUCT(C55:F55,COLUMN($A$1:$D$1)-1)+SUMPRODUCT(H55:K55,COLUMN($E$1:$H$1)-1))*'Line Follower'!$C$3/SUM(C55:F55,H55:K55)-'Line Follower'!$C$5)))</f>
        <v>#N/A</v>
      </c>
      <c r="O55" s="22" t="e">
        <v>#N/A</v>
      </c>
      <c r="P55" s="4" t="e">
        <f t="shared" si="0"/>
        <v>#N/A</v>
      </c>
      <c r="Q55" s="4" t="e">
        <f t="shared" si="1"/>
        <v>#N/A</v>
      </c>
      <c r="R55" s="4" t="e">
        <f>IF(AND(B55=1,N55&gt;'Line Follower'!$C$7,SUM(C55:K55)&lt;4),1,0)</f>
        <v>#N/A</v>
      </c>
      <c r="S55" s="4" t="e">
        <f>IF(AND(L55=1,N55&lt;'Line Follower'!$C$6,SUM(C55:K55)&lt;4),1,0)</f>
        <v>#N/A</v>
      </c>
      <c r="T55" s="4" t="e">
        <f t="shared" si="2"/>
        <v>#N/A</v>
      </c>
      <c r="U55" s="5" t="e">
        <f t="shared" si="3"/>
        <v>#N/A</v>
      </c>
      <c r="V55" s="23" t="e">
        <f t="shared" si="4"/>
        <v>#N/A</v>
      </c>
    </row>
    <row r="56" spans="2:22" x14ac:dyDescent="0.25">
      <c r="B56" s="16">
        <v>1</v>
      </c>
      <c r="C56" s="7">
        <v>0</v>
      </c>
      <c r="D56" s="8">
        <v>1</v>
      </c>
      <c r="E56" s="8">
        <v>0</v>
      </c>
      <c r="F56" s="8">
        <v>1</v>
      </c>
      <c r="G56" s="8">
        <v>1</v>
      </c>
      <c r="H56" s="8">
        <v>0</v>
      </c>
      <c r="I56" s="8">
        <v>0</v>
      </c>
      <c r="J56" s="8">
        <v>0</v>
      </c>
      <c r="K56" s="9">
        <v>0</v>
      </c>
      <c r="L56" s="10">
        <v>0</v>
      </c>
      <c r="M56" s="6">
        <v>0</v>
      </c>
      <c r="N56" s="37" t="e" cm="1">
        <f t="array" ref="N56">IF(OR(ISNUMBER(FIND(Aux!$D$3:$D$9,_xlfn.TEXTJOIN(,,C56:K56)))),NA(),IF(AND(SUM(C56:F56,H56:K56)=0,G56=1),0,INT((SUMPRODUCT(C56:F56,COLUMN($A$1:$D$1)-1)+SUMPRODUCT(H56:K56,COLUMN($E$1:$H$1)-1))*'Line Follower'!$C$3/SUM(C56:F56,H56:K56)-'Line Follower'!$C$5)))</f>
        <v>#N/A</v>
      </c>
      <c r="O56" s="22" t="e">
        <v>#N/A</v>
      </c>
      <c r="P56" s="4" t="e">
        <f t="shared" si="0"/>
        <v>#N/A</v>
      </c>
      <c r="Q56" s="4" t="e">
        <f t="shared" si="1"/>
        <v>#N/A</v>
      </c>
      <c r="R56" s="4" t="e">
        <f>IF(AND(B56=1,N56&gt;'Line Follower'!$C$7,SUM(C56:K56)&lt;4),1,0)</f>
        <v>#N/A</v>
      </c>
      <c r="S56" s="4" t="e">
        <f>IF(AND(L56=1,N56&lt;'Line Follower'!$C$6,SUM(C56:K56)&lt;4),1,0)</f>
        <v>#N/A</v>
      </c>
      <c r="T56" s="4" t="e">
        <f t="shared" si="2"/>
        <v>#N/A</v>
      </c>
      <c r="U56" s="5" t="e">
        <f t="shared" si="3"/>
        <v>#N/A</v>
      </c>
      <c r="V56" s="23" t="e">
        <f t="shared" si="4"/>
        <v>#N/A</v>
      </c>
    </row>
    <row r="57" spans="2:22" x14ac:dyDescent="0.25">
      <c r="B57" s="16">
        <v>0</v>
      </c>
      <c r="C57" s="7">
        <v>1</v>
      </c>
      <c r="D57" s="8">
        <v>1</v>
      </c>
      <c r="E57" s="8">
        <v>0</v>
      </c>
      <c r="F57" s="8">
        <v>1</v>
      </c>
      <c r="G57" s="8">
        <v>1</v>
      </c>
      <c r="H57" s="8">
        <v>0</v>
      </c>
      <c r="I57" s="8">
        <v>0</v>
      </c>
      <c r="J57" s="8">
        <v>0</v>
      </c>
      <c r="K57" s="9">
        <v>0</v>
      </c>
      <c r="L57" s="10">
        <v>0</v>
      </c>
      <c r="M57" s="6">
        <v>0</v>
      </c>
      <c r="N57" s="37" t="e" cm="1">
        <f t="array" ref="N57">IF(OR(ISNUMBER(FIND(Aux!$D$3:$D$9,_xlfn.TEXTJOIN(,,C57:K57)))),NA(),IF(AND(SUM(C57:F57,H57:K57)=0,G57=1),0,INT((SUMPRODUCT(C57:F57,COLUMN($A$1:$D$1)-1)+SUMPRODUCT(H57:K57,COLUMN($E$1:$H$1)-1))*'Line Follower'!$C$3/SUM(C57:F57,H57:K57)-'Line Follower'!$C$5)))</f>
        <v>#N/A</v>
      </c>
      <c r="O57" s="22" t="e">
        <v>#N/A</v>
      </c>
      <c r="P57" s="4" t="e">
        <f t="shared" si="0"/>
        <v>#N/A</v>
      </c>
      <c r="Q57" s="4" t="e">
        <f t="shared" si="1"/>
        <v>#N/A</v>
      </c>
      <c r="R57" s="4" t="e">
        <f>IF(AND(B57=1,N57&gt;'Line Follower'!$C$7,SUM(C57:K57)&lt;4),1,0)</f>
        <v>#N/A</v>
      </c>
      <c r="S57" s="4" t="e">
        <f>IF(AND(L57=1,N57&lt;'Line Follower'!$C$6,SUM(C57:K57)&lt;4),1,0)</f>
        <v>#N/A</v>
      </c>
      <c r="T57" s="4" t="e">
        <f t="shared" si="2"/>
        <v>#N/A</v>
      </c>
      <c r="U57" s="5" t="e">
        <f t="shared" si="3"/>
        <v>#N/A</v>
      </c>
      <c r="V57" s="23" t="e">
        <f t="shared" si="4"/>
        <v>#N/A</v>
      </c>
    </row>
    <row r="58" spans="2:22" x14ac:dyDescent="0.25">
      <c r="B58" s="16">
        <v>1</v>
      </c>
      <c r="C58" s="7">
        <v>1</v>
      </c>
      <c r="D58" s="8">
        <v>1</v>
      </c>
      <c r="E58" s="8">
        <v>0</v>
      </c>
      <c r="F58" s="8">
        <v>1</v>
      </c>
      <c r="G58" s="8">
        <v>1</v>
      </c>
      <c r="H58" s="8">
        <v>0</v>
      </c>
      <c r="I58" s="8">
        <v>0</v>
      </c>
      <c r="J58" s="8">
        <v>0</v>
      </c>
      <c r="K58" s="9">
        <v>0</v>
      </c>
      <c r="L58" s="10">
        <v>0</v>
      </c>
      <c r="M58" s="6">
        <v>0</v>
      </c>
      <c r="N58" s="37" t="e" cm="1">
        <f t="array" ref="N58">IF(OR(ISNUMBER(FIND(Aux!$D$3:$D$9,_xlfn.TEXTJOIN(,,C58:K58)))),NA(),IF(AND(SUM(C58:F58,H58:K58)=0,G58=1),0,INT((SUMPRODUCT(C58:F58,COLUMN($A$1:$D$1)-1)+SUMPRODUCT(H58:K58,COLUMN($E$1:$H$1)-1))*'Line Follower'!$C$3/SUM(C58:F58,H58:K58)-'Line Follower'!$C$5)))</f>
        <v>#N/A</v>
      </c>
      <c r="O58" s="22" t="e">
        <v>#N/A</v>
      </c>
      <c r="P58" s="4" t="e">
        <f t="shared" si="0"/>
        <v>#N/A</v>
      </c>
      <c r="Q58" s="4" t="e">
        <f t="shared" si="1"/>
        <v>#N/A</v>
      </c>
      <c r="R58" s="4" t="e">
        <f>IF(AND(B58=1,N58&gt;'Line Follower'!$C$7,SUM(C58:K58)&lt;4),1,0)</f>
        <v>#N/A</v>
      </c>
      <c r="S58" s="4" t="e">
        <f>IF(AND(L58=1,N58&lt;'Line Follower'!$C$6,SUM(C58:K58)&lt;4),1,0)</f>
        <v>#N/A</v>
      </c>
      <c r="T58" s="4" t="e">
        <f t="shared" si="2"/>
        <v>#N/A</v>
      </c>
      <c r="U58" s="5" t="e">
        <f t="shared" si="3"/>
        <v>#N/A</v>
      </c>
      <c r="V58" s="23" t="e">
        <f t="shared" si="4"/>
        <v>#N/A</v>
      </c>
    </row>
    <row r="59" spans="2:22" x14ac:dyDescent="0.25">
      <c r="B59" s="16">
        <v>0</v>
      </c>
      <c r="C59" s="7">
        <v>0</v>
      </c>
      <c r="D59" s="8">
        <v>0</v>
      </c>
      <c r="E59" s="8">
        <v>1</v>
      </c>
      <c r="F59" s="8">
        <v>1</v>
      </c>
      <c r="G59" s="8">
        <v>1</v>
      </c>
      <c r="H59" s="8">
        <v>0</v>
      </c>
      <c r="I59" s="8">
        <v>0</v>
      </c>
      <c r="J59" s="8">
        <v>0</v>
      </c>
      <c r="K59" s="9">
        <v>0</v>
      </c>
      <c r="L59" s="10">
        <v>0</v>
      </c>
      <c r="M59" s="6">
        <v>0</v>
      </c>
      <c r="N59" s="37" cm="1">
        <f t="array" ref="N59">IF(OR(ISNUMBER(FIND(Aux!$D$3:$D$9,_xlfn.TEXTJOIN(,,C59:K59)))),NA(),IF(AND(SUM(C59:F59,H59:K59)=0,G59=1),0,INT((SUMPRODUCT(C59:F59,COLUMN($A$1:$D$1)-1)+SUMPRODUCT(H59:K59,COLUMN($E$1:$H$1)-1))*'Line Follower'!$C$3/SUM(C59:F59,H59:K59)-'Line Follower'!$C$5)))</f>
        <v>-2</v>
      </c>
      <c r="O59" s="22">
        <v>1</v>
      </c>
      <c r="P59" s="4">
        <f t="shared" si="0"/>
        <v>0</v>
      </c>
      <c r="Q59" s="4">
        <f t="shared" si="1"/>
        <v>0</v>
      </c>
      <c r="R59" s="4">
        <f>IF(AND(B59=1,N59&gt;'Line Follower'!$C$7,SUM(C59:K59)&lt;4),1,0)</f>
        <v>0</v>
      </c>
      <c r="S59" s="4">
        <f>IF(AND(L59=1,N59&lt;'Line Follower'!$C$6,SUM(C59:K59)&lt;4),1,0)</f>
        <v>0</v>
      </c>
      <c r="T59" s="4">
        <f t="shared" si="2"/>
        <v>0</v>
      </c>
      <c r="U59" s="5">
        <f t="shared" si="3"/>
        <v>0</v>
      </c>
      <c r="V59" s="23">
        <f t="shared" si="4"/>
        <v>0</v>
      </c>
    </row>
    <row r="60" spans="2:22" x14ac:dyDescent="0.25">
      <c r="B60" s="16">
        <v>1</v>
      </c>
      <c r="C60" s="7">
        <v>0</v>
      </c>
      <c r="D60" s="8">
        <v>0</v>
      </c>
      <c r="E60" s="8">
        <v>1</v>
      </c>
      <c r="F60" s="8">
        <v>1</v>
      </c>
      <c r="G60" s="8">
        <v>1</v>
      </c>
      <c r="H60" s="8">
        <v>0</v>
      </c>
      <c r="I60" s="8">
        <v>0</v>
      </c>
      <c r="J60" s="8">
        <v>0</v>
      </c>
      <c r="K60" s="9">
        <v>0</v>
      </c>
      <c r="L60" s="10">
        <v>0</v>
      </c>
      <c r="M60" s="6">
        <v>0</v>
      </c>
      <c r="N60" s="37" cm="1">
        <f t="array" ref="N60">IF(OR(ISNUMBER(FIND(Aux!$D$3:$D$9,_xlfn.TEXTJOIN(,,C60:K60)))),NA(),IF(AND(SUM(C60:F60,H60:K60)=0,G60=1),0,INT((SUMPRODUCT(C60:F60,COLUMN($A$1:$D$1)-1)+SUMPRODUCT(H60:K60,COLUMN($E$1:$H$1)-1))*'Line Follower'!$C$3/SUM(C60:F60,H60:K60)-'Line Follower'!$C$5)))</f>
        <v>-2</v>
      </c>
      <c r="O60" s="22">
        <v>1</v>
      </c>
      <c r="P60" s="4">
        <f t="shared" si="0"/>
        <v>0</v>
      </c>
      <c r="Q60" s="4">
        <f t="shared" si="1"/>
        <v>0</v>
      </c>
      <c r="R60" s="4">
        <f>IF(AND(B60=1,N60&gt;'Line Follower'!$C$7,SUM(C60:K60)&lt;4),1,0)</f>
        <v>1</v>
      </c>
      <c r="S60" s="4">
        <f>IF(AND(L60=1,N60&lt;'Line Follower'!$C$6,SUM(C60:K60)&lt;4),1,0)</f>
        <v>0</v>
      </c>
      <c r="T60" s="4">
        <f t="shared" si="2"/>
        <v>0</v>
      </c>
      <c r="U60" s="5">
        <f t="shared" si="3"/>
        <v>0</v>
      </c>
      <c r="V60" s="23">
        <f t="shared" si="4"/>
        <v>0</v>
      </c>
    </row>
    <row r="61" spans="2:22" x14ac:dyDescent="0.25">
      <c r="B61" s="16">
        <v>0</v>
      </c>
      <c r="C61" s="7">
        <v>1</v>
      </c>
      <c r="D61" s="8">
        <v>0</v>
      </c>
      <c r="E61" s="8">
        <v>1</v>
      </c>
      <c r="F61" s="8">
        <v>1</v>
      </c>
      <c r="G61" s="8">
        <v>1</v>
      </c>
      <c r="H61" s="8">
        <v>0</v>
      </c>
      <c r="I61" s="8">
        <v>0</v>
      </c>
      <c r="J61" s="8">
        <v>0</v>
      </c>
      <c r="K61" s="9">
        <v>0</v>
      </c>
      <c r="L61" s="10">
        <v>0</v>
      </c>
      <c r="M61" s="6">
        <v>0</v>
      </c>
      <c r="N61" s="37" t="e" cm="1">
        <f t="array" ref="N61">IF(OR(ISNUMBER(FIND(Aux!$D$3:$D$9,_xlfn.TEXTJOIN(,,C61:K61)))),NA(),IF(AND(SUM(C61:F61,H61:K61)=0,G61=1),0,INT((SUMPRODUCT(C61:F61,COLUMN($A$1:$D$1)-1)+SUMPRODUCT(H61:K61,COLUMN($E$1:$H$1)-1))*'Line Follower'!$C$3/SUM(C61:F61,H61:K61)-'Line Follower'!$C$5)))</f>
        <v>#N/A</v>
      </c>
      <c r="O61" s="22" t="e">
        <v>#N/A</v>
      </c>
      <c r="P61" s="4" t="e">
        <f t="shared" si="0"/>
        <v>#N/A</v>
      </c>
      <c r="Q61" s="4" t="e">
        <f t="shared" si="1"/>
        <v>#N/A</v>
      </c>
      <c r="R61" s="4" t="e">
        <f>IF(AND(B61=1,N61&gt;'Line Follower'!$C$7,SUM(C61:K61)&lt;4),1,0)</f>
        <v>#N/A</v>
      </c>
      <c r="S61" s="4" t="e">
        <f>IF(AND(L61=1,N61&lt;'Line Follower'!$C$6,SUM(C61:K61)&lt;4),1,0)</f>
        <v>#N/A</v>
      </c>
      <c r="T61" s="4" t="e">
        <f t="shared" si="2"/>
        <v>#N/A</v>
      </c>
      <c r="U61" s="5" t="e">
        <f t="shared" si="3"/>
        <v>#N/A</v>
      </c>
      <c r="V61" s="23" t="e">
        <f t="shared" si="4"/>
        <v>#N/A</v>
      </c>
    </row>
    <row r="62" spans="2:22" x14ac:dyDescent="0.25">
      <c r="B62" s="16">
        <v>1</v>
      </c>
      <c r="C62" s="7">
        <v>1</v>
      </c>
      <c r="D62" s="8">
        <v>0</v>
      </c>
      <c r="E62" s="8">
        <v>1</v>
      </c>
      <c r="F62" s="8">
        <v>1</v>
      </c>
      <c r="G62" s="8">
        <v>1</v>
      </c>
      <c r="H62" s="8">
        <v>0</v>
      </c>
      <c r="I62" s="8">
        <v>0</v>
      </c>
      <c r="J62" s="8">
        <v>0</v>
      </c>
      <c r="K62" s="9">
        <v>0</v>
      </c>
      <c r="L62" s="10">
        <v>0</v>
      </c>
      <c r="M62" s="6">
        <v>0</v>
      </c>
      <c r="N62" s="37" t="e" cm="1">
        <f t="array" ref="N62">IF(OR(ISNUMBER(FIND(Aux!$D$3:$D$9,_xlfn.TEXTJOIN(,,C62:K62)))),NA(),IF(AND(SUM(C62:F62,H62:K62)=0,G62=1),0,INT((SUMPRODUCT(C62:F62,COLUMN($A$1:$D$1)-1)+SUMPRODUCT(H62:K62,COLUMN($E$1:$H$1)-1))*'Line Follower'!$C$3/SUM(C62:F62,H62:K62)-'Line Follower'!$C$5)))</f>
        <v>#N/A</v>
      </c>
      <c r="O62" s="22" t="e">
        <v>#N/A</v>
      </c>
      <c r="P62" s="4" t="e">
        <f t="shared" si="0"/>
        <v>#N/A</v>
      </c>
      <c r="Q62" s="4" t="e">
        <f t="shared" si="1"/>
        <v>#N/A</v>
      </c>
      <c r="R62" s="4" t="e">
        <f>IF(AND(B62=1,N62&gt;'Line Follower'!$C$7,SUM(C62:K62)&lt;4),1,0)</f>
        <v>#N/A</v>
      </c>
      <c r="S62" s="4" t="e">
        <f>IF(AND(L62=1,N62&lt;'Line Follower'!$C$6,SUM(C62:K62)&lt;4),1,0)</f>
        <v>#N/A</v>
      </c>
      <c r="T62" s="4" t="e">
        <f t="shared" si="2"/>
        <v>#N/A</v>
      </c>
      <c r="U62" s="5" t="e">
        <f t="shared" si="3"/>
        <v>#N/A</v>
      </c>
      <c r="V62" s="23" t="e">
        <f t="shared" si="4"/>
        <v>#N/A</v>
      </c>
    </row>
    <row r="63" spans="2:22" x14ac:dyDescent="0.25">
      <c r="B63" s="16">
        <v>0</v>
      </c>
      <c r="C63" s="7">
        <v>0</v>
      </c>
      <c r="D63" s="8">
        <v>1</v>
      </c>
      <c r="E63" s="8">
        <v>1</v>
      </c>
      <c r="F63" s="8">
        <v>1</v>
      </c>
      <c r="G63" s="8">
        <v>1</v>
      </c>
      <c r="H63" s="8">
        <v>0</v>
      </c>
      <c r="I63" s="8">
        <v>0</v>
      </c>
      <c r="J63" s="8">
        <v>0</v>
      </c>
      <c r="K63" s="9">
        <v>0</v>
      </c>
      <c r="L63" s="10">
        <v>0</v>
      </c>
      <c r="M63" s="6">
        <v>0</v>
      </c>
      <c r="N63" s="37" cm="1">
        <f t="array" ref="N63">IF(OR(ISNUMBER(FIND(Aux!$D$3:$D$9,_xlfn.TEXTJOIN(,,C63:K63)))),NA(),IF(AND(SUM(C63:F63,H63:K63)=0,G63=1),0,INT((SUMPRODUCT(C63:F63,COLUMN($A$1:$D$1)-1)+SUMPRODUCT(H63:K63,COLUMN($E$1:$H$1)-1))*'Line Follower'!$C$3/SUM(C63:F63,H63:K63)-'Line Follower'!$C$5)))</f>
        <v>-3</v>
      </c>
      <c r="O63" s="22">
        <v>1</v>
      </c>
      <c r="P63" s="4">
        <f t="shared" si="0"/>
        <v>0</v>
      </c>
      <c r="Q63" s="4">
        <f t="shared" si="1"/>
        <v>1</v>
      </c>
      <c r="R63" s="4">
        <f>IF(AND(B63=1,N63&gt;'Line Follower'!$C$7,SUM(C63:K63)&lt;4),1,0)</f>
        <v>0</v>
      </c>
      <c r="S63" s="4">
        <f>IF(AND(L63=1,N63&lt;'Line Follower'!$C$6,SUM(C63:K63)&lt;4),1,0)</f>
        <v>0</v>
      </c>
      <c r="T63" s="4">
        <f t="shared" si="2"/>
        <v>0</v>
      </c>
      <c r="U63" s="5">
        <f t="shared" si="3"/>
        <v>0</v>
      </c>
      <c r="V63" s="23">
        <f t="shared" si="4"/>
        <v>0</v>
      </c>
    </row>
    <row r="64" spans="2:22" x14ac:dyDescent="0.25">
      <c r="B64" s="16">
        <v>1</v>
      </c>
      <c r="C64" s="7">
        <v>0</v>
      </c>
      <c r="D64" s="8">
        <v>1</v>
      </c>
      <c r="E64" s="8">
        <v>1</v>
      </c>
      <c r="F64" s="8">
        <v>1</v>
      </c>
      <c r="G64" s="8">
        <v>1</v>
      </c>
      <c r="H64" s="8">
        <v>0</v>
      </c>
      <c r="I64" s="8">
        <v>0</v>
      </c>
      <c r="J64" s="8">
        <v>0</v>
      </c>
      <c r="K64" s="9">
        <v>0</v>
      </c>
      <c r="L64" s="10">
        <v>0</v>
      </c>
      <c r="M64" s="6">
        <v>0</v>
      </c>
      <c r="N64" s="37" cm="1">
        <f t="array" ref="N64">IF(OR(ISNUMBER(FIND(Aux!$D$3:$D$9,_xlfn.TEXTJOIN(,,C64:K64)))),NA(),IF(AND(SUM(C64:F64,H64:K64)=0,G64=1),0,INT((SUMPRODUCT(C64:F64,COLUMN($A$1:$D$1)-1)+SUMPRODUCT(H64:K64,COLUMN($E$1:$H$1)-1))*'Line Follower'!$C$3/SUM(C64:F64,H64:K64)-'Line Follower'!$C$5)))</f>
        <v>-3</v>
      </c>
      <c r="O64" s="22">
        <v>1</v>
      </c>
      <c r="P64" s="4">
        <f t="shared" si="0"/>
        <v>0</v>
      </c>
      <c r="Q64" s="4">
        <f t="shared" si="1"/>
        <v>1</v>
      </c>
      <c r="R64" s="4">
        <f>IF(AND(B64=1,N64&gt;'Line Follower'!$C$7,SUM(C64:K64)&lt;4),1,0)</f>
        <v>0</v>
      </c>
      <c r="S64" s="4">
        <f>IF(AND(L64=1,N64&lt;'Line Follower'!$C$6,SUM(C64:K64)&lt;4),1,0)</f>
        <v>0</v>
      </c>
      <c r="T64" s="4">
        <f t="shared" si="2"/>
        <v>0</v>
      </c>
      <c r="U64" s="5">
        <f t="shared" si="3"/>
        <v>0</v>
      </c>
      <c r="V64" s="23">
        <f t="shared" si="4"/>
        <v>0</v>
      </c>
    </row>
    <row r="65" spans="2:22" x14ac:dyDescent="0.25">
      <c r="B65" s="16">
        <v>0</v>
      </c>
      <c r="C65" s="7">
        <v>1</v>
      </c>
      <c r="D65" s="8">
        <v>1</v>
      </c>
      <c r="E65" s="8">
        <v>1</v>
      </c>
      <c r="F65" s="8">
        <v>1</v>
      </c>
      <c r="G65" s="8">
        <v>1</v>
      </c>
      <c r="H65" s="8">
        <v>0</v>
      </c>
      <c r="I65" s="8">
        <v>0</v>
      </c>
      <c r="J65" s="8">
        <v>0</v>
      </c>
      <c r="K65" s="9">
        <v>0</v>
      </c>
      <c r="L65" s="10">
        <v>0</v>
      </c>
      <c r="M65" s="6">
        <v>0</v>
      </c>
      <c r="N65" s="37" cm="1">
        <f t="array" ref="N65">IF(OR(ISNUMBER(FIND(Aux!$D$3:$D$9,_xlfn.TEXTJOIN(,,C65:K65)))),NA(),IF(AND(SUM(C65:F65,H65:K65)=0,G65=1),0,INT((SUMPRODUCT(C65:F65,COLUMN($A$1:$D$1)-1)+SUMPRODUCT(H65:K65,COLUMN($E$1:$H$1)-1))*'Line Follower'!$C$3/SUM(C65:F65,H65:K65)-'Line Follower'!$C$5)))</f>
        <v>-4</v>
      </c>
      <c r="O65" s="22">
        <v>1</v>
      </c>
      <c r="P65" s="4">
        <f t="shared" si="0"/>
        <v>0</v>
      </c>
      <c r="Q65" s="4">
        <f t="shared" si="1"/>
        <v>1</v>
      </c>
      <c r="R65" s="4">
        <f>IF(AND(B65=1,N65&gt;'Line Follower'!$C$7,SUM(C65:K65)&lt;4),1,0)</f>
        <v>0</v>
      </c>
      <c r="S65" s="4">
        <f>IF(AND(L65=1,N65&lt;'Line Follower'!$C$6,SUM(C65:K65)&lt;4),1,0)</f>
        <v>0</v>
      </c>
      <c r="T65" s="4">
        <f t="shared" si="2"/>
        <v>0</v>
      </c>
      <c r="U65" s="5">
        <f t="shared" si="3"/>
        <v>0</v>
      </c>
      <c r="V65" s="23">
        <f t="shared" si="4"/>
        <v>0</v>
      </c>
    </row>
    <row r="66" spans="2:22" x14ac:dyDescent="0.25">
      <c r="B66" s="16">
        <v>1</v>
      </c>
      <c r="C66" s="7">
        <v>1</v>
      </c>
      <c r="D66" s="8">
        <v>1</v>
      </c>
      <c r="E66" s="8">
        <v>1</v>
      </c>
      <c r="F66" s="8">
        <v>1</v>
      </c>
      <c r="G66" s="8">
        <v>1</v>
      </c>
      <c r="H66" s="8">
        <v>0</v>
      </c>
      <c r="I66" s="8">
        <v>0</v>
      </c>
      <c r="J66" s="8">
        <v>0</v>
      </c>
      <c r="K66" s="9">
        <v>0</v>
      </c>
      <c r="L66" s="10">
        <v>0</v>
      </c>
      <c r="M66" s="6">
        <v>0</v>
      </c>
      <c r="N66" s="37" cm="1">
        <f t="array" ref="N66">IF(OR(ISNUMBER(FIND(Aux!$D$3:$D$9,_xlfn.TEXTJOIN(,,C66:K66)))),NA(),IF(AND(SUM(C66:F66,H66:K66)=0,G66=1),0,INT((SUMPRODUCT(C66:F66,COLUMN($A$1:$D$1)-1)+SUMPRODUCT(H66:K66,COLUMN($E$1:$H$1)-1))*'Line Follower'!$C$3/SUM(C66:F66,H66:K66)-'Line Follower'!$C$5)))</f>
        <v>-4</v>
      </c>
      <c r="O66" s="22">
        <v>1</v>
      </c>
      <c r="P66" s="4">
        <f t="shared" si="0"/>
        <v>0</v>
      </c>
      <c r="Q66" s="4">
        <f t="shared" si="1"/>
        <v>1</v>
      </c>
      <c r="R66" s="4">
        <f>IF(AND(B66=1,N66&gt;'Line Follower'!$C$7,SUM(C66:K66)&lt;4),1,0)</f>
        <v>0</v>
      </c>
      <c r="S66" s="4">
        <f>IF(AND(L66=1,N66&lt;'Line Follower'!$C$6,SUM(C66:K66)&lt;4),1,0)</f>
        <v>0</v>
      </c>
      <c r="T66" s="4">
        <f t="shared" si="2"/>
        <v>0</v>
      </c>
      <c r="U66" s="5">
        <f t="shared" si="3"/>
        <v>0</v>
      </c>
      <c r="V66" s="23">
        <f t="shared" si="4"/>
        <v>0</v>
      </c>
    </row>
    <row r="67" spans="2:22" x14ac:dyDescent="0.25">
      <c r="B67" s="16">
        <v>0</v>
      </c>
      <c r="C67" s="7">
        <v>0</v>
      </c>
      <c r="D67" s="8">
        <v>0</v>
      </c>
      <c r="E67" s="8">
        <v>0</v>
      </c>
      <c r="F67" s="8">
        <v>0</v>
      </c>
      <c r="G67" s="8">
        <v>0</v>
      </c>
      <c r="H67" s="8">
        <v>1</v>
      </c>
      <c r="I67" s="8">
        <v>0</v>
      </c>
      <c r="J67" s="8">
        <v>0</v>
      </c>
      <c r="K67" s="9">
        <v>0</v>
      </c>
      <c r="L67" s="10">
        <v>0</v>
      </c>
      <c r="M67" s="6">
        <v>0</v>
      </c>
      <c r="N67" s="37" cm="1">
        <f t="array" ref="N67">IF(OR(ISNUMBER(FIND(Aux!$D$3:$D$9,_xlfn.TEXTJOIN(,,C67:K67)))),NA(),IF(AND(SUM(C67:F67,H67:K67)=0,G67=1),0,INT((SUMPRODUCT(C67:F67,COLUMN($A$1:$D$1)-1)+SUMPRODUCT(H67:K67,COLUMN($E$1:$H$1)-1))*'Line Follower'!$C$3/SUM(C67:F67,H67:K67)-'Line Follower'!$C$5)))</f>
        <v>1</v>
      </c>
      <c r="O67" s="22">
        <v>1</v>
      </c>
      <c r="P67" s="4">
        <f t="shared" ref="P67:P130" si="5">IF(AND(N67=0,G67=1,M67=1),1,0)</f>
        <v>0</v>
      </c>
      <c r="Q67" s="4">
        <f t="shared" ref="Q67:Q130" si="6">IF(ISERROR(N67),N67,IF(SUM(C67:K67)&gt;=4,1,0))</f>
        <v>0</v>
      </c>
      <c r="R67" s="4">
        <f>IF(AND(B67=1,N67&gt;'Line Follower'!$C$7,SUM(C67:K67)&lt;4),1,0)</f>
        <v>0</v>
      </c>
      <c r="S67" s="4">
        <f>IF(AND(L67=1,N67&lt;'Line Follower'!$C$6,SUM(C67:K67)&lt;4),1,0)</f>
        <v>0</v>
      </c>
      <c r="T67" s="4">
        <f t="shared" si="2"/>
        <v>0</v>
      </c>
      <c r="U67" s="5">
        <f t="shared" si="3"/>
        <v>0</v>
      </c>
      <c r="V67" s="23">
        <f t="shared" si="4"/>
        <v>0</v>
      </c>
    </row>
    <row r="68" spans="2:22" x14ac:dyDescent="0.25">
      <c r="B68" s="16">
        <v>1</v>
      </c>
      <c r="C68" s="7">
        <v>0</v>
      </c>
      <c r="D68" s="8">
        <v>0</v>
      </c>
      <c r="E68" s="8">
        <v>0</v>
      </c>
      <c r="F68" s="8">
        <v>0</v>
      </c>
      <c r="G68" s="8">
        <v>0</v>
      </c>
      <c r="H68" s="8">
        <v>1</v>
      </c>
      <c r="I68" s="8">
        <v>0</v>
      </c>
      <c r="J68" s="8">
        <v>0</v>
      </c>
      <c r="K68" s="9">
        <v>0</v>
      </c>
      <c r="L68" s="10">
        <v>0</v>
      </c>
      <c r="M68" s="6">
        <v>0</v>
      </c>
      <c r="N68" s="37" cm="1">
        <f t="array" ref="N68">IF(OR(ISNUMBER(FIND(Aux!$D$3:$D$9,_xlfn.TEXTJOIN(,,C68:K68)))),NA(),IF(AND(SUM(C68:F68,H68:K68)=0,G68=1),0,INT((SUMPRODUCT(C68:F68,COLUMN($A$1:$D$1)-1)+SUMPRODUCT(H68:K68,COLUMN($E$1:$H$1)-1))*'Line Follower'!$C$3/SUM(C68:F68,H68:K68)-'Line Follower'!$C$5)))</f>
        <v>1</v>
      </c>
      <c r="O68" s="22">
        <v>1</v>
      </c>
      <c r="P68" s="4">
        <f t="shared" si="5"/>
        <v>0</v>
      </c>
      <c r="Q68" s="4">
        <f t="shared" si="6"/>
        <v>0</v>
      </c>
      <c r="R68" s="4">
        <f>IF(AND(B68=1,N68&gt;'Line Follower'!$C$7,SUM(C68:K68)&lt;4),1,0)</f>
        <v>1</v>
      </c>
      <c r="S68" s="4">
        <f>IF(AND(L68=1,N68&lt;'Line Follower'!$C$6,SUM(C68:K68)&lt;4),1,0)</f>
        <v>0</v>
      </c>
      <c r="T68" s="4">
        <f t="shared" ref="T68:T131" si="7">IF(ISNA(N68),NA(),IF(SUM(C68:L68)=0,1,0))</f>
        <v>0</v>
      </c>
      <c r="U68" s="5">
        <f t="shared" ref="U68:U131" si="8">IF(ISNA(N68),NA(),IF(SUM(B68:K68)=0,1,0))</f>
        <v>0</v>
      </c>
      <c r="V68" s="23">
        <f t="shared" ref="V68:V131" si="9">IF(ISNA(N68),NA(),IF(SUM(B68:L68)=0,1,0))</f>
        <v>0</v>
      </c>
    </row>
    <row r="69" spans="2:22" x14ac:dyDescent="0.25">
      <c r="B69" s="16">
        <v>0</v>
      </c>
      <c r="C69" s="7">
        <v>1</v>
      </c>
      <c r="D69" s="8">
        <v>0</v>
      </c>
      <c r="E69" s="8">
        <v>0</v>
      </c>
      <c r="F69" s="8">
        <v>0</v>
      </c>
      <c r="G69" s="8">
        <v>0</v>
      </c>
      <c r="H69" s="8">
        <v>1</v>
      </c>
      <c r="I69" s="8">
        <v>0</v>
      </c>
      <c r="J69" s="8">
        <v>0</v>
      </c>
      <c r="K69" s="9">
        <v>0</v>
      </c>
      <c r="L69" s="10">
        <v>0</v>
      </c>
      <c r="M69" s="6">
        <v>0</v>
      </c>
      <c r="N69" s="37" t="e" cm="1">
        <f t="array" ref="N69">IF(OR(ISNUMBER(FIND(Aux!$D$3:$D$9,_xlfn.TEXTJOIN(,,C69:K69)))),NA(),IF(AND(SUM(C69:F69,H69:K69)=0,G69=1),0,INT((SUMPRODUCT(C69:F69,COLUMN($A$1:$D$1)-1)+SUMPRODUCT(H69:K69,COLUMN($E$1:$H$1)-1))*'Line Follower'!$C$3/SUM(C69:F69,H69:K69)-'Line Follower'!$C$5)))</f>
        <v>#N/A</v>
      </c>
      <c r="O69" s="22" t="e">
        <v>#N/A</v>
      </c>
      <c r="P69" s="4" t="e">
        <f t="shared" si="5"/>
        <v>#N/A</v>
      </c>
      <c r="Q69" s="4" t="e">
        <f t="shared" si="6"/>
        <v>#N/A</v>
      </c>
      <c r="R69" s="4" t="e">
        <f>IF(AND(B69=1,N69&gt;'Line Follower'!$C$7,SUM(C69:K69)&lt;4),1,0)</f>
        <v>#N/A</v>
      </c>
      <c r="S69" s="4" t="e">
        <f>IF(AND(L69=1,N69&lt;'Line Follower'!$C$6,SUM(C69:K69)&lt;4),1,0)</f>
        <v>#N/A</v>
      </c>
      <c r="T69" s="4" t="e">
        <f t="shared" si="7"/>
        <v>#N/A</v>
      </c>
      <c r="U69" s="5" t="e">
        <f t="shared" si="8"/>
        <v>#N/A</v>
      </c>
      <c r="V69" s="23" t="e">
        <f t="shared" si="9"/>
        <v>#N/A</v>
      </c>
    </row>
    <row r="70" spans="2:22" x14ac:dyDescent="0.25">
      <c r="B70" s="16">
        <v>1</v>
      </c>
      <c r="C70" s="7">
        <v>1</v>
      </c>
      <c r="D70" s="8">
        <v>0</v>
      </c>
      <c r="E70" s="8">
        <v>0</v>
      </c>
      <c r="F70" s="8">
        <v>0</v>
      </c>
      <c r="G70" s="8">
        <v>0</v>
      </c>
      <c r="H70" s="8">
        <v>1</v>
      </c>
      <c r="I70" s="8">
        <v>0</v>
      </c>
      <c r="J70" s="8">
        <v>0</v>
      </c>
      <c r="K70" s="9">
        <v>0</v>
      </c>
      <c r="L70" s="10">
        <v>0</v>
      </c>
      <c r="M70" s="6">
        <v>0</v>
      </c>
      <c r="N70" s="37" t="e" cm="1">
        <f t="array" ref="N70">IF(OR(ISNUMBER(FIND(Aux!$D$3:$D$9,_xlfn.TEXTJOIN(,,C70:K70)))),NA(),IF(AND(SUM(C70:F70,H70:K70)=0,G70=1),0,INT((SUMPRODUCT(C70:F70,COLUMN($A$1:$D$1)-1)+SUMPRODUCT(H70:K70,COLUMN($E$1:$H$1)-1))*'Line Follower'!$C$3/SUM(C70:F70,H70:K70)-'Line Follower'!$C$5)))</f>
        <v>#N/A</v>
      </c>
      <c r="O70" s="22" t="e">
        <v>#N/A</v>
      </c>
      <c r="P70" s="4" t="e">
        <f t="shared" si="5"/>
        <v>#N/A</v>
      </c>
      <c r="Q70" s="4" t="e">
        <f t="shared" si="6"/>
        <v>#N/A</v>
      </c>
      <c r="R70" s="4" t="e">
        <f>IF(AND(B70=1,N70&gt;'Line Follower'!$C$7,SUM(C70:K70)&lt;4),1,0)</f>
        <v>#N/A</v>
      </c>
      <c r="S70" s="4" t="e">
        <f>IF(AND(L70=1,N70&lt;'Line Follower'!$C$6,SUM(C70:K70)&lt;4),1,0)</f>
        <v>#N/A</v>
      </c>
      <c r="T70" s="4" t="e">
        <f t="shared" si="7"/>
        <v>#N/A</v>
      </c>
      <c r="U70" s="5" t="e">
        <f t="shared" si="8"/>
        <v>#N/A</v>
      </c>
      <c r="V70" s="23" t="e">
        <f t="shared" si="9"/>
        <v>#N/A</v>
      </c>
    </row>
    <row r="71" spans="2:22" x14ac:dyDescent="0.25">
      <c r="B71" s="16">
        <v>0</v>
      </c>
      <c r="C71" s="7">
        <v>0</v>
      </c>
      <c r="D71" s="8">
        <v>1</v>
      </c>
      <c r="E71" s="8">
        <v>0</v>
      </c>
      <c r="F71" s="8">
        <v>0</v>
      </c>
      <c r="G71" s="8">
        <v>0</v>
      </c>
      <c r="H71" s="8">
        <v>1</v>
      </c>
      <c r="I71" s="8">
        <v>0</v>
      </c>
      <c r="J71" s="8">
        <v>0</v>
      </c>
      <c r="K71" s="9">
        <v>0</v>
      </c>
      <c r="L71" s="10">
        <v>0</v>
      </c>
      <c r="M71" s="6">
        <v>0</v>
      </c>
      <c r="N71" s="37" t="e" cm="1">
        <f t="array" ref="N71">IF(OR(ISNUMBER(FIND(Aux!$D$3:$D$9,_xlfn.TEXTJOIN(,,C71:K71)))),NA(),IF(AND(SUM(C71:F71,H71:K71)=0,G71=1),0,INT((SUMPRODUCT(C71:F71,COLUMN($A$1:$D$1)-1)+SUMPRODUCT(H71:K71,COLUMN($E$1:$H$1)-1))*'Line Follower'!$C$3/SUM(C71:F71,H71:K71)-'Line Follower'!$C$5)))</f>
        <v>#N/A</v>
      </c>
      <c r="O71" s="22" t="e">
        <v>#N/A</v>
      </c>
      <c r="P71" s="4" t="e">
        <f t="shared" si="5"/>
        <v>#N/A</v>
      </c>
      <c r="Q71" s="4" t="e">
        <f t="shared" si="6"/>
        <v>#N/A</v>
      </c>
      <c r="R71" s="4" t="e">
        <f>IF(AND(B71=1,N71&gt;'Line Follower'!$C$7,SUM(C71:K71)&lt;4),1,0)</f>
        <v>#N/A</v>
      </c>
      <c r="S71" s="4" t="e">
        <f>IF(AND(L71=1,N71&lt;'Line Follower'!$C$6,SUM(C71:K71)&lt;4),1,0)</f>
        <v>#N/A</v>
      </c>
      <c r="T71" s="4" t="e">
        <f t="shared" si="7"/>
        <v>#N/A</v>
      </c>
      <c r="U71" s="5" t="e">
        <f t="shared" si="8"/>
        <v>#N/A</v>
      </c>
      <c r="V71" s="23" t="e">
        <f t="shared" si="9"/>
        <v>#N/A</v>
      </c>
    </row>
    <row r="72" spans="2:22" x14ac:dyDescent="0.25">
      <c r="B72" s="16">
        <v>1</v>
      </c>
      <c r="C72" s="7">
        <v>0</v>
      </c>
      <c r="D72" s="8">
        <v>1</v>
      </c>
      <c r="E72" s="8">
        <v>0</v>
      </c>
      <c r="F72" s="8">
        <v>0</v>
      </c>
      <c r="G72" s="8">
        <v>0</v>
      </c>
      <c r="H72" s="8">
        <v>1</v>
      </c>
      <c r="I72" s="8">
        <v>0</v>
      </c>
      <c r="J72" s="8">
        <v>0</v>
      </c>
      <c r="K72" s="9">
        <v>0</v>
      </c>
      <c r="L72" s="10">
        <v>0</v>
      </c>
      <c r="M72" s="6">
        <v>0</v>
      </c>
      <c r="N72" s="37" t="e" cm="1">
        <f t="array" ref="N72">IF(OR(ISNUMBER(FIND(Aux!$D$3:$D$9,_xlfn.TEXTJOIN(,,C72:K72)))),NA(),IF(AND(SUM(C72:F72,H72:K72)=0,G72=1),0,INT((SUMPRODUCT(C72:F72,COLUMN($A$1:$D$1)-1)+SUMPRODUCT(H72:K72,COLUMN($E$1:$H$1)-1))*'Line Follower'!$C$3/SUM(C72:F72,H72:K72)-'Line Follower'!$C$5)))</f>
        <v>#N/A</v>
      </c>
      <c r="O72" s="22" t="e">
        <v>#N/A</v>
      </c>
      <c r="P72" s="4" t="e">
        <f t="shared" si="5"/>
        <v>#N/A</v>
      </c>
      <c r="Q72" s="4" t="e">
        <f t="shared" si="6"/>
        <v>#N/A</v>
      </c>
      <c r="R72" s="4" t="e">
        <f>IF(AND(B72=1,N72&gt;'Line Follower'!$C$7,SUM(C72:K72)&lt;4),1,0)</f>
        <v>#N/A</v>
      </c>
      <c r="S72" s="4" t="e">
        <f>IF(AND(L72=1,N72&lt;'Line Follower'!$C$6,SUM(C72:K72)&lt;4),1,0)</f>
        <v>#N/A</v>
      </c>
      <c r="T72" s="4" t="e">
        <f t="shared" si="7"/>
        <v>#N/A</v>
      </c>
      <c r="U72" s="5" t="e">
        <f t="shared" si="8"/>
        <v>#N/A</v>
      </c>
      <c r="V72" s="23" t="e">
        <f t="shared" si="9"/>
        <v>#N/A</v>
      </c>
    </row>
    <row r="73" spans="2:22" x14ac:dyDescent="0.25">
      <c r="B73" s="16">
        <v>0</v>
      </c>
      <c r="C73" s="7">
        <v>1</v>
      </c>
      <c r="D73" s="8">
        <v>1</v>
      </c>
      <c r="E73" s="8">
        <v>0</v>
      </c>
      <c r="F73" s="8">
        <v>0</v>
      </c>
      <c r="G73" s="8">
        <v>0</v>
      </c>
      <c r="H73" s="8">
        <v>1</v>
      </c>
      <c r="I73" s="8">
        <v>0</v>
      </c>
      <c r="J73" s="8">
        <v>0</v>
      </c>
      <c r="K73" s="9">
        <v>0</v>
      </c>
      <c r="L73" s="10">
        <v>0</v>
      </c>
      <c r="M73" s="6">
        <v>0</v>
      </c>
      <c r="N73" s="37" t="e" cm="1">
        <f t="array" ref="N73">IF(OR(ISNUMBER(FIND(Aux!$D$3:$D$9,_xlfn.TEXTJOIN(,,C73:K73)))),NA(),IF(AND(SUM(C73:F73,H73:K73)=0,G73=1),0,INT((SUMPRODUCT(C73:F73,COLUMN($A$1:$D$1)-1)+SUMPRODUCT(H73:K73,COLUMN($E$1:$H$1)-1))*'Line Follower'!$C$3/SUM(C73:F73,H73:K73)-'Line Follower'!$C$5)))</f>
        <v>#N/A</v>
      </c>
      <c r="O73" s="22" t="e">
        <v>#N/A</v>
      </c>
      <c r="P73" s="4" t="e">
        <f t="shared" si="5"/>
        <v>#N/A</v>
      </c>
      <c r="Q73" s="4" t="e">
        <f t="shared" si="6"/>
        <v>#N/A</v>
      </c>
      <c r="R73" s="4" t="e">
        <f>IF(AND(B73=1,N73&gt;'Line Follower'!$C$7,SUM(C73:K73)&lt;4),1,0)</f>
        <v>#N/A</v>
      </c>
      <c r="S73" s="4" t="e">
        <f>IF(AND(L73=1,N73&lt;'Line Follower'!$C$6,SUM(C73:K73)&lt;4),1,0)</f>
        <v>#N/A</v>
      </c>
      <c r="T73" s="4" t="e">
        <f t="shared" si="7"/>
        <v>#N/A</v>
      </c>
      <c r="U73" s="5" t="e">
        <f t="shared" si="8"/>
        <v>#N/A</v>
      </c>
      <c r="V73" s="23" t="e">
        <f t="shared" si="9"/>
        <v>#N/A</v>
      </c>
    </row>
    <row r="74" spans="2:22" x14ac:dyDescent="0.25">
      <c r="B74" s="16">
        <v>1</v>
      </c>
      <c r="C74" s="7">
        <v>1</v>
      </c>
      <c r="D74" s="8">
        <v>1</v>
      </c>
      <c r="E74" s="8">
        <v>0</v>
      </c>
      <c r="F74" s="8">
        <v>0</v>
      </c>
      <c r="G74" s="8">
        <v>0</v>
      </c>
      <c r="H74" s="8">
        <v>1</v>
      </c>
      <c r="I74" s="8">
        <v>0</v>
      </c>
      <c r="J74" s="8">
        <v>0</v>
      </c>
      <c r="K74" s="9">
        <v>0</v>
      </c>
      <c r="L74" s="10">
        <v>0</v>
      </c>
      <c r="M74" s="6">
        <v>0</v>
      </c>
      <c r="N74" s="37" t="e" cm="1">
        <f t="array" ref="N74">IF(OR(ISNUMBER(FIND(Aux!$D$3:$D$9,_xlfn.TEXTJOIN(,,C74:K74)))),NA(),IF(AND(SUM(C74:F74,H74:K74)=0,G74=1),0,INT((SUMPRODUCT(C74:F74,COLUMN($A$1:$D$1)-1)+SUMPRODUCT(H74:K74,COLUMN($E$1:$H$1)-1))*'Line Follower'!$C$3/SUM(C74:F74,H74:K74)-'Line Follower'!$C$5)))</f>
        <v>#N/A</v>
      </c>
      <c r="O74" s="22" t="e">
        <v>#N/A</v>
      </c>
      <c r="P74" s="4" t="e">
        <f t="shared" si="5"/>
        <v>#N/A</v>
      </c>
      <c r="Q74" s="4" t="e">
        <f t="shared" si="6"/>
        <v>#N/A</v>
      </c>
      <c r="R74" s="4" t="e">
        <f>IF(AND(B74=1,N74&gt;'Line Follower'!$C$7,SUM(C74:K74)&lt;4),1,0)</f>
        <v>#N/A</v>
      </c>
      <c r="S74" s="4" t="e">
        <f>IF(AND(L74=1,N74&lt;'Line Follower'!$C$6,SUM(C74:K74)&lt;4),1,0)</f>
        <v>#N/A</v>
      </c>
      <c r="T74" s="4" t="e">
        <f t="shared" si="7"/>
        <v>#N/A</v>
      </c>
      <c r="U74" s="5" t="e">
        <f t="shared" si="8"/>
        <v>#N/A</v>
      </c>
      <c r="V74" s="23" t="e">
        <f t="shared" si="9"/>
        <v>#N/A</v>
      </c>
    </row>
    <row r="75" spans="2:22" x14ac:dyDescent="0.25">
      <c r="B75" s="16">
        <v>0</v>
      </c>
      <c r="C75" s="7">
        <v>0</v>
      </c>
      <c r="D75" s="8">
        <v>0</v>
      </c>
      <c r="E75" s="8">
        <v>1</v>
      </c>
      <c r="F75" s="8">
        <v>0</v>
      </c>
      <c r="G75" s="8">
        <v>0</v>
      </c>
      <c r="H75" s="8">
        <v>1</v>
      </c>
      <c r="I75" s="8">
        <v>0</v>
      </c>
      <c r="J75" s="8">
        <v>0</v>
      </c>
      <c r="K75" s="9">
        <v>0</v>
      </c>
      <c r="L75" s="10">
        <v>0</v>
      </c>
      <c r="M75" s="6">
        <v>0</v>
      </c>
      <c r="N75" s="37" t="e" cm="1">
        <f t="array" ref="N75">IF(OR(ISNUMBER(FIND(Aux!$D$3:$D$9,_xlfn.TEXTJOIN(,,C75:K75)))),NA(),IF(AND(SUM(C75:F75,H75:K75)=0,G75=1),0,INT((SUMPRODUCT(C75:F75,COLUMN($A$1:$D$1)-1)+SUMPRODUCT(H75:K75,COLUMN($E$1:$H$1)-1))*'Line Follower'!$C$3/SUM(C75:F75,H75:K75)-'Line Follower'!$C$5)))</f>
        <v>#N/A</v>
      </c>
      <c r="O75" s="22" t="e">
        <v>#N/A</v>
      </c>
      <c r="P75" s="4" t="e">
        <f t="shared" si="5"/>
        <v>#N/A</v>
      </c>
      <c r="Q75" s="4" t="e">
        <f t="shared" si="6"/>
        <v>#N/A</v>
      </c>
      <c r="R75" s="4" t="e">
        <f>IF(AND(B75=1,N75&gt;'Line Follower'!$C$7,SUM(C75:K75)&lt;4),1,0)</f>
        <v>#N/A</v>
      </c>
      <c r="S75" s="4" t="e">
        <f>IF(AND(L75=1,N75&lt;'Line Follower'!$C$6,SUM(C75:K75)&lt;4),1,0)</f>
        <v>#N/A</v>
      </c>
      <c r="T75" s="4" t="e">
        <f t="shared" si="7"/>
        <v>#N/A</v>
      </c>
      <c r="U75" s="5" t="e">
        <f t="shared" si="8"/>
        <v>#N/A</v>
      </c>
      <c r="V75" s="23" t="e">
        <f t="shared" si="9"/>
        <v>#N/A</v>
      </c>
    </row>
    <row r="76" spans="2:22" x14ac:dyDescent="0.25">
      <c r="B76" s="16">
        <v>1</v>
      </c>
      <c r="C76" s="7">
        <v>0</v>
      </c>
      <c r="D76" s="8">
        <v>0</v>
      </c>
      <c r="E76" s="8">
        <v>1</v>
      </c>
      <c r="F76" s="8">
        <v>0</v>
      </c>
      <c r="G76" s="8">
        <v>0</v>
      </c>
      <c r="H76" s="8">
        <v>1</v>
      </c>
      <c r="I76" s="8">
        <v>0</v>
      </c>
      <c r="J76" s="8">
        <v>0</v>
      </c>
      <c r="K76" s="9">
        <v>0</v>
      </c>
      <c r="L76" s="10">
        <v>0</v>
      </c>
      <c r="M76" s="6">
        <v>0</v>
      </c>
      <c r="N76" s="37" t="e" cm="1">
        <f t="array" ref="N76">IF(OR(ISNUMBER(FIND(Aux!$D$3:$D$9,_xlfn.TEXTJOIN(,,C76:K76)))),NA(),IF(AND(SUM(C76:F76,H76:K76)=0,G76=1),0,INT((SUMPRODUCT(C76:F76,COLUMN($A$1:$D$1)-1)+SUMPRODUCT(H76:K76,COLUMN($E$1:$H$1)-1))*'Line Follower'!$C$3/SUM(C76:F76,H76:K76)-'Line Follower'!$C$5)))</f>
        <v>#N/A</v>
      </c>
      <c r="O76" s="22" t="e">
        <v>#N/A</v>
      </c>
      <c r="P76" s="4" t="e">
        <f t="shared" si="5"/>
        <v>#N/A</v>
      </c>
      <c r="Q76" s="4" t="e">
        <f t="shared" si="6"/>
        <v>#N/A</v>
      </c>
      <c r="R76" s="4" t="e">
        <f>IF(AND(B76=1,N76&gt;'Line Follower'!$C$7,SUM(C76:K76)&lt;4),1,0)</f>
        <v>#N/A</v>
      </c>
      <c r="S76" s="4" t="e">
        <f>IF(AND(L76=1,N76&lt;'Line Follower'!$C$6,SUM(C76:K76)&lt;4),1,0)</f>
        <v>#N/A</v>
      </c>
      <c r="T76" s="4" t="e">
        <f t="shared" si="7"/>
        <v>#N/A</v>
      </c>
      <c r="U76" s="5" t="e">
        <f t="shared" si="8"/>
        <v>#N/A</v>
      </c>
      <c r="V76" s="23" t="e">
        <f t="shared" si="9"/>
        <v>#N/A</v>
      </c>
    </row>
    <row r="77" spans="2:22" x14ac:dyDescent="0.25">
      <c r="B77" s="16">
        <v>0</v>
      </c>
      <c r="C77" s="7">
        <v>1</v>
      </c>
      <c r="D77" s="8">
        <v>0</v>
      </c>
      <c r="E77" s="8">
        <v>1</v>
      </c>
      <c r="F77" s="8">
        <v>0</v>
      </c>
      <c r="G77" s="8">
        <v>0</v>
      </c>
      <c r="H77" s="8">
        <v>1</v>
      </c>
      <c r="I77" s="8">
        <v>0</v>
      </c>
      <c r="J77" s="8">
        <v>0</v>
      </c>
      <c r="K77" s="9">
        <v>0</v>
      </c>
      <c r="L77" s="10">
        <v>0</v>
      </c>
      <c r="M77" s="6">
        <v>0</v>
      </c>
      <c r="N77" s="37" t="e" cm="1">
        <f t="array" ref="N77">IF(OR(ISNUMBER(FIND(Aux!$D$3:$D$9,_xlfn.TEXTJOIN(,,C77:K77)))),NA(),IF(AND(SUM(C77:F77,H77:K77)=0,G77=1),0,INT((SUMPRODUCT(C77:F77,COLUMN($A$1:$D$1)-1)+SUMPRODUCT(H77:K77,COLUMN($E$1:$H$1)-1))*'Line Follower'!$C$3/SUM(C77:F77,H77:K77)-'Line Follower'!$C$5)))</f>
        <v>#N/A</v>
      </c>
      <c r="O77" s="22" t="e">
        <v>#N/A</v>
      </c>
      <c r="P77" s="4" t="e">
        <f t="shared" si="5"/>
        <v>#N/A</v>
      </c>
      <c r="Q77" s="4" t="e">
        <f t="shared" si="6"/>
        <v>#N/A</v>
      </c>
      <c r="R77" s="4" t="e">
        <f>IF(AND(B77=1,N77&gt;'Line Follower'!$C$7,SUM(C77:K77)&lt;4),1,0)</f>
        <v>#N/A</v>
      </c>
      <c r="S77" s="4" t="e">
        <f>IF(AND(L77=1,N77&lt;'Line Follower'!$C$6,SUM(C77:K77)&lt;4),1,0)</f>
        <v>#N/A</v>
      </c>
      <c r="T77" s="4" t="e">
        <f t="shared" si="7"/>
        <v>#N/A</v>
      </c>
      <c r="U77" s="5" t="e">
        <f t="shared" si="8"/>
        <v>#N/A</v>
      </c>
      <c r="V77" s="23" t="e">
        <f t="shared" si="9"/>
        <v>#N/A</v>
      </c>
    </row>
    <row r="78" spans="2:22" x14ac:dyDescent="0.25">
      <c r="B78" s="16">
        <v>1</v>
      </c>
      <c r="C78" s="7">
        <v>1</v>
      </c>
      <c r="D78" s="8">
        <v>0</v>
      </c>
      <c r="E78" s="8">
        <v>1</v>
      </c>
      <c r="F78" s="8">
        <v>0</v>
      </c>
      <c r="G78" s="8">
        <v>0</v>
      </c>
      <c r="H78" s="8">
        <v>1</v>
      </c>
      <c r="I78" s="8">
        <v>0</v>
      </c>
      <c r="J78" s="8">
        <v>0</v>
      </c>
      <c r="K78" s="9">
        <v>0</v>
      </c>
      <c r="L78" s="10">
        <v>0</v>
      </c>
      <c r="M78" s="6">
        <v>0</v>
      </c>
      <c r="N78" s="37" t="e" cm="1">
        <f t="array" ref="N78">IF(OR(ISNUMBER(FIND(Aux!$D$3:$D$9,_xlfn.TEXTJOIN(,,C78:K78)))),NA(),IF(AND(SUM(C78:F78,H78:K78)=0,G78=1),0,INT((SUMPRODUCT(C78:F78,COLUMN($A$1:$D$1)-1)+SUMPRODUCT(H78:K78,COLUMN($E$1:$H$1)-1))*'Line Follower'!$C$3/SUM(C78:F78,H78:K78)-'Line Follower'!$C$5)))</f>
        <v>#N/A</v>
      </c>
      <c r="O78" s="22" t="e">
        <v>#N/A</v>
      </c>
      <c r="P78" s="4" t="e">
        <f t="shared" si="5"/>
        <v>#N/A</v>
      </c>
      <c r="Q78" s="4" t="e">
        <f t="shared" si="6"/>
        <v>#N/A</v>
      </c>
      <c r="R78" s="4" t="e">
        <f>IF(AND(B78=1,N78&gt;'Line Follower'!$C$7,SUM(C78:K78)&lt;4),1,0)</f>
        <v>#N/A</v>
      </c>
      <c r="S78" s="4" t="e">
        <f>IF(AND(L78=1,N78&lt;'Line Follower'!$C$6,SUM(C78:K78)&lt;4),1,0)</f>
        <v>#N/A</v>
      </c>
      <c r="T78" s="4" t="e">
        <f t="shared" si="7"/>
        <v>#N/A</v>
      </c>
      <c r="U78" s="5" t="e">
        <f t="shared" si="8"/>
        <v>#N/A</v>
      </c>
      <c r="V78" s="23" t="e">
        <f t="shared" si="9"/>
        <v>#N/A</v>
      </c>
    </row>
    <row r="79" spans="2:22" x14ac:dyDescent="0.25">
      <c r="B79" s="16">
        <v>0</v>
      </c>
      <c r="C79" s="7">
        <v>0</v>
      </c>
      <c r="D79" s="8">
        <v>1</v>
      </c>
      <c r="E79" s="8">
        <v>1</v>
      </c>
      <c r="F79" s="8">
        <v>0</v>
      </c>
      <c r="G79" s="8">
        <v>0</v>
      </c>
      <c r="H79" s="8">
        <v>1</v>
      </c>
      <c r="I79" s="8">
        <v>0</v>
      </c>
      <c r="J79" s="8">
        <v>0</v>
      </c>
      <c r="K79" s="9">
        <v>0</v>
      </c>
      <c r="L79" s="10">
        <v>0</v>
      </c>
      <c r="M79" s="6">
        <v>0</v>
      </c>
      <c r="N79" s="37" t="e" cm="1">
        <f t="array" ref="N79">IF(OR(ISNUMBER(FIND(Aux!$D$3:$D$9,_xlfn.TEXTJOIN(,,C79:K79)))),NA(),IF(AND(SUM(C79:F79,H79:K79)=0,G79=1),0,INT((SUMPRODUCT(C79:F79,COLUMN($A$1:$D$1)-1)+SUMPRODUCT(H79:K79,COLUMN($E$1:$H$1)-1))*'Line Follower'!$C$3/SUM(C79:F79,H79:K79)-'Line Follower'!$C$5)))</f>
        <v>#N/A</v>
      </c>
      <c r="O79" s="22" t="e">
        <v>#N/A</v>
      </c>
      <c r="P79" s="4" t="e">
        <f t="shared" si="5"/>
        <v>#N/A</v>
      </c>
      <c r="Q79" s="4" t="e">
        <f t="shared" si="6"/>
        <v>#N/A</v>
      </c>
      <c r="R79" s="4" t="e">
        <f>IF(AND(B79=1,N79&gt;'Line Follower'!$C$7,SUM(C79:K79)&lt;4),1,0)</f>
        <v>#N/A</v>
      </c>
      <c r="S79" s="4" t="e">
        <f>IF(AND(L79=1,N79&lt;'Line Follower'!$C$6,SUM(C79:K79)&lt;4),1,0)</f>
        <v>#N/A</v>
      </c>
      <c r="T79" s="4" t="e">
        <f t="shared" si="7"/>
        <v>#N/A</v>
      </c>
      <c r="U79" s="5" t="e">
        <f t="shared" si="8"/>
        <v>#N/A</v>
      </c>
      <c r="V79" s="23" t="e">
        <f t="shared" si="9"/>
        <v>#N/A</v>
      </c>
    </row>
    <row r="80" spans="2:22" x14ac:dyDescent="0.25">
      <c r="B80" s="16">
        <v>1</v>
      </c>
      <c r="C80" s="7">
        <v>0</v>
      </c>
      <c r="D80" s="8">
        <v>1</v>
      </c>
      <c r="E80" s="8">
        <v>1</v>
      </c>
      <c r="F80" s="8">
        <v>0</v>
      </c>
      <c r="G80" s="8">
        <v>0</v>
      </c>
      <c r="H80" s="8">
        <v>1</v>
      </c>
      <c r="I80" s="8">
        <v>0</v>
      </c>
      <c r="J80" s="8">
        <v>0</v>
      </c>
      <c r="K80" s="9">
        <v>0</v>
      </c>
      <c r="L80" s="10">
        <v>0</v>
      </c>
      <c r="M80" s="6">
        <v>0</v>
      </c>
      <c r="N80" s="37" t="e" cm="1">
        <f t="array" ref="N80">IF(OR(ISNUMBER(FIND(Aux!$D$3:$D$9,_xlfn.TEXTJOIN(,,C80:K80)))),NA(),IF(AND(SUM(C80:F80,H80:K80)=0,G80=1),0,INT((SUMPRODUCT(C80:F80,COLUMN($A$1:$D$1)-1)+SUMPRODUCT(H80:K80,COLUMN($E$1:$H$1)-1))*'Line Follower'!$C$3/SUM(C80:F80,H80:K80)-'Line Follower'!$C$5)))</f>
        <v>#N/A</v>
      </c>
      <c r="O80" s="22" t="e">
        <v>#N/A</v>
      </c>
      <c r="P80" s="4" t="e">
        <f t="shared" si="5"/>
        <v>#N/A</v>
      </c>
      <c r="Q80" s="4" t="e">
        <f t="shared" si="6"/>
        <v>#N/A</v>
      </c>
      <c r="R80" s="4" t="e">
        <f>IF(AND(B80=1,N80&gt;'Line Follower'!$C$7,SUM(C80:K80)&lt;4),1,0)</f>
        <v>#N/A</v>
      </c>
      <c r="S80" s="4" t="e">
        <f>IF(AND(L80=1,N80&lt;'Line Follower'!$C$6,SUM(C80:K80)&lt;4),1,0)</f>
        <v>#N/A</v>
      </c>
      <c r="T80" s="4" t="e">
        <f t="shared" si="7"/>
        <v>#N/A</v>
      </c>
      <c r="U80" s="5" t="e">
        <f t="shared" si="8"/>
        <v>#N/A</v>
      </c>
      <c r="V80" s="23" t="e">
        <f t="shared" si="9"/>
        <v>#N/A</v>
      </c>
    </row>
    <row r="81" spans="2:22" x14ac:dyDescent="0.25">
      <c r="B81" s="16">
        <v>0</v>
      </c>
      <c r="C81" s="7">
        <v>1</v>
      </c>
      <c r="D81" s="8">
        <v>1</v>
      </c>
      <c r="E81" s="8">
        <v>1</v>
      </c>
      <c r="F81" s="8">
        <v>0</v>
      </c>
      <c r="G81" s="8">
        <v>0</v>
      </c>
      <c r="H81" s="8">
        <v>1</v>
      </c>
      <c r="I81" s="8">
        <v>0</v>
      </c>
      <c r="J81" s="8">
        <v>0</v>
      </c>
      <c r="K81" s="9">
        <v>0</v>
      </c>
      <c r="L81" s="10">
        <v>0</v>
      </c>
      <c r="M81" s="6">
        <v>0</v>
      </c>
      <c r="N81" s="37" t="e" cm="1">
        <f t="array" ref="N81">IF(OR(ISNUMBER(FIND(Aux!$D$3:$D$9,_xlfn.TEXTJOIN(,,C81:K81)))),NA(),IF(AND(SUM(C81:F81,H81:K81)=0,G81=1),0,INT((SUMPRODUCT(C81:F81,COLUMN($A$1:$D$1)-1)+SUMPRODUCT(H81:K81,COLUMN($E$1:$H$1)-1))*'Line Follower'!$C$3/SUM(C81:F81,H81:K81)-'Line Follower'!$C$5)))</f>
        <v>#N/A</v>
      </c>
      <c r="O81" s="22" t="e">
        <v>#N/A</v>
      </c>
      <c r="P81" s="4" t="e">
        <f t="shared" si="5"/>
        <v>#N/A</v>
      </c>
      <c r="Q81" s="4" t="e">
        <f t="shared" si="6"/>
        <v>#N/A</v>
      </c>
      <c r="R81" s="4" t="e">
        <f>IF(AND(B81=1,N81&gt;'Line Follower'!$C$7,SUM(C81:K81)&lt;4),1,0)</f>
        <v>#N/A</v>
      </c>
      <c r="S81" s="4" t="e">
        <f>IF(AND(L81=1,N81&lt;'Line Follower'!$C$6,SUM(C81:K81)&lt;4),1,0)</f>
        <v>#N/A</v>
      </c>
      <c r="T81" s="4" t="e">
        <f t="shared" si="7"/>
        <v>#N/A</v>
      </c>
      <c r="U81" s="5" t="e">
        <f t="shared" si="8"/>
        <v>#N/A</v>
      </c>
      <c r="V81" s="23" t="e">
        <f t="shared" si="9"/>
        <v>#N/A</v>
      </c>
    </row>
    <row r="82" spans="2:22" x14ac:dyDescent="0.25">
      <c r="B82" s="16">
        <v>1</v>
      </c>
      <c r="C82" s="7">
        <v>1</v>
      </c>
      <c r="D82" s="8">
        <v>1</v>
      </c>
      <c r="E82" s="8">
        <v>1</v>
      </c>
      <c r="F82" s="8">
        <v>0</v>
      </c>
      <c r="G82" s="8">
        <v>0</v>
      </c>
      <c r="H82" s="8">
        <v>1</v>
      </c>
      <c r="I82" s="8">
        <v>0</v>
      </c>
      <c r="J82" s="8">
        <v>0</v>
      </c>
      <c r="K82" s="9">
        <v>0</v>
      </c>
      <c r="L82" s="10">
        <v>0</v>
      </c>
      <c r="M82" s="6">
        <v>0</v>
      </c>
      <c r="N82" s="37" t="e" cm="1">
        <f t="array" ref="N82">IF(OR(ISNUMBER(FIND(Aux!$D$3:$D$9,_xlfn.TEXTJOIN(,,C82:K82)))),NA(),IF(AND(SUM(C82:F82,H82:K82)=0,G82=1),0,INT((SUMPRODUCT(C82:F82,COLUMN($A$1:$D$1)-1)+SUMPRODUCT(H82:K82,COLUMN($E$1:$H$1)-1))*'Line Follower'!$C$3/SUM(C82:F82,H82:K82)-'Line Follower'!$C$5)))</f>
        <v>#N/A</v>
      </c>
      <c r="O82" s="22" t="e">
        <v>#N/A</v>
      </c>
      <c r="P82" s="4" t="e">
        <f t="shared" si="5"/>
        <v>#N/A</v>
      </c>
      <c r="Q82" s="4" t="e">
        <f t="shared" si="6"/>
        <v>#N/A</v>
      </c>
      <c r="R82" s="4" t="e">
        <f>IF(AND(B82=1,N82&gt;'Line Follower'!$C$7,SUM(C82:K82)&lt;4),1,0)</f>
        <v>#N/A</v>
      </c>
      <c r="S82" s="4" t="e">
        <f>IF(AND(L82=1,N82&lt;'Line Follower'!$C$6,SUM(C82:K82)&lt;4),1,0)</f>
        <v>#N/A</v>
      </c>
      <c r="T82" s="4" t="e">
        <f t="shared" si="7"/>
        <v>#N/A</v>
      </c>
      <c r="U82" s="5" t="e">
        <f t="shared" si="8"/>
        <v>#N/A</v>
      </c>
      <c r="V82" s="23" t="e">
        <f t="shared" si="9"/>
        <v>#N/A</v>
      </c>
    </row>
    <row r="83" spans="2:22" x14ac:dyDescent="0.25">
      <c r="B83" s="16">
        <v>0</v>
      </c>
      <c r="C83" s="7">
        <v>0</v>
      </c>
      <c r="D83" s="8">
        <v>0</v>
      </c>
      <c r="E83" s="8">
        <v>0</v>
      </c>
      <c r="F83" s="8">
        <v>1</v>
      </c>
      <c r="G83" s="8">
        <v>0</v>
      </c>
      <c r="H83" s="8">
        <v>1</v>
      </c>
      <c r="I83" s="8">
        <v>0</v>
      </c>
      <c r="J83" s="8">
        <v>0</v>
      </c>
      <c r="K83" s="9">
        <v>0</v>
      </c>
      <c r="L83" s="10">
        <v>0</v>
      </c>
      <c r="M83" s="6">
        <v>0</v>
      </c>
      <c r="N83" s="37" t="e" cm="1">
        <f t="array" ref="N83">IF(OR(ISNUMBER(FIND(Aux!$D$3:$D$9,_xlfn.TEXTJOIN(,,C83:K83)))),NA(),IF(AND(SUM(C83:F83,H83:K83)=0,G83=1),0,INT((SUMPRODUCT(C83:F83,COLUMN($A$1:$D$1)-1)+SUMPRODUCT(H83:K83,COLUMN($E$1:$H$1)-1))*'Line Follower'!$C$3/SUM(C83:F83,H83:K83)-'Line Follower'!$C$5)))</f>
        <v>#N/A</v>
      </c>
      <c r="O83" s="22" t="e">
        <v>#N/A</v>
      </c>
      <c r="P83" s="4" t="e">
        <f t="shared" si="5"/>
        <v>#N/A</v>
      </c>
      <c r="Q83" s="4" t="e">
        <f t="shared" si="6"/>
        <v>#N/A</v>
      </c>
      <c r="R83" s="4" t="e">
        <f>IF(AND(B83=1,N83&gt;'Line Follower'!$C$7,SUM(C83:K83)&lt;4),1,0)</f>
        <v>#N/A</v>
      </c>
      <c r="S83" s="4" t="e">
        <f>IF(AND(L83=1,N83&lt;'Line Follower'!$C$6,SUM(C83:K83)&lt;4),1,0)</f>
        <v>#N/A</v>
      </c>
      <c r="T83" s="4" t="e">
        <f t="shared" si="7"/>
        <v>#N/A</v>
      </c>
      <c r="U83" s="5" t="e">
        <f t="shared" si="8"/>
        <v>#N/A</v>
      </c>
      <c r="V83" s="23" t="e">
        <f t="shared" si="9"/>
        <v>#N/A</v>
      </c>
    </row>
    <row r="84" spans="2:22" x14ac:dyDescent="0.25">
      <c r="B84" s="16">
        <v>1</v>
      </c>
      <c r="C84" s="7">
        <v>0</v>
      </c>
      <c r="D84" s="8">
        <v>0</v>
      </c>
      <c r="E84" s="8">
        <v>0</v>
      </c>
      <c r="F84" s="8">
        <v>1</v>
      </c>
      <c r="G84" s="8">
        <v>0</v>
      </c>
      <c r="H84" s="8">
        <v>1</v>
      </c>
      <c r="I84" s="8">
        <v>0</v>
      </c>
      <c r="J84" s="8">
        <v>0</v>
      </c>
      <c r="K84" s="9">
        <v>0</v>
      </c>
      <c r="L84" s="10">
        <v>0</v>
      </c>
      <c r="M84" s="6">
        <v>0</v>
      </c>
      <c r="N84" s="37" t="e" cm="1">
        <f t="array" ref="N84">IF(OR(ISNUMBER(FIND(Aux!$D$3:$D$9,_xlfn.TEXTJOIN(,,C84:K84)))),NA(),IF(AND(SUM(C84:F84,H84:K84)=0,G84=1),0,INT((SUMPRODUCT(C84:F84,COLUMN($A$1:$D$1)-1)+SUMPRODUCT(H84:K84,COLUMN($E$1:$H$1)-1))*'Line Follower'!$C$3/SUM(C84:F84,H84:K84)-'Line Follower'!$C$5)))</f>
        <v>#N/A</v>
      </c>
      <c r="O84" s="22" t="e">
        <v>#N/A</v>
      </c>
      <c r="P84" s="4" t="e">
        <f t="shared" si="5"/>
        <v>#N/A</v>
      </c>
      <c r="Q84" s="4" t="e">
        <f t="shared" si="6"/>
        <v>#N/A</v>
      </c>
      <c r="R84" s="4" t="e">
        <f>IF(AND(B84=1,N84&gt;'Line Follower'!$C$7,SUM(C84:K84)&lt;4),1,0)</f>
        <v>#N/A</v>
      </c>
      <c r="S84" s="4" t="e">
        <f>IF(AND(L84=1,N84&lt;'Line Follower'!$C$6,SUM(C84:K84)&lt;4),1,0)</f>
        <v>#N/A</v>
      </c>
      <c r="T84" s="4" t="e">
        <f t="shared" si="7"/>
        <v>#N/A</v>
      </c>
      <c r="U84" s="5" t="e">
        <f t="shared" si="8"/>
        <v>#N/A</v>
      </c>
      <c r="V84" s="23" t="e">
        <f t="shared" si="9"/>
        <v>#N/A</v>
      </c>
    </row>
    <row r="85" spans="2:22" x14ac:dyDescent="0.25">
      <c r="B85" s="16">
        <v>0</v>
      </c>
      <c r="C85" s="7">
        <v>1</v>
      </c>
      <c r="D85" s="8">
        <v>0</v>
      </c>
      <c r="E85" s="8">
        <v>0</v>
      </c>
      <c r="F85" s="8">
        <v>1</v>
      </c>
      <c r="G85" s="8">
        <v>0</v>
      </c>
      <c r="H85" s="8">
        <v>1</v>
      </c>
      <c r="I85" s="8">
        <v>0</v>
      </c>
      <c r="J85" s="8">
        <v>0</v>
      </c>
      <c r="K85" s="9">
        <v>0</v>
      </c>
      <c r="L85" s="10">
        <v>0</v>
      </c>
      <c r="M85" s="6">
        <v>0</v>
      </c>
      <c r="N85" s="37" t="e" cm="1">
        <f t="array" ref="N85">IF(OR(ISNUMBER(FIND(Aux!$D$3:$D$9,_xlfn.TEXTJOIN(,,C85:K85)))),NA(),IF(AND(SUM(C85:F85,H85:K85)=0,G85=1),0,INT((SUMPRODUCT(C85:F85,COLUMN($A$1:$D$1)-1)+SUMPRODUCT(H85:K85,COLUMN($E$1:$H$1)-1))*'Line Follower'!$C$3/SUM(C85:F85,H85:K85)-'Line Follower'!$C$5)))</f>
        <v>#N/A</v>
      </c>
      <c r="O85" s="22" t="e">
        <v>#N/A</v>
      </c>
      <c r="P85" s="4" t="e">
        <f t="shared" si="5"/>
        <v>#N/A</v>
      </c>
      <c r="Q85" s="4" t="e">
        <f t="shared" si="6"/>
        <v>#N/A</v>
      </c>
      <c r="R85" s="4" t="e">
        <f>IF(AND(B85=1,N85&gt;'Line Follower'!$C$7,SUM(C85:K85)&lt;4),1,0)</f>
        <v>#N/A</v>
      </c>
      <c r="S85" s="4" t="e">
        <f>IF(AND(L85=1,N85&lt;'Line Follower'!$C$6,SUM(C85:K85)&lt;4),1,0)</f>
        <v>#N/A</v>
      </c>
      <c r="T85" s="4" t="e">
        <f t="shared" si="7"/>
        <v>#N/A</v>
      </c>
      <c r="U85" s="5" t="e">
        <f t="shared" si="8"/>
        <v>#N/A</v>
      </c>
      <c r="V85" s="23" t="e">
        <f t="shared" si="9"/>
        <v>#N/A</v>
      </c>
    </row>
    <row r="86" spans="2:22" x14ac:dyDescent="0.25">
      <c r="B86" s="16">
        <v>1</v>
      </c>
      <c r="C86" s="7">
        <v>1</v>
      </c>
      <c r="D86" s="8">
        <v>0</v>
      </c>
      <c r="E86" s="8">
        <v>0</v>
      </c>
      <c r="F86" s="8">
        <v>1</v>
      </c>
      <c r="G86" s="8">
        <v>0</v>
      </c>
      <c r="H86" s="8">
        <v>1</v>
      </c>
      <c r="I86" s="8">
        <v>0</v>
      </c>
      <c r="J86" s="8">
        <v>0</v>
      </c>
      <c r="K86" s="9">
        <v>0</v>
      </c>
      <c r="L86" s="10">
        <v>0</v>
      </c>
      <c r="M86" s="6">
        <v>0</v>
      </c>
      <c r="N86" s="37" t="e" cm="1">
        <f t="array" ref="N86">IF(OR(ISNUMBER(FIND(Aux!$D$3:$D$9,_xlfn.TEXTJOIN(,,C86:K86)))),NA(),IF(AND(SUM(C86:F86,H86:K86)=0,G86=1),0,INT((SUMPRODUCT(C86:F86,COLUMN($A$1:$D$1)-1)+SUMPRODUCT(H86:K86,COLUMN($E$1:$H$1)-1))*'Line Follower'!$C$3/SUM(C86:F86,H86:K86)-'Line Follower'!$C$5)))</f>
        <v>#N/A</v>
      </c>
      <c r="O86" s="22" t="e">
        <v>#N/A</v>
      </c>
      <c r="P86" s="4" t="e">
        <f t="shared" si="5"/>
        <v>#N/A</v>
      </c>
      <c r="Q86" s="4" t="e">
        <f t="shared" si="6"/>
        <v>#N/A</v>
      </c>
      <c r="R86" s="4" t="e">
        <f>IF(AND(B86=1,N86&gt;'Line Follower'!$C$7,SUM(C86:K86)&lt;4),1,0)</f>
        <v>#N/A</v>
      </c>
      <c r="S86" s="4" t="e">
        <f>IF(AND(L86=1,N86&lt;'Line Follower'!$C$6,SUM(C86:K86)&lt;4),1,0)</f>
        <v>#N/A</v>
      </c>
      <c r="T86" s="4" t="e">
        <f t="shared" si="7"/>
        <v>#N/A</v>
      </c>
      <c r="U86" s="5" t="e">
        <f t="shared" si="8"/>
        <v>#N/A</v>
      </c>
      <c r="V86" s="23" t="e">
        <f t="shared" si="9"/>
        <v>#N/A</v>
      </c>
    </row>
    <row r="87" spans="2:22" x14ac:dyDescent="0.25">
      <c r="B87" s="16">
        <v>0</v>
      </c>
      <c r="C87" s="7">
        <v>0</v>
      </c>
      <c r="D87" s="8">
        <v>1</v>
      </c>
      <c r="E87" s="8">
        <v>0</v>
      </c>
      <c r="F87" s="8">
        <v>1</v>
      </c>
      <c r="G87" s="8">
        <v>0</v>
      </c>
      <c r="H87" s="8">
        <v>1</v>
      </c>
      <c r="I87" s="8">
        <v>0</v>
      </c>
      <c r="J87" s="8">
        <v>0</v>
      </c>
      <c r="K87" s="9">
        <v>0</v>
      </c>
      <c r="L87" s="10">
        <v>0</v>
      </c>
      <c r="M87" s="6">
        <v>0</v>
      </c>
      <c r="N87" s="37" t="e" cm="1">
        <f t="array" ref="N87">IF(OR(ISNUMBER(FIND(Aux!$D$3:$D$9,_xlfn.TEXTJOIN(,,C87:K87)))),NA(),IF(AND(SUM(C87:F87,H87:K87)=0,G87=1),0,INT((SUMPRODUCT(C87:F87,COLUMN($A$1:$D$1)-1)+SUMPRODUCT(H87:K87,COLUMN($E$1:$H$1)-1))*'Line Follower'!$C$3/SUM(C87:F87,H87:K87)-'Line Follower'!$C$5)))</f>
        <v>#N/A</v>
      </c>
      <c r="O87" s="22" t="e">
        <v>#N/A</v>
      </c>
      <c r="P87" s="4" t="e">
        <f t="shared" si="5"/>
        <v>#N/A</v>
      </c>
      <c r="Q87" s="4" t="e">
        <f t="shared" si="6"/>
        <v>#N/A</v>
      </c>
      <c r="R87" s="4" t="e">
        <f>IF(AND(B87=1,N87&gt;'Line Follower'!$C$7,SUM(C87:K87)&lt;4),1,0)</f>
        <v>#N/A</v>
      </c>
      <c r="S87" s="4" t="e">
        <f>IF(AND(L87=1,N87&lt;'Line Follower'!$C$6,SUM(C87:K87)&lt;4),1,0)</f>
        <v>#N/A</v>
      </c>
      <c r="T87" s="4" t="e">
        <f t="shared" si="7"/>
        <v>#N/A</v>
      </c>
      <c r="U87" s="5" t="e">
        <f t="shared" si="8"/>
        <v>#N/A</v>
      </c>
      <c r="V87" s="23" t="e">
        <f t="shared" si="9"/>
        <v>#N/A</v>
      </c>
    </row>
    <row r="88" spans="2:22" x14ac:dyDescent="0.25">
      <c r="B88" s="16">
        <v>1</v>
      </c>
      <c r="C88" s="7">
        <v>0</v>
      </c>
      <c r="D88" s="8">
        <v>1</v>
      </c>
      <c r="E88" s="8">
        <v>0</v>
      </c>
      <c r="F88" s="8">
        <v>1</v>
      </c>
      <c r="G88" s="8">
        <v>0</v>
      </c>
      <c r="H88" s="8">
        <v>1</v>
      </c>
      <c r="I88" s="8">
        <v>0</v>
      </c>
      <c r="J88" s="8">
        <v>0</v>
      </c>
      <c r="K88" s="9">
        <v>0</v>
      </c>
      <c r="L88" s="10">
        <v>0</v>
      </c>
      <c r="M88" s="6">
        <v>0</v>
      </c>
      <c r="N88" s="37" t="e" cm="1">
        <f t="array" ref="N88">IF(OR(ISNUMBER(FIND(Aux!$D$3:$D$9,_xlfn.TEXTJOIN(,,C88:K88)))),NA(),IF(AND(SUM(C88:F88,H88:K88)=0,G88=1),0,INT((SUMPRODUCT(C88:F88,COLUMN($A$1:$D$1)-1)+SUMPRODUCT(H88:K88,COLUMN($E$1:$H$1)-1))*'Line Follower'!$C$3/SUM(C88:F88,H88:K88)-'Line Follower'!$C$5)))</f>
        <v>#N/A</v>
      </c>
      <c r="O88" s="22" t="e">
        <v>#N/A</v>
      </c>
      <c r="P88" s="4" t="e">
        <f t="shared" si="5"/>
        <v>#N/A</v>
      </c>
      <c r="Q88" s="4" t="e">
        <f t="shared" si="6"/>
        <v>#N/A</v>
      </c>
      <c r="R88" s="4" t="e">
        <f>IF(AND(B88=1,N88&gt;'Line Follower'!$C$7,SUM(C88:K88)&lt;4),1,0)</f>
        <v>#N/A</v>
      </c>
      <c r="S88" s="4" t="e">
        <f>IF(AND(L88=1,N88&lt;'Line Follower'!$C$6,SUM(C88:K88)&lt;4),1,0)</f>
        <v>#N/A</v>
      </c>
      <c r="T88" s="4" t="e">
        <f t="shared" si="7"/>
        <v>#N/A</v>
      </c>
      <c r="U88" s="5" t="e">
        <f t="shared" si="8"/>
        <v>#N/A</v>
      </c>
      <c r="V88" s="23" t="e">
        <f t="shared" si="9"/>
        <v>#N/A</v>
      </c>
    </row>
    <row r="89" spans="2:22" x14ac:dyDescent="0.25">
      <c r="B89" s="16">
        <v>0</v>
      </c>
      <c r="C89" s="7">
        <v>1</v>
      </c>
      <c r="D89" s="8">
        <v>1</v>
      </c>
      <c r="E89" s="8">
        <v>0</v>
      </c>
      <c r="F89" s="8">
        <v>1</v>
      </c>
      <c r="G89" s="8">
        <v>0</v>
      </c>
      <c r="H89" s="8">
        <v>1</v>
      </c>
      <c r="I89" s="8">
        <v>0</v>
      </c>
      <c r="J89" s="8">
        <v>0</v>
      </c>
      <c r="K89" s="9">
        <v>0</v>
      </c>
      <c r="L89" s="10">
        <v>0</v>
      </c>
      <c r="M89" s="6">
        <v>0</v>
      </c>
      <c r="N89" s="37" t="e" cm="1">
        <f t="array" ref="N89">IF(OR(ISNUMBER(FIND(Aux!$D$3:$D$9,_xlfn.TEXTJOIN(,,C89:K89)))),NA(),IF(AND(SUM(C89:F89,H89:K89)=0,G89=1),0,INT((SUMPRODUCT(C89:F89,COLUMN($A$1:$D$1)-1)+SUMPRODUCT(H89:K89,COLUMN($E$1:$H$1)-1))*'Line Follower'!$C$3/SUM(C89:F89,H89:K89)-'Line Follower'!$C$5)))</f>
        <v>#N/A</v>
      </c>
      <c r="O89" s="22" t="e">
        <v>#N/A</v>
      </c>
      <c r="P89" s="4" t="e">
        <f t="shared" si="5"/>
        <v>#N/A</v>
      </c>
      <c r="Q89" s="4" t="e">
        <f t="shared" si="6"/>
        <v>#N/A</v>
      </c>
      <c r="R89" s="4" t="e">
        <f>IF(AND(B89=1,N89&gt;'Line Follower'!$C$7,SUM(C89:K89)&lt;4),1,0)</f>
        <v>#N/A</v>
      </c>
      <c r="S89" s="4" t="e">
        <f>IF(AND(L89=1,N89&lt;'Line Follower'!$C$6,SUM(C89:K89)&lt;4),1,0)</f>
        <v>#N/A</v>
      </c>
      <c r="T89" s="4" t="e">
        <f t="shared" si="7"/>
        <v>#N/A</v>
      </c>
      <c r="U89" s="5" t="e">
        <f t="shared" si="8"/>
        <v>#N/A</v>
      </c>
      <c r="V89" s="23" t="e">
        <f t="shared" si="9"/>
        <v>#N/A</v>
      </c>
    </row>
    <row r="90" spans="2:22" x14ac:dyDescent="0.25">
      <c r="B90" s="16">
        <v>1</v>
      </c>
      <c r="C90" s="7">
        <v>1</v>
      </c>
      <c r="D90" s="8">
        <v>1</v>
      </c>
      <c r="E90" s="8">
        <v>0</v>
      </c>
      <c r="F90" s="8">
        <v>1</v>
      </c>
      <c r="G90" s="8">
        <v>0</v>
      </c>
      <c r="H90" s="8">
        <v>1</v>
      </c>
      <c r="I90" s="8">
        <v>0</v>
      </c>
      <c r="J90" s="8">
        <v>0</v>
      </c>
      <c r="K90" s="9">
        <v>0</v>
      </c>
      <c r="L90" s="10">
        <v>0</v>
      </c>
      <c r="M90" s="6">
        <v>0</v>
      </c>
      <c r="N90" s="37" t="e" cm="1">
        <f t="array" ref="N90">IF(OR(ISNUMBER(FIND(Aux!$D$3:$D$9,_xlfn.TEXTJOIN(,,C90:K90)))),NA(),IF(AND(SUM(C90:F90,H90:K90)=0,G90=1),0,INT((SUMPRODUCT(C90:F90,COLUMN($A$1:$D$1)-1)+SUMPRODUCT(H90:K90,COLUMN($E$1:$H$1)-1))*'Line Follower'!$C$3/SUM(C90:F90,H90:K90)-'Line Follower'!$C$5)))</f>
        <v>#N/A</v>
      </c>
      <c r="O90" s="22" t="e">
        <v>#N/A</v>
      </c>
      <c r="P90" s="4" t="e">
        <f t="shared" si="5"/>
        <v>#N/A</v>
      </c>
      <c r="Q90" s="4" t="e">
        <f t="shared" si="6"/>
        <v>#N/A</v>
      </c>
      <c r="R90" s="4" t="e">
        <f>IF(AND(B90=1,N90&gt;'Line Follower'!$C$7,SUM(C90:K90)&lt;4),1,0)</f>
        <v>#N/A</v>
      </c>
      <c r="S90" s="4" t="e">
        <f>IF(AND(L90=1,N90&lt;'Line Follower'!$C$6,SUM(C90:K90)&lt;4),1,0)</f>
        <v>#N/A</v>
      </c>
      <c r="T90" s="4" t="e">
        <f t="shared" si="7"/>
        <v>#N/A</v>
      </c>
      <c r="U90" s="5" t="e">
        <f t="shared" si="8"/>
        <v>#N/A</v>
      </c>
      <c r="V90" s="23" t="e">
        <f t="shared" si="9"/>
        <v>#N/A</v>
      </c>
    </row>
    <row r="91" spans="2:22" x14ac:dyDescent="0.25">
      <c r="B91" s="16">
        <v>0</v>
      </c>
      <c r="C91" s="7">
        <v>0</v>
      </c>
      <c r="D91" s="8">
        <v>0</v>
      </c>
      <c r="E91" s="8">
        <v>1</v>
      </c>
      <c r="F91" s="8">
        <v>1</v>
      </c>
      <c r="G91" s="8">
        <v>0</v>
      </c>
      <c r="H91" s="8">
        <v>1</v>
      </c>
      <c r="I91" s="8">
        <v>0</v>
      </c>
      <c r="J91" s="8">
        <v>0</v>
      </c>
      <c r="K91" s="9">
        <v>0</v>
      </c>
      <c r="L91" s="10">
        <v>0</v>
      </c>
      <c r="M91" s="6">
        <v>0</v>
      </c>
      <c r="N91" s="37" t="e" cm="1">
        <f t="array" ref="N91">IF(OR(ISNUMBER(FIND(Aux!$D$3:$D$9,_xlfn.TEXTJOIN(,,C91:K91)))),NA(),IF(AND(SUM(C91:F91,H91:K91)=0,G91=1),0,INT((SUMPRODUCT(C91:F91,COLUMN($A$1:$D$1)-1)+SUMPRODUCT(H91:K91,COLUMN($E$1:$H$1)-1))*'Line Follower'!$C$3/SUM(C91:F91,H91:K91)-'Line Follower'!$C$5)))</f>
        <v>#N/A</v>
      </c>
      <c r="O91" s="22" t="e">
        <v>#N/A</v>
      </c>
      <c r="P91" s="4" t="e">
        <f t="shared" si="5"/>
        <v>#N/A</v>
      </c>
      <c r="Q91" s="4" t="e">
        <f t="shared" si="6"/>
        <v>#N/A</v>
      </c>
      <c r="R91" s="4" t="e">
        <f>IF(AND(B91=1,N91&gt;'Line Follower'!$C$7,SUM(C91:K91)&lt;4),1,0)</f>
        <v>#N/A</v>
      </c>
      <c r="S91" s="4" t="e">
        <f>IF(AND(L91=1,N91&lt;'Line Follower'!$C$6,SUM(C91:K91)&lt;4),1,0)</f>
        <v>#N/A</v>
      </c>
      <c r="T91" s="4" t="e">
        <f t="shared" si="7"/>
        <v>#N/A</v>
      </c>
      <c r="U91" s="5" t="e">
        <f t="shared" si="8"/>
        <v>#N/A</v>
      </c>
      <c r="V91" s="23" t="e">
        <f t="shared" si="9"/>
        <v>#N/A</v>
      </c>
    </row>
    <row r="92" spans="2:22" x14ac:dyDescent="0.25">
      <c r="B92" s="16">
        <v>1</v>
      </c>
      <c r="C92" s="7">
        <v>0</v>
      </c>
      <c r="D92" s="8">
        <v>0</v>
      </c>
      <c r="E92" s="8">
        <v>1</v>
      </c>
      <c r="F92" s="8">
        <v>1</v>
      </c>
      <c r="G92" s="8">
        <v>0</v>
      </c>
      <c r="H92" s="8">
        <v>1</v>
      </c>
      <c r="I92" s="8">
        <v>0</v>
      </c>
      <c r="J92" s="8">
        <v>0</v>
      </c>
      <c r="K92" s="9">
        <v>0</v>
      </c>
      <c r="L92" s="10">
        <v>0</v>
      </c>
      <c r="M92" s="6">
        <v>0</v>
      </c>
      <c r="N92" s="37" t="e" cm="1">
        <f t="array" ref="N92">IF(OR(ISNUMBER(FIND(Aux!$D$3:$D$9,_xlfn.TEXTJOIN(,,C92:K92)))),NA(),IF(AND(SUM(C92:F92,H92:K92)=0,G92=1),0,INT((SUMPRODUCT(C92:F92,COLUMN($A$1:$D$1)-1)+SUMPRODUCT(H92:K92,COLUMN($E$1:$H$1)-1))*'Line Follower'!$C$3/SUM(C92:F92,H92:K92)-'Line Follower'!$C$5)))</f>
        <v>#N/A</v>
      </c>
      <c r="O92" s="22" t="e">
        <v>#N/A</v>
      </c>
      <c r="P92" s="4" t="e">
        <f t="shared" si="5"/>
        <v>#N/A</v>
      </c>
      <c r="Q92" s="4" t="e">
        <f t="shared" si="6"/>
        <v>#N/A</v>
      </c>
      <c r="R92" s="4" t="e">
        <f>IF(AND(B92=1,N92&gt;'Line Follower'!$C$7,SUM(C92:K92)&lt;4),1,0)</f>
        <v>#N/A</v>
      </c>
      <c r="S92" s="4" t="e">
        <f>IF(AND(L92=1,N92&lt;'Line Follower'!$C$6,SUM(C92:K92)&lt;4),1,0)</f>
        <v>#N/A</v>
      </c>
      <c r="T92" s="4" t="e">
        <f t="shared" si="7"/>
        <v>#N/A</v>
      </c>
      <c r="U92" s="5" t="e">
        <f t="shared" si="8"/>
        <v>#N/A</v>
      </c>
      <c r="V92" s="23" t="e">
        <f t="shared" si="9"/>
        <v>#N/A</v>
      </c>
    </row>
    <row r="93" spans="2:22" x14ac:dyDescent="0.25">
      <c r="B93" s="16">
        <v>0</v>
      </c>
      <c r="C93" s="7">
        <v>1</v>
      </c>
      <c r="D93" s="8">
        <v>0</v>
      </c>
      <c r="E93" s="8">
        <v>1</v>
      </c>
      <c r="F93" s="8">
        <v>1</v>
      </c>
      <c r="G93" s="8">
        <v>0</v>
      </c>
      <c r="H93" s="8">
        <v>1</v>
      </c>
      <c r="I93" s="8">
        <v>0</v>
      </c>
      <c r="J93" s="8">
        <v>0</v>
      </c>
      <c r="K93" s="9">
        <v>0</v>
      </c>
      <c r="L93" s="10">
        <v>0</v>
      </c>
      <c r="M93" s="6">
        <v>0</v>
      </c>
      <c r="N93" s="37" t="e" cm="1">
        <f t="array" ref="N93">IF(OR(ISNUMBER(FIND(Aux!$D$3:$D$9,_xlfn.TEXTJOIN(,,C93:K93)))),NA(),IF(AND(SUM(C93:F93,H93:K93)=0,G93=1),0,INT((SUMPRODUCT(C93:F93,COLUMN($A$1:$D$1)-1)+SUMPRODUCT(H93:K93,COLUMN($E$1:$H$1)-1))*'Line Follower'!$C$3/SUM(C93:F93,H93:K93)-'Line Follower'!$C$5)))</f>
        <v>#N/A</v>
      </c>
      <c r="O93" s="22" t="e">
        <v>#N/A</v>
      </c>
      <c r="P93" s="4" t="e">
        <f t="shared" si="5"/>
        <v>#N/A</v>
      </c>
      <c r="Q93" s="4" t="e">
        <f t="shared" si="6"/>
        <v>#N/A</v>
      </c>
      <c r="R93" s="4" t="e">
        <f>IF(AND(B93=1,N93&gt;'Line Follower'!$C$7,SUM(C93:K93)&lt;4),1,0)</f>
        <v>#N/A</v>
      </c>
      <c r="S93" s="4" t="e">
        <f>IF(AND(L93=1,N93&lt;'Line Follower'!$C$6,SUM(C93:K93)&lt;4),1,0)</f>
        <v>#N/A</v>
      </c>
      <c r="T93" s="4" t="e">
        <f t="shared" si="7"/>
        <v>#N/A</v>
      </c>
      <c r="U93" s="5" t="e">
        <f t="shared" si="8"/>
        <v>#N/A</v>
      </c>
      <c r="V93" s="23" t="e">
        <f t="shared" si="9"/>
        <v>#N/A</v>
      </c>
    </row>
    <row r="94" spans="2:22" x14ac:dyDescent="0.25">
      <c r="B94" s="16">
        <v>1</v>
      </c>
      <c r="C94" s="7">
        <v>1</v>
      </c>
      <c r="D94" s="8">
        <v>0</v>
      </c>
      <c r="E94" s="8">
        <v>1</v>
      </c>
      <c r="F94" s="8">
        <v>1</v>
      </c>
      <c r="G94" s="8">
        <v>0</v>
      </c>
      <c r="H94" s="8">
        <v>1</v>
      </c>
      <c r="I94" s="8">
        <v>0</v>
      </c>
      <c r="J94" s="8">
        <v>0</v>
      </c>
      <c r="K94" s="9">
        <v>0</v>
      </c>
      <c r="L94" s="10">
        <v>0</v>
      </c>
      <c r="M94" s="6">
        <v>0</v>
      </c>
      <c r="N94" s="37" t="e" cm="1">
        <f t="array" ref="N94">IF(OR(ISNUMBER(FIND(Aux!$D$3:$D$9,_xlfn.TEXTJOIN(,,C94:K94)))),NA(),IF(AND(SUM(C94:F94,H94:K94)=0,G94=1),0,INT((SUMPRODUCT(C94:F94,COLUMN($A$1:$D$1)-1)+SUMPRODUCT(H94:K94,COLUMN($E$1:$H$1)-1))*'Line Follower'!$C$3/SUM(C94:F94,H94:K94)-'Line Follower'!$C$5)))</f>
        <v>#N/A</v>
      </c>
      <c r="O94" s="22" t="e">
        <v>#N/A</v>
      </c>
      <c r="P94" s="4" t="e">
        <f t="shared" si="5"/>
        <v>#N/A</v>
      </c>
      <c r="Q94" s="4" t="e">
        <f t="shared" si="6"/>
        <v>#N/A</v>
      </c>
      <c r="R94" s="4" t="e">
        <f>IF(AND(B94=1,N94&gt;'Line Follower'!$C$7,SUM(C94:K94)&lt;4),1,0)</f>
        <v>#N/A</v>
      </c>
      <c r="S94" s="4" t="e">
        <f>IF(AND(L94=1,N94&lt;'Line Follower'!$C$6,SUM(C94:K94)&lt;4),1,0)</f>
        <v>#N/A</v>
      </c>
      <c r="T94" s="4" t="e">
        <f t="shared" si="7"/>
        <v>#N/A</v>
      </c>
      <c r="U94" s="5" t="e">
        <f t="shared" si="8"/>
        <v>#N/A</v>
      </c>
      <c r="V94" s="23" t="e">
        <f t="shared" si="9"/>
        <v>#N/A</v>
      </c>
    </row>
    <row r="95" spans="2:22" x14ac:dyDescent="0.25">
      <c r="B95" s="16">
        <v>0</v>
      </c>
      <c r="C95" s="7">
        <v>0</v>
      </c>
      <c r="D95" s="8">
        <v>1</v>
      </c>
      <c r="E95" s="8">
        <v>1</v>
      </c>
      <c r="F95" s="8">
        <v>1</v>
      </c>
      <c r="G95" s="8">
        <v>0</v>
      </c>
      <c r="H95" s="8">
        <v>1</v>
      </c>
      <c r="I95" s="8">
        <v>0</v>
      </c>
      <c r="J95" s="8">
        <v>0</v>
      </c>
      <c r="K95" s="9">
        <v>0</v>
      </c>
      <c r="L95" s="10">
        <v>0</v>
      </c>
      <c r="M95" s="6">
        <v>0</v>
      </c>
      <c r="N95" s="37" t="e" cm="1">
        <f t="array" ref="N95">IF(OR(ISNUMBER(FIND(Aux!$D$3:$D$9,_xlfn.TEXTJOIN(,,C95:K95)))),NA(),IF(AND(SUM(C95:F95,H95:K95)=0,G95=1),0,INT((SUMPRODUCT(C95:F95,COLUMN($A$1:$D$1)-1)+SUMPRODUCT(H95:K95,COLUMN($E$1:$H$1)-1))*'Line Follower'!$C$3/SUM(C95:F95,H95:K95)-'Line Follower'!$C$5)))</f>
        <v>#N/A</v>
      </c>
      <c r="O95" s="22" t="e">
        <v>#N/A</v>
      </c>
      <c r="P95" s="4" t="e">
        <f t="shared" si="5"/>
        <v>#N/A</v>
      </c>
      <c r="Q95" s="4" t="e">
        <f t="shared" si="6"/>
        <v>#N/A</v>
      </c>
      <c r="R95" s="4" t="e">
        <f>IF(AND(B95=1,N95&gt;'Line Follower'!$C$7,SUM(C95:K95)&lt;4),1,0)</f>
        <v>#N/A</v>
      </c>
      <c r="S95" s="4" t="e">
        <f>IF(AND(L95=1,N95&lt;'Line Follower'!$C$6,SUM(C95:K95)&lt;4),1,0)</f>
        <v>#N/A</v>
      </c>
      <c r="T95" s="4" t="e">
        <f t="shared" si="7"/>
        <v>#N/A</v>
      </c>
      <c r="U95" s="5" t="e">
        <f t="shared" si="8"/>
        <v>#N/A</v>
      </c>
      <c r="V95" s="23" t="e">
        <f t="shared" si="9"/>
        <v>#N/A</v>
      </c>
    </row>
    <row r="96" spans="2:22" x14ac:dyDescent="0.25">
      <c r="B96" s="16">
        <v>1</v>
      </c>
      <c r="C96" s="7">
        <v>0</v>
      </c>
      <c r="D96" s="8">
        <v>1</v>
      </c>
      <c r="E96" s="8">
        <v>1</v>
      </c>
      <c r="F96" s="8">
        <v>1</v>
      </c>
      <c r="G96" s="8">
        <v>0</v>
      </c>
      <c r="H96" s="8">
        <v>1</v>
      </c>
      <c r="I96" s="8">
        <v>0</v>
      </c>
      <c r="J96" s="8">
        <v>0</v>
      </c>
      <c r="K96" s="9">
        <v>0</v>
      </c>
      <c r="L96" s="10">
        <v>0</v>
      </c>
      <c r="M96" s="6">
        <v>0</v>
      </c>
      <c r="N96" s="37" t="e" cm="1">
        <f t="array" ref="N96">IF(OR(ISNUMBER(FIND(Aux!$D$3:$D$9,_xlfn.TEXTJOIN(,,C96:K96)))),NA(),IF(AND(SUM(C96:F96,H96:K96)=0,G96=1),0,INT((SUMPRODUCT(C96:F96,COLUMN($A$1:$D$1)-1)+SUMPRODUCT(H96:K96,COLUMN($E$1:$H$1)-1))*'Line Follower'!$C$3/SUM(C96:F96,H96:K96)-'Line Follower'!$C$5)))</f>
        <v>#N/A</v>
      </c>
      <c r="O96" s="22" t="e">
        <v>#N/A</v>
      </c>
      <c r="P96" s="4" t="e">
        <f t="shared" si="5"/>
        <v>#N/A</v>
      </c>
      <c r="Q96" s="4" t="e">
        <f t="shared" si="6"/>
        <v>#N/A</v>
      </c>
      <c r="R96" s="4" t="e">
        <f>IF(AND(B96=1,N96&gt;'Line Follower'!$C$7,SUM(C96:K96)&lt;4),1,0)</f>
        <v>#N/A</v>
      </c>
      <c r="S96" s="4" t="e">
        <f>IF(AND(L96=1,N96&lt;'Line Follower'!$C$6,SUM(C96:K96)&lt;4),1,0)</f>
        <v>#N/A</v>
      </c>
      <c r="T96" s="4" t="e">
        <f t="shared" si="7"/>
        <v>#N/A</v>
      </c>
      <c r="U96" s="5" t="e">
        <f t="shared" si="8"/>
        <v>#N/A</v>
      </c>
      <c r="V96" s="23" t="e">
        <f t="shared" si="9"/>
        <v>#N/A</v>
      </c>
    </row>
    <row r="97" spans="2:22" x14ac:dyDescent="0.25">
      <c r="B97" s="16">
        <v>0</v>
      </c>
      <c r="C97" s="7">
        <v>1</v>
      </c>
      <c r="D97" s="8">
        <v>1</v>
      </c>
      <c r="E97" s="8">
        <v>1</v>
      </c>
      <c r="F97" s="8">
        <v>1</v>
      </c>
      <c r="G97" s="8">
        <v>0</v>
      </c>
      <c r="H97" s="8">
        <v>1</v>
      </c>
      <c r="I97" s="8">
        <v>0</v>
      </c>
      <c r="J97" s="8">
        <v>0</v>
      </c>
      <c r="K97" s="9">
        <v>0</v>
      </c>
      <c r="L97" s="10">
        <v>0</v>
      </c>
      <c r="M97" s="6">
        <v>0</v>
      </c>
      <c r="N97" s="37" t="e" cm="1">
        <f t="array" ref="N97">IF(OR(ISNUMBER(FIND(Aux!$D$3:$D$9,_xlfn.TEXTJOIN(,,C97:K97)))),NA(),IF(AND(SUM(C97:F97,H97:K97)=0,G97=1),0,INT((SUMPRODUCT(C97:F97,COLUMN($A$1:$D$1)-1)+SUMPRODUCT(H97:K97,COLUMN($E$1:$H$1)-1))*'Line Follower'!$C$3/SUM(C97:F97,H97:K97)-'Line Follower'!$C$5)))</f>
        <v>#N/A</v>
      </c>
      <c r="O97" s="22" t="e">
        <v>#N/A</v>
      </c>
      <c r="P97" s="4" t="e">
        <f t="shared" si="5"/>
        <v>#N/A</v>
      </c>
      <c r="Q97" s="4" t="e">
        <f t="shared" si="6"/>
        <v>#N/A</v>
      </c>
      <c r="R97" s="4" t="e">
        <f>IF(AND(B97=1,N97&gt;'Line Follower'!$C$7,SUM(C97:K97)&lt;4),1,0)</f>
        <v>#N/A</v>
      </c>
      <c r="S97" s="4" t="e">
        <f>IF(AND(L97=1,N97&lt;'Line Follower'!$C$6,SUM(C97:K97)&lt;4),1,0)</f>
        <v>#N/A</v>
      </c>
      <c r="T97" s="4" t="e">
        <f t="shared" si="7"/>
        <v>#N/A</v>
      </c>
      <c r="U97" s="5" t="e">
        <f t="shared" si="8"/>
        <v>#N/A</v>
      </c>
      <c r="V97" s="23" t="e">
        <f t="shared" si="9"/>
        <v>#N/A</v>
      </c>
    </row>
    <row r="98" spans="2:22" x14ac:dyDescent="0.25">
      <c r="B98" s="16">
        <v>1</v>
      </c>
      <c r="C98" s="7">
        <v>1</v>
      </c>
      <c r="D98" s="8">
        <v>1</v>
      </c>
      <c r="E98" s="8">
        <v>1</v>
      </c>
      <c r="F98" s="8">
        <v>1</v>
      </c>
      <c r="G98" s="8">
        <v>0</v>
      </c>
      <c r="H98" s="8">
        <v>1</v>
      </c>
      <c r="I98" s="8">
        <v>0</v>
      </c>
      <c r="J98" s="8">
        <v>0</v>
      </c>
      <c r="K98" s="9">
        <v>0</v>
      </c>
      <c r="L98" s="10">
        <v>0</v>
      </c>
      <c r="M98" s="6">
        <v>0</v>
      </c>
      <c r="N98" s="37" t="e" cm="1">
        <f t="array" ref="N98">IF(OR(ISNUMBER(FIND(Aux!$D$3:$D$9,_xlfn.TEXTJOIN(,,C98:K98)))),NA(),IF(AND(SUM(C98:F98,H98:K98)=0,G98=1),0,INT((SUMPRODUCT(C98:F98,COLUMN($A$1:$D$1)-1)+SUMPRODUCT(H98:K98,COLUMN($E$1:$H$1)-1))*'Line Follower'!$C$3/SUM(C98:F98,H98:K98)-'Line Follower'!$C$5)))</f>
        <v>#N/A</v>
      </c>
      <c r="O98" s="22" t="e">
        <v>#N/A</v>
      </c>
      <c r="P98" s="4" t="e">
        <f t="shared" si="5"/>
        <v>#N/A</v>
      </c>
      <c r="Q98" s="4" t="e">
        <f t="shared" si="6"/>
        <v>#N/A</v>
      </c>
      <c r="R98" s="4" t="e">
        <f>IF(AND(B98=1,N98&gt;'Line Follower'!$C$7,SUM(C98:K98)&lt;4),1,0)</f>
        <v>#N/A</v>
      </c>
      <c r="S98" s="4" t="e">
        <f>IF(AND(L98=1,N98&lt;'Line Follower'!$C$6,SUM(C98:K98)&lt;4),1,0)</f>
        <v>#N/A</v>
      </c>
      <c r="T98" s="4" t="e">
        <f t="shared" si="7"/>
        <v>#N/A</v>
      </c>
      <c r="U98" s="5" t="e">
        <f t="shared" si="8"/>
        <v>#N/A</v>
      </c>
      <c r="V98" s="23" t="e">
        <f t="shared" si="9"/>
        <v>#N/A</v>
      </c>
    </row>
    <row r="99" spans="2:22" x14ac:dyDescent="0.25">
      <c r="B99" s="16">
        <v>0</v>
      </c>
      <c r="C99" s="7">
        <v>0</v>
      </c>
      <c r="D99" s="8">
        <v>0</v>
      </c>
      <c r="E99" s="8">
        <v>0</v>
      </c>
      <c r="F99" s="8">
        <v>0</v>
      </c>
      <c r="G99" s="8">
        <v>1</v>
      </c>
      <c r="H99" s="8">
        <v>1</v>
      </c>
      <c r="I99" s="8">
        <v>0</v>
      </c>
      <c r="J99" s="8">
        <v>0</v>
      </c>
      <c r="K99" s="9">
        <v>0</v>
      </c>
      <c r="L99" s="10">
        <v>0</v>
      </c>
      <c r="M99" s="6">
        <v>0</v>
      </c>
      <c r="N99" s="37" cm="1">
        <f t="array" ref="N99">IF(OR(ISNUMBER(FIND(Aux!$D$3:$D$9,_xlfn.TEXTJOIN(,,C99:K99)))),NA(),IF(AND(SUM(C99:F99,H99:K99)=0,G99=1),0,INT((SUMPRODUCT(C99:F99,COLUMN($A$1:$D$1)-1)+SUMPRODUCT(H99:K99,COLUMN($E$1:$H$1)-1))*'Line Follower'!$C$3/SUM(C99:F99,H99:K99)-'Line Follower'!$C$5)))</f>
        <v>1</v>
      </c>
      <c r="O99" s="22">
        <v>1</v>
      </c>
      <c r="P99" s="4">
        <f t="shared" si="5"/>
        <v>0</v>
      </c>
      <c r="Q99" s="4">
        <f t="shared" si="6"/>
        <v>0</v>
      </c>
      <c r="R99" s="4">
        <f>IF(AND(B99=1,N99&gt;'Line Follower'!$C$7,SUM(C99:K99)&lt;4),1,0)</f>
        <v>0</v>
      </c>
      <c r="S99" s="4">
        <f>IF(AND(L99=1,N99&lt;'Line Follower'!$C$6,SUM(C99:K99)&lt;4),1,0)</f>
        <v>0</v>
      </c>
      <c r="T99" s="4">
        <f t="shared" si="7"/>
        <v>0</v>
      </c>
      <c r="U99" s="5">
        <f t="shared" si="8"/>
        <v>0</v>
      </c>
      <c r="V99" s="23">
        <f t="shared" si="9"/>
        <v>0</v>
      </c>
    </row>
    <row r="100" spans="2:22" x14ac:dyDescent="0.25">
      <c r="B100" s="16">
        <v>1</v>
      </c>
      <c r="C100" s="7">
        <v>0</v>
      </c>
      <c r="D100" s="8">
        <v>0</v>
      </c>
      <c r="E100" s="8">
        <v>0</v>
      </c>
      <c r="F100" s="8">
        <v>0</v>
      </c>
      <c r="G100" s="8">
        <v>1</v>
      </c>
      <c r="H100" s="8">
        <v>1</v>
      </c>
      <c r="I100" s="8">
        <v>0</v>
      </c>
      <c r="J100" s="8">
        <v>0</v>
      </c>
      <c r="K100" s="9">
        <v>0</v>
      </c>
      <c r="L100" s="10">
        <v>0</v>
      </c>
      <c r="M100" s="6">
        <v>0</v>
      </c>
      <c r="N100" s="37" cm="1">
        <f t="array" ref="N100">IF(OR(ISNUMBER(FIND(Aux!$D$3:$D$9,_xlfn.TEXTJOIN(,,C100:K100)))),NA(),IF(AND(SUM(C100:F100,H100:K100)=0,G100=1),0,INT((SUMPRODUCT(C100:F100,COLUMN($A$1:$D$1)-1)+SUMPRODUCT(H100:K100,COLUMN($E$1:$H$1)-1))*'Line Follower'!$C$3/SUM(C100:F100,H100:K100)-'Line Follower'!$C$5)))</f>
        <v>1</v>
      </c>
      <c r="O100" s="22">
        <v>1</v>
      </c>
      <c r="P100" s="4">
        <f t="shared" si="5"/>
        <v>0</v>
      </c>
      <c r="Q100" s="4">
        <f t="shared" si="6"/>
        <v>0</v>
      </c>
      <c r="R100" s="4">
        <f>IF(AND(B100=1,N100&gt;'Line Follower'!$C$7,SUM(C100:K100)&lt;4),1,0)</f>
        <v>1</v>
      </c>
      <c r="S100" s="4">
        <f>IF(AND(L100=1,N100&lt;'Line Follower'!$C$6,SUM(C100:K100)&lt;4),1,0)</f>
        <v>0</v>
      </c>
      <c r="T100" s="4">
        <f t="shared" si="7"/>
        <v>0</v>
      </c>
      <c r="U100" s="5">
        <f t="shared" si="8"/>
        <v>0</v>
      </c>
      <c r="V100" s="23">
        <f t="shared" si="9"/>
        <v>0</v>
      </c>
    </row>
    <row r="101" spans="2:22" x14ac:dyDescent="0.25">
      <c r="B101" s="16">
        <v>0</v>
      </c>
      <c r="C101" s="7">
        <v>1</v>
      </c>
      <c r="D101" s="8">
        <v>0</v>
      </c>
      <c r="E101" s="8">
        <v>0</v>
      </c>
      <c r="F101" s="8">
        <v>0</v>
      </c>
      <c r="G101" s="8">
        <v>1</v>
      </c>
      <c r="H101" s="8">
        <v>1</v>
      </c>
      <c r="I101" s="8">
        <v>0</v>
      </c>
      <c r="J101" s="8">
        <v>0</v>
      </c>
      <c r="K101" s="9">
        <v>0</v>
      </c>
      <c r="L101" s="10">
        <v>0</v>
      </c>
      <c r="M101" s="6">
        <v>0</v>
      </c>
      <c r="N101" s="37" t="e" cm="1">
        <f t="array" ref="N101">IF(OR(ISNUMBER(FIND(Aux!$D$3:$D$9,_xlfn.TEXTJOIN(,,C101:K101)))),NA(),IF(AND(SUM(C101:F101,H101:K101)=0,G101=1),0,INT((SUMPRODUCT(C101:F101,COLUMN($A$1:$D$1)-1)+SUMPRODUCT(H101:K101,COLUMN($E$1:$H$1)-1))*'Line Follower'!$C$3/SUM(C101:F101,H101:K101)-'Line Follower'!$C$5)))</f>
        <v>#N/A</v>
      </c>
      <c r="O101" s="22" t="e">
        <v>#N/A</v>
      </c>
      <c r="P101" s="4" t="e">
        <f t="shared" si="5"/>
        <v>#N/A</v>
      </c>
      <c r="Q101" s="4" t="e">
        <f t="shared" si="6"/>
        <v>#N/A</v>
      </c>
      <c r="R101" s="4" t="e">
        <f>IF(AND(B101=1,N101&gt;'Line Follower'!$C$7,SUM(C101:K101)&lt;4),1,0)</f>
        <v>#N/A</v>
      </c>
      <c r="S101" s="4" t="e">
        <f>IF(AND(L101=1,N101&lt;'Line Follower'!$C$6,SUM(C101:K101)&lt;4),1,0)</f>
        <v>#N/A</v>
      </c>
      <c r="T101" s="4" t="e">
        <f t="shared" si="7"/>
        <v>#N/A</v>
      </c>
      <c r="U101" s="5" t="e">
        <f t="shared" si="8"/>
        <v>#N/A</v>
      </c>
      <c r="V101" s="23" t="e">
        <f t="shared" si="9"/>
        <v>#N/A</v>
      </c>
    </row>
    <row r="102" spans="2:22" x14ac:dyDescent="0.25">
      <c r="B102" s="16">
        <v>1</v>
      </c>
      <c r="C102" s="7">
        <v>1</v>
      </c>
      <c r="D102" s="8">
        <v>0</v>
      </c>
      <c r="E102" s="8">
        <v>0</v>
      </c>
      <c r="F102" s="8">
        <v>0</v>
      </c>
      <c r="G102" s="8">
        <v>1</v>
      </c>
      <c r="H102" s="8">
        <v>1</v>
      </c>
      <c r="I102" s="8">
        <v>0</v>
      </c>
      <c r="J102" s="8">
        <v>0</v>
      </c>
      <c r="K102" s="9">
        <v>0</v>
      </c>
      <c r="L102" s="10">
        <v>0</v>
      </c>
      <c r="M102" s="6">
        <v>0</v>
      </c>
      <c r="N102" s="37" t="e" cm="1">
        <f t="array" ref="N102">IF(OR(ISNUMBER(FIND(Aux!$D$3:$D$9,_xlfn.TEXTJOIN(,,C102:K102)))),NA(),IF(AND(SUM(C102:F102,H102:K102)=0,G102=1),0,INT((SUMPRODUCT(C102:F102,COLUMN($A$1:$D$1)-1)+SUMPRODUCT(H102:K102,COLUMN($E$1:$H$1)-1))*'Line Follower'!$C$3/SUM(C102:F102,H102:K102)-'Line Follower'!$C$5)))</f>
        <v>#N/A</v>
      </c>
      <c r="O102" s="22" t="e">
        <v>#N/A</v>
      </c>
      <c r="P102" s="4" t="e">
        <f t="shared" si="5"/>
        <v>#N/A</v>
      </c>
      <c r="Q102" s="4" t="e">
        <f t="shared" si="6"/>
        <v>#N/A</v>
      </c>
      <c r="R102" s="4" t="e">
        <f>IF(AND(B102=1,N102&gt;'Line Follower'!$C$7,SUM(C102:K102)&lt;4),1,0)</f>
        <v>#N/A</v>
      </c>
      <c r="S102" s="4" t="e">
        <f>IF(AND(L102=1,N102&lt;'Line Follower'!$C$6,SUM(C102:K102)&lt;4),1,0)</f>
        <v>#N/A</v>
      </c>
      <c r="T102" s="4" t="e">
        <f t="shared" si="7"/>
        <v>#N/A</v>
      </c>
      <c r="U102" s="5" t="e">
        <f t="shared" si="8"/>
        <v>#N/A</v>
      </c>
      <c r="V102" s="23" t="e">
        <f t="shared" si="9"/>
        <v>#N/A</v>
      </c>
    </row>
    <row r="103" spans="2:22" x14ac:dyDescent="0.25">
      <c r="B103" s="16">
        <v>0</v>
      </c>
      <c r="C103" s="7">
        <v>0</v>
      </c>
      <c r="D103" s="8">
        <v>1</v>
      </c>
      <c r="E103" s="8">
        <v>0</v>
      </c>
      <c r="F103" s="8">
        <v>0</v>
      </c>
      <c r="G103" s="8">
        <v>1</v>
      </c>
      <c r="H103" s="8">
        <v>1</v>
      </c>
      <c r="I103" s="8">
        <v>0</v>
      </c>
      <c r="J103" s="8">
        <v>0</v>
      </c>
      <c r="K103" s="9">
        <v>0</v>
      </c>
      <c r="L103" s="10">
        <v>0</v>
      </c>
      <c r="M103" s="6">
        <v>0</v>
      </c>
      <c r="N103" s="37" t="e" cm="1">
        <f t="array" ref="N103">IF(OR(ISNUMBER(FIND(Aux!$D$3:$D$9,_xlfn.TEXTJOIN(,,C103:K103)))),NA(),IF(AND(SUM(C103:F103,H103:K103)=0,G103=1),0,INT((SUMPRODUCT(C103:F103,COLUMN($A$1:$D$1)-1)+SUMPRODUCT(H103:K103,COLUMN($E$1:$H$1)-1))*'Line Follower'!$C$3/SUM(C103:F103,H103:K103)-'Line Follower'!$C$5)))</f>
        <v>#N/A</v>
      </c>
      <c r="O103" s="22" t="e">
        <v>#N/A</v>
      </c>
      <c r="P103" s="4" t="e">
        <f t="shared" si="5"/>
        <v>#N/A</v>
      </c>
      <c r="Q103" s="4" t="e">
        <f t="shared" si="6"/>
        <v>#N/A</v>
      </c>
      <c r="R103" s="4" t="e">
        <f>IF(AND(B103=1,N103&gt;'Line Follower'!$C$7,SUM(C103:K103)&lt;4),1,0)</f>
        <v>#N/A</v>
      </c>
      <c r="S103" s="4" t="e">
        <f>IF(AND(L103=1,N103&lt;'Line Follower'!$C$6,SUM(C103:K103)&lt;4),1,0)</f>
        <v>#N/A</v>
      </c>
      <c r="T103" s="4" t="e">
        <f t="shared" si="7"/>
        <v>#N/A</v>
      </c>
      <c r="U103" s="5" t="e">
        <f t="shared" si="8"/>
        <v>#N/A</v>
      </c>
      <c r="V103" s="23" t="e">
        <f t="shared" si="9"/>
        <v>#N/A</v>
      </c>
    </row>
    <row r="104" spans="2:22" x14ac:dyDescent="0.25">
      <c r="B104" s="16">
        <v>1</v>
      </c>
      <c r="C104" s="7">
        <v>0</v>
      </c>
      <c r="D104" s="8">
        <v>1</v>
      </c>
      <c r="E104" s="8">
        <v>0</v>
      </c>
      <c r="F104" s="8">
        <v>0</v>
      </c>
      <c r="G104" s="8">
        <v>1</v>
      </c>
      <c r="H104" s="8">
        <v>1</v>
      </c>
      <c r="I104" s="8">
        <v>0</v>
      </c>
      <c r="J104" s="8">
        <v>0</v>
      </c>
      <c r="K104" s="9">
        <v>0</v>
      </c>
      <c r="L104" s="10">
        <v>0</v>
      </c>
      <c r="M104" s="6">
        <v>0</v>
      </c>
      <c r="N104" s="37" t="e" cm="1">
        <f t="array" ref="N104">IF(OR(ISNUMBER(FIND(Aux!$D$3:$D$9,_xlfn.TEXTJOIN(,,C104:K104)))),NA(),IF(AND(SUM(C104:F104,H104:K104)=0,G104=1),0,INT((SUMPRODUCT(C104:F104,COLUMN($A$1:$D$1)-1)+SUMPRODUCT(H104:K104,COLUMN($E$1:$H$1)-1))*'Line Follower'!$C$3/SUM(C104:F104,H104:K104)-'Line Follower'!$C$5)))</f>
        <v>#N/A</v>
      </c>
      <c r="O104" s="22" t="e">
        <v>#N/A</v>
      </c>
      <c r="P104" s="4" t="e">
        <f t="shared" si="5"/>
        <v>#N/A</v>
      </c>
      <c r="Q104" s="4" t="e">
        <f t="shared" si="6"/>
        <v>#N/A</v>
      </c>
      <c r="R104" s="4" t="e">
        <f>IF(AND(B104=1,N104&gt;'Line Follower'!$C$7,SUM(C104:K104)&lt;4),1,0)</f>
        <v>#N/A</v>
      </c>
      <c r="S104" s="4" t="e">
        <f>IF(AND(L104=1,N104&lt;'Line Follower'!$C$6,SUM(C104:K104)&lt;4),1,0)</f>
        <v>#N/A</v>
      </c>
      <c r="T104" s="4" t="e">
        <f t="shared" si="7"/>
        <v>#N/A</v>
      </c>
      <c r="U104" s="5" t="e">
        <f t="shared" si="8"/>
        <v>#N/A</v>
      </c>
      <c r="V104" s="23" t="e">
        <f t="shared" si="9"/>
        <v>#N/A</v>
      </c>
    </row>
    <row r="105" spans="2:22" x14ac:dyDescent="0.25">
      <c r="B105" s="16">
        <v>0</v>
      </c>
      <c r="C105" s="7">
        <v>1</v>
      </c>
      <c r="D105" s="8">
        <v>1</v>
      </c>
      <c r="E105" s="8">
        <v>0</v>
      </c>
      <c r="F105" s="8">
        <v>0</v>
      </c>
      <c r="G105" s="8">
        <v>1</v>
      </c>
      <c r="H105" s="8">
        <v>1</v>
      </c>
      <c r="I105" s="8">
        <v>0</v>
      </c>
      <c r="J105" s="8">
        <v>0</v>
      </c>
      <c r="K105" s="9">
        <v>0</v>
      </c>
      <c r="L105" s="10">
        <v>0</v>
      </c>
      <c r="M105" s="6">
        <v>0</v>
      </c>
      <c r="N105" s="37" t="e" cm="1">
        <f t="array" ref="N105">IF(OR(ISNUMBER(FIND(Aux!$D$3:$D$9,_xlfn.TEXTJOIN(,,C105:K105)))),NA(),IF(AND(SUM(C105:F105,H105:K105)=0,G105=1),0,INT((SUMPRODUCT(C105:F105,COLUMN($A$1:$D$1)-1)+SUMPRODUCT(H105:K105,COLUMN($E$1:$H$1)-1))*'Line Follower'!$C$3/SUM(C105:F105,H105:K105)-'Line Follower'!$C$5)))</f>
        <v>#N/A</v>
      </c>
      <c r="O105" s="22" t="e">
        <v>#N/A</v>
      </c>
      <c r="P105" s="4" t="e">
        <f t="shared" si="5"/>
        <v>#N/A</v>
      </c>
      <c r="Q105" s="4" t="e">
        <f t="shared" si="6"/>
        <v>#N/A</v>
      </c>
      <c r="R105" s="4" t="e">
        <f>IF(AND(B105=1,N105&gt;'Line Follower'!$C$7,SUM(C105:K105)&lt;4),1,0)</f>
        <v>#N/A</v>
      </c>
      <c r="S105" s="4" t="e">
        <f>IF(AND(L105=1,N105&lt;'Line Follower'!$C$6,SUM(C105:K105)&lt;4),1,0)</f>
        <v>#N/A</v>
      </c>
      <c r="T105" s="4" t="e">
        <f t="shared" si="7"/>
        <v>#N/A</v>
      </c>
      <c r="U105" s="5" t="e">
        <f t="shared" si="8"/>
        <v>#N/A</v>
      </c>
      <c r="V105" s="23" t="e">
        <f t="shared" si="9"/>
        <v>#N/A</v>
      </c>
    </row>
    <row r="106" spans="2:22" x14ac:dyDescent="0.25">
      <c r="B106" s="16">
        <v>1</v>
      </c>
      <c r="C106" s="7">
        <v>1</v>
      </c>
      <c r="D106" s="8">
        <v>1</v>
      </c>
      <c r="E106" s="8">
        <v>0</v>
      </c>
      <c r="F106" s="8">
        <v>0</v>
      </c>
      <c r="G106" s="8">
        <v>1</v>
      </c>
      <c r="H106" s="8">
        <v>1</v>
      </c>
      <c r="I106" s="8">
        <v>0</v>
      </c>
      <c r="J106" s="8">
        <v>0</v>
      </c>
      <c r="K106" s="9">
        <v>0</v>
      </c>
      <c r="L106" s="10">
        <v>0</v>
      </c>
      <c r="M106" s="6">
        <v>0</v>
      </c>
      <c r="N106" s="37" t="e" cm="1">
        <f t="array" ref="N106">IF(OR(ISNUMBER(FIND(Aux!$D$3:$D$9,_xlfn.TEXTJOIN(,,C106:K106)))),NA(),IF(AND(SUM(C106:F106,H106:K106)=0,G106=1),0,INT((SUMPRODUCT(C106:F106,COLUMN($A$1:$D$1)-1)+SUMPRODUCT(H106:K106,COLUMN($E$1:$H$1)-1))*'Line Follower'!$C$3/SUM(C106:F106,H106:K106)-'Line Follower'!$C$5)))</f>
        <v>#N/A</v>
      </c>
      <c r="O106" s="22" t="e">
        <v>#N/A</v>
      </c>
      <c r="P106" s="4" t="e">
        <f t="shared" si="5"/>
        <v>#N/A</v>
      </c>
      <c r="Q106" s="4" t="e">
        <f t="shared" si="6"/>
        <v>#N/A</v>
      </c>
      <c r="R106" s="4" t="e">
        <f>IF(AND(B106=1,N106&gt;'Line Follower'!$C$7,SUM(C106:K106)&lt;4),1,0)</f>
        <v>#N/A</v>
      </c>
      <c r="S106" s="4" t="e">
        <f>IF(AND(L106=1,N106&lt;'Line Follower'!$C$6,SUM(C106:K106)&lt;4),1,0)</f>
        <v>#N/A</v>
      </c>
      <c r="T106" s="4" t="e">
        <f t="shared" si="7"/>
        <v>#N/A</v>
      </c>
      <c r="U106" s="5" t="e">
        <f t="shared" si="8"/>
        <v>#N/A</v>
      </c>
      <c r="V106" s="23" t="e">
        <f t="shared" si="9"/>
        <v>#N/A</v>
      </c>
    </row>
    <row r="107" spans="2:22" x14ac:dyDescent="0.25">
      <c r="B107" s="16">
        <v>0</v>
      </c>
      <c r="C107" s="7">
        <v>0</v>
      </c>
      <c r="D107" s="8">
        <v>0</v>
      </c>
      <c r="E107" s="8">
        <v>1</v>
      </c>
      <c r="F107" s="8">
        <v>0</v>
      </c>
      <c r="G107" s="8">
        <v>1</v>
      </c>
      <c r="H107" s="8">
        <v>1</v>
      </c>
      <c r="I107" s="8">
        <v>0</v>
      </c>
      <c r="J107" s="8">
        <v>0</v>
      </c>
      <c r="K107" s="9">
        <v>0</v>
      </c>
      <c r="L107" s="10">
        <v>0</v>
      </c>
      <c r="M107" s="6">
        <v>0</v>
      </c>
      <c r="N107" s="37" t="e" cm="1">
        <f t="array" ref="N107">IF(OR(ISNUMBER(FIND(Aux!$D$3:$D$9,_xlfn.TEXTJOIN(,,C107:K107)))),NA(),IF(AND(SUM(C107:F107,H107:K107)=0,G107=1),0,INT((SUMPRODUCT(C107:F107,COLUMN($A$1:$D$1)-1)+SUMPRODUCT(H107:K107,COLUMN($E$1:$H$1)-1))*'Line Follower'!$C$3/SUM(C107:F107,H107:K107)-'Line Follower'!$C$5)))</f>
        <v>#N/A</v>
      </c>
      <c r="O107" s="22" t="e">
        <v>#N/A</v>
      </c>
      <c r="P107" s="4" t="e">
        <f t="shared" si="5"/>
        <v>#N/A</v>
      </c>
      <c r="Q107" s="4" t="e">
        <f t="shared" si="6"/>
        <v>#N/A</v>
      </c>
      <c r="R107" s="4" t="e">
        <f>IF(AND(B107=1,N107&gt;'Line Follower'!$C$7,SUM(C107:K107)&lt;4),1,0)</f>
        <v>#N/A</v>
      </c>
      <c r="S107" s="4" t="e">
        <f>IF(AND(L107=1,N107&lt;'Line Follower'!$C$6,SUM(C107:K107)&lt;4),1,0)</f>
        <v>#N/A</v>
      </c>
      <c r="T107" s="4" t="e">
        <f t="shared" si="7"/>
        <v>#N/A</v>
      </c>
      <c r="U107" s="5" t="e">
        <f t="shared" si="8"/>
        <v>#N/A</v>
      </c>
      <c r="V107" s="23" t="e">
        <f t="shared" si="9"/>
        <v>#N/A</v>
      </c>
    </row>
    <row r="108" spans="2:22" x14ac:dyDescent="0.25">
      <c r="B108" s="16">
        <v>1</v>
      </c>
      <c r="C108" s="7">
        <v>0</v>
      </c>
      <c r="D108" s="8">
        <v>0</v>
      </c>
      <c r="E108" s="8">
        <v>1</v>
      </c>
      <c r="F108" s="8">
        <v>0</v>
      </c>
      <c r="G108" s="8">
        <v>1</v>
      </c>
      <c r="H108" s="8">
        <v>1</v>
      </c>
      <c r="I108" s="8">
        <v>0</v>
      </c>
      <c r="J108" s="8">
        <v>0</v>
      </c>
      <c r="K108" s="9">
        <v>0</v>
      </c>
      <c r="L108" s="10">
        <v>0</v>
      </c>
      <c r="M108" s="6">
        <v>0</v>
      </c>
      <c r="N108" s="37" t="e" cm="1">
        <f t="array" ref="N108">IF(OR(ISNUMBER(FIND(Aux!$D$3:$D$9,_xlfn.TEXTJOIN(,,C108:K108)))),NA(),IF(AND(SUM(C108:F108,H108:K108)=0,G108=1),0,INT((SUMPRODUCT(C108:F108,COLUMN($A$1:$D$1)-1)+SUMPRODUCT(H108:K108,COLUMN($E$1:$H$1)-1))*'Line Follower'!$C$3/SUM(C108:F108,H108:K108)-'Line Follower'!$C$5)))</f>
        <v>#N/A</v>
      </c>
      <c r="O108" s="22" t="e">
        <v>#N/A</v>
      </c>
      <c r="P108" s="4" t="e">
        <f t="shared" si="5"/>
        <v>#N/A</v>
      </c>
      <c r="Q108" s="4" t="e">
        <f t="shared" si="6"/>
        <v>#N/A</v>
      </c>
      <c r="R108" s="4" t="e">
        <f>IF(AND(B108=1,N108&gt;'Line Follower'!$C$7,SUM(C108:K108)&lt;4),1,0)</f>
        <v>#N/A</v>
      </c>
      <c r="S108" s="4" t="e">
        <f>IF(AND(L108=1,N108&lt;'Line Follower'!$C$6,SUM(C108:K108)&lt;4),1,0)</f>
        <v>#N/A</v>
      </c>
      <c r="T108" s="4" t="e">
        <f t="shared" si="7"/>
        <v>#N/A</v>
      </c>
      <c r="U108" s="5" t="e">
        <f t="shared" si="8"/>
        <v>#N/A</v>
      </c>
      <c r="V108" s="23" t="e">
        <f t="shared" si="9"/>
        <v>#N/A</v>
      </c>
    </row>
    <row r="109" spans="2:22" x14ac:dyDescent="0.25">
      <c r="B109" s="16">
        <v>0</v>
      </c>
      <c r="C109" s="7">
        <v>1</v>
      </c>
      <c r="D109" s="8">
        <v>0</v>
      </c>
      <c r="E109" s="8">
        <v>1</v>
      </c>
      <c r="F109" s="8">
        <v>0</v>
      </c>
      <c r="G109" s="8">
        <v>1</v>
      </c>
      <c r="H109" s="8">
        <v>1</v>
      </c>
      <c r="I109" s="8">
        <v>0</v>
      </c>
      <c r="J109" s="8">
        <v>0</v>
      </c>
      <c r="K109" s="9">
        <v>0</v>
      </c>
      <c r="L109" s="10">
        <v>0</v>
      </c>
      <c r="M109" s="6">
        <v>0</v>
      </c>
      <c r="N109" s="37" t="e" cm="1">
        <f t="array" ref="N109">IF(OR(ISNUMBER(FIND(Aux!$D$3:$D$9,_xlfn.TEXTJOIN(,,C109:K109)))),NA(),IF(AND(SUM(C109:F109,H109:K109)=0,G109=1),0,INT((SUMPRODUCT(C109:F109,COLUMN($A$1:$D$1)-1)+SUMPRODUCT(H109:K109,COLUMN($E$1:$H$1)-1))*'Line Follower'!$C$3/SUM(C109:F109,H109:K109)-'Line Follower'!$C$5)))</f>
        <v>#N/A</v>
      </c>
      <c r="O109" s="22" t="e">
        <v>#N/A</v>
      </c>
      <c r="P109" s="4" t="e">
        <f t="shared" si="5"/>
        <v>#N/A</v>
      </c>
      <c r="Q109" s="4" t="e">
        <f t="shared" si="6"/>
        <v>#N/A</v>
      </c>
      <c r="R109" s="4" t="e">
        <f>IF(AND(B109=1,N109&gt;'Line Follower'!$C$7,SUM(C109:K109)&lt;4),1,0)</f>
        <v>#N/A</v>
      </c>
      <c r="S109" s="4" t="e">
        <f>IF(AND(L109=1,N109&lt;'Line Follower'!$C$6,SUM(C109:K109)&lt;4),1,0)</f>
        <v>#N/A</v>
      </c>
      <c r="T109" s="4" t="e">
        <f t="shared" si="7"/>
        <v>#N/A</v>
      </c>
      <c r="U109" s="5" t="e">
        <f t="shared" si="8"/>
        <v>#N/A</v>
      </c>
      <c r="V109" s="23" t="e">
        <f t="shared" si="9"/>
        <v>#N/A</v>
      </c>
    </row>
    <row r="110" spans="2:22" x14ac:dyDescent="0.25">
      <c r="B110" s="16">
        <v>1</v>
      </c>
      <c r="C110" s="7">
        <v>1</v>
      </c>
      <c r="D110" s="8">
        <v>0</v>
      </c>
      <c r="E110" s="8">
        <v>1</v>
      </c>
      <c r="F110" s="8">
        <v>0</v>
      </c>
      <c r="G110" s="8">
        <v>1</v>
      </c>
      <c r="H110" s="8">
        <v>1</v>
      </c>
      <c r="I110" s="8">
        <v>0</v>
      </c>
      <c r="J110" s="8">
        <v>0</v>
      </c>
      <c r="K110" s="9">
        <v>0</v>
      </c>
      <c r="L110" s="10">
        <v>0</v>
      </c>
      <c r="M110" s="6">
        <v>0</v>
      </c>
      <c r="N110" s="37" t="e" cm="1">
        <f t="array" ref="N110">IF(OR(ISNUMBER(FIND(Aux!$D$3:$D$9,_xlfn.TEXTJOIN(,,C110:K110)))),NA(),IF(AND(SUM(C110:F110,H110:K110)=0,G110=1),0,INT((SUMPRODUCT(C110:F110,COLUMN($A$1:$D$1)-1)+SUMPRODUCT(H110:K110,COLUMN($E$1:$H$1)-1))*'Line Follower'!$C$3/SUM(C110:F110,H110:K110)-'Line Follower'!$C$5)))</f>
        <v>#N/A</v>
      </c>
      <c r="O110" s="22" t="e">
        <v>#N/A</v>
      </c>
      <c r="P110" s="4" t="e">
        <f t="shared" si="5"/>
        <v>#N/A</v>
      </c>
      <c r="Q110" s="4" t="e">
        <f t="shared" si="6"/>
        <v>#N/A</v>
      </c>
      <c r="R110" s="4" t="e">
        <f>IF(AND(B110=1,N110&gt;'Line Follower'!$C$7,SUM(C110:K110)&lt;4),1,0)</f>
        <v>#N/A</v>
      </c>
      <c r="S110" s="4" t="e">
        <f>IF(AND(L110=1,N110&lt;'Line Follower'!$C$6,SUM(C110:K110)&lt;4),1,0)</f>
        <v>#N/A</v>
      </c>
      <c r="T110" s="4" t="e">
        <f t="shared" si="7"/>
        <v>#N/A</v>
      </c>
      <c r="U110" s="5" t="e">
        <f t="shared" si="8"/>
        <v>#N/A</v>
      </c>
      <c r="V110" s="23" t="e">
        <f t="shared" si="9"/>
        <v>#N/A</v>
      </c>
    </row>
    <row r="111" spans="2:22" x14ac:dyDescent="0.25">
      <c r="B111" s="16">
        <v>0</v>
      </c>
      <c r="C111" s="7">
        <v>0</v>
      </c>
      <c r="D111" s="8">
        <v>1</v>
      </c>
      <c r="E111" s="8">
        <v>1</v>
      </c>
      <c r="F111" s="8">
        <v>0</v>
      </c>
      <c r="G111" s="8">
        <v>1</v>
      </c>
      <c r="H111" s="8">
        <v>1</v>
      </c>
      <c r="I111" s="8">
        <v>0</v>
      </c>
      <c r="J111" s="8">
        <v>0</v>
      </c>
      <c r="K111" s="9">
        <v>0</v>
      </c>
      <c r="L111" s="10">
        <v>0</v>
      </c>
      <c r="M111" s="6">
        <v>0</v>
      </c>
      <c r="N111" s="37" t="e" cm="1">
        <f t="array" ref="N111">IF(OR(ISNUMBER(FIND(Aux!$D$3:$D$9,_xlfn.TEXTJOIN(,,C111:K111)))),NA(),IF(AND(SUM(C111:F111,H111:K111)=0,G111=1),0,INT((SUMPRODUCT(C111:F111,COLUMN($A$1:$D$1)-1)+SUMPRODUCT(H111:K111,COLUMN($E$1:$H$1)-1))*'Line Follower'!$C$3/SUM(C111:F111,H111:K111)-'Line Follower'!$C$5)))</f>
        <v>#N/A</v>
      </c>
      <c r="O111" s="22" t="e">
        <v>#N/A</v>
      </c>
      <c r="P111" s="4" t="e">
        <f t="shared" si="5"/>
        <v>#N/A</v>
      </c>
      <c r="Q111" s="4" t="e">
        <f t="shared" si="6"/>
        <v>#N/A</v>
      </c>
      <c r="R111" s="4" t="e">
        <f>IF(AND(B111=1,N111&gt;'Line Follower'!$C$7,SUM(C111:K111)&lt;4),1,0)</f>
        <v>#N/A</v>
      </c>
      <c r="S111" s="4" t="e">
        <f>IF(AND(L111=1,N111&lt;'Line Follower'!$C$6,SUM(C111:K111)&lt;4),1,0)</f>
        <v>#N/A</v>
      </c>
      <c r="T111" s="4" t="e">
        <f t="shared" si="7"/>
        <v>#N/A</v>
      </c>
      <c r="U111" s="5" t="e">
        <f t="shared" si="8"/>
        <v>#N/A</v>
      </c>
      <c r="V111" s="23" t="e">
        <f t="shared" si="9"/>
        <v>#N/A</v>
      </c>
    </row>
    <row r="112" spans="2:22" x14ac:dyDescent="0.25">
      <c r="B112" s="16">
        <v>1</v>
      </c>
      <c r="C112" s="7">
        <v>0</v>
      </c>
      <c r="D112" s="8">
        <v>1</v>
      </c>
      <c r="E112" s="8">
        <v>1</v>
      </c>
      <c r="F112" s="8">
        <v>0</v>
      </c>
      <c r="G112" s="8">
        <v>1</v>
      </c>
      <c r="H112" s="8">
        <v>1</v>
      </c>
      <c r="I112" s="8">
        <v>0</v>
      </c>
      <c r="J112" s="8">
        <v>0</v>
      </c>
      <c r="K112" s="9">
        <v>0</v>
      </c>
      <c r="L112" s="10">
        <v>0</v>
      </c>
      <c r="M112" s="6">
        <v>0</v>
      </c>
      <c r="N112" s="37" t="e" cm="1">
        <f t="array" ref="N112">IF(OR(ISNUMBER(FIND(Aux!$D$3:$D$9,_xlfn.TEXTJOIN(,,C112:K112)))),NA(),IF(AND(SUM(C112:F112,H112:K112)=0,G112=1),0,INT((SUMPRODUCT(C112:F112,COLUMN($A$1:$D$1)-1)+SUMPRODUCT(H112:K112,COLUMN($E$1:$H$1)-1))*'Line Follower'!$C$3/SUM(C112:F112,H112:K112)-'Line Follower'!$C$5)))</f>
        <v>#N/A</v>
      </c>
      <c r="O112" s="22" t="e">
        <v>#N/A</v>
      </c>
      <c r="P112" s="4" t="e">
        <f t="shared" si="5"/>
        <v>#N/A</v>
      </c>
      <c r="Q112" s="4" t="e">
        <f t="shared" si="6"/>
        <v>#N/A</v>
      </c>
      <c r="R112" s="4" t="e">
        <f>IF(AND(B112=1,N112&gt;'Line Follower'!$C$7,SUM(C112:K112)&lt;4),1,0)</f>
        <v>#N/A</v>
      </c>
      <c r="S112" s="4" t="e">
        <f>IF(AND(L112=1,N112&lt;'Line Follower'!$C$6,SUM(C112:K112)&lt;4),1,0)</f>
        <v>#N/A</v>
      </c>
      <c r="T112" s="4" t="e">
        <f t="shared" si="7"/>
        <v>#N/A</v>
      </c>
      <c r="U112" s="5" t="e">
        <f t="shared" si="8"/>
        <v>#N/A</v>
      </c>
      <c r="V112" s="23" t="e">
        <f t="shared" si="9"/>
        <v>#N/A</v>
      </c>
    </row>
    <row r="113" spans="2:22" x14ac:dyDescent="0.25">
      <c r="B113" s="16">
        <v>0</v>
      </c>
      <c r="C113" s="7">
        <v>1</v>
      </c>
      <c r="D113" s="8">
        <v>1</v>
      </c>
      <c r="E113" s="8">
        <v>1</v>
      </c>
      <c r="F113" s="8">
        <v>0</v>
      </c>
      <c r="G113" s="8">
        <v>1</v>
      </c>
      <c r="H113" s="8">
        <v>1</v>
      </c>
      <c r="I113" s="8">
        <v>0</v>
      </c>
      <c r="J113" s="8">
        <v>0</v>
      </c>
      <c r="K113" s="9">
        <v>0</v>
      </c>
      <c r="L113" s="10">
        <v>0</v>
      </c>
      <c r="M113" s="6">
        <v>0</v>
      </c>
      <c r="N113" s="37" t="e" cm="1">
        <f t="array" ref="N113">IF(OR(ISNUMBER(FIND(Aux!$D$3:$D$9,_xlfn.TEXTJOIN(,,C113:K113)))),NA(),IF(AND(SUM(C113:F113,H113:K113)=0,G113=1),0,INT((SUMPRODUCT(C113:F113,COLUMN($A$1:$D$1)-1)+SUMPRODUCT(H113:K113,COLUMN($E$1:$H$1)-1))*'Line Follower'!$C$3/SUM(C113:F113,H113:K113)-'Line Follower'!$C$5)))</f>
        <v>#N/A</v>
      </c>
      <c r="O113" s="22" t="e">
        <v>#N/A</v>
      </c>
      <c r="P113" s="4" t="e">
        <f t="shared" si="5"/>
        <v>#N/A</v>
      </c>
      <c r="Q113" s="4" t="e">
        <f t="shared" si="6"/>
        <v>#N/A</v>
      </c>
      <c r="R113" s="4" t="e">
        <f>IF(AND(B113=1,N113&gt;'Line Follower'!$C$7,SUM(C113:K113)&lt;4),1,0)</f>
        <v>#N/A</v>
      </c>
      <c r="S113" s="4" t="e">
        <f>IF(AND(L113=1,N113&lt;'Line Follower'!$C$6,SUM(C113:K113)&lt;4),1,0)</f>
        <v>#N/A</v>
      </c>
      <c r="T113" s="4" t="e">
        <f t="shared" si="7"/>
        <v>#N/A</v>
      </c>
      <c r="U113" s="5" t="e">
        <f t="shared" si="8"/>
        <v>#N/A</v>
      </c>
      <c r="V113" s="23" t="e">
        <f t="shared" si="9"/>
        <v>#N/A</v>
      </c>
    </row>
    <row r="114" spans="2:22" x14ac:dyDescent="0.25">
      <c r="B114" s="16">
        <v>1</v>
      </c>
      <c r="C114" s="7">
        <v>1</v>
      </c>
      <c r="D114" s="8">
        <v>1</v>
      </c>
      <c r="E114" s="8">
        <v>1</v>
      </c>
      <c r="F114" s="8">
        <v>0</v>
      </c>
      <c r="G114" s="8">
        <v>1</v>
      </c>
      <c r="H114" s="8">
        <v>1</v>
      </c>
      <c r="I114" s="8">
        <v>0</v>
      </c>
      <c r="J114" s="8">
        <v>0</v>
      </c>
      <c r="K114" s="9">
        <v>0</v>
      </c>
      <c r="L114" s="10">
        <v>0</v>
      </c>
      <c r="M114" s="6">
        <v>0</v>
      </c>
      <c r="N114" s="37" t="e" cm="1">
        <f t="array" ref="N114">IF(OR(ISNUMBER(FIND(Aux!$D$3:$D$9,_xlfn.TEXTJOIN(,,C114:K114)))),NA(),IF(AND(SUM(C114:F114,H114:K114)=0,G114=1),0,INT((SUMPRODUCT(C114:F114,COLUMN($A$1:$D$1)-1)+SUMPRODUCT(H114:K114,COLUMN($E$1:$H$1)-1))*'Line Follower'!$C$3/SUM(C114:F114,H114:K114)-'Line Follower'!$C$5)))</f>
        <v>#N/A</v>
      </c>
      <c r="O114" s="22" t="e">
        <v>#N/A</v>
      </c>
      <c r="P114" s="4" t="e">
        <f t="shared" si="5"/>
        <v>#N/A</v>
      </c>
      <c r="Q114" s="4" t="e">
        <f t="shared" si="6"/>
        <v>#N/A</v>
      </c>
      <c r="R114" s="4" t="e">
        <f>IF(AND(B114=1,N114&gt;'Line Follower'!$C$7,SUM(C114:K114)&lt;4),1,0)</f>
        <v>#N/A</v>
      </c>
      <c r="S114" s="4" t="e">
        <f>IF(AND(L114=1,N114&lt;'Line Follower'!$C$6,SUM(C114:K114)&lt;4),1,0)</f>
        <v>#N/A</v>
      </c>
      <c r="T114" s="4" t="e">
        <f t="shared" si="7"/>
        <v>#N/A</v>
      </c>
      <c r="U114" s="5" t="e">
        <f t="shared" si="8"/>
        <v>#N/A</v>
      </c>
      <c r="V114" s="23" t="e">
        <f t="shared" si="9"/>
        <v>#N/A</v>
      </c>
    </row>
    <row r="115" spans="2:22" x14ac:dyDescent="0.25">
      <c r="B115" s="16">
        <v>0</v>
      </c>
      <c r="C115" s="7">
        <v>0</v>
      </c>
      <c r="D115" s="8">
        <v>0</v>
      </c>
      <c r="E115" s="8">
        <v>0</v>
      </c>
      <c r="F115" s="8">
        <v>1</v>
      </c>
      <c r="G115" s="8">
        <v>1</v>
      </c>
      <c r="H115" s="8">
        <v>1</v>
      </c>
      <c r="I115" s="8">
        <v>0</v>
      </c>
      <c r="J115" s="8">
        <v>0</v>
      </c>
      <c r="K115" s="9">
        <v>0</v>
      </c>
      <c r="L115" s="10">
        <v>0</v>
      </c>
      <c r="M115" s="6">
        <v>0</v>
      </c>
      <c r="N115" s="37" cm="1">
        <f t="array" ref="N115">IF(OR(ISNUMBER(FIND(Aux!$D$3:$D$9,_xlfn.TEXTJOIN(,,C115:K115)))),NA(),IF(AND(SUM(C115:F115,H115:K115)=0,G115=1),0,INT((SUMPRODUCT(C115:F115,COLUMN($A$1:$D$1)-1)+SUMPRODUCT(H115:K115,COLUMN($E$1:$H$1)-1))*'Line Follower'!$C$3/SUM(C115:F115,H115:K115)-'Line Follower'!$C$5)))</f>
        <v>0</v>
      </c>
      <c r="O115" s="22">
        <v>1</v>
      </c>
      <c r="P115" s="4">
        <f t="shared" si="5"/>
        <v>0</v>
      </c>
      <c r="Q115" s="4">
        <f t="shared" si="6"/>
        <v>0</v>
      </c>
      <c r="R115" s="4">
        <f>IF(AND(B115=1,N115&gt;'Line Follower'!$C$7,SUM(C115:K115)&lt;4),1,0)</f>
        <v>0</v>
      </c>
      <c r="S115" s="4">
        <f>IF(AND(L115=1,N115&lt;'Line Follower'!$C$6,SUM(C115:K115)&lt;4),1,0)</f>
        <v>0</v>
      </c>
      <c r="T115" s="4">
        <f t="shared" si="7"/>
        <v>0</v>
      </c>
      <c r="U115" s="5">
        <f t="shared" si="8"/>
        <v>0</v>
      </c>
      <c r="V115" s="23">
        <f t="shared" si="9"/>
        <v>0</v>
      </c>
    </row>
    <row r="116" spans="2:22" x14ac:dyDescent="0.25">
      <c r="B116" s="16">
        <v>1</v>
      </c>
      <c r="C116" s="7">
        <v>0</v>
      </c>
      <c r="D116" s="8">
        <v>0</v>
      </c>
      <c r="E116" s="8">
        <v>0</v>
      </c>
      <c r="F116" s="8">
        <v>1</v>
      </c>
      <c r="G116" s="8">
        <v>1</v>
      </c>
      <c r="H116" s="8">
        <v>1</v>
      </c>
      <c r="I116" s="8">
        <v>0</v>
      </c>
      <c r="J116" s="8">
        <v>0</v>
      </c>
      <c r="K116" s="9">
        <v>0</v>
      </c>
      <c r="L116" s="10">
        <v>0</v>
      </c>
      <c r="M116" s="6">
        <v>0</v>
      </c>
      <c r="N116" s="37" cm="1">
        <f t="array" ref="N116">IF(OR(ISNUMBER(FIND(Aux!$D$3:$D$9,_xlfn.TEXTJOIN(,,C116:K116)))),NA(),IF(AND(SUM(C116:F116,H116:K116)=0,G116=1),0,INT((SUMPRODUCT(C116:F116,COLUMN($A$1:$D$1)-1)+SUMPRODUCT(H116:K116,COLUMN($E$1:$H$1)-1))*'Line Follower'!$C$3/SUM(C116:F116,H116:K116)-'Line Follower'!$C$5)))</f>
        <v>0</v>
      </c>
      <c r="O116" s="22">
        <v>1</v>
      </c>
      <c r="P116" s="4">
        <f t="shared" si="5"/>
        <v>0</v>
      </c>
      <c r="Q116" s="4">
        <f t="shared" si="6"/>
        <v>0</v>
      </c>
      <c r="R116" s="4">
        <f>IF(AND(B116=1,N116&gt;'Line Follower'!$C$7,SUM(C116:K116)&lt;4),1,0)</f>
        <v>1</v>
      </c>
      <c r="S116" s="4">
        <f>IF(AND(L116=1,N116&lt;'Line Follower'!$C$6,SUM(C116:K116)&lt;4),1,0)</f>
        <v>0</v>
      </c>
      <c r="T116" s="4">
        <f t="shared" si="7"/>
        <v>0</v>
      </c>
      <c r="U116" s="5">
        <f t="shared" si="8"/>
        <v>0</v>
      </c>
      <c r="V116" s="23">
        <f t="shared" si="9"/>
        <v>0</v>
      </c>
    </row>
    <row r="117" spans="2:22" x14ac:dyDescent="0.25">
      <c r="B117" s="16">
        <v>0</v>
      </c>
      <c r="C117" s="7">
        <v>1</v>
      </c>
      <c r="D117" s="8">
        <v>0</v>
      </c>
      <c r="E117" s="8">
        <v>0</v>
      </c>
      <c r="F117" s="8">
        <v>1</v>
      </c>
      <c r="G117" s="8">
        <v>1</v>
      </c>
      <c r="H117" s="8">
        <v>1</v>
      </c>
      <c r="I117" s="8">
        <v>0</v>
      </c>
      <c r="J117" s="8">
        <v>0</v>
      </c>
      <c r="K117" s="9">
        <v>0</v>
      </c>
      <c r="L117" s="10">
        <v>0</v>
      </c>
      <c r="M117" s="6">
        <v>0</v>
      </c>
      <c r="N117" s="37" t="e" cm="1">
        <f t="array" ref="N117">IF(OR(ISNUMBER(FIND(Aux!$D$3:$D$9,_xlfn.TEXTJOIN(,,C117:K117)))),NA(),IF(AND(SUM(C117:F117,H117:K117)=0,G117=1),0,INT((SUMPRODUCT(C117:F117,COLUMN($A$1:$D$1)-1)+SUMPRODUCT(H117:K117,COLUMN($E$1:$H$1)-1))*'Line Follower'!$C$3/SUM(C117:F117,H117:K117)-'Line Follower'!$C$5)))</f>
        <v>#N/A</v>
      </c>
      <c r="O117" s="22" t="e">
        <v>#N/A</v>
      </c>
      <c r="P117" s="4" t="e">
        <f t="shared" si="5"/>
        <v>#N/A</v>
      </c>
      <c r="Q117" s="4" t="e">
        <f t="shared" si="6"/>
        <v>#N/A</v>
      </c>
      <c r="R117" s="4" t="e">
        <f>IF(AND(B117=1,N117&gt;'Line Follower'!$C$7,SUM(C117:K117)&lt;4),1,0)</f>
        <v>#N/A</v>
      </c>
      <c r="S117" s="4" t="e">
        <f>IF(AND(L117=1,N117&lt;'Line Follower'!$C$6,SUM(C117:K117)&lt;4),1,0)</f>
        <v>#N/A</v>
      </c>
      <c r="T117" s="4" t="e">
        <f t="shared" si="7"/>
        <v>#N/A</v>
      </c>
      <c r="U117" s="5" t="e">
        <f t="shared" si="8"/>
        <v>#N/A</v>
      </c>
      <c r="V117" s="23" t="e">
        <f t="shared" si="9"/>
        <v>#N/A</v>
      </c>
    </row>
    <row r="118" spans="2:22" x14ac:dyDescent="0.25">
      <c r="B118" s="16">
        <v>1</v>
      </c>
      <c r="C118" s="7">
        <v>1</v>
      </c>
      <c r="D118" s="8">
        <v>0</v>
      </c>
      <c r="E118" s="8">
        <v>0</v>
      </c>
      <c r="F118" s="8">
        <v>1</v>
      </c>
      <c r="G118" s="8">
        <v>1</v>
      </c>
      <c r="H118" s="8">
        <v>1</v>
      </c>
      <c r="I118" s="8">
        <v>0</v>
      </c>
      <c r="J118" s="8">
        <v>0</v>
      </c>
      <c r="K118" s="9">
        <v>0</v>
      </c>
      <c r="L118" s="10">
        <v>0</v>
      </c>
      <c r="M118" s="6">
        <v>0</v>
      </c>
      <c r="N118" s="37" t="e" cm="1">
        <f t="array" ref="N118">IF(OR(ISNUMBER(FIND(Aux!$D$3:$D$9,_xlfn.TEXTJOIN(,,C118:K118)))),NA(),IF(AND(SUM(C118:F118,H118:K118)=0,G118=1),0,INT((SUMPRODUCT(C118:F118,COLUMN($A$1:$D$1)-1)+SUMPRODUCT(H118:K118,COLUMN($E$1:$H$1)-1))*'Line Follower'!$C$3/SUM(C118:F118,H118:K118)-'Line Follower'!$C$5)))</f>
        <v>#N/A</v>
      </c>
      <c r="O118" s="22" t="e">
        <v>#N/A</v>
      </c>
      <c r="P118" s="4" t="e">
        <f t="shared" si="5"/>
        <v>#N/A</v>
      </c>
      <c r="Q118" s="4" t="e">
        <f t="shared" si="6"/>
        <v>#N/A</v>
      </c>
      <c r="R118" s="4" t="e">
        <f>IF(AND(B118=1,N118&gt;'Line Follower'!$C$7,SUM(C118:K118)&lt;4),1,0)</f>
        <v>#N/A</v>
      </c>
      <c r="S118" s="4" t="e">
        <f>IF(AND(L118=1,N118&lt;'Line Follower'!$C$6,SUM(C118:K118)&lt;4),1,0)</f>
        <v>#N/A</v>
      </c>
      <c r="T118" s="4" t="e">
        <f t="shared" si="7"/>
        <v>#N/A</v>
      </c>
      <c r="U118" s="5" t="e">
        <f t="shared" si="8"/>
        <v>#N/A</v>
      </c>
      <c r="V118" s="23" t="e">
        <f t="shared" si="9"/>
        <v>#N/A</v>
      </c>
    </row>
    <row r="119" spans="2:22" x14ac:dyDescent="0.25">
      <c r="B119" s="16">
        <v>0</v>
      </c>
      <c r="C119" s="7">
        <v>0</v>
      </c>
      <c r="D119" s="8">
        <v>1</v>
      </c>
      <c r="E119" s="8">
        <v>0</v>
      </c>
      <c r="F119" s="8">
        <v>1</v>
      </c>
      <c r="G119" s="8">
        <v>1</v>
      </c>
      <c r="H119" s="8">
        <v>1</v>
      </c>
      <c r="I119" s="8">
        <v>0</v>
      </c>
      <c r="J119" s="8">
        <v>0</v>
      </c>
      <c r="K119" s="9">
        <v>0</v>
      </c>
      <c r="L119" s="10">
        <v>0</v>
      </c>
      <c r="M119" s="6">
        <v>0</v>
      </c>
      <c r="N119" s="37" t="e" cm="1">
        <f t="array" ref="N119">IF(OR(ISNUMBER(FIND(Aux!$D$3:$D$9,_xlfn.TEXTJOIN(,,C119:K119)))),NA(),IF(AND(SUM(C119:F119,H119:K119)=0,G119=1),0,INT((SUMPRODUCT(C119:F119,COLUMN($A$1:$D$1)-1)+SUMPRODUCT(H119:K119,COLUMN($E$1:$H$1)-1))*'Line Follower'!$C$3/SUM(C119:F119,H119:K119)-'Line Follower'!$C$5)))</f>
        <v>#N/A</v>
      </c>
      <c r="O119" s="22" t="e">
        <v>#N/A</v>
      </c>
      <c r="P119" s="4" t="e">
        <f t="shared" si="5"/>
        <v>#N/A</v>
      </c>
      <c r="Q119" s="4" t="e">
        <f t="shared" si="6"/>
        <v>#N/A</v>
      </c>
      <c r="R119" s="4" t="e">
        <f>IF(AND(B119=1,N119&gt;'Line Follower'!$C$7,SUM(C119:K119)&lt;4),1,0)</f>
        <v>#N/A</v>
      </c>
      <c r="S119" s="4" t="e">
        <f>IF(AND(L119=1,N119&lt;'Line Follower'!$C$6,SUM(C119:K119)&lt;4),1,0)</f>
        <v>#N/A</v>
      </c>
      <c r="T119" s="4" t="e">
        <f t="shared" si="7"/>
        <v>#N/A</v>
      </c>
      <c r="U119" s="5" t="e">
        <f t="shared" si="8"/>
        <v>#N/A</v>
      </c>
      <c r="V119" s="23" t="e">
        <f t="shared" si="9"/>
        <v>#N/A</v>
      </c>
    </row>
    <row r="120" spans="2:22" x14ac:dyDescent="0.25">
      <c r="B120" s="16">
        <v>1</v>
      </c>
      <c r="C120" s="7">
        <v>0</v>
      </c>
      <c r="D120" s="8">
        <v>1</v>
      </c>
      <c r="E120" s="8">
        <v>0</v>
      </c>
      <c r="F120" s="8">
        <v>1</v>
      </c>
      <c r="G120" s="8">
        <v>1</v>
      </c>
      <c r="H120" s="8">
        <v>1</v>
      </c>
      <c r="I120" s="8">
        <v>0</v>
      </c>
      <c r="J120" s="8">
        <v>0</v>
      </c>
      <c r="K120" s="9">
        <v>0</v>
      </c>
      <c r="L120" s="10">
        <v>0</v>
      </c>
      <c r="M120" s="6">
        <v>0</v>
      </c>
      <c r="N120" s="37" t="e" cm="1">
        <f t="array" ref="N120">IF(OR(ISNUMBER(FIND(Aux!$D$3:$D$9,_xlfn.TEXTJOIN(,,C120:K120)))),NA(),IF(AND(SUM(C120:F120,H120:K120)=0,G120=1),0,INT((SUMPRODUCT(C120:F120,COLUMN($A$1:$D$1)-1)+SUMPRODUCT(H120:K120,COLUMN($E$1:$H$1)-1))*'Line Follower'!$C$3/SUM(C120:F120,H120:K120)-'Line Follower'!$C$5)))</f>
        <v>#N/A</v>
      </c>
      <c r="O120" s="22" t="e">
        <v>#N/A</v>
      </c>
      <c r="P120" s="4" t="e">
        <f t="shared" si="5"/>
        <v>#N/A</v>
      </c>
      <c r="Q120" s="4" t="e">
        <f t="shared" si="6"/>
        <v>#N/A</v>
      </c>
      <c r="R120" s="4" t="e">
        <f>IF(AND(B120=1,N120&gt;'Line Follower'!$C$7,SUM(C120:K120)&lt;4),1,0)</f>
        <v>#N/A</v>
      </c>
      <c r="S120" s="4" t="e">
        <f>IF(AND(L120=1,N120&lt;'Line Follower'!$C$6,SUM(C120:K120)&lt;4),1,0)</f>
        <v>#N/A</v>
      </c>
      <c r="T120" s="4" t="e">
        <f t="shared" si="7"/>
        <v>#N/A</v>
      </c>
      <c r="U120" s="5" t="e">
        <f t="shared" si="8"/>
        <v>#N/A</v>
      </c>
      <c r="V120" s="23" t="e">
        <f t="shared" si="9"/>
        <v>#N/A</v>
      </c>
    </row>
    <row r="121" spans="2:22" x14ac:dyDescent="0.25">
      <c r="B121" s="16">
        <v>0</v>
      </c>
      <c r="C121" s="7">
        <v>1</v>
      </c>
      <c r="D121" s="8">
        <v>1</v>
      </c>
      <c r="E121" s="8">
        <v>0</v>
      </c>
      <c r="F121" s="8">
        <v>1</v>
      </c>
      <c r="G121" s="8">
        <v>1</v>
      </c>
      <c r="H121" s="8">
        <v>1</v>
      </c>
      <c r="I121" s="8">
        <v>0</v>
      </c>
      <c r="J121" s="8">
        <v>0</v>
      </c>
      <c r="K121" s="9">
        <v>0</v>
      </c>
      <c r="L121" s="10">
        <v>0</v>
      </c>
      <c r="M121" s="6">
        <v>0</v>
      </c>
      <c r="N121" s="37" t="e" cm="1">
        <f t="array" ref="N121">IF(OR(ISNUMBER(FIND(Aux!$D$3:$D$9,_xlfn.TEXTJOIN(,,C121:K121)))),NA(),IF(AND(SUM(C121:F121,H121:K121)=0,G121=1),0,INT((SUMPRODUCT(C121:F121,COLUMN($A$1:$D$1)-1)+SUMPRODUCT(H121:K121,COLUMN($E$1:$H$1)-1))*'Line Follower'!$C$3/SUM(C121:F121,H121:K121)-'Line Follower'!$C$5)))</f>
        <v>#N/A</v>
      </c>
      <c r="O121" s="22" t="e">
        <v>#N/A</v>
      </c>
      <c r="P121" s="4" t="e">
        <f t="shared" si="5"/>
        <v>#N/A</v>
      </c>
      <c r="Q121" s="4" t="e">
        <f t="shared" si="6"/>
        <v>#N/A</v>
      </c>
      <c r="R121" s="4" t="e">
        <f>IF(AND(B121=1,N121&gt;'Line Follower'!$C$7,SUM(C121:K121)&lt;4),1,0)</f>
        <v>#N/A</v>
      </c>
      <c r="S121" s="4" t="e">
        <f>IF(AND(L121=1,N121&lt;'Line Follower'!$C$6,SUM(C121:K121)&lt;4),1,0)</f>
        <v>#N/A</v>
      </c>
      <c r="T121" s="4" t="e">
        <f t="shared" si="7"/>
        <v>#N/A</v>
      </c>
      <c r="U121" s="5" t="e">
        <f t="shared" si="8"/>
        <v>#N/A</v>
      </c>
      <c r="V121" s="23" t="e">
        <f t="shared" si="9"/>
        <v>#N/A</v>
      </c>
    </row>
    <row r="122" spans="2:22" x14ac:dyDescent="0.25">
      <c r="B122" s="16">
        <v>1</v>
      </c>
      <c r="C122" s="7">
        <v>1</v>
      </c>
      <c r="D122" s="8">
        <v>1</v>
      </c>
      <c r="E122" s="8">
        <v>0</v>
      </c>
      <c r="F122" s="8">
        <v>1</v>
      </c>
      <c r="G122" s="8">
        <v>1</v>
      </c>
      <c r="H122" s="8">
        <v>1</v>
      </c>
      <c r="I122" s="8">
        <v>0</v>
      </c>
      <c r="J122" s="8">
        <v>0</v>
      </c>
      <c r="K122" s="9">
        <v>0</v>
      </c>
      <c r="L122" s="10">
        <v>0</v>
      </c>
      <c r="M122" s="6">
        <v>0</v>
      </c>
      <c r="N122" s="37" t="e" cm="1">
        <f t="array" ref="N122">IF(OR(ISNUMBER(FIND(Aux!$D$3:$D$9,_xlfn.TEXTJOIN(,,C122:K122)))),NA(),IF(AND(SUM(C122:F122,H122:K122)=0,G122=1),0,INT((SUMPRODUCT(C122:F122,COLUMN($A$1:$D$1)-1)+SUMPRODUCT(H122:K122,COLUMN($E$1:$H$1)-1))*'Line Follower'!$C$3/SUM(C122:F122,H122:K122)-'Line Follower'!$C$5)))</f>
        <v>#N/A</v>
      </c>
      <c r="O122" s="22" t="e">
        <v>#N/A</v>
      </c>
      <c r="P122" s="4" t="e">
        <f t="shared" si="5"/>
        <v>#N/A</v>
      </c>
      <c r="Q122" s="4" t="e">
        <f t="shared" si="6"/>
        <v>#N/A</v>
      </c>
      <c r="R122" s="4" t="e">
        <f>IF(AND(B122=1,N122&gt;'Line Follower'!$C$7,SUM(C122:K122)&lt;4),1,0)</f>
        <v>#N/A</v>
      </c>
      <c r="S122" s="4" t="e">
        <f>IF(AND(L122=1,N122&lt;'Line Follower'!$C$6,SUM(C122:K122)&lt;4),1,0)</f>
        <v>#N/A</v>
      </c>
      <c r="T122" s="4" t="e">
        <f t="shared" si="7"/>
        <v>#N/A</v>
      </c>
      <c r="U122" s="5" t="e">
        <f t="shared" si="8"/>
        <v>#N/A</v>
      </c>
      <c r="V122" s="23" t="e">
        <f t="shared" si="9"/>
        <v>#N/A</v>
      </c>
    </row>
    <row r="123" spans="2:22" x14ac:dyDescent="0.25">
      <c r="B123" s="16">
        <v>0</v>
      </c>
      <c r="C123" s="7">
        <v>0</v>
      </c>
      <c r="D123" s="8">
        <v>0</v>
      </c>
      <c r="E123" s="8">
        <v>1</v>
      </c>
      <c r="F123" s="8">
        <v>1</v>
      </c>
      <c r="G123" s="8">
        <v>1</v>
      </c>
      <c r="H123" s="8">
        <v>1</v>
      </c>
      <c r="I123" s="8">
        <v>0</v>
      </c>
      <c r="J123" s="8">
        <v>0</v>
      </c>
      <c r="K123" s="9">
        <v>0</v>
      </c>
      <c r="L123" s="10">
        <v>0</v>
      </c>
      <c r="M123" s="6">
        <v>0</v>
      </c>
      <c r="N123" s="37" cm="1">
        <f t="array" ref="N123">IF(OR(ISNUMBER(FIND(Aux!$D$3:$D$9,_xlfn.TEXTJOIN(,,C123:K123)))),NA(),IF(AND(SUM(C123:F123,H123:K123)=0,G123=1),0,INT((SUMPRODUCT(C123:F123,COLUMN($A$1:$D$1)-1)+SUMPRODUCT(H123:K123,COLUMN($E$1:$H$1)-1))*'Line Follower'!$C$3/SUM(C123:F123,H123:K123)-'Line Follower'!$C$5)))</f>
        <v>-1</v>
      </c>
      <c r="O123" s="22">
        <v>1</v>
      </c>
      <c r="P123" s="4">
        <f t="shared" si="5"/>
        <v>0</v>
      </c>
      <c r="Q123" s="4">
        <f t="shared" si="6"/>
        <v>1</v>
      </c>
      <c r="R123" s="4">
        <f>IF(AND(B123=1,N123&gt;'Line Follower'!$C$7,SUM(C123:K123)&lt;4),1,0)</f>
        <v>0</v>
      </c>
      <c r="S123" s="4">
        <f>IF(AND(L123=1,N123&lt;'Line Follower'!$C$6,SUM(C123:K123)&lt;4),1,0)</f>
        <v>0</v>
      </c>
      <c r="T123" s="4">
        <f t="shared" si="7"/>
        <v>0</v>
      </c>
      <c r="U123" s="5">
        <f t="shared" si="8"/>
        <v>0</v>
      </c>
      <c r="V123" s="23">
        <f t="shared" si="9"/>
        <v>0</v>
      </c>
    </row>
    <row r="124" spans="2:22" x14ac:dyDescent="0.25">
      <c r="B124" s="16">
        <v>1</v>
      </c>
      <c r="C124" s="7">
        <v>0</v>
      </c>
      <c r="D124" s="8">
        <v>0</v>
      </c>
      <c r="E124" s="8">
        <v>1</v>
      </c>
      <c r="F124" s="8">
        <v>1</v>
      </c>
      <c r="G124" s="8">
        <v>1</v>
      </c>
      <c r="H124" s="8">
        <v>1</v>
      </c>
      <c r="I124" s="8">
        <v>0</v>
      </c>
      <c r="J124" s="8">
        <v>0</v>
      </c>
      <c r="K124" s="9">
        <v>0</v>
      </c>
      <c r="L124" s="10">
        <v>0</v>
      </c>
      <c r="M124" s="6">
        <v>0</v>
      </c>
      <c r="N124" s="37" cm="1">
        <f t="array" ref="N124">IF(OR(ISNUMBER(FIND(Aux!$D$3:$D$9,_xlfn.TEXTJOIN(,,C124:K124)))),NA(),IF(AND(SUM(C124:F124,H124:K124)=0,G124=1),0,INT((SUMPRODUCT(C124:F124,COLUMN($A$1:$D$1)-1)+SUMPRODUCT(H124:K124,COLUMN($E$1:$H$1)-1))*'Line Follower'!$C$3/SUM(C124:F124,H124:K124)-'Line Follower'!$C$5)))</f>
        <v>-1</v>
      </c>
      <c r="O124" s="22">
        <v>1</v>
      </c>
      <c r="P124" s="4">
        <f t="shared" si="5"/>
        <v>0</v>
      </c>
      <c r="Q124" s="4">
        <f t="shared" si="6"/>
        <v>1</v>
      </c>
      <c r="R124" s="4">
        <f>IF(AND(B124=1,N124&gt;'Line Follower'!$C$7,SUM(C124:K124)&lt;4),1,0)</f>
        <v>0</v>
      </c>
      <c r="S124" s="4">
        <f>IF(AND(L124=1,N124&lt;'Line Follower'!$C$6,SUM(C124:K124)&lt;4),1,0)</f>
        <v>0</v>
      </c>
      <c r="T124" s="4">
        <f t="shared" si="7"/>
        <v>0</v>
      </c>
      <c r="U124" s="5">
        <f t="shared" si="8"/>
        <v>0</v>
      </c>
      <c r="V124" s="23">
        <f t="shared" si="9"/>
        <v>0</v>
      </c>
    </row>
    <row r="125" spans="2:22" x14ac:dyDescent="0.25">
      <c r="B125" s="16">
        <v>0</v>
      </c>
      <c r="C125" s="7">
        <v>1</v>
      </c>
      <c r="D125" s="8">
        <v>0</v>
      </c>
      <c r="E125" s="8">
        <v>1</v>
      </c>
      <c r="F125" s="8">
        <v>1</v>
      </c>
      <c r="G125" s="8">
        <v>1</v>
      </c>
      <c r="H125" s="8">
        <v>1</v>
      </c>
      <c r="I125" s="8">
        <v>0</v>
      </c>
      <c r="J125" s="8">
        <v>0</v>
      </c>
      <c r="K125" s="9">
        <v>0</v>
      </c>
      <c r="L125" s="10">
        <v>0</v>
      </c>
      <c r="M125" s="6">
        <v>0</v>
      </c>
      <c r="N125" s="37" t="e" cm="1">
        <f t="array" ref="N125">IF(OR(ISNUMBER(FIND(Aux!$D$3:$D$9,_xlfn.TEXTJOIN(,,C125:K125)))),NA(),IF(AND(SUM(C125:F125,H125:K125)=0,G125=1),0,INT((SUMPRODUCT(C125:F125,COLUMN($A$1:$D$1)-1)+SUMPRODUCT(H125:K125,COLUMN($E$1:$H$1)-1))*'Line Follower'!$C$3/SUM(C125:F125,H125:K125)-'Line Follower'!$C$5)))</f>
        <v>#N/A</v>
      </c>
      <c r="O125" s="22" t="e">
        <v>#N/A</v>
      </c>
      <c r="P125" s="4" t="e">
        <f t="shared" si="5"/>
        <v>#N/A</v>
      </c>
      <c r="Q125" s="4" t="e">
        <f t="shared" si="6"/>
        <v>#N/A</v>
      </c>
      <c r="R125" s="4" t="e">
        <f>IF(AND(B125=1,N125&gt;'Line Follower'!$C$7,SUM(C125:K125)&lt;4),1,0)</f>
        <v>#N/A</v>
      </c>
      <c r="S125" s="4" t="e">
        <f>IF(AND(L125=1,N125&lt;'Line Follower'!$C$6,SUM(C125:K125)&lt;4),1,0)</f>
        <v>#N/A</v>
      </c>
      <c r="T125" s="4" t="e">
        <f t="shared" si="7"/>
        <v>#N/A</v>
      </c>
      <c r="U125" s="5" t="e">
        <f t="shared" si="8"/>
        <v>#N/A</v>
      </c>
      <c r="V125" s="23" t="e">
        <f t="shared" si="9"/>
        <v>#N/A</v>
      </c>
    </row>
    <row r="126" spans="2:22" x14ac:dyDescent="0.25">
      <c r="B126" s="16">
        <v>1</v>
      </c>
      <c r="C126" s="7">
        <v>1</v>
      </c>
      <c r="D126" s="8">
        <v>0</v>
      </c>
      <c r="E126" s="8">
        <v>1</v>
      </c>
      <c r="F126" s="8">
        <v>1</v>
      </c>
      <c r="G126" s="8">
        <v>1</v>
      </c>
      <c r="H126" s="8">
        <v>1</v>
      </c>
      <c r="I126" s="8">
        <v>0</v>
      </c>
      <c r="J126" s="8">
        <v>0</v>
      </c>
      <c r="K126" s="9">
        <v>0</v>
      </c>
      <c r="L126" s="10">
        <v>0</v>
      </c>
      <c r="M126" s="6">
        <v>0</v>
      </c>
      <c r="N126" s="37" t="e" cm="1">
        <f t="array" ref="N126">IF(OR(ISNUMBER(FIND(Aux!$D$3:$D$9,_xlfn.TEXTJOIN(,,C126:K126)))),NA(),IF(AND(SUM(C126:F126,H126:K126)=0,G126=1),0,INT((SUMPRODUCT(C126:F126,COLUMN($A$1:$D$1)-1)+SUMPRODUCT(H126:K126,COLUMN($E$1:$H$1)-1))*'Line Follower'!$C$3/SUM(C126:F126,H126:K126)-'Line Follower'!$C$5)))</f>
        <v>#N/A</v>
      </c>
      <c r="O126" s="22" t="e">
        <v>#N/A</v>
      </c>
      <c r="P126" s="4" t="e">
        <f t="shared" si="5"/>
        <v>#N/A</v>
      </c>
      <c r="Q126" s="4" t="e">
        <f t="shared" si="6"/>
        <v>#N/A</v>
      </c>
      <c r="R126" s="4" t="e">
        <f>IF(AND(B126=1,N126&gt;'Line Follower'!$C$7,SUM(C126:K126)&lt;4),1,0)</f>
        <v>#N/A</v>
      </c>
      <c r="S126" s="4" t="e">
        <f>IF(AND(L126=1,N126&lt;'Line Follower'!$C$6,SUM(C126:K126)&lt;4),1,0)</f>
        <v>#N/A</v>
      </c>
      <c r="T126" s="4" t="e">
        <f t="shared" si="7"/>
        <v>#N/A</v>
      </c>
      <c r="U126" s="5" t="e">
        <f t="shared" si="8"/>
        <v>#N/A</v>
      </c>
      <c r="V126" s="23" t="e">
        <f t="shared" si="9"/>
        <v>#N/A</v>
      </c>
    </row>
    <row r="127" spans="2:22" x14ac:dyDescent="0.25">
      <c r="B127" s="16">
        <v>0</v>
      </c>
      <c r="C127" s="7">
        <v>0</v>
      </c>
      <c r="D127" s="8">
        <v>1</v>
      </c>
      <c r="E127" s="8">
        <v>1</v>
      </c>
      <c r="F127" s="8">
        <v>1</v>
      </c>
      <c r="G127" s="8">
        <v>1</v>
      </c>
      <c r="H127" s="8">
        <v>1</v>
      </c>
      <c r="I127" s="8">
        <v>0</v>
      </c>
      <c r="J127" s="8">
        <v>0</v>
      </c>
      <c r="K127" s="9">
        <v>0</v>
      </c>
      <c r="L127" s="10">
        <v>0</v>
      </c>
      <c r="M127" s="6">
        <v>0</v>
      </c>
      <c r="N127" s="37" cm="1">
        <f t="array" ref="N127">IF(OR(ISNUMBER(FIND(Aux!$D$3:$D$9,_xlfn.TEXTJOIN(,,C127:K127)))),NA(),IF(AND(SUM(C127:F127,H127:K127)=0,G127=1),0,INT((SUMPRODUCT(C127:F127,COLUMN($A$1:$D$1)-1)+SUMPRODUCT(H127:K127,COLUMN($E$1:$H$1)-1))*'Line Follower'!$C$3/SUM(C127:F127,H127:K127)-'Line Follower'!$C$5)))</f>
        <v>-2</v>
      </c>
      <c r="O127" s="22">
        <v>1</v>
      </c>
      <c r="P127" s="4">
        <f t="shared" si="5"/>
        <v>0</v>
      </c>
      <c r="Q127" s="4">
        <f t="shared" si="6"/>
        <v>1</v>
      </c>
      <c r="R127" s="4">
        <f>IF(AND(B127=1,N127&gt;'Line Follower'!$C$7,SUM(C127:K127)&lt;4),1,0)</f>
        <v>0</v>
      </c>
      <c r="S127" s="4">
        <f>IF(AND(L127=1,N127&lt;'Line Follower'!$C$6,SUM(C127:K127)&lt;4),1,0)</f>
        <v>0</v>
      </c>
      <c r="T127" s="4">
        <f t="shared" si="7"/>
        <v>0</v>
      </c>
      <c r="U127" s="5">
        <f t="shared" si="8"/>
        <v>0</v>
      </c>
      <c r="V127" s="23">
        <f t="shared" si="9"/>
        <v>0</v>
      </c>
    </row>
    <row r="128" spans="2:22" x14ac:dyDescent="0.25">
      <c r="B128" s="16">
        <v>1</v>
      </c>
      <c r="C128" s="7">
        <v>0</v>
      </c>
      <c r="D128" s="8">
        <v>1</v>
      </c>
      <c r="E128" s="8">
        <v>1</v>
      </c>
      <c r="F128" s="8">
        <v>1</v>
      </c>
      <c r="G128" s="8">
        <v>1</v>
      </c>
      <c r="H128" s="8">
        <v>1</v>
      </c>
      <c r="I128" s="8">
        <v>0</v>
      </c>
      <c r="J128" s="8">
        <v>0</v>
      </c>
      <c r="K128" s="9">
        <v>0</v>
      </c>
      <c r="L128" s="10">
        <v>0</v>
      </c>
      <c r="M128" s="6">
        <v>0</v>
      </c>
      <c r="N128" s="37" cm="1">
        <f t="array" ref="N128">IF(OR(ISNUMBER(FIND(Aux!$D$3:$D$9,_xlfn.TEXTJOIN(,,C128:K128)))),NA(),IF(AND(SUM(C128:F128,H128:K128)=0,G128=1),0,INT((SUMPRODUCT(C128:F128,COLUMN($A$1:$D$1)-1)+SUMPRODUCT(H128:K128,COLUMN($E$1:$H$1)-1))*'Line Follower'!$C$3/SUM(C128:F128,H128:K128)-'Line Follower'!$C$5)))</f>
        <v>-2</v>
      </c>
      <c r="O128" s="22">
        <v>1</v>
      </c>
      <c r="P128" s="4">
        <f t="shared" si="5"/>
        <v>0</v>
      </c>
      <c r="Q128" s="4">
        <f t="shared" si="6"/>
        <v>1</v>
      </c>
      <c r="R128" s="4">
        <f>IF(AND(B128=1,N128&gt;'Line Follower'!$C$7,SUM(C128:K128)&lt;4),1,0)</f>
        <v>0</v>
      </c>
      <c r="S128" s="4">
        <f>IF(AND(L128=1,N128&lt;'Line Follower'!$C$6,SUM(C128:K128)&lt;4),1,0)</f>
        <v>0</v>
      </c>
      <c r="T128" s="4">
        <f t="shared" si="7"/>
        <v>0</v>
      </c>
      <c r="U128" s="5">
        <f t="shared" si="8"/>
        <v>0</v>
      </c>
      <c r="V128" s="23">
        <f t="shared" si="9"/>
        <v>0</v>
      </c>
    </row>
    <row r="129" spans="2:22" x14ac:dyDescent="0.25">
      <c r="B129" s="16">
        <v>0</v>
      </c>
      <c r="C129" s="7">
        <v>1</v>
      </c>
      <c r="D129" s="8">
        <v>1</v>
      </c>
      <c r="E129" s="8">
        <v>1</v>
      </c>
      <c r="F129" s="8">
        <v>1</v>
      </c>
      <c r="G129" s="8">
        <v>1</v>
      </c>
      <c r="H129" s="8">
        <v>1</v>
      </c>
      <c r="I129" s="8">
        <v>0</v>
      </c>
      <c r="J129" s="8">
        <v>0</v>
      </c>
      <c r="K129" s="9">
        <v>0</v>
      </c>
      <c r="L129" s="10">
        <v>0</v>
      </c>
      <c r="M129" s="6">
        <v>0</v>
      </c>
      <c r="N129" s="37" cm="1">
        <f t="array" ref="N129">IF(OR(ISNUMBER(FIND(Aux!$D$3:$D$9,_xlfn.TEXTJOIN(,,C129:K129)))),NA(),IF(AND(SUM(C129:F129,H129:K129)=0,G129=1),0,INT((SUMPRODUCT(C129:F129,COLUMN($A$1:$D$1)-1)+SUMPRODUCT(H129:K129,COLUMN($E$1:$H$1)-1))*'Line Follower'!$C$3/SUM(C129:F129,H129:K129)-'Line Follower'!$C$5)))</f>
        <v>-3</v>
      </c>
      <c r="O129" s="22">
        <v>1</v>
      </c>
      <c r="P129" s="4">
        <f t="shared" si="5"/>
        <v>0</v>
      </c>
      <c r="Q129" s="4">
        <f t="shared" si="6"/>
        <v>1</v>
      </c>
      <c r="R129" s="4">
        <f>IF(AND(B129=1,N129&gt;'Line Follower'!$C$7,SUM(C129:K129)&lt;4),1,0)</f>
        <v>0</v>
      </c>
      <c r="S129" s="4">
        <f>IF(AND(L129=1,N129&lt;'Line Follower'!$C$6,SUM(C129:K129)&lt;4),1,0)</f>
        <v>0</v>
      </c>
      <c r="T129" s="4">
        <f t="shared" si="7"/>
        <v>0</v>
      </c>
      <c r="U129" s="5">
        <f t="shared" si="8"/>
        <v>0</v>
      </c>
      <c r="V129" s="23">
        <f t="shared" si="9"/>
        <v>0</v>
      </c>
    </row>
    <row r="130" spans="2:22" x14ac:dyDescent="0.25">
      <c r="B130" s="16">
        <v>1</v>
      </c>
      <c r="C130" s="7">
        <v>1</v>
      </c>
      <c r="D130" s="8">
        <v>1</v>
      </c>
      <c r="E130" s="8">
        <v>1</v>
      </c>
      <c r="F130" s="8">
        <v>1</v>
      </c>
      <c r="G130" s="8">
        <v>1</v>
      </c>
      <c r="H130" s="8">
        <v>1</v>
      </c>
      <c r="I130" s="8">
        <v>0</v>
      </c>
      <c r="J130" s="8">
        <v>0</v>
      </c>
      <c r="K130" s="9">
        <v>0</v>
      </c>
      <c r="L130" s="10">
        <v>0</v>
      </c>
      <c r="M130" s="6">
        <v>0</v>
      </c>
      <c r="N130" s="37" cm="1">
        <f t="array" ref="N130">IF(OR(ISNUMBER(FIND(Aux!$D$3:$D$9,_xlfn.TEXTJOIN(,,C130:K130)))),NA(),IF(AND(SUM(C130:F130,H130:K130)=0,G130=1),0,INT((SUMPRODUCT(C130:F130,COLUMN($A$1:$D$1)-1)+SUMPRODUCT(H130:K130,COLUMN($E$1:$H$1)-1))*'Line Follower'!$C$3/SUM(C130:F130,H130:K130)-'Line Follower'!$C$5)))</f>
        <v>-3</v>
      </c>
      <c r="O130" s="22">
        <v>1</v>
      </c>
      <c r="P130" s="4">
        <f t="shared" si="5"/>
        <v>0</v>
      </c>
      <c r="Q130" s="4">
        <f t="shared" si="6"/>
        <v>1</v>
      </c>
      <c r="R130" s="4">
        <f>IF(AND(B130=1,N130&gt;'Line Follower'!$C$7,SUM(C130:K130)&lt;4),1,0)</f>
        <v>0</v>
      </c>
      <c r="S130" s="4">
        <f>IF(AND(L130=1,N130&lt;'Line Follower'!$C$6,SUM(C130:K130)&lt;4),1,0)</f>
        <v>0</v>
      </c>
      <c r="T130" s="4">
        <f t="shared" si="7"/>
        <v>0</v>
      </c>
      <c r="U130" s="5">
        <f t="shared" si="8"/>
        <v>0</v>
      </c>
      <c r="V130" s="23">
        <f t="shared" si="9"/>
        <v>0</v>
      </c>
    </row>
    <row r="131" spans="2:22" x14ac:dyDescent="0.25">
      <c r="B131" s="16">
        <v>0</v>
      </c>
      <c r="C131" s="7">
        <v>0</v>
      </c>
      <c r="D131" s="8">
        <v>0</v>
      </c>
      <c r="E131" s="8">
        <v>0</v>
      </c>
      <c r="F131" s="8">
        <v>0</v>
      </c>
      <c r="G131" s="8">
        <v>0</v>
      </c>
      <c r="H131" s="8">
        <v>0</v>
      </c>
      <c r="I131" s="8">
        <v>1</v>
      </c>
      <c r="J131" s="8">
        <v>0</v>
      </c>
      <c r="K131" s="9">
        <v>0</v>
      </c>
      <c r="L131" s="10">
        <v>0</v>
      </c>
      <c r="M131" s="6">
        <v>0</v>
      </c>
      <c r="N131" s="37" cm="1">
        <f t="array" ref="N131">IF(OR(ISNUMBER(FIND(Aux!$D$3:$D$9,_xlfn.TEXTJOIN(,,C131:K131)))),NA(),IF(AND(SUM(C131:F131,H131:K131)=0,G131=1),0,INT((SUMPRODUCT(C131:F131,COLUMN($A$1:$D$1)-1)+SUMPRODUCT(H131:K131,COLUMN($E$1:$H$1)-1))*'Line Follower'!$C$3/SUM(C131:F131,H131:K131)-'Line Follower'!$C$5)))</f>
        <v>3</v>
      </c>
      <c r="O131" s="22">
        <v>1</v>
      </c>
      <c r="P131" s="4">
        <f t="shared" ref="P131:P194" si="10">IF(AND(N131=0,G131=1,M131=1),1,0)</f>
        <v>0</v>
      </c>
      <c r="Q131" s="4">
        <f t="shared" ref="Q131:Q194" si="11">IF(ISERROR(N131),N131,IF(SUM(C131:K131)&gt;=4,1,0))</f>
        <v>0</v>
      </c>
      <c r="R131" s="4">
        <f>IF(AND(B131=1,N131&gt;'Line Follower'!$C$7,SUM(C131:K131)&lt;4),1,0)</f>
        <v>0</v>
      </c>
      <c r="S131" s="4">
        <f>IF(AND(L131=1,N131&lt;'Line Follower'!$C$6,SUM(C131:K131)&lt;4),1,0)</f>
        <v>0</v>
      </c>
      <c r="T131" s="4">
        <f t="shared" si="7"/>
        <v>0</v>
      </c>
      <c r="U131" s="5">
        <f t="shared" si="8"/>
        <v>0</v>
      </c>
      <c r="V131" s="23">
        <f t="shared" si="9"/>
        <v>0</v>
      </c>
    </row>
    <row r="132" spans="2:22" x14ac:dyDescent="0.25">
      <c r="B132" s="16">
        <v>1</v>
      </c>
      <c r="C132" s="7">
        <v>0</v>
      </c>
      <c r="D132" s="8">
        <v>0</v>
      </c>
      <c r="E132" s="8">
        <v>0</v>
      </c>
      <c r="F132" s="8">
        <v>0</v>
      </c>
      <c r="G132" s="8">
        <v>0</v>
      </c>
      <c r="H132" s="8">
        <v>0</v>
      </c>
      <c r="I132" s="8">
        <v>1</v>
      </c>
      <c r="J132" s="8">
        <v>0</v>
      </c>
      <c r="K132" s="9">
        <v>0</v>
      </c>
      <c r="L132" s="10">
        <v>0</v>
      </c>
      <c r="M132" s="6">
        <v>0</v>
      </c>
      <c r="N132" s="37" cm="1">
        <f t="array" ref="N132">IF(OR(ISNUMBER(FIND(Aux!$D$3:$D$9,_xlfn.TEXTJOIN(,,C132:K132)))),NA(),IF(AND(SUM(C132:F132,H132:K132)=0,G132=1),0,INT((SUMPRODUCT(C132:F132,COLUMN($A$1:$D$1)-1)+SUMPRODUCT(H132:K132,COLUMN($E$1:$H$1)-1))*'Line Follower'!$C$3/SUM(C132:F132,H132:K132)-'Line Follower'!$C$5)))</f>
        <v>3</v>
      </c>
      <c r="O132" s="22">
        <v>1</v>
      </c>
      <c r="P132" s="4">
        <f t="shared" si="10"/>
        <v>0</v>
      </c>
      <c r="Q132" s="4">
        <f t="shared" si="11"/>
        <v>0</v>
      </c>
      <c r="R132" s="4">
        <f>IF(AND(B132=1,N132&gt;'Line Follower'!$C$7,SUM(C132:K132)&lt;4),1,0)</f>
        <v>1</v>
      </c>
      <c r="S132" s="4">
        <f>IF(AND(L132=1,N132&lt;'Line Follower'!$C$6,SUM(C132:K132)&lt;4),1,0)</f>
        <v>0</v>
      </c>
      <c r="T132" s="4">
        <f t="shared" ref="T132:T195" si="12">IF(ISNA(N132),NA(),IF(SUM(C132:L132)=0,1,0))</f>
        <v>0</v>
      </c>
      <c r="U132" s="5">
        <f t="shared" ref="U132:U195" si="13">IF(ISNA(N132),NA(),IF(SUM(B132:K132)=0,1,0))</f>
        <v>0</v>
      </c>
      <c r="V132" s="23">
        <f t="shared" ref="V132:V195" si="14">IF(ISNA(N132),NA(),IF(SUM(B132:L132)=0,1,0))</f>
        <v>0</v>
      </c>
    </row>
    <row r="133" spans="2:22" x14ac:dyDescent="0.25">
      <c r="B133" s="16">
        <v>0</v>
      </c>
      <c r="C133" s="7">
        <v>1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1</v>
      </c>
      <c r="J133" s="8">
        <v>0</v>
      </c>
      <c r="K133" s="9">
        <v>0</v>
      </c>
      <c r="L133" s="10">
        <v>0</v>
      </c>
      <c r="M133" s="6">
        <v>0</v>
      </c>
      <c r="N133" s="37" t="e" cm="1">
        <f t="array" ref="N133">IF(OR(ISNUMBER(FIND(Aux!$D$3:$D$9,_xlfn.TEXTJOIN(,,C133:K133)))),NA(),IF(AND(SUM(C133:F133,H133:K133)=0,G133=1),0,INT((SUMPRODUCT(C133:F133,COLUMN($A$1:$D$1)-1)+SUMPRODUCT(H133:K133,COLUMN($E$1:$H$1)-1))*'Line Follower'!$C$3/SUM(C133:F133,H133:K133)-'Line Follower'!$C$5)))</f>
        <v>#N/A</v>
      </c>
      <c r="O133" s="22" t="e">
        <v>#N/A</v>
      </c>
      <c r="P133" s="4" t="e">
        <f t="shared" si="10"/>
        <v>#N/A</v>
      </c>
      <c r="Q133" s="4" t="e">
        <f t="shared" si="11"/>
        <v>#N/A</v>
      </c>
      <c r="R133" s="4" t="e">
        <f>IF(AND(B133=1,N133&gt;'Line Follower'!$C$7,SUM(C133:K133)&lt;4),1,0)</f>
        <v>#N/A</v>
      </c>
      <c r="S133" s="4" t="e">
        <f>IF(AND(L133=1,N133&lt;'Line Follower'!$C$6,SUM(C133:K133)&lt;4),1,0)</f>
        <v>#N/A</v>
      </c>
      <c r="T133" s="4" t="e">
        <f t="shared" si="12"/>
        <v>#N/A</v>
      </c>
      <c r="U133" s="5" t="e">
        <f t="shared" si="13"/>
        <v>#N/A</v>
      </c>
      <c r="V133" s="23" t="e">
        <f t="shared" si="14"/>
        <v>#N/A</v>
      </c>
    </row>
    <row r="134" spans="2:22" x14ac:dyDescent="0.25">
      <c r="B134" s="16">
        <v>1</v>
      </c>
      <c r="C134" s="7">
        <v>1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1</v>
      </c>
      <c r="J134" s="8">
        <v>0</v>
      </c>
      <c r="K134" s="9">
        <v>0</v>
      </c>
      <c r="L134" s="10">
        <v>0</v>
      </c>
      <c r="M134" s="6">
        <v>0</v>
      </c>
      <c r="N134" s="37" t="e" cm="1">
        <f t="array" ref="N134">IF(OR(ISNUMBER(FIND(Aux!$D$3:$D$9,_xlfn.TEXTJOIN(,,C134:K134)))),NA(),IF(AND(SUM(C134:F134,H134:K134)=0,G134=1),0,INT((SUMPRODUCT(C134:F134,COLUMN($A$1:$D$1)-1)+SUMPRODUCT(H134:K134,COLUMN($E$1:$H$1)-1))*'Line Follower'!$C$3/SUM(C134:F134,H134:K134)-'Line Follower'!$C$5)))</f>
        <v>#N/A</v>
      </c>
      <c r="O134" s="22" t="e">
        <v>#N/A</v>
      </c>
      <c r="P134" s="4" t="e">
        <f t="shared" si="10"/>
        <v>#N/A</v>
      </c>
      <c r="Q134" s="4" t="e">
        <f t="shared" si="11"/>
        <v>#N/A</v>
      </c>
      <c r="R134" s="4" t="e">
        <f>IF(AND(B134=1,N134&gt;'Line Follower'!$C$7,SUM(C134:K134)&lt;4),1,0)</f>
        <v>#N/A</v>
      </c>
      <c r="S134" s="4" t="e">
        <f>IF(AND(L134=1,N134&lt;'Line Follower'!$C$6,SUM(C134:K134)&lt;4),1,0)</f>
        <v>#N/A</v>
      </c>
      <c r="T134" s="4" t="e">
        <f t="shared" si="12"/>
        <v>#N/A</v>
      </c>
      <c r="U134" s="5" t="e">
        <f t="shared" si="13"/>
        <v>#N/A</v>
      </c>
      <c r="V134" s="23" t="e">
        <f t="shared" si="14"/>
        <v>#N/A</v>
      </c>
    </row>
    <row r="135" spans="2:22" x14ac:dyDescent="0.25">
      <c r="B135" s="16">
        <v>0</v>
      </c>
      <c r="C135" s="7">
        <v>0</v>
      </c>
      <c r="D135" s="8">
        <v>1</v>
      </c>
      <c r="E135" s="8">
        <v>0</v>
      </c>
      <c r="F135" s="8">
        <v>0</v>
      </c>
      <c r="G135" s="8">
        <v>0</v>
      </c>
      <c r="H135" s="8">
        <v>0</v>
      </c>
      <c r="I135" s="8">
        <v>1</v>
      </c>
      <c r="J135" s="8">
        <v>0</v>
      </c>
      <c r="K135" s="9">
        <v>0</v>
      </c>
      <c r="L135" s="10">
        <v>0</v>
      </c>
      <c r="M135" s="6">
        <v>0</v>
      </c>
      <c r="N135" s="37" t="e" cm="1">
        <f t="array" ref="N135">IF(OR(ISNUMBER(FIND(Aux!$D$3:$D$9,_xlfn.TEXTJOIN(,,C135:K135)))),NA(),IF(AND(SUM(C135:F135,H135:K135)=0,G135=1),0,INT((SUMPRODUCT(C135:F135,COLUMN($A$1:$D$1)-1)+SUMPRODUCT(H135:K135,COLUMN($E$1:$H$1)-1))*'Line Follower'!$C$3/SUM(C135:F135,H135:K135)-'Line Follower'!$C$5)))</f>
        <v>#N/A</v>
      </c>
      <c r="O135" s="22" t="e">
        <v>#N/A</v>
      </c>
      <c r="P135" s="4" t="e">
        <f t="shared" si="10"/>
        <v>#N/A</v>
      </c>
      <c r="Q135" s="4" t="e">
        <f t="shared" si="11"/>
        <v>#N/A</v>
      </c>
      <c r="R135" s="4" t="e">
        <f>IF(AND(B135=1,N135&gt;'Line Follower'!$C$7,SUM(C135:K135)&lt;4),1,0)</f>
        <v>#N/A</v>
      </c>
      <c r="S135" s="4" t="e">
        <f>IF(AND(L135=1,N135&lt;'Line Follower'!$C$6,SUM(C135:K135)&lt;4),1,0)</f>
        <v>#N/A</v>
      </c>
      <c r="T135" s="4" t="e">
        <f t="shared" si="12"/>
        <v>#N/A</v>
      </c>
      <c r="U135" s="5" t="e">
        <f t="shared" si="13"/>
        <v>#N/A</v>
      </c>
      <c r="V135" s="23" t="e">
        <f t="shared" si="14"/>
        <v>#N/A</v>
      </c>
    </row>
    <row r="136" spans="2:22" x14ac:dyDescent="0.25">
      <c r="B136" s="16">
        <v>1</v>
      </c>
      <c r="C136" s="7">
        <v>0</v>
      </c>
      <c r="D136" s="8">
        <v>1</v>
      </c>
      <c r="E136" s="8">
        <v>0</v>
      </c>
      <c r="F136" s="8">
        <v>0</v>
      </c>
      <c r="G136" s="8">
        <v>0</v>
      </c>
      <c r="H136" s="8">
        <v>0</v>
      </c>
      <c r="I136" s="8">
        <v>1</v>
      </c>
      <c r="J136" s="8">
        <v>0</v>
      </c>
      <c r="K136" s="9">
        <v>0</v>
      </c>
      <c r="L136" s="10">
        <v>0</v>
      </c>
      <c r="M136" s="6">
        <v>0</v>
      </c>
      <c r="N136" s="37" t="e" cm="1">
        <f t="array" ref="N136">IF(OR(ISNUMBER(FIND(Aux!$D$3:$D$9,_xlfn.TEXTJOIN(,,C136:K136)))),NA(),IF(AND(SUM(C136:F136,H136:K136)=0,G136=1),0,INT((SUMPRODUCT(C136:F136,COLUMN($A$1:$D$1)-1)+SUMPRODUCT(H136:K136,COLUMN($E$1:$H$1)-1))*'Line Follower'!$C$3/SUM(C136:F136,H136:K136)-'Line Follower'!$C$5)))</f>
        <v>#N/A</v>
      </c>
      <c r="O136" s="22" t="e">
        <v>#N/A</v>
      </c>
      <c r="P136" s="4" t="e">
        <f t="shared" si="10"/>
        <v>#N/A</v>
      </c>
      <c r="Q136" s="4" t="e">
        <f t="shared" si="11"/>
        <v>#N/A</v>
      </c>
      <c r="R136" s="4" t="e">
        <f>IF(AND(B136=1,N136&gt;'Line Follower'!$C$7,SUM(C136:K136)&lt;4),1,0)</f>
        <v>#N/A</v>
      </c>
      <c r="S136" s="4" t="e">
        <f>IF(AND(L136=1,N136&lt;'Line Follower'!$C$6,SUM(C136:K136)&lt;4),1,0)</f>
        <v>#N/A</v>
      </c>
      <c r="T136" s="4" t="e">
        <f t="shared" si="12"/>
        <v>#N/A</v>
      </c>
      <c r="U136" s="5" t="e">
        <f t="shared" si="13"/>
        <v>#N/A</v>
      </c>
      <c r="V136" s="23" t="e">
        <f t="shared" si="14"/>
        <v>#N/A</v>
      </c>
    </row>
    <row r="137" spans="2:22" x14ac:dyDescent="0.25">
      <c r="B137" s="16">
        <v>0</v>
      </c>
      <c r="C137" s="7">
        <v>1</v>
      </c>
      <c r="D137" s="8">
        <v>1</v>
      </c>
      <c r="E137" s="8">
        <v>0</v>
      </c>
      <c r="F137" s="8">
        <v>0</v>
      </c>
      <c r="G137" s="8">
        <v>0</v>
      </c>
      <c r="H137" s="8">
        <v>0</v>
      </c>
      <c r="I137" s="8">
        <v>1</v>
      </c>
      <c r="J137" s="8">
        <v>0</v>
      </c>
      <c r="K137" s="9">
        <v>0</v>
      </c>
      <c r="L137" s="10">
        <v>0</v>
      </c>
      <c r="M137" s="6">
        <v>0</v>
      </c>
      <c r="N137" s="37" t="e" cm="1">
        <f t="array" ref="N137">IF(OR(ISNUMBER(FIND(Aux!$D$3:$D$9,_xlfn.TEXTJOIN(,,C137:K137)))),NA(),IF(AND(SUM(C137:F137,H137:K137)=0,G137=1),0,INT((SUMPRODUCT(C137:F137,COLUMN($A$1:$D$1)-1)+SUMPRODUCT(H137:K137,COLUMN($E$1:$H$1)-1))*'Line Follower'!$C$3/SUM(C137:F137,H137:K137)-'Line Follower'!$C$5)))</f>
        <v>#N/A</v>
      </c>
      <c r="O137" s="22" t="e">
        <v>#N/A</v>
      </c>
      <c r="P137" s="4" t="e">
        <f t="shared" si="10"/>
        <v>#N/A</v>
      </c>
      <c r="Q137" s="4" t="e">
        <f t="shared" si="11"/>
        <v>#N/A</v>
      </c>
      <c r="R137" s="4" t="e">
        <f>IF(AND(B137=1,N137&gt;'Line Follower'!$C$7,SUM(C137:K137)&lt;4),1,0)</f>
        <v>#N/A</v>
      </c>
      <c r="S137" s="4" t="e">
        <f>IF(AND(L137=1,N137&lt;'Line Follower'!$C$6,SUM(C137:K137)&lt;4),1,0)</f>
        <v>#N/A</v>
      </c>
      <c r="T137" s="4" t="e">
        <f t="shared" si="12"/>
        <v>#N/A</v>
      </c>
      <c r="U137" s="5" t="e">
        <f t="shared" si="13"/>
        <v>#N/A</v>
      </c>
      <c r="V137" s="23" t="e">
        <f t="shared" si="14"/>
        <v>#N/A</v>
      </c>
    </row>
    <row r="138" spans="2:22" x14ac:dyDescent="0.25">
      <c r="B138" s="16">
        <v>1</v>
      </c>
      <c r="C138" s="7">
        <v>1</v>
      </c>
      <c r="D138" s="8">
        <v>1</v>
      </c>
      <c r="E138" s="8">
        <v>0</v>
      </c>
      <c r="F138" s="8">
        <v>0</v>
      </c>
      <c r="G138" s="8">
        <v>0</v>
      </c>
      <c r="H138" s="8">
        <v>0</v>
      </c>
      <c r="I138" s="8">
        <v>1</v>
      </c>
      <c r="J138" s="8">
        <v>0</v>
      </c>
      <c r="K138" s="9">
        <v>0</v>
      </c>
      <c r="L138" s="10">
        <v>0</v>
      </c>
      <c r="M138" s="6">
        <v>0</v>
      </c>
      <c r="N138" s="37" t="e" cm="1">
        <f t="array" ref="N138">IF(OR(ISNUMBER(FIND(Aux!$D$3:$D$9,_xlfn.TEXTJOIN(,,C138:K138)))),NA(),IF(AND(SUM(C138:F138,H138:K138)=0,G138=1),0,INT((SUMPRODUCT(C138:F138,COLUMN($A$1:$D$1)-1)+SUMPRODUCT(H138:K138,COLUMN($E$1:$H$1)-1))*'Line Follower'!$C$3/SUM(C138:F138,H138:K138)-'Line Follower'!$C$5)))</f>
        <v>#N/A</v>
      </c>
      <c r="O138" s="22" t="e">
        <v>#N/A</v>
      </c>
      <c r="P138" s="4" t="e">
        <f t="shared" si="10"/>
        <v>#N/A</v>
      </c>
      <c r="Q138" s="4" t="e">
        <f t="shared" si="11"/>
        <v>#N/A</v>
      </c>
      <c r="R138" s="4" t="e">
        <f>IF(AND(B138=1,N138&gt;'Line Follower'!$C$7,SUM(C138:K138)&lt;4),1,0)</f>
        <v>#N/A</v>
      </c>
      <c r="S138" s="4" t="e">
        <f>IF(AND(L138=1,N138&lt;'Line Follower'!$C$6,SUM(C138:K138)&lt;4),1,0)</f>
        <v>#N/A</v>
      </c>
      <c r="T138" s="4" t="e">
        <f t="shared" si="12"/>
        <v>#N/A</v>
      </c>
      <c r="U138" s="5" t="e">
        <f t="shared" si="13"/>
        <v>#N/A</v>
      </c>
      <c r="V138" s="23" t="e">
        <f t="shared" si="14"/>
        <v>#N/A</v>
      </c>
    </row>
    <row r="139" spans="2:22" x14ac:dyDescent="0.25">
      <c r="B139" s="16">
        <v>0</v>
      </c>
      <c r="C139" s="7">
        <v>0</v>
      </c>
      <c r="D139" s="8">
        <v>0</v>
      </c>
      <c r="E139" s="8">
        <v>1</v>
      </c>
      <c r="F139" s="8">
        <v>0</v>
      </c>
      <c r="G139" s="8">
        <v>0</v>
      </c>
      <c r="H139" s="8">
        <v>0</v>
      </c>
      <c r="I139" s="8">
        <v>1</v>
      </c>
      <c r="J139" s="8">
        <v>0</v>
      </c>
      <c r="K139" s="9">
        <v>0</v>
      </c>
      <c r="L139" s="10">
        <v>0</v>
      </c>
      <c r="M139" s="6">
        <v>0</v>
      </c>
      <c r="N139" s="37" t="e" cm="1">
        <f t="array" ref="N139">IF(OR(ISNUMBER(FIND(Aux!$D$3:$D$9,_xlfn.TEXTJOIN(,,C139:K139)))),NA(),IF(AND(SUM(C139:F139,H139:K139)=0,G139=1),0,INT((SUMPRODUCT(C139:F139,COLUMN($A$1:$D$1)-1)+SUMPRODUCT(H139:K139,COLUMN($E$1:$H$1)-1))*'Line Follower'!$C$3/SUM(C139:F139,H139:K139)-'Line Follower'!$C$5)))</f>
        <v>#N/A</v>
      </c>
      <c r="O139" s="22" t="e">
        <v>#N/A</v>
      </c>
      <c r="P139" s="4" t="e">
        <f t="shared" si="10"/>
        <v>#N/A</v>
      </c>
      <c r="Q139" s="4" t="e">
        <f t="shared" si="11"/>
        <v>#N/A</v>
      </c>
      <c r="R139" s="4" t="e">
        <f>IF(AND(B139=1,N139&gt;'Line Follower'!$C$7,SUM(C139:K139)&lt;4),1,0)</f>
        <v>#N/A</v>
      </c>
      <c r="S139" s="4" t="e">
        <f>IF(AND(L139=1,N139&lt;'Line Follower'!$C$6,SUM(C139:K139)&lt;4),1,0)</f>
        <v>#N/A</v>
      </c>
      <c r="T139" s="4" t="e">
        <f t="shared" si="12"/>
        <v>#N/A</v>
      </c>
      <c r="U139" s="5" t="e">
        <f t="shared" si="13"/>
        <v>#N/A</v>
      </c>
      <c r="V139" s="23" t="e">
        <f t="shared" si="14"/>
        <v>#N/A</v>
      </c>
    </row>
    <row r="140" spans="2:22" x14ac:dyDescent="0.25">
      <c r="B140" s="16">
        <v>1</v>
      </c>
      <c r="C140" s="7">
        <v>0</v>
      </c>
      <c r="D140" s="8">
        <v>0</v>
      </c>
      <c r="E140" s="8">
        <v>1</v>
      </c>
      <c r="F140" s="8">
        <v>0</v>
      </c>
      <c r="G140" s="8">
        <v>0</v>
      </c>
      <c r="H140" s="8">
        <v>0</v>
      </c>
      <c r="I140" s="8">
        <v>1</v>
      </c>
      <c r="J140" s="8">
        <v>0</v>
      </c>
      <c r="K140" s="9">
        <v>0</v>
      </c>
      <c r="L140" s="10">
        <v>0</v>
      </c>
      <c r="M140" s="6">
        <v>0</v>
      </c>
      <c r="N140" s="37" t="e" cm="1">
        <f t="array" ref="N140">IF(OR(ISNUMBER(FIND(Aux!$D$3:$D$9,_xlfn.TEXTJOIN(,,C140:K140)))),NA(),IF(AND(SUM(C140:F140,H140:K140)=0,G140=1),0,INT((SUMPRODUCT(C140:F140,COLUMN($A$1:$D$1)-1)+SUMPRODUCT(H140:K140,COLUMN($E$1:$H$1)-1))*'Line Follower'!$C$3/SUM(C140:F140,H140:K140)-'Line Follower'!$C$5)))</f>
        <v>#N/A</v>
      </c>
      <c r="O140" s="22" t="e">
        <v>#N/A</v>
      </c>
      <c r="P140" s="4" t="e">
        <f t="shared" si="10"/>
        <v>#N/A</v>
      </c>
      <c r="Q140" s="4" t="e">
        <f t="shared" si="11"/>
        <v>#N/A</v>
      </c>
      <c r="R140" s="4" t="e">
        <f>IF(AND(B140=1,N140&gt;'Line Follower'!$C$7,SUM(C140:K140)&lt;4),1,0)</f>
        <v>#N/A</v>
      </c>
      <c r="S140" s="4" t="e">
        <f>IF(AND(L140=1,N140&lt;'Line Follower'!$C$6,SUM(C140:K140)&lt;4),1,0)</f>
        <v>#N/A</v>
      </c>
      <c r="T140" s="4" t="e">
        <f t="shared" si="12"/>
        <v>#N/A</v>
      </c>
      <c r="U140" s="5" t="e">
        <f t="shared" si="13"/>
        <v>#N/A</v>
      </c>
      <c r="V140" s="23" t="e">
        <f t="shared" si="14"/>
        <v>#N/A</v>
      </c>
    </row>
    <row r="141" spans="2:22" x14ac:dyDescent="0.25">
      <c r="B141" s="16">
        <v>0</v>
      </c>
      <c r="C141" s="7">
        <v>1</v>
      </c>
      <c r="D141" s="8">
        <v>0</v>
      </c>
      <c r="E141" s="8">
        <v>1</v>
      </c>
      <c r="F141" s="8">
        <v>0</v>
      </c>
      <c r="G141" s="8">
        <v>0</v>
      </c>
      <c r="H141" s="8">
        <v>0</v>
      </c>
      <c r="I141" s="8">
        <v>1</v>
      </c>
      <c r="J141" s="8">
        <v>0</v>
      </c>
      <c r="K141" s="9">
        <v>0</v>
      </c>
      <c r="L141" s="10">
        <v>0</v>
      </c>
      <c r="M141" s="6">
        <v>0</v>
      </c>
      <c r="N141" s="37" t="e" cm="1">
        <f t="array" ref="N141">IF(OR(ISNUMBER(FIND(Aux!$D$3:$D$9,_xlfn.TEXTJOIN(,,C141:K141)))),NA(),IF(AND(SUM(C141:F141,H141:K141)=0,G141=1),0,INT((SUMPRODUCT(C141:F141,COLUMN($A$1:$D$1)-1)+SUMPRODUCT(H141:K141,COLUMN($E$1:$H$1)-1))*'Line Follower'!$C$3/SUM(C141:F141,H141:K141)-'Line Follower'!$C$5)))</f>
        <v>#N/A</v>
      </c>
      <c r="O141" s="22" t="e">
        <v>#N/A</v>
      </c>
      <c r="P141" s="4" t="e">
        <f t="shared" si="10"/>
        <v>#N/A</v>
      </c>
      <c r="Q141" s="4" t="e">
        <f t="shared" si="11"/>
        <v>#N/A</v>
      </c>
      <c r="R141" s="4" t="e">
        <f>IF(AND(B141=1,N141&gt;'Line Follower'!$C$7,SUM(C141:K141)&lt;4),1,0)</f>
        <v>#N/A</v>
      </c>
      <c r="S141" s="4" t="e">
        <f>IF(AND(L141=1,N141&lt;'Line Follower'!$C$6,SUM(C141:K141)&lt;4),1,0)</f>
        <v>#N/A</v>
      </c>
      <c r="T141" s="4" t="e">
        <f t="shared" si="12"/>
        <v>#N/A</v>
      </c>
      <c r="U141" s="5" t="e">
        <f t="shared" si="13"/>
        <v>#N/A</v>
      </c>
      <c r="V141" s="23" t="e">
        <f t="shared" si="14"/>
        <v>#N/A</v>
      </c>
    </row>
    <row r="142" spans="2:22" x14ac:dyDescent="0.25">
      <c r="B142" s="16">
        <v>1</v>
      </c>
      <c r="C142" s="7">
        <v>1</v>
      </c>
      <c r="D142" s="8">
        <v>0</v>
      </c>
      <c r="E142" s="8">
        <v>1</v>
      </c>
      <c r="F142" s="8">
        <v>0</v>
      </c>
      <c r="G142" s="8">
        <v>0</v>
      </c>
      <c r="H142" s="8">
        <v>0</v>
      </c>
      <c r="I142" s="8">
        <v>1</v>
      </c>
      <c r="J142" s="8">
        <v>0</v>
      </c>
      <c r="K142" s="9">
        <v>0</v>
      </c>
      <c r="L142" s="10">
        <v>0</v>
      </c>
      <c r="M142" s="6">
        <v>0</v>
      </c>
      <c r="N142" s="37" t="e" cm="1">
        <f t="array" ref="N142">IF(OR(ISNUMBER(FIND(Aux!$D$3:$D$9,_xlfn.TEXTJOIN(,,C142:K142)))),NA(),IF(AND(SUM(C142:F142,H142:K142)=0,G142=1),0,INT((SUMPRODUCT(C142:F142,COLUMN($A$1:$D$1)-1)+SUMPRODUCT(H142:K142,COLUMN($E$1:$H$1)-1))*'Line Follower'!$C$3/SUM(C142:F142,H142:K142)-'Line Follower'!$C$5)))</f>
        <v>#N/A</v>
      </c>
      <c r="O142" s="22" t="e">
        <v>#N/A</v>
      </c>
      <c r="P142" s="4" t="e">
        <f t="shared" si="10"/>
        <v>#N/A</v>
      </c>
      <c r="Q142" s="4" t="e">
        <f t="shared" si="11"/>
        <v>#N/A</v>
      </c>
      <c r="R142" s="4" t="e">
        <f>IF(AND(B142=1,N142&gt;'Line Follower'!$C$7,SUM(C142:K142)&lt;4),1,0)</f>
        <v>#N/A</v>
      </c>
      <c r="S142" s="4" t="e">
        <f>IF(AND(L142=1,N142&lt;'Line Follower'!$C$6,SUM(C142:K142)&lt;4),1,0)</f>
        <v>#N/A</v>
      </c>
      <c r="T142" s="4" t="e">
        <f t="shared" si="12"/>
        <v>#N/A</v>
      </c>
      <c r="U142" s="5" t="e">
        <f t="shared" si="13"/>
        <v>#N/A</v>
      </c>
      <c r="V142" s="23" t="e">
        <f t="shared" si="14"/>
        <v>#N/A</v>
      </c>
    </row>
    <row r="143" spans="2:22" x14ac:dyDescent="0.25">
      <c r="B143" s="16">
        <v>0</v>
      </c>
      <c r="C143" s="7">
        <v>0</v>
      </c>
      <c r="D143" s="8">
        <v>1</v>
      </c>
      <c r="E143" s="8">
        <v>1</v>
      </c>
      <c r="F143" s="8">
        <v>0</v>
      </c>
      <c r="G143" s="8">
        <v>0</v>
      </c>
      <c r="H143" s="8">
        <v>0</v>
      </c>
      <c r="I143" s="8">
        <v>1</v>
      </c>
      <c r="J143" s="8">
        <v>0</v>
      </c>
      <c r="K143" s="9">
        <v>0</v>
      </c>
      <c r="L143" s="10">
        <v>0</v>
      </c>
      <c r="M143" s="6">
        <v>0</v>
      </c>
      <c r="N143" s="37" t="e" cm="1">
        <f t="array" ref="N143">IF(OR(ISNUMBER(FIND(Aux!$D$3:$D$9,_xlfn.TEXTJOIN(,,C143:K143)))),NA(),IF(AND(SUM(C143:F143,H143:K143)=0,G143=1),0,INT((SUMPRODUCT(C143:F143,COLUMN($A$1:$D$1)-1)+SUMPRODUCT(H143:K143,COLUMN($E$1:$H$1)-1))*'Line Follower'!$C$3/SUM(C143:F143,H143:K143)-'Line Follower'!$C$5)))</f>
        <v>#N/A</v>
      </c>
      <c r="O143" s="22" t="e">
        <v>#N/A</v>
      </c>
      <c r="P143" s="4" t="e">
        <f t="shared" si="10"/>
        <v>#N/A</v>
      </c>
      <c r="Q143" s="4" t="e">
        <f t="shared" si="11"/>
        <v>#N/A</v>
      </c>
      <c r="R143" s="4" t="e">
        <f>IF(AND(B143=1,N143&gt;'Line Follower'!$C$7,SUM(C143:K143)&lt;4),1,0)</f>
        <v>#N/A</v>
      </c>
      <c r="S143" s="4" t="e">
        <f>IF(AND(L143=1,N143&lt;'Line Follower'!$C$6,SUM(C143:K143)&lt;4),1,0)</f>
        <v>#N/A</v>
      </c>
      <c r="T143" s="4" t="e">
        <f t="shared" si="12"/>
        <v>#N/A</v>
      </c>
      <c r="U143" s="5" t="e">
        <f t="shared" si="13"/>
        <v>#N/A</v>
      </c>
      <c r="V143" s="23" t="e">
        <f t="shared" si="14"/>
        <v>#N/A</v>
      </c>
    </row>
    <row r="144" spans="2:22" x14ac:dyDescent="0.25">
      <c r="B144" s="16">
        <v>1</v>
      </c>
      <c r="C144" s="7">
        <v>0</v>
      </c>
      <c r="D144" s="8">
        <v>1</v>
      </c>
      <c r="E144" s="8">
        <v>1</v>
      </c>
      <c r="F144" s="8">
        <v>0</v>
      </c>
      <c r="G144" s="8">
        <v>0</v>
      </c>
      <c r="H144" s="8">
        <v>0</v>
      </c>
      <c r="I144" s="8">
        <v>1</v>
      </c>
      <c r="J144" s="8">
        <v>0</v>
      </c>
      <c r="K144" s="9">
        <v>0</v>
      </c>
      <c r="L144" s="10">
        <v>0</v>
      </c>
      <c r="M144" s="6">
        <v>0</v>
      </c>
      <c r="N144" s="37" t="e" cm="1">
        <f t="array" ref="N144">IF(OR(ISNUMBER(FIND(Aux!$D$3:$D$9,_xlfn.TEXTJOIN(,,C144:K144)))),NA(),IF(AND(SUM(C144:F144,H144:K144)=0,G144=1),0,INT((SUMPRODUCT(C144:F144,COLUMN($A$1:$D$1)-1)+SUMPRODUCT(H144:K144,COLUMN($E$1:$H$1)-1))*'Line Follower'!$C$3/SUM(C144:F144,H144:K144)-'Line Follower'!$C$5)))</f>
        <v>#N/A</v>
      </c>
      <c r="O144" s="22" t="e">
        <v>#N/A</v>
      </c>
      <c r="P144" s="4" t="e">
        <f t="shared" si="10"/>
        <v>#N/A</v>
      </c>
      <c r="Q144" s="4" t="e">
        <f t="shared" si="11"/>
        <v>#N/A</v>
      </c>
      <c r="R144" s="4" t="e">
        <f>IF(AND(B144=1,N144&gt;'Line Follower'!$C$7,SUM(C144:K144)&lt;4),1,0)</f>
        <v>#N/A</v>
      </c>
      <c r="S144" s="4" t="e">
        <f>IF(AND(L144=1,N144&lt;'Line Follower'!$C$6,SUM(C144:K144)&lt;4),1,0)</f>
        <v>#N/A</v>
      </c>
      <c r="T144" s="4" t="e">
        <f t="shared" si="12"/>
        <v>#N/A</v>
      </c>
      <c r="U144" s="5" t="e">
        <f t="shared" si="13"/>
        <v>#N/A</v>
      </c>
      <c r="V144" s="23" t="e">
        <f t="shared" si="14"/>
        <v>#N/A</v>
      </c>
    </row>
    <row r="145" spans="2:22" x14ac:dyDescent="0.25">
      <c r="B145" s="16">
        <v>0</v>
      </c>
      <c r="C145" s="7">
        <v>1</v>
      </c>
      <c r="D145" s="8">
        <v>1</v>
      </c>
      <c r="E145" s="8">
        <v>1</v>
      </c>
      <c r="F145" s="8">
        <v>0</v>
      </c>
      <c r="G145" s="8">
        <v>0</v>
      </c>
      <c r="H145" s="8">
        <v>0</v>
      </c>
      <c r="I145" s="8">
        <v>1</v>
      </c>
      <c r="J145" s="8">
        <v>0</v>
      </c>
      <c r="K145" s="9">
        <v>0</v>
      </c>
      <c r="L145" s="10">
        <v>0</v>
      </c>
      <c r="M145" s="6">
        <v>0</v>
      </c>
      <c r="N145" s="37" t="e" cm="1">
        <f t="array" ref="N145">IF(OR(ISNUMBER(FIND(Aux!$D$3:$D$9,_xlfn.TEXTJOIN(,,C145:K145)))),NA(),IF(AND(SUM(C145:F145,H145:K145)=0,G145=1),0,INT((SUMPRODUCT(C145:F145,COLUMN($A$1:$D$1)-1)+SUMPRODUCT(H145:K145,COLUMN($E$1:$H$1)-1))*'Line Follower'!$C$3/SUM(C145:F145,H145:K145)-'Line Follower'!$C$5)))</f>
        <v>#N/A</v>
      </c>
      <c r="O145" s="22" t="e">
        <v>#N/A</v>
      </c>
      <c r="P145" s="4" t="e">
        <f t="shared" si="10"/>
        <v>#N/A</v>
      </c>
      <c r="Q145" s="4" t="e">
        <f t="shared" si="11"/>
        <v>#N/A</v>
      </c>
      <c r="R145" s="4" t="e">
        <f>IF(AND(B145=1,N145&gt;'Line Follower'!$C$7,SUM(C145:K145)&lt;4),1,0)</f>
        <v>#N/A</v>
      </c>
      <c r="S145" s="4" t="e">
        <f>IF(AND(L145=1,N145&lt;'Line Follower'!$C$6,SUM(C145:K145)&lt;4),1,0)</f>
        <v>#N/A</v>
      </c>
      <c r="T145" s="4" t="e">
        <f t="shared" si="12"/>
        <v>#N/A</v>
      </c>
      <c r="U145" s="5" t="e">
        <f t="shared" si="13"/>
        <v>#N/A</v>
      </c>
      <c r="V145" s="23" t="e">
        <f t="shared" si="14"/>
        <v>#N/A</v>
      </c>
    </row>
    <row r="146" spans="2:22" x14ac:dyDescent="0.25">
      <c r="B146" s="16">
        <v>1</v>
      </c>
      <c r="C146" s="7">
        <v>1</v>
      </c>
      <c r="D146" s="8">
        <v>1</v>
      </c>
      <c r="E146" s="8">
        <v>1</v>
      </c>
      <c r="F146" s="8">
        <v>0</v>
      </c>
      <c r="G146" s="8">
        <v>0</v>
      </c>
      <c r="H146" s="8">
        <v>0</v>
      </c>
      <c r="I146" s="8">
        <v>1</v>
      </c>
      <c r="J146" s="8">
        <v>0</v>
      </c>
      <c r="K146" s="9">
        <v>0</v>
      </c>
      <c r="L146" s="10">
        <v>0</v>
      </c>
      <c r="M146" s="6">
        <v>0</v>
      </c>
      <c r="N146" s="37" t="e" cm="1">
        <f t="array" ref="N146">IF(OR(ISNUMBER(FIND(Aux!$D$3:$D$9,_xlfn.TEXTJOIN(,,C146:K146)))),NA(),IF(AND(SUM(C146:F146,H146:K146)=0,G146=1),0,INT((SUMPRODUCT(C146:F146,COLUMN($A$1:$D$1)-1)+SUMPRODUCT(H146:K146,COLUMN($E$1:$H$1)-1))*'Line Follower'!$C$3/SUM(C146:F146,H146:K146)-'Line Follower'!$C$5)))</f>
        <v>#N/A</v>
      </c>
      <c r="O146" s="22" t="e">
        <v>#N/A</v>
      </c>
      <c r="P146" s="4" t="e">
        <f t="shared" si="10"/>
        <v>#N/A</v>
      </c>
      <c r="Q146" s="4" t="e">
        <f t="shared" si="11"/>
        <v>#N/A</v>
      </c>
      <c r="R146" s="4" t="e">
        <f>IF(AND(B146=1,N146&gt;'Line Follower'!$C$7,SUM(C146:K146)&lt;4),1,0)</f>
        <v>#N/A</v>
      </c>
      <c r="S146" s="4" t="e">
        <f>IF(AND(L146=1,N146&lt;'Line Follower'!$C$6,SUM(C146:K146)&lt;4),1,0)</f>
        <v>#N/A</v>
      </c>
      <c r="T146" s="4" t="e">
        <f t="shared" si="12"/>
        <v>#N/A</v>
      </c>
      <c r="U146" s="5" t="e">
        <f t="shared" si="13"/>
        <v>#N/A</v>
      </c>
      <c r="V146" s="23" t="e">
        <f t="shared" si="14"/>
        <v>#N/A</v>
      </c>
    </row>
    <row r="147" spans="2:22" x14ac:dyDescent="0.25">
      <c r="B147" s="16">
        <v>0</v>
      </c>
      <c r="C147" s="7">
        <v>0</v>
      </c>
      <c r="D147" s="8">
        <v>0</v>
      </c>
      <c r="E147" s="8">
        <v>0</v>
      </c>
      <c r="F147" s="8">
        <v>1</v>
      </c>
      <c r="G147" s="8">
        <v>0</v>
      </c>
      <c r="H147" s="8">
        <v>0</v>
      </c>
      <c r="I147" s="8">
        <v>1</v>
      </c>
      <c r="J147" s="8">
        <v>0</v>
      </c>
      <c r="K147" s="9">
        <v>0</v>
      </c>
      <c r="L147" s="10">
        <v>0</v>
      </c>
      <c r="M147" s="6">
        <v>0</v>
      </c>
      <c r="N147" s="37" t="e" cm="1">
        <f t="array" ref="N147">IF(OR(ISNUMBER(FIND(Aux!$D$3:$D$9,_xlfn.TEXTJOIN(,,C147:K147)))),NA(),IF(AND(SUM(C147:F147,H147:K147)=0,G147=1),0,INT((SUMPRODUCT(C147:F147,COLUMN($A$1:$D$1)-1)+SUMPRODUCT(H147:K147,COLUMN($E$1:$H$1)-1))*'Line Follower'!$C$3/SUM(C147:F147,H147:K147)-'Line Follower'!$C$5)))</f>
        <v>#N/A</v>
      </c>
      <c r="O147" s="22" t="e">
        <v>#N/A</v>
      </c>
      <c r="P147" s="4" t="e">
        <f t="shared" si="10"/>
        <v>#N/A</v>
      </c>
      <c r="Q147" s="4" t="e">
        <f t="shared" si="11"/>
        <v>#N/A</v>
      </c>
      <c r="R147" s="4" t="e">
        <f>IF(AND(B147=1,N147&gt;'Line Follower'!$C$7,SUM(C147:K147)&lt;4),1,0)</f>
        <v>#N/A</v>
      </c>
      <c r="S147" s="4" t="e">
        <f>IF(AND(L147=1,N147&lt;'Line Follower'!$C$6,SUM(C147:K147)&lt;4),1,0)</f>
        <v>#N/A</v>
      </c>
      <c r="T147" s="4" t="e">
        <f t="shared" si="12"/>
        <v>#N/A</v>
      </c>
      <c r="U147" s="5" t="e">
        <f t="shared" si="13"/>
        <v>#N/A</v>
      </c>
      <c r="V147" s="23" t="e">
        <f t="shared" si="14"/>
        <v>#N/A</v>
      </c>
    </row>
    <row r="148" spans="2:22" x14ac:dyDescent="0.25">
      <c r="B148" s="16">
        <v>1</v>
      </c>
      <c r="C148" s="7">
        <v>0</v>
      </c>
      <c r="D148" s="8">
        <v>0</v>
      </c>
      <c r="E148" s="8">
        <v>0</v>
      </c>
      <c r="F148" s="8">
        <v>1</v>
      </c>
      <c r="G148" s="8">
        <v>0</v>
      </c>
      <c r="H148" s="8">
        <v>0</v>
      </c>
      <c r="I148" s="8">
        <v>1</v>
      </c>
      <c r="J148" s="8">
        <v>0</v>
      </c>
      <c r="K148" s="9">
        <v>0</v>
      </c>
      <c r="L148" s="10">
        <v>0</v>
      </c>
      <c r="M148" s="6">
        <v>0</v>
      </c>
      <c r="N148" s="37" t="e" cm="1">
        <f t="array" ref="N148">IF(OR(ISNUMBER(FIND(Aux!$D$3:$D$9,_xlfn.TEXTJOIN(,,C148:K148)))),NA(),IF(AND(SUM(C148:F148,H148:K148)=0,G148=1),0,INT((SUMPRODUCT(C148:F148,COLUMN($A$1:$D$1)-1)+SUMPRODUCT(H148:K148,COLUMN($E$1:$H$1)-1))*'Line Follower'!$C$3/SUM(C148:F148,H148:K148)-'Line Follower'!$C$5)))</f>
        <v>#N/A</v>
      </c>
      <c r="O148" s="22" t="e">
        <v>#N/A</v>
      </c>
      <c r="P148" s="4" t="e">
        <f t="shared" si="10"/>
        <v>#N/A</v>
      </c>
      <c r="Q148" s="4" t="e">
        <f t="shared" si="11"/>
        <v>#N/A</v>
      </c>
      <c r="R148" s="4" t="e">
        <f>IF(AND(B148=1,N148&gt;'Line Follower'!$C$7,SUM(C148:K148)&lt;4),1,0)</f>
        <v>#N/A</v>
      </c>
      <c r="S148" s="4" t="e">
        <f>IF(AND(L148=1,N148&lt;'Line Follower'!$C$6,SUM(C148:K148)&lt;4),1,0)</f>
        <v>#N/A</v>
      </c>
      <c r="T148" s="4" t="e">
        <f t="shared" si="12"/>
        <v>#N/A</v>
      </c>
      <c r="U148" s="5" t="e">
        <f t="shared" si="13"/>
        <v>#N/A</v>
      </c>
      <c r="V148" s="23" t="e">
        <f t="shared" si="14"/>
        <v>#N/A</v>
      </c>
    </row>
    <row r="149" spans="2:22" x14ac:dyDescent="0.25">
      <c r="B149" s="16">
        <v>0</v>
      </c>
      <c r="C149" s="7">
        <v>1</v>
      </c>
      <c r="D149" s="8">
        <v>0</v>
      </c>
      <c r="E149" s="8">
        <v>0</v>
      </c>
      <c r="F149" s="8">
        <v>1</v>
      </c>
      <c r="G149" s="8">
        <v>0</v>
      </c>
      <c r="H149" s="8">
        <v>0</v>
      </c>
      <c r="I149" s="8">
        <v>1</v>
      </c>
      <c r="J149" s="8">
        <v>0</v>
      </c>
      <c r="K149" s="9">
        <v>0</v>
      </c>
      <c r="L149" s="10">
        <v>0</v>
      </c>
      <c r="M149" s="6">
        <v>0</v>
      </c>
      <c r="N149" s="37" t="e" cm="1">
        <f t="array" ref="N149">IF(OR(ISNUMBER(FIND(Aux!$D$3:$D$9,_xlfn.TEXTJOIN(,,C149:K149)))),NA(),IF(AND(SUM(C149:F149,H149:K149)=0,G149=1),0,INT((SUMPRODUCT(C149:F149,COLUMN($A$1:$D$1)-1)+SUMPRODUCT(H149:K149,COLUMN($E$1:$H$1)-1))*'Line Follower'!$C$3/SUM(C149:F149,H149:K149)-'Line Follower'!$C$5)))</f>
        <v>#N/A</v>
      </c>
      <c r="O149" s="22" t="e">
        <v>#N/A</v>
      </c>
      <c r="P149" s="4" t="e">
        <f t="shared" si="10"/>
        <v>#N/A</v>
      </c>
      <c r="Q149" s="4" t="e">
        <f t="shared" si="11"/>
        <v>#N/A</v>
      </c>
      <c r="R149" s="4" t="e">
        <f>IF(AND(B149=1,N149&gt;'Line Follower'!$C$7,SUM(C149:K149)&lt;4),1,0)</f>
        <v>#N/A</v>
      </c>
      <c r="S149" s="4" t="e">
        <f>IF(AND(L149=1,N149&lt;'Line Follower'!$C$6,SUM(C149:K149)&lt;4),1,0)</f>
        <v>#N/A</v>
      </c>
      <c r="T149" s="4" t="e">
        <f t="shared" si="12"/>
        <v>#N/A</v>
      </c>
      <c r="U149" s="5" t="e">
        <f t="shared" si="13"/>
        <v>#N/A</v>
      </c>
      <c r="V149" s="23" t="e">
        <f t="shared" si="14"/>
        <v>#N/A</v>
      </c>
    </row>
    <row r="150" spans="2:22" x14ac:dyDescent="0.25">
      <c r="B150" s="16">
        <v>1</v>
      </c>
      <c r="C150" s="7">
        <v>1</v>
      </c>
      <c r="D150" s="8">
        <v>0</v>
      </c>
      <c r="E150" s="8">
        <v>0</v>
      </c>
      <c r="F150" s="8">
        <v>1</v>
      </c>
      <c r="G150" s="8">
        <v>0</v>
      </c>
      <c r="H150" s="8">
        <v>0</v>
      </c>
      <c r="I150" s="8">
        <v>1</v>
      </c>
      <c r="J150" s="8">
        <v>0</v>
      </c>
      <c r="K150" s="9">
        <v>0</v>
      </c>
      <c r="L150" s="10">
        <v>0</v>
      </c>
      <c r="M150" s="6">
        <v>0</v>
      </c>
      <c r="N150" s="37" t="e" cm="1">
        <f t="array" ref="N150">IF(OR(ISNUMBER(FIND(Aux!$D$3:$D$9,_xlfn.TEXTJOIN(,,C150:K150)))),NA(),IF(AND(SUM(C150:F150,H150:K150)=0,G150=1),0,INT((SUMPRODUCT(C150:F150,COLUMN($A$1:$D$1)-1)+SUMPRODUCT(H150:K150,COLUMN($E$1:$H$1)-1))*'Line Follower'!$C$3/SUM(C150:F150,H150:K150)-'Line Follower'!$C$5)))</f>
        <v>#N/A</v>
      </c>
      <c r="O150" s="22" t="e">
        <v>#N/A</v>
      </c>
      <c r="P150" s="4" t="e">
        <f t="shared" si="10"/>
        <v>#N/A</v>
      </c>
      <c r="Q150" s="4" t="e">
        <f t="shared" si="11"/>
        <v>#N/A</v>
      </c>
      <c r="R150" s="4" t="e">
        <f>IF(AND(B150=1,N150&gt;'Line Follower'!$C$7,SUM(C150:K150)&lt;4),1,0)</f>
        <v>#N/A</v>
      </c>
      <c r="S150" s="4" t="e">
        <f>IF(AND(L150=1,N150&lt;'Line Follower'!$C$6,SUM(C150:K150)&lt;4),1,0)</f>
        <v>#N/A</v>
      </c>
      <c r="T150" s="4" t="e">
        <f t="shared" si="12"/>
        <v>#N/A</v>
      </c>
      <c r="U150" s="5" t="e">
        <f t="shared" si="13"/>
        <v>#N/A</v>
      </c>
      <c r="V150" s="23" t="e">
        <f t="shared" si="14"/>
        <v>#N/A</v>
      </c>
    </row>
    <row r="151" spans="2:22" x14ac:dyDescent="0.25">
      <c r="B151" s="16">
        <v>0</v>
      </c>
      <c r="C151" s="7">
        <v>0</v>
      </c>
      <c r="D151" s="8">
        <v>1</v>
      </c>
      <c r="E151" s="8">
        <v>0</v>
      </c>
      <c r="F151" s="8">
        <v>1</v>
      </c>
      <c r="G151" s="8">
        <v>0</v>
      </c>
      <c r="H151" s="8">
        <v>0</v>
      </c>
      <c r="I151" s="8">
        <v>1</v>
      </c>
      <c r="J151" s="8">
        <v>0</v>
      </c>
      <c r="K151" s="9">
        <v>0</v>
      </c>
      <c r="L151" s="10">
        <v>0</v>
      </c>
      <c r="M151" s="6">
        <v>0</v>
      </c>
      <c r="N151" s="37" t="e" cm="1">
        <f t="array" ref="N151">IF(OR(ISNUMBER(FIND(Aux!$D$3:$D$9,_xlfn.TEXTJOIN(,,C151:K151)))),NA(),IF(AND(SUM(C151:F151,H151:K151)=0,G151=1),0,INT((SUMPRODUCT(C151:F151,COLUMN($A$1:$D$1)-1)+SUMPRODUCT(H151:K151,COLUMN($E$1:$H$1)-1))*'Line Follower'!$C$3/SUM(C151:F151,H151:K151)-'Line Follower'!$C$5)))</f>
        <v>#N/A</v>
      </c>
      <c r="O151" s="22" t="e">
        <v>#N/A</v>
      </c>
      <c r="P151" s="4" t="e">
        <f t="shared" si="10"/>
        <v>#N/A</v>
      </c>
      <c r="Q151" s="4" t="e">
        <f t="shared" si="11"/>
        <v>#N/A</v>
      </c>
      <c r="R151" s="4" t="e">
        <f>IF(AND(B151=1,N151&gt;'Line Follower'!$C$7,SUM(C151:K151)&lt;4),1,0)</f>
        <v>#N/A</v>
      </c>
      <c r="S151" s="4" t="e">
        <f>IF(AND(L151=1,N151&lt;'Line Follower'!$C$6,SUM(C151:K151)&lt;4),1,0)</f>
        <v>#N/A</v>
      </c>
      <c r="T151" s="4" t="e">
        <f t="shared" si="12"/>
        <v>#N/A</v>
      </c>
      <c r="U151" s="5" t="e">
        <f t="shared" si="13"/>
        <v>#N/A</v>
      </c>
      <c r="V151" s="23" t="e">
        <f t="shared" si="14"/>
        <v>#N/A</v>
      </c>
    </row>
    <row r="152" spans="2:22" x14ac:dyDescent="0.25">
      <c r="B152" s="16">
        <v>1</v>
      </c>
      <c r="C152" s="7">
        <v>0</v>
      </c>
      <c r="D152" s="8">
        <v>1</v>
      </c>
      <c r="E152" s="8">
        <v>0</v>
      </c>
      <c r="F152" s="8">
        <v>1</v>
      </c>
      <c r="G152" s="8">
        <v>0</v>
      </c>
      <c r="H152" s="8">
        <v>0</v>
      </c>
      <c r="I152" s="8">
        <v>1</v>
      </c>
      <c r="J152" s="8">
        <v>0</v>
      </c>
      <c r="K152" s="9">
        <v>0</v>
      </c>
      <c r="L152" s="10">
        <v>0</v>
      </c>
      <c r="M152" s="6">
        <v>0</v>
      </c>
      <c r="N152" s="37" t="e" cm="1">
        <f t="array" ref="N152">IF(OR(ISNUMBER(FIND(Aux!$D$3:$D$9,_xlfn.TEXTJOIN(,,C152:K152)))),NA(),IF(AND(SUM(C152:F152,H152:K152)=0,G152=1),0,INT((SUMPRODUCT(C152:F152,COLUMN($A$1:$D$1)-1)+SUMPRODUCT(H152:K152,COLUMN($E$1:$H$1)-1))*'Line Follower'!$C$3/SUM(C152:F152,H152:K152)-'Line Follower'!$C$5)))</f>
        <v>#N/A</v>
      </c>
      <c r="O152" s="22" t="e">
        <v>#N/A</v>
      </c>
      <c r="P152" s="4" t="e">
        <f t="shared" si="10"/>
        <v>#N/A</v>
      </c>
      <c r="Q152" s="4" t="e">
        <f t="shared" si="11"/>
        <v>#N/A</v>
      </c>
      <c r="R152" s="4" t="e">
        <f>IF(AND(B152=1,N152&gt;'Line Follower'!$C$7,SUM(C152:K152)&lt;4),1,0)</f>
        <v>#N/A</v>
      </c>
      <c r="S152" s="4" t="e">
        <f>IF(AND(L152=1,N152&lt;'Line Follower'!$C$6,SUM(C152:K152)&lt;4),1,0)</f>
        <v>#N/A</v>
      </c>
      <c r="T152" s="4" t="e">
        <f t="shared" si="12"/>
        <v>#N/A</v>
      </c>
      <c r="U152" s="5" t="e">
        <f t="shared" si="13"/>
        <v>#N/A</v>
      </c>
      <c r="V152" s="23" t="e">
        <f t="shared" si="14"/>
        <v>#N/A</v>
      </c>
    </row>
    <row r="153" spans="2:22" x14ac:dyDescent="0.25">
      <c r="B153" s="16">
        <v>0</v>
      </c>
      <c r="C153" s="7">
        <v>1</v>
      </c>
      <c r="D153" s="8">
        <v>1</v>
      </c>
      <c r="E153" s="8">
        <v>0</v>
      </c>
      <c r="F153" s="8">
        <v>1</v>
      </c>
      <c r="G153" s="8">
        <v>0</v>
      </c>
      <c r="H153" s="8">
        <v>0</v>
      </c>
      <c r="I153" s="8">
        <v>1</v>
      </c>
      <c r="J153" s="8">
        <v>0</v>
      </c>
      <c r="K153" s="9">
        <v>0</v>
      </c>
      <c r="L153" s="10">
        <v>0</v>
      </c>
      <c r="M153" s="6">
        <v>0</v>
      </c>
      <c r="N153" s="37" t="e" cm="1">
        <f t="array" ref="N153">IF(OR(ISNUMBER(FIND(Aux!$D$3:$D$9,_xlfn.TEXTJOIN(,,C153:K153)))),NA(),IF(AND(SUM(C153:F153,H153:K153)=0,G153=1),0,INT((SUMPRODUCT(C153:F153,COLUMN($A$1:$D$1)-1)+SUMPRODUCT(H153:K153,COLUMN($E$1:$H$1)-1))*'Line Follower'!$C$3/SUM(C153:F153,H153:K153)-'Line Follower'!$C$5)))</f>
        <v>#N/A</v>
      </c>
      <c r="O153" s="22" t="e">
        <v>#N/A</v>
      </c>
      <c r="P153" s="4" t="e">
        <f t="shared" si="10"/>
        <v>#N/A</v>
      </c>
      <c r="Q153" s="4" t="e">
        <f t="shared" si="11"/>
        <v>#N/A</v>
      </c>
      <c r="R153" s="4" t="e">
        <f>IF(AND(B153=1,N153&gt;'Line Follower'!$C$7,SUM(C153:K153)&lt;4),1,0)</f>
        <v>#N/A</v>
      </c>
      <c r="S153" s="4" t="e">
        <f>IF(AND(L153=1,N153&lt;'Line Follower'!$C$6,SUM(C153:K153)&lt;4),1,0)</f>
        <v>#N/A</v>
      </c>
      <c r="T153" s="4" t="e">
        <f t="shared" si="12"/>
        <v>#N/A</v>
      </c>
      <c r="U153" s="5" t="e">
        <f t="shared" si="13"/>
        <v>#N/A</v>
      </c>
      <c r="V153" s="23" t="e">
        <f t="shared" si="14"/>
        <v>#N/A</v>
      </c>
    </row>
    <row r="154" spans="2:22" x14ac:dyDescent="0.25">
      <c r="B154" s="16">
        <v>1</v>
      </c>
      <c r="C154" s="7">
        <v>1</v>
      </c>
      <c r="D154" s="8">
        <v>1</v>
      </c>
      <c r="E154" s="8">
        <v>0</v>
      </c>
      <c r="F154" s="8">
        <v>1</v>
      </c>
      <c r="G154" s="8">
        <v>0</v>
      </c>
      <c r="H154" s="8">
        <v>0</v>
      </c>
      <c r="I154" s="8">
        <v>1</v>
      </c>
      <c r="J154" s="8">
        <v>0</v>
      </c>
      <c r="K154" s="9">
        <v>0</v>
      </c>
      <c r="L154" s="10">
        <v>0</v>
      </c>
      <c r="M154" s="6">
        <v>0</v>
      </c>
      <c r="N154" s="37" t="e" cm="1">
        <f t="array" ref="N154">IF(OR(ISNUMBER(FIND(Aux!$D$3:$D$9,_xlfn.TEXTJOIN(,,C154:K154)))),NA(),IF(AND(SUM(C154:F154,H154:K154)=0,G154=1),0,INT((SUMPRODUCT(C154:F154,COLUMN($A$1:$D$1)-1)+SUMPRODUCT(H154:K154,COLUMN($E$1:$H$1)-1))*'Line Follower'!$C$3/SUM(C154:F154,H154:K154)-'Line Follower'!$C$5)))</f>
        <v>#N/A</v>
      </c>
      <c r="O154" s="22" t="e">
        <v>#N/A</v>
      </c>
      <c r="P154" s="4" t="e">
        <f t="shared" si="10"/>
        <v>#N/A</v>
      </c>
      <c r="Q154" s="4" t="e">
        <f t="shared" si="11"/>
        <v>#N/A</v>
      </c>
      <c r="R154" s="4" t="e">
        <f>IF(AND(B154=1,N154&gt;'Line Follower'!$C$7,SUM(C154:K154)&lt;4),1,0)</f>
        <v>#N/A</v>
      </c>
      <c r="S154" s="4" t="e">
        <f>IF(AND(L154=1,N154&lt;'Line Follower'!$C$6,SUM(C154:K154)&lt;4),1,0)</f>
        <v>#N/A</v>
      </c>
      <c r="T154" s="4" t="e">
        <f t="shared" si="12"/>
        <v>#N/A</v>
      </c>
      <c r="U154" s="5" t="e">
        <f t="shared" si="13"/>
        <v>#N/A</v>
      </c>
      <c r="V154" s="23" t="e">
        <f t="shared" si="14"/>
        <v>#N/A</v>
      </c>
    </row>
    <row r="155" spans="2:22" x14ac:dyDescent="0.25">
      <c r="B155" s="16">
        <v>0</v>
      </c>
      <c r="C155" s="7">
        <v>0</v>
      </c>
      <c r="D155" s="8">
        <v>0</v>
      </c>
      <c r="E155" s="8">
        <v>1</v>
      </c>
      <c r="F155" s="8">
        <v>1</v>
      </c>
      <c r="G155" s="8">
        <v>0</v>
      </c>
      <c r="H155" s="8">
        <v>0</v>
      </c>
      <c r="I155" s="8">
        <v>1</v>
      </c>
      <c r="J155" s="8">
        <v>0</v>
      </c>
      <c r="K155" s="9">
        <v>0</v>
      </c>
      <c r="L155" s="10">
        <v>0</v>
      </c>
      <c r="M155" s="6">
        <v>0</v>
      </c>
      <c r="N155" s="37" t="e" cm="1">
        <f t="array" ref="N155">IF(OR(ISNUMBER(FIND(Aux!$D$3:$D$9,_xlfn.TEXTJOIN(,,C155:K155)))),NA(),IF(AND(SUM(C155:F155,H155:K155)=0,G155=1),0,INT((SUMPRODUCT(C155:F155,COLUMN($A$1:$D$1)-1)+SUMPRODUCT(H155:K155,COLUMN($E$1:$H$1)-1))*'Line Follower'!$C$3/SUM(C155:F155,H155:K155)-'Line Follower'!$C$5)))</f>
        <v>#N/A</v>
      </c>
      <c r="O155" s="22" t="e">
        <v>#N/A</v>
      </c>
      <c r="P155" s="4" t="e">
        <f t="shared" si="10"/>
        <v>#N/A</v>
      </c>
      <c r="Q155" s="4" t="e">
        <f t="shared" si="11"/>
        <v>#N/A</v>
      </c>
      <c r="R155" s="4" t="e">
        <f>IF(AND(B155=1,N155&gt;'Line Follower'!$C$7,SUM(C155:K155)&lt;4),1,0)</f>
        <v>#N/A</v>
      </c>
      <c r="S155" s="4" t="e">
        <f>IF(AND(L155=1,N155&lt;'Line Follower'!$C$6,SUM(C155:K155)&lt;4),1,0)</f>
        <v>#N/A</v>
      </c>
      <c r="T155" s="4" t="e">
        <f t="shared" si="12"/>
        <v>#N/A</v>
      </c>
      <c r="U155" s="5" t="e">
        <f t="shared" si="13"/>
        <v>#N/A</v>
      </c>
      <c r="V155" s="23" t="e">
        <f t="shared" si="14"/>
        <v>#N/A</v>
      </c>
    </row>
    <row r="156" spans="2:22" x14ac:dyDescent="0.25">
      <c r="B156" s="16">
        <v>1</v>
      </c>
      <c r="C156" s="7">
        <v>0</v>
      </c>
      <c r="D156" s="8">
        <v>0</v>
      </c>
      <c r="E156" s="8">
        <v>1</v>
      </c>
      <c r="F156" s="8">
        <v>1</v>
      </c>
      <c r="G156" s="8">
        <v>0</v>
      </c>
      <c r="H156" s="8">
        <v>0</v>
      </c>
      <c r="I156" s="8">
        <v>1</v>
      </c>
      <c r="J156" s="8">
        <v>0</v>
      </c>
      <c r="K156" s="9">
        <v>0</v>
      </c>
      <c r="L156" s="10">
        <v>0</v>
      </c>
      <c r="M156" s="6">
        <v>0</v>
      </c>
      <c r="N156" s="37" t="e" cm="1">
        <f t="array" ref="N156">IF(OR(ISNUMBER(FIND(Aux!$D$3:$D$9,_xlfn.TEXTJOIN(,,C156:K156)))),NA(),IF(AND(SUM(C156:F156,H156:K156)=0,G156=1),0,INT((SUMPRODUCT(C156:F156,COLUMN($A$1:$D$1)-1)+SUMPRODUCT(H156:K156,COLUMN($E$1:$H$1)-1))*'Line Follower'!$C$3/SUM(C156:F156,H156:K156)-'Line Follower'!$C$5)))</f>
        <v>#N/A</v>
      </c>
      <c r="O156" s="22" t="e">
        <v>#N/A</v>
      </c>
      <c r="P156" s="4" t="e">
        <f t="shared" si="10"/>
        <v>#N/A</v>
      </c>
      <c r="Q156" s="4" t="e">
        <f t="shared" si="11"/>
        <v>#N/A</v>
      </c>
      <c r="R156" s="4" t="e">
        <f>IF(AND(B156=1,N156&gt;'Line Follower'!$C$7,SUM(C156:K156)&lt;4),1,0)</f>
        <v>#N/A</v>
      </c>
      <c r="S156" s="4" t="e">
        <f>IF(AND(L156=1,N156&lt;'Line Follower'!$C$6,SUM(C156:K156)&lt;4),1,0)</f>
        <v>#N/A</v>
      </c>
      <c r="T156" s="4" t="e">
        <f t="shared" si="12"/>
        <v>#N/A</v>
      </c>
      <c r="U156" s="5" t="e">
        <f t="shared" si="13"/>
        <v>#N/A</v>
      </c>
      <c r="V156" s="23" t="e">
        <f t="shared" si="14"/>
        <v>#N/A</v>
      </c>
    </row>
    <row r="157" spans="2:22" x14ac:dyDescent="0.25">
      <c r="B157" s="16">
        <v>0</v>
      </c>
      <c r="C157" s="7">
        <v>1</v>
      </c>
      <c r="D157" s="8">
        <v>0</v>
      </c>
      <c r="E157" s="8">
        <v>1</v>
      </c>
      <c r="F157" s="8">
        <v>1</v>
      </c>
      <c r="G157" s="8">
        <v>0</v>
      </c>
      <c r="H157" s="8">
        <v>0</v>
      </c>
      <c r="I157" s="8">
        <v>1</v>
      </c>
      <c r="J157" s="8">
        <v>0</v>
      </c>
      <c r="K157" s="9">
        <v>0</v>
      </c>
      <c r="L157" s="10">
        <v>0</v>
      </c>
      <c r="M157" s="6">
        <v>0</v>
      </c>
      <c r="N157" s="37" t="e" cm="1">
        <f t="array" ref="N157">IF(OR(ISNUMBER(FIND(Aux!$D$3:$D$9,_xlfn.TEXTJOIN(,,C157:K157)))),NA(),IF(AND(SUM(C157:F157,H157:K157)=0,G157=1),0,INT((SUMPRODUCT(C157:F157,COLUMN($A$1:$D$1)-1)+SUMPRODUCT(H157:K157,COLUMN($E$1:$H$1)-1))*'Line Follower'!$C$3/SUM(C157:F157,H157:K157)-'Line Follower'!$C$5)))</f>
        <v>#N/A</v>
      </c>
      <c r="O157" s="22" t="e">
        <v>#N/A</v>
      </c>
      <c r="P157" s="4" t="e">
        <f t="shared" si="10"/>
        <v>#N/A</v>
      </c>
      <c r="Q157" s="4" t="e">
        <f t="shared" si="11"/>
        <v>#N/A</v>
      </c>
      <c r="R157" s="4" t="e">
        <f>IF(AND(B157=1,N157&gt;'Line Follower'!$C$7,SUM(C157:K157)&lt;4),1,0)</f>
        <v>#N/A</v>
      </c>
      <c r="S157" s="4" t="e">
        <f>IF(AND(L157=1,N157&lt;'Line Follower'!$C$6,SUM(C157:K157)&lt;4),1,0)</f>
        <v>#N/A</v>
      </c>
      <c r="T157" s="4" t="e">
        <f t="shared" si="12"/>
        <v>#N/A</v>
      </c>
      <c r="U157" s="5" t="e">
        <f t="shared" si="13"/>
        <v>#N/A</v>
      </c>
      <c r="V157" s="23" t="e">
        <f t="shared" si="14"/>
        <v>#N/A</v>
      </c>
    </row>
    <row r="158" spans="2:22" x14ac:dyDescent="0.25">
      <c r="B158" s="16">
        <v>1</v>
      </c>
      <c r="C158" s="7">
        <v>1</v>
      </c>
      <c r="D158" s="8">
        <v>0</v>
      </c>
      <c r="E158" s="8">
        <v>1</v>
      </c>
      <c r="F158" s="8">
        <v>1</v>
      </c>
      <c r="G158" s="8">
        <v>0</v>
      </c>
      <c r="H158" s="8">
        <v>0</v>
      </c>
      <c r="I158" s="8">
        <v>1</v>
      </c>
      <c r="J158" s="8">
        <v>0</v>
      </c>
      <c r="K158" s="9">
        <v>0</v>
      </c>
      <c r="L158" s="10">
        <v>0</v>
      </c>
      <c r="M158" s="6">
        <v>0</v>
      </c>
      <c r="N158" s="37" t="e" cm="1">
        <f t="array" ref="N158">IF(OR(ISNUMBER(FIND(Aux!$D$3:$D$9,_xlfn.TEXTJOIN(,,C158:K158)))),NA(),IF(AND(SUM(C158:F158,H158:K158)=0,G158=1),0,INT((SUMPRODUCT(C158:F158,COLUMN($A$1:$D$1)-1)+SUMPRODUCT(H158:K158,COLUMN($E$1:$H$1)-1))*'Line Follower'!$C$3/SUM(C158:F158,H158:K158)-'Line Follower'!$C$5)))</f>
        <v>#N/A</v>
      </c>
      <c r="O158" s="22" t="e">
        <v>#N/A</v>
      </c>
      <c r="P158" s="4" t="e">
        <f t="shared" si="10"/>
        <v>#N/A</v>
      </c>
      <c r="Q158" s="4" t="e">
        <f t="shared" si="11"/>
        <v>#N/A</v>
      </c>
      <c r="R158" s="4" t="e">
        <f>IF(AND(B158=1,N158&gt;'Line Follower'!$C$7,SUM(C158:K158)&lt;4),1,0)</f>
        <v>#N/A</v>
      </c>
      <c r="S158" s="4" t="e">
        <f>IF(AND(L158=1,N158&lt;'Line Follower'!$C$6,SUM(C158:K158)&lt;4),1,0)</f>
        <v>#N/A</v>
      </c>
      <c r="T158" s="4" t="e">
        <f t="shared" si="12"/>
        <v>#N/A</v>
      </c>
      <c r="U158" s="5" t="e">
        <f t="shared" si="13"/>
        <v>#N/A</v>
      </c>
      <c r="V158" s="23" t="e">
        <f t="shared" si="14"/>
        <v>#N/A</v>
      </c>
    </row>
    <row r="159" spans="2:22" x14ac:dyDescent="0.25">
      <c r="B159" s="16">
        <v>0</v>
      </c>
      <c r="C159" s="7">
        <v>0</v>
      </c>
      <c r="D159" s="8">
        <v>1</v>
      </c>
      <c r="E159" s="8">
        <v>1</v>
      </c>
      <c r="F159" s="8">
        <v>1</v>
      </c>
      <c r="G159" s="8">
        <v>0</v>
      </c>
      <c r="H159" s="8">
        <v>0</v>
      </c>
      <c r="I159" s="8">
        <v>1</v>
      </c>
      <c r="J159" s="8">
        <v>0</v>
      </c>
      <c r="K159" s="9">
        <v>0</v>
      </c>
      <c r="L159" s="10">
        <v>0</v>
      </c>
      <c r="M159" s="6">
        <v>0</v>
      </c>
      <c r="N159" s="37" t="e" cm="1">
        <f t="array" ref="N159">IF(OR(ISNUMBER(FIND(Aux!$D$3:$D$9,_xlfn.TEXTJOIN(,,C159:K159)))),NA(),IF(AND(SUM(C159:F159,H159:K159)=0,G159=1),0,INT((SUMPRODUCT(C159:F159,COLUMN($A$1:$D$1)-1)+SUMPRODUCT(H159:K159,COLUMN($E$1:$H$1)-1))*'Line Follower'!$C$3/SUM(C159:F159,H159:K159)-'Line Follower'!$C$5)))</f>
        <v>#N/A</v>
      </c>
      <c r="O159" s="22" t="e">
        <v>#N/A</v>
      </c>
      <c r="P159" s="4" t="e">
        <f t="shared" si="10"/>
        <v>#N/A</v>
      </c>
      <c r="Q159" s="4" t="e">
        <f t="shared" si="11"/>
        <v>#N/A</v>
      </c>
      <c r="R159" s="4" t="e">
        <f>IF(AND(B159=1,N159&gt;'Line Follower'!$C$7,SUM(C159:K159)&lt;4),1,0)</f>
        <v>#N/A</v>
      </c>
      <c r="S159" s="4" t="e">
        <f>IF(AND(L159=1,N159&lt;'Line Follower'!$C$6,SUM(C159:K159)&lt;4),1,0)</f>
        <v>#N/A</v>
      </c>
      <c r="T159" s="4" t="e">
        <f t="shared" si="12"/>
        <v>#N/A</v>
      </c>
      <c r="U159" s="5" t="e">
        <f t="shared" si="13"/>
        <v>#N/A</v>
      </c>
      <c r="V159" s="23" t="e">
        <f t="shared" si="14"/>
        <v>#N/A</v>
      </c>
    </row>
    <row r="160" spans="2:22" x14ac:dyDescent="0.25">
      <c r="B160" s="16">
        <v>1</v>
      </c>
      <c r="C160" s="7">
        <v>0</v>
      </c>
      <c r="D160" s="8">
        <v>1</v>
      </c>
      <c r="E160" s="8">
        <v>1</v>
      </c>
      <c r="F160" s="8">
        <v>1</v>
      </c>
      <c r="G160" s="8">
        <v>0</v>
      </c>
      <c r="H160" s="8">
        <v>0</v>
      </c>
      <c r="I160" s="8">
        <v>1</v>
      </c>
      <c r="J160" s="8">
        <v>0</v>
      </c>
      <c r="K160" s="9">
        <v>0</v>
      </c>
      <c r="L160" s="10">
        <v>0</v>
      </c>
      <c r="M160" s="6">
        <v>0</v>
      </c>
      <c r="N160" s="37" t="e" cm="1">
        <f t="array" ref="N160">IF(OR(ISNUMBER(FIND(Aux!$D$3:$D$9,_xlfn.TEXTJOIN(,,C160:K160)))),NA(),IF(AND(SUM(C160:F160,H160:K160)=0,G160=1),0,INT((SUMPRODUCT(C160:F160,COLUMN($A$1:$D$1)-1)+SUMPRODUCT(H160:K160,COLUMN($E$1:$H$1)-1))*'Line Follower'!$C$3/SUM(C160:F160,H160:K160)-'Line Follower'!$C$5)))</f>
        <v>#N/A</v>
      </c>
      <c r="O160" s="22" t="e">
        <v>#N/A</v>
      </c>
      <c r="P160" s="4" t="e">
        <f t="shared" si="10"/>
        <v>#N/A</v>
      </c>
      <c r="Q160" s="4" t="e">
        <f t="shared" si="11"/>
        <v>#N/A</v>
      </c>
      <c r="R160" s="4" t="e">
        <f>IF(AND(B160=1,N160&gt;'Line Follower'!$C$7,SUM(C160:K160)&lt;4),1,0)</f>
        <v>#N/A</v>
      </c>
      <c r="S160" s="4" t="e">
        <f>IF(AND(L160=1,N160&lt;'Line Follower'!$C$6,SUM(C160:K160)&lt;4),1,0)</f>
        <v>#N/A</v>
      </c>
      <c r="T160" s="4" t="e">
        <f t="shared" si="12"/>
        <v>#N/A</v>
      </c>
      <c r="U160" s="5" t="e">
        <f t="shared" si="13"/>
        <v>#N/A</v>
      </c>
      <c r="V160" s="23" t="e">
        <f t="shared" si="14"/>
        <v>#N/A</v>
      </c>
    </row>
    <row r="161" spans="2:22" x14ac:dyDescent="0.25">
      <c r="B161" s="16">
        <v>0</v>
      </c>
      <c r="C161" s="7">
        <v>1</v>
      </c>
      <c r="D161" s="8">
        <v>1</v>
      </c>
      <c r="E161" s="8">
        <v>1</v>
      </c>
      <c r="F161" s="8">
        <v>1</v>
      </c>
      <c r="G161" s="8">
        <v>0</v>
      </c>
      <c r="H161" s="8">
        <v>0</v>
      </c>
      <c r="I161" s="8">
        <v>1</v>
      </c>
      <c r="J161" s="8">
        <v>0</v>
      </c>
      <c r="K161" s="9">
        <v>0</v>
      </c>
      <c r="L161" s="10">
        <v>0</v>
      </c>
      <c r="M161" s="6">
        <v>0</v>
      </c>
      <c r="N161" s="37" t="e" cm="1">
        <f t="array" ref="N161">IF(OR(ISNUMBER(FIND(Aux!$D$3:$D$9,_xlfn.TEXTJOIN(,,C161:K161)))),NA(),IF(AND(SUM(C161:F161,H161:K161)=0,G161=1),0,INT((SUMPRODUCT(C161:F161,COLUMN($A$1:$D$1)-1)+SUMPRODUCT(H161:K161,COLUMN($E$1:$H$1)-1))*'Line Follower'!$C$3/SUM(C161:F161,H161:K161)-'Line Follower'!$C$5)))</f>
        <v>#N/A</v>
      </c>
      <c r="O161" s="22" t="e">
        <v>#N/A</v>
      </c>
      <c r="P161" s="4" t="e">
        <f t="shared" si="10"/>
        <v>#N/A</v>
      </c>
      <c r="Q161" s="4" t="e">
        <f t="shared" si="11"/>
        <v>#N/A</v>
      </c>
      <c r="R161" s="4" t="e">
        <f>IF(AND(B161=1,N161&gt;'Line Follower'!$C$7,SUM(C161:K161)&lt;4),1,0)</f>
        <v>#N/A</v>
      </c>
      <c r="S161" s="4" t="e">
        <f>IF(AND(L161=1,N161&lt;'Line Follower'!$C$6,SUM(C161:K161)&lt;4),1,0)</f>
        <v>#N/A</v>
      </c>
      <c r="T161" s="4" t="e">
        <f t="shared" si="12"/>
        <v>#N/A</v>
      </c>
      <c r="U161" s="5" t="e">
        <f t="shared" si="13"/>
        <v>#N/A</v>
      </c>
      <c r="V161" s="23" t="e">
        <f t="shared" si="14"/>
        <v>#N/A</v>
      </c>
    </row>
    <row r="162" spans="2:22" x14ac:dyDescent="0.25">
      <c r="B162" s="16">
        <v>1</v>
      </c>
      <c r="C162" s="7">
        <v>1</v>
      </c>
      <c r="D162" s="8">
        <v>1</v>
      </c>
      <c r="E162" s="8">
        <v>1</v>
      </c>
      <c r="F162" s="8">
        <v>1</v>
      </c>
      <c r="G162" s="8">
        <v>0</v>
      </c>
      <c r="H162" s="8">
        <v>0</v>
      </c>
      <c r="I162" s="8">
        <v>1</v>
      </c>
      <c r="J162" s="8">
        <v>0</v>
      </c>
      <c r="K162" s="9">
        <v>0</v>
      </c>
      <c r="L162" s="10">
        <v>0</v>
      </c>
      <c r="M162" s="6">
        <v>0</v>
      </c>
      <c r="N162" s="37" t="e" cm="1">
        <f t="array" ref="N162">IF(OR(ISNUMBER(FIND(Aux!$D$3:$D$9,_xlfn.TEXTJOIN(,,C162:K162)))),NA(),IF(AND(SUM(C162:F162,H162:K162)=0,G162=1),0,INT((SUMPRODUCT(C162:F162,COLUMN($A$1:$D$1)-1)+SUMPRODUCT(H162:K162,COLUMN($E$1:$H$1)-1))*'Line Follower'!$C$3/SUM(C162:F162,H162:K162)-'Line Follower'!$C$5)))</f>
        <v>#N/A</v>
      </c>
      <c r="O162" s="22" t="e">
        <v>#N/A</v>
      </c>
      <c r="P162" s="4" t="e">
        <f t="shared" si="10"/>
        <v>#N/A</v>
      </c>
      <c r="Q162" s="4" t="e">
        <f t="shared" si="11"/>
        <v>#N/A</v>
      </c>
      <c r="R162" s="4" t="e">
        <f>IF(AND(B162=1,N162&gt;'Line Follower'!$C$7,SUM(C162:K162)&lt;4),1,0)</f>
        <v>#N/A</v>
      </c>
      <c r="S162" s="4" t="e">
        <f>IF(AND(L162=1,N162&lt;'Line Follower'!$C$6,SUM(C162:K162)&lt;4),1,0)</f>
        <v>#N/A</v>
      </c>
      <c r="T162" s="4" t="e">
        <f t="shared" si="12"/>
        <v>#N/A</v>
      </c>
      <c r="U162" s="5" t="e">
        <f t="shared" si="13"/>
        <v>#N/A</v>
      </c>
      <c r="V162" s="23" t="e">
        <f t="shared" si="14"/>
        <v>#N/A</v>
      </c>
    </row>
    <row r="163" spans="2:22" x14ac:dyDescent="0.25">
      <c r="B163" s="16">
        <v>0</v>
      </c>
      <c r="C163" s="7">
        <v>0</v>
      </c>
      <c r="D163" s="8">
        <v>0</v>
      </c>
      <c r="E163" s="8">
        <v>0</v>
      </c>
      <c r="F163" s="8">
        <v>0</v>
      </c>
      <c r="G163" s="8">
        <v>1</v>
      </c>
      <c r="H163" s="8">
        <v>0</v>
      </c>
      <c r="I163" s="8">
        <v>1</v>
      </c>
      <c r="J163" s="8">
        <v>0</v>
      </c>
      <c r="K163" s="9">
        <v>0</v>
      </c>
      <c r="L163" s="10">
        <v>0</v>
      </c>
      <c r="M163" s="6">
        <v>0</v>
      </c>
      <c r="N163" s="37" t="e" cm="1">
        <f t="array" ref="N163">IF(OR(ISNUMBER(FIND(Aux!$D$3:$D$9,_xlfn.TEXTJOIN(,,C163:K163)))),NA(),IF(AND(SUM(C163:F163,H163:K163)=0,G163=1),0,INT((SUMPRODUCT(C163:F163,COLUMN($A$1:$D$1)-1)+SUMPRODUCT(H163:K163,COLUMN($E$1:$H$1)-1))*'Line Follower'!$C$3/SUM(C163:F163,H163:K163)-'Line Follower'!$C$5)))</f>
        <v>#N/A</v>
      </c>
      <c r="O163" s="22" t="e">
        <v>#N/A</v>
      </c>
      <c r="P163" s="4" t="e">
        <f t="shared" si="10"/>
        <v>#N/A</v>
      </c>
      <c r="Q163" s="4" t="e">
        <f t="shared" si="11"/>
        <v>#N/A</v>
      </c>
      <c r="R163" s="4" t="e">
        <f>IF(AND(B163=1,N163&gt;'Line Follower'!$C$7,SUM(C163:K163)&lt;4),1,0)</f>
        <v>#N/A</v>
      </c>
      <c r="S163" s="4" t="e">
        <f>IF(AND(L163=1,N163&lt;'Line Follower'!$C$6,SUM(C163:K163)&lt;4),1,0)</f>
        <v>#N/A</v>
      </c>
      <c r="T163" s="4" t="e">
        <f t="shared" si="12"/>
        <v>#N/A</v>
      </c>
      <c r="U163" s="5" t="e">
        <f t="shared" si="13"/>
        <v>#N/A</v>
      </c>
      <c r="V163" s="23" t="e">
        <f t="shared" si="14"/>
        <v>#N/A</v>
      </c>
    </row>
    <row r="164" spans="2:22" x14ac:dyDescent="0.25">
      <c r="B164" s="16">
        <v>1</v>
      </c>
      <c r="C164" s="7">
        <v>0</v>
      </c>
      <c r="D164" s="8">
        <v>0</v>
      </c>
      <c r="E164" s="8">
        <v>0</v>
      </c>
      <c r="F164" s="8">
        <v>0</v>
      </c>
      <c r="G164" s="8">
        <v>1</v>
      </c>
      <c r="H164" s="8">
        <v>0</v>
      </c>
      <c r="I164" s="8">
        <v>1</v>
      </c>
      <c r="J164" s="8">
        <v>0</v>
      </c>
      <c r="K164" s="9">
        <v>0</v>
      </c>
      <c r="L164" s="10">
        <v>0</v>
      </c>
      <c r="M164" s="6">
        <v>0</v>
      </c>
      <c r="N164" s="37" t="e" cm="1">
        <f t="array" ref="N164">IF(OR(ISNUMBER(FIND(Aux!$D$3:$D$9,_xlfn.TEXTJOIN(,,C164:K164)))),NA(),IF(AND(SUM(C164:F164,H164:K164)=0,G164=1),0,INT((SUMPRODUCT(C164:F164,COLUMN($A$1:$D$1)-1)+SUMPRODUCT(H164:K164,COLUMN($E$1:$H$1)-1))*'Line Follower'!$C$3/SUM(C164:F164,H164:K164)-'Line Follower'!$C$5)))</f>
        <v>#N/A</v>
      </c>
      <c r="O164" s="22" t="e">
        <v>#N/A</v>
      </c>
      <c r="P164" s="4" t="e">
        <f t="shared" si="10"/>
        <v>#N/A</v>
      </c>
      <c r="Q164" s="4" t="e">
        <f t="shared" si="11"/>
        <v>#N/A</v>
      </c>
      <c r="R164" s="4" t="e">
        <f>IF(AND(B164=1,N164&gt;'Line Follower'!$C$7,SUM(C164:K164)&lt;4),1,0)</f>
        <v>#N/A</v>
      </c>
      <c r="S164" s="4" t="e">
        <f>IF(AND(L164=1,N164&lt;'Line Follower'!$C$6,SUM(C164:K164)&lt;4),1,0)</f>
        <v>#N/A</v>
      </c>
      <c r="T164" s="4" t="e">
        <f t="shared" si="12"/>
        <v>#N/A</v>
      </c>
      <c r="U164" s="5" t="e">
        <f t="shared" si="13"/>
        <v>#N/A</v>
      </c>
      <c r="V164" s="23" t="e">
        <f t="shared" si="14"/>
        <v>#N/A</v>
      </c>
    </row>
    <row r="165" spans="2:22" x14ac:dyDescent="0.25">
      <c r="B165" s="16">
        <v>0</v>
      </c>
      <c r="C165" s="7">
        <v>1</v>
      </c>
      <c r="D165" s="8">
        <v>0</v>
      </c>
      <c r="E165" s="8">
        <v>0</v>
      </c>
      <c r="F165" s="8">
        <v>0</v>
      </c>
      <c r="G165" s="8">
        <v>1</v>
      </c>
      <c r="H165" s="8">
        <v>0</v>
      </c>
      <c r="I165" s="8">
        <v>1</v>
      </c>
      <c r="J165" s="8">
        <v>0</v>
      </c>
      <c r="K165" s="9">
        <v>0</v>
      </c>
      <c r="L165" s="10">
        <v>0</v>
      </c>
      <c r="M165" s="6">
        <v>0</v>
      </c>
      <c r="N165" s="37" t="e" cm="1">
        <f t="array" ref="N165">IF(OR(ISNUMBER(FIND(Aux!$D$3:$D$9,_xlfn.TEXTJOIN(,,C165:K165)))),NA(),IF(AND(SUM(C165:F165,H165:K165)=0,G165=1),0,INT((SUMPRODUCT(C165:F165,COLUMN($A$1:$D$1)-1)+SUMPRODUCT(H165:K165,COLUMN($E$1:$H$1)-1))*'Line Follower'!$C$3/SUM(C165:F165,H165:K165)-'Line Follower'!$C$5)))</f>
        <v>#N/A</v>
      </c>
      <c r="O165" s="22" t="e">
        <v>#N/A</v>
      </c>
      <c r="P165" s="4" t="e">
        <f t="shared" si="10"/>
        <v>#N/A</v>
      </c>
      <c r="Q165" s="4" t="e">
        <f t="shared" si="11"/>
        <v>#N/A</v>
      </c>
      <c r="R165" s="4" t="e">
        <f>IF(AND(B165=1,N165&gt;'Line Follower'!$C$7,SUM(C165:K165)&lt;4),1,0)</f>
        <v>#N/A</v>
      </c>
      <c r="S165" s="4" t="e">
        <f>IF(AND(L165=1,N165&lt;'Line Follower'!$C$6,SUM(C165:K165)&lt;4),1,0)</f>
        <v>#N/A</v>
      </c>
      <c r="T165" s="4" t="e">
        <f t="shared" si="12"/>
        <v>#N/A</v>
      </c>
      <c r="U165" s="5" t="e">
        <f t="shared" si="13"/>
        <v>#N/A</v>
      </c>
      <c r="V165" s="23" t="e">
        <f t="shared" si="14"/>
        <v>#N/A</v>
      </c>
    </row>
    <row r="166" spans="2:22" x14ac:dyDescent="0.25">
      <c r="B166" s="16">
        <v>1</v>
      </c>
      <c r="C166" s="7">
        <v>1</v>
      </c>
      <c r="D166" s="8">
        <v>0</v>
      </c>
      <c r="E166" s="8">
        <v>0</v>
      </c>
      <c r="F166" s="8">
        <v>0</v>
      </c>
      <c r="G166" s="8">
        <v>1</v>
      </c>
      <c r="H166" s="8">
        <v>0</v>
      </c>
      <c r="I166" s="8">
        <v>1</v>
      </c>
      <c r="J166" s="8">
        <v>0</v>
      </c>
      <c r="K166" s="9">
        <v>0</v>
      </c>
      <c r="L166" s="10">
        <v>0</v>
      </c>
      <c r="M166" s="6">
        <v>0</v>
      </c>
      <c r="N166" s="37" t="e" cm="1">
        <f t="array" ref="N166">IF(OR(ISNUMBER(FIND(Aux!$D$3:$D$9,_xlfn.TEXTJOIN(,,C166:K166)))),NA(),IF(AND(SUM(C166:F166,H166:K166)=0,G166=1),0,INT((SUMPRODUCT(C166:F166,COLUMN($A$1:$D$1)-1)+SUMPRODUCT(H166:K166,COLUMN($E$1:$H$1)-1))*'Line Follower'!$C$3/SUM(C166:F166,H166:K166)-'Line Follower'!$C$5)))</f>
        <v>#N/A</v>
      </c>
      <c r="O166" s="22" t="e">
        <v>#N/A</v>
      </c>
      <c r="P166" s="4" t="e">
        <f t="shared" si="10"/>
        <v>#N/A</v>
      </c>
      <c r="Q166" s="4" t="e">
        <f t="shared" si="11"/>
        <v>#N/A</v>
      </c>
      <c r="R166" s="4" t="e">
        <f>IF(AND(B166=1,N166&gt;'Line Follower'!$C$7,SUM(C166:K166)&lt;4),1,0)</f>
        <v>#N/A</v>
      </c>
      <c r="S166" s="4" t="e">
        <f>IF(AND(L166=1,N166&lt;'Line Follower'!$C$6,SUM(C166:K166)&lt;4),1,0)</f>
        <v>#N/A</v>
      </c>
      <c r="T166" s="4" t="e">
        <f t="shared" si="12"/>
        <v>#N/A</v>
      </c>
      <c r="U166" s="5" t="e">
        <f t="shared" si="13"/>
        <v>#N/A</v>
      </c>
      <c r="V166" s="23" t="e">
        <f t="shared" si="14"/>
        <v>#N/A</v>
      </c>
    </row>
    <row r="167" spans="2:22" x14ac:dyDescent="0.25">
      <c r="B167" s="16">
        <v>0</v>
      </c>
      <c r="C167" s="7">
        <v>0</v>
      </c>
      <c r="D167" s="8">
        <v>1</v>
      </c>
      <c r="E167" s="8">
        <v>0</v>
      </c>
      <c r="F167" s="8">
        <v>0</v>
      </c>
      <c r="G167" s="8">
        <v>1</v>
      </c>
      <c r="H167" s="8">
        <v>0</v>
      </c>
      <c r="I167" s="8">
        <v>1</v>
      </c>
      <c r="J167" s="8">
        <v>0</v>
      </c>
      <c r="K167" s="9">
        <v>0</v>
      </c>
      <c r="L167" s="10">
        <v>0</v>
      </c>
      <c r="M167" s="6">
        <v>0</v>
      </c>
      <c r="N167" s="37" t="e" cm="1">
        <f t="array" ref="N167">IF(OR(ISNUMBER(FIND(Aux!$D$3:$D$9,_xlfn.TEXTJOIN(,,C167:K167)))),NA(),IF(AND(SUM(C167:F167,H167:K167)=0,G167=1),0,INT((SUMPRODUCT(C167:F167,COLUMN($A$1:$D$1)-1)+SUMPRODUCT(H167:K167,COLUMN($E$1:$H$1)-1))*'Line Follower'!$C$3/SUM(C167:F167,H167:K167)-'Line Follower'!$C$5)))</f>
        <v>#N/A</v>
      </c>
      <c r="O167" s="22" t="e">
        <v>#N/A</v>
      </c>
      <c r="P167" s="4" t="e">
        <f t="shared" si="10"/>
        <v>#N/A</v>
      </c>
      <c r="Q167" s="4" t="e">
        <f t="shared" si="11"/>
        <v>#N/A</v>
      </c>
      <c r="R167" s="4" t="e">
        <f>IF(AND(B167=1,N167&gt;'Line Follower'!$C$7,SUM(C167:K167)&lt;4),1,0)</f>
        <v>#N/A</v>
      </c>
      <c r="S167" s="4" t="e">
        <f>IF(AND(L167=1,N167&lt;'Line Follower'!$C$6,SUM(C167:K167)&lt;4),1,0)</f>
        <v>#N/A</v>
      </c>
      <c r="T167" s="4" t="e">
        <f t="shared" si="12"/>
        <v>#N/A</v>
      </c>
      <c r="U167" s="5" t="e">
        <f t="shared" si="13"/>
        <v>#N/A</v>
      </c>
      <c r="V167" s="23" t="e">
        <f t="shared" si="14"/>
        <v>#N/A</v>
      </c>
    </row>
    <row r="168" spans="2:22" x14ac:dyDescent="0.25">
      <c r="B168" s="16">
        <v>1</v>
      </c>
      <c r="C168" s="7">
        <v>0</v>
      </c>
      <c r="D168" s="8">
        <v>1</v>
      </c>
      <c r="E168" s="8">
        <v>0</v>
      </c>
      <c r="F168" s="8">
        <v>0</v>
      </c>
      <c r="G168" s="8">
        <v>1</v>
      </c>
      <c r="H168" s="8">
        <v>0</v>
      </c>
      <c r="I168" s="8">
        <v>1</v>
      </c>
      <c r="J168" s="8">
        <v>0</v>
      </c>
      <c r="K168" s="9">
        <v>0</v>
      </c>
      <c r="L168" s="10">
        <v>0</v>
      </c>
      <c r="M168" s="6">
        <v>0</v>
      </c>
      <c r="N168" s="37" t="e" cm="1">
        <f t="array" ref="N168">IF(OR(ISNUMBER(FIND(Aux!$D$3:$D$9,_xlfn.TEXTJOIN(,,C168:K168)))),NA(),IF(AND(SUM(C168:F168,H168:K168)=0,G168=1),0,INT((SUMPRODUCT(C168:F168,COLUMN($A$1:$D$1)-1)+SUMPRODUCT(H168:K168,COLUMN($E$1:$H$1)-1))*'Line Follower'!$C$3/SUM(C168:F168,H168:K168)-'Line Follower'!$C$5)))</f>
        <v>#N/A</v>
      </c>
      <c r="O168" s="22" t="e">
        <v>#N/A</v>
      </c>
      <c r="P168" s="4" t="e">
        <f t="shared" si="10"/>
        <v>#N/A</v>
      </c>
      <c r="Q168" s="4" t="e">
        <f t="shared" si="11"/>
        <v>#N/A</v>
      </c>
      <c r="R168" s="4" t="e">
        <f>IF(AND(B168=1,N168&gt;'Line Follower'!$C$7,SUM(C168:K168)&lt;4),1,0)</f>
        <v>#N/A</v>
      </c>
      <c r="S168" s="4" t="e">
        <f>IF(AND(L168=1,N168&lt;'Line Follower'!$C$6,SUM(C168:K168)&lt;4),1,0)</f>
        <v>#N/A</v>
      </c>
      <c r="T168" s="4" t="e">
        <f t="shared" si="12"/>
        <v>#N/A</v>
      </c>
      <c r="U168" s="5" t="e">
        <f t="shared" si="13"/>
        <v>#N/A</v>
      </c>
      <c r="V168" s="23" t="e">
        <f t="shared" si="14"/>
        <v>#N/A</v>
      </c>
    </row>
    <row r="169" spans="2:22" x14ac:dyDescent="0.25">
      <c r="B169" s="16">
        <v>0</v>
      </c>
      <c r="C169" s="7">
        <v>1</v>
      </c>
      <c r="D169" s="8">
        <v>1</v>
      </c>
      <c r="E169" s="8">
        <v>0</v>
      </c>
      <c r="F169" s="8">
        <v>0</v>
      </c>
      <c r="G169" s="8">
        <v>1</v>
      </c>
      <c r="H169" s="8">
        <v>0</v>
      </c>
      <c r="I169" s="8">
        <v>1</v>
      </c>
      <c r="J169" s="8">
        <v>0</v>
      </c>
      <c r="K169" s="9">
        <v>0</v>
      </c>
      <c r="L169" s="10">
        <v>0</v>
      </c>
      <c r="M169" s="6">
        <v>0</v>
      </c>
      <c r="N169" s="37" t="e" cm="1">
        <f t="array" ref="N169">IF(OR(ISNUMBER(FIND(Aux!$D$3:$D$9,_xlfn.TEXTJOIN(,,C169:K169)))),NA(),IF(AND(SUM(C169:F169,H169:K169)=0,G169=1),0,INT((SUMPRODUCT(C169:F169,COLUMN($A$1:$D$1)-1)+SUMPRODUCT(H169:K169,COLUMN($E$1:$H$1)-1))*'Line Follower'!$C$3/SUM(C169:F169,H169:K169)-'Line Follower'!$C$5)))</f>
        <v>#N/A</v>
      </c>
      <c r="O169" s="22" t="e">
        <v>#N/A</v>
      </c>
      <c r="P169" s="4" t="e">
        <f t="shared" si="10"/>
        <v>#N/A</v>
      </c>
      <c r="Q169" s="4" t="e">
        <f t="shared" si="11"/>
        <v>#N/A</v>
      </c>
      <c r="R169" s="4" t="e">
        <f>IF(AND(B169=1,N169&gt;'Line Follower'!$C$7,SUM(C169:K169)&lt;4),1,0)</f>
        <v>#N/A</v>
      </c>
      <c r="S169" s="4" t="e">
        <f>IF(AND(L169=1,N169&lt;'Line Follower'!$C$6,SUM(C169:K169)&lt;4),1,0)</f>
        <v>#N/A</v>
      </c>
      <c r="T169" s="4" t="e">
        <f t="shared" si="12"/>
        <v>#N/A</v>
      </c>
      <c r="U169" s="5" t="e">
        <f t="shared" si="13"/>
        <v>#N/A</v>
      </c>
      <c r="V169" s="23" t="e">
        <f t="shared" si="14"/>
        <v>#N/A</v>
      </c>
    </row>
    <row r="170" spans="2:22" x14ac:dyDescent="0.25">
      <c r="B170" s="16">
        <v>1</v>
      </c>
      <c r="C170" s="7">
        <v>1</v>
      </c>
      <c r="D170" s="8">
        <v>1</v>
      </c>
      <c r="E170" s="8">
        <v>0</v>
      </c>
      <c r="F170" s="8">
        <v>0</v>
      </c>
      <c r="G170" s="8">
        <v>1</v>
      </c>
      <c r="H170" s="8">
        <v>0</v>
      </c>
      <c r="I170" s="8">
        <v>1</v>
      </c>
      <c r="J170" s="8">
        <v>0</v>
      </c>
      <c r="K170" s="9">
        <v>0</v>
      </c>
      <c r="L170" s="10">
        <v>0</v>
      </c>
      <c r="M170" s="6">
        <v>0</v>
      </c>
      <c r="N170" s="37" t="e" cm="1">
        <f t="array" ref="N170">IF(OR(ISNUMBER(FIND(Aux!$D$3:$D$9,_xlfn.TEXTJOIN(,,C170:K170)))),NA(),IF(AND(SUM(C170:F170,H170:K170)=0,G170=1),0,INT((SUMPRODUCT(C170:F170,COLUMN($A$1:$D$1)-1)+SUMPRODUCT(H170:K170,COLUMN($E$1:$H$1)-1))*'Line Follower'!$C$3/SUM(C170:F170,H170:K170)-'Line Follower'!$C$5)))</f>
        <v>#N/A</v>
      </c>
      <c r="O170" s="22" t="e">
        <v>#N/A</v>
      </c>
      <c r="P170" s="4" t="e">
        <f t="shared" si="10"/>
        <v>#N/A</v>
      </c>
      <c r="Q170" s="4" t="e">
        <f t="shared" si="11"/>
        <v>#N/A</v>
      </c>
      <c r="R170" s="4" t="e">
        <f>IF(AND(B170=1,N170&gt;'Line Follower'!$C$7,SUM(C170:K170)&lt;4),1,0)</f>
        <v>#N/A</v>
      </c>
      <c r="S170" s="4" t="e">
        <f>IF(AND(L170=1,N170&lt;'Line Follower'!$C$6,SUM(C170:K170)&lt;4),1,0)</f>
        <v>#N/A</v>
      </c>
      <c r="T170" s="4" t="e">
        <f t="shared" si="12"/>
        <v>#N/A</v>
      </c>
      <c r="U170" s="5" t="e">
        <f t="shared" si="13"/>
        <v>#N/A</v>
      </c>
      <c r="V170" s="23" t="e">
        <f t="shared" si="14"/>
        <v>#N/A</v>
      </c>
    </row>
    <row r="171" spans="2:22" x14ac:dyDescent="0.25">
      <c r="B171" s="16">
        <v>0</v>
      </c>
      <c r="C171" s="7">
        <v>0</v>
      </c>
      <c r="D171" s="8">
        <v>0</v>
      </c>
      <c r="E171" s="8">
        <v>1</v>
      </c>
      <c r="F171" s="8">
        <v>0</v>
      </c>
      <c r="G171" s="8">
        <v>1</v>
      </c>
      <c r="H171" s="8">
        <v>0</v>
      </c>
      <c r="I171" s="8">
        <v>1</v>
      </c>
      <c r="J171" s="8">
        <v>0</v>
      </c>
      <c r="K171" s="9">
        <v>0</v>
      </c>
      <c r="L171" s="10">
        <v>0</v>
      </c>
      <c r="M171" s="6">
        <v>0</v>
      </c>
      <c r="N171" s="37" t="e" cm="1">
        <f t="array" ref="N171">IF(OR(ISNUMBER(FIND(Aux!$D$3:$D$9,_xlfn.TEXTJOIN(,,C171:K171)))),NA(),IF(AND(SUM(C171:F171,H171:K171)=0,G171=1),0,INT((SUMPRODUCT(C171:F171,COLUMN($A$1:$D$1)-1)+SUMPRODUCT(H171:K171,COLUMN($E$1:$H$1)-1))*'Line Follower'!$C$3/SUM(C171:F171,H171:K171)-'Line Follower'!$C$5)))</f>
        <v>#N/A</v>
      </c>
      <c r="O171" s="22" t="e">
        <v>#N/A</v>
      </c>
      <c r="P171" s="4" t="e">
        <f t="shared" si="10"/>
        <v>#N/A</v>
      </c>
      <c r="Q171" s="4" t="e">
        <f t="shared" si="11"/>
        <v>#N/A</v>
      </c>
      <c r="R171" s="4" t="e">
        <f>IF(AND(B171=1,N171&gt;'Line Follower'!$C$7,SUM(C171:K171)&lt;4),1,0)</f>
        <v>#N/A</v>
      </c>
      <c r="S171" s="4" t="e">
        <f>IF(AND(L171=1,N171&lt;'Line Follower'!$C$6,SUM(C171:K171)&lt;4),1,0)</f>
        <v>#N/A</v>
      </c>
      <c r="T171" s="4" t="e">
        <f t="shared" si="12"/>
        <v>#N/A</v>
      </c>
      <c r="U171" s="5" t="e">
        <f t="shared" si="13"/>
        <v>#N/A</v>
      </c>
      <c r="V171" s="23" t="e">
        <f t="shared" si="14"/>
        <v>#N/A</v>
      </c>
    </row>
    <row r="172" spans="2:22" x14ac:dyDescent="0.25">
      <c r="B172" s="16">
        <v>1</v>
      </c>
      <c r="C172" s="7">
        <v>0</v>
      </c>
      <c r="D172" s="8">
        <v>0</v>
      </c>
      <c r="E172" s="8">
        <v>1</v>
      </c>
      <c r="F172" s="8">
        <v>0</v>
      </c>
      <c r="G172" s="8">
        <v>1</v>
      </c>
      <c r="H172" s="8">
        <v>0</v>
      </c>
      <c r="I172" s="8">
        <v>1</v>
      </c>
      <c r="J172" s="8">
        <v>0</v>
      </c>
      <c r="K172" s="9">
        <v>0</v>
      </c>
      <c r="L172" s="10">
        <v>0</v>
      </c>
      <c r="M172" s="6">
        <v>0</v>
      </c>
      <c r="N172" s="37" t="e" cm="1">
        <f t="array" ref="N172">IF(OR(ISNUMBER(FIND(Aux!$D$3:$D$9,_xlfn.TEXTJOIN(,,C172:K172)))),NA(),IF(AND(SUM(C172:F172,H172:K172)=0,G172=1),0,INT((SUMPRODUCT(C172:F172,COLUMN($A$1:$D$1)-1)+SUMPRODUCT(H172:K172,COLUMN($E$1:$H$1)-1))*'Line Follower'!$C$3/SUM(C172:F172,H172:K172)-'Line Follower'!$C$5)))</f>
        <v>#N/A</v>
      </c>
      <c r="O172" s="22" t="e">
        <v>#N/A</v>
      </c>
      <c r="P172" s="4" t="e">
        <f t="shared" si="10"/>
        <v>#N/A</v>
      </c>
      <c r="Q172" s="4" t="e">
        <f t="shared" si="11"/>
        <v>#N/A</v>
      </c>
      <c r="R172" s="4" t="e">
        <f>IF(AND(B172=1,N172&gt;'Line Follower'!$C$7,SUM(C172:K172)&lt;4),1,0)</f>
        <v>#N/A</v>
      </c>
      <c r="S172" s="4" t="e">
        <f>IF(AND(L172=1,N172&lt;'Line Follower'!$C$6,SUM(C172:K172)&lt;4),1,0)</f>
        <v>#N/A</v>
      </c>
      <c r="T172" s="4" t="e">
        <f t="shared" si="12"/>
        <v>#N/A</v>
      </c>
      <c r="U172" s="5" t="e">
        <f t="shared" si="13"/>
        <v>#N/A</v>
      </c>
      <c r="V172" s="23" t="e">
        <f t="shared" si="14"/>
        <v>#N/A</v>
      </c>
    </row>
    <row r="173" spans="2:22" x14ac:dyDescent="0.25">
      <c r="B173" s="16">
        <v>0</v>
      </c>
      <c r="C173" s="7">
        <v>1</v>
      </c>
      <c r="D173" s="8">
        <v>0</v>
      </c>
      <c r="E173" s="8">
        <v>1</v>
      </c>
      <c r="F173" s="8">
        <v>0</v>
      </c>
      <c r="G173" s="8">
        <v>1</v>
      </c>
      <c r="H173" s="8">
        <v>0</v>
      </c>
      <c r="I173" s="8">
        <v>1</v>
      </c>
      <c r="J173" s="8">
        <v>0</v>
      </c>
      <c r="K173" s="9">
        <v>0</v>
      </c>
      <c r="L173" s="10">
        <v>0</v>
      </c>
      <c r="M173" s="6">
        <v>0</v>
      </c>
      <c r="N173" s="37" t="e" cm="1">
        <f t="array" ref="N173">IF(OR(ISNUMBER(FIND(Aux!$D$3:$D$9,_xlfn.TEXTJOIN(,,C173:K173)))),NA(),IF(AND(SUM(C173:F173,H173:K173)=0,G173=1),0,INT((SUMPRODUCT(C173:F173,COLUMN($A$1:$D$1)-1)+SUMPRODUCT(H173:K173,COLUMN($E$1:$H$1)-1))*'Line Follower'!$C$3/SUM(C173:F173,H173:K173)-'Line Follower'!$C$5)))</f>
        <v>#N/A</v>
      </c>
      <c r="O173" s="22" t="e">
        <v>#N/A</v>
      </c>
      <c r="P173" s="4" t="e">
        <f t="shared" si="10"/>
        <v>#N/A</v>
      </c>
      <c r="Q173" s="4" t="e">
        <f t="shared" si="11"/>
        <v>#N/A</v>
      </c>
      <c r="R173" s="4" t="e">
        <f>IF(AND(B173=1,N173&gt;'Line Follower'!$C$7,SUM(C173:K173)&lt;4),1,0)</f>
        <v>#N/A</v>
      </c>
      <c r="S173" s="4" t="e">
        <f>IF(AND(L173=1,N173&lt;'Line Follower'!$C$6,SUM(C173:K173)&lt;4),1,0)</f>
        <v>#N/A</v>
      </c>
      <c r="T173" s="4" t="e">
        <f t="shared" si="12"/>
        <v>#N/A</v>
      </c>
      <c r="U173" s="5" t="e">
        <f t="shared" si="13"/>
        <v>#N/A</v>
      </c>
      <c r="V173" s="23" t="e">
        <f t="shared" si="14"/>
        <v>#N/A</v>
      </c>
    </row>
    <row r="174" spans="2:22" x14ac:dyDescent="0.25">
      <c r="B174" s="16">
        <v>1</v>
      </c>
      <c r="C174" s="7">
        <v>1</v>
      </c>
      <c r="D174" s="8">
        <v>0</v>
      </c>
      <c r="E174" s="8">
        <v>1</v>
      </c>
      <c r="F174" s="8">
        <v>0</v>
      </c>
      <c r="G174" s="8">
        <v>1</v>
      </c>
      <c r="H174" s="8">
        <v>0</v>
      </c>
      <c r="I174" s="8">
        <v>1</v>
      </c>
      <c r="J174" s="8">
        <v>0</v>
      </c>
      <c r="K174" s="9">
        <v>0</v>
      </c>
      <c r="L174" s="10">
        <v>0</v>
      </c>
      <c r="M174" s="6">
        <v>0</v>
      </c>
      <c r="N174" s="37" t="e" cm="1">
        <f t="array" ref="N174">IF(OR(ISNUMBER(FIND(Aux!$D$3:$D$9,_xlfn.TEXTJOIN(,,C174:K174)))),NA(),IF(AND(SUM(C174:F174,H174:K174)=0,G174=1),0,INT((SUMPRODUCT(C174:F174,COLUMN($A$1:$D$1)-1)+SUMPRODUCT(H174:K174,COLUMN($E$1:$H$1)-1))*'Line Follower'!$C$3/SUM(C174:F174,H174:K174)-'Line Follower'!$C$5)))</f>
        <v>#N/A</v>
      </c>
      <c r="O174" s="22" t="e">
        <v>#N/A</v>
      </c>
      <c r="P174" s="4" t="e">
        <f t="shared" si="10"/>
        <v>#N/A</v>
      </c>
      <c r="Q174" s="4" t="e">
        <f t="shared" si="11"/>
        <v>#N/A</v>
      </c>
      <c r="R174" s="4" t="e">
        <f>IF(AND(B174=1,N174&gt;'Line Follower'!$C$7,SUM(C174:K174)&lt;4),1,0)</f>
        <v>#N/A</v>
      </c>
      <c r="S174" s="4" t="e">
        <f>IF(AND(L174=1,N174&lt;'Line Follower'!$C$6,SUM(C174:K174)&lt;4),1,0)</f>
        <v>#N/A</v>
      </c>
      <c r="T174" s="4" t="e">
        <f t="shared" si="12"/>
        <v>#N/A</v>
      </c>
      <c r="U174" s="5" t="e">
        <f t="shared" si="13"/>
        <v>#N/A</v>
      </c>
      <c r="V174" s="23" t="e">
        <f t="shared" si="14"/>
        <v>#N/A</v>
      </c>
    </row>
    <row r="175" spans="2:22" x14ac:dyDescent="0.25">
      <c r="B175" s="16">
        <v>0</v>
      </c>
      <c r="C175" s="7">
        <v>0</v>
      </c>
      <c r="D175" s="8">
        <v>1</v>
      </c>
      <c r="E175" s="8">
        <v>1</v>
      </c>
      <c r="F175" s="8">
        <v>0</v>
      </c>
      <c r="G175" s="8">
        <v>1</v>
      </c>
      <c r="H175" s="8">
        <v>0</v>
      </c>
      <c r="I175" s="8">
        <v>1</v>
      </c>
      <c r="J175" s="8">
        <v>0</v>
      </c>
      <c r="K175" s="9">
        <v>0</v>
      </c>
      <c r="L175" s="10">
        <v>0</v>
      </c>
      <c r="M175" s="6">
        <v>0</v>
      </c>
      <c r="N175" s="37" t="e" cm="1">
        <f t="array" ref="N175">IF(OR(ISNUMBER(FIND(Aux!$D$3:$D$9,_xlfn.TEXTJOIN(,,C175:K175)))),NA(),IF(AND(SUM(C175:F175,H175:K175)=0,G175=1),0,INT((SUMPRODUCT(C175:F175,COLUMN($A$1:$D$1)-1)+SUMPRODUCT(H175:K175,COLUMN($E$1:$H$1)-1))*'Line Follower'!$C$3/SUM(C175:F175,H175:K175)-'Line Follower'!$C$5)))</f>
        <v>#N/A</v>
      </c>
      <c r="O175" s="22" t="e">
        <v>#N/A</v>
      </c>
      <c r="P175" s="4" t="e">
        <f t="shared" si="10"/>
        <v>#N/A</v>
      </c>
      <c r="Q175" s="4" t="e">
        <f t="shared" si="11"/>
        <v>#N/A</v>
      </c>
      <c r="R175" s="4" t="e">
        <f>IF(AND(B175=1,N175&gt;'Line Follower'!$C$7,SUM(C175:K175)&lt;4),1,0)</f>
        <v>#N/A</v>
      </c>
      <c r="S175" s="4" t="e">
        <f>IF(AND(L175=1,N175&lt;'Line Follower'!$C$6,SUM(C175:K175)&lt;4),1,0)</f>
        <v>#N/A</v>
      </c>
      <c r="T175" s="4" t="e">
        <f t="shared" si="12"/>
        <v>#N/A</v>
      </c>
      <c r="U175" s="5" t="e">
        <f t="shared" si="13"/>
        <v>#N/A</v>
      </c>
      <c r="V175" s="23" t="e">
        <f t="shared" si="14"/>
        <v>#N/A</v>
      </c>
    </row>
    <row r="176" spans="2:22" x14ac:dyDescent="0.25">
      <c r="B176" s="16">
        <v>1</v>
      </c>
      <c r="C176" s="7">
        <v>0</v>
      </c>
      <c r="D176" s="8">
        <v>1</v>
      </c>
      <c r="E176" s="8">
        <v>1</v>
      </c>
      <c r="F176" s="8">
        <v>0</v>
      </c>
      <c r="G176" s="8">
        <v>1</v>
      </c>
      <c r="H176" s="8">
        <v>0</v>
      </c>
      <c r="I176" s="8">
        <v>1</v>
      </c>
      <c r="J176" s="8">
        <v>0</v>
      </c>
      <c r="K176" s="9">
        <v>0</v>
      </c>
      <c r="L176" s="10">
        <v>0</v>
      </c>
      <c r="M176" s="6">
        <v>0</v>
      </c>
      <c r="N176" s="37" t="e" cm="1">
        <f t="array" ref="N176">IF(OR(ISNUMBER(FIND(Aux!$D$3:$D$9,_xlfn.TEXTJOIN(,,C176:K176)))),NA(),IF(AND(SUM(C176:F176,H176:K176)=0,G176=1),0,INT((SUMPRODUCT(C176:F176,COLUMN($A$1:$D$1)-1)+SUMPRODUCT(H176:K176,COLUMN($E$1:$H$1)-1))*'Line Follower'!$C$3/SUM(C176:F176,H176:K176)-'Line Follower'!$C$5)))</f>
        <v>#N/A</v>
      </c>
      <c r="O176" s="22" t="e">
        <v>#N/A</v>
      </c>
      <c r="P176" s="4" t="e">
        <f t="shared" si="10"/>
        <v>#N/A</v>
      </c>
      <c r="Q176" s="4" t="e">
        <f t="shared" si="11"/>
        <v>#N/A</v>
      </c>
      <c r="R176" s="4" t="e">
        <f>IF(AND(B176=1,N176&gt;'Line Follower'!$C$7,SUM(C176:K176)&lt;4),1,0)</f>
        <v>#N/A</v>
      </c>
      <c r="S176" s="4" t="e">
        <f>IF(AND(L176=1,N176&lt;'Line Follower'!$C$6,SUM(C176:K176)&lt;4),1,0)</f>
        <v>#N/A</v>
      </c>
      <c r="T176" s="4" t="e">
        <f t="shared" si="12"/>
        <v>#N/A</v>
      </c>
      <c r="U176" s="5" t="e">
        <f t="shared" si="13"/>
        <v>#N/A</v>
      </c>
      <c r="V176" s="23" t="e">
        <f t="shared" si="14"/>
        <v>#N/A</v>
      </c>
    </row>
    <row r="177" spans="2:22" x14ac:dyDescent="0.25">
      <c r="B177" s="16">
        <v>0</v>
      </c>
      <c r="C177" s="7">
        <v>1</v>
      </c>
      <c r="D177" s="8">
        <v>1</v>
      </c>
      <c r="E177" s="8">
        <v>1</v>
      </c>
      <c r="F177" s="8">
        <v>0</v>
      </c>
      <c r="G177" s="8">
        <v>1</v>
      </c>
      <c r="H177" s="8">
        <v>0</v>
      </c>
      <c r="I177" s="8">
        <v>1</v>
      </c>
      <c r="J177" s="8">
        <v>0</v>
      </c>
      <c r="K177" s="9">
        <v>0</v>
      </c>
      <c r="L177" s="10">
        <v>0</v>
      </c>
      <c r="M177" s="6">
        <v>0</v>
      </c>
      <c r="N177" s="37" t="e" cm="1">
        <f t="array" ref="N177">IF(OR(ISNUMBER(FIND(Aux!$D$3:$D$9,_xlfn.TEXTJOIN(,,C177:K177)))),NA(),IF(AND(SUM(C177:F177,H177:K177)=0,G177=1),0,INT((SUMPRODUCT(C177:F177,COLUMN($A$1:$D$1)-1)+SUMPRODUCT(H177:K177,COLUMN($E$1:$H$1)-1))*'Line Follower'!$C$3/SUM(C177:F177,H177:K177)-'Line Follower'!$C$5)))</f>
        <v>#N/A</v>
      </c>
      <c r="O177" s="22" t="e">
        <v>#N/A</v>
      </c>
      <c r="P177" s="4" t="e">
        <f t="shared" si="10"/>
        <v>#N/A</v>
      </c>
      <c r="Q177" s="4" t="e">
        <f t="shared" si="11"/>
        <v>#N/A</v>
      </c>
      <c r="R177" s="4" t="e">
        <f>IF(AND(B177=1,N177&gt;'Line Follower'!$C$7,SUM(C177:K177)&lt;4),1,0)</f>
        <v>#N/A</v>
      </c>
      <c r="S177" s="4" t="e">
        <f>IF(AND(L177=1,N177&lt;'Line Follower'!$C$6,SUM(C177:K177)&lt;4),1,0)</f>
        <v>#N/A</v>
      </c>
      <c r="T177" s="4" t="e">
        <f t="shared" si="12"/>
        <v>#N/A</v>
      </c>
      <c r="U177" s="5" t="e">
        <f t="shared" si="13"/>
        <v>#N/A</v>
      </c>
      <c r="V177" s="23" t="e">
        <f t="shared" si="14"/>
        <v>#N/A</v>
      </c>
    </row>
    <row r="178" spans="2:22" x14ac:dyDescent="0.25">
      <c r="B178" s="16">
        <v>1</v>
      </c>
      <c r="C178" s="7">
        <v>1</v>
      </c>
      <c r="D178" s="8">
        <v>1</v>
      </c>
      <c r="E178" s="8">
        <v>1</v>
      </c>
      <c r="F178" s="8">
        <v>0</v>
      </c>
      <c r="G178" s="8">
        <v>1</v>
      </c>
      <c r="H178" s="8">
        <v>0</v>
      </c>
      <c r="I178" s="8">
        <v>1</v>
      </c>
      <c r="J178" s="8">
        <v>0</v>
      </c>
      <c r="K178" s="9">
        <v>0</v>
      </c>
      <c r="L178" s="10">
        <v>0</v>
      </c>
      <c r="M178" s="6">
        <v>0</v>
      </c>
      <c r="N178" s="37" t="e" cm="1">
        <f t="array" ref="N178">IF(OR(ISNUMBER(FIND(Aux!$D$3:$D$9,_xlfn.TEXTJOIN(,,C178:K178)))),NA(),IF(AND(SUM(C178:F178,H178:K178)=0,G178=1),0,INT((SUMPRODUCT(C178:F178,COLUMN($A$1:$D$1)-1)+SUMPRODUCT(H178:K178,COLUMN($E$1:$H$1)-1))*'Line Follower'!$C$3/SUM(C178:F178,H178:K178)-'Line Follower'!$C$5)))</f>
        <v>#N/A</v>
      </c>
      <c r="O178" s="22" t="e">
        <v>#N/A</v>
      </c>
      <c r="P178" s="4" t="e">
        <f t="shared" si="10"/>
        <v>#N/A</v>
      </c>
      <c r="Q178" s="4" t="e">
        <f t="shared" si="11"/>
        <v>#N/A</v>
      </c>
      <c r="R178" s="4" t="e">
        <f>IF(AND(B178=1,N178&gt;'Line Follower'!$C$7,SUM(C178:K178)&lt;4),1,0)</f>
        <v>#N/A</v>
      </c>
      <c r="S178" s="4" t="e">
        <f>IF(AND(L178=1,N178&lt;'Line Follower'!$C$6,SUM(C178:K178)&lt;4),1,0)</f>
        <v>#N/A</v>
      </c>
      <c r="T178" s="4" t="e">
        <f t="shared" si="12"/>
        <v>#N/A</v>
      </c>
      <c r="U178" s="5" t="e">
        <f t="shared" si="13"/>
        <v>#N/A</v>
      </c>
      <c r="V178" s="23" t="e">
        <f t="shared" si="14"/>
        <v>#N/A</v>
      </c>
    </row>
    <row r="179" spans="2:22" x14ac:dyDescent="0.25">
      <c r="B179" s="16">
        <v>0</v>
      </c>
      <c r="C179" s="7">
        <v>0</v>
      </c>
      <c r="D179" s="8">
        <v>0</v>
      </c>
      <c r="E179" s="8">
        <v>0</v>
      </c>
      <c r="F179" s="8">
        <v>1</v>
      </c>
      <c r="G179" s="8">
        <v>1</v>
      </c>
      <c r="H179" s="8">
        <v>0</v>
      </c>
      <c r="I179" s="8">
        <v>1</v>
      </c>
      <c r="J179" s="8">
        <v>0</v>
      </c>
      <c r="K179" s="9">
        <v>0</v>
      </c>
      <c r="L179" s="10">
        <v>0</v>
      </c>
      <c r="M179" s="6">
        <v>0</v>
      </c>
      <c r="N179" s="37" t="e" cm="1">
        <f t="array" ref="N179">IF(OR(ISNUMBER(FIND(Aux!$D$3:$D$9,_xlfn.TEXTJOIN(,,C179:K179)))),NA(),IF(AND(SUM(C179:F179,H179:K179)=0,G179=1),0,INT((SUMPRODUCT(C179:F179,COLUMN($A$1:$D$1)-1)+SUMPRODUCT(H179:K179,COLUMN($E$1:$H$1)-1))*'Line Follower'!$C$3/SUM(C179:F179,H179:K179)-'Line Follower'!$C$5)))</f>
        <v>#N/A</v>
      </c>
      <c r="O179" s="22" t="e">
        <v>#N/A</v>
      </c>
      <c r="P179" s="4" t="e">
        <f t="shared" si="10"/>
        <v>#N/A</v>
      </c>
      <c r="Q179" s="4" t="e">
        <f t="shared" si="11"/>
        <v>#N/A</v>
      </c>
      <c r="R179" s="4" t="e">
        <f>IF(AND(B179=1,N179&gt;'Line Follower'!$C$7,SUM(C179:K179)&lt;4),1,0)</f>
        <v>#N/A</v>
      </c>
      <c r="S179" s="4" t="e">
        <f>IF(AND(L179=1,N179&lt;'Line Follower'!$C$6,SUM(C179:K179)&lt;4),1,0)</f>
        <v>#N/A</v>
      </c>
      <c r="T179" s="4" t="e">
        <f t="shared" si="12"/>
        <v>#N/A</v>
      </c>
      <c r="U179" s="5" t="e">
        <f t="shared" si="13"/>
        <v>#N/A</v>
      </c>
      <c r="V179" s="23" t="e">
        <f t="shared" si="14"/>
        <v>#N/A</v>
      </c>
    </row>
    <row r="180" spans="2:22" x14ac:dyDescent="0.25">
      <c r="B180" s="16">
        <v>1</v>
      </c>
      <c r="C180" s="7">
        <v>0</v>
      </c>
      <c r="D180" s="8">
        <v>0</v>
      </c>
      <c r="E180" s="8">
        <v>0</v>
      </c>
      <c r="F180" s="8">
        <v>1</v>
      </c>
      <c r="G180" s="8">
        <v>1</v>
      </c>
      <c r="H180" s="8">
        <v>0</v>
      </c>
      <c r="I180" s="8">
        <v>1</v>
      </c>
      <c r="J180" s="8">
        <v>0</v>
      </c>
      <c r="K180" s="9">
        <v>0</v>
      </c>
      <c r="L180" s="10">
        <v>0</v>
      </c>
      <c r="M180" s="6">
        <v>0</v>
      </c>
      <c r="N180" s="37" t="e" cm="1">
        <f t="array" ref="N180">IF(OR(ISNUMBER(FIND(Aux!$D$3:$D$9,_xlfn.TEXTJOIN(,,C180:K180)))),NA(),IF(AND(SUM(C180:F180,H180:K180)=0,G180=1),0,INT((SUMPRODUCT(C180:F180,COLUMN($A$1:$D$1)-1)+SUMPRODUCT(H180:K180,COLUMN($E$1:$H$1)-1))*'Line Follower'!$C$3/SUM(C180:F180,H180:K180)-'Line Follower'!$C$5)))</f>
        <v>#N/A</v>
      </c>
      <c r="O180" s="22" t="e">
        <v>#N/A</v>
      </c>
      <c r="P180" s="4" t="e">
        <f t="shared" si="10"/>
        <v>#N/A</v>
      </c>
      <c r="Q180" s="4" t="e">
        <f t="shared" si="11"/>
        <v>#N/A</v>
      </c>
      <c r="R180" s="4" t="e">
        <f>IF(AND(B180=1,N180&gt;'Line Follower'!$C$7,SUM(C180:K180)&lt;4),1,0)</f>
        <v>#N/A</v>
      </c>
      <c r="S180" s="4" t="e">
        <f>IF(AND(L180=1,N180&lt;'Line Follower'!$C$6,SUM(C180:K180)&lt;4),1,0)</f>
        <v>#N/A</v>
      </c>
      <c r="T180" s="4" t="e">
        <f t="shared" si="12"/>
        <v>#N/A</v>
      </c>
      <c r="U180" s="5" t="e">
        <f t="shared" si="13"/>
        <v>#N/A</v>
      </c>
      <c r="V180" s="23" t="e">
        <f t="shared" si="14"/>
        <v>#N/A</v>
      </c>
    </row>
    <row r="181" spans="2:22" x14ac:dyDescent="0.25">
      <c r="B181" s="16">
        <v>0</v>
      </c>
      <c r="C181" s="7">
        <v>1</v>
      </c>
      <c r="D181" s="8">
        <v>0</v>
      </c>
      <c r="E181" s="8">
        <v>0</v>
      </c>
      <c r="F181" s="8">
        <v>1</v>
      </c>
      <c r="G181" s="8">
        <v>1</v>
      </c>
      <c r="H181" s="8">
        <v>0</v>
      </c>
      <c r="I181" s="8">
        <v>1</v>
      </c>
      <c r="J181" s="8">
        <v>0</v>
      </c>
      <c r="K181" s="9">
        <v>0</v>
      </c>
      <c r="L181" s="10">
        <v>0</v>
      </c>
      <c r="M181" s="6">
        <v>0</v>
      </c>
      <c r="N181" s="37" t="e" cm="1">
        <f t="array" ref="N181">IF(OR(ISNUMBER(FIND(Aux!$D$3:$D$9,_xlfn.TEXTJOIN(,,C181:K181)))),NA(),IF(AND(SUM(C181:F181,H181:K181)=0,G181=1),0,INT((SUMPRODUCT(C181:F181,COLUMN($A$1:$D$1)-1)+SUMPRODUCT(H181:K181,COLUMN($E$1:$H$1)-1))*'Line Follower'!$C$3/SUM(C181:F181,H181:K181)-'Line Follower'!$C$5)))</f>
        <v>#N/A</v>
      </c>
      <c r="O181" s="22" t="e">
        <v>#N/A</v>
      </c>
      <c r="P181" s="4" t="e">
        <f t="shared" si="10"/>
        <v>#N/A</v>
      </c>
      <c r="Q181" s="4" t="e">
        <f t="shared" si="11"/>
        <v>#N/A</v>
      </c>
      <c r="R181" s="4" t="e">
        <f>IF(AND(B181=1,N181&gt;'Line Follower'!$C$7,SUM(C181:K181)&lt;4),1,0)</f>
        <v>#N/A</v>
      </c>
      <c r="S181" s="4" t="e">
        <f>IF(AND(L181=1,N181&lt;'Line Follower'!$C$6,SUM(C181:K181)&lt;4),1,0)</f>
        <v>#N/A</v>
      </c>
      <c r="T181" s="4" t="e">
        <f t="shared" si="12"/>
        <v>#N/A</v>
      </c>
      <c r="U181" s="5" t="e">
        <f t="shared" si="13"/>
        <v>#N/A</v>
      </c>
      <c r="V181" s="23" t="e">
        <f t="shared" si="14"/>
        <v>#N/A</v>
      </c>
    </row>
    <row r="182" spans="2:22" x14ac:dyDescent="0.25">
      <c r="B182" s="16">
        <v>1</v>
      </c>
      <c r="C182" s="7">
        <v>1</v>
      </c>
      <c r="D182" s="8">
        <v>0</v>
      </c>
      <c r="E182" s="8">
        <v>0</v>
      </c>
      <c r="F182" s="8">
        <v>1</v>
      </c>
      <c r="G182" s="8">
        <v>1</v>
      </c>
      <c r="H182" s="8">
        <v>0</v>
      </c>
      <c r="I182" s="8">
        <v>1</v>
      </c>
      <c r="J182" s="8">
        <v>0</v>
      </c>
      <c r="K182" s="9">
        <v>0</v>
      </c>
      <c r="L182" s="10">
        <v>0</v>
      </c>
      <c r="M182" s="6">
        <v>0</v>
      </c>
      <c r="N182" s="37" t="e" cm="1">
        <f t="array" ref="N182">IF(OR(ISNUMBER(FIND(Aux!$D$3:$D$9,_xlfn.TEXTJOIN(,,C182:K182)))),NA(),IF(AND(SUM(C182:F182,H182:K182)=0,G182=1),0,INT((SUMPRODUCT(C182:F182,COLUMN($A$1:$D$1)-1)+SUMPRODUCT(H182:K182,COLUMN($E$1:$H$1)-1))*'Line Follower'!$C$3/SUM(C182:F182,H182:K182)-'Line Follower'!$C$5)))</f>
        <v>#N/A</v>
      </c>
      <c r="O182" s="22" t="e">
        <v>#N/A</v>
      </c>
      <c r="P182" s="4" t="e">
        <f t="shared" si="10"/>
        <v>#N/A</v>
      </c>
      <c r="Q182" s="4" t="e">
        <f t="shared" si="11"/>
        <v>#N/A</v>
      </c>
      <c r="R182" s="4" t="e">
        <f>IF(AND(B182=1,N182&gt;'Line Follower'!$C$7,SUM(C182:K182)&lt;4),1,0)</f>
        <v>#N/A</v>
      </c>
      <c r="S182" s="4" t="e">
        <f>IF(AND(L182=1,N182&lt;'Line Follower'!$C$6,SUM(C182:K182)&lt;4),1,0)</f>
        <v>#N/A</v>
      </c>
      <c r="T182" s="4" t="e">
        <f t="shared" si="12"/>
        <v>#N/A</v>
      </c>
      <c r="U182" s="5" t="e">
        <f t="shared" si="13"/>
        <v>#N/A</v>
      </c>
      <c r="V182" s="23" t="e">
        <f t="shared" si="14"/>
        <v>#N/A</v>
      </c>
    </row>
    <row r="183" spans="2:22" x14ac:dyDescent="0.25">
      <c r="B183" s="16">
        <v>0</v>
      </c>
      <c r="C183" s="7">
        <v>0</v>
      </c>
      <c r="D183" s="8">
        <v>1</v>
      </c>
      <c r="E183" s="8">
        <v>0</v>
      </c>
      <c r="F183" s="8">
        <v>1</v>
      </c>
      <c r="G183" s="8">
        <v>1</v>
      </c>
      <c r="H183" s="8">
        <v>0</v>
      </c>
      <c r="I183" s="8">
        <v>1</v>
      </c>
      <c r="J183" s="8">
        <v>0</v>
      </c>
      <c r="K183" s="9">
        <v>0</v>
      </c>
      <c r="L183" s="10">
        <v>0</v>
      </c>
      <c r="M183" s="6">
        <v>0</v>
      </c>
      <c r="N183" s="37" t="e" cm="1">
        <f t="array" ref="N183">IF(OR(ISNUMBER(FIND(Aux!$D$3:$D$9,_xlfn.TEXTJOIN(,,C183:K183)))),NA(),IF(AND(SUM(C183:F183,H183:K183)=0,G183=1),0,INT((SUMPRODUCT(C183:F183,COLUMN($A$1:$D$1)-1)+SUMPRODUCT(H183:K183,COLUMN($E$1:$H$1)-1))*'Line Follower'!$C$3/SUM(C183:F183,H183:K183)-'Line Follower'!$C$5)))</f>
        <v>#N/A</v>
      </c>
      <c r="O183" s="22" t="e">
        <v>#N/A</v>
      </c>
      <c r="P183" s="4" t="e">
        <f t="shared" si="10"/>
        <v>#N/A</v>
      </c>
      <c r="Q183" s="4" t="e">
        <f t="shared" si="11"/>
        <v>#N/A</v>
      </c>
      <c r="R183" s="4" t="e">
        <f>IF(AND(B183=1,N183&gt;'Line Follower'!$C$7,SUM(C183:K183)&lt;4),1,0)</f>
        <v>#N/A</v>
      </c>
      <c r="S183" s="4" t="e">
        <f>IF(AND(L183=1,N183&lt;'Line Follower'!$C$6,SUM(C183:K183)&lt;4),1,0)</f>
        <v>#N/A</v>
      </c>
      <c r="T183" s="4" t="e">
        <f t="shared" si="12"/>
        <v>#N/A</v>
      </c>
      <c r="U183" s="5" t="e">
        <f t="shared" si="13"/>
        <v>#N/A</v>
      </c>
      <c r="V183" s="23" t="e">
        <f t="shared" si="14"/>
        <v>#N/A</v>
      </c>
    </row>
    <row r="184" spans="2:22" x14ac:dyDescent="0.25">
      <c r="B184" s="16">
        <v>1</v>
      </c>
      <c r="C184" s="7">
        <v>0</v>
      </c>
      <c r="D184" s="8">
        <v>1</v>
      </c>
      <c r="E184" s="8">
        <v>0</v>
      </c>
      <c r="F184" s="8">
        <v>1</v>
      </c>
      <c r="G184" s="8">
        <v>1</v>
      </c>
      <c r="H184" s="8">
        <v>0</v>
      </c>
      <c r="I184" s="8">
        <v>1</v>
      </c>
      <c r="J184" s="8">
        <v>0</v>
      </c>
      <c r="K184" s="9">
        <v>0</v>
      </c>
      <c r="L184" s="10">
        <v>0</v>
      </c>
      <c r="M184" s="6">
        <v>0</v>
      </c>
      <c r="N184" s="37" t="e" cm="1">
        <f t="array" ref="N184">IF(OR(ISNUMBER(FIND(Aux!$D$3:$D$9,_xlfn.TEXTJOIN(,,C184:K184)))),NA(),IF(AND(SUM(C184:F184,H184:K184)=0,G184=1),0,INT((SUMPRODUCT(C184:F184,COLUMN($A$1:$D$1)-1)+SUMPRODUCT(H184:K184,COLUMN($E$1:$H$1)-1))*'Line Follower'!$C$3/SUM(C184:F184,H184:K184)-'Line Follower'!$C$5)))</f>
        <v>#N/A</v>
      </c>
      <c r="O184" s="22" t="e">
        <v>#N/A</v>
      </c>
      <c r="P184" s="4" t="e">
        <f t="shared" si="10"/>
        <v>#N/A</v>
      </c>
      <c r="Q184" s="4" t="e">
        <f t="shared" si="11"/>
        <v>#N/A</v>
      </c>
      <c r="R184" s="4" t="e">
        <f>IF(AND(B184=1,N184&gt;'Line Follower'!$C$7,SUM(C184:K184)&lt;4),1,0)</f>
        <v>#N/A</v>
      </c>
      <c r="S184" s="4" t="e">
        <f>IF(AND(L184=1,N184&lt;'Line Follower'!$C$6,SUM(C184:K184)&lt;4),1,0)</f>
        <v>#N/A</v>
      </c>
      <c r="T184" s="4" t="e">
        <f t="shared" si="12"/>
        <v>#N/A</v>
      </c>
      <c r="U184" s="5" t="e">
        <f t="shared" si="13"/>
        <v>#N/A</v>
      </c>
      <c r="V184" s="23" t="e">
        <f t="shared" si="14"/>
        <v>#N/A</v>
      </c>
    </row>
    <row r="185" spans="2:22" x14ac:dyDescent="0.25">
      <c r="B185" s="16">
        <v>0</v>
      </c>
      <c r="C185" s="7">
        <v>1</v>
      </c>
      <c r="D185" s="8">
        <v>1</v>
      </c>
      <c r="E185" s="8">
        <v>0</v>
      </c>
      <c r="F185" s="8">
        <v>1</v>
      </c>
      <c r="G185" s="8">
        <v>1</v>
      </c>
      <c r="H185" s="8">
        <v>0</v>
      </c>
      <c r="I185" s="8">
        <v>1</v>
      </c>
      <c r="J185" s="8">
        <v>0</v>
      </c>
      <c r="K185" s="9">
        <v>0</v>
      </c>
      <c r="L185" s="10">
        <v>0</v>
      </c>
      <c r="M185" s="6">
        <v>0</v>
      </c>
      <c r="N185" s="37" t="e" cm="1">
        <f t="array" ref="N185">IF(OR(ISNUMBER(FIND(Aux!$D$3:$D$9,_xlfn.TEXTJOIN(,,C185:K185)))),NA(),IF(AND(SUM(C185:F185,H185:K185)=0,G185=1),0,INT((SUMPRODUCT(C185:F185,COLUMN($A$1:$D$1)-1)+SUMPRODUCT(H185:K185,COLUMN($E$1:$H$1)-1))*'Line Follower'!$C$3/SUM(C185:F185,H185:K185)-'Line Follower'!$C$5)))</f>
        <v>#N/A</v>
      </c>
      <c r="O185" s="22" t="e">
        <v>#N/A</v>
      </c>
      <c r="P185" s="4" t="e">
        <f t="shared" si="10"/>
        <v>#N/A</v>
      </c>
      <c r="Q185" s="4" t="e">
        <f t="shared" si="11"/>
        <v>#N/A</v>
      </c>
      <c r="R185" s="4" t="e">
        <f>IF(AND(B185=1,N185&gt;'Line Follower'!$C$7,SUM(C185:K185)&lt;4),1,0)</f>
        <v>#N/A</v>
      </c>
      <c r="S185" s="4" t="e">
        <f>IF(AND(L185=1,N185&lt;'Line Follower'!$C$6,SUM(C185:K185)&lt;4),1,0)</f>
        <v>#N/A</v>
      </c>
      <c r="T185" s="4" t="e">
        <f t="shared" si="12"/>
        <v>#N/A</v>
      </c>
      <c r="U185" s="5" t="e">
        <f t="shared" si="13"/>
        <v>#N/A</v>
      </c>
      <c r="V185" s="23" t="e">
        <f t="shared" si="14"/>
        <v>#N/A</v>
      </c>
    </row>
    <row r="186" spans="2:22" x14ac:dyDescent="0.25">
      <c r="B186" s="16">
        <v>1</v>
      </c>
      <c r="C186" s="7">
        <v>1</v>
      </c>
      <c r="D186" s="8">
        <v>1</v>
      </c>
      <c r="E186" s="8">
        <v>0</v>
      </c>
      <c r="F186" s="8">
        <v>1</v>
      </c>
      <c r="G186" s="8">
        <v>1</v>
      </c>
      <c r="H186" s="8">
        <v>0</v>
      </c>
      <c r="I186" s="8">
        <v>1</v>
      </c>
      <c r="J186" s="8">
        <v>0</v>
      </c>
      <c r="K186" s="9">
        <v>0</v>
      </c>
      <c r="L186" s="10">
        <v>0</v>
      </c>
      <c r="M186" s="6">
        <v>0</v>
      </c>
      <c r="N186" s="37" t="e" cm="1">
        <f t="array" ref="N186">IF(OR(ISNUMBER(FIND(Aux!$D$3:$D$9,_xlfn.TEXTJOIN(,,C186:K186)))),NA(),IF(AND(SUM(C186:F186,H186:K186)=0,G186=1),0,INT((SUMPRODUCT(C186:F186,COLUMN($A$1:$D$1)-1)+SUMPRODUCT(H186:K186,COLUMN($E$1:$H$1)-1))*'Line Follower'!$C$3/SUM(C186:F186,H186:K186)-'Line Follower'!$C$5)))</f>
        <v>#N/A</v>
      </c>
      <c r="O186" s="22" t="e">
        <v>#N/A</v>
      </c>
      <c r="P186" s="4" t="e">
        <f t="shared" si="10"/>
        <v>#N/A</v>
      </c>
      <c r="Q186" s="4" t="e">
        <f t="shared" si="11"/>
        <v>#N/A</v>
      </c>
      <c r="R186" s="4" t="e">
        <f>IF(AND(B186=1,N186&gt;'Line Follower'!$C$7,SUM(C186:K186)&lt;4),1,0)</f>
        <v>#N/A</v>
      </c>
      <c r="S186" s="4" t="e">
        <f>IF(AND(L186=1,N186&lt;'Line Follower'!$C$6,SUM(C186:K186)&lt;4),1,0)</f>
        <v>#N/A</v>
      </c>
      <c r="T186" s="4" t="e">
        <f t="shared" si="12"/>
        <v>#N/A</v>
      </c>
      <c r="U186" s="5" t="e">
        <f t="shared" si="13"/>
        <v>#N/A</v>
      </c>
      <c r="V186" s="23" t="e">
        <f t="shared" si="14"/>
        <v>#N/A</v>
      </c>
    </row>
    <row r="187" spans="2:22" x14ac:dyDescent="0.25">
      <c r="B187" s="16">
        <v>0</v>
      </c>
      <c r="C187" s="7">
        <v>0</v>
      </c>
      <c r="D187" s="8">
        <v>0</v>
      </c>
      <c r="E187" s="8">
        <v>1</v>
      </c>
      <c r="F187" s="8">
        <v>1</v>
      </c>
      <c r="G187" s="8">
        <v>1</v>
      </c>
      <c r="H187" s="8">
        <v>0</v>
      </c>
      <c r="I187" s="8">
        <v>1</v>
      </c>
      <c r="J187" s="8">
        <v>0</v>
      </c>
      <c r="K187" s="9">
        <v>0</v>
      </c>
      <c r="L187" s="10">
        <v>0</v>
      </c>
      <c r="M187" s="6">
        <v>0</v>
      </c>
      <c r="N187" s="37" t="e" cm="1">
        <f t="array" ref="N187">IF(OR(ISNUMBER(FIND(Aux!$D$3:$D$9,_xlfn.TEXTJOIN(,,C187:K187)))),NA(),IF(AND(SUM(C187:F187,H187:K187)=0,G187=1),0,INT((SUMPRODUCT(C187:F187,COLUMN($A$1:$D$1)-1)+SUMPRODUCT(H187:K187,COLUMN($E$1:$H$1)-1))*'Line Follower'!$C$3/SUM(C187:F187,H187:K187)-'Line Follower'!$C$5)))</f>
        <v>#N/A</v>
      </c>
      <c r="O187" s="22" t="e">
        <v>#N/A</v>
      </c>
      <c r="P187" s="4" t="e">
        <f t="shared" si="10"/>
        <v>#N/A</v>
      </c>
      <c r="Q187" s="4" t="e">
        <f t="shared" si="11"/>
        <v>#N/A</v>
      </c>
      <c r="R187" s="4" t="e">
        <f>IF(AND(B187=1,N187&gt;'Line Follower'!$C$7,SUM(C187:K187)&lt;4),1,0)</f>
        <v>#N/A</v>
      </c>
      <c r="S187" s="4" t="e">
        <f>IF(AND(L187=1,N187&lt;'Line Follower'!$C$6,SUM(C187:K187)&lt;4),1,0)</f>
        <v>#N/A</v>
      </c>
      <c r="T187" s="4" t="e">
        <f t="shared" si="12"/>
        <v>#N/A</v>
      </c>
      <c r="U187" s="5" t="e">
        <f t="shared" si="13"/>
        <v>#N/A</v>
      </c>
      <c r="V187" s="23" t="e">
        <f t="shared" si="14"/>
        <v>#N/A</v>
      </c>
    </row>
    <row r="188" spans="2:22" x14ac:dyDescent="0.25">
      <c r="B188" s="16">
        <v>1</v>
      </c>
      <c r="C188" s="7">
        <v>0</v>
      </c>
      <c r="D188" s="8">
        <v>0</v>
      </c>
      <c r="E188" s="8">
        <v>1</v>
      </c>
      <c r="F188" s="8">
        <v>1</v>
      </c>
      <c r="G188" s="8">
        <v>1</v>
      </c>
      <c r="H188" s="8">
        <v>0</v>
      </c>
      <c r="I188" s="8">
        <v>1</v>
      </c>
      <c r="J188" s="8">
        <v>0</v>
      </c>
      <c r="K188" s="9">
        <v>0</v>
      </c>
      <c r="L188" s="10">
        <v>0</v>
      </c>
      <c r="M188" s="6">
        <v>0</v>
      </c>
      <c r="N188" s="37" t="e" cm="1">
        <f t="array" ref="N188">IF(OR(ISNUMBER(FIND(Aux!$D$3:$D$9,_xlfn.TEXTJOIN(,,C188:K188)))),NA(),IF(AND(SUM(C188:F188,H188:K188)=0,G188=1),0,INT((SUMPRODUCT(C188:F188,COLUMN($A$1:$D$1)-1)+SUMPRODUCT(H188:K188,COLUMN($E$1:$H$1)-1))*'Line Follower'!$C$3/SUM(C188:F188,H188:K188)-'Line Follower'!$C$5)))</f>
        <v>#N/A</v>
      </c>
      <c r="O188" s="22" t="e">
        <v>#N/A</v>
      </c>
      <c r="P188" s="4" t="e">
        <f t="shared" si="10"/>
        <v>#N/A</v>
      </c>
      <c r="Q188" s="4" t="e">
        <f t="shared" si="11"/>
        <v>#N/A</v>
      </c>
      <c r="R188" s="4" t="e">
        <f>IF(AND(B188=1,N188&gt;'Line Follower'!$C$7,SUM(C188:K188)&lt;4),1,0)</f>
        <v>#N/A</v>
      </c>
      <c r="S188" s="4" t="e">
        <f>IF(AND(L188=1,N188&lt;'Line Follower'!$C$6,SUM(C188:K188)&lt;4),1,0)</f>
        <v>#N/A</v>
      </c>
      <c r="T188" s="4" t="e">
        <f t="shared" si="12"/>
        <v>#N/A</v>
      </c>
      <c r="U188" s="5" t="e">
        <f t="shared" si="13"/>
        <v>#N/A</v>
      </c>
      <c r="V188" s="23" t="e">
        <f t="shared" si="14"/>
        <v>#N/A</v>
      </c>
    </row>
    <row r="189" spans="2:22" x14ac:dyDescent="0.25">
      <c r="B189" s="16">
        <v>0</v>
      </c>
      <c r="C189" s="7">
        <v>1</v>
      </c>
      <c r="D189" s="8">
        <v>0</v>
      </c>
      <c r="E189" s="8">
        <v>1</v>
      </c>
      <c r="F189" s="8">
        <v>1</v>
      </c>
      <c r="G189" s="8">
        <v>1</v>
      </c>
      <c r="H189" s="8">
        <v>0</v>
      </c>
      <c r="I189" s="8">
        <v>1</v>
      </c>
      <c r="J189" s="8">
        <v>0</v>
      </c>
      <c r="K189" s="9">
        <v>0</v>
      </c>
      <c r="L189" s="10">
        <v>0</v>
      </c>
      <c r="M189" s="6">
        <v>0</v>
      </c>
      <c r="N189" s="37" t="e" cm="1">
        <f t="array" ref="N189">IF(OR(ISNUMBER(FIND(Aux!$D$3:$D$9,_xlfn.TEXTJOIN(,,C189:K189)))),NA(),IF(AND(SUM(C189:F189,H189:K189)=0,G189=1),0,INT((SUMPRODUCT(C189:F189,COLUMN($A$1:$D$1)-1)+SUMPRODUCT(H189:K189,COLUMN($E$1:$H$1)-1))*'Line Follower'!$C$3/SUM(C189:F189,H189:K189)-'Line Follower'!$C$5)))</f>
        <v>#N/A</v>
      </c>
      <c r="O189" s="22" t="e">
        <v>#N/A</v>
      </c>
      <c r="P189" s="4" t="e">
        <f t="shared" si="10"/>
        <v>#N/A</v>
      </c>
      <c r="Q189" s="4" t="e">
        <f t="shared" si="11"/>
        <v>#N/A</v>
      </c>
      <c r="R189" s="4" t="e">
        <f>IF(AND(B189=1,N189&gt;'Line Follower'!$C$7,SUM(C189:K189)&lt;4),1,0)</f>
        <v>#N/A</v>
      </c>
      <c r="S189" s="4" t="e">
        <f>IF(AND(L189=1,N189&lt;'Line Follower'!$C$6,SUM(C189:K189)&lt;4),1,0)</f>
        <v>#N/A</v>
      </c>
      <c r="T189" s="4" t="e">
        <f t="shared" si="12"/>
        <v>#N/A</v>
      </c>
      <c r="U189" s="5" t="e">
        <f t="shared" si="13"/>
        <v>#N/A</v>
      </c>
      <c r="V189" s="23" t="e">
        <f t="shared" si="14"/>
        <v>#N/A</v>
      </c>
    </row>
    <row r="190" spans="2:22" x14ac:dyDescent="0.25">
      <c r="B190" s="16">
        <v>1</v>
      </c>
      <c r="C190" s="7">
        <v>1</v>
      </c>
      <c r="D190" s="8">
        <v>0</v>
      </c>
      <c r="E190" s="8">
        <v>1</v>
      </c>
      <c r="F190" s="8">
        <v>1</v>
      </c>
      <c r="G190" s="8">
        <v>1</v>
      </c>
      <c r="H190" s="8">
        <v>0</v>
      </c>
      <c r="I190" s="8">
        <v>1</v>
      </c>
      <c r="J190" s="8">
        <v>0</v>
      </c>
      <c r="K190" s="9">
        <v>0</v>
      </c>
      <c r="L190" s="10">
        <v>0</v>
      </c>
      <c r="M190" s="6">
        <v>0</v>
      </c>
      <c r="N190" s="37" t="e" cm="1">
        <f t="array" ref="N190">IF(OR(ISNUMBER(FIND(Aux!$D$3:$D$9,_xlfn.TEXTJOIN(,,C190:K190)))),NA(),IF(AND(SUM(C190:F190,H190:K190)=0,G190=1),0,INT((SUMPRODUCT(C190:F190,COLUMN($A$1:$D$1)-1)+SUMPRODUCT(H190:K190,COLUMN($E$1:$H$1)-1))*'Line Follower'!$C$3/SUM(C190:F190,H190:K190)-'Line Follower'!$C$5)))</f>
        <v>#N/A</v>
      </c>
      <c r="O190" s="22" t="e">
        <v>#N/A</v>
      </c>
      <c r="P190" s="4" t="e">
        <f t="shared" si="10"/>
        <v>#N/A</v>
      </c>
      <c r="Q190" s="4" t="e">
        <f t="shared" si="11"/>
        <v>#N/A</v>
      </c>
      <c r="R190" s="4" t="e">
        <f>IF(AND(B190=1,N190&gt;'Line Follower'!$C$7,SUM(C190:K190)&lt;4),1,0)</f>
        <v>#N/A</v>
      </c>
      <c r="S190" s="4" t="e">
        <f>IF(AND(L190=1,N190&lt;'Line Follower'!$C$6,SUM(C190:K190)&lt;4),1,0)</f>
        <v>#N/A</v>
      </c>
      <c r="T190" s="4" t="e">
        <f t="shared" si="12"/>
        <v>#N/A</v>
      </c>
      <c r="U190" s="5" t="e">
        <f t="shared" si="13"/>
        <v>#N/A</v>
      </c>
      <c r="V190" s="23" t="e">
        <f t="shared" si="14"/>
        <v>#N/A</v>
      </c>
    </row>
    <row r="191" spans="2:22" x14ac:dyDescent="0.25">
      <c r="B191" s="16">
        <v>0</v>
      </c>
      <c r="C191" s="7">
        <v>0</v>
      </c>
      <c r="D191" s="8">
        <v>1</v>
      </c>
      <c r="E191" s="8">
        <v>1</v>
      </c>
      <c r="F191" s="8">
        <v>1</v>
      </c>
      <c r="G191" s="8">
        <v>1</v>
      </c>
      <c r="H191" s="8">
        <v>0</v>
      </c>
      <c r="I191" s="8">
        <v>1</v>
      </c>
      <c r="J191" s="8">
        <v>0</v>
      </c>
      <c r="K191" s="9">
        <v>0</v>
      </c>
      <c r="L191" s="10">
        <v>0</v>
      </c>
      <c r="M191" s="6">
        <v>0</v>
      </c>
      <c r="N191" s="37" t="e" cm="1">
        <f t="array" ref="N191">IF(OR(ISNUMBER(FIND(Aux!$D$3:$D$9,_xlfn.TEXTJOIN(,,C191:K191)))),NA(),IF(AND(SUM(C191:F191,H191:K191)=0,G191=1),0,INT((SUMPRODUCT(C191:F191,COLUMN($A$1:$D$1)-1)+SUMPRODUCT(H191:K191,COLUMN($E$1:$H$1)-1))*'Line Follower'!$C$3/SUM(C191:F191,H191:K191)-'Line Follower'!$C$5)))</f>
        <v>#N/A</v>
      </c>
      <c r="O191" s="22" t="e">
        <v>#N/A</v>
      </c>
      <c r="P191" s="4" t="e">
        <f t="shared" si="10"/>
        <v>#N/A</v>
      </c>
      <c r="Q191" s="4" t="e">
        <f t="shared" si="11"/>
        <v>#N/A</v>
      </c>
      <c r="R191" s="4" t="e">
        <f>IF(AND(B191=1,N191&gt;'Line Follower'!$C$7,SUM(C191:K191)&lt;4),1,0)</f>
        <v>#N/A</v>
      </c>
      <c r="S191" s="4" t="e">
        <f>IF(AND(L191=1,N191&lt;'Line Follower'!$C$6,SUM(C191:K191)&lt;4),1,0)</f>
        <v>#N/A</v>
      </c>
      <c r="T191" s="4" t="e">
        <f t="shared" si="12"/>
        <v>#N/A</v>
      </c>
      <c r="U191" s="5" t="e">
        <f t="shared" si="13"/>
        <v>#N/A</v>
      </c>
      <c r="V191" s="23" t="e">
        <f t="shared" si="14"/>
        <v>#N/A</v>
      </c>
    </row>
    <row r="192" spans="2:22" x14ac:dyDescent="0.25">
      <c r="B192" s="16">
        <v>1</v>
      </c>
      <c r="C192" s="7">
        <v>0</v>
      </c>
      <c r="D192" s="8">
        <v>1</v>
      </c>
      <c r="E192" s="8">
        <v>1</v>
      </c>
      <c r="F192" s="8">
        <v>1</v>
      </c>
      <c r="G192" s="8">
        <v>1</v>
      </c>
      <c r="H192" s="8">
        <v>0</v>
      </c>
      <c r="I192" s="8">
        <v>1</v>
      </c>
      <c r="J192" s="8">
        <v>0</v>
      </c>
      <c r="K192" s="9">
        <v>0</v>
      </c>
      <c r="L192" s="10">
        <v>0</v>
      </c>
      <c r="M192" s="6">
        <v>0</v>
      </c>
      <c r="N192" s="37" t="e" cm="1">
        <f t="array" ref="N192">IF(OR(ISNUMBER(FIND(Aux!$D$3:$D$9,_xlfn.TEXTJOIN(,,C192:K192)))),NA(),IF(AND(SUM(C192:F192,H192:K192)=0,G192=1),0,INT((SUMPRODUCT(C192:F192,COLUMN($A$1:$D$1)-1)+SUMPRODUCT(H192:K192,COLUMN($E$1:$H$1)-1))*'Line Follower'!$C$3/SUM(C192:F192,H192:K192)-'Line Follower'!$C$5)))</f>
        <v>#N/A</v>
      </c>
      <c r="O192" s="22" t="e">
        <v>#N/A</v>
      </c>
      <c r="P192" s="4" t="e">
        <f t="shared" si="10"/>
        <v>#N/A</v>
      </c>
      <c r="Q192" s="4" t="e">
        <f t="shared" si="11"/>
        <v>#N/A</v>
      </c>
      <c r="R192" s="4" t="e">
        <f>IF(AND(B192=1,N192&gt;'Line Follower'!$C$7,SUM(C192:K192)&lt;4),1,0)</f>
        <v>#N/A</v>
      </c>
      <c r="S192" s="4" t="e">
        <f>IF(AND(L192=1,N192&lt;'Line Follower'!$C$6,SUM(C192:K192)&lt;4),1,0)</f>
        <v>#N/A</v>
      </c>
      <c r="T192" s="4" t="e">
        <f t="shared" si="12"/>
        <v>#N/A</v>
      </c>
      <c r="U192" s="5" t="e">
        <f t="shared" si="13"/>
        <v>#N/A</v>
      </c>
      <c r="V192" s="23" t="e">
        <f t="shared" si="14"/>
        <v>#N/A</v>
      </c>
    </row>
    <row r="193" spans="2:22" x14ac:dyDescent="0.25">
      <c r="B193" s="16">
        <v>0</v>
      </c>
      <c r="C193" s="7">
        <v>1</v>
      </c>
      <c r="D193" s="8">
        <v>1</v>
      </c>
      <c r="E193" s="8">
        <v>1</v>
      </c>
      <c r="F193" s="8">
        <v>1</v>
      </c>
      <c r="G193" s="8">
        <v>1</v>
      </c>
      <c r="H193" s="8">
        <v>0</v>
      </c>
      <c r="I193" s="8">
        <v>1</v>
      </c>
      <c r="J193" s="8">
        <v>0</v>
      </c>
      <c r="K193" s="9">
        <v>0</v>
      </c>
      <c r="L193" s="10">
        <v>0</v>
      </c>
      <c r="M193" s="6">
        <v>0</v>
      </c>
      <c r="N193" s="37" t="e" cm="1">
        <f t="array" ref="N193">IF(OR(ISNUMBER(FIND(Aux!$D$3:$D$9,_xlfn.TEXTJOIN(,,C193:K193)))),NA(),IF(AND(SUM(C193:F193,H193:K193)=0,G193=1),0,INT((SUMPRODUCT(C193:F193,COLUMN($A$1:$D$1)-1)+SUMPRODUCT(H193:K193,COLUMN($E$1:$H$1)-1))*'Line Follower'!$C$3/SUM(C193:F193,H193:K193)-'Line Follower'!$C$5)))</f>
        <v>#N/A</v>
      </c>
      <c r="O193" s="22" t="e">
        <v>#N/A</v>
      </c>
      <c r="P193" s="4" t="e">
        <f t="shared" si="10"/>
        <v>#N/A</v>
      </c>
      <c r="Q193" s="4" t="e">
        <f t="shared" si="11"/>
        <v>#N/A</v>
      </c>
      <c r="R193" s="4" t="e">
        <f>IF(AND(B193=1,N193&gt;'Line Follower'!$C$7,SUM(C193:K193)&lt;4),1,0)</f>
        <v>#N/A</v>
      </c>
      <c r="S193" s="4" t="e">
        <f>IF(AND(L193=1,N193&lt;'Line Follower'!$C$6,SUM(C193:K193)&lt;4),1,0)</f>
        <v>#N/A</v>
      </c>
      <c r="T193" s="4" t="e">
        <f t="shared" si="12"/>
        <v>#N/A</v>
      </c>
      <c r="U193" s="5" t="e">
        <f t="shared" si="13"/>
        <v>#N/A</v>
      </c>
      <c r="V193" s="23" t="e">
        <f t="shared" si="14"/>
        <v>#N/A</v>
      </c>
    </row>
    <row r="194" spans="2:22" x14ac:dyDescent="0.25">
      <c r="B194" s="16">
        <v>1</v>
      </c>
      <c r="C194" s="7">
        <v>1</v>
      </c>
      <c r="D194" s="8">
        <v>1</v>
      </c>
      <c r="E194" s="8">
        <v>1</v>
      </c>
      <c r="F194" s="8">
        <v>1</v>
      </c>
      <c r="G194" s="8">
        <v>1</v>
      </c>
      <c r="H194" s="8">
        <v>0</v>
      </c>
      <c r="I194" s="8">
        <v>1</v>
      </c>
      <c r="J194" s="8">
        <v>0</v>
      </c>
      <c r="K194" s="9">
        <v>0</v>
      </c>
      <c r="L194" s="10">
        <v>0</v>
      </c>
      <c r="M194" s="6">
        <v>0</v>
      </c>
      <c r="N194" s="37" t="e" cm="1">
        <f t="array" ref="N194">IF(OR(ISNUMBER(FIND(Aux!$D$3:$D$9,_xlfn.TEXTJOIN(,,C194:K194)))),NA(),IF(AND(SUM(C194:F194,H194:K194)=0,G194=1),0,INT((SUMPRODUCT(C194:F194,COLUMN($A$1:$D$1)-1)+SUMPRODUCT(H194:K194,COLUMN($E$1:$H$1)-1))*'Line Follower'!$C$3/SUM(C194:F194,H194:K194)-'Line Follower'!$C$5)))</f>
        <v>#N/A</v>
      </c>
      <c r="O194" s="22" t="e">
        <v>#N/A</v>
      </c>
      <c r="P194" s="4" t="e">
        <f t="shared" si="10"/>
        <v>#N/A</v>
      </c>
      <c r="Q194" s="4" t="e">
        <f t="shared" si="11"/>
        <v>#N/A</v>
      </c>
      <c r="R194" s="4" t="e">
        <f>IF(AND(B194=1,N194&gt;'Line Follower'!$C$7,SUM(C194:K194)&lt;4),1,0)</f>
        <v>#N/A</v>
      </c>
      <c r="S194" s="4" t="e">
        <f>IF(AND(L194=1,N194&lt;'Line Follower'!$C$6,SUM(C194:K194)&lt;4),1,0)</f>
        <v>#N/A</v>
      </c>
      <c r="T194" s="4" t="e">
        <f t="shared" si="12"/>
        <v>#N/A</v>
      </c>
      <c r="U194" s="5" t="e">
        <f t="shared" si="13"/>
        <v>#N/A</v>
      </c>
      <c r="V194" s="23" t="e">
        <f t="shared" si="14"/>
        <v>#N/A</v>
      </c>
    </row>
    <row r="195" spans="2:22" x14ac:dyDescent="0.25">
      <c r="B195" s="16">
        <v>0</v>
      </c>
      <c r="C195" s="7">
        <v>0</v>
      </c>
      <c r="D195" s="8">
        <v>0</v>
      </c>
      <c r="E195" s="8">
        <v>0</v>
      </c>
      <c r="F195" s="8">
        <v>0</v>
      </c>
      <c r="G195" s="8">
        <v>0</v>
      </c>
      <c r="H195" s="8">
        <v>1</v>
      </c>
      <c r="I195" s="8">
        <v>1</v>
      </c>
      <c r="J195" s="8">
        <v>0</v>
      </c>
      <c r="K195" s="9">
        <v>0</v>
      </c>
      <c r="L195" s="10">
        <v>0</v>
      </c>
      <c r="M195" s="6">
        <v>0</v>
      </c>
      <c r="N195" s="37" cm="1">
        <f t="array" ref="N195">IF(OR(ISNUMBER(FIND(Aux!$D$3:$D$9,_xlfn.TEXTJOIN(,,C195:K195)))),NA(),IF(AND(SUM(C195:F195,H195:K195)=0,G195=1),0,INT((SUMPRODUCT(C195:F195,COLUMN($A$1:$D$1)-1)+SUMPRODUCT(H195:K195,COLUMN($E$1:$H$1)-1))*'Line Follower'!$C$3/SUM(C195:F195,H195:K195)-'Line Follower'!$C$5)))</f>
        <v>2</v>
      </c>
      <c r="O195" s="22">
        <v>1</v>
      </c>
      <c r="P195" s="4">
        <f t="shared" ref="P195:P258" si="15">IF(AND(N195=0,G195=1,M195=1),1,0)</f>
        <v>0</v>
      </c>
      <c r="Q195" s="4">
        <f t="shared" ref="Q195:Q258" si="16">IF(ISERROR(N195),N195,IF(SUM(C195:K195)&gt;=4,1,0))</f>
        <v>0</v>
      </c>
      <c r="R195" s="4">
        <f>IF(AND(B195=1,N195&gt;'Line Follower'!$C$7,SUM(C195:K195)&lt;4),1,0)</f>
        <v>0</v>
      </c>
      <c r="S195" s="4">
        <f>IF(AND(L195=1,N195&lt;'Line Follower'!$C$6,SUM(C195:K195)&lt;4),1,0)</f>
        <v>0</v>
      </c>
      <c r="T195" s="4">
        <f t="shared" si="12"/>
        <v>0</v>
      </c>
      <c r="U195" s="5">
        <f t="shared" si="13"/>
        <v>0</v>
      </c>
      <c r="V195" s="23">
        <f t="shared" si="14"/>
        <v>0</v>
      </c>
    </row>
    <row r="196" spans="2:22" x14ac:dyDescent="0.25">
      <c r="B196" s="16">
        <v>1</v>
      </c>
      <c r="C196" s="7">
        <v>0</v>
      </c>
      <c r="D196" s="8">
        <v>0</v>
      </c>
      <c r="E196" s="8">
        <v>0</v>
      </c>
      <c r="F196" s="8">
        <v>0</v>
      </c>
      <c r="G196" s="8">
        <v>0</v>
      </c>
      <c r="H196" s="8">
        <v>1</v>
      </c>
      <c r="I196" s="8">
        <v>1</v>
      </c>
      <c r="J196" s="8">
        <v>0</v>
      </c>
      <c r="K196" s="9">
        <v>0</v>
      </c>
      <c r="L196" s="10">
        <v>0</v>
      </c>
      <c r="M196" s="6">
        <v>0</v>
      </c>
      <c r="N196" s="37" cm="1">
        <f t="array" ref="N196">IF(OR(ISNUMBER(FIND(Aux!$D$3:$D$9,_xlfn.TEXTJOIN(,,C196:K196)))),NA(),IF(AND(SUM(C196:F196,H196:K196)=0,G196=1),0,INT((SUMPRODUCT(C196:F196,COLUMN($A$1:$D$1)-1)+SUMPRODUCT(H196:K196,COLUMN($E$1:$H$1)-1))*'Line Follower'!$C$3/SUM(C196:F196,H196:K196)-'Line Follower'!$C$5)))</f>
        <v>2</v>
      </c>
      <c r="O196" s="22">
        <v>1</v>
      </c>
      <c r="P196" s="4">
        <f t="shared" si="15"/>
        <v>0</v>
      </c>
      <c r="Q196" s="4">
        <f t="shared" si="16"/>
        <v>0</v>
      </c>
      <c r="R196" s="4">
        <f>IF(AND(B196=1,N196&gt;'Line Follower'!$C$7,SUM(C196:K196)&lt;4),1,0)</f>
        <v>1</v>
      </c>
      <c r="S196" s="4">
        <f>IF(AND(L196=1,N196&lt;'Line Follower'!$C$6,SUM(C196:K196)&lt;4),1,0)</f>
        <v>0</v>
      </c>
      <c r="T196" s="4">
        <f t="shared" ref="T196:T259" si="17">IF(ISNA(N196),NA(),IF(SUM(C196:L196)=0,1,0))</f>
        <v>0</v>
      </c>
      <c r="U196" s="5">
        <f t="shared" ref="U196:U259" si="18">IF(ISNA(N196),NA(),IF(SUM(B196:K196)=0,1,0))</f>
        <v>0</v>
      </c>
      <c r="V196" s="23">
        <f t="shared" ref="V196:V259" si="19">IF(ISNA(N196),NA(),IF(SUM(B196:L196)=0,1,0))</f>
        <v>0</v>
      </c>
    </row>
    <row r="197" spans="2:22" x14ac:dyDescent="0.25">
      <c r="B197" s="16">
        <v>0</v>
      </c>
      <c r="C197" s="7">
        <v>1</v>
      </c>
      <c r="D197" s="8">
        <v>0</v>
      </c>
      <c r="E197" s="8">
        <v>0</v>
      </c>
      <c r="F197" s="8">
        <v>0</v>
      </c>
      <c r="G197" s="8">
        <v>0</v>
      </c>
      <c r="H197" s="8">
        <v>1</v>
      </c>
      <c r="I197" s="8">
        <v>1</v>
      </c>
      <c r="J197" s="8">
        <v>0</v>
      </c>
      <c r="K197" s="9">
        <v>0</v>
      </c>
      <c r="L197" s="10">
        <v>0</v>
      </c>
      <c r="M197" s="6">
        <v>0</v>
      </c>
      <c r="N197" s="37" t="e" cm="1">
        <f t="array" ref="N197">IF(OR(ISNUMBER(FIND(Aux!$D$3:$D$9,_xlfn.TEXTJOIN(,,C197:K197)))),NA(),IF(AND(SUM(C197:F197,H197:K197)=0,G197=1),0,INT((SUMPRODUCT(C197:F197,COLUMN($A$1:$D$1)-1)+SUMPRODUCT(H197:K197,COLUMN($E$1:$H$1)-1))*'Line Follower'!$C$3/SUM(C197:F197,H197:K197)-'Line Follower'!$C$5)))</f>
        <v>#N/A</v>
      </c>
      <c r="O197" s="22" t="e">
        <v>#N/A</v>
      </c>
      <c r="P197" s="4" t="e">
        <f t="shared" si="15"/>
        <v>#N/A</v>
      </c>
      <c r="Q197" s="4" t="e">
        <f t="shared" si="16"/>
        <v>#N/A</v>
      </c>
      <c r="R197" s="4" t="e">
        <f>IF(AND(B197=1,N197&gt;'Line Follower'!$C$7,SUM(C197:K197)&lt;4),1,0)</f>
        <v>#N/A</v>
      </c>
      <c r="S197" s="4" t="e">
        <f>IF(AND(L197=1,N197&lt;'Line Follower'!$C$6,SUM(C197:K197)&lt;4),1,0)</f>
        <v>#N/A</v>
      </c>
      <c r="T197" s="4" t="e">
        <f t="shared" si="17"/>
        <v>#N/A</v>
      </c>
      <c r="U197" s="5" t="e">
        <f t="shared" si="18"/>
        <v>#N/A</v>
      </c>
      <c r="V197" s="23" t="e">
        <f t="shared" si="19"/>
        <v>#N/A</v>
      </c>
    </row>
    <row r="198" spans="2:22" x14ac:dyDescent="0.25">
      <c r="B198" s="16">
        <v>1</v>
      </c>
      <c r="C198" s="7">
        <v>1</v>
      </c>
      <c r="D198" s="8">
        <v>0</v>
      </c>
      <c r="E198" s="8">
        <v>0</v>
      </c>
      <c r="F198" s="8">
        <v>0</v>
      </c>
      <c r="G198" s="8">
        <v>0</v>
      </c>
      <c r="H198" s="8">
        <v>1</v>
      </c>
      <c r="I198" s="8">
        <v>1</v>
      </c>
      <c r="J198" s="8">
        <v>0</v>
      </c>
      <c r="K198" s="9">
        <v>0</v>
      </c>
      <c r="L198" s="10">
        <v>0</v>
      </c>
      <c r="M198" s="6">
        <v>0</v>
      </c>
      <c r="N198" s="37" t="e" cm="1">
        <f t="array" ref="N198">IF(OR(ISNUMBER(FIND(Aux!$D$3:$D$9,_xlfn.TEXTJOIN(,,C198:K198)))),NA(),IF(AND(SUM(C198:F198,H198:K198)=0,G198=1),0,INT((SUMPRODUCT(C198:F198,COLUMN($A$1:$D$1)-1)+SUMPRODUCT(H198:K198,COLUMN($E$1:$H$1)-1))*'Line Follower'!$C$3/SUM(C198:F198,H198:K198)-'Line Follower'!$C$5)))</f>
        <v>#N/A</v>
      </c>
      <c r="O198" s="22" t="e">
        <v>#N/A</v>
      </c>
      <c r="P198" s="4" t="e">
        <f t="shared" si="15"/>
        <v>#N/A</v>
      </c>
      <c r="Q198" s="4" t="e">
        <f t="shared" si="16"/>
        <v>#N/A</v>
      </c>
      <c r="R198" s="4" t="e">
        <f>IF(AND(B198=1,N198&gt;'Line Follower'!$C$7,SUM(C198:K198)&lt;4),1,0)</f>
        <v>#N/A</v>
      </c>
      <c r="S198" s="4" t="e">
        <f>IF(AND(L198=1,N198&lt;'Line Follower'!$C$6,SUM(C198:K198)&lt;4),1,0)</f>
        <v>#N/A</v>
      </c>
      <c r="T198" s="4" t="e">
        <f t="shared" si="17"/>
        <v>#N/A</v>
      </c>
      <c r="U198" s="5" t="e">
        <f t="shared" si="18"/>
        <v>#N/A</v>
      </c>
      <c r="V198" s="23" t="e">
        <f t="shared" si="19"/>
        <v>#N/A</v>
      </c>
    </row>
    <row r="199" spans="2:22" x14ac:dyDescent="0.25">
      <c r="B199" s="16">
        <v>0</v>
      </c>
      <c r="C199" s="7">
        <v>0</v>
      </c>
      <c r="D199" s="8">
        <v>1</v>
      </c>
      <c r="E199" s="8">
        <v>0</v>
      </c>
      <c r="F199" s="8">
        <v>0</v>
      </c>
      <c r="G199" s="8">
        <v>0</v>
      </c>
      <c r="H199" s="8">
        <v>1</v>
      </c>
      <c r="I199" s="8">
        <v>1</v>
      </c>
      <c r="J199" s="8">
        <v>0</v>
      </c>
      <c r="K199" s="9">
        <v>0</v>
      </c>
      <c r="L199" s="10">
        <v>0</v>
      </c>
      <c r="M199" s="6">
        <v>0</v>
      </c>
      <c r="N199" s="37" t="e" cm="1">
        <f t="array" ref="N199">IF(OR(ISNUMBER(FIND(Aux!$D$3:$D$9,_xlfn.TEXTJOIN(,,C199:K199)))),NA(),IF(AND(SUM(C199:F199,H199:K199)=0,G199=1),0,INT((SUMPRODUCT(C199:F199,COLUMN($A$1:$D$1)-1)+SUMPRODUCT(H199:K199,COLUMN($E$1:$H$1)-1))*'Line Follower'!$C$3/SUM(C199:F199,H199:K199)-'Line Follower'!$C$5)))</f>
        <v>#N/A</v>
      </c>
      <c r="O199" s="22" t="e">
        <v>#N/A</v>
      </c>
      <c r="P199" s="4" t="e">
        <f t="shared" si="15"/>
        <v>#N/A</v>
      </c>
      <c r="Q199" s="4" t="e">
        <f t="shared" si="16"/>
        <v>#N/A</v>
      </c>
      <c r="R199" s="4" t="e">
        <f>IF(AND(B199=1,N199&gt;'Line Follower'!$C$7,SUM(C199:K199)&lt;4),1,0)</f>
        <v>#N/A</v>
      </c>
      <c r="S199" s="4" t="e">
        <f>IF(AND(L199=1,N199&lt;'Line Follower'!$C$6,SUM(C199:K199)&lt;4),1,0)</f>
        <v>#N/A</v>
      </c>
      <c r="T199" s="4" t="e">
        <f t="shared" si="17"/>
        <v>#N/A</v>
      </c>
      <c r="U199" s="5" t="e">
        <f t="shared" si="18"/>
        <v>#N/A</v>
      </c>
      <c r="V199" s="23" t="e">
        <f t="shared" si="19"/>
        <v>#N/A</v>
      </c>
    </row>
    <row r="200" spans="2:22" x14ac:dyDescent="0.25">
      <c r="B200" s="16">
        <v>1</v>
      </c>
      <c r="C200" s="7">
        <v>0</v>
      </c>
      <c r="D200" s="8">
        <v>1</v>
      </c>
      <c r="E200" s="8">
        <v>0</v>
      </c>
      <c r="F200" s="8">
        <v>0</v>
      </c>
      <c r="G200" s="8">
        <v>0</v>
      </c>
      <c r="H200" s="8">
        <v>1</v>
      </c>
      <c r="I200" s="8">
        <v>1</v>
      </c>
      <c r="J200" s="8">
        <v>0</v>
      </c>
      <c r="K200" s="9">
        <v>0</v>
      </c>
      <c r="L200" s="10">
        <v>0</v>
      </c>
      <c r="M200" s="6">
        <v>0</v>
      </c>
      <c r="N200" s="37" t="e" cm="1">
        <f t="array" ref="N200">IF(OR(ISNUMBER(FIND(Aux!$D$3:$D$9,_xlfn.TEXTJOIN(,,C200:K200)))),NA(),IF(AND(SUM(C200:F200,H200:K200)=0,G200=1),0,INT((SUMPRODUCT(C200:F200,COLUMN($A$1:$D$1)-1)+SUMPRODUCT(H200:K200,COLUMN($E$1:$H$1)-1))*'Line Follower'!$C$3/SUM(C200:F200,H200:K200)-'Line Follower'!$C$5)))</f>
        <v>#N/A</v>
      </c>
      <c r="O200" s="22" t="e">
        <v>#N/A</v>
      </c>
      <c r="P200" s="4" t="e">
        <f t="shared" si="15"/>
        <v>#N/A</v>
      </c>
      <c r="Q200" s="4" t="e">
        <f t="shared" si="16"/>
        <v>#N/A</v>
      </c>
      <c r="R200" s="4" t="e">
        <f>IF(AND(B200=1,N200&gt;'Line Follower'!$C$7,SUM(C200:K200)&lt;4),1,0)</f>
        <v>#N/A</v>
      </c>
      <c r="S200" s="4" t="e">
        <f>IF(AND(L200=1,N200&lt;'Line Follower'!$C$6,SUM(C200:K200)&lt;4),1,0)</f>
        <v>#N/A</v>
      </c>
      <c r="T200" s="4" t="e">
        <f t="shared" si="17"/>
        <v>#N/A</v>
      </c>
      <c r="U200" s="5" t="e">
        <f t="shared" si="18"/>
        <v>#N/A</v>
      </c>
      <c r="V200" s="23" t="e">
        <f t="shared" si="19"/>
        <v>#N/A</v>
      </c>
    </row>
    <row r="201" spans="2:22" x14ac:dyDescent="0.25">
      <c r="B201" s="16">
        <v>0</v>
      </c>
      <c r="C201" s="7">
        <v>1</v>
      </c>
      <c r="D201" s="8">
        <v>1</v>
      </c>
      <c r="E201" s="8">
        <v>0</v>
      </c>
      <c r="F201" s="8">
        <v>0</v>
      </c>
      <c r="G201" s="8">
        <v>0</v>
      </c>
      <c r="H201" s="8">
        <v>1</v>
      </c>
      <c r="I201" s="8">
        <v>1</v>
      </c>
      <c r="J201" s="8">
        <v>0</v>
      </c>
      <c r="K201" s="9">
        <v>0</v>
      </c>
      <c r="L201" s="10">
        <v>0</v>
      </c>
      <c r="M201" s="6">
        <v>0</v>
      </c>
      <c r="N201" s="37" t="e" cm="1">
        <f t="array" ref="N201">IF(OR(ISNUMBER(FIND(Aux!$D$3:$D$9,_xlfn.TEXTJOIN(,,C201:K201)))),NA(),IF(AND(SUM(C201:F201,H201:K201)=0,G201=1),0,INT((SUMPRODUCT(C201:F201,COLUMN($A$1:$D$1)-1)+SUMPRODUCT(H201:K201,COLUMN($E$1:$H$1)-1))*'Line Follower'!$C$3/SUM(C201:F201,H201:K201)-'Line Follower'!$C$5)))</f>
        <v>#N/A</v>
      </c>
      <c r="O201" s="22" t="e">
        <v>#N/A</v>
      </c>
      <c r="P201" s="4" t="e">
        <f t="shared" si="15"/>
        <v>#N/A</v>
      </c>
      <c r="Q201" s="4" t="e">
        <f t="shared" si="16"/>
        <v>#N/A</v>
      </c>
      <c r="R201" s="4" t="e">
        <f>IF(AND(B201=1,N201&gt;'Line Follower'!$C$7,SUM(C201:K201)&lt;4),1,0)</f>
        <v>#N/A</v>
      </c>
      <c r="S201" s="4" t="e">
        <f>IF(AND(L201=1,N201&lt;'Line Follower'!$C$6,SUM(C201:K201)&lt;4),1,0)</f>
        <v>#N/A</v>
      </c>
      <c r="T201" s="4" t="e">
        <f t="shared" si="17"/>
        <v>#N/A</v>
      </c>
      <c r="U201" s="5" t="e">
        <f t="shared" si="18"/>
        <v>#N/A</v>
      </c>
      <c r="V201" s="23" t="e">
        <f t="shared" si="19"/>
        <v>#N/A</v>
      </c>
    </row>
    <row r="202" spans="2:22" x14ac:dyDescent="0.25">
      <c r="B202" s="16">
        <v>1</v>
      </c>
      <c r="C202" s="7">
        <v>1</v>
      </c>
      <c r="D202" s="8">
        <v>1</v>
      </c>
      <c r="E202" s="8">
        <v>0</v>
      </c>
      <c r="F202" s="8">
        <v>0</v>
      </c>
      <c r="G202" s="8">
        <v>0</v>
      </c>
      <c r="H202" s="8">
        <v>1</v>
      </c>
      <c r="I202" s="8">
        <v>1</v>
      </c>
      <c r="J202" s="8">
        <v>0</v>
      </c>
      <c r="K202" s="9">
        <v>0</v>
      </c>
      <c r="L202" s="10">
        <v>0</v>
      </c>
      <c r="M202" s="6">
        <v>0</v>
      </c>
      <c r="N202" s="37" t="e" cm="1">
        <f t="array" ref="N202">IF(OR(ISNUMBER(FIND(Aux!$D$3:$D$9,_xlfn.TEXTJOIN(,,C202:K202)))),NA(),IF(AND(SUM(C202:F202,H202:K202)=0,G202=1),0,INT((SUMPRODUCT(C202:F202,COLUMN($A$1:$D$1)-1)+SUMPRODUCT(H202:K202,COLUMN($E$1:$H$1)-1))*'Line Follower'!$C$3/SUM(C202:F202,H202:K202)-'Line Follower'!$C$5)))</f>
        <v>#N/A</v>
      </c>
      <c r="O202" s="22" t="e">
        <v>#N/A</v>
      </c>
      <c r="P202" s="4" t="e">
        <f t="shared" si="15"/>
        <v>#N/A</v>
      </c>
      <c r="Q202" s="4" t="e">
        <f t="shared" si="16"/>
        <v>#N/A</v>
      </c>
      <c r="R202" s="4" t="e">
        <f>IF(AND(B202=1,N202&gt;'Line Follower'!$C$7,SUM(C202:K202)&lt;4),1,0)</f>
        <v>#N/A</v>
      </c>
      <c r="S202" s="4" t="e">
        <f>IF(AND(L202=1,N202&lt;'Line Follower'!$C$6,SUM(C202:K202)&lt;4),1,0)</f>
        <v>#N/A</v>
      </c>
      <c r="T202" s="4" t="e">
        <f t="shared" si="17"/>
        <v>#N/A</v>
      </c>
      <c r="U202" s="5" t="e">
        <f t="shared" si="18"/>
        <v>#N/A</v>
      </c>
      <c r="V202" s="23" t="e">
        <f t="shared" si="19"/>
        <v>#N/A</v>
      </c>
    </row>
    <row r="203" spans="2:22" x14ac:dyDescent="0.25">
      <c r="B203" s="16">
        <v>0</v>
      </c>
      <c r="C203" s="7">
        <v>0</v>
      </c>
      <c r="D203" s="8">
        <v>0</v>
      </c>
      <c r="E203" s="8">
        <v>1</v>
      </c>
      <c r="F203" s="8">
        <v>0</v>
      </c>
      <c r="G203" s="8">
        <v>0</v>
      </c>
      <c r="H203" s="8">
        <v>1</v>
      </c>
      <c r="I203" s="8">
        <v>1</v>
      </c>
      <c r="J203" s="8">
        <v>0</v>
      </c>
      <c r="K203" s="9">
        <v>0</v>
      </c>
      <c r="L203" s="10">
        <v>0</v>
      </c>
      <c r="M203" s="6">
        <v>0</v>
      </c>
      <c r="N203" s="37" t="e" cm="1">
        <f t="array" ref="N203">IF(OR(ISNUMBER(FIND(Aux!$D$3:$D$9,_xlfn.TEXTJOIN(,,C203:K203)))),NA(),IF(AND(SUM(C203:F203,H203:K203)=0,G203=1),0,INT((SUMPRODUCT(C203:F203,COLUMN($A$1:$D$1)-1)+SUMPRODUCT(H203:K203,COLUMN($E$1:$H$1)-1))*'Line Follower'!$C$3/SUM(C203:F203,H203:K203)-'Line Follower'!$C$5)))</f>
        <v>#N/A</v>
      </c>
      <c r="O203" s="22" t="e">
        <v>#N/A</v>
      </c>
      <c r="P203" s="4" t="e">
        <f t="shared" si="15"/>
        <v>#N/A</v>
      </c>
      <c r="Q203" s="4" t="e">
        <f t="shared" si="16"/>
        <v>#N/A</v>
      </c>
      <c r="R203" s="4" t="e">
        <f>IF(AND(B203=1,N203&gt;'Line Follower'!$C$7,SUM(C203:K203)&lt;4),1,0)</f>
        <v>#N/A</v>
      </c>
      <c r="S203" s="4" t="e">
        <f>IF(AND(L203=1,N203&lt;'Line Follower'!$C$6,SUM(C203:K203)&lt;4),1,0)</f>
        <v>#N/A</v>
      </c>
      <c r="T203" s="4" t="e">
        <f t="shared" si="17"/>
        <v>#N/A</v>
      </c>
      <c r="U203" s="5" t="e">
        <f t="shared" si="18"/>
        <v>#N/A</v>
      </c>
      <c r="V203" s="23" t="e">
        <f t="shared" si="19"/>
        <v>#N/A</v>
      </c>
    </row>
    <row r="204" spans="2:22" x14ac:dyDescent="0.25">
      <c r="B204" s="16">
        <v>1</v>
      </c>
      <c r="C204" s="7">
        <v>0</v>
      </c>
      <c r="D204" s="8">
        <v>0</v>
      </c>
      <c r="E204" s="8">
        <v>1</v>
      </c>
      <c r="F204" s="8">
        <v>0</v>
      </c>
      <c r="G204" s="8">
        <v>0</v>
      </c>
      <c r="H204" s="8">
        <v>1</v>
      </c>
      <c r="I204" s="8">
        <v>1</v>
      </c>
      <c r="J204" s="8">
        <v>0</v>
      </c>
      <c r="K204" s="9">
        <v>0</v>
      </c>
      <c r="L204" s="10">
        <v>0</v>
      </c>
      <c r="M204" s="6">
        <v>0</v>
      </c>
      <c r="N204" s="37" t="e" cm="1">
        <f t="array" ref="N204">IF(OR(ISNUMBER(FIND(Aux!$D$3:$D$9,_xlfn.TEXTJOIN(,,C204:K204)))),NA(),IF(AND(SUM(C204:F204,H204:K204)=0,G204=1),0,INT((SUMPRODUCT(C204:F204,COLUMN($A$1:$D$1)-1)+SUMPRODUCT(H204:K204,COLUMN($E$1:$H$1)-1))*'Line Follower'!$C$3/SUM(C204:F204,H204:K204)-'Line Follower'!$C$5)))</f>
        <v>#N/A</v>
      </c>
      <c r="O204" s="22" t="e">
        <v>#N/A</v>
      </c>
      <c r="P204" s="4" t="e">
        <f t="shared" si="15"/>
        <v>#N/A</v>
      </c>
      <c r="Q204" s="4" t="e">
        <f t="shared" si="16"/>
        <v>#N/A</v>
      </c>
      <c r="R204" s="4" t="e">
        <f>IF(AND(B204=1,N204&gt;'Line Follower'!$C$7,SUM(C204:K204)&lt;4),1,0)</f>
        <v>#N/A</v>
      </c>
      <c r="S204" s="4" t="e">
        <f>IF(AND(L204=1,N204&lt;'Line Follower'!$C$6,SUM(C204:K204)&lt;4),1,0)</f>
        <v>#N/A</v>
      </c>
      <c r="T204" s="4" t="e">
        <f t="shared" si="17"/>
        <v>#N/A</v>
      </c>
      <c r="U204" s="5" t="e">
        <f t="shared" si="18"/>
        <v>#N/A</v>
      </c>
      <c r="V204" s="23" t="e">
        <f t="shared" si="19"/>
        <v>#N/A</v>
      </c>
    </row>
    <row r="205" spans="2:22" x14ac:dyDescent="0.25">
      <c r="B205" s="16">
        <v>0</v>
      </c>
      <c r="C205" s="7">
        <v>1</v>
      </c>
      <c r="D205" s="8">
        <v>0</v>
      </c>
      <c r="E205" s="8">
        <v>1</v>
      </c>
      <c r="F205" s="8">
        <v>0</v>
      </c>
      <c r="G205" s="8">
        <v>0</v>
      </c>
      <c r="H205" s="8">
        <v>1</v>
      </c>
      <c r="I205" s="8">
        <v>1</v>
      </c>
      <c r="J205" s="8">
        <v>0</v>
      </c>
      <c r="K205" s="9">
        <v>0</v>
      </c>
      <c r="L205" s="10">
        <v>0</v>
      </c>
      <c r="M205" s="6">
        <v>0</v>
      </c>
      <c r="N205" s="37" t="e" cm="1">
        <f t="array" ref="N205">IF(OR(ISNUMBER(FIND(Aux!$D$3:$D$9,_xlfn.TEXTJOIN(,,C205:K205)))),NA(),IF(AND(SUM(C205:F205,H205:K205)=0,G205=1),0,INT((SUMPRODUCT(C205:F205,COLUMN($A$1:$D$1)-1)+SUMPRODUCT(H205:K205,COLUMN($E$1:$H$1)-1))*'Line Follower'!$C$3/SUM(C205:F205,H205:K205)-'Line Follower'!$C$5)))</f>
        <v>#N/A</v>
      </c>
      <c r="O205" s="22" t="e">
        <v>#N/A</v>
      </c>
      <c r="P205" s="4" t="e">
        <f t="shared" si="15"/>
        <v>#N/A</v>
      </c>
      <c r="Q205" s="4" t="e">
        <f t="shared" si="16"/>
        <v>#N/A</v>
      </c>
      <c r="R205" s="4" t="e">
        <f>IF(AND(B205=1,N205&gt;'Line Follower'!$C$7,SUM(C205:K205)&lt;4),1,0)</f>
        <v>#N/A</v>
      </c>
      <c r="S205" s="4" t="e">
        <f>IF(AND(L205=1,N205&lt;'Line Follower'!$C$6,SUM(C205:K205)&lt;4),1,0)</f>
        <v>#N/A</v>
      </c>
      <c r="T205" s="4" t="e">
        <f t="shared" si="17"/>
        <v>#N/A</v>
      </c>
      <c r="U205" s="5" t="e">
        <f t="shared" si="18"/>
        <v>#N/A</v>
      </c>
      <c r="V205" s="23" t="e">
        <f t="shared" si="19"/>
        <v>#N/A</v>
      </c>
    </row>
    <row r="206" spans="2:22" x14ac:dyDescent="0.25">
      <c r="B206" s="16">
        <v>1</v>
      </c>
      <c r="C206" s="7">
        <v>1</v>
      </c>
      <c r="D206" s="8">
        <v>0</v>
      </c>
      <c r="E206" s="8">
        <v>1</v>
      </c>
      <c r="F206" s="8">
        <v>0</v>
      </c>
      <c r="G206" s="8">
        <v>0</v>
      </c>
      <c r="H206" s="8">
        <v>1</v>
      </c>
      <c r="I206" s="8">
        <v>1</v>
      </c>
      <c r="J206" s="8">
        <v>0</v>
      </c>
      <c r="K206" s="9">
        <v>0</v>
      </c>
      <c r="L206" s="10">
        <v>0</v>
      </c>
      <c r="M206" s="6">
        <v>0</v>
      </c>
      <c r="N206" s="37" t="e" cm="1">
        <f t="array" ref="N206">IF(OR(ISNUMBER(FIND(Aux!$D$3:$D$9,_xlfn.TEXTJOIN(,,C206:K206)))),NA(),IF(AND(SUM(C206:F206,H206:K206)=0,G206=1),0,INT((SUMPRODUCT(C206:F206,COLUMN($A$1:$D$1)-1)+SUMPRODUCT(H206:K206,COLUMN($E$1:$H$1)-1))*'Line Follower'!$C$3/SUM(C206:F206,H206:K206)-'Line Follower'!$C$5)))</f>
        <v>#N/A</v>
      </c>
      <c r="O206" s="22" t="e">
        <v>#N/A</v>
      </c>
      <c r="P206" s="4" t="e">
        <f t="shared" si="15"/>
        <v>#N/A</v>
      </c>
      <c r="Q206" s="4" t="e">
        <f t="shared" si="16"/>
        <v>#N/A</v>
      </c>
      <c r="R206" s="4" t="e">
        <f>IF(AND(B206=1,N206&gt;'Line Follower'!$C$7,SUM(C206:K206)&lt;4),1,0)</f>
        <v>#N/A</v>
      </c>
      <c r="S206" s="4" t="e">
        <f>IF(AND(L206=1,N206&lt;'Line Follower'!$C$6,SUM(C206:K206)&lt;4),1,0)</f>
        <v>#N/A</v>
      </c>
      <c r="T206" s="4" t="e">
        <f t="shared" si="17"/>
        <v>#N/A</v>
      </c>
      <c r="U206" s="5" t="e">
        <f t="shared" si="18"/>
        <v>#N/A</v>
      </c>
      <c r="V206" s="23" t="e">
        <f t="shared" si="19"/>
        <v>#N/A</v>
      </c>
    </row>
    <row r="207" spans="2:22" x14ac:dyDescent="0.25">
      <c r="B207" s="16">
        <v>0</v>
      </c>
      <c r="C207" s="7">
        <v>0</v>
      </c>
      <c r="D207" s="8">
        <v>1</v>
      </c>
      <c r="E207" s="8">
        <v>1</v>
      </c>
      <c r="F207" s="8">
        <v>0</v>
      </c>
      <c r="G207" s="8">
        <v>0</v>
      </c>
      <c r="H207" s="8">
        <v>1</v>
      </c>
      <c r="I207" s="8">
        <v>1</v>
      </c>
      <c r="J207" s="8">
        <v>0</v>
      </c>
      <c r="K207" s="9">
        <v>0</v>
      </c>
      <c r="L207" s="10">
        <v>0</v>
      </c>
      <c r="M207" s="6">
        <v>0</v>
      </c>
      <c r="N207" s="37" t="e" cm="1">
        <f t="array" ref="N207">IF(OR(ISNUMBER(FIND(Aux!$D$3:$D$9,_xlfn.TEXTJOIN(,,C207:K207)))),NA(),IF(AND(SUM(C207:F207,H207:K207)=0,G207=1),0,INT((SUMPRODUCT(C207:F207,COLUMN($A$1:$D$1)-1)+SUMPRODUCT(H207:K207,COLUMN($E$1:$H$1)-1))*'Line Follower'!$C$3/SUM(C207:F207,H207:K207)-'Line Follower'!$C$5)))</f>
        <v>#N/A</v>
      </c>
      <c r="O207" s="22" t="e">
        <v>#N/A</v>
      </c>
      <c r="P207" s="4" t="e">
        <f t="shared" si="15"/>
        <v>#N/A</v>
      </c>
      <c r="Q207" s="4" t="e">
        <f t="shared" si="16"/>
        <v>#N/A</v>
      </c>
      <c r="R207" s="4" t="e">
        <f>IF(AND(B207=1,N207&gt;'Line Follower'!$C$7,SUM(C207:K207)&lt;4),1,0)</f>
        <v>#N/A</v>
      </c>
      <c r="S207" s="4" t="e">
        <f>IF(AND(L207=1,N207&lt;'Line Follower'!$C$6,SUM(C207:K207)&lt;4),1,0)</f>
        <v>#N/A</v>
      </c>
      <c r="T207" s="4" t="e">
        <f t="shared" si="17"/>
        <v>#N/A</v>
      </c>
      <c r="U207" s="5" t="e">
        <f t="shared" si="18"/>
        <v>#N/A</v>
      </c>
      <c r="V207" s="23" t="e">
        <f t="shared" si="19"/>
        <v>#N/A</v>
      </c>
    </row>
    <row r="208" spans="2:22" x14ac:dyDescent="0.25">
      <c r="B208" s="16">
        <v>1</v>
      </c>
      <c r="C208" s="7">
        <v>0</v>
      </c>
      <c r="D208" s="8">
        <v>1</v>
      </c>
      <c r="E208" s="8">
        <v>1</v>
      </c>
      <c r="F208" s="8">
        <v>0</v>
      </c>
      <c r="G208" s="8">
        <v>0</v>
      </c>
      <c r="H208" s="8">
        <v>1</v>
      </c>
      <c r="I208" s="8">
        <v>1</v>
      </c>
      <c r="J208" s="8">
        <v>0</v>
      </c>
      <c r="K208" s="9">
        <v>0</v>
      </c>
      <c r="L208" s="10">
        <v>0</v>
      </c>
      <c r="M208" s="6">
        <v>0</v>
      </c>
      <c r="N208" s="37" t="e" cm="1">
        <f t="array" ref="N208">IF(OR(ISNUMBER(FIND(Aux!$D$3:$D$9,_xlfn.TEXTJOIN(,,C208:K208)))),NA(),IF(AND(SUM(C208:F208,H208:K208)=0,G208=1),0,INT((SUMPRODUCT(C208:F208,COLUMN($A$1:$D$1)-1)+SUMPRODUCT(H208:K208,COLUMN($E$1:$H$1)-1))*'Line Follower'!$C$3/SUM(C208:F208,H208:K208)-'Line Follower'!$C$5)))</f>
        <v>#N/A</v>
      </c>
      <c r="O208" s="22" t="e">
        <v>#N/A</v>
      </c>
      <c r="P208" s="4" t="e">
        <f t="shared" si="15"/>
        <v>#N/A</v>
      </c>
      <c r="Q208" s="4" t="e">
        <f t="shared" si="16"/>
        <v>#N/A</v>
      </c>
      <c r="R208" s="4" t="e">
        <f>IF(AND(B208=1,N208&gt;'Line Follower'!$C$7,SUM(C208:K208)&lt;4),1,0)</f>
        <v>#N/A</v>
      </c>
      <c r="S208" s="4" t="e">
        <f>IF(AND(L208=1,N208&lt;'Line Follower'!$C$6,SUM(C208:K208)&lt;4),1,0)</f>
        <v>#N/A</v>
      </c>
      <c r="T208" s="4" t="e">
        <f t="shared" si="17"/>
        <v>#N/A</v>
      </c>
      <c r="U208" s="5" t="e">
        <f t="shared" si="18"/>
        <v>#N/A</v>
      </c>
      <c r="V208" s="23" t="e">
        <f t="shared" si="19"/>
        <v>#N/A</v>
      </c>
    </row>
    <row r="209" spans="2:22" x14ac:dyDescent="0.25">
      <c r="B209" s="16">
        <v>0</v>
      </c>
      <c r="C209" s="7">
        <v>1</v>
      </c>
      <c r="D209" s="8">
        <v>1</v>
      </c>
      <c r="E209" s="8">
        <v>1</v>
      </c>
      <c r="F209" s="8">
        <v>0</v>
      </c>
      <c r="G209" s="8">
        <v>0</v>
      </c>
      <c r="H209" s="8">
        <v>1</v>
      </c>
      <c r="I209" s="8">
        <v>1</v>
      </c>
      <c r="J209" s="8">
        <v>0</v>
      </c>
      <c r="K209" s="9">
        <v>0</v>
      </c>
      <c r="L209" s="10">
        <v>0</v>
      </c>
      <c r="M209" s="6">
        <v>0</v>
      </c>
      <c r="N209" s="37" t="e" cm="1">
        <f t="array" ref="N209">IF(OR(ISNUMBER(FIND(Aux!$D$3:$D$9,_xlfn.TEXTJOIN(,,C209:K209)))),NA(),IF(AND(SUM(C209:F209,H209:K209)=0,G209=1),0,INT((SUMPRODUCT(C209:F209,COLUMN($A$1:$D$1)-1)+SUMPRODUCT(H209:K209,COLUMN($E$1:$H$1)-1))*'Line Follower'!$C$3/SUM(C209:F209,H209:K209)-'Line Follower'!$C$5)))</f>
        <v>#N/A</v>
      </c>
      <c r="O209" s="22" t="e">
        <v>#N/A</v>
      </c>
      <c r="P209" s="4" t="e">
        <f t="shared" si="15"/>
        <v>#N/A</v>
      </c>
      <c r="Q209" s="4" t="e">
        <f t="shared" si="16"/>
        <v>#N/A</v>
      </c>
      <c r="R209" s="4" t="e">
        <f>IF(AND(B209=1,N209&gt;'Line Follower'!$C$7,SUM(C209:K209)&lt;4),1,0)</f>
        <v>#N/A</v>
      </c>
      <c r="S209" s="4" t="e">
        <f>IF(AND(L209=1,N209&lt;'Line Follower'!$C$6,SUM(C209:K209)&lt;4),1,0)</f>
        <v>#N/A</v>
      </c>
      <c r="T209" s="4" t="e">
        <f t="shared" si="17"/>
        <v>#N/A</v>
      </c>
      <c r="U209" s="5" t="e">
        <f t="shared" si="18"/>
        <v>#N/A</v>
      </c>
      <c r="V209" s="23" t="e">
        <f t="shared" si="19"/>
        <v>#N/A</v>
      </c>
    </row>
    <row r="210" spans="2:22" x14ac:dyDescent="0.25">
      <c r="B210" s="16">
        <v>1</v>
      </c>
      <c r="C210" s="7">
        <v>1</v>
      </c>
      <c r="D210" s="8">
        <v>1</v>
      </c>
      <c r="E210" s="8">
        <v>1</v>
      </c>
      <c r="F210" s="8">
        <v>0</v>
      </c>
      <c r="G210" s="8">
        <v>0</v>
      </c>
      <c r="H210" s="8">
        <v>1</v>
      </c>
      <c r="I210" s="8">
        <v>1</v>
      </c>
      <c r="J210" s="8">
        <v>0</v>
      </c>
      <c r="K210" s="9">
        <v>0</v>
      </c>
      <c r="L210" s="10">
        <v>0</v>
      </c>
      <c r="M210" s="6">
        <v>0</v>
      </c>
      <c r="N210" s="37" t="e" cm="1">
        <f t="array" ref="N210">IF(OR(ISNUMBER(FIND(Aux!$D$3:$D$9,_xlfn.TEXTJOIN(,,C210:K210)))),NA(),IF(AND(SUM(C210:F210,H210:K210)=0,G210=1),0,INT((SUMPRODUCT(C210:F210,COLUMN($A$1:$D$1)-1)+SUMPRODUCT(H210:K210,COLUMN($E$1:$H$1)-1))*'Line Follower'!$C$3/SUM(C210:F210,H210:K210)-'Line Follower'!$C$5)))</f>
        <v>#N/A</v>
      </c>
      <c r="O210" s="22" t="e">
        <v>#N/A</v>
      </c>
      <c r="P210" s="4" t="e">
        <f t="shared" si="15"/>
        <v>#N/A</v>
      </c>
      <c r="Q210" s="4" t="e">
        <f t="shared" si="16"/>
        <v>#N/A</v>
      </c>
      <c r="R210" s="4" t="e">
        <f>IF(AND(B210=1,N210&gt;'Line Follower'!$C$7,SUM(C210:K210)&lt;4),1,0)</f>
        <v>#N/A</v>
      </c>
      <c r="S210" s="4" t="e">
        <f>IF(AND(L210=1,N210&lt;'Line Follower'!$C$6,SUM(C210:K210)&lt;4),1,0)</f>
        <v>#N/A</v>
      </c>
      <c r="T210" s="4" t="e">
        <f t="shared" si="17"/>
        <v>#N/A</v>
      </c>
      <c r="U210" s="5" t="e">
        <f t="shared" si="18"/>
        <v>#N/A</v>
      </c>
      <c r="V210" s="23" t="e">
        <f t="shared" si="19"/>
        <v>#N/A</v>
      </c>
    </row>
    <row r="211" spans="2:22" x14ac:dyDescent="0.25">
      <c r="B211" s="16">
        <v>0</v>
      </c>
      <c r="C211" s="7">
        <v>0</v>
      </c>
      <c r="D211" s="8">
        <v>0</v>
      </c>
      <c r="E211" s="8">
        <v>0</v>
      </c>
      <c r="F211" s="8">
        <v>1</v>
      </c>
      <c r="G211" s="8">
        <v>0</v>
      </c>
      <c r="H211" s="8">
        <v>1</v>
      </c>
      <c r="I211" s="8">
        <v>1</v>
      </c>
      <c r="J211" s="8">
        <v>0</v>
      </c>
      <c r="K211" s="9">
        <v>0</v>
      </c>
      <c r="L211" s="10">
        <v>0</v>
      </c>
      <c r="M211" s="6">
        <v>0</v>
      </c>
      <c r="N211" s="37" t="e" cm="1">
        <f t="array" ref="N211">IF(OR(ISNUMBER(FIND(Aux!$D$3:$D$9,_xlfn.TEXTJOIN(,,C211:K211)))),NA(),IF(AND(SUM(C211:F211,H211:K211)=0,G211=1),0,INT((SUMPRODUCT(C211:F211,COLUMN($A$1:$D$1)-1)+SUMPRODUCT(H211:K211,COLUMN($E$1:$H$1)-1))*'Line Follower'!$C$3/SUM(C211:F211,H211:K211)-'Line Follower'!$C$5)))</f>
        <v>#N/A</v>
      </c>
      <c r="O211" s="22" t="e">
        <v>#N/A</v>
      </c>
      <c r="P211" s="4" t="e">
        <f t="shared" si="15"/>
        <v>#N/A</v>
      </c>
      <c r="Q211" s="4" t="e">
        <f t="shared" si="16"/>
        <v>#N/A</v>
      </c>
      <c r="R211" s="4" t="e">
        <f>IF(AND(B211=1,N211&gt;'Line Follower'!$C$7,SUM(C211:K211)&lt;4),1,0)</f>
        <v>#N/A</v>
      </c>
      <c r="S211" s="4" t="e">
        <f>IF(AND(L211=1,N211&lt;'Line Follower'!$C$6,SUM(C211:K211)&lt;4),1,0)</f>
        <v>#N/A</v>
      </c>
      <c r="T211" s="4" t="e">
        <f t="shared" si="17"/>
        <v>#N/A</v>
      </c>
      <c r="U211" s="5" t="e">
        <f t="shared" si="18"/>
        <v>#N/A</v>
      </c>
      <c r="V211" s="23" t="e">
        <f t="shared" si="19"/>
        <v>#N/A</v>
      </c>
    </row>
    <row r="212" spans="2:22" x14ac:dyDescent="0.25">
      <c r="B212" s="16">
        <v>1</v>
      </c>
      <c r="C212" s="7">
        <v>0</v>
      </c>
      <c r="D212" s="8">
        <v>0</v>
      </c>
      <c r="E212" s="8">
        <v>0</v>
      </c>
      <c r="F212" s="8">
        <v>1</v>
      </c>
      <c r="G212" s="8">
        <v>0</v>
      </c>
      <c r="H212" s="8">
        <v>1</v>
      </c>
      <c r="I212" s="8">
        <v>1</v>
      </c>
      <c r="J212" s="8">
        <v>0</v>
      </c>
      <c r="K212" s="9">
        <v>0</v>
      </c>
      <c r="L212" s="10">
        <v>0</v>
      </c>
      <c r="M212" s="6">
        <v>0</v>
      </c>
      <c r="N212" s="37" t="e" cm="1">
        <f t="array" ref="N212">IF(OR(ISNUMBER(FIND(Aux!$D$3:$D$9,_xlfn.TEXTJOIN(,,C212:K212)))),NA(),IF(AND(SUM(C212:F212,H212:K212)=0,G212=1),0,INT((SUMPRODUCT(C212:F212,COLUMN($A$1:$D$1)-1)+SUMPRODUCT(H212:K212,COLUMN($E$1:$H$1)-1))*'Line Follower'!$C$3/SUM(C212:F212,H212:K212)-'Line Follower'!$C$5)))</f>
        <v>#N/A</v>
      </c>
      <c r="O212" s="22" t="e">
        <v>#N/A</v>
      </c>
      <c r="P212" s="4" t="e">
        <f t="shared" si="15"/>
        <v>#N/A</v>
      </c>
      <c r="Q212" s="4" t="e">
        <f t="shared" si="16"/>
        <v>#N/A</v>
      </c>
      <c r="R212" s="4" t="e">
        <f>IF(AND(B212=1,N212&gt;'Line Follower'!$C$7,SUM(C212:K212)&lt;4),1,0)</f>
        <v>#N/A</v>
      </c>
      <c r="S212" s="4" t="e">
        <f>IF(AND(L212=1,N212&lt;'Line Follower'!$C$6,SUM(C212:K212)&lt;4),1,0)</f>
        <v>#N/A</v>
      </c>
      <c r="T212" s="4" t="e">
        <f t="shared" si="17"/>
        <v>#N/A</v>
      </c>
      <c r="U212" s="5" t="e">
        <f t="shared" si="18"/>
        <v>#N/A</v>
      </c>
      <c r="V212" s="23" t="e">
        <f t="shared" si="19"/>
        <v>#N/A</v>
      </c>
    </row>
    <row r="213" spans="2:22" x14ac:dyDescent="0.25">
      <c r="B213" s="16">
        <v>0</v>
      </c>
      <c r="C213" s="7">
        <v>1</v>
      </c>
      <c r="D213" s="8">
        <v>0</v>
      </c>
      <c r="E213" s="8">
        <v>0</v>
      </c>
      <c r="F213" s="8">
        <v>1</v>
      </c>
      <c r="G213" s="8">
        <v>0</v>
      </c>
      <c r="H213" s="8">
        <v>1</v>
      </c>
      <c r="I213" s="8">
        <v>1</v>
      </c>
      <c r="J213" s="8">
        <v>0</v>
      </c>
      <c r="K213" s="9">
        <v>0</v>
      </c>
      <c r="L213" s="10">
        <v>0</v>
      </c>
      <c r="M213" s="6">
        <v>0</v>
      </c>
      <c r="N213" s="37" t="e" cm="1">
        <f t="array" ref="N213">IF(OR(ISNUMBER(FIND(Aux!$D$3:$D$9,_xlfn.TEXTJOIN(,,C213:K213)))),NA(),IF(AND(SUM(C213:F213,H213:K213)=0,G213=1),0,INT((SUMPRODUCT(C213:F213,COLUMN($A$1:$D$1)-1)+SUMPRODUCT(H213:K213,COLUMN($E$1:$H$1)-1))*'Line Follower'!$C$3/SUM(C213:F213,H213:K213)-'Line Follower'!$C$5)))</f>
        <v>#N/A</v>
      </c>
      <c r="O213" s="22" t="e">
        <v>#N/A</v>
      </c>
      <c r="P213" s="4" t="e">
        <f t="shared" si="15"/>
        <v>#N/A</v>
      </c>
      <c r="Q213" s="4" t="e">
        <f t="shared" si="16"/>
        <v>#N/A</v>
      </c>
      <c r="R213" s="4" t="e">
        <f>IF(AND(B213=1,N213&gt;'Line Follower'!$C$7,SUM(C213:K213)&lt;4),1,0)</f>
        <v>#N/A</v>
      </c>
      <c r="S213" s="4" t="e">
        <f>IF(AND(L213=1,N213&lt;'Line Follower'!$C$6,SUM(C213:K213)&lt;4),1,0)</f>
        <v>#N/A</v>
      </c>
      <c r="T213" s="4" t="e">
        <f t="shared" si="17"/>
        <v>#N/A</v>
      </c>
      <c r="U213" s="5" t="e">
        <f t="shared" si="18"/>
        <v>#N/A</v>
      </c>
      <c r="V213" s="23" t="e">
        <f t="shared" si="19"/>
        <v>#N/A</v>
      </c>
    </row>
    <row r="214" spans="2:22" x14ac:dyDescent="0.25">
      <c r="B214" s="16">
        <v>1</v>
      </c>
      <c r="C214" s="7">
        <v>1</v>
      </c>
      <c r="D214" s="8">
        <v>0</v>
      </c>
      <c r="E214" s="8">
        <v>0</v>
      </c>
      <c r="F214" s="8">
        <v>1</v>
      </c>
      <c r="G214" s="8">
        <v>0</v>
      </c>
      <c r="H214" s="8">
        <v>1</v>
      </c>
      <c r="I214" s="8">
        <v>1</v>
      </c>
      <c r="J214" s="8">
        <v>0</v>
      </c>
      <c r="K214" s="9">
        <v>0</v>
      </c>
      <c r="L214" s="10">
        <v>0</v>
      </c>
      <c r="M214" s="6">
        <v>0</v>
      </c>
      <c r="N214" s="37" t="e" cm="1">
        <f t="array" ref="N214">IF(OR(ISNUMBER(FIND(Aux!$D$3:$D$9,_xlfn.TEXTJOIN(,,C214:K214)))),NA(),IF(AND(SUM(C214:F214,H214:K214)=0,G214=1),0,INT((SUMPRODUCT(C214:F214,COLUMN($A$1:$D$1)-1)+SUMPRODUCT(H214:K214,COLUMN($E$1:$H$1)-1))*'Line Follower'!$C$3/SUM(C214:F214,H214:K214)-'Line Follower'!$C$5)))</f>
        <v>#N/A</v>
      </c>
      <c r="O214" s="22" t="e">
        <v>#N/A</v>
      </c>
      <c r="P214" s="4" t="e">
        <f t="shared" si="15"/>
        <v>#N/A</v>
      </c>
      <c r="Q214" s="4" t="e">
        <f t="shared" si="16"/>
        <v>#N/A</v>
      </c>
      <c r="R214" s="4" t="e">
        <f>IF(AND(B214=1,N214&gt;'Line Follower'!$C$7,SUM(C214:K214)&lt;4),1,0)</f>
        <v>#N/A</v>
      </c>
      <c r="S214" s="4" t="e">
        <f>IF(AND(L214=1,N214&lt;'Line Follower'!$C$6,SUM(C214:K214)&lt;4),1,0)</f>
        <v>#N/A</v>
      </c>
      <c r="T214" s="4" t="e">
        <f t="shared" si="17"/>
        <v>#N/A</v>
      </c>
      <c r="U214" s="5" t="e">
        <f t="shared" si="18"/>
        <v>#N/A</v>
      </c>
      <c r="V214" s="23" t="e">
        <f t="shared" si="19"/>
        <v>#N/A</v>
      </c>
    </row>
    <row r="215" spans="2:22" x14ac:dyDescent="0.25">
      <c r="B215" s="16">
        <v>0</v>
      </c>
      <c r="C215" s="7">
        <v>0</v>
      </c>
      <c r="D215" s="8">
        <v>1</v>
      </c>
      <c r="E215" s="8">
        <v>0</v>
      </c>
      <c r="F215" s="8">
        <v>1</v>
      </c>
      <c r="G215" s="8">
        <v>0</v>
      </c>
      <c r="H215" s="8">
        <v>1</v>
      </c>
      <c r="I215" s="8">
        <v>1</v>
      </c>
      <c r="J215" s="8">
        <v>0</v>
      </c>
      <c r="K215" s="9">
        <v>0</v>
      </c>
      <c r="L215" s="10">
        <v>0</v>
      </c>
      <c r="M215" s="6">
        <v>0</v>
      </c>
      <c r="N215" s="37" t="e" cm="1">
        <f t="array" ref="N215">IF(OR(ISNUMBER(FIND(Aux!$D$3:$D$9,_xlfn.TEXTJOIN(,,C215:K215)))),NA(),IF(AND(SUM(C215:F215,H215:K215)=0,G215=1),0,INT((SUMPRODUCT(C215:F215,COLUMN($A$1:$D$1)-1)+SUMPRODUCT(H215:K215,COLUMN($E$1:$H$1)-1))*'Line Follower'!$C$3/SUM(C215:F215,H215:K215)-'Line Follower'!$C$5)))</f>
        <v>#N/A</v>
      </c>
      <c r="O215" s="22" t="e">
        <v>#N/A</v>
      </c>
      <c r="P215" s="4" t="e">
        <f t="shared" si="15"/>
        <v>#N/A</v>
      </c>
      <c r="Q215" s="4" t="e">
        <f t="shared" si="16"/>
        <v>#N/A</v>
      </c>
      <c r="R215" s="4" t="e">
        <f>IF(AND(B215=1,N215&gt;'Line Follower'!$C$7,SUM(C215:K215)&lt;4),1,0)</f>
        <v>#N/A</v>
      </c>
      <c r="S215" s="4" t="e">
        <f>IF(AND(L215=1,N215&lt;'Line Follower'!$C$6,SUM(C215:K215)&lt;4),1,0)</f>
        <v>#N/A</v>
      </c>
      <c r="T215" s="4" t="e">
        <f t="shared" si="17"/>
        <v>#N/A</v>
      </c>
      <c r="U215" s="5" t="e">
        <f t="shared" si="18"/>
        <v>#N/A</v>
      </c>
      <c r="V215" s="23" t="e">
        <f t="shared" si="19"/>
        <v>#N/A</v>
      </c>
    </row>
    <row r="216" spans="2:22" x14ac:dyDescent="0.25">
      <c r="B216" s="16">
        <v>1</v>
      </c>
      <c r="C216" s="7">
        <v>0</v>
      </c>
      <c r="D216" s="8">
        <v>1</v>
      </c>
      <c r="E216" s="8">
        <v>0</v>
      </c>
      <c r="F216" s="8">
        <v>1</v>
      </c>
      <c r="G216" s="8">
        <v>0</v>
      </c>
      <c r="H216" s="8">
        <v>1</v>
      </c>
      <c r="I216" s="8">
        <v>1</v>
      </c>
      <c r="J216" s="8">
        <v>0</v>
      </c>
      <c r="K216" s="9">
        <v>0</v>
      </c>
      <c r="L216" s="10">
        <v>0</v>
      </c>
      <c r="M216" s="6">
        <v>0</v>
      </c>
      <c r="N216" s="37" t="e" cm="1">
        <f t="array" ref="N216">IF(OR(ISNUMBER(FIND(Aux!$D$3:$D$9,_xlfn.TEXTJOIN(,,C216:K216)))),NA(),IF(AND(SUM(C216:F216,H216:K216)=0,G216=1),0,INT((SUMPRODUCT(C216:F216,COLUMN($A$1:$D$1)-1)+SUMPRODUCT(H216:K216,COLUMN($E$1:$H$1)-1))*'Line Follower'!$C$3/SUM(C216:F216,H216:K216)-'Line Follower'!$C$5)))</f>
        <v>#N/A</v>
      </c>
      <c r="O216" s="22" t="e">
        <v>#N/A</v>
      </c>
      <c r="P216" s="4" t="e">
        <f t="shared" si="15"/>
        <v>#N/A</v>
      </c>
      <c r="Q216" s="4" t="e">
        <f t="shared" si="16"/>
        <v>#N/A</v>
      </c>
      <c r="R216" s="4" t="e">
        <f>IF(AND(B216=1,N216&gt;'Line Follower'!$C$7,SUM(C216:K216)&lt;4),1,0)</f>
        <v>#N/A</v>
      </c>
      <c r="S216" s="4" t="e">
        <f>IF(AND(L216=1,N216&lt;'Line Follower'!$C$6,SUM(C216:K216)&lt;4),1,0)</f>
        <v>#N/A</v>
      </c>
      <c r="T216" s="4" t="e">
        <f t="shared" si="17"/>
        <v>#N/A</v>
      </c>
      <c r="U216" s="5" t="e">
        <f t="shared" si="18"/>
        <v>#N/A</v>
      </c>
      <c r="V216" s="23" t="e">
        <f t="shared" si="19"/>
        <v>#N/A</v>
      </c>
    </row>
    <row r="217" spans="2:22" x14ac:dyDescent="0.25">
      <c r="B217" s="16">
        <v>0</v>
      </c>
      <c r="C217" s="7">
        <v>1</v>
      </c>
      <c r="D217" s="8">
        <v>1</v>
      </c>
      <c r="E217" s="8">
        <v>0</v>
      </c>
      <c r="F217" s="8">
        <v>1</v>
      </c>
      <c r="G217" s="8">
        <v>0</v>
      </c>
      <c r="H217" s="8">
        <v>1</v>
      </c>
      <c r="I217" s="8">
        <v>1</v>
      </c>
      <c r="J217" s="8">
        <v>0</v>
      </c>
      <c r="K217" s="9">
        <v>0</v>
      </c>
      <c r="L217" s="10">
        <v>0</v>
      </c>
      <c r="M217" s="6">
        <v>0</v>
      </c>
      <c r="N217" s="37" t="e" cm="1">
        <f t="array" ref="N217">IF(OR(ISNUMBER(FIND(Aux!$D$3:$D$9,_xlfn.TEXTJOIN(,,C217:K217)))),NA(),IF(AND(SUM(C217:F217,H217:K217)=0,G217=1),0,INT((SUMPRODUCT(C217:F217,COLUMN($A$1:$D$1)-1)+SUMPRODUCT(H217:K217,COLUMN($E$1:$H$1)-1))*'Line Follower'!$C$3/SUM(C217:F217,H217:K217)-'Line Follower'!$C$5)))</f>
        <v>#N/A</v>
      </c>
      <c r="O217" s="22" t="e">
        <v>#N/A</v>
      </c>
      <c r="P217" s="4" t="e">
        <f t="shared" si="15"/>
        <v>#N/A</v>
      </c>
      <c r="Q217" s="4" t="e">
        <f t="shared" si="16"/>
        <v>#N/A</v>
      </c>
      <c r="R217" s="4" t="e">
        <f>IF(AND(B217=1,N217&gt;'Line Follower'!$C$7,SUM(C217:K217)&lt;4),1,0)</f>
        <v>#N/A</v>
      </c>
      <c r="S217" s="4" t="e">
        <f>IF(AND(L217=1,N217&lt;'Line Follower'!$C$6,SUM(C217:K217)&lt;4),1,0)</f>
        <v>#N/A</v>
      </c>
      <c r="T217" s="4" t="e">
        <f t="shared" si="17"/>
        <v>#N/A</v>
      </c>
      <c r="U217" s="5" t="e">
        <f t="shared" si="18"/>
        <v>#N/A</v>
      </c>
      <c r="V217" s="23" t="e">
        <f t="shared" si="19"/>
        <v>#N/A</v>
      </c>
    </row>
    <row r="218" spans="2:22" x14ac:dyDescent="0.25">
      <c r="B218" s="16">
        <v>1</v>
      </c>
      <c r="C218" s="7">
        <v>1</v>
      </c>
      <c r="D218" s="8">
        <v>1</v>
      </c>
      <c r="E218" s="8">
        <v>0</v>
      </c>
      <c r="F218" s="8">
        <v>1</v>
      </c>
      <c r="G218" s="8">
        <v>0</v>
      </c>
      <c r="H218" s="8">
        <v>1</v>
      </c>
      <c r="I218" s="8">
        <v>1</v>
      </c>
      <c r="J218" s="8">
        <v>0</v>
      </c>
      <c r="K218" s="9">
        <v>0</v>
      </c>
      <c r="L218" s="10">
        <v>0</v>
      </c>
      <c r="M218" s="6">
        <v>0</v>
      </c>
      <c r="N218" s="37" t="e" cm="1">
        <f t="array" ref="N218">IF(OR(ISNUMBER(FIND(Aux!$D$3:$D$9,_xlfn.TEXTJOIN(,,C218:K218)))),NA(),IF(AND(SUM(C218:F218,H218:K218)=0,G218=1),0,INT((SUMPRODUCT(C218:F218,COLUMN($A$1:$D$1)-1)+SUMPRODUCT(H218:K218,COLUMN($E$1:$H$1)-1))*'Line Follower'!$C$3/SUM(C218:F218,H218:K218)-'Line Follower'!$C$5)))</f>
        <v>#N/A</v>
      </c>
      <c r="O218" s="22" t="e">
        <v>#N/A</v>
      </c>
      <c r="P218" s="4" t="e">
        <f t="shared" si="15"/>
        <v>#N/A</v>
      </c>
      <c r="Q218" s="4" t="e">
        <f t="shared" si="16"/>
        <v>#N/A</v>
      </c>
      <c r="R218" s="4" t="e">
        <f>IF(AND(B218=1,N218&gt;'Line Follower'!$C$7,SUM(C218:K218)&lt;4),1,0)</f>
        <v>#N/A</v>
      </c>
      <c r="S218" s="4" t="e">
        <f>IF(AND(L218=1,N218&lt;'Line Follower'!$C$6,SUM(C218:K218)&lt;4),1,0)</f>
        <v>#N/A</v>
      </c>
      <c r="T218" s="4" t="e">
        <f t="shared" si="17"/>
        <v>#N/A</v>
      </c>
      <c r="U218" s="5" t="e">
        <f t="shared" si="18"/>
        <v>#N/A</v>
      </c>
      <c r="V218" s="23" t="e">
        <f t="shared" si="19"/>
        <v>#N/A</v>
      </c>
    </row>
    <row r="219" spans="2:22" x14ac:dyDescent="0.25">
      <c r="B219" s="16">
        <v>0</v>
      </c>
      <c r="C219" s="7">
        <v>0</v>
      </c>
      <c r="D219" s="8">
        <v>0</v>
      </c>
      <c r="E219" s="8">
        <v>1</v>
      </c>
      <c r="F219" s="8">
        <v>1</v>
      </c>
      <c r="G219" s="8">
        <v>0</v>
      </c>
      <c r="H219" s="8">
        <v>1</v>
      </c>
      <c r="I219" s="8">
        <v>1</v>
      </c>
      <c r="J219" s="8">
        <v>0</v>
      </c>
      <c r="K219" s="9">
        <v>0</v>
      </c>
      <c r="L219" s="10">
        <v>0</v>
      </c>
      <c r="M219" s="6">
        <v>0</v>
      </c>
      <c r="N219" s="37" t="e" cm="1">
        <f t="array" ref="N219">IF(OR(ISNUMBER(FIND(Aux!$D$3:$D$9,_xlfn.TEXTJOIN(,,C219:K219)))),NA(),IF(AND(SUM(C219:F219,H219:K219)=0,G219=1),0,INT((SUMPRODUCT(C219:F219,COLUMN($A$1:$D$1)-1)+SUMPRODUCT(H219:K219,COLUMN($E$1:$H$1)-1))*'Line Follower'!$C$3/SUM(C219:F219,H219:K219)-'Line Follower'!$C$5)))</f>
        <v>#N/A</v>
      </c>
      <c r="O219" s="22" t="e">
        <v>#N/A</v>
      </c>
      <c r="P219" s="4" t="e">
        <f t="shared" si="15"/>
        <v>#N/A</v>
      </c>
      <c r="Q219" s="4" t="e">
        <f t="shared" si="16"/>
        <v>#N/A</v>
      </c>
      <c r="R219" s="4" t="e">
        <f>IF(AND(B219=1,N219&gt;'Line Follower'!$C$7,SUM(C219:K219)&lt;4),1,0)</f>
        <v>#N/A</v>
      </c>
      <c r="S219" s="4" t="e">
        <f>IF(AND(L219=1,N219&lt;'Line Follower'!$C$6,SUM(C219:K219)&lt;4),1,0)</f>
        <v>#N/A</v>
      </c>
      <c r="T219" s="4" t="e">
        <f t="shared" si="17"/>
        <v>#N/A</v>
      </c>
      <c r="U219" s="5" t="e">
        <f t="shared" si="18"/>
        <v>#N/A</v>
      </c>
      <c r="V219" s="23" t="e">
        <f t="shared" si="19"/>
        <v>#N/A</v>
      </c>
    </row>
    <row r="220" spans="2:22" x14ac:dyDescent="0.25">
      <c r="B220" s="16">
        <v>1</v>
      </c>
      <c r="C220" s="7">
        <v>0</v>
      </c>
      <c r="D220" s="8">
        <v>0</v>
      </c>
      <c r="E220" s="8">
        <v>1</v>
      </c>
      <c r="F220" s="8">
        <v>1</v>
      </c>
      <c r="G220" s="8">
        <v>0</v>
      </c>
      <c r="H220" s="8">
        <v>1</v>
      </c>
      <c r="I220" s="8">
        <v>1</v>
      </c>
      <c r="J220" s="8">
        <v>0</v>
      </c>
      <c r="K220" s="9">
        <v>0</v>
      </c>
      <c r="L220" s="10">
        <v>0</v>
      </c>
      <c r="M220" s="6">
        <v>0</v>
      </c>
      <c r="N220" s="37" t="e" cm="1">
        <f t="array" ref="N220">IF(OR(ISNUMBER(FIND(Aux!$D$3:$D$9,_xlfn.TEXTJOIN(,,C220:K220)))),NA(),IF(AND(SUM(C220:F220,H220:K220)=0,G220=1),0,INT((SUMPRODUCT(C220:F220,COLUMN($A$1:$D$1)-1)+SUMPRODUCT(H220:K220,COLUMN($E$1:$H$1)-1))*'Line Follower'!$C$3/SUM(C220:F220,H220:K220)-'Line Follower'!$C$5)))</f>
        <v>#N/A</v>
      </c>
      <c r="O220" s="22" t="e">
        <v>#N/A</v>
      </c>
      <c r="P220" s="4" t="e">
        <f t="shared" si="15"/>
        <v>#N/A</v>
      </c>
      <c r="Q220" s="4" t="e">
        <f t="shared" si="16"/>
        <v>#N/A</v>
      </c>
      <c r="R220" s="4" t="e">
        <f>IF(AND(B220=1,N220&gt;'Line Follower'!$C$7,SUM(C220:K220)&lt;4),1,0)</f>
        <v>#N/A</v>
      </c>
      <c r="S220" s="4" t="e">
        <f>IF(AND(L220=1,N220&lt;'Line Follower'!$C$6,SUM(C220:K220)&lt;4),1,0)</f>
        <v>#N/A</v>
      </c>
      <c r="T220" s="4" t="e">
        <f t="shared" si="17"/>
        <v>#N/A</v>
      </c>
      <c r="U220" s="5" t="e">
        <f t="shared" si="18"/>
        <v>#N/A</v>
      </c>
      <c r="V220" s="23" t="e">
        <f t="shared" si="19"/>
        <v>#N/A</v>
      </c>
    </row>
    <row r="221" spans="2:22" x14ac:dyDescent="0.25">
      <c r="B221" s="16">
        <v>0</v>
      </c>
      <c r="C221" s="7">
        <v>1</v>
      </c>
      <c r="D221" s="8">
        <v>0</v>
      </c>
      <c r="E221" s="8">
        <v>1</v>
      </c>
      <c r="F221" s="8">
        <v>1</v>
      </c>
      <c r="G221" s="8">
        <v>0</v>
      </c>
      <c r="H221" s="8">
        <v>1</v>
      </c>
      <c r="I221" s="8">
        <v>1</v>
      </c>
      <c r="J221" s="8">
        <v>0</v>
      </c>
      <c r="K221" s="9">
        <v>0</v>
      </c>
      <c r="L221" s="10">
        <v>0</v>
      </c>
      <c r="M221" s="6">
        <v>0</v>
      </c>
      <c r="N221" s="37" t="e" cm="1">
        <f t="array" ref="N221">IF(OR(ISNUMBER(FIND(Aux!$D$3:$D$9,_xlfn.TEXTJOIN(,,C221:K221)))),NA(),IF(AND(SUM(C221:F221,H221:K221)=0,G221=1),0,INT((SUMPRODUCT(C221:F221,COLUMN($A$1:$D$1)-1)+SUMPRODUCT(H221:K221,COLUMN($E$1:$H$1)-1))*'Line Follower'!$C$3/SUM(C221:F221,H221:K221)-'Line Follower'!$C$5)))</f>
        <v>#N/A</v>
      </c>
      <c r="O221" s="22" t="e">
        <v>#N/A</v>
      </c>
      <c r="P221" s="4" t="e">
        <f t="shared" si="15"/>
        <v>#N/A</v>
      </c>
      <c r="Q221" s="4" t="e">
        <f t="shared" si="16"/>
        <v>#N/A</v>
      </c>
      <c r="R221" s="4" t="e">
        <f>IF(AND(B221=1,N221&gt;'Line Follower'!$C$7,SUM(C221:K221)&lt;4),1,0)</f>
        <v>#N/A</v>
      </c>
      <c r="S221" s="4" t="e">
        <f>IF(AND(L221=1,N221&lt;'Line Follower'!$C$6,SUM(C221:K221)&lt;4),1,0)</f>
        <v>#N/A</v>
      </c>
      <c r="T221" s="4" t="e">
        <f t="shared" si="17"/>
        <v>#N/A</v>
      </c>
      <c r="U221" s="5" t="e">
        <f t="shared" si="18"/>
        <v>#N/A</v>
      </c>
      <c r="V221" s="23" t="e">
        <f t="shared" si="19"/>
        <v>#N/A</v>
      </c>
    </row>
    <row r="222" spans="2:22" x14ac:dyDescent="0.25">
      <c r="B222" s="16">
        <v>1</v>
      </c>
      <c r="C222" s="7">
        <v>1</v>
      </c>
      <c r="D222" s="8">
        <v>0</v>
      </c>
      <c r="E222" s="8">
        <v>1</v>
      </c>
      <c r="F222" s="8">
        <v>1</v>
      </c>
      <c r="G222" s="8">
        <v>0</v>
      </c>
      <c r="H222" s="8">
        <v>1</v>
      </c>
      <c r="I222" s="8">
        <v>1</v>
      </c>
      <c r="J222" s="8">
        <v>0</v>
      </c>
      <c r="K222" s="9">
        <v>0</v>
      </c>
      <c r="L222" s="10">
        <v>0</v>
      </c>
      <c r="M222" s="6">
        <v>0</v>
      </c>
      <c r="N222" s="37" t="e" cm="1">
        <f t="array" ref="N222">IF(OR(ISNUMBER(FIND(Aux!$D$3:$D$9,_xlfn.TEXTJOIN(,,C222:K222)))),NA(),IF(AND(SUM(C222:F222,H222:K222)=0,G222=1),0,INT((SUMPRODUCT(C222:F222,COLUMN($A$1:$D$1)-1)+SUMPRODUCT(H222:K222,COLUMN($E$1:$H$1)-1))*'Line Follower'!$C$3/SUM(C222:F222,H222:K222)-'Line Follower'!$C$5)))</f>
        <v>#N/A</v>
      </c>
      <c r="O222" s="22" t="e">
        <v>#N/A</v>
      </c>
      <c r="P222" s="4" t="e">
        <f t="shared" si="15"/>
        <v>#N/A</v>
      </c>
      <c r="Q222" s="4" t="e">
        <f t="shared" si="16"/>
        <v>#N/A</v>
      </c>
      <c r="R222" s="4" t="e">
        <f>IF(AND(B222=1,N222&gt;'Line Follower'!$C$7,SUM(C222:K222)&lt;4),1,0)</f>
        <v>#N/A</v>
      </c>
      <c r="S222" s="4" t="e">
        <f>IF(AND(L222=1,N222&lt;'Line Follower'!$C$6,SUM(C222:K222)&lt;4),1,0)</f>
        <v>#N/A</v>
      </c>
      <c r="T222" s="4" t="e">
        <f t="shared" si="17"/>
        <v>#N/A</v>
      </c>
      <c r="U222" s="5" t="e">
        <f t="shared" si="18"/>
        <v>#N/A</v>
      </c>
      <c r="V222" s="23" t="e">
        <f t="shared" si="19"/>
        <v>#N/A</v>
      </c>
    </row>
    <row r="223" spans="2:22" x14ac:dyDescent="0.25">
      <c r="B223" s="16">
        <v>0</v>
      </c>
      <c r="C223" s="7">
        <v>0</v>
      </c>
      <c r="D223" s="8">
        <v>1</v>
      </c>
      <c r="E223" s="8">
        <v>1</v>
      </c>
      <c r="F223" s="8">
        <v>1</v>
      </c>
      <c r="G223" s="8">
        <v>0</v>
      </c>
      <c r="H223" s="8">
        <v>1</v>
      </c>
      <c r="I223" s="8">
        <v>1</v>
      </c>
      <c r="J223" s="8">
        <v>0</v>
      </c>
      <c r="K223" s="9">
        <v>0</v>
      </c>
      <c r="L223" s="10">
        <v>0</v>
      </c>
      <c r="M223" s="6">
        <v>0</v>
      </c>
      <c r="N223" s="37" t="e" cm="1">
        <f t="array" ref="N223">IF(OR(ISNUMBER(FIND(Aux!$D$3:$D$9,_xlfn.TEXTJOIN(,,C223:K223)))),NA(),IF(AND(SUM(C223:F223,H223:K223)=0,G223=1),0,INT((SUMPRODUCT(C223:F223,COLUMN($A$1:$D$1)-1)+SUMPRODUCT(H223:K223,COLUMN($E$1:$H$1)-1))*'Line Follower'!$C$3/SUM(C223:F223,H223:K223)-'Line Follower'!$C$5)))</f>
        <v>#N/A</v>
      </c>
      <c r="O223" s="22" t="e">
        <v>#N/A</v>
      </c>
      <c r="P223" s="4" t="e">
        <f t="shared" si="15"/>
        <v>#N/A</v>
      </c>
      <c r="Q223" s="4" t="e">
        <f t="shared" si="16"/>
        <v>#N/A</v>
      </c>
      <c r="R223" s="4" t="e">
        <f>IF(AND(B223=1,N223&gt;'Line Follower'!$C$7,SUM(C223:K223)&lt;4),1,0)</f>
        <v>#N/A</v>
      </c>
      <c r="S223" s="4" t="e">
        <f>IF(AND(L223=1,N223&lt;'Line Follower'!$C$6,SUM(C223:K223)&lt;4),1,0)</f>
        <v>#N/A</v>
      </c>
      <c r="T223" s="4" t="e">
        <f t="shared" si="17"/>
        <v>#N/A</v>
      </c>
      <c r="U223" s="5" t="e">
        <f t="shared" si="18"/>
        <v>#N/A</v>
      </c>
      <c r="V223" s="23" t="e">
        <f t="shared" si="19"/>
        <v>#N/A</v>
      </c>
    </row>
    <row r="224" spans="2:22" x14ac:dyDescent="0.25">
      <c r="B224" s="16">
        <v>1</v>
      </c>
      <c r="C224" s="7">
        <v>0</v>
      </c>
      <c r="D224" s="8">
        <v>1</v>
      </c>
      <c r="E224" s="8">
        <v>1</v>
      </c>
      <c r="F224" s="8">
        <v>1</v>
      </c>
      <c r="G224" s="8">
        <v>0</v>
      </c>
      <c r="H224" s="8">
        <v>1</v>
      </c>
      <c r="I224" s="8">
        <v>1</v>
      </c>
      <c r="J224" s="8">
        <v>0</v>
      </c>
      <c r="K224" s="9">
        <v>0</v>
      </c>
      <c r="L224" s="10">
        <v>0</v>
      </c>
      <c r="M224" s="6">
        <v>0</v>
      </c>
      <c r="N224" s="37" t="e" cm="1">
        <f t="array" ref="N224">IF(OR(ISNUMBER(FIND(Aux!$D$3:$D$9,_xlfn.TEXTJOIN(,,C224:K224)))),NA(),IF(AND(SUM(C224:F224,H224:K224)=0,G224=1),0,INT((SUMPRODUCT(C224:F224,COLUMN($A$1:$D$1)-1)+SUMPRODUCT(H224:K224,COLUMN($E$1:$H$1)-1))*'Line Follower'!$C$3/SUM(C224:F224,H224:K224)-'Line Follower'!$C$5)))</f>
        <v>#N/A</v>
      </c>
      <c r="O224" s="22" t="e">
        <v>#N/A</v>
      </c>
      <c r="P224" s="4" t="e">
        <f t="shared" si="15"/>
        <v>#N/A</v>
      </c>
      <c r="Q224" s="4" t="e">
        <f t="shared" si="16"/>
        <v>#N/A</v>
      </c>
      <c r="R224" s="4" t="e">
        <f>IF(AND(B224=1,N224&gt;'Line Follower'!$C$7,SUM(C224:K224)&lt;4),1,0)</f>
        <v>#N/A</v>
      </c>
      <c r="S224" s="4" t="e">
        <f>IF(AND(L224=1,N224&lt;'Line Follower'!$C$6,SUM(C224:K224)&lt;4),1,0)</f>
        <v>#N/A</v>
      </c>
      <c r="T224" s="4" t="e">
        <f t="shared" si="17"/>
        <v>#N/A</v>
      </c>
      <c r="U224" s="5" t="e">
        <f t="shared" si="18"/>
        <v>#N/A</v>
      </c>
      <c r="V224" s="23" t="e">
        <f t="shared" si="19"/>
        <v>#N/A</v>
      </c>
    </row>
    <row r="225" spans="2:22" x14ac:dyDescent="0.25">
      <c r="B225" s="16">
        <v>0</v>
      </c>
      <c r="C225" s="7">
        <v>1</v>
      </c>
      <c r="D225" s="8">
        <v>1</v>
      </c>
      <c r="E225" s="8">
        <v>1</v>
      </c>
      <c r="F225" s="8">
        <v>1</v>
      </c>
      <c r="G225" s="8">
        <v>0</v>
      </c>
      <c r="H225" s="8">
        <v>1</v>
      </c>
      <c r="I225" s="8">
        <v>1</v>
      </c>
      <c r="J225" s="8">
        <v>0</v>
      </c>
      <c r="K225" s="9">
        <v>0</v>
      </c>
      <c r="L225" s="10">
        <v>0</v>
      </c>
      <c r="M225" s="6">
        <v>0</v>
      </c>
      <c r="N225" s="37" t="e" cm="1">
        <f t="array" ref="N225">IF(OR(ISNUMBER(FIND(Aux!$D$3:$D$9,_xlfn.TEXTJOIN(,,C225:K225)))),NA(),IF(AND(SUM(C225:F225,H225:K225)=0,G225=1),0,INT((SUMPRODUCT(C225:F225,COLUMN($A$1:$D$1)-1)+SUMPRODUCT(H225:K225,COLUMN($E$1:$H$1)-1))*'Line Follower'!$C$3/SUM(C225:F225,H225:K225)-'Line Follower'!$C$5)))</f>
        <v>#N/A</v>
      </c>
      <c r="O225" s="22" t="e">
        <v>#N/A</v>
      </c>
      <c r="P225" s="4" t="e">
        <f t="shared" si="15"/>
        <v>#N/A</v>
      </c>
      <c r="Q225" s="4" t="e">
        <f t="shared" si="16"/>
        <v>#N/A</v>
      </c>
      <c r="R225" s="4" t="e">
        <f>IF(AND(B225=1,N225&gt;'Line Follower'!$C$7,SUM(C225:K225)&lt;4),1,0)</f>
        <v>#N/A</v>
      </c>
      <c r="S225" s="4" t="e">
        <f>IF(AND(L225=1,N225&lt;'Line Follower'!$C$6,SUM(C225:K225)&lt;4),1,0)</f>
        <v>#N/A</v>
      </c>
      <c r="T225" s="4" t="e">
        <f t="shared" si="17"/>
        <v>#N/A</v>
      </c>
      <c r="U225" s="5" t="e">
        <f t="shared" si="18"/>
        <v>#N/A</v>
      </c>
      <c r="V225" s="23" t="e">
        <f t="shared" si="19"/>
        <v>#N/A</v>
      </c>
    </row>
    <row r="226" spans="2:22" x14ac:dyDescent="0.25">
      <c r="B226" s="16">
        <v>1</v>
      </c>
      <c r="C226" s="7">
        <v>1</v>
      </c>
      <c r="D226" s="8">
        <v>1</v>
      </c>
      <c r="E226" s="8">
        <v>1</v>
      </c>
      <c r="F226" s="8">
        <v>1</v>
      </c>
      <c r="G226" s="8">
        <v>0</v>
      </c>
      <c r="H226" s="8">
        <v>1</v>
      </c>
      <c r="I226" s="8">
        <v>1</v>
      </c>
      <c r="J226" s="8">
        <v>0</v>
      </c>
      <c r="K226" s="9">
        <v>0</v>
      </c>
      <c r="L226" s="10">
        <v>0</v>
      </c>
      <c r="M226" s="6">
        <v>0</v>
      </c>
      <c r="N226" s="37" t="e" cm="1">
        <f t="array" ref="N226">IF(OR(ISNUMBER(FIND(Aux!$D$3:$D$9,_xlfn.TEXTJOIN(,,C226:K226)))),NA(),IF(AND(SUM(C226:F226,H226:K226)=0,G226=1),0,INT((SUMPRODUCT(C226:F226,COLUMN($A$1:$D$1)-1)+SUMPRODUCT(H226:K226,COLUMN($E$1:$H$1)-1))*'Line Follower'!$C$3/SUM(C226:F226,H226:K226)-'Line Follower'!$C$5)))</f>
        <v>#N/A</v>
      </c>
      <c r="O226" s="22" t="e">
        <v>#N/A</v>
      </c>
      <c r="P226" s="4" t="e">
        <f t="shared" si="15"/>
        <v>#N/A</v>
      </c>
      <c r="Q226" s="4" t="e">
        <f t="shared" si="16"/>
        <v>#N/A</v>
      </c>
      <c r="R226" s="4" t="e">
        <f>IF(AND(B226=1,N226&gt;'Line Follower'!$C$7,SUM(C226:K226)&lt;4),1,0)</f>
        <v>#N/A</v>
      </c>
      <c r="S226" s="4" t="e">
        <f>IF(AND(L226=1,N226&lt;'Line Follower'!$C$6,SUM(C226:K226)&lt;4),1,0)</f>
        <v>#N/A</v>
      </c>
      <c r="T226" s="4" t="e">
        <f t="shared" si="17"/>
        <v>#N/A</v>
      </c>
      <c r="U226" s="5" t="e">
        <f t="shared" si="18"/>
        <v>#N/A</v>
      </c>
      <c r="V226" s="23" t="e">
        <f t="shared" si="19"/>
        <v>#N/A</v>
      </c>
    </row>
    <row r="227" spans="2:22" x14ac:dyDescent="0.25">
      <c r="B227" s="16">
        <v>0</v>
      </c>
      <c r="C227" s="7">
        <v>0</v>
      </c>
      <c r="D227" s="8">
        <v>0</v>
      </c>
      <c r="E227" s="8">
        <v>0</v>
      </c>
      <c r="F227" s="8">
        <v>0</v>
      </c>
      <c r="G227" s="8">
        <v>1</v>
      </c>
      <c r="H227" s="8">
        <v>1</v>
      </c>
      <c r="I227" s="8">
        <v>1</v>
      </c>
      <c r="J227" s="8">
        <v>0</v>
      </c>
      <c r="K227" s="9">
        <v>0</v>
      </c>
      <c r="L227" s="10">
        <v>0</v>
      </c>
      <c r="M227" s="6">
        <v>0</v>
      </c>
      <c r="N227" s="37" cm="1">
        <f t="array" ref="N227">IF(OR(ISNUMBER(FIND(Aux!$D$3:$D$9,_xlfn.TEXTJOIN(,,C227:K227)))),NA(),IF(AND(SUM(C227:F227,H227:K227)=0,G227=1),0,INT((SUMPRODUCT(C227:F227,COLUMN($A$1:$D$1)-1)+SUMPRODUCT(H227:K227,COLUMN($E$1:$H$1)-1))*'Line Follower'!$C$3/SUM(C227:F227,H227:K227)-'Line Follower'!$C$5)))</f>
        <v>2</v>
      </c>
      <c r="O227" s="22">
        <v>1</v>
      </c>
      <c r="P227" s="4">
        <f t="shared" si="15"/>
        <v>0</v>
      </c>
      <c r="Q227" s="4">
        <f t="shared" si="16"/>
        <v>0</v>
      </c>
      <c r="R227" s="4">
        <f>IF(AND(B227=1,N227&gt;'Line Follower'!$C$7,SUM(C227:K227)&lt;4),1,0)</f>
        <v>0</v>
      </c>
      <c r="S227" s="4">
        <f>IF(AND(L227=1,N227&lt;'Line Follower'!$C$6,SUM(C227:K227)&lt;4),1,0)</f>
        <v>0</v>
      </c>
      <c r="T227" s="4">
        <f t="shared" si="17"/>
        <v>0</v>
      </c>
      <c r="U227" s="5">
        <f t="shared" si="18"/>
        <v>0</v>
      </c>
      <c r="V227" s="23">
        <f t="shared" si="19"/>
        <v>0</v>
      </c>
    </row>
    <row r="228" spans="2:22" x14ac:dyDescent="0.25">
      <c r="B228" s="16">
        <v>1</v>
      </c>
      <c r="C228" s="7">
        <v>0</v>
      </c>
      <c r="D228" s="8">
        <v>0</v>
      </c>
      <c r="E228" s="8">
        <v>0</v>
      </c>
      <c r="F228" s="8">
        <v>0</v>
      </c>
      <c r="G228" s="8">
        <v>1</v>
      </c>
      <c r="H228" s="8">
        <v>1</v>
      </c>
      <c r="I228" s="8">
        <v>1</v>
      </c>
      <c r="J228" s="8">
        <v>0</v>
      </c>
      <c r="K228" s="9">
        <v>0</v>
      </c>
      <c r="L228" s="10">
        <v>0</v>
      </c>
      <c r="M228" s="6">
        <v>0</v>
      </c>
      <c r="N228" s="37" cm="1">
        <f t="array" ref="N228">IF(OR(ISNUMBER(FIND(Aux!$D$3:$D$9,_xlfn.TEXTJOIN(,,C228:K228)))),NA(),IF(AND(SUM(C228:F228,H228:K228)=0,G228=1),0,INT((SUMPRODUCT(C228:F228,COLUMN($A$1:$D$1)-1)+SUMPRODUCT(H228:K228,COLUMN($E$1:$H$1)-1))*'Line Follower'!$C$3/SUM(C228:F228,H228:K228)-'Line Follower'!$C$5)))</f>
        <v>2</v>
      </c>
      <c r="O228" s="22">
        <v>1</v>
      </c>
      <c r="P228" s="4">
        <f t="shared" si="15"/>
        <v>0</v>
      </c>
      <c r="Q228" s="4">
        <f t="shared" si="16"/>
        <v>0</v>
      </c>
      <c r="R228" s="4">
        <f>IF(AND(B228=1,N228&gt;'Line Follower'!$C$7,SUM(C228:K228)&lt;4),1,0)</f>
        <v>1</v>
      </c>
      <c r="S228" s="4">
        <f>IF(AND(L228=1,N228&lt;'Line Follower'!$C$6,SUM(C228:K228)&lt;4),1,0)</f>
        <v>0</v>
      </c>
      <c r="T228" s="4">
        <f t="shared" si="17"/>
        <v>0</v>
      </c>
      <c r="U228" s="5">
        <f t="shared" si="18"/>
        <v>0</v>
      </c>
      <c r="V228" s="23">
        <f t="shared" si="19"/>
        <v>0</v>
      </c>
    </row>
    <row r="229" spans="2:22" x14ac:dyDescent="0.25">
      <c r="B229" s="16">
        <v>0</v>
      </c>
      <c r="C229" s="7">
        <v>1</v>
      </c>
      <c r="D229" s="8">
        <v>0</v>
      </c>
      <c r="E229" s="8">
        <v>0</v>
      </c>
      <c r="F229" s="8">
        <v>0</v>
      </c>
      <c r="G229" s="8">
        <v>1</v>
      </c>
      <c r="H229" s="8">
        <v>1</v>
      </c>
      <c r="I229" s="8">
        <v>1</v>
      </c>
      <c r="J229" s="8">
        <v>0</v>
      </c>
      <c r="K229" s="9">
        <v>0</v>
      </c>
      <c r="L229" s="10">
        <v>0</v>
      </c>
      <c r="M229" s="6">
        <v>0</v>
      </c>
      <c r="N229" s="37" t="e" cm="1">
        <f t="array" ref="N229">IF(OR(ISNUMBER(FIND(Aux!$D$3:$D$9,_xlfn.TEXTJOIN(,,C229:K229)))),NA(),IF(AND(SUM(C229:F229,H229:K229)=0,G229=1),0,INT((SUMPRODUCT(C229:F229,COLUMN($A$1:$D$1)-1)+SUMPRODUCT(H229:K229,COLUMN($E$1:$H$1)-1))*'Line Follower'!$C$3/SUM(C229:F229,H229:K229)-'Line Follower'!$C$5)))</f>
        <v>#N/A</v>
      </c>
      <c r="O229" s="22" t="e">
        <v>#N/A</v>
      </c>
      <c r="P229" s="4" t="e">
        <f t="shared" si="15"/>
        <v>#N/A</v>
      </c>
      <c r="Q229" s="4" t="e">
        <f t="shared" si="16"/>
        <v>#N/A</v>
      </c>
      <c r="R229" s="4" t="e">
        <f>IF(AND(B229=1,N229&gt;'Line Follower'!$C$7,SUM(C229:K229)&lt;4),1,0)</f>
        <v>#N/A</v>
      </c>
      <c r="S229" s="4" t="e">
        <f>IF(AND(L229=1,N229&lt;'Line Follower'!$C$6,SUM(C229:K229)&lt;4),1,0)</f>
        <v>#N/A</v>
      </c>
      <c r="T229" s="4" t="e">
        <f t="shared" si="17"/>
        <v>#N/A</v>
      </c>
      <c r="U229" s="5" t="e">
        <f t="shared" si="18"/>
        <v>#N/A</v>
      </c>
      <c r="V229" s="23" t="e">
        <f t="shared" si="19"/>
        <v>#N/A</v>
      </c>
    </row>
    <row r="230" spans="2:22" x14ac:dyDescent="0.25">
      <c r="B230" s="16">
        <v>1</v>
      </c>
      <c r="C230" s="7">
        <v>1</v>
      </c>
      <c r="D230" s="8">
        <v>0</v>
      </c>
      <c r="E230" s="8">
        <v>0</v>
      </c>
      <c r="F230" s="8">
        <v>0</v>
      </c>
      <c r="G230" s="8">
        <v>1</v>
      </c>
      <c r="H230" s="8">
        <v>1</v>
      </c>
      <c r="I230" s="8">
        <v>1</v>
      </c>
      <c r="J230" s="8">
        <v>0</v>
      </c>
      <c r="K230" s="9">
        <v>0</v>
      </c>
      <c r="L230" s="10">
        <v>0</v>
      </c>
      <c r="M230" s="6">
        <v>0</v>
      </c>
      <c r="N230" s="37" t="e" cm="1">
        <f t="array" ref="N230">IF(OR(ISNUMBER(FIND(Aux!$D$3:$D$9,_xlfn.TEXTJOIN(,,C230:K230)))),NA(),IF(AND(SUM(C230:F230,H230:K230)=0,G230=1),0,INT((SUMPRODUCT(C230:F230,COLUMN($A$1:$D$1)-1)+SUMPRODUCT(H230:K230,COLUMN($E$1:$H$1)-1))*'Line Follower'!$C$3/SUM(C230:F230,H230:K230)-'Line Follower'!$C$5)))</f>
        <v>#N/A</v>
      </c>
      <c r="O230" s="22" t="e">
        <v>#N/A</v>
      </c>
      <c r="P230" s="4" t="e">
        <f t="shared" si="15"/>
        <v>#N/A</v>
      </c>
      <c r="Q230" s="4" t="e">
        <f t="shared" si="16"/>
        <v>#N/A</v>
      </c>
      <c r="R230" s="4" t="e">
        <f>IF(AND(B230=1,N230&gt;'Line Follower'!$C$7,SUM(C230:K230)&lt;4),1,0)</f>
        <v>#N/A</v>
      </c>
      <c r="S230" s="4" t="e">
        <f>IF(AND(L230=1,N230&lt;'Line Follower'!$C$6,SUM(C230:K230)&lt;4),1,0)</f>
        <v>#N/A</v>
      </c>
      <c r="T230" s="4" t="e">
        <f t="shared" si="17"/>
        <v>#N/A</v>
      </c>
      <c r="U230" s="5" t="e">
        <f t="shared" si="18"/>
        <v>#N/A</v>
      </c>
      <c r="V230" s="23" t="e">
        <f t="shared" si="19"/>
        <v>#N/A</v>
      </c>
    </row>
    <row r="231" spans="2:22" x14ac:dyDescent="0.25">
      <c r="B231" s="16">
        <v>0</v>
      </c>
      <c r="C231" s="7">
        <v>0</v>
      </c>
      <c r="D231" s="8">
        <v>1</v>
      </c>
      <c r="E231" s="8">
        <v>0</v>
      </c>
      <c r="F231" s="8">
        <v>0</v>
      </c>
      <c r="G231" s="8">
        <v>1</v>
      </c>
      <c r="H231" s="8">
        <v>1</v>
      </c>
      <c r="I231" s="8">
        <v>1</v>
      </c>
      <c r="J231" s="8">
        <v>0</v>
      </c>
      <c r="K231" s="9">
        <v>0</v>
      </c>
      <c r="L231" s="10">
        <v>0</v>
      </c>
      <c r="M231" s="6">
        <v>0</v>
      </c>
      <c r="N231" s="37" t="e" cm="1">
        <f t="array" ref="N231">IF(OR(ISNUMBER(FIND(Aux!$D$3:$D$9,_xlfn.TEXTJOIN(,,C231:K231)))),NA(),IF(AND(SUM(C231:F231,H231:K231)=0,G231=1),0,INT((SUMPRODUCT(C231:F231,COLUMN($A$1:$D$1)-1)+SUMPRODUCT(H231:K231,COLUMN($E$1:$H$1)-1))*'Line Follower'!$C$3/SUM(C231:F231,H231:K231)-'Line Follower'!$C$5)))</f>
        <v>#N/A</v>
      </c>
      <c r="O231" s="22" t="e">
        <v>#N/A</v>
      </c>
      <c r="P231" s="4" t="e">
        <f t="shared" si="15"/>
        <v>#N/A</v>
      </c>
      <c r="Q231" s="4" t="e">
        <f t="shared" si="16"/>
        <v>#N/A</v>
      </c>
      <c r="R231" s="4" t="e">
        <f>IF(AND(B231=1,N231&gt;'Line Follower'!$C$7,SUM(C231:K231)&lt;4),1,0)</f>
        <v>#N/A</v>
      </c>
      <c r="S231" s="4" t="e">
        <f>IF(AND(L231=1,N231&lt;'Line Follower'!$C$6,SUM(C231:K231)&lt;4),1,0)</f>
        <v>#N/A</v>
      </c>
      <c r="T231" s="4" t="e">
        <f t="shared" si="17"/>
        <v>#N/A</v>
      </c>
      <c r="U231" s="5" t="e">
        <f t="shared" si="18"/>
        <v>#N/A</v>
      </c>
      <c r="V231" s="23" t="e">
        <f t="shared" si="19"/>
        <v>#N/A</v>
      </c>
    </row>
    <row r="232" spans="2:22" x14ac:dyDescent="0.25">
      <c r="B232" s="16">
        <v>1</v>
      </c>
      <c r="C232" s="7">
        <v>0</v>
      </c>
      <c r="D232" s="8">
        <v>1</v>
      </c>
      <c r="E232" s="8">
        <v>0</v>
      </c>
      <c r="F232" s="8">
        <v>0</v>
      </c>
      <c r="G232" s="8">
        <v>1</v>
      </c>
      <c r="H232" s="8">
        <v>1</v>
      </c>
      <c r="I232" s="8">
        <v>1</v>
      </c>
      <c r="J232" s="8">
        <v>0</v>
      </c>
      <c r="K232" s="9">
        <v>0</v>
      </c>
      <c r="L232" s="10">
        <v>0</v>
      </c>
      <c r="M232" s="6">
        <v>0</v>
      </c>
      <c r="N232" s="37" t="e" cm="1">
        <f t="array" ref="N232">IF(OR(ISNUMBER(FIND(Aux!$D$3:$D$9,_xlfn.TEXTJOIN(,,C232:K232)))),NA(),IF(AND(SUM(C232:F232,H232:K232)=0,G232=1),0,INT((SUMPRODUCT(C232:F232,COLUMN($A$1:$D$1)-1)+SUMPRODUCT(H232:K232,COLUMN($E$1:$H$1)-1))*'Line Follower'!$C$3/SUM(C232:F232,H232:K232)-'Line Follower'!$C$5)))</f>
        <v>#N/A</v>
      </c>
      <c r="O232" s="22" t="e">
        <v>#N/A</v>
      </c>
      <c r="P232" s="4" t="e">
        <f t="shared" si="15"/>
        <v>#N/A</v>
      </c>
      <c r="Q232" s="4" t="e">
        <f t="shared" si="16"/>
        <v>#N/A</v>
      </c>
      <c r="R232" s="4" t="e">
        <f>IF(AND(B232=1,N232&gt;'Line Follower'!$C$7,SUM(C232:K232)&lt;4),1,0)</f>
        <v>#N/A</v>
      </c>
      <c r="S232" s="4" t="e">
        <f>IF(AND(L232=1,N232&lt;'Line Follower'!$C$6,SUM(C232:K232)&lt;4),1,0)</f>
        <v>#N/A</v>
      </c>
      <c r="T232" s="4" t="e">
        <f t="shared" si="17"/>
        <v>#N/A</v>
      </c>
      <c r="U232" s="5" t="e">
        <f t="shared" si="18"/>
        <v>#N/A</v>
      </c>
      <c r="V232" s="23" t="e">
        <f t="shared" si="19"/>
        <v>#N/A</v>
      </c>
    </row>
    <row r="233" spans="2:22" x14ac:dyDescent="0.25">
      <c r="B233" s="16">
        <v>0</v>
      </c>
      <c r="C233" s="7">
        <v>1</v>
      </c>
      <c r="D233" s="8">
        <v>1</v>
      </c>
      <c r="E233" s="8">
        <v>0</v>
      </c>
      <c r="F233" s="8">
        <v>0</v>
      </c>
      <c r="G233" s="8">
        <v>1</v>
      </c>
      <c r="H233" s="8">
        <v>1</v>
      </c>
      <c r="I233" s="8">
        <v>1</v>
      </c>
      <c r="J233" s="8">
        <v>0</v>
      </c>
      <c r="K233" s="9">
        <v>0</v>
      </c>
      <c r="L233" s="10">
        <v>0</v>
      </c>
      <c r="M233" s="6">
        <v>0</v>
      </c>
      <c r="N233" s="37" t="e" cm="1">
        <f t="array" ref="N233">IF(OR(ISNUMBER(FIND(Aux!$D$3:$D$9,_xlfn.TEXTJOIN(,,C233:K233)))),NA(),IF(AND(SUM(C233:F233,H233:K233)=0,G233=1),0,INT((SUMPRODUCT(C233:F233,COLUMN($A$1:$D$1)-1)+SUMPRODUCT(H233:K233,COLUMN($E$1:$H$1)-1))*'Line Follower'!$C$3/SUM(C233:F233,H233:K233)-'Line Follower'!$C$5)))</f>
        <v>#N/A</v>
      </c>
      <c r="O233" s="22" t="e">
        <v>#N/A</v>
      </c>
      <c r="P233" s="4" t="e">
        <f t="shared" si="15"/>
        <v>#N/A</v>
      </c>
      <c r="Q233" s="4" t="e">
        <f t="shared" si="16"/>
        <v>#N/A</v>
      </c>
      <c r="R233" s="4" t="e">
        <f>IF(AND(B233=1,N233&gt;'Line Follower'!$C$7,SUM(C233:K233)&lt;4),1,0)</f>
        <v>#N/A</v>
      </c>
      <c r="S233" s="4" t="e">
        <f>IF(AND(L233=1,N233&lt;'Line Follower'!$C$6,SUM(C233:K233)&lt;4),1,0)</f>
        <v>#N/A</v>
      </c>
      <c r="T233" s="4" t="e">
        <f t="shared" si="17"/>
        <v>#N/A</v>
      </c>
      <c r="U233" s="5" t="e">
        <f t="shared" si="18"/>
        <v>#N/A</v>
      </c>
      <c r="V233" s="23" t="e">
        <f t="shared" si="19"/>
        <v>#N/A</v>
      </c>
    </row>
    <row r="234" spans="2:22" x14ac:dyDescent="0.25">
      <c r="B234" s="16">
        <v>1</v>
      </c>
      <c r="C234" s="7">
        <v>1</v>
      </c>
      <c r="D234" s="8">
        <v>1</v>
      </c>
      <c r="E234" s="8">
        <v>0</v>
      </c>
      <c r="F234" s="8">
        <v>0</v>
      </c>
      <c r="G234" s="8">
        <v>1</v>
      </c>
      <c r="H234" s="8">
        <v>1</v>
      </c>
      <c r="I234" s="8">
        <v>1</v>
      </c>
      <c r="J234" s="8">
        <v>0</v>
      </c>
      <c r="K234" s="9">
        <v>0</v>
      </c>
      <c r="L234" s="10">
        <v>0</v>
      </c>
      <c r="M234" s="6">
        <v>0</v>
      </c>
      <c r="N234" s="37" t="e" cm="1">
        <f t="array" ref="N234">IF(OR(ISNUMBER(FIND(Aux!$D$3:$D$9,_xlfn.TEXTJOIN(,,C234:K234)))),NA(),IF(AND(SUM(C234:F234,H234:K234)=0,G234=1),0,INT((SUMPRODUCT(C234:F234,COLUMN($A$1:$D$1)-1)+SUMPRODUCT(H234:K234,COLUMN($E$1:$H$1)-1))*'Line Follower'!$C$3/SUM(C234:F234,H234:K234)-'Line Follower'!$C$5)))</f>
        <v>#N/A</v>
      </c>
      <c r="O234" s="22" t="e">
        <v>#N/A</v>
      </c>
      <c r="P234" s="4" t="e">
        <f t="shared" si="15"/>
        <v>#N/A</v>
      </c>
      <c r="Q234" s="4" t="e">
        <f t="shared" si="16"/>
        <v>#N/A</v>
      </c>
      <c r="R234" s="4" t="e">
        <f>IF(AND(B234=1,N234&gt;'Line Follower'!$C$7,SUM(C234:K234)&lt;4),1,0)</f>
        <v>#N/A</v>
      </c>
      <c r="S234" s="4" t="e">
        <f>IF(AND(L234=1,N234&lt;'Line Follower'!$C$6,SUM(C234:K234)&lt;4),1,0)</f>
        <v>#N/A</v>
      </c>
      <c r="T234" s="4" t="e">
        <f t="shared" si="17"/>
        <v>#N/A</v>
      </c>
      <c r="U234" s="5" t="e">
        <f t="shared" si="18"/>
        <v>#N/A</v>
      </c>
      <c r="V234" s="23" t="e">
        <f t="shared" si="19"/>
        <v>#N/A</v>
      </c>
    </row>
    <row r="235" spans="2:22" x14ac:dyDescent="0.25">
      <c r="B235" s="16">
        <v>0</v>
      </c>
      <c r="C235" s="7">
        <v>0</v>
      </c>
      <c r="D235" s="8">
        <v>0</v>
      </c>
      <c r="E235" s="8">
        <v>1</v>
      </c>
      <c r="F235" s="8">
        <v>0</v>
      </c>
      <c r="G235" s="8">
        <v>1</v>
      </c>
      <c r="H235" s="8">
        <v>1</v>
      </c>
      <c r="I235" s="8">
        <v>1</v>
      </c>
      <c r="J235" s="8">
        <v>0</v>
      </c>
      <c r="K235" s="9">
        <v>0</v>
      </c>
      <c r="L235" s="10">
        <v>0</v>
      </c>
      <c r="M235" s="6">
        <v>0</v>
      </c>
      <c r="N235" s="37" t="e" cm="1">
        <f t="array" ref="N235">IF(OR(ISNUMBER(FIND(Aux!$D$3:$D$9,_xlfn.TEXTJOIN(,,C235:K235)))),NA(),IF(AND(SUM(C235:F235,H235:K235)=0,G235=1),0,INT((SUMPRODUCT(C235:F235,COLUMN($A$1:$D$1)-1)+SUMPRODUCT(H235:K235,COLUMN($E$1:$H$1)-1))*'Line Follower'!$C$3/SUM(C235:F235,H235:K235)-'Line Follower'!$C$5)))</f>
        <v>#N/A</v>
      </c>
      <c r="O235" s="22" t="e">
        <v>#N/A</v>
      </c>
      <c r="P235" s="4" t="e">
        <f t="shared" si="15"/>
        <v>#N/A</v>
      </c>
      <c r="Q235" s="4" t="e">
        <f t="shared" si="16"/>
        <v>#N/A</v>
      </c>
      <c r="R235" s="4" t="e">
        <f>IF(AND(B235=1,N235&gt;'Line Follower'!$C$7,SUM(C235:K235)&lt;4),1,0)</f>
        <v>#N/A</v>
      </c>
      <c r="S235" s="4" t="e">
        <f>IF(AND(L235=1,N235&lt;'Line Follower'!$C$6,SUM(C235:K235)&lt;4),1,0)</f>
        <v>#N/A</v>
      </c>
      <c r="T235" s="4" t="e">
        <f t="shared" si="17"/>
        <v>#N/A</v>
      </c>
      <c r="U235" s="5" t="e">
        <f t="shared" si="18"/>
        <v>#N/A</v>
      </c>
      <c r="V235" s="23" t="e">
        <f t="shared" si="19"/>
        <v>#N/A</v>
      </c>
    </row>
    <row r="236" spans="2:22" x14ac:dyDescent="0.25">
      <c r="B236" s="16">
        <v>1</v>
      </c>
      <c r="C236" s="7">
        <v>0</v>
      </c>
      <c r="D236" s="8">
        <v>0</v>
      </c>
      <c r="E236" s="8">
        <v>1</v>
      </c>
      <c r="F236" s="8">
        <v>0</v>
      </c>
      <c r="G236" s="8">
        <v>1</v>
      </c>
      <c r="H236" s="8">
        <v>1</v>
      </c>
      <c r="I236" s="8">
        <v>1</v>
      </c>
      <c r="J236" s="8">
        <v>0</v>
      </c>
      <c r="K236" s="9">
        <v>0</v>
      </c>
      <c r="L236" s="10">
        <v>0</v>
      </c>
      <c r="M236" s="6">
        <v>0</v>
      </c>
      <c r="N236" s="37" t="e" cm="1">
        <f t="array" ref="N236">IF(OR(ISNUMBER(FIND(Aux!$D$3:$D$9,_xlfn.TEXTJOIN(,,C236:K236)))),NA(),IF(AND(SUM(C236:F236,H236:K236)=0,G236=1),0,INT((SUMPRODUCT(C236:F236,COLUMN($A$1:$D$1)-1)+SUMPRODUCT(H236:K236,COLUMN($E$1:$H$1)-1))*'Line Follower'!$C$3/SUM(C236:F236,H236:K236)-'Line Follower'!$C$5)))</f>
        <v>#N/A</v>
      </c>
      <c r="O236" s="22" t="e">
        <v>#N/A</v>
      </c>
      <c r="P236" s="4" t="e">
        <f t="shared" si="15"/>
        <v>#N/A</v>
      </c>
      <c r="Q236" s="4" t="e">
        <f t="shared" si="16"/>
        <v>#N/A</v>
      </c>
      <c r="R236" s="4" t="e">
        <f>IF(AND(B236=1,N236&gt;'Line Follower'!$C$7,SUM(C236:K236)&lt;4),1,0)</f>
        <v>#N/A</v>
      </c>
      <c r="S236" s="4" t="e">
        <f>IF(AND(L236=1,N236&lt;'Line Follower'!$C$6,SUM(C236:K236)&lt;4),1,0)</f>
        <v>#N/A</v>
      </c>
      <c r="T236" s="4" t="e">
        <f t="shared" si="17"/>
        <v>#N/A</v>
      </c>
      <c r="U236" s="5" t="e">
        <f t="shared" si="18"/>
        <v>#N/A</v>
      </c>
      <c r="V236" s="23" t="e">
        <f t="shared" si="19"/>
        <v>#N/A</v>
      </c>
    </row>
    <row r="237" spans="2:22" x14ac:dyDescent="0.25">
      <c r="B237" s="16">
        <v>0</v>
      </c>
      <c r="C237" s="7">
        <v>1</v>
      </c>
      <c r="D237" s="8">
        <v>0</v>
      </c>
      <c r="E237" s="8">
        <v>1</v>
      </c>
      <c r="F237" s="8">
        <v>0</v>
      </c>
      <c r="G237" s="8">
        <v>1</v>
      </c>
      <c r="H237" s="8">
        <v>1</v>
      </c>
      <c r="I237" s="8">
        <v>1</v>
      </c>
      <c r="J237" s="8">
        <v>0</v>
      </c>
      <c r="K237" s="9">
        <v>0</v>
      </c>
      <c r="L237" s="10">
        <v>0</v>
      </c>
      <c r="M237" s="6">
        <v>0</v>
      </c>
      <c r="N237" s="37" t="e" cm="1">
        <f t="array" ref="N237">IF(OR(ISNUMBER(FIND(Aux!$D$3:$D$9,_xlfn.TEXTJOIN(,,C237:K237)))),NA(),IF(AND(SUM(C237:F237,H237:K237)=0,G237=1),0,INT((SUMPRODUCT(C237:F237,COLUMN($A$1:$D$1)-1)+SUMPRODUCT(H237:K237,COLUMN($E$1:$H$1)-1))*'Line Follower'!$C$3/SUM(C237:F237,H237:K237)-'Line Follower'!$C$5)))</f>
        <v>#N/A</v>
      </c>
      <c r="O237" s="22" t="e">
        <v>#N/A</v>
      </c>
      <c r="P237" s="4" t="e">
        <f t="shared" si="15"/>
        <v>#N/A</v>
      </c>
      <c r="Q237" s="4" t="e">
        <f t="shared" si="16"/>
        <v>#N/A</v>
      </c>
      <c r="R237" s="4" t="e">
        <f>IF(AND(B237=1,N237&gt;'Line Follower'!$C$7,SUM(C237:K237)&lt;4),1,0)</f>
        <v>#N/A</v>
      </c>
      <c r="S237" s="4" t="e">
        <f>IF(AND(L237=1,N237&lt;'Line Follower'!$C$6,SUM(C237:K237)&lt;4),1,0)</f>
        <v>#N/A</v>
      </c>
      <c r="T237" s="4" t="e">
        <f t="shared" si="17"/>
        <v>#N/A</v>
      </c>
      <c r="U237" s="5" t="e">
        <f t="shared" si="18"/>
        <v>#N/A</v>
      </c>
      <c r="V237" s="23" t="e">
        <f t="shared" si="19"/>
        <v>#N/A</v>
      </c>
    </row>
    <row r="238" spans="2:22" x14ac:dyDescent="0.25">
      <c r="B238" s="16">
        <v>1</v>
      </c>
      <c r="C238" s="7">
        <v>1</v>
      </c>
      <c r="D238" s="8">
        <v>0</v>
      </c>
      <c r="E238" s="8">
        <v>1</v>
      </c>
      <c r="F238" s="8">
        <v>0</v>
      </c>
      <c r="G238" s="8">
        <v>1</v>
      </c>
      <c r="H238" s="8">
        <v>1</v>
      </c>
      <c r="I238" s="8">
        <v>1</v>
      </c>
      <c r="J238" s="8">
        <v>0</v>
      </c>
      <c r="K238" s="9">
        <v>0</v>
      </c>
      <c r="L238" s="10">
        <v>0</v>
      </c>
      <c r="M238" s="6">
        <v>0</v>
      </c>
      <c r="N238" s="37" t="e" cm="1">
        <f t="array" ref="N238">IF(OR(ISNUMBER(FIND(Aux!$D$3:$D$9,_xlfn.TEXTJOIN(,,C238:K238)))),NA(),IF(AND(SUM(C238:F238,H238:K238)=0,G238=1),0,INT((SUMPRODUCT(C238:F238,COLUMN($A$1:$D$1)-1)+SUMPRODUCT(H238:K238,COLUMN($E$1:$H$1)-1))*'Line Follower'!$C$3/SUM(C238:F238,H238:K238)-'Line Follower'!$C$5)))</f>
        <v>#N/A</v>
      </c>
      <c r="O238" s="22" t="e">
        <v>#N/A</v>
      </c>
      <c r="P238" s="4" t="e">
        <f t="shared" si="15"/>
        <v>#N/A</v>
      </c>
      <c r="Q238" s="4" t="e">
        <f t="shared" si="16"/>
        <v>#N/A</v>
      </c>
      <c r="R238" s="4" t="e">
        <f>IF(AND(B238=1,N238&gt;'Line Follower'!$C$7,SUM(C238:K238)&lt;4),1,0)</f>
        <v>#N/A</v>
      </c>
      <c r="S238" s="4" t="e">
        <f>IF(AND(L238=1,N238&lt;'Line Follower'!$C$6,SUM(C238:K238)&lt;4),1,0)</f>
        <v>#N/A</v>
      </c>
      <c r="T238" s="4" t="e">
        <f t="shared" si="17"/>
        <v>#N/A</v>
      </c>
      <c r="U238" s="5" t="e">
        <f t="shared" si="18"/>
        <v>#N/A</v>
      </c>
      <c r="V238" s="23" t="e">
        <f t="shared" si="19"/>
        <v>#N/A</v>
      </c>
    </row>
    <row r="239" spans="2:22" x14ac:dyDescent="0.25">
      <c r="B239" s="16">
        <v>0</v>
      </c>
      <c r="C239" s="7">
        <v>0</v>
      </c>
      <c r="D239" s="8">
        <v>1</v>
      </c>
      <c r="E239" s="8">
        <v>1</v>
      </c>
      <c r="F239" s="8">
        <v>0</v>
      </c>
      <c r="G239" s="8">
        <v>1</v>
      </c>
      <c r="H239" s="8">
        <v>1</v>
      </c>
      <c r="I239" s="8">
        <v>1</v>
      </c>
      <c r="J239" s="8">
        <v>0</v>
      </c>
      <c r="K239" s="9">
        <v>0</v>
      </c>
      <c r="L239" s="10">
        <v>0</v>
      </c>
      <c r="M239" s="6">
        <v>0</v>
      </c>
      <c r="N239" s="37" t="e" cm="1">
        <f t="array" ref="N239">IF(OR(ISNUMBER(FIND(Aux!$D$3:$D$9,_xlfn.TEXTJOIN(,,C239:K239)))),NA(),IF(AND(SUM(C239:F239,H239:K239)=0,G239=1),0,INT((SUMPRODUCT(C239:F239,COLUMN($A$1:$D$1)-1)+SUMPRODUCT(H239:K239,COLUMN($E$1:$H$1)-1))*'Line Follower'!$C$3/SUM(C239:F239,H239:K239)-'Line Follower'!$C$5)))</f>
        <v>#N/A</v>
      </c>
      <c r="O239" s="22" t="e">
        <v>#N/A</v>
      </c>
      <c r="P239" s="4" t="e">
        <f t="shared" si="15"/>
        <v>#N/A</v>
      </c>
      <c r="Q239" s="4" t="e">
        <f t="shared" si="16"/>
        <v>#N/A</v>
      </c>
      <c r="R239" s="4" t="e">
        <f>IF(AND(B239=1,N239&gt;'Line Follower'!$C$7,SUM(C239:K239)&lt;4),1,0)</f>
        <v>#N/A</v>
      </c>
      <c r="S239" s="4" t="e">
        <f>IF(AND(L239=1,N239&lt;'Line Follower'!$C$6,SUM(C239:K239)&lt;4),1,0)</f>
        <v>#N/A</v>
      </c>
      <c r="T239" s="4" t="e">
        <f t="shared" si="17"/>
        <v>#N/A</v>
      </c>
      <c r="U239" s="5" t="e">
        <f t="shared" si="18"/>
        <v>#N/A</v>
      </c>
      <c r="V239" s="23" t="e">
        <f t="shared" si="19"/>
        <v>#N/A</v>
      </c>
    </row>
    <row r="240" spans="2:22" x14ac:dyDescent="0.25">
      <c r="B240" s="16">
        <v>1</v>
      </c>
      <c r="C240" s="7">
        <v>0</v>
      </c>
      <c r="D240" s="8">
        <v>1</v>
      </c>
      <c r="E240" s="8">
        <v>1</v>
      </c>
      <c r="F240" s="8">
        <v>0</v>
      </c>
      <c r="G240" s="8">
        <v>1</v>
      </c>
      <c r="H240" s="8">
        <v>1</v>
      </c>
      <c r="I240" s="8">
        <v>1</v>
      </c>
      <c r="J240" s="8">
        <v>0</v>
      </c>
      <c r="K240" s="9">
        <v>0</v>
      </c>
      <c r="L240" s="10">
        <v>0</v>
      </c>
      <c r="M240" s="6">
        <v>0</v>
      </c>
      <c r="N240" s="37" t="e" cm="1">
        <f t="array" ref="N240">IF(OR(ISNUMBER(FIND(Aux!$D$3:$D$9,_xlfn.TEXTJOIN(,,C240:K240)))),NA(),IF(AND(SUM(C240:F240,H240:K240)=0,G240=1),0,INT((SUMPRODUCT(C240:F240,COLUMN($A$1:$D$1)-1)+SUMPRODUCT(H240:K240,COLUMN($E$1:$H$1)-1))*'Line Follower'!$C$3/SUM(C240:F240,H240:K240)-'Line Follower'!$C$5)))</f>
        <v>#N/A</v>
      </c>
      <c r="O240" s="22" t="e">
        <v>#N/A</v>
      </c>
      <c r="P240" s="4" t="e">
        <f t="shared" si="15"/>
        <v>#N/A</v>
      </c>
      <c r="Q240" s="4" t="e">
        <f t="shared" si="16"/>
        <v>#N/A</v>
      </c>
      <c r="R240" s="4" t="e">
        <f>IF(AND(B240=1,N240&gt;'Line Follower'!$C$7,SUM(C240:K240)&lt;4),1,0)</f>
        <v>#N/A</v>
      </c>
      <c r="S240" s="4" t="e">
        <f>IF(AND(L240=1,N240&lt;'Line Follower'!$C$6,SUM(C240:K240)&lt;4),1,0)</f>
        <v>#N/A</v>
      </c>
      <c r="T240" s="4" t="e">
        <f t="shared" si="17"/>
        <v>#N/A</v>
      </c>
      <c r="U240" s="5" t="e">
        <f t="shared" si="18"/>
        <v>#N/A</v>
      </c>
      <c r="V240" s="23" t="e">
        <f t="shared" si="19"/>
        <v>#N/A</v>
      </c>
    </row>
    <row r="241" spans="2:22" x14ac:dyDescent="0.25">
      <c r="B241" s="16">
        <v>0</v>
      </c>
      <c r="C241" s="7">
        <v>1</v>
      </c>
      <c r="D241" s="8">
        <v>1</v>
      </c>
      <c r="E241" s="8">
        <v>1</v>
      </c>
      <c r="F241" s="8">
        <v>0</v>
      </c>
      <c r="G241" s="8">
        <v>1</v>
      </c>
      <c r="H241" s="8">
        <v>1</v>
      </c>
      <c r="I241" s="8">
        <v>1</v>
      </c>
      <c r="J241" s="8">
        <v>0</v>
      </c>
      <c r="K241" s="9">
        <v>0</v>
      </c>
      <c r="L241" s="10">
        <v>0</v>
      </c>
      <c r="M241" s="6">
        <v>0</v>
      </c>
      <c r="N241" s="37" t="e" cm="1">
        <f t="array" ref="N241">IF(OR(ISNUMBER(FIND(Aux!$D$3:$D$9,_xlfn.TEXTJOIN(,,C241:K241)))),NA(),IF(AND(SUM(C241:F241,H241:K241)=0,G241=1),0,INT((SUMPRODUCT(C241:F241,COLUMN($A$1:$D$1)-1)+SUMPRODUCT(H241:K241,COLUMN($E$1:$H$1)-1))*'Line Follower'!$C$3/SUM(C241:F241,H241:K241)-'Line Follower'!$C$5)))</f>
        <v>#N/A</v>
      </c>
      <c r="O241" s="22" t="e">
        <v>#N/A</v>
      </c>
      <c r="P241" s="4" t="e">
        <f t="shared" si="15"/>
        <v>#N/A</v>
      </c>
      <c r="Q241" s="4" t="e">
        <f t="shared" si="16"/>
        <v>#N/A</v>
      </c>
      <c r="R241" s="4" t="e">
        <f>IF(AND(B241=1,N241&gt;'Line Follower'!$C$7,SUM(C241:K241)&lt;4),1,0)</f>
        <v>#N/A</v>
      </c>
      <c r="S241" s="4" t="e">
        <f>IF(AND(L241=1,N241&lt;'Line Follower'!$C$6,SUM(C241:K241)&lt;4),1,0)</f>
        <v>#N/A</v>
      </c>
      <c r="T241" s="4" t="e">
        <f t="shared" si="17"/>
        <v>#N/A</v>
      </c>
      <c r="U241" s="5" t="e">
        <f t="shared" si="18"/>
        <v>#N/A</v>
      </c>
      <c r="V241" s="23" t="e">
        <f t="shared" si="19"/>
        <v>#N/A</v>
      </c>
    </row>
    <row r="242" spans="2:22" x14ac:dyDescent="0.25">
      <c r="B242" s="16">
        <v>1</v>
      </c>
      <c r="C242" s="7">
        <v>1</v>
      </c>
      <c r="D242" s="8">
        <v>1</v>
      </c>
      <c r="E242" s="8">
        <v>1</v>
      </c>
      <c r="F242" s="8">
        <v>0</v>
      </c>
      <c r="G242" s="8">
        <v>1</v>
      </c>
      <c r="H242" s="8">
        <v>1</v>
      </c>
      <c r="I242" s="8">
        <v>1</v>
      </c>
      <c r="J242" s="8">
        <v>0</v>
      </c>
      <c r="K242" s="9">
        <v>0</v>
      </c>
      <c r="L242" s="10">
        <v>0</v>
      </c>
      <c r="M242" s="6">
        <v>0</v>
      </c>
      <c r="N242" s="37" t="e" cm="1">
        <f t="array" ref="N242">IF(OR(ISNUMBER(FIND(Aux!$D$3:$D$9,_xlfn.TEXTJOIN(,,C242:K242)))),NA(),IF(AND(SUM(C242:F242,H242:K242)=0,G242=1),0,INT((SUMPRODUCT(C242:F242,COLUMN($A$1:$D$1)-1)+SUMPRODUCT(H242:K242,COLUMN($E$1:$H$1)-1))*'Line Follower'!$C$3/SUM(C242:F242,H242:K242)-'Line Follower'!$C$5)))</f>
        <v>#N/A</v>
      </c>
      <c r="O242" s="22" t="e">
        <v>#N/A</v>
      </c>
      <c r="P242" s="4" t="e">
        <f t="shared" si="15"/>
        <v>#N/A</v>
      </c>
      <c r="Q242" s="4" t="e">
        <f t="shared" si="16"/>
        <v>#N/A</v>
      </c>
      <c r="R242" s="4" t="e">
        <f>IF(AND(B242=1,N242&gt;'Line Follower'!$C$7,SUM(C242:K242)&lt;4),1,0)</f>
        <v>#N/A</v>
      </c>
      <c r="S242" s="4" t="e">
        <f>IF(AND(L242=1,N242&lt;'Line Follower'!$C$6,SUM(C242:K242)&lt;4),1,0)</f>
        <v>#N/A</v>
      </c>
      <c r="T242" s="4" t="e">
        <f t="shared" si="17"/>
        <v>#N/A</v>
      </c>
      <c r="U242" s="5" t="e">
        <f t="shared" si="18"/>
        <v>#N/A</v>
      </c>
      <c r="V242" s="23" t="e">
        <f t="shared" si="19"/>
        <v>#N/A</v>
      </c>
    </row>
    <row r="243" spans="2:22" x14ac:dyDescent="0.25">
      <c r="B243" s="16">
        <v>0</v>
      </c>
      <c r="C243" s="7">
        <v>0</v>
      </c>
      <c r="D243" s="8">
        <v>0</v>
      </c>
      <c r="E243" s="8">
        <v>0</v>
      </c>
      <c r="F243" s="8">
        <v>1</v>
      </c>
      <c r="G243" s="8">
        <v>1</v>
      </c>
      <c r="H243" s="8">
        <v>1</v>
      </c>
      <c r="I243" s="8">
        <v>1</v>
      </c>
      <c r="J243" s="8">
        <v>0</v>
      </c>
      <c r="K243" s="9">
        <v>0</v>
      </c>
      <c r="L243" s="10">
        <v>0</v>
      </c>
      <c r="M243" s="6">
        <v>0</v>
      </c>
      <c r="N243" s="37" cm="1">
        <f t="array" ref="N243">IF(OR(ISNUMBER(FIND(Aux!$D$3:$D$9,_xlfn.TEXTJOIN(,,C243:K243)))),NA(),IF(AND(SUM(C243:F243,H243:K243)=0,G243=1),0,INT((SUMPRODUCT(C243:F243,COLUMN($A$1:$D$1)-1)+SUMPRODUCT(H243:K243,COLUMN($E$1:$H$1)-1))*'Line Follower'!$C$3/SUM(C243:F243,H243:K243)-'Line Follower'!$C$5)))</f>
        <v>1</v>
      </c>
      <c r="O243" s="22">
        <v>1</v>
      </c>
      <c r="P243" s="4">
        <f t="shared" si="15"/>
        <v>0</v>
      </c>
      <c r="Q243" s="4">
        <f t="shared" si="16"/>
        <v>1</v>
      </c>
      <c r="R243" s="4">
        <f>IF(AND(B243=1,N243&gt;'Line Follower'!$C$7,SUM(C243:K243)&lt;4),1,0)</f>
        <v>0</v>
      </c>
      <c r="S243" s="4">
        <f>IF(AND(L243=1,N243&lt;'Line Follower'!$C$6,SUM(C243:K243)&lt;4),1,0)</f>
        <v>0</v>
      </c>
      <c r="T243" s="4">
        <f t="shared" si="17"/>
        <v>0</v>
      </c>
      <c r="U243" s="5">
        <f t="shared" si="18"/>
        <v>0</v>
      </c>
      <c r="V243" s="23">
        <f t="shared" si="19"/>
        <v>0</v>
      </c>
    </row>
    <row r="244" spans="2:22" x14ac:dyDescent="0.25">
      <c r="B244" s="16">
        <v>1</v>
      </c>
      <c r="C244" s="7">
        <v>0</v>
      </c>
      <c r="D244" s="8">
        <v>0</v>
      </c>
      <c r="E244" s="8">
        <v>0</v>
      </c>
      <c r="F244" s="8">
        <v>1</v>
      </c>
      <c r="G244" s="8">
        <v>1</v>
      </c>
      <c r="H244" s="8">
        <v>1</v>
      </c>
      <c r="I244" s="8">
        <v>1</v>
      </c>
      <c r="J244" s="8">
        <v>0</v>
      </c>
      <c r="K244" s="9">
        <v>0</v>
      </c>
      <c r="L244" s="10">
        <v>0</v>
      </c>
      <c r="M244" s="6">
        <v>0</v>
      </c>
      <c r="N244" s="37" cm="1">
        <f t="array" ref="N244">IF(OR(ISNUMBER(FIND(Aux!$D$3:$D$9,_xlfn.TEXTJOIN(,,C244:K244)))),NA(),IF(AND(SUM(C244:F244,H244:K244)=0,G244=1),0,INT((SUMPRODUCT(C244:F244,COLUMN($A$1:$D$1)-1)+SUMPRODUCT(H244:K244,COLUMN($E$1:$H$1)-1))*'Line Follower'!$C$3/SUM(C244:F244,H244:K244)-'Line Follower'!$C$5)))</f>
        <v>1</v>
      </c>
      <c r="O244" s="22">
        <v>1</v>
      </c>
      <c r="P244" s="4">
        <f t="shared" si="15"/>
        <v>0</v>
      </c>
      <c r="Q244" s="4">
        <f t="shared" si="16"/>
        <v>1</v>
      </c>
      <c r="R244" s="4">
        <f>IF(AND(B244=1,N244&gt;'Line Follower'!$C$7,SUM(C244:K244)&lt;4),1,0)</f>
        <v>0</v>
      </c>
      <c r="S244" s="4">
        <f>IF(AND(L244=1,N244&lt;'Line Follower'!$C$6,SUM(C244:K244)&lt;4),1,0)</f>
        <v>0</v>
      </c>
      <c r="T244" s="4">
        <f t="shared" si="17"/>
        <v>0</v>
      </c>
      <c r="U244" s="5">
        <f t="shared" si="18"/>
        <v>0</v>
      </c>
      <c r="V244" s="23">
        <f t="shared" si="19"/>
        <v>0</v>
      </c>
    </row>
    <row r="245" spans="2:22" x14ac:dyDescent="0.25">
      <c r="B245" s="16">
        <v>0</v>
      </c>
      <c r="C245" s="7">
        <v>1</v>
      </c>
      <c r="D245" s="8">
        <v>0</v>
      </c>
      <c r="E245" s="8">
        <v>0</v>
      </c>
      <c r="F245" s="8">
        <v>1</v>
      </c>
      <c r="G245" s="8">
        <v>1</v>
      </c>
      <c r="H245" s="8">
        <v>1</v>
      </c>
      <c r="I245" s="8">
        <v>1</v>
      </c>
      <c r="J245" s="8">
        <v>0</v>
      </c>
      <c r="K245" s="9">
        <v>0</v>
      </c>
      <c r="L245" s="10">
        <v>0</v>
      </c>
      <c r="M245" s="6">
        <v>0</v>
      </c>
      <c r="N245" s="37" t="e" cm="1">
        <f t="array" ref="N245">IF(OR(ISNUMBER(FIND(Aux!$D$3:$D$9,_xlfn.TEXTJOIN(,,C245:K245)))),NA(),IF(AND(SUM(C245:F245,H245:K245)=0,G245=1),0,INT((SUMPRODUCT(C245:F245,COLUMN($A$1:$D$1)-1)+SUMPRODUCT(H245:K245,COLUMN($E$1:$H$1)-1))*'Line Follower'!$C$3/SUM(C245:F245,H245:K245)-'Line Follower'!$C$5)))</f>
        <v>#N/A</v>
      </c>
      <c r="O245" s="22" t="e">
        <v>#N/A</v>
      </c>
      <c r="P245" s="4" t="e">
        <f t="shared" si="15"/>
        <v>#N/A</v>
      </c>
      <c r="Q245" s="4" t="e">
        <f t="shared" si="16"/>
        <v>#N/A</v>
      </c>
      <c r="R245" s="4" t="e">
        <f>IF(AND(B245=1,N245&gt;'Line Follower'!$C$7,SUM(C245:K245)&lt;4),1,0)</f>
        <v>#N/A</v>
      </c>
      <c r="S245" s="4" t="e">
        <f>IF(AND(L245=1,N245&lt;'Line Follower'!$C$6,SUM(C245:K245)&lt;4),1,0)</f>
        <v>#N/A</v>
      </c>
      <c r="T245" s="4" t="e">
        <f t="shared" si="17"/>
        <v>#N/A</v>
      </c>
      <c r="U245" s="5" t="e">
        <f t="shared" si="18"/>
        <v>#N/A</v>
      </c>
      <c r="V245" s="23" t="e">
        <f t="shared" si="19"/>
        <v>#N/A</v>
      </c>
    </row>
    <row r="246" spans="2:22" x14ac:dyDescent="0.25">
      <c r="B246" s="16">
        <v>1</v>
      </c>
      <c r="C246" s="7">
        <v>1</v>
      </c>
      <c r="D246" s="8">
        <v>0</v>
      </c>
      <c r="E246" s="8">
        <v>0</v>
      </c>
      <c r="F246" s="8">
        <v>1</v>
      </c>
      <c r="G246" s="8">
        <v>1</v>
      </c>
      <c r="H246" s="8">
        <v>1</v>
      </c>
      <c r="I246" s="8">
        <v>1</v>
      </c>
      <c r="J246" s="8">
        <v>0</v>
      </c>
      <c r="K246" s="9">
        <v>0</v>
      </c>
      <c r="L246" s="10">
        <v>0</v>
      </c>
      <c r="M246" s="6">
        <v>0</v>
      </c>
      <c r="N246" s="37" t="e" cm="1">
        <f t="array" ref="N246">IF(OR(ISNUMBER(FIND(Aux!$D$3:$D$9,_xlfn.TEXTJOIN(,,C246:K246)))),NA(),IF(AND(SUM(C246:F246,H246:K246)=0,G246=1),0,INT((SUMPRODUCT(C246:F246,COLUMN($A$1:$D$1)-1)+SUMPRODUCT(H246:K246,COLUMN($E$1:$H$1)-1))*'Line Follower'!$C$3/SUM(C246:F246,H246:K246)-'Line Follower'!$C$5)))</f>
        <v>#N/A</v>
      </c>
      <c r="O246" s="22" t="e">
        <v>#N/A</v>
      </c>
      <c r="P246" s="4" t="e">
        <f t="shared" si="15"/>
        <v>#N/A</v>
      </c>
      <c r="Q246" s="4" t="e">
        <f t="shared" si="16"/>
        <v>#N/A</v>
      </c>
      <c r="R246" s="4" t="e">
        <f>IF(AND(B246=1,N246&gt;'Line Follower'!$C$7,SUM(C246:K246)&lt;4),1,0)</f>
        <v>#N/A</v>
      </c>
      <c r="S246" s="4" t="e">
        <f>IF(AND(L246=1,N246&lt;'Line Follower'!$C$6,SUM(C246:K246)&lt;4),1,0)</f>
        <v>#N/A</v>
      </c>
      <c r="T246" s="4" t="e">
        <f t="shared" si="17"/>
        <v>#N/A</v>
      </c>
      <c r="U246" s="5" t="e">
        <f t="shared" si="18"/>
        <v>#N/A</v>
      </c>
      <c r="V246" s="23" t="e">
        <f t="shared" si="19"/>
        <v>#N/A</v>
      </c>
    </row>
    <row r="247" spans="2:22" x14ac:dyDescent="0.25">
      <c r="B247" s="16">
        <v>0</v>
      </c>
      <c r="C247" s="7">
        <v>0</v>
      </c>
      <c r="D247" s="8">
        <v>1</v>
      </c>
      <c r="E247" s="8">
        <v>0</v>
      </c>
      <c r="F247" s="8">
        <v>1</v>
      </c>
      <c r="G247" s="8">
        <v>1</v>
      </c>
      <c r="H247" s="8">
        <v>1</v>
      </c>
      <c r="I247" s="8">
        <v>1</v>
      </c>
      <c r="J247" s="8">
        <v>0</v>
      </c>
      <c r="K247" s="9">
        <v>0</v>
      </c>
      <c r="L247" s="10">
        <v>0</v>
      </c>
      <c r="M247" s="6">
        <v>0</v>
      </c>
      <c r="N247" s="37" t="e" cm="1">
        <f t="array" ref="N247">IF(OR(ISNUMBER(FIND(Aux!$D$3:$D$9,_xlfn.TEXTJOIN(,,C247:K247)))),NA(),IF(AND(SUM(C247:F247,H247:K247)=0,G247=1),0,INT((SUMPRODUCT(C247:F247,COLUMN($A$1:$D$1)-1)+SUMPRODUCT(H247:K247,COLUMN($E$1:$H$1)-1))*'Line Follower'!$C$3/SUM(C247:F247,H247:K247)-'Line Follower'!$C$5)))</f>
        <v>#N/A</v>
      </c>
      <c r="O247" s="22" t="e">
        <v>#N/A</v>
      </c>
      <c r="P247" s="4" t="e">
        <f t="shared" si="15"/>
        <v>#N/A</v>
      </c>
      <c r="Q247" s="4" t="e">
        <f t="shared" si="16"/>
        <v>#N/A</v>
      </c>
      <c r="R247" s="4" t="e">
        <f>IF(AND(B247=1,N247&gt;'Line Follower'!$C$7,SUM(C247:K247)&lt;4),1,0)</f>
        <v>#N/A</v>
      </c>
      <c r="S247" s="4" t="e">
        <f>IF(AND(L247=1,N247&lt;'Line Follower'!$C$6,SUM(C247:K247)&lt;4),1,0)</f>
        <v>#N/A</v>
      </c>
      <c r="T247" s="4" t="e">
        <f t="shared" si="17"/>
        <v>#N/A</v>
      </c>
      <c r="U247" s="5" t="e">
        <f t="shared" si="18"/>
        <v>#N/A</v>
      </c>
      <c r="V247" s="23" t="e">
        <f t="shared" si="19"/>
        <v>#N/A</v>
      </c>
    </row>
    <row r="248" spans="2:22" x14ac:dyDescent="0.25">
      <c r="B248" s="16">
        <v>1</v>
      </c>
      <c r="C248" s="7">
        <v>0</v>
      </c>
      <c r="D248" s="8">
        <v>1</v>
      </c>
      <c r="E248" s="8">
        <v>0</v>
      </c>
      <c r="F248" s="8">
        <v>1</v>
      </c>
      <c r="G248" s="8">
        <v>1</v>
      </c>
      <c r="H248" s="8">
        <v>1</v>
      </c>
      <c r="I248" s="8">
        <v>1</v>
      </c>
      <c r="J248" s="8">
        <v>0</v>
      </c>
      <c r="K248" s="9">
        <v>0</v>
      </c>
      <c r="L248" s="10">
        <v>0</v>
      </c>
      <c r="M248" s="6">
        <v>0</v>
      </c>
      <c r="N248" s="37" t="e" cm="1">
        <f t="array" ref="N248">IF(OR(ISNUMBER(FIND(Aux!$D$3:$D$9,_xlfn.TEXTJOIN(,,C248:K248)))),NA(),IF(AND(SUM(C248:F248,H248:K248)=0,G248=1),0,INT((SUMPRODUCT(C248:F248,COLUMN($A$1:$D$1)-1)+SUMPRODUCT(H248:K248,COLUMN($E$1:$H$1)-1))*'Line Follower'!$C$3/SUM(C248:F248,H248:K248)-'Line Follower'!$C$5)))</f>
        <v>#N/A</v>
      </c>
      <c r="O248" s="22" t="e">
        <v>#N/A</v>
      </c>
      <c r="P248" s="4" t="e">
        <f t="shared" si="15"/>
        <v>#N/A</v>
      </c>
      <c r="Q248" s="4" t="e">
        <f t="shared" si="16"/>
        <v>#N/A</v>
      </c>
      <c r="R248" s="4" t="e">
        <f>IF(AND(B248=1,N248&gt;'Line Follower'!$C$7,SUM(C248:K248)&lt;4),1,0)</f>
        <v>#N/A</v>
      </c>
      <c r="S248" s="4" t="e">
        <f>IF(AND(L248=1,N248&lt;'Line Follower'!$C$6,SUM(C248:K248)&lt;4),1,0)</f>
        <v>#N/A</v>
      </c>
      <c r="T248" s="4" t="e">
        <f t="shared" si="17"/>
        <v>#N/A</v>
      </c>
      <c r="U248" s="5" t="e">
        <f t="shared" si="18"/>
        <v>#N/A</v>
      </c>
      <c r="V248" s="23" t="e">
        <f t="shared" si="19"/>
        <v>#N/A</v>
      </c>
    </row>
    <row r="249" spans="2:22" x14ac:dyDescent="0.25">
      <c r="B249" s="16">
        <v>0</v>
      </c>
      <c r="C249" s="7">
        <v>1</v>
      </c>
      <c r="D249" s="8">
        <v>1</v>
      </c>
      <c r="E249" s="8">
        <v>0</v>
      </c>
      <c r="F249" s="8">
        <v>1</v>
      </c>
      <c r="G249" s="8">
        <v>1</v>
      </c>
      <c r="H249" s="8">
        <v>1</v>
      </c>
      <c r="I249" s="8">
        <v>1</v>
      </c>
      <c r="J249" s="8">
        <v>0</v>
      </c>
      <c r="K249" s="9">
        <v>0</v>
      </c>
      <c r="L249" s="10">
        <v>0</v>
      </c>
      <c r="M249" s="6">
        <v>0</v>
      </c>
      <c r="N249" s="37" t="e" cm="1">
        <f t="array" ref="N249">IF(OR(ISNUMBER(FIND(Aux!$D$3:$D$9,_xlfn.TEXTJOIN(,,C249:K249)))),NA(),IF(AND(SUM(C249:F249,H249:K249)=0,G249=1),0,INT((SUMPRODUCT(C249:F249,COLUMN($A$1:$D$1)-1)+SUMPRODUCT(H249:K249,COLUMN($E$1:$H$1)-1))*'Line Follower'!$C$3/SUM(C249:F249,H249:K249)-'Line Follower'!$C$5)))</f>
        <v>#N/A</v>
      </c>
      <c r="O249" s="22" t="e">
        <v>#N/A</v>
      </c>
      <c r="P249" s="4" t="e">
        <f t="shared" si="15"/>
        <v>#N/A</v>
      </c>
      <c r="Q249" s="4" t="e">
        <f t="shared" si="16"/>
        <v>#N/A</v>
      </c>
      <c r="R249" s="4" t="e">
        <f>IF(AND(B249=1,N249&gt;'Line Follower'!$C$7,SUM(C249:K249)&lt;4),1,0)</f>
        <v>#N/A</v>
      </c>
      <c r="S249" s="4" t="e">
        <f>IF(AND(L249=1,N249&lt;'Line Follower'!$C$6,SUM(C249:K249)&lt;4),1,0)</f>
        <v>#N/A</v>
      </c>
      <c r="T249" s="4" t="e">
        <f t="shared" si="17"/>
        <v>#N/A</v>
      </c>
      <c r="U249" s="5" t="e">
        <f t="shared" si="18"/>
        <v>#N/A</v>
      </c>
      <c r="V249" s="23" t="e">
        <f t="shared" si="19"/>
        <v>#N/A</v>
      </c>
    </row>
    <row r="250" spans="2:22" x14ac:dyDescent="0.25">
      <c r="B250" s="16">
        <v>1</v>
      </c>
      <c r="C250" s="7">
        <v>1</v>
      </c>
      <c r="D250" s="8">
        <v>1</v>
      </c>
      <c r="E250" s="8">
        <v>0</v>
      </c>
      <c r="F250" s="8">
        <v>1</v>
      </c>
      <c r="G250" s="8">
        <v>1</v>
      </c>
      <c r="H250" s="8">
        <v>1</v>
      </c>
      <c r="I250" s="8">
        <v>1</v>
      </c>
      <c r="J250" s="8">
        <v>0</v>
      </c>
      <c r="K250" s="9">
        <v>0</v>
      </c>
      <c r="L250" s="10">
        <v>0</v>
      </c>
      <c r="M250" s="6">
        <v>0</v>
      </c>
      <c r="N250" s="37" t="e" cm="1">
        <f t="array" ref="N250">IF(OR(ISNUMBER(FIND(Aux!$D$3:$D$9,_xlfn.TEXTJOIN(,,C250:K250)))),NA(),IF(AND(SUM(C250:F250,H250:K250)=0,G250=1),0,INT((SUMPRODUCT(C250:F250,COLUMN($A$1:$D$1)-1)+SUMPRODUCT(H250:K250,COLUMN($E$1:$H$1)-1))*'Line Follower'!$C$3/SUM(C250:F250,H250:K250)-'Line Follower'!$C$5)))</f>
        <v>#N/A</v>
      </c>
      <c r="O250" s="22" t="e">
        <v>#N/A</v>
      </c>
      <c r="P250" s="4" t="e">
        <f t="shared" si="15"/>
        <v>#N/A</v>
      </c>
      <c r="Q250" s="4" t="e">
        <f t="shared" si="16"/>
        <v>#N/A</v>
      </c>
      <c r="R250" s="4" t="e">
        <f>IF(AND(B250=1,N250&gt;'Line Follower'!$C$7,SUM(C250:K250)&lt;4),1,0)</f>
        <v>#N/A</v>
      </c>
      <c r="S250" s="4" t="e">
        <f>IF(AND(L250=1,N250&lt;'Line Follower'!$C$6,SUM(C250:K250)&lt;4),1,0)</f>
        <v>#N/A</v>
      </c>
      <c r="T250" s="4" t="e">
        <f t="shared" si="17"/>
        <v>#N/A</v>
      </c>
      <c r="U250" s="5" t="e">
        <f t="shared" si="18"/>
        <v>#N/A</v>
      </c>
      <c r="V250" s="23" t="e">
        <f t="shared" si="19"/>
        <v>#N/A</v>
      </c>
    </row>
    <row r="251" spans="2:22" x14ac:dyDescent="0.25">
      <c r="B251" s="16">
        <v>0</v>
      </c>
      <c r="C251" s="7">
        <v>0</v>
      </c>
      <c r="D251" s="8">
        <v>0</v>
      </c>
      <c r="E251" s="8">
        <v>1</v>
      </c>
      <c r="F251" s="8">
        <v>1</v>
      </c>
      <c r="G251" s="8">
        <v>1</v>
      </c>
      <c r="H251" s="8">
        <v>1</v>
      </c>
      <c r="I251" s="8">
        <v>1</v>
      </c>
      <c r="J251" s="8">
        <v>0</v>
      </c>
      <c r="K251" s="9">
        <v>0</v>
      </c>
      <c r="L251" s="10">
        <v>0</v>
      </c>
      <c r="M251" s="6">
        <v>0</v>
      </c>
      <c r="N251" s="37" cm="1">
        <f t="array" ref="N251">IF(OR(ISNUMBER(FIND(Aux!$D$3:$D$9,_xlfn.TEXTJOIN(,,C251:K251)))),NA(),IF(AND(SUM(C251:F251,H251:K251)=0,G251=1),0,INT((SUMPRODUCT(C251:F251,COLUMN($A$1:$D$1)-1)+SUMPRODUCT(H251:K251,COLUMN($E$1:$H$1)-1))*'Line Follower'!$C$3/SUM(C251:F251,H251:K251)-'Line Follower'!$C$5)))</f>
        <v>0</v>
      </c>
      <c r="O251" s="22">
        <v>1</v>
      </c>
      <c r="P251" s="4">
        <f t="shared" si="15"/>
        <v>0</v>
      </c>
      <c r="Q251" s="4">
        <f t="shared" si="16"/>
        <v>1</v>
      </c>
      <c r="R251" s="4">
        <f>IF(AND(B251=1,N251&gt;'Line Follower'!$C$7,SUM(C251:K251)&lt;4),1,0)</f>
        <v>0</v>
      </c>
      <c r="S251" s="4">
        <f>IF(AND(L251=1,N251&lt;'Line Follower'!$C$6,SUM(C251:K251)&lt;4),1,0)</f>
        <v>0</v>
      </c>
      <c r="T251" s="4">
        <f t="shared" si="17"/>
        <v>0</v>
      </c>
      <c r="U251" s="5">
        <f t="shared" si="18"/>
        <v>0</v>
      </c>
      <c r="V251" s="23">
        <f t="shared" si="19"/>
        <v>0</v>
      </c>
    </row>
    <row r="252" spans="2:22" x14ac:dyDescent="0.25">
      <c r="B252" s="16">
        <v>1</v>
      </c>
      <c r="C252" s="7">
        <v>0</v>
      </c>
      <c r="D252" s="8">
        <v>0</v>
      </c>
      <c r="E252" s="8">
        <v>1</v>
      </c>
      <c r="F252" s="8">
        <v>1</v>
      </c>
      <c r="G252" s="8">
        <v>1</v>
      </c>
      <c r="H252" s="8">
        <v>1</v>
      </c>
      <c r="I252" s="8">
        <v>1</v>
      </c>
      <c r="J252" s="8">
        <v>0</v>
      </c>
      <c r="K252" s="9">
        <v>0</v>
      </c>
      <c r="L252" s="10">
        <v>0</v>
      </c>
      <c r="M252" s="6">
        <v>0</v>
      </c>
      <c r="N252" s="37" cm="1">
        <f t="array" ref="N252">IF(OR(ISNUMBER(FIND(Aux!$D$3:$D$9,_xlfn.TEXTJOIN(,,C252:K252)))),NA(),IF(AND(SUM(C252:F252,H252:K252)=0,G252=1),0,INT((SUMPRODUCT(C252:F252,COLUMN($A$1:$D$1)-1)+SUMPRODUCT(H252:K252,COLUMN($E$1:$H$1)-1))*'Line Follower'!$C$3/SUM(C252:F252,H252:K252)-'Line Follower'!$C$5)))</f>
        <v>0</v>
      </c>
      <c r="O252" s="22">
        <v>1</v>
      </c>
      <c r="P252" s="4">
        <f t="shared" si="15"/>
        <v>0</v>
      </c>
      <c r="Q252" s="4">
        <f t="shared" si="16"/>
        <v>1</v>
      </c>
      <c r="R252" s="4">
        <f>IF(AND(B252=1,N252&gt;'Line Follower'!$C$7,SUM(C252:K252)&lt;4),1,0)</f>
        <v>0</v>
      </c>
      <c r="S252" s="4">
        <f>IF(AND(L252=1,N252&lt;'Line Follower'!$C$6,SUM(C252:K252)&lt;4),1,0)</f>
        <v>0</v>
      </c>
      <c r="T252" s="4">
        <f t="shared" si="17"/>
        <v>0</v>
      </c>
      <c r="U252" s="5">
        <f t="shared" si="18"/>
        <v>0</v>
      </c>
      <c r="V252" s="23">
        <f t="shared" si="19"/>
        <v>0</v>
      </c>
    </row>
    <row r="253" spans="2:22" x14ac:dyDescent="0.25">
      <c r="B253" s="16">
        <v>0</v>
      </c>
      <c r="C253" s="7">
        <v>1</v>
      </c>
      <c r="D253" s="8">
        <v>0</v>
      </c>
      <c r="E253" s="8">
        <v>1</v>
      </c>
      <c r="F253" s="8">
        <v>1</v>
      </c>
      <c r="G253" s="8">
        <v>1</v>
      </c>
      <c r="H253" s="8">
        <v>1</v>
      </c>
      <c r="I253" s="8">
        <v>1</v>
      </c>
      <c r="J253" s="8">
        <v>0</v>
      </c>
      <c r="K253" s="9">
        <v>0</v>
      </c>
      <c r="L253" s="10">
        <v>0</v>
      </c>
      <c r="M253" s="6">
        <v>0</v>
      </c>
      <c r="N253" s="37" t="e" cm="1">
        <f t="array" ref="N253">IF(OR(ISNUMBER(FIND(Aux!$D$3:$D$9,_xlfn.TEXTJOIN(,,C253:K253)))),NA(),IF(AND(SUM(C253:F253,H253:K253)=0,G253=1),0,INT((SUMPRODUCT(C253:F253,COLUMN($A$1:$D$1)-1)+SUMPRODUCT(H253:K253,COLUMN($E$1:$H$1)-1))*'Line Follower'!$C$3/SUM(C253:F253,H253:K253)-'Line Follower'!$C$5)))</f>
        <v>#N/A</v>
      </c>
      <c r="O253" s="22" t="e">
        <v>#N/A</v>
      </c>
      <c r="P253" s="4" t="e">
        <f t="shared" si="15"/>
        <v>#N/A</v>
      </c>
      <c r="Q253" s="4" t="e">
        <f t="shared" si="16"/>
        <v>#N/A</v>
      </c>
      <c r="R253" s="4" t="e">
        <f>IF(AND(B253=1,N253&gt;'Line Follower'!$C$7,SUM(C253:K253)&lt;4),1,0)</f>
        <v>#N/A</v>
      </c>
      <c r="S253" s="4" t="e">
        <f>IF(AND(L253=1,N253&lt;'Line Follower'!$C$6,SUM(C253:K253)&lt;4),1,0)</f>
        <v>#N/A</v>
      </c>
      <c r="T253" s="4" t="e">
        <f t="shared" si="17"/>
        <v>#N/A</v>
      </c>
      <c r="U253" s="5" t="e">
        <f t="shared" si="18"/>
        <v>#N/A</v>
      </c>
      <c r="V253" s="23" t="e">
        <f t="shared" si="19"/>
        <v>#N/A</v>
      </c>
    </row>
    <row r="254" spans="2:22" x14ac:dyDescent="0.25">
      <c r="B254" s="16">
        <v>1</v>
      </c>
      <c r="C254" s="7">
        <v>1</v>
      </c>
      <c r="D254" s="8">
        <v>0</v>
      </c>
      <c r="E254" s="8">
        <v>1</v>
      </c>
      <c r="F254" s="8">
        <v>1</v>
      </c>
      <c r="G254" s="8">
        <v>1</v>
      </c>
      <c r="H254" s="8">
        <v>1</v>
      </c>
      <c r="I254" s="8">
        <v>1</v>
      </c>
      <c r="J254" s="8">
        <v>0</v>
      </c>
      <c r="K254" s="9">
        <v>0</v>
      </c>
      <c r="L254" s="10">
        <v>0</v>
      </c>
      <c r="M254" s="6">
        <v>0</v>
      </c>
      <c r="N254" s="37" t="e" cm="1">
        <f t="array" ref="N254">IF(OR(ISNUMBER(FIND(Aux!$D$3:$D$9,_xlfn.TEXTJOIN(,,C254:K254)))),NA(),IF(AND(SUM(C254:F254,H254:K254)=0,G254=1),0,INT((SUMPRODUCT(C254:F254,COLUMN($A$1:$D$1)-1)+SUMPRODUCT(H254:K254,COLUMN($E$1:$H$1)-1))*'Line Follower'!$C$3/SUM(C254:F254,H254:K254)-'Line Follower'!$C$5)))</f>
        <v>#N/A</v>
      </c>
      <c r="O254" s="22" t="e">
        <v>#N/A</v>
      </c>
      <c r="P254" s="4" t="e">
        <f t="shared" si="15"/>
        <v>#N/A</v>
      </c>
      <c r="Q254" s="4" t="e">
        <f t="shared" si="16"/>
        <v>#N/A</v>
      </c>
      <c r="R254" s="4" t="e">
        <f>IF(AND(B254=1,N254&gt;'Line Follower'!$C$7,SUM(C254:K254)&lt;4),1,0)</f>
        <v>#N/A</v>
      </c>
      <c r="S254" s="4" t="e">
        <f>IF(AND(L254=1,N254&lt;'Line Follower'!$C$6,SUM(C254:K254)&lt;4),1,0)</f>
        <v>#N/A</v>
      </c>
      <c r="T254" s="4" t="e">
        <f t="shared" si="17"/>
        <v>#N/A</v>
      </c>
      <c r="U254" s="5" t="e">
        <f t="shared" si="18"/>
        <v>#N/A</v>
      </c>
      <c r="V254" s="23" t="e">
        <f t="shared" si="19"/>
        <v>#N/A</v>
      </c>
    </row>
    <row r="255" spans="2:22" x14ac:dyDescent="0.25">
      <c r="B255" s="16">
        <v>0</v>
      </c>
      <c r="C255" s="7">
        <v>0</v>
      </c>
      <c r="D255" s="8">
        <v>1</v>
      </c>
      <c r="E255" s="8">
        <v>1</v>
      </c>
      <c r="F255" s="8">
        <v>1</v>
      </c>
      <c r="G255" s="8">
        <v>1</v>
      </c>
      <c r="H255" s="8">
        <v>1</v>
      </c>
      <c r="I255" s="8">
        <v>1</v>
      </c>
      <c r="J255" s="8">
        <v>0</v>
      </c>
      <c r="K255" s="9">
        <v>0</v>
      </c>
      <c r="L255" s="10">
        <v>0</v>
      </c>
      <c r="M255" s="6">
        <v>0</v>
      </c>
      <c r="N255" s="37" cm="1">
        <f t="array" ref="N255">IF(OR(ISNUMBER(FIND(Aux!$D$3:$D$9,_xlfn.TEXTJOIN(,,C255:K255)))),NA(),IF(AND(SUM(C255:F255,H255:K255)=0,G255=1),0,INT((SUMPRODUCT(C255:F255,COLUMN($A$1:$D$1)-1)+SUMPRODUCT(H255:K255,COLUMN($E$1:$H$1)-1))*'Line Follower'!$C$3/SUM(C255:F255,H255:K255)-'Line Follower'!$C$5)))</f>
        <v>-1</v>
      </c>
      <c r="O255" s="22">
        <v>1</v>
      </c>
      <c r="P255" s="4">
        <f t="shared" si="15"/>
        <v>0</v>
      </c>
      <c r="Q255" s="4">
        <f t="shared" si="16"/>
        <v>1</v>
      </c>
      <c r="R255" s="4">
        <f>IF(AND(B255=1,N255&gt;'Line Follower'!$C$7,SUM(C255:K255)&lt;4),1,0)</f>
        <v>0</v>
      </c>
      <c r="S255" s="4">
        <f>IF(AND(L255=1,N255&lt;'Line Follower'!$C$6,SUM(C255:K255)&lt;4),1,0)</f>
        <v>0</v>
      </c>
      <c r="T255" s="4">
        <f t="shared" si="17"/>
        <v>0</v>
      </c>
      <c r="U255" s="5">
        <f t="shared" si="18"/>
        <v>0</v>
      </c>
      <c r="V255" s="23">
        <f t="shared" si="19"/>
        <v>0</v>
      </c>
    </row>
    <row r="256" spans="2:22" x14ac:dyDescent="0.25">
      <c r="B256" s="16">
        <v>1</v>
      </c>
      <c r="C256" s="7">
        <v>0</v>
      </c>
      <c r="D256" s="8">
        <v>1</v>
      </c>
      <c r="E256" s="8">
        <v>1</v>
      </c>
      <c r="F256" s="8">
        <v>1</v>
      </c>
      <c r="G256" s="8">
        <v>1</v>
      </c>
      <c r="H256" s="8">
        <v>1</v>
      </c>
      <c r="I256" s="8">
        <v>1</v>
      </c>
      <c r="J256" s="8">
        <v>0</v>
      </c>
      <c r="K256" s="9">
        <v>0</v>
      </c>
      <c r="L256" s="10">
        <v>0</v>
      </c>
      <c r="M256" s="6">
        <v>0</v>
      </c>
      <c r="N256" s="37" cm="1">
        <f t="array" ref="N256">IF(OR(ISNUMBER(FIND(Aux!$D$3:$D$9,_xlfn.TEXTJOIN(,,C256:K256)))),NA(),IF(AND(SUM(C256:F256,H256:K256)=0,G256=1),0,INT((SUMPRODUCT(C256:F256,COLUMN($A$1:$D$1)-1)+SUMPRODUCT(H256:K256,COLUMN($E$1:$H$1)-1))*'Line Follower'!$C$3/SUM(C256:F256,H256:K256)-'Line Follower'!$C$5)))</f>
        <v>-1</v>
      </c>
      <c r="O256" s="22">
        <v>1</v>
      </c>
      <c r="P256" s="4">
        <f t="shared" si="15"/>
        <v>0</v>
      </c>
      <c r="Q256" s="4">
        <f t="shared" si="16"/>
        <v>1</v>
      </c>
      <c r="R256" s="4">
        <f>IF(AND(B256=1,N256&gt;'Line Follower'!$C$7,SUM(C256:K256)&lt;4),1,0)</f>
        <v>0</v>
      </c>
      <c r="S256" s="4">
        <f>IF(AND(L256=1,N256&lt;'Line Follower'!$C$6,SUM(C256:K256)&lt;4),1,0)</f>
        <v>0</v>
      </c>
      <c r="T256" s="4">
        <f t="shared" si="17"/>
        <v>0</v>
      </c>
      <c r="U256" s="5">
        <f t="shared" si="18"/>
        <v>0</v>
      </c>
      <c r="V256" s="23">
        <f t="shared" si="19"/>
        <v>0</v>
      </c>
    </row>
    <row r="257" spans="2:22" x14ac:dyDescent="0.25">
      <c r="B257" s="16">
        <v>0</v>
      </c>
      <c r="C257" s="7">
        <v>1</v>
      </c>
      <c r="D257" s="8">
        <v>1</v>
      </c>
      <c r="E257" s="8">
        <v>1</v>
      </c>
      <c r="F257" s="8">
        <v>1</v>
      </c>
      <c r="G257" s="8">
        <v>1</v>
      </c>
      <c r="H257" s="8">
        <v>1</v>
      </c>
      <c r="I257" s="8">
        <v>1</v>
      </c>
      <c r="J257" s="8">
        <v>0</v>
      </c>
      <c r="K257" s="9">
        <v>0</v>
      </c>
      <c r="L257" s="10">
        <v>0</v>
      </c>
      <c r="M257" s="6">
        <v>0</v>
      </c>
      <c r="N257" s="37" cm="1">
        <f t="array" ref="N257">IF(OR(ISNUMBER(FIND(Aux!$D$3:$D$9,_xlfn.TEXTJOIN(,,C257:K257)))),NA(),IF(AND(SUM(C257:F257,H257:K257)=0,G257=1),0,INT((SUMPRODUCT(C257:F257,COLUMN($A$1:$D$1)-1)+SUMPRODUCT(H257:K257,COLUMN($E$1:$H$1)-1))*'Line Follower'!$C$3/SUM(C257:F257,H257:K257)-'Line Follower'!$C$5)))</f>
        <v>-2</v>
      </c>
      <c r="O257" s="22">
        <v>1</v>
      </c>
      <c r="P257" s="4">
        <f t="shared" si="15"/>
        <v>0</v>
      </c>
      <c r="Q257" s="4">
        <f t="shared" si="16"/>
        <v>1</v>
      </c>
      <c r="R257" s="4">
        <f>IF(AND(B257=1,N257&gt;'Line Follower'!$C$7,SUM(C257:K257)&lt;4),1,0)</f>
        <v>0</v>
      </c>
      <c r="S257" s="4">
        <f>IF(AND(L257=1,N257&lt;'Line Follower'!$C$6,SUM(C257:K257)&lt;4),1,0)</f>
        <v>0</v>
      </c>
      <c r="T257" s="4">
        <f t="shared" si="17"/>
        <v>0</v>
      </c>
      <c r="U257" s="5">
        <f t="shared" si="18"/>
        <v>0</v>
      </c>
      <c r="V257" s="23">
        <f t="shared" si="19"/>
        <v>0</v>
      </c>
    </row>
    <row r="258" spans="2:22" x14ac:dyDescent="0.25">
      <c r="B258" s="16">
        <v>1</v>
      </c>
      <c r="C258" s="7">
        <v>1</v>
      </c>
      <c r="D258" s="8">
        <v>1</v>
      </c>
      <c r="E258" s="8">
        <v>1</v>
      </c>
      <c r="F258" s="8">
        <v>1</v>
      </c>
      <c r="G258" s="8">
        <v>1</v>
      </c>
      <c r="H258" s="8">
        <v>1</v>
      </c>
      <c r="I258" s="8">
        <v>1</v>
      </c>
      <c r="J258" s="8">
        <v>0</v>
      </c>
      <c r="K258" s="9">
        <v>0</v>
      </c>
      <c r="L258" s="10">
        <v>0</v>
      </c>
      <c r="M258" s="6">
        <v>0</v>
      </c>
      <c r="N258" s="37" cm="1">
        <f t="array" ref="N258">IF(OR(ISNUMBER(FIND(Aux!$D$3:$D$9,_xlfn.TEXTJOIN(,,C258:K258)))),NA(),IF(AND(SUM(C258:F258,H258:K258)=0,G258=1),0,INT((SUMPRODUCT(C258:F258,COLUMN($A$1:$D$1)-1)+SUMPRODUCT(H258:K258,COLUMN($E$1:$H$1)-1))*'Line Follower'!$C$3/SUM(C258:F258,H258:K258)-'Line Follower'!$C$5)))</f>
        <v>-2</v>
      </c>
      <c r="O258" s="22">
        <v>1</v>
      </c>
      <c r="P258" s="4">
        <f t="shared" si="15"/>
        <v>0</v>
      </c>
      <c r="Q258" s="4">
        <f t="shared" si="16"/>
        <v>1</v>
      </c>
      <c r="R258" s="4">
        <f>IF(AND(B258=1,N258&gt;'Line Follower'!$C$7,SUM(C258:K258)&lt;4),1,0)</f>
        <v>0</v>
      </c>
      <c r="S258" s="4">
        <f>IF(AND(L258=1,N258&lt;'Line Follower'!$C$6,SUM(C258:K258)&lt;4),1,0)</f>
        <v>0</v>
      </c>
      <c r="T258" s="4">
        <f t="shared" si="17"/>
        <v>0</v>
      </c>
      <c r="U258" s="5">
        <f t="shared" si="18"/>
        <v>0</v>
      </c>
      <c r="V258" s="23">
        <f t="shared" si="19"/>
        <v>0</v>
      </c>
    </row>
    <row r="259" spans="2:22" x14ac:dyDescent="0.25">
      <c r="B259" s="16">
        <v>0</v>
      </c>
      <c r="C259" s="7">
        <v>0</v>
      </c>
      <c r="D259" s="8">
        <v>0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1</v>
      </c>
      <c r="K259" s="9">
        <v>0</v>
      </c>
      <c r="L259" s="10">
        <v>0</v>
      </c>
      <c r="M259" s="6">
        <v>0</v>
      </c>
      <c r="N259" s="37" cm="1">
        <f t="array" ref="N259">IF(OR(ISNUMBER(FIND(Aux!$D$3:$D$9,_xlfn.TEXTJOIN(,,C259:K259)))),NA(),IF(AND(SUM(C259:F259,H259:K259)=0,G259=1),0,INT((SUMPRODUCT(C259:F259,COLUMN($A$1:$D$1)-1)+SUMPRODUCT(H259:K259,COLUMN($E$1:$H$1)-1))*'Line Follower'!$C$3/SUM(C259:F259,H259:K259)-'Line Follower'!$C$5)))</f>
        <v>5</v>
      </c>
      <c r="O259" s="22">
        <v>1</v>
      </c>
      <c r="P259" s="4">
        <f t="shared" ref="P259:P322" si="20">IF(AND(N259=0,G259=1,M259=1),1,0)</f>
        <v>0</v>
      </c>
      <c r="Q259" s="4">
        <f t="shared" ref="Q259:Q322" si="21">IF(ISERROR(N259),N259,IF(SUM(C259:K259)&gt;=4,1,0))</f>
        <v>0</v>
      </c>
      <c r="R259" s="4">
        <f>IF(AND(B259=1,N259&gt;'Line Follower'!$C$7,SUM(C259:K259)&lt;4),1,0)</f>
        <v>0</v>
      </c>
      <c r="S259" s="4">
        <f>IF(AND(L259=1,N259&lt;'Line Follower'!$C$6,SUM(C259:K259)&lt;4),1,0)</f>
        <v>0</v>
      </c>
      <c r="T259" s="4">
        <f t="shared" si="17"/>
        <v>0</v>
      </c>
      <c r="U259" s="5">
        <f t="shared" si="18"/>
        <v>0</v>
      </c>
      <c r="V259" s="23">
        <f t="shared" si="19"/>
        <v>0</v>
      </c>
    </row>
    <row r="260" spans="2:22" x14ac:dyDescent="0.25">
      <c r="B260" s="16">
        <v>1</v>
      </c>
      <c r="C260" s="7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1</v>
      </c>
      <c r="K260" s="9">
        <v>0</v>
      </c>
      <c r="L260" s="10">
        <v>0</v>
      </c>
      <c r="M260" s="6">
        <v>0</v>
      </c>
      <c r="N260" s="37" cm="1">
        <f t="array" ref="N260">IF(OR(ISNUMBER(FIND(Aux!$D$3:$D$9,_xlfn.TEXTJOIN(,,C260:K260)))),NA(),IF(AND(SUM(C260:F260,H260:K260)=0,G260=1),0,INT((SUMPRODUCT(C260:F260,COLUMN($A$1:$D$1)-1)+SUMPRODUCT(H260:K260,COLUMN($E$1:$H$1)-1))*'Line Follower'!$C$3/SUM(C260:F260,H260:K260)-'Line Follower'!$C$5)))</f>
        <v>5</v>
      </c>
      <c r="O260" s="22">
        <v>1</v>
      </c>
      <c r="P260" s="4">
        <f t="shared" si="20"/>
        <v>0</v>
      </c>
      <c r="Q260" s="4">
        <f t="shared" si="21"/>
        <v>0</v>
      </c>
      <c r="R260" s="4">
        <f>IF(AND(B260=1,N260&gt;'Line Follower'!$C$7,SUM(C260:K260)&lt;4),1,0)</f>
        <v>1</v>
      </c>
      <c r="S260" s="4">
        <f>IF(AND(L260=1,N260&lt;'Line Follower'!$C$6,SUM(C260:K260)&lt;4),1,0)</f>
        <v>0</v>
      </c>
      <c r="T260" s="4">
        <f t="shared" ref="T260:T323" si="22">IF(ISNA(N260),NA(),IF(SUM(C260:L260)=0,1,0))</f>
        <v>0</v>
      </c>
      <c r="U260" s="5">
        <f t="shared" ref="U260:U323" si="23">IF(ISNA(N260),NA(),IF(SUM(B260:K260)=0,1,0))</f>
        <v>0</v>
      </c>
      <c r="V260" s="23">
        <f t="shared" ref="V260:V323" si="24">IF(ISNA(N260),NA(),IF(SUM(B260:L260)=0,1,0))</f>
        <v>0</v>
      </c>
    </row>
    <row r="261" spans="2:22" x14ac:dyDescent="0.25">
      <c r="B261" s="16">
        <v>0</v>
      </c>
      <c r="C261" s="7">
        <v>1</v>
      </c>
      <c r="D261" s="8">
        <v>0</v>
      </c>
      <c r="E261" s="8">
        <v>0</v>
      </c>
      <c r="F261" s="8">
        <v>0</v>
      </c>
      <c r="G261" s="8">
        <v>0</v>
      </c>
      <c r="H261" s="8">
        <v>0</v>
      </c>
      <c r="I261" s="8">
        <v>0</v>
      </c>
      <c r="J261" s="8">
        <v>1</v>
      </c>
      <c r="K261" s="9">
        <v>0</v>
      </c>
      <c r="L261" s="10">
        <v>0</v>
      </c>
      <c r="M261" s="6">
        <v>0</v>
      </c>
      <c r="N261" s="37" t="e" cm="1">
        <f t="array" ref="N261">IF(OR(ISNUMBER(FIND(Aux!$D$3:$D$9,_xlfn.TEXTJOIN(,,C261:K261)))),NA(),IF(AND(SUM(C261:F261,H261:K261)=0,G261=1),0,INT((SUMPRODUCT(C261:F261,COLUMN($A$1:$D$1)-1)+SUMPRODUCT(H261:K261,COLUMN($E$1:$H$1)-1))*'Line Follower'!$C$3/SUM(C261:F261,H261:K261)-'Line Follower'!$C$5)))</f>
        <v>#N/A</v>
      </c>
      <c r="O261" s="22" t="e">
        <v>#N/A</v>
      </c>
      <c r="P261" s="4" t="e">
        <f t="shared" si="20"/>
        <v>#N/A</v>
      </c>
      <c r="Q261" s="4" t="e">
        <f t="shared" si="21"/>
        <v>#N/A</v>
      </c>
      <c r="R261" s="4" t="e">
        <f>IF(AND(B261=1,N261&gt;'Line Follower'!$C$7,SUM(C261:K261)&lt;4),1,0)</f>
        <v>#N/A</v>
      </c>
      <c r="S261" s="4" t="e">
        <f>IF(AND(L261=1,N261&lt;'Line Follower'!$C$6,SUM(C261:K261)&lt;4),1,0)</f>
        <v>#N/A</v>
      </c>
      <c r="T261" s="4" t="e">
        <f t="shared" si="22"/>
        <v>#N/A</v>
      </c>
      <c r="U261" s="5" t="e">
        <f t="shared" si="23"/>
        <v>#N/A</v>
      </c>
      <c r="V261" s="23" t="e">
        <f t="shared" si="24"/>
        <v>#N/A</v>
      </c>
    </row>
    <row r="262" spans="2:22" x14ac:dyDescent="0.25">
      <c r="B262" s="16">
        <v>1</v>
      </c>
      <c r="C262" s="7">
        <v>1</v>
      </c>
      <c r="D262" s="8">
        <v>0</v>
      </c>
      <c r="E262" s="8">
        <v>0</v>
      </c>
      <c r="F262" s="8">
        <v>0</v>
      </c>
      <c r="G262" s="8">
        <v>0</v>
      </c>
      <c r="H262" s="8">
        <v>0</v>
      </c>
      <c r="I262" s="8">
        <v>0</v>
      </c>
      <c r="J262" s="8">
        <v>1</v>
      </c>
      <c r="K262" s="9">
        <v>0</v>
      </c>
      <c r="L262" s="10">
        <v>0</v>
      </c>
      <c r="M262" s="6">
        <v>0</v>
      </c>
      <c r="N262" s="37" t="e" cm="1">
        <f t="array" ref="N262">IF(OR(ISNUMBER(FIND(Aux!$D$3:$D$9,_xlfn.TEXTJOIN(,,C262:K262)))),NA(),IF(AND(SUM(C262:F262,H262:K262)=0,G262=1),0,INT((SUMPRODUCT(C262:F262,COLUMN($A$1:$D$1)-1)+SUMPRODUCT(H262:K262,COLUMN($E$1:$H$1)-1))*'Line Follower'!$C$3/SUM(C262:F262,H262:K262)-'Line Follower'!$C$5)))</f>
        <v>#N/A</v>
      </c>
      <c r="O262" s="22" t="e">
        <v>#N/A</v>
      </c>
      <c r="P262" s="4" t="e">
        <f t="shared" si="20"/>
        <v>#N/A</v>
      </c>
      <c r="Q262" s="4" t="e">
        <f t="shared" si="21"/>
        <v>#N/A</v>
      </c>
      <c r="R262" s="4" t="e">
        <f>IF(AND(B262=1,N262&gt;'Line Follower'!$C$7,SUM(C262:K262)&lt;4),1,0)</f>
        <v>#N/A</v>
      </c>
      <c r="S262" s="4" t="e">
        <f>IF(AND(L262=1,N262&lt;'Line Follower'!$C$6,SUM(C262:K262)&lt;4),1,0)</f>
        <v>#N/A</v>
      </c>
      <c r="T262" s="4" t="e">
        <f t="shared" si="22"/>
        <v>#N/A</v>
      </c>
      <c r="U262" s="5" t="e">
        <f t="shared" si="23"/>
        <v>#N/A</v>
      </c>
      <c r="V262" s="23" t="e">
        <f t="shared" si="24"/>
        <v>#N/A</v>
      </c>
    </row>
    <row r="263" spans="2:22" x14ac:dyDescent="0.25">
      <c r="B263" s="16">
        <v>0</v>
      </c>
      <c r="C263" s="7">
        <v>0</v>
      </c>
      <c r="D263" s="8">
        <v>1</v>
      </c>
      <c r="E263" s="8">
        <v>0</v>
      </c>
      <c r="F263" s="8">
        <v>0</v>
      </c>
      <c r="G263" s="8">
        <v>0</v>
      </c>
      <c r="H263" s="8">
        <v>0</v>
      </c>
      <c r="I263" s="8">
        <v>0</v>
      </c>
      <c r="J263" s="8">
        <v>1</v>
      </c>
      <c r="K263" s="9">
        <v>0</v>
      </c>
      <c r="L263" s="10">
        <v>0</v>
      </c>
      <c r="M263" s="6">
        <v>0</v>
      </c>
      <c r="N263" s="37" t="e" cm="1">
        <f t="array" ref="N263">IF(OR(ISNUMBER(FIND(Aux!$D$3:$D$9,_xlfn.TEXTJOIN(,,C263:K263)))),NA(),IF(AND(SUM(C263:F263,H263:K263)=0,G263=1),0,INT((SUMPRODUCT(C263:F263,COLUMN($A$1:$D$1)-1)+SUMPRODUCT(H263:K263,COLUMN($E$1:$H$1)-1))*'Line Follower'!$C$3/SUM(C263:F263,H263:K263)-'Line Follower'!$C$5)))</f>
        <v>#N/A</v>
      </c>
      <c r="O263" s="22" t="e">
        <v>#N/A</v>
      </c>
      <c r="P263" s="4" t="e">
        <f t="shared" si="20"/>
        <v>#N/A</v>
      </c>
      <c r="Q263" s="4" t="e">
        <f t="shared" si="21"/>
        <v>#N/A</v>
      </c>
      <c r="R263" s="4" t="e">
        <f>IF(AND(B263=1,N263&gt;'Line Follower'!$C$7,SUM(C263:K263)&lt;4),1,0)</f>
        <v>#N/A</v>
      </c>
      <c r="S263" s="4" t="e">
        <f>IF(AND(L263=1,N263&lt;'Line Follower'!$C$6,SUM(C263:K263)&lt;4),1,0)</f>
        <v>#N/A</v>
      </c>
      <c r="T263" s="4" t="e">
        <f t="shared" si="22"/>
        <v>#N/A</v>
      </c>
      <c r="U263" s="5" t="e">
        <f t="shared" si="23"/>
        <v>#N/A</v>
      </c>
      <c r="V263" s="23" t="e">
        <f t="shared" si="24"/>
        <v>#N/A</v>
      </c>
    </row>
    <row r="264" spans="2:22" x14ac:dyDescent="0.25">
      <c r="B264" s="16">
        <v>1</v>
      </c>
      <c r="C264" s="7">
        <v>0</v>
      </c>
      <c r="D264" s="8">
        <v>1</v>
      </c>
      <c r="E264" s="8">
        <v>0</v>
      </c>
      <c r="F264" s="8">
        <v>0</v>
      </c>
      <c r="G264" s="8">
        <v>0</v>
      </c>
      <c r="H264" s="8">
        <v>0</v>
      </c>
      <c r="I264" s="8">
        <v>0</v>
      </c>
      <c r="J264" s="8">
        <v>1</v>
      </c>
      <c r="K264" s="9">
        <v>0</v>
      </c>
      <c r="L264" s="10">
        <v>0</v>
      </c>
      <c r="M264" s="6">
        <v>0</v>
      </c>
      <c r="N264" s="37" t="e" cm="1">
        <f t="array" ref="N264">IF(OR(ISNUMBER(FIND(Aux!$D$3:$D$9,_xlfn.TEXTJOIN(,,C264:K264)))),NA(),IF(AND(SUM(C264:F264,H264:K264)=0,G264=1),0,INT((SUMPRODUCT(C264:F264,COLUMN($A$1:$D$1)-1)+SUMPRODUCT(H264:K264,COLUMN($E$1:$H$1)-1))*'Line Follower'!$C$3/SUM(C264:F264,H264:K264)-'Line Follower'!$C$5)))</f>
        <v>#N/A</v>
      </c>
      <c r="O264" s="22" t="e">
        <v>#N/A</v>
      </c>
      <c r="P264" s="4" t="e">
        <f t="shared" si="20"/>
        <v>#N/A</v>
      </c>
      <c r="Q264" s="4" t="e">
        <f t="shared" si="21"/>
        <v>#N/A</v>
      </c>
      <c r="R264" s="4" t="e">
        <f>IF(AND(B264=1,N264&gt;'Line Follower'!$C$7,SUM(C264:K264)&lt;4),1,0)</f>
        <v>#N/A</v>
      </c>
      <c r="S264" s="4" t="e">
        <f>IF(AND(L264=1,N264&lt;'Line Follower'!$C$6,SUM(C264:K264)&lt;4),1,0)</f>
        <v>#N/A</v>
      </c>
      <c r="T264" s="4" t="e">
        <f t="shared" si="22"/>
        <v>#N/A</v>
      </c>
      <c r="U264" s="5" t="e">
        <f t="shared" si="23"/>
        <v>#N/A</v>
      </c>
      <c r="V264" s="23" t="e">
        <f t="shared" si="24"/>
        <v>#N/A</v>
      </c>
    </row>
    <row r="265" spans="2:22" x14ac:dyDescent="0.25">
      <c r="B265" s="16">
        <v>0</v>
      </c>
      <c r="C265" s="7">
        <v>1</v>
      </c>
      <c r="D265" s="8">
        <v>1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1</v>
      </c>
      <c r="K265" s="9">
        <v>0</v>
      </c>
      <c r="L265" s="10">
        <v>0</v>
      </c>
      <c r="M265" s="6">
        <v>0</v>
      </c>
      <c r="N265" s="37" t="e" cm="1">
        <f t="array" ref="N265">IF(OR(ISNUMBER(FIND(Aux!$D$3:$D$9,_xlfn.TEXTJOIN(,,C265:K265)))),NA(),IF(AND(SUM(C265:F265,H265:K265)=0,G265=1),0,INT((SUMPRODUCT(C265:F265,COLUMN($A$1:$D$1)-1)+SUMPRODUCT(H265:K265,COLUMN($E$1:$H$1)-1))*'Line Follower'!$C$3/SUM(C265:F265,H265:K265)-'Line Follower'!$C$5)))</f>
        <v>#N/A</v>
      </c>
      <c r="O265" s="22" t="e">
        <v>#N/A</v>
      </c>
      <c r="P265" s="4" t="e">
        <f t="shared" si="20"/>
        <v>#N/A</v>
      </c>
      <c r="Q265" s="4" t="e">
        <f t="shared" si="21"/>
        <v>#N/A</v>
      </c>
      <c r="R265" s="4" t="e">
        <f>IF(AND(B265=1,N265&gt;'Line Follower'!$C$7,SUM(C265:K265)&lt;4),1,0)</f>
        <v>#N/A</v>
      </c>
      <c r="S265" s="4" t="e">
        <f>IF(AND(L265=1,N265&lt;'Line Follower'!$C$6,SUM(C265:K265)&lt;4),1,0)</f>
        <v>#N/A</v>
      </c>
      <c r="T265" s="4" t="e">
        <f t="shared" si="22"/>
        <v>#N/A</v>
      </c>
      <c r="U265" s="5" t="e">
        <f t="shared" si="23"/>
        <v>#N/A</v>
      </c>
      <c r="V265" s="23" t="e">
        <f t="shared" si="24"/>
        <v>#N/A</v>
      </c>
    </row>
    <row r="266" spans="2:22" x14ac:dyDescent="0.25">
      <c r="B266" s="16">
        <v>1</v>
      </c>
      <c r="C266" s="7">
        <v>1</v>
      </c>
      <c r="D266" s="8">
        <v>1</v>
      </c>
      <c r="E266" s="8">
        <v>0</v>
      </c>
      <c r="F266" s="8">
        <v>0</v>
      </c>
      <c r="G266" s="8">
        <v>0</v>
      </c>
      <c r="H266" s="8">
        <v>0</v>
      </c>
      <c r="I266" s="8">
        <v>0</v>
      </c>
      <c r="J266" s="8">
        <v>1</v>
      </c>
      <c r="K266" s="9">
        <v>0</v>
      </c>
      <c r="L266" s="10">
        <v>0</v>
      </c>
      <c r="M266" s="6">
        <v>0</v>
      </c>
      <c r="N266" s="37" t="e" cm="1">
        <f t="array" ref="N266">IF(OR(ISNUMBER(FIND(Aux!$D$3:$D$9,_xlfn.TEXTJOIN(,,C266:K266)))),NA(),IF(AND(SUM(C266:F266,H266:K266)=0,G266=1),0,INT((SUMPRODUCT(C266:F266,COLUMN($A$1:$D$1)-1)+SUMPRODUCT(H266:K266,COLUMN($E$1:$H$1)-1))*'Line Follower'!$C$3/SUM(C266:F266,H266:K266)-'Line Follower'!$C$5)))</f>
        <v>#N/A</v>
      </c>
      <c r="O266" s="22" t="e">
        <v>#N/A</v>
      </c>
      <c r="P266" s="4" t="e">
        <f t="shared" si="20"/>
        <v>#N/A</v>
      </c>
      <c r="Q266" s="4" t="e">
        <f t="shared" si="21"/>
        <v>#N/A</v>
      </c>
      <c r="R266" s="4" t="e">
        <f>IF(AND(B266=1,N266&gt;'Line Follower'!$C$7,SUM(C266:K266)&lt;4),1,0)</f>
        <v>#N/A</v>
      </c>
      <c r="S266" s="4" t="e">
        <f>IF(AND(L266=1,N266&lt;'Line Follower'!$C$6,SUM(C266:K266)&lt;4),1,0)</f>
        <v>#N/A</v>
      </c>
      <c r="T266" s="4" t="e">
        <f t="shared" si="22"/>
        <v>#N/A</v>
      </c>
      <c r="U266" s="5" t="e">
        <f t="shared" si="23"/>
        <v>#N/A</v>
      </c>
      <c r="V266" s="23" t="e">
        <f t="shared" si="24"/>
        <v>#N/A</v>
      </c>
    </row>
    <row r="267" spans="2:22" x14ac:dyDescent="0.25">
      <c r="B267" s="16">
        <v>0</v>
      </c>
      <c r="C267" s="7">
        <v>0</v>
      </c>
      <c r="D267" s="8">
        <v>0</v>
      </c>
      <c r="E267" s="8">
        <v>1</v>
      </c>
      <c r="F267" s="8">
        <v>0</v>
      </c>
      <c r="G267" s="8">
        <v>0</v>
      </c>
      <c r="H267" s="8">
        <v>0</v>
      </c>
      <c r="I267" s="8">
        <v>0</v>
      </c>
      <c r="J267" s="8">
        <v>1</v>
      </c>
      <c r="K267" s="9">
        <v>0</v>
      </c>
      <c r="L267" s="10">
        <v>0</v>
      </c>
      <c r="M267" s="6">
        <v>0</v>
      </c>
      <c r="N267" s="37" t="e" cm="1">
        <f t="array" ref="N267">IF(OR(ISNUMBER(FIND(Aux!$D$3:$D$9,_xlfn.TEXTJOIN(,,C267:K267)))),NA(),IF(AND(SUM(C267:F267,H267:K267)=0,G267=1),0,INT((SUMPRODUCT(C267:F267,COLUMN($A$1:$D$1)-1)+SUMPRODUCT(H267:K267,COLUMN($E$1:$H$1)-1))*'Line Follower'!$C$3/SUM(C267:F267,H267:K267)-'Line Follower'!$C$5)))</f>
        <v>#N/A</v>
      </c>
      <c r="O267" s="22" t="e">
        <v>#N/A</v>
      </c>
      <c r="P267" s="4" t="e">
        <f t="shared" si="20"/>
        <v>#N/A</v>
      </c>
      <c r="Q267" s="4" t="e">
        <f t="shared" si="21"/>
        <v>#N/A</v>
      </c>
      <c r="R267" s="4" t="e">
        <f>IF(AND(B267=1,N267&gt;'Line Follower'!$C$7,SUM(C267:K267)&lt;4),1,0)</f>
        <v>#N/A</v>
      </c>
      <c r="S267" s="4" t="e">
        <f>IF(AND(L267=1,N267&lt;'Line Follower'!$C$6,SUM(C267:K267)&lt;4),1,0)</f>
        <v>#N/A</v>
      </c>
      <c r="T267" s="4" t="e">
        <f t="shared" si="22"/>
        <v>#N/A</v>
      </c>
      <c r="U267" s="5" t="e">
        <f t="shared" si="23"/>
        <v>#N/A</v>
      </c>
      <c r="V267" s="23" t="e">
        <f t="shared" si="24"/>
        <v>#N/A</v>
      </c>
    </row>
    <row r="268" spans="2:22" x14ac:dyDescent="0.25">
      <c r="B268" s="16">
        <v>1</v>
      </c>
      <c r="C268" s="7">
        <v>0</v>
      </c>
      <c r="D268" s="8">
        <v>0</v>
      </c>
      <c r="E268" s="8">
        <v>1</v>
      </c>
      <c r="F268" s="8">
        <v>0</v>
      </c>
      <c r="G268" s="8">
        <v>0</v>
      </c>
      <c r="H268" s="8">
        <v>0</v>
      </c>
      <c r="I268" s="8">
        <v>0</v>
      </c>
      <c r="J268" s="8">
        <v>1</v>
      </c>
      <c r="K268" s="9">
        <v>0</v>
      </c>
      <c r="L268" s="10">
        <v>0</v>
      </c>
      <c r="M268" s="6">
        <v>0</v>
      </c>
      <c r="N268" s="37" t="e" cm="1">
        <f t="array" ref="N268">IF(OR(ISNUMBER(FIND(Aux!$D$3:$D$9,_xlfn.TEXTJOIN(,,C268:K268)))),NA(),IF(AND(SUM(C268:F268,H268:K268)=0,G268=1),0,INT((SUMPRODUCT(C268:F268,COLUMN($A$1:$D$1)-1)+SUMPRODUCT(H268:K268,COLUMN($E$1:$H$1)-1))*'Line Follower'!$C$3/SUM(C268:F268,H268:K268)-'Line Follower'!$C$5)))</f>
        <v>#N/A</v>
      </c>
      <c r="O268" s="22" t="e">
        <v>#N/A</v>
      </c>
      <c r="P268" s="4" t="e">
        <f t="shared" si="20"/>
        <v>#N/A</v>
      </c>
      <c r="Q268" s="4" t="e">
        <f t="shared" si="21"/>
        <v>#N/A</v>
      </c>
      <c r="R268" s="4" t="e">
        <f>IF(AND(B268=1,N268&gt;'Line Follower'!$C$7,SUM(C268:K268)&lt;4),1,0)</f>
        <v>#N/A</v>
      </c>
      <c r="S268" s="4" t="e">
        <f>IF(AND(L268=1,N268&lt;'Line Follower'!$C$6,SUM(C268:K268)&lt;4),1,0)</f>
        <v>#N/A</v>
      </c>
      <c r="T268" s="4" t="e">
        <f t="shared" si="22"/>
        <v>#N/A</v>
      </c>
      <c r="U268" s="5" t="e">
        <f t="shared" si="23"/>
        <v>#N/A</v>
      </c>
      <c r="V268" s="23" t="e">
        <f t="shared" si="24"/>
        <v>#N/A</v>
      </c>
    </row>
    <row r="269" spans="2:22" x14ac:dyDescent="0.25">
      <c r="B269" s="16">
        <v>0</v>
      </c>
      <c r="C269" s="7">
        <v>1</v>
      </c>
      <c r="D269" s="8">
        <v>0</v>
      </c>
      <c r="E269" s="8">
        <v>1</v>
      </c>
      <c r="F269" s="8">
        <v>0</v>
      </c>
      <c r="G269" s="8">
        <v>0</v>
      </c>
      <c r="H269" s="8">
        <v>0</v>
      </c>
      <c r="I269" s="8">
        <v>0</v>
      </c>
      <c r="J269" s="8">
        <v>1</v>
      </c>
      <c r="K269" s="9">
        <v>0</v>
      </c>
      <c r="L269" s="10">
        <v>0</v>
      </c>
      <c r="M269" s="6">
        <v>0</v>
      </c>
      <c r="N269" s="37" t="e" cm="1">
        <f t="array" ref="N269">IF(OR(ISNUMBER(FIND(Aux!$D$3:$D$9,_xlfn.TEXTJOIN(,,C269:K269)))),NA(),IF(AND(SUM(C269:F269,H269:K269)=0,G269=1),0,INT((SUMPRODUCT(C269:F269,COLUMN($A$1:$D$1)-1)+SUMPRODUCT(H269:K269,COLUMN($E$1:$H$1)-1))*'Line Follower'!$C$3/SUM(C269:F269,H269:K269)-'Line Follower'!$C$5)))</f>
        <v>#N/A</v>
      </c>
      <c r="O269" s="22" t="e">
        <v>#N/A</v>
      </c>
      <c r="P269" s="4" t="e">
        <f t="shared" si="20"/>
        <v>#N/A</v>
      </c>
      <c r="Q269" s="4" t="e">
        <f t="shared" si="21"/>
        <v>#N/A</v>
      </c>
      <c r="R269" s="4" t="e">
        <f>IF(AND(B269=1,N269&gt;'Line Follower'!$C$7,SUM(C269:K269)&lt;4),1,0)</f>
        <v>#N/A</v>
      </c>
      <c r="S269" s="4" t="e">
        <f>IF(AND(L269=1,N269&lt;'Line Follower'!$C$6,SUM(C269:K269)&lt;4),1,0)</f>
        <v>#N/A</v>
      </c>
      <c r="T269" s="4" t="e">
        <f t="shared" si="22"/>
        <v>#N/A</v>
      </c>
      <c r="U269" s="5" t="e">
        <f t="shared" si="23"/>
        <v>#N/A</v>
      </c>
      <c r="V269" s="23" t="e">
        <f t="shared" si="24"/>
        <v>#N/A</v>
      </c>
    </row>
    <row r="270" spans="2:22" x14ac:dyDescent="0.25">
      <c r="B270" s="16">
        <v>1</v>
      </c>
      <c r="C270" s="7">
        <v>1</v>
      </c>
      <c r="D270" s="8">
        <v>0</v>
      </c>
      <c r="E270" s="8">
        <v>1</v>
      </c>
      <c r="F270" s="8">
        <v>0</v>
      </c>
      <c r="G270" s="8">
        <v>0</v>
      </c>
      <c r="H270" s="8">
        <v>0</v>
      </c>
      <c r="I270" s="8">
        <v>0</v>
      </c>
      <c r="J270" s="8">
        <v>1</v>
      </c>
      <c r="K270" s="9">
        <v>0</v>
      </c>
      <c r="L270" s="10">
        <v>0</v>
      </c>
      <c r="M270" s="6">
        <v>0</v>
      </c>
      <c r="N270" s="37" t="e" cm="1">
        <f t="array" ref="N270">IF(OR(ISNUMBER(FIND(Aux!$D$3:$D$9,_xlfn.TEXTJOIN(,,C270:K270)))),NA(),IF(AND(SUM(C270:F270,H270:K270)=0,G270=1),0,INT((SUMPRODUCT(C270:F270,COLUMN($A$1:$D$1)-1)+SUMPRODUCT(H270:K270,COLUMN($E$1:$H$1)-1))*'Line Follower'!$C$3/SUM(C270:F270,H270:K270)-'Line Follower'!$C$5)))</f>
        <v>#N/A</v>
      </c>
      <c r="O270" s="22" t="e">
        <v>#N/A</v>
      </c>
      <c r="P270" s="4" t="e">
        <f t="shared" si="20"/>
        <v>#N/A</v>
      </c>
      <c r="Q270" s="4" t="e">
        <f t="shared" si="21"/>
        <v>#N/A</v>
      </c>
      <c r="R270" s="4" t="e">
        <f>IF(AND(B270=1,N270&gt;'Line Follower'!$C$7,SUM(C270:K270)&lt;4),1,0)</f>
        <v>#N/A</v>
      </c>
      <c r="S270" s="4" t="e">
        <f>IF(AND(L270=1,N270&lt;'Line Follower'!$C$6,SUM(C270:K270)&lt;4),1,0)</f>
        <v>#N/A</v>
      </c>
      <c r="T270" s="4" t="e">
        <f t="shared" si="22"/>
        <v>#N/A</v>
      </c>
      <c r="U270" s="5" t="e">
        <f t="shared" si="23"/>
        <v>#N/A</v>
      </c>
      <c r="V270" s="23" t="e">
        <f t="shared" si="24"/>
        <v>#N/A</v>
      </c>
    </row>
    <row r="271" spans="2:22" x14ac:dyDescent="0.25">
      <c r="B271" s="16">
        <v>0</v>
      </c>
      <c r="C271" s="7">
        <v>0</v>
      </c>
      <c r="D271" s="8">
        <v>1</v>
      </c>
      <c r="E271" s="8">
        <v>1</v>
      </c>
      <c r="F271" s="8">
        <v>0</v>
      </c>
      <c r="G271" s="8">
        <v>0</v>
      </c>
      <c r="H271" s="8">
        <v>0</v>
      </c>
      <c r="I271" s="8">
        <v>0</v>
      </c>
      <c r="J271" s="8">
        <v>1</v>
      </c>
      <c r="K271" s="9">
        <v>0</v>
      </c>
      <c r="L271" s="10">
        <v>0</v>
      </c>
      <c r="M271" s="6">
        <v>0</v>
      </c>
      <c r="N271" s="37" t="e" cm="1">
        <f t="array" ref="N271">IF(OR(ISNUMBER(FIND(Aux!$D$3:$D$9,_xlfn.TEXTJOIN(,,C271:K271)))),NA(),IF(AND(SUM(C271:F271,H271:K271)=0,G271=1),0,INT((SUMPRODUCT(C271:F271,COLUMN($A$1:$D$1)-1)+SUMPRODUCT(H271:K271,COLUMN($E$1:$H$1)-1))*'Line Follower'!$C$3/SUM(C271:F271,H271:K271)-'Line Follower'!$C$5)))</f>
        <v>#N/A</v>
      </c>
      <c r="O271" s="22" t="e">
        <v>#N/A</v>
      </c>
      <c r="P271" s="4" t="e">
        <f t="shared" si="20"/>
        <v>#N/A</v>
      </c>
      <c r="Q271" s="4" t="e">
        <f t="shared" si="21"/>
        <v>#N/A</v>
      </c>
      <c r="R271" s="4" t="e">
        <f>IF(AND(B271=1,N271&gt;'Line Follower'!$C$7,SUM(C271:K271)&lt;4),1,0)</f>
        <v>#N/A</v>
      </c>
      <c r="S271" s="4" t="e">
        <f>IF(AND(L271=1,N271&lt;'Line Follower'!$C$6,SUM(C271:K271)&lt;4),1,0)</f>
        <v>#N/A</v>
      </c>
      <c r="T271" s="4" t="e">
        <f t="shared" si="22"/>
        <v>#N/A</v>
      </c>
      <c r="U271" s="5" t="e">
        <f t="shared" si="23"/>
        <v>#N/A</v>
      </c>
      <c r="V271" s="23" t="e">
        <f t="shared" si="24"/>
        <v>#N/A</v>
      </c>
    </row>
    <row r="272" spans="2:22" x14ac:dyDescent="0.25">
      <c r="B272" s="16">
        <v>1</v>
      </c>
      <c r="C272" s="7">
        <v>0</v>
      </c>
      <c r="D272" s="8">
        <v>1</v>
      </c>
      <c r="E272" s="8">
        <v>1</v>
      </c>
      <c r="F272" s="8">
        <v>0</v>
      </c>
      <c r="G272" s="8">
        <v>0</v>
      </c>
      <c r="H272" s="8">
        <v>0</v>
      </c>
      <c r="I272" s="8">
        <v>0</v>
      </c>
      <c r="J272" s="8">
        <v>1</v>
      </c>
      <c r="K272" s="9">
        <v>0</v>
      </c>
      <c r="L272" s="10">
        <v>0</v>
      </c>
      <c r="M272" s="6">
        <v>0</v>
      </c>
      <c r="N272" s="37" t="e" cm="1">
        <f t="array" ref="N272">IF(OR(ISNUMBER(FIND(Aux!$D$3:$D$9,_xlfn.TEXTJOIN(,,C272:K272)))),NA(),IF(AND(SUM(C272:F272,H272:K272)=0,G272=1),0,INT((SUMPRODUCT(C272:F272,COLUMN($A$1:$D$1)-1)+SUMPRODUCT(H272:K272,COLUMN($E$1:$H$1)-1))*'Line Follower'!$C$3/SUM(C272:F272,H272:K272)-'Line Follower'!$C$5)))</f>
        <v>#N/A</v>
      </c>
      <c r="O272" s="22" t="e">
        <v>#N/A</v>
      </c>
      <c r="P272" s="4" t="e">
        <f t="shared" si="20"/>
        <v>#N/A</v>
      </c>
      <c r="Q272" s="4" t="e">
        <f t="shared" si="21"/>
        <v>#N/A</v>
      </c>
      <c r="R272" s="4" t="e">
        <f>IF(AND(B272=1,N272&gt;'Line Follower'!$C$7,SUM(C272:K272)&lt;4),1,0)</f>
        <v>#N/A</v>
      </c>
      <c r="S272" s="4" t="e">
        <f>IF(AND(L272=1,N272&lt;'Line Follower'!$C$6,SUM(C272:K272)&lt;4),1,0)</f>
        <v>#N/A</v>
      </c>
      <c r="T272" s="4" t="e">
        <f t="shared" si="22"/>
        <v>#N/A</v>
      </c>
      <c r="U272" s="5" t="e">
        <f t="shared" si="23"/>
        <v>#N/A</v>
      </c>
      <c r="V272" s="23" t="e">
        <f t="shared" si="24"/>
        <v>#N/A</v>
      </c>
    </row>
    <row r="273" spans="2:22" x14ac:dyDescent="0.25">
      <c r="B273" s="16">
        <v>0</v>
      </c>
      <c r="C273" s="7">
        <v>1</v>
      </c>
      <c r="D273" s="8">
        <v>1</v>
      </c>
      <c r="E273" s="8">
        <v>1</v>
      </c>
      <c r="F273" s="8">
        <v>0</v>
      </c>
      <c r="G273" s="8">
        <v>0</v>
      </c>
      <c r="H273" s="8">
        <v>0</v>
      </c>
      <c r="I273" s="8">
        <v>0</v>
      </c>
      <c r="J273" s="8">
        <v>1</v>
      </c>
      <c r="K273" s="9">
        <v>0</v>
      </c>
      <c r="L273" s="10">
        <v>0</v>
      </c>
      <c r="M273" s="6">
        <v>0</v>
      </c>
      <c r="N273" s="37" t="e" cm="1">
        <f t="array" ref="N273">IF(OR(ISNUMBER(FIND(Aux!$D$3:$D$9,_xlfn.TEXTJOIN(,,C273:K273)))),NA(),IF(AND(SUM(C273:F273,H273:K273)=0,G273=1),0,INT((SUMPRODUCT(C273:F273,COLUMN($A$1:$D$1)-1)+SUMPRODUCT(H273:K273,COLUMN($E$1:$H$1)-1))*'Line Follower'!$C$3/SUM(C273:F273,H273:K273)-'Line Follower'!$C$5)))</f>
        <v>#N/A</v>
      </c>
      <c r="O273" s="22" t="e">
        <v>#N/A</v>
      </c>
      <c r="P273" s="4" t="e">
        <f t="shared" si="20"/>
        <v>#N/A</v>
      </c>
      <c r="Q273" s="4" t="e">
        <f t="shared" si="21"/>
        <v>#N/A</v>
      </c>
      <c r="R273" s="4" t="e">
        <f>IF(AND(B273=1,N273&gt;'Line Follower'!$C$7,SUM(C273:K273)&lt;4),1,0)</f>
        <v>#N/A</v>
      </c>
      <c r="S273" s="4" t="e">
        <f>IF(AND(L273=1,N273&lt;'Line Follower'!$C$6,SUM(C273:K273)&lt;4),1,0)</f>
        <v>#N/A</v>
      </c>
      <c r="T273" s="4" t="e">
        <f t="shared" si="22"/>
        <v>#N/A</v>
      </c>
      <c r="U273" s="5" t="e">
        <f t="shared" si="23"/>
        <v>#N/A</v>
      </c>
      <c r="V273" s="23" t="e">
        <f t="shared" si="24"/>
        <v>#N/A</v>
      </c>
    </row>
    <row r="274" spans="2:22" x14ac:dyDescent="0.25">
      <c r="B274" s="16">
        <v>1</v>
      </c>
      <c r="C274" s="7">
        <v>1</v>
      </c>
      <c r="D274" s="8">
        <v>1</v>
      </c>
      <c r="E274" s="8">
        <v>1</v>
      </c>
      <c r="F274" s="8">
        <v>0</v>
      </c>
      <c r="G274" s="8">
        <v>0</v>
      </c>
      <c r="H274" s="8">
        <v>0</v>
      </c>
      <c r="I274" s="8">
        <v>0</v>
      </c>
      <c r="J274" s="8">
        <v>1</v>
      </c>
      <c r="K274" s="9">
        <v>0</v>
      </c>
      <c r="L274" s="10">
        <v>0</v>
      </c>
      <c r="M274" s="6">
        <v>0</v>
      </c>
      <c r="N274" s="37" t="e" cm="1">
        <f t="array" ref="N274">IF(OR(ISNUMBER(FIND(Aux!$D$3:$D$9,_xlfn.TEXTJOIN(,,C274:K274)))),NA(),IF(AND(SUM(C274:F274,H274:K274)=0,G274=1),0,INT((SUMPRODUCT(C274:F274,COLUMN($A$1:$D$1)-1)+SUMPRODUCT(H274:K274,COLUMN($E$1:$H$1)-1))*'Line Follower'!$C$3/SUM(C274:F274,H274:K274)-'Line Follower'!$C$5)))</f>
        <v>#N/A</v>
      </c>
      <c r="O274" s="22" t="e">
        <v>#N/A</v>
      </c>
      <c r="P274" s="4" t="e">
        <f t="shared" si="20"/>
        <v>#N/A</v>
      </c>
      <c r="Q274" s="4" t="e">
        <f t="shared" si="21"/>
        <v>#N/A</v>
      </c>
      <c r="R274" s="4" t="e">
        <f>IF(AND(B274=1,N274&gt;'Line Follower'!$C$7,SUM(C274:K274)&lt;4),1,0)</f>
        <v>#N/A</v>
      </c>
      <c r="S274" s="4" t="e">
        <f>IF(AND(L274=1,N274&lt;'Line Follower'!$C$6,SUM(C274:K274)&lt;4),1,0)</f>
        <v>#N/A</v>
      </c>
      <c r="T274" s="4" t="e">
        <f t="shared" si="22"/>
        <v>#N/A</v>
      </c>
      <c r="U274" s="5" t="e">
        <f t="shared" si="23"/>
        <v>#N/A</v>
      </c>
      <c r="V274" s="23" t="e">
        <f t="shared" si="24"/>
        <v>#N/A</v>
      </c>
    </row>
    <row r="275" spans="2:22" x14ac:dyDescent="0.25">
      <c r="B275" s="16">
        <v>0</v>
      </c>
      <c r="C275" s="7">
        <v>0</v>
      </c>
      <c r="D275" s="8">
        <v>0</v>
      </c>
      <c r="E275" s="8">
        <v>0</v>
      </c>
      <c r="F275" s="8">
        <v>1</v>
      </c>
      <c r="G275" s="8">
        <v>0</v>
      </c>
      <c r="H275" s="8">
        <v>0</v>
      </c>
      <c r="I275" s="8">
        <v>0</v>
      </c>
      <c r="J275" s="8">
        <v>1</v>
      </c>
      <c r="K275" s="9">
        <v>0</v>
      </c>
      <c r="L275" s="10">
        <v>0</v>
      </c>
      <c r="M275" s="6">
        <v>0</v>
      </c>
      <c r="N275" s="37" t="e" cm="1">
        <f t="array" ref="N275">IF(OR(ISNUMBER(FIND(Aux!$D$3:$D$9,_xlfn.TEXTJOIN(,,C275:K275)))),NA(),IF(AND(SUM(C275:F275,H275:K275)=0,G275=1),0,INT((SUMPRODUCT(C275:F275,COLUMN($A$1:$D$1)-1)+SUMPRODUCT(H275:K275,COLUMN($E$1:$H$1)-1))*'Line Follower'!$C$3/SUM(C275:F275,H275:K275)-'Line Follower'!$C$5)))</f>
        <v>#N/A</v>
      </c>
      <c r="O275" s="22" t="e">
        <v>#N/A</v>
      </c>
      <c r="P275" s="4" t="e">
        <f t="shared" si="20"/>
        <v>#N/A</v>
      </c>
      <c r="Q275" s="4" t="e">
        <f t="shared" si="21"/>
        <v>#N/A</v>
      </c>
      <c r="R275" s="4" t="e">
        <f>IF(AND(B275=1,N275&gt;'Line Follower'!$C$7,SUM(C275:K275)&lt;4),1,0)</f>
        <v>#N/A</v>
      </c>
      <c r="S275" s="4" t="e">
        <f>IF(AND(L275=1,N275&lt;'Line Follower'!$C$6,SUM(C275:K275)&lt;4),1,0)</f>
        <v>#N/A</v>
      </c>
      <c r="T275" s="4" t="e">
        <f t="shared" si="22"/>
        <v>#N/A</v>
      </c>
      <c r="U275" s="5" t="e">
        <f t="shared" si="23"/>
        <v>#N/A</v>
      </c>
      <c r="V275" s="23" t="e">
        <f t="shared" si="24"/>
        <v>#N/A</v>
      </c>
    </row>
    <row r="276" spans="2:22" x14ac:dyDescent="0.25">
      <c r="B276" s="16">
        <v>1</v>
      </c>
      <c r="C276" s="7">
        <v>0</v>
      </c>
      <c r="D276" s="8">
        <v>0</v>
      </c>
      <c r="E276" s="8">
        <v>0</v>
      </c>
      <c r="F276" s="8">
        <v>1</v>
      </c>
      <c r="G276" s="8">
        <v>0</v>
      </c>
      <c r="H276" s="8">
        <v>0</v>
      </c>
      <c r="I276" s="8">
        <v>0</v>
      </c>
      <c r="J276" s="8">
        <v>1</v>
      </c>
      <c r="K276" s="9">
        <v>0</v>
      </c>
      <c r="L276" s="10">
        <v>0</v>
      </c>
      <c r="M276" s="6">
        <v>0</v>
      </c>
      <c r="N276" s="37" t="e" cm="1">
        <f t="array" ref="N276">IF(OR(ISNUMBER(FIND(Aux!$D$3:$D$9,_xlfn.TEXTJOIN(,,C276:K276)))),NA(),IF(AND(SUM(C276:F276,H276:K276)=0,G276=1),0,INT((SUMPRODUCT(C276:F276,COLUMN($A$1:$D$1)-1)+SUMPRODUCT(H276:K276,COLUMN($E$1:$H$1)-1))*'Line Follower'!$C$3/SUM(C276:F276,H276:K276)-'Line Follower'!$C$5)))</f>
        <v>#N/A</v>
      </c>
      <c r="O276" s="22" t="e">
        <v>#N/A</v>
      </c>
      <c r="P276" s="4" t="e">
        <f t="shared" si="20"/>
        <v>#N/A</v>
      </c>
      <c r="Q276" s="4" t="e">
        <f t="shared" si="21"/>
        <v>#N/A</v>
      </c>
      <c r="R276" s="4" t="e">
        <f>IF(AND(B276=1,N276&gt;'Line Follower'!$C$7,SUM(C276:K276)&lt;4),1,0)</f>
        <v>#N/A</v>
      </c>
      <c r="S276" s="4" t="e">
        <f>IF(AND(L276=1,N276&lt;'Line Follower'!$C$6,SUM(C276:K276)&lt;4),1,0)</f>
        <v>#N/A</v>
      </c>
      <c r="T276" s="4" t="e">
        <f t="shared" si="22"/>
        <v>#N/A</v>
      </c>
      <c r="U276" s="5" t="e">
        <f t="shared" si="23"/>
        <v>#N/A</v>
      </c>
      <c r="V276" s="23" t="e">
        <f t="shared" si="24"/>
        <v>#N/A</v>
      </c>
    </row>
    <row r="277" spans="2:22" x14ac:dyDescent="0.25">
      <c r="B277" s="16">
        <v>0</v>
      </c>
      <c r="C277" s="7">
        <v>1</v>
      </c>
      <c r="D277" s="8">
        <v>0</v>
      </c>
      <c r="E277" s="8">
        <v>0</v>
      </c>
      <c r="F277" s="8">
        <v>1</v>
      </c>
      <c r="G277" s="8">
        <v>0</v>
      </c>
      <c r="H277" s="8">
        <v>0</v>
      </c>
      <c r="I277" s="8">
        <v>0</v>
      </c>
      <c r="J277" s="8">
        <v>1</v>
      </c>
      <c r="K277" s="9">
        <v>0</v>
      </c>
      <c r="L277" s="10">
        <v>0</v>
      </c>
      <c r="M277" s="6">
        <v>0</v>
      </c>
      <c r="N277" s="37" t="e" cm="1">
        <f t="array" ref="N277">IF(OR(ISNUMBER(FIND(Aux!$D$3:$D$9,_xlfn.TEXTJOIN(,,C277:K277)))),NA(),IF(AND(SUM(C277:F277,H277:K277)=0,G277=1),0,INT((SUMPRODUCT(C277:F277,COLUMN($A$1:$D$1)-1)+SUMPRODUCT(H277:K277,COLUMN($E$1:$H$1)-1))*'Line Follower'!$C$3/SUM(C277:F277,H277:K277)-'Line Follower'!$C$5)))</f>
        <v>#N/A</v>
      </c>
      <c r="O277" s="22" t="e">
        <v>#N/A</v>
      </c>
      <c r="P277" s="4" t="e">
        <f t="shared" si="20"/>
        <v>#N/A</v>
      </c>
      <c r="Q277" s="4" t="e">
        <f t="shared" si="21"/>
        <v>#N/A</v>
      </c>
      <c r="R277" s="4" t="e">
        <f>IF(AND(B277=1,N277&gt;'Line Follower'!$C$7,SUM(C277:K277)&lt;4),1,0)</f>
        <v>#N/A</v>
      </c>
      <c r="S277" s="4" t="e">
        <f>IF(AND(L277=1,N277&lt;'Line Follower'!$C$6,SUM(C277:K277)&lt;4),1,0)</f>
        <v>#N/A</v>
      </c>
      <c r="T277" s="4" t="e">
        <f t="shared" si="22"/>
        <v>#N/A</v>
      </c>
      <c r="U277" s="5" t="e">
        <f t="shared" si="23"/>
        <v>#N/A</v>
      </c>
      <c r="V277" s="23" t="e">
        <f t="shared" si="24"/>
        <v>#N/A</v>
      </c>
    </row>
    <row r="278" spans="2:22" x14ac:dyDescent="0.25">
      <c r="B278" s="16">
        <v>1</v>
      </c>
      <c r="C278" s="7">
        <v>1</v>
      </c>
      <c r="D278" s="8">
        <v>0</v>
      </c>
      <c r="E278" s="8">
        <v>0</v>
      </c>
      <c r="F278" s="8">
        <v>1</v>
      </c>
      <c r="G278" s="8">
        <v>0</v>
      </c>
      <c r="H278" s="8">
        <v>0</v>
      </c>
      <c r="I278" s="8">
        <v>0</v>
      </c>
      <c r="J278" s="8">
        <v>1</v>
      </c>
      <c r="K278" s="9">
        <v>0</v>
      </c>
      <c r="L278" s="10">
        <v>0</v>
      </c>
      <c r="M278" s="6">
        <v>0</v>
      </c>
      <c r="N278" s="37" t="e" cm="1">
        <f t="array" ref="N278">IF(OR(ISNUMBER(FIND(Aux!$D$3:$D$9,_xlfn.TEXTJOIN(,,C278:K278)))),NA(),IF(AND(SUM(C278:F278,H278:K278)=0,G278=1),0,INT((SUMPRODUCT(C278:F278,COLUMN($A$1:$D$1)-1)+SUMPRODUCT(H278:K278,COLUMN($E$1:$H$1)-1))*'Line Follower'!$C$3/SUM(C278:F278,H278:K278)-'Line Follower'!$C$5)))</f>
        <v>#N/A</v>
      </c>
      <c r="O278" s="22" t="e">
        <v>#N/A</v>
      </c>
      <c r="P278" s="4" t="e">
        <f t="shared" si="20"/>
        <v>#N/A</v>
      </c>
      <c r="Q278" s="4" t="e">
        <f t="shared" si="21"/>
        <v>#N/A</v>
      </c>
      <c r="R278" s="4" t="e">
        <f>IF(AND(B278=1,N278&gt;'Line Follower'!$C$7,SUM(C278:K278)&lt;4),1,0)</f>
        <v>#N/A</v>
      </c>
      <c r="S278" s="4" t="e">
        <f>IF(AND(L278=1,N278&lt;'Line Follower'!$C$6,SUM(C278:K278)&lt;4),1,0)</f>
        <v>#N/A</v>
      </c>
      <c r="T278" s="4" t="e">
        <f t="shared" si="22"/>
        <v>#N/A</v>
      </c>
      <c r="U278" s="5" t="e">
        <f t="shared" si="23"/>
        <v>#N/A</v>
      </c>
      <c r="V278" s="23" t="e">
        <f t="shared" si="24"/>
        <v>#N/A</v>
      </c>
    </row>
    <row r="279" spans="2:22" x14ac:dyDescent="0.25">
      <c r="B279" s="16">
        <v>0</v>
      </c>
      <c r="C279" s="7">
        <v>0</v>
      </c>
      <c r="D279" s="8">
        <v>1</v>
      </c>
      <c r="E279" s="8">
        <v>0</v>
      </c>
      <c r="F279" s="8">
        <v>1</v>
      </c>
      <c r="G279" s="8">
        <v>0</v>
      </c>
      <c r="H279" s="8">
        <v>0</v>
      </c>
      <c r="I279" s="8">
        <v>0</v>
      </c>
      <c r="J279" s="8">
        <v>1</v>
      </c>
      <c r="K279" s="9">
        <v>0</v>
      </c>
      <c r="L279" s="10">
        <v>0</v>
      </c>
      <c r="M279" s="6">
        <v>0</v>
      </c>
      <c r="N279" s="37" t="e" cm="1">
        <f t="array" ref="N279">IF(OR(ISNUMBER(FIND(Aux!$D$3:$D$9,_xlfn.TEXTJOIN(,,C279:K279)))),NA(),IF(AND(SUM(C279:F279,H279:K279)=0,G279=1),0,INT((SUMPRODUCT(C279:F279,COLUMN($A$1:$D$1)-1)+SUMPRODUCT(H279:K279,COLUMN($E$1:$H$1)-1))*'Line Follower'!$C$3/SUM(C279:F279,H279:K279)-'Line Follower'!$C$5)))</f>
        <v>#N/A</v>
      </c>
      <c r="O279" s="22" t="e">
        <v>#N/A</v>
      </c>
      <c r="P279" s="4" t="e">
        <f t="shared" si="20"/>
        <v>#N/A</v>
      </c>
      <c r="Q279" s="4" t="e">
        <f t="shared" si="21"/>
        <v>#N/A</v>
      </c>
      <c r="R279" s="4" t="e">
        <f>IF(AND(B279=1,N279&gt;'Line Follower'!$C$7,SUM(C279:K279)&lt;4),1,0)</f>
        <v>#N/A</v>
      </c>
      <c r="S279" s="4" t="e">
        <f>IF(AND(L279=1,N279&lt;'Line Follower'!$C$6,SUM(C279:K279)&lt;4),1,0)</f>
        <v>#N/A</v>
      </c>
      <c r="T279" s="4" t="e">
        <f t="shared" si="22"/>
        <v>#N/A</v>
      </c>
      <c r="U279" s="5" t="e">
        <f t="shared" si="23"/>
        <v>#N/A</v>
      </c>
      <c r="V279" s="23" t="e">
        <f t="shared" si="24"/>
        <v>#N/A</v>
      </c>
    </row>
    <row r="280" spans="2:22" x14ac:dyDescent="0.25">
      <c r="B280" s="16">
        <v>1</v>
      </c>
      <c r="C280" s="7">
        <v>0</v>
      </c>
      <c r="D280" s="8">
        <v>1</v>
      </c>
      <c r="E280" s="8">
        <v>0</v>
      </c>
      <c r="F280" s="8">
        <v>1</v>
      </c>
      <c r="G280" s="8">
        <v>0</v>
      </c>
      <c r="H280" s="8">
        <v>0</v>
      </c>
      <c r="I280" s="8">
        <v>0</v>
      </c>
      <c r="J280" s="8">
        <v>1</v>
      </c>
      <c r="K280" s="9">
        <v>0</v>
      </c>
      <c r="L280" s="10">
        <v>0</v>
      </c>
      <c r="M280" s="6">
        <v>0</v>
      </c>
      <c r="N280" s="37" t="e" cm="1">
        <f t="array" ref="N280">IF(OR(ISNUMBER(FIND(Aux!$D$3:$D$9,_xlfn.TEXTJOIN(,,C280:K280)))),NA(),IF(AND(SUM(C280:F280,H280:K280)=0,G280=1),0,INT((SUMPRODUCT(C280:F280,COLUMN($A$1:$D$1)-1)+SUMPRODUCT(H280:K280,COLUMN($E$1:$H$1)-1))*'Line Follower'!$C$3/SUM(C280:F280,H280:K280)-'Line Follower'!$C$5)))</f>
        <v>#N/A</v>
      </c>
      <c r="O280" s="22" t="e">
        <v>#N/A</v>
      </c>
      <c r="P280" s="4" t="e">
        <f t="shared" si="20"/>
        <v>#N/A</v>
      </c>
      <c r="Q280" s="4" t="e">
        <f t="shared" si="21"/>
        <v>#N/A</v>
      </c>
      <c r="R280" s="4" t="e">
        <f>IF(AND(B280=1,N280&gt;'Line Follower'!$C$7,SUM(C280:K280)&lt;4),1,0)</f>
        <v>#N/A</v>
      </c>
      <c r="S280" s="4" t="e">
        <f>IF(AND(L280=1,N280&lt;'Line Follower'!$C$6,SUM(C280:K280)&lt;4),1,0)</f>
        <v>#N/A</v>
      </c>
      <c r="T280" s="4" t="e">
        <f t="shared" si="22"/>
        <v>#N/A</v>
      </c>
      <c r="U280" s="5" t="e">
        <f t="shared" si="23"/>
        <v>#N/A</v>
      </c>
      <c r="V280" s="23" t="e">
        <f t="shared" si="24"/>
        <v>#N/A</v>
      </c>
    </row>
    <row r="281" spans="2:22" x14ac:dyDescent="0.25">
      <c r="B281" s="16">
        <v>0</v>
      </c>
      <c r="C281" s="7">
        <v>1</v>
      </c>
      <c r="D281" s="8">
        <v>1</v>
      </c>
      <c r="E281" s="8">
        <v>0</v>
      </c>
      <c r="F281" s="8">
        <v>1</v>
      </c>
      <c r="G281" s="8">
        <v>0</v>
      </c>
      <c r="H281" s="8">
        <v>0</v>
      </c>
      <c r="I281" s="8">
        <v>0</v>
      </c>
      <c r="J281" s="8">
        <v>1</v>
      </c>
      <c r="K281" s="9">
        <v>0</v>
      </c>
      <c r="L281" s="10">
        <v>0</v>
      </c>
      <c r="M281" s="6">
        <v>0</v>
      </c>
      <c r="N281" s="37" t="e" cm="1">
        <f t="array" ref="N281">IF(OR(ISNUMBER(FIND(Aux!$D$3:$D$9,_xlfn.TEXTJOIN(,,C281:K281)))),NA(),IF(AND(SUM(C281:F281,H281:K281)=0,G281=1),0,INT((SUMPRODUCT(C281:F281,COLUMN($A$1:$D$1)-1)+SUMPRODUCT(H281:K281,COLUMN($E$1:$H$1)-1))*'Line Follower'!$C$3/SUM(C281:F281,H281:K281)-'Line Follower'!$C$5)))</f>
        <v>#N/A</v>
      </c>
      <c r="O281" s="22" t="e">
        <v>#N/A</v>
      </c>
      <c r="P281" s="4" t="e">
        <f t="shared" si="20"/>
        <v>#N/A</v>
      </c>
      <c r="Q281" s="4" t="e">
        <f t="shared" si="21"/>
        <v>#N/A</v>
      </c>
      <c r="R281" s="4" t="e">
        <f>IF(AND(B281=1,N281&gt;'Line Follower'!$C$7,SUM(C281:K281)&lt;4),1,0)</f>
        <v>#N/A</v>
      </c>
      <c r="S281" s="4" t="e">
        <f>IF(AND(L281=1,N281&lt;'Line Follower'!$C$6,SUM(C281:K281)&lt;4),1,0)</f>
        <v>#N/A</v>
      </c>
      <c r="T281" s="4" t="e">
        <f t="shared" si="22"/>
        <v>#N/A</v>
      </c>
      <c r="U281" s="5" t="e">
        <f t="shared" si="23"/>
        <v>#N/A</v>
      </c>
      <c r="V281" s="23" t="e">
        <f t="shared" si="24"/>
        <v>#N/A</v>
      </c>
    </row>
    <row r="282" spans="2:22" x14ac:dyDescent="0.25">
      <c r="B282" s="16">
        <v>1</v>
      </c>
      <c r="C282" s="7">
        <v>1</v>
      </c>
      <c r="D282" s="8">
        <v>1</v>
      </c>
      <c r="E282" s="8">
        <v>0</v>
      </c>
      <c r="F282" s="8">
        <v>1</v>
      </c>
      <c r="G282" s="8">
        <v>0</v>
      </c>
      <c r="H282" s="8">
        <v>0</v>
      </c>
      <c r="I282" s="8">
        <v>0</v>
      </c>
      <c r="J282" s="8">
        <v>1</v>
      </c>
      <c r="K282" s="9">
        <v>0</v>
      </c>
      <c r="L282" s="10">
        <v>0</v>
      </c>
      <c r="M282" s="6">
        <v>0</v>
      </c>
      <c r="N282" s="37" t="e" cm="1">
        <f t="array" ref="N282">IF(OR(ISNUMBER(FIND(Aux!$D$3:$D$9,_xlfn.TEXTJOIN(,,C282:K282)))),NA(),IF(AND(SUM(C282:F282,H282:K282)=0,G282=1),0,INT((SUMPRODUCT(C282:F282,COLUMN($A$1:$D$1)-1)+SUMPRODUCT(H282:K282,COLUMN($E$1:$H$1)-1))*'Line Follower'!$C$3/SUM(C282:F282,H282:K282)-'Line Follower'!$C$5)))</f>
        <v>#N/A</v>
      </c>
      <c r="O282" s="22" t="e">
        <v>#N/A</v>
      </c>
      <c r="P282" s="4" t="e">
        <f t="shared" si="20"/>
        <v>#N/A</v>
      </c>
      <c r="Q282" s="4" t="e">
        <f t="shared" si="21"/>
        <v>#N/A</v>
      </c>
      <c r="R282" s="4" t="e">
        <f>IF(AND(B282=1,N282&gt;'Line Follower'!$C$7,SUM(C282:K282)&lt;4),1,0)</f>
        <v>#N/A</v>
      </c>
      <c r="S282" s="4" t="e">
        <f>IF(AND(L282=1,N282&lt;'Line Follower'!$C$6,SUM(C282:K282)&lt;4),1,0)</f>
        <v>#N/A</v>
      </c>
      <c r="T282" s="4" t="e">
        <f t="shared" si="22"/>
        <v>#N/A</v>
      </c>
      <c r="U282" s="5" t="e">
        <f t="shared" si="23"/>
        <v>#N/A</v>
      </c>
      <c r="V282" s="23" t="e">
        <f t="shared" si="24"/>
        <v>#N/A</v>
      </c>
    </row>
    <row r="283" spans="2:22" x14ac:dyDescent="0.25">
      <c r="B283" s="16">
        <v>0</v>
      </c>
      <c r="C283" s="7">
        <v>0</v>
      </c>
      <c r="D283" s="8">
        <v>0</v>
      </c>
      <c r="E283" s="8">
        <v>1</v>
      </c>
      <c r="F283" s="8">
        <v>1</v>
      </c>
      <c r="G283" s="8">
        <v>0</v>
      </c>
      <c r="H283" s="8">
        <v>0</v>
      </c>
      <c r="I283" s="8">
        <v>0</v>
      </c>
      <c r="J283" s="8">
        <v>1</v>
      </c>
      <c r="K283" s="9">
        <v>0</v>
      </c>
      <c r="L283" s="10">
        <v>0</v>
      </c>
      <c r="M283" s="6">
        <v>0</v>
      </c>
      <c r="N283" s="37" t="e" cm="1">
        <f t="array" ref="N283">IF(OR(ISNUMBER(FIND(Aux!$D$3:$D$9,_xlfn.TEXTJOIN(,,C283:K283)))),NA(),IF(AND(SUM(C283:F283,H283:K283)=0,G283=1),0,INT((SUMPRODUCT(C283:F283,COLUMN($A$1:$D$1)-1)+SUMPRODUCT(H283:K283,COLUMN($E$1:$H$1)-1))*'Line Follower'!$C$3/SUM(C283:F283,H283:K283)-'Line Follower'!$C$5)))</f>
        <v>#N/A</v>
      </c>
      <c r="O283" s="22" t="e">
        <v>#N/A</v>
      </c>
      <c r="P283" s="4" t="e">
        <f t="shared" si="20"/>
        <v>#N/A</v>
      </c>
      <c r="Q283" s="4" t="e">
        <f t="shared" si="21"/>
        <v>#N/A</v>
      </c>
      <c r="R283" s="4" t="e">
        <f>IF(AND(B283=1,N283&gt;'Line Follower'!$C$7,SUM(C283:K283)&lt;4),1,0)</f>
        <v>#N/A</v>
      </c>
      <c r="S283" s="4" t="e">
        <f>IF(AND(L283=1,N283&lt;'Line Follower'!$C$6,SUM(C283:K283)&lt;4),1,0)</f>
        <v>#N/A</v>
      </c>
      <c r="T283" s="4" t="e">
        <f t="shared" si="22"/>
        <v>#N/A</v>
      </c>
      <c r="U283" s="5" t="e">
        <f t="shared" si="23"/>
        <v>#N/A</v>
      </c>
      <c r="V283" s="23" t="e">
        <f t="shared" si="24"/>
        <v>#N/A</v>
      </c>
    </row>
    <row r="284" spans="2:22" x14ac:dyDescent="0.25">
      <c r="B284" s="16">
        <v>1</v>
      </c>
      <c r="C284" s="7">
        <v>0</v>
      </c>
      <c r="D284" s="8">
        <v>0</v>
      </c>
      <c r="E284" s="8">
        <v>1</v>
      </c>
      <c r="F284" s="8">
        <v>1</v>
      </c>
      <c r="G284" s="8">
        <v>0</v>
      </c>
      <c r="H284" s="8">
        <v>0</v>
      </c>
      <c r="I284" s="8">
        <v>0</v>
      </c>
      <c r="J284" s="8">
        <v>1</v>
      </c>
      <c r="K284" s="9">
        <v>0</v>
      </c>
      <c r="L284" s="10">
        <v>0</v>
      </c>
      <c r="M284" s="6">
        <v>0</v>
      </c>
      <c r="N284" s="37" t="e" cm="1">
        <f t="array" ref="N284">IF(OR(ISNUMBER(FIND(Aux!$D$3:$D$9,_xlfn.TEXTJOIN(,,C284:K284)))),NA(),IF(AND(SUM(C284:F284,H284:K284)=0,G284=1),0,INT((SUMPRODUCT(C284:F284,COLUMN($A$1:$D$1)-1)+SUMPRODUCT(H284:K284,COLUMN($E$1:$H$1)-1))*'Line Follower'!$C$3/SUM(C284:F284,H284:K284)-'Line Follower'!$C$5)))</f>
        <v>#N/A</v>
      </c>
      <c r="O284" s="22" t="e">
        <v>#N/A</v>
      </c>
      <c r="P284" s="4" t="e">
        <f t="shared" si="20"/>
        <v>#N/A</v>
      </c>
      <c r="Q284" s="4" t="e">
        <f t="shared" si="21"/>
        <v>#N/A</v>
      </c>
      <c r="R284" s="4" t="e">
        <f>IF(AND(B284=1,N284&gt;'Line Follower'!$C$7,SUM(C284:K284)&lt;4),1,0)</f>
        <v>#N/A</v>
      </c>
      <c r="S284" s="4" t="e">
        <f>IF(AND(L284=1,N284&lt;'Line Follower'!$C$6,SUM(C284:K284)&lt;4),1,0)</f>
        <v>#N/A</v>
      </c>
      <c r="T284" s="4" t="e">
        <f t="shared" si="22"/>
        <v>#N/A</v>
      </c>
      <c r="U284" s="5" t="e">
        <f t="shared" si="23"/>
        <v>#N/A</v>
      </c>
      <c r="V284" s="23" t="e">
        <f t="shared" si="24"/>
        <v>#N/A</v>
      </c>
    </row>
    <row r="285" spans="2:22" x14ac:dyDescent="0.25">
      <c r="B285" s="16">
        <v>0</v>
      </c>
      <c r="C285" s="7">
        <v>1</v>
      </c>
      <c r="D285" s="8">
        <v>0</v>
      </c>
      <c r="E285" s="8">
        <v>1</v>
      </c>
      <c r="F285" s="8">
        <v>1</v>
      </c>
      <c r="G285" s="8">
        <v>0</v>
      </c>
      <c r="H285" s="8">
        <v>0</v>
      </c>
      <c r="I285" s="8">
        <v>0</v>
      </c>
      <c r="J285" s="8">
        <v>1</v>
      </c>
      <c r="K285" s="9">
        <v>0</v>
      </c>
      <c r="L285" s="10">
        <v>0</v>
      </c>
      <c r="M285" s="6">
        <v>0</v>
      </c>
      <c r="N285" s="37" t="e" cm="1">
        <f t="array" ref="N285">IF(OR(ISNUMBER(FIND(Aux!$D$3:$D$9,_xlfn.TEXTJOIN(,,C285:K285)))),NA(),IF(AND(SUM(C285:F285,H285:K285)=0,G285=1),0,INT((SUMPRODUCT(C285:F285,COLUMN($A$1:$D$1)-1)+SUMPRODUCT(H285:K285,COLUMN($E$1:$H$1)-1))*'Line Follower'!$C$3/SUM(C285:F285,H285:K285)-'Line Follower'!$C$5)))</f>
        <v>#N/A</v>
      </c>
      <c r="O285" s="22" t="e">
        <v>#N/A</v>
      </c>
      <c r="P285" s="4" t="e">
        <f t="shared" si="20"/>
        <v>#N/A</v>
      </c>
      <c r="Q285" s="4" t="e">
        <f t="shared" si="21"/>
        <v>#N/A</v>
      </c>
      <c r="R285" s="4" t="e">
        <f>IF(AND(B285=1,N285&gt;'Line Follower'!$C$7,SUM(C285:K285)&lt;4),1,0)</f>
        <v>#N/A</v>
      </c>
      <c r="S285" s="4" t="e">
        <f>IF(AND(L285=1,N285&lt;'Line Follower'!$C$6,SUM(C285:K285)&lt;4),1,0)</f>
        <v>#N/A</v>
      </c>
      <c r="T285" s="4" t="e">
        <f t="shared" si="22"/>
        <v>#N/A</v>
      </c>
      <c r="U285" s="5" t="e">
        <f t="shared" si="23"/>
        <v>#N/A</v>
      </c>
      <c r="V285" s="23" t="e">
        <f t="shared" si="24"/>
        <v>#N/A</v>
      </c>
    </row>
    <row r="286" spans="2:22" x14ac:dyDescent="0.25">
      <c r="B286" s="16">
        <v>1</v>
      </c>
      <c r="C286" s="7">
        <v>1</v>
      </c>
      <c r="D286" s="8">
        <v>0</v>
      </c>
      <c r="E286" s="8">
        <v>1</v>
      </c>
      <c r="F286" s="8">
        <v>1</v>
      </c>
      <c r="G286" s="8">
        <v>0</v>
      </c>
      <c r="H286" s="8">
        <v>0</v>
      </c>
      <c r="I286" s="8">
        <v>0</v>
      </c>
      <c r="J286" s="8">
        <v>1</v>
      </c>
      <c r="K286" s="9">
        <v>0</v>
      </c>
      <c r="L286" s="10">
        <v>0</v>
      </c>
      <c r="M286" s="6">
        <v>0</v>
      </c>
      <c r="N286" s="37" t="e" cm="1">
        <f t="array" ref="N286">IF(OR(ISNUMBER(FIND(Aux!$D$3:$D$9,_xlfn.TEXTJOIN(,,C286:K286)))),NA(),IF(AND(SUM(C286:F286,H286:K286)=0,G286=1),0,INT((SUMPRODUCT(C286:F286,COLUMN($A$1:$D$1)-1)+SUMPRODUCT(H286:K286,COLUMN($E$1:$H$1)-1))*'Line Follower'!$C$3/SUM(C286:F286,H286:K286)-'Line Follower'!$C$5)))</f>
        <v>#N/A</v>
      </c>
      <c r="O286" s="22" t="e">
        <v>#N/A</v>
      </c>
      <c r="P286" s="4" t="e">
        <f t="shared" si="20"/>
        <v>#N/A</v>
      </c>
      <c r="Q286" s="4" t="e">
        <f t="shared" si="21"/>
        <v>#N/A</v>
      </c>
      <c r="R286" s="4" t="e">
        <f>IF(AND(B286=1,N286&gt;'Line Follower'!$C$7,SUM(C286:K286)&lt;4),1,0)</f>
        <v>#N/A</v>
      </c>
      <c r="S286" s="4" t="e">
        <f>IF(AND(L286=1,N286&lt;'Line Follower'!$C$6,SUM(C286:K286)&lt;4),1,0)</f>
        <v>#N/A</v>
      </c>
      <c r="T286" s="4" t="e">
        <f t="shared" si="22"/>
        <v>#N/A</v>
      </c>
      <c r="U286" s="5" t="e">
        <f t="shared" si="23"/>
        <v>#N/A</v>
      </c>
      <c r="V286" s="23" t="e">
        <f t="shared" si="24"/>
        <v>#N/A</v>
      </c>
    </row>
    <row r="287" spans="2:22" x14ac:dyDescent="0.25">
      <c r="B287" s="16">
        <v>0</v>
      </c>
      <c r="C287" s="7">
        <v>0</v>
      </c>
      <c r="D287" s="8">
        <v>1</v>
      </c>
      <c r="E287" s="8">
        <v>1</v>
      </c>
      <c r="F287" s="8">
        <v>1</v>
      </c>
      <c r="G287" s="8">
        <v>0</v>
      </c>
      <c r="H287" s="8">
        <v>0</v>
      </c>
      <c r="I287" s="8">
        <v>0</v>
      </c>
      <c r="J287" s="8">
        <v>1</v>
      </c>
      <c r="K287" s="9">
        <v>0</v>
      </c>
      <c r="L287" s="10">
        <v>0</v>
      </c>
      <c r="M287" s="6">
        <v>0</v>
      </c>
      <c r="N287" s="37" t="e" cm="1">
        <f t="array" ref="N287">IF(OR(ISNUMBER(FIND(Aux!$D$3:$D$9,_xlfn.TEXTJOIN(,,C287:K287)))),NA(),IF(AND(SUM(C287:F287,H287:K287)=0,G287=1),0,INT((SUMPRODUCT(C287:F287,COLUMN($A$1:$D$1)-1)+SUMPRODUCT(H287:K287,COLUMN($E$1:$H$1)-1))*'Line Follower'!$C$3/SUM(C287:F287,H287:K287)-'Line Follower'!$C$5)))</f>
        <v>#N/A</v>
      </c>
      <c r="O287" s="22" t="e">
        <v>#N/A</v>
      </c>
      <c r="P287" s="4" t="e">
        <f t="shared" si="20"/>
        <v>#N/A</v>
      </c>
      <c r="Q287" s="4" t="e">
        <f t="shared" si="21"/>
        <v>#N/A</v>
      </c>
      <c r="R287" s="4" t="e">
        <f>IF(AND(B287=1,N287&gt;'Line Follower'!$C$7,SUM(C287:K287)&lt;4),1,0)</f>
        <v>#N/A</v>
      </c>
      <c r="S287" s="4" t="e">
        <f>IF(AND(L287=1,N287&lt;'Line Follower'!$C$6,SUM(C287:K287)&lt;4),1,0)</f>
        <v>#N/A</v>
      </c>
      <c r="T287" s="4" t="e">
        <f t="shared" si="22"/>
        <v>#N/A</v>
      </c>
      <c r="U287" s="5" t="e">
        <f t="shared" si="23"/>
        <v>#N/A</v>
      </c>
      <c r="V287" s="23" t="e">
        <f t="shared" si="24"/>
        <v>#N/A</v>
      </c>
    </row>
    <row r="288" spans="2:22" x14ac:dyDescent="0.25">
      <c r="B288" s="16">
        <v>1</v>
      </c>
      <c r="C288" s="7">
        <v>0</v>
      </c>
      <c r="D288" s="8">
        <v>1</v>
      </c>
      <c r="E288" s="8">
        <v>1</v>
      </c>
      <c r="F288" s="8">
        <v>1</v>
      </c>
      <c r="G288" s="8">
        <v>0</v>
      </c>
      <c r="H288" s="8">
        <v>0</v>
      </c>
      <c r="I288" s="8">
        <v>0</v>
      </c>
      <c r="J288" s="8">
        <v>1</v>
      </c>
      <c r="K288" s="9">
        <v>0</v>
      </c>
      <c r="L288" s="10">
        <v>0</v>
      </c>
      <c r="M288" s="6">
        <v>0</v>
      </c>
      <c r="N288" s="37" t="e" cm="1">
        <f t="array" ref="N288">IF(OR(ISNUMBER(FIND(Aux!$D$3:$D$9,_xlfn.TEXTJOIN(,,C288:K288)))),NA(),IF(AND(SUM(C288:F288,H288:K288)=0,G288=1),0,INT((SUMPRODUCT(C288:F288,COLUMN($A$1:$D$1)-1)+SUMPRODUCT(H288:K288,COLUMN($E$1:$H$1)-1))*'Line Follower'!$C$3/SUM(C288:F288,H288:K288)-'Line Follower'!$C$5)))</f>
        <v>#N/A</v>
      </c>
      <c r="O288" s="22" t="e">
        <v>#N/A</v>
      </c>
      <c r="P288" s="4" t="e">
        <f t="shared" si="20"/>
        <v>#N/A</v>
      </c>
      <c r="Q288" s="4" t="e">
        <f t="shared" si="21"/>
        <v>#N/A</v>
      </c>
      <c r="R288" s="4" t="e">
        <f>IF(AND(B288=1,N288&gt;'Line Follower'!$C$7,SUM(C288:K288)&lt;4),1,0)</f>
        <v>#N/A</v>
      </c>
      <c r="S288" s="4" t="e">
        <f>IF(AND(L288=1,N288&lt;'Line Follower'!$C$6,SUM(C288:K288)&lt;4),1,0)</f>
        <v>#N/A</v>
      </c>
      <c r="T288" s="4" t="e">
        <f t="shared" si="22"/>
        <v>#N/A</v>
      </c>
      <c r="U288" s="5" t="e">
        <f t="shared" si="23"/>
        <v>#N/A</v>
      </c>
      <c r="V288" s="23" t="e">
        <f t="shared" si="24"/>
        <v>#N/A</v>
      </c>
    </row>
    <row r="289" spans="2:22" x14ac:dyDescent="0.25">
      <c r="B289" s="16">
        <v>0</v>
      </c>
      <c r="C289" s="7">
        <v>1</v>
      </c>
      <c r="D289" s="8">
        <v>1</v>
      </c>
      <c r="E289" s="8">
        <v>1</v>
      </c>
      <c r="F289" s="8">
        <v>1</v>
      </c>
      <c r="G289" s="8">
        <v>0</v>
      </c>
      <c r="H289" s="8">
        <v>0</v>
      </c>
      <c r="I289" s="8">
        <v>0</v>
      </c>
      <c r="J289" s="8">
        <v>1</v>
      </c>
      <c r="K289" s="9">
        <v>0</v>
      </c>
      <c r="L289" s="10">
        <v>0</v>
      </c>
      <c r="M289" s="6">
        <v>0</v>
      </c>
      <c r="N289" s="37" t="e" cm="1">
        <f t="array" ref="N289">IF(OR(ISNUMBER(FIND(Aux!$D$3:$D$9,_xlfn.TEXTJOIN(,,C289:K289)))),NA(),IF(AND(SUM(C289:F289,H289:K289)=0,G289=1),0,INT((SUMPRODUCT(C289:F289,COLUMN($A$1:$D$1)-1)+SUMPRODUCT(H289:K289,COLUMN($E$1:$H$1)-1))*'Line Follower'!$C$3/SUM(C289:F289,H289:K289)-'Line Follower'!$C$5)))</f>
        <v>#N/A</v>
      </c>
      <c r="O289" s="22" t="e">
        <v>#N/A</v>
      </c>
      <c r="P289" s="4" t="e">
        <f t="shared" si="20"/>
        <v>#N/A</v>
      </c>
      <c r="Q289" s="4" t="e">
        <f t="shared" si="21"/>
        <v>#N/A</v>
      </c>
      <c r="R289" s="4" t="e">
        <f>IF(AND(B289=1,N289&gt;'Line Follower'!$C$7,SUM(C289:K289)&lt;4),1,0)</f>
        <v>#N/A</v>
      </c>
      <c r="S289" s="4" t="e">
        <f>IF(AND(L289=1,N289&lt;'Line Follower'!$C$6,SUM(C289:K289)&lt;4),1,0)</f>
        <v>#N/A</v>
      </c>
      <c r="T289" s="4" t="e">
        <f t="shared" si="22"/>
        <v>#N/A</v>
      </c>
      <c r="U289" s="5" t="e">
        <f t="shared" si="23"/>
        <v>#N/A</v>
      </c>
      <c r="V289" s="23" t="e">
        <f t="shared" si="24"/>
        <v>#N/A</v>
      </c>
    </row>
    <row r="290" spans="2:22" x14ac:dyDescent="0.25">
      <c r="B290" s="16">
        <v>1</v>
      </c>
      <c r="C290" s="7">
        <v>1</v>
      </c>
      <c r="D290" s="8">
        <v>1</v>
      </c>
      <c r="E290" s="8">
        <v>1</v>
      </c>
      <c r="F290" s="8">
        <v>1</v>
      </c>
      <c r="G290" s="8">
        <v>0</v>
      </c>
      <c r="H290" s="8">
        <v>0</v>
      </c>
      <c r="I290" s="8">
        <v>0</v>
      </c>
      <c r="J290" s="8">
        <v>1</v>
      </c>
      <c r="K290" s="9">
        <v>0</v>
      </c>
      <c r="L290" s="10">
        <v>0</v>
      </c>
      <c r="M290" s="6">
        <v>0</v>
      </c>
      <c r="N290" s="37" t="e" cm="1">
        <f t="array" ref="N290">IF(OR(ISNUMBER(FIND(Aux!$D$3:$D$9,_xlfn.TEXTJOIN(,,C290:K290)))),NA(),IF(AND(SUM(C290:F290,H290:K290)=0,G290=1),0,INT((SUMPRODUCT(C290:F290,COLUMN($A$1:$D$1)-1)+SUMPRODUCT(H290:K290,COLUMN($E$1:$H$1)-1))*'Line Follower'!$C$3/SUM(C290:F290,H290:K290)-'Line Follower'!$C$5)))</f>
        <v>#N/A</v>
      </c>
      <c r="O290" s="22" t="e">
        <v>#N/A</v>
      </c>
      <c r="P290" s="4" t="e">
        <f t="shared" si="20"/>
        <v>#N/A</v>
      </c>
      <c r="Q290" s="4" t="e">
        <f t="shared" si="21"/>
        <v>#N/A</v>
      </c>
      <c r="R290" s="4" t="e">
        <f>IF(AND(B290=1,N290&gt;'Line Follower'!$C$7,SUM(C290:K290)&lt;4),1,0)</f>
        <v>#N/A</v>
      </c>
      <c r="S290" s="4" t="e">
        <f>IF(AND(L290=1,N290&lt;'Line Follower'!$C$6,SUM(C290:K290)&lt;4),1,0)</f>
        <v>#N/A</v>
      </c>
      <c r="T290" s="4" t="e">
        <f t="shared" si="22"/>
        <v>#N/A</v>
      </c>
      <c r="U290" s="5" t="e">
        <f t="shared" si="23"/>
        <v>#N/A</v>
      </c>
      <c r="V290" s="23" t="e">
        <f t="shared" si="24"/>
        <v>#N/A</v>
      </c>
    </row>
    <row r="291" spans="2:22" x14ac:dyDescent="0.25">
      <c r="B291" s="16">
        <v>0</v>
      </c>
      <c r="C291" s="7">
        <v>0</v>
      </c>
      <c r="D291" s="8">
        <v>0</v>
      </c>
      <c r="E291" s="8">
        <v>0</v>
      </c>
      <c r="F291" s="8">
        <v>0</v>
      </c>
      <c r="G291" s="8">
        <v>1</v>
      </c>
      <c r="H291" s="8">
        <v>0</v>
      </c>
      <c r="I291" s="8">
        <v>0</v>
      </c>
      <c r="J291" s="8">
        <v>1</v>
      </c>
      <c r="K291" s="9">
        <v>0</v>
      </c>
      <c r="L291" s="10">
        <v>0</v>
      </c>
      <c r="M291" s="6">
        <v>0</v>
      </c>
      <c r="N291" s="37" t="e" cm="1">
        <f t="array" ref="N291">IF(OR(ISNUMBER(FIND(Aux!$D$3:$D$9,_xlfn.TEXTJOIN(,,C291:K291)))),NA(),IF(AND(SUM(C291:F291,H291:K291)=0,G291=1),0,INT((SUMPRODUCT(C291:F291,COLUMN($A$1:$D$1)-1)+SUMPRODUCT(H291:K291,COLUMN($E$1:$H$1)-1))*'Line Follower'!$C$3/SUM(C291:F291,H291:K291)-'Line Follower'!$C$5)))</f>
        <v>#N/A</v>
      </c>
      <c r="O291" s="22" t="e">
        <v>#N/A</v>
      </c>
      <c r="P291" s="4" t="e">
        <f t="shared" si="20"/>
        <v>#N/A</v>
      </c>
      <c r="Q291" s="4" t="e">
        <f t="shared" si="21"/>
        <v>#N/A</v>
      </c>
      <c r="R291" s="4" t="e">
        <f>IF(AND(B291=1,N291&gt;'Line Follower'!$C$7,SUM(C291:K291)&lt;4),1,0)</f>
        <v>#N/A</v>
      </c>
      <c r="S291" s="4" t="e">
        <f>IF(AND(L291=1,N291&lt;'Line Follower'!$C$6,SUM(C291:K291)&lt;4),1,0)</f>
        <v>#N/A</v>
      </c>
      <c r="T291" s="4" t="e">
        <f t="shared" si="22"/>
        <v>#N/A</v>
      </c>
      <c r="U291" s="5" t="e">
        <f t="shared" si="23"/>
        <v>#N/A</v>
      </c>
      <c r="V291" s="23" t="e">
        <f t="shared" si="24"/>
        <v>#N/A</v>
      </c>
    </row>
    <row r="292" spans="2:22" x14ac:dyDescent="0.25">
      <c r="B292" s="16">
        <v>1</v>
      </c>
      <c r="C292" s="7">
        <v>0</v>
      </c>
      <c r="D292" s="8">
        <v>0</v>
      </c>
      <c r="E292" s="8">
        <v>0</v>
      </c>
      <c r="F292" s="8">
        <v>0</v>
      </c>
      <c r="G292" s="8">
        <v>1</v>
      </c>
      <c r="H292" s="8">
        <v>0</v>
      </c>
      <c r="I292" s="8">
        <v>0</v>
      </c>
      <c r="J292" s="8">
        <v>1</v>
      </c>
      <c r="K292" s="9">
        <v>0</v>
      </c>
      <c r="L292" s="10">
        <v>0</v>
      </c>
      <c r="M292" s="6">
        <v>0</v>
      </c>
      <c r="N292" s="37" t="e" cm="1">
        <f t="array" ref="N292">IF(OR(ISNUMBER(FIND(Aux!$D$3:$D$9,_xlfn.TEXTJOIN(,,C292:K292)))),NA(),IF(AND(SUM(C292:F292,H292:K292)=0,G292=1),0,INT((SUMPRODUCT(C292:F292,COLUMN($A$1:$D$1)-1)+SUMPRODUCT(H292:K292,COLUMN($E$1:$H$1)-1))*'Line Follower'!$C$3/SUM(C292:F292,H292:K292)-'Line Follower'!$C$5)))</f>
        <v>#N/A</v>
      </c>
      <c r="O292" s="22" t="e">
        <v>#N/A</v>
      </c>
      <c r="P292" s="4" t="e">
        <f t="shared" si="20"/>
        <v>#N/A</v>
      </c>
      <c r="Q292" s="4" t="e">
        <f t="shared" si="21"/>
        <v>#N/A</v>
      </c>
      <c r="R292" s="4" t="e">
        <f>IF(AND(B292=1,N292&gt;'Line Follower'!$C$7,SUM(C292:K292)&lt;4),1,0)</f>
        <v>#N/A</v>
      </c>
      <c r="S292" s="4" t="e">
        <f>IF(AND(L292=1,N292&lt;'Line Follower'!$C$6,SUM(C292:K292)&lt;4),1,0)</f>
        <v>#N/A</v>
      </c>
      <c r="T292" s="4" t="e">
        <f t="shared" si="22"/>
        <v>#N/A</v>
      </c>
      <c r="U292" s="5" t="e">
        <f t="shared" si="23"/>
        <v>#N/A</v>
      </c>
      <c r="V292" s="23" t="e">
        <f t="shared" si="24"/>
        <v>#N/A</v>
      </c>
    </row>
    <row r="293" spans="2:22" x14ac:dyDescent="0.25">
      <c r="B293" s="16">
        <v>0</v>
      </c>
      <c r="C293" s="7">
        <v>1</v>
      </c>
      <c r="D293" s="8">
        <v>0</v>
      </c>
      <c r="E293" s="8">
        <v>0</v>
      </c>
      <c r="F293" s="8">
        <v>0</v>
      </c>
      <c r="G293" s="8">
        <v>1</v>
      </c>
      <c r="H293" s="8">
        <v>0</v>
      </c>
      <c r="I293" s="8">
        <v>0</v>
      </c>
      <c r="J293" s="8">
        <v>1</v>
      </c>
      <c r="K293" s="9">
        <v>0</v>
      </c>
      <c r="L293" s="10">
        <v>0</v>
      </c>
      <c r="M293" s="6">
        <v>0</v>
      </c>
      <c r="N293" s="37" t="e" cm="1">
        <f t="array" ref="N293">IF(OR(ISNUMBER(FIND(Aux!$D$3:$D$9,_xlfn.TEXTJOIN(,,C293:K293)))),NA(),IF(AND(SUM(C293:F293,H293:K293)=0,G293=1),0,INT((SUMPRODUCT(C293:F293,COLUMN($A$1:$D$1)-1)+SUMPRODUCT(H293:K293,COLUMN($E$1:$H$1)-1))*'Line Follower'!$C$3/SUM(C293:F293,H293:K293)-'Line Follower'!$C$5)))</f>
        <v>#N/A</v>
      </c>
      <c r="O293" s="22" t="e">
        <v>#N/A</v>
      </c>
      <c r="P293" s="4" t="e">
        <f t="shared" si="20"/>
        <v>#N/A</v>
      </c>
      <c r="Q293" s="4" t="e">
        <f t="shared" si="21"/>
        <v>#N/A</v>
      </c>
      <c r="R293" s="4" t="e">
        <f>IF(AND(B293=1,N293&gt;'Line Follower'!$C$7,SUM(C293:K293)&lt;4),1,0)</f>
        <v>#N/A</v>
      </c>
      <c r="S293" s="4" t="e">
        <f>IF(AND(L293=1,N293&lt;'Line Follower'!$C$6,SUM(C293:K293)&lt;4),1,0)</f>
        <v>#N/A</v>
      </c>
      <c r="T293" s="4" t="e">
        <f t="shared" si="22"/>
        <v>#N/A</v>
      </c>
      <c r="U293" s="5" t="e">
        <f t="shared" si="23"/>
        <v>#N/A</v>
      </c>
      <c r="V293" s="23" t="e">
        <f t="shared" si="24"/>
        <v>#N/A</v>
      </c>
    </row>
    <row r="294" spans="2:22" x14ac:dyDescent="0.25">
      <c r="B294" s="16">
        <v>1</v>
      </c>
      <c r="C294" s="7">
        <v>1</v>
      </c>
      <c r="D294" s="8">
        <v>0</v>
      </c>
      <c r="E294" s="8">
        <v>0</v>
      </c>
      <c r="F294" s="8">
        <v>0</v>
      </c>
      <c r="G294" s="8">
        <v>1</v>
      </c>
      <c r="H294" s="8">
        <v>0</v>
      </c>
      <c r="I294" s="8">
        <v>0</v>
      </c>
      <c r="J294" s="8">
        <v>1</v>
      </c>
      <c r="K294" s="9">
        <v>0</v>
      </c>
      <c r="L294" s="10">
        <v>0</v>
      </c>
      <c r="M294" s="6">
        <v>0</v>
      </c>
      <c r="N294" s="37" t="e" cm="1">
        <f t="array" ref="N294">IF(OR(ISNUMBER(FIND(Aux!$D$3:$D$9,_xlfn.TEXTJOIN(,,C294:K294)))),NA(),IF(AND(SUM(C294:F294,H294:K294)=0,G294=1),0,INT((SUMPRODUCT(C294:F294,COLUMN($A$1:$D$1)-1)+SUMPRODUCT(H294:K294,COLUMN($E$1:$H$1)-1))*'Line Follower'!$C$3/SUM(C294:F294,H294:K294)-'Line Follower'!$C$5)))</f>
        <v>#N/A</v>
      </c>
      <c r="O294" s="22" t="e">
        <v>#N/A</v>
      </c>
      <c r="P294" s="4" t="e">
        <f t="shared" si="20"/>
        <v>#N/A</v>
      </c>
      <c r="Q294" s="4" t="e">
        <f t="shared" si="21"/>
        <v>#N/A</v>
      </c>
      <c r="R294" s="4" t="e">
        <f>IF(AND(B294=1,N294&gt;'Line Follower'!$C$7,SUM(C294:K294)&lt;4),1,0)</f>
        <v>#N/A</v>
      </c>
      <c r="S294" s="4" t="e">
        <f>IF(AND(L294=1,N294&lt;'Line Follower'!$C$6,SUM(C294:K294)&lt;4),1,0)</f>
        <v>#N/A</v>
      </c>
      <c r="T294" s="4" t="e">
        <f t="shared" si="22"/>
        <v>#N/A</v>
      </c>
      <c r="U294" s="5" t="e">
        <f t="shared" si="23"/>
        <v>#N/A</v>
      </c>
      <c r="V294" s="23" t="e">
        <f t="shared" si="24"/>
        <v>#N/A</v>
      </c>
    </row>
    <row r="295" spans="2:22" x14ac:dyDescent="0.25">
      <c r="B295" s="16">
        <v>0</v>
      </c>
      <c r="C295" s="7">
        <v>0</v>
      </c>
      <c r="D295" s="8">
        <v>1</v>
      </c>
      <c r="E295" s="8">
        <v>0</v>
      </c>
      <c r="F295" s="8">
        <v>0</v>
      </c>
      <c r="G295" s="8">
        <v>1</v>
      </c>
      <c r="H295" s="8">
        <v>0</v>
      </c>
      <c r="I295" s="8">
        <v>0</v>
      </c>
      <c r="J295" s="8">
        <v>1</v>
      </c>
      <c r="K295" s="9">
        <v>0</v>
      </c>
      <c r="L295" s="10">
        <v>0</v>
      </c>
      <c r="M295" s="6">
        <v>0</v>
      </c>
      <c r="N295" s="37" t="e" cm="1">
        <f t="array" ref="N295">IF(OR(ISNUMBER(FIND(Aux!$D$3:$D$9,_xlfn.TEXTJOIN(,,C295:K295)))),NA(),IF(AND(SUM(C295:F295,H295:K295)=0,G295=1),0,INT((SUMPRODUCT(C295:F295,COLUMN($A$1:$D$1)-1)+SUMPRODUCT(H295:K295,COLUMN($E$1:$H$1)-1))*'Line Follower'!$C$3/SUM(C295:F295,H295:K295)-'Line Follower'!$C$5)))</f>
        <v>#N/A</v>
      </c>
      <c r="O295" s="22" t="e">
        <v>#N/A</v>
      </c>
      <c r="P295" s="4" t="e">
        <f t="shared" si="20"/>
        <v>#N/A</v>
      </c>
      <c r="Q295" s="4" t="e">
        <f t="shared" si="21"/>
        <v>#N/A</v>
      </c>
      <c r="R295" s="4" t="e">
        <f>IF(AND(B295=1,N295&gt;'Line Follower'!$C$7,SUM(C295:K295)&lt;4),1,0)</f>
        <v>#N/A</v>
      </c>
      <c r="S295" s="4" t="e">
        <f>IF(AND(L295=1,N295&lt;'Line Follower'!$C$6,SUM(C295:K295)&lt;4),1,0)</f>
        <v>#N/A</v>
      </c>
      <c r="T295" s="4" t="e">
        <f t="shared" si="22"/>
        <v>#N/A</v>
      </c>
      <c r="U295" s="5" t="e">
        <f t="shared" si="23"/>
        <v>#N/A</v>
      </c>
      <c r="V295" s="23" t="e">
        <f t="shared" si="24"/>
        <v>#N/A</v>
      </c>
    </row>
    <row r="296" spans="2:22" x14ac:dyDescent="0.25">
      <c r="B296" s="16">
        <v>1</v>
      </c>
      <c r="C296" s="7">
        <v>0</v>
      </c>
      <c r="D296" s="8">
        <v>1</v>
      </c>
      <c r="E296" s="8">
        <v>0</v>
      </c>
      <c r="F296" s="8">
        <v>0</v>
      </c>
      <c r="G296" s="8">
        <v>1</v>
      </c>
      <c r="H296" s="8">
        <v>0</v>
      </c>
      <c r="I296" s="8">
        <v>0</v>
      </c>
      <c r="J296" s="8">
        <v>1</v>
      </c>
      <c r="K296" s="9">
        <v>0</v>
      </c>
      <c r="L296" s="10">
        <v>0</v>
      </c>
      <c r="M296" s="6">
        <v>0</v>
      </c>
      <c r="N296" s="37" t="e" cm="1">
        <f t="array" ref="N296">IF(OR(ISNUMBER(FIND(Aux!$D$3:$D$9,_xlfn.TEXTJOIN(,,C296:K296)))),NA(),IF(AND(SUM(C296:F296,H296:K296)=0,G296=1),0,INT((SUMPRODUCT(C296:F296,COLUMN($A$1:$D$1)-1)+SUMPRODUCT(H296:K296,COLUMN($E$1:$H$1)-1))*'Line Follower'!$C$3/SUM(C296:F296,H296:K296)-'Line Follower'!$C$5)))</f>
        <v>#N/A</v>
      </c>
      <c r="O296" s="22" t="e">
        <v>#N/A</v>
      </c>
      <c r="P296" s="4" t="e">
        <f t="shared" si="20"/>
        <v>#N/A</v>
      </c>
      <c r="Q296" s="4" t="e">
        <f t="shared" si="21"/>
        <v>#N/A</v>
      </c>
      <c r="R296" s="4" t="e">
        <f>IF(AND(B296=1,N296&gt;'Line Follower'!$C$7,SUM(C296:K296)&lt;4),1,0)</f>
        <v>#N/A</v>
      </c>
      <c r="S296" s="4" t="e">
        <f>IF(AND(L296=1,N296&lt;'Line Follower'!$C$6,SUM(C296:K296)&lt;4),1,0)</f>
        <v>#N/A</v>
      </c>
      <c r="T296" s="4" t="e">
        <f t="shared" si="22"/>
        <v>#N/A</v>
      </c>
      <c r="U296" s="5" t="e">
        <f t="shared" si="23"/>
        <v>#N/A</v>
      </c>
      <c r="V296" s="23" t="e">
        <f t="shared" si="24"/>
        <v>#N/A</v>
      </c>
    </row>
    <row r="297" spans="2:22" x14ac:dyDescent="0.25">
      <c r="B297" s="16">
        <v>0</v>
      </c>
      <c r="C297" s="7">
        <v>1</v>
      </c>
      <c r="D297" s="8">
        <v>1</v>
      </c>
      <c r="E297" s="8">
        <v>0</v>
      </c>
      <c r="F297" s="8">
        <v>0</v>
      </c>
      <c r="G297" s="8">
        <v>1</v>
      </c>
      <c r="H297" s="8">
        <v>0</v>
      </c>
      <c r="I297" s="8">
        <v>0</v>
      </c>
      <c r="J297" s="8">
        <v>1</v>
      </c>
      <c r="K297" s="9">
        <v>0</v>
      </c>
      <c r="L297" s="10">
        <v>0</v>
      </c>
      <c r="M297" s="6">
        <v>0</v>
      </c>
      <c r="N297" s="37" t="e" cm="1">
        <f t="array" ref="N297">IF(OR(ISNUMBER(FIND(Aux!$D$3:$D$9,_xlfn.TEXTJOIN(,,C297:K297)))),NA(),IF(AND(SUM(C297:F297,H297:K297)=0,G297=1),0,INT((SUMPRODUCT(C297:F297,COLUMN($A$1:$D$1)-1)+SUMPRODUCT(H297:K297,COLUMN($E$1:$H$1)-1))*'Line Follower'!$C$3/SUM(C297:F297,H297:K297)-'Line Follower'!$C$5)))</f>
        <v>#N/A</v>
      </c>
      <c r="O297" s="22" t="e">
        <v>#N/A</v>
      </c>
      <c r="P297" s="4" t="e">
        <f t="shared" si="20"/>
        <v>#N/A</v>
      </c>
      <c r="Q297" s="4" t="e">
        <f t="shared" si="21"/>
        <v>#N/A</v>
      </c>
      <c r="R297" s="4" t="e">
        <f>IF(AND(B297=1,N297&gt;'Line Follower'!$C$7,SUM(C297:K297)&lt;4),1,0)</f>
        <v>#N/A</v>
      </c>
      <c r="S297" s="4" t="e">
        <f>IF(AND(L297=1,N297&lt;'Line Follower'!$C$6,SUM(C297:K297)&lt;4),1,0)</f>
        <v>#N/A</v>
      </c>
      <c r="T297" s="4" t="e">
        <f t="shared" si="22"/>
        <v>#N/A</v>
      </c>
      <c r="U297" s="5" t="e">
        <f t="shared" si="23"/>
        <v>#N/A</v>
      </c>
      <c r="V297" s="23" t="e">
        <f t="shared" si="24"/>
        <v>#N/A</v>
      </c>
    </row>
    <row r="298" spans="2:22" x14ac:dyDescent="0.25">
      <c r="B298" s="16">
        <v>1</v>
      </c>
      <c r="C298" s="7">
        <v>1</v>
      </c>
      <c r="D298" s="8">
        <v>1</v>
      </c>
      <c r="E298" s="8">
        <v>0</v>
      </c>
      <c r="F298" s="8">
        <v>0</v>
      </c>
      <c r="G298" s="8">
        <v>1</v>
      </c>
      <c r="H298" s="8">
        <v>0</v>
      </c>
      <c r="I298" s="8">
        <v>0</v>
      </c>
      <c r="J298" s="8">
        <v>1</v>
      </c>
      <c r="K298" s="9">
        <v>0</v>
      </c>
      <c r="L298" s="10">
        <v>0</v>
      </c>
      <c r="M298" s="6">
        <v>0</v>
      </c>
      <c r="N298" s="37" t="e" cm="1">
        <f t="array" ref="N298">IF(OR(ISNUMBER(FIND(Aux!$D$3:$D$9,_xlfn.TEXTJOIN(,,C298:K298)))),NA(),IF(AND(SUM(C298:F298,H298:K298)=0,G298=1),0,INT((SUMPRODUCT(C298:F298,COLUMN($A$1:$D$1)-1)+SUMPRODUCT(H298:K298,COLUMN($E$1:$H$1)-1))*'Line Follower'!$C$3/SUM(C298:F298,H298:K298)-'Line Follower'!$C$5)))</f>
        <v>#N/A</v>
      </c>
      <c r="O298" s="22" t="e">
        <v>#N/A</v>
      </c>
      <c r="P298" s="4" t="e">
        <f t="shared" si="20"/>
        <v>#N/A</v>
      </c>
      <c r="Q298" s="4" t="e">
        <f t="shared" si="21"/>
        <v>#N/A</v>
      </c>
      <c r="R298" s="4" t="e">
        <f>IF(AND(B298=1,N298&gt;'Line Follower'!$C$7,SUM(C298:K298)&lt;4),1,0)</f>
        <v>#N/A</v>
      </c>
      <c r="S298" s="4" t="e">
        <f>IF(AND(L298=1,N298&lt;'Line Follower'!$C$6,SUM(C298:K298)&lt;4),1,0)</f>
        <v>#N/A</v>
      </c>
      <c r="T298" s="4" t="e">
        <f t="shared" si="22"/>
        <v>#N/A</v>
      </c>
      <c r="U298" s="5" t="e">
        <f t="shared" si="23"/>
        <v>#N/A</v>
      </c>
      <c r="V298" s="23" t="e">
        <f t="shared" si="24"/>
        <v>#N/A</v>
      </c>
    </row>
    <row r="299" spans="2:22" x14ac:dyDescent="0.25">
      <c r="B299" s="16">
        <v>0</v>
      </c>
      <c r="C299" s="7">
        <v>0</v>
      </c>
      <c r="D299" s="8">
        <v>0</v>
      </c>
      <c r="E299" s="8">
        <v>1</v>
      </c>
      <c r="F299" s="8">
        <v>0</v>
      </c>
      <c r="G299" s="8">
        <v>1</v>
      </c>
      <c r="H299" s="8">
        <v>0</v>
      </c>
      <c r="I299" s="8">
        <v>0</v>
      </c>
      <c r="J299" s="8">
        <v>1</v>
      </c>
      <c r="K299" s="9">
        <v>0</v>
      </c>
      <c r="L299" s="10">
        <v>0</v>
      </c>
      <c r="M299" s="6">
        <v>0</v>
      </c>
      <c r="N299" s="37" t="e" cm="1">
        <f t="array" ref="N299">IF(OR(ISNUMBER(FIND(Aux!$D$3:$D$9,_xlfn.TEXTJOIN(,,C299:K299)))),NA(),IF(AND(SUM(C299:F299,H299:K299)=0,G299=1),0,INT((SUMPRODUCT(C299:F299,COLUMN($A$1:$D$1)-1)+SUMPRODUCT(H299:K299,COLUMN($E$1:$H$1)-1))*'Line Follower'!$C$3/SUM(C299:F299,H299:K299)-'Line Follower'!$C$5)))</f>
        <v>#N/A</v>
      </c>
      <c r="O299" s="22" t="e">
        <v>#N/A</v>
      </c>
      <c r="P299" s="4" t="e">
        <f t="shared" si="20"/>
        <v>#N/A</v>
      </c>
      <c r="Q299" s="4" t="e">
        <f t="shared" si="21"/>
        <v>#N/A</v>
      </c>
      <c r="R299" s="4" t="e">
        <f>IF(AND(B299=1,N299&gt;'Line Follower'!$C$7,SUM(C299:K299)&lt;4),1,0)</f>
        <v>#N/A</v>
      </c>
      <c r="S299" s="4" t="e">
        <f>IF(AND(L299=1,N299&lt;'Line Follower'!$C$6,SUM(C299:K299)&lt;4),1,0)</f>
        <v>#N/A</v>
      </c>
      <c r="T299" s="4" t="e">
        <f t="shared" si="22"/>
        <v>#N/A</v>
      </c>
      <c r="U299" s="5" t="e">
        <f t="shared" si="23"/>
        <v>#N/A</v>
      </c>
      <c r="V299" s="23" t="e">
        <f t="shared" si="24"/>
        <v>#N/A</v>
      </c>
    </row>
    <row r="300" spans="2:22" x14ac:dyDescent="0.25">
      <c r="B300" s="16">
        <v>1</v>
      </c>
      <c r="C300" s="7">
        <v>0</v>
      </c>
      <c r="D300" s="8">
        <v>0</v>
      </c>
      <c r="E300" s="8">
        <v>1</v>
      </c>
      <c r="F300" s="8">
        <v>0</v>
      </c>
      <c r="G300" s="8">
        <v>1</v>
      </c>
      <c r="H300" s="8">
        <v>0</v>
      </c>
      <c r="I300" s="8">
        <v>0</v>
      </c>
      <c r="J300" s="8">
        <v>1</v>
      </c>
      <c r="K300" s="9">
        <v>0</v>
      </c>
      <c r="L300" s="10">
        <v>0</v>
      </c>
      <c r="M300" s="6">
        <v>0</v>
      </c>
      <c r="N300" s="37" t="e" cm="1">
        <f t="array" ref="N300">IF(OR(ISNUMBER(FIND(Aux!$D$3:$D$9,_xlfn.TEXTJOIN(,,C300:K300)))),NA(),IF(AND(SUM(C300:F300,H300:K300)=0,G300=1),0,INT((SUMPRODUCT(C300:F300,COLUMN($A$1:$D$1)-1)+SUMPRODUCT(H300:K300,COLUMN($E$1:$H$1)-1))*'Line Follower'!$C$3/SUM(C300:F300,H300:K300)-'Line Follower'!$C$5)))</f>
        <v>#N/A</v>
      </c>
      <c r="O300" s="22" t="e">
        <v>#N/A</v>
      </c>
      <c r="P300" s="4" t="e">
        <f t="shared" si="20"/>
        <v>#N/A</v>
      </c>
      <c r="Q300" s="4" t="e">
        <f t="shared" si="21"/>
        <v>#N/A</v>
      </c>
      <c r="R300" s="4" t="e">
        <f>IF(AND(B300=1,N300&gt;'Line Follower'!$C$7,SUM(C300:K300)&lt;4),1,0)</f>
        <v>#N/A</v>
      </c>
      <c r="S300" s="4" t="e">
        <f>IF(AND(L300=1,N300&lt;'Line Follower'!$C$6,SUM(C300:K300)&lt;4),1,0)</f>
        <v>#N/A</v>
      </c>
      <c r="T300" s="4" t="e">
        <f t="shared" si="22"/>
        <v>#N/A</v>
      </c>
      <c r="U300" s="5" t="e">
        <f t="shared" si="23"/>
        <v>#N/A</v>
      </c>
      <c r="V300" s="23" t="e">
        <f t="shared" si="24"/>
        <v>#N/A</v>
      </c>
    </row>
    <row r="301" spans="2:22" x14ac:dyDescent="0.25">
      <c r="B301" s="16">
        <v>0</v>
      </c>
      <c r="C301" s="7">
        <v>1</v>
      </c>
      <c r="D301" s="8">
        <v>0</v>
      </c>
      <c r="E301" s="8">
        <v>1</v>
      </c>
      <c r="F301" s="8">
        <v>0</v>
      </c>
      <c r="G301" s="8">
        <v>1</v>
      </c>
      <c r="H301" s="8">
        <v>0</v>
      </c>
      <c r="I301" s="8">
        <v>0</v>
      </c>
      <c r="J301" s="8">
        <v>1</v>
      </c>
      <c r="K301" s="9">
        <v>0</v>
      </c>
      <c r="L301" s="10">
        <v>0</v>
      </c>
      <c r="M301" s="6">
        <v>0</v>
      </c>
      <c r="N301" s="37" t="e" cm="1">
        <f t="array" ref="N301">IF(OR(ISNUMBER(FIND(Aux!$D$3:$D$9,_xlfn.TEXTJOIN(,,C301:K301)))),NA(),IF(AND(SUM(C301:F301,H301:K301)=0,G301=1),0,INT((SUMPRODUCT(C301:F301,COLUMN($A$1:$D$1)-1)+SUMPRODUCT(H301:K301,COLUMN($E$1:$H$1)-1))*'Line Follower'!$C$3/SUM(C301:F301,H301:K301)-'Line Follower'!$C$5)))</f>
        <v>#N/A</v>
      </c>
      <c r="O301" s="22" t="e">
        <v>#N/A</v>
      </c>
      <c r="P301" s="4" t="e">
        <f t="shared" si="20"/>
        <v>#N/A</v>
      </c>
      <c r="Q301" s="4" t="e">
        <f t="shared" si="21"/>
        <v>#N/A</v>
      </c>
      <c r="R301" s="4" t="e">
        <f>IF(AND(B301=1,N301&gt;'Line Follower'!$C$7,SUM(C301:K301)&lt;4),1,0)</f>
        <v>#N/A</v>
      </c>
      <c r="S301" s="4" t="e">
        <f>IF(AND(L301=1,N301&lt;'Line Follower'!$C$6,SUM(C301:K301)&lt;4),1,0)</f>
        <v>#N/A</v>
      </c>
      <c r="T301" s="4" t="e">
        <f t="shared" si="22"/>
        <v>#N/A</v>
      </c>
      <c r="U301" s="5" t="e">
        <f t="shared" si="23"/>
        <v>#N/A</v>
      </c>
      <c r="V301" s="23" t="e">
        <f t="shared" si="24"/>
        <v>#N/A</v>
      </c>
    </row>
    <row r="302" spans="2:22" x14ac:dyDescent="0.25">
      <c r="B302" s="16">
        <v>1</v>
      </c>
      <c r="C302" s="7">
        <v>1</v>
      </c>
      <c r="D302" s="8">
        <v>0</v>
      </c>
      <c r="E302" s="8">
        <v>1</v>
      </c>
      <c r="F302" s="8">
        <v>0</v>
      </c>
      <c r="G302" s="8">
        <v>1</v>
      </c>
      <c r="H302" s="8">
        <v>0</v>
      </c>
      <c r="I302" s="8">
        <v>0</v>
      </c>
      <c r="J302" s="8">
        <v>1</v>
      </c>
      <c r="K302" s="9">
        <v>0</v>
      </c>
      <c r="L302" s="10">
        <v>0</v>
      </c>
      <c r="M302" s="6">
        <v>0</v>
      </c>
      <c r="N302" s="37" t="e" cm="1">
        <f t="array" ref="N302">IF(OR(ISNUMBER(FIND(Aux!$D$3:$D$9,_xlfn.TEXTJOIN(,,C302:K302)))),NA(),IF(AND(SUM(C302:F302,H302:K302)=0,G302=1),0,INT((SUMPRODUCT(C302:F302,COLUMN($A$1:$D$1)-1)+SUMPRODUCT(H302:K302,COLUMN($E$1:$H$1)-1))*'Line Follower'!$C$3/SUM(C302:F302,H302:K302)-'Line Follower'!$C$5)))</f>
        <v>#N/A</v>
      </c>
      <c r="O302" s="22" t="e">
        <v>#N/A</v>
      </c>
      <c r="P302" s="4" t="e">
        <f t="shared" si="20"/>
        <v>#N/A</v>
      </c>
      <c r="Q302" s="4" t="e">
        <f t="shared" si="21"/>
        <v>#N/A</v>
      </c>
      <c r="R302" s="4" t="e">
        <f>IF(AND(B302=1,N302&gt;'Line Follower'!$C$7,SUM(C302:K302)&lt;4),1,0)</f>
        <v>#N/A</v>
      </c>
      <c r="S302" s="4" t="e">
        <f>IF(AND(L302=1,N302&lt;'Line Follower'!$C$6,SUM(C302:K302)&lt;4),1,0)</f>
        <v>#N/A</v>
      </c>
      <c r="T302" s="4" t="e">
        <f t="shared" si="22"/>
        <v>#N/A</v>
      </c>
      <c r="U302" s="5" t="e">
        <f t="shared" si="23"/>
        <v>#N/A</v>
      </c>
      <c r="V302" s="23" t="e">
        <f t="shared" si="24"/>
        <v>#N/A</v>
      </c>
    </row>
    <row r="303" spans="2:22" x14ac:dyDescent="0.25">
      <c r="B303" s="16">
        <v>0</v>
      </c>
      <c r="C303" s="7">
        <v>0</v>
      </c>
      <c r="D303" s="8">
        <v>1</v>
      </c>
      <c r="E303" s="8">
        <v>1</v>
      </c>
      <c r="F303" s="8">
        <v>0</v>
      </c>
      <c r="G303" s="8">
        <v>1</v>
      </c>
      <c r="H303" s="8">
        <v>0</v>
      </c>
      <c r="I303" s="8">
        <v>0</v>
      </c>
      <c r="J303" s="8">
        <v>1</v>
      </c>
      <c r="K303" s="9">
        <v>0</v>
      </c>
      <c r="L303" s="10">
        <v>0</v>
      </c>
      <c r="M303" s="6">
        <v>0</v>
      </c>
      <c r="N303" s="37" t="e" cm="1">
        <f t="array" ref="N303">IF(OR(ISNUMBER(FIND(Aux!$D$3:$D$9,_xlfn.TEXTJOIN(,,C303:K303)))),NA(),IF(AND(SUM(C303:F303,H303:K303)=0,G303=1),0,INT((SUMPRODUCT(C303:F303,COLUMN($A$1:$D$1)-1)+SUMPRODUCT(H303:K303,COLUMN($E$1:$H$1)-1))*'Line Follower'!$C$3/SUM(C303:F303,H303:K303)-'Line Follower'!$C$5)))</f>
        <v>#N/A</v>
      </c>
      <c r="O303" s="22" t="e">
        <v>#N/A</v>
      </c>
      <c r="P303" s="4" t="e">
        <f t="shared" si="20"/>
        <v>#N/A</v>
      </c>
      <c r="Q303" s="4" t="e">
        <f t="shared" si="21"/>
        <v>#N/A</v>
      </c>
      <c r="R303" s="4" t="e">
        <f>IF(AND(B303=1,N303&gt;'Line Follower'!$C$7,SUM(C303:K303)&lt;4),1,0)</f>
        <v>#N/A</v>
      </c>
      <c r="S303" s="4" t="e">
        <f>IF(AND(L303=1,N303&lt;'Line Follower'!$C$6,SUM(C303:K303)&lt;4),1,0)</f>
        <v>#N/A</v>
      </c>
      <c r="T303" s="4" t="e">
        <f t="shared" si="22"/>
        <v>#N/A</v>
      </c>
      <c r="U303" s="5" t="e">
        <f t="shared" si="23"/>
        <v>#N/A</v>
      </c>
      <c r="V303" s="23" t="e">
        <f t="shared" si="24"/>
        <v>#N/A</v>
      </c>
    </row>
    <row r="304" spans="2:22" x14ac:dyDescent="0.25">
      <c r="B304" s="16">
        <v>1</v>
      </c>
      <c r="C304" s="7">
        <v>0</v>
      </c>
      <c r="D304" s="8">
        <v>1</v>
      </c>
      <c r="E304" s="8">
        <v>1</v>
      </c>
      <c r="F304" s="8">
        <v>0</v>
      </c>
      <c r="G304" s="8">
        <v>1</v>
      </c>
      <c r="H304" s="8">
        <v>0</v>
      </c>
      <c r="I304" s="8">
        <v>0</v>
      </c>
      <c r="J304" s="8">
        <v>1</v>
      </c>
      <c r="K304" s="9">
        <v>0</v>
      </c>
      <c r="L304" s="10">
        <v>0</v>
      </c>
      <c r="M304" s="6">
        <v>0</v>
      </c>
      <c r="N304" s="37" t="e" cm="1">
        <f t="array" ref="N304">IF(OR(ISNUMBER(FIND(Aux!$D$3:$D$9,_xlfn.TEXTJOIN(,,C304:K304)))),NA(),IF(AND(SUM(C304:F304,H304:K304)=0,G304=1),0,INT((SUMPRODUCT(C304:F304,COLUMN($A$1:$D$1)-1)+SUMPRODUCT(H304:K304,COLUMN($E$1:$H$1)-1))*'Line Follower'!$C$3/SUM(C304:F304,H304:K304)-'Line Follower'!$C$5)))</f>
        <v>#N/A</v>
      </c>
      <c r="O304" s="22" t="e">
        <v>#N/A</v>
      </c>
      <c r="P304" s="4" t="e">
        <f t="shared" si="20"/>
        <v>#N/A</v>
      </c>
      <c r="Q304" s="4" t="e">
        <f t="shared" si="21"/>
        <v>#N/A</v>
      </c>
      <c r="R304" s="4" t="e">
        <f>IF(AND(B304=1,N304&gt;'Line Follower'!$C$7,SUM(C304:K304)&lt;4),1,0)</f>
        <v>#N/A</v>
      </c>
      <c r="S304" s="4" t="e">
        <f>IF(AND(L304=1,N304&lt;'Line Follower'!$C$6,SUM(C304:K304)&lt;4),1,0)</f>
        <v>#N/A</v>
      </c>
      <c r="T304" s="4" t="e">
        <f t="shared" si="22"/>
        <v>#N/A</v>
      </c>
      <c r="U304" s="5" t="e">
        <f t="shared" si="23"/>
        <v>#N/A</v>
      </c>
      <c r="V304" s="23" t="e">
        <f t="shared" si="24"/>
        <v>#N/A</v>
      </c>
    </row>
    <row r="305" spans="2:22" x14ac:dyDescent="0.25">
      <c r="B305" s="16">
        <v>0</v>
      </c>
      <c r="C305" s="7">
        <v>1</v>
      </c>
      <c r="D305" s="8">
        <v>1</v>
      </c>
      <c r="E305" s="8">
        <v>1</v>
      </c>
      <c r="F305" s="8">
        <v>0</v>
      </c>
      <c r="G305" s="8">
        <v>1</v>
      </c>
      <c r="H305" s="8">
        <v>0</v>
      </c>
      <c r="I305" s="8">
        <v>0</v>
      </c>
      <c r="J305" s="8">
        <v>1</v>
      </c>
      <c r="K305" s="9">
        <v>0</v>
      </c>
      <c r="L305" s="10">
        <v>0</v>
      </c>
      <c r="M305" s="6">
        <v>0</v>
      </c>
      <c r="N305" s="37" t="e" cm="1">
        <f t="array" ref="N305">IF(OR(ISNUMBER(FIND(Aux!$D$3:$D$9,_xlfn.TEXTJOIN(,,C305:K305)))),NA(),IF(AND(SUM(C305:F305,H305:K305)=0,G305=1),0,INT((SUMPRODUCT(C305:F305,COLUMN($A$1:$D$1)-1)+SUMPRODUCT(H305:K305,COLUMN($E$1:$H$1)-1))*'Line Follower'!$C$3/SUM(C305:F305,H305:K305)-'Line Follower'!$C$5)))</f>
        <v>#N/A</v>
      </c>
      <c r="O305" s="22" t="e">
        <v>#N/A</v>
      </c>
      <c r="P305" s="4" t="e">
        <f t="shared" si="20"/>
        <v>#N/A</v>
      </c>
      <c r="Q305" s="4" t="e">
        <f t="shared" si="21"/>
        <v>#N/A</v>
      </c>
      <c r="R305" s="4" t="e">
        <f>IF(AND(B305=1,N305&gt;'Line Follower'!$C$7,SUM(C305:K305)&lt;4),1,0)</f>
        <v>#N/A</v>
      </c>
      <c r="S305" s="4" t="e">
        <f>IF(AND(L305=1,N305&lt;'Line Follower'!$C$6,SUM(C305:K305)&lt;4),1,0)</f>
        <v>#N/A</v>
      </c>
      <c r="T305" s="4" t="e">
        <f t="shared" si="22"/>
        <v>#N/A</v>
      </c>
      <c r="U305" s="5" t="e">
        <f t="shared" si="23"/>
        <v>#N/A</v>
      </c>
      <c r="V305" s="23" t="e">
        <f t="shared" si="24"/>
        <v>#N/A</v>
      </c>
    </row>
    <row r="306" spans="2:22" x14ac:dyDescent="0.25">
      <c r="B306" s="16">
        <v>1</v>
      </c>
      <c r="C306" s="7">
        <v>1</v>
      </c>
      <c r="D306" s="8">
        <v>1</v>
      </c>
      <c r="E306" s="8">
        <v>1</v>
      </c>
      <c r="F306" s="8">
        <v>0</v>
      </c>
      <c r="G306" s="8">
        <v>1</v>
      </c>
      <c r="H306" s="8">
        <v>0</v>
      </c>
      <c r="I306" s="8">
        <v>0</v>
      </c>
      <c r="J306" s="8">
        <v>1</v>
      </c>
      <c r="K306" s="9">
        <v>0</v>
      </c>
      <c r="L306" s="10">
        <v>0</v>
      </c>
      <c r="M306" s="6">
        <v>0</v>
      </c>
      <c r="N306" s="37" t="e" cm="1">
        <f t="array" ref="N306">IF(OR(ISNUMBER(FIND(Aux!$D$3:$D$9,_xlfn.TEXTJOIN(,,C306:K306)))),NA(),IF(AND(SUM(C306:F306,H306:K306)=0,G306=1),0,INT((SUMPRODUCT(C306:F306,COLUMN($A$1:$D$1)-1)+SUMPRODUCT(H306:K306,COLUMN($E$1:$H$1)-1))*'Line Follower'!$C$3/SUM(C306:F306,H306:K306)-'Line Follower'!$C$5)))</f>
        <v>#N/A</v>
      </c>
      <c r="O306" s="22" t="e">
        <v>#N/A</v>
      </c>
      <c r="P306" s="4" t="e">
        <f t="shared" si="20"/>
        <v>#N/A</v>
      </c>
      <c r="Q306" s="4" t="e">
        <f t="shared" si="21"/>
        <v>#N/A</v>
      </c>
      <c r="R306" s="4" t="e">
        <f>IF(AND(B306=1,N306&gt;'Line Follower'!$C$7,SUM(C306:K306)&lt;4),1,0)</f>
        <v>#N/A</v>
      </c>
      <c r="S306" s="4" t="e">
        <f>IF(AND(L306=1,N306&lt;'Line Follower'!$C$6,SUM(C306:K306)&lt;4),1,0)</f>
        <v>#N/A</v>
      </c>
      <c r="T306" s="4" t="e">
        <f t="shared" si="22"/>
        <v>#N/A</v>
      </c>
      <c r="U306" s="5" t="e">
        <f t="shared" si="23"/>
        <v>#N/A</v>
      </c>
      <c r="V306" s="23" t="e">
        <f t="shared" si="24"/>
        <v>#N/A</v>
      </c>
    </row>
    <row r="307" spans="2:22" x14ac:dyDescent="0.25">
      <c r="B307" s="16">
        <v>0</v>
      </c>
      <c r="C307" s="7">
        <v>0</v>
      </c>
      <c r="D307" s="8">
        <v>0</v>
      </c>
      <c r="E307" s="8">
        <v>0</v>
      </c>
      <c r="F307" s="8">
        <v>1</v>
      </c>
      <c r="G307" s="8">
        <v>1</v>
      </c>
      <c r="H307" s="8">
        <v>0</v>
      </c>
      <c r="I307" s="8">
        <v>0</v>
      </c>
      <c r="J307" s="8">
        <v>1</v>
      </c>
      <c r="K307" s="9">
        <v>0</v>
      </c>
      <c r="L307" s="10">
        <v>0</v>
      </c>
      <c r="M307" s="6">
        <v>0</v>
      </c>
      <c r="N307" s="37" t="e" cm="1">
        <f t="array" ref="N307">IF(OR(ISNUMBER(FIND(Aux!$D$3:$D$9,_xlfn.TEXTJOIN(,,C307:K307)))),NA(),IF(AND(SUM(C307:F307,H307:K307)=0,G307=1),0,INT((SUMPRODUCT(C307:F307,COLUMN($A$1:$D$1)-1)+SUMPRODUCT(H307:K307,COLUMN($E$1:$H$1)-1))*'Line Follower'!$C$3/SUM(C307:F307,H307:K307)-'Line Follower'!$C$5)))</f>
        <v>#N/A</v>
      </c>
      <c r="O307" s="22" t="e">
        <v>#N/A</v>
      </c>
      <c r="P307" s="4" t="e">
        <f t="shared" si="20"/>
        <v>#N/A</v>
      </c>
      <c r="Q307" s="4" t="e">
        <f t="shared" si="21"/>
        <v>#N/A</v>
      </c>
      <c r="R307" s="4" t="e">
        <f>IF(AND(B307=1,N307&gt;'Line Follower'!$C$7,SUM(C307:K307)&lt;4),1,0)</f>
        <v>#N/A</v>
      </c>
      <c r="S307" s="4" t="e">
        <f>IF(AND(L307=1,N307&lt;'Line Follower'!$C$6,SUM(C307:K307)&lt;4),1,0)</f>
        <v>#N/A</v>
      </c>
      <c r="T307" s="4" t="e">
        <f t="shared" si="22"/>
        <v>#N/A</v>
      </c>
      <c r="U307" s="5" t="e">
        <f t="shared" si="23"/>
        <v>#N/A</v>
      </c>
      <c r="V307" s="23" t="e">
        <f t="shared" si="24"/>
        <v>#N/A</v>
      </c>
    </row>
    <row r="308" spans="2:22" x14ac:dyDescent="0.25">
      <c r="B308" s="16">
        <v>1</v>
      </c>
      <c r="C308" s="7">
        <v>0</v>
      </c>
      <c r="D308" s="8">
        <v>0</v>
      </c>
      <c r="E308" s="8">
        <v>0</v>
      </c>
      <c r="F308" s="8">
        <v>1</v>
      </c>
      <c r="G308" s="8">
        <v>1</v>
      </c>
      <c r="H308" s="8">
        <v>0</v>
      </c>
      <c r="I308" s="8">
        <v>0</v>
      </c>
      <c r="J308" s="8">
        <v>1</v>
      </c>
      <c r="K308" s="9">
        <v>0</v>
      </c>
      <c r="L308" s="10">
        <v>0</v>
      </c>
      <c r="M308" s="6">
        <v>0</v>
      </c>
      <c r="N308" s="37" t="e" cm="1">
        <f t="array" ref="N308">IF(OR(ISNUMBER(FIND(Aux!$D$3:$D$9,_xlfn.TEXTJOIN(,,C308:K308)))),NA(),IF(AND(SUM(C308:F308,H308:K308)=0,G308=1),0,INT((SUMPRODUCT(C308:F308,COLUMN($A$1:$D$1)-1)+SUMPRODUCT(H308:K308,COLUMN($E$1:$H$1)-1))*'Line Follower'!$C$3/SUM(C308:F308,H308:K308)-'Line Follower'!$C$5)))</f>
        <v>#N/A</v>
      </c>
      <c r="O308" s="22" t="e">
        <v>#N/A</v>
      </c>
      <c r="P308" s="4" t="e">
        <f t="shared" si="20"/>
        <v>#N/A</v>
      </c>
      <c r="Q308" s="4" t="e">
        <f t="shared" si="21"/>
        <v>#N/A</v>
      </c>
      <c r="R308" s="4" t="e">
        <f>IF(AND(B308=1,N308&gt;'Line Follower'!$C$7,SUM(C308:K308)&lt;4),1,0)</f>
        <v>#N/A</v>
      </c>
      <c r="S308" s="4" t="e">
        <f>IF(AND(L308=1,N308&lt;'Line Follower'!$C$6,SUM(C308:K308)&lt;4),1,0)</f>
        <v>#N/A</v>
      </c>
      <c r="T308" s="4" t="e">
        <f t="shared" si="22"/>
        <v>#N/A</v>
      </c>
      <c r="U308" s="5" t="e">
        <f t="shared" si="23"/>
        <v>#N/A</v>
      </c>
      <c r="V308" s="23" t="e">
        <f t="shared" si="24"/>
        <v>#N/A</v>
      </c>
    </row>
    <row r="309" spans="2:22" x14ac:dyDescent="0.25">
      <c r="B309" s="16">
        <v>0</v>
      </c>
      <c r="C309" s="7">
        <v>1</v>
      </c>
      <c r="D309" s="8">
        <v>0</v>
      </c>
      <c r="E309" s="8">
        <v>0</v>
      </c>
      <c r="F309" s="8">
        <v>1</v>
      </c>
      <c r="G309" s="8">
        <v>1</v>
      </c>
      <c r="H309" s="8">
        <v>0</v>
      </c>
      <c r="I309" s="8">
        <v>0</v>
      </c>
      <c r="J309" s="8">
        <v>1</v>
      </c>
      <c r="K309" s="9">
        <v>0</v>
      </c>
      <c r="L309" s="10">
        <v>0</v>
      </c>
      <c r="M309" s="6">
        <v>0</v>
      </c>
      <c r="N309" s="37" t="e" cm="1">
        <f t="array" ref="N309">IF(OR(ISNUMBER(FIND(Aux!$D$3:$D$9,_xlfn.TEXTJOIN(,,C309:K309)))),NA(),IF(AND(SUM(C309:F309,H309:K309)=0,G309=1),0,INT((SUMPRODUCT(C309:F309,COLUMN($A$1:$D$1)-1)+SUMPRODUCT(H309:K309,COLUMN($E$1:$H$1)-1))*'Line Follower'!$C$3/SUM(C309:F309,H309:K309)-'Line Follower'!$C$5)))</f>
        <v>#N/A</v>
      </c>
      <c r="O309" s="22" t="e">
        <v>#N/A</v>
      </c>
      <c r="P309" s="4" t="e">
        <f t="shared" si="20"/>
        <v>#N/A</v>
      </c>
      <c r="Q309" s="4" t="e">
        <f t="shared" si="21"/>
        <v>#N/A</v>
      </c>
      <c r="R309" s="4" t="e">
        <f>IF(AND(B309=1,N309&gt;'Line Follower'!$C$7,SUM(C309:K309)&lt;4),1,0)</f>
        <v>#N/A</v>
      </c>
      <c r="S309" s="4" t="e">
        <f>IF(AND(L309=1,N309&lt;'Line Follower'!$C$6,SUM(C309:K309)&lt;4),1,0)</f>
        <v>#N/A</v>
      </c>
      <c r="T309" s="4" t="e">
        <f t="shared" si="22"/>
        <v>#N/A</v>
      </c>
      <c r="U309" s="5" t="e">
        <f t="shared" si="23"/>
        <v>#N/A</v>
      </c>
      <c r="V309" s="23" t="e">
        <f t="shared" si="24"/>
        <v>#N/A</v>
      </c>
    </row>
    <row r="310" spans="2:22" x14ac:dyDescent="0.25">
      <c r="B310" s="16">
        <v>1</v>
      </c>
      <c r="C310" s="7">
        <v>1</v>
      </c>
      <c r="D310" s="8">
        <v>0</v>
      </c>
      <c r="E310" s="8">
        <v>0</v>
      </c>
      <c r="F310" s="8">
        <v>1</v>
      </c>
      <c r="G310" s="8">
        <v>1</v>
      </c>
      <c r="H310" s="8">
        <v>0</v>
      </c>
      <c r="I310" s="8">
        <v>0</v>
      </c>
      <c r="J310" s="8">
        <v>1</v>
      </c>
      <c r="K310" s="9">
        <v>0</v>
      </c>
      <c r="L310" s="10">
        <v>0</v>
      </c>
      <c r="M310" s="6">
        <v>0</v>
      </c>
      <c r="N310" s="37" t="e" cm="1">
        <f t="array" ref="N310">IF(OR(ISNUMBER(FIND(Aux!$D$3:$D$9,_xlfn.TEXTJOIN(,,C310:K310)))),NA(),IF(AND(SUM(C310:F310,H310:K310)=0,G310=1),0,INT((SUMPRODUCT(C310:F310,COLUMN($A$1:$D$1)-1)+SUMPRODUCT(H310:K310,COLUMN($E$1:$H$1)-1))*'Line Follower'!$C$3/SUM(C310:F310,H310:K310)-'Line Follower'!$C$5)))</f>
        <v>#N/A</v>
      </c>
      <c r="O310" s="22" t="e">
        <v>#N/A</v>
      </c>
      <c r="P310" s="4" t="e">
        <f t="shared" si="20"/>
        <v>#N/A</v>
      </c>
      <c r="Q310" s="4" t="e">
        <f t="shared" si="21"/>
        <v>#N/A</v>
      </c>
      <c r="R310" s="4" t="e">
        <f>IF(AND(B310=1,N310&gt;'Line Follower'!$C$7,SUM(C310:K310)&lt;4),1,0)</f>
        <v>#N/A</v>
      </c>
      <c r="S310" s="4" t="e">
        <f>IF(AND(L310=1,N310&lt;'Line Follower'!$C$6,SUM(C310:K310)&lt;4),1,0)</f>
        <v>#N/A</v>
      </c>
      <c r="T310" s="4" t="e">
        <f t="shared" si="22"/>
        <v>#N/A</v>
      </c>
      <c r="U310" s="5" t="e">
        <f t="shared" si="23"/>
        <v>#N/A</v>
      </c>
      <c r="V310" s="23" t="e">
        <f t="shared" si="24"/>
        <v>#N/A</v>
      </c>
    </row>
    <row r="311" spans="2:22" x14ac:dyDescent="0.25">
      <c r="B311" s="16">
        <v>0</v>
      </c>
      <c r="C311" s="7">
        <v>0</v>
      </c>
      <c r="D311" s="8">
        <v>1</v>
      </c>
      <c r="E311" s="8">
        <v>0</v>
      </c>
      <c r="F311" s="8">
        <v>1</v>
      </c>
      <c r="G311" s="8">
        <v>1</v>
      </c>
      <c r="H311" s="8">
        <v>0</v>
      </c>
      <c r="I311" s="8">
        <v>0</v>
      </c>
      <c r="J311" s="8">
        <v>1</v>
      </c>
      <c r="K311" s="9">
        <v>0</v>
      </c>
      <c r="L311" s="10">
        <v>0</v>
      </c>
      <c r="M311" s="6">
        <v>0</v>
      </c>
      <c r="N311" s="37" t="e" cm="1">
        <f t="array" ref="N311">IF(OR(ISNUMBER(FIND(Aux!$D$3:$D$9,_xlfn.TEXTJOIN(,,C311:K311)))),NA(),IF(AND(SUM(C311:F311,H311:K311)=0,G311=1),0,INT((SUMPRODUCT(C311:F311,COLUMN($A$1:$D$1)-1)+SUMPRODUCT(H311:K311,COLUMN($E$1:$H$1)-1))*'Line Follower'!$C$3/SUM(C311:F311,H311:K311)-'Line Follower'!$C$5)))</f>
        <v>#N/A</v>
      </c>
      <c r="O311" s="22" t="e">
        <v>#N/A</v>
      </c>
      <c r="P311" s="4" t="e">
        <f t="shared" si="20"/>
        <v>#N/A</v>
      </c>
      <c r="Q311" s="4" t="e">
        <f t="shared" si="21"/>
        <v>#N/A</v>
      </c>
      <c r="R311" s="4" t="e">
        <f>IF(AND(B311=1,N311&gt;'Line Follower'!$C$7,SUM(C311:K311)&lt;4),1,0)</f>
        <v>#N/A</v>
      </c>
      <c r="S311" s="4" t="e">
        <f>IF(AND(L311=1,N311&lt;'Line Follower'!$C$6,SUM(C311:K311)&lt;4),1,0)</f>
        <v>#N/A</v>
      </c>
      <c r="T311" s="4" t="e">
        <f t="shared" si="22"/>
        <v>#N/A</v>
      </c>
      <c r="U311" s="5" t="e">
        <f t="shared" si="23"/>
        <v>#N/A</v>
      </c>
      <c r="V311" s="23" t="e">
        <f t="shared" si="24"/>
        <v>#N/A</v>
      </c>
    </row>
    <row r="312" spans="2:22" x14ac:dyDescent="0.25">
      <c r="B312" s="16">
        <v>1</v>
      </c>
      <c r="C312" s="7">
        <v>0</v>
      </c>
      <c r="D312" s="8">
        <v>1</v>
      </c>
      <c r="E312" s="8">
        <v>0</v>
      </c>
      <c r="F312" s="8">
        <v>1</v>
      </c>
      <c r="G312" s="8">
        <v>1</v>
      </c>
      <c r="H312" s="8">
        <v>0</v>
      </c>
      <c r="I312" s="8">
        <v>0</v>
      </c>
      <c r="J312" s="8">
        <v>1</v>
      </c>
      <c r="K312" s="9">
        <v>0</v>
      </c>
      <c r="L312" s="10">
        <v>0</v>
      </c>
      <c r="M312" s="6">
        <v>0</v>
      </c>
      <c r="N312" s="37" t="e" cm="1">
        <f t="array" ref="N312">IF(OR(ISNUMBER(FIND(Aux!$D$3:$D$9,_xlfn.TEXTJOIN(,,C312:K312)))),NA(),IF(AND(SUM(C312:F312,H312:K312)=0,G312=1),0,INT((SUMPRODUCT(C312:F312,COLUMN($A$1:$D$1)-1)+SUMPRODUCT(H312:K312,COLUMN($E$1:$H$1)-1))*'Line Follower'!$C$3/SUM(C312:F312,H312:K312)-'Line Follower'!$C$5)))</f>
        <v>#N/A</v>
      </c>
      <c r="O312" s="22" t="e">
        <v>#N/A</v>
      </c>
      <c r="P312" s="4" t="e">
        <f t="shared" si="20"/>
        <v>#N/A</v>
      </c>
      <c r="Q312" s="4" t="e">
        <f t="shared" si="21"/>
        <v>#N/A</v>
      </c>
      <c r="R312" s="4" t="e">
        <f>IF(AND(B312=1,N312&gt;'Line Follower'!$C$7,SUM(C312:K312)&lt;4),1,0)</f>
        <v>#N/A</v>
      </c>
      <c r="S312" s="4" t="e">
        <f>IF(AND(L312=1,N312&lt;'Line Follower'!$C$6,SUM(C312:K312)&lt;4),1,0)</f>
        <v>#N/A</v>
      </c>
      <c r="T312" s="4" t="e">
        <f t="shared" si="22"/>
        <v>#N/A</v>
      </c>
      <c r="U312" s="5" t="e">
        <f t="shared" si="23"/>
        <v>#N/A</v>
      </c>
      <c r="V312" s="23" t="e">
        <f t="shared" si="24"/>
        <v>#N/A</v>
      </c>
    </row>
    <row r="313" spans="2:22" x14ac:dyDescent="0.25">
      <c r="B313" s="16">
        <v>0</v>
      </c>
      <c r="C313" s="7">
        <v>1</v>
      </c>
      <c r="D313" s="8">
        <v>1</v>
      </c>
      <c r="E313" s="8">
        <v>0</v>
      </c>
      <c r="F313" s="8">
        <v>1</v>
      </c>
      <c r="G313" s="8">
        <v>1</v>
      </c>
      <c r="H313" s="8">
        <v>0</v>
      </c>
      <c r="I313" s="8">
        <v>0</v>
      </c>
      <c r="J313" s="8">
        <v>1</v>
      </c>
      <c r="K313" s="9">
        <v>0</v>
      </c>
      <c r="L313" s="10">
        <v>0</v>
      </c>
      <c r="M313" s="6">
        <v>0</v>
      </c>
      <c r="N313" s="37" t="e" cm="1">
        <f t="array" ref="N313">IF(OR(ISNUMBER(FIND(Aux!$D$3:$D$9,_xlfn.TEXTJOIN(,,C313:K313)))),NA(),IF(AND(SUM(C313:F313,H313:K313)=0,G313=1),0,INT((SUMPRODUCT(C313:F313,COLUMN($A$1:$D$1)-1)+SUMPRODUCT(H313:K313,COLUMN($E$1:$H$1)-1))*'Line Follower'!$C$3/SUM(C313:F313,H313:K313)-'Line Follower'!$C$5)))</f>
        <v>#N/A</v>
      </c>
      <c r="O313" s="22" t="e">
        <v>#N/A</v>
      </c>
      <c r="P313" s="4" t="e">
        <f t="shared" si="20"/>
        <v>#N/A</v>
      </c>
      <c r="Q313" s="4" t="e">
        <f t="shared" si="21"/>
        <v>#N/A</v>
      </c>
      <c r="R313" s="4" t="e">
        <f>IF(AND(B313=1,N313&gt;'Line Follower'!$C$7,SUM(C313:K313)&lt;4),1,0)</f>
        <v>#N/A</v>
      </c>
      <c r="S313" s="4" t="e">
        <f>IF(AND(L313=1,N313&lt;'Line Follower'!$C$6,SUM(C313:K313)&lt;4),1,0)</f>
        <v>#N/A</v>
      </c>
      <c r="T313" s="4" t="e">
        <f t="shared" si="22"/>
        <v>#N/A</v>
      </c>
      <c r="U313" s="5" t="e">
        <f t="shared" si="23"/>
        <v>#N/A</v>
      </c>
      <c r="V313" s="23" t="e">
        <f t="shared" si="24"/>
        <v>#N/A</v>
      </c>
    </row>
    <row r="314" spans="2:22" x14ac:dyDescent="0.25">
      <c r="B314" s="16">
        <v>1</v>
      </c>
      <c r="C314" s="7">
        <v>1</v>
      </c>
      <c r="D314" s="8">
        <v>1</v>
      </c>
      <c r="E314" s="8">
        <v>0</v>
      </c>
      <c r="F314" s="8">
        <v>1</v>
      </c>
      <c r="G314" s="8">
        <v>1</v>
      </c>
      <c r="H314" s="8">
        <v>0</v>
      </c>
      <c r="I314" s="8">
        <v>0</v>
      </c>
      <c r="J314" s="8">
        <v>1</v>
      </c>
      <c r="K314" s="9">
        <v>0</v>
      </c>
      <c r="L314" s="10">
        <v>0</v>
      </c>
      <c r="M314" s="6">
        <v>0</v>
      </c>
      <c r="N314" s="37" t="e" cm="1">
        <f t="array" ref="N314">IF(OR(ISNUMBER(FIND(Aux!$D$3:$D$9,_xlfn.TEXTJOIN(,,C314:K314)))),NA(),IF(AND(SUM(C314:F314,H314:K314)=0,G314=1),0,INT((SUMPRODUCT(C314:F314,COLUMN($A$1:$D$1)-1)+SUMPRODUCT(H314:K314,COLUMN($E$1:$H$1)-1))*'Line Follower'!$C$3/SUM(C314:F314,H314:K314)-'Line Follower'!$C$5)))</f>
        <v>#N/A</v>
      </c>
      <c r="O314" s="22" t="e">
        <v>#N/A</v>
      </c>
      <c r="P314" s="4" t="e">
        <f t="shared" si="20"/>
        <v>#N/A</v>
      </c>
      <c r="Q314" s="4" t="e">
        <f t="shared" si="21"/>
        <v>#N/A</v>
      </c>
      <c r="R314" s="4" t="e">
        <f>IF(AND(B314=1,N314&gt;'Line Follower'!$C$7,SUM(C314:K314)&lt;4),1,0)</f>
        <v>#N/A</v>
      </c>
      <c r="S314" s="4" t="e">
        <f>IF(AND(L314=1,N314&lt;'Line Follower'!$C$6,SUM(C314:K314)&lt;4),1,0)</f>
        <v>#N/A</v>
      </c>
      <c r="T314" s="4" t="e">
        <f t="shared" si="22"/>
        <v>#N/A</v>
      </c>
      <c r="U314" s="5" t="e">
        <f t="shared" si="23"/>
        <v>#N/A</v>
      </c>
      <c r="V314" s="23" t="e">
        <f t="shared" si="24"/>
        <v>#N/A</v>
      </c>
    </row>
    <row r="315" spans="2:22" x14ac:dyDescent="0.25">
      <c r="B315" s="16">
        <v>0</v>
      </c>
      <c r="C315" s="7">
        <v>0</v>
      </c>
      <c r="D315" s="8">
        <v>0</v>
      </c>
      <c r="E315" s="8">
        <v>1</v>
      </c>
      <c r="F315" s="8">
        <v>1</v>
      </c>
      <c r="G315" s="8">
        <v>1</v>
      </c>
      <c r="H315" s="8">
        <v>0</v>
      </c>
      <c r="I315" s="8">
        <v>0</v>
      </c>
      <c r="J315" s="8">
        <v>1</v>
      </c>
      <c r="K315" s="9">
        <v>0</v>
      </c>
      <c r="L315" s="10">
        <v>0</v>
      </c>
      <c r="M315" s="6">
        <v>0</v>
      </c>
      <c r="N315" s="37" t="e" cm="1">
        <f t="array" ref="N315">IF(OR(ISNUMBER(FIND(Aux!$D$3:$D$9,_xlfn.TEXTJOIN(,,C315:K315)))),NA(),IF(AND(SUM(C315:F315,H315:K315)=0,G315=1),0,INT((SUMPRODUCT(C315:F315,COLUMN($A$1:$D$1)-1)+SUMPRODUCT(H315:K315,COLUMN($E$1:$H$1)-1))*'Line Follower'!$C$3/SUM(C315:F315,H315:K315)-'Line Follower'!$C$5)))</f>
        <v>#N/A</v>
      </c>
      <c r="O315" s="22" t="e">
        <v>#N/A</v>
      </c>
      <c r="P315" s="4" t="e">
        <f t="shared" si="20"/>
        <v>#N/A</v>
      </c>
      <c r="Q315" s="4" t="e">
        <f t="shared" si="21"/>
        <v>#N/A</v>
      </c>
      <c r="R315" s="4" t="e">
        <f>IF(AND(B315=1,N315&gt;'Line Follower'!$C$7,SUM(C315:K315)&lt;4),1,0)</f>
        <v>#N/A</v>
      </c>
      <c r="S315" s="4" t="e">
        <f>IF(AND(L315=1,N315&lt;'Line Follower'!$C$6,SUM(C315:K315)&lt;4),1,0)</f>
        <v>#N/A</v>
      </c>
      <c r="T315" s="4" t="e">
        <f t="shared" si="22"/>
        <v>#N/A</v>
      </c>
      <c r="U315" s="5" t="e">
        <f t="shared" si="23"/>
        <v>#N/A</v>
      </c>
      <c r="V315" s="23" t="e">
        <f t="shared" si="24"/>
        <v>#N/A</v>
      </c>
    </row>
    <row r="316" spans="2:22" x14ac:dyDescent="0.25">
      <c r="B316" s="16">
        <v>1</v>
      </c>
      <c r="C316" s="7">
        <v>0</v>
      </c>
      <c r="D316" s="8">
        <v>0</v>
      </c>
      <c r="E316" s="8">
        <v>1</v>
      </c>
      <c r="F316" s="8">
        <v>1</v>
      </c>
      <c r="G316" s="8">
        <v>1</v>
      </c>
      <c r="H316" s="8">
        <v>0</v>
      </c>
      <c r="I316" s="8">
        <v>0</v>
      </c>
      <c r="J316" s="8">
        <v>1</v>
      </c>
      <c r="K316" s="9">
        <v>0</v>
      </c>
      <c r="L316" s="10">
        <v>0</v>
      </c>
      <c r="M316" s="6">
        <v>0</v>
      </c>
      <c r="N316" s="37" t="e" cm="1">
        <f t="array" ref="N316">IF(OR(ISNUMBER(FIND(Aux!$D$3:$D$9,_xlfn.TEXTJOIN(,,C316:K316)))),NA(),IF(AND(SUM(C316:F316,H316:K316)=0,G316=1),0,INT((SUMPRODUCT(C316:F316,COLUMN($A$1:$D$1)-1)+SUMPRODUCT(H316:K316,COLUMN($E$1:$H$1)-1))*'Line Follower'!$C$3/SUM(C316:F316,H316:K316)-'Line Follower'!$C$5)))</f>
        <v>#N/A</v>
      </c>
      <c r="O316" s="22" t="e">
        <v>#N/A</v>
      </c>
      <c r="P316" s="4" t="e">
        <f t="shared" si="20"/>
        <v>#N/A</v>
      </c>
      <c r="Q316" s="4" t="e">
        <f t="shared" si="21"/>
        <v>#N/A</v>
      </c>
      <c r="R316" s="4" t="e">
        <f>IF(AND(B316=1,N316&gt;'Line Follower'!$C$7,SUM(C316:K316)&lt;4),1,0)</f>
        <v>#N/A</v>
      </c>
      <c r="S316" s="4" t="e">
        <f>IF(AND(L316=1,N316&lt;'Line Follower'!$C$6,SUM(C316:K316)&lt;4),1,0)</f>
        <v>#N/A</v>
      </c>
      <c r="T316" s="4" t="e">
        <f t="shared" si="22"/>
        <v>#N/A</v>
      </c>
      <c r="U316" s="5" t="e">
        <f t="shared" si="23"/>
        <v>#N/A</v>
      </c>
      <c r="V316" s="23" t="e">
        <f t="shared" si="24"/>
        <v>#N/A</v>
      </c>
    </row>
    <row r="317" spans="2:22" x14ac:dyDescent="0.25">
      <c r="B317" s="16">
        <v>0</v>
      </c>
      <c r="C317" s="7">
        <v>1</v>
      </c>
      <c r="D317" s="8">
        <v>0</v>
      </c>
      <c r="E317" s="8">
        <v>1</v>
      </c>
      <c r="F317" s="8">
        <v>1</v>
      </c>
      <c r="G317" s="8">
        <v>1</v>
      </c>
      <c r="H317" s="8">
        <v>0</v>
      </c>
      <c r="I317" s="8">
        <v>0</v>
      </c>
      <c r="J317" s="8">
        <v>1</v>
      </c>
      <c r="K317" s="9">
        <v>0</v>
      </c>
      <c r="L317" s="10">
        <v>0</v>
      </c>
      <c r="M317" s="6">
        <v>0</v>
      </c>
      <c r="N317" s="37" t="e" cm="1">
        <f t="array" ref="N317">IF(OR(ISNUMBER(FIND(Aux!$D$3:$D$9,_xlfn.TEXTJOIN(,,C317:K317)))),NA(),IF(AND(SUM(C317:F317,H317:K317)=0,G317=1),0,INT((SUMPRODUCT(C317:F317,COLUMN($A$1:$D$1)-1)+SUMPRODUCT(H317:K317,COLUMN($E$1:$H$1)-1))*'Line Follower'!$C$3/SUM(C317:F317,H317:K317)-'Line Follower'!$C$5)))</f>
        <v>#N/A</v>
      </c>
      <c r="O317" s="22" t="e">
        <v>#N/A</v>
      </c>
      <c r="P317" s="4" t="e">
        <f t="shared" si="20"/>
        <v>#N/A</v>
      </c>
      <c r="Q317" s="4" t="e">
        <f t="shared" si="21"/>
        <v>#N/A</v>
      </c>
      <c r="R317" s="4" t="e">
        <f>IF(AND(B317=1,N317&gt;'Line Follower'!$C$7,SUM(C317:K317)&lt;4),1,0)</f>
        <v>#N/A</v>
      </c>
      <c r="S317" s="4" t="e">
        <f>IF(AND(L317=1,N317&lt;'Line Follower'!$C$6,SUM(C317:K317)&lt;4),1,0)</f>
        <v>#N/A</v>
      </c>
      <c r="T317" s="4" t="e">
        <f t="shared" si="22"/>
        <v>#N/A</v>
      </c>
      <c r="U317" s="5" t="e">
        <f t="shared" si="23"/>
        <v>#N/A</v>
      </c>
      <c r="V317" s="23" t="e">
        <f t="shared" si="24"/>
        <v>#N/A</v>
      </c>
    </row>
    <row r="318" spans="2:22" x14ac:dyDescent="0.25">
      <c r="B318" s="16">
        <v>1</v>
      </c>
      <c r="C318" s="7">
        <v>1</v>
      </c>
      <c r="D318" s="8">
        <v>0</v>
      </c>
      <c r="E318" s="8">
        <v>1</v>
      </c>
      <c r="F318" s="8">
        <v>1</v>
      </c>
      <c r="G318" s="8">
        <v>1</v>
      </c>
      <c r="H318" s="8">
        <v>0</v>
      </c>
      <c r="I318" s="8">
        <v>0</v>
      </c>
      <c r="J318" s="8">
        <v>1</v>
      </c>
      <c r="K318" s="9">
        <v>0</v>
      </c>
      <c r="L318" s="10">
        <v>0</v>
      </c>
      <c r="M318" s="6">
        <v>0</v>
      </c>
      <c r="N318" s="37" t="e" cm="1">
        <f t="array" ref="N318">IF(OR(ISNUMBER(FIND(Aux!$D$3:$D$9,_xlfn.TEXTJOIN(,,C318:K318)))),NA(),IF(AND(SUM(C318:F318,H318:K318)=0,G318=1),0,INT((SUMPRODUCT(C318:F318,COLUMN($A$1:$D$1)-1)+SUMPRODUCT(H318:K318,COLUMN($E$1:$H$1)-1))*'Line Follower'!$C$3/SUM(C318:F318,H318:K318)-'Line Follower'!$C$5)))</f>
        <v>#N/A</v>
      </c>
      <c r="O318" s="22" t="e">
        <v>#N/A</v>
      </c>
      <c r="P318" s="4" t="e">
        <f t="shared" si="20"/>
        <v>#N/A</v>
      </c>
      <c r="Q318" s="4" t="e">
        <f t="shared" si="21"/>
        <v>#N/A</v>
      </c>
      <c r="R318" s="4" t="e">
        <f>IF(AND(B318=1,N318&gt;'Line Follower'!$C$7,SUM(C318:K318)&lt;4),1,0)</f>
        <v>#N/A</v>
      </c>
      <c r="S318" s="4" t="e">
        <f>IF(AND(L318=1,N318&lt;'Line Follower'!$C$6,SUM(C318:K318)&lt;4),1,0)</f>
        <v>#N/A</v>
      </c>
      <c r="T318" s="4" t="e">
        <f t="shared" si="22"/>
        <v>#N/A</v>
      </c>
      <c r="U318" s="5" t="e">
        <f t="shared" si="23"/>
        <v>#N/A</v>
      </c>
      <c r="V318" s="23" t="e">
        <f t="shared" si="24"/>
        <v>#N/A</v>
      </c>
    </row>
    <row r="319" spans="2:22" x14ac:dyDescent="0.25">
      <c r="B319" s="16">
        <v>0</v>
      </c>
      <c r="C319" s="7">
        <v>0</v>
      </c>
      <c r="D319" s="8">
        <v>1</v>
      </c>
      <c r="E319" s="8">
        <v>1</v>
      </c>
      <c r="F319" s="8">
        <v>1</v>
      </c>
      <c r="G319" s="8">
        <v>1</v>
      </c>
      <c r="H319" s="8">
        <v>0</v>
      </c>
      <c r="I319" s="8">
        <v>0</v>
      </c>
      <c r="J319" s="8">
        <v>1</v>
      </c>
      <c r="K319" s="9">
        <v>0</v>
      </c>
      <c r="L319" s="10">
        <v>0</v>
      </c>
      <c r="M319" s="6">
        <v>0</v>
      </c>
      <c r="N319" s="37" t="e" cm="1">
        <f t="array" ref="N319">IF(OR(ISNUMBER(FIND(Aux!$D$3:$D$9,_xlfn.TEXTJOIN(,,C319:K319)))),NA(),IF(AND(SUM(C319:F319,H319:K319)=0,G319=1),0,INT((SUMPRODUCT(C319:F319,COLUMN($A$1:$D$1)-1)+SUMPRODUCT(H319:K319,COLUMN($E$1:$H$1)-1))*'Line Follower'!$C$3/SUM(C319:F319,H319:K319)-'Line Follower'!$C$5)))</f>
        <v>#N/A</v>
      </c>
      <c r="O319" s="22" t="e">
        <v>#N/A</v>
      </c>
      <c r="P319" s="4" t="e">
        <f t="shared" si="20"/>
        <v>#N/A</v>
      </c>
      <c r="Q319" s="4" t="e">
        <f t="shared" si="21"/>
        <v>#N/A</v>
      </c>
      <c r="R319" s="4" t="e">
        <f>IF(AND(B319=1,N319&gt;'Line Follower'!$C$7,SUM(C319:K319)&lt;4),1,0)</f>
        <v>#N/A</v>
      </c>
      <c r="S319" s="4" t="e">
        <f>IF(AND(L319=1,N319&lt;'Line Follower'!$C$6,SUM(C319:K319)&lt;4),1,0)</f>
        <v>#N/A</v>
      </c>
      <c r="T319" s="4" t="e">
        <f t="shared" si="22"/>
        <v>#N/A</v>
      </c>
      <c r="U319" s="5" t="e">
        <f t="shared" si="23"/>
        <v>#N/A</v>
      </c>
      <c r="V319" s="23" t="e">
        <f t="shared" si="24"/>
        <v>#N/A</v>
      </c>
    </row>
    <row r="320" spans="2:22" x14ac:dyDescent="0.25">
      <c r="B320" s="16">
        <v>1</v>
      </c>
      <c r="C320" s="7">
        <v>0</v>
      </c>
      <c r="D320" s="8">
        <v>1</v>
      </c>
      <c r="E320" s="8">
        <v>1</v>
      </c>
      <c r="F320" s="8">
        <v>1</v>
      </c>
      <c r="G320" s="8">
        <v>1</v>
      </c>
      <c r="H320" s="8">
        <v>0</v>
      </c>
      <c r="I320" s="8">
        <v>0</v>
      </c>
      <c r="J320" s="8">
        <v>1</v>
      </c>
      <c r="K320" s="9">
        <v>0</v>
      </c>
      <c r="L320" s="10">
        <v>0</v>
      </c>
      <c r="M320" s="6">
        <v>0</v>
      </c>
      <c r="N320" s="37" t="e" cm="1">
        <f t="array" ref="N320">IF(OR(ISNUMBER(FIND(Aux!$D$3:$D$9,_xlfn.TEXTJOIN(,,C320:K320)))),NA(),IF(AND(SUM(C320:F320,H320:K320)=0,G320=1),0,INT((SUMPRODUCT(C320:F320,COLUMN($A$1:$D$1)-1)+SUMPRODUCT(H320:K320,COLUMN($E$1:$H$1)-1))*'Line Follower'!$C$3/SUM(C320:F320,H320:K320)-'Line Follower'!$C$5)))</f>
        <v>#N/A</v>
      </c>
      <c r="O320" s="22" t="e">
        <v>#N/A</v>
      </c>
      <c r="P320" s="4" t="e">
        <f t="shared" si="20"/>
        <v>#N/A</v>
      </c>
      <c r="Q320" s="4" t="e">
        <f t="shared" si="21"/>
        <v>#N/A</v>
      </c>
      <c r="R320" s="4" t="e">
        <f>IF(AND(B320=1,N320&gt;'Line Follower'!$C$7,SUM(C320:K320)&lt;4),1,0)</f>
        <v>#N/A</v>
      </c>
      <c r="S320" s="4" t="e">
        <f>IF(AND(L320=1,N320&lt;'Line Follower'!$C$6,SUM(C320:K320)&lt;4),1,0)</f>
        <v>#N/A</v>
      </c>
      <c r="T320" s="4" t="e">
        <f t="shared" si="22"/>
        <v>#N/A</v>
      </c>
      <c r="U320" s="5" t="e">
        <f t="shared" si="23"/>
        <v>#N/A</v>
      </c>
      <c r="V320" s="23" t="e">
        <f t="shared" si="24"/>
        <v>#N/A</v>
      </c>
    </row>
    <row r="321" spans="2:22" x14ac:dyDescent="0.25">
      <c r="B321" s="16">
        <v>0</v>
      </c>
      <c r="C321" s="7">
        <v>1</v>
      </c>
      <c r="D321" s="8">
        <v>1</v>
      </c>
      <c r="E321" s="8">
        <v>1</v>
      </c>
      <c r="F321" s="8">
        <v>1</v>
      </c>
      <c r="G321" s="8">
        <v>1</v>
      </c>
      <c r="H321" s="8">
        <v>0</v>
      </c>
      <c r="I321" s="8">
        <v>0</v>
      </c>
      <c r="J321" s="8">
        <v>1</v>
      </c>
      <c r="K321" s="9">
        <v>0</v>
      </c>
      <c r="L321" s="10">
        <v>0</v>
      </c>
      <c r="M321" s="6">
        <v>0</v>
      </c>
      <c r="N321" s="37" t="e" cm="1">
        <f t="array" ref="N321">IF(OR(ISNUMBER(FIND(Aux!$D$3:$D$9,_xlfn.TEXTJOIN(,,C321:K321)))),NA(),IF(AND(SUM(C321:F321,H321:K321)=0,G321=1),0,INT((SUMPRODUCT(C321:F321,COLUMN($A$1:$D$1)-1)+SUMPRODUCT(H321:K321,COLUMN($E$1:$H$1)-1))*'Line Follower'!$C$3/SUM(C321:F321,H321:K321)-'Line Follower'!$C$5)))</f>
        <v>#N/A</v>
      </c>
      <c r="O321" s="22" t="e">
        <v>#N/A</v>
      </c>
      <c r="P321" s="4" t="e">
        <f t="shared" si="20"/>
        <v>#N/A</v>
      </c>
      <c r="Q321" s="4" t="e">
        <f t="shared" si="21"/>
        <v>#N/A</v>
      </c>
      <c r="R321" s="4" t="e">
        <f>IF(AND(B321=1,N321&gt;'Line Follower'!$C$7,SUM(C321:K321)&lt;4),1,0)</f>
        <v>#N/A</v>
      </c>
      <c r="S321" s="4" t="e">
        <f>IF(AND(L321=1,N321&lt;'Line Follower'!$C$6,SUM(C321:K321)&lt;4),1,0)</f>
        <v>#N/A</v>
      </c>
      <c r="T321" s="4" t="e">
        <f t="shared" si="22"/>
        <v>#N/A</v>
      </c>
      <c r="U321" s="5" t="e">
        <f t="shared" si="23"/>
        <v>#N/A</v>
      </c>
      <c r="V321" s="23" t="e">
        <f t="shared" si="24"/>
        <v>#N/A</v>
      </c>
    </row>
    <row r="322" spans="2:22" x14ac:dyDescent="0.25">
      <c r="B322" s="16">
        <v>1</v>
      </c>
      <c r="C322" s="7">
        <v>1</v>
      </c>
      <c r="D322" s="8">
        <v>1</v>
      </c>
      <c r="E322" s="8">
        <v>1</v>
      </c>
      <c r="F322" s="8">
        <v>1</v>
      </c>
      <c r="G322" s="8">
        <v>1</v>
      </c>
      <c r="H322" s="8">
        <v>0</v>
      </c>
      <c r="I322" s="8">
        <v>0</v>
      </c>
      <c r="J322" s="8">
        <v>1</v>
      </c>
      <c r="K322" s="9">
        <v>0</v>
      </c>
      <c r="L322" s="10">
        <v>0</v>
      </c>
      <c r="M322" s="6">
        <v>0</v>
      </c>
      <c r="N322" s="37" t="e" cm="1">
        <f t="array" ref="N322">IF(OR(ISNUMBER(FIND(Aux!$D$3:$D$9,_xlfn.TEXTJOIN(,,C322:K322)))),NA(),IF(AND(SUM(C322:F322,H322:K322)=0,G322=1),0,INT((SUMPRODUCT(C322:F322,COLUMN($A$1:$D$1)-1)+SUMPRODUCT(H322:K322,COLUMN($E$1:$H$1)-1))*'Line Follower'!$C$3/SUM(C322:F322,H322:K322)-'Line Follower'!$C$5)))</f>
        <v>#N/A</v>
      </c>
      <c r="O322" s="22" t="e">
        <v>#N/A</v>
      </c>
      <c r="P322" s="4" t="e">
        <f t="shared" si="20"/>
        <v>#N/A</v>
      </c>
      <c r="Q322" s="4" t="e">
        <f t="shared" si="21"/>
        <v>#N/A</v>
      </c>
      <c r="R322" s="4" t="e">
        <f>IF(AND(B322=1,N322&gt;'Line Follower'!$C$7,SUM(C322:K322)&lt;4),1,0)</f>
        <v>#N/A</v>
      </c>
      <c r="S322" s="4" t="e">
        <f>IF(AND(L322=1,N322&lt;'Line Follower'!$C$6,SUM(C322:K322)&lt;4),1,0)</f>
        <v>#N/A</v>
      </c>
      <c r="T322" s="4" t="e">
        <f t="shared" si="22"/>
        <v>#N/A</v>
      </c>
      <c r="U322" s="5" t="e">
        <f t="shared" si="23"/>
        <v>#N/A</v>
      </c>
      <c r="V322" s="23" t="e">
        <f t="shared" si="24"/>
        <v>#N/A</v>
      </c>
    </row>
    <row r="323" spans="2:22" x14ac:dyDescent="0.25">
      <c r="B323" s="16">
        <v>0</v>
      </c>
      <c r="C323" s="7">
        <v>0</v>
      </c>
      <c r="D323" s="8">
        <v>0</v>
      </c>
      <c r="E323" s="8">
        <v>0</v>
      </c>
      <c r="F323" s="8">
        <v>0</v>
      </c>
      <c r="G323" s="8">
        <v>0</v>
      </c>
      <c r="H323" s="8">
        <v>1</v>
      </c>
      <c r="I323" s="8">
        <v>0</v>
      </c>
      <c r="J323" s="8">
        <v>1</v>
      </c>
      <c r="K323" s="9">
        <v>0</v>
      </c>
      <c r="L323" s="10">
        <v>0</v>
      </c>
      <c r="M323" s="6">
        <v>0</v>
      </c>
      <c r="N323" s="37" t="e" cm="1">
        <f t="array" ref="N323">IF(OR(ISNUMBER(FIND(Aux!$D$3:$D$9,_xlfn.TEXTJOIN(,,C323:K323)))),NA(),IF(AND(SUM(C323:F323,H323:K323)=0,G323=1),0,INT((SUMPRODUCT(C323:F323,COLUMN($A$1:$D$1)-1)+SUMPRODUCT(H323:K323,COLUMN($E$1:$H$1)-1))*'Line Follower'!$C$3/SUM(C323:F323,H323:K323)-'Line Follower'!$C$5)))</f>
        <v>#N/A</v>
      </c>
      <c r="O323" s="22" t="e">
        <v>#N/A</v>
      </c>
      <c r="P323" s="4" t="e">
        <f t="shared" ref="P323:P386" si="25">IF(AND(N323=0,G323=1,M323=1),1,0)</f>
        <v>#N/A</v>
      </c>
      <c r="Q323" s="4" t="e">
        <f t="shared" ref="Q323:Q386" si="26">IF(ISERROR(N323),N323,IF(SUM(C323:K323)&gt;=4,1,0))</f>
        <v>#N/A</v>
      </c>
      <c r="R323" s="4" t="e">
        <f>IF(AND(B323=1,N323&gt;'Line Follower'!$C$7,SUM(C323:K323)&lt;4),1,0)</f>
        <v>#N/A</v>
      </c>
      <c r="S323" s="4" t="e">
        <f>IF(AND(L323=1,N323&lt;'Line Follower'!$C$6,SUM(C323:K323)&lt;4),1,0)</f>
        <v>#N/A</v>
      </c>
      <c r="T323" s="4" t="e">
        <f t="shared" si="22"/>
        <v>#N/A</v>
      </c>
      <c r="U323" s="5" t="e">
        <f t="shared" si="23"/>
        <v>#N/A</v>
      </c>
      <c r="V323" s="23" t="e">
        <f t="shared" si="24"/>
        <v>#N/A</v>
      </c>
    </row>
    <row r="324" spans="2:22" x14ac:dyDescent="0.25">
      <c r="B324" s="16">
        <v>1</v>
      </c>
      <c r="C324" s="7">
        <v>0</v>
      </c>
      <c r="D324" s="8">
        <v>0</v>
      </c>
      <c r="E324" s="8">
        <v>0</v>
      </c>
      <c r="F324" s="8">
        <v>0</v>
      </c>
      <c r="G324" s="8">
        <v>0</v>
      </c>
      <c r="H324" s="8">
        <v>1</v>
      </c>
      <c r="I324" s="8">
        <v>0</v>
      </c>
      <c r="J324" s="8">
        <v>1</v>
      </c>
      <c r="K324" s="9">
        <v>0</v>
      </c>
      <c r="L324" s="10">
        <v>0</v>
      </c>
      <c r="M324" s="6">
        <v>0</v>
      </c>
      <c r="N324" s="37" t="e" cm="1">
        <f t="array" ref="N324">IF(OR(ISNUMBER(FIND(Aux!$D$3:$D$9,_xlfn.TEXTJOIN(,,C324:K324)))),NA(),IF(AND(SUM(C324:F324,H324:K324)=0,G324=1),0,INT((SUMPRODUCT(C324:F324,COLUMN($A$1:$D$1)-1)+SUMPRODUCT(H324:K324,COLUMN($E$1:$H$1)-1))*'Line Follower'!$C$3/SUM(C324:F324,H324:K324)-'Line Follower'!$C$5)))</f>
        <v>#N/A</v>
      </c>
      <c r="O324" s="22" t="e">
        <v>#N/A</v>
      </c>
      <c r="P324" s="4" t="e">
        <f t="shared" si="25"/>
        <v>#N/A</v>
      </c>
      <c r="Q324" s="4" t="e">
        <f t="shared" si="26"/>
        <v>#N/A</v>
      </c>
      <c r="R324" s="4" t="e">
        <f>IF(AND(B324=1,N324&gt;'Line Follower'!$C$7,SUM(C324:K324)&lt;4),1,0)</f>
        <v>#N/A</v>
      </c>
      <c r="S324" s="4" t="e">
        <f>IF(AND(L324=1,N324&lt;'Line Follower'!$C$6,SUM(C324:K324)&lt;4),1,0)</f>
        <v>#N/A</v>
      </c>
      <c r="T324" s="4" t="e">
        <f t="shared" ref="T324:T387" si="27">IF(ISNA(N324),NA(),IF(SUM(C324:L324)=0,1,0))</f>
        <v>#N/A</v>
      </c>
      <c r="U324" s="5" t="e">
        <f t="shared" ref="U324:U387" si="28">IF(ISNA(N324),NA(),IF(SUM(B324:K324)=0,1,0))</f>
        <v>#N/A</v>
      </c>
      <c r="V324" s="23" t="e">
        <f t="shared" ref="V324:V387" si="29">IF(ISNA(N324),NA(),IF(SUM(B324:L324)=0,1,0))</f>
        <v>#N/A</v>
      </c>
    </row>
    <row r="325" spans="2:22" x14ac:dyDescent="0.25">
      <c r="B325" s="16">
        <v>0</v>
      </c>
      <c r="C325" s="7">
        <v>1</v>
      </c>
      <c r="D325" s="8">
        <v>0</v>
      </c>
      <c r="E325" s="8">
        <v>0</v>
      </c>
      <c r="F325" s="8">
        <v>0</v>
      </c>
      <c r="G325" s="8">
        <v>0</v>
      </c>
      <c r="H325" s="8">
        <v>1</v>
      </c>
      <c r="I325" s="8">
        <v>0</v>
      </c>
      <c r="J325" s="8">
        <v>1</v>
      </c>
      <c r="K325" s="9">
        <v>0</v>
      </c>
      <c r="L325" s="10">
        <v>0</v>
      </c>
      <c r="M325" s="6">
        <v>0</v>
      </c>
      <c r="N325" s="37" t="e" cm="1">
        <f t="array" ref="N325">IF(OR(ISNUMBER(FIND(Aux!$D$3:$D$9,_xlfn.TEXTJOIN(,,C325:K325)))),NA(),IF(AND(SUM(C325:F325,H325:K325)=0,G325=1),0,INT((SUMPRODUCT(C325:F325,COLUMN($A$1:$D$1)-1)+SUMPRODUCT(H325:K325,COLUMN($E$1:$H$1)-1))*'Line Follower'!$C$3/SUM(C325:F325,H325:K325)-'Line Follower'!$C$5)))</f>
        <v>#N/A</v>
      </c>
      <c r="O325" s="22" t="e">
        <v>#N/A</v>
      </c>
      <c r="P325" s="4" t="e">
        <f t="shared" si="25"/>
        <v>#N/A</v>
      </c>
      <c r="Q325" s="4" t="e">
        <f t="shared" si="26"/>
        <v>#N/A</v>
      </c>
      <c r="R325" s="4" t="e">
        <f>IF(AND(B325=1,N325&gt;'Line Follower'!$C$7,SUM(C325:K325)&lt;4),1,0)</f>
        <v>#N/A</v>
      </c>
      <c r="S325" s="4" t="e">
        <f>IF(AND(L325=1,N325&lt;'Line Follower'!$C$6,SUM(C325:K325)&lt;4),1,0)</f>
        <v>#N/A</v>
      </c>
      <c r="T325" s="4" t="e">
        <f t="shared" si="27"/>
        <v>#N/A</v>
      </c>
      <c r="U325" s="5" t="e">
        <f t="shared" si="28"/>
        <v>#N/A</v>
      </c>
      <c r="V325" s="23" t="e">
        <f t="shared" si="29"/>
        <v>#N/A</v>
      </c>
    </row>
    <row r="326" spans="2:22" x14ac:dyDescent="0.25">
      <c r="B326" s="16">
        <v>1</v>
      </c>
      <c r="C326" s="7">
        <v>1</v>
      </c>
      <c r="D326" s="8">
        <v>0</v>
      </c>
      <c r="E326" s="8">
        <v>0</v>
      </c>
      <c r="F326" s="8">
        <v>0</v>
      </c>
      <c r="G326" s="8">
        <v>0</v>
      </c>
      <c r="H326" s="8">
        <v>1</v>
      </c>
      <c r="I326" s="8">
        <v>0</v>
      </c>
      <c r="J326" s="8">
        <v>1</v>
      </c>
      <c r="K326" s="9">
        <v>0</v>
      </c>
      <c r="L326" s="10">
        <v>0</v>
      </c>
      <c r="M326" s="6">
        <v>0</v>
      </c>
      <c r="N326" s="37" t="e" cm="1">
        <f t="array" ref="N326">IF(OR(ISNUMBER(FIND(Aux!$D$3:$D$9,_xlfn.TEXTJOIN(,,C326:K326)))),NA(),IF(AND(SUM(C326:F326,H326:K326)=0,G326=1),0,INT((SUMPRODUCT(C326:F326,COLUMN($A$1:$D$1)-1)+SUMPRODUCT(H326:K326,COLUMN($E$1:$H$1)-1))*'Line Follower'!$C$3/SUM(C326:F326,H326:K326)-'Line Follower'!$C$5)))</f>
        <v>#N/A</v>
      </c>
      <c r="O326" s="22" t="e">
        <v>#N/A</v>
      </c>
      <c r="P326" s="4" t="e">
        <f t="shared" si="25"/>
        <v>#N/A</v>
      </c>
      <c r="Q326" s="4" t="e">
        <f t="shared" si="26"/>
        <v>#N/A</v>
      </c>
      <c r="R326" s="4" t="e">
        <f>IF(AND(B326=1,N326&gt;'Line Follower'!$C$7,SUM(C326:K326)&lt;4),1,0)</f>
        <v>#N/A</v>
      </c>
      <c r="S326" s="4" t="e">
        <f>IF(AND(L326=1,N326&lt;'Line Follower'!$C$6,SUM(C326:K326)&lt;4),1,0)</f>
        <v>#N/A</v>
      </c>
      <c r="T326" s="4" t="e">
        <f t="shared" si="27"/>
        <v>#N/A</v>
      </c>
      <c r="U326" s="5" t="e">
        <f t="shared" si="28"/>
        <v>#N/A</v>
      </c>
      <c r="V326" s="23" t="e">
        <f t="shared" si="29"/>
        <v>#N/A</v>
      </c>
    </row>
    <row r="327" spans="2:22" x14ac:dyDescent="0.25">
      <c r="B327" s="16">
        <v>0</v>
      </c>
      <c r="C327" s="7">
        <v>0</v>
      </c>
      <c r="D327" s="8">
        <v>1</v>
      </c>
      <c r="E327" s="8">
        <v>0</v>
      </c>
      <c r="F327" s="8">
        <v>0</v>
      </c>
      <c r="G327" s="8">
        <v>0</v>
      </c>
      <c r="H327" s="8">
        <v>1</v>
      </c>
      <c r="I327" s="8">
        <v>0</v>
      </c>
      <c r="J327" s="8">
        <v>1</v>
      </c>
      <c r="K327" s="9">
        <v>0</v>
      </c>
      <c r="L327" s="10">
        <v>0</v>
      </c>
      <c r="M327" s="6">
        <v>0</v>
      </c>
      <c r="N327" s="37" t="e" cm="1">
        <f t="array" ref="N327">IF(OR(ISNUMBER(FIND(Aux!$D$3:$D$9,_xlfn.TEXTJOIN(,,C327:K327)))),NA(),IF(AND(SUM(C327:F327,H327:K327)=0,G327=1),0,INT((SUMPRODUCT(C327:F327,COLUMN($A$1:$D$1)-1)+SUMPRODUCT(H327:K327,COLUMN($E$1:$H$1)-1))*'Line Follower'!$C$3/SUM(C327:F327,H327:K327)-'Line Follower'!$C$5)))</f>
        <v>#N/A</v>
      </c>
      <c r="O327" s="22" t="e">
        <v>#N/A</v>
      </c>
      <c r="P327" s="4" t="e">
        <f t="shared" si="25"/>
        <v>#N/A</v>
      </c>
      <c r="Q327" s="4" t="e">
        <f t="shared" si="26"/>
        <v>#N/A</v>
      </c>
      <c r="R327" s="4" t="e">
        <f>IF(AND(B327=1,N327&gt;'Line Follower'!$C$7,SUM(C327:K327)&lt;4),1,0)</f>
        <v>#N/A</v>
      </c>
      <c r="S327" s="4" t="e">
        <f>IF(AND(L327=1,N327&lt;'Line Follower'!$C$6,SUM(C327:K327)&lt;4),1,0)</f>
        <v>#N/A</v>
      </c>
      <c r="T327" s="4" t="e">
        <f t="shared" si="27"/>
        <v>#N/A</v>
      </c>
      <c r="U327" s="5" t="e">
        <f t="shared" si="28"/>
        <v>#N/A</v>
      </c>
      <c r="V327" s="23" t="e">
        <f t="shared" si="29"/>
        <v>#N/A</v>
      </c>
    </row>
    <row r="328" spans="2:22" x14ac:dyDescent="0.25">
      <c r="B328" s="16">
        <v>1</v>
      </c>
      <c r="C328" s="7">
        <v>0</v>
      </c>
      <c r="D328" s="8">
        <v>1</v>
      </c>
      <c r="E328" s="8">
        <v>0</v>
      </c>
      <c r="F328" s="8">
        <v>0</v>
      </c>
      <c r="G328" s="8">
        <v>0</v>
      </c>
      <c r="H328" s="8">
        <v>1</v>
      </c>
      <c r="I328" s="8">
        <v>0</v>
      </c>
      <c r="J328" s="8">
        <v>1</v>
      </c>
      <c r="K328" s="9">
        <v>0</v>
      </c>
      <c r="L328" s="10">
        <v>0</v>
      </c>
      <c r="M328" s="6">
        <v>0</v>
      </c>
      <c r="N328" s="37" t="e" cm="1">
        <f t="array" ref="N328">IF(OR(ISNUMBER(FIND(Aux!$D$3:$D$9,_xlfn.TEXTJOIN(,,C328:K328)))),NA(),IF(AND(SUM(C328:F328,H328:K328)=0,G328=1),0,INT((SUMPRODUCT(C328:F328,COLUMN($A$1:$D$1)-1)+SUMPRODUCT(H328:K328,COLUMN($E$1:$H$1)-1))*'Line Follower'!$C$3/SUM(C328:F328,H328:K328)-'Line Follower'!$C$5)))</f>
        <v>#N/A</v>
      </c>
      <c r="O328" s="22" t="e">
        <v>#N/A</v>
      </c>
      <c r="P328" s="4" t="e">
        <f t="shared" si="25"/>
        <v>#N/A</v>
      </c>
      <c r="Q328" s="4" t="e">
        <f t="shared" si="26"/>
        <v>#N/A</v>
      </c>
      <c r="R328" s="4" t="e">
        <f>IF(AND(B328=1,N328&gt;'Line Follower'!$C$7,SUM(C328:K328)&lt;4),1,0)</f>
        <v>#N/A</v>
      </c>
      <c r="S328" s="4" t="e">
        <f>IF(AND(L328=1,N328&lt;'Line Follower'!$C$6,SUM(C328:K328)&lt;4),1,0)</f>
        <v>#N/A</v>
      </c>
      <c r="T328" s="4" t="e">
        <f t="shared" si="27"/>
        <v>#N/A</v>
      </c>
      <c r="U328" s="5" t="e">
        <f t="shared" si="28"/>
        <v>#N/A</v>
      </c>
      <c r="V328" s="23" t="e">
        <f t="shared" si="29"/>
        <v>#N/A</v>
      </c>
    </row>
    <row r="329" spans="2:22" x14ac:dyDescent="0.25">
      <c r="B329" s="16">
        <v>0</v>
      </c>
      <c r="C329" s="7">
        <v>1</v>
      </c>
      <c r="D329" s="8">
        <v>1</v>
      </c>
      <c r="E329" s="8">
        <v>0</v>
      </c>
      <c r="F329" s="8">
        <v>0</v>
      </c>
      <c r="G329" s="8">
        <v>0</v>
      </c>
      <c r="H329" s="8">
        <v>1</v>
      </c>
      <c r="I329" s="8">
        <v>0</v>
      </c>
      <c r="J329" s="8">
        <v>1</v>
      </c>
      <c r="K329" s="9">
        <v>0</v>
      </c>
      <c r="L329" s="10">
        <v>0</v>
      </c>
      <c r="M329" s="6">
        <v>0</v>
      </c>
      <c r="N329" s="37" t="e" cm="1">
        <f t="array" ref="N329">IF(OR(ISNUMBER(FIND(Aux!$D$3:$D$9,_xlfn.TEXTJOIN(,,C329:K329)))),NA(),IF(AND(SUM(C329:F329,H329:K329)=0,G329=1),0,INT((SUMPRODUCT(C329:F329,COLUMN($A$1:$D$1)-1)+SUMPRODUCT(H329:K329,COLUMN($E$1:$H$1)-1))*'Line Follower'!$C$3/SUM(C329:F329,H329:K329)-'Line Follower'!$C$5)))</f>
        <v>#N/A</v>
      </c>
      <c r="O329" s="22" t="e">
        <v>#N/A</v>
      </c>
      <c r="P329" s="4" t="e">
        <f t="shared" si="25"/>
        <v>#N/A</v>
      </c>
      <c r="Q329" s="4" t="e">
        <f t="shared" si="26"/>
        <v>#N/A</v>
      </c>
      <c r="R329" s="4" t="e">
        <f>IF(AND(B329=1,N329&gt;'Line Follower'!$C$7,SUM(C329:K329)&lt;4),1,0)</f>
        <v>#N/A</v>
      </c>
      <c r="S329" s="4" t="e">
        <f>IF(AND(L329=1,N329&lt;'Line Follower'!$C$6,SUM(C329:K329)&lt;4),1,0)</f>
        <v>#N/A</v>
      </c>
      <c r="T329" s="4" t="e">
        <f t="shared" si="27"/>
        <v>#N/A</v>
      </c>
      <c r="U329" s="5" t="e">
        <f t="shared" si="28"/>
        <v>#N/A</v>
      </c>
      <c r="V329" s="23" t="e">
        <f t="shared" si="29"/>
        <v>#N/A</v>
      </c>
    </row>
    <row r="330" spans="2:22" x14ac:dyDescent="0.25">
      <c r="B330" s="16">
        <v>1</v>
      </c>
      <c r="C330" s="7">
        <v>1</v>
      </c>
      <c r="D330" s="8">
        <v>1</v>
      </c>
      <c r="E330" s="8">
        <v>0</v>
      </c>
      <c r="F330" s="8">
        <v>0</v>
      </c>
      <c r="G330" s="8">
        <v>0</v>
      </c>
      <c r="H330" s="8">
        <v>1</v>
      </c>
      <c r="I330" s="8">
        <v>0</v>
      </c>
      <c r="J330" s="8">
        <v>1</v>
      </c>
      <c r="K330" s="9">
        <v>0</v>
      </c>
      <c r="L330" s="10">
        <v>0</v>
      </c>
      <c r="M330" s="6">
        <v>0</v>
      </c>
      <c r="N330" s="37" t="e" cm="1">
        <f t="array" ref="N330">IF(OR(ISNUMBER(FIND(Aux!$D$3:$D$9,_xlfn.TEXTJOIN(,,C330:K330)))),NA(),IF(AND(SUM(C330:F330,H330:K330)=0,G330=1),0,INT((SUMPRODUCT(C330:F330,COLUMN($A$1:$D$1)-1)+SUMPRODUCT(H330:K330,COLUMN($E$1:$H$1)-1))*'Line Follower'!$C$3/SUM(C330:F330,H330:K330)-'Line Follower'!$C$5)))</f>
        <v>#N/A</v>
      </c>
      <c r="O330" s="22" t="e">
        <v>#N/A</v>
      </c>
      <c r="P330" s="4" t="e">
        <f t="shared" si="25"/>
        <v>#N/A</v>
      </c>
      <c r="Q330" s="4" t="e">
        <f t="shared" si="26"/>
        <v>#N/A</v>
      </c>
      <c r="R330" s="4" t="e">
        <f>IF(AND(B330=1,N330&gt;'Line Follower'!$C$7,SUM(C330:K330)&lt;4),1,0)</f>
        <v>#N/A</v>
      </c>
      <c r="S330" s="4" t="e">
        <f>IF(AND(L330=1,N330&lt;'Line Follower'!$C$6,SUM(C330:K330)&lt;4),1,0)</f>
        <v>#N/A</v>
      </c>
      <c r="T330" s="4" t="e">
        <f t="shared" si="27"/>
        <v>#N/A</v>
      </c>
      <c r="U330" s="5" t="e">
        <f t="shared" si="28"/>
        <v>#N/A</v>
      </c>
      <c r="V330" s="23" t="e">
        <f t="shared" si="29"/>
        <v>#N/A</v>
      </c>
    </row>
    <row r="331" spans="2:22" x14ac:dyDescent="0.25">
      <c r="B331" s="16">
        <v>0</v>
      </c>
      <c r="C331" s="7">
        <v>0</v>
      </c>
      <c r="D331" s="8">
        <v>0</v>
      </c>
      <c r="E331" s="8">
        <v>1</v>
      </c>
      <c r="F331" s="8">
        <v>0</v>
      </c>
      <c r="G331" s="8">
        <v>0</v>
      </c>
      <c r="H331" s="8">
        <v>1</v>
      </c>
      <c r="I331" s="8">
        <v>0</v>
      </c>
      <c r="J331" s="8">
        <v>1</v>
      </c>
      <c r="K331" s="9">
        <v>0</v>
      </c>
      <c r="L331" s="10">
        <v>0</v>
      </c>
      <c r="M331" s="6">
        <v>0</v>
      </c>
      <c r="N331" s="37" t="e" cm="1">
        <f t="array" ref="N331">IF(OR(ISNUMBER(FIND(Aux!$D$3:$D$9,_xlfn.TEXTJOIN(,,C331:K331)))),NA(),IF(AND(SUM(C331:F331,H331:K331)=0,G331=1),0,INT((SUMPRODUCT(C331:F331,COLUMN($A$1:$D$1)-1)+SUMPRODUCT(H331:K331,COLUMN($E$1:$H$1)-1))*'Line Follower'!$C$3/SUM(C331:F331,H331:K331)-'Line Follower'!$C$5)))</f>
        <v>#N/A</v>
      </c>
      <c r="O331" s="22" t="e">
        <v>#N/A</v>
      </c>
      <c r="P331" s="4" t="e">
        <f t="shared" si="25"/>
        <v>#N/A</v>
      </c>
      <c r="Q331" s="4" t="e">
        <f t="shared" si="26"/>
        <v>#N/A</v>
      </c>
      <c r="R331" s="4" t="e">
        <f>IF(AND(B331=1,N331&gt;'Line Follower'!$C$7,SUM(C331:K331)&lt;4),1,0)</f>
        <v>#N/A</v>
      </c>
      <c r="S331" s="4" t="e">
        <f>IF(AND(L331=1,N331&lt;'Line Follower'!$C$6,SUM(C331:K331)&lt;4),1,0)</f>
        <v>#N/A</v>
      </c>
      <c r="T331" s="4" t="e">
        <f t="shared" si="27"/>
        <v>#N/A</v>
      </c>
      <c r="U331" s="5" t="e">
        <f t="shared" si="28"/>
        <v>#N/A</v>
      </c>
      <c r="V331" s="23" t="e">
        <f t="shared" si="29"/>
        <v>#N/A</v>
      </c>
    </row>
    <row r="332" spans="2:22" x14ac:dyDescent="0.25">
      <c r="B332" s="16">
        <v>1</v>
      </c>
      <c r="C332" s="7">
        <v>0</v>
      </c>
      <c r="D332" s="8">
        <v>0</v>
      </c>
      <c r="E332" s="8">
        <v>1</v>
      </c>
      <c r="F332" s="8">
        <v>0</v>
      </c>
      <c r="G332" s="8">
        <v>0</v>
      </c>
      <c r="H332" s="8">
        <v>1</v>
      </c>
      <c r="I332" s="8">
        <v>0</v>
      </c>
      <c r="J332" s="8">
        <v>1</v>
      </c>
      <c r="K332" s="9">
        <v>0</v>
      </c>
      <c r="L332" s="10">
        <v>0</v>
      </c>
      <c r="M332" s="6">
        <v>0</v>
      </c>
      <c r="N332" s="37" t="e" cm="1">
        <f t="array" ref="N332">IF(OR(ISNUMBER(FIND(Aux!$D$3:$D$9,_xlfn.TEXTJOIN(,,C332:K332)))),NA(),IF(AND(SUM(C332:F332,H332:K332)=0,G332=1),0,INT((SUMPRODUCT(C332:F332,COLUMN($A$1:$D$1)-1)+SUMPRODUCT(H332:K332,COLUMN($E$1:$H$1)-1))*'Line Follower'!$C$3/SUM(C332:F332,H332:K332)-'Line Follower'!$C$5)))</f>
        <v>#N/A</v>
      </c>
      <c r="O332" s="22" t="e">
        <v>#N/A</v>
      </c>
      <c r="P332" s="4" t="e">
        <f t="shared" si="25"/>
        <v>#N/A</v>
      </c>
      <c r="Q332" s="4" t="e">
        <f t="shared" si="26"/>
        <v>#N/A</v>
      </c>
      <c r="R332" s="4" t="e">
        <f>IF(AND(B332=1,N332&gt;'Line Follower'!$C$7,SUM(C332:K332)&lt;4),1,0)</f>
        <v>#N/A</v>
      </c>
      <c r="S332" s="4" t="e">
        <f>IF(AND(L332=1,N332&lt;'Line Follower'!$C$6,SUM(C332:K332)&lt;4),1,0)</f>
        <v>#N/A</v>
      </c>
      <c r="T332" s="4" t="e">
        <f t="shared" si="27"/>
        <v>#N/A</v>
      </c>
      <c r="U332" s="5" t="e">
        <f t="shared" si="28"/>
        <v>#N/A</v>
      </c>
      <c r="V332" s="23" t="e">
        <f t="shared" si="29"/>
        <v>#N/A</v>
      </c>
    </row>
    <row r="333" spans="2:22" x14ac:dyDescent="0.25">
      <c r="B333" s="16">
        <v>0</v>
      </c>
      <c r="C333" s="7">
        <v>1</v>
      </c>
      <c r="D333" s="8">
        <v>0</v>
      </c>
      <c r="E333" s="8">
        <v>1</v>
      </c>
      <c r="F333" s="8">
        <v>0</v>
      </c>
      <c r="G333" s="8">
        <v>0</v>
      </c>
      <c r="H333" s="8">
        <v>1</v>
      </c>
      <c r="I333" s="8">
        <v>0</v>
      </c>
      <c r="J333" s="8">
        <v>1</v>
      </c>
      <c r="K333" s="9">
        <v>0</v>
      </c>
      <c r="L333" s="10">
        <v>0</v>
      </c>
      <c r="M333" s="6">
        <v>0</v>
      </c>
      <c r="N333" s="37" t="e" cm="1">
        <f t="array" ref="N333">IF(OR(ISNUMBER(FIND(Aux!$D$3:$D$9,_xlfn.TEXTJOIN(,,C333:K333)))),NA(),IF(AND(SUM(C333:F333,H333:K333)=0,G333=1),0,INT((SUMPRODUCT(C333:F333,COLUMN($A$1:$D$1)-1)+SUMPRODUCT(H333:K333,COLUMN($E$1:$H$1)-1))*'Line Follower'!$C$3/SUM(C333:F333,H333:K333)-'Line Follower'!$C$5)))</f>
        <v>#N/A</v>
      </c>
      <c r="O333" s="22" t="e">
        <v>#N/A</v>
      </c>
      <c r="P333" s="4" t="e">
        <f t="shared" si="25"/>
        <v>#N/A</v>
      </c>
      <c r="Q333" s="4" t="e">
        <f t="shared" si="26"/>
        <v>#N/A</v>
      </c>
      <c r="R333" s="4" t="e">
        <f>IF(AND(B333=1,N333&gt;'Line Follower'!$C$7,SUM(C333:K333)&lt;4),1,0)</f>
        <v>#N/A</v>
      </c>
      <c r="S333" s="4" t="e">
        <f>IF(AND(L333=1,N333&lt;'Line Follower'!$C$6,SUM(C333:K333)&lt;4),1,0)</f>
        <v>#N/A</v>
      </c>
      <c r="T333" s="4" t="e">
        <f t="shared" si="27"/>
        <v>#N/A</v>
      </c>
      <c r="U333" s="5" t="e">
        <f t="shared" si="28"/>
        <v>#N/A</v>
      </c>
      <c r="V333" s="23" t="e">
        <f t="shared" si="29"/>
        <v>#N/A</v>
      </c>
    </row>
    <row r="334" spans="2:22" x14ac:dyDescent="0.25">
      <c r="B334" s="16">
        <v>1</v>
      </c>
      <c r="C334" s="7">
        <v>1</v>
      </c>
      <c r="D334" s="8">
        <v>0</v>
      </c>
      <c r="E334" s="8">
        <v>1</v>
      </c>
      <c r="F334" s="8">
        <v>0</v>
      </c>
      <c r="G334" s="8">
        <v>0</v>
      </c>
      <c r="H334" s="8">
        <v>1</v>
      </c>
      <c r="I334" s="8">
        <v>0</v>
      </c>
      <c r="J334" s="8">
        <v>1</v>
      </c>
      <c r="K334" s="9">
        <v>0</v>
      </c>
      <c r="L334" s="10">
        <v>0</v>
      </c>
      <c r="M334" s="6">
        <v>0</v>
      </c>
      <c r="N334" s="37" t="e" cm="1">
        <f t="array" ref="N334">IF(OR(ISNUMBER(FIND(Aux!$D$3:$D$9,_xlfn.TEXTJOIN(,,C334:K334)))),NA(),IF(AND(SUM(C334:F334,H334:K334)=0,G334=1),0,INT((SUMPRODUCT(C334:F334,COLUMN($A$1:$D$1)-1)+SUMPRODUCT(H334:K334,COLUMN($E$1:$H$1)-1))*'Line Follower'!$C$3/SUM(C334:F334,H334:K334)-'Line Follower'!$C$5)))</f>
        <v>#N/A</v>
      </c>
      <c r="O334" s="22" t="e">
        <v>#N/A</v>
      </c>
      <c r="P334" s="4" t="e">
        <f t="shared" si="25"/>
        <v>#N/A</v>
      </c>
      <c r="Q334" s="4" t="e">
        <f t="shared" si="26"/>
        <v>#N/A</v>
      </c>
      <c r="R334" s="4" t="e">
        <f>IF(AND(B334=1,N334&gt;'Line Follower'!$C$7,SUM(C334:K334)&lt;4),1,0)</f>
        <v>#N/A</v>
      </c>
      <c r="S334" s="4" t="e">
        <f>IF(AND(L334=1,N334&lt;'Line Follower'!$C$6,SUM(C334:K334)&lt;4),1,0)</f>
        <v>#N/A</v>
      </c>
      <c r="T334" s="4" t="e">
        <f t="shared" si="27"/>
        <v>#N/A</v>
      </c>
      <c r="U334" s="5" t="e">
        <f t="shared" si="28"/>
        <v>#N/A</v>
      </c>
      <c r="V334" s="23" t="e">
        <f t="shared" si="29"/>
        <v>#N/A</v>
      </c>
    </row>
    <row r="335" spans="2:22" x14ac:dyDescent="0.25">
      <c r="B335" s="16">
        <v>0</v>
      </c>
      <c r="C335" s="7">
        <v>0</v>
      </c>
      <c r="D335" s="8">
        <v>1</v>
      </c>
      <c r="E335" s="8">
        <v>1</v>
      </c>
      <c r="F335" s="8">
        <v>0</v>
      </c>
      <c r="G335" s="8">
        <v>0</v>
      </c>
      <c r="H335" s="8">
        <v>1</v>
      </c>
      <c r="I335" s="8">
        <v>0</v>
      </c>
      <c r="J335" s="8">
        <v>1</v>
      </c>
      <c r="K335" s="9">
        <v>0</v>
      </c>
      <c r="L335" s="10">
        <v>0</v>
      </c>
      <c r="M335" s="6">
        <v>0</v>
      </c>
      <c r="N335" s="37" t="e" cm="1">
        <f t="array" ref="N335">IF(OR(ISNUMBER(FIND(Aux!$D$3:$D$9,_xlfn.TEXTJOIN(,,C335:K335)))),NA(),IF(AND(SUM(C335:F335,H335:K335)=0,G335=1),0,INT((SUMPRODUCT(C335:F335,COLUMN($A$1:$D$1)-1)+SUMPRODUCT(H335:K335,COLUMN($E$1:$H$1)-1))*'Line Follower'!$C$3/SUM(C335:F335,H335:K335)-'Line Follower'!$C$5)))</f>
        <v>#N/A</v>
      </c>
      <c r="O335" s="22" t="e">
        <v>#N/A</v>
      </c>
      <c r="P335" s="4" t="e">
        <f t="shared" si="25"/>
        <v>#N/A</v>
      </c>
      <c r="Q335" s="4" t="e">
        <f t="shared" si="26"/>
        <v>#N/A</v>
      </c>
      <c r="R335" s="4" t="e">
        <f>IF(AND(B335=1,N335&gt;'Line Follower'!$C$7,SUM(C335:K335)&lt;4),1,0)</f>
        <v>#N/A</v>
      </c>
      <c r="S335" s="4" t="e">
        <f>IF(AND(L335=1,N335&lt;'Line Follower'!$C$6,SUM(C335:K335)&lt;4),1,0)</f>
        <v>#N/A</v>
      </c>
      <c r="T335" s="4" t="e">
        <f t="shared" si="27"/>
        <v>#N/A</v>
      </c>
      <c r="U335" s="5" t="e">
        <f t="shared" si="28"/>
        <v>#N/A</v>
      </c>
      <c r="V335" s="23" t="e">
        <f t="shared" si="29"/>
        <v>#N/A</v>
      </c>
    </row>
    <row r="336" spans="2:22" x14ac:dyDescent="0.25">
      <c r="B336" s="16">
        <v>1</v>
      </c>
      <c r="C336" s="7">
        <v>0</v>
      </c>
      <c r="D336" s="8">
        <v>1</v>
      </c>
      <c r="E336" s="8">
        <v>1</v>
      </c>
      <c r="F336" s="8">
        <v>0</v>
      </c>
      <c r="G336" s="8">
        <v>0</v>
      </c>
      <c r="H336" s="8">
        <v>1</v>
      </c>
      <c r="I336" s="8">
        <v>0</v>
      </c>
      <c r="J336" s="8">
        <v>1</v>
      </c>
      <c r="K336" s="9">
        <v>0</v>
      </c>
      <c r="L336" s="10">
        <v>0</v>
      </c>
      <c r="M336" s="6">
        <v>0</v>
      </c>
      <c r="N336" s="37" t="e" cm="1">
        <f t="array" ref="N336">IF(OR(ISNUMBER(FIND(Aux!$D$3:$D$9,_xlfn.TEXTJOIN(,,C336:K336)))),NA(),IF(AND(SUM(C336:F336,H336:K336)=0,G336=1),0,INT((SUMPRODUCT(C336:F336,COLUMN($A$1:$D$1)-1)+SUMPRODUCT(H336:K336,COLUMN($E$1:$H$1)-1))*'Line Follower'!$C$3/SUM(C336:F336,H336:K336)-'Line Follower'!$C$5)))</f>
        <v>#N/A</v>
      </c>
      <c r="O336" s="22" t="e">
        <v>#N/A</v>
      </c>
      <c r="P336" s="4" t="e">
        <f t="shared" si="25"/>
        <v>#N/A</v>
      </c>
      <c r="Q336" s="4" t="e">
        <f t="shared" si="26"/>
        <v>#N/A</v>
      </c>
      <c r="R336" s="4" t="e">
        <f>IF(AND(B336=1,N336&gt;'Line Follower'!$C$7,SUM(C336:K336)&lt;4),1,0)</f>
        <v>#N/A</v>
      </c>
      <c r="S336" s="4" t="e">
        <f>IF(AND(L336=1,N336&lt;'Line Follower'!$C$6,SUM(C336:K336)&lt;4),1,0)</f>
        <v>#N/A</v>
      </c>
      <c r="T336" s="4" t="e">
        <f t="shared" si="27"/>
        <v>#N/A</v>
      </c>
      <c r="U336" s="5" t="e">
        <f t="shared" si="28"/>
        <v>#N/A</v>
      </c>
      <c r="V336" s="23" t="e">
        <f t="shared" si="29"/>
        <v>#N/A</v>
      </c>
    </row>
    <row r="337" spans="2:22" x14ac:dyDescent="0.25">
      <c r="B337" s="16">
        <v>0</v>
      </c>
      <c r="C337" s="7">
        <v>1</v>
      </c>
      <c r="D337" s="8">
        <v>1</v>
      </c>
      <c r="E337" s="8">
        <v>1</v>
      </c>
      <c r="F337" s="8">
        <v>0</v>
      </c>
      <c r="G337" s="8">
        <v>0</v>
      </c>
      <c r="H337" s="8">
        <v>1</v>
      </c>
      <c r="I337" s="8">
        <v>0</v>
      </c>
      <c r="J337" s="8">
        <v>1</v>
      </c>
      <c r="K337" s="9">
        <v>0</v>
      </c>
      <c r="L337" s="10">
        <v>0</v>
      </c>
      <c r="M337" s="6">
        <v>0</v>
      </c>
      <c r="N337" s="37" t="e" cm="1">
        <f t="array" ref="N337">IF(OR(ISNUMBER(FIND(Aux!$D$3:$D$9,_xlfn.TEXTJOIN(,,C337:K337)))),NA(),IF(AND(SUM(C337:F337,H337:K337)=0,G337=1),0,INT((SUMPRODUCT(C337:F337,COLUMN($A$1:$D$1)-1)+SUMPRODUCT(H337:K337,COLUMN($E$1:$H$1)-1))*'Line Follower'!$C$3/SUM(C337:F337,H337:K337)-'Line Follower'!$C$5)))</f>
        <v>#N/A</v>
      </c>
      <c r="O337" s="22" t="e">
        <v>#N/A</v>
      </c>
      <c r="P337" s="4" t="e">
        <f t="shared" si="25"/>
        <v>#N/A</v>
      </c>
      <c r="Q337" s="4" t="e">
        <f t="shared" si="26"/>
        <v>#N/A</v>
      </c>
      <c r="R337" s="4" t="e">
        <f>IF(AND(B337=1,N337&gt;'Line Follower'!$C$7,SUM(C337:K337)&lt;4),1,0)</f>
        <v>#N/A</v>
      </c>
      <c r="S337" s="4" t="e">
        <f>IF(AND(L337=1,N337&lt;'Line Follower'!$C$6,SUM(C337:K337)&lt;4),1,0)</f>
        <v>#N/A</v>
      </c>
      <c r="T337" s="4" t="e">
        <f t="shared" si="27"/>
        <v>#N/A</v>
      </c>
      <c r="U337" s="5" t="e">
        <f t="shared" si="28"/>
        <v>#N/A</v>
      </c>
      <c r="V337" s="23" t="e">
        <f t="shared" si="29"/>
        <v>#N/A</v>
      </c>
    </row>
    <row r="338" spans="2:22" x14ac:dyDescent="0.25">
      <c r="B338" s="16">
        <v>1</v>
      </c>
      <c r="C338" s="7">
        <v>1</v>
      </c>
      <c r="D338" s="8">
        <v>1</v>
      </c>
      <c r="E338" s="8">
        <v>1</v>
      </c>
      <c r="F338" s="8">
        <v>0</v>
      </c>
      <c r="G338" s="8">
        <v>0</v>
      </c>
      <c r="H338" s="8">
        <v>1</v>
      </c>
      <c r="I338" s="8">
        <v>0</v>
      </c>
      <c r="J338" s="8">
        <v>1</v>
      </c>
      <c r="K338" s="9">
        <v>0</v>
      </c>
      <c r="L338" s="10">
        <v>0</v>
      </c>
      <c r="M338" s="6">
        <v>0</v>
      </c>
      <c r="N338" s="37" t="e" cm="1">
        <f t="array" ref="N338">IF(OR(ISNUMBER(FIND(Aux!$D$3:$D$9,_xlfn.TEXTJOIN(,,C338:K338)))),NA(),IF(AND(SUM(C338:F338,H338:K338)=0,G338=1),0,INT((SUMPRODUCT(C338:F338,COLUMN($A$1:$D$1)-1)+SUMPRODUCT(H338:K338,COLUMN($E$1:$H$1)-1))*'Line Follower'!$C$3/SUM(C338:F338,H338:K338)-'Line Follower'!$C$5)))</f>
        <v>#N/A</v>
      </c>
      <c r="O338" s="22" t="e">
        <v>#N/A</v>
      </c>
      <c r="P338" s="4" t="e">
        <f t="shared" si="25"/>
        <v>#N/A</v>
      </c>
      <c r="Q338" s="4" t="e">
        <f t="shared" si="26"/>
        <v>#N/A</v>
      </c>
      <c r="R338" s="4" t="e">
        <f>IF(AND(B338=1,N338&gt;'Line Follower'!$C$7,SUM(C338:K338)&lt;4),1,0)</f>
        <v>#N/A</v>
      </c>
      <c r="S338" s="4" t="e">
        <f>IF(AND(L338=1,N338&lt;'Line Follower'!$C$6,SUM(C338:K338)&lt;4),1,0)</f>
        <v>#N/A</v>
      </c>
      <c r="T338" s="4" t="e">
        <f t="shared" si="27"/>
        <v>#N/A</v>
      </c>
      <c r="U338" s="5" t="e">
        <f t="shared" si="28"/>
        <v>#N/A</v>
      </c>
      <c r="V338" s="23" t="e">
        <f t="shared" si="29"/>
        <v>#N/A</v>
      </c>
    </row>
    <row r="339" spans="2:22" x14ac:dyDescent="0.25">
      <c r="B339" s="16">
        <v>0</v>
      </c>
      <c r="C339" s="7">
        <v>0</v>
      </c>
      <c r="D339" s="8">
        <v>0</v>
      </c>
      <c r="E339" s="8">
        <v>0</v>
      </c>
      <c r="F339" s="8">
        <v>1</v>
      </c>
      <c r="G339" s="8">
        <v>0</v>
      </c>
      <c r="H339" s="8">
        <v>1</v>
      </c>
      <c r="I339" s="8">
        <v>0</v>
      </c>
      <c r="J339" s="8">
        <v>1</v>
      </c>
      <c r="K339" s="9">
        <v>0</v>
      </c>
      <c r="L339" s="10">
        <v>0</v>
      </c>
      <c r="M339" s="6">
        <v>0</v>
      </c>
      <c r="N339" s="37" t="e" cm="1">
        <f t="array" ref="N339">IF(OR(ISNUMBER(FIND(Aux!$D$3:$D$9,_xlfn.TEXTJOIN(,,C339:K339)))),NA(),IF(AND(SUM(C339:F339,H339:K339)=0,G339=1),0,INT((SUMPRODUCT(C339:F339,COLUMN($A$1:$D$1)-1)+SUMPRODUCT(H339:K339,COLUMN($E$1:$H$1)-1))*'Line Follower'!$C$3/SUM(C339:F339,H339:K339)-'Line Follower'!$C$5)))</f>
        <v>#N/A</v>
      </c>
      <c r="O339" s="22" t="e">
        <v>#N/A</v>
      </c>
      <c r="P339" s="4" t="e">
        <f t="shared" si="25"/>
        <v>#N/A</v>
      </c>
      <c r="Q339" s="4" t="e">
        <f t="shared" si="26"/>
        <v>#N/A</v>
      </c>
      <c r="R339" s="4" t="e">
        <f>IF(AND(B339=1,N339&gt;'Line Follower'!$C$7,SUM(C339:K339)&lt;4),1,0)</f>
        <v>#N/A</v>
      </c>
      <c r="S339" s="4" t="e">
        <f>IF(AND(L339=1,N339&lt;'Line Follower'!$C$6,SUM(C339:K339)&lt;4),1,0)</f>
        <v>#N/A</v>
      </c>
      <c r="T339" s="4" t="e">
        <f t="shared" si="27"/>
        <v>#N/A</v>
      </c>
      <c r="U339" s="5" t="e">
        <f t="shared" si="28"/>
        <v>#N/A</v>
      </c>
      <c r="V339" s="23" t="e">
        <f t="shared" si="29"/>
        <v>#N/A</v>
      </c>
    </row>
    <row r="340" spans="2:22" x14ac:dyDescent="0.25">
      <c r="B340" s="16">
        <v>1</v>
      </c>
      <c r="C340" s="7">
        <v>0</v>
      </c>
      <c r="D340" s="8">
        <v>0</v>
      </c>
      <c r="E340" s="8">
        <v>0</v>
      </c>
      <c r="F340" s="8">
        <v>1</v>
      </c>
      <c r="G340" s="8">
        <v>0</v>
      </c>
      <c r="H340" s="8">
        <v>1</v>
      </c>
      <c r="I340" s="8">
        <v>0</v>
      </c>
      <c r="J340" s="8">
        <v>1</v>
      </c>
      <c r="K340" s="9">
        <v>0</v>
      </c>
      <c r="L340" s="10">
        <v>0</v>
      </c>
      <c r="M340" s="6">
        <v>0</v>
      </c>
      <c r="N340" s="37" t="e" cm="1">
        <f t="array" ref="N340">IF(OR(ISNUMBER(FIND(Aux!$D$3:$D$9,_xlfn.TEXTJOIN(,,C340:K340)))),NA(),IF(AND(SUM(C340:F340,H340:K340)=0,G340=1),0,INT((SUMPRODUCT(C340:F340,COLUMN($A$1:$D$1)-1)+SUMPRODUCT(H340:K340,COLUMN($E$1:$H$1)-1))*'Line Follower'!$C$3/SUM(C340:F340,H340:K340)-'Line Follower'!$C$5)))</f>
        <v>#N/A</v>
      </c>
      <c r="O340" s="22" t="e">
        <v>#N/A</v>
      </c>
      <c r="P340" s="4" t="e">
        <f t="shared" si="25"/>
        <v>#N/A</v>
      </c>
      <c r="Q340" s="4" t="e">
        <f t="shared" si="26"/>
        <v>#N/A</v>
      </c>
      <c r="R340" s="4" t="e">
        <f>IF(AND(B340=1,N340&gt;'Line Follower'!$C$7,SUM(C340:K340)&lt;4),1,0)</f>
        <v>#N/A</v>
      </c>
      <c r="S340" s="4" t="e">
        <f>IF(AND(L340=1,N340&lt;'Line Follower'!$C$6,SUM(C340:K340)&lt;4),1,0)</f>
        <v>#N/A</v>
      </c>
      <c r="T340" s="4" t="e">
        <f t="shared" si="27"/>
        <v>#N/A</v>
      </c>
      <c r="U340" s="5" t="e">
        <f t="shared" si="28"/>
        <v>#N/A</v>
      </c>
      <c r="V340" s="23" t="e">
        <f t="shared" si="29"/>
        <v>#N/A</v>
      </c>
    </row>
    <row r="341" spans="2:22" x14ac:dyDescent="0.25">
      <c r="B341" s="16">
        <v>0</v>
      </c>
      <c r="C341" s="7">
        <v>1</v>
      </c>
      <c r="D341" s="8">
        <v>0</v>
      </c>
      <c r="E341" s="8">
        <v>0</v>
      </c>
      <c r="F341" s="8">
        <v>1</v>
      </c>
      <c r="G341" s="8">
        <v>0</v>
      </c>
      <c r="H341" s="8">
        <v>1</v>
      </c>
      <c r="I341" s="8">
        <v>0</v>
      </c>
      <c r="J341" s="8">
        <v>1</v>
      </c>
      <c r="K341" s="9">
        <v>0</v>
      </c>
      <c r="L341" s="10">
        <v>0</v>
      </c>
      <c r="M341" s="6">
        <v>0</v>
      </c>
      <c r="N341" s="37" t="e" cm="1">
        <f t="array" ref="N341">IF(OR(ISNUMBER(FIND(Aux!$D$3:$D$9,_xlfn.TEXTJOIN(,,C341:K341)))),NA(),IF(AND(SUM(C341:F341,H341:K341)=0,G341=1),0,INT((SUMPRODUCT(C341:F341,COLUMN($A$1:$D$1)-1)+SUMPRODUCT(H341:K341,COLUMN($E$1:$H$1)-1))*'Line Follower'!$C$3/SUM(C341:F341,H341:K341)-'Line Follower'!$C$5)))</f>
        <v>#N/A</v>
      </c>
      <c r="O341" s="22" t="e">
        <v>#N/A</v>
      </c>
      <c r="P341" s="4" t="e">
        <f t="shared" si="25"/>
        <v>#N/A</v>
      </c>
      <c r="Q341" s="4" t="e">
        <f t="shared" si="26"/>
        <v>#N/A</v>
      </c>
      <c r="R341" s="4" t="e">
        <f>IF(AND(B341=1,N341&gt;'Line Follower'!$C$7,SUM(C341:K341)&lt;4),1,0)</f>
        <v>#N/A</v>
      </c>
      <c r="S341" s="4" t="e">
        <f>IF(AND(L341=1,N341&lt;'Line Follower'!$C$6,SUM(C341:K341)&lt;4),1,0)</f>
        <v>#N/A</v>
      </c>
      <c r="T341" s="4" t="e">
        <f t="shared" si="27"/>
        <v>#N/A</v>
      </c>
      <c r="U341" s="5" t="e">
        <f t="shared" si="28"/>
        <v>#N/A</v>
      </c>
      <c r="V341" s="23" t="e">
        <f t="shared" si="29"/>
        <v>#N/A</v>
      </c>
    </row>
    <row r="342" spans="2:22" x14ac:dyDescent="0.25">
      <c r="B342" s="16">
        <v>1</v>
      </c>
      <c r="C342" s="7">
        <v>1</v>
      </c>
      <c r="D342" s="8">
        <v>0</v>
      </c>
      <c r="E342" s="8">
        <v>0</v>
      </c>
      <c r="F342" s="8">
        <v>1</v>
      </c>
      <c r="G342" s="8">
        <v>0</v>
      </c>
      <c r="H342" s="8">
        <v>1</v>
      </c>
      <c r="I342" s="8">
        <v>0</v>
      </c>
      <c r="J342" s="8">
        <v>1</v>
      </c>
      <c r="K342" s="9">
        <v>0</v>
      </c>
      <c r="L342" s="10">
        <v>0</v>
      </c>
      <c r="M342" s="6">
        <v>0</v>
      </c>
      <c r="N342" s="37" t="e" cm="1">
        <f t="array" ref="N342">IF(OR(ISNUMBER(FIND(Aux!$D$3:$D$9,_xlfn.TEXTJOIN(,,C342:K342)))),NA(),IF(AND(SUM(C342:F342,H342:K342)=0,G342=1),0,INT((SUMPRODUCT(C342:F342,COLUMN($A$1:$D$1)-1)+SUMPRODUCT(H342:K342,COLUMN($E$1:$H$1)-1))*'Line Follower'!$C$3/SUM(C342:F342,H342:K342)-'Line Follower'!$C$5)))</f>
        <v>#N/A</v>
      </c>
      <c r="O342" s="22" t="e">
        <v>#N/A</v>
      </c>
      <c r="P342" s="4" t="e">
        <f t="shared" si="25"/>
        <v>#N/A</v>
      </c>
      <c r="Q342" s="4" t="e">
        <f t="shared" si="26"/>
        <v>#N/A</v>
      </c>
      <c r="R342" s="4" t="e">
        <f>IF(AND(B342=1,N342&gt;'Line Follower'!$C$7,SUM(C342:K342)&lt;4),1,0)</f>
        <v>#N/A</v>
      </c>
      <c r="S342" s="4" t="e">
        <f>IF(AND(L342=1,N342&lt;'Line Follower'!$C$6,SUM(C342:K342)&lt;4),1,0)</f>
        <v>#N/A</v>
      </c>
      <c r="T342" s="4" t="e">
        <f t="shared" si="27"/>
        <v>#N/A</v>
      </c>
      <c r="U342" s="5" t="e">
        <f t="shared" si="28"/>
        <v>#N/A</v>
      </c>
      <c r="V342" s="23" t="e">
        <f t="shared" si="29"/>
        <v>#N/A</v>
      </c>
    </row>
    <row r="343" spans="2:22" x14ac:dyDescent="0.25">
      <c r="B343" s="16">
        <v>0</v>
      </c>
      <c r="C343" s="7">
        <v>0</v>
      </c>
      <c r="D343" s="8">
        <v>1</v>
      </c>
      <c r="E343" s="8">
        <v>0</v>
      </c>
      <c r="F343" s="8">
        <v>1</v>
      </c>
      <c r="G343" s="8">
        <v>0</v>
      </c>
      <c r="H343" s="8">
        <v>1</v>
      </c>
      <c r="I343" s="8">
        <v>0</v>
      </c>
      <c r="J343" s="8">
        <v>1</v>
      </c>
      <c r="K343" s="9">
        <v>0</v>
      </c>
      <c r="L343" s="10">
        <v>0</v>
      </c>
      <c r="M343" s="6">
        <v>0</v>
      </c>
      <c r="N343" s="37" t="e" cm="1">
        <f t="array" ref="N343">IF(OR(ISNUMBER(FIND(Aux!$D$3:$D$9,_xlfn.TEXTJOIN(,,C343:K343)))),NA(),IF(AND(SUM(C343:F343,H343:K343)=0,G343=1),0,INT((SUMPRODUCT(C343:F343,COLUMN($A$1:$D$1)-1)+SUMPRODUCT(H343:K343,COLUMN($E$1:$H$1)-1))*'Line Follower'!$C$3/SUM(C343:F343,H343:K343)-'Line Follower'!$C$5)))</f>
        <v>#N/A</v>
      </c>
      <c r="O343" s="22" t="e">
        <v>#N/A</v>
      </c>
      <c r="P343" s="4" t="e">
        <f t="shared" si="25"/>
        <v>#N/A</v>
      </c>
      <c r="Q343" s="4" t="e">
        <f t="shared" si="26"/>
        <v>#N/A</v>
      </c>
      <c r="R343" s="4" t="e">
        <f>IF(AND(B343=1,N343&gt;'Line Follower'!$C$7,SUM(C343:K343)&lt;4),1,0)</f>
        <v>#N/A</v>
      </c>
      <c r="S343" s="4" t="e">
        <f>IF(AND(L343=1,N343&lt;'Line Follower'!$C$6,SUM(C343:K343)&lt;4),1,0)</f>
        <v>#N/A</v>
      </c>
      <c r="T343" s="4" t="e">
        <f t="shared" si="27"/>
        <v>#N/A</v>
      </c>
      <c r="U343" s="5" t="e">
        <f t="shared" si="28"/>
        <v>#N/A</v>
      </c>
      <c r="V343" s="23" t="e">
        <f t="shared" si="29"/>
        <v>#N/A</v>
      </c>
    </row>
    <row r="344" spans="2:22" x14ac:dyDescent="0.25">
      <c r="B344" s="16">
        <v>1</v>
      </c>
      <c r="C344" s="7">
        <v>0</v>
      </c>
      <c r="D344" s="8">
        <v>1</v>
      </c>
      <c r="E344" s="8">
        <v>0</v>
      </c>
      <c r="F344" s="8">
        <v>1</v>
      </c>
      <c r="G344" s="8">
        <v>0</v>
      </c>
      <c r="H344" s="8">
        <v>1</v>
      </c>
      <c r="I344" s="8">
        <v>0</v>
      </c>
      <c r="J344" s="8">
        <v>1</v>
      </c>
      <c r="K344" s="9">
        <v>0</v>
      </c>
      <c r="L344" s="10">
        <v>0</v>
      </c>
      <c r="M344" s="6">
        <v>0</v>
      </c>
      <c r="N344" s="37" t="e" cm="1">
        <f t="array" ref="N344">IF(OR(ISNUMBER(FIND(Aux!$D$3:$D$9,_xlfn.TEXTJOIN(,,C344:K344)))),NA(),IF(AND(SUM(C344:F344,H344:K344)=0,G344=1),0,INT((SUMPRODUCT(C344:F344,COLUMN($A$1:$D$1)-1)+SUMPRODUCT(H344:K344,COLUMN($E$1:$H$1)-1))*'Line Follower'!$C$3/SUM(C344:F344,H344:K344)-'Line Follower'!$C$5)))</f>
        <v>#N/A</v>
      </c>
      <c r="O344" s="22" t="e">
        <v>#N/A</v>
      </c>
      <c r="P344" s="4" t="e">
        <f t="shared" si="25"/>
        <v>#N/A</v>
      </c>
      <c r="Q344" s="4" t="e">
        <f t="shared" si="26"/>
        <v>#N/A</v>
      </c>
      <c r="R344" s="4" t="e">
        <f>IF(AND(B344=1,N344&gt;'Line Follower'!$C$7,SUM(C344:K344)&lt;4),1,0)</f>
        <v>#N/A</v>
      </c>
      <c r="S344" s="4" t="e">
        <f>IF(AND(L344=1,N344&lt;'Line Follower'!$C$6,SUM(C344:K344)&lt;4),1,0)</f>
        <v>#N/A</v>
      </c>
      <c r="T344" s="4" t="e">
        <f t="shared" si="27"/>
        <v>#N/A</v>
      </c>
      <c r="U344" s="5" t="e">
        <f t="shared" si="28"/>
        <v>#N/A</v>
      </c>
      <c r="V344" s="23" t="e">
        <f t="shared" si="29"/>
        <v>#N/A</v>
      </c>
    </row>
    <row r="345" spans="2:22" x14ac:dyDescent="0.25">
      <c r="B345" s="16">
        <v>0</v>
      </c>
      <c r="C345" s="7">
        <v>1</v>
      </c>
      <c r="D345" s="8">
        <v>1</v>
      </c>
      <c r="E345" s="8">
        <v>0</v>
      </c>
      <c r="F345" s="8">
        <v>1</v>
      </c>
      <c r="G345" s="8">
        <v>0</v>
      </c>
      <c r="H345" s="8">
        <v>1</v>
      </c>
      <c r="I345" s="8">
        <v>0</v>
      </c>
      <c r="J345" s="8">
        <v>1</v>
      </c>
      <c r="K345" s="9">
        <v>0</v>
      </c>
      <c r="L345" s="10">
        <v>0</v>
      </c>
      <c r="M345" s="6">
        <v>0</v>
      </c>
      <c r="N345" s="37" t="e" cm="1">
        <f t="array" ref="N345">IF(OR(ISNUMBER(FIND(Aux!$D$3:$D$9,_xlfn.TEXTJOIN(,,C345:K345)))),NA(),IF(AND(SUM(C345:F345,H345:K345)=0,G345=1),0,INT((SUMPRODUCT(C345:F345,COLUMN($A$1:$D$1)-1)+SUMPRODUCT(H345:K345,COLUMN($E$1:$H$1)-1))*'Line Follower'!$C$3/SUM(C345:F345,H345:K345)-'Line Follower'!$C$5)))</f>
        <v>#N/A</v>
      </c>
      <c r="O345" s="22" t="e">
        <v>#N/A</v>
      </c>
      <c r="P345" s="4" t="e">
        <f t="shared" si="25"/>
        <v>#N/A</v>
      </c>
      <c r="Q345" s="4" t="e">
        <f t="shared" si="26"/>
        <v>#N/A</v>
      </c>
      <c r="R345" s="4" t="e">
        <f>IF(AND(B345=1,N345&gt;'Line Follower'!$C$7,SUM(C345:K345)&lt;4),1,0)</f>
        <v>#N/A</v>
      </c>
      <c r="S345" s="4" t="e">
        <f>IF(AND(L345=1,N345&lt;'Line Follower'!$C$6,SUM(C345:K345)&lt;4),1,0)</f>
        <v>#N/A</v>
      </c>
      <c r="T345" s="4" t="e">
        <f t="shared" si="27"/>
        <v>#N/A</v>
      </c>
      <c r="U345" s="5" t="e">
        <f t="shared" si="28"/>
        <v>#N/A</v>
      </c>
      <c r="V345" s="23" t="e">
        <f t="shared" si="29"/>
        <v>#N/A</v>
      </c>
    </row>
    <row r="346" spans="2:22" x14ac:dyDescent="0.25">
      <c r="B346" s="16">
        <v>1</v>
      </c>
      <c r="C346" s="7">
        <v>1</v>
      </c>
      <c r="D346" s="8">
        <v>1</v>
      </c>
      <c r="E346" s="8">
        <v>0</v>
      </c>
      <c r="F346" s="8">
        <v>1</v>
      </c>
      <c r="G346" s="8">
        <v>0</v>
      </c>
      <c r="H346" s="8">
        <v>1</v>
      </c>
      <c r="I346" s="8">
        <v>0</v>
      </c>
      <c r="J346" s="8">
        <v>1</v>
      </c>
      <c r="K346" s="9">
        <v>0</v>
      </c>
      <c r="L346" s="10">
        <v>0</v>
      </c>
      <c r="M346" s="6">
        <v>0</v>
      </c>
      <c r="N346" s="37" t="e" cm="1">
        <f t="array" ref="N346">IF(OR(ISNUMBER(FIND(Aux!$D$3:$D$9,_xlfn.TEXTJOIN(,,C346:K346)))),NA(),IF(AND(SUM(C346:F346,H346:K346)=0,G346=1),0,INT((SUMPRODUCT(C346:F346,COLUMN($A$1:$D$1)-1)+SUMPRODUCT(H346:K346,COLUMN($E$1:$H$1)-1))*'Line Follower'!$C$3/SUM(C346:F346,H346:K346)-'Line Follower'!$C$5)))</f>
        <v>#N/A</v>
      </c>
      <c r="O346" s="22" t="e">
        <v>#N/A</v>
      </c>
      <c r="P346" s="4" t="e">
        <f t="shared" si="25"/>
        <v>#N/A</v>
      </c>
      <c r="Q346" s="4" t="e">
        <f t="shared" si="26"/>
        <v>#N/A</v>
      </c>
      <c r="R346" s="4" t="e">
        <f>IF(AND(B346=1,N346&gt;'Line Follower'!$C$7,SUM(C346:K346)&lt;4),1,0)</f>
        <v>#N/A</v>
      </c>
      <c r="S346" s="4" t="e">
        <f>IF(AND(L346=1,N346&lt;'Line Follower'!$C$6,SUM(C346:K346)&lt;4),1,0)</f>
        <v>#N/A</v>
      </c>
      <c r="T346" s="4" t="e">
        <f t="shared" si="27"/>
        <v>#N/A</v>
      </c>
      <c r="U346" s="5" t="e">
        <f t="shared" si="28"/>
        <v>#N/A</v>
      </c>
      <c r="V346" s="23" t="e">
        <f t="shared" si="29"/>
        <v>#N/A</v>
      </c>
    </row>
    <row r="347" spans="2:22" x14ac:dyDescent="0.25">
      <c r="B347" s="16">
        <v>0</v>
      </c>
      <c r="C347" s="7">
        <v>0</v>
      </c>
      <c r="D347" s="8">
        <v>0</v>
      </c>
      <c r="E347" s="8">
        <v>1</v>
      </c>
      <c r="F347" s="8">
        <v>1</v>
      </c>
      <c r="G347" s="8">
        <v>0</v>
      </c>
      <c r="H347" s="8">
        <v>1</v>
      </c>
      <c r="I347" s="8">
        <v>0</v>
      </c>
      <c r="J347" s="8">
        <v>1</v>
      </c>
      <c r="K347" s="9">
        <v>0</v>
      </c>
      <c r="L347" s="10">
        <v>0</v>
      </c>
      <c r="M347" s="6">
        <v>0</v>
      </c>
      <c r="N347" s="37" t="e" cm="1">
        <f t="array" ref="N347">IF(OR(ISNUMBER(FIND(Aux!$D$3:$D$9,_xlfn.TEXTJOIN(,,C347:K347)))),NA(),IF(AND(SUM(C347:F347,H347:K347)=0,G347=1),0,INT((SUMPRODUCT(C347:F347,COLUMN($A$1:$D$1)-1)+SUMPRODUCT(H347:K347,COLUMN($E$1:$H$1)-1))*'Line Follower'!$C$3/SUM(C347:F347,H347:K347)-'Line Follower'!$C$5)))</f>
        <v>#N/A</v>
      </c>
      <c r="O347" s="22" t="e">
        <v>#N/A</v>
      </c>
      <c r="P347" s="4" t="e">
        <f t="shared" si="25"/>
        <v>#N/A</v>
      </c>
      <c r="Q347" s="4" t="e">
        <f t="shared" si="26"/>
        <v>#N/A</v>
      </c>
      <c r="R347" s="4" t="e">
        <f>IF(AND(B347=1,N347&gt;'Line Follower'!$C$7,SUM(C347:K347)&lt;4),1,0)</f>
        <v>#N/A</v>
      </c>
      <c r="S347" s="4" t="e">
        <f>IF(AND(L347=1,N347&lt;'Line Follower'!$C$6,SUM(C347:K347)&lt;4),1,0)</f>
        <v>#N/A</v>
      </c>
      <c r="T347" s="4" t="e">
        <f t="shared" si="27"/>
        <v>#N/A</v>
      </c>
      <c r="U347" s="5" t="e">
        <f t="shared" si="28"/>
        <v>#N/A</v>
      </c>
      <c r="V347" s="23" t="e">
        <f t="shared" si="29"/>
        <v>#N/A</v>
      </c>
    </row>
    <row r="348" spans="2:22" x14ac:dyDescent="0.25">
      <c r="B348" s="16">
        <v>1</v>
      </c>
      <c r="C348" s="7">
        <v>0</v>
      </c>
      <c r="D348" s="8">
        <v>0</v>
      </c>
      <c r="E348" s="8">
        <v>1</v>
      </c>
      <c r="F348" s="8">
        <v>1</v>
      </c>
      <c r="G348" s="8">
        <v>0</v>
      </c>
      <c r="H348" s="8">
        <v>1</v>
      </c>
      <c r="I348" s="8">
        <v>0</v>
      </c>
      <c r="J348" s="8">
        <v>1</v>
      </c>
      <c r="K348" s="9">
        <v>0</v>
      </c>
      <c r="L348" s="10">
        <v>0</v>
      </c>
      <c r="M348" s="6">
        <v>0</v>
      </c>
      <c r="N348" s="37" t="e" cm="1">
        <f t="array" ref="N348">IF(OR(ISNUMBER(FIND(Aux!$D$3:$D$9,_xlfn.TEXTJOIN(,,C348:K348)))),NA(),IF(AND(SUM(C348:F348,H348:K348)=0,G348=1),0,INT((SUMPRODUCT(C348:F348,COLUMN($A$1:$D$1)-1)+SUMPRODUCT(H348:K348,COLUMN($E$1:$H$1)-1))*'Line Follower'!$C$3/SUM(C348:F348,H348:K348)-'Line Follower'!$C$5)))</f>
        <v>#N/A</v>
      </c>
      <c r="O348" s="22" t="e">
        <v>#N/A</v>
      </c>
      <c r="P348" s="4" t="e">
        <f t="shared" si="25"/>
        <v>#N/A</v>
      </c>
      <c r="Q348" s="4" t="e">
        <f t="shared" si="26"/>
        <v>#N/A</v>
      </c>
      <c r="R348" s="4" t="e">
        <f>IF(AND(B348=1,N348&gt;'Line Follower'!$C$7,SUM(C348:K348)&lt;4),1,0)</f>
        <v>#N/A</v>
      </c>
      <c r="S348" s="4" t="e">
        <f>IF(AND(L348=1,N348&lt;'Line Follower'!$C$6,SUM(C348:K348)&lt;4),1,0)</f>
        <v>#N/A</v>
      </c>
      <c r="T348" s="4" t="e">
        <f t="shared" si="27"/>
        <v>#N/A</v>
      </c>
      <c r="U348" s="5" t="e">
        <f t="shared" si="28"/>
        <v>#N/A</v>
      </c>
      <c r="V348" s="23" t="e">
        <f t="shared" si="29"/>
        <v>#N/A</v>
      </c>
    </row>
    <row r="349" spans="2:22" x14ac:dyDescent="0.25">
      <c r="B349" s="16">
        <v>0</v>
      </c>
      <c r="C349" s="7">
        <v>1</v>
      </c>
      <c r="D349" s="8">
        <v>0</v>
      </c>
      <c r="E349" s="8">
        <v>1</v>
      </c>
      <c r="F349" s="8">
        <v>1</v>
      </c>
      <c r="G349" s="8">
        <v>0</v>
      </c>
      <c r="H349" s="8">
        <v>1</v>
      </c>
      <c r="I349" s="8">
        <v>0</v>
      </c>
      <c r="J349" s="8">
        <v>1</v>
      </c>
      <c r="K349" s="9">
        <v>0</v>
      </c>
      <c r="L349" s="10">
        <v>0</v>
      </c>
      <c r="M349" s="6">
        <v>0</v>
      </c>
      <c r="N349" s="37" t="e" cm="1">
        <f t="array" ref="N349">IF(OR(ISNUMBER(FIND(Aux!$D$3:$D$9,_xlfn.TEXTJOIN(,,C349:K349)))),NA(),IF(AND(SUM(C349:F349,H349:K349)=0,G349=1),0,INT((SUMPRODUCT(C349:F349,COLUMN($A$1:$D$1)-1)+SUMPRODUCT(H349:K349,COLUMN($E$1:$H$1)-1))*'Line Follower'!$C$3/SUM(C349:F349,H349:K349)-'Line Follower'!$C$5)))</f>
        <v>#N/A</v>
      </c>
      <c r="O349" s="22" t="e">
        <v>#N/A</v>
      </c>
      <c r="P349" s="4" t="e">
        <f t="shared" si="25"/>
        <v>#N/A</v>
      </c>
      <c r="Q349" s="4" t="e">
        <f t="shared" si="26"/>
        <v>#N/A</v>
      </c>
      <c r="R349" s="4" t="e">
        <f>IF(AND(B349=1,N349&gt;'Line Follower'!$C$7,SUM(C349:K349)&lt;4),1,0)</f>
        <v>#N/A</v>
      </c>
      <c r="S349" s="4" t="e">
        <f>IF(AND(L349=1,N349&lt;'Line Follower'!$C$6,SUM(C349:K349)&lt;4),1,0)</f>
        <v>#N/A</v>
      </c>
      <c r="T349" s="4" t="e">
        <f t="shared" si="27"/>
        <v>#N/A</v>
      </c>
      <c r="U349" s="5" t="e">
        <f t="shared" si="28"/>
        <v>#N/A</v>
      </c>
      <c r="V349" s="23" t="e">
        <f t="shared" si="29"/>
        <v>#N/A</v>
      </c>
    </row>
    <row r="350" spans="2:22" x14ac:dyDescent="0.25">
      <c r="B350" s="16">
        <v>1</v>
      </c>
      <c r="C350" s="7">
        <v>1</v>
      </c>
      <c r="D350" s="8">
        <v>0</v>
      </c>
      <c r="E350" s="8">
        <v>1</v>
      </c>
      <c r="F350" s="8">
        <v>1</v>
      </c>
      <c r="G350" s="8">
        <v>0</v>
      </c>
      <c r="H350" s="8">
        <v>1</v>
      </c>
      <c r="I350" s="8">
        <v>0</v>
      </c>
      <c r="J350" s="8">
        <v>1</v>
      </c>
      <c r="K350" s="9">
        <v>0</v>
      </c>
      <c r="L350" s="10">
        <v>0</v>
      </c>
      <c r="M350" s="6">
        <v>0</v>
      </c>
      <c r="N350" s="37" t="e" cm="1">
        <f t="array" ref="N350">IF(OR(ISNUMBER(FIND(Aux!$D$3:$D$9,_xlfn.TEXTJOIN(,,C350:K350)))),NA(),IF(AND(SUM(C350:F350,H350:K350)=0,G350=1),0,INT((SUMPRODUCT(C350:F350,COLUMN($A$1:$D$1)-1)+SUMPRODUCT(H350:K350,COLUMN($E$1:$H$1)-1))*'Line Follower'!$C$3/SUM(C350:F350,H350:K350)-'Line Follower'!$C$5)))</f>
        <v>#N/A</v>
      </c>
      <c r="O350" s="22" t="e">
        <v>#N/A</v>
      </c>
      <c r="P350" s="4" t="e">
        <f t="shared" si="25"/>
        <v>#N/A</v>
      </c>
      <c r="Q350" s="4" t="e">
        <f t="shared" si="26"/>
        <v>#N/A</v>
      </c>
      <c r="R350" s="4" t="e">
        <f>IF(AND(B350=1,N350&gt;'Line Follower'!$C$7,SUM(C350:K350)&lt;4),1,0)</f>
        <v>#N/A</v>
      </c>
      <c r="S350" s="4" t="e">
        <f>IF(AND(L350=1,N350&lt;'Line Follower'!$C$6,SUM(C350:K350)&lt;4),1,0)</f>
        <v>#N/A</v>
      </c>
      <c r="T350" s="4" t="e">
        <f t="shared" si="27"/>
        <v>#N/A</v>
      </c>
      <c r="U350" s="5" t="e">
        <f t="shared" si="28"/>
        <v>#N/A</v>
      </c>
      <c r="V350" s="23" t="e">
        <f t="shared" si="29"/>
        <v>#N/A</v>
      </c>
    </row>
    <row r="351" spans="2:22" x14ac:dyDescent="0.25">
      <c r="B351" s="16">
        <v>0</v>
      </c>
      <c r="C351" s="7">
        <v>0</v>
      </c>
      <c r="D351" s="8">
        <v>1</v>
      </c>
      <c r="E351" s="8">
        <v>1</v>
      </c>
      <c r="F351" s="8">
        <v>1</v>
      </c>
      <c r="G351" s="8">
        <v>0</v>
      </c>
      <c r="H351" s="8">
        <v>1</v>
      </c>
      <c r="I351" s="8">
        <v>0</v>
      </c>
      <c r="J351" s="8">
        <v>1</v>
      </c>
      <c r="K351" s="9">
        <v>0</v>
      </c>
      <c r="L351" s="10">
        <v>0</v>
      </c>
      <c r="M351" s="6">
        <v>0</v>
      </c>
      <c r="N351" s="37" t="e" cm="1">
        <f t="array" ref="N351">IF(OR(ISNUMBER(FIND(Aux!$D$3:$D$9,_xlfn.TEXTJOIN(,,C351:K351)))),NA(),IF(AND(SUM(C351:F351,H351:K351)=0,G351=1),0,INT((SUMPRODUCT(C351:F351,COLUMN($A$1:$D$1)-1)+SUMPRODUCT(H351:K351,COLUMN($E$1:$H$1)-1))*'Line Follower'!$C$3/SUM(C351:F351,H351:K351)-'Line Follower'!$C$5)))</f>
        <v>#N/A</v>
      </c>
      <c r="O351" s="22" t="e">
        <v>#N/A</v>
      </c>
      <c r="P351" s="4" t="e">
        <f t="shared" si="25"/>
        <v>#N/A</v>
      </c>
      <c r="Q351" s="4" t="e">
        <f t="shared" si="26"/>
        <v>#N/A</v>
      </c>
      <c r="R351" s="4" t="e">
        <f>IF(AND(B351=1,N351&gt;'Line Follower'!$C$7,SUM(C351:K351)&lt;4),1,0)</f>
        <v>#N/A</v>
      </c>
      <c r="S351" s="4" t="e">
        <f>IF(AND(L351=1,N351&lt;'Line Follower'!$C$6,SUM(C351:K351)&lt;4),1,0)</f>
        <v>#N/A</v>
      </c>
      <c r="T351" s="4" t="e">
        <f t="shared" si="27"/>
        <v>#N/A</v>
      </c>
      <c r="U351" s="5" t="e">
        <f t="shared" si="28"/>
        <v>#N/A</v>
      </c>
      <c r="V351" s="23" t="e">
        <f t="shared" si="29"/>
        <v>#N/A</v>
      </c>
    </row>
    <row r="352" spans="2:22" x14ac:dyDescent="0.25">
      <c r="B352" s="16">
        <v>1</v>
      </c>
      <c r="C352" s="7">
        <v>0</v>
      </c>
      <c r="D352" s="8">
        <v>1</v>
      </c>
      <c r="E352" s="8">
        <v>1</v>
      </c>
      <c r="F352" s="8">
        <v>1</v>
      </c>
      <c r="G352" s="8">
        <v>0</v>
      </c>
      <c r="H352" s="8">
        <v>1</v>
      </c>
      <c r="I352" s="8">
        <v>0</v>
      </c>
      <c r="J352" s="8">
        <v>1</v>
      </c>
      <c r="K352" s="9">
        <v>0</v>
      </c>
      <c r="L352" s="10">
        <v>0</v>
      </c>
      <c r="M352" s="6">
        <v>0</v>
      </c>
      <c r="N352" s="37" t="e" cm="1">
        <f t="array" ref="N352">IF(OR(ISNUMBER(FIND(Aux!$D$3:$D$9,_xlfn.TEXTJOIN(,,C352:K352)))),NA(),IF(AND(SUM(C352:F352,H352:K352)=0,G352=1),0,INT((SUMPRODUCT(C352:F352,COLUMN($A$1:$D$1)-1)+SUMPRODUCT(H352:K352,COLUMN($E$1:$H$1)-1))*'Line Follower'!$C$3/SUM(C352:F352,H352:K352)-'Line Follower'!$C$5)))</f>
        <v>#N/A</v>
      </c>
      <c r="O352" s="22" t="e">
        <v>#N/A</v>
      </c>
      <c r="P352" s="4" t="e">
        <f t="shared" si="25"/>
        <v>#N/A</v>
      </c>
      <c r="Q352" s="4" t="e">
        <f t="shared" si="26"/>
        <v>#N/A</v>
      </c>
      <c r="R352" s="4" t="e">
        <f>IF(AND(B352=1,N352&gt;'Line Follower'!$C$7,SUM(C352:K352)&lt;4),1,0)</f>
        <v>#N/A</v>
      </c>
      <c r="S352" s="4" t="e">
        <f>IF(AND(L352=1,N352&lt;'Line Follower'!$C$6,SUM(C352:K352)&lt;4),1,0)</f>
        <v>#N/A</v>
      </c>
      <c r="T352" s="4" t="e">
        <f t="shared" si="27"/>
        <v>#N/A</v>
      </c>
      <c r="U352" s="5" t="e">
        <f t="shared" si="28"/>
        <v>#N/A</v>
      </c>
      <c r="V352" s="23" t="e">
        <f t="shared" si="29"/>
        <v>#N/A</v>
      </c>
    </row>
    <row r="353" spans="2:22" x14ac:dyDescent="0.25">
      <c r="B353" s="16">
        <v>0</v>
      </c>
      <c r="C353" s="7">
        <v>1</v>
      </c>
      <c r="D353" s="8">
        <v>1</v>
      </c>
      <c r="E353" s="8">
        <v>1</v>
      </c>
      <c r="F353" s="8">
        <v>1</v>
      </c>
      <c r="G353" s="8">
        <v>0</v>
      </c>
      <c r="H353" s="8">
        <v>1</v>
      </c>
      <c r="I353" s="8">
        <v>0</v>
      </c>
      <c r="J353" s="8">
        <v>1</v>
      </c>
      <c r="K353" s="9">
        <v>0</v>
      </c>
      <c r="L353" s="10">
        <v>0</v>
      </c>
      <c r="M353" s="6">
        <v>0</v>
      </c>
      <c r="N353" s="37" t="e" cm="1">
        <f t="array" ref="N353">IF(OR(ISNUMBER(FIND(Aux!$D$3:$D$9,_xlfn.TEXTJOIN(,,C353:K353)))),NA(),IF(AND(SUM(C353:F353,H353:K353)=0,G353=1),0,INT((SUMPRODUCT(C353:F353,COLUMN($A$1:$D$1)-1)+SUMPRODUCT(H353:K353,COLUMN($E$1:$H$1)-1))*'Line Follower'!$C$3/SUM(C353:F353,H353:K353)-'Line Follower'!$C$5)))</f>
        <v>#N/A</v>
      </c>
      <c r="O353" s="22" t="e">
        <v>#N/A</v>
      </c>
      <c r="P353" s="4" t="e">
        <f t="shared" si="25"/>
        <v>#N/A</v>
      </c>
      <c r="Q353" s="4" t="e">
        <f t="shared" si="26"/>
        <v>#N/A</v>
      </c>
      <c r="R353" s="4" t="e">
        <f>IF(AND(B353=1,N353&gt;'Line Follower'!$C$7,SUM(C353:K353)&lt;4),1,0)</f>
        <v>#N/A</v>
      </c>
      <c r="S353" s="4" t="e">
        <f>IF(AND(L353=1,N353&lt;'Line Follower'!$C$6,SUM(C353:K353)&lt;4),1,0)</f>
        <v>#N/A</v>
      </c>
      <c r="T353" s="4" t="e">
        <f t="shared" si="27"/>
        <v>#N/A</v>
      </c>
      <c r="U353" s="5" t="e">
        <f t="shared" si="28"/>
        <v>#N/A</v>
      </c>
      <c r="V353" s="23" t="e">
        <f t="shared" si="29"/>
        <v>#N/A</v>
      </c>
    </row>
    <row r="354" spans="2:22" x14ac:dyDescent="0.25">
      <c r="B354" s="16">
        <v>1</v>
      </c>
      <c r="C354" s="7">
        <v>1</v>
      </c>
      <c r="D354" s="8">
        <v>1</v>
      </c>
      <c r="E354" s="8">
        <v>1</v>
      </c>
      <c r="F354" s="8">
        <v>1</v>
      </c>
      <c r="G354" s="8">
        <v>0</v>
      </c>
      <c r="H354" s="8">
        <v>1</v>
      </c>
      <c r="I354" s="8">
        <v>0</v>
      </c>
      <c r="J354" s="8">
        <v>1</v>
      </c>
      <c r="K354" s="9">
        <v>0</v>
      </c>
      <c r="L354" s="10">
        <v>0</v>
      </c>
      <c r="M354" s="6">
        <v>0</v>
      </c>
      <c r="N354" s="37" t="e" cm="1">
        <f t="array" ref="N354">IF(OR(ISNUMBER(FIND(Aux!$D$3:$D$9,_xlfn.TEXTJOIN(,,C354:K354)))),NA(),IF(AND(SUM(C354:F354,H354:K354)=0,G354=1),0,INT((SUMPRODUCT(C354:F354,COLUMN($A$1:$D$1)-1)+SUMPRODUCT(H354:K354,COLUMN($E$1:$H$1)-1))*'Line Follower'!$C$3/SUM(C354:F354,H354:K354)-'Line Follower'!$C$5)))</f>
        <v>#N/A</v>
      </c>
      <c r="O354" s="22" t="e">
        <v>#N/A</v>
      </c>
      <c r="P354" s="4" t="e">
        <f t="shared" si="25"/>
        <v>#N/A</v>
      </c>
      <c r="Q354" s="4" t="e">
        <f t="shared" si="26"/>
        <v>#N/A</v>
      </c>
      <c r="R354" s="4" t="e">
        <f>IF(AND(B354=1,N354&gt;'Line Follower'!$C$7,SUM(C354:K354)&lt;4),1,0)</f>
        <v>#N/A</v>
      </c>
      <c r="S354" s="4" t="e">
        <f>IF(AND(L354=1,N354&lt;'Line Follower'!$C$6,SUM(C354:K354)&lt;4),1,0)</f>
        <v>#N/A</v>
      </c>
      <c r="T354" s="4" t="e">
        <f t="shared" si="27"/>
        <v>#N/A</v>
      </c>
      <c r="U354" s="5" t="e">
        <f t="shared" si="28"/>
        <v>#N/A</v>
      </c>
      <c r="V354" s="23" t="e">
        <f t="shared" si="29"/>
        <v>#N/A</v>
      </c>
    </row>
    <row r="355" spans="2:22" x14ac:dyDescent="0.25">
      <c r="B355" s="16">
        <v>0</v>
      </c>
      <c r="C355" s="7">
        <v>0</v>
      </c>
      <c r="D355" s="8">
        <v>0</v>
      </c>
      <c r="E355" s="8">
        <v>0</v>
      </c>
      <c r="F355" s="8">
        <v>0</v>
      </c>
      <c r="G355" s="8">
        <v>1</v>
      </c>
      <c r="H355" s="8">
        <v>1</v>
      </c>
      <c r="I355" s="8">
        <v>0</v>
      </c>
      <c r="J355" s="8">
        <v>1</v>
      </c>
      <c r="K355" s="9">
        <v>0</v>
      </c>
      <c r="L355" s="10">
        <v>0</v>
      </c>
      <c r="M355" s="6">
        <v>0</v>
      </c>
      <c r="N355" s="37" t="e" cm="1">
        <f t="array" ref="N355">IF(OR(ISNUMBER(FIND(Aux!$D$3:$D$9,_xlfn.TEXTJOIN(,,C355:K355)))),NA(),IF(AND(SUM(C355:F355,H355:K355)=0,G355=1),0,INT((SUMPRODUCT(C355:F355,COLUMN($A$1:$D$1)-1)+SUMPRODUCT(H355:K355,COLUMN($E$1:$H$1)-1))*'Line Follower'!$C$3/SUM(C355:F355,H355:K355)-'Line Follower'!$C$5)))</f>
        <v>#N/A</v>
      </c>
      <c r="O355" s="22" t="e">
        <v>#N/A</v>
      </c>
      <c r="P355" s="4" t="e">
        <f t="shared" si="25"/>
        <v>#N/A</v>
      </c>
      <c r="Q355" s="4" t="e">
        <f t="shared" si="26"/>
        <v>#N/A</v>
      </c>
      <c r="R355" s="4" t="e">
        <f>IF(AND(B355=1,N355&gt;'Line Follower'!$C$7,SUM(C355:K355)&lt;4),1,0)</f>
        <v>#N/A</v>
      </c>
      <c r="S355" s="4" t="e">
        <f>IF(AND(L355=1,N355&lt;'Line Follower'!$C$6,SUM(C355:K355)&lt;4),1,0)</f>
        <v>#N/A</v>
      </c>
      <c r="T355" s="4" t="e">
        <f t="shared" si="27"/>
        <v>#N/A</v>
      </c>
      <c r="U355" s="5" t="e">
        <f t="shared" si="28"/>
        <v>#N/A</v>
      </c>
      <c r="V355" s="23" t="e">
        <f t="shared" si="29"/>
        <v>#N/A</v>
      </c>
    </row>
    <row r="356" spans="2:22" x14ac:dyDescent="0.25">
      <c r="B356" s="16">
        <v>1</v>
      </c>
      <c r="C356" s="7">
        <v>0</v>
      </c>
      <c r="D356" s="8">
        <v>0</v>
      </c>
      <c r="E356" s="8">
        <v>0</v>
      </c>
      <c r="F356" s="8">
        <v>0</v>
      </c>
      <c r="G356" s="8">
        <v>1</v>
      </c>
      <c r="H356" s="8">
        <v>1</v>
      </c>
      <c r="I356" s="8">
        <v>0</v>
      </c>
      <c r="J356" s="8">
        <v>1</v>
      </c>
      <c r="K356" s="9">
        <v>0</v>
      </c>
      <c r="L356" s="10">
        <v>0</v>
      </c>
      <c r="M356" s="6">
        <v>0</v>
      </c>
      <c r="N356" s="37" t="e" cm="1">
        <f t="array" ref="N356">IF(OR(ISNUMBER(FIND(Aux!$D$3:$D$9,_xlfn.TEXTJOIN(,,C356:K356)))),NA(),IF(AND(SUM(C356:F356,H356:K356)=0,G356=1),0,INT((SUMPRODUCT(C356:F356,COLUMN($A$1:$D$1)-1)+SUMPRODUCT(H356:K356,COLUMN($E$1:$H$1)-1))*'Line Follower'!$C$3/SUM(C356:F356,H356:K356)-'Line Follower'!$C$5)))</f>
        <v>#N/A</v>
      </c>
      <c r="O356" s="22" t="e">
        <v>#N/A</v>
      </c>
      <c r="P356" s="4" t="e">
        <f t="shared" si="25"/>
        <v>#N/A</v>
      </c>
      <c r="Q356" s="4" t="e">
        <f t="shared" si="26"/>
        <v>#N/A</v>
      </c>
      <c r="R356" s="4" t="e">
        <f>IF(AND(B356=1,N356&gt;'Line Follower'!$C$7,SUM(C356:K356)&lt;4),1,0)</f>
        <v>#N/A</v>
      </c>
      <c r="S356" s="4" t="e">
        <f>IF(AND(L356=1,N356&lt;'Line Follower'!$C$6,SUM(C356:K356)&lt;4),1,0)</f>
        <v>#N/A</v>
      </c>
      <c r="T356" s="4" t="e">
        <f t="shared" si="27"/>
        <v>#N/A</v>
      </c>
      <c r="U356" s="5" t="e">
        <f t="shared" si="28"/>
        <v>#N/A</v>
      </c>
      <c r="V356" s="23" t="e">
        <f t="shared" si="29"/>
        <v>#N/A</v>
      </c>
    </row>
    <row r="357" spans="2:22" x14ac:dyDescent="0.25">
      <c r="B357" s="16">
        <v>0</v>
      </c>
      <c r="C357" s="7">
        <v>1</v>
      </c>
      <c r="D357" s="8">
        <v>0</v>
      </c>
      <c r="E357" s="8">
        <v>0</v>
      </c>
      <c r="F357" s="8">
        <v>0</v>
      </c>
      <c r="G357" s="8">
        <v>1</v>
      </c>
      <c r="H357" s="8">
        <v>1</v>
      </c>
      <c r="I357" s="8">
        <v>0</v>
      </c>
      <c r="J357" s="8">
        <v>1</v>
      </c>
      <c r="K357" s="9">
        <v>0</v>
      </c>
      <c r="L357" s="10">
        <v>0</v>
      </c>
      <c r="M357" s="6">
        <v>0</v>
      </c>
      <c r="N357" s="37" t="e" cm="1">
        <f t="array" ref="N357">IF(OR(ISNUMBER(FIND(Aux!$D$3:$D$9,_xlfn.TEXTJOIN(,,C357:K357)))),NA(),IF(AND(SUM(C357:F357,H357:K357)=0,G357=1),0,INT((SUMPRODUCT(C357:F357,COLUMN($A$1:$D$1)-1)+SUMPRODUCT(H357:K357,COLUMN($E$1:$H$1)-1))*'Line Follower'!$C$3/SUM(C357:F357,H357:K357)-'Line Follower'!$C$5)))</f>
        <v>#N/A</v>
      </c>
      <c r="O357" s="22" t="e">
        <v>#N/A</v>
      </c>
      <c r="P357" s="4" t="e">
        <f t="shared" si="25"/>
        <v>#N/A</v>
      </c>
      <c r="Q357" s="4" t="e">
        <f t="shared" si="26"/>
        <v>#N/A</v>
      </c>
      <c r="R357" s="4" t="e">
        <f>IF(AND(B357=1,N357&gt;'Line Follower'!$C$7,SUM(C357:K357)&lt;4),1,0)</f>
        <v>#N/A</v>
      </c>
      <c r="S357" s="4" t="e">
        <f>IF(AND(L357=1,N357&lt;'Line Follower'!$C$6,SUM(C357:K357)&lt;4),1,0)</f>
        <v>#N/A</v>
      </c>
      <c r="T357" s="4" t="e">
        <f t="shared" si="27"/>
        <v>#N/A</v>
      </c>
      <c r="U357" s="5" t="e">
        <f t="shared" si="28"/>
        <v>#N/A</v>
      </c>
      <c r="V357" s="23" t="e">
        <f t="shared" si="29"/>
        <v>#N/A</v>
      </c>
    </row>
    <row r="358" spans="2:22" x14ac:dyDescent="0.25">
      <c r="B358" s="16">
        <v>1</v>
      </c>
      <c r="C358" s="7">
        <v>1</v>
      </c>
      <c r="D358" s="8">
        <v>0</v>
      </c>
      <c r="E358" s="8">
        <v>0</v>
      </c>
      <c r="F358" s="8">
        <v>0</v>
      </c>
      <c r="G358" s="8">
        <v>1</v>
      </c>
      <c r="H358" s="8">
        <v>1</v>
      </c>
      <c r="I358" s="8">
        <v>0</v>
      </c>
      <c r="J358" s="8">
        <v>1</v>
      </c>
      <c r="K358" s="9">
        <v>0</v>
      </c>
      <c r="L358" s="10">
        <v>0</v>
      </c>
      <c r="M358" s="6">
        <v>0</v>
      </c>
      <c r="N358" s="37" t="e" cm="1">
        <f t="array" ref="N358">IF(OR(ISNUMBER(FIND(Aux!$D$3:$D$9,_xlfn.TEXTJOIN(,,C358:K358)))),NA(),IF(AND(SUM(C358:F358,H358:K358)=0,G358=1),0,INT((SUMPRODUCT(C358:F358,COLUMN($A$1:$D$1)-1)+SUMPRODUCT(H358:K358,COLUMN($E$1:$H$1)-1))*'Line Follower'!$C$3/SUM(C358:F358,H358:K358)-'Line Follower'!$C$5)))</f>
        <v>#N/A</v>
      </c>
      <c r="O358" s="22" t="e">
        <v>#N/A</v>
      </c>
      <c r="P358" s="4" t="e">
        <f t="shared" si="25"/>
        <v>#N/A</v>
      </c>
      <c r="Q358" s="4" t="e">
        <f t="shared" si="26"/>
        <v>#N/A</v>
      </c>
      <c r="R358" s="4" t="e">
        <f>IF(AND(B358=1,N358&gt;'Line Follower'!$C$7,SUM(C358:K358)&lt;4),1,0)</f>
        <v>#N/A</v>
      </c>
      <c r="S358" s="4" t="e">
        <f>IF(AND(L358=1,N358&lt;'Line Follower'!$C$6,SUM(C358:K358)&lt;4),1,0)</f>
        <v>#N/A</v>
      </c>
      <c r="T358" s="4" t="e">
        <f t="shared" si="27"/>
        <v>#N/A</v>
      </c>
      <c r="U358" s="5" t="e">
        <f t="shared" si="28"/>
        <v>#N/A</v>
      </c>
      <c r="V358" s="23" t="e">
        <f t="shared" si="29"/>
        <v>#N/A</v>
      </c>
    </row>
    <row r="359" spans="2:22" x14ac:dyDescent="0.25">
      <c r="B359" s="16">
        <v>0</v>
      </c>
      <c r="C359" s="7">
        <v>0</v>
      </c>
      <c r="D359" s="8">
        <v>1</v>
      </c>
      <c r="E359" s="8">
        <v>0</v>
      </c>
      <c r="F359" s="8">
        <v>0</v>
      </c>
      <c r="G359" s="8">
        <v>1</v>
      </c>
      <c r="H359" s="8">
        <v>1</v>
      </c>
      <c r="I359" s="8">
        <v>0</v>
      </c>
      <c r="J359" s="8">
        <v>1</v>
      </c>
      <c r="K359" s="9">
        <v>0</v>
      </c>
      <c r="L359" s="10">
        <v>0</v>
      </c>
      <c r="M359" s="6">
        <v>0</v>
      </c>
      <c r="N359" s="37" t="e" cm="1">
        <f t="array" ref="N359">IF(OR(ISNUMBER(FIND(Aux!$D$3:$D$9,_xlfn.TEXTJOIN(,,C359:K359)))),NA(),IF(AND(SUM(C359:F359,H359:K359)=0,G359=1),0,INT((SUMPRODUCT(C359:F359,COLUMN($A$1:$D$1)-1)+SUMPRODUCT(H359:K359,COLUMN($E$1:$H$1)-1))*'Line Follower'!$C$3/SUM(C359:F359,H359:K359)-'Line Follower'!$C$5)))</f>
        <v>#N/A</v>
      </c>
      <c r="O359" s="22" t="e">
        <v>#N/A</v>
      </c>
      <c r="P359" s="4" t="e">
        <f t="shared" si="25"/>
        <v>#N/A</v>
      </c>
      <c r="Q359" s="4" t="e">
        <f t="shared" si="26"/>
        <v>#N/A</v>
      </c>
      <c r="R359" s="4" t="e">
        <f>IF(AND(B359=1,N359&gt;'Line Follower'!$C$7,SUM(C359:K359)&lt;4),1,0)</f>
        <v>#N/A</v>
      </c>
      <c r="S359" s="4" t="e">
        <f>IF(AND(L359=1,N359&lt;'Line Follower'!$C$6,SUM(C359:K359)&lt;4),1,0)</f>
        <v>#N/A</v>
      </c>
      <c r="T359" s="4" t="e">
        <f t="shared" si="27"/>
        <v>#N/A</v>
      </c>
      <c r="U359" s="5" t="e">
        <f t="shared" si="28"/>
        <v>#N/A</v>
      </c>
      <c r="V359" s="23" t="e">
        <f t="shared" si="29"/>
        <v>#N/A</v>
      </c>
    </row>
    <row r="360" spans="2:22" x14ac:dyDescent="0.25">
      <c r="B360" s="16">
        <v>1</v>
      </c>
      <c r="C360" s="7">
        <v>0</v>
      </c>
      <c r="D360" s="8">
        <v>1</v>
      </c>
      <c r="E360" s="8">
        <v>0</v>
      </c>
      <c r="F360" s="8">
        <v>0</v>
      </c>
      <c r="G360" s="8">
        <v>1</v>
      </c>
      <c r="H360" s="8">
        <v>1</v>
      </c>
      <c r="I360" s="8">
        <v>0</v>
      </c>
      <c r="J360" s="8">
        <v>1</v>
      </c>
      <c r="K360" s="9">
        <v>0</v>
      </c>
      <c r="L360" s="10">
        <v>0</v>
      </c>
      <c r="M360" s="6">
        <v>0</v>
      </c>
      <c r="N360" s="37" t="e" cm="1">
        <f t="array" ref="N360">IF(OR(ISNUMBER(FIND(Aux!$D$3:$D$9,_xlfn.TEXTJOIN(,,C360:K360)))),NA(),IF(AND(SUM(C360:F360,H360:K360)=0,G360=1),0,INT((SUMPRODUCT(C360:F360,COLUMN($A$1:$D$1)-1)+SUMPRODUCT(H360:K360,COLUMN($E$1:$H$1)-1))*'Line Follower'!$C$3/SUM(C360:F360,H360:K360)-'Line Follower'!$C$5)))</f>
        <v>#N/A</v>
      </c>
      <c r="O360" s="22" t="e">
        <v>#N/A</v>
      </c>
      <c r="P360" s="4" t="e">
        <f t="shared" si="25"/>
        <v>#N/A</v>
      </c>
      <c r="Q360" s="4" t="e">
        <f t="shared" si="26"/>
        <v>#N/A</v>
      </c>
      <c r="R360" s="4" t="e">
        <f>IF(AND(B360=1,N360&gt;'Line Follower'!$C$7,SUM(C360:K360)&lt;4),1,0)</f>
        <v>#N/A</v>
      </c>
      <c r="S360" s="4" t="e">
        <f>IF(AND(L360=1,N360&lt;'Line Follower'!$C$6,SUM(C360:K360)&lt;4),1,0)</f>
        <v>#N/A</v>
      </c>
      <c r="T360" s="4" t="e">
        <f t="shared" si="27"/>
        <v>#N/A</v>
      </c>
      <c r="U360" s="5" t="e">
        <f t="shared" si="28"/>
        <v>#N/A</v>
      </c>
      <c r="V360" s="23" t="e">
        <f t="shared" si="29"/>
        <v>#N/A</v>
      </c>
    </row>
    <row r="361" spans="2:22" x14ac:dyDescent="0.25">
      <c r="B361" s="16">
        <v>0</v>
      </c>
      <c r="C361" s="7">
        <v>1</v>
      </c>
      <c r="D361" s="8">
        <v>1</v>
      </c>
      <c r="E361" s="8">
        <v>0</v>
      </c>
      <c r="F361" s="8">
        <v>0</v>
      </c>
      <c r="G361" s="8">
        <v>1</v>
      </c>
      <c r="H361" s="8">
        <v>1</v>
      </c>
      <c r="I361" s="8">
        <v>0</v>
      </c>
      <c r="J361" s="8">
        <v>1</v>
      </c>
      <c r="K361" s="9">
        <v>0</v>
      </c>
      <c r="L361" s="10">
        <v>0</v>
      </c>
      <c r="M361" s="6">
        <v>0</v>
      </c>
      <c r="N361" s="37" t="e" cm="1">
        <f t="array" ref="N361">IF(OR(ISNUMBER(FIND(Aux!$D$3:$D$9,_xlfn.TEXTJOIN(,,C361:K361)))),NA(),IF(AND(SUM(C361:F361,H361:K361)=0,G361=1),0,INT((SUMPRODUCT(C361:F361,COLUMN($A$1:$D$1)-1)+SUMPRODUCT(H361:K361,COLUMN($E$1:$H$1)-1))*'Line Follower'!$C$3/SUM(C361:F361,H361:K361)-'Line Follower'!$C$5)))</f>
        <v>#N/A</v>
      </c>
      <c r="O361" s="22" t="e">
        <v>#N/A</v>
      </c>
      <c r="P361" s="4" t="e">
        <f t="shared" si="25"/>
        <v>#N/A</v>
      </c>
      <c r="Q361" s="4" t="e">
        <f t="shared" si="26"/>
        <v>#N/A</v>
      </c>
      <c r="R361" s="4" t="e">
        <f>IF(AND(B361=1,N361&gt;'Line Follower'!$C$7,SUM(C361:K361)&lt;4),1,0)</f>
        <v>#N/A</v>
      </c>
      <c r="S361" s="4" t="e">
        <f>IF(AND(L361=1,N361&lt;'Line Follower'!$C$6,SUM(C361:K361)&lt;4),1,0)</f>
        <v>#N/A</v>
      </c>
      <c r="T361" s="4" t="e">
        <f t="shared" si="27"/>
        <v>#N/A</v>
      </c>
      <c r="U361" s="5" t="e">
        <f t="shared" si="28"/>
        <v>#N/A</v>
      </c>
      <c r="V361" s="23" t="e">
        <f t="shared" si="29"/>
        <v>#N/A</v>
      </c>
    </row>
    <row r="362" spans="2:22" x14ac:dyDescent="0.25">
      <c r="B362" s="16">
        <v>1</v>
      </c>
      <c r="C362" s="7">
        <v>1</v>
      </c>
      <c r="D362" s="8">
        <v>1</v>
      </c>
      <c r="E362" s="8">
        <v>0</v>
      </c>
      <c r="F362" s="8">
        <v>0</v>
      </c>
      <c r="G362" s="8">
        <v>1</v>
      </c>
      <c r="H362" s="8">
        <v>1</v>
      </c>
      <c r="I362" s="8">
        <v>0</v>
      </c>
      <c r="J362" s="8">
        <v>1</v>
      </c>
      <c r="K362" s="9">
        <v>0</v>
      </c>
      <c r="L362" s="10">
        <v>0</v>
      </c>
      <c r="M362" s="6">
        <v>0</v>
      </c>
      <c r="N362" s="37" t="e" cm="1">
        <f t="array" ref="N362">IF(OR(ISNUMBER(FIND(Aux!$D$3:$D$9,_xlfn.TEXTJOIN(,,C362:K362)))),NA(),IF(AND(SUM(C362:F362,H362:K362)=0,G362=1),0,INT((SUMPRODUCT(C362:F362,COLUMN($A$1:$D$1)-1)+SUMPRODUCT(H362:K362,COLUMN($E$1:$H$1)-1))*'Line Follower'!$C$3/SUM(C362:F362,H362:K362)-'Line Follower'!$C$5)))</f>
        <v>#N/A</v>
      </c>
      <c r="O362" s="22" t="e">
        <v>#N/A</v>
      </c>
      <c r="P362" s="4" t="e">
        <f t="shared" si="25"/>
        <v>#N/A</v>
      </c>
      <c r="Q362" s="4" t="e">
        <f t="shared" si="26"/>
        <v>#N/A</v>
      </c>
      <c r="R362" s="4" t="e">
        <f>IF(AND(B362=1,N362&gt;'Line Follower'!$C$7,SUM(C362:K362)&lt;4),1,0)</f>
        <v>#N/A</v>
      </c>
      <c r="S362" s="4" t="e">
        <f>IF(AND(L362=1,N362&lt;'Line Follower'!$C$6,SUM(C362:K362)&lt;4),1,0)</f>
        <v>#N/A</v>
      </c>
      <c r="T362" s="4" t="e">
        <f t="shared" si="27"/>
        <v>#N/A</v>
      </c>
      <c r="U362" s="5" t="e">
        <f t="shared" si="28"/>
        <v>#N/A</v>
      </c>
      <c r="V362" s="23" t="e">
        <f t="shared" si="29"/>
        <v>#N/A</v>
      </c>
    </row>
    <row r="363" spans="2:22" x14ac:dyDescent="0.25">
      <c r="B363" s="16">
        <v>0</v>
      </c>
      <c r="C363" s="7">
        <v>0</v>
      </c>
      <c r="D363" s="8">
        <v>0</v>
      </c>
      <c r="E363" s="8">
        <v>1</v>
      </c>
      <c r="F363" s="8">
        <v>0</v>
      </c>
      <c r="G363" s="8">
        <v>1</v>
      </c>
      <c r="H363" s="8">
        <v>1</v>
      </c>
      <c r="I363" s="8">
        <v>0</v>
      </c>
      <c r="J363" s="8">
        <v>1</v>
      </c>
      <c r="K363" s="9">
        <v>0</v>
      </c>
      <c r="L363" s="10">
        <v>0</v>
      </c>
      <c r="M363" s="6">
        <v>0</v>
      </c>
      <c r="N363" s="37" t="e" cm="1">
        <f t="array" ref="N363">IF(OR(ISNUMBER(FIND(Aux!$D$3:$D$9,_xlfn.TEXTJOIN(,,C363:K363)))),NA(),IF(AND(SUM(C363:F363,H363:K363)=0,G363=1),0,INT((SUMPRODUCT(C363:F363,COLUMN($A$1:$D$1)-1)+SUMPRODUCT(H363:K363,COLUMN($E$1:$H$1)-1))*'Line Follower'!$C$3/SUM(C363:F363,H363:K363)-'Line Follower'!$C$5)))</f>
        <v>#N/A</v>
      </c>
      <c r="O363" s="22" t="e">
        <v>#N/A</v>
      </c>
      <c r="P363" s="4" t="e">
        <f t="shared" si="25"/>
        <v>#N/A</v>
      </c>
      <c r="Q363" s="4" t="e">
        <f t="shared" si="26"/>
        <v>#N/A</v>
      </c>
      <c r="R363" s="4" t="e">
        <f>IF(AND(B363=1,N363&gt;'Line Follower'!$C$7,SUM(C363:K363)&lt;4),1,0)</f>
        <v>#N/A</v>
      </c>
      <c r="S363" s="4" t="e">
        <f>IF(AND(L363=1,N363&lt;'Line Follower'!$C$6,SUM(C363:K363)&lt;4),1,0)</f>
        <v>#N/A</v>
      </c>
      <c r="T363" s="4" t="e">
        <f t="shared" si="27"/>
        <v>#N/A</v>
      </c>
      <c r="U363" s="5" t="e">
        <f t="shared" si="28"/>
        <v>#N/A</v>
      </c>
      <c r="V363" s="23" t="e">
        <f t="shared" si="29"/>
        <v>#N/A</v>
      </c>
    </row>
    <row r="364" spans="2:22" x14ac:dyDescent="0.25">
      <c r="B364" s="16">
        <v>1</v>
      </c>
      <c r="C364" s="7">
        <v>0</v>
      </c>
      <c r="D364" s="8">
        <v>0</v>
      </c>
      <c r="E364" s="8">
        <v>1</v>
      </c>
      <c r="F364" s="8">
        <v>0</v>
      </c>
      <c r="G364" s="8">
        <v>1</v>
      </c>
      <c r="H364" s="8">
        <v>1</v>
      </c>
      <c r="I364" s="8">
        <v>0</v>
      </c>
      <c r="J364" s="8">
        <v>1</v>
      </c>
      <c r="K364" s="9">
        <v>0</v>
      </c>
      <c r="L364" s="10">
        <v>0</v>
      </c>
      <c r="M364" s="6">
        <v>0</v>
      </c>
      <c r="N364" s="37" t="e" cm="1">
        <f t="array" ref="N364">IF(OR(ISNUMBER(FIND(Aux!$D$3:$D$9,_xlfn.TEXTJOIN(,,C364:K364)))),NA(),IF(AND(SUM(C364:F364,H364:K364)=0,G364=1),0,INT((SUMPRODUCT(C364:F364,COLUMN($A$1:$D$1)-1)+SUMPRODUCT(H364:K364,COLUMN($E$1:$H$1)-1))*'Line Follower'!$C$3/SUM(C364:F364,H364:K364)-'Line Follower'!$C$5)))</f>
        <v>#N/A</v>
      </c>
      <c r="O364" s="22" t="e">
        <v>#N/A</v>
      </c>
      <c r="P364" s="4" t="e">
        <f t="shared" si="25"/>
        <v>#N/A</v>
      </c>
      <c r="Q364" s="4" t="e">
        <f t="shared" si="26"/>
        <v>#N/A</v>
      </c>
      <c r="R364" s="4" t="e">
        <f>IF(AND(B364=1,N364&gt;'Line Follower'!$C$7,SUM(C364:K364)&lt;4),1,0)</f>
        <v>#N/A</v>
      </c>
      <c r="S364" s="4" t="e">
        <f>IF(AND(L364=1,N364&lt;'Line Follower'!$C$6,SUM(C364:K364)&lt;4),1,0)</f>
        <v>#N/A</v>
      </c>
      <c r="T364" s="4" t="e">
        <f t="shared" si="27"/>
        <v>#N/A</v>
      </c>
      <c r="U364" s="5" t="e">
        <f t="shared" si="28"/>
        <v>#N/A</v>
      </c>
      <c r="V364" s="23" t="e">
        <f t="shared" si="29"/>
        <v>#N/A</v>
      </c>
    </row>
    <row r="365" spans="2:22" x14ac:dyDescent="0.25">
      <c r="B365" s="16">
        <v>0</v>
      </c>
      <c r="C365" s="7">
        <v>1</v>
      </c>
      <c r="D365" s="8">
        <v>0</v>
      </c>
      <c r="E365" s="8">
        <v>1</v>
      </c>
      <c r="F365" s="8">
        <v>0</v>
      </c>
      <c r="G365" s="8">
        <v>1</v>
      </c>
      <c r="H365" s="8">
        <v>1</v>
      </c>
      <c r="I365" s="8">
        <v>0</v>
      </c>
      <c r="J365" s="8">
        <v>1</v>
      </c>
      <c r="K365" s="9">
        <v>0</v>
      </c>
      <c r="L365" s="10">
        <v>0</v>
      </c>
      <c r="M365" s="6">
        <v>0</v>
      </c>
      <c r="N365" s="37" t="e" cm="1">
        <f t="array" ref="N365">IF(OR(ISNUMBER(FIND(Aux!$D$3:$D$9,_xlfn.TEXTJOIN(,,C365:K365)))),NA(),IF(AND(SUM(C365:F365,H365:K365)=0,G365=1),0,INT((SUMPRODUCT(C365:F365,COLUMN($A$1:$D$1)-1)+SUMPRODUCT(H365:K365,COLUMN($E$1:$H$1)-1))*'Line Follower'!$C$3/SUM(C365:F365,H365:K365)-'Line Follower'!$C$5)))</f>
        <v>#N/A</v>
      </c>
      <c r="O365" s="22" t="e">
        <v>#N/A</v>
      </c>
      <c r="P365" s="4" t="e">
        <f t="shared" si="25"/>
        <v>#N/A</v>
      </c>
      <c r="Q365" s="4" t="e">
        <f t="shared" si="26"/>
        <v>#N/A</v>
      </c>
      <c r="R365" s="4" t="e">
        <f>IF(AND(B365=1,N365&gt;'Line Follower'!$C$7,SUM(C365:K365)&lt;4),1,0)</f>
        <v>#N/A</v>
      </c>
      <c r="S365" s="4" t="e">
        <f>IF(AND(L365=1,N365&lt;'Line Follower'!$C$6,SUM(C365:K365)&lt;4),1,0)</f>
        <v>#N/A</v>
      </c>
      <c r="T365" s="4" t="e">
        <f t="shared" si="27"/>
        <v>#N/A</v>
      </c>
      <c r="U365" s="5" t="e">
        <f t="shared" si="28"/>
        <v>#N/A</v>
      </c>
      <c r="V365" s="23" t="e">
        <f t="shared" si="29"/>
        <v>#N/A</v>
      </c>
    </row>
    <row r="366" spans="2:22" x14ac:dyDescent="0.25">
      <c r="B366" s="16">
        <v>1</v>
      </c>
      <c r="C366" s="7">
        <v>1</v>
      </c>
      <c r="D366" s="8">
        <v>0</v>
      </c>
      <c r="E366" s="8">
        <v>1</v>
      </c>
      <c r="F366" s="8">
        <v>0</v>
      </c>
      <c r="G366" s="8">
        <v>1</v>
      </c>
      <c r="H366" s="8">
        <v>1</v>
      </c>
      <c r="I366" s="8">
        <v>0</v>
      </c>
      <c r="J366" s="8">
        <v>1</v>
      </c>
      <c r="K366" s="9">
        <v>0</v>
      </c>
      <c r="L366" s="10">
        <v>0</v>
      </c>
      <c r="M366" s="6">
        <v>0</v>
      </c>
      <c r="N366" s="37" t="e" cm="1">
        <f t="array" ref="N366">IF(OR(ISNUMBER(FIND(Aux!$D$3:$D$9,_xlfn.TEXTJOIN(,,C366:K366)))),NA(),IF(AND(SUM(C366:F366,H366:K366)=0,G366=1),0,INT((SUMPRODUCT(C366:F366,COLUMN($A$1:$D$1)-1)+SUMPRODUCT(H366:K366,COLUMN($E$1:$H$1)-1))*'Line Follower'!$C$3/SUM(C366:F366,H366:K366)-'Line Follower'!$C$5)))</f>
        <v>#N/A</v>
      </c>
      <c r="O366" s="22" t="e">
        <v>#N/A</v>
      </c>
      <c r="P366" s="4" t="e">
        <f t="shared" si="25"/>
        <v>#N/A</v>
      </c>
      <c r="Q366" s="4" t="e">
        <f t="shared" si="26"/>
        <v>#N/A</v>
      </c>
      <c r="R366" s="4" t="e">
        <f>IF(AND(B366=1,N366&gt;'Line Follower'!$C$7,SUM(C366:K366)&lt;4),1,0)</f>
        <v>#N/A</v>
      </c>
      <c r="S366" s="4" t="e">
        <f>IF(AND(L366=1,N366&lt;'Line Follower'!$C$6,SUM(C366:K366)&lt;4),1,0)</f>
        <v>#N/A</v>
      </c>
      <c r="T366" s="4" t="e">
        <f t="shared" si="27"/>
        <v>#N/A</v>
      </c>
      <c r="U366" s="5" t="e">
        <f t="shared" si="28"/>
        <v>#N/A</v>
      </c>
      <c r="V366" s="23" t="e">
        <f t="shared" si="29"/>
        <v>#N/A</v>
      </c>
    </row>
    <row r="367" spans="2:22" x14ac:dyDescent="0.25">
      <c r="B367" s="16">
        <v>0</v>
      </c>
      <c r="C367" s="7">
        <v>0</v>
      </c>
      <c r="D367" s="8">
        <v>1</v>
      </c>
      <c r="E367" s="8">
        <v>1</v>
      </c>
      <c r="F367" s="8">
        <v>0</v>
      </c>
      <c r="G367" s="8">
        <v>1</v>
      </c>
      <c r="H367" s="8">
        <v>1</v>
      </c>
      <c r="I367" s="8">
        <v>0</v>
      </c>
      <c r="J367" s="8">
        <v>1</v>
      </c>
      <c r="K367" s="9">
        <v>0</v>
      </c>
      <c r="L367" s="10">
        <v>0</v>
      </c>
      <c r="M367" s="6">
        <v>0</v>
      </c>
      <c r="N367" s="37" t="e" cm="1">
        <f t="array" ref="N367">IF(OR(ISNUMBER(FIND(Aux!$D$3:$D$9,_xlfn.TEXTJOIN(,,C367:K367)))),NA(),IF(AND(SUM(C367:F367,H367:K367)=0,G367=1),0,INT((SUMPRODUCT(C367:F367,COLUMN($A$1:$D$1)-1)+SUMPRODUCT(H367:K367,COLUMN($E$1:$H$1)-1))*'Line Follower'!$C$3/SUM(C367:F367,H367:K367)-'Line Follower'!$C$5)))</f>
        <v>#N/A</v>
      </c>
      <c r="O367" s="22" t="e">
        <v>#N/A</v>
      </c>
      <c r="P367" s="4" t="e">
        <f t="shared" si="25"/>
        <v>#N/A</v>
      </c>
      <c r="Q367" s="4" t="e">
        <f t="shared" si="26"/>
        <v>#N/A</v>
      </c>
      <c r="R367" s="4" t="e">
        <f>IF(AND(B367=1,N367&gt;'Line Follower'!$C$7,SUM(C367:K367)&lt;4),1,0)</f>
        <v>#N/A</v>
      </c>
      <c r="S367" s="4" t="e">
        <f>IF(AND(L367=1,N367&lt;'Line Follower'!$C$6,SUM(C367:K367)&lt;4),1,0)</f>
        <v>#N/A</v>
      </c>
      <c r="T367" s="4" t="e">
        <f t="shared" si="27"/>
        <v>#N/A</v>
      </c>
      <c r="U367" s="5" t="e">
        <f t="shared" si="28"/>
        <v>#N/A</v>
      </c>
      <c r="V367" s="23" t="e">
        <f t="shared" si="29"/>
        <v>#N/A</v>
      </c>
    </row>
    <row r="368" spans="2:22" x14ac:dyDescent="0.25">
      <c r="B368" s="16">
        <v>1</v>
      </c>
      <c r="C368" s="7">
        <v>0</v>
      </c>
      <c r="D368" s="8">
        <v>1</v>
      </c>
      <c r="E368" s="8">
        <v>1</v>
      </c>
      <c r="F368" s="8">
        <v>0</v>
      </c>
      <c r="G368" s="8">
        <v>1</v>
      </c>
      <c r="H368" s="8">
        <v>1</v>
      </c>
      <c r="I368" s="8">
        <v>0</v>
      </c>
      <c r="J368" s="8">
        <v>1</v>
      </c>
      <c r="K368" s="9">
        <v>0</v>
      </c>
      <c r="L368" s="10">
        <v>0</v>
      </c>
      <c r="M368" s="6">
        <v>0</v>
      </c>
      <c r="N368" s="37" t="e" cm="1">
        <f t="array" ref="N368">IF(OR(ISNUMBER(FIND(Aux!$D$3:$D$9,_xlfn.TEXTJOIN(,,C368:K368)))),NA(),IF(AND(SUM(C368:F368,H368:K368)=0,G368=1),0,INT((SUMPRODUCT(C368:F368,COLUMN($A$1:$D$1)-1)+SUMPRODUCT(H368:K368,COLUMN($E$1:$H$1)-1))*'Line Follower'!$C$3/SUM(C368:F368,H368:K368)-'Line Follower'!$C$5)))</f>
        <v>#N/A</v>
      </c>
      <c r="O368" s="22" t="e">
        <v>#N/A</v>
      </c>
      <c r="P368" s="4" t="e">
        <f t="shared" si="25"/>
        <v>#N/A</v>
      </c>
      <c r="Q368" s="4" t="e">
        <f t="shared" si="26"/>
        <v>#N/A</v>
      </c>
      <c r="R368" s="4" t="e">
        <f>IF(AND(B368=1,N368&gt;'Line Follower'!$C$7,SUM(C368:K368)&lt;4),1,0)</f>
        <v>#N/A</v>
      </c>
      <c r="S368" s="4" t="e">
        <f>IF(AND(L368=1,N368&lt;'Line Follower'!$C$6,SUM(C368:K368)&lt;4),1,0)</f>
        <v>#N/A</v>
      </c>
      <c r="T368" s="4" t="e">
        <f t="shared" si="27"/>
        <v>#N/A</v>
      </c>
      <c r="U368" s="5" t="e">
        <f t="shared" si="28"/>
        <v>#N/A</v>
      </c>
      <c r="V368" s="23" t="e">
        <f t="shared" si="29"/>
        <v>#N/A</v>
      </c>
    </row>
    <row r="369" spans="2:22" x14ac:dyDescent="0.25">
      <c r="B369" s="16">
        <v>0</v>
      </c>
      <c r="C369" s="7">
        <v>1</v>
      </c>
      <c r="D369" s="8">
        <v>1</v>
      </c>
      <c r="E369" s="8">
        <v>1</v>
      </c>
      <c r="F369" s="8">
        <v>0</v>
      </c>
      <c r="G369" s="8">
        <v>1</v>
      </c>
      <c r="H369" s="8">
        <v>1</v>
      </c>
      <c r="I369" s="8">
        <v>0</v>
      </c>
      <c r="J369" s="8">
        <v>1</v>
      </c>
      <c r="K369" s="9">
        <v>0</v>
      </c>
      <c r="L369" s="10">
        <v>0</v>
      </c>
      <c r="M369" s="6">
        <v>0</v>
      </c>
      <c r="N369" s="37" t="e" cm="1">
        <f t="array" ref="N369">IF(OR(ISNUMBER(FIND(Aux!$D$3:$D$9,_xlfn.TEXTJOIN(,,C369:K369)))),NA(),IF(AND(SUM(C369:F369,H369:K369)=0,G369=1),0,INT((SUMPRODUCT(C369:F369,COLUMN($A$1:$D$1)-1)+SUMPRODUCT(H369:K369,COLUMN($E$1:$H$1)-1))*'Line Follower'!$C$3/SUM(C369:F369,H369:K369)-'Line Follower'!$C$5)))</f>
        <v>#N/A</v>
      </c>
      <c r="O369" s="22" t="e">
        <v>#N/A</v>
      </c>
      <c r="P369" s="4" t="e">
        <f t="shared" si="25"/>
        <v>#N/A</v>
      </c>
      <c r="Q369" s="4" t="e">
        <f t="shared" si="26"/>
        <v>#N/A</v>
      </c>
      <c r="R369" s="4" t="e">
        <f>IF(AND(B369=1,N369&gt;'Line Follower'!$C$7,SUM(C369:K369)&lt;4),1,0)</f>
        <v>#N/A</v>
      </c>
      <c r="S369" s="4" t="e">
        <f>IF(AND(L369=1,N369&lt;'Line Follower'!$C$6,SUM(C369:K369)&lt;4),1,0)</f>
        <v>#N/A</v>
      </c>
      <c r="T369" s="4" t="e">
        <f t="shared" si="27"/>
        <v>#N/A</v>
      </c>
      <c r="U369" s="5" t="e">
        <f t="shared" si="28"/>
        <v>#N/A</v>
      </c>
      <c r="V369" s="23" t="e">
        <f t="shared" si="29"/>
        <v>#N/A</v>
      </c>
    </row>
    <row r="370" spans="2:22" x14ac:dyDescent="0.25">
      <c r="B370" s="16">
        <v>1</v>
      </c>
      <c r="C370" s="7">
        <v>1</v>
      </c>
      <c r="D370" s="8">
        <v>1</v>
      </c>
      <c r="E370" s="8">
        <v>1</v>
      </c>
      <c r="F370" s="8">
        <v>0</v>
      </c>
      <c r="G370" s="8">
        <v>1</v>
      </c>
      <c r="H370" s="8">
        <v>1</v>
      </c>
      <c r="I370" s="8">
        <v>0</v>
      </c>
      <c r="J370" s="8">
        <v>1</v>
      </c>
      <c r="K370" s="9">
        <v>0</v>
      </c>
      <c r="L370" s="10">
        <v>0</v>
      </c>
      <c r="M370" s="6">
        <v>0</v>
      </c>
      <c r="N370" s="37" t="e" cm="1">
        <f t="array" ref="N370">IF(OR(ISNUMBER(FIND(Aux!$D$3:$D$9,_xlfn.TEXTJOIN(,,C370:K370)))),NA(),IF(AND(SUM(C370:F370,H370:K370)=0,G370=1),0,INT((SUMPRODUCT(C370:F370,COLUMN($A$1:$D$1)-1)+SUMPRODUCT(H370:K370,COLUMN($E$1:$H$1)-1))*'Line Follower'!$C$3/SUM(C370:F370,H370:K370)-'Line Follower'!$C$5)))</f>
        <v>#N/A</v>
      </c>
      <c r="O370" s="22" t="e">
        <v>#N/A</v>
      </c>
      <c r="P370" s="4" t="e">
        <f t="shared" si="25"/>
        <v>#N/A</v>
      </c>
      <c r="Q370" s="4" t="e">
        <f t="shared" si="26"/>
        <v>#N/A</v>
      </c>
      <c r="R370" s="4" t="e">
        <f>IF(AND(B370=1,N370&gt;'Line Follower'!$C$7,SUM(C370:K370)&lt;4),1,0)</f>
        <v>#N/A</v>
      </c>
      <c r="S370" s="4" t="e">
        <f>IF(AND(L370=1,N370&lt;'Line Follower'!$C$6,SUM(C370:K370)&lt;4),1,0)</f>
        <v>#N/A</v>
      </c>
      <c r="T370" s="4" t="e">
        <f t="shared" si="27"/>
        <v>#N/A</v>
      </c>
      <c r="U370" s="5" t="e">
        <f t="shared" si="28"/>
        <v>#N/A</v>
      </c>
      <c r="V370" s="23" t="e">
        <f t="shared" si="29"/>
        <v>#N/A</v>
      </c>
    </row>
    <row r="371" spans="2:22" x14ac:dyDescent="0.25">
      <c r="B371" s="16">
        <v>0</v>
      </c>
      <c r="C371" s="7">
        <v>0</v>
      </c>
      <c r="D371" s="8">
        <v>0</v>
      </c>
      <c r="E371" s="8">
        <v>0</v>
      </c>
      <c r="F371" s="8">
        <v>1</v>
      </c>
      <c r="G371" s="8">
        <v>1</v>
      </c>
      <c r="H371" s="8">
        <v>1</v>
      </c>
      <c r="I371" s="8">
        <v>0</v>
      </c>
      <c r="J371" s="8">
        <v>1</v>
      </c>
      <c r="K371" s="9">
        <v>0</v>
      </c>
      <c r="L371" s="10">
        <v>0</v>
      </c>
      <c r="M371" s="6">
        <v>0</v>
      </c>
      <c r="N371" s="37" t="e" cm="1">
        <f t="array" ref="N371">IF(OR(ISNUMBER(FIND(Aux!$D$3:$D$9,_xlfn.TEXTJOIN(,,C371:K371)))),NA(),IF(AND(SUM(C371:F371,H371:K371)=0,G371=1),0,INT((SUMPRODUCT(C371:F371,COLUMN($A$1:$D$1)-1)+SUMPRODUCT(H371:K371,COLUMN($E$1:$H$1)-1))*'Line Follower'!$C$3/SUM(C371:F371,H371:K371)-'Line Follower'!$C$5)))</f>
        <v>#N/A</v>
      </c>
      <c r="O371" s="22" t="e">
        <v>#N/A</v>
      </c>
      <c r="P371" s="4" t="e">
        <f t="shared" si="25"/>
        <v>#N/A</v>
      </c>
      <c r="Q371" s="4" t="e">
        <f t="shared" si="26"/>
        <v>#N/A</v>
      </c>
      <c r="R371" s="4" t="e">
        <f>IF(AND(B371=1,N371&gt;'Line Follower'!$C$7,SUM(C371:K371)&lt;4),1,0)</f>
        <v>#N/A</v>
      </c>
      <c r="S371" s="4" t="e">
        <f>IF(AND(L371=1,N371&lt;'Line Follower'!$C$6,SUM(C371:K371)&lt;4),1,0)</f>
        <v>#N/A</v>
      </c>
      <c r="T371" s="4" t="e">
        <f t="shared" si="27"/>
        <v>#N/A</v>
      </c>
      <c r="U371" s="5" t="e">
        <f t="shared" si="28"/>
        <v>#N/A</v>
      </c>
      <c r="V371" s="23" t="e">
        <f t="shared" si="29"/>
        <v>#N/A</v>
      </c>
    </row>
    <row r="372" spans="2:22" x14ac:dyDescent="0.25">
      <c r="B372" s="16">
        <v>1</v>
      </c>
      <c r="C372" s="7">
        <v>0</v>
      </c>
      <c r="D372" s="8">
        <v>0</v>
      </c>
      <c r="E372" s="8">
        <v>0</v>
      </c>
      <c r="F372" s="8">
        <v>1</v>
      </c>
      <c r="G372" s="8">
        <v>1</v>
      </c>
      <c r="H372" s="8">
        <v>1</v>
      </c>
      <c r="I372" s="8">
        <v>0</v>
      </c>
      <c r="J372" s="8">
        <v>1</v>
      </c>
      <c r="K372" s="9">
        <v>0</v>
      </c>
      <c r="L372" s="10">
        <v>0</v>
      </c>
      <c r="M372" s="6">
        <v>0</v>
      </c>
      <c r="N372" s="37" t="e" cm="1">
        <f t="array" ref="N372">IF(OR(ISNUMBER(FIND(Aux!$D$3:$D$9,_xlfn.TEXTJOIN(,,C372:K372)))),NA(),IF(AND(SUM(C372:F372,H372:K372)=0,G372=1),0,INT((SUMPRODUCT(C372:F372,COLUMN($A$1:$D$1)-1)+SUMPRODUCT(H372:K372,COLUMN($E$1:$H$1)-1))*'Line Follower'!$C$3/SUM(C372:F372,H372:K372)-'Line Follower'!$C$5)))</f>
        <v>#N/A</v>
      </c>
      <c r="O372" s="22" t="e">
        <v>#N/A</v>
      </c>
      <c r="P372" s="4" t="e">
        <f t="shared" si="25"/>
        <v>#N/A</v>
      </c>
      <c r="Q372" s="4" t="e">
        <f t="shared" si="26"/>
        <v>#N/A</v>
      </c>
      <c r="R372" s="4" t="e">
        <f>IF(AND(B372=1,N372&gt;'Line Follower'!$C$7,SUM(C372:K372)&lt;4),1,0)</f>
        <v>#N/A</v>
      </c>
      <c r="S372" s="4" t="e">
        <f>IF(AND(L372=1,N372&lt;'Line Follower'!$C$6,SUM(C372:K372)&lt;4),1,0)</f>
        <v>#N/A</v>
      </c>
      <c r="T372" s="4" t="e">
        <f t="shared" si="27"/>
        <v>#N/A</v>
      </c>
      <c r="U372" s="5" t="e">
        <f t="shared" si="28"/>
        <v>#N/A</v>
      </c>
      <c r="V372" s="23" t="e">
        <f t="shared" si="29"/>
        <v>#N/A</v>
      </c>
    </row>
    <row r="373" spans="2:22" x14ac:dyDescent="0.25">
      <c r="B373" s="16">
        <v>0</v>
      </c>
      <c r="C373" s="7">
        <v>1</v>
      </c>
      <c r="D373" s="8">
        <v>0</v>
      </c>
      <c r="E373" s="8">
        <v>0</v>
      </c>
      <c r="F373" s="8">
        <v>1</v>
      </c>
      <c r="G373" s="8">
        <v>1</v>
      </c>
      <c r="H373" s="8">
        <v>1</v>
      </c>
      <c r="I373" s="8">
        <v>0</v>
      </c>
      <c r="J373" s="8">
        <v>1</v>
      </c>
      <c r="K373" s="9">
        <v>0</v>
      </c>
      <c r="L373" s="10">
        <v>0</v>
      </c>
      <c r="M373" s="6">
        <v>0</v>
      </c>
      <c r="N373" s="37" t="e" cm="1">
        <f t="array" ref="N373">IF(OR(ISNUMBER(FIND(Aux!$D$3:$D$9,_xlfn.TEXTJOIN(,,C373:K373)))),NA(),IF(AND(SUM(C373:F373,H373:K373)=0,G373=1),0,INT((SUMPRODUCT(C373:F373,COLUMN($A$1:$D$1)-1)+SUMPRODUCT(H373:K373,COLUMN($E$1:$H$1)-1))*'Line Follower'!$C$3/SUM(C373:F373,H373:K373)-'Line Follower'!$C$5)))</f>
        <v>#N/A</v>
      </c>
      <c r="O373" s="22" t="e">
        <v>#N/A</v>
      </c>
      <c r="P373" s="4" t="e">
        <f t="shared" si="25"/>
        <v>#N/A</v>
      </c>
      <c r="Q373" s="4" t="e">
        <f t="shared" si="26"/>
        <v>#N/A</v>
      </c>
      <c r="R373" s="4" t="e">
        <f>IF(AND(B373=1,N373&gt;'Line Follower'!$C$7,SUM(C373:K373)&lt;4),1,0)</f>
        <v>#N/A</v>
      </c>
      <c r="S373" s="4" t="e">
        <f>IF(AND(L373=1,N373&lt;'Line Follower'!$C$6,SUM(C373:K373)&lt;4),1,0)</f>
        <v>#N/A</v>
      </c>
      <c r="T373" s="4" t="e">
        <f t="shared" si="27"/>
        <v>#N/A</v>
      </c>
      <c r="U373" s="5" t="e">
        <f t="shared" si="28"/>
        <v>#N/A</v>
      </c>
      <c r="V373" s="23" t="e">
        <f t="shared" si="29"/>
        <v>#N/A</v>
      </c>
    </row>
    <row r="374" spans="2:22" x14ac:dyDescent="0.25">
      <c r="B374" s="16">
        <v>1</v>
      </c>
      <c r="C374" s="7">
        <v>1</v>
      </c>
      <c r="D374" s="8">
        <v>0</v>
      </c>
      <c r="E374" s="8">
        <v>0</v>
      </c>
      <c r="F374" s="8">
        <v>1</v>
      </c>
      <c r="G374" s="8">
        <v>1</v>
      </c>
      <c r="H374" s="8">
        <v>1</v>
      </c>
      <c r="I374" s="8">
        <v>0</v>
      </c>
      <c r="J374" s="8">
        <v>1</v>
      </c>
      <c r="K374" s="9">
        <v>0</v>
      </c>
      <c r="L374" s="10">
        <v>0</v>
      </c>
      <c r="M374" s="6">
        <v>0</v>
      </c>
      <c r="N374" s="37" t="e" cm="1">
        <f t="array" ref="N374">IF(OR(ISNUMBER(FIND(Aux!$D$3:$D$9,_xlfn.TEXTJOIN(,,C374:K374)))),NA(),IF(AND(SUM(C374:F374,H374:K374)=0,G374=1),0,INT((SUMPRODUCT(C374:F374,COLUMN($A$1:$D$1)-1)+SUMPRODUCT(H374:K374,COLUMN($E$1:$H$1)-1))*'Line Follower'!$C$3/SUM(C374:F374,H374:K374)-'Line Follower'!$C$5)))</f>
        <v>#N/A</v>
      </c>
      <c r="O374" s="22" t="e">
        <v>#N/A</v>
      </c>
      <c r="P374" s="4" t="e">
        <f t="shared" si="25"/>
        <v>#N/A</v>
      </c>
      <c r="Q374" s="4" t="e">
        <f t="shared" si="26"/>
        <v>#N/A</v>
      </c>
      <c r="R374" s="4" t="e">
        <f>IF(AND(B374=1,N374&gt;'Line Follower'!$C$7,SUM(C374:K374)&lt;4),1,0)</f>
        <v>#N/A</v>
      </c>
      <c r="S374" s="4" t="e">
        <f>IF(AND(L374=1,N374&lt;'Line Follower'!$C$6,SUM(C374:K374)&lt;4),1,0)</f>
        <v>#N/A</v>
      </c>
      <c r="T374" s="4" t="e">
        <f t="shared" si="27"/>
        <v>#N/A</v>
      </c>
      <c r="U374" s="5" t="e">
        <f t="shared" si="28"/>
        <v>#N/A</v>
      </c>
      <c r="V374" s="23" t="e">
        <f t="shared" si="29"/>
        <v>#N/A</v>
      </c>
    </row>
    <row r="375" spans="2:22" x14ac:dyDescent="0.25">
      <c r="B375" s="16">
        <v>0</v>
      </c>
      <c r="C375" s="7">
        <v>0</v>
      </c>
      <c r="D375" s="8">
        <v>1</v>
      </c>
      <c r="E375" s="8">
        <v>0</v>
      </c>
      <c r="F375" s="8">
        <v>1</v>
      </c>
      <c r="G375" s="8">
        <v>1</v>
      </c>
      <c r="H375" s="8">
        <v>1</v>
      </c>
      <c r="I375" s="8">
        <v>0</v>
      </c>
      <c r="J375" s="8">
        <v>1</v>
      </c>
      <c r="K375" s="9">
        <v>0</v>
      </c>
      <c r="L375" s="10">
        <v>0</v>
      </c>
      <c r="M375" s="6">
        <v>0</v>
      </c>
      <c r="N375" s="37" t="e" cm="1">
        <f t="array" ref="N375">IF(OR(ISNUMBER(FIND(Aux!$D$3:$D$9,_xlfn.TEXTJOIN(,,C375:K375)))),NA(),IF(AND(SUM(C375:F375,H375:K375)=0,G375=1),0,INT((SUMPRODUCT(C375:F375,COLUMN($A$1:$D$1)-1)+SUMPRODUCT(H375:K375,COLUMN($E$1:$H$1)-1))*'Line Follower'!$C$3/SUM(C375:F375,H375:K375)-'Line Follower'!$C$5)))</f>
        <v>#N/A</v>
      </c>
      <c r="O375" s="22" t="e">
        <v>#N/A</v>
      </c>
      <c r="P375" s="4" t="e">
        <f t="shared" si="25"/>
        <v>#N/A</v>
      </c>
      <c r="Q375" s="4" t="e">
        <f t="shared" si="26"/>
        <v>#N/A</v>
      </c>
      <c r="R375" s="4" t="e">
        <f>IF(AND(B375=1,N375&gt;'Line Follower'!$C$7,SUM(C375:K375)&lt;4),1,0)</f>
        <v>#N/A</v>
      </c>
      <c r="S375" s="4" t="e">
        <f>IF(AND(L375=1,N375&lt;'Line Follower'!$C$6,SUM(C375:K375)&lt;4),1,0)</f>
        <v>#N/A</v>
      </c>
      <c r="T375" s="4" t="e">
        <f t="shared" si="27"/>
        <v>#N/A</v>
      </c>
      <c r="U375" s="5" t="e">
        <f t="shared" si="28"/>
        <v>#N/A</v>
      </c>
      <c r="V375" s="23" t="e">
        <f t="shared" si="29"/>
        <v>#N/A</v>
      </c>
    </row>
    <row r="376" spans="2:22" x14ac:dyDescent="0.25">
      <c r="B376" s="16">
        <v>1</v>
      </c>
      <c r="C376" s="7">
        <v>0</v>
      </c>
      <c r="D376" s="8">
        <v>1</v>
      </c>
      <c r="E376" s="8">
        <v>0</v>
      </c>
      <c r="F376" s="8">
        <v>1</v>
      </c>
      <c r="G376" s="8">
        <v>1</v>
      </c>
      <c r="H376" s="8">
        <v>1</v>
      </c>
      <c r="I376" s="8">
        <v>0</v>
      </c>
      <c r="J376" s="8">
        <v>1</v>
      </c>
      <c r="K376" s="9">
        <v>0</v>
      </c>
      <c r="L376" s="10">
        <v>0</v>
      </c>
      <c r="M376" s="6">
        <v>0</v>
      </c>
      <c r="N376" s="37" t="e" cm="1">
        <f t="array" ref="N376">IF(OR(ISNUMBER(FIND(Aux!$D$3:$D$9,_xlfn.TEXTJOIN(,,C376:K376)))),NA(),IF(AND(SUM(C376:F376,H376:K376)=0,G376=1),0,INT((SUMPRODUCT(C376:F376,COLUMN($A$1:$D$1)-1)+SUMPRODUCT(H376:K376,COLUMN($E$1:$H$1)-1))*'Line Follower'!$C$3/SUM(C376:F376,H376:K376)-'Line Follower'!$C$5)))</f>
        <v>#N/A</v>
      </c>
      <c r="O376" s="22" t="e">
        <v>#N/A</v>
      </c>
      <c r="P376" s="4" t="e">
        <f t="shared" si="25"/>
        <v>#N/A</v>
      </c>
      <c r="Q376" s="4" t="e">
        <f t="shared" si="26"/>
        <v>#N/A</v>
      </c>
      <c r="R376" s="4" t="e">
        <f>IF(AND(B376=1,N376&gt;'Line Follower'!$C$7,SUM(C376:K376)&lt;4),1,0)</f>
        <v>#N/A</v>
      </c>
      <c r="S376" s="4" t="e">
        <f>IF(AND(L376=1,N376&lt;'Line Follower'!$C$6,SUM(C376:K376)&lt;4),1,0)</f>
        <v>#N/A</v>
      </c>
      <c r="T376" s="4" t="e">
        <f t="shared" si="27"/>
        <v>#N/A</v>
      </c>
      <c r="U376" s="5" t="e">
        <f t="shared" si="28"/>
        <v>#N/A</v>
      </c>
      <c r="V376" s="23" t="e">
        <f t="shared" si="29"/>
        <v>#N/A</v>
      </c>
    </row>
    <row r="377" spans="2:22" x14ac:dyDescent="0.25">
      <c r="B377" s="16">
        <v>0</v>
      </c>
      <c r="C377" s="7">
        <v>1</v>
      </c>
      <c r="D377" s="8">
        <v>1</v>
      </c>
      <c r="E377" s="8">
        <v>0</v>
      </c>
      <c r="F377" s="8">
        <v>1</v>
      </c>
      <c r="G377" s="8">
        <v>1</v>
      </c>
      <c r="H377" s="8">
        <v>1</v>
      </c>
      <c r="I377" s="8">
        <v>0</v>
      </c>
      <c r="J377" s="8">
        <v>1</v>
      </c>
      <c r="K377" s="9">
        <v>0</v>
      </c>
      <c r="L377" s="10">
        <v>0</v>
      </c>
      <c r="M377" s="6">
        <v>0</v>
      </c>
      <c r="N377" s="37" t="e" cm="1">
        <f t="array" ref="N377">IF(OR(ISNUMBER(FIND(Aux!$D$3:$D$9,_xlfn.TEXTJOIN(,,C377:K377)))),NA(),IF(AND(SUM(C377:F377,H377:K377)=0,G377=1),0,INT((SUMPRODUCT(C377:F377,COLUMN($A$1:$D$1)-1)+SUMPRODUCT(H377:K377,COLUMN($E$1:$H$1)-1))*'Line Follower'!$C$3/SUM(C377:F377,H377:K377)-'Line Follower'!$C$5)))</f>
        <v>#N/A</v>
      </c>
      <c r="O377" s="22" t="e">
        <v>#N/A</v>
      </c>
      <c r="P377" s="4" t="e">
        <f t="shared" si="25"/>
        <v>#N/A</v>
      </c>
      <c r="Q377" s="4" t="e">
        <f t="shared" si="26"/>
        <v>#N/A</v>
      </c>
      <c r="R377" s="4" t="e">
        <f>IF(AND(B377=1,N377&gt;'Line Follower'!$C$7,SUM(C377:K377)&lt;4),1,0)</f>
        <v>#N/A</v>
      </c>
      <c r="S377" s="4" t="e">
        <f>IF(AND(L377=1,N377&lt;'Line Follower'!$C$6,SUM(C377:K377)&lt;4),1,0)</f>
        <v>#N/A</v>
      </c>
      <c r="T377" s="4" t="e">
        <f t="shared" si="27"/>
        <v>#N/A</v>
      </c>
      <c r="U377" s="5" t="e">
        <f t="shared" si="28"/>
        <v>#N/A</v>
      </c>
      <c r="V377" s="23" t="e">
        <f t="shared" si="29"/>
        <v>#N/A</v>
      </c>
    </row>
    <row r="378" spans="2:22" x14ac:dyDescent="0.25">
      <c r="B378" s="16">
        <v>1</v>
      </c>
      <c r="C378" s="7">
        <v>1</v>
      </c>
      <c r="D378" s="8">
        <v>1</v>
      </c>
      <c r="E378" s="8">
        <v>0</v>
      </c>
      <c r="F378" s="8">
        <v>1</v>
      </c>
      <c r="G378" s="8">
        <v>1</v>
      </c>
      <c r="H378" s="8">
        <v>1</v>
      </c>
      <c r="I378" s="8">
        <v>0</v>
      </c>
      <c r="J378" s="8">
        <v>1</v>
      </c>
      <c r="K378" s="9">
        <v>0</v>
      </c>
      <c r="L378" s="10">
        <v>0</v>
      </c>
      <c r="M378" s="6">
        <v>0</v>
      </c>
      <c r="N378" s="37" t="e" cm="1">
        <f t="array" ref="N378">IF(OR(ISNUMBER(FIND(Aux!$D$3:$D$9,_xlfn.TEXTJOIN(,,C378:K378)))),NA(),IF(AND(SUM(C378:F378,H378:K378)=0,G378=1),0,INT((SUMPRODUCT(C378:F378,COLUMN($A$1:$D$1)-1)+SUMPRODUCT(H378:K378,COLUMN($E$1:$H$1)-1))*'Line Follower'!$C$3/SUM(C378:F378,H378:K378)-'Line Follower'!$C$5)))</f>
        <v>#N/A</v>
      </c>
      <c r="O378" s="22" t="e">
        <v>#N/A</v>
      </c>
      <c r="P378" s="4" t="e">
        <f t="shared" si="25"/>
        <v>#N/A</v>
      </c>
      <c r="Q378" s="4" t="e">
        <f t="shared" si="26"/>
        <v>#N/A</v>
      </c>
      <c r="R378" s="4" t="e">
        <f>IF(AND(B378=1,N378&gt;'Line Follower'!$C$7,SUM(C378:K378)&lt;4),1,0)</f>
        <v>#N/A</v>
      </c>
      <c r="S378" s="4" t="e">
        <f>IF(AND(L378=1,N378&lt;'Line Follower'!$C$6,SUM(C378:K378)&lt;4),1,0)</f>
        <v>#N/A</v>
      </c>
      <c r="T378" s="4" t="e">
        <f t="shared" si="27"/>
        <v>#N/A</v>
      </c>
      <c r="U378" s="5" t="e">
        <f t="shared" si="28"/>
        <v>#N/A</v>
      </c>
      <c r="V378" s="23" t="e">
        <f t="shared" si="29"/>
        <v>#N/A</v>
      </c>
    </row>
    <row r="379" spans="2:22" x14ac:dyDescent="0.25">
      <c r="B379" s="16">
        <v>0</v>
      </c>
      <c r="C379" s="7">
        <v>0</v>
      </c>
      <c r="D379" s="8">
        <v>0</v>
      </c>
      <c r="E379" s="8">
        <v>1</v>
      </c>
      <c r="F379" s="8">
        <v>1</v>
      </c>
      <c r="G379" s="8">
        <v>1</v>
      </c>
      <c r="H379" s="8">
        <v>1</v>
      </c>
      <c r="I379" s="8">
        <v>0</v>
      </c>
      <c r="J379" s="8">
        <v>1</v>
      </c>
      <c r="K379" s="9">
        <v>0</v>
      </c>
      <c r="L379" s="10">
        <v>0</v>
      </c>
      <c r="M379" s="6">
        <v>0</v>
      </c>
      <c r="N379" s="37" t="e" cm="1">
        <f t="array" ref="N379">IF(OR(ISNUMBER(FIND(Aux!$D$3:$D$9,_xlfn.TEXTJOIN(,,C379:K379)))),NA(),IF(AND(SUM(C379:F379,H379:K379)=0,G379=1),0,INT((SUMPRODUCT(C379:F379,COLUMN($A$1:$D$1)-1)+SUMPRODUCT(H379:K379,COLUMN($E$1:$H$1)-1))*'Line Follower'!$C$3/SUM(C379:F379,H379:K379)-'Line Follower'!$C$5)))</f>
        <v>#N/A</v>
      </c>
      <c r="O379" s="22" t="e">
        <v>#N/A</v>
      </c>
      <c r="P379" s="4" t="e">
        <f t="shared" si="25"/>
        <v>#N/A</v>
      </c>
      <c r="Q379" s="4" t="e">
        <f t="shared" si="26"/>
        <v>#N/A</v>
      </c>
      <c r="R379" s="4" t="e">
        <f>IF(AND(B379=1,N379&gt;'Line Follower'!$C$7,SUM(C379:K379)&lt;4),1,0)</f>
        <v>#N/A</v>
      </c>
      <c r="S379" s="4" t="e">
        <f>IF(AND(L379=1,N379&lt;'Line Follower'!$C$6,SUM(C379:K379)&lt;4),1,0)</f>
        <v>#N/A</v>
      </c>
      <c r="T379" s="4" t="e">
        <f t="shared" si="27"/>
        <v>#N/A</v>
      </c>
      <c r="U379" s="5" t="e">
        <f t="shared" si="28"/>
        <v>#N/A</v>
      </c>
      <c r="V379" s="23" t="e">
        <f t="shared" si="29"/>
        <v>#N/A</v>
      </c>
    </row>
    <row r="380" spans="2:22" x14ac:dyDescent="0.25">
      <c r="B380" s="16">
        <v>1</v>
      </c>
      <c r="C380" s="7">
        <v>0</v>
      </c>
      <c r="D380" s="8">
        <v>0</v>
      </c>
      <c r="E380" s="8">
        <v>1</v>
      </c>
      <c r="F380" s="8">
        <v>1</v>
      </c>
      <c r="G380" s="8">
        <v>1</v>
      </c>
      <c r="H380" s="8">
        <v>1</v>
      </c>
      <c r="I380" s="8">
        <v>0</v>
      </c>
      <c r="J380" s="8">
        <v>1</v>
      </c>
      <c r="K380" s="9">
        <v>0</v>
      </c>
      <c r="L380" s="10">
        <v>0</v>
      </c>
      <c r="M380" s="6">
        <v>0</v>
      </c>
      <c r="N380" s="37" t="e" cm="1">
        <f t="array" ref="N380">IF(OR(ISNUMBER(FIND(Aux!$D$3:$D$9,_xlfn.TEXTJOIN(,,C380:K380)))),NA(),IF(AND(SUM(C380:F380,H380:K380)=0,G380=1),0,INT((SUMPRODUCT(C380:F380,COLUMN($A$1:$D$1)-1)+SUMPRODUCT(H380:K380,COLUMN($E$1:$H$1)-1))*'Line Follower'!$C$3/SUM(C380:F380,H380:K380)-'Line Follower'!$C$5)))</f>
        <v>#N/A</v>
      </c>
      <c r="O380" s="22" t="e">
        <v>#N/A</v>
      </c>
      <c r="P380" s="4" t="e">
        <f t="shared" si="25"/>
        <v>#N/A</v>
      </c>
      <c r="Q380" s="4" t="e">
        <f t="shared" si="26"/>
        <v>#N/A</v>
      </c>
      <c r="R380" s="4" t="e">
        <f>IF(AND(B380=1,N380&gt;'Line Follower'!$C$7,SUM(C380:K380)&lt;4),1,0)</f>
        <v>#N/A</v>
      </c>
      <c r="S380" s="4" t="e">
        <f>IF(AND(L380=1,N380&lt;'Line Follower'!$C$6,SUM(C380:K380)&lt;4),1,0)</f>
        <v>#N/A</v>
      </c>
      <c r="T380" s="4" t="e">
        <f t="shared" si="27"/>
        <v>#N/A</v>
      </c>
      <c r="U380" s="5" t="e">
        <f t="shared" si="28"/>
        <v>#N/A</v>
      </c>
      <c r="V380" s="23" t="e">
        <f t="shared" si="29"/>
        <v>#N/A</v>
      </c>
    </row>
    <row r="381" spans="2:22" x14ac:dyDescent="0.25">
      <c r="B381" s="16">
        <v>0</v>
      </c>
      <c r="C381" s="7">
        <v>1</v>
      </c>
      <c r="D381" s="8">
        <v>0</v>
      </c>
      <c r="E381" s="8">
        <v>1</v>
      </c>
      <c r="F381" s="8">
        <v>1</v>
      </c>
      <c r="G381" s="8">
        <v>1</v>
      </c>
      <c r="H381" s="8">
        <v>1</v>
      </c>
      <c r="I381" s="8">
        <v>0</v>
      </c>
      <c r="J381" s="8">
        <v>1</v>
      </c>
      <c r="K381" s="9">
        <v>0</v>
      </c>
      <c r="L381" s="10">
        <v>0</v>
      </c>
      <c r="M381" s="6">
        <v>0</v>
      </c>
      <c r="N381" s="37" t="e" cm="1">
        <f t="array" ref="N381">IF(OR(ISNUMBER(FIND(Aux!$D$3:$D$9,_xlfn.TEXTJOIN(,,C381:K381)))),NA(),IF(AND(SUM(C381:F381,H381:K381)=0,G381=1),0,INT((SUMPRODUCT(C381:F381,COLUMN($A$1:$D$1)-1)+SUMPRODUCT(H381:K381,COLUMN($E$1:$H$1)-1))*'Line Follower'!$C$3/SUM(C381:F381,H381:K381)-'Line Follower'!$C$5)))</f>
        <v>#N/A</v>
      </c>
      <c r="O381" s="22" t="e">
        <v>#N/A</v>
      </c>
      <c r="P381" s="4" t="e">
        <f t="shared" si="25"/>
        <v>#N/A</v>
      </c>
      <c r="Q381" s="4" t="e">
        <f t="shared" si="26"/>
        <v>#N/A</v>
      </c>
      <c r="R381" s="4" t="e">
        <f>IF(AND(B381=1,N381&gt;'Line Follower'!$C$7,SUM(C381:K381)&lt;4),1,0)</f>
        <v>#N/A</v>
      </c>
      <c r="S381" s="4" t="e">
        <f>IF(AND(L381=1,N381&lt;'Line Follower'!$C$6,SUM(C381:K381)&lt;4),1,0)</f>
        <v>#N/A</v>
      </c>
      <c r="T381" s="4" t="e">
        <f t="shared" si="27"/>
        <v>#N/A</v>
      </c>
      <c r="U381" s="5" t="e">
        <f t="shared" si="28"/>
        <v>#N/A</v>
      </c>
      <c r="V381" s="23" t="e">
        <f t="shared" si="29"/>
        <v>#N/A</v>
      </c>
    </row>
    <row r="382" spans="2:22" x14ac:dyDescent="0.25">
      <c r="B382" s="16">
        <v>1</v>
      </c>
      <c r="C382" s="7">
        <v>1</v>
      </c>
      <c r="D382" s="8">
        <v>0</v>
      </c>
      <c r="E382" s="8">
        <v>1</v>
      </c>
      <c r="F382" s="8">
        <v>1</v>
      </c>
      <c r="G382" s="8">
        <v>1</v>
      </c>
      <c r="H382" s="8">
        <v>1</v>
      </c>
      <c r="I382" s="8">
        <v>0</v>
      </c>
      <c r="J382" s="8">
        <v>1</v>
      </c>
      <c r="K382" s="9">
        <v>0</v>
      </c>
      <c r="L382" s="10">
        <v>0</v>
      </c>
      <c r="M382" s="6">
        <v>0</v>
      </c>
      <c r="N382" s="37" t="e" cm="1">
        <f t="array" ref="N382">IF(OR(ISNUMBER(FIND(Aux!$D$3:$D$9,_xlfn.TEXTJOIN(,,C382:K382)))),NA(),IF(AND(SUM(C382:F382,H382:K382)=0,G382=1),0,INT((SUMPRODUCT(C382:F382,COLUMN($A$1:$D$1)-1)+SUMPRODUCT(H382:K382,COLUMN($E$1:$H$1)-1))*'Line Follower'!$C$3/SUM(C382:F382,H382:K382)-'Line Follower'!$C$5)))</f>
        <v>#N/A</v>
      </c>
      <c r="O382" s="22" t="e">
        <v>#N/A</v>
      </c>
      <c r="P382" s="4" t="e">
        <f t="shared" si="25"/>
        <v>#N/A</v>
      </c>
      <c r="Q382" s="4" t="e">
        <f t="shared" si="26"/>
        <v>#N/A</v>
      </c>
      <c r="R382" s="4" t="e">
        <f>IF(AND(B382=1,N382&gt;'Line Follower'!$C$7,SUM(C382:K382)&lt;4),1,0)</f>
        <v>#N/A</v>
      </c>
      <c r="S382" s="4" t="e">
        <f>IF(AND(L382=1,N382&lt;'Line Follower'!$C$6,SUM(C382:K382)&lt;4),1,0)</f>
        <v>#N/A</v>
      </c>
      <c r="T382" s="4" t="e">
        <f t="shared" si="27"/>
        <v>#N/A</v>
      </c>
      <c r="U382" s="5" t="e">
        <f t="shared" si="28"/>
        <v>#N/A</v>
      </c>
      <c r="V382" s="23" t="e">
        <f t="shared" si="29"/>
        <v>#N/A</v>
      </c>
    </row>
    <row r="383" spans="2:22" x14ac:dyDescent="0.25">
      <c r="B383" s="16">
        <v>0</v>
      </c>
      <c r="C383" s="7">
        <v>0</v>
      </c>
      <c r="D383" s="8">
        <v>1</v>
      </c>
      <c r="E383" s="8">
        <v>1</v>
      </c>
      <c r="F383" s="8">
        <v>1</v>
      </c>
      <c r="G383" s="8">
        <v>1</v>
      </c>
      <c r="H383" s="8">
        <v>1</v>
      </c>
      <c r="I383" s="8">
        <v>0</v>
      </c>
      <c r="J383" s="8">
        <v>1</v>
      </c>
      <c r="K383" s="9">
        <v>0</v>
      </c>
      <c r="L383" s="10">
        <v>0</v>
      </c>
      <c r="M383" s="6">
        <v>0</v>
      </c>
      <c r="N383" s="37" t="e" cm="1">
        <f t="array" ref="N383">IF(OR(ISNUMBER(FIND(Aux!$D$3:$D$9,_xlfn.TEXTJOIN(,,C383:K383)))),NA(),IF(AND(SUM(C383:F383,H383:K383)=0,G383=1),0,INT((SUMPRODUCT(C383:F383,COLUMN($A$1:$D$1)-1)+SUMPRODUCT(H383:K383,COLUMN($E$1:$H$1)-1))*'Line Follower'!$C$3/SUM(C383:F383,H383:K383)-'Line Follower'!$C$5)))</f>
        <v>#N/A</v>
      </c>
      <c r="O383" s="22" t="e">
        <v>#N/A</v>
      </c>
      <c r="P383" s="4" t="e">
        <f t="shared" si="25"/>
        <v>#N/A</v>
      </c>
      <c r="Q383" s="4" t="e">
        <f t="shared" si="26"/>
        <v>#N/A</v>
      </c>
      <c r="R383" s="4" t="e">
        <f>IF(AND(B383=1,N383&gt;'Line Follower'!$C$7,SUM(C383:K383)&lt;4),1,0)</f>
        <v>#N/A</v>
      </c>
      <c r="S383" s="4" t="e">
        <f>IF(AND(L383=1,N383&lt;'Line Follower'!$C$6,SUM(C383:K383)&lt;4),1,0)</f>
        <v>#N/A</v>
      </c>
      <c r="T383" s="4" t="e">
        <f t="shared" si="27"/>
        <v>#N/A</v>
      </c>
      <c r="U383" s="5" t="e">
        <f t="shared" si="28"/>
        <v>#N/A</v>
      </c>
      <c r="V383" s="23" t="e">
        <f t="shared" si="29"/>
        <v>#N/A</v>
      </c>
    </row>
    <row r="384" spans="2:22" x14ac:dyDescent="0.25">
      <c r="B384" s="16">
        <v>1</v>
      </c>
      <c r="C384" s="7">
        <v>0</v>
      </c>
      <c r="D384" s="8">
        <v>1</v>
      </c>
      <c r="E384" s="8">
        <v>1</v>
      </c>
      <c r="F384" s="8">
        <v>1</v>
      </c>
      <c r="G384" s="8">
        <v>1</v>
      </c>
      <c r="H384" s="8">
        <v>1</v>
      </c>
      <c r="I384" s="8">
        <v>0</v>
      </c>
      <c r="J384" s="8">
        <v>1</v>
      </c>
      <c r="K384" s="9">
        <v>0</v>
      </c>
      <c r="L384" s="10">
        <v>0</v>
      </c>
      <c r="M384" s="6">
        <v>0</v>
      </c>
      <c r="N384" s="37" t="e" cm="1">
        <f t="array" ref="N384">IF(OR(ISNUMBER(FIND(Aux!$D$3:$D$9,_xlfn.TEXTJOIN(,,C384:K384)))),NA(),IF(AND(SUM(C384:F384,H384:K384)=0,G384=1),0,INT((SUMPRODUCT(C384:F384,COLUMN($A$1:$D$1)-1)+SUMPRODUCT(H384:K384,COLUMN($E$1:$H$1)-1))*'Line Follower'!$C$3/SUM(C384:F384,H384:K384)-'Line Follower'!$C$5)))</f>
        <v>#N/A</v>
      </c>
      <c r="O384" s="22" t="e">
        <v>#N/A</v>
      </c>
      <c r="P384" s="4" t="e">
        <f t="shared" si="25"/>
        <v>#N/A</v>
      </c>
      <c r="Q384" s="4" t="e">
        <f t="shared" si="26"/>
        <v>#N/A</v>
      </c>
      <c r="R384" s="4" t="e">
        <f>IF(AND(B384=1,N384&gt;'Line Follower'!$C$7,SUM(C384:K384)&lt;4),1,0)</f>
        <v>#N/A</v>
      </c>
      <c r="S384" s="4" t="e">
        <f>IF(AND(L384=1,N384&lt;'Line Follower'!$C$6,SUM(C384:K384)&lt;4),1,0)</f>
        <v>#N/A</v>
      </c>
      <c r="T384" s="4" t="e">
        <f t="shared" si="27"/>
        <v>#N/A</v>
      </c>
      <c r="U384" s="5" t="e">
        <f t="shared" si="28"/>
        <v>#N/A</v>
      </c>
      <c r="V384" s="23" t="e">
        <f t="shared" si="29"/>
        <v>#N/A</v>
      </c>
    </row>
    <row r="385" spans="2:22" x14ac:dyDescent="0.25">
      <c r="B385" s="16">
        <v>0</v>
      </c>
      <c r="C385" s="7">
        <v>1</v>
      </c>
      <c r="D385" s="8">
        <v>1</v>
      </c>
      <c r="E385" s="8">
        <v>1</v>
      </c>
      <c r="F385" s="8">
        <v>1</v>
      </c>
      <c r="G385" s="8">
        <v>1</v>
      </c>
      <c r="H385" s="8">
        <v>1</v>
      </c>
      <c r="I385" s="8">
        <v>0</v>
      </c>
      <c r="J385" s="8">
        <v>1</v>
      </c>
      <c r="K385" s="9">
        <v>0</v>
      </c>
      <c r="L385" s="10">
        <v>0</v>
      </c>
      <c r="M385" s="6">
        <v>0</v>
      </c>
      <c r="N385" s="37" t="e" cm="1">
        <f t="array" ref="N385">IF(OR(ISNUMBER(FIND(Aux!$D$3:$D$9,_xlfn.TEXTJOIN(,,C385:K385)))),NA(),IF(AND(SUM(C385:F385,H385:K385)=0,G385=1),0,INT((SUMPRODUCT(C385:F385,COLUMN($A$1:$D$1)-1)+SUMPRODUCT(H385:K385,COLUMN($E$1:$H$1)-1))*'Line Follower'!$C$3/SUM(C385:F385,H385:K385)-'Line Follower'!$C$5)))</f>
        <v>#N/A</v>
      </c>
      <c r="O385" s="22" t="e">
        <v>#N/A</v>
      </c>
      <c r="P385" s="4" t="e">
        <f t="shared" si="25"/>
        <v>#N/A</v>
      </c>
      <c r="Q385" s="4" t="e">
        <f t="shared" si="26"/>
        <v>#N/A</v>
      </c>
      <c r="R385" s="4" t="e">
        <f>IF(AND(B385=1,N385&gt;'Line Follower'!$C$7,SUM(C385:K385)&lt;4),1,0)</f>
        <v>#N/A</v>
      </c>
      <c r="S385" s="4" t="e">
        <f>IF(AND(L385=1,N385&lt;'Line Follower'!$C$6,SUM(C385:K385)&lt;4),1,0)</f>
        <v>#N/A</v>
      </c>
      <c r="T385" s="4" t="e">
        <f t="shared" si="27"/>
        <v>#N/A</v>
      </c>
      <c r="U385" s="5" t="e">
        <f t="shared" si="28"/>
        <v>#N/A</v>
      </c>
      <c r="V385" s="23" t="e">
        <f t="shared" si="29"/>
        <v>#N/A</v>
      </c>
    </row>
    <row r="386" spans="2:22" x14ac:dyDescent="0.25">
      <c r="B386" s="16">
        <v>1</v>
      </c>
      <c r="C386" s="7">
        <v>1</v>
      </c>
      <c r="D386" s="8">
        <v>1</v>
      </c>
      <c r="E386" s="8">
        <v>1</v>
      </c>
      <c r="F386" s="8">
        <v>1</v>
      </c>
      <c r="G386" s="8">
        <v>1</v>
      </c>
      <c r="H386" s="8">
        <v>1</v>
      </c>
      <c r="I386" s="8">
        <v>0</v>
      </c>
      <c r="J386" s="8">
        <v>1</v>
      </c>
      <c r="K386" s="9">
        <v>0</v>
      </c>
      <c r="L386" s="10">
        <v>0</v>
      </c>
      <c r="M386" s="6">
        <v>0</v>
      </c>
      <c r="N386" s="37" t="e" cm="1">
        <f t="array" ref="N386">IF(OR(ISNUMBER(FIND(Aux!$D$3:$D$9,_xlfn.TEXTJOIN(,,C386:K386)))),NA(),IF(AND(SUM(C386:F386,H386:K386)=0,G386=1),0,INT((SUMPRODUCT(C386:F386,COLUMN($A$1:$D$1)-1)+SUMPRODUCT(H386:K386,COLUMN($E$1:$H$1)-1))*'Line Follower'!$C$3/SUM(C386:F386,H386:K386)-'Line Follower'!$C$5)))</f>
        <v>#N/A</v>
      </c>
      <c r="O386" s="22" t="e">
        <v>#N/A</v>
      </c>
      <c r="P386" s="4" t="e">
        <f t="shared" si="25"/>
        <v>#N/A</v>
      </c>
      <c r="Q386" s="4" t="e">
        <f t="shared" si="26"/>
        <v>#N/A</v>
      </c>
      <c r="R386" s="4" t="e">
        <f>IF(AND(B386=1,N386&gt;'Line Follower'!$C$7,SUM(C386:K386)&lt;4),1,0)</f>
        <v>#N/A</v>
      </c>
      <c r="S386" s="4" t="e">
        <f>IF(AND(L386=1,N386&lt;'Line Follower'!$C$6,SUM(C386:K386)&lt;4),1,0)</f>
        <v>#N/A</v>
      </c>
      <c r="T386" s="4" t="e">
        <f t="shared" si="27"/>
        <v>#N/A</v>
      </c>
      <c r="U386" s="5" t="e">
        <f t="shared" si="28"/>
        <v>#N/A</v>
      </c>
      <c r="V386" s="23" t="e">
        <f t="shared" si="29"/>
        <v>#N/A</v>
      </c>
    </row>
    <row r="387" spans="2:22" x14ac:dyDescent="0.25">
      <c r="B387" s="16">
        <v>0</v>
      </c>
      <c r="C387" s="7">
        <v>0</v>
      </c>
      <c r="D387" s="8">
        <v>0</v>
      </c>
      <c r="E387" s="8">
        <v>0</v>
      </c>
      <c r="F387" s="8">
        <v>0</v>
      </c>
      <c r="G387" s="8">
        <v>0</v>
      </c>
      <c r="H387" s="8">
        <v>0</v>
      </c>
      <c r="I387" s="8">
        <v>1</v>
      </c>
      <c r="J387" s="8">
        <v>1</v>
      </c>
      <c r="K387" s="9">
        <v>0</v>
      </c>
      <c r="L387" s="10">
        <v>0</v>
      </c>
      <c r="M387" s="6">
        <v>0</v>
      </c>
      <c r="N387" s="37" cm="1">
        <f t="array" ref="N387">IF(OR(ISNUMBER(FIND(Aux!$D$3:$D$9,_xlfn.TEXTJOIN(,,C387:K387)))),NA(),IF(AND(SUM(C387:F387,H387:K387)=0,G387=1),0,INT((SUMPRODUCT(C387:F387,COLUMN($A$1:$D$1)-1)+SUMPRODUCT(H387:K387,COLUMN($E$1:$H$1)-1))*'Line Follower'!$C$3/SUM(C387:F387,H387:K387)-'Line Follower'!$C$5)))</f>
        <v>4</v>
      </c>
      <c r="O387" s="22">
        <v>1</v>
      </c>
      <c r="P387" s="4">
        <f t="shared" ref="P387:P450" si="30">IF(AND(N387=0,G387=1,M387=1),1,0)</f>
        <v>0</v>
      </c>
      <c r="Q387" s="4">
        <f t="shared" ref="Q387:Q450" si="31">IF(ISERROR(N387),N387,IF(SUM(C387:K387)&gt;=4,1,0))</f>
        <v>0</v>
      </c>
      <c r="R387" s="4">
        <f>IF(AND(B387=1,N387&gt;'Line Follower'!$C$7,SUM(C387:K387)&lt;4),1,0)</f>
        <v>0</v>
      </c>
      <c r="S387" s="4">
        <f>IF(AND(L387=1,N387&lt;'Line Follower'!$C$6,SUM(C387:K387)&lt;4),1,0)</f>
        <v>0</v>
      </c>
      <c r="T387" s="4">
        <f t="shared" si="27"/>
        <v>0</v>
      </c>
      <c r="U387" s="5">
        <f t="shared" si="28"/>
        <v>0</v>
      </c>
      <c r="V387" s="23">
        <f t="shared" si="29"/>
        <v>0</v>
      </c>
    </row>
    <row r="388" spans="2:22" x14ac:dyDescent="0.25">
      <c r="B388" s="16">
        <v>1</v>
      </c>
      <c r="C388" s="7">
        <v>0</v>
      </c>
      <c r="D388" s="8">
        <v>0</v>
      </c>
      <c r="E388" s="8">
        <v>0</v>
      </c>
      <c r="F388" s="8">
        <v>0</v>
      </c>
      <c r="G388" s="8">
        <v>0</v>
      </c>
      <c r="H388" s="8">
        <v>0</v>
      </c>
      <c r="I388" s="8">
        <v>1</v>
      </c>
      <c r="J388" s="8">
        <v>1</v>
      </c>
      <c r="K388" s="9">
        <v>0</v>
      </c>
      <c r="L388" s="10">
        <v>0</v>
      </c>
      <c r="M388" s="6">
        <v>0</v>
      </c>
      <c r="N388" s="37" cm="1">
        <f t="array" ref="N388">IF(OR(ISNUMBER(FIND(Aux!$D$3:$D$9,_xlfn.TEXTJOIN(,,C388:K388)))),NA(),IF(AND(SUM(C388:F388,H388:K388)=0,G388=1),0,INT((SUMPRODUCT(C388:F388,COLUMN($A$1:$D$1)-1)+SUMPRODUCT(H388:K388,COLUMN($E$1:$H$1)-1))*'Line Follower'!$C$3/SUM(C388:F388,H388:K388)-'Line Follower'!$C$5)))</f>
        <v>4</v>
      </c>
      <c r="O388" s="22">
        <v>1</v>
      </c>
      <c r="P388" s="4">
        <f t="shared" si="30"/>
        <v>0</v>
      </c>
      <c r="Q388" s="4">
        <f t="shared" si="31"/>
        <v>0</v>
      </c>
      <c r="R388" s="4">
        <f>IF(AND(B388=1,N388&gt;'Line Follower'!$C$7,SUM(C388:K388)&lt;4),1,0)</f>
        <v>1</v>
      </c>
      <c r="S388" s="4">
        <f>IF(AND(L388=1,N388&lt;'Line Follower'!$C$6,SUM(C388:K388)&lt;4),1,0)</f>
        <v>0</v>
      </c>
      <c r="T388" s="4">
        <f t="shared" ref="T388:T451" si="32">IF(ISNA(N388),NA(),IF(SUM(C388:L388)=0,1,0))</f>
        <v>0</v>
      </c>
      <c r="U388" s="5">
        <f t="shared" ref="U388:U451" si="33">IF(ISNA(N388),NA(),IF(SUM(B388:K388)=0,1,0))</f>
        <v>0</v>
      </c>
      <c r="V388" s="23">
        <f t="shared" ref="V388:V451" si="34">IF(ISNA(N388),NA(),IF(SUM(B388:L388)=0,1,0))</f>
        <v>0</v>
      </c>
    </row>
    <row r="389" spans="2:22" x14ac:dyDescent="0.25">
      <c r="B389" s="16">
        <v>0</v>
      </c>
      <c r="C389" s="7">
        <v>1</v>
      </c>
      <c r="D389" s="8">
        <v>0</v>
      </c>
      <c r="E389" s="8">
        <v>0</v>
      </c>
      <c r="F389" s="8">
        <v>0</v>
      </c>
      <c r="G389" s="8">
        <v>0</v>
      </c>
      <c r="H389" s="8">
        <v>0</v>
      </c>
      <c r="I389" s="8">
        <v>1</v>
      </c>
      <c r="J389" s="8">
        <v>1</v>
      </c>
      <c r="K389" s="9">
        <v>0</v>
      </c>
      <c r="L389" s="10">
        <v>0</v>
      </c>
      <c r="M389" s="6">
        <v>0</v>
      </c>
      <c r="N389" s="37" t="e" cm="1">
        <f t="array" ref="N389">IF(OR(ISNUMBER(FIND(Aux!$D$3:$D$9,_xlfn.TEXTJOIN(,,C389:K389)))),NA(),IF(AND(SUM(C389:F389,H389:K389)=0,G389=1),0,INT((SUMPRODUCT(C389:F389,COLUMN($A$1:$D$1)-1)+SUMPRODUCT(H389:K389,COLUMN($E$1:$H$1)-1))*'Line Follower'!$C$3/SUM(C389:F389,H389:K389)-'Line Follower'!$C$5)))</f>
        <v>#N/A</v>
      </c>
      <c r="O389" s="22" t="e">
        <v>#N/A</v>
      </c>
      <c r="P389" s="4" t="e">
        <f t="shared" si="30"/>
        <v>#N/A</v>
      </c>
      <c r="Q389" s="4" t="e">
        <f t="shared" si="31"/>
        <v>#N/A</v>
      </c>
      <c r="R389" s="4" t="e">
        <f>IF(AND(B389=1,N389&gt;'Line Follower'!$C$7,SUM(C389:K389)&lt;4),1,0)</f>
        <v>#N/A</v>
      </c>
      <c r="S389" s="4" t="e">
        <f>IF(AND(L389=1,N389&lt;'Line Follower'!$C$6,SUM(C389:K389)&lt;4),1,0)</f>
        <v>#N/A</v>
      </c>
      <c r="T389" s="4" t="e">
        <f t="shared" si="32"/>
        <v>#N/A</v>
      </c>
      <c r="U389" s="5" t="e">
        <f t="shared" si="33"/>
        <v>#N/A</v>
      </c>
      <c r="V389" s="23" t="e">
        <f t="shared" si="34"/>
        <v>#N/A</v>
      </c>
    </row>
    <row r="390" spans="2:22" x14ac:dyDescent="0.25">
      <c r="B390" s="16">
        <v>1</v>
      </c>
      <c r="C390" s="7">
        <v>1</v>
      </c>
      <c r="D390" s="8">
        <v>0</v>
      </c>
      <c r="E390" s="8">
        <v>0</v>
      </c>
      <c r="F390" s="8">
        <v>0</v>
      </c>
      <c r="G390" s="8">
        <v>0</v>
      </c>
      <c r="H390" s="8">
        <v>0</v>
      </c>
      <c r="I390" s="8">
        <v>1</v>
      </c>
      <c r="J390" s="8">
        <v>1</v>
      </c>
      <c r="K390" s="9">
        <v>0</v>
      </c>
      <c r="L390" s="10">
        <v>0</v>
      </c>
      <c r="M390" s="6">
        <v>0</v>
      </c>
      <c r="N390" s="37" t="e" cm="1">
        <f t="array" ref="N390">IF(OR(ISNUMBER(FIND(Aux!$D$3:$D$9,_xlfn.TEXTJOIN(,,C390:K390)))),NA(),IF(AND(SUM(C390:F390,H390:K390)=0,G390=1),0,INT((SUMPRODUCT(C390:F390,COLUMN($A$1:$D$1)-1)+SUMPRODUCT(H390:K390,COLUMN($E$1:$H$1)-1))*'Line Follower'!$C$3/SUM(C390:F390,H390:K390)-'Line Follower'!$C$5)))</f>
        <v>#N/A</v>
      </c>
      <c r="O390" s="22" t="e">
        <v>#N/A</v>
      </c>
      <c r="P390" s="4" t="e">
        <f t="shared" si="30"/>
        <v>#N/A</v>
      </c>
      <c r="Q390" s="4" t="e">
        <f t="shared" si="31"/>
        <v>#N/A</v>
      </c>
      <c r="R390" s="4" t="e">
        <f>IF(AND(B390=1,N390&gt;'Line Follower'!$C$7,SUM(C390:K390)&lt;4),1,0)</f>
        <v>#N/A</v>
      </c>
      <c r="S390" s="4" t="e">
        <f>IF(AND(L390=1,N390&lt;'Line Follower'!$C$6,SUM(C390:K390)&lt;4),1,0)</f>
        <v>#N/A</v>
      </c>
      <c r="T390" s="4" t="e">
        <f t="shared" si="32"/>
        <v>#N/A</v>
      </c>
      <c r="U390" s="5" t="e">
        <f t="shared" si="33"/>
        <v>#N/A</v>
      </c>
      <c r="V390" s="23" t="e">
        <f t="shared" si="34"/>
        <v>#N/A</v>
      </c>
    </row>
    <row r="391" spans="2:22" x14ac:dyDescent="0.25">
      <c r="B391" s="16">
        <v>0</v>
      </c>
      <c r="C391" s="7">
        <v>0</v>
      </c>
      <c r="D391" s="8">
        <v>1</v>
      </c>
      <c r="E391" s="8">
        <v>0</v>
      </c>
      <c r="F391" s="8">
        <v>0</v>
      </c>
      <c r="G391" s="8">
        <v>0</v>
      </c>
      <c r="H391" s="8">
        <v>0</v>
      </c>
      <c r="I391" s="8">
        <v>1</v>
      </c>
      <c r="J391" s="8">
        <v>1</v>
      </c>
      <c r="K391" s="9">
        <v>0</v>
      </c>
      <c r="L391" s="10">
        <v>0</v>
      </c>
      <c r="M391" s="6">
        <v>0</v>
      </c>
      <c r="N391" s="37" t="e" cm="1">
        <f t="array" ref="N391">IF(OR(ISNUMBER(FIND(Aux!$D$3:$D$9,_xlfn.TEXTJOIN(,,C391:K391)))),NA(),IF(AND(SUM(C391:F391,H391:K391)=0,G391=1),0,INT((SUMPRODUCT(C391:F391,COLUMN($A$1:$D$1)-1)+SUMPRODUCT(H391:K391,COLUMN($E$1:$H$1)-1))*'Line Follower'!$C$3/SUM(C391:F391,H391:K391)-'Line Follower'!$C$5)))</f>
        <v>#N/A</v>
      </c>
      <c r="O391" s="22" t="e">
        <v>#N/A</v>
      </c>
      <c r="P391" s="4" t="e">
        <f t="shared" si="30"/>
        <v>#N/A</v>
      </c>
      <c r="Q391" s="4" t="e">
        <f t="shared" si="31"/>
        <v>#N/A</v>
      </c>
      <c r="R391" s="4" t="e">
        <f>IF(AND(B391=1,N391&gt;'Line Follower'!$C$7,SUM(C391:K391)&lt;4),1,0)</f>
        <v>#N/A</v>
      </c>
      <c r="S391" s="4" t="e">
        <f>IF(AND(L391=1,N391&lt;'Line Follower'!$C$6,SUM(C391:K391)&lt;4),1,0)</f>
        <v>#N/A</v>
      </c>
      <c r="T391" s="4" t="e">
        <f t="shared" si="32"/>
        <v>#N/A</v>
      </c>
      <c r="U391" s="5" t="e">
        <f t="shared" si="33"/>
        <v>#N/A</v>
      </c>
      <c r="V391" s="23" t="e">
        <f t="shared" si="34"/>
        <v>#N/A</v>
      </c>
    </row>
    <row r="392" spans="2:22" x14ac:dyDescent="0.25">
      <c r="B392" s="16">
        <v>1</v>
      </c>
      <c r="C392" s="7">
        <v>0</v>
      </c>
      <c r="D392" s="8">
        <v>1</v>
      </c>
      <c r="E392" s="8">
        <v>0</v>
      </c>
      <c r="F392" s="8">
        <v>0</v>
      </c>
      <c r="G392" s="8">
        <v>0</v>
      </c>
      <c r="H392" s="8">
        <v>0</v>
      </c>
      <c r="I392" s="8">
        <v>1</v>
      </c>
      <c r="J392" s="8">
        <v>1</v>
      </c>
      <c r="K392" s="9">
        <v>0</v>
      </c>
      <c r="L392" s="10">
        <v>0</v>
      </c>
      <c r="M392" s="6">
        <v>0</v>
      </c>
      <c r="N392" s="37" t="e" cm="1">
        <f t="array" ref="N392">IF(OR(ISNUMBER(FIND(Aux!$D$3:$D$9,_xlfn.TEXTJOIN(,,C392:K392)))),NA(),IF(AND(SUM(C392:F392,H392:K392)=0,G392=1),0,INT((SUMPRODUCT(C392:F392,COLUMN($A$1:$D$1)-1)+SUMPRODUCT(H392:K392,COLUMN($E$1:$H$1)-1))*'Line Follower'!$C$3/SUM(C392:F392,H392:K392)-'Line Follower'!$C$5)))</f>
        <v>#N/A</v>
      </c>
      <c r="O392" s="22" t="e">
        <v>#N/A</v>
      </c>
      <c r="P392" s="4" t="e">
        <f t="shared" si="30"/>
        <v>#N/A</v>
      </c>
      <c r="Q392" s="4" t="e">
        <f t="shared" si="31"/>
        <v>#N/A</v>
      </c>
      <c r="R392" s="4" t="e">
        <f>IF(AND(B392=1,N392&gt;'Line Follower'!$C$7,SUM(C392:K392)&lt;4),1,0)</f>
        <v>#N/A</v>
      </c>
      <c r="S392" s="4" t="e">
        <f>IF(AND(L392=1,N392&lt;'Line Follower'!$C$6,SUM(C392:K392)&lt;4),1,0)</f>
        <v>#N/A</v>
      </c>
      <c r="T392" s="4" t="e">
        <f t="shared" si="32"/>
        <v>#N/A</v>
      </c>
      <c r="U392" s="5" t="e">
        <f t="shared" si="33"/>
        <v>#N/A</v>
      </c>
      <c r="V392" s="23" t="e">
        <f t="shared" si="34"/>
        <v>#N/A</v>
      </c>
    </row>
    <row r="393" spans="2:22" x14ac:dyDescent="0.25">
      <c r="B393" s="16">
        <v>0</v>
      </c>
      <c r="C393" s="7">
        <v>1</v>
      </c>
      <c r="D393" s="8">
        <v>1</v>
      </c>
      <c r="E393" s="8">
        <v>0</v>
      </c>
      <c r="F393" s="8">
        <v>0</v>
      </c>
      <c r="G393" s="8">
        <v>0</v>
      </c>
      <c r="H393" s="8">
        <v>0</v>
      </c>
      <c r="I393" s="8">
        <v>1</v>
      </c>
      <c r="J393" s="8">
        <v>1</v>
      </c>
      <c r="K393" s="9">
        <v>0</v>
      </c>
      <c r="L393" s="10">
        <v>0</v>
      </c>
      <c r="M393" s="6">
        <v>0</v>
      </c>
      <c r="N393" s="37" t="e" cm="1">
        <f t="array" ref="N393">IF(OR(ISNUMBER(FIND(Aux!$D$3:$D$9,_xlfn.TEXTJOIN(,,C393:K393)))),NA(),IF(AND(SUM(C393:F393,H393:K393)=0,G393=1),0,INT((SUMPRODUCT(C393:F393,COLUMN($A$1:$D$1)-1)+SUMPRODUCT(H393:K393,COLUMN($E$1:$H$1)-1))*'Line Follower'!$C$3/SUM(C393:F393,H393:K393)-'Line Follower'!$C$5)))</f>
        <v>#N/A</v>
      </c>
      <c r="O393" s="22" t="e">
        <v>#N/A</v>
      </c>
      <c r="P393" s="4" t="e">
        <f t="shared" si="30"/>
        <v>#N/A</v>
      </c>
      <c r="Q393" s="4" t="e">
        <f t="shared" si="31"/>
        <v>#N/A</v>
      </c>
      <c r="R393" s="4" t="e">
        <f>IF(AND(B393=1,N393&gt;'Line Follower'!$C$7,SUM(C393:K393)&lt;4),1,0)</f>
        <v>#N/A</v>
      </c>
      <c r="S393" s="4" t="e">
        <f>IF(AND(L393=1,N393&lt;'Line Follower'!$C$6,SUM(C393:K393)&lt;4),1,0)</f>
        <v>#N/A</v>
      </c>
      <c r="T393" s="4" t="e">
        <f t="shared" si="32"/>
        <v>#N/A</v>
      </c>
      <c r="U393" s="5" t="e">
        <f t="shared" si="33"/>
        <v>#N/A</v>
      </c>
      <c r="V393" s="23" t="e">
        <f t="shared" si="34"/>
        <v>#N/A</v>
      </c>
    </row>
    <row r="394" spans="2:22" x14ac:dyDescent="0.25">
      <c r="B394" s="16">
        <v>1</v>
      </c>
      <c r="C394" s="7">
        <v>1</v>
      </c>
      <c r="D394" s="8">
        <v>1</v>
      </c>
      <c r="E394" s="8">
        <v>0</v>
      </c>
      <c r="F394" s="8">
        <v>0</v>
      </c>
      <c r="G394" s="8">
        <v>0</v>
      </c>
      <c r="H394" s="8">
        <v>0</v>
      </c>
      <c r="I394" s="8">
        <v>1</v>
      </c>
      <c r="J394" s="8">
        <v>1</v>
      </c>
      <c r="K394" s="9">
        <v>0</v>
      </c>
      <c r="L394" s="10">
        <v>0</v>
      </c>
      <c r="M394" s="6">
        <v>0</v>
      </c>
      <c r="N394" s="37" t="e" cm="1">
        <f t="array" ref="N394">IF(OR(ISNUMBER(FIND(Aux!$D$3:$D$9,_xlfn.TEXTJOIN(,,C394:K394)))),NA(),IF(AND(SUM(C394:F394,H394:K394)=0,G394=1),0,INT((SUMPRODUCT(C394:F394,COLUMN($A$1:$D$1)-1)+SUMPRODUCT(H394:K394,COLUMN($E$1:$H$1)-1))*'Line Follower'!$C$3/SUM(C394:F394,H394:K394)-'Line Follower'!$C$5)))</f>
        <v>#N/A</v>
      </c>
      <c r="O394" s="22" t="e">
        <v>#N/A</v>
      </c>
      <c r="P394" s="4" t="e">
        <f t="shared" si="30"/>
        <v>#N/A</v>
      </c>
      <c r="Q394" s="4" t="e">
        <f t="shared" si="31"/>
        <v>#N/A</v>
      </c>
      <c r="R394" s="4" t="e">
        <f>IF(AND(B394=1,N394&gt;'Line Follower'!$C$7,SUM(C394:K394)&lt;4),1,0)</f>
        <v>#N/A</v>
      </c>
      <c r="S394" s="4" t="e">
        <f>IF(AND(L394=1,N394&lt;'Line Follower'!$C$6,SUM(C394:K394)&lt;4),1,0)</f>
        <v>#N/A</v>
      </c>
      <c r="T394" s="4" t="e">
        <f t="shared" si="32"/>
        <v>#N/A</v>
      </c>
      <c r="U394" s="5" t="e">
        <f t="shared" si="33"/>
        <v>#N/A</v>
      </c>
      <c r="V394" s="23" t="e">
        <f t="shared" si="34"/>
        <v>#N/A</v>
      </c>
    </row>
    <row r="395" spans="2:22" x14ac:dyDescent="0.25">
      <c r="B395" s="16">
        <v>0</v>
      </c>
      <c r="C395" s="7">
        <v>0</v>
      </c>
      <c r="D395" s="8">
        <v>0</v>
      </c>
      <c r="E395" s="8">
        <v>1</v>
      </c>
      <c r="F395" s="8">
        <v>0</v>
      </c>
      <c r="G395" s="8">
        <v>0</v>
      </c>
      <c r="H395" s="8">
        <v>0</v>
      </c>
      <c r="I395" s="8">
        <v>1</v>
      </c>
      <c r="J395" s="8">
        <v>1</v>
      </c>
      <c r="K395" s="9">
        <v>0</v>
      </c>
      <c r="L395" s="10">
        <v>0</v>
      </c>
      <c r="M395" s="6">
        <v>0</v>
      </c>
      <c r="N395" s="37" t="e" cm="1">
        <f t="array" ref="N395">IF(OR(ISNUMBER(FIND(Aux!$D$3:$D$9,_xlfn.TEXTJOIN(,,C395:K395)))),NA(),IF(AND(SUM(C395:F395,H395:K395)=0,G395=1),0,INT((SUMPRODUCT(C395:F395,COLUMN($A$1:$D$1)-1)+SUMPRODUCT(H395:K395,COLUMN($E$1:$H$1)-1))*'Line Follower'!$C$3/SUM(C395:F395,H395:K395)-'Line Follower'!$C$5)))</f>
        <v>#N/A</v>
      </c>
      <c r="O395" s="22" t="e">
        <v>#N/A</v>
      </c>
      <c r="P395" s="4" t="e">
        <f t="shared" si="30"/>
        <v>#N/A</v>
      </c>
      <c r="Q395" s="4" t="e">
        <f t="shared" si="31"/>
        <v>#N/A</v>
      </c>
      <c r="R395" s="4" t="e">
        <f>IF(AND(B395=1,N395&gt;'Line Follower'!$C$7,SUM(C395:K395)&lt;4),1,0)</f>
        <v>#N/A</v>
      </c>
      <c r="S395" s="4" t="e">
        <f>IF(AND(L395=1,N395&lt;'Line Follower'!$C$6,SUM(C395:K395)&lt;4),1,0)</f>
        <v>#N/A</v>
      </c>
      <c r="T395" s="4" t="e">
        <f t="shared" si="32"/>
        <v>#N/A</v>
      </c>
      <c r="U395" s="5" t="e">
        <f t="shared" si="33"/>
        <v>#N/A</v>
      </c>
      <c r="V395" s="23" t="e">
        <f t="shared" si="34"/>
        <v>#N/A</v>
      </c>
    </row>
    <row r="396" spans="2:22" x14ac:dyDescent="0.25">
      <c r="B396" s="16">
        <v>1</v>
      </c>
      <c r="C396" s="7">
        <v>0</v>
      </c>
      <c r="D396" s="8">
        <v>0</v>
      </c>
      <c r="E396" s="8">
        <v>1</v>
      </c>
      <c r="F396" s="8">
        <v>0</v>
      </c>
      <c r="G396" s="8">
        <v>0</v>
      </c>
      <c r="H396" s="8">
        <v>0</v>
      </c>
      <c r="I396" s="8">
        <v>1</v>
      </c>
      <c r="J396" s="8">
        <v>1</v>
      </c>
      <c r="K396" s="9">
        <v>0</v>
      </c>
      <c r="L396" s="10">
        <v>0</v>
      </c>
      <c r="M396" s="6">
        <v>0</v>
      </c>
      <c r="N396" s="37" t="e" cm="1">
        <f t="array" ref="N396">IF(OR(ISNUMBER(FIND(Aux!$D$3:$D$9,_xlfn.TEXTJOIN(,,C396:K396)))),NA(),IF(AND(SUM(C396:F396,H396:K396)=0,G396=1),0,INT((SUMPRODUCT(C396:F396,COLUMN($A$1:$D$1)-1)+SUMPRODUCT(H396:K396,COLUMN($E$1:$H$1)-1))*'Line Follower'!$C$3/SUM(C396:F396,H396:K396)-'Line Follower'!$C$5)))</f>
        <v>#N/A</v>
      </c>
      <c r="O396" s="22" t="e">
        <v>#N/A</v>
      </c>
      <c r="P396" s="4" t="e">
        <f t="shared" si="30"/>
        <v>#N/A</v>
      </c>
      <c r="Q396" s="4" t="e">
        <f t="shared" si="31"/>
        <v>#N/A</v>
      </c>
      <c r="R396" s="4" t="e">
        <f>IF(AND(B396=1,N396&gt;'Line Follower'!$C$7,SUM(C396:K396)&lt;4),1,0)</f>
        <v>#N/A</v>
      </c>
      <c r="S396" s="4" t="e">
        <f>IF(AND(L396=1,N396&lt;'Line Follower'!$C$6,SUM(C396:K396)&lt;4),1,0)</f>
        <v>#N/A</v>
      </c>
      <c r="T396" s="4" t="e">
        <f t="shared" si="32"/>
        <v>#N/A</v>
      </c>
      <c r="U396" s="5" t="e">
        <f t="shared" si="33"/>
        <v>#N/A</v>
      </c>
      <c r="V396" s="23" t="e">
        <f t="shared" si="34"/>
        <v>#N/A</v>
      </c>
    </row>
    <row r="397" spans="2:22" x14ac:dyDescent="0.25">
      <c r="B397" s="16">
        <v>0</v>
      </c>
      <c r="C397" s="7">
        <v>1</v>
      </c>
      <c r="D397" s="8">
        <v>0</v>
      </c>
      <c r="E397" s="8">
        <v>1</v>
      </c>
      <c r="F397" s="8">
        <v>0</v>
      </c>
      <c r="G397" s="8">
        <v>0</v>
      </c>
      <c r="H397" s="8">
        <v>0</v>
      </c>
      <c r="I397" s="8">
        <v>1</v>
      </c>
      <c r="J397" s="8">
        <v>1</v>
      </c>
      <c r="K397" s="9">
        <v>0</v>
      </c>
      <c r="L397" s="10">
        <v>0</v>
      </c>
      <c r="M397" s="6">
        <v>0</v>
      </c>
      <c r="N397" s="37" t="e" cm="1">
        <f t="array" ref="N397">IF(OR(ISNUMBER(FIND(Aux!$D$3:$D$9,_xlfn.TEXTJOIN(,,C397:K397)))),NA(),IF(AND(SUM(C397:F397,H397:K397)=0,G397=1),0,INT((SUMPRODUCT(C397:F397,COLUMN($A$1:$D$1)-1)+SUMPRODUCT(H397:K397,COLUMN($E$1:$H$1)-1))*'Line Follower'!$C$3/SUM(C397:F397,H397:K397)-'Line Follower'!$C$5)))</f>
        <v>#N/A</v>
      </c>
      <c r="O397" s="22" t="e">
        <v>#N/A</v>
      </c>
      <c r="P397" s="4" t="e">
        <f t="shared" si="30"/>
        <v>#N/A</v>
      </c>
      <c r="Q397" s="4" t="e">
        <f t="shared" si="31"/>
        <v>#N/A</v>
      </c>
      <c r="R397" s="4" t="e">
        <f>IF(AND(B397=1,N397&gt;'Line Follower'!$C$7,SUM(C397:K397)&lt;4),1,0)</f>
        <v>#N/A</v>
      </c>
      <c r="S397" s="4" t="e">
        <f>IF(AND(L397=1,N397&lt;'Line Follower'!$C$6,SUM(C397:K397)&lt;4),1,0)</f>
        <v>#N/A</v>
      </c>
      <c r="T397" s="4" t="e">
        <f t="shared" si="32"/>
        <v>#N/A</v>
      </c>
      <c r="U397" s="5" t="e">
        <f t="shared" si="33"/>
        <v>#N/A</v>
      </c>
      <c r="V397" s="23" t="e">
        <f t="shared" si="34"/>
        <v>#N/A</v>
      </c>
    </row>
    <row r="398" spans="2:22" x14ac:dyDescent="0.25">
      <c r="B398" s="16">
        <v>1</v>
      </c>
      <c r="C398" s="7">
        <v>1</v>
      </c>
      <c r="D398" s="8">
        <v>0</v>
      </c>
      <c r="E398" s="8">
        <v>1</v>
      </c>
      <c r="F398" s="8">
        <v>0</v>
      </c>
      <c r="G398" s="8">
        <v>0</v>
      </c>
      <c r="H398" s="8">
        <v>0</v>
      </c>
      <c r="I398" s="8">
        <v>1</v>
      </c>
      <c r="J398" s="8">
        <v>1</v>
      </c>
      <c r="K398" s="9">
        <v>0</v>
      </c>
      <c r="L398" s="10">
        <v>0</v>
      </c>
      <c r="M398" s="6">
        <v>0</v>
      </c>
      <c r="N398" s="37" t="e" cm="1">
        <f t="array" ref="N398">IF(OR(ISNUMBER(FIND(Aux!$D$3:$D$9,_xlfn.TEXTJOIN(,,C398:K398)))),NA(),IF(AND(SUM(C398:F398,H398:K398)=0,G398=1),0,INT((SUMPRODUCT(C398:F398,COLUMN($A$1:$D$1)-1)+SUMPRODUCT(H398:K398,COLUMN($E$1:$H$1)-1))*'Line Follower'!$C$3/SUM(C398:F398,H398:K398)-'Line Follower'!$C$5)))</f>
        <v>#N/A</v>
      </c>
      <c r="O398" s="22" t="e">
        <v>#N/A</v>
      </c>
      <c r="P398" s="4" t="e">
        <f t="shared" si="30"/>
        <v>#N/A</v>
      </c>
      <c r="Q398" s="4" t="e">
        <f t="shared" si="31"/>
        <v>#N/A</v>
      </c>
      <c r="R398" s="4" t="e">
        <f>IF(AND(B398=1,N398&gt;'Line Follower'!$C$7,SUM(C398:K398)&lt;4),1,0)</f>
        <v>#N/A</v>
      </c>
      <c r="S398" s="4" t="e">
        <f>IF(AND(L398=1,N398&lt;'Line Follower'!$C$6,SUM(C398:K398)&lt;4),1,0)</f>
        <v>#N/A</v>
      </c>
      <c r="T398" s="4" t="e">
        <f t="shared" si="32"/>
        <v>#N/A</v>
      </c>
      <c r="U398" s="5" t="e">
        <f t="shared" si="33"/>
        <v>#N/A</v>
      </c>
      <c r="V398" s="23" t="e">
        <f t="shared" si="34"/>
        <v>#N/A</v>
      </c>
    </row>
    <row r="399" spans="2:22" x14ac:dyDescent="0.25">
      <c r="B399" s="16">
        <v>0</v>
      </c>
      <c r="C399" s="7">
        <v>0</v>
      </c>
      <c r="D399" s="8">
        <v>1</v>
      </c>
      <c r="E399" s="8">
        <v>1</v>
      </c>
      <c r="F399" s="8">
        <v>0</v>
      </c>
      <c r="G399" s="8">
        <v>0</v>
      </c>
      <c r="H399" s="8">
        <v>0</v>
      </c>
      <c r="I399" s="8">
        <v>1</v>
      </c>
      <c r="J399" s="8">
        <v>1</v>
      </c>
      <c r="K399" s="9">
        <v>0</v>
      </c>
      <c r="L399" s="10">
        <v>0</v>
      </c>
      <c r="M399" s="6">
        <v>0</v>
      </c>
      <c r="N399" s="37" t="e" cm="1">
        <f t="array" ref="N399">IF(OR(ISNUMBER(FIND(Aux!$D$3:$D$9,_xlfn.TEXTJOIN(,,C399:K399)))),NA(),IF(AND(SUM(C399:F399,H399:K399)=0,G399=1),0,INT((SUMPRODUCT(C399:F399,COLUMN($A$1:$D$1)-1)+SUMPRODUCT(H399:K399,COLUMN($E$1:$H$1)-1))*'Line Follower'!$C$3/SUM(C399:F399,H399:K399)-'Line Follower'!$C$5)))</f>
        <v>#N/A</v>
      </c>
      <c r="O399" s="22" t="e">
        <v>#N/A</v>
      </c>
      <c r="P399" s="4" t="e">
        <f t="shared" si="30"/>
        <v>#N/A</v>
      </c>
      <c r="Q399" s="4" t="e">
        <f t="shared" si="31"/>
        <v>#N/A</v>
      </c>
      <c r="R399" s="4" t="e">
        <f>IF(AND(B399=1,N399&gt;'Line Follower'!$C$7,SUM(C399:K399)&lt;4),1,0)</f>
        <v>#N/A</v>
      </c>
      <c r="S399" s="4" t="e">
        <f>IF(AND(L399=1,N399&lt;'Line Follower'!$C$6,SUM(C399:K399)&lt;4),1,0)</f>
        <v>#N/A</v>
      </c>
      <c r="T399" s="4" t="e">
        <f t="shared" si="32"/>
        <v>#N/A</v>
      </c>
      <c r="U399" s="5" t="e">
        <f t="shared" si="33"/>
        <v>#N/A</v>
      </c>
      <c r="V399" s="23" t="e">
        <f t="shared" si="34"/>
        <v>#N/A</v>
      </c>
    </row>
    <row r="400" spans="2:22" x14ac:dyDescent="0.25">
      <c r="B400" s="16">
        <v>1</v>
      </c>
      <c r="C400" s="7">
        <v>0</v>
      </c>
      <c r="D400" s="8">
        <v>1</v>
      </c>
      <c r="E400" s="8">
        <v>1</v>
      </c>
      <c r="F400" s="8">
        <v>0</v>
      </c>
      <c r="G400" s="8">
        <v>0</v>
      </c>
      <c r="H400" s="8">
        <v>0</v>
      </c>
      <c r="I400" s="8">
        <v>1</v>
      </c>
      <c r="J400" s="8">
        <v>1</v>
      </c>
      <c r="K400" s="9">
        <v>0</v>
      </c>
      <c r="L400" s="10">
        <v>0</v>
      </c>
      <c r="M400" s="6">
        <v>0</v>
      </c>
      <c r="N400" s="37" t="e" cm="1">
        <f t="array" ref="N400">IF(OR(ISNUMBER(FIND(Aux!$D$3:$D$9,_xlfn.TEXTJOIN(,,C400:K400)))),NA(),IF(AND(SUM(C400:F400,H400:K400)=0,G400=1),0,INT((SUMPRODUCT(C400:F400,COLUMN($A$1:$D$1)-1)+SUMPRODUCT(H400:K400,COLUMN($E$1:$H$1)-1))*'Line Follower'!$C$3/SUM(C400:F400,H400:K400)-'Line Follower'!$C$5)))</f>
        <v>#N/A</v>
      </c>
      <c r="O400" s="22" t="e">
        <v>#N/A</v>
      </c>
      <c r="P400" s="4" t="e">
        <f t="shared" si="30"/>
        <v>#N/A</v>
      </c>
      <c r="Q400" s="4" t="e">
        <f t="shared" si="31"/>
        <v>#N/A</v>
      </c>
      <c r="R400" s="4" t="e">
        <f>IF(AND(B400=1,N400&gt;'Line Follower'!$C$7,SUM(C400:K400)&lt;4),1,0)</f>
        <v>#N/A</v>
      </c>
      <c r="S400" s="4" t="e">
        <f>IF(AND(L400=1,N400&lt;'Line Follower'!$C$6,SUM(C400:K400)&lt;4),1,0)</f>
        <v>#N/A</v>
      </c>
      <c r="T400" s="4" t="e">
        <f t="shared" si="32"/>
        <v>#N/A</v>
      </c>
      <c r="U400" s="5" t="e">
        <f t="shared" si="33"/>
        <v>#N/A</v>
      </c>
      <c r="V400" s="23" t="e">
        <f t="shared" si="34"/>
        <v>#N/A</v>
      </c>
    </row>
    <row r="401" spans="2:22" x14ac:dyDescent="0.25">
      <c r="B401" s="16">
        <v>0</v>
      </c>
      <c r="C401" s="7">
        <v>1</v>
      </c>
      <c r="D401" s="8">
        <v>1</v>
      </c>
      <c r="E401" s="8">
        <v>1</v>
      </c>
      <c r="F401" s="8">
        <v>0</v>
      </c>
      <c r="G401" s="8">
        <v>0</v>
      </c>
      <c r="H401" s="8">
        <v>0</v>
      </c>
      <c r="I401" s="8">
        <v>1</v>
      </c>
      <c r="J401" s="8">
        <v>1</v>
      </c>
      <c r="K401" s="9">
        <v>0</v>
      </c>
      <c r="L401" s="10">
        <v>0</v>
      </c>
      <c r="M401" s="6">
        <v>0</v>
      </c>
      <c r="N401" s="37" t="e" cm="1">
        <f t="array" ref="N401">IF(OR(ISNUMBER(FIND(Aux!$D$3:$D$9,_xlfn.TEXTJOIN(,,C401:K401)))),NA(),IF(AND(SUM(C401:F401,H401:K401)=0,G401=1),0,INT((SUMPRODUCT(C401:F401,COLUMN($A$1:$D$1)-1)+SUMPRODUCT(H401:K401,COLUMN($E$1:$H$1)-1))*'Line Follower'!$C$3/SUM(C401:F401,H401:K401)-'Line Follower'!$C$5)))</f>
        <v>#N/A</v>
      </c>
      <c r="O401" s="22" t="e">
        <v>#N/A</v>
      </c>
      <c r="P401" s="4" t="e">
        <f t="shared" si="30"/>
        <v>#N/A</v>
      </c>
      <c r="Q401" s="4" t="e">
        <f t="shared" si="31"/>
        <v>#N/A</v>
      </c>
      <c r="R401" s="4" t="e">
        <f>IF(AND(B401=1,N401&gt;'Line Follower'!$C$7,SUM(C401:K401)&lt;4),1,0)</f>
        <v>#N/A</v>
      </c>
      <c r="S401" s="4" t="e">
        <f>IF(AND(L401=1,N401&lt;'Line Follower'!$C$6,SUM(C401:K401)&lt;4),1,0)</f>
        <v>#N/A</v>
      </c>
      <c r="T401" s="4" t="e">
        <f t="shared" si="32"/>
        <v>#N/A</v>
      </c>
      <c r="U401" s="5" t="e">
        <f t="shared" si="33"/>
        <v>#N/A</v>
      </c>
      <c r="V401" s="23" t="e">
        <f t="shared" si="34"/>
        <v>#N/A</v>
      </c>
    </row>
    <row r="402" spans="2:22" x14ac:dyDescent="0.25">
      <c r="B402" s="16">
        <v>1</v>
      </c>
      <c r="C402" s="7">
        <v>1</v>
      </c>
      <c r="D402" s="8">
        <v>1</v>
      </c>
      <c r="E402" s="8">
        <v>1</v>
      </c>
      <c r="F402" s="8">
        <v>0</v>
      </c>
      <c r="G402" s="8">
        <v>0</v>
      </c>
      <c r="H402" s="8">
        <v>0</v>
      </c>
      <c r="I402" s="8">
        <v>1</v>
      </c>
      <c r="J402" s="8">
        <v>1</v>
      </c>
      <c r="K402" s="9">
        <v>0</v>
      </c>
      <c r="L402" s="10">
        <v>0</v>
      </c>
      <c r="M402" s="6">
        <v>0</v>
      </c>
      <c r="N402" s="37" t="e" cm="1">
        <f t="array" ref="N402">IF(OR(ISNUMBER(FIND(Aux!$D$3:$D$9,_xlfn.TEXTJOIN(,,C402:K402)))),NA(),IF(AND(SUM(C402:F402,H402:K402)=0,G402=1),0,INT((SUMPRODUCT(C402:F402,COLUMN($A$1:$D$1)-1)+SUMPRODUCT(H402:K402,COLUMN($E$1:$H$1)-1))*'Line Follower'!$C$3/SUM(C402:F402,H402:K402)-'Line Follower'!$C$5)))</f>
        <v>#N/A</v>
      </c>
      <c r="O402" s="22" t="e">
        <v>#N/A</v>
      </c>
      <c r="P402" s="4" t="e">
        <f t="shared" si="30"/>
        <v>#N/A</v>
      </c>
      <c r="Q402" s="4" t="e">
        <f t="shared" si="31"/>
        <v>#N/A</v>
      </c>
      <c r="R402" s="4" t="e">
        <f>IF(AND(B402=1,N402&gt;'Line Follower'!$C$7,SUM(C402:K402)&lt;4),1,0)</f>
        <v>#N/A</v>
      </c>
      <c r="S402" s="4" t="e">
        <f>IF(AND(L402=1,N402&lt;'Line Follower'!$C$6,SUM(C402:K402)&lt;4),1,0)</f>
        <v>#N/A</v>
      </c>
      <c r="T402" s="4" t="e">
        <f t="shared" si="32"/>
        <v>#N/A</v>
      </c>
      <c r="U402" s="5" t="e">
        <f t="shared" si="33"/>
        <v>#N/A</v>
      </c>
      <c r="V402" s="23" t="e">
        <f t="shared" si="34"/>
        <v>#N/A</v>
      </c>
    </row>
    <row r="403" spans="2:22" x14ac:dyDescent="0.25">
      <c r="B403" s="16">
        <v>0</v>
      </c>
      <c r="C403" s="7">
        <v>0</v>
      </c>
      <c r="D403" s="8">
        <v>0</v>
      </c>
      <c r="E403" s="8">
        <v>0</v>
      </c>
      <c r="F403" s="8">
        <v>1</v>
      </c>
      <c r="G403" s="8">
        <v>0</v>
      </c>
      <c r="H403" s="8">
        <v>0</v>
      </c>
      <c r="I403" s="8">
        <v>1</v>
      </c>
      <c r="J403" s="8">
        <v>1</v>
      </c>
      <c r="K403" s="9">
        <v>0</v>
      </c>
      <c r="L403" s="10">
        <v>0</v>
      </c>
      <c r="M403" s="6">
        <v>0</v>
      </c>
      <c r="N403" s="37" t="e" cm="1">
        <f t="array" ref="N403">IF(OR(ISNUMBER(FIND(Aux!$D$3:$D$9,_xlfn.TEXTJOIN(,,C403:K403)))),NA(),IF(AND(SUM(C403:F403,H403:K403)=0,G403=1),0,INT((SUMPRODUCT(C403:F403,COLUMN($A$1:$D$1)-1)+SUMPRODUCT(H403:K403,COLUMN($E$1:$H$1)-1))*'Line Follower'!$C$3/SUM(C403:F403,H403:K403)-'Line Follower'!$C$5)))</f>
        <v>#N/A</v>
      </c>
      <c r="O403" s="22" t="e">
        <v>#N/A</v>
      </c>
      <c r="P403" s="4" t="e">
        <f t="shared" si="30"/>
        <v>#N/A</v>
      </c>
      <c r="Q403" s="4" t="e">
        <f t="shared" si="31"/>
        <v>#N/A</v>
      </c>
      <c r="R403" s="4" t="e">
        <f>IF(AND(B403=1,N403&gt;'Line Follower'!$C$7,SUM(C403:K403)&lt;4),1,0)</f>
        <v>#N/A</v>
      </c>
      <c r="S403" s="4" t="e">
        <f>IF(AND(L403=1,N403&lt;'Line Follower'!$C$6,SUM(C403:K403)&lt;4),1,0)</f>
        <v>#N/A</v>
      </c>
      <c r="T403" s="4" t="e">
        <f t="shared" si="32"/>
        <v>#N/A</v>
      </c>
      <c r="U403" s="5" t="e">
        <f t="shared" si="33"/>
        <v>#N/A</v>
      </c>
      <c r="V403" s="23" t="e">
        <f t="shared" si="34"/>
        <v>#N/A</v>
      </c>
    </row>
    <row r="404" spans="2:22" x14ac:dyDescent="0.25">
      <c r="B404" s="16">
        <v>1</v>
      </c>
      <c r="C404" s="7">
        <v>0</v>
      </c>
      <c r="D404" s="8">
        <v>0</v>
      </c>
      <c r="E404" s="8">
        <v>0</v>
      </c>
      <c r="F404" s="8">
        <v>1</v>
      </c>
      <c r="G404" s="8">
        <v>0</v>
      </c>
      <c r="H404" s="8">
        <v>0</v>
      </c>
      <c r="I404" s="8">
        <v>1</v>
      </c>
      <c r="J404" s="8">
        <v>1</v>
      </c>
      <c r="K404" s="9">
        <v>0</v>
      </c>
      <c r="L404" s="10">
        <v>0</v>
      </c>
      <c r="M404" s="6">
        <v>0</v>
      </c>
      <c r="N404" s="37" t="e" cm="1">
        <f t="array" ref="N404">IF(OR(ISNUMBER(FIND(Aux!$D$3:$D$9,_xlfn.TEXTJOIN(,,C404:K404)))),NA(),IF(AND(SUM(C404:F404,H404:K404)=0,G404=1),0,INT((SUMPRODUCT(C404:F404,COLUMN($A$1:$D$1)-1)+SUMPRODUCT(H404:K404,COLUMN($E$1:$H$1)-1))*'Line Follower'!$C$3/SUM(C404:F404,H404:K404)-'Line Follower'!$C$5)))</f>
        <v>#N/A</v>
      </c>
      <c r="O404" s="22" t="e">
        <v>#N/A</v>
      </c>
      <c r="P404" s="4" t="e">
        <f t="shared" si="30"/>
        <v>#N/A</v>
      </c>
      <c r="Q404" s="4" t="e">
        <f t="shared" si="31"/>
        <v>#N/A</v>
      </c>
      <c r="R404" s="4" t="e">
        <f>IF(AND(B404=1,N404&gt;'Line Follower'!$C$7,SUM(C404:K404)&lt;4),1,0)</f>
        <v>#N/A</v>
      </c>
      <c r="S404" s="4" t="e">
        <f>IF(AND(L404=1,N404&lt;'Line Follower'!$C$6,SUM(C404:K404)&lt;4),1,0)</f>
        <v>#N/A</v>
      </c>
      <c r="T404" s="4" t="e">
        <f t="shared" si="32"/>
        <v>#N/A</v>
      </c>
      <c r="U404" s="5" t="e">
        <f t="shared" si="33"/>
        <v>#N/A</v>
      </c>
      <c r="V404" s="23" t="e">
        <f t="shared" si="34"/>
        <v>#N/A</v>
      </c>
    </row>
    <row r="405" spans="2:22" x14ac:dyDescent="0.25">
      <c r="B405" s="16">
        <v>0</v>
      </c>
      <c r="C405" s="7">
        <v>1</v>
      </c>
      <c r="D405" s="8">
        <v>0</v>
      </c>
      <c r="E405" s="8">
        <v>0</v>
      </c>
      <c r="F405" s="8">
        <v>1</v>
      </c>
      <c r="G405" s="8">
        <v>0</v>
      </c>
      <c r="H405" s="8">
        <v>0</v>
      </c>
      <c r="I405" s="8">
        <v>1</v>
      </c>
      <c r="J405" s="8">
        <v>1</v>
      </c>
      <c r="K405" s="9">
        <v>0</v>
      </c>
      <c r="L405" s="10">
        <v>0</v>
      </c>
      <c r="M405" s="6">
        <v>0</v>
      </c>
      <c r="N405" s="37" t="e" cm="1">
        <f t="array" ref="N405">IF(OR(ISNUMBER(FIND(Aux!$D$3:$D$9,_xlfn.TEXTJOIN(,,C405:K405)))),NA(),IF(AND(SUM(C405:F405,H405:K405)=0,G405=1),0,INT((SUMPRODUCT(C405:F405,COLUMN($A$1:$D$1)-1)+SUMPRODUCT(H405:K405,COLUMN($E$1:$H$1)-1))*'Line Follower'!$C$3/SUM(C405:F405,H405:K405)-'Line Follower'!$C$5)))</f>
        <v>#N/A</v>
      </c>
      <c r="O405" s="22" t="e">
        <v>#N/A</v>
      </c>
      <c r="P405" s="4" t="e">
        <f t="shared" si="30"/>
        <v>#N/A</v>
      </c>
      <c r="Q405" s="4" t="e">
        <f t="shared" si="31"/>
        <v>#N/A</v>
      </c>
      <c r="R405" s="4" t="e">
        <f>IF(AND(B405=1,N405&gt;'Line Follower'!$C$7,SUM(C405:K405)&lt;4),1,0)</f>
        <v>#N/A</v>
      </c>
      <c r="S405" s="4" t="e">
        <f>IF(AND(L405=1,N405&lt;'Line Follower'!$C$6,SUM(C405:K405)&lt;4),1,0)</f>
        <v>#N/A</v>
      </c>
      <c r="T405" s="4" t="e">
        <f t="shared" si="32"/>
        <v>#N/A</v>
      </c>
      <c r="U405" s="5" t="e">
        <f t="shared" si="33"/>
        <v>#N/A</v>
      </c>
      <c r="V405" s="23" t="e">
        <f t="shared" si="34"/>
        <v>#N/A</v>
      </c>
    </row>
    <row r="406" spans="2:22" x14ac:dyDescent="0.25">
      <c r="B406" s="16">
        <v>1</v>
      </c>
      <c r="C406" s="7">
        <v>1</v>
      </c>
      <c r="D406" s="8">
        <v>0</v>
      </c>
      <c r="E406" s="8">
        <v>0</v>
      </c>
      <c r="F406" s="8">
        <v>1</v>
      </c>
      <c r="G406" s="8">
        <v>0</v>
      </c>
      <c r="H406" s="8">
        <v>0</v>
      </c>
      <c r="I406" s="8">
        <v>1</v>
      </c>
      <c r="J406" s="8">
        <v>1</v>
      </c>
      <c r="K406" s="9">
        <v>0</v>
      </c>
      <c r="L406" s="10">
        <v>0</v>
      </c>
      <c r="M406" s="6">
        <v>0</v>
      </c>
      <c r="N406" s="37" t="e" cm="1">
        <f t="array" ref="N406">IF(OR(ISNUMBER(FIND(Aux!$D$3:$D$9,_xlfn.TEXTJOIN(,,C406:K406)))),NA(),IF(AND(SUM(C406:F406,H406:K406)=0,G406=1),0,INT((SUMPRODUCT(C406:F406,COLUMN($A$1:$D$1)-1)+SUMPRODUCT(H406:K406,COLUMN($E$1:$H$1)-1))*'Line Follower'!$C$3/SUM(C406:F406,H406:K406)-'Line Follower'!$C$5)))</f>
        <v>#N/A</v>
      </c>
      <c r="O406" s="22" t="e">
        <v>#N/A</v>
      </c>
      <c r="P406" s="4" t="e">
        <f t="shared" si="30"/>
        <v>#N/A</v>
      </c>
      <c r="Q406" s="4" t="e">
        <f t="shared" si="31"/>
        <v>#N/A</v>
      </c>
      <c r="R406" s="4" t="e">
        <f>IF(AND(B406=1,N406&gt;'Line Follower'!$C$7,SUM(C406:K406)&lt;4),1,0)</f>
        <v>#N/A</v>
      </c>
      <c r="S406" s="4" t="e">
        <f>IF(AND(L406=1,N406&lt;'Line Follower'!$C$6,SUM(C406:K406)&lt;4),1,0)</f>
        <v>#N/A</v>
      </c>
      <c r="T406" s="4" t="e">
        <f t="shared" si="32"/>
        <v>#N/A</v>
      </c>
      <c r="U406" s="5" t="e">
        <f t="shared" si="33"/>
        <v>#N/A</v>
      </c>
      <c r="V406" s="23" t="e">
        <f t="shared" si="34"/>
        <v>#N/A</v>
      </c>
    </row>
    <row r="407" spans="2:22" x14ac:dyDescent="0.25">
      <c r="B407" s="16">
        <v>0</v>
      </c>
      <c r="C407" s="7">
        <v>0</v>
      </c>
      <c r="D407" s="8">
        <v>1</v>
      </c>
      <c r="E407" s="8">
        <v>0</v>
      </c>
      <c r="F407" s="8">
        <v>1</v>
      </c>
      <c r="G407" s="8">
        <v>0</v>
      </c>
      <c r="H407" s="8">
        <v>0</v>
      </c>
      <c r="I407" s="8">
        <v>1</v>
      </c>
      <c r="J407" s="8">
        <v>1</v>
      </c>
      <c r="K407" s="9">
        <v>0</v>
      </c>
      <c r="L407" s="10">
        <v>0</v>
      </c>
      <c r="M407" s="6">
        <v>0</v>
      </c>
      <c r="N407" s="37" t="e" cm="1">
        <f t="array" ref="N407">IF(OR(ISNUMBER(FIND(Aux!$D$3:$D$9,_xlfn.TEXTJOIN(,,C407:K407)))),NA(),IF(AND(SUM(C407:F407,H407:K407)=0,G407=1),0,INT((SUMPRODUCT(C407:F407,COLUMN($A$1:$D$1)-1)+SUMPRODUCT(H407:K407,COLUMN($E$1:$H$1)-1))*'Line Follower'!$C$3/SUM(C407:F407,H407:K407)-'Line Follower'!$C$5)))</f>
        <v>#N/A</v>
      </c>
      <c r="O407" s="22" t="e">
        <v>#N/A</v>
      </c>
      <c r="P407" s="4" t="e">
        <f t="shared" si="30"/>
        <v>#N/A</v>
      </c>
      <c r="Q407" s="4" t="e">
        <f t="shared" si="31"/>
        <v>#N/A</v>
      </c>
      <c r="R407" s="4" t="e">
        <f>IF(AND(B407=1,N407&gt;'Line Follower'!$C$7,SUM(C407:K407)&lt;4),1,0)</f>
        <v>#N/A</v>
      </c>
      <c r="S407" s="4" t="e">
        <f>IF(AND(L407=1,N407&lt;'Line Follower'!$C$6,SUM(C407:K407)&lt;4),1,0)</f>
        <v>#N/A</v>
      </c>
      <c r="T407" s="4" t="e">
        <f t="shared" si="32"/>
        <v>#N/A</v>
      </c>
      <c r="U407" s="5" t="e">
        <f t="shared" si="33"/>
        <v>#N/A</v>
      </c>
      <c r="V407" s="23" t="e">
        <f t="shared" si="34"/>
        <v>#N/A</v>
      </c>
    </row>
    <row r="408" spans="2:22" x14ac:dyDescent="0.25">
      <c r="B408" s="16">
        <v>1</v>
      </c>
      <c r="C408" s="7">
        <v>0</v>
      </c>
      <c r="D408" s="8">
        <v>1</v>
      </c>
      <c r="E408" s="8">
        <v>0</v>
      </c>
      <c r="F408" s="8">
        <v>1</v>
      </c>
      <c r="G408" s="8">
        <v>0</v>
      </c>
      <c r="H408" s="8">
        <v>0</v>
      </c>
      <c r="I408" s="8">
        <v>1</v>
      </c>
      <c r="J408" s="8">
        <v>1</v>
      </c>
      <c r="K408" s="9">
        <v>0</v>
      </c>
      <c r="L408" s="10">
        <v>0</v>
      </c>
      <c r="M408" s="6">
        <v>0</v>
      </c>
      <c r="N408" s="37" t="e" cm="1">
        <f t="array" ref="N408">IF(OR(ISNUMBER(FIND(Aux!$D$3:$D$9,_xlfn.TEXTJOIN(,,C408:K408)))),NA(),IF(AND(SUM(C408:F408,H408:K408)=0,G408=1),0,INT((SUMPRODUCT(C408:F408,COLUMN($A$1:$D$1)-1)+SUMPRODUCT(H408:K408,COLUMN($E$1:$H$1)-1))*'Line Follower'!$C$3/SUM(C408:F408,H408:K408)-'Line Follower'!$C$5)))</f>
        <v>#N/A</v>
      </c>
      <c r="O408" s="22" t="e">
        <v>#N/A</v>
      </c>
      <c r="P408" s="4" t="e">
        <f t="shared" si="30"/>
        <v>#N/A</v>
      </c>
      <c r="Q408" s="4" t="e">
        <f t="shared" si="31"/>
        <v>#N/A</v>
      </c>
      <c r="R408" s="4" t="e">
        <f>IF(AND(B408=1,N408&gt;'Line Follower'!$C$7,SUM(C408:K408)&lt;4),1,0)</f>
        <v>#N/A</v>
      </c>
      <c r="S408" s="4" t="e">
        <f>IF(AND(L408=1,N408&lt;'Line Follower'!$C$6,SUM(C408:K408)&lt;4),1,0)</f>
        <v>#N/A</v>
      </c>
      <c r="T408" s="4" t="e">
        <f t="shared" si="32"/>
        <v>#N/A</v>
      </c>
      <c r="U408" s="5" t="e">
        <f t="shared" si="33"/>
        <v>#N/A</v>
      </c>
      <c r="V408" s="23" t="e">
        <f t="shared" si="34"/>
        <v>#N/A</v>
      </c>
    </row>
    <row r="409" spans="2:22" x14ac:dyDescent="0.25">
      <c r="B409" s="16">
        <v>0</v>
      </c>
      <c r="C409" s="7">
        <v>1</v>
      </c>
      <c r="D409" s="8">
        <v>1</v>
      </c>
      <c r="E409" s="8">
        <v>0</v>
      </c>
      <c r="F409" s="8">
        <v>1</v>
      </c>
      <c r="G409" s="8">
        <v>0</v>
      </c>
      <c r="H409" s="8">
        <v>0</v>
      </c>
      <c r="I409" s="8">
        <v>1</v>
      </c>
      <c r="J409" s="8">
        <v>1</v>
      </c>
      <c r="K409" s="9">
        <v>0</v>
      </c>
      <c r="L409" s="10">
        <v>0</v>
      </c>
      <c r="M409" s="6">
        <v>0</v>
      </c>
      <c r="N409" s="37" t="e" cm="1">
        <f t="array" ref="N409">IF(OR(ISNUMBER(FIND(Aux!$D$3:$D$9,_xlfn.TEXTJOIN(,,C409:K409)))),NA(),IF(AND(SUM(C409:F409,H409:K409)=0,G409=1),0,INT((SUMPRODUCT(C409:F409,COLUMN($A$1:$D$1)-1)+SUMPRODUCT(H409:K409,COLUMN($E$1:$H$1)-1))*'Line Follower'!$C$3/SUM(C409:F409,H409:K409)-'Line Follower'!$C$5)))</f>
        <v>#N/A</v>
      </c>
      <c r="O409" s="22" t="e">
        <v>#N/A</v>
      </c>
      <c r="P409" s="4" t="e">
        <f t="shared" si="30"/>
        <v>#N/A</v>
      </c>
      <c r="Q409" s="4" t="e">
        <f t="shared" si="31"/>
        <v>#N/A</v>
      </c>
      <c r="R409" s="4" t="e">
        <f>IF(AND(B409=1,N409&gt;'Line Follower'!$C$7,SUM(C409:K409)&lt;4),1,0)</f>
        <v>#N/A</v>
      </c>
      <c r="S409" s="4" t="e">
        <f>IF(AND(L409=1,N409&lt;'Line Follower'!$C$6,SUM(C409:K409)&lt;4),1,0)</f>
        <v>#N/A</v>
      </c>
      <c r="T409" s="4" t="e">
        <f t="shared" si="32"/>
        <v>#N/A</v>
      </c>
      <c r="U409" s="5" t="e">
        <f t="shared" si="33"/>
        <v>#N/A</v>
      </c>
      <c r="V409" s="23" t="e">
        <f t="shared" si="34"/>
        <v>#N/A</v>
      </c>
    </row>
    <row r="410" spans="2:22" x14ac:dyDescent="0.25">
      <c r="B410" s="16">
        <v>1</v>
      </c>
      <c r="C410" s="7">
        <v>1</v>
      </c>
      <c r="D410" s="8">
        <v>1</v>
      </c>
      <c r="E410" s="8">
        <v>0</v>
      </c>
      <c r="F410" s="8">
        <v>1</v>
      </c>
      <c r="G410" s="8">
        <v>0</v>
      </c>
      <c r="H410" s="8">
        <v>0</v>
      </c>
      <c r="I410" s="8">
        <v>1</v>
      </c>
      <c r="J410" s="8">
        <v>1</v>
      </c>
      <c r="K410" s="9">
        <v>0</v>
      </c>
      <c r="L410" s="10">
        <v>0</v>
      </c>
      <c r="M410" s="6">
        <v>0</v>
      </c>
      <c r="N410" s="37" t="e" cm="1">
        <f t="array" ref="N410">IF(OR(ISNUMBER(FIND(Aux!$D$3:$D$9,_xlfn.TEXTJOIN(,,C410:K410)))),NA(),IF(AND(SUM(C410:F410,H410:K410)=0,G410=1),0,INT((SUMPRODUCT(C410:F410,COLUMN($A$1:$D$1)-1)+SUMPRODUCT(H410:K410,COLUMN($E$1:$H$1)-1))*'Line Follower'!$C$3/SUM(C410:F410,H410:K410)-'Line Follower'!$C$5)))</f>
        <v>#N/A</v>
      </c>
      <c r="O410" s="22" t="e">
        <v>#N/A</v>
      </c>
      <c r="P410" s="4" t="e">
        <f t="shared" si="30"/>
        <v>#N/A</v>
      </c>
      <c r="Q410" s="4" t="e">
        <f t="shared" si="31"/>
        <v>#N/A</v>
      </c>
      <c r="R410" s="4" t="e">
        <f>IF(AND(B410=1,N410&gt;'Line Follower'!$C$7,SUM(C410:K410)&lt;4),1,0)</f>
        <v>#N/A</v>
      </c>
      <c r="S410" s="4" t="e">
        <f>IF(AND(L410=1,N410&lt;'Line Follower'!$C$6,SUM(C410:K410)&lt;4),1,0)</f>
        <v>#N/A</v>
      </c>
      <c r="T410" s="4" t="e">
        <f t="shared" si="32"/>
        <v>#N/A</v>
      </c>
      <c r="U410" s="5" t="e">
        <f t="shared" si="33"/>
        <v>#N/A</v>
      </c>
      <c r="V410" s="23" t="e">
        <f t="shared" si="34"/>
        <v>#N/A</v>
      </c>
    </row>
    <row r="411" spans="2:22" x14ac:dyDescent="0.25">
      <c r="B411" s="16">
        <v>0</v>
      </c>
      <c r="C411" s="7">
        <v>0</v>
      </c>
      <c r="D411" s="8">
        <v>0</v>
      </c>
      <c r="E411" s="8">
        <v>1</v>
      </c>
      <c r="F411" s="8">
        <v>1</v>
      </c>
      <c r="G411" s="8">
        <v>0</v>
      </c>
      <c r="H411" s="8">
        <v>0</v>
      </c>
      <c r="I411" s="8">
        <v>1</v>
      </c>
      <c r="J411" s="8">
        <v>1</v>
      </c>
      <c r="K411" s="9">
        <v>0</v>
      </c>
      <c r="L411" s="10">
        <v>0</v>
      </c>
      <c r="M411" s="6">
        <v>0</v>
      </c>
      <c r="N411" s="37" t="e" cm="1">
        <f t="array" ref="N411">IF(OR(ISNUMBER(FIND(Aux!$D$3:$D$9,_xlfn.TEXTJOIN(,,C411:K411)))),NA(),IF(AND(SUM(C411:F411,H411:K411)=0,G411=1),0,INT((SUMPRODUCT(C411:F411,COLUMN($A$1:$D$1)-1)+SUMPRODUCT(H411:K411,COLUMN($E$1:$H$1)-1))*'Line Follower'!$C$3/SUM(C411:F411,H411:K411)-'Line Follower'!$C$5)))</f>
        <v>#N/A</v>
      </c>
      <c r="O411" s="22" t="e">
        <v>#N/A</v>
      </c>
      <c r="P411" s="4" t="e">
        <f t="shared" si="30"/>
        <v>#N/A</v>
      </c>
      <c r="Q411" s="4" t="e">
        <f t="shared" si="31"/>
        <v>#N/A</v>
      </c>
      <c r="R411" s="4" t="e">
        <f>IF(AND(B411=1,N411&gt;'Line Follower'!$C$7,SUM(C411:K411)&lt;4),1,0)</f>
        <v>#N/A</v>
      </c>
      <c r="S411" s="4" t="e">
        <f>IF(AND(L411=1,N411&lt;'Line Follower'!$C$6,SUM(C411:K411)&lt;4),1,0)</f>
        <v>#N/A</v>
      </c>
      <c r="T411" s="4" t="e">
        <f t="shared" si="32"/>
        <v>#N/A</v>
      </c>
      <c r="U411" s="5" t="e">
        <f t="shared" si="33"/>
        <v>#N/A</v>
      </c>
      <c r="V411" s="23" t="e">
        <f t="shared" si="34"/>
        <v>#N/A</v>
      </c>
    </row>
    <row r="412" spans="2:22" x14ac:dyDescent="0.25">
      <c r="B412" s="16">
        <v>1</v>
      </c>
      <c r="C412" s="7">
        <v>0</v>
      </c>
      <c r="D412" s="8">
        <v>0</v>
      </c>
      <c r="E412" s="8">
        <v>1</v>
      </c>
      <c r="F412" s="8">
        <v>1</v>
      </c>
      <c r="G412" s="8">
        <v>0</v>
      </c>
      <c r="H412" s="8">
        <v>0</v>
      </c>
      <c r="I412" s="8">
        <v>1</v>
      </c>
      <c r="J412" s="8">
        <v>1</v>
      </c>
      <c r="K412" s="9">
        <v>0</v>
      </c>
      <c r="L412" s="10">
        <v>0</v>
      </c>
      <c r="M412" s="6">
        <v>0</v>
      </c>
      <c r="N412" s="37" t="e" cm="1">
        <f t="array" ref="N412">IF(OR(ISNUMBER(FIND(Aux!$D$3:$D$9,_xlfn.TEXTJOIN(,,C412:K412)))),NA(),IF(AND(SUM(C412:F412,H412:K412)=0,G412=1),0,INT((SUMPRODUCT(C412:F412,COLUMN($A$1:$D$1)-1)+SUMPRODUCT(H412:K412,COLUMN($E$1:$H$1)-1))*'Line Follower'!$C$3/SUM(C412:F412,H412:K412)-'Line Follower'!$C$5)))</f>
        <v>#N/A</v>
      </c>
      <c r="O412" s="22" t="e">
        <v>#N/A</v>
      </c>
      <c r="P412" s="4" t="e">
        <f t="shared" si="30"/>
        <v>#N/A</v>
      </c>
      <c r="Q412" s="4" t="e">
        <f t="shared" si="31"/>
        <v>#N/A</v>
      </c>
      <c r="R412" s="4" t="e">
        <f>IF(AND(B412=1,N412&gt;'Line Follower'!$C$7,SUM(C412:K412)&lt;4),1,0)</f>
        <v>#N/A</v>
      </c>
      <c r="S412" s="4" t="e">
        <f>IF(AND(L412=1,N412&lt;'Line Follower'!$C$6,SUM(C412:K412)&lt;4),1,0)</f>
        <v>#N/A</v>
      </c>
      <c r="T412" s="4" t="e">
        <f t="shared" si="32"/>
        <v>#N/A</v>
      </c>
      <c r="U412" s="5" t="e">
        <f t="shared" si="33"/>
        <v>#N/A</v>
      </c>
      <c r="V412" s="23" t="e">
        <f t="shared" si="34"/>
        <v>#N/A</v>
      </c>
    </row>
    <row r="413" spans="2:22" x14ac:dyDescent="0.25">
      <c r="B413" s="16">
        <v>0</v>
      </c>
      <c r="C413" s="7">
        <v>1</v>
      </c>
      <c r="D413" s="8">
        <v>0</v>
      </c>
      <c r="E413" s="8">
        <v>1</v>
      </c>
      <c r="F413" s="8">
        <v>1</v>
      </c>
      <c r="G413" s="8">
        <v>0</v>
      </c>
      <c r="H413" s="8">
        <v>0</v>
      </c>
      <c r="I413" s="8">
        <v>1</v>
      </c>
      <c r="J413" s="8">
        <v>1</v>
      </c>
      <c r="K413" s="9">
        <v>0</v>
      </c>
      <c r="L413" s="10">
        <v>0</v>
      </c>
      <c r="M413" s="6">
        <v>0</v>
      </c>
      <c r="N413" s="37" t="e" cm="1">
        <f t="array" ref="N413">IF(OR(ISNUMBER(FIND(Aux!$D$3:$D$9,_xlfn.TEXTJOIN(,,C413:K413)))),NA(),IF(AND(SUM(C413:F413,H413:K413)=0,G413=1),0,INT((SUMPRODUCT(C413:F413,COLUMN($A$1:$D$1)-1)+SUMPRODUCT(H413:K413,COLUMN($E$1:$H$1)-1))*'Line Follower'!$C$3/SUM(C413:F413,H413:K413)-'Line Follower'!$C$5)))</f>
        <v>#N/A</v>
      </c>
      <c r="O413" s="22" t="e">
        <v>#N/A</v>
      </c>
      <c r="P413" s="4" t="e">
        <f t="shared" si="30"/>
        <v>#N/A</v>
      </c>
      <c r="Q413" s="4" t="e">
        <f t="shared" si="31"/>
        <v>#N/A</v>
      </c>
      <c r="R413" s="4" t="e">
        <f>IF(AND(B413=1,N413&gt;'Line Follower'!$C$7,SUM(C413:K413)&lt;4),1,0)</f>
        <v>#N/A</v>
      </c>
      <c r="S413" s="4" t="e">
        <f>IF(AND(L413=1,N413&lt;'Line Follower'!$C$6,SUM(C413:K413)&lt;4),1,0)</f>
        <v>#N/A</v>
      </c>
      <c r="T413" s="4" t="e">
        <f t="shared" si="32"/>
        <v>#N/A</v>
      </c>
      <c r="U413" s="5" t="e">
        <f t="shared" si="33"/>
        <v>#N/A</v>
      </c>
      <c r="V413" s="23" t="e">
        <f t="shared" si="34"/>
        <v>#N/A</v>
      </c>
    </row>
    <row r="414" spans="2:22" x14ac:dyDescent="0.25">
      <c r="B414" s="16">
        <v>1</v>
      </c>
      <c r="C414" s="7">
        <v>1</v>
      </c>
      <c r="D414" s="8">
        <v>0</v>
      </c>
      <c r="E414" s="8">
        <v>1</v>
      </c>
      <c r="F414" s="8">
        <v>1</v>
      </c>
      <c r="G414" s="8">
        <v>0</v>
      </c>
      <c r="H414" s="8">
        <v>0</v>
      </c>
      <c r="I414" s="8">
        <v>1</v>
      </c>
      <c r="J414" s="8">
        <v>1</v>
      </c>
      <c r="K414" s="9">
        <v>0</v>
      </c>
      <c r="L414" s="10">
        <v>0</v>
      </c>
      <c r="M414" s="6">
        <v>0</v>
      </c>
      <c r="N414" s="37" t="e" cm="1">
        <f t="array" ref="N414">IF(OR(ISNUMBER(FIND(Aux!$D$3:$D$9,_xlfn.TEXTJOIN(,,C414:K414)))),NA(),IF(AND(SUM(C414:F414,H414:K414)=0,G414=1),0,INT((SUMPRODUCT(C414:F414,COLUMN($A$1:$D$1)-1)+SUMPRODUCT(H414:K414,COLUMN($E$1:$H$1)-1))*'Line Follower'!$C$3/SUM(C414:F414,H414:K414)-'Line Follower'!$C$5)))</f>
        <v>#N/A</v>
      </c>
      <c r="O414" s="22" t="e">
        <v>#N/A</v>
      </c>
      <c r="P414" s="4" t="e">
        <f t="shared" si="30"/>
        <v>#N/A</v>
      </c>
      <c r="Q414" s="4" t="e">
        <f t="shared" si="31"/>
        <v>#N/A</v>
      </c>
      <c r="R414" s="4" t="e">
        <f>IF(AND(B414=1,N414&gt;'Line Follower'!$C$7,SUM(C414:K414)&lt;4),1,0)</f>
        <v>#N/A</v>
      </c>
      <c r="S414" s="4" t="e">
        <f>IF(AND(L414=1,N414&lt;'Line Follower'!$C$6,SUM(C414:K414)&lt;4),1,0)</f>
        <v>#N/A</v>
      </c>
      <c r="T414" s="4" t="e">
        <f t="shared" si="32"/>
        <v>#N/A</v>
      </c>
      <c r="U414" s="5" t="e">
        <f t="shared" si="33"/>
        <v>#N/A</v>
      </c>
      <c r="V414" s="23" t="e">
        <f t="shared" si="34"/>
        <v>#N/A</v>
      </c>
    </row>
    <row r="415" spans="2:22" x14ac:dyDescent="0.25">
      <c r="B415" s="16">
        <v>0</v>
      </c>
      <c r="C415" s="7">
        <v>0</v>
      </c>
      <c r="D415" s="8">
        <v>1</v>
      </c>
      <c r="E415" s="8">
        <v>1</v>
      </c>
      <c r="F415" s="8">
        <v>1</v>
      </c>
      <c r="G415" s="8">
        <v>0</v>
      </c>
      <c r="H415" s="8">
        <v>0</v>
      </c>
      <c r="I415" s="8">
        <v>1</v>
      </c>
      <c r="J415" s="8">
        <v>1</v>
      </c>
      <c r="K415" s="9">
        <v>0</v>
      </c>
      <c r="L415" s="10">
        <v>0</v>
      </c>
      <c r="M415" s="6">
        <v>0</v>
      </c>
      <c r="N415" s="37" t="e" cm="1">
        <f t="array" ref="N415">IF(OR(ISNUMBER(FIND(Aux!$D$3:$D$9,_xlfn.TEXTJOIN(,,C415:K415)))),NA(),IF(AND(SUM(C415:F415,H415:K415)=0,G415=1),0,INT((SUMPRODUCT(C415:F415,COLUMN($A$1:$D$1)-1)+SUMPRODUCT(H415:K415,COLUMN($E$1:$H$1)-1))*'Line Follower'!$C$3/SUM(C415:F415,H415:K415)-'Line Follower'!$C$5)))</f>
        <v>#N/A</v>
      </c>
      <c r="O415" s="22" t="e">
        <v>#N/A</v>
      </c>
      <c r="P415" s="4" t="e">
        <f t="shared" si="30"/>
        <v>#N/A</v>
      </c>
      <c r="Q415" s="4" t="e">
        <f t="shared" si="31"/>
        <v>#N/A</v>
      </c>
      <c r="R415" s="4" t="e">
        <f>IF(AND(B415=1,N415&gt;'Line Follower'!$C$7,SUM(C415:K415)&lt;4),1,0)</f>
        <v>#N/A</v>
      </c>
      <c r="S415" s="4" t="e">
        <f>IF(AND(L415=1,N415&lt;'Line Follower'!$C$6,SUM(C415:K415)&lt;4),1,0)</f>
        <v>#N/A</v>
      </c>
      <c r="T415" s="4" t="e">
        <f t="shared" si="32"/>
        <v>#N/A</v>
      </c>
      <c r="U415" s="5" t="e">
        <f t="shared" si="33"/>
        <v>#N/A</v>
      </c>
      <c r="V415" s="23" t="e">
        <f t="shared" si="34"/>
        <v>#N/A</v>
      </c>
    </row>
    <row r="416" spans="2:22" x14ac:dyDescent="0.25">
      <c r="B416" s="16">
        <v>1</v>
      </c>
      <c r="C416" s="7">
        <v>0</v>
      </c>
      <c r="D416" s="8">
        <v>1</v>
      </c>
      <c r="E416" s="8">
        <v>1</v>
      </c>
      <c r="F416" s="8">
        <v>1</v>
      </c>
      <c r="G416" s="8">
        <v>0</v>
      </c>
      <c r="H416" s="8">
        <v>0</v>
      </c>
      <c r="I416" s="8">
        <v>1</v>
      </c>
      <c r="J416" s="8">
        <v>1</v>
      </c>
      <c r="K416" s="9">
        <v>0</v>
      </c>
      <c r="L416" s="10">
        <v>0</v>
      </c>
      <c r="M416" s="6">
        <v>0</v>
      </c>
      <c r="N416" s="37" t="e" cm="1">
        <f t="array" ref="N416">IF(OR(ISNUMBER(FIND(Aux!$D$3:$D$9,_xlfn.TEXTJOIN(,,C416:K416)))),NA(),IF(AND(SUM(C416:F416,H416:K416)=0,G416=1),0,INT((SUMPRODUCT(C416:F416,COLUMN($A$1:$D$1)-1)+SUMPRODUCT(H416:K416,COLUMN($E$1:$H$1)-1))*'Line Follower'!$C$3/SUM(C416:F416,H416:K416)-'Line Follower'!$C$5)))</f>
        <v>#N/A</v>
      </c>
      <c r="O416" s="22" t="e">
        <v>#N/A</v>
      </c>
      <c r="P416" s="4" t="e">
        <f t="shared" si="30"/>
        <v>#N/A</v>
      </c>
      <c r="Q416" s="4" t="e">
        <f t="shared" si="31"/>
        <v>#N/A</v>
      </c>
      <c r="R416" s="4" t="e">
        <f>IF(AND(B416=1,N416&gt;'Line Follower'!$C$7,SUM(C416:K416)&lt;4),1,0)</f>
        <v>#N/A</v>
      </c>
      <c r="S416" s="4" t="e">
        <f>IF(AND(L416=1,N416&lt;'Line Follower'!$C$6,SUM(C416:K416)&lt;4),1,0)</f>
        <v>#N/A</v>
      </c>
      <c r="T416" s="4" t="e">
        <f t="shared" si="32"/>
        <v>#N/A</v>
      </c>
      <c r="U416" s="5" t="e">
        <f t="shared" si="33"/>
        <v>#N/A</v>
      </c>
      <c r="V416" s="23" t="e">
        <f t="shared" si="34"/>
        <v>#N/A</v>
      </c>
    </row>
    <row r="417" spans="2:22" x14ac:dyDescent="0.25">
      <c r="B417" s="16">
        <v>0</v>
      </c>
      <c r="C417" s="7">
        <v>1</v>
      </c>
      <c r="D417" s="8">
        <v>1</v>
      </c>
      <c r="E417" s="8">
        <v>1</v>
      </c>
      <c r="F417" s="8">
        <v>1</v>
      </c>
      <c r="G417" s="8">
        <v>0</v>
      </c>
      <c r="H417" s="8">
        <v>0</v>
      </c>
      <c r="I417" s="8">
        <v>1</v>
      </c>
      <c r="J417" s="8">
        <v>1</v>
      </c>
      <c r="K417" s="9">
        <v>0</v>
      </c>
      <c r="L417" s="10">
        <v>0</v>
      </c>
      <c r="M417" s="6">
        <v>0</v>
      </c>
      <c r="N417" s="37" t="e" cm="1">
        <f t="array" ref="N417">IF(OR(ISNUMBER(FIND(Aux!$D$3:$D$9,_xlfn.TEXTJOIN(,,C417:K417)))),NA(),IF(AND(SUM(C417:F417,H417:K417)=0,G417=1),0,INT((SUMPRODUCT(C417:F417,COLUMN($A$1:$D$1)-1)+SUMPRODUCT(H417:K417,COLUMN($E$1:$H$1)-1))*'Line Follower'!$C$3/SUM(C417:F417,H417:K417)-'Line Follower'!$C$5)))</f>
        <v>#N/A</v>
      </c>
      <c r="O417" s="22" t="e">
        <v>#N/A</v>
      </c>
      <c r="P417" s="4" t="e">
        <f t="shared" si="30"/>
        <v>#N/A</v>
      </c>
      <c r="Q417" s="4" t="e">
        <f t="shared" si="31"/>
        <v>#N/A</v>
      </c>
      <c r="R417" s="4" t="e">
        <f>IF(AND(B417=1,N417&gt;'Line Follower'!$C$7,SUM(C417:K417)&lt;4),1,0)</f>
        <v>#N/A</v>
      </c>
      <c r="S417" s="4" t="e">
        <f>IF(AND(L417=1,N417&lt;'Line Follower'!$C$6,SUM(C417:K417)&lt;4),1,0)</f>
        <v>#N/A</v>
      </c>
      <c r="T417" s="4" t="e">
        <f t="shared" si="32"/>
        <v>#N/A</v>
      </c>
      <c r="U417" s="5" t="e">
        <f t="shared" si="33"/>
        <v>#N/A</v>
      </c>
      <c r="V417" s="23" t="e">
        <f t="shared" si="34"/>
        <v>#N/A</v>
      </c>
    </row>
    <row r="418" spans="2:22" x14ac:dyDescent="0.25">
      <c r="B418" s="16">
        <v>1</v>
      </c>
      <c r="C418" s="7">
        <v>1</v>
      </c>
      <c r="D418" s="8">
        <v>1</v>
      </c>
      <c r="E418" s="8">
        <v>1</v>
      </c>
      <c r="F418" s="8">
        <v>1</v>
      </c>
      <c r="G418" s="8">
        <v>0</v>
      </c>
      <c r="H418" s="8">
        <v>0</v>
      </c>
      <c r="I418" s="8">
        <v>1</v>
      </c>
      <c r="J418" s="8">
        <v>1</v>
      </c>
      <c r="K418" s="9">
        <v>0</v>
      </c>
      <c r="L418" s="10">
        <v>0</v>
      </c>
      <c r="M418" s="6">
        <v>0</v>
      </c>
      <c r="N418" s="37" t="e" cm="1">
        <f t="array" ref="N418">IF(OR(ISNUMBER(FIND(Aux!$D$3:$D$9,_xlfn.TEXTJOIN(,,C418:K418)))),NA(),IF(AND(SUM(C418:F418,H418:K418)=0,G418=1),0,INT((SUMPRODUCT(C418:F418,COLUMN($A$1:$D$1)-1)+SUMPRODUCT(H418:K418,COLUMN($E$1:$H$1)-1))*'Line Follower'!$C$3/SUM(C418:F418,H418:K418)-'Line Follower'!$C$5)))</f>
        <v>#N/A</v>
      </c>
      <c r="O418" s="22" t="e">
        <v>#N/A</v>
      </c>
      <c r="P418" s="4" t="e">
        <f t="shared" si="30"/>
        <v>#N/A</v>
      </c>
      <c r="Q418" s="4" t="e">
        <f t="shared" si="31"/>
        <v>#N/A</v>
      </c>
      <c r="R418" s="4" t="e">
        <f>IF(AND(B418=1,N418&gt;'Line Follower'!$C$7,SUM(C418:K418)&lt;4),1,0)</f>
        <v>#N/A</v>
      </c>
      <c r="S418" s="4" t="e">
        <f>IF(AND(L418=1,N418&lt;'Line Follower'!$C$6,SUM(C418:K418)&lt;4),1,0)</f>
        <v>#N/A</v>
      </c>
      <c r="T418" s="4" t="e">
        <f t="shared" si="32"/>
        <v>#N/A</v>
      </c>
      <c r="U418" s="5" t="e">
        <f t="shared" si="33"/>
        <v>#N/A</v>
      </c>
      <c r="V418" s="23" t="e">
        <f t="shared" si="34"/>
        <v>#N/A</v>
      </c>
    </row>
    <row r="419" spans="2:22" x14ac:dyDescent="0.25">
      <c r="B419" s="16">
        <v>0</v>
      </c>
      <c r="C419" s="7">
        <v>0</v>
      </c>
      <c r="D419" s="8">
        <v>0</v>
      </c>
      <c r="E419" s="8">
        <v>0</v>
      </c>
      <c r="F419" s="8">
        <v>0</v>
      </c>
      <c r="G419" s="8">
        <v>1</v>
      </c>
      <c r="H419" s="8">
        <v>0</v>
      </c>
      <c r="I419" s="8">
        <v>1</v>
      </c>
      <c r="J419" s="8">
        <v>1</v>
      </c>
      <c r="K419" s="9">
        <v>0</v>
      </c>
      <c r="L419" s="10">
        <v>0</v>
      </c>
      <c r="M419" s="6">
        <v>0</v>
      </c>
      <c r="N419" s="37" t="e" cm="1">
        <f t="array" ref="N419">IF(OR(ISNUMBER(FIND(Aux!$D$3:$D$9,_xlfn.TEXTJOIN(,,C419:K419)))),NA(),IF(AND(SUM(C419:F419,H419:K419)=0,G419=1),0,INT((SUMPRODUCT(C419:F419,COLUMN($A$1:$D$1)-1)+SUMPRODUCT(H419:K419,COLUMN($E$1:$H$1)-1))*'Line Follower'!$C$3/SUM(C419:F419,H419:K419)-'Line Follower'!$C$5)))</f>
        <v>#N/A</v>
      </c>
      <c r="O419" s="22" t="e">
        <v>#N/A</v>
      </c>
      <c r="P419" s="4" t="e">
        <f t="shared" si="30"/>
        <v>#N/A</v>
      </c>
      <c r="Q419" s="4" t="e">
        <f t="shared" si="31"/>
        <v>#N/A</v>
      </c>
      <c r="R419" s="4" t="e">
        <f>IF(AND(B419=1,N419&gt;'Line Follower'!$C$7,SUM(C419:K419)&lt;4),1,0)</f>
        <v>#N/A</v>
      </c>
      <c r="S419" s="4" t="e">
        <f>IF(AND(L419=1,N419&lt;'Line Follower'!$C$6,SUM(C419:K419)&lt;4),1,0)</f>
        <v>#N/A</v>
      </c>
      <c r="T419" s="4" t="e">
        <f t="shared" si="32"/>
        <v>#N/A</v>
      </c>
      <c r="U419" s="5" t="e">
        <f t="shared" si="33"/>
        <v>#N/A</v>
      </c>
      <c r="V419" s="23" t="e">
        <f t="shared" si="34"/>
        <v>#N/A</v>
      </c>
    </row>
    <row r="420" spans="2:22" x14ac:dyDescent="0.25">
      <c r="B420" s="16">
        <v>1</v>
      </c>
      <c r="C420" s="7">
        <v>0</v>
      </c>
      <c r="D420" s="8">
        <v>0</v>
      </c>
      <c r="E420" s="8">
        <v>0</v>
      </c>
      <c r="F420" s="8">
        <v>0</v>
      </c>
      <c r="G420" s="8">
        <v>1</v>
      </c>
      <c r="H420" s="8">
        <v>0</v>
      </c>
      <c r="I420" s="8">
        <v>1</v>
      </c>
      <c r="J420" s="8">
        <v>1</v>
      </c>
      <c r="K420" s="9">
        <v>0</v>
      </c>
      <c r="L420" s="10">
        <v>0</v>
      </c>
      <c r="M420" s="6">
        <v>0</v>
      </c>
      <c r="N420" s="37" t="e" cm="1">
        <f t="array" ref="N420">IF(OR(ISNUMBER(FIND(Aux!$D$3:$D$9,_xlfn.TEXTJOIN(,,C420:K420)))),NA(),IF(AND(SUM(C420:F420,H420:K420)=0,G420=1),0,INT((SUMPRODUCT(C420:F420,COLUMN($A$1:$D$1)-1)+SUMPRODUCT(H420:K420,COLUMN($E$1:$H$1)-1))*'Line Follower'!$C$3/SUM(C420:F420,H420:K420)-'Line Follower'!$C$5)))</f>
        <v>#N/A</v>
      </c>
      <c r="O420" s="22" t="e">
        <v>#N/A</v>
      </c>
      <c r="P420" s="4" t="e">
        <f t="shared" si="30"/>
        <v>#N/A</v>
      </c>
      <c r="Q420" s="4" t="e">
        <f t="shared" si="31"/>
        <v>#N/A</v>
      </c>
      <c r="R420" s="4" t="e">
        <f>IF(AND(B420=1,N420&gt;'Line Follower'!$C$7,SUM(C420:K420)&lt;4),1,0)</f>
        <v>#N/A</v>
      </c>
      <c r="S420" s="4" t="e">
        <f>IF(AND(L420=1,N420&lt;'Line Follower'!$C$6,SUM(C420:K420)&lt;4),1,0)</f>
        <v>#N/A</v>
      </c>
      <c r="T420" s="4" t="e">
        <f t="shared" si="32"/>
        <v>#N/A</v>
      </c>
      <c r="U420" s="5" t="e">
        <f t="shared" si="33"/>
        <v>#N/A</v>
      </c>
      <c r="V420" s="23" t="e">
        <f t="shared" si="34"/>
        <v>#N/A</v>
      </c>
    </row>
    <row r="421" spans="2:22" x14ac:dyDescent="0.25">
      <c r="B421" s="16">
        <v>0</v>
      </c>
      <c r="C421" s="7">
        <v>1</v>
      </c>
      <c r="D421" s="8">
        <v>0</v>
      </c>
      <c r="E421" s="8">
        <v>0</v>
      </c>
      <c r="F421" s="8">
        <v>0</v>
      </c>
      <c r="G421" s="8">
        <v>1</v>
      </c>
      <c r="H421" s="8">
        <v>0</v>
      </c>
      <c r="I421" s="8">
        <v>1</v>
      </c>
      <c r="J421" s="8">
        <v>1</v>
      </c>
      <c r="K421" s="9">
        <v>0</v>
      </c>
      <c r="L421" s="10">
        <v>0</v>
      </c>
      <c r="M421" s="6">
        <v>0</v>
      </c>
      <c r="N421" s="37" t="e" cm="1">
        <f t="array" ref="N421">IF(OR(ISNUMBER(FIND(Aux!$D$3:$D$9,_xlfn.TEXTJOIN(,,C421:K421)))),NA(),IF(AND(SUM(C421:F421,H421:K421)=0,G421=1),0,INT((SUMPRODUCT(C421:F421,COLUMN($A$1:$D$1)-1)+SUMPRODUCT(H421:K421,COLUMN($E$1:$H$1)-1))*'Line Follower'!$C$3/SUM(C421:F421,H421:K421)-'Line Follower'!$C$5)))</f>
        <v>#N/A</v>
      </c>
      <c r="O421" s="22" t="e">
        <v>#N/A</v>
      </c>
      <c r="P421" s="4" t="e">
        <f t="shared" si="30"/>
        <v>#N/A</v>
      </c>
      <c r="Q421" s="4" t="e">
        <f t="shared" si="31"/>
        <v>#N/A</v>
      </c>
      <c r="R421" s="4" t="e">
        <f>IF(AND(B421=1,N421&gt;'Line Follower'!$C$7,SUM(C421:K421)&lt;4),1,0)</f>
        <v>#N/A</v>
      </c>
      <c r="S421" s="4" t="e">
        <f>IF(AND(L421=1,N421&lt;'Line Follower'!$C$6,SUM(C421:K421)&lt;4),1,0)</f>
        <v>#N/A</v>
      </c>
      <c r="T421" s="4" t="e">
        <f t="shared" si="32"/>
        <v>#N/A</v>
      </c>
      <c r="U421" s="5" t="e">
        <f t="shared" si="33"/>
        <v>#N/A</v>
      </c>
      <c r="V421" s="23" t="e">
        <f t="shared" si="34"/>
        <v>#N/A</v>
      </c>
    </row>
    <row r="422" spans="2:22" x14ac:dyDescent="0.25">
      <c r="B422" s="16">
        <v>1</v>
      </c>
      <c r="C422" s="7">
        <v>1</v>
      </c>
      <c r="D422" s="8">
        <v>0</v>
      </c>
      <c r="E422" s="8">
        <v>0</v>
      </c>
      <c r="F422" s="8">
        <v>0</v>
      </c>
      <c r="G422" s="8">
        <v>1</v>
      </c>
      <c r="H422" s="8">
        <v>0</v>
      </c>
      <c r="I422" s="8">
        <v>1</v>
      </c>
      <c r="J422" s="8">
        <v>1</v>
      </c>
      <c r="K422" s="9">
        <v>0</v>
      </c>
      <c r="L422" s="10">
        <v>0</v>
      </c>
      <c r="M422" s="6">
        <v>0</v>
      </c>
      <c r="N422" s="37" t="e" cm="1">
        <f t="array" ref="N422">IF(OR(ISNUMBER(FIND(Aux!$D$3:$D$9,_xlfn.TEXTJOIN(,,C422:K422)))),NA(),IF(AND(SUM(C422:F422,H422:K422)=0,G422=1),0,INT((SUMPRODUCT(C422:F422,COLUMN($A$1:$D$1)-1)+SUMPRODUCT(H422:K422,COLUMN($E$1:$H$1)-1))*'Line Follower'!$C$3/SUM(C422:F422,H422:K422)-'Line Follower'!$C$5)))</f>
        <v>#N/A</v>
      </c>
      <c r="O422" s="22" t="e">
        <v>#N/A</v>
      </c>
      <c r="P422" s="4" t="e">
        <f t="shared" si="30"/>
        <v>#N/A</v>
      </c>
      <c r="Q422" s="4" t="e">
        <f t="shared" si="31"/>
        <v>#N/A</v>
      </c>
      <c r="R422" s="4" t="e">
        <f>IF(AND(B422=1,N422&gt;'Line Follower'!$C$7,SUM(C422:K422)&lt;4),1,0)</f>
        <v>#N/A</v>
      </c>
      <c r="S422" s="4" t="e">
        <f>IF(AND(L422=1,N422&lt;'Line Follower'!$C$6,SUM(C422:K422)&lt;4),1,0)</f>
        <v>#N/A</v>
      </c>
      <c r="T422" s="4" t="e">
        <f t="shared" si="32"/>
        <v>#N/A</v>
      </c>
      <c r="U422" s="5" t="e">
        <f t="shared" si="33"/>
        <v>#N/A</v>
      </c>
      <c r="V422" s="23" t="e">
        <f t="shared" si="34"/>
        <v>#N/A</v>
      </c>
    </row>
    <row r="423" spans="2:22" x14ac:dyDescent="0.25">
      <c r="B423" s="16">
        <v>0</v>
      </c>
      <c r="C423" s="7">
        <v>0</v>
      </c>
      <c r="D423" s="8">
        <v>1</v>
      </c>
      <c r="E423" s="8">
        <v>0</v>
      </c>
      <c r="F423" s="8">
        <v>0</v>
      </c>
      <c r="G423" s="8">
        <v>1</v>
      </c>
      <c r="H423" s="8">
        <v>0</v>
      </c>
      <c r="I423" s="8">
        <v>1</v>
      </c>
      <c r="J423" s="8">
        <v>1</v>
      </c>
      <c r="K423" s="9">
        <v>0</v>
      </c>
      <c r="L423" s="10">
        <v>0</v>
      </c>
      <c r="M423" s="6">
        <v>0</v>
      </c>
      <c r="N423" s="37" t="e" cm="1">
        <f t="array" ref="N423">IF(OR(ISNUMBER(FIND(Aux!$D$3:$D$9,_xlfn.TEXTJOIN(,,C423:K423)))),NA(),IF(AND(SUM(C423:F423,H423:K423)=0,G423=1),0,INT((SUMPRODUCT(C423:F423,COLUMN($A$1:$D$1)-1)+SUMPRODUCT(H423:K423,COLUMN($E$1:$H$1)-1))*'Line Follower'!$C$3/SUM(C423:F423,H423:K423)-'Line Follower'!$C$5)))</f>
        <v>#N/A</v>
      </c>
      <c r="O423" s="22" t="e">
        <v>#N/A</v>
      </c>
      <c r="P423" s="4" t="e">
        <f t="shared" si="30"/>
        <v>#N/A</v>
      </c>
      <c r="Q423" s="4" t="e">
        <f t="shared" si="31"/>
        <v>#N/A</v>
      </c>
      <c r="R423" s="4" t="e">
        <f>IF(AND(B423=1,N423&gt;'Line Follower'!$C$7,SUM(C423:K423)&lt;4),1,0)</f>
        <v>#N/A</v>
      </c>
      <c r="S423" s="4" t="e">
        <f>IF(AND(L423=1,N423&lt;'Line Follower'!$C$6,SUM(C423:K423)&lt;4),1,0)</f>
        <v>#N/A</v>
      </c>
      <c r="T423" s="4" t="e">
        <f t="shared" si="32"/>
        <v>#N/A</v>
      </c>
      <c r="U423" s="5" t="e">
        <f t="shared" si="33"/>
        <v>#N/A</v>
      </c>
      <c r="V423" s="23" t="e">
        <f t="shared" si="34"/>
        <v>#N/A</v>
      </c>
    </row>
    <row r="424" spans="2:22" x14ac:dyDescent="0.25">
      <c r="B424" s="16">
        <v>1</v>
      </c>
      <c r="C424" s="7">
        <v>0</v>
      </c>
      <c r="D424" s="8">
        <v>1</v>
      </c>
      <c r="E424" s="8">
        <v>0</v>
      </c>
      <c r="F424" s="8">
        <v>0</v>
      </c>
      <c r="G424" s="8">
        <v>1</v>
      </c>
      <c r="H424" s="8">
        <v>0</v>
      </c>
      <c r="I424" s="8">
        <v>1</v>
      </c>
      <c r="J424" s="8">
        <v>1</v>
      </c>
      <c r="K424" s="9">
        <v>0</v>
      </c>
      <c r="L424" s="10">
        <v>0</v>
      </c>
      <c r="M424" s="6">
        <v>0</v>
      </c>
      <c r="N424" s="37" t="e" cm="1">
        <f t="array" ref="N424">IF(OR(ISNUMBER(FIND(Aux!$D$3:$D$9,_xlfn.TEXTJOIN(,,C424:K424)))),NA(),IF(AND(SUM(C424:F424,H424:K424)=0,G424=1),0,INT((SUMPRODUCT(C424:F424,COLUMN($A$1:$D$1)-1)+SUMPRODUCT(H424:K424,COLUMN($E$1:$H$1)-1))*'Line Follower'!$C$3/SUM(C424:F424,H424:K424)-'Line Follower'!$C$5)))</f>
        <v>#N/A</v>
      </c>
      <c r="O424" s="22" t="e">
        <v>#N/A</v>
      </c>
      <c r="P424" s="4" t="e">
        <f t="shared" si="30"/>
        <v>#N/A</v>
      </c>
      <c r="Q424" s="4" t="e">
        <f t="shared" si="31"/>
        <v>#N/A</v>
      </c>
      <c r="R424" s="4" t="e">
        <f>IF(AND(B424=1,N424&gt;'Line Follower'!$C$7,SUM(C424:K424)&lt;4),1,0)</f>
        <v>#N/A</v>
      </c>
      <c r="S424" s="4" t="e">
        <f>IF(AND(L424=1,N424&lt;'Line Follower'!$C$6,SUM(C424:K424)&lt;4),1,0)</f>
        <v>#N/A</v>
      </c>
      <c r="T424" s="4" t="e">
        <f t="shared" si="32"/>
        <v>#N/A</v>
      </c>
      <c r="U424" s="5" t="e">
        <f t="shared" si="33"/>
        <v>#N/A</v>
      </c>
      <c r="V424" s="23" t="e">
        <f t="shared" si="34"/>
        <v>#N/A</v>
      </c>
    </row>
    <row r="425" spans="2:22" x14ac:dyDescent="0.25">
      <c r="B425" s="16">
        <v>0</v>
      </c>
      <c r="C425" s="7">
        <v>1</v>
      </c>
      <c r="D425" s="8">
        <v>1</v>
      </c>
      <c r="E425" s="8">
        <v>0</v>
      </c>
      <c r="F425" s="8">
        <v>0</v>
      </c>
      <c r="G425" s="8">
        <v>1</v>
      </c>
      <c r="H425" s="8">
        <v>0</v>
      </c>
      <c r="I425" s="8">
        <v>1</v>
      </c>
      <c r="J425" s="8">
        <v>1</v>
      </c>
      <c r="K425" s="9">
        <v>0</v>
      </c>
      <c r="L425" s="10">
        <v>0</v>
      </c>
      <c r="M425" s="6">
        <v>0</v>
      </c>
      <c r="N425" s="37" t="e" cm="1">
        <f t="array" ref="N425">IF(OR(ISNUMBER(FIND(Aux!$D$3:$D$9,_xlfn.TEXTJOIN(,,C425:K425)))),NA(),IF(AND(SUM(C425:F425,H425:K425)=0,G425=1),0,INT((SUMPRODUCT(C425:F425,COLUMN($A$1:$D$1)-1)+SUMPRODUCT(H425:K425,COLUMN($E$1:$H$1)-1))*'Line Follower'!$C$3/SUM(C425:F425,H425:K425)-'Line Follower'!$C$5)))</f>
        <v>#N/A</v>
      </c>
      <c r="O425" s="22" t="e">
        <v>#N/A</v>
      </c>
      <c r="P425" s="4" t="e">
        <f t="shared" si="30"/>
        <v>#N/A</v>
      </c>
      <c r="Q425" s="4" t="e">
        <f t="shared" si="31"/>
        <v>#N/A</v>
      </c>
      <c r="R425" s="4" t="e">
        <f>IF(AND(B425=1,N425&gt;'Line Follower'!$C$7,SUM(C425:K425)&lt;4),1,0)</f>
        <v>#N/A</v>
      </c>
      <c r="S425" s="4" t="e">
        <f>IF(AND(L425=1,N425&lt;'Line Follower'!$C$6,SUM(C425:K425)&lt;4),1,0)</f>
        <v>#N/A</v>
      </c>
      <c r="T425" s="4" t="e">
        <f t="shared" si="32"/>
        <v>#N/A</v>
      </c>
      <c r="U425" s="5" t="e">
        <f t="shared" si="33"/>
        <v>#N/A</v>
      </c>
      <c r="V425" s="23" t="e">
        <f t="shared" si="34"/>
        <v>#N/A</v>
      </c>
    </row>
    <row r="426" spans="2:22" x14ac:dyDescent="0.25">
      <c r="B426" s="16">
        <v>1</v>
      </c>
      <c r="C426" s="7">
        <v>1</v>
      </c>
      <c r="D426" s="8">
        <v>1</v>
      </c>
      <c r="E426" s="8">
        <v>0</v>
      </c>
      <c r="F426" s="8">
        <v>0</v>
      </c>
      <c r="G426" s="8">
        <v>1</v>
      </c>
      <c r="H426" s="8">
        <v>0</v>
      </c>
      <c r="I426" s="8">
        <v>1</v>
      </c>
      <c r="J426" s="8">
        <v>1</v>
      </c>
      <c r="K426" s="9">
        <v>0</v>
      </c>
      <c r="L426" s="10">
        <v>0</v>
      </c>
      <c r="M426" s="6">
        <v>0</v>
      </c>
      <c r="N426" s="37" t="e" cm="1">
        <f t="array" ref="N426">IF(OR(ISNUMBER(FIND(Aux!$D$3:$D$9,_xlfn.TEXTJOIN(,,C426:K426)))),NA(),IF(AND(SUM(C426:F426,H426:K426)=0,G426=1),0,INT((SUMPRODUCT(C426:F426,COLUMN($A$1:$D$1)-1)+SUMPRODUCT(H426:K426,COLUMN($E$1:$H$1)-1))*'Line Follower'!$C$3/SUM(C426:F426,H426:K426)-'Line Follower'!$C$5)))</f>
        <v>#N/A</v>
      </c>
      <c r="O426" s="22" t="e">
        <v>#N/A</v>
      </c>
      <c r="P426" s="4" t="e">
        <f t="shared" si="30"/>
        <v>#N/A</v>
      </c>
      <c r="Q426" s="4" t="e">
        <f t="shared" si="31"/>
        <v>#N/A</v>
      </c>
      <c r="R426" s="4" t="e">
        <f>IF(AND(B426=1,N426&gt;'Line Follower'!$C$7,SUM(C426:K426)&lt;4),1,0)</f>
        <v>#N/A</v>
      </c>
      <c r="S426" s="4" t="e">
        <f>IF(AND(L426=1,N426&lt;'Line Follower'!$C$6,SUM(C426:K426)&lt;4),1,0)</f>
        <v>#N/A</v>
      </c>
      <c r="T426" s="4" t="e">
        <f t="shared" si="32"/>
        <v>#N/A</v>
      </c>
      <c r="U426" s="5" t="e">
        <f t="shared" si="33"/>
        <v>#N/A</v>
      </c>
      <c r="V426" s="23" t="e">
        <f t="shared" si="34"/>
        <v>#N/A</v>
      </c>
    </row>
    <row r="427" spans="2:22" x14ac:dyDescent="0.25">
      <c r="B427" s="16">
        <v>0</v>
      </c>
      <c r="C427" s="7">
        <v>0</v>
      </c>
      <c r="D427" s="8">
        <v>0</v>
      </c>
      <c r="E427" s="8">
        <v>1</v>
      </c>
      <c r="F427" s="8">
        <v>0</v>
      </c>
      <c r="G427" s="8">
        <v>1</v>
      </c>
      <c r="H427" s="8">
        <v>0</v>
      </c>
      <c r="I427" s="8">
        <v>1</v>
      </c>
      <c r="J427" s="8">
        <v>1</v>
      </c>
      <c r="K427" s="9">
        <v>0</v>
      </c>
      <c r="L427" s="10">
        <v>0</v>
      </c>
      <c r="M427" s="6">
        <v>0</v>
      </c>
      <c r="N427" s="37" t="e" cm="1">
        <f t="array" ref="N427">IF(OR(ISNUMBER(FIND(Aux!$D$3:$D$9,_xlfn.TEXTJOIN(,,C427:K427)))),NA(),IF(AND(SUM(C427:F427,H427:K427)=0,G427=1),0,INT((SUMPRODUCT(C427:F427,COLUMN($A$1:$D$1)-1)+SUMPRODUCT(H427:K427,COLUMN($E$1:$H$1)-1))*'Line Follower'!$C$3/SUM(C427:F427,H427:K427)-'Line Follower'!$C$5)))</f>
        <v>#N/A</v>
      </c>
      <c r="O427" s="22" t="e">
        <v>#N/A</v>
      </c>
      <c r="P427" s="4" t="e">
        <f t="shared" si="30"/>
        <v>#N/A</v>
      </c>
      <c r="Q427" s="4" t="e">
        <f t="shared" si="31"/>
        <v>#N/A</v>
      </c>
      <c r="R427" s="4" t="e">
        <f>IF(AND(B427=1,N427&gt;'Line Follower'!$C$7,SUM(C427:K427)&lt;4),1,0)</f>
        <v>#N/A</v>
      </c>
      <c r="S427" s="4" t="e">
        <f>IF(AND(L427=1,N427&lt;'Line Follower'!$C$6,SUM(C427:K427)&lt;4),1,0)</f>
        <v>#N/A</v>
      </c>
      <c r="T427" s="4" t="e">
        <f t="shared" si="32"/>
        <v>#N/A</v>
      </c>
      <c r="U427" s="5" t="e">
        <f t="shared" si="33"/>
        <v>#N/A</v>
      </c>
      <c r="V427" s="23" t="e">
        <f t="shared" si="34"/>
        <v>#N/A</v>
      </c>
    </row>
    <row r="428" spans="2:22" x14ac:dyDescent="0.25">
      <c r="B428" s="16">
        <v>1</v>
      </c>
      <c r="C428" s="7">
        <v>0</v>
      </c>
      <c r="D428" s="8">
        <v>0</v>
      </c>
      <c r="E428" s="8">
        <v>1</v>
      </c>
      <c r="F428" s="8">
        <v>0</v>
      </c>
      <c r="G428" s="8">
        <v>1</v>
      </c>
      <c r="H428" s="8">
        <v>0</v>
      </c>
      <c r="I428" s="8">
        <v>1</v>
      </c>
      <c r="J428" s="8">
        <v>1</v>
      </c>
      <c r="K428" s="9">
        <v>0</v>
      </c>
      <c r="L428" s="10">
        <v>0</v>
      </c>
      <c r="M428" s="6">
        <v>0</v>
      </c>
      <c r="N428" s="37" t="e" cm="1">
        <f t="array" ref="N428">IF(OR(ISNUMBER(FIND(Aux!$D$3:$D$9,_xlfn.TEXTJOIN(,,C428:K428)))),NA(),IF(AND(SUM(C428:F428,H428:K428)=0,G428=1),0,INT((SUMPRODUCT(C428:F428,COLUMN($A$1:$D$1)-1)+SUMPRODUCT(H428:K428,COLUMN($E$1:$H$1)-1))*'Line Follower'!$C$3/SUM(C428:F428,H428:K428)-'Line Follower'!$C$5)))</f>
        <v>#N/A</v>
      </c>
      <c r="O428" s="22" t="e">
        <v>#N/A</v>
      </c>
      <c r="P428" s="4" t="e">
        <f t="shared" si="30"/>
        <v>#N/A</v>
      </c>
      <c r="Q428" s="4" t="e">
        <f t="shared" si="31"/>
        <v>#N/A</v>
      </c>
      <c r="R428" s="4" t="e">
        <f>IF(AND(B428=1,N428&gt;'Line Follower'!$C$7,SUM(C428:K428)&lt;4),1,0)</f>
        <v>#N/A</v>
      </c>
      <c r="S428" s="4" t="e">
        <f>IF(AND(L428=1,N428&lt;'Line Follower'!$C$6,SUM(C428:K428)&lt;4),1,0)</f>
        <v>#N/A</v>
      </c>
      <c r="T428" s="4" t="e">
        <f t="shared" si="32"/>
        <v>#N/A</v>
      </c>
      <c r="U428" s="5" t="e">
        <f t="shared" si="33"/>
        <v>#N/A</v>
      </c>
      <c r="V428" s="23" t="e">
        <f t="shared" si="34"/>
        <v>#N/A</v>
      </c>
    </row>
    <row r="429" spans="2:22" x14ac:dyDescent="0.25">
      <c r="B429" s="16">
        <v>0</v>
      </c>
      <c r="C429" s="7">
        <v>1</v>
      </c>
      <c r="D429" s="8">
        <v>0</v>
      </c>
      <c r="E429" s="8">
        <v>1</v>
      </c>
      <c r="F429" s="8">
        <v>0</v>
      </c>
      <c r="G429" s="8">
        <v>1</v>
      </c>
      <c r="H429" s="8">
        <v>0</v>
      </c>
      <c r="I429" s="8">
        <v>1</v>
      </c>
      <c r="J429" s="8">
        <v>1</v>
      </c>
      <c r="K429" s="9">
        <v>0</v>
      </c>
      <c r="L429" s="10">
        <v>0</v>
      </c>
      <c r="M429" s="6">
        <v>0</v>
      </c>
      <c r="N429" s="37" t="e" cm="1">
        <f t="array" ref="N429">IF(OR(ISNUMBER(FIND(Aux!$D$3:$D$9,_xlfn.TEXTJOIN(,,C429:K429)))),NA(),IF(AND(SUM(C429:F429,H429:K429)=0,G429=1),0,INT((SUMPRODUCT(C429:F429,COLUMN($A$1:$D$1)-1)+SUMPRODUCT(H429:K429,COLUMN($E$1:$H$1)-1))*'Line Follower'!$C$3/SUM(C429:F429,H429:K429)-'Line Follower'!$C$5)))</f>
        <v>#N/A</v>
      </c>
      <c r="O429" s="22" t="e">
        <v>#N/A</v>
      </c>
      <c r="P429" s="4" t="e">
        <f t="shared" si="30"/>
        <v>#N/A</v>
      </c>
      <c r="Q429" s="4" t="e">
        <f t="shared" si="31"/>
        <v>#N/A</v>
      </c>
      <c r="R429" s="4" t="e">
        <f>IF(AND(B429=1,N429&gt;'Line Follower'!$C$7,SUM(C429:K429)&lt;4),1,0)</f>
        <v>#N/A</v>
      </c>
      <c r="S429" s="4" t="e">
        <f>IF(AND(L429=1,N429&lt;'Line Follower'!$C$6,SUM(C429:K429)&lt;4),1,0)</f>
        <v>#N/A</v>
      </c>
      <c r="T429" s="4" t="e">
        <f t="shared" si="32"/>
        <v>#N/A</v>
      </c>
      <c r="U429" s="5" t="e">
        <f t="shared" si="33"/>
        <v>#N/A</v>
      </c>
      <c r="V429" s="23" t="e">
        <f t="shared" si="34"/>
        <v>#N/A</v>
      </c>
    </row>
    <row r="430" spans="2:22" x14ac:dyDescent="0.25">
      <c r="B430" s="16">
        <v>1</v>
      </c>
      <c r="C430" s="7">
        <v>1</v>
      </c>
      <c r="D430" s="8">
        <v>0</v>
      </c>
      <c r="E430" s="8">
        <v>1</v>
      </c>
      <c r="F430" s="8">
        <v>0</v>
      </c>
      <c r="G430" s="8">
        <v>1</v>
      </c>
      <c r="H430" s="8">
        <v>0</v>
      </c>
      <c r="I430" s="8">
        <v>1</v>
      </c>
      <c r="J430" s="8">
        <v>1</v>
      </c>
      <c r="K430" s="9">
        <v>0</v>
      </c>
      <c r="L430" s="10">
        <v>0</v>
      </c>
      <c r="M430" s="6">
        <v>0</v>
      </c>
      <c r="N430" s="37" t="e" cm="1">
        <f t="array" ref="N430">IF(OR(ISNUMBER(FIND(Aux!$D$3:$D$9,_xlfn.TEXTJOIN(,,C430:K430)))),NA(),IF(AND(SUM(C430:F430,H430:K430)=0,G430=1),0,INT((SUMPRODUCT(C430:F430,COLUMN($A$1:$D$1)-1)+SUMPRODUCT(H430:K430,COLUMN($E$1:$H$1)-1))*'Line Follower'!$C$3/SUM(C430:F430,H430:K430)-'Line Follower'!$C$5)))</f>
        <v>#N/A</v>
      </c>
      <c r="O430" s="22" t="e">
        <v>#N/A</v>
      </c>
      <c r="P430" s="4" t="e">
        <f t="shared" si="30"/>
        <v>#N/A</v>
      </c>
      <c r="Q430" s="4" t="e">
        <f t="shared" si="31"/>
        <v>#N/A</v>
      </c>
      <c r="R430" s="4" t="e">
        <f>IF(AND(B430=1,N430&gt;'Line Follower'!$C$7,SUM(C430:K430)&lt;4),1,0)</f>
        <v>#N/A</v>
      </c>
      <c r="S430" s="4" t="e">
        <f>IF(AND(L430=1,N430&lt;'Line Follower'!$C$6,SUM(C430:K430)&lt;4),1,0)</f>
        <v>#N/A</v>
      </c>
      <c r="T430" s="4" t="e">
        <f t="shared" si="32"/>
        <v>#N/A</v>
      </c>
      <c r="U430" s="5" t="e">
        <f t="shared" si="33"/>
        <v>#N/A</v>
      </c>
      <c r="V430" s="23" t="e">
        <f t="shared" si="34"/>
        <v>#N/A</v>
      </c>
    </row>
    <row r="431" spans="2:22" x14ac:dyDescent="0.25">
      <c r="B431" s="16">
        <v>0</v>
      </c>
      <c r="C431" s="7">
        <v>0</v>
      </c>
      <c r="D431" s="8">
        <v>1</v>
      </c>
      <c r="E431" s="8">
        <v>1</v>
      </c>
      <c r="F431" s="8">
        <v>0</v>
      </c>
      <c r="G431" s="8">
        <v>1</v>
      </c>
      <c r="H431" s="8">
        <v>0</v>
      </c>
      <c r="I431" s="8">
        <v>1</v>
      </c>
      <c r="J431" s="8">
        <v>1</v>
      </c>
      <c r="K431" s="9">
        <v>0</v>
      </c>
      <c r="L431" s="10">
        <v>0</v>
      </c>
      <c r="M431" s="6">
        <v>0</v>
      </c>
      <c r="N431" s="37" t="e" cm="1">
        <f t="array" ref="N431">IF(OR(ISNUMBER(FIND(Aux!$D$3:$D$9,_xlfn.TEXTJOIN(,,C431:K431)))),NA(),IF(AND(SUM(C431:F431,H431:K431)=0,G431=1),0,INT((SUMPRODUCT(C431:F431,COLUMN($A$1:$D$1)-1)+SUMPRODUCT(H431:K431,COLUMN($E$1:$H$1)-1))*'Line Follower'!$C$3/SUM(C431:F431,H431:K431)-'Line Follower'!$C$5)))</f>
        <v>#N/A</v>
      </c>
      <c r="O431" s="22" t="e">
        <v>#N/A</v>
      </c>
      <c r="P431" s="4" t="e">
        <f t="shared" si="30"/>
        <v>#N/A</v>
      </c>
      <c r="Q431" s="4" t="e">
        <f t="shared" si="31"/>
        <v>#N/A</v>
      </c>
      <c r="R431" s="4" t="e">
        <f>IF(AND(B431=1,N431&gt;'Line Follower'!$C$7,SUM(C431:K431)&lt;4),1,0)</f>
        <v>#N/A</v>
      </c>
      <c r="S431" s="4" t="e">
        <f>IF(AND(L431=1,N431&lt;'Line Follower'!$C$6,SUM(C431:K431)&lt;4),1,0)</f>
        <v>#N/A</v>
      </c>
      <c r="T431" s="4" t="e">
        <f t="shared" si="32"/>
        <v>#N/A</v>
      </c>
      <c r="U431" s="5" t="e">
        <f t="shared" si="33"/>
        <v>#N/A</v>
      </c>
      <c r="V431" s="23" t="e">
        <f t="shared" si="34"/>
        <v>#N/A</v>
      </c>
    </row>
    <row r="432" spans="2:22" x14ac:dyDescent="0.25">
      <c r="B432" s="16">
        <v>1</v>
      </c>
      <c r="C432" s="7">
        <v>0</v>
      </c>
      <c r="D432" s="8">
        <v>1</v>
      </c>
      <c r="E432" s="8">
        <v>1</v>
      </c>
      <c r="F432" s="8">
        <v>0</v>
      </c>
      <c r="G432" s="8">
        <v>1</v>
      </c>
      <c r="H432" s="8">
        <v>0</v>
      </c>
      <c r="I432" s="8">
        <v>1</v>
      </c>
      <c r="J432" s="8">
        <v>1</v>
      </c>
      <c r="K432" s="9">
        <v>0</v>
      </c>
      <c r="L432" s="10">
        <v>0</v>
      </c>
      <c r="M432" s="6">
        <v>0</v>
      </c>
      <c r="N432" s="37" t="e" cm="1">
        <f t="array" ref="N432">IF(OR(ISNUMBER(FIND(Aux!$D$3:$D$9,_xlfn.TEXTJOIN(,,C432:K432)))),NA(),IF(AND(SUM(C432:F432,H432:K432)=0,G432=1),0,INT((SUMPRODUCT(C432:F432,COLUMN($A$1:$D$1)-1)+SUMPRODUCT(H432:K432,COLUMN($E$1:$H$1)-1))*'Line Follower'!$C$3/SUM(C432:F432,H432:K432)-'Line Follower'!$C$5)))</f>
        <v>#N/A</v>
      </c>
      <c r="O432" s="22" t="e">
        <v>#N/A</v>
      </c>
      <c r="P432" s="4" t="e">
        <f t="shared" si="30"/>
        <v>#N/A</v>
      </c>
      <c r="Q432" s="4" t="e">
        <f t="shared" si="31"/>
        <v>#N/A</v>
      </c>
      <c r="R432" s="4" t="e">
        <f>IF(AND(B432=1,N432&gt;'Line Follower'!$C$7,SUM(C432:K432)&lt;4),1,0)</f>
        <v>#N/A</v>
      </c>
      <c r="S432" s="4" t="e">
        <f>IF(AND(L432=1,N432&lt;'Line Follower'!$C$6,SUM(C432:K432)&lt;4),1,0)</f>
        <v>#N/A</v>
      </c>
      <c r="T432" s="4" t="e">
        <f t="shared" si="32"/>
        <v>#N/A</v>
      </c>
      <c r="U432" s="5" t="e">
        <f t="shared" si="33"/>
        <v>#N/A</v>
      </c>
      <c r="V432" s="23" t="e">
        <f t="shared" si="34"/>
        <v>#N/A</v>
      </c>
    </row>
    <row r="433" spans="2:22" x14ac:dyDescent="0.25">
      <c r="B433" s="16">
        <v>0</v>
      </c>
      <c r="C433" s="7">
        <v>1</v>
      </c>
      <c r="D433" s="8">
        <v>1</v>
      </c>
      <c r="E433" s="8">
        <v>1</v>
      </c>
      <c r="F433" s="8">
        <v>0</v>
      </c>
      <c r="G433" s="8">
        <v>1</v>
      </c>
      <c r="H433" s="8">
        <v>0</v>
      </c>
      <c r="I433" s="8">
        <v>1</v>
      </c>
      <c r="J433" s="8">
        <v>1</v>
      </c>
      <c r="K433" s="9">
        <v>0</v>
      </c>
      <c r="L433" s="10">
        <v>0</v>
      </c>
      <c r="M433" s="6">
        <v>0</v>
      </c>
      <c r="N433" s="37" t="e" cm="1">
        <f t="array" ref="N433">IF(OR(ISNUMBER(FIND(Aux!$D$3:$D$9,_xlfn.TEXTJOIN(,,C433:K433)))),NA(),IF(AND(SUM(C433:F433,H433:K433)=0,G433=1),0,INT((SUMPRODUCT(C433:F433,COLUMN($A$1:$D$1)-1)+SUMPRODUCT(H433:K433,COLUMN($E$1:$H$1)-1))*'Line Follower'!$C$3/SUM(C433:F433,H433:K433)-'Line Follower'!$C$5)))</f>
        <v>#N/A</v>
      </c>
      <c r="O433" s="22" t="e">
        <v>#N/A</v>
      </c>
      <c r="P433" s="4" t="e">
        <f t="shared" si="30"/>
        <v>#N/A</v>
      </c>
      <c r="Q433" s="4" t="e">
        <f t="shared" si="31"/>
        <v>#N/A</v>
      </c>
      <c r="R433" s="4" t="e">
        <f>IF(AND(B433=1,N433&gt;'Line Follower'!$C$7,SUM(C433:K433)&lt;4),1,0)</f>
        <v>#N/A</v>
      </c>
      <c r="S433" s="4" t="e">
        <f>IF(AND(L433=1,N433&lt;'Line Follower'!$C$6,SUM(C433:K433)&lt;4),1,0)</f>
        <v>#N/A</v>
      </c>
      <c r="T433" s="4" t="e">
        <f t="shared" si="32"/>
        <v>#N/A</v>
      </c>
      <c r="U433" s="5" t="e">
        <f t="shared" si="33"/>
        <v>#N/A</v>
      </c>
      <c r="V433" s="23" t="e">
        <f t="shared" si="34"/>
        <v>#N/A</v>
      </c>
    </row>
    <row r="434" spans="2:22" x14ac:dyDescent="0.25">
      <c r="B434" s="16">
        <v>1</v>
      </c>
      <c r="C434" s="7">
        <v>1</v>
      </c>
      <c r="D434" s="8">
        <v>1</v>
      </c>
      <c r="E434" s="8">
        <v>1</v>
      </c>
      <c r="F434" s="8">
        <v>0</v>
      </c>
      <c r="G434" s="8">
        <v>1</v>
      </c>
      <c r="H434" s="8">
        <v>0</v>
      </c>
      <c r="I434" s="8">
        <v>1</v>
      </c>
      <c r="J434" s="8">
        <v>1</v>
      </c>
      <c r="K434" s="9">
        <v>0</v>
      </c>
      <c r="L434" s="10">
        <v>0</v>
      </c>
      <c r="M434" s="6">
        <v>0</v>
      </c>
      <c r="N434" s="37" t="e" cm="1">
        <f t="array" ref="N434">IF(OR(ISNUMBER(FIND(Aux!$D$3:$D$9,_xlfn.TEXTJOIN(,,C434:K434)))),NA(),IF(AND(SUM(C434:F434,H434:K434)=0,G434=1),0,INT((SUMPRODUCT(C434:F434,COLUMN($A$1:$D$1)-1)+SUMPRODUCT(H434:K434,COLUMN($E$1:$H$1)-1))*'Line Follower'!$C$3/SUM(C434:F434,H434:K434)-'Line Follower'!$C$5)))</f>
        <v>#N/A</v>
      </c>
      <c r="O434" s="22" t="e">
        <v>#N/A</v>
      </c>
      <c r="P434" s="4" t="e">
        <f t="shared" si="30"/>
        <v>#N/A</v>
      </c>
      <c r="Q434" s="4" t="e">
        <f t="shared" si="31"/>
        <v>#N/A</v>
      </c>
      <c r="R434" s="4" t="e">
        <f>IF(AND(B434=1,N434&gt;'Line Follower'!$C$7,SUM(C434:K434)&lt;4),1,0)</f>
        <v>#N/A</v>
      </c>
      <c r="S434" s="4" t="e">
        <f>IF(AND(L434=1,N434&lt;'Line Follower'!$C$6,SUM(C434:K434)&lt;4),1,0)</f>
        <v>#N/A</v>
      </c>
      <c r="T434" s="4" t="e">
        <f t="shared" si="32"/>
        <v>#N/A</v>
      </c>
      <c r="U434" s="5" t="e">
        <f t="shared" si="33"/>
        <v>#N/A</v>
      </c>
      <c r="V434" s="23" t="e">
        <f t="shared" si="34"/>
        <v>#N/A</v>
      </c>
    </row>
    <row r="435" spans="2:22" x14ac:dyDescent="0.25">
      <c r="B435" s="16">
        <v>0</v>
      </c>
      <c r="C435" s="7">
        <v>0</v>
      </c>
      <c r="D435" s="8">
        <v>0</v>
      </c>
      <c r="E435" s="8">
        <v>0</v>
      </c>
      <c r="F435" s="8">
        <v>1</v>
      </c>
      <c r="G435" s="8">
        <v>1</v>
      </c>
      <c r="H435" s="8">
        <v>0</v>
      </c>
      <c r="I435" s="8">
        <v>1</v>
      </c>
      <c r="J435" s="8">
        <v>1</v>
      </c>
      <c r="K435" s="9">
        <v>0</v>
      </c>
      <c r="L435" s="10">
        <v>0</v>
      </c>
      <c r="M435" s="6">
        <v>0</v>
      </c>
      <c r="N435" s="37" t="e" cm="1">
        <f t="array" ref="N435">IF(OR(ISNUMBER(FIND(Aux!$D$3:$D$9,_xlfn.TEXTJOIN(,,C435:K435)))),NA(),IF(AND(SUM(C435:F435,H435:K435)=0,G435=1),0,INT((SUMPRODUCT(C435:F435,COLUMN($A$1:$D$1)-1)+SUMPRODUCT(H435:K435,COLUMN($E$1:$H$1)-1))*'Line Follower'!$C$3/SUM(C435:F435,H435:K435)-'Line Follower'!$C$5)))</f>
        <v>#N/A</v>
      </c>
      <c r="O435" s="22" t="e">
        <v>#N/A</v>
      </c>
      <c r="P435" s="4" t="e">
        <f t="shared" si="30"/>
        <v>#N/A</v>
      </c>
      <c r="Q435" s="4" t="e">
        <f t="shared" si="31"/>
        <v>#N/A</v>
      </c>
      <c r="R435" s="4" t="e">
        <f>IF(AND(B435=1,N435&gt;'Line Follower'!$C$7,SUM(C435:K435)&lt;4),1,0)</f>
        <v>#N/A</v>
      </c>
      <c r="S435" s="4" t="e">
        <f>IF(AND(L435=1,N435&lt;'Line Follower'!$C$6,SUM(C435:K435)&lt;4),1,0)</f>
        <v>#N/A</v>
      </c>
      <c r="T435" s="4" t="e">
        <f t="shared" si="32"/>
        <v>#N/A</v>
      </c>
      <c r="U435" s="5" t="e">
        <f t="shared" si="33"/>
        <v>#N/A</v>
      </c>
      <c r="V435" s="23" t="e">
        <f t="shared" si="34"/>
        <v>#N/A</v>
      </c>
    </row>
    <row r="436" spans="2:22" x14ac:dyDescent="0.25">
      <c r="B436" s="16">
        <v>1</v>
      </c>
      <c r="C436" s="7">
        <v>0</v>
      </c>
      <c r="D436" s="8">
        <v>0</v>
      </c>
      <c r="E436" s="8">
        <v>0</v>
      </c>
      <c r="F436" s="8">
        <v>1</v>
      </c>
      <c r="G436" s="8">
        <v>1</v>
      </c>
      <c r="H436" s="8">
        <v>0</v>
      </c>
      <c r="I436" s="8">
        <v>1</v>
      </c>
      <c r="J436" s="8">
        <v>1</v>
      </c>
      <c r="K436" s="9">
        <v>0</v>
      </c>
      <c r="L436" s="10">
        <v>0</v>
      </c>
      <c r="M436" s="6">
        <v>0</v>
      </c>
      <c r="N436" s="37" t="e" cm="1">
        <f t="array" ref="N436">IF(OR(ISNUMBER(FIND(Aux!$D$3:$D$9,_xlfn.TEXTJOIN(,,C436:K436)))),NA(),IF(AND(SUM(C436:F436,H436:K436)=0,G436=1),0,INT((SUMPRODUCT(C436:F436,COLUMN($A$1:$D$1)-1)+SUMPRODUCT(H436:K436,COLUMN($E$1:$H$1)-1))*'Line Follower'!$C$3/SUM(C436:F436,H436:K436)-'Line Follower'!$C$5)))</f>
        <v>#N/A</v>
      </c>
      <c r="O436" s="22" t="e">
        <v>#N/A</v>
      </c>
      <c r="P436" s="4" t="e">
        <f t="shared" si="30"/>
        <v>#N/A</v>
      </c>
      <c r="Q436" s="4" t="e">
        <f t="shared" si="31"/>
        <v>#N/A</v>
      </c>
      <c r="R436" s="4" t="e">
        <f>IF(AND(B436=1,N436&gt;'Line Follower'!$C$7,SUM(C436:K436)&lt;4),1,0)</f>
        <v>#N/A</v>
      </c>
      <c r="S436" s="4" t="e">
        <f>IF(AND(L436=1,N436&lt;'Line Follower'!$C$6,SUM(C436:K436)&lt;4),1,0)</f>
        <v>#N/A</v>
      </c>
      <c r="T436" s="4" t="e">
        <f t="shared" si="32"/>
        <v>#N/A</v>
      </c>
      <c r="U436" s="5" t="e">
        <f t="shared" si="33"/>
        <v>#N/A</v>
      </c>
      <c r="V436" s="23" t="e">
        <f t="shared" si="34"/>
        <v>#N/A</v>
      </c>
    </row>
    <row r="437" spans="2:22" x14ac:dyDescent="0.25">
      <c r="B437" s="16">
        <v>0</v>
      </c>
      <c r="C437" s="7">
        <v>1</v>
      </c>
      <c r="D437" s="8">
        <v>0</v>
      </c>
      <c r="E437" s="8">
        <v>0</v>
      </c>
      <c r="F437" s="8">
        <v>1</v>
      </c>
      <c r="G437" s="8">
        <v>1</v>
      </c>
      <c r="H437" s="8">
        <v>0</v>
      </c>
      <c r="I437" s="8">
        <v>1</v>
      </c>
      <c r="J437" s="8">
        <v>1</v>
      </c>
      <c r="K437" s="9">
        <v>0</v>
      </c>
      <c r="L437" s="10">
        <v>0</v>
      </c>
      <c r="M437" s="6">
        <v>0</v>
      </c>
      <c r="N437" s="37" t="e" cm="1">
        <f t="array" ref="N437">IF(OR(ISNUMBER(FIND(Aux!$D$3:$D$9,_xlfn.TEXTJOIN(,,C437:K437)))),NA(),IF(AND(SUM(C437:F437,H437:K437)=0,G437=1),0,INT((SUMPRODUCT(C437:F437,COLUMN($A$1:$D$1)-1)+SUMPRODUCT(H437:K437,COLUMN($E$1:$H$1)-1))*'Line Follower'!$C$3/SUM(C437:F437,H437:K437)-'Line Follower'!$C$5)))</f>
        <v>#N/A</v>
      </c>
      <c r="O437" s="22" t="e">
        <v>#N/A</v>
      </c>
      <c r="P437" s="4" t="e">
        <f t="shared" si="30"/>
        <v>#N/A</v>
      </c>
      <c r="Q437" s="4" t="e">
        <f t="shared" si="31"/>
        <v>#N/A</v>
      </c>
      <c r="R437" s="4" t="e">
        <f>IF(AND(B437=1,N437&gt;'Line Follower'!$C$7,SUM(C437:K437)&lt;4),1,0)</f>
        <v>#N/A</v>
      </c>
      <c r="S437" s="4" t="e">
        <f>IF(AND(L437=1,N437&lt;'Line Follower'!$C$6,SUM(C437:K437)&lt;4),1,0)</f>
        <v>#N/A</v>
      </c>
      <c r="T437" s="4" t="e">
        <f t="shared" si="32"/>
        <v>#N/A</v>
      </c>
      <c r="U437" s="5" t="e">
        <f t="shared" si="33"/>
        <v>#N/A</v>
      </c>
      <c r="V437" s="23" t="e">
        <f t="shared" si="34"/>
        <v>#N/A</v>
      </c>
    </row>
    <row r="438" spans="2:22" x14ac:dyDescent="0.25">
      <c r="B438" s="16">
        <v>1</v>
      </c>
      <c r="C438" s="7">
        <v>1</v>
      </c>
      <c r="D438" s="8">
        <v>0</v>
      </c>
      <c r="E438" s="8">
        <v>0</v>
      </c>
      <c r="F438" s="8">
        <v>1</v>
      </c>
      <c r="G438" s="8">
        <v>1</v>
      </c>
      <c r="H438" s="8">
        <v>0</v>
      </c>
      <c r="I438" s="8">
        <v>1</v>
      </c>
      <c r="J438" s="8">
        <v>1</v>
      </c>
      <c r="K438" s="9">
        <v>0</v>
      </c>
      <c r="L438" s="10">
        <v>0</v>
      </c>
      <c r="M438" s="6">
        <v>0</v>
      </c>
      <c r="N438" s="37" t="e" cm="1">
        <f t="array" ref="N438">IF(OR(ISNUMBER(FIND(Aux!$D$3:$D$9,_xlfn.TEXTJOIN(,,C438:K438)))),NA(),IF(AND(SUM(C438:F438,H438:K438)=0,G438=1),0,INT((SUMPRODUCT(C438:F438,COLUMN($A$1:$D$1)-1)+SUMPRODUCT(H438:K438,COLUMN($E$1:$H$1)-1))*'Line Follower'!$C$3/SUM(C438:F438,H438:K438)-'Line Follower'!$C$5)))</f>
        <v>#N/A</v>
      </c>
      <c r="O438" s="22" t="e">
        <v>#N/A</v>
      </c>
      <c r="P438" s="4" t="e">
        <f t="shared" si="30"/>
        <v>#N/A</v>
      </c>
      <c r="Q438" s="4" t="e">
        <f t="shared" si="31"/>
        <v>#N/A</v>
      </c>
      <c r="R438" s="4" t="e">
        <f>IF(AND(B438=1,N438&gt;'Line Follower'!$C$7,SUM(C438:K438)&lt;4),1,0)</f>
        <v>#N/A</v>
      </c>
      <c r="S438" s="4" t="e">
        <f>IF(AND(L438=1,N438&lt;'Line Follower'!$C$6,SUM(C438:K438)&lt;4),1,0)</f>
        <v>#N/A</v>
      </c>
      <c r="T438" s="4" t="e">
        <f t="shared" si="32"/>
        <v>#N/A</v>
      </c>
      <c r="U438" s="5" t="e">
        <f t="shared" si="33"/>
        <v>#N/A</v>
      </c>
      <c r="V438" s="23" t="e">
        <f t="shared" si="34"/>
        <v>#N/A</v>
      </c>
    </row>
    <row r="439" spans="2:22" x14ac:dyDescent="0.25">
      <c r="B439" s="16">
        <v>0</v>
      </c>
      <c r="C439" s="7">
        <v>0</v>
      </c>
      <c r="D439" s="8">
        <v>1</v>
      </c>
      <c r="E439" s="8">
        <v>0</v>
      </c>
      <c r="F439" s="8">
        <v>1</v>
      </c>
      <c r="G439" s="8">
        <v>1</v>
      </c>
      <c r="H439" s="8">
        <v>0</v>
      </c>
      <c r="I439" s="8">
        <v>1</v>
      </c>
      <c r="J439" s="8">
        <v>1</v>
      </c>
      <c r="K439" s="9">
        <v>0</v>
      </c>
      <c r="L439" s="10">
        <v>0</v>
      </c>
      <c r="M439" s="6">
        <v>0</v>
      </c>
      <c r="N439" s="37" t="e" cm="1">
        <f t="array" ref="N439">IF(OR(ISNUMBER(FIND(Aux!$D$3:$D$9,_xlfn.TEXTJOIN(,,C439:K439)))),NA(),IF(AND(SUM(C439:F439,H439:K439)=0,G439=1),0,INT((SUMPRODUCT(C439:F439,COLUMN($A$1:$D$1)-1)+SUMPRODUCT(H439:K439,COLUMN($E$1:$H$1)-1))*'Line Follower'!$C$3/SUM(C439:F439,H439:K439)-'Line Follower'!$C$5)))</f>
        <v>#N/A</v>
      </c>
      <c r="O439" s="22" t="e">
        <v>#N/A</v>
      </c>
      <c r="P439" s="4" t="e">
        <f t="shared" si="30"/>
        <v>#N/A</v>
      </c>
      <c r="Q439" s="4" t="e">
        <f t="shared" si="31"/>
        <v>#N/A</v>
      </c>
      <c r="R439" s="4" t="e">
        <f>IF(AND(B439=1,N439&gt;'Line Follower'!$C$7,SUM(C439:K439)&lt;4),1,0)</f>
        <v>#N/A</v>
      </c>
      <c r="S439" s="4" t="e">
        <f>IF(AND(L439=1,N439&lt;'Line Follower'!$C$6,SUM(C439:K439)&lt;4),1,0)</f>
        <v>#N/A</v>
      </c>
      <c r="T439" s="4" t="e">
        <f t="shared" si="32"/>
        <v>#N/A</v>
      </c>
      <c r="U439" s="5" t="e">
        <f t="shared" si="33"/>
        <v>#N/A</v>
      </c>
      <c r="V439" s="23" t="e">
        <f t="shared" si="34"/>
        <v>#N/A</v>
      </c>
    </row>
    <row r="440" spans="2:22" x14ac:dyDescent="0.25">
      <c r="B440" s="16">
        <v>1</v>
      </c>
      <c r="C440" s="7">
        <v>0</v>
      </c>
      <c r="D440" s="8">
        <v>1</v>
      </c>
      <c r="E440" s="8">
        <v>0</v>
      </c>
      <c r="F440" s="8">
        <v>1</v>
      </c>
      <c r="G440" s="8">
        <v>1</v>
      </c>
      <c r="H440" s="8">
        <v>0</v>
      </c>
      <c r="I440" s="8">
        <v>1</v>
      </c>
      <c r="J440" s="8">
        <v>1</v>
      </c>
      <c r="K440" s="9">
        <v>0</v>
      </c>
      <c r="L440" s="10">
        <v>0</v>
      </c>
      <c r="M440" s="6">
        <v>0</v>
      </c>
      <c r="N440" s="37" t="e" cm="1">
        <f t="array" ref="N440">IF(OR(ISNUMBER(FIND(Aux!$D$3:$D$9,_xlfn.TEXTJOIN(,,C440:K440)))),NA(),IF(AND(SUM(C440:F440,H440:K440)=0,G440=1),0,INT((SUMPRODUCT(C440:F440,COLUMN($A$1:$D$1)-1)+SUMPRODUCT(H440:K440,COLUMN($E$1:$H$1)-1))*'Line Follower'!$C$3/SUM(C440:F440,H440:K440)-'Line Follower'!$C$5)))</f>
        <v>#N/A</v>
      </c>
      <c r="O440" s="22" t="e">
        <v>#N/A</v>
      </c>
      <c r="P440" s="4" t="e">
        <f t="shared" si="30"/>
        <v>#N/A</v>
      </c>
      <c r="Q440" s="4" t="e">
        <f t="shared" si="31"/>
        <v>#N/A</v>
      </c>
      <c r="R440" s="4" t="e">
        <f>IF(AND(B440=1,N440&gt;'Line Follower'!$C$7,SUM(C440:K440)&lt;4),1,0)</f>
        <v>#N/A</v>
      </c>
      <c r="S440" s="4" t="e">
        <f>IF(AND(L440=1,N440&lt;'Line Follower'!$C$6,SUM(C440:K440)&lt;4),1,0)</f>
        <v>#N/A</v>
      </c>
      <c r="T440" s="4" t="e">
        <f t="shared" si="32"/>
        <v>#N/A</v>
      </c>
      <c r="U440" s="5" t="e">
        <f t="shared" si="33"/>
        <v>#N/A</v>
      </c>
      <c r="V440" s="23" t="e">
        <f t="shared" si="34"/>
        <v>#N/A</v>
      </c>
    </row>
    <row r="441" spans="2:22" x14ac:dyDescent="0.25">
      <c r="B441" s="16">
        <v>0</v>
      </c>
      <c r="C441" s="7">
        <v>1</v>
      </c>
      <c r="D441" s="8">
        <v>1</v>
      </c>
      <c r="E441" s="8">
        <v>0</v>
      </c>
      <c r="F441" s="8">
        <v>1</v>
      </c>
      <c r="G441" s="8">
        <v>1</v>
      </c>
      <c r="H441" s="8">
        <v>0</v>
      </c>
      <c r="I441" s="8">
        <v>1</v>
      </c>
      <c r="J441" s="8">
        <v>1</v>
      </c>
      <c r="K441" s="9">
        <v>0</v>
      </c>
      <c r="L441" s="10">
        <v>0</v>
      </c>
      <c r="M441" s="6">
        <v>0</v>
      </c>
      <c r="N441" s="37" t="e" cm="1">
        <f t="array" ref="N441">IF(OR(ISNUMBER(FIND(Aux!$D$3:$D$9,_xlfn.TEXTJOIN(,,C441:K441)))),NA(),IF(AND(SUM(C441:F441,H441:K441)=0,G441=1),0,INT((SUMPRODUCT(C441:F441,COLUMN($A$1:$D$1)-1)+SUMPRODUCT(H441:K441,COLUMN($E$1:$H$1)-1))*'Line Follower'!$C$3/SUM(C441:F441,H441:K441)-'Line Follower'!$C$5)))</f>
        <v>#N/A</v>
      </c>
      <c r="O441" s="22" t="e">
        <v>#N/A</v>
      </c>
      <c r="P441" s="4" t="e">
        <f t="shared" si="30"/>
        <v>#N/A</v>
      </c>
      <c r="Q441" s="4" t="e">
        <f t="shared" si="31"/>
        <v>#N/A</v>
      </c>
      <c r="R441" s="4" t="e">
        <f>IF(AND(B441=1,N441&gt;'Line Follower'!$C$7,SUM(C441:K441)&lt;4),1,0)</f>
        <v>#N/A</v>
      </c>
      <c r="S441" s="4" t="e">
        <f>IF(AND(L441=1,N441&lt;'Line Follower'!$C$6,SUM(C441:K441)&lt;4),1,0)</f>
        <v>#N/A</v>
      </c>
      <c r="T441" s="4" t="e">
        <f t="shared" si="32"/>
        <v>#N/A</v>
      </c>
      <c r="U441" s="5" t="e">
        <f t="shared" si="33"/>
        <v>#N/A</v>
      </c>
      <c r="V441" s="23" t="e">
        <f t="shared" si="34"/>
        <v>#N/A</v>
      </c>
    </row>
    <row r="442" spans="2:22" x14ac:dyDescent="0.25">
      <c r="B442" s="16">
        <v>1</v>
      </c>
      <c r="C442" s="7">
        <v>1</v>
      </c>
      <c r="D442" s="8">
        <v>1</v>
      </c>
      <c r="E442" s="8">
        <v>0</v>
      </c>
      <c r="F442" s="8">
        <v>1</v>
      </c>
      <c r="G442" s="8">
        <v>1</v>
      </c>
      <c r="H442" s="8">
        <v>0</v>
      </c>
      <c r="I442" s="8">
        <v>1</v>
      </c>
      <c r="J442" s="8">
        <v>1</v>
      </c>
      <c r="K442" s="9">
        <v>0</v>
      </c>
      <c r="L442" s="10">
        <v>0</v>
      </c>
      <c r="M442" s="6">
        <v>0</v>
      </c>
      <c r="N442" s="37" t="e" cm="1">
        <f t="array" ref="N442">IF(OR(ISNUMBER(FIND(Aux!$D$3:$D$9,_xlfn.TEXTJOIN(,,C442:K442)))),NA(),IF(AND(SUM(C442:F442,H442:K442)=0,G442=1),0,INT((SUMPRODUCT(C442:F442,COLUMN($A$1:$D$1)-1)+SUMPRODUCT(H442:K442,COLUMN($E$1:$H$1)-1))*'Line Follower'!$C$3/SUM(C442:F442,H442:K442)-'Line Follower'!$C$5)))</f>
        <v>#N/A</v>
      </c>
      <c r="O442" s="22" t="e">
        <v>#N/A</v>
      </c>
      <c r="P442" s="4" t="e">
        <f t="shared" si="30"/>
        <v>#N/A</v>
      </c>
      <c r="Q442" s="4" t="e">
        <f t="shared" si="31"/>
        <v>#N/A</v>
      </c>
      <c r="R442" s="4" t="e">
        <f>IF(AND(B442=1,N442&gt;'Line Follower'!$C$7,SUM(C442:K442)&lt;4),1,0)</f>
        <v>#N/A</v>
      </c>
      <c r="S442" s="4" t="e">
        <f>IF(AND(L442=1,N442&lt;'Line Follower'!$C$6,SUM(C442:K442)&lt;4),1,0)</f>
        <v>#N/A</v>
      </c>
      <c r="T442" s="4" t="e">
        <f t="shared" si="32"/>
        <v>#N/A</v>
      </c>
      <c r="U442" s="5" t="e">
        <f t="shared" si="33"/>
        <v>#N/A</v>
      </c>
      <c r="V442" s="23" t="e">
        <f t="shared" si="34"/>
        <v>#N/A</v>
      </c>
    </row>
    <row r="443" spans="2:22" x14ac:dyDescent="0.25">
      <c r="B443" s="16">
        <v>0</v>
      </c>
      <c r="C443" s="7">
        <v>0</v>
      </c>
      <c r="D443" s="8">
        <v>0</v>
      </c>
      <c r="E443" s="8">
        <v>1</v>
      </c>
      <c r="F443" s="8">
        <v>1</v>
      </c>
      <c r="G443" s="8">
        <v>1</v>
      </c>
      <c r="H443" s="8">
        <v>0</v>
      </c>
      <c r="I443" s="8">
        <v>1</v>
      </c>
      <c r="J443" s="8">
        <v>1</v>
      </c>
      <c r="K443" s="9">
        <v>0</v>
      </c>
      <c r="L443" s="10">
        <v>0</v>
      </c>
      <c r="M443" s="6">
        <v>0</v>
      </c>
      <c r="N443" s="37" t="e" cm="1">
        <f t="array" ref="N443">IF(OR(ISNUMBER(FIND(Aux!$D$3:$D$9,_xlfn.TEXTJOIN(,,C443:K443)))),NA(),IF(AND(SUM(C443:F443,H443:K443)=0,G443=1),0,INT((SUMPRODUCT(C443:F443,COLUMN($A$1:$D$1)-1)+SUMPRODUCT(H443:K443,COLUMN($E$1:$H$1)-1))*'Line Follower'!$C$3/SUM(C443:F443,H443:K443)-'Line Follower'!$C$5)))</f>
        <v>#N/A</v>
      </c>
      <c r="O443" s="22" t="e">
        <v>#N/A</v>
      </c>
      <c r="P443" s="4" t="e">
        <f t="shared" si="30"/>
        <v>#N/A</v>
      </c>
      <c r="Q443" s="4" t="e">
        <f t="shared" si="31"/>
        <v>#N/A</v>
      </c>
      <c r="R443" s="4" t="e">
        <f>IF(AND(B443=1,N443&gt;'Line Follower'!$C$7,SUM(C443:K443)&lt;4),1,0)</f>
        <v>#N/A</v>
      </c>
      <c r="S443" s="4" t="e">
        <f>IF(AND(L443=1,N443&lt;'Line Follower'!$C$6,SUM(C443:K443)&lt;4),1,0)</f>
        <v>#N/A</v>
      </c>
      <c r="T443" s="4" t="e">
        <f t="shared" si="32"/>
        <v>#N/A</v>
      </c>
      <c r="U443" s="5" t="e">
        <f t="shared" si="33"/>
        <v>#N/A</v>
      </c>
      <c r="V443" s="23" t="e">
        <f t="shared" si="34"/>
        <v>#N/A</v>
      </c>
    </row>
    <row r="444" spans="2:22" x14ac:dyDescent="0.25">
      <c r="B444" s="16">
        <v>1</v>
      </c>
      <c r="C444" s="7">
        <v>0</v>
      </c>
      <c r="D444" s="8">
        <v>0</v>
      </c>
      <c r="E444" s="8">
        <v>1</v>
      </c>
      <c r="F444" s="8">
        <v>1</v>
      </c>
      <c r="G444" s="8">
        <v>1</v>
      </c>
      <c r="H444" s="8">
        <v>0</v>
      </c>
      <c r="I444" s="8">
        <v>1</v>
      </c>
      <c r="J444" s="8">
        <v>1</v>
      </c>
      <c r="K444" s="9">
        <v>0</v>
      </c>
      <c r="L444" s="10">
        <v>0</v>
      </c>
      <c r="M444" s="6">
        <v>0</v>
      </c>
      <c r="N444" s="37" t="e" cm="1">
        <f t="array" ref="N444">IF(OR(ISNUMBER(FIND(Aux!$D$3:$D$9,_xlfn.TEXTJOIN(,,C444:K444)))),NA(),IF(AND(SUM(C444:F444,H444:K444)=0,G444=1),0,INT((SUMPRODUCT(C444:F444,COLUMN($A$1:$D$1)-1)+SUMPRODUCT(H444:K444,COLUMN($E$1:$H$1)-1))*'Line Follower'!$C$3/SUM(C444:F444,H444:K444)-'Line Follower'!$C$5)))</f>
        <v>#N/A</v>
      </c>
      <c r="O444" s="22" t="e">
        <v>#N/A</v>
      </c>
      <c r="P444" s="4" t="e">
        <f t="shared" si="30"/>
        <v>#N/A</v>
      </c>
      <c r="Q444" s="4" t="e">
        <f t="shared" si="31"/>
        <v>#N/A</v>
      </c>
      <c r="R444" s="4" t="e">
        <f>IF(AND(B444=1,N444&gt;'Line Follower'!$C$7,SUM(C444:K444)&lt;4),1,0)</f>
        <v>#N/A</v>
      </c>
      <c r="S444" s="4" t="e">
        <f>IF(AND(L444=1,N444&lt;'Line Follower'!$C$6,SUM(C444:K444)&lt;4),1,0)</f>
        <v>#N/A</v>
      </c>
      <c r="T444" s="4" t="e">
        <f t="shared" si="32"/>
        <v>#N/A</v>
      </c>
      <c r="U444" s="5" t="e">
        <f t="shared" si="33"/>
        <v>#N/A</v>
      </c>
      <c r="V444" s="23" t="e">
        <f t="shared" si="34"/>
        <v>#N/A</v>
      </c>
    </row>
    <row r="445" spans="2:22" x14ac:dyDescent="0.25">
      <c r="B445" s="16">
        <v>0</v>
      </c>
      <c r="C445" s="7">
        <v>1</v>
      </c>
      <c r="D445" s="8">
        <v>0</v>
      </c>
      <c r="E445" s="8">
        <v>1</v>
      </c>
      <c r="F445" s="8">
        <v>1</v>
      </c>
      <c r="G445" s="8">
        <v>1</v>
      </c>
      <c r="H445" s="8">
        <v>0</v>
      </c>
      <c r="I445" s="8">
        <v>1</v>
      </c>
      <c r="J445" s="8">
        <v>1</v>
      </c>
      <c r="K445" s="9">
        <v>0</v>
      </c>
      <c r="L445" s="10">
        <v>0</v>
      </c>
      <c r="M445" s="6">
        <v>0</v>
      </c>
      <c r="N445" s="37" t="e" cm="1">
        <f t="array" ref="N445">IF(OR(ISNUMBER(FIND(Aux!$D$3:$D$9,_xlfn.TEXTJOIN(,,C445:K445)))),NA(),IF(AND(SUM(C445:F445,H445:K445)=0,G445=1),0,INT((SUMPRODUCT(C445:F445,COLUMN($A$1:$D$1)-1)+SUMPRODUCT(H445:K445,COLUMN($E$1:$H$1)-1))*'Line Follower'!$C$3/SUM(C445:F445,H445:K445)-'Line Follower'!$C$5)))</f>
        <v>#N/A</v>
      </c>
      <c r="O445" s="22" t="e">
        <v>#N/A</v>
      </c>
      <c r="P445" s="4" t="e">
        <f t="shared" si="30"/>
        <v>#N/A</v>
      </c>
      <c r="Q445" s="4" t="e">
        <f t="shared" si="31"/>
        <v>#N/A</v>
      </c>
      <c r="R445" s="4" t="e">
        <f>IF(AND(B445=1,N445&gt;'Line Follower'!$C$7,SUM(C445:K445)&lt;4),1,0)</f>
        <v>#N/A</v>
      </c>
      <c r="S445" s="4" t="e">
        <f>IF(AND(L445=1,N445&lt;'Line Follower'!$C$6,SUM(C445:K445)&lt;4),1,0)</f>
        <v>#N/A</v>
      </c>
      <c r="T445" s="4" t="e">
        <f t="shared" si="32"/>
        <v>#N/A</v>
      </c>
      <c r="U445" s="5" t="e">
        <f t="shared" si="33"/>
        <v>#N/A</v>
      </c>
      <c r="V445" s="23" t="e">
        <f t="shared" si="34"/>
        <v>#N/A</v>
      </c>
    </row>
    <row r="446" spans="2:22" x14ac:dyDescent="0.25">
      <c r="B446" s="16">
        <v>1</v>
      </c>
      <c r="C446" s="7">
        <v>1</v>
      </c>
      <c r="D446" s="8">
        <v>0</v>
      </c>
      <c r="E446" s="8">
        <v>1</v>
      </c>
      <c r="F446" s="8">
        <v>1</v>
      </c>
      <c r="G446" s="8">
        <v>1</v>
      </c>
      <c r="H446" s="8">
        <v>0</v>
      </c>
      <c r="I446" s="8">
        <v>1</v>
      </c>
      <c r="J446" s="8">
        <v>1</v>
      </c>
      <c r="K446" s="9">
        <v>0</v>
      </c>
      <c r="L446" s="10">
        <v>0</v>
      </c>
      <c r="M446" s="6">
        <v>0</v>
      </c>
      <c r="N446" s="37" t="e" cm="1">
        <f t="array" ref="N446">IF(OR(ISNUMBER(FIND(Aux!$D$3:$D$9,_xlfn.TEXTJOIN(,,C446:K446)))),NA(),IF(AND(SUM(C446:F446,H446:K446)=0,G446=1),0,INT((SUMPRODUCT(C446:F446,COLUMN($A$1:$D$1)-1)+SUMPRODUCT(H446:K446,COLUMN($E$1:$H$1)-1))*'Line Follower'!$C$3/SUM(C446:F446,H446:K446)-'Line Follower'!$C$5)))</f>
        <v>#N/A</v>
      </c>
      <c r="O446" s="22" t="e">
        <v>#N/A</v>
      </c>
      <c r="P446" s="4" t="e">
        <f t="shared" si="30"/>
        <v>#N/A</v>
      </c>
      <c r="Q446" s="4" t="e">
        <f t="shared" si="31"/>
        <v>#N/A</v>
      </c>
      <c r="R446" s="4" t="e">
        <f>IF(AND(B446=1,N446&gt;'Line Follower'!$C$7,SUM(C446:K446)&lt;4),1,0)</f>
        <v>#N/A</v>
      </c>
      <c r="S446" s="4" t="e">
        <f>IF(AND(L446=1,N446&lt;'Line Follower'!$C$6,SUM(C446:K446)&lt;4),1,0)</f>
        <v>#N/A</v>
      </c>
      <c r="T446" s="4" t="e">
        <f t="shared" si="32"/>
        <v>#N/A</v>
      </c>
      <c r="U446" s="5" t="e">
        <f t="shared" si="33"/>
        <v>#N/A</v>
      </c>
      <c r="V446" s="23" t="e">
        <f t="shared" si="34"/>
        <v>#N/A</v>
      </c>
    </row>
    <row r="447" spans="2:22" x14ac:dyDescent="0.25">
      <c r="B447" s="16">
        <v>0</v>
      </c>
      <c r="C447" s="7">
        <v>0</v>
      </c>
      <c r="D447" s="8">
        <v>1</v>
      </c>
      <c r="E447" s="8">
        <v>1</v>
      </c>
      <c r="F447" s="8">
        <v>1</v>
      </c>
      <c r="G447" s="8">
        <v>1</v>
      </c>
      <c r="H447" s="8">
        <v>0</v>
      </c>
      <c r="I447" s="8">
        <v>1</v>
      </c>
      <c r="J447" s="8">
        <v>1</v>
      </c>
      <c r="K447" s="9">
        <v>0</v>
      </c>
      <c r="L447" s="10">
        <v>0</v>
      </c>
      <c r="M447" s="6">
        <v>0</v>
      </c>
      <c r="N447" s="37" t="e" cm="1">
        <f t="array" ref="N447">IF(OR(ISNUMBER(FIND(Aux!$D$3:$D$9,_xlfn.TEXTJOIN(,,C447:K447)))),NA(),IF(AND(SUM(C447:F447,H447:K447)=0,G447=1),0,INT((SUMPRODUCT(C447:F447,COLUMN($A$1:$D$1)-1)+SUMPRODUCT(H447:K447,COLUMN($E$1:$H$1)-1))*'Line Follower'!$C$3/SUM(C447:F447,H447:K447)-'Line Follower'!$C$5)))</f>
        <v>#N/A</v>
      </c>
      <c r="O447" s="22" t="e">
        <v>#N/A</v>
      </c>
      <c r="P447" s="4" t="e">
        <f t="shared" si="30"/>
        <v>#N/A</v>
      </c>
      <c r="Q447" s="4" t="e">
        <f t="shared" si="31"/>
        <v>#N/A</v>
      </c>
      <c r="R447" s="4" t="e">
        <f>IF(AND(B447=1,N447&gt;'Line Follower'!$C$7,SUM(C447:K447)&lt;4),1,0)</f>
        <v>#N/A</v>
      </c>
      <c r="S447" s="4" t="e">
        <f>IF(AND(L447=1,N447&lt;'Line Follower'!$C$6,SUM(C447:K447)&lt;4),1,0)</f>
        <v>#N/A</v>
      </c>
      <c r="T447" s="4" t="e">
        <f t="shared" si="32"/>
        <v>#N/A</v>
      </c>
      <c r="U447" s="5" t="e">
        <f t="shared" si="33"/>
        <v>#N/A</v>
      </c>
      <c r="V447" s="23" t="e">
        <f t="shared" si="34"/>
        <v>#N/A</v>
      </c>
    </row>
    <row r="448" spans="2:22" x14ac:dyDescent="0.25">
      <c r="B448" s="16">
        <v>1</v>
      </c>
      <c r="C448" s="7">
        <v>0</v>
      </c>
      <c r="D448" s="8">
        <v>1</v>
      </c>
      <c r="E448" s="8">
        <v>1</v>
      </c>
      <c r="F448" s="8">
        <v>1</v>
      </c>
      <c r="G448" s="8">
        <v>1</v>
      </c>
      <c r="H448" s="8">
        <v>0</v>
      </c>
      <c r="I448" s="8">
        <v>1</v>
      </c>
      <c r="J448" s="8">
        <v>1</v>
      </c>
      <c r="K448" s="9">
        <v>0</v>
      </c>
      <c r="L448" s="10">
        <v>0</v>
      </c>
      <c r="M448" s="6">
        <v>0</v>
      </c>
      <c r="N448" s="37" t="e" cm="1">
        <f t="array" ref="N448">IF(OR(ISNUMBER(FIND(Aux!$D$3:$D$9,_xlfn.TEXTJOIN(,,C448:K448)))),NA(),IF(AND(SUM(C448:F448,H448:K448)=0,G448=1),0,INT((SUMPRODUCT(C448:F448,COLUMN($A$1:$D$1)-1)+SUMPRODUCT(H448:K448,COLUMN($E$1:$H$1)-1))*'Line Follower'!$C$3/SUM(C448:F448,H448:K448)-'Line Follower'!$C$5)))</f>
        <v>#N/A</v>
      </c>
      <c r="O448" s="22" t="e">
        <v>#N/A</v>
      </c>
      <c r="P448" s="4" t="e">
        <f t="shared" si="30"/>
        <v>#N/A</v>
      </c>
      <c r="Q448" s="4" t="e">
        <f t="shared" si="31"/>
        <v>#N/A</v>
      </c>
      <c r="R448" s="4" t="e">
        <f>IF(AND(B448=1,N448&gt;'Line Follower'!$C$7,SUM(C448:K448)&lt;4),1,0)</f>
        <v>#N/A</v>
      </c>
      <c r="S448" s="4" t="e">
        <f>IF(AND(L448=1,N448&lt;'Line Follower'!$C$6,SUM(C448:K448)&lt;4),1,0)</f>
        <v>#N/A</v>
      </c>
      <c r="T448" s="4" t="e">
        <f t="shared" si="32"/>
        <v>#N/A</v>
      </c>
      <c r="U448" s="5" t="e">
        <f t="shared" si="33"/>
        <v>#N/A</v>
      </c>
      <c r="V448" s="23" t="e">
        <f t="shared" si="34"/>
        <v>#N/A</v>
      </c>
    </row>
    <row r="449" spans="2:22" x14ac:dyDescent="0.25">
      <c r="B449" s="16">
        <v>0</v>
      </c>
      <c r="C449" s="7">
        <v>1</v>
      </c>
      <c r="D449" s="8">
        <v>1</v>
      </c>
      <c r="E449" s="8">
        <v>1</v>
      </c>
      <c r="F449" s="8">
        <v>1</v>
      </c>
      <c r="G449" s="8">
        <v>1</v>
      </c>
      <c r="H449" s="8">
        <v>0</v>
      </c>
      <c r="I449" s="8">
        <v>1</v>
      </c>
      <c r="J449" s="8">
        <v>1</v>
      </c>
      <c r="K449" s="9">
        <v>0</v>
      </c>
      <c r="L449" s="10">
        <v>0</v>
      </c>
      <c r="M449" s="6">
        <v>0</v>
      </c>
      <c r="N449" s="37" t="e" cm="1">
        <f t="array" ref="N449">IF(OR(ISNUMBER(FIND(Aux!$D$3:$D$9,_xlfn.TEXTJOIN(,,C449:K449)))),NA(),IF(AND(SUM(C449:F449,H449:K449)=0,G449=1),0,INT((SUMPRODUCT(C449:F449,COLUMN($A$1:$D$1)-1)+SUMPRODUCT(H449:K449,COLUMN($E$1:$H$1)-1))*'Line Follower'!$C$3/SUM(C449:F449,H449:K449)-'Line Follower'!$C$5)))</f>
        <v>#N/A</v>
      </c>
      <c r="O449" s="22" t="e">
        <v>#N/A</v>
      </c>
      <c r="P449" s="4" t="e">
        <f t="shared" si="30"/>
        <v>#N/A</v>
      </c>
      <c r="Q449" s="4" t="e">
        <f t="shared" si="31"/>
        <v>#N/A</v>
      </c>
      <c r="R449" s="4" t="e">
        <f>IF(AND(B449=1,N449&gt;'Line Follower'!$C$7,SUM(C449:K449)&lt;4),1,0)</f>
        <v>#N/A</v>
      </c>
      <c r="S449" s="4" t="e">
        <f>IF(AND(L449=1,N449&lt;'Line Follower'!$C$6,SUM(C449:K449)&lt;4),1,0)</f>
        <v>#N/A</v>
      </c>
      <c r="T449" s="4" t="e">
        <f t="shared" si="32"/>
        <v>#N/A</v>
      </c>
      <c r="U449" s="5" t="e">
        <f t="shared" si="33"/>
        <v>#N/A</v>
      </c>
      <c r="V449" s="23" t="e">
        <f t="shared" si="34"/>
        <v>#N/A</v>
      </c>
    </row>
    <row r="450" spans="2:22" x14ac:dyDescent="0.25">
      <c r="B450" s="16">
        <v>1</v>
      </c>
      <c r="C450" s="7">
        <v>1</v>
      </c>
      <c r="D450" s="8">
        <v>1</v>
      </c>
      <c r="E450" s="8">
        <v>1</v>
      </c>
      <c r="F450" s="8">
        <v>1</v>
      </c>
      <c r="G450" s="8">
        <v>1</v>
      </c>
      <c r="H450" s="8">
        <v>0</v>
      </c>
      <c r="I450" s="8">
        <v>1</v>
      </c>
      <c r="J450" s="8">
        <v>1</v>
      </c>
      <c r="K450" s="9">
        <v>0</v>
      </c>
      <c r="L450" s="10">
        <v>0</v>
      </c>
      <c r="M450" s="6">
        <v>0</v>
      </c>
      <c r="N450" s="37" t="e" cm="1">
        <f t="array" ref="N450">IF(OR(ISNUMBER(FIND(Aux!$D$3:$D$9,_xlfn.TEXTJOIN(,,C450:K450)))),NA(),IF(AND(SUM(C450:F450,H450:K450)=0,G450=1),0,INT((SUMPRODUCT(C450:F450,COLUMN($A$1:$D$1)-1)+SUMPRODUCT(H450:K450,COLUMN($E$1:$H$1)-1))*'Line Follower'!$C$3/SUM(C450:F450,H450:K450)-'Line Follower'!$C$5)))</f>
        <v>#N/A</v>
      </c>
      <c r="O450" s="22" t="e">
        <v>#N/A</v>
      </c>
      <c r="P450" s="4" t="e">
        <f t="shared" si="30"/>
        <v>#N/A</v>
      </c>
      <c r="Q450" s="4" t="e">
        <f t="shared" si="31"/>
        <v>#N/A</v>
      </c>
      <c r="R450" s="4" t="e">
        <f>IF(AND(B450=1,N450&gt;'Line Follower'!$C$7,SUM(C450:K450)&lt;4),1,0)</f>
        <v>#N/A</v>
      </c>
      <c r="S450" s="4" t="e">
        <f>IF(AND(L450=1,N450&lt;'Line Follower'!$C$6,SUM(C450:K450)&lt;4),1,0)</f>
        <v>#N/A</v>
      </c>
      <c r="T450" s="4" t="e">
        <f t="shared" si="32"/>
        <v>#N/A</v>
      </c>
      <c r="U450" s="5" t="e">
        <f t="shared" si="33"/>
        <v>#N/A</v>
      </c>
      <c r="V450" s="23" t="e">
        <f t="shared" si="34"/>
        <v>#N/A</v>
      </c>
    </row>
    <row r="451" spans="2:22" x14ac:dyDescent="0.25">
      <c r="B451" s="16">
        <v>0</v>
      </c>
      <c r="C451" s="7">
        <v>0</v>
      </c>
      <c r="D451" s="8">
        <v>0</v>
      </c>
      <c r="E451" s="8">
        <v>0</v>
      </c>
      <c r="F451" s="8">
        <v>0</v>
      </c>
      <c r="G451" s="8">
        <v>0</v>
      </c>
      <c r="H451" s="8">
        <v>1</v>
      </c>
      <c r="I451" s="8">
        <v>1</v>
      </c>
      <c r="J451" s="8">
        <v>1</v>
      </c>
      <c r="K451" s="9">
        <v>0</v>
      </c>
      <c r="L451" s="10">
        <v>0</v>
      </c>
      <c r="M451" s="6">
        <v>0</v>
      </c>
      <c r="N451" s="37" cm="1">
        <f t="array" ref="N451">IF(OR(ISNUMBER(FIND(Aux!$D$3:$D$9,_xlfn.TEXTJOIN(,,C451:K451)))),NA(),IF(AND(SUM(C451:F451,H451:K451)=0,G451=1),0,INT((SUMPRODUCT(C451:F451,COLUMN($A$1:$D$1)-1)+SUMPRODUCT(H451:K451,COLUMN($E$1:$H$1)-1))*'Line Follower'!$C$3/SUM(C451:F451,H451:K451)-'Line Follower'!$C$5)))</f>
        <v>3</v>
      </c>
      <c r="O451" s="22">
        <v>1</v>
      </c>
      <c r="P451" s="4">
        <f t="shared" ref="P451:P514" si="35">IF(AND(N451=0,G451=1,M451=1),1,0)</f>
        <v>0</v>
      </c>
      <c r="Q451" s="4">
        <f t="shared" ref="Q451:Q514" si="36">IF(ISERROR(N451),N451,IF(SUM(C451:K451)&gt;=4,1,0))</f>
        <v>0</v>
      </c>
      <c r="R451" s="4">
        <f>IF(AND(B451=1,N451&gt;'Line Follower'!$C$7,SUM(C451:K451)&lt;4),1,0)</f>
        <v>0</v>
      </c>
      <c r="S451" s="4">
        <f>IF(AND(L451=1,N451&lt;'Line Follower'!$C$6,SUM(C451:K451)&lt;4),1,0)</f>
        <v>0</v>
      </c>
      <c r="T451" s="4">
        <f t="shared" si="32"/>
        <v>0</v>
      </c>
      <c r="U451" s="5">
        <f t="shared" si="33"/>
        <v>0</v>
      </c>
      <c r="V451" s="23">
        <f t="shared" si="34"/>
        <v>0</v>
      </c>
    </row>
    <row r="452" spans="2:22" x14ac:dyDescent="0.25">
      <c r="B452" s="16">
        <v>1</v>
      </c>
      <c r="C452" s="7">
        <v>0</v>
      </c>
      <c r="D452" s="8">
        <v>0</v>
      </c>
      <c r="E452" s="8">
        <v>0</v>
      </c>
      <c r="F452" s="8">
        <v>0</v>
      </c>
      <c r="G452" s="8">
        <v>0</v>
      </c>
      <c r="H452" s="8">
        <v>1</v>
      </c>
      <c r="I452" s="8">
        <v>1</v>
      </c>
      <c r="J452" s="8">
        <v>1</v>
      </c>
      <c r="K452" s="9">
        <v>0</v>
      </c>
      <c r="L452" s="10">
        <v>0</v>
      </c>
      <c r="M452" s="6">
        <v>0</v>
      </c>
      <c r="N452" s="37" cm="1">
        <f t="array" ref="N452">IF(OR(ISNUMBER(FIND(Aux!$D$3:$D$9,_xlfn.TEXTJOIN(,,C452:K452)))),NA(),IF(AND(SUM(C452:F452,H452:K452)=0,G452=1),0,INT((SUMPRODUCT(C452:F452,COLUMN($A$1:$D$1)-1)+SUMPRODUCT(H452:K452,COLUMN($E$1:$H$1)-1))*'Line Follower'!$C$3/SUM(C452:F452,H452:K452)-'Line Follower'!$C$5)))</f>
        <v>3</v>
      </c>
      <c r="O452" s="22">
        <v>1</v>
      </c>
      <c r="P452" s="4">
        <f t="shared" si="35"/>
        <v>0</v>
      </c>
      <c r="Q452" s="4">
        <f t="shared" si="36"/>
        <v>0</v>
      </c>
      <c r="R452" s="4">
        <f>IF(AND(B452=1,N452&gt;'Line Follower'!$C$7,SUM(C452:K452)&lt;4),1,0)</f>
        <v>1</v>
      </c>
      <c r="S452" s="4">
        <f>IF(AND(L452=1,N452&lt;'Line Follower'!$C$6,SUM(C452:K452)&lt;4),1,0)</f>
        <v>0</v>
      </c>
      <c r="T452" s="4">
        <f t="shared" ref="T452:T515" si="37">IF(ISNA(N452),NA(),IF(SUM(C452:L452)=0,1,0))</f>
        <v>0</v>
      </c>
      <c r="U452" s="5">
        <f t="shared" ref="U452:U515" si="38">IF(ISNA(N452),NA(),IF(SUM(B452:K452)=0,1,0))</f>
        <v>0</v>
      </c>
      <c r="V452" s="23">
        <f t="shared" ref="V452:V515" si="39">IF(ISNA(N452),NA(),IF(SUM(B452:L452)=0,1,0))</f>
        <v>0</v>
      </c>
    </row>
    <row r="453" spans="2:22" x14ac:dyDescent="0.25">
      <c r="B453" s="16">
        <v>0</v>
      </c>
      <c r="C453" s="7">
        <v>1</v>
      </c>
      <c r="D453" s="8">
        <v>0</v>
      </c>
      <c r="E453" s="8">
        <v>0</v>
      </c>
      <c r="F453" s="8">
        <v>0</v>
      </c>
      <c r="G453" s="8">
        <v>0</v>
      </c>
      <c r="H453" s="8">
        <v>1</v>
      </c>
      <c r="I453" s="8">
        <v>1</v>
      </c>
      <c r="J453" s="8">
        <v>1</v>
      </c>
      <c r="K453" s="9">
        <v>0</v>
      </c>
      <c r="L453" s="10">
        <v>0</v>
      </c>
      <c r="M453" s="6">
        <v>0</v>
      </c>
      <c r="N453" s="37" t="e" cm="1">
        <f t="array" ref="N453">IF(OR(ISNUMBER(FIND(Aux!$D$3:$D$9,_xlfn.TEXTJOIN(,,C453:K453)))),NA(),IF(AND(SUM(C453:F453,H453:K453)=0,G453=1),0,INT((SUMPRODUCT(C453:F453,COLUMN($A$1:$D$1)-1)+SUMPRODUCT(H453:K453,COLUMN($E$1:$H$1)-1))*'Line Follower'!$C$3/SUM(C453:F453,H453:K453)-'Line Follower'!$C$5)))</f>
        <v>#N/A</v>
      </c>
      <c r="O453" s="22" t="e">
        <v>#N/A</v>
      </c>
      <c r="P453" s="4" t="e">
        <f t="shared" si="35"/>
        <v>#N/A</v>
      </c>
      <c r="Q453" s="4" t="e">
        <f t="shared" si="36"/>
        <v>#N/A</v>
      </c>
      <c r="R453" s="4" t="e">
        <f>IF(AND(B453=1,N453&gt;'Line Follower'!$C$7,SUM(C453:K453)&lt;4),1,0)</f>
        <v>#N/A</v>
      </c>
      <c r="S453" s="4" t="e">
        <f>IF(AND(L453=1,N453&lt;'Line Follower'!$C$6,SUM(C453:K453)&lt;4),1,0)</f>
        <v>#N/A</v>
      </c>
      <c r="T453" s="4" t="e">
        <f t="shared" si="37"/>
        <v>#N/A</v>
      </c>
      <c r="U453" s="5" t="e">
        <f t="shared" si="38"/>
        <v>#N/A</v>
      </c>
      <c r="V453" s="23" t="e">
        <f t="shared" si="39"/>
        <v>#N/A</v>
      </c>
    </row>
    <row r="454" spans="2:22" x14ac:dyDescent="0.25">
      <c r="B454" s="16">
        <v>1</v>
      </c>
      <c r="C454" s="7">
        <v>1</v>
      </c>
      <c r="D454" s="8">
        <v>0</v>
      </c>
      <c r="E454" s="8">
        <v>0</v>
      </c>
      <c r="F454" s="8">
        <v>0</v>
      </c>
      <c r="G454" s="8">
        <v>0</v>
      </c>
      <c r="H454" s="8">
        <v>1</v>
      </c>
      <c r="I454" s="8">
        <v>1</v>
      </c>
      <c r="J454" s="8">
        <v>1</v>
      </c>
      <c r="K454" s="9">
        <v>0</v>
      </c>
      <c r="L454" s="10">
        <v>0</v>
      </c>
      <c r="M454" s="6">
        <v>0</v>
      </c>
      <c r="N454" s="37" t="e" cm="1">
        <f t="array" ref="N454">IF(OR(ISNUMBER(FIND(Aux!$D$3:$D$9,_xlfn.TEXTJOIN(,,C454:K454)))),NA(),IF(AND(SUM(C454:F454,H454:K454)=0,G454=1),0,INT((SUMPRODUCT(C454:F454,COLUMN($A$1:$D$1)-1)+SUMPRODUCT(H454:K454,COLUMN($E$1:$H$1)-1))*'Line Follower'!$C$3/SUM(C454:F454,H454:K454)-'Line Follower'!$C$5)))</f>
        <v>#N/A</v>
      </c>
      <c r="O454" s="22" t="e">
        <v>#N/A</v>
      </c>
      <c r="P454" s="4" t="e">
        <f t="shared" si="35"/>
        <v>#N/A</v>
      </c>
      <c r="Q454" s="4" t="e">
        <f t="shared" si="36"/>
        <v>#N/A</v>
      </c>
      <c r="R454" s="4" t="e">
        <f>IF(AND(B454=1,N454&gt;'Line Follower'!$C$7,SUM(C454:K454)&lt;4),1,0)</f>
        <v>#N/A</v>
      </c>
      <c r="S454" s="4" t="e">
        <f>IF(AND(L454=1,N454&lt;'Line Follower'!$C$6,SUM(C454:K454)&lt;4),1,0)</f>
        <v>#N/A</v>
      </c>
      <c r="T454" s="4" t="e">
        <f t="shared" si="37"/>
        <v>#N/A</v>
      </c>
      <c r="U454" s="5" t="e">
        <f t="shared" si="38"/>
        <v>#N/A</v>
      </c>
      <c r="V454" s="23" t="e">
        <f t="shared" si="39"/>
        <v>#N/A</v>
      </c>
    </row>
    <row r="455" spans="2:22" x14ac:dyDescent="0.25">
      <c r="B455" s="16">
        <v>0</v>
      </c>
      <c r="C455" s="7">
        <v>0</v>
      </c>
      <c r="D455" s="8">
        <v>1</v>
      </c>
      <c r="E455" s="8">
        <v>0</v>
      </c>
      <c r="F455" s="8">
        <v>0</v>
      </c>
      <c r="G455" s="8">
        <v>0</v>
      </c>
      <c r="H455" s="8">
        <v>1</v>
      </c>
      <c r="I455" s="8">
        <v>1</v>
      </c>
      <c r="J455" s="8">
        <v>1</v>
      </c>
      <c r="K455" s="9">
        <v>0</v>
      </c>
      <c r="L455" s="10">
        <v>0</v>
      </c>
      <c r="M455" s="6">
        <v>0</v>
      </c>
      <c r="N455" s="37" t="e" cm="1">
        <f t="array" ref="N455">IF(OR(ISNUMBER(FIND(Aux!$D$3:$D$9,_xlfn.TEXTJOIN(,,C455:K455)))),NA(),IF(AND(SUM(C455:F455,H455:K455)=0,G455=1),0,INT((SUMPRODUCT(C455:F455,COLUMN($A$1:$D$1)-1)+SUMPRODUCT(H455:K455,COLUMN($E$1:$H$1)-1))*'Line Follower'!$C$3/SUM(C455:F455,H455:K455)-'Line Follower'!$C$5)))</f>
        <v>#N/A</v>
      </c>
      <c r="O455" s="22" t="e">
        <v>#N/A</v>
      </c>
      <c r="P455" s="4" t="e">
        <f t="shared" si="35"/>
        <v>#N/A</v>
      </c>
      <c r="Q455" s="4" t="e">
        <f t="shared" si="36"/>
        <v>#N/A</v>
      </c>
      <c r="R455" s="4" t="e">
        <f>IF(AND(B455=1,N455&gt;'Line Follower'!$C$7,SUM(C455:K455)&lt;4),1,0)</f>
        <v>#N/A</v>
      </c>
      <c r="S455" s="4" t="e">
        <f>IF(AND(L455=1,N455&lt;'Line Follower'!$C$6,SUM(C455:K455)&lt;4),1,0)</f>
        <v>#N/A</v>
      </c>
      <c r="T455" s="4" t="e">
        <f t="shared" si="37"/>
        <v>#N/A</v>
      </c>
      <c r="U455" s="5" t="e">
        <f t="shared" si="38"/>
        <v>#N/A</v>
      </c>
      <c r="V455" s="23" t="e">
        <f t="shared" si="39"/>
        <v>#N/A</v>
      </c>
    </row>
    <row r="456" spans="2:22" x14ac:dyDescent="0.25">
      <c r="B456" s="16">
        <v>1</v>
      </c>
      <c r="C456" s="7">
        <v>0</v>
      </c>
      <c r="D456" s="8">
        <v>1</v>
      </c>
      <c r="E456" s="8">
        <v>0</v>
      </c>
      <c r="F456" s="8">
        <v>0</v>
      </c>
      <c r="G456" s="8">
        <v>0</v>
      </c>
      <c r="H456" s="8">
        <v>1</v>
      </c>
      <c r="I456" s="8">
        <v>1</v>
      </c>
      <c r="J456" s="8">
        <v>1</v>
      </c>
      <c r="K456" s="9">
        <v>0</v>
      </c>
      <c r="L456" s="10">
        <v>0</v>
      </c>
      <c r="M456" s="6">
        <v>0</v>
      </c>
      <c r="N456" s="37" t="e" cm="1">
        <f t="array" ref="N456">IF(OR(ISNUMBER(FIND(Aux!$D$3:$D$9,_xlfn.TEXTJOIN(,,C456:K456)))),NA(),IF(AND(SUM(C456:F456,H456:K456)=0,G456=1),0,INT((SUMPRODUCT(C456:F456,COLUMN($A$1:$D$1)-1)+SUMPRODUCT(H456:K456,COLUMN($E$1:$H$1)-1))*'Line Follower'!$C$3/SUM(C456:F456,H456:K456)-'Line Follower'!$C$5)))</f>
        <v>#N/A</v>
      </c>
      <c r="O456" s="22" t="e">
        <v>#N/A</v>
      </c>
      <c r="P456" s="4" t="e">
        <f t="shared" si="35"/>
        <v>#N/A</v>
      </c>
      <c r="Q456" s="4" t="e">
        <f t="shared" si="36"/>
        <v>#N/A</v>
      </c>
      <c r="R456" s="4" t="e">
        <f>IF(AND(B456=1,N456&gt;'Line Follower'!$C$7,SUM(C456:K456)&lt;4),1,0)</f>
        <v>#N/A</v>
      </c>
      <c r="S456" s="4" t="e">
        <f>IF(AND(L456=1,N456&lt;'Line Follower'!$C$6,SUM(C456:K456)&lt;4),1,0)</f>
        <v>#N/A</v>
      </c>
      <c r="T456" s="4" t="e">
        <f t="shared" si="37"/>
        <v>#N/A</v>
      </c>
      <c r="U456" s="5" t="e">
        <f t="shared" si="38"/>
        <v>#N/A</v>
      </c>
      <c r="V456" s="23" t="e">
        <f t="shared" si="39"/>
        <v>#N/A</v>
      </c>
    </row>
    <row r="457" spans="2:22" x14ac:dyDescent="0.25">
      <c r="B457" s="16">
        <v>0</v>
      </c>
      <c r="C457" s="7">
        <v>1</v>
      </c>
      <c r="D457" s="8">
        <v>1</v>
      </c>
      <c r="E457" s="8">
        <v>0</v>
      </c>
      <c r="F457" s="8">
        <v>0</v>
      </c>
      <c r="G457" s="8">
        <v>0</v>
      </c>
      <c r="H457" s="8">
        <v>1</v>
      </c>
      <c r="I457" s="8">
        <v>1</v>
      </c>
      <c r="J457" s="8">
        <v>1</v>
      </c>
      <c r="K457" s="9">
        <v>0</v>
      </c>
      <c r="L457" s="10">
        <v>0</v>
      </c>
      <c r="M457" s="6">
        <v>0</v>
      </c>
      <c r="N457" s="37" t="e" cm="1">
        <f t="array" ref="N457">IF(OR(ISNUMBER(FIND(Aux!$D$3:$D$9,_xlfn.TEXTJOIN(,,C457:K457)))),NA(),IF(AND(SUM(C457:F457,H457:K457)=0,G457=1),0,INT((SUMPRODUCT(C457:F457,COLUMN($A$1:$D$1)-1)+SUMPRODUCT(H457:K457,COLUMN($E$1:$H$1)-1))*'Line Follower'!$C$3/SUM(C457:F457,H457:K457)-'Line Follower'!$C$5)))</f>
        <v>#N/A</v>
      </c>
      <c r="O457" s="22" t="e">
        <v>#N/A</v>
      </c>
      <c r="P457" s="4" t="e">
        <f t="shared" si="35"/>
        <v>#N/A</v>
      </c>
      <c r="Q457" s="4" t="e">
        <f t="shared" si="36"/>
        <v>#N/A</v>
      </c>
      <c r="R457" s="4" t="e">
        <f>IF(AND(B457=1,N457&gt;'Line Follower'!$C$7,SUM(C457:K457)&lt;4),1,0)</f>
        <v>#N/A</v>
      </c>
      <c r="S457" s="4" t="e">
        <f>IF(AND(L457=1,N457&lt;'Line Follower'!$C$6,SUM(C457:K457)&lt;4),1,0)</f>
        <v>#N/A</v>
      </c>
      <c r="T457" s="4" t="e">
        <f t="shared" si="37"/>
        <v>#N/A</v>
      </c>
      <c r="U457" s="5" t="e">
        <f t="shared" si="38"/>
        <v>#N/A</v>
      </c>
      <c r="V457" s="23" t="e">
        <f t="shared" si="39"/>
        <v>#N/A</v>
      </c>
    </row>
    <row r="458" spans="2:22" x14ac:dyDescent="0.25">
      <c r="B458" s="16">
        <v>1</v>
      </c>
      <c r="C458" s="7">
        <v>1</v>
      </c>
      <c r="D458" s="8">
        <v>1</v>
      </c>
      <c r="E458" s="8">
        <v>0</v>
      </c>
      <c r="F458" s="8">
        <v>0</v>
      </c>
      <c r="G458" s="8">
        <v>0</v>
      </c>
      <c r="H458" s="8">
        <v>1</v>
      </c>
      <c r="I458" s="8">
        <v>1</v>
      </c>
      <c r="J458" s="8">
        <v>1</v>
      </c>
      <c r="K458" s="9">
        <v>0</v>
      </c>
      <c r="L458" s="10">
        <v>0</v>
      </c>
      <c r="M458" s="6">
        <v>0</v>
      </c>
      <c r="N458" s="37" t="e" cm="1">
        <f t="array" ref="N458">IF(OR(ISNUMBER(FIND(Aux!$D$3:$D$9,_xlfn.TEXTJOIN(,,C458:K458)))),NA(),IF(AND(SUM(C458:F458,H458:K458)=0,G458=1),0,INT((SUMPRODUCT(C458:F458,COLUMN($A$1:$D$1)-1)+SUMPRODUCT(H458:K458,COLUMN($E$1:$H$1)-1))*'Line Follower'!$C$3/SUM(C458:F458,H458:K458)-'Line Follower'!$C$5)))</f>
        <v>#N/A</v>
      </c>
      <c r="O458" s="22" t="e">
        <v>#N/A</v>
      </c>
      <c r="P458" s="4" t="e">
        <f t="shared" si="35"/>
        <v>#N/A</v>
      </c>
      <c r="Q458" s="4" t="e">
        <f t="shared" si="36"/>
        <v>#N/A</v>
      </c>
      <c r="R458" s="4" t="e">
        <f>IF(AND(B458=1,N458&gt;'Line Follower'!$C$7,SUM(C458:K458)&lt;4),1,0)</f>
        <v>#N/A</v>
      </c>
      <c r="S458" s="4" t="e">
        <f>IF(AND(L458=1,N458&lt;'Line Follower'!$C$6,SUM(C458:K458)&lt;4),1,0)</f>
        <v>#N/A</v>
      </c>
      <c r="T458" s="4" t="e">
        <f t="shared" si="37"/>
        <v>#N/A</v>
      </c>
      <c r="U458" s="5" t="e">
        <f t="shared" si="38"/>
        <v>#N/A</v>
      </c>
      <c r="V458" s="23" t="e">
        <f t="shared" si="39"/>
        <v>#N/A</v>
      </c>
    </row>
    <row r="459" spans="2:22" x14ac:dyDescent="0.25">
      <c r="B459" s="16">
        <v>0</v>
      </c>
      <c r="C459" s="7">
        <v>0</v>
      </c>
      <c r="D459" s="8">
        <v>0</v>
      </c>
      <c r="E459" s="8">
        <v>1</v>
      </c>
      <c r="F459" s="8">
        <v>0</v>
      </c>
      <c r="G459" s="8">
        <v>0</v>
      </c>
      <c r="H459" s="8">
        <v>1</v>
      </c>
      <c r="I459" s="8">
        <v>1</v>
      </c>
      <c r="J459" s="8">
        <v>1</v>
      </c>
      <c r="K459" s="9">
        <v>0</v>
      </c>
      <c r="L459" s="10">
        <v>0</v>
      </c>
      <c r="M459" s="6">
        <v>0</v>
      </c>
      <c r="N459" s="37" t="e" cm="1">
        <f t="array" ref="N459">IF(OR(ISNUMBER(FIND(Aux!$D$3:$D$9,_xlfn.TEXTJOIN(,,C459:K459)))),NA(),IF(AND(SUM(C459:F459,H459:K459)=0,G459=1),0,INT((SUMPRODUCT(C459:F459,COLUMN($A$1:$D$1)-1)+SUMPRODUCT(H459:K459,COLUMN($E$1:$H$1)-1))*'Line Follower'!$C$3/SUM(C459:F459,H459:K459)-'Line Follower'!$C$5)))</f>
        <v>#N/A</v>
      </c>
      <c r="O459" s="22" t="e">
        <v>#N/A</v>
      </c>
      <c r="P459" s="4" t="e">
        <f t="shared" si="35"/>
        <v>#N/A</v>
      </c>
      <c r="Q459" s="4" t="e">
        <f t="shared" si="36"/>
        <v>#N/A</v>
      </c>
      <c r="R459" s="4" t="e">
        <f>IF(AND(B459=1,N459&gt;'Line Follower'!$C$7,SUM(C459:K459)&lt;4),1,0)</f>
        <v>#N/A</v>
      </c>
      <c r="S459" s="4" t="e">
        <f>IF(AND(L459=1,N459&lt;'Line Follower'!$C$6,SUM(C459:K459)&lt;4),1,0)</f>
        <v>#N/A</v>
      </c>
      <c r="T459" s="4" t="e">
        <f t="shared" si="37"/>
        <v>#N/A</v>
      </c>
      <c r="U459" s="5" t="e">
        <f t="shared" si="38"/>
        <v>#N/A</v>
      </c>
      <c r="V459" s="23" t="e">
        <f t="shared" si="39"/>
        <v>#N/A</v>
      </c>
    </row>
    <row r="460" spans="2:22" x14ac:dyDescent="0.25">
      <c r="B460" s="16">
        <v>1</v>
      </c>
      <c r="C460" s="7">
        <v>0</v>
      </c>
      <c r="D460" s="8">
        <v>0</v>
      </c>
      <c r="E460" s="8">
        <v>1</v>
      </c>
      <c r="F460" s="8">
        <v>0</v>
      </c>
      <c r="G460" s="8">
        <v>0</v>
      </c>
      <c r="H460" s="8">
        <v>1</v>
      </c>
      <c r="I460" s="8">
        <v>1</v>
      </c>
      <c r="J460" s="8">
        <v>1</v>
      </c>
      <c r="K460" s="9">
        <v>0</v>
      </c>
      <c r="L460" s="10">
        <v>0</v>
      </c>
      <c r="M460" s="6">
        <v>0</v>
      </c>
      <c r="N460" s="37" t="e" cm="1">
        <f t="array" ref="N460">IF(OR(ISNUMBER(FIND(Aux!$D$3:$D$9,_xlfn.TEXTJOIN(,,C460:K460)))),NA(),IF(AND(SUM(C460:F460,H460:K460)=0,G460=1),0,INT((SUMPRODUCT(C460:F460,COLUMN($A$1:$D$1)-1)+SUMPRODUCT(H460:K460,COLUMN($E$1:$H$1)-1))*'Line Follower'!$C$3/SUM(C460:F460,H460:K460)-'Line Follower'!$C$5)))</f>
        <v>#N/A</v>
      </c>
      <c r="O460" s="22" t="e">
        <v>#N/A</v>
      </c>
      <c r="P460" s="4" t="e">
        <f t="shared" si="35"/>
        <v>#N/A</v>
      </c>
      <c r="Q460" s="4" t="e">
        <f t="shared" si="36"/>
        <v>#N/A</v>
      </c>
      <c r="R460" s="4" t="e">
        <f>IF(AND(B460=1,N460&gt;'Line Follower'!$C$7,SUM(C460:K460)&lt;4),1,0)</f>
        <v>#N/A</v>
      </c>
      <c r="S460" s="4" t="e">
        <f>IF(AND(L460=1,N460&lt;'Line Follower'!$C$6,SUM(C460:K460)&lt;4),1,0)</f>
        <v>#N/A</v>
      </c>
      <c r="T460" s="4" t="e">
        <f t="shared" si="37"/>
        <v>#N/A</v>
      </c>
      <c r="U460" s="5" t="e">
        <f t="shared" si="38"/>
        <v>#N/A</v>
      </c>
      <c r="V460" s="23" t="e">
        <f t="shared" si="39"/>
        <v>#N/A</v>
      </c>
    </row>
    <row r="461" spans="2:22" x14ac:dyDescent="0.25">
      <c r="B461" s="16">
        <v>0</v>
      </c>
      <c r="C461" s="7">
        <v>1</v>
      </c>
      <c r="D461" s="8">
        <v>0</v>
      </c>
      <c r="E461" s="8">
        <v>1</v>
      </c>
      <c r="F461" s="8">
        <v>0</v>
      </c>
      <c r="G461" s="8">
        <v>0</v>
      </c>
      <c r="H461" s="8">
        <v>1</v>
      </c>
      <c r="I461" s="8">
        <v>1</v>
      </c>
      <c r="J461" s="8">
        <v>1</v>
      </c>
      <c r="K461" s="9">
        <v>0</v>
      </c>
      <c r="L461" s="10">
        <v>0</v>
      </c>
      <c r="M461" s="6">
        <v>0</v>
      </c>
      <c r="N461" s="37" t="e" cm="1">
        <f t="array" ref="N461">IF(OR(ISNUMBER(FIND(Aux!$D$3:$D$9,_xlfn.TEXTJOIN(,,C461:K461)))),NA(),IF(AND(SUM(C461:F461,H461:K461)=0,G461=1),0,INT((SUMPRODUCT(C461:F461,COLUMN($A$1:$D$1)-1)+SUMPRODUCT(H461:K461,COLUMN($E$1:$H$1)-1))*'Line Follower'!$C$3/SUM(C461:F461,H461:K461)-'Line Follower'!$C$5)))</f>
        <v>#N/A</v>
      </c>
      <c r="O461" s="22" t="e">
        <v>#N/A</v>
      </c>
      <c r="P461" s="4" t="e">
        <f t="shared" si="35"/>
        <v>#N/A</v>
      </c>
      <c r="Q461" s="4" t="e">
        <f t="shared" si="36"/>
        <v>#N/A</v>
      </c>
      <c r="R461" s="4" t="e">
        <f>IF(AND(B461=1,N461&gt;'Line Follower'!$C$7,SUM(C461:K461)&lt;4),1,0)</f>
        <v>#N/A</v>
      </c>
      <c r="S461" s="4" t="e">
        <f>IF(AND(L461=1,N461&lt;'Line Follower'!$C$6,SUM(C461:K461)&lt;4),1,0)</f>
        <v>#N/A</v>
      </c>
      <c r="T461" s="4" t="e">
        <f t="shared" si="37"/>
        <v>#N/A</v>
      </c>
      <c r="U461" s="5" t="e">
        <f t="shared" si="38"/>
        <v>#N/A</v>
      </c>
      <c r="V461" s="23" t="e">
        <f t="shared" si="39"/>
        <v>#N/A</v>
      </c>
    </row>
    <row r="462" spans="2:22" x14ac:dyDescent="0.25">
      <c r="B462" s="16">
        <v>1</v>
      </c>
      <c r="C462" s="7">
        <v>1</v>
      </c>
      <c r="D462" s="8">
        <v>0</v>
      </c>
      <c r="E462" s="8">
        <v>1</v>
      </c>
      <c r="F462" s="8">
        <v>0</v>
      </c>
      <c r="G462" s="8">
        <v>0</v>
      </c>
      <c r="H462" s="8">
        <v>1</v>
      </c>
      <c r="I462" s="8">
        <v>1</v>
      </c>
      <c r="J462" s="8">
        <v>1</v>
      </c>
      <c r="K462" s="9">
        <v>0</v>
      </c>
      <c r="L462" s="10">
        <v>0</v>
      </c>
      <c r="M462" s="6">
        <v>0</v>
      </c>
      <c r="N462" s="37" t="e" cm="1">
        <f t="array" ref="N462">IF(OR(ISNUMBER(FIND(Aux!$D$3:$D$9,_xlfn.TEXTJOIN(,,C462:K462)))),NA(),IF(AND(SUM(C462:F462,H462:K462)=0,G462=1),0,INT((SUMPRODUCT(C462:F462,COLUMN($A$1:$D$1)-1)+SUMPRODUCT(H462:K462,COLUMN($E$1:$H$1)-1))*'Line Follower'!$C$3/SUM(C462:F462,H462:K462)-'Line Follower'!$C$5)))</f>
        <v>#N/A</v>
      </c>
      <c r="O462" s="22" t="e">
        <v>#N/A</v>
      </c>
      <c r="P462" s="4" t="e">
        <f t="shared" si="35"/>
        <v>#N/A</v>
      </c>
      <c r="Q462" s="4" t="e">
        <f t="shared" si="36"/>
        <v>#N/A</v>
      </c>
      <c r="R462" s="4" t="e">
        <f>IF(AND(B462=1,N462&gt;'Line Follower'!$C$7,SUM(C462:K462)&lt;4),1,0)</f>
        <v>#N/A</v>
      </c>
      <c r="S462" s="4" t="e">
        <f>IF(AND(L462=1,N462&lt;'Line Follower'!$C$6,SUM(C462:K462)&lt;4),1,0)</f>
        <v>#N/A</v>
      </c>
      <c r="T462" s="4" t="e">
        <f t="shared" si="37"/>
        <v>#N/A</v>
      </c>
      <c r="U462" s="5" t="e">
        <f t="shared" si="38"/>
        <v>#N/A</v>
      </c>
      <c r="V462" s="23" t="e">
        <f t="shared" si="39"/>
        <v>#N/A</v>
      </c>
    </row>
    <row r="463" spans="2:22" x14ac:dyDescent="0.25">
      <c r="B463" s="16">
        <v>0</v>
      </c>
      <c r="C463" s="7">
        <v>0</v>
      </c>
      <c r="D463" s="8">
        <v>1</v>
      </c>
      <c r="E463" s="8">
        <v>1</v>
      </c>
      <c r="F463" s="8">
        <v>0</v>
      </c>
      <c r="G463" s="8">
        <v>0</v>
      </c>
      <c r="H463" s="8">
        <v>1</v>
      </c>
      <c r="I463" s="8">
        <v>1</v>
      </c>
      <c r="J463" s="8">
        <v>1</v>
      </c>
      <c r="K463" s="9">
        <v>0</v>
      </c>
      <c r="L463" s="10">
        <v>0</v>
      </c>
      <c r="M463" s="6">
        <v>0</v>
      </c>
      <c r="N463" s="37" t="e" cm="1">
        <f t="array" ref="N463">IF(OR(ISNUMBER(FIND(Aux!$D$3:$D$9,_xlfn.TEXTJOIN(,,C463:K463)))),NA(),IF(AND(SUM(C463:F463,H463:K463)=0,G463=1),0,INT((SUMPRODUCT(C463:F463,COLUMN($A$1:$D$1)-1)+SUMPRODUCT(H463:K463,COLUMN($E$1:$H$1)-1))*'Line Follower'!$C$3/SUM(C463:F463,H463:K463)-'Line Follower'!$C$5)))</f>
        <v>#N/A</v>
      </c>
      <c r="O463" s="22" t="e">
        <v>#N/A</v>
      </c>
      <c r="P463" s="4" t="e">
        <f t="shared" si="35"/>
        <v>#N/A</v>
      </c>
      <c r="Q463" s="4" t="e">
        <f t="shared" si="36"/>
        <v>#N/A</v>
      </c>
      <c r="R463" s="4" t="e">
        <f>IF(AND(B463=1,N463&gt;'Line Follower'!$C$7,SUM(C463:K463)&lt;4),1,0)</f>
        <v>#N/A</v>
      </c>
      <c r="S463" s="4" t="e">
        <f>IF(AND(L463=1,N463&lt;'Line Follower'!$C$6,SUM(C463:K463)&lt;4),1,0)</f>
        <v>#N/A</v>
      </c>
      <c r="T463" s="4" t="e">
        <f t="shared" si="37"/>
        <v>#N/A</v>
      </c>
      <c r="U463" s="5" t="e">
        <f t="shared" si="38"/>
        <v>#N/A</v>
      </c>
      <c r="V463" s="23" t="e">
        <f t="shared" si="39"/>
        <v>#N/A</v>
      </c>
    </row>
    <row r="464" spans="2:22" x14ac:dyDescent="0.25">
      <c r="B464" s="16">
        <v>1</v>
      </c>
      <c r="C464" s="7">
        <v>0</v>
      </c>
      <c r="D464" s="8">
        <v>1</v>
      </c>
      <c r="E464" s="8">
        <v>1</v>
      </c>
      <c r="F464" s="8">
        <v>0</v>
      </c>
      <c r="G464" s="8">
        <v>0</v>
      </c>
      <c r="H464" s="8">
        <v>1</v>
      </c>
      <c r="I464" s="8">
        <v>1</v>
      </c>
      <c r="J464" s="8">
        <v>1</v>
      </c>
      <c r="K464" s="9">
        <v>0</v>
      </c>
      <c r="L464" s="10">
        <v>0</v>
      </c>
      <c r="M464" s="6">
        <v>0</v>
      </c>
      <c r="N464" s="37" t="e" cm="1">
        <f t="array" ref="N464">IF(OR(ISNUMBER(FIND(Aux!$D$3:$D$9,_xlfn.TEXTJOIN(,,C464:K464)))),NA(),IF(AND(SUM(C464:F464,H464:K464)=0,G464=1),0,INT((SUMPRODUCT(C464:F464,COLUMN($A$1:$D$1)-1)+SUMPRODUCT(H464:K464,COLUMN($E$1:$H$1)-1))*'Line Follower'!$C$3/SUM(C464:F464,H464:K464)-'Line Follower'!$C$5)))</f>
        <v>#N/A</v>
      </c>
      <c r="O464" s="22" t="e">
        <v>#N/A</v>
      </c>
      <c r="P464" s="4" t="e">
        <f t="shared" si="35"/>
        <v>#N/A</v>
      </c>
      <c r="Q464" s="4" t="e">
        <f t="shared" si="36"/>
        <v>#N/A</v>
      </c>
      <c r="R464" s="4" t="e">
        <f>IF(AND(B464=1,N464&gt;'Line Follower'!$C$7,SUM(C464:K464)&lt;4),1,0)</f>
        <v>#N/A</v>
      </c>
      <c r="S464" s="4" t="e">
        <f>IF(AND(L464=1,N464&lt;'Line Follower'!$C$6,SUM(C464:K464)&lt;4),1,0)</f>
        <v>#N/A</v>
      </c>
      <c r="T464" s="4" t="e">
        <f t="shared" si="37"/>
        <v>#N/A</v>
      </c>
      <c r="U464" s="5" t="e">
        <f t="shared" si="38"/>
        <v>#N/A</v>
      </c>
      <c r="V464" s="23" t="e">
        <f t="shared" si="39"/>
        <v>#N/A</v>
      </c>
    </row>
    <row r="465" spans="2:22" x14ac:dyDescent="0.25">
      <c r="B465" s="16">
        <v>0</v>
      </c>
      <c r="C465" s="7">
        <v>1</v>
      </c>
      <c r="D465" s="8">
        <v>1</v>
      </c>
      <c r="E465" s="8">
        <v>1</v>
      </c>
      <c r="F465" s="8">
        <v>0</v>
      </c>
      <c r="G465" s="8">
        <v>0</v>
      </c>
      <c r="H465" s="8">
        <v>1</v>
      </c>
      <c r="I465" s="8">
        <v>1</v>
      </c>
      <c r="J465" s="8">
        <v>1</v>
      </c>
      <c r="K465" s="9">
        <v>0</v>
      </c>
      <c r="L465" s="10">
        <v>0</v>
      </c>
      <c r="M465" s="6">
        <v>0</v>
      </c>
      <c r="N465" s="37" t="e" cm="1">
        <f t="array" ref="N465">IF(OR(ISNUMBER(FIND(Aux!$D$3:$D$9,_xlfn.TEXTJOIN(,,C465:K465)))),NA(),IF(AND(SUM(C465:F465,H465:K465)=0,G465=1),0,INT((SUMPRODUCT(C465:F465,COLUMN($A$1:$D$1)-1)+SUMPRODUCT(H465:K465,COLUMN($E$1:$H$1)-1))*'Line Follower'!$C$3/SUM(C465:F465,H465:K465)-'Line Follower'!$C$5)))</f>
        <v>#N/A</v>
      </c>
      <c r="O465" s="22" t="e">
        <v>#N/A</v>
      </c>
      <c r="P465" s="4" t="e">
        <f t="shared" si="35"/>
        <v>#N/A</v>
      </c>
      <c r="Q465" s="4" t="e">
        <f t="shared" si="36"/>
        <v>#N/A</v>
      </c>
      <c r="R465" s="4" t="e">
        <f>IF(AND(B465=1,N465&gt;'Line Follower'!$C$7,SUM(C465:K465)&lt;4),1,0)</f>
        <v>#N/A</v>
      </c>
      <c r="S465" s="4" t="e">
        <f>IF(AND(L465=1,N465&lt;'Line Follower'!$C$6,SUM(C465:K465)&lt;4),1,0)</f>
        <v>#N/A</v>
      </c>
      <c r="T465" s="4" t="e">
        <f t="shared" si="37"/>
        <v>#N/A</v>
      </c>
      <c r="U465" s="5" t="e">
        <f t="shared" si="38"/>
        <v>#N/A</v>
      </c>
      <c r="V465" s="23" t="e">
        <f t="shared" si="39"/>
        <v>#N/A</v>
      </c>
    </row>
    <row r="466" spans="2:22" x14ac:dyDescent="0.25">
      <c r="B466" s="16">
        <v>1</v>
      </c>
      <c r="C466" s="7">
        <v>1</v>
      </c>
      <c r="D466" s="8">
        <v>1</v>
      </c>
      <c r="E466" s="8">
        <v>1</v>
      </c>
      <c r="F466" s="8">
        <v>0</v>
      </c>
      <c r="G466" s="8">
        <v>0</v>
      </c>
      <c r="H466" s="8">
        <v>1</v>
      </c>
      <c r="I466" s="8">
        <v>1</v>
      </c>
      <c r="J466" s="8">
        <v>1</v>
      </c>
      <c r="K466" s="9">
        <v>0</v>
      </c>
      <c r="L466" s="10">
        <v>0</v>
      </c>
      <c r="M466" s="6">
        <v>0</v>
      </c>
      <c r="N466" s="37" t="e" cm="1">
        <f t="array" ref="N466">IF(OR(ISNUMBER(FIND(Aux!$D$3:$D$9,_xlfn.TEXTJOIN(,,C466:K466)))),NA(),IF(AND(SUM(C466:F466,H466:K466)=0,G466=1),0,INT((SUMPRODUCT(C466:F466,COLUMN($A$1:$D$1)-1)+SUMPRODUCT(H466:K466,COLUMN($E$1:$H$1)-1))*'Line Follower'!$C$3/SUM(C466:F466,H466:K466)-'Line Follower'!$C$5)))</f>
        <v>#N/A</v>
      </c>
      <c r="O466" s="22" t="e">
        <v>#N/A</v>
      </c>
      <c r="P466" s="4" t="e">
        <f t="shared" si="35"/>
        <v>#N/A</v>
      </c>
      <c r="Q466" s="4" t="e">
        <f t="shared" si="36"/>
        <v>#N/A</v>
      </c>
      <c r="R466" s="4" t="e">
        <f>IF(AND(B466=1,N466&gt;'Line Follower'!$C$7,SUM(C466:K466)&lt;4),1,0)</f>
        <v>#N/A</v>
      </c>
      <c r="S466" s="4" t="e">
        <f>IF(AND(L466=1,N466&lt;'Line Follower'!$C$6,SUM(C466:K466)&lt;4),1,0)</f>
        <v>#N/A</v>
      </c>
      <c r="T466" s="4" t="e">
        <f t="shared" si="37"/>
        <v>#N/A</v>
      </c>
      <c r="U466" s="5" t="e">
        <f t="shared" si="38"/>
        <v>#N/A</v>
      </c>
      <c r="V466" s="23" t="e">
        <f t="shared" si="39"/>
        <v>#N/A</v>
      </c>
    </row>
    <row r="467" spans="2:22" x14ac:dyDescent="0.25">
      <c r="B467" s="16">
        <v>0</v>
      </c>
      <c r="C467" s="7">
        <v>0</v>
      </c>
      <c r="D467" s="8">
        <v>0</v>
      </c>
      <c r="E467" s="8">
        <v>0</v>
      </c>
      <c r="F467" s="8">
        <v>1</v>
      </c>
      <c r="G467" s="8">
        <v>0</v>
      </c>
      <c r="H467" s="8">
        <v>1</v>
      </c>
      <c r="I467" s="8">
        <v>1</v>
      </c>
      <c r="J467" s="8">
        <v>1</v>
      </c>
      <c r="K467" s="9">
        <v>0</v>
      </c>
      <c r="L467" s="10">
        <v>0</v>
      </c>
      <c r="M467" s="6">
        <v>0</v>
      </c>
      <c r="N467" s="37" t="e" cm="1">
        <f t="array" ref="N467">IF(OR(ISNUMBER(FIND(Aux!$D$3:$D$9,_xlfn.TEXTJOIN(,,C467:K467)))),NA(),IF(AND(SUM(C467:F467,H467:K467)=0,G467=1),0,INT((SUMPRODUCT(C467:F467,COLUMN($A$1:$D$1)-1)+SUMPRODUCT(H467:K467,COLUMN($E$1:$H$1)-1))*'Line Follower'!$C$3/SUM(C467:F467,H467:K467)-'Line Follower'!$C$5)))</f>
        <v>#N/A</v>
      </c>
      <c r="O467" s="22" t="e">
        <v>#N/A</v>
      </c>
      <c r="P467" s="4" t="e">
        <f t="shared" si="35"/>
        <v>#N/A</v>
      </c>
      <c r="Q467" s="4" t="e">
        <f t="shared" si="36"/>
        <v>#N/A</v>
      </c>
      <c r="R467" s="4" t="e">
        <f>IF(AND(B467=1,N467&gt;'Line Follower'!$C$7,SUM(C467:K467)&lt;4),1,0)</f>
        <v>#N/A</v>
      </c>
      <c r="S467" s="4" t="e">
        <f>IF(AND(L467=1,N467&lt;'Line Follower'!$C$6,SUM(C467:K467)&lt;4),1,0)</f>
        <v>#N/A</v>
      </c>
      <c r="T467" s="4" t="e">
        <f t="shared" si="37"/>
        <v>#N/A</v>
      </c>
      <c r="U467" s="5" t="e">
        <f t="shared" si="38"/>
        <v>#N/A</v>
      </c>
      <c r="V467" s="23" t="e">
        <f t="shared" si="39"/>
        <v>#N/A</v>
      </c>
    </row>
    <row r="468" spans="2:22" x14ac:dyDescent="0.25">
      <c r="B468" s="16">
        <v>1</v>
      </c>
      <c r="C468" s="7">
        <v>0</v>
      </c>
      <c r="D468" s="8">
        <v>0</v>
      </c>
      <c r="E468" s="8">
        <v>0</v>
      </c>
      <c r="F468" s="8">
        <v>1</v>
      </c>
      <c r="G468" s="8">
        <v>0</v>
      </c>
      <c r="H468" s="8">
        <v>1</v>
      </c>
      <c r="I468" s="8">
        <v>1</v>
      </c>
      <c r="J468" s="8">
        <v>1</v>
      </c>
      <c r="K468" s="9">
        <v>0</v>
      </c>
      <c r="L468" s="10">
        <v>0</v>
      </c>
      <c r="M468" s="6">
        <v>0</v>
      </c>
      <c r="N468" s="37" t="e" cm="1">
        <f t="array" ref="N468">IF(OR(ISNUMBER(FIND(Aux!$D$3:$D$9,_xlfn.TEXTJOIN(,,C468:K468)))),NA(),IF(AND(SUM(C468:F468,H468:K468)=0,G468=1),0,INT((SUMPRODUCT(C468:F468,COLUMN($A$1:$D$1)-1)+SUMPRODUCT(H468:K468,COLUMN($E$1:$H$1)-1))*'Line Follower'!$C$3/SUM(C468:F468,H468:K468)-'Line Follower'!$C$5)))</f>
        <v>#N/A</v>
      </c>
      <c r="O468" s="22" t="e">
        <v>#N/A</v>
      </c>
      <c r="P468" s="4" t="e">
        <f t="shared" si="35"/>
        <v>#N/A</v>
      </c>
      <c r="Q468" s="4" t="e">
        <f t="shared" si="36"/>
        <v>#N/A</v>
      </c>
      <c r="R468" s="4" t="e">
        <f>IF(AND(B468=1,N468&gt;'Line Follower'!$C$7,SUM(C468:K468)&lt;4),1,0)</f>
        <v>#N/A</v>
      </c>
      <c r="S468" s="4" t="e">
        <f>IF(AND(L468=1,N468&lt;'Line Follower'!$C$6,SUM(C468:K468)&lt;4),1,0)</f>
        <v>#N/A</v>
      </c>
      <c r="T468" s="4" t="e">
        <f t="shared" si="37"/>
        <v>#N/A</v>
      </c>
      <c r="U468" s="5" t="e">
        <f t="shared" si="38"/>
        <v>#N/A</v>
      </c>
      <c r="V468" s="23" t="e">
        <f t="shared" si="39"/>
        <v>#N/A</v>
      </c>
    </row>
    <row r="469" spans="2:22" x14ac:dyDescent="0.25">
      <c r="B469" s="16">
        <v>0</v>
      </c>
      <c r="C469" s="7">
        <v>1</v>
      </c>
      <c r="D469" s="8">
        <v>0</v>
      </c>
      <c r="E469" s="8">
        <v>0</v>
      </c>
      <c r="F469" s="8">
        <v>1</v>
      </c>
      <c r="G469" s="8">
        <v>0</v>
      </c>
      <c r="H469" s="8">
        <v>1</v>
      </c>
      <c r="I469" s="8">
        <v>1</v>
      </c>
      <c r="J469" s="8">
        <v>1</v>
      </c>
      <c r="K469" s="9">
        <v>0</v>
      </c>
      <c r="L469" s="10">
        <v>0</v>
      </c>
      <c r="M469" s="6">
        <v>0</v>
      </c>
      <c r="N469" s="37" t="e" cm="1">
        <f t="array" ref="N469">IF(OR(ISNUMBER(FIND(Aux!$D$3:$D$9,_xlfn.TEXTJOIN(,,C469:K469)))),NA(),IF(AND(SUM(C469:F469,H469:K469)=0,G469=1),0,INT((SUMPRODUCT(C469:F469,COLUMN($A$1:$D$1)-1)+SUMPRODUCT(H469:K469,COLUMN($E$1:$H$1)-1))*'Line Follower'!$C$3/SUM(C469:F469,H469:K469)-'Line Follower'!$C$5)))</f>
        <v>#N/A</v>
      </c>
      <c r="O469" s="22" t="e">
        <v>#N/A</v>
      </c>
      <c r="P469" s="4" t="e">
        <f t="shared" si="35"/>
        <v>#N/A</v>
      </c>
      <c r="Q469" s="4" t="e">
        <f t="shared" si="36"/>
        <v>#N/A</v>
      </c>
      <c r="R469" s="4" t="e">
        <f>IF(AND(B469=1,N469&gt;'Line Follower'!$C$7,SUM(C469:K469)&lt;4),1,0)</f>
        <v>#N/A</v>
      </c>
      <c r="S469" s="4" t="e">
        <f>IF(AND(L469=1,N469&lt;'Line Follower'!$C$6,SUM(C469:K469)&lt;4),1,0)</f>
        <v>#N/A</v>
      </c>
      <c r="T469" s="4" t="e">
        <f t="shared" si="37"/>
        <v>#N/A</v>
      </c>
      <c r="U469" s="5" t="e">
        <f t="shared" si="38"/>
        <v>#N/A</v>
      </c>
      <c r="V469" s="23" t="e">
        <f t="shared" si="39"/>
        <v>#N/A</v>
      </c>
    </row>
    <row r="470" spans="2:22" x14ac:dyDescent="0.25">
      <c r="B470" s="16">
        <v>1</v>
      </c>
      <c r="C470" s="7">
        <v>1</v>
      </c>
      <c r="D470" s="8">
        <v>0</v>
      </c>
      <c r="E470" s="8">
        <v>0</v>
      </c>
      <c r="F470" s="8">
        <v>1</v>
      </c>
      <c r="G470" s="8">
        <v>0</v>
      </c>
      <c r="H470" s="8">
        <v>1</v>
      </c>
      <c r="I470" s="8">
        <v>1</v>
      </c>
      <c r="J470" s="8">
        <v>1</v>
      </c>
      <c r="K470" s="9">
        <v>0</v>
      </c>
      <c r="L470" s="10">
        <v>0</v>
      </c>
      <c r="M470" s="6">
        <v>0</v>
      </c>
      <c r="N470" s="37" t="e" cm="1">
        <f t="array" ref="N470">IF(OR(ISNUMBER(FIND(Aux!$D$3:$D$9,_xlfn.TEXTJOIN(,,C470:K470)))),NA(),IF(AND(SUM(C470:F470,H470:K470)=0,G470=1),0,INT((SUMPRODUCT(C470:F470,COLUMN($A$1:$D$1)-1)+SUMPRODUCT(H470:K470,COLUMN($E$1:$H$1)-1))*'Line Follower'!$C$3/SUM(C470:F470,H470:K470)-'Line Follower'!$C$5)))</f>
        <v>#N/A</v>
      </c>
      <c r="O470" s="22" t="e">
        <v>#N/A</v>
      </c>
      <c r="P470" s="4" t="e">
        <f t="shared" si="35"/>
        <v>#N/A</v>
      </c>
      <c r="Q470" s="4" t="e">
        <f t="shared" si="36"/>
        <v>#N/A</v>
      </c>
      <c r="R470" s="4" t="e">
        <f>IF(AND(B470=1,N470&gt;'Line Follower'!$C$7,SUM(C470:K470)&lt;4),1,0)</f>
        <v>#N/A</v>
      </c>
      <c r="S470" s="4" t="e">
        <f>IF(AND(L470=1,N470&lt;'Line Follower'!$C$6,SUM(C470:K470)&lt;4),1,0)</f>
        <v>#N/A</v>
      </c>
      <c r="T470" s="4" t="e">
        <f t="shared" si="37"/>
        <v>#N/A</v>
      </c>
      <c r="U470" s="5" t="e">
        <f t="shared" si="38"/>
        <v>#N/A</v>
      </c>
      <c r="V470" s="23" t="e">
        <f t="shared" si="39"/>
        <v>#N/A</v>
      </c>
    </row>
    <row r="471" spans="2:22" x14ac:dyDescent="0.25">
      <c r="B471" s="16">
        <v>0</v>
      </c>
      <c r="C471" s="7">
        <v>0</v>
      </c>
      <c r="D471" s="8">
        <v>1</v>
      </c>
      <c r="E471" s="8">
        <v>0</v>
      </c>
      <c r="F471" s="8">
        <v>1</v>
      </c>
      <c r="G471" s="8">
        <v>0</v>
      </c>
      <c r="H471" s="8">
        <v>1</v>
      </c>
      <c r="I471" s="8">
        <v>1</v>
      </c>
      <c r="J471" s="8">
        <v>1</v>
      </c>
      <c r="K471" s="9">
        <v>0</v>
      </c>
      <c r="L471" s="10">
        <v>0</v>
      </c>
      <c r="M471" s="6">
        <v>0</v>
      </c>
      <c r="N471" s="37" t="e" cm="1">
        <f t="array" ref="N471">IF(OR(ISNUMBER(FIND(Aux!$D$3:$D$9,_xlfn.TEXTJOIN(,,C471:K471)))),NA(),IF(AND(SUM(C471:F471,H471:K471)=0,G471=1),0,INT((SUMPRODUCT(C471:F471,COLUMN($A$1:$D$1)-1)+SUMPRODUCT(H471:K471,COLUMN($E$1:$H$1)-1))*'Line Follower'!$C$3/SUM(C471:F471,H471:K471)-'Line Follower'!$C$5)))</f>
        <v>#N/A</v>
      </c>
      <c r="O471" s="22" t="e">
        <v>#N/A</v>
      </c>
      <c r="P471" s="4" t="e">
        <f t="shared" si="35"/>
        <v>#N/A</v>
      </c>
      <c r="Q471" s="4" t="e">
        <f t="shared" si="36"/>
        <v>#N/A</v>
      </c>
      <c r="R471" s="4" t="e">
        <f>IF(AND(B471=1,N471&gt;'Line Follower'!$C$7,SUM(C471:K471)&lt;4),1,0)</f>
        <v>#N/A</v>
      </c>
      <c r="S471" s="4" t="e">
        <f>IF(AND(L471=1,N471&lt;'Line Follower'!$C$6,SUM(C471:K471)&lt;4),1,0)</f>
        <v>#N/A</v>
      </c>
      <c r="T471" s="4" t="e">
        <f t="shared" si="37"/>
        <v>#N/A</v>
      </c>
      <c r="U471" s="5" t="e">
        <f t="shared" si="38"/>
        <v>#N/A</v>
      </c>
      <c r="V471" s="23" t="e">
        <f t="shared" si="39"/>
        <v>#N/A</v>
      </c>
    </row>
    <row r="472" spans="2:22" x14ac:dyDescent="0.25">
      <c r="B472" s="16">
        <v>1</v>
      </c>
      <c r="C472" s="7">
        <v>0</v>
      </c>
      <c r="D472" s="8">
        <v>1</v>
      </c>
      <c r="E472" s="8">
        <v>0</v>
      </c>
      <c r="F472" s="8">
        <v>1</v>
      </c>
      <c r="G472" s="8">
        <v>0</v>
      </c>
      <c r="H472" s="8">
        <v>1</v>
      </c>
      <c r="I472" s="8">
        <v>1</v>
      </c>
      <c r="J472" s="8">
        <v>1</v>
      </c>
      <c r="K472" s="9">
        <v>0</v>
      </c>
      <c r="L472" s="10">
        <v>0</v>
      </c>
      <c r="M472" s="6">
        <v>0</v>
      </c>
      <c r="N472" s="37" t="e" cm="1">
        <f t="array" ref="N472">IF(OR(ISNUMBER(FIND(Aux!$D$3:$D$9,_xlfn.TEXTJOIN(,,C472:K472)))),NA(),IF(AND(SUM(C472:F472,H472:K472)=0,G472=1),0,INT((SUMPRODUCT(C472:F472,COLUMN($A$1:$D$1)-1)+SUMPRODUCT(H472:K472,COLUMN($E$1:$H$1)-1))*'Line Follower'!$C$3/SUM(C472:F472,H472:K472)-'Line Follower'!$C$5)))</f>
        <v>#N/A</v>
      </c>
      <c r="O472" s="22" t="e">
        <v>#N/A</v>
      </c>
      <c r="P472" s="4" t="e">
        <f t="shared" si="35"/>
        <v>#N/A</v>
      </c>
      <c r="Q472" s="4" t="e">
        <f t="shared" si="36"/>
        <v>#N/A</v>
      </c>
      <c r="R472" s="4" t="e">
        <f>IF(AND(B472=1,N472&gt;'Line Follower'!$C$7,SUM(C472:K472)&lt;4),1,0)</f>
        <v>#N/A</v>
      </c>
      <c r="S472" s="4" t="e">
        <f>IF(AND(L472=1,N472&lt;'Line Follower'!$C$6,SUM(C472:K472)&lt;4),1,0)</f>
        <v>#N/A</v>
      </c>
      <c r="T472" s="4" t="e">
        <f t="shared" si="37"/>
        <v>#N/A</v>
      </c>
      <c r="U472" s="5" t="e">
        <f t="shared" si="38"/>
        <v>#N/A</v>
      </c>
      <c r="V472" s="23" t="e">
        <f t="shared" si="39"/>
        <v>#N/A</v>
      </c>
    </row>
    <row r="473" spans="2:22" x14ac:dyDescent="0.25">
      <c r="B473" s="16">
        <v>0</v>
      </c>
      <c r="C473" s="7">
        <v>1</v>
      </c>
      <c r="D473" s="8">
        <v>1</v>
      </c>
      <c r="E473" s="8">
        <v>0</v>
      </c>
      <c r="F473" s="8">
        <v>1</v>
      </c>
      <c r="G473" s="8">
        <v>0</v>
      </c>
      <c r="H473" s="8">
        <v>1</v>
      </c>
      <c r="I473" s="8">
        <v>1</v>
      </c>
      <c r="J473" s="8">
        <v>1</v>
      </c>
      <c r="K473" s="9">
        <v>0</v>
      </c>
      <c r="L473" s="10">
        <v>0</v>
      </c>
      <c r="M473" s="6">
        <v>0</v>
      </c>
      <c r="N473" s="37" t="e" cm="1">
        <f t="array" ref="N473">IF(OR(ISNUMBER(FIND(Aux!$D$3:$D$9,_xlfn.TEXTJOIN(,,C473:K473)))),NA(),IF(AND(SUM(C473:F473,H473:K473)=0,G473=1),0,INT((SUMPRODUCT(C473:F473,COLUMN($A$1:$D$1)-1)+SUMPRODUCT(H473:K473,COLUMN($E$1:$H$1)-1))*'Line Follower'!$C$3/SUM(C473:F473,H473:K473)-'Line Follower'!$C$5)))</f>
        <v>#N/A</v>
      </c>
      <c r="O473" s="22" t="e">
        <v>#N/A</v>
      </c>
      <c r="P473" s="4" t="e">
        <f t="shared" si="35"/>
        <v>#N/A</v>
      </c>
      <c r="Q473" s="4" t="e">
        <f t="shared" si="36"/>
        <v>#N/A</v>
      </c>
      <c r="R473" s="4" t="e">
        <f>IF(AND(B473=1,N473&gt;'Line Follower'!$C$7,SUM(C473:K473)&lt;4),1,0)</f>
        <v>#N/A</v>
      </c>
      <c r="S473" s="4" t="e">
        <f>IF(AND(L473=1,N473&lt;'Line Follower'!$C$6,SUM(C473:K473)&lt;4),1,0)</f>
        <v>#N/A</v>
      </c>
      <c r="T473" s="4" t="e">
        <f t="shared" si="37"/>
        <v>#N/A</v>
      </c>
      <c r="U473" s="5" t="e">
        <f t="shared" si="38"/>
        <v>#N/A</v>
      </c>
      <c r="V473" s="23" t="e">
        <f t="shared" si="39"/>
        <v>#N/A</v>
      </c>
    </row>
    <row r="474" spans="2:22" x14ac:dyDescent="0.25">
      <c r="B474" s="16">
        <v>1</v>
      </c>
      <c r="C474" s="7">
        <v>1</v>
      </c>
      <c r="D474" s="8">
        <v>1</v>
      </c>
      <c r="E474" s="8">
        <v>0</v>
      </c>
      <c r="F474" s="8">
        <v>1</v>
      </c>
      <c r="G474" s="8">
        <v>0</v>
      </c>
      <c r="H474" s="8">
        <v>1</v>
      </c>
      <c r="I474" s="8">
        <v>1</v>
      </c>
      <c r="J474" s="8">
        <v>1</v>
      </c>
      <c r="K474" s="9">
        <v>0</v>
      </c>
      <c r="L474" s="10">
        <v>0</v>
      </c>
      <c r="M474" s="6">
        <v>0</v>
      </c>
      <c r="N474" s="37" t="e" cm="1">
        <f t="array" ref="N474">IF(OR(ISNUMBER(FIND(Aux!$D$3:$D$9,_xlfn.TEXTJOIN(,,C474:K474)))),NA(),IF(AND(SUM(C474:F474,H474:K474)=0,G474=1),0,INT((SUMPRODUCT(C474:F474,COLUMN($A$1:$D$1)-1)+SUMPRODUCT(H474:K474,COLUMN($E$1:$H$1)-1))*'Line Follower'!$C$3/SUM(C474:F474,H474:K474)-'Line Follower'!$C$5)))</f>
        <v>#N/A</v>
      </c>
      <c r="O474" s="22" t="e">
        <v>#N/A</v>
      </c>
      <c r="P474" s="4" t="e">
        <f t="shared" si="35"/>
        <v>#N/A</v>
      </c>
      <c r="Q474" s="4" t="e">
        <f t="shared" si="36"/>
        <v>#N/A</v>
      </c>
      <c r="R474" s="4" t="e">
        <f>IF(AND(B474=1,N474&gt;'Line Follower'!$C$7,SUM(C474:K474)&lt;4),1,0)</f>
        <v>#N/A</v>
      </c>
      <c r="S474" s="4" t="e">
        <f>IF(AND(L474=1,N474&lt;'Line Follower'!$C$6,SUM(C474:K474)&lt;4),1,0)</f>
        <v>#N/A</v>
      </c>
      <c r="T474" s="4" t="e">
        <f t="shared" si="37"/>
        <v>#N/A</v>
      </c>
      <c r="U474" s="5" t="e">
        <f t="shared" si="38"/>
        <v>#N/A</v>
      </c>
      <c r="V474" s="23" t="e">
        <f t="shared" si="39"/>
        <v>#N/A</v>
      </c>
    </row>
    <row r="475" spans="2:22" x14ac:dyDescent="0.25">
      <c r="B475" s="16">
        <v>0</v>
      </c>
      <c r="C475" s="7">
        <v>0</v>
      </c>
      <c r="D475" s="8">
        <v>0</v>
      </c>
      <c r="E475" s="8">
        <v>1</v>
      </c>
      <c r="F475" s="8">
        <v>1</v>
      </c>
      <c r="G475" s="8">
        <v>0</v>
      </c>
      <c r="H475" s="8">
        <v>1</v>
      </c>
      <c r="I475" s="8">
        <v>1</v>
      </c>
      <c r="J475" s="8">
        <v>1</v>
      </c>
      <c r="K475" s="9">
        <v>0</v>
      </c>
      <c r="L475" s="10">
        <v>0</v>
      </c>
      <c r="M475" s="6">
        <v>0</v>
      </c>
      <c r="N475" s="37" t="e" cm="1">
        <f t="array" ref="N475">IF(OR(ISNUMBER(FIND(Aux!$D$3:$D$9,_xlfn.TEXTJOIN(,,C475:K475)))),NA(),IF(AND(SUM(C475:F475,H475:K475)=0,G475=1),0,INT((SUMPRODUCT(C475:F475,COLUMN($A$1:$D$1)-1)+SUMPRODUCT(H475:K475,COLUMN($E$1:$H$1)-1))*'Line Follower'!$C$3/SUM(C475:F475,H475:K475)-'Line Follower'!$C$5)))</f>
        <v>#N/A</v>
      </c>
      <c r="O475" s="22" t="e">
        <v>#N/A</v>
      </c>
      <c r="P475" s="4" t="e">
        <f t="shared" si="35"/>
        <v>#N/A</v>
      </c>
      <c r="Q475" s="4" t="e">
        <f t="shared" si="36"/>
        <v>#N/A</v>
      </c>
      <c r="R475" s="4" t="e">
        <f>IF(AND(B475=1,N475&gt;'Line Follower'!$C$7,SUM(C475:K475)&lt;4),1,0)</f>
        <v>#N/A</v>
      </c>
      <c r="S475" s="4" t="e">
        <f>IF(AND(L475=1,N475&lt;'Line Follower'!$C$6,SUM(C475:K475)&lt;4),1,0)</f>
        <v>#N/A</v>
      </c>
      <c r="T475" s="4" t="e">
        <f t="shared" si="37"/>
        <v>#N/A</v>
      </c>
      <c r="U475" s="5" t="e">
        <f t="shared" si="38"/>
        <v>#N/A</v>
      </c>
      <c r="V475" s="23" t="e">
        <f t="shared" si="39"/>
        <v>#N/A</v>
      </c>
    </row>
    <row r="476" spans="2:22" x14ac:dyDescent="0.25">
      <c r="B476" s="16">
        <v>1</v>
      </c>
      <c r="C476" s="7">
        <v>0</v>
      </c>
      <c r="D476" s="8">
        <v>0</v>
      </c>
      <c r="E476" s="8">
        <v>1</v>
      </c>
      <c r="F476" s="8">
        <v>1</v>
      </c>
      <c r="G476" s="8">
        <v>0</v>
      </c>
      <c r="H476" s="8">
        <v>1</v>
      </c>
      <c r="I476" s="8">
        <v>1</v>
      </c>
      <c r="J476" s="8">
        <v>1</v>
      </c>
      <c r="K476" s="9">
        <v>0</v>
      </c>
      <c r="L476" s="10">
        <v>0</v>
      </c>
      <c r="M476" s="6">
        <v>0</v>
      </c>
      <c r="N476" s="37" t="e" cm="1">
        <f t="array" ref="N476">IF(OR(ISNUMBER(FIND(Aux!$D$3:$D$9,_xlfn.TEXTJOIN(,,C476:K476)))),NA(),IF(AND(SUM(C476:F476,H476:K476)=0,G476=1),0,INT((SUMPRODUCT(C476:F476,COLUMN($A$1:$D$1)-1)+SUMPRODUCT(H476:K476,COLUMN($E$1:$H$1)-1))*'Line Follower'!$C$3/SUM(C476:F476,H476:K476)-'Line Follower'!$C$5)))</f>
        <v>#N/A</v>
      </c>
      <c r="O476" s="22" t="e">
        <v>#N/A</v>
      </c>
      <c r="P476" s="4" t="e">
        <f t="shared" si="35"/>
        <v>#N/A</v>
      </c>
      <c r="Q476" s="4" t="e">
        <f t="shared" si="36"/>
        <v>#N/A</v>
      </c>
      <c r="R476" s="4" t="e">
        <f>IF(AND(B476=1,N476&gt;'Line Follower'!$C$7,SUM(C476:K476)&lt;4),1,0)</f>
        <v>#N/A</v>
      </c>
      <c r="S476" s="4" t="e">
        <f>IF(AND(L476=1,N476&lt;'Line Follower'!$C$6,SUM(C476:K476)&lt;4),1,0)</f>
        <v>#N/A</v>
      </c>
      <c r="T476" s="4" t="e">
        <f t="shared" si="37"/>
        <v>#N/A</v>
      </c>
      <c r="U476" s="5" t="e">
        <f t="shared" si="38"/>
        <v>#N/A</v>
      </c>
      <c r="V476" s="23" t="e">
        <f t="shared" si="39"/>
        <v>#N/A</v>
      </c>
    </row>
    <row r="477" spans="2:22" x14ac:dyDescent="0.25">
      <c r="B477" s="16">
        <v>0</v>
      </c>
      <c r="C477" s="7">
        <v>1</v>
      </c>
      <c r="D477" s="8">
        <v>0</v>
      </c>
      <c r="E477" s="8">
        <v>1</v>
      </c>
      <c r="F477" s="8">
        <v>1</v>
      </c>
      <c r="G477" s="8">
        <v>0</v>
      </c>
      <c r="H477" s="8">
        <v>1</v>
      </c>
      <c r="I477" s="8">
        <v>1</v>
      </c>
      <c r="J477" s="8">
        <v>1</v>
      </c>
      <c r="K477" s="9">
        <v>0</v>
      </c>
      <c r="L477" s="10">
        <v>0</v>
      </c>
      <c r="M477" s="6">
        <v>0</v>
      </c>
      <c r="N477" s="37" t="e" cm="1">
        <f t="array" ref="N477">IF(OR(ISNUMBER(FIND(Aux!$D$3:$D$9,_xlfn.TEXTJOIN(,,C477:K477)))),NA(),IF(AND(SUM(C477:F477,H477:K477)=0,G477=1),0,INT((SUMPRODUCT(C477:F477,COLUMN($A$1:$D$1)-1)+SUMPRODUCT(H477:K477,COLUMN($E$1:$H$1)-1))*'Line Follower'!$C$3/SUM(C477:F477,H477:K477)-'Line Follower'!$C$5)))</f>
        <v>#N/A</v>
      </c>
      <c r="O477" s="22" t="e">
        <v>#N/A</v>
      </c>
      <c r="P477" s="4" t="e">
        <f t="shared" si="35"/>
        <v>#N/A</v>
      </c>
      <c r="Q477" s="4" t="e">
        <f t="shared" si="36"/>
        <v>#N/A</v>
      </c>
      <c r="R477" s="4" t="e">
        <f>IF(AND(B477=1,N477&gt;'Line Follower'!$C$7,SUM(C477:K477)&lt;4),1,0)</f>
        <v>#N/A</v>
      </c>
      <c r="S477" s="4" t="e">
        <f>IF(AND(L477=1,N477&lt;'Line Follower'!$C$6,SUM(C477:K477)&lt;4),1,0)</f>
        <v>#N/A</v>
      </c>
      <c r="T477" s="4" t="e">
        <f t="shared" si="37"/>
        <v>#N/A</v>
      </c>
      <c r="U477" s="5" t="e">
        <f t="shared" si="38"/>
        <v>#N/A</v>
      </c>
      <c r="V477" s="23" t="e">
        <f t="shared" si="39"/>
        <v>#N/A</v>
      </c>
    </row>
    <row r="478" spans="2:22" x14ac:dyDescent="0.25">
      <c r="B478" s="16">
        <v>1</v>
      </c>
      <c r="C478" s="7">
        <v>1</v>
      </c>
      <c r="D478" s="8">
        <v>0</v>
      </c>
      <c r="E478" s="8">
        <v>1</v>
      </c>
      <c r="F478" s="8">
        <v>1</v>
      </c>
      <c r="G478" s="8">
        <v>0</v>
      </c>
      <c r="H478" s="8">
        <v>1</v>
      </c>
      <c r="I478" s="8">
        <v>1</v>
      </c>
      <c r="J478" s="8">
        <v>1</v>
      </c>
      <c r="K478" s="9">
        <v>0</v>
      </c>
      <c r="L478" s="10">
        <v>0</v>
      </c>
      <c r="M478" s="6">
        <v>0</v>
      </c>
      <c r="N478" s="37" t="e" cm="1">
        <f t="array" ref="N478">IF(OR(ISNUMBER(FIND(Aux!$D$3:$D$9,_xlfn.TEXTJOIN(,,C478:K478)))),NA(),IF(AND(SUM(C478:F478,H478:K478)=0,G478=1),0,INT((SUMPRODUCT(C478:F478,COLUMN($A$1:$D$1)-1)+SUMPRODUCT(H478:K478,COLUMN($E$1:$H$1)-1))*'Line Follower'!$C$3/SUM(C478:F478,H478:K478)-'Line Follower'!$C$5)))</f>
        <v>#N/A</v>
      </c>
      <c r="O478" s="22" t="e">
        <v>#N/A</v>
      </c>
      <c r="P478" s="4" t="e">
        <f t="shared" si="35"/>
        <v>#N/A</v>
      </c>
      <c r="Q478" s="4" t="e">
        <f t="shared" si="36"/>
        <v>#N/A</v>
      </c>
      <c r="R478" s="4" t="e">
        <f>IF(AND(B478=1,N478&gt;'Line Follower'!$C$7,SUM(C478:K478)&lt;4),1,0)</f>
        <v>#N/A</v>
      </c>
      <c r="S478" s="4" t="e">
        <f>IF(AND(L478=1,N478&lt;'Line Follower'!$C$6,SUM(C478:K478)&lt;4),1,0)</f>
        <v>#N/A</v>
      </c>
      <c r="T478" s="4" t="e">
        <f t="shared" si="37"/>
        <v>#N/A</v>
      </c>
      <c r="U478" s="5" t="e">
        <f t="shared" si="38"/>
        <v>#N/A</v>
      </c>
      <c r="V478" s="23" t="e">
        <f t="shared" si="39"/>
        <v>#N/A</v>
      </c>
    </row>
    <row r="479" spans="2:22" x14ac:dyDescent="0.25">
      <c r="B479" s="16">
        <v>0</v>
      </c>
      <c r="C479" s="7">
        <v>0</v>
      </c>
      <c r="D479" s="8">
        <v>1</v>
      </c>
      <c r="E479" s="8">
        <v>1</v>
      </c>
      <c r="F479" s="8">
        <v>1</v>
      </c>
      <c r="G479" s="8">
        <v>0</v>
      </c>
      <c r="H479" s="8">
        <v>1</v>
      </c>
      <c r="I479" s="8">
        <v>1</v>
      </c>
      <c r="J479" s="8">
        <v>1</v>
      </c>
      <c r="K479" s="9">
        <v>0</v>
      </c>
      <c r="L479" s="10">
        <v>0</v>
      </c>
      <c r="M479" s="6">
        <v>0</v>
      </c>
      <c r="N479" s="37" t="e" cm="1">
        <f t="array" ref="N479">IF(OR(ISNUMBER(FIND(Aux!$D$3:$D$9,_xlfn.TEXTJOIN(,,C479:K479)))),NA(),IF(AND(SUM(C479:F479,H479:K479)=0,G479=1),0,INT((SUMPRODUCT(C479:F479,COLUMN($A$1:$D$1)-1)+SUMPRODUCT(H479:K479,COLUMN($E$1:$H$1)-1))*'Line Follower'!$C$3/SUM(C479:F479,H479:K479)-'Line Follower'!$C$5)))</f>
        <v>#N/A</v>
      </c>
      <c r="O479" s="22" t="e">
        <v>#N/A</v>
      </c>
      <c r="P479" s="4" t="e">
        <f t="shared" si="35"/>
        <v>#N/A</v>
      </c>
      <c r="Q479" s="4" t="e">
        <f t="shared" si="36"/>
        <v>#N/A</v>
      </c>
      <c r="R479" s="4" t="e">
        <f>IF(AND(B479=1,N479&gt;'Line Follower'!$C$7,SUM(C479:K479)&lt;4),1,0)</f>
        <v>#N/A</v>
      </c>
      <c r="S479" s="4" t="e">
        <f>IF(AND(L479=1,N479&lt;'Line Follower'!$C$6,SUM(C479:K479)&lt;4),1,0)</f>
        <v>#N/A</v>
      </c>
      <c r="T479" s="4" t="e">
        <f t="shared" si="37"/>
        <v>#N/A</v>
      </c>
      <c r="U479" s="5" t="e">
        <f t="shared" si="38"/>
        <v>#N/A</v>
      </c>
      <c r="V479" s="23" t="e">
        <f t="shared" si="39"/>
        <v>#N/A</v>
      </c>
    </row>
    <row r="480" spans="2:22" x14ac:dyDescent="0.25">
      <c r="B480" s="16">
        <v>1</v>
      </c>
      <c r="C480" s="7">
        <v>0</v>
      </c>
      <c r="D480" s="8">
        <v>1</v>
      </c>
      <c r="E480" s="8">
        <v>1</v>
      </c>
      <c r="F480" s="8">
        <v>1</v>
      </c>
      <c r="G480" s="8">
        <v>0</v>
      </c>
      <c r="H480" s="8">
        <v>1</v>
      </c>
      <c r="I480" s="8">
        <v>1</v>
      </c>
      <c r="J480" s="8">
        <v>1</v>
      </c>
      <c r="K480" s="9">
        <v>0</v>
      </c>
      <c r="L480" s="10">
        <v>0</v>
      </c>
      <c r="M480" s="6">
        <v>0</v>
      </c>
      <c r="N480" s="37" t="e" cm="1">
        <f t="array" ref="N480">IF(OR(ISNUMBER(FIND(Aux!$D$3:$D$9,_xlfn.TEXTJOIN(,,C480:K480)))),NA(),IF(AND(SUM(C480:F480,H480:K480)=0,G480=1),0,INT((SUMPRODUCT(C480:F480,COLUMN($A$1:$D$1)-1)+SUMPRODUCT(H480:K480,COLUMN($E$1:$H$1)-1))*'Line Follower'!$C$3/SUM(C480:F480,H480:K480)-'Line Follower'!$C$5)))</f>
        <v>#N/A</v>
      </c>
      <c r="O480" s="22" t="e">
        <v>#N/A</v>
      </c>
      <c r="P480" s="4" t="e">
        <f t="shared" si="35"/>
        <v>#N/A</v>
      </c>
      <c r="Q480" s="4" t="e">
        <f t="shared" si="36"/>
        <v>#N/A</v>
      </c>
      <c r="R480" s="4" t="e">
        <f>IF(AND(B480=1,N480&gt;'Line Follower'!$C$7,SUM(C480:K480)&lt;4),1,0)</f>
        <v>#N/A</v>
      </c>
      <c r="S480" s="4" t="e">
        <f>IF(AND(L480=1,N480&lt;'Line Follower'!$C$6,SUM(C480:K480)&lt;4),1,0)</f>
        <v>#N/A</v>
      </c>
      <c r="T480" s="4" t="e">
        <f t="shared" si="37"/>
        <v>#N/A</v>
      </c>
      <c r="U480" s="5" t="e">
        <f t="shared" si="38"/>
        <v>#N/A</v>
      </c>
      <c r="V480" s="23" t="e">
        <f t="shared" si="39"/>
        <v>#N/A</v>
      </c>
    </row>
    <row r="481" spans="2:22" x14ac:dyDescent="0.25">
      <c r="B481" s="16">
        <v>0</v>
      </c>
      <c r="C481" s="7">
        <v>1</v>
      </c>
      <c r="D481" s="8">
        <v>1</v>
      </c>
      <c r="E481" s="8">
        <v>1</v>
      </c>
      <c r="F481" s="8">
        <v>1</v>
      </c>
      <c r="G481" s="8">
        <v>0</v>
      </c>
      <c r="H481" s="8">
        <v>1</v>
      </c>
      <c r="I481" s="8">
        <v>1</v>
      </c>
      <c r="J481" s="8">
        <v>1</v>
      </c>
      <c r="K481" s="9">
        <v>0</v>
      </c>
      <c r="L481" s="10">
        <v>0</v>
      </c>
      <c r="M481" s="6">
        <v>0</v>
      </c>
      <c r="N481" s="37" t="e" cm="1">
        <f t="array" ref="N481">IF(OR(ISNUMBER(FIND(Aux!$D$3:$D$9,_xlfn.TEXTJOIN(,,C481:K481)))),NA(),IF(AND(SUM(C481:F481,H481:K481)=0,G481=1),0,INT((SUMPRODUCT(C481:F481,COLUMN($A$1:$D$1)-1)+SUMPRODUCT(H481:K481,COLUMN($E$1:$H$1)-1))*'Line Follower'!$C$3/SUM(C481:F481,H481:K481)-'Line Follower'!$C$5)))</f>
        <v>#N/A</v>
      </c>
      <c r="O481" s="22" t="e">
        <v>#N/A</v>
      </c>
      <c r="P481" s="4" t="e">
        <f t="shared" si="35"/>
        <v>#N/A</v>
      </c>
      <c r="Q481" s="4" t="e">
        <f t="shared" si="36"/>
        <v>#N/A</v>
      </c>
      <c r="R481" s="4" t="e">
        <f>IF(AND(B481=1,N481&gt;'Line Follower'!$C$7,SUM(C481:K481)&lt;4),1,0)</f>
        <v>#N/A</v>
      </c>
      <c r="S481" s="4" t="e">
        <f>IF(AND(L481=1,N481&lt;'Line Follower'!$C$6,SUM(C481:K481)&lt;4),1,0)</f>
        <v>#N/A</v>
      </c>
      <c r="T481" s="4" t="e">
        <f t="shared" si="37"/>
        <v>#N/A</v>
      </c>
      <c r="U481" s="5" t="e">
        <f t="shared" si="38"/>
        <v>#N/A</v>
      </c>
      <c r="V481" s="23" t="e">
        <f t="shared" si="39"/>
        <v>#N/A</v>
      </c>
    </row>
    <row r="482" spans="2:22" x14ac:dyDescent="0.25">
      <c r="B482" s="16">
        <v>1</v>
      </c>
      <c r="C482" s="7">
        <v>1</v>
      </c>
      <c r="D482" s="8">
        <v>1</v>
      </c>
      <c r="E482" s="8">
        <v>1</v>
      </c>
      <c r="F482" s="8">
        <v>1</v>
      </c>
      <c r="G482" s="8">
        <v>0</v>
      </c>
      <c r="H482" s="8">
        <v>1</v>
      </c>
      <c r="I482" s="8">
        <v>1</v>
      </c>
      <c r="J482" s="8">
        <v>1</v>
      </c>
      <c r="K482" s="9">
        <v>0</v>
      </c>
      <c r="L482" s="10">
        <v>0</v>
      </c>
      <c r="M482" s="6">
        <v>0</v>
      </c>
      <c r="N482" s="37" t="e" cm="1">
        <f t="array" ref="N482">IF(OR(ISNUMBER(FIND(Aux!$D$3:$D$9,_xlfn.TEXTJOIN(,,C482:K482)))),NA(),IF(AND(SUM(C482:F482,H482:K482)=0,G482=1),0,INT((SUMPRODUCT(C482:F482,COLUMN($A$1:$D$1)-1)+SUMPRODUCT(H482:K482,COLUMN($E$1:$H$1)-1))*'Line Follower'!$C$3/SUM(C482:F482,H482:K482)-'Line Follower'!$C$5)))</f>
        <v>#N/A</v>
      </c>
      <c r="O482" s="22" t="e">
        <v>#N/A</v>
      </c>
      <c r="P482" s="4" t="e">
        <f t="shared" si="35"/>
        <v>#N/A</v>
      </c>
      <c r="Q482" s="4" t="e">
        <f t="shared" si="36"/>
        <v>#N/A</v>
      </c>
      <c r="R482" s="4" t="e">
        <f>IF(AND(B482=1,N482&gt;'Line Follower'!$C$7,SUM(C482:K482)&lt;4),1,0)</f>
        <v>#N/A</v>
      </c>
      <c r="S482" s="4" t="e">
        <f>IF(AND(L482=1,N482&lt;'Line Follower'!$C$6,SUM(C482:K482)&lt;4),1,0)</f>
        <v>#N/A</v>
      </c>
      <c r="T482" s="4" t="e">
        <f t="shared" si="37"/>
        <v>#N/A</v>
      </c>
      <c r="U482" s="5" t="e">
        <f t="shared" si="38"/>
        <v>#N/A</v>
      </c>
      <c r="V482" s="23" t="e">
        <f t="shared" si="39"/>
        <v>#N/A</v>
      </c>
    </row>
    <row r="483" spans="2:22" x14ac:dyDescent="0.25">
      <c r="B483" s="16">
        <v>0</v>
      </c>
      <c r="C483" s="7">
        <v>0</v>
      </c>
      <c r="D483" s="8">
        <v>0</v>
      </c>
      <c r="E483" s="8">
        <v>0</v>
      </c>
      <c r="F483" s="8">
        <v>0</v>
      </c>
      <c r="G483" s="8">
        <v>1</v>
      </c>
      <c r="H483" s="8">
        <v>1</v>
      </c>
      <c r="I483" s="8">
        <v>1</v>
      </c>
      <c r="J483" s="8">
        <v>1</v>
      </c>
      <c r="K483" s="9">
        <v>0</v>
      </c>
      <c r="L483" s="10">
        <v>0</v>
      </c>
      <c r="M483" s="6">
        <v>0</v>
      </c>
      <c r="N483" s="37" cm="1">
        <f t="array" ref="N483">IF(OR(ISNUMBER(FIND(Aux!$D$3:$D$9,_xlfn.TEXTJOIN(,,C483:K483)))),NA(),IF(AND(SUM(C483:F483,H483:K483)=0,G483=1),0,INT((SUMPRODUCT(C483:F483,COLUMN($A$1:$D$1)-1)+SUMPRODUCT(H483:K483,COLUMN($E$1:$H$1)-1))*'Line Follower'!$C$3/SUM(C483:F483,H483:K483)-'Line Follower'!$C$5)))</f>
        <v>3</v>
      </c>
      <c r="O483" s="22">
        <v>1</v>
      </c>
      <c r="P483" s="4">
        <f t="shared" si="35"/>
        <v>0</v>
      </c>
      <c r="Q483" s="4">
        <f t="shared" si="36"/>
        <v>1</v>
      </c>
      <c r="R483" s="4">
        <f>IF(AND(B483=1,N483&gt;'Line Follower'!$C$7,SUM(C483:K483)&lt;4),1,0)</f>
        <v>0</v>
      </c>
      <c r="S483" s="4">
        <f>IF(AND(L483=1,N483&lt;'Line Follower'!$C$6,SUM(C483:K483)&lt;4),1,0)</f>
        <v>0</v>
      </c>
      <c r="T483" s="4">
        <f t="shared" si="37"/>
        <v>0</v>
      </c>
      <c r="U483" s="5">
        <f t="shared" si="38"/>
        <v>0</v>
      </c>
      <c r="V483" s="23">
        <f t="shared" si="39"/>
        <v>0</v>
      </c>
    </row>
    <row r="484" spans="2:22" x14ac:dyDescent="0.25">
      <c r="B484" s="16">
        <v>1</v>
      </c>
      <c r="C484" s="7">
        <v>0</v>
      </c>
      <c r="D484" s="8">
        <v>0</v>
      </c>
      <c r="E484" s="8">
        <v>0</v>
      </c>
      <c r="F484" s="8">
        <v>0</v>
      </c>
      <c r="G484" s="8">
        <v>1</v>
      </c>
      <c r="H484" s="8">
        <v>1</v>
      </c>
      <c r="I484" s="8">
        <v>1</v>
      </c>
      <c r="J484" s="8">
        <v>1</v>
      </c>
      <c r="K484" s="9">
        <v>0</v>
      </c>
      <c r="L484" s="10">
        <v>0</v>
      </c>
      <c r="M484" s="6">
        <v>0</v>
      </c>
      <c r="N484" s="37" cm="1">
        <f t="array" ref="N484">IF(OR(ISNUMBER(FIND(Aux!$D$3:$D$9,_xlfn.TEXTJOIN(,,C484:K484)))),NA(),IF(AND(SUM(C484:F484,H484:K484)=0,G484=1),0,INT((SUMPRODUCT(C484:F484,COLUMN($A$1:$D$1)-1)+SUMPRODUCT(H484:K484,COLUMN($E$1:$H$1)-1))*'Line Follower'!$C$3/SUM(C484:F484,H484:K484)-'Line Follower'!$C$5)))</f>
        <v>3</v>
      </c>
      <c r="O484" s="22">
        <v>1</v>
      </c>
      <c r="P484" s="4">
        <f t="shared" si="35"/>
        <v>0</v>
      </c>
      <c r="Q484" s="4">
        <f t="shared" si="36"/>
        <v>1</v>
      </c>
      <c r="R484" s="4">
        <f>IF(AND(B484=1,N484&gt;'Line Follower'!$C$7,SUM(C484:K484)&lt;4),1,0)</f>
        <v>0</v>
      </c>
      <c r="S484" s="4">
        <f>IF(AND(L484=1,N484&lt;'Line Follower'!$C$6,SUM(C484:K484)&lt;4),1,0)</f>
        <v>0</v>
      </c>
      <c r="T484" s="4">
        <f t="shared" si="37"/>
        <v>0</v>
      </c>
      <c r="U484" s="5">
        <f t="shared" si="38"/>
        <v>0</v>
      </c>
      <c r="V484" s="23">
        <f t="shared" si="39"/>
        <v>0</v>
      </c>
    </row>
    <row r="485" spans="2:22" x14ac:dyDescent="0.25">
      <c r="B485" s="16">
        <v>0</v>
      </c>
      <c r="C485" s="7">
        <v>1</v>
      </c>
      <c r="D485" s="8">
        <v>0</v>
      </c>
      <c r="E485" s="8">
        <v>0</v>
      </c>
      <c r="F485" s="8">
        <v>0</v>
      </c>
      <c r="G485" s="8">
        <v>1</v>
      </c>
      <c r="H485" s="8">
        <v>1</v>
      </c>
      <c r="I485" s="8">
        <v>1</v>
      </c>
      <c r="J485" s="8">
        <v>1</v>
      </c>
      <c r="K485" s="9">
        <v>0</v>
      </c>
      <c r="L485" s="10">
        <v>0</v>
      </c>
      <c r="M485" s="6">
        <v>0</v>
      </c>
      <c r="N485" s="37" t="e" cm="1">
        <f t="array" ref="N485">IF(OR(ISNUMBER(FIND(Aux!$D$3:$D$9,_xlfn.TEXTJOIN(,,C485:K485)))),NA(),IF(AND(SUM(C485:F485,H485:K485)=0,G485=1),0,INT((SUMPRODUCT(C485:F485,COLUMN($A$1:$D$1)-1)+SUMPRODUCT(H485:K485,COLUMN($E$1:$H$1)-1))*'Line Follower'!$C$3/SUM(C485:F485,H485:K485)-'Line Follower'!$C$5)))</f>
        <v>#N/A</v>
      </c>
      <c r="O485" s="22" t="e">
        <v>#N/A</v>
      </c>
      <c r="P485" s="4" t="e">
        <f t="shared" si="35"/>
        <v>#N/A</v>
      </c>
      <c r="Q485" s="4" t="e">
        <f t="shared" si="36"/>
        <v>#N/A</v>
      </c>
      <c r="R485" s="4" t="e">
        <f>IF(AND(B485=1,N485&gt;'Line Follower'!$C$7,SUM(C485:K485)&lt;4),1,0)</f>
        <v>#N/A</v>
      </c>
      <c r="S485" s="4" t="e">
        <f>IF(AND(L485=1,N485&lt;'Line Follower'!$C$6,SUM(C485:K485)&lt;4),1,0)</f>
        <v>#N/A</v>
      </c>
      <c r="T485" s="4" t="e">
        <f t="shared" si="37"/>
        <v>#N/A</v>
      </c>
      <c r="U485" s="5" t="e">
        <f t="shared" si="38"/>
        <v>#N/A</v>
      </c>
      <c r="V485" s="23" t="e">
        <f t="shared" si="39"/>
        <v>#N/A</v>
      </c>
    </row>
    <row r="486" spans="2:22" x14ac:dyDescent="0.25">
      <c r="B486" s="16">
        <v>1</v>
      </c>
      <c r="C486" s="7">
        <v>1</v>
      </c>
      <c r="D486" s="8">
        <v>0</v>
      </c>
      <c r="E486" s="8">
        <v>0</v>
      </c>
      <c r="F486" s="8">
        <v>0</v>
      </c>
      <c r="G486" s="8">
        <v>1</v>
      </c>
      <c r="H486" s="8">
        <v>1</v>
      </c>
      <c r="I486" s="8">
        <v>1</v>
      </c>
      <c r="J486" s="8">
        <v>1</v>
      </c>
      <c r="K486" s="9">
        <v>0</v>
      </c>
      <c r="L486" s="10">
        <v>0</v>
      </c>
      <c r="M486" s="6">
        <v>0</v>
      </c>
      <c r="N486" s="37" t="e" cm="1">
        <f t="array" ref="N486">IF(OR(ISNUMBER(FIND(Aux!$D$3:$D$9,_xlfn.TEXTJOIN(,,C486:K486)))),NA(),IF(AND(SUM(C486:F486,H486:K486)=0,G486=1),0,INT((SUMPRODUCT(C486:F486,COLUMN($A$1:$D$1)-1)+SUMPRODUCT(H486:K486,COLUMN($E$1:$H$1)-1))*'Line Follower'!$C$3/SUM(C486:F486,H486:K486)-'Line Follower'!$C$5)))</f>
        <v>#N/A</v>
      </c>
      <c r="O486" s="22" t="e">
        <v>#N/A</v>
      </c>
      <c r="P486" s="4" t="e">
        <f t="shared" si="35"/>
        <v>#N/A</v>
      </c>
      <c r="Q486" s="4" t="e">
        <f t="shared" si="36"/>
        <v>#N/A</v>
      </c>
      <c r="R486" s="4" t="e">
        <f>IF(AND(B486=1,N486&gt;'Line Follower'!$C$7,SUM(C486:K486)&lt;4),1,0)</f>
        <v>#N/A</v>
      </c>
      <c r="S486" s="4" t="e">
        <f>IF(AND(L486=1,N486&lt;'Line Follower'!$C$6,SUM(C486:K486)&lt;4),1,0)</f>
        <v>#N/A</v>
      </c>
      <c r="T486" s="4" t="e">
        <f t="shared" si="37"/>
        <v>#N/A</v>
      </c>
      <c r="U486" s="5" t="e">
        <f t="shared" si="38"/>
        <v>#N/A</v>
      </c>
      <c r="V486" s="23" t="e">
        <f t="shared" si="39"/>
        <v>#N/A</v>
      </c>
    </row>
    <row r="487" spans="2:22" x14ac:dyDescent="0.25">
      <c r="B487" s="16">
        <v>0</v>
      </c>
      <c r="C487" s="7">
        <v>0</v>
      </c>
      <c r="D487" s="8">
        <v>1</v>
      </c>
      <c r="E487" s="8">
        <v>0</v>
      </c>
      <c r="F487" s="8">
        <v>0</v>
      </c>
      <c r="G487" s="8">
        <v>1</v>
      </c>
      <c r="H487" s="8">
        <v>1</v>
      </c>
      <c r="I487" s="8">
        <v>1</v>
      </c>
      <c r="J487" s="8">
        <v>1</v>
      </c>
      <c r="K487" s="9">
        <v>0</v>
      </c>
      <c r="L487" s="10">
        <v>0</v>
      </c>
      <c r="M487" s="6">
        <v>0</v>
      </c>
      <c r="N487" s="37" t="e" cm="1">
        <f t="array" ref="N487">IF(OR(ISNUMBER(FIND(Aux!$D$3:$D$9,_xlfn.TEXTJOIN(,,C487:K487)))),NA(),IF(AND(SUM(C487:F487,H487:K487)=0,G487=1),0,INT((SUMPRODUCT(C487:F487,COLUMN($A$1:$D$1)-1)+SUMPRODUCT(H487:K487,COLUMN($E$1:$H$1)-1))*'Line Follower'!$C$3/SUM(C487:F487,H487:K487)-'Line Follower'!$C$5)))</f>
        <v>#N/A</v>
      </c>
      <c r="O487" s="22" t="e">
        <v>#N/A</v>
      </c>
      <c r="P487" s="4" t="e">
        <f t="shared" si="35"/>
        <v>#N/A</v>
      </c>
      <c r="Q487" s="4" t="e">
        <f t="shared" si="36"/>
        <v>#N/A</v>
      </c>
      <c r="R487" s="4" t="e">
        <f>IF(AND(B487=1,N487&gt;'Line Follower'!$C$7,SUM(C487:K487)&lt;4),1,0)</f>
        <v>#N/A</v>
      </c>
      <c r="S487" s="4" t="e">
        <f>IF(AND(L487=1,N487&lt;'Line Follower'!$C$6,SUM(C487:K487)&lt;4),1,0)</f>
        <v>#N/A</v>
      </c>
      <c r="T487" s="4" t="e">
        <f t="shared" si="37"/>
        <v>#N/A</v>
      </c>
      <c r="U487" s="5" t="e">
        <f t="shared" si="38"/>
        <v>#N/A</v>
      </c>
      <c r="V487" s="23" t="e">
        <f t="shared" si="39"/>
        <v>#N/A</v>
      </c>
    </row>
    <row r="488" spans="2:22" x14ac:dyDescent="0.25">
      <c r="B488" s="16">
        <v>1</v>
      </c>
      <c r="C488" s="7">
        <v>0</v>
      </c>
      <c r="D488" s="8">
        <v>1</v>
      </c>
      <c r="E488" s="8">
        <v>0</v>
      </c>
      <c r="F488" s="8">
        <v>0</v>
      </c>
      <c r="G488" s="8">
        <v>1</v>
      </c>
      <c r="H488" s="8">
        <v>1</v>
      </c>
      <c r="I488" s="8">
        <v>1</v>
      </c>
      <c r="J488" s="8">
        <v>1</v>
      </c>
      <c r="K488" s="9">
        <v>0</v>
      </c>
      <c r="L488" s="10">
        <v>0</v>
      </c>
      <c r="M488" s="6">
        <v>0</v>
      </c>
      <c r="N488" s="37" t="e" cm="1">
        <f t="array" ref="N488">IF(OR(ISNUMBER(FIND(Aux!$D$3:$D$9,_xlfn.TEXTJOIN(,,C488:K488)))),NA(),IF(AND(SUM(C488:F488,H488:K488)=0,G488=1),0,INT((SUMPRODUCT(C488:F488,COLUMN($A$1:$D$1)-1)+SUMPRODUCT(H488:K488,COLUMN($E$1:$H$1)-1))*'Line Follower'!$C$3/SUM(C488:F488,H488:K488)-'Line Follower'!$C$5)))</f>
        <v>#N/A</v>
      </c>
      <c r="O488" s="22" t="e">
        <v>#N/A</v>
      </c>
      <c r="P488" s="4" t="e">
        <f t="shared" si="35"/>
        <v>#N/A</v>
      </c>
      <c r="Q488" s="4" t="e">
        <f t="shared" si="36"/>
        <v>#N/A</v>
      </c>
      <c r="R488" s="4" t="e">
        <f>IF(AND(B488=1,N488&gt;'Line Follower'!$C$7,SUM(C488:K488)&lt;4),1,0)</f>
        <v>#N/A</v>
      </c>
      <c r="S488" s="4" t="e">
        <f>IF(AND(L488=1,N488&lt;'Line Follower'!$C$6,SUM(C488:K488)&lt;4),1,0)</f>
        <v>#N/A</v>
      </c>
      <c r="T488" s="4" t="e">
        <f t="shared" si="37"/>
        <v>#N/A</v>
      </c>
      <c r="U488" s="5" t="e">
        <f t="shared" si="38"/>
        <v>#N/A</v>
      </c>
      <c r="V488" s="23" t="e">
        <f t="shared" si="39"/>
        <v>#N/A</v>
      </c>
    </row>
    <row r="489" spans="2:22" x14ac:dyDescent="0.25">
      <c r="B489" s="16">
        <v>0</v>
      </c>
      <c r="C489" s="7">
        <v>1</v>
      </c>
      <c r="D489" s="8">
        <v>1</v>
      </c>
      <c r="E489" s="8">
        <v>0</v>
      </c>
      <c r="F489" s="8">
        <v>0</v>
      </c>
      <c r="G489" s="8">
        <v>1</v>
      </c>
      <c r="H489" s="8">
        <v>1</v>
      </c>
      <c r="I489" s="8">
        <v>1</v>
      </c>
      <c r="J489" s="8">
        <v>1</v>
      </c>
      <c r="K489" s="9">
        <v>0</v>
      </c>
      <c r="L489" s="10">
        <v>0</v>
      </c>
      <c r="M489" s="6">
        <v>0</v>
      </c>
      <c r="N489" s="37" t="e" cm="1">
        <f t="array" ref="N489">IF(OR(ISNUMBER(FIND(Aux!$D$3:$D$9,_xlfn.TEXTJOIN(,,C489:K489)))),NA(),IF(AND(SUM(C489:F489,H489:K489)=0,G489=1),0,INT((SUMPRODUCT(C489:F489,COLUMN($A$1:$D$1)-1)+SUMPRODUCT(H489:K489,COLUMN($E$1:$H$1)-1))*'Line Follower'!$C$3/SUM(C489:F489,H489:K489)-'Line Follower'!$C$5)))</f>
        <v>#N/A</v>
      </c>
      <c r="O489" s="22" t="e">
        <v>#N/A</v>
      </c>
      <c r="P489" s="4" t="e">
        <f t="shared" si="35"/>
        <v>#N/A</v>
      </c>
      <c r="Q489" s="4" t="e">
        <f t="shared" si="36"/>
        <v>#N/A</v>
      </c>
      <c r="R489" s="4" t="e">
        <f>IF(AND(B489=1,N489&gt;'Line Follower'!$C$7,SUM(C489:K489)&lt;4),1,0)</f>
        <v>#N/A</v>
      </c>
      <c r="S489" s="4" t="e">
        <f>IF(AND(L489=1,N489&lt;'Line Follower'!$C$6,SUM(C489:K489)&lt;4),1,0)</f>
        <v>#N/A</v>
      </c>
      <c r="T489" s="4" t="e">
        <f t="shared" si="37"/>
        <v>#N/A</v>
      </c>
      <c r="U489" s="5" t="e">
        <f t="shared" si="38"/>
        <v>#N/A</v>
      </c>
      <c r="V489" s="23" t="e">
        <f t="shared" si="39"/>
        <v>#N/A</v>
      </c>
    </row>
    <row r="490" spans="2:22" x14ac:dyDescent="0.25">
      <c r="B490" s="16">
        <v>1</v>
      </c>
      <c r="C490" s="7">
        <v>1</v>
      </c>
      <c r="D490" s="8">
        <v>1</v>
      </c>
      <c r="E490" s="8">
        <v>0</v>
      </c>
      <c r="F490" s="8">
        <v>0</v>
      </c>
      <c r="G490" s="8">
        <v>1</v>
      </c>
      <c r="H490" s="8">
        <v>1</v>
      </c>
      <c r="I490" s="8">
        <v>1</v>
      </c>
      <c r="J490" s="8">
        <v>1</v>
      </c>
      <c r="K490" s="9">
        <v>0</v>
      </c>
      <c r="L490" s="10">
        <v>0</v>
      </c>
      <c r="M490" s="6">
        <v>0</v>
      </c>
      <c r="N490" s="37" t="e" cm="1">
        <f t="array" ref="N490">IF(OR(ISNUMBER(FIND(Aux!$D$3:$D$9,_xlfn.TEXTJOIN(,,C490:K490)))),NA(),IF(AND(SUM(C490:F490,H490:K490)=0,G490=1),0,INT((SUMPRODUCT(C490:F490,COLUMN($A$1:$D$1)-1)+SUMPRODUCT(H490:K490,COLUMN($E$1:$H$1)-1))*'Line Follower'!$C$3/SUM(C490:F490,H490:K490)-'Line Follower'!$C$5)))</f>
        <v>#N/A</v>
      </c>
      <c r="O490" s="22" t="e">
        <v>#N/A</v>
      </c>
      <c r="P490" s="4" t="e">
        <f t="shared" si="35"/>
        <v>#N/A</v>
      </c>
      <c r="Q490" s="4" t="e">
        <f t="shared" si="36"/>
        <v>#N/A</v>
      </c>
      <c r="R490" s="4" t="e">
        <f>IF(AND(B490=1,N490&gt;'Line Follower'!$C$7,SUM(C490:K490)&lt;4),1,0)</f>
        <v>#N/A</v>
      </c>
      <c r="S490" s="4" t="e">
        <f>IF(AND(L490=1,N490&lt;'Line Follower'!$C$6,SUM(C490:K490)&lt;4),1,0)</f>
        <v>#N/A</v>
      </c>
      <c r="T490" s="4" t="e">
        <f t="shared" si="37"/>
        <v>#N/A</v>
      </c>
      <c r="U490" s="5" t="e">
        <f t="shared" si="38"/>
        <v>#N/A</v>
      </c>
      <c r="V490" s="23" t="e">
        <f t="shared" si="39"/>
        <v>#N/A</v>
      </c>
    </row>
    <row r="491" spans="2:22" x14ac:dyDescent="0.25">
      <c r="B491" s="16">
        <v>0</v>
      </c>
      <c r="C491" s="7">
        <v>0</v>
      </c>
      <c r="D491" s="8">
        <v>0</v>
      </c>
      <c r="E491" s="8">
        <v>1</v>
      </c>
      <c r="F491" s="8">
        <v>0</v>
      </c>
      <c r="G491" s="8">
        <v>1</v>
      </c>
      <c r="H491" s="8">
        <v>1</v>
      </c>
      <c r="I491" s="8">
        <v>1</v>
      </c>
      <c r="J491" s="8">
        <v>1</v>
      </c>
      <c r="K491" s="9">
        <v>0</v>
      </c>
      <c r="L491" s="10">
        <v>0</v>
      </c>
      <c r="M491" s="6">
        <v>0</v>
      </c>
      <c r="N491" s="37" t="e" cm="1">
        <f t="array" ref="N491">IF(OR(ISNUMBER(FIND(Aux!$D$3:$D$9,_xlfn.TEXTJOIN(,,C491:K491)))),NA(),IF(AND(SUM(C491:F491,H491:K491)=0,G491=1),0,INT((SUMPRODUCT(C491:F491,COLUMN($A$1:$D$1)-1)+SUMPRODUCT(H491:K491,COLUMN($E$1:$H$1)-1))*'Line Follower'!$C$3/SUM(C491:F491,H491:K491)-'Line Follower'!$C$5)))</f>
        <v>#N/A</v>
      </c>
      <c r="O491" s="22" t="e">
        <v>#N/A</v>
      </c>
      <c r="P491" s="4" t="e">
        <f t="shared" si="35"/>
        <v>#N/A</v>
      </c>
      <c r="Q491" s="4" t="e">
        <f t="shared" si="36"/>
        <v>#N/A</v>
      </c>
      <c r="R491" s="4" t="e">
        <f>IF(AND(B491=1,N491&gt;'Line Follower'!$C$7,SUM(C491:K491)&lt;4),1,0)</f>
        <v>#N/A</v>
      </c>
      <c r="S491" s="4" t="e">
        <f>IF(AND(L491=1,N491&lt;'Line Follower'!$C$6,SUM(C491:K491)&lt;4),1,0)</f>
        <v>#N/A</v>
      </c>
      <c r="T491" s="4" t="e">
        <f t="shared" si="37"/>
        <v>#N/A</v>
      </c>
      <c r="U491" s="5" t="e">
        <f t="shared" si="38"/>
        <v>#N/A</v>
      </c>
      <c r="V491" s="23" t="e">
        <f t="shared" si="39"/>
        <v>#N/A</v>
      </c>
    </row>
    <row r="492" spans="2:22" x14ac:dyDescent="0.25">
      <c r="B492" s="16">
        <v>1</v>
      </c>
      <c r="C492" s="7">
        <v>0</v>
      </c>
      <c r="D492" s="8">
        <v>0</v>
      </c>
      <c r="E492" s="8">
        <v>1</v>
      </c>
      <c r="F492" s="8">
        <v>0</v>
      </c>
      <c r="G492" s="8">
        <v>1</v>
      </c>
      <c r="H492" s="8">
        <v>1</v>
      </c>
      <c r="I492" s="8">
        <v>1</v>
      </c>
      <c r="J492" s="8">
        <v>1</v>
      </c>
      <c r="K492" s="9">
        <v>0</v>
      </c>
      <c r="L492" s="10">
        <v>0</v>
      </c>
      <c r="M492" s="6">
        <v>0</v>
      </c>
      <c r="N492" s="37" t="e" cm="1">
        <f t="array" ref="N492">IF(OR(ISNUMBER(FIND(Aux!$D$3:$D$9,_xlfn.TEXTJOIN(,,C492:K492)))),NA(),IF(AND(SUM(C492:F492,H492:K492)=0,G492=1),0,INT((SUMPRODUCT(C492:F492,COLUMN($A$1:$D$1)-1)+SUMPRODUCT(H492:K492,COLUMN($E$1:$H$1)-1))*'Line Follower'!$C$3/SUM(C492:F492,H492:K492)-'Line Follower'!$C$5)))</f>
        <v>#N/A</v>
      </c>
      <c r="O492" s="22" t="e">
        <v>#N/A</v>
      </c>
      <c r="P492" s="4" t="e">
        <f t="shared" si="35"/>
        <v>#N/A</v>
      </c>
      <c r="Q492" s="4" t="e">
        <f t="shared" si="36"/>
        <v>#N/A</v>
      </c>
      <c r="R492" s="4" t="e">
        <f>IF(AND(B492=1,N492&gt;'Line Follower'!$C$7,SUM(C492:K492)&lt;4),1,0)</f>
        <v>#N/A</v>
      </c>
      <c r="S492" s="4" t="e">
        <f>IF(AND(L492=1,N492&lt;'Line Follower'!$C$6,SUM(C492:K492)&lt;4),1,0)</f>
        <v>#N/A</v>
      </c>
      <c r="T492" s="4" t="e">
        <f t="shared" si="37"/>
        <v>#N/A</v>
      </c>
      <c r="U492" s="5" t="e">
        <f t="shared" si="38"/>
        <v>#N/A</v>
      </c>
      <c r="V492" s="23" t="e">
        <f t="shared" si="39"/>
        <v>#N/A</v>
      </c>
    </row>
    <row r="493" spans="2:22" x14ac:dyDescent="0.25">
      <c r="B493" s="16">
        <v>0</v>
      </c>
      <c r="C493" s="7">
        <v>1</v>
      </c>
      <c r="D493" s="8">
        <v>0</v>
      </c>
      <c r="E493" s="8">
        <v>1</v>
      </c>
      <c r="F493" s="8">
        <v>0</v>
      </c>
      <c r="G493" s="8">
        <v>1</v>
      </c>
      <c r="H493" s="8">
        <v>1</v>
      </c>
      <c r="I493" s="8">
        <v>1</v>
      </c>
      <c r="J493" s="8">
        <v>1</v>
      </c>
      <c r="K493" s="9">
        <v>0</v>
      </c>
      <c r="L493" s="10">
        <v>0</v>
      </c>
      <c r="M493" s="6">
        <v>0</v>
      </c>
      <c r="N493" s="37" t="e" cm="1">
        <f t="array" ref="N493">IF(OR(ISNUMBER(FIND(Aux!$D$3:$D$9,_xlfn.TEXTJOIN(,,C493:K493)))),NA(),IF(AND(SUM(C493:F493,H493:K493)=0,G493=1),0,INT((SUMPRODUCT(C493:F493,COLUMN($A$1:$D$1)-1)+SUMPRODUCT(H493:K493,COLUMN($E$1:$H$1)-1))*'Line Follower'!$C$3/SUM(C493:F493,H493:K493)-'Line Follower'!$C$5)))</f>
        <v>#N/A</v>
      </c>
      <c r="O493" s="22" t="e">
        <v>#N/A</v>
      </c>
      <c r="P493" s="4" t="e">
        <f t="shared" si="35"/>
        <v>#N/A</v>
      </c>
      <c r="Q493" s="4" t="e">
        <f t="shared" si="36"/>
        <v>#N/A</v>
      </c>
      <c r="R493" s="4" t="e">
        <f>IF(AND(B493=1,N493&gt;'Line Follower'!$C$7,SUM(C493:K493)&lt;4),1,0)</f>
        <v>#N/A</v>
      </c>
      <c r="S493" s="4" t="e">
        <f>IF(AND(L493=1,N493&lt;'Line Follower'!$C$6,SUM(C493:K493)&lt;4),1,0)</f>
        <v>#N/A</v>
      </c>
      <c r="T493" s="4" t="e">
        <f t="shared" si="37"/>
        <v>#N/A</v>
      </c>
      <c r="U493" s="5" t="e">
        <f t="shared" si="38"/>
        <v>#N/A</v>
      </c>
      <c r="V493" s="23" t="e">
        <f t="shared" si="39"/>
        <v>#N/A</v>
      </c>
    </row>
    <row r="494" spans="2:22" x14ac:dyDescent="0.25">
      <c r="B494" s="16">
        <v>1</v>
      </c>
      <c r="C494" s="7">
        <v>1</v>
      </c>
      <c r="D494" s="8">
        <v>0</v>
      </c>
      <c r="E494" s="8">
        <v>1</v>
      </c>
      <c r="F494" s="8">
        <v>0</v>
      </c>
      <c r="G494" s="8">
        <v>1</v>
      </c>
      <c r="H494" s="8">
        <v>1</v>
      </c>
      <c r="I494" s="8">
        <v>1</v>
      </c>
      <c r="J494" s="8">
        <v>1</v>
      </c>
      <c r="K494" s="9">
        <v>0</v>
      </c>
      <c r="L494" s="10">
        <v>0</v>
      </c>
      <c r="M494" s="6">
        <v>0</v>
      </c>
      <c r="N494" s="37" t="e" cm="1">
        <f t="array" ref="N494">IF(OR(ISNUMBER(FIND(Aux!$D$3:$D$9,_xlfn.TEXTJOIN(,,C494:K494)))),NA(),IF(AND(SUM(C494:F494,H494:K494)=0,G494=1),0,INT((SUMPRODUCT(C494:F494,COLUMN($A$1:$D$1)-1)+SUMPRODUCT(H494:K494,COLUMN($E$1:$H$1)-1))*'Line Follower'!$C$3/SUM(C494:F494,H494:K494)-'Line Follower'!$C$5)))</f>
        <v>#N/A</v>
      </c>
      <c r="O494" s="22" t="e">
        <v>#N/A</v>
      </c>
      <c r="P494" s="4" t="e">
        <f t="shared" si="35"/>
        <v>#N/A</v>
      </c>
      <c r="Q494" s="4" t="e">
        <f t="shared" si="36"/>
        <v>#N/A</v>
      </c>
      <c r="R494" s="4" t="e">
        <f>IF(AND(B494=1,N494&gt;'Line Follower'!$C$7,SUM(C494:K494)&lt;4),1,0)</f>
        <v>#N/A</v>
      </c>
      <c r="S494" s="4" t="e">
        <f>IF(AND(L494=1,N494&lt;'Line Follower'!$C$6,SUM(C494:K494)&lt;4),1,0)</f>
        <v>#N/A</v>
      </c>
      <c r="T494" s="4" t="e">
        <f t="shared" si="37"/>
        <v>#N/A</v>
      </c>
      <c r="U494" s="5" t="e">
        <f t="shared" si="38"/>
        <v>#N/A</v>
      </c>
      <c r="V494" s="23" t="e">
        <f t="shared" si="39"/>
        <v>#N/A</v>
      </c>
    </row>
    <row r="495" spans="2:22" x14ac:dyDescent="0.25">
      <c r="B495" s="16">
        <v>0</v>
      </c>
      <c r="C495" s="7">
        <v>0</v>
      </c>
      <c r="D495" s="8">
        <v>1</v>
      </c>
      <c r="E495" s="8">
        <v>1</v>
      </c>
      <c r="F495" s="8">
        <v>0</v>
      </c>
      <c r="G495" s="8">
        <v>1</v>
      </c>
      <c r="H495" s="8">
        <v>1</v>
      </c>
      <c r="I495" s="8">
        <v>1</v>
      </c>
      <c r="J495" s="8">
        <v>1</v>
      </c>
      <c r="K495" s="9">
        <v>0</v>
      </c>
      <c r="L495" s="10">
        <v>0</v>
      </c>
      <c r="M495" s="6">
        <v>0</v>
      </c>
      <c r="N495" s="37" t="e" cm="1">
        <f t="array" ref="N495">IF(OR(ISNUMBER(FIND(Aux!$D$3:$D$9,_xlfn.TEXTJOIN(,,C495:K495)))),NA(),IF(AND(SUM(C495:F495,H495:K495)=0,G495=1),0,INT((SUMPRODUCT(C495:F495,COLUMN($A$1:$D$1)-1)+SUMPRODUCT(H495:K495,COLUMN($E$1:$H$1)-1))*'Line Follower'!$C$3/SUM(C495:F495,H495:K495)-'Line Follower'!$C$5)))</f>
        <v>#N/A</v>
      </c>
      <c r="O495" s="22" t="e">
        <v>#N/A</v>
      </c>
      <c r="P495" s="4" t="e">
        <f t="shared" si="35"/>
        <v>#N/A</v>
      </c>
      <c r="Q495" s="4" t="e">
        <f t="shared" si="36"/>
        <v>#N/A</v>
      </c>
      <c r="R495" s="4" t="e">
        <f>IF(AND(B495=1,N495&gt;'Line Follower'!$C$7,SUM(C495:K495)&lt;4),1,0)</f>
        <v>#N/A</v>
      </c>
      <c r="S495" s="4" t="e">
        <f>IF(AND(L495=1,N495&lt;'Line Follower'!$C$6,SUM(C495:K495)&lt;4),1,0)</f>
        <v>#N/A</v>
      </c>
      <c r="T495" s="4" t="e">
        <f t="shared" si="37"/>
        <v>#N/A</v>
      </c>
      <c r="U495" s="5" t="e">
        <f t="shared" si="38"/>
        <v>#N/A</v>
      </c>
      <c r="V495" s="23" t="e">
        <f t="shared" si="39"/>
        <v>#N/A</v>
      </c>
    </row>
    <row r="496" spans="2:22" x14ac:dyDescent="0.25">
      <c r="B496" s="16">
        <v>1</v>
      </c>
      <c r="C496" s="7">
        <v>0</v>
      </c>
      <c r="D496" s="8">
        <v>1</v>
      </c>
      <c r="E496" s="8">
        <v>1</v>
      </c>
      <c r="F496" s="8">
        <v>0</v>
      </c>
      <c r="G496" s="8">
        <v>1</v>
      </c>
      <c r="H496" s="8">
        <v>1</v>
      </c>
      <c r="I496" s="8">
        <v>1</v>
      </c>
      <c r="J496" s="8">
        <v>1</v>
      </c>
      <c r="K496" s="9">
        <v>0</v>
      </c>
      <c r="L496" s="10">
        <v>0</v>
      </c>
      <c r="M496" s="6">
        <v>0</v>
      </c>
      <c r="N496" s="37" t="e" cm="1">
        <f t="array" ref="N496">IF(OR(ISNUMBER(FIND(Aux!$D$3:$D$9,_xlfn.TEXTJOIN(,,C496:K496)))),NA(),IF(AND(SUM(C496:F496,H496:K496)=0,G496=1),0,INT((SUMPRODUCT(C496:F496,COLUMN($A$1:$D$1)-1)+SUMPRODUCT(H496:K496,COLUMN($E$1:$H$1)-1))*'Line Follower'!$C$3/SUM(C496:F496,H496:K496)-'Line Follower'!$C$5)))</f>
        <v>#N/A</v>
      </c>
      <c r="O496" s="22" t="e">
        <v>#N/A</v>
      </c>
      <c r="P496" s="4" t="e">
        <f t="shared" si="35"/>
        <v>#N/A</v>
      </c>
      <c r="Q496" s="4" t="e">
        <f t="shared" si="36"/>
        <v>#N/A</v>
      </c>
      <c r="R496" s="4" t="e">
        <f>IF(AND(B496=1,N496&gt;'Line Follower'!$C$7,SUM(C496:K496)&lt;4),1,0)</f>
        <v>#N/A</v>
      </c>
      <c r="S496" s="4" t="e">
        <f>IF(AND(L496=1,N496&lt;'Line Follower'!$C$6,SUM(C496:K496)&lt;4),1,0)</f>
        <v>#N/A</v>
      </c>
      <c r="T496" s="4" t="e">
        <f t="shared" si="37"/>
        <v>#N/A</v>
      </c>
      <c r="U496" s="5" t="e">
        <f t="shared" si="38"/>
        <v>#N/A</v>
      </c>
      <c r="V496" s="23" t="e">
        <f t="shared" si="39"/>
        <v>#N/A</v>
      </c>
    </row>
    <row r="497" spans="2:22" x14ac:dyDescent="0.25">
      <c r="B497" s="16">
        <v>0</v>
      </c>
      <c r="C497" s="7">
        <v>1</v>
      </c>
      <c r="D497" s="8">
        <v>1</v>
      </c>
      <c r="E497" s="8">
        <v>1</v>
      </c>
      <c r="F497" s="8">
        <v>0</v>
      </c>
      <c r="G497" s="8">
        <v>1</v>
      </c>
      <c r="H497" s="8">
        <v>1</v>
      </c>
      <c r="I497" s="8">
        <v>1</v>
      </c>
      <c r="J497" s="8">
        <v>1</v>
      </c>
      <c r="K497" s="9">
        <v>0</v>
      </c>
      <c r="L497" s="10">
        <v>0</v>
      </c>
      <c r="M497" s="6">
        <v>0</v>
      </c>
      <c r="N497" s="37" t="e" cm="1">
        <f t="array" ref="N497">IF(OR(ISNUMBER(FIND(Aux!$D$3:$D$9,_xlfn.TEXTJOIN(,,C497:K497)))),NA(),IF(AND(SUM(C497:F497,H497:K497)=0,G497=1),0,INT((SUMPRODUCT(C497:F497,COLUMN($A$1:$D$1)-1)+SUMPRODUCT(H497:K497,COLUMN($E$1:$H$1)-1))*'Line Follower'!$C$3/SUM(C497:F497,H497:K497)-'Line Follower'!$C$5)))</f>
        <v>#N/A</v>
      </c>
      <c r="O497" s="22" t="e">
        <v>#N/A</v>
      </c>
      <c r="P497" s="4" t="e">
        <f t="shared" si="35"/>
        <v>#N/A</v>
      </c>
      <c r="Q497" s="4" t="e">
        <f t="shared" si="36"/>
        <v>#N/A</v>
      </c>
      <c r="R497" s="4" t="e">
        <f>IF(AND(B497=1,N497&gt;'Line Follower'!$C$7,SUM(C497:K497)&lt;4),1,0)</f>
        <v>#N/A</v>
      </c>
      <c r="S497" s="4" t="e">
        <f>IF(AND(L497=1,N497&lt;'Line Follower'!$C$6,SUM(C497:K497)&lt;4),1,0)</f>
        <v>#N/A</v>
      </c>
      <c r="T497" s="4" t="e">
        <f t="shared" si="37"/>
        <v>#N/A</v>
      </c>
      <c r="U497" s="5" t="e">
        <f t="shared" si="38"/>
        <v>#N/A</v>
      </c>
      <c r="V497" s="23" t="e">
        <f t="shared" si="39"/>
        <v>#N/A</v>
      </c>
    </row>
    <row r="498" spans="2:22" x14ac:dyDescent="0.25">
      <c r="B498" s="16">
        <v>1</v>
      </c>
      <c r="C498" s="7">
        <v>1</v>
      </c>
      <c r="D498" s="8">
        <v>1</v>
      </c>
      <c r="E498" s="8">
        <v>1</v>
      </c>
      <c r="F498" s="8">
        <v>0</v>
      </c>
      <c r="G498" s="8">
        <v>1</v>
      </c>
      <c r="H498" s="8">
        <v>1</v>
      </c>
      <c r="I498" s="8">
        <v>1</v>
      </c>
      <c r="J498" s="8">
        <v>1</v>
      </c>
      <c r="K498" s="9">
        <v>0</v>
      </c>
      <c r="L498" s="10">
        <v>0</v>
      </c>
      <c r="M498" s="6">
        <v>0</v>
      </c>
      <c r="N498" s="37" t="e" cm="1">
        <f t="array" ref="N498">IF(OR(ISNUMBER(FIND(Aux!$D$3:$D$9,_xlfn.TEXTJOIN(,,C498:K498)))),NA(),IF(AND(SUM(C498:F498,H498:K498)=0,G498=1),0,INT((SUMPRODUCT(C498:F498,COLUMN($A$1:$D$1)-1)+SUMPRODUCT(H498:K498,COLUMN($E$1:$H$1)-1))*'Line Follower'!$C$3/SUM(C498:F498,H498:K498)-'Line Follower'!$C$5)))</f>
        <v>#N/A</v>
      </c>
      <c r="O498" s="22" t="e">
        <v>#N/A</v>
      </c>
      <c r="P498" s="4" t="e">
        <f t="shared" si="35"/>
        <v>#N/A</v>
      </c>
      <c r="Q498" s="4" t="e">
        <f t="shared" si="36"/>
        <v>#N/A</v>
      </c>
      <c r="R498" s="4" t="e">
        <f>IF(AND(B498=1,N498&gt;'Line Follower'!$C$7,SUM(C498:K498)&lt;4),1,0)</f>
        <v>#N/A</v>
      </c>
      <c r="S498" s="4" t="e">
        <f>IF(AND(L498=1,N498&lt;'Line Follower'!$C$6,SUM(C498:K498)&lt;4),1,0)</f>
        <v>#N/A</v>
      </c>
      <c r="T498" s="4" t="e">
        <f t="shared" si="37"/>
        <v>#N/A</v>
      </c>
      <c r="U498" s="5" t="e">
        <f t="shared" si="38"/>
        <v>#N/A</v>
      </c>
      <c r="V498" s="23" t="e">
        <f t="shared" si="39"/>
        <v>#N/A</v>
      </c>
    </row>
    <row r="499" spans="2:22" x14ac:dyDescent="0.25">
      <c r="B499" s="16">
        <v>0</v>
      </c>
      <c r="C499" s="7">
        <v>0</v>
      </c>
      <c r="D499" s="8">
        <v>0</v>
      </c>
      <c r="E499" s="8">
        <v>0</v>
      </c>
      <c r="F499" s="8">
        <v>1</v>
      </c>
      <c r="G499" s="8">
        <v>1</v>
      </c>
      <c r="H499" s="8">
        <v>1</v>
      </c>
      <c r="I499" s="8">
        <v>1</v>
      </c>
      <c r="J499" s="8">
        <v>1</v>
      </c>
      <c r="K499" s="9">
        <v>0</v>
      </c>
      <c r="L499" s="10">
        <v>0</v>
      </c>
      <c r="M499" s="6">
        <v>0</v>
      </c>
      <c r="N499" s="37" cm="1">
        <f t="array" ref="N499">IF(OR(ISNUMBER(FIND(Aux!$D$3:$D$9,_xlfn.TEXTJOIN(,,C499:K499)))),NA(),IF(AND(SUM(C499:F499,H499:K499)=0,G499=1),0,INT((SUMPRODUCT(C499:F499,COLUMN($A$1:$D$1)-1)+SUMPRODUCT(H499:K499,COLUMN($E$1:$H$1)-1))*'Line Follower'!$C$3/SUM(C499:F499,H499:K499)-'Line Follower'!$C$5)))</f>
        <v>2</v>
      </c>
      <c r="O499" s="22">
        <v>1</v>
      </c>
      <c r="P499" s="4">
        <f t="shared" si="35"/>
        <v>0</v>
      </c>
      <c r="Q499" s="4">
        <f t="shared" si="36"/>
        <v>1</v>
      </c>
      <c r="R499" s="4">
        <f>IF(AND(B499=1,N499&gt;'Line Follower'!$C$7,SUM(C499:K499)&lt;4),1,0)</f>
        <v>0</v>
      </c>
      <c r="S499" s="4">
        <f>IF(AND(L499=1,N499&lt;'Line Follower'!$C$6,SUM(C499:K499)&lt;4),1,0)</f>
        <v>0</v>
      </c>
      <c r="T499" s="4">
        <f t="shared" si="37"/>
        <v>0</v>
      </c>
      <c r="U499" s="5">
        <f t="shared" si="38"/>
        <v>0</v>
      </c>
      <c r="V499" s="23">
        <f t="shared" si="39"/>
        <v>0</v>
      </c>
    </row>
    <row r="500" spans="2:22" x14ac:dyDescent="0.25">
      <c r="B500" s="16">
        <v>1</v>
      </c>
      <c r="C500" s="7">
        <v>0</v>
      </c>
      <c r="D500" s="8">
        <v>0</v>
      </c>
      <c r="E500" s="8">
        <v>0</v>
      </c>
      <c r="F500" s="8">
        <v>1</v>
      </c>
      <c r="G500" s="8">
        <v>1</v>
      </c>
      <c r="H500" s="8">
        <v>1</v>
      </c>
      <c r="I500" s="8">
        <v>1</v>
      </c>
      <c r="J500" s="8">
        <v>1</v>
      </c>
      <c r="K500" s="9">
        <v>0</v>
      </c>
      <c r="L500" s="10">
        <v>0</v>
      </c>
      <c r="M500" s="6">
        <v>0</v>
      </c>
      <c r="N500" s="37" cm="1">
        <f t="array" ref="N500">IF(OR(ISNUMBER(FIND(Aux!$D$3:$D$9,_xlfn.TEXTJOIN(,,C500:K500)))),NA(),IF(AND(SUM(C500:F500,H500:K500)=0,G500=1),0,INT((SUMPRODUCT(C500:F500,COLUMN($A$1:$D$1)-1)+SUMPRODUCT(H500:K500,COLUMN($E$1:$H$1)-1))*'Line Follower'!$C$3/SUM(C500:F500,H500:K500)-'Line Follower'!$C$5)))</f>
        <v>2</v>
      </c>
      <c r="O500" s="22">
        <v>1</v>
      </c>
      <c r="P500" s="4">
        <f t="shared" si="35"/>
        <v>0</v>
      </c>
      <c r="Q500" s="4">
        <f t="shared" si="36"/>
        <v>1</v>
      </c>
      <c r="R500" s="4">
        <f>IF(AND(B500=1,N500&gt;'Line Follower'!$C$7,SUM(C500:K500)&lt;4),1,0)</f>
        <v>0</v>
      </c>
      <c r="S500" s="4">
        <f>IF(AND(L500=1,N500&lt;'Line Follower'!$C$6,SUM(C500:K500)&lt;4),1,0)</f>
        <v>0</v>
      </c>
      <c r="T500" s="4">
        <f t="shared" si="37"/>
        <v>0</v>
      </c>
      <c r="U500" s="5">
        <f t="shared" si="38"/>
        <v>0</v>
      </c>
      <c r="V500" s="23">
        <f t="shared" si="39"/>
        <v>0</v>
      </c>
    </row>
    <row r="501" spans="2:22" x14ac:dyDescent="0.25">
      <c r="B501" s="16">
        <v>0</v>
      </c>
      <c r="C501" s="7">
        <v>1</v>
      </c>
      <c r="D501" s="8">
        <v>0</v>
      </c>
      <c r="E501" s="8">
        <v>0</v>
      </c>
      <c r="F501" s="8">
        <v>1</v>
      </c>
      <c r="G501" s="8">
        <v>1</v>
      </c>
      <c r="H501" s="8">
        <v>1</v>
      </c>
      <c r="I501" s="8">
        <v>1</v>
      </c>
      <c r="J501" s="8">
        <v>1</v>
      </c>
      <c r="K501" s="9">
        <v>0</v>
      </c>
      <c r="L501" s="10">
        <v>0</v>
      </c>
      <c r="M501" s="6">
        <v>0</v>
      </c>
      <c r="N501" s="37" t="e" cm="1">
        <f t="array" ref="N501">IF(OR(ISNUMBER(FIND(Aux!$D$3:$D$9,_xlfn.TEXTJOIN(,,C501:K501)))),NA(),IF(AND(SUM(C501:F501,H501:K501)=0,G501=1),0,INT((SUMPRODUCT(C501:F501,COLUMN($A$1:$D$1)-1)+SUMPRODUCT(H501:K501,COLUMN($E$1:$H$1)-1))*'Line Follower'!$C$3/SUM(C501:F501,H501:K501)-'Line Follower'!$C$5)))</f>
        <v>#N/A</v>
      </c>
      <c r="O501" s="22" t="e">
        <v>#N/A</v>
      </c>
      <c r="P501" s="4" t="e">
        <f t="shared" si="35"/>
        <v>#N/A</v>
      </c>
      <c r="Q501" s="4" t="e">
        <f t="shared" si="36"/>
        <v>#N/A</v>
      </c>
      <c r="R501" s="4" t="e">
        <f>IF(AND(B501=1,N501&gt;'Line Follower'!$C$7,SUM(C501:K501)&lt;4),1,0)</f>
        <v>#N/A</v>
      </c>
      <c r="S501" s="4" t="e">
        <f>IF(AND(L501=1,N501&lt;'Line Follower'!$C$6,SUM(C501:K501)&lt;4),1,0)</f>
        <v>#N/A</v>
      </c>
      <c r="T501" s="4" t="e">
        <f t="shared" si="37"/>
        <v>#N/A</v>
      </c>
      <c r="U501" s="5" t="e">
        <f t="shared" si="38"/>
        <v>#N/A</v>
      </c>
      <c r="V501" s="23" t="e">
        <f t="shared" si="39"/>
        <v>#N/A</v>
      </c>
    </row>
    <row r="502" spans="2:22" x14ac:dyDescent="0.25">
      <c r="B502" s="16">
        <v>1</v>
      </c>
      <c r="C502" s="7">
        <v>1</v>
      </c>
      <c r="D502" s="8">
        <v>0</v>
      </c>
      <c r="E502" s="8">
        <v>0</v>
      </c>
      <c r="F502" s="8">
        <v>1</v>
      </c>
      <c r="G502" s="8">
        <v>1</v>
      </c>
      <c r="H502" s="8">
        <v>1</v>
      </c>
      <c r="I502" s="8">
        <v>1</v>
      </c>
      <c r="J502" s="8">
        <v>1</v>
      </c>
      <c r="K502" s="9">
        <v>0</v>
      </c>
      <c r="L502" s="10">
        <v>0</v>
      </c>
      <c r="M502" s="6">
        <v>0</v>
      </c>
      <c r="N502" s="37" t="e" cm="1">
        <f t="array" ref="N502">IF(OR(ISNUMBER(FIND(Aux!$D$3:$D$9,_xlfn.TEXTJOIN(,,C502:K502)))),NA(),IF(AND(SUM(C502:F502,H502:K502)=0,G502=1),0,INT((SUMPRODUCT(C502:F502,COLUMN($A$1:$D$1)-1)+SUMPRODUCT(H502:K502,COLUMN($E$1:$H$1)-1))*'Line Follower'!$C$3/SUM(C502:F502,H502:K502)-'Line Follower'!$C$5)))</f>
        <v>#N/A</v>
      </c>
      <c r="O502" s="22" t="e">
        <v>#N/A</v>
      </c>
      <c r="P502" s="4" t="e">
        <f t="shared" si="35"/>
        <v>#N/A</v>
      </c>
      <c r="Q502" s="4" t="e">
        <f t="shared" si="36"/>
        <v>#N/A</v>
      </c>
      <c r="R502" s="4" t="e">
        <f>IF(AND(B502=1,N502&gt;'Line Follower'!$C$7,SUM(C502:K502)&lt;4),1,0)</f>
        <v>#N/A</v>
      </c>
      <c r="S502" s="4" t="e">
        <f>IF(AND(L502=1,N502&lt;'Line Follower'!$C$6,SUM(C502:K502)&lt;4),1,0)</f>
        <v>#N/A</v>
      </c>
      <c r="T502" s="4" t="e">
        <f t="shared" si="37"/>
        <v>#N/A</v>
      </c>
      <c r="U502" s="5" t="e">
        <f t="shared" si="38"/>
        <v>#N/A</v>
      </c>
      <c r="V502" s="23" t="e">
        <f t="shared" si="39"/>
        <v>#N/A</v>
      </c>
    </row>
    <row r="503" spans="2:22" x14ac:dyDescent="0.25">
      <c r="B503" s="16">
        <v>0</v>
      </c>
      <c r="C503" s="7">
        <v>0</v>
      </c>
      <c r="D503" s="8">
        <v>1</v>
      </c>
      <c r="E503" s="8">
        <v>0</v>
      </c>
      <c r="F503" s="8">
        <v>1</v>
      </c>
      <c r="G503" s="8">
        <v>1</v>
      </c>
      <c r="H503" s="8">
        <v>1</v>
      </c>
      <c r="I503" s="8">
        <v>1</v>
      </c>
      <c r="J503" s="8">
        <v>1</v>
      </c>
      <c r="K503" s="9">
        <v>0</v>
      </c>
      <c r="L503" s="10">
        <v>0</v>
      </c>
      <c r="M503" s="6">
        <v>0</v>
      </c>
      <c r="N503" s="37" t="e" cm="1">
        <f t="array" ref="N503">IF(OR(ISNUMBER(FIND(Aux!$D$3:$D$9,_xlfn.TEXTJOIN(,,C503:K503)))),NA(),IF(AND(SUM(C503:F503,H503:K503)=0,G503=1),0,INT((SUMPRODUCT(C503:F503,COLUMN($A$1:$D$1)-1)+SUMPRODUCT(H503:K503,COLUMN($E$1:$H$1)-1))*'Line Follower'!$C$3/SUM(C503:F503,H503:K503)-'Line Follower'!$C$5)))</f>
        <v>#N/A</v>
      </c>
      <c r="O503" s="22" t="e">
        <v>#N/A</v>
      </c>
      <c r="P503" s="4" t="e">
        <f t="shared" si="35"/>
        <v>#N/A</v>
      </c>
      <c r="Q503" s="4" t="e">
        <f t="shared" si="36"/>
        <v>#N/A</v>
      </c>
      <c r="R503" s="4" t="e">
        <f>IF(AND(B503=1,N503&gt;'Line Follower'!$C$7,SUM(C503:K503)&lt;4),1,0)</f>
        <v>#N/A</v>
      </c>
      <c r="S503" s="4" t="e">
        <f>IF(AND(L503=1,N503&lt;'Line Follower'!$C$6,SUM(C503:K503)&lt;4),1,0)</f>
        <v>#N/A</v>
      </c>
      <c r="T503" s="4" t="e">
        <f t="shared" si="37"/>
        <v>#N/A</v>
      </c>
      <c r="U503" s="5" t="e">
        <f t="shared" si="38"/>
        <v>#N/A</v>
      </c>
      <c r="V503" s="23" t="e">
        <f t="shared" si="39"/>
        <v>#N/A</v>
      </c>
    </row>
    <row r="504" spans="2:22" x14ac:dyDescent="0.25">
      <c r="B504" s="16">
        <v>1</v>
      </c>
      <c r="C504" s="7">
        <v>0</v>
      </c>
      <c r="D504" s="8">
        <v>1</v>
      </c>
      <c r="E504" s="8">
        <v>0</v>
      </c>
      <c r="F504" s="8">
        <v>1</v>
      </c>
      <c r="G504" s="8">
        <v>1</v>
      </c>
      <c r="H504" s="8">
        <v>1</v>
      </c>
      <c r="I504" s="8">
        <v>1</v>
      </c>
      <c r="J504" s="8">
        <v>1</v>
      </c>
      <c r="K504" s="9">
        <v>0</v>
      </c>
      <c r="L504" s="10">
        <v>0</v>
      </c>
      <c r="M504" s="6">
        <v>0</v>
      </c>
      <c r="N504" s="37" t="e" cm="1">
        <f t="array" ref="N504">IF(OR(ISNUMBER(FIND(Aux!$D$3:$D$9,_xlfn.TEXTJOIN(,,C504:K504)))),NA(),IF(AND(SUM(C504:F504,H504:K504)=0,G504=1),0,INT((SUMPRODUCT(C504:F504,COLUMN($A$1:$D$1)-1)+SUMPRODUCT(H504:K504,COLUMN($E$1:$H$1)-1))*'Line Follower'!$C$3/SUM(C504:F504,H504:K504)-'Line Follower'!$C$5)))</f>
        <v>#N/A</v>
      </c>
      <c r="O504" s="22" t="e">
        <v>#N/A</v>
      </c>
      <c r="P504" s="4" t="e">
        <f t="shared" si="35"/>
        <v>#N/A</v>
      </c>
      <c r="Q504" s="4" t="e">
        <f t="shared" si="36"/>
        <v>#N/A</v>
      </c>
      <c r="R504" s="4" t="e">
        <f>IF(AND(B504=1,N504&gt;'Line Follower'!$C$7,SUM(C504:K504)&lt;4),1,0)</f>
        <v>#N/A</v>
      </c>
      <c r="S504" s="4" t="e">
        <f>IF(AND(L504=1,N504&lt;'Line Follower'!$C$6,SUM(C504:K504)&lt;4),1,0)</f>
        <v>#N/A</v>
      </c>
      <c r="T504" s="4" t="e">
        <f t="shared" si="37"/>
        <v>#N/A</v>
      </c>
      <c r="U504" s="5" t="e">
        <f t="shared" si="38"/>
        <v>#N/A</v>
      </c>
      <c r="V504" s="23" t="e">
        <f t="shared" si="39"/>
        <v>#N/A</v>
      </c>
    </row>
    <row r="505" spans="2:22" x14ac:dyDescent="0.25">
      <c r="B505" s="16">
        <v>0</v>
      </c>
      <c r="C505" s="7">
        <v>1</v>
      </c>
      <c r="D505" s="8">
        <v>1</v>
      </c>
      <c r="E505" s="8">
        <v>0</v>
      </c>
      <c r="F505" s="8">
        <v>1</v>
      </c>
      <c r="G505" s="8">
        <v>1</v>
      </c>
      <c r="H505" s="8">
        <v>1</v>
      </c>
      <c r="I505" s="8">
        <v>1</v>
      </c>
      <c r="J505" s="8">
        <v>1</v>
      </c>
      <c r="K505" s="9">
        <v>0</v>
      </c>
      <c r="L505" s="10">
        <v>0</v>
      </c>
      <c r="M505" s="6">
        <v>0</v>
      </c>
      <c r="N505" s="37" t="e" cm="1">
        <f t="array" ref="N505">IF(OR(ISNUMBER(FIND(Aux!$D$3:$D$9,_xlfn.TEXTJOIN(,,C505:K505)))),NA(),IF(AND(SUM(C505:F505,H505:K505)=0,G505=1),0,INT((SUMPRODUCT(C505:F505,COLUMN($A$1:$D$1)-1)+SUMPRODUCT(H505:K505,COLUMN($E$1:$H$1)-1))*'Line Follower'!$C$3/SUM(C505:F505,H505:K505)-'Line Follower'!$C$5)))</f>
        <v>#N/A</v>
      </c>
      <c r="O505" s="22" t="e">
        <v>#N/A</v>
      </c>
      <c r="P505" s="4" t="e">
        <f t="shared" si="35"/>
        <v>#N/A</v>
      </c>
      <c r="Q505" s="4" t="e">
        <f t="shared" si="36"/>
        <v>#N/A</v>
      </c>
      <c r="R505" s="4" t="e">
        <f>IF(AND(B505=1,N505&gt;'Line Follower'!$C$7,SUM(C505:K505)&lt;4),1,0)</f>
        <v>#N/A</v>
      </c>
      <c r="S505" s="4" t="e">
        <f>IF(AND(L505=1,N505&lt;'Line Follower'!$C$6,SUM(C505:K505)&lt;4),1,0)</f>
        <v>#N/A</v>
      </c>
      <c r="T505" s="4" t="e">
        <f t="shared" si="37"/>
        <v>#N/A</v>
      </c>
      <c r="U505" s="5" t="e">
        <f t="shared" si="38"/>
        <v>#N/A</v>
      </c>
      <c r="V505" s="23" t="e">
        <f t="shared" si="39"/>
        <v>#N/A</v>
      </c>
    </row>
    <row r="506" spans="2:22" x14ac:dyDescent="0.25">
      <c r="B506" s="16">
        <v>1</v>
      </c>
      <c r="C506" s="7">
        <v>1</v>
      </c>
      <c r="D506" s="8">
        <v>1</v>
      </c>
      <c r="E506" s="8">
        <v>0</v>
      </c>
      <c r="F506" s="8">
        <v>1</v>
      </c>
      <c r="G506" s="8">
        <v>1</v>
      </c>
      <c r="H506" s="8">
        <v>1</v>
      </c>
      <c r="I506" s="8">
        <v>1</v>
      </c>
      <c r="J506" s="8">
        <v>1</v>
      </c>
      <c r="K506" s="9">
        <v>0</v>
      </c>
      <c r="L506" s="10">
        <v>0</v>
      </c>
      <c r="M506" s="6">
        <v>0</v>
      </c>
      <c r="N506" s="37" t="e" cm="1">
        <f t="array" ref="N506">IF(OR(ISNUMBER(FIND(Aux!$D$3:$D$9,_xlfn.TEXTJOIN(,,C506:K506)))),NA(),IF(AND(SUM(C506:F506,H506:K506)=0,G506=1),0,INT((SUMPRODUCT(C506:F506,COLUMN($A$1:$D$1)-1)+SUMPRODUCT(H506:K506,COLUMN($E$1:$H$1)-1))*'Line Follower'!$C$3/SUM(C506:F506,H506:K506)-'Line Follower'!$C$5)))</f>
        <v>#N/A</v>
      </c>
      <c r="O506" s="22" t="e">
        <v>#N/A</v>
      </c>
      <c r="P506" s="4" t="e">
        <f t="shared" si="35"/>
        <v>#N/A</v>
      </c>
      <c r="Q506" s="4" t="e">
        <f t="shared" si="36"/>
        <v>#N/A</v>
      </c>
      <c r="R506" s="4" t="e">
        <f>IF(AND(B506=1,N506&gt;'Line Follower'!$C$7,SUM(C506:K506)&lt;4),1,0)</f>
        <v>#N/A</v>
      </c>
      <c r="S506" s="4" t="e">
        <f>IF(AND(L506=1,N506&lt;'Line Follower'!$C$6,SUM(C506:K506)&lt;4),1,0)</f>
        <v>#N/A</v>
      </c>
      <c r="T506" s="4" t="e">
        <f t="shared" si="37"/>
        <v>#N/A</v>
      </c>
      <c r="U506" s="5" t="e">
        <f t="shared" si="38"/>
        <v>#N/A</v>
      </c>
      <c r="V506" s="23" t="e">
        <f t="shared" si="39"/>
        <v>#N/A</v>
      </c>
    </row>
    <row r="507" spans="2:22" x14ac:dyDescent="0.25">
      <c r="B507" s="16">
        <v>0</v>
      </c>
      <c r="C507" s="7">
        <v>0</v>
      </c>
      <c r="D507" s="8">
        <v>0</v>
      </c>
      <c r="E507" s="8">
        <v>1</v>
      </c>
      <c r="F507" s="8">
        <v>1</v>
      </c>
      <c r="G507" s="8">
        <v>1</v>
      </c>
      <c r="H507" s="8">
        <v>1</v>
      </c>
      <c r="I507" s="8">
        <v>1</v>
      </c>
      <c r="J507" s="8">
        <v>1</v>
      </c>
      <c r="K507" s="9">
        <v>0</v>
      </c>
      <c r="L507" s="10">
        <v>0</v>
      </c>
      <c r="M507" s="6">
        <v>0</v>
      </c>
      <c r="N507" s="37" cm="1">
        <f t="array" ref="N507">IF(OR(ISNUMBER(FIND(Aux!$D$3:$D$9,_xlfn.TEXTJOIN(,,C507:K507)))),NA(),IF(AND(SUM(C507:F507,H507:K507)=0,G507=1),0,INT((SUMPRODUCT(C507:F507,COLUMN($A$1:$D$1)-1)+SUMPRODUCT(H507:K507,COLUMN($E$1:$H$1)-1))*'Line Follower'!$C$3/SUM(C507:F507,H507:K507)-'Line Follower'!$C$5)))</f>
        <v>1</v>
      </c>
      <c r="O507" s="22">
        <v>1</v>
      </c>
      <c r="P507" s="4">
        <f t="shared" si="35"/>
        <v>0</v>
      </c>
      <c r="Q507" s="4">
        <f t="shared" si="36"/>
        <v>1</v>
      </c>
      <c r="R507" s="4">
        <f>IF(AND(B507=1,N507&gt;'Line Follower'!$C$7,SUM(C507:K507)&lt;4),1,0)</f>
        <v>0</v>
      </c>
      <c r="S507" s="4">
        <f>IF(AND(L507=1,N507&lt;'Line Follower'!$C$6,SUM(C507:K507)&lt;4),1,0)</f>
        <v>0</v>
      </c>
      <c r="T507" s="4">
        <f t="shared" si="37"/>
        <v>0</v>
      </c>
      <c r="U507" s="5">
        <f t="shared" si="38"/>
        <v>0</v>
      </c>
      <c r="V507" s="23">
        <f t="shared" si="39"/>
        <v>0</v>
      </c>
    </row>
    <row r="508" spans="2:22" x14ac:dyDescent="0.25">
      <c r="B508" s="16">
        <v>1</v>
      </c>
      <c r="C508" s="7">
        <v>0</v>
      </c>
      <c r="D508" s="8">
        <v>0</v>
      </c>
      <c r="E508" s="8">
        <v>1</v>
      </c>
      <c r="F508" s="8">
        <v>1</v>
      </c>
      <c r="G508" s="8">
        <v>1</v>
      </c>
      <c r="H508" s="8">
        <v>1</v>
      </c>
      <c r="I508" s="8">
        <v>1</v>
      </c>
      <c r="J508" s="8">
        <v>1</v>
      </c>
      <c r="K508" s="9">
        <v>0</v>
      </c>
      <c r="L508" s="10">
        <v>0</v>
      </c>
      <c r="M508" s="6">
        <v>0</v>
      </c>
      <c r="N508" s="37" cm="1">
        <f t="array" ref="N508">IF(OR(ISNUMBER(FIND(Aux!$D$3:$D$9,_xlfn.TEXTJOIN(,,C508:K508)))),NA(),IF(AND(SUM(C508:F508,H508:K508)=0,G508=1),0,INT((SUMPRODUCT(C508:F508,COLUMN($A$1:$D$1)-1)+SUMPRODUCT(H508:K508,COLUMN($E$1:$H$1)-1))*'Line Follower'!$C$3/SUM(C508:F508,H508:K508)-'Line Follower'!$C$5)))</f>
        <v>1</v>
      </c>
      <c r="O508" s="22">
        <v>1</v>
      </c>
      <c r="P508" s="4">
        <f t="shared" si="35"/>
        <v>0</v>
      </c>
      <c r="Q508" s="4">
        <f t="shared" si="36"/>
        <v>1</v>
      </c>
      <c r="R508" s="4">
        <f>IF(AND(B508=1,N508&gt;'Line Follower'!$C$7,SUM(C508:K508)&lt;4),1,0)</f>
        <v>0</v>
      </c>
      <c r="S508" s="4">
        <f>IF(AND(L508=1,N508&lt;'Line Follower'!$C$6,SUM(C508:K508)&lt;4),1,0)</f>
        <v>0</v>
      </c>
      <c r="T508" s="4">
        <f t="shared" si="37"/>
        <v>0</v>
      </c>
      <c r="U508" s="5">
        <f t="shared" si="38"/>
        <v>0</v>
      </c>
      <c r="V508" s="23">
        <f t="shared" si="39"/>
        <v>0</v>
      </c>
    </row>
    <row r="509" spans="2:22" x14ac:dyDescent="0.25">
      <c r="B509" s="16">
        <v>0</v>
      </c>
      <c r="C509" s="7">
        <v>1</v>
      </c>
      <c r="D509" s="8">
        <v>0</v>
      </c>
      <c r="E509" s="8">
        <v>1</v>
      </c>
      <c r="F509" s="8">
        <v>1</v>
      </c>
      <c r="G509" s="8">
        <v>1</v>
      </c>
      <c r="H509" s="8">
        <v>1</v>
      </c>
      <c r="I509" s="8">
        <v>1</v>
      </c>
      <c r="J509" s="8">
        <v>1</v>
      </c>
      <c r="K509" s="9">
        <v>0</v>
      </c>
      <c r="L509" s="10">
        <v>0</v>
      </c>
      <c r="M509" s="6">
        <v>0</v>
      </c>
      <c r="N509" s="37" t="e" cm="1">
        <f t="array" ref="N509">IF(OR(ISNUMBER(FIND(Aux!$D$3:$D$9,_xlfn.TEXTJOIN(,,C509:K509)))),NA(),IF(AND(SUM(C509:F509,H509:K509)=0,G509=1),0,INT((SUMPRODUCT(C509:F509,COLUMN($A$1:$D$1)-1)+SUMPRODUCT(H509:K509,COLUMN($E$1:$H$1)-1))*'Line Follower'!$C$3/SUM(C509:F509,H509:K509)-'Line Follower'!$C$5)))</f>
        <v>#N/A</v>
      </c>
      <c r="O509" s="22" t="e">
        <v>#N/A</v>
      </c>
      <c r="P509" s="4" t="e">
        <f t="shared" si="35"/>
        <v>#N/A</v>
      </c>
      <c r="Q509" s="4" t="e">
        <f t="shared" si="36"/>
        <v>#N/A</v>
      </c>
      <c r="R509" s="4" t="e">
        <f>IF(AND(B509=1,N509&gt;'Line Follower'!$C$7,SUM(C509:K509)&lt;4),1,0)</f>
        <v>#N/A</v>
      </c>
      <c r="S509" s="4" t="e">
        <f>IF(AND(L509=1,N509&lt;'Line Follower'!$C$6,SUM(C509:K509)&lt;4),1,0)</f>
        <v>#N/A</v>
      </c>
      <c r="T509" s="4" t="e">
        <f t="shared" si="37"/>
        <v>#N/A</v>
      </c>
      <c r="U509" s="5" t="e">
        <f t="shared" si="38"/>
        <v>#N/A</v>
      </c>
      <c r="V509" s="23" t="e">
        <f t="shared" si="39"/>
        <v>#N/A</v>
      </c>
    </row>
    <row r="510" spans="2:22" x14ac:dyDescent="0.25">
      <c r="B510" s="16">
        <v>1</v>
      </c>
      <c r="C510" s="7">
        <v>1</v>
      </c>
      <c r="D510" s="8">
        <v>0</v>
      </c>
      <c r="E510" s="8">
        <v>1</v>
      </c>
      <c r="F510" s="8">
        <v>1</v>
      </c>
      <c r="G510" s="8">
        <v>1</v>
      </c>
      <c r="H510" s="8">
        <v>1</v>
      </c>
      <c r="I510" s="8">
        <v>1</v>
      </c>
      <c r="J510" s="8">
        <v>1</v>
      </c>
      <c r="K510" s="9">
        <v>0</v>
      </c>
      <c r="L510" s="10">
        <v>0</v>
      </c>
      <c r="M510" s="6">
        <v>0</v>
      </c>
      <c r="N510" s="37" t="e" cm="1">
        <f t="array" ref="N510">IF(OR(ISNUMBER(FIND(Aux!$D$3:$D$9,_xlfn.TEXTJOIN(,,C510:K510)))),NA(),IF(AND(SUM(C510:F510,H510:K510)=0,G510=1),0,INT((SUMPRODUCT(C510:F510,COLUMN($A$1:$D$1)-1)+SUMPRODUCT(H510:K510,COLUMN($E$1:$H$1)-1))*'Line Follower'!$C$3/SUM(C510:F510,H510:K510)-'Line Follower'!$C$5)))</f>
        <v>#N/A</v>
      </c>
      <c r="O510" s="22" t="e">
        <v>#N/A</v>
      </c>
      <c r="P510" s="4" t="e">
        <f t="shared" si="35"/>
        <v>#N/A</v>
      </c>
      <c r="Q510" s="4" t="e">
        <f t="shared" si="36"/>
        <v>#N/A</v>
      </c>
      <c r="R510" s="4" t="e">
        <f>IF(AND(B510=1,N510&gt;'Line Follower'!$C$7,SUM(C510:K510)&lt;4),1,0)</f>
        <v>#N/A</v>
      </c>
      <c r="S510" s="4" t="e">
        <f>IF(AND(L510=1,N510&lt;'Line Follower'!$C$6,SUM(C510:K510)&lt;4),1,0)</f>
        <v>#N/A</v>
      </c>
      <c r="T510" s="4" t="e">
        <f t="shared" si="37"/>
        <v>#N/A</v>
      </c>
      <c r="U510" s="5" t="e">
        <f t="shared" si="38"/>
        <v>#N/A</v>
      </c>
      <c r="V510" s="23" t="e">
        <f t="shared" si="39"/>
        <v>#N/A</v>
      </c>
    </row>
    <row r="511" spans="2:22" x14ac:dyDescent="0.25">
      <c r="B511" s="16">
        <v>0</v>
      </c>
      <c r="C511" s="7">
        <v>0</v>
      </c>
      <c r="D511" s="8">
        <v>1</v>
      </c>
      <c r="E511" s="8">
        <v>1</v>
      </c>
      <c r="F511" s="8">
        <v>1</v>
      </c>
      <c r="G511" s="8">
        <v>1</v>
      </c>
      <c r="H511" s="8">
        <v>1</v>
      </c>
      <c r="I511" s="8">
        <v>1</v>
      </c>
      <c r="J511" s="8">
        <v>1</v>
      </c>
      <c r="K511" s="9">
        <v>0</v>
      </c>
      <c r="L511" s="10">
        <v>0</v>
      </c>
      <c r="M511" s="6">
        <v>0</v>
      </c>
      <c r="N511" s="37" cm="1">
        <f t="array" ref="N511">IF(OR(ISNUMBER(FIND(Aux!$D$3:$D$9,_xlfn.TEXTJOIN(,,C511:K511)))),NA(),IF(AND(SUM(C511:F511,H511:K511)=0,G511=1),0,INT((SUMPRODUCT(C511:F511,COLUMN($A$1:$D$1)-1)+SUMPRODUCT(H511:K511,COLUMN($E$1:$H$1)-1))*'Line Follower'!$C$3/SUM(C511:F511,H511:K511)-'Line Follower'!$C$5)))</f>
        <v>0</v>
      </c>
      <c r="O511" s="22">
        <v>1</v>
      </c>
      <c r="P511" s="4">
        <f t="shared" si="35"/>
        <v>0</v>
      </c>
      <c r="Q511" s="4">
        <f t="shared" si="36"/>
        <v>1</v>
      </c>
      <c r="R511" s="4">
        <f>IF(AND(B511=1,N511&gt;'Line Follower'!$C$7,SUM(C511:K511)&lt;4),1,0)</f>
        <v>0</v>
      </c>
      <c r="S511" s="4">
        <f>IF(AND(L511=1,N511&lt;'Line Follower'!$C$6,SUM(C511:K511)&lt;4),1,0)</f>
        <v>0</v>
      </c>
      <c r="T511" s="4">
        <f t="shared" si="37"/>
        <v>0</v>
      </c>
      <c r="U511" s="5">
        <f t="shared" si="38"/>
        <v>0</v>
      </c>
      <c r="V511" s="23">
        <f t="shared" si="39"/>
        <v>0</v>
      </c>
    </row>
    <row r="512" spans="2:22" x14ac:dyDescent="0.25">
      <c r="B512" s="16">
        <v>1</v>
      </c>
      <c r="C512" s="7">
        <v>0</v>
      </c>
      <c r="D512" s="8">
        <v>1</v>
      </c>
      <c r="E512" s="8">
        <v>1</v>
      </c>
      <c r="F512" s="8">
        <v>1</v>
      </c>
      <c r="G512" s="8">
        <v>1</v>
      </c>
      <c r="H512" s="8">
        <v>1</v>
      </c>
      <c r="I512" s="8">
        <v>1</v>
      </c>
      <c r="J512" s="8">
        <v>1</v>
      </c>
      <c r="K512" s="9">
        <v>0</v>
      </c>
      <c r="L512" s="10">
        <v>0</v>
      </c>
      <c r="M512" s="6">
        <v>0</v>
      </c>
      <c r="N512" s="37" cm="1">
        <f t="array" ref="N512">IF(OR(ISNUMBER(FIND(Aux!$D$3:$D$9,_xlfn.TEXTJOIN(,,C512:K512)))),NA(),IF(AND(SUM(C512:F512,H512:K512)=0,G512=1),0,INT((SUMPRODUCT(C512:F512,COLUMN($A$1:$D$1)-1)+SUMPRODUCT(H512:K512,COLUMN($E$1:$H$1)-1))*'Line Follower'!$C$3/SUM(C512:F512,H512:K512)-'Line Follower'!$C$5)))</f>
        <v>0</v>
      </c>
      <c r="O512" s="22">
        <v>1</v>
      </c>
      <c r="P512" s="4">
        <f t="shared" si="35"/>
        <v>0</v>
      </c>
      <c r="Q512" s="4">
        <f t="shared" si="36"/>
        <v>1</v>
      </c>
      <c r="R512" s="4">
        <f>IF(AND(B512=1,N512&gt;'Line Follower'!$C$7,SUM(C512:K512)&lt;4),1,0)</f>
        <v>0</v>
      </c>
      <c r="S512" s="4">
        <f>IF(AND(L512=1,N512&lt;'Line Follower'!$C$6,SUM(C512:K512)&lt;4),1,0)</f>
        <v>0</v>
      </c>
      <c r="T512" s="4">
        <f t="shared" si="37"/>
        <v>0</v>
      </c>
      <c r="U512" s="5">
        <f t="shared" si="38"/>
        <v>0</v>
      </c>
      <c r="V512" s="23">
        <f t="shared" si="39"/>
        <v>0</v>
      </c>
    </row>
    <row r="513" spans="2:22" x14ac:dyDescent="0.25">
      <c r="B513" s="16">
        <v>0</v>
      </c>
      <c r="C513" s="7">
        <v>1</v>
      </c>
      <c r="D513" s="8">
        <v>1</v>
      </c>
      <c r="E513" s="8">
        <v>1</v>
      </c>
      <c r="F513" s="8">
        <v>1</v>
      </c>
      <c r="G513" s="8">
        <v>1</v>
      </c>
      <c r="H513" s="8">
        <v>1</v>
      </c>
      <c r="I513" s="8">
        <v>1</v>
      </c>
      <c r="J513" s="8">
        <v>1</v>
      </c>
      <c r="K513" s="9">
        <v>0</v>
      </c>
      <c r="L513" s="10">
        <v>0</v>
      </c>
      <c r="M513" s="6">
        <v>0</v>
      </c>
      <c r="N513" s="37" cm="1">
        <f t="array" ref="N513">IF(OR(ISNUMBER(FIND(Aux!$D$3:$D$9,_xlfn.TEXTJOIN(,,C513:K513)))),NA(),IF(AND(SUM(C513:F513,H513:K513)=0,G513=1),0,INT((SUMPRODUCT(C513:F513,COLUMN($A$1:$D$1)-1)+SUMPRODUCT(H513:K513,COLUMN($E$1:$H$1)-1))*'Line Follower'!$C$3/SUM(C513:F513,H513:K513)-'Line Follower'!$C$5)))</f>
        <v>-1</v>
      </c>
      <c r="O513" s="22">
        <v>1</v>
      </c>
      <c r="P513" s="4">
        <f t="shared" si="35"/>
        <v>0</v>
      </c>
      <c r="Q513" s="4">
        <f t="shared" si="36"/>
        <v>1</v>
      </c>
      <c r="R513" s="4">
        <f>IF(AND(B513=1,N513&gt;'Line Follower'!$C$7,SUM(C513:K513)&lt;4),1,0)</f>
        <v>0</v>
      </c>
      <c r="S513" s="4">
        <f>IF(AND(L513=1,N513&lt;'Line Follower'!$C$6,SUM(C513:K513)&lt;4),1,0)</f>
        <v>0</v>
      </c>
      <c r="T513" s="4">
        <f t="shared" si="37"/>
        <v>0</v>
      </c>
      <c r="U513" s="5">
        <f t="shared" si="38"/>
        <v>0</v>
      </c>
      <c r="V513" s="23">
        <f t="shared" si="39"/>
        <v>0</v>
      </c>
    </row>
    <row r="514" spans="2:22" x14ac:dyDescent="0.25">
      <c r="B514" s="16">
        <v>1</v>
      </c>
      <c r="C514" s="7">
        <v>1</v>
      </c>
      <c r="D514" s="8">
        <v>1</v>
      </c>
      <c r="E514" s="8">
        <v>1</v>
      </c>
      <c r="F514" s="8">
        <v>1</v>
      </c>
      <c r="G514" s="8">
        <v>1</v>
      </c>
      <c r="H514" s="8">
        <v>1</v>
      </c>
      <c r="I514" s="8">
        <v>1</v>
      </c>
      <c r="J514" s="8">
        <v>1</v>
      </c>
      <c r="K514" s="9">
        <v>0</v>
      </c>
      <c r="L514" s="10">
        <v>0</v>
      </c>
      <c r="M514" s="6">
        <v>0</v>
      </c>
      <c r="N514" s="37" cm="1">
        <f t="array" ref="N514">IF(OR(ISNUMBER(FIND(Aux!$D$3:$D$9,_xlfn.TEXTJOIN(,,C514:K514)))),NA(),IF(AND(SUM(C514:F514,H514:K514)=0,G514=1),0,INT((SUMPRODUCT(C514:F514,COLUMN($A$1:$D$1)-1)+SUMPRODUCT(H514:K514,COLUMN($E$1:$H$1)-1))*'Line Follower'!$C$3/SUM(C514:F514,H514:K514)-'Line Follower'!$C$5)))</f>
        <v>-1</v>
      </c>
      <c r="O514" s="22">
        <v>1</v>
      </c>
      <c r="P514" s="4">
        <f t="shared" si="35"/>
        <v>0</v>
      </c>
      <c r="Q514" s="4">
        <f t="shared" si="36"/>
        <v>1</v>
      </c>
      <c r="R514" s="4">
        <f>IF(AND(B514=1,N514&gt;'Line Follower'!$C$7,SUM(C514:K514)&lt;4),1,0)</f>
        <v>0</v>
      </c>
      <c r="S514" s="4">
        <f>IF(AND(L514=1,N514&lt;'Line Follower'!$C$6,SUM(C514:K514)&lt;4),1,0)</f>
        <v>0</v>
      </c>
      <c r="T514" s="4">
        <f t="shared" si="37"/>
        <v>0</v>
      </c>
      <c r="U514" s="5">
        <f t="shared" si="38"/>
        <v>0</v>
      </c>
      <c r="V514" s="23">
        <f t="shared" si="39"/>
        <v>0</v>
      </c>
    </row>
    <row r="515" spans="2:22" x14ac:dyDescent="0.25">
      <c r="B515" s="16">
        <v>0</v>
      </c>
      <c r="C515" s="7">
        <v>0</v>
      </c>
      <c r="D515" s="8">
        <v>0</v>
      </c>
      <c r="E515" s="8">
        <v>0</v>
      </c>
      <c r="F515" s="8">
        <v>0</v>
      </c>
      <c r="G515" s="8">
        <v>0</v>
      </c>
      <c r="H515" s="8">
        <v>0</v>
      </c>
      <c r="I515" s="8">
        <v>0</v>
      </c>
      <c r="J515" s="8">
        <v>0</v>
      </c>
      <c r="K515" s="9">
        <v>1</v>
      </c>
      <c r="L515" s="10">
        <v>0</v>
      </c>
      <c r="M515" s="6">
        <v>0</v>
      </c>
      <c r="N515" s="37" cm="1">
        <f t="array" ref="N515">IF(OR(ISNUMBER(FIND(Aux!$D$3:$D$9,_xlfn.TEXTJOIN(,,C515:K515)))),NA(),IF(AND(SUM(C515:F515,H515:K515)=0,G515=1),0,INT((SUMPRODUCT(C515:F515,COLUMN($A$1:$D$1)-1)+SUMPRODUCT(H515:K515,COLUMN($E$1:$H$1)-1))*'Line Follower'!$C$3/SUM(C515:F515,H515:K515)-'Line Follower'!$C$5)))</f>
        <v>7</v>
      </c>
      <c r="O515" s="22">
        <v>1</v>
      </c>
      <c r="P515" s="4">
        <f t="shared" ref="P515:P578" si="40">IF(AND(N515=0,G515=1,M515=1),1,0)</f>
        <v>0</v>
      </c>
      <c r="Q515" s="4">
        <f t="shared" ref="Q515:Q578" si="41">IF(ISERROR(N515),N515,IF(SUM(C515:K515)&gt;=4,1,0))</f>
        <v>0</v>
      </c>
      <c r="R515" s="4">
        <f>IF(AND(B515=1,N515&gt;'Line Follower'!$C$7,SUM(C515:K515)&lt;4),1,0)</f>
        <v>0</v>
      </c>
      <c r="S515" s="4">
        <f>IF(AND(L515=1,N515&lt;'Line Follower'!$C$6,SUM(C515:K515)&lt;4),1,0)</f>
        <v>0</v>
      </c>
      <c r="T515" s="4">
        <f t="shared" si="37"/>
        <v>0</v>
      </c>
      <c r="U515" s="5">
        <f t="shared" si="38"/>
        <v>0</v>
      </c>
      <c r="V515" s="23">
        <f t="shared" si="39"/>
        <v>0</v>
      </c>
    </row>
    <row r="516" spans="2:22" x14ac:dyDescent="0.25">
      <c r="B516" s="16">
        <v>1</v>
      </c>
      <c r="C516" s="7">
        <v>0</v>
      </c>
      <c r="D516" s="8">
        <v>0</v>
      </c>
      <c r="E516" s="8">
        <v>0</v>
      </c>
      <c r="F516" s="8">
        <v>0</v>
      </c>
      <c r="G516" s="8">
        <v>0</v>
      </c>
      <c r="H516" s="8">
        <v>0</v>
      </c>
      <c r="I516" s="8">
        <v>0</v>
      </c>
      <c r="J516" s="8">
        <v>0</v>
      </c>
      <c r="K516" s="9">
        <v>1</v>
      </c>
      <c r="L516" s="10">
        <v>0</v>
      </c>
      <c r="M516" s="6">
        <v>0</v>
      </c>
      <c r="N516" s="37" cm="1">
        <f t="array" ref="N516">IF(OR(ISNUMBER(FIND(Aux!$D$3:$D$9,_xlfn.TEXTJOIN(,,C516:K516)))),NA(),IF(AND(SUM(C516:F516,H516:K516)=0,G516=1),0,INT((SUMPRODUCT(C516:F516,COLUMN($A$1:$D$1)-1)+SUMPRODUCT(H516:K516,COLUMN($E$1:$H$1)-1))*'Line Follower'!$C$3/SUM(C516:F516,H516:K516)-'Line Follower'!$C$5)))</f>
        <v>7</v>
      </c>
      <c r="O516" s="22">
        <v>1</v>
      </c>
      <c r="P516" s="4">
        <f t="shared" si="40"/>
        <v>0</v>
      </c>
      <c r="Q516" s="4">
        <f t="shared" si="41"/>
        <v>0</v>
      </c>
      <c r="R516" s="4">
        <f>IF(AND(B516=1,N516&gt;'Line Follower'!$C$7,SUM(C516:K516)&lt;4),1,0)</f>
        <v>1</v>
      </c>
      <c r="S516" s="4">
        <f>IF(AND(L516=1,N516&lt;'Line Follower'!$C$6,SUM(C516:K516)&lt;4),1,0)</f>
        <v>0</v>
      </c>
      <c r="T516" s="4">
        <f t="shared" ref="T516:T579" si="42">IF(ISNA(N516),NA(),IF(SUM(C516:L516)=0,1,0))</f>
        <v>0</v>
      </c>
      <c r="U516" s="5">
        <f t="shared" ref="U516:U579" si="43">IF(ISNA(N516),NA(),IF(SUM(B516:K516)=0,1,0))</f>
        <v>0</v>
      </c>
      <c r="V516" s="23">
        <f t="shared" ref="V516:V579" si="44">IF(ISNA(N516),NA(),IF(SUM(B516:L516)=0,1,0))</f>
        <v>0</v>
      </c>
    </row>
    <row r="517" spans="2:22" x14ac:dyDescent="0.25">
      <c r="B517" s="16">
        <v>0</v>
      </c>
      <c r="C517" s="7">
        <v>1</v>
      </c>
      <c r="D517" s="8">
        <v>0</v>
      </c>
      <c r="E517" s="8">
        <v>0</v>
      </c>
      <c r="F517" s="8">
        <v>0</v>
      </c>
      <c r="G517" s="8">
        <v>0</v>
      </c>
      <c r="H517" s="8">
        <v>0</v>
      </c>
      <c r="I517" s="8">
        <v>0</v>
      </c>
      <c r="J517" s="8">
        <v>0</v>
      </c>
      <c r="K517" s="9">
        <v>1</v>
      </c>
      <c r="L517" s="10">
        <v>0</v>
      </c>
      <c r="M517" s="6">
        <v>0</v>
      </c>
      <c r="N517" s="37" t="e" cm="1">
        <f t="array" ref="N517">IF(OR(ISNUMBER(FIND(Aux!$D$3:$D$9,_xlfn.TEXTJOIN(,,C517:K517)))),NA(),IF(AND(SUM(C517:F517,H517:K517)=0,G517=1),0,INT((SUMPRODUCT(C517:F517,COLUMN($A$1:$D$1)-1)+SUMPRODUCT(H517:K517,COLUMN($E$1:$H$1)-1))*'Line Follower'!$C$3/SUM(C517:F517,H517:K517)-'Line Follower'!$C$5)))</f>
        <v>#N/A</v>
      </c>
      <c r="O517" s="22" t="e">
        <v>#N/A</v>
      </c>
      <c r="P517" s="4" t="e">
        <f t="shared" si="40"/>
        <v>#N/A</v>
      </c>
      <c r="Q517" s="4" t="e">
        <f t="shared" si="41"/>
        <v>#N/A</v>
      </c>
      <c r="R517" s="4" t="e">
        <f>IF(AND(B517=1,N517&gt;'Line Follower'!$C$7,SUM(C517:K517)&lt;4),1,0)</f>
        <v>#N/A</v>
      </c>
      <c r="S517" s="4" t="e">
        <f>IF(AND(L517=1,N517&lt;'Line Follower'!$C$6,SUM(C517:K517)&lt;4),1,0)</f>
        <v>#N/A</v>
      </c>
      <c r="T517" s="4" t="e">
        <f t="shared" si="42"/>
        <v>#N/A</v>
      </c>
      <c r="U517" s="5" t="e">
        <f t="shared" si="43"/>
        <v>#N/A</v>
      </c>
      <c r="V517" s="23" t="e">
        <f t="shared" si="44"/>
        <v>#N/A</v>
      </c>
    </row>
    <row r="518" spans="2:22" x14ac:dyDescent="0.25">
      <c r="B518" s="16">
        <v>1</v>
      </c>
      <c r="C518" s="7">
        <v>1</v>
      </c>
      <c r="D518" s="8">
        <v>0</v>
      </c>
      <c r="E518" s="8">
        <v>0</v>
      </c>
      <c r="F518" s="8">
        <v>0</v>
      </c>
      <c r="G518" s="8">
        <v>0</v>
      </c>
      <c r="H518" s="8">
        <v>0</v>
      </c>
      <c r="I518" s="8">
        <v>0</v>
      </c>
      <c r="J518" s="8">
        <v>0</v>
      </c>
      <c r="K518" s="9">
        <v>1</v>
      </c>
      <c r="L518" s="10">
        <v>0</v>
      </c>
      <c r="M518" s="6">
        <v>0</v>
      </c>
      <c r="N518" s="37" t="e" cm="1">
        <f t="array" ref="N518">IF(OR(ISNUMBER(FIND(Aux!$D$3:$D$9,_xlfn.TEXTJOIN(,,C518:K518)))),NA(),IF(AND(SUM(C518:F518,H518:K518)=0,G518=1),0,INT((SUMPRODUCT(C518:F518,COLUMN($A$1:$D$1)-1)+SUMPRODUCT(H518:K518,COLUMN($E$1:$H$1)-1))*'Line Follower'!$C$3/SUM(C518:F518,H518:K518)-'Line Follower'!$C$5)))</f>
        <v>#N/A</v>
      </c>
      <c r="O518" s="22" t="e">
        <v>#N/A</v>
      </c>
      <c r="P518" s="4" t="e">
        <f t="shared" si="40"/>
        <v>#N/A</v>
      </c>
      <c r="Q518" s="4" t="e">
        <f t="shared" si="41"/>
        <v>#N/A</v>
      </c>
      <c r="R518" s="4" t="e">
        <f>IF(AND(B518=1,N518&gt;'Line Follower'!$C$7,SUM(C518:K518)&lt;4),1,0)</f>
        <v>#N/A</v>
      </c>
      <c r="S518" s="4" t="e">
        <f>IF(AND(L518=1,N518&lt;'Line Follower'!$C$6,SUM(C518:K518)&lt;4),1,0)</f>
        <v>#N/A</v>
      </c>
      <c r="T518" s="4" t="e">
        <f t="shared" si="42"/>
        <v>#N/A</v>
      </c>
      <c r="U518" s="5" t="e">
        <f t="shared" si="43"/>
        <v>#N/A</v>
      </c>
      <c r="V518" s="23" t="e">
        <f t="shared" si="44"/>
        <v>#N/A</v>
      </c>
    </row>
    <row r="519" spans="2:22" x14ac:dyDescent="0.25">
      <c r="B519" s="16">
        <v>0</v>
      </c>
      <c r="C519" s="7">
        <v>0</v>
      </c>
      <c r="D519" s="8">
        <v>1</v>
      </c>
      <c r="E519" s="8">
        <v>0</v>
      </c>
      <c r="F519" s="8">
        <v>0</v>
      </c>
      <c r="G519" s="8">
        <v>0</v>
      </c>
      <c r="H519" s="8">
        <v>0</v>
      </c>
      <c r="I519" s="8">
        <v>0</v>
      </c>
      <c r="J519" s="8">
        <v>0</v>
      </c>
      <c r="K519" s="9">
        <v>1</v>
      </c>
      <c r="L519" s="10">
        <v>0</v>
      </c>
      <c r="M519" s="6">
        <v>0</v>
      </c>
      <c r="N519" s="37" t="e" cm="1">
        <f t="array" ref="N519">IF(OR(ISNUMBER(FIND(Aux!$D$3:$D$9,_xlfn.TEXTJOIN(,,C519:K519)))),NA(),IF(AND(SUM(C519:F519,H519:K519)=0,G519=1),0,INT((SUMPRODUCT(C519:F519,COLUMN($A$1:$D$1)-1)+SUMPRODUCT(H519:K519,COLUMN($E$1:$H$1)-1))*'Line Follower'!$C$3/SUM(C519:F519,H519:K519)-'Line Follower'!$C$5)))</f>
        <v>#N/A</v>
      </c>
      <c r="O519" s="22" t="e">
        <v>#N/A</v>
      </c>
      <c r="P519" s="4" t="e">
        <f t="shared" si="40"/>
        <v>#N/A</v>
      </c>
      <c r="Q519" s="4" t="e">
        <f t="shared" si="41"/>
        <v>#N/A</v>
      </c>
      <c r="R519" s="4" t="e">
        <f>IF(AND(B519=1,N519&gt;'Line Follower'!$C$7,SUM(C519:K519)&lt;4),1,0)</f>
        <v>#N/A</v>
      </c>
      <c r="S519" s="4" t="e">
        <f>IF(AND(L519=1,N519&lt;'Line Follower'!$C$6,SUM(C519:K519)&lt;4),1,0)</f>
        <v>#N/A</v>
      </c>
      <c r="T519" s="4" t="e">
        <f t="shared" si="42"/>
        <v>#N/A</v>
      </c>
      <c r="U519" s="5" t="e">
        <f t="shared" si="43"/>
        <v>#N/A</v>
      </c>
      <c r="V519" s="23" t="e">
        <f t="shared" si="44"/>
        <v>#N/A</v>
      </c>
    </row>
    <row r="520" spans="2:22" x14ac:dyDescent="0.25">
      <c r="B520" s="16">
        <v>1</v>
      </c>
      <c r="C520" s="7">
        <v>0</v>
      </c>
      <c r="D520" s="8">
        <v>1</v>
      </c>
      <c r="E520" s="8">
        <v>0</v>
      </c>
      <c r="F520" s="8">
        <v>0</v>
      </c>
      <c r="G520" s="8">
        <v>0</v>
      </c>
      <c r="H520" s="8">
        <v>0</v>
      </c>
      <c r="I520" s="8">
        <v>0</v>
      </c>
      <c r="J520" s="8">
        <v>0</v>
      </c>
      <c r="K520" s="9">
        <v>1</v>
      </c>
      <c r="L520" s="10">
        <v>0</v>
      </c>
      <c r="M520" s="6">
        <v>0</v>
      </c>
      <c r="N520" s="37" t="e" cm="1">
        <f t="array" ref="N520">IF(OR(ISNUMBER(FIND(Aux!$D$3:$D$9,_xlfn.TEXTJOIN(,,C520:K520)))),NA(),IF(AND(SUM(C520:F520,H520:K520)=0,G520=1),0,INT((SUMPRODUCT(C520:F520,COLUMN($A$1:$D$1)-1)+SUMPRODUCT(H520:K520,COLUMN($E$1:$H$1)-1))*'Line Follower'!$C$3/SUM(C520:F520,H520:K520)-'Line Follower'!$C$5)))</f>
        <v>#N/A</v>
      </c>
      <c r="O520" s="22" t="e">
        <v>#N/A</v>
      </c>
      <c r="P520" s="4" t="e">
        <f t="shared" si="40"/>
        <v>#N/A</v>
      </c>
      <c r="Q520" s="4" t="e">
        <f t="shared" si="41"/>
        <v>#N/A</v>
      </c>
      <c r="R520" s="4" t="e">
        <f>IF(AND(B520=1,N520&gt;'Line Follower'!$C$7,SUM(C520:K520)&lt;4),1,0)</f>
        <v>#N/A</v>
      </c>
      <c r="S520" s="4" t="e">
        <f>IF(AND(L520=1,N520&lt;'Line Follower'!$C$6,SUM(C520:K520)&lt;4),1,0)</f>
        <v>#N/A</v>
      </c>
      <c r="T520" s="4" t="e">
        <f t="shared" si="42"/>
        <v>#N/A</v>
      </c>
      <c r="U520" s="5" t="e">
        <f t="shared" si="43"/>
        <v>#N/A</v>
      </c>
      <c r="V520" s="23" t="e">
        <f t="shared" si="44"/>
        <v>#N/A</v>
      </c>
    </row>
    <row r="521" spans="2:22" x14ac:dyDescent="0.25">
      <c r="B521" s="16">
        <v>0</v>
      </c>
      <c r="C521" s="7">
        <v>1</v>
      </c>
      <c r="D521" s="8">
        <v>1</v>
      </c>
      <c r="E521" s="8">
        <v>0</v>
      </c>
      <c r="F521" s="8">
        <v>0</v>
      </c>
      <c r="G521" s="8">
        <v>0</v>
      </c>
      <c r="H521" s="8">
        <v>0</v>
      </c>
      <c r="I521" s="8">
        <v>0</v>
      </c>
      <c r="J521" s="8">
        <v>0</v>
      </c>
      <c r="K521" s="9">
        <v>1</v>
      </c>
      <c r="L521" s="10">
        <v>0</v>
      </c>
      <c r="M521" s="6">
        <v>0</v>
      </c>
      <c r="N521" s="37" t="e" cm="1">
        <f t="array" ref="N521">IF(OR(ISNUMBER(FIND(Aux!$D$3:$D$9,_xlfn.TEXTJOIN(,,C521:K521)))),NA(),IF(AND(SUM(C521:F521,H521:K521)=0,G521=1),0,INT((SUMPRODUCT(C521:F521,COLUMN($A$1:$D$1)-1)+SUMPRODUCT(H521:K521,COLUMN($E$1:$H$1)-1))*'Line Follower'!$C$3/SUM(C521:F521,H521:K521)-'Line Follower'!$C$5)))</f>
        <v>#N/A</v>
      </c>
      <c r="O521" s="22" t="e">
        <v>#N/A</v>
      </c>
      <c r="P521" s="4" t="e">
        <f t="shared" si="40"/>
        <v>#N/A</v>
      </c>
      <c r="Q521" s="4" t="e">
        <f t="shared" si="41"/>
        <v>#N/A</v>
      </c>
      <c r="R521" s="4" t="e">
        <f>IF(AND(B521=1,N521&gt;'Line Follower'!$C$7,SUM(C521:K521)&lt;4),1,0)</f>
        <v>#N/A</v>
      </c>
      <c r="S521" s="4" t="e">
        <f>IF(AND(L521=1,N521&lt;'Line Follower'!$C$6,SUM(C521:K521)&lt;4),1,0)</f>
        <v>#N/A</v>
      </c>
      <c r="T521" s="4" t="e">
        <f t="shared" si="42"/>
        <v>#N/A</v>
      </c>
      <c r="U521" s="5" t="e">
        <f t="shared" si="43"/>
        <v>#N/A</v>
      </c>
      <c r="V521" s="23" t="e">
        <f t="shared" si="44"/>
        <v>#N/A</v>
      </c>
    </row>
    <row r="522" spans="2:22" x14ac:dyDescent="0.25">
      <c r="B522" s="16">
        <v>1</v>
      </c>
      <c r="C522" s="7">
        <v>1</v>
      </c>
      <c r="D522" s="8">
        <v>1</v>
      </c>
      <c r="E522" s="8">
        <v>0</v>
      </c>
      <c r="F522" s="8">
        <v>0</v>
      </c>
      <c r="G522" s="8">
        <v>0</v>
      </c>
      <c r="H522" s="8">
        <v>0</v>
      </c>
      <c r="I522" s="8">
        <v>0</v>
      </c>
      <c r="J522" s="8">
        <v>0</v>
      </c>
      <c r="K522" s="9">
        <v>1</v>
      </c>
      <c r="L522" s="10">
        <v>0</v>
      </c>
      <c r="M522" s="6">
        <v>0</v>
      </c>
      <c r="N522" s="37" t="e" cm="1">
        <f t="array" ref="N522">IF(OR(ISNUMBER(FIND(Aux!$D$3:$D$9,_xlfn.TEXTJOIN(,,C522:K522)))),NA(),IF(AND(SUM(C522:F522,H522:K522)=0,G522=1),0,INT((SUMPRODUCT(C522:F522,COLUMN($A$1:$D$1)-1)+SUMPRODUCT(H522:K522,COLUMN($E$1:$H$1)-1))*'Line Follower'!$C$3/SUM(C522:F522,H522:K522)-'Line Follower'!$C$5)))</f>
        <v>#N/A</v>
      </c>
      <c r="O522" s="22" t="e">
        <v>#N/A</v>
      </c>
      <c r="P522" s="4" t="e">
        <f t="shared" si="40"/>
        <v>#N/A</v>
      </c>
      <c r="Q522" s="4" t="e">
        <f t="shared" si="41"/>
        <v>#N/A</v>
      </c>
      <c r="R522" s="4" t="e">
        <f>IF(AND(B522=1,N522&gt;'Line Follower'!$C$7,SUM(C522:K522)&lt;4),1,0)</f>
        <v>#N/A</v>
      </c>
      <c r="S522" s="4" t="e">
        <f>IF(AND(L522=1,N522&lt;'Line Follower'!$C$6,SUM(C522:K522)&lt;4),1,0)</f>
        <v>#N/A</v>
      </c>
      <c r="T522" s="4" t="e">
        <f t="shared" si="42"/>
        <v>#N/A</v>
      </c>
      <c r="U522" s="5" t="e">
        <f t="shared" si="43"/>
        <v>#N/A</v>
      </c>
      <c r="V522" s="23" t="e">
        <f t="shared" si="44"/>
        <v>#N/A</v>
      </c>
    </row>
    <row r="523" spans="2:22" x14ac:dyDescent="0.25">
      <c r="B523" s="16">
        <v>0</v>
      </c>
      <c r="C523" s="7">
        <v>0</v>
      </c>
      <c r="D523" s="8">
        <v>0</v>
      </c>
      <c r="E523" s="8">
        <v>1</v>
      </c>
      <c r="F523" s="8">
        <v>0</v>
      </c>
      <c r="G523" s="8">
        <v>0</v>
      </c>
      <c r="H523" s="8">
        <v>0</v>
      </c>
      <c r="I523" s="8">
        <v>0</v>
      </c>
      <c r="J523" s="8">
        <v>0</v>
      </c>
      <c r="K523" s="9">
        <v>1</v>
      </c>
      <c r="L523" s="10">
        <v>0</v>
      </c>
      <c r="M523" s="6">
        <v>0</v>
      </c>
      <c r="N523" s="37" t="e" cm="1">
        <f t="array" ref="N523">IF(OR(ISNUMBER(FIND(Aux!$D$3:$D$9,_xlfn.TEXTJOIN(,,C523:K523)))),NA(),IF(AND(SUM(C523:F523,H523:K523)=0,G523=1),0,INT((SUMPRODUCT(C523:F523,COLUMN($A$1:$D$1)-1)+SUMPRODUCT(H523:K523,COLUMN($E$1:$H$1)-1))*'Line Follower'!$C$3/SUM(C523:F523,H523:K523)-'Line Follower'!$C$5)))</f>
        <v>#N/A</v>
      </c>
      <c r="O523" s="22" t="e">
        <v>#N/A</v>
      </c>
      <c r="P523" s="4" t="e">
        <f t="shared" si="40"/>
        <v>#N/A</v>
      </c>
      <c r="Q523" s="4" t="e">
        <f t="shared" si="41"/>
        <v>#N/A</v>
      </c>
      <c r="R523" s="4" t="e">
        <f>IF(AND(B523=1,N523&gt;'Line Follower'!$C$7,SUM(C523:K523)&lt;4),1,0)</f>
        <v>#N/A</v>
      </c>
      <c r="S523" s="4" t="e">
        <f>IF(AND(L523=1,N523&lt;'Line Follower'!$C$6,SUM(C523:K523)&lt;4),1,0)</f>
        <v>#N/A</v>
      </c>
      <c r="T523" s="4" t="e">
        <f t="shared" si="42"/>
        <v>#N/A</v>
      </c>
      <c r="U523" s="5" t="e">
        <f t="shared" si="43"/>
        <v>#N/A</v>
      </c>
      <c r="V523" s="23" t="e">
        <f t="shared" si="44"/>
        <v>#N/A</v>
      </c>
    </row>
    <row r="524" spans="2:22" x14ac:dyDescent="0.25">
      <c r="B524" s="16">
        <v>1</v>
      </c>
      <c r="C524" s="7">
        <v>0</v>
      </c>
      <c r="D524" s="8">
        <v>0</v>
      </c>
      <c r="E524" s="8">
        <v>1</v>
      </c>
      <c r="F524" s="8">
        <v>0</v>
      </c>
      <c r="G524" s="8">
        <v>0</v>
      </c>
      <c r="H524" s="8">
        <v>0</v>
      </c>
      <c r="I524" s="8">
        <v>0</v>
      </c>
      <c r="J524" s="8">
        <v>0</v>
      </c>
      <c r="K524" s="9">
        <v>1</v>
      </c>
      <c r="L524" s="10">
        <v>0</v>
      </c>
      <c r="M524" s="6">
        <v>0</v>
      </c>
      <c r="N524" s="37" t="e" cm="1">
        <f t="array" ref="N524">IF(OR(ISNUMBER(FIND(Aux!$D$3:$D$9,_xlfn.TEXTJOIN(,,C524:K524)))),NA(),IF(AND(SUM(C524:F524,H524:K524)=0,G524=1),0,INT((SUMPRODUCT(C524:F524,COLUMN($A$1:$D$1)-1)+SUMPRODUCT(H524:K524,COLUMN($E$1:$H$1)-1))*'Line Follower'!$C$3/SUM(C524:F524,H524:K524)-'Line Follower'!$C$5)))</f>
        <v>#N/A</v>
      </c>
      <c r="O524" s="22" t="e">
        <v>#N/A</v>
      </c>
      <c r="P524" s="4" t="e">
        <f t="shared" si="40"/>
        <v>#N/A</v>
      </c>
      <c r="Q524" s="4" t="e">
        <f t="shared" si="41"/>
        <v>#N/A</v>
      </c>
      <c r="R524" s="4" t="e">
        <f>IF(AND(B524=1,N524&gt;'Line Follower'!$C$7,SUM(C524:K524)&lt;4),1,0)</f>
        <v>#N/A</v>
      </c>
      <c r="S524" s="4" t="e">
        <f>IF(AND(L524=1,N524&lt;'Line Follower'!$C$6,SUM(C524:K524)&lt;4),1,0)</f>
        <v>#N/A</v>
      </c>
      <c r="T524" s="4" t="e">
        <f t="shared" si="42"/>
        <v>#N/A</v>
      </c>
      <c r="U524" s="5" t="e">
        <f t="shared" si="43"/>
        <v>#N/A</v>
      </c>
      <c r="V524" s="23" t="e">
        <f t="shared" si="44"/>
        <v>#N/A</v>
      </c>
    </row>
    <row r="525" spans="2:22" x14ac:dyDescent="0.25">
      <c r="B525" s="16">
        <v>0</v>
      </c>
      <c r="C525" s="7">
        <v>1</v>
      </c>
      <c r="D525" s="8">
        <v>0</v>
      </c>
      <c r="E525" s="8">
        <v>1</v>
      </c>
      <c r="F525" s="8">
        <v>0</v>
      </c>
      <c r="G525" s="8">
        <v>0</v>
      </c>
      <c r="H525" s="8">
        <v>0</v>
      </c>
      <c r="I525" s="8">
        <v>0</v>
      </c>
      <c r="J525" s="8">
        <v>0</v>
      </c>
      <c r="K525" s="9">
        <v>1</v>
      </c>
      <c r="L525" s="10">
        <v>0</v>
      </c>
      <c r="M525" s="6">
        <v>0</v>
      </c>
      <c r="N525" s="37" t="e" cm="1">
        <f t="array" ref="N525">IF(OR(ISNUMBER(FIND(Aux!$D$3:$D$9,_xlfn.TEXTJOIN(,,C525:K525)))),NA(),IF(AND(SUM(C525:F525,H525:K525)=0,G525=1),0,INT((SUMPRODUCT(C525:F525,COLUMN($A$1:$D$1)-1)+SUMPRODUCT(H525:K525,COLUMN($E$1:$H$1)-1))*'Line Follower'!$C$3/SUM(C525:F525,H525:K525)-'Line Follower'!$C$5)))</f>
        <v>#N/A</v>
      </c>
      <c r="O525" s="22" t="e">
        <v>#N/A</v>
      </c>
      <c r="P525" s="4" t="e">
        <f t="shared" si="40"/>
        <v>#N/A</v>
      </c>
      <c r="Q525" s="4" t="e">
        <f t="shared" si="41"/>
        <v>#N/A</v>
      </c>
      <c r="R525" s="4" t="e">
        <f>IF(AND(B525=1,N525&gt;'Line Follower'!$C$7,SUM(C525:K525)&lt;4),1,0)</f>
        <v>#N/A</v>
      </c>
      <c r="S525" s="4" t="e">
        <f>IF(AND(L525=1,N525&lt;'Line Follower'!$C$6,SUM(C525:K525)&lt;4),1,0)</f>
        <v>#N/A</v>
      </c>
      <c r="T525" s="4" t="e">
        <f t="shared" si="42"/>
        <v>#N/A</v>
      </c>
      <c r="U525" s="5" t="e">
        <f t="shared" si="43"/>
        <v>#N/A</v>
      </c>
      <c r="V525" s="23" t="e">
        <f t="shared" si="44"/>
        <v>#N/A</v>
      </c>
    </row>
    <row r="526" spans="2:22" x14ac:dyDescent="0.25">
      <c r="B526" s="16">
        <v>1</v>
      </c>
      <c r="C526" s="7">
        <v>1</v>
      </c>
      <c r="D526" s="8">
        <v>0</v>
      </c>
      <c r="E526" s="8">
        <v>1</v>
      </c>
      <c r="F526" s="8">
        <v>0</v>
      </c>
      <c r="G526" s="8">
        <v>0</v>
      </c>
      <c r="H526" s="8">
        <v>0</v>
      </c>
      <c r="I526" s="8">
        <v>0</v>
      </c>
      <c r="J526" s="8">
        <v>0</v>
      </c>
      <c r="K526" s="9">
        <v>1</v>
      </c>
      <c r="L526" s="10">
        <v>0</v>
      </c>
      <c r="M526" s="6">
        <v>0</v>
      </c>
      <c r="N526" s="37" t="e" cm="1">
        <f t="array" ref="N526">IF(OR(ISNUMBER(FIND(Aux!$D$3:$D$9,_xlfn.TEXTJOIN(,,C526:K526)))),NA(),IF(AND(SUM(C526:F526,H526:K526)=0,G526=1),0,INT((SUMPRODUCT(C526:F526,COLUMN($A$1:$D$1)-1)+SUMPRODUCT(H526:K526,COLUMN($E$1:$H$1)-1))*'Line Follower'!$C$3/SUM(C526:F526,H526:K526)-'Line Follower'!$C$5)))</f>
        <v>#N/A</v>
      </c>
      <c r="O526" s="22" t="e">
        <v>#N/A</v>
      </c>
      <c r="P526" s="4" t="e">
        <f t="shared" si="40"/>
        <v>#N/A</v>
      </c>
      <c r="Q526" s="4" t="e">
        <f t="shared" si="41"/>
        <v>#N/A</v>
      </c>
      <c r="R526" s="4" t="e">
        <f>IF(AND(B526=1,N526&gt;'Line Follower'!$C$7,SUM(C526:K526)&lt;4),1,0)</f>
        <v>#N/A</v>
      </c>
      <c r="S526" s="4" t="e">
        <f>IF(AND(L526=1,N526&lt;'Line Follower'!$C$6,SUM(C526:K526)&lt;4),1,0)</f>
        <v>#N/A</v>
      </c>
      <c r="T526" s="4" t="e">
        <f t="shared" si="42"/>
        <v>#N/A</v>
      </c>
      <c r="U526" s="5" t="e">
        <f t="shared" si="43"/>
        <v>#N/A</v>
      </c>
      <c r="V526" s="23" t="e">
        <f t="shared" si="44"/>
        <v>#N/A</v>
      </c>
    </row>
    <row r="527" spans="2:22" x14ac:dyDescent="0.25">
      <c r="B527" s="16">
        <v>0</v>
      </c>
      <c r="C527" s="7">
        <v>0</v>
      </c>
      <c r="D527" s="8">
        <v>1</v>
      </c>
      <c r="E527" s="8">
        <v>1</v>
      </c>
      <c r="F527" s="8">
        <v>0</v>
      </c>
      <c r="G527" s="8">
        <v>0</v>
      </c>
      <c r="H527" s="8">
        <v>0</v>
      </c>
      <c r="I527" s="8">
        <v>0</v>
      </c>
      <c r="J527" s="8">
        <v>0</v>
      </c>
      <c r="K527" s="9">
        <v>1</v>
      </c>
      <c r="L527" s="10">
        <v>0</v>
      </c>
      <c r="M527" s="6">
        <v>0</v>
      </c>
      <c r="N527" s="37" t="e" cm="1">
        <f t="array" ref="N527">IF(OR(ISNUMBER(FIND(Aux!$D$3:$D$9,_xlfn.TEXTJOIN(,,C527:K527)))),NA(),IF(AND(SUM(C527:F527,H527:K527)=0,G527=1),0,INT((SUMPRODUCT(C527:F527,COLUMN($A$1:$D$1)-1)+SUMPRODUCT(H527:K527,COLUMN($E$1:$H$1)-1))*'Line Follower'!$C$3/SUM(C527:F527,H527:K527)-'Line Follower'!$C$5)))</f>
        <v>#N/A</v>
      </c>
      <c r="O527" s="22" t="e">
        <v>#N/A</v>
      </c>
      <c r="P527" s="4" t="e">
        <f t="shared" si="40"/>
        <v>#N/A</v>
      </c>
      <c r="Q527" s="4" t="e">
        <f t="shared" si="41"/>
        <v>#N/A</v>
      </c>
      <c r="R527" s="4" t="e">
        <f>IF(AND(B527=1,N527&gt;'Line Follower'!$C$7,SUM(C527:K527)&lt;4),1,0)</f>
        <v>#N/A</v>
      </c>
      <c r="S527" s="4" t="e">
        <f>IF(AND(L527=1,N527&lt;'Line Follower'!$C$6,SUM(C527:K527)&lt;4),1,0)</f>
        <v>#N/A</v>
      </c>
      <c r="T527" s="4" t="e">
        <f t="shared" si="42"/>
        <v>#N/A</v>
      </c>
      <c r="U527" s="5" t="e">
        <f t="shared" si="43"/>
        <v>#N/A</v>
      </c>
      <c r="V527" s="23" t="e">
        <f t="shared" si="44"/>
        <v>#N/A</v>
      </c>
    </row>
    <row r="528" spans="2:22" x14ac:dyDescent="0.25">
      <c r="B528" s="16">
        <v>1</v>
      </c>
      <c r="C528" s="7">
        <v>0</v>
      </c>
      <c r="D528" s="8">
        <v>1</v>
      </c>
      <c r="E528" s="8">
        <v>1</v>
      </c>
      <c r="F528" s="8">
        <v>0</v>
      </c>
      <c r="G528" s="8">
        <v>0</v>
      </c>
      <c r="H528" s="8">
        <v>0</v>
      </c>
      <c r="I528" s="8">
        <v>0</v>
      </c>
      <c r="J528" s="8">
        <v>0</v>
      </c>
      <c r="K528" s="9">
        <v>1</v>
      </c>
      <c r="L528" s="10">
        <v>0</v>
      </c>
      <c r="M528" s="6">
        <v>0</v>
      </c>
      <c r="N528" s="37" t="e" cm="1">
        <f t="array" ref="N528">IF(OR(ISNUMBER(FIND(Aux!$D$3:$D$9,_xlfn.TEXTJOIN(,,C528:K528)))),NA(),IF(AND(SUM(C528:F528,H528:K528)=0,G528=1),0,INT((SUMPRODUCT(C528:F528,COLUMN($A$1:$D$1)-1)+SUMPRODUCT(H528:K528,COLUMN($E$1:$H$1)-1))*'Line Follower'!$C$3/SUM(C528:F528,H528:K528)-'Line Follower'!$C$5)))</f>
        <v>#N/A</v>
      </c>
      <c r="O528" s="22" t="e">
        <v>#N/A</v>
      </c>
      <c r="P528" s="4" t="e">
        <f t="shared" si="40"/>
        <v>#N/A</v>
      </c>
      <c r="Q528" s="4" t="e">
        <f t="shared" si="41"/>
        <v>#N/A</v>
      </c>
      <c r="R528" s="4" t="e">
        <f>IF(AND(B528=1,N528&gt;'Line Follower'!$C$7,SUM(C528:K528)&lt;4),1,0)</f>
        <v>#N/A</v>
      </c>
      <c r="S528" s="4" t="e">
        <f>IF(AND(L528=1,N528&lt;'Line Follower'!$C$6,SUM(C528:K528)&lt;4),1,0)</f>
        <v>#N/A</v>
      </c>
      <c r="T528" s="4" t="e">
        <f t="shared" si="42"/>
        <v>#N/A</v>
      </c>
      <c r="U528" s="5" t="e">
        <f t="shared" si="43"/>
        <v>#N/A</v>
      </c>
      <c r="V528" s="23" t="e">
        <f t="shared" si="44"/>
        <v>#N/A</v>
      </c>
    </row>
    <row r="529" spans="2:22" x14ac:dyDescent="0.25">
      <c r="B529" s="16">
        <v>0</v>
      </c>
      <c r="C529" s="7">
        <v>1</v>
      </c>
      <c r="D529" s="8">
        <v>1</v>
      </c>
      <c r="E529" s="8">
        <v>1</v>
      </c>
      <c r="F529" s="8">
        <v>0</v>
      </c>
      <c r="G529" s="8">
        <v>0</v>
      </c>
      <c r="H529" s="8">
        <v>0</v>
      </c>
      <c r="I529" s="8">
        <v>0</v>
      </c>
      <c r="J529" s="8">
        <v>0</v>
      </c>
      <c r="K529" s="9">
        <v>1</v>
      </c>
      <c r="L529" s="10">
        <v>0</v>
      </c>
      <c r="M529" s="6">
        <v>0</v>
      </c>
      <c r="N529" s="37" t="e" cm="1">
        <f t="array" ref="N529">IF(OR(ISNUMBER(FIND(Aux!$D$3:$D$9,_xlfn.TEXTJOIN(,,C529:K529)))),NA(),IF(AND(SUM(C529:F529,H529:K529)=0,G529=1),0,INT((SUMPRODUCT(C529:F529,COLUMN($A$1:$D$1)-1)+SUMPRODUCT(H529:K529,COLUMN($E$1:$H$1)-1))*'Line Follower'!$C$3/SUM(C529:F529,H529:K529)-'Line Follower'!$C$5)))</f>
        <v>#N/A</v>
      </c>
      <c r="O529" s="22" t="e">
        <v>#N/A</v>
      </c>
      <c r="P529" s="4" t="e">
        <f t="shared" si="40"/>
        <v>#N/A</v>
      </c>
      <c r="Q529" s="4" t="e">
        <f t="shared" si="41"/>
        <v>#N/A</v>
      </c>
      <c r="R529" s="4" t="e">
        <f>IF(AND(B529=1,N529&gt;'Line Follower'!$C$7,SUM(C529:K529)&lt;4),1,0)</f>
        <v>#N/A</v>
      </c>
      <c r="S529" s="4" t="e">
        <f>IF(AND(L529=1,N529&lt;'Line Follower'!$C$6,SUM(C529:K529)&lt;4),1,0)</f>
        <v>#N/A</v>
      </c>
      <c r="T529" s="4" t="e">
        <f t="shared" si="42"/>
        <v>#N/A</v>
      </c>
      <c r="U529" s="5" t="e">
        <f t="shared" si="43"/>
        <v>#N/A</v>
      </c>
      <c r="V529" s="23" t="e">
        <f t="shared" si="44"/>
        <v>#N/A</v>
      </c>
    </row>
    <row r="530" spans="2:22" x14ac:dyDescent="0.25">
      <c r="B530" s="16">
        <v>1</v>
      </c>
      <c r="C530" s="7">
        <v>1</v>
      </c>
      <c r="D530" s="8">
        <v>1</v>
      </c>
      <c r="E530" s="8">
        <v>1</v>
      </c>
      <c r="F530" s="8">
        <v>0</v>
      </c>
      <c r="G530" s="8">
        <v>0</v>
      </c>
      <c r="H530" s="8">
        <v>0</v>
      </c>
      <c r="I530" s="8">
        <v>0</v>
      </c>
      <c r="J530" s="8">
        <v>0</v>
      </c>
      <c r="K530" s="9">
        <v>1</v>
      </c>
      <c r="L530" s="10">
        <v>0</v>
      </c>
      <c r="M530" s="6">
        <v>0</v>
      </c>
      <c r="N530" s="37" t="e" cm="1">
        <f t="array" ref="N530">IF(OR(ISNUMBER(FIND(Aux!$D$3:$D$9,_xlfn.TEXTJOIN(,,C530:K530)))),NA(),IF(AND(SUM(C530:F530,H530:K530)=0,G530=1),0,INT((SUMPRODUCT(C530:F530,COLUMN($A$1:$D$1)-1)+SUMPRODUCT(H530:K530,COLUMN($E$1:$H$1)-1))*'Line Follower'!$C$3/SUM(C530:F530,H530:K530)-'Line Follower'!$C$5)))</f>
        <v>#N/A</v>
      </c>
      <c r="O530" s="22" t="e">
        <v>#N/A</v>
      </c>
      <c r="P530" s="4" t="e">
        <f t="shared" si="40"/>
        <v>#N/A</v>
      </c>
      <c r="Q530" s="4" t="e">
        <f t="shared" si="41"/>
        <v>#N/A</v>
      </c>
      <c r="R530" s="4" t="e">
        <f>IF(AND(B530=1,N530&gt;'Line Follower'!$C$7,SUM(C530:K530)&lt;4),1,0)</f>
        <v>#N/A</v>
      </c>
      <c r="S530" s="4" t="e">
        <f>IF(AND(L530=1,N530&lt;'Line Follower'!$C$6,SUM(C530:K530)&lt;4),1,0)</f>
        <v>#N/A</v>
      </c>
      <c r="T530" s="4" t="e">
        <f t="shared" si="42"/>
        <v>#N/A</v>
      </c>
      <c r="U530" s="5" t="e">
        <f t="shared" si="43"/>
        <v>#N/A</v>
      </c>
      <c r="V530" s="23" t="e">
        <f t="shared" si="44"/>
        <v>#N/A</v>
      </c>
    </row>
    <row r="531" spans="2:22" x14ac:dyDescent="0.25">
      <c r="B531" s="16">
        <v>0</v>
      </c>
      <c r="C531" s="7">
        <v>0</v>
      </c>
      <c r="D531" s="8">
        <v>0</v>
      </c>
      <c r="E531" s="8">
        <v>0</v>
      </c>
      <c r="F531" s="8">
        <v>1</v>
      </c>
      <c r="G531" s="8">
        <v>0</v>
      </c>
      <c r="H531" s="8">
        <v>0</v>
      </c>
      <c r="I531" s="8">
        <v>0</v>
      </c>
      <c r="J531" s="8">
        <v>0</v>
      </c>
      <c r="K531" s="9">
        <v>1</v>
      </c>
      <c r="L531" s="10">
        <v>0</v>
      </c>
      <c r="M531" s="6">
        <v>0</v>
      </c>
      <c r="N531" s="37" t="e" cm="1">
        <f t="array" ref="N531">IF(OR(ISNUMBER(FIND(Aux!$D$3:$D$9,_xlfn.TEXTJOIN(,,C531:K531)))),NA(),IF(AND(SUM(C531:F531,H531:K531)=0,G531=1),0,INT((SUMPRODUCT(C531:F531,COLUMN($A$1:$D$1)-1)+SUMPRODUCT(H531:K531,COLUMN($E$1:$H$1)-1))*'Line Follower'!$C$3/SUM(C531:F531,H531:K531)-'Line Follower'!$C$5)))</f>
        <v>#N/A</v>
      </c>
      <c r="O531" s="22" t="e">
        <v>#N/A</v>
      </c>
      <c r="P531" s="4" t="e">
        <f t="shared" si="40"/>
        <v>#N/A</v>
      </c>
      <c r="Q531" s="4" t="e">
        <f t="shared" si="41"/>
        <v>#N/A</v>
      </c>
      <c r="R531" s="4" t="e">
        <f>IF(AND(B531=1,N531&gt;'Line Follower'!$C$7,SUM(C531:K531)&lt;4),1,0)</f>
        <v>#N/A</v>
      </c>
      <c r="S531" s="4" t="e">
        <f>IF(AND(L531=1,N531&lt;'Line Follower'!$C$6,SUM(C531:K531)&lt;4),1,0)</f>
        <v>#N/A</v>
      </c>
      <c r="T531" s="4" t="e">
        <f t="shared" si="42"/>
        <v>#N/A</v>
      </c>
      <c r="U531" s="5" t="e">
        <f t="shared" si="43"/>
        <v>#N/A</v>
      </c>
      <c r="V531" s="23" t="e">
        <f t="shared" si="44"/>
        <v>#N/A</v>
      </c>
    </row>
    <row r="532" spans="2:22" x14ac:dyDescent="0.25">
      <c r="B532" s="16">
        <v>1</v>
      </c>
      <c r="C532" s="7">
        <v>0</v>
      </c>
      <c r="D532" s="8">
        <v>0</v>
      </c>
      <c r="E532" s="8">
        <v>0</v>
      </c>
      <c r="F532" s="8">
        <v>1</v>
      </c>
      <c r="G532" s="8">
        <v>0</v>
      </c>
      <c r="H532" s="8">
        <v>0</v>
      </c>
      <c r="I532" s="8">
        <v>0</v>
      </c>
      <c r="J532" s="8">
        <v>0</v>
      </c>
      <c r="K532" s="9">
        <v>1</v>
      </c>
      <c r="L532" s="10">
        <v>0</v>
      </c>
      <c r="M532" s="6">
        <v>0</v>
      </c>
      <c r="N532" s="37" t="e" cm="1">
        <f t="array" ref="N532">IF(OR(ISNUMBER(FIND(Aux!$D$3:$D$9,_xlfn.TEXTJOIN(,,C532:K532)))),NA(),IF(AND(SUM(C532:F532,H532:K532)=0,G532=1),0,INT((SUMPRODUCT(C532:F532,COLUMN($A$1:$D$1)-1)+SUMPRODUCT(H532:K532,COLUMN($E$1:$H$1)-1))*'Line Follower'!$C$3/SUM(C532:F532,H532:K532)-'Line Follower'!$C$5)))</f>
        <v>#N/A</v>
      </c>
      <c r="O532" s="22" t="e">
        <v>#N/A</v>
      </c>
      <c r="P532" s="4" t="e">
        <f t="shared" si="40"/>
        <v>#N/A</v>
      </c>
      <c r="Q532" s="4" t="e">
        <f t="shared" si="41"/>
        <v>#N/A</v>
      </c>
      <c r="R532" s="4" t="e">
        <f>IF(AND(B532=1,N532&gt;'Line Follower'!$C$7,SUM(C532:K532)&lt;4),1,0)</f>
        <v>#N/A</v>
      </c>
      <c r="S532" s="4" t="e">
        <f>IF(AND(L532=1,N532&lt;'Line Follower'!$C$6,SUM(C532:K532)&lt;4),1,0)</f>
        <v>#N/A</v>
      </c>
      <c r="T532" s="4" t="e">
        <f t="shared" si="42"/>
        <v>#N/A</v>
      </c>
      <c r="U532" s="5" t="e">
        <f t="shared" si="43"/>
        <v>#N/A</v>
      </c>
      <c r="V532" s="23" t="e">
        <f t="shared" si="44"/>
        <v>#N/A</v>
      </c>
    </row>
    <row r="533" spans="2:22" x14ac:dyDescent="0.25">
      <c r="B533" s="16">
        <v>0</v>
      </c>
      <c r="C533" s="7">
        <v>1</v>
      </c>
      <c r="D533" s="8">
        <v>0</v>
      </c>
      <c r="E533" s="8">
        <v>0</v>
      </c>
      <c r="F533" s="8">
        <v>1</v>
      </c>
      <c r="G533" s="8">
        <v>0</v>
      </c>
      <c r="H533" s="8">
        <v>0</v>
      </c>
      <c r="I533" s="8">
        <v>0</v>
      </c>
      <c r="J533" s="8">
        <v>0</v>
      </c>
      <c r="K533" s="9">
        <v>1</v>
      </c>
      <c r="L533" s="10">
        <v>0</v>
      </c>
      <c r="M533" s="6">
        <v>0</v>
      </c>
      <c r="N533" s="37" t="e" cm="1">
        <f t="array" ref="N533">IF(OR(ISNUMBER(FIND(Aux!$D$3:$D$9,_xlfn.TEXTJOIN(,,C533:K533)))),NA(),IF(AND(SUM(C533:F533,H533:K533)=0,G533=1),0,INT((SUMPRODUCT(C533:F533,COLUMN($A$1:$D$1)-1)+SUMPRODUCT(H533:K533,COLUMN($E$1:$H$1)-1))*'Line Follower'!$C$3/SUM(C533:F533,H533:K533)-'Line Follower'!$C$5)))</f>
        <v>#N/A</v>
      </c>
      <c r="O533" s="22" t="e">
        <v>#N/A</v>
      </c>
      <c r="P533" s="4" t="e">
        <f t="shared" si="40"/>
        <v>#N/A</v>
      </c>
      <c r="Q533" s="4" t="e">
        <f t="shared" si="41"/>
        <v>#N/A</v>
      </c>
      <c r="R533" s="4" t="e">
        <f>IF(AND(B533=1,N533&gt;'Line Follower'!$C$7,SUM(C533:K533)&lt;4),1,0)</f>
        <v>#N/A</v>
      </c>
      <c r="S533" s="4" t="e">
        <f>IF(AND(L533=1,N533&lt;'Line Follower'!$C$6,SUM(C533:K533)&lt;4),1,0)</f>
        <v>#N/A</v>
      </c>
      <c r="T533" s="4" t="e">
        <f t="shared" si="42"/>
        <v>#N/A</v>
      </c>
      <c r="U533" s="5" t="e">
        <f t="shared" si="43"/>
        <v>#N/A</v>
      </c>
      <c r="V533" s="23" t="e">
        <f t="shared" si="44"/>
        <v>#N/A</v>
      </c>
    </row>
    <row r="534" spans="2:22" x14ac:dyDescent="0.25">
      <c r="B534" s="16">
        <v>1</v>
      </c>
      <c r="C534" s="7">
        <v>1</v>
      </c>
      <c r="D534" s="8">
        <v>0</v>
      </c>
      <c r="E534" s="8">
        <v>0</v>
      </c>
      <c r="F534" s="8">
        <v>1</v>
      </c>
      <c r="G534" s="8">
        <v>0</v>
      </c>
      <c r="H534" s="8">
        <v>0</v>
      </c>
      <c r="I534" s="8">
        <v>0</v>
      </c>
      <c r="J534" s="8">
        <v>0</v>
      </c>
      <c r="K534" s="9">
        <v>1</v>
      </c>
      <c r="L534" s="10">
        <v>0</v>
      </c>
      <c r="M534" s="6">
        <v>0</v>
      </c>
      <c r="N534" s="37" t="e" cm="1">
        <f t="array" ref="N534">IF(OR(ISNUMBER(FIND(Aux!$D$3:$D$9,_xlfn.TEXTJOIN(,,C534:K534)))),NA(),IF(AND(SUM(C534:F534,H534:K534)=0,G534=1),0,INT((SUMPRODUCT(C534:F534,COLUMN($A$1:$D$1)-1)+SUMPRODUCT(H534:K534,COLUMN($E$1:$H$1)-1))*'Line Follower'!$C$3/SUM(C534:F534,H534:K534)-'Line Follower'!$C$5)))</f>
        <v>#N/A</v>
      </c>
      <c r="O534" s="22" t="e">
        <v>#N/A</v>
      </c>
      <c r="P534" s="4" t="e">
        <f t="shared" si="40"/>
        <v>#N/A</v>
      </c>
      <c r="Q534" s="4" t="e">
        <f t="shared" si="41"/>
        <v>#N/A</v>
      </c>
      <c r="R534" s="4" t="e">
        <f>IF(AND(B534=1,N534&gt;'Line Follower'!$C$7,SUM(C534:K534)&lt;4),1,0)</f>
        <v>#N/A</v>
      </c>
      <c r="S534" s="4" t="e">
        <f>IF(AND(L534=1,N534&lt;'Line Follower'!$C$6,SUM(C534:K534)&lt;4),1,0)</f>
        <v>#N/A</v>
      </c>
      <c r="T534" s="4" t="e">
        <f t="shared" si="42"/>
        <v>#N/A</v>
      </c>
      <c r="U534" s="5" t="e">
        <f t="shared" si="43"/>
        <v>#N/A</v>
      </c>
      <c r="V534" s="23" t="e">
        <f t="shared" si="44"/>
        <v>#N/A</v>
      </c>
    </row>
    <row r="535" spans="2:22" x14ac:dyDescent="0.25">
      <c r="B535" s="16">
        <v>0</v>
      </c>
      <c r="C535" s="7">
        <v>0</v>
      </c>
      <c r="D535" s="8">
        <v>1</v>
      </c>
      <c r="E535" s="8">
        <v>0</v>
      </c>
      <c r="F535" s="8">
        <v>1</v>
      </c>
      <c r="G535" s="8">
        <v>0</v>
      </c>
      <c r="H535" s="8">
        <v>0</v>
      </c>
      <c r="I535" s="8">
        <v>0</v>
      </c>
      <c r="J535" s="8">
        <v>0</v>
      </c>
      <c r="K535" s="9">
        <v>1</v>
      </c>
      <c r="L535" s="10">
        <v>0</v>
      </c>
      <c r="M535" s="6">
        <v>0</v>
      </c>
      <c r="N535" s="37" t="e" cm="1">
        <f t="array" ref="N535">IF(OR(ISNUMBER(FIND(Aux!$D$3:$D$9,_xlfn.TEXTJOIN(,,C535:K535)))),NA(),IF(AND(SUM(C535:F535,H535:K535)=0,G535=1),0,INT((SUMPRODUCT(C535:F535,COLUMN($A$1:$D$1)-1)+SUMPRODUCT(H535:K535,COLUMN($E$1:$H$1)-1))*'Line Follower'!$C$3/SUM(C535:F535,H535:K535)-'Line Follower'!$C$5)))</f>
        <v>#N/A</v>
      </c>
      <c r="O535" s="22" t="e">
        <v>#N/A</v>
      </c>
      <c r="P535" s="4" t="e">
        <f t="shared" si="40"/>
        <v>#N/A</v>
      </c>
      <c r="Q535" s="4" t="e">
        <f t="shared" si="41"/>
        <v>#N/A</v>
      </c>
      <c r="R535" s="4" t="e">
        <f>IF(AND(B535=1,N535&gt;'Line Follower'!$C$7,SUM(C535:K535)&lt;4),1,0)</f>
        <v>#N/A</v>
      </c>
      <c r="S535" s="4" t="e">
        <f>IF(AND(L535=1,N535&lt;'Line Follower'!$C$6,SUM(C535:K535)&lt;4),1,0)</f>
        <v>#N/A</v>
      </c>
      <c r="T535" s="4" t="e">
        <f t="shared" si="42"/>
        <v>#N/A</v>
      </c>
      <c r="U535" s="5" t="e">
        <f t="shared" si="43"/>
        <v>#N/A</v>
      </c>
      <c r="V535" s="23" t="e">
        <f t="shared" si="44"/>
        <v>#N/A</v>
      </c>
    </row>
    <row r="536" spans="2:22" x14ac:dyDescent="0.25">
      <c r="B536" s="16">
        <v>1</v>
      </c>
      <c r="C536" s="7">
        <v>0</v>
      </c>
      <c r="D536" s="8">
        <v>1</v>
      </c>
      <c r="E536" s="8">
        <v>0</v>
      </c>
      <c r="F536" s="8">
        <v>1</v>
      </c>
      <c r="G536" s="8">
        <v>0</v>
      </c>
      <c r="H536" s="8">
        <v>0</v>
      </c>
      <c r="I536" s="8">
        <v>0</v>
      </c>
      <c r="J536" s="8">
        <v>0</v>
      </c>
      <c r="K536" s="9">
        <v>1</v>
      </c>
      <c r="L536" s="10">
        <v>0</v>
      </c>
      <c r="M536" s="6">
        <v>0</v>
      </c>
      <c r="N536" s="37" t="e" cm="1">
        <f t="array" ref="N536">IF(OR(ISNUMBER(FIND(Aux!$D$3:$D$9,_xlfn.TEXTJOIN(,,C536:K536)))),NA(),IF(AND(SUM(C536:F536,H536:K536)=0,G536=1),0,INT((SUMPRODUCT(C536:F536,COLUMN($A$1:$D$1)-1)+SUMPRODUCT(H536:K536,COLUMN($E$1:$H$1)-1))*'Line Follower'!$C$3/SUM(C536:F536,H536:K536)-'Line Follower'!$C$5)))</f>
        <v>#N/A</v>
      </c>
      <c r="O536" s="22" t="e">
        <v>#N/A</v>
      </c>
      <c r="P536" s="4" t="e">
        <f t="shared" si="40"/>
        <v>#N/A</v>
      </c>
      <c r="Q536" s="4" t="e">
        <f t="shared" si="41"/>
        <v>#N/A</v>
      </c>
      <c r="R536" s="4" t="e">
        <f>IF(AND(B536=1,N536&gt;'Line Follower'!$C$7,SUM(C536:K536)&lt;4),1,0)</f>
        <v>#N/A</v>
      </c>
      <c r="S536" s="4" t="e">
        <f>IF(AND(L536=1,N536&lt;'Line Follower'!$C$6,SUM(C536:K536)&lt;4),1,0)</f>
        <v>#N/A</v>
      </c>
      <c r="T536" s="4" t="e">
        <f t="shared" si="42"/>
        <v>#N/A</v>
      </c>
      <c r="U536" s="5" t="e">
        <f t="shared" si="43"/>
        <v>#N/A</v>
      </c>
      <c r="V536" s="23" t="e">
        <f t="shared" si="44"/>
        <v>#N/A</v>
      </c>
    </row>
    <row r="537" spans="2:22" x14ac:dyDescent="0.25">
      <c r="B537" s="16">
        <v>0</v>
      </c>
      <c r="C537" s="7">
        <v>1</v>
      </c>
      <c r="D537" s="8">
        <v>1</v>
      </c>
      <c r="E537" s="8">
        <v>0</v>
      </c>
      <c r="F537" s="8">
        <v>1</v>
      </c>
      <c r="G537" s="8">
        <v>0</v>
      </c>
      <c r="H537" s="8">
        <v>0</v>
      </c>
      <c r="I537" s="8">
        <v>0</v>
      </c>
      <c r="J537" s="8">
        <v>0</v>
      </c>
      <c r="K537" s="9">
        <v>1</v>
      </c>
      <c r="L537" s="10">
        <v>0</v>
      </c>
      <c r="M537" s="6">
        <v>0</v>
      </c>
      <c r="N537" s="37" t="e" cm="1">
        <f t="array" ref="N537">IF(OR(ISNUMBER(FIND(Aux!$D$3:$D$9,_xlfn.TEXTJOIN(,,C537:K537)))),NA(),IF(AND(SUM(C537:F537,H537:K537)=0,G537=1),0,INT((SUMPRODUCT(C537:F537,COLUMN($A$1:$D$1)-1)+SUMPRODUCT(H537:K537,COLUMN($E$1:$H$1)-1))*'Line Follower'!$C$3/SUM(C537:F537,H537:K537)-'Line Follower'!$C$5)))</f>
        <v>#N/A</v>
      </c>
      <c r="O537" s="22" t="e">
        <v>#N/A</v>
      </c>
      <c r="P537" s="4" t="e">
        <f t="shared" si="40"/>
        <v>#N/A</v>
      </c>
      <c r="Q537" s="4" t="e">
        <f t="shared" si="41"/>
        <v>#N/A</v>
      </c>
      <c r="R537" s="4" t="e">
        <f>IF(AND(B537=1,N537&gt;'Line Follower'!$C$7,SUM(C537:K537)&lt;4),1,0)</f>
        <v>#N/A</v>
      </c>
      <c r="S537" s="4" t="e">
        <f>IF(AND(L537=1,N537&lt;'Line Follower'!$C$6,SUM(C537:K537)&lt;4),1,0)</f>
        <v>#N/A</v>
      </c>
      <c r="T537" s="4" t="e">
        <f t="shared" si="42"/>
        <v>#N/A</v>
      </c>
      <c r="U537" s="5" t="e">
        <f t="shared" si="43"/>
        <v>#N/A</v>
      </c>
      <c r="V537" s="23" t="e">
        <f t="shared" si="44"/>
        <v>#N/A</v>
      </c>
    </row>
    <row r="538" spans="2:22" x14ac:dyDescent="0.25">
      <c r="B538" s="16">
        <v>1</v>
      </c>
      <c r="C538" s="7">
        <v>1</v>
      </c>
      <c r="D538" s="8">
        <v>1</v>
      </c>
      <c r="E538" s="8">
        <v>0</v>
      </c>
      <c r="F538" s="8">
        <v>1</v>
      </c>
      <c r="G538" s="8">
        <v>0</v>
      </c>
      <c r="H538" s="8">
        <v>0</v>
      </c>
      <c r="I538" s="8">
        <v>0</v>
      </c>
      <c r="J538" s="8">
        <v>0</v>
      </c>
      <c r="K538" s="9">
        <v>1</v>
      </c>
      <c r="L538" s="10">
        <v>0</v>
      </c>
      <c r="M538" s="6">
        <v>0</v>
      </c>
      <c r="N538" s="37" t="e" cm="1">
        <f t="array" ref="N538">IF(OR(ISNUMBER(FIND(Aux!$D$3:$D$9,_xlfn.TEXTJOIN(,,C538:K538)))),NA(),IF(AND(SUM(C538:F538,H538:K538)=0,G538=1),0,INT((SUMPRODUCT(C538:F538,COLUMN($A$1:$D$1)-1)+SUMPRODUCT(H538:K538,COLUMN($E$1:$H$1)-1))*'Line Follower'!$C$3/SUM(C538:F538,H538:K538)-'Line Follower'!$C$5)))</f>
        <v>#N/A</v>
      </c>
      <c r="O538" s="22" t="e">
        <v>#N/A</v>
      </c>
      <c r="P538" s="4" t="e">
        <f t="shared" si="40"/>
        <v>#N/A</v>
      </c>
      <c r="Q538" s="4" t="e">
        <f t="shared" si="41"/>
        <v>#N/A</v>
      </c>
      <c r="R538" s="4" t="e">
        <f>IF(AND(B538=1,N538&gt;'Line Follower'!$C$7,SUM(C538:K538)&lt;4),1,0)</f>
        <v>#N/A</v>
      </c>
      <c r="S538" s="4" t="e">
        <f>IF(AND(L538=1,N538&lt;'Line Follower'!$C$6,SUM(C538:K538)&lt;4),1,0)</f>
        <v>#N/A</v>
      </c>
      <c r="T538" s="4" t="e">
        <f t="shared" si="42"/>
        <v>#N/A</v>
      </c>
      <c r="U538" s="5" t="e">
        <f t="shared" si="43"/>
        <v>#N/A</v>
      </c>
      <c r="V538" s="23" t="e">
        <f t="shared" si="44"/>
        <v>#N/A</v>
      </c>
    </row>
    <row r="539" spans="2:22" x14ac:dyDescent="0.25">
      <c r="B539" s="16">
        <v>0</v>
      </c>
      <c r="C539" s="7">
        <v>0</v>
      </c>
      <c r="D539" s="8">
        <v>0</v>
      </c>
      <c r="E539" s="8">
        <v>1</v>
      </c>
      <c r="F539" s="8">
        <v>1</v>
      </c>
      <c r="G539" s="8">
        <v>0</v>
      </c>
      <c r="H539" s="8">
        <v>0</v>
      </c>
      <c r="I539" s="8">
        <v>0</v>
      </c>
      <c r="J539" s="8">
        <v>0</v>
      </c>
      <c r="K539" s="9">
        <v>1</v>
      </c>
      <c r="L539" s="10">
        <v>0</v>
      </c>
      <c r="M539" s="6">
        <v>0</v>
      </c>
      <c r="N539" s="37" t="e" cm="1">
        <f t="array" ref="N539">IF(OR(ISNUMBER(FIND(Aux!$D$3:$D$9,_xlfn.TEXTJOIN(,,C539:K539)))),NA(),IF(AND(SUM(C539:F539,H539:K539)=0,G539=1),0,INT((SUMPRODUCT(C539:F539,COLUMN($A$1:$D$1)-1)+SUMPRODUCT(H539:K539,COLUMN($E$1:$H$1)-1))*'Line Follower'!$C$3/SUM(C539:F539,H539:K539)-'Line Follower'!$C$5)))</f>
        <v>#N/A</v>
      </c>
      <c r="O539" s="22" t="e">
        <v>#N/A</v>
      </c>
      <c r="P539" s="4" t="e">
        <f t="shared" si="40"/>
        <v>#N/A</v>
      </c>
      <c r="Q539" s="4" t="e">
        <f t="shared" si="41"/>
        <v>#N/A</v>
      </c>
      <c r="R539" s="4" t="e">
        <f>IF(AND(B539=1,N539&gt;'Line Follower'!$C$7,SUM(C539:K539)&lt;4),1,0)</f>
        <v>#N/A</v>
      </c>
      <c r="S539" s="4" t="e">
        <f>IF(AND(L539=1,N539&lt;'Line Follower'!$C$6,SUM(C539:K539)&lt;4),1,0)</f>
        <v>#N/A</v>
      </c>
      <c r="T539" s="4" t="e">
        <f t="shared" si="42"/>
        <v>#N/A</v>
      </c>
      <c r="U539" s="5" t="e">
        <f t="shared" si="43"/>
        <v>#N/A</v>
      </c>
      <c r="V539" s="23" t="e">
        <f t="shared" si="44"/>
        <v>#N/A</v>
      </c>
    </row>
    <row r="540" spans="2:22" x14ac:dyDescent="0.25">
      <c r="B540" s="16">
        <v>1</v>
      </c>
      <c r="C540" s="7">
        <v>0</v>
      </c>
      <c r="D540" s="8">
        <v>0</v>
      </c>
      <c r="E540" s="8">
        <v>1</v>
      </c>
      <c r="F540" s="8">
        <v>1</v>
      </c>
      <c r="G540" s="8">
        <v>0</v>
      </c>
      <c r="H540" s="8">
        <v>0</v>
      </c>
      <c r="I540" s="8">
        <v>0</v>
      </c>
      <c r="J540" s="8">
        <v>0</v>
      </c>
      <c r="K540" s="9">
        <v>1</v>
      </c>
      <c r="L540" s="10">
        <v>0</v>
      </c>
      <c r="M540" s="6">
        <v>0</v>
      </c>
      <c r="N540" s="37" t="e" cm="1">
        <f t="array" ref="N540">IF(OR(ISNUMBER(FIND(Aux!$D$3:$D$9,_xlfn.TEXTJOIN(,,C540:K540)))),NA(),IF(AND(SUM(C540:F540,H540:K540)=0,G540=1),0,INT((SUMPRODUCT(C540:F540,COLUMN($A$1:$D$1)-1)+SUMPRODUCT(H540:K540,COLUMN($E$1:$H$1)-1))*'Line Follower'!$C$3/SUM(C540:F540,H540:K540)-'Line Follower'!$C$5)))</f>
        <v>#N/A</v>
      </c>
      <c r="O540" s="22" t="e">
        <v>#N/A</v>
      </c>
      <c r="P540" s="4" t="e">
        <f t="shared" si="40"/>
        <v>#N/A</v>
      </c>
      <c r="Q540" s="4" t="e">
        <f t="shared" si="41"/>
        <v>#N/A</v>
      </c>
      <c r="R540" s="4" t="e">
        <f>IF(AND(B540=1,N540&gt;'Line Follower'!$C$7,SUM(C540:K540)&lt;4),1,0)</f>
        <v>#N/A</v>
      </c>
      <c r="S540" s="4" t="e">
        <f>IF(AND(L540=1,N540&lt;'Line Follower'!$C$6,SUM(C540:K540)&lt;4),1,0)</f>
        <v>#N/A</v>
      </c>
      <c r="T540" s="4" t="e">
        <f t="shared" si="42"/>
        <v>#N/A</v>
      </c>
      <c r="U540" s="5" t="e">
        <f t="shared" si="43"/>
        <v>#N/A</v>
      </c>
      <c r="V540" s="23" t="e">
        <f t="shared" si="44"/>
        <v>#N/A</v>
      </c>
    </row>
    <row r="541" spans="2:22" x14ac:dyDescent="0.25">
      <c r="B541" s="16">
        <v>0</v>
      </c>
      <c r="C541" s="7">
        <v>1</v>
      </c>
      <c r="D541" s="8">
        <v>0</v>
      </c>
      <c r="E541" s="8">
        <v>1</v>
      </c>
      <c r="F541" s="8">
        <v>1</v>
      </c>
      <c r="G541" s="8">
        <v>0</v>
      </c>
      <c r="H541" s="8">
        <v>0</v>
      </c>
      <c r="I541" s="8">
        <v>0</v>
      </c>
      <c r="J541" s="8">
        <v>0</v>
      </c>
      <c r="K541" s="9">
        <v>1</v>
      </c>
      <c r="L541" s="10">
        <v>0</v>
      </c>
      <c r="M541" s="6">
        <v>0</v>
      </c>
      <c r="N541" s="37" t="e" cm="1">
        <f t="array" ref="N541">IF(OR(ISNUMBER(FIND(Aux!$D$3:$D$9,_xlfn.TEXTJOIN(,,C541:K541)))),NA(),IF(AND(SUM(C541:F541,H541:K541)=0,G541=1),0,INT((SUMPRODUCT(C541:F541,COLUMN($A$1:$D$1)-1)+SUMPRODUCT(H541:K541,COLUMN($E$1:$H$1)-1))*'Line Follower'!$C$3/SUM(C541:F541,H541:K541)-'Line Follower'!$C$5)))</f>
        <v>#N/A</v>
      </c>
      <c r="O541" s="22" t="e">
        <v>#N/A</v>
      </c>
      <c r="P541" s="4" t="e">
        <f t="shared" si="40"/>
        <v>#N/A</v>
      </c>
      <c r="Q541" s="4" t="e">
        <f t="shared" si="41"/>
        <v>#N/A</v>
      </c>
      <c r="R541" s="4" t="e">
        <f>IF(AND(B541=1,N541&gt;'Line Follower'!$C$7,SUM(C541:K541)&lt;4),1,0)</f>
        <v>#N/A</v>
      </c>
      <c r="S541" s="4" t="e">
        <f>IF(AND(L541=1,N541&lt;'Line Follower'!$C$6,SUM(C541:K541)&lt;4),1,0)</f>
        <v>#N/A</v>
      </c>
      <c r="T541" s="4" t="e">
        <f t="shared" si="42"/>
        <v>#N/A</v>
      </c>
      <c r="U541" s="5" t="e">
        <f t="shared" si="43"/>
        <v>#N/A</v>
      </c>
      <c r="V541" s="23" t="e">
        <f t="shared" si="44"/>
        <v>#N/A</v>
      </c>
    </row>
    <row r="542" spans="2:22" x14ac:dyDescent="0.25">
      <c r="B542" s="16">
        <v>1</v>
      </c>
      <c r="C542" s="7">
        <v>1</v>
      </c>
      <c r="D542" s="8">
        <v>0</v>
      </c>
      <c r="E542" s="8">
        <v>1</v>
      </c>
      <c r="F542" s="8">
        <v>1</v>
      </c>
      <c r="G542" s="8">
        <v>0</v>
      </c>
      <c r="H542" s="8">
        <v>0</v>
      </c>
      <c r="I542" s="8">
        <v>0</v>
      </c>
      <c r="J542" s="8">
        <v>0</v>
      </c>
      <c r="K542" s="9">
        <v>1</v>
      </c>
      <c r="L542" s="10">
        <v>0</v>
      </c>
      <c r="M542" s="6">
        <v>0</v>
      </c>
      <c r="N542" s="37" t="e" cm="1">
        <f t="array" ref="N542">IF(OR(ISNUMBER(FIND(Aux!$D$3:$D$9,_xlfn.TEXTJOIN(,,C542:K542)))),NA(),IF(AND(SUM(C542:F542,H542:K542)=0,G542=1),0,INT((SUMPRODUCT(C542:F542,COLUMN($A$1:$D$1)-1)+SUMPRODUCT(H542:K542,COLUMN($E$1:$H$1)-1))*'Line Follower'!$C$3/SUM(C542:F542,H542:K542)-'Line Follower'!$C$5)))</f>
        <v>#N/A</v>
      </c>
      <c r="O542" s="22" t="e">
        <v>#N/A</v>
      </c>
      <c r="P542" s="4" t="e">
        <f t="shared" si="40"/>
        <v>#N/A</v>
      </c>
      <c r="Q542" s="4" t="e">
        <f t="shared" si="41"/>
        <v>#N/A</v>
      </c>
      <c r="R542" s="4" t="e">
        <f>IF(AND(B542=1,N542&gt;'Line Follower'!$C$7,SUM(C542:K542)&lt;4),1,0)</f>
        <v>#N/A</v>
      </c>
      <c r="S542" s="4" t="e">
        <f>IF(AND(L542=1,N542&lt;'Line Follower'!$C$6,SUM(C542:K542)&lt;4),1,0)</f>
        <v>#N/A</v>
      </c>
      <c r="T542" s="4" t="e">
        <f t="shared" si="42"/>
        <v>#N/A</v>
      </c>
      <c r="U542" s="5" t="e">
        <f t="shared" si="43"/>
        <v>#N/A</v>
      </c>
      <c r="V542" s="23" t="e">
        <f t="shared" si="44"/>
        <v>#N/A</v>
      </c>
    </row>
    <row r="543" spans="2:22" x14ac:dyDescent="0.25">
      <c r="B543" s="16">
        <v>0</v>
      </c>
      <c r="C543" s="7">
        <v>0</v>
      </c>
      <c r="D543" s="8">
        <v>1</v>
      </c>
      <c r="E543" s="8">
        <v>1</v>
      </c>
      <c r="F543" s="8">
        <v>1</v>
      </c>
      <c r="G543" s="8">
        <v>0</v>
      </c>
      <c r="H543" s="8">
        <v>0</v>
      </c>
      <c r="I543" s="8">
        <v>0</v>
      </c>
      <c r="J543" s="8">
        <v>0</v>
      </c>
      <c r="K543" s="9">
        <v>1</v>
      </c>
      <c r="L543" s="10">
        <v>0</v>
      </c>
      <c r="M543" s="6">
        <v>0</v>
      </c>
      <c r="N543" s="37" t="e" cm="1">
        <f t="array" ref="N543">IF(OR(ISNUMBER(FIND(Aux!$D$3:$D$9,_xlfn.TEXTJOIN(,,C543:K543)))),NA(),IF(AND(SUM(C543:F543,H543:K543)=0,G543=1),0,INT((SUMPRODUCT(C543:F543,COLUMN($A$1:$D$1)-1)+SUMPRODUCT(H543:K543,COLUMN($E$1:$H$1)-1))*'Line Follower'!$C$3/SUM(C543:F543,H543:K543)-'Line Follower'!$C$5)))</f>
        <v>#N/A</v>
      </c>
      <c r="O543" s="22" t="e">
        <v>#N/A</v>
      </c>
      <c r="P543" s="4" t="e">
        <f t="shared" si="40"/>
        <v>#N/A</v>
      </c>
      <c r="Q543" s="4" t="e">
        <f t="shared" si="41"/>
        <v>#N/A</v>
      </c>
      <c r="R543" s="4" t="e">
        <f>IF(AND(B543=1,N543&gt;'Line Follower'!$C$7,SUM(C543:K543)&lt;4),1,0)</f>
        <v>#N/A</v>
      </c>
      <c r="S543" s="4" t="e">
        <f>IF(AND(L543=1,N543&lt;'Line Follower'!$C$6,SUM(C543:K543)&lt;4),1,0)</f>
        <v>#N/A</v>
      </c>
      <c r="T543" s="4" t="e">
        <f t="shared" si="42"/>
        <v>#N/A</v>
      </c>
      <c r="U543" s="5" t="e">
        <f t="shared" si="43"/>
        <v>#N/A</v>
      </c>
      <c r="V543" s="23" t="e">
        <f t="shared" si="44"/>
        <v>#N/A</v>
      </c>
    </row>
    <row r="544" spans="2:22" x14ac:dyDescent="0.25">
      <c r="B544" s="16">
        <v>1</v>
      </c>
      <c r="C544" s="7">
        <v>0</v>
      </c>
      <c r="D544" s="8">
        <v>1</v>
      </c>
      <c r="E544" s="8">
        <v>1</v>
      </c>
      <c r="F544" s="8">
        <v>1</v>
      </c>
      <c r="G544" s="8">
        <v>0</v>
      </c>
      <c r="H544" s="8">
        <v>0</v>
      </c>
      <c r="I544" s="8">
        <v>0</v>
      </c>
      <c r="J544" s="8">
        <v>0</v>
      </c>
      <c r="K544" s="9">
        <v>1</v>
      </c>
      <c r="L544" s="10">
        <v>0</v>
      </c>
      <c r="M544" s="6">
        <v>0</v>
      </c>
      <c r="N544" s="37" t="e" cm="1">
        <f t="array" ref="N544">IF(OR(ISNUMBER(FIND(Aux!$D$3:$D$9,_xlfn.TEXTJOIN(,,C544:K544)))),NA(),IF(AND(SUM(C544:F544,H544:K544)=0,G544=1),0,INT((SUMPRODUCT(C544:F544,COLUMN($A$1:$D$1)-1)+SUMPRODUCT(H544:K544,COLUMN($E$1:$H$1)-1))*'Line Follower'!$C$3/SUM(C544:F544,H544:K544)-'Line Follower'!$C$5)))</f>
        <v>#N/A</v>
      </c>
      <c r="O544" s="22" t="e">
        <v>#N/A</v>
      </c>
      <c r="P544" s="4" t="e">
        <f t="shared" si="40"/>
        <v>#N/A</v>
      </c>
      <c r="Q544" s="4" t="e">
        <f t="shared" si="41"/>
        <v>#N/A</v>
      </c>
      <c r="R544" s="4" t="e">
        <f>IF(AND(B544=1,N544&gt;'Line Follower'!$C$7,SUM(C544:K544)&lt;4),1,0)</f>
        <v>#N/A</v>
      </c>
      <c r="S544" s="4" t="e">
        <f>IF(AND(L544=1,N544&lt;'Line Follower'!$C$6,SUM(C544:K544)&lt;4),1,0)</f>
        <v>#N/A</v>
      </c>
      <c r="T544" s="4" t="e">
        <f t="shared" si="42"/>
        <v>#N/A</v>
      </c>
      <c r="U544" s="5" t="e">
        <f t="shared" si="43"/>
        <v>#N/A</v>
      </c>
      <c r="V544" s="23" t="e">
        <f t="shared" si="44"/>
        <v>#N/A</v>
      </c>
    </row>
    <row r="545" spans="2:22" x14ac:dyDescent="0.25">
      <c r="B545" s="16">
        <v>0</v>
      </c>
      <c r="C545" s="7">
        <v>1</v>
      </c>
      <c r="D545" s="8">
        <v>1</v>
      </c>
      <c r="E545" s="8">
        <v>1</v>
      </c>
      <c r="F545" s="8">
        <v>1</v>
      </c>
      <c r="G545" s="8">
        <v>0</v>
      </c>
      <c r="H545" s="8">
        <v>0</v>
      </c>
      <c r="I545" s="8">
        <v>0</v>
      </c>
      <c r="J545" s="8">
        <v>0</v>
      </c>
      <c r="K545" s="9">
        <v>1</v>
      </c>
      <c r="L545" s="10">
        <v>0</v>
      </c>
      <c r="M545" s="6">
        <v>0</v>
      </c>
      <c r="N545" s="37" t="e" cm="1">
        <f t="array" ref="N545">IF(OR(ISNUMBER(FIND(Aux!$D$3:$D$9,_xlfn.TEXTJOIN(,,C545:K545)))),NA(),IF(AND(SUM(C545:F545,H545:K545)=0,G545=1),0,INT((SUMPRODUCT(C545:F545,COLUMN($A$1:$D$1)-1)+SUMPRODUCT(H545:K545,COLUMN($E$1:$H$1)-1))*'Line Follower'!$C$3/SUM(C545:F545,H545:K545)-'Line Follower'!$C$5)))</f>
        <v>#N/A</v>
      </c>
      <c r="O545" s="22" t="e">
        <v>#N/A</v>
      </c>
      <c r="P545" s="4" t="e">
        <f t="shared" si="40"/>
        <v>#N/A</v>
      </c>
      <c r="Q545" s="4" t="e">
        <f t="shared" si="41"/>
        <v>#N/A</v>
      </c>
      <c r="R545" s="4" t="e">
        <f>IF(AND(B545=1,N545&gt;'Line Follower'!$C$7,SUM(C545:K545)&lt;4),1,0)</f>
        <v>#N/A</v>
      </c>
      <c r="S545" s="4" t="e">
        <f>IF(AND(L545=1,N545&lt;'Line Follower'!$C$6,SUM(C545:K545)&lt;4),1,0)</f>
        <v>#N/A</v>
      </c>
      <c r="T545" s="4" t="e">
        <f t="shared" si="42"/>
        <v>#N/A</v>
      </c>
      <c r="U545" s="5" t="e">
        <f t="shared" si="43"/>
        <v>#N/A</v>
      </c>
      <c r="V545" s="23" t="e">
        <f t="shared" si="44"/>
        <v>#N/A</v>
      </c>
    </row>
    <row r="546" spans="2:22" x14ac:dyDescent="0.25">
      <c r="B546" s="16">
        <v>1</v>
      </c>
      <c r="C546" s="7">
        <v>1</v>
      </c>
      <c r="D546" s="8">
        <v>1</v>
      </c>
      <c r="E546" s="8">
        <v>1</v>
      </c>
      <c r="F546" s="8">
        <v>1</v>
      </c>
      <c r="G546" s="8">
        <v>0</v>
      </c>
      <c r="H546" s="8">
        <v>0</v>
      </c>
      <c r="I546" s="8">
        <v>0</v>
      </c>
      <c r="J546" s="8">
        <v>0</v>
      </c>
      <c r="K546" s="9">
        <v>1</v>
      </c>
      <c r="L546" s="10">
        <v>0</v>
      </c>
      <c r="M546" s="6">
        <v>0</v>
      </c>
      <c r="N546" s="37" t="e" cm="1">
        <f t="array" ref="N546">IF(OR(ISNUMBER(FIND(Aux!$D$3:$D$9,_xlfn.TEXTJOIN(,,C546:K546)))),NA(),IF(AND(SUM(C546:F546,H546:K546)=0,G546=1),0,INT((SUMPRODUCT(C546:F546,COLUMN($A$1:$D$1)-1)+SUMPRODUCT(H546:K546,COLUMN($E$1:$H$1)-1))*'Line Follower'!$C$3/SUM(C546:F546,H546:K546)-'Line Follower'!$C$5)))</f>
        <v>#N/A</v>
      </c>
      <c r="O546" s="22" t="e">
        <v>#N/A</v>
      </c>
      <c r="P546" s="4" t="e">
        <f t="shared" si="40"/>
        <v>#N/A</v>
      </c>
      <c r="Q546" s="4" t="e">
        <f t="shared" si="41"/>
        <v>#N/A</v>
      </c>
      <c r="R546" s="4" t="e">
        <f>IF(AND(B546=1,N546&gt;'Line Follower'!$C$7,SUM(C546:K546)&lt;4),1,0)</f>
        <v>#N/A</v>
      </c>
      <c r="S546" s="4" t="e">
        <f>IF(AND(L546=1,N546&lt;'Line Follower'!$C$6,SUM(C546:K546)&lt;4),1,0)</f>
        <v>#N/A</v>
      </c>
      <c r="T546" s="4" t="e">
        <f t="shared" si="42"/>
        <v>#N/A</v>
      </c>
      <c r="U546" s="5" t="e">
        <f t="shared" si="43"/>
        <v>#N/A</v>
      </c>
      <c r="V546" s="23" t="e">
        <f t="shared" si="44"/>
        <v>#N/A</v>
      </c>
    </row>
    <row r="547" spans="2:22" x14ac:dyDescent="0.25">
      <c r="B547" s="16">
        <v>0</v>
      </c>
      <c r="C547" s="7">
        <v>0</v>
      </c>
      <c r="D547" s="8">
        <v>0</v>
      </c>
      <c r="E547" s="8">
        <v>0</v>
      </c>
      <c r="F547" s="8">
        <v>0</v>
      </c>
      <c r="G547" s="8">
        <v>1</v>
      </c>
      <c r="H547" s="8">
        <v>0</v>
      </c>
      <c r="I547" s="8">
        <v>0</v>
      </c>
      <c r="J547" s="8">
        <v>0</v>
      </c>
      <c r="K547" s="9">
        <v>1</v>
      </c>
      <c r="L547" s="10">
        <v>0</v>
      </c>
      <c r="M547" s="6">
        <v>0</v>
      </c>
      <c r="N547" s="37" t="e" cm="1">
        <f t="array" ref="N547">IF(OR(ISNUMBER(FIND(Aux!$D$3:$D$9,_xlfn.TEXTJOIN(,,C547:K547)))),NA(),IF(AND(SUM(C547:F547,H547:K547)=0,G547=1),0,INT((SUMPRODUCT(C547:F547,COLUMN($A$1:$D$1)-1)+SUMPRODUCT(H547:K547,COLUMN($E$1:$H$1)-1))*'Line Follower'!$C$3/SUM(C547:F547,H547:K547)-'Line Follower'!$C$5)))</f>
        <v>#N/A</v>
      </c>
      <c r="O547" s="22" t="e">
        <v>#N/A</v>
      </c>
      <c r="P547" s="4" t="e">
        <f t="shared" si="40"/>
        <v>#N/A</v>
      </c>
      <c r="Q547" s="4" t="e">
        <f t="shared" si="41"/>
        <v>#N/A</v>
      </c>
      <c r="R547" s="4" t="e">
        <f>IF(AND(B547=1,N547&gt;'Line Follower'!$C$7,SUM(C547:K547)&lt;4),1,0)</f>
        <v>#N/A</v>
      </c>
      <c r="S547" s="4" t="e">
        <f>IF(AND(L547=1,N547&lt;'Line Follower'!$C$6,SUM(C547:K547)&lt;4),1,0)</f>
        <v>#N/A</v>
      </c>
      <c r="T547" s="4" t="e">
        <f t="shared" si="42"/>
        <v>#N/A</v>
      </c>
      <c r="U547" s="5" t="e">
        <f t="shared" si="43"/>
        <v>#N/A</v>
      </c>
      <c r="V547" s="23" t="e">
        <f t="shared" si="44"/>
        <v>#N/A</v>
      </c>
    </row>
    <row r="548" spans="2:22" x14ac:dyDescent="0.25">
      <c r="B548" s="16">
        <v>1</v>
      </c>
      <c r="C548" s="7">
        <v>0</v>
      </c>
      <c r="D548" s="8">
        <v>0</v>
      </c>
      <c r="E548" s="8">
        <v>0</v>
      </c>
      <c r="F548" s="8">
        <v>0</v>
      </c>
      <c r="G548" s="8">
        <v>1</v>
      </c>
      <c r="H548" s="8">
        <v>0</v>
      </c>
      <c r="I548" s="8">
        <v>0</v>
      </c>
      <c r="J548" s="8">
        <v>0</v>
      </c>
      <c r="K548" s="9">
        <v>1</v>
      </c>
      <c r="L548" s="10">
        <v>0</v>
      </c>
      <c r="M548" s="6">
        <v>0</v>
      </c>
      <c r="N548" s="37" t="e" cm="1">
        <f t="array" ref="N548">IF(OR(ISNUMBER(FIND(Aux!$D$3:$D$9,_xlfn.TEXTJOIN(,,C548:K548)))),NA(),IF(AND(SUM(C548:F548,H548:K548)=0,G548=1),0,INT((SUMPRODUCT(C548:F548,COLUMN($A$1:$D$1)-1)+SUMPRODUCT(H548:K548,COLUMN($E$1:$H$1)-1))*'Line Follower'!$C$3/SUM(C548:F548,H548:K548)-'Line Follower'!$C$5)))</f>
        <v>#N/A</v>
      </c>
      <c r="O548" s="22" t="e">
        <v>#N/A</v>
      </c>
      <c r="P548" s="4" t="e">
        <f t="shared" si="40"/>
        <v>#N/A</v>
      </c>
      <c r="Q548" s="4" t="e">
        <f t="shared" si="41"/>
        <v>#N/A</v>
      </c>
      <c r="R548" s="4" t="e">
        <f>IF(AND(B548=1,N548&gt;'Line Follower'!$C$7,SUM(C548:K548)&lt;4),1,0)</f>
        <v>#N/A</v>
      </c>
      <c r="S548" s="4" t="e">
        <f>IF(AND(L548=1,N548&lt;'Line Follower'!$C$6,SUM(C548:K548)&lt;4),1,0)</f>
        <v>#N/A</v>
      </c>
      <c r="T548" s="4" t="e">
        <f t="shared" si="42"/>
        <v>#N/A</v>
      </c>
      <c r="U548" s="5" t="e">
        <f t="shared" si="43"/>
        <v>#N/A</v>
      </c>
      <c r="V548" s="23" t="e">
        <f t="shared" si="44"/>
        <v>#N/A</v>
      </c>
    </row>
    <row r="549" spans="2:22" x14ac:dyDescent="0.25">
      <c r="B549" s="16">
        <v>0</v>
      </c>
      <c r="C549" s="7">
        <v>1</v>
      </c>
      <c r="D549" s="8">
        <v>0</v>
      </c>
      <c r="E549" s="8">
        <v>0</v>
      </c>
      <c r="F549" s="8">
        <v>0</v>
      </c>
      <c r="G549" s="8">
        <v>1</v>
      </c>
      <c r="H549" s="8">
        <v>0</v>
      </c>
      <c r="I549" s="8">
        <v>0</v>
      </c>
      <c r="J549" s="8">
        <v>0</v>
      </c>
      <c r="K549" s="9">
        <v>1</v>
      </c>
      <c r="L549" s="10">
        <v>0</v>
      </c>
      <c r="M549" s="6">
        <v>0</v>
      </c>
      <c r="N549" s="37" t="e" cm="1">
        <f t="array" ref="N549">IF(OR(ISNUMBER(FIND(Aux!$D$3:$D$9,_xlfn.TEXTJOIN(,,C549:K549)))),NA(),IF(AND(SUM(C549:F549,H549:K549)=0,G549=1),0,INT((SUMPRODUCT(C549:F549,COLUMN($A$1:$D$1)-1)+SUMPRODUCT(H549:K549,COLUMN($E$1:$H$1)-1))*'Line Follower'!$C$3/SUM(C549:F549,H549:K549)-'Line Follower'!$C$5)))</f>
        <v>#N/A</v>
      </c>
      <c r="O549" s="22" t="e">
        <v>#N/A</v>
      </c>
      <c r="P549" s="4" t="e">
        <f t="shared" si="40"/>
        <v>#N/A</v>
      </c>
      <c r="Q549" s="4" t="e">
        <f t="shared" si="41"/>
        <v>#N/A</v>
      </c>
      <c r="R549" s="4" t="e">
        <f>IF(AND(B549=1,N549&gt;'Line Follower'!$C$7,SUM(C549:K549)&lt;4),1,0)</f>
        <v>#N/A</v>
      </c>
      <c r="S549" s="4" t="e">
        <f>IF(AND(L549=1,N549&lt;'Line Follower'!$C$6,SUM(C549:K549)&lt;4),1,0)</f>
        <v>#N/A</v>
      </c>
      <c r="T549" s="4" t="e">
        <f t="shared" si="42"/>
        <v>#N/A</v>
      </c>
      <c r="U549" s="5" t="e">
        <f t="shared" si="43"/>
        <v>#N/A</v>
      </c>
      <c r="V549" s="23" t="e">
        <f t="shared" si="44"/>
        <v>#N/A</v>
      </c>
    </row>
    <row r="550" spans="2:22" x14ac:dyDescent="0.25">
      <c r="B550" s="16">
        <v>1</v>
      </c>
      <c r="C550" s="7">
        <v>1</v>
      </c>
      <c r="D550" s="8">
        <v>0</v>
      </c>
      <c r="E550" s="8">
        <v>0</v>
      </c>
      <c r="F550" s="8">
        <v>0</v>
      </c>
      <c r="G550" s="8">
        <v>1</v>
      </c>
      <c r="H550" s="8">
        <v>0</v>
      </c>
      <c r="I550" s="8">
        <v>0</v>
      </c>
      <c r="J550" s="8">
        <v>0</v>
      </c>
      <c r="K550" s="9">
        <v>1</v>
      </c>
      <c r="L550" s="10">
        <v>0</v>
      </c>
      <c r="M550" s="6">
        <v>0</v>
      </c>
      <c r="N550" s="37" t="e" cm="1">
        <f t="array" ref="N550">IF(OR(ISNUMBER(FIND(Aux!$D$3:$D$9,_xlfn.TEXTJOIN(,,C550:K550)))),NA(),IF(AND(SUM(C550:F550,H550:K550)=0,G550=1),0,INT((SUMPRODUCT(C550:F550,COLUMN($A$1:$D$1)-1)+SUMPRODUCT(H550:K550,COLUMN($E$1:$H$1)-1))*'Line Follower'!$C$3/SUM(C550:F550,H550:K550)-'Line Follower'!$C$5)))</f>
        <v>#N/A</v>
      </c>
      <c r="O550" s="22" t="e">
        <v>#N/A</v>
      </c>
      <c r="P550" s="4" t="e">
        <f t="shared" si="40"/>
        <v>#N/A</v>
      </c>
      <c r="Q550" s="4" t="e">
        <f t="shared" si="41"/>
        <v>#N/A</v>
      </c>
      <c r="R550" s="4" t="e">
        <f>IF(AND(B550=1,N550&gt;'Line Follower'!$C$7,SUM(C550:K550)&lt;4),1,0)</f>
        <v>#N/A</v>
      </c>
      <c r="S550" s="4" t="e">
        <f>IF(AND(L550=1,N550&lt;'Line Follower'!$C$6,SUM(C550:K550)&lt;4),1,0)</f>
        <v>#N/A</v>
      </c>
      <c r="T550" s="4" t="e">
        <f t="shared" si="42"/>
        <v>#N/A</v>
      </c>
      <c r="U550" s="5" t="e">
        <f t="shared" si="43"/>
        <v>#N/A</v>
      </c>
      <c r="V550" s="23" t="e">
        <f t="shared" si="44"/>
        <v>#N/A</v>
      </c>
    </row>
    <row r="551" spans="2:22" x14ac:dyDescent="0.25">
      <c r="B551" s="16">
        <v>0</v>
      </c>
      <c r="C551" s="7">
        <v>0</v>
      </c>
      <c r="D551" s="8">
        <v>1</v>
      </c>
      <c r="E551" s="8">
        <v>0</v>
      </c>
      <c r="F551" s="8">
        <v>0</v>
      </c>
      <c r="G551" s="8">
        <v>1</v>
      </c>
      <c r="H551" s="8">
        <v>0</v>
      </c>
      <c r="I551" s="8">
        <v>0</v>
      </c>
      <c r="J551" s="8">
        <v>0</v>
      </c>
      <c r="K551" s="9">
        <v>1</v>
      </c>
      <c r="L551" s="10">
        <v>0</v>
      </c>
      <c r="M551" s="6">
        <v>0</v>
      </c>
      <c r="N551" s="37" t="e" cm="1">
        <f t="array" ref="N551">IF(OR(ISNUMBER(FIND(Aux!$D$3:$D$9,_xlfn.TEXTJOIN(,,C551:K551)))),NA(),IF(AND(SUM(C551:F551,H551:K551)=0,G551=1),0,INT((SUMPRODUCT(C551:F551,COLUMN($A$1:$D$1)-1)+SUMPRODUCT(H551:K551,COLUMN($E$1:$H$1)-1))*'Line Follower'!$C$3/SUM(C551:F551,H551:K551)-'Line Follower'!$C$5)))</f>
        <v>#N/A</v>
      </c>
      <c r="O551" s="22" t="e">
        <v>#N/A</v>
      </c>
      <c r="P551" s="4" t="e">
        <f t="shared" si="40"/>
        <v>#N/A</v>
      </c>
      <c r="Q551" s="4" t="e">
        <f t="shared" si="41"/>
        <v>#N/A</v>
      </c>
      <c r="R551" s="4" t="e">
        <f>IF(AND(B551=1,N551&gt;'Line Follower'!$C$7,SUM(C551:K551)&lt;4),1,0)</f>
        <v>#N/A</v>
      </c>
      <c r="S551" s="4" t="e">
        <f>IF(AND(L551=1,N551&lt;'Line Follower'!$C$6,SUM(C551:K551)&lt;4),1,0)</f>
        <v>#N/A</v>
      </c>
      <c r="T551" s="4" t="e">
        <f t="shared" si="42"/>
        <v>#N/A</v>
      </c>
      <c r="U551" s="5" t="e">
        <f t="shared" si="43"/>
        <v>#N/A</v>
      </c>
      <c r="V551" s="23" t="e">
        <f t="shared" si="44"/>
        <v>#N/A</v>
      </c>
    </row>
    <row r="552" spans="2:22" x14ac:dyDescent="0.25">
      <c r="B552" s="16">
        <v>1</v>
      </c>
      <c r="C552" s="7">
        <v>0</v>
      </c>
      <c r="D552" s="8">
        <v>1</v>
      </c>
      <c r="E552" s="8">
        <v>0</v>
      </c>
      <c r="F552" s="8">
        <v>0</v>
      </c>
      <c r="G552" s="8">
        <v>1</v>
      </c>
      <c r="H552" s="8">
        <v>0</v>
      </c>
      <c r="I552" s="8">
        <v>0</v>
      </c>
      <c r="J552" s="8">
        <v>0</v>
      </c>
      <c r="K552" s="9">
        <v>1</v>
      </c>
      <c r="L552" s="10">
        <v>0</v>
      </c>
      <c r="M552" s="6">
        <v>0</v>
      </c>
      <c r="N552" s="37" t="e" cm="1">
        <f t="array" ref="N552">IF(OR(ISNUMBER(FIND(Aux!$D$3:$D$9,_xlfn.TEXTJOIN(,,C552:K552)))),NA(),IF(AND(SUM(C552:F552,H552:K552)=0,G552=1),0,INT((SUMPRODUCT(C552:F552,COLUMN($A$1:$D$1)-1)+SUMPRODUCT(H552:K552,COLUMN($E$1:$H$1)-1))*'Line Follower'!$C$3/SUM(C552:F552,H552:K552)-'Line Follower'!$C$5)))</f>
        <v>#N/A</v>
      </c>
      <c r="O552" s="22" t="e">
        <v>#N/A</v>
      </c>
      <c r="P552" s="4" t="e">
        <f t="shared" si="40"/>
        <v>#N/A</v>
      </c>
      <c r="Q552" s="4" t="e">
        <f t="shared" si="41"/>
        <v>#N/A</v>
      </c>
      <c r="R552" s="4" t="e">
        <f>IF(AND(B552=1,N552&gt;'Line Follower'!$C$7,SUM(C552:K552)&lt;4),1,0)</f>
        <v>#N/A</v>
      </c>
      <c r="S552" s="4" t="e">
        <f>IF(AND(L552=1,N552&lt;'Line Follower'!$C$6,SUM(C552:K552)&lt;4),1,0)</f>
        <v>#N/A</v>
      </c>
      <c r="T552" s="4" t="e">
        <f t="shared" si="42"/>
        <v>#N/A</v>
      </c>
      <c r="U552" s="5" t="e">
        <f t="shared" si="43"/>
        <v>#N/A</v>
      </c>
      <c r="V552" s="23" t="e">
        <f t="shared" si="44"/>
        <v>#N/A</v>
      </c>
    </row>
    <row r="553" spans="2:22" x14ac:dyDescent="0.25">
      <c r="B553" s="16">
        <v>0</v>
      </c>
      <c r="C553" s="7">
        <v>1</v>
      </c>
      <c r="D553" s="8">
        <v>1</v>
      </c>
      <c r="E553" s="8">
        <v>0</v>
      </c>
      <c r="F553" s="8">
        <v>0</v>
      </c>
      <c r="G553" s="8">
        <v>1</v>
      </c>
      <c r="H553" s="8">
        <v>0</v>
      </c>
      <c r="I553" s="8">
        <v>0</v>
      </c>
      <c r="J553" s="8">
        <v>0</v>
      </c>
      <c r="K553" s="9">
        <v>1</v>
      </c>
      <c r="L553" s="10">
        <v>0</v>
      </c>
      <c r="M553" s="6">
        <v>0</v>
      </c>
      <c r="N553" s="37" t="e" cm="1">
        <f t="array" ref="N553">IF(OR(ISNUMBER(FIND(Aux!$D$3:$D$9,_xlfn.TEXTJOIN(,,C553:K553)))),NA(),IF(AND(SUM(C553:F553,H553:K553)=0,G553=1),0,INT((SUMPRODUCT(C553:F553,COLUMN($A$1:$D$1)-1)+SUMPRODUCT(H553:K553,COLUMN($E$1:$H$1)-1))*'Line Follower'!$C$3/SUM(C553:F553,H553:K553)-'Line Follower'!$C$5)))</f>
        <v>#N/A</v>
      </c>
      <c r="O553" s="22" t="e">
        <v>#N/A</v>
      </c>
      <c r="P553" s="4" t="e">
        <f t="shared" si="40"/>
        <v>#N/A</v>
      </c>
      <c r="Q553" s="4" t="e">
        <f t="shared" si="41"/>
        <v>#N/A</v>
      </c>
      <c r="R553" s="4" t="e">
        <f>IF(AND(B553=1,N553&gt;'Line Follower'!$C$7,SUM(C553:K553)&lt;4),1,0)</f>
        <v>#N/A</v>
      </c>
      <c r="S553" s="4" t="e">
        <f>IF(AND(L553=1,N553&lt;'Line Follower'!$C$6,SUM(C553:K553)&lt;4),1,0)</f>
        <v>#N/A</v>
      </c>
      <c r="T553" s="4" t="e">
        <f t="shared" si="42"/>
        <v>#N/A</v>
      </c>
      <c r="U553" s="5" t="e">
        <f t="shared" si="43"/>
        <v>#N/A</v>
      </c>
      <c r="V553" s="23" t="e">
        <f t="shared" si="44"/>
        <v>#N/A</v>
      </c>
    </row>
    <row r="554" spans="2:22" x14ac:dyDescent="0.25">
      <c r="B554" s="16">
        <v>1</v>
      </c>
      <c r="C554" s="7">
        <v>1</v>
      </c>
      <c r="D554" s="8">
        <v>1</v>
      </c>
      <c r="E554" s="8">
        <v>0</v>
      </c>
      <c r="F554" s="8">
        <v>0</v>
      </c>
      <c r="G554" s="8">
        <v>1</v>
      </c>
      <c r="H554" s="8">
        <v>0</v>
      </c>
      <c r="I554" s="8">
        <v>0</v>
      </c>
      <c r="J554" s="8">
        <v>0</v>
      </c>
      <c r="K554" s="9">
        <v>1</v>
      </c>
      <c r="L554" s="10">
        <v>0</v>
      </c>
      <c r="M554" s="6">
        <v>0</v>
      </c>
      <c r="N554" s="37" t="e" cm="1">
        <f t="array" ref="N554">IF(OR(ISNUMBER(FIND(Aux!$D$3:$D$9,_xlfn.TEXTJOIN(,,C554:K554)))),NA(),IF(AND(SUM(C554:F554,H554:K554)=0,G554=1),0,INT((SUMPRODUCT(C554:F554,COLUMN($A$1:$D$1)-1)+SUMPRODUCT(H554:K554,COLUMN($E$1:$H$1)-1))*'Line Follower'!$C$3/SUM(C554:F554,H554:K554)-'Line Follower'!$C$5)))</f>
        <v>#N/A</v>
      </c>
      <c r="O554" s="22" t="e">
        <v>#N/A</v>
      </c>
      <c r="P554" s="4" t="e">
        <f t="shared" si="40"/>
        <v>#N/A</v>
      </c>
      <c r="Q554" s="4" t="e">
        <f t="shared" si="41"/>
        <v>#N/A</v>
      </c>
      <c r="R554" s="4" t="e">
        <f>IF(AND(B554=1,N554&gt;'Line Follower'!$C$7,SUM(C554:K554)&lt;4),1,0)</f>
        <v>#N/A</v>
      </c>
      <c r="S554" s="4" t="e">
        <f>IF(AND(L554=1,N554&lt;'Line Follower'!$C$6,SUM(C554:K554)&lt;4),1,0)</f>
        <v>#N/A</v>
      </c>
      <c r="T554" s="4" t="e">
        <f t="shared" si="42"/>
        <v>#N/A</v>
      </c>
      <c r="U554" s="5" t="e">
        <f t="shared" si="43"/>
        <v>#N/A</v>
      </c>
      <c r="V554" s="23" t="e">
        <f t="shared" si="44"/>
        <v>#N/A</v>
      </c>
    </row>
    <row r="555" spans="2:22" x14ac:dyDescent="0.25">
      <c r="B555" s="16">
        <v>0</v>
      </c>
      <c r="C555" s="7">
        <v>0</v>
      </c>
      <c r="D555" s="8">
        <v>0</v>
      </c>
      <c r="E555" s="8">
        <v>1</v>
      </c>
      <c r="F555" s="8">
        <v>0</v>
      </c>
      <c r="G555" s="8">
        <v>1</v>
      </c>
      <c r="H555" s="8">
        <v>0</v>
      </c>
      <c r="I555" s="8">
        <v>0</v>
      </c>
      <c r="J555" s="8">
        <v>0</v>
      </c>
      <c r="K555" s="9">
        <v>1</v>
      </c>
      <c r="L555" s="10">
        <v>0</v>
      </c>
      <c r="M555" s="6">
        <v>0</v>
      </c>
      <c r="N555" s="37" t="e" cm="1">
        <f t="array" ref="N555">IF(OR(ISNUMBER(FIND(Aux!$D$3:$D$9,_xlfn.TEXTJOIN(,,C555:K555)))),NA(),IF(AND(SUM(C555:F555,H555:K555)=0,G555=1),0,INT((SUMPRODUCT(C555:F555,COLUMN($A$1:$D$1)-1)+SUMPRODUCT(H555:K555,COLUMN($E$1:$H$1)-1))*'Line Follower'!$C$3/SUM(C555:F555,H555:K555)-'Line Follower'!$C$5)))</f>
        <v>#N/A</v>
      </c>
      <c r="O555" s="22" t="e">
        <v>#N/A</v>
      </c>
      <c r="P555" s="4" t="e">
        <f t="shared" si="40"/>
        <v>#N/A</v>
      </c>
      <c r="Q555" s="4" t="e">
        <f t="shared" si="41"/>
        <v>#N/A</v>
      </c>
      <c r="R555" s="4" t="e">
        <f>IF(AND(B555=1,N555&gt;'Line Follower'!$C$7,SUM(C555:K555)&lt;4),1,0)</f>
        <v>#N/A</v>
      </c>
      <c r="S555" s="4" t="e">
        <f>IF(AND(L555=1,N555&lt;'Line Follower'!$C$6,SUM(C555:K555)&lt;4),1,0)</f>
        <v>#N/A</v>
      </c>
      <c r="T555" s="4" t="e">
        <f t="shared" si="42"/>
        <v>#N/A</v>
      </c>
      <c r="U555" s="5" t="e">
        <f t="shared" si="43"/>
        <v>#N/A</v>
      </c>
      <c r="V555" s="23" t="e">
        <f t="shared" si="44"/>
        <v>#N/A</v>
      </c>
    </row>
    <row r="556" spans="2:22" x14ac:dyDescent="0.25">
      <c r="B556" s="16">
        <v>1</v>
      </c>
      <c r="C556" s="7">
        <v>0</v>
      </c>
      <c r="D556" s="8">
        <v>0</v>
      </c>
      <c r="E556" s="8">
        <v>1</v>
      </c>
      <c r="F556" s="8">
        <v>0</v>
      </c>
      <c r="G556" s="8">
        <v>1</v>
      </c>
      <c r="H556" s="8">
        <v>0</v>
      </c>
      <c r="I556" s="8">
        <v>0</v>
      </c>
      <c r="J556" s="8">
        <v>0</v>
      </c>
      <c r="K556" s="9">
        <v>1</v>
      </c>
      <c r="L556" s="10">
        <v>0</v>
      </c>
      <c r="M556" s="6">
        <v>0</v>
      </c>
      <c r="N556" s="37" t="e" cm="1">
        <f t="array" ref="N556">IF(OR(ISNUMBER(FIND(Aux!$D$3:$D$9,_xlfn.TEXTJOIN(,,C556:K556)))),NA(),IF(AND(SUM(C556:F556,H556:K556)=0,G556=1),0,INT((SUMPRODUCT(C556:F556,COLUMN($A$1:$D$1)-1)+SUMPRODUCT(H556:K556,COLUMN($E$1:$H$1)-1))*'Line Follower'!$C$3/SUM(C556:F556,H556:K556)-'Line Follower'!$C$5)))</f>
        <v>#N/A</v>
      </c>
      <c r="O556" s="22" t="e">
        <v>#N/A</v>
      </c>
      <c r="P556" s="4" t="e">
        <f t="shared" si="40"/>
        <v>#N/A</v>
      </c>
      <c r="Q556" s="4" t="e">
        <f t="shared" si="41"/>
        <v>#N/A</v>
      </c>
      <c r="R556" s="4" t="e">
        <f>IF(AND(B556=1,N556&gt;'Line Follower'!$C$7,SUM(C556:K556)&lt;4),1,0)</f>
        <v>#N/A</v>
      </c>
      <c r="S556" s="4" t="e">
        <f>IF(AND(L556=1,N556&lt;'Line Follower'!$C$6,SUM(C556:K556)&lt;4),1,0)</f>
        <v>#N/A</v>
      </c>
      <c r="T556" s="4" t="e">
        <f t="shared" si="42"/>
        <v>#N/A</v>
      </c>
      <c r="U556" s="5" t="e">
        <f t="shared" si="43"/>
        <v>#N/A</v>
      </c>
      <c r="V556" s="23" t="e">
        <f t="shared" si="44"/>
        <v>#N/A</v>
      </c>
    </row>
    <row r="557" spans="2:22" x14ac:dyDescent="0.25">
      <c r="B557" s="16">
        <v>0</v>
      </c>
      <c r="C557" s="7">
        <v>1</v>
      </c>
      <c r="D557" s="8">
        <v>0</v>
      </c>
      <c r="E557" s="8">
        <v>1</v>
      </c>
      <c r="F557" s="8">
        <v>0</v>
      </c>
      <c r="G557" s="8">
        <v>1</v>
      </c>
      <c r="H557" s="8">
        <v>0</v>
      </c>
      <c r="I557" s="8">
        <v>0</v>
      </c>
      <c r="J557" s="8">
        <v>0</v>
      </c>
      <c r="K557" s="9">
        <v>1</v>
      </c>
      <c r="L557" s="10">
        <v>0</v>
      </c>
      <c r="M557" s="6">
        <v>0</v>
      </c>
      <c r="N557" s="37" t="e" cm="1">
        <f t="array" ref="N557">IF(OR(ISNUMBER(FIND(Aux!$D$3:$D$9,_xlfn.TEXTJOIN(,,C557:K557)))),NA(),IF(AND(SUM(C557:F557,H557:K557)=0,G557=1),0,INT((SUMPRODUCT(C557:F557,COLUMN($A$1:$D$1)-1)+SUMPRODUCT(H557:K557,COLUMN($E$1:$H$1)-1))*'Line Follower'!$C$3/SUM(C557:F557,H557:K557)-'Line Follower'!$C$5)))</f>
        <v>#N/A</v>
      </c>
      <c r="O557" s="22" t="e">
        <v>#N/A</v>
      </c>
      <c r="P557" s="4" t="e">
        <f t="shared" si="40"/>
        <v>#N/A</v>
      </c>
      <c r="Q557" s="4" t="e">
        <f t="shared" si="41"/>
        <v>#N/A</v>
      </c>
      <c r="R557" s="4" t="e">
        <f>IF(AND(B557=1,N557&gt;'Line Follower'!$C$7,SUM(C557:K557)&lt;4),1,0)</f>
        <v>#N/A</v>
      </c>
      <c r="S557" s="4" t="e">
        <f>IF(AND(L557=1,N557&lt;'Line Follower'!$C$6,SUM(C557:K557)&lt;4),1,0)</f>
        <v>#N/A</v>
      </c>
      <c r="T557" s="4" t="e">
        <f t="shared" si="42"/>
        <v>#N/A</v>
      </c>
      <c r="U557" s="5" t="e">
        <f t="shared" si="43"/>
        <v>#N/A</v>
      </c>
      <c r="V557" s="23" t="e">
        <f t="shared" si="44"/>
        <v>#N/A</v>
      </c>
    </row>
    <row r="558" spans="2:22" x14ac:dyDescent="0.25">
      <c r="B558" s="16">
        <v>1</v>
      </c>
      <c r="C558" s="7">
        <v>1</v>
      </c>
      <c r="D558" s="8">
        <v>0</v>
      </c>
      <c r="E558" s="8">
        <v>1</v>
      </c>
      <c r="F558" s="8">
        <v>0</v>
      </c>
      <c r="G558" s="8">
        <v>1</v>
      </c>
      <c r="H558" s="8">
        <v>0</v>
      </c>
      <c r="I558" s="8">
        <v>0</v>
      </c>
      <c r="J558" s="8">
        <v>0</v>
      </c>
      <c r="K558" s="9">
        <v>1</v>
      </c>
      <c r="L558" s="10">
        <v>0</v>
      </c>
      <c r="M558" s="6">
        <v>0</v>
      </c>
      <c r="N558" s="37" t="e" cm="1">
        <f t="array" ref="N558">IF(OR(ISNUMBER(FIND(Aux!$D$3:$D$9,_xlfn.TEXTJOIN(,,C558:K558)))),NA(),IF(AND(SUM(C558:F558,H558:K558)=0,G558=1),0,INT((SUMPRODUCT(C558:F558,COLUMN($A$1:$D$1)-1)+SUMPRODUCT(H558:K558,COLUMN($E$1:$H$1)-1))*'Line Follower'!$C$3/SUM(C558:F558,H558:K558)-'Line Follower'!$C$5)))</f>
        <v>#N/A</v>
      </c>
      <c r="O558" s="22" t="e">
        <v>#N/A</v>
      </c>
      <c r="P558" s="4" t="e">
        <f t="shared" si="40"/>
        <v>#N/A</v>
      </c>
      <c r="Q558" s="4" t="e">
        <f t="shared" si="41"/>
        <v>#N/A</v>
      </c>
      <c r="R558" s="4" t="e">
        <f>IF(AND(B558=1,N558&gt;'Line Follower'!$C$7,SUM(C558:K558)&lt;4),1,0)</f>
        <v>#N/A</v>
      </c>
      <c r="S558" s="4" t="e">
        <f>IF(AND(L558=1,N558&lt;'Line Follower'!$C$6,SUM(C558:K558)&lt;4),1,0)</f>
        <v>#N/A</v>
      </c>
      <c r="T558" s="4" t="e">
        <f t="shared" si="42"/>
        <v>#N/A</v>
      </c>
      <c r="U558" s="5" t="e">
        <f t="shared" si="43"/>
        <v>#N/A</v>
      </c>
      <c r="V558" s="23" t="e">
        <f t="shared" si="44"/>
        <v>#N/A</v>
      </c>
    </row>
    <row r="559" spans="2:22" x14ac:dyDescent="0.25">
      <c r="B559" s="16">
        <v>0</v>
      </c>
      <c r="C559" s="7">
        <v>0</v>
      </c>
      <c r="D559" s="8">
        <v>1</v>
      </c>
      <c r="E559" s="8">
        <v>1</v>
      </c>
      <c r="F559" s="8">
        <v>0</v>
      </c>
      <c r="G559" s="8">
        <v>1</v>
      </c>
      <c r="H559" s="8">
        <v>0</v>
      </c>
      <c r="I559" s="8">
        <v>0</v>
      </c>
      <c r="J559" s="8">
        <v>0</v>
      </c>
      <c r="K559" s="9">
        <v>1</v>
      </c>
      <c r="L559" s="10">
        <v>0</v>
      </c>
      <c r="M559" s="6">
        <v>0</v>
      </c>
      <c r="N559" s="37" t="e" cm="1">
        <f t="array" ref="N559">IF(OR(ISNUMBER(FIND(Aux!$D$3:$D$9,_xlfn.TEXTJOIN(,,C559:K559)))),NA(),IF(AND(SUM(C559:F559,H559:K559)=0,G559=1),0,INT((SUMPRODUCT(C559:F559,COLUMN($A$1:$D$1)-1)+SUMPRODUCT(H559:K559,COLUMN($E$1:$H$1)-1))*'Line Follower'!$C$3/SUM(C559:F559,H559:K559)-'Line Follower'!$C$5)))</f>
        <v>#N/A</v>
      </c>
      <c r="O559" s="22" t="e">
        <v>#N/A</v>
      </c>
      <c r="P559" s="4" t="e">
        <f t="shared" si="40"/>
        <v>#N/A</v>
      </c>
      <c r="Q559" s="4" t="e">
        <f t="shared" si="41"/>
        <v>#N/A</v>
      </c>
      <c r="R559" s="4" t="e">
        <f>IF(AND(B559=1,N559&gt;'Line Follower'!$C$7,SUM(C559:K559)&lt;4),1,0)</f>
        <v>#N/A</v>
      </c>
      <c r="S559" s="4" t="e">
        <f>IF(AND(L559=1,N559&lt;'Line Follower'!$C$6,SUM(C559:K559)&lt;4),1,0)</f>
        <v>#N/A</v>
      </c>
      <c r="T559" s="4" t="e">
        <f t="shared" si="42"/>
        <v>#N/A</v>
      </c>
      <c r="U559" s="5" t="e">
        <f t="shared" si="43"/>
        <v>#N/A</v>
      </c>
      <c r="V559" s="23" t="e">
        <f t="shared" si="44"/>
        <v>#N/A</v>
      </c>
    </row>
    <row r="560" spans="2:22" x14ac:dyDescent="0.25">
      <c r="B560" s="16">
        <v>1</v>
      </c>
      <c r="C560" s="7">
        <v>0</v>
      </c>
      <c r="D560" s="8">
        <v>1</v>
      </c>
      <c r="E560" s="8">
        <v>1</v>
      </c>
      <c r="F560" s="8">
        <v>0</v>
      </c>
      <c r="G560" s="8">
        <v>1</v>
      </c>
      <c r="H560" s="8">
        <v>0</v>
      </c>
      <c r="I560" s="8">
        <v>0</v>
      </c>
      <c r="J560" s="8">
        <v>0</v>
      </c>
      <c r="K560" s="9">
        <v>1</v>
      </c>
      <c r="L560" s="10">
        <v>0</v>
      </c>
      <c r="M560" s="6">
        <v>0</v>
      </c>
      <c r="N560" s="37" t="e" cm="1">
        <f t="array" ref="N560">IF(OR(ISNUMBER(FIND(Aux!$D$3:$D$9,_xlfn.TEXTJOIN(,,C560:K560)))),NA(),IF(AND(SUM(C560:F560,H560:K560)=0,G560=1),0,INT((SUMPRODUCT(C560:F560,COLUMN($A$1:$D$1)-1)+SUMPRODUCT(H560:K560,COLUMN($E$1:$H$1)-1))*'Line Follower'!$C$3/SUM(C560:F560,H560:K560)-'Line Follower'!$C$5)))</f>
        <v>#N/A</v>
      </c>
      <c r="O560" s="22" t="e">
        <v>#N/A</v>
      </c>
      <c r="P560" s="4" t="e">
        <f t="shared" si="40"/>
        <v>#N/A</v>
      </c>
      <c r="Q560" s="4" t="e">
        <f t="shared" si="41"/>
        <v>#N/A</v>
      </c>
      <c r="R560" s="4" t="e">
        <f>IF(AND(B560=1,N560&gt;'Line Follower'!$C$7,SUM(C560:K560)&lt;4),1,0)</f>
        <v>#N/A</v>
      </c>
      <c r="S560" s="4" t="e">
        <f>IF(AND(L560=1,N560&lt;'Line Follower'!$C$6,SUM(C560:K560)&lt;4),1,0)</f>
        <v>#N/A</v>
      </c>
      <c r="T560" s="4" t="e">
        <f t="shared" si="42"/>
        <v>#N/A</v>
      </c>
      <c r="U560" s="5" t="e">
        <f t="shared" si="43"/>
        <v>#N/A</v>
      </c>
      <c r="V560" s="23" t="e">
        <f t="shared" si="44"/>
        <v>#N/A</v>
      </c>
    </row>
    <row r="561" spans="2:22" x14ac:dyDescent="0.25">
      <c r="B561" s="16">
        <v>0</v>
      </c>
      <c r="C561" s="7">
        <v>1</v>
      </c>
      <c r="D561" s="8">
        <v>1</v>
      </c>
      <c r="E561" s="8">
        <v>1</v>
      </c>
      <c r="F561" s="8">
        <v>0</v>
      </c>
      <c r="G561" s="8">
        <v>1</v>
      </c>
      <c r="H561" s="8">
        <v>0</v>
      </c>
      <c r="I561" s="8">
        <v>0</v>
      </c>
      <c r="J561" s="8">
        <v>0</v>
      </c>
      <c r="K561" s="9">
        <v>1</v>
      </c>
      <c r="L561" s="10">
        <v>0</v>
      </c>
      <c r="M561" s="6">
        <v>0</v>
      </c>
      <c r="N561" s="37" t="e" cm="1">
        <f t="array" ref="N561">IF(OR(ISNUMBER(FIND(Aux!$D$3:$D$9,_xlfn.TEXTJOIN(,,C561:K561)))),NA(),IF(AND(SUM(C561:F561,H561:K561)=0,G561=1),0,INT((SUMPRODUCT(C561:F561,COLUMN($A$1:$D$1)-1)+SUMPRODUCT(H561:K561,COLUMN($E$1:$H$1)-1))*'Line Follower'!$C$3/SUM(C561:F561,H561:K561)-'Line Follower'!$C$5)))</f>
        <v>#N/A</v>
      </c>
      <c r="O561" s="22" t="e">
        <v>#N/A</v>
      </c>
      <c r="P561" s="4" t="e">
        <f t="shared" si="40"/>
        <v>#N/A</v>
      </c>
      <c r="Q561" s="4" t="e">
        <f t="shared" si="41"/>
        <v>#N/A</v>
      </c>
      <c r="R561" s="4" t="e">
        <f>IF(AND(B561=1,N561&gt;'Line Follower'!$C$7,SUM(C561:K561)&lt;4),1,0)</f>
        <v>#N/A</v>
      </c>
      <c r="S561" s="4" t="e">
        <f>IF(AND(L561=1,N561&lt;'Line Follower'!$C$6,SUM(C561:K561)&lt;4),1,0)</f>
        <v>#N/A</v>
      </c>
      <c r="T561" s="4" t="e">
        <f t="shared" si="42"/>
        <v>#N/A</v>
      </c>
      <c r="U561" s="5" t="e">
        <f t="shared" si="43"/>
        <v>#N/A</v>
      </c>
      <c r="V561" s="23" t="e">
        <f t="shared" si="44"/>
        <v>#N/A</v>
      </c>
    </row>
    <row r="562" spans="2:22" x14ac:dyDescent="0.25">
      <c r="B562" s="16">
        <v>1</v>
      </c>
      <c r="C562" s="7">
        <v>1</v>
      </c>
      <c r="D562" s="8">
        <v>1</v>
      </c>
      <c r="E562" s="8">
        <v>1</v>
      </c>
      <c r="F562" s="8">
        <v>0</v>
      </c>
      <c r="G562" s="8">
        <v>1</v>
      </c>
      <c r="H562" s="8">
        <v>0</v>
      </c>
      <c r="I562" s="8">
        <v>0</v>
      </c>
      <c r="J562" s="8">
        <v>0</v>
      </c>
      <c r="K562" s="9">
        <v>1</v>
      </c>
      <c r="L562" s="10">
        <v>0</v>
      </c>
      <c r="M562" s="6">
        <v>0</v>
      </c>
      <c r="N562" s="37" t="e" cm="1">
        <f t="array" ref="N562">IF(OR(ISNUMBER(FIND(Aux!$D$3:$D$9,_xlfn.TEXTJOIN(,,C562:K562)))),NA(),IF(AND(SUM(C562:F562,H562:K562)=0,G562=1),0,INT((SUMPRODUCT(C562:F562,COLUMN($A$1:$D$1)-1)+SUMPRODUCT(H562:K562,COLUMN($E$1:$H$1)-1))*'Line Follower'!$C$3/SUM(C562:F562,H562:K562)-'Line Follower'!$C$5)))</f>
        <v>#N/A</v>
      </c>
      <c r="O562" s="22" t="e">
        <v>#N/A</v>
      </c>
      <c r="P562" s="4" t="e">
        <f t="shared" si="40"/>
        <v>#N/A</v>
      </c>
      <c r="Q562" s="4" t="e">
        <f t="shared" si="41"/>
        <v>#N/A</v>
      </c>
      <c r="R562" s="4" t="e">
        <f>IF(AND(B562=1,N562&gt;'Line Follower'!$C$7,SUM(C562:K562)&lt;4),1,0)</f>
        <v>#N/A</v>
      </c>
      <c r="S562" s="4" t="e">
        <f>IF(AND(L562=1,N562&lt;'Line Follower'!$C$6,SUM(C562:K562)&lt;4),1,0)</f>
        <v>#N/A</v>
      </c>
      <c r="T562" s="4" t="e">
        <f t="shared" si="42"/>
        <v>#N/A</v>
      </c>
      <c r="U562" s="5" t="e">
        <f t="shared" si="43"/>
        <v>#N/A</v>
      </c>
      <c r="V562" s="23" t="e">
        <f t="shared" si="44"/>
        <v>#N/A</v>
      </c>
    </row>
    <row r="563" spans="2:22" x14ac:dyDescent="0.25">
      <c r="B563" s="16">
        <v>0</v>
      </c>
      <c r="C563" s="7">
        <v>0</v>
      </c>
      <c r="D563" s="8">
        <v>0</v>
      </c>
      <c r="E563" s="8">
        <v>0</v>
      </c>
      <c r="F563" s="8">
        <v>1</v>
      </c>
      <c r="G563" s="8">
        <v>1</v>
      </c>
      <c r="H563" s="8">
        <v>0</v>
      </c>
      <c r="I563" s="8">
        <v>0</v>
      </c>
      <c r="J563" s="8">
        <v>0</v>
      </c>
      <c r="K563" s="9">
        <v>1</v>
      </c>
      <c r="L563" s="10">
        <v>0</v>
      </c>
      <c r="M563" s="6">
        <v>0</v>
      </c>
      <c r="N563" s="37" t="e" cm="1">
        <f t="array" ref="N563">IF(OR(ISNUMBER(FIND(Aux!$D$3:$D$9,_xlfn.TEXTJOIN(,,C563:K563)))),NA(),IF(AND(SUM(C563:F563,H563:K563)=0,G563=1),0,INT((SUMPRODUCT(C563:F563,COLUMN($A$1:$D$1)-1)+SUMPRODUCT(H563:K563,COLUMN($E$1:$H$1)-1))*'Line Follower'!$C$3/SUM(C563:F563,H563:K563)-'Line Follower'!$C$5)))</f>
        <v>#N/A</v>
      </c>
      <c r="O563" s="22" t="e">
        <v>#N/A</v>
      </c>
      <c r="P563" s="4" t="e">
        <f t="shared" si="40"/>
        <v>#N/A</v>
      </c>
      <c r="Q563" s="4" t="e">
        <f t="shared" si="41"/>
        <v>#N/A</v>
      </c>
      <c r="R563" s="4" t="e">
        <f>IF(AND(B563=1,N563&gt;'Line Follower'!$C$7,SUM(C563:K563)&lt;4),1,0)</f>
        <v>#N/A</v>
      </c>
      <c r="S563" s="4" t="e">
        <f>IF(AND(L563=1,N563&lt;'Line Follower'!$C$6,SUM(C563:K563)&lt;4),1,0)</f>
        <v>#N/A</v>
      </c>
      <c r="T563" s="4" t="e">
        <f t="shared" si="42"/>
        <v>#N/A</v>
      </c>
      <c r="U563" s="5" t="e">
        <f t="shared" si="43"/>
        <v>#N/A</v>
      </c>
      <c r="V563" s="23" t="e">
        <f t="shared" si="44"/>
        <v>#N/A</v>
      </c>
    </row>
    <row r="564" spans="2:22" x14ac:dyDescent="0.25">
      <c r="B564" s="16">
        <v>1</v>
      </c>
      <c r="C564" s="7">
        <v>0</v>
      </c>
      <c r="D564" s="8">
        <v>0</v>
      </c>
      <c r="E564" s="8">
        <v>0</v>
      </c>
      <c r="F564" s="8">
        <v>1</v>
      </c>
      <c r="G564" s="8">
        <v>1</v>
      </c>
      <c r="H564" s="8">
        <v>0</v>
      </c>
      <c r="I564" s="8">
        <v>0</v>
      </c>
      <c r="J564" s="8">
        <v>0</v>
      </c>
      <c r="K564" s="9">
        <v>1</v>
      </c>
      <c r="L564" s="10">
        <v>0</v>
      </c>
      <c r="M564" s="6">
        <v>0</v>
      </c>
      <c r="N564" s="37" t="e" cm="1">
        <f t="array" ref="N564">IF(OR(ISNUMBER(FIND(Aux!$D$3:$D$9,_xlfn.TEXTJOIN(,,C564:K564)))),NA(),IF(AND(SUM(C564:F564,H564:K564)=0,G564=1),0,INT((SUMPRODUCT(C564:F564,COLUMN($A$1:$D$1)-1)+SUMPRODUCT(H564:K564,COLUMN($E$1:$H$1)-1))*'Line Follower'!$C$3/SUM(C564:F564,H564:K564)-'Line Follower'!$C$5)))</f>
        <v>#N/A</v>
      </c>
      <c r="O564" s="22" t="e">
        <v>#N/A</v>
      </c>
      <c r="P564" s="4" t="e">
        <f t="shared" si="40"/>
        <v>#N/A</v>
      </c>
      <c r="Q564" s="4" t="e">
        <f t="shared" si="41"/>
        <v>#N/A</v>
      </c>
      <c r="R564" s="4" t="e">
        <f>IF(AND(B564=1,N564&gt;'Line Follower'!$C$7,SUM(C564:K564)&lt;4),1,0)</f>
        <v>#N/A</v>
      </c>
      <c r="S564" s="4" t="e">
        <f>IF(AND(L564=1,N564&lt;'Line Follower'!$C$6,SUM(C564:K564)&lt;4),1,0)</f>
        <v>#N/A</v>
      </c>
      <c r="T564" s="4" t="e">
        <f t="shared" si="42"/>
        <v>#N/A</v>
      </c>
      <c r="U564" s="5" t="e">
        <f t="shared" si="43"/>
        <v>#N/A</v>
      </c>
      <c r="V564" s="23" t="e">
        <f t="shared" si="44"/>
        <v>#N/A</v>
      </c>
    </row>
    <row r="565" spans="2:22" x14ac:dyDescent="0.25">
      <c r="B565" s="16">
        <v>0</v>
      </c>
      <c r="C565" s="7">
        <v>1</v>
      </c>
      <c r="D565" s="8">
        <v>0</v>
      </c>
      <c r="E565" s="8">
        <v>0</v>
      </c>
      <c r="F565" s="8">
        <v>1</v>
      </c>
      <c r="G565" s="8">
        <v>1</v>
      </c>
      <c r="H565" s="8">
        <v>0</v>
      </c>
      <c r="I565" s="8">
        <v>0</v>
      </c>
      <c r="J565" s="8">
        <v>0</v>
      </c>
      <c r="K565" s="9">
        <v>1</v>
      </c>
      <c r="L565" s="10">
        <v>0</v>
      </c>
      <c r="M565" s="6">
        <v>0</v>
      </c>
      <c r="N565" s="37" t="e" cm="1">
        <f t="array" ref="N565">IF(OR(ISNUMBER(FIND(Aux!$D$3:$D$9,_xlfn.TEXTJOIN(,,C565:K565)))),NA(),IF(AND(SUM(C565:F565,H565:K565)=0,G565=1),0,INT((SUMPRODUCT(C565:F565,COLUMN($A$1:$D$1)-1)+SUMPRODUCT(H565:K565,COLUMN($E$1:$H$1)-1))*'Line Follower'!$C$3/SUM(C565:F565,H565:K565)-'Line Follower'!$C$5)))</f>
        <v>#N/A</v>
      </c>
      <c r="O565" s="22" t="e">
        <v>#N/A</v>
      </c>
      <c r="P565" s="4" t="e">
        <f t="shared" si="40"/>
        <v>#N/A</v>
      </c>
      <c r="Q565" s="4" t="e">
        <f t="shared" si="41"/>
        <v>#N/A</v>
      </c>
      <c r="R565" s="4" t="e">
        <f>IF(AND(B565=1,N565&gt;'Line Follower'!$C$7,SUM(C565:K565)&lt;4),1,0)</f>
        <v>#N/A</v>
      </c>
      <c r="S565" s="4" t="e">
        <f>IF(AND(L565=1,N565&lt;'Line Follower'!$C$6,SUM(C565:K565)&lt;4),1,0)</f>
        <v>#N/A</v>
      </c>
      <c r="T565" s="4" t="e">
        <f t="shared" si="42"/>
        <v>#N/A</v>
      </c>
      <c r="U565" s="5" t="e">
        <f t="shared" si="43"/>
        <v>#N/A</v>
      </c>
      <c r="V565" s="23" t="e">
        <f t="shared" si="44"/>
        <v>#N/A</v>
      </c>
    </row>
    <row r="566" spans="2:22" x14ac:dyDescent="0.25">
      <c r="B566" s="16">
        <v>1</v>
      </c>
      <c r="C566" s="7">
        <v>1</v>
      </c>
      <c r="D566" s="8">
        <v>0</v>
      </c>
      <c r="E566" s="8">
        <v>0</v>
      </c>
      <c r="F566" s="8">
        <v>1</v>
      </c>
      <c r="G566" s="8">
        <v>1</v>
      </c>
      <c r="H566" s="8">
        <v>0</v>
      </c>
      <c r="I566" s="8">
        <v>0</v>
      </c>
      <c r="J566" s="8">
        <v>0</v>
      </c>
      <c r="K566" s="9">
        <v>1</v>
      </c>
      <c r="L566" s="10">
        <v>0</v>
      </c>
      <c r="M566" s="6">
        <v>0</v>
      </c>
      <c r="N566" s="37" t="e" cm="1">
        <f t="array" ref="N566">IF(OR(ISNUMBER(FIND(Aux!$D$3:$D$9,_xlfn.TEXTJOIN(,,C566:K566)))),NA(),IF(AND(SUM(C566:F566,H566:K566)=0,G566=1),0,INT((SUMPRODUCT(C566:F566,COLUMN($A$1:$D$1)-1)+SUMPRODUCT(H566:K566,COLUMN($E$1:$H$1)-1))*'Line Follower'!$C$3/SUM(C566:F566,H566:K566)-'Line Follower'!$C$5)))</f>
        <v>#N/A</v>
      </c>
      <c r="O566" s="22" t="e">
        <v>#N/A</v>
      </c>
      <c r="P566" s="4" t="e">
        <f t="shared" si="40"/>
        <v>#N/A</v>
      </c>
      <c r="Q566" s="4" t="e">
        <f t="shared" si="41"/>
        <v>#N/A</v>
      </c>
      <c r="R566" s="4" t="e">
        <f>IF(AND(B566=1,N566&gt;'Line Follower'!$C$7,SUM(C566:K566)&lt;4),1,0)</f>
        <v>#N/A</v>
      </c>
      <c r="S566" s="4" t="e">
        <f>IF(AND(L566=1,N566&lt;'Line Follower'!$C$6,SUM(C566:K566)&lt;4),1,0)</f>
        <v>#N/A</v>
      </c>
      <c r="T566" s="4" t="e">
        <f t="shared" si="42"/>
        <v>#N/A</v>
      </c>
      <c r="U566" s="5" t="e">
        <f t="shared" si="43"/>
        <v>#N/A</v>
      </c>
      <c r="V566" s="23" t="e">
        <f t="shared" si="44"/>
        <v>#N/A</v>
      </c>
    </row>
    <row r="567" spans="2:22" x14ac:dyDescent="0.25">
      <c r="B567" s="16">
        <v>0</v>
      </c>
      <c r="C567" s="7">
        <v>0</v>
      </c>
      <c r="D567" s="8">
        <v>1</v>
      </c>
      <c r="E567" s="8">
        <v>0</v>
      </c>
      <c r="F567" s="8">
        <v>1</v>
      </c>
      <c r="G567" s="8">
        <v>1</v>
      </c>
      <c r="H567" s="8">
        <v>0</v>
      </c>
      <c r="I567" s="8">
        <v>0</v>
      </c>
      <c r="J567" s="8">
        <v>0</v>
      </c>
      <c r="K567" s="9">
        <v>1</v>
      </c>
      <c r="L567" s="10">
        <v>0</v>
      </c>
      <c r="M567" s="6">
        <v>0</v>
      </c>
      <c r="N567" s="37" t="e" cm="1">
        <f t="array" ref="N567">IF(OR(ISNUMBER(FIND(Aux!$D$3:$D$9,_xlfn.TEXTJOIN(,,C567:K567)))),NA(),IF(AND(SUM(C567:F567,H567:K567)=0,G567=1),0,INT((SUMPRODUCT(C567:F567,COLUMN($A$1:$D$1)-1)+SUMPRODUCT(H567:K567,COLUMN($E$1:$H$1)-1))*'Line Follower'!$C$3/SUM(C567:F567,H567:K567)-'Line Follower'!$C$5)))</f>
        <v>#N/A</v>
      </c>
      <c r="O567" s="22" t="e">
        <v>#N/A</v>
      </c>
      <c r="P567" s="4" t="e">
        <f t="shared" si="40"/>
        <v>#N/A</v>
      </c>
      <c r="Q567" s="4" t="e">
        <f t="shared" si="41"/>
        <v>#N/A</v>
      </c>
      <c r="R567" s="4" t="e">
        <f>IF(AND(B567=1,N567&gt;'Line Follower'!$C$7,SUM(C567:K567)&lt;4),1,0)</f>
        <v>#N/A</v>
      </c>
      <c r="S567" s="4" t="e">
        <f>IF(AND(L567=1,N567&lt;'Line Follower'!$C$6,SUM(C567:K567)&lt;4),1,0)</f>
        <v>#N/A</v>
      </c>
      <c r="T567" s="4" t="e">
        <f t="shared" si="42"/>
        <v>#N/A</v>
      </c>
      <c r="U567" s="5" t="e">
        <f t="shared" si="43"/>
        <v>#N/A</v>
      </c>
      <c r="V567" s="23" t="e">
        <f t="shared" si="44"/>
        <v>#N/A</v>
      </c>
    </row>
    <row r="568" spans="2:22" x14ac:dyDescent="0.25">
      <c r="B568" s="16">
        <v>1</v>
      </c>
      <c r="C568" s="7">
        <v>0</v>
      </c>
      <c r="D568" s="8">
        <v>1</v>
      </c>
      <c r="E568" s="8">
        <v>0</v>
      </c>
      <c r="F568" s="8">
        <v>1</v>
      </c>
      <c r="G568" s="8">
        <v>1</v>
      </c>
      <c r="H568" s="8">
        <v>0</v>
      </c>
      <c r="I568" s="8">
        <v>0</v>
      </c>
      <c r="J568" s="8">
        <v>0</v>
      </c>
      <c r="K568" s="9">
        <v>1</v>
      </c>
      <c r="L568" s="10">
        <v>0</v>
      </c>
      <c r="M568" s="6">
        <v>0</v>
      </c>
      <c r="N568" s="37" t="e" cm="1">
        <f t="array" ref="N568">IF(OR(ISNUMBER(FIND(Aux!$D$3:$D$9,_xlfn.TEXTJOIN(,,C568:K568)))),NA(),IF(AND(SUM(C568:F568,H568:K568)=0,G568=1),0,INT((SUMPRODUCT(C568:F568,COLUMN($A$1:$D$1)-1)+SUMPRODUCT(H568:K568,COLUMN($E$1:$H$1)-1))*'Line Follower'!$C$3/SUM(C568:F568,H568:K568)-'Line Follower'!$C$5)))</f>
        <v>#N/A</v>
      </c>
      <c r="O568" s="22" t="e">
        <v>#N/A</v>
      </c>
      <c r="P568" s="4" t="e">
        <f t="shared" si="40"/>
        <v>#N/A</v>
      </c>
      <c r="Q568" s="4" t="e">
        <f t="shared" si="41"/>
        <v>#N/A</v>
      </c>
      <c r="R568" s="4" t="e">
        <f>IF(AND(B568=1,N568&gt;'Line Follower'!$C$7,SUM(C568:K568)&lt;4),1,0)</f>
        <v>#N/A</v>
      </c>
      <c r="S568" s="4" t="e">
        <f>IF(AND(L568=1,N568&lt;'Line Follower'!$C$6,SUM(C568:K568)&lt;4),1,0)</f>
        <v>#N/A</v>
      </c>
      <c r="T568" s="4" t="e">
        <f t="shared" si="42"/>
        <v>#N/A</v>
      </c>
      <c r="U568" s="5" t="e">
        <f t="shared" si="43"/>
        <v>#N/A</v>
      </c>
      <c r="V568" s="23" t="e">
        <f t="shared" si="44"/>
        <v>#N/A</v>
      </c>
    </row>
    <row r="569" spans="2:22" x14ac:dyDescent="0.25">
      <c r="B569" s="16">
        <v>0</v>
      </c>
      <c r="C569" s="7">
        <v>1</v>
      </c>
      <c r="D569" s="8">
        <v>1</v>
      </c>
      <c r="E569" s="8">
        <v>0</v>
      </c>
      <c r="F569" s="8">
        <v>1</v>
      </c>
      <c r="G569" s="8">
        <v>1</v>
      </c>
      <c r="H569" s="8">
        <v>0</v>
      </c>
      <c r="I569" s="8">
        <v>0</v>
      </c>
      <c r="J569" s="8">
        <v>0</v>
      </c>
      <c r="K569" s="9">
        <v>1</v>
      </c>
      <c r="L569" s="10">
        <v>0</v>
      </c>
      <c r="M569" s="6">
        <v>0</v>
      </c>
      <c r="N569" s="37" t="e" cm="1">
        <f t="array" ref="N569">IF(OR(ISNUMBER(FIND(Aux!$D$3:$D$9,_xlfn.TEXTJOIN(,,C569:K569)))),NA(),IF(AND(SUM(C569:F569,H569:K569)=0,G569=1),0,INT((SUMPRODUCT(C569:F569,COLUMN($A$1:$D$1)-1)+SUMPRODUCT(H569:K569,COLUMN($E$1:$H$1)-1))*'Line Follower'!$C$3/SUM(C569:F569,H569:K569)-'Line Follower'!$C$5)))</f>
        <v>#N/A</v>
      </c>
      <c r="O569" s="22" t="e">
        <v>#N/A</v>
      </c>
      <c r="P569" s="4" t="e">
        <f t="shared" si="40"/>
        <v>#N/A</v>
      </c>
      <c r="Q569" s="4" t="e">
        <f t="shared" si="41"/>
        <v>#N/A</v>
      </c>
      <c r="R569" s="4" t="e">
        <f>IF(AND(B569=1,N569&gt;'Line Follower'!$C$7,SUM(C569:K569)&lt;4),1,0)</f>
        <v>#N/A</v>
      </c>
      <c r="S569" s="4" t="e">
        <f>IF(AND(L569=1,N569&lt;'Line Follower'!$C$6,SUM(C569:K569)&lt;4),1,0)</f>
        <v>#N/A</v>
      </c>
      <c r="T569" s="4" t="e">
        <f t="shared" si="42"/>
        <v>#N/A</v>
      </c>
      <c r="U569" s="5" t="e">
        <f t="shared" si="43"/>
        <v>#N/A</v>
      </c>
      <c r="V569" s="23" t="e">
        <f t="shared" si="44"/>
        <v>#N/A</v>
      </c>
    </row>
    <row r="570" spans="2:22" x14ac:dyDescent="0.25">
      <c r="B570" s="16">
        <v>1</v>
      </c>
      <c r="C570" s="7">
        <v>1</v>
      </c>
      <c r="D570" s="8">
        <v>1</v>
      </c>
      <c r="E570" s="8">
        <v>0</v>
      </c>
      <c r="F570" s="8">
        <v>1</v>
      </c>
      <c r="G570" s="8">
        <v>1</v>
      </c>
      <c r="H570" s="8">
        <v>0</v>
      </c>
      <c r="I570" s="8">
        <v>0</v>
      </c>
      <c r="J570" s="8">
        <v>0</v>
      </c>
      <c r="K570" s="9">
        <v>1</v>
      </c>
      <c r="L570" s="10">
        <v>0</v>
      </c>
      <c r="M570" s="6">
        <v>0</v>
      </c>
      <c r="N570" s="37" t="e" cm="1">
        <f t="array" ref="N570">IF(OR(ISNUMBER(FIND(Aux!$D$3:$D$9,_xlfn.TEXTJOIN(,,C570:K570)))),NA(),IF(AND(SUM(C570:F570,H570:K570)=0,G570=1),0,INT((SUMPRODUCT(C570:F570,COLUMN($A$1:$D$1)-1)+SUMPRODUCT(H570:K570,COLUMN($E$1:$H$1)-1))*'Line Follower'!$C$3/SUM(C570:F570,H570:K570)-'Line Follower'!$C$5)))</f>
        <v>#N/A</v>
      </c>
      <c r="O570" s="22" t="e">
        <v>#N/A</v>
      </c>
      <c r="P570" s="4" t="e">
        <f t="shared" si="40"/>
        <v>#N/A</v>
      </c>
      <c r="Q570" s="4" t="e">
        <f t="shared" si="41"/>
        <v>#N/A</v>
      </c>
      <c r="R570" s="4" t="e">
        <f>IF(AND(B570=1,N570&gt;'Line Follower'!$C$7,SUM(C570:K570)&lt;4),1,0)</f>
        <v>#N/A</v>
      </c>
      <c r="S570" s="4" t="e">
        <f>IF(AND(L570=1,N570&lt;'Line Follower'!$C$6,SUM(C570:K570)&lt;4),1,0)</f>
        <v>#N/A</v>
      </c>
      <c r="T570" s="4" t="e">
        <f t="shared" si="42"/>
        <v>#N/A</v>
      </c>
      <c r="U570" s="5" t="e">
        <f t="shared" si="43"/>
        <v>#N/A</v>
      </c>
      <c r="V570" s="23" t="e">
        <f t="shared" si="44"/>
        <v>#N/A</v>
      </c>
    </row>
    <row r="571" spans="2:22" x14ac:dyDescent="0.25">
      <c r="B571" s="16">
        <v>0</v>
      </c>
      <c r="C571" s="7">
        <v>0</v>
      </c>
      <c r="D571" s="8">
        <v>0</v>
      </c>
      <c r="E571" s="8">
        <v>1</v>
      </c>
      <c r="F571" s="8">
        <v>1</v>
      </c>
      <c r="G571" s="8">
        <v>1</v>
      </c>
      <c r="H571" s="8">
        <v>0</v>
      </c>
      <c r="I571" s="8">
        <v>0</v>
      </c>
      <c r="J571" s="8">
        <v>0</v>
      </c>
      <c r="K571" s="9">
        <v>1</v>
      </c>
      <c r="L571" s="10">
        <v>0</v>
      </c>
      <c r="M571" s="6">
        <v>0</v>
      </c>
      <c r="N571" s="37" t="e" cm="1">
        <f t="array" ref="N571">IF(OR(ISNUMBER(FIND(Aux!$D$3:$D$9,_xlfn.TEXTJOIN(,,C571:K571)))),NA(),IF(AND(SUM(C571:F571,H571:K571)=0,G571=1),0,INT((SUMPRODUCT(C571:F571,COLUMN($A$1:$D$1)-1)+SUMPRODUCT(H571:K571,COLUMN($E$1:$H$1)-1))*'Line Follower'!$C$3/SUM(C571:F571,H571:K571)-'Line Follower'!$C$5)))</f>
        <v>#N/A</v>
      </c>
      <c r="O571" s="22" t="e">
        <v>#N/A</v>
      </c>
      <c r="P571" s="4" t="e">
        <f t="shared" si="40"/>
        <v>#N/A</v>
      </c>
      <c r="Q571" s="4" t="e">
        <f t="shared" si="41"/>
        <v>#N/A</v>
      </c>
      <c r="R571" s="4" t="e">
        <f>IF(AND(B571=1,N571&gt;'Line Follower'!$C$7,SUM(C571:K571)&lt;4),1,0)</f>
        <v>#N/A</v>
      </c>
      <c r="S571" s="4" t="e">
        <f>IF(AND(L571=1,N571&lt;'Line Follower'!$C$6,SUM(C571:K571)&lt;4),1,0)</f>
        <v>#N/A</v>
      </c>
      <c r="T571" s="4" t="e">
        <f t="shared" si="42"/>
        <v>#N/A</v>
      </c>
      <c r="U571" s="5" t="e">
        <f t="shared" si="43"/>
        <v>#N/A</v>
      </c>
      <c r="V571" s="23" t="e">
        <f t="shared" si="44"/>
        <v>#N/A</v>
      </c>
    </row>
    <row r="572" spans="2:22" x14ac:dyDescent="0.25">
      <c r="B572" s="16">
        <v>1</v>
      </c>
      <c r="C572" s="7">
        <v>0</v>
      </c>
      <c r="D572" s="8">
        <v>0</v>
      </c>
      <c r="E572" s="8">
        <v>1</v>
      </c>
      <c r="F572" s="8">
        <v>1</v>
      </c>
      <c r="G572" s="8">
        <v>1</v>
      </c>
      <c r="H572" s="8">
        <v>0</v>
      </c>
      <c r="I572" s="8">
        <v>0</v>
      </c>
      <c r="J572" s="8">
        <v>0</v>
      </c>
      <c r="K572" s="9">
        <v>1</v>
      </c>
      <c r="L572" s="10">
        <v>0</v>
      </c>
      <c r="M572" s="6">
        <v>0</v>
      </c>
      <c r="N572" s="37" t="e" cm="1">
        <f t="array" ref="N572">IF(OR(ISNUMBER(FIND(Aux!$D$3:$D$9,_xlfn.TEXTJOIN(,,C572:K572)))),NA(),IF(AND(SUM(C572:F572,H572:K572)=0,G572=1),0,INT((SUMPRODUCT(C572:F572,COLUMN($A$1:$D$1)-1)+SUMPRODUCT(H572:K572,COLUMN($E$1:$H$1)-1))*'Line Follower'!$C$3/SUM(C572:F572,H572:K572)-'Line Follower'!$C$5)))</f>
        <v>#N/A</v>
      </c>
      <c r="O572" s="22" t="e">
        <v>#N/A</v>
      </c>
      <c r="P572" s="4" t="e">
        <f t="shared" si="40"/>
        <v>#N/A</v>
      </c>
      <c r="Q572" s="4" t="e">
        <f t="shared" si="41"/>
        <v>#N/A</v>
      </c>
      <c r="R572" s="4" t="e">
        <f>IF(AND(B572=1,N572&gt;'Line Follower'!$C$7,SUM(C572:K572)&lt;4),1,0)</f>
        <v>#N/A</v>
      </c>
      <c r="S572" s="4" t="e">
        <f>IF(AND(L572=1,N572&lt;'Line Follower'!$C$6,SUM(C572:K572)&lt;4),1,0)</f>
        <v>#N/A</v>
      </c>
      <c r="T572" s="4" t="e">
        <f t="shared" si="42"/>
        <v>#N/A</v>
      </c>
      <c r="U572" s="5" t="e">
        <f t="shared" si="43"/>
        <v>#N/A</v>
      </c>
      <c r="V572" s="23" t="e">
        <f t="shared" si="44"/>
        <v>#N/A</v>
      </c>
    </row>
    <row r="573" spans="2:22" x14ac:dyDescent="0.25">
      <c r="B573" s="16">
        <v>0</v>
      </c>
      <c r="C573" s="7">
        <v>1</v>
      </c>
      <c r="D573" s="8">
        <v>0</v>
      </c>
      <c r="E573" s="8">
        <v>1</v>
      </c>
      <c r="F573" s="8">
        <v>1</v>
      </c>
      <c r="G573" s="8">
        <v>1</v>
      </c>
      <c r="H573" s="8">
        <v>0</v>
      </c>
      <c r="I573" s="8">
        <v>0</v>
      </c>
      <c r="J573" s="8">
        <v>0</v>
      </c>
      <c r="K573" s="9">
        <v>1</v>
      </c>
      <c r="L573" s="10">
        <v>0</v>
      </c>
      <c r="M573" s="6">
        <v>0</v>
      </c>
      <c r="N573" s="37" t="e" cm="1">
        <f t="array" ref="N573">IF(OR(ISNUMBER(FIND(Aux!$D$3:$D$9,_xlfn.TEXTJOIN(,,C573:K573)))),NA(),IF(AND(SUM(C573:F573,H573:K573)=0,G573=1),0,INT((SUMPRODUCT(C573:F573,COLUMN($A$1:$D$1)-1)+SUMPRODUCT(H573:K573,COLUMN($E$1:$H$1)-1))*'Line Follower'!$C$3/SUM(C573:F573,H573:K573)-'Line Follower'!$C$5)))</f>
        <v>#N/A</v>
      </c>
      <c r="O573" s="22" t="e">
        <v>#N/A</v>
      </c>
      <c r="P573" s="4" t="e">
        <f t="shared" si="40"/>
        <v>#N/A</v>
      </c>
      <c r="Q573" s="4" t="e">
        <f t="shared" si="41"/>
        <v>#N/A</v>
      </c>
      <c r="R573" s="4" t="e">
        <f>IF(AND(B573=1,N573&gt;'Line Follower'!$C$7,SUM(C573:K573)&lt;4),1,0)</f>
        <v>#N/A</v>
      </c>
      <c r="S573" s="4" t="e">
        <f>IF(AND(L573=1,N573&lt;'Line Follower'!$C$6,SUM(C573:K573)&lt;4),1,0)</f>
        <v>#N/A</v>
      </c>
      <c r="T573" s="4" t="e">
        <f t="shared" si="42"/>
        <v>#N/A</v>
      </c>
      <c r="U573" s="5" t="e">
        <f t="shared" si="43"/>
        <v>#N/A</v>
      </c>
      <c r="V573" s="23" t="e">
        <f t="shared" si="44"/>
        <v>#N/A</v>
      </c>
    </row>
    <row r="574" spans="2:22" x14ac:dyDescent="0.25">
      <c r="B574" s="16">
        <v>1</v>
      </c>
      <c r="C574" s="7">
        <v>1</v>
      </c>
      <c r="D574" s="8">
        <v>0</v>
      </c>
      <c r="E574" s="8">
        <v>1</v>
      </c>
      <c r="F574" s="8">
        <v>1</v>
      </c>
      <c r="G574" s="8">
        <v>1</v>
      </c>
      <c r="H574" s="8">
        <v>0</v>
      </c>
      <c r="I574" s="8">
        <v>0</v>
      </c>
      <c r="J574" s="8">
        <v>0</v>
      </c>
      <c r="K574" s="9">
        <v>1</v>
      </c>
      <c r="L574" s="10">
        <v>0</v>
      </c>
      <c r="M574" s="6">
        <v>0</v>
      </c>
      <c r="N574" s="37" t="e" cm="1">
        <f t="array" ref="N574">IF(OR(ISNUMBER(FIND(Aux!$D$3:$D$9,_xlfn.TEXTJOIN(,,C574:K574)))),NA(),IF(AND(SUM(C574:F574,H574:K574)=0,G574=1),0,INT((SUMPRODUCT(C574:F574,COLUMN($A$1:$D$1)-1)+SUMPRODUCT(H574:K574,COLUMN($E$1:$H$1)-1))*'Line Follower'!$C$3/SUM(C574:F574,H574:K574)-'Line Follower'!$C$5)))</f>
        <v>#N/A</v>
      </c>
      <c r="O574" s="22" t="e">
        <v>#N/A</v>
      </c>
      <c r="P574" s="4" t="e">
        <f t="shared" si="40"/>
        <v>#N/A</v>
      </c>
      <c r="Q574" s="4" t="e">
        <f t="shared" si="41"/>
        <v>#N/A</v>
      </c>
      <c r="R574" s="4" t="e">
        <f>IF(AND(B574=1,N574&gt;'Line Follower'!$C$7,SUM(C574:K574)&lt;4),1,0)</f>
        <v>#N/A</v>
      </c>
      <c r="S574" s="4" t="e">
        <f>IF(AND(L574=1,N574&lt;'Line Follower'!$C$6,SUM(C574:K574)&lt;4),1,0)</f>
        <v>#N/A</v>
      </c>
      <c r="T574" s="4" t="e">
        <f t="shared" si="42"/>
        <v>#N/A</v>
      </c>
      <c r="U574" s="5" t="e">
        <f t="shared" si="43"/>
        <v>#N/A</v>
      </c>
      <c r="V574" s="23" t="e">
        <f t="shared" si="44"/>
        <v>#N/A</v>
      </c>
    </row>
    <row r="575" spans="2:22" x14ac:dyDescent="0.25">
      <c r="B575" s="16">
        <v>0</v>
      </c>
      <c r="C575" s="7">
        <v>0</v>
      </c>
      <c r="D575" s="8">
        <v>1</v>
      </c>
      <c r="E575" s="8">
        <v>1</v>
      </c>
      <c r="F575" s="8">
        <v>1</v>
      </c>
      <c r="G575" s="8">
        <v>1</v>
      </c>
      <c r="H575" s="8">
        <v>0</v>
      </c>
      <c r="I575" s="8">
        <v>0</v>
      </c>
      <c r="J575" s="8">
        <v>0</v>
      </c>
      <c r="K575" s="9">
        <v>1</v>
      </c>
      <c r="L575" s="10">
        <v>0</v>
      </c>
      <c r="M575" s="6">
        <v>0</v>
      </c>
      <c r="N575" s="37" t="e" cm="1">
        <f t="array" ref="N575">IF(OR(ISNUMBER(FIND(Aux!$D$3:$D$9,_xlfn.TEXTJOIN(,,C575:K575)))),NA(),IF(AND(SUM(C575:F575,H575:K575)=0,G575=1),0,INT((SUMPRODUCT(C575:F575,COLUMN($A$1:$D$1)-1)+SUMPRODUCT(H575:K575,COLUMN($E$1:$H$1)-1))*'Line Follower'!$C$3/SUM(C575:F575,H575:K575)-'Line Follower'!$C$5)))</f>
        <v>#N/A</v>
      </c>
      <c r="O575" s="22" t="e">
        <v>#N/A</v>
      </c>
      <c r="P575" s="4" t="e">
        <f t="shared" si="40"/>
        <v>#N/A</v>
      </c>
      <c r="Q575" s="4" t="e">
        <f t="shared" si="41"/>
        <v>#N/A</v>
      </c>
      <c r="R575" s="4" t="e">
        <f>IF(AND(B575=1,N575&gt;'Line Follower'!$C$7,SUM(C575:K575)&lt;4),1,0)</f>
        <v>#N/A</v>
      </c>
      <c r="S575" s="4" t="e">
        <f>IF(AND(L575=1,N575&lt;'Line Follower'!$C$6,SUM(C575:K575)&lt;4),1,0)</f>
        <v>#N/A</v>
      </c>
      <c r="T575" s="4" t="e">
        <f t="shared" si="42"/>
        <v>#N/A</v>
      </c>
      <c r="U575" s="5" t="e">
        <f t="shared" si="43"/>
        <v>#N/A</v>
      </c>
      <c r="V575" s="23" t="e">
        <f t="shared" si="44"/>
        <v>#N/A</v>
      </c>
    </row>
    <row r="576" spans="2:22" x14ac:dyDescent="0.25">
      <c r="B576" s="16">
        <v>1</v>
      </c>
      <c r="C576" s="7">
        <v>0</v>
      </c>
      <c r="D576" s="8">
        <v>1</v>
      </c>
      <c r="E576" s="8">
        <v>1</v>
      </c>
      <c r="F576" s="8">
        <v>1</v>
      </c>
      <c r="G576" s="8">
        <v>1</v>
      </c>
      <c r="H576" s="8">
        <v>0</v>
      </c>
      <c r="I576" s="8">
        <v>0</v>
      </c>
      <c r="J576" s="8">
        <v>0</v>
      </c>
      <c r="K576" s="9">
        <v>1</v>
      </c>
      <c r="L576" s="10">
        <v>0</v>
      </c>
      <c r="M576" s="6">
        <v>0</v>
      </c>
      <c r="N576" s="37" t="e" cm="1">
        <f t="array" ref="N576">IF(OR(ISNUMBER(FIND(Aux!$D$3:$D$9,_xlfn.TEXTJOIN(,,C576:K576)))),NA(),IF(AND(SUM(C576:F576,H576:K576)=0,G576=1),0,INT((SUMPRODUCT(C576:F576,COLUMN($A$1:$D$1)-1)+SUMPRODUCT(H576:K576,COLUMN($E$1:$H$1)-1))*'Line Follower'!$C$3/SUM(C576:F576,H576:K576)-'Line Follower'!$C$5)))</f>
        <v>#N/A</v>
      </c>
      <c r="O576" s="22" t="e">
        <v>#N/A</v>
      </c>
      <c r="P576" s="4" t="e">
        <f t="shared" si="40"/>
        <v>#N/A</v>
      </c>
      <c r="Q576" s="4" t="e">
        <f t="shared" si="41"/>
        <v>#N/A</v>
      </c>
      <c r="R576" s="4" t="e">
        <f>IF(AND(B576=1,N576&gt;'Line Follower'!$C$7,SUM(C576:K576)&lt;4),1,0)</f>
        <v>#N/A</v>
      </c>
      <c r="S576" s="4" t="e">
        <f>IF(AND(L576=1,N576&lt;'Line Follower'!$C$6,SUM(C576:K576)&lt;4),1,0)</f>
        <v>#N/A</v>
      </c>
      <c r="T576" s="4" t="e">
        <f t="shared" si="42"/>
        <v>#N/A</v>
      </c>
      <c r="U576" s="5" t="e">
        <f t="shared" si="43"/>
        <v>#N/A</v>
      </c>
      <c r="V576" s="23" t="e">
        <f t="shared" si="44"/>
        <v>#N/A</v>
      </c>
    </row>
    <row r="577" spans="2:22" x14ac:dyDescent="0.25">
      <c r="B577" s="16">
        <v>0</v>
      </c>
      <c r="C577" s="7">
        <v>1</v>
      </c>
      <c r="D577" s="8">
        <v>1</v>
      </c>
      <c r="E577" s="8">
        <v>1</v>
      </c>
      <c r="F577" s="8">
        <v>1</v>
      </c>
      <c r="G577" s="8">
        <v>1</v>
      </c>
      <c r="H577" s="8">
        <v>0</v>
      </c>
      <c r="I577" s="8">
        <v>0</v>
      </c>
      <c r="J577" s="8">
        <v>0</v>
      </c>
      <c r="K577" s="9">
        <v>1</v>
      </c>
      <c r="L577" s="10">
        <v>0</v>
      </c>
      <c r="M577" s="6">
        <v>0</v>
      </c>
      <c r="N577" s="37" t="e" cm="1">
        <f t="array" ref="N577">IF(OR(ISNUMBER(FIND(Aux!$D$3:$D$9,_xlfn.TEXTJOIN(,,C577:K577)))),NA(),IF(AND(SUM(C577:F577,H577:K577)=0,G577=1),0,INT((SUMPRODUCT(C577:F577,COLUMN($A$1:$D$1)-1)+SUMPRODUCT(H577:K577,COLUMN($E$1:$H$1)-1))*'Line Follower'!$C$3/SUM(C577:F577,H577:K577)-'Line Follower'!$C$5)))</f>
        <v>#N/A</v>
      </c>
      <c r="O577" s="22" t="e">
        <v>#N/A</v>
      </c>
      <c r="P577" s="4" t="e">
        <f t="shared" si="40"/>
        <v>#N/A</v>
      </c>
      <c r="Q577" s="4" t="e">
        <f t="shared" si="41"/>
        <v>#N/A</v>
      </c>
      <c r="R577" s="4" t="e">
        <f>IF(AND(B577=1,N577&gt;'Line Follower'!$C$7,SUM(C577:K577)&lt;4),1,0)</f>
        <v>#N/A</v>
      </c>
      <c r="S577" s="4" t="e">
        <f>IF(AND(L577=1,N577&lt;'Line Follower'!$C$6,SUM(C577:K577)&lt;4),1,0)</f>
        <v>#N/A</v>
      </c>
      <c r="T577" s="4" t="e">
        <f t="shared" si="42"/>
        <v>#N/A</v>
      </c>
      <c r="U577" s="5" t="e">
        <f t="shared" si="43"/>
        <v>#N/A</v>
      </c>
      <c r="V577" s="23" t="e">
        <f t="shared" si="44"/>
        <v>#N/A</v>
      </c>
    </row>
    <row r="578" spans="2:22" x14ac:dyDescent="0.25">
      <c r="B578" s="16">
        <v>1</v>
      </c>
      <c r="C578" s="7">
        <v>1</v>
      </c>
      <c r="D578" s="8">
        <v>1</v>
      </c>
      <c r="E578" s="8">
        <v>1</v>
      </c>
      <c r="F578" s="8">
        <v>1</v>
      </c>
      <c r="G578" s="8">
        <v>1</v>
      </c>
      <c r="H578" s="8">
        <v>0</v>
      </c>
      <c r="I578" s="8">
        <v>0</v>
      </c>
      <c r="J578" s="8">
        <v>0</v>
      </c>
      <c r="K578" s="9">
        <v>1</v>
      </c>
      <c r="L578" s="10">
        <v>0</v>
      </c>
      <c r="M578" s="6">
        <v>0</v>
      </c>
      <c r="N578" s="37" t="e" cm="1">
        <f t="array" ref="N578">IF(OR(ISNUMBER(FIND(Aux!$D$3:$D$9,_xlfn.TEXTJOIN(,,C578:K578)))),NA(),IF(AND(SUM(C578:F578,H578:K578)=0,G578=1),0,INT((SUMPRODUCT(C578:F578,COLUMN($A$1:$D$1)-1)+SUMPRODUCT(H578:K578,COLUMN($E$1:$H$1)-1))*'Line Follower'!$C$3/SUM(C578:F578,H578:K578)-'Line Follower'!$C$5)))</f>
        <v>#N/A</v>
      </c>
      <c r="O578" s="22" t="e">
        <v>#N/A</v>
      </c>
      <c r="P578" s="4" t="e">
        <f t="shared" si="40"/>
        <v>#N/A</v>
      </c>
      <c r="Q578" s="4" t="e">
        <f t="shared" si="41"/>
        <v>#N/A</v>
      </c>
      <c r="R578" s="4" t="e">
        <f>IF(AND(B578=1,N578&gt;'Line Follower'!$C$7,SUM(C578:K578)&lt;4),1,0)</f>
        <v>#N/A</v>
      </c>
      <c r="S578" s="4" t="e">
        <f>IF(AND(L578=1,N578&lt;'Line Follower'!$C$6,SUM(C578:K578)&lt;4),1,0)</f>
        <v>#N/A</v>
      </c>
      <c r="T578" s="4" t="e">
        <f t="shared" si="42"/>
        <v>#N/A</v>
      </c>
      <c r="U578" s="5" t="e">
        <f t="shared" si="43"/>
        <v>#N/A</v>
      </c>
      <c r="V578" s="23" t="e">
        <f t="shared" si="44"/>
        <v>#N/A</v>
      </c>
    </row>
    <row r="579" spans="2:22" x14ac:dyDescent="0.25">
      <c r="B579" s="16">
        <v>0</v>
      </c>
      <c r="C579" s="7">
        <v>0</v>
      </c>
      <c r="D579" s="8">
        <v>0</v>
      </c>
      <c r="E579" s="8">
        <v>0</v>
      </c>
      <c r="F579" s="8">
        <v>0</v>
      </c>
      <c r="G579" s="8">
        <v>0</v>
      </c>
      <c r="H579" s="8">
        <v>1</v>
      </c>
      <c r="I579" s="8">
        <v>0</v>
      </c>
      <c r="J579" s="8">
        <v>0</v>
      </c>
      <c r="K579" s="9">
        <v>1</v>
      </c>
      <c r="L579" s="10">
        <v>0</v>
      </c>
      <c r="M579" s="6">
        <v>0</v>
      </c>
      <c r="N579" s="37" t="e" cm="1">
        <f t="array" ref="N579">IF(OR(ISNUMBER(FIND(Aux!$D$3:$D$9,_xlfn.TEXTJOIN(,,C579:K579)))),NA(),IF(AND(SUM(C579:F579,H579:K579)=0,G579=1),0,INT((SUMPRODUCT(C579:F579,COLUMN($A$1:$D$1)-1)+SUMPRODUCT(H579:K579,COLUMN($E$1:$H$1)-1))*'Line Follower'!$C$3/SUM(C579:F579,H579:K579)-'Line Follower'!$C$5)))</f>
        <v>#N/A</v>
      </c>
      <c r="O579" s="22" t="e">
        <v>#N/A</v>
      </c>
      <c r="P579" s="4" t="e">
        <f t="shared" ref="P579:P642" si="45">IF(AND(N579=0,G579=1,M579=1),1,0)</f>
        <v>#N/A</v>
      </c>
      <c r="Q579" s="4" t="e">
        <f t="shared" ref="Q579:Q642" si="46">IF(ISERROR(N579),N579,IF(SUM(C579:K579)&gt;=4,1,0))</f>
        <v>#N/A</v>
      </c>
      <c r="R579" s="4" t="e">
        <f>IF(AND(B579=1,N579&gt;'Line Follower'!$C$7,SUM(C579:K579)&lt;4),1,0)</f>
        <v>#N/A</v>
      </c>
      <c r="S579" s="4" t="e">
        <f>IF(AND(L579=1,N579&lt;'Line Follower'!$C$6,SUM(C579:K579)&lt;4),1,0)</f>
        <v>#N/A</v>
      </c>
      <c r="T579" s="4" t="e">
        <f t="shared" si="42"/>
        <v>#N/A</v>
      </c>
      <c r="U579" s="5" t="e">
        <f t="shared" si="43"/>
        <v>#N/A</v>
      </c>
      <c r="V579" s="23" t="e">
        <f t="shared" si="44"/>
        <v>#N/A</v>
      </c>
    </row>
    <row r="580" spans="2:22" x14ac:dyDescent="0.25">
      <c r="B580" s="16">
        <v>1</v>
      </c>
      <c r="C580" s="7">
        <v>0</v>
      </c>
      <c r="D580" s="8">
        <v>0</v>
      </c>
      <c r="E580" s="8">
        <v>0</v>
      </c>
      <c r="F580" s="8">
        <v>0</v>
      </c>
      <c r="G580" s="8">
        <v>0</v>
      </c>
      <c r="H580" s="8">
        <v>1</v>
      </c>
      <c r="I580" s="8">
        <v>0</v>
      </c>
      <c r="J580" s="8">
        <v>0</v>
      </c>
      <c r="K580" s="9">
        <v>1</v>
      </c>
      <c r="L580" s="10">
        <v>0</v>
      </c>
      <c r="M580" s="6">
        <v>0</v>
      </c>
      <c r="N580" s="37" t="e" cm="1">
        <f t="array" ref="N580">IF(OR(ISNUMBER(FIND(Aux!$D$3:$D$9,_xlfn.TEXTJOIN(,,C580:K580)))),NA(),IF(AND(SUM(C580:F580,H580:K580)=0,G580=1),0,INT((SUMPRODUCT(C580:F580,COLUMN($A$1:$D$1)-1)+SUMPRODUCT(H580:K580,COLUMN($E$1:$H$1)-1))*'Line Follower'!$C$3/SUM(C580:F580,H580:K580)-'Line Follower'!$C$5)))</f>
        <v>#N/A</v>
      </c>
      <c r="O580" s="22" t="e">
        <v>#N/A</v>
      </c>
      <c r="P580" s="4" t="e">
        <f t="shared" si="45"/>
        <v>#N/A</v>
      </c>
      <c r="Q580" s="4" t="e">
        <f t="shared" si="46"/>
        <v>#N/A</v>
      </c>
      <c r="R580" s="4" t="e">
        <f>IF(AND(B580=1,N580&gt;'Line Follower'!$C$7,SUM(C580:K580)&lt;4),1,0)</f>
        <v>#N/A</v>
      </c>
      <c r="S580" s="4" t="e">
        <f>IF(AND(L580=1,N580&lt;'Line Follower'!$C$6,SUM(C580:K580)&lt;4),1,0)</f>
        <v>#N/A</v>
      </c>
      <c r="T580" s="4" t="e">
        <f t="shared" ref="T580:T643" si="47">IF(ISNA(N580),NA(),IF(SUM(C580:L580)=0,1,0))</f>
        <v>#N/A</v>
      </c>
      <c r="U580" s="5" t="e">
        <f t="shared" ref="U580:U643" si="48">IF(ISNA(N580),NA(),IF(SUM(B580:K580)=0,1,0))</f>
        <v>#N/A</v>
      </c>
      <c r="V580" s="23" t="e">
        <f t="shared" ref="V580:V643" si="49">IF(ISNA(N580),NA(),IF(SUM(B580:L580)=0,1,0))</f>
        <v>#N/A</v>
      </c>
    </row>
    <row r="581" spans="2:22" x14ac:dyDescent="0.25">
      <c r="B581" s="16">
        <v>0</v>
      </c>
      <c r="C581" s="7">
        <v>1</v>
      </c>
      <c r="D581" s="8">
        <v>0</v>
      </c>
      <c r="E581" s="8">
        <v>0</v>
      </c>
      <c r="F581" s="8">
        <v>0</v>
      </c>
      <c r="G581" s="8">
        <v>0</v>
      </c>
      <c r="H581" s="8">
        <v>1</v>
      </c>
      <c r="I581" s="8">
        <v>0</v>
      </c>
      <c r="J581" s="8">
        <v>0</v>
      </c>
      <c r="K581" s="9">
        <v>1</v>
      </c>
      <c r="L581" s="10">
        <v>0</v>
      </c>
      <c r="M581" s="6">
        <v>0</v>
      </c>
      <c r="N581" s="37" t="e" cm="1">
        <f t="array" ref="N581">IF(OR(ISNUMBER(FIND(Aux!$D$3:$D$9,_xlfn.TEXTJOIN(,,C581:K581)))),NA(),IF(AND(SUM(C581:F581,H581:K581)=0,G581=1),0,INT((SUMPRODUCT(C581:F581,COLUMN($A$1:$D$1)-1)+SUMPRODUCT(H581:K581,COLUMN($E$1:$H$1)-1))*'Line Follower'!$C$3/SUM(C581:F581,H581:K581)-'Line Follower'!$C$5)))</f>
        <v>#N/A</v>
      </c>
      <c r="O581" s="22" t="e">
        <v>#N/A</v>
      </c>
      <c r="P581" s="4" t="e">
        <f t="shared" si="45"/>
        <v>#N/A</v>
      </c>
      <c r="Q581" s="4" t="e">
        <f t="shared" si="46"/>
        <v>#N/A</v>
      </c>
      <c r="R581" s="4" t="e">
        <f>IF(AND(B581=1,N581&gt;'Line Follower'!$C$7,SUM(C581:K581)&lt;4),1,0)</f>
        <v>#N/A</v>
      </c>
      <c r="S581" s="4" t="e">
        <f>IF(AND(L581=1,N581&lt;'Line Follower'!$C$6,SUM(C581:K581)&lt;4),1,0)</f>
        <v>#N/A</v>
      </c>
      <c r="T581" s="4" t="e">
        <f t="shared" si="47"/>
        <v>#N/A</v>
      </c>
      <c r="U581" s="5" t="e">
        <f t="shared" si="48"/>
        <v>#N/A</v>
      </c>
      <c r="V581" s="23" t="e">
        <f t="shared" si="49"/>
        <v>#N/A</v>
      </c>
    </row>
    <row r="582" spans="2:22" x14ac:dyDescent="0.25">
      <c r="B582" s="16">
        <v>1</v>
      </c>
      <c r="C582" s="7">
        <v>1</v>
      </c>
      <c r="D582" s="8">
        <v>0</v>
      </c>
      <c r="E582" s="8">
        <v>0</v>
      </c>
      <c r="F582" s="8">
        <v>0</v>
      </c>
      <c r="G582" s="8">
        <v>0</v>
      </c>
      <c r="H582" s="8">
        <v>1</v>
      </c>
      <c r="I582" s="8">
        <v>0</v>
      </c>
      <c r="J582" s="8">
        <v>0</v>
      </c>
      <c r="K582" s="9">
        <v>1</v>
      </c>
      <c r="L582" s="10">
        <v>0</v>
      </c>
      <c r="M582" s="6">
        <v>0</v>
      </c>
      <c r="N582" s="37" t="e" cm="1">
        <f t="array" ref="N582">IF(OR(ISNUMBER(FIND(Aux!$D$3:$D$9,_xlfn.TEXTJOIN(,,C582:K582)))),NA(),IF(AND(SUM(C582:F582,H582:K582)=0,G582=1),0,INT((SUMPRODUCT(C582:F582,COLUMN($A$1:$D$1)-1)+SUMPRODUCT(H582:K582,COLUMN($E$1:$H$1)-1))*'Line Follower'!$C$3/SUM(C582:F582,H582:K582)-'Line Follower'!$C$5)))</f>
        <v>#N/A</v>
      </c>
      <c r="O582" s="22" t="e">
        <v>#N/A</v>
      </c>
      <c r="P582" s="4" t="e">
        <f t="shared" si="45"/>
        <v>#N/A</v>
      </c>
      <c r="Q582" s="4" t="e">
        <f t="shared" si="46"/>
        <v>#N/A</v>
      </c>
      <c r="R582" s="4" t="e">
        <f>IF(AND(B582=1,N582&gt;'Line Follower'!$C$7,SUM(C582:K582)&lt;4),1,0)</f>
        <v>#N/A</v>
      </c>
      <c r="S582" s="4" t="e">
        <f>IF(AND(L582=1,N582&lt;'Line Follower'!$C$6,SUM(C582:K582)&lt;4),1,0)</f>
        <v>#N/A</v>
      </c>
      <c r="T582" s="4" t="e">
        <f t="shared" si="47"/>
        <v>#N/A</v>
      </c>
      <c r="U582" s="5" t="e">
        <f t="shared" si="48"/>
        <v>#N/A</v>
      </c>
      <c r="V582" s="23" t="e">
        <f t="shared" si="49"/>
        <v>#N/A</v>
      </c>
    </row>
    <row r="583" spans="2:22" x14ac:dyDescent="0.25">
      <c r="B583" s="16">
        <v>0</v>
      </c>
      <c r="C583" s="7">
        <v>0</v>
      </c>
      <c r="D583" s="8">
        <v>1</v>
      </c>
      <c r="E583" s="8">
        <v>0</v>
      </c>
      <c r="F583" s="8">
        <v>0</v>
      </c>
      <c r="G583" s="8">
        <v>0</v>
      </c>
      <c r="H583" s="8">
        <v>1</v>
      </c>
      <c r="I583" s="8">
        <v>0</v>
      </c>
      <c r="J583" s="8">
        <v>0</v>
      </c>
      <c r="K583" s="9">
        <v>1</v>
      </c>
      <c r="L583" s="10">
        <v>0</v>
      </c>
      <c r="M583" s="6">
        <v>0</v>
      </c>
      <c r="N583" s="37" t="e" cm="1">
        <f t="array" ref="N583">IF(OR(ISNUMBER(FIND(Aux!$D$3:$D$9,_xlfn.TEXTJOIN(,,C583:K583)))),NA(),IF(AND(SUM(C583:F583,H583:K583)=0,G583=1),0,INT((SUMPRODUCT(C583:F583,COLUMN($A$1:$D$1)-1)+SUMPRODUCT(H583:K583,COLUMN($E$1:$H$1)-1))*'Line Follower'!$C$3/SUM(C583:F583,H583:K583)-'Line Follower'!$C$5)))</f>
        <v>#N/A</v>
      </c>
      <c r="O583" s="22" t="e">
        <v>#N/A</v>
      </c>
      <c r="P583" s="4" t="e">
        <f t="shared" si="45"/>
        <v>#N/A</v>
      </c>
      <c r="Q583" s="4" t="e">
        <f t="shared" si="46"/>
        <v>#N/A</v>
      </c>
      <c r="R583" s="4" t="e">
        <f>IF(AND(B583=1,N583&gt;'Line Follower'!$C$7,SUM(C583:K583)&lt;4),1,0)</f>
        <v>#N/A</v>
      </c>
      <c r="S583" s="4" t="e">
        <f>IF(AND(L583=1,N583&lt;'Line Follower'!$C$6,SUM(C583:K583)&lt;4),1,0)</f>
        <v>#N/A</v>
      </c>
      <c r="T583" s="4" t="e">
        <f t="shared" si="47"/>
        <v>#N/A</v>
      </c>
      <c r="U583" s="5" t="e">
        <f t="shared" si="48"/>
        <v>#N/A</v>
      </c>
      <c r="V583" s="23" t="e">
        <f t="shared" si="49"/>
        <v>#N/A</v>
      </c>
    </row>
    <row r="584" spans="2:22" x14ac:dyDescent="0.25">
      <c r="B584" s="16">
        <v>1</v>
      </c>
      <c r="C584" s="7">
        <v>0</v>
      </c>
      <c r="D584" s="8">
        <v>1</v>
      </c>
      <c r="E584" s="8">
        <v>0</v>
      </c>
      <c r="F584" s="8">
        <v>0</v>
      </c>
      <c r="G584" s="8">
        <v>0</v>
      </c>
      <c r="H584" s="8">
        <v>1</v>
      </c>
      <c r="I584" s="8">
        <v>0</v>
      </c>
      <c r="J584" s="8">
        <v>0</v>
      </c>
      <c r="K584" s="9">
        <v>1</v>
      </c>
      <c r="L584" s="10">
        <v>0</v>
      </c>
      <c r="M584" s="6">
        <v>0</v>
      </c>
      <c r="N584" s="37" t="e" cm="1">
        <f t="array" ref="N584">IF(OR(ISNUMBER(FIND(Aux!$D$3:$D$9,_xlfn.TEXTJOIN(,,C584:K584)))),NA(),IF(AND(SUM(C584:F584,H584:K584)=0,G584=1),0,INT((SUMPRODUCT(C584:F584,COLUMN($A$1:$D$1)-1)+SUMPRODUCT(H584:K584,COLUMN($E$1:$H$1)-1))*'Line Follower'!$C$3/SUM(C584:F584,H584:K584)-'Line Follower'!$C$5)))</f>
        <v>#N/A</v>
      </c>
      <c r="O584" s="22" t="e">
        <v>#N/A</v>
      </c>
      <c r="P584" s="4" t="e">
        <f t="shared" si="45"/>
        <v>#N/A</v>
      </c>
      <c r="Q584" s="4" t="e">
        <f t="shared" si="46"/>
        <v>#N/A</v>
      </c>
      <c r="R584" s="4" t="e">
        <f>IF(AND(B584=1,N584&gt;'Line Follower'!$C$7,SUM(C584:K584)&lt;4),1,0)</f>
        <v>#N/A</v>
      </c>
      <c r="S584" s="4" t="e">
        <f>IF(AND(L584=1,N584&lt;'Line Follower'!$C$6,SUM(C584:K584)&lt;4),1,0)</f>
        <v>#N/A</v>
      </c>
      <c r="T584" s="4" t="e">
        <f t="shared" si="47"/>
        <v>#N/A</v>
      </c>
      <c r="U584" s="5" t="e">
        <f t="shared" si="48"/>
        <v>#N/A</v>
      </c>
      <c r="V584" s="23" t="e">
        <f t="shared" si="49"/>
        <v>#N/A</v>
      </c>
    </row>
    <row r="585" spans="2:22" x14ac:dyDescent="0.25">
      <c r="B585" s="16">
        <v>0</v>
      </c>
      <c r="C585" s="7">
        <v>1</v>
      </c>
      <c r="D585" s="8">
        <v>1</v>
      </c>
      <c r="E585" s="8">
        <v>0</v>
      </c>
      <c r="F585" s="8">
        <v>0</v>
      </c>
      <c r="G585" s="8">
        <v>0</v>
      </c>
      <c r="H585" s="8">
        <v>1</v>
      </c>
      <c r="I585" s="8">
        <v>0</v>
      </c>
      <c r="J585" s="8">
        <v>0</v>
      </c>
      <c r="K585" s="9">
        <v>1</v>
      </c>
      <c r="L585" s="10">
        <v>0</v>
      </c>
      <c r="M585" s="6">
        <v>0</v>
      </c>
      <c r="N585" s="37" t="e" cm="1">
        <f t="array" ref="N585">IF(OR(ISNUMBER(FIND(Aux!$D$3:$D$9,_xlfn.TEXTJOIN(,,C585:K585)))),NA(),IF(AND(SUM(C585:F585,H585:K585)=0,G585=1),0,INT((SUMPRODUCT(C585:F585,COLUMN($A$1:$D$1)-1)+SUMPRODUCT(H585:K585,COLUMN($E$1:$H$1)-1))*'Line Follower'!$C$3/SUM(C585:F585,H585:K585)-'Line Follower'!$C$5)))</f>
        <v>#N/A</v>
      </c>
      <c r="O585" s="22" t="e">
        <v>#N/A</v>
      </c>
      <c r="P585" s="4" t="e">
        <f t="shared" si="45"/>
        <v>#N/A</v>
      </c>
      <c r="Q585" s="4" t="e">
        <f t="shared" si="46"/>
        <v>#N/A</v>
      </c>
      <c r="R585" s="4" t="e">
        <f>IF(AND(B585=1,N585&gt;'Line Follower'!$C$7,SUM(C585:K585)&lt;4),1,0)</f>
        <v>#N/A</v>
      </c>
      <c r="S585" s="4" t="e">
        <f>IF(AND(L585=1,N585&lt;'Line Follower'!$C$6,SUM(C585:K585)&lt;4),1,0)</f>
        <v>#N/A</v>
      </c>
      <c r="T585" s="4" t="e">
        <f t="shared" si="47"/>
        <v>#N/A</v>
      </c>
      <c r="U585" s="5" t="e">
        <f t="shared" si="48"/>
        <v>#N/A</v>
      </c>
      <c r="V585" s="23" t="e">
        <f t="shared" si="49"/>
        <v>#N/A</v>
      </c>
    </row>
    <row r="586" spans="2:22" x14ac:dyDescent="0.25">
      <c r="B586" s="16">
        <v>1</v>
      </c>
      <c r="C586" s="7">
        <v>1</v>
      </c>
      <c r="D586" s="8">
        <v>1</v>
      </c>
      <c r="E586" s="8">
        <v>0</v>
      </c>
      <c r="F586" s="8">
        <v>0</v>
      </c>
      <c r="G586" s="8">
        <v>0</v>
      </c>
      <c r="H586" s="8">
        <v>1</v>
      </c>
      <c r="I586" s="8">
        <v>0</v>
      </c>
      <c r="J586" s="8">
        <v>0</v>
      </c>
      <c r="K586" s="9">
        <v>1</v>
      </c>
      <c r="L586" s="10">
        <v>0</v>
      </c>
      <c r="M586" s="6">
        <v>0</v>
      </c>
      <c r="N586" s="37" t="e" cm="1">
        <f t="array" ref="N586">IF(OR(ISNUMBER(FIND(Aux!$D$3:$D$9,_xlfn.TEXTJOIN(,,C586:K586)))),NA(),IF(AND(SUM(C586:F586,H586:K586)=0,G586=1),0,INT((SUMPRODUCT(C586:F586,COLUMN($A$1:$D$1)-1)+SUMPRODUCT(H586:K586,COLUMN($E$1:$H$1)-1))*'Line Follower'!$C$3/SUM(C586:F586,H586:K586)-'Line Follower'!$C$5)))</f>
        <v>#N/A</v>
      </c>
      <c r="O586" s="22" t="e">
        <v>#N/A</v>
      </c>
      <c r="P586" s="4" t="e">
        <f t="shared" si="45"/>
        <v>#N/A</v>
      </c>
      <c r="Q586" s="4" t="e">
        <f t="shared" si="46"/>
        <v>#N/A</v>
      </c>
      <c r="R586" s="4" t="e">
        <f>IF(AND(B586=1,N586&gt;'Line Follower'!$C$7,SUM(C586:K586)&lt;4),1,0)</f>
        <v>#N/A</v>
      </c>
      <c r="S586" s="4" t="e">
        <f>IF(AND(L586=1,N586&lt;'Line Follower'!$C$6,SUM(C586:K586)&lt;4),1,0)</f>
        <v>#N/A</v>
      </c>
      <c r="T586" s="4" t="e">
        <f t="shared" si="47"/>
        <v>#N/A</v>
      </c>
      <c r="U586" s="5" t="e">
        <f t="shared" si="48"/>
        <v>#N/A</v>
      </c>
      <c r="V586" s="23" t="e">
        <f t="shared" si="49"/>
        <v>#N/A</v>
      </c>
    </row>
    <row r="587" spans="2:22" x14ac:dyDescent="0.25">
      <c r="B587" s="16">
        <v>0</v>
      </c>
      <c r="C587" s="7">
        <v>0</v>
      </c>
      <c r="D587" s="8">
        <v>0</v>
      </c>
      <c r="E587" s="8">
        <v>1</v>
      </c>
      <c r="F587" s="8">
        <v>0</v>
      </c>
      <c r="G587" s="8">
        <v>0</v>
      </c>
      <c r="H587" s="8">
        <v>1</v>
      </c>
      <c r="I587" s="8">
        <v>0</v>
      </c>
      <c r="J587" s="8">
        <v>0</v>
      </c>
      <c r="K587" s="9">
        <v>1</v>
      </c>
      <c r="L587" s="10">
        <v>0</v>
      </c>
      <c r="M587" s="6">
        <v>0</v>
      </c>
      <c r="N587" s="37" t="e" cm="1">
        <f t="array" ref="N587">IF(OR(ISNUMBER(FIND(Aux!$D$3:$D$9,_xlfn.TEXTJOIN(,,C587:K587)))),NA(),IF(AND(SUM(C587:F587,H587:K587)=0,G587=1),0,INT((SUMPRODUCT(C587:F587,COLUMN($A$1:$D$1)-1)+SUMPRODUCT(H587:K587,COLUMN($E$1:$H$1)-1))*'Line Follower'!$C$3/SUM(C587:F587,H587:K587)-'Line Follower'!$C$5)))</f>
        <v>#N/A</v>
      </c>
      <c r="O587" s="22" t="e">
        <v>#N/A</v>
      </c>
      <c r="P587" s="4" t="e">
        <f t="shared" si="45"/>
        <v>#N/A</v>
      </c>
      <c r="Q587" s="4" t="e">
        <f t="shared" si="46"/>
        <v>#N/A</v>
      </c>
      <c r="R587" s="4" t="e">
        <f>IF(AND(B587=1,N587&gt;'Line Follower'!$C$7,SUM(C587:K587)&lt;4),1,0)</f>
        <v>#N/A</v>
      </c>
      <c r="S587" s="4" t="e">
        <f>IF(AND(L587=1,N587&lt;'Line Follower'!$C$6,SUM(C587:K587)&lt;4),1,0)</f>
        <v>#N/A</v>
      </c>
      <c r="T587" s="4" t="e">
        <f t="shared" si="47"/>
        <v>#N/A</v>
      </c>
      <c r="U587" s="5" t="e">
        <f t="shared" si="48"/>
        <v>#N/A</v>
      </c>
      <c r="V587" s="23" t="e">
        <f t="shared" si="49"/>
        <v>#N/A</v>
      </c>
    </row>
    <row r="588" spans="2:22" x14ac:dyDescent="0.25">
      <c r="B588" s="16">
        <v>1</v>
      </c>
      <c r="C588" s="7">
        <v>0</v>
      </c>
      <c r="D588" s="8">
        <v>0</v>
      </c>
      <c r="E588" s="8">
        <v>1</v>
      </c>
      <c r="F588" s="8">
        <v>0</v>
      </c>
      <c r="G588" s="8">
        <v>0</v>
      </c>
      <c r="H588" s="8">
        <v>1</v>
      </c>
      <c r="I588" s="8">
        <v>0</v>
      </c>
      <c r="J588" s="8">
        <v>0</v>
      </c>
      <c r="K588" s="9">
        <v>1</v>
      </c>
      <c r="L588" s="10">
        <v>0</v>
      </c>
      <c r="M588" s="6">
        <v>0</v>
      </c>
      <c r="N588" s="37" t="e" cm="1">
        <f t="array" ref="N588">IF(OR(ISNUMBER(FIND(Aux!$D$3:$D$9,_xlfn.TEXTJOIN(,,C588:K588)))),NA(),IF(AND(SUM(C588:F588,H588:K588)=0,G588=1),0,INT((SUMPRODUCT(C588:F588,COLUMN($A$1:$D$1)-1)+SUMPRODUCT(H588:K588,COLUMN($E$1:$H$1)-1))*'Line Follower'!$C$3/SUM(C588:F588,H588:K588)-'Line Follower'!$C$5)))</f>
        <v>#N/A</v>
      </c>
      <c r="O588" s="22" t="e">
        <v>#N/A</v>
      </c>
      <c r="P588" s="4" t="e">
        <f t="shared" si="45"/>
        <v>#N/A</v>
      </c>
      <c r="Q588" s="4" t="e">
        <f t="shared" si="46"/>
        <v>#N/A</v>
      </c>
      <c r="R588" s="4" t="e">
        <f>IF(AND(B588=1,N588&gt;'Line Follower'!$C$7,SUM(C588:K588)&lt;4),1,0)</f>
        <v>#N/A</v>
      </c>
      <c r="S588" s="4" t="e">
        <f>IF(AND(L588=1,N588&lt;'Line Follower'!$C$6,SUM(C588:K588)&lt;4),1,0)</f>
        <v>#N/A</v>
      </c>
      <c r="T588" s="4" t="e">
        <f t="shared" si="47"/>
        <v>#N/A</v>
      </c>
      <c r="U588" s="5" t="e">
        <f t="shared" si="48"/>
        <v>#N/A</v>
      </c>
      <c r="V588" s="23" t="e">
        <f t="shared" si="49"/>
        <v>#N/A</v>
      </c>
    </row>
    <row r="589" spans="2:22" x14ac:dyDescent="0.25">
      <c r="B589" s="16">
        <v>0</v>
      </c>
      <c r="C589" s="7">
        <v>1</v>
      </c>
      <c r="D589" s="8">
        <v>0</v>
      </c>
      <c r="E589" s="8">
        <v>1</v>
      </c>
      <c r="F589" s="8">
        <v>0</v>
      </c>
      <c r="G589" s="8">
        <v>0</v>
      </c>
      <c r="H589" s="8">
        <v>1</v>
      </c>
      <c r="I589" s="8">
        <v>0</v>
      </c>
      <c r="J589" s="8">
        <v>0</v>
      </c>
      <c r="K589" s="9">
        <v>1</v>
      </c>
      <c r="L589" s="10">
        <v>0</v>
      </c>
      <c r="M589" s="6">
        <v>0</v>
      </c>
      <c r="N589" s="37" t="e" cm="1">
        <f t="array" ref="N589">IF(OR(ISNUMBER(FIND(Aux!$D$3:$D$9,_xlfn.TEXTJOIN(,,C589:K589)))),NA(),IF(AND(SUM(C589:F589,H589:K589)=0,G589=1),0,INT((SUMPRODUCT(C589:F589,COLUMN($A$1:$D$1)-1)+SUMPRODUCT(H589:K589,COLUMN($E$1:$H$1)-1))*'Line Follower'!$C$3/SUM(C589:F589,H589:K589)-'Line Follower'!$C$5)))</f>
        <v>#N/A</v>
      </c>
      <c r="O589" s="22" t="e">
        <v>#N/A</v>
      </c>
      <c r="P589" s="4" t="e">
        <f t="shared" si="45"/>
        <v>#N/A</v>
      </c>
      <c r="Q589" s="4" t="e">
        <f t="shared" si="46"/>
        <v>#N/A</v>
      </c>
      <c r="R589" s="4" t="e">
        <f>IF(AND(B589=1,N589&gt;'Line Follower'!$C$7,SUM(C589:K589)&lt;4),1,0)</f>
        <v>#N/A</v>
      </c>
      <c r="S589" s="4" t="e">
        <f>IF(AND(L589=1,N589&lt;'Line Follower'!$C$6,SUM(C589:K589)&lt;4),1,0)</f>
        <v>#N/A</v>
      </c>
      <c r="T589" s="4" t="e">
        <f t="shared" si="47"/>
        <v>#N/A</v>
      </c>
      <c r="U589" s="5" t="e">
        <f t="shared" si="48"/>
        <v>#N/A</v>
      </c>
      <c r="V589" s="23" t="e">
        <f t="shared" si="49"/>
        <v>#N/A</v>
      </c>
    </row>
    <row r="590" spans="2:22" x14ac:dyDescent="0.25">
      <c r="B590" s="16">
        <v>1</v>
      </c>
      <c r="C590" s="7">
        <v>1</v>
      </c>
      <c r="D590" s="8">
        <v>0</v>
      </c>
      <c r="E590" s="8">
        <v>1</v>
      </c>
      <c r="F590" s="8">
        <v>0</v>
      </c>
      <c r="G590" s="8">
        <v>0</v>
      </c>
      <c r="H590" s="8">
        <v>1</v>
      </c>
      <c r="I590" s="8">
        <v>0</v>
      </c>
      <c r="J590" s="8">
        <v>0</v>
      </c>
      <c r="K590" s="9">
        <v>1</v>
      </c>
      <c r="L590" s="10">
        <v>0</v>
      </c>
      <c r="M590" s="6">
        <v>0</v>
      </c>
      <c r="N590" s="37" t="e" cm="1">
        <f t="array" ref="N590">IF(OR(ISNUMBER(FIND(Aux!$D$3:$D$9,_xlfn.TEXTJOIN(,,C590:K590)))),NA(),IF(AND(SUM(C590:F590,H590:K590)=0,G590=1),0,INT((SUMPRODUCT(C590:F590,COLUMN($A$1:$D$1)-1)+SUMPRODUCT(H590:K590,COLUMN($E$1:$H$1)-1))*'Line Follower'!$C$3/SUM(C590:F590,H590:K590)-'Line Follower'!$C$5)))</f>
        <v>#N/A</v>
      </c>
      <c r="O590" s="22" t="e">
        <v>#N/A</v>
      </c>
      <c r="P590" s="4" t="e">
        <f t="shared" si="45"/>
        <v>#N/A</v>
      </c>
      <c r="Q590" s="4" t="e">
        <f t="shared" si="46"/>
        <v>#N/A</v>
      </c>
      <c r="R590" s="4" t="e">
        <f>IF(AND(B590=1,N590&gt;'Line Follower'!$C$7,SUM(C590:K590)&lt;4),1,0)</f>
        <v>#N/A</v>
      </c>
      <c r="S590" s="4" t="e">
        <f>IF(AND(L590=1,N590&lt;'Line Follower'!$C$6,SUM(C590:K590)&lt;4),1,0)</f>
        <v>#N/A</v>
      </c>
      <c r="T590" s="4" t="e">
        <f t="shared" si="47"/>
        <v>#N/A</v>
      </c>
      <c r="U590" s="5" t="e">
        <f t="shared" si="48"/>
        <v>#N/A</v>
      </c>
      <c r="V590" s="23" t="e">
        <f t="shared" si="49"/>
        <v>#N/A</v>
      </c>
    </row>
    <row r="591" spans="2:22" x14ac:dyDescent="0.25">
      <c r="B591" s="16">
        <v>0</v>
      </c>
      <c r="C591" s="7">
        <v>0</v>
      </c>
      <c r="D591" s="8">
        <v>1</v>
      </c>
      <c r="E591" s="8">
        <v>1</v>
      </c>
      <c r="F591" s="8">
        <v>0</v>
      </c>
      <c r="G591" s="8">
        <v>0</v>
      </c>
      <c r="H591" s="8">
        <v>1</v>
      </c>
      <c r="I591" s="8">
        <v>0</v>
      </c>
      <c r="J591" s="8">
        <v>0</v>
      </c>
      <c r="K591" s="9">
        <v>1</v>
      </c>
      <c r="L591" s="10">
        <v>0</v>
      </c>
      <c r="M591" s="6">
        <v>0</v>
      </c>
      <c r="N591" s="37" t="e" cm="1">
        <f t="array" ref="N591">IF(OR(ISNUMBER(FIND(Aux!$D$3:$D$9,_xlfn.TEXTJOIN(,,C591:K591)))),NA(),IF(AND(SUM(C591:F591,H591:K591)=0,G591=1),0,INT((SUMPRODUCT(C591:F591,COLUMN($A$1:$D$1)-1)+SUMPRODUCT(H591:K591,COLUMN($E$1:$H$1)-1))*'Line Follower'!$C$3/SUM(C591:F591,H591:K591)-'Line Follower'!$C$5)))</f>
        <v>#N/A</v>
      </c>
      <c r="O591" s="22" t="e">
        <v>#N/A</v>
      </c>
      <c r="P591" s="4" t="e">
        <f t="shared" si="45"/>
        <v>#N/A</v>
      </c>
      <c r="Q591" s="4" t="e">
        <f t="shared" si="46"/>
        <v>#N/A</v>
      </c>
      <c r="R591" s="4" t="e">
        <f>IF(AND(B591=1,N591&gt;'Line Follower'!$C$7,SUM(C591:K591)&lt;4),1,0)</f>
        <v>#N/A</v>
      </c>
      <c r="S591" s="4" t="e">
        <f>IF(AND(L591=1,N591&lt;'Line Follower'!$C$6,SUM(C591:K591)&lt;4),1,0)</f>
        <v>#N/A</v>
      </c>
      <c r="T591" s="4" t="e">
        <f t="shared" si="47"/>
        <v>#N/A</v>
      </c>
      <c r="U591" s="5" t="e">
        <f t="shared" si="48"/>
        <v>#N/A</v>
      </c>
      <c r="V591" s="23" t="e">
        <f t="shared" si="49"/>
        <v>#N/A</v>
      </c>
    </row>
    <row r="592" spans="2:22" x14ac:dyDescent="0.25">
      <c r="B592" s="16">
        <v>1</v>
      </c>
      <c r="C592" s="7">
        <v>0</v>
      </c>
      <c r="D592" s="8">
        <v>1</v>
      </c>
      <c r="E592" s="8">
        <v>1</v>
      </c>
      <c r="F592" s="8">
        <v>0</v>
      </c>
      <c r="G592" s="8">
        <v>0</v>
      </c>
      <c r="H592" s="8">
        <v>1</v>
      </c>
      <c r="I592" s="8">
        <v>0</v>
      </c>
      <c r="J592" s="8">
        <v>0</v>
      </c>
      <c r="K592" s="9">
        <v>1</v>
      </c>
      <c r="L592" s="10">
        <v>0</v>
      </c>
      <c r="M592" s="6">
        <v>0</v>
      </c>
      <c r="N592" s="37" t="e" cm="1">
        <f t="array" ref="N592">IF(OR(ISNUMBER(FIND(Aux!$D$3:$D$9,_xlfn.TEXTJOIN(,,C592:K592)))),NA(),IF(AND(SUM(C592:F592,H592:K592)=0,G592=1),0,INT((SUMPRODUCT(C592:F592,COLUMN($A$1:$D$1)-1)+SUMPRODUCT(H592:K592,COLUMN($E$1:$H$1)-1))*'Line Follower'!$C$3/SUM(C592:F592,H592:K592)-'Line Follower'!$C$5)))</f>
        <v>#N/A</v>
      </c>
      <c r="O592" s="22" t="e">
        <v>#N/A</v>
      </c>
      <c r="P592" s="4" t="e">
        <f t="shared" si="45"/>
        <v>#N/A</v>
      </c>
      <c r="Q592" s="4" t="e">
        <f t="shared" si="46"/>
        <v>#N/A</v>
      </c>
      <c r="R592" s="4" t="e">
        <f>IF(AND(B592=1,N592&gt;'Line Follower'!$C$7,SUM(C592:K592)&lt;4),1,0)</f>
        <v>#N/A</v>
      </c>
      <c r="S592" s="4" t="e">
        <f>IF(AND(L592=1,N592&lt;'Line Follower'!$C$6,SUM(C592:K592)&lt;4),1,0)</f>
        <v>#N/A</v>
      </c>
      <c r="T592" s="4" t="e">
        <f t="shared" si="47"/>
        <v>#N/A</v>
      </c>
      <c r="U592" s="5" t="e">
        <f t="shared" si="48"/>
        <v>#N/A</v>
      </c>
      <c r="V592" s="23" t="e">
        <f t="shared" si="49"/>
        <v>#N/A</v>
      </c>
    </row>
    <row r="593" spans="2:22" x14ac:dyDescent="0.25">
      <c r="B593" s="16">
        <v>0</v>
      </c>
      <c r="C593" s="7">
        <v>1</v>
      </c>
      <c r="D593" s="8">
        <v>1</v>
      </c>
      <c r="E593" s="8">
        <v>1</v>
      </c>
      <c r="F593" s="8">
        <v>0</v>
      </c>
      <c r="G593" s="8">
        <v>0</v>
      </c>
      <c r="H593" s="8">
        <v>1</v>
      </c>
      <c r="I593" s="8">
        <v>0</v>
      </c>
      <c r="J593" s="8">
        <v>0</v>
      </c>
      <c r="K593" s="9">
        <v>1</v>
      </c>
      <c r="L593" s="10">
        <v>0</v>
      </c>
      <c r="M593" s="6">
        <v>0</v>
      </c>
      <c r="N593" s="37" t="e" cm="1">
        <f t="array" ref="N593">IF(OR(ISNUMBER(FIND(Aux!$D$3:$D$9,_xlfn.TEXTJOIN(,,C593:K593)))),NA(),IF(AND(SUM(C593:F593,H593:K593)=0,G593=1),0,INT((SUMPRODUCT(C593:F593,COLUMN($A$1:$D$1)-1)+SUMPRODUCT(H593:K593,COLUMN($E$1:$H$1)-1))*'Line Follower'!$C$3/SUM(C593:F593,H593:K593)-'Line Follower'!$C$5)))</f>
        <v>#N/A</v>
      </c>
      <c r="O593" s="22" t="e">
        <v>#N/A</v>
      </c>
      <c r="P593" s="4" t="e">
        <f t="shared" si="45"/>
        <v>#N/A</v>
      </c>
      <c r="Q593" s="4" t="e">
        <f t="shared" si="46"/>
        <v>#N/A</v>
      </c>
      <c r="R593" s="4" t="e">
        <f>IF(AND(B593=1,N593&gt;'Line Follower'!$C$7,SUM(C593:K593)&lt;4),1,0)</f>
        <v>#N/A</v>
      </c>
      <c r="S593" s="4" t="e">
        <f>IF(AND(L593=1,N593&lt;'Line Follower'!$C$6,SUM(C593:K593)&lt;4),1,0)</f>
        <v>#N/A</v>
      </c>
      <c r="T593" s="4" t="e">
        <f t="shared" si="47"/>
        <v>#N/A</v>
      </c>
      <c r="U593" s="5" t="e">
        <f t="shared" si="48"/>
        <v>#N/A</v>
      </c>
      <c r="V593" s="23" t="e">
        <f t="shared" si="49"/>
        <v>#N/A</v>
      </c>
    </row>
    <row r="594" spans="2:22" x14ac:dyDescent="0.25">
      <c r="B594" s="16">
        <v>1</v>
      </c>
      <c r="C594" s="7">
        <v>1</v>
      </c>
      <c r="D594" s="8">
        <v>1</v>
      </c>
      <c r="E594" s="8">
        <v>1</v>
      </c>
      <c r="F594" s="8">
        <v>0</v>
      </c>
      <c r="G594" s="8">
        <v>0</v>
      </c>
      <c r="H594" s="8">
        <v>1</v>
      </c>
      <c r="I594" s="8">
        <v>0</v>
      </c>
      <c r="J594" s="8">
        <v>0</v>
      </c>
      <c r="K594" s="9">
        <v>1</v>
      </c>
      <c r="L594" s="10">
        <v>0</v>
      </c>
      <c r="M594" s="6">
        <v>0</v>
      </c>
      <c r="N594" s="37" t="e" cm="1">
        <f t="array" ref="N594">IF(OR(ISNUMBER(FIND(Aux!$D$3:$D$9,_xlfn.TEXTJOIN(,,C594:K594)))),NA(),IF(AND(SUM(C594:F594,H594:K594)=0,G594=1),0,INT((SUMPRODUCT(C594:F594,COLUMN($A$1:$D$1)-1)+SUMPRODUCT(H594:K594,COLUMN($E$1:$H$1)-1))*'Line Follower'!$C$3/SUM(C594:F594,H594:K594)-'Line Follower'!$C$5)))</f>
        <v>#N/A</v>
      </c>
      <c r="O594" s="22" t="e">
        <v>#N/A</v>
      </c>
      <c r="P594" s="4" t="e">
        <f t="shared" si="45"/>
        <v>#N/A</v>
      </c>
      <c r="Q594" s="4" t="e">
        <f t="shared" si="46"/>
        <v>#N/A</v>
      </c>
      <c r="R594" s="4" t="e">
        <f>IF(AND(B594=1,N594&gt;'Line Follower'!$C$7,SUM(C594:K594)&lt;4),1,0)</f>
        <v>#N/A</v>
      </c>
      <c r="S594" s="4" t="e">
        <f>IF(AND(L594=1,N594&lt;'Line Follower'!$C$6,SUM(C594:K594)&lt;4),1,0)</f>
        <v>#N/A</v>
      </c>
      <c r="T594" s="4" t="e">
        <f t="shared" si="47"/>
        <v>#N/A</v>
      </c>
      <c r="U594" s="5" t="e">
        <f t="shared" si="48"/>
        <v>#N/A</v>
      </c>
      <c r="V594" s="23" t="e">
        <f t="shared" si="49"/>
        <v>#N/A</v>
      </c>
    </row>
    <row r="595" spans="2:22" x14ac:dyDescent="0.25">
      <c r="B595" s="16">
        <v>0</v>
      </c>
      <c r="C595" s="7">
        <v>0</v>
      </c>
      <c r="D595" s="8">
        <v>0</v>
      </c>
      <c r="E595" s="8">
        <v>0</v>
      </c>
      <c r="F595" s="8">
        <v>1</v>
      </c>
      <c r="G595" s="8">
        <v>0</v>
      </c>
      <c r="H595" s="8">
        <v>1</v>
      </c>
      <c r="I595" s="8">
        <v>0</v>
      </c>
      <c r="J595" s="8">
        <v>0</v>
      </c>
      <c r="K595" s="9">
        <v>1</v>
      </c>
      <c r="L595" s="10">
        <v>0</v>
      </c>
      <c r="M595" s="6">
        <v>0</v>
      </c>
      <c r="N595" s="37" t="e" cm="1">
        <f t="array" ref="N595">IF(OR(ISNUMBER(FIND(Aux!$D$3:$D$9,_xlfn.TEXTJOIN(,,C595:K595)))),NA(),IF(AND(SUM(C595:F595,H595:K595)=0,G595=1),0,INT((SUMPRODUCT(C595:F595,COLUMN($A$1:$D$1)-1)+SUMPRODUCT(H595:K595,COLUMN($E$1:$H$1)-1))*'Line Follower'!$C$3/SUM(C595:F595,H595:K595)-'Line Follower'!$C$5)))</f>
        <v>#N/A</v>
      </c>
      <c r="O595" s="22" t="e">
        <v>#N/A</v>
      </c>
      <c r="P595" s="4" t="e">
        <f t="shared" si="45"/>
        <v>#N/A</v>
      </c>
      <c r="Q595" s="4" t="e">
        <f t="shared" si="46"/>
        <v>#N/A</v>
      </c>
      <c r="R595" s="4" t="e">
        <f>IF(AND(B595=1,N595&gt;'Line Follower'!$C$7,SUM(C595:K595)&lt;4),1,0)</f>
        <v>#N/A</v>
      </c>
      <c r="S595" s="4" t="e">
        <f>IF(AND(L595=1,N595&lt;'Line Follower'!$C$6,SUM(C595:K595)&lt;4),1,0)</f>
        <v>#N/A</v>
      </c>
      <c r="T595" s="4" t="e">
        <f t="shared" si="47"/>
        <v>#N/A</v>
      </c>
      <c r="U595" s="5" t="e">
        <f t="shared" si="48"/>
        <v>#N/A</v>
      </c>
      <c r="V595" s="23" t="e">
        <f t="shared" si="49"/>
        <v>#N/A</v>
      </c>
    </row>
    <row r="596" spans="2:22" x14ac:dyDescent="0.25">
      <c r="B596" s="16">
        <v>1</v>
      </c>
      <c r="C596" s="7">
        <v>0</v>
      </c>
      <c r="D596" s="8">
        <v>0</v>
      </c>
      <c r="E596" s="8">
        <v>0</v>
      </c>
      <c r="F596" s="8">
        <v>1</v>
      </c>
      <c r="G596" s="8">
        <v>0</v>
      </c>
      <c r="H596" s="8">
        <v>1</v>
      </c>
      <c r="I596" s="8">
        <v>0</v>
      </c>
      <c r="J596" s="8">
        <v>0</v>
      </c>
      <c r="K596" s="9">
        <v>1</v>
      </c>
      <c r="L596" s="10">
        <v>0</v>
      </c>
      <c r="M596" s="6">
        <v>0</v>
      </c>
      <c r="N596" s="37" t="e" cm="1">
        <f t="array" ref="N596">IF(OR(ISNUMBER(FIND(Aux!$D$3:$D$9,_xlfn.TEXTJOIN(,,C596:K596)))),NA(),IF(AND(SUM(C596:F596,H596:K596)=0,G596=1),0,INT((SUMPRODUCT(C596:F596,COLUMN($A$1:$D$1)-1)+SUMPRODUCT(H596:K596,COLUMN($E$1:$H$1)-1))*'Line Follower'!$C$3/SUM(C596:F596,H596:K596)-'Line Follower'!$C$5)))</f>
        <v>#N/A</v>
      </c>
      <c r="O596" s="22" t="e">
        <v>#N/A</v>
      </c>
      <c r="P596" s="4" t="e">
        <f t="shared" si="45"/>
        <v>#N/A</v>
      </c>
      <c r="Q596" s="4" t="e">
        <f t="shared" si="46"/>
        <v>#N/A</v>
      </c>
      <c r="R596" s="4" t="e">
        <f>IF(AND(B596=1,N596&gt;'Line Follower'!$C$7,SUM(C596:K596)&lt;4),1,0)</f>
        <v>#N/A</v>
      </c>
      <c r="S596" s="4" t="e">
        <f>IF(AND(L596=1,N596&lt;'Line Follower'!$C$6,SUM(C596:K596)&lt;4),1,0)</f>
        <v>#N/A</v>
      </c>
      <c r="T596" s="4" t="e">
        <f t="shared" si="47"/>
        <v>#N/A</v>
      </c>
      <c r="U596" s="5" t="e">
        <f t="shared" si="48"/>
        <v>#N/A</v>
      </c>
      <c r="V596" s="23" t="e">
        <f t="shared" si="49"/>
        <v>#N/A</v>
      </c>
    </row>
    <row r="597" spans="2:22" x14ac:dyDescent="0.25">
      <c r="B597" s="16">
        <v>0</v>
      </c>
      <c r="C597" s="7">
        <v>1</v>
      </c>
      <c r="D597" s="8">
        <v>0</v>
      </c>
      <c r="E597" s="8">
        <v>0</v>
      </c>
      <c r="F597" s="8">
        <v>1</v>
      </c>
      <c r="G597" s="8">
        <v>0</v>
      </c>
      <c r="H597" s="8">
        <v>1</v>
      </c>
      <c r="I597" s="8">
        <v>0</v>
      </c>
      <c r="J597" s="8">
        <v>0</v>
      </c>
      <c r="K597" s="9">
        <v>1</v>
      </c>
      <c r="L597" s="10">
        <v>0</v>
      </c>
      <c r="M597" s="6">
        <v>0</v>
      </c>
      <c r="N597" s="37" t="e" cm="1">
        <f t="array" ref="N597">IF(OR(ISNUMBER(FIND(Aux!$D$3:$D$9,_xlfn.TEXTJOIN(,,C597:K597)))),NA(),IF(AND(SUM(C597:F597,H597:K597)=0,G597=1),0,INT((SUMPRODUCT(C597:F597,COLUMN($A$1:$D$1)-1)+SUMPRODUCT(H597:K597,COLUMN($E$1:$H$1)-1))*'Line Follower'!$C$3/SUM(C597:F597,H597:K597)-'Line Follower'!$C$5)))</f>
        <v>#N/A</v>
      </c>
      <c r="O597" s="22" t="e">
        <v>#N/A</v>
      </c>
      <c r="P597" s="4" t="e">
        <f t="shared" si="45"/>
        <v>#N/A</v>
      </c>
      <c r="Q597" s="4" t="e">
        <f t="shared" si="46"/>
        <v>#N/A</v>
      </c>
      <c r="R597" s="4" t="e">
        <f>IF(AND(B597=1,N597&gt;'Line Follower'!$C$7,SUM(C597:K597)&lt;4),1,0)</f>
        <v>#N/A</v>
      </c>
      <c r="S597" s="4" t="e">
        <f>IF(AND(L597=1,N597&lt;'Line Follower'!$C$6,SUM(C597:K597)&lt;4),1,0)</f>
        <v>#N/A</v>
      </c>
      <c r="T597" s="4" t="e">
        <f t="shared" si="47"/>
        <v>#N/A</v>
      </c>
      <c r="U597" s="5" t="e">
        <f t="shared" si="48"/>
        <v>#N/A</v>
      </c>
      <c r="V597" s="23" t="e">
        <f t="shared" si="49"/>
        <v>#N/A</v>
      </c>
    </row>
    <row r="598" spans="2:22" x14ac:dyDescent="0.25">
      <c r="B598" s="16">
        <v>1</v>
      </c>
      <c r="C598" s="7">
        <v>1</v>
      </c>
      <c r="D598" s="8">
        <v>0</v>
      </c>
      <c r="E598" s="8">
        <v>0</v>
      </c>
      <c r="F598" s="8">
        <v>1</v>
      </c>
      <c r="G598" s="8">
        <v>0</v>
      </c>
      <c r="H598" s="8">
        <v>1</v>
      </c>
      <c r="I598" s="8">
        <v>0</v>
      </c>
      <c r="J598" s="8">
        <v>0</v>
      </c>
      <c r="K598" s="9">
        <v>1</v>
      </c>
      <c r="L598" s="10">
        <v>0</v>
      </c>
      <c r="M598" s="6">
        <v>0</v>
      </c>
      <c r="N598" s="37" t="e" cm="1">
        <f t="array" ref="N598">IF(OR(ISNUMBER(FIND(Aux!$D$3:$D$9,_xlfn.TEXTJOIN(,,C598:K598)))),NA(),IF(AND(SUM(C598:F598,H598:K598)=0,G598=1),0,INT((SUMPRODUCT(C598:F598,COLUMN($A$1:$D$1)-1)+SUMPRODUCT(H598:K598,COLUMN($E$1:$H$1)-1))*'Line Follower'!$C$3/SUM(C598:F598,H598:K598)-'Line Follower'!$C$5)))</f>
        <v>#N/A</v>
      </c>
      <c r="O598" s="22" t="e">
        <v>#N/A</v>
      </c>
      <c r="P598" s="4" t="e">
        <f t="shared" si="45"/>
        <v>#N/A</v>
      </c>
      <c r="Q598" s="4" t="e">
        <f t="shared" si="46"/>
        <v>#N/A</v>
      </c>
      <c r="R598" s="4" t="e">
        <f>IF(AND(B598=1,N598&gt;'Line Follower'!$C$7,SUM(C598:K598)&lt;4),1,0)</f>
        <v>#N/A</v>
      </c>
      <c r="S598" s="4" t="e">
        <f>IF(AND(L598=1,N598&lt;'Line Follower'!$C$6,SUM(C598:K598)&lt;4),1,0)</f>
        <v>#N/A</v>
      </c>
      <c r="T598" s="4" t="e">
        <f t="shared" si="47"/>
        <v>#N/A</v>
      </c>
      <c r="U598" s="5" t="e">
        <f t="shared" si="48"/>
        <v>#N/A</v>
      </c>
      <c r="V598" s="23" t="e">
        <f t="shared" si="49"/>
        <v>#N/A</v>
      </c>
    </row>
    <row r="599" spans="2:22" x14ac:dyDescent="0.25">
      <c r="B599" s="16">
        <v>0</v>
      </c>
      <c r="C599" s="7">
        <v>0</v>
      </c>
      <c r="D599" s="8">
        <v>1</v>
      </c>
      <c r="E599" s="8">
        <v>0</v>
      </c>
      <c r="F599" s="8">
        <v>1</v>
      </c>
      <c r="G599" s="8">
        <v>0</v>
      </c>
      <c r="H599" s="8">
        <v>1</v>
      </c>
      <c r="I599" s="8">
        <v>0</v>
      </c>
      <c r="J599" s="8">
        <v>0</v>
      </c>
      <c r="K599" s="9">
        <v>1</v>
      </c>
      <c r="L599" s="10">
        <v>0</v>
      </c>
      <c r="M599" s="6">
        <v>0</v>
      </c>
      <c r="N599" s="37" t="e" cm="1">
        <f t="array" ref="N599">IF(OR(ISNUMBER(FIND(Aux!$D$3:$D$9,_xlfn.TEXTJOIN(,,C599:K599)))),NA(),IF(AND(SUM(C599:F599,H599:K599)=0,G599=1),0,INT((SUMPRODUCT(C599:F599,COLUMN($A$1:$D$1)-1)+SUMPRODUCT(H599:K599,COLUMN($E$1:$H$1)-1))*'Line Follower'!$C$3/SUM(C599:F599,H599:K599)-'Line Follower'!$C$5)))</f>
        <v>#N/A</v>
      </c>
      <c r="O599" s="22" t="e">
        <v>#N/A</v>
      </c>
      <c r="P599" s="4" t="e">
        <f t="shared" si="45"/>
        <v>#N/A</v>
      </c>
      <c r="Q599" s="4" t="e">
        <f t="shared" si="46"/>
        <v>#N/A</v>
      </c>
      <c r="R599" s="4" t="e">
        <f>IF(AND(B599=1,N599&gt;'Line Follower'!$C$7,SUM(C599:K599)&lt;4),1,0)</f>
        <v>#N/A</v>
      </c>
      <c r="S599" s="4" t="e">
        <f>IF(AND(L599=1,N599&lt;'Line Follower'!$C$6,SUM(C599:K599)&lt;4),1,0)</f>
        <v>#N/A</v>
      </c>
      <c r="T599" s="4" t="e">
        <f t="shared" si="47"/>
        <v>#N/A</v>
      </c>
      <c r="U599" s="5" t="e">
        <f t="shared" si="48"/>
        <v>#N/A</v>
      </c>
      <c r="V599" s="23" t="e">
        <f t="shared" si="49"/>
        <v>#N/A</v>
      </c>
    </row>
    <row r="600" spans="2:22" x14ac:dyDescent="0.25">
      <c r="B600" s="16">
        <v>1</v>
      </c>
      <c r="C600" s="7">
        <v>0</v>
      </c>
      <c r="D600" s="8">
        <v>1</v>
      </c>
      <c r="E600" s="8">
        <v>0</v>
      </c>
      <c r="F600" s="8">
        <v>1</v>
      </c>
      <c r="G600" s="8">
        <v>0</v>
      </c>
      <c r="H600" s="8">
        <v>1</v>
      </c>
      <c r="I600" s="8">
        <v>0</v>
      </c>
      <c r="J600" s="8">
        <v>0</v>
      </c>
      <c r="K600" s="9">
        <v>1</v>
      </c>
      <c r="L600" s="10">
        <v>0</v>
      </c>
      <c r="M600" s="6">
        <v>0</v>
      </c>
      <c r="N600" s="37" t="e" cm="1">
        <f t="array" ref="N600">IF(OR(ISNUMBER(FIND(Aux!$D$3:$D$9,_xlfn.TEXTJOIN(,,C600:K600)))),NA(),IF(AND(SUM(C600:F600,H600:K600)=0,G600=1),0,INT((SUMPRODUCT(C600:F600,COLUMN($A$1:$D$1)-1)+SUMPRODUCT(H600:K600,COLUMN($E$1:$H$1)-1))*'Line Follower'!$C$3/SUM(C600:F600,H600:K600)-'Line Follower'!$C$5)))</f>
        <v>#N/A</v>
      </c>
      <c r="O600" s="22" t="e">
        <v>#N/A</v>
      </c>
      <c r="P600" s="4" t="e">
        <f t="shared" si="45"/>
        <v>#N/A</v>
      </c>
      <c r="Q600" s="4" t="e">
        <f t="shared" si="46"/>
        <v>#N/A</v>
      </c>
      <c r="R600" s="4" t="e">
        <f>IF(AND(B600=1,N600&gt;'Line Follower'!$C$7,SUM(C600:K600)&lt;4),1,0)</f>
        <v>#N/A</v>
      </c>
      <c r="S600" s="4" t="e">
        <f>IF(AND(L600=1,N600&lt;'Line Follower'!$C$6,SUM(C600:K600)&lt;4),1,0)</f>
        <v>#N/A</v>
      </c>
      <c r="T600" s="4" t="e">
        <f t="shared" si="47"/>
        <v>#N/A</v>
      </c>
      <c r="U600" s="5" t="e">
        <f t="shared" si="48"/>
        <v>#N/A</v>
      </c>
      <c r="V600" s="23" t="e">
        <f t="shared" si="49"/>
        <v>#N/A</v>
      </c>
    </row>
    <row r="601" spans="2:22" x14ac:dyDescent="0.25">
      <c r="B601" s="16">
        <v>0</v>
      </c>
      <c r="C601" s="7">
        <v>1</v>
      </c>
      <c r="D601" s="8">
        <v>1</v>
      </c>
      <c r="E601" s="8">
        <v>0</v>
      </c>
      <c r="F601" s="8">
        <v>1</v>
      </c>
      <c r="G601" s="8">
        <v>0</v>
      </c>
      <c r="H601" s="8">
        <v>1</v>
      </c>
      <c r="I601" s="8">
        <v>0</v>
      </c>
      <c r="J601" s="8">
        <v>0</v>
      </c>
      <c r="K601" s="9">
        <v>1</v>
      </c>
      <c r="L601" s="10">
        <v>0</v>
      </c>
      <c r="M601" s="6">
        <v>0</v>
      </c>
      <c r="N601" s="37" t="e" cm="1">
        <f t="array" ref="N601">IF(OR(ISNUMBER(FIND(Aux!$D$3:$D$9,_xlfn.TEXTJOIN(,,C601:K601)))),NA(),IF(AND(SUM(C601:F601,H601:K601)=0,G601=1),0,INT((SUMPRODUCT(C601:F601,COLUMN($A$1:$D$1)-1)+SUMPRODUCT(H601:K601,COLUMN($E$1:$H$1)-1))*'Line Follower'!$C$3/SUM(C601:F601,H601:K601)-'Line Follower'!$C$5)))</f>
        <v>#N/A</v>
      </c>
      <c r="O601" s="22" t="e">
        <v>#N/A</v>
      </c>
      <c r="P601" s="4" t="e">
        <f t="shared" si="45"/>
        <v>#N/A</v>
      </c>
      <c r="Q601" s="4" t="e">
        <f t="shared" si="46"/>
        <v>#N/A</v>
      </c>
      <c r="R601" s="4" t="e">
        <f>IF(AND(B601=1,N601&gt;'Line Follower'!$C$7,SUM(C601:K601)&lt;4),1,0)</f>
        <v>#N/A</v>
      </c>
      <c r="S601" s="4" t="e">
        <f>IF(AND(L601=1,N601&lt;'Line Follower'!$C$6,SUM(C601:K601)&lt;4),1,0)</f>
        <v>#N/A</v>
      </c>
      <c r="T601" s="4" t="e">
        <f t="shared" si="47"/>
        <v>#N/A</v>
      </c>
      <c r="U601" s="5" t="e">
        <f t="shared" si="48"/>
        <v>#N/A</v>
      </c>
      <c r="V601" s="23" t="e">
        <f t="shared" si="49"/>
        <v>#N/A</v>
      </c>
    </row>
    <row r="602" spans="2:22" x14ac:dyDescent="0.25">
      <c r="B602" s="16">
        <v>1</v>
      </c>
      <c r="C602" s="7">
        <v>1</v>
      </c>
      <c r="D602" s="8">
        <v>1</v>
      </c>
      <c r="E602" s="8">
        <v>0</v>
      </c>
      <c r="F602" s="8">
        <v>1</v>
      </c>
      <c r="G602" s="8">
        <v>0</v>
      </c>
      <c r="H602" s="8">
        <v>1</v>
      </c>
      <c r="I602" s="8">
        <v>0</v>
      </c>
      <c r="J602" s="8">
        <v>0</v>
      </c>
      <c r="K602" s="9">
        <v>1</v>
      </c>
      <c r="L602" s="10">
        <v>0</v>
      </c>
      <c r="M602" s="6">
        <v>0</v>
      </c>
      <c r="N602" s="37" t="e" cm="1">
        <f t="array" ref="N602">IF(OR(ISNUMBER(FIND(Aux!$D$3:$D$9,_xlfn.TEXTJOIN(,,C602:K602)))),NA(),IF(AND(SUM(C602:F602,H602:K602)=0,G602=1),0,INT((SUMPRODUCT(C602:F602,COLUMN($A$1:$D$1)-1)+SUMPRODUCT(H602:K602,COLUMN($E$1:$H$1)-1))*'Line Follower'!$C$3/SUM(C602:F602,H602:K602)-'Line Follower'!$C$5)))</f>
        <v>#N/A</v>
      </c>
      <c r="O602" s="22" t="e">
        <v>#N/A</v>
      </c>
      <c r="P602" s="4" t="e">
        <f t="shared" si="45"/>
        <v>#N/A</v>
      </c>
      <c r="Q602" s="4" t="e">
        <f t="shared" si="46"/>
        <v>#N/A</v>
      </c>
      <c r="R602" s="4" t="e">
        <f>IF(AND(B602=1,N602&gt;'Line Follower'!$C$7,SUM(C602:K602)&lt;4),1,0)</f>
        <v>#N/A</v>
      </c>
      <c r="S602" s="4" t="e">
        <f>IF(AND(L602=1,N602&lt;'Line Follower'!$C$6,SUM(C602:K602)&lt;4),1,0)</f>
        <v>#N/A</v>
      </c>
      <c r="T602" s="4" t="e">
        <f t="shared" si="47"/>
        <v>#N/A</v>
      </c>
      <c r="U602" s="5" t="e">
        <f t="shared" si="48"/>
        <v>#N/A</v>
      </c>
      <c r="V602" s="23" t="e">
        <f t="shared" si="49"/>
        <v>#N/A</v>
      </c>
    </row>
    <row r="603" spans="2:22" x14ac:dyDescent="0.25">
      <c r="B603" s="16">
        <v>0</v>
      </c>
      <c r="C603" s="7">
        <v>0</v>
      </c>
      <c r="D603" s="8">
        <v>0</v>
      </c>
      <c r="E603" s="8">
        <v>1</v>
      </c>
      <c r="F603" s="8">
        <v>1</v>
      </c>
      <c r="G603" s="8">
        <v>0</v>
      </c>
      <c r="H603" s="8">
        <v>1</v>
      </c>
      <c r="I603" s="8">
        <v>0</v>
      </c>
      <c r="J603" s="8">
        <v>0</v>
      </c>
      <c r="K603" s="9">
        <v>1</v>
      </c>
      <c r="L603" s="10">
        <v>0</v>
      </c>
      <c r="M603" s="6">
        <v>0</v>
      </c>
      <c r="N603" s="37" t="e" cm="1">
        <f t="array" ref="N603">IF(OR(ISNUMBER(FIND(Aux!$D$3:$D$9,_xlfn.TEXTJOIN(,,C603:K603)))),NA(),IF(AND(SUM(C603:F603,H603:K603)=0,G603=1),0,INT((SUMPRODUCT(C603:F603,COLUMN($A$1:$D$1)-1)+SUMPRODUCT(H603:K603,COLUMN($E$1:$H$1)-1))*'Line Follower'!$C$3/SUM(C603:F603,H603:K603)-'Line Follower'!$C$5)))</f>
        <v>#N/A</v>
      </c>
      <c r="O603" s="22" t="e">
        <v>#N/A</v>
      </c>
      <c r="P603" s="4" t="e">
        <f t="shared" si="45"/>
        <v>#N/A</v>
      </c>
      <c r="Q603" s="4" t="e">
        <f t="shared" si="46"/>
        <v>#N/A</v>
      </c>
      <c r="R603" s="4" t="e">
        <f>IF(AND(B603=1,N603&gt;'Line Follower'!$C$7,SUM(C603:K603)&lt;4),1,0)</f>
        <v>#N/A</v>
      </c>
      <c r="S603" s="4" t="e">
        <f>IF(AND(L603=1,N603&lt;'Line Follower'!$C$6,SUM(C603:K603)&lt;4),1,0)</f>
        <v>#N/A</v>
      </c>
      <c r="T603" s="4" t="e">
        <f t="shared" si="47"/>
        <v>#N/A</v>
      </c>
      <c r="U603" s="5" t="e">
        <f t="shared" si="48"/>
        <v>#N/A</v>
      </c>
      <c r="V603" s="23" t="e">
        <f t="shared" si="49"/>
        <v>#N/A</v>
      </c>
    </row>
    <row r="604" spans="2:22" x14ac:dyDescent="0.25">
      <c r="B604" s="16">
        <v>1</v>
      </c>
      <c r="C604" s="7">
        <v>0</v>
      </c>
      <c r="D604" s="8">
        <v>0</v>
      </c>
      <c r="E604" s="8">
        <v>1</v>
      </c>
      <c r="F604" s="8">
        <v>1</v>
      </c>
      <c r="G604" s="8">
        <v>0</v>
      </c>
      <c r="H604" s="8">
        <v>1</v>
      </c>
      <c r="I604" s="8">
        <v>0</v>
      </c>
      <c r="J604" s="8">
        <v>0</v>
      </c>
      <c r="K604" s="9">
        <v>1</v>
      </c>
      <c r="L604" s="10">
        <v>0</v>
      </c>
      <c r="M604" s="6">
        <v>0</v>
      </c>
      <c r="N604" s="37" t="e" cm="1">
        <f t="array" ref="N604">IF(OR(ISNUMBER(FIND(Aux!$D$3:$D$9,_xlfn.TEXTJOIN(,,C604:K604)))),NA(),IF(AND(SUM(C604:F604,H604:K604)=0,G604=1),0,INT((SUMPRODUCT(C604:F604,COLUMN($A$1:$D$1)-1)+SUMPRODUCT(H604:K604,COLUMN($E$1:$H$1)-1))*'Line Follower'!$C$3/SUM(C604:F604,H604:K604)-'Line Follower'!$C$5)))</f>
        <v>#N/A</v>
      </c>
      <c r="O604" s="22" t="e">
        <v>#N/A</v>
      </c>
      <c r="P604" s="4" t="e">
        <f t="shared" si="45"/>
        <v>#N/A</v>
      </c>
      <c r="Q604" s="4" t="e">
        <f t="shared" si="46"/>
        <v>#N/A</v>
      </c>
      <c r="R604" s="4" t="e">
        <f>IF(AND(B604=1,N604&gt;'Line Follower'!$C$7,SUM(C604:K604)&lt;4),1,0)</f>
        <v>#N/A</v>
      </c>
      <c r="S604" s="4" t="e">
        <f>IF(AND(L604=1,N604&lt;'Line Follower'!$C$6,SUM(C604:K604)&lt;4),1,0)</f>
        <v>#N/A</v>
      </c>
      <c r="T604" s="4" t="e">
        <f t="shared" si="47"/>
        <v>#N/A</v>
      </c>
      <c r="U604" s="5" t="e">
        <f t="shared" si="48"/>
        <v>#N/A</v>
      </c>
      <c r="V604" s="23" t="e">
        <f t="shared" si="49"/>
        <v>#N/A</v>
      </c>
    </row>
    <row r="605" spans="2:22" x14ac:dyDescent="0.25">
      <c r="B605" s="16">
        <v>0</v>
      </c>
      <c r="C605" s="7">
        <v>1</v>
      </c>
      <c r="D605" s="8">
        <v>0</v>
      </c>
      <c r="E605" s="8">
        <v>1</v>
      </c>
      <c r="F605" s="8">
        <v>1</v>
      </c>
      <c r="G605" s="8">
        <v>0</v>
      </c>
      <c r="H605" s="8">
        <v>1</v>
      </c>
      <c r="I605" s="8">
        <v>0</v>
      </c>
      <c r="J605" s="8">
        <v>0</v>
      </c>
      <c r="K605" s="9">
        <v>1</v>
      </c>
      <c r="L605" s="10">
        <v>0</v>
      </c>
      <c r="M605" s="6">
        <v>0</v>
      </c>
      <c r="N605" s="37" t="e" cm="1">
        <f t="array" ref="N605">IF(OR(ISNUMBER(FIND(Aux!$D$3:$D$9,_xlfn.TEXTJOIN(,,C605:K605)))),NA(),IF(AND(SUM(C605:F605,H605:K605)=0,G605=1),0,INT((SUMPRODUCT(C605:F605,COLUMN($A$1:$D$1)-1)+SUMPRODUCT(H605:K605,COLUMN($E$1:$H$1)-1))*'Line Follower'!$C$3/SUM(C605:F605,H605:K605)-'Line Follower'!$C$5)))</f>
        <v>#N/A</v>
      </c>
      <c r="O605" s="22" t="e">
        <v>#N/A</v>
      </c>
      <c r="P605" s="4" t="e">
        <f t="shared" si="45"/>
        <v>#N/A</v>
      </c>
      <c r="Q605" s="4" t="e">
        <f t="shared" si="46"/>
        <v>#N/A</v>
      </c>
      <c r="R605" s="4" t="e">
        <f>IF(AND(B605=1,N605&gt;'Line Follower'!$C$7,SUM(C605:K605)&lt;4),1,0)</f>
        <v>#N/A</v>
      </c>
      <c r="S605" s="4" t="e">
        <f>IF(AND(L605=1,N605&lt;'Line Follower'!$C$6,SUM(C605:K605)&lt;4),1,0)</f>
        <v>#N/A</v>
      </c>
      <c r="T605" s="4" t="e">
        <f t="shared" si="47"/>
        <v>#N/A</v>
      </c>
      <c r="U605" s="5" t="e">
        <f t="shared" si="48"/>
        <v>#N/A</v>
      </c>
      <c r="V605" s="23" t="e">
        <f t="shared" si="49"/>
        <v>#N/A</v>
      </c>
    </row>
    <row r="606" spans="2:22" x14ac:dyDescent="0.25">
      <c r="B606" s="16">
        <v>1</v>
      </c>
      <c r="C606" s="7">
        <v>1</v>
      </c>
      <c r="D606" s="8">
        <v>0</v>
      </c>
      <c r="E606" s="8">
        <v>1</v>
      </c>
      <c r="F606" s="8">
        <v>1</v>
      </c>
      <c r="G606" s="8">
        <v>0</v>
      </c>
      <c r="H606" s="8">
        <v>1</v>
      </c>
      <c r="I606" s="8">
        <v>0</v>
      </c>
      <c r="J606" s="8">
        <v>0</v>
      </c>
      <c r="K606" s="9">
        <v>1</v>
      </c>
      <c r="L606" s="10">
        <v>0</v>
      </c>
      <c r="M606" s="6">
        <v>0</v>
      </c>
      <c r="N606" s="37" t="e" cm="1">
        <f t="array" ref="N606">IF(OR(ISNUMBER(FIND(Aux!$D$3:$D$9,_xlfn.TEXTJOIN(,,C606:K606)))),NA(),IF(AND(SUM(C606:F606,H606:K606)=0,G606=1),0,INT((SUMPRODUCT(C606:F606,COLUMN($A$1:$D$1)-1)+SUMPRODUCT(H606:K606,COLUMN($E$1:$H$1)-1))*'Line Follower'!$C$3/SUM(C606:F606,H606:K606)-'Line Follower'!$C$5)))</f>
        <v>#N/A</v>
      </c>
      <c r="O606" s="22" t="e">
        <v>#N/A</v>
      </c>
      <c r="P606" s="4" t="e">
        <f t="shared" si="45"/>
        <v>#N/A</v>
      </c>
      <c r="Q606" s="4" t="e">
        <f t="shared" si="46"/>
        <v>#N/A</v>
      </c>
      <c r="R606" s="4" t="e">
        <f>IF(AND(B606=1,N606&gt;'Line Follower'!$C$7,SUM(C606:K606)&lt;4),1,0)</f>
        <v>#N/A</v>
      </c>
      <c r="S606" s="4" t="e">
        <f>IF(AND(L606=1,N606&lt;'Line Follower'!$C$6,SUM(C606:K606)&lt;4),1,0)</f>
        <v>#N/A</v>
      </c>
      <c r="T606" s="4" t="e">
        <f t="shared" si="47"/>
        <v>#N/A</v>
      </c>
      <c r="U606" s="5" t="e">
        <f t="shared" si="48"/>
        <v>#N/A</v>
      </c>
      <c r="V606" s="23" t="e">
        <f t="shared" si="49"/>
        <v>#N/A</v>
      </c>
    </row>
    <row r="607" spans="2:22" x14ac:dyDescent="0.25">
      <c r="B607" s="16">
        <v>0</v>
      </c>
      <c r="C607" s="7">
        <v>0</v>
      </c>
      <c r="D607" s="8">
        <v>1</v>
      </c>
      <c r="E607" s="8">
        <v>1</v>
      </c>
      <c r="F607" s="8">
        <v>1</v>
      </c>
      <c r="G607" s="8">
        <v>0</v>
      </c>
      <c r="H607" s="8">
        <v>1</v>
      </c>
      <c r="I607" s="8">
        <v>0</v>
      </c>
      <c r="J607" s="8">
        <v>0</v>
      </c>
      <c r="K607" s="9">
        <v>1</v>
      </c>
      <c r="L607" s="10">
        <v>0</v>
      </c>
      <c r="M607" s="6">
        <v>0</v>
      </c>
      <c r="N607" s="37" t="e" cm="1">
        <f t="array" ref="N607">IF(OR(ISNUMBER(FIND(Aux!$D$3:$D$9,_xlfn.TEXTJOIN(,,C607:K607)))),NA(),IF(AND(SUM(C607:F607,H607:K607)=0,G607=1),0,INT((SUMPRODUCT(C607:F607,COLUMN($A$1:$D$1)-1)+SUMPRODUCT(H607:K607,COLUMN($E$1:$H$1)-1))*'Line Follower'!$C$3/SUM(C607:F607,H607:K607)-'Line Follower'!$C$5)))</f>
        <v>#N/A</v>
      </c>
      <c r="O607" s="22" t="e">
        <v>#N/A</v>
      </c>
      <c r="P607" s="4" t="e">
        <f t="shared" si="45"/>
        <v>#N/A</v>
      </c>
      <c r="Q607" s="4" t="e">
        <f t="shared" si="46"/>
        <v>#N/A</v>
      </c>
      <c r="R607" s="4" t="e">
        <f>IF(AND(B607=1,N607&gt;'Line Follower'!$C$7,SUM(C607:K607)&lt;4),1,0)</f>
        <v>#N/A</v>
      </c>
      <c r="S607" s="4" t="e">
        <f>IF(AND(L607=1,N607&lt;'Line Follower'!$C$6,SUM(C607:K607)&lt;4),1,0)</f>
        <v>#N/A</v>
      </c>
      <c r="T607" s="4" t="e">
        <f t="shared" si="47"/>
        <v>#N/A</v>
      </c>
      <c r="U607" s="5" t="e">
        <f t="shared" si="48"/>
        <v>#N/A</v>
      </c>
      <c r="V607" s="23" t="e">
        <f t="shared" si="49"/>
        <v>#N/A</v>
      </c>
    </row>
    <row r="608" spans="2:22" x14ac:dyDescent="0.25">
      <c r="B608" s="16">
        <v>1</v>
      </c>
      <c r="C608" s="7">
        <v>0</v>
      </c>
      <c r="D608" s="8">
        <v>1</v>
      </c>
      <c r="E608" s="8">
        <v>1</v>
      </c>
      <c r="F608" s="8">
        <v>1</v>
      </c>
      <c r="G608" s="8">
        <v>0</v>
      </c>
      <c r="H608" s="8">
        <v>1</v>
      </c>
      <c r="I608" s="8">
        <v>0</v>
      </c>
      <c r="J608" s="8">
        <v>0</v>
      </c>
      <c r="K608" s="9">
        <v>1</v>
      </c>
      <c r="L608" s="10">
        <v>0</v>
      </c>
      <c r="M608" s="6">
        <v>0</v>
      </c>
      <c r="N608" s="37" t="e" cm="1">
        <f t="array" ref="N608">IF(OR(ISNUMBER(FIND(Aux!$D$3:$D$9,_xlfn.TEXTJOIN(,,C608:K608)))),NA(),IF(AND(SUM(C608:F608,H608:K608)=0,G608=1),0,INT((SUMPRODUCT(C608:F608,COLUMN($A$1:$D$1)-1)+SUMPRODUCT(H608:K608,COLUMN($E$1:$H$1)-1))*'Line Follower'!$C$3/SUM(C608:F608,H608:K608)-'Line Follower'!$C$5)))</f>
        <v>#N/A</v>
      </c>
      <c r="O608" s="22" t="e">
        <v>#N/A</v>
      </c>
      <c r="P608" s="4" t="e">
        <f t="shared" si="45"/>
        <v>#N/A</v>
      </c>
      <c r="Q608" s="4" t="e">
        <f t="shared" si="46"/>
        <v>#N/A</v>
      </c>
      <c r="R608" s="4" t="e">
        <f>IF(AND(B608=1,N608&gt;'Line Follower'!$C$7,SUM(C608:K608)&lt;4),1,0)</f>
        <v>#N/A</v>
      </c>
      <c r="S608" s="4" t="e">
        <f>IF(AND(L608=1,N608&lt;'Line Follower'!$C$6,SUM(C608:K608)&lt;4),1,0)</f>
        <v>#N/A</v>
      </c>
      <c r="T608" s="4" t="e">
        <f t="shared" si="47"/>
        <v>#N/A</v>
      </c>
      <c r="U608" s="5" t="e">
        <f t="shared" si="48"/>
        <v>#N/A</v>
      </c>
      <c r="V608" s="23" t="e">
        <f t="shared" si="49"/>
        <v>#N/A</v>
      </c>
    </row>
    <row r="609" spans="2:22" x14ac:dyDescent="0.25">
      <c r="B609" s="16">
        <v>0</v>
      </c>
      <c r="C609" s="7">
        <v>1</v>
      </c>
      <c r="D609" s="8">
        <v>1</v>
      </c>
      <c r="E609" s="8">
        <v>1</v>
      </c>
      <c r="F609" s="8">
        <v>1</v>
      </c>
      <c r="G609" s="8">
        <v>0</v>
      </c>
      <c r="H609" s="8">
        <v>1</v>
      </c>
      <c r="I609" s="8">
        <v>0</v>
      </c>
      <c r="J609" s="8">
        <v>0</v>
      </c>
      <c r="K609" s="9">
        <v>1</v>
      </c>
      <c r="L609" s="10">
        <v>0</v>
      </c>
      <c r="M609" s="6">
        <v>0</v>
      </c>
      <c r="N609" s="37" t="e" cm="1">
        <f t="array" ref="N609">IF(OR(ISNUMBER(FIND(Aux!$D$3:$D$9,_xlfn.TEXTJOIN(,,C609:K609)))),NA(),IF(AND(SUM(C609:F609,H609:K609)=0,G609=1),0,INT((SUMPRODUCT(C609:F609,COLUMN($A$1:$D$1)-1)+SUMPRODUCT(H609:K609,COLUMN($E$1:$H$1)-1))*'Line Follower'!$C$3/SUM(C609:F609,H609:K609)-'Line Follower'!$C$5)))</f>
        <v>#N/A</v>
      </c>
      <c r="O609" s="22" t="e">
        <v>#N/A</v>
      </c>
      <c r="P609" s="4" t="e">
        <f t="shared" si="45"/>
        <v>#N/A</v>
      </c>
      <c r="Q609" s="4" t="e">
        <f t="shared" si="46"/>
        <v>#N/A</v>
      </c>
      <c r="R609" s="4" t="e">
        <f>IF(AND(B609=1,N609&gt;'Line Follower'!$C$7,SUM(C609:K609)&lt;4),1,0)</f>
        <v>#N/A</v>
      </c>
      <c r="S609" s="4" t="e">
        <f>IF(AND(L609=1,N609&lt;'Line Follower'!$C$6,SUM(C609:K609)&lt;4),1,0)</f>
        <v>#N/A</v>
      </c>
      <c r="T609" s="4" t="e">
        <f t="shared" si="47"/>
        <v>#N/A</v>
      </c>
      <c r="U609" s="5" t="e">
        <f t="shared" si="48"/>
        <v>#N/A</v>
      </c>
      <c r="V609" s="23" t="e">
        <f t="shared" si="49"/>
        <v>#N/A</v>
      </c>
    </row>
    <row r="610" spans="2:22" x14ac:dyDescent="0.25">
      <c r="B610" s="16">
        <v>1</v>
      </c>
      <c r="C610" s="7">
        <v>1</v>
      </c>
      <c r="D610" s="8">
        <v>1</v>
      </c>
      <c r="E610" s="8">
        <v>1</v>
      </c>
      <c r="F610" s="8">
        <v>1</v>
      </c>
      <c r="G610" s="8">
        <v>0</v>
      </c>
      <c r="H610" s="8">
        <v>1</v>
      </c>
      <c r="I610" s="8">
        <v>0</v>
      </c>
      <c r="J610" s="8">
        <v>0</v>
      </c>
      <c r="K610" s="9">
        <v>1</v>
      </c>
      <c r="L610" s="10">
        <v>0</v>
      </c>
      <c r="M610" s="6">
        <v>0</v>
      </c>
      <c r="N610" s="37" t="e" cm="1">
        <f t="array" ref="N610">IF(OR(ISNUMBER(FIND(Aux!$D$3:$D$9,_xlfn.TEXTJOIN(,,C610:K610)))),NA(),IF(AND(SUM(C610:F610,H610:K610)=0,G610=1),0,INT((SUMPRODUCT(C610:F610,COLUMN($A$1:$D$1)-1)+SUMPRODUCT(H610:K610,COLUMN($E$1:$H$1)-1))*'Line Follower'!$C$3/SUM(C610:F610,H610:K610)-'Line Follower'!$C$5)))</f>
        <v>#N/A</v>
      </c>
      <c r="O610" s="22" t="e">
        <v>#N/A</v>
      </c>
      <c r="P610" s="4" t="e">
        <f t="shared" si="45"/>
        <v>#N/A</v>
      </c>
      <c r="Q610" s="4" t="e">
        <f t="shared" si="46"/>
        <v>#N/A</v>
      </c>
      <c r="R610" s="4" t="e">
        <f>IF(AND(B610=1,N610&gt;'Line Follower'!$C$7,SUM(C610:K610)&lt;4),1,0)</f>
        <v>#N/A</v>
      </c>
      <c r="S610" s="4" t="e">
        <f>IF(AND(L610=1,N610&lt;'Line Follower'!$C$6,SUM(C610:K610)&lt;4),1,0)</f>
        <v>#N/A</v>
      </c>
      <c r="T610" s="4" t="e">
        <f t="shared" si="47"/>
        <v>#N/A</v>
      </c>
      <c r="U610" s="5" t="e">
        <f t="shared" si="48"/>
        <v>#N/A</v>
      </c>
      <c r="V610" s="23" t="e">
        <f t="shared" si="49"/>
        <v>#N/A</v>
      </c>
    </row>
    <row r="611" spans="2:22" x14ac:dyDescent="0.25">
      <c r="B611" s="16">
        <v>0</v>
      </c>
      <c r="C611" s="7">
        <v>0</v>
      </c>
      <c r="D611" s="8">
        <v>0</v>
      </c>
      <c r="E611" s="8">
        <v>0</v>
      </c>
      <c r="F611" s="8">
        <v>0</v>
      </c>
      <c r="G611" s="8">
        <v>1</v>
      </c>
      <c r="H611" s="8">
        <v>1</v>
      </c>
      <c r="I611" s="8">
        <v>0</v>
      </c>
      <c r="J611" s="8">
        <v>0</v>
      </c>
      <c r="K611" s="9">
        <v>1</v>
      </c>
      <c r="L611" s="10">
        <v>0</v>
      </c>
      <c r="M611" s="6">
        <v>0</v>
      </c>
      <c r="N611" s="37" t="e" cm="1">
        <f t="array" ref="N611">IF(OR(ISNUMBER(FIND(Aux!$D$3:$D$9,_xlfn.TEXTJOIN(,,C611:K611)))),NA(),IF(AND(SUM(C611:F611,H611:K611)=0,G611=1),0,INT((SUMPRODUCT(C611:F611,COLUMN($A$1:$D$1)-1)+SUMPRODUCT(H611:K611,COLUMN($E$1:$H$1)-1))*'Line Follower'!$C$3/SUM(C611:F611,H611:K611)-'Line Follower'!$C$5)))</f>
        <v>#N/A</v>
      </c>
      <c r="O611" s="22" t="e">
        <v>#N/A</v>
      </c>
      <c r="P611" s="4" t="e">
        <f t="shared" si="45"/>
        <v>#N/A</v>
      </c>
      <c r="Q611" s="4" t="e">
        <f t="shared" si="46"/>
        <v>#N/A</v>
      </c>
      <c r="R611" s="4" t="e">
        <f>IF(AND(B611=1,N611&gt;'Line Follower'!$C$7,SUM(C611:K611)&lt;4),1,0)</f>
        <v>#N/A</v>
      </c>
      <c r="S611" s="4" t="e">
        <f>IF(AND(L611=1,N611&lt;'Line Follower'!$C$6,SUM(C611:K611)&lt;4),1,0)</f>
        <v>#N/A</v>
      </c>
      <c r="T611" s="4" t="e">
        <f t="shared" si="47"/>
        <v>#N/A</v>
      </c>
      <c r="U611" s="5" t="e">
        <f t="shared" si="48"/>
        <v>#N/A</v>
      </c>
      <c r="V611" s="23" t="e">
        <f t="shared" si="49"/>
        <v>#N/A</v>
      </c>
    </row>
    <row r="612" spans="2:22" x14ac:dyDescent="0.25">
      <c r="B612" s="16">
        <v>1</v>
      </c>
      <c r="C612" s="7">
        <v>0</v>
      </c>
      <c r="D612" s="8">
        <v>0</v>
      </c>
      <c r="E612" s="8">
        <v>0</v>
      </c>
      <c r="F612" s="8">
        <v>0</v>
      </c>
      <c r="G612" s="8">
        <v>1</v>
      </c>
      <c r="H612" s="8">
        <v>1</v>
      </c>
      <c r="I612" s="8">
        <v>0</v>
      </c>
      <c r="J612" s="8">
        <v>0</v>
      </c>
      <c r="K612" s="9">
        <v>1</v>
      </c>
      <c r="L612" s="10">
        <v>0</v>
      </c>
      <c r="M612" s="6">
        <v>0</v>
      </c>
      <c r="N612" s="37" t="e" cm="1">
        <f t="array" ref="N612">IF(OR(ISNUMBER(FIND(Aux!$D$3:$D$9,_xlfn.TEXTJOIN(,,C612:K612)))),NA(),IF(AND(SUM(C612:F612,H612:K612)=0,G612=1),0,INT((SUMPRODUCT(C612:F612,COLUMN($A$1:$D$1)-1)+SUMPRODUCT(H612:K612,COLUMN($E$1:$H$1)-1))*'Line Follower'!$C$3/SUM(C612:F612,H612:K612)-'Line Follower'!$C$5)))</f>
        <v>#N/A</v>
      </c>
      <c r="O612" s="22" t="e">
        <v>#N/A</v>
      </c>
      <c r="P612" s="4" t="e">
        <f t="shared" si="45"/>
        <v>#N/A</v>
      </c>
      <c r="Q612" s="4" t="e">
        <f t="shared" si="46"/>
        <v>#N/A</v>
      </c>
      <c r="R612" s="4" t="e">
        <f>IF(AND(B612=1,N612&gt;'Line Follower'!$C$7,SUM(C612:K612)&lt;4),1,0)</f>
        <v>#N/A</v>
      </c>
      <c r="S612" s="4" t="e">
        <f>IF(AND(L612=1,N612&lt;'Line Follower'!$C$6,SUM(C612:K612)&lt;4),1,0)</f>
        <v>#N/A</v>
      </c>
      <c r="T612" s="4" t="e">
        <f t="shared" si="47"/>
        <v>#N/A</v>
      </c>
      <c r="U612" s="5" t="e">
        <f t="shared" si="48"/>
        <v>#N/A</v>
      </c>
      <c r="V612" s="23" t="e">
        <f t="shared" si="49"/>
        <v>#N/A</v>
      </c>
    </row>
    <row r="613" spans="2:22" x14ac:dyDescent="0.25">
      <c r="B613" s="16">
        <v>0</v>
      </c>
      <c r="C613" s="7">
        <v>1</v>
      </c>
      <c r="D613" s="8">
        <v>0</v>
      </c>
      <c r="E613" s="8">
        <v>0</v>
      </c>
      <c r="F613" s="8">
        <v>0</v>
      </c>
      <c r="G613" s="8">
        <v>1</v>
      </c>
      <c r="H613" s="8">
        <v>1</v>
      </c>
      <c r="I613" s="8">
        <v>0</v>
      </c>
      <c r="J613" s="8">
        <v>0</v>
      </c>
      <c r="K613" s="9">
        <v>1</v>
      </c>
      <c r="L613" s="10">
        <v>0</v>
      </c>
      <c r="M613" s="6">
        <v>0</v>
      </c>
      <c r="N613" s="37" t="e" cm="1">
        <f t="array" ref="N613">IF(OR(ISNUMBER(FIND(Aux!$D$3:$D$9,_xlfn.TEXTJOIN(,,C613:K613)))),NA(),IF(AND(SUM(C613:F613,H613:K613)=0,G613=1),0,INT((SUMPRODUCT(C613:F613,COLUMN($A$1:$D$1)-1)+SUMPRODUCT(H613:K613,COLUMN($E$1:$H$1)-1))*'Line Follower'!$C$3/SUM(C613:F613,H613:K613)-'Line Follower'!$C$5)))</f>
        <v>#N/A</v>
      </c>
      <c r="O613" s="22" t="e">
        <v>#N/A</v>
      </c>
      <c r="P613" s="4" t="e">
        <f t="shared" si="45"/>
        <v>#N/A</v>
      </c>
      <c r="Q613" s="4" t="e">
        <f t="shared" si="46"/>
        <v>#N/A</v>
      </c>
      <c r="R613" s="4" t="e">
        <f>IF(AND(B613=1,N613&gt;'Line Follower'!$C$7,SUM(C613:K613)&lt;4),1,0)</f>
        <v>#N/A</v>
      </c>
      <c r="S613" s="4" t="e">
        <f>IF(AND(L613=1,N613&lt;'Line Follower'!$C$6,SUM(C613:K613)&lt;4),1,0)</f>
        <v>#N/A</v>
      </c>
      <c r="T613" s="4" t="e">
        <f t="shared" si="47"/>
        <v>#N/A</v>
      </c>
      <c r="U613" s="5" t="e">
        <f t="shared" si="48"/>
        <v>#N/A</v>
      </c>
      <c r="V613" s="23" t="e">
        <f t="shared" si="49"/>
        <v>#N/A</v>
      </c>
    </row>
    <row r="614" spans="2:22" x14ac:dyDescent="0.25">
      <c r="B614" s="16">
        <v>1</v>
      </c>
      <c r="C614" s="7">
        <v>1</v>
      </c>
      <c r="D614" s="8">
        <v>0</v>
      </c>
      <c r="E614" s="8">
        <v>0</v>
      </c>
      <c r="F614" s="8">
        <v>0</v>
      </c>
      <c r="G614" s="8">
        <v>1</v>
      </c>
      <c r="H614" s="8">
        <v>1</v>
      </c>
      <c r="I614" s="8">
        <v>0</v>
      </c>
      <c r="J614" s="8">
        <v>0</v>
      </c>
      <c r="K614" s="9">
        <v>1</v>
      </c>
      <c r="L614" s="10">
        <v>0</v>
      </c>
      <c r="M614" s="6">
        <v>0</v>
      </c>
      <c r="N614" s="37" t="e" cm="1">
        <f t="array" ref="N614">IF(OR(ISNUMBER(FIND(Aux!$D$3:$D$9,_xlfn.TEXTJOIN(,,C614:K614)))),NA(),IF(AND(SUM(C614:F614,H614:K614)=0,G614=1),0,INT((SUMPRODUCT(C614:F614,COLUMN($A$1:$D$1)-1)+SUMPRODUCT(H614:K614,COLUMN($E$1:$H$1)-1))*'Line Follower'!$C$3/SUM(C614:F614,H614:K614)-'Line Follower'!$C$5)))</f>
        <v>#N/A</v>
      </c>
      <c r="O614" s="22" t="e">
        <v>#N/A</v>
      </c>
      <c r="P614" s="4" t="e">
        <f t="shared" si="45"/>
        <v>#N/A</v>
      </c>
      <c r="Q614" s="4" t="e">
        <f t="shared" si="46"/>
        <v>#N/A</v>
      </c>
      <c r="R614" s="4" t="e">
        <f>IF(AND(B614=1,N614&gt;'Line Follower'!$C$7,SUM(C614:K614)&lt;4),1,0)</f>
        <v>#N/A</v>
      </c>
      <c r="S614" s="4" t="e">
        <f>IF(AND(L614=1,N614&lt;'Line Follower'!$C$6,SUM(C614:K614)&lt;4),1,0)</f>
        <v>#N/A</v>
      </c>
      <c r="T614" s="4" t="e">
        <f t="shared" si="47"/>
        <v>#N/A</v>
      </c>
      <c r="U614" s="5" t="e">
        <f t="shared" si="48"/>
        <v>#N/A</v>
      </c>
      <c r="V614" s="23" t="e">
        <f t="shared" si="49"/>
        <v>#N/A</v>
      </c>
    </row>
    <row r="615" spans="2:22" x14ac:dyDescent="0.25">
      <c r="B615" s="16">
        <v>0</v>
      </c>
      <c r="C615" s="7">
        <v>0</v>
      </c>
      <c r="D615" s="8">
        <v>1</v>
      </c>
      <c r="E615" s="8">
        <v>0</v>
      </c>
      <c r="F615" s="8">
        <v>0</v>
      </c>
      <c r="G615" s="8">
        <v>1</v>
      </c>
      <c r="H615" s="8">
        <v>1</v>
      </c>
      <c r="I615" s="8">
        <v>0</v>
      </c>
      <c r="J615" s="8">
        <v>0</v>
      </c>
      <c r="K615" s="9">
        <v>1</v>
      </c>
      <c r="L615" s="10">
        <v>0</v>
      </c>
      <c r="M615" s="6">
        <v>0</v>
      </c>
      <c r="N615" s="37" t="e" cm="1">
        <f t="array" ref="N615">IF(OR(ISNUMBER(FIND(Aux!$D$3:$D$9,_xlfn.TEXTJOIN(,,C615:K615)))),NA(),IF(AND(SUM(C615:F615,H615:K615)=0,G615=1),0,INT((SUMPRODUCT(C615:F615,COLUMN($A$1:$D$1)-1)+SUMPRODUCT(H615:K615,COLUMN($E$1:$H$1)-1))*'Line Follower'!$C$3/SUM(C615:F615,H615:K615)-'Line Follower'!$C$5)))</f>
        <v>#N/A</v>
      </c>
      <c r="O615" s="22" t="e">
        <v>#N/A</v>
      </c>
      <c r="P615" s="4" t="e">
        <f t="shared" si="45"/>
        <v>#N/A</v>
      </c>
      <c r="Q615" s="4" t="e">
        <f t="shared" si="46"/>
        <v>#N/A</v>
      </c>
      <c r="R615" s="4" t="e">
        <f>IF(AND(B615=1,N615&gt;'Line Follower'!$C$7,SUM(C615:K615)&lt;4),1,0)</f>
        <v>#N/A</v>
      </c>
      <c r="S615" s="4" t="e">
        <f>IF(AND(L615=1,N615&lt;'Line Follower'!$C$6,SUM(C615:K615)&lt;4),1,0)</f>
        <v>#N/A</v>
      </c>
      <c r="T615" s="4" t="e">
        <f t="shared" si="47"/>
        <v>#N/A</v>
      </c>
      <c r="U615" s="5" t="e">
        <f t="shared" si="48"/>
        <v>#N/A</v>
      </c>
      <c r="V615" s="23" t="e">
        <f t="shared" si="49"/>
        <v>#N/A</v>
      </c>
    </row>
    <row r="616" spans="2:22" x14ac:dyDescent="0.25">
      <c r="B616" s="16">
        <v>1</v>
      </c>
      <c r="C616" s="7">
        <v>0</v>
      </c>
      <c r="D616" s="8">
        <v>1</v>
      </c>
      <c r="E616" s="8">
        <v>0</v>
      </c>
      <c r="F616" s="8">
        <v>0</v>
      </c>
      <c r="G616" s="8">
        <v>1</v>
      </c>
      <c r="H616" s="8">
        <v>1</v>
      </c>
      <c r="I616" s="8">
        <v>0</v>
      </c>
      <c r="J616" s="8">
        <v>0</v>
      </c>
      <c r="K616" s="9">
        <v>1</v>
      </c>
      <c r="L616" s="10">
        <v>0</v>
      </c>
      <c r="M616" s="6">
        <v>0</v>
      </c>
      <c r="N616" s="37" t="e" cm="1">
        <f t="array" ref="N616">IF(OR(ISNUMBER(FIND(Aux!$D$3:$D$9,_xlfn.TEXTJOIN(,,C616:K616)))),NA(),IF(AND(SUM(C616:F616,H616:K616)=0,G616=1),0,INT((SUMPRODUCT(C616:F616,COLUMN($A$1:$D$1)-1)+SUMPRODUCT(H616:K616,COLUMN($E$1:$H$1)-1))*'Line Follower'!$C$3/SUM(C616:F616,H616:K616)-'Line Follower'!$C$5)))</f>
        <v>#N/A</v>
      </c>
      <c r="O616" s="22" t="e">
        <v>#N/A</v>
      </c>
      <c r="P616" s="4" t="e">
        <f t="shared" si="45"/>
        <v>#N/A</v>
      </c>
      <c r="Q616" s="4" t="e">
        <f t="shared" si="46"/>
        <v>#N/A</v>
      </c>
      <c r="R616" s="4" t="e">
        <f>IF(AND(B616=1,N616&gt;'Line Follower'!$C$7,SUM(C616:K616)&lt;4),1,0)</f>
        <v>#N/A</v>
      </c>
      <c r="S616" s="4" t="e">
        <f>IF(AND(L616=1,N616&lt;'Line Follower'!$C$6,SUM(C616:K616)&lt;4),1,0)</f>
        <v>#N/A</v>
      </c>
      <c r="T616" s="4" t="e">
        <f t="shared" si="47"/>
        <v>#N/A</v>
      </c>
      <c r="U616" s="5" t="e">
        <f t="shared" si="48"/>
        <v>#N/A</v>
      </c>
      <c r="V616" s="23" t="e">
        <f t="shared" si="49"/>
        <v>#N/A</v>
      </c>
    </row>
    <row r="617" spans="2:22" x14ac:dyDescent="0.25">
      <c r="B617" s="16">
        <v>0</v>
      </c>
      <c r="C617" s="7">
        <v>1</v>
      </c>
      <c r="D617" s="8">
        <v>1</v>
      </c>
      <c r="E617" s="8">
        <v>0</v>
      </c>
      <c r="F617" s="8">
        <v>0</v>
      </c>
      <c r="G617" s="8">
        <v>1</v>
      </c>
      <c r="H617" s="8">
        <v>1</v>
      </c>
      <c r="I617" s="8">
        <v>0</v>
      </c>
      <c r="J617" s="8">
        <v>0</v>
      </c>
      <c r="K617" s="9">
        <v>1</v>
      </c>
      <c r="L617" s="10">
        <v>0</v>
      </c>
      <c r="M617" s="6">
        <v>0</v>
      </c>
      <c r="N617" s="37" t="e" cm="1">
        <f t="array" ref="N617">IF(OR(ISNUMBER(FIND(Aux!$D$3:$D$9,_xlfn.TEXTJOIN(,,C617:K617)))),NA(),IF(AND(SUM(C617:F617,H617:K617)=0,G617=1),0,INT((SUMPRODUCT(C617:F617,COLUMN($A$1:$D$1)-1)+SUMPRODUCT(H617:K617,COLUMN($E$1:$H$1)-1))*'Line Follower'!$C$3/SUM(C617:F617,H617:K617)-'Line Follower'!$C$5)))</f>
        <v>#N/A</v>
      </c>
      <c r="O617" s="22" t="e">
        <v>#N/A</v>
      </c>
      <c r="P617" s="4" t="e">
        <f t="shared" si="45"/>
        <v>#N/A</v>
      </c>
      <c r="Q617" s="4" t="e">
        <f t="shared" si="46"/>
        <v>#N/A</v>
      </c>
      <c r="R617" s="4" t="e">
        <f>IF(AND(B617=1,N617&gt;'Line Follower'!$C$7,SUM(C617:K617)&lt;4),1,0)</f>
        <v>#N/A</v>
      </c>
      <c r="S617" s="4" t="e">
        <f>IF(AND(L617=1,N617&lt;'Line Follower'!$C$6,SUM(C617:K617)&lt;4),1,0)</f>
        <v>#N/A</v>
      </c>
      <c r="T617" s="4" t="e">
        <f t="shared" si="47"/>
        <v>#N/A</v>
      </c>
      <c r="U617" s="5" t="e">
        <f t="shared" si="48"/>
        <v>#N/A</v>
      </c>
      <c r="V617" s="23" t="e">
        <f t="shared" si="49"/>
        <v>#N/A</v>
      </c>
    </row>
    <row r="618" spans="2:22" x14ac:dyDescent="0.25">
      <c r="B618" s="16">
        <v>1</v>
      </c>
      <c r="C618" s="7">
        <v>1</v>
      </c>
      <c r="D618" s="8">
        <v>1</v>
      </c>
      <c r="E618" s="8">
        <v>0</v>
      </c>
      <c r="F618" s="8">
        <v>0</v>
      </c>
      <c r="G618" s="8">
        <v>1</v>
      </c>
      <c r="H618" s="8">
        <v>1</v>
      </c>
      <c r="I618" s="8">
        <v>0</v>
      </c>
      <c r="J618" s="8">
        <v>0</v>
      </c>
      <c r="K618" s="9">
        <v>1</v>
      </c>
      <c r="L618" s="10">
        <v>0</v>
      </c>
      <c r="M618" s="6">
        <v>0</v>
      </c>
      <c r="N618" s="37" t="e" cm="1">
        <f t="array" ref="N618">IF(OR(ISNUMBER(FIND(Aux!$D$3:$D$9,_xlfn.TEXTJOIN(,,C618:K618)))),NA(),IF(AND(SUM(C618:F618,H618:K618)=0,G618=1),0,INT((SUMPRODUCT(C618:F618,COLUMN($A$1:$D$1)-1)+SUMPRODUCT(H618:K618,COLUMN($E$1:$H$1)-1))*'Line Follower'!$C$3/SUM(C618:F618,H618:K618)-'Line Follower'!$C$5)))</f>
        <v>#N/A</v>
      </c>
      <c r="O618" s="22" t="e">
        <v>#N/A</v>
      </c>
      <c r="P618" s="4" t="e">
        <f t="shared" si="45"/>
        <v>#N/A</v>
      </c>
      <c r="Q618" s="4" t="e">
        <f t="shared" si="46"/>
        <v>#N/A</v>
      </c>
      <c r="R618" s="4" t="e">
        <f>IF(AND(B618=1,N618&gt;'Line Follower'!$C$7,SUM(C618:K618)&lt;4),1,0)</f>
        <v>#N/A</v>
      </c>
      <c r="S618" s="4" t="e">
        <f>IF(AND(L618=1,N618&lt;'Line Follower'!$C$6,SUM(C618:K618)&lt;4),1,0)</f>
        <v>#N/A</v>
      </c>
      <c r="T618" s="4" t="e">
        <f t="shared" si="47"/>
        <v>#N/A</v>
      </c>
      <c r="U618" s="5" t="e">
        <f t="shared" si="48"/>
        <v>#N/A</v>
      </c>
      <c r="V618" s="23" t="e">
        <f t="shared" si="49"/>
        <v>#N/A</v>
      </c>
    </row>
    <row r="619" spans="2:22" x14ac:dyDescent="0.25">
      <c r="B619" s="16">
        <v>0</v>
      </c>
      <c r="C619" s="7">
        <v>0</v>
      </c>
      <c r="D619" s="8">
        <v>0</v>
      </c>
      <c r="E619" s="8">
        <v>1</v>
      </c>
      <c r="F619" s="8">
        <v>0</v>
      </c>
      <c r="G619" s="8">
        <v>1</v>
      </c>
      <c r="H619" s="8">
        <v>1</v>
      </c>
      <c r="I619" s="8">
        <v>0</v>
      </c>
      <c r="J619" s="8">
        <v>0</v>
      </c>
      <c r="K619" s="9">
        <v>1</v>
      </c>
      <c r="L619" s="10">
        <v>0</v>
      </c>
      <c r="M619" s="6">
        <v>0</v>
      </c>
      <c r="N619" s="37" t="e" cm="1">
        <f t="array" ref="N619">IF(OR(ISNUMBER(FIND(Aux!$D$3:$D$9,_xlfn.TEXTJOIN(,,C619:K619)))),NA(),IF(AND(SUM(C619:F619,H619:K619)=0,G619=1),0,INT((SUMPRODUCT(C619:F619,COLUMN($A$1:$D$1)-1)+SUMPRODUCT(H619:K619,COLUMN($E$1:$H$1)-1))*'Line Follower'!$C$3/SUM(C619:F619,H619:K619)-'Line Follower'!$C$5)))</f>
        <v>#N/A</v>
      </c>
      <c r="O619" s="22" t="e">
        <v>#N/A</v>
      </c>
      <c r="P619" s="4" t="e">
        <f t="shared" si="45"/>
        <v>#N/A</v>
      </c>
      <c r="Q619" s="4" t="e">
        <f t="shared" si="46"/>
        <v>#N/A</v>
      </c>
      <c r="R619" s="4" t="e">
        <f>IF(AND(B619=1,N619&gt;'Line Follower'!$C$7,SUM(C619:K619)&lt;4),1,0)</f>
        <v>#N/A</v>
      </c>
      <c r="S619" s="4" t="e">
        <f>IF(AND(L619=1,N619&lt;'Line Follower'!$C$6,SUM(C619:K619)&lt;4),1,0)</f>
        <v>#N/A</v>
      </c>
      <c r="T619" s="4" t="e">
        <f t="shared" si="47"/>
        <v>#N/A</v>
      </c>
      <c r="U619" s="5" t="e">
        <f t="shared" si="48"/>
        <v>#N/A</v>
      </c>
      <c r="V619" s="23" t="e">
        <f t="shared" si="49"/>
        <v>#N/A</v>
      </c>
    </row>
    <row r="620" spans="2:22" x14ac:dyDescent="0.25">
      <c r="B620" s="16">
        <v>1</v>
      </c>
      <c r="C620" s="7">
        <v>0</v>
      </c>
      <c r="D620" s="8">
        <v>0</v>
      </c>
      <c r="E620" s="8">
        <v>1</v>
      </c>
      <c r="F620" s="8">
        <v>0</v>
      </c>
      <c r="G620" s="8">
        <v>1</v>
      </c>
      <c r="H620" s="8">
        <v>1</v>
      </c>
      <c r="I620" s="8">
        <v>0</v>
      </c>
      <c r="J620" s="8">
        <v>0</v>
      </c>
      <c r="K620" s="9">
        <v>1</v>
      </c>
      <c r="L620" s="10">
        <v>0</v>
      </c>
      <c r="M620" s="6">
        <v>0</v>
      </c>
      <c r="N620" s="37" t="e" cm="1">
        <f t="array" ref="N620">IF(OR(ISNUMBER(FIND(Aux!$D$3:$D$9,_xlfn.TEXTJOIN(,,C620:K620)))),NA(),IF(AND(SUM(C620:F620,H620:K620)=0,G620=1),0,INT((SUMPRODUCT(C620:F620,COLUMN($A$1:$D$1)-1)+SUMPRODUCT(H620:K620,COLUMN($E$1:$H$1)-1))*'Line Follower'!$C$3/SUM(C620:F620,H620:K620)-'Line Follower'!$C$5)))</f>
        <v>#N/A</v>
      </c>
      <c r="O620" s="22" t="e">
        <v>#N/A</v>
      </c>
      <c r="P620" s="4" t="e">
        <f t="shared" si="45"/>
        <v>#N/A</v>
      </c>
      <c r="Q620" s="4" t="e">
        <f t="shared" si="46"/>
        <v>#N/A</v>
      </c>
      <c r="R620" s="4" t="e">
        <f>IF(AND(B620=1,N620&gt;'Line Follower'!$C$7,SUM(C620:K620)&lt;4),1,0)</f>
        <v>#N/A</v>
      </c>
      <c r="S620" s="4" t="e">
        <f>IF(AND(L620=1,N620&lt;'Line Follower'!$C$6,SUM(C620:K620)&lt;4),1,0)</f>
        <v>#N/A</v>
      </c>
      <c r="T620" s="4" t="e">
        <f t="shared" si="47"/>
        <v>#N/A</v>
      </c>
      <c r="U620" s="5" t="e">
        <f t="shared" si="48"/>
        <v>#N/A</v>
      </c>
      <c r="V620" s="23" t="e">
        <f t="shared" si="49"/>
        <v>#N/A</v>
      </c>
    </row>
    <row r="621" spans="2:22" x14ac:dyDescent="0.25">
      <c r="B621" s="16">
        <v>0</v>
      </c>
      <c r="C621" s="7">
        <v>1</v>
      </c>
      <c r="D621" s="8">
        <v>0</v>
      </c>
      <c r="E621" s="8">
        <v>1</v>
      </c>
      <c r="F621" s="8">
        <v>0</v>
      </c>
      <c r="G621" s="8">
        <v>1</v>
      </c>
      <c r="H621" s="8">
        <v>1</v>
      </c>
      <c r="I621" s="8">
        <v>0</v>
      </c>
      <c r="J621" s="8">
        <v>0</v>
      </c>
      <c r="K621" s="9">
        <v>1</v>
      </c>
      <c r="L621" s="10">
        <v>0</v>
      </c>
      <c r="M621" s="6">
        <v>0</v>
      </c>
      <c r="N621" s="37" t="e" cm="1">
        <f t="array" ref="N621">IF(OR(ISNUMBER(FIND(Aux!$D$3:$D$9,_xlfn.TEXTJOIN(,,C621:K621)))),NA(),IF(AND(SUM(C621:F621,H621:K621)=0,G621=1),0,INT((SUMPRODUCT(C621:F621,COLUMN($A$1:$D$1)-1)+SUMPRODUCT(H621:K621,COLUMN($E$1:$H$1)-1))*'Line Follower'!$C$3/SUM(C621:F621,H621:K621)-'Line Follower'!$C$5)))</f>
        <v>#N/A</v>
      </c>
      <c r="O621" s="22" t="e">
        <v>#N/A</v>
      </c>
      <c r="P621" s="4" t="e">
        <f t="shared" si="45"/>
        <v>#N/A</v>
      </c>
      <c r="Q621" s="4" t="e">
        <f t="shared" si="46"/>
        <v>#N/A</v>
      </c>
      <c r="R621" s="4" t="e">
        <f>IF(AND(B621=1,N621&gt;'Line Follower'!$C$7,SUM(C621:K621)&lt;4),1,0)</f>
        <v>#N/A</v>
      </c>
      <c r="S621" s="4" t="e">
        <f>IF(AND(L621=1,N621&lt;'Line Follower'!$C$6,SUM(C621:K621)&lt;4),1,0)</f>
        <v>#N/A</v>
      </c>
      <c r="T621" s="4" t="e">
        <f t="shared" si="47"/>
        <v>#N/A</v>
      </c>
      <c r="U621" s="5" t="e">
        <f t="shared" si="48"/>
        <v>#N/A</v>
      </c>
      <c r="V621" s="23" t="e">
        <f t="shared" si="49"/>
        <v>#N/A</v>
      </c>
    </row>
    <row r="622" spans="2:22" x14ac:dyDescent="0.25">
      <c r="B622" s="16">
        <v>1</v>
      </c>
      <c r="C622" s="7">
        <v>1</v>
      </c>
      <c r="D622" s="8">
        <v>0</v>
      </c>
      <c r="E622" s="8">
        <v>1</v>
      </c>
      <c r="F622" s="8">
        <v>0</v>
      </c>
      <c r="G622" s="8">
        <v>1</v>
      </c>
      <c r="H622" s="8">
        <v>1</v>
      </c>
      <c r="I622" s="8">
        <v>0</v>
      </c>
      <c r="J622" s="8">
        <v>0</v>
      </c>
      <c r="K622" s="9">
        <v>1</v>
      </c>
      <c r="L622" s="10">
        <v>0</v>
      </c>
      <c r="M622" s="6">
        <v>0</v>
      </c>
      <c r="N622" s="37" t="e" cm="1">
        <f t="array" ref="N622">IF(OR(ISNUMBER(FIND(Aux!$D$3:$D$9,_xlfn.TEXTJOIN(,,C622:K622)))),NA(),IF(AND(SUM(C622:F622,H622:K622)=0,G622=1),0,INT((SUMPRODUCT(C622:F622,COLUMN($A$1:$D$1)-1)+SUMPRODUCT(H622:K622,COLUMN($E$1:$H$1)-1))*'Line Follower'!$C$3/SUM(C622:F622,H622:K622)-'Line Follower'!$C$5)))</f>
        <v>#N/A</v>
      </c>
      <c r="O622" s="22" t="e">
        <v>#N/A</v>
      </c>
      <c r="P622" s="4" t="e">
        <f t="shared" si="45"/>
        <v>#N/A</v>
      </c>
      <c r="Q622" s="4" t="e">
        <f t="shared" si="46"/>
        <v>#N/A</v>
      </c>
      <c r="R622" s="4" t="e">
        <f>IF(AND(B622=1,N622&gt;'Line Follower'!$C$7,SUM(C622:K622)&lt;4),1,0)</f>
        <v>#N/A</v>
      </c>
      <c r="S622" s="4" t="e">
        <f>IF(AND(L622=1,N622&lt;'Line Follower'!$C$6,SUM(C622:K622)&lt;4),1,0)</f>
        <v>#N/A</v>
      </c>
      <c r="T622" s="4" t="e">
        <f t="shared" si="47"/>
        <v>#N/A</v>
      </c>
      <c r="U622" s="5" t="e">
        <f t="shared" si="48"/>
        <v>#N/A</v>
      </c>
      <c r="V622" s="23" t="e">
        <f t="shared" si="49"/>
        <v>#N/A</v>
      </c>
    </row>
    <row r="623" spans="2:22" x14ac:dyDescent="0.25">
      <c r="B623" s="16">
        <v>0</v>
      </c>
      <c r="C623" s="7">
        <v>0</v>
      </c>
      <c r="D623" s="8">
        <v>1</v>
      </c>
      <c r="E623" s="8">
        <v>1</v>
      </c>
      <c r="F623" s="8">
        <v>0</v>
      </c>
      <c r="G623" s="8">
        <v>1</v>
      </c>
      <c r="H623" s="8">
        <v>1</v>
      </c>
      <c r="I623" s="8">
        <v>0</v>
      </c>
      <c r="J623" s="8">
        <v>0</v>
      </c>
      <c r="K623" s="9">
        <v>1</v>
      </c>
      <c r="L623" s="10">
        <v>0</v>
      </c>
      <c r="M623" s="6">
        <v>0</v>
      </c>
      <c r="N623" s="37" t="e" cm="1">
        <f t="array" ref="N623">IF(OR(ISNUMBER(FIND(Aux!$D$3:$D$9,_xlfn.TEXTJOIN(,,C623:K623)))),NA(),IF(AND(SUM(C623:F623,H623:K623)=0,G623=1),0,INT((SUMPRODUCT(C623:F623,COLUMN($A$1:$D$1)-1)+SUMPRODUCT(H623:K623,COLUMN($E$1:$H$1)-1))*'Line Follower'!$C$3/SUM(C623:F623,H623:K623)-'Line Follower'!$C$5)))</f>
        <v>#N/A</v>
      </c>
      <c r="O623" s="22" t="e">
        <v>#N/A</v>
      </c>
      <c r="P623" s="4" t="e">
        <f t="shared" si="45"/>
        <v>#N/A</v>
      </c>
      <c r="Q623" s="4" t="e">
        <f t="shared" si="46"/>
        <v>#N/A</v>
      </c>
      <c r="R623" s="4" t="e">
        <f>IF(AND(B623=1,N623&gt;'Line Follower'!$C$7,SUM(C623:K623)&lt;4),1,0)</f>
        <v>#N/A</v>
      </c>
      <c r="S623" s="4" t="e">
        <f>IF(AND(L623=1,N623&lt;'Line Follower'!$C$6,SUM(C623:K623)&lt;4),1,0)</f>
        <v>#N/A</v>
      </c>
      <c r="T623" s="4" t="e">
        <f t="shared" si="47"/>
        <v>#N/A</v>
      </c>
      <c r="U623" s="5" t="e">
        <f t="shared" si="48"/>
        <v>#N/A</v>
      </c>
      <c r="V623" s="23" t="e">
        <f t="shared" si="49"/>
        <v>#N/A</v>
      </c>
    </row>
    <row r="624" spans="2:22" x14ac:dyDescent="0.25">
      <c r="B624" s="16">
        <v>1</v>
      </c>
      <c r="C624" s="7">
        <v>0</v>
      </c>
      <c r="D624" s="8">
        <v>1</v>
      </c>
      <c r="E624" s="8">
        <v>1</v>
      </c>
      <c r="F624" s="8">
        <v>0</v>
      </c>
      <c r="G624" s="8">
        <v>1</v>
      </c>
      <c r="H624" s="8">
        <v>1</v>
      </c>
      <c r="I624" s="8">
        <v>0</v>
      </c>
      <c r="J624" s="8">
        <v>0</v>
      </c>
      <c r="K624" s="9">
        <v>1</v>
      </c>
      <c r="L624" s="10">
        <v>0</v>
      </c>
      <c r="M624" s="6">
        <v>0</v>
      </c>
      <c r="N624" s="37" t="e" cm="1">
        <f t="array" ref="N624">IF(OR(ISNUMBER(FIND(Aux!$D$3:$D$9,_xlfn.TEXTJOIN(,,C624:K624)))),NA(),IF(AND(SUM(C624:F624,H624:K624)=0,G624=1),0,INT((SUMPRODUCT(C624:F624,COLUMN($A$1:$D$1)-1)+SUMPRODUCT(H624:K624,COLUMN($E$1:$H$1)-1))*'Line Follower'!$C$3/SUM(C624:F624,H624:K624)-'Line Follower'!$C$5)))</f>
        <v>#N/A</v>
      </c>
      <c r="O624" s="22" t="e">
        <v>#N/A</v>
      </c>
      <c r="P624" s="4" t="e">
        <f t="shared" si="45"/>
        <v>#N/A</v>
      </c>
      <c r="Q624" s="4" t="e">
        <f t="shared" si="46"/>
        <v>#N/A</v>
      </c>
      <c r="R624" s="4" t="e">
        <f>IF(AND(B624=1,N624&gt;'Line Follower'!$C$7,SUM(C624:K624)&lt;4),1,0)</f>
        <v>#N/A</v>
      </c>
      <c r="S624" s="4" t="e">
        <f>IF(AND(L624=1,N624&lt;'Line Follower'!$C$6,SUM(C624:K624)&lt;4),1,0)</f>
        <v>#N/A</v>
      </c>
      <c r="T624" s="4" t="e">
        <f t="shared" si="47"/>
        <v>#N/A</v>
      </c>
      <c r="U624" s="5" t="e">
        <f t="shared" si="48"/>
        <v>#N/A</v>
      </c>
      <c r="V624" s="23" t="e">
        <f t="shared" si="49"/>
        <v>#N/A</v>
      </c>
    </row>
    <row r="625" spans="2:22" x14ac:dyDescent="0.25">
      <c r="B625" s="16">
        <v>0</v>
      </c>
      <c r="C625" s="7">
        <v>1</v>
      </c>
      <c r="D625" s="8">
        <v>1</v>
      </c>
      <c r="E625" s="8">
        <v>1</v>
      </c>
      <c r="F625" s="8">
        <v>0</v>
      </c>
      <c r="G625" s="8">
        <v>1</v>
      </c>
      <c r="H625" s="8">
        <v>1</v>
      </c>
      <c r="I625" s="8">
        <v>0</v>
      </c>
      <c r="J625" s="8">
        <v>0</v>
      </c>
      <c r="K625" s="9">
        <v>1</v>
      </c>
      <c r="L625" s="10">
        <v>0</v>
      </c>
      <c r="M625" s="6">
        <v>0</v>
      </c>
      <c r="N625" s="37" t="e" cm="1">
        <f t="array" ref="N625">IF(OR(ISNUMBER(FIND(Aux!$D$3:$D$9,_xlfn.TEXTJOIN(,,C625:K625)))),NA(),IF(AND(SUM(C625:F625,H625:K625)=0,G625=1),0,INT((SUMPRODUCT(C625:F625,COLUMN($A$1:$D$1)-1)+SUMPRODUCT(H625:K625,COLUMN($E$1:$H$1)-1))*'Line Follower'!$C$3/SUM(C625:F625,H625:K625)-'Line Follower'!$C$5)))</f>
        <v>#N/A</v>
      </c>
      <c r="O625" s="22" t="e">
        <v>#N/A</v>
      </c>
      <c r="P625" s="4" t="e">
        <f t="shared" si="45"/>
        <v>#N/A</v>
      </c>
      <c r="Q625" s="4" t="e">
        <f t="shared" si="46"/>
        <v>#N/A</v>
      </c>
      <c r="R625" s="4" t="e">
        <f>IF(AND(B625=1,N625&gt;'Line Follower'!$C$7,SUM(C625:K625)&lt;4),1,0)</f>
        <v>#N/A</v>
      </c>
      <c r="S625" s="4" t="e">
        <f>IF(AND(L625=1,N625&lt;'Line Follower'!$C$6,SUM(C625:K625)&lt;4),1,0)</f>
        <v>#N/A</v>
      </c>
      <c r="T625" s="4" t="e">
        <f t="shared" si="47"/>
        <v>#N/A</v>
      </c>
      <c r="U625" s="5" t="e">
        <f t="shared" si="48"/>
        <v>#N/A</v>
      </c>
      <c r="V625" s="23" t="e">
        <f t="shared" si="49"/>
        <v>#N/A</v>
      </c>
    </row>
    <row r="626" spans="2:22" x14ac:dyDescent="0.25">
      <c r="B626" s="16">
        <v>1</v>
      </c>
      <c r="C626" s="7">
        <v>1</v>
      </c>
      <c r="D626" s="8">
        <v>1</v>
      </c>
      <c r="E626" s="8">
        <v>1</v>
      </c>
      <c r="F626" s="8">
        <v>0</v>
      </c>
      <c r="G626" s="8">
        <v>1</v>
      </c>
      <c r="H626" s="8">
        <v>1</v>
      </c>
      <c r="I626" s="8">
        <v>0</v>
      </c>
      <c r="J626" s="8">
        <v>0</v>
      </c>
      <c r="K626" s="9">
        <v>1</v>
      </c>
      <c r="L626" s="10">
        <v>0</v>
      </c>
      <c r="M626" s="6">
        <v>0</v>
      </c>
      <c r="N626" s="37" t="e" cm="1">
        <f t="array" ref="N626">IF(OR(ISNUMBER(FIND(Aux!$D$3:$D$9,_xlfn.TEXTJOIN(,,C626:K626)))),NA(),IF(AND(SUM(C626:F626,H626:K626)=0,G626=1),0,INT((SUMPRODUCT(C626:F626,COLUMN($A$1:$D$1)-1)+SUMPRODUCT(H626:K626,COLUMN($E$1:$H$1)-1))*'Line Follower'!$C$3/SUM(C626:F626,H626:K626)-'Line Follower'!$C$5)))</f>
        <v>#N/A</v>
      </c>
      <c r="O626" s="22" t="e">
        <v>#N/A</v>
      </c>
      <c r="P626" s="4" t="e">
        <f t="shared" si="45"/>
        <v>#N/A</v>
      </c>
      <c r="Q626" s="4" t="e">
        <f t="shared" si="46"/>
        <v>#N/A</v>
      </c>
      <c r="R626" s="4" t="e">
        <f>IF(AND(B626=1,N626&gt;'Line Follower'!$C$7,SUM(C626:K626)&lt;4),1,0)</f>
        <v>#N/A</v>
      </c>
      <c r="S626" s="4" t="e">
        <f>IF(AND(L626=1,N626&lt;'Line Follower'!$C$6,SUM(C626:K626)&lt;4),1,0)</f>
        <v>#N/A</v>
      </c>
      <c r="T626" s="4" t="e">
        <f t="shared" si="47"/>
        <v>#N/A</v>
      </c>
      <c r="U626" s="5" t="e">
        <f t="shared" si="48"/>
        <v>#N/A</v>
      </c>
      <c r="V626" s="23" t="e">
        <f t="shared" si="49"/>
        <v>#N/A</v>
      </c>
    </row>
    <row r="627" spans="2:22" x14ac:dyDescent="0.25">
      <c r="B627" s="16">
        <v>0</v>
      </c>
      <c r="C627" s="7">
        <v>0</v>
      </c>
      <c r="D627" s="8">
        <v>0</v>
      </c>
      <c r="E627" s="8">
        <v>0</v>
      </c>
      <c r="F627" s="8">
        <v>1</v>
      </c>
      <c r="G627" s="8">
        <v>1</v>
      </c>
      <c r="H627" s="8">
        <v>1</v>
      </c>
      <c r="I627" s="8">
        <v>0</v>
      </c>
      <c r="J627" s="8">
        <v>0</v>
      </c>
      <c r="K627" s="9">
        <v>1</v>
      </c>
      <c r="L627" s="10">
        <v>0</v>
      </c>
      <c r="M627" s="6">
        <v>0</v>
      </c>
      <c r="N627" s="37" t="e" cm="1">
        <f t="array" ref="N627">IF(OR(ISNUMBER(FIND(Aux!$D$3:$D$9,_xlfn.TEXTJOIN(,,C627:K627)))),NA(),IF(AND(SUM(C627:F627,H627:K627)=0,G627=1),0,INT((SUMPRODUCT(C627:F627,COLUMN($A$1:$D$1)-1)+SUMPRODUCT(H627:K627,COLUMN($E$1:$H$1)-1))*'Line Follower'!$C$3/SUM(C627:F627,H627:K627)-'Line Follower'!$C$5)))</f>
        <v>#N/A</v>
      </c>
      <c r="O627" s="22" t="e">
        <v>#N/A</v>
      </c>
      <c r="P627" s="4" t="e">
        <f t="shared" si="45"/>
        <v>#N/A</v>
      </c>
      <c r="Q627" s="4" t="e">
        <f t="shared" si="46"/>
        <v>#N/A</v>
      </c>
      <c r="R627" s="4" t="e">
        <f>IF(AND(B627=1,N627&gt;'Line Follower'!$C$7,SUM(C627:K627)&lt;4),1,0)</f>
        <v>#N/A</v>
      </c>
      <c r="S627" s="4" t="e">
        <f>IF(AND(L627=1,N627&lt;'Line Follower'!$C$6,SUM(C627:K627)&lt;4),1,0)</f>
        <v>#N/A</v>
      </c>
      <c r="T627" s="4" t="e">
        <f t="shared" si="47"/>
        <v>#N/A</v>
      </c>
      <c r="U627" s="5" t="e">
        <f t="shared" si="48"/>
        <v>#N/A</v>
      </c>
      <c r="V627" s="23" t="e">
        <f t="shared" si="49"/>
        <v>#N/A</v>
      </c>
    </row>
    <row r="628" spans="2:22" x14ac:dyDescent="0.25">
      <c r="B628" s="16">
        <v>1</v>
      </c>
      <c r="C628" s="7">
        <v>0</v>
      </c>
      <c r="D628" s="8">
        <v>0</v>
      </c>
      <c r="E628" s="8">
        <v>0</v>
      </c>
      <c r="F628" s="8">
        <v>1</v>
      </c>
      <c r="G628" s="8">
        <v>1</v>
      </c>
      <c r="H628" s="8">
        <v>1</v>
      </c>
      <c r="I628" s="8">
        <v>0</v>
      </c>
      <c r="J628" s="8">
        <v>0</v>
      </c>
      <c r="K628" s="9">
        <v>1</v>
      </c>
      <c r="L628" s="10">
        <v>0</v>
      </c>
      <c r="M628" s="6">
        <v>0</v>
      </c>
      <c r="N628" s="37" t="e" cm="1">
        <f t="array" ref="N628">IF(OR(ISNUMBER(FIND(Aux!$D$3:$D$9,_xlfn.TEXTJOIN(,,C628:K628)))),NA(),IF(AND(SUM(C628:F628,H628:K628)=0,G628=1),0,INT((SUMPRODUCT(C628:F628,COLUMN($A$1:$D$1)-1)+SUMPRODUCT(H628:K628,COLUMN($E$1:$H$1)-1))*'Line Follower'!$C$3/SUM(C628:F628,H628:K628)-'Line Follower'!$C$5)))</f>
        <v>#N/A</v>
      </c>
      <c r="O628" s="22" t="e">
        <v>#N/A</v>
      </c>
      <c r="P628" s="4" t="e">
        <f t="shared" si="45"/>
        <v>#N/A</v>
      </c>
      <c r="Q628" s="4" t="e">
        <f t="shared" si="46"/>
        <v>#N/A</v>
      </c>
      <c r="R628" s="4" t="e">
        <f>IF(AND(B628=1,N628&gt;'Line Follower'!$C$7,SUM(C628:K628)&lt;4),1,0)</f>
        <v>#N/A</v>
      </c>
      <c r="S628" s="4" t="e">
        <f>IF(AND(L628=1,N628&lt;'Line Follower'!$C$6,SUM(C628:K628)&lt;4),1,0)</f>
        <v>#N/A</v>
      </c>
      <c r="T628" s="4" t="e">
        <f t="shared" si="47"/>
        <v>#N/A</v>
      </c>
      <c r="U628" s="5" t="e">
        <f t="shared" si="48"/>
        <v>#N/A</v>
      </c>
      <c r="V628" s="23" t="e">
        <f t="shared" si="49"/>
        <v>#N/A</v>
      </c>
    </row>
    <row r="629" spans="2:22" x14ac:dyDescent="0.25">
      <c r="B629" s="16">
        <v>0</v>
      </c>
      <c r="C629" s="7">
        <v>1</v>
      </c>
      <c r="D629" s="8">
        <v>0</v>
      </c>
      <c r="E629" s="8">
        <v>0</v>
      </c>
      <c r="F629" s="8">
        <v>1</v>
      </c>
      <c r="G629" s="8">
        <v>1</v>
      </c>
      <c r="H629" s="8">
        <v>1</v>
      </c>
      <c r="I629" s="8">
        <v>0</v>
      </c>
      <c r="J629" s="8">
        <v>0</v>
      </c>
      <c r="K629" s="9">
        <v>1</v>
      </c>
      <c r="L629" s="10">
        <v>0</v>
      </c>
      <c r="M629" s="6">
        <v>0</v>
      </c>
      <c r="N629" s="37" t="e" cm="1">
        <f t="array" ref="N629">IF(OR(ISNUMBER(FIND(Aux!$D$3:$D$9,_xlfn.TEXTJOIN(,,C629:K629)))),NA(),IF(AND(SUM(C629:F629,H629:K629)=0,G629=1),0,INT((SUMPRODUCT(C629:F629,COLUMN($A$1:$D$1)-1)+SUMPRODUCT(H629:K629,COLUMN($E$1:$H$1)-1))*'Line Follower'!$C$3/SUM(C629:F629,H629:K629)-'Line Follower'!$C$5)))</f>
        <v>#N/A</v>
      </c>
      <c r="O629" s="22" t="e">
        <v>#N/A</v>
      </c>
      <c r="P629" s="4" t="e">
        <f t="shared" si="45"/>
        <v>#N/A</v>
      </c>
      <c r="Q629" s="4" t="e">
        <f t="shared" si="46"/>
        <v>#N/A</v>
      </c>
      <c r="R629" s="4" t="e">
        <f>IF(AND(B629=1,N629&gt;'Line Follower'!$C$7,SUM(C629:K629)&lt;4),1,0)</f>
        <v>#N/A</v>
      </c>
      <c r="S629" s="4" t="e">
        <f>IF(AND(L629=1,N629&lt;'Line Follower'!$C$6,SUM(C629:K629)&lt;4),1,0)</f>
        <v>#N/A</v>
      </c>
      <c r="T629" s="4" t="e">
        <f t="shared" si="47"/>
        <v>#N/A</v>
      </c>
      <c r="U629" s="5" t="e">
        <f t="shared" si="48"/>
        <v>#N/A</v>
      </c>
      <c r="V629" s="23" t="e">
        <f t="shared" si="49"/>
        <v>#N/A</v>
      </c>
    </row>
    <row r="630" spans="2:22" x14ac:dyDescent="0.25">
      <c r="B630" s="16">
        <v>1</v>
      </c>
      <c r="C630" s="7">
        <v>1</v>
      </c>
      <c r="D630" s="8">
        <v>0</v>
      </c>
      <c r="E630" s="8">
        <v>0</v>
      </c>
      <c r="F630" s="8">
        <v>1</v>
      </c>
      <c r="G630" s="8">
        <v>1</v>
      </c>
      <c r="H630" s="8">
        <v>1</v>
      </c>
      <c r="I630" s="8">
        <v>0</v>
      </c>
      <c r="J630" s="8">
        <v>0</v>
      </c>
      <c r="K630" s="9">
        <v>1</v>
      </c>
      <c r="L630" s="10">
        <v>0</v>
      </c>
      <c r="M630" s="6">
        <v>0</v>
      </c>
      <c r="N630" s="37" t="e" cm="1">
        <f t="array" ref="N630">IF(OR(ISNUMBER(FIND(Aux!$D$3:$D$9,_xlfn.TEXTJOIN(,,C630:K630)))),NA(),IF(AND(SUM(C630:F630,H630:K630)=0,G630=1),0,INT((SUMPRODUCT(C630:F630,COLUMN($A$1:$D$1)-1)+SUMPRODUCT(H630:K630,COLUMN($E$1:$H$1)-1))*'Line Follower'!$C$3/SUM(C630:F630,H630:K630)-'Line Follower'!$C$5)))</f>
        <v>#N/A</v>
      </c>
      <c r="O630" s="22" t="e">
        <v>#N/A</v>
      </c>
      <c r="P630" s="4" t="e">
        <f t="shared" si="45"/>
        <v>#N/A</v>
      </c>
      <c r="Q630" s="4" t="e">
        <f t="shared" si="46"/>
        <v>#N/A</v>
      </c>
      <c r="R630" s="4" t="e">
        <f>IF(AND(B630=1,N630&gt;'Line Follower'!$C$7,SUM(C630:K630)&lt;4),1,0)</f>
        <v>#N/A</v>
      </c>
      <c r="S630" s="4" t="e">
        <f>IF(AND(L630=1,N630&lt;'Line Follower'!$C$6,SUM(C630:K630)&lt;4),1,0)</f>
        <v>#N/A</v>
      </c>
      <c r="T630" s="4" t="e">
        <f t="shared" si="47"/>
        <v>#N/A</v>
      </c>
      <c r="U630" s="5" t="e">
        <f t="shared" si="48"/>
        <v>#N/A</v>
      </c>
      <c r="V630" s="23" t="e">
        <f t="shared" si="49"/>
        <v>#N/A</v>
      </c>
    </row>
    <row r="631" spans="2:22" x14ac:dyDescent="0.25">
      <c r="B631" s="16">
        <v>0</v>
      </c>
      <c r="C631" s="7">
        <v>0</v>
      </c>
      <c r="D631" s="8">
        <v>1</v>
      </c>
      <c r="E631" s="8">
        <v>0</v>
      </c>
      <c r="F631" s="8">
        <v>1</v>
      </c>
      <c r="G631" s="8">
        <v>1</v>
      </c>
      <c r="H631" s="8">
        <v>1</v>
      </c>
      <c r="I631" s="8">
        <v>0</v>
      </c>
      <c r="J631" s="8">
        <v>0</v>
      </c>
      <c r="K631" s="9">
        <v>1</v>
      </c>
      <c r="L631" s="10">
        <v>0</v>
      </c>
      <c r="M631" s="6">
        <v>0</v>
      </c>
      <c r="N631" s="37" t="e" cm="1">
        <f t="array" ref="N631">IF(OR(ISNUMBER(FIND(Aux!$D$3:$D$9,_xlfn.TEXTJOIN(,,C631:K631)))),NA(),IF(AND(SUM(C631:F631,H631:K631)=0,G631=1),0,INT((SUMPRODUCT(C631:F631,COLUMN($A$1:$D$1)-1)+SUMPRODUCT(H631:K631,COLUMN($E$1:$H$1)-1))*'Line Follower'!$C$3/SUM(C631:F631,H631:K631)-'Line Follower'!$C$5)))</f>
        <v>#N/A</v>
      </c>
      <c r="O631" s="22" t="e">
        <v>#N/A</v>
      </c>
      <c r="P631" s="4" t="e">
        <f t="shared" si="45"/>
        <v>#N/A</v>
      </c>
      <c r="Q631" s="4" t="e">
        <f t="shared" si="46"/>
        <v>#N/A</v>
      </c>
      <c r="R631" s="4" t="e">
        <f>IF(AND(B631=1,N631&gt;'Line Follower'!$C$7,SUM(C631:K631)&lt;4),1,0)</f>
        <v>#N/A</v>
      </c>
      <c r="S631" s="4" t="e">
        <f>IF(AND(L631=1,N631&lt;'Line Follower'!$C$6,SUM(C631:K631)&lt;4),1,0)</f>
        <v>#N/A</v>
      </c>
      <c r="T631" s="4" t="e">
        <f t="shared" si="47"/>
        <v>#N/A</v>
      </c>
      <c r="U631" s="5" t="e">
        <f t="shared" si="48"/>
        <v>#N/A</v>
      </c>
      <c r="V631" s="23" t="e">
        <f t="shared" si="49"/>
        <v>#N/A</v>
      </c>
    </row>
    <row r="632" spans="2:22" x14ac:dyDescent="0.25">
      <c r="B632" s="16">
        <v>1</v>
      </c>
      <c r="C632" s="7">
        <v>0</v>
      </c>
      <c r="D632" s="8">
        <v>1</v>
      </c>
      <c r="E632" s="8">
        <v>0</v>
      </c>
      <c r="F632" s="8">
        <v>1</v>
      </c>
      <c r="G632" s="8">
        <v>1</v>
      </c>
      <c r="H632" s="8">
        <v>1</v>
      </c>
      <c r="I632" s="8">
        <v>0</v>
      </c>
      <c r="J632" s="8">
        <v>0</v>
      </c>
      <c r="K632" s="9">
        <v>1</v>
      </c>
      <c r="L632" s="10">
        <v>0</v>
      </c>
      <c r="M632" s="6">
        <v>0</v>
      </c>
      <c r="N632" s="37" t="e" cm="1">
        <f t="array" ref="N632">IF(OR(ISNUMBER(FIND(Aux!$D$3:$D$9,_xlfn.TEXTJOIN(,,C632:K632)))),NA(),IF(AND(SUM(C632:F632,H632:K632)=0,G632=1),0,INT((SUMPRODUCT(C632:F632,COLUMN($A$1:$D$1)-1)+SUMPRODUCT(H632:K632,COLUMN($E$1:$H$1)-1))*'Line Follower'!$C$3/SUM(C632:F632,H632:K632)-'Line Follower'!$C$5)))</f>
        <v>#N/A</v>
      </c>
      <c r="O632" s="22" t="e">
        <v>#N/A</v>
      </c>
      <c r="P632" s="4" t="e">
        <f t="shared" si="45"/>
        <v>#N/A</v>
      </c>
      <c r="Q632" s="4" t="e">
        <f t="shared" si="46"/>
        <v>#N/A</v>
      </c>
      <c r="R632" s="4" t="e">
        <f>IF(AND(B632=1,N632&gt;'Line Follower'!$C$7,SUM(C632:K632)&lt;4),1,0)</f>
        <v>#N/A</v>
      </c>
      <c r="S632" s="4" t="e">
        <f>IF(AND(L632=1,N632&lt;'Line Follower'!$C$6,SUM(C632:K632)&lt;4),1,0)</f>
        <v>#N/A</v>
      </c>
      <c r="T632" s="4" t="e">
        <f t="shared" si="47"/>
        <v>#N/A</v>
      </c>
      <c r="U632" s="5" t="e">
        <f t="shared" si="48"/>
        <v>#N/A</v>
      </c>
      <c r="V632" s="23" t="e">
        <f t="shared" si="49"/>
        <v>#N/A</v>
      </c>
    </row>
    <row r="633" spans="2:22" x14ac:dyDescent="0.25">
      <c r="B633" s="16">
        <v>0</v>
      </c>
      <c r="C633" s="7">
        <v>1</v>
      </c>
      <c r="D633" s="8">
        <v>1</v>
      </c>
      <c r="E633" s="8">
        <v>0</v>
      </c>
      <c r="F633" s="8">
        <v>1</v>
      </c>
      <c r="G633" s="8">
        <v>1</v>
      </c>
      <c r="H633" s="8">
        <v>1</v>
      </c>
      <c r="I633" s="8">
        <v>0</v>
      </c>
      <c r="J633" s="8">
        <v>0</v>
      </c>
      <c r="K633" s="9">
        <v>1</v>
      </c>
      <c r="L633" s="10">
        <v>0</v>
      </c>
      <c r="M633" s="6">
        <v>0</v>
      </c>
      <c r="N633" s="37" t="e" cm="1">
        <f t="array" ref="N633">IF(OR(ISNUMBER(FIND(Aux!$D$3:$D$9,_xlfn.TEXTJOIN(,,C633:K633)))),NA(),IF(AND(SUM(C633:F633,H633:K633)=0,G633=1),0,INT((SUMPRODUCT(C633:F633,COLUMN($A$1:$D$1)-1)+SUMPRODUCT(H633:K633,COLUMN($E$1:$H$1)-1))*'Line Follower'!$C$3/SUM(C633:F633,H633:K633)-'Line Follower'!$C$5)))</f>
        <v>#N/A</v>
      </c>
      <c r="O633" s="22" t="e">
        <v>#N/A</v>
      </c>
      <c r="P633" s="4" t="e">
        <f t="shared" si="45"/>
        <v>#N/A</v>
      </c>
      <c r="Q633" s="4" t="e">
        <f t="shared" si="46"/>
        <v>#N/A</v>
      </c>
      <c r="R633" s="4" t="e">
        <f>IF(AND(B633=1,N633&gt;'Line Follower'!$C$7,SUM(C633:K633)&lt;4),1,0)</f>
        <v>#N/A</v>
      </c>
      <c r="S633" s="4" t="e">
        <f>IF(AND(L633=1,N633&lt;'Line Follower'!$C$6,SUM(C633:K633)&lt;4),1,0)</f>
        <v>#N/A</v>
      </c>
      <c r="T633" s="4" t="e">
        <f t="shared" si="47"/>
        <v>#N/A</v>
      </c>
      <c r="U633" s="5" t="e">
        <f t="shared" si="48"/>
        <v>#N/A</v>
      </c>
      <c r="V633" s="23" t="e">
        <f t="shared" si="49"/>
        <v>#N/A</v>
      </c>
    </row>
    <row r="634" spans="2:22" x14ac:dyDescent="0.25">
      <c r="B634" s="16">
        <v>1</v>
      </c>
      <c r="C634" s="7">
        <v>1</v>
      </c>
      <c r="D634" s="8">
        <v>1</v>
      </c>
      <c r="E634" s="8">
        <v>0</v>
      </c>
      <c r="F634" s="8">
        <v>1</v>
      </c>
      <c r="G634" s="8">
        <v>1</v>
      </c>
      <c r="H634" s="8">
        <v>1</v>
      </c>
      <c r="I634" s="8">
        <v>0</v>
      </c>
      <c r="J634" s="8">
        <v>0</v>
      </c>
      <c r="K634" s="9">
        <v>1</v>
      </c>
      <c r="L634" s="10">
        <v>0</v>
      </c>
      <c r="M634" s="6">
        <v>0</v>
      </c>
      <c r="N634" s="37" t="e" cm="1">
        <f t="array" ref="N634">IF(OR(ISNUMBER(FIND(Aux!$D$3:$D$9,_xlfn.TEXTJOIN(,,C634:K634)))),NA(),IF(AND(SUM(C634:F634,H634:K634)=0,G634=1),0,INT((SUMPRODUCT(C634:F634,COLUMN($A$1:$D$1)-1)+SUMPRODUCT(H634:K634,COLUMN($E$1:$H$1)-1))*'Line Follower'!$C$3/SUM(C634:F634,H634:K634)-'Line Follower'!$C$5)))</f>
        <v>#N/A</v>
      </c>
      <c r="O634" s="22" t="e">
        <v>#N/A</v>
      </c>
      <c r="P634" s="4" t="e">
        <f t="shared" si="45"/>
        <v>#N/A</v>
      </c>
      <c r="Q634" s="4" t="e">
        <f t="shared" si="46"/>
        <v>#N/A</v>
      </c>
      <c r="R634" s="4" t="e">
        <f>IF(AND(B634=1,N634&gt;'Line Follower'!$C$7,SUM(C634:K634)&lt;4),1,0)</f>
        <v>#N/A</v>
      </c>
      <c r="S634" s="4" t="e">
        <f>IF(AND(L634=1,N634&lt;'Line Follower'!$C$6,SUM(C634:K634)&lt;4),1,0)</f>
        <v>#N/A</v>
      </c>
      <c r="T634" s="4" t="e">
        <f t="shared" si="47"/>
        <v>#N/A</v>
      </c>
      <c r="U634" s="5" t="e">
        <f t="shared" si="48"/>
        <v>#N/A</v>
      </c>
      <c r="V634" s="23" t="e">
        <f t="shared" si="49"/>
        <v>#N/A</v>
      </c>
    </row>
    <row r="635" spans="2:22" x14ac:dyDescent="0.25">
      <c r="B635" s="16">
        <v>0</v>
      </c>
      <c r="C635" s="7">
        <v>0</v>
      </c>
      <c r="D635" s="8">
        <v>0</v>
      </c>
      <c r="E635" s="8">
        <v>1</v>
      </c>
      <c r="F635" s="8">
        <v>1</v>
      </c>
      <c r="G635" s="8">
        <v>1</v>
      </c>
      <c r="H635" s="8">
        <v>1</v>
      </c>
      <c r="I635" s="8">
        <v>0</v>
      </c>
      <c r="J635" s="8">
        <v>0</v>
      </c>
      <c r="K635" s="9">
        <v>1</v>
      </c>
      <c r="L635" s="10">
        <v>0</v>
      </c>
      <c r="M635" s="6">
        <v>0</v>
      </c>
      <c r="N635" s="37" t="e" cm="1">
        <f t="array" ref="N635">IF(OR(ISNUMBER(FIND(Aux!$D$3:$D$9,_xlfn.TEXTJOIN(,,C635:K635)))),NA(),IF(AND(SUM(C635:F635,H635:K635)=0,G635=1),0,INT((SUMPRODUCT(C635:F635,COLUMN($A$1:$D$1)-1)+SUMPRODUCT(H635:K635,COLUMN($E$1:$H$1)-1))*'Line Follower'!$C$3/SUM(C635:F635,H635:K635)-'Line Follower'!$C$5)))</f>
        <v>#N/A</v>
      </c>
      <c r="O635" s="22" t="e">
        <v>#N/A</v>
      </c>
      <c r="P635" s="4" t="e">
        <f t="shared" si="45"/>
        <v>#N/A</v>
      </c>
      <c r="Q635" s="4" t="e">
        <f t="shared" si="46"/>
        <v>#N/A</v>
      </c>
      <c r="R635" s="4" t="e">
        <f>IF(AND(B635=1,N635&gt;'Line Follower'!$C$7,SUM(C635:K635)&lt;4),1,0)</f>
        <v>#N/A</v>
      </c>
      <c r="S635" s="4" t="e">
        <f>IF(AND(L635=1,N635&lt;'Line Follower'!$C$6,SUM(C635:K635)&lt;4),1,0)</f>
        <v>#N/A</v>
      </c>
      <c r="T635" s="4" t="e">
        <f t="shared" si="47"/>
        <v>#N/A</v>
      </c>
      <c r="U635" s="5" t="e">
        <f t="shared" si="48"/>
        <v>#N/A</v>
      </c>
      <c r="V635" s="23" t="e">
        <f t="shared" si="49"/>
        <v>#N/A</v>
      </c>
    </row>
    <row r="636" spans="2:22" x14ac:dyDescent="0.25">
      <c r="B636" s="16">
        <v>1</v>
      </c>
      <c r="C636" s="7">
        <v>0</v>
      </c>
      <c r="D636" s="8">
        <v>0</v>
      </c>
      <c r="E636" s="8">
        <v>1</v>
      </c>
      <c r="F636" s="8">
        <v>1</v>
      </c>
      <c r="G636" s="8">
        <v>1</v>
      </c>
      <c r="H636" s="8">
        <v>1</v>
      </c>
      <c r="I636" s="8">
        <v>0</v>
      </c>
      <c r="J636" s="8">
        <v>0</v>
      </c>
      <c r="K636" s="9">
        <v>1</v>
      </c>
      <c r="L636" s="10">
        <v>0</v>
      </c>
      <c r="M636" s="6">
        <v>0</v>
      </c>
      <c r="N636" s="37" t="e" cm="1">
        <f t="array" ref="N636">IF(OR(ISNUMBER(FIND(Aux!$D$3:$D$9,_xlfn.TEXTJOIN(,,C636:K636)))),NA(),IF(AND(SUM(C636:F636,H636:K636)=0,G636=1),0,INT((SUMPRODUCT(C636:F636,COLUMN($A$1:$D$1)-1)+SUMPRODUCT(H636:K636,COLUMN($E$1:$H$1)-1))*'Line Follower'!$C$3/SUM(C636:F636,H636:K636)-'Line Follower'!$C$5)))</f>
        <v>#N/A</v>
      </c>
      <c r="O636" s="22" t="e">
        <v>#N/A</v>
      </c>
      <c r="P636" s="4" t="e">
        <f t="shared" si="45"/>
        <v>#N/A</v>
      </c>
      <c r="Q636" s="4" t="e">
        <f t="shared" si="46"/>
        <v>#N/A</v>
      </c>
      <c r="R636" s="4" t="e">
        <f>IF(AND(B636=1,N636&gt;'Line Follower'!$C$7,SUM(C636:K636)&lt;4),1,0)</f>
        <v>#N/A</v>
      </c>
      <c r="S636" s="4" t="e">
        <f>IF(AND(L636=1,N636&lt;'Line Follower'!$C$6,SUM(C636:K636)&lt;4),1,0)</f>
        <v>#N/A</v>
      </c>
      <c r="T636" s="4" t="e">
        <f t="shared" si="47"/>
        <v>#N/A</v>
      </c>
      <c r="U636" s="5" t="e">
        <f t="shared" si="48"/>
        <v>#N/A</v>
      </c>
      <c r="V636" s="23" t="e">
        <f t="shared" si="49"/>
        <v>#N/A</v>
      </c>
    </row>
    <row r="637" spans="2:22" x14ac:dyDescent="0.25">
      <c r="B637" s="16">
        <v>0</v>
      </c>
      <c r="C637" s="7">
        <v>1</v>
      </c>
      <c r="D637" s="8">
        <v>0</v>
      </c>
      <c r="E637" s="8">
        <v>1</v>
      </c>
      <c r="F637" s="8">
        <v>1</v>
      </c>
      <c r="G637" s="8">
        <v>1</v>
      </c>
      <c r="H637" s="8">
        <v>1</v>
      </c>
      <c r="I637" s="8">
        <v>0</v>
      </c>
      <c r="J637" s="8">
        <v>0</v>
      </c>
      <c r="K637" s="9">
        <v>1</v>
      </c>
      <c r="L637" s="10">
        <v>0</v>
      </c>
      <c r="M637" s="6">
        <v>0</v>
      </c>
      <c r="N637" s="37" t="e" cm="1">
        <f t="array" ref="N637">IF(OR(ISNUMBER(FIND(Aux!$D$3:$D$9,_xlfn.TEXTJOIN(,,C637:K637)))),NA(),IF(AND(SUM(C637:F637,H637:K637)=0,G637=1),0,INT((SUMPRODUCT(C637:F637,COLUMN($A$1:$D$1)-1)+SUMPRODUCT(H637:K637,COLUMN($E$1:$H$1)-1))*'Line Follower'!$C$3/SUM(C637:F637,H637:K637)-'Line Follower'!$C$5)))</f>
        <v>#N/A</v>
      </c>
      <c r="O637" s="22" t="e">
        <v>#N/A</v>
      </c>
      <c r="P637" s="4" t="e">
        <f t="shared" si="45"/>
        <v>#N/A</v>
      </c>
      <c r="Q637" s="4" t="e">
        <f t="shared" si="46"/>
        <v>#N/A</v>
      </c>
      <c r="R637" s="4" t="e">
        <f>IF(AND(B637=1,N637&gt;'Line Follower'!$C$7,SUM(C637:K637)&lt;4),1,0)</f>
        <v>#N/A</v>
      </c>
      <c r="S637" s="4" t="e">
        <f>IF(AND(L637=1,N637&lt;'Line Follower'!$C$6,SUM(C637:K637)&lt;4),1,0)</f>
        <v>#N/A</v>
      </c>
      <c r="T637" s="4" t="e">
        <f t="shared" si="47"/>
        <v>#N/A</v>
      </c>
      <c r="U637" s="5" t="e">
        <f t="shared" si="48"/>
        <v>#N/A</v>
      </c>
      <c r="V637" s="23" t="e">
        <f t="shared" si="49"/>
        <v>#N/A</v>
      </c>
    </row>
    <row r="638" spans="2:22" x14ac:dyDescent="0.25">
      <c r="B638" s="16">
        <v>1</v>
      </c>
      <c r="C638" s="7">
        <v>1</v>
      </c>
      <c r="D638" s="8">
        <v>0</v>
      </c>
      <c r="E638" s="8">
        <v>1</v>
      </c>
      <c r="F638" s="8">
        <v>1</v>
      </c>
      <c r="G638" s="8">
        <v>1</v>
      </c>
      <c r="H638" s="8">
        <v>1</v>
      </c>
      <c r="I638" s="8">
        <v>0</v>
      </c>
      <c r="J638" s="8">
        <v>0</v>
      </c>
      <c r="K638" s="9">
        <v>1</v>
      </c>
      <c r="L638" s="10">
        <v>0</v>
      </c>
      <c r="M638" s="6">
        <v>0</v>
      </c>
      <c r="N638" s="37" t="e" cm="1">
        <f t="array" ref="N638">IF(OR(ISNUMBER(FIND(Aux!$D$3:$D$9,_xlfn.TEXTJOIN(,,C638:K638)))),NA(),IF(AND(SUM(C638:F638,H638:K638)=0,G638=1),0,INT((SUMPRODUCT(C638:F638,COLUMN($A$1:$D$1)-1)+SUMPRODUCT(H638:K638,COLUMN($E$1:$H$1)-1))*'Line Follower'!$C$3/SUM(C638:F638,H638:K638)-'Line Follower'!$C$5)))</f>
        <v>#N/A</v>
      </c>
      <c r="O638" s="22" t="e">
        <v>#N/A</v>
      </c>
      <c r="P638" s="4" t="e">
        <f t="shared" si="45"/>
        <v>#N/A</v>
      </c>
      <c r="Q638" s="4" t="e">
        <f t="shared" si="46"/>
        <v>#N/A</v>
      </c>
      <c r="R638" s="4" t="e">
        <f>IF(AND(B638=1,N638&gt;'Line Follower'!$C$7,SUM(C638:K638)&lt;4),1,0)</f>
        <v>#N/A</v>
      </c>
      <c r="S638" s="4" t="e">
        <f>IF(AND(L638=1,N638&lt;'Line Follower'!$C$6,SUM(C638:K638)&lt;4),1,0)</f>
        <v>#N/A</v>
      </c>
      <c r="T638" s="4" t="e">
        <f t="shared" si="47"/>
        <v>#N/A</v>
      </c>
      <c r="U638" s="5" t="e">
        <f t="shared" si="48"/>
        <v>#N/A</v>
      </c>
      <c r="V638" s="23" t="e">
        <f t="shared" si="49"/>
        <v>#N/A</v>
      </c>
    </row>
    <row r="639" spans="2:22" x14ac:dyDescent="0.25">
      <c r="B639" s="16">
        <v>0</v>
      </c>
      <c r="C639" s="7">
        <v>0</v>
      </c>
      <c r="D639" s="8">
        <v>1</v>
      </c>
      <c r="E639" s="8">
        <v>1</v>
      </c>
      <c r="F639" s="8">
        <v>1</v>
      </c>
      <c r="G639" s="8">
        <v>1</v>
      </c>
      <c r="H639" s="8">
        <v>1</v>
      </c>
      <c r="I639" s="8">
        <v>0</v>
      </c>
      <c r="J639" s="8">
        <v>0</v>
      </c>
      <c r="K639" s="9">
        <v>1</v>
      </c>
      <c r="L639" s="10">
        <v>0</v>
      </c>
      <c r="M639" s="6">
        <v>0</v>
      </c>
      <c r="N639" s="37" t="e" cm="1">
        <f t="array" ref="N639">IF(OR(ISNUMBER(FIND(Aux!$D$3:$D$9,_xlfn.TEXTJOIN(,,C639:K639)))),NA(),IF(AND(SUM(C639:F639,H639:K639)=0,G639=1),0,INT((SUMPRODUCT(C639:F639,COLUMN($A$1:$D$1)-1)+SUMPRODUCT(H639:K639,COLUMN($E$1:$H$1)-1))*'Line Follower'!$C$3/SUM(C639:F639,H639:K639)-'Line Follower'!$C$5)))</f>
        <v>#N/A</v>
      </c>
      <c r="O639" s="22" t="e">
        <v>#N/A</v>
      </c>
      <c r="P639" s="4" t="e">
        <f t="shared" si="45"/>
        <v>#N/A</v>
      </c>
      <c r="Q639" s="4" t="e">
        <f t="shared" si="46"/>
        <v>#N/A</v>
      </c>
      <c r="R639" s="4" t="e">
        <f>IF(AND(B639=1,N639&gt;'Line Follower'!$C$7,SUM(C639:K639)&lt;4),1,0)</f>
        <v>#N/A</v>
      </c>
      <c r="S639" s="4" t="e">
        <f>IF(AND(L639=1,N639&lt;'Line Follower'!$C$6,SUM(C639:K639)&lt;4),1,0)</f>
        <v>#N/A</v>
      </c>
      <c r="T639" s="4" t="e">
        <f t="shared" si="47"/>
        <v>#N/A</v>
      </c>
      <c r="U639" s="5" t="e">
        <f t="shared" si="48"/>
        <v>#N/A</v>
      </c>
      <c r="V639" s="23" t="e">
        <f t="shared" si="49"/>
        <v>#N/A</v>
      </c>
    </row>
    <row r="640" spans="2:22" x14ac:dyDescent="0.25">
      <c r="B640" s="16">
        <v>1</v>
      </c>
      <c r="C640" s="7">
        <v>0</v>
      </c>
      <c r="D640" s="8">
        <v>1</v>
      </c>
      <c r="E640" s="8">
        <v>1</v>
      </c>
      <c r="F640" s="8">
        <v>1</v>
      </c>
      <c r="G640" s="8">
        <v>1</v>
      </c>
      <c r="H640" s="8">
        <v>1</v>
      </c>
      <c r="I640" s="8">
        <v>0</v>
      </c>
      <c r="J640" s="8">
        <v>0</v>
      </c>
      <c r="K640" s="9">
        <v>1</v>
      </c>
      <c r="L640" s="10">
        <v>0</v>
      </c>
      <c r="M640" s="6">
        <v>0</v>
      </c>
      <c r="N640" s="37" t="e" cm="1">
        <f t="array" ref="N640">IF(OR(ISNUMBER(FIND(Aux!$D$3:$D$9,_xlfn.TEXTJOIN(,,C640:K640)))),NA(),IF(AND(SUM(C640:F640,H640:K640)=0,G640=1),0,INT((SUMPRODUCT(C640:F640,COLUMN($A$1:$D$1)-1)+SUMPRODUCT(H640:K640,COLUMN($E$1:$H$1)-1))*'Line Follower'!$C$3/SUM(C640:F640,H640:K640)-'Line Follower'!$C$5)))</f>
        <v>#N/A</v>
      </c>
      <c r="O640" s="22" t="e">
        <v>#N/A</v>
      </c>
      <c r="P640" s="4" t="e">
        <f t="shared" si="45"/>
        <v>#N/A</v>
      </c>
      <c r="Q640" s="4" t="e">
        <f t="shared" si="46"/>
        <v>#N/A</v>
      </c>
      <c r="R640" s="4" t="e">
        <f>IF(AND(B640=1,N640&gt;'Line Follower'!$C$7,SUM(C640:K640)&lt;4),1,0)</f>
        <v>#N/A</v>
      </c>
      <c r="S640" s="4" t="e">
        <f>IF(AND(L640=1,N640&lt;'Line Follower'!$C$6,SUM(C640:K640)&lt;4),1,0)</f>
        <v>#N/A</v>
      </c>
      <c r="T640" s="4" t="e">
        <f t="shared" si="47"/>
        <v>#N/A</v>
      </c>
      <c r="U640" s="5" t="e">
        <f t="shared" si="48"/>
        <v>#N/A</v>
      </c>
      <c r="V640" s="23" t="e">
        <f t="shared" si="49"/>
        <v>#N/A</v>
      </c>
    </row>
    <row r="641" spans="2:22" x14ac:dyDescent="0.25">
      <c r="B641" s="16">
        <v>0</v>
      </c>
      <c r="C641" s="7">
        <v>1</v>
      </c>
      <c r="D641" s="8">
        <v>1</v>
      </c>
      <c r="E641" s="8">
        <v>1</v>
      </c>
      <c r="F641" s="8">
        <v>1</v>
      </c>
      <c r="G641" s="8">
        <v>1</v>
      </c>
      <c r="H641" s="8">
        <v>1</v>
      </c>
      <c r="I641" s="8">
        <v>0</v>
      </c>
      <c r="J641" s="8">
        <v>0</v>
      </c>
      <c r="K641" s="9">
        <v>1</v>
      </c>
      <c r="L641" s="10">
        <v>0</v>
      </c>
      <c r="M641" s="6">
        <v>0</v>
      </c>
      <c r="N641" s="37" t="e" cm="1">
        <f t="array" ref="N641">IF(OR(ISNUMBER(FIND(Aux!$D$3:$D$9,_xlfn.TEXTJOIN(,,C641:K641)))),NA(),IF(AND(SUM(C641:F641,H641:K641)=0,G641=1),0,INT((SUMPRODUCT(C641:F641,COLUMN($A$1:$D$1)-1)+SUMPRODUCT(H641:K641,COLUMN($E$1:$H$1)-1))*'Line Follower'!$C$3/SUM(C641:F641,H641:K641)-'Line Follower'!$C$5)))</f>
        <v>#N/A</v>
      </c>
      <c r="O641" s="22" t="e">
        <v>#N/A</v>
      </c>
      <c r="P641" s="4" t="e">
        <f t="shared" si="45"/>
        <v>#N/A</v>
      </c>
      <c r="Q641" s="4" t="e">
        <f t="shared" si="46"/>
        <v>#N/A</v>
      </c>
      <c r="R641" s="4" t="e">
        <f>IF(AND(B641=1,N641&gt;'Line Follower'!$C$7,SUM(C641:K641)&lt;4),1,0)</f>
        <v>#N/A</v>
      </c>
      <c r="S641" s="4" t="e">
        <f>IF(AND(L641=1,N641&lt;'Line Follower'!$C$6,SUM(C641:K641)&lt;4),1,0)</f>
        <v>#N/A</v>
      </c>
      <c r="T641" s="4" t="e">
        <f t="shared" si="47"/>
        <v>#N/A</v>
      </c>
      <c r="U641" s="5" t="e">
        <f t="shared" si="48"/>
        <v>#N/A</v>
      </c>
      <c r="V641" s="23" t="e">
        <f t="shared" si="49"/>
        <v>#N/A</v>
      </c>
    </row>
    <row r="642" spans="2:22" x14ac:dyDescent="0.25">
      <c r="B642" s="16">
        <v>1</v>
      </c>
      <c r="C642" s="7">
        <v>1</v>
      </c>
      <c r="D642" s="8">
        <v>1</v>
      </c>
      <c r="E642" s="8">
        <v>1</v>
      </c>
      <c r="F642" s="8">
        <v>1</v>
      </c>
      <c r="G642" s="8">
        <v>1</v>
      </c>
      <c r="H642" s="8">
        <v>1</v>
      </c>
      <c r="I642" s="8">
        <v>0</v>
      </c>
      <c r="J642" s="8">
        <v>0</v>
      </c>
      <c r="K642" s="9">
        <v>1</v>
      </c>
      <c r="L642" s="10">
        <v>0</v>
      </c>
      <c r="M642" s="6">
        <v>0</v>
      </c>
      <c r="N642" s="37" t="e" cm="1">
        <f t="array" ref="N642">IF(OR(ISNUMBER(FIND(Aux!$D$3:$D$9,_xlfn.TEXTJOIN(,,C642:K642)))),NA(),IF(AND(SUM(C642:F642,H642:K642)=0,G642=1),0,INT((SUMPRODUCT(C642:F642,COLUMN($A$1:$D$1)-1)+SUMPRODUCT(H642:K642,COLUMN($E$1:$H$1)-1))*'Line Follower'!$C$3/SUM(C642:F642,H642:K642)-'Line Follower'!$C$5)))</f>
        <v>#N/A</v>
      </c>
      <c r="O642" s="22" t="e">
        <v>#N/A</v>
      </c>
      <c r="P642" s="4" t="e">
        <f t="shared" si="45"/>
        <v>#N/A</v>
      </c>
      <c r="Q642" s="4" t="e">
        <f t="shared" si="46"/>
        <v>#N/A</v>
      </c>
      <c r="R642" s="4" t="e">
        <f>IF(AND(B642=1,N642&gt;'Line Follower'!$C$7,SUM(C642:K642)&lt;4),1,0)</f>
        <v>#N/A</v>
      </c>
      <c r="S642" s="4" t="e">
        <f>IF(AND(L642=1,N642&lt;'Line Follower'!$C$6,SUM(C642:K642)&lt;4),1,0)</f>
        <v>#N/A</v>
      </c>
      <c r="T642" s="4" t="e">
        <f t="shared" si="47"/>
        <v>#N/A</v>
      </c>
      <c r="U642" s="5" t="e">
        <f t="shared" si="48"/>
        <v>#N/A</v>
      </c>
      <c r="V642" s="23" t="e">
        <f t="shared" si="49"/>
        <v>#N/A</v>
      </c>
    </row>
    <row r="643" spans="2:22" x14ac:dyDescent="0.25">
      <c r="B643" s="16">
        <v>0</v>
      </c>
      <c r="C643" s="7">
        <v>0</v>
      </c>
      <c r="D643" s="8">
        <v>0</v>
      </c>
      <c r="E643" s="8">
        <v>0</v>
      </c>
      <c r="F643" s="8">
        <v>0</v>
      </c>
      <c r="G643" s="8">
        <v>0</v>
      </c>
      <c r="H643" s="8">
        <v>0</v>
      </c>
      <c r="I643" s="8">
        <v>1</v>
      </c>
      <c r="J643" s="8">
        <v>0</v>
      </c>
      <c r="K643" s="9">
        <v>1</v>
      </c>
      <c r="L643" s="10">
        <v>0</v>
      </c>
      <c r="M643" s="6">
        <v>0</v>
      </c>
      <c r="N643" s="37" t="e" cm="1">
        <f t="array" ref="N643">IF(OR(ISNUMBER(FIND(Aux!$D$3:$D$9,_xlfn.TEXTJOIN(,,C643:K643)))),NA(),IF(AND(SUM(C643:F643,H643:K643)=0,G643=1),0,INT((SUMPRODUCT(C643:F643,COLUMN($A$1:$D$1)-1)+SUMPRODUCT(H643:K643,COLUMN($E$1:$H$1)-1))*'Line Follower'!$C$3/SUM(C643:F643,H643:K643)-'Line Follower'!$C$5)))</f>
        <v>#N/A</v>
      </c>
      <c r="O643" s="22" t="e">
        <v>#N/A</v>
      </c>
      <c r="P643" s="4" t="e">
        <f t="shared" ref="P643:P706" si="50">IF(AND(N643=0,G643=1,M643=1),1,0)</f>
        <v>#N/A</v>
      </c>
      <c r="Q643" s="4" t="e">
        <f t="shared" ref="Q643:Q706" si="51">IF(ISERROR(N643),N643,IF(SUM(C643:K643)&gt;=4,1,0))</f>
        <v>#N/A</v>
      </c>
      <c r="R643" s="4" t="e">
        <f>IF(AND(B643=1,N643&gt;'Line Follower'!$C$7,SUM(C643:K643)&lt;4),1,0)</f>
        <v>#N/A</v>
      </c>
      <c r="S643" s="4" t="e">
        <f>IF(AND(L643=1,N643&lt;'Line Follower'!$C$6,SUM(C643:K643)&lt;4),1,0)</f>
        <v>#N/A</v>
      </c>
      <c r="T643" s="4" t="e">
        <f t="shared" si="47"/>
        <v>#N/A</v>
      </c>
      <c r="U643" s="5" t="e">
        <f t="shared" si="48"/>
        <v>#N/A</v>
      </c>
      <c r="V643" s="23" t="e">
        <f t="shared" si="49"/>
        <v>#N/A</v>
      </c>
    </row>
    <row r="644" spans="2:22" x14ac:dyDescent="0.25">
      <c r="B644" s="16">
        <v>1</v>
      </c>
      <c r="C644" s="7">
        <v>0</v>
      </c>
      <c r="D644" s="8">
        <v>0</v>
      </c>
      <c r="E644" s="8">
        <v>0</v>
      </c>
      <c r="F644" s="8">
        <v>0</v>
      </c>
      <c r="G644" s="8">
        <v>0</v>
      </c>
      <c r="H644" s="8">
        <v>0</v>
      </c>
      <c r="I644" s="8">
        <v>1</v>
      </c>
      <c r="J644" s="8">
        <v>0</v>
      </c>
      <c r="K644" s="9">
        <v>1</v>
      </c>
      <c r="L644" s="10">
        <v>0</v>
      </c>
      <c r="M644" s="6">
        <v>0</v>
      </c>
      <c r="N644" s="37" t="e" cm="1">
        <f t="array" ref="N644">IF(OR(ISNUMBER(FIND(Aux!$D$3:$D$9,_xlfn.TEXTJOIN(,,C644:K644)))),NA(),IF(AND(SUM(C644:F644,H644:K644)=0,G644=1),0,INT((SUMPRODUCT(C644:F644,COLUMN($A$1:$D$1)-1)+SUMPRODUCT(H644:K644,COLUMN($E$1:$H$1)-1))*'Line Follower'!$C$3/SUM(C644:F644,H644:K644)-'Line Follower'!$C$5)))</f>
        <v>#N/A</v>
      </c>
      <c r="O644" s="22" t="e">
        <v>#N/A</v>
      </c>
      <c r="P644" s="4" t="e">
        <f t="shared" si="50"/>
        <v>#N/A</v>
      </c>
      <c r="Q644" s="4" t="e">
        <f t="shared" si="51"/>
        <v>#N/A</v>
      </c>
      <c r="R644" s="4" t="e">
        <f>IF(AND(B644=1,N644&gt;'Line Follower'!$C$7,SUM(C644:K644)&lt;4),1,0)</f>
        <v>#N/A</v>
      </c>
      <c r="S644" s="4" t="e">
        <f>IF(AND(L644=1,N644&lt;'Line Follower'!$C$6,SUM(C644:K644)&lt;4),1,0)</f>
        <v>#N/A</v>
      </c>
      <c r="T644" s="4" t="e">
        <f t="shared" ref="T644:T707" si="52">IF(ISNA(N644),NA(),IF(SUM(C644:L644)=0,1,0))</f>
        <v>#N/A</v>
      </c>
      <c r="U644" s="5" t="e">
        <f t="shared" ref="U644:U707" si="53">IF(ISNA(N644),NA(),IF(SUM(B644:K644)=0,1,0))</f>
        <v>#N/A</v>
      </c>
      <c r="V644" s="23" t="e">
        <f t="shared" ref="V644:V707" si="54">IF(ISNA(N644),NA(),IF(SUM(B644:L644)=0,1,0))</f>
        <v>#N/A</v>
      </c>
    </row>
    <row r="645" spans="2:22" x14ac:dyDescent="0.25">
      <c r="B645" s="16">
        <v>0</v>
      </c>
      <c r="C645" s="7">
        <v>1</v>
      </c>
      <c r="D645" s="8">
        <v>0</v>
      </c>
      <c r="E645" s="8">
        <v>0</v>
      </c>
      <c r="F645" s="8">
        <v>0</v>
      </c>
      <c r="G645" s="8">
        <v>0</v>
      </c>
      <c r="H645" s="8">
        <v>0</v>
      </c>
      <c r="I645" s="8">
        <v>1</v>
      </c>
      <c r="J645" s="8">
        <v>0</v>
      </c>
      <c r="K645" s="9">
        <v>1</v>
      </c>
      <c r="L645" s="10">
        <v>0</v>
      </c>
      <c r="M645" s="6">
        <v>0</v>
      </c>
      <c r="N645" s="37" t="e" cm="1">
        <f t="array" ref="N645">IF(OR(ISNUMBER(FIND(Aux!$D$3:$D$9,_xlfn.TEXTJOIN(,,C645:K645)))),NA(),IF(AND(SUM(C645:F645,H645:K645)=0,G645=1),0,INT((SUMPRODUCT(C645:F645,COLUMN($A$1:$D$1)-1)+SUMPRODUCT(H645:K645,COLUMN($E$1:$H$1)-1))*'Line Follower'!$C$3/SUM(C645:F645,H645:K645)-'Line Follower'!$C$5)))</f>
        <v>#N/A</v>
      </c>
      <c r="O645" s="22" t="e">
        <v>#N/A</v>
      </c>
      <c r="P645" s="4" t="e">
        <f t="shared" si="50"/>
        <v>#N/A</v>
      </c>
      <c r="Q645" s="4" t="e">
        <f t="shared" si="51"/>
        <v>#N/A</v>
      </c>
      <c r="R645" s="4" t="e">
        <f>IF(AND(B645=1,N645&gt;'Line Follower'!$C$7,SUM(C645:K645)&lt;4),1,0)</f>
        <v>#N/A</v>
      </c>
      <c r="S645" s="4" t="e">
        <f>IF(AND(L645=1,N645&lt;'Line Follower'!$C$6,SUM(C645:K645)&lt;4),1,0)</f>
        <v>#N/A</v>
      </c>
      <c r="T645" s="4" t="e">
        <f t="shared" si="52"/>
        <v>#N/A</v>
      </c>
      <c r="U645" s="5" t="e">
        <f t="shared" si="53"/>
        <v>#N/A</v>
      </c>
      <c r="V645" s="23" t="e">
        <f t="shared" si="54"/>
        <v>#N/A</v>
      </c>
    </row>
    <row r="646" spans="2:22" x14ac:dyDescent="0.25">
      <c r="B646" s="16">
        <v>1</v>
      </c>
      <c r="C646" s="7">
        <v>1</v>
      </c>
      <c r="D646" s="8">
        <v>0</v>
      </c>
      <c r="E646" s="8">
        <v>0</v>
      </c>
      <c r="F646" s="8">
        <v>0</v>
      </c>
      <c r="G646" s="8">
        <v>0</v>
      </c>
      <c r="H646" s="8">
        <v>0</v>
      </c>
      <c r="I646" s="8">
        <v>1</v>
      </c>
      <c r="J646" s="8">
        <v>0</v>
      </c>
      <c r="K646" s="9">
        <v>1</v>
      </c>
      <c r="L646" s="10">
        <v>0</v>
      </c>
      <c r="M646" s="6">
        <v>0</v>
      </c>
      <c r="N646" s="37" t="e" cm="1">
        <f t="array" ref="N646">IF(OR(ISNUMBER(FIND(Aux!$D$3:$D$9,_xlfn.TEXTJOIN(,,C646:K646)))),NA(),IF(AND(SUM(C646:F646,H646:K646)=0,G646=1),0,INT((SUMPRODUCT(C646:F646,COLUMN($A$1:$D$1)-1)+SUMPRODUCT(H646:K646,COLUMN($E$1:$H$1)-1))*'Line Follower'!$C$3/SUM(C646:F646,H646:K646)-'Line Follower'!$C$5)))</f>
        <v>#N/A</v>
      </c>
      <c r="O646" s="22" t="e">
        <v>#N/A</v>
      </c>
      <c r="P646" s="4" t="e">
        <f t="shared" si="50"/>
        <v>#N/A</v>
      </c>
      <c r="Q646" s="4" t="e">
        <f t="shared" si="51"/>
        <v>#N/A</v>
      </c>
      <c r="R646" s="4" t="e">
        <f>IF(AND(B646=1,N646&gt;'Line Follower'!$C$7,SUM(C646:K646)&lt;4),1,0)</f>
        <v>#N/A</v>
      </c>
      <c r="S646" s="4" t="e">
        <f>IF(AND(L646=1,N646&lt;'Line Follower'!$C$6,SUM(C646:K646)&lt;4),1,0)</f>
        <v>#N/A</v>
      </c>
      <c r="T646" s="4" t="e">
        <f t="shared" si="52"/>
        <v>#N/A</v>
      </c>
      <c r="U646" s="5" t="e">
        <f t="shared" si="53"/>
        <v>#N/A</v>
      </c>
      <c r="V646" s="23" t="e">
        <f t="shared" si="54"/>
        <v>#N/A</v>
      </c>
    </row>
    <row r="647" spans="2:22" x14ac:dyDescent="0.25">
      <c r="B647" s="16">
        <v>0</v>
      </c>
      <c r="C647" s="7">
        <v>0</v>
      </c>
      <c r="D647" s="8">
        <v>1</v>
      </c>
      <c r="E647" s="8">
        <v>0</v>
      </c>
      <c r="F647" s="8">
        <v>0</v>
      </c>
      <c r="G647" s="8">
        <v>0</v>
      </c>
      <c r="H647" s="8">
        <v>0</v>
      </c>
      <c r="I647" s="8">
        <v>1</v>
      </c>
      <c r="J647" s="8">
        <v>0</v>
      </c>
      <c r="K647" s="9">
        <v>1</v>
      </c>
      <c r="L647" s="10">
        <v>0</v>
      </c>
      <c r="M647" s="6">
        <v>0</v>
      </c>
      <c r="N647" s="37" t="e" cm="1">
        <f t="array" ref="N647">IF(OR(ISNUMBER(FIND(Aux!$D$3:$D$9,_xlfn.TEXTJOIN(,,C647:K647)))),NA(),IF(AND(SUM(C647:F647,H647:K647)=0,G647=1),0,INT((SUMPRODUCT(C647:F647,COLUMN($A$1:$D$1)-1)+SUMPRODUCT(H647:K647,COLUMN($E$1:$H$1)-1))*'Line Follower'!$C$3/SUM(C647:F647,H647:K647)-'Line Follower'!$C$5)))</f>
        <v>#N/A</v>
      </c>
      <c r="O647" s="22" t="e">
        <v>#N/A</v>
      </c>
      <c r="P647" s="4" t="e">
        <f t="shared" si="50"/>
        <v>#N/A</v>
      </c>
      <c r="Q647" s="4" t="e">
        <f t="shared" si="51"/>
        <v>#N/A</v>
      </c>
      <c r="R647" s="4" t="e">
        <f>IF(AND(B647=1,N647&gt;'Line Follower'!$C$7,SUM(C647:K647)&lt;4),1,0)</f>
        <v>#N/A</v>
      </c>
      <c r="S647" s="4" t="e">
        <f>IF(AND(L647=1,N647&lt;'Line Follower'!$C$6,SUM(C647:K647)&lt;4),1,0)</f>
        <v>#N/A</v>
      </c>
      <c r="T647" s="4" t="e">
        <f t="shared" si="52"/>
        <v>#N/A</v>
      </c>
      <c r="U647" s="5" t="e">
        <f t="shared" si="53"/>
        <v>#N/A</v>
      </c>
      <c r="V647" s="23" t="e">
        <f t="shared" si="54"/>
        <v>#N/A</v>
      </c>
    </row>
    <row r="648" spans="2:22" x14ac:dyDescent="0.25">
      <c r="B648" s="16">
        <v>1</v>
      </c>
      <c r="C648" s="7">
        <v>0</v>
      </c>
      <c r="D648" s="8">
        <v>1</v>
      </c>
      <c r="E648" s="8">
        <v>0</v>
      </c>
      <c r="F648" s="8">
        <v>0</v>
      </c>
      <c r="G648" s="8">
        <v>0</v>
      </c>
      <c r="H648" s="8">
        <v>0</v>
      </c>
      <c r="I648" s="8">
        <v>1</v>
      </c>
      <c r="J648" s="8">
        <v>0</v>
      </c>
      <c r="K648" s="9">
        <v>1</v>
      </c>
      <c r="L648" s="10">
        <v>0</v>
      </c>
      <c r="M648" s="6">
        <v>0</v>
      </c>
      <c r="N648" s="37" t="e" cm="1">
        <f t="array" ref="N648">IF(OR(ISNUMBER(FIND(Aux!$D$3:$D$9,_xlfn.TEXTJOIN(,,C648:K648)))),NA(),IF(AND(SUM(C648:F648,H648:K648)=0,G648=1),0,INT((SUMPRODUCT(C648:F648,COLUMN($A$1:$D$1)-1)+SUMPRODUCT(H648:K648,COLUMN($E$1:$H$1)-1))*'Line Follower'!$C$3/SUM(C648:F648,H648:K648)-'Line Follower'!$C$5)))</f>
        <v>#N/A</v>
      </c>
      <c r="O648" s="22" t="e">
        <v>#N/A</v>
      </c>
      <c r="P648" s="4" t="e">
        <f t="shared" si="50"/>
        <v>#N/A</v>
      </c>
      <c r="Q648" s="4" t="e">
        <f t="shared" si="51"/>
        <v>#N/A</v>
      </c>
      <c r="R648" s="4" t="e">
        <f>IF(AND(B648=1,N648&gt;'Line Follower'!$C$7,SUM(C648:K648)&lt;4),1,0)</f>
        <v>#N/A</v>
      </c>
      <c r="S648" s="4" t="e">
        <f>IF(AND(L648=1,N648&lt;'Line Follower'!$C$6,SUM(C648:K648)&lt;4),1,0)</f>
        <v>#N/A</v>
      </c>
      <c r="T648" s="4" t="e">
        <f t="shared" si="52"/>
        <v>#N/A</v>
      </c>
      <c r="U648" s="5" t="e">
        <f t="shared" si="53"/>
        <v>#N/A</v>
      </c>
      <c r="V648" s="23" t="e">
        <f t="shared" si="54"/>
        <v>#N/A</v>
      </c>
    </row>
    <row r="649" spans="2:22" x14ac:dyDescent="0.25">
      <c r="B649" s="16">
        <v>0</v>
      </c>
      <c r="C649" s="7">
        <v>1</v>
      </c>
      <c r="D649" s="8">
        <v>1</v>
      </c>
      <c r="E649" s="8">
        <v>0</v>
      </c>
      <c r="F649" s="8">
        <v>0</v>
      </c>
      <c r="G649" s="8">
        <v>0</v>
      </c>
      <c r="H649" s="8">
        <v>0</v>
      </c>
      <c r="I649" s="8">
        <v>1</v>
      </c>
      <c r="J649" s="8">
        <v>0</v>
      </c>
      <c r="K649" s="9">
        <v>1</v>
      </c>
      <c r="L649" s="10">
        <v>0</v>
      </c>
      <c r="M649" s="6">
        <v>0</v>
      </c>
      <c r="N649" s="37" t="e" cm="1">
        <f t="array" ref="N649">IF(OR(ISNUMBER(FIND(Aux!$D$3:$D$9,_xlfn.TEXTJOIN(,,C649:K649)))),NA(),IF(AND(SUM(C649:F649,H649:K649)=0,G649=1),0,INT((SUMPRODUCT(C649:F649,COLUMN($A$1:$D$1)-1)+SUMPRODUCT(H649:K649,COLUMN($E$1:$H$1)-1))*'Line Follower'!$C$3/SUM(C649:F649,H649:K649)-'Line Follower'!$C$5)))</f>
        <v>#N/A</v>
      </c>
      <c r="O649" s="22" t="e">
        <v>#N/A</v>
      </c>
      <c r="P649" s="4" t="e">
        <f t="shared" si="50"/>
        <v>#N/A</v>
      </c>
      <c r="Q649" s="4" t="e">
        <f t="shared" si="51"/>
        <v>#N/A</v>
      </c>
      <c r="R649" s="4" t="e">
        <f>IF(AND(B649=1,N649&gt;'Line Follower'!$C$7,SUM(C649:K649)&lt;4),1,0)</f>
        <v>#N/A</v>
      </c>
      <c r="S649" s="4" t="e">
        <f>IF(AND(L649=1,N649&lt;'Line Follower'!$C$6,SUM(C649:K649)&lt;4),1,0)</f>
        <v>#N/A</v>
      </c>
      <c r="T649" s="4" t="e">
        <f t="shared" si="52"/>
        <v>#N/A</v>
      </c>
      <c r="U649" s="5" t="e">
        <f t="shared" si="53"/>
        <v>#N/A</v>
      </c>
      <c r="V649" s="23" t="e">
        <f t="shared" si="54"/>
        <v>#N/A</v>
      </c>
    </row>
    <row r="650" spans="2:22" x14ac:dyDescent="0.25">
      <c r="B650" s="16">
        <v>1</v>
      </c>
      <c r="C650" s="7">
        <v>1</v>
      </c>
      <c r="D650" s="8">
        <v>1</v>
      </c>
      <c r="E650" s="8">
        <v>0</v>
      </c>
      <c r="F650" s="8">
        <v>0</v>
      </c>
      <c r="G650" s="8">
        <v>0</v>
      </c>
      <c r="H650" s="8">
        <v>0</v>
      </c>
      <c r="I650" s="8">
        <v>1</v>
      </c>
      <c r="J650" s="8">
        <v>0</v>
      </c>
      <c r="K650" s="9">
        <v>1</v>
      </c>
      <c r="L650" s="10">
        <v>0</v>
      </c>
      <c r="M650" s="6">
        <v>0</v>
      </c>
      <c r="N650" s="37" t="e" cm="1">
        <f t="array" ref="N650">IF(OR(ISNUMBER(FIND(Aux!$D$3:$D$9,_xlfn.TEXTJOIN(,,C650:K650)))),NA(),IF(AND(SUM(C650:F650,H650:K650)=0,G650=1),0,INT((SUMPRODUCT(C650:F650,COLUMN($A$1:$D$1)-1)+SUMPRODUCT(H650:K650,COLUMN($E$1:$H$1)-1))*'Line Follower'!$C$3/SUM(C650:F650,H650:K650)-'Line Follower'!$C$5)))</f>
        <v>#N/A</v>
      </c>
      <c r="O650" s="22" t="e">
        <v>#N/A</v>
      </c>
      <c r="P650" s="4" t="e">
        <f t="shared" si="50"/>
        <v>#N/A</v>
      </c>
      <c r="Q650" s="4" t="e">
        <f t="shared" si="51"/>
        <v>#N/A</v>
      </c>
      <c r="R650" s="4" t="e">
        <f>IF(AND(B650=1,N650&gt;'Line Follower'!$C$7,SUM(C650:K650)&lt;4),1,0)</f>
        <v>#N/A</v>
      </c>
      <c r="S650" s="4" t="e">
        <f>IF(AND(L650=1,N650&lt;'Line Follower'!$C$6,SUM(C650:K650)&lt;4),1,0)</f>
        <v>#N/A</v>
      </c>
      <c r="T650" s="4" t="e">
        <f t="shared" si="52"/>
        <v>#N/A</v>
      </c>
      <c r="U650" s="5" t="e">
        <f t="shared" si="53"/>
        <v>#N/A</v>
      </c>
      <c r="V650" s="23" t="e">
        <f t="shared" si="54"/>
        <v>#N/A</v>
      </c>
    </row>
    <row r="651" spans="2:22" x14ac:dyDescent="0.25">
      <c r="B651" s="16">
        <v>0</v>
      </c>
      <c r="C651" s="7">
        <v>0</v>
      </c>
      <c r="D651" s="8">
        <v>0</v>
      </c>
      <c r="E651" s="8">
        <v>1</v>
      </c>
      <c r="F651" s="8">
        <v>0</v>
      </c>
      <c r="G651" s="8">
        <v>0</v>
      </c>
      <c r="H651" s="8">
        <v>0</v>
      </c>
      <c r="I651" s="8">
        <v>1</v>
      </c>
      <c r="J651" s="8">
        <v>0</v>
      </c>
      <c r="K651" s="9">
        <v>1</v>
      </c>
      <c r="L651" s="10">
        <v>0</v>
      </c>
      <c r="M651" s="6">
        <v>0</v>
      </c>
      <c r="N651" s="37" t="e" cm="1">
        <f t="array" ref="N651">IF(OR(ISNUMBER(FIND(Aux!$D$3:$D$9,_xlfn.TEXTJOIN(,,C651:K651)))),NA(),IF(AND(SUM(C651:F651,H651:K651)=0,G651=1),0,INT((SUMPRODUCT(C651:F651,COLUMN($A$1:$D$1)-1)+SUMPRODUCT(H651:K651,COLUMN($E$1:$H$1)-1))*'Line Follower'!$C$3/SUM(C651:F651,H651:K651)-'Line Follower'!$C$5)))</f>
        <v>#N/A</v>
      </c>
      <c r="O651" s="22" t="e">
        <v>#N/A</v>
      </c>
      <c r="P651" s="4" t="e">
        <f t="shared" si="50"/>
        <v>#N/A</v>
      </c>
      <c r="Q651" s="4" t="e">
        <f t="shared" si="51"/>
        <v>#N/A</v>
      </c>
      <c r="R651" s="4" t="e">
        <f>IF(AND(B651=1,N651&gt;'Line Follower'!$C$7,SUM(C651:K651)&lt;4),1,0)</f>
        <v>#N/A</v>
      </c>
      <c r="S651" s="4" t="e">
        <f>IF(AND(L651=1,N651&lt;'Line Follower'!$C$6,SUM(C651:K651)&lt;4),1,0)</f>
        <v>#N/A</v>
      </c>
      <c r="T651" s="4" t="e">
        <f t="shared" si="52"/>
        <v>#N/A</v>
      </c>
      <c r="U651" s="5" t="e">
        <f t="shared" si="53"/>
        <v>#N/A</v>
      </c>
      <c r="V651" s="23" t="e">
        <f t="shared" si="54"/>
        <v>#N/A</v>
      </c>
    </row>
    <row r="652" spans="2:22" x14ac:dyDescent="0.25">
      <c r="B652" s="16">
        <v>1</v>
      </c>
      <c r="C652" s="7">
        <v>0</v>
      </c>
      <c r="D652" s="8">
        <v>0</v>
      </c>
      <c r="E652" s="8">
        <v>1</v>
      </c>
      <c r="F652" s="8">
        <v>0</v>
      </c>
      <c r="G652" s="8">
        <v>0</v>
      </c>
      <c r="H652" s="8">
        <v>0</v>
      </c>
      <c r="I652" s="8">
        <v>1</v>
      </c>
      <c r="J652" s="8">
        <v>0</v>
      </c>
      <c r="K652" s="9">
        <v>1</v>
      </c>
      <c r="L652" s="10">
        <v>0</v>
      </c>
      <c r="M652" s="6">
        <v>0</v>
      </c>
      <c r="N652" s="37" t="e" cm="1">
        <f t="array" ref="N652">IF(OR(ISNUMBER(FIND(Aux!$D$3:$D$9,_xlfn.TEXTJOIN(,,C652:K652)))),NA(),IF(AND(SUM(C652:F652,H652:K652)=0,G652=1),0,INT((SUMPRODUCT(C652:F652,COLUMN($A$1:$D$1)-1)+SUMPRODUCT(H652:K652,COLUMN($E$1:$H$1)-1))*'Line Follower'!$C$3/SUM(C652:F652,H652:K652)-'Line Follower'!$C$5)))</f>
        <v>#N/A</v>
      </c>
      <c r="O652" s="22" t="e">
        <v>#N/A</v>
      </c>
      <c r="P652" s="4" t="e">
        <f t="shared" si="50"/>
        <v>#N/A</v>
      </c>
      <c r="Q652" s="4" t="e">
        <f t="shared" si="51"/>
        <v>#N/A</v>
      </c>
      <c r="R652" s="4" t="e">
        <f>IF(AND(B652=1,N652&gt;'Line Follower'!$C$7,SUM(C652:K652)&lt;4),1,0)</f>
        <v>#N/A</v>
      </c>
      <c r="S652" s="4" t="e">
        <f>IF(AND(L652=1,N652&lt;'Line Follower'!$C$6,SUM(C652:K652)&lt;4),1,0)</f>
        <v>#N/A</v>
      </c>
      <c r="T652" s="4" t="e">
        <f t="shared" si="52"/>
        <v>#N/A</v>
      </c>
      <c r="U652" s="5" t="e">
        <f t="shared" si="53"/>
        <v>#N/A</v>
      </c>
      <c r="V652" s="23" t="e">
        <f t="shared" si="54"/>
        <v>#N/A</v>
      </c>
    </row>
    <row r="653" spans="2:22" x14ac:dyDescent="0.25">
      <c r="B653" s="16">
        <v>0</v>
      </c>
      <c r="C653" s="7">
        <v>1</v>
      </c>
      <c r="D653" s="8">
        <v>0</v>
      </c>
      <c r="E653" s="8">
        <v>1</v>
      </c>
      <c r="F653" s="8">
        <v>0</v>
      </c>
      <c r="G653" s="8">
        <v>0</v>
      </c>
      <c r="H653" s="8">
        <v>0</v>
      </c>
      <c r="I653" s="8">
        <v>1</v>
      </c>
      <c r="J653" s="8">
        <v>0</v>
      </c>
      <c r="K653" s="9">
        <v>1</v>
      </c>
      <c r="L653" s="10">
        <v>0</v>
      </c>
      <c r="M653" s="6">
        <v>0</v>
      </c>
      <c r="N653" s="37" t="e" cm="1">
        <f t="array" ref="N653">IF(OR(ISNUMBER(FIND(Aux!$D$3:$D$9,_xlfn.TEXTJOIN(,,C653:K653)))),NA(),IF(AND(SUM(C653:F653,H653:K653)=0,G653=1),0,INT((SUMPRODUCT(C653:F653,COLUMN($A$1:$D$1)-1)+SUMPRODUCT(H653:K653,COLUMN($E$1:$H$1)-1))*'Line Follower'!$C$3/SUM(C653:F653,H653:K653)-'Line Follower'!$C$5)))</f>
        <v>#N/A</v>
      </c>
      <c r="O653" s="22" t="e">
        <v>#N/A</v>
      </c>
      <c r="P653" s="4" t="e">
        <f t="shared" si="50"/>
        <v>#N/A</v>
      </c>
      <c r="Q653" s="4" t="e">
        <f t="shared" si="51"/>
        <v>#N/A</v>
      </c>
      <c r="R653" s="4" t="e">
        <f>IF(AND(B653=1,N653&gt;'Line Follower'!$C$7,SUM(C653:K653)&lt;4),1,0)</f>
        <v>#N/A</v>
      </c>
      <c r="S653" s="4" t="e">
        <f>IF(AND(L653=1,N653&lt;'Line Follower'!$C$6,SUM(C653:K653)&lt;4),1,0)</f>
        <v>#N/A</v>
      </c>
      <c r="T653" s="4" t="e">
        <f t="shared" si="52"/>
        <v>#N/A</v>
      </c>
      <c r="U653" s="5" t="e">
        <f t="shared" si="53"/>
        <v>#N/A</v>
      </c>
      <c r="V653" s="23" t="e">
        <f t="shared" si="54"/>
        <v>#N/A</v>
      </c>
    </row>
    <row r="654" spans="2:22" x14ac:dyDescent="0.25">
      <c r="B654" s="16">
        <v>1</v>
      </c>
      <c r="C654" s="7">
        <v>1</v>
      </c>
      <c r="D654" s="8">
        <v>0</v>
      </c>
      <c r="E654" s="8">
        <v>1</v>
      </c>
      <c r="F654" s="8">
        <v>0</v>
      </c>
      <c r="G654" s="8">
        <v>0</v>
      </c>
      <c r="H654" s="8">
        <v>0</v>
      </c>
      <c r="I654" s="8">
        <v>1</v>
      </c>
      <c r="J654" s="8">
        <v>0</v>
      </c>
      <c r="K654" s="9">
        <v>1</v>
      </c>
      <c r="L654" s="10">
        <v>0</v>
      </c>
      <c r="M654" s="6">
        <v>0</v>
      </c>
      <c r="N654" s="37" t="e" cm="1">
        <f t="array" ref="N654">IF(OR(ISNUMBER(FIND(Aux!$D$3:$D$9,_xlfn.TEXTJOIN(,,C654:K654)))),NA(),IF(AND(SUM(C654:F654,H654:K654)=0,G654=1),0,INT((SUMPRODUCT(C654:F654,COLUMN($A$1:$D$1)-1)+SUMPRODUCT(H654:K654,COLUMN($E$1:$H$1)-1))*'Line Follower'!$C$3/SUM(C654:F654,H654:K654)-'Line Follower'!$C$5)))</f>
        <v>#N/A</v>
      </c>
      <c r="O654" s="22" t="e">
        <v>#N/A</v>
      </c>
      <c r="P654" s="4" t="e">
        <f t="shared" si="50"/>
        <v>#N/A</v>
      </c>
      <c r="Q654" s="4" t="e">
        <f t="shared" si="51"/>
        <v>#N/A</v>
      </c>
      <c r="R654" s="4" t="e">
        <f>IF(AND(B654=1,N654&gt;'Line Follower'!$C$7,SUM(C654:K654)&lt;4),1,0)</f>
        <v>#N/A</v>
      </c>
      <c r="S654" s="4" t="e">
        <f>IF(AND(L654=1,N654&lt;'Line Follower'!$C$6,SUM(C654:K654)&lt;4),1,0)</f>
        <v>#N/A</v>
      </c>
      <c r="T654" s="4" t="e">
        <f t="shared" si="52"/>
        <v>#N/A</v>
      </c>
      <c r="U654" s="5" t="e">
        <f t="shared" si="53"/>
        <v>#N/A</v>
      </c>
      <c r="V654" s="23" t="e">
        <f t="shared" si="54"/>
        <v>#N/A</v>
      </c>
    </row>
    <row r="655" spans="2:22" x14ac:dyDescent="0.25">
      <c r="B655" s="16">
        <v>0</v>
      </c>
      <c r="C655" s="7">
        <v>0</v>
      </c>
      <c r="D655" s="8">
        <v>1</v>
      </c>
      <c r="E655" s="8">
        <v>1</v>
      </c>
      <c r="F655" s="8">
        <v>0</v>
      </c>
      <c r="G655" s="8">
        <v>0</v>
      </c>
      <c r="H655" s="8">
        <v>0</v>
      </c>
      <c r="I655" s="8">
        <v>1</v>
      </c>
      <c r="J655" s="8">
        <v>0</v>
      </c>
      <c r="K655" s="9">
        <v>1</v>
      </c>
      <c r="L655" s="10">
        <v>0</v>
      </c>
      <c r="M655" s="6">
        <v>0</v>
      </c>
      <c r="N655" s="37" t="e" cm="1">
        <f t="array" ref="N655">IF(OR(ISNUMBER(FIND(Aux!$D$3:$D$9,_xlfn.TEXTJOIN(,,C655:K655)))),NA(),IF(AND(SUM(C655:F655,H655:K655)=0,G655=1),0,INT((SUMPRODUCT(C655:F655,COLUMN($A$1:$D$1)-1)+SUMPRODUCT(H655:K655,COLUMN($E$1:$H$1)-1))*'Line Follower'!$C$3/SUM(C655:F655,H655:K655)-'Line Follower'!$C$5)))</f>
        <v>#N/A</v>
      </c>
      <c r="O655" s="22" t="e">
        <v>#N/A</v>
      </c>
      <c r="P655" s="4" t="e">
        <f t="shared" si="50"/>
        <v>#N/A</v>
      </c>
      <c r="Q655" s="4" t="e">
        <f t="shared" si="51"/>
        <v>#N/A</v>
      </c>
      <c r="R655" s="4" t="e">
        <f>IF(AND(B655=1,N655&gt;'Line Follower'!$C$7,SUM(C655:K655)&lt;4),1,0)</f>
        <v>#N/A</v>
      </c>
      <c r="S655" s="4" t="e">
        <f>IF(AND(L655=1,N655&lt;'Line Follower'!$C$6,SUM(C655:K655)&lt;4),1,0)</f>
        <v>#N/A</v>
      </c>
      <c r="T655" s="4" t="e">
        <f t="shared" si="52"/>
        <v>#N/A</v>
      </c>
      <c r="U655" s="5" t="e">
        <f t="shared" si="53"/>
        <v>#N/A</v>
      </c>
      <c r="V655" s="23" t="e">
        <f t="shared" si="54"/>
        <v>#N/A</v>
      </c>
    </row>
    <row r="656" spans="2:22" x14ac:dyDescent="0.25">
      <c r="B656" s="16">
        <v>1</v>
      </c>
      <c r="C656" s="7">
        <v>0</v>
      </c>
      <c r="D656" s="8">
        <v>1</v>
      </c>
      <c r="E656" s="8">
        <v>1</v>
      </c>
      <c r="F656" s="8">
        <v>0</v>
      </c>
      <c r="G656" s="8">
        <v>0</v>
      </c>
      <c r="H656" s="8">
        <v>0</v>
      </c>
      <c r="I656" s="8">
        <v>1</v>
      </c>
      <c r="J656" s="8">
        <v>0</v>
      </c>
      <c r="K656" s="9">
        <v>1</v>
      </c>
      <c r="L656" s="10">
        <v>0</v>
      </c>
      <c r="M656" s="6">
        <v>0</v>
      </c>
      <c r="N656" s="37" t="e" cm="1">
        <f t="array" ref="N656">IF(OR(ISNUMBER(FIND(Aux!$D$3:$D$9,_xlfn.TEXTJOIN(,,C656:K656)))),NA(),IF(AND(SUM(C656:F656,H656:K656)=0,G656=1),0,INT((SUMPRODUCT(C656:F656,COLUMN($A$1:$D$1)-1)+SUMPRODUCT(H656:K656,COLUMN($E$1:$H$1)-1))*'Line Follower'!$C$3/SUM(C656:F656,H656:K656)-'Line Follower'!$C$5)))</f>
        <v>#N/A</v>
      </c>
      <c r="O656" s="22" t="e">
        <v>#N/A</v>
      </c>
      <c r="P656" s="4" t="e">
        <f t="shared" si="50"/>
        <v>#N/A</v>
      </c>
      <c r="Q656" s="4" t="e">
        <f t="shared" si="51"/>
        <v>#N/A</v>
      </c>
      <c r="R656" s="4" t="e">
        <f>IF(AND(B656=1,N656&gt;'Line Follower'!$C$7,SUM(C656:K656)&lt;4),1,0)</f>
        <v>#N/A</v>
      </c>
      <c r="S656" s="4" t="e">
        <f>IF(AND(L656=1,N656&lt;'Line Follower'!$C$6,SUM(C656:K656)&lt;4),1,0)</f>
        <v>#N/A</v>
      </c>
      <c r="T656" s="4" t="e">
        <f t="shared" si="52"/>
        <v>#N/A</v>
      </c>
      <c r="U656" s="5" t="e">
        <f t="shared" si="53"/>
        <v>#N/A</v>
      </c>
      <c r="V656" s="23" t="e">
        <f t="shared" si="54"/>
        <v>#N/A</v>
      </c>
    </row>
    <row r="657" spans="2:22" x14ac:dyDescent="0.25">
      <c r="B657" s="16">
        <v>0</v>
      </c>
      <c r="C657" s="7">
        <v>1</v>
      </c>
      <c r="D657" s="8">
        <v>1</v>
      </c>
      <c r="E657" s="8">
        <v>1</v>
      </c>
      <c r="F657" s="8">
        <v>0</v>
      </c>
      <c r="G657" s="8">
        <v>0</v>
      </c>
      <c r="H657" s="8">
        <v>0</v>
      </c>
      <c r="I657" s="8">
        <v>1</v>
      </c>
      <c r="J657" s="8">
        <v>0</v>
      </c>
      <c r="K657" s="9">
        <v>1</v>
      </c>
      <c r="L657" s="10">
        <v>0</v>
      </c>
      <c r="M657" s="6">
        <v>0</v>
      </c>
      <c r="N657" s="37" t="e" cm="1">
        <f t="array" ref="N657">IF(OR(ISNUMBER(FIND(Aux!$D$3:$D$9,_xlfn.TEXTJOIN(,,C657:K657)))),NA(),IF(AND(SUM(C657:F657,H657:K657)=0,G657=1),0,INT((SUMPRODUCT(C657:F657,COLUMN($A$1:$D$1)-1)+SUMPRODUCT(H657:K657,COLUMN($E$1:$H$1)-1))*'Line Follower'!$C$3/SUM(C657:F657,H657:K657)-'Line Follower'!$C$5)))</f>
        <v>#N/A</v>
      </c>
      <c r="O657" s="22" t="e">
        <v>#N/A</v>
      </c>
      <c r="P657" s="4" t="e">
        <f t="shared" si="50"/>
        <v>#N/A</v>
      </c>
      <c r="Q657" s="4" t="e">
        <f t="shared" si="51"/>
        <v>#N/A</v>
      </c>
      <c r="R657" s="4" t="e">
        <f>IF(AND(B657=1,N657&gt;'Line Follower'!$C$7,SUM(C657:K657)&lt;4),1,0)</f>
        <v>#N/A</v>
      </c>
      <c r="S657" s="4" t="e">
        <f>IF(AND(L657=1,N657&lt;'Line Follower'!$C$6,SUM(C657:K657)&lt;4),1,0)</f>
        <v>#N/A</v>
      </c>
      <c r="T657" s="4" t="e">
        <f t="shared" si="52"/>
        <v>#N/A</v>
      </c>
      <c r="U657" s="5" t="e">
        <f t="shared" si="53"/>
        <v>#N/A</v>
      </c>
      <c r="V657" s="23" t="e">
        <f t="shared" si="54"/>
        <v>#N/A</v>
      </c>
    </row>
    <row r="658" spans="2:22" x14ac:dyDescent="0.25">
      <c r="B658" s="16">
        <v>1</v>
      </c>
      <c r="C658" s="7">
        <v>1</v>
      </c>
      <c r="D658" s="8">
        <v>1</v>
      </c>
      <c r="E658" s="8">
        <v>1</v>
      </c>
      <c r="F658" s="8">
        <v>0</v>
      </c>
      <c r="G658" s="8">
        <v>0</v>
      </c>
      <c r="H658" s="8">
        <v>0</v>
      </c>
      <c r="I658" s="8">
        <v>1</v>
      </c>
      <c r="J658" s="8">
        <v>0</v>
      </c>
      <c r="K658" s="9">
        <v>1</v>
      </c>
      <c r="L658" s="10">
        <v>0</v>
      </c>
      <c r="M658" s="6">
        <v>0</v>
      </c>
      <c r="N658" s="37" t="e" cm="1">
        <f t="array" ref="N658">IF(OR(ISNUMBER(FIND(Aux!$D$3:$D$9,_xlfn.TEXTJOIN(,,C658:K658)))),NA(),IF(AND(SUM(C658:F658,H658:K658)=0,G658=1),0,INT((SUMPRODUCT(C658:F658,COLUMN($A$1:$D$1)-1)+SUMPRODUCT(H658:K658,COLUMN($E$1:$H$1)-1))*'Line Follower'!$C$3/SUM(C658:F658,H658:K658)-'Line Follower'!$C$5)))</f>
        <v>#N/A</v>
      </c>
      <c r="O658" s="22" t="e">
        <v>#N/A</v>
      </c>
      <c r="P658" s="4" t="e">
        <f t="shared" si="50"/>
        <v>#N/A</v>
      </c>
      <c r="Q658" s="4" t="e">
        <f t="shared" si="51"/>
        <v>#N/A</v>
      </c>
      <c r="R658" s="4" t="e">
        <f>IF(AND(B658=1,N658&gt;'Line Follower'!$C$7,SUM(C658:K658)&lt;4),1,0)</f>
        <v>#N/A</v>
      </c>
      <c r="S658" s="4" t="e">
        <f>IF(AND(L658=1,N658&lt;'Line Follower'!$C$6,SUM(C658:K658)&lt;4),1,0)</f>
        <v>#N/A</v>
      </c>
      <c r="T658" s="4" t="e">
        <f t="shared" si="52"/>
        <v>#N/A</v>
      </c>
      <c r="U658" s="5" t="e">
        <f t="shared" si="53"/>
        <v>#N/A</v>
      </c>
      <c r="V658" s="23" t="e">
        <f t="shared" si="54"/>
        <v>#N/A</v>
      </c>
    </row>
    <row r="659" spans="2:22" x14ac:dyDescent="0.25">
      <c r="B659" s="16">
        <v>0</v>
      </c>
      <c r="C659" s="7">
        <v>0</v>
      </c>
      <c r="D659" s="8">
        <v>0</v>
      </c>
      <c r="E659" s="8">
        <v>0</v>
      </c>
      <c r="F659" s="8">
        <v>1</v>
      </c>
      <c r="G659" s="8">
        <v>0</v>
      </c>
      <c r="H659" s="8">
        <v>0</v>
      </c>
      <c r="I659" s="8">
        <v>1</v>
      </c>
      <c r="J659" s="8">
        <v>0</v>
      </c>
      <c r="K659" s="9">
        <v>1</v>
      </c>
      <c r="L659" s="10">
        <v>0</v>
      </c>
      <c r="M659" s="6">
        <v>0</v>
      </c>
      <c r="N659" s="37" t="e" cm="1">
        <f t="array" ref="N659">IF(OR(ISNUMBER(FIND(Aux!$D$3:$D$9,_xlfn.TEXTJOIN(,,C659:K659)))),NA(),IF(AND(SUM(C659:F659,H659:K659)=0,G659=1),0,INT((SUMPRODUCT(C659:F659,COLUMN($A$1:$D$1)-1)+SUMPRODUCT(H659:K659,COLUMN($E$1:$H$1)-1))*'Line Follower'!$C$3/SUM(C659:F659,H659:K659)-'Line Follower'!$C$5)))</f>
        <v>#N/A</v>
      </c>
      <c r="O659" s="22" t="e">
        <v>#N/A</v>
      </c>
      <c r="P659" s="4" t="e">
        <f t="shared" si="50"/>
        <v>#N/A</v>
      </c>
      <c r="Q659" s="4" t="e">
        <f t="shared" si="51"/>
        <v>#N/A</v>
      </c>
      <c r="R659" s="4" t="e">
        <f>IF(AND(B659=1,N659&gt;'Line Follower'!$C$7,SUM(C659:K659)&lt;4),1,0)</f>
        <v>#N/A</v>
      </c>
      <c r="S659" s="4" t="e">
        <f>IF(AND(L659=1,N659&lt;'Line Follower'!$C$6,SUM(C659:K659)&lt;4),1,0)</f>
        <v>#N/A</v>
      </c>
      <c r="T659" s="4" t="e">
        <f t="shared" si="52"/>
        <v>#N/A</v>
      </c>
      <c r="U659" s="5" t="e">
        <f t="shared" si="53"/>
        <v>#N/A</v>
      </c>
      <c r="V659" s="23" t="e">
        <f t="shared" si="54"/>
        <v>#N/A</v>
      </c>
    </row>
    <row r="660" spans="2:22" x14ac:dyDescent="0.25">
      <c r="B660" s="16">
        <v>1</v>
      </c>
      <c r="C660" s="7">
        <v>0</v>
      </c>
      <c r="D660" s="8">
        <v>0</v>
      </c>
      <c r="E660" s="8">
        <v>0</v>
      </c>
      <c r="F660" s="8">
        <v>1</v>
      </c>
      <c r="G660" s="8">
        <v>0</v>
      </c>
      <c r="H660" s="8">
        <v>0</v>
      </c>
      <c r="I660" s="8">
        <v>1</v>
      </c>
      <c r="J660" s="8">
        <v>0</v>
      </c>
      <c r="K660" s="9">
        <v>1</v>
      </c>
      <c r="L660" s="10">
        <v>0</v>
      </c>
      <c r="M660" s="6">
        <v>0</v>
      </c>
      <c r="N660" s="37" t="e" cm="1">
        <f t="array" ref="N660">IF(OR(ISNUMBER(FIND(Aux!$D$3:$D$9,_xlfn.TEXTJOIN(,,C660:K660)))),NA(),IF(AND(SUM(C660:F660,H660:K660)=0,G660=1),0,INT((SUMPRODUCT(C660:F660,COLUMN($A$1:$D$1)-1)+SUMPRODUCT(H660:K660,COLUMN($E$1:$H$1)-1))*'Line Follower'!$C$3/SUM(C660:F660,H660:K660)-'Line Follower'!$C$5)))</f>
        <v>#N/A</v>
      </c>
      <c r="O660" s="22" t="e">
        <v>#N/A</v>
      </c>
      <c r="P660" s="4" t="e">
        <f t="shared" si="50"/>
        <v>#N/A</v>
      </c>
      <c r="Q660" s="4" t="e">
        <f t="shared" si="51"/>
        <v>#N/A</v>
      </c>
      <c r="R660" s="4" t="e">
        <f>IF(AND(B660=1,N660&gt;'Line Follower'!$C$7,SUM(C660:K660)&lt;4),1,0)</f>
        <v>#N/A</v>
      </c>
      <c r="S660" s="4" t="e">
        <f>IF(AND(L660=1,N660&lt;'Line Follower'!$C$6,SUM(C660:K660)&lt;4),1,0)</f>
        <v>#N/A</v>
      </c>
      <c r="T660" s="4" t="e">
        <f t="shared" si="52"/>
        <v>#N/A</v>
      </c>
      <c r="U660" s="5" t="e">
        <f t="shared" si="53"/>
        <v>#N/A</v>
      </c>
      <c r="V660" s="23" t="e">
        <f t="shared" si="54"/>
        <v>#N/A</v>
      </c>
    </row>
    <row r="661" spans="2:22" x14ac:dyDescent="0.25">
      <c r="B661" s="16">
        <v>0</v>
      </c>
      <c r="C661" s="7">
        <v>1</v>
      </c>
      <c r="D661" s="8">
        <v>0</v>
      </c>
      <c r="E661" s="8">
        <v>0</v>
      </c>
      <c r="F661" s="8">
        <v>1</v>
      </c>
      <c r="G661" s="8">
        <v>0</v>
      </c>
      <c r="H661" s="8">
        <v>0</v>
      </c>
      <c r="I661" s="8">
        <v>1</v>
      </c>
      <c r="J661" s="8">
        <v>0</v>
      </c>
      <c r="K661" s="9">
        <v>1</v>
      </c>
      <c r="L661" s="10">
        <v>0</v>
      </c>
      <c r="M661" s="6">
        <v>0</v>
      </c>
      <c r="N661" s="37" t="e" cm="1">
        <f t="array" ref="N661">IF(OR(ISNUMBER(FIND(Aux!$D$3:$D$9,_xlfn.TEXTJOIN(,,C661:K661)))),NA(),IF(AND(SUM(C661:F661,H661:K661)=0,G661=1),0,INT((SUMPRODUCT(C661:F661,COLUMN($A$1:$D$1)-1)+SUMPRODUCT(H661:K661,COLUMN($E$1:$H$1)-1))*'Line Follower'!$C$3/SUM(C661:F661,H661:K661)-'Line Follower'!$C$5)))</f>
        <v>#N/A</v>
      </c>
      <c r="O661" s="22" t="e">
        <v>#N/A</v>
      </c>
      <c r="P661" s="4" t="e">
        <f t="shared" si="50"/>
        <v>#N/A</v>
      </c>
      <c r="Q661" s="4" t="e">
        <f t="shared" si="51"/>
        <v>#N/A</v>
      </c>
      <c r="R661" s="4" t="e">
        <f>IF(AND(B661=1,N661&gt;'Line Follower'!$C$7,SUM(C661:K661)&lt;4),1,0)</f>
        <v>#N/A</v>
      </c>
      <c r="S661" s="4" t="e">
        <f>IF(AND(L661=1,N661&lt;'Line Follower'!$C$6,SUM(C661:K661)&lt;4),1,0)</f>
        <v>#N/A</v>
      </c>
      <c r="T661" s="4" t="e">
        <f t="shared" si="52"/>
        <v>#N/A</v>
      </c>
      <c r="U661" s="5" t="e">
        <f t="shared" si="53"/>
        <v>#N/A</v>
      </c>
      <c r="V661" s="23" t="e">
        <f t="shared" si="54"/>
        <v>#N/A</v>
      </c>
    </row>
    <row r="662" spans="2:22" x14ac:dyDescent="0.25">
      <c r="B662" s="16">
        <v>1</v>
      </c>
      <c r="C662" s="7">
        <v>1</v>
      </c>
      <c r="D662" s="8">
        <v>0</v>
      </c>
      <c r="E662" s="8">
        <v>0</v>
      </c>
      <c r="F662" s="8">
        <v>1</v>
      </c>
      <c r="G662" s="8">
        <v>0</v>
      </c>
      <c r="H662" s="8">
        <v>0</v>
      </c>
      <c r="I662" s="8">
        <v>1</v>
      </c>
      <c r="J662" s="8">
        <v>0</v>
      </c>
      <c r="K662" s="9">
        <v>1</v>
      </c>
      <c r="L662" s="10">
        <v>0</v>
      </c>
      <c r="M662" s="6">
        <v>0</v>
      </c>
      <c r="N662" s="37" t="e" cm="1">
        <f t="array" ref="N662">IF(OR(ISNUMBER(FIND(Aux!$D$3:$D$9,_xlfn.TEXTJOIN(,,C662:K662)))),NA(),IF(AND(SUM(C662:F662,H662:K662)=0,G662=1),0,INT((SUMPRODUCT(C662:F662,COLUMN($A$1:$D$1)-1)+SUMPRODUCT(H662:K662,COLUMN($E$1:$H$1)-1))*'Line Follower'!$C$3/SUM(C662:F662,H662:K662)-'Line Follower'!$C$5)))</f>
        <v>#N/A</v>
      </c>
      <c r="O662" s="22" t="e">
        <v>#N/A</v>
      </c>
      <c r="P662" s="4" t="e">
        <f t="shared" si="50"/>
        <v>#N/A</v>
      </c>
      <c r="Q662" s="4" t="e">
        <f t="shared" si="51"/>
        <v>#N/A</v>
      </c>
      <c r="R662" s="4" t="e">
        <f>IF(AND(B662=1,N662&gt;'Line Follower'!$C$7,SUM(C662:K662)&lt;4),1,0)</f>
        <v>#N/A</v>
      </c>
      <c r="S662" s="4" t="e">
        <f>IF(AND(L662=1,N662&lt;'Line Follower'!$C$6,SUM(C662:K662)&lt;4),1,0)</f>
        <v>#N/A</v>
      </c>
      <c r="T662" s="4" t="e">
        <f t="shared" si="52"/>
        <v>#N/A</v>
      </c>
      <c r="U662" s="5" t="e">
        <f t="shared" si="53"/>
        <v>#N/A</v>
      </c>
      <c r="V662" s="23" t="e">
        <f t="shared" si="54"/>
        <v>#N/A</v>
      </c>
    </row>
    <row r="663" spans="2:22" x14ac:dyDescent="0.25">
      <c r="B663" s="16">
        <v>0</v>
      </c>
      <c r="C663" s="7">
        <v>0</v>
      </c>
      <c r="D663" s="8">
        <v>1</v>
      </c>
      <c r="E663" s="8">
        <v>0</v>
      </c>
      <c r="F663" s="8">
        <v>1</v>
      </c>
      <c r="G663" s="8">
        <v>0</v>
      </c>
      <c r="H663" s="8">
        <v>0</v>
      </c>
      <c r="I663" s="8">
        <v>1</v>
      </c>
      <c r="J663" s="8">
        <v>0</v>
      </c>
      <c r="K663" s="9">
        <v>1</v>
      </c>
      <c r="L663" s="10">
        <v>0</v>
      </c>
      <c r="M663" s="6">
        <v>0</v>
      </c>
      <c r="N663" s="37" t="e" cm="1">
        <f t="array" ref="N663">IF(OR(ISNUMBER(FIND(Aux!$D$3:$D$9,_xlfn.TEXTJOIN(,,C663:K663)))),NA(),IF(AND(SUM(C663:F663,H663:K663)=0,G663=1),0,INT((SUMPRODUCT(C663:F663,COLUMN($A$1:$D$1)-1)+SUMPRODUCT(H663:K663,COLUMN($E$1:$H$1)-1))*'Line Follower'!$C$3/SUM(C663:F663,H663:K663)-'Line Follower'!$C$5)))</f>
        <v>#N/A</v>
      </c>
      <c r="O663" s="22" t="e">
        <v>#N/A</v>
      </c>
      <c r="P663" s="4" t="e">
        <f t="shared" si="50"/>
        <v>#N/A</v>
      </c>
      <c r="Q663" s="4" t="e">
        <f t="shared" si="51"/>
        <v>#N/A</v>
      </c>
      <c r="R663" s="4" t="e">
        <f>IF(AND(B663=1,N663&gt;'Line Follower'!$C$7,SUM(C663:K663)&lt;4),1,0)</f>
        <v>#N/A</v>
      </c>
      <c r="S663" s="4" t="e">
        <f>IF(AND(L663=1,N663&lt;'Line Follower'!$C$6,SUM(C663:K663)&lt;4),1,0)</f>
        <v>#N/A</v>
      </c>
      <c r="T663" s="4" t="e">
        <f t="shared" si="52"/>
        <v>#N/A</v>
      </c>
      <c r="U663" s="5" t="e">
        <f t="shared" si="53"/>
        <v>#N/A</v>
      </c>
      <c r="V663" s="23" t="e">
        <f t="shared" si="54"/>
        <v>#N/A</v>
      </c>
    </row>
    <row r="664" spans="2:22" x14ac:dyDescent="0.25">
      <c r="B664" s="16">
        <v>1</v>
      </c>
      <c r="C664" s="7">
        <v>0</v>
      </c>
      <c r="D664" s="8">
        <v>1</v>
      </c>
      <c r="E664" s="8">
        <v>0</v>
      </c>
      <c r="F664" s="8">
        <v>1</v>
      </c>
      <c r="G664" s="8">
        <v>0</v>
      </c>
      <c r="H664" s="8">
        <v>0</v>
      </c>
      <c r="I664" s="8">
        <v>1</v>
      </c>
      <c r="J664" s="8">
        <v>0</v>
      </c>
      <c r="K664" s="9">
        <v>1</v>
      </c>
      <c r="L664" s="10">
        <v>0</v>
      </c>
      <c r="M664" s="6">
        <v>0</v>
      </c>
      <c r="N664" s="37" t="e" cm="1">
        <f t="array" ref="N664">IF(OR(ISNUMBER(FIND(Aux!$D$3:$D$9,_xlfn.TEXTJOIN(,,C664:K664)))),NA(),IF(AND(SUM(C664:F664,H664:K664)=0,G664=1),0,INT((SUMPRODUCT(C664:F664,COLUMN($A$1:$D$1)-1)+SUMPRODUCT(H664:K664,COLUMN($E$1:$H$1)-1))*'Line Follower'!$C$3/SUM(C664:F664,H664:K664)-'Line Follower'!$C$5)))</f>
        <v>#N/A</v>
      </c>
      <c r="O664" s="22" t="e">
        <v>#N/A</v>
      </c>
      <c r="P664" s="4" t="e">
        <f t="shared" si="50"/>
        <v>#N/A</v>
      </c>
      <c r="Q664" s="4" t="e">
        <f t="shared" si="51"/>
        <v>#N/A</v>
      </c>
      <c r="R664" s="4" t="e">
        <f>IF(AND(B664=1,N664&gt;'Line Follower'!$C$7,SUM(C664:K664)&lt;4),1,0)</f>
        <v>#N/A</v>
      </c>
      <c r="S664" s="4" t="e">
        <f>IF(AND(L664=1,N664&lt;'Line Follower'!$C$6,SUM(C664:K664)&lt;4),1,0)</f>
        <v>#N/A</v>
      </c>
      <c r="T664" s="4" t="e">
        <f t="shared" si="52"/>
        <v>#N/A</v>
      </c>
      <c r="U664" s="5" t="e">
        <f t="shared" si="53"/>
        <v>#N/A</v>
      </c>
      <c r="V664" s="23" t="e">
        <f t="shared" si="54"/>
        <v>#N/A</v>
      </c>
    </row>
    <row r="665" spans="2:22" x14ac:dyDescent="0.25">
      <c r="B665" s="16">
        <v>0</v>
      </c>
      <c r="C665" s="7">
        <v>1</v>
      </c>
      <c r="D665" s="8">
        <v>1</v>
      </c>
      <c r="E665" s="8">
        <v>0</v>
      </c>
      <c r="F665" s="8">
        <v>1</v>
      </c>
      <c r="G665" s="8">
        <v>0</v>
      </c>
      <c r="H665" s="8">
        <v>0</v>
      </c>
      <c r="I665" s="8">
        <v>1</v>
      </c>
      <c r="J665" s="8">
        <v>0</v>
      </c>
      <c r="K665" s="9">
        <v>1</v>
      </c>
      <c r="L665" s="10">
        <v>0</v>
      </c>
      <c r="M665" s="6">
        <v>0</v>
      </c>
      <c r="N665" s="37" t="e" cm="1">
        <f t="array" ref="N665">IF(OR(ISNUMBER(FIND(Aux!$D$3:$D$9,_xlfn.TEXTJOIN(,,C665:K665)))),NA(),IF(AND(SUM(C665:F665,H665:K665)=0,G665=1),0,INT((SUMPRODUCT(C665:F665,COLUMN($A$1:$D$1)-1)+SUMPRODUCT(H665:K665,COLUMN($E$1:$H$1)-1))*'Line Follower'!$C$3/SUM(C665:F665,H665:K665)-'Line Follower'!$C$5)))</f>
        <v>#N/A</v>
      </c>
      <c r="O665" s="22" t="e">
        <v>#N/A</v>
      </c>
      <c r="P665" s="4" t="e">
        <f t="shared" si="50"/>
        <v>#N/A</v>
      </c>
      <c r="Q665" s="4" t="e">
        <f t="shared" si="51"/>
        <v>#N/A</v>
      </c>
      <c r="R665" s="4" t="e">
        <f>IF(AND(B665=1,N665&gt;'Line Follower'!$C$7,SUM(C665:K665)&lt;4),1,0)</f>
        <v>#N/A</v>
      </c>
      <c r="S665" s="4" t="e">
        <f>IF(AND(L665=1,N665&lt;'Line Follower'!$C$6,SUM(C665:K665)&lt;4),1,0)</f>
        <v>#N/A</v>
      </c>
      <c r="T665" s="4" t="e">
        <f t="shared" si="52"/>
        <v>#N/A</v>
      </c>
      <c r="U665" s="5" t="e">
        <f t="shared" si="53"/>
        <v>#N/A</v>
      </c>
      <c r="V665" s="23" t="e">
        <f t="shared" si="54"/>
        <v>#N/A</v>
      </c>
    </row>
    <row r="666" spans="2:22" x14ac:dyDescent="0.25">
      <c r="B666" s="16">
        <v>1</v>
      </c>
      <c r="C666" s="7">
        <v>1</v>
      </c>
      <c r="D666" s="8">
        <v>1</v>
      </c>
      <c r="E666" s="8">
        <v>0</v>
      </c>
      <c r="F666" s="8">
        <v>1</v>
      </c>
      <c r="G666" s="8">
        <v>0</v>
      </c>
      <c r="H666" s="8">
        <v>0</v>
      </c>
      <c r="I666" s="8">
        <v>1</v>
      </c>
      <c r="J666" s="8">
        <v>0</v>
      </c>
      <c r="K666" s="9">
        <v>1</v>
      </c>
      <c r="L666" s="10">
        <v>0</v>
      </c>
      <c r="M666" s="6">
        <v>0</v>
      </c>
      <c r="N666" s="37" t="e" cm="1">
        <f t="array" ref="N666">IF(OR(ISNUMBER(FIND(Aux!$D$3:$D$9,_xlfn.TEXTJOIN(,,C666:K666)))),NA(),IF(AND(SUM(C666:F666,H666:K666)=0,G666=1),0,INT((SUMPRODUCT(C666:F666,COLUMN($A$1:$D$1)-1)+SUMPRODUCT(H666:K666,COLUMN($E$1:$H$1)-1))*'Line Follower'!$C$3/SUM(C666:F666,H666:K666)-'Line Follower'!$C$5)))</f>
        <v>#N/A</v>
      </c>
      <c r="O666" s="22" t="e">
        <v>#N/A</v>
      </c>
      <c r="P666" s="4" t="e">
        <f t="shared" si="50"/>
        <v>#N/A</v>
      </c>
      <c r="Q666" s="4" t="e">
        <f t="shared" si="51"/>
        <v>#N/A</v>
      </c>
      <c r="R666" s="4" t="e">
        <f>IF(AND(B666=1,N666&gt;'Line Follower'!$C$7,SUM(C666:K666)&lt;4),1,0)</f>
        <v>#N/A</v>
      </c>
      <c r="S666" s="4" t="e">
        <f>IF(AND(L666=1,N666&lt;'Line Follower'!$C$6,SUM(C666:K666)&lt;4),1,0)</f>
        <v>#N/A</v>
      </c>
      <c r="T666" s="4" t="e">
        <f t="shared" si="52"/>
        <v>#N/A</v>
      </c>
      <c r="U666" s="5" t="e">
        <f t="shared" si="53"/>
        <v>#N/A</v>
      </c>
      <c r="V666" s="23" t="e">
        <f t="shared" si="54"/>
        <v>#N/A</v>
      </c>
    </row>
    <row r="667" spans="2:22" x14ac:dyDescent="0.25">
      <c r="B667" s="16">
        <v>0</v>
      </c>
      <c r="C667" s="7">
        <v>0</v>
      </c>
      <c r="D667" s="8">
        <v>0</v>
      </c>
      <c r="E667" s="8">
        <v>1</v>
      </c>
      <c r="F667" s="8">
        <v>1</v>
      </c>
      <c r="G667" s="8">
        <v>0</v>
      </c>
      <c r="H667" s="8">
        <v>0</v>
      </c>
      <c r="I667" s="8">
        <v>1</v>
      </c>
      <c r="J667" s="8">
        <v>0</v>
      </c>
      <c r="K667" s="9">
        <v>1</v>
      </c>
      <c r="L667" s="10">
        <v>0</v>
      </c>
      <c r="M667" s="6">
        <v>0</v>
      </c>
      <c r="N667" s="37" t="e" cm="1">
        <f t="array" ref="N667">IF(OR(ISNUMBER(FIND(Aux!$D$3:$D$9,_xlfn.TEXTJOIN(,,C667:K667)))),NA(),IF(AND(SUM(C667:F667,H667:K667)=0,G667=1),0,INT((SUMPRODUCT(C667:F667,COLUMN($A$1:$D$1)-1)+SUMPRODUCT(H667:K667,COLUMN($E$1:$H$1)-1))*'Line Follower'!$C$3/SUM(C667:F667,H667:K667)-'Line Follower'!$C$5)))</f>
        <v>#N/A</v>
      </c>
      <c r="O667" s="22" t="e">
        <v>#N/A</v>
      </c>
      <c r="P667" s="4" t="e">
        <f t="shared" si="50"/>
        <v>#N/A</v>
      </c>
      <c r="Q667" s="4" t="e">
        <f t="shared" si="51"/>
        <v>#N/A</v>
      </c>
      <c r="R667" s="4" t="e">
        <f>IF(AND(B667=1,N667&gt;'Line Follower'!$C$7,SUM(C667:K667)&lt;4),1,0)</f>
        <v>#N/A</v>
      </c>
      <c r="S667" s="4" t="e">
        <f>IF(AND(L667=1,N667&lt;'Line Follower'!$C$6,SUM(C667:K667)&lt;4),1,0)</f>
        <v>#N/A</v>
      </c>
      <c r="T667" s="4" t="e">
        <f t="shared" si="52"/>
        <v>#N/A</v>
      </c>
      <c r="U667" s="5" t="e">
        <f t="shared" si="53"/>
        <v>#N/A</v>
      </c>
      <c r="V667" s="23" t="e">
        <f t="shared" si="54"/>
        <v>#N/A</v>
      </c>
    </row>
    <row r="668" spans="2:22" x14ac:dyDescent="0.25">
      <c r="B668" s="16">
        <v>1</v>
      </c>
      <c r="C668" s="7">
        <v>0</v>
      </c>
      <c r="D668" s="8">
        <v>0</v>
      </c>
      <c r="E668" s="8">
        <v>1</v>
      </c>
      <c r="F668" s="8">
        <v>1</v>
      </c>
      <c r="G668" s="8">
        <v>0</v>
      </c>
      <c r="H668" s="8">
        <v>0</v>
      </c>
      <c r="I668" s="8">
        <v>1</v>
      </c>
      <c r="J668" s="8">
        <v>0</v>
      </c>
      <c r="K668" s="9">
        <v>1</v>
      </c>
      <c r="L668" s="10">
        <v>0</v>
      </c>
      <c r="M668" s="6">
        <v>0</v>
      </c>
      <c r="N668" s="37" t="e" cm="1">
        <f t="array" ref="N668">IF(OR(ISNUMBER(FIND(Aux!$D$3:$D$9,_xlfn.TEXTJOIN(,,C668:K668)))),NA(),IF(AND(SUM(C668:F668,H668:K668)=0,G668=1),0,INT((SUMPRODUCT(C668:F668,COLUMN($A$1:$D$1)-1)+SUMPRODUCT(H668:K668,COLUMN($E$1:$H$1)-1))*'Line Follower'!$C$3/SUM(C668:F668,H668:K668)-'Line Follower'!$C$5)))</f>
        <v>#N/A</v>
      </c>
      <c r="O668" s="22" t="e">
        <v>#N/A</v>
      </c>
      <c r="P668" s="4" t="e">
        <f t="shared" si="50"/>
        <v>#N/A</v>
      </c>
      <c r="Q668" s="4" t="e">
        <f t="shared" si="51"/>
        <v>#N/A</v>
      </c>
      <c r="R668" s="4" t="e">
        <f>IF(AND(B668=1,N668&gt;'Line Follower'!$C$7,SUM(C668:K668)&lt;4),1,0)</f>
        <v>#N/A</v>
      </c>
      <c r="S668" s="4" t="e">
        <f>IF(AND(L668=1,N668&lt;'Line Follower'!$C$6,SUM(C668:K668)&lt;4),1,0)</f>
        <v>#N/A</v>
      </c>
      <c r="T668" s="4" t="e">
        <f t="shared" si="52"/>
        <v>#N/A</v>
      </c>
      <c r="U668" s="5" t="e">
        <f t="shared" si="53"/>
        <v>#N/A</v>
      </c>
      <c r="V668" s="23" t="e">
        <f t="shared" si="54"/>
        <v>#N/A</v>
      </c>
    </row>
    <row r="669" spans="2:22" x14ac:dyDescent="0.25">
      <c r="B669" s="16">
        <v>0</v>
      </c>
      <c r="C669" s="7">
        <v>1</v>
      </c>
      <c r="D669" s="8">
        <v>0</v>
      </c>
      <c r="E669" s="8">
        <v>1</v>
      </c>
      <c r="F669" s="8">
        <v>1</v>
      </c>
      <c r="G669" s="8">
        <v>0</v>
      </c>
      <c r="H669" s="8">
        <v>0</v>
      </c>
      <c r="I669" s="8">
        <v>1</v>
      </c>
      <c r="J669" s="8">
        <v>0</v>
      </c>
      <c r="K669" s="9">
        <v>1</v>
      </c>
      <c r="L669" s="10">
        <v>0</v>
      </c>
      <c r="M669" s="6">
        <v>0</v>
      </c>
      <c r="N669" s="37" t="e" cm="1">
        <f t="array" ref="N669">IF(OR(ISNUMBER(FIND(Aux!$D$3:$D$9,_xlfn.TEXTJOIN(,,C669:K669)))),NA(),IF(AND(SUM(C669:F669,H669:K669)=0,G669=1),0,INT((SUMPRODUCT(C669:F669,COLUMN($A$1:$D$1)-1)+SUMPRODUCT(H669:K669,COLUMN($E$1:$H$1)-1))*'Line Follower'!$C$3/SUM(C669:F669,H669:K669)-'Line Follower'!$C$5)))</f>
        <v>#N/A</v>
      </c>
      <c r="O669" s="22" t="e">
        <v>#N/A</v>
      </c>
      <c r="P669" s="4" t="e">
        <f t="shared" si="50"/>
        <v>#N/A</v>
      </c>
      <c r="Q669" s="4" t="e">
        <f t="shared" si="51"/>
        <v>#N/A</v>
      </c>
      <c r="R669" s="4" t="e">
        <f>IF(AND(B669=1,N669&gt;'Line Follower'!$C$7,SUM(C669:K669)&lt;4),1,0)</f>
        <v>#N/A</v>
      </c>
      <c r="S669" s="4" t="e">
        <f>IF(AND(L669=1,N669&lt;'Line Follower'!$C$6,SUM(C669:K669)&lt;4),1,0)</f>
        <v>#N/A</v>
      </c>
      <c r="T669" s="4" t="e">
        <f t="shared" si="52"/>
        <v>#N/A</v>
      </c>
      <c r="U669" s="5" t="e">
        <f t="shared" si="53"/>
        <v>#N/A</v>
      </c>
      <c r="V669" s="23" t="e">
        <f t="shared" si="54"/>
        <v>#N/A</v>
      </c>
    </row>
    <row r="670" spans="2:22" x14ac:dyDescent="0.25">
      <c r="B670" s="16">
        <v>1</v>
      </c>
      <c r="C670" s="7">
        <v>1</v>
      </c>
      <c r="D670" s="8">
        <v>0</v>
      </c>
      <c r="E670" s="8">
        <v>1</v>
      </c>
      <c r="F670" s="8">
        <v>1</v>
      </c>
      <c r="G670" s="8">
        <v>0</v>
      </c>
      <c r="H670" s="8">
        <v>0</v>
      </c>
      <c r="I670" s="8">
        <v>1</v>
      </c>
      <c r="J670" s="8">
        <v>0</v>
      </c>
      <c r="K670" s="9">
        <v>1</v>
      </c>
      <c r="L670" s="10">
        <v>0</v>
      </c>
      <c r="M670" s="6">
        <v>0</v>
      </c>
      <c r="N670" s="37" t="e" cm="1">
        <f t="array" ref="N670">IF(OR(ISNUMBER(FIND(Aux!$D$3:$D$9,_xlfn.TEXTJOIN(,,C670:K670)))),NA(),IF(AND(SUM(C670:F670,H670:K670)=0,G670=1),0,INT((SUMPRODUCT(C670:F670,COLUMN($A$1:$D$1)-1)+SUMPRODUCT(H670:K670,COLUMN($E$1:$H$1)-1))*'Line Follower'!$C$3/SUM(C670:F670,H670:K670)-'Line Follower'!$C$5)))</f>
        <v>#N/A</v>
      </c>
      <c r="O670" s="22" t="e">
        <v>#N/A</v>
      </c>
      <c r="P670" s="4" t="e">
        <f t="shared" si="50"/>
        <v>#N/A</v>
      </c>
      <c r="Q670" s="4" t="e">
        <f t="shared" si="51"/>
        <v>#N/A</v>
      </c>
      <c r="R670" s="4" t="e">
        <f>IF(AND(B670=1,N670&gt;'Line Follower'!$C$7,SUM(C670:K670)&lt;4),1,0)</f>
        <v>#N/A</v>
      </c>
      <c r="S670" s="4" t="e">
        <f>IF(AND(L670=1,N670&lt;'Line Follower'!$C$6,SUM(C670:K670)&lt;4),1,0)</f>
        <v>#N/A</v>
      </c>
      <c r="T670" s="4" t="e">
        <f t="shared" si="52"/>
        <v>#N/A</v>
      </c>
      <c r="U670" s="5" t="e">
        <f t="shared" si="53"/>
        <v>#N/A</v>
      </c>
      <c r="V670" s="23" t="e">
        <f t="shared" si="54"/>
        <v>#N/A</v>
      </c>
    </row>
    <row r="671" spans="2:22" x14ac:dyDescent="0.25">
      <c r="B671" s="16">
        <v>0</v>
      </c>
      <c r="C671" s="7">
        <v>0</v>
      </c>
      <c r="D671" s="8">
        <v>1</v>
      </c>
      <c r="E671" s="8">
        <v>1</v>
      </c>
      <c r="F671" s="8">
        <v>1</v>
      </c>
      <c r="G671" s="8">
        <v>0</v>
      </c>
      <c r="H671" s="8">
        <v>0</v>
      </c>
      <c r="I671" s="8">
        <v>1</v>
      </c>
      <c r="J671" s="8">
        <v>0</v>
      </c>
      <c r="K671" s="9">
        <v>1</v>
      </c>
      <c r="L671" s="10">
        <v>0</v>
      </c>
      <c r="M671" s="6">
        <v>0</v>
      </c>
      <c r="N671" s="37" t="e" cm="1">
        <f t="array" ref="N671">IF(OR(ISNUMBER(FIND(Aux!$D$3:$D$9,_xlfn.TEXTJOIN(,,C671:K671)))),NA(),IF(AND(SUM(C671:F671,H671:K671)=0,G671=1),0,INT((SUMPRODUCT(C671:F671,COLUMN($A$1:$D$1)-1)+SUMPRODUCT(H671:K671,COLUMN($E$1:$H$1)-1))*'Line Follower'!$C$3/SUM(C671:F671,H671:K671)-'Line Follower'!$C$5)))</f>
        <v>#N/A</v>
      </c>
      <c r="O671" s="22" t="e">
        <v>#N/A</v>
      </c>
      <c r="P671" s="4" t="e">
        <f t="shared" si="50"/>
        <v>#N/A</v>
      </c>
      <c r="Q671" s="4" t="e">
        <f t="shared" si="51"/>
        <v>#N/A</v>
      </c>
      <c r="R671" s="4" t="e">
        <f>IF(AND(B671=1,N671&gt;'Line Follower'!$C$7,SUM(C671:K671)&lt;4),1,0)</f>
        <v>#N/A</v>
      </c>
      <c r="S671" s="4" t="e">
        <f>IF(AND(L671=1,N671&lt;'Line Follower'!$C$6,SUM(C671:K671)&lt;4),1,0)</f>
        <v>#N/A</v>
      </c>
      <c r="T671" s="4" t="e">
        <f t="shared" si="52"/>
        <v>#N/A</v>
      </c>
      <c r="U671" s="5" t="e">
        <f t="shared" si="53"/>
        <v>#N/A</v>
      </c>
      <c r="V671" s="23" t="e">
        <f t="shared" si="54"/>
        <v>#N/A</v>
      </c>
    </row>
    <row r="672" spans="2:22" x14ac:dyDescent="0.25">
      <c r="B672" s="16">
        <v>1</v>
      </c>
      <c r="C672" s="7">
        <v>0</v>
      </c>
      <c r="D672" s="8">
        <v>1</v>
      </c>
      <c r="E672" s="8">
        <v>1</v>
      </c>
      <c r="F672" s="8">
        <v>1</v>
      </c>
      <c r="G672" s="8">
        <v>0</v>
      </c>
      <c r="H672" s="8">
        <v>0</v>
      </c>
      <c r="I672" s="8">
        <v>1</v>
      </c>
      <c r="J672" s="8">
        <v>0</v>
      </c>
      <c r="K672" s="9">
        <v>1</v>
      </c>
      <c r="L672" s="10">
        <v>0</v>
      </c>
      <c r="M672" s="6">
        <v>0</v>
      </c>
      <c r="N672" s="37" t="e" cm="1">
        <f t="array" ref="N672">IF(OR(ISNUMBER(FIND(Aux!$D$3:$D$9,_xlfn.TEXTJOIN(,,C672:K672)))),NA(),IF(AND(SUM(C672:F672,H672:K672)=0,G672=1),0,INT((SUMPRODUCT(C672:F672,COLUMN($A$1:$D$1)-1)+SUMPRODUCT(H672:K672,COLUMN($E$1:$H$1)-1))*'Line Follower'!$C$3/SUM(C672:F672,H672:K672)-'Line Follower'!$C$5)))</f>
        <v>#N/A</v>
      </c>
      <c r="O672" s="22" t="e">
        <v>#N/A</v>
      </c>
      <c r="P672" s="4" t="e">
        <f t="shared" si="50"/>
        <v>#N/A</v>
      </c>
      <c r="Q672" s="4" t="e">
        <f t="shared" si="51"/>
        <v>#N/A</v>
      </c>
      <c r="R672" s="4" t="e">
        <f>IF(AND(B672=1,N672&gt;'Line Follower'!$C$7,SUM(C672:K672)&lt;4),1,0)</f>
        <v>#N/A</v>
      </c>
      <c r="S672" s="4" t="e">
        <f>IF(AND(L672=1,N672&lt;'Line Follower'!$C$6,SUM(C672:K672)&lt;4),1,0)</f>
        <v>#N/A</v>
      </c>
      <c r="T672" s="4" t="e">
        <f t="shared" si="52"/>
        <v>#N/A</v>
      </c>
      <c r="U672" s="5" t="e">
        <f t="shared" si="53"/>
        <v>#N/A</v>
      </c>
      <c r="V672" s="23" t="e">
        <f t="shared" si="54"/>
        <v>#N/A</v>
      </c>
    </row>
    <row r="673" spans="2:22" x14ac:dyDescent="0.25">
      <c r="B673" s="16">
        <v>0</v>
      </c>
      <c r="C673" s="7">
        <v>1</v>
      </c>
      <c r="D673" s="8">
        <v>1</v>
      </c>
      <c r="E673" s="8">
        <v>1</v>
      </c>
      <c r="F673" s="8">
        <v>1</v>
      </c>
      <c r="G673" s="8">
        <v>0</v>
      </c>
      <c r="H673" s="8">
        <v>0</v>
      </c>
      <c r="I673" s="8">
        <v>1</v>
      </c>
      <c r="J673" s="8">
        <v>0</v>
      </c>
      <c r="K673" s="9">
        <v>1</v>
      </c>
      <c r="L673" s="10">
        <v>0</v>
      </c>
      <c r="M673" s="6">
        <v>0</v>
      </c>
      <c r="N673" s="37" t="e" cm="1">
        <f t="array" ref="N673">IF(OR(ISNUMBER(FIND(Aux!$D$3:$D$9,_xlfn.TEXTJOIN(,,C673:K673)))),NA(),IF(AND(SUM(C673:F673,H673:K673)=0,G673=1),0,INT((SUMPRODUCT(C673:F673,COLUMN($A$1:$D$1)-1)+SUMPRODUCT(H673:K673,COLUMN($E$1:$H$1)-1))*'Line Follower'!$C$3/SUM(C673:F673,H673:K673)-'Line Follower'!$C$5)))</f>
        <v>#N/A</v>
      </c>
      <c r="O673" s="22" t="e">
        <v>#N/A</v>
      </c>
      <c r="P673" s="4" t="e">
        <f t="shared" si="50"/>
        <v>#N/A</v>
      </c>
      <c r="Q673" s="4" t="e">
        <f t="shared" si="51"/>
        <v>#N/A</v>
      </c>
      <c r="R673" s="4" t="e">
        <f>IF(AND(B673=1,N673&gt;'Line Follower'!$C$7,SUM(C673:K673)&lt;4),1,0)</f>
        <v>#N/A</v>
      </c>
      <c r="S673" s="4" t="e">
        <f>IF(AND(L673=1,N673&lt;'Line Follower'!$C$6,SUM(C673:K673)&lt;4),1,0)</f>
        <v>#N/A</v>
      </c>
      <c r="T673" s="4" t="e">
        <f t="shared" si="52"/>
        <v>#N/A</v>
      </c>
      <c r="U673" s="5" t="e">
        <f t="shared" si="53"/>
        <v>#N/A</v>
      </c>
      <c r="V673" s="23" t="e">
        <f t="shared" si="54"/>
        <v>#N/A</v>
      </c>
    </row>
    <row r="674" spans="2:22" x14ac:dyDescent="0.25">
      <c r="B674" s="16">
        <v>1</v>
      </c>
      <c r="C674" s="7">
        <v>1</v>
      </c>
      <c r="D674" s="8">
        <v>1</v>
      </c>
      <c r="E674" s="8">
        <v>1</v>
      </c>
      <c r="F674" s="8">
        <v>1</v>
      </c>
      <c r="G674" s="8">
        <v>0</v>
      </c>
      <c r="H674" s="8">
        <v>0</v>
      </c>
      <c r="I674" s="8">
        <v>1</v>
      </c>
      <c r="J674" s="8">
        <v>0</v>
      </c>
      <c r="K674" s="9">
        <v>1</v>
      </c>
      <c r="L674" s="10">
        <v>0</v>
      </c>
      <c r="M674" s="6">
        <v>0</v>
      </c>
      <c r="N674" s="37" t="e" cm="1">
        <f t="array" ref="N674">IF(OR(ISNUMBER(FIND(Aux!$D$3:$D$9,_xlfn.TEXTJOIN(,,C674:K674)))),NA(),IF(AND(SUM(C674:F674,H674:K674)=0,G674=1),0,INT((SUMPRODUCT(C674:F674,COLUMN($A$1:$D$1)-1)+SUMPRODUCT(H674:K674,COLUMN($E$1:$H$1)-1))*'Line Follower'!$C$3/SUM(C674:F674,H674:K674)-'Line Follower'!$C$5)))</f>
        <v>#N/A</v>
      </c>
      <c r="O674" s="22" t="e">
        <v>#N/A</v>
      </c>
      <c r="P674" s="4" t="e">
        <f t="shared" si="50"/>
        <v>#N/A</v>
      </c>
      <c r="Q674" s="4" t="e">
        <f t="shared" si="51"/>
        <v>#N/A</v>
      </c>
      <c r="R674" s="4" t="e">
        <f>IF(AND(B674=1,N674&gt;'Line Follower'!$C$7,SUM(C674:K674)&lt;4),1,0)</f>
        <v>#N/A</v>
      </c>
      <c r="S674" s="4" t="e">
        <f>IF(AND(L674=1,N674&lt;'Line Follower'!$C$6,SUM(C674:K674)&lt;4),1,0)</f>
        <v>#N/A</v>
      </c>
      <c r="T674" s="4" t="e">
        <f t="shared" si="52"/>
        <v>#N/A</v>
      </c>
      <c r="U674" s="5" t="e">
        <f t="shared" si="53"/>
        <v>#N/A</v>
      </c>
      <c r="V674" s="23" t="e">
        <f t="shared" si="54"/>
        <v>#N/A</v>
      </c>
    </row>
    <row r="675" spans="2:22" x14ac:dyDescent="0.25">
      <c r="B675" s="16">
        <v>0</v>
      </c>
      <c r="C675" s="7">
        <v>0</v>
      </c>
      <c r="D675" s="8">
        <v>0</v>
      </c>
      <c r="E675" s="8">
        <v>0</v>
      </c>
      <c r="F675" s="8">
        <v>0</v>
      </c>
      <c r="G675" s="8">
        <v>1</v>
      </c>
      <c r="H675" s="8">
        <v>0</v>
      </c>
      <c r="I675" s="8">
        <v>1</v>
      </c>
      <c r="J675" s="8">
        <v>0</v>
      </c>
      <c r="K675" s="9">
        <v>1</v>
      </c>
      <c r="L675" s="10">
        <v>0</v>
      </c>
      <c r="M675" s="6">
        <v>0</v>
      </c>
      <c r="N675" s="37" t="e" cm="1">
        <f t="array" ref="N675">IF(OR(ISNUMBER(FIND(Aux!$D$3:$D$9,_xlfn.TEXTJOIN(,,C675:K675)))),NA(),IF(AND(SUM(C675:F675,H675:K675)=0,G675=1),0,INT((SUMPRODUCT(C675:F675,COLUMN($A$1:$D$1)-1)+SUMPRODUCT(H675:K675,COLUMN($E$1:$H$1)-1))*'Line Follower'!$C$3/SUM(C675:F675,H675:K675)-'Line Follower'!$C$5)))</f>
        <v>#N/A</v>
      </c>
      <c r="O675" s="22" t="e">
        <v>#N/A</v>
      </c>
      <c r="P675" s="4" t="e">
        <f t="shared" si="50"/>
        <v>#N/A</v>
      </c>
      <c r="Q675" s="4" t="e">
        <f t="shared" si="51"/>
        <v>#N/A</v>
      </c>
      <c r="R675" s="4" t="e">
        <f>IF(AND(B675=1,N675&gt;'Line Follower'!$C$7,SUM(C675:K675)&lt;4),1,0)</f>
        <v>#N/A</v>
      </c>
      <c r="S675" s="4" t="e">
        <f>IF(AND(L675=1,N675&lt;'Line Follower'!$C$6,SUM(C675:K675)&lt;4),1,0)</f>
        <v>#N/A</v>
      </c>
      <c r="T675" s="4" t="e">
        <f t="shared" si="52"/>
        <v>#N/A</v>
      </c>
      <c r="U675" s="5" t="e">
        <f t="shared" si="53"/>
        <v>#N/A</v>
      </c>
      <c r="V675" s="23" t="e">
        <f t="shared" si="54"/>
        <v>#N/A</v>
      </c>
    </row>
    <row r="676" spans="2:22" x14ac:dyDescent="0.25">
      <c r="B676" s="16">
        <v>1</v>
      </c>
      <c r="C676" s="7">
        <v>0</v>
      </c>
      <c r="D676" s="8">
        <v>0</v>
      </c>
      <c r="E676" s="8">
        <v>0</v>
      </c>
      <c r="F676" s="8">
        <v>0</v>
      </c>
      <c r="G676" s="8">
        <v>1</v>
      </c>
      <c r="H676" s="8">
        <v>0</v>
      </c>
      <c r="I676" s="8">
        <v>1</v>
      </c>
      <c r="J676" s="8">
        <v>0</v>
      </c>
      <c r="K676" s="9">
        <v>1</v>
      </c>
      <c r="L676" s="10">
        <v>0</v>
      </c>
      <c r="M676" s="6">
        <v>0</v>
      </c>
      <c r="N676" s="37" t="e" cm="1">
        <f t="array" ref="N676">IF(OR(ISNUMBER(FIND(Aux!$D$3:$D$9,_xlfn.TEXTJOIN(,,C676:K676)))),NA(),IF(AND(SUM(C676:F676,H676:K676)=0,G676=1),0,INT((SUMPRODUCT(C676:F676,COLUMN($A$1:$D$1)-1)+SUMPRODUCT(H676:K676,COLUMN($E$1:$H$1)-1))*'Line Follower'!$C$3/SUM(C676:F676,H676:K676)-'Line Follower'!$C$5)))</f>
        <v>#N/A</v>
      </c>
      <c r="O676" s="22" t="e">
        <v>#N/A</v>
      </c>
      <c r="P676" s="4" t="e">
        <f t="shared" si="50"/>
        <v>#N/A</v>
      </c>
      <c r="Q676" s="4" t="e">
        <f t="shared" si="51"/>
        <v>#N/A</v>
      </c>
      <c r="R676" s="4" t="e">
        <f>IF(AND(B676=1,N676&gt;'Line Follower'!$C$7,SUM(C676:K676)&lt;4),1,0)</f>
        <v>#N/A</v>
      </c>
      <c r="S676" s="4" t="e">
        <f>IF(AND(L676=1,N676&lt;'Line Follower'!$C$6,SUM(C676:K676)&lt;4),1,0)</f>
        <v>#N/A</v>
      </c>
      <c r="T676" s="4" t="e">
        <f t="shared" si="52"/>
        <v>#N/A</v>
      </c>
      <c r="U676" s="5" t="e">
        <f t="shared" si="53"/>
        <v>#N/A</v>
      </c>
      <c r="V676" s="23" t="e">
        <f t="shared" si="54"/>
        <v>#N/A</v>
      </c>
    </row>
    <row r="677" spans="2:22" x14ac:dyDescent="0.25">
      <c r="B677" s="16">
        <v>0</v>
      </c>
      <c r="C677" s="7">
        <v>1</v>
      </c>
      <c r="D677" s="8">
        <v>0</v>
      </c>
      <c r="E677" s="8">
        <v>0</v>
      </c>
      <c r="F677" s="8">
        <v>0</v>
      </c>
      <c r="G677" s="8">
        <v>1</v>
      </c>
      <c r="H677" s="8">
        <v>0</v>
      </c>
      <c r="I677" s="8">
        <v>1</v>
      </c>
      <c r="J677" s="8">
        <v>0</v>
      </c>
      <c r="K677" s="9">
        <v>1</v>
      </c>
      <c r="L677" s="10">
        <v>0</v>
      </c>
      <c r="M677" s="6">
        <v>0</v>
      </c>
      <c r="N677" s="37" t="e" cm="1">
        <f t="array" ref="N677">IF(OR(ISNUMBER(FIND(Aux!$D$3:$D$9,_xlfn.TEXTJOIN(,,C677:K677)))),NA(),IF(AND(SUM(C677:F677,H677:K677)=0,G677=1),0,INT((SUMPRODUCT(C677:F677,COLUMN($A$1:$D$1)-1)+SUMPRODUCT(H677:K677,COLUMN($E$1:$H$1)-1))*'Line Follower'!$C$3/SUM(C677:F677,H677:K677)-'Line Follower'!$C$5)))</f>
        <v>#N/A</v>
      </c>
      <c r="O677" s="22" t="e">
        <v>#N/A</v>
      </c>
      <c r="P677" s="4" t="e">
        <f t="shared" si="50"/>
        <v>#N/A</v>
      </c>
      <c r="Q677" s="4" t="e">
        <f t="shared" si="51"/>
        <v>#N/A</v>
      </c>
      <c r="R677" s="4" t="e">
        <f>IF(AND(B677=1,N677&gt;'Line Follower'!$C$7,SUM(C677:K677)&lt;4),1,0)</f>
        <v>#N/A</v>
      </c>
      <c r="S677" s="4" t="e">
        <f>IF(AND(L677=1,N677&lt;'Line Follower'!$C$6,SUM(C677:K677)&lt;4),1,0)</f>
        <v>#N/A</v>
      </c>
      <c r="T677" s="4" t="e">
        <f t="shared" si="52"/>
        <v>#N/A</v>
      </c>
      <c r="U677" s="5" t="e">
        <f t="shared" si="53"/>
        <v>#N/A</v>
      </c>
      <c r="V677" s="23" t="e">
        <f t="shared" si="54"/>
        <v>#N/A</v>
      </c>
    </row>
    <row r="678" spans="2:22" x14ac:dyDescent="0.25">
      <c r="B678" s="16">
        <v>1</v>
      </c>
      <c r="C678" s="7">
        <v>1</v>
      </c>
      <c r="D678" s="8">
        <v>0</v>
      </c>
      <c r="E678" s="8">
        <v>0</v>
      </c>
      <c r="F678" s="8">
        <v>0</v>
      </c>
      <c r="G678" s="8">
        <v>1</v>
      </c>
      <c r="H678" s="8">
        <v>0</v>
      </c>
      <c r="I678" s="8">
        <v>1</v>
      </c>
      <c r="J678" s="8">
        <v>0</v>
      </c>
      <c r="K678" s="9">
        <v>1</v>
      </c>
      <c r="L678" s="10">
        <v>0</v>
      </c>
      <c r="M678" s="6">
        <v>0</v>
      </c>
      <c r="N678" s="37" t="e" cm="1">
        <f t="array" ref="N678">IF(OR(ISNUMBER(FIND(Aux!$D$3:$D$9,_xlfn.TEXTJOIN(,,C678:K678)))),NA(),IF(AND(SUM(C678:F678,H678:K678)=0,G678=1),0,INT((SUMPRODUCT(C678:F678,COLUMN($A$1:$D$1)-1)+SUMPRODUCT(H678:K678,COLUMN($E$1:$H$1)-1))*'Line Follower'!$C$3/SUM(C678:F678,H678:K678)-'Line Follower'!$C$5)))</f>
        <v>#N/A</v>
      </c>
      <c r="O678" s="22" t="e">
        <v>#N/A</v>
      </c>
      <c r="P678" s="4" t="e">
        <f t="shared" si="50"/>
        <v>#N/A</v>
      </c>
      <c r="Q678" s="4" t="e">
        <f t="shared" si="51"/>
        <v>#N/A</v>
      </c>
      <c r="R678" s="4" t="e">
        <f>IF(AND(B678=1,N678&gt;'Line Follower'!$C$7,SUM(C678:K678)&lt;4),1,0)</f>
        <v>#N/A</v>
      </c>
      <c r="S678" s="4" t="e">
        <f>IF(AND(L678=1,N678&lt;'Line Follower'!$C$6,SUM(C678:K678)&lt;4),1,0)</f>
        <v>#N/A</v>
      </c>
      <c r="T678" s="4" t="e">
        <f t="shared" si="52"/>
        <v>#N/A</v>
      </c>
      <c r="U678" s="5" t="e">
        <f t="shared" si="53"/>
        <v>#N/A</v>
      </c>
      <c r="V678" s="23" t="e">
        <f t="shared" si="54"/>
        <v>#N/A</v>
      </c>
    </row>
    <row r="679" spans="2:22" x14ac:dyDescent="0.25">
      <c r="B679" s="16">
        <v>0</v>
      </c>
      <c r="C679" s="7">
        <v>0</v>
      </c>
      <c r="D679" s="8">
        <v>1</v>
      </c>
      <c r="E679" s="8">
        <v>0</v>
      </c>
      <c r="F679" s="8">
        <v>0</v>
      </c>
      <c r="G679" s="8">
        <v>1</v>
      </c>
      <c r="H679" s="8">
        <v>0</v>
      </c>
      <c r="I679" s="8">
        <v>1</v>
      </c>
      <c r="J679" s="8">
        <v>0</v>
      </c>
      <c r="K679" s="9">
        <v>1</v>
      </c>
      <c r="L679" s="10">
        <v>0</v>
      </c>
      <c r="M679" s="6">
        <v>0</v>
      </c>
      <c r="N679" s="37" t="e" cm="1">
        <f t="array" ref="N679">IF(OR(ISNUMBER(FIND(Aux!$D$3:$D$9,_xlfn.TEXTJOIN(,,C679:K679)))),NA(),IF(AND(SUM(C679:F679,H679:K679)=0,G679=1),0,INT((SUMPRODUCT(C679:F679,COLUMN($A$1:$D$1)-1)+SUMPRODUCT(H679:K679,COLUMN($E$1:$H$1)-1))*'Line Follower'!$C$3/SUM(C679:F679,H679:K679)-'Line Follower'!$C$5)))</f>
        <v>#N/A</v>
      </c>
      <c r="O679" s="22" t="e">
        <v>#N/A</v>
      </c>
      <c r="P679" s="4" t="e">
        <f t="shared" si="50"/>
        <v>#N/A</v>
      </c>
      <c r="Q679" s="4" t="e">
        <f t="shared" si="51"/>
        <v>#N/A</v>
      </c>
      <c r="R679" s="4" t="e">
        <f>IF(AND(B679=1,N679&gt;'Line Follower'!$C$7,SUM(C679:K679)&lt;4),1,0)</f>
        <v>#N/A</v>
      </c>
      <c r="S679" s="4" t="e">
        <f>IF(AND(L679=1,N679&lt;'Line Follower'!$C$6,SUM(C679:K679)&lt;4),1,0)</f>
        <v>#N/A</v>
      </c>
      <c r="T679" s="4" t="e">
        <f t="shared" si="52"/>
        <v>#N/A</v>
      </c>
      <c r="U679" s="5" t="e">
        <f t="shared" si="53"/>
        <v>#N/A</v>
      </c>
      <c r="V679" s="23" t="e">
        <f t="shared" si="54"/>
        <v>#N/A</v>
      </c>
    </row>
    <row r="680" spans="2:22" x14ac:dyDescent="0.25">
      <c r="B680" s="16">
        <v>1</v>
      </c>
      <c r="C680" s="7">
        <v>0</v>
      </c>
      <c r="D680" s="8">
        <v>1</v>
      </c>
      <c r="E680" s="8">
        <v>0</v>
      </c>
      <c r="F680" s="8">
        <v>0</v>
      </c>
      <c r="G680" s="8">
        <v>1</v>
      </c>
      <c r="H680" s="8">
        <v>0</v>
      </c>
      <c r="I680" s="8">
        <v>1</v>
      </c>
      <c r="J680" s="8">
        <v>0</v>
      </c>
      <c r="K680" s="9">
        <v>1</v>
      </c>
      <c r="L680" s="10">
        <v>0</v>
      </c>
      <c r="M680" s="6">
        <v>0</v>
      </c>
      <c r="N680" s="37" t="e" cm="1">
        <f t="array" ref="N680">IF(OR(ISNUMBER(FIND(Aux!$D$3:$D$9,_xlfn.TEXTJOIN(,,C680:K680)))),NA(),IF(AND(SUM(C680:F680,H680:K680)=0,G680=1),0,INT((SUMPRODUCT(C680:F680,COLUMN($A$1:$D$1)-1)+SUMPRODUCT(H680:K680,COLUMN($E$1:$H$1)-1))*'Line Follower'!$C$3/SUM(C680:F680,H680:K680)-'Line Follower'!$C$5)))</f>
        <v>#N/A</v>
      </c>
      <c r="O680" s="22" t="e">
        <v>#N/A</v>
      </c>
      <c r="P680" s="4" t="e">
        <f t="shared" si="50"/>
        <v>#N/A</v>
      </c>
      <c r="Q680" s="4" t="e">
        <f t="shared" si="51"/>
        <v>#N/A</v>
      </c>
      <c r="R680" s="4" t="e">
        <f>IF(AND(B680=1,N680&gt;'Line Follower'!$C$7,SUM(C680:K680)&lt;4),1,0)</f>
        <v>#N/A</v>
      </c>
      <c r="S680" s="4" t="e">
        <f>IF(AND(L680=1,N680&lt;'Line Follower'!$C$6,SUM(C680:K680)&lt;4),1,0)</f>
        <v>#N/A</v>
      </c>
      <c r="T680" s="4" t="e">
        <f t="shared" si="52"/>
        <v>#N/A</v>
      </c>
      <c r="U680" s="5" t="e">
        <f t="shared" si="53"/>
        <v>#N/A</v>
      </c>
      <c r="V680" s="23" t="e">
        <f t="shared" si="54"/>
        <v>#N/A</v>
      </c>
    </row>
    <row r="681" spans="2:22" x14ac:dyDescent="0.25">
      <c r="B681" s="16">
        <v>0</v>
      </c>
      <c r="C681" s="7">
        <v>1</v>
      </c>
      <c r="D681" s="8">
        <v>1</v>
      </c>
      <c r="E681" s="8">
        <v>0</v>
      </c>
      <c r="F681" s="8">
        <v>0</v>
      </c>
      <c r="G681" s="8">
        <v>1</v>
      </c>
      <c r="H681" s="8">
        <v>0</v>
      </c>
      <c r="I681" s="8">
        <v>1</v>
      </c>
      <c r="J681" s="8">
        <v>0</v>
      </c>
      <c r="K681" s="9">
        <v>1</v>
      </c>
      <c r="L681" s="10">
        <v>0</v>
      </c>
      <c r="M681" s="6">
        <v>0</v>
      </c>
      <c r="N681" s="37" t="e" cm="1">
        <f t="array" ref="N681">IF(OR(ISNUMBER(FIND(Aux!$D$3:$D$9,_xlfn.TEXTJOIN(,,C681:K681)))),NA(),IF(AND(SUM(C681:F681,H681:K681)=0,G681=1),0,INT((SUMPRODUCT(C681:F681,COLUMN($A$1:$D$1)-1)+SUMPRODUCT(H681:K681,COLUMN($E$1:$H$1)-1))*'Line Follower'!$C$3/SUM(C681:F681,H681:K681)-'Line Follower'!$C$5)))</f>
        <v>#N/A</v>
      </c>
      <c r="O681" s="22" t="e">
        <v>#N/A</v>
      </c>
      <c r="P681" s="4" t="e">
        <f t="shared" si="50"/>
        <v>#N/A</v>
      </c>
      <c r="Q681" s="4" t="e">
        <f t="shared" si="51"/>
        <v>#N/A</v>
      </c>
      <c r="R681" s="4" t="e">
        <f>IF(AND(B681=1,N681&gt;'Line Follower'!$C$7,SUM(C681:K681)&lt;4),1,0)</f>
        <v>#N/A</v>
      </c>
      <c r="S681" s="4" t="e">
        <f>IF(AND(L681=1,N681&lt;'Line Follower'!$C$6,SUM(C681:K681)&lt;4),1,0)</f>
        <v>#N/A</v>
      </c>
      <c r="T681" s="4" t="e">
        <f t="shared" si="52"/>
        <v>#N/A</v>
      </c>
      <c r="U681" s="5" t="e">
        <f t="shared" si="53"/>
        <v>#N/A</v>
      </c>
      <c r="V681" s="23" t="e">
        <f t="shared" si="54"/>
        <v>#N/A</v>
      </c>
    </row>
    <row r="682" spans="2:22" x14ac:dyDescent="0.25">
      <c r="B682" s="16">
        <v>1</v>
      </c>
      <c r="C682" s="7">
        <v>1</v>
      </c>
      <c r="D682" s="8">
        <v>1</v>
      </c>
      <c r="E682" s="8">
        <v>0</v>
      </c>
      <c r="F682" s="8">
        <v>0</v>
      </c>
      <c r="G682" s="8">
        <v>1</v>
      </c>
      <c r="H682" s="8">
        <v>0</v>
      </c>
      <c r="I682" s="8">
        <v>1</v>
      </c>
      <c r="J682" s="8">
        <v>0</v>
      </c>
      <c r="K682" s="9">
        <v>1</v>
      </c>
      <c r="L682" s="10">
        <v>0</v>
      </c>
      <c r="M682" s="6">
        <v>0</v>
      </c>
      <c r="N682" s="37" t="e" cm="1">
        <f t="array" ref="N682">IF(OR(ISNUMBER(FIND(Aux!$D$3:$D$9,_xlfn.TEXTJOIN(,,C682:K682)))),NA(),IF(AND(SUM(C682:F682,H682:K682)=0,G682=1),0,INT((SUMPRODUCT(C682:F682,COLUMN($A$1:$D$1)-1)+SUMPRODUCT(H682:K682,COLUMN($E$1:$H$1)-1))*'Line Follower'!$C$3/SUM(C682:F682,H682:K682)-'Line Follower'!$C$5)))</f>
        <v>#N/A</v>
      </c>
      <c r="O682" s="22" t="e">
        <v>#N/A</v>
      </c>
      <c r="P682" s="4" t="e">
        <f t="shared" si="50"/>
        <v>#N/A</v>
      </c>
      <c r="Q682" s="4" t="e">
        <f t="shared" si="51"/>
        <v>#N/A</v>
      </c>
      <c r="R682" s="4" t="e">
        <f>IF(AND(B682=1,N682&gt;'Line Follower'!$C$7,SUM(C682:K682)&lt;4),1,0)</f>
        <v>#N/A</v>
      </c>
      <c r="S682" s="4" t="e">
        <f>IF(AND(L682=1,N682&lt;'Line Follower'!$C$6,SUM(C682:K682)&lt;4),1,0)</f>
        <v>#N/A</v>
      </c>
      <c r="T682" s="4" t="e">
        <f t="shared" si="52"/>
        <v>#N/A</v>
      </c>
      <c r="U682" s="5" t="e">
        <f t="shared" si="53"/>
        <v>#N/A</v>
      </c>
      <c r="V682" s="23" t="e">
        <f t="shared" si="54"/>
        <v>#N/A</v>
      </c>
    </row>
    <row r="683" spans="2:22" x14ac:dyDescent="0.25">
      <c r="B683" s="16">
        <v>0</v>
      </c>
      <c r="C683" s="7">
        <v>0</v>
      </c>
      <c r="D683" s="8">
        <v>0</v>
      </c>
      <c r="E683" s="8">
        <v>1</v>
      </c>
      <c r="F683" s="8">
        <v>0</v>
      </c>
      <c r="G683" s="8">
        <v>1</v>
      </c>
      <c r="H683" s="8">
        <v>0</v>
      </c>
      <c r="I683" s="8">
        <v>1</v>
      </c>
      <c r="J683" s="8">
        <v>0</v>
      </c>
      <c r="K683" s="9">
        <v>1</v>
      </c>
      <c r="L683" s="10">
        <v>0</v>
      </c>
      <c r="M683" s="6">
        <v>0</v>
      </c>
      <c r="N683" s="37" t="e" cm="1">
        <f t="array" ref="N683">IF(OR(ISNUMBER(FIND(Aux!$D$3:$D$9,_xlfn.TEXTJOIN(,,C683:K683)))),NA(),IF(AND(SUM(C683:F683,H683:K683)=0,G683=1),0,INT((SUMPRODUCT(C683:F683,COLUMN($A$1:$D$1)-1)+SUMPRODUCT(H683:K683,COLUMN($E$1:$H$1)-1))*'Line Follower'!$C$3/SUM(C683:F683,H683:K683)-'Line Follower'!$C$5)))</f>
        <v>#N/A</v>
      </c>
      <c r="O683" s="22" t="e">
        <v>#N/A</v>
      </c>
      <c r="P683" s="4" t="e">
        <f t="shared" si="50"/>
        <v>#N/A</v>
      </c>
      <c r="Q683" s="4" t="e">
        <f t="shared" si="51"/>
        <v>#N/A</v>
      </c>
      <c r="R683" s="4" t="e">
        <f>IF(AND(B683=1,N683&gt;'Line Follower'!$C$7,SUM(C683:K683)&lt;4),1,0)</f>
        <v>#N/A</v>
      </c>
      <c r="S683" s="4" t="e">
        <f>IF(AND(L683=1,N683&lt;'Line Follower'!$C$6,SUM(C683:K683)&lt;4),1,0)</f>
        <v>#N/A</v>
      </c>
      <c r="T683" s="4" t="e">
        <f t="shared" si="52"/>
        <v>#N/A</v>
      </c>
      <c r="U683" s="5" t="e">
        <f t="shared" si="53"/>
        <v>#N/A</v>
      </c>
      <c r="V683" s="23" t="e">
        <f t="shared" si="54"/>
        <v>#N/A</v>
      </c>
    </row>
    <row r="684" spans="2:22" x14ac:dyDescent="0.25">
      <c r="B684" s="16">
        <v>1</v>
      </c>
      <c r="C684" s="7">
        <v>0</v>
      </c>
      <c r="D684" s="8">
        <v>0</v>
      </c>
      <c r="E684" s="8">
        <v>1</v>
      </c>
      <c r="F684" s="8">
        <v>0</v>
      </c>
      <c r="G684" s="8">
        <v>1</v>
      </c>
      <c r="H684" s="8">
        <v>0</v>
      </c>
      <c r="I684" s="8">
        <v>1</v>
      </c>
      <c r="J684" s="8">
        <v>0</v>
      </c>
      <c r="K684" s="9">
        <v>1</v>
      </c>
      <c r="L684" s="10">
        <v>0</v>
      </c>
      <c r="M684" s="6">
        <v>0</v>
      </c>
      <c r="N684" s="37" t="e" cm="1">
        <f t="array" ref="N684">IF(OR(ISNUMBER(FIND(Aux!$D$3:$D$9,_xlfn.TEXTJOIN(,,C684:K684)))),NA(),IF(AND(SUM(C684:F684,H684:K684)=0,G684=1),0,INT((SUMPRODUCT(C684:F684,COLUMN($A$1:$D$1)-1)+SUMPRODUCT(H684:K684,COLUMN($E$1:$H$1)-1))*'Line Follower'!$C$3/SUM(C684:F684,H684:K684)-'Line Follower'!$C$5)))</f>
        <v>#N/A</v>
      </c>
      <c r="O684" s="22" t="e">
        <v>#N/A</v>
      </c>
      <c r="P684" s="4" t="e">
        <f t="shared" si="50"/>
        <v>#N/A</v>
      </c>
      <c r="Q684" s="4" t="e">
        <f t="shared" si="51"/>
        <v>#N/A</v>
      </c>
      <c r="R684" s="4" t="e">
        <f>IF(AND(B684=1,N684&gt;'Line Follower'!$C$7,SUM(C684:K684)&lt;4),1,0)</f>
        <v>#N/A</v>
      </c>
      <c r="S684" s="4" t="e">
        <f>IF(AND(L684=1,N684&lt;'Line Follower'!$C$6,SUM(C684:K684)&lt;4),1,0)</f>
        <v>#N/A</v>
      </c>
      <c r="T684" s="4" t="e">
        <f t="shared" si="52"/>
        <v>#N/A</v>
      </c>
      <c r="U684" s="5" t="e">
        <f t="shared" si="53"/>
        <v>#N/A</v>
      </c>
      <c r="V684" s="23" t="e">
        <f t="shared" si="54"/>
        <v>#N/A</v>
      </c>
    </row>
    <row r="685" spans="2:22" x14ac:dyDescent="0.25">
      <c r="B685" s="16">
        <v>0</v>
      </c>
      <c r="C685" s="7">
        <v>1</v>
      </c>
      <c r="D685" s="8">
        <v>0</v>
      </c>
      <c r="E685" s="8">
        <v>1</v>
      </c>
      <c r="F685" s="8">
        <v>0</v>
      </c>
      <c r="G685" s="8">
        <v>1</v>
      </c>
      <c r="H685" s="8">
        <v>0</v>
      </c>
      <c r="I685" s="8">
        <v>1</v>
      </c>
      <c r="J685" s="8">
        <v>0</v>
      </c>
      <c r="K685" s="9">
        <v>1</v>
      </c>
      <c r="L685" s="10">
        <v>0</v>
      </c>
      <c r="M685" s="6">
        <v>0</v>
      </c>
      <c r="N685" s="37" t="e" cm="1">
        <f t="array" ref="N685">IF(OR(ISNUMBER(FIND(Aux!$D$3:$D$9,_xlfn.TEXTJOIN(,,C685:K685)))),NA(),IF(AND(SUM(C685:F685,H685:K685)=0,G685=1),0,INT((SUMPRODUCT(C685:F685,COLUMN($A$1:$D$1)-1)+SUMPRODUCT(H685:K685,COLUMN($E$1:$H$1)-1))*'Line Follower'!$C$3/SUM(C685:F685,H685:K685)-'Line Follower'!$C$5)))</f>
        <v>#N/A</v>
      </c>
      <c r="O685" s="22" t="e">
        <v>#N/A</v>
      </c>
      <c r="P685" s="4" t="e">
        <f t="shared" si="50"/>
        <v>#N/A</v>
      </c>
      <c r="Q685" s="4" t="e">
        <f t="shared" si="51"/>
        <v>#N/A</v>
      </c>
      <c r="R685" s="4" t="e">
        <f>IF(AND(B685=1,N685&gt;'Line Follower'!$C$7,SUM(C685:K685)&lt;4),1,0)</f>
        <v>#N/A</v>
      </c>
      <c r="S685" s="4" t="e">
        <f>IF(AND(L685=1,N685&lt;'Line Follower'!$C$6,SUM(C685:K685)&lt;4),1,0)</f>
        <v>#N/A</v>
      </c>
      <c r="T685" s="4" t="e">
        <f t="shared" si="52"/>
        <v>#N/A</v>
      </c>
      <c r="U685" s="5" t="e">
        <f t="shared" si="53"/>
        <v>#N/A</v>
      </c>
      <c r="V685" s="23" t="e">
        <f t="shared" si="54"/>
        <v>#N/A</v>
      </c>
    </row>
    <row r="686" spans="2:22" x14ac:dyDescent="0.25">
      <c r="B686" s="16">
        <v>1</v>
      </c>
      <c r="C686" s="7">
        <v>1</v>
      </c>
      <c r="D686" s="8">
        <v>0</v>
      </c>
      <c r="E686" s="8">
        <v>1</v>
      </c>
      <c r="F686" s="8">
        <v>0</v>
      </c>
      <c r="G686" s="8">
        <v>1</v>
      </c>
      <c r="H686" s="8">
        <v>0</v>
      </c>
      <c r="I686" s="8">
        <v>1</v>
      </c>
      <c r="J686" s="8">
        <v>0</v>
      </c>
      <c r="K686" s="9">
        <v>1</v>
      </c>
      <c r="L686" s="10">
        <v>0</v>
      </c>
      <c r="M686" s="6">
        <v>0</v>
      </c>
      <c r="N686" s="37" t="e" cm="1">
        <f t="array" ref="N686">IF(OR(ISNUMBER(FIND(Aux!$D$3:$D$9,_xlfn.TEXTJOIN(,,C686:K686)))),NA(),IF(AND(SUM(C686:F686,H686:K686)=0,G686=1),0,INT((SUMPRODUCT(C686:F686,COLUMN($A$1:$D$1)-1)+SUMPRODUCT(H686:K686,COLUMN($E$1:$H$1)-1))*'Line Follower'!$C$3/SUM(C686:F686,H686:K686)-'Line Follower'!$C$5)))</f>
        <v>#N/A</v>
      </c>
      <c r="O686" s="22" t="e">
        <v>#N/A</v>
      </c>
      <c r="P686" s="4" t="e">
        <f t="shared" si="50"/>
        <v>#N/A</v>
      </c>
      <c r="Q686" s="4" t="e">
        <f t="shared" si="51"/>
        <v>#N/A</v>
      </c>
      <c r="R686" s="4" t="e">
        <f>IF(AND(B686=1,N686&gt;'Line Follower'!$C$7,SUM(C686:K686)&lt;4),1,0)</f>
        <v>#N/A</v>
      </c>
      <c r="S686" s="4" t="e">
        <f>IF(AND(L686=1,N686&lt;'Line Follower'!$C$6,SUM(C686:K686)&lt;4),1,0)</f>
        <v>#N/A</v>
      </c>
      <c r="T686" s="4" t="e">
        <f t="shared" si="52"/>
        <v>#N/A</v>
      </c>
      <c r="U686" s="5" t="e">
        <f t="shared" si="53"/>
        <v>#N/A</v>
      </c>
      <c r="V686" s="23" t="e">
        <f t="shared" si="54"/>
        <v>#N/A</v>
      </c>
    </row>
    <row r="687" spans="2:22" x14ac:dyDescent="0.25">
      <c r="B687" s="16">
        <v>0</v>
      </c>
      <c r="C687" s="7">
        <v>0</v>
      </c>
      <c r="D687" s="8">
        <v>1</v>
      </c>
      <c r="E687" s="8">
        <v>1</v>
      </c>
      <c r="F687" s="8">
        <v>0</v>
      </c>
      <c r="G687" s="8">
        <v>1</v>
      </c>
      <c r="H687" s="8">
        <v>0</v>
      </c>
      <c r="I687" s="8">
        <v>1</v>
      </c>
      <c r="J687" s="8">
        <v>0</v>
      </c>
      <c r="K687" s="9">
        <v>1</v>
      </c>
      <c r="L687" s="10">
        <v>0</v>
      </c>
      <c r="M687" s="6">
        <v>0</v>
      </c>
      <c r="N687" s="37" t="e" cm="1">
        <f t="array" ref="N687">IF(OR(ISNUMBER(FIND(Aux!$D$3:$D$9,_xlfn.TEXTJOIN(,,C687:K687)))),NA(),IF(AND(SUM(C687:F687,H687:K687)=0,G687=1),0,INT((SUMPRODUCT(C687:F687,COLUMN($A$1:$D$1)-1)+SUMPRODUCT(H687:K687,COLUMN($E$1:$H$1)-1))*'Line Follower'!$C$3/SUM(C687:F687,H687:K687)-'Line Follower'!$C$5)))</f>
        <v>#N/A</v>
      </c>
      <c r="O687" s="22" t="e">
        <v>#N/A</v>
      </c>
      <c r="P687" s="4" t="e">
        <f t="shared" si="50"/>
        <v>#N/A</v>
      </c>
      <c r="Q687" s="4" t="e">
        <f t="shared" si="51"/>
        <v>#N/A</v>
      </c>
      <c r="R687" s="4" t="e">
        <f>IF(AND(B687=1,N687&gt;'Line Follower'!$C$7,SUM(C687:K687)&lt;4),1,0)</f>
        <v>#N/A</v>
      </c>
      <c r="S687" s="4" t="e">
        <f>IF(AND(L687=1,N687&lt;'Line Follower'!$C$6,SUM(C687:K687)&lt;4),1,0)</f>
        <v>#N/A</v>
      </c>
      <c r="T687" s="4" t="e">
        <f t="shared" si="52"/>
        <v>#N/A</v>
      </c>
      <c r="U687" s="5" t="e">
        <f t="shared" si="53"/>
        <v>#N/A</v>
      </c>
      <c r="V687" s="23" t="e">
        <f t="shared" si="54"/>
        <v>#N/A</v>
      </c>
    </row>
    <row r="688" spans="2:22" x14ac:dyDescent="0.25">
      <c r="B688" s="16">
        <v>1</v>
      </c>
      <c r="C688" s="7">
        <v>0</v>
      </c>
      <c r="D688" s="8">
        <v>1</v>
      </c>
      <c r="E688" s="8">
        <v>1</v>
      </c>
      <c r="F688" s="8">
        <v>0</v>
      </c>
      <c r="G688" s="8">
        <v>1</v>
      </c>
      <c r="H688" s="8">
        <v>0</v>
      </c>
      <c r="I688" s="8">
        <v>1</v>
      </c>
      <c r="J688" s="8">
        <v>0</v>
      </c>
      <c r="K688" s="9">
        <v>1</v>
      </c>
      <c r="L688" s="10">
        <v>0</v>
      </c>
      <c r="M688" s="6">
        <v>0</v>
      </c>
      <c r="N688" s="37" t="e" cm="1">
        <f t="array" ref="N688">IF(OR(ISNUMBER(FIND(Aux!$D$3:$D$9,_xlfn.TEXTJOIN(,,C688:K688)))),NA(),IF(AND(SUM(C688:F688,H688:K688)=0,G688=1),0,INT((SUMPRODUCT(C688:F688,COLUMN($A$1:$D$1)-1)+SUMPRODUCT(H688:K688,COLUMN($E$1:$H$1)-1))*'Line Follower'!$C$3/SUM(C688:F688,H688:K688)-'Line Follower'!$C$5)))</f>
        <v>#N/A</v>
      </c>
      <c r="O688" s="22" t="e">
        <v>#N/A</v>
      </c>
      <c r="P688" s="4" t="e">
        <f t="shared" si="50"/>
        <v>#N/A</v>
      </c>
      <c r="Q688" s="4" t="e">
        <f t="shared" si="51"/>
        <v>#N/A</v>
      </c>
      <c r="R688" s="4" t="e">
        <f>IF(AND(B688=1,N688&gt;'Line Follower'!$C$7,SUM(C688:K688)&lt;4),1,0)</f>
        <v>#N/A</v>
      </c>
      <c r="S688" s="4" t="e">
        <f>IF(AND(L688=1,N688&lt;'Line Follower'!$C$6,SUM(C688:K688)&lt;4),1,0)</f>
        <v>#N/A</v>
      </c>
      <c r="T688" s="4" t="e">
        <f t="shared" si="52"/>
        <v>#N/A</v>
      </c>
      <c r="U688" s="5" t="e">
        <f t="shared" si="53"/>
        <v>#N/A</v>
      </c>
      <c r="V688" s="23" t="e">
        <f t="shared" si="54"/>
        <v>#N/A</v>
      </c>
    </row>
    <row r="689" spans="2:22" x14ac:dyDescent="0.25">
      <c r="B689" s="16">
        <v>0</v>
      </c>
      <c r="C689" s="7">
        <v>1</v>
      </c>
      <c r="D689" s="8">
        <v>1</v>
      </c>
      <c r="E689" s="8">
        <v>1</v>
      </c>
      <c r="F689" s="8">
        <v>0</v>
      </c>
      <c r="G689" s="8">
        <v>1</v>
      </c>
      <c r="H689" s="8">
        <v>0</v>
      </c>
      <c r="I689" s="8">
        <v>1</v>
      </c>
      <c r="J689" s="8">
        <v>0</v>
      </c>
      <c r="K689" s="9">
        <v>1</v>
      </c>
      <c r="L689" s="10">
        <v>0</v>
      </c>
      <c r="M689" s="6">
        <v>0</v>
      </c>
      <c r="N689" s="37" t="e" cm="1">
        <f t="array" ref="N689">IF(OR(ISNUMBER(FIND(Aux!$D$3:$D$9,_xlfn.TEXTJOIN(,,C689:K689)))),NA(),IF(AND(SUM(C689:F689,H689:K689)=0,G689=1),0,INT((SUMPRODUCT(C689:F689,COLUMN($A$1:$D$1)-1)+SUMPRODUCT(H689:K689,COLUMN($E$1:$H$1)-1))*'Line Follower'!$C$3/SUM(C689:F689,H689:K689)-'Line Follower'!$C$5)))</f>
        <v>#N/A</v>
      </c>
      <c r="O689" s="22" t="e">
        <v>#N/A</v>
      </c>
      <c r="P689" s="4" t="e">
        <f t="shared" si="50"/>
        <v>#N/A</v>
      </c>
      <c r="Q689" s="4" t="e">
        <f t="shared" si="51"/>
        <v>#N/A</v>
      </c>
      <c r="R689" s="4" t="e">
        <f>IF(AND(B689=1,N689&gt;'Line Follower'!$C$7,SUM(C689:K689)&lt;4),1,0)</f>
        <v>#N/A</v>
      </c>
      <c r="S689" s="4" t="e">
        <f>IF(AND(L689=1,N689&lt;'Line Follower'!$C$6,SUM(C689:K689)&lt;4),1,0)</f>
        <v>#N/A</v>
      </c>
      <c r="T689" s="4" t="e">
        <f t="shared" si="52"/>
        <v>#N/A</v>
      </c>
      <c r="U689" s="5" t="e">
        <f t="shared" si="53"/>
        <v>#N/A</v>
      </c>
      <c r="V689" s="23" t="e">
        <f t="shared" si="54"/>
        <v>#N/A</v>
      </c>
    </row>
    <row r="690" spans="2:22" x14ac:dyDescent="0.25">
      <c r="B690" s="16">
        <v>1</v>
      </c>
      <c r="C690" s="7">
        <v>1</v>
      </c>
      <c r="D690" s="8">
        <v>1</v>
      </c>
      <c r="E690" s="8">
        <v>1</v>
      </c>
      <c r="F690" s="8">
        <v>0</v>
      </c>
      <c r="G690" s="8">
        <v>1</v>
      </c>
      <c r="H690" s="8">
        <v>0</v>
      </c>
      <c r="I690" s="8">
        <v>1</v>
      </c>
      <c r="J690" s="8">
        <v>0</v>
      </c>
      <c r="K690" s="9">
        <v>1</v>
      </c>
      <c r="L690" s="10">
        <v>0</v>
      </c>
      <c r="M690" s="6">
        <v>0</v>
      </c>
      <c r="N690" s="37" t="e" cm="1">
        <f t="array" ref="N690">IF(OR(ISNUMBER(FIND(Aux!$D$3:$D$9,_xlfn.TEXTJOIN(,,C690:K690)))),NA(),IF(AND(SUM(C690:F690,H690:K690)=0,G690=1),0,INT((SUMPRODUCT(C690:F690,COLUMN($A$1:$D$1)-1)+SUMPRODUCT(H690:K690,COLUMN($E$1:$H$1)-1))*'Line Follower'!$C$3/SUM(C690:F690,H690:K690)-'Line Follower'!$C$5)))</f>
        <v>#N/A</v>
      </c>
      <c r="O690" s="22" t="e">
        <v>#N/A</v>
      </c>
      <c r="P690" s="4" t="e">
        <f t="shared" si="50"/>
        <v>#N/A</v>
      </c>
      <c r="Q690" s="4" t="e">
        <f t="shared" si="51"/>
        <v>#N/A</v>
      </c>
      <c r="R690" s="4" t="e">
        <f>IF(AND(B690=1,N690&gt;'Line Follower'!$C$7,SUM(C690:K690)&lt;4),1,0)</f>
        <v>#N/A</v>
      </c>
      <c r="S690" s="4" t="e">
        <f>IF(AND(L690=1,N690&lt;'Line Follower'!$C$6,SUM(C690:K690)&lt;4),1,0)</f>
        <v>#N/A</v>
      </c>
      <c r="T690" s="4" t="e">
        <f t="shared" si="52"/>
        <v>#N/A</v>
      </c>
      <c r="U690" s="5" t="e">
        <f t="shared" si="53"/>
        <v>#N/A</v>
      </c>
      <c r="V690" s="23" t="e">
        <f t="shared" si="54"/>
        <v>#N/A</v>
      </c>
    </row>
    <row r="691" spans="2:22" x14ac:dyDescent="0.25">
      <c r="B691" s="16">
        <v>0</v>
      </c>
      <c r="C691" s="7">
        <v>0</v>
      </c>
      <c r="D691" s="8">
        <v>0</v>
      </c>
      <c r="E691" s="8">
        <v>0</v>
      </c>
      <c r="F691" s="8">
        <v>1</v>
      </c>
      <c r="G691" s="8">
        <v>1</v>
      </c>
      <c r="H691" s="8">
        <v>0</v>
      </c>
      <c r="I691" s="8">
        <v>1</v>
      </c>
      <c r="J691" s="8">
        <v>0</v>
      </c>
      <c r="K691" s="9">
        <v>1</v>
      </c>
      <c r="L691" s="10">
        <v>0</v>
      </c>
      <c r="M691" s="6">
        <v>0</v>
      </c>
      <c r="N691" s="37" t="e" cm="1">
        <f t="array" ref="N691">IF(OR(ISNUMBER(FIND(Aux!$D$3:$D$9,_xlfn.TEXTJOIN(,,C691:K691)))),NA(),IF(AND(SUM(C691:F691,H691:K691)=0,G691=1),0,INT((SUMPRODUCT(C691:F691,COLUMN($A$1:$D$1)-1)+SUMPRODUCT(H691:K691,COLUMN($E$1:$H$1)-1))*'Line Follower'!$C$3/SUM(C691:F691,H691:K691)-'Line Follower'!$C$5)))</f>
        <v>#N/A</v>
      </c>
      <c r="O691" s="22" t="e">
        <v>#N/A</v>
      </c>
      <c r="P691" s="4" t="e">
        <f t="shared" si="50"/>
        <v>#N/A</v>
      </c>
      <c r="Q691" s="4" t="e">
        <f t="shared" si="51"/>
        <v>#N/A</v>
      </c>
      <c r="R691" s="4" t="e">
        <f>IF(AND(B691=1,N691&gt;'Line Follower'!$C$7,SUM(C691:K691)&lt;4),1,0)</f>
        <v>#N/A</v>
      </c>
      <c r="S691" s="4" t="e">
        <f>IF(AND(L691=1,N691&lt;'Line Follower'!$C$6,SUM(C691:K691)&lt;4),1,0)</f>
        <v>#N/A</v>
      </c>
      <c r="T691" s="4" t="e">
        <f t="shared" si="52"/>
        <v>#N/A</v>
      </c>
      <c r="U691" s="5" t="e">
        <f t="shared" si="53"/>
        <v>#N/A</v>
      </c>
      <c r="V691" s="23" t="e">
        <f t="shared" si="54"/>
        <v>#N/A</v>
      </c>
    </row>
    <row r="692" spans="2:22" x14ac:dyDescent="0.25">
      <c r="B692" s="16">
        <v>1</v>
      </c>
      <c r="C692" s="7">
        <v>0</v>
      </c>
      <c r="D692" s="8">
        <v>0</v>
      </c>
      <c r="E692" s="8">
        <v>0</v>
      </c>
      <c r="F692" s="8">
        <v>1</v>
      </c>
      <c r="G692" s="8">
        <v>1</v>
      </c>
      <c r="H692" s="8">
        <v>0</v>
      </c>
      <c r="I692" s="8">
        <v>1</v>
      </c>
      <c r="J692" s="8">
        <v>0</v>
      </c>
      <c r="K692" s="9">
        <v>1</v>
      </c>
      <c r="L692" s="10">
        <v>0</v>
      </c>
      <c r="M692" s="6">
        <v>0</v>
      </c>
      <c r="N692" s="37" t="e" cm="1">
        <f t="array" ref="N692">IF(OR(ISNUMBER(FIND(Aux!$D$3:$D$9,_xlfn.TEXTJOIN(,,C692:K692)))),NA(),IF(AND(SUM(C692:F692,H692:K692)=0,G692=1),0,INT((SUMPRODUCT(C692:F692,COLUMN($A$1:$D$1)-1)+SUMPRODUCT(H692:K692,COLUMN($E$1:$H$1)-1))*'Line Follower'!$C$3/SUM(C692:F692,H692:K692)-'Line Follower'!$C$5)))</f>
        <v>#N/A</v>
      </c>
      <c r="O692" s="22" t="e">
        <v>#N/A</v>
      </c>
      <c r="P692" s="4" t="e">
        <f t="shared" si="50"/>
        <v>#N/A</v>
      </c>
      <c r="Q692" s="4" t="e">
        <f t="shared" si="51"/>
        <v>#N/A</v>
      </c>
      <c r="R692" s="4" t="e">
        <f>IF(AND(B692=1,N692&gt;'Line Follower'!$C$7,SUM(C692:K692)&lt;4),1,0)</f>
        <v>#N/A</v>
      </c>
      <c r="S692" s="4" t="e">
        <f>IF(AND(L692=1,N692&lt;'Line Follower'!$C$6,SUM(C692:K692)&lt;4),1,0)</f>
        <v>#N/A</v>
      </c>
      <c r="T692" s="4" t="e">
        <f t="shared" si="52"/>
        <v>#N/A</v>
      </c>
      <c r="U692" s="5" t="e">
        <f t="shared" si="53"/>
        <v>#N/A</v>
      </c>
      <c r="V692" s="23" t="e">
        <f t="shared" si="54"/>
        <v>#N/A</v>
      </c>
    </row>
    <row r="693" spans="2:22" x14ac:dyDescent="0.25">
      <c r="B693" s="16">
        <v>0</v>
      </c>
      <c r="C693" s="7">
        <v>1</v>
      </c>
      <c r="D693" s="8">
        <v>0</v>
      </c>
      <c r="E693" s="8">
        <v>0</v>
      </c>
      <c r="F693" s="8">
        <v>1</v>
      </c>
      <c r="G693" s="8">
        <v>1</v>
      </c>
      <c r="H693" s="8">
        <v>0</v>
      </c>
      <c r="I693" s="8">
        <v>1</v>
      </c>
      <c r="J693" s="8">
        <v>0</v>
      </c>
      <c r="K693" s="9">
        <v>1</v>
      </c>
      <c r="L693" s="10">
        <v>0</v>
      </c>
      <c r="M693" s="6">
        <v>0</v>
      </c>
      <c r="N693" s="37" t="e" cm="1">
        <f t="array" ref="N693">IF(OR(ISNUMBER(FIND(Aux!$D$3:$D$9,_xlfn.TEXTJOIN(,,C693:K693)))),NA(),IF(AND(SUM(C693:F693,H693:K693)=0,G693=1),0,INT((SUMPRODUCT(C693:F693,COLUMN($A$1:$D$1)-1)+SUMPRODUCT(H693:K693,COLUMN($E$1:$H$1)-1))*'Line Follower'!$C$3/SUM(C693:F693,H693:K693)-'Line Follower'!$C$5)))</f>
        <v>#N/A</v>
      </c>
      <c r="O693" s="22" t="e">
        <v>#N/A</v>
      </c>
      <c r="P693" s="4" t="e">
        <f t="shared" si="50"/>
        <v>#N/A</v>
      </c>
      <c r="Q693" s="4" t="e">
        <f t="shared" si="51"/>
        <v>#N/A</v>
      </c>
      <c r="R693" s="4" t="e">
        <f>IF(AND(B693=1,N693&gt;'Line Follower'!$C$7,SUM(C693:K693)&lt;4),1,0)</f>
        <v>#N/A</v>
      </c>
      <c r="S693" s="4" t="e">
        <f>IF(AND(L693=1,N693&lt;'Line Follower'!$C$6,SUM(C693:K693)&lt;4),1,0)</f>
        <v>#N/A</v>
      </c>
      <c r="T693" s="4" t="e">
        <f t="shared" si="52"/>
        <v>#N/A</v>
      </c>
      <c r="U693" s="5" t="e">
        <f t="shared" si="53"/>
        <v>#N/A</v>
      </c>
      <c r="V693" s="23" t="e">
        <f t="shared" si="54"/>
        <v>#N/A</v>
      </c>
    </row>
    <row r="694" spans="2:22" x14ac:dyDescent="0.25">
      <c r="B694" s="16">
        <v>1</v>
      </c>
      <c r="C694" s="7">
        <v>1</v>
      </c>
      <c r="D694" s="8">
        <v>0</v>
      </c>
      <c r="E694" s="8">
        <v>0</v>
      </c>
      <c r="F694" s="8">
        <v>1</v>
      </c>
      <c r="G694" s="8">
        <v>1</v>
      </c>
      <c r="H694" s="8">
        <v>0</v>
      </c>
      <c r="I694" s="8">
        <v>1</v>
      </c>
      <c r="J694" s="8">
        <v>0</v>
      </c>
      <c r="K694" s="9">
        <v>1</v>
      </c>
      <c r="L694" s="10">
        <v>0</v>
      </c>
      <c r="M694" s="6">
        <v>0</v>
      </c>
      <c r="N694" s="37" t="e" cm="1">
        <f t="array" ref="N694">IF(OR(ISNUMBER(FIND(Aux!$D$3:$D$9,_xlfn.TEXTJOIN(,,C694:K694)))),NA(),IF(AND(SUM(C694:F694,H694:K694)=0,G694=1),0,INT((SUMPRODUCT(C694:F694,COLUMN($A$1:$D$1)-1)+SUMPRODUCT(H694:K694,COLUMN($E$1:$H$1)-1))*'Line Follower'!$C$3/SUM(C694:F694,H694:K694)-'Line Follower'!$C$5)))</f>
        <v>#N/A</v>
      </c>
      <c r="O694" s="22" t="e">
        <v>#N/A</v>
      </c>
      <c r="P694" s="4" t="e">
        <f t="shared" si="50"/>
        <v>#N/A</v>
      </c>
      <c r="Q694" s="4" t="e">
        <f t="shared" si="51"/>
        <v>#N/A</v>
      </c>
      <c r="R694" s="4" t="e">
        <f>IF(AND(B694=1,N694&gt;'Line Follower'!$C$7,SUM(C694:K694)&lt;4),1,0)</f>
        <v>#N/A</v>
      </c>
      <c r="S694" s="4" t="e">
        <f>IF(AND(L694=1,N694&lt;'Line Follower'!$C$6,SUM(C694:K694)&lt;4),1,0)</f>
        <v>#N/A</v>
      </c>
      <c r="T694" s="4" t="e">
        <f t="shared" si="52"/>
        <v>#N/A</v>
      </c>
      <c r="U694" s="5" t="e">
        <f t="shared" si="53"/>
        <v>#N/A</v>
      </c>
      <c r="V694" s="23" t="e">
        <f t="shared" si="54"/>
        <v>#N/A</v>
      </c>
    </row>
    <row r="695" spans="2:22" x14ac:dyDescent="0.25">
      <c r="B695" s="16">
        <v>0</v>
      </c>
      <c r="C695" s="7">
        <v>0</v>
      </c>
      <c r="D695" s="8">
        <v>1</v>
      </c>
      <c r="E695" s="8">
        <v>0</v>
      </c>
      <c r="F695" s="8">
        <v>1</v>
      </c>
      <c r="G695" s="8">
        <v>1</v>
      </c>
      <c r="H695" s="8">
        <v>0</v>
      </c>
      <c r="I695" s="8">
        <v>1</v>
      </c>
      <c r="J695" s="8">
        <v>0</v>
      </c>
      <c r="K695" s="9">
        <v>1</v>
      </c>
      <c r="L695" s="10">
        <v>0</v>
      </c>
      <c r="M695" s="6">
        <v>0</v>
      </c>
      <c r="N695" s="37" t="e" cm="1">
        <f t="array" ref="N695">IF(OR(ISNUMBER(FIND(Aux!$D$3:$D$9,_xlfn.TEXTJOIN(,,C695:K695)))),NA(),IF(AND(SUM(C695:F695,H695:K695)=0,G695=1),0,INT((SUMPRODUCT(C695:F695,COLUMN($A$1:$D$1)-1)+SUMPRODUCT(H695:K695,COLUMN($E$1:$H$1)-1))*'Line Follower'!$C$3/SUM(C695:F695,H695:K695)-'Line Follower'!$C$5)))</f>
        <v>#N/A</v>
      </c>
      <c r="O695" s="22" t="e">
        <v>#N/A</v>
      </c>
      <c r="P695" s="4" t="e">
        <f t="shared" si="50"/>
        <v>#N/A</v>
      </c>
      <c r="Q695" s="4" t="e">
        <f t="shared" si="51"/>
        <v>#N/A</v>
      </c>
      <c r="R695" s="4" t="e">
        <f>IF(AND(B695=1,N695&gt;'Line Follower'!$C$7,SUM(C695:K695)&lt;4),1,0)</f>
        <v>#N/A</v>
      </c>
      <c r="S695" s="4" t="e">
        <f>IF(AND(L695=1,N695&lt;'Line Follower'!$C$6,SUM(C695:K695)&lt;4),1,0)</f>
        <v>#N/A</v>
      </c>
      <c r="T695" s="4" t="e">
        <f t="shared" si="52"/>
        <v>#N/A</v>
      </c>
      <c r="U695" s="5" t="e">
        <f t="shared" si="53"/>
        <v>#N/A</v>
      </c>
      <c r="V695" s="23" t="e">
        <f t="shared" si="54"/>
        <v>#N/A</v>
      </c>
    </row>
    <row r="696" spans="2:22" x14ac:dyDescent="0.25">
      <c r="B696" s="16">
        <v>1</v>
      </c>
      <c r="C696" s="7">
        <v>0</v>
      </c>
      <c r="D696" s="8">
        <v>1</v>
      </c>
      <c r="E696" s="8">
        <v>0</v>
      </c>
      <c r="F696" s="8">
        <v>1</v>
      </c>
      <c r="G696" s="8">
        <v>1</v>
      </c>
      <c r="H696" s="8">
        <v>0</v>
      </c>
      <c r="I696" s="8">
        <v>1</v>
      </c>
      <c r="J696" s="8">
        <v>0</v>
      </c>
      <c r="K696" s="9">
        <v>1</v>
      </c>
      <c r="L696" s="10">
        <v>0</v>
      </c>
      <c r="M696" s="6">
        <v>0</v>
      </c>
      <c r="N696" s="37" t="e" cm="1">
        <f t="array" ref="N696">IF(OR(ISNUMBER(FIND(Aux!$D$3:$D$9,_xlfn.TEXTJOIN(,,C696:K696)))),NA(),IF(AND(SUM(C696:F696,H696:K696)=0,G696=1),0,INT((SUMPRODUCT(C696:F696,COLUMN($A$1:$D$1)-1)+SUMPRODUCT(H696:K696,COLUMN($E$1:$H$1)-1))*'Line Follower'!$C$3/SUM(C696:F696,H696:K696)-'Line Follower'!$C$5)))</f>
        <v>#N/A</v>
      </c>
      <c r="O696" s="22" t="e">
        <v>#N/A</v>
      </c>
      <c r="P696" s="4" t="e">
        <f t="shared" si="50"/>
        <v>#N/A</v>
      </c>
      <c r="Q696" s="4" t="e">
        <f t="shared" si="51"/>
        <v>#N/A</v>
      </c>
      <c r="R696" s="4" t="e">
        <f>IF(AND(B696=1,N696&gt;'Line Follower'!$C$7,SUM(C696:K696)&lt;4),1,0)</f>
        <v>#N/A</v>
      </c>
      <c r="S696" s="4" t="e">
        <f>IF(AND(L696=1,N696&lt;'Line Follower'!$C$6,SUM(C696:K696)&lt;4),1,0)</f>
        <v>#N/A</v>
      </c>
      <c r="T696" s="4" t="e">
        <f t="shared" si="52"/>
        <v>#N/A</v>
      </c>
      <c r="U696" s="5" t="e">
        <f t="shared" si="53"/>
        <v>#N/A</v>
      </c>
      <c r="V696" s="23" t="e">
        <f t="shared" si="54"/>
        <v>#N/A</v>
      </c>
    </row>
    <row r="697" spans="2:22" x14ac:dyDescent="0.25">
      <c r="B697" s="16">
        <v>0</v>
      </c>
      <c r="C697" s="7">
        <v>1</v>
      </c>
      <c r="D697" s="8">
        <v>1</v>
      </c>
      <c r="E697" s="8">
        <v>0</v>
      </c>
      <c r="F697" s="8">
        <v>1</v>
      </c>
      <c r="G697" s="8">
        <v>1</v>
      </c>
      <c r="H697" s="8">
        <v>0</v>
      </c>
      <c r="I697" s="8">
        <v>1</v>
      </c>
      <c r="J697" s="8">
        <v>0</v>
      </c>
      <c r="K697" s="9">
        <v>1</v>
      </c>
      <c r="L697" s="10">
        <v>0</v>
      </c>
      <c r="M697" s="6">
        <v>0</v>
      </c>
      <c r="N697" s="37" t="e" cm="1">
        <f t="array" ref="N697">IF(OR(ISNUMBER(FIND(Aux!$D$3:$D$9,_xlfn.TEXTJOIN(,,C697:K697)))),NA(),IF(AND(SUM(C697:F697,H697:K697)=0,G697=1),0,INT((SUMPRODUCT(C697:F697,COLUMN($A$1:$D$1)-1)+SUMPRODUCT(H697:K697,COLUMN($E$1:$H$1)-1))*'Line Follower'!$C$3/SUM(C697:F697,H697:K697)-'Line Follower'!$C$5)))</f>
        <v>#N/A</v>
      </c>
      <c r="O697" s="22" t="e">
        <v>#N/A</v>
      </c>
      <c r="P697" s="4" t="e">
        <f t="shared" si="50"/>
        <v>#N/A</v>
      </c>
      <c r="Q697" s="4" t="e">
        <f t="shared" si="51"/>
        <v>#N/A</v>
      </c>
      <c r="R697" s="4" t="e">
        <f>IF(AND(B697=1,N697&gt;'Line Follower'!$C$7,SUM(C697:K697)&lt;4),1,0)</f>
        <v>#N/A</v>
      </c>
      <c r="S697" s="4" t="e">
        <f>IF(AND(L697=1,N697&lt;'Line Follower'!$C$6,SUM(C697:K697)&lt;4),1,0)</f>
        <v>#N/A</v>
      </c>
      <c r="T697" s="4" t="e">
        <f t="shared" si="52"/>
        <v>#N/A</v>
      </c>
      <c r="U697" s="5" t="e">
        <f t="shared" si="53"/>
        <v>#N/A</v>
      </c>
      <c r="V697" s="23" t="e">
        <f t="shared" si="54"/>
        <v>#N/A</v>
      </c>
    </row>
    <row r="698" spans="2:22" x14ac:dyDescent="0.25">
      <c r="B698" s="16">
        <v>1</v>
      </c>
      <c r="C698" s="7">
        <v>1</v>
      </c>
      <c r="D698" s="8">
        <v>1</v>
      </c>
      <c r="E698" s="8">
        <v>0</v>
      </c>
      <c r="F698" s="8">
        <v>1</v>
      </c>
      <c r="G698" s="8">
        <v>1</v>
      </c>
      <c r="H698" s="8">
        <v>0</v>
      </c>
      <c r="I698" s="8">
        <v>1</v>
      </c>
      <c r="J698" s="8">
        <v>0</v>
      </c>
      <c r="K698" s="9">
        <v>1</v>
      </c>
      <c r="L698" s="10">
        <v>0</v>
      </c>
      <c r="M698" s="6">
        <v>0</v>
      </c>
      <c r="N698" s="37" t="e" cm="1">
        <f t="array" ref="N698">IF(OR(ISNUMBER(FIND(Aux!$D$3:$D$9,_xlfn.TEXTJOIN(,,C698:K698)))),NA(),IF(AND(SUM(C698:F698,H698:K698)=0,G698=1),0,INT((SUMPRODUCT(C698:F698,COLUMN($A$1:$D$1)-1)+SUMPRODUCT(H698:K698,COLUMN($E$1:$H$1)-1))*'Line Follower'!$C$3/SUM(C698:F698,H698:K698)-'Line Follower'!$C$5)))</f>
        <v>#N/A</v>
      </c>
      <c r="O698" s="22" t="e">
        <v>#N/A</v>
      </c>
      <c r="P698" s="4" t="e">
        <f t="shared" si="50"/>
        <v>#N/A</v>
      </c>
      <c r="Q698" s="4" t="e">
        <f t="shared" si="51"/>
        <v>#N/A</v>
      </c>
      <c r="R698" s="4" t="e">
        <f>IF(AND(B698=1,N698&gt;'Line Follower'!$C$7,SUM(C698:K698)&lt;4),1,0)</f>
        <v>#N/A</v>
      </c>
      <c r="S698" s="4" t="e">
        <f>IF(AND(L698=1,N698&lt;'Line Follower'!$C$6,SUM(C698:K698)&lt;4),1,0)</f>
        <v>#N/A</v>
      </c>
      <c r="T698" s="4" t="e">
        <f t="shared" si="52"/>
        <v>#N/A</v>
      </c>
      <c r="U698" s="5" t="e">
        <f t="shared" si="53"/>
        <v>#N/A</v>
      </c>
      <c r="V698" s="23" t="e">
        <f t="shared" si="54"/>
        <v>#N/A</v>
      </c>
    </row>
    <row r="699" spans="2:22" x14ac:dyDescent="0.25">
      <c r="B699" s="16">
        <v>0</v>
      </c>
      <c r="C699" s="7">
        <v>0</v>
      </c>
      <c r="D699" s="8">
        <v>0</v>
      </c>
      <c r="E699" s="8">
        <v>1</v>
      </c>
      <c r="F699" s="8">
        <v>1</v>
      </c>
      <c r="G699" s="8">
        <v>1</v>
      </c>
      <c r="H699" s="8">
        <v>0</v>
      </c>
      <c r="I699" s="8">
        <v>1</v>
      </c>
      <c r="J699" s="8">
        <v>0</v>
      </c>
      <c r="K699" s="9">
        <v>1</v>
      </c>
      <c r="L699" s="10">
        <v>0</v>
      </c>
      <c r="M699" s="6">
        <v>0</v>
      </c>
      <c r="N699" s="37" t="e" cm="1">
        <f t="array" ref="N699">IF(OR(ISNUMBER(FIND(Aux!$D$3:$D$9,_xlfn.TEXTJOIN(,,C699:K699)))),NA(),IF(AND(SUM(C699:F699,H699:K699)=0,G699=1),0,INT((SUMPRODUCT(C699:F699,COLUMN($A$1:$D$1)-1)+SUMPRODUCT(H699:K699,COLUMN($E$1:$H$1)-1))*'Line Follower'!$C$3/SUM(C699:F699,H699:K699)-'Line Follower'!$C$5)))</f>
        <v>#N/A</v>
      </c>
      <c r="O699" s="22" t="e">
        <v>#N/A</v>
      </c>
      <c r="P699" s="4" t="e">
        <f t="shared" si="50"/>
        <v>#N/A</v>
      </c>
      <c r="Q699" s="4" t="e">
        <f t="shared" si="51"/>
        <v>#N/A</v>
      </c>
      <c r="R699" s="4" t="e">
        <f>IF(AND(B699=1,N699&gt;'Line Follower'!$C$7,SUM(C699:K699)&lt;4),1,0)</f>
        <v>#N/A</v>
      </c>
      <c r="S699" s="4" t="e">
        <f>IF(AND(L699=1,N699&lt;'Line Follower'!$C$6,SUM(C699:K699)&lt;4),1,0)</f>
        <v>#N/A</v>
      </c>
      <c r="T699" s="4" t="e">
        <f t="shared" si="52"/>
        <v>#N/A</v>
      </c>
      <c r="U699" s="5" t="e">
        <f t="shared" si="53"/>
        <v>#N/A</v>
      </c>
      <c r="V699" s="23" t="e">
        <f t="shared" si="54"/>
        <v>#N/A</v>
      </c>
    </row>
    <row r="700" spans="2:22" x14ac:dyDescent="0.25">
      <c r="B700" s="16">
        <v>1</v>
      </c>
      <c r="C700" s="7">
        <v>0</v>
      </c>
      <c r="D700" s="8">
        <v>0</v>
      </c>
      <c r="E700" s="8">
        <v>1</v>
      </c>
      <c r="F700" s="8">
        <v>1</v>
      </c>
      <c r="G700" s="8">
        <v>1</v>
      </c>
      <c r="H700" s="8">
        <v>0</v>
      </c>
      <c r="I700" s="8">
        <v>1</v>
      </c>
      <c r="J700" s="8">
        <v>0</v>
      </c>
      <c r="K700" s="9">
        <v>1</v>
      </c>
      <c r="L700" s="10">
        <v>0</v>
      </c>
      <c r="M700" s="6">
        <v>0</v>
      </c>
      <c r="N700" s="37" t="e" cm="1">
        <f t="array" ref="N700">IF(OR(ISNUMBER(FIND(Aux!$D$3:$D$9,_xlfn.TEXTJOIN(,,C700:K700)))),NA(),IF(AND(SUM(C700:F700,H700:K700)=0,G700=1),0,INT((SUMPRODUCT(C700:F700,COLUMN($A$1:$D$1)-1)+SUMPRODUCT(H700:K700,COLUMN($E$1:$H$1)-1))*'Line Follower'!$C$3/SUM(C700:F700,H700:K700)-'Line Follower'!$C$5)))</f>
        <v>#N/A</v>
      </c>
      <c r="O700" s="22" t="e">
        <v>#N/A</v>
      </c>
      <c r="P700" s="4" t="e">
        <f t="shared" si="50"/>
        <v>#N/A</v>
      </c>
      <c r="Q700" s="4" t="e">
        <f t="shared" si="51"/>
        <v>#N/A</v>
      </c>
      <c r="R700" s="4" t="e">
        <f>IF(AND(B700=1,N700&gt;'Line Follower'!$C$7,SUM(C700:K700)&lt;4),1,0)</f>
        <v>#N/A</v>
      </c>
      <c r="S700" s="4" t="e">
        <f>IF(AND(L700=1,N700&lt;'Line Follower'!$C$6,SUM(C700:K700)&lt;4),1,0)</f>
        <v>#N/A</v>
      </c>
      <c r="T700" s="4" t="e">
        <f t="shared" si="52"/>
        <v>#N/A</v>
      </c>
      <c r="U700" s="5" t="e">
        <f t="shared" si="53"/>
        <v>#N/A</v>
      </c>
      <c r="V700" s="23" t="e">
        <f t="shared" si="54"/>
        <v>#N/A</v>
      </c>
    </row>
    <row r="701" spans="2:22" x14ac:dyDescent="0.25">
      <c r="B701" s="16">
        <v>0</v>
      </c>
      <c r="C701" s="7">
        <v>1</v>
      </c>
      <c r="D701" s="8">
        <v>0</v>
      </c>
      <c r="E701" s="8">
        <v>1</v>
      </c>
      <c r="F701" s="8">
        <v>1</v>
      </c>
      <c r="G701" s="8">
        <v>1</v>
      </c>
      <c r="H701" s="8">
        <v>0</v>
      </c>
      <c r="I701" s="8">
        <v>1</v>
      </c>
      <c r="J701" s="8">
        <v>0</v>
      </c>
      <c r="K701" s="9">
        <v>1</v>
      </c>
      <c r="L701" s="10">
        <v>0</v>
      </c>
      <c r="M701" s="6">
        <v>0</v>
      </c>
      <c r="N701" s="37" t="e" cm="1">
        <f t="array" ref="N701">IF(OR(ISNUMBER(FIND(Aux!$D$3:$D$9,_xlfn.TEXTJOIN(,,C701:K701)))),NA(),IF(AND(SUM(C701:F701,H701:K701)=0,G701=1),0,INT((SUMPRODUCT(C701:F701,COLUMN($A$1:$D$1)-1)+SUMPRODUCT(H701:K701,COLUMN($E$1:$H$1)-1))*'Line Follower'!$C$3/SUM(C701:F701,H701:K701)-'Line Follower'!$C$5)))</f>
        <v>#N/A</v>
      </c>
      <c r="O701" s="22" t="e">
        <v>#N/A</v>
      </c>
      <c r="P701" s="4" t="e">
        <f t="shared" si="50"/>
        <v>#N/A</v>
      </c>
      <c r="Q701" s="4" t="e">
        <f t="shared" si="51"/>
        <v>#N/A</v>
      </c>
      <c r="R701" s="4" t="e">
        <f>IF(AND(B701=1,N701&gt;'Line Follower'!$C$7,SUM(C701:K701)&lt;4),1,0)</f>
        <v>#N/A</v>
      </c>
      <c r="S701" s="4" t="e">
        <f>IF(AND(L701=1,N701&lt;'Line Follower'!$C$6,SUM(C701:K701)&lt;4),1,0)</f>
        <v>#N/A</v>
      </c>
      <c r="T701" s="4" t="e">
        <f t="shared" si="52"/>
        <v>#N/A</v>
      </c>
      <c r="U701" s="5" t="e">
        <f t="shared" si="53"/>
        <v>#N/A</v>
      </c>
      <c r="V701" s="23" t="e">
        <f t="shared" si="54"/>
        <v>#N/A</v>
      </c>
    </row>
    <row r="702" spans="2:22" x14ac:dyDescent="0.25">
      <c r="B702" s="16">
        <v>1</v>
      </c>
      <c r="C702" s="7">
        <v>1</v>
      </c>
      <c r="D702" s="8">
        <v>0</v>
      </c>
      <c r="E702" s="8">
        <v>1</v>
      </c>
      <c r="F702" s="8">
        <v>1</v>
      </c>
      <c r="G702" s="8">
        <v>1</v>
      </c>
      <c r="H702" s="8">
        <v>0</v>
      </c>
      <c r="I702" s="8">
        <v>1</v>
      </c>
      <c r="J702" s="8">
        <v>0</v>
      </c>
      <c r="K702" s="9">
        <v>1</v>
      </c>
      <c r="L702" s="10">
        <v>0</v>
      </c>
      <c r="M702" s="6">
        <v>0</v>
      </c>
      <c r="N702" s="37" t="e" cm="1">
        <f t="array" ref="N702">IF(OR(ISNUMBER(FIND(Aux!$D$3:$D$9,_xlfn.TEXTJOIN(,,C702:K702)))),NA(),IF(AND(SUM(C702:F702,H702:K702)=0,G702=1),0,INT((SUMPRODUCT(C702:F702,COLUMN($A$1:$D$1)-1)+SUMPRODUCT(H702:K702,COLUMN($E$1:$H$1)-1))*'Line Follower'!$C$3/SUM(C702:F702,H702:K702)-'Line Follower'!$C$5)))</f>
        <v>#N/A</v>
      </c>
      <c r="O702" s="22" t="e">
        <v>#N/A</v>
      </c>
      <c r="P702" s="4" t="e">
        <f t="shared" si="50"/>
        <v>#N/A</v>
      </c>
      <c r="Q702" s="4" t="e">
        <f t="shared" si="51"/>
        <v>#N/A</v>
      </c>
      <c r="R702" s="4" t="e">
        <f>IF(AND(B702=1,N702&gt;'Line Follower'!$C$7,SUM(C702:K702)&lt;4),1,0)</f>
        <v>#N/A</v>
      </c>
      <c r="S702" s="4" t="e">
        <f>IF(AND(L702=1,N702&lt;'Line Follower'!$C$6,SUM(C702:K702)&lt;4),1,0)</f>
        <v>#N/A</v>
      </c>
      <c r="T702" s="4" t="e">
        <f t="shared" si="52"/>
        <v>#N/A</v>
      </c>
      <c r="U702" s="5" t="e">
        <f t="shared" si="53"/>
        <v>#N/A</v>
      </c>
      <c r="V702" s="23" t="e">
        <f t="shared" si="54"/>
        <v>#N/A</v>
      </c>
    </row>
    <row r="703" spans="2:22" x14ac:dyDescent="0.25">
      <c r="B703" s="16">
        <v>0</v>
      </c>
      <c r="C703" s="7">
        <v>0</v>
      </c>
      <c r="D703" s="8">
        <v>1</v>
      </c>
      <c r="E703" s="8">
        <v>1</v>
      </c>
      <c r="F703" s="8">
        <v>1</v>
      </c>
      <c r="G703" s="8">
        <v>1</v>
      </c>
      <c r="H703" s="8">
        <v>0</v>
      </c>
      <c r="I703" s="8">
        <v>1</v>
      </c>
      <c r="J703" s="8">
        <v>0</v>
      </c>
      <c r="K703" s="9">
        <v>1</v>
      </c>
      <c r="L703" s="10">
        <v>0</v>
      </c>
      <c r="M703" s="6">
        <v>0</v>
      </c>
      <c r="N703" s="37" t="e" cm="1">
        <f t="array" ref="N703">IF(OR(ISNUMBER(FIND(Aux!$D$3:$D$9,_xlfn.TEXTJOIN(,,C703:K703)))),NA(),IF(AND(SUM(C703:F703,H703:K703)=0,G703=1),0,INT((SUMPRODUCT(C703:F703,COLUMN($A$1:$D$1)-1)+SUMPRODUCT(H703:K703,COLUMN($E$1:$H$1)-1))*'Line Follower'!$C$3/SUM(C703:F703,H703:K703)-'Line Follower'!$C$5)))</f>
        <v>#N/A</v>
      </c>
      <c r="O703" s="22" t="e">
        <v>#N/A</v>
      </c>
      <c r="P703" s="4" t="e">
        <f t="shared" si="50"/>
        <v>#N/A</v>
      </c>
      <c r="Q703" s="4" t="e">
        <f t="shared" si="51"/>
        <v>#N/A</v>
      </c>
      <c r="R703" s="4" t="e">
        <f>IF(AND(B703=1,N703&gt;'Line Follower'!$C$7,SUM(C703:K703)&lt;4),1,0)</f>
        <v>#N/A</v>
      </c>
      <c r="S703" s="4" t="e">
        <f>IF(AND(L703=1,N703&lt;'Line Follower'!$C$6,SUM(C703:K703)&lt;4),1,0)</f>
        <v>#N/A</v>
      </c>
      <c r="T703" s="4" t="e">
        <f t="shared" si="52"/>
        <v>#N/A</v>
      </c>
      <c r="U703" s="5" t="e">
        <f t="shared" si="53"/>
        <v>#N/A</v>
      </c>
      <c r="V703" s="23" t="e">
        <f t="shared" si="54"/>
        <v>#N/A</v>
      </c>
    </row>
    <row r="704" spans="2:22" x14ac:dyDescent="0.25">
      <c r="B704" s="16">
        <v>1</v>
      </c>
      <c r="C704" s="7">
        <v>0</v>
      </c>
      <c r="D704" s="8">
        <v>1</v>
      </c>
      <c r="E704" s="8">
        <v>1</v>
      </c>
      <c r="F704" s="8">
        <v>1</v>
      </c>
      <c r="G704" s="8">
        <v>1</v>
      </c>
      <c r="H704" s="8">
        <v>0</v>
      </c>
      <c r="I704" s="8">
        <v>1</v>
      </c>
      <c r="J704" s="8">
        <v>0</v>
      </c>
      <c r="K704" s="9">
        <v>1</v>
      </c>
      <c r="L704" s="10">
        <v>0</v>
      </c>
      <c r="M704" s="6">
        <v>0</v>
      </c>
      <c r="N704" s="37" t="e" cm="1">
        <f t="array" ref="N704">IF(OR(ISNUMBER(FIND(Aux!$D$3:$D$9,_xlfn.TEXTJOIN(,,C704:K704)))),NA(),IF(AND(SUM(C704:F704,H704:K704)=0,G704=1),0,INT((SUMPRODUCT(C704:F704,COLUMN($A$1:$D$1)-1)+SUMPRODUCT(H704:K704,COLUMN($E$1:$H$1)-1))*'Line Follower'!$C$3/SUM(C704:F704,H704:K704)-'Line Follower'!$C$5)))</f>
        <v>#N/A</v>
      </c>
      <c r="O704" s="22" t="e">
        <v>#N/A</v>
      </c>
      <c r="P704" s="4" t="e">
        <f t="shared" si="50"/>
        <v>#N/A</v>
      </c>
      <c r="Q704" s="4" t="e">
        <f t="shared" si="51"/>
        <v>#N/A</v>
      </c>
      <c r="R704" s="4" t="e">
        <f>IF(AND(B704=1,N704&gt;'Line Follower'!$C$7,SUM(C704:K704)&lt;4),1,0)</f>
        <v>#N/A</v>
      </c>
      <c r="S704" s="4" t="e">
        <f>IF(AND(L704=1,N704&lt;'Line Follower'!$C$6,SUM(C704:K704)&lt;4),1,0)</f>
        <v>#N/A</v>
      </c>
      <c r="T704" s="4" t="e">
        <f t="shared" si="52"/>
        <v>#N/A</v>
      </c>
      <c r="U704" s="5" t="e">
        <f t="shared" si="53"/>
        <v>#N/A</v>
      </c>
      <c r="V704" s="23" t="e">
        <f t="shared" si="54"/>
        <v>#N/A</v>
      </c>
    </row>
    <row r="705" spans="2:22" x14ac:dyDescent="0.25">
      <c r="B705" s="16">
        <v>0</v>
      </c>
      <c r="C705" s="7">
        <v>1</v>
      </c>
      <c r="D705" s="8">
        <v>1</v>
      </c>
      <c r="E705" s="8">
        <v>1</v>
      </c>
      <c r="F705" s="8">
        <v>1</v>
      </c>
      <c r="G705" s="8">
        <v>1</v>
      </c>
      <c r="H705" s="8">
        <v>0</v>
      </c>
      <c r="I705" s="8">
        <v>1</v>
      </c>
      <c r="J705" s="8">
        <v>0</v>
      </c>
      <c r="K705" s="9">
        <v>1</v>
      </c>
      <c r="L705" s="10">
        <v>0</v>
      </c>
      <c r="M705" s="6">
        <v>0</v>
      </c>
      <c r="N705" s="37" t="e" cm="1">
        <f t="array" ref="N705">IF(OR(ISNUMBER(FIND(Aux!$D$3:$D$9,_xlfn.TEXTJOIN(,,C705:K705)))),NA(),IF(AND(SUM(C705:F705,H705:K705)=0,G705=1),0,INT((SUMPRODUCT(C705:F705,COLUMN($A$1:$D$1)-1)+SUMPRODUCT(H705:K705,COLUMN($E$1:$H$1)-1))*'Line Follower'!$C$3/SUM(C705:F705,H705:K705)-'Line Follower'!$C$5)))</f>
        <v>#N/A</v>
      </c>
      <c r="O705" s="22" t="e">
        <v>#N/A</v>
      </c>
      <c r="P705" s="4" t="e">
        <f t="shared" si="50"/>
        <v>#N/A</v>
      </c>
      <c r="Q705" s="4" t="e">
        <f t="shared" si="51"/>
        <v>#N/A</v>
      </c>
      <c r="R705" s="4" t="e">
        <f>IF(AND(B705=1,N705&gt;'Line Follower'!$C$7,SUM(C705:K705)&lt;4),1,0)</f>
        <v>#N/A</v>
      </c>
      <c r="S705" s="4" t="e">
        <f>IF(AND(L705=1,N705&lt;'Line Follower'!$C$6,SUM(C705:K705)&lt;4),1,0)</f>
        <v>#N/A</v>
      </c>
      <c r="T705" s="4" t="e">
        <f t="shared" si="52"/>
        <v>#N/A</v>
      </c>
      <c r="U705" s="5" t="e">
        <f t="shared" si="53"/>
        <v>#N/A</v>
      </c>
      <c r="V705" s="23" t="e">
        <f t="shared" si="54"/>
        <v>#N/A</v>
      </c>
    </row>
    <row r="706" spans="2:22" x14ac:dyDescent="0.25">
      <c r="B706" s="16">
        <v>1</v>
      </c>
      <c r="C706" s="7">
        <v>1</v>
      </c>
      <c r="D706" s="8">
        <v>1</v>
      </c>
      <c r="E706" s="8">
        <v>1</v>
      </c>
      <c r="F706" s="8">
        <v>1</v>
      </c>
      <c r="G706" s="8">
        <v>1</v>
      </c>
      <c r="H706" s="8">
        <v>0</v>
      </c>
      <c r="I706" s="8">
        <v>1</v>
      </c>
      <c r="J706" s="8">
        <v>0</v>
      </c>
      <c r="K706" s="9">
        <v>1</v>
      </c>
      <c r="L706" s="10">
        <v>0</v>
      </c>
      <c r="M706" s="6">
        <v>0</v>
      </c>
      <c r="N706" s="37" t="e" cm="1">
        <f t="array" ref="N706">IF(OR(ISNUMBER(FIND(Aux!$D$3:$D$9,_xlfn.TEXTJOIN(,,C706:K706)))),NA(),IF(AND(SUM(C706:F706,H706:K706)=0,G706=1),0,INT((SUMPRODUCT(C706:F706,COLUMN($A$1:$D$1)-1)+SUMPRODUCT(H706:K706,COLUMN($E$1:$H$1)-1))*'Line Follower'!$C$3/SUM(C706:F706,H706:K706)-'Line Follower'!$C$5)))</f>
        <v>#N/A</v>
      </c>
      <c r="O706" s="22" t="e">
        <v>#N/A</v>
      </c>
      <c r="P706" s="4" t="e">
        <f t="shared" si="50"/>
        <v>#N/A</v>
      </c>
      <c r="Q706" s="4" t="e">
        <f t="shared" si="51"/>
        <v>#N/A</v>
      </c>
      <c r="R706" s="4" t="e">
        <f>IF(AND(B706=1,N706&gt;'Line Follower'!$C$7,SUM(C706:K706)&lt;4),1,0)</f>
        <v>#N/A</v>
      </c>
      <c r="S706" s="4" t="e">
        <f>IF(AND(L706=1,N706&lt;'Line Follower'!$C$6,SUM(C706:K706)&lt;4),1,0)</f>
        <v>#N/A</v>
      </c>
      <c r="T706" s="4" t="e">
        <f t="shared" si="52"/>
        <v>#N/A</v>
      </c>
      <c r="U706" s="5" t="e">
        <f t="shared" si="53"/>
        <v>#N/A</v>
      </c>
      <c r="V706" s="23" t="e">
        <f t="shared" si="54"/>
        <v>#N/A</v>
      </c>
    </row>
    <row r="707" spans="2:22" x14ac:dyDescent="0.25">
      <c r="B707" s="16">
        <v>0</v>
      </c>
      <c r="C707" s="7">
        <v>0</v>
      </c>
      <c r="D707" s="8">
        <v>0</v>
      </c>
      <c r="E707" s="8">
        <v>0</v>
      </c>
      <c r="F707" s="8">
        <v>0</v>
      </c>
      <c r="G707" s="8">
        <v>0</v>
      </c>
      <c r="H707" s="8">
        <v>1</v>
      </c>
      <c r="I707" s="8">
        <v>1</v>
      </c>
      <c r="J707" s="8">
        <v>0</v>
      </c>
      <c r="K707" s="9">
        <v>1</v>
      </c>
      <c r="L707" s="10">
        <v>0</v>
      </c>
      <c r="M707" s="6">
        <v>0</v>
      </c>
      <c r="N707" s="37" t="e" cm="1">
        <f t="array" ref="N707">IF(OR(ISNUMBER(FIND(Aux!$D$3:$D$9,_xlfn.TEXTJOIN(,,C707:K707)))),NA(),IF(AND(SUM(C707:F707,H707:K707)=0,G707=1),0,INT((SUMPRODUCT(C707:F707,COLUMN($A$1:$D$1)-1)+SUMPRODUCT(H707:K707,COLUMN($E$1:$H$1)-1))*'Line Follower'!$C$3/SUM(C707:F707,H707:K707)-'Line Follower'!$C$5)))</f>
        <v>#N/A</v>
      </c>
      <c r="O707" s="22" t="e">
        <v>#N/A</v>
      </c>
      <c r="P707" s="4" t="e">
        <f t="shared" ref="P707:P770" si="55">IF(AND(N707=0,G707=1,M707=1),1,0)</f>
        <v>#N/A</v>
      </c>
      <c r="Q707" s="4" t="e">
        <f t="shared" ref="Q707:Q770" si="56">IF(ISERROR(N707),N707,IF(SUM(C707:K707)&gt;=4,1,0))</f>
        <v>#N/A</v>
      </c>
      <c r="R707" s="4" t="e">
        <f>IF(AND(B707=1,N707&gt;'Line Follower'!$C$7,SUM(C707:K707)&lt;4),1,0)</f>
        <v>#N/A</v>
      </c>
      <c r="S707" s="4" t="e">
        <f>IF(AND(L707=1,N707&lt;'Line Follower'!$C$6,SUM(C707:K707)&lt;4),1,0)</f>
        <v>#N/A</v>
      </c>
      <c r="T707" s="4" t="e">
        <f t="shared" si="52"/>
        <v>#N/A</v>
      </c>
      <c r="U707" s="5" t="e">
        <f t="shared" si="53"/>
        <v>#N/A</v>
      </c>
      <c r="V707" s="23" t="e">
        <f t="shared" si="54"/>
        <v>#N/A</v>
      </c>
    </row>
    <row r="708" spans="2:22" x14ac:dyDescent="0.25">
      <c r="B708" s="16">
        <v>1</v>
      </c>
      <c r="C708" s="7">
        <v>0</v>
      </c>
      <c r="D708" s="8">
        <v>0</v>
      </c>
      <c r="E708" s="8">
        <v>0</v>
      </c>
      <c r="F708" s="8">
        <v>0</v>
      </c>
      <c r="G708" s="8">
        <v>0</v>
      </c>
      <c r="H708" s="8">
        <v>1</v>
      </c>
      <c r="I708" s="8">
        <v>1</v>
      </c>
      <c r="J708" s="8">
        <v>0</v>
      </c>
      <c r="K708" s="9">
        <v>1</v>
      </c>
      <c r="L708" s="10">
        <v>0</v>
      </c>
      <c r="M708" s="6">
        <v>0</v>
      </c>
      <c r="N708" s="37" t="e" cm="1">
        <f t="array" ref="N708">IF(OR(ISNUMBER(FIND(Aux!$D$3:$D$9,_xlfn.TEXTJOIN(,,C708:K708)))),NA(),IF(AND(SUM(C708:F708,H708:K708)=0,G708=1),0,INT((SUMPRODUCT(C708:F708,COLUMN($A$1:$D$1)-1)+SUMPRODUCT(H708:K708,COLUMN($E$1:$H$1)-1))*'Line Follower'!$C$3/SUM(C708:F708,H708:K708)-'Line Follower'!$C$5)))</f>
        <v>#N/A</v>
      </c>
      <c r="O708" s="22" t="e">
        <v>#N/A</v>
      </c>
      <c r="P708" s="4" t="e">
        <f t="shared" si="55"/>
        <v>#N/A</v>
      </c>
      <c r="Q708" s="4" t="e">
        <f t="shared" si="56"/>
        <v>#N/A</v>
      </c>
      <c r="R708" s="4" t="e">
        <f>IF(AND(B708=1,N708&gt;'Line Follower'!$C$7,SUM(C708:K708)&lt;4),1,0)</f>
        <v>#N/A</v>
      </c>
      <c r="S708" s="4" t="e">
        <f>IF(AND(L708=1,N708&lt;'Line Follower'!$C$6,SUM(C708:K708)&lt;4),1,0)</f>
        <v>#N/A</v>
      </c>
      <c r="T708" s="4" t="e">
        <f t="shared" ref="T708:T771" si="57">IF(ISNA(N708),NA(),IF(SUM(C708:L708)=0,1,0))</f>
        <v>#N/A</v>
      </c>
      <c r="U708" s="5" t="e">
        <f t="shared" ref="U708:U771" si="58">IF(ISNA(N708),NA(),IF(SUM(B708:K708)=0,1,0))</f>
        <v>#N/A</v>
      </c>
      <c r="V708" s="23" t="e">
        <f t="shared" ref="V708:V771" si="59">IF(ISNA(N708),NA(),IF(SUM(B708:L708)=0,1,0))</f>
        <v>#N/A</v>
      </c>
    </row>
    <row r="709" spans="2:22" x14ac:dyDescent="0.25">
      <c r="B709" s="16">
        <v>0</v>
      </c>
      <c r="C709" s="7">
        <v>1</v>
      </c>
      <c r="D709" s="8">
        <v>0</v>
      </c>
      <c r="E709" s="8">
        <v>0</v>
      </c>
      <c r="F709" s="8">
        <v>0</v>
      </c>
      <c r="G709" s="8">
        <v>0</v>
      </c>
      <c r="H709" s="8">
        <v>1</v>
      </c>
      <c r="I709" s="8">
        <v>1</v>
      </c>
      <c r="J709" s="8">
        <v>0</v>
      </c>
      <c r="K709" s="9">
        <v>1</v>
      </c>
      <c r="L709" s="10">
        <v>0</v>
      </c>
      <c r="M709" s="6">
        <v>0</v>
      </c>
      <c r="N709" s="37" t="e" cm="1">
        <f t="array" ref="N709">IF(OR(ISNUMBER(FIND(Aux!$D$3:$D$9,_xlfn.TEXTJOIN(,,C709:K709)))),NA(),IF(AND(SUM(C709:F709,H709:K709)=0,G709=1),0,INT((SUMPRODUCT(C709:F709,COLUMN($A$1:$D$1)-1)+SUMPRODUCT(H709:K709,COLUMN($E$1:$H$1)-1))*'Line Follower'!$C$3/SUM(C709:F709,H709:K709)-'Line Follower'!$C$5)))</f>
        <v>#N/A</v>
      </c>
      <c r="O709" s="22" t="e">
        <v>#N/A</v>
      </c>
      <c r="P709" s="4" t="e">
        <f t="shared" si="55"/>
        <v>#N/A</v>
      </c>
      <c r="Q709" s="4" t="e">
        <f t="shared" si="56"/>
        <v>#N/A</v>
      </c>
      <c r="R709" s="4" t="e">
        <f>IF(AND(B709=1,N709&gt;'Line Follower'!$C$7,SUM(C709:K709)&lt;4),1,0)</f>
        <v>#N/A</v>
      </c>
      <c r="S709" s="4" t="e">
        <f>IF(AND(L709=1,N709&lt;'Line Follower'!$C$6,SUM(C709:K709)&lt;4),1,0)</f>
        <v>#N/A</v>
      </c>
      <c r="T709" s="4" t="e">
        <f t="shared" si="57"/>
        <v>#N/A</v>
      </c>
      <c r="U709" s="5" t="e">
        <f t="shared" si="58"/>
        <v>#N/A</v>
      </c>
      <c r="V709" s="23" t="e">
        <f t="shared" si="59"/>
        <v>#N/A</v>
      </c>
    </row>
    <row r="710" spans="2:22" x14ac:dyDescent="0.25">
      <c r="B710" s="16">
        <v>1</v>
      </c>
      <c r="C710" s="7">
        <v>1</v>
      </c>
      <c r="D710" s="8">
        <v>0</v>
      </c>
      <c r="E710" s="8">
        <v>0</v>
      </c>
      <c r="F710" s="8">
        <v>0</v>
      </c>
      <c r="G710" s="8">
        <v>0</v>
      </c>
      <c r="H710" s="8">
        <v>1</v>
      </c>
      <c r="I710" s="8">
        <v>1</v>
      </c>
      <c r="J710" s="8">
        <v>0</v>
      </c>
      <c r="K710" s="9">
        <v>1</v>
      </c>
      <c r="L710" s="10">
        <v>0</v>
      </c>
      <c r="M710" s="6">
        <v>0</v>
      </c>
      <c r="N710" s="37" t="e" cm="1">
        <f t="array" ref="N710">IF(OR(ISNUMBER(FIND(Aux!$D$3:$D$9,_xlfn.TEXTJOIN(,,C710:K710)))),NA(),IF(AND(SUM(C710:F710,H710:K710)=0,G710=1),0,INT((SUMPRODUCT(C710:F710,COLUMN($A$1:$D$1)-1)+SUMPRODUCT(H710:K710,COLUMN($E$1:$H$1)-1))*'Line Follower'!$C$3/SUM(C710:F710,H710:K710)-'Line Follower'!$C$5)))</f>
        <v>#N/A</v>
      </c>
      <c r="O710" s="22" t="e">
        <v>#N/A</v>
      </c>
      <c r="P710" s="4" t="e">
        <f t="shared" si="55"/>
        <v>#N/A</v>
      </c>
      <c r="Q710" s="4" t="e">
        <f t="shared" si="56"/>
        <v>#N/A</v>
      </c>
      <c r="R710" s="4" t="e">
        <f>IF(AND(B710=1,N710&gt;'Line Follower'!$C$7,SUM(C710:K710)&lt;4),1,0)</f>
        <v>#N/A</v>
      </c>
      <c r="S710" s="4" t="e">
        <f>IF(AND(L710=1,N710&lt;'Line Follower'!$C$6,SUM(C710:K710)&lt;4),1,0)</f>
        <v>#N/A</v>
      </c>
      <c r="T710" s="4" t="e">
        <f t="shared" si="57"/>
        <v>#N/A</v>
      </c>
      <c r="U710" s="5" t="e">
        <f t="shared" si="58"/>
        <v>#N/A</v>
      </c>
      <c r="V710" s="23" t="e">
        <f t="shared" si="59"/>
        <v>#N/A</v>
      </c>
    </row>
    <row r="711" spans="2:22" x14ac:dyDescent="0.25">
      <c r="B711" s="16">
        <v>0</v>
      </c>
      <c r="C711" s="7">
        <v>0</v>
      </c>
      <c r="D711" s="8">
        <v>1</v>
      </c>
      <c r="E711" s="8">
        <v>0</v>
      </c>
      <c r="F711" s="8">
        <v>0</v>
      </c>
      <c r="G711" s="8">
        <v>0</v>
      </c>
      <c r="H711" s="8">
        <v>1</v>
      </c>
      <c r="I711" s="8">
        <v>1</v>
      </c>
      <c r="J711" s="8">
        <v>0</v>
      </c>
      <c r="K711" s="9">
        <v>1</v>
      </c>
      <c r="L711" s="10">
        <v>0</v>
      </c>
      <c r="M711" s="6">
        <v>0</v>
      </c>
      <c r="N711" s="37" t="e" cm="1">
        <f t="array" ref="N711">IF(OR(ISNUMBER(FIND(Aux!$D$3:$D$9,_xlfn.TEXTJOIN(,,C711:K711)))),NA(),IF(AND(SUM(C711:F711,H711:K711)=0,G711=1),0,INT((SUMPRODUCT(C711:F711,COLUMN($A$1:$D$1)-1)+SUMPRODUCT(H711:K711,COLUMN($E$1:$H$1)-1))*'Line Follower'!$C$3/SUM(C711:F711,H711:K711)-'Line Follower'!$C$5)))</f>
        <v>#N/A</v>
      </c>
      <c r="O711" s="22" t="e">
        <v>#N/A</v>
      </c>
      <c r="P711" s="4" t="e">
        <f t="shared" si="55"/>
        <v>#N/A</v>
      </c>
      <c r="Q711" s="4" t="e">
        <f t="shared" si="56"/>
        <v>#N/A</v>
      </c>
      <c r="R711" s="4" t="e">
        <f>IF(AND(B711=1,N711&gt;'Line Follower'!$C$7,SUM(C711:K711)&lt;4),1,0)</f>
        <v>#N/A</v>
      </c>
      <c r="S711" s="4" t="e">
        <f>IF(AND(L711=1,N711&lt;'Line Follower'!$C$6,SUM(C711:K711)&lt;4),1,0)</f>
        <v>#N/A</v>
      </c>
      <c r="T711" s="4" t="e">
        <f t="shared" si="57"/>
        <v>#N/A</v>
      </c>
      <c r="U711" s="5" t="e">
        <f t="shared" si="58"/>
        <v>#N/A</v>
      </c>
      <c r="V711" s="23" t="e">
        <f t="shared" si="59"/>
        <v>#N/A</v>
      </c>
    </row>
    <row r="712" spans="2:22" x14ac:dyDescent="0.25">
      <c r="B712" s="16">
        <v>1</v>
      </c>
      <c r="C712" s="7">
        <v>0</v>
      </c>
      <c r="D712" s="8">
        <v>1</v>
      </c>
      <c r="E712" s="8">
        <v>0</v>
      </c>
      <c r="F712" s="8">
        <v>0</v>
      </c>
      <c r="G712" s="8">
        <v>0</v>
      </c>
      <c r="H712" s="8">
        <v>1</v>
      </c>
      <c r="I712" s="8">
        <v>1</v>
      </c>
      <c r="J712" s="8">
        <v>0</v>
      </c>
      <c r="K712" s="9">
        <v>1</v>
      </c>
      <c r="L712" s="10">
        <v>0</v>
      </c>
      <c r="M712" s="6">
        <v>0</v>
      </c>
      <c r="N712" s="37" t="e" cm="1">
        <f t="array" ref="N712">IF(OR(ISNUMBER(FIND(Aux!$D$3:$D$9,_xlfn.TEXTJOIN(,,C712:K712)))),NA(),IF(AND(SUM(C712:F712,H712:K712)=0,G712=1),0,INT((SUMPRODUCT(C712:F712,COLUMN($A$1:$D$1)-1)+SUMPRODUCT(H712:K712,COLUMN($E$1:$H$1)-1))*'Line Follower'!$C$3/SUM(C712:F712,H712:K712)-'Line Follower'!$C$5)))</f>
        <v>#N/A</v>
      </c>
      <c r="O712" s="22" t="e">
        <v>#N/A</v>
      </c>
      <c r="P712" s="4" t="e">
        <f t="shared" si="55"/>
        <v>#N/A</v>
      </c>
      <c r="Q712" s="4" t="e">
        <f t="shared" si="56"/>
        <v>#N/A</v>
      </c>
      <c r="R712" s="4" t="e">
        <f>IF(AND(B712=1,N712&gt;'Line Follower'!$C$7,SUM(C712:K712)&lt;4),1,0)</f>
        <v>#N/A</v>
      </c>
      <c r="S712" s="4" t="e">
        <f>IF(AND(L712=1,N712&lt;'Line Follower'!$C$6,SUM(C712:K712)&lt;4),1,0)</f>
        <v>#N/A</v>
      </c>
      <c r="T712" s="4" t="e">
        <f t="shared" si="57"/>
        <v>#N/A</v>
      </c>
      <c r="U712" s="5" t="e">
        <f t="shared" si="58"/>
        <v>#N/A</v>
      </c>
      <c r="V712" s="23" t="e">
        <f t="shared" si="59"/>
        <v>#N/A</v>
      </c>
    </row>
    <row r="713" spans="2:22" x14ac:dyDescent="0.25">
      <c r="B713" s="16">
        <v>0</v>
      </c>
      <c r="C713" s="7">
        <v>1</v>
      </c>
      <c r="D713" s="8">
        <v>1</v>
      </c>
      <c r="E713" s="8">
        <v>0</v>
      </c>
      <c r="F713" s="8">
        <v>0</v>
      </c>
      <c r="G713" s="8">
        <v>0</v>
      </c>
      <c r="H713" s="8">
        <v>1</v>
      </c>
      <c r="I713" s="8">
        <v>1</v>
      </c>
      <c r="J713" s="8">
        <v>0</v>
      </c>
      <c r="K713" s="9">
        <v>1</v>
      </c>
      <c r="L713" s="10">
        <v>0</v>
      </c>
      <c r="M713" s="6">
        <v>0</v>
      </c>
      <c r="N713" s="37" t="e" cm="1">
        <f t="array" ref="N713">IF(OR(ISNUMBER(FIND(Aux!$D$3:$D$9,_xlfn.TEXTJOIN(,,C713:K713)))),NA(),IF(AND(SUM(C713:F713,H713:K713)=0,G713=1),0,INT((SUMPRODUCT(C713:F713,COLUMN($A$1:$D$1)-1)+SUMPRODUCT(H713:K713,COLUMN($E$1:$H$1)-1))*'Line Follower'!$C$3/SUM(C713:F713,H713:K713)-'Line Follower'!$C$5)))</f>
        <v>#N/A</v>
      </c>
      <c r="O713" s="22" t="e">
        <v>#N/A</v>
      </c>
      <c r="P713" s="4" t="e">
        <f t="shared" si="55"/>
        <v>#N/A</v>
      </c>
      <c r="Q713" s="4" t="e">
        <f t="shared" si="56"/>
        <v>#N/A</v>
      </c>
      <c r="R713" s="4" t="e">
        <f>IF(AND(B713=1,N713&gt;'Line Follower'!$C$7,SUM(C713:K713)&lt;4),1,0)</f>
        <v>#N/A</v>
      </c>
      <c r="S713" s="4" t="e">
        <f>IF(AND(L713=1,N713&lt;'Line Follower'!$C$6,SUM(C713:K713)&lt;4),1,0)</f>
        <v>#N/A</v>
      </c>
      <c r="T713" s="4" t="e">
        <f t="shared" si="57"/>
        <v>#N/A</v>
      </c>
      <c r="U713" s="5" t="e">
        <f t="shared" si="58"/>
        <v>#N/A</v>
      </c>
      <c r="V713" s="23" t="e">
        <f t="shared" si="59"/>
        <v>#N/A</v>
      </c>
    </row>
    <row r="714" spans="2:22" x14ac:dyDescent="0.25">
      <c r="B714" s="16">
        <v>1</v>
      </c>
      <c r="C714" s="7">
        <v>1</v>
      </c>
      <c r="D714" s="8">
        <v>1</v>
      </c>
      <c r="E714" s="8">
        <v>0</v>
      </c>
      <c r="F714" s="8">
        <v>0</v>
      </c>
      <c r="G714" s="8">
        <v>0</v>
      </c>
      <c r="H714" s="8">
        <v>1</v>
      </c>
      <c r="I714" s="8">
        <v>1</v>
      </c>
      <c r="J714" s="8">
        <v>0</v>
      </c>
      <c r="K714" s="9">
        <v>1</v>
      </c>
      <c r="L714" s="10">
        <v>0</v>
      </c>
      <c r="M714" s="6">
        <v>0</v>
      </c>
      <c r="N714" s="37" t="e" cm="1">
        <f t="array" ref="N714">IF(OR(ISNUMBER(FIND(Aux!$D$3:$D$9,_xlfn.TEXTJOIN(,,C714:K714)))),NA(),IF(AND(SUM(C714:F714,H714:K714)=0,G714=1),0,INT((SUMPRODUCT(C714:F714,COLUMN($A$1:$D$1)-1)+SUMPRODUCT(H714:K714,COLUMN($E$1:$H$1)-1))*'Line Follower'!$C$3/SUM(C714:F714,H714:K714)-'Line Follower'!$C$5)))</f>
        <v>#N/A</v>
      </c>
      <c r="O714" s="22" t="e">
        <v>#N/A</v>
      </c>
      <c r="P714" s="4" t="e">
        <f t="shared" si="55"/>
        <v>#N/A</v>
      </c>
      <c r="Q714" s="4" t="e">
        <f t="shared" si="56"/>
        <v>#N/A</v>
      </c>
      <c r="R714" s="4" t="e">
        <f>IF(AND(B714=1,N714&gt;'Line Follower'!$C$7,SUM(C714:K714)&lt;4),1,0)</f>
        <v>#N/A</v>
      </c>
      <c r="S714" s="4" t="e">
        <f>IF(AND(L714=1,N714&lt;'Line Follower'!$C$6,SUM(C714:K714)&lt;4),1,0)</f>
        <v>#N/A</v>
      </c>
      <c r="T714" s="4" t="e">
        <f t="shared" si="57"/>
        <v>#N/A</v>
      </c>
      <c r="U714" s="5" t="e">
        <f t="shared" si="58"/>
        <v>#N/A</v>
      </c>
      <c r="V714" s="23" t="e">
        <f t="shared" si="59"/>
        <v>#N/A</v>
      </c>
    </row>
    <row r="715" spans="2:22" x14ac:dyDescent="0.25">
      <c r="B715" s="16">
        <v>0</v>
      </c>
      <c r="C715" s="7">
        <v>0</v>
      </c>
      <c r="D715" s="8">
        <v>0</v>
      </c>
      <c r="E715" s="8">
        <v>1</v>
      </c>
      <c r="F715" s="8">
        <v>0</v>
      </c>
      <c r="G715" s="8">
        <v>0</v>
      </c>
      <c r="H715" s="8">
        <v>1</v>
      </c>
      <c r="I715" s="8">
        <v>1</v>
      </c>
      <c r="J715" s="8">
        <v>0</v>
      </c>
      <c r="K715" s="9">
        <v>1</v>
      </c>
      <c r="L715" s="10">
        <v>0</v>
      </c>
      <c r="M715" s="6">
        <v>0</v>
      </c>
      <c r="N715" s="37" t="e" cm="1">
        <f t="array" ref="N715">IF(OR(ISNUMBER(FIND(Aux!$D$3:$D$9,_xlfn.TEXTJOIN(,,C715:K715)))),NA(),IF(AND(SUM(C715:F715,H715:K715)=0,G715=1),0,INT((SUMPRODUCT(C715:F715,COLUMN($A$1:$D$1)-1)+SUMPRODUCT(H715:K715,COLUMN($E$1:$H$1)-1))*'Line Follower'!$C$3/SUM(C715:F715,H715:K715)-'Line Follower'!$C$5)))</f>
        <v>#N/A</v>
      </c>
      <c r="O715" s="22" t="e">
        <v>#N/A</v>
      </c>
      <c r="P715" s="4" t="e">
        <f t="shared" si="55"/>
        <v>#N/A</v>
      </c>
      <c r="Q715" s="4" t="e">
        <f t="shared" si="56"/>
        <v>#N/A</v>
      </c>
      <c r="R715" s="4" t="e">
        <f>IF(AND(B715=1,N715&gt;'Line Follower'!$C$7,SUM(C715:K715)&lt;4),1,0)</f>
        <v>#N/A</v>
      </c>
      <c r="S715" s="4" t="e">
        <f>IF(AND(L715=1,N715&lt;'Line Follower'!$C$6,SUM(C715:K715)&lt;4),1,0)</f>
        <v>#N/A</v>
      </c>
      <c r="T715" s="4" t="e">
        <f t="shared" si="57"/>
        <v>#N/A</v>
      </c>
      <c r="U715" s="5" t="e">
        <f t="shared" si="58"/>
        <v>#N/A</v>
      </c>
      <c r="V715" s="23" t="e">
        <f t="shared" si="59"/>
        <v>#N/A</v>
      </c>
    </row>
    <row r="716" spans="2:22" x14ac:dyDescent="0.25">
      <c r="B716" s="16">
        <v>1</v>
      </c>
      <c r="C716" s="7">
        <v>0</v>
      </c>
      <c r="D716" s="8">
        <v>0</v>
      </c>
      <c r="E716" s="8">
        <v>1</v>
      </c>
      <c r="F716" s="8">
        <v>0</v>
      </c>
      <c r="G716" s="8">
        <v>0</v>
      </c>
      <c r="H716" s="8">
        <v>1</v>
      </c>
      <c r="I716" s="8">
        <v>1</v>
      </c>
      <c r="J716" s="8">
        <v>0</v>
      </c>
      <c r="K716" s="9">
        <v>1</v>
      </c>
      <c r="L716" s="10">
        <v>0</v>
      </c>
      <c r="M716" s="6">
        <v>0</v>
      </c>
      <c r="N716" s="37" t="e" cm="1">
        <f t="array" ref="N716">IF(OR(ISNUMBER(FIND(Aux!$D$3:$D$9,_xlfn.TEXTJOIN(,,C716:K716)))),NA(),IF(AND(SUM(C716:F716,H716:K716)=0,G716=1),0,INT((SUMPRODUCT(C716:F716,COLUMN($A$1:$D$1)-1)+SUMPRODUCT(H716:K716,COLUMN($E$1:$H$1)-1))*'Line Follower'!$C$3/SUM(C716:F716,H716:K716)-'Line Follower'!$C$5)))</f>
        <v>#N/A</v>
      </c>
      <c r="O716" s="22" t="e">
        <v>#N/A</v>
      </c>
      <c r="P716" s="4" t="e">
        <f t="shared" si="55"/>
        <v>#N/A</v>
      </c>
      <c r="Q716" s="4" t="e">
        <f t="shared" si="56"/>
        <v>#N/A</v>
      </c>
      <c r="R716" s="4" t="e">
        <f>IF(AND(B716=1,N716&gt;'Line Follower'!$C$7,SUM(C716:K716)&lt;4),1,0)</f>
        <v>#N/A</v>
      </c>
      <c r="S716" s="4" t="e">
        <f>IF(AND(L716=1,N716&lt;'Line Follower'!$C$6,SUM(C716:K716)&lt;4),1,0)</f>
        <v>#N/A</v>
      </c>
      <c r="T716" s="4" t="e">
        <f t="shared" si="57"/>
        <v>#N/A</v>
      </c>
      <c r="U716" s="5" t="e">
        <f t="shared" si="58"/>
        <v>#N/A</v>
      </c>
      <c r="V716" s="23" t="e">
        <f t="shared" si="59"/>
        <v>#N/A</v>
      </c>
    </row>
    <row r="717" spans="2:22" x14ac:dyDescent="0.25">
      <c r="B717" s="16">
        <v>0</v>
      </c>
      <c r="C717" s="7">
        <v>1</v>
      </c>
      <c r="D717" s="8">
        <v>0</v>
      </c>
      <c r="E717" s="8">
        <v>1</v>
      </c>
      <c r="F717" s="8">
        <v>0</v>
      </c>
      <c r="G717" s="8">
        <v>0</v>
      </c>
      <c r="H717" s="8">
        <v>1</v>
      </c>
      <c r="I717" s="8">
        <v>1</v>
      </c>
      <c r="J717" s="8">
        <v>0</v>
      </c>
      <c r="K717" s="9">
        <v>1</v>
      </c>
      <c r="L717" s="10">
        <v>0</v>
      </c>
      <c r="M717" s="6">
        <v>0</v>
      </c>
      <c r="N717" s="37" t="e" cm="1">
        <f t="array" ref="N717">IF(OR(ISNUMBER(FIND(Aux!$D$3:$D$9,_xlfn.TEXTJOIN(,,C717:K717)))),NA(),IF(AND(SUM(C717:F717,H717:K717)=0,G717=1),0,INT((SUMPRODUCT(C717:F717,COLUMN($A$1:$D$1)-1)+SUMPRODUCT(H717:K717,COLUMN($E$1:$H$1)-1))*'Line Follower'!$C$3/SUM(C717:F717,H717:K717)-'Line Follower'!$C$5)))</f>
        <v>#N/A</v>
      </c>
      <c r="O717" s="22" t="e">
        <v>#N/A</v>
      </c>
      <c r="P717" s="4" t="e">
        <f t="shared" si="55"/>
        <v>#N/A</v>
      </c>
      <c r="Q717" s="4" t="e">
        <f t="shared" si="56"/>
        <v>#N/A</v>
      </c>
      <c r="R717" s="4" t="e">
        <f>IF(AND(B717=1,N717&gt;'Line Follower'!$C$7,SUM(C717:K717)&lt;4),1,0)</f>
        <v>#N/A</v>
      </c>
      <c r="S717" s="4" t="e">
        <f>IF(AND(L717=1,N717&lt;'Line Follower'!$C$6,SUM(C717:K717)&lt;4),1,0)</f>
        <v>#N/A</v>
      </c>
      <c r="T717" s="4" t="e">
        <f t="shared" si="57"/>
        <v>#N/A</v>
      </c>
      <c r="U717" s="5" t="e">
        <f t="shared" si="58"/>
        <v>#N/A</v>
      </c>
      <c r="V717" s="23" t="e">
        <f t="shared" si="59"/>
        <v>#N/A</v>
      </c>
    </row>
    <row r="718" spans="2:22" x14ac:dyDescent="0.25">
      <c r="B718" s="16">
        <v>1</v>
      </c>
      <c r="C718" s="7">
        <v>1</v>
      </c>
      <c r="D718" s="8">
        <v>0</v>
      </c>
      <c r="E718" s="8">
        <v>1</v>
      </c>
      <c r="F718" s="8">
        <v>0</v>
      </c>
      <c r="G718" s="8">
        <v>0</v>
      </c>
      <c r="H718" s="8">
        <v>1</v>
      </c>
      <c r="I718" s="8">
        <v>1</v>
      </c>
      <c r="J718" s="8">
        <v>0</v>
      </c>
      <c r="K718" s="9">
        <v>1</v>
      </c>
      <c r="L718" s="10">
        <v>0</v>
      </c>
      <c r="M718" s="6">
        <v>0</v>
      </c>
      <c r="N718" s="37" t="e" cm="1">
        <f t="array" ref="N718">IF(OR(ISNUMBER(FIND(Aux!$D$3:$D$9,_xlfn.TEXTJOIN(,,C718:K718)))),NA(),IF(AND(SUM(C718:F718,H718:K718)=0,G718=1),0,INT((SUMPRODUCT(C718:F718,COLUMN($A$1:$D$1)-1)+SUMPRODUCT(H718:K718,COLUMN($E$1:$H$1)-1))*'Line Follower'!$C$3/SUM(C718:F718,H718:K718)-'Line Follower'!$C$5)))</f>
        <v>#N/A</v>
      </c>
      <c r="O718" s="22" t="e">
        <v>#N/A</v>
      </c>
      <c r="P718" s="4" t="e">
        <f t="shared" si="55"/>
        <v>#N/A</v>
      </c>
      <c r="Q718" s="4" t="e">
        <f t="shared" si="56"/>
        <v>#N/A</v>
      </c>
      <c r="R718" s="4" t="e">
        <f>IF(AND(B718=1,N718&gt;'Line Follower'!$C$7,SUM(C718:K718)&lt;4),1,0)</f>
        <v>#N/A</v>
      </c>
      <c r="S718" s="4" t="e">
        <f>IF(AND(L718=1,N718&lt;'Line Follower'!$C$6,SUM(C718:K718)&lt;4),1,0)</f>
        <v>#N/A</v>
      </c>
      <c r="T718" s="4" t="e">
        <f t="shared" si="57"/>
        <v>#N/A</v>
      </c>
      <c r="U718" s="5" t="e">
        <f t="shared" si="58"/>
        <v>#N/A</v>
      </c>
      <c r="V718" s="23" t="e">
        <f t="shared" si="59"/>
        <v>#N/A</v>
      </c>
    </row>
    <row r="719" spans="2:22" x14ac:dyDescent="0.25">
      <c r="B719" s="16">
        <v>0</v>
      </c>
      <c r="C719" s="7">
        <v>0</v>
      </c>
      <c r="D719" s="8">
        <v>1</v>
      </c>
      <c r="E719" s="8">
        <v>1</v>
      </c>
      <c r="F719" s="8">
        <v>0</v>
      </c>
      <c r="G719" s="8">
        <v>0</v>
      </c>
      <c r="H719" s="8">
        <v>1</v>
      </c>
      <c r="I719" s="8">
        <v>1</v>
      </c>
      <c r="J719" s="8">
        <v>0</v>
      </c>
      <c r="K719" s="9">
        <v>1</v>
      </c>
      <c r="L719" s="10">
        <v>0</v>
      </c>
      <c r="M719" s="6">
        <v>0</v>
      </c>
      <c r="N719" s="37" t="e" cm="1">
        <f t="array" ref="N719">IF(OR(ISNUMBER(FIND(Aux!$D$3:$D$9,_xlfn.TEXTJOIN(,,C719:K719)))),NA(),IF(AND(SUM(C719:F719,H719:K719)=0,G719=1),0,INT((SUMPRODUCT(C719:F719,COLUMN($A$1:$D$1)-1)+SUMPRODUCT(H719:K719,COLUMN($E$1:$H$1)-1))*'Line Follower'!$C$3/SUM(C719:F719,H719:K719)-'Line Follower'!$C$5)))</f>
        <v>#N/A</v>
      </c>
      <c r="O719" s="22" t="e">
        <v>#N/A</v>
      </c>
      <c r="P719" s="4" t="e">
        <f t="shared" si="55"/>
        <v>#N/A</v>
      </c>
      <c r="Q719" s="4" t="e">
        <f t="shared" si="56"/>
        <v>#N/A</v>
      </c>
      <c r="R719" s="4" t="e">
        <f>IF(AND(B719=1,N719&gt;'Line Follower'!$C$7,SUM(C719:K719)&lt;4),1,0)</f>
        <v>#N/A</v>
      </c>
      <c r="S719" s="4" t="e">
        <f>IF(AND(L719=1,N719&lt;'Line Follower'!$C$6,SUM(C719:K719)&lt;4),1,0)</f>
        <v>#N/A</v>
      </c>
      <c r="T719" s="4" t="e">
        <f t="shared" si="57"/>
        <v>#N/A</v>
      </c>
      <c r="U719" s="5" t="e">
        <f t="shared" si="58"/>
        <v>#N/A</v>
      </c>
      <c r="V719" s="23" t="e">
        <f t="shared" si="59"/>
        <v>#N/A</v>
      </c>
    </row>
    <row r="720" spans="2:22" x14ac:dyDescent="0.25">
      <c r="B720" s="16">
        <v>1</v>
      </c>
      <c r="C720" s="7">
        <v>0</v>
      </c>
      <c r="D720" s="8">
        <v>1</v>
      </c>
      <c r="E720" s="8">
        <v>1</v>
      </c>
      <c r="F720" s="8">
        <v>0</v>
      </c>
      <c r="G720" s="8">
        <v>0</v>
      </c>
      <c r="H720" s="8">
        <v>1</v>
      </c>
      <c r="I720" s="8">
        <v>1</v>
      </c>
      <c r="J720" s="8">
        <v>0</v>
      </c>
      <c r="K720" s="9">
        <v>1</v>
      </c>
      <c r="L720" s="10">
        <v>0</v>
      </c>
      <c r="M720" s="6">
        <v>0</v>
      </c>
      <c r="N720" s="37" t="e" cm="1">
        <f t="array" ref="N720">IF(OR(ISNUMBER(FIND(Aux!$D$3:$D$9,_xlfn.TEXTJOIN(,,C720:K720)))),NA(),IF(AND(SUM(C720:F720,H720:K720)=0,G720=1),0,INT((SUMPRODUCT(C720:F720,COLUMN($A$1:$D$1)-1)+SUMPRODUCT(H720:K720,COLUMN($E$1:$H$1)-1))*'Line Follower'!$C$3/SUM(C720:F720,H720:K720)-'Line Follower'!$C$5)))</f>
        <v>#N/A</v>
      </c>
      <c r="O720" s="22" t="e">
        <v>#N/A</v>
      </c>
      <c r="P720" s="4" t="e">
        <f t="shared" si="55"/>
        <v>#N/A</v>
      </c>
      <c r="Q720" s="4" t="e">
        <f t="shared" si="56"/>
        <v>#N/A</v>
      </c>
      <c r="R720" s="4" t="e">
        <f>IF(AND(B720=1,N720&gt;'Line Follower'!$C$7,SUM(C720:K720)&lt;4),1,0)</f>
        <v>#N/A</v>
      </c>
      <c r="S720" s="4" t="e">
        <f>IF(AND(L720=1,N720&lt;'Line Follower'!$C$6,SUM(C720:K720)&lt;4),1,0)</f>
        <v>#N/A</v>
      </c>
      <c r="T720" s="4" t="e">
        <f t="shared" si="57"/>
        <v>#N/A</v>
      </c>
      <c r="U720" s="5" t="e">
        <f t="shared" si="58"/>
        <v>#N/A</v>
      </c>
      <c r="V720" s="23" t="e">
        <f t="shared" si="59"/>
        <v>#N/A</v>
      </c>
    </row>
    <row r="721" spans="2:22" x14ac:dyDescent="0.25">
      <c r="B721" s="16">
        <v>0</v>
      </c>
      <c r="C721" s="7">
        <v>1</v>
      </c>
      <c r="D721" s="8">
        <v>1</v>
      </c>
      <c r="E721" s="8">
        <v>1</v>
      </c>
      <c r="F721" s="8">
        <v>0</v>
      </c>
      <c r="G721" s="8">
        <v>0</v>
      </c>
      <c r="H721" s="8">
        <v>1</v>
      </c>
      <c r="I721" s="8">
        <v>1</v>
      </c>
      <c r="J721" s="8">
        <v>0</v>
      </c>
      <c r="K721" s="9">
        <v>1</v>
      </c>
      <c r="L721" s="10">
        <v>0</v>
      </c>
      <c r="M721" s="6">
        <v>0</v>
      </c>
      <c r="N721" s="37" t="e" cm="1">
        <f t="array" ref="N721">IF(OR(ISNUMBER(FIND(Aux!$D$3:$D$9,_xlfn.TEXTJOIN(,,C721:K721)))),NA(),IF(AND(SUM(C721:F721,H721:K721)=0,G721=1),0,INT((SUMPRODUCT(C721:F721,COLUMN($A$1:$D$1)-1)+SUMPRODUCT(H721:K721,COLUMN($E$1:$H$1)-1))*'Line Follower'!$C$3/SUM(C721:F721,H721:K721)-'Line Follower'!$C$5)))</f>
        <v>#N/A</v>
      </c>
      <c r="O721" s="22" t="e">
        <v>#N/A</v>
      </c>
      <c r="P721" s="4" t="e">
        <f t="shared" si="55"/>
        <v>#N/A</v>
      </c>
      <c r="Q721" s="4" t="e">
        <f t="shared" si="56"/>
        <v>#N/A</v>
      </c>
      <c r="R721" s="4" t="e">
        <f>IF(AND(B721=1,N721&gt;'Line Follower'!$C$7,SUM(C721:K721)&lt;4),1,0)</f>
        <v>#N/A</v>
      </c>
      <c r="S721" s="4" t="e">
        <f>IF(AND(L721=1,N721&lt;'Line Follower'!$C$6,SUM(C721:K721)&lt;4),1,0)</f>
        <v>#N/A</v>
      </c>
      <c r="T721" s="4" t="e">
        <f t="shared" si="57"/>
        <v>#N/A</v>
      </c>
      <c r="U721" s="5" t="e">
        <f t="shared" si="58"/>
        <v>#N/A</v>
      </c>
      <c r="V721" s="23" t="e">
        <f t="shared" si="59"/>
        <v>#N/A</v>
      </c>
    </row>
    <row r="722" spans="2:22" x14ac:dyDescent="0.25">
      <c r="B722" s="16">
        <v>1</v>
      </c>
      <c r="C722" s="7">
        <v>1</v>
      </c>
      <c r="D722" s="8">
        <v>1</v>
      </c>
      <c r="E722" s="8">
        <v>1</v>
      </c>
      <c r="F722" s="8">
        <v>0</v>
      </c>
      <c r="G722" s="8">
        <v>0</v>
      </c>
      <c r="H722" s="8">
        <v>1</v>
      </c>
      <c r="I722" s="8">
        <v>1</v>
      </c>
      <c r="J722" s="8">
        <v>0</v>
      </c>
      <c r="K722" s="9">
        <v>1</v>
      </c>
      <c r="L722" s="10">
        <v>0</v>
      </c>
      <c r="M722" s="6">
        <v>0</v>
      </c>
      <c r="N722" s="37" t="e" cm="1">
        <f t="array" ref="N722">IF(OR(ISNUMBER(FIND(Aux!$D$3:$D$9,_xlfn.TEXTJOIN(,,C722:K722)))),NA(),IF(AND(SUM(C722:F722,H722:K722)=0,G722=1),0,INT((SUMPRODUCT(C722:F722,COLUMN($A$1:$D$1)-1)+SUMPRODUCT(H722:K722,COLUMN($E$1:$H$1)-1))*'Line Follower'!$C$3/SUM(C722:F722,H722:K722)-'Line Follower'!$C$5)))</f>
        <v>#N/A</v>
      </c>
      <c r="O722" s="22" t="e">
        <v>#N/A</v>
      </c>
      <c r="P722" s="4" t="e">
        <f t="shared" si="55"/>
        <v>#N/A</v>
      </c>
      <c r="Q722" s="4" t="e">
        <f t="shared" si="56"/>
        <v>#N/A</v>
      </c>
      <c r="R722" s="4" t="e">
        <f>IF(AND(B722=1,N722&gt;'Line Follower'!$C$7,SUM(C722:K722)&lt;4),1,0)</f>
        <v>#N/A</v>
      </c>
      <c r="S722" s="4" t="e">
        <f>IF(AND(L722=1,N722&lt;'Line Follower'!$C$6,SUM(C722:K722)&lt;4),1,0)</f>
        <v>#N/A</v>
      </c>
      <c r="T722" s="4" t="e">
        <f t="shared" si="57"/>
        <v>#N/A</v>
      </c>
      <c r="U722" s="5" t="e">
        <f t="shared" si="58"/>
        <v>#N/A</v>
      </c>
      <c r="V722" s="23" t="e">
        <f t="shared" si="59"/>
        <v>#N/A</v>
      </c>
    </row>
    <row r="723" spans="2:22" x14ac:dyDescent="0.25">
      <c r="B723" s="16">
        <v>0</v>
      </c>
      <c r="C723" s="7">
        <v>0</v>
      </c>
      <c r="D723" s="8">
        <v>0</v>
      </c>
      <c r="E723" s="8">
        <v>0</v>
      </c>
      <c r="F723" s="8">
        <v>1</v>
      </c>
      <c r="G723" s="8">
        <v>0</v>
      </c>
      <c r="H723" s="8">
        <v>1</v>
      </c>
      <c r="I723" s="8">
        <v>1</v>
      </c>
      <c r="J723" s="8">
        <v>0</v>
      </c>
      <c r="K723" s="9">
        <v>1</v>
      </c>
      <c r="L723" s="10">
        <v>0</v>
      </c>
      <c r="M723" s="6">
        <v>0</v>
      </c>
      <c r="N723" s="37" t="e" cm="1">
        <f t="array" ref="N723">IF(OR(ISNUMBER(FIND(Aux!$D$3:$D$9,_xlfn.TEXTJOIN(,,C723:K723)))),NA(),IF(AND(SUM(C723:F723,H723:K723)=0,G723=1),0,INT((SUMPRODUCT(C723:F723,COLUMN($A$1:$D$1)-1)+SUMPRODUCT(H723:K723,COLUMN($E$1:$H$1)-1))*'Line Follower'!$C$3/SUM(C723:F723,H723:K723)-'Line Follower'!$C$5)))</f>
        <v>#N/A</v>
      </c>
      <c r="O723" s="22" t="e">
        <v>#N/A</v>
      </c>
      <c r="P723" s="4" t="e">
        <f t="shared" si="55"/>
        <v>#N/A</v>
      </c>
      <c r="Q723" s="4" t="e">
        <f t="shared" si="56"/>
        <v>#N/A</v>
      </c>
      <c r="R723" s="4" t="e">
        <f>IF(AND(B723=1,N723&gt;'Line Follower'!$C$7,SUM(C723:K723)&lt;4),1,0)</f>
        <v>#N/A</v>
      </c>
      <c r="S723" s="4" t="e">
        <f>IF(AND(L723=1,N723&lt;'Line Follower'!$C$6,SUM(C723:K723)&lt;4),1,0)</f>
        <v>#N/A</v>
      </c>
      <c r="T723" s="4" t="e">
        <f t="shared" si="57"/>
        <v>#N/A</v>
      </c>
      <c r="U723" s="5" t="e">
        <f t="shared" si="58"/>
        <v>#N/A</v>
      </c>
      <c r="V723" s="23" t="e">
        <f t="shared" si="59"/>
        <v>#N/A</v>
      </c>
    </row>
    <row r="724" spans="2:22" x14ac:dyDescent="0.25">
      <c r="B724" s="16">
        <v>1</v>
      </c>
      <c r="C724" s="7">
        <v>0</v>
      </c>
      <c r="D724" s="8">
        <v>0</v>
      </c>
      <c r="E724" s="8">
        <v>0</v>
      </c>
      <c r="F724" s="8">
        <v>1</v>
      </c>
      <c r="G724" s="8">
        <v>0</v>
      </c>
      <c r="H724" s="8">
        <v>1</v>
      </c>
      <c r="I724" s="8">
        <v>1</v>
      </c>
      <c r="J724" s="8">
        <v>0</v>
      </c>
      <c r="K724" s="9">
        <v>1</v>
      </c>
      <c r="L724" s="10">
        <v>0</v>
      </c>
      <c r="M724" s="6">
        <v>0</v>
      </c>
      <c r="N724" s="37" t="e" cm="1">
        <f t="array" ref="N724">IF(OR(ISNUMBER(FIND(Aux!$D$3:$D$9,_xlfn.TEXTJOIN(,,C724:K724)))),NA(),IF(AND(SUM(C724:F724,H724:K724)=0,G724=1),0,INT((SUMPRODUCT(C724:F724,COLUMN($A$1:$D$1)-1)+SUMPRODUCT(H724:K724,COLUMN($E$1:$H$1)-1))*'Line Follower'!$C$3/SUM(C724:F724,H724:K724)-'Line Follower'!$C$5)))</f>
        <v>#N/A</v>
      </c>
      <c r="O724" s="22" t="e">
        <v>#N/A</v>
      </c>
      <c r="P724" s="4" t="e">
        <f t="shared" si="55"/>
        <v>#N/A</v>
      </c>
      <c r="Q724" s="4" t="e">
        <f t="shared" si="56"/>
        <v>#N/A</v>
      </c>
      <c r="R724" s="4" t="e">
        <f>IF(AND(B724=1,N724&gt;'Line Follower'!$C$7,SUM(C724:K724)&lt;4),1,0)</f>
        <v>#N/A</v>
      </c>
      <c r="S724" s="4" t="e">
        <f>IF(AND(L724=1,N724&lt;'Line Follower'!$C$6,SUM(C724:K724)&lt;4),1,0)</f>
        <v>#N/A</v>
      </c>
      <c r="T724" s="4" t="e">
        <f t="shared" si="57"/>
        <v>#N/A</v>
      </c>
      <c r="U724" s="5" t="e">
        <f t="shared" si="58"/>
        <v>#N/A</v>
      </c>
      <c r="V724" s="23" t="e">
        <f t="shared" si="59"/>
        <v>#N/A</v>
      </c>
    </row>
    <row r="725" spans="2:22" x14ac:dyDescent="0.25">
      <c r="B725" s="16">
        <v>0</v>
      </c>
      <c r="C725" s="7">
        <v>1</v>
      </c>
      <c r="D725" s="8">
        <v>0</v>
      </c>
      <c r="E725" s="8">
        <v>0</v>
      </c>
      <c r="F725" s="8">
        <v>1</v>
      </c>
      <c r="G725" s="8">
        <v>0</v>
      </c>
      <c r="H725" s="8">
        <v>1</v>
      </c>
      <c r="I725" s="8">
        <v>1</v>
      </c>
      <c r="J725" s="8">
        <v>0</v>
      </c>
      <c r="K725" s="9">
        <v>1</v>
      </c>
      <c r="L725" s="10">
        <v>0</v>
      </c>
      <c r="M725" s="6">
        <v>0</v>
      </c>
      <c r="N725" s="37" t="e" cm="1">
        <f t="array" ref="N725">IF(OR(ISNUMBER(FIND(Aux!$D$3:$D$9,_xlfn.TEXTJOIN(,,C725:K725)))),NA(),IF(AND(SUM(C725:F725,H725:K725)=0,G725=1),0,INT((SUMPRODUCT(C725:F725,COLUMN($A$1:$D$1)-1)+SUMPRODUCT(H725:K725,COLUMN($E$1:$H$1)-1))*'Line Follower'!$C$3/SUM(C725:F725,H725:K725)-'Line Follower'!$C$5)))</f>
        <v>#N/A</v>
      </c>
      <c r="O725" s="22" t="e">
        <v>#N/A</v>
      </c>
      <c r="P725" s="4" t="e">
        <f t="shared" si="55"/>
        <v>#N/A</v>
      </c>
      <c r="Q725" s="4" t="e">
        <f t="shared" si="56"/>
        <v>#N/A</v>
      </c>
      <c r="R725" s="4" t="e">
        <f>IF(AND(B725=1,N725&gt;'Line Follower'!$C$7,SUM(C725:K725)&lt;4),1,0)</f>
        <v>#N/A</v>
      </c>
      <c r="S725" s="4" t="e">
        <f>IF(AND(L725=1,N725&lt;'Line Follower'!$C$6,SUM(C725:K725)&lt;4),1,0)</f>
        <v>#N/A</v>
      </c>
      <c r="T725" s="4" t="e">
        <f t="shared" si="57"/>
        <v>#N/A</v>
      </c>
      <c r="U725" s="5" t="e">
        <f t="shared" si="58"/>
        <v>#N/A</v>
      </c>
      <c r="V725" s="23" t="e">
        <f t="shared" si="59"/>
        <v>#N/A</v>
      </c>
    </row>
    <row r="726" spans="2:22" x14ac:dyDescent="0.25">
      <c r="B726" s="16">
        <v>1</v>
      </c>
      <c r="C726" s="7">
        <v>1</v>
      </c>
      <c r="D726" s="8">
        <v>0</v>
      </c>
      <c r="E726" s="8">
        <v>0</v>
      </c>
      <c r="F726" s="8">
        <v>1</v>
      </c>
      <c r="G726" s="8">
        <v>0</v>
      </c>
      <c r="H726" s="8">
        <v>1</v>
      </c>
      <c r="I726" s="8">
        <v>1</v>
      </c>
      <c r="J726" s="8">
        <v>0</v>
      </c>
      <c r="K726" s="9">
        <v>1</v>
      </c>
      <c r="L726" s="10">
        <v>0</v>
      </c>
      <c r="M726" s="6">
        <v>0</v>
      </c>
      <c r="N726" s="37" t="e" cm="1">
        <f t="array" ref="N726">IF(OR(ISNUMBER(FIND(Aux!$D$3:$D$9,_xlfn.TEXTJOIN(,,C726:K726)))),NA(),IF(AND(SUM(C726:F726,H726:K726)=0,G726=1),0,INT((SUMPRODUCT(C726:F726,COLUMN($A$1:$D$1)-1)+SUMPRODUCT(H726:K726,COLUMN($E$1:$H$1)-1))*'Line Follower'!$C$3/SUM(C726:F726,H726:K726)-'Line Follower'!$C$5)))</f>
        <v>#N/A</v>
      </c>
      <c r="O726" s="22" t="e">
        <v>#N/A</v>
      </c>
      <c r="P726" s="4" t="e">
        <f t="shared" si="55"/>
        <v>#N/A</v>
      </c>
      <c r="Q726" s="4" t="e">
        <f t="shared" si="56"/>
        <v>#N/A</v>
      </c>
      <c r="R726" s="4" t="e">
        <f>IF(AND(B726=1,N726&gt;'Line Follower'!$C$7,SUM(C726:K726)&lt;4),1,0)</f>
        <v>#N/A</v>
      </c>
      <c r="S726" s="4" t="e">
        <f>IF(AND(L726=1,N726&lt;'Line Follower'!$C$6,SUM(C726:K726)&lt;4),1,0)</f>
        <v>#N/A</v>
      </c>
      <c r="T726" s="4" t="e">
        <f t="shared" si="57"/>
        <v>#N/A</v>
      </c>
      <c r="U726" s="5" t="e">
        <f t="shared" si="58"/>
        <v>#N/A</v>
      </c>
      <c r="V726" s="23" t="e">
        <f t="shared" si="59"/>
        <v>#N/A</v>
      </c>
    </row>
    <row r="727" spans="2:22" x14ac:dyDescent="0.25">
      <c r="B727" s="16">
        <v>0</v>
      </c>
      <c r="C727" s="7">
        <v>0</v>
      </c>
      <c r="D727" s="8">
        <v>1</v>
      </c>
      <c r="E727" s="8">
        <v>0</v>
      </c>
      <c r="F727" s="8">
        <v>1</v>
      </c>
      <c r="G727" s="8">
        <v>0</v>
      </c>
      <c r="H727" s="8">
        <v>1</v>
      </c>
      <c r="I727" s="8">
        <v>1</v>
      </c>
      <c r="J727" s="8">
        <v>0</v>
      </c>
      <c r="K727" s="9">
        <v>1</v>
      </c>
      <c r="L727" s="10">
        <v>0</v>
      </c>
      <c r="M727" s="6">
        <v>0</v>
      </c>
      <c r="N727" s="37" t="e" cm="1">
        <f t="array" ref="N727">IF(OR(ISNUMBER(FIND(Aux!$D$3:$D$9,_xlfn.TEXTJOIN(,,C727:K727)))),NA(),IF(AND(SUM(C727:F727,H727:K727)=0,G727=1),0,INT((SUMPRODUCT(C727:F727,COLUMN($A$1:$D$1)-1)+SUMPRODUCT(H727:K727,COLUMN($E$1:$H$1)-1))*'Line Follower'!$C$3/SUM(C727:F727,H727:K727)-'Line Follower'!$C$5)))</f>
        <v>#N/A</v>
      </c>
      <c r="O727" s="22" t="e">
        <v>#N/A</v>
      </c>
      <c r="P727" s="4" t="e">
        <f t="shared" si="55"/>
        <v>#N/A</v>
      </c>
      <c r="Q727" s="4" t="e">
        <f t="shared" si="56"/>
        <v>#N/A</v>
      </c>
      <c r="R727" s="4" t="e">
        <f>IF(AND(B727=1,N727&gt;'Line Follower'!$C$7,SUM(C727:K727)&lt;4),1,0)</f>
        <v>#N/A</v>
      </c>
      <c r="S727" s="4" t="e">
        <f>IF(AND(L727=1,N727&lt;'Line Follower'!$C$6,SUM(C727:K727)&lt;4),1,0)</f>
        <v>#N/A</v>
      </c>
      <c r="T727" s="4" t="e">
        <f t="shared" si="57"/>
        <v>#N/A</v>
      </c>
      <c r="U727" s="5" t="e">
        <f t="shared" si="58"/>
        <v>#N/A</v>
      </c>
      <c r="V727" s="23" t="e">
        <f t="shared" si="59"/>
        <v>#N/A</v>
      </c>
    </row>
    <row r="728" spans="2:22" x14ac:dyDescent="0.25">
      <c r="B728" s="16">
        <v>1</v>
      </c>
      <c r="C728" s="7">
        <v>0</v>
      </c>
      <c r="D728" s="8">
        <v>1</v>
      </c>
      <c r="E728" s="8">
        <v>0</v>
      </c>
      <c r="F728" s="8">
        <v>1</v>
      </c>
      <c r="G728" s="8">
        <v>0</v>
      </c>
      <c r="H728" s="8">
        <v>1</v>
      </c>
      <c r="I728" s="8">
        <v>1</v>
      </c>
      <c r="J728" s="8">
        <v>0</v>
      </c>
      <c r="K728" s="9">
        <v>1</v>
      </c>
      <c r="L728" s="10">
        <v>0</v>
      </c>
      <c r="M728" s="6">
        <v>0</v>
      </c>
      <c r="N728" s="37" t="e" cm="1">
        <f t="array" ref="N728">IF(OR(ISNUMBER(FIND(Aux!$D$3:$D$9,_xlfn.TEXTJOIN(,,C728:K728)))),NA(),IF(AND(SUM(C728:F728,H728:K728)=0,G728=1),0,INT((SUMPRODUCT(C728:F728,COLUMN($A$1:$D$1)-1)+SUMPRODUCT(H728:K728,COLUMN($E$1:$H$1)-1))*'Line Follower'!$C$3/SUM(C728:F728,H728:K728)-'Line Follower'!$C$5)))</f>
        <v>#N/A</v>
      </c>
      <c r="O728" s="22" t="e">
        <v>#N/A</v>
      </c>
      <c r="P728" s="4" t="e">
        <f t="shared" si="55"/>
        <v>#N/A</v>
      </c>
      <c r="Q728" s="4" t="e">
        <f t="shared" si="56"/>
        <v>#N/A</v>
      </c>
      <c r="R728" s="4" t="e">
        <f>IF(AND(B728=1,N728&gt;'Line Follower'!$C$7,SUM(C728:K728)&lt;4),1,0)</f>
        <v>#N/A</v>
      </c>
      <c r="S728" s="4" t="e">
        <f>IF(AND(L728=1,N728&lt;'Line Follower'!$C$6,SUM(C728:K728)&lt;4),1,0)</f>
        <v>#N/A</v>
      </c>
      <c r="T728" s="4" t="e">
        <f t="shared" si="57"/>
        <v>#N/A</v>
      </c>
      <c r="U728" s="5" t="e">
        <f t="shared" si="58"/>
        <v>#N/A</v>
      </c>
      <c r="V728" s="23" t="e">
        <f t="shared" si="59"/>
        <v>#N/A</v>
      </c>
    </row>
    <row r="729" spans="2:22" x14ac:dyDescent="0.25">
      <c r="B729" s="16">
        <v>0</v>
      </c>
      <c r="C729" s="7">
        <v>1</v>
      </c>
      <c r="D729" s="8">
        <v>1</v>
      </c>
      <c r="E729" s="8">
        <v>0</v>
      </c>
      <c r="F729" s="8">
        <v>1</v>
      </c>
      <c r="G729" s="8">
        <v>0</v>
      </c>
      <c r="H729" s="8">
        <v>1</v>
      </c>
      <c r="I729" s="8">
        <v>1</v>
      </c>
      <c r="J729" s="8">
        <v>0</v>
      </c>
      <c r="K729" s="9">
        <v>1</v>
      </c>
      <c r="L729" s="10">
        <v>0</v>
      </c>
      <c r="M729" s="6">
        <v>0</v>
      </c>
      <c r="N729" s="37" t="e" cm="1">
        <f t="array" ref="N729">IF(OR(ISNUMBER(FIND(Aux!$D$3:$D$9,_xlfn.TEXTJOIN(,,C729:K729)))),NA(),IF(AND(SUM(C729:F729,H729:K729)=0,G729=1),0,INT((SUMPRODUCT(C729:F729,COLUMN($A$1:$D$1)-1)+SUMPRODUCT(H729:K729,COLUMN($E$1:$H$1)-1))*'Line Follower'!$C$3/SUM(C729:F729,H729:K729)-'Line Follower'!$C$5)))</f>
        <v>#N/A</v>
      </c>
      <c r="O729" s="22" t="e">
        <v>#N/A</v>
      </c>
      <c r="P729" s="4" t="e">
        <f t="shared" si="55"/>
        <v>#N/A</v>
      </c>
      <c r="Q729" s="4" t="e">
        <f t="shared" si="56"/>
        <v>#N/A</v>
      </c>
      <c r="R729" s="4" t="e">
        <f>IF(AND(B729=1,N729&gt;'Line Follower'!$C$7,SUM(C729:K729)&lt;4),1,0)</f>
        <v>#N/A</v>
      </c>
      <c r="S729" s="4" t="e">
        <f>IF(AND(L729=1,N729&lt;'Line Follower'!$C$6,SUM(C729:K729)&lt;4),1,0)</f>
        <v>#N/A</v>
      </c>
      <c r="T729" s="4" t="e">
        <f t="shared" si="57"/>
        <v>#N/A</v>
      </c>
      <c r="U729" s="5" t="e">
        <f t="shared" si="58"/>
        <v>#N/A</v>
      </c>
      <c r="V729" s="23" t="e">
        <f t="shared" si="59"/>
        <v>#N/A</v>
      </c>
    </row>
    <row r="730" spans="2:22" x14ac:dyDescent="0.25">
      <c r="B730" s="16">
        <v>1</v>
      </c>
      <c r="C730" s="7">
        <v>1</v>
      </c>
      <c r="D730" s="8">
        <v>1</v>
      </c>
      <c r="E730" s="8">
        <v>0</v>
      </c>
      <c r="F730" s="8">
        <v>1</v>
      </c>
      <c r="G730" s="8">
        <v>0</v>
      </c>
      <c r="H730" s="8">
        <v>1</v>
      </c>
      <c r="I730" s="8">
        <v>1</v>
      </c>
      <c r="J730" s="8">
        <v>0</v>
      </c>
      <c r="K730" s="9">
        <v>1</v>
      </c>
      <c r="L730" s="10">
        <v>0</v>
      </c>
      <c r="M730" s="6">
        <v>0</v>
      </c>
      <c r="N730" s="37" t="e" cm="1">
        <f t="array" ref="N730">IF(OR(ISNUMBER(FIND(Aux!$D$3:$D$9,_xlfn.TEXTJOIN(,,C730:K730)))),NA(),IF(AND(SUM(C730:F730,H730:K730)=0,G730=1),0,INT((SUMPRODUCT(C730:F730,COLUMN($A$1:$D$1)-1)+SUMPRODUCT(H730:K730,COLUMN($E$1:$H$1)-1))*'Line Follower'!$C$3/SUM(C730:F730,H730:K730)-'Line Follower'!$C$5)))</f>
        <v>#N/A</v>
      </c>
      <c r="O730" s="22" t="e">
        <v>#N/A</v>
      </c>
      <c r="P730" s="4" t="e">
        <f t="shared" si="55"/>
        <v>#N/A</v>
      </c>
      <c r="Q730" s="4" t="e">
        <f t="shared" si="56"/>
        <v>#N/A</v>
      </c>
      <c r="R730" s="4" t="e">
        <f>IF(AND(B730=1,N730&gt;'Line Follower'!$C$7,SUM(C730:K730)&lt;4),1,0)</f>
        <v>#N/A</v>
      </c>
      <c r="S730" s="4" t="e">
        <f>IF(AND(L730=1,N730&lt;'Line Follower'!$C$6,SUM(C730:K730)&lt;4),1,0)</f>
        <v>#N/A</v>
      </c>
      <c r="T730" s="4" t="e">
        <f t="shared" si="57"/>
        <v>#N/A</v>
      </c>
      <c r="U730" s="5" t="e">
        <f t="shared" si="58"/>
        <v>#N/A</v>
      </c>
      <c r="V730" s="23" t="e">
        <f t="shared" si="59"/>
        <v>#N/A</v>
      </c>
    </row>
    <row r="731" spans="2:22" x14ac:dyDescent="0.25">
      <c r="B731" s="16">
        <v>0</v>
      </c>
      <c r="C731" s="7">
        <v>0</v>
      </c>
      <c r="D731" s="8">
        <v>0</v>
      </c>
      <c r="E731" s="8">
        <v>1</v>
      </c>
      <c r="F731" s="8">
        <v>1</v>
      </c>
      <c r="G731" s="8">
        <v>0</v>
      </c>
      <c r="H731" s="8">
        <v>1</v>
      </c>
      <c r="I731" s="8">
        <v>1</v>
      </c>
      <c r="J731" s="8">
        <v>0</v>
      </c>
      <c r="K731" s="9">
        <v>1</v>
      </c>
      <c r="L731" s="10">
        <v>0</v>
      </c>
      <c r="M731" s="6">
        <v>0</v>
      </c>
      <c r="N731" s="37" t="e" cm="1">
        <f t="array" ref="N731">IF(OR(ISNUMBER(FIND(Aux!$D$3:$D$9,_xlfn.TEXTJOIN(,,C731:K731)))),NA(),IF(AND(SUM(C731:F731,H731:K731)=0,G731=1),0,INT((SUMPRODUCT(C731:F731,COLUMN($A$1:$D$1)-1)+SUMPRODUCT(H731:K731,COLUMN($E$1:$H$1)-1))*'Line Follower'!$C$3/SUM(C731:F731,H731:K731)-'Line Follower'!$C$5)))</f>
        <v>#N/A</v>
      </c>
      <c r="O731" s="22" t="e">
        <v>#N/A</v>
      </c>
      <c r="P731" s="4" t="e">
        <f t="shared" si="55"/>
        <v>#N/A</v>
      </c>
      <c r="Q731" s="4" t="e">
        <f t="shared" si="56"/>
        <v>#N/A</v>
      </c>
      <c r="R731" s="4" t="e">
        <f>IF(AND(B731=1,N731&gt;'Line Follower'!$C$7,SUM(C731:K731)&lt;4),1,0)</f>
        <v>#N/A</v>
      </c>
      <c r="S731" s="4" t="e">
        <f>IF(AND(L731=1,N731&lt;'Line Follower'!$C$6,SUM(C731:K731)&lt;4),1,0)</f>
        <v>#N/A</v>
      </c>
      <c r="T731" s="4" t="e">
        <f t="shared" si="57"/>
        <v>#N/A</v>
      </c>
      <c r="U731" s="5" t="e">
        <f t="shared" si="58"/>
        <v>#N/A</v>
      </c>
      <c r="V731" s="23" t="e">
        <f t="shared" si="59"/>
        <v>#N/A</v>
      </c>
    </row>
    <row r="732" spans="2:22" x14ac:dyDescent="0.25">
      <c r="B732" s="16">
        <v>1</v>
      </c>
      <c r="C732" s="7">
        <v>0</v>
      </c>
      <c r="D732" s="8">
        <v>0</v>
      </c>
      <c r="E732" s="8">
        <v>1</v>
      </c>
      <c r="F732" s="8">
        <v>1</v>
      </c>
      <c r="G732" s="8">
        <v>0</v>
      </c>
      <c r="H732" s="8">
        <v>1</v>
      </c>
      <c r="I732" s="8">
        <v>1</v>
      </c>
      <c r="J732" s="8">
        <v>0</v>
      </c>
      <c r="K732" s="9">
        <v>1</v>
      </c>
      <c r="L732" s="10">
        <v>0</v>
      </c>
      <c r="M732" s="6">
        <v>0</v>
      </c>
      <c r="N732" s="37" t="e" cm="1">
        <f t="array" ref="N732">IF(OR(ISNUMBER(FIND(Aux!$D$3:$D$9,_xlfn.TEXTJOIN(,,C732:K732)))),NA(),IF(AND(SUM(C732:F732,H732:K732)=0,G732=1),0,INT((SUMPRODUCT(C732:F732,COLUMN($A$1:$D$1)-1)+SUMPRODUCT(H732:K732,COLUMN($E$1:$H$1)-1))*'Line Follower'!$C$3/SUM(C732:F732,H732:K732)-'Line Follower'!$C$5)))</f>
        <v>#N/A</v>
      </c>
      <c r="O732" s="22" t="e">
        <v>#N/A</v>
      </c>
      <c r="P732" s="4" t="e">
        <f t="shared" si="55"/>
        <v>#N/A</v>
      </c>
      <c r="Q732" s="4" t="e">
        <f t="shared" si="56"/>
        <v>#N/A</v>
      </c>
      <c r="R732" s="4" t="e">
        <f>IF(AND(B732=1,N732&gt;'Line Follower'!$C$7,SUM(C732:K732)&lt;4),1,0)</f>
        <v>#N/A</v>
      </c>
      <c r="S732" s="4" t="e">
        <f>IF(AND(L732=1,N732&lt;'Line Follower'!$C$6,SUM(C732:K732)&lt;4),1,0)</f>
        <v>#N/A</v>
      </c>
      <c r="T732" s="4" t="e">
        <f t="shared" si="57"/>
        <v>#N/A</v>
      </c>
      <c r="U732" s="5" t="e">
        <f t="shared" si="58"/>
        <v>#N/A</v>
      </c>
      <c r="V732" s="23" t="e">
        <f t="shared" si="59"/>
        <v>#N/A</v>
      </c>
    </row>
    <row r="733" spans="2:22" x14ac:dyDescent="0.25">
      <c r="B733" s="16">
        <v>0</v>
      </c>
      <c r="C733" s="7">
        <v>1</v>
      </c>
      <c r="D733" s="8">
        <v>0</v>
      </c>
      <c r="E733" s="8">
        <v>1</v>
      </c>
      <c r="F733" s="8">
        <v>1</v>
      </c>
      <c r="G733" s="8">
        <v>0</v>
      </c>
      <c r="H733" s="8">
        <v>1</v>
      </c>
      <c r="I733" s="8">
        <v>1</v>
      </c>
      <c r="J733" s="8">
        <v>0</v>
      </c>
      <c r="K733" s="9">
        <v>1</v>
      </c>
      <c r="L733" s="10">
        <v>0</v>
      </c>
      <c r="M733" s="6">
        <v>0</v>
      </c>
      <c r="N733" s="37" t="e" cm="1">
        <f t="array" ref="N733">IF(OR(ISNUMBER(FIND(Aux!$D$3:$D$9,_xlfn.TEXTJOIN(,,C733:K733)))),NA(),IF(AND(SUM(C733:F733,H733:K733)=0,G733=1),0,INT((SUMPRODUCT(C733:F733,COLUMN($A$1:$D$1)-1)+SUMPRODUCT(H733:K733,COLUMN($E$1:$H$1)-1))*'Line Follower'!$C$3/SUM(C733:F733,H733:K733)-'Line Follower'!$C$5)))</f>
        <v>#N/A</v>
      </c>
      <c r="O733" s="22" t="e">
        <v>#N/A</v>
      </c>
      <c r="P733" s="4" t="e">
        <f t="shared" si="55"/>
        <v>#N/A</v>
      </c>
      <c r="Q733" s="4" t="e">
        <f t="shared" si="56"/>
        <v>#N/A</v>
      </c>
      <c r="R733" s="4" t="e">
        <f>IF(AND(B733=1,N733&gt;'Line Follower'!$C$7,SUM(C733:K733)&lt;4),1,0)</f>
        <v>#N/A</v>
      </c>
      <c r="S733" s="4" t="e">
        <f>IF(AND(L733=1,N733&lt;'Line Follower'!$C$6,SUM(C733:K733)&lt;4),1,0)</f>
        <v>#N/A</v>
      </c>
      <c r="T733" s="4" t="e">
        <f t="shared" si="57"/>
        <v>#N/A</v>
      </c>
      <c r="U733" s="5" t="e">
        <f t="shared" si="58"/>
        <v>#N/A</v>
      </c>
      <c r="V733" s="23" t="e">
        <f t="shared" si="59"/>
        <v>#N/A</v>
      </c>
    </row>
    <row r="734" spans="2:22" x14ac:dyDescent="0.25">
      <c r="B734" s="16">
        <v>1</v>
      </c>
      <c r="C734" s="7">
        <v>1</v>
      </c>
      <c r="D734" s="8">
        <v>0</v>
      </c>
      <c r="E734" s="8">
        <v>1</v>
      </c>
      <c r="F734" s="8">
        <v>1</v>
      </c>
      <c r="G734" s="8">
        <v>0</v>
      </c>
      <c r="H734" s="8">
        <v>1</v>
      </c>
      <c r="I734" s="8">
        <v>1</v>
      </c>
      <c r="J734" s="8">
        <v>0</v>
      </c>
      <c r="K734" s="9">
        <v>1</v>
      </c>
      <c r="L734" s="10">
        <v>0</v>
      </c>
      <c r="M734" s="6">
        <v>0</v>
      </c>
      <c r="N734" s="37" t="e" cm="1">
        <f t="array" ref="N734">IF(OR(ISNUMBER(FIND(Aux!$D$3:$D$9,_xlfn.TEXTJOIN(,,C734:K734)))),NA(),IF(AND(SUM(C734:F734,H734:K734)=0,G734=1),0,INT((SUMPRODUCT(C734:F734,COLUMN($A$1:$D$1)-1)+SUMPRODUCT(H734:K734,COLUMN($E$1:$H$1)-1))*'Line Follower'!$C$3/SUM(C734:F734,H734:K734)-'Line Follower'!$C$5)))</f>
        <v>#N/A</v>
      </c>
      <c r="O734" s="22" t="e">
        <v>#N/A</v>
      </c>
      <c r="P734" s="4" t="e">
        <f t="shared" si="55"/>
        <v>#N/A</v>
      </c>
      <c r="Q734" s="4" t="e">
        <f t="shared" si="56"/>
        <v>#N/A</v>
      </c>
      <c r="R734" s="4" t="e">
        <f>IF(AND(B734=1,N734&gt;'Line Follower'!$C$7,SUM(C734:K734)&lt;4),1,0)</f>
        <v>#N/A</v>
      </c>
      <c r="S734" s="4" t="e">
        <f>IF(AND(L734=1,N734&lt;'Line Follower'!$C$6,SUM(C734:K734)&lt;4),1,0)</f>
        <v>#N/A</v>
      </c>
      <c r="T734" s="4" t="e">
        <f t="shared" si="57"/>
        <v>#N/A</v>
      </c>
      <c r="U734" s="5" t="e">
        <f t="shared" si="58"/>
        <v>#N/A</v>
      </c>
      <c r="V734" s="23" t="e">
        <f t="shared" si="59"/>
        <v>#N/A</v>
      </c>
    </row>
    <row r="735" spans="2:22" x14ac:dyDescent="0.25">
      <c r="B735" s="16">
        <v>0</v>
      </c>
      <c r="C735" s="7">
        <v>0</v>
      </c>
      <c r="D735" s="8">
        <v>1</v>
      </c>
      <c r="E735" s="8">
        <v>1</v>
      </c>
      <c r="F735" s="8">
        <v>1</v>
      </c>
      <c r="G735" s="8">
        <v>0</v>
      </c>
      <c r="H735" s="8">
        <v>1</v>
      </c>
      <c r="I735" s="8">
        <v>1</v>
      </c>
      <c r="J735" s="8">
        <v>0</v>
      </c>
      <c r="K735" s="9">
        <v>1</v>
      </c>
      <c r="L735" s="10">
        <v>0</v>
      </c>
      <c r="M735" s="6">
        <v>0</v>
      </c>
      <c r="N735" s="37" t="e" cm="1">
        <f t="array" ref="N735">IF(OR(ISNUMBER(FIND(Aux!$D$3:$D$9,_xlfn.TEXTJOIN(,,C735:K735)))),NA(),IF(AND(SUM(C735:F735,H735:K735)=0,G735=1),0,INT((SUMPRODUCT(C735:F735,COLUMN($A$1:$D$1)-1)+SUMPRODUCT(H735:K735,COLUMN($E$1:$H$1)-1))*'Line Follower'!$C$3/SUM(C735:F735,H735:K735)-'Line Follower'!$C$5)))</f>
        <v>#N/A</v>
      </c>
      <c r="O735" s="22" t="e">
        <v>#N/A</v>
      </c>
      <c r="P735" s="4" t="e">
        <f t="shared" si="55"/>
        <v>#N/A</v>
      </c>
      <c r="Q735" s="4" t="e">
        <f t="shared" si="56"/>
        <v>#N/A</v>
      </c>
      <c r="R735" s="4" t="e">
        <f>IF(AND(B735=1,N735&gt;'Line Follower'!$C$7,SUM(C735:K735)&lt;4),1,0)</f>
        <v>#N/A</v>
      </c>
      <c r="S735" s="4" t="e">
        <f>IF(AND(L735=1,N735&lt;'Line Follower'!$C$6,SUM(C735:K735)&lt;4),1,0)</f>
        <v>#N/A</v>
      </c>
      <c r="T735" s="4" t="e">
        <f t="shared" si="57"/>
        <v>#N/A</v>
      </c>
      <c r="U735" s="5" t="e">
        <f t="shared" si="58"/>
        <v>#N/A</v>
      </c>
      <c r="V735" s="23" t="e">
        <f t="shared" si="59"/>
        <v>#N/A</v>
      </c>
    </row>
    <row r="736" spans="2:22" x14ac:dyDescent="0.25">
      <c r="B736" s="16">
        <v>1</v>
      </c>
      <c r="C736" s="7">
        <v>0</v>
      </c>
      <c r="D736" s="8">
        <v>1</v>
      </c>
      <c r="E736" s="8">
        <v>1</v>
      </c>
      <c r="F736" s="8">
        <v>1</v>
      </c>
      <c r="G736" s="8">
        <v>0</v>
      </c>
      <c r="H736" s="8">
        <v>1</v>
      </c>
      <c r="I736" s="8">
        <v>1</v>
      </c>
      <c r="J736" s="8">
        <v>0</v>
      </c>
      <c r="K736" s="9">
        <v>1</v>
      </c>
      <c r="L736" s="10">
        <v>0</v>
      </c>
      <c r="M736" s="6">
        <v>0</v>
      </c>
      <c r="N736" s="37" t="e" cm="1">
        <f t="array" ref="N736">IF(OR(ISNUMBER(FIND(Aux!$D$3:$D$9,_xlfn.TEXTJOIN(,,C736:K736)))),NA(),IF(AND(SUM(C736:F736,H736:K736)=0,G736=1),0,INT((SUMPRODUCT(C736:F736,COLUMN($A$1:$D$1)-1)+SUMPRODUCT(H736:K736,COLUMN($E$1:$H$1)-1))*'Line Follower'!$C$3/SUM(C736:F736,H736:K736)-'Line Follower'!$C$5)))</f>
        <v>#N/A</v>
      </c>
      <c r="O736" s="22" t="e">
        <v>#N/A</v>
      </c>
      <c r="P736" s="4" t="e">
        <f t="shared" si="55"/>
        <v>#N/A</v>
      </c>
      <c r="Q736" s="4" t="e">
        <f t="shared" si="56"/>
        <v>#N/A</v>
      </c>
      <c r="R736" s="4" t="e">
        <f>IF(AND(B736=1,N736&gt;'Line Follower'!$C$7,SUM(C736:K736)&lt;4),1,0)</f>
        <v>#N/A</v>
      </c>
      <c r="S736" s="4" t="e">
        <f>IF(AND(L736=1,N736&lt;'Line Follower'!$C$6,SUM(C736:K736)&lt;4),1,0)</f>
        <v>#N/A</v>
      </c>
      <c r="T736" s="4" t="e">
        <f t="shared" si="57"/>
        <v>#N/A</v>
      </c>
      <c r="U736" s="5" t="e">
        <f t="shared" si="58"/>
        <v>#N/A</v>
      </c>
      <c r="V736" s="23" t="e">
        <f t="shared" si="59"/>
        <v>#N/A</v>
      </c>
    </row>
    <row r="737" spans="2:22" x14ac:dyDescent="0.25">
      <c r="B737" s="16">
        <v>0</v>
      </c>
      <c r="C737" s="7">
        <v>1</v>
      </c>
      <c r="D737" s="8">
        <v>1</v>
      </c>
      <c r="E737" s="8">
        <v>1</v>
      </c>
      <c r="F737" s="8">
        <v>1</v>
      </c>
      <c r="G737" s="8">
        <v>0</v>
      </c>
      <c r="H737" s="8">
        <v>1</v>
      </c>
      <c r="I737" s="8">
        <v>1</v>
      </c>
      <c r="J737" s="8">
        <v>0</v>
      </c>
      <c r="K737" s="9">
        <v>1</v>
      </c>
      <c r="L737" s="10">
        <v>0</v>
      </c>
      <c r="M737" s="6">
        <v>0</v>
      </c>
      <c r="N737" s="37" t="e" cm="1">
        <f t="array" ref="N737">IF(OR(ISNUMBER(FIND(Aux!$D$3:$D$9,_xlfn.TEXTJOIN(,,C737:K737)))),NA(),IF(AND(SUM(C737:F737,H737:K737)=0,G737=1),0,INT((SUMPRODUCT(C737:F737,COLUMN($A$1:$D$1)-1)+SUMPRODUCT(H737:K737,COLUMN($E$1:$H$1)-1))*'Line Follower'!$C$3/SUM(C737:F737,H737:K737)-'Line Follower'!$C$5)))</f>
        <v>#N/A</v>
      </c>
      <c r="O737" s="22" t="e">
        <v>#N/A</v>
      </c>
      <c r="P737" s="4" t="e">
        <f t="shared" si="55"/>
        <v>#N/A</v>
      </c>
      <c r="Q737" s="4" t="e">
        <f t="shared" si="56"/>
        <v>#N/A</v>
      </c>
      <c r="R737" s="4" t="e">
        <f>IF(AND(B737=1,N737&gt;'Line Follower'!$C$7,SUM(C737:K737)&lt;4),1,0)</f>
        <v>#N/A</v>
      </c>
      <c r="S737" s="4" t="e">
        <f>IF(AND(L737=1,N737&lt;'Line Follower'!$C$6,SUM(C737:K737)&lt;4),1,0)</f>
        <v>#N/A</v>
      </c>
      <c r="T737" s="4" t="e">
        <f t="shared" si="57"/>
        <v>#N/A</v>
      </c>
      <c r="U737" s="5" t="e">
        <f t="shared" si="58"/>
        <v>#N/A</v>
      </c>
      <c r="V737" s="23" t="e">
        <f t="shared" si="59"/>
        <v>#N/A</v>
      </c>
    </row>
    <row r="738" spans="2:22" x14ac:dyDescent="0.25">
      <c r="B738" s="16">
        <v>1</v>
      </c>
      <c r="C738" s="7">
        <v>1</v>
      </c>
      <c r="D738" s="8">
        <v>1</v>
      </c>
      <c r="E738" s="8">
        <v>1</v>
      </c>
      <c r="F738" s="8">
        <v>1</v>
      </c>
      <c r="G738" s="8">
        <v>0</v>
      </c>
      <c r="H738" s="8">
        <v>1</v>
      </c>
      <c r="I738" s="8">
        <v>1</v>
      </c>
      <c r="J738" s="8">
        <v>0</v>
      </c>
      <c r="K738" s="9">
        <v>1</v>
      </c>
      <c r="L738" s="10">
        <v>0</v>
      </c>
      <c r="M738" s="6">
        <v>0</v>
      </c>
      <c r="N738" s="37" t="e" cm="1">
        <f t="array" ref="N738">IF(OR(ISNUMBER(FIND(Aux!$D$3:$D$9,_xlfn.TEXTJOIN(,,C738:K738)))),NA(),IF(AND(SUM(C738:F738,H738:K738)=0,G738=1),0,INT((SUMPRODUCT(C738:F738,COLUMN($A$1:$D$1)-1)+SUMPRODUCT(H738:K738,COLUMN($E$1:$H$1)-1))*'Line Follower'!$C$3/SUM(C738:F738,H738:K738)-'Line Follower'!$C$5)))</f>
        <v>#N/A</v>
      </c>
      <c r="O738" s="22" t="e">
        <v>#N/A</v>
      </c>
      <c r="P738" s="4" t="e">
        <f t="shared" si="55"/>
        <v>#N/A</v>
      </c>
      <c r="Q738" s="4" t="e">
        <f t="shared" si="56"/>
        <v>#N/A</v>
      </c>
      <c r="R738" s="4" t="e">
        <f>IF(AND(B738=1,N738&gt;'Line Follower'!$C$7,SUM(C738:K738)&lt;4),1,0)</f>
        <v>#N/A</v>
      </c>
      <c r="S738" s="4" t="e">
        <f>IF(AND(L738=1,N738&lt;'Line Follower'!$C$6,SUM(C738:K738)&lt;4),1,0)</f>
        <v>#N/A</v>
      </c>
      <c r="T738" s="4" t="e">
        <f t="shared" si="57"/>
        <v>#N/A</v>
      </c>
      <c r="U738" s="5" t="e">
        <f t="shared" si="58"/>
        <v>#N/A</v>
      </c>
      <c r="V738" s="23" t="e">
        <f t="shared" si="59"/>
        <v>#N/A</v>
      </c>
    </row>
    <row r="739" spans="2:22" x14ac:dyDescent="0.25">
      <c r="B739" s="16">
        <v>0</v>
      </c>
      <c r="C739" s="7">
        <v>0</v>
      </c>
      <c r="D739" s="8">
        <v>0</v>
      </c>
      <c r="E739" s="8">
        <v>0</v>
      </c>
      <c r="F739" s="8">
        <v>0</v>
      </c>
      <c r="G739" s="8">
        <v>1</v>
      </c>
      <c r="H739" s="8">
        <v>1</v>
      </c>
      <c r="I739" s="8">
        <v>1</v>
      </c>
      <c r="J739" s="8">
        <v>0</v>
      </c>
      <c r="K739" s="9">
        <v>1</v>
      </c>
      <c r="L739" s="10">
        <v>0</v>
      </c>
      <c r="M739" s="6">
        <v>0</v>
      </c>
      <c r="N739" s="37" t="e" cm="1">
        <f t="array" ref="N739">IF(OR(ISNUMBER(FIND(Aux!$D$3:$D$9,_xlfn.TEXTJOIN(,,C739:K739)))),NA(),IF(AND(SUM(C739:F739,H739:K739)=0,G739=1),0,INT((SUMPRODUCT(C739:F739,COLUMN($A$1:$D$1)-1)+SUMPRODUCT(H739:K739,COLUMN($E$1:$H$1)-1))*'Line Follower'!$C$3/SUM(C739:F739,H739:K739)-'Line Follower'!$C$5)))</f>
        <v>#N/A</v>
      </c>
      <c r="O739" s="22" t="e">
        <v>#N/A</v>
      </c>
      <c r="P739" s="4" t="e">
        <f t="shared" si="55"/>
        <v>#N/A</v>
      </c>
      <c r="Q739" s="4" t="e">
        <f t="shared" si="56"/>
        <v>#N/A</v>
      </c>
      <c r="R739" s="4" t="e">
        <f>IF(AND(B739=1,N739&gt;'Line Follower'!$C$7,SUM(C739:K739)&lt;4),1,0)</f>
        <v>#N/A</v>
      </c>
      <c r="S739" s="4" t="e">
        <f>IF(AND(L739=1,N739&lt;'Line Follower'!$C$6,SUM(C739:K739)&lt;4),1,0)</f>
        <v>#N/A</v>
      </c>
      <c r="T739" s="4" t="e">
        <f t="shared" si="57"/>
        <v>#N/A</v>
      </c>
      <c r="U739" s="5" t="e">
        <f t="shared" si="58"/>
        <v>#N/A</v>
      </c>
      <c r="V739" s="23" t="e">
        <f t="shared" si="59"/>
        <v>#N/A</v>
      </c>
    </row>
    <row r="740" spans="2:22" x14ac:dyDescent="0.25">
      <c r="B740" s="16">
        <v>1</v>
      </c>
      <c r="C740" s="7">
        <v>0</v>
      </c>
      <c r="D740" s="8">
        <v>0</v>
      </c>
      <c r="E740" s="8">
        <v>0</v>
      </c>
      <c r="F740" s="8">
        <v>0</v>
      </c>
      <c r="G740" s="8">
        <v>1</v>
      </c>
      <c r="H740" s="8">
        <v>1</v>
      </c>
      <c r="I740" s="8">
        <v>1</v>
      </c>
      <c r="J740" s="8">
        <v>0</v>
      </c>
      <c r="K740" s="9">
        <v>1</v>
      </c>
      <c r="L740" s="10">
        <v>0</v>
      </c>
      <c r="M740" s="6">
        <v>0</v>
      </c>
      <c r="N740" s="37" t="e" cm="1">
        <f t="array" ref="N740">IF(OR(ISNUMBER(FIND(Aux!$D$3:$D$9,_xlfn.TEXTJOIN(,,C740:K740)))),NA(),IF(AND(SUM(C740:F740,H740:K740)=0,G740=1),0,INT((SUMPRODUCT(C740:F740,COLUMN($A$1:$D$1)-1)+SUMPRODUCT(H740:K740,COLUMN($E$1:$H$1)-1))*'Line Follower'!$C$3/SUM(C740:F740,H740:K740)-'Line Follower'!$C$5)))</f>
        <v>#N/A</v>
      </c>
      <c r="O740" s="22" t="e">
        <v>#N/A</v>
      </c>
      <c r="P740" s="4" t="e">
        <f t="shared" si="55"/>
        <v>#N/A</v>
      </c>
      <c r="Q740" s="4" t="e">
        <f t="shared" si="56"/>
        <v>#N/A</v>
      </c>
      <c r="R740" s="4" t="e">
        <f>IF(AND(B740=1,N740&gt;'Line Follower'!$C$7,SUM(C740:K740)&lt;4),1,0)</f>
        <v>#N/A</v>
      </c>
      <c r="S740" s="4" t="e">
        <f>IF(AND(L740=1,N740&lt;'Line Follower'!$C$6,SUM(C740:K740)&lt;4),1,0)</f>
        <v>#N/A</v>
      </c>
      <c r="T740" s="4" t="e">
        <f t="shared" si="57"/>
        <v>#N/A</v>
      </c>
      <c r="U740" s="5" t="e">
        <f t="shared" si="58"/>
        <v>#N/A</v>
      </c>
      <c r="V740" s="23" t="e">
        <f t="shared" si="59"/>
        <v>#N/A</v>
      </c>
    </row>
    <row r="741" spans="2:22" x14ac:dyDescent="0.25">
      <c r="B741" s="16">
        <v>0</v>
      </c>
      <c r="C741" s="7">
        <v>1</v>
      </c>
      <c r="D741" s="8">
        <v>0</v>
      </c>
      <c r="E741" s="8">
        <v>0</v>
      </c>
      <c r="F741" s="8">
        <v>0</v>
      </c>
      <c r="G741" s="8">
        <v>1</v>
      </c>
      <c r="H741" s="8">
        <v>1</v>
      </c>
      <c r="I741" s="8">
        <v>1</v>
      </c>
      <c r="J741" s="8">
        <v>0</v>
      </c>
      <c r="K741" s="9">
        <v>1</v>
      </c>
      <c r="L741" s="10">
        <v>0</v>
      </c>
      <c r="M741" s="6">
        <v>0</v>
      </c>
      <c r="N741" s="37" t="e" cm="1">
        <f t="array" ref="N741">IF(OR(ISNUMBER(FIND(Aux!$D$3:$D$9,_xlfn.TEXTJOIN(,,C741:K741)))),NA(),IF(AND(SUM(C741:F741,H741:K741)=0,G741=1),0,INT((SUMPRODUCT(C741:F741,COLUMN($A$1:$D$1)-1)+SUMPRODUCT(H741:K741,COLUMN($E$1:$H$1)-1))*'Line Follower'!$C$3/SUM(C741:F741,H741:K741)-'Line Follower'!$C$5)))</f>
        <v>#N/A</v>
      </c>
      <c r="O741" s="22" t="e">
        <v>#N/A</v>
      </c>
      <c r="P741" s="4" t="e">
        <f t="shared" si="55"/>
        <v>#N/A</v>
      </c>
      <c r="Q741" s="4" t="e">
        <f t="shared" si="56"/>
        <v>#N/A</v>
      </c>
      <c r="R741" s="4" t="e">
        <f>IF(AND(B741=1,N741&gt;'Line Follower'!$C$7,SUM(C741:K741)&lt;4),1,0)</f>
        <v>#N/A</v>
      </c>
      <c r="S741" s="4" t="e">
        <f>IF(AND(L741=1,N741&lt;'Line Follower'!$C$6,SUM(C741:K741)&lt;4),1,0)</f>
        <v>#N/A</v>
      </c>
      <c r="T741" s="4" t="e">
        <f t="shared" si="57"/>
        <v>#N/A</v>
      </c>
      <c r="U741" s="5" t="e">
        <f t="shared" si="58"/>
        <v>#N/A</v>
      </c>
      <c r="V741" s="23" t="e">
        <f t="shared" si="59"/>
        <v>#N/A</v>
      </c>
    </row>
    <row r="742" spans="2:22" x14ac:dyDescent="0.25">
      <c r="B742" s="16">
        <v>1</v>
      </c>
      <c r="C742" s="7">
        <v>1</v>
      </c>
      <c r="D742" s="8">
        <v>0</v>
      </c>
      <c r="E742" s="8">
        <v>0</v>
      </c>
      <c r="F742" s="8">
        <v>0</v>
      </c>
      <c r="G742" s="8">
        <v>1</v>
      </c>
      <c r="H742" s="8">
        <v>1</v>
      </c>
      <c r="I742" s="8">
        <v>1</v>
      </c>
      <c r="J742" s="8">
        <v>0</v>
      </c>
      <c r="K742" s="9">
        <v>1</v>
      </c>
      <c r="L742" s="10">
        <v>0</v>
      </c>
      <c r="M742" s="6">
        <v>0</v>
      </c>
      <c r="N742" s="37" t="e" cm="1">
        <f t="array" ref="N742">IF(OR(ISNUMBER(FIND(Aux!$D$3:$D$9,_xlfn.TEXTJOIN(,,C742:K742)))),NA(),IF(AND(SUM(C742:F742,H742:K742)=0,G742=1),0,INT((SUMPRODUCT(C742:F742,COLUMN($A$1:$D$1)-1)+SUMPRODUCT(H742:K742,COLUMN($E$1:$H$1)-1))*'Line Follower'!$C$3/SUM(C742:F742,H742:K742)-'Line Follower'!$C$5)))</f>
        <v>#N/A</v>
      </c>
      <c r="O742" s="22" t="e">
        <v>#N/A</v>
      </c>
      <c r="P742" s="4" t="e">
        <f t="shared" si="55"/>
        <v>#N/A</v>
      </c>
      <c r="Q742" s="4" t="e">
        <f t="shared" si="56"/>
        <v>#N/A</v>
      </c>
      <c r="R742" s="4" t="e">
        <f>IF(AND(B742=1,N742&gt;'Line Follower'!$C$7,SUM(C742:K742)&lt;4),1,0)</f>
        <v>#N/A</v>
      </c>
      <c r="S742" s="4" t="e">
        <f>IF(AND(L742=1,N742&lt;'Line Follower'!$C$6,SUM(C742:K742)&lt;4),1,0)</f>
        <v>#N/A</v>
      </c>
      <c r="T742" s="4" t="e">
        <f t="shared" si="57"/>
        <v>#N/A</v>
      </c>
      <c r="U742" s="5" t="e">
        <f t="shared" si="58"/>
        <v>#N/A</v>
      </c>
      <c r="V742" s="23" t="e">
        <f t="shared" si="59"/>
        <v>#N/A</v>
      </c>
    </row>
    <row r="743" spans="2:22" x14ac:dyDescent="0.25">
      <c r="B743" s="16">
        <v>0</v>
      </c>
      <c r="C743" s="7">
        <v>0</v>
      </c>
      <c r="D743" s="8">
        <v>1</v>
      </c>
      <c r="E743" s="8">
        <v>0</v>
      </c>
      <c r="F743" s="8">
        <v>0</v>
      </c>
      <c r="G743" s="8">
        <v>1</v>
      </c>
      <c r="H743" s="8">
        <v>1</v>
      </c>
      <c r="I743" s="8">
        <v>1</v>
      </c>
      <c r="J743" s="8">
        <v>0</v>
      </c>
      <c r="K743" s="9">
        <v>1</v>
      </c>
      <c r="L743" s="10">
        <v>0</v>
      </c>
      <c r="M743" s="6">
        <v>0</v>
      </c>
      <c r="N743" s="37" t="e" cm="1">
        <f t="array" ref="N743">IF(OR(ISNUMBER(FIND(Aux!$D$3:$D$9,_xlfn.TEXTJOIN(,,C743:K743)))),NA(),IF(AND(SUM(C743:F743,H743:K743)=0,G743=1),0,INT((SUMPRODUCT(C743:F743,COLUMN($A$1:$D$1)-1)+SUMPRODUCT(H743:K743,COLUMN($E$1:$H$1)-1))*'Line Follower'!$C$3/SUM(C743:F743,H743:K743)-'Line Follower'!$C$5)))</f>
        <v>#N/A</v>
      </c>
      <c r="O743" s="22" t="e">
        <v>#N/A</v>
      </c>
      <c r="P743" s="4" t="e">
        <f t="shared" si="55"/>
        <v>#N/A</v>
      </c>
      <c r="Q743" s="4" t="e">
        <f t="shared" si="56"/>
        <v>#N/A</v>
      </c>
      <c r="R743" s="4" t="e">
        <f>IF(AND(B743=1,N743&gt;'Line Follower'!$C$7,SUM(C743:K743)&lt;4),1,0)</f>
        <v>#N/A</v>
      </c>
      <c r="S743" s="4" t="e">
        <f>IF(AND(L743=1,N743&lt;'Line Follower'!$C$6,SUM(C743:K743)&lt;4),1,0)</f>
        <v>#N/A</v>
      </c>
      <c r="T743" s="4" t="e">
        <f t="shared" si="57"/>
        <v>#N/A</v>
      </c>
      <c r="U743" s="5" t="e">
        <f t="shared" si="58"/>
        <v>#N/A</v>
      </c>
      <c r="V743" s="23" t="e">
        <f t="shared" si="59"/>
        <v>#N/A</v>
      </c>
    </row>
    <row r="744" spans="2:22" x14ac:dyDescent="0.25">
      <c r="B744" s="16">
        <v>1</v>
      </c>
      <c r="C744" s="7">
        <v>0</v>
      </c>
      <c r="D744" s="8">
        <v>1</v>
      </c>
      <c r="E744" s="8">
        <v>0</v>
      </c>
      <c r="F744" s="8">
        <v>0</v>
      </c>
      <c r="G744" s="8">
        <v>1</v>
      </c>
      <c r="H744" s="8">
        <v>1</v>
      </c>
      <c r="I744" s="8">
        <v>1</v>
      </c>
      <c r="J744" s="8">
        <v>0</v>
      </c>
      <c r="K744" s="9">
        <v>1</v>
      </c>
      <c r="L744" s="10">
        <v>0</v>
      </c>
      <c r="M744" s="6">
        <v>0</v>
      </c>
      <c r="N744" s="37" t="e" cm="1">
        <f t="array" ref="N744">IF(OR(ISNUMBER(FIND(Aux!$D$3:$D$9,_xlfn.TEXTJOIN(,,C744:K744)))),NA(),IF(AND(SUM(C744:F744,H744:K744)=0,G744=1),0,INT((SUMPRODUCT(C744:F744,COLUMN($A$1:$D$1)-1)+SUMPRODUCT(H744:K744,COLUMN($E$1:$H$1)-1))*'Line Follower'!$C$3/SUM(C744:F744,H744:K744)-'Line Follower'!$C$5)))</f>
        <v>#N/A</v>
      </c>
      <c r="O744" s="22" t="e">
        <v>#N/A</v>
      </c>
      <c r="P744" s="4" t="e">
        <f t="shared" si="55"/>
        <v>#N/A</v>
      </c>
      <c r="Q744" s="4" t="e">
        <f t="shared" si="56"/>
        <v>#N/A</v>
      </c>
      <c r="R744" s="4" t="e">
        <f>IF(AND(B744=1,N744&gt;'Line Follower'!$C$7,SUM(C744:K744)&lt;4),1,0)</f>
        <v>#N/A</v>
      </c>
      <c r="S744" s="4" t="e">
        <f>IF(AND(L744=1,N744&lt;'Line Follower'!$C$6,SUM(C744:K744)&lt;4),1,0)</f>
        <v>#N/A</v>
      </c>
      <c r="T744" s="4" t="e">
        <f t="shared" si="57"/>
        <v>#N/A</v>
      </c>
      <c r="U744" s="5" t="e">
        <f t="shared" si="58"/>
        <v>#N/A</v>
      </c>
      <c r="V744" s="23" t="e">
        <f t="shared" si="59"/>
        <v>#N/A</v>
      </c>
    </row>
    <row r="745" spans="2:22" x14ac:dyDescent="0.25">
      <c r="B745" s="16">
        <v>0</v>
      </c>
      <c r="C745" s="7">
        <v>1</v>
      </c>
      <c r="D745" s="8">
        <v>1</v>
      </c>
      <c r="E745" s="8">
        <v>0</v>
      </c>
      <c r="F745" s="8">
        <v>0</v>
      </c>
      <c r="G745" s="8">
        <v>1</v>
      </c>
      <c r="H745" s="8">
        <v>1</v>
      </c>
      <c r="I745" s="8">
        <v>1</v>
      </c>
      <c r="J745" s="8">
        <v>0</v>
      </c>
      <c r="K745" s="9">
        <v>1</v>
      </c>
      <c r="L745" s="10">
        <v>0</v>
      </c>
      <c r="M745" s="6">
        <v>0</v>
      </c>
      <c r="N745" s="37" t="e" cm="1">
        <f t="array" ref="N745">IF(OR(ISNUMBER(FIND(Aux!$D$3:$D$9,_xlfn.TEXTJOIN(,,C745:K745)))),NA(),IF(AND(SUM(C745:F745,H745:K745)=0,G745=1),0,INT((SUMPRODUCT(C745:F745,COLUMN($A$1:$D$1)-1)+SUMPRODUCT(H745:K745,COLUMN($E$1:$H$1)-1))*'Line Follower'!$C$3/SUM(C745:F745,H745:K745)-'Line Follower'!$C$5)))</f>
        <v>#N/A</v>
      </c>
      <c r="O745" s="22" t="e">
        <v>#N/A</v>
      </c>
      <c r="P745" s="4" t="e">
        <f t="shared" si="55"/>
        <v>#N/A</v>
      </c>
      <c r="Q745" s="4" t="e">
        <f t="shared" si="56"/>
        <v>#N/A</v>
      </c>
      <c r="R745" s="4" t="e">
        <f>IF(AND(B745=1,N745&gt;'Line Follower'!$C$7,SUM(C745:K745)&lt;4),1,0)</f>
        <v>#N/A</v>
      </c>
      <c r="S745" s="4" t="e">
        <f>IF(AND(L745=1,N745&lt;'Line Follower'!$C$6,SUM(C745:K745)&lt;4),1,0)</f>
        <v>#N/A</v>
      </c>
      <c r="T745" s="4" t="e">
        <f t="shared" si="57"/>
        <v>#N/A</v>
      </c>
      <c r="U745" s="5" t="e">
        <f t="shared" si="58"/>
        <v>#N/A</v>
      </c>
      <c r="V745" s="23" t="e">
        <f t="shared" si="59"/>
        <v>#N/A</v>
      </c>
    </row>
    <row r="746" spans="2:22" x14ac:dyDescent="0.25">
      <c r="B746" s="16">
        <v>1</v>
      </c>
      <c r="C746" s="7">
        <v>1</v>
      </c>
      <c r="D746" s="8">
        <v>1</v>
      </c>
      <c r="E746" s="8">
        <v>0</v>
      </c>
      <c r="F746" s="8">
        <v>0</v>
      </c>
      <c r="G746" s="8">
        <v>1</v>
      </c>
      <c r="H746" s="8">
        <v>1</v>
      </c>
      <c r="I746" s="8">
        <v>1</v>
      </c>
      <c r="J746" s="8">
        <v>0</v>
      </c>
      <c r="K746" s="9">
        <v>1</v>
      </c>
      <c r="L746" s="10">
        <v>0</v>
      </c>
      <c r="M746" s="6">
        <v>0</v>
      </c>
      <c r="N746" s="37" t="e" cm="1">
        <f t="array" ref="N746">IF(OR(ISNUMBER(FIND(Aux!$D$3:$D$9,_xlfn.TEXTJOIN(,,C746:K746)))),NA(),IF(AND(SUM(C746:F746,H746:K746)=0,G746=1),0,INT((SUMPRODUCT(C746:F746,COLUMN($A$1:$D$1)-1)+SUMPRODUCT(H746:K746,COLUMN($E$1:$H$1)-1))*'Line Follower'!$C$3/SUM(C746:F746,H746:K746)-'Line Follower'!$C$5)))</f>
        <v>#N/A</v>
      </c>
      <c r="O746" s="22" t="e">
        <v>#N/A</v>
      </c>
      <c r="P746" s="4" t="e">
        <f t="shared" si="55"/>
        <v>#N/A</v>
      </c>
      <c r="Q746" s="4" t="e">
        <f t="shared" si="56"/>
        <v>#N/A</v>
      </c>
      <c r="R746" s="4" t="e">
        <f>IF(AND(B746=1,N746&gt;'Line Follower'!$C$7,SUM(C746:K746)&lt;4),1,0)</f>
        <v>#N/A</v>
      </c>
      <c r="S746" s="4" t="e">
        <f>IF(AND(L746=1,N746&lt;'Line Follower'!$C$6,SUM(C746:K746)&lt;4),1,0)</f>
        <v>#N/A</v>
      </c>
      <c r="T746" s="4" t="e">
        <f t="shared" si="57"/>
        <v>#N/A</v>
      </c>
      <c r="U746" s="5" t="e">
        <f t="shared" si="58"/>
        <v>#N/A</v>
      </c>
      <c r="V746" s="23" t="e">
        <f t="shared" si="59"/>
        <v>#N/A</v>
      </c>
    </row>
    <row r="747" spans="2:22" x14ac:dyDescent="0.25">
      <c r="B747" s="16">
        <v>0</v>
      </c>
      <c r="C747" s="7">
        <v>0</v>
      </c>
      <c r="D747" s="8">
        <v>0</v>
      </c>
      <c r="E747" s="8">
        <v>1</v>
      </c>
      <c r="F747" s="8">
        <v>0</v>
      </c>
      <c r="G747" s="8">
        <v>1</v>
      </c>
      <c r="H747" s="8">
        <v>1</v>
      </c>
      <c r="I747" s="8">
        <v>1</v>
      </c>
      <c r="J747" s="8">
        <v>0</v>
      </c>
      <c r="K747" s="9">
        <v>1</v>
      </c>
      <c r="L747" s="10">
        <v>0</v>
      </c>
      <c r="M747" s="6">
        <v>0</v>
      </c>
      <c r="N747" s="37" t="e" cm="1">
        <f t="array" ref="N747">IF(OR(ISNUMBER(FIND(Aux!$D$3:$D$9,_xlfn.TEXTJOIN(,,C747:K747)))),NA(),IF(AND(SUM(C747:F747,H747:K747)=0,G747=1),0,INT((SUMPRODUCT(C747:F747,COLUMN($A$1:$D$1)-1)+SUMPRODUCT(H747:K747,COLUMN($E$1:$H$1)-1))*'Line Follower'!$C$3/SUM(C747:F747,H747:K747)-'Line Follower'!$C$5)))</f>
        <v>#N/A</v>
      </c>
      <c r="O747" s="22" t="e">
        <v>#N/A</v>
      </c>
      <c r="P747" s="4" t="e">
        <f t="shared" si="55"/>
        <v>#N/A</v>
      </c>
      <c r="Q747" s="4" t="e">
        <f t="shared" si="56"/>
        <v>#N/A</v>
      </c>
      <c r="R747" s="4" t="e">
        <f>IF(AND(B747=1,N747&gt;'Line Follower'!$C$7,SUM(C747:K747)&lt;4),1,0)</f>
        <v>#N/A</v>
      </c>
      <c r="S747" s="4" t="e">
        <f>IF(AND(L747=1,N747&lt;'Line Follower'!$C$6,SUM(C747:K747)&lt;4),1,0)</f>
        <v>#N/A</v>
      </c>
      <c r="T747" s="4" t="e">
        <f t="shared" si="57"/>
        <v>#N/A</v>
      </c>
      <c r="U747" s="5" t="e">
        <f t="shared" si="58"/>
        <v>#N/A</v>
      </c>
      <c r="V747" s="23" t="e">
        <f t="shared" si="59"/>
        <v>#N/A</v>
      </c>
    </row>
    <row r="748" spans="2:22" x14ac:dyDescent="0.25">
      <c r="B748" s="16">
        <v>1</v>
      </c>
      <c r="C748" s="7">
        <v>0</v>
      </c>
      <c r="D748" s="8">
        <v>0</v>
      </c>
      <c r="E748" s="8">
        <v>1</v>
      </c>
      <c r="F748" s="8">
        <v>0</v>
      </c>
      <c r="G748" s="8">
        <v>1</v>
      </c>
      <c r="H748" s="8">
        <v>1</v>
      </c>
      <c r="I748" s="8">
        <v>1</v>
      </c>
      <c r="J748" s="8">
        <v>0</v>
      </c>
      <c r="K748" s="9">
        <v>1</v>
      </c>
      <c r="L748" s="10">
        <v>0</v>
      </c>
      <c r="M748" s="6">
        <v>0</v>
      </c>
      <c r="N748" s="37" t="e" cm="1">
        <f t="array" ref="N748">IF(OR(ISNUMBER(FIND(Aux!$D$3:$D$9,_xlfn.TEXTJOIN(,,C748:K748)))),NA(),IF(AND(SUM(C748:F748,H748:K748)=0,G748=1),0,INT((SUMPRODUCT(C748:F748,COLUMN($A$1:$D$1)-1)+SUMPRODUCT(H748:K748,COLUMN($E$1:$H$1)-1))*'Line Follower'!$C$3/SUM(C748:F748,H748:K748)-'Line Follower'!$C$5)))</f>
        <v>#N/A</v>
      </c>
      <c r="O748" s="22" t="e">
        <v>#N/A</v>
      </c>
      <c r="P748" s="4" t="e">
        <f t="shared" si="55"/>
        <v>#N/A</v>
      </c>
      <c r="Q748" s="4" t="e">
        <f t="shared" si="56"/>
        <v>#N/A</v>
      </c>
      <c r="R748" s="4" t="e">
        <f>IF(AND(B748=1,N748&gt;'Line Follower'!$C$7,SUM(C748:K748)&lt;4),1,0)</f>
        <v>#N/A</v>
      </c>
      <c r="S748" s="4" t="e">
        <f>IF(AND(L748=1,N748&lt;'Line Follower'!$C$6,SUM(C748:K748)&lt;4),1,0)</f>
        <v>#N/A</v>
      </c>
      <c r="T748" s="4" t="e">
        <f t="shared" si="57"/>
        <v>#N/A</v>
      </c>
      <c r="U748" s="5" t="e">
        <f t="shared" si="58"/>
        <v>#N/A</v>
      </c>
      <c r="V748" s="23" t="e">
        <f t="shared" si="59"/>
        <v>#N/A</v>
      </c>
    </row>
    <row r="749" spans="2:22" x14ac:dyDescent="0.25">
      <c r="B749" s="16">
        <v>0</v>
      </c>
      <c r="C749" s="7">
        <v>1</v>
      </c>
      <c r="D749" s="8">
        <v>0</v>
      </c>
      <c r="E749" s="8">
        <v>1</v>
      </c>
      <c r="F749" s="8">
        <v>0</v>
      </c>
      <c r="G749" s="8">
        <v>1</v>
      </c>
      <c r="H749" s="8">
        <v>1</v>
      </c>
      <c r="I749" s="8">
        <v>1</v>
      </c>
      <c r="J749" s="8">
        <v>0</v>
      </c>
      <c r="K749" s="9">
        <v>1</v>
      </c>
      <c r="L749" s="10">
        <v>0</v>
      </c>
      <c r="M749" s="6">
        <v>0</v>
      </c>
      <c r="N749" s="37" t="e" cm="1">
        <f t="array" ref="N749">IF(OR(ISNUMBER(FIND(Aux!$D$3:$D$9,_xlfn.TEXTJOIN(,,C749:K749)))),NA(),IF(AND(SUM(C749:F749,H749:K749)=0,G749=1),0,INT((SUMPRODUCT(C749:F749,COLUMN($A$1:$D$1)-1)+SUMPRODUCT(H749:K749,COLUMN($E$1:$H$1)-1))*'Line Follower'!$C$3/SUM(C749:F749,H749:K749)-'Line Follower'!$C$5)))</f>
        <v>#N/A</v>
      </c>
      <c r="O749" s="22" t="e">
        <v>#N/A</v>
      </c>
      <c r="P749" s="4" t="e">
        <f t="shared" si="55"/>
        <v>#N/A</v>
      </c>
      <c r="Q749" s="4" t="e">
        <f t="shared" si="56"/>
        <v>#N/A</v>
      </c>
      <c r="R749" s="4" t="e">
        <f>IF(AND(B749=1,N749&gt;'Line Follower'!$C$7,SUM(C749:K749)&lt;4),1,0)</f>
        <v>#N/A</v>
      </c>
      <c r="S749" s="4" t="e">
        <f>IF(AND(L749=1,N749&lt;'Line Follower'!$C$6,SUM(C749:K749)&lt;4),1,0)</f>
        <v>#N/A</v>
      </c>
      <c r="T749" s="4" t="e">
        <f t="shared" si="57"/>
        <v>#N/A</v>
      </c>
      <c r="U749" s="5" t="e">
        <f t="shared" si="58"/>
        <v>#N/A</v>
      </c>
      <c r="V749" s="23" t="e">
        <f t="shared" si="59"/>
        <v>#N/A</v>
      </c>
    </row>
    <row r="750" spans="2:22" x14ac:dyDescent="0.25">
      <c r="B750" s="16">
        <v>1</v>
      </c>
      <c r="C750" s="7">
        <v>1</v>
      </c>
      <c r="D750" s="8">
        <v>0</v>
      </c>
      <c r="E750" s="8">
        <v>1</v>
      </c>
      <c r="F750" s="8">
        <v>0</v>
      </c>
      <c r="G750" s="8">
        <v>1</v>
      </c>
      <c r="H750" s="8">
        <v>1</v>
      </c>
      <c r="I750" s="8">
        <v>1</v>
      </c>
      <c r="J750" s="8">
        <v>0</v>
      </c>
      <c r="K750" s="9">
        <v>1</v>
      </c>
      <c r="L750" s="10">
        <v>0</v>
      </c>
      <c r="M750" s="6">
        <v>0</v>
      </c>
      <c r="N750" s="37" t="e" cm="1">
        <f t="array" ref="N750">IF(OR(ISNUMBER(FIND(Aux!$D$3:$D$9,_xlfn.TEXTJOIN(,,C750:K750)))),NA(),IF(AND(SUM(C750:F750,H750:K750)=0,G750=1),0,INT((SUMPRODUCT(C750:F750,COLUMN($A$1:$D$1)-1)+SUMPRODUCT(H750:K750,COLUMN($E$1:$H$1)-1))*'Line Follower'!$C$3/SUM(C750:F750,H750:K750)-'Line Follower'!$C$5)))</f>
        <v>#N/A</v>
      </c>
      <c r="O750" s="22" t="e">
        <v>#N/A</v>
      </c>
      <c r="P750" s="4" t="e">
        <f t="shared" si="55"/>
        <v>#N/A</v>
      </c>
      <c r="Q750" s="4" t="e">
        <f t="shared" si="56"/>
        <v>#N/A</v>
      </c>
      <c r="R750" s="4" t="e">
        <f>IF(AND(B750=1,N750&gt;'Line Follower'!$C$7,SUM(C750:K750)&lt;4),1,0)</f>
        <v>#N/A</v>
      </c>
      <c r="S750" s="4" t="e">
        <f>IF(AND(L750=1,N750&lt;'Line Follower'!$C$6,SUM(C750:K750)&lt;4),1,0)</f>
        <v>#N/A</v>
      </c>
      <c r="T750" s="4" t="e">
        <f t="shared" si="57"/>
        <v>#N/A</v>
      </c>
      <c r="U750" s="5" t="e">
        <f t="shared" si="58"/>
        <v>#N/A</v>
      </c>
      <c r="V750" s="23" t="e">
        <f t="shared" si="59"/>
        <v>#N/A</v>
      </c>
    </row>
    <row r="751" spans="2:22" x14ac:dyDescent="0.25">
      <c r="B751" s="16">
        <v>0</v>
      </c>
      <c r="C751" s="7">
        <v>0</v>
      </c>
      <c r="D751" s="8">
        <v>1</v>
      </c>
      <c r="E751" s="8">
        <v>1</v>
      </c>
      <c r="F751" s="8">
        <v>0</v>
      </c>
      <c r="G751" s="8">
        <v>1</v>
      </c>
      <c r="H751" s="8">
        <v>1</v>
      </c>
      <c r="I751" s="8">
        <v>1</v>
      </c>
      <c r="J751" s="8">
        <v>0</v>
      </c>
      <c r="K751" s="9">
        <v>1</v>
      </c>
      <c r="L751" s="10">
        <v>0</v>
      </c>
      <c r="M751" s="6">
        <v>0</v>
      </c>
      <c r="N751" s="37" t="e" cm="1">
        <f t="array" ref="N751">IF(OR(ISNUMBER(FIND(Aux!$D$3:$D$9,_xlfn.TEXTJOIN(,,C751:K751)))),NA(),IF(AND(SUM(C751:F751,H751:K751)=0,G751=1),0,INT((SUMPRODUCT(C751:F751,COLUMN($A$1:$D$1)-1)+SUMPRODUCT(H751:K751,COLUMN($E$1:$H$1)-1))*'Line Follower'!$C$3/SUM(C751:F751,H751:K751)-'Line Follower'!$C$5)))</f>
        <v>#N/A</v>
      </c>
      <c r="O751" s="22" t="e">
        <v>#N/A</v>
      </c>
      <c r="P751" s="4" t="e">
        <f t="shared" si="55"/>
        <v>#N/A</v>
      </c>
      <c r="Q751" s="4" t="e">
        <f t="shared" si="56"/>
        <v>#N/A</v>
      </c>
      <c r="R751" s="4" t="e">
        <f>IF(AND(B751=1,N751&gt;'Line Follower'!$C$7,SUM(C751:K751)&lt;4),1,0)</f>
        <v>#N/A</v>
      </c>
      <c r="S751" s="4" t="e">
        <f>IF(AND(L751=1,N751&lt;'Line Follower'!$C$6,SUM(C751:K751)&lt;4),1,0)</f>
        <v>#N/A</v>
      </c>
      <c r="T751" s="4" t="e">
        <f t="shared" si="57"/>
        <v>#N/A</v>
      </c>
      <c r="U751" s="5" t="e">
        <f t="shared" si="58"/>
        <v>#N/A</v>
      </c>
      <c r="V751" s="23" t="e">
        <f t="shared" si="59"/>
        <v>#N/A</v>
      </c>
    </row>
    <row r="752" spans="2:22" x14ac:dyDescent="0.25">
      <c r="B752" s="16">
        <v>1</v>
      </c>
      <c r="C752" s="7">
        <v>0</v>
      </c>
      <c r="D752" s="8">
        <v>1</v>
      </c>
      <c r="E752" s="8">
        <v>1</v>
      </c>
      <c r="F752" s="8">
        <v>0</v>
      </c>
      <c r="G752" s="8">
        <v>1</v>
      </c>
      <c r="H752" s="8">
        <v>1</v>
      </c>
      <c r="I752" s="8">
        <v>1</v>
      </c>
      <c r="J752" s="8">
        <v>0</v>
      </c>
      <c r="K752" s="9">
        <v>1</v>
      </c>
      <c r="L752" s="10">
        <v>0</v>
      </c>
      <c r="M752" s="6">
        <v>0</v>
      </c>
      <c r="N752" s="37" t="e" cm="1">
        <f t="array" ref="N752">IF(OR(ISNUMBER(FIND(Aux!$D$3:$D$9,_xlfn.TEXTJOIN(,,C752:K752)))),NA(),IF(AND(SUM(C752:F752,H752:K752)=0,G752=1),0,INT((SUMPRODUCT(C752:F752,COLUMN($A$1:$D$1)-1)+SUMPRODUCT(H752:K752,COLUMN($E$1:$H$1)-1))*'Line Follower'!$C$3/SUM(C752:F752,H752:K752)-'Line Follower'!$C$5)))</f>
        <v>#N/A</v>
      </c>
      <c r="O752" s="22" t="e">
        <v>#N/A</v>
      </c>
      <c r="P752" s="4" t="e">
        <f t="shared" si="55"/>
        <v>#N/A</v>
      </c>
      <c r="Q752" s="4" t="e">
        <f t="shared" si="56"/>
        <v>#N/A</v>
      </c>
      <c r="R752" s="4" t="e">
        <f>IF(AND(B752=1,N752&gt;'Line Follower'!$C$7,SUM(C752:K752)&lt;4),1,0)</f>
        <v>#N/A</v>
      </c>
      <c r="S752" s="4" t="e">
        <f>IF(AND(L752=1,N752&lt;'Line Follower'!$C$6,SUM(C752:K752)&lt;4),1,0)</f>
        <v>#N/A</v>
      </c>
      <c r="T752" s="4" t="e">
        <f t="shared" si="57"/>
        <v>#N/A</v>
      </c>
      <c r="U752" s="5" t="e">
        <f t="shared" si="58"/>
        <v>#N/A</v>
      </c>
      <c r="V752" s="23" t="e">
        <f t="shared" si="59"/>
        <v>#N/A</v>
      </c>
    </row>
    <row r="753" spans="2:22" x14ac:dyDescent="0.25">
      <c r="B753" s="16">
        <v>0</v>
      </c>
      <c r="C753" s="7">
        <v>1</v>
      </c>
      <c r="D753" s="8">
        <v>1</v>
      </c>
      <c r="E753" s="8">
        <v>1</v>
      </c>
      <c r="F753" s="8">
        <v>0</v>
      </c>
      <c r="G753" s="8">
        <v>1</v>
      </c>
      <c r="H753" s="8">
        <v>1</v>
      </c>
      <c r="I753" s="8">
        <v>1</v>
      </c>
      <c r="J753" s="8">
        <v>0</v>
      </c>
      <c r="K753" s="9">
        <v>1</v>
      </c>
      <c r="L753" s="10">
        <v>0</v>
      </c>
      <c r="M753" s="6">
        <v>0</v>
      </c>
      <c r="N753" s="37" t="e" cm="1">
        <f t="array" ref="N753">IF(OR(ISNUMBER(FIND(Aux!$D$3:$D$9,_xlfn.TEXTJOIN(,,C753:K753)))),NA(),IF(AND(SUM(C753:F753,H753:K753)=0,G753=1),0,INT((SUMPRODUCT(C753:F753,COLUMN($A$1:$D$1)-1)+SUMPRODUCT(H753:K753,COLUMN($E$1:$H$1)-1))*'Line Follower'!$C$3/SUM(C753:F753,H753:K753)-'Line Follower'!$C$5)))</f>
        <v>#N/A</v>
      </c>
      <c r="O753" s="22" t="e">
        <v>#N/A</v>
      </c>
      <c r="P753" s="4" t="e">
        <f t="shared" si="55"/>
        <v>#N/A</v>
      </c>
      <c r="Q753" s="4" t="e">
        <f t="shared" si="56"/>
        <v>#N/A</v>
      </c>
      <c r="R753" s="4" t="e">
        <f>IF(AND(B753=1,N753&gt;'Line Follower'!$C$7,SUM(C753:K753)&lt;4),1,0)</f>
        <v>#N/A</v>
      </c>
      <c r="S753" s="4" t="e">
        <f>IF(AND(L753=1,N753&lt;'Line Follower'!$C$6,SUM(C753:K753)&lt;4),1,0)</f>
        <v>#N/A</v>
      </c>
      <c r="T753" s="4" t="e">
        <f t="shared" si="57"/>
        <v>#N/A</v>
      </c>
      <c r="U753" s="5" t="e">
        <f t="shared" si="58"/>
        <v>#N/A</v>
      </c>
      <c r="V753" s="23" t="e">
        <f t="shared" si="59"/>
        <v>#N/A</v>
      </c>
    </row>
    <row r="754" spans="2:22" x14ac:dyDescent="0.25">
      <c r="B754" s="16">
        <v>1</v>
      </c>
      <c r="C754" s="7">
        <v>1</v>
      </c>
      <c r="D754" s="8">
        <v>1</v>
      </c>
      <c r="E754" s="8">
        <v>1</v>
      </c>
      <c r="F754" s="8">
        <v>0</v>
      </c>
      <c r="G754" s="8">
        <v>1</v>
      </c>
      <c r="H754" s="8">
        <v>1</v>
      </c>
      <c r="I754" s="8">
        <v>1</v>
      </c>
      <c r="J754" s="8">
        <v>0</v>
      </c>
      <c r="K754" s="9">
        <v>1</v>
      </c>
      <c r="L754" s="10">
        <v>0</v>
      </c>
      <c r="M754" s="6">
        <v>0</v>
      </c>
      <c r="N754" s="37" t="e" cm="1">
        <f t="array" ref="N754">IF(OR(ISNUMBER(FIND(Aux!$D$3:$D$9,_xlfn.TEXTJOIN(,,C754:K754)))),NA(),IF(AND(SUM(C754:F754,H754:K754)=0,G754=1),0,INT((SUMPRODUCT(C754:F754,COLUMN($A$1:$D$1)-1)+SUMPRODUCT(H754:K754,COLUMN($E$1:$H$1)-1))*'Line Follower'!$C$3/SUM(C754:F754,H754:K754)-'Line Follower'!$C$5)))</f>
        <v>#N/A</v>
      </c>
      <c r="O754" s="22" t="e">
        <v>#N/A</v>
      </c>
      <c r="P754" s="4" t="e">
        <f t="shared" si="55"/>
        <v>#N/A</v>
      </c>
      <c r="Q754" s="4" t="e">
        <f t="shared" si="56"/>
        <v>#N/A</v>
      </c>
      <c r="R754" s="4" t="e">
        <f>IF(AND(B754=1,N754&gt;'Line Follower'!$C$7,SUM(C754:K754)&lt;4),1,0)</f>
        <v>#N/A</v>
      </c>
      <c r="S754" s="4" t="e">
        <f>IF(AND(L754=1,N754&lt;'Line Follower'!$C$6,SUM(C754:K754)&lt;4),1,0)</f>
        <v>#N/A</v>
      </c>
      <c r="T754" s="4" t="e">
        <f t="shared" si="57"/>
        <v>#N/A</v>
      </c>
      <c r="U754" s="5" t="e">
        <f t="shared" si="58"/>
        <v>#N/A</v>
      </c>
      <c r="V754" s="23" t="e">
        <f t="shared" si="59"/>
        <v>#N/A</v>
      </c>
    </row>
    <row r="755" spans="2:22" x14ac:dyDescent="0.25">
      <c r="B755" s="16">
        <v>0</v>
      </c>
      <c r="C755" s="7">
        <v>0</v>
      </c>
      <c r="D755" s="8">
        <v>0</v>
      </c>
      <c r="E755" s="8">
        <v>0</v>
      </c>
      <c r="F755" s="8">
        <v>1</v>
      </c>
      <c r="G755" s="8">
        <v>1</v>
      </c>
      <c r="H755" s="8">
        <v>1</v>
      </c>
      <c r="I755" s="8">
        <v>1</v>
      </c>
      <c r="J755" s="8">
        <v>0</v>
      </c>
      <c r="K755" s="9">
        <v>1</v>
      </c>
      <c r="L755" s="10">
        <v>0</v>
      </c>
      <c r="M755" s="6">
        <v>0</v>
      </c>
      <c r="N755" s="37" t="e" cm="1">
        <f t="array" ref="N755">IF(OR(ISNUMBER(FIND(Aux!$D$3:$D$9,_xlfn.TEXTJOIN(,,C755:K755)))),NA(),IF(AND(SUM(C755:F755,H755:K755)=0,G755=1),0,INT((SUMPRODUCT(C755:F755,COLUMN($A$1:$D$1)-1)+SUMPRODUCT(H755:K755,COLUMN($E$1:$H$1)-1))*'Line Follower'!$C$3/SUM(C755:F755,H755:K755)-'Line Follower'!$C$5)))</f>
        <v>#N/A</v>
      </c>
      <c r="O755" s="22" t="e">
        <v>#N/A</v>
      </c>
      <c r="P755" s="4" t="e">
        <f t="shared" si="55"/>
        <v>#N/A</v>
      </c>
      <c r="Q755" s="4" t="e">
        <f t="shared" si="56"/>
        <v>#N/A</v>
      </c>
      <c r="R755" s="4" t="e">
        <f>IF(AND(B755=1,N755&gt;'Line Follower'!$C$7,SUM(C755:K755)&lt;4),1,0)</f>
        <v>#N/A</v>
      </c>
      <c r="S755" s="4" t="e">
        <f>IF(AND(L755=1,N755&lt;'Line Follower'!$C$6,SUM(C755:K755)&lt;4),1,0)</f>
        <v>#N/A</v>
      </c>
      <c r="T755" s="4" t="e">
        <f t="shared" si="57"/>
        <v>#N/A</v>
      </c>
      <c r="U755" s="5" t="e">
        <f t="shared" si="58"/>
        <v>#N/A</v>
      </c>
      <c r="V755" s="23" t="e">
        <f t="shared" si="59"/>
        <v>#N/A</v>
      </c>
    </row>
    <row r="756" spans="2:22" x14ac:dyDescent="0.25">
      <c r="B756" s="16">
        <v>1</v>
      </c>
      <c r="C756" s="7">
        <v>0</v>
      </c>
      <c r="D756" s="8">
        <v>0</v>
      </c>
      <c r="E756" s="8">
        <v>0</v>
      </c>
      <c r="F756" s="8">
        <v>1</v>
      </c>
      <c r="G756" s="8">
        <v>1</v>
      </c>
      <c r="H756" s="8">
        <v>1</v>
      </c>
      <c r="I756" s="8">
        <v>1</v>
      </c>
      <c r="J756" s="8">
        <v>0</v>
      </c>
      <c r="K756" s="9">
        <v>1</v>
      </c>
      <c r="L756" s="10">
        <v>0</v>
      </c>
      <c r="M756" s="6">
        <v>0</v>
      </c>
      <c r="N756" s="37" t="e" cm="1">
        <f t="array" ref="N756">IF(OR(ISNUMBER(FIND(Aux!$D$3:$D$9,_xlfn.TEXTJOIN(,,C756:K756)))),NA(),IF(AND(SUM(C756:F756,H756:K756)=0,G756=1),0,INT((SUMPRODUCT(C756:F756,COLUMN($A$1:$D$1)-1)+SUMPRODUCT(H756:K756,COLUMN($E$1:$H$1)-1))*'Line Follower'!$C$3/SUM(C756:F756,H756:K756)-'Line Follower'!$C$5)))</f>
        <v>#N/A</v>
      </c>
      <c r="O756" s="22" t="e">
        <v>#N/A</v>
      </c>
      <c r="P756" s="4" t="e">
        <f t="shared" si="55"/>
        <v>#N/A</v>
      </c>
      <c r="Q756" s="4" t="e">
        <f t="shared" si="56"/>
        <v>#N/A</v>
      </c>
      <c r="R756" s="4" t="e">
        <f>IF(AND(B756=1,N756&gt;'Line Follower'!$C$7,SUM(C756:K756)&lt;4),1,0)</f>
        <v>#N/A</v>
      </c>
      <c r="S756" s="4" t="e">
        <f>IF(AND(L756=1,N756&lt;'Line Follower'!$C$6,SUM(C756:K756)&lt;4),1,0)</f>
        <v>#N/A</v>
      </c>
      <c r="T756" s="4" t="e">
        <f t="shared" si="57"/>
        <v>#N/A</v>
      </c>
      <c r="U756" s="5" t="e">
        <f t="shared" si="58"/>
        <v>#N/A</v>
      </c>
      <c r="V756" s="23" t="e">
        <f t="shared" si="59"/>
        <v>#N/A</v>
      </c>
    </row>
    <row r="757" spans="2:22" x14ac:dyDescent="0.25">
      <c r="B757" s="16">
        <v>0</v>
      </c>
      <c r="C757" s="7">
        <v>1</v>
      </c>
      <c r="D757" s="8">
        <v>0</v>
      </c>
      <c r="E757" s="8">
        <v>0</v>
      </c>
      <c r="F757" s="8">
        <v>1</v>
      </c>
      <c r="G757" s="8">
        <v>1</v>
      </c>
      <c r="H757" s="8">
        <v>1</v>
      </c>
      <c r="I757" s="8">
        <v>1</v>
      </c>
      <c r="J757" s="8">
        <v>0</v>
      </c>
      <c r="K757" s="9">
        <v>1</v>
      </c>
      <c r="L757" s="10">
        <v>0</v>
      </c>
      <c r="M757" s="6">
        <v>0</v>
      </c>
      <c r="N757" s="37" t="e" cm="1">
        <f t="array" ref="N757">IF(OR(ISNUMBER(FIND(Aux!$D$3:$D$9,_xlfn.TEXTJOIN(,,C757:K757)))),NA(),IF(AND(SUM(C757:F757,H757:K757)=0,G757=1),0,INT((SUMPRODUCT(C757:F757,COLUMN($A$1:$D$1)-1)+SUMPRODUCT(H757:K757,COLUMN($E$1:$H$1)-1))*'Line Follower'!$C$3/SUM(C757:F757,H757:K757)-'Line Follower'!$C$5)))</f>
        <v>#N/A</v>
      </c>
      <c r="O757" s="22" t="e">
        <v>#N/A</v>
      </c>
      <c r="P757" s="4" t="e">
        <f t="shared" si="55"/>
        <v>#N/A</v>
      </c>
      <c r="Q757" s="4" t="e">
        <f t="shared" si="56"/>
        <v>#N/A</v>
      </c>
      <c r="R757" s="4" t="e">
        <f>IF(AND(B757=1,N757&gt;'Line Follower'!$C$7,SUM(C757:K757)&lt;4),1,0)</f>
        <v>#N/A</v>
      </c>
      <c r="S757" s="4" t="e">
        <f>IF(AND(L757=1,N757&lt;'Line Follower'!$C$6,SUM(C757:K757)&lt;4),1,0)</f>
        <v>#N/A</v>
      </c>
      <c r="T757" s="4" t="e">
        <f t="shared" si="57"/>
        <v>#N/A</v>
      </c>
      <c r="U757" s="5" t="e">
        <f t="shared" si="58"/>
        <v>#N/A</v>
      </c>
      <c r="V757" s="23" t="e">
        <f t="shared" si="59"/>
        <v>#N/A</v>
      </c>
    </row>
    <row r="758" spans="2:22" x14ac:dyDescent="0.25">
      <c r="B758" s="16">
        <v>1</v>
      </c>
      <c r="C758" s="7">
        <v>1</v>
      </c>
      <c r="D758" s="8">
        <v>0</v>
      </c>
      <c r="E758" s="8">
        <v>0</v>
      </c>
      <c r="F758" s="8">
        <v>1</v>
      </c>
      <c r="G758" s="8">
        <v>1</v>
      </c>
      <c r="H758" s="8">
        <v>1</v>
      </c>
      <c r="I758" s="8">
        <v>1</v>
      </c>
      <c r="J758" s="8">
        <v>0</v>
      </c>
      <c r="K758" s="9">
        <v>1</v>
      </c>
      <c r="L758" s="10">
        <v>0</v>
      </c>
      <c r="M758" s="6">
        <v>0</v>
      </c>
      <c r="N758" s="37" t="e" cm="1">
        <f t="array" ref="N758">IF(OR(ISNUMBER(FIND(Aux!$D$3:$D$9,_xlfn.TEXTJOIN(,,C758:K758)))),NA(),IF(AND(SUM(C758:F758,H758:K758)=0,G758=1),0,INT((SUMPRODUCT(C758:F758,COLUMN($A$1:$D$1)-1)+SUMPRODUCT(H758:K758,COLUMN($E$1:$H$1)-1))*'Line Follower'!$C$3/SUM(C758:F758,H758:K758)-'Line Follower'!$C$5)))</f>
        <v>#N/A</v>
      </c>
      <c r="O758" s="22" t="e">
        <v>#N/A</v>
      </c>
      <c r="P758" s="4" t="e">
        <f t="shared" si="55"/>
        <v>#N/A</v>
      </c>
      <c r="Q758" s="4" t="e">
        <f t="shared" si="56"/>
        <v>#N/A</v>
      </c>
      <c r="R758" s="4" t="e">
        <f>IF(AND(B758=1,N758&gt;'Line Follower'!$C$7,SUM(C758:K758)&lt;4),1,0)</f>
        <v>#N/A</v>
      </c>
      <c r="S758" s="4" t="e">
        <f>IF(AND(L758=1,N758&lt;'Line Follower'!$C$6,SUM(C758:K758)&lt;4),1,0)</f>
        <v>#N/A</v>
      </c>
      <c r="T758" s="4" t="e">
        <f t="shared" si="57"/>
        <v>#N/A</v>
      </c>
      <c r="U758" s="5" t="e">
        <f t="shared" si="58"/>
        <v>#N/A</v>
      </c>
      <c r="V758" s="23" t="e">
        <f t="shared" si="59"/>
        <v>#N/A</v>
      </c>
    </row>
    <row r="759" spans="2:22" x14ac:dyDescent="0.25">
      <c r="B759" s="16">
        <v>0</v>
      </c>
      <c r="C759" s="7">
        <v>0</v>
      </c>
      <c r="D759" s="8">
        <v>1</v>
      </c>
      <c r="E759" s="8">
        <v>0</v>
      </c>
      <c r="F759" s="8">
        <v>1</v>
      </c>
      <c r="G759" s="8">
        <v>1</v>
      </c>
      <c r="H759" s="8">
        <v>1</v>
      </c>
      <c r="I759" s="8">
        <v>1</v>
      </c>
      <c r="J759" s="8">
        <v>0</v>
      </c>
      <c r="K759" s="9">
        <v>1</v>
      </c>
      <c r="L759" s="10">
        <v>0</v>
      </c>
      <c r="M759" s="6">
        <v>0</v>
      </c>
      <c r="N759" s="37" t="e" cm="1">
        <f t="array" ref="N759">IF(OR(ISNUMBER(FIND(Aux!$D$3:$D$9,_xlfn.TEXTJOIN(,,C759:K759)))),NA(),IF(AND(SUM(C759:F759,H759:K759)=0,G759=1),0,INT((SUMPRODUCT(C759:F759,COLUMN($A$1:$D$1)-1)+SUMPRODUCT(H759:K759,COLUMN($E$1:$H$1)-1))*'Line Follower'!$C$3/SUM(C759:F759,H759:K759)-'Line Follower'!$C$5)))</f>
        <v>#N/A</v>
      </c>
      <c r="O759" s="22" t="e">
        <v>#N/A</v>
      </c>
      <c r="P759" s="4" t="e">
        <f t="shared" si="55"/>
        <v>#N/A</v>
      </c>
      <c r="Q759" s="4" t="e">
        <f t="shared" si="56"/>
        <v>#N/A</v>
      </c>
      <c r="R759" s="4" t="e">
        <f>IF(AND(B759=1,N759&gt;'Line Follower'!$C$7,SUM(C759:K759)&lt;4),1,0)</f>
        <v>#N/A</v>
      </c>
      <c r="S759" s="4" t="e">
        <f>IF(AND(L759=1,N759&lt;'Line Follower'!$C$6,SUM(C759:K759)&lt;4),1,0)</f>
        <v>#N/A</v>
      </c>
      <c r="T759" s="4" t="e">
        <f t="shared" si="57"/>
        <v>#N/A</v>
      </c>
      <c r="U759" s="5" t="e">
        <f t="shared" si="58"/>
        <v>#N/A</v>
      </c>
      <c r="V759" s="23" t="e">
        <f t="shared" si="59"/>
        <v>#N/A</v>
      </c>
    </row>
    <row r="760" spans="2:22" x14ac:dyDescent="0.25">
      <c r="B760" s="16">
        <v>1</v>
      </c>
      <c r="C760" s="7">
        <v>0</v>
      </c>
      <c r="D760" s="8">
        <v>1</v>
      </c>
      <c r="E760" s="8">
        <v>0</v>
      </c>
      <c r="F760" s="8">
        <v>1</v>
      </c>
      <c r="G760" s="8">
        <v>1</v>
      </c>
      <c r="H760" s="8">
        <v>1</v>
      </c>
      <c r="I760" s="8">
        <v>1</v>
      </c>
      <c r="J760" s="8">
        <v>0</v>
      </c>
      <c r="K760" s="9">
        <v>1</v>
      </c>
      <c r="L760" s="10">
        <v>0</v>
      </c>
      <c r="M760" s="6">
        <v>0</v>
      </c>
      <c r="N760" s="37" t="e" cm="1">
        <f t="array" ref="N760">IF(OR(ISNUMBER(FIND(Aux!$D$3:$D$9,_xlfn.TEXTJOIN(,,C760:K760)))),NA(),IF(AND(SUM(C760:F760,H760:K760)=0,G760=1),0,INT((SUMPRODUCT(C760:F760,COLUMN($A$1:$D$1)-1)+SUMPRODUCT(H760:K760,COLUMN($E$1:$H$1)-1))*'Line Follower'!$C$3/SUM(C760:F760,H760:K760)-'Line Follower'!$C$5)))</f>
        <v>#N/A</v>
      </c>
      <c r="O760" s="22" t="e">
        <v>#N/A</v>
      </c>
      <c r="P760" s="4" t="e">
        <f t="shared" si="55"/>
        <v>#N/A</v>
      </c>
      <c r="Q760" s="4" t="e">
        <f t="shared" si="56"/>
        <v>#N/A</v>
      </c>
      <c r="R760" s="4" t="e">
        <f>IF(AND(B760=1,N760&gt;'Line Follower'!$C$7,SUM(C760:K760)&lt;4),1,0)</f>
        <v>#N/A</v>
      </c>
      <c r="S760" s="4" t="e">
        <f>IF(AND(L760=1,N760&lt;'Line Follower'!$C$6,SUM(C760:K760)&lt;4),1,0)</f>
        <v>#N/A</v>
      </c>
      <c r="T760" s="4" t="e">
        <f t="shared" si="57"/>
        <v>#N/A</v>
      </c>
      <c r="U760" s="5" t="e">
        <f t="shared" si="58"/>
        <v>#N/A</v>
      </c>
      <c r="V760" s="23" t="e">
        <f t="shared" si="59"/>
        <v>#N/A</v>
      </c>
    </row>
    <row r="761" spans="2:22" x14ac:dyDescent="0.25">
      <c r="B761" s="16">
        <v>0</v>
      </c>
      <c r="C761" s="7">
        <v>1</v>
      </c>
      <c r="D761" s="8">
        <v>1</v>
      </c>
      <c r="E761" s="8">
        <v>0</v>
      </c>
      <c r="F761" s="8">
        <v>1</v>
      </c>
      <c r="G761" s="8">
        <v>1</v>
      </c>
      <c r="H761" s="8">
        <v>1</v>
      </c>
      <c r="I761" s="8">
        <v>1</v>
      </c>
      <c r="J761" s="8">
        <v>0</v>
      </c>
      <c r="K761" s="9">
        <v>1</v>
      </c>
      <c r="L761" s="10">
        <v>0</v>
      </c>
      <c r="M761" s="6">
        <v>0</v>
      </c>
      <c r="N761" s="37" t="e" cm="1">
        <f t="array" ref="N761">IF(OR(ISNUMBER(FIND(Aux!$D$3:$D$9,_xlfn.TEXTJOIN(,,C761:K761)))),NA(),IF(AND(SUM(C761:F761,H761:K761)=0,G761=1),0,INT((SUMPRODUCT(C761:F761,COLUMN($A$1:$D$1)-1)+SUMPRODUCT(H761:K761,COLUMN($E$1:$H$1)-1))*'Line Follower'!$C$3/SUM(C761:F761,H761:K761)-'Line Follower'!$C$5)))</f>
        <v>#N/A</v>
      </c>
      <c r="O761" s="22" t="e">
        <v>#N/A</v>
      </c>
      <c r="P761" s="4" t="e">
        <f t="shared" si="55"/>
        <v>#N/A</v>
      </c>
      <c r="Q761" s="4" t="e">
        <f t="shared" si="56"/>
        <v>#N/A</v>
      </c>
      <c r="R761" s="4" t="e">
        <f>IF(AND(B761=1,N761&gt;'Line Follower'!$C$7,SUM(C761:K761)&lt;4),1,0)</f>
        <v>#N/A</v>
      </c>
      <c r="S761" s="4" t="e">
        <f>IF(AND(L761=1,N761&lt;'Line Follower'!$C$6,SUM(C761:K761)&lt;4),1,0)</f>
        <v>#N/A</v>
      </c>
      <c r="T761" s="4" t="e">
        <f t="shared" si="57"/>
        <v>#N/A</v>
      </c>
      <c r="U761" s="5" t="e">
        <f t="shared" si="58"/>
        <v>#N/A</v>
      </c>
      <c r="V761" s="23" t="e">
        <f t="shared" si="59"/>
        <v>#N/A</v>
      </c>
    </row>
    <row r="762" spans="2:22" x14ac:dyDescent="0.25">
      <c r="B762" s="16">
        <v>1</v>
      </c>
      <c r="C762" s="7">
        <v>1</v>
      </c>
      <c r="D762" s="8">
        <v>1</v>
      </c>
      <c r="E762" s="8">
        <v>0</v>
      </c>
      <c r="F762" s="8">
        <v>1</v>
      </c>
      <c r="G762" s="8">
        <v>1</v>
      </c>
      <c r="H762" s="8">
        <v>1</v>
      </c>
      <c r="I762" s="8">
        <v>1</v>
      </c>
      <c r="J762" s="8">
        <v>0</v>
      </c>
      <c r="K762" s="9">
        <v>1</v>
      </c>
      <c r="L762" s="10">
        <v>0</v>
      </c>
      <c r="M762" s="6">
        <v>0</v>
      </c>
      <c r="N762" s="37" t="e" cm="1">
        <f t="array" ref="N762">IF(OR(ISNUMBER(FIND(Aux!$D$3:$D$9,_xlfn.TEXTJOIN(,,C762:K762)))),NA(),IF(AND(SUM(C762:F762,H762:K762)=0,G762=1),0,INT((SUMPRODUCT(C762:F762,COLUMN($A$1:$D$1)-1)+SUMPRODUCT(H762:K762,COLUMN($E$1:$H$1)-1))*'Line Follower'!$C$3/SUM(C762:F762,H762:K762)-'Line Follower'!$C$5)))</f>
        <v>#N/A</v>
      </c>
      <c r="O762" s="22" t="e">
        <v>#N/A</v>
      </c>
      <c r="P762" s="4" t="e">
        <f t="shared" si="55"/>
        <v>#N/A</v>
      </c>
      <c r="Q762" s="4" t="e">
        <f t="shared" si="56"/>
        <v>#N/A</v>
      </c>
      <c r="R762" s="4" t="e">
        <f>IF(AND(B762=1,N762&gt;'Line Follower'!$C$7,SUM(C762:K762)&lt;4),1,0)</f>
        <v>#N/A</v>
      </c>
      <c r="S762" s="4" t="e">
        <f>IF(AND(L762=1,N762&lt;'Line Follower'!$C$6,SUM(C762:K762)&lt;4),1,0)</f>
        <v>#N/A</v>
      </c>
      <c r="T762" s="4" t="e">
        <f t="shared" si="57"/>
        <v>#N/A</v>
      </c>
      <c r="U762" s="5" t="e">
        <f t="shared" si="58"/>
        <v>#N/A</v>
      </c>
      <c r="V762" s="23" t="e">
        <f t="shared" si="59"/>
        <v>#N/A</v>
      </c>
    </row>
    <row r="763" spans="2:22" x14ac:dyDescent="0.25">
      <c r="B763" s="16">
        <v>0</v>
      </c>
      <c r="C763" s="7">
        <v>0</v>
      </c>
      <c r="D763" s="8">
        <v>0</v>
      </c>
      <c r="E763" s="8">
        <v>1</v>
      </c>
      <c r="F763" s="8">
        <v>1</v>
      </c>
      <c r="G763" s="8">
        <v>1</v>
      </c>
      <c r="H763" s="8">
        <v>1</v>
      </c>
      <c r="I763" s="8">
        <v>1</v>
      </c>
      <c r="J763" s="8">
        <v>0</v>
      </c>
      <c r="K763" s="9">
        <v>1</v>
      </c>
      <c r="L763" s="10">
        <v>0</v>
      </c>
      <c r="M763" s="6">
        <v>0</v>
      </c>
      <c r="N763" s="37" t="e" cm="1">
        <f t="array" ref="N763">IF(OR(ISNUMBER(FIND(Aux!$D$3:$D$9,_xlfn.TEXTJOIN(,,C763:K763)))),NA(),IF(AND(SUM(C763:F763,H763:K763)=0,G763=1),0,INT((SUMPRODUCT(C763:F763,COLUMN($A$1:$D$1)-1)+SUMPRODUCT(H763:K763,COLUMN($E$1:$H$1)-1))*'Line Follower'!$C$3/SUM(C763:F763,H763:K763)-'Line Follower'!$C$5)))</f>
        <v>#N/A</v>
      </c>
      <c r="O763" s="22" t="e">
        <v>#N/A</v>
      </c>
      <c r="P763" s="4" t="e">
        <f t="shared" si="55"/>
        <v>#N/A</v>
      </c>
      <c r="Q763" s="4" t="e">
        <f t="shared" si="56"/>
        <v>#N/A</v>
      </c>
      <c r="R763" s="4" t="e">
        <f>IF(AND(B763=1,N763&gt;'Line Follower'!$C$7,SUM(C763:K763)&lt;4),1,0)</f>
        <v>#N/A</v>
      </c>
      <c r="S763" s="4" t="e">
        <f>IF(AND(L763=1,N763&lt;'Line Follower'!$C$6,SUM(C763:K763)&lt;4),1,0)</f>
        <v>#N/A</v>
      </c>
      <c r="T763" s="4" t="e">
        <f t="shared" si="57"/>
        <v>#N/A</v>
      </c>
      <c r="U763" s="5" t="e">
        <f t="shared" si="58"/>
        <v>#N/A</v>
      </c>
      <c r="V763" s="23" t="e">
        <f t="shared" si="59"/>
        <v>#N/A</v>
      </c>
    </row>
    <row r="764" spans="2:22" x14ac:dyDescent="0.25">
      <c r="B764" s="16">
        <v>1</v>
      </c>
      <c r="C764" s="7">
        <v>0</v>
      </c>
      <c r="D764" s="8">
        <v>0</v>
      </c>
      <c r="E764" s="8">
        <v>1</v>
      </c>
      <c r="F764" s="8">
        <v>1</v>
      </c>
      <c r="G764" s="8">
        <v>1</v>
      </c>
      <c r="H764" s="8">
        <v>1</v>
      </c>
      <c r="I764" s="8">
        <v>1</v>
      </c>
      <c r="J764" s="8">
        <v>0</v>
      </c>
      <c r="K764" s="9">
        <v>1</v>
      </c>
      <c r="L764" s="10">
        <v>0</v>
      </c>
      <c r="M764" s="6">
        <v>0</v>
      </c>
      <c r="N764" s="37" t="e" cm="1">
        <f t="array" ref="N764">IF(OR(ISNUMBER(FIND(Aux!$D$3:$D$9,_xlfn.TEXTJOIN(,,C764:K764)))),NA(),IF(AND(SUM(C764:F764,H764:K764)=0,G764=1),0,INT((SUMPRODUCT(C764:F764,COLUMN($A$1:$D$1)-1)+SUMPRODUCT(H764:K764,COLUMN($E$1:$H$1)-1))*'Line Follower'!$C$3/SUM(C764:F764,H764:K764)-'Line Follower'!$C$5)))</f>
        <v>#N/A</v>
      </c>
      <c r="O764" s="22" t="e">
        <v>#N/A</v>
      </c>
      <c r="P764" s="4" t="e">
        <f t="shared" si="55"/>
        <v>#N/A</v>
      </c>
      <c r="Q764" s="4" t="e">
        <f t="shared" si="56"/>
        <v>#N/A</v>
      </c>
      <c r="R764" s="4" t="e">
        <f>IF(AND(B764=1,N764&gt;'Line Follower'!$C$7,SUM(C764:K764)&lt;4),1,0)</f>
        <v>#N/A</v>
      </c>
      <c r="S764" s="4" t="e">
        <f>IF(AND(L764=1,N764&lt;'Line Follower'!$C$6,SUM(C764:K764)&lt;4),1,0)</f>
        <v>#N/A</v>
      </c>
      <c r="T764" s="4" t="e">
        <f t="shared" si="57"/>
        <v>#N/A</v>
      </c>
      <c r="U764" s="5" t="e">
        <f t="shared" si="58"/>
        <v>#N/A</v>
      </c>
      <c r="V764" s="23" t="e">
        <f t="shared" si="59"/>
        <v>#N/A</v>
      </c>
    </row>
    <row r="765" spans="2:22" x14ac:dyDescent="0.25">
      <c r="B765" s="16">
        <v>0</v>
      </c>
      <c r="C765" s="7">
        <v>1</v>
      </c>
      <c r="D765" s="8">
        <v>0</v>
      </c>
      <c r="E765" s="8">
        <v>1</v>
      </c>
      <c r="F765" s="8">
        <v>1</v>
      </c>
      <c r="G765" s="8">
        <v>1</v>
      </c>
      <c r="H765" s="8">
        <v>1</v>
      </c>
      <c r="I765" s="8">
        <v>1</v>
      </c>
      <c r="J765" s="8">
        <v>0</v>
      </c>
      <c r="K765" s="9">
        <v>1</v>
      </c>
      <c r="L765" s="10">
        <v>0</v>
      </c>
      <c r="M765" s="6">
        <v>0</v>
      </c>
      <c r="N765" s="37" t="e" cm="1">
        <f t="array" ref="N765">IF(OR(ISNUMBER(FIND(Aux!$D$3:$D$9,_xlfn.TEXTJOIN(,,C765:K765)))),NA(),IF(AND(SUM(C765:F765,H765:K765)=0,G765=1),0,INT((SUMPRODUCT(C765:F765,COLUMN($A$1:$D$1)-1)+SUMPRODUCT(H765:K765,COLUMN($E$1:$H$1)-1))*'Line Follower'!$C$3/SUM(C765:F765,H765:K765)-'Line Follower'!$C$5)))</f>
        <v>#N/A</v>
      </c>
      <c r="O765" s="22" t="e">
        <v>#N/A</v>
      </c>
      <c r="P765" s="4" t="e">
        <f t="shared" si="55"/>
        <v>#N/A</v>
      </c>
      <c r="Q765" s="4" t="e">
        <f t="shared" si="56"/>
        <v>#N/A</v>
      </c>
      <c r="R765" s="4" t="e">
        <f>IF(AND(B765=1,N765&gt;'Line Follower'!$C$7,SUM(C765:K765)&lt;4),1,0)</f>
        <v>#N/A</v>
      </c>
      <c r="S765" s="4" t="e">
        <f>IF(AND(L765=1,N765&lt;'Line Follower'!$C$6,SUM(C765:K765)&lt;4),1,0)</f>
        <v>#N/A</v>
      </c>
      <c r="T765" s="4" t="e">
        <f t="shared" si="57"/>
        <v>#N/A</v>
      </c>
      <c r="U765" s="5" t="e">
        <f t="shared" si="58"/>
        <v>#N/A</v>
      </c>
      <c r="V765" s="23" t="e">
        <f t="shared" si="59"/>
        <v>#N/A</v>
      </c>
    </row>
    <row r="766" spans="2:22" x14ac:dyDescent="0.25">
      <c r="B766" s="16">
        <v>1</v>
      </c>
      <c r="C766" s="7">
        <v>1</v>
      </c>
      <c r="D766" s="8">
        <v>0</v>
      </c>
      <c r="E766" s="8">
        <v>1</v>
      </c>
      <c r="F766" s="8">
        <v>1</v>
      </c>
      <c r="G766" s="8">
        <v>1</v>
      </c>
      <c r="H766" s="8">
        <v>1</v>
      </c>
      <c r="I766" s="8">
        <v>1</v>
      </c>
      <c r="J766" s="8">
        <v>0</v>
      </c>
      <c r="K766" s="9">
        <v>1</v>
      </c>
      <c r="L766" s="10">
        <v>0</v>
      </c>
      <c r="M766" s="6">
        <v>0</v>
      </c>
      <c r="N766" s="37" t="e" cm="1">
        <f t="array" ref="N766">IF(OR(ISNUMBER(FIND(Aux!$D$3:$D$9,_xlfn.TEXTJOIN(,,C766:K766)))),NA(),IF(AND(SUM(C766:F766,H766:K766)=0,G766=1),0,INT((SUMPRODUCT(C766:F766,COLUMN($A$1:$D$1)-1)+SUMPRODUCT(H766:K766,COLUMN($E$1:$H$1)-1))*'Line Follower'!$C$3/SUM(C766:F766,H766:K766)-'Line Follower'!$C$5)))</f>
        <v>#N/A</v>
      </c>
      <c r="O766" s="22" t="e">
        <v>#N/A</v>
      </c>
      <c r="P766" s="4" t="e">
        <f t="shared" si="55"/>
        <v>#N/A</v>
      </c>
      <c r="Q766" s="4" t="e">
        <f t="shared" si="56"/>
        <v>#N/A</v>
      </c>
      <c r="R766" s="4" t="e">
        <f>IF(AND(B766=1,N766&gt;'Line Follower'!$C$7,SUM(C766:K766)&lt;4),1,0)</f>
        <v>#N/A</v>
      </c>
      <c r="S766" s="4" t="e">
        <f>IF(AND(L766=1,N766&lt;'Line Follower'!$C$6,SUM(C766:K766)&lt;4),1,0)</f>
        <v>#N/A</v>
      </c>
      <c r="T766" s="4" t="e">
        <f t="shared" si="57"/>
        <v>#N/A</v>
      </c>
      <c r="U766" s="5" t="e">
        <f t="shared" si="58"/>
        <v>#N/A</v>
      </c>
      <c r="V766" s="23" t="e">
        <f t="shared" si="59"/>
        <v>#N/A</v>
      </c>
    </row>
    <row r="767" spans="2:22" x14ac:dyDescent="0.25">
      <c r="B767" s="16">
        <v>0</v>
      </c>
      <c r="C767" s="7">
        <v>0</v>
      </c>
      <c r="D767" s="8">
        <v>1</v>
      </c>
      <c r="E767" s="8">
        <v>1</v>
      </c>
      <c r="F767" s="8">
        <v>1</v>
      </c>
      <c r="G767" s="8">
        <v>1</v>
      </c>
      <c r="H767" s="8">
        <v>1</v>
      </c>
      <c r="I767" s="8">
        <v>1</v>
      </c>
      <c r="J767" s="8">
        <v>0</v>
      </c>
      <c r="K767" s="9">
        <v>1</v>
      </c>
      <c r="L767" s="10">
        <v>0</v>
      </c>
      <c r="M767" s="6">
        <v>0</v>
      </c>
      <c r="N767" s="37" t="e" cm="1">
        <f t="array" ref="N767">IF(OR(ISNUMBER(FIND(Aux!$D$3:$D$9,_xlfn.TEXTJOIN(,,C767:K767)))),NA(),IF(AND(SUM(C767:F767,H767:K767)=0,G767=1),0,INT((SUMPRODUCT(C767:F767,COLUMN($A$1:$D$1)-1)+SUMPRODUCT(H767:K767,COLUMN($E$1:$H$1)-1))*'Line Follower'!$C$3/SUM(C767:F767,H767:K767)-'Line Follower'!$C$5)))</f>
        <v>#N/A</v>
      </c>
      <c r="O767" s="22" t="e">
        <v>#N/A</v>
      </c>
      <c r="P767" s="4" t="e">
        <f t="shared" si="55"/>
        <v>#N/A</v>
      </c>
      <c r="Q767" s="4" t="e">
        <f t="shared" si="56"/>
        <v>#N/A</v>
      </c>
      <c r="R767" s="4" t="e">
        <f>IF(AND(B767=1,N767&gt;'Line Follower'!$C$7,SUM(C767:K767)&lt;4),1,0)</f>
        <v>#N/A</v>
      </c>
      <c r="S767" s="4" t="e">
        <f>IF(AND(L767=1,N767&lt;'Line Follower'!$C$6,SUM(C767:K767)&lt;4),1,0)</f>
        <v>#N/A</v>
      </c>
      <c r="T767" s="4" t="e">
        <f t="shared" si="57"/>
        <v>#N/A</v>
      </c>
      <c r="U767" s="5" t="e">
        <f t="shared" si="58"/>
        <v>#N/A</v>
      </c>
      <c r="V767" s="23" t="e">
        <f t="shared" si="59"/>
        <v>#N/A</v>
      </c>
    </row>
    <row r="768" spans="2:22" x14ac:dyDescent="0.25">
      <c r="B768" s="16">
        <v>1</v>
      </c>
      <c r="C768" s="7">
        <v>0</v>
      </c>
      <c r="D768" s="8">
        <v>1</v>
      </c>
      <c r="E768" s="8">
        <v>1</v>
      </c>
      <c r="F768" s="8">
        <v>1</v>
      </c>
      <c r="G768" s="8">
        <v>1</v>
      </c>
      <c r="H768" s="8">
        <v>1</v>
      </c>
      <c r="I768" s="8">
        <v>1</v>
      </c>
      <c r="J768" s="8">
        <v>0</v>
      </c>
      <c r="K768" s="9">
        <v>1</v>
      </c>
      <c r="L768" s="10">
        <v>0</v>
      </c>
      <c r="M768" s="6">
        <v>0</v>
      </c>
      <c r="N768" s="37" t="e" cm="1">
        <f t="array" ref="N768">IF(OR(ISNUMBER(FIND(Aux!$D$3:$D$9,_xlfn.TEXTJOIN(,,C768:K768)))),NA(),IF(AND(SUM(C768:F768,H768:K768)=0,G768=1),0,INT((SUMPRODUCT(C768:F768,COLUMN($A$1:$D$1)-1)+SUMPRODUCT(H768:K768,COLUMN($E$1:$H$1)-1))*'Line Follower'!$C$3/SUM(C768:F768,H768:K768)-'Line Follower'!$C$5)))</f>
        <v>#N/A</v>
      </c>
      <c r="O768" s="22" t="e">
        <v>#N/A</v>
      </c>
      <c r="P768" s="4" t="e">
        <f t="shared" si="55"/>
        <v>#N/A</v>
      </c>
      <c r="Q768" s="4" t="e">
        <f t="shared" si="56"/>
        <v>#N/A</v>
      </c>
      <c r="R768" s="4" t="e">
        <f>IF(AND(B768=1,N768&gt;'Line Follower'!$C$7,SUM(C768:K768)&lt;4),1,0)</f>
        <v>#N/A</v>
      </c>
      <c r="S768" s="4" t="e">
        <f>IF(AND(L768=1,N768&lt;'Line Follower'!$C$6,SUM(C768:K768)&lt;4),1,0)</f>
        <v>#N/A</v>
      </c>
      <c r="T768" s="4" t="e">
        <f t="shared" si="57"/>
        <v>#N/A</v>
      </c>
      <c r="U768" s="5" t="e">
        <f t="shared" si="58"/>
        <v>#N/A</v>
      </c>
      <c r="V768" s="23" t="e">
        <f t="shared" si="59"/>
        <v>#N/A</v>
      </c>
    </row>
    <row r="769" spans="2:22" x14ac:dyDescent="0.25">
      <c r="B769" s="16">
        <v>0</v>
      </c>
      <c r="C769" s="7">
        <v>1</v>
      </c>
      <c r="D769" s="8">
        <v>1</v>
      </c>
      <c r="E769" s="8">
        <v>1</v>
      </c>
      <c r="F769" s="8">
        <v>1</v>
      </c>
      <c r="G769" s="8">
        <v>1</v>
      </c>
      <c r="H769" s="8">
        <v>1</v>
      </c>
      <c r="I769" s="8">
        <v>1</v>
      </c>
      <c r="J769" s="8">
        <v>0</v>
      </c>
      <c r="K769" s="9">
        <v>1</v>
      </c>
      <c r="L769" s="10">
        <v>0</v>
      </c>
      <c r="M769" s="6">
        <v>0</v>
      </c>
      <c r="N769" s="37" t="e" cm="1">
        <f t="array" ref="N769">IF(OR(ISNUMBER(FIND(Aux!$D$3:$D$9,_xlfn.TEXTJOIN(,,C769:K769)))),NA(),IF(AND(SUM(C769:F769,H769:K769)=0,G769=1),0,INT((SUMPRODUCT(C769:F769,COLUMN($A$1:$D$1)-1)+SUMPRODUCT(H769:K769,COLUMN($E$1:$H$1)-1))*'Line Follower'!$C$3/SUM(C769:F769,H769:K769)-'Line Follower'!$C$5)))</f>
        <v>#N/A</v>
      </c>
      <c r="O769" s="22" t="e">
        <v>#N/A</v>
      </c>
      <c r="P769" s="4" t="e">
        <f t="shared" si="55"/>
        <v>#N/A</v>
      </c>
      <c r="Q769" s="4" t="e">
        <f t="shared" si="56"/>
        <v>#N/A</v>
      </c>
      <c r="R769" s="4" t="e">
        <f>IF(AND(B769=1,N769&gt;'Line Follower'!$C$7,SUM(C769:K769)&lt;4),1,0)</f>
        <v>#N/A</v>
      </c>
      <c r="S769" s="4" t="e">
        <f>IF(AND(L769=1,N769&lt;'Line Follower'!$C$6,SUM(C769:K769)&lt;4),1,0)</f>
        <v>#N/A</v>
      </c>
      <c r="T769" s="4" t="e">
        <f t="shared" si="57"/>
        <v>#N/A</v>
      </c>
      <c r="U769" s="5" t="e">
        <f t="shared" si="58"/>
        <v>#N/A</v>
      </c>
      <c r="V769" s="23" t="e">
        <f t="shared" si="59"/>
        <v>#N/A</v>
      </c>
    </row>
    <row r="770" spans="2:22" x14ac:dyDescent="0.25">
      <c r="B770" s="16">
        <v>1</v>
      </c>
      <c r="C770" s="7">
        <v>1</v>
      </c>
      <c r="D770" s="8">
        <v>1</v>
      </c>
      <c r="E770" s="8">
        <v>1</v>
      </c>
      <c r="F770" s="8">
        <v>1</v>
      </c>
      <c r="G770" s="8">
        <v>1</v>
      </c>
      <c r="H770" s="8">
        <v>1</v>
      </c>
      <c r="I770" s="8">
        <v>1</v>
      </c>
      <c r="J770" s="8">
        <v>0</v>
      </c>
      <c r="K770" s="9">
        <v>1</v>
      </c>
      <c r="L770" s="10">
        <v>0</v>
      </c>
      <c r="M770" s="6">
        <v>0</v>
      </c>
      <c r="N770" s="37" t="e" cm="1">
        <f t="array" ref="N770">IF(OR(ISNUMBER(FIND(Aux!$D$3:$D$9,_xlfn.TEXTJOIN(,,C770:K770)))),NA(),IF(AND(SUM(C770:F770,H770:K770)=0,G770=1),0,INT((SUMPRODUCT(C770:F770,COLUMN($A$1:$D$1)-1)+SUMPRODUCT(H770:K770,COLUMN($E$1:$H$1)-1))*'Line Follower'!$C$3/SUM(C770:F770,H770:K770)-'Line Follower'!$C$5)))</f>
        <v>#N/A</v>
      </c>
      <c r="O770" s="22" t="e">
        <v>#N/A</v>
      </c>
      <c r="P770" s="4" t="e">
        <f t="shared" si="55"/>
        <v>#N/A</v>
      </c>
      <c r="Q770" s="4" t="e">
        <f t="shared" si="56"/>
        <v>#N/A</v>
      </c>
      <c r="R770" s="4" t="e">
        <f>IF(AND(B770=1,N770&gt;'Line Follower'!$C$7,SUM(C770:K770)&lt;4),1,0)</f>
        <v>#N/A</v>
      </c>
      <c r="S770" s="4" t="e">
        <f>IF(AND(L770=1,N770&lt;'Line Follower'!$C$6,SUM(C770:K770)&lt;4),1,0)</f>
        <v>#N/A</v>
      </c>
      <c r="T770" s="4" t="e">
        <f t="shared" si="57"/>
        <v>#N/A</v>
      </c>
      <c r="U770" s="5" t="e">
        <f t="shared" si="58"/>
        <v>#N/A</v>
      </c>
      <c r="V770" s="23" t="e">
        <f t="shared" si="59"/>
        <v>#N/A</v>
      </c>
    </row>
    <row r="771" spans="2:22" x14ac:dyDescent="0.25">
      <c r="B771" s="16">
        <v>0</v>
      </c>
      <c r="C771" s="7">
        <v>0</v>
      </c>
      <c r="D771" s="8">
        <v>0</v>
      </c>
      <c r="E771" s="8">
        <v>0</v>
      </c>
      <c r="F771" s="8">
        <v>0</v>
      </c>
      <c r="G771" s="8">
        <v>0</v>
      </c>
      <c r="H771" s="8">
        <v>0</v>
      </c>
      <c r="I771" s="8">
        <v>0</v>
      </c>
      <c r="J771" s="8">
        <v>1</v>
      </c>
      <c r="K771" s="9">
        <v>1</v>
      </c>
      <c r="L771" s="10">
        <v>0</v>
      </c>
      <c r="M771" s="6">
        <v>0</v>
      </c>
      <c r="N771" s="37" cm="1">
        <f t="array" ref="N771">IF(OR(ISNUMBER(FIND(Aux!$D$3:$D$9,_xlfn.TEXTJOIN(,,C771:K771)))),NA(),IF(AND(SUM(C771:F771,H771:K771)=0,G771=1),0,INT((SUMPRODUCT(C771:F771,COLUMN($A$1:$D$1)-1)+SUMPRODUCT(H771:K771,COLUMN($E$1:$H$1)-1))*'Line Follower'!$C$3/SUM(C771:F771,H771:K771)-'Line Follower'!$C$5)))</f>
        <v>6</v>
      </c>
      <c r="O771" s="22">
        <v>1</v>
      </c>
      <c r="P771" s="4">
        <f t="shared" ref="P771:P834" si="60">IF(AND(N771=0,G771=1,M771=1),1,0)</f>
        <v>0</v>
      </c>
      <c r="Q771" s="4">
        <f t="shared" ref="Q771:Q834" si="61">IF(ISERROR(N771),N771,IF(SUM(C771:K771)&gt;=4,1,0))</f>
        <v>0</v>
      </c>
      <c r="R771" s="4">
        <f>IF(AND(B771=1,N771&gt;'Line Follower'!$C$7,SUM(C771:K771)&lt;4),1,0)</f>
        <v>0</v>
      </c>
      <c r="S771" s="4">
        <f>IF(AND(L771=1,N771&lt;'Line Follower'!$C$6,SUM(C771:K771)&lt;4),1,0)</f>
        <v>0</v>
      </c>
      <c r="T771" s="4">
        <f t="shared" si="57"/>
        <v>0</v>
      </c>
      <c r="U771" s="5">
        <f t="shared" si="58"/>
        <v>0</v>
      </c>
      <c r="V771" s="23">
        <f t="shared" si="59"/>
        <v>0</v>
      </c>
    </row>
    <row r="772" spans="2:22" x14ac:dyDescent="0.25">
      <c r="B772" s="16">
        <v>1</v>
      </c>
      <c r="C772" s="7">
        <v>0</v>
      </c>
      <c r="D772" s="8">
        <v>0</v>
      </c>
      <c r="E772" s="8">
        <v>0</v>
      </c>
      <c r="F772" s="8">
        <v>0</v>
      </c>
      <c r="G772" s="8">
        <v>0</v>
      </c>
      <c r="H772" s="8">
        <v>0</v>
      </c>
      <c r="I772" s="8">
        <v>0</v>
      </c>
      <c r="J772" s="8">
        <v>1</v>
      </c>
      <c r="K772" s="9">
        <v>1</v>
      </c>
      <c r="L772" s="10">
        <v>0</v>
      </c>
      <c r="M772" s="6">
        <v>0</v>
      </c>
      <c r="N772" s="37" cm="1">
        <f t="array" ref="N772">IF(OR(ISNUMBER(FIND(Aux!$D$3:$D$9,_xlfn.TEXTJOIN(,,C772:K772)))),NA(),IF(AND(SUM(C772:F772,H772:K772)=0,G772=1),0,INT((SUMPRODUCT(C772:F772,COLUMN($A$1:$D$1)-1)+SUMPRODUCT(H772:K772,COLUMN($E$1:$H$1)-1))*'Line Follower'!$C$3/SUM(C772:F772,H772:K772)-'Line Follower'!$C$5)))</f>
        <v>6</v>
      </c>
      <c r="O772" s="22">
        <v>1</v>
      </c>
      <c r="P772" s="4">
        <f t="shared" si="60"/>
        <v>0</v>
      </c>
      <c r="Q772" s="4">
        <f t="shared" si="61"/>
        <v>0</v>
      </c>
      <c r="R772" s="4">
        <f>IF(AND(B772=1,N772&gt;'Line Follower'!$C$7,SUM(C772:K772)&lt;4),1,0)</f>
        <v>1</v>
      </c>
      <c r="S772" s="4">
        <f>IF(AND(L772=1,N772&lt;'Line Follower'!$C$6,SUM(C772:K772)&lt;4),1,0)</f>
        <v>0</v>
      </c>
      <c r="T772" s="4">
        <f t="shared" ref="T772:T835" si="62">IF(ISNA(N772),NA(),IF(SUM(C772:L772)=0,1,0))</f>
        <v>0</v>
      </c>
      <c r="U772" s="5">
        <f t="shared" ref="U772:U835" si="63">IF(ISNA(N772),NA(),IF(SUM(B772:K772)=0,1,0))</f>
        <v>0</v>
      </c>
      <c r="V772" s="23">
        <f t="shared" ref="V772:V835" si="64">IF(ISNA(N772),NA(),IF(SUM(B772:L772)=0,1,0))</f>
        <v>0</v>
      </c>
    </row>
    <row r="773" spans="2:22" x14ac:dyDescent="0.25">
      <c r="B773" s="16">
        <v>0</v>
      </c>
      <c r="C773" s="7">
        <v>1</v>
      </c>
      <c r="D773" s="8">
        <v>0</v>
      </c>
      <c r="E773" s="8">
        <v>0</v>
      </c>
      <c r="F773" s="8">
        <v>0</v>
      </c>
      <c r="G773" s="8">
        <v>0</v>
      </c>
      <c r="H773" s="8">
        <v>0</v>
      </c>
      <c r="I773" s="8">
        <v>0</v>
      </c>
      <c r="J773" s="8">
        <v>1</v>
      </c>
      <c r="K773" s="9">
        <v>1</v>
      </c>
      <c r="L773" s="10">
        <v>0</v>
      </c>
      <c r="M773" s="6">
        <v>0</v>
      </c>
      <c r="N773" s="37" t="e" cm="1">
        <f t="array" ref="N773">IF(OR(ISNUMBER(FIND(Aux!$D$3:$D$9,_xlfn.TEXTJOIN(,,C773:K773)))),NA(),IF(AND(SUM(C773:F773,H773:K773)=0,G773=1),0,INT((SUMPRODUCT(C773:F773,COLUMN($A$1:$D$1)-1)+SUMPRODUCT(H773:K773,COLUMN($E$1:$H$1)-1))*'Line Follower'!$C$3/SUM(C773:F773,H773:K773)-'Line Follower'!$C$5)))</f>
        <v>#N/A</v>
      </c>
      <c r="O773" s="22" t="e">
        <v>#N/A</v>
      </c>
      <c r="P773" s="4" t="e">
        <f t="shared" si="60"/>
        <v>#N/A</v>
      </c>
      <c r="Q773" s="4" t="e">
        <f t="shared" si="61"/>
        <v>#N/A</v>
      </c>
      <c r="R773" s="4" t="e">
        <f>IF(AND(B773=1,N773&gt;'Line Follower'!$C$7,SUM(C773:K773)&lt;4),1,0)</f>
        <v>#N/A</v>
      </c>
      <c r="S773" s="4" t="e">
        <f>IF(AND(L773=1,N773&lt;'Line Follower'!$C$6,SUM(C773:K773)&lt;4),1,0)</f>
        <v>#N/A</v>
      </c>
      <c r="T773" s="4" t="e">
        <f t="shared" si="62"/>
        <v>#N/A</v>
      </c>
      <c r="U773" s="5" t="e">
        <f t="shared" si="63"/>
        <v>#N/A</v>
      </c>
      <c r="V773" s="23" t="e">
        <f t="shared" si="64"/>
        <v>#N/A</v>
      </c>
    </row>
    <row r="774" spans="2:22" x14ac:dyDescent="0.25">
      <c r="B774" s="16">
        <v>1</v>
      </c>
      <c r="C774" s="7">
        <v>1</v>
      </c>
      <c r="D774" s="8">
        <v>0</v>
      </c>
      <c r="E774" s="8">
        <v>0</v>
      </c>
      <c r="F774" s="8">
        <v>0</v>
      </c>
      <c r="G774" s="8">
        <v>0</v>
      </c>
      <c r="H774" s="8">
        <v>0</v>
      </c>
      <c r="I774" s="8">
        <v>0</v>
      </c>
      <c r="J774" s="8">
        <v>1</v>
      </c>
      <c r="K774" s="9">
        <v>1</v>
      </c>
      <c r="L774" s="10">
        <v>0</v>
      </c>
      <c r="M774" s="6">
        <v>0</v>
      </c>
      <c r="N774" s="37" t="e" cm="1">
        <f t="array" ref="N774">IF(OR(ISNUMBER(FIND(Aux!$D$3:$D$9,_xlfn.TEXTJOIN(,,C774:K774)))),NA(),IF(AND(SUM(C774:F774,H774:K774)=0,G774=1),0,INT((SUMPRODUCT(C774:F774,COLUMN($A$1:$D$1)-1)+SUMPRODUCT(H774:K774,COLUMN($E$1:$H$1)-1))*'Line Follower'!$C$3/SUM(C774:F774,H774:K774)-'Line Follower'!$C$5)))</f>
        <v>#N/A</v>
      </c>
      <c r="O774" s="22" t="e">
        <v>#N/A</v>
      </c>
      <c r="P774" s="4" t="e">
        <f t="shared" si="60"/>
        <v>#N/A</v>
      </c>
      <c r="Q774" s="4" t="e">
        <f t="shared" si="61"/>
        <v>#N/A</v>
      </c>
      <c r="R774" s="4" t="e">
        <f>IF(AND(B774=1,N774&gt;'Line Follower'!$C$7,SUM(C774:K774)&lt;4),1,0)</f>
        <v>#N/A</v>
      </c>
      <c r="S774" s="4" t="e">
        <f>IF(AND(L774=1,N774&lt;'Line Follower'!$C$6,SUM(C774:K774)&lt;4),1,0)</f>
        <v>#N/A</v>
      </c>
      <c r="T774" s="4" t="e">
        <f t="shared" si="62"/>
        <v>#N/A</v>
      </c>
      <c r="U774" s="5" t="e">
        <f t="shared" si="63"/>
        <v>#N/A</v>
      </c>
      <c r="V774" s="23" t="e">
        <f t="shared" si="64"/>
        <v>#N/A</v>
      </c>
    </row>
    <row r="775" spans="2:22" x14ac:dyDescent="0.25">
      <c r="B775" s="16">
        <v>0</v>
      </c>
      <c r="C775" s="7">
        <v>0</v>
      </c>
      <c r="D775" s="8">
        <v>1</v>
      </c>
      <c r="E775" s="8">
        <v>0</v>
      </c>
      <c r="F775" s="8">
        <v>0</v>
      </c>
      <c r="G775" s="8">
        <v>0</v>
      </c>
      <c r="H775" s="8">
        <v>0</v>
      </c>
      <c r="I775" s="8">
        <v>0</v>
      </c>
      <c r="J775" s="8">
        <v>1</v>
      </c>
      <c r="K775" s="9">
        <v>1</v>
      </c>
      <c r="L775" s="10">
        <v>0</v>
      </c>
      <c r="M775" s="6">
        <v>0</v>
      </c>
      <c r="N775" s="37" t="e" cm="1">
        <f t="array" ref="N775">IF(OR(ISNUMBER(FIND(Aux!$D$3:$D$9,_xlfn.TEXTJOIN(,,C775:K775)))),NA(),IF(AND(SUM(C775:F775,H775:K775)=0,G775=1),0,INT((SUMPRODUCT(C775:F775,COLUMN($A$1:$D$1)-1)+SUMPRODUCT(H775:K775,COLUMN($E$1:$H$1)-1))*'Line Follower'!$C$3/SUM(C775:F775,H775:K775)-'Line Follower'!$C$5)))</f>
        <v>#N/A</v>
      </c>
      <c r="O775" s="22" t="e">
        <v>#N/A</v>
      </c>
      <c r="P775" s="4" t="e">
        <f t="shared" si="60"/>
        <v>#N/A</v>
      </c>
      <c r="Q775" s="4" t="e">
        <f t="shared" si="61"/>
        <v>#N/A</v>
      </c>
      <c r="R775" s="4" t="e">
        <f>IF(AND(B775=1,N775&gt;'Line Follower'!$C$7,SUM(C775:K775)&lt;4),1,0)</f>
        <v>#N/A</v>
      </c>
      <c r="S775" s="4" t="e">
        <f>IF(AND(L775=1,N775&lt;'Line Follower'!$C$6,SUM(C775:K775)&lt;4),1,0)</f>
        <v>#N/A</v>
      </c>
      <c r="T775" s="4" t="e">
        <f t="shared" si="62"/>
        <v>#N/A</v>
      </c>
      <c r="U775" s="5" t="e">
        <f t="shared" si="63"/>
        <v>#N/A</v>
      </c>
      <c r="V775" s="23" t="e">
        <f t="shared" si="64"/>
        <v>#N/A</v>
      </c>
    </row>
    <row r="776" spans="2:22" x14ac:dyDescent="0.25">
      <c r="B776" s="16">
        <v>1</v>
      </c>
      <c r="C776" s="7">
        <v>0</v>
      </c>
      <c r="D776" s="8">
        <v>1</v>
      </c>
      <c r="E776" s="8">
        <v>0</v>
      </c>
      <c r="F776" s="8">
        <v>0</v>
      </c>
      <c r="G776" s="8">
        <v>0</v>
      </c>
      <c r="H776" s="8">
        <v>0</v>
      </c>
      <c r="I776" s="8">
        <v>0</v>
      </c>
      <c r="J776" s="8">
        <v>1</v>
      </c>
      <c r="K776" s="9">
        <v>1</v>
      </c>
      <c r="L776" s="10">
        <v>0</v>
      </c>
      <c r="M776" s="6">
        <v>0</v>
      </c>
      <c r="N776" s="37" t="e" cm="1">
        <f t="array" ref="N776">IF(OR(ISNUMBER(FIND(Aux!$D$3:$D$9,_xlfn.TEXTJOIN(,,C776:K776)))),NA(),IF(AND(SUM(C776:F776,H776:K776)=0,G776=1),0,INT((SUMPRODUCT(C776:F776,COLUMN($A$1:$D$1)-1)+SUMPRODUCT(H776:K776,COLUMN($E$1:$H$1)-1))*'Line Follower'!$C$3/SUM(C776:F776,H776:K776)-'Line Follower'!$C$5)))</f>
        <v>#N/A</v>
      </c>
      <c r="O776" s="22" t="e">
        <v>#N/A</v>
      </c>
      <c r="P776" s="4" t="e">
        <f t="shared" si="60"/>
        <v>#N/A</v>
      </c>
      <c r="Q776" s="4" t="e">
        <f t="shared" si="61"/>
        <v>#N/A</v>
      </c>
      <c r="R776" s="4" t="e">
        <f>IF(AND(B776=1,N776&gt;'Line Follower'!$C$7,SUM(C776:K776)&lt;4),1,0)</f>
        <v>#N/A</v>
      </c>
      <c r="S776" s="4" t="e">
        <f>IF(AND(L776=1,N776&lt;'Line Follower'!$C$6,SUM(C776:K776)&lt;4),1,0)</f>
        <v>#N/A</v>
      </c>
      <c r="T776" s="4" t="e">
        <f t="shared" si="62"/>
        <v>#N/A</v>
      </c>
      <c r="U776" s="5" t="e">
        <f t="shared" si="63"/>
        <v>#N/A</v>
      </c>
      <c r="V776" s="23" t="e">
        <f t="shared" si="64"/>
        <v>#N/A</v>
      </c>
    </row>
    <row r="777" spans="2:22" x14ac:dyDescent="0.25">
      <c r="B777" s="16">
        <v>0</v>
      </c>
      <c r="C777" s="7">
        <v>1</v>
      </c>
      <c r="D777" s="8">
        <v>1</v>
      </c>
      <c r="E777" s="8">
        <v>0</v>
      </c>
      <c r="F777" s="8">
        <v>0</v>
      </c>
      <c r="G777" s="8">
        <v>0</v>
      </c>
      <c r="H777" s="8">
        <v>0</v>
      </c>
      <c r="I777" s="8">
        <v>0</v>
      </c>
      <c r="J777" s="8">
        <v>1</v>
      </c>
      <c r="K777" s="9">
        <v>1</v>
      </c>
      <c r="L777" s="10">
        <v>0</v>
      </c>
      <c r="M777" s="6">
        <v>0</v>
      </c>
      <c r="N777" s="37" t="e" cm="1">
        <f t="array" ref="N777">IF(OR(ISNUMBER(FIND(Aux!$D$3:$D$9,_xlfn.TEXTJOIN(,,C777:K777)))),NA(),IF(AND(SUM(C777:F777,H777:K777)=0,G777=1),0,INT((SUMPRODUCT(C777:F777,COLUMN($A$1:$D$1)-1)+SUMPRODUCT(H777:K777,COLUMN($E$1:$H$1)-1))*'Line Follower'!$C$3/SUM(C777:F777,H777:K777)-'Line Follower'!$C$5)))</f>
        <v>#N/A</v>
      </c>
      <c r="O777" s="22" t="e">
        <v>#N/A</v>
      </c>
      <c r="P777" s="4" t="e">
        <f t="shared" si="60"/>
        <v>#N/A</v>
      </c>
      <c r="Q777" s="4" t="e">
        <f t="shared" si="61"/>
        <v>#N/A</v>
      </c>
      <c r="R777" s="4" t="e">
        <f>IF(AND(B777=1,N777&gt;'Line Follower'!$C$7,SUM(C777:K777)&lt;4),1,0)</f>
        <v>#N/A</v>
      </c>
      <c r="S777" s="4" t="e">
        <f>IF(AND(L777=1,N777&lt;'Line Follower'!$C$6,SUM(C777:K777)&lt;4),1,0)</f>
        <v>#N/A</v>
      </c>
      <c r="T777" s="4" t="e">
        <f t="shared" si="62"/>
        <v>#N/A</v>
      </c>
      <c r="U777" s="5" t="e">
        <f t="shared" si="63"/>
        <v>#N/A</v>
      </c>
      <c r="V777" s="23" t="e">
        <f t="shared" si="64"/>
        <v>#N/A</v>
      </c>
    </row>
    <row r="778" spans="2:22" x14ac:dyDescent="0.25">
      <c r="B778" s="16">
        <v>1</v>
      </c>
      <c r="C778" s="7">
        <v>1</v>
      </c>
      <c r="D778" s="8">
        <v>1</v>
      </c>
      <c r="E778" s="8">
        <v>0</v>
      </c>
      <c r="F778" s="8">
        <v>0</v>
      </c>
      <c r="G778" s="8">
        <v>0</v>
      </c>
      <c r="H778" s="8">
        <v>0</v>
      </c>
      <c r="I778" s="8">
        <v>0</v>
      </c>
      <c r="J778" s="8">
        <v>1</v>
      </c>
      <c r="K778" s="9">
        <v>1</v>
      </c>
      <c r="L778" s="10">
        <v>0</v>
      </c>
      <c r="M778" s="6">
        <v>0</v>
      </c>
      <c r="N778" s="37" t="e" cm="1">
        <f t="array" ref="N778">IF(OR(ISNUMBER(FIND(Aux!$D$3:$D$9,_xlfn.TEXTJOIN(,,C778:K778)))),NA(),IF(AND(SUM(C778:F778,H778:K778)=0,G778=1),0,INT((SUMPRODUCT(C778:F778,COLUMN($A$1:$D$1)-1)+SUMPRODUCT(H778:K778,COLUMN($E$1:$H$1)-1))*'Line Follower'!$C$3/SUM(C778:F778,H778:K778)-'Line Follower'!$C$5)))</f>
        <v>#N/A</v>
      </c>
      <c r="O778" s="22" t="e">
        <v>#N/A</v>
      </c>
      <c r="P778" s="4" t="e">
        <f t="shared" si="60"/>
        <v>#N/A</v>
      </c>
      <c r="Q778" s="4" t="e">
        <f t="shared" si="61"/>
        <v>#N/A</v>
      </c>
      <c r="R778" s="4" t="e">
        <f>IF(AND(B778=1,N778&gt;'Line Follower'!$C$7,SUM(C778:K778)&lt;4),1,0)</f>
        <v>#N/A</v>
      </c>
      <c r="S778" s="4" t="e">
        <f>IF(AND(L778=1,N778&lt;'Line Follower'!$C$6,SUM(C778:K778)&lt;4),1,0)</f>
        <v>#N/A</v>
      </c>
      <c r="T778" s="4" t="e">
        <f t="shared" si="62"/>
        <v>#N/A</v>
      </c>
      <c r="U778" s="5" t="e">
        <f t="shared" si="63"/>
        <v>#N/A</v>
      </c>
      <c r="V778" s="23" t="e">
        <f t="shared" si="64"/>
        <v>#N/A</v>
      </c>
    </row>
    <row r="779" spans="2:22" x14ac:dyDescent="0.25">
      <c r="B779" s="16">
        <v>0</v>
      </c>
      <c r="C779" s="7">
        <v>0</v>
      </c>
      <c r="D779" s="8">
        <v>0</v>
      </c>
      <c r="E779" s="8">
        <v>1</v>
      </c>
      <c r="F779" s="8">
        <v>0</v>
      </c>
      <c r="G779" s="8">
        <v>0</v>
      </c>
      <c r="H779" s="8">
        <v>0</v>
      </c>
      <c r="I779" s="8">
        <v>0</v>
      </c>
      <c r="J779" s="8">
        <v>1</v>
      </c>
      <c r="K779" s="9">
        <v>1</v>
      </c>
      <c r="L779" s="10">
        <v>0</v>
      </c>
      <c r="M779" s="6">
        <v>0</v>
      </c>
      <c r="N779" s="37" t="e" cm="1">
        <f t="array" ref="N779">IF(OR(ISNUMBER(FIND(Aux!$D$3:$D$9,_xlfn.TEXTJOIN(,,C779:K779)))),NA(),IF(AND(SUM(C779:F779,H779:K779)=0,G779=1),0,INT((SUMPRODUCT(C779:F779,COLUMN($A$1:$D$1)-1)+SUMPRODUCT(H779:K779,COLUMN($E$1:$H$1)-1))*'Line Follower'!$C$3/SUM(C779:F779,H779:K779)-'Line Follower'!$C$5)))</f>
        <v>#N/A</v>
      </c>
      <c r="O779" s="22" t="e">
        <v>#N/A</v>
      </c>
      <c r="P779" s="4" t="e">
        <f t="shared" si="60"/>
        <v>#N/A</v>
      </c>
      <c r="Q779" s="4" t="e">
        <f t="shared" si="61"/>
        <v>#N/A</v>
      </c>
      <c r="R779" s="4" t="e">
        <f>IF(AND(B779=1,N779&gt;'Line Follower'!$C$7,SUM(C779:K779)&lt;4),1,0)</f>
        <v>#N/A</v>
      </c>
      <c r="S779" s="4" t="e">
        <f>IF(AND(L779=1,N779&lt;'Line Follower'!$C$6,SUM(C779:K779)&lt;4),1,0)</f>
        <v>#N/A</v>
      </c>
      <c r="T779" s="4" t="e">
        <f t="shared" si="62"/>
        <v>#N/A</v>
      </c>
      <c r="U779" s="5" t="e">
        <f t="shared" si="63"/>
        <v>#N/A</v>
      </c>
      <c r="V779" s="23" t="e">
        <f t="shared" si="64"/>
        <v>#N/A</v>
      </c>
    </row>
    <row r="780" spans="2:22" x14ac:dyDescent="0.25">
      <c r="B780" s="16">
        <v>1</v>
      </c>
      <c r="C780" s="7">
        <v>0</v>
      </c>
      <c r="D780" s="8">
        <v>0</v>
      </c>
      <c r="E780" s="8">
        <v>1</v>
      </c>
      <c r="F780" s="8">
        <v>0</v>
      </c>
      <c r="G780" s="8">
        <v>0</v>
      </c>
      <c r="H780" s="8">
        <v>0</v>
      </c>
      <c r="I780" s="8">
        <v>0</v>
      </c>
      <c r="J780" s="8">
        <v>1</v>
      </c>
      <c r="K780" s="9">
        <v>1</v>
      </c>
      <c r="L780" s="10">
        <v>0</v>
      </c>
      <c r="M780" s="6">
        <v>0</v>
      </c>
      <c r="N780" s="37" t="e" cm="1">
        <f t="array" ref="N780">IF(OR(ISNUMBER(FIND(Aux!$D$3:$D$9,_xlfn.TEXTJOIN(,,C780:K780)))),NA(),IF(AND(SUM(C780:F780,H780:K780)=0,G780=1),0,INT((SUMPRODUCT(C780:F780,COLUMN($A$1:$D$1)-1)+SUMPRODUCT(H780:K780,COLUMN($E$1:$H$1)-1))*'Line Follower'!$C$3/SUM(C780:F780,H780:K780)-'Line Follower'!$C$5)))</f>
        <v>#N/A</v>
      </c>
      <c r="O780" s="22" t="e">
        <v>#N/A</v>
      </c>
      <c r="P780" s="4" t="e">
        <f t="shared" si="60"/>
        <v>#N/A</v>
      </c>
      <c r="Q780" s="4" t="e">
        <f t="shared" si="61"/>
        <v>#N/A</v>
      </c>
      <c r="R780" s="4" t="e">
        <f>IF(AND(B780=1,N780&gt;'Line Follower'!$C$7,SUM(C780:K780)&lt;4),1,0)</f>
        <v>#N/A</v>
      </c>
      <c r="S780" s="4" t="e">
        <f>IF(AND(L780=1,N780&lt;'Line Follower'!$C$6,SUM(C780:K780)&lt;4),1,0)</f>
        <v>#N/A</v>
      </c>
      <c r="T780" s="4" t="e">
        <f t="shared" si="62"/>
        <v>#N/A</v>
      </c>
      <c r="U780" s="5" t="e">
        <f t="shared" si="63"/>
        <v>#N/A</v>
      </c>
      <c r="V780" s="23" t="e">
        <f t="shared" si="64"/>
        <v>#N/A</v>
      </c>
    </row>
    <row r="781" spans="2:22" x14ac:dyDescent="0.25">
      <c r="B781" s="16">
        <v>0</v>
      </c>
      <c r="C781" s="7">
        <v>1</v>
      </c>
      <c r="D781" s="8">
        <v>0</v>
      </c>
      <c r="E781" s="8">
        <v>1</v>
      </c>
      <c r="F781" s="8">
        <v>0</v>
      </c>
      <c r="G781" s="8">
        <v>0</v>
      </c>
      <c r="H781" s="8">
        <v>0</v>
      </c>
      <c r="I781" s="8">
        <v>0</v>
      </c>
      <c r="J781" s="8">
        <v>1</v>
      </c>
      <c r="K781" s="9">
        <v>1</v>
      </c>
      <c r="L781" s="10">
        <v>0</v>
      </c>
      <c r="M781" s="6">
        <v>0</v>
      </c>
      <c r="N781" s="37" t="e" cm="1">
        <f t="array" ref="N781">IF(OR(ISNUMBER(FIND(Aux!$D$3:$D$9,_xlfn.TEXTJOIN(,,C781:K781)))),NA(),IF(AND(SUM(C781:F781,H781:K781)=0,G781=1),0,INT((SUMPRODUCT(C781:F781,COLUMN($A$1:$D$1)-1)+SUMPRODUCT(H781:K781,COLUMN($E$1:$H$1)-1))*'Line Follower'!$C$3/SUM(C781:F781,H781:K781)-'Line Follower'!$C$5)))</f>
        <v>#N/A</v>
      </c>
      <c r="O781" s="22" t="e">
        <v>#N/A</v>
      </c>
      <c r="P781" s="4" t="e">
        <f t="shared" si="60"/>
        <v>#N/A</v>
      </c>
      <c r="Q781" s="4" t="e">
        <f t="shared" si="61"/>
        <v>#N/A</v>
      </c>
      <c r="R781" s="4" t="e">
        <f>IF(AND(B781=1,N781&gt;'Line Follower'!$C$7,SUM(C781:K781)&lt;4),1,0)</f>
        <v>#N/A</v>
      </c>
      <c r="S781" s="4" t="e">
        <f>IF(AND(L781=1,N781&lt;'Line Follower'!$C$6,SUM(C781:K781)&lt;4),1,0)</f>
        <v>#N/A</v>
      </c>
      <c r="T781" s="4" t="e">
        <f t="shared" si="62"/>
        <v>#N/A</v>
      </c>
      <c r="U781" s="5" t="e">
        <f t="shared" si="63"/>
        <v>#N/A</v>
      </c>
      <c r="V781" s="23" t="e">
        <f t="shared" si="64"/>
        <v>#N/A</v>
      </c>
    </row>
    <row r="782" spans="2:22" x14ac:dyDescent="0.25">
      <c r="B782" s="16">
        <v>1</v>
      </c>
      <c r="C782" s="7">
        <v>1</v>
      </c>
      <c r="D782" s="8">
        <v>0</v>
      </c>
      <c r="E782" s="8">
        <v>1</v>
      </c>
      <c r="F782" s="8">
        <v>0</v>
      </c>
      <c r="G782" s="8">
        <v>0</v>
      </c>
      <c r="H782" s="8">
        <v>0</v>
      </c>
      <c r="I782" s="8">
        <v>0</v>
      </c>
      <c r="J782" s="8">
        <v>1</v>
      </c>
      <c r="K782" s="9">
        <v>1</v>
      </c>
      <c r="L782" s="10">
        <v>0</v>
      </c>
      <c r="M782" s="6">
        <v>0</v>
      </c>
      <c r="N782" s="37" t="e" cm="1">
        <f t="array" ref="N782">IF(OR(ISNUMBER(FIND(Aux!$D$3:$D$9,_xlfn.TEXTJOIN(,,C782:K782)))),NA(),IF(AND(SUM(C782:F782,H782:K782)=0,G782=1),0,INT((SUMPRODUCT(C782:F782,COLUMN($A$1:$D$1)-1)+SUMPRODUCT(H782:K782,COLUMN($E$1:$H$1)-1))*'Line Follower'!$C$3/SUM(C782:F782,H782:K782)-'Line Follower'!$C$5)))</f>
        <v>#N/A</v>
      </c>
      <c r="O782" s="22" t="e">
        <v>#N/A</v>
      </c>
      <c r="P782" s="4" t="e">
        <f t="shared" si="60"/>
        <v>#N/A</v>
      </c>
      <c r="Q782" s="4" t="e">
        <f t="shared" si="61"/>
        <v>#N/A</v>
      </c>
      <c r="R782" s="4" t="e">
        <f>IF(AND(B782=1,N782&gt;'Line Follower'!$C$7,SUM(C782:K782)&lt;4),1,0)</f>
        <v>#N/A</v>
      </c>
      <c r="S782" s="4" t="e">
        <f>IF(AND(L782=1,N782&lt;'Line Follower'!$C$6,SUM(C782:K782)&lt;4),1,0)</f>
        <v>#N/A</v>
      </c>
      <c r="T782" s="4" t="e">
        <f t="shared" si="62"/>
        <v>#N/A</v>
      </c>
      <c r="U782" s="5" t="e">
        <f t="shared" si="63"/>
        <v>#N/A</v>
      </c>
      <c r="V782" s="23" t="e">
        <f t="shared" si="64"/>
        <v>#N/A</v>
      </c>
    </row>
    <row r="783" spans="2:22" x14ac:dyDescent="0.25">
      <c r="B783" s="16">
        <v>0</v>
      </c>
      <c r="C783" s="7">
        <v>0</v>
      </c>
      <c r="D783" s="8">
        <v>1</v>
      </c>
      <c r="E783" s="8">
        <v>1</v>
      </c>
      <c r="F783" s="8">
        <v>0</v>
      </c>
      <c r="G783" s="8">
        <v>0</v>
      </c>
      <c r="H783" s="8">
        <v>0</v>
      </c>
      <c r="I783" s="8">
        <v>0</v>
      </c>
      <c r="J783" s="8">
        <v>1</v>
      </c>
      <c r="K783" s="9">
        <v>1</v>
      </c>
      <c r="L783" s="10">
        <v>0</v>
      </c>
      <c r="M783" s="6">
        <v>0</v>
      </c>
      <c r="N783" s="37" t="e" cm="1">
        <f t="array" ref="N783">IF(OR(ISNUMBER(FIND(Aux!$D$3:$D$9,_xlfn.TEXTJOIN(,,C783:K783)))),NA(),IF(AND(SUM(C783:F783,H783:K783)=0,G783=1),0,INT((SUMPRODUCT(C783:F783,COLUMN($A$1:$D$1)-1)+SUMPRODUCT(H783:K783,COLUMN($E$1:$H$1)-1))*'Line Follower'!$C$3/SUM(C783:F783,H783:K783)-'Line Follower'!$C$5)))</f>
        <v>#N/A</v>
      </c>
      <c r="O783" s="22" t="e">
        <v>#N/A</v>
      </c>
      <c r="P783" s="4" t="e">
        <f t="shared" si="60"/>
        <v>#N/A</v>
      </c>
      <c r="Q783" s="4" t="e">
        <f t="shared" si="61"/>
        <v>#N/A</v>
      </c>
      <c r="R783" s="4" t="e">
        <f>IF(AND(B783=1,N783&gt;'Line Follower'!$C$7,SUM(C783:K783)&lt;4),1,0)</f>
        <v>#N/A</v>
      </c>
      <c r="S783" s="4" t="e">
        <f>IF(AND(L783=1,N783&lt;'Line Follower'!$C$6,SUM(C783:K783)&lt;4),1,0)</f>
        <v>#N/A</v>
      </c>
      <c r="T783" s="4" t="e">
        <f t="shared" si="62"/>
        <v>#N/A</v>
      </c>
      <c r="U783" s="5" t="e">
        <f t="shared" si="63"/>
        <v>#N/A</v>
      </c>
      <c r="V783" s="23" t="e">
        <f t="shared" si="64"/>
        <v>#N/A</v>
      </c>
    </row>
    <row r="784" spans="2:22" x14ac:dyDescent="0.25">
      <c r="B784" s="16">
        <v>1</v>
      </c>
      <c r="C784" s="7">
        <v>0</v>
      </c>
      <c r="D784" s="8">
        <v>1</v>
      </c>
      <c r="E784" s="8">
        <v>1</v>
      </c>
      <c r="F784" s="8">
        <v>0</v>
      </c>
      <c r="G784" s="8">
        <v>0</v>
      </c>
      <c r="H784" s="8">
        <v>0</v>
      </c>
      <c r="I784" s="8">
        <v>0</v>
      </c>
      <c r="J784" s="8">
        <v>1</v>
      </c>
      <c r="K784" s="9">
        <v>1</v>
      </c>
      <c r="L784" s="10">
        <v>0</v>
      </c>
      <c r="M784" s="6">
        <v>0</v>
      </c>
      <c r="N784" s="37" t="e" cm="1">
        <f t="array" ref="N784">IF(OR(ISNUMBER(FIND(Aux!$D$3:$D$9,_xlfn.TEXTJOIN(,,C784:K784)))),NA(),IF(AND(SUM(C784:F784,H784:K784)=0,G784=1),0,INT((SUMPRODUCT(C784:F784,COLUMN($A$1:$D$1)-1)+SUMPRODUCT(H784:K784,COLUMN($E$1:$H$1)-1))*'Line Follower'!$C$3/SUM(C784:F784,H784:K784)-'Line Follower'!$C$5)))</f>
        <v>#N/A</v>
      </c>
      <c r="O784" s="22" t="e">
        <v>#N/A</v>
      </c>
      <c r="P784" s="4" t="e">
        <f t="shared" si="60"/>
        <v>#N/A</v>
      </c>
      <c r="Q784" s="4" t="e">
        <f t="shared" si="61"/>
        <v>#N/A</v>
      </c>
      <c r="R784" s="4" t="e">
        <f>IF(AND(B784=1,N784&gt;'Line Follower'!$C$7,SUM(C784:K784)&lt;4),1,0)</f>
        <v>#N/A</v>
      </c>
      <c r="S784" s="4" t="e">
        <f>IF(AND(L784=1,N784&lt;'Line Follower'!$C$6,SUM(C784:K784)&lt;4),1,0)</f>
        <v>#N/A</v>
      </c>
      <c r="T784" s="4" t="e">
        <f t="shared" si="62"/>
        <v>#N/A</v>
      </c>
      <c r="U784" s="5" t="e">
        <f t="shared" si="63"/>
        <v>#N/A</v>
      </c>
      <c r="V784" s="23" t="e">
        <f t="shared" si="64"/>
        <v>#N/A</v>
      </c>
    </row>
    <row r="785" spans="2:22" x14ac:dyDescent="0.25">
      <c r="B785" s="16">
        <v>0</v>
      </c>
      <c r="C785" s="7">
        <v>1</v>
      </c>
      <c r="D785" s="8">
        <v>1</v>
      </c>
      <c r="E785" s="8">
        <v>1</v>
      </c>
      <c r="F785" s="8">
        <v>0</v>
      </c>
      <c r="G785" s="8">
        <v>0</v>
      </c>
      <c r="H785" s="8">
        <v>0</v>
      </c>
      <c r="I785" s="8">
        <v>0</v>
      </c>
      <c r="J785" s="8">
        <v>1</v>
      </c>
      <c r="K785" s="9">
        <v>1</v>
      </c>
      <c r="L785" s="10">
        <v>0</v>
      </c>
      <c r="M785" s="6">
        <v>0</v>
      </c>
      <c r="N785" s="37" t="e" cm="1">
        <f t="array" ref="N785">IF(OR(ISNUMBER(FIND(Aux!$D$3:$D$9,_xlfn.TEXTJOIN(,,C785:K785)))),NA(),IF(AND(SUM(C785:F785,H785:K785)=0,G785=1),0,INT((SUMPRODUCT(C785:F785,COLUMN($A$1:$D$1)-1)+SUMPRODUCT(H785:K785,COLUMN($E$1:$H$1)-1))*'Line Follower'!$C$3/SUM(C785:F785,H785:K785)-'Line Follower'!$C$5)))</f>
        <v>#N/A</v>
      </c>
      <c r="O785" s="22" t="e">
        <v>#N/A</v>
      </c>
      <c r="P785" s="4" t="e">
        <f t="shared" si="60"/>
        <v>#N/A</v>
      </c>
      <c r="Q785" s="4" t="e">
        <f t="shared" si="61"/>
        <v>#N/A</v>
      </c>
      <c r="R785" s="4" t="e">
        <f>IF(AND(B785=1,N785&gt;'Line Follower'!$C$7,SUM(C785:K785)&lt;4),1,0)</f>
        <v>#N/A</v>
      </c>
      <c r="S785" s="4" t="e">
        <f>IF(AND(L785=1,N785&lt;'Line Follower'!$C$6,SUM(C785:K785)&lt;4),1,0)</f>
        <v>#N/A</v>
      </c>
      <c r="T785" s="4" t="e">
        <f t="shared" si="62"/>
        <v>#N/A</v>
      </c>
      <c r="U785" s="5" t="e">
        <f t="shared" si="63"/>
        <v>#N/A</v>
      </c>
      <c r="V785" s="23" t="e">
        <f t="shared" si="64"/>
        <v>#N/A</v>
      </c>
    </row>
    <row r="786" spans="2:22" x14ac:dyDescent="0.25">
      <c r="B786" s="16">
        <v>1</v>
      </c>
      <c r="C786" s="7">
        <v>1</v>
      </c>
      <c r="D786" s="8">
        <v>1</v>
      </c>
      <c r="E786" s="8">
        <v>1</v>
      </c>
      <c r="F786" s="8">
        <v>0</v>
      </c>
      <c r="G786" s="8">
        <v>0</v>
      </c>
      <c r="H786" s="8">
        <v>0</v>
      </c>
      <c r="I786" s="8">
        <v>0</v>
      </c>
      <c r="J786" s="8">
        <v>1</v>
      </c>
      <c r="K786" s="9">
        <v>1</v>
      </c>
      <c r="L786" s="10">
        <v>0</v>
      </c>
      <c r="M786" s="6">
        <v>0</v>
      </c>
      <c r="N786" s="37" t="e" cm="1">
        <f t="array" ref="N786">IF(OR(ISNUMBER(FIND(Aux!$D$3:$D$9,_xlfn.TEXTJOIN(,,C786:K786)))),NA(),IF(AND(SUM(C786:F786,H786:K786)=0,G786=1),0,INT((SUMPRODUCT(C786:F786,COLUMN($A$1:$D$1)-1)+SUMPRODUCT(H786:K786,COLUMN($E$1:$H$1)-1))*'Line Follower'!$C$3/SUM(C786:F786,H786:K786)-'Line Follower'!$C$5)))</f>
        <v>#N/A</v>
      </c>
      <c r="O786" s="22" t="e">
        <v>#N/A</v>
      </c>
      <c r="P786" s="4" t="e">
        <f t="shared" si="60"/>
        <v>#N/A</v>
      </c>
      <c r="Q786" s="4" t="e">
        <f t="shared" si="61"/>
        <v>#N/A</v>
      </c>
      <c r="R786" s="4" t="e">
        <f>IF(AND(B786=1,N786&gt;'Line Follower'!$C$7,SUM(C786:K786)&lt;4),1,0)</f>
        <v>#N/A</v>
      </c>
      <c r="S786" s="4" t="e">
        <f>IF(AND(L786=1,N786&lt;'Line Follower'!$C$6,SUM(C786:K786)&lt;4),1,0)</f>
        <v>#N/A</v>
      </c>
      <c r="T786" s="4" t="e">
        <f t="shared" si="62"/>
        <v>#N/A</v>
      </c>
      <c r="U786" s="5" t="e">
        <f t="shared" si="63"/>
        <v>#N/A</v>
      </c>
      <c r="V786" s="23" t="e">
        <f t="shared" si="64"/>
        <v>#N/A</v>
      </c>
    </row>
    <row r="787" spans="2:22" x14ac:dyDescent="0.25">
      <c r="B787" s="16">
        <v>0</v>
      </c>
      <c r="C787" s="7">
        <v>0</v>
      </c>
      <c r="D787" s="8">
        <v>0</v>
      </c>
      <c r="E787" s="8">
        <v>0</v>
      </c>
      <c r="F787" s="8">
        <v>1</v>
      </c>
      <c r="G787" s="8">
        <v>0</v>
      </c>
      <c r="H787" s="8">
        <v>0</v>
      </c>
      <c r="I787" s="8">
        <v>0</v>
      </c>
      <c r="J787" s="8">
        <v>1</v>
      </c>
      <c r="K787" s="9">
        <v>1</v>
      </c>
      <c r="L787" s="10">
        <v>0</v>
      </c>
      <c r="M787" s="6">
        <v>0</v>
      </c>
      <c r="N787" s="37" t="e" cm="1">
        <f t="array" ref="N787">IF(OR(ISNUMBER(FIND(Aux!$D$3:$D$9,_xlfn.TEXTJOIN(,,C787:K787)))),NA(),IF(AND(SUM(C787:F787,H787:K787)=0,G787=1),0,INT((SUMPRODUCT(C787:F787,COLUMN($A$1:$D$1)-1)+SUMPRODUCT(H787:K787,COLUMN($E$1:$H$1)-1))*'Line Follower'!$C$3/SUM(C787:F787,H787:K787)-'Line Follower'!$C$5)))</f>
        <v>#N/A</v>
      </c>
      <c r="O787" s="22" t="e">
        <v>#N/A</v>
      </c>
      <c r="P787" s="4" t="e">
        <f t="shared" si="60"/>
        <v>#N/A</v>
      </c>
      <c r="Q787" s="4" t="e">
        <f t="shared" si="61"/>
        <v>#N/A</v>
      </c>
      <c r="R787" s="4" t="e">
        <f>IF(AND(B787=1,N787&gt;'Line Follower'!$C$7,SUM(C787:K787)&lt;4),1,0)</f>
        <v>#N/A</v>
      </c>
      <c r="S787" s="4" t="e">
        <f>IF(AND(L787=1,N787&lt;'Line Follower'!$C$6,SUM(C787:K787)&lt;4),1,0)</f>
        <v>#N/A</v>
      </c>
      <c r="T787" s="4" t="e">
        <f t="shared" si="62"/>
        <v>#N/A</v>
      </c>
      <c r="U787" s="5" t="e">
        <f t="shared" si="63"/>
        <v>#N/A</v>
      </c>
      <c r="V787" s="23" t="e">
        <f t="shared" si="64"/>
        <v>#N/A</v>
      </c>
    </row>
    <row r="788" spans="2:22" x14ac:dyDescent="0.25">
      <c r="B788" s="16">
        <v>1</v>
      </c>
      <c r="C788" s="7">
        <v>0</v>
      </c>
      <c r="D788" s="8">
        <v>0</v>
      </c>
      <c r="E788" s="8">
        <v>0</v>
      </c>
      <c r="F788" s="8">
        <v>1</v>
      </c>
      <c r="G788" s="8">
        <v>0</v>
      </c>
      <c r="H788" s="8">
        <v>0</v>
      </c>
      <c r="I788" s="8">
        <v>0</v>
      </c>
      <c r="J788" s="8">
        <v>1</v>
      </c>
      <c r="K788" s="9">
        <v>1</v>
      </c>
      <c r="L788" s="10">
        <v>0</v>
      </c>
      <c r="M788" s="6">
        <v>0</v>
      </c>
      <c r="N788" s="37" t="e" cm="1">
        <f t="array" ref="N788">IF(OR(ISNUMBER(FIND(Aux!$D$3:$D$9,_xlfn.TEXTJOIN(,,C788:K788)))),NA(),IF(AND(SUM(C788:F788,H788:K788)=0,G788=1),0,INT((SUMPRODUCT(C788:F788,COLUMN($A$1:$D$1)-1)+SUMPRODUCT(H788:K788,COLUMN($E$1:$H$1)-1))*'Line Follower'!$C$3/SUM(C788:F788,H788:K788)-'Line Follower'!$C$5)))</f>
        <v>#N/A</v>
      </c>
      <c r="O788" s="22" t="e">
        <v>#N/A</v>
      </c>
      <c r="P788" s="4" t="e">
        <f t="shared" si="60"/>
        <v>#N/A</v>
      </c>
      <c r="Q788" s="4" t="e">
        <f t="shared" si="61"/>
        <v>#N/A</v>
      </c>
      <c r="R788" s="4" t="e">
        <f>IF(AND(B788=1,N788&gt;'Line Follower'!$C$7,SUM(C788:K788)&lt;4),1,0)</f>
        <v>#N/A</v>
      </c>
      <c r="S788" s="4" t="e">
        <f>IF(AND(L788=1,N788&lt;'Line Follower'!$C$6,SUM(C788:K788)&lt;4),1,0)</f>
        <v>#N/A</v>
      </c>
      <c r="T788" s="4" t="e">
        <f t="shared" si="62"/>
        <v>#N/A</v>
      </c>
      <c r="U788" s="5" t="e">
        <f t="shared" si="63"/>
        <v>#N/A</v>
      </c>
      <c r="V788" s="23" t="e">
        <f t="shared" si="64"/>
        <v>#N/A</v>
      </c>
    </row>
    <row r="789" spans="2:22" x14ac:dyDescent="0.25">
      <c r="B789" s="16">
        <v>0</v>
      </c>
      <c r="C789" s="7">
        <v>1</v>
      </c>
      <c r="D789" s="8">
        <v>0</v>
      </c>
      <c r="E789" s="8">
        <v>0</v>
      </c>
      <c r="F789" s="8">
        <v>1</v>
      </c>
      <c r="G789" s="8">
        <v>0</v>
      </c>
      <c r="H789" s="8">
        <v>0</v>
      </c>
      <c r="I789" s="8">
        <v>0</v>
      </c>
      <c r="J789" s="8">
        <v>1</v>
      </c>
      <c r="K789" s="9">
        <v>1</v>
      </c>
      <c r="L789" s="10">
        <v>0</v>
      </c>
      <c r="M789" s="6">
        <v>0</v>
      </c>
      <c r="N789" s="37" t="e" cm="1">
        <f t="array" ref="N789">IF(OR(ISNUMBER(FIND(Aux!$D$3:$D$9,_xlfn.TEXTJOIN(,,C789:K789)))),NA(),IF(AND(SUM(C789:F789,H789:K789)=0,G789=1),0,INT((SUMPRODUCT(C789:F789,COLUMN($A$1:$D$1)-1)+SUMPRODUCT(H789:K789,COLUMN($E$1:$H$1)-1))*'Line Follower'!$C$3/SUM(C789:F789,H789:K789)-'Line Follower'!$C$5)))</f>
        <v>#N/A</v>
      </c>
      <c r="O789" s="22" t="e">
        <v>#N/A</v>
      </c>
      <c r="P789" s="4" t="e">
        <f t="shared" si="60"/>
        <v>#N/A</v>
      </c>
      <c r="Q789" s="4" t="e">
        <f t="shared" si="61"/>
        <v>#N/A</v>
      </c>
      <c r="R789" s="4" t="e">
        <f>IF(AND(B789=1,N789&gt;'Line Follower'!$C$7,SUM(C789:K789)&lt;4),1,0)</f>
        <v>#N/A</v>
      </c>
      <c r="S789" s="4" t="e">
        <f>IF(AND(L789=1,N789&lt;'Line Follower'!$C$6,SUM(C789:K789)&lt;4),1,0)</f>
        <v>#N/A</v>
      </c>
      <c r="T789" s="4" t="e">
        <f t="shared" si="62"/>
        <v>#N/A</v>
      </c>
      <c r="U789" s="5" t="e">
        <f t="shared" si="63"/>
        <v>#N/A</v>
      </c>
      <c r="V789" s="23" t="e">
        <f t="shared" si="64"/>
        <v>#N/A</v>
      </c>
    </row>
    <row r="790" spans="2:22" x14ac:dyDescent="0.25">
      <c r="B790" s="16">
        <v>1</v>
      </c>
      <c r="C790" s="7">
        <v>1</v>
      </c>
      <c r="D790" s="8">
        <v>0</v>
      </c>
      <c r="E790" s="8">
        <v>0</v>
      </c>
      <c r="F790" s="8">
        <v>1</v>
      </c>
      <c r="G790" s="8">
        <v>0</v>
      </c>
      <c r="H790" s="8">
        <v>0</v>
      </c>
      <c r="I790" s="8">
        <v>0</v>
      </c>
      <c r="J790" s="8">
        <v>1</v>
      </c>
      <c r="K790" s="9">
        <v>1</v>
      </c>
      <c r="L790" s="10">
        <v>0</v>
      </c>
      <c r="M790" s="6">
        <v>0</v>
      </c>
      <c r="N790" s="37" t="e" cm="1">
        <f t="array" ref="N790">IF(OR(ISNUMBER(FIND(Aux!$D$3:$D$9,_xlfn.TEXTJOIN(,,C790:K790)))),NA(),IF(AND(SUM(C790:F790,H790:K790)=0,G790=1),0,INT((SUMPRODUCT(C790:F790,COLUMN($A$1:$D$1)-1)+SUMPRODUCT(H790:K790,COLUMN($E$1:$H$1)-1))*'Line Follower'!$C$3/SUM(C790:F790,H790:K790)-'Line Follower'!$C$5)))</f>
        <v>#N/A</v>
      </c>
      <c r="O790" s="22" t="e">
        <v>#N/A</v>
      </c>
      <c r="P790" s="4" t="e">
        <f t="shared" si="60"/>
        <v>#N/A</v>
      </c>
      <c r="Q790" s="4" t="e">
        <f t="shared" si="61"/>
        <v>#N/A</v>
      </c>
      <c r="R790" s="4" t="e">
        <f>IF(AND(B790=1,N790&gt;'Line Follower'!$C$7,SUM(C790:K790)&lt;4),1,0)</f>
        <v>#N/A</v>
      </c>
      <c r="S790" s="4" t="e">
        <f>IF(AND(L790=1,N790&lt;'Line Follower'!$C$6,SUM(C790:K790)&lt;4),1,0)</f>
        <v>#N/A</v>
      </c>
      <c r="T790" s="4" t="e">
        <f t="shared" si="62"/>
        <v>#N/A</v>
      </c>
      <c r="U790" s="5" t="e">
        <f t="shared" si="63"/>
        <v>#N/A</v>
      </c>
      <c r="V790" s="23" t="e">
        <f t="shared" si="64"/>
        <v>#N/A</v>
      </c>
    </row>
    <row r="791" spans="2:22" x14ac:dyDescent="0.25">
      <c r="B791" s="16">
        <v>0</v>
      </c>
      <c r="C791" s="7">
        <v>0</v>
      </c>
      <c r="D791" s="8">
        <v>1</v>
      </c>
      <c r="E791" s="8">
        <v>0</v>
      </c>
      <c r="F791" s="8">
        <v>1</v>
      </c>
      <c r="G791" s="8">
        <v>0</v>
      </c>
      <c r="H791" s="8">
        <v>0</v>
      </c>
      <c r="I791" s="8">
        <v>0</v>
      </c>
      <c r="J791" s="8">
        <v>1</v>
      </c>
      <c r="K791" s="9">
        <v>1</v>
      </c>
      <c r="L791" s="10">
        <v>0</v>
      </c>
      <c r="M791" s="6">
        <v>0</v>
      </c>
      <c r="N791" s="37" t="e" cm="1">
        <f t="array" ref="N791">IF(OR(ISNUMBER(FIND(Aux!$D$3:$D$9,_xlfn.TEXTJOIN(,,C791:K791)))),NA(),IF(AND(SUM(C791:F791,H791:K791)=0,G791=1),0,INT((SUMPRODUCT(C791:F791,COLUMN($A$1:$D$1)-1)+SUMPRODUCT(H791:K791,COLUMN($E$1:$H$1)-1))*'Line Follower'!$C$3/SUM(C791:F791,H791:K791)-'Line Follower'!$C$5)))</f>
        <v>#N/A</v>
      </c>
      <c r="O791" s="22" t="e">
        <v>#N/A</v>
      </c>
      <c r="P791" s="4" t="e">
        <f t="shared" si="60"/>
        <v>#N/A</v>
      </c>
      <c r="Q791" s="4" t="e">
        <f t="shared" si="61"/>
        <v>#N/A</v>
      </c>
      <c r="R791" s="4" t="e">
        <f>IF(AND(B791=1,N791&gt;'Line Follower'!$C$7,SUM(C791:K791)&lt;4),1,0)</f>
        <v>#N/A</v>
      </c>
      <c r="S791" s="4" t="e">
        <f>IF(AND(L791=1,N791&lt;'Line Follower'!$C$6,SUM(C791:K791)&lt;4),1,0)</f>
        <v>#N/A</v>
      </c>
      <c r="T791" s="4" t="e">
        <f t="shared" si="62"/>
        <v>#N/A</v>
      </c>
      <c r="U791" s="5" t="e">
        <f t="shared" si="63"/>
        <v>#N/A</v>
      </c>
      <c r="V791" s="23" t="e">
        <f t="shared" si="64"/>
        <v>#N/A</v>
      </c>
    </row>
    <row r="792" spans="2:22" x14ac:dyDescent="0.25">
      <c r="B792" s="16">
        <v>1</v>
      </c>
      <c r="C792" s="7">
        <v>0</v>
      </c>
      <c r="D792" s="8">
        <v>1</v>
      </c>
      <c r="E792" s="8">
        <v>0</v>
      </c>
      <c r="F792" s="8">
        <v>1</v>
      </c>
      <c r="G792" s="8">
        <v>0</v>
      </c>
      <c r="H792" s="8">
        <v>0</v>
      </c>
      <c r="I792" s="8">
        <v>0</v>
      </c>
      <c r="J792" s="8">
        <v>1</v>
      </c>
      <c r="K792" s="9">
        <v>1</v>
      </c>
      <c r="L792" s="10">
        <v>0</v>
      </c>
      <c r="M792" s="6">
        <v>0</v>
      </c>
      <c r="N792" s="37" t="e" cm="1">
        <f t="array" ref="N792">IF(OR(ISNUMBER(FIND(Aux!$D$3:$D$9,_xlfn.TEXTJOIN(,,C792:K792)))),NA(),IF(AND(SUM(C792:F792,H792:K792)=0,G792=1),0,INT((SUMPRODUCT(C792:F792,COLUMN($A$1:$D$1)-1)+SUMPRODUCT(H792:K792,COLUMN($E$1:$H$1)-1))*'Line Follower'!$C$3/SUM(C792:F792,H792:K792)-'Line Follower'!$C$5)))</f>
        <v>#N/A</v>
      </c>
      <c r="O792" s="22" t="e">
        <v>#N/A</v>
      </c>
      <c r="P792" s="4" t="e">
        <f t="shared" si="60"/>
        <v>#N/A</v>
      </c>
      <c r="Q792" s="4" t="e">
        <f t="shared" si="61"/>
        <v>#N/A</v>
      </c>
      <c r="R792" s="4" t="e">
        <f>IF(AND(B792=1,N792&gt;'Line Follower'!$C$7,SUM(C792:K792)&lt;4),1,0)</f>
        <v>#N/A</v>
      </c>
      <c r="S792" s="4" t="e">
        <f>IF(AND(L792=1,N792&lt;'Line Follower'!$C$6,SUM(C792:K792)&lt;4),1,0)</f>
        <v>#N/A</v>
      </c>
      <c r="T792" s="4" t="e">
        <f t="shared" si="62"/>
        <v>#N/A</v>
      </c>
      <c r="U792" s="5" t="e">
        <f t="shared" si="63"/>
        <v>#N/A</v>
      </c>
      <c r="V792" s="23" t="e">
        <f t="shared" si="64"/>
        <v>#N/A</v>
      </c>
    </row>
    <row r="793" spans="2:22" x14ac:dyDescent="0.25">
      <c r="B793" s="16">
        <v>0</v>
      </c>
      <c r="C793" s="7">
        <v>1</v>
      </c>
      <c r="D793" s="8">
        <v>1</v>
      </c>
      <c r="E793" s="8">
        <v>0</v>
      </c>
      <c r="F793" s="8">
        <v>1</v>
      </c>
      <c r="G793" s="8">
        <v>0</v>
      </c>
      <c r="H793" s="8">
        <v>0</v>
      </c>
      <c r="I793" s="8">
        <v>0</v>
      </c>
      <c r="J793" s="8">
        <v>1</v>
      </c>
      <c r="K793" s="9">
        <v>1</v>
      </c>
      <c r="L793" s="10">
        <v>0</v>
      </c>
      <c r="M793" s="6">
        <v>0</v>
      </c>
      <c r="N793" s="37" t="e" cm="1">
        <f t="array" ref="N793">IF(OR(ISNUMBER(FIND(Aux!$D$3:$D$9,_xlfn.TEXTJOIN(,,C793:K793)))),NA(),IF(AND(SUM(C793:F793,H793:K793)=0,G793=1),0,INT((SUMPRODUCT(C793:F793,COLUMN($A$1:$D$1)-1)+SUMPRODUCT(H793:K793,COLUMN($E$1:$H$1)-1))*'Line Follower'!$C$3/SUM(C793:F793,H793:K793)-'Line Follower'!$C$5)))</f>
        <v>#N/A</v>
      </c>
      <c r="O793" s="22" t="e">
        <v>#N/A</v>
      </c>
      <c r="P793" s="4" t="e">
        <f t="shared" si="60"/>
        <v>#N/A</v>
      </c>
      <c r="Q793" s="4" t="e">
        <f t="shared" si="61"/>
        <v>#N/A</v>
      </c>
      <c r="R793" s="4" t="e">
        <f>IF(AND(B793=1,N793&gt;'Line Follower'!$C$7,SUM(C793:K793)&lt;4),1,0)</f>
        <v>#N/A</v>
      </c>
      <c r="S793" s="4" t="e">
        <f>IF(AND(L793=1,N793&lt;'Line Follower'!$C$6,SUM(C793:K793)&lt;4),1,0)</f>
        <v>#N/A</v>
      </c>
      <c r="T793" s="4" t="e">
        <f t="shared" si="62"/>
        <v>#N/A</v>
      </c>
      <c r="U793" s="5" t="e">
        <f t="shared" si="63"/>
        <v>#N/A</v>
      </c>
      <c r="V793" s="23" t="e">
        <f t="shared" si="64"/>
        <v>#N/A</v>
      </c>
    </row>
    <row r="794" spans="2:22" x14ac:dyDescent="0.25">
      <c r="B794" s="16">
        <v>1</v>
      </c>
      <c r="C794" s="7">
        <v>1</v>
      </c>
      <c r="D794" s="8">
        <v>1</v>
      </c>
      <c r="E794" s="8">
        <v>0</v>
      </c>
      <c r="F794" s="8">
        <v>1</v>
      </c>
      <c r="G794" s="8">
        <v>0</v>
      </c>
      <c r="H794" s="8">
        <v>0</v>
      </c>
      <c r="I794" s="8">
        <v>0</v>
      </c>
      <c r="J794" s="8">
        <v>1</v>
      </c>
      <c r="K794" s="9">
        <v>1</v>
      </c>
      <c r="L794" s="10">
        <v>0</v>
      </c>
      <c r="M794" s="6">
        <v>0</v>
      </c>
      <c r="N794" s="37" t="e" cm="1">
        <f t="array" ref="N794">IF(OR(ISNUMBER(FIND(Aux!$D$3:$D$9,_xlfn.TEXTJOIN(,,C794:K794)))),NA(),IF(AND(SUM(C794:F794,H794:K794)=0,G794=1),0,INT((SUMPRODUCT(C794:F794,COLUMN($A$1:$D$1)-1)+SUMPRODUCT(H794:K794,COLUMN($E$1:$H$1)-1))*'Line Follower'!$C$3/SUM(C794:F794,H794:K794)-'Line Follower'!$C$5)))</f>
        <v>#N/A</v>
      </c>
      <c r="O794" s="22" t="e">
        <v>#N/A</v>
      </c>
      <c r="P794" s="4" t="e">
        <f t="shared" si="60"/>
        <v>#N/A</v>
      </c>
      <c r="Q794" s="4" t="e">
        <f t="shared" si="61"/>
        <v>#N/A</v>
      </c>
      <c r="R794" s="4" t="e">
        <f>IF(AND(B794=1,N794&gt;'Line Follower'!$C$7,SUM(C794:K794)&lt;4),1,0)</f>
        <v>#N/A</v>
      </c>
      <c r="S794" s="4" t="e">
        <f>IF(AND(L794=1,N794&lt;'Line Follower'!$C$6,SUM(C794:K794)&lt;4),1,0)</f>
        <v>#N/A</v>
      </c>
      <c r="T794" s="4" t="e">
        <f t="shared" si="62"/>
        <v>#N/A</v>
      </c>
      <c r="U794" s="5" t="e">
        <f t="shared" si="63"/>
        <v>#N/A</v>
      </c>
      <c r="V794" s="23" t="e">
        <f t="shared" si="64"/>
        <v>#N/A</v>
      </c>
    </row>
    <row r="795" spans="2:22" x14ac:dyDescent="0.25">
      <c r="B795" s="16">
        <v>0</v>
      </c>
      <c r="C795" s="7">
        <v>0</v>
      </c>
      <c r="D795" s="8">
        <v>0</v>
      </c>
      <c r="E795" s="8">
        <v>1</v>
      </c>
      <c r="F795" s="8">
        <v>1</v>
      </c>
      <c r="G795" s="8">
        <v>0</v>
      </c>
      <c r="H795" s="8">
        <v>0</v>
      </c>
      <c r="I795" s="8">
        <v>0</v>
      </c>
      <c r="J795" s="8">
        <v>1</v>
      </c>
      <c r="K795" s="9">
        <v>1</v>
      </c>
      <c r="L795" s="10">
        <v>0</v>
      </c>
      <c r="M795" s="6">
        <v>0</v>
      </c>
      <c r="N795" s="37" t="e" cm="1">
        <f t="array" ref="N795">IF(OR(ISNUMBER(FIND(Aux!$D$3:$D$9,_xlfn.TEXTJOIN(,,C795:K795)))),NA(),IF(AND(SUM(C795:F795,H795:K795)=0,G795=1),0,INT((SUMPRODUCT(C795:F795,COLUMN($A$1:$D$1)-1)+SUMPRODUCT(H795:K795,COLUMN($E$1:$H$1)-1))*'Line Follower'!$C$3/SUM(C795:F795,H795:K795)-'Line Follower'!$C$5)))</f>
        <v>#N/A</v>
      </c>
      <c r="O795" s="22" t="e">
        <v>#N/A</v>
      </c>
      <c r="P795" s="4" t="e">
        <f t="shared" si="60"/>
        <v>#N/A</v>
      </c>
      <c r="Q795" s="4" t="e">
        <f t="shared" si="61"/>
        <v>#N/A</v>
      </c>
      <c r="R795" s="4" t="e">
        <f>IF(AND(B795=1,N795&gt;'Line Follower'!$C$7,SUM(C795:K795)&lt;4),1,0)</f>
        <v>#N/A</v>
      </c>
      <c r="S795" s="4" t="e">
        <f>IF(AND(L795=1,N795&lt;'Line Follower'!$C$6,SUM(C795:K795)&lt;4),1,0)</f>
        <v>#N/A</v>
      </c>
      <c r="T795" s="4" t="e">
        <f t="shared" si="62"/>
        <v>#N/A</v>
      </c>
      <c r="U795" s="5" t="e">
        <f t="shared" si="63"/>
        <v>#N/A</v>
      </c>
      <c r="V795" s="23" t="e">
        <f t="shared" si="64"/>
        <v>#N/A</v>
      </c>
    </row>
    <row r="796" spans="2:22" x14ac:dyDescent="0.25">
      <c r="B796" s="16">
        <v>1</v>
      </c>
      <c r="C796" s="7">
        <v>0</v>
      </c>
      <c r="D796" s="8">
        <v>0</v>
      </c>
      <c r="E796" s="8">
        <v>1</v>
      </c>
      <c r="F796" s="8">
        <v>1</v>
      </c>
      <c r="G796" s="8">
        <v>0</v>
      </c>
      <c r="H796" s="8">
        <v>0</v>
      </c>
      <c r="I796" s="8">
        <v>0</v>
      </c>
      <c r="J796" s="8">
        <v>1</v>
      </c>
      <c r="K796" s="9">
        <v>1</v>
      </c>
      <c r="L796" s="10">
        <v>0</v>
      </c>
      <c r="M796" s="6">
        <v>0</v>
      </c>
      <c r="N796" s="37" t="e" cm="1">
        <f t="array" ref="N796">IF(OR(ISNUMBER(FIND(Aux!$D$3:$D$9,_xlfn.TEXTJOIN(,,C796:K796)))),NA(),IF(AND(SUM(C796:F796,H796:K796)=0,G796=1),0,INT((SUMPRODUCT(C796:F796,COLUMN($A$1:$D$1)-1)+SUMPRODUCT(H796:K796,COLUMN($E$1:$H$1)-1))*'Line Follower'!$C$3/SUM(C796:F796,H796:K796)-'Line Follower'!$C$5)))</f>
        <v>#N/A</v>
      </c>
      <c r="O796" s="22" t="e">
        <v>#N/A</v>
      </c>
      <c r="P796" s="4" t="e">
        <f t="shared" si="60"/>
        <v>#N/A</v>
      </c>
      <c r="Q796" s="4" t="e">
        <f t="shared" si="61"/>
        <v>#N/A</v>
      </c>
      <c r="R796" s="4" t="e">
        <f>IF(AND(B796=1,N796&gt;'Line Follower'!$C$7,SUM(C796:K796)&lt;4),1,0)</f>
        <v>#N/A</v>
      </c>
      <c r="S796" s="4" t="e">
        <f>IF(AND(L796=1,N796&lt;'Line Follower'!$C$6,SUM(C796:K796)&lt;4),1,0)</f>
        <v>#N/A</v>
      </c>
      <c r="T796" s="4" t="e">
        <f t="shared" si="62"/>
        <v>#N/A</v>
      </c>
      <c r="U796" s="5" t="e">
        <f t="shared" si="63"/>
        <v>#N/A</v>
      </c>
      <c r="V796" s="23" t="e">
        <f t="shared" si="64"/>
        <v>#N/A</v>
      </c>
    </row>
    <row r="797" spans="2:22" x14ac:dyDescent="0.25">
      <c r="B797" s="16">
        <v>0</v>
      </c>
      <c r="C797" s="7">
        <v>1</v>
      </c>
      <c r="D797" s="8">
        <v>0</v>
      </c>
      <c r="E797" s="8">
        <v>1</v>
      </c>
      <c r="F797" s="8">
        <v>1</v>
      </c>
      <c r="G797" s="8">
        <v>0</v>
      </c>
      <c r="H797" s="8">
        <v>0</v>
      </c>
      <c r="I797" s="8">
        <v>0</v>
      </c>
      <c r="J797" s="8">
        <v>1</v>
      </c>
      <c r="K797" s="9">
        <v>1</v>
      </c>
      <c r="L797" s="10">
        <v>0</v>
      </c>
      <c r="M797" s="6">
        <v>0</v>
      </c>
      <c r="N797" s="37" t="e" cm="1">
        <f t="array" ref="N797">IF(OR(ISNUMBER(FIND(Aux!$D$3:$D$9,_xlfn.TEXTJOIN(,,C797:K797)))),NA(),IF(AND(SUM(C797:F797,H797:K797)=0,G797=1),0,INT((SUMPRODUCT(C797:F797,COLUMN($A$1:$D$1)-1)+SUMPRODUCT(H797:K797,COLUMN($E$1:$H$1)-1))*'Line Follower'!$C$3/SUM(C797:F797,H797:K797)-'Line Follower'!$C$5)))</f>
        <v>#N/A</v>
      </c>
      <c r="O797" s="22" t="e">
        <v>#N/A</v>
      </c>
      <c r="P797" s="4" t="e">
        <f t="shared" si="60"/>
        <v>#N/A</v>
      </c>
      <c r="Q797" s="4" t="e">
        <f t="shared" si="61"/>
        <v>#N/A</v>
      </c>
      <c r="R797" s="4" t="e">
        <f>IF(AND(B797=1,N797&gt;'Line Follower'!$C$7,SUM(C797:K797)&lt;4),1,0)</f>
        <v>#N/A</v>
      </c>
      <c r="S797" s="4" t="e">
        <f>IF(AND(L797=1,N797&lt;'Line Follower'!$C$6,SUM(C797:K797)&lt;4),1,0)</f>
        <v>#N/A</v>
      </c>
      <c r="T797" s="4" t="e">
        <f t="shared" si="62"/>
        <v>#N/A</v>
      </c>
      <c r="U797" s="5" t="e">
        <f t="shared" si="63"/>
        <v>#N/A</v>
      </c>
      <c r="V797" s="23" t="e">
        <f t="shared" si="64"/>
        <v>#N/A</v>
      </c>
    </row>
    <row r="798" spans="2:22" x14ac:dyDescent="0.25">
      <c r="B798" s="16">
        <v>1</v>
      </c>
      <c r="C798" s="7">
        <v>1</v>
      </c>
      <c r="D798" s="8">
        <v>0</v>
      </c>
      <c r="E798" s="8">
        <v>1</v>
      </c>
      <c r="F798" s="8">
        <v>1</v>
      </c>
      <c r="G798" s="8">
        <v>0</v>
      </c>
      <c r="H798" s="8">
        <v>0</v>
      </c>
      <c r="I798" s="8">
        <v>0</v>
      </c>
      <c r="J798" s="8">
        <v>1</v>
      </c>
      <c r="K798" s="9">
        <v>1</v>
      </c>
      <c r="L798" s="10">
        <v>0</v>
      </c>
      <c r="M798" s="6">
        <v>0</v>
      </c>
      <c r="N798" s="37" t="e" cm="1">
        <f t="array" ref="N798">IF(OR(ISNUMBER(FIND(Aux!$D$3:$D$9,_xlfn.TEXTJOIN(,,C798:K798)))),NA(),IF(AND(SUM(C798:F798,H798:K798)=0,G798=1),0,INT((SUMPRODUCT(C798:F798,COLUMN($A$1:$D$1)-1)+SUMPRODUCT(H798:K798,COLUMN($E$1:$H$1)-1))*'Line Follower'!$C$3/SUM(C798:F798,H798:K798)-'Line Follower'!$C$5)))</f>
        <v>#N/A</v>
      </c>
      <c r="O798" s="22" t="e">
        <v>#N/A</v>
      </c>
      <c r="P798" s="4" t="e">
        <f t="shared" si="60"/>
        <v>#N/A</v>
      </c>
      <c r="Q798" s="4" t="e">
        <f t="shared" si="61"/>
        <v>#N/A</v>
      </c>
      <c r="R798" s="4" t="e">
        <f>IF(AND(B798=1,N798&gt;'Line Follower'!$C$7,SUM(C798:K798)&lt;4),1,0)</f>
        <v>#N/A</v>
      </c>
      <c r="S798" s="4" t="e">
        <f>IF(AND(L798=1,N798&lt;'Line Follower'!$C$6,SUM(C798:K798)&lt;4),1,0)</f>
        <v>#N/A</v>
      </c>
      <c r="T798" s="4" t="e">
        <f t="shared" si="62"/>
        <v>#N/A</v>
      </c>
      <c r="U798" s="5" t="e">
        <f t="shared" si="63"/>
        <v>#N/A</v>
      </c>
      <c r="V798" s="23" t="e">
        <f t="shared" si="64"/>
        <v>#N/A</v>
      </c>
    </row>
    <row r="799" spans="2:22" x14ac:dyDescent="0.25">
      <c r="B799" s="16">
        <v>0</v>
      </c>
      <c r="C799" s="7">
        <v>0</v>
      </c>
      <c r="D799" s="8">
        <v>1</v>
      </c>
      <c r="E799" s="8">
        <v>1</v>
      </c>
      <c r="F799" s="8">
        <v>1</v>
      </c>
      <c r="G799" s="8">
        <v>0</v>
      </c>
      <c r="H799" s="8">
        <v>0</v>
      </c>
      <c r="I799" s="8">
        <v>0</v>
      </c>
      <c r="J799" s="8">
        <v>1</v>
      </c>
      <c r="K799" s="9">
        <v>1</v>
      </c>
      <c r="L799" s="10">
        <v>0</v>
      </c>
      <c r="M799" s="6">
        <v>0</v>
      </c>
      <c r="N799" s="37" t="e" cm="1">
        <f t="array" ref="N799">IF(OR(ISNUMBER(FIND(Aux!$D$3:$D$9,_xlfn.TEXTJOIN(,,C799:K799)))),NA(),IF(AND(SUM(C799:F799,H799:K799)=0,G799=1),0,INT((SUMPRODUCT(C799:F799,COLUMN($A$1:$D$1)-1)+SUMPRODUCT(H799:K799,COLUMN($E$1:$H$1)-1))*'Line Follower'!$C$3/SUM(C799:F799,H799:K799)-'Line Follower'!$C$5)))</f>
        <v>#N/A</v>
      </c>
      <c r="O799" s="22" t="e">
        <v>#N/A</v>
      </c>
      <c r="P799" s="4" t="e">
        <f t="shared" si="60"/>
        <v>#N/A</v>
      </c>
      <c r="Q799" s="4" t="e">
        <f t="shared" si="61"/>
        <v>#N/A</v>
      </c>
      <c r="R799" s="4" t="e">
        <f>IF(AND(B799=1,N799&gt;'Line Follower'!$C$7,SUM(C799:K799)&lt;4),1,0)</f>
        <v>#N/A</v>
      </c>
      <c r="S799" s="4" t="e">
        <f>IF(AND(L799=1,N799&lt;'Line Follower'!$C$6,SUM(C799:K799)&lt;4),1,0)</f>
        <v>#N/A</v>
      </c>
      <c r="T799" s="4" t="e">
        <f t="shared" si="62"/>
        <v>#N/A</v>
      </c>
      <c r="U799" s="5" t="e">
        <f t="shared" si="63"/>
        <v>#N/A</v>
      </c>
      <c r="V799" s="23" t="e">
        <f t="shared" si="64"/>
        <v>#N/A</v>
      </c>
    </row>
    <row r="800" spans="2:22" x14ac:dyDescent="0.25">
      <c r="B800" s="16">
        <v>1</v>
      </c>
      <c r="C800" s="7">
        <v>0</v>
      </c>
      <c r="D800" s="8">
        <v>1</v>
      </c>
      <c r="E800" s="8">
        <v>1</v>
      </c>
      <c r="F800" s="8">
        <v>1</v>
      </c>
      <c r="G800" s="8">
        <v>0</v>
      </c>
      <c r="H800" s="8">
        <v>0</v>
      </c>
      <c r="I800" s="8">
        <v>0</v>
      </c>
      <c r="J800" s="8">
        <v>1</v>
      </c>
      <c r="K800" s="9">
        <v>1</v>
      </c>
      <c r="L800" s="10">
        <v>0</v>
      </c>
      <c r="M800" s="6">
        <v>0</v>
      </c>
      <c r="N800" s="37" t="e" cm="1">
        <f t="array" ref="N800">IF(OR(ISNUMBER(FIND(Aux!$D$3:$D$9,_xlfn.TEXTJOIN(,,C800:K800)))),NA(),IF(AND(SUM(C800:F800,H800:K800)=0,G800=1),0,INT((SUMPRODUCT(C800:F800,COLUMN($A$1:$D$1)-1)+SUMPRODUCT(H800:K800,COLUMN($E$1:$H$1)-1))*'Line Follower'!$C$3/SUM(C800:F800,H800:K800)-'Line Follower'!$C$5)))</f>
        <v>#N/A</v>
      </c>
      <c r="O800" s="22" t="e">
        <v>#N/A</v>
      </c>
      <c r="P800" s="4" t="e">
        <f t="shared" si="60"/>
        <v>#N/A</v>
      </c>
      <c r="Q800" s="4" t="e">
        <f t="shared" si="61"/>
        <v>#N/A</v>
      </c>
      <c r="R800" s="4" t="e">
        <f>IF(AND(B800=1,N800&gt;'Line Follower'!$C$7,SUM(C800:K800)&lt;4),1,0)</f>
        <v>#N/A</v>
      </c>
      <c r="S800" s="4" t="e">
        <f>IF(AND(L800=1,N800&lt;'Line Follower'!$C$6,SUM(C800:K800)&lt;4),1,0)</f>
        <v>#N/A</v>
      </c>
      <c r="T800" s="4" t="e">
        <f t="shared" si="62"/>
        <v>#N/A</v>
      </c>
      <c r="U800" s="5" t="e">
        <f t="shared" si="63"/>
        <v>#N/A</v>
      </c>
      <c r="V800" s="23" t="e">
        <f t="shared" si="64"/>
        <v>#N/A</v>
      </c>
    </row>
    <row r="801" spans="2:22" x14ac:dyDescent="0.25">
      <c r="B801" s="16">
        <v>0</v>
      </c>
      <c r="C801" s="7">
        <v>1</v>
      </c>
      <c r="D801" s="8">
        <v>1</v>
      </c>
      <c r="E801" s="8">
        <v>1</v>
      </c>
      <c r="F801" s="8">
        <v>1</v>
      </c>
      <c r="G801" s="8">
        <v>0</v>
      </c>
      <c r="H801" s="8">
        <v>0</v>
      </c>
      <c r="I801" s="8">
        <v>0</v>
      </c>
      <c r="J801" s="8">
        <v>1</v>
      </c>
      <c r="K801" s="9">
        <v>1</v>
      </c>
      <c r="L801" s="10">
        <v>0</v>
      </c>
      <c r="M801" s="6">
        <v>0</v>
      </c>
      <c r="N801" s="37" t="e" cm="1">
        <f t="array" ref="N801">IF(OR(ISNUMBER(FIND(Aux!$D$3:$D$9,_xlfn.TEXTJOIN(,,C801:K801)))),NA(),IF(AND(SUM(C801:F801,H801:K801)=0,G801=1),0,INT((SUMPRODUCT(C801:F801,COLUMN($A$1:$D$1)-1)+SUMPRODUCT(H801:K801,COLUMN($E$1:$H$1)-1))*'Line Follower'!$C$3/SUM(C801:F801,H801:K801)-'Line Follower'!$C$5)))</f>
        <v>#N/A</v>
      </c>
      <c r="O801" s="22" t="e">
        <v>#N/A</v>
      </c>
      <c r="P801" s="4" t="e">
        <f t="shared" si="60"/>
        <v>#N/A</v>
      </c>
      <c r="Q801" s="4" t="e">
        <f t="shared" si="61"/>
        <v>#N/A</v>
      </c>
      <c r="R801" s="4" t="e">
        <f>IF(AND(B801=1,N801&gt;'Line Follower'!$C$7,SUM(C801:K801)&lt;4),1,0)</f>
        <v>#N/A</v>
      </c>
      <c r="S801" s="4" t="e">
        <f>IF(AND(L801=1,N801&lt;'Line Follower'!$C$6,SUM(C801:K801)&lt;4),1,0)</f>
        <v>#N/A</v>
      </c>
      <c r="T801" s="4" t="e">
        <f t="shared" si="62"/>
        <v>#N/A</v>
      </c>
      <c r="U801" s="5" t="e">
        <f t="shared" si="63"/>
        <v>#N/A</v>
      </c>
      <c r="V801" s="23" t="e">
        <f t="shared" si="64"/>
        <v>#N/A</v>
      </c>
    </row>
    <row r="802" spans="2:22" x14ac:dyDescent="0.25">
      <c r="B802" s="16">
        <v>1</v>
      </c>
      <c r="C802" s="7">
        <v>1</v>
      </c>
      <c r="D802" s="8">
        <v>1</v>
      </c>
      <c r="E802" s="8">
        <v>1</v>
      </c>
      <c r="F802" s="8">
        <v>1</v>
      </c>
      <c r="G802" s="8">
        <v>0</v>
      </c>
      <c r="H802" s="8">
        <v>0</v>
      </c>
      <c r="I802" s="8">
        <v>0</v>
      </c>
      <c r="J802" s="8">
        <v>1</v>
      </c>
      <c r="K802" s="9">
        <v>1</v>
      </c>
      <c r="L802" s="10">
        <v>0</v>
      </c>
      <c r="M802" s="6">
        <v>0</v>
      </c>
      <c r="N802" s="37" t="e" cm="1">
        <f t="array" ref="N802">IF(OR(ISNUMBER(FIND(Aux!$D$3:$D$9,_xlfn.TEXTJOIN(,,C802:K802)))),NA(),IF(AND(SUM(C802:F802,H802:K802)=0,G802=1),0,INT((SUMPRODUCT(C802:F802,COLUMN($A$1:$D$1)-1)+SUMPRODUCT(H802:K802,COLUMN($E$1:$H$1)-1))*'Line Follower'!$C$3/SUM(C802:F802,H802:K802)-'Line Follower'!$C$5)))</f>
        <v>#N/A</v>
      </c>
      <c r="O802" s="22" t="e">
        <v>#N/A</v>
      </c>
      <c r="P802" s="4" t="e">
        <f t="shared" si="60"/>
        <v>#N/A</v>
      </c>
      <c r="Q802" s="4" t="e">
        <f t="shared" si="61"/>
        <v>#N/A</v>
      </c>
      <c r="R802" s="4" t="e">
        <f>IF(AND(B802=1,N802&gt;'Line Follower'!$C$7,SUM(C802:K802)&lt;4),1,0)</f>
        <v>#N/A</v>
      </c>
      <c r="S802" s="4" t="e">
        <f>IF(AND(L802=1,N802&lt;'Line Follower'!$C$6,SUM(C802:K802)&lt;4),1,0)</f>
        <v>#N/A</v>
      </c>
      <c r="T802" s="4" t="e">
        <f t="shared" si="62"/>
        <v>#N/A</v>
      </c>
      <c r="U802" s="5" t="e">
        <f t="shared" si="63"/>
        <v>#N/A</v>
      </c>
      <c r="V802" s="23" t="e">
        <f t="shared" si="64"/>
        <v>#N/A</v>
      </c>
    </row>
    <row r="803" spans="2:22" x14ac:dyDescent="0.25">
      <c r="B803" s="16">
        <v>0</v>
      </c>
      <c r="C803" s="7">
        <v>0</v>
      </c>
      <c r="D803" s="8">
        <v>0</v>
      </c>
      <c r="E803" s="8">
        <v>0</v>
      </c>
      <c r="F803" s="8">
        <v>0</v>
      </c>
      <c r="G803" s="8">
        <v>1</v>
      </c>
      <c r="H803" s="8">
        <v>0</v>
      </c>
      <c r="I803" s="8">
        <v>0</v>
      </c>
      <c r="J803" s="8">
        <v>1</v>
      </c>
      <c r="K803" s="9">
        <v>1</v>
      </c>
      <c r="L803" s="10">
        <v>0</v>
      </c>
      <c r="M803" s="6">
        <v>0</v>
      </c>
      <c r="N803" s="37" t="e" cm="1">
        <f t="array" ref="N803">IF(OR(ISNUMBER(FIND(Aux!$D$3:$D$9,_xlfn.TEXTJOIN(,,C803:K803)))),NA(),IF(AND(SUM(C803:F803,H803:K803)=0,G803=1),0,INT((SUMPRODUCT(C803:F803,COLUMN($A$1:$D$1)-1)+SUMPRODUCT(H803:K803,COLUMN($E$1:$H$1)-1))*'Line Follower'!$C$3/SUM(C803:F803,H803:K803)-'Line Follower'!$C$5)))</f>
        <v>#N/A</v>
      </c>
      <c r="O803" s="22" t="e">
        <v>#N/A</v>
      </c>
      <c r="P803" s="4" t="e">
        <f t="shared" si="60"/>
        <v>#N/A</v>
      </c>
      <c r="Q803" s="4" t="e">
        <f t="shared" si="61"/>
        <v>#N/A</v>
      </c>
      <c r="R803" s="4" t="e">
        <f>IF(AND(B803=1,N803&gt;'Line Follower'!$C$7,SUM(C803:K803)&lt;4),1,0)</f>
        <v>#N/A</v>
      </c>
      <c r="S803" s="4" t="e">
        <f>IF(AND(L803=1,N803&lt;'Line Follower'!$C$6,SUM(C803:K803)&lt;4),1,0)</f>
        <v>#N/A</v>
      </c>
      <c r="T803" s="4" t="e">
        <f t="shared" si="62"/>
        <v>#N/A</v>
      </c>
      <c r="U803" s="5" t="e">
        <f t="shared" si="63"/>
        <v>#N/A</v>
      </c>
      <c r="V803" s="23" t="e">
        <f t="shared" si="64"/>
        <v>#N/A</v>
      </c>
    </row>
    <row r="804" spans="2:22" x14ac:dyDescent="0.25">
      <c r="B804" s="16">
        <v>1</v>
      </c>
      <c r="C804" s="7">
        <v>0</v>
      </c>
      <c r="D804" s="8">
        <v>0</v>
      </c>
      <c r="E804" s="8">
        <v>0</v>
      </c>
      <c r="F804" s="8">
        <v>0</v>
      </c>
      <c r="G804" s="8">
        <v>1</v>
      </c>
      <c r="H804" s="8">
        <v>0</v>
      </c>
      <c r="I804" s="8">
        <v>0</v>
      </c>
      <c r="J804" s="8">
        <v>1</v>
      </c>
      <c r="K804" s="9">
        <v>1</v>
      </c>
      <c r="L804" s="10">
        <v>0</v>
      </c>
      <c r="M804" s="6">
        <v>0</v>
      </c>
      <c r="N804" s="37" t="e" cm="1">
        <f t="array" ref="N804">IF(OR(ISNUMBER(FIND(Aux!$D$3:$D$9,_xlfn.TEXTJOIN(,,C804:K804)))),NA(),IF(AND(SUM(C804:F804,H804:K804)=0,G804=1),0,INT((SUMPRODUCT(C804:F804,COLUMN($A$1:$D$1)-1)+SUMPRODUCT(H804:K804,COLUMN($E$1:$H$1)-1))*'Line Follower'!$C$3/SUM(C804:F804,H804:K804)-'Line Follower'!$C$5)))</f>
        <v>#N/A</v>
      </c>
      <c r="O804" s="22" t="e">
        <v>#N/A</v>
      </c>
      <c r="P804" s="4" t="e">
        <f t="shared" si="60"/>
        <v>#N/A</v>
      </c>
      <c r="Q804" s="4" t="e">
        <f t="shared" si="61"/>
        <v>#N/A</v>
      </c>
      <c r="R804" s="4" t="e">
        <f>IF(AND(B804=1,N804&gt;'Line Follower'!$C$7,SUM(C804:K804)&lt;4),1,0)</f>
        <v>#N/A</v>
      </c>
      <c r="S804" s="4" t="e">
        <f>IF(AND(L804=1,N804&lt;'Line Follower'!$C$6,SUM(C804:K804)&lt;4),1,0)</f>
        <v>#N/A</v>
      </c>
      <c r="T804" s="4" t="e">
        <f t="shared" si="62"/>
        <v>#N/A</v>
      </c>
      <c r="U804" s="5" t="e">
        <f t="shared" si="63"/>
        <v>#N/A</v>
      </c>
      <c r="V804" s="23" t="e">
        <f t="shared" si="64"/>
        <v>#N/A</v>
      </c>
    </row>
    <row r="805" spans="2:22" x14ac:dyDescent="0.25">
      <c r="B805" s="16">
        <v>0</v>
      </c>
      <c r="C805" s="7">
        <v>1</v>
      </c>
      <c r="D805" s="8">
        <v>0</v>
      </c>
      <c r="E805" s="8">
        <v>0</v>
      </c>
      <c r="F805" s="8">
        <v>0</v>
      </c>
      <c r="G805" s="8">
        <v>1</v>
      </c>
      <c r="H805" s="8">
        <v>0</v>
      </c>
      <c r="I805" s="8">
        <v>0</v>
      </c>
      <c r="J805" s="8">
        <v>1</v>
      </c>
      <c r="K805" s="9">
        <v>1</v>
      </c>
      <c r="L805" s="10">
        <v>0</v>
      </c>
      <c r="M805" s="6">
        <v>0</v>
      </c>
      <c r="N805" s="37" t="e" cm="1">
        <f t="array" ref="N805">IF(OR(ISNUMBER(FIND(Aux!$D$3:$D$9,_xlfn.TEXTJOIN(,,C805:K805)))),NA(),IF(AND(SUM(C805:F805,H805:K805)=0,G805=1),0,INT((SUMPRODUCT(C805:F805,COLUMN($A$1:$D$1)-1)+SUMPRODUCT(H805:K805,COLUMN($E$1:$H$1)-1))*'Line Follower'!$C$3/SUM(C805:F805,H805:K805)-'Line Follower'!$C$5)))</f>
        <v>#N/A</v>
      </c>
      <c r="O805" s="22" t="e">
        <v>#N/A</v>
      </c>
      <c r="P805" s="4" t="e">
        <f t="shared" si="60"/>
        <v>#N/A</v>
      </c>
      <c r="Q805" s="4" t="e">
        <f t="shared" si="61"/>
        <v>#N/A</v>
      </c>
      <c r="R805" s="4" t="e">
        <f>IF(AND(B805=1,N805&gt;'Line Follower'!$C$7,SUM(C805:K805)&lt;4),1,0)</f>
        <v>#N/A</v>
      </c>
      <c r="S805" s="4" t="e">
        <f>IF(AND(L805=1,N805&lt;'Line Follower'!$C$6,SUM(C805:K805)&lt;4),1,0)</f>
        <v>#N/A</v>
      </c>
      <c r="T805" s="4" t="e">
        <f t="shared" si="62"/>
        <v>#N/A</v>
      </c>
      <c r="U805" s="5" t="e">
        <f t="shared" si="63"/>
        <v>#N/A</v>
      </c>
      <c r="V805" s="23" t="e">
        <f t="shared" si="64"/>
        <v>#N/A</v>
      </c>
    </row>
    <row r="806" spans="2:22" x14ac:dyDescent="0.25">
      <c r="B806" s="16">
        <v>1</v>
      </c>
      <c r="C806" s="7">
        <v>1</v>
      </c>
      <c r="D806" s="8">
        <v>0</v>
      </c>
      <c r="E806" s="8">
        <v>0</v>
      </c>
      <c r="F806" s="8">
        <v>0</v>
      </c>
      <c r="G806" s="8">
        <v>1</v>
      </c>
      <c r="H806" s="8">
        <v>0</v>
      </c>
      <c r="I806" s="8">
        <v>0</v>
      </c>
      <c r="J806" s="8">
        <v>1</v>
      </c>
      <c r="K806" s="9">
        <v>1</v>
      </c>
      <c r="L806" s="10">
        <v>0</v>
      </c>
      <c r="M806" s="6">
        <v>0</v>
      </c>
      <c r="N806" s="37" t="e" cm="1">
        <f t="array" ref="N806">IF(OR(ISNUMBER(FIND(Aux!$D$3:$D$9,_xlfn.TEXTJOIN(,,C806:K806)))),NA(),IF(AND(SUM(C806:F806,H806:K806)=0,G806=1),0,INT((SUMPRODUCT(C806:F806,COLUMN($A$1:$D$1)-1)+SUMPRODUCT(H806:K806,COLUMN($E$1:$H$1)-1))*'Line Follower'!$C$3/SUM(C806:F806,H806:K806)-'Line Follower'!$C$5)))</f>
        <v>#N/A</v>
      </c>
      <c r="O806" s="22" t="e">
        <v>#N/A</v>
      </c>
      <c r="P806" s="4" t="e">
        <f t="shared" si="60"/>
        <v>#N/A</v>
      </c>
      <c r="Q806" s="4" t="e">
        <f t="shared" si="61"/>
        <v>#N/A</v>
      </c>
      <c r="R806" s="4" t="e">
        <f>IF(AND(B806=1,N806&gt;'Line Follower'!$C$7,SUM(C806:K806)&lt;4),1,0)</f>
        <v>#N/A</v>
      </c>
      <c r="S806" s="4" t="e">
        <f>IF(AND(L806=1,N806&lt;'Line Follower'!$C$6,SUM(C806:K806)&lt;4),1,0)</f>
        <v>#N/A</v>
      </c>
      <c r="T806" s="4" t="e">
        <f t="shared" si="62"/>
        <v>#N/A</v>
      </c>
      <c r="U806" s="5" t="e">
        <f t="shared" si="63"/>
        <v>#N/A</v>
      </c>
      <c r="V806" s="23" t="e">
        <f t="shared" si="64"/>
        <v>#N/A</v>
      </c>
    </row>
    <row r="807" spans="2:22" x14ac:dyDescent="0.25">
      <c r="B807" s="16">
        <v>0</v>
      </c>
      <c r="C807" s="7">
        <v>0</v>
      </c>
      <c r="D807" s="8">
        <v>1</v>
      </c>
      <c r="E807" s="8">
        <v>0</v>
      </c>
      <c r="F807" s="8">
        <v>0</v>
      </c>
      <c r="G807" s="8">
        <v>1</v>
      </c>
      <c r="H807" s="8">
        <v>0</v>
      </c>
      <c r="I807" s="8">
        <v>0</v>
      </c>
      <c r="J807" s="8">
        <v>1</v>
      </c>
      <c r="K807" s="9">
        <v>1</v>
      </c>
      <c r="L807" s="10">
        <v>0</v>
      </c>
      <c r="M807" s="6">
        <v>0</v>
      </c>
      <c r="N807" s="37" t="e" cm="1">
        <f t="array" ref="N807">IF(OR(ISNUMBER(FIND(Aux!$D$3:$D$9,_xlfn.TEXTJOIN(,,C807:K807)))),NA(),IF(AND(SUM(C807:F807,H807:K807)=0,G807=1),0,INT((SUMPRODUCT(C807:F807,COLUMN($A$1:$D$1)-1)+SUMPRODUCT(H807:K807,COLUMN($E$1:$H$1)-1))*'Line Follower'!$C$3/SUM(C807:F807,H807:K807)-'Line Follower'!$C$5)))</f>
        <v>#N/A</v>
      </c>
      <c r="O807" s="22" t="e">
        <v>#N/A</v>
      </c>
      <c r="P807" s="4" t="e">
        <f t="shared" si="60"/>
        <v>#N/A</v>
      </c>
      <c r="Q807" s="4" t="e">
        <f t="shared" si="61"/>
        <v>#N/A</v>
      </c>
      <c r="R807" s="4" t="e">
        <f>IF(AND(B807=1,N807&gt;'Line Follower'!$C$7,SUM(C807:K807)&lt;4),1,0)</f>
        <v>#N/A</v>
      </c>
      <c r="S807" s="4" t="e">
        <f>IF(AND(L807=1,N807&lt;'Line Follower'!$C$6,SUM(C807:K807)&lt;4),1,0)</f>
        <v>#N/A</v>
      </c>
      <c r="T807" s="4" t="e">
        <f t="shared" si="62"/>
        <v>#N/A</v>
      </c>
      <c r="U807" s="5" t="e">
        <f t="shared" si="63"/>
        <v>#N/A</v>
      </c>
      <c r="V807" s="23" t="e">
        <f t="shared" si="64"/>
        <v>#N/A</v>
      </c>
    </row>
    <row r="808" spans="2:22" x14ac:dyDescent="0.25">
      <c r="B808" s="16">
        <v>1</v>
      </c>
      <c r="C808" s="7">
        <v>0</v>
      </c>
      <c r="D808" s="8">
        <v>1</v>
      </c>
      <c r="E808" s="8">
        <v>0</v>
      </c>
      <c r="F808" s="8">
        <v>0</v>
      </c>
      <c r="G808" s="8">
        <v>1</v>
      </c>
      <c r="H808" s="8">
        <v>0</v>
      </c>
      <c r="I808" s="8">
        <v>0</v>
      </c>
      <c r="J808" s="8">
        <v>1</v>
      </c>
      <c r="K808" s="9">
        <v>1</v>
      </c>
      <c r="L808" s="10">
        <v>0</v>
      </c>
      <c r="M808" s="6">
        <v>0</v>
      </c>
      <c r="N808" s="37" t="e" cm="1">
        <f t="array" ref="N808">IF(OR(ISNUMBER(FIND(Aux!$D$3:$D$9,_xlfn.TEXTJOIN(,,C808:K808)))),NA(),IF(AND(SUM(C808:F808,H808:K808)=0,G808=1),0,INT((SUMPRODUCT(C808:F808,COLUMN($A$1:$D$1)-1)+SUMPRODUCT(H808:K808,COLUMN($E$1:$H$1)-1))*'Line Follower'!$C$3/SUM(C808:F808,H808:K808)-'Line Follower'!$C$5)))</f>
        <v>#N/A</v>
      </c>
      <c r="O808" s="22" t="e">
        <v>#N/A</v>
      </c>
      <c r="P808" s="4" t="e">
        <f t="shared" si="60"/>
        <v>#N/A</v>
      </c>
      <c r="Q808" s="4" t="e">
        <f t="shared" si="61"/>
        <v>#N/A</v>
      </c>
      <c r="R808" s="4" t="e">
        <f>IF(AND(B808=1,N808&gt;'Line Follower'!$C$7,SUM(C808:K808)&lt;4),1,0)</f>
        <v>#N/A</v>
      </c>
      <c r="S808" s="4" t="e">
        <f>IF(AND(L808=1,N808&lt;'Line Follower'!$C$6,SUM(C808:K808)&lt;4),1,0)</f>
        <v>#N/A</v>
      </c>
      <c r="T808" s="4" t="e">
        <f t="shared" si="62"/>
        <v>#N/A</v>
      </c>
      <c r="U808" s="5" t="e">
        <f t="shared" si="63"/>
        <v>#N/A</v>
      </c>
      <c r="V808" s="23" t="e">
        <f t="shared" si="64"/>
        <v>#N/A</v>
      </c>
    </row>
    <row r="809" spans="2:22" x14ac:dyDescent="0.25">
      <c r="B809" s="16">
        <v>0</v>
      </c>
      <c r="C809" s="7">
        <v>1</v>
      </c>
      <c r="D809" s="8">
        <v>1</v>
      </c>
      <c r="E809" s="8">
        <v>0</v>
      </c>
      <c r="F809" s="8">
        <v>0</v>
      </c>
      <c r="G809" s="8">
        <v>1</v>
      </c>
      <c r="H809" s="8">
        <v>0</v>
      </c>
      <c r="I809" s="8">
        <v>0</v>
      </c>
      <c r="J809" s="8">
        <v>1</v>
      </c>
      <c r="K809" s="9">
        <v>1</v>
      </c>
      <c r="L809" s="10">
        <v>0</v>
      </c>
      <c r="M809" s="6">
        <v>0</v>
      </c>
      <c r="N809" s="37" t="e" cm="1">
        <f t="array" ref="N809">IF(OR(ISNUMBER(FIND(Aux!$D$3:$D$9,_xlfn.TEXTJOIN(,,C809:K809)))),NA(),IF(AND(SUM(C809:F809,H809:K809)=0,G809=1),0,INT((SUMPRODUCT(C809:F809,COLUMN($A$1:$D$1)-1)+SUMPRODUCT(H809:K809,COLUMN($E$1:$H$1)-1))*'Line Follower'!$C$3/SUM(C809:F809,H809:K809)-'Line Follower'!$C$5)))</f>
        <v>#N/A</v>
      </c>
      <c r="O809" s="22" t="e">
        <v>#N/A</v>
      </c>
      <c r="P809" s="4" t="e">
        <f t="shared" si="60"/>
        <v>#N/A</v>
      </c>
      <c r="Q809" s="4" t="e">
        <f t="shared" si="61"/>
        <v>#N/A</v>
      </c>
      <c r="R809" s="4" t="e">
        <f>IF(AND(B809=1,N809&gt;'Line Follower'!$C$7,SUM(C809:K809)&lt;4),1,0)</f>
        <v>#N/A</v>
      </c>
      <c r="S809" s="4" t="e">
        <f>IF(AND(L809=1,N809&lt;'Line Follower'!$C$6,SUM(C809:K809)&lt;4),1,0)</f>
        <v>#N/A</v>
      </c>
      <c r="T809" s="4" t="e">
        <f t="shared" si="62"/>
        <v>#N/A</v>
      </c>
      <c r="U809" s="5" t="e">
        <f t="shared" si="63"/>
        <v>#N/A</v>
      </c>
      <c r="V809" s="23" t="e">
        <f t="shared" si="64"/>
        <v>#N/A</v>
      </c>
    </row>
    <row r="810" spans="2:22" x14ac:dyDescent="0.25">
      <c r="B810" s="16">
        <v>1</v>
      </c>
      <c r="C810" s="7">
        <v>1</v>
      </c>
      <c r="D810" s="8">
        <v>1</v>
      </c>
      <c r="E810" s="8">
        <v>0</v>
      </c>
      <c r="F810" s="8">
        <v>0</v>
      </c>
      <c r="G810" s="8">
        <v>1</v>
      </c>
      <c r="H810" s="8">
        <v>0</v>
      </c>
      <c r="I810" s="8">
        <v>0</v>
      </c>
      <c r="J810" s="8">
        <v>1</v>
      </c>
      <c r="K810" s="9">
        <v>1</v>
      </c>
      <c r="L810" s="10">
        <v>0</v>
      </c>
      <c r="M810" s="6">
        <v>0</v>
      </c>
      <c r="N810" s="37" t="e" cm="1">
        <f t="array" ref="N810">IF(OR(ISNUMBER(FIND(Aux!$D$3:$D$9,_xlfn.TEXTJOIN(,,C810:K810)))),NA(),IF(AND(SUM(C810:F810,H810:K810)=0,G810=1),0,INT((SUMPRODUCT(C810:F810,COLUMN($A$1:$D$1)-1)+SUMPRODUCT(H810:K810,COLUMN($E$1:$H$1)-1))*'Line Follower'!$C$3/SUM(C810:F810,H810:K810)-'Line Follower'!$C$5)))</f>
        <v>#N/A</v>
      </c>
      <c r="O810" s="22" t="e">
        <v>#N/A</v>
      </c>
      <c r="P810" s="4" t="e">
        <f t="shared" si="60"/>
        <v>#N/A</v>
      </c>
      <c r="Q810" s="4" t="e">
        <f t="shared" si="61"/>
        <v>#N/A</v>
      </c>
      <c r="R810" s="4" t="e">
        <f>IF(AND(B810=1,N810&gt;'Line Follower'!$C$7,SUM(C810:K810)&lt;4),1,0)</f>
        <v>#N/A</v>
      </c>
      <c r="S810" s="4" t="e">
        <f>IF(AND(L810=1,N810&lt;'Line Follower'!$C$6,SUM(C810:K810)&lt;4),1,0)</f>
        <v>#N/A</v>
      </c>
      <c r="T810" s="4" t="e">
        <f t="shared" si="62"/>
        <v>#N/A</v>
      </c>
      <c r="U810" s="5" t="e">
        <f t="shared" si="63"/>
        <v>#N/A</v>
      </c>
      <c r="V810" s="23" t="e">
        <f t="shared" si="64"/>
        <v>#N/A</v>
      </c>
    </row>
    <row r="811" spans="2:22" x14ac:dyDescent="0.25">
      <c r="B811" s="16">
        <v>0</v>
      </c>
      <c r="C811" s="7">
        <v>0</v>
      </c>
      <c r="D811" s="8">
        <v>0</v>
      </c>
      <c r="E811" s="8">
        <v>1</v>
      </c>
      <c r="F811" s="8">
        <v>0</v>
      </c>
      <c r="G811" s="8">
        <v>1</v>
      </c>
      <c r="H811" s="8">
        <v>0</v>
      </c>
      <c r="I811" s="8">
        <v>0</v>
      </c>
      <c r="J811" s="8">
        <v>1</v>
      </c>
      <c r="K811" s="9">
        <v>1</v>
      </c>
      <c r="L811" s="10">
        <v>0</v>
      </c>
      <c r="M811" s="6">
        <v>0</v>
      </c>
      <c r="N811" s="37" t="e" cm="1">
        <f t="array" ref="N811">IF(OR(ISNUMBER(FIND(Aux!$D$3:$D$9,_xlfn.TEXTJOIN(,,C811:K811)))),NA(),IF(AND(SUM(C811:F811,H811:K811)=0,G811=1),0,INT((SUMPRODUCT(C811:F811,COLUMN($A$1:$D$1)-1)+SUMPRODUCT(H811:K811,COLUMN($E$1:$H$1)-1))*'Line Follower'!$C$3/SUM(C811:F811,H811:K811)-'Line Follower'!$C$5)))</f>
        <v>#N/A</v>
      </c>
      <c r="O811" s="22" t="e">
        <v>#N/A</v>
      </c>
      <c r="P811" s="4" t="e">
        <f t="shared" si="60"/>
        <v>#N/A</v>
      </c>
      <c r="Q811" s="4" t="e">
        <f t="shared" si="61"/>
        <v>#N/A</v>
      </c>
      <c r="R811" s="4" t="e">
        <f>IF(AND(B811=1,N811&gt;'Line Follower'!$C$7,SUM(C811:K811)&lt;4),1,0)</f>
        <v>#N/A</v>
      </c>
      <c r="S811" s="4" t="e">
        <f>IF(AND(L811=1,N811&lt;'Line Follower'!$C$6,SUM(C811:K811)&lt;4),1,0)</f>
        <v>#N/A</v>
      </c>
      <c r="T811" s="4" t="e">
        <f t="shared" si="62"/>
        <v>#N/A</v>
      </c>
      <c r="U811" s="5" t="e">
        <f t="shared" si="63"/>
        <v>#N/A</v>
      </c>
      <c r="V811" s="23" t="e">
        <f t="shared" si="64"/>
        <v>#N/A</v>
      </c>
    </row>
    <row r="812" spans="2:22" x14ac:dyDescent="0.25">
      <c r="B812" s="16">
        <v>1</v>
      </c>
      <c r="C812" s="7">
        <v>0</v>
      </c>
      <c r="D812" s="8">
        <v>0</v>
      </c>
      <c r="E812" s="8">
        <v>1</v>
      </c>
      <c r="F812" s="8">
        <v>0</v>
      </c>
      <c r="G812" s="8">
        <v>1</v>
      </c>
      <c r="H812" s="8">
        <v>0</v>
      </c>
      <c r="I812" s="8">
        <v>0</v>
      </c>
      <c r="J812" s="8">
        <v>1</v>
      </c>
      <c r="K812" s="9">
        <v>1</v>
      </c>
      <c r="L812" s="10">
        <v>0</v>
      </c>
      <c r="M812" s="6">
        <v>0</v>
      </c>
      <c r="N812" s="37" t="e" cm="1">
        <f t="array" ref="N812">IF(OR(ISNUMBER(FIND(Aux!$D$3:$D$9,_xlfn.TEXTJOIN(,,C812:K812)))),NA(),IF(AND(SUM(C812:F812,H812:K812)=0,G812=1),0,INT((SUMPRODUCT(C812:F812,COLUMN($A$1:$D$1)-1)+SUMPRODUCT(H812:K812,COLUMN($E$1:$H$1)-1))*'Line Follower'!$C$3/SUM(C812:F812,H812:K812)-'Line Follower'!$C$5)))</f>
        <v>#N/A</v>
      </c>
      <c r="O812" s="22" t="e">
        <v>#N/A</v>
      </c>
      <c r="P812" s="4" t="e">
        <f t="shared" si="60"/>
        <v>#N/A</v>
      </c>
      <c r="Q812" s="4" t="e">
        <f t="shared" si="61"/>
        <v>#N/A</v>
      </c>
      <c r="R812" s="4" t="e">
        <f>IF(AND(B812=1,N812&gt;'Line Follower'!$C$7,SUM(C812:K812)&lt;4),1,0)</f>
        <v>#N/A</v>
      </c>
      <c r="S812" s="4" t="e">
        <f>IF(AND(L812=1,N812&lt;'Line Follower'!$C$6,SUM(C812:K812)&lt;4),1,0)</f>
        <v>#N/A</v>
      </c>
      <c r="T812" s="4" t="e">
        <f t="shared" si="62"/>
        <v>#N/A</v>
      </c>
      <c r="U812" s="5" t="e">
        <f t="shared" si="63"/>
        <v>#N/A</v>
      </c>
      <c r="V812" s="23" t="e">
        <f t="shared" si="64"/>
        <v>#N/A</v>
      </c>
    </row>
    <row r="813" spans="2:22" x14ac:dyDescent="0.25">
      <c r="B813" s="16">
        <v>0</v>
      </c>
      <c r="C813" s="7">
        <v>1</v>
      </c>
      <c r="D813" s="8">
        <v>0</v>
      </c>
      <c r="E813" s="8">
        <v>1</v>
      </c>
      <c r="F813" s="8">
        <v>0</v>
      </c>
      <c r="G813" s="8">
        <v>1</v>
      </c>
      <c r="H813" s="8">
        <v>0</v>
      </c>
      <c r="I813" s="8">
        <v>0</v>
      </c>
      <c r="J813" s="8">
        <v>1</v>
      </c>
      <c r="K813" s="9">
        <v>1</v>
      </c>
      <c r="L813" s="10">
        <v>0</v>
      </c>
      <c r="M813" s="6">
        <v>0</v>
      </c>
      <c r="N813" s="37" t="e" cm="1">
        <f t="array" ref="N813">IF(OR(ISNUMBER(FIND(Aux!$D$3:$D$9,_xlfn.TEXTJOIN(,,C813:K813)))),NA(),IF(AND(SUM(C813:F813,H813:K813)=0,G813=1),0,INT((SUMPRODUCT(C813:F813,COLUMN($A$1:$D$1)-1)+SUMPRODUCT(H813:K813,COLUMN($E$1:$H$1)-1))*'Line Follower'!$C$3/SUM(C813:F813,H813:K813)-'Line Follower'!$C$5)))</f>
        <v>#N/A</v>
      </c>
      <c r="O813" s="22" t="e">
        <v>#N/A</v>
      </c>
      <c r="P813" s="4" t="e">
        <f t="shared" si="60"/>
        <v>#N/A</v>
      </c>
      <c r="Q813" s="4" t="e">
        <f t="shared" si="61"/>
        <v>#N/A</v>
      </c>
      <c r="R813" s="4" t="e">
        <f>IF(AND(B813=1,N813&gt;'Line Follower'!$C$7,SUM(C813:K813)&lt;4),1,0)</f>
        <v>#N/A</v>
      </c>
      <c r="S813" s="4" t="e">
        <f>IF(AND(L813=1,N813&lt;'Line Follower'!$C$6,SUM(C813:K813)&lt;4),1,0)</f>
        <v>#N/A</v>
      </c>
      <c r="T813" s="4" t="e">
        <f t="shared" si="62"/>
        <v>#N/A</v>
      </c>
      <c r="U813" s="5" t="e">
        <f t="shared" si="63"/>
        <v>#N/A</v>
      </c>
      <c r="V813" s="23" t="e">
        <f t="shared" si="64"/>
        <v>#N/A</v>
      </c>
    </row>
    <row r="814" spans="2:22" x14ac:dyDescent="0.25">
      <c r="B814" s="16">
        <v>1</v>
      </c>
      <c r="C814" s="7">
        <v>1</v>
      </c>
      <c r="D814" s="8">
        <v>0</v>
      </c>
      <c r="E814" s="8">
        <v>1</v>
      </c>
      <c r="F814" s="8">
        <v>0</v>
      </c>
      <c r="G814" s="8">
        <v>1</v>
      </c>
      <c r="H814" s="8">
        <v>0</v>
      </c>
      <c r="I814" s="8">
        <v>0</v>
      </c>
      <c r="J814" s="8">
        <v>1</v>
      </c>
      <c r="K814" s="9">
        <v>1</v>
      </c>
      <c r="L814" s="10">
        <v>0</v>
      </c>
      <c r="M814" s="6">
        <v>0</v>
      </c>
      <c r="N814" s="37" t="e" cm="1">
        <f t="array" ref="N814">IF(OR(ISNUMBER(FIND(Aux!$D$3:$D$9,_xlfn.TEXTJOIN(,,C814:K814)))),NA(),IF(AND(SUM(C814:F814,H814:K814)=0,G814=1),0,INT((SUMPRODUCT(C814:F814,COLUMN($A$1:$D$1)-1)+SUMPRODUCT(H814:K814,COLUMN($E$1:$H$1)-1))*'Line Follower'!$C$3/SUM(C814:F814,H814:K814)-'Line Follower'!$C$5)))</f>
        <v>#N/A</v>
      </c>
      <c r="O814" s="22" t="e">
        <v>#N/A</v>
      </c>
      <c r="P814" s="4" t="e">
        <f t="shared" si="60"/>
        <v>#N/A</v>
      </c>
      <c r="Q814" s="4" t="e">
        <f t="shared" si="61"/>
        <v>#N/A</v>
      </c>
      <c r="R814" s="4" t="e">
        <f>IF(AND(B814=1,N814&gt;'Line Follower'!$C$7,SUM(C814:K814)&lt;4),1,0)</f>
        <v>#N/A</v>
      </c>
      <c r="S814" s="4" t="e">
        <f>IF(AND(L814=1,N814&lt;'Line Follower'!$C$6,SUM(C814:K814)&lt;4),1,0)</f>
        <v>#N/A</v>
      </c>
      <c r="T814" s="4" t="e">
        <f t="shared" si="62"/>
        <v>#N/A</v>
      </c>
      <c r="U814" s="5" t="e">
        <f t="shared" si="63"/>
        <v>#N/A</v>
      </c>
      <c r="V814" s="23" t="e">
        <f t="shared" si="64"/>
        <v>#N/A</v>
      </c>
    </row>
    <row r="815" spans="2:22" x14ac:dyDescent="0.25">
      <c r="B815" s="16">
        <v>0</v>
      </c>
      <c r="C815" s="7">
        <v>0</v>
      </c>
      <c r="D815" s="8">
        <v>1</v>
      </c>
      <c r="E815" s="8">
        <v>1</v>
      </c>
      <c r="F815" s="8">
        <v>0</v>
      </c>
      <c r="G815" s="8">
        <v>1</v>
      </c>
      <c r="H815" s="8">
        <v>0</v>
      </c>
      <c r="I815" s="8">
        <v>0</v>
      </c>
      <c r="J815" s="8">
        <v>1</v>
      </c>
      <c r="K815" s="9">
        <v>1</v>
      </c>
      <c r="L815" s="10">
        <v>0</v>
      </c>
      <c r="M815" s="6">
        <v>0</v>
      </c>
      <c r="N815" s="37" t="e" cm="1">
        <f t="array" ref="N815">IF(OR(ISNUMBER(FIND(Aux!$D$3:$D$9,_xlfn.TEXTJOIN(,,C815:K815)))),NA(),IF(AND(SUM(C815:F815,H815:K815)=0,G815=1),0,INT((SUMPRODUCT(C815:F815,COLUMN($A$1:$D$1)-1)+SUMPRODUCT(H815:K815,COLUMN($E$1:$H$1)-1))*'Line Follower'!$C$3/SUM(C815:F815,H815:K815)-'Line Follower'!$C$5)))</f>
        <v>#N/A</v>
      </c>
      <c r="O815" s="22" t="e">
        <v>#N/A</v>
      </c>
      <c r="P815" s="4" t="e">
        <f t="shared" si="60"/>
        <v>#N/A</v>
      </c>
      <c r="Q815" s="4" t="e">
        <f t="shared" si="61"/>
        <v>#N/A</v>
      </c>
      <c r="R815" s="4" t="e">
        <f>IF(AND(B815=1,N815&gt;'Line Follower'!$C$7,SUM(C815:K815)&lt;4),1,0)</f>
        <v>#N/A</v>
      </c>
      <c r="S815" s="4" t="e">
        <f>IF(AND(L815=1,N815&lt;'Line Follower'!$C$6,SUM(C815:K815)&lt;4),1,0)</f>
        <v>#N/A</v>
      </c>
      <c r="T815" s="4" t="e">
        <f t="shared" si="62"/>
        <v>#N/A</v>
      </c>
      <c r="U815" s="5" t="e">
        <f t="shared" si="63"/>
        <v>#N/A</v>
      </c>
      <c r="V815" s="23" t="e">
        <f t="shared" si="64"/>
        <v>#N/A</v>
      </c>
    </row>
    <row r="816" spans="2:22" x14ac:dyDescent="0.25">
      <c r="B816" s="16">
        <v>1</v>
      </c>
      <c r="C816" s="7">
        <v>0</v>
      </c>
      <c r="D816" s="8">
        <v>1</v>
      </c>
      <c r="E816" s="8">
        <v>1</v>
      </c>
      <c r="F816" s="8">
        <v>0</v>
      </c>
      <c r="G816" s="8">
        <v>1</v>
      </c>
      <c r="H816" s="8">
        <v>0</v>
      </c>
      <c r="I816" s="8">
        <v>0</v>
      </c>
      <c r="J816" s="8">
        <v>1</v>
      </c>
      <c r="K816" s="9">
        <v>1</v>
      </c>
      <c r="L816" s="10">
        <v>0</v>
      </c>
      <c r="M816" s="6">
        <v>0</v>
      </c>
      <c r="N816" s="37" t="e" cm="1">
        <f t="array" ref="N816">IF(OR(ISNUMBER(FIND(Aux!$D$3:$D$9,_xlfn.TEXTJOIN(,,C816:K816)))),NA(),IF(AND(SUM(C816:F816,H816:K816)=0,G816=1),0,INT((SUMPRODUCT(C816:F816,COLUMN($A$1:$D$1)-1)+SUMPRODUCT(H816:K816,COLUMN($E$1:$H$1)-1))*'Line Follower'!$C$3/SUM(C816:F816,H816:K816)-'Line Follower'!$C$5)))</f>
        <v>#N/A</v>
      </c>
      <c r="O816" s="22" t="e">
        <v>#N/A</v>
      </c>
      <c r="P816" s="4" t="e">
        <f t="shared" si="60"/>
        <v>#N/A</v>
      </c>
      <c r="Q816" s="4" t="e">
        <f t="shared" si="61"/>
        <v>#N/A</v>
      </c>
      <c r="R816" s="4" t="e">
        <f>IF(AND(B816=1,N816&gt;'Line Follower'!$C$7,SUM(C816:K816)&lt;4),1,0)</f>
        <v>#N/A</v>
      </c>
      <c r="S816" s="4" t="e">
        <f>IF(AND(L816=1,N816&lt;'Line Follower'!$C$6,SUM(C816:K816)&lt;4),1,0)</f>
        <v>#N/A</v>
      </c>
      <c r="T816" s="4" t="e">
        <f t="shared" si="62"/>
        <v>#N/A</v>
      </c>
      <c r="U816" s="5" t="e">
        <f t="shared" si="63"/>
        <v>#N/A</v>
      </c>
      <c r="V816" s="23" t="e">
        <f t="shared" si="64"/>
        <v>#N/A</v>
      </c>
    </row>
    <row r="817" spans="2:22" x14ac:dyDescent="0.25">
      <c r="B817" s="16">
        <v>0</v>
      </c>
      <c r="C817" s="7">
        <v>1</v>
      </c>
      <c r="D817" s="8">
        <v>1</v>
      </c>
      <c r="E817" s="8">
        <v>1</v>
      </c>
      <c r="F817" s="8">
        <v>0</v>
      </c>
      <c r="G817" s="8">
        <v>1</v>
      </c>
      <c r="H817" s="8">
        <v>0</v>
      </c>
      <c r="I817" s="8">
        <v>0</v>
      </c>
      <c r="J817" s="8">
        <v>1</v>
      </c>
      <c r="K817" s="9">
        <v>1</v>
      </c>
      <c r="L817" s="10">
        <v>0</v>
      </c>
      <c r="M817" s="6">
        <v>0</v>
      </c>
      <c r="N817" s="37" t="e" cm="1">
        <f t="array" ref="N817">IF(OR(ISNUMBER(FIND(Aux!$D$3:$D$9,_xlfn.TEXTJOIN(,,C817:K817)))),NA(),IF(AND(SUM(C817:F817,H817:K817)=0,G817=1),0,INT((SUMPRODUCT(C817:F817,COLUMN($A$1:$D$1)-1)+SUMPRODUCT(H817:K817,COLUMN($E$1:$H$1)-1))*'Line Follower'!$C$3/SUM(C817:F817,H817:K817)-'Line Follower'!$C$5)))</f>
        <v>#N/A</v>
      </c>
      <c r="O817" s="22" t="e">
        <v>#N/A</v>
      </c>
      <c r="P817" s="4" t="e">
        <f t="shared" si="60"/>
        <v>#N/A</v>
      </c>
      <c r="Q817" s="4" t="e">
        <f t="shared" si="61"/>
        <v>#N/A</v>
      </c>
      <c r="R817" s="4" t="e">
        <f>IF(AND(B817=1,N817&gt;'Line Follower'!$C$7,SUM(C817:K817)&lt;4),1,0)</f>
        <v>#N/A</v>
      </c>
      <c r="S817" s="4" t="e">
        <f>IF(AND(L817=1,N817&lt;'Line Follower'!$C$6,SUM(C817:K817)&lt;4),1,0)</f>
        <v>#N/A</v>
      </c>
      <c r="T817" s="4" t="e">
        <f t="shared" si="62"/>
        <v>#N/A</v>
      </c>
      <c r="U817" s="5" t="e">
        <f t="shared" si="63"/>
        <v>#N/A</v>
      </c>
      <c r="V817" s="23" t="e">
        <f t="shared" si="64"/>
        <v>#N/A</v>
      </c>
    </row>
    <row r="818" spans="2:22" x14ac:dyDescent="0.25">
      <c r="B818" s="16">
        <v>1</v>
      </c>
      <c r="C818" s="7">
        <v>1</v>
      </c>
      <c r="D818" s="8">
        <v>1</v>
      </c>
      <c r="E818" s="8">
        <v>1</v>
      </c>
      <c r="F818" s="8">
        <v>0</v>
      </c>
      <c r="G818" s="8">
        <v>1</v>
      </c>
      <c r="H818" s="8">
        <v>0</v>
      </c>
      <c r="I818" s="8">
        <v>0</v>
      </c>
      <c r="J818" s="8">
        <v>1</v>
      </c>
      <c r="K818" s="9">
        <v>1</v>
      </c>
      <c r="L818" s="10">
        <v>0</v>
      </c>
      <c r="M818" s="6">
        <v>0</v>
      </c>
      <c r="N818" s="37" t="e" cm="1">
        <f t="array" ref="N818">IF(OR(ISNUMBER(FIND(Aux!$D$3:$D$9,_xlfn.TEXTJOIN(,,C818:K818)))),NA(),IF(AND(SUM(C818:F818,H818:K818)=0,G818=1),0,INT((SUMPRODUCT(C818:F818,COLUMN($A$1:$D$1)-1)+SUMPRODUCT(H818:K818,COLUMN($E$1:$H$1)-1))*'Line Follower'!$C$3/SUM(C818:F818,H818:K818)-'Line Follower'!$C$5)))</f>
        <v>#N/A</v>
      </c>
      <c r="O818" s="22" t="e">
        <v>#N/A</v>
      </c>
      <c r="P818" s="4" t="e">
        <f t="shared" si="60"/>
        <v>#N/A</v>
      </c>
      <c r="Q818" s="4" t="e">
        <f t="shared" si="61"/>
        <v>#N/A</v>
      </c>
      <c r="R818" s="4" t="e">
        <f>IF(AND(B818=1,N818&gt;'Line Follower'!$C$7,SUM(C818:K818)&lt;4),1,0)</f>
        <v>#N/A</v>
      </c>
      <c r="S818" s="4" t="e">
        <f>IF(AND(L818=1,N818&lt;'Line Follower'!$C$6,SUM(C818:K818)&lt;4),1,0)</f>
        <v>#N/A</v>
      </c>
      <c r="T818" s="4" t="e">
        <f t="shared" si="62"/>
        <v>#N/A</v>
      </c>
      <c r="U818" s="5" t="e">
        <f t="shared" si="63"/>
        <v>#N/A</v>
      </c>
      <c r="V818" s="23" t="e">
        <f t="shared" si="64"/>
        <v>#N/A</v>
      </c>
    </row>
    <row r="819" spans="2:22" x14ac:dyDescent="0.25">
      <c r="B819" s="16">
        <v>0</v>
      </c>
      <c r="C819" s="7">
        <v>0</v>
      </c>
      <c r="D819" s="8">
        <v>0</v>
      </c>
      <c r="E819" s="8">
        <v>0</v>
      </c>
      <c r="F819" s="8">
        <v>1</v>
      </c>
      <c r="G819" s="8">
        <v>1</v>
      </c>
      <c r="H819" s="8">
        <v>0</v>
      </c>
      <c r="I819" s="8">
        <v>0</v>
      </c>
      <c r="J819" s="8">
        <v>1</v>
      </c>
      <c r="K819" s="9">
        <v>1</v>
      </c>
      <c r="L819" s="10">
        <v>0</v>
      </c>
      <c r="M819" s="6">
        <v>0</v>
      </c>
      <c r="N819" s="37" t="e" cm="1">
        <f t="array" ref="N819">IF(OR(ISNUMBER(FIND(Aux!$D$3:$D$9,_xlfn.TEXTJOIN(,,C819:K819)))),NA(),IF(AND(SUM(C819:F819,H819:K819)=0,G819=1),0,INT((SUMPRODUCT(C819:F819,COLUMN($A$1:$D$1)-1)+SUMPRODUCT(H819:K819,COLUMN($E$1:$H$1)-1))*'Line Follower'!$C$3/SUM(C819:F819,H819:K819)-'Line Follower'!$C$5)))</f>
        <v>#N/A</v>
      </c>
      <c r="O819" s="22" t="e">
        <v>#N/A</v>
      </c>
      <c r="P819" s="4" t="e">
        <f t="shared" si="60"/>
        <v>#N/A</v>
      </c>
      <c r="Q819" s="4" t="e">
        <f t="shared" si="61"/>
        <v>#N/A</v>
      </c>
      <c r="R819" s="4" t="e">
        <f>IF(AND(B819=1,N819&gt;'Line Follower'!$C$7,SUM(C819:K819)&lt;4),1,0)</f>
        <v>#N/A</v>
      </c>
      <c r="S819" s="4" t="e">
        <f>IF(AND(L819=1,N819&lt;'Line Follower'!$C$6,SUM(C819:K819)&lt;4),1,0)</f>
        <v>#N/A</v>
      </c>
      <c r="T819" s="4" t="e">
        <f t="shared" si="62"/>
        <v>#N/A</v>
      </c>
      <c r="U819" s="5" t="e">
        <f t="shared" si="63"/>
        <v>#N/A</v>
      </c>
      <c r="V819" s="23" t="e">
        <f t="shared" si="64"/>
        <v>#N/A</v>
      </c>
    </row>
    <row r="820" spans="2:22" x14ac:dyDescent="0.25">
      <c r="B820" s="16">
        <v>1</v>
      </c>
      <c r="C820" s="7">
        <v>0</v>
      </c>
      <c r="D820" s="8">
        <v>0</v>
      </c>
      <c r="E820" s="8">
        <v>0</v>
      </c>
      <c r="F820" s="8">
        <v>1</v>
      </c>
      <c r="G820" s="8">
        <v>1</v>
      </c>
      <c r="H820" s="8">
        <v>0</v>
      </c>
      <c r="I820" s="8">
        <v>0</v>
      </c>
      <c r="J820" s="8">
        <v>1</v>
      </c>
      <c r="K820" s="9">
        <v>1</v>
      </c>
      <c r="L820" s="10">
        <v>0</v>
      </c>
      <c r="M820" s="6">
        <v>0</v>
      </c>
      <c r="N820" s="37" t="e" cm="1">
        <f t="array" ref="N820">IF(OR(ISNUMBER(FIND(Aux!$D$3:$D$9,_xlfn.TEXTJOIN(,,C820:K820)))),NA(),IF(AND(SUM(C820:F820,H820:K820)=0,G820=1),0,INT((SUMPRODUCT(C820:F820,COLUMN($A$1:$D$1)-1)+SUMPRODUCT(H820:K820,COLUMN($E$1:$H$1)-1))*'Line Follower'!$C$3/SUM(C820:F820,H820:K820)-'Line Follower'!$C$5)))</f>
        <v>#N/A</v>
      </c>
      <c r="O820" s="22" t="e">
        <v>#N/A</v>
      </c>
      <c r="P820" s="4" t="e">
        <f t="shared" si="60"/>
        <v>#N/A</v>
      </c>
      <c r="Q820" s="4" t="e">
        <f t="shared" si="61"/>
        <v>#N/A</v>
      </c>
      <c r="R820" s="4" t="e">
        <f>IF(AND(B820=1,N820&gt;'Line Follower'!$C$7,SUM(C820:K820)&lt;4),1,0)</f>
        <v>#N/A</v>
      </c>
      <c r="S820" s="4" t="e">
        <f>IF(AND(L820=1,N820&lt;'Line Follower'!$C$6,SUM(C820:K820)&lt;4),1,0)</f>
        <v>#N/A</v>
      </c>
      <c r="T820" s="4" t="e">
        <f t="shared" si="62"/>
        <v>#N/A</v>
      </c>
      <c r="U820" s="5" t="e">
        <f t="shared" si="63"/>
        <v>#N/A</v>
      </c>
      <c r="V820" s="23" t="e">
        <f t="shared" si="64"/>
        <v>#N/A</v>
      </c>
    </row>
    <row r="821" spans="2:22" x14ac:dyDescent="0.25">
      <c r="B821" s="16">
        <v>0</v>
      </c>
      <c r="C821" s="7">
        <v>1</v>
      </c>
      <c r="D821" s="8">
        <v>0</v>
      </c>
      <c r="E821" s="8">
        <v>0</v>
      </c>
      <c r="F821" s="8">
        <v>1</v>
      </c>
      <c r="G821" s="8">
        <v>1</v>
      </c>
      <c r="H821" s="8">
        <v>0</v>
      </c>
      <c r="I821" s="8">
        <v>0</v>
      </c>
      <c r="J821" s="8">
        <v>1</v>
      </c>
      <c r="K821" s="9">
        <v>1</v>
      </c>
      <c r="L821" s="10">
        <v>0</v>
      </c>
      <c r="M821" s="6">
        <v>0</v>
      </c>
      <c r="N821" s="37" t="e" cm="1">
        <f t="array" ref="N821">IF(OR(ISNUMBER(FIND(Aux!$D$3:$D$9,_xlfn.TEXTJOIN(,,C821:K821)))),NA(),IF(AND(SUM(C821:F821,H821:K821)=0,G821=1),0,INT((SUMPRODUCT(C821:F821,COLUMN($A$1:$D$1)-1)+SUMPRODUCT(H821:K821,COLUMN($E$1:$H$1)-1))*'Line Follower'!$C$3/SUM(C821:F821,H821:K821)-'Line Follower'!$C$5)))</f>
        <v>#N/A</v>
      </c>
      <c r="O821" s="22" t="e">
        <v>#N/A</v>
      </c>
      <c r="P821" s="4" t="e">
        <f t="shared" si="60"/>
        <v>#N/A</v>
      </c>
      <c r="Q821" s="4" t="e">
        <f t="shared" si="61"/>
        <v>#N/A</v>
      </c>
      <c r="R821" s="4" t="e">
        <f>IF(AND(B821=1,N821&gt;'Line Follower'!$C$7,SUM(C821:K821)&lt;4),1,0)</f>
        <v>#N/A</v>
      </c>
      <c r="S821" s="4" t="e">
        <f>IF(AND(L821=1,N821&lt;'Line Follower'!$C$6,SUM(C821:K821)&lt;4),1,0)</f>
        <v>#N/A</v>
      </c>
      <c r="T821" s="4" t="e">
        <f t="shared" si="62"/>
        <v>#N/A</v>
      </c>
      <c r="U821" s="5" t="e">
        <f t="shared" si="63"/>
        <v>#N/A</v>
      </c>
      <c r="V821" s="23" t="e">
        <f t="shared" si="64"/>
        <v>#N/A</v>
      </c>
    </row>
    <row r="822" spans="2:22" x14ac:dyDescent="0.25">
      <c r="B822" s="16">
        <v>1</v>
      </c>
      <c r="C822" s="7">
        <v>1</v>
      </c>
      <c r="D822" s="8">
        <v>0</v>
      </c>
      <c r="E822" s="8">
        <v>0</v>
      </c>
      <c r="F822" s="8">
        <v>1</v>
      </c>
      <c r="G822" s="8">
        <v>1</v>
      </c>
      <c r="H822" s="8">
        <v>0</v>
      </c>
      <c r="I822" s="8">
        <v>0</v>
      </c>
      <c r="J822" s="8">
        <v>1</v>
      </c>
      <c r="K822" s="9">
        <v>1</v>
      </c>
      <c r="L822" s="10">
        <v>0</v>
      </c>
      <c r="M822" s="6">
        <v>0</v>
      </c>
      <c r="N822" s="37" t="e" cm="1">
        <f t="array" ref="N822">IF(OR(ISNUMBER(FIND(Aux!$D$3:$D$9,_xlfn.TEXTJOIN(,,C822:K822)))),NA(),IF(AND(SUM(C822:F822,H822:K822)=0,G822=1),0,INT((SUMPRODUCT(C822:F822,COLUMN($A$1:$D$1)-1)+SUMPRODUCT(H822:K822,COLUMN($E$1:$H$1)-1))*'Line Follower'!$C$3/SUM(C822:F822,H822:K822)-'Line Follower'!$C$5)))</f>
        <v>#N/A</v>
      </c>
      <c r="O822" s="22" t="e">
        <v>#N/A</v>
      </c>
      <c r="P822" s="4" t="e">
        <f t="shared" si="60"/>
        <v>#N/A</v>
      </c>
      <c r="Q822" s="4" t="e">
        <f t="shared" si="61"/>
        <v>#N/A</v>
      </c>
      <c r="R822" s="4" t="e">
        <f>IF(AND(B822=1,N822&gt;'Line Follower'!$C$7,SUM(C822:K822)&lt;4),1,0)</f>
        <v>#N/A</v>
      </c>
      <c r="S822" s="4" t="e">
        <f>IF(AND(L822=1,N822&lt;'Line Follower'!$C$6,SUM(C822:K822)&lt;4),1,0)</f>
        <v>#N/A</v>
      </c>
      <c r="T822" s="4" t="e">
        <f t="shared" si="62"/>
        <v>#N/A</v>
      </c>
      <c r="U822" s="5" t="e">
        <f t="shared" si="63"/>
        <v>#N/A</v>
      </c>
      <c r="V822" s="23" t="e">
        <f t="shared" si="64"/>
        <v>#N/A</v>
      </c>
    </row>
    <row r="823" spans="2:22" x14ac:dyDescent="0.25">
      <c r="B823" s="16">
        <v>0</v>
      </c>
      <c r="C823" s="7">
        <v>0</v>
      </c>
      <c r="D823" s="8">
        <v>1</v>
      </c>
      <c r="E823" s="8">
        <v>0</v>
      </c>
      <c r="F823" s="8">
        <v>1</v>
      </c>
      <c r="G823" s="8">
        <v>1</v>
      </c>
      <c r="H823" s="8">
        <v>0</v>
      </c>
      <c r="I823" s="8">
        <v>0</v>
      </c>
      <c r="J823" s="8">
        <v>1</v>
      </c>
      <c r="K823" s="9">
        <v>1</v>
      </c>
      <c r="L823" s="10">
        <v>0</v>
      </c>
      <c r="M823" s="6">
        <v>0</v>
      </c>
      <c r="N823" s="37" t="e" cm="1">
        <f t="array" ref="N823">IF(OR(ISNUMBER(FIND(Aux!$D$3:$D$9,_xlfn.TEXTJOIN(,,C823:K823)))),NA(),IF(AND(SUM(C823:F823,H823:K823)=0,G823=1),0,INT((SUMPRODUCT(C823:F823,COLUMN($A$1:$D$1)-1)+SUMPRODUCT(H823:K823,COLUMN($E$1:$H$1)-1))*'Line Follower'!$C$3/SUM(C823:F823,H823:K823)-'Line Follower'!$C$5)))</f>
        <v>#N/A</v>
      </c>
      <c r="O823" s="22" t="e">
        <v>#N/A</v>
      </c>
      <c r="P823" s="4" t="e">
        <f t="shared" si="60"/>
        <v>#N/A</v>
      </c>
      <c r="Q823" s="4" t="e">
        <f t="shared" si="61"/>
        <v>#N/A</v>
      </c>
      <c r="R823" s="4" t="e">
        <f>IF(AND(B823=1,N823&gt;'Line Follower'!$C$7,SUM(C823:K823)&lt;4),1,0)</f>
        <v>#N/A</v>
      </c>
      <c r="S823" s="4" t="e">
        <f>IF(AND(L823=1,N823&lt;'Line Follower'!$C$6,SUM(C823:K823)&lt;4),1,0)</f>
        <v>#N/A</v>
      </c>
      <c r="T823" s="4" t="e">
        <f t="shared" si="62"/>
        <v>#N/A</v>
      </c>
      <c r="U823" s="5" t="e">
        <f t="shared" si="63"/>
        <v>#N/A</v>
      </c>
      <c r="V823" s="23" t="e">
        <f t="shared" si="64"/>
        <v>#N/A</v>
      </c>
    </row>
    <row r="824" spans="2:22" x14ac:dyDescent="0.25">
      <c r="B824" s="16">
        <v>1</v>
      </c>
      <c r="C824" s="7">
        <v>0</v>
      </c>
      <c r="D824" s="8">
        <v>1</v>
      </c>
      <c r="E824" s="8">
        <v>0</v>
      </c>
      <c r="F824" s="8">
        <v>1</v>
      </c>
      <c r="G824" s="8">
        <v>1</v>
      </c>
      <c r="H824" s="8">
        <v>0</v>
      </c>
      <c r="I824" s="8">
        <v>0</v>
      </c>
      <c r="J824" s="8">
        <v>1</v>
      </c>
      <c r="K824" s="9">
        <v>1</v>
      </c>
      <c r="L824" s="10">
        <v>0</v>
      </c>
      <c r="M824" s="6">
        <v>0</v>
      </c>
      <c r="N824" s="37" t="e" cm="1">
        <f t="array" ref="N824">IF(OR(ISNUMBER(FIND(Aux!$D$3:$D$9,_xlfn.TEXTJOIN(,,C824:K824)))),NA(),IF(AND(SUM(C824:F824,H824:K824)=0,G824=1),0,INT((SUMPRODUCT(C824:F824,COLUMN($A$1:$D$1)-1)+SUMPRODUCT(H824:K824,COLUMN($E$1:$H$1)-1))*'Line Follower'!$C$3/SUM(C824:F824,H824:K824)-'Line Follower'!$C$5)))</f>
        <v>#N/A</v>
      </c>
      <c r="O824" s="22" t="e">
        <v>#N/A</v>
      </c>
      <c r="P824" s="4" t="e">
        <f t="shared" si="60"/>
        <v>#N/A</v>
      </c>
      <c r="Q824" s="4" t="e">
        <f t="shared" si="61"/>
        <v>#N/A</v>
      </c>
      <c r="R824" s="4" t="e">
        <f>IF(AND(B824=1,N824&gt;'Line Follower'!$C$7,SUM(C824:K824)&lt;4),1,0)</f>
        <v>#N/A</v>
      </c>
      <c r="S824" s="4" t="e">
        <f>IF(AND(L824=1,N824&lt;'Line Follower'!$C$6,SUM(C824:K824)&lt;4),1,0)</f>
        <v>#N/A</v>
      </c>
      <c r="T824" s="4" t="e">
        <f t="shared" si="62"/>
        <v>#N/A</v>
      </c>
      <c r="U824" s="5" t="e">
        <f t="shared" si="63"/>
        <v>#N/A</v>
      </c>
      <c r="V824" s="23" t="e">
        <f t="shared" si="64"/>
        <v>#N/A</v>
      </c>
    </row>
    <row r="825" spans="2:22" x14ac:dyDescent="0.25">
      <c r="B825" s="16">
        <v>0</v>
      </c>
      <c r="C825" s="7">
        <v>1</v>
      </c>
      <c r="D825" s="8">
        <v>1</v>
      </c>
      <c r="E825" s="8">
        <v>0</v>
      </c>
      <c r="F825" s="8">
        <v>1</v>
      </c>
      <c r="G825" s="8">
        <v>1</v>
      </c>
      <c r="H825" s="8">
        <v>0</v>
      </c>
      <c r="I825" s="8">
        <v>0</v>
      </c>
      <c r="J825" s="8">
        <v>1</v>
      </c>
      <c r="K825" s="9">
        <v>1</v>
      </c>
      <c r="L825" s="10">
        <v>0</v>
      </c>
      <c r="M825" s="6">
        <v>0</v>
      </c>
      <c r="N825" s="37" t="e" cm="1">
        <f t="array" ref="N825">IF(OR(ISNUMBER(FIND(Aux!$D$3:$D$9,_xlfn.TEXTJOIN(,,C825:K825)))),NA(),IF(AND(SUM(C825:F825,H825:K825)=0,G825=1),0,INT((SUMPRODUCT(C825:F825,COLUMN($A$1:$D$1)-1)+SUMPRODUCT(H825:K825,COLUMN($E$1:$H$1)-1))*'Line Follower'!$C$3/SUM(C825:F825,H825:K825)-'Line Follower'!$C$5)))</f>
        <v>#N/A</v>
      </c>
      <c r="O825" s="22" t="e">
        <v>#N/A</v>
      </c>
      <c r="P825" s="4" t="e">
        <f t="shared" si="60"/>
        <v>#N/A</v>
      </c>
      <c r="Q825" s="4" t="e">
        <f t="shared" si="61"/>
        <v>#N/A</v>
      </c>
      <c r="R825" s="4" t="e">
        <f>IF(AND(B825=1,N825&gt;'Line Follower'!$C$7,SUM(C825:K825)&lt;4),1,0)</f>
        <v>#N/A</v>
      </c>
      <c r="S825" s="4" t="e">
        <f>IF(AND(L825=1,N825&lt;'Line Follower'!$C$6,SUM(C825:K825)&lt;4),1,0)</f>
        <v>#N/A</v>
      </c>
      <c r="T825" s="4" t="e">
        <f t="shared" si="62"/>
        <v>#N/A</v>
      </c>
      <c r="U825" s="5" t="e">
        <f t="shared" si="63"/>
        <v>#N/A</v>
      </c>
      <c r="V825" s="23" t="e">
        <f t="shared" si="64"/>
        <v>#N/A</v>
      </c>
    </row>
    <row r="826" spans="2:22" x14ac:dyDescent="0.25">
      <c r="B826" s="16">
        <v>1</v>
      </c>
      <c r="C826" s="7">
        <v>1</v>
      </c>
      <c r="D826" s="8">
        <v>1</v>
      </c>
      <c r="E826" s="8">
        <v>0</v>
      </c>
      <c r="F826" s="8">
        <v>1</v>
      </c>
      <c r="G826" s="8">
        <v>1</v>
      </c>
      <c r="H826" s="8">
        <v>0</v>
      </c>
      <c r="I826" s="8">
        <v>0</v>
      </c>
      <c r="J826" s="8">
        <v>1</v>
      </c>
      <c r="K826" s="9">
        <v>1</v>
      </c>
      <c r="L826" s="10">
        <v>0</v>
      </c>
      <c r="M826" s="6">
        <v>0</v>
      </c>
      <c r="N826" s="37" t="e" cm="1">
        <f t="array" ref="N826">IF(OR(ISNUMBER(FIND(Aux!$D$3:$D$9,_xlfn.TEXTJOIN(,,C826:K826)))),NA(),IF(AND(SUM(C826:F826,H826:K826)=0,G826=1),0,INT((SUMPRODUCT(C826:F826,COLUMN($A$1:$D$1)-1)+SUMPRODUCT(H826:K826,COLUMN($E$1:$H$1)-1))*'Line Follower'!$C$3/SUM(C826:F826,H826:K826)-'Line Follower'!$C$5)))</f>
        <v>#N/A</v>
      </c>
      <c r="O826" s="22" t="e">
        <v>#N/A</v>
      </c>
      <c r="P826" s="4" t="e">
        <f t="shared" si="60"/>
        <v>#N/A</v>
      </c>
      <c r="Q826" s="4" t="e">
        <f t="shared" si="61"/>
        <v>#N/A</v>
      </c>
      <c r="R826" s="4" t="e">
        <f>IF(AND(B826=1,N826&gt;'Line Follower'!$C$7,SUM(C826:K826)&lt;4),1,0)</f>
        <v>#N/A</v>
      </c>
      <c r="S826" s="4" t="e">
        <f>IF(AND(L826=1,N826&lt;'Line Follower'!$C$6,SUM(C826:K826)&lt;4),1,0)</f>
        <v>#N/A</v>
      </c>
      <c r="T826" s="4" t="e">
        <f t="shared" si="62"/>
        <v>#N/A</v>
      </c>
      <c r="U826" s="5" t="e">
        <f t="shared" si="63"/>
        <v>#N/A</v>
      </c>
      <c r="V826" s="23" t="e">
        <f t="shared" si="64"/>
        <v>#N/A</v>
      </c>
    </row>
    <row r="827" spans="2:22" x14ac:dyDescent="0.25">
      <c r="B827" s="16">
        <v>0</v>
      </c>
      <c r="C827" s="7">
        <v>0</v>
      </c>
      <c r="D827" s="8">
        <v>0</v>
      </c>
      <c r="E827" s="8">
        <v>1</v>
      </c>
      <c r="F827" s="8">
        <v>1</v>
      </c>
      <c r="G827" s="8">
        <v>1</v>
      </c>
      <c r="H827" s="8">
        <v>0</v>
      </c>
      <c r="I827" s="8">
        <v>0</v>
      </c>
      <c r="J827" s="8">
        <v>1</v>
      </c>
      <c r="K827" s="9">
        <v>1</v>
      </c>
      <c r="L827" s="10">
        <v>0</v>
      </c>
      <c r="M827" s="6">
        <v>0</v>
      </c>
      <c r="N827" s="37" t="e" cm="1">
        <f t="array" ref="N827">IF(OR(ISNUMBER(FIND(Aux!$D$3:$D$9,_xlfn.TEXTJOIN(,,C827:K827)))),NA(),IF(AND(SUM(C827:F827,H827:K827)=0,G827=1),0,INT((SUMPRODUCT(C827:F827,COLUMN($A$1:$D$1)-1)+SUMPRODUCT(H827:K827,COLUMN($E$1:$H$1)-1))*'Line Follower'!$C$3/SUM(C827:F827,H827:K827)-'Line Follower'!$C$5)))</f>
        <v>#N/A</v>
      </c>
      <c r="O827" s="22" t="e">
        <v>#N/A</v>
      </c>
      <c r="P827" s="4" t="e">
        <f t="shared" si="60"/>
        <v>#N/A</v>
      </c>
      <c r="Q827" s="4" t="e">
        <f t="shared" si="61"/>
        <v>#N/A</v>
      </c>
      <c r="R827" s="4" t="e">
        <f>IF(AND(B827=1,N827&gt;'Line Follower'!$C$7,SUM(C827:K827)&lt;4),1,0)</f>
        <v>#N/A</v>
      </c>
      <c r="S827" s="4" t="e">
        <f>IF(AND(L827=1,N827&lt;'Line Follower'!$C$6,SUM(C827:K827)&lt;4),1,0)</f>
        <v>#N/A</v>
      </c>
      <c r="T827" s="4" t="e">
        <f t="shared" si="62"/>
        <v>#N/A</v>
      </c>
      <c r="U827" s="5" t="e">
        <f t="shared" si="63"/>
        <v>#N/A</v>
      </c>
      <c r="V827" s="23" t="e">
        <f t="shared" si="64"/>
        <v>#N/A</v>
      </c>
    </row>
    <row r="828" spans="2:22" x14ac:dyDescent="0.25">
      <c r="B828" s="16">
        <v>1</v>
      </c>
      <c r="C828" s="7">
        <v>0</v>
      </c>
      <c r="D828" s="8">
        <v>0</v>
      </c>
      <c r="E828" s="8">
        <v>1</v>
      </c>
      <c r="F828" s="8">
        <v>1</v>
      </c>
      <c r="G828" s="8">
        <v>1</v>
      </c>
      <c r="H828" s="8">
        <v>0</v>
      </c>
      <c r="I828" s="8">
        <v>0</v>
      </c>
      <c r="J828" s="8">
        <v>1</v>
      </c>
      <c r="K828" s="9">
        <v>1</v>
      </c>
      <c r="L828" s="10">
        <v>0</v>
      </c>
      <c r="M828" s="6">
        <v>0</v>
      </c>
      <c r="N828" s="37" t="e" cm="1">
        <f t="array" ref="N828">IF(OR(ISNUMBER(FIND(Aux!$D$3:$D$9,_xlfn.TEXTJOIN(,,C828:K828)))),NA(),IF(AND(SUM(C828:F828,H828:K828)=0,G828=1),0,INT((SUMPRODUCT(C828:F828,COLUMN($A$1:$D$1)-1)+SUMPRODUCT(H828:K828,COLUMN($E$1:$H$1)-1))*'Line Follower'!$C$3/SUM(C828:F828,H828:K828)-'Line Follower'!$C$5)))</f>
        <v>#N/A</v>
      </c>
      <c r="O828" s="22" t="e">
        <v>#N/A</v>
      </c>
      <c r="P828" s="4" t="e">
        <f t="shared" si="60"/>
        <v>#N/A</v>
      </c>
      <c r="Q828" s="4" t="e">
        <f t="shared" si="61"/>
        <v>#N/A</v>
      </c>
      <c r="R828" s="4" t="e">
        <f>IF(AND(B828=1,N828&gt;'Line Follower'!$C$7,SUM(C828:K828)&lt;4),1,0)</f>
        <v>#N/A</v>
      </c>
      <c r="S828" s="4" t="e">
        <f>IF(AND(L828=1,N828&lt;'Line Follower'!$C$6,SUM(C828:K828)&lt;4),1,0)</f>
        <v>#N/A</v>
      </c>
      <c r="T828" s="4" t="e">
        <f t="shared" si="62"/>
        <v>#N/A</v>
      </c>
      <c r="U828" s="5" t="e">
        <f t="shared" si="63"/>
        <v>#N/A</v>
      </c>
      <c r="V828" s="23" t="e">
        <f t="shared" si="64"/>
        <v>#N/A</v>
      </c>
    </row>
    <row r="829" spans="2:22" x14ac:dyDescent="0.25">
      <c r="B829" s="16">
        <v>0</v>
      </c>
      <c r="C829" s="7">
        <v>1</v>
      </c>
      <c r="D829" s="8">
        <v>0</v>
      </c>
      <c r="E829" s="8">
        <v>1</v>
      </c>
      <c r="F829" s="8">
        <v>1</v>
      </c>
      <c r="G829" s="8">
        <v>1</v>
      </c>
      <c r="H829" s="8">
        <v>0</v>
      </c>
      <c r="I829" s="8">
        <v>0</v>
      </c>
      <c r="J829" s="8">
        <v>1</v>
      </c>
      <c r="K829" s="9">
        <v>1</v>
      </c>
      <c r="L829" s="10">
        <v>0</v>
      </c>
      <c r="M829" s="6">
        <v>0</v>
      </c>
      <c r="N829" s="37" t="e" cm="1">
        <f t="array" ref="N829">IF(OR(ISNUMBER(FIND(Aux!$D$3:$D$9,_xlfn.TEXTJOIN(,,C829:K829)))),NA(),IF(AND(SUM(C829:F829,H829:K829)=0,G829=1),0,INT((SUMPRODUCT(C829:F829,COLUMN($A$1:$D$1)-1)+SUMPRODUCT(H829:K829,COLUMN($E$1:$H$1)-1))*'Line Follower'!$C$3/SUM(C829:F829,H829:K829)-'Line Follower'!$C$5)))</f>
        <v>#N/A</v>
      </c>
      <c r="O829" s="22" t="e">
        <v>#N/A</v>
      </c>
      <c r="P829" s="4" t="e">
        <f t="shared" si="60"/>
        <v>#N/A</v>
      </c>
      <c r="Q829" s="4" t="e">
        <f t="shared" si="61"/>
        <v>#N/A</v>
      </c>
      <c r="R829" s="4" t="e">
        <f>IF(AND(B829=1,N829&gt;'Line Follower'!$C$7,SUM(C829:K829)&lt;4),1,0)</f>
        <v>#N/A</v>
      </c>
      <c r="S829" s="4" t="e">
        <f>IF(AND(L829=1,N829&lt;'Line Follower'!$C$6,SUM(C829:K829)&lt;4),1,0)</f>
        <v>#N/A</v>
      </c>
      <c r="T829" s="4" t="e">
        <f t="shared" si="62"/>
        <v>#N/A</v>
      </c>
      <c r="U829" s="5" t="e">
        <f t="shared" si="63"/>
        <v>#N/A</v>
      </c>
      <c r="V829" s="23" t="e">
        <f t="shared" si="64"/>
        <v>#N/A</v>
      </c>
    </row>
    <row r="830" spans="2:22" x14ac:dyDescent="0.25">
      <c r="B830" s="16">
        <v>1</v>
      </c>
      <c r="C830" s="7">
        <v>1</v>
      </c>
      <c r="D830" s="8">
        <v>0</v>
      </c>
      <c r="E830" s="8">
        <v>1</v>
      </c>
      <c r="F830" s="8">
        <v>1</v>
      </c>
      <c r="G830" s="8">
        <v>1</v>
      </c>
      <c r="H830" s="8">
        <v>0</v>
      </c>
      <c r="I830" s="8">
        <v>0</v>
      </c>
      <c r="J830" s="8">
        <v>1</v>
      </c>
      <c r="K830" s="9">
        <v>1</v>
      </c>
      <c r="L830" s="10">
        <v>0</v>
      </c>
      <c r="M830" s="6">
        <v>0</v>
      </c>
      <c r="N830" s="37" t="e" cm="1">
        <f t="array" ref="N830">IF(OR(ISNUMBER(FIND(Aux!$D$3:$D$9,_xlfn.TEXTJOIN(,,C830:K830)))),NA(),IF(AND(SUM(C830:F830,H830:K830)=0,G830=1),0,INT((SUMPRODUCT(C830:F830,COLUMN($A$1:$D$1)-1)+SUMPRODUCT(H830:K830,COLUMN($E$1:$H$1)-1))*'Line Follower'!$C$3/SUM(C830:F830,H830:K830)-'Line Follower'!$C$5)))</f>
        <v>#N/A</v>
      </c>
      <c r="O830" s="22" t="e">
        <v>#N/A</v>
      </c>
      <c r="P830" s="4" t="e">
        <f t="shared" si="60"/>
        <v>#N/A</v>
      </c>
      <c r="Q830" s="4" t="e">
        <f t="shared" si="61"/>
        <v>#N/A</v>
      </c>
      <c r="R830" s="4" t="e">
        <f>IF(AND(B830=1,N830&gt;'Line Follower'!$C$7,SUM(C830:K830)&lt;4),1,0)</f>
        <v>#N/A</v>
      </c>
      <c r="S830" s="4" t="e">
        <f>IF(AND(L830=1,N830&lt;'Line Follower'!$C$6,SUM(C830:K830)&lt;4),1,0)</f>
        <v>#N/A</v>
      </c>
      <c r="T830" s="4" t="e">
        <f t="shared" si="62"/>
        <v>#N/A</v>
      </c>
      <c r="U830" s="5" t="e">
        <f t="shared" si="63"/>
        <v>#N/A</v>
      </c>
      <c r="V830" s="23" t="e">
        <f t="shared" si="64"/>
        <v>#N/A</v>
      </c>
    </row>
    <row r="831" spans="2:22" x14ac:dyDescent="0.25">
      <c r="B831" s="16">
        <v>0</v>
      </c>
      <c r="C831" s="7">
        <v>0</v>
      </c>
      <c r="D831" s="8">
        <v>1</v>
      </c>
      <c r="E831" s="8">
        <v>1</v>
      </c>
      <c r="F831" s="8">
        <v>1</v>
      </c>
      <c r="G831" s="8">
        <v>1</v>
      </c>
      <c r="H831" s="8">
        <v>0</v>
      </c>
      <c r="I831" s="8">
        <v>0</v>
      </c>
      <c r="J831" s="8">
        <v>1</v>
      </c>
      <c r="K831" s="9">
        <v>1</v>
      </c>
      <c r="L831" s="10">
        <v>0</v>
      </c>
      <c r="M831" s="6">
        <v>0</v>
      </c>
      <c r="N831" s="37" t="e" cm="1">
        <f t="array" ref="N831">IF(OR(ISNUMBER(FIND(Aux!$D$3:$D$9,_xlfn.TEXTJOIN(,,C831:K831)))),NA(),IF(AND(SUM(C831:F831,H831:K831)=0,G831=1),0,INT((SUMPRODUCT(C831:F831,COLUMN($A$1:$D$1)-1)+SUMPRODUCT(H831:K831,COLUMN($E$1:$H$1)-1))*'Line Follower'!$C$3/SUM(C831:F831,H831:K831)-'Line Follower'!$C$5)))</f>
        <v>#N/A</v>
      </c>
      <c r="O831" s="22" t="e">
        <v>#N/A</v>
      </c>
      <c r="P831" s="4" t="e">
        <f t="shared" si="60"/>
        <v>#N/A</v>
      </c>
      <c r="Q831" s="4" t="e">
        <f t="shared" si="61"/>
        <v>#N/A</v>
      </c>
      <c r="R831" s="4" t="e">
        <f>IF(AND(B831=1,N831&gt;'Line Follower'!$C$7,SUM(C831:K831)&lt;4),1,0)</f>
        <v>#N/A</v>
      </c>
      <c r="S831" s="4" t="e">
        <f>IF(AND(L831=1,N831&lt;'Line Follower'!$C$6,SUM(C831:K831)&lt;4),1,0)</f>
        <v>#N/A</v>
      </c>
      <c r="T831" s="4" t="e">
        <f t="shared" si="62"/>
        <v>#N/A</v>
      </c>
      <c r="U831" s="5" t="e">
        <f t="shared" si="63"/>
        <v>#N/A</v>
      </c>
      <c r="V831" s="23" t="e">
        <f t="shared" si="64"/>
        <v>#N/A</v>
      </c>
    </row>
    <row r="832" spans="2:22" x14ac:dyDescent="0.25">
      <c r="B832" s="16">
        <v>1</v>
      </c>
      <c r="C832" s="7">
        <v>0</v>
      </c>
      <c r="D832" s="8">
        <v>1</v>
      </c>
      <c r="E832" s="8">
        <v>1</v>
      </c>
      <c r="F832" s="8">
        <v>1</v>
      </c>
      <c r="G832" s="8">
        <v>1</v>
      </c>
      <c r="H832" s="8">
        <v>0</v>
      </c>
      <c r="I832" s="8">
        <v>0</v>
      </c>
      <c r="J832" s="8">
        <v>1</v>
      </c>
      <c r="K832" s="9">
        <v>1</v>
      </c>
      <c r="L832" s="10">
        <v>0</v>
      </c>
      <c r="M832" s="6">
        <v>0</v>
      </c>
      <c r="N832" s="37" t="e" cm="1">
        <f t="array" ref="N832">IF(OR(ISNUMBER(FIND(Aux!$D$3:$D$9,_xlfn.TEXTJOIN(,,C832:K832)))),NA(),IF(AND(SUM(C832:F832,H832:K832)=0,G832=1),0,INT((SUMPRODUCT(C832:F832,COLUMN($A$1:$D$1)-1)+SUMPRODUCT(H832:K832,COLUMN($E$1:$H$1)-1))*'Line Follower'!$C$3/SUM(C832:F832,H832:K832)-'Line Follower'!$C$5)))</f>
        <v>#N/A</v>
      </c>
      <c r="O832" s="22" t="e">
        <v>#N/A</v>
      </c>
      <c r="P832" s="4" t="e">
        <f t="shared" si="60"/>
        <v>#N/A</v>
      </c>
      <c r="Q832" s="4" t="e">
        <f t="shared" si="61"/>
        <v>#N/A</v>
      </c>
      <c r="R832" s="4" t="e">
        <f>IF(AND(B832=1,N832&gt;'Line Follower'!$C$7,SUM(C832:K832)&lt;4),1,0)</f>
        <v>#N/A</v>
      </c>
      <c r="S832" s="4" t="e">
        <f>IF(AND(L832=1,N832&lt;'Line Follower'!$C$6,SUM(C832:K832)&lt;4),1,0)</f>
        <v>#N/A</v>
      </c>
      <c r="T832" s="4" t="e">
        <f t="shared" si="62"/>
        <v>#N/A</v>
      </c>
      <c r="U832" s="5" t="e">
        <f t="shared" si="63"/>
        <v>#N/A</v>
      </c>
      <c r="V832" s="23" t="e">
        <f t="shared" si="64"/>
        <v>#N/A</v>
      </c>
    </row>
    <row r="833" spans="2:22" x14ac:dyDescent="0.25">
      <c r="B833" s="16">
        <v>0</v>
      </c>
      <c r="C833" s="7">
        <v>1</v>
      </c>
      <c r="D833" s="8">
        <v>1</v>
      </c>
      <c r="E833" s="8">
        <v>1</v>
      </c>
      <c r="F833" s="8">
        <v>1</v>
      </c>
      <c r="G833" s="8">
        <v>1</v>
      </c>
      <c r="H833" s="8">
        <v>0</v>
      </c>
      <c r="I833" s="8">
        <v>0</v>
      </c>
      <c r="J833" s="8">
        <v>1</v>
      </c>
      <c r="K833" s="9">
        <v>1</v>
      </c>
      <c r="L833" s="10">
        <v>0</v>
      </c>
      <c r="M833" s="6">
        <v>0</v>
      </c>
      <c r="N833" s="37" t="e" cm="1">
        <f t="array" ref="N833">IF(OR(ISNUMBER(FIND(Aux!$D$3:$D$9,_xlfn.TEXTJOIN(,,C833:K833)))),NA(),IF(AND(SUM(C833:F833,H833:K833)=0,G833=1),0,INT((SUMPRODUCT(C833:F833,COLUMN($A$1:$D$1)-1)+SUMPRODUCT(H833:K833,COLUMN($E$1:$H$1)-1))*'Line Follower'!$C$3/SUM(C833:F833,H833:K833)-'Line Follower'!$C$5)))</f>
        <v>#N/A</v>
      </c>
      <c r="O833" s="22" t="e">
        <v>#N/A</v>
      </c>
      <c r="P833" s="4" t="e">
        <f t="shared" si="60"/>
        <v>#N/A</v>
      </c>
      <c r="Q833" s="4" t="e">
        <f t="shared" si="61"/>
        <v>#N/A</v>
      </c>
      <c r="R833" s="4" t="e">
        <f>IF(AND(B833=1,N833&gt;'Line Follower'!$C$7,SUM(C833:K833)&lt;4),1,0)</f>
        <v>#N/A</v>
      </c>
      <c r="S833" s="4" t="e">
        <f>IF(AND(L833=1,N833&lt;'Line Follower'!$C$6,SUM(C833:K833)&lt;4),1,0)</f>
        <v>#N/A</v>
      </c>
      <c r="T833" s="4" t="e">
        <f t="shared" si="62"/>
        <v>#N/A</v>
      </c>
      <c r="U833" s="5" t="e">
        <f t="shared" si="63"/>
        <v>#N/A</v>
      </c>
      <c r="V833" s="23" t="e">
        <f t="shared" si="64"/>
        <v>#N/A</v>
      </c>
    </row>
    <row r="834" spans="2:22" x14ac:dyDescent="0.25">
      <c r="B834" s="16">
        <v>1</v>
      </c>
      <c r="C834" s="7">
        <v>1</v>
      </c>
      <c r="D834" s="8">
        <v>1</v>
      </c>
      <c r="E834" s="8">
        <v>1</v>
      </c>
      <c r="F834" s="8">
        <v>1</v>
      </c>
      <c r="G834" s="8">
        <v>1</v>
      </c>
      <c r="H834" s="8">
        <v>0</v>
      </c>
      <c r="I834" s="8">
        <v>0</v>
      </c>
      <c r="J834" s="8">
        <v>1</v>
      </c>
      <c r="K834" s="9">
        <v>1</v>
      </c>
      <c r="L834" s="10">
        <v>0</v>
      </c>
      <c r="M834" s="6">
        <v>0</v>
      </c>
      <c r="N834" s="37" t="e" cm="1">
        <f t="array" ref="N834">IF(OR(ISNUMBER(FIND(Aux!$D$3:$D$9,_xlfn.TEXTJOIN(,,C834:K834)))),NA(),IF(AND(SUM(C834:F834,H834:K834)=0,G834=1),0,INT((SUMPRODUCT(C834:F834,COLUMN($A$1:$D$1)-1)+SUMPRODUCT(H834:K834,COLUMN($E$1:$H$1)-1))*'Line Follower'!$C$3/SUM(C834:F834,H834:K834)-'Line Follower'!$C$5)))</f>
        <v>#N/A</v>
      </c>
      <c r="O834" s="22" t="e">
        <v>#N/A</v>
      </c>
      <c r="P834" s="4" t="e">
        <f t="shared" si="60"/>
        <v>#N/A</v>
      </c>
      <c r="Q834" s="4" t="e">
        <f t="shared" si="61"/>
        <v>#N/A</v>
      </c>
      <c r="R834" s="4" t="e">
        <f>IF(AND(B834=1,N834&gt;'Line Follower'!$C$7,SUM(C834:K834)&lt;4),1,0)</f>
        <v>#N/A</v>
      </c>
      <c r="S834" s="4" t="e">
        <f>IF(AND(L834=1,N834&lt;'Line Follower'!$C$6,SUM(C834:K834)&lt;4),1,0)</f>
        <v>#N/A</v>
      </c>
      <c r="T834" s="4" t="e">
        <f t="shared" si="62"/>
        <v>#N/A</v>
      </c>
      <c r="U834" s="5" t="e">
        <f t="shared" si="63"/>
        <v>#N/A</v>
      </c>
      <c r="V834" s="23" t="e">
        <f t="shared" si="64"/>
        <v>#N/A</v>
      </c>
    </row>
    <row r="835" spans="2:22" x14ac:dyDescent="0.25">
      <c r="B835" s="16">
        <v>0</v>
      </c>
      <c r="C835" s="7">
        <v>0</v>
      </c>
      <c r="D835" s="8">
        <v>0</v>
      </c>
      <c r="E835" s="8">
        <v>0</v>
      </c>
      <c r="F835" s="8">
        <v>0</v>
      </c>
      <c r="G835" s="8">
        <v>0</v>
      </c>
      <c r="H835" s="8">
        <v>1</v>
      </c>
      <c r="I835" s="8">
        <v>0</v>
      </c>
      <c r="J835" s="8">
        <v>1</v>
      </c>
      <c r="K835" s="9">
        <v>1</v>
      </c>
      <c r="L835" s="10">
        <v>0</v>
      </c>
      <c r="M835" s="6">
        <v>0</v>
      </c>
      <c r="N835" s="37" t="e" cm="1">
        <f t="array" ref="N835">IF(OR(ISNUMBER(FIND(Aux!$D$3:$D$9,_xlfn.TEXTJOIN(,,C835:K835)))),NA(),IF(AND(SUM(C835:F835,H835:K835)=0,G835=1),0,INT((SUMPRODUCT(C835:F835,COLUMN($A$1:$D$1)-1)+SUMPRODUCT(H835:K835,COLUMN($E$1:$H$1)-1))*'Line Follower'!$C$3/SUM(C835:F835,H835:K835)-'Line Follower'!$C$5)))</f>
        <v>#N/A</v>
      </c>
      <c r="O835" s="22" t="e">
        <v>#N/A</v>
      </c>
      <c r="P835" s="4" t="e">
        <f t="shared" ref="P835:P898" si="65">IF(AND(N835=0,G835=1,M835=1),1,0)</f>
        <v>#N/A</v>
      </c>
      <c r="Q835" s="4" t="e">
        <f t="shared" ref="Q835:Q898" si="66">IF(ISERROR(N835),N835,IF(SUM(C835:K835)&gt;=4,1,0))</f>
        <v>#N/A</v>
      </c>
      <c r="R835" s="4" t="e">
        <f>IF(AND(B835=1,N835&gt;'Line Follower'!$C$7,SUM(C835:K835)&lt;4),1,0)</f>
        <v>#N/A</v>
      </c>
      <c r="S835" s="4" t="e">
        <f>IF(AND(L835=1,N835&lt;'Line Follower'!$C$6,SUM(C835:K835)&lt;4),1,0)</f>
        <v>#N/A</v>
      </c>
      <c r="T835" s="4" t="e">
        <f t="shared" si="62"/>
        <v>#N/A</v>
      </c>
      <c r="U835" s="5" t="e">
        <f t="shared" si="63"/>
        <v>#N/A</v>
      </c>
      <c r="V835" s="23" t="e">
        <f t="shared" si="64"/>
        <v>#N/A</v>
      </c>
    </row>
    <row r="836" spans="2:22" x14ac:dyDescent="0.25">
      <c r="B836" s="16">
        <v>1</v>
      </c>
      <c r="C836" s="7">
        <v>0</v>
      </c>
      <c r="D836" s="8">
        <v>0</v>
      </c>
      <c r="E836" s="8">
        <v>0</v>
      </c>
      <c r="F836" s="8">
        <v>0</v>
      </c>
      <c r="G836" s="8">
        <v>0</v>
      </c>
      <c r="H836" s="8">
        <v>1</v>
      </c>
      <c r="I836" s="8">
        <v>0</v>
      </c>
      <c r="J836" s="8">
        <v>1</v>
      </c>
      <c r="K836" s="9">
        <v>1</v>
      </c>
      <c r="L836" s="10">
        <v>0</v>
      </c>
      <c r="M836" s="6">
        <v>0</v>
      </c>
      <c r="N836" s="37" t="e" cm="1">
        <f t="array" ref="N836">IF(OR(ISNUMBER(FIND(Aux!$D$3:$D$9,_xlfn.TEXTJOIN(,,C836:K836)))),NA(),IF(AND(SUM(C836:F836,H836:K836)=0,G836=1),0,INT((SUMPRODUCT(C836:F836,COLUMN($A$1:$D$1)-1)+SUMPRODUCT(H836:K836,COLUMN($E$1:$H$1)-1))*'Line Follower'!$C$3/SUM(C836:F836,H836:K836)-'Line Follower'!$C$5)))</f>
        <v>#N/A</v>
      </c>
      <c r="O836" s="22" t="e">
        <v>#N/A</v>
      </c>
      <c r="P836" s="4" t="e">
        <f t="shared" si="65"/>
        <v>#N/A</v>
      </c>
      <c r="Q836" s="4" t="e">
        <f t="shared" si="66"/>
        <v>#N/A</v>
      </c>
      <c r="R836" s="4" t="e">
        <f>IF(AND(B836=1,N836&gt;'Line Follower'!$C$7,SUM(C836:K836)&lt;4),1,0)</f>
        <v>#N/A</v>
      </c>
      <c r="S836" s="4" t="e">
        <f>IF(AND(L836=1,N836&lt;'Line Follower'!$C$6,SUM(C836:K836)&lt;4),1,0)</f>
        <v>#N/A</v>
      </c>
      <c r="T836" s="4" t="e">
        <f t="shared" ref="T836:T899" si="67">IF(ISNA(N836),NA(),IF(SUM(C836:L836)=0,1,0))</f>
        <v>#N/A</v>
      </c>
      <c r="U836" s="5" t="e">
        <f t="shared" ref="U836:U899" si="68">IF(ISNA(N836),NA(),IF(SUM(B836:K836)=0,1,0))</f>
        <v>#N/A</v>
      </c>
      <c r="V836" s="23" t="e">
        <f t="shared" ref="V836:V899" si="69">IF(ISNA(N836),NA(),IF(SUM(B836:L836)=0,1,0))</f>
        <v>#N/A</v>
      </c>
    </row>
    <row r="837" spans="2:22" x14ac:dyDescent="0.25">
      <c r="B837" s="16">
        <v>0</v>
      </c>
      <c r="C837" s="7">
        <v>1</v>
      </c>
      <c r="D837" s="8">
        <v>0</v>
      </c>
      <c r="E837" s="8">
        <v>0</v>
      </c>
      <c r="F837" s="8">
        <v>0</v>
      </c>
      <c r="G837" s="8">
        <v>0</v>
      </c>
      <c r="H837" s="8">
        <v>1</v>
      </c>
      <c r="I837" s="8">
        <v>0</v>
      </c>
      <c r="J837" s="8">
        <v>1</v>
      </c>
      <c r="K837" s="9">
        <v>1</v>
      </c>
      <c r="L837" s="10">
        <v>0</v>
      </c>
      <c r="M837" s="6">
        <v>0</v>
      </c>
      <c r="N837" s="37" t="e" cm="1">
        <f t="array" ref="N837">IF(OR(ISNUMBER(FIND(Aux!$D$3:$D$9,_xlfn.TEXTJOIN(,,C837:K837)))),NA(),IF(AND(SUM(C837:F837,H837:K837)=0,G837=1),0,INT((SUMPRODUCT(C837:F837,COLUMN($A$1:$D$1)-1)+SUMPRODUCT(H837:K837,COLUMN($E$1:$H$1)-1))*'Line Follower'!$C$3/SUM(C837:F837,H837:K837)-'Line Follower'!$C$5)))</f>
        <v>#N/A</v>
      </c>
      <c r="O837" s="22" t="e">
        <v>#N/A</v>
      </c>
      <c r="P837" s="4" t="e">
        <f t="shared" si="65"/>
        <v>#N/A</v>
      </c>
      <c r="Q837" s="4" t="e">
        <f t="shared" si="66"/>
        <v>#N/A</v>
      </c>
      <c r="R837" s="4" t="e">
        <f>IF(AND(B837=1,N837&gt;'Line Follower'!$C$7,SUM(C837:K837)&lt;4),1,0)</f>
        <v>#N/A</v>
      </c>
      <c r="S837" s="4" t="e">
        <f>IF(AND(L837=1,N837&lt;'Line Follower'!$C$6,SUM(C837:K837)&lt;4),1,0)</f>
        <v>#N/A</v>
      </c>
      <c r="T837" s="4" t="e">
        <f t="shared" si="67"/>
        <v>#N/A</v>
      </c>
      <c r="U837" s="5" t="e">
        <f t="shared" si="68"/>
        <v>#N/A</v>
      </c>
      <c r="V837" s="23" t="e">
        <f t="shared" si="69"/>
        <v>#N/A</v>
      </c>
    </row>
    <row r="838" spans="2:22" x14ac:dyDescent="0.25">
      <c r="B838" s="16">
        <v>1</v>
      </c>
      <c r="C838" s="7">
        <v>1</v>
      </c>
      <c r="D838" s="8">
        <v>0</v>
      </c>
      <c r="E838" s="8">
        <v>0</v>
      </c>
      <c r="F838" s="8">
        <v>0</v>
      </c>
      <c r="G838" s="8">
        <v>0</v>
      </c>
      <c r="H838" s="8">
        <v>1</v>
      </c>
      <c r="I838" s="8">
        <v>0</v>
      </c>
      <c r="J838" s="8">
        <v>1</v>
      </c>
      <c r="K838" s="9">
        <v>1</v>
      </c>
      <c r="L838" s="10">
        <v>0</v>
      </c>
      <c r="M838" s="6">
        <v>0</v>
      </c>
      <c r="N838" s="37" t="e" cm="1">
        <f t="array" ref="N838">IF(OR(ISNUMBER(FIND(Aux!$D$3:$D$9,_xlfn.TEXTJOIN(,,C838:K838)))),NA(),IF(AND(SUM(C838:F838,H838:K838)=0,G838=1),0,INT((SUMPRODUCT(C838:F838,COLUMN($A$1:$D$1)-1)+SUMPRODUCT(H838:K838,COLUMN($E$1:$H$1)-1))*'Line Follower'!$C$3/SUM(C838:F838,H838:K838)-'Line Follower'!$C$5)))</f>
        <v>#N/A</v>
      </c>
      <c r="O838" s="22" t="e">
        <v>#N/A</v>
      </c>
      <c r="P838" s="4" t="e">
        <f t="shared" si="65"/>
        <v>#N/A</v>
      </c>
      <c r="Q838" s="4" t="e">
        <f t="shared" si="66"/>
        <v>#N/A</v>
      </c>
      <c r="R838" s="4" t="e">
        <f>IF(AND(B838=1,N838&gt;'Line Follower'!$C$7,SUM(C838:K838)&lt;4),1,0)</f>
        <v>#N/A</v>
      </c>
      <c r="S838" s="4" t="e">
        <f>IF(AND(L838=1,N838&lt;'Line Follower'!$C$6,SUM(C838:K838)&lt;4),1,0)</f>
        <v>#N/A</v>
      </c>
      <c r="T838" s="4" t="e">
        <f t="shared" si="67"/>
        <v>#N/A</v>
      </c>
      <c r="U838" s="5" t="e">
        <f t="shared" si="68"/>
        <v>#N/A</v>
      </c>
      <c r="V838" s="23" t="e">
        <f t="shared" si="69"/>
        <v>#N/A</v>
      </c>
    </row>
    <row r="839" spans="2:22" x14ac:dyDescent="0.25">
      <c r="B839" s="16">
        <v>0</v>
      </c>
      <c r="C839" s="7">
        <v>0</v>
      </c>
      <c r="D839" s="8">
        <v>1</v>
      </c>
      <c r="E839" s="8">
        <v>0</v>
      </c>
      <c r="F839" s="8">
        <v>0</v>
      </c>
      <c r="G839" s="8">
        <v>0</v>
      </c>
      <c r="H839" s="8">
        <v>1</v>
      </c>
      <c r="I839" s="8">
        <v>0</v>
      </c>
      <c r="J839" s="8">
        <v>1</v>
      </c>
      <c r="K839" s="9">
        <v>1</v>
      </c>
      <c r="L839" s="10">
        <v>0</v>
      </c>
      <c r="M839" s="6">
        <v>0</v>
      </c>
      <c r="N839" s="37" t="e" cm="1">
        <f t="array" ref="N839">IF(OR(ISNUMBER(FIND(Aux!$D$3:$D$9,_xlfn.TEXTJOIN(,,C839:K839)))),NA(),IF(AND(SUM(C839:F839,H839:K839)=0,G839=1),0,INT((SUMPRODUCT(C839:F839,COLUMN($A$1:$D$1)-1)+SUMPRODUCT(H839:K839,COLUMN($E$1:$H$1)-1))*'Line Follower'!$C$3/SUM(C839:F839,H839:K839)-'Line Follower'!$C$5)))</f>
        <v>#N/A</v>
      </c>
      <c r="O839" s="22" t="e">
        <v>#N/A</v>
      </c>
      <c r="P839" s="4" t="e">
        <f t="shared" si="65"/>
        <v>#N/A</v>
      </c>
      <c r="Q839" s="4" t="e">
        <f t="shared" si="66"/>
        <v>#N/A</v>
      </c>
      <c r="R839" s="4" t="e">
        <f>IF(AND(B839=1,N839&gt;'Line Follower'!$C$7,SUM(C839:K839)&lt;4),1,0)</f>
        <v>#N/A</v>
      </c>
      <c r="S839" s="4" t="e">
        <f>IF(AND(L839=1,N839&lt;'Line Follower'!$C$6,SUM(C839:K839)&lt;4),1,0)</f>
        <v>#N/A</v>
      </c>
      <c r="T839" s="4" t="e">
        <f t="shared" si="67"/>
        <v>#N/A</v>
      </c>
      <c r="U839" s="5" t="e">
        <f t="shared" si="68"/>
        <v>#N/A</v>
      </c>
      <c r="V839" s="23" t="e">
        <f t="shared" si="69"/>
        <v>#N/A</v>
      </c>
    </row>
    <row r="840" spans="2:22" x14ac:dyDescent="0.25">
      <c r="B840" s="16">
        <v>1</v>
      </c>
      <c r="C840" s="7">
        <v>0</v>
      </c>
      <c r="D840" s="8">
        <v>1</v>
      </c>
      <c r="E840" s="8">
        <v>0</v>
      </c>
      <c r="F840" s="8">
        <v>0</v>
      </c>
      <c r="G840" s="8">
        <v>0</v>
      </c>
      <c r="H840" s="8">
        <v>1</v>
      </c>
      <c r="I840" s="8">
        <v>0</v>
      </c>
      <c r="J840" s="8">
        <v>1</v>
      </c>
      <c r="K840" s="9">
        <v>1</v>
      </c>
      <c r="L840" s="10">
        <v>0</v>
      </c>
      <c r="M840" s="6">
        <v>0</v>
      </c>
      <c r="N840" s="37" t="e" cm="1">
        <f t="array" ref="N840">IF(OR(ISNUMBER(FIND(Aux!$D$3:$D$9,_xlfn.TEXTJOIN(,,C840:K840)))),NA(),IF(AND(SUM(C840:F840,H840:K840)=0,G840=1),0,INT((SUMPRODUCT(C840:F840,COLUMN($A$1:$D$1)-1)+SUMPRODUCT(H840:K840,COLUMN($E$1:$H$1)-1))*'Line Follower'!$C$3/SUM(C840:F840,H840:K840)-'Line Follower'!$C$5)))</f>
        <v>#N/A</v>
      </c>
      <c r="O840" s="22" t="e">
        <v>#N/A</v>
      </c>
      <c r="P840" s="4" t="e">
        <f t="shared" si="65"/>
        <v>#N/A</v>
      </c>
      <c r="Q840" s="4" t="e">
        <f t="shared" si="66"/>
        <v>#N/A</v>
      </c>
      <c r="R840" s="4" t="e">
        <f>IF(AND(B840=1,N840&gt;'Line Follower'!$C$7,SUM(C840:K840)&lt;4),1,0)</f>
        <v>#N/A</v>
      </c>
      <c r="S840" s="4" t="e">
        <f>IF(AND(L840=1,N840&lt;'Line Follower'!$C$6,SUM(C840:K840)&lt;4),1,0)</f>
        <v>#N/A</v>
      </c>
      <c r="T840" s="4" t="e">
        <f t="shared" si="67"/>
        <v>#N/A</v>
      </c>
      <c r="U840" s="5" t="e">
        <f t="shared" si="68"/>
        <v>#N/A</v>
      </c>
      <c r="V840" s="23" t="e">
        <f t="shared" si="69"/>
        <v>#N/A</v>
      </c>
    </row>
    <row r="841" spans="2:22" x14ac:dyDescent="0.25">
      <c r="B841" s="16">
        <v>0</v>
      </c>
      <c r="C841" s="7">
        <v>1</v>
      </c>
      <c r="D841" s="8">
        <v>1</v>
      </c>
      <c r="E841" s="8">
        <v>0</v>
      </c>
      <c r="F841" s="8">
        <v>0</v>
      </c>
      <c r="G841" s="8">
        <v>0</v>
      </c>
      <c r="H841" s="8">
        <v>1</v>
      </c>
      <c r="I841" s="8">
        <v>0</v>
      </c>
      <c r="J841" s="8">
        <v>1</v>
      </c>
      <c r="K841" s="9">
        <v>1</v>
      </c>
      <c r="L841" s="10">
        <v>0</v>
      </c>
      <c r="M841" s="6">
        <v>0</v>
      </c>
      <c r="N841" s="37" t="e" cm="1">
        <f t="array" ref="N841">IF(OR(ISNUMBER(FIND(Aux!$D$3:$D$9,_xlfn.TEXTJOIN(,,C841:K841)))),NA(),IF(AND(SUM(C841:F841,H841:K841)=0,G841=1),0,INT((SUMPRODUCT(C841:F841,COLUMN($A$1:$D$1)-1)+SUMPRODUCT(H841:K841,COLUMN($E$1:$H$1)-1))*'Line Follower'!$C$3/SUM(C841:F841,H841:K841)-'Line Follower'!$C$5)))</f>
        <v>#N/A</v>
      </c>
      <c r="O841" s="22" t="e">
        <v>#N/A</v>
      </c>
      <c r="P841" s="4" t="e">
        <f t="shared" si="65"/>
        <v>#N/A</v>
      </c>
      <c r="Q841" s="4" t="e">
        <f t="shared" si="66"/>
        <v>#N/A</v>
      </c>
      <c r="R841" s="4" t="e">
        <f>IF(AND(B841=1,N841&gt;'Line Follower'!$C$7,SUM(C841:K841)&lt;4),1,0)</f>
        <v>#N/A</v>
      </c>
      <c r="S841" s="4" t="e">
        <f>IF(AND(L841=1,N841&lt;'Line Follower'!$C$6,SUM(C841:K841)&lt;4),1,0)</f>
        <v>#N/A</v>
      </c>
      <c r="T841" s="4" t="e">
        <f t="shared" si="67"/>
        <v>#N/A</v>
      </c>
      <c r="U841" s="5" t="e">
        <f t="shared" si="68"/>
        <v>#N/A</v>
      </c>
      <c r="V841" s="23" t="e">
        <f t="shared" si="69"/>
        <v>#N/A</v>
      </c>
    </row>
    <row r="842" spans="2:22" x14ac:dyDescent="0.25">
      <c r="B842" s="16">
        <v>1</v>
      </c>
      <c r="C842" s="7">
        <v>1</v>
      </c>
      <c r="D842" s="8">
        <v>1</v>
      </c>
      <c r="E842" s="8">
        <v>0</v>
      </c>
      <c r="F842" s="8">
        <v>0</v>
      </c>
      <c r="G842" s="8">
        <v>0</v>
      </c>
      <c r="H842" s="8">
        <v>1</v>
      </c>
      <c r="I842" s="8">
        <v>0</v>
      </c>
      <c r="J842" s="8">
        <v>1</v>
      </c>
      <c r="K842" s="9">
        <v>1</v>
      </c>
      <c r="L842" s="10">
        <v>0</v>
      </c>
      <c r="M842" s="6">
        <v>0</v>
      </c>
      <c r="N842" s="37" t="e" cm="1">
        <f t="array" ref="N842">IF(OR(ISNUMBER(FIND(Aux!$D$3:$D$9,_xlfn.TEXTJOIN(,,C842:K842)))),NA(),IF(AND(SUM(C842:F842,H842:K842)=0,G842=1),0,INT((SUMPRODUCT(C842:F842,COLUMN($A$1:$D$1)-1)+SUMPRODUCT(H842:K842,COLUMN($E$1:$H$1)-1))*'Line Follower'!$C$3/SUM(C842:F842,H842:K842)-'Line Follower'!$C$5)))</f>
        <v>#N/A</v>
      </c>
      <c r="O842" s="22" t="e">
        <v>#N/A</v>
      </c>
      <c r="P842" s="4" t="e">
        <f t="shared" si="65"/>
        <v>#N/A</v>
      </c>
      <c r="Q842" s="4" t="e">
        <f t="shared" si="66"/>
        <v>#N/A</v>
      </c>
      <c r="R842" s="4" t="e">
        <f>IF(AND(B842=1,N842&gt;'Line Follower'!$C$7,SUM(C842:K842)&lt;4),1,0)</f>
        <v>#N/A</v>
      </c>
      <c r="S842" s="4" t="e">
        <f>IF(AND(L842=1,N842&lt;'Line Follower'!$C$6,SUM(C842:K842)&lt;4),1,0)</f>
        <v>#N/A</v>
      </c>
      <c r="T842" s="4" t="e">
        <f t="shared" si="67"/>
        <v>#N/A</v>
      </c>
      <c r="U842" s="5" t="e">
        <f t="shared" si="68"/>
        <v>#N/A</v>
      </c>
      <c r="V842" s="23" t="e">
        <f t="shared" si="69"/>
        <v>#N/A</v>
      </c>
    </row>
    <row r="843" spans="2:22" x14ac:dyDescent="0.25">
      <c r="B843" s="16">
        <v>0</v>
      </c>
      <c r="C843" s="7">
        <v>0</v>
      </c>
      <c r="D843" s="8">
        <v>0</v>
      </c>
      <c r="E843" s="8">
        <v>1</v>
      </c>
      <c r="F843" s="8">
        <v>0</v>
      </c>
      <c r="G843" s="8">
        <v>0</v>
      </c>
      <c r="H843" s="8">
        <v>1</v>
      </c>
      <c r="I843" s="8">
        <v>0</v>
      </c>
      <c r="J843" s="8">
        <v>1</v>
      </c>
      <c r="K843" s="9">
        <v>1</v>
      </c>
      <c r="L843" s="10">
        <v>0</v>
      </c>
      <c r="M843" s="6">
        <v>0</v>
      </c>
      <c r="N843" s="37" t="e" cm="1">
        <f t="array" ref="N843">IF(OR(ISNUMBER(FIND(Aux!$D$3:$D$9,_xlfn.TEXTJOIN(,,C843:K843)))),NA(),IF(AND(SUM(C843:F843,H843:K843)=0,G843=1),0,INT((SUMPRODUCT(C843:F843,COLUMN($A$1:$D$1)-1)+SUMPRODUCT(H843:K843,COLUMN($E$1:$H$1)-1))*'Line Follower'!$C$3/SUM(C843:F843,H843:K843)-'Line Follower'!$C$5)))</f>
        <v>#N/A</v>
      </c>
      <c r="O843" s="22" t="e">
        <v>#N/A</v>
      </c>
      <c r="P843" s="4" t="e">
        <f t="shared" si="65"/>
        <v>#N/A</v>
      </c>
      <c r="Q843" s="4" t="e">
        <f t="shared" si="66"/>
        <v>#N/A</v>
      </c>
      <c r="R843" s="4" t="e">
        <f>IF(AND(B843=1,N843&gt;'Line Follower'!$C$7,SUM(C843:K843)&lt;4),1,0)</f>
        <v>#N/A</v>
      </c>
      <c r="S843" s="4" t="e">
        <f>IF(AND(L843=1,N843&lt;'Line Follower'!$C$6,SUM(C843:K843)&lt;4),1,0)</f>
        <v>#N/A</v>
      </c>
      <c r="T843" s="4" t="e">
        <f t="shared" si="67"/>
        <v>#N/A</v>
      </c>
      <c r="U843" s="5" t="e">
        <f t="shared" si="68"/>
        <v>#N/A</v>
      </c>
      <c r="V843" s="23" t="e">
        <f t="shared" si="69"/>
        <v>#N/A</v>
      </c>
    </row>
    <row r="844" spans="2:22" x14ac:dyDescent="0.25">
      <c r="B844" s="16">
        <v>1</v>
      </c>
      <c r="C844" s="7">
        <v>0</v>
      </c>
      <c r="D844" s="8">
        <v>0</v>
      </c>
      <c r="E844" s="8">
        <v>1</v>
      </c>
      <c r="F844" s="8">
        <v>0</v>
      </c>
      <c r="G844" s="8">
        <v>0</v>
      </c>
      <c r="H844" s="8">
        <v>1</v>
      </c>
      <c r="I844" s="8">
        <v>0</v>
      </c>
      <c r="J844" s="8">
        <v>1</v>
      </c>
      <c r="K844" s="9">
        <v>1</v>
      </c>
      <c r="L844" s="10">
        <v>0</v>
      </c>
      <c r="M844" s="6">
        <v>0</v>
      </c>
      <c r="N844" s="37" t="e" cm="1">
        <f t="array" ref="N844">IF(OR(ISNUMBER(FIND(Aux!$D$3:$D$9,_xlfn.TEXTJOIN(,,C844:K844)))),NA(),IF(AND(SUM(C844:F844,H844:K844)=0,G844=1),0,INT((SUMPRODUCT(C844:F844,COLUMN($A$1:$D$1)-1)+SUMPRODUCT(H844:K844,COLUMN($E$1:$H$1)-1))*'Line Follower'!$C$3/SUM(C844:F844,H844:K844)-'Line Follower'!$C$5)))</f>
        <v>#N/A</v>
      </c>
      <c r="O844" s="22" t="e">
        <v>#N/A</v>
      </c>
      <c r="P844" s="4" t="e">
        <f t="shared" si="65"/>
        <v>#N/A</v>
      </c>
      <c r="Q844" s="4" t="e">
        <f t="shared" si="66"/>
        <v>#N/A</v>
      </c>
      <c r="R844" s="4" t="e">
        <f>IF(AND(B844=1,N844&gt;'Line Follower'!$C$7,SUM(C844:K844)&lt;4),1,0)</f>
        <v>#N/A</v>
      </c>
      <c r="S844" s="4" t="e">
        <f>IF(AND(L844=1,N844&lt;'Line Follower'!$C$6,SUM(C844:K844)&lt;4),1,0)</f>
        <v>#N/A</v>
      </c>
      <c r="T844" s="4" t="e">
        <f t="shared" si="67"/>
        <v>#N/A</v>
      </c>
      <c r="U844" s="5" t="e">
        <f t="shared" si="68"/>
        <v>#N/A</v>
      </c>
      <c r="V844" s="23" t="e">
        <f t="shared" si="69"/>
        <v>#N/A</v>
      </c>
    </row>
    <row r="845" spans="2:22" x14ac:dyDescent="0.25">
      <c r="B845" s="16">
        <v>0</v>
      </c>
      <c r="C845" s="7">
        <v>1</v>
      </c>
      <c r="D845" s="8">
        <v>0</v>
      </c>
      <c r="E845" s="8">
        <v>1</v>
      </c>
      <c r="F845" s="8">
        <v>0</v>
      </c>
      <c r="G845" s="8">
        <v>0</v>
      </c>
      <c r="H845" s="8">
        <v>1</v>
      </c>
      <c r="I845" s="8">
        <v>0</v>
      </c>
      <c r="J845" s="8">
        <v>1</v>
      </c>
      <c r="K845" s="9">
        <v>1</v>
      </c>
      <c r="L845" s="10">
        <v>0</v>
      </c>
      <c r="M845" s="6">
        <v>0</v>
      </c>
      <c r="N845" s="37" t="e" cm="1">
        <f t="array" ref="N845">IF(OR(ISNUMBER(FIND(Aux!$D$3:$D$9,_xlfn.TEXTJOIN(,,C845:K845)))),NA(),IF(AND(SUM(C845:F845,H845:K845)=0,G845=1),0,INT((SUMPRODUCT(C845:F845,COLUMN($A$1:$D$1)-1)+SUMPRODUCT(H845:K845,COLUMN($E$1:$H$1)-1))*'Line Follower'!$C$3/SUM(C845:F845,H845:K845)-'Line Follower'!$C$5)))</f>
        <v>#N/A</v>
      </c>
      <c r="O845" s="22" t="e">
        <v>#N/A</v>
      </c>
      <c r="P845" s="4" t="e">
        <f t="shared" si="65"/>
        <v>#N/A</v>
      </c>
      <c r="Q845" s="4" t="e">
        <f t="shared" si="66"/>
        <v>#N/A</v>
      </c>
      <c r="R845" s="4" t="e">
        <f>IF(AND(B845=1,N845&gt;'Line Follower'!$C$7,SUM(C845:K845)&lt;4),1,0)</f>
        <v>#N/A</v>
      </c>
      <c r="S845" s="4" t="e">
        <f>IF(AND(L845=1,N845&lt;'Line Follower'!$C$6,SUM(C845:K845)&lt;4),1,0)</f>
        <v>#N/A</v>
      </c>
      <c r="T845" s="4" t="e">
        <f t="shared" si="67"/>
        <v>#N/A</v>
      </c>
      <c r="U845" s="5" t="e">
        <f t="shared" si="68"/>
        <v>#N/A</v>
      </c>
      <c r="V845" s="23" t="e">
        <f t="shared" si="69"/>
        <v>#N/A</v>
      </c>
    </row>
    <row r="846" spans="2:22" x14ac:dyDescent="0.25">
      <c r="B846" s="16">
        <v>1</v>
      </c>
      <c r="C846" s="7">
        <v>1</v>
      </c>
      <c r="D846" s="8">
        <v>0</v>
      </c>
      <c r="E846" s="8">
        <v>1</v>
      </c>
      <c r="F846" s="8">
        <v>0</v>
      </c>
      <c r="G846" s="8">
        <v>0</v>
      </c>
      <c r="H846" s="8">
        <v>1</v>
      </c>
      <c r="I846" s="8">
        <v>0</v>
      </c>
      <c r="J846" s="8">
        <v>1</v>
      </c>
      <c r="K846" s="9">
        <v>1</v>
      </c>
      <c r="L846" s="10">
        <v>0</v>
      </c>
      <c r="M846" s="6">
        <v>0</v>
      </c>
      <c r="N846" s="37" t="e" cm="1">
        <f t="array" ref="N846">IF(OR(ISNUMBER(FIND(Aux!$D$3:$D$9,_xlfn.TEXTJOIN(,,C846:K846)))),NA(),IF(AND(SUM(C846:F846,H846:K846)=0,G846=1),0,INT((SUMPRODUCT(C846:F846,COLUMN($A$1:$D$1)-1)+SUMPRODUCT(H846:K846,COLUMN($E$1:$H$1)-1))*'Line Follower'!$C$3/SUM(C846:F846,H846:K846)-'Line Follower'!$C$5)))</f>
        <v>#N/A</v>
      </c>
      <c r="O846" s="22" t="e">
        <v>#N/A</v>
      </c>
      <c r="P846" s="4" t="e">
        <f t="shared" si="65"/>
        <v>#N/A</v>
      </c>
      <c r="Q846" s="4" t="e">
        <f t="shared" si="66"/>
        <v>#N/A</v>
      </c>
      <c r="R846" s="4" t="e">
        <f>IF(AND(B846=1,N846&gt;'Line Follower'!$C$7,SUM(C846:K846)&lt;4),1,0)</f>
        <v>#N/A</v>
      </c>
      <c r="S846" s="4" t="e">
        <f>IF(AND(L846=1,N846&lt;'Line Follower'!$C$6,SUM(C846:K846)&lt;4),1,0)</f>
        <v>#N/A</v>
      </c>
      <c r="T846" s="4" t="e">
        <f t="shared" si="67"/>
        <v>#N/A</v>
      </c>
      <c r="U846" s="5" t="e">
        <f t="shared" si="68"/>
        <v>#N/A</v>
      </c>
      <c r="V846" s="23" t="e">
        <f t="shared" si="69"/>
        <v>#N/A</v>
      </c>
    </row>
    <row r="847" spans="2:22" x14ac:dyDescent="0.25">
      <c r="B847" s="16">
        <v>0</v>
      </c>
      <c r="C847" s="7">
        <v>0</v>
      </c>
      <c r="D847" s="8">
        <v>1</v>
      </c>
      <c r="E847" s="8">
        <v>1</v>
      </c>
      <c r="F847" s="8">
        <v>0</v>
      </c>
      <c r="G847" s="8">
        <v>0</v>
      </c>
      <c r="H847" s="8">
        <v>1</v>
      </c>
      <c r="I847" s="8">
        <v>0</v>
      </c>
      <c r="J847" s="8">
        <v>1</v>
      </c>
      <c r="K847" s="9">
        <v>1</v>
      </c>
      <c r="L847" s="10">
        <v>0</v>
      </c>
      <c r="M847" s="6">
        <v>0</v>
      </c>
      <c r="N847" s="37" t="e" cm="1">
        <f t="array" ref="N847">IF(OR(ISNUMBER(FIND(Aux!$D$3:$D$9,_xlfn.TEXTJOIN(,,C847:K847)))),NA(),IF(AND(SUM(C847:F847,H847:K847)=0,G847=1),0,INT((SUMPRODUCT(C847:F847,COLUMN($A$1:$D$1)-1)+SUMPRODUCT(H847:K847,COLUMN($E$1:$H$1)-1))*'Line Follower'!$C$3/SUM(C847:F847,H847:K847)-'Line Follower'!$C$5)))</f>
        <v>#N/A</v>
      </c>
      <c r="O847" s="22" t="e">
        <v>#N/A</v>
      </c>
      <c r="P847" s="4" t="e">
        <f t="shared" si="65"/>
        <v>#N/A</v>
      </c>
      <c r="Q847" s="4" t="e">
        <f t="shared" si="66"/>
        <v>#N/A</v>
      </c>
      <c r="R847" s="4" t="e">
        <f>IF(AND(B847=1,N847&gt;'Line Follower'!$C$7,SUM(C847:K847)&lt;4),1,0)</f>
        <v>#N/A</v>
      </c>
      <c r="S847" s="4" t="e">
        <f>IF(AND(L847=1,N847&lt;'Line Follower'!$C$6,SUM(C847:K847)&lt;4),1,0)</f>
        <v>#N/A</v>
      </c>
      <c r="T847" s="4" t="e">
        <f t="shared" si="67"/>
        <v>#N/A</v>
      </c>
      <c r="U847" s="5" t="e">
        <f t="shared" si="68"/>
        <v>#N/A</v>
      </c>
      <c r="V847" s="23" t="e">
        <f t="shared" si="69"/>
        <v>#N/A</v>
      </c>
    </row>
    <row r="848" spans="2:22" x14ac:dyDescent="0.25">
      <c r="B848" s="16">
        <v>1</v>
      </c>
      <c r="C848" s="7">
        <v>0</v>
      </c>
      <c r="D848" s="8">
        <v>1</v>
      </c>
      <c r="E848" s="8">
        <v>1</v>
      </c>
      <c r="F848" s="8">
        <v>0</v>
      </c>
      <c r="G848" s="8">
        <v>0</v>
      </c>
      <c r="H848" s="8">
        <v>1</v>
      </c>
      <c r="I848" s="8">
        <v>0</v>
      </c>
      <c r="J848" s="8">
        <v>1</v>
      </c>
      <c r="K848" s="9">
        <v>1</v>
      </c>
      <c r="L848" s="10">
        <v>0</v>
      </c>
      <c r="M848" s="6">
        <v>0</v>
      </c>
      <c r="N848" s="37" t="e" cm="1">
        <f t="array" ref="N848">IF(OR(ISNUMBER(FIND(Aux!$D$3:$D$9,_xlfn.TEXTJOIN(,,C848:K848)))),NA(),IF(AND(SUM(C848:F848,H848:K848)=0,G848=1),0,INT((SUMPRODUCT(C848:F848,COLUMN($A$1:$D$1)-1)+SUMPRODUCT(H848:K848,COLUMN($E$1:$H$1)-1))*'Line Follower'!$C$3/SUM(C848:F848,H848:K848)-'Line Follower'!$C$5)))</f>
        <v>#N/A</v>
      </c>
      <c r="O848" s="22" t="e">
        <v>#N/A</v>
      </c>
      <c r="P848" s="4" t="e">
        <f t="shared" si="65"/>
        <v>#N/A</v>
      </c>
      <c r="Q848" s="4" t="e">
        <f t="shared" si="66"/>
        <v>#N/A</v>
      </c>
      <c r="R848" s="4" t="e">
        <f>IF(AND(B848=1,N848&gt;'Line Follower'!$C$7,SUM(C848:K848)&lt;4),1,0)</f>
        <v>#N/A</v>
      </c>
      <c r="S848" s="4" t="e">
        <f>IF(AND(L848=1,N848&lt;'Line Follower'!$C$6,SUM(C848:K848)&lt;4),1,0)</f>
        <v>#N/A</v>
      </c>
      <c r="T848" s="4" t="e">
        <f t="shared" si="67"/>
        <v>#N/A</v>
      </c>
      <c r="U848" s="5" t="e">
        <f t="shared" si="68"/>
        <v>#N/A</v>
      </c>
      <c r="V848" s="23" t="e">
        <f t="shared" si="69"/>
        <v>#N/A</v>
      </c>
    </row>
    <row r="849" spans="2:22" x14ac:dyDescent="0.25">
      <c r="B849" s="16">
        <v>0</v>
      </c>
      <c r="C849" s="7">
        <v>1</v>
      </c>
      <c r="D849" s="8">
        <v>1</v>
      </c>
      <c r="E849" s="8">
        <v>1</v>
      </c>
      <c r="F849" s="8">
        <v>0</v>
      </c>
      <c r="G849" s="8">
        <v>0</v>
      </c>
      <c r="H849" s="8">
        <v>1</v>
      </c>
      <c r="I849" s="8">
        <v>0</v>
      </c>
      <c r="J849" s="8">
        <v>1</v>
      </c>
      <c r="K849" s="9">
        <v>1</v>
      </c>
      <c r="L849" s="10">
        <v>0</v>
      </c>
      <c r="M849" s="6">
        <v>0</v>
      </c>
      <c r="N849" s="37" t="e" cm="1">
        <f t="array" ref="N849">IF(OR(ISNUMBER(FIND(Aux!$D$3:$D$9,_xlfn.TEXTJOIN(,,C849:K849)))),NA(),IF(AND(SUM(C849:F849,H849:K849)=0,G849=1),0,INT((SUMPRODUCT(C849:F849,COLUMN($A$1:$D$1)-1)+SUMPRODUCT(H849:K849,COLUMN($E$1:$H$1)-1))*'Line Follower'!$C$3/SUM(C849:F849,H849:K849)-'Line Follower'!$C$5)))</f>
        <v>#N/A</v>
      </c>
      <c r="O849" s="22" t="e">
        <v>#N/A</v>
      </c>
      <c r="P849" s="4" t="e">
        <f t="shared" si="65"/>
        <v>#N/A</v>
      </c>
      <c r="Q849" s="4" t="e">
        <f t="shared" si="66"/>
        <v>#N/A</v>
      </c>
      <c r="R849" s="4" t="e">
        <f>IF(AND(B849=1,N849&gt;'Line Follower'!$C$7,SUM(C849:K849)&lt;4),1,0)</f>
        <v>#N/A</v>
      </c>
      <c r="S849" s="4" t="e">
        <f>IF(AND(L849=1,N849&lt;'Line Follower'!$C$6,SUM(C849:K849)&lt;4),1,0)</f>
        <v>#N/A</v>
      </c>
      <c r="T849" s="4" t="e">
        <f t="shared" si="67"/>
        <v>#N/A</v>
      </c>
      <c r="U849" s="5" t="e">
        <f t="shared" si="68"/>
        <v>#N/A</v>
      </c>
      <c r="V849" s="23" t="e">
        <f t="shared" si="69"/>
        <v>#N/A</v>
      </c>
    </row>
    <row r="850" spans="2:22" x14ac:dyDescent="0.25">
      <c r="B850" s="16">
        <v>1</v>
      </c>
      <c r="C850" s="7">
        <v>1</v>
      </c>
      <c r="D850" s="8">
        <v>1</v>
      </c>
      <c r="E850" s="8">
        <v>1</v>
      </c>
      <c r="F850" s="8">
        <v>0</v>
      </c>
      <c r="G850" s="8">
        <v>0</v>
      </c>
      <c r="H850" s="8">
        <v>1</v>
      </c>
      <c r="I850" s="8">
        <v>0</v>
      </c>
      <c r="J850" s="8">
        <v>1</v>
      </c>
      <c r="K850" s="9">
        <v>1</v>
      </c>
      <c r="L850" s="10">
        <v>0</v>
      </c>
      <c r="M850" s="6">
        <v>0</v>
      </c>
      <c r="N850" s="37" t="e" cm="1">
        <f t="array" ref="N850">IF(OR(ISNUMBER(FIND(Aux!$D$3:$D$9,_xlfn.TEXTJOIN(,,C850:K850)))),NA(),IF(AND(SUM(C850:F850,H850:K850)=0,G850=1),0,INT((SUMPRODUCT(C850:F850,COLUMN($A$1:$D$1)-1)+SUMPRODUCT(H850:K850,COLUMN($E$1:$H$1)-1))*'Line Follower'!$C$3/SUM(C850:F850,H850:K850)-'Line Follower'!$C$5)))</f>
        <v>#N/A</v>
      </c>
      <c r="O850" s="22" t="e">
        <v>#N/A</v>
      </c>
      <c r="P850" s="4" t="e">
        <f t="shared" si="65"/>
        <v>#N/A</v>
      </c>
      <c r="Q850" s="4" t="e">
        <f t="shared" si="66"/>
        <v>#N/A</v>
      </c>
      <c r="R850" s="4" t="e">
        <f>IF(AND(B850=1,N850&gt;'Line Follower'!$C$7,SUM(C850:K850)&lt;4),1,0)</f>
        <v>#N/A</v>
      </c>
      <c r="S850" s="4" t="e">
        <f>IF(AND(L850=1,N850&lt;'Line Follower'!$C$6,SUM(C850:K850)&lt;4),1,0)</f>
        <v>#N/A</v>
      </c>
      <c r="T850" s="4" t="e">
        <f t="shared" si="67"/>
        <v>#N/A</v>
      </c>
      <c r="U850" s="5" t="e">
        <f t="shared" si="68"/>
        <v>#N/A</v>
      </c>
      <c r="V850" s="23" t="e">
        <f t="shared" si="69"/>
        <v>#N/A</v>
      </c>
    </row>
    <row r="851" spans="2:22" x14ac:dyDescent="0.25">
      <c r="B851" s="16">
        <v>0</v>
      </c>
      <c r="C851" s="7">
        <v>0</v>
      </c>
      <c r="D851" s="8">
        <v>0</v>
      </c>
      <c r="E851" s="8">
        <v>0</v>
      </c>
      <c r="F851" s="8">
        <v>1</v>
      </c>
      <c r="G851" s="8">
        <v>0</v>
      </c>
      <c r="H851" s="8">
        <v>1</v>
      </c>
      <c r="I851" s="8">
        <v>0</v>
      </c>
      <c r="J851" s="8">
        <v>1</v>
      </c>
      <c r="K851" s="9">
        <v>1</v>
      </c>
      <c r="L851" s="10">
        <v>0</v>
      </c>
      <c r="M851" s="6">
        <v>0</v>
      </c>
      <c r="N851" s="37" t="e" cm="1">
        <f t="array" ref="N851">IF(OR(ISNUMBER(FIND(Aux!$D$3:$D$9,_xlfn.TEXTJOIN(,,C851:K851)))),NA(),IF(AND(SUM(C851:F851,H851:K851)=0,G851=1),0,INT((SUMPRODUCT(C851:F851,COLUMN($A$1:$D$1)-1)+SUMPRODUCT(H851:K851,COLUMN($E$1:$H$1)-1))*'Line Follower'!$C$3/SUM(C851:F851,H851:K851)-'Line Follower'!$C$5)))</f>
        <v>#N/A</v>
      </c>
      <c r="O851" s="22" t="e">
        <v>#N/A</v>
      </c>
      <c r="P851" s="4" t="e">
        <f t="shared" si="65"/>
        <v>#N/A</v>
      </c>
      <c r="Q851" s="4" t="e">
        <f t="shared" si="66"/>
        <v>#N/A</v>
      </c>
      <c r="R851" s="4" t="e">
        <f>IF(AND(B851=1,N851&gt;'Line Follower'!$C$7,SUM(C851:K851)&lt;4),1,0)</f>
        <v>#N/A</v>
      </c>
      <c r="S851" s="4" t="e">
        <f>IF(AND(L851=1,N851&lt;'Line Follower'!$C$6,SUM(C851:K851)&lt;4),1,0)</f>
        <v>#N/A</v>
      </c>
      <c r="T851" s="4" t="e">
        <f t="shared" si="67"/>
        <v>#N/A</v>
      </c>
      <c r="U851" s="5" t="e">
        <f t="shared" si="68"/>
        <v>#N/A</v>
      </c>
      <c r="V851" s="23" t="e">
        <f t="shared" si="69"/>
        <v>#N/A</v>
      </c>
    </row>
    <row r="852" spans="2:22" x14ac:dyDescent="0.25">
      <c r="B852" s="16">
        <v>1</v>
      </c>
      <c r="C852" s="7">
        <v>0</v>
      </c>
      <c r="D852" s="8">
        <v>0</v>
      </c>
      <c r="E852" s="8">
        <v>0</v>
      </c>
      <c r="F852" s="8">
        <v>1</v>
      </c>
      <c r="G852" s="8">
        <v>0</v>
      </c>
      <c r="H852" s="8">
        <v>1</v>
      </c>
      <c r="I852" s="8">
        <v>0</v>
      </c>
      <c r="J852" s="8">
        <v>1</v>
      </c>
      <c r="K852" s="9">
        <v>1</v>
      </c>
      <c r="L852" s="10">
        <v>0</v>
      </c>
      <c r="M852" s="6">
        <v>0</v>
      </c>
      <c r="N852" s="37" t="e" cm="1">
        <f t="array" ref="N852">IF(OR(ISNUMBER(FIND(Aux!$D$3:$D$9,_xlfn.TEXTJOIN(,,C852:K852)))),NA(),IF(AND(SUM(C852:F852,H852:K852)=0,G852=1),0,INT((SUMPRODUCT(C852:F852,COLUMN($A$1:$D$1)-1)+SUMPRODUCT(H852:K852,COLUMN($E$1:$H$1)-1))*'Line Follower'!$C$3/SUM(C852:F852,H852:K852)-'Line Follower'!$C$5)))</f>
        <v>#N/A</v>
      </c>
      <c r="O852" s="22" t="e">
        <v>#N/A</v>
      </c>
      <c r="P852" s="4" t="e">
        <f t="shared" si="65"/>
        <v>#N/A</v>
      </c>
      <c r="Q852" s="4" t="e">
        <f t="shared" si="66"/>
        <v>#N/A</v>
      </c>
      <c r="R852" s="4" t="e">
        <f>IF(AND(B852=1,N852&gt;'Line Follower'!$C$7,SUM(C852:K852)&lt;4),1,0)</f>
        <v>#N/A</v>
      </c>
      <c r="S852" s="4" t="e">
        <f>IF(AND(L852=1,N852&lt;'Line Follower'!$C$6,SUM(C852:K852)&lt;4),1,0)</f>
        <v>#N/A</v>
      </c>
      <c r="T852" s="4" t="e">
        <f t="shared" si="67"/>
        <v>#N/A</v>
      </c>
      <c r="U852" s="5" t="e">
        <f t="shared" si="68"/>
        <v>#N/A</v>
      </c>
      <c r="V852" s="23" t="e">
        <f t="shared" si="69"/>
        <v>#N/A</v>
      </c>
    </row>
    <row r="853" spans="2:22" x14ac:dyDescent="0.25">
      <c r="B853" s="16">
        <v>0</v>
      </c>
      <c r="C853" s="7">
        <v>1</v>
      </c>
      <c r="D853" s="8">
        <v>0</v>
      </c>
      <c r="E853" s="8">
        <v>0</v>
      </c>
      <c r="F853" s="8">
        <v>1</v>
      </c>
      <c r="G853" s="8">
        <v>0</v>
      </c>
      <c r="H853" s="8">
        <v>1</v>
      </c>
      <c r="I853" s="8">
        <v>0</v>
      </c>
      <c r="J853" s="8">
        <v>1</v>
      </c>
      <c r="K853" s="9">
        <v>1</v>
      </c>
      <c r="L853" s="10">
        <v>0</v>
      </c>
      <c r="M853" s="6">
        <v>0</v>
      </c>
      <c r="N853" s="37" t="e" cm="1">
        <f t="array" ref="N853">IF(OR(ISNUMBER(FIND(Aux!$D$3:$D$9,_xlfn.TEXTJOIN(,,C853:K853)))),NA(),IF(AND(SUM(C853:F853,H853:K853)=0,G853=1),0,INT((SUMPRODUCT(C853:F853,COLUMN($A$1:$D$1)-1)+SUMPRODUCT(H853:K853,COLUMN($E$1:$H$1)-1))*'Line Follower'!$C$3/SUM(C853:F853,H853:K853)-'Line Follower'!$C$5)))</f>
        <v>#N/A</v>
      </c>
      <c r="O853" s="22" t="e">
        <v>#N/A</v>
      </c>
      <c r="P853" s="4" t="e">
        <f t="shared" si="65"/>
        <v>#N/A</v>
      </c>
      <c r="Q853" s="4" t="e">
        <f t="shared" si="66"/>
        <v>#N/A</v>
      </c>
      <c r="R853" s="4" t="e">
        <f>IF(AND(B853=1,N853&gt;'Line Follower'!$C$7,SUM(C853:K853)&lt;4),1,0)</f>
        <v>#N/A</v>
      </c>
      <c r="S853" s="4" t="e">
        <f>IF(AND(L853=1,N853&lt;'Line Follower'!$C$6,SUM(C853:K853)&lt;4),1,0)</f>
        <v>#N/A</v>
      </c>
      <c r="T853" s="4" t="e">
        <f t="shared" si="67"/>
        <v>#N/A</v>
      </c>
      <c r="U853" s="5" t="e">
        <f t="shared" si="68"/>
        <v>#N/A</v>
      </c>
      <c r="V853" s="23" t="e">
        <f t="shared" si="69"/>
        <v>#N/A</v>
      </c>
    </row>
    <row r="854" spans="2:22" x14ac:dyDescent="0.25">
      <c r="B854" s="16">
        <v>1</v>
      </c>
      <c r="C854" s="7">
        <v>1</v>
      </c>
      <c r="D854" s="8">
        <v>0</v>
      </c>
      <c r="E854" s="8">
        <v>0</v>
      </c>
      <c r="F854" s="8">
        <v>1</v>
      </c>
      <c r="G854" s="8">
        <v>0</v>
      </c>
      <c r="H854" s="8">
        <v>1</v>
      </c>
      <c r="I854" s="8">
        <v>0</v>
      </c>
      <c r="J854" s="8">
        <v>1</v>
      </c>
      <c r="K854" s="9">
        <v>1</v>
      </c>
      <c r="L854" s="10">
        <v>0</v>
      </c>
      <c r="M854" s="6">
        <v>0</v>
      </c>
      <c r="N854" s="37" t="e" cm="1">
        <f t="array" ref="N854">IF(OR(ISNUMBER(FIND(Aux!$D$3:$D$9,_xlfn.TEXTJOIN(,,C854:K854)))),NA(),IF(AND(SUM(C854:F854,H854:K854)=0,G854=1),0,INT((SUMPRODUCT(C854:F854,COLUMN($A$1:$D$1)-1)+SUMPRODUCT(H854:K854,COLUMN($E$1:$H$1)-1))*'Line Follower'!$C$3/SUM(C854:F854,H854:K854)-'Line Follower'!$C$5)))</f>
        <v>#N/A</v>
      </c>
      <c r="O854" s="22" t="e">
        <v>#N/A</v>
      </c>
      <c r="P854" s="4" t="e">
        <f t="shared" si="65"/>
        <v>#N/A</v>
      </c>
      <c r="Q854" s="4" t="e">
        <f t="shared" si="66"/>
        <v>#N/A</v>
      </c>
      <c r="R854" s="4" t="e">
        <f>IF(AND(B854=1,N854&gt;'Line Follower'!$C$7,SUM(C854:K854)&lt;4),1,0)</f>
        <v>#N/A</v>
      </c>
      <c r="S854" s="4" t="e">
        <f>IF(AND(L854=1,N854&lt;'Line Follower'!$C$6,SUM(C854:K854)&lt;4),1,0)</f>
        <v>#N/A</v>
      </c>
      <c r="T854" s="4" t="e">
        <f t="shared" si="67"/>
        <v>#N/A</v>
      </c>
      <c r="U854" s="5" t="e">
        <f t="shared" si="68"/>
        <v>#N/A</v>
      </c>
      <c r="V854" s="23" t="e">
        <f t="shared" si="69"/>
        <v>#N/A</v>
      </c>
    </row>
    <row r="855" spans="2:22" x14ac:dyDescent="0.25">
      <c r="B855" s="16">
        <v>0</v>
      </c>
      <c r="C855" s="7">
        <v>0</v>
      </c>
      <c r="D855" s="8">
        <v>1</v>
      </c>
      <c r="E855" s="8">
        <v>0</v>
      </c>
      <c r="F855" s="8">
        <v>1</v>
      </c>
      <c r="G855" s="8">
        <v>0</v>
      </c>
      <c r="H855" s="8">
        <v>1</v>
      </c>
      <c r="I855" s="8">
        <v>0</v>
      </c>
      <c r="J855" s="8">
        <v>1</v>
      </c>
      <c r="K855" s="9">
        <v>1</v>
      </c>
      <c r="L855" s="10">
        <v>0</v>
      </c>
      <c r="M855" s="6">
        <v>0</v>
      </c>
      <c r="N855" s="37" t="e" cm="1">
        <f t="array" ref="N855">IF(OR(ISNUMBER(FIND(Aux!$D$3:$D$9,_xlfn.TEXTJOIN(,,C855:K855)))),NA(),IF(AND(SUM(C855:F855,H855:K855)=0,G855=1),0,INT((SUMPRODUCT(C855:F855,COLUMN($A$1:$D$1)-1)+SUMPRODUCT(H855:K855,COLUMN($E$1:$H$1)-1))*'Line Follower'!$C$3/SUM(C855:F855,H855:K855)-'Line Follower'!$C$5)))</f>
        <v>#N/A</v>
      </c>
      <c r="O855" s="22" t="e">
        <v>#N/A</v>
      </c>
      <c r="P855" s="4" t="e">
        <f t="shared" si="65"/>
        <v>#N/A</v>
      </c>
      <c r="Q855" s="4" t="e">
        <f t="shared" si="66"/>
        <v>#N/A</v>
      </c>
      <c r="R855" s="4" t="e">
        <f>IF(AND(B855=1,N855&gt;'Line Follower'!$C$7,SUM(C855:K855)&lt;4),1,0)</f>
        <v>#N/A</v>
      </c>
      <c r="S855" s="4" t="e">
        <f>IF(AND(L855=1,N855&lt;'Line Follower'!$C$6,SUM(C855:K855)&lt;4),1,0)</f>
        <v>#N/A</v>
      </c>
      <c r="T855" s="4" t="e">
        <f t="shared" si="67"/>
        <v>#N/A</v>
      </c>
      <c r="U855" s="5" t="e">
        <f t="shared" si="68"/>
        <v>#N/A</v>
      </c>
      <c r="V855" s="23" t="e">
        <f t="shared" si="69"/>
        <v>#N/A</v>
      </c>
    </row>
    <row r="856" spans="2:22" x14ac:dyDescent="0.25">
      <c r="B856" s="16">
        <v>1</v>
      </c>
      <c r="C856" s="7">
        <v>0</v>
      </c>
      <c r="D856" s="8">
        <v>1</v>
      </c>
      <c r="E856" s="8">
        <v>0</v>
      </c>
      <c r="F856" s="8">
        <v>1</v>
      </c>
      <c r="G856" s="8">
        <v>0</v>
      </c>
      <c r="H856" s="8">
        <v>1</v>
      </c>
      <c r="I856" s="8">
        <v>0</v>
      </c>
      <c r="J856" s="8">
        <v>1</v>
      </c>
      <c r="K856" s="9">
        <v>1</v>
      </c>
      <c r="L856" s="10">
        <v>0</v>
      </c>
      <c r="M856" s="6">
        <v>0</v>
      </c>
      <c r="N856" s="37" t="e" cm="1">
        <f t="array" ref="N856">IF(OR(ISNUMBER(FIND(Aux!$D$3:$D$9,_xlfn.TEXTJOIN(,,C856:K856)))),NA(),IF(AND(SUM(C856:F856,H856:K856)=0,G856=1),0,INT((SUMPRODUCT(C856:F856,COLUMN($A$1:$D$1)-1)+SUMPRODUCT(H856:K856,COLUMN($E$1:$H$1)-1))*'Line Follower'!$C$3/SUM(C856:F856,H856:K856)-'Line Follower'!$C$5)))</f>
        <v>#N/A</v>
      </c>
      <c r="O856" s="22" t="e">
        <v>#N/A</v>
      </c>
      <c r="P856" s="4" t="e">
        <f t="shared" si="65"/>
        <v>#N/A</v>
      </c>
      <c r="Q856" s="4" t="e">
        <f t="shared" si="66"/>
        <v>#N/A</v>
      </c>
      <c r="R856" s="4" t="e">
        <f>IF(AND(B856=1,N856&gt;'Line Follower'!$C$7,SUM(C856:K856)&lt;4),1,0)</f>
        <v>#N/A</v>
      </c>
      <c r="S856" s="4" t="e">
        <f>IF(AND(L856=1,N856&lt;'Line Follower'!$C$6,SUM(C856:K856)&lt;4),1,0)</f>
        <v>#N/A</v>
      </c>
      <c r="T856" s="4" t="e">
        <f t="shared" si="67"/>
        <v>#N/A</v>
      </c>
      <c r="U856" s="5" t="e">
        <f t="shared" si="68"/>
        <v>#N/A</v>
      </c>
      <c r="V856" s="23" t="e">
        <f t="shared" si="69"/>
        <v>#N/A</v>
      </c>
    </row>
    <row r="857" spans="2:22" x14ac:dyDescent="0.25">
      <c r="B857" s="16">
        <v>0</v>
      </c>
      <c r="C857" s="7">
        <v>1</v>
      </c>
      <c r="D857" s="8">
        <v>1</v>
      </c>
      <c r="E857" s="8">
        <v>0</v>
      </c>
      <c r="F857" s="8">
        <v>1</v>
      </c>
      <c r="G857" s="8">
        <v>0</v>
      </c>
      <c r="H857" s="8">
        <v>1</v>
      </c>
      <c r="I857" s="8">
        <v>0</v>
      </c>
      <c r="J857" s="8">
        <v>1</v>
      </c>
      <c r="K857" s="9">
        <v>1</v>
      </c>
      <c r="L857" s="10">
        <v>0</v>
      </c>
      <c r="M857" s="6">
        <v>0</v>
      </c>
      <c r="N857" s="37" t="e" cm="1">
        <f t="array" ref="N857">IF(OR(ISNUMBER(FIND(Aux!$D$3:$D$9,_xlfn.TEXTJOIN(,,C857:K857)))),NA(),IF(AND(SUM(C857:F857,H857:K857)=0,G857=1),0,INT((SUMPRODUCT(C857:F857,COLUMN($A$1:$D$1)-1)+SUMPRODUCT(H857:K857,COLUMN($E$1:$H$1)-1))*'Line Follower'!$C$3/SUM(C857:F857,H857:K857)-'Line Follower'!$C$5)))</f>
        <v>#N/A</v>
      </c>
      <c r="O857" s="22" t="e">
        <v>#N/A</v>
      </c>
      <c r="P857" s="4" t="e">
        <f t="shared" si="65"/>
        <v>#N/A</v>
      </c>
      <c r="Q857" s="4" t="e">
        <f t="shared" si="66"/>
        <v>#N/A</v>
      </c>
      <c r="R857" s="4" t="e">
        <f>IF(AND(B857=1,N857&gt;'Line Follower'!$C$7,SUM(C857:K857)&lt;4),1,0)</f>
        <v>#N/A</v>
      </c>
      <c r="S857" s="4" t="e">
        <f>IF(AND(L857=1,N857&lt;'Line Follower'!$C$6,SUM(C857:K857)&lt;4),1,0)</f>
        <v>#N/A</v>
      </c>
      <c r="T857" s="4" t="e">
        <f t="shared" si="67"/>
        <v>#N/A</v>
      </c>
      <c r="U857" s="5" t="e">
        <f t="shared" si="68"/>
        <v>#N/A</v>
      </c>
      <c r="V857" s="23" t="e">
        <f t="shared" si="69"/>
        <v>#N/A</v>
      </c>
    </row>
    <row r="858" spans="2:22" x14ac:dyDescent="0.25">
      <c r="B858" s="16">
        <v>1</v>
      </c>
      <c r="C858" s="7">
        <v>1</v>
      </c>
      <c r="D858" s="8">
        <v>1</v>
      </c>
      <c r="E858" s="8">
        <v>0</v>
      </c>
      <c r="F858" s="8">
        <v>1</v>
      </c>
      <c r="G858" s="8">
        <v>0</v>
      </c>
      <c r="H858" s="8">
        <v>1</v>
      </c>
      <c r="I858" s="8">
        <v>0</v>
      </c>
      <c r="J858" s="8">
        <v>1</v>
      </c>
      <c r="K858" s="9">
        <v>1</v>
      </c>
      <c r="L858" s="10">
        <v>0</v>
      </c>
      <c r="M858" s="6">
        <v>0</v>
      </c>
      <c r="N858" s="37" t="e" cm="1">
        <f t="array" ref="N858">IF(OR(ISNUMBER(FIND(Aux!$D$3:$D$9,_xlfn.TEXTJOIN(,,C858:K858)))),NA(),IF(AND(SUM(C858:F858,H858:K858)=0,G858=1),0,INT((SUMPRODUCT(C858:F858,COLUMN($A$1:$D$1)-1)+SUMPRODUCT(H858:K858,COLUMN($E$1:$H$1)-1))*'Line Follower'!$C$3/SUM(C858:F858,H858:K858)-'Line Follower'!$C$5)))</f>
        <v>#N/A</v>
      </c>
      <c r="O858" s="22" t="e">
        <v>#N/A</v>
      </c>
      <c r="P858" s="4" t="e">
        <f t="shared" si="65"/>
        <v>#N/A</v>
      </c>
      <c r="Q858" s="4" t="e">
        <f t="shared" si="66"/>
        <v>#N/A</v>
      </c>
      <c r="R858" s="4" t="e">
        <f>IF(AND(B858=1,N858&gt;'Line Follower'!$C$7,SUM(C858:K858)&lt;4),1,0)</f>
        <v>#N/A</v>
      </c>
      <c r="S858" s="4" t="e">
        <f>IF(AND(L858=1,N858&lt;'Line Follower'!$C$6,SUM(C858:K858)&lt;4),1,0)</f>
        <v>#N/A</v>
      </c>
      <c r="T858" s="4" t="e">
        <f t="shared" si="67"/>
        <v>#N/A</v>
      </c>
      <c r="U858" s="5" t="e">
        <f t="shared" si="68"/>
        <v>#N/A</v>
      </c>
      <c r="V858" s="23" t="e">
        <f t="shared" si="69"/>
        <v>#N/A</v>
      </c>
    </row>
    <row r="859" spans="2:22" x14ac:dyDescent="0.25">
      <c r="B859" s="16">
        <v>0</v>
      </c>
      <c r="C859" s="7">
        <v>0</v>
      </c>
      <c r="D859" s="8">
        <v>0</v>
      </c>
      <c r="E859" s="8">
        <v>1</v>
      </c>
      <c r="F859" s="8">
        <v>1</v>
      </c>
      <c r="G859" s="8">
        <v>0</v>
      </c>
      <c r="H859" s="8">
        <v>1</v>
      </c>
      <c r="I859" s="8">
        <v>0</v>
      </c>
      <c r="J859" s="8">
        <v>1</v>
      </c>
      <c r="K859" s="9">
        <v>1</v>
      </c>
      <c r="L859" s="10">
        <v>0</v>
      </c>
      <c r="M859" s="6">
        <v>0</v>
      </c>
      <c r="N859" s="37" t="e" cm="1">
        <f t="array" ref="N859">IF(OR(ISNUMBER(FIND(Aux!$D$3:$D$9,_xlfn.TEXTJOIN(,,C859:K859)))),NA(),IF(AND(SUM(C859:F859,H859:K859)=0,G859=1),0,INT((SUMPRODUCT(C859:F859,COLUMN($A$1:$D$1)-1)+SUMPRODUCT(H859:K859,COLUMN($E$1:$H$1)-1))*'Line Follower'!$C$3/SUM(C859:F859,H859:K859)-'Line Follower'!$C$5)))</f>
        <v>#N/A</v>
      </c>
      <c r="O859" s="22" t="e">
        <v>#N/A</v>
      </c>
      <c r="P859" s="4" t="e">
        <f t="shared" si="65"/>
        <v>#N/A</v>
      </c>
      <c r="Q859" s="4" t="e">
        <f t="shared" si="66"/>
        <v>#N/A</v>
      </c>
      <c r="R859" s="4" t="e">
        <f>IF(AND(B859=1,N859&gt;'Line Follower'!$C$7,SUM(C859:K859)&lt;4),1,0)</f>
        <v>#N/A</v>
      </c>
      <c r="S859" s="4" t="e">
        <f>IF(AND(L859=1,N859&lt;'Line Follower'!$C$6,SUM(C859:K859)&lt;4),1,0)</f>
        <v>#N/A</v>
      </c>
      <c r="T859" s="4" t="e">
        <f t="shared" si="67"/>
        <v>#N/A</v>
      </c>
      <c r="U859" s="5" t="e">
        <f t="shared" si="68"/>
        <v>#N/A</v>
      </c>
      <c r="V859" s="23" t="e">
        <f t="shared" si="69"/>
        <v>#N/A</v>
      </c>
    </row>
    <row r="860" spans="2:22" x14ac:dyDescent="0.25">
      <c r="B860" s="16">
        <v>1</v>
      </c>
      <c r="C860" s="7">
        <v>0</v>
      </c>
      <c r="D860" s="8">
        <v>0</v>
      </c>
      <c r="E860" s="8">
        <v>1</v>
      </c>
      <c r="F860" s="8">
        <v>1</v>
      </c>
      <c r="G860" s="8">
        <v>0</v>
      </c>
      <c r="H860" s="8">
        <v>1</v>
      </c>
      <c r="I860" s="8">
        <v>0</v>
      </c>
      <c r="J860" s="8">
        <v>1</v>
      </c>
      <c r="K860" s="9">
        <v>1</v>
      </c>
      <c r="L860" s="10">
        <v>0</v>
      </c>
      <c r="M860" s="6">
        <v>0</v>
      </c>
      <c r="N860" s="37" t="e" cm="1">
        <f t="array" ref="N860">IF(OR(ISNUMBER(FIND(Aux!$D$3:$D$9,_xlfn.TEXTJOIN(,,C860:K860)))),NA(),IF(AND(SUM(C860:F860,H860:K860)=0,G860=1),0,INT((SUMPRODUCT(C860:F860,COLUMN($A$1:$D$1)-1)+SUMPRODUCT(H860:K860,COLUMN($E$1:$H$1)-1))*'Line Follower'!$C$3/SUM(C860:F860,H860:K860)-'Line Follower'!$C$5)))</f>
        <v>#N/A</v>
      </c>
      <c r="O860" s="22" t="e">
        <v>#N/A</v>
      </c>
      <c r="P860" s="4" t="e">
        <f t="shared" si="65"/>
        <v>#N/A</v>
      </c>
      <c r="Q860" s="4" t="e">
        <f t="shared" si="66"/>
        <v>#N/A</v>
      </c>
      <c r="R860" s="4" t="e">
        <f>IF(AND(B860=1,N860&gt;'Line Follower'!$C$7,SUM(C860:K860)&lt;4),1,0)</f>
        <v>#N/A</v>
      </c>
      <c r="S860" s="4" t="e">
        <f>IF(AND(L860=1,N860&lt;'Line Follower'!$C$6,SUM(C860:K860)&lt;4),1,0)</f>
        <v>#N/A</v>
      </c>
      <c r="T860" s="4" t="e">
        <f t="shared" si="67"/>
        <v>#N/A</v>
      </c>
      <c r="U860" s="5" t="e">
        <f t="shared" si="68"/>
        <v>#N/A</v>
      </c>
      <c r="V860" s="23" t="e">
        <f t="shared" si="69"/>
        <v>#N/A</v>
      </c>
    </row>
    <row r="861" spans="2:22" x14ac:dyDescent="0.25">
      <c r="B861" s="16">
        <v>0</v>
      </c>
      <c r="C861" s="7">
        <v>1</v>
      </c>
      <c r="D861" s="8">
        <v>0</v>
      </c>
      <c r="E861" s="8">
        <v>1</v>
      </c>
      <c r="F861" s="8">
        <v>1</v>
      </c>
      <c r="G861" s="8">
        <v>0</v>
      </c>
      <c r="H861" s="8">
        <v>1</v>
      </c>
      <c r="I861" s="8">
        <v>0</v>
      </c>
      <c r="J861" s="8">
        <v>1</v>
      </c>
      <c r="K861" s="9">
        <v>1</v>
      </c>
      <c r="L861" s="10">
        <v>0</v>
      </c>
      <c r="M861" s="6">
        <v>0</v>
      </c>
      <c r="N861" s="37" t="e" cm="1">
        <f t="array" ref="N861">IF(OR(ISNUMBER(FIND(Aux!$D$3:$D$9,_xlfn.TEXTJOIN(,,C861:K861)))),NA(),IF(AND(SUM(C861:F861,H861:K861)=0,G861=1),0,INT((SUMPRODUCT(C861:F861,COLUMN($A$1:$D$1)-1)+SUMPRODUCT(H861:K861,COLUMN($E$1:$H$1)-1))*'Line Follower'!$C$3/SUM(C861:F861,H861:K861)-'Line Follower'!$C$5)))</f>
        <v>#N/A</v>
      </c>
      <c r="O861" s="22" t="e">
        <v>#N/A</v>
      </c>
      <c r="P861" s="4" t="e">
        <f t="shared" si="65"/>
        <v>#N/A</v>
      </c>
      <c r="Q861" s="4" t="e">
        <f t="shared" si="66"/>
        <v>#N/A</v>
      </c>
      <c r="R861" s="4" t="e">
        <f>IF(AND(B861=1,N861&gt;'Line Follower'!$C$7,SUM(C861:K861)&lt;4),1,0)</f>
        <v>#N/A</v>
      </c>
      <c r="S861" s="4" t="e">
        <f>IF(AND(L861=1,N861&lt;'Line Follower'!$C$6,SUM(C861:K861)&lt;4),1,0)</f>
        <v>#N/A</v>
      </c>
      <c r="T861" s="4" t="e">
        <f t="shared" si="67"/>
        <v>#N/A</v>
      </c>
      <c r="U861" s="5" t="e">
        <f t="shared" si="68"/>
        <v>#N/A</v>
      </c>
      <c r="V861" s="23" t="e">
        <f t="shared" si="69"/>
        <v>#N/A</v>
      </c>
    </row>
    <row r="862" spans="2:22" x14ac:dyDescent="0.25">
      <c r="B862" s="16">
        <v>1</v>
      </c>
      <c r="C862" s="7">
        <v>1</v>
      </c>
      <c r="D862" s="8">
        <v>0</v>
      </c>
      <c r="E862" s="8">
        <v>1</v>
      </c>
      <c r="F862" s="8">
        <v>1</v>
      </c>
      <c r="G862" s="8">
        <v>0</v>
      </c>
      <c r="H862" s="8">
        <v>1</v>
      </c>
      <c r="I862" s="8">
        <v>0</v>
      </c>
      <c r="J862" s="8">
        <v>1</v>
      </c>
      <c r="K862" s="9">
        <v>1</v>
      </c>
      <c r="L862" s="10">
        <v>0</v>
      </c>
      <c r="M862" s="6">
        <v>0</v>
      </c>
      <c r="N862" s="37" t="e" cm="1">
        <f t="array" ref="N862">IF(OR(ISNUMBER(FIND(Aux!$D$3:$D$9,_xlfn.TEXTJOIN(,,C862:K862)))),NA(),IF(AND(SUM(C862:F862,H862:K862)=0,G862=1),0,INT((SUMPRODUCT(C862:F862,COLUMN($A$1:$D$1)-1)+SUMPRODUCT(H862:K862,COLUMN($E$1:$H$1)-1))*'Line Follower'!$C$3/SUM(C862:F862,H862:K862)-'Line Follower'!$C$5)))</f>
        <v>#N/A</v>
      </c>
      <c r="O862" s="22" t="e">
        <v>#N/A</v>
      </c>
      <c r="P862" s="4" t="e">
        <f t="shared" si="65"/>
        <v>#N/A</v>
      </c>
      <c r="Q862" s="4" t="e">
        <f t="shared" si="66"/>
        <v>#N/A</v>
      </c>
      <c r="R862" s="4" t="e">
        <f>IF(AND(B862=1,N862&gt;'Line Follower'!$C$7,SUM(C862:K862)&lt;4),1,0)</f>
        <v>#N/A</v>
      </c>
      <c r="S862" s="4" t="e">
        <f>IF(AND(L862=1,N862&lt;'Line Follower'!$C$6,SUM(C862:K862)&lt;4),1,0)</f>
        <v>#N/A</v>
      </c>
      <c r="T862" s="4" t="e">
        <f t="shared" si="67"/>
        <v>#N/A</v>
      </c>
      <c r="U862" s="5" t="e">
        <f t="shared" si="68"/>
        <v>#N/A</v>
      </c>
      <c r="V862" s="23" t="e">
        <f t="shared" si="69"/>
        <v>#N/A</v>
      </c>
    </row>
    <row r="863" spans="2:22" x14ac:dyDescent="0.25">
      <c r="B863" s="16">
        <v>0</v>
      </c>
      <c r="C863" s="7">
        <v>0</v>
      </c>
      <c r="D863" s="8">
        <v>1</v>
      </c>
      <c r="E863" s="8">
        <v>1</v>
      </c>
      <c r="F863" s="8">
        <v>1</v>
      </c>
      <c r="G863" s="8">
        <v>0</v>
      </c>
      <c r="H863" s="8">
        <v>1</v>
      </c>
      <c r="I863" s="8">
        <v>0</v>
      </c>
      <c r="J863" s="8">
        <v>1</v>
      </c>
      <c r="K863" s="9">
        <v>1</v>
      </c>
      <c r="L863" s="10">
        <v>0</v>
      </c>
      <c r="M863" s="6">
        <v>0</v>
      </c>
      <c r="N863" s="37" t="e" cm="1">
        <f t="array" ref="N863">IF(OR(ISNUMBER(FIND(Aux!$D$3:$D$9,_xlfn.TEXTJOIN(,,C863:K863)))),NA(),IF(AND(SUM(C863:F863,H863:K863)=0,G863=1),0,INT((SUMPRODUCT(C863:F863,COLUMN($A$1:$D$1)-1)+SUMPRODUCT(H863:K863,COLUMN($E$1:$H$1)-1))*'Line Follower'!$C$3/SUM(C863:F863,H863:K863)-'Line Follower'!$C$5)))</f>
        <v>#N/A</v>
      </c>
      <c r="O863" s="22" t="e">
        <v>#N/A</v>
      </c>
      <c r="P863" s="4" t="e">
        <f t="shared" si="65"/>
        <v>#N/A</v>
      </c>
      <c r="Q863" s="4" t="e">
        <f t="shared" si="66"/>
        <v>#N/A</v>
      </c>
      <c r="R863" s="4" t="e">
        <f>IF(AND(B863=1,N863&gt;'Line Follower'!$C$7,SUM(C863:K863)&lt;4),1,0)</f>
        <v>#N/A</v>
      </c>
      <c r="S863" s="4" t="e">
        <f>IF(AND(L863=1,N863&lt;'Line Follower'!$C$6,SUM(C863:K863)&lt;4),1,0)</f>
        <v>#N/A</v>
      </c>
      <c r="T863" s="4" t="e">
        <f t="shared" si="67"/>
        <v>#N/A</v>
      </c>
      <c r="U863" s="5" t="e">
        <f t="shared" si="68"/>
        <v>#N/A</v>
      </c>
      <c r="V863" s="23" t="e">
        <f t="shared" si="69"/>
        <v>#N/A</v>
      </c>
    </row>
    <row r="864" spans="2:22" x14ac:dyDescent="0.25">
      <c r="B864" s="16">
        <v>1</v>
      </c>
      <c r="C864" s="7">
        <v>0</v>
      </c>
      <c r="D864" s="8">
        <v>1</v>
      </c>
      <c r="E864" s="8">
        <v>1</v>
      </c>
      <c r="F864" s="8">
        <v>1</v>
      </c>
      <c r="G864" s="8">
        <v>0</v>
      </c>
      <c r="H864" s="8">
        <v>1</v>
      </c>
      <c r="I864" s="8">
        <v>0</v>
      </c>
      <c r="J864" s="8">
        <v>1</v>
      </c>
      <c r="K864" s="9">
        <v>1</v>
      </c>
      <c r="L864" s="10">
        <v>0</v>
      </c>
      <c r="M864" s="6">
        <v>0</v>
      </c>
      <c r="N864" s="37" t="e" cm="1">
        <f t="array" ref="N864">IF(OR(ISNUMBER(FIND(Aux!$D$3:$D$9,_xlfn.TEXTJOIN(,,C864:K864)))),NA(),IF(AND(SUM(C864:F864,H864:K864)=0,G864=1),0,INT((SUMPRODUCT(C864:F864,COLUMN($A$1:$D$1)-1)+SUMPRODUCT(H864:K864,COLUMN($E$1:$H$1)-1))*'Line Follower'!$C$3/SUM(C864:F864,H864:K864)-'Line Follower'!$C$5)))</f>
        <v>#N/A</v>
      </c>
      <c r="O864" s="22" t="e">
        <v>#N/A</v>
      </c>
      <c r="P864" s="4" t="e">
        <f t="shared" si="65"/>
        <v>#N/A</v>
      </c>
      <c r="Q864" s="4" t="e">
        <f t="shared" si="66"/>
        <v>#N/A</v>
      </c>
      <c r="R864" s="4" t="e">
        <f>IF(AND(B864=1,N864&gt;'Line Follower'!$C$7,SUM(C864:K864)&lt;4),1,0)</f>
        <v>#N/A</v>
      </c>
      <c r="S864" s="4" t="e">
        <f>IF(AND(L864=1,N864&lt;'Line Follower'!$C$6,SUM(C864:K864)&lt;4),1,0)</f>
        <v>#N/A</v>
      </c>
      <c r="T864" s="4" t="e">
        <f t="shared" si="67"/>
        <v>#N/A</v>
      </c>
      <c r="U864" s="5" t="e">
        <f t="shared" si="68"/>
        <v>#N/A</v>
      </c>
      <c r="V864" s="23" t="e">
        <f t="shared" si="69"/>
        <v>#N/A</v>
      </c>
    </row>
    <row r="865" spans="2:22" x14ac:dyDescent="0.25">
      <c r="B865" s="16">
        <v>0</v>
      </c>
      <c r="C865" s="7">
        <v>1</v>
      </c>
      <c r="D865" s="8">
        <v>1</v>
      </c>
      <c r="E865" s="8">
        <v>1</v>
      </c>
      <c r="F865" s="8">
        <v>1</v>
      </c>
      <c r="G865" s="8">
        <v>0</v>
      </c>
      <c r="H865" s="8">
        <v>1</v>
      </c>
      <c r="I865" s="8">
        <v>0</v>
      </c>
      <c r="J865" s="8">
        <v>1</v>
      </c>
      <c r="K865" s="9">
        <v>1</v>
      </c>
      <c r="L865" s="10">
        <v>0</v>
      </c>
      <c r="M865" s="6">
        <v>0</v>
      </c>
      <c r="N865" s="37" t="e" cm="1">
        <f t="array" ref="N865">IF(OR(ISNUMBER(FIND(Aux!$D$3:$D$9,_xlfn.TEXTJOIN(,,C865:K865)))),NA(),IF(AND(SUM(C865:F865,H865:K865)=0,G865=1),0,INT((SUMPRODUCT(C865:F865,COLUMN($A$1:$D$1)-1)+SUMPRODUCT(H865:K865,COLUMN($E$1:$H$1)-1))*'Line Follower'!$C$3/SUM(C865:F865,H865:K865)-'Line Follower'!$C$5)))</f>
        <v>#N/A</v>
      </c>
      <c r="O865" s="22" t="e">
        <v>#N/A</v>
      </c>
      <c r="P865" s="4" t="e">
        <f t="shared" si="65"/>
        <v>#N/A</v>
      </c>
      <c r="Q865" s="4" t="e">
        <f t="shared" si="66"/>
        <v>#N/A</v>
      </c>
      <c r="R865" s="4" t="e">
        <f>IF(AND(B865=1,N865&gt;'Line Follower'!$C$7,SUM(C865:K865)&lt;4),1,0)</f>
        <v>#N/A</v>
      </c>
      <c r="S865" s="4" t="e">
        <f>IF(AND(L865=1,N865&lt;'Line Follower'!$C$6,SUM(C865:K865)&lt;4),1,0)</f>
        <v>#N/A</v>
      </c>
      <c r="T865" s="4" t="e">
        <f t="shared" si="67"/>
        <v>#N/A</v>
      </c>
      <c r="U865" s="5" t="e">
        <f t="shared" si="68"/>
        <v>#N/A</v>
      </c>
      <c r="V865" s="23" t="e">
        <f t="shared" si="69"/>
        <v>#N/A</v>
      </c>
    </row>
    <row r="866" spans="2:22" x14ac:dyDescent="0.25">
      <c r="B866" s="16">
        <v>1</v>
      </c>
      <c r="C866" s="7">
        <v>1</v>
      </c>
      <c r="D866" s="8">
        <v>1</v>
      </c>
      <c r="E866" s="8">
        <v>1</v>
      </c>
      <c r="F866" s="8">
        <v>1</v>
      </c>
      <c r="G866" s="8">
        <v>0</v>
      </c>
      <c r="H866" s="8">
        <v>1</v>
      </c>
      <c r="I866" s="8">
        <v>0</v>
      </c>
      <c r="J866" s="8">
        <v>1</v>
      </c>
      <c r="K866" s="9">
        <v>1</v>
      </c>
      <c r="L866" s="10">
        <v>0</v>
      </c>
      <c r="M866" s="6">
        <v>0</v>
      </c>
      <c r="N866" s="37" t="e" cm="1">
        <f t="array" ref="N866">IF(OR(ISNUMBER(FIND(Aux!$D$3:$D$9,_xlfn.TEXTJOIN(,,C866:K866)))),NA(),IF(AND(SUM(C866:F866,H866:K866)=0,G866=1),0,INT((SUMPRODUCT(C866:F866,COLUMN($A$1:$D$1)-1)+SUMPRODUCT(H866:K866,COLUMN($E$1:$H$1)-1))*'Line Follower'!$C$3/SUM(C866:F866,H866:K866)-'Line Follower'!$C$5)))</f>
        <v>#N/A</v>
      </c>
      <c r="O866" s="22" t="e">
        <v>#N/A</v>
      </c>
      <c r="P866" s="4" t="e">
        <f t="shared" si="65"/>
        <v>#N/A</v>
      </c>
      <c r="Q866" s="4" t="e">
        <f t="shared" si="66"/>
        <v>#N/A</v>
      </c>
      <c r="R866" s="4" t="e">
        <f>IF(AND(B866=1,N866&gt;'Line Follower'!$C$7,SUM(C866:K866)&lt;4),1,0)</f>
        <v>#N/A</v>
      </c>
      <c r="S866" s="4" t="e">
        <f>IF(AND(L866=1,N866&lt;'Line Follower'!$C$6,SUM(C866:K866)&lt;4),1,0)</f>
        <v>#N/A</v>
      </c>
      <c r="T866" s="4" t="e">
        <f t="shared" si="67"/>
        <v>#N/A</v>
      </c>
      <c r="U866" s="5" t="e">
        <f t="shared" si="68"/>
        <v>#N/A</v>
      </c>
      <c r="V866" s="23" t="e">
        <f t="shared" si="69"/>
        <v>#N/A</v>
      </c>
    </row>
    <row r="867" spans="2:22" x14ac:dyDescent="0.25">
      <c r="B867" s="16">
        <v>0</v>
      </c>
      <c r="C867" s="7">
        <v>0</v>
      </c>
      <c r="D867" s="8">
        <v>0</v>
      </c>
      <c r="E867" s="8">
        <v>0</v>
      </c>
      <c r="F867" s="8">
        <v>0</v>
      </c>
      <c r="G867" s="8">
        <v>1</v>
      </c>
      <c r="H867" s="8">
        <v>1</v>
      </c>
      <c r="I867" s="8">
        <v>0</v>
      </c>
      <c r="J867" s="8">
        <v>1</v>
      </c>
      <c r="K867" s="9">
        <v>1</v>
      </c>
      <c r="L867" s="10">
        <v>0</v>
      </c>
      <c r="M867" s="6">
        <v>0</v>
      </c>
      <c r="N867" s="37" t="e" cm="1">
        <f t="array" ref="N867">IF(OR(ISNUMBER(FIND(Aux!$D$3:$D$9,_xlfn.TEXTJOIN(,,C867:K867)))),NA(),IF(AND(SUM(C867:F867,H867:K867)=0,G867=1),0,INT((SUMPRODUCT(C867:F867,COLUMN($A$1:$D$1)-1)+SUMPRODUCT(H867:K867,COLUMN($E$1:$H$1)-1))*'Line Follower'!$C$3/SUM(C867:F867,H867:K867)-'Line Follower'!$C$5)))</f>
        <v>#N/A</v>
      </c>
      <c r="O867" s="22" t="e">
        <v>#N/A</v>
      </c>
      <c r="P867" s="4" t="e">
        <f t="shared" si="65"/>
        <v>#N/A</v>
      </c>
      <c r="Q867" s="4" t="e">
        <f t="shared" si="66"/>
        <v>#N/A</v>
      </c>
      <c r="R867" s="4" t="e">
        <f>IF(AND(B867=1,N867&gt;'Line Follower'!$C$7,SUM(C867:K867)&lt;4),1,0)</f>
        <v>#N/A</v>
      </c>
      <c r="S867" s="4" t="e">
        <f>IF(AND(L867=1,N867&lt;'Line Follower'!$C$6,SUM(C867:K867)&lt;4),1,0)</f>
        <v>#N/A</v>
      </c>
      <c r="T867" s="4" t="e">
        <f t="shared" si="67"/>
        <v>#N/A</v>
      </c>
      <c r="U867" s="5" t="e">
        <f t="shared" si="68"/>
        <v>#N/A</v>
      </c>
      <c r="V867" s="23" t="e">
        <f t="shared" si="69"/>
        <v>#N/A</v>
      </c>
    </row>
    <row r="868" spans="2:22" x14ac:dyDescent="0.25">
      <c r="B868" s="16">
        <v>1</v>
      </c>
      <c r="C868" s="7">
        <v>0</v>
      </c>
      <c r="D868" s="8">
        <v>0</v>
      </c>
      <c r="E868" s="8">
        <v>0</v>
      </c>
      <c r="F868" s="8">
        <v>0</v>
      </c>
      <c r="G868" s="8">
        <v>1</v>
      </c>
      <c r="H868" s="8">
        <v>1</v>
      </c>
      <c r="I868" s="8">
        <v>0</v>
      </c>
      <c r="J868" s="8">
        <v>1</v>
      </c>
      <c r="K868" s="9">
        <v>1</v>
      </c>
      <c r="L868" s="10">
        <v>0</v>
      </c>
      <c r="M868" s="6">
        <v>0</v>
      </c>
      <c r="N868" s="37" t="e" cm="1">
        <f t="array" ref="N868">IF(OR(ISNUMBER(FIND(Aux!$D$3:$D$9,_xlfn.TEXTJOIN(,,C868:K868)))),NA(),IF(AND(SUM(C868:F868,H868:K868)=0,G868=1),0,INT((SUMPRODUCT(C868:F868,COLUMN($A$1:$D$1)-1)+SUMPRODUCT(H868:K868,COLUMN($E$1:$H$1)-1))*'Line Follower'!$C$3/SUM(C868:F868,H868:K868)-'Line Follower'!$C$5)))</f>
        <v>#N/A</v>
      </c>
      <c r="O868" s="22" t="e">
        <v>#N/A</v>
      </c>
      <c r="P868" s="4" t="e">
        <f t="shared" si="65"/>
        <v>#N/A</v>
      </c>
      <c r="Q868" s="4" t="e">
        <f t="shared" si="66"/>
        <v>#N/A</v>
      </c>
      <c r="R868" s="4" t="e">
        <f>IF(AND(B868=1,N868&gt;'Line Follower'!$C$7,SUM(C868:K868)&lt;4),1,0)</f>
        <v>#N/A</v>
      </c>
      <c r="S868" s="4" t="e">
        <f>IF(AND(L868=1,N868&lt;'Line Follower'!$C$6,SUM(C868:K868)&lt;4),1,0)</f>
        <v>#N/A</v>
      </c>
      <c r="T868" s="4" t="e">
        <f t="shared" si="67"/>
        <v>#N/A</v>
      </c>
      <c r="U868" s="5" t="e">
        <f t="shared" si="68"/>
        <v>#N/A</v>
      </c>
      <c r="V868" s="23" t="e">
        <f t="shared" si="69"/>
        <v>#N/A</v>
      </c>
    </row>
    <row r="869" spans="2:22" x14ac:dyDescent="0.25">
      <c r="B869" s="16">
        <v>0</v>
      </c>
      <c r="C869" s="7">
        <v>1</v>
      </c>
      <c r="D869" s="8">
        <v>0</v>
      </c>
      <c r="E869" s="8">
        <v>0</v>
      </c>
      <c r="F869" s="8">
        <v>0</v>
      </c>
      <c r="G869" s="8">
        <v>1</v>
      </c>
      <c r="H869" s="8">
        <v>1</v>
      </c>
      <c r="I869" s="8">
        <v>0</v>
      </c>
      <c r="J869" s="8">
        <v>1</v>
      </c>
      <c r="K869" s="9">
        <v>1</v>
      </c>
      <c r="L869" s="10">
        <v>0</v>
      </c>
      <c r="M869" s="6">
        <v>0</v>
      </c>
      <c r="N869" s="37" t="e" cm="1">
        <f t="array" ref="N869">IF(OR(ISNUMBER(FIND(Aux!$D$3:$D$9,_xlfn.TEXTJOIN(,,C869:K869)))),NA(),IF(AND(SUM(C869:F869,H869:K869)=0,G869=1),0,INT((SUMPRODUCT(C869:F869,COLUMN($A$1:$D$1)-1)+SUMPRODUCT(H869:K869,COLUMN($E$1:$H$1)-1))*'Line Follower'!$C$3/SUM(C869:F869,H869:K869)-'Line Follower'!$C$5)))</f>
        <v>#N/A</v>
      </c>
      <c r="O869" s="22" t="e">
        <v>#N/A</v>
      </c>
      <c r="P869" s="4" t="e">
        <f t="shared" si="65"/>
        <v>#N/A</v>
      </c>
      <c r="Q869" s="4" t="e">
        <f t="shared" si="66"/>
        <v>#N/A</v>
      </c>
      <c r="R869" s="4" t="e">
        <f>IF(AND(B869=1,N869&gt;'Line Follower'!$C$7,SUM(C869:K869)&lt;4),1,0)</f>
        <v>#N/A</v>
      </c>
      <c r="S869" s="4" t="e">
        <f>IF(AND(L869=1,N869&lt;'Line Follower'!$C$6,SUM(C869:K869)&lt;4),1,0)</f>
        <v>#N/A</v>
      </c>
      <c r="T869" s="4" t="e">
        <f t="shared" si="67"/>
        <v>#N/A</v>
      </c>
      <c r="U869" s="5" t="e">
        <f t="shared" si="68"/>
        <v>#N/A</v>
      </c>
      <c r="V869" s="23" t="e">
        <f t="shared" si="69"/>
        <v>#N/A</v>
      </c>
    </row>
    <row r="870" spans="2:22" x14ac:dyDescent="0.25">
      <c r="B870" s="16">
        <v>1</v>
      </c>
      <c r="C870" s="7">
        <v>1</v>
      </c>
      <c r="D870" s="8">
        <v>0</v>
      </c>
      <c r="E870" s="8">
        <v>0</v>
      </c>
      <c r="F870" s="8">
        <v>0</v>
      </c>
      <c r="G870" s="8">
        <v>1</v>
      </c>
      <c r="H870" s="8">
        <v>1</v>
      </c>
      <c r="I870" s="8">
        <v>0</v>
      </c>
      <c r="J870" s="8">
        <v>1</v>
      </c>
      <c r="K870" s="9">
        <v>1</v>
      </c>
      <c r="L870" s="10">
        <v>0</v>
      </c>
      <c r="M870" s="6">
        <v>0</v>
      </c>
      <c r="N870" s="37" t="e" cm="1">
        <f t="array" ref="N870">IF(OR(ISNUMBER(FIND(Aux!$D$3:$D$9,_xlfn.TEXTJOIN(,,C870:K870)))),NA(),IF(AND(SUM(C870:F870,H870:K870)=0,G870=1),0,INT((SUMPRODUCT(C870:F870,COLUMN($A$1:$D$1)-1)+SUMPRODUCT(H870:K870,COLUMN($E$1:$H$1)-1))*'Line Follower'!$C$3/SUM(C870:F870,H870:K870)-'Line Follower'!$C$5)))</f>
        <v>#N/A</v>
      </c>
      <c r="O870" s="22" t="e">
        <v>#N/A</v>
      </c>
      <c r="P870" s="4" t="e">
        <f t="shared" si="65"/>
        <v>#N/A</v>
      </c>
      <c r="Q870" s="4" t="e">
        <f t="shared" si="66"/>
        <v>#N/A</v>
      </c>
      <c r="R870" s="4" t="e">
        <f>IF(AND(B870=1,N870&gt;'Line Follower'!$C$7,SUM(C870:K870)&lt;4),1,0)</f>
        <v>#N/A</v>
      </c>
      <c r="S870" s="4" t="e">
        <f>IF(AND(L870=1,N870&lt;'Line Follower'!$C$6,SUM(C870:K870)&lt;4),1,0)</f>
        <v>#N/A</v>
      </c>
      <c r="T870" s="4" t="e">
        <f t="shared" si="67"/>
        <v>#N/A</v>
      </c>
      <c r="U870" s="5" t="e">
        <f t="shared" si="68"/>
        <v>#N/A</v>
      </c>
      <c r="V870" s="23" t="e">
        <f t="shared" si="69"/>
        <v>#N/A</v>
      </c>
    </row>
    <row r="871" spans="2:22" x14ac:dyDescent="0.25">
      <c r="B871" s="16">
        <v>0</v>
      </c>
      <c r="C871" s="7">
        <v>0</v>
      </c>
      <c r="D871" s="8">
        <v>1</v>
      </c>
      <c r="E871" s="8">
        <v>0</v>
      </c>
      <c r="F871" s="8">
        <v>0</v>
      </c>
      <c r="G871" s="8">
        <v>1</v>
      </c>
      <c r="H871" s="8">
        <v>1</v>
      </c>
      <c r="I871" s="8">
        <v>0</v>
      </c>
      <c r="J871" s="8">
        <v>1</v>
      </c>
      <c r="K871" s="9">
        <v>1</v>
      </c>
      <c r="L871" s="10">
        <v>0</v>
      </c>
      <c r="M871" s="6">
        <v>0</v>
      </c>
      <c r="N871" s="37" t="e" cm="1">
        <f t="array" ref="N871">IF(OR(ISNUMBER(FIND(Aux!$D$3:$D$9,_xlfn.TEXTJOIN(,,C871:K871)))),NA(),IF(AND(SUM(C871:F871,H871:K871)=0,G871=1),0,INT((SUMPRODUCT(C871:F871,COLUMN($A$1:$D$1)-1)+SUMPRODUCT(H871:K871,COLUMN($E$1:$H$1)-1))*'Line Follower'!$C$3/SUM(C871:F871,H871:K871)-'Line Follower'!$C$5)))</f>
        <v>#N/A</v>
      </c>
      <c r="O871" s="22" t="e">
        <v>#N/A</v>
      </c>
      <c r="P871" s="4" t="e">
        <f t="shared" si="65"/>
        <v>#N/A</v>
      </c>
      <c r="Q871" s="4" t="e">
        <f t="shared" si="66"/>
        <v>#N/A</v>
      </c>
      <c r="R871" s="4" t="e">
        <f>IF(AND(B871=1,N871&gt;'Line Follower'!$C$7,SUM(C871:K871)&lt;4),1,0)</f>
        <v>#N/A</v>
      </c>
      <c r="S871" s="4" t="e">
        <f>IF(AND(L871=1,N871&lt;'Line Follower'!$C$6,SUM(C871:K871)&lt;4),1,0)</f>
        <v>#N/A</v>
      </c>
      <c r="T871" s="4" t="e">
        <f t="shared" si="67"/>
        <v>#N/A</v>
      </c>
      <c r="U871" s="5" t="e">
        <f t="shared" si="68"/>
        <v>#N/A</v>
      </c>
      <c r="V871" s="23" t="e">
        <f t="shared" si="69"/>
        <v>#N/A</v>
      </c>
    </row>
    <row r="872" spans="2:22" x14ac:dyDescent="0.25">
      <c r="B872" s="16">
        <v>1</v>
      </c>
      <c r="C872" s="7">
        <v>0</v>
      </c>
      <c r="D872" s="8">
        <v>1</v>
      </c>
      <c r="E872" s="8">
        <v>0</v>
      </c>
      <c r="F872" s="8">
        <v>0</v>
      </c>
      <c r="G872" s="8">
        <v>1</v>
      </c>
      <c r="H872" s="8">
        <v>1</v>
      </c>
      <c r="I872" s="8">
        <v>0</v>
      </c>
      <c r="J872" s="8">
        <v>1</v>
      </c>
      <c r="K872" s="9">
        <v>1</v>
      </c>
      <c r="L872" s="10">
        <v>0</v>
      </c>
      <c r="M872" s="6">
        <v>0</v>
      </c>
      <c r="N872" s="37" t="e" cm="1">
        <f t="array" ref="N872">IF(OR(ISNUMBER(FIND(Aux!$D$3:$D$9,_xlfn.TEXTJOIN(,,C872:K872)))),NA(),IF(AND(SUM(C872:F872,H872:K872)=0,G872=1),0,INT((SUMPRODUCT(C872:F872,COLUMN($A$1:$D$1)-1)+SUMPRODUCT(H872:K872,COLUMN($E$1:$H$1)-1))*'Line Follower'!$C$3/SUM(C872:F872,H872:K872)-'Line Follower'!$C$5)))</f>
        <v>#N/A</v>
      </c>
      <c r="O872" s="22" t="e">
        <v>#N/A</v>
      </c>
      <c r="P872" s="4" t="e">
        <f t="shared" si="65"/>
        <v>#N/A</v>
      </c>
      <c r="Q872" s="4" t="e">
        <f t="shared" si="66"/>
        <v>#N/A</v>
      </c>
      <c r="R872" s="4" t="e">
        <f>IF(AND(B872=1,N872&gt;'Line Follower'!$C$7,SUM(C872:K872)&lt;4),1,0)</f>
        <v>#N/A</v>
      </c>
      <c r="S872" s="4" t="e">
        <f>IF(AND(L872=1,N872&lt;'Line Follower'!$C$6,SUM(C872:K872)&lt;4),1,0)</f>
        <v>#N/A</v>
      </c>
      <c r="T872" s="4" t="e">
        <f t="shared" si="67"/>
        <v>#N/A</v>
      </c>
      <c r="U872" s="5" t="e">
        <f t="shared" si="68"/>
        <v>#N/A</v>
      </c>
      <c r="V872" s="23" t="e">
        <f t="shared" si="69"/>
        <v>#N/A</v>
      </c>
    </row>
    <row r="873" spans="2:22" x14ac:dyDescent="0.25">
      <c r="B873" s="16">
        <v>0</v>
      </c>
      <c r="C873" s="7">
        <v>1</v>
      </c>
      <c r="D873" s="8">
        <v>1</v>
      </c>
      <c r="E873" s="8">
        <v>0</v>
      </c>
      <c r="F873" s="8">
        <v>0</v>
      </c>
      <c r="G873" s="8">
        <v>1</v>
      </c>
      <c r="H873" s="8">
        <v>1</v>
      </c>
      <c r="I873" s="8">
        <v>0</v>
      </c>
      <c r="J873" s="8">
        <v>1</v>
      </c>
      <c r="K873" s="9">
        <v>1</v>
      </c>
      <c r="L873" s="10">
        <v>0</v>
      </c>
      <c r="M873" s="6">
        <v>0</v>
      </c>
      <c r="N873" s="37" t="e" cm="1">
        <f t="array" ref="N873">IF(OR(ISNUMBER(FIND(Aux!$D$3:$D$9,_xlfn.TEXTJOIN(,,C873:K873)))),NA(),IF(AND(SUM(C873:F873,H873:K873)=0,G873=1),0,INT((SUMPRODUCT(C873:F873,COLUMN($A$1:$D$1)-1)+SUMPRODUCT(H873:K873,COLUMN($E$1:$H$1)-1))*'Line Follower'!$C$3/SUM(C873:F873,H873:K873)-'Line Follower'!$C$5)))</f>
        <v>#N/A</v>
      </c>
      <c r="O873" s="22" t="e">
        <v>#N/A</v>
      </c>
      <c r="P873" s="4" t="e">
        <f t="shared" si="65"/>
        <v>#N/A</v>
      </c>
      <c r="Q873" s="4" t="e">
        <f t="shared" si="66"/>
        <v>#N/A</v>
      </c>
      <c r="R873" s="4" t="e">
        <f>IF(AND(B873=1,N873&gt;'Line Follower'!$C$7,SUM(C873:K873)&lt;4),1,0)</f>
        <v>#N/A</v>
      </c>
      <c r="S873" s="4" t="e">
        <f>IF(AND(L873=1,N873&lt;'Line Follower'!$C$6,SUM(C873:K873)&lt;4),1,0)</f>
        <v>#N/A</v>
      </c>
      <c r="T873" s="4" t="e">
        <f t="shared" si="67"/>
        <v>#N/A</v>
      </c>
      <c r="U873" s="5" t="e">
        <f t="shared" si="68"/>
        <v>#N/A</v>
      </c>
      <c r="V873" s="23" t="e">
        <f t="shared" si="69"/>
        <v>#N/A</v>
      </c>
    </row>
    <row r="874" spans="2:22" x14ac:dyDescent="0.25">
      <c r="B874" s="16">
        <v>1</v>
      </c>
      <c r="C874" s="7">
        <v>1</v>
      </c>
      <c r="D874" s="8">
        <v>1</v>
      </c>
      <c r="E874" s="8">
        <v>0</v>
      </c>
      <c r="F874" s="8">
        <v>0</v>
      </c>
      <c r="G874" s="8">
        <v>1</v>
      </c>
      <c r="H874" s="8">
        <v>1</v>
      </c>
      <c r="I874" s="8">
        <v>0</v>
      </c>
      <c r="J874" s="8">
        <v>1</v>
      </c>
      <c r="K874" s="9">
        <v>1</v>
      </c>
      <c r="L874" s="10">
        <v>0</v>
      </c>
      <c r="M874" s="6">
        <v>0</v>
      </c>
      <c r="N874" s="37" t="e" cm="1">
        <f t="array" ref="N874">IF(OR(ISNUMBER(FIND(Aux!$D$3:$D$9,_xlfn.TEXTJOIN(,,C874:K874)))),NA(),IF(AND(SUM(C874:F874,H874:K874)=0,G874=1),0,INT((SUMPRODUCT(C874:F874,COLUMN($A$1:$D$1)-1)+SUMPRODUCT(H874:K874,COLUMN($E$1:$H$1)-1))*'Line Follower'!$C$3/SUM(C874:F874,H874:K874)-'Line Follower'!$C$5)))</f>
        <v>#N/A</v>
      </c>
      <c r="O874" s="22" t="e">
        <v>#N/A</v>
      </c>
      <c r="P874" s="4" t="e">
        <f t="shared" si="65"/>
        <v>#N/A</v>
      </c>
      <c r="Q874" s="4" t="e">
        <f t="shared" si="66"/>
        <v>#N/A</v>
      </c>
      <c r="R874" s="4" t="e">
        <f>IF(AND(B874=1,N874&gt;'Line Follower'!$C$7,SUM(C874:K874)&lt;4),1,0)</f>
        <v>#N/A</v>
      </c>
      <c r="S874" s="4" t="e">
        <f>IF(AND(L874=1,N874&lt;'Line Follower'!$C$6,SUM(C874:K874)&lt;4),1,0)</f>
        <v>#N/A</v>
      </c>
      <c r="T874" s="4" t="e">
        <f t="shared" si="67"/>
        <v>#N/A</v>
      </c>
      <c r="U874" s="5" t="e">
        <f t="shared" si="68"/>
        <v>#N/A</v>
      </c>
      <c r="V874" s="23" t="e">
        <f t="shared" si="69"/>
        <v>#N/A</v>
      </c>
    </row>
    <row r="875" spans="2:22" x14ac:dyDescent="0.25">
      <c r="B875" s="16">
        <v>0</v>
      </c>
      <c r="C875" s="7">
        <v>0</v>
      </c>
      <c r="D875" s="8">
        <v>0</v>
      </c>
      <c r="E875" s="8">
        <v>1</v>
      </c>
      <c r="F875" s="8">
        <v>0</v>
      </c>
      <c r="G875" s="8">
        <v>1</v>
      </c>
      <c r="H875" s="8">
        <v>1</v>
      </c>
      <c r="I875" s="8">
        <v>0</v>
      </c>
      <c r="J875" s="8">
        <v>1</v>
      </c>
      <c r="K875" s="9">
        <v>1</v>
      </c>
      <c r="L875" s="10">
        <v>0</v>
      </c>
      <c r="M875" s="6">
        <v>0</v>
      </c>
      <c r="N875" s="37" t="e" cm="1">
        <f t="array" ref="N875">IF(OR(ISNUMBER(FIND(Aux!$D$3:$D$9,_xlfn.TEXTJOIN(,,C875:K875)))),NA(),IF(AND(SUM(C875:F875,H875:K875)=0,G875=1),0,INT((SUMPRODUCT(C875:F875,COLUMN($A$1:$D$1)-1)+SUMPRODUCT(H875:K875,COLUMN($E$1:$H$1)-1))*'Line Follower'!$C$3/SUM(C875:F875,H875:K875)-'Line Follower'!$C$5)))</f>
        <v>#N/A</v>
      </c>
      <c r="O875" s="22" t="e">
        <v>#N/A</v>
      </c>
      <c r="P875" s="4" t="e">
        <f t="shared" si="65"/>
        <v>#N/A</v>
      </c>
      <c r="Q875" s="4" t="e">
        <f t="shared" si="66"/>
        <v>#N/A</v>
      </c>
      <c r="R875" s="4" t="e">
        <f>IF(AND(B875=1,N875&gt;'Line Follower'!$C$7,SUM(C875:K875)&lt;4),1,0)</f>
        <v>#N/A</v>
      </c>
      <c r="S875" s="4" t="e">
        <f>IF(AND(L875=1,N875&lt;'Line Follower'!$C$6,SUM(C875:K875)&lt;4),1,0)</f>
        <v>#N/A</v>
      </c>
      <c r="T875" s="4" t="e">
        <f t="shared" si="67"/>
        <v>#N/A</v>
      </c>
      <c r="U875" s="5" t="e">
        <f t="shared" si="68"/>
        <v>#N/A</v>
      </c>
      <c r="V875" s="23" t="e">
        <f t="shared" si="69"/>
        <v>#N/A</v>
      </c>
    </row>
    <row r="876" spans="2:22" x14ac:dyDescent="0.25">
      <c r="B876" s="16">
        <v>1</v>
      </c>
      <c r="C876" s="7">
        <v>0</v>
      </c>
      <c r="D876" s="8">
        <v>0</v>
      </c>
      <c r="E876" s="8">
        <v>1</v>
      </c>
      <c r="F876" s="8">
        <v>0</v>
      </c>
      <c r="G876" s="8">
        <v>1</v>
      </c>
      <c r="H876" s="8">
        <v>1</v>
      </c>
      <c r="I876" s="8">
        <v>0</v>
      </c>
      <c r="J876" s="8">
        <v>1</v>
      </c>
      <c r="K876" s="9">
        <v>1</v>
      </c>
      <c r="L876" s="10">
        <v>0</v>
      </c>
      <c r="M876" s="6">
        <v>0</v>
      </c>
      <c r="N876" s="37" t="e" cm="1">
        <f t="array" ref="N876">IF(OR(ISNUMBER(FIND(Aux!$D$3:$D$9,_xlfn.TEXTJOIN(,,C876:K876)))),NA(),IF(AND(SUM(C876:F876,H876:K876)=0,G876=1),0,INT((SUMPRODUCT(C876:F876,COLUMN($A$1:$D$1)-1)+SUMPRODUCT(H876:K876,COLUMN($E$1:$H$1)-1))*'Line Follower'!$C$3/SUM(C876:F876,H876:K876)-'Line Follower'!$C$5)))</f>
        <v>#N/A</v>
      </c>
      <c r="O876" s="22" t="e">
        <v>#N/A</v>
      </c>
      <c r="P876" s="4" t="e">
        <f t="shared" si="65"/>
        <v>#N/A</v>
      </c>
      <c r="Q876" s="4" t="e">
        <f t="shared" si="66"/>
        <v>#N/A</v>
      </c>
      <c r="R876" s="4" t="e">
        <f>IF(AND(B876=1,N876&gt;'Line Follower'!$C$7,SUM(C876:K876)&lt;4),1,0)</f>
        <v>#N/A</v>
      </c>
      <c r="S876" s="4" t="e">
        <f>IF(AND(L876=1,N876&lt;'Line Follower'!$C$6,SUM(C876:K876)&lt;4),1,0)</f>
        <v>#N/A</v>
      </c>
      <c r="T876" s="4" t="e">
        <f t="shared" si="67"/>
        <v>#N/A</v>
      </c>
      <c r="U876" s="5" t="e">
        <f t="shared" si="68"/>
        <v>#N/A</v>
      </c>
      <c r="V876" s="23" t="e">
        <f t="shared" si="69"/>
        <v>#N/A</v>
      </c>
    </row>
    <row r="877" spans="2:22" x14ac:dyDescent="0.25">
      <c r="B877" s="16">
        <v>0</v>
      </c>
      <c r="C877" s="7">
        <v>1</v>
      </c>
      <c r="D877" s="8">
        <v>0</v>
      </c>
      <c r="E877" s="8">
        <v>1</v>
      </c>
      <c r="F877" s="8">
        <v>0</v>
      </c>
      <c r="G877" s="8">
        <v>1</v>
      </c>
      <c r="H877" s="8">
        <v>1</v>
      </c>
      <c r="I877" s="8">
        <v>0</v>
      </c>
      <c r="J877" s="8">
        <v>1</v>
      </c>
      <c r="K877" s="9">
        <v>1</v>
      </c>
      <c r="L877" s="10">
        <v>0</v>
      </c>
      <c r="M877" s="6">
        <v>0</v>
      </c>
      <c r="N877" s="37" t="e" cm="1">
        <f t="array" ref="N877">IF(OR(ISNUMBER(FIND(Aux!$D$3:$D$9,_xlfn.TEXTJOIN(,,C877:K877)))),NA(),IF(AND(SUM(C877:F877,H877:K877)=0,G877=1),0,INT((SUMPRODUCT(C877:F877,COLUMN($A$1:$D$1)-1)+SUMPRODUCT(H877:K877,COLUMN($E$1:$H$1)-1))*'Line Follower'!$C$3/SUM(C877:F877,H877:K877)-'Line Follower'!$C$5)))</f>
        <v>#N/A</v>
      </c>
      <c r="O877" s="22" t="e">
        <v>#N/A</v>
      </c>
      <c r="P877" s="4" t="e">
        <f t="shared" si="65"/>
        <v>#N/A</v>
      </c>
      <c r="Q877" s="4" t="e">
        <f t="shared" si="66"/>
        <v>#N/A</v>
      </c>
      <c r="R877" s="4" t="e">
        <f>IF(AND(B877=1,N877&gt;'Line Follower'!$C$7,SUM(C877:K877)&lt;4),1,0)</f>
        <v>#N/A</v>
      </c>
      <c r="S877" s="4" t="e">
        <f>IF(AND(L877=1,N877&lt;'Line Follower'!$C$6,SUM(C877:K877)&lt;4),1,0)</f>
        <v>#N/A</v>
      </c>
      <c r="T877" s="4" t="e">
        <f t="shared" si="67"/>
        <v>#N/A</v>
      </c>
      <c r="U877" s="5" t="e">
        <f t="shared" si="68"/>
        <v>#N/A</v>
      </c>
      <c r="V877" s="23" t="e">
        <f t="shared" si="69"/>
        <v>#N/A</v>
      </c>
    </row>
    <row r="878" spans="2:22" x14ac:dyDescent="0.25">
      <c r="B878" s="16">
        <v>1</v>
      </c>
      <c r="C878" s="7">
        <v>1</v>
      </c>
      <c r="D878" s="8">
        <v>0</v>
      </c>
      <c r="E878" s="8">
        <v>1</v>
      </c>
      <c r="F878" s="8">
        <v>0</v>
      </c>
      <c r="G878" s="8">
        <v>1</v>
      </c>
      <c r="H878" s="8">
        <v>1</v>
      </c>
      <c r="I878" s="8">
        <v>0</v>
      </c>
      <c r="J878" s="8">
        <v>1</v>
      </c>
      <c r="K878" s="9">
        <v>1</v>
      </c>
      <c r="L878" s="10">
        <v>0</v>
      </c>
      <c r="M878" s="6">
        <v>0</v>
      </c>
      <c r="N878" s="37" t="e" cm="1">
        <f t="array" ref="N878">IF(OR(ISNUMBER(FIND(Aux!$D$3:$D$9,_xlfn.TEXTJOIN(,,C878:K878)))),NA(),IF(AND(SUM(C878:F878,H878:K878)=0,G878=1),0,INT((SUMPRODUCT(C878:F878,COLUMN($A$1:$D$1)-1)+SUMPRODUCT(H878:K878,COLUMN($E$1:$H$1)-1))*'Line Follower'!$C$3/SUM(C878:F878,H878:K878)-'Line Follower'!$C$5)))</f>
        <v>#N/A</v>
      </c>
      <c r="O878" s="22" t="e">
        <v>#N/A</v>
      </c>
      <c r="P878" s="4" t="e">
        <f t="shared" si="65"/>
        <v>#N/A</v>
      </c>
      <c r="Q878" s="4" t="e">
        <f t="shared" si="66"/>
        <v>#N/A</v>
      </c>
      <c r="R878" s="4" t="e">
        <f>IF(AND(B878=1,N878&gt;'Line Follower'!$C$7,SUM(C878:K878)&lt;4),1,0)</f>
        <v>#N/A</v>
      </c>
      <c r="S878" s="4" t="e">
        <f>IF(AND(L878=1,N878&lt;'Line Follower'!$C$6,SUM(C878:K878)&lt;4),1,0)</f>
        <v>#N/A</v>
      </c>
      <c r="T878" s="4" t="e">
        <f t="shared" si="67"/>
        <v>#N/A</v>
      </c>
      <c r="U878" s="5" t="e">
        <f t="shared" si="68"/>
        <v>#N/A</v>
      </c>
      <c r="V878" s="23" t="e">
        <f t="shared" si="69"/>
        <v>#N/A</v>
      </c>
    </row>
    <row r="879" spans="2:22" x14ac:dyDescent="0.25">
      <c r="B879" s="16">
        <v>0</v>
      </c>
      <c r="C879" s="7">
        <v>0</v>
      </c>
      <c r="D879" s="8">
        <v>1</v>
      </c>
      <c r="E879" s="8">
        <v>1</v>
      </c>
      <c r="F879" s="8">
        <v>0</v>
      </c>
      <c r="G879" s="8">
        <v>1</v>
      </c>
      <c r="H879" s="8">
        <v>1</v>
      </c>
      <c r="I879" s="8">
        <v>0</v>
      </c>
      <c r="J879" s="8">
        <v>1</v>
      </c>
      <c r="K879" s="9">
        <v>1</v>
      </c>
      <c r="L879" s="10">
        <v>0</v>
      </c>
      <c r="M879" s="6">
        <v>0</v>
      </c>
      <c r="N879" s="37" t="e" cm="1">
        <f t="array" ref="N879">IF(OR(ISNUMBER(FIND(Aux!$D$3:$D$9,_xlfn.TEXTJOIN(,,C879:K879)))),NA(),IF(AND(SUM(C879:F879,H879:K879)=0,G879=1),0,INT((SUMPRODUCT(C879:F879,COLUMN($A$1:$D$1)-1)+SUMPRODUCT(H879:K879,COLUMN($E$1:$H$1)-1))*'Line Follower'!$C$3/SUM(C879:F879,H879:K879)-'Line Follower'!$C$5)))</f>
        <v>#N/A</v>
      </c>
      <c r="O879" s="22" t="e">
        <v>#N/A</v>
      </c>
      <c r="P879" s="4" t="e">
        <f t="shared" si="65"/>
        <v>#N/A</v>
      </c>
      <c r="Q879" s="4" t="e">
        <f t="shared" si="66"/>
        <v>#N/A</v>
      </c>
      <c r="R879" s="4" t="e">
        <f>IF(AND(B879=1,N879&gt;'Line Follower'!$C$7,SUM(C879:K879)&lt;4),1,0)</f>
        <v>#N/A</v>
      </c>
      <c r="S879" s="4" t="e">
        <f>IF(AND(L879=1,N879&lt;'Line Follower'!$C$6,SUM(C879:K879)&lt;4),1,0)</f>
        <v>#N/A</v>
      </c>
      <c r="T879" s="4" t="e">
        <f t="shared" si="67"/>
        <v>#N/A</v>
      </c>
      <c r="U879" s="5" t="e">
        <f t="shared" si="68"/>
        <v>#N/A</v>
      </c>
      <c r="V879" s="23" t="e">
        <f t="shared" si="69"/>
        <v>#N/A</v>
      </c>
    </row>
    <row r="880" spans="2:22" x14ac:dyDescent="0.25">
      <c r="B880" s="16">
        <v>1</v>
      </c>
      <c r="C880" s="7">
        <v>0</v>
      </c>
      <c r="D880" s="8">
        <v>1</v>
      </c>
      <c r="E880" s="8">
        <v>1</v>
      </c>
      <c r="F880" s="8">
        <v>0</v>
      </c>
      <c r="G880" s="8">
        <v>1</v>
      </c>
      <c r="H880" s="8">
        <v>1</v>
      </c>
      <c r="I880" s="8">
        <v>0</v>
      </c>
      <c r="J880" s="8">
        <v>1</v>
      </c>
      <c r="K880" s="9">
        <v>1</v>
      </c>
      <c r="L880" s="10">
        <v>0</v>
      </c>
      <c r="M880" s="6">
        <v>0</v>
      </c>
      <c r="N880" s="37" t="e" cm="1">
        <f t="array" ref="N880">IF(OR(ISNUMBER(FIND(Aux!$D$3:$D$9,_xlfn.TEXTJOIN(,,C880:K880)))),NA(),IF(AND(SUM(C880:F880,H880:K880)=0,G880=1),0,INT((SUMPRODUCT(C880:F880,COLUMN($A$1:$D$1)-1)+SUMPRODUCT(H880:K880,COLUMN($E$1:$H$1)-1))*'Line Follower'!$C$3/SUM(C880:F880,H880:K880)-'Line Follower'!$C$5)))</f>
        <v>#N/A</v>
      </c>
      <c r="O880" s="22" t="e">
        <v>#N/A</v>
      </c>
      <c r="P880" s="4" t="e">
        <f t="shared" si="65"/>
        <v>#N/A</v>
      </c>
      <c r="Q880" s="4" t="e">
        <f t="shared" si="66"/>
        <v>#N/A</v>
      </c>
      <c r="R880" s="4" t="e">
        <f>IF(AND(B880=1,N880&gt;'Line Follower'!$C$7,SUM(C880:K880)&lt;4),1,0)</f>
        <v>#N/A</v>
      </c>
      <c r="S880" s="4" t="e">
        <f>IF(AND(L880=1,N880&lt;'Line Follower'!$C$6,SUM(C880:K880)&lt;4),1,0)</f>
        <v>#N/A</v>
      </c>
      <c r="T880" s="4" t="e">
        <f t="shared" si="67"/>
        <v>#N/A</v>
      </c>
      <c r="U880" s="5" t="e">
        <f t="shared" si="68"/>
        <v>#N/A</v>
      </c>
      <c r="V880" s="23" t="e">
        <f t="shared" si="69"/>
        <v>#N/A</v>
      </c>
    </row>
    <row r="881" spans="2:22" x14ac:dyDescent="0.25">
      <c r="B881" s="16">
        <v>0</v>
      </c>
      <c r="C881" s="7">
        <v>1</v>
      </c>
      <c r="D881" s="8">
        <v>1</v>
      </c>
      <c r="E881" s="8">
        <v>1</v>
      </c>
      <c r="F881" s="8">
        <v>0</v>
      </c>
      <c r="G881" s="8">
        <v>1</v>
      </c>
      <c r="H881" s="8">
        <v>1</v>
      </c>
      <c r="I881" s="8">
        <v>0</v>
      </c>
      <c r="J881" s="8">
        <v>1</v>
      </c>
      <c r="K881" s="9">
        <v>1</v>
      </c>
      <c r="L881" s="10">
        <v>0</v>
      </c>
      <c r="M881" s="6">
        <v>0</v>
      </c>
      <c r="N881" s="37" t="e" cm="1">
        <f t="array" ref="N881">IF(OR(ISNUMBER(FIND(Aux!$D$3:$D$9,_xlfn.TEXTJOIN(,,C881:K881)))),NA(),IF(AND(SUM(C881:F881,H881:K881)=0,G881=1),0,INT((SUMPRODUCT(C881:F881,COLUMN($A$1:$D$1)-1)+SUMPRODUCT(H881:K881,COLUMN($E$1:$H$1)-1))*'Line Follower'!$C$3/SUM(C881:F881,H881:K881)-'Line Follower'!$C$5)))</f>
        <v>#N/A</v>
      </c>
      <c r="O881" s="22" t="e">
        <v>#N/A</v>
      </c>
      <c r="P881" s="4" t="e">
        <f t="shared" si="65"/>
        <v>#N/A</v>
      </c>
      <c r="Q881" s="4" t="e">
        <f t="shared" si="66"/>
        <v>#N/A</v>
      </c>
      <c r="R881" s="4" t="e">
        <f>IF(AND(B881=1,N881&gt;'Line Follower'!$C$7,SUM(C881:K881)&lt;4),1,0)</f>
        <v>#N/A</v>
      </c>
      <c r="S881" s="4" t="e">
        <f>IF(AND(L881=1,N881&lt;'Line Follower'!$C$6,SUM(C881:K881)&lt;4),1,0)</f>
        <v>#N/A</v>
      </c>
      <c r="T881" s="4" t="e">
        <f t="shared" si="67"/>
        <v>#N/A</v>
      </c>
      <c r="U881" s="5" t="e">
        <f t="shared" si="68"/>
        <v>#N/A</v>
      </c>
      <c r="V881" s="23" t="e">
        <f t="shared" si="69"/>
        <v>#N/A</v>
      </c>
    </row>
    <row r="882" spans="2:22" x14ac:dyDescent="0.25">
      <c r="B882" s="16">
        <v>1</v>
      </c>
      <c r="C882" s="7">
        <v>1</v>
      </c>
      <c r="D882" s="8">
        <v>1</v>
      </c>
      <c r="E882" s="8">
        <v>1</v>
      </c>
      <c r="F882" s="8">
        <v>0</v>
      </c>
      <c r="G882" s="8">
        <v>1</v>
      </c>
      <c r="H882" s="8">
        <v>1</v>
      </c>
      <c r="I882" s="8">
        <v>0</v>
      </c>
      <c r="J882" s="8">
        <v>1</v>
      </c>
      <c r="K882" s="9">
        <v>1</v>
      </c>
      <c r="L882" s="10">
        <v>0</v>
      </c>
      <c r="M882" s="6">
        <v>0</v>
      </c>
      <c r="N882" s="37" t="e" cm="1">
        <f t="array" ref="N882">IF(OR(ISNUMBER(FIND(Aux!$D$3:$D$9,_xlfn.TEXTJOIN(,,C882:K882)))),NA(),IF(AND(SUM(C882:F882,H882:K882)=0,G882=1),0,INT((SUMPRODUCT(C882:F882,COLUMN($A$1:$D$1)-1)+SUMPRODUCT(H882:K882,COLUMN($E$1:$H$1)-1))*'Line Follower'!$C$3/SUM(C882:F882,H882:K882)-'Line Follower'!$C$5)))</f>
        <v>#N/A</v>
      </c>
      <c r="O882" s="22" t="e">
        <v>#N/A</v>
      </c>
      <c r="P882" s="4" t="e">
        <f t="shared" si="65"/>
        <v>#N/A</v>
      </c>
      <c r="Q882" s="4" t="e">
        <f t="shared" si="66"/>
        <v>#N/A</v>
      </c>
      <c r="R882" s="4" t="e">
        <f>IF(AND(B882=1,N882&gt;'Line Follower'!$C$7,SUM(C882:K882)&lt;4),1,0)</f>
        <v>#N/A</v>
      </c>
      <c r="S882" s="4" t="e">
        <f>IF(AND(L882=1,N882&lt;'Line Follower'!$C$6,SUM(C882:K882)&lt;4),1,0)</f>
        <v>#N/A</v>
      </c>
      <c r="T882" s="4" t="e">
        <f t="shared" si="67"/>
        <v>#N/A</v>
      </c>
      <c r="U882" s="5" t="e">
        <f t="shared" si="68"/>
        <v>#N/A</v>
      </c>
      <c r="V882" s="23" t="e">
        <f t="shared" si="69"/>
        <v>#N/A</v>
      </c>
    </row>
    <row r="883" spans="2:22" x14ac:dyDescent="0.25">
      <c r="B883" s="16">
        <v>0</v>
      </c>
      <c r="C883" s="7">
        <v>0</v>
      </c>
      <c r="D883" s="8">
        <v>0</v>
      </c>
      <c r="E883" s="8">
        <v>0</v>
      </c>
      <c r="F883" s="8">
        <v>1</v>
      </c>
      <c r="G883" s="8">
        <v>1</v>
      </c>
      <c r="H883" s="8">
        <v>1</v>
      </c>
      <c r="I883" s="8">
        <v>0</v>
      </c>
      <c r="J883" s="8">
        <v>1</v>
      </c>
      <c r="K883" s="9">
        <v>1</v>
      </c>
      <c r="L883" s="10">
        <v>0</v>
      </c>
      <c r="M883" s="6">
        <v>0</v>
      </c>
      <c r="N883" s="37" t="e" cm="1">
        <f t="array" ref="N883">IF(OR(ISNUMBER(FIND(Aux!$D$3:$D$9,_xlfn.TEXTJOIN(,,C883:K883)))),NA(),IF(AND(SUM(C883:F883,H883:K883)=0,G883=1),0,INT((SUMPRODUCT(C883:F883,COLUMN($A$1:$D$1)-1)+SUMPRODUCT(H883:K883,COLUMN($E$1:$H$1)-1))*'Line Follower'!$C$3/SUM(C883:F883,H883:K883)-'Line Follower'!$C$5)))</f>
        <v>#N/A</v>
      </c>
      <c r="O883" s="22" t="e">
        <v>#N/A</v>
      </c>
      <c r="P883" s="4" t="e">
        <f t="shared" si="65"/>
        <v>#N/A</v>
      </c>
      <c r="Q883" s="4" t="e">
        <f t="shared" si="66"/>
        <v>#N/A</v>
      </c>
      <c r="R883" s="4" t="e">
        <f>IF(AND(B883=1,N883&gt;'Line Follower'!$C$7,SUM(C883:K883)&lt;4),1,0)</f>
        <v>#N/A</v>
      </c>
      <c r="S883" s="4" t="e">
        <f>IF(AND(L883=1,N883&lt;'Line Follower'!$C$6,SUM(C883:K883)&lt;4),1,0)</f>
        <v>#N/A</v>
      </c>
      <c r="T883" s="4" t="e">
        <f t="shared" si="67"/>
        <v>#N/A</v>
      </c>
      <c r="U883" s="5" t="e">
        <f t="shared" si="68"/>
        <v>#N/A</v>
      </c>
      <c r="V883" s="23" t="e">
        <f t="shared" si="69"/>
        <v>#N/A</v>
      </c>
    </row>
    <row r="884" spans="2:22" x14ac:dyDescent="0.25">
      <c r="B884" s="16">
        <v>1</v>
      </c>
      <c r="C884" s="7">
        <v>0</v>
      </c>
      <c r="D884" s="8">
        <v>0</v>
      </c>
      <c r="E884" s="8">
        <v>0</v>
      </c>
      <c r="F884" s="8">
        <v>1</v>
      </c>
      <c r="G884" s="8">
        <v>1</v>
      </c>
      <c r="H884" s="8">
        <v>1</v>
      </c>
      <c r="I884" s="8">
        <v>0</v>
      </c>
      <c r="J884" s="8">
        <v>1</v>
      </c>
      <c r="K884" s="9">
        <v>1</v>
      </c>
      <c r="L884" s="10">
        <v>0</v>
      </c>
      <c r="M884" s="6">
        <v>0</v>
      </c>
      <c r="N884" s="37" t="e" cm="1">
        <f t="array" ref="N884">IF(OR(ISNUMBER(FIND(Aux!$D$3:$D$9,_xlfn.TEXTJOIN(,,C884:K884)))),NA(),IF(AND(SUM(C884:F884,H884:K884)=0,G884=1),0,INT((SUMPRODUCT(C884:F884,COLUMN($A$1:$D$1)-1)+SUMPRODUCT(H884:K884,COLUMN($E$1:$H$1)-1))*'Line Follower'!$C$3/SUM(C884:F884,H884:K884)-'Line Follower'!$C$5)))</f>
        <v>#N/A</v>
      </c>
      <c r="O884" s="22" t="e">
        <v>#N/A</v>
      </c>
      <c r="P884" s="4" t="e">
        <f t="shared" si="65"/>
        <v>#N/A</v>
      </c>
      <c r="Q884" s="4" t="e">
        <f t="shared" si="66"/>
        <v>#N/A</v>
      </c>
      <c r="R884" s="4" t="e">
        <f>IF(AND(B884=1,N884&gt;'Line Follower'!$C$7,SUM(C884:K884)&lt;4),1,0)</f>
        <v>#N/A</v>
      </c>
      <c r="S884" s="4" t="e">
        <f>IF(AND(L884=1,N884&lt;'Line Follower'!$C$6,SUM(C884:K884)&lt;4),1,0)</f>
        <v>#N/A</v>
      </c>
      <c r="T884" s="4" t="e">
        <f t="shared" si="67"/>
        <v>#N/A</v>
      </c>
      <c r="U884" s="5" t="e">
        <f t="shared" si="68"/>
        <v>#N/A</v>
      </c>
      <c r="V884" s="23" t="e">
        <f t="shared" si="69"/>
        <v>#N/A</v>
      </c>
    </row>
    <row r="885" spans="2:22" x14ac:dyDescent="0.25">
      <c r="B885" s="16">
        <v>0</v>
      </c>
      <c r="C885" s="7">
        <v>1</v>
      </c>
      <c r="D885" s="8">
        <v>0</v>
      </c>
      <c r="E885" s="8">
        <v>0</v>
      </c>
      <c r="F885" s="8">
        <v>1</v>
      </c>
      <c r="G885" s="8">
        <v>1</v>
      </c>
      <c r="H885" s="8">
        <v>1</v>
      </c>
      <c r="I885" s="8">
        <v>0</v>
      </c>
      <c r="J885" s="8">
        <v>1</v>
      </c>
      <c r="K885" s="9">
        <v>1</v>
      </c>
      <c r="L885" s="10">
        <v>0</v>
      </c>
      <c r="M885" s="6">
        <v>0</v>
      </c>
      <c r="N885" s="37" t="e" cm="1">
        <f t="array" ref="N885">IF(OR(ISNUMBER(FIND(Aux!$D$3:$D$9,_xlfn.TEXTJOIN(,,C885:K885)))),NA(),IF(AND(SUM(C885:F885,H885:K885)=0,G885=1),0,INT((SUMPRODUCT(C885:F885,COLUMN($A$1:$D$1)-1)+SUMPRODUCT(H885:K885,COLUMN($E$1:$H$1)-1))*'Line Follower'!$C$3/SUM(C885:F885,H885:K885)-'Line Follower'!$C$5)))</f>
        <v>#N/A</v>
      </c>
      <c r="O885" s="22" t="e">
        <v>#N/A</v>
      </c>
      <c r="P885" s="4" t="e">
        <f t="shared" si="65"/>
        <v>#N/A</v>
      </c>
      <c r="Q885" s="4" t="e">
        <f t="shared" si="66"/>
        <v>#N/A</v>
      </c>
      <c r="R885" s="4" t="e">
        <f>IF(AND(B885=1,N885&gt;'Line Follower'!$C$7,SUM(C885:K885)&lt;4),1,0)</f>
        <v>#N/A</v>
      </c>
      <c r="S885" s="4" t="e">
        <f>IF(AND(L885=1,N885&lt;'Line Follower'!$C$6,SUM(C885:K885)&lt;4),1,0)</f>
        <v>#N/A</v>
      </c>
      <c r="T885" s="4" t="e">
        <f t="shared" si="67"/>
        <v>#N/A</v>
      </c>
      <c r="U885" s="5" t="e">
        <f t="shared" si="68"/>
        <v>#N/A</v>
      </c>
      <c r="V885" s="23" t="e">
        <f t="shared" si="69"/>
        <v>#N/A</v>
      </c>
    </row>
    <row r="886" spans="2:22" x14ac:dyDescent="0.25">
      <c r="B886" s="16">
        <v>1</v>
      </c>
      <c r="C886" s="7">
        <v>1</v>
      </c>
      <c r="D886" s="8">
        <v>0</v>
      </c>
      <c r="E886" s="8">
        <v>0</v>
      </c>
      <c r="F886" s="8">
        <v>1</v>
      </c>
      <c r="G886" s="8">
        <v>1</v>
      </c>
      <c r="H886" s="8">
        <v>1</v>
      </c>
      <c r="I886" s="8">
        <v>0</v>
      </c>
      <c r="J886" s="8">
        <v>1</v>
      </c>
      <c r="K886" s="9">
        <v>1</v>
      </c>
      <c r="L886" s="10">
        <v>0</v>
      </c>
      <c r="M886" s="6">
        <v>0</v>
      </c>
      <c r="N886" s="37" t="e" cm="1">
        <f t="array" ref="N886">IF(OR(ISNUMBER(FIND(Aux!$D$3:$D$9,_xlfn.TEXTJOIN(,,C886:K886)))),NA(),IF(AND(SUM(C886:F886,H886:K886)=0,G886=1),0,INT((SUMPRODUCT(C886:F886,COLUMN($A$1:$D$1)-1)+SUMPRODUCT(H886:K886,COLUMN($E$1:$H$1)-1))*'Line Follower'!$C$3/SUM(C886:F886,H886:K886)-'Line Follower'!$C$5)))</f>
        <v>#N/A</v>
      </c>
      <c r="O886" s="22" t="e">
        <v>#N/A</v>
      </c>
      <c r="P886" s="4" t="e">
        <f t="shared" si="65"/>
        <v>#N/A</v>
      </c>
      <c r="Q886" s="4" t="e">
        <f t="shared" si="66"/>
        <v>#N/A</v>
      </c>
      <c r="R886" s="4" t="e">
        <f>IF(AND(B886=1,N886&gt;'Line Follower'!$C$7,SUM(C886:K886)&lt;4),1,0)</f>
        <v>#N/A</v>
      </c>
      <c r="S886" s="4" t="e">
        <f>IF(AND(L886=1,N886&lt;'Line Follower'!$C$6,SUM(C886:K886)&lt;4),1,0)</f>
        <v>#N/A</v>
      </c>
      <c r="T886" s="4" t="e">
        <f t="shared" si="67"/>
        <v>#N/A</v>
      </c>
      <c r="U886" s="5" t="e">
        <f t="shared" si="68"/>
        <v>#N/A</v>
      </c>
      <c r="V886" s="23" t="e">
        <f t="shared" si="69"/>
        <v>#N/A</v>
      </c>
    </row>
    <row r="887" spans="2:22" x14ac:dyDescent="0.25">
      <c r="B887" s="16">
        <v>0</v>
      </c>
      <c r="C887" s="7">
        <v>0</v>
      </c>
      <c r="D887" s="8">
        <v>1</v>
      </c>
      <c r="E887" s="8">
        <v>0</v>
      </c>
      <c r="F887" s="8">
        <v>1</v>
      </c>
      <c r="G887" s="8">
        <v>1</v>
      </c>
      <c r="H887" s="8">
        <v>1</v>
      </c>
      <c r="I887" s="8">
        <v>0</v>
      </c>
      <c r="J887" s="8">
        <v>1</v>
      </c>
      <c r="K887" s="9">
        <v>1</v>
      </c>
      <c r="L887" s="10">
        <v>0</v>
      </c>
      <c r="M887" s="6">
        <v>0</v>
      </c>
      <c r="N887" s="37" t="e" cm="1">
        <f t="array" ref="N887">IF(OR(ISNUMBER(FIND(Aux!$D$3:$D$9,_xlfn.TEXTJOIN(,,C887:K887)))),NA(),IF(AND(SUM(C887:F887,H887:K887)=0,G887=1),0,INT((SUMPRODUCT(C887:F887,COLUMN($A$1:$D$1)-1)+SUMPRODUCT(H887:K887,COLUMN($E$1:$H$1)-1))*'Line Follower'!$C$3/SUM(C887:F887,H887:K887)-'Line Follower'!$C$5)))</f>
        <v>#N/A</v>
      </c>
      <c r="O887" s="22" t="e">
        <v>#N/A</v>
      </c>
      <c r="P887" s="4" t="e">
        <f t="shared" si="65"/>
        <v>#N/A</v>
      </c>
      <c r="Q887" s="4" t="e">
        <f t="shared" si="66"/>
        <v>#N/A</v>
      </c>
      <c r="R887" s="4" t="e">
        <f>IF(AND(B887=1,N887&gt;'Line Follower'!$C$7,SUM(C887:K887)&lt;4),1,0)</f>
        <v>#N/A</v>
      </c>
      <c r="S887" s="4" t="e">
        <f>IF(AND(L887=1,N887&lt;'Line Follower'!$C$6,SUM(C887:K887)&lt;4),1,0)</f>
        <v>#N/A</v>
      </c>
      <c r="T887" s="4" t="e">
        <f t="shared" si="67"/>
        <v>#N/A</v>
      </c>
      <c r="U887" s="5" t="e">
        <f t="shared" si="68"/>
        <v>#N/A</v>
      </c>
      <c r="V887" s="23" t="e">
        <f t="shared" si="69"/>
        <v>#N/A</v>
      </c>
    </row>
    <row r="888" spans="2:22" x14ac:dyDescent="0.25">
      <c r="B888" s="16">
        <v>1</v>
      </c>
      <c r="C888" s="7">
        <v>0</v>
      </c>
      <c r="D888" s="8">
        <v>1</v>
      </c>
      <c r="E888" s="8">
        <v>0</v>
      </c>
      <c r="F888" s="8">
        <v>1</v>
      </c>
      <c r="G888" s="8">
        <v>1</v>
      </c>
      <c r="H888" s="8">
        <v>1</v>
      </c>
      <c r="I888" s="8">
        <v>0</v>
      </c>
      <c r="J888" s="8">
        <v>1</v>
      </c>
      <c r="K888" s="9">
        <v>1</v>
      </c>
      <c r="L888" s="10">
        <v>0</v>
      </c>
      <c r="M888" s="6">
        <v>0</v>
      </c>
      <c r="N888" s="37" t="e" cm="1">
        <f t="array" ref="N888">IF(OR(ISNUMBER(FIND(Aux!$D$3:$D$9,_xlfn.TEXTJOIN(,,C888:K888)))),NA(),IF(AND(SUM(C888:F888,H888:K888)=0,G888=1),0,INT((SUMPRODUCT(C888:F888,COLUMN($A$1:$D$1)-1)+SUMPRODUCT(H888:K888,COLUMN($E$1:$H$1)-1))*'Line Follower'!$C$3/SUM(C888:F888,H888:K888)-'Line Follower'!$C$5)))</f>
        <v>#N/A</v>
      </c>
      <c r="O888" s="22" t="e">
        <v>#N/A</v>
      </c>
      <c r="P888" s="4" t="e">
        <f t="shared" si="65"/>
        <v>#N/A</v>
      </c>
      <c r="Q888" s="4" t="e">
        <f t="shared" si="66"/>
        <v>#N/A</v>
      </c>
      <c r="R888" s="4" t="e">
        <f>IF(AND(B888=1,N888&gt;'Line Follower'!$C$7,SUM(C888:K888)&lt;4),1,0)</f>
        <v>#N/A</v>
      </c>
      <c r="S888" s="4" t="e">
        <f>IF(AND(L888=1,N888&lt;'Line Follower'!$C$6,SUM(C888:K888)&lt;4),1,0)</f>
        <v>#N/A</v>
      </c>
      <c r="T888" s="4" t="e">
        <f t="shared" si="67"/>
        <v>#N/A</v>
      </c>
      <c r="U888" s="5" t="e">
        <f t="shared" si="68"/>
        <v>#N/A</v>
      </c>
      <c r="V888" s="23" t="e">
        <f t="shared" si="69"/>
        <v>#N/A</v>
      </c>
    </row>
    <row r="889" spans="2:22" x14ac:dyDescent="0.25">
      <c r="B889" s="16">
        <v>0</v>
      </c>
      <c r="C889" s="7">
        <v>1</v>
      </c>
      <c r="D889" s="8">
        <v>1</v>
      </c>
      <c r="E889" s="8">
        <v>0</v>
      </c>
      <c r="F889" s="8">
        <v>1</v>
      </c>
      <c r="G889" s="8">
        <v>1</v>
      </c>
      <c r="H889" s="8">
        <v>1</v>
      </c>
      <c r="I889" s="8">
        <v>0</v>
      </c>
      <c r="J889" s="8">
        <v>1</v>
      </c>
      <c r="K889" s="9">
        <v>1</v>
      </c>
      <c r="L889" s="10">
        <v>0</v>
      </c>
      <c r="M889" s="6">
        <v>0</v>
      </c>
      <c r="N889" s="37" t="e" cm="1">
        <f t="array" ref="N889">IF(OR(ISNUMBER(FIND(Aux!$D$3:$D$9,_xlfn.TEXTJOIN(,,C889:K889)))),NA(),IF(AND(SUM(C889:F889,H889:K889)=0,G889=1),0,INT((SUMPRODUCT(C889:F889,COLUMN($A$1:$D$1)-1)+SUMPRODUCT(H889:K889,COLUMN($E$1:$H$1)-1))*'Line Follower'!$C$3/SUM(C889:F889,H889:K889)-'Line Follower'!$C$5)))</f>
        <v>#N/A</v>
      </c>
      <c r="O889" s="22" t="e">
        <v>#N/A</v>
      </c>
      <c r="P889" s="4" t="e">
        <f t="shared" si="65"/>
        <v>#N/A</v>
      </c>
      <c r="Q889" s="4" t="e">
        <f t="shared" si="66"/>
        <v>#N/A</v>
      </c>
      <c r="R889" s="4" t="e">
        <f>IF(AND(B889=1,N889&gt;'Line Follower'!$C$7,SUM(C889:K889)&lt;4),1,0)</f>
        <v>#N/A</v>
      </c>
      <c r="S889" s="4" t="e">
        <f>IF(AND(L889=1,N889&lt;'Line Follower'!$C$6,SUM(C889:K889)&lt;4),1,0)</f>
        <v>#N/A</v>
      </c>
      <c r="T889" s="4" t="e">
        <f t="shared" si="67"/>
        <v>#N/A</v>
      </c>
      <c r="U889" s="5" t="e">
        <f t="shared" si="68"/>
        <v>#N/A</v>
      </c>
      <c r="V889" s="23" t="e">
        <f t="shared" si="69"/>
        <v>#N/A</v>
      </c>
    </row>
    <row r="890" spans="2:22" x14ac:dyDescent="0.25">
      <c r="B890" s="16">
        <v>1</v>
      </c>
      <c r="C890" s="7">
        <v>1</v>
      </c>
      <c r="D890" s="8">
        <v>1</v>
      </c>
      <c r="E890" s="8">
        <v>0</v>
      </c>
      <c r="F890" s="8">
        <v>1</v>
      </c>
      <c r="G890" s="8">
        <v>1</v>
      </c>
      <c r="H890" s="8">
        <v>1</v>
      </c>
      <c r="I890" s="8">
        <v>0</v>
      </c>
      <c r="J890" s="8">
        <v>1</v>
      </c>
      <c r="K890" s="9">
        <v>1</v>
      </c>
      <c r="L890" s="10">
        <v>0</v>
      </c>
      <c r="M890" s="6">
        <v>0</v>
      </c>
      <c r="N890" s="37" t="e" cm="1">
        <f t="array" ref="N890">IF(OR(ISNUMBER(FIND(Aux!$D$3:$D$9,_xlfn.TEXTJOIN(,,C890:K890)))),NA(),IF(AND(SUM(C890:F890,H890:K890)=0,G890=1),0,INT((SUMPRODUCT(C890:F890,COLUMN($A$1:$D$1)-1)+SUMPRODUCT(H890:K890,COLUMN($E$1:$H$1)-1))*'Line Follower'!$C$3/SUM(C890:F890,H890:K890)-'Line Follower'!$C$5)))</f>
        <v>#N/A</v>
      </c>
      <c r="O890" s="22" t="e">
        <v>#N/A</v>
      </c>
      <c r="P890" s="4" t="e">
        <f t="shared" si="65"/>
        <v>#N/A</v>
      </c>
      <c r="Q890" s="4" t="e">
        <f t="shared" si="66"/>
        <v>#N/A</v>
      </c>
      <c r="R890" s="4" t="e">
        <f>IF(AND(B890=1,N890&gt;'Line Follower'!$C$7,SUM(C890:K890)&lt;4),1,0)</f>
        <v>#N/A</v>
      </c>
      <c r="S890" s="4" t="e">
        <f>IF(AND(L890=1,N890&lt;'Line Follower'!$C$6,SUM(C890:K890)&lt;4),1,0)</f>
        <v>#N/A</v>
      </c>
      <c r="T890" s="4" t="e">
        <f t="shared" si="67"/>
        <v>#N/A</v>
      </c>
      <c r="U890" s="5" t="e">
        <f t="shared" si="68"/>
        <v>#N/A</v>
      </c>
      <c r="V890" s="23" t="e">
        <f t="shared" si="69"/>
        <v>#N/A</v>
      </c>
    </row>
    <row r="891" spans="2:22" x14ac:dyDescent="0.25">
      <c r="B891" s="16">
        <v>0</v>
      </c>
      <c r="C891" s="7">
        <v>0</v>
      </c>
      <c r="D891" s="8">
        <v>0</v>
      </c>
      <c r="E891" s="8">
        <v>1</v>
      </c>
      <c r="F891" s="8">
        <v>1</v>
      </c>
      <c r="G891" s="8">
        <v>1</v>
      </c>
      <c r="H891" s="8">
        <v>1</v>
      </c>
      <c r="I891" s="8">
        <v>0</v>
      </c>
      <c r="J891" s="8">
        <v>1</v>
      </c>
      <c r="K891" s="9">
        <v>1</v>
      </c>
      <c r="L891" s="10">
        <v>0</v>
      </c>
      <c r="M891" s="6">
        <v>0</v>
      </c>
      <c r="N891" s="37" t="e" cm="1">
        <f t="array" ref="N891">IF(OR(ISNUMBER(FIND(Aux!$D$3:$D$9,_xlfn.TEXTJOIN(,,C891:K891)))),NA(),IF(AND(SUM(C891:F891,H891:K891)=0,G891=1),0,INT((SUMPRODUCT(C891:F891,COLUMN($A$1:$D$1)-1)+SUMPRODUCT(H891:K891,COLUMN($E$1:$H$1)-1))*'Line Follower'!$C$3/SUM(C891:F891,H891:K891)-'Line Follower'!$C$5)))</f>
        <v>#N/A</v>
      </c>
      <c r="O891" s="22" t="e">
        <v>#N/A</v>
      </c>
      <c r="P891" s="4" t="e">
        <f t="shared" si="65"/>
        <v>#N/A</v>
      </c>
      <c r="Q891" s="4" t="e">
        <f t="shared" si="66"/>
        <v>#N/A</v>
      </c>
      <c r="R891" s="4" t="e">
        <f>IF(AND(B891=1,N891&gt;'Line Follower'!$C$7,SUM(C891:K891)&lt;4),1,0)</f>
        <v>#N/A</v>
      </c>
      <c r="S891" s="4" t="e">
        <f>IF(AND(L891=1,N891&lt;'Line Follower'!$C$6,SUM(C891:K891)&lt;4),1,0)</f>
        <v>#N/A</v>
      </c>
      <c r="T891" s="4" t="e">
        <f t="shared" si="67"/>
        <v>#N/A</v>
      </c>
      <c r="U891" s="5" t="e">
        <f t="shared" si="68"/>
        <v>#N/A</v>
      </c>
      <c r="V891" s="23" t="e">
        <f t="shared" si="69"/>
        <v>#N/A</v>
      </c>
    </row>
    <row r="892" spans="2:22" x14ac:dyDescent="0.25">
      <c r="B892" s="16">
        <v>1</v>
      </c>
      <c r="C892" s="7">
        <v>0</v>
      </c>
      <c r="D892" s="8">
        <v>0</v>
      </c>
      <c r="E892" s="8">
        <v>1</v>
      </c>
      <c r="F892" s="8">
        <v>1</v>
      </c>
      <c r="G892" s="8">
        <v>1</v>
      </c>
      <c r="H892" s="8">
        <v>1</v>
      </c>
      <c r="I892" s="8">
        <v>0</v>
      </c>
      <c r="J892" s="8">
        <v>1</v>
      </c>
      <c r="K892" s="9">
        <v>1</v>
      </c>
      <c r="L892" s="10">
        <v>0</v>
      </c>
      <c r="M892" s="6">
        <v>0</v>
      </c>
      <c r="N892" s="37" t="e" cm="1">
        <f t="array" ref="N892">IF(OR(ISNUMBER(FIND(Aux!$D$3:$D$9,_xlfn.TEXTJOIN(,,C892:K892)))),NA(),IF(AND(SUM(C892:F892,H892:K892)=0,G892=1),0,INT((SUMPRODUCT(C892:F892,COLUMN($A$1:$D$1)-1)+SUMPRODUCT(H892:K892,COLUMN($E$1:$H$1)-1))*'Line Follower'!$C$3/SUM(C892:F892,H892:K892)-'Line Follower'!$C$5)))</f>
        <v>#N/A</v>
      </c>
      <c r="O892" s="22" t="e">
        <v>#N/A</v>
      </c>
      <c r="P892" s="4" t="e">
        <f t="shared" si="65"/>
        <v>#N/A</v>
      </c>
      <c r="Q892" s="4" t="e">
        <f t="shared" si="66"/>
        <v>#N/A</v>
      </c>
      <c r="R892" s="4" t="e">
        <f>IF(AND(B892=1,N892&gt;'Line Follower'!$C$7,SUM(C892:K892)&lt;4),1,0)</f>
        <v>#N/A</v>
      </c>
      <c r="S892" s="4" t="e">
        <f>IF(AND(L892=1,N892&lt;'Line Follower'!$C$6,SUM(C892:K892)&lt;4),1,0)</f>
        <v>#N/A</v>
      </c>
      <c r="T892" s="4" t="e">
        <f t="shared" si="67"/>
        <v>#N/A</v>
      </c>
      <c r="U892" s="5" t="e">
        <f t="shared" si="68"/>
        <v>#N/A</v>
      </c>
      <c r="V892" s="23" t="e">
        <f t="shared" si="69"/>
        <v>#N/A</v>
      </c>
    </row>
    <row r="893" spans="2:22" x14ac:dyDescent="0.25">
      <c r="B893" s="16">
        <v>0</v>
      </c>
      <c r="C893" s="7">
        <v>1</v>
      </c>
      <c r="D893" s="8">
        <v>0</v>
      </c>
      <c r="E893" s="8">
        <v>1</v>
      </c>
      <c r="F893" s="8">
        <v>1</v>
      </c>
      <c r="G893" s="8">
        <v>1</v>
      </c>
      <c r="H893" s="8">
        <v>1</v>
      </c>
      <c r="I893" s="8">
        <v>0</v>
      </c>
      <c r="J893" s="8">
        <v>1</v>
      </c>
      <c r="K893" s="9">
        <v>1</v>
      </c>
      <c r="L893" s="10">
        <v>0</v>
      </c>
      <c r="M893" s="6">
        <v>0</v>
      </c>
      <c r="N893" s="37" t="e" cm="1">
        <f t="array" ref="N893">IF(OR(ISNUMBER(FIND(Aux!$D$3:$D$9,_xlfn.TEXTJOIN(,,C893:K893)))),NA(),IF(AND(SUM(C893:F893,H893:K893)=0,G893=1),0,INT((SUMPRODUCT(C893:F893,COLUMN($A$1:$D$1)-1)+SUMPRODUCT(H893:K893,COLUMN($E$1:$H$1)-1))*'Line Follower'!$C$3/SUM(C893:F893,H893:K893)-'Line Follower'!$C$5)))</f>
        <v>#N/A</v>
      </c>
      <c r="O893" s="22" t="e">
        <v>#N/A</v>
      </c>
      <c r="P893" s="4" t="e">
        <f t="shared" si="65"/>
        <v>#N/A</v>
      </c>
      <c r="Q893" s="4" t="e">
        <f t="shared" si="66"/>
        <v>#N/A</v>
      </c>
      <c r="R893" s="4" t="e">
        <f>IF(AND(B893=1,N893&gt;'Line Follower'!$C$7,SUM(C893:K893)&lt;4),1,0)</f>
        <v>#N/A</v>
      </c>
      <c r="S893" s="4" t="e">
        <f>IF(AND(L893=1,N893&lt;'Line Follower'!$C$6,SUM(C893:K893)&lt;4),1,0)</f>
        <v>#N/A</v>
      </c>
      <c r="T893" s="4" t="e">
        <f t="shared" si="67"/>
        <v>#N/A</v>
      </c>
      <c r="U893" s="5" t="e">
        <f t="shared" si="68"/>
        <v>#N/A</v>
      </c>
      <c r="V893" s="23" t="e">
        <f t="shared" si="69"/>
        <v>#N/A</v>
      </c>
    </row>
    <row r="894" spans="2:22" x14ac:dyDescent="0.25">
      <c r="B894" s="16">
        <v>1</v>
      </c>
      <c r="C894" s="7">
        <v>1</v>
      </c>
      <c r="D894" s="8">
        <v>0</v>
      </c>
      <c r="E894" s="8">
        <v>1</v>
      </c>
      <c r="F894" s="8">
        <v>1</v>
      </c>
      <c r="G894" s="8">
        <v>1</v>
      </c>
      <c r="H894" s="8">
        <v>1</v>
      </c>
      <c r="I894" s="8">
        <v>0</v>
      </c>
      <c r="J894" s="8">
        <v>1</v>
      </c>
      <c r="K894" s="9">
        <v>1</v>
      </c>
      <c r="L894" s="10">
        <v>0</v>
      </c>
      <c r="M894" s="6">
        <v>0</v>
      </c>
      <c r="N894" s="37" t="e" cm="1">
        <f t="array" ref="N894">IF(OR(ISNUMBER(FIND(Aux!$D$3:$D$9,_xlfn.TEXTJOIN(,,C894:K894)))),NA(),IF(AND(SUM(C894:F894,H894:K894)=0,G894=1),0,INT((SUMPRODUCT(C894:F894,COLUMN($A$1:$D$1)-1)+SUMPRODUCT(H894:K894,COLUMN($E$1:$H$1)-1))*'Line Follower'!$C$3/SUM(C894:F894,H894:K894)-'Line Follower'!$C$5)))</f>
        <v>#N/A</v>
      </c>
      <c r="O894" s="22" t="e">
        <v>#N/A</v>
      </c>
      <c r="P894" s="4" t="e">
        <f t="shared" si="65"/>
        <v>#N/A</v>
      </c>
      <c r="Q894" s="4" t="e">
        <f t="shared" si="66"/>
        <v>#N/A</v>
      </c>
      <c r="R894" s="4" t="e">
        <f>IF(AND(B894=1,N894&gt;'Line Follower'!$C$7,SUM(C894:K894)&lt;4),1,0)</f>
        <v>#N/A</v>
      </c>
      <c r="S894" s="4" t="e">
        <f>IF(AND(L894=1,N894&lt;'Line Follower'!$C$6,SUM(C894:K894)&lt;4),1,0)</f>
        <v>#N/A</v>
      </c>
      <c r="T894" s="4" t="e">
        <f t="shared" si="67"/>
        <v>#N/A</v>
      </c>
      <c r="U894" s="5" t="e">
        <f t="shared" si="68"/>
        <v>#N/A</v>
      </c>
      <c r="V894" s="23" t="e">
        <f t="shared" si="69"/>
        <v>#N/A</v>
      </c>
    </row>
    <row r="895" spans="2:22" x14ac:dyDescent="0.25">
      <c r="B895" s="16">
        <v>0</v>
      </c>
      <c r="C895" s="7">
        <v>0</v>
      </c>
      <c r="D895" s="8">
        <v>1</v>
      </c>
      <c r="E895" s="8">
        <v>1</v>
      </c>
      <c r="F895" s="8">
        <v>1</v>
      </c>
      <c r="G895" s="8">
        <v>1</v>
      </c>
      <c r="H895" s="8">
        <v>1</v>
      </c>
      <c r="I895" s="8">
        <v>0</v>
      </c>
      <c r="J895" s="8">
        <v>1</v>
      </c>
      <c r="K895" s="9">
        <v>1</v>
      </c>
      <c r="L895" s="10">
        <v>0</v>
      </c>
      <c r="M895" s="6">
        <v>0</v>
      </c>
      <c r="N895" s="37" t="e" cm="1">
        <f t="array" ref="N895">IF(OR(ISNUMBER(FIND(Aux!$D$3:$D$9,_xlfn.TEXTJOIN(,,C895:K895)))),NA(),IF(AND(SUM(C895:F895,H895:K895)=0,G895=1),0,INT((SUMPRODUCT(C895:F895,COLUMN($A$1:$D$1)-1)+SUMPRODUCT(H895:K895,COLUMN($E$1:$H$1)-1))*'Line Follower'!$C$3/SUM(C895:F895,H895:K895)-'Line Follower'!$C$5)))</f>
        <v>#N/A</v>
      </c>
      <c r="O895" s="22" t="e">
        <v>#N/A</v>
      </c>
      <c r="P895" s="4" t="e">
        <f t="shared" si="65"/>
        <v>#N/A</v>
      </c>
      <c r="Q895" s="4" t="e">
        <f t="shared" si="66"/>
        <v>#N/A</v>
      </c>
      <c r="R895" s="4" t="e">
        <f>IF(AND(B895=1,N895&gt;'Line Follower'!$C$7,SUM(C895:K895)&lt;4),1,0)</f>
        <v>#N/A</v>
      </c>
      <c r="S895" s="4" t="e">
        <f>IF(AND(L895=1,N895&lt;'Line Follower'!$C$6,SUM(C895:K895)&lt;4),1,0)</f>
        <v>#N/A</v>
      </c>
      <c r="T895" s="4" t="e">
        <f t="shared" si="67"/>
        <v>#N/A</v>
      </c>
      <c r="U895" s="5" t="e">
        <f t="shared" si="68"/>
        <v>#N/A</v>
      </c>
      <c r="V895" s="23" t="e">
        <f t="shared" si="69"/>
        <v>#N/A</v>
      </c>
    </row>
    <row r="896" spans="2:22" x14ac:dyDescent="0.25">
      <c r="B896" s="16">
        <v>1</v>
      </c>
      <c r="C896" s="7">
        <v>0</v>
      </c>
      <c r="D896" s="8">
        <v>1</v>
      </c>
      <c r="E896" s="8">
        <v>1</v>
      </c>
      <c r="F896" s="8">
        <v>1</v>
      </c>
      <c r="G896" s="8">
        <v>1</v>
      </c>
      <c r="H896" s="8">
        <v>1</v>
      </c>
      <c r="I896" s="8">
        <v>0</v>
      </c>
      <c r="J896" s="8">
        <v>1</v>
      </c>
      <c r="K896" s="9">
        <v>1</v>
      </c>
      <c r="L896" s="10">
        <v>0</v>
      </c>
      <c r="M896" s="6">
        <v>0</v>
      </c>
      <c r="N896" s="37" t="e" cm="1">
        <f t="array" ref="N896">IF(OR(ISNUMBER(FIND(Aux!$D$3:$D$9,_xlfn.TEXTJOIN(,,C896:K896)))),NA(),IF(AND(SUM(C896:F896,H896:K896)=0,G896=1),0,INT((SUMPRODUCT(C896:F896,COLUMN($A$1:$D$1)-1)+SUMPRODUCT(H896:K896,COLUMN($E$1:$H$1)-1))*'Line Follower'!$C$3/SUM(C896:F896,H896:K896)-'Line Follower'!$C$5)))</f>
        <v>#N/A</v>
      </c>
      <c r="O896" s="22" t="e">
        <v>#N/A</v>
      </c>
      <c r="P896" s="4" t="e">
        <f t="shared" si="65"/>
        <v>#N/A</v>
      </c>
      <c r="Q896" s="4" t="e">
        <f t="shared" si="66"/>
        <v>#N/A</v>
      </c>
      <c r="R896" s="4" t="e">
        <f>IF(AND(B896=1,N896&gt;'Line Follower'!$C$7,SUM(C896:K896)&lt;4),1,0)</f>
        <v>#N/A</v>
      </c>
      <c r="S896" s="4" t="e">
        <f>IF(AND(L896=1,N896&lt;'Line Follower'!$C$6,SUM(C896:K896)&lt;4),1,0)</f>
        <v>#N/A</v>
      </c>
      <c r="T896" s="4" t="e">
        <f t="shared" si="67"/>
        <v>#N/A</v>
      </c>
      <c r="U896" s="5" t="e">
        <f t="shared" si="68"/>
        <v>#N/A</v>
      </c>
      <c r="V896" s="23" t="e">
        <f t="shared" si="69"/>
        <v>#N/A</v>
      </c>
    </row>
    <row r="897" spans="2:22" x14ac:dyDescent="0.25">
      <c r="B897" s="16">
        <v>0</v>
      </c>
      <c r="C897" s="7">
        <v>1</v>
      </c>
      <c r="D897" s="8">
        <v>1</v>
      </c>
      <c r="E897" s="8">
        <v>1</v>
      </c>
      <c r="F897" s="8">
        <v>1</v>
      </c>
      <c r="G897" s="8">
        <v>1</v>
      </c>
      <c r="H897" s="8">
        <v>1</v>
      </c>
      <c r="I897" s="8">
        <v>0</v>
      </c>
      <c r="J897" s="8">
        <v>1</v>
      </c>
      <c r="K897" s="9">
        <v>1</v>
      </c>
      <c r="L897" s="10">
        <v>0</v>
      </c>
      <c r="M897" s="6">
        <v>0</v>
      </c>
      <c r="N897" s="37" t="e" cm="1">
        <f t="array" ref="N897">IF(OR(ISNUMBER(FIND(Aux!$D$3:$D$9,_xlfn.TEXTJOIN(,,C897:K897)))),NA(),IF(AND(SUM(C897:F897,H897:K897)=0,G897=1),0,INT((SUMPRODUCT(C897:F897,COLUMN($A$1:$D$1)-1)+SUMPRODUCT(H897:K897,COLUMN($E$1:$H$1)-1))*'Line Follower'!$C$3/SUM(C897:F897,H897:K897)-'Line Follower'!$C$5)))</f>
        <v>#N/A</v>
      </c>
      <c r="O897" s="22" t="e">
        <v>#N/A</v>
      </c>
      <c r="P897" s="4" t="e">
        <f t="shared" si="65"/>
        <v>#N/A</v>
      </c>
      <c r="Q897" s="4" t="e">
        <f t="shared" si="66"/>
        <v>#N/A</v>
      </c>
      <c r="R897" s="4" t="e">
        <f>IF(AND(B897=1,N897&gt;'Line Follower'!$C$7,SUM(C897:K897)&lt;4),1,0)</f>
        <v>#N/A</v>
      </c>
      <c r="S897" s="4" t="e">
        <f>IF(AND(L897=1,N897&lt;'Line Follower'!$C$6,SUM(C897:K897)&lt;4),1,0)</f>
        <v>#N/A</v>
      </c>
      <c r="T897" s="4" t="e">
        <f t="shared" si="67"/>
        <v>#N/A</v>
      </c>
      <c r="U897" s="5" t="e">
        <f t="shared" si="68"/>
        <v>#N/A</v>
      </c>
      <c r="V897" s="23" t="e">
        <f t="shared" si="69"/>
        <v>#N/A</v>
      </c>
    </row>
    <row r="898" spans="2:22" x14ac:dyDescent="0.25">
      <c r="B898" s="16">
        <v>1</v>
      </c>
      <c r="C898" s="7">
        <v>1</v>
      </c>
      <c r="D898" s="8">
        <v>1</v>
      </c>
      <c r="E898" s="8">
        <v>1</v>
      </c>
      <c r="F898" s="8">
        <v>1</v>
      </c>
      <c r="G898" s="8">
        <v>1</v>
      </c>
      <c r="H898" s="8">
        <v>1</v>
      </c>
      <c r="I898" s="8">
        <v>0</v>
      </c>
      <c r="J898" s="8">
        <v>1</v>
      </c>
      <c r="K898" s="9">
        <v>1</v>
      </c>
      <c r="L898" s="10">
        <v>0</v>
      </c>
      <c r="M898" s="6">
        <v>0</v>
      </c>
      <c r="N898" s="37" t="e" cm="1">
        <f t="array" ref="N898">IF(OR(ISNUMBER(FIND(Aux!$D$3:$D$9,_xlfn.TEXTJOIN(,,C898:K898)))),NA(),IF(AND(SUM(C898:F898,H898:K898)=0,G898=1),0,INT((SUMPRODUCT(C898:F898,COLUMN($A$1:$D$1)-1)+SUMPRODUCT(H898:K898,COLUMN($E$1:$H$1)-1))*'Line Follower'!$C$3/SUM(C898:F898,H898:K898)-'Line Follower'!$C$5)))</f>
        <v>#N/A</v>
      </c>
      <c r="O898" s="22" t="e">
        <v>#N/A</v>
      </c>
      <c r="P898" s="4" t="e">
        <f t="shared" si="65"/>
        <v>#N/A</v>
      </c>
      <c r="Q898" s="4" t="e">
        <f t="shared" si="66"/>
        <v>#N/A</v>
      </c>
      <c r="R898" s="4" t="e">
        <f>IF(AND(B898=1,N898&gt;'Line Follower'!$C$7,SUM(C898:K898)&lt;4),1,0)</f>
        <v>#N/A</v>
      </c>
      <c r="S898" s="4" t="e">
        <f>IF(AND(L898=1,N898&lt;'Line Follower'!$C$6,SUM(C898:K898)&lt;4),1,0)</f>
        <v>#N/A</v>
      </c>
      <c r="T898" s="4" t="e">
        <f t="shared" si="67"/>
        <v>#N/A</v>
      </c>
      <c r="U898" s="5" t="e">
        <f t="shared" si="68"/>
        <v>#N/A</v>
      </c>
      <c r="V898" s="23" t="e">
        <f t="shared" si="69"/>
        <v>#N/A</v>
      </c>
    </row>
    <row r="899" spans="2:22" x14ac:dyDescent="0.25">
      <c r="B899" s="16">
        <v>0</v>
      </c>
      <c r="C899" s="7">
        <v>0</v>
      </c>
      <c r="D899" s="8">
        <v>0</v>
      </c>
      <c r="E899" s="8">
        <v>0</v>
      </c>
      <c r="F899" s="8">
        <v>0</v>
      </c>
      <c r="G899" s="8">
        <v>0</v>
      </c>
      <c r="H899" s="8">
        <v>0</v>
      </c>
      <c r="I899" s="8">
        <v>1</v>
      </c>
      <c r="J899" s="8">
        <v>1</v>
      </c>
      <c r="K899" s="9">
        <v>1</v>
      </c>
      <c r="L899" s="10">
        <v>0</v>
      </c>
      <c r="M899" s="6">
        <v>0</v>
      </c>
      <c r="N899" s="37" cm="1">
        <f t="array" ref="N899">IF(OR(ISNUMBER(FIND(Aux!$D$3:$D$9,_xlfn.TEXTJOIN(,,C899:K899)))),NA(),IF(AND(SUM(C899:F899,H899:K899)=0,G899=1),0,INT((SUMPRODUCT(C899:F899,COLUMN($A$1:$D$1)-1)+SUMPRODUCT(H899:K899,COLUMN($E$1:$H$1)-1))*'Line Follower'!$C$3/SUM(C899:F899,H899:K899)-'Line Follower'!$C$5)))</f>
        <v>5</v>
      </c>
      <c r="O899" s="22">
        <v>1</v>
      </c>
      <c r="P899" s="4">
        <f t="shared" ref="P899:P962" si="70">IF(AND(N899=0,G899=1,M899=1),1,0)</f>
        <v>0</v>
      </c>
      <c r="Q899" s="4">
        <f t="shared" ref="Q899:Q962" si="71">IF(ISERROR(N899),N899,IF(SUM(C899:K899)&gt;=4,1,0))</f>
        <v>0</v>
      </c>
      <c r="R899" s="4">
        <f>IF(AND(B899=1,N899&gt;'Line Follower'!$C$7,SUM(C899:K899)&lt;4),1,0)</f>
        <v>0</v>
      </c>
      <c r="S899" s="4">
        <f>IF(AND(L899=1,N899&lt;'Line Follower'!$C$6,SUM(C899:K899)&lt;4),1,0)</f>
        <v>0</v>
      </c>
      <c r="T899" s="4">
        <f t="shared" si="67"/>
        <v>0</v>
      </c>
      <c r="U899" s="5">
        <f t="shared" si="68"/>
        <v>0</v>
      </c>
      <c r="V899" s="23">
        <f t="shared" si="69"/>
        <v>0</v>
      </c>
    </row>
    <row r="900" spans="2:22" x14ac:dyDescent="0.25">
      <c r="B900" s="16">
        <v>1</v>
      </c>
      <c r="C900" s="7">
        <v>0</v>
      </c>
      <c r="D900" s="8">
        <v>0</v>
      </c>
      <c r="E900" s="8">
        <v>0</v>
      </c>
      <c r="F900" s="8">
        <v>0</v>
      </c>
      <c r="G900" s="8">
        <v>0</v>
      </c>
      <c r="H900" s="8">
        <v>0</v>
      </c>
      <c r="I900" s="8">
        <v>1</v>
      </c>
      <c r="J900" s="8">
        <v>1</v>
      </c>
      <c r="K900" s="9">
        <v>1</v>
      </c>
      <c r="L900" s="10">
        <v>0</v>
      </c>
      <c r="M900" s="6">
        <v>0</v>
      </c>
      <c r="N900" s="37" cm="1">
        <f t="array" ref="N900">IF(OR(ISNUMBER(FIND(Aux!$D$3:$D$9,_xlfn.TEXTJOIN(,,C900:K900)))),NA(),IF(AND(SUM(C900:F900,H900:K900)=0,G900=1),0,INT((SUMPRODUCT(C900:F900,COLUMN($A$1:$D$1)-1)+SUMPRODUCT(H900:K900,COLUMN($E$1:$H$1)-1))*'Line Follower'!$C$3/SUM(C900:F900,H900:K900)-'Line Follower'!$C$5)))</f>
        <v>5</v>
      </c>
      <c r="O900" s="22">
        <v>1</v>
      </c>
      <c r="P900" s="4">
        <f t="shared" si="70"/>
        <v>0</v>
      </c>
      <c r="Q900" s="4">
        <f t="shared" si="71"/>
        <v>0</v>
      </c>
      <c r="R900" s="4">
        <f>IF(AND(B900=1,N900&gt;'Line Follower'!$C$7,SUM(C900:K900)&lt;4),1,0)</f>
        <v>1</v>
      </c>
      <c r="S900" s="4">
        <f>IF(AND(L900=1,N900&lt;'Line Follower'!$C$6,SUM(C900:K900)&lt;4),1,0)</f>
        <v>0</v>
      </c>
      <c r="T900" s="4">
        <f t="shared" ref="T900:T963" si="72">IF(ISNA(N900),NA(),IF(SUM(C900:L900)=0,1,0))</f>
        <v>0</v>
      </c>
      <c r="U900" s="5">
        <f t="shared" ref="U900:U963" si="73">IF(ISNA(N900),NA(),IF(SUM(B900:K900)=0,1,0))</f>
        <v>0</v>
      </c>
      <c r="V900" s="23">
        <f t="shared" ref="V900:V963" si="74">IF(ISNA(N900),NA(),IF(SUM(B900:L900)=0,1,0))</f>
        <v>0</v>
      </c>
    </row>
    <row r="901" spans="2:22" x14ac:dyDescent="0.25">
      <c r="B901" s="16">
        <v>0</v>
      </c>
      <c r="C901" s="7">
        <v>1</v>
      </c>
      <c r="D901" s="8">
        <v>0</v>
      </c>
      <c r="E901" s="8">
        <v>0</v>
      </c>
      <c r="F901" s="8">
        <v>0</v>
      </c>
      <c r="G901" s="8">
        <v>0</v>
      </c>
      <c r="H901" s="8">
        <v>0</v>
      </c>
      <c r="I901" s="8">
        <v>1</v>
      </c>
      <c r="J901" s="8">
        <v>1</v>
      </c>
      <c r="K901" s="9">
        <v>1</v>
      </c>
      <c r="L901" s="10">
        <v>0</v>
      </c>
      <c r="M901" s="6">
        <v>0</v>
      </c>
      <c r="N901" s="37" t="e" cm="1">
        <f t="array" ref="N901">IF(OR(ISNUMBER(FIND(Aux!$D$3:$D$9,_xlfn.TEXTJOIN(,,C901:K901)))),NA(),IF(AND(SUM(C901:F901,H901:K901)=0,G901=1),0,INT((SUMPRODUCT(C901:F901,COLUMN($A$1:$D$1)-1)+SUMPRODUCT(H901:K901,COLUMN($E$1:$H$1)-1))*'Line Follower'!$C$3/SUM(C901:F901,H901:K901)-'Line Follower'!$C$5)))</f>
        <v>#N/A</v>
      </c>
      <c r="O901" s="22" t="e">
        <v>#N/A</v>
      </c>
      <c r="P901" s="4" t="e">
        <f t="shared" si="70"/>
        <v>#N/A</v>
      </c>
      <c r="Q901" s="4" t="e">
        <f t="shared" si="71"/>
        <v>#N/A</v>
      </c>
      <c r="R901" s="4" t="e">
        <f>IF(AND(B901=1,N901&gt;'Line Follower'!$C$7,SUM(C901:K901)&lt;4),1,0)</f>
        <v>#N/A</v>
      </c>
      <c r="S901" s="4" t="e">
        <f>IF(AND(L901=1,N901&lt;'Line Follower'!$C$6,SUM(C901:K901)&lt;4),1,0)</f>
        <v>#N/A</v>
      </c>
      <c r="T901" s="4" t="e">
        <f t="shared" si="72"/>
        <v>#N/A</v>
      </c>
      <c r="U901" s="5" t="e">
        <f t="shared" si="73"/>
        <v>#N/A</v>
      </c>
      <c r="V901" s="23" t="e">
        <f t="shared" si="74"/>
        <v>#N/A</v>
      </c>
    </row>
    <row r="902" spans="2:22" x14ac:dyDescent="0.25">
      <c r="B902" s="16">
        <v>1</v>
      </c>
      <c r="C902" s="7">
        <v>1</v>
      </c>
      <c r="D902" s="8">
        <v>0</v>
      </c>
      <c r="E902" s="8">
        <v>0</v>
      </c>
      <c r="F902" s="8">
        <v>0</v>
      </c>
      <c r="G902" s="8">
        <v>0</v>
      </c>
      <c r="H902" s="8">
        <v>0</v>
      </c>
      <c r="I902" s="8">
        <v>1</v>
      </c>
      <c r="J902" s="8">
        <v>1</v>
      </c>
      <c r="K902" s="9">
        <v>1</v>
      </c>
      <c r="L902" s="10">
        <v>0</v>
      </c>
      <c r="M902" s="6">
        <v>0</v>
      </c>
      <c r="N902" s="37" t="e" cm="1">
        <f t="array" ref="N902">IF(OR(ISNUMBER(FIND(Aux!$D$3:$D$9,_xlfn.TEXTJOIN(,,C902:K902)))),NA(),IF(AND(SUM(C902:F902,H902:K902)=0,G902=1),0,INT((SUMPRODUCT(C902:F902,COLUMN($A$1:$D$1)-1)+SUMPRODUCT(H902:K902,COLUMN($E$1:$H$1)-1))*'Line Follower'!$C$3/SUM(C902:F902,H902:K902)-'Line Follower'!$C$5)))</f>
        <v>#N/A</v>
      </c>
      <c r="O902" s="22" t="e">
        <v>#N/A</v>
      </c>
      <c r="P902" s="4" t="e">
        <f t="shared" si="70"/>
        <v>#N/A</v>
      </c>
      <c r="Q902" s="4" t="e">
        <f t="shared" si="71"/>
        <v>#N/A</v>
      </c>
      <c r="R902" s="4" t="e">
        <f>IF(AND(B902=1,N902&gt;'Line Follower'!$C$7,SUM(C902:K902)&lt;4),1,0)</f>
        <v>#N/A</v>
      </c>
      <c r="S902" s="4" t="e">
        <f>IF(AND(L902=1,N902&lt;'Line Follower'!$C$6,SUM(C902:K902)&lt;4),1,0)</f>
        <v>#N/A</v>
      </c>
      <c r="T902" s="4" t="e">
        <f t="shared" si="72"/>
        <v>#N/A</v>
      </c>
      <c r="U902" s="5" t="e">
        <f t="shared" si="73"/>
        <v>#N/A</v>
      </c>
      <c r="V902" s="23" t="e">
        <f t="shared" si="74"/>
        <v>#N/A</v>
      </c>
    </row>
    <row r="903" spans="2:22" x14ac:dyDescent="0.25">
      <c r="B903" s="16">
        <v>0</v>
      </c>
      <c r="C903" s="7">
        <v>0</v>
      </c>
      <c r="D903" s="8">
        <v>1</v>
      </c>
      <c r="E903" s="8">
        <v>0</v>
      </c>
      <c r="F903" s="8">
        <v>0</v>
      </c>
      <c r="G903" s="8">
        <v>0</v>
      </c>
      <c r="H903" s="8">
        <v>0</v>
      </c>
      <c r="I903" s="8">
        <v>1</v>
      </c>
      <c r="J903" s="8">
        <v>1</v>
      </c>
      <c r="K903" s="9">
        <v>1</v>
      </c>
      <c r="L903" s="10">
        <v>0</v>
      </c>
      <c r="M903" s="6">
        <v>0</v>
      </c>
      <c r="N903" s="37" t="e" cm="1">
        <f t="array" ref="N903">IF(OR(ISNUMBER(FIND(Aux!$D$3:$D$9,_xlfn.TEXTJOIN(,,C903:K903)))),NA(),IF(AND(SUM(C903:F903,H903:K903)=0,G903=1),0,INT((SUMPRODUCT(C903:F903,COLUMN($A$1:$D$1)-1)+SUMPRODUCT(H903:K903,COLUMN($E$1:$H$1)-1))*'Line Follower'!$C$3/SUM(C903:F903,H903:K903)-'Line Follower'!$C$5)))</f>
        <v>#N/A</v>
      </c>
      <c r="O903" s="22" t="e">
        <v>#N/A</v>
      </c>
      <c r="P903" s="4" t="e">
        <f t="shared" si="70"/>
        <v>#N/A</v>
      </c>
      <c r="Q903" s="4" t="e">
        <f t="shared" si="71"/>
        <v>#N/A</v>
      </c>
      <c r="R903" s="4" t="e">
        <f>IF(AND(B903=1,N903&gt;'Line Follower'!$C$7,SUM(C903:K903)&lt;4),1,0)</f>
        <v>#N/A</v>
      </c>
      <c r="S903" s="4" t="e">
        <f>IF(AND(L903=1,N903&lt;'Line Follower'!$C$6,SUM(C903:K903)&lt;4),1,0)</f>
        <v>#N/A</v>
      </c>
      <c r="T903" s="4" t="e">
        <f t="shared" si="72"/>
        <v>#N/A</v>
      </c>
      <c r="U903" s="5" t="e">
        <f t="shared" si="73"/>
        <v>#N/A</v>
      </c>
      <c r="V903" s="23" t="e">
        <f t="shared" si="74"/>
        <v>#N/A</v>
      </c>
    </row>
    <row r="904" spans="2:22" x14ac:dyDescent="0.25">
      <c r="B904" s="16">
        <v>1</v>
      </c>
      <c r="C904" s="7">
        <v>0</v>
      </c>
      <c r="D904" s="8">
        <v>1</v>
      </c>
      <c r="E904" s="8">
        <v>0</v>
      </c>
      <c r="F904" s="8">
        <v>0</v>
      </c>
      <c r="G904" s="8">
        <v>0</v>
      </c>
      <c r="H904" s="8">
        <v>0</v>
      </c>
      <c r="I904" s="8">
        <v>1</v>
      </c>
      <c r="J904" s="8">
        <v>1</v>
      </c>
      <c r="K904" s="9">
        <v>1</v>
      </c>
      <c r="L904" s="10">
        <v>0</v>
      </c>
      <c r="M904" s="6">
        <v>0</v>
      </c>
      <c r="N904" s="37" t="e" cm="1">
        <f t="array" ref="N904">IF(OR(ISNUMBER(FIND(Aux!$D$3:$D$9,_xlfn.TEXTJOIN(,,C904:K904)))),NA(),IF(AND(SUM(C904:F904,H904:K904)=0,G904=1),0,INT((SUMPRODUCT(C904:F904,COLUMN($A$1:$D$1)-1)+SUMPRODUCT(H904:K904,COLUMN($E$1:$H$1)-1))*'Line Follower'!$C$3/SUM(C904:F904,H904:K904)-'Line Follower'!$C$5)))</f>
        <v>#N/A</v>
      </c>
      <c r="O904" s="22" t="e">
        <v>#N/A</v>
      </c>
      <c r="P904" s="4" t="e">
        <f t="shared" si="70"/>
        <v>#N/A</v>
      </c>
      <c r="Q904" s="4" t="e">
        <f t="shared" si="71"/>
        <v>#N/A</v>
      </c>
      <c r="R904" s="4" t="e">
        <f>IF(AND(B904=1,N904&gt;'Line Follower'!$C$7,SUM(C904:K904)&lt;4),1,0)</f>
        <v>#N/A</v>
      </c>
      <c r="S904" s="4" t="e">
        <f>IF(AND(L904=1,N904&lt;'Line Follower'!$C$6,SUM(C904:K904)&lt;4),1,0)</f>
        <v>#N/A</v>
      </c>
      <c r="T904" s="4" t="e">
        <f t="shared" si="72"/>
        <v>#N/A</v>
      </c>
      <c r="U904" s="5" t="e">
        <f t="shared" si="73"/>
        <v>#N/A</v>
      </c>
      <c r="V904" s="23" t="e">
        <f t="shared" si="74"/>
        <v>#N/A</v>
      </c>
    </row>
    <row r="905" spans="2:22" x14ac:dyDescent="0.25">
      <c r="B905" s="16">
        <v>0</v>
      </c>
      <c r="C905" s="7">
        <v>1</v>
      </c>
      <c r="D905" s="8">
        <v>1</v>
      </c>
      <c r="E905" s="8">
        <v>0</v>
      </c>
      <c r="F905" s="8">
        <v>0</v>
      </c>
      <c r="G905" s="8">
        <v>0</v>
      </c>
      <c r="H905" s="8">
        <v>0</v>
      </c>
      <c r="I905" s="8">
        <v>1</v>
      </c>
      <c r="J905" s="8">
        <v>1</v>
      </c>
      <c r="K905" s="9">
        <v>1</v>
      </c>
      <c r="L905" s="10">
        <v>0</v>
      </c>
      <c r="M905" s="6">
        <v>0</v>
      </c>
      <c r="N905" s="37" t="e" cm="1">
        <f t="array" ref="N905">IF(OR(ISNUMBER(FIND(Aux!$D$3:$D$9,_xlfn.TEXTJOIN(,,C905:K905)))),NA(),IF(AND(SUM(C905:F905,H905:K905)=0,G905=1),0,INT((SUMPRODUCT(C905:F905,COLUMN($A$1:$D$1)-1)+SUMPRODUCT(H905:K905,COLUMN($E$1:$H$1)-1))*'Line Follower'!$C$3/SUM(C905:F905,H905:K905)-'Line Follower'!$C$5)))</f>
        <v>#N/A</v>
      </c>
      <c r="O905" s="22" t="e">
        <v>#N/A</v>
      </c>
      <c r="P905" s="4" t="e">
        <f t="shared" si="70"/>
        <v>#N/A</v>
      </c>
      <c r="Q905" s="4" t="e">
        <f t="shared" si="71"/>
        <v>#N/A</v>
      </c>
      <c r="R905" s="4" t="e">
        <f>IF(AND(B905=1,N905&gt;'Line Follower'!$C$7,SUM(C905:K905)&lt;4),1,0)</f>
        <v>#N/A</v>
      </c>
      <c r="S905" s="4" t="e">
        <f>IF(AND(L905=1,N905&lt;'Line Follower'!$C$6,SUM(C905:K905)&lt;4),1,0)</f>
        <v>#N/A</v>
      </c>
      <c r="T905" s="4" t="e">
        <f t="shared" si="72"/>
        <v>#N/A</v>
      </c>
      <c r="U905" s="5" t="e">
        <f t="shared" si="73"/>
        <v>#N/A</v>
      </c>
      <c r="V905" s="23" t="e">
        <f t="shared" si="74"/>
        <v>#N/A</v>
      </c>
    </row>
    <row r="906" spans="2:22" x14ac:dyDescent="0.25">
      <c r="B906" s="16">
        <v>1</v>
      </c>
      <c r="C906" s="7">
        <v>1</v>
      </c>
      <c r="D906" s="8">
        <v>1</v>
      </c>
      <c r="E906" s="8">
        <v>0</v>
      </c>
      <c r="F906" s="8">
        <v>0</v>
      </c>
      <c r="G906" s="8">
        <v>0</v>
      </c>
      <c r="H906" s="8">
        <v>0</v>
      </c>
      <c r="I906" s="8">
        <v>1</v>
      </c>
      <c r="J906" s="8">
        <v>1</v>
      </c>
      <c r="K906" s="9">
        <v>1</v>
      </c>
      <c r="L906" s="10">
        <v>0</v>
      </c>
      <c r="M906" s="6">
        <v>0</v>
      </c>
      <c r="N906" s="37" t="e" cm="1">
        <f t="array" ref="N906">IF(OR(ISNUMBER(FIND(Aux!$D$3:$D$9,_xlfn.TEXTJOIN(,,C906:K906)))),NA(),IF(AND(SUM(C906:F906,H906:K906)=0,G906=1),0,INT((SUMPRODUCT(C906:F906,COLUMN($A$1:$D$1)-1)+SUMPRODUCT(H906:K906,COLUMN($E$1:$H$1)-1))*'Line Follower'!$C$3/SUM(C906:F906,H906:K906)-'Line Follower'!$C$5)))</f>
        <v>#N/A</v>
      </c>
      <c r="O906" s="22" t="e">
        <v>#N/A</v>
      </c>
      <c r="P906" s="4" t="e">
        <f t="shared" si="70"/>
        <v>#N/A</v>
      </c>
      <c r="Q906" s="4" t="e">
        <f t="shared" si="71"/>
        <v>#N/A</v>
      </c>
      <c r="R906" s="4" t="e">
        <f>IF(AND(B906=1,N906&gt;'Line Follower'!$C$7,SUM(C906:K906)&lt;4),1,0)</f>
        <v>#N/A</v>
      </c>
      <c r="S906" s="4" t="e">
        <f>IF(AND(L906=1,N906&lt;'Line Follower'!$C$6,SUM(C906:K906)&lt;4),1,0)</f>
        <v>#N/A</v>
      </c>
      <c r="T906" s="4" t="e">
        <f t="shared" si="72"/>
        <v>#N/A</v>
      </c>
      <c r="U906" s="5" t="e">
        <f t="shared" si="73"/>
        <v>#N/A</v>
      </c>
      <c r="V906" s="23" t="e">
        <f t="shared" si="74"/>
        <v>#N/A</v>
      </c>
    </row>
    <row r="907" spans="2:22" x14ac:dyDescent="0.25">
      <c r="B907" s="16">
        <v>0</v>
      </c>
      <c r="C907" s="7">
        <v>0</v>
      </c>
      <c r="D907" s="8">
        <v>0</v>
      </c>
      <c r="E907" s="8">
        <v>1</v>
      </c>
      <c r="F907" s="8">
        <v>0</v>
      </c>
      <c r="G907" s="8">
        <v>0</v>
      </c>
      <c r="H907" s="8">
        <v>0</v>
      </c>
      <c r="I907" s="8">
        <v>1</v>
      </c>
      <c r="J907" s="8">
        <v>1</v>
      </c>
      <c r="K907" s="9">
        <v>1</v>
      </c>
      <c r="L907" s="10">
        <v>0</v>
      </c>
      <c r="M907" s="6">
        <v>0</v>
      </c>
      <c r="N907" s="37" t="e" cm="1">
        <f t="array" ref="N907">IF(OR(ISNUMBER(FIND(Aux!$D$3:$D$9,_xlfn.TEXTJOIN(,,C907:K907)))),NA(),IF(AND(SUM(C907:F907,H907:K907)=0,G907=1),0,INT((SUMPRODUCT(C907:F907,COLUMN($A$1:$D$1)-1)+SUMPRODUCT(H907:K907,COLUMN($E$1:$H$1)-1))*'Line Follower'!$C$3/SUM(C907:F907,H907:K907)-'Line Follower'!$C$5)))</f>
        <v>#N/A</v>
      </c>
      <c r="O907" s="22" t="e">
        <v>#N/A</v>
      </c>
      <c r="P907" s="4" t="e">
        <f t="shared" si="70"/>
        <v>#N/A</v>
      </c>
      <c r="Q907" s="4" t="e">
        <f t="shared" si="71"/>
        <v>#N/A</v>
      </c>
      <c r="R907" s="4" t="e">
        <f>IF(AND(B907=1,N907&gt;'Line Follower'!$C$7,SUM(C907:K907)&lt;4),1,0)</f>
        <v>#N/A</v>
      </c>
      <c r="S907" s="4" t="e">
        <f>IF(AND(L907=1,N907&lt;'Line Follower'!$C$6,SUM(C907:K907)&lt;4),1,0)</f>
        <v>#N/A</v>
      </c>
      <c r="T907" s="4" t="e">
        <f t="shared" si="72"/>
        <v>#N/A</v>
      </c>
      <c r="U907" s="5" t="e">
        <f t="shared" si="73"/>
        <v>#N/A</v>
      </c>
      <c r="V907" s="23" t="e">
        <f t="shared" si="74"/>
        <v>#N/A</v>
      </c>
    </row>
    <row r="908" spans="2:22" x14ac:dyDescent="0.25">
      <c r="B908" s="16">
        <v>1</v>
      </c>
      <c r="C908" s="7">
        <v>0</v>
      </c>
      <c r="D908" s="8">
        <v>0</v>
      </c>
      <c r="E908" s="8">
        <v>1</v>
      </c>
      <c r="F908" s="8">
        <v>0</v>
      </c>
      <c r="G908" s="8">
        <v>0</v>
      </c>
      <c r="H908" s="8">
        <v>0</v>
      </c>
      <c r="I908" s="8">
        <v>1</v>
      </c>
      <c r="J908" s="8">
        <v>1</v>
      </c>
      <c r="K908" s="9">
        <v>1</v>
      </c>
      <c r="L908" s="10">
        <v>0</v>
      </c>
      <c r="M908" s="6">
        <v>0</v>
      </c>
      <c r="N908" s="37" t="e" cm="1">
        <f t="array" ref="N908">IF(OR(ISNUMBER(FIND(Aux!$D$3:$D$9,_xlfn.TEXTJOIN(,,C908:K908)))),NA(),IF(AND(SUM(C908:F908,H908:K908)=0,G908=1),0,INT((SUMPRODUCT(C908:F908,COLUMN($A$1:$D$1)-1)+SUMPRODUCT(H908:K908,COLUMN($E$1:$H$1)-1))*'Line Follower'!$C$3/SUM(C908:F908,H908:K908)-'Line Follower'!$C$5)))</f>
        <v>#N/A</v>
      </c>
      <c r="O908" s="22" t="e">
        <v>#N/A</v>
      </c>
      <c r="P908" s="4" t="e">
        <f t="shared" si="70"/>
        <v>#N/A</v>
      </c>
      <c r="Q908" s="4" t="e">
        <f t="shared" si="71"/>
        <v>#N/A</v>
      </c>
      <c r="R908" s="4" t="e">
        <f>IF(AND(B908=1,N908&gt;'Line Follower'!$C$7,SUM(C908:K908)&lt;4),1,0)</f>
        <v>#N/A</v>
      </c>
      <c r="S908" s="4" t="e">
        <f>IF(AND(L908=1,N908&lt;'Line Follower'!$C$6,SUM(C908:K908)&lt;4),1,0)</f>
        <v>#N/A</v>
      </c>
      <c r="T908" s="4" t="e">
        <f t="shared" si="72"/>
        <v>#N/A</v>
      </c>
      <c r="U908" s="5" t="e">
        <f t="shared" si="73"/>
        <v>#N/A</v>
      </c>
      <c r="V908" s="23" t="e">
        <f t="shared" si="74"/>
        <v>#N/A</v>
      </c>
    </row>
    <row r="909" spans="2:22" x14ac:dyDescent="0.25">
      <c r="B909" s="16">
        <v>0</v>
      </c>
      <c r="C909" s="7">
        <v>1</v>
      </c>
      <c r="D909" s="8">
        <v>0</v>
      </c>
      <c r="E909" s="8">
        <v>1</v>
      </c>
      <c r="F909" s="8">
        <v>0</v>
      </c>
      <c r="G909" s="8">
        <v>0</v>
      </c>
      <c r="H909" s="8">
        <v>0</v>
      </c>
      <c r="I909" s="8">
        <v>1</v>
      </c>
      <c r="J909" s="8">
        <v>1</v>
      </c>
      <c r="K909" s="9">
        <v>1</v>
      </c>
      <c r="L909" s="10">
        <v>0</v>
      </c>
      <c r="M909" s="6">
        <v>0</v>
      </c>
      <c r="N909" s="37" t="e" cm="1">
        <f t="array" ref="N909">IF(OR(ISNUMBER(FIND(Aux!$D$3:$D$9,_xlfn.TEXTJOIN(,,C909:K909)))),NA(),IF(AND(SUM(C909:F909,H909:K909)=0,G909=1),0,INT((SUMPRODUCT(C909:F909,COLUMN($A$1:$D$1)-1)+SUMPRODUCT(H909:K909,COLUMN($E$1:$H$1)-1))*'Line Follower'!$C$3/SUM(C909:F909,H909:K909)-'Line Follower'!$C$5)))</f>
        <v>#N/A</v>
      </c>
      <c r="O909" s="22" t="e">
        <v>#N/A</v>
      </c>
      <c r="P909" s="4" t="e">
        <f t="shared" si="70"/>
        <v>#N/A</v>
      </c>
      <c r="Q909" s="4" t="e">
        <f t="shared" si="71"/>
        <v>#N/A</v>
      </c>
      <c r="R909" s="4" t="e">
        <f>IF(AND(B909=1,N909&gt;'Line Follower'!$C$7,SUM(C909:K909)&lt;4),1,0)</f>
        <v>#N/A</v>
      </c>
      <c r="S909" s="4" t="e">
        <f>IF(AND(L909=1,N909&lt;'Line Follower'!$C$6,SUM(C909:K909)&lt;4),1,0)</f>
        <v>#N/A</v>
      </c>
      <c r="T909" s="4" t="e">
        <f t="shared" si="72"/>
        <v>#N/A</v>
      </c>
      <c r="U909" s="5" t="e">
        <f t="shared" si="73"/>
        <v>#N/A</v>
      </c>
      <c r="V909" s="23" t="e">
        <f t="shared" si="74"/>
        <v>#N/A</v>
      </c>
    </row>
    <row r="910" spans="2:22" x14ac:dyDescent="0.25">
      <c r="B910" s="16">
        <v>1</v>
      </c>
      <c r="C910" s="7">
        <v>1</v>
      </c>
      <c r="D910" s="8">
        <v>0</v>
      </c>
      <c r="E910" s="8">
        <v>1</v>
      </c>
      <c r="F910" s="8">
        <v>0</v>
      </c>
      <c r="G910" s="8">
        <v>0</v>
      </c>
      <c r="H910" s="8">
        <v>0</v>
      </c>
      <c r="I910" s="8">
        <v>1</v>
      </c>
      <c r="J910" s="8">
        <v>1</v>
      </c>
      <c r="K910" s="9">
        <v>1</v>
      </c>
      <c r="L910" s="10">
        <v>0</v>
      </c>
      <c r="M910" s="6">
        <v>0</v>
      </c>
      <c r="N910" s="37" t="e" cm="1">
        <f t="array" ref="N910">IF(OR(ISNUMBER(FIND(Aux!$D$3:$D$9,_xlfn.TEXTJOIN(,,C910:K910)))),NA(),IF(AND(SUM(C910:F910,H910:K910)=0,G910=1),0,INT((SUMPRODUCT(C910:F910,COLUMN($A$1:$D$1)-1)+SUMPRODUCT(H910:K910,COLUMN($E$1:$H$1)-1))*'Line Follower'!$C$3/SUM(C910:F910,H910:K910)-'Line Follower'!$C$5)))</f>
        <v>#N/A</v>
      </c>
      <c r="O910" s="22" t="e">
        <v>#N/A</v>
      </c>
      <c r="P910" s="4" t="e">
        <f t="shared" si="70"/>
        <v>#N/A</v>
      </c>
      <c r="Q910" s="4" t="e">
        <f t="shared" si="71"/>
        <v>#N/A</v>
      </c>
      <c r="R910" s="4" t="e">
        <f>IF(AND(B910=1,N910&gt;'Line Follower'!$C$7,SUM(C910:K910)&lt;4),1,0)</f>
        <v>#N/A</v>
      </c>
      <c r="S910" s="4" t="e">
        <f>IF(AND(L910=1,N910&lt;'Line Follower'!$C$6,SUM(C910:K910)&lt;4),1,0)</f>
        <v>#N/A</v>
      </c>
      <c r="T910" s="4" t="e">
        <f t="shared" si="72"/>
        <v>#N/A</v>
      </c>
      <c r="U910" s="5" t="e">
        <f t="shared" si="73"/>
        <v>#N/A</v>
      </c>
      <c r="V910" s="23" t="e">
        <f t="shared" si="74"/>
        <v>#N/A</v>
      </c>
    </row>
    <row r="911" spans="2:22" x14ac:dyDescent="0.25">
      <c r="B911" s="16">
        <v>0</v>
      </c>
      <c r="C911" s="7">
        <v>0</v>
      </c>
      <c r="D911" s="8">
        <v>1</v>
      </c>
      <c r="E911" s="8">
        <v>1</v>
      </c>
      <c r="F911" s="8">
        <v>0</v>
      </c>
      <c r="G911" s="8">
        <v>0</v>
      </c>
      <c r="H911" s="8">
        <v>0</v>
      </c>
      <c r="I911" s="8">
        <v>1</v>
      </c>
      <c r="J911" s="8">
        <v>1</v>
      </c>
      <c r="K911" s="9">
        <v>1</v>
      </c>
      <c r="L911" s="10">
        <v>0</v>
      </c>
      <c r="M911" s="6">
        <v>0</v>
      </c>
      <c r="N911" s="37" t="e" cm="1">
        <f t="array" ref="N911">IF(OR(ISNUMBER(FIND(Aux!$D$3:$D$9,_xlfn.TEXTJOIN(,,C911:K911)))),NA(),IF(AND(SUM(C911:F911,H911:K911)=0,G911=1),0,INT((SUMPRODUCT(C911:F911,COLUMN($A$1:$D$1)-1)+SUMPRODUCT(H911:K911,COLUMN($E$1:$H$1)-1))*'Line Follower'!$C$3/SUM(C911:F911,H911:K911)-'Line Follower'!$C$5)))</f>
        <v>#N/A</v>
      </c>
      <c r="O911" s="22" t="e">
        <v>#N/A</v>
      </c>
      <c r="P911" s="4" t="e">
        <f t="shared" si="70"/>
        <v>#N/A</v>
      </c>
      <c r="Q911" s="4" t="e">
        <f t="shared" si="71"/>
        <v>#N/A</v>
      </c>
      <c r="R911" s="4" t="e">
        <f>IF(AND(B911=1,N911&gt;'Line Follower'!$C$7,SUM(C911:K911)&lt;4),1,0)</f>
        <v>#N/A</v>
      </c>
      <c r="S911" s="4" t="e">
        <f>IF(AND(L911=1,N911&lt;'Line Follower'!$C$6,SUM(C911:K911)&lt;4),1,0)</f>
        <v>#N/A</v>
      </c>
      <c r="T911" s="4" t="e">
        <f t="shared" si="72"/>
        <v>#N/A</v>
      </c>
      <c r="U911" s="5" t="e">
        <f t="shared" si="73"/>
        <v>#N/A</v>
      </c>
      <c r="V911" s="23" t="e">
        <f t="shared" si="74"/>
        <v>#N/A</v>
      </c>
    </row>
    <row r="912" spans="2:22" x14ac:dyDescent="0.25">
      <c r="B912" s="16">
        <v>1</v>
      </c>
      <c r="C912" s="7">
        <v>0</v>
      </c>
      <c r="D912" s="8">
        <v>1</v>
      </c>
      <c r="E912" s="8">
        <v>1</v>
      </c>
      <c r="F912" s="8">
        <v>0</v>
      </c>
      <c r="G912" s="8">
        <v>0</v>
      </c>
      <c r="H912" s="8">
        <v>0</v>
      </c>
      <c r="I912" s="8">
        <v>1</v>
      </c>
      <c r="J912" s="8">
        <v>1</v>
      </c>
      <c r="K912" s="9">
        <v>1</v>
      </c>
      <c r="L912" s="10">
        <v>0</v>
      </c>
      <c r="M912" s="6">
        <v>0</v>
      </c>
      <c r="N912" s="37" t="e" cm="1">
        <f t="array" ref="N912">IF(OR(ISNUMBER(FIND(Aux!$D$3:$D$9,_xlfn.TEXTJOIN(,,C912:K912)))),NA(),IF(AND(SUM(C912:F912,H912:K912)=0,G912=1),0,INT((SUMPRODUCT(C912:F912,COLUMN($A$1:$D$1)-1)+SUMPRODUCT(H912:K912,COLUMN($E$1:$H$1)-1))*'Line Follower'!$C$3/SUM(C912:F912,H912:K912)-'Line Follower'!$C$5)))</f>
        <v>#N/A</v>
      </c>
      <c r="O912" s="22" t="e">
        <v>#N/A</v>
      </c>
      <c r="P912" s="4" t="e">
        <f t="shared" si="70"/>
        <v>#N/A</v>
      </c>
      <c r="Q912" s="4" t="e">
        <f t="shared" si="71"/>
        <v>#N/A</v>
      </c>
      <c r="R912" s="4" t="e">
        <f>IF(AND(B912=1,N912&gt;'Line Follower'!$C$7,SUM(C912:K912)&lt;4),1,0)</f>
        <v>#N/A</v>
      </c>
      <c r="S912" s="4" t="e">
        <f>IF(AND(L912=1,N912&lt;'Line Follower'!$C$6,SUM(C912:K912)&lt;4),1,0)</f>
        <v>#N/A</v>
      </c>
      <c r="T912" s="4" t="e">
        <f t="shared" si="72"/>
        <v>#N/A</v>
      </c>
      <c r="U912" s="5" t="e">
        <f t="shared" si="73"/>
        <v>#N/A</v>
      </c>
      <c r="V912" s="23" t="e">
        <f t="shared" si="74"/>
        <v>#N/A</v>
      </c>
    </row>
    <row r="913" spans="2:22" x14ac:dyDescent="0.25">
      <c r="B913" s="16">
        <v>0</v>
      </c>
      <c r="C913" s="7">
        <v>1</v>
      </c>
      <c r="D913" s="8">
        <v>1</v>
      </c>
      <c r="E913" s="8">
        <v>1</v>
      </c>
      <c r="F913" s="8">
        <v>0</v>
      </c>
      <c r="G913" s="8">
        <v>0</v>
      </c>
      <c r="H913" s="8">
        <v>0</v>
      </c>
      <c r="I913" s="8">
        <v>1</v>
      </c>
      <c r="J913" s="8">
        <v>1</v>
      </c>
      <c r="K913" s="9">
        <v>1</v>
      </c>
      <c r="L913" s="10">
        <v>0</v>
      </c>
      <c r="M913" s="6">
        <v>0</v>
      </c>
      <c r="N913" s="37" t="e" cm="1">
        <f t="array" ref="N913">IF(OR(ISNUMBER(FIND(Aux!$D$3:$D$9,_xlfn.TEXTJOIN(,,C913:K913)))),NA(),IF(AND(SUM(C913:F913,H913:K913)=0,G913=1),0,INT((SUMPRODUCT(C913:F913,COLUMN($A$1:$D$1)-1)+SUMPRODUCT(H913:K913,COLUMN($E$1:$H$1)-1))*'Line Follower'!$C$3/SUM(C913:F913,H913:K913)-'Line Follower'!$C$5)))</f>
        <v>#N/A</v>
      </c>
      <c r="O913" s="22" t="e">
        <v>#N/A</v>
      </c>
      <c r="P913" s="4" t="e">
        <f t="shared" si="70"/>
        <v>#N/A</v>
      </c>
      <c r="Q913" s="4" t="e">
        <f t="shared" si="71"/>
        <v>#N/A</v>
      </c>
      <c r="R913" s="4" t="e">
        <f>IF(AND(B913=1,N913&gt;'Line Follower'!$C$7,SUM(C913:K913)&lt;4),1,0)</f>
        <v>#N/A</v>
      </c>
      <c r="S913" s="4" t="e">
        <f>IF(AND(L913=1,N913&lt;'Line Follower'!$C$6,SUM(C913:K913)&lt;4),1,0)</f>
        <v>#N/A</v>
      </c>
      <c r="T913" s="4" t="e">
        <f t="shared" si="72"/>
        <v>#N/A</v>
      </c>
      <c r="U913" s="5" t="e">
        <f t="shared" si="73"/>
        <v>#N/A</v>
      </c>
      <c r="V913" s="23" t="e">
        <f t="shared" si="74"/>
        <v>#N/A</v>
      </c>
    </row>
    <row r="914" spans="2:22" x14ac:dyDescent="0.25">
      <c r="B914" s="16">
        <v>1</v>
      </c>
      <c r="C914" s="7">
        <v>1</v>
      </c>
      <c r="D914" s="8">
        <v>1</v>
      </c>
      <c r="E914" s="8">
        <v>1</v>
      </c>
      <c r="F914" s="8">
        <v>0</v>
      </c>
      <c r="G914" s="8">
        <v>0</v>
      </c>
      <c r="H914" s="8">
        <v>0</v>
      </c>
      <c r="I914" s="8">
        <v>1</v>
      </c>
      <c r="J914" s="8">
        <v>1</v>
      </c>
      <c r="K914" s="9">
        <v>1</v>
      </c>
      <c r="L914" s="10">
        <v>0</v>
      </c>
      <c r="M914" s="6">
        <v>0</v>
      </c>
      <c r="N914" s="37" t="e" cm="1">
        <f t="array" ref="N914">IF(OR(ISNUMBER(FIND(Aux!$D$3:$D$9,_xlfn.TEXTJOIN(,,C914:K914)))),NA(),IF(AND(SUM(C914:F914,H914:K914)=0,G914=1),0,INT((SUMPRODUCT(C914:F914,COLUMN($A$1:$D$1)-1)+SUMPRODUCT(H914:K914,COLUMN($E$1:$H$1)-1))*'Line Follower'!$C$3/SUM(C914:F914,H914:K914)-'Line Follower'!$C$5)))</f>
        <v>#N/A</v>
      </c>
      <c r="O914" s="22" t="e">
        <v>#N/A</v>
      </c>
      <c r="P914" s="4" t="e">
        <f t="shared" si="70"/>
        <v>#N/A</v>
      </c>
      <c r="Q914" s="4" t="e">
        <f t="shared" si="71"/>
        <v>#N/A</v>
      </c>
      <c r="R914" s="4" t="e">
        <f>IF(AND(B914=1,N914&gt;'Line Follower'!$C$7,SUM(C914:K914)&lt;4),1,0)</f>
        <v>#N/A</v>
      </c>
      <c r="S914" s="4" t="e">
        <f>IF(AND(L914=1,N914&lt;'Line Follower'!$C$6,SUM(C914:K914)&lt;4),1,0)</f>
        <v>#N/A</v>
      </c>
      <c r="T914" s="4" t="e">
        <f t="shared" si="72"/>
        <v>#N/A</v>
      </c>
      <c r="U914" s="5" t="e">
        <f t="shared" si="73"/>
        <v>#N/A</v>
      </c>
      <c r="V914" s="23" t="e">
        <f t="shared" si="74"/>
        <v>#N/A</v>
      </c>
    </row>
    <row r="915" spans="2:22" x14ac:dyDescent="0.25">
      <c r="B915" s="16">
        <v>0</v>
      </c>
      <c r="C915" s="7">
        <v>0</v>
      </c>
      <c r="D915" s="8">
        <v>0</v>
      </c>
      <c r="E915" s="8">
        <v>0</v>
      </c>
      <c r="F915" s="8">
        <v>1</v>
      </c>
      <c r="G915" s="8">
        <v>0</v>
      </c>
      <c r="H915" s="8">
        <v>0</v>
      </c>
      <c r="I915" s="8">
        <v>1</v>
      </c>
      <c r="J915" s="8">
        <v>1</v>
      </c>
      <c r="K915" s="9">
        <v>1</v>
      </c>
      <c r="L915" s="10">
        <v>0</v>
      </c>
      <c r="M915" s="6">
        <v>0</v>
      </c>
      <c r="N915" s="37" t="e" cm="1">
        <f t="array" ref="N915">IF(OR(ISNUMBER(FIND(Aux!$D$3:$D$9,_xlfn.TEXTJOIN(,,C915:K915)))),NA(),IF(AND(SUM(C915:F915,H915:K915)=0,G915=1),0,INT((SUMPRODUCT(C915:F915,COLUMN($A$1:$D$1)-1)+SUMPRODUCT(H915:K915,COLUMN($E$1:$H$1)-1))*'Line Follower'!$C$3/SUM(C915:F915,H915:K915)-'Line Follower'!$C$5)))</f>
        <v>#N/A</v>
      </c>
      <c r="O915" s="22" t="e">
        <v>#N/A</v>
      </c>
      <c r="P915" s="4" t="e">
        <f t="shared" si="70"/>
        <v>#N/A</v>
      </c>
      <c r="Q915" s="4" t="e">
        <f t="shared" si="71"/>
        <v>#N/A</v>
      </c>
      <c r="R915" s="4" t="e">
        <f>IF(AND(B915=1,N915&gt;'Line Follower'!$C$7,SUM(C915:K915)&lt;4),1,0)</f>
        <v>#N/A</v>
      </c>
      <c r="S915" s="4" t="e">
        <f>IF(AND(L915=1,N915&lt;'Line Follower'!$C$6,SUM(C915:K915)&lt;4),1,0)</f>
        <v>#N/A</v>
      </c>
      <c r="T915" s="4" t="e">
        <f t="shared" si="72"/>
        <v>#N/A</v>
      </c>
      <c r="U915" s="5" t="e">
        <f t="shared" si="73"/>
        <v>#N/A</v>
      </c>
      <c r="V915" s="23" t="e">
        <f t="shared" si="74"/>
        <v>#N/A</v>
      </c>
    </row>
    <row r="916" spans="2:22" x14ac:dyDescent="0.25">
      <c r="B916" s="16">
        <v>1</v>
      </c>
      <c r="C916" s="7">
        <v>0</v>
      </c>
      <c r="D916" s="8">
        <v>0</v>
      </c>
      <c r="E916" s="8">
        <v>0</v>
      </c>
      <c r="F916" s="8">
        <v>1</v>
      </c>
      <c r="G916" s="8">
        <v>0</v>
      </c>
      <c r="H916" s="8">
        <v>0</v>
      </c>
      <c r="I916" s="8">
        <v>1</v>
      </c>
      <c r="J916" s="8">
        <v>1</v>
      </c>
      <c r="K916" s="9">
        <v>1</v>
      </c>
      <c r="L916" s="10">
        <v>0</v>
      </c>
      <c r="M916" s="6">
        <v>0</v>
      </c>
      <c r="N916" s="37" t="e" cm="1">
        <f t="array" ref="N916">IF(OR(ISNUMBER(FIND(Aux!$D$3:$D$9,_xlfn.TEXTJOIN(,,C916:K916)))),NA(),IF(AND(SUM(C916:F916,H916:K916)=0,G916=1),0,INT((SUMPRODUCT(C916:F916,COLUMN($A$1:$D$1)-1)+SUMPRODUCT(H916:K916,COLUMN($E$1:$H$1)-1))*'Line Follower'!$C$3/SUM(C916:F916,H916:K916)-'Line Follower'!$C$5)))</f>
        <v>#N/A</v>
      </c>
      <c r="O916" s="22" t="e">
        <v>#N/A</v>
      </c>
      <c r="P916" s="4" t="e">
        <f t="shared" si="70"/>
        <v>#N/A</v>
      </c>
      <c r="Q916" s="4" t="e">
        <f t="shared" si="71"/>
        <v>#N/A</v>
      </c>
      <c r="R916" s="4" t="e">
        <f>IF(AND(B916=1,N916&gt;'Line Follower'!$C$7,SUM(C916:K916)&lt;4),1,0)</f>
        <v>#N/A</v>
      </c>
      <c r="S916" s="4" t="e">
        <f>IF(AND(L916=1,N916&lt;'Line Follower'!$C$6,SUM(C916:K916)&lt;4),1,0)</f>
        <v>#N/A</v>
      </c>
      <c r="T916" s="4" t="e">
        <f t="shared" si="72"/>
        <v>#N/A</v>
      </c>
      <c r="U916" s="5" t="e">
        <f t="shared" si="73"/>
        <v>#N/A</v>
      </c>
      <c r="V916" s="23" t="e">
        <f t="shared" si="74"/>
        <v>#N/A</v>
      </c>
    </row>
    <row r="917" spans="2:22" x14ac:dyDescent="0.25">
      <c r="B917" s="16">
        <v>0</v>
      </c>
      <c r="C917" s="7">
        <v>1</v>
      </c>
      <c r="D917" s="8">
        <v>0</v>
      </c>
      <c r="E917" s="8">
        <v>0</v>
      </c>
      <c r="F917" s="8">
        <v>1</v>
      </c>
      <c r="G917" s="8">
        <v>0</v>
      </c>
      <c r="H917" s="8">
        <v>0</v>
      </c>
      <c r="I917" s="8">
        <v>1</v>
      </c>
      <c r="J917" s="8">
        <v>1</v>
      </c>
      <c r="K917" s="9">
        <v>1</v>
      </c>
      <c r="L917" s="10">
        <v>0</v>
      </c>
      <c r="M917" s="6">
        <v>0</v>
      </c>
      <c r="N917" s="37" t="e" cm="1">
        <f t="array" ref="N917">IF(OR(ISNUMBER(FIND(Aux!$D$3:$D$9,_xlfn.TEXTJOIN(,,C917:K917)))),NA(),IF(AND(SUM(C917:F917,H917:K917)=0,G917=1),0,INT((SUMPRODUCT(C917:F917,COLUMN($A$1:$D$1)-1)+SUMPRODUCT(H917:K917,COLUMN($E$1:$H$1)-1))*'Line Follower'!$C$3/SUM(C917:F917,H917:K917)-'Line Follower'!$C$5)))</f>
        <v>#N/A</v>
      </c>
      <c r="O917" s="22" t="e">
        <v>#N/A</v>
      </c>
      <c r="P917" s="4" t="e">
        <f t="shared" si="70"/>
        <v>#N/A</v>
      </c>
      <c r="Q917" s="4" t="e">
        <f t="shared" si="71"/>
        <v>#N/A</v>
      </c>
      <c r="R917" s="4" t="e">
        <f>IF(AND(B917=1,N917&gt;'Line Follower'!$C$7,SUM(C917:K917)&lt;4),1,0)</f>
        <v>#N/A</v>
      </c>
      <c r="S917" s="4" t="e">
        <f>IF(AND(L917=1,N917&lt;'Line Follower'!$C$6,SUM(C917:K917)&lt;4),1,0)</f>
        <v>#N/A</v>
      </c>
      <c r="T917" s="4" t="e">
        <f t="shared" si="72"/>
        <v>#N/A</v>
      </c>
      <c r="U917" s="5" t="e">
        <f t="shared" si="73"/>
        <v>#N/A</v>
      </c>
      <c r="V917" s="23" t="e">
        <f t="shared" si="74"/>
        <v>#N/A</v>
      </c>
    </row>
    <row r="918" spans="2:22" x14ac:dyDescent="0.25">
      <c r="B918" s="16">
        <v>1</v>
      </c>
      <c r="C918" s="7">
        <v>1</v>
      </c>
      <c r="D918" s="8">
        <v>0</v>
      </c>
      <c r="E918" s="8">
        <v>0</v>
      </c>
      <c r="F918" s="8">
        <v>1</v>
      </c>
      <c r="G918" s="8">
        <v>0</v>
      </c>
      <c r="H918" s="8">
        <v>0</v>
      </c>
      <c r="I918" s="8">
        <v>1</v>
      </c>
      <c r="J918" s="8">
        <v>1</v>
      </c>
      <c r="K918" s="9">
        <v>1</v>
      </c>
      <c r="L918" s="10">
        <v>0</v>
      </c>
      <c r="M918" s="6">
        <v>0</v>
      </c>
      <c r="N918" s="37" t="e" cm="1">
        <f t="array" ref="N918">IF(OR(ISNUMBER(FIND(Aux!$D$3:$D$9,_xlfn.TEXTJOIN(,,C918:K918)))),NA(),IF(AND(SUM(C918:F918,H918:K918)=0,G918=1),0,INT((SUMPRODUCT(C918:F918,COLUMN($A$1:$D$1)-1)+SUMPRODUCT(H918:K918,COLUMN($E$1:$H$1)-1))*'Line Follower'!$C$3/SUM(C918:F918,H918:K918)-'Line Follower'!$C$5)))</f>
        <v>#N/A</v>
      </c>
      <c r="O918" s="22" t="e">
        <v>#N/A</v>
      </c>
      <c r="P918" s="4" t="e">
        <f t="shared" si="70"/>
        <v>#N/A</v>
      </c>
      <c r="Q918" s="4" t="e">
        <f t="shared" si="71"/>
        <v>#N/A</v>
      </c>
      <c r="R918" s="4" t="e">
        <f>IF(AND(B918=1,N918&gt;'Line Follower'!$C$7,SUM(C918:K918)&lt;4),1,0)</f>
        <v>#N/A</v>
      </c>
      <c r="S918" s="4" t="e">
        <f>IF(AND(L918=1,N918&lt;'Line Follower'!$C$6,SUM(C918:K918)&lt;4),1,0)</f>
        <v>#N/A</v>
      </c>
      <c r="T918" s="4" t="e">
        <f t="shared" si="72"/>
        <v>#N/A</v>
      </c>
      <c r="U918" s="5" t="e">
        <f t="shared" si="73"/>
        <v>#N/A</v>
      </c>
      <c r="V918" s="23" t="e">
        <f t="shared" si="74"/>
        <v>#N/A</v>
      </c>
    </row>
    <row r="919" spans="2:22" x14ac:dyDescent="0.25">
      <c r="B919" s="16">
        <v>0</v>
      </c>
      <c r="C919" s="7">
        <v>0</v>
      </c>
      <c r="D919" s="8">
        <v>1</v>
      </c>
      <c r="E919" s="8">
        <v>0</v>
      </c>
      <c r="F919" s="8">
        <v>1</v>
      </c>
      <c r="G919" s="8">
        <v>0</v>
      </c>
      <c r="H919" s="8">
        <v>0</v>
      </c>
      <c r="I919" s="8">
        <v>1</v>
      </c>
      <c r="J919" s="8">
        <v>1</v>
      </c>
      <c r="K919" s="9">
        <v>1</v>
      </c>
      <c r="L919" s="10">
        <v>0</v>
      </c>
      <c r="M919" s="6">
        <v>0</v>
      </c>
      <c r="N919" s="37" t="e" cm="1">
        <f t="array" ref="N919">IF(OR(ISNUMBER(FIND(Aux!$D$3:$D$9,_xlfn.TEXTJOIN(,,C919:K919)))),NA(),IF(AND(SUM(C919:F919,H919:K919)=0,G919=1),0,INT((SUMPRODUCT(C919:F919,COLUMN($A$1:$D$1)-1)+SUMPRODUCT(H919:K919,COLUMN($E$1:$H$1)-1))*'Line Follower'!$C$3/SUM(C919:F919,H919:K919)-'Line Follower'!$C$5)))</f>
        <v>#N/A</v>
      </c>
      <c r="O919" s="22" t="e">
        <v>#N/A</v>
      </c>
      <c r="P919" s="4" t="e">
        <f t="shared" si="70"/>
        <v>#N/A</v>
      </c>
      <c r="Q919" s="4" t="e">
        <f t="shared" si="71"/>
        <v>#N/A</v>
      </c>
      <c r="R919" s="4" t="e">
        <f>IF(AND(B919=1,N919&gt;'Line Follower'!$C$7,SUM(C919:K919)&lt;4),1,0)</f>
        <v>#N/A</v>
      </c>
      <c r="S919" s="4" t="e">
        <f>IF(AND(L919=1,N919&lt;'Line Follower'!$C$6,SUM(C919:K919)&lt;4),1,0)</f>
        <v>#N/A</v>
      </c>
      <c r="T919" s="4" t="e">
        <f t="shared" si="72"/>
        <v>#N/A</v>
      </c>
      <c r="U919" s="5" t="e">
        <f t="shared" si="73"/>
        <v>#N/A</v>
      </c>
      <c r="V919" s="23" t="e">
        <f t="shared" si="74"/>
        <v>#N/A</v>
      </c>
    </row>
    <row r="920" spans="2:22" x14ac:dyDescent="0.25">
      <c r="B920" s="16">
        <v>1</v>
      </c>
      <c r="C920" s="7">
        <v>0</v>
      </c>
      <c r="D920" s="8">
        <v>1</v>
      </c>
      <c r="E920" s="8">
        <v>0</v>
      </c>
      <c r="F920" s="8">
        <v>1</v>
      </c>
      <c r="G920" s="8">
        <v>0</v>
      </c>
      <c r="H920" s="8">
        <v>0</v>
      </c>
      <c r="I920" s="8">
        <v>1</v>
      </c>
      <c r="J920" s="8">
        <v>1</v>
      </c>
      <c r="K920" s="9">
        <v>1</v>
      </c>
      <c r="L920" s="10">
        <v>0</v>
      </c>
      <c r="M920" s="6">
        <v>0</v>
      </c>
      <c r="N920" s="37" t="e" cm="1">
        <f t="array" ref="N920">IF(OR(ISNUMBER(FIND(Aux!$D$3:$D$9,_xlfn.TEXTJOIN(,,C920:K920)))),NA(),IF(AND(SUM(C920:F920,H920:K920)=0,G920=1),0,INT((SUMPRODUCT(C920:F920,COLUMN($A$1:$D$1)-1)+SUMPRODUCT(H920:K920,COLUMN($E$1:$H$1)-1))*'Line Follower'!$C$3/SUM(C920:F920,H920:K920)-'Line Follower'!$C$5)))</f>
        <v>#N/A</v>
      </c>
      <c r="O920" s="22" t="e">
        <v>#N/A</v>
      </c>
      <c r="P920" s="4" t="e">
        <f t="shared" si="70"/>
        <v>#N/A</v>
      </c>
      <c r="Q920" s="4" t="e">
        <f t="shared" si="71"/>
        <v>#N/A</v>
      </c>
      <c r="R920" s="4" t="e">
        <f>IF(AND(B920=1,N920&gt;'Line Follower'!$C$7,SUM(C920:K920)&lt;4),1,0)</f>
        <v>#N/A</v>
      </c>
      <c r="S920" s="4" t="e">
        <f>IF(AND(L920=1,N920&lt;'Line Follower'!$C$6,SUM(C920:K920)&lt;4),1,0)</f>
        <v>#N/A</v>
      </c>
      <c r="T920" s="4" t="e">
        <f t="shared" si="72"/>
        <v>#N/A</v>
      </c>
      <c r="U920" s="5" t="e">
        <f t="shared" si="73"/>
        <v>#N/A</v>
      </c>
      <c r="V920" s="23" t="e">
        <f t="shared" si="74"/>
        <v>#N/A</v>
      </c>
    </row>
    <row r="921" spans="2:22" x14ac:dyDescent="0.25">
      <c r="B921" s="16">
        <v>0</v>
      </c>
      <c r="C921" s="7">
        <v>1</v>
      </c>
      <c r="D921" s="8">
        <v>1</v>
      </c>
      <c r="E921" s="8">
        <v>0</v>
      </c>
      <c r="F921" s="8">
        <v>1</v>
      </c>
      <c r="G921" s="8">
        <v>0</v>
      </c>
      <c r="H921" s="8">
        <v>0</v>
      </c>
      <c r="I921" s="8">
        <v>1</v>
      </c>
      <c r="J921" s="8">
        <v>1</v>
      </c>
      <c r="K921" s="9">
        <v>1</v>
      </c>
      <c r="L921" s="10">
        <v>0</v>
      </c>
      <c r="M921" s="6">
        <v>0</v>
      </c>
      <c r="N921" s="37" t="e" cm="1">
        <f t="array" ref="N921">IF(OR(ISNUMBER(FIND(Aux!$D$3:$D$9,_xlfn.TEXTJOIN(,,C921:K921)))),NA(),IF(AND(SUM(C921:F921,H921:K921)=0,G921=1),0,INT((SUMPRODUCT(C921:F921,COLUMN($A$1:$D$1)-1)+SUMPRODUCT(H921:K921,COLUMN($E$1:$H$1)-1))*'Line Follower'!$C$3/SUM(C921:F921,H921:K921)-'Line Follower'!$C$5)))</f>
        <v>#N/A</v>
      </c>
      <c r="O921" s="22" t="e">
        <v>#N/A</v>
      </c>
      <c r="P921" s="4" t="e">
        <f t="shared" si="70"/>
        <v>#N/A</v>
      </c>
      <c r="Q921" s="4" t="e">
        <f t="shared" si="71"/>
        <v>#N/A</v>
      </c>
      <c r="R921" s="4" t="e">
        <f>IF(AND(B921=1,N921&gt;'Line Follower'!$C$7,SUM(C921:K921)&lt;4),1,0)</f>
        <v>#N/A</v>
      </c>
      <c r="S921" s="4" t="e">
        <f>IF(AND(L921=1,N921&lt;'Line Follower'!$C$6,SUM(C921:K921)&lt;4),1,0)</f>
        <v>#N/A</v>
      </c>
      <c r="T921" s="4" t="e">
        <f t="shared" si="72"/>
        <v>#N/A</v>
      </c>
      <c r="U921" s="5" t="e">
        <f t="shared" si="73"/>
        <v>#N/A</v>
      </c>
      <c r="V921" s="23" t="e">
        <f t="shared" si="74"/>
        <v>#N/A</v>
      </c>
    </row>
    <row r="922" spans="2:22" x14ac:dyDescent="0.25">
      <c r="B922" s="16">
        <v>1</v>
      </c>
      <c r="C922" s="7">
        <v>1</v>
      </c>
      <c r="D922" s="8">
        <v>1</v>
      </c>
      <c r="E922" s="8">
        <v>0</v>
      </c>
      <c r="F922" s="8">
        <v>1</v>
      </c>
      <c r="G922" s="8">
        <v>0</v>
      </c>
      <c r="H922" s="8">
        <v>0</v>
      </c>
      <c r="I922" s="8">
        <v>1</v>
      </c>
      <c r="J922" s="8">
        <v>1</v>
      </c>
      <c r="K922" s="9">
        <v>1</v>
      </c>
      <c r="L922" s="10">
        <v>0</v>
      </c>
      <c r="M922" s="6">
        <v>0</v>
      </c>
      <c r="N922" s="37" t="e" cm="1">
        <f t="array" ref="N922">IF(OR(ISNUMBER(FIND(Aux!$D$3:$D$9,_xlfn.TEXTJOIN(,,C922:K922)))),NA(),IF(AND(SUM(C922:F922,H922:K922)=0,G922=1),0,INT((SUMPRODUCT(C922:F922,COLUMN($A$1:$D$1)-1)+SUMPRODUCT(H922:K922,COLUMN($E$1:$H$1)-1))*'Line Follower'!$C$3/SUM(C922:F922,H922:K922)-'Line Follower'!$C$5)))</f>
        <v>#N/A</v>
      </c>
      <c r="O922" s="22" t="e">
        <v>#N/A</v>
      </c>
      <c r="P922" s="4" t="e">
        <f t="shared" si="70"/>
        <v>#N/A</v>
      </c>
      <c r="Q922" s="4" t="e">
        <f t="shared" si="71"/>
        <v>#N/A</v>
      </c>
      <c r="R922" s="4" t="e">
        <f>IF(AND(B922=1,N922&gt;'Line Follower'!$C$7,SUM(C922:K922)&lt;4),1,0)</f>
        <v>#N/A</v>
      </c>
      <c r="S922" s="4" t="e">
        <f>IF(AND(L922=1,N922&lt;'Line Follower'!$C$6,SUM(C922:K922)&lt;4),1,0)</f>
        <v>#N/A</v>
      </c>
      <c r="T922" s="4" t="e">
        <f t="shared" si="72"/>
        <v>#N/A</v>
      </c>
      <c r="U922" s="5" t="e">
        <f t="shared" si="73"/>
        <v>#N/A</v>
      </c>
      <c r="V922" s="23" t="e">
        <f t="shared" si="74"/>
        <v>#N/A</v>
      </c>
    </row>
    <row r="923" spans="2:22" x14ac:dyDescent="0.25">
      <c r="B923" s="16">
        <v>0</v>
      </c>
      <c r="C923" s="7">
        <v>0</v>
      </c>
      <c r="D923" s="8">
        <v>0</v>
      </c>
      <c r="E923" s="8">
        <v>1</v>
      </c>
      <c r="F923" s="8">
        <v>1</v>
      </c>
      <c r="G923" s="8">
        <v>0</v>
      </c>
      <c r="H923" s="8">
        <v>0</v>
      </c>
      <c r="I923" s="8">
        <v>1</v>
      </c>
      <c r="J923" s="8">
        <v>1</v>
      </c>
      <c r="K923" s="9">
        <v>1</v>
      </c>
      <c r="L923" s="10">
        <v>0</v>
      </c>
      <c r="M923" s="6">
        <v>0</v>
      </c>
      <c r="N923" s="37" t="e" cm="1">
        <f t="array" ref="N923">IF(OR(ISNUMBER(FIND(Aux!$D$3:$D$9,_xlfn.TEXTJOIN(,,C923:K923)))),NA(),IF(AND(SUM(C923:F923,H923:K923)=0,G923=1),0,INT((SUMPRODUCT(C923:F923,COLUMN($A$1:$D$1)-1)+SUMPRODUCT(H923:K923,COLUMN($E$1:$H$1)-1))*'Line Follower'!$C$3/SUM(C923:F923,H923:K923)-'Line Follower'!$C$5)))</f>
        <v>#N/A</v>
      </c>
      <c r="O923" s="22" t="e">
        <v>#N/A</v>
      </c>
      <c r="P923" s="4" t="e">
        <f t="shared" si="70"/>
        <v>#N/A</v>
      </c>
      <c r="Q923" s="4" t="e">
        <f t="shared" si="71"/>
        <v>#N/A</v>
      </c>
      <c r="R923" s="4" t="e">
        <f>IF(AND(B923=1,N923&gt;'Line Follower'!$C$7,SUM(C923:K923)&lt;4),1,0)</f>
        <v>#N/A</v>
      </c>
      <c r="S923" s="4" t="e">
        <f>IF(AND(L923=1,N923&lt;'Line Follower'!$C$6,SUM(C923:K923)&lt;4),1,0)</f>
        <v>#N/A</v>
      </c>
      <c r="T923" s="4" t="e">
        <f t="shared" si="72"/>
        <v>#N/A</v>
      </c>
      <c r="U923" s="5" t="e">
        <f t="shared" si="73"/>
        <v>#N/A</v>
      </c>
      <c r="V923" s="23" t="e">
        <f t="shared" si="74"/>
        <v>#N/A</v>
      </c>
    </row>
    <row r="924" spans="2:22" x14ac:dyDescent="0.25">
      <c r="B924" s="16">
        <v>1</v>
      </c>
      <c r="C924" s="7">
        <v>0</v>
      </c>
      <c r="D924" s="8">
        <v>0</v>
      </c>
      <c r="E924" s="8">
        <v>1</v>
      </c>
      <c r="F924" s="8">
        <v>1</v>
      </c>
      <c r="G924" s="8">
        <v>0</v>
      </c>
      <c r="H924" s="8">
        <v>0</v>
      </c>
      <c r="I924" s="8">
        <v>1</v>
      </c>
      <c r="J924" s="8">
        <v>1</v>
      </c>
      <c r="K924" s="9">
        <v>1</v>
      </c>
      <c r="L924" s="10">
        <v>0</v>
      </c>
      <c r="M924" s="6">
        <v>0</v>
      </c>
      <c r="N924" s="37" t="e" cm="1">
        <f t="array" ref="N924">IF(OR(ISNUMBER(FIND(Aux!$D$3:$D$9,_xlfn.TEXTJOIN(,,C924:K924)))),NA(),IF(AND(SUM(C924:F924,H924:K924)=0,G924=1),0,INT((SUMPRODUCT(C924:F924,COLUMN($A$1:$D$1)-1)+SUMPRODUCT(H924:K924,COLUMN($E$1:$H$1)-1))*'Line Follower'!$C$3/SUM(C924:F924,H924:K924)-'Line Follower'!$C$5)))</f>
        <v>#N/A</v>
      </c>
      <c r="O924" s="22" t="e">
        <v>#N/A</v>
      </c>
      <c r="P924" s="4" t="e">
        <f t="shared" si="70"/>
        <v>#N/A</v>
      </c>
      <c r="Q924" s="4" t="e">
        <f t="shared" si="71"/>
        <v>#N/A</v>
      </c>
      <c r="R924" s="4" t="e">
        <f>IF(AND(B924=1,N924&gt;'Line Follower'!$C$7,SUM(C924:K924)&lt;4),1,0)</f>
        <v>#N/A</v>
      </c>
      <c r="S924" s="4" t="e">
        <f>IF(AND(L924=1,N924&lt;'Line Follower'!$C$6,SUM(C924:K924)&lt;4),1,0)</f>
        <v>#N/A</v>
      </c>
      <c r="T924" s="4" t="e">
        <f t="shared" si="72"/>
        <v>#N/A</v>
      </c>
      <c r="U924" s="5" t="e">
        <f t="shared" si="73"/>
        <v>#N/A</v>
      </c>
      <c r="V924" s="23" t="e">
        <f t="shared" si="74"/>
        <v>#N/A</v>
      </c>
    </row>
    <row r="925" spans="2:22" x14ac:dyDescent="0.25">
      <c r="B925" s="16">
        <v>0</v>
      </c>
      <c r="C925" s="7">
        <v>1</v>
      </c>
      <c r="D925" s="8">
        <v>0</v>
      </c>
      <c r="E925" s="8">
        <v>1</v>
      </c>
      <c r="F925" s="8">
        <v>1</v>
      </c>
      <c r="G925" s="8">
        <v>0</v>
      </c>
      <c r="H925" s="8">
        <v>0</v>
      </c>
      <c r="I925" s="8">
        <v>1</v>
      </c>
      <c r="J925" s="8">
        <v>1</v>
      </c>
      <c r="K925" s="9">
        <v>1</v>
      </c>
      <c r="L925" s="10">
        <v>0</v>
      </c>
      <c r="M925" s="6">
        <v>0</v>
      </c>
      <c r="N925" s="37" t="e" cm="1">
        <f t="array" ref="N925">IF(OR(ISNUMBER(FIND(Aux!$D$3:$D$9,_xlfn.TEXTJOIN(,,C925:K925)))),NA(),IF(AND(SUM(C925:F925,H925:K925)=0,G925=1),0,INT((SUMPRODUCT(C925:F925,COLUMN($A$1:$D$1)-1)+SUMPRODUCT(H925:K925,COLUMN($E$1:$H$1)-1))*'Line Follower'!$C$3/SUM(C925:F925,H925:K925)-'Line Follower'!$C$5)))</f>
        <v>#N/A</v>
      </c>
      <c r="O925" s="22" t="e">
        <v>#N/A</v>
      </c>
      <c r="P925" s="4" t="e">
        <f t="shared" si="70"/>
        <v>#N/A</v>
      </c>
      <c r="Q925" s="4" t="e">
        <f t="shared" si="71"/>
        <v>#N/A</v>
      </c>
      <c r="R925" s="4" t="e">
        <f>IF(AND(B925=1,N925&gt;'Line Follower'!$C$7,SUM(C925:K925)&lt;4),1,0)</f>
        <v>#N/A</v>
      </c>
      <c r="S925" s="4" t="e">
        <f>IF(AND(L925=1,N925&lt;'Line Follower'!$C$6,SUM(C925:K925)&lt;4),1,0)</f>
        <v>#N/A</v>
      </c>
      <c r="T925" s="4" t="e">
        <f t="shared" si="72"/>
        <v>#N/A</v>
      </c>
      <c r="U925" s="5" t="e">
        <f t="shared" si="73"/>
        <v>#N/A</v>
      </c>
      <c r="V925" s="23" t="e">
        <f t="shared" si="74"/>
        <v>#N/A</v>
      </c>
    </row>
    <row r="926" spans="2:22" x14ac:dyDescent="0.25">
      <c r="B926" s="16">
        <v>1</v>
      </c>
      <c r="C926" s="7">
        <v>1</v>
      </c>
      <c r="D926" s="8">
        <v>0</v>
      </c>
      <c r="E926" s="8">
        <v>1</v>
      </c>
      <c r="F926" s="8">
        <v>1</v>
      </c>
      <c r="G926" s="8">
        <v>0</v>
      </c>
      <c r="H926" s="8">
        <v>0</v>
      </c>
      <c r="I926" s="8">
        <v>1</v>
      </c>
      <c r="J926" s="8">
        <v>1</v>
      </c>
      <c r="K926" s="9">
        <v>1</v>
      </c>
      <c r="L926" s="10">
        <v>0</v>
      </c>
      <c r="M926" s="6">
        <v>0</v>
      </c>
      <c r="N926" s="37" t="e" cm="1">
        <f t="array" ref="N926">IF(OR(ISNUMBER(FIND(Aux!$D$3:$D$9,_xlfn.TEXTJOIN(,,C926:K926)))),NA(),IF(AND(SUM(C926:F926,H926:K926)=0,G926=1),0,INT((SUMPRODUCT(C926:F926,COLUMN($A$1:$D$1)-1)+SUMPRODUCT(H926:K926,COLUMN($E$1:$H$1)-1))*'Line Follower'!$C$3/SUM(C926:F926,H926:K926)-'Line Follower'!$C$5)))</f>
        <v>#N/A</v>
      </c>
      <c r="O926" s="22" t="e">
        <v>#N/A</v>
      </c>
      <c r="P926" s="4" t="e">
        <f t="shared" si="70"/>
        <v>#N/A</v>
      </c>
      <c r="Q926" s="4" t="e">
        <f t="shared" si="71"/>
        <v>#N/A</v>
      </c>
      <c r="R926" s="4" t="e">
        <f>IF(AND(B926=1,N926&gt;'Line Follower'!$C$7,SUM(C926:K926)&lt;4),1,0)</f>
        <v>#N/A</v>
      </c>
      <c r="S926" s="4" t="e">
        <f>IF(AND(L926=1,N926&lt;'Line Follower'!$C$6,SUM(C926:K926)&lt;4),1,0)</f>
        <v>#N/A</v>
      </c>
      <c r="T926" s="4" t="e">
        <f t="shared" si="72"/>
        <v>#N/A</v>
      </c>
      <c r="U926" s="5" t="e">
        <f t="shared" si="73"/>
        <v>#N/A</v>
      </c>
      <c r="V926" s="23" t="e">
        <f t="shared" si="74"/>
        <v>#N/A</v>
      </c>
    </row>
    <row r="927" spans="2:22" x14ac:dyDescent="0.25">
      <c r="B927" s="16">
        <v>0</v>
      </c>
      <c r="C927" s="7">
        <v>0</v>
      </c>
      <c r="D927" s="8">
        <v>1</v>
      </c>
      <c r="E927" s="8">
        <v>1</v>
      </c>
      <c r="F927" s="8">
        <v>1</v>
      </c>
      <c r="G927" s="8">
        <v>0</v>
      </c>
      <c r="H927" s="8">
        <v>0</v>
      </c>
      <c r="I927" s="8">
        <v>1</v>
      </c>
      <c r="J927" s="8">
        <v>1</v>
      </c>
      <c r="K927" s="9">
        <v>1</v>
      </c>
      <c r="L927" s="10">
        <v>0</v>
      </c>
      <c r="M927" s="6">
        <v>0</v>
      </c>
      <c r="N927" s="37" t="e" cm="1">
        <f t="array" ref="N927">IF(OR(ISNUMBER(FIND(Aux!$D$3:$D$9,_xlfn.TEXTJOIN(,,C927:K927)))),NA(),IF(AND(SUM(C927:F927,H927:K927)=0,G927=1),0,INT((SUMPRODUCT(C927:F927,COLUMN($A$1:$D$1)-1)+SUMPRODUCT(H927:K927,COLUMN($E$1:$H$1)-1))*'Line Follower'!$C$3/SUM(C927:F927,H927:K927)-'Line Follower'!$C$5)))</f>
        <v>#N/A</v>
      </c>
      <c r="O927" s="22" t="e">
        <v>#N/A</v>
      </c>
      <c r="P927" s="4" t="e">
        <f t="shared" si="70"/>
        <v>#N/A</v>
      </c>
      <c r="Q927" s="4" t="e">
        <f t="shared" si="71"/>
        <v>#N/A</v>
      </c>
      <c r="R927" s="4" t="e">
        <f>IF(AND(B927=1,N927&gt;'Line Follower'!$C$7,SUM(C927:K927)&lt;4),1,0)</f>
        <v>#N/A</v>
      </c>
      <c r="S927" s="4" t="e">
        <f>IF(AND(L927=1,N927&lt;'Line Follower'!$C$6,SUM(C927:K927)&lt;4),1,0)</f>
        <v>#N/A</v>
      </c>
      <c r="T927" s="4" t="e">
        <f t="shared" si="72"/>
        <v>#N/A</v>
      </c>
      <c r="U927" s="5" t="e">
        <f t="shared" si="73"/>
        <v>#N/A</v>
      </c>
      <c r="V927" s="23" t="e">
        <f t="shared" si="74"/>
        <v>#N/A</v>
      </c>
    </row>
    <row r="928" spans="2:22" x14ac:dyDescent="0.25">
      <c r="B928" s="16">
        <v>1</v>
      </c>
      <c r="C928" s="7">
        <v>0</v>
      </c>
      <c r="D928" s="8">
        <v>1</v>
      </c>
      <c r="E928" s="8">
        <v>1</v>
      </c>
      <c r="F928" s="8">
        <v>1</v>
      </c>
      <c r="G928" s="8">
        <v>0</v>
      </c>
      <c r="H928" s="8">
        <v>0</v>
      </c>
      <c r="I928" s="8">
        <v>1</v>
      </c>
      <c r="J928" s="8">
        <v>1</v>
      </c>
      <c r="K928" s="9">
        <v>1</v>
      </c>
      <c r="L928" s="10">
        <v>0</v>
      </c>
      <c r="M928" s="6">
        <v>0</v>
      </c>
      <c r="N928" s="37" t="e" cm="1">
        <f t="array" ref="N928">IF(OR(ISNUMBER(FIND(Aux!$D$3:$D$9,_xlfn.TEXTJOIN(,,C928:K928)))),NA(),IF(AND(SUM(C928:F928,H928:K928)=0,G928=1),0,INT((SUMPRODUCT(C928:F928,COLUMN($A$1:$D$1)-1)+SUMPRODUCT(H928:K928,COLUMN($E$1:$H$1)-1))*'Line Follower'!$C$3/SUM(C928:F928,H928:K928)-'Line Follower'!$C$5)))</f>
        <v>#N/A</v>
      </c>
      <c r="O928" s="22" t="e">
        <v>#N/A</v>
      </c>
      <c r="P928" s="4" t="e">
        <f t="shared" si="70"/>
        <v>#N/A</v>
      </c>
      <c r="Q928" s="4" t="e">
        <f t="shared" si="71"/>
        <v>#N/A</v>
      </c>
      <c r="R928" s="4" t="e">
        <f>IF(AND(B928=1,N928&gt;'Line Follower'!$C$7,SUM(C928:K928)&lt;4),1,0)</f>
        <v>#N/A</v>
      </c>
      <c r="S928" s="4" t="e">
        <f>IF(AND(L928=1,N928&lt;'Line Follower'!$C$6,SUM(C928:K928)&lt;4),1,0)</f>
        <v>#N/A</v>
      </c>
      <c r="T928" s="4" t="e">
        <f t="shared" si="72"/>
        <v>#N/A</v>
      </c>
      <c r="U928" s="5" t="e">
        <f t="shared" si="73"/>
        <v>#N/A</v>
      </c>
      <c r="V928" s="23" t="e">
        <f t="shared" si="74"/>
        <v>#N/A</v>
      </c>
    </row>
    <row r="929" spans="2:22" x14ac:dyDescent="0.25">
      <c r="B929" s="16">
        <v>0</v>
      </c>
      <c r="C929" s="7">
        <v>1</v>
      </c>
      <c r="D929" s="8">
        <v>1</v>
      </c>
      <c r="E929" s="8">
        <v>1</v>
      </c>
      <c r="F929" s="8">
        <v>1</v>
      </c>
      <c r="G929" s="8">
        <v>0</v>
      </c>
      <c r="H929" s="8">
        <v>0</v>
      </c>
      <c r="I929" s="8">
        <v>1</v>
      </c>
      <c r="J929" s="8">
        <v>1</v>
      </c>
      <c r="K929" s="9">
        <v>1</v>
      </c>
      <c r="L929" s="10">
        <v>0</v>
      </c>
      <c r="M929" s="6">
        <v>0</v>
      </c>
      <c r="N929" s="37" t="e" cm="1">
        <f t="array" ref="N929">IF(OR(ISNUMBER(FIND(Aux!$D$3:$D$9,_xlfn.TEXTJOIN(,,C929:K929)))),NA(),IF(AND(SUM(C929:F929,H929:K929)=0,G929=1),0,INT((SUMPRODUCT(C929:F929,COLUMN($A$1:$D$1)-1)+SUMPRODUCT(H929:K929,COLUMN($E$1:$H$1)-1))*'Line Follower'!$C$3/SUM(C929:F929,H929:K929)-'Line Follower'!$C$5)))</f>
        <v>#N/A</v>
      </c>
      <c r="O929" s="22" t="e">
        <v>#N/A</v>
      </c>
      <c r="P929" s="4" t="e">
        <f t="shared" si="70"/>
        <v>#N/A</v>
      </c>
      <c r="Q929" s="4" t="e">
        <f t="shared" si="71"/>
        <v>#N/A</v>
      </c>
      <c r="R929" s="4" t="e">
        <f>IF(AND(B929=1,N929&gt;'Line Follower'!$C$7,SUM(C929:K929)&lt;4),1,0)</f>
        <v>#N/A</v>
      </c>
      <c r="S929" s="4" t="e">
        <f>IF(AND(L929=1,N929&lt;'Line Follower'!$C$6,SUM(C929:K929)&lt;4),1,0)</f>
        <v>#N/A</v>
      </c>
      <c r="T929" s="4" t="e">
        <f t="shared" si="72"/>
        <v>#N/A</v>
      </c>
      <c r="U929" s="5" t="e">
        <f t="shared" si="73"/>
        <v>#N/A</v>
      </c>
      <c r="V929" s="23" t="e">
        <f t="shared" si="74"/>
        <v>#N/A</v>
      </c>
    </row>
    <row r="930" spans="2:22" x14ac:dyDescent="0.25">
      <c r="B930" s="16">
        <v>1</v>
      </c>
      <c r="C930" s="7">
        <v>1</v>
      </c>
      <c r="D930" s="8">
        <v>1</v>
      </c>
      <c r="E930" s="8">
        <v>1</v>
      </c>
      <c r="F930" s="8">
        <v>1</v>
      </c>
      <c r="G930" s="8">
        <v>0</v>
      </c>
      <c r="H930" s="8">
        <v>0</v>
      </c>
      <c r="I930" s="8">
        <v>1</v>
      </c>
      <c r="J930" s="8">
        <v>1</v>
      </c>
      <c r="K930" s="9">
        <v>1</v>
      </c>
      <c r="L930" s="10">
        <v>0</v>
      </c>
      <c r="M930" s="6">
        <v>0</v>
      </c>
      <c r="N930" s="37" t="e" cm="1">
        <f t="array" ref="N930">IF(OR(ISNUMBER(FIND(Aux!$D$3:$D$9,_xlfn.TEXTJOIN(,,C930:K930)))),NA(),IF(AND(SUM(C930:F930,H930:K930)=0,G930=1),0,INT((SUMPRODUCT(C930:F930,COLUMN($A$1:$D$1)-1)+SUMPRODUCT(H930:K930,COLUMN($E$1:$H$1)-1))*'Line Follower'!$C$3/SUM(C930:F930,H930:K930)-'Line Follower'!$C$5)))</f>
        <v>#N/A</v>
      </c>
      <c r="O930" s="22" t="e">
        <v>#N/A</v>
      </c>
      <c r="P930" s="4" t="e">
        <f t="shared" si="70"/>
        <v>#N/A</v>
      </c>
      <c r="Q930" s="4" t="e">
        <f t="shared" si="71"/>
        <v>#N/A</v>
      </c>
      <c r="R930" s="4" t="e">
        <f>IF(AND(B930=1,N930&gt;'Line Follower'!$C$7,SUM(C930:K930)&lt;4),1,0)</f>
        <v>#N/A</v>
      </c>
      <c r="S930" s="4" t="e">
        <f>IF(AND(L930=1,N930&lt;'Line Follower'!$C$6,SUM(C930:K930)&lt;4),1,0)</f>
        <v>#N/A</v>
      </c>
      <c r="T930" s="4" t="e">
        <f t="shared" si="72"/>
        <v>#N/A</v>
      </c>
      <c r="U930" s="5" t="e">
        <f t="shared" si="73"/>
        <v>#N/A</v>
      </c>
      <c r="V930" s="23" t="e">
        <f t="shared" si="74"/>
        <v>#N/A</v>
      </c>
    </row>
    <row r="931" spans="2:22" x14ac:dyDescent="0.25">
      <c r="B931" s="16">
        <v>0</v>
      </c>
      <c r="C931" s="7">
        <v>0</v>
      </c>
      <c r="D931" s="8">
        <v>0</v>
      </c>
      <c r="E931" s="8">
        <v>0</v>
      </c>
      <c r="F931" s="8">
        <v>0</v>
      </c>
      <c r="G931" s="8">
        <v>1</v>
      </c>
      <c r="H931" s="8">
        <v>0</v>
      </c>
      <c r="I931" s="8">
        <v>1</v>
      </c>
      <c r="J931" s="8">
        <v>1</v>
      </c>
      <c r="K931" s="9">
        <v>1</v>
      </c>
      <c r="L931" s="10">
        <v>0</v>
      </c>
      <c r="M931" s="6">
        <v>0</v>
      </c>
      <c r="N931" s="37" t="e" cm="1">
        <f t="array" ref="N931">IF(OR(ISNUMBER(FIND(Aux!$D$3:$D$9,_xlfn.TEXTJOIN(,,C931:K931)))),NA(),IF(AND(SUM(C931:F931,H931:K931)=0,G931=1),0,INT((SUMPRODUCT(C931:F931,COLUMN($A$1:$D$1)-1)+SUMPRODUCT(H931:K931,COLUMN($E$1:$H$1)-1))*'Line Follower'!$C$3/SUM(C931:F931,H931:K931)-'Line Follower'!$C$5)))</f>
        <v>#N/A</v>
      </c>
      <c r="O931" s="22" t="e">
        <v>#N/A</v>
      </c>
      <c r="P931" s="4" t="e">
        <f t="shared" si="70"/>
        <v>#N/A</v>
      </c>
      <c r="Q931" s="4" t="e">
        <f t="shared" si="71"/>
        <v>#N/A</v>
      </c>
      <c r="R931" s="4" t="e">
        <f>IF(AND(B931=1,N931&gt;'Line Follower'!$C$7,SUM(C931:K931)&lt;4),1,0)</f>
        <v>#N/A</v>
      </c>
      <c r="S931" s="4" t="e">
        <f>IF(AND(L931=1,N931&lt;'Line Follower'!$C$6,SUM(C931:K931)&lt;4),1,0)</f>
        <v>#N/A</v>
      </c>
      <c r="T931" s="4" t="e">
        <f t="shared" si="72"/>
        <v>#N/A</v>
      </c>
      <c r="U931" s="5" t="e">
        <f t="shared" si="73"/>
        <v>#N/A</v>
      </c>
      <c r="V931" s="23" t="e">
        <f t="shared" si="74"/>
        <v>#N/A</v>
      </c>
    </row>
    <row r="932" spans="2:22" x14ac:dyDescent="0.25">
      <c r="B932" s="16">
        <v>1</v>
      </c>
      <c r="C932" s="7">
        <v>0</v>
      </c>
      <c r="D932" s="8">
        <v>0</v>
      </c>
      <c r="E932" s="8">
        <v>0</v>
      </c>
      <c r="F932" s="8">
        <v>0</v>
      </c>
      <c r="G932" s="8">
        <v>1</v>
      </c>
      <c r="H932" s="8">
        <v>0</v>
      </c>
      <c r="I932" s="8">
        <v>1</v>
      </c>
      <c r="J932" s="8">
        <v>1</v>
      </c>
      <c r="K932" s="9">
        <v>1</v>
      </c>
      <c r="L932" s="10">
        <v>0</v>
      </c>
      <c r="M932" s="6">
        <v>0</v>
      </c>
      <c r="N932" s="37" t="e" cm="1">
        <f t="array" ref="N932">IF(OR(ISNUMBER(FIND(Aux!$D$3:$D$9,_xlfn.TEXTJOIN(,,C932:K932)))),NA(),IF(AND(SUM(C932:F932,H932:K932)=0,G932=1),0,INT((SUMPRODUCT(C932:F932,COLUMN($A$1:$D$1)-1)+SUMPRODUCT(H932:K932,COLUMN($E$1:$H$1)-1))*'Line Follower'!$C$3/SUM(C932:F932,H932:K932)-'Line Follower'!$C$5)))</f>
        <v>#N/A</v>
      </c>
      <c r="O932" s="22" t="e">
        <v>#N/A</v>
      </c>
      <c r="P932" s="4" t="e">
        <f t="shared" si="70"/>
        <v>#N/A</v>
      </c>
      <c r="Q932" s="4" t="e">
        <f t="shared" si="71"/>
        <v>#N/A</v>
      </c>
      <c r="R932" s="4" t="e">
        <f>IF(AND(B932=1,N932&gt;'Line Follower'!$C$7,SUM(C932:K932)&lt;4),1,0)</f>
        <v>#N/A</v>
      </c>
      <c r="S932" s="4" t="e">
        <f>IF(AND(L932=1,N932&lt;'Line Follower'!$C$6,SUM(C932:K932)&lt;4),1,0)</f>
        <v>#N/A</v>
      </c>
      <c r="T932" s="4" t="e">
        <f t="shared" si="72"/>
        <v>#N/A</v>
      </c>
      <c r="U932" s="5" t="e">
        <f t="shared" si="73"/>
        <v>#N/A</v>
      </c>
      <c r="V932" s="23" t="e">
        <f t="shared" si="74"/>
        <v>#N/A</v>
      </c>
    </row>
    <row r="933" spans="2:22" x14ac:dyDescent="0.25">
      <c r="B933" s="16">
        <v>0</v>
      </c>
      <c r="C933" s="7">
        <v>1</v>
      </c>
      <c r="D933" s="8">
        <v>0</v>
      </c>
      <c r="E933" s="8">
        <v>0</v>
      </c>
      <c r="F933" s="8">
        <v>0</v>
      </c>
      <c r="G933" s="8">
        <v>1</v>
      </c>
      <c r="H933" s="8">
        <v>0</v>
      </c>
      <c r="I933" s="8">
        <v>1</v>
      </c>
      <c r="J933" s="8">
        <v>1</v>
      </c>
      <c r="K933" s="9">
        <v>1</v>
      </c>
      <c r="L933" s="10">
        <v>0</v>
      </c>
      <c r="M933" s="6">
        <v>0</v>
      </c>
      <c r="N933" s="37" t="e" cm="1">
        <f t="array" ref="N933">IF(OR(ISNUMBER(FIND(Aux!$D$3:$D$9,_xlfn.TEXTJOIN(,,C933:K933)))),NA(),IF(AND(SUM(C933:F933,H933:K933)=0,G933=1),0,INT((SUMPRODUCT(C933:F933,COLUMN($A$1:$D$1)-1)+SUMPRODUCT(H933:K933,COLUMN($E$1:$H$1)-1))*'Line Follower'!$C$3/SUM(C933:F933,H933:K933)-'Line Follower'!$C$5)))</f>
        <v>#N/A</v>
      </c>
      <c r="O933" s="22" t="e">
        <v>#N/A</v>
      </c>
      <c r="P933" s="4" t="e">
        <f t="shared" si="70"/>
        <v>#N/A</v>
      </c>
      <c r="Q933" s="4" t="e">
        <f t="shared" si="71"/>
        <v>#N/A</v>
      </c>
      <c r="R933" s="4" t="e">
        <f>IF(AND(B933=1,N933&gt;'Line Follower'!$C$7,SUM(C933:K933)&lt;4),1,0)</f>
        <v>#N/A</v>
      </c>
      <c r="S933" s="4" t="e">
        <f>IF(AND(L933=1,N933&lt;'Line Follower'!$C$6,SUM(C933:K933)&lt;4),1,0)</f>
        <v>#N/A</v>
      </c>
      <c r="T933" s="4" t="e">
        <f t="shared" si="72"/>
        <v>#N/A</v>
      </c>
      <c r="U933" s="5" t="e">
        <f t="shared" si="73"/>
        <v>#N/A</v>
      </c>
      <c r="V933" s="23" t="e">
        <f t="shared" si="74"/>
        <v>#N/A</v>
      </c>
    </row>
    <row r="934" spans="2:22" x14ac:dyDescent="0.25">
      <c r="B934" s="16">
        <v>1</v>
      </c>
      <c r="C934" s="7">
        <v>1</v>
      </c>
      <c r="D934" s="8">
        <v>0</v>
      </c>
      <c r="E934" s="8">
        <v>0</v>
      </c>
      <c r="F934" s="8">
        <v>0</v>
      </c>
      <c r="G934" s="8">
        <v>1</v>
      </c>
      <c r="H934" s="8">
        <v>0</v>
      </c>
      <c r="I934" s="8">
        <v>1</v>
      </c>
      <c r="J934" s="8">
        <v>1</v>
      </c>
      <c r="K934" s="9">
        <v>1</v>
      </c>
      <c r="L934" s="10">
        <v>0</v>
      </c>
      <c r="M934" s="6">
        <v>0</v>
      </c>
      <c r="N934" s="37" t="e" cm="1">
        <f t="array" ref="N934">IF(OR(ISNUMBER(FIND(Aux!$D$3:$D$9,_xlfn.TEXTJOIN(,,C934:K934)))),NA(),IF(AND(SUM(C934:F934,H934:K934)=0,G934=1),0,INT((SUMPRODUCT(C934:F934,COLUMN($A$1:$D$1)-1)+SUMPRODUCT(H934:K934,COLUMN($E$1:$H$1)-1))*'Line Follower'!$C$3/SUM(C934:F934,H934:K934)-'Line Follower'!$C$5)))</f>
        <v>#N/A</v>
      </c>
      <c r="O934" s="22" t="e">
        <v>#N/A</v>
      </c>
      <c r="P934" s="4" t="e">
        <f t="shared" si="70"/>
        <v>#N/A</v>
      </c>
      <c r="Q934" s="4" t="e">
        <f t="shared" si="71"/>
        <v>#N/A</v>
      </c>
      <c r="R934" s="4" t="e">
        <f>IF(AND(B934=1,N934&gt;'Line Follower'!$C$7,SUM(C934:K934)&lt;4),1,0)</f>
        <v>#N/A</v>
      </c>
      <c r="S934" s="4" t="e">
        <f>IF(AND(L934=1,N934&lt;'Line Follower'!$C$6,SUM(C934:K934)&lt;4),1,0)</f>
        <v>#N/A</v>
      </c>
      <c r="T934" s="4" t="e">
        <f t="shared" si="72"/>
        <v>#N/A</v>
      </c>
      <c r="U934" s="5" t="e">
        <f t="shared" si="73"/>
        <v>#N/A</v>
      </c>
      <c r="V934" s="23" t="e">
        <f t="shared" si="74"/>
        <v>#N/A</v>
      </c>
    </row>
    <row r="935" spans="2:22" x14ac:dyDescent="0.25">
      <c r="B935" s="16">
        <v>0</v>
      </c>
      <c r="C935" s="7">
        <v>0</v>
      </c>
      <c r="D935" s="8">
        <v>1</v>
      </c>
      <c r="E935" s="8">
        <v>0</v>
      </c>
      <c r="F935" s="8">
        <v>0</v>
      </c>
      <c r="G935" s="8">
        <v>1</v>
      </c>
      <c r="H935" s="8">
        <v>0</v>
      </c>
      <c r="I935" s="8">
        <v>1</v>
      </c>
      <c r="J935" s="8">
        <v>1</v>
      </c>
      <c r="K935" s="9">
        <v>1</v>
      </c>
      <c r="L935" s="10">
        <v>0</v>
      </c>
      <c r="M935" s="6">
        <v>0</v>
      </c>
      <c r="N935" s="37" t="e" cm="1">
        <f t="array" ref="N935">IF(OR(ISNUMBER(FIND(Aux!$D$3:$D$9,_xlfn.TEXTJOIN(,,C935:K935)))),NA(),IF(AND(SUM(C935:F935,H935:K935)=0,G935=1),0,INT((SUMPRODUCT(C935:F935,COLUMN($A$1:$D$1)-1)+SUMPRODUCT(H935:K935,COLUMN($E$1:$H$1)-1))*'Line Follower'!$C$3/SUM(C935:F935,H935:K935)-'Line Follower'!$C$5)))</f>
        <v>#N/A</v>
      </c>
      <c r="O935" s="22" t="e">
        <v>#N/A</v>
      </c>
      <c r="P935" s="4" t="e">
        <f t="shared" si="70"/>
        <v>#N/A</v>
      </c>
      <c r="Q935" s="4" t="e">
        <f t="shared" si="71"/>
        <v>#N/A</v>
      </c>
      <c r="R935" s="4" t="e">
        <f>IF(AND(B935=1,N935&gt;'Line Follower'!$C$7,SUM(C935:K935)&lt;4),1,0)</f>
        <v>#N/A</v>
      </c>
      <c r="S935" s="4" t="e">
        <f>IF(AND(L935=1,N935&lt;'Line Follower'!$C$6,SUM(C935:K935)&lt;4),1,0)</f>
        <v>#N/A</v>
      </c>
      <c r="T935" s="4" t="e">
        <f t="shared" si="72"/>
        <v>#N/A</v>
      </c>
      <c r="U935" s="5" t="e">
        <f t="shared" si="73"/>
        <v>#N/A</v>
      </c>
      <c r="V935" s="23" t="e">
        <f t="shared" si="74"/>
        <v>#N/A</v>
      </c>
    </row>
    <row r="936" spans="2:22" x14ac:dyDescent="0.25">
      <c r="B936" s="16">
        <v>1</v>
      </c>
      <c r="C936" s="7">
        <v>0</v>
      </c>
      <c r="D936" s="8">
        <v>1</v>
      </c>
      <c r="E936" s="8">
        <v>0</v>
      </c>
      <c r="F936" s="8">
        <v>0</v>
      </c>
      <c r="G936" s="8">
        <v>1</v>
      </c>
      <c r="H936" s="8">
        <v>0</v>
      </c>
      <c r="I936" s="8">
        <v>1</v>
      </c>
      <c r="J936" s="8">
        <v>1</v>
      </c>
      <c r="K936" s="9">
        <v>1</v>
      </c>
      <c r="L936" s="10">
        <v>0</v>
      </c>
      <c r="M936" s="6">
        <v>0</v>
      </c>
      <c r="N936" s="37" t="e" cm="1">
        <f t="array" ref="N936">IF(OR(ISNUMBER(FIND(Aux!$D$3:$D$9,_xlfn.TEXTJOIN(,,C936:K936)))),NA(),IF(AND(SUM(C936:F936,H936:K936)=0,G936=1),0,INT((SUMPRODUCT(C936:F936,COLUMN($A$1:$D$1)-1)+SUMPRODUCT(H936:K936,COLUMN($E$1:$H$1)-1))*'Line Follower'!$C$3/SUM(C936:F936,H936:K936)-'Line Follower'!$C$5)))</f>
        <v>#N/A</v>
      </c>
      <c r="O936" s="22" t="e">
        <v>#N/A</v>
      </c>
      <c r="P936" s="4" t="e">
        <f t="shared" si="70"/>
        <v>#N/A</v>
      </c>
      <c r="Q936" s="4" t="e">
        <f t="shared" si="71"/>
        <v>#N/A</v>
      </c>
      <c r="R936" s="4" t="e">
        <f>IF(AND(B936=1,N936&gt;'Line Follower'!$C$7,SUM(C936:K936)&lt;4),1,0)</f>
        <v>#N/A</v>
      </c>
      <c r="S936" s="4" t="e">
        <f>IF(AND(L936=1,N936&lt;'Line Follower'!$C$6,SUM(C936:K936)&lt;4),1,0)</f>
        <v>#N/A</v>
      </c>
      <c r="T936" s="4" t="e">
        <f t="shared" si="72"/>
        <v>#N/A</v>
      </c>
      <c r="U936" s="5" t="e">
        <f t="shared" si="73"/>
        <v>#N/A</v>
      </c>
      <c r="V936" s="23" t="e">
        <f t="shared" si="74"/>
        <v>#N/A</v>
      </c>
    </row>
    <row r="937" spans="2:22" x14ac:dyDescent="0.25">
      <c r="B937" s="16">
        <v>0</v>
      </c>
      <c r="C937" s="7">
        <v>1</v>
      </c>
      <c r="D937" s="8">
        <v>1</v>
      </c>
      <c r="E937" s="8">
        <v>0</v>
      </c>
      <c r="F937" s="8">
        <v>0</v>
      </c>
      <c r="G937" s="8">
        <v>1</v>
      </c>
      <c r="H937" s="8">
        <v>0</v>
      </c>
      <c r="I937" s="8">
        <v>1</v>
      </c>
      <c r="J937" s="8">
        <v>1</v>
      </c>
      <c r="K937" s="9">
        <v>1</v>
      </c>
      <c r="L937" s="10">
        <v>0</v>
      </c>
      <c r="M937" s="6">
        <v>0</v>
      </c>
      <c r="N937" s="37" t="e" cm="1">
        <f t="array" ref="N937">IF(OR(ISNUMBER(FIND(Aux!$D$3:$D$9,_xlfn.TEXTJOIN(,,C937:K937)))),NA(),IF(AND(SUM(C937:F937,H937:K937)=0,G937=1),0,INT((SUMPRODUCT(C937:F937,COLUMN($A$1:$D$1)-1)+SUMPRODUCT(H937:K937,COLUMN($E$1:$H$1)-1))*'Line Follower'!$C$3/SUM(C937:F937,H937:K937)-'Line Follower'!$C$5)))</f>
        <v>#N/A</v>
      </c>
      <c r="O937" s="22" t="e">
        <v>#N/A</v>
      </c>
      <c r="P937" s="4" t="e">
        <f t="shared" si="70"/>
        <v>#N/A</v>
      </c>
      <c r="Q937" s="4" t="e">
        <f t="shared" si="71"/>
        <v>#N/A</v>
      </c>
      <c r="R937" s="4" t="e">
        <f>IF(AND(B937=1,N937&gt;'Line Follower'!$C$7,SUM(C937:K937)&lt;4),1,0)</f>
        <v>#N/A</v>
      </c>
      <c r="S937" s="4" t="e">
        <f>IF(AND(L937=1,N937&lt;'Line Follower'!$C$6,SUM(C937:K937)&lt;4),1,0)</f>
        <v>#N/A</v>
      </c>
      <c r="T937" s="4" t="e">
        <f t="shared" si="72"/>
        <v>#N/A</v>
      </c>
      <c r="U937" s="5" t="e">
        <f t="shared" si="73"/>
        <v>#N/A</v>
      </c>
      <c r="V937" s="23" t="e">
        <f t="shared" si="74"/>
        <v>#N/A</v>
      </c>
    </row>
    <row r="938" spans="2:22" x14ac:dyDescent="0.25">
      <c r="B938" s="16">
        <v>1</v>
      </c>
      <c r="C938" s="7">
        <v>1</v>
      </c>
      <c r="D938" s="8">
        <v>1</v>
      </c>
      <c r="E938" s="8">
        <v>0</v>
      </c>
      <c r="F938" s="8">
        <v>0</v>
      </c>
      <c r="G938" s="8">
        <v>1</v>
      </c>
      <c r="H938" s="8">
        <v>0</v>
      </c>
      <c r="I938" s="8">
        <v>1</v>
      </c>
      <c r="J938" s="8">
        <v>1</v>
      </c>
      <c r="K938" s="9">
        <v>1</v>
      </c>
      <c r="L938" s="10">
        <v>0</v>
      </c>
      <c r="M938" s="6">
        <v>0</v>
      </c>
      <c r="N938" s="37" t="e" cm="1">
        <f t="array" ref="N938">IF(OR(ISNUMBER(FIND(Aux!$D$3:$D$9,_xlfn.TEXTJOIN(,,C938:K938)))),NA(),IF(AND(SUM(C938:F938,H938:K938)=0,G938=1),0,INT((SUMPRODUCT(C938:F938,COLUMN($A$1:$D$1)-1)+SUMPRODUCT(H938:K938,COLUMN($E$1:$H$1)-1))*'Line Follower'!$C$3/SUM(C938:F938,H938:K938)-'Line Follower'!$C$5)))</f>
        <v>#N/A</v>
      </c>
      <c r="O938" s="22" t="e">
        <v>#N/A</v>
      </c>
      <c r="P938" s="4" t="e">
        <f t="shared" si="70"/>
        <v>#N/A</v>
      </c>
      <c r="Q938" s="4" t="e">
        <f t="shared" si="71"/>
        <v>#N/A</v>
      </c>
      <c r="R938" s="4" t="e">
        <f>IF(AND(B938=1,N938&gt;'Line Follower'!$C$7,SUM(C938:K938)&lt;4),1,0)</f>
        <v>#N/A</v>
      </c>
      <c r="S938" s="4" t="e">
        <f>IF(AND(L938=1,N938&lt;'Line Follower'!$C$6,SUM(C938:K938)&lt;4),1,0)</f>
        <v>#N/A</v>
      </c>
      <c r="T938" s="4" t="e">
        <f t="shared" si="72"/>
        <v>#N/A</v>
      </c>
      <c r="U938" s="5" t="e">
        <f t="shared" si="73"/>
        <v>#N/A</v>
      </c>
      <c r="V938" s="23" t="e">
        <f t="shared" si="74"/>
        <v>#N/A</v>
      </c>
    </row>
    <row r="939" spans="2:22" x14ac:dyDescent="0.25">
      <c r="B939" s="16">
        <v>0</v>
      </c>
      <c r="C939" s="7">
        <v>0</v>
      </c>
      <c r="D939" s="8">
        <v>0</v>
      </c>
      <c r="E939" s="8">
        <v>1</v>
      </c>
      <c r="F939" s="8">
        <v>0</v>
      </c>
      <c r="G939" s="8">
        <v>1</v>
      </c>
      <c r="H939" s="8">
        <v>0</v>
      </c>
      <c r="I939" s="8">
        <v>1</v>
      </c>
      <c r="J939" s="8">
        <v>1</v>
      </c>
      <c r="K939" s="9">
        <v>1</v>
      </c>
      <c r="L939" s="10">
        <v>0</v>
      </c>
      <c r="M939" s="6">
        <v>0</v>
      </c>
      <c r="N939" s="37" t="e" cm="1">
        <f t="array" ref="N939">IF(OR(ISNUMBER(FIND(Aux!$D$3:$D$9,_xlfn.TEXTJOIN(,,C939:K939)))),NA(),IF(AND(SUM(C939:F939,H939:K939)=0,G939=1),0,INT((SUMPRODUCT(C939:F939,COLUMN($A$1:$D$1)-1)+SUMPRODUCT(H939:K939,COLUMN($E$1:$H$1)-1))*'Line Follower'!$C$3/SUM(C939:F939,H939:K939)-'Line Follower'!$C$5)))</f>
        <v>#N/A</v>
      </c>
      <c r="O939" s="22" t="e">
        <v>#N/A</v>
      </c>
      <c r="P939" s="4" t="e">
        <f t="shared" si="70"/>
        <v>#N/A</v>
      </c>
      <c r="Q939" s="4" t="e">
        <f t="shared" si="71"/>
        <v>#N/A</v>
      </c>
      <c r="R939" s="4" t="e">
        <f>IF(AND(B939=1,N939&gt;'Line Follower'!$C$7,SUM(C939:K939)&lt;4),1,0)</f>
        <v>#N/A</v>
      </c>
      <c r="S939" s="4" t="e">
        <f>IF(AND(L939=1,N939&lt;'Line Follower'!$C$6,SUM(C939:K939)&lt;4),1,0)</f>
        <v>#N/A</v>
      </c>
      <c r="T939" s="4" t="e">
        <f t="shared" si="72"/>
        <v>#N/A</v>
      </c>
      <c r="U939" s="5" t="e">
        <f t="shared" si="73"/>
        <v>#N/A</v>
      </c>
      <c r="V939" s="23" t="e">
        <f t="shared" si="74"/>
        <v>#N/A</v>
      </c>
    </row>
    <row r="940" spans="2:22" x14ac:dyDescent="0.25">
      <c r="B940" s="16">
        <v>1</v>
      </c>
      <c r="C940" s="7">
        <v>0</v>
      </c>
      <c r="D940" s="8">
        <v>0</v>
      </c>
      <c r="E940" s="8">
        <v>1</v>
      </c>
      <c r="F940" s="8">
        <v>0</v>
      </c>
      <c r="G940" s="8">
        <v>1</v>
      </c>
      <c r="H940" s="8">
        <v>0</v>
      </c>
      <c r="I940" s="8">
        <v>1</v>
      </c>
      <c r="J940" s="8">
        <v>1</v>
      </c>
      <c r="K940" s="9">
        <v>1</v>
      </c>
      <c r="L940" s="10">
        <v>0</v>
      </c>
      <c r="M940" s="6">
        <v>0</v>
      </c>
      <c r="N940" s="37" t="e" cm="1">
        <f t="array" ref="N940">IF(OR(ISNUMBER(FIND(Aux!$D$3:$D$9,_xlfn.TEXTJOIN(,,C940:K940)))),NA(),IF(AND(SUM(C940:F940,H940:K940)=0,G940=1),0,INT((SUMPRODUCT(C940:F940,COLUMN($A$1:$D$1)-1)+SUMPRODUCT(H940:K940,COLUMN($E$1:$H$1)-1))*'Line Follower'!$C$3/SUM(C940:F940,H940:K940)-'Line Follower'!$C$5)))</f>
        <v>#N/A</v>
      </c>
      <c r="O940" s="22" t="e">
        <v>#N/A</v>
      </c>
      <c r="P940" s="4" t="e">
        <f t="shared" si="70"/>
        <v>#N/A</v>
      </c>
      <c r="Q940" s="4" t="e">
        <f t="shared" si="71"/>
        <v>#N/A</v>
      </c>
      <c r="R940" s="4" t="e">
        <f>IF(AND(B940=1,N940&gt;'Line Follower'!$C$7,SUM(C940:K940)&lt;4),1,0)</f>
        <v>#N/A</v>
      </c>
      <c r="S940" s="4" t="e">
        <f>IF(AND(L940=1,N940&lt;'Line Follower'!$C$6,SUM(C940:K940)&lt;4),1,0)</f>
        <v>#N/A</v>
      </c>
      <c r="T940" s="4" t="e">
        <f t="shared" si="72"/>
        <v>#N/A</v>
      </c>
      <c r="U940" s="5" t="e">
        <f t="shared" si="73"/>
        <v>#N/A</v>
      </c>
      <c r="V940" s="23" t="e">
        <f t="shared" si="74"/>
        <v>#N/A</v>
      </c>
    </row>
    <row r="941" spans="2:22" x14ac:dyDescent="0.25">
      <c r="B941" s="16">
        <v>0</v>
      </c>
      <c r="C941" s="7">
        <v>1</v>
      </c>
      <c r="D941" s="8">
        <v>0</v>
      </c>
      <c r="E941" s="8">
        <v>1</v>
      </c>
      <c r="F941" s="8">
        <v>0</v>
      </c>
      <c r="G941" s="8">
        <v>1</v>
      </c>
      <c r="H941" s="8">
        <v>0</v>
      </c>
      <c r="I941" s="8">
        <v>1</v>
      </c>
      <c r="J941" s="8">
        <v>1</v>
      </c>
      <c r="K941" s="9">
        <v>1</v>
      </c>
      <c r="L941" s="10">
        <v>0</v>
      </c>
      <c r="M941" s="6">
        <v>0</v>
      </c>
      <c r="N941" s="37" t="e" cm="1">
        <f t="array" ref="N941">IF(OR(ISNUMBER(FIND(Aux!$D$3:$D$9,_xlfn.TEXTJOIN(,,C941:K941)))),NA(),IF(AND(SUM(C941:F941,H941:K941)=0,G941=1),0,INT((SUMPRODUCT(C941:F941,COLUMN($A$1:$D$1)-1)+SUMPRODUCT(H941:K941,COLUMN($E$1:$H$1)-1))*'Line Follower'!$C$3/SUM(C941:F941,H941:K941)-'Line Follower'!$C$5)))</f>
        <v>#N/A</v>
      </c>
      <c r="O941" s="22" t="e">
        <v>#N/A</v>
      </c>
      <c r="P941" s="4" t="e">
        <f t="shared" si="70"/>
        <v>#N/A</v>
      </c>
      <c r="Q941" s="4" t="e">
        <f t="shared" si="71"/>
        <v>#N/A</v>
      </c>
      <c r="R941" s="4" t="e">
        <f>IF(AND(B941=1,N941&gt;'Line Follower'!$C$7,SUM(C941:K941)&lt;4),1,0)</f>
        <v>#N/A</v>
      </c>
      <c r="S941" s="4" t="e">
        <f>IF(AND(L941=1,N941&lt;'Line Follower'!$C$6,SUM(C941:K941)&lt;4),1,0)</f>
        <v>#N/A</v>
      </c>
      <c r="T941" s="4" t="e">
        <f t="shared" si="72"/>
        <v>#N/A</v>
      </c>
      <c r="U941" s="5" t="e">
        <f t="shared" si="73"/>
        <v>#N/A</v>
      </c>
      <c r="V941" s="23" t="e">
        <f t="shared" si="74"/>
        <v>#N/A</v>
      </c>
    </row>
    <row r="942" spans="2:22" x14ac:dyDescent="0.25">
      <c r="B942" s="16">
        <v>1</v>
      </c>
      <c r="C942" s="7">
        <v>1</v>
      </c>
      <c r="D942" s="8">
        <v>0</v>
      </c>
      <c r="E942" s="8">
        <v>1</v>
      </c>
      <c r="F942" s="8">
        <v>0</v>
      </c>
      <c r="G942" s="8">
        <v>1</v>
      </c>
      <c r="H942" s="8">
        <v>0</v>
      </c>
      <c r="I942" s="8">
        <v>1</v>
      </c>
      <c r="J942" s="8">
        <v>1</v>
      </c>
      <c r="K942" s="9">
        <v>1</v>
      </c>
      <c r="L942" s="10">
        <v>0</v>
      </c>
      <c r="M942" s="6">
        <v>0</v>
      </c>
      <c r="N942" s="37" t="e" cm="1">
        <f t="array" ref="N942">IF(OR(ISNUMBER(FIND(Aux!$D$3:$D$9,_xlfn.TEXTJOIN(,,C942:K942)))),NA(),IF(AND(SUM(C942:F942,H942:K942)=0,G942=1),0,INT((SUMPRODUCT(C942:F942,COLUMN($A$1:$D$1)-1)+SUMPRODUCT(H942:K942,COLUMN($E$1:$H$1)-1))*'Line Follower'!$C$3/SUM(C942:F942,H942:K942)-'Line Follower'!$C$5)))</f>
        <v>#N/A</v>
      </c>
      <c r="O942" s="22" t="e">
        <v>#N/A</v>
      </c>
      <c r="P942" s="4" t="e">
        <f t="shared" si="70"/>
        <v>#N/A</v>
      </c>
      <c r="Q942" s="4" t="e">
        <f t="shared" si="71"/>
        <v>#N/A</v>
      </c>
      <c r="R942" s="4" t="e">
        <f>IF(AND(B942=1,N942&gt;'Line Follower'!$C$7,SUM(C942:K942)&lt;4),1,0)</f>
        <v>#N/A</v>
      </c>
      <c r="S942" s="4" t="e">
        <f>IF(AND(L942=1,N942&lt;'Line Follower'!$C$6,SUM(C942:K942)&lt;4),1,0)</f>
        <v>#N/A</v>
      </c>
      <c r="T942" s="4" t="e">
        <f t="shared" si="72"/>
        <v>#N/A</v>
      </c>
      <c r="U942" s="5" t="e">
        <f t="shared" si="73"/>
        <v>#N/A</v>
      </c>
      <c r="V942" s="23" t="e">
        <f t="shared" si="74"/>
        <v>#N/A</v>
      </c>
    </row>
    <row r="943" spans="2:22" x14ac:dyDescent="0.25">
      <c r="B943" s="16">
        <v>0</v>
      </c>
      <c r="C943" s="7">
        <v>0</v>
      </c>
      <c r="D943" s="8">
        <v>1</v>
      </c>
      <c r="E943" s="8">
        <v>1</v>
      </c>
      <c r="F943" s="8">
        <v>0</v>
      </c>
      <c r="G943" s="8">
        <v>1</v>
      </c>
      <c r="H943" s="8">
        <v>0</v>
      </c>
      <c r="I943" s="8">
        <v>1</v>
      </c>
      <c r="J943" s="8">
        <v>1</v>
      </c>
      <c r="K943" s="9">
        <v>1</v>
      </c>
      <c r="L943" s="10">
        <v>0</v>
      </c>
      <c r="M943" s="6">
        <v>0</v>
      </c>
      <c r="N943" s="37" t="e" cm="1">
        <f t="array" ref="N943">IF(OR(ISNUMBER(FIND(Aux!$D$3:$D$9,_xlfn.TEXTJOIN(,,C943:K943)))),NA(),IF(AND(SUM(C943:F943,H943:K943)=0,G943=1),0,INT((SUMPRODUCT(C943:F943,COLUMN($A$1:$D$1)-1)+SUMPRODUCT(H943:K943,COLUMN($E$1:$H$1)-1))*'Line Follower'!$C$3/SUM(C943:F943,H943:K943)-'Line Follower'!$C$5)))</f>
        <v>#N/A</v>
      </c>
      <c r="O943" s="22" t="e">
        <v>#N/A</v>
      </c>
      <c r="P943" s="4" t="e">
        <f t="shared" si="70"/>
        <v>#N/A</v>
      </c>
      <c r="Q943" s="4" t="e">
        <f t="shared" si="71"/>
        <v>#N/A</v>
      </c>
      <c r="R943" s="4" t="e">
        <f>IF(AND(B943=1,N943&gt;'Line Follower'!$C$7,SUM(C943:K943)&lt;4),1,0)</f>
        <v>#N/A</v>
      </c>
      <c r="S943" s="4" t="e">
        <f>IF(AND(L943=1,N943&lt;'Line Follower'!$C$6,SUM(C943:K943)&lt;4),1,0)</f>
        <v>#N/A</v>
      </c>
      <c r="T943" s="4" t="e">
        <f t="shared" si="72"/>
        <v>#N/A</v>
      </c>
      <c r="U943" s="5" t="e">
        <f t="shared" si="73"/>
        <v>#N/A</v>
      </c>
      <c r="V943" s="23" t="e">
        <f t="shared" si="74"/>
        <v>#N/A</v>
      </c>
    </row>
    <row r="944" spans="2:22" x14ac:dyDescent="0.25">
      <c r="B944" s="16">
        <v>1</v>
      </c>
      <c r="C944" s="7">
        <v>0</v>
      </c>
      <c r="D944" s="8">
        <v>1</v>
      </c>
      <c r="E944" s="8">
        <v>1</v>
      </c>
      <c r="F944" s="8">
        <v>0</v>
      </c>
      <c r="G944" s="8">
        <v>1</v>
      </c>
      <c r="H944" s="8">
        <v>0</v>
      </c>
      <c r="I944" s="8">
        <v>1</v>
      </c>
      <c r="J944" s="8">
        <v>1</v>
      </c>
      <c r="K944" s="9">
        <v>1</v>
      </c>
      <c r="L944" s="10">
        <v>0</v>
      </c>
      <c r="M944" s="6">
        <v>0</v>
      </c>
      <c r="N944" s="37" t="e" cm="1">
        <f t="array" ref="N944">IF(OR(ISNUMBER(FIND(Aux!$D$3:$D$9,_xlfn.TEXTJOIN(,,C944:K944)))),NA(),IF(AND(SUM(C944:F944,H944:K944)=0,G944=1),0,INT((SUMPRODUCT(C944:F944,COLUMN($A$1:$D$1)-1)+SUMPRODUCT(H944:K944,COLUMN($E$1:$H$1)-1))*'Line Follower'!$C$3/SUM(C944:F944,H944:K944)-'Line Follower'!$C$5)))</f>
        <v>#N/A</v>
      </c>
      <c r="O944" s="22" t="e">
        <v>#N/A</v>
      </c>
      <c r="P944" s="4" t="e">
        <f t="shared" si="70"/>
        <v>#N/A</v>
      </c>
      <c r="Q944" s="4" t="e">
        <f t="shared" si="71"/>
        <v>#N/A</v>
      </c>
      <c r="R944" s="4" t="e">
        <f>IF(AND(B944=1,N944&gt;'Line Follower'!$C$7,SUM(C944:K944)&lt;4),1,0)</f>
        <v>#N/A</v>
      </c>
      <c r="S944" s="4" t="e">
        <f>IF(AND(L944=1,N944&lt;'Line Follower'!$C$6,SUM(C944:K944)&lt;4),1,0)</f>
        <v>#N/A</v>
      </c>
      <c r="T944" s="4" t="e">
        <f t="shared" si="72"/>
        <v>#N/A</v>
      </c>
      <c r="U944" s="5" t="e">
        <f t="shared" si="73"/>
        <v>#N/A</v>
      </c>
      <c r="V944" s="23" t="e">
        <f t="shared" si="74"/>
        <v>#N/A</v>
      </c>
    </row>
    <row r="945" spans="2:22" x14ac:dyDescent="0.25">
      <c r="B945" s="16">
        <v>0</v>
      </c>
      <c r="C945" s="7">
        <v>1</v>
      </c>
      <c r="D945" s="8">
        <v>1</v>
      </c>
      <c r="E945" s="8">
        <v>1</v>
      </c>
      <c r="F945" s="8">
        <v>0</v>
      </c>
      <c r="G945" s="8">
        <v>1</v>
      </c>
      <c r="H945" s="8">
        <v>0</v>
      </c>
      <c r="I945" s="8">
        <v>1</v>
      </c>
      <c r="J945" s="8">
        <v>1</v>
      </c>
      <c r="K945" s="9">
        <v>1</v>
      </c>
      <c r="L945" s="10">
        <v>0</v>
      </c>
      <c r="M945" s="6">
        <v>0</v>
      </c>
      <c r="N945" s="37" t="e" cm="1">
        <f t="array" ref="N945">IF(OR(ISNUMBER(FIND(Aux!$D$3:$D$9,_xlfn.TEXTJOIN(,,C945:K945)))),NA(),IF(AND(SUM(C945:F945,H945:K945)=0,G945=1),0,INT((SUMPRODUCT(C945:F945,COLUMN($A$1:$D$1)-1)+SUMPRODUCT(H945:K945,COLUMN($E$1:$H$1)-1))*'Line Follower'!$C$3/SUM(C945:F945,H945:K945)-'Line Follower'!$C$5)))</f>
        <v>#N/A</v>
      </c>
      <c r="O945" s="22" t="e">
        <v>#N/A</v>
      </c>
      <c r="P945" s="4" t="e">
        <f t="shared" si="70"/>
        <v>#N/A</v>
      </c>
      <c r="Q945" s="4" t="e">
        <f t="shared" si="71"/>
        <v>#N/A</v>
      </c>
      <c r="R945" s="4" t="e">
        <f>IF(AND(B945=1,N945&gt;'Line Follower'!$C$7,SUM(C945:K945)&lt;4),1,0)</f>
        <v>#N/A</v>
      </c>
      <c r="S945" s="4" t="e">
        <f>IF(AND(L945=1,N945&lt;'Line Follower'!$C$6,SUM(C945:K945)&lt;4),1,0)</f>
        <v>#N/A</v>
      </c>
      <c r="T945" s="4" t="e">
        <f t="shared" si="72"/>
        <v>#N/A</v>
      </c>
      <c r="U945" s="5" t="e">
        <f t="shared" si="73"/>
        <v>#N/A</v>
      </c>
      <c r="V945" s="23" t="e">
        <f t="shared" si="74"/>
        <v>#N/A</v>
      </c>
    </row>
    <row r="946" spans="2:22" x14ac:dyDescent="0.25">
      <c r="B946" s="16">
        <v>1</v>
      </c>
      <c r="C946" s="7">
        <v>1</v>
      </c>
      <c r="D946" s="8">
        <v>1</v>
      </c>
      <c r="E946" s="8">
        <v>1</v>
      </c>
      <c r="F946" s="8">
        <v>0</v>
      </c>
      <c r="G946" s="8">
        <v>1</v>
      </c>
      <c r="H946" s="8">
        <v>0</v>
      </c>
      <c r="I946" s="8">
        <v>1</v>
      </c>
      <c r="J946" s="8">
        <v>1</v>
      </c>
      <c r="K946" s="9">
        <v>1</v>
      </c>
      <c r="L946" s="10">
        <v>0</v>
      </c>
      <c r="M946" s="6">
        <v>0</v>
      </c>
      <c r="N946" s="37" t="e" cm="1">
        <f t="array" ref="N946">IF(OR(ISNUMBER(FIND(Aux!$D$3:$D$9,_xlfn.TEXTJOIN(,,C946:K946)))),NA(),IF(AND(SUM(C946:F946,H946:K946)=0,G946=1),0,INT((SUMPRODUCT(C946:F946,COLUMN($A$1:$D$1)-1)+SUMPRODUCT(H946:K946,COLUMN($E$1:$H$1)-1))*'Line Follower'!$C$3/SUM(C946:F946,H946:K946)-'Line Follower'!$C$5)))</f>
        <v>#N/A</v>
      </c>
      <c r="O946" s="22" t="e">
        <v>#N/A</v>
      </c>
      <c r="P946" s="4" t="e">
        <f t="shared" si="70"/>
        <v>#N/A</v>
      </c>
      <c r="Q946" s="4" t="e">
        <f t="shared" si="71"/>
        <v>#N/A</v>
      </c>
      <c r="R946" s="4" t="e">
        <f>IF(AND(B946=1,N946&gt;'Line Follower'!$C$7,SUM(C946:K946)&lt;4),1,0)</f>
        <v>#N/A</v>
      </c>
      <c r="S946" s="4" t="e">
        <f>IF(AND(L946=1,N946&lt;'Line Follower'!$C$6,SUM(C946:K946)&lt;4),1,0)</f>
        <v>#N/A</v>
      </c>
      <c r="T946" s="4" t="e">
        <f t="shared" si="72"/>
        <v>#N/A</v>
      </c>
      <c r="U946" s="5" t="e">
        <f t="shared" si="73"/>
        <v>#N/A</v>
      </c>
      <c r="V946" s="23" t="e">
        <f t="shared" si="74"/>
        <v>#N/A</v>
      </c>
    </row>
    <row r="947" spans="2:22" x14ac:dyDescent="0.25">
      <c r="B947" s="16">
        <v>0</v>
      </c>
      <c r="C947" s="7">
        <v>0</v>
      </c>
      <c r="D947" s="8">
        <v>0</v>
      </c>
      <c r="E947" s="8">
        <v>0</v>
      </c>
      <c r="F947" s="8">
        <v>1</v>
      </c>
      <c r="G947" s="8">
        <v>1</v>
      </c>
      <c r="H947" s="8">
        <v>0</v>
      </c>
      <c r="I947" s="8">
        <v>1</v>
      </c>
      <c r="J947" s="8">
        <v>1</v>
      </c>
      <c r="K947" s="9">
        <v>1</v>
      </c>
      <c r="L947" s="10">
        <v>0</v>
      </c>
      <c r="M947" s="6">
        <v>0</v>
      </c>
      <c r="N947" s="37" t="e" cm="1">
        <f t="array" ref="N947">IF(OR(ISNUMBER(FIND(Aux!$D$3:$D$9,_xlfn.TEXTJOIN(,,C947:K947)))),NA(),IF(AND(SUM(C947:F947,H947:K947)=0,G947=1),0,INT((SUMPRODUCT(C947:F947,COLUMN($A$1:$D$1)-1)+SUMPRODUCT(H947:K947,COLUMN($E$1:$H$1)-1))*'Line Follower'!$C$3/SUM(C947:F947,H947:K947)-'Line Follower'!$C$5)))</f>
        <v>#N/A</v>
      </c>
      <c r="O947" s="22" t="e">
        <v>#N/A</v>
      </c>
      <c r="P947" s="4" t="e">
        <f t="shared" si="70"/>
        <v>#N/A</v>
      </c>
      <c r="Q947" s="4" t="e">
        <f t="shared" si="71"/>
        <v>#N/A</v>
      </c>
      <c r="R947" s="4" t="e">
        <f>IF(AND(B947=1,N947&gt;'Line Follower'!$C$7,SUM(C947:K947)&lt;4),1,0)</f>
        <v>#N/A</v>
      </c>
      <c r="S947" s="4" t="e">
        <f>IF(AND(L947=1,N947&lt;'Line Follower'!$C$6,SUM(C947:K947)&lt;4),1,0)</f>
        <v>#N/A</v>
      </c>
      <c r="T947" s="4" t="e">
        <f t="shared" si="72"/>
        <v>#N/A</v>
      </c>
      <c r="U947" s="5" t="e">
        <f t="shared" si="73"/>
        <v>#N/A</v>
      </c>
      <c r="V947" s="23" t="e">
        <f t="shared" si="74"/>
        <v>#N/A</v>
      </c>
    </row>
    <row r="948" spans="2:22" x14ac:dyDescent="0.25">
      <c r="B948" s="16">
        <v>1</v>
      </c>
      <c r="C948" s="7">
        <v>0</v>
      </c>
      <c r="D948" s="8">
        <v>0</v>
      </c>
      <c r="E948" s="8">
        <v>0</v>
      </c>
      <c r="F948" s="8">
        <v>1</v>
      </c>
      <c r="G948" s="8">
        <v>1</v>
      </c>
      <c r="H948" s="8">
        <v>0</v>
      </c>
      <c r="I948" s="8">
        <v>1</v>
      </c>
      <c r="J948" s="8">
        <v>1</v>
      </c>
      <c r="K948" s="9">
        <v>1</v>
      </c>
      <c r="L948" s="10">
        <v>0</v>
      </c>
      <c r="M948" s="6">
        <v>0</v>
      </c>
      <c r="N948" s="37" t="e" cm="1">
        <f t="array" ref="N948">IF(OR(ISNUMBER(FIND(Aux!$D$3:$D$9,_xlfn.TEXTJOIN(,,C948:K948)))),NA(),IF(AND(SUM(C948:F948,H948:K948)=0,G948=1),0,INT((SUMPRODUCT(C948:F948,COLUMN($A$1:$D$1)-1)+SUMPRODUCT(H948:K948,COLUMN($E$1:$H$1)-1))*'Line Follower'!$C$3/SUM(C948:F948,H948:K948)-'Line Follower'!$C$5)))</f>
        <v>#N/A</v>
      </c>
      <c r="O948" s="22" t="e">
        <v>#N/A</v>
      </c>
      <c r="P948" s="4" t="e">
        <f t="shared" si="70"/>
        <v>#N/A</v>
      </c>
      <c r="Q948" s="4" t="e">
        <f t="shared" si="71"/>
        <v>#N/A</v>
      </c>
      <c r="R948" s="4" t="e">
        <f>IF(AND(B948=1,N948&gt;'Line Follower'!$C$7,SUM(C948:K948)&lt;4),1,0)</f>
        <v>#N/A</v>
      </c>
      <c r="S948" s="4" t="e">
        <f>IF(AND(L948=1,N948&lt;'Line Follower'!$C$6,SUM(C948:K948)&lt;4),1,0)</f>
        <v>#N/A</v>
      </c>
      <c r="T948" s="4" t="e">
        <f t="shared" si="72"/>
        <v>#N/A</v>
      </c>
      <c r="U948" s="5" t="e">
        <f t="shared" si="73"/>
        <v>#N/A</v>
      </c>
      <c r="V948" s="23" t="e">
        <f t="shared" si="74"/>
        <v>#N/A</v>
      </c>
    </row>
    <row r="949" spans="2:22" x14ac:dyDescent="0.25">
      <c r="B949" s="16">
        <v>0</v>
      </c>
      <c r="C949" s="7">
        <v>1</v>
      </c>
      <c r="D949" s="8">
        <v>0</v>
      </c>
      <c r="E949" s="8">
        <v>0</v>
      </c>
      <c r="F949" s="8">
        <v>1</v>
      </c>
      <c r="G949" s="8">
        <v>1</v>
      </c>
      <c r="H949" s="8">
        <v>0</v>
      </c>
      <c r="I949" s="8">
        <v>1</v>
      </c>
      <c r="J949" s="8">
        <v>1</v>
      </c>
      <c r="K949" s="9">
        <v>1</v>
      </c>
      <c r="L949" s="10">
        <v>0</v>
      </c>
      <c r="M949" s="6">
        <v>0</v>
      </c>
      <c r="N949" s="37" t="e" cm="1">
        <f t="array" ref="N949">IF(OR(ISNUMBER(FIND(Aux!$D$3:$D$9,_xlfn.TEXTJOIN(,,C949:K949)))),NA(),IF(AND(SUM(C949:F949,H949:K949)=0,G949=1),0,INT((SUMPRODUCT(C949:F949,COLUMN($A$1:$D$1)-1)+SUMPRODUCT(H949:K949,COLUMN($E$1:$H$1)-1))*'Line Follower'!$C$3/SUM(C949:F949,H949:K949)-'Line Follower'!$C$5)))</f>
        <v>#N/A</v>
      </c>
      <c r="O949" s="22" t="e">
        <v>#N/A</v>
      </c>
      <c r="P949" s="4" t="e">
        <f t="shared" si="70"/>
        <v>#N/A</v>
      </c>
      <c r="Q949" s="4" t="e">
        <f t="shared" si="71"/>
        <v>#N/A</v>
      </c>
      <c r="R949" s="4" t="e">
        <f>IF(AND(B949=1,N949&gt;'Line Follower'!$C$7,SUM(C949:K949)&lt;4),1,0)</f>
        <v>#N/A</v>
      </c>
      <c r="S949" s="4" t="e">
        <f>IF(AND(L949=1,N949&lt;'Line Follower'!$C$6,SUM(C949:K949)&lt;4),1,0)</f>
        <v>#N/A</v>
      </c>
      <c r="T949" s="4" t="e">
        <f t="shared" si="72"/>
        <v>#N/A</v>
      </c>
      <c r="U949" s="5" t="e">
        <f t="shared" si="73"/>
        <v>#N/A</v>
      </c>
      <c r="V949" s="23" t="e">
        <f t="shared" si="74"/>
        <v>#N/A</v>
      </c>
    </row>
    <row r="950" spans="2:22" x14ac:dyDescent="0.25">
      <c r="B950" s="16">
        <v>1</v>
      </c>
      <c r="C950" s="7">
        <v>1</v>
      </c>
      <c r="D950" s="8">
        <v>0</v>
      </c>
      <c r="E950" s="8">
        <v>0</v>
      </c>
      <c r="F950" s="8">
        <v>1</v>
      </c>
      <c r="G950" s="8">
        <v>1</v>
      </c>
      <c r="H950" s="8">
        <v>0</v>
      </c>
      <c r="I950" s="8">
        <v>1</v>
      </c>
      <c r="J950" s="8">
        <v>1</v>
      </c>
      <c r="K950" s="9">
        <v>1</v>
      </c>
      <c r="L950" s="10">
        <v>0</v>
      </c>
      <c r="M950" s="6">
        <v>0</v>
      </c>
      <c r="N950" s="37" t="e" cm="1">
        <f t="array" ref="N950">IF(OR(ISNUMBER(FIND(Aux!$D$3:$D$9,_xlfn.TEXTJOIN(,,C950:K950)))),NA(),IF(AND(SUM(C950:F950,H950:K950)=0,G950=1),0,INT((SUMPRODUCT(C950:F950,COLUMN($A$1:$D$1)-1)+SUMPRODUCT(H950:K950,COLUMN($E$1:$H$1)-1))*'Line Follower'!$C$3/SUM(C950:F950,H950:K950)-'Line Follower'!$C$5)))</f>
        <v>#N/A</v>
      </c>
      <c r="O950" s="22" t="e">
        <v>#N/A</v>
      </c>
      <c r="P950" s="4" t="e">
        <f t="shared" si="70"/>
        <v>#N/A</v>
      </c>
      <c r="Q950" s="4" t="e">
        <f t="shared" si="71"/>
        <v>#N/A</v>
      </c>
      <c r="R950" s="4" t="e">
        <f>IF(AND(B950=1,N950&gt;'Line Follower'!$C$7,SUM(C950:K950)&lt;4),1,0)</f>
        <v>#N/A</v>
      </c>
      <c r="S950" s="4" t="e">
        <f>IF(AND(L950=1,N950&lt;'Line Follower'!$C$6,SUM(C950:K950)&lt;4),1,0)</f>
        <v>#N/A</v>
      </c>
      <c r="T950" s="4" t="e">
        <f t="shared" si="72"/>
        <v>#N/A</v>
      </c>
      <c r="U950" s="5" t="e">
        <f t="shared" si="73"/>
        <v>#N/A</v>
      </c>
      <c r="V950" s="23" t="e">
        <f t="shared" si="74"/>
        <v>#N/A</v>
      </c>
    </row>
    <row r="951" spans="2:22" x14ac:dyDescent="0.25">
      <c r="B951" s="16">
        <v>0</v>
      </c>
      <c r="C951" s="7">
        <v>0</v>
      </c>
      <c r="D951" s="8">
        <v>1</v>
      </c>
      <c r="E951" s="8">
        <v>0</v>
      </c>
      <c r="F951" s="8">
        <v>1</v>
      </c>
      <c r="G951" s="8">
        <v>1</v>
      </c>
      <c r="H951" s="8">
        <v>0</v>
      </c>
      <c r="I951" s="8">
        <v>1</v>
      </c>
      <c r="J951" s="8">
        <v>1</v>
      </c>
      <c r="K951" s="9">
        <v>1</v>
      </c>
      <c r="L951" s="10">
        <v>0</v>
      </c>
      <c r="M951" s="6">
        <v>0</v>
      </c>
      <c r="N951" s="37" t="e" cm="1">
        <f t="array" ref="N951">IF(OR(ISNUMBER(FIND(Aux!$D$3:$D$9,_xlfn.TEXTJOIN(,,C951:K951)))),NA(),IF(AND(SUM(C951:F951,H951:K951)=0,G951=1),0,INT((SUMPRODUCT(C951:F951,COLUMN($A$1:$D$1)-1)+SUMPRODUCT(H951:K951,COLUMN($E$1:$H$1)-1))*'Line Follower'!$C$3/SUM(C951:F951,H951:K951)-'Line Follower'!$C$5)))</f>
        <v>#N/A</v>
      </c>
      <c r="O951" s="22" t="e">
        <v>#N/A</v>
      </c>
      <c r="P951" s="4" t="e">
        <f t="shared" si="70"/>
        <v>#N/A</v>
      </c>
      <c r="Q951" s="4" t="e">
        <f t="shared" si="71"/>
        <v>#N/A</v>
      </c>
      <c r="R951" s="4" t="e">
        <f>IF(AND(B951=1,N951&gt;'Line Follower'!$C$7,SUM(C951:K951)&lt;4),1,0)</f>
        <v>#N/A</v>
      </c>
      <c r="S951" s="4" t="e">
        <f>IF(AND(L951=1,N951&lt;'Line Follower'!$C$6,SUM(C951:K951)&lt;4),1,0)</f>
        <v>#N/A</v>
      </c>
      <c r="T951" s="4" t="e">
        <f t="shared" si="72"/>
        <v>#N/A</v>
      </c>
      <c r="U951" s="5" t="e">
        <f t="shared" si="73"/>
        <v>#N/A</v>
      </c>
      <c r="V951" s="23" t="e">
        <f t="shared" si="74"/>
        <v>#N/A</v>
      </c>
    </row>
    <row r="952" spans="2:22" x14ac:dyDescent="0.25">
      <c r="B952" s="16">
        <v>1</v>
      </c>
      <c r="C952" s="7">
        <v>0</v>
      </c>
      <c r="D952" s="8">
        <v>1</v>
      </c>
      <c r="E952" s="8">
        <v>0</v>
      </c>
      <c r="F952" s="8">
        <v>1</v>
      </c>
      <c r="G952" s="8">
        <v>1</v>
      </c>
      <c r="H952" s="8">
        <v>0</v>
      </c>
      <c r="I952" s="8">
        <v>1</v>
      </c>
      <c r="J952" s="8">
        <v>1</v>
      </c>
      <c r="K952" s="9">
        <v>1</v>
      </c>
      <c r="L952" s="10">
        <v>0</v>
      </c>
      <c r="M952" s="6">
        <v>0</v>
      </c>
      <c r="N952" s="37" t="e" cm="1">
        <f t="array" ref="N952">IF(OR(ISNUMBER(FIND(Aux!$D$3:$D$9,_xlfn.TEXTJOIN(,,C952:K952)))),NA(),IF(AND(SUM(C952:F952,H952:K952)=0,G952=1),0,INT((SUMPRODUCT(C952:F952,COLUMN($A$1:$D$1)-1)+SUMPRODUCT(H952:K952,COLUMN($E$1:$H$1)-1))*'Line Follower'!$C$3/SUM(C952:F952,H952:K952)-'Line Follower'!$C$5)))</f>
        <v>#N/A</v>
      </c>
      <c r="O952" s="22" t="e">
        <v>#N/A</v>
      </c>
      <c r="P952" s="4" t="e">
        <f t="shared" si="70"/>
        <v>#N/A</v>
      </c>
      <c r="Q952" s="4" t="e">
        <f t="shared" si="71"/>
        <v>#N/A</v>
      </c>
      <c r="R952" s="4" t="e">
        <f>IF(AND(B952=1,N952&gt;'Line Follower'!$C$7,SUM(C952:K952)&lt;4),1,0)</f>
        <v>#N/A</v>
      </c>
      <c r="S952" s="4" t="e">
        <f>IF(AND(L952=1,N952&lt;'Line Follower'!$C$6,SUM(C952:K952)&lt;4),1,0)</f>
        <v>#N/A</v>
      </c>
      <c r="T952" s="4" t="e">
        <f t="shared" si="72"/>
        <v>#N/A</v>
      </c>
      <c r="U952" s="5" t="e">
        <f t="shared" si="73"/>
        <v>#N/A</v>
      </c>
      <c r="V952" s="23" t="e">
        <f t="shared" si="74"/>
        <v>#N/A</v>
      </c>
    </row>
    <row r="953" spans="2:22" x14ac:dyDescent="0.25">
      <c r="B953" s="16">
        <v>0</v>
      </c>
      <c r="C953" s="7">
        <v>1</v>
      </c>
      <c r="D953" s="8">
        <v>1</v>
      </c>
      <c r="E953" s="8">
        <v>0</v>
      </c>
      <c r="F953" s="8">
        <v>1</v>
      </c>
      <c r="G953" s="8">
        <v>1</v>
      </c>
      <c r="H953" s="8">
        <v>0</v>
      </c>
      <c r="I953" s="8">
        <v>1</v>
      </c>
      <c r="J953" s="8">
        <v>1</v>
      </c>
      <c r="K953" s="9">
        <v>1</v>
      </c>
      <c r="L953" s="10">
        <v>0</v>
      </c>
      <c r="M953" s="6">
        <v>0</v>
      </c>
      <c r="N953" s="37" t="e" cm="1">
        <f t="array" ref="N953">IF(OR(ISNUMBER(FIND(Aux!$D$3:$D$9,_xlfn.TEXTJOIN(,,C953:K953)))),NA(),IF(AND(SUM(C953:F953,H953:K953)=0,G953=1),0,INT((SUMPRODUCT(C953:F953,COLUMN($A$1:$D$1)-1)+SUMPRODUCT(H953:K953,COLUMN($E$1:$H$1)-1))*'Line Follower'!$C$3/SUM(C953:F953,H953:K953)-'Line Follower'!$C$5)))</f>
        <v>#N/A</v>
      </c>
      <c r="O953" s="22" t="e">
        <v>#N/A</v>
      </c>
      <c r="P953" s="4" t="e">
        <f t="shared" si="70"/>
        <v>#N/A</v>
      </c>
      <c r="Q953" s="4" t="e">
        <f t="shared" si="71"/>
        <v>#N/A</v>
      </c>
      <c r="R953" s="4" t="e">
        <f>IF(AND(B953=1,N953&gt;'Line Follower'!$C$7,SUM(C953:K953)&lt;4),1,0)</f>
        <v>#N/A</v>
      </c>
      <c r="S953" s="4" t="e">
        <f>IF(AND(L953=1,N953&lt;'Line Follower'!$C$6,SUM(C953:K953)&lt;4),1,0)</f>
        <v>#N/A</v>
      </c>
      <c r="T953" s="4" t="e">
        <f t="shared" si="72"/>
        <v>#N/A</v>
      </c>
      <c r="U953" s="5" t="e">
        <f t="shared" si="73"/>
        <v>#N/A</v>
      </c>
      <c r="V953" s="23" t="e">
        <f t="shared" si="74"/>
        <v>#N/A</v>
      </c>
    </row>
    <row r="954" spans="2:22" x14ac:dyDescent="0.25">
      <c r="B954" s="16">
        <v>1</v>
      </c>
      <c r="C954" s="7">
        <v>1</v>
      </c>
      <c r="D954" s="8">
        <v>1</v>
      </c>
      <c r="E954" s="8">
        <v>0</v>
      </c>
      <c r="F954" s="8">
        <v>1</v>
      </c>
      <c r="G954" s="8">
        <v>1</v>
      </c>
      <c r="H954" s="8">
        <v>0</v>
      </c>
      <c r="I954" s="8">
        <v>1</v>
      </c>
      <c r="J954" s="8">
        <v>1</v>
      </c>
      <c r="K954" s="9">
        <v>1</v>
      </c>
      <c r="L954" s="10">
        <v>0</v>
      </c>
      <c r="M954" s="6">
        <v>0</v>
      </c>
      <c r="N954" s="37" t="e" cm="1">
        <f t="array" ref="N954">IF(OR(ISNUMBER(FIND(Aux!$D$3:$D$9,_xlfn.TEXTJOIN(,,C954:K954)))),NA(),IF(AND(SUM(C954:F954,H954:K954)=0,G954=1),0,INT((SUMPRODUCT(C954:F954,COLUMN($A$1:$D$1)-1)+SUMPRODUCT(H954:K954,COLUMN($E$1:$H$1)-1))*'Line Follower'!$C$3/SUM(C954:F954,H954:K954)-'Line Follower'!$C$5)))</f>
        <v>#N/A</v>
      </c>
      <c r="O954" s="22" t="e">
        <v>#N/A</v>
      </c>
      <c r="P954" s="4" t="e">
        <f t="shared" si="70"/>
        <v>#N/A</v>
      </c>
      <c r="Q954" s="4" t="e">
        <f t="shared" si="71"/>
        <v>#N/A</v>
      </c>
      <c r="R954" s="4" t="e">
        <f>IF(AND(B954=1,N954&gt;'Line Follower'!$C$7,SUM(C954:K954)&lt;4),1,0)</f>
        <v>#N/A</v>
      </c>
      <c r="S954" s="4" t="e">
        <f>IF(AND(L954=1,N954&lt;'Line Follower'!$C$6,SUM(C954:K954)&lt;4),1,0)</f>
        <v>#N/A</v>
      </c>
      <c r="T954" s="4" t="e">
        <f t="shared" si="72"/>
        <v>#N/A</v>
      </c>
      <c r="U954" s="5" t="e">
        <f t="shared" si="73"/>
        <v>#N/A</v>
      </c>
      <c r="V954" s="23" t="e">
        <f t="shared" si="74"/>
        <v>#N/A</v>
      </c>
    </row>
    <row r="955" spans="2:22" x14ac:dyDescent="0.25">
      <c r="B955" s="16">
        <v>0</v>
      </c>
      <c r="C955" s="7">
        <v>0</v>
      </c>
      <c r="D955" s="8">
        <v>0</v>
      </c>
      <c r="E955" s="8">
        <v>1</v>
      </c>
      <c r="F955" s="8">
        <v>1</v>
      </c>
      <c r="G955" s="8">
        <v>1</v>
      </c>
      <c r="H955" s="8">
        <v>0</v>
      </c>
      <c r="I955" s="8">
        <v>1</v>
      </c>
      <c r="J955" s="8">
        <v>1</v>
      </c>
      <c r="K955" s="9">
        <v>1</v>
      </c>
      <c r="L955" s="10">
        <v>0</v>
      </c>
      <c r="M955" s="6">
        <v>0</v>
      </c>
      <c r="N955" s="37" t="e" cm="1">
        <f t="array" ref="N955">IF(OR(ISNUMBER(FIND(Aux!$D$3:$D$9,_xlfn.TEXTJOIN(,,C955:K955)))),NA(),IF(AND(SUM(C955:F955,H955:K955)=0,G955=1),0,INT((SUMPRODUCT(C955:F955,COLUMN($A$1:$D$1)-1)+SUMPRODUCT(H955:K955,COLUMN($E$1:$H$1)-1))*'Line Follower'!$C$3/SUM(C955:F955,H955:K955)-'Line Follower'!$C$5)))</f>
        <v>#N/A</v>
      </c>
      <c r="O955" s="22" t="e">
        <v>#N/A</v>
      </c>
      <c r="P955" s="4" t="e">
        <f t="shared" si="70"/>
        <v>#N/A</v>
      </c>
      <c r="Q955" s="4" t="e">
        <f t="shared" si="71"/>
        <v>#N/A</v>
      </c>
      <c r="R955" s="4" t="e">
        <f>IF(AND(B955=1,N955&gt;'Line Follower'!$C$7,SUM(C955:K955)&lt;4),1,0)</f>
        <v>#N/A</v>
      </c>
      <c r="S955" s="4" t="e">
        <f>IF(AND(L955=1,N955&lt;'Line Follower'!$C$6,SUM(C955:K955)&lt;4),1,0)</f>
        <v>#N/A</v>
      </c>
      <c r="T955" s="4" t="e">
        <f t="shared" si="72"/>
        <v>#N/A</v>
      </c>
      <c r="U955" s="5" t="e">
        <f t="shared" si="73"/>
        <v>#N/A</v>
      </c>
      <c r="V955" s="23" t="e">
        <f t="shared" si="74"/>
        <v>#N/A</v>
      </c>
    </row>
    <row r="956" spans="2:22" x14ac:dyDescent="0.25">
      <c r="B956" s="16">
        <v>1</v>
      </c>
      <c r="C956" s="7">
        <v>0</v>
      </c>
      <c r="D956" s="8">
        <v>0</v>
      </c>
      <c r="E956" s="8">
        <v>1</v>
      </c>
      <c r="F956" s="8">
        <v>1</v>
      </c>
      <c r="G956" s="8">
        <v>1</v>
      </c>
      <c r="H956" s="8">
        <v>0</v>
      </c>
      <c r="I956" s="8">
        <v>1</v>
      </c>
      <c r="J956" s="8">
        <v>1</v>
      </c>
      <c r="K956" s="9">
        <v>1</v>
      </c>
      <c r="L956" s="10">
        <v>0</v>
      </c>
      <c r="M956" s="6">
        <v>0</v>
      </c>
      <c r="N956" s="37" t="e" cm="1">
        <f t="array" ref="N956">IF(OR(ISNUMBER(FIND(Aux!$D$3:$D$9,_xlfn.TEXTJOIN(,,C956:K956)))),NA(),IF(AND(SUM(C956:F956,H956:K956)=0,G956=1),0,INT((SUMPRODUCT(C956:F956,COLUMN($A$1:$D$1)-1)+SUMPRODUCT(H956:K956,COLUMN($E$1:$H$1)-1))*'Line Follower'!$C$3/SUM(C956:F956,H956:K956)-'Line Follower'!$C$5)))</f>
        <v>#N/A</v>
      </c>
      <c r="O956" s="22" t="e">
        <v>#N/A</v>
      </c>
      <c r="P956" s="4" t="e">
        <f t="shared" si="70"/>
        <v>#N/A</v>
      </c>
      <c r="Q956" s="4" t="e">
        <f t="shared" si="71"/>
        <v>#N/A</v>
      </c>
      <c r="R956" s="4" t="e">
        <f>IF(AND(B956=1,N956&gt;'Line Follower'!$C$7,SUM(C956:K956)&lt;4),1,0)</f>
        <v>#N/A</v>
      </c>
      <c r="S956" s="4" t="e">
        <f>IF(AND(L956=1,N956&lt;'Line Follower'!$C$6,SUM(C956:K956)&lt;4),1,0)</f>
        <v>#N/A</v>
      </c>
      <c r="T956" s="4" t="e">
        <f t="shared" si="72"/>
        <v>#N/A</v>
      </c>
      <c r="U956" s="5" t="e">
        <f t="shared" si="73"/>
        <v>#N/A</v>
      </c>
      <c r="V956" s="23" t="e">
        <f t="shared" si="74"/>
        <v>#N/A</v>
      </c>
    </row>
    <row r="957" spans="2:22" x14ac:dyDescent="0.25">
      <c r="B957" s="16">
        <v>0</v>
      </c>
      <c r="C957" s="7">
        <v>1</v>
      </c>
      <c r="D957" s="8">
        <v>0</v>
      </c>
      <c r="E957" s="8">
        <v>1</v>
      </c>
      <c r="F957" s="8">
        <v>1</v>
      </c>
      <c r="G957" s="8">
        <v>1</v>
      </c>
      <c r="H957" s="8">
        <v>0</v>
      </c>
      <c r="I957" s="8">
        <v>1</v>
      </c>
      <c r="J957" s="8">
        <v>1</v>
      </c>
      <c r="K957" s="9">
        <v>1</v>
      </c>
      <c r="L957" s="10">
        <v>0</v>
      </c>
      <c r="M957" s="6">
        <v>0</v>
      </c>
      <c r="N957" s="37" t="e" cm="1">
        <f t="array" ref="N957">IF(OR(ISNUMBER(FIND(Aux!$D$3:$D$9,_xlfn.TEXTJOIN(,,C957:K957)))),NA(),IF(AND(SUM(C957:F957,H957:K957)=0,G957=1),0,INT((SUMPRODUCT(C957:F957,COLUMN($A$1:$D$1)-1)+SUMPRODUCT(H957:K957,COLUMN($E$1:$H$1)-1))*'Line Follower'!$C$3/SUM(C957:F957,H957:K957)-'Line Follower'!$C$5)))</f>
        <v>#N/A</v>
      </c>
      <c r="O957" s="22" t="e">
        <v>#N/A</v>
      </c>
      <c r="P957" s="4" t="e">
        <f t="shared" si="70"/>
        <v>#N/A</v>
      </c>
      <c r="Q957" s="4" t="e">
        <f t="shared" si="71"/>
        <v>#N/A</v>
      </c>
      <c r="R957" s="4" t="e">
        <f>IF(AND(B957=1,N957&gt;'Line Follower'!$C$7,SUM(C957:K957)&lt;4),1,0)</f>
        <v>#N/A</v>
      </c>
      <c r="S957" s="4" t="e">
        <f>IF(AND(L957=1,N957&lt;'Line Follower'!$C$6,SUM(C957:K957)&lt;4),1,0)</f>
        <v>#N/A</v>
      </c>
      <c r="T957" s="4" t="e">
        <f t="shared" si="72"/>
        <v>#N/A</v>
      </c>
      <c r="U957" s="5" t="e">
        <f t="shared" si="73"/>
        <v>#N/A</v>
      </c>
      <c r="V957" s="23" t="e">
        <f t="shared" si="74"/>
        <v>#N/A</v>
      </c>
    </row>
    <row r="958" spans="2:22" x14ac:dyDescent="0.25">
      <c r="B958" s="16">
        <v>1</v>
      </c>
      <c r="C958" s="7">
        <v>1</v>
      </c>
      <c r="D958" s="8">
        <v>0</v>
      </c>
      <c r="E958" s="8">
        <v>1</v>
      </c>
      <c r="F958" s="8">
        <v>1</v>
      </c>
      <c r="G958" s="8">
        <v>1</v>
      </c>
      <c r="H958" s="8">
        <v>0</v>
      </c>
      <c r="I958" s="8">
        <v>1</v>
      </c>
      <c r="J958" s="8">
        <v>1</v>
      </c>
      <c r="K958" s="9">
        <v>1</v>
      </c>
      <c r="L958" s="10">
        <v>0</v>
      </c>
      <c r="M958" s="6">
        <v>0</v>
      </c>
      <c r="N958" s="37" t="e" cm="1">
        <f t="array" ref="N958">IF(OR(ISNUMBER(FIND(Aux!$D$3:$D$9,_xlfn.TEXTJOIN(,,C958:K958)))),NA(),IF(AND(SUM(C958:F958,H958:K958)=0,G958=1),0,INT((SUMPRODUCT(C958:F958,COLUMN($A$1:$D$1)-1)+SUMPRODUCT(H958:K958,COLUMN($E$1:$H$1)-1))*'Line Follower'!$C$3/SUM(C958:F958,H958:K958)-'Line Follower'!$C$5)))</f>
        <v>#N/A</v>
      </c>
      <c r="O958" s="22" t="e">
        <v>#N/A</v>
      </c>
      <c r="P958" s="4" t="e">
        <f t="shared" si="70"/>
        <v>#N/A</v>
      </c>
      <c r="Q958" s="4" t="e">
        <f t="shared" si="71"/>
        <v>#N/A</v>
      </c>
      <c r="R958" s="4" t="e">
        <f>IF(AND(B958=1,N958&gt;'Line Follower'!$C$7,SUM(C958:K958)&lt;4),1,0)</f>
        <v>#N/A</v>
      </c>
      <c r="S958" s="4" t="e">
        <f>IF(AND(L958=1,N958&lt;'Line Follower'!$C$6,SUM(C958:K958)&lt;4),1,0)</f>
        <v>#N/A</v>
      </c>
      <c r="T958" s="4" t="e">
        <f t="shared" si="72"/>
        <v>#N/A</v>
      </c>
      <c r="U958" s="5" t="e">
        <f t="shared" si="73"/>
        <v>#N/A</v>
      </c>
      <c r="V958" s="23" t="e">
        <f t="shared" si="74"/>
        <v>#N/A</v>
      </c>
    </row>
    <row r="959" spans="2:22" x14ac:dyDescent="0.25">
      <c r="B959" s="16">
        <v>0</v>
      </c>
      <c r="C959" s="7">
        <v>0</v>
      </c>
      <c r="D959" s="8">
        <v>1</v>
      </c>
      <c r="E959" s="8">
        <v>1</v>
      </c>
      <c r="F959" s="8">
        <v>1</v>
      </c>
      <c r="G959" s="8">
        <v>1</v>
      </c>
      <c r="H959" s="8">
        <v>0</v>
      </c>
      <c r="I959" s="8">
        <v>1</v>
      </c>
      <c r="J959" s="8">
        <v>1</v>
      </c>
      <c r="K959" s="9">
        <v>1</v>
      </c>
      <c r="L959" s="10">
        <v>0</v>
      </c>
      <c r="M959" s="6">
        <v>0</v>
      </c>
      <c r="N959" s="37" t="e" cm="1">
        <f t="array" ref="N959">IF(OR(ISNUMBER(FIND(Aux!$D$3:$D$9,_xlfn.TEXTJOIN(,,C959:K959)))),NA(),IF(AND(SUM(C959:F959,H959:K959)=0,G959=1),0,INT((SUMPRODUCT(C959:F959,COLUMN($A$1:$D$1)-1)+SUMPRODUCT(H959:K959,COLUMN($E$1:$H$1)-1))*'Line Follower'!$C$3/SUM(C959:F959,H959:K959)-'Line Follower'!$C$5)))</f>
        <v>#N/A</v>
      </c>
      <c r="O959" s="22" t="e">
        <v>#N/A</v>
      </c>
      <c r="P959" s="4" t="e">
        <f t="shared" si="70"/>
        <v>#N/A</v>
      </c>
      <c r="Q959" s="4" t="e">
        <f t="shared" si="71"/>
        <v>#N/A</v>
      </c>
      <c r="R959" s="4" t="e">
        <f>IF(AND(B959=1,N959&gt;'Line Follower'!$C$7,SUM(C959:K959)&lt;4),1,0)</f>
        <v>#N/A</v>
      </c>
      <c r="S959" s="4" t="e">
        <f>IF(AND(L959=1,N959&lt;'Line Follower'!$C$6,SUM(C959:K959)&lt;4),1,0)</f>
        <v>#N/A</v>
      </c>
      <c r="T959" s="4" t="e">
        <f t="shared" si="72"/>
        <v>#N/A</v>
      </c>
      <c r="U959" s="5" t="e">
        <f t="shared" si="73"/>
        <v>#N/A</v>
      </c>
      <c r="V959" s="23" t="e">
        <f t="shared" si="74"/>
        <v>#N/A</v>
      </c>
    </row>
    <row r="960" spans="2:22" x14ac:dyDescent="0.25">
      <c r="B960" s="16">
        <v>1</v>
      </c>
      <c r="C960" s="7">
        <v>0</v>
      </c>
      <c r="D960" s="8">
        <v>1</v>
      </c>
      <c r="E960" s="8">
        <v>1</v>
      </c>
      <c r="F960" s="8">
        <v>1</v>
      </c>
      <c r="G960" s="8">
        <v>1</v>
      </c>
      <c r="H960" s="8">
        <v>0</v>
      </c>
      <c r="I960" s="8">
        <v>1</v>
      </c>
      <c r="J960" s="8">
        <v>1</v>
      </c>
      <c r="K960" s="9">
        <v>1</v>
      </c>
      <c r="L960" s="10">
        <v>0</v>
      </c>
      <c r="M960" s="6">
        <v>0</v>
      </c>
      <c r="N960" s="37" t="e" cm="1">
        <f t="array" ref="N960">IF(OR(ISNUMBER(FIND(Aux!$D$3:$D$9,_xlfn.TEXTJOIN(,,C960:K960)))),NA(),IF(AND(SUM(C960:F960,H960:K960)=0,G960=1),0,INT((SUMPRODUCT(C960:F960,COLUMN($A$1:$D$1)-1)+SUMPRODUCT(H960:K960,COLUMN($E$1:$H$1)-1))*'Line Follower'!$C$3/SUM(C960:F960,H960:K960)-'Line Follower'!$C$5)))</f>
        <v>#N/A</v>
      </c>
      <c r="O960" s="22" t="e">
        <v>#N/A</v>
      </c>
      <c r="P960" s="4" t="e">
        <f t="shared" si="70"/>
        <v>#N/A</v>
      </c>
      <c r="Q960" s="4" t="e">
        <f t="shared" si="71"/>
        <v>#N/A</v>
      </c>
      <c r="R960" s="4" t="e">
        <f>IF(AND(B960=1,N960&gt;'Line Follower'!$C$7,SUM(C960:K960)&lt;4),1,0)</f>
        <v>#N/A</v>
      </c>
      <c r="S960" s="4" t="e">
        <f>IF(AND(L960=1,N960&lt;'Line Follower'!$C$6,SUM(C960:K960)&lt;4),1,0)</f>
        <v>#N/A</v>
      </c>
      <c r="T960" s="4" t="e">
        <f t="shared" si="72"/>
        <v>#N/A</v>
      </c>
      <c r="U960" s="5" t="e">
        <f t="shared" si="73"/>
        <v>#N/A</v>
      </c>
      <c r="V960" s="23" t="e">
        <f t="shared" si="74"/>
        <v>#N/A</v>
      </c>
    </row>
    <row r="961" spans="2:22" x14ac:dyDescent="0.25">
      <c r="B961" s="16">
        <v>0</v>
      </c>
      <c r="C961" s="7">
        <v>1</v>
      </c>
      <c r="D961" s="8">
        <v>1</v>
      </c>
      <c r="E961" s="8">
        <v>1</v>
      </c>
      <c r="F961" s="8">
        <v>1</v>
      </c>
      <c r="G961" s="8">
        <v>1</v>
      </c>
      <c r="H961" s="8">
        <v>0</v>
      </c>
      <c r="I961" s="8">
        <v>1</v>
      </c>
      <c r="J961" s="8">
        <v>1</v>
      </c>
      <c r="K961" s="9">
        <v>1</v>
      </c>
      <c r="L961" s="10">
        <v>0</v>
      </c>
      <c r="M961" s="6">
        <v>0</v>
      </c>
      <c r="N961" s="37" t="e" cm="1">
        <f t="array" ref="N961">IF(OR(ISNUMBER(FIND(Aux!$D$3:$D$9,_xlfn.TEXTJOIN(,,C961:K961)))),NA(),IF(AND(SUM(C961:F961,H961:K961)=0,G961=1),0,INT((SUMPRODUCT(C961:F961,COLUMN($A$1:$D$1)-1)+SUMPRODUCT(H961:K961,COLUMN($E$1:$H$1)-1))*'Line Follower'!$C$3/SUM(C961:F961,H961:K961)-'Line Follower'!$C$5)))</f>
        <v>#N/A</v>
      </c>
      <c r="O961" s="22" t="e">
        <v>#N/A</v>
      </c>
      <c r="P961" s="4" t="e">
        <f t="shared" si="70"/>
        <v>#N/A</v>
      </c>
      <c r="Q961" s="4" t="e">
        <f t="shared" si="71"/>
        <v>#N/A</v>
      </c>
      <c r="R961" s="4" t="e">
        <f>IF(AND(B961=1,N961&gt;'Line Follower'!$C$7,SUM(C961:K961)&lt;4),1,0)</f>
        <v>#N/A</v>
      </c>
      <c r="S961" s="4" t="e">
        <f>IF(AND(L961=1,N961&lt;'Line Follower'!$C$6,SUM(C961:K961)&lt;4),1,0)</f>
        <v>#N/A</v>
      </c>
      <c r="T961" s="4" t="e">
        <f t="shared" si="72"/>
        <v>#N/A</v>
      </c>
      <c r="U961" s="5" t="e">
        <f t="shared" si="73"/>
        <v>#N/A</v>
      </c>
      <c r="V961" s="23" t="e">
        <f t="shared" si="74"/>
        <v>#N/A</v>
      </c>
    </row>
    <row r="962" spans="2:22" x14ac:dyDescent="0.25">
      <c r="B962" s="16">
        <v>1</v>
      </c>
      <c r="C962" s="7">
        <v>1</v>
      </c>
      <c r="D962" s="8">
        <v>1</v>
      </c>
      <c r="E962" s="8">
        <v>1</v>
      </c>
      <c r="F962" s="8">
        <v>1</v>
      </c>
      <c r="G962" s="8">
        <v>1</v>
      </c>
      <c r="H962" s="8">
        <v>0</v>
      </c>
      <c r="I962" s="8">
        <v>1</v>
      </c>
      <c r="J962" s="8">
        <v>1</v>
      </c>
      <c r="K962" s="9">
        <v>1</v>
      </c>
      <c r="L962" s="10">
        <v>0</v>
      </c>
      <c r="M962" s="6">
        <v>0</v>
      </c>
      <c r="N962" s="37" t="e" cm="1">
        <f t="array" ref="N962">IF(OR(ISNUMBER(FIND(Aux!$D$3:$D$9,_xlfn.TEXTJOIN(,,C962:K962)))),NA(),IF(AND(SUM(C962:F962,H962:K962)=0,G962=1),0,INT((SUMPRODUCT(C962:F962,COLUMN($A$1:$D$1)-1)+SUMPRODUCT(H962:K962,COLUMN($E$1:$H$1)-1))*'Line Follower'!$C$3/SUM(C962:F962,H962:K962)-'Line Follower'!$C$5)))</f>
        <v>#N/A</v>
      </c>
      <c r="O962" s="22" t="e">
        <v>#N/A</v>
      </c>
      <c r="P962" s="4" t="e">
        <f t="shared" si="70"/>
        <v>#N/A</v>
      </c>
      <c r="Q962" s="4" t="e">
        <f t="shared" si="71"/>
        <v>#N/A</v>
      </c>
      <c r="R962" s="4" t="e">
        <f>IF(AND(B962=1,N962&gt;'Line Follower'!$C$7,SUM(C962:K962)&lt;4),1,0)</f>
        <v>#N/A</v>
      </c>
      <c r="S962" s="4" t="e">
        <f>IF(AND(L962=1,N962&lt;'Line Follower'!$C$6,SUM(C962:K962)&lt;4),1,0)</f>
        <v>#N/A</v>
      </c>
      <c r="T962" s="4" t="e">
        <f t="shared" si="72"/>
        <v>#N/A</v>
      </c>
      <c r="U962" s="5" t="e">
        <f t="shared" si="73"/>
        <v>#N/A</v>
      </c>
      <c r="V962" s="23" t="e">
        <f t="shared" si="74"/>
        <v>#N/A</v>
      </c>
    </row>
    <row r="963" spans="2:22" x14ac:dyDescent="0.25">
      <c r="B963" s="16">
        <v>0</v>
      </c>
      <c r="C963" s="7">
        <v>0</v>
      </c>
      <c r="D963" s="8">
        <v>0</v>
      </c>
      <c r="E963" s="8">
        <v>0</v>
      </c>
      <c r="F963" s="8">
        <v>0</v>
      </c>
      <c r="G963" s="8">
        <v>0</v>
      </c>
      <c r="H963" s="8">
        <v>1</v>
      </c>
      <c r="I963" s="8">
        <v>1</v>
      </c>
      <c r="J963" s="8">
        <v>1</v>
      </c>
      <c r="K963" s="9">
        <v>1</v>
      </c>
      <c r="L963" s="10">
        <v>0</v>
      </c>
      <c r="M963" s="6">
        <v>0</v>
      </c>
      <c r="N963" s="37" cm="1">
        <f t="array" ref="N963">IF(OR(ISNUMBER(FIND(Aux!$D$3:$D$9,_xlfn.TEXTJOIN(,,C963:K963)))),NA(),IF(AND(SUM(C963:F963,H963:K963)=0,G963=1),0,INT((SUMPRODUCT(C963:F963,COLUMN($A$1:$D$1)-1)+SUMPRODUCT(H963:K963,COLUMN($E$1:$H$1)-1))*'Line Follower'!$C$3/SUM(C963:F963,H963:K963)-'Line Follower'!$C$5)))</f>
        <v>4</v>
      </c>
      <c r="O963" s="22">
        <v>1</v>
      </c>
      <c r="P963" s="4">
        <f t="shared" ref="P963:P1026" si="75">IF(AND(N963=0,G963=1,M963=1),1,0)</f>
        <v>0</v>
      </c>
      <c r="Q963" s="4">
        <f t="shared" ref="Q963:Q1026" si="76">IF(ISERROR(N963),N963,IF(SUM(C963:K963)&gt;=4,1,0))</f>
        <v>1</v>
      </c>
      <c r="R963" s="4">
        <f>IF(AND(B963=1,N963&gt;'Line Follower'!$C$7,SUM(C963:K963)&lt;4),1,0)</f>
        <v>0</v>
      </c>
      <c r="S963" s="4">
        <f>IF(AND(L963=1,N963&lt;'Line Follower'!$C$6,SUM(C963:K963)&lt;4),1,0)</f>
        <v>0</v>
      </c>
      <c r="T963" s="4">
        <f t="shared" si="72"/>
        <v>0</v>
      </c>
      <c r="U963" s="5">
        <f t="shared" si="73"/>
        <v>0</v>
      </c>
      <c r="V963" s="23">
        <f t="shared" si="74"/>
        <v>0</v>
      </c>
    </row>
    <row r="964" spans="2:22" x14ac:dyDescent="0.25">
      <c r="B964" s="16">
        <v>1</v>
      </c>
      <c r="C964" s="7">
        <v>0</v>
      </c>
      <c r="D964" s="8">
        <v>0</v>
      </c>
      <c r="E964" s="8">
        <v>0</v>
      </c>
      <c r="F964" s="8">
        <v>0</v>
      </c>
      <c r="G964" s="8">
        <v>0</v>
      </c>
      <c r="H964" s="8">
        <v>1</v>
      </c>
      <c r="I964" s="8">
        <v>1</v>
      </c>
      <c r="J964" s="8">
        <v>1</v>
      </c>
      <c r="K964" s="9">
        <v>1</v>
      </c>
      <c r="L964" s="10">
        <v>0</v>
      </c>
      <c r="M964" s="6">
        <v>0</v>
      </c>
      <c r="N964" s="37" cm="1">
        <f t="array" ref="N964">IF(OR(ISNUMBER(FIND(Aux!$D$3:$D$9,_xlfn.TEXTJOIN(,,C964:K964)))),NA(),IF(AND(SUM(C964:F964,H964:K964)=0,G964=1),0,INT((SUMPRODUCT(C964:F964,COLUMN($A$1:$D$1)-1)+SUMPRODUCT(H964:K964,COLUMN($E$1:$H$1)-1))*'Line Follower'!$C$3/SUM(C964:F964,H964:K964)-'Line Follower'!$C$5)))</f>
        <v>4</v>
      </c>
      <c r="O964" s="22">
        <v>1</v>
      </c>
      <c r="P964" s="4">
        <f t="shared" si="75"/>
        <v>0</v>
      </c>
      <c r="Q964" s="4">
        <f t="shared" si="76"/>
        <v>1</v>
      </c>
      <c r="R964" s="4">
        <f>IF(AND(B964=1,N964&gt;'Line Follower'!$C$7,SUM(C964:K964)&lt;4),1,0)</f>
        <v>0</v>
      </c>
      <c r="S964" s="4">
        <f>IF(AND(L964=1,N964&lt;'Line Follower'!$C$6,SUM(C964:K964)&lt;4),1,0)</f>
        <v>0</v>
      </c>
      <c r="T964" s="4">
        <f t="shared" ref="T964:T1027" si="77">IF(ISNA(N964),NA(),IF(SUM(C964:L964)=0,1,0))</f>
        <v>0</v>
      </c>
      <c r="U964" s="5">
        <f t="shared" ref="U964:U1027" si="78">IF(ISNA(N964),NA(),IF(SUM(B964:K964)=0,1,0))</f>
        <v>0</v>
      </c>
      <c r="V964" s="23">
        <f t="shared" ref="V964:V1027" si="79">IF(ISNA(N964),NA(),IF(SUM(B964:L964)=0,1,0))</f>
        <v>0</v>
      </c>
    </row>
    <row r="965" spans="2:22" x14ac:dyDescent="0.25">
      <c r="B965" s="16">
        <v>0</v>
      </c>
      <c r="C965" s="7">
        <v>1</v>
      </c>
      <c r="D965" s="8">
        <v>0</v>
      </c>
      <c r="E965" s="8">
        <v>0</v>
      </c>
      <c r="F965" s="8">
        <v>0</v>
      </c>
      <c r="G965" s="8">
        <v>0</v>
      </c>
      <c r="H965" s="8">
        <v>1</v>
      </c>
      <c r="I965" s="8">
        <v>1</v>
      </c>
      <c r="J965" s="8">
        <v>1</v>
      </c>
      <c r="K965" s="9">
        <v>1</v>
      </c>
      <c r="L965" s="10">
        <v>0</v>
      </c>
      <c r="M965" s="6">
        <v>0</v>
      </c>
      <c r="N965" s="37" t="e" cm="1">
        <f t="array" ref="N965">IF(OR(ISNUMBER(FIND(Aux!$D$3:$D$9,_xlfn.TEXTJOIN(,,C965:K965)))),NA(),IF(AND(SUM(C965:F965,H965:K965)=0,G965=1),0,INT((SUMPRODUCT(C965:F965,COLUMN($A$1:$D$1)-1)+SUMPRODUCT(H965:K965,COLUMN($E$1:$H$1)-1))*'Line Follower'!$C$3/SUM(C965:F965,H965:K965)-'Line Follower'!$C$5)))</f>
        <v>#N/A</v>
      </c>
      <c r="O965" s="22" t="e">
        <v>#N/A</v>
      </c>
      <c r="P965" s="4" t="e">
        <f t="shared" si="75"/>
        <v>#N/A</v>
      </c>
      <c r="Q965" s="4" t="e">
        <f t="shared" si="76"/>
        <v>#N/A</v>
      </c>
      <c r="R965" s="4" t="e">
        <f>IF(AND(B965=1,N965&gt;'Line Follower'!$C$7,SUM(C965:K965)&lt;4),1,0)</f>
        <v>#N/A</v>
      </c>
      <c r="S965" s="4" t="e">
        <f>IF(AND(L965=1,N965&lt;'Line Follower'!$C$6,SUM(C965:K965)&lt;4),1,0)</f>
        <v>#N/A</v>
      </c>
      <c r="T965" s="4" t="e">
        <f t="shared" si="77"/>
        <v>#N/A</v>
      </c>
      <c r="U965" s="5" t="e">
        <f t="shared" si="78"/>
        <v>#N/A</v>
      </c>
      <c r="V965" s="23" t="e">
        <f t="shared" si="79"/>
        <v>#N/A</v>
      </c>
    </row>
    <row r="966" spans="2:22" x14ac:dyDescent="0.25">
      <c r="B966" s="16">
        <v>1</v>
      </c>
      <c r="C966" s="7">
        <v>1</v>
      </c>
      <c r="D966" s="8">
        <v>0</v>
      </c>
      <c r="E966" s="8">
        <v>0</v>
      </c>
      <c r="F966" s="8">
        <v>0</v>
      </c>
      <c r="G966" s="8">
        <v>0</v>
      </c>
      <c r="H966" s="8">
        <v>1</v>
      </c>
      <c r="I966" s="8">
        <v>1</v>
      </c>
      <c r="J966" s="8">
        <v>1</v>
      </c>
      <c r="K966" s="9">
        <v>1</v>
      </c>
      <c r="L966" s="10">
        <v>0</v>
      </c>
      <c r="M966" s="6">
        <v>0</v>
      </c>
      <c r="N966" s="37" t="e" cm="1">
        <f t="array" ref="N966">IF(OR(ISNUMBER(FIND(Aux!$D$3:$D$9,_xlfn.TEXTJOIN(,,C966:K966)))),NA(),IF(AND(SUM(C966:F966,H966:K966)=0,G966=1),0,INT((SUMPRODUCT(C966:F966,COLUMN($A$1:$D$1)-1)+SUMPRODUCT(H966:K966,COLUMN($E$1:$H$1)-1))*'Line Follower'!$C$3/SUM(C966:F966,H966:K966)-'Line Follower'!$C$5)))</f>
        <v>#N/A</v>
      </c>
      <c r="O966" s="22" t="e">
        <v>#N/A</v>
      </c>
      <c r="P966" s="4" t="e">
        <f t="shared" si="75"/>
        <v>#N/A</v>
      </c>
      <c r="Q966" s="4" t="e">
        <f t="shared" si="76"/>
        <v>#N/A</v>
      </c>
      <c r="R966" s="4" t="e">
        <f>IF(AND(B966=1,N966&gt;'Line Follower'!$C$7,SUM(C966:K966)&lt;4),1,0)</f>
        <v>#N/A</v>
      </c>
      <c r="S966" s="4" t="e">
        <f>IF(AND(L966=1,N966&lt;'Line Follower'!$C$6,SUM(C966:K966)&lt;4),1,0)</f>
        <v>#N/A</v>
      </c>
      <c r="T966" s="4" t="e">
        <f t="shared" si="77"/>
        <v>#N/A</v>
      </c>
      <c r="U966" s="5" t="e">
        <f t="shared" si="78"/>
        <v>#N/A</v>
      </c>
      <c r="V966" s="23" t="e">
        <f t="shared" si="79"/>
        <v>#N/A</v>
      </c>
    </row>
    <row r="967" spans="2:22" x14ac:dyDescent="0.25">
      <c r="B967" s="16">
        <v>0</v>
      </c>
      <c r="C967" s="7">
        <v>0</v>
      </c>
      <c r="D967" s="8">
        <v>1</v>
      </c>
      <c r="E967" s="8">
        <v>0</v>
      </c>
      <c r="F967" s="8">
        <v>0</v>
      </c>
      <c r="G967" s="8">
        <v>0</v>
      </c>
      <c r="H967" s="8">
        <v>1</v>
      </c>
      <c r="I967" s="8">
        <v>1</v>
      </c>
      <c r="J967" s="8">
        <v>1</v>
      </c>
      <c r="K967" s="9">
        <v>1</v>
      </c>
      <c r="L967" s="10">
        <v>0</v>
      </c>
      <c r="M967" s="6">
        <v>0</v>
      </c>
      <c r="N967" s="37" t="e" cm="1">
        <f t="array" ref="N967">IF(OR(ISNUMBER(FIND(Aux!$D$3:$D$9,_xlfn.TEXTJOIN(,,C967:K967)))),NA(),IF(AND(SUM(C967:F967,H967:K967)=0,G967=1),0,INT((SUMPRODUCT(C967:F967,COLUMN($A$1:$D$1)-1)+SUMPRODUCT(H967:K967,COLUMN($E$1:$H$1)-1))*'Line Follower'!$C$3/SUM(C967:F967,H967:K967)-'Line Follower'!$C$5)))</f>
        <v>#N/A</v>
      </c>
      <c r="O967" s="22" t="e">
        <v>#N/A</v>
      </c>
      <c r="P967" s="4" t="e">
        <f t="shared" si="75"/>
        <v>#N/A</v>
      </c>
      <c r="Q967" s="4" t="e">
        <f t="shared" si="76"/>
        <v>#N/A</v>
      </c>
      <c r="R967" s="4" t="e">
        <f>IF(AND(B967=1,N967&gt;'Line Follower'!$C$7,SUM(C967:K967)&lt;4),1,0)</f>
        <v>#N/A</v>
      </c>
      <c r="S967" s="4" t="e">
        <f>IF(AND(L967=1,N967&lt;'Line Follower'!$C$6,SUM(C967:K967)&lt;4),1,0)</f>
        <v>#N/A</v>
      </c>
      <c r="T967" s="4" t="e">
        <f t="shared" si="77"/>
        <v>#N/A</v>
      </c>
      <c r="U967" s="5" t="e">
        <f t="shared" si="78"/>
        <v>#N/A</v>
      </c>
      <c r="V967" s="23" t="e">
        <f t="shared" si="79"/>
        <v>#N/A</v>
      </c>
    </row>
    <row r="968" spans="2:22" x14ac:dyDescent="0.25">
      <c r="B968" s="16">
        <v>1</v>
      </c>
      <c r="C968" s="7">
        <v>0</v>
      </c>
      <c r="D968" s="8">
        <v>1</v>
      </c>
      <c r="E968" s="8">
        <v>0</v>
      </c>
      <c r="F968" s="8">
        <v>0</v>
      </c>
      <c r="G968" s="8">
        <v>0</v>
      </c>
      <c r="H968" s="8">
        <v>1</v>
      </c>
      <c r="I968" s="8">
        <v>1</v>
      </c>
      <c r="J968" s="8">
        <v>1</v>
      </c>
      <c r="K968" s="9">
        <v>1</v>
      </c>
      <c r="L968" s="10">
        <v>0</v>
      </c>
      <c r="M968" s="6">
        <v>0</v>
      </c>
      <c r="N968" s="37" t="e" cm="1">
        <f t="array" ref="N968">IF(OR(ISNUMBER(FIND(Aux!$D$3:$D$9,_xlfn.TEXTJOIN(,,C968:K968)))),NA(),IF(AND(SUM(C968:F968,H968:K968)=0,G968=1),0,INT((SUMPRODUCT(C968:F968,COLUMN($A$1:$D$1)-1)+SUMPRODUCT(H968:K968,COLUMN($E$1:$H$1)-1))*'Line Follower'!$C$3/SUM(C968:F968,H968:K968)-'Line Follower'!$C$5)))</f>
        <v>#N/A</v>
      </c>
      <c r="O968" s="22" t="e">
        <v>#N/A</v>
      </c>
      <c r="P968" s="4" t="e">
        <f t="shared" si="75"/>
        <v>#N/A</v>
      </c>
      <c r="Q968" s="4" t="e">
        <f t="shared" si="76"/>
        <v>#N/A</v>
      </c>
      <c r="R968" s="4" t="e">
        <f>IF(AND(B968=1,N968&gt;'Line Follower'!$C$7,SUM(C968:K968)&lt;4),1,0)</f>
        <v>#N/A</v>
      </c>
      <c r="S968" s="4" t="e">
        <f>IF(AND(L968=1,N968&lt;'Line Follower'!$C$6,SUM(C968:K968)&lt;4),1,0)</f>
        <v>#N/A</v>
      </c>
      <c r="T968" s="4" t="e">
        <f t="shared" si="77"/>
        <v>#N/A</v>
      </c>
      <c r="U968" s="5" t="e">
        <f t="shared" si="78"/>
        <v>#N/A</v>
      </c>
      <c r="V968" s="23" t="e">
        <f t="shared" si="79"/>
        <v>#N/A</v>
      </c>
    </row>
    <row r="969" spans="2:22" x14ac:dyDescent="0.25">
      <c r="B969" s="16">
        <v>0</v>
      </c>
      <c r="C969" s="7">
        <v>1</v>
      </c>
      <c r="D969" s="8">
        <v>1</v>
      </c>
      <c r="E969" s="8">
        <v>0</v>
      </c>
      <c r="F969" s="8">
        <v>0</v>
      </c>
      <c r="G969" s="8">
        <v>0</v>
      </c>
      <c r="H969" s="8">
        <v>1</v>
      </c>
      <c r="I969" s="8">
        <v>1</v>
      </c>
      <c r="J969" s="8">
        <v>1</v>
      </c>
      <c r="K969" s="9">
        <v>1</v>
      </c>
      <c r="L969" s="10">
        <v>0</v>
      </c>
      <c r="M969" s="6">
        <v>0</v>
      </c>
      <c r="N969" s="37" t="e" cm="1">
        <f t="array" ref="N969">IF(OR(ISNUMBER(FIND(Aux!$D$3:$D$9,_xlfn.TEXTJOIN(,,C969:K969)))),NA(),IF(AND(SUM(C969:F969,H969:K969)=0,G969=1),0,INT((SUMPRODUCT(C969:F969,COLUMN($A$1:$D$1)-1)+SUMPRODUCT(H969:K969,COLUMN($E$1:$H$1)-1))*'Line Follower'!$C$3/SUM(C969:F969,H969:K969)-'Line Follower'!$C$5)))</f>
        <v>#N/A</v>
      </c>
      <c r="O969" s="22" t="e">
        <v>#N/A</v>
      </c>
      <c r="P969" s="4" t="e">
        <f t="shared" si="75"/>
        <v>#N/A</v>
      </c>
      <c r="Q969" s="4" t="e">
        <f t="shared" si="76"/>
        <v>#N/A</v>
      </c>
      <c r="R969" s="4" t="e">
        <f>IF(AND(B969=1,N969&gt;'Line Follower'!$C$7,SUM(C969:K969)&lt;4),1,0)</f>
        <v>#N/A</v>
      </c>
      <c r="S969" s="4" t="e">
        <f>IF(AND(L969=1,N969&lt;'Line Follower'!$C$6,SUM(C969:K969)&lt;4),1,0)</f>
        <v>#N/A</v>
      </c>
      <c r="T969" s="4" t="e">
        <f t="shared" si="77"/>
        <v>#N/A</v>
      </c>
      <c r="U969" s="5" t="e">
        <f t="shared" si="78"/>
        <v>#N/A</v>
      </c>
      <c r="V969" s="23" t="e">
        <f t="shared" si="79"/>
        <v>#N/A</v>
      </c>
    </row>
    <row r="970" spans="2:22" x14ac:dyDescent="0.25">
      <c r="B970" s="16">
        <v>1</v>
      </c>
      <c r="C970" s="7">
        <v>1</v>
      </c>
      <c r="D970" s="8">
        <v>1</v>
      </c>
      <c r="E970" s="8">
        <v>0</v>
      </c>
      <c r="F970" s="8">
        <v>0</v>
      </c>
      <c r="G970" s="8">
        <v>0</v>
      </c>
      <c r="H970" s="8">
        <v>1</v>
      </c>
      <c r="I970" s="8">
        <v>1</v>
      </c>
      <c r="J970" s="8">
        <v>1</v>
      </c>
      <c r="K970" s="9">
        <v>1</v>
      </c>
      <c r="L970" s="10">
        <v>0</v>
      </c>
      <c r="M970" s="6">
        <v>0</v>
      </c>
      <c r="N970" s="37" t="e" cm="1">
        <f t="array" ref="N970">IF(OR(ISNUMBER(FIND(Aux!$D$3:$D$9,_xlfn.TEXTJOIN(,,C970:K970)))),NA(),IF(AND(SUM(C970:F970,H970:K970)=0,G970=1),0,INT((SUMPRODUCT(C970:F970,COLUMN($A$1:$D$1)-1)+SUMPRODUCT(H970:K970,COLUMN($E$1:$H$1)-1))*'Line Follower'!$C$3/SUM(C970:F970,H970:K970)-'Line Follower'!$C$5)))</f>
        <v>#N/A</v>
      </c>
      <c r="O970" s="22" t="e">
        <v>#N/A</v>
      </c>
      <c r="P970" s="4" t="e">
        <f t="shared" si="75"/>
        <v>#N/A</v>
      </c>
      <c r="Q970" s="4" t="e">
        <f t="shared" si="76"/>
        <v>#N/A</v>
      </c>
      <c r="R970" s="4" t="e">
        <f>IF(AND(B970=1,N970&gt;'Line Follower'!$C$7,SUM(C970:K970)&lt;4),1,0)</f>
        <v>#N/A</v>
      </c>
      <c r="S970" s="4" t="e">
        <f>IF(AND(L970=1,N970&lt;'Line Follower'!$C$6,SUM(C970:K970)&lt;4),1,0)</f>
        <v>#N/A</v>
      </c>
      <c r="T970" s="4" t="e">
        <f t="shared" si="77"/>
        <v>#N/A</v>
      </c>
      <c r="U970" s="5" t="e">
        <f t="shared" si="78"/>
        <v>#N/A</v>
      </c>
      <c r="V970" s="23" t="e">
        <f t="shared" si="79"/>
        <v>#N/A</v>
      </c>
    </row>
    <row r="971" spans="2:22" x14ac:dyDescent="0.25">
      <c r="B971" s="16">
        <v>0</v>
      </c>
      <c r="C971" s="7">
        <v>0</v>
      </c>
      <c r="D971" s="8">
        <v>0</v>
      </c>
      <c r="E971" s="8">
        <v>1</v>
      </c>
      <c r="F971" s="8">
        <v>0</v>
      </c>
      <c r="G971" s="8">
        <v>0</v>
      </c>
      <c r="H971" s="8">
        <v>1</v>
      </c>
      <c r="I971" s="8">
        <v>1</v>
      </c>
      <c r="J971" s="8">
        <v>1</v>
      </c>
      <c r="K971" s="9">
        <v>1</v>
      </c>
      <c r="L971" s="10">
        <v>0</v>
      </c>
      <c r="M971" s="6">
        <v>0</v>
      </c>
      <c r="N971" s="37" t="e" cm="1">
        <f t="array" ref="N971">IF(OR(ISNUMBER(FIND(Aux!$D$3:$D$9,_xlfn.TEXTJOIN(,,C971:K971)))),NA(),IF(AND(SUM(C971:F971,H971:K971)=0,G971=1),0,INT((SUMPRODUCT(C971:F971,COLUMN($A$1:$D$1)-1)+SUMPRODUCT(H971:K971,COLUMN($E$1:$H$1)-1))*'Line Follower'!$C$3/SUM(C971:F971,H971:K971)-'Line Follower'!$C$5)))</f>
        <v>#N/A</v>
      </c>
      <c r="O971" s="22" t="e">
        <v>#N/A</v>
      </c>
      <c r="P971" s="4" t="e">
        <f t="shared" si="75"/>
        <v>#N/A</v>
      </c>
      <c r="Q971" s="4" t="e">
        <f t="shared" si="76"/>
        <v>#N/A</v>
      </c>
      <c r="R971" s="4" t="e">
        <f>IF(AND(B971=1,N971&gt;'Line Follower'!$C$7,SUM(C971:K971)&lt;4),1,0)</f>
        <v>#N/A</v>
      </c>
      <c r="S971" s="4" t="e">
        <f>IF(AND(L971=1,N971&lt;'Line Follower'!$C$6,SUM(C971:K971)&lt;4),1,0)</f>
        <v>#N/A</v>
      </c>
      <c r="T971" s="4" t="e">
        <f t="shared" si="77"/>
        <v>#N/A</v>
      </c>
      <c r="U971" s="5" t="e">
        <f t="shared" si="78"/>
        <v>#N/A</v>
      </c>
      <c r="V971" s="23" t="e">
        <f t="shared" si="79"/>
        <v>#N/A</v>
      </c>
    </row>
    <row r="972" spans="2:22" x14ac:dyDescent="0.25">
      <c r="B972" s="16">
        <v>1</v>
      </c>
      <c r="C972" s="7">
        <v>0</v>
      </c>
      <c r="D972" s="8">
        <v>0</v>
      </c>
      <c r="E972" s="8">
        <v>1</v>
      </c>
      <c r="F972" s="8">
        <v>0</v>
      </c>
      <c r="G972" s="8">
        <v>0</v>
      </c>
      <c r="H972" s="8">
        <v>1</v>
      </c>
      <c r="I972" s="8">
        <v>1</v>
      </c>
      <c r="J972" s="8">
        <v>1</v>
      </c>
      <c r="K972" s="9">
        <v>1</v>
      </c>
      <c r="L972" s="10">
        <v>0</v>
      </c>
      <c r="M972" s="6">
        <v>0</v>
      </c>
      <c r="N972" s="37" t="e" cm="1">
        <f t="array" ref="N972">IF(OR(ISNUMBER(FIND(Aux!$D$3:$D$9,_xlfn.TEXTJOIN(,,C972:K972)))),NA(),IF(AND(SUM(C972:F972,H972:K972)=0,G972=1),0,INT((SUMPRODUCT(C972:F972,COLUMN($A$1:$D$1)-1)+SUMPRODUCT(H972:K972,COLUMN($E$1:$H$1)-1))*'Line Follower'!$C$3/SUM(C972:F972,H972:K972)-'Line Follower'!$C$5)))</f>
        <v>#N/A</v>
      </c>
      <c r="O972" s="22" t="e">
        <v>#N/A</v>
      </c>
      <c r="P972" s="4" t="e">
        <f t="shared" si="75"/>
        <v>#N/A</v>
      </c>
      <c r="Q972" s="4" t="e">
        <f t="shared" si="76"/>
        <v>#N/A</v>
      </c>
      <c r="R972" s="4" t="e">
        <f>IF(AND(B972=1,N972&gt;'Line Follower'!$C$7,SUM(C972:K972)&lt;4),1,0)</f>
        <v>#N/A</v>
      </c>
      <c r="S972" s="4" t="e">
        <f>IF(AND(L972=1,N972&lt;'Line Follower'!$C$6,SUM(C972:K972)&lt;4),1,0)</f>
        <v>#N/A</v>
      </c>
      <c r="T972" s="4" t="e">
        <f t="shared" si="77"/>
        <v>#N/A</v>
      </c>
      <c r="U972" s="5" t="e">
        <f t="shared" si="78"/>
        <v>#N/A</v>
      </c>
      <c r="V972" s="23" t="e">
        <f t="shared" si="79"/>
        <v>#N/A</v>
      </c>
    </row>
    <row r="973" spans="2:22" x14ac:dyDescent="0.25">
      <c r="B973" s="16">
        <v>0</v>
      </c>
      <c r="C973" s="7">
        <v>1</v>
      </c>
      <c r="D973" s="8">
        <v>0</v>
      </c>
      <c r="E973" s="8">
        <v>1</v>
      </c>
      <c r="F973" s="8">
        <v>0</v>
      </c>
      <c r="G973" s="8">
        <v>0</v>
      </c>
      <c r="H973" s="8">
        <v>1</v>
      </c>
      <c r="I973" s="8">
        <v>1</v>
      </c>
      <c r="J973" s="8">
        <v>1</v>
      </c>
      <c r="K973" s="9">
        <v>1</v>
      </c>
      <c r="L973" s="10">
        <v>0</v>
      </c>
      <c r="M973" s="6">
        <v>0</v>
      </c>
      <c r="N973" s="37" t="e" cm="1">
        <f t="array" ref="N973">IF(OR(ISNUMBER(FIND(Aux!$D$3:$D$9,_xlfn.TEXTJOIN(,,C973:K973)))),NA(),IF(AND(SUM(C973:F973,H973:K973)=0,G973=1),0,INT((SUMPRODUCT(C973:F973,COLUMN($A$1:$D$1)-1)+SUMPRODUCT(H973:K973,COLUMN($E$1:$H$1)-1))*'Line Follower'!$C$3/SUM(C973:F973,H973:K973)-'Line Follower'!$C$5)))</f>
        <v>#N/A</v>
      </c>
      <c r="O973" s="22" t="e">
        <v>#N/A</v>
      </c>
      <c r="P973" s="4" t="e">
        <f t="shared" si="75"/>
        <v>#N/A</v>
      </c>
      <c r="Q973" s="4" t="e">
        <f t="shared" si="76"/>
        <v>#N/A</v>
      </c>
      <c r="R973" s="4" t="e">
        <f>IF(AND(B973=1,N973&gt;'Line Follower'!$C$7,SUM(C973:K973)&lt;4),1,0)</f>
        <v>#N/A</v>
      </c>
      <c r="S973" s="4" t="e">
        <f>IF(AND(L973=1,N973&lt;'Line Follower'!$C$6,SUM(C973:K973)&lt;4),1,0)</f>
        <v>#N/A</v>
      </c>
      <c r="T973" s="4" t="e">
        <f t="shared" si="77"/>
        <v>#N/A</v>
      </c>
      <c r="U973" s="5" t="e">
        <f t="shared" si="78"/>
        <v>#N/A</v>
      </c>
      <c r="V973" s="23" t="e">
        <f t="shared" si="79"/>
        <v>#N/A</v>
      </c>
    </row>
    <row r="974" spans="2:22" x14ac:dyDescent="0.25">
      <c r="B974" s="16">
        <v>1</v>
      </c>
      <c r="C974" s="7">
        <v>1</v>
      </c>
      <c r="D974" s="8">
        <v>0</v>
      </c>
      <c r="E974" s="8">
        <v>1</v>
      </c>
      <c r="F974" s="8">
        <v>0</v>
      </c>
      <c r="G974" s="8">
        <v>0</v>
      </c>
      <c r="H974" s="8">
        <v>1</v>
      </c>
      <c r="I974" s="8">
        <v>1</v>
      </c>
      <c r="J974" s="8">
        <v>1</v>
      </c>
      <c r="K974" s="9">
        <v>1</v>
      </c>
      <c r="L974" s="10">
        <v>0</v>
      </c>
      <c r="M974" s="6">
        <v>0</v>
      </c>
      <c r="N974" s="37" t="e" cm="1">
        <f t="array" ref="N974">IF(OR(ISNUMBER(FIND(Aux!$D$3:$D$9,_xlfn.TEXTJOIN(,,C974:K974)))),NA(),IF(AND(SUM(C974:F974,H974:K974)=0,G974=1),0,INT((SUMPRODUCT(C974:F974,COLUMN($A$1:$D$1)-1)+SUMPRODUCT(H974:K974,COLUMN($E$1:$H$1)-1))*'Line Follower'!$C$3/SUM(C974:F974,H974:K974)-'Line Follower'!$C$5)))</f>
        <v>#N/A</v>
      </c>
      <c r="O974" s="22" t="e">
        <v>#N/A</v>
      </c>
      <c r="P974" s="4" t="e">
        <f t="shared" si="75"/>
        <v>#N/A</v>
      </c>
      <c r="Q974" s="4" t="e">
        <f t="shared" si="76"/>
        <v>#N/A</v>
      </c>
      <c r="R974" s="4" t="e">
        <f>IF(AND(B974=1,N974&gt;'Line Follower'!$C$7,SUM(C974:K974)&lt;4),1,0)</f>
        <v>#N/A</v>
      </c>
      <c r="S974" s="4" t="e">
        <f>IF(AND(L974=1,N974&lt;'Line Follower'!$C$6,SUM(C974:K974)&lt;4),1,0)</f>
        <v>#N/A</v>
      </c>
      <c r="T974" s="4" t="e">
        <f t="shared" si="77"/>
        <v>#N/A</v>
      </c>
      <c r="U974" s="5" t="e">
        <f t="shared" si="78"/>
        <v>#N/A</v>
      </c>
      <c r="V974" s="23" t="e">
        <f t="shared" si="79"/>
        <v>#N/A</v>
      </c>
    </row>
    <row r="975" spans="2:22" x14ac:dyDescent="0.25">
      <c r="B975" s="16">
        <v>0</v>
      </c>
      <c r="C975" s="7">
        <v>0</v>
      </c>
      <c r="D975" s="8">
        <v>1</v>
      </c>
      <c r="E975" s="8">
        <v>1</v>
      </c>
      <c r="F975" s="8">
        <v>0</v>
      </c>
      <c r="G975" s="8">
        <v>0</v>
      </c>
      <c r="H975" s="8">
        <v>1</v>
      </c>
      <c r="I975" s="8">
        <v>1</v>
      </c>
      <c r="J975" s="8">
        <v>1</v>
      </c>
      <c r="K975" s="9">
        <v>1</v>
      </c>
      <c r="L975" s="10">
        <v>0</v>
      </c>
      <c r="M975" s="6">
        <v>0</v>
      </c>
      <c r="N975" s="37" t="e" cm="1">
        <f t="array" ref="N975">IF(OR(ISNUMBER(FIND(Aux!$D$3:$D$9,_xlfn.TEXTJOIN(,,C975:K975)))),NA(),IF(AND(SUM(C975:F975,H975:K975)=0,G975=1),0,INT((SUMPRODUCT(C975:F975,COLUMN($A$1:$D$1)-1)+SUMPRODUCT(H975:K975,COLUMN($E$1:$H$1)-1))*'Line Follower'!$C$3/SUM(C975:F975,H975:K975)-'Line Follower'!$C$5)))</f>
        <v>#N/A</v>
      </c>
      <c r="O975" s="22" t="e">
        <v>#N/A</v>
      </c>
      <c r="P975" s="4" t="e">
        <f t="shared" si="75"/>
        <v>#N/A</v>
      </c>
      <c r="Q975" s="4" t="e">
        <f t="shared" si="76"/>
        <v>#N/A</v>
      </c>
      <c r="R975" s="4" t="e">
        <f>IF(AND(B975=1,N975&gt;'Line Follower'!$C$7,SUM(C975:K975)&lt;4),1,0)</f>
        <v>#N/A</v>
      </c>
      <c r="S975" s="4" t="e">
        <f>IF(AND(L975=1,N975&lt;'Line Follower'!$C$6,SUM(C975:K975)&lt;4),1,0)</f>
        <v>#N/A</v>
      </c>
      <c r="T975" s="4" t="e">
        <f t="shared" si="77"/>
        <v>#N/A</v>
      </c>
      <c r="U975" s="5" t="e">
        <f t="shared" si="78"/>
        <v>#N/A</v>
      </c>
      <c r="V975" s="23" t="e">
        <f t="shared" si="79"/>
        <v>#N/A</v>
      </c>
    </row>
    <row r="976" spans="2:22" x14ac:dyDescent="0.25">
      <c r="B976" s="16">
        <v>1</v>
      </c>
      <c r="C976" s="7">
        <v>0</v>
      </c>
      <c r="D976" s="8">
        <v>1</v>
      </c>
      <c r="E976" s="8">
        <v>1</v>
      </c>
      <c r="F976" s="8">
        <v>0</v>
      </c>
      <c r="G976" s="8">
        <v>0</v>
      </c>
      <c r="H976" s="8">
        <v>1</v>
      </c>
      <c r="I976" s="8">
        <v>1</v>
      </c>
      <c r="J976" s="8">
        <v>1</v>
      </c>
      <c r="K976" s="9">
        <v>1</v>
      </c>
      <c r="L976" s="10">
        <v>0</v>
      </c>
      <c r="M976" s="6">
        <v>0</v>
      </c>
      <c r="N976" s="37" t="e" cm="1">
        <f t="array" ref="N976">IF(OR(ISNUMBER(FIND(Aux!$D$3:$D$9,_xlfn.TEXTJOIN(,,C976:K976)))),NA(),IF(AND(SUM(C976:F976,H976:K976)=0,G976=1),0,INT((SUMPRODUCT(C976:F976,COLUMN($A$1:$D$1)-1)+SUMPRODUCT(H976:K976,COLUMN($E$1:$H$1)-1))*'Line Follower'!$C$3/SUM(C976:F976,H976:K976)-'Line Follower'!$C$5)))</f>
        <v>#N/A</v>
      </c>
      <c r="O976" s="22" t="e">
        <v>#N/A</v>
      </c>
      <c r="P976" s="4" t="e">
        <f t="shared" si="75"/>
        <v>#N/A</v>
      </c>
      <c r="Q976" s="4" t="e">
        <f t="shared" si="76"/>
        <v>#N/A</v>
      </c>
      <c r="R976" s="4" t="e">
        <f>IF(AND(B976=1,N976&gt;'Line Follower'!$C$7,SUM(C976:K976)&lt;4),1,0)</f>
        <v>#N/A</v>
      </c>
      <c r="S976" s="4" t="e">
        <f>IF(AND(L976=1,N976&lt;'Line Follower'!$C$6,SUM(C976:K976)&lt;4),1,0)</f>
        <v>#N/A</v>
      </c>
      <c r="T976" s="4" t="e">
        <f t="shared" si="77"/>
        <v>#N/A</v>
      </c>
      <c r="U976" s="5" t="e">
        <f t="shared" si="78"/>
        <v>#N/A</v>
      </c>
      <c r="V976" s="23" t="e">
        <f t="shared" si="79"/>
        <v>#N/A</v>
      </c>
    </row>
    <row r="977" spans="2:22" x14ac:dyDescent="0.25">
      <c r="B977" s="16">
        <v>0</v>
      </c>
      <c r="C977" s="7">
        <v>1</v>
      </c>
      <c r="D977" s="8">
        <v>1</v>
      </c>
      <c r="E977" s="8">
        <v>1</v>
      </c>
      <c r="F977" s="8">
        <v>0</v>
      </c>
      <c r="G977" s="8">
        <v>0</v>
      </c>
      <c r="H977" s="8">
        <v>1</v>
      </c>
      <c r="I977" s="8">
        <v>1</v>
      </c>
      <c r="J977" s="8">
        <v>1</v>
      </c>
      <c r="K977" s="9">
        <v>1</v>
      </c>
      <c r="L977" s="10">
        <v>0</v>
      </c>
      <c r="M977" s="6">
        <v>0</v>
      </c>
      <c r="N977" s="37" t="e" cm="1">
        <f t="array" ref="N977">IF(OR(ISNUMBER(FIND(Aux!$D$3:$D$9,_xlfn.TEXTJOIN(,,C977:K977)))),NA(),IF(AND(SUM(C977:F977,H977:K977)=0,G977=1),0,INT((SUMPRODUCT(C977:F977,COLUMN($A$1:$D$1)-1)+SUMPRODUCT(H977:K977,COLUMN($E$1:$H$1)-1))*'Line Follower'!$C$3/SUM(C977:F977,H977:K977)-'Line Follower'!$C$5)))</f>
        <v>#N/A</v>
      </c>
      <c r="O977" s="22" t="e">
        <v>#N/A</v>
      </c>
      <c r="P977" s="4" t="e">
        <f t="shared" si="75"/>
        <v>#N/A</v>
      </c>
      <c r="Q977" s="4" t="e">
        <f t="shared" si="76"/>
        <v>#N/A</v>
      </c>
      <c r="R977" s="4" t="e">
        <f>IF(AND(B977=1,N977&gt;'Line Follower'!$C$7,SUM(C977:K977)&lt;4),1,0)</f>
        <v>#N/A</v>
      </c>
      <c r="S977" s="4" t="e">
        <f>IF(AND(L977=1,N977&lt;'Line Follower'!$C$6,SUM(C977:K977)&lt;4),1,0)</f>
        <v>#N/A</v>
      </c>
      <c r="T977" s="4" t="e">
        <f t="shared" si="77"/>
        <v>#N/A</v>
      </c>
      <c r="U977" s="5" t="e">
        <f t="shared" si="78"/>
        <v>#N/A</v>
      </c>
      <c r="V977" s="23" t="e">
        <f t="shared" si="79"/>
        <v>#N/A</v>
      </c>
    </row>
    <row r="978" spans="2:22" x14ac:dyDescent="0.25">
      <c r="B978" s="16">
        <v>1</v>
      </c>
      <c r="C978" s="7">
        <v>1</v>
      </c>
      <c r="D978" s="8">
        <v>1</v>
      </c>
      <c r="E978" s="8">
        <v>1</v>
      </c>
      <c r="F978" s="8">
        <v>0</v>
      </c>
      <c r="G978" s="8">
        <v>0</v>
      </c>
      <c r="H978" s="8">
        <v>1</v>
      </c>
      <c r="I978" s="8">
        <v>1</v>
      </c>
      <c r="J978" s="8">
        <v>1</v>
      </c>
      <c r="K978" s="9">
        <v>1</v>
      </c>
      <c r="L978" s="10">
        <v>0</v>
      </c>
      <c r="M978" s="6">
        <v>0</v>
      </c>
      <c r="N978" s="37" t="e" cm="1">
        <f t="array" ref="N978">IF(OR(ISNUMBER(FIND(Aux!$D$3:$D$9,_xlfn.TEXTJOIN(,,C978:K978)))),NA(),IF(AND(SUM(C978:F978,H978:K978)=0,G978=1),0,INT((SUMPRODUCT(C978:F978,COLUMN($A$1:$D$1)-1)+SUMPRODUCT(H978:K978,COLUMN($E$1:$H$1)-1))*'Line Follower'!$C$3/SUM(C978:F978,H978:K978)-'Line Follower'!$C$5)))</f>
        <v>#N/A</v>
      </c>
      <c r="O978" s="22" t="e">
        <v>#N/A</v>
      </c>
      <c r="P978" s="4" t="e">
        <f t="shared" si="75"/>
        <v>#N/A</v>
      </c>
      <c r="Q978" s="4" t="e">
        <f t="shared" si="76"/>
        <v>#N/A</v>
      </c>
      <c r="R978" s="4" t="e">
        <f>IF(AND(B978=1,N978&gt;'Line Follower'!$C$7,SUM(C978:K978)&lt;4),1,0)</f>
        <v>#N/A</v>
      </c>
      <c r="S978" s="4" t="e">
        <f>IF(AND(L978=1,N978&lt;'Line Follower'!$C$6,SUM(C978:K978)&lt;4),1,0)</f>
        <v>#N/A</v>
      </c>
      <c r="T978" s="4" t="e">
        <f t="shared" si="77"/>
        <v>#N/A</v>
      </c>
      <c r="U978" s="5" t="e">
        <f t="shared" si="78"/>
        <v>#N/A</v>
      </c>
      <c r="V978" s="23" t="e">
        <f t="shared" si="79"/>
        <v>#N/A</v>
      </c>
    </row>
    <row r="979" spans="2:22" x14ac:dyDescent="0.25">
      <c r="B979" s="16">
        <v>0</v>
      </c>
      <c r="C979" s="7">
        <v>0</v>
      </c>
      <c r="D979" s="8">
        <v>0</v>
      </c>
      <c r="E979" s="8">
        <v>0</v>
      </c>
      <c r="F979" s="8">
        <v>1</v>
      </c>
      <c r="G979" s="8">
        <v>0</v>
      </c>
      <c r="H979" s="8">
        <v>1</v>
      </c>
      <c r="I979" s="8">
        <v>1</v>
      </c>
      <c r="J979" s="8">
        <v>1</v>
      </c>
      <c r="K979" s="9">
        <v>1</v>
      </c>
      <c r="L979" s="10">
        <v>0</v>
      </c>
      <c r="M979" s="6">
        <v>0</v>
      </c>
      <c r="N979" s="37" t="e" cm="1">
        <f t="array" ref="N979">IF(OR(ISNUMBER(FIND(Aux!$D$3:$D$9,_xlfn.TEXTJOIN(,,C979:K979)))),NA(),IF(AND(SUM(C979:F979,H979:K979)=0,G979=1),0,INT((SUMPRODUCT(C979:F979,COLUMN($A$1:$D$1)-1)+SUMPRODUCT(H979:K979,COLUMN($E$1:$H$1)-1))*'Line Follower'!$C$3/SUM(C979:F979,H979:K979)-'Line Follower'!$C$5)))</f>
        <v>#N/A</v>
      </c>
      <c r="O979" s="22" t="e">
        <v>#N/A</v>
      </c>
      <c r="P979" s="4" t="e">
        <f t="shared" si="75"/>
        <v>#N/A</v>
      </c>
      <c r="Q979" s="4" t="e">
        <f t="shared" si="76"/>
        <v>#N/A</v>
      </c>
      <c r="R979" s="4" t="e">
        <f>IF(AND(B979=1,N979&gt;'Line Follower'!$C$7,SUM(C979:K979)&lt;4),1,0)</f>
        <v>#N/A</v>
      </c>
      <c r="S979" s="4" t="e">
        <f>IF(AND(L979=1,N979&lt;'Line Follower'!$C$6,SUM(C979:K979)&lt;4),1,0)</f>
        <v>#N/A</v>
      </c>
      <c r="T979" s="4" t="e">
        <f t="shared" si="77"/>
        <v>#N/A</v>
      </c>
      <c r="U979" s="5" t="e">
        <f t="shared" si="78"/>
        <v>#N/A</v>
      </c>
      <c r="V979" s="23" t="e">
        <f t="shared" si="79"/>
        <v>#N/A</v>
      </c>
    </row>
    <row r="980" spans="2:22" x14ac:dyDescent="0.25">
      <c r="B980" s="16">
        <v>1</v>
      </c>
      <c r="C980" s="7">
        <v>0</v>
      </c>
      <c r="D980" s="8">
        <v>0</v>
      </c>
      <c r="E980" s="8">
        <v>0</v>
      </c>
      <c r="F980" s="8">
        <v>1</v>
      </c>
      <c r="G980" s="8">
        <v>0</v>
      </c>
      <c r="H980" s="8">
        <v>1</v>
      </c>
      <c r="I980" s="8">
        <v>1</v>
      </c>
      <c r="J980" s="8">
        <v>1</v>
      </c>
      <c r="K980" s="9">
        <v>1</v>
      </c>
      <c r="L980" s="10">
        <v>0</v>
      </c>
      <c r="M980" s="6">
        <v>0</v>
      </c>
      <c r="N980" s="37" t="e" cm="1">
        <f t="array" ref="N980">IF(OR(ISNUMBER(FIND(Aux!$D$3:$D$9,_xlfn.TEXTJOIN(,,C980:K980)))),NA(),IF(AND(SUM(C980:F980,H980:K980)=0,G980=1),0,INT((SUMPRODUCT(C980:F980,COLUMN($A$1:$D$1)-1)+SUMPRODUCT(H980:K980,COLUMN($E$1:$H$1)-1))*'Line Follower'!$C$3/SUM(C980:F980,H980:K980)-'Line Follower'!$C$5)))</f>
        <v>#N/A</v>
      </c>
      <c r="O980" s="22" t="e">
        <v>#N/A</v>
      </c>
      <c r="P980" s="4" t="e">
        <f t="shared" si="75"/>
        <v>#N/A</v>
      </c>
      <c r="Q980" s="4" t="e">
        <f t="shared" si="76"/>
        <v>#N/A</v>
      </c>
      <c r="R980" s="4" t="e">
        <f>IF(AND(B980=1,N980&gt;'Line Follower'!$C$7,SUM(C980:K980)&lt;4),1,0)</f>
        <v>#N/A</v>
      </c>
      <c r="S980" s="4" t="e">
        <f>IF(AND(L980=1,N980&lt;'Line Follower'!$C$6,SUM(C980:K980)&lt;4),1,0)</f>
        <v>#N/A</v>
      </c>
      <c r="T980" s="4" t="e">
        <f t="shared" si="77"/>
        <v>#N/A</v>
      </c>
      <c r="U980" s="5" t="e">
        <f t="shared" si="78"/>
        <v>#N/A</v>
      </c>
      <c r="V980" s="23" t="e">
        <f t="shared" si="79"/>
        <v>#N/A</v>
      </c>
    </row>
    <row r="981" spans="2:22" x14ac:dyDescent="0.25">
      <c r="B981" s="16">
        <v>0</v>
      </c>
      <c r="C981" s="7">
        <v>1</v>
      </c>
      <c r="D981" s="8">
        <v>0</v>
      </c>
      <c r="E981" s="8">
        <v>0</v>
      </c>
      <c r="F981" s="8">
        <v>1</v>
      </c>
      <c r="G981" s="8">
        <v>0</v>
      </c>
      <c r="H981" s="8">
        <v>1</v>
      </c>
      <c r="I981" s="8">
        <v>1</v>
      </c>
      <c r="J981" s="8">
        <v>1</v>
      </c>
      <c r="K981" s="9">
        <v>1</v>
      </c>
      <c r="L981" s="10">
        <v>0</v>
      </c>
      <c r="M981" s="6">
        <v>0</v>
      </c>
      <c r="N981" s="37" t="e" cm="1">
        <f t="array" ref="N981">IF(OR(ISNUMBER(FIND(Aux!$D$3:$D$9,_xlfn.TEXTJOIN(,,C981:K981)))),NA(),IF(AND(SUM(C981:F981,H981:K981)=0,G981=1),0,INT((SUMPRODUCT(C981:F981,COLUMN($A$1:$D$1)-1)+SUMPRODUCT(H981:K981,COLUMN($E$1:$H$1)-1))*'Line Follower'!$C$3/SUM(C981:F981,H981:K981)-'Line Follower'!$C$5)))</f>
        <v>#N/A</v>
      </c>
      <c r="O981" s="22" t="e">
        <v>#N/A</v>
      </c>
      <c r="P981" s="4" t="e">
        <f t="shared" si="75"/>
        <v>#N/A</v>
      </c>
      <c r="Q981" s="4" t="e">
        <f t="shared" si="76"/>
        <v>#N/A</v>
      </c>
      <c r="R981" s="4" t="e">
        <f>IF(AND(B981=1,N981&gt;'Line Follower'!$C$7,SUM(C981:K981)&lt;4),1,0)</f>
        <v>#N/A</v>
      </c>
      <c r="S981" s="4" t="e">
        <f>IF(AND(L981=1,N981&lt;'Line Follower'!$C$6,SUM(C981:K981)&lt;4),1,0)</f>
        <v>#N/A</v>
      </c>
      <c r="T981" s="4" t="e">
        <f t="shared" si="77"/>
        <v>#N/A</v>
      </c>
      <c r="U981" s="5" t="e">
        <f t="shared" si="78"/>
        <v>#N/A</v>
      </c>
      <c r="V981" s="23" t="e">
        <f t="shared" si="79"/>
        <v>#N/A</v>
      </c>
    </row>
    <row r="982" spans="2:22" x14ac:dyDescent="0.25">
      <c r="B982" s="16">
        <v>1</v>
      </c>
      <c r="C982" s="7">
        <v>1</v>
      </c>
      <c r="D982" s="8">
        <v>0</v>
      </c>
      <c r="E982" s="8">
        <v>0</v>
      </c>
      <c r="F982" s="8">
        <v>1</v>
      </c>
      <c r="G982" s="8">
        <v>0</v>
      </c>
      <c r="H982" s="8">
        <v>1</v>
      </c>
      <c r="I982" s="8">
        <v>1</v>
      </c>
      <c r="J982" s="8">
        <v>1</v>
      </c>
      <c r="K982" s="9">
        <v>1</v>
      </c>
      <c r="L982" s="10">
        <v>0</v>
      </c>
      <c r="M982" s="6">
        <v>0</v>
      </c>
      <c r="N982" s="37" t="e" cm="1">
        <f t="array" ref="N982">IF(OR(ISNUMBER(FIND(Aux!$D$3:$D$9,_xlfn.TEXTJOIN(,,C982:K982)))),NA(),IF(AND(SUM(C982:F982,H982:K982)=0,G982=1),0,INT((SUMPRODUCT(C982:F982,COLUMN($A$1:$D$1)-1)+SUMPRODUCT(H982:K982,COLUMN($E$1:$H$1)-1))*'Line Follower'!$C$3/SUM(C982:F982,H982:K982)-'Line Follower'!$C$5)))</f>
        <v>#N/A</v>
      </c>
      <c r="O982" s="22" t="e">
        <v>#N/A</v>
      </c>
      <c r="P982" s="4" t="e">
        <f t="shared" si="75"/>
        <v>#N/A</v>
      </c>
      <c r="Q982" s="4" t="e">
        <f t="shared" si="76"/>
        <v>#N/A</v>
      </c>
      <c r="R982" s="4" t="e">
        <f>IF(AND(B982=1,N982&gt;'Line Follower'!$C$7,SUM(C982:K982)&lt;4),1,0)</f>
        <v>#N/A</v>
      </c>
      <c r="S982" s="4" t="e">
        <f>IF(AND(L982=1,N982&lt;'Line Follower'!$C$6,SUM(C982:K982)&lt;4),1,0)</f>
        <v>#N/A</v>
      </c>
      <c r="T982" s="4" t="e">
        <f t="shared" si="77"/>
        <v>#N/A</v>
      </c>
      <c r="U982" s="5" t="e">
        <f t="shared" si="78"/>
        <v>#N/A</v>
      </c>
      <c r="V982" s="23" t="e">
        <f t="shared" si="79"/>
        <v>#N/A</v>
      </c>
    </row>
    <row r="983" spans="2:22" x14ac:dyDescent="0.25">
      <c r="B983" s="16">
        <v>0</v>
      </c>
      <c r="C983" s="7">
        <v>0</v>
      </c>
      <c r="D983" s="8">
        <v>1</v>
      </c>
      <c r="E983" s="8">
        <v>0</v>
      </c>
      <c r="F983" s="8">
        <v>1</v>
      </c>
      <c r="G983" s="8">
        <v>0</v>
      </c>
      <c r="H983" s="8">
        <v>1</v>
      </c>
      <c r="I983" s="8">
        <v>1</v>
      </c>
      <c r="J983" s="8">
        <v>1</v>
      </c>
      <c r="K983" s="9">
        <v>1</v>
      </c>
      <c r="L983" s="10">
        <v>0</v>
      </c>
      <c r="M983" s="6">
        <v>0</v>
      </c>
      <c r="N983" s="37" t="e" cm="1">
        <f t="array" ref="N983">IF(OR(ISNUMBER(FIND(Aux!$D$3:$D$9,_xlfn.TEXTJOIN(,,C983:K983)))),NA(),IF(AND(SUM(C983:F983,H983:K983)=0,G983=1),0,INT((SUMPRODUCT(C983:F983,COLUMN($A$1:$D$1)-1)+SUMPRODUCT(H983:K983,COLUMN($E$1:$H$1)-1))*'Line Follower'!$C$3/SUM(C983:F983,H983:K983)-'Line Follower'!$C$5)))</f>
        <v>#N/A</v>
      </c>
      <c r="O983" s="22" t="e">
        <v>#N/A</v>
      </c>
      <c r="P983" s="4" t="e">
        <f t="shared" si="75"/>
        <v>#N/A</v>
      </c>
      <c r="Q983" s="4" t="e">
        <f t="shared" si="76"/>
        <v>#N/A</v>
      </c>
      <c r="R983" s="4" t="e">
        <f>IF(AND(B983=1,N983&gt;'Line Follower'!$C$7,SUM(C983:K983)&lt;4),1,0)</f>
        <v>#N/A</v>
      </c>
      <c r="S983" s="4" t="e">
        <f>IF(AND(L983=1,N983&lt;'Line Follower'!$C$6,SUM(C983:K983)&lt;4),1,0)</f>
        <v>#N/A</v>
      </c>
      <c r="T983" s="4" t="e">
        <f t="shared" si="77"/>
        <v>#N/A</v>
      </c>
      <c r="U983" s="5" t="e">
        <f t="shared" si="78"/>
        <v>#N/A</v>
      </c>
      <c r="V983" s="23" t="e">
        <f t="shared" si="79"/>
        <v>#N/A</v>
      </c>
    </row>
    <row r="984" spans="2:22" x14ac:dyDescent="0.25">
      <c r="B984" s="16">
        <v>1</v>
      </c>
      <c r="C984" s="7">
        <v>0</v>
      </c>
      <c r="D984" s="8">
        <v>1</v>
      </c>
      <c r="E984" s="8">
        <v>0</v>
      </c>
      <c r="F984" s="8">
        <v>1</v>
      </c>
      <c r="G984" s="8">
        <v>0</v>
      </c>
      <c r="H984" s="8">
        <v>1</v>
      </c>
      <c r="I984" s="8">
        <v>1</v>
      </c>
      <c r="J984" s="8">
        <v>1</v>
      </c>
      <c r="K984" s="9">
        <v>1</v>
      </c>
      <c r="L984" s="10">
        <v>0</v>
      </c>
      <c r="M984" s="6">
        <v>0</v>
      </c>
      <c r="N984" s="37" t="e" cm="1">
        <f t="array" ref="N984">IF(OR(ISNUMBER(FIND(Aux!$D$3:$D$9,_xlfn.TEXTJOIN(,,C984:K984)))),NA(),IF(AND(SUM(C984:F984,H984:K984)=0,G984=1),0,INT((SUMPRODUCT(C984:F984,COLUMN($A$1:$D$1)-1)+SUMPRODUCT(H984:K984,COLUMN($E$1:$H$1)-1))*'Line Follower'!$C$3/SUM(C984:F984,H984:K984)-'Line Follower'!$C$5)))</f>
        <v>#N/A</v>
      </c>
      <c r="O984" s="22" t="e">
        <v>#N/A</v>
      </c>
      <c r="P984" s="4" t="e">
        <f t="shared" si="75"/>
        <v>#N/A</v>
      </c>
      <c r="Q984" s="4" t="e">
        <f t="shared" si="76"/>
        <v>#N/A</v>
      </c>
      <c r="R984" s="4" t="e">
        <f>IF(AND(B984=1,N984&gt;'Line Follower'!$C$7,SUM(C984:K984)&lt;4),1,0)</f>
        <v>#N/A</v>
      </c>
      <c r="S984" s="4" t="e">
        <f>IF(AND(L984=1,N984&lt;'Line Follower'!$C$6,SUM(C984:K984)&lt;4),1,0)</f>
        <v>#N/A</v>
      </c>
      <c r="T984" s="4" t="e">
        <f t="shared" si="77"/>
        <v>#N/A</v>
      </c>
      <c r="U984" s="5" t="e">
        <f t="shared" si="78"/>
        <v>#N/A</v>
      </c>
      <c r="V984" s="23" t="e">
        <f t="shared" si="79"/>
        <v>#N/A</v>
      </c>
    </row>
    <row r="985" spans="2:22" x14ac:dyDescent="0.25">
      <c r="B985" s="16">
        <v>0</v>
      </c>
      <c r="C985" s="7">
        <v>1</v>
      </c>
      <c r="D985" s="8">
        <v>1</v>
      </c>
      <c r="E985" s="8">
        <v>0</v>
      </c>
      <c r="F985" s="8">
        <v>1</v>
      </c>
      <c r="G985" s="8">
        <v>0</v>
      </c>
      <c r="H985" s="8">
        <v>1</v>
      </c>
      <c r="I985" s="8">
        <v>1</v>
      </c>
      <c r="J985" s="8">
        <v>1</v>
      </c>
      <c r="K985" s="9">
        <v>1</v>
      </c>
      <c r="L985" s="10">
        <v>0</v>
      </c>
      <c r="M985" s="6">
        <v>0</v>
      </c>
      <c r="N985" s="37" t="e" cm="1">
        <f t="array" ref="N985">IF(OR(ISNUMBER(FIND(Aux!$D$3:$D$9,_xlfn.TEXTJOIN(,,C985:K985)))),NA(),IF(AND(SUM(C985:F985,H985:K985)=0,G985=1),0,INT((SUMPRODUCT(C985:F985,COLUMN($A$1:$D$1)-1)+SUMPRODUCT(H985:K985,COLUMN($E$1:$H$1)-1))*'Line Follower'!$C$3/SUM(C985:F985,H985:K985)-'Line Follower'!$C$5)))</f>
        <v>#N/A</v>
      </c>
      <c r="O985" s="22" t="e">
        <v>#N/A</v>
      </c>
      <c r="P985" s="4" t="e">
        <f t="shared" si="75"/>
        <v>#N/A</v>
      </c>
      <c r="Q985" s="4" t="e">
        <f t="shared" si="76"/>
        <v>#N/A</v>
      </c>
      <c r="R985" s="4" t="e">
        <f>IF(AND(B985=1,N985&gt;'Line Follower'!$C$7,SUM(C985:K985)&lt;4),1,0)</f>
        <v>#N/A</v>
      </c>
      <c r="S985" s="4" t="e">
        <f>IF(AND(L985=1,N985&lt;'Line Follower'!$C$6,SUM(C985:K985)&lt;4),1,0)</f>
        <v>#N/A</v>
      </c>
      <c r="T985" s="4" t="e">
        <f t="shared" si="77"/>
        <v>#N/A</v>
      </c>
      <c r="U985" s="5" t="e">
        <f t="shared" si="78"/>
        <v>#N/A</v>
      </c>
      <c r="V985" s="23" t="e">
        <f t="shared" si="79"/>
        <v>#N/A</v>
      </c>
    </row>
    <row r="986" spans="2:22" x14ac:dyDescent="0.25">
      <c r="B986" s="16">
        <v>1</v>
      </c>
      <c r="C986" s="7">
        <v>1</v>
      </c>
      <c r="D986" s="8">
        <v>1</v>
      </c>
      <c r="E986" s="8">
        <v>0</v>
      </c>
      <c r="F986" s="8">
        <v>1</v>
      </c>
      <c r="G986" s="8">
        <v>0</v>
      </c>
      <c r="H986" s="8">
        <v>1</v>
      </c>
      <c r="I986" s="8">
        <v>1</v>
      </c>
      <c r="J986" s="8">
        <v>1</v>
      </c>
      <c r="K986" s="9">
        <v>1</v>
      </c>
      <c r="L986" s="10">
        <v>0</v>
      </c>
      <c r="M986" s="6">
        <v>0</v>
      </c>
      <c r="N986" s="37" t="e" cm="1">
        <f t="array" ref="N986">IF(OR(ISNUMBER(FIND(Aux!$D$3:$D$9,_xlfn.TEXTJOIN(,,C986:K986)))),NA(),IF(AND(SUM(C986:F986,H986:K986)=0,G986=1),0,INT((SUMPRODUCT(C986:F986,COLUMN($A$1:$D$1)-1)+SUMPRODUCT(H986:K986,COLUMN($E$1:$H$1)-1))*'Line Follower'!$C$3/SUM(C986:F986,H986:K986)-'Line Follower'!$C$5)))</f>
        <v>#N/A</v>
      </c>
      <c r="O986" s="22" t="e">
        <v>#N/A</v>
      </c>
      <c r="P986" s="4" t="e">
        <f t="shared" si="75"/>
        <v>#N/A</v>
      </c>
      <c r="Q986" s="4" t="e">
        <f t="shared" si="76"/>
        <v>#N/A</v>
      </c>
      <c r="R986" s="4" t="e">
        <f>IF(AND(B986=1,N986&gt;'Line Follower'!$C$7,SUM(C986:K986)&lt;4),1,0)</f>
        <v>#N/A</v>
      </c>
      <c r="S986" s="4" t="e">
        <f>IF(AND(L986=1,N986&lt;'Line Follower'!$C$6,SUM(C986:K986)&lt;4),1,0)</f>
        <v>#N/A</v>
      </c>
      <c r="T986" s="4" t="e">
        <f t="shared" si="77"/>
        <v>#N/A</v>
      </c>
      <c r="U986" s="5" t="e">
        <f t="shared" si="78"/>
        <v>#N/A</v>
      </c>
      <c r="V986" s="23" t="e">
        <f t="shared" si="79"/>
        <v>#N/A</v>
      </c>
    </row>
    <row r="987" spans="2:22" x14ac:dyDescent="0.25">
      <c r="B987" s="16">
        <v>0</v>
      </c>
      <c r="C987" s="7">
        <v>0</v>
      </c>
      <c r="D987" s="8">
        <v>0</v>
      </c>
      <c r="E987" s="8">
        <v>1</v>
      </c>
      <c r="F987" s="8">
        <v>1</v>
      </c>
      <c r="G987" s="8">
        <v>0</v>
      </c>
      <c r="H987" s="8">
        <v>1</v>
      </c>
      <c r="I987" s="8">
        <v>1</v>
      </c>
      <c r="J987" s="8">
        <v>1</v>
      </c>
      <c r="K987" s="9">
        <v>1</v>
      </c>
      <c r="L987" s="10">
        <v>0</v>
      </c>
      <c r="M987" s="6">
        <v>0</v>
      </c>
      <c r="N987" s="37" t="e" cm="1">
        <f t="array" ref="N987">IF(OR(ISNUMBER(FIND(Aux!$D$3:$D$9,_xlfn.TEXTJOIN(,,C987:K987)))),NA(),IF(AND(SUM(C987:F987,H987:K987)=0,G987=1),0,INT((SUMPRODUCT(C987:F987,COLUMN($A$1:$D$1)-1)+SUMPRODUCT(H987:K987,COLUMN($E$1:$H$1)-1))*'Line Follower'!$C$3/SUM(C987:F987,H987:K987)-'Line Follower'!$C$5)))</f>
        <v>#N/A</v>
      </c>
      <c r="O987" s="22" t="e">
        <v>#N/A</v>
      </c>
      <c r="P987" s="4" t="e">
        <f t="shared" si="75"/>
        <v>#N/A</v>
      </c>
      <c r="Q987" s="4" t="e">
        <f t="shared" si="76"/>
        <v>#N/A</v>
      </c>
      <c r="R987" s="4" t="e">
        <f>IF(AND(B987=1,N987&gt;'Line Follower'!$C$7,SUM(C987:K987)&lt;4),1,0)</f>
        <v>#N/A</v>
      </c>
      <c r="S987" s="4" t="e">
        <f>IF(AND(L987=1,N987&lt;'Line Follower'!$C$6,SUM(C987:K987)&lt;4),1,0)</f>
        <v>#N/A</v>
      </c>
      <c r="T987" s="4" t="e">
        <f t="shared" si="77"/>
        <v>#N/A</v>
      </c>
      <c r="U987" s="5" t="e">
        <f t="shared" si="78"/>
        <v>#N/A</v>
      </c>
      <c r="V987" s="23" t="e">
        <f t="shared" si="79"/>
        <v>#N/A</v>
      </c>
    </row>
    <row r="988" spans="2:22" x14ac:dyDescent="0.25">
      <c r="B988" s="16">
        <v>1</v>
      </c>
      <c r="C988" s="7">
        <v>0</v>
      </c>
      <c r="D988" s="8">
        <v>0</v>
      </c>
      <c r="E988" s="8">
        <v>1</v>
      </c>
      <c r="F988" s="8">
        <v>1</v>
      </c>
      <c r="G988" s="8">
        <v>0</v>
      </c>
      <c r="H988" s="8">
        <v>1</v>
      </c>
      <c r="I988" s="8">
        <v>1</v>
      </c>
      <c r="J988" s="8">
        <v>1</v>
      </c>
      <c r="K988" s="9">
        <v>1</v>
      </c>
      <c r="L988" s="10">
        <v>0</v>
      </c>
      <c r="M988" s="6">
        <v>0</v>
      </c>
      <c r="N988" s="37" t="e" cm="1">
        <f t="array" ref="N988">IF(OR(ISNUMBER(FIND(Aux!$D$3:$D$9,_xlfn.TEXTJOIN(,,C988:K988)))),NA(),IF(AND(SUM(C988:F988,H988:K988)=0,G988=1),0,INT((SUMPRODUCT(C988:F988,COLUMN($A$1:$D$1)-1)+SUMPRODUCT(H988:K988,COLUMN($E$1:$H$1)-1))*'Line Follower'!$C$3/SUM(C988:F988,H988:K988)-'Line Follower'!$C$5)))</f>
        <v>#N/A</v>
      </c>
      <c r="O988" s="22" t="e">
        <v>#N/A</v>
      </c>
      <c r="P988" s="4" t="e">
        <f t="shared" si="75"/>
        <v>#N/A</v>
      </c>
      <c r="Q988" s="4" t="e">
        <f t="shared" si="76"/>
        <v>#N/A</v>
      </c>
      <c r="R988" s="4" t="e">
        <f>IF(AND(B988=1,N988&gt;'Line Follower'!$C$7,SUM(C988:K988)&lt;4),1,0)</f>
        <v>#N/A</v>
      </c>
      <c r="S988" s="4" t="e">
        <f>IF(AND(L988=1,N988&lt;'Line Follower'!$C$6,SUM(C988:K988)&lt;4),1,0)</f>
        <v>#N/A</v>
      </c>
      <c r="T988" s="4" t="e">
        <f t="shared" si="77"/>
        <v>#N/A</v>
      </c>
      <c r="U988" s="5" t="e">
        <f t="shared" si="78"/>
        <v>#N/A</v>
      </c>
      <c r="V988" s="23" t="e">
        <f t="shared" si="79"/>
        <v>#N/A</v>
      </c>
    </row>
    <row r="989" spans="2:22" x14ac:dyDescent="0.25">
      <c r="B989" s="16">
        <v>0</v>
      </c>
      <c r="C989" s="7">
        <v>1</v>
      </c>
      <c r="D989" s="8">
        <v>0</v>
      </c>
      <c r="E989" s="8">
        <v>1</v>
      </c>
      <c r="F989" s="8">
        <v>1</v>
      </c>
      <c r="G989" s="8">
        <v>0</v>
      </c>
      <c r="H989" s="8">
        <v>1</v>
      </c>
      <c r="I989" s="8">
        <v>1</v>
      </c>
      <c r="J989" s="8">
        <v>1</v>
      </c>
      <c r="K989" s="9">
        <v>1</v>
      </c>
      <c r="L989" s="10">
        <v>0</v>
      </c>
      <c r="M989" s="6">
        <v>0</v>
      </c>
      <c r="N989" s="37" t="e" cm="1">
        <f t="array" ref="N989">IF(OR(ISNUMBER(FIND(Aux!$D$3:$D$9,_xlfn.TEXTJOIN(,,C989:K989)))),NA(),IF(AND(SUM(C989:F989,H989:K989)=0,G989=1),0,INT((SUMPRODUCT(C989:F989,COLUMN($A$1:$D$1)-1)+SUMPRODUCT(H989:K989,COLUMN($E$1:$H$1)-1))*'Line Follower'!$C$3/SUM(C989:F989,H989:K989)-'Line Follower'!$C$5)))</f>
        <v>#N/A</v>
      </c>
      <c r="O989" s="22" t="e">
        <v>#N/A</v>
      </c>
      <c r="P989" s="4" t="e">
        <f t="shared" si="75"/>
        <v>#N/A</v>
      </c>
      <c r="Q989" s="4" t="e">
        <f t="shared" si="76"/>
        <v>#N/A</v>
      </c>
      <c r="R989" s="4" t="e">
        <f>IF(AND(B989=1,N989&gt;'Line Follower'!$C$7,SUM(C989:K989)&lt;4),1,0)</f>
        <v>#N/A</v>
      </c>
      <c r="S989" s="4" t="e">
        <f>IF(AND(L989=1,N989&lt;'Line Follower'!$C$6,SUM(C989:K989)&lt;4),1,0)</f>
        <v>#N/A</v>
      </c>
      <c r="T989" s="4" t="e">
        <f t="shared" si="77"/>
        <v>#N/A</v>
      </c>
      <c r="U989" s="5" t="e">
        <f t="shared" si="78"/>
        <v>#N/A</v>
      </c>
      <c r="V989" s="23" t="e">
        <f t="shared" si="79"/>
        <v>#N/A</v>
      </c>
    </row>
    <row r="990" spans="2:22" x14ac:dyDescent="0.25">
      <c r="B990" s="16">
        <v>1</v>
      </c>
      <c r="C990" s="7">
        <v>1</v>
      </c>
      <c r="D990" s="8">
        <v>0</v>
      </c>
      <c r="E990" s="8">
        <v>1</v>
      </c>
      <c r="F990" s="8">
        <v>1</v>
      </c>
      <c r="G990" s="8">
        <v>0</v>
      </c>
      <c r="H990" s="8">
        <v>1</v>
      </c>
      <c r="I990" s="8">
        <v>1</v>
      </c>
      <c r="J990" s="8">
        <v>1</v>
      </c>
      <c r="K990" s="9">
        <v>1</v>
      </c>
      <c r="L990" s="10">
        <v>0</v>
      </c>
      <c r="M990" s="6">
        <v>0</v>
      </c>
      <c r="N990" s="37" t="e" cm="1">
        <f t="array" ref="N990">IF(OR(ISNUMBER(FIND(Aux!$D$3:$D$9,_xlfn.TEXTJOIN(,,C990:K990)))),NA(),IF(AND(SUM(C990:F990,H990:K990)=0,G990=1),0,INT((SUMPRODUCT(C990:F990,COLUMN($A$1:$D$1)-1)+SUMPRODUCT(H990:K990,COLUMN($E$1:$H$1)-1))*'Line Follower'!$C$3/SUM(C990:F990,H990:K990)-'Line Follower'!$C$5)))</f>
        <v>#N/A</v>
      </c>
      <c r="O990" s="22" t="e">
        <v>#N/A</v>
      </c>
      <c r="P990" s="4" t="e">
        <f t="shared" si="75"/>
        <v>#N/A</v>
      </c>
      <c r="Q990" s="4" t="e">
        <f t="shared" si="76"/>
        <v>#N/A</v>
      </c>
      <c r="R990" s="4" t="e">
        <f>IF(AND(B990=1,N990&gt;'Line Follower'!$C$7,SUM(C990:K990)&lt;4),1,0)</f>
        <v>#N/A</v>
      </c>
      <c r="S990" s="4" t="e">
        <f>IF(AND(L990=1,N990&lt;'Line Follower'!$C$6,SUM(C990:K990)&lt;4),1,0)</f>
        <v>#N/A</v>
      </c>
      <c r="T990" s="4" t="e">
        <f t="shared" si="77"/>
        <v>#N/A</v>
      </c>
      <c r="U990" s="5" t="e">
        <f t="shared" si="78"/>
        <v>#N/A</v>
      </c>
      <c r="V990" s="23" t="e">
        <f t="shared" si="79"/>
        <v>#N/A</v>
      </c>
    </row>
    <row r="991" spans="2:22" x14ac:dyDescent="0.25">
      <c r="B991" s="16">
        <v>0</v>
      </c>
      <c r="C991" s="7">
        <v>0</v>
      </c>
      <c r="D991" s="8">
        <v>1</v>
      </c>
      <c r="E991" s="8">
        <v>1</v>
      </c>
      <c r="F991" s="8">
        <v>1</v>
      </c>
      <c r="G991" s="8">
        <v>0</v>
      </c>
      <c r="H991" s="8">
        <v>1</v>
      </c>
      <c r="I991" s="8">
        <v>1</v>
      </c>
      <c r="J991" s="8">
        <v>1</v>
      </c>
      <c r="K991" s="9">
        <v>1</v>
      </c>
      <c r="L991" s="10">
        <v>0</v>
      </c>
      <c r="M991" s="6">
        <v>0</v>
      </c>
      <c r="N991" s="37" t="e" cm="1">
        <f t="array" ref="N991">IF(OR(ISNUMBER(FIND(Aux!$D$3:$D$9,_xlfn.TEXTJOIN(,,C991:K991)))),NA(),IF(AND(SUM(C991:F991,H991:K991)=0,G991=1),0,INT((SUMPRODUCT(C991:F991,COLUMN($A$1:$D$1)-1)+SUMPRODUCT(H991:K991,COLUMN($E$1:$H$1)-1))*'Line Follower'!$C$3/SUM(C991:F991,H991:K991)-'Line Follower'!$C$5)))</f>
        <v>#N/A</v>
      </c>
      <c r="O991" s="22" t="e">
        <v>#N/A</v>
      </c>
      <c r="P991" s="4" t="e">
        <f t="shared" si="75"/>
        <v>#N/A</v>
      </c>
      <c r="Q991" s="4" t="e">
        <f t="shared" si="76"/>
        <v>#N/A</v>
      </c>
      <c r="R991" s="4" t="e">
        <f>IF(AND(B991=1,N991&gt;'Line Follower'!$C$7,SUM(C991:K991)&lt;4),1,0)</f>
        <v>#N/A</v>
      </c>
      <c r="S991" s="4" t="e">
        <f>IF(AND(L991=1,N991&lt;'Line Follower'!$C$6,SUM(C991:K991)&lt;4),1,0)</f>
        <v>#N/A</v>
      </c>
      <c r="T991" s="4" t="e">
        <f t="shared" si="77"/>
        <v>#N/A</v>
      </c>
      <c r="U991" s="5" t="e">
        <f t="shared" si="78"/>
        <v>#N/A</v>
      </c>
      <c r="V991" s="23" t="e">
        <f t="shared" si="79"/>
        <v>#N/A</v>
      </c>
    </row>
    <row r="992" spans="2:22" x14ac:dyDescent="0.25">
      <c r="B992" s="16">
        <v>1</v>
      </c>
      <c r="C992" s="7">
        <v>0</v>
      </c>
      <c r="D992" s="8">
        <v>1</v>
      </c>
      <c r="E992" s="8">
        <v>1</v>
      </c>
      <c r="F992" s="8">
        <v>1</v>
      </c>
      <c r="G992" s="8">
        <v>0</v>
      </c>
      <c r="H992" s="8">
        <v>1</v>
      </c>
      <c r="I992" s="8">
        <v>1</v>
      </c>
      <c r="J992" s="8">
        <v>1</v>
      </c>
      <c r="K992" s="9">
        <v>1</v>
      </c>
      <c r="L992" s="10">
        <v>0</v>
      </c>
      <c r="M992" s="6">
        <v>0</v>
      </c>
      <c r="N992" s="37" t="e" cm="1">
        <f t="array" ref="N992">IF(OR(ISNUMBER(FIND(Aux!$D$3:$D$9,_xlfn.TEXTJOIN(,,C992:K992)))),NA(),IF(AND(SUM(C992:F992,H992:K992)=0,G992=1),0,INT((SUMPRODUCT(C992:F992,COLUMN($A$1:$D$1)-1)+SUMPRODUCT(H992:K992,COLUMN($E$1:$H$1)-1))*'Line Follower'!$C$3/SUM(C992:F992,H992:K992)-'Line Follower'!$C$5)))</f>
        <v>#N/A</v>
      </c>
      <c r="O992" s="22" t="e">
        <v>#N/A</v>
      </c>
      <c r="P992" s="4" t="e">
        <f t="shared" si="75"/>
        <v>#N/A</v>
      </c>
      <c r="Q992" s="4" t="e">
        <f t="shared" si="76"/>
        <v>#N/A</v>
      </c>
      <c r="R992" s="4" t="e">
        <f>IF(AND(B992=1,N992&gt;'Line Follower'!$C$7,SUM(C992:K992)&lt;4),1,0)</f>
        <v>#N/A</v>
      </c>
      <c r="S992" s="4" t="e">
        <f>IF(AND(L992=1,N992&lt;'Line Follower'!$C$6,SUM(C992:K992)&lt;4),1,0)</f>
        <v>#N/A</v>
      </c>
      <c r="T992" s="4" t="e">
        <f t="shared" si="77"/>
        <v>#N/A</v>
      </c>
      <c r="U992" s="5" t="e">
        <f t="shared" si="78"/>
        <v>#N/A</v>
      </c>
      <c r="V992" s="23" t="e">
        <f t="shared" si="79"/>
        <v>#N/A</v>
      </c>
    </row>
    <row r="993" spans="2:22" x14ac:dyDescent="0.25">
      <c r="B993" s="16">
        <v>0</v>
      </c>
      <c r="C993" s="7">
        <v>1</v>
      </c>
      <c r="D993" s="8">
        <v>1</v>
      </c>
      <c r="E993" s="8">
        <v>1</v>
      </c>
      <c r="F993" s="8">
        <v>1</v>
      </c>
      <c r="G993" s="8">
        <v>0</v>
      </c>
      <c r="H993" s="8">
        <v>1</v>
      </c>
      <c r="I993" s="8">
        <v>1</v>
      </c>
      <c r="J993" s="8">
        <v>1</v>
      </c>
      <c r="K993" s="9">
        <v>1</v>
      </c>
      <c r="L993" s="10">
        <v>0</v>
      </c>
      <c r="M993" s="6">
        <v>0</v>
      </c>
      <c r="N993" s="37" t="e" cm="1">
        <f t="array" ref="N993">IF(OR(ISNUMBER(FIND(Aux!$D$3:$D$9,_xlfn.TEXTJOIN(,,C993:K993)))),NA(),IF(AND(SUM(C993:F993,H993:K993)=0,G993=1),0,INT((SUMPRODUCT(C993:F993,COLUMN($A$1:$D$1)-1)+SUMPRODUCT(H993:K993,COLUMN($E$1:$H$1)-1))*'Line Follower'!$C$3/SUM(C993:F993,H993:K993)-'Line Follower'!$C$5)))</f>
        <v>#N/A</v>
      </c>
      <c r="O993" s="22" t="e">
        <v>#N/A</v>
      </c>
      <c r="P993" s="4" t="e">
        <f t="shared" si="75"/>
        <v>#N/A</v>
      </c>
      <c r="Q993" s="4" t="e">
        <f t="shared" si="76"/>
        <v>#N/A</v>
      </c>
      <c r="R993" s="4" t="e">
        <f>IF(AND(B993=1,N993&gt;'Line Follower'!$C$7,SUM(C993:K993)&lt;4),1,0)</f>
        <v>#N/A</v>
      </c>
      <c r="S993" s="4" t="e">
        <f>IF(AND(L993=1,N993&lt;'Line Follower'!$C$6,SUM(C993:K993)&lt;4),1,0)</f>
        <v>#N/A</v>
      </c>
      <c r="T993" s="4" t="e">
        <f t="shared" si="77"/>
        <v>#N/A</v>
      </c>
      <c r="U993" s="5" t="e">
        <f t="shared" si="78"/>
        <v>#N/A</v>
      </c>
      <c r="V993" s="23" t="e">
        <f t="shared" si="79"/>
        <v>#N/A</v>
      </c>
    </row>
    <row r="994" spans="2:22" x14ac:dyDescent="0.25">
      <c r="B994" s="16">
        <v>1</v>
      </c>
      <c r="C994" s="7">
        <v>1</v>
      </c>
      <c r="D994" s="8">
        <v>1</v>
      </c>
      <c r="E994" s="8">
        <v>1</v>
      </c>
      <c r="F994" s="8">
        <v>1</v>
      </c>
      <c r="G994" s="8">
        <v>0</v>
      </c>
      <c r="H994" s="8">
        <v>1</v>
      </c>
      <c r="I994" s="8">
        <v>1</v>
      </c>
      <c r="J994" s="8">
        <v>1</v>
      </c>
      <c r="K994" s="9">
        <v>1</v>
      </c>
      <c r="L994" s="10">
        <v>0</v>
      </c>
      <c r="M994" s="6">
        <v>0</v>
      </c>
      <c r="N994" s="37" t="e" cm="1">
        <f t="array" ref="N994">IF(OR(ISNUMBER(FIND(Aux!$D$3:$D$9,_xlfn.TEXTJOIN(,,C994:K994)))),NA(),IF(AND(SUM(C994:F994,H994:K994)=0,G994=1),0,INT((SUMPRODUCT(C994:F994,COLUMN($A$1:$D$1)-1)+SUMPRODUCT(H994:K994,COLUMN($E$1:$H$1)-1))*'Line Follower'!$C$3/SUM(C994:F994,H994:K994)-'Line Follower'!$C$5)))</f>
        <v>#N/A</v>
      </c>
      <c r="O994" s="22" t="e">
        <v>#N/A</v>
      </c>
      <c r="P994" s="4" t="e">
        <f t="shared" si="75"/>
        <v>#N/A</v>
      </c>
      <c r="Q994" s="4" t="e">
        <f t="shared" si="76"/>
        <v>#N/A</v>
      </c>
      <c r="R994" s="4" t="e">
        <f>IF(AND(B994=1,N994&gt;'Line Follower'!$C$7,SUM(C994:K994)&lt;4),1,0)</f>
        <v>#N/A</v>
      </c>
      <c r="S994" s="4" t="e">
        <f>IF(AND(L994=1,N994&lt;'Line Follower'!$C$6,SUM(C994:K994)&lt;4),1,0)</f>
        <v>#N/A</v>
      </c>
      <c r="T994" s="4" t="e">
        <f t="shared" si="77"/>
        <v>#N/A</v>
      </c>
      <c r="U994" s="5" t="e">
        <f t="shared" si="78"/>
        <v>#N/A</v>
      </c>
      <c r="V994" s="23" t="e">
        <f t="shared" si="79"/>
        <v>#N/A</v>
      </c>
    </row>
    <row r="995" spans="2:22" x14ac:dyDescent="0.25">
      <c r="B995" s="16">
        <v>0</v>
      </c>
      <c r="C995" s="7">
        <v>0</v>
      </c>
      <c r="D995" s="8">
        <v>0</v>
      </c>
      <c r="E995" s="8">
        <v>0</v>
      </c>
      <c r="F995" s="8">
        <v>0</v>
      </c>
      <c r="G995" s="8">
        <v>1</v>
      </c>
      <c r="H995" s="8">
        <v>1</v>
      </c>
      <c r="I995" s="8">
        <v>1</v>
      </c>
      <c r="J995" s="8">
        <v>1</v>
      </c>
      <c r="K995" s="9">
        <v>1</v>
      </c>
      <c r="L995" s="10">
        <v>0</v>
      </c>
      <c r="M995" s="6">
        <v>0</v>
      </c>
      <c r="N995" s="37" cm="1">
        <f t="array" ref="N995">IF(OR(ISNUMBER(FIND(Aux!$D$3:$D$9,_xlfn.TEXTJOIN(,,C995:K995)))),NA(),IF(AND(SUM(C995:F995,H995:K995)=0,G995=1),0,INT((SUMPRODUCT(C995:F995,COLUMN($A$1:$D$1)-1)+SUMPRODUCT(H995:K995,COLUMN($E$1:$H$1)-1))*'Line Follower'!$C$3/SUM(C995:F995,H995:K995)-'Line Follower'!$C$5)))</f>
        <v>4</v>
      </c>
      <c r="O995" s="22">
        <v>1</v>
      </c>
      <c r="P995" s="4">
        <f t="shared" si="75"/>
        <v>0</v>
      </c>
      <c r="Q995" s="4">
        <f t="shared" si="76"/>
        <v>1</v>
      </c>
      <c r="R995" s="4">
        <f>IF(AND(B995=1,N995&gt;'Line Follower'!$C$7,SUM(C995:K995)&lt;4),1,0)</f>
        <v>0</v>
      </c>
      <c r="S995" s="4">
        <f>IF(AND(L995=1,N995&lt;'Line Follower'!$C$6,SUM(C995:K995)&lt;4),1,0)</f>
        <v>0</v>
      </c>
      <c r="T995" s="4">
        <f t="shared" si="77"/>
        <v>0</v>
      </c>
      <c r="U995" s="5">
        <f t="shared" si="78"/>
        <v>0</v>
      </c>
      <c r="V995" s="23">
        <f t="shared" si="79"/>
        <v>0</v>
      </c>
    </row>
    <row r="996" spans="2:22" x14ac:dyDescent="0.25">
      <c r="B996" s="16">
        <v>1</v>
      </c>
      <c r="C996" s="7">
        <v>0</v>
      </c>
      <c r="D996" s="8">
        <v>0</v>
      </c>
      <c r="E996" s="8">
        <v>0</v>
      </c>
      <c r="F996" s="8">
        <v>0</v>
      </c>
      <c r="G996" s="8">
        <v>1</v>
      </c>
      <c r="H996" s="8">
        <v>1</v>
      </c>
      <c r="I996" s="8">
        <v>1</v>
      </c>
      <c r="J996" s="8">
        <v>1</v>
      </c>
      <c r="K996" s="9">
        <v>1</v>
      </c>
      <c r="L996" s="10">
        <v>0</v>
      </c>
      <c r="M996" s="6">
        <v>0</v>
      </c>
      <c r="N996" s="37" cm="1">
        <f t="array" ref="N996">IF(OR(ISNUMBER(FIND(Aux!$D$3:$D$9,_xlfn.TEXTJOIN(,,C996:K996)))),NA(),IF(AND(SUM(C996:F996,H996:K996)=0,G996=1),0,INT((SUMPRODUCT(C996:F996,COLUMN($A$1:$D$1)-1)+SUMPRODUCT(H996:K996,COLUMN($E$1:$H$1)-1))*'Line Follower'!$C$3/SUM(C996:F996,H996:K996)-'Line Follower'!$C$5)))</f>
        <v>4</v>
      </c>
      <c r="O996" s="22">
        <v>1</v>
      </c>
      <c r="P996" s="4">
        <f t="shared" si="75"/>
        <v>0</v>
      </c>
      <c r="Q996" s="4">
        <f t="shared" si="76"/>
        <v>1</v>
      </c>
      <c r="R996" s="4">
        <f>IF(AND(B996=1,N996&gt;'Line Follower'!$C$7,SUM(C996:K996)&lt;4),1,0)</f>
        <v>0</v>
      </c>
      <c r="S996" s="4">
        <f>IF(AND(L996=1,N996&lt;'Line Follower'!$C$6,SUM(C996:K996)&lt;4),1,0)</f>
        <v>0</v>
      </c>
      <c r="T996" s="4">
        <f t="shared" si="77"/>
        <v>0</v>
      </c>
      <c r="U996" s="5">
        <f t="shared" si="78"/>
        <v>0</v>
      </c>
      <c r="V996" s="23">
        <f t="shared" si="79"/>
        <v>0</v>
      </c>
    </row>
    <row r="997" spans="2:22" x14ac:dyDescent="0.25">
      <c r="B997" s="16">
        <v>0</v>
      </c>
      <c r="C997" s="7">
        <v>1</v>
      </c>
      <c r="D997" s="8">
        <v>0</v>
      </c>
      <c r="E997" s="8">
        <v>0</v>
      </c>
      <c r="F997" s="8">
        <v>0</v>
      </c>
      <c r="G997" s="8">
        <v>1</v>
      </c>
      <c r="H997" s="8">
        <v>1</v>
      </c>
      <c r="I997" s="8">
        <v>1</v>
      </c>
      <c r="J997" s="8">
        <v>1</v>
      </c>
      <c r="K997" s="9">
        <v>1</v>
      </c>
      <c r="L997" s="10">
        <v>0</v>
      </c>
      <c r="M997" s="6">
        <v>0</v>
      </c>
      <c r="N997" s="37" t="e" cm="1">
        <f t="array" ref="N997">IF(OR(ISNUMBER(FIND(Aux!$D$3:$D$9,_xlfn.TEXTJOIN(,,C997:K997)))),NA(),IF(AND(SUM(C997:F997,H997:K997)=0,G997=1),0,INT((SUMPRODUCT(C997:F997,COLUMN($A$1:$D$1)-1)+SUMPRODUCT(H997:K997,COLUMN($E$1:$H$1)-1))*'Line Follower'!$C$3/SUM(C997:F997,H997:K997)-'Line Follower'!$C$5)))</f>
        <v>#N/A</v>
      </c>
      <c r="O997" s="22" t="e">
        <v>#N/A</v>
      </c>
      <c r="P997" s="4" t="e">
        <f t="shared" si="75"/>
        <v>#N/A</v>
      </c>
      <c r="Q997" s="4" t="e">
        <f t="shared" si="76"/>
        <v>#N/A</v>
      </c>
      <c r="R997" s="4" t="e">
        <f>IF(AND(B997=1,N997&gt;'Line Follower'!$C$7,SUM(C997:K997)&lt;4),1,0)</f>
        <v>#N/A</v>
      </c>
      <c r="S997" s="4" t="e">
        <f>IF(AND(L997=1,N997&lt;'Line Follower'!$C$6,SUM(C997:K997)&lt;4),1,0)</f>
        <v>#N/A</v>
      </c>
      <c r="T997" s="4" t="e">
        <f t="shared" si="77"/>
        <v>#N/A</v>
      </c>
      <c r="U997" s="5" t="e">
        <f t="shared" si="78"/>
        <v>#N/A</v>
      </c>
      <c r="V997" s="23" t="e">
        <f t="shared" si="79"/>
        <v>#N/A</v>
      </c>
    </row>
    <row r="998" spans="2:22" x14ac:dyDescent="0.25">
      <c r="B998" s="16">
        <v>1</v>
      </c>
      <c r="C998" s="7">
        <v>1</v>
      </c>
      <c r="D998" s="8">
        <v>0</v>
      </c>
      <c r="E998" s="8">
        <v>0</v>
      </c>
      <c r="F998" s="8">
        <v>0</v>
      </c>
      <c r="G998" s="8">
        <v>1</v>
      </c>
      <c r="H998" s="8">
        <v>1</v>
      </c>
      <c r="I998" s="8">
        <v>1</v>
      </c>
      <c r="J998" s="8">
        <v>1</v>
      </c>
      <c r="K998" s="9">
        <v>1</v>
      </c>
      <c r="L998" s="10">
        <v>0</v>
      </c>
      <c r="M998" s="6">
        <v>0</v>
      </c>
      <c r="N998" s="37" t="e" cm="1">
        <f t="array" ref="N998">IF(OR(ISNUMBER(FIND(Aux!$D$3:$D$9,_xlfn.TEXTJOIN(,,C998:K998)))),NA(),IF(AND(SUM(C998:F998,H998:K998)=0,G998=1),0,INT((SUMPRODUCT(C998:F998,COLUMN($A$1:$D$1)-1)+SUMPRODUCT(H998:K998,COLUMN($E$1:$H$1)-1))*'Line Follower'!$C$3/SUM(C998:F998,H998:K998)-'Line Follower'!$C$5)))</f>
        <v>#N/A</v>
      </c>
      <c r="O998" s="22" t="e">
        <v>#N/A</v>
      </c>
      <c r="P998" s="4" t="e">
        <f t="shared" si="75"/>
        <v>#N/A</v>
      </c>
      <c r="Q998" s="4" t="e">
        <f t="shared" si="76"/>
        <v>#N/A</v>
      </c>
      <c r="R998" s="4" t="e">
        <f>IF(AND(B998=1,N998&gt;'Line Follower'!$C$7,SUM(C998:K998)&lt;4),1,0)</f>
        <v>#N/A</v>
      </c>
      <c r="S998" s="4" t="e">
        <f>IF(AND(L998=1,N998&lt;'Line Follower'!$C$6,SUM(C998:K998)&lt;4),1,0)</f>
        <v>#N/A</v>
      </c>
      <c r="T998" s="4" t="e">
        <f t="shared" si="77"/>
        <v>#N/A</v>
      </c>
      <c r="U998" s="5" t="e">
        <f t="shared" si="78"/>
        <v>#N/A</v>
      </c>
      <c r="V998" s="23" t="e">
        <f t="shared" si="79"/>
        <v>#N/A</v>
      </c>
    </row>
    <row r="999" spans="2:22" x14ac:dyDescent="0.25">
      <c r="B999" s="16">
        <v>0</v>
      </c>
      <c r="C999" s="7">
        <v>0</v>
      </c>
      <c r="D999" s="8">
        <v>1</v>
      </c>
      <c r="E999" s="8">
        <v>0</v>
      </c>
      <c r="F999" s="8">
        <v>0</v>
      </c>
      <c r="G999" s="8">
        <v>1</v>
      </c>
      <c r="H999" s="8">
        <v>1</v>
      </c>
      <c r="I999" s="8">
        <v>1</v>
      </c>
      <c r="J999" s="8">
        <v>1</v>
      </c>
      <c r="K999" s="9">
        <v>1</v>
      </c>
      <c r="L999" s="10">
        <v>0</v>
      </c>
      <c r="M999" s="6">
        <v>0</v>
      </c>
      <c r="N999" s="37" t="e" cm="1">
        <f t="array" ref="N999">IF(OR(ISNUMBER(FIND(Aux!$D$3:$D$9,_xlfn.TEXTJOIN(,,C999:K999)))),NA(),IF(AND(SUM(C999:F999,H999:K999)=0,G999=1),0,INT((SUMPRODUCT(C999:F999,COLUMN($A$1:$D$1)-1)+SUMPRODUCT(H999:K999,COLUMN($E$1:$H$1)-1))*'Line Follower'!$C$3/SUM(C999:F999,H999:K999)-'Line Follower'!$C$5)))</f>
        <v>#N/A</v>
      </c>
      <c r="O999" s="22" t="e">
        <v>#N/A</v>
      </c>
      <c r="P999" s="4" t="e">
        <f t="shared" si="75"/>
        <v>#N/A</v>
      </c>
      <c r="Q999" s="4" t="e">
        <f t="shared" si="76"/>
        <v>#N/A</v>
      </c>
      <c r="R999" s="4" t="e">
        <f>IF(AND(B999=1,N999&gt;'Line Follower'!$C$7,SUM(C999:K999)&lt;4),1,0)</f>
        <v>#N/A</v>
      </c>
      <c r="S999" s="4" t="e">
        <f>IF(AND(L999=1,N999&lt;'Line Follower'!$C$6,SUM(C999:K999)&lt;4),1,0)</f>
        <v>#N/A</v>
      </c>
      <c r="T999" s="4" t="e">
        <f t="shared" si="77"/>
        <v>#N/A</v>
      </c>
      <c r="U999" s="5" t="e">
        <f t="shared" si="78"/>
        <v>#N/A</v>
      </c>
      <c r="V999" s="23" t="e">
        <f t="shared" si="79"/>
        <v>#N/A</v>
      </c>
    </row>
    <row r="1000" spans="2:22" x14ac:dyDescent="0.25">
      <c r="B1000" s="16">
        <v>1</v>
      </c>
      <c r="C1000" s="7">
        <v>0</v>
      </c>
      <c r="D1000" s="8">
        <v>1</v>
      </c>
      <c r="E1000" s="8">
        <v>0</v>
      </c>
      <c r="F1000" s="8">
        <v>0</v>
      </c>
      <c r="G1000" s="8">
        <v>1</v>
      </c>
      <c r="H1000" s="8">
        <v>1</v>
      </c>
      <c r="I1000" s="8">
        <v>1</v>
      </c>
      <c r="J1000" s="8">
        <v>1</v>
      </c>
      <c r="K1000" s="9">
        <v>1</v>
      </c>
      <c r="L1000" s="10">
        <v>0</v>
      </c>
      <c r="M1000" s="6">
        <v>0</v>
      </c>
      <c r="N1000" s="37" t="e" cm="1">
        <f t="array" ref="N1000">IF(OR(ISNUMBER(FIND(Aux!$D$3:$D$9,_xlfn.TEXTJOIN(,,C1000:K1000)))),NA(),IF(AND(SUM(C1000:F1000,H1000:K1000)=0,G1000=1),0,INT((SUMPRODUCT(C1000:F1000,COLUMN($A$1:$D$1)-1)+SUMPRODUCT(H1000:K1000,COLUMN($E$1:$H$1)-1))*'Line Follower'!$C$3/SUM(C1000:F1000,H1000:K1000)-'Line Follower'!$C$5)))</f>
        <v>#N/A</v>
      </c>
      <c r="O1000" s="22" t="e">
        <v>#N/A</v>
      </c>
      <c r="P1000" s="4" t="e">
        <f t="shared" si="75"/>
        <v>#N/A</v>
      </c>
      <c r="Q1000" s="4" t="e">
        <f t="shared" si="76"/>
        <v>#N/A</v>
      </c>
      <c r="R1000" s="4" t="e">
        <f>IF(AND(B1000=1,N1000&gt;'Line Follower'!$C$7,SUM(C1000:K1000)&lt;4),1,0)</f>
        <v>#N/A</v>
      </c>
      <c r="S1000" s="4" t="e">
        <f>IF(AND(L1000=1,N1000&lt;'Line Follower'!$C$6,SUM(C1000:K1000)&lt;4),1,0)</f>
        <v>#N/A</v>
      </c>
      <c r="T1000" s="4" t="e">
        <f t="shared" si="77"/>
        <v>#N/A</v>
      </c>
      <c r="U1000" s="5" t="e">
        <f t="shared" si="78"/>
        <v>#N/A</v>
      </c>
      <c r="V1000" s="23" t="e">
        <f t="shared" si="79"/>
        <v>#N/A</v>
      </c>
    </row>
    <row r="1001" spans="2:22" x14ac:dyDescent="0.25">
      <c r="B1001" s="16">
        <v>0</v>
      </c>
      <c r="C1001" s="7">
        <v>1</v>
      </c>
      <c r="D1001" s="8">
        <v>1</v>
      </c>
      <c r="E1001" s="8">
        <v>0</v>
      </c>
      <c r="F1001" s="8">
        <v>0</v>
      </c>
      <c r="G1001" s="8">
        <v>1</v>
      </c>
      <c r="H1001" s="8">
        <v>1</v>
      </c>
      <c r="I1001" s="8">
        <v>1</v>
      </c>
      <c r="J1001" s="8">
        <v>1</v>
      </c>
      <c r="K1001" s="9">
        <v>1</v>
      </c>
      <c r="L1001" s="10">
        <v>0</v>
      </c>
      <c r="M1001" s="6">
        <v>0</v>
      </c>
      <c r="N1001" s="37" t="e" cm="1">
        <f t="array" ref="N1001">IF(OR(ISNUMBER(FIND(Aux!$D$3:$D$9,_xlfn.TEXTJOIN(,,C1001:K1001)))),NA(),IF(AND(SUM(C1001:F1001,H1001:K1001)=0,G1001=1),0,INT((SUMPRODUCT(C1001:F1001,COLUMN($A$1:$D$1)-1)+SUMPRODUCT(H1001:K1001,COLUMN($E$1:$H$1)-1))*'Line Follower'!$C$3/SUM(C1001:F1001,H1001:K1001)-'Line Follower'!$C$5)))</f>
        <v>#N/A</v>
      </c>
      <c r="O1001" s="22" t="e">
        <v>#N/A</v>
      </c>
      <c r="P1001" s="4" t="e">
        <f t="shared" si="75"/>
        <v>#N/A</v>
      </c>
      <c r="Q1001" s="4" t="e">
        <f t="shared" si="76"/>
        <v>#N/A</v>
      </c>
      <c r="R1001" s="4" t="e">
        <f>IF(AND(B1001=1,N1001&gt;'Line Follower'!$C$7,SUM(C1001:K1001)&lt;4),1,0)</f>
        <v>#N/A</v>
      </c>
      <c r="S1001" s="4" t="e">
        <f>IF(AND(L1001=1,N1001&lt;'Line Follower'!$C$6,SUM(C1001:K1001)&lt;4),1,0)</f>
        <v>#N/A</v>
      </c>
      <c r="T1001" s="4" t="e">
        <f t="shared" si="77"/>
        <v>#N/A</v>
      </c>
      <c r="U1001" s="5" t="e">
        <f t="shared" si="78"/>
        <v>#N/A</v>
      </c>
      <c r="V1001" s="23" t="e">
        <f t="shared" si="79"/>
        <v>#N/A</v>
      </c>
    </row>
    <row r="1002" spans="2:22" x14ac:dyDescent="0.25">
      <c r="B1002" s="16">
        <v>1</v>
      </c>
      <c r="C1002" s="7">
        <v>1</v>
      </c>
      <c r="D1002" s="8">
        <v>1</v>
      </c>
      <c r="E1002" s="8">
        <v>0</v>
      </c>
      <c r="F1002" s="8">
        <v>0</v>
      </c>
      <c r="G1002" s="8">
        <v>1</v>
      </c>
      <c r="H1002" s="8">
        <v>1</v>
      </c>
      <c r="I1002" s="8">
        <v>1</v>
      </c>
      <c r="J1002" s="8">
        <v>1</v>
      </c>
      <c r="K1002" s="9">
        <v>1</v>
      </c>
      <c r="L1002" s="10">
        <v>0</v>
      </c>
      <c r="M1002" s="6">
        <v>0</v>
      </c>
      <c r="N1002" s="37" t="e" cm="1">
        <f t="array" ref="N1002">IF(OR(ISNUMBER(FIND(Aux!$D$3:$D$9,_xlfn.TEXTJOIN(,,C1002:K1002)))),NA(),IF(AND(SUM(C1002:F1002,H1002:K1002)=0,G1002=1),0,INT((SUMPRODUCT(C1002:F1002,COLUMN($A$1:$D$1)-1)+SUMPRODUCT(H1002:K1002,COLUMN($E$1:$H$1)-1))*'Line Follower'!$C$3/SUM(C1002:F1002,H1002:K1002)-'Line Follower'!$C$5)))</f>
        <v>#N/A</v>
      </c>
      <c r="O1002" s="22" t="e">
        <v>#N/A</v>
      </c>
      <c r="P1002" s="4" t="e">
        <f t="shared" si="75"/>
        <v>#N/A</v>
      </c>
      <c r="Q1002" s="4" t="e">
        <f t="shared" si="76"/>
        <v>#N/A</v>
      </c>
      <c r="R1002" s="4" t="e">
        <f>IF(AND(B1002=1,N1002&gt;'Line Follower'!$C$7,SUM(C1002:K1002)&lt;4),1,0)</f>
        <v>#N/A</v>
      </c>
      <c r="S1002" s="4" t="e">
        <f>IF(AND(L1002=1,N1002&lt;'Line Follower'!$C$6,SUM(C1002:K1002)&lt;4),1,0)</f>
        <v>#N/A</v>
      </c>
      <c r="T1002" s="4" t="e">
        <f t="shared" si="77"/>
        <v>#N/A</v>
      </c>
      <c r="U1002" s="5" t="e">
        <f t="shared" si="78"/>
        <v>#N/A</v>
      </c>
      <c r="V1002" s="23" t="e">
        <f t="shared" si="79"/>
        <v>#N/A</v>
      </c>
    </row>
    <row r="1003" spans="2:22" x14ac:dyDescent="0.25">
      <c r="B1003" s="16">
        <v>0</v>
      </c>
      <c r="C1003" s="7">
        <v>0</v>
      </c>
      <c r="D1003" s="8">
        <v>0</v>
      </c>
      <c r="E1003" s="8">
        <v>1</v>
      </c>
      <c r="F1003" s="8">
        <v>0</v>
      </c>
      <c r="G1003" s="8">
        <v>1</v>
      </c>
      <c r="H1003" s="8">
        <v>1</v>
      </c>
      <c r="I1003" s="8">
        <v>1</v>
      </c>
      <c r="J1003" s="8">
        <v>1</v>
      </c>
      <c r="K1003" s="9">
        <v>1</v>
      </c>
      <c r="L1003" s="10">
        <v>0</v>
      </c>
      <c r="M1003" s="6">
        <v>0</v>
      </c>
      <c r="N1003" s="37" t="e" cm="1">
        <f t="array" ref="N1003">IF(OR(ISNUMBER(FIND(Aux!$D$3:$D$9,_xlfn.TEXTJOIN(,,C1003:K1003)))),NA(),IF(AND(SUM(C1003:F1003,H1003:K1003)=0,G1003=1),0,INT((SUMPRODUCT(C1003:F1003,COLUMN($A$1:$D$1)-1)+SUMPRODUCT(H1003:K1003,COLUMN($E$1:$H$1)-1))*'Line Follower'!$C$3/SUM(C1003:F1003,H1003:K1003)-'Line Follower'!$C$5)))</f>
        <v>#N/A</v>
      </c>
      <c r="O1003" s="22" t="e">
        <v>#N/A</v>
      </c>
      <c r="P1003" s="4" t="e">
        <f t="shared" si="75"/>
        <v>#N/A</v>
      </c>
      <c r="Q1003" s="4" t="e">
        <f t="shared" si="76"/>
        <v>#N/A</v>
      </c>
      <c r="R1003" s="4" t="e">
        <f>IF(AND(B1003=1,N1003&gt;'Line Follower'!$C$7,SUM(C1003:K1003)&lt;4),1,0)</f>
        <v>#N/A</v>
      </c>
      <c r="S1003" s="4" t="e">
        <f>IF(AND(L1003=1,N1003&lt;'Line Follower'!$C$6,SUM(C1003:K1003)&lt;4),1,0)</f>
        <v>#N/A</v>
      </c>
      <c r="T1003" s="4" t="e">
        <f t="shared" si="77"/>
        <v>#N/A</v>
      </c>
      <c r="U1003" s="5" t="e">
        <f t="shared" si="78"/>
        <v>#N/A</v>
      </c>
      <c r="V1003" s="23" t="e">
        <f t="shared" si="79"/>
        <v>#N/A</v>
      </c>
    </row>
    <row r="1004" spans="2:22" x14ac:dyDescent="0.25">
      <c r="B1004" s="16">
        <v>1</v>
      </c>
      <c r="C1004" s="7">
        <v>0</v>
      </c>
      <c r="D1004" s="8">
        <v>0</v>
      </c>
      <c r="E1004" s="8">
        <v>1</v>
      </c>
      <c r="F1004" s="8">
        <v>0</v>
      </c>
      <c r="G1004" s="8">
        <v>1</v>
      </c>
      <c r="H1004" s="8">
        <v>1</v>
      </c>
      <c r="I1004" s="8">
        <v>1</v>
      </c>
      <c r="J1004" s="8">
        <v>1</v>
      </c>
      <c r="K1004" s="9">
        <v>1</v>
      </c>
      <c r="L1004" s="10">
        <v>0</v>
      </c>
      <c r="M1004" s="6">
        <v>0</v>
      </c>
      <c r="N1004" s="37" t="e" cm="1">
        <f t="array" ref="N1004">IF(OR(ISNUMBER(FIND(Aux!$D$3:$D$9,_xlfn.TEXTJOIN(,,C1004:K1004)))),NA(),IF(AND(SUM(C1004:F1004,H1004:K1004)=0,G1004=1),0,INT((SUMPRODUCT(C1004:F1004,COLUMN($A$1:$D$1)-1)+SUMPRODUCT(H1004:K1004,COLUMN($E$1:$H$1)-1))*'Line Follower'!$C$3/SUM(C1004:F1004,H1004:K1004)-'Line Follower'!$C$5)))</f>
        <v>#N/A</v>
      </c>
      <c r="O1004" s="22" t="e">
        <v>#N/A</v>
      </c>
      <c r="P1004" s="4" t="e">
        <f t="shared" si="75"/>
        <v>#N/A</v>
      </c>
      <c r="Q1004" s="4" t="e">
        <f t="shared" si="76"/>
        <v>#N/A</v>
      </c>
      <c r="R1004" s="4" t="e">
        <f>IF(AND(B1004=1,N1004&gt;'Line Follower'!$C$7,SUM(C1004:K1004)&lt;4),1,0)</f>
        <v>#N/A</v>
      </c>
      <c r="S1004" s="4" t="e">
        <f>IF(AND(L1004=1,N1004&lt;'Line Follower'!$C$6,SUM(C1004:K1004)&lt;4),1,0)</f>
        <v>#N/A</v>
      </c>
      <c r="T1004" s="4" t="e">
        <f t="shared" si="77"/>
        <v>#N/A</v>
      </c>
      <c r="U1004" s="5" t="e">
        <f t="shared" si="78"/>
        <v>#N/A</v>
      </c>
      <c r="V1004" s="23" t="e">
        <f t="shared" si="79"/>
        <v>#N/A</v>
      </c>
    </row>
    <row r="1005" spans="2:22" x14ac:dyDescent="0.25">
      <c r="B1005" s="16">
        <v>0</v>
      </c>
      <c r="C1005" s="7">
        <v>1</v>
      </c>
      <c r="D1005" s="8">
        <v>0</v>
      </c>
      <c r="E1005" s="8">
        <v>1</v>
      </c>
      <c r="F1005" s="8">
        <v>0</v>
      </c>
      <c r="G1005" s="8">
        <v>1</v>
      </c>
      <c r="H1005" s="8">
        <v>1</v>
      </c>
      <c r="I1005" s="8">
        <v>1</v>
      </c>
      <c r="J1005" s="8">
        <v>1</v>
      </c>
      <c r="K1005" s="9">
        <v>1</v>
      </c>
      <c r="L1005" s="10">
        <v>0</v>
      </c>
      <c r="M1005" s="6">
        <v>0</v>
      </c>
      <c r="N1005" s="37" t="e" cm="1">
        <f t="array" ref="N1005">IF(OR(ISNUMBER(FIND(Aux!$D$3:$D$9,_xlfn.TEXTJOIN(,,C1005:K1005)))),NA(),IF(AND(SUM(C1005:F1005,H1005:K1005)=0,G1005=1),0,INT((SUMPRODUCT(C1005:F1005,COLUMN($A$1:$D$1)-1)+SUMPRODUCT(H1005:K1005,COLUMN($E$1:$H$1)-1))*'Line Follower'!$C$3/SUM(C1005:F1005,H1005:K1005)-'Line Follower'!$C$5)))</f>
        <v>#N/A</v>
      </c>
      <c r="O1005" s="22" t="e">
        <v>#N/A</v>
      </c>
      <c r="P1005" s="4" t="e">
        <f t="shared" si="75"/>
        <v>#N/A</v>
      </c>
      <c r="Q1005" s="4" t="e">
        <f t="shared" si="76"/>
        <v>#N/A</v>
      </c>
      <c r="R1005" s="4" t="e">
        <f>IF(AND(B1005=1,N1005&gt;'Line Follower'!$C$7,SUM(C1005:K1005)&lt;4),1,0)</f>
        <v>#N/A</v>
      </c>
      <c r="S1005" s="4" t="e">
        <f>IF(AND(L1005=1,N1005&lt;'Line Follower'!$C$6,SUM(C1005:K1005)&lt;4),1,0)</f>
        <v>#N/A</v>
      </c>
      <c r="T1005" s="4" t="e">
        <f t="shared" si="77"/>
        <v>#N/A</v>
      </c>
      <c r="U1005" s="5" t="e">
        <f t="shared" si="78"/>
        <v>#N/A</v>
      </c>
      <c r="V1005" s="23" t="e">
        <f t="shared" si="79"/>
        <v>#N/A</v>
      </c>
    </row>
    <row r="1006" spans="2:22" x14ac:dyDescent="0.25">
      <c r="B1006" s="16">
        <v>1</v>
      </c>
      <c r="C1006" s="7">
        <v>1</v>
      </c>
      <c r="D1006" s="8">
        <v>0</v>
      </c>
      <c r="E1006" s="8">
        <v>1</v>
      </c>
      <c r="F1006" s="8">
        <v>0</v>
      </c>
      <c r="G1006" s="8">
        <v>1</v>
      </c>
      <c r="H1006" s="8">
        <v>1</v>
      </c>
      <c r="I1006" s="8">
        <v>1</v>
      </c>
      <c r="J1006" s="8">
        <v>1</v>
      </c>
      <c r="K1006" s="9">
        <v>1</v>
      </c>
      <c r="L1006" s="10">
        <v>0</v>
      </c>
      <c r="M1006" s="6">
        <v>0</v>
      </c>
      <c r="N1006" s="37" t="e" cm="1">
        <f t="array" ref="N1006">IF(OR(ISNUMBER(FIND(Aux!$D$3:$D$9,_xlfn.TEXTJOIN(,,C1006:K1006)))),NA(),IF(AND(SUM(C1006:F1006,H1006:K1006)=0,G1006=1),0,INT((SUMPRODUCT(C1006:F1006,COLUMN($A$1:$D$1)-1)+SUMPRODUCT(H1006:K1006,COLUMN($E$1:$H$1)-1))*'Line Follower'!$C$3/SUM(C1006:F1006,H1006:K1006)-'Line Follower'!$C$5)))</f>
        <v>#N/A</v>
      </c>
      <c r="O1006" s="22" t="e">
        <v>#N/A</v>
      </c>
      <c r="P1006" s="4" t="e">
        <f t="shared" si="75"/>
        <v>#N/A</v>
      </c>
      <c r="Q1006" s="4" t="e">
        <f t="shared" si="76"/>
        <v>#N/A</v>
      </c>
      <c r="R1006" s="4" t="e">
        <f>IF(AND(B1006=1,N1006&gt;'Line Follower'!$C$7,SUM(C1006:K1006)&lt;4),1,0)</f>
        <v>#N/A</v>
      </c>
      <c r="S1006" s="4" t="e">
        <f>IF(AND(L1006=1,N1006&lt;'Line Follower'!$C$6,SUM(C1006:K1006)&lt;4),1,0)</f>
        <v>#N/A</v>
      </c>
      <c r="T1006" s="4" t="e">
        <f t="shared" si="77"/>
        <v>#N/A</v>
      </c>
      <c r="U1006" s="5" t="e">
        <f t="shared" si="78"/>
        <v>#N/A</v>
      </c>
      <c r="V1006" s="23" t="e">
        <f t="shared" si="79"/>
        <v>#N/A</v>
      </c>
    </row>
    <row r="1007" spans="2:22" x14ac:dyDescent="0.25">
      <c r="B1007" s="16">
        <v>0</v>
      </c>
      <c r="C1007" s="7">
        <v>0</v>
      </c>
      <c r="D1007" s="8">
        <v>1</v>
      </c>
      <c r="E1007" s="8">
        <v>1</v>
      </c>
      <c r="F1007" s="8">
        <v>0</v>
      </c>
      <c r="G1007" s="8">
        <v>1</v>
      </c>
      <c r="H1007" s="8">
        <v>1</v>
      </c>
      <c r="I1007" s="8">
        <v>1</v>
      </c>
      <c r="J1007" s="8">
        <v>1</v>
      </c>
      <c r="K1007" s="9">
        <v>1</v>
      </c>
      <c r="L1007" s="10">
        <v>0</v>
      </c>
      <c r="M1007" s="6">
        <v>0</v>
      </c>
      <c r="N1007" s="37" t="e" cm="1">
        <f t="array" ref="N1007">IF(OR(ISNUMBER(FIND(Aux!$D$3:$D$9,_xlfn.TEXTJOIN(,,C1007:K1007)))),NA(),IF(AND(SUM(C1007:F1007,H1007:K1007)=0,G1007=1),0,INT((SUMPRODUCT(C1007:F1007,COLUMN($A$1:$D$1)-1)+SUMPRODUCT(H1007:K1007,COLUMN($E$1:$H$1)-1))*'Line Follower'!$C$3/SUM(C1007:F1007,H1007:K1007)-'Line Follower'!$C$5)))</f>
        <v>#N/A</v>
      </c>
      <c r="O1007" s="22" t="e">
        <v>#N/A</v>
      </c>
      <c r="P1007" s="4" t="e">
        <f t="shared" si="75"/>
        <v>#N/A</v>
      </c>
      <c r="Q1007" s="4" t="e">
        <f t="shared" si="76"/>
        <v>#N/A</v>
      </c>
      <c r="R1007" s="4" t="e">
        <f>IF(AND(B1007=1,N1007&gt;'Line Follower'!$C$7,SUM(C1007:K1007)&lt;4),1,0)</f>
        <v>#N/A</v>
      </c>
      <c r="S1007" s="4" t="e">
        <f>IF(AND(L1007=1,N1007&lt;'Line Follower'!$C$6,SUM(C1007:K1007)&lt;4),1,0)</f>
        <v>#N/A</v>
      </c>
      <c r="T1007" s="4" t="e">
        <f t="shared" si="77"/>
        <v>#N/A</v>
      </c>
      <c r="U1007" s="5" t="e">
        <f t="shared" si="78"/>
        <v>#N/A</v>
      </c>
      <c r="V1007" s="23" t="e">
        <f t="shared" si="79"/>
        <v>#N/A</v>
      </c>
    </row>
    <row r="1008" spans="2:22" x14ac:dyDescent="0.25">
      <c r="B1008" s="16">
        <v>1</v>
      </c>
      <c r="C1008" s="7">
        <v>0</v>
      </c>
      <c r="D1008" s="8">
        <v>1</v>
      </c>
      <c r="E1008" s="8">
        <v>1</v>
      </c>
      <c r="F1008" s="8">
        <v>0</v>
      </c>
      <c r="G1008" s="8">
        <v>1</v>
      </c>
      <c r="H1008" s="8">
        <v>1</v>
      </c>
      <c r="I1008" s="8">
        <v>1</v>
      </c>
      <c r="J1008" s="8">
        <v>1</v>
      </c>
      <c r="K1008" s="9">
        <v>1</v>
      </c>
      <c r="L1008" s="10">
        <v>0</v>
      </c>
      <c r="M1008" s="6">
        <v>0</v>
      </c>
      <c r="N1008" s="37" t="e" cm="1">
        <f t="array" ref="N1008">IF(OR(ISNUMBER(FIND(Aux!$D$3:$D$9,_xlfn.TEXTJOIN(,,C1008:K1008)))),NA(),IF(AND(SUM(C1008:F1008,H1008:K1008)=0,G1008=1),0,INT((SUMPRODUCT(C1008:F1008,COLUMN($A$1:$D$1)-1)+SUMPRODUCT(H1008:K1008,COLUMN($E$1:$H$1)-1))*'Line Follower'!$C$3/SUM(C1008:F1008,H1008:K1008)-'Line Follower'!$C$5)))</f>
        <v>#N/A</v>
      </c>
      <c r="O1008" s="22" t="e">
        <v>#N/A</v>
      </c>
      <c r="P1008" s="4" t="e">
        <f t="shared" si="75"/>
        <v>#N/A</v>
      </c>
      <c r="Q1008" s="4" t="e">
        <f t="shared" si="76"/>
        <v>#N/A</v>
      </c>
      <c r="R1008" s="4" t="e">
        <f>IF(AND(B1008=1,N1008&gt;'Line Follower'!$C$7,SUM(C1008:K1008)&lt;4),1,0)</f>
        <v>#N/A</v>
      </c>
      <c r="S1008" s="4" t="e">
        <f>IF(AND(L1008=1,N1008&lt;'Line Follower'!$C$6,SUM(C1008:K1008)&lt;4),1,0)</f>
        <v>#N/A</v>
      </c>
      <c r="T1008" s="4" t="e">
        <f t="shared" si="77"/>
        <v>#N/A</v>
      </c>
      <c r="U1008" s="5" t="e">
        <f t="shared" si="78"/>
        <v>#N/A</v>
      </c>
      <c r="V1008" s="23" t="e">
        <f t="shared" si="79"/>
        <v>#N/A</v>
      </c>
    </row>
    <row r="1009" spans="2:22" x14ac:dyDescent="0.25">
      <c r="B1009" s="16">
        <v>0</v>
      </c>
      <c r="C1009" s="7">
        <v>1</v>
      </c>
      <c r="D1009" s="8">
        <v>1</v>
      </c>
      <c r="E1009" s="8">
        <v>1</v>
      </c>
      <c r="F1009" s="8">
        <v>0</v>
      </c>
      <c r="G1009" s="8">
        <v>1</v>
      </c>
      <c r="H1009" s="8">
        <v>1</v>
      </c>
      <c r="I1009" s="8">
        <v>1</v>
      </c>
      <c r="J1009" s="8">
        <v>1</v>
      </c>
      <c r="K1009" s="9">
        <v>1</v>
      </c>
      <c r="L1009" s="10">
        <v>0</v>
      </c>
      <c r="M1009" s="6">
        <v>0</v>
      </c>
      <c r="N1009" s="37" t="e" cm="1">
        <f t="array" ref="N1009">IF(OR(ISNUMBER(FIND(Aux!$D$3:$D$9,_xlfn.TEXTJOIN(,,C1009:K1009)))),NA(),IF(AND(SUM(C1009:F1009,H1009:K1009)=0,G1009=1),0,INT((SUMPRODUCT(C1009:F1009,COLUMN($A$1:$D$1)-1)+SUMPRODUCT(H1009:K1009,COLUMN($E$1:$H$1)-1))*'Line Follower'!$C$3/SUM(C1009:F1009,H1009:K1009)-'Line Follower'!$C$5)))</f>
        <v>#N/A</v>
      </c>
      <c r="O1009" s="22" t="e">
        <v>#N/A</v>
      </c>
      <c r="P1009" s="4" t="e">
        <f t="shared" si="75"/>
        <v>#N/A</v>
      </c>
      <c r="Q1009" s="4" t="e">
        <f t="shared" si="76"/>
        <v>#N/A</v>
      </c>
      <c r="R1009" s="4" t="e">
        <f>IF(AND(B1009=1,N1009&gt;'Line Follower'!$C$7,SUM(C1009:K1009)&lt;4),1,0)</f>
        <v>#N/A</v>
      </c>
      <c r="S1009" s="4" t="e">
        <f>IF(AND(L1009=1,N1009&lt;'Line Follower'!$C$6,SUM(C1009:K1009)&lt;4),1,0)</f>
        <v>#N/A</v>
      </c>
      <c r="T1009" s="4" t="e">
        <f t="shared" si="77"/>
        <v>#N/A</v>
      </c>
      <c r="U1009" s="5" t="e">
        <f t="shared" si="78"/>
        <v>#N/A</v>
      </c>
      <c r="V1009" s="23" t="e">
        <f t="shared" si="79"/>
        <v>#N/A</v>
      </c>
    </row>
    <row r="1010" spans="2:22" x14ac:dyDescent="0.25">
      <c r="B1010" s="16">
        <v>1</v>
      </c>
      <c r="C1010" s="7">
        <v>1</v>
      </c>
      <c r="D1010" s="8">
        <v>1</v>
      </c>
      <c r="E1010" s="8">
        <v>1</v>
      </c>
      <c r="F1010" s="8">
        <v>0</v>
      </c>
      <c r="G1010" s="8">
        <v>1</v>
      </c>
      <c r="H1010" s="8">
        <v>1</v>
      </c>
      <c r="I1010" s="8">
        <v>1</v>
      </c>
      <c r="J1010" s="8">
        <v>1</v>
      </c>
      <c r="K1010" s="9">
        <v>1</v>
      </c>
      <c r="L1010" s="10">
        <v>0</v>
      </c>
      <c r="M1010" s="6">
        <v>0</v>
      </c>
      <c r="N1010" s="37" t="e" cm="1">
        <f t="array" ref="N1010">IF(OR(ISNUMBER(FIND(Aux!$D$3:$D$9,_xlfn.TEXTJOIN(,,C1010:K1010)))),NA(),IF(AND(SUM(C1010:F1010,H1010:K1010)=0,G1010=1),0,INT((SUMPRODUCT(C1010:F1010,COLUMN($A$1:$D$1)-1)+SUMPRODUCT(H1010:K1010,COLUMN($E$1:$H$1)-1))*'Line Follower'!$C$3/SUM(C1010:F1010,H1010:K1010)-'Line Follower'!$C$5)))</f>
        <v>#N/A</v>
      </c>
      <c r="O1010" s="22" t="e">
        <v>#N/A</v>
      </c>
      <c r="P1010" s="4" t="e">
        <f t="shared" si="75"/>
        <v>#N/A</v>
      </c>
      <c r="Q1010" s="4" t="e">
        <f t="shared" si="76"/>
        <v>#N/A</v>
      </c>
      <c r="R1010" s="4" t="e">
        <f>IF(AND(B1010=1,N1010&gt;'Line Follower'!$C$7,SUM(C1010:K1010)&lt;4),1,0)</f>
        <v>#N/A</v>
      </c>
      <c r="S1010" s="4" t="e">
        <f>IF(AND(L1010=1,N1010&lt;'Line Follower'!$C$6,SUM(C1010:K1010)&lt;4),1,0)</f>
        <v>#N/A</v>
      </c>
      <c r="T1010" s="4" t="e">
        <f t="shared" si="77"/>
        <v>#N/A</v>
      </c>
      <c r="U1010" s="5" t="e">
        <f t="shared" si="78"/>
        <v>#N/A</v>
      </c>
      <c r="V1010" s="23" t="e">
        <f t="shared" si="79"/>
        <v>#N/A</v>
      </c>
    </row>
    <row r="1011" spans="2:22" x14ac:dyDescent="0.25">
      <c r="B1011" s="16">
        <v>0</v>
      </c>
      <c r="C1011" s="7">
        <v>0</v>
      </c>
      <c r="D1011" s="8">
        <v>0</v>
      </c>
      <c r="E1011" s="8">
        <v>0</v>
      </c>
      <c r="F1011" s="8">
        <v>1</v>
      </c>
      <c r="G1011" s="8">
        <v>1</v>
      </c>
      <c r="H1011" s="8">
        <v>1</v>
      </c>
      <c r="I1011" s="8">
        <v>1</v>
      </c>
      <c r="J1011" s="8">
        <v>1</v>
      </c>
      <c r="K1011" s="9">
        <v>1</v>
      </c>
      <c r="L1011" s="10">
        <v>0</v>
      </c>
      <c r="M1011" s="6">
        <v>0</v>
      </c>
      <c r="N1011" s="37" cm="1">
        <f t="array" ref="N1011">IF(OR(ISNUMBER(FIND(Aux!$D$3:$D$9,_xlfn.TEXTJOIN(,,C1011:K1011)))),NA(),IF(AND(SUM(C1011:F1011,H1011:K1011)=0,G1011=1),0,INT((SUMPRODUCT(C1011:F1011,COLUMN($A$1:$D$1)-1)+SUMPRODUCT(H1011:K1011,COLUMN($E$1:$H$1)-1))*'Line Follower'!$C$3/SUM(C1011:F1011,H1011:K1011)-'Line Follower'!$C$5)))</f>
        <v>3</v>
      </c>
      <c r="O1011" s="22">
        <v>1</v>
      </c>
      <c r="P1011" s="4">
        <f t="shared" si="75"/>
        <v>0</v>
      </c>
      <c r="Q1011" s="4">
        <f t="shared" si="76"/>
        <v>1</v>
      </c>
      <c r="R1011" s="4">
        <f>IF(AND(B1011=1,N1011&gt;'Line Follower'!$C$7,SUM(C1011:K1011)&lt;4),1,0)</f>
        <v>0</v>
      </c>
      <c r="S1011" s="4">
        <f>IF(AND(L1011=1,N1011&lt;'Line Follower'!$C$6,SUM(C1011:K1011)&lt;4),1,0)</f>
        <v>0</v>
      </c>
      <c r="T1011" s="4">
        <f t="shared" si="77"/>
        <v>0</v>
      </c>
      <c r="U1011" s="5">
        <f t="shared" si="78"/>
        <v>0</v>
      </c>
      <c r="V1011" s="23">
        <f t="shared" si="79"/>
        <v>0</v>
      </c>
    </row>
    <row r="1012" spans="2:22" x14ac:dyDescent="0.25">
      <c r="B1012" s="16">
        <v>1</v>
      </c>
      <c r="C1012" s="7">
        <v>0</v>
      </c>
      <c r="D1012" s="8">
        <v>0</v>
      </c>
      <c r="E1012" s="8">
        <v>0</v>
      </c>
      <c r="F1012" s="8">
        <v>1</v>
      </c>
      <c r="G1012" s="8">
        <v>1</v>
      </c>
      <c r="H1012" s="8">
        <v>1</v>
      </c>
      <c r="I1012" s="8">
        <v>1</v>
      </c>
      <c r="J1012" s="8">
        <v>1</v>
      </c>
      <c r="K1012" s="9">
        <v>1</v>
      </c>
      <c r="L1012" s="10">
        <v>0</v>
      </c>
      <c r="M1012" s="6">
        <v>0</v>
      </c>
      <c r="N1012" s="37" cm="1">
        <f t="array" ref="N1012">IF(OR(ISNUMBER(FIND(Aux!$D$3:$D$9,_xlfn.TEXTJOIN(,,C1012:K1012)))),NA(),IF(AND(SUM(C1012:F1012,H1012:K1012)=0,G1012=1),0,INT((SUMPRODUCT(C1012:F1012,COLUMN($A$1:$D$1)-1)+SUMPRODUCT(H1012:K1012,COLUMN($E$1:$H$1)-1))*'Line Follower'!$C$3/SUM(C1012:F1012,H1012:K1012)-'Line Follower'!$C$5)))</f>
        <v>3</v>
      </c>
      <c r="O1012" s="22">
        <v>1</v>
      </c>
      <c r="P1012" s="4">
        <f t="shared" si="75"/>
        <v>0</v>
      </c>
      <c r="Q1012" s="4">
        <f t="shared" si="76"/>
        <v>1</v>
      </c>
      <c r="R1012" s="4">
        <f>IF(AND(B1012=1,N1012&gt;'Line Follower'!$C$7,SUM(C1012:K1012)&lt;4),1,0)</f>
        <v>0</v>
      </c>
      <c r="S1012" s="4">
        <f>IF(AND(L1012=1,N1012&lt;'Line Follower'!$C$6,SUM(C1012:K1012)&lt;4),1,0)</f>
        <v>0</v>
      </c>
      <c r="T1012" s="4">
        <f t="shared" si="77"/>
        <v>0</v>
      </c>
      <c r="U1012" s="5">
        <f t="shared" si="78"/>
        <v>0</v>
      </c>
      <c r="V1012" s="23">
        <f t="shared" si="79"/>
        <v>0</v>
      </c>
    </row>
    <row r="1013" spans="2:22" x14ac:dyDescent="0.25">
      <c r="B1013" s="16">
        <v>0</v>
      </c>
      <c r="C1013" s="7">
        <v>1</v>
      </c>
      <c r="D1013" s="8">
        <v>0</v>
      </c>
      <c r="E1013" s="8">
        <v>0</v>
      </c>
      <c r="F1013" s="8">
        <v>1</v>
      </c>
      <c r="G1013" s="8">
        <v>1</v>
      </c>
      <c r="H1013" s="8">
        <v>1</v>
      </c>
      <c r="I1013" s="8">
        <v>1</v>
      </c>
      <c r="J1013" s="8">
        <v>1</v>
      </c>
      <c r="K1013" s="9">
        <v>1</v>
      </c>
      <c r="L1013" s="10">
        <v>0</v>
      </c>
      <c r="M1013" s="6">
        <v>0</v>
      </c>
      <c r="N1013" s="37" t="e" cm="1">
        <f t="array" ref="N1013">IF(OR(ISNUMBER(FIND(Aux!$D$3:$D$9,_xlfn.TEXTJOIN(,,C1013:K1013)))),NA(),IF(AND(SUM(C1013:F1013,H1013:K1013)=0,G1013=1),0,INT((SUMPRODUCT(C1013:F1013,COLUMN($A$1:$D$1)-1)+SUMPRODUCT(H1013:K1013,COLUMN($E$1:$H$1)-1))*'Line Follower'!$C$3/SUM(C1013:F1013,H1013:K1013)-'Line Follower'!$C$5)))</f>
        <v>#N/A</v>
      </c>
      <c r="O1013" s="22" t="e">
        <v>#N/A</v>
      </c>
      <c r="P1013" s="4" t="e">
        <f t="shared" si="75"/>
        <v>#N/A</v>
      </c>
      <c r="Q1013" s="4" t="e">
        <f t="shared" si="76"/>
        <v>#N/A</v>
      </c>
      <c r="R1013" s="4" t="e">
        <f>IF(AND(B1013=1,N1013&gt;'Line Follower'!$C$7,SUM(C1013:K1013)&lt;4),1,0)</f>
        <v>#N/A</v>
      </c>
      <c r="S1013" s="4" t="e">
        <f>IF(AND(L1013=1,N1013&lt;'Line Follower'!$C$6,SUM(C1013:K1013)&lt;4),1,0)</f>
        <v>#N/A</v>
      </c>
      <c r="T1013" s="4" t="e">
        <f t="shared" si="77"/>
        <v>#N/A</v>
      </c>
      <c r="U1013" s="5" t="e">
        <f t="shared" si="78"/>
        <v>#N/A</v>
      </c>
      <c r="V1013" s="23" t="e">
        <f t="shared" si="79"/>
        <v>#N/A</v>
      </c>
    </row>
    <row r="1014" spans="2:22" x14ac:dyDescent="0.25">
      <c r="B1014" s="16">
        <v>1</v>
      </c>
      <c r="C1014" s="7">
        <v>1</v>
      </c>
      <c r="D1014" s="8">
        <v>0</v>
      </c>
      <c r="E1014" s="8">
        <v>0</v>
      </c>
      <c r="F1014" s="8">
        <v>1</v>
      </c>
      <c r="G1014" s="8">
        <v>1</v>
      </c>
      <c r="H1014" s="8">
        <v>1</v>
      </c>
      <c r="I1014" s="8">
        <v>1</v>
      </c>
      <c r="J1014" s="8">
        <v>1</v>
      </c>
      <c r="K1014" s="9">
        <v>1</v>
      </c>
      <c r="L1014" s="10">
        <v>0</v>
      </c>
      <c r="M1014" s="6">
        <v>0</v>
      </c>
      <c r="N1014" s="37" t="e" cm="1">
        <f t="array" ref="N1014">IF(OR(ISNUMBER(FIND(Aux!$D$3:$D$9,_xlfn.TEXTJOIN(,,C1014:K1014)))),NA(),IF(AND(SUM(C1014:F1014,H1014:K1014)=0,G1014=1),0,INT((SUMPRODUCT(C1014:F1014,COLUMN($A$1:$D$1)-1)+SUMPRODUCT(H1014:K1014,COLUMN($E$1:$H$1)-1))*'Line Follower'!$C$3/SUM(C1014:F1014,H1014:K1014)-'Line Follower'!$C$5)))</f>
        <v>#N/A</v>
      </c>
      <c r="O1014" s="22" t="e">
        <v>#N/A</v>
      </c>
      <c r="P1014" s="4" t="e">
        <f t="shared" si="75"/>
        <v>#N/A</v>
      </c>
      <c r="Q1014" s="4" t="e">
        <f t="shared" si="76"/>
        <v>#N/A</v>
      </c>
      <c r="R1014" s="4" t="e">
        <f>IF(AND(B1014=1,N1014&gt;'Line Follower'!$C$7,SUM(C1014:K1014)&lt;4),1,0)</f>
        <v>#N/A</v>
      </c>
      <c r="S1014" s="4" t="e">
        <f>IF(AND(L1014=1,N1014&lt;'Line Follower'!$C$6,SUM(C1014:K1014)&lt;4),1,0)</f>
        <v>#N/A</v>
      </c>
      <c r="T1014" s="4" t="e">
        <f t="shared" si="77"/>
        <v>#N/A</v>
      </c>
      <c r="U1014" s="5" t="e">
        <f t="shared" si="78"/>
        <v>#N/A</v>
      </c>
      <c r="V1014" s="23" t="e">
        <f t="shared" si="79"/>
        <v>#N/A</v>
      </c>
    </row>
    <row r="1015" spans="2:22" x14ac:dyDescent="0.25">
      <c r="B1015" s="16">
        <v>0</v>
      </c>
      <c r="C1015" s="7">
        <v>0</v>
      </c>
      <c r="D1015" s="8">
        <v>1</v>
      </c>
      <c r="E1015" s="8">
        <v>0</v>
      </c>
      <c r="F1015" s="8">
        <v>1</v>
      </c>
      <c r="G1015" s="8">
        <v>1</v>
      </c>
      <c r="H1015" s="8">
        <v>1</v>
      </c>
      <c r="I1015" s="8">
        <v>1</v>
      </c>
      <c r="J1015" s="8">
        <v>1</v>
      </c>
      <c r="K1015" s="9">
        <v>1</v>
      </c>
      <c r="L1015" s="10">
        <v>0</v>
      </c>
      <c r="M1015" s="6">
        <v>0</v>
      </c>
      <c r="N1015" s="37" t="e" cm="1">
        <f t="array" ref="N1015">IF(OR(ISNUMBER(FIND(Aux!$D$3:$D$9,_xlfn.TEXTJOIN(,,C1015:K1015)))),NA(),IF(AND(SUM(C1015:F1015,H1015:K1015)=0,G1015=1),0,INT((SUMPRODUCT(C1015:F1015,COLUMN($A$1:$D$1)-1)+SUMPRODUCT(H1015:K1015,COLUMN($E$1:$H$1)-1))*'Line Follower'!$C$3/SUM(C1015:F1015,H1015:K1015)-'Line Follower'!$C$5)))</f>
        <v>#N/A</v>
      </c>
      <c r="O1015" s="22" t="e">
        <v>#N/A</v>
      </c>
      <c r="P1015" s="4" t="e">
        <f t="shared" si="75"/>
        <v>#N/A</v>
      </c>
      <c r="Q1015" s="4" t="e">
        <f t="shared" si="76"/>
        <v>#N/A</v>
      </c>
      <c r="R1015" s="4" t="e">
        <f>IF(AND(B1015=1,N1015&gt;'Line Follower'!$C$7,SUM(C1015:K1015)&lt;4),1,0)</f>
        <v>#N/A</v>
      </c>
      <c r="S1015" s="4" t="e">
        <f>IF(AND(L1015=1,N1015&lt;'Line Follower'!$C$6,SUM(C1015:K1015)&lt;4),1,0)</f>
        <v>#N/A</v>
      </c>
      <c r="T1015" s="4" t="e">
        <f t="shared" si="77"/>
        <v>#N/A</v>
      </c>
      <c r="U1015" s="5" t="e">
        <f t="shared" si="78"/>
        <v>#N/A</v>
      </c>
      <c r="V1015" s="23" t="e">
        <f t="shared" si="79"/>
        <v>#N/A</v>
      </c>
    </row>
    <row r="1016" spans="2:22" x14ac:dyDescent="0.25">
      <c r="B1016" s="16">
        <v>1</v>
      </c>
      <c r="C1016" s="7">
        <v>0</v>
      </c>
      <c r="D1016" s="8">
        <v>1</v>
      </c>
      <c r="E1016" s="8">
        <v>0</v>
      </c>
      <c r="F1016" s="8">
        <v>1</v>
      </c>
      <c r="G1016" s="8">
        <v>1</v>
      </c>
      <c r="H1016" s="8">
        <v>1</v>
      </c>
      <c r="I1016" s="8">
        <v>1</v>
      </c>
      <c r="J1016" s="8">
        <v>1</v>
      </c>
      <c r="K1016" s="9">
        <v>1</v>
      </c>
      <c r="L1016" s="10">
        <v>0</v>
      </c>
      <c r="M1016" s="6">
        <v>0</v>
      </c>
      <c r="N1016" s="37" t="e" cm="1">
        <f t="array" ref="N1016">IF(OR(ISNUMBER(FIND(Aux!$D$3:$D$9,_xlfn.TEXTJOIN(,,C1016:K1016)))),NA(),IF(AND(SUM(C1016:F1016,H1016:K1016)=0,G1016=1),0,INT((SUMPRODUCT(C1016:F1016,COLUMN($A$1:$D$1)-1)+SUMPRODUCT(H1016:K1016,COLUMN($E$1:$H$1)-1))*'Line Follower'!$C$3/SUM(C1016:F1016,H1016:K1016)-'Line Follower'!$C$5)))</f>
        <v>#N/A</v>
      </c>
      <c r="O1016" s="22" t="e">
        <v>#N/A</v>
      </c>
      <c r="P1016" s="4" t="e">
        <f t="shared" si="75"/>
        <v>#N/A</v>
      </c>
      <c r="Q1016" s="4" t="e">
        <f t="shared" si="76"/>
        <v>#N/A</v>
      </c>
      <c r="R1016" s="4" t="e">
        <f>IF(AND(B1016=1,N1016&gt;'Line Follower'!$C$7,SUM(C1016:K1016)&lt;4),1,0)</f>
        <v>#N/A</v>
      </c>
      <c r="S1016" s="4" t="e">
        <f>IF(AND(L1016=1,N1016&lt;'Line Follower'!$C$6,SUM(C1016:K1016)&lt;4),1,0)</f>
        <v>#N/A</v>
      </c>
      <c r="T1016" s="4" t="e">
        <f t="shared" si="77"/>
        <v>#N/A</v>
      </c>
      <c r="U1016" s="5" t="e">
        <f t="shared" si="78"/>
        <v>#N/A</v>
      </c>
      <c r="V1016" s="23" t="e">
        <f t="shared" si="79"/>
        <v>#N/A</v>
      </c>
    </row>
    <row r="1017" spans="2:22" x14ac:dyDescent="0.25">
      <c r="B1017" s="16">
        <v>0</v>
      </c>
      <c r="C1017" s="7">
        <v>1</v>
      </c>
      <c r="D1017" s="8">
        <v>1</v>
      </c>
      <c r="E1017" s="8">
        <v>0</v>
      </c>
      <c r="F1017" s="8">
        <v>1</v>
      </c>
      <c r="G1017" s="8">
        <v>1</v>
      </c>
      <c r="H1017" s="8">
        <v>1</v>
      </c>
      <c r="I1017" s="8">
        <v>1</v>
      </c>
      <c r="J1017" s="8">
        <v>1</v>
      </c>
      <c r="K1017" s="9">
        <v>1</v>
      </c>
      <c r="L1017" s="10">
        <v>0</v>
      </c>
      <c r="M1017" s="6">
        <v>0</v>
      </c>
      <c r="N1017" s="37" t="e" cm="1">
        <f t="array" ref="N1017">IF(OR(ISNUMBER(FIND(Aux!$D$3:$D$9,_xlfn.TEXTJOIN(,,C1017:K1017)))),NA(),IF(AND(SUM(C1017:F1017,H1017:K1017)=0,G1017=1),0,INT((SUMPRODUCT(C1017:F1017,COLUMN($A$1:$D$1)-1)+SUMPRODUCT(H1017:K1017,COLUMN($E$1:$H$1)-1))*'Line Follower'!$C$3/SUM(C1017:F1017,H1017:K1017)-'Line Follower'!$C$5)))</f>
        <v>#N/A</v>
      </c>
      <c r="O1017" s="22" t="e">
        <v>#N/A</v>
      </c>
      <c r="P1017" s="4" t="e">
        <f t="shared" si="75"/>
        <v>#N/A</v>
      </c>
      <c r="Q1017" s="4" t="e">
        <f t="shared" si="76"/>
        <v>#N/A</v>
      </c>
      <c r="R1017" s="4" t="e">
        <f>IF(AND(B1017=1,N1017&gt;'Line Follower'!$C$7,SUM(C1017:K1017)&lt;4),1,0)</f>
        <v>#N/A</v>
      </c>
      <c r="S1017" s="4" t="e">
        <f>IF(AND(L1017=1,N1017&lt;'Line Follower'!$C$6,SUM(C1017:K1017)&lt;4),1,0)</f>
        <v>#N/A</v>
      </c>
      <c r="T1017" s="4" t="e">
        <f t="shared" si="77"/>
        <v>#N/A</v>
      </c>
      <c r="U1017" s="5" t="e">
        <f t="shared" si="78"/>
        <v>#N/A</v>
      </c>
      <c r="V1017" s="23" t="e">
        <f t="shared" si="79"/>
        <v>#N/A</v>
      </c>
    </row>
    <row r="1018" spans="2:22" x14ac:dyDescent="0.25">
      <c r="B1018" s="16">
        <v>1</v>
      </c>
      <c r="C1018" s="7">
        <v>1</v>
      </c>
      <c r="D1018" s="8">
        <v>1</v>
      </c>
      <c r="E1018" s="8">
        <v>0</v>
      </c>
      <c r="F1018" s="8">
        <v>1</v>
      </c>
      <c r="G1018" s="8">
        <v>1</v>
      </c>
      <c r="H1018" s="8">
        <v>1</v>
      </c>
      <c r="I1018" s="8">
        <v>1</v>
      </c>
      <c r="J1018" s="8">
        <v>1</v>
      </c>
      <c r="K1018" s="9">
        <v>1</v>
      </c>
      <c r="L1018" s="10">
        <v>0</v>
      </c>
      <c r="M1018" s="6">
        <v>0</v>
      </c>
      <c r="N1018" s="37" t="e" cm="1">
        <f t="array" ref="N1018">IF(OR(ISNUMBER(FIND(Aux!$D$3:$D$9,_xlfn.TEXTJOIN(,,C1018:K1018)))),NA(),IF(AND(SUM(C1018:F1018,H1018:K1018)=0,G1018=1),0,INT((SUMPRODUCT(C1018:F1018,COLUMN($A$1:$D$1)-1)+SUMPRODUCT(H1018:K1018,COLUMN($E$1:$H$1)-1))*'Line Follower'!$C$3/SUM(C1018:F1018,H1018:K1018)-'Line Follower'!$C$5)))</f>
        <v>#N/A</v>
      </c>
      <c r="O1018" s="22" t="e">
        <v>#N/A</v>
      </c>
      <c r="P1018" s="4" t="e">
        <f t="shared" si="75"/>
        <v>#N/A</v>
      </c>
      <c r="Q1018" s="4" t="e">
        <f t="shared" si="76"/>
        <v>#N/A</v>
      </c>
      <c r="R1018" s="4" t="e">
        <f>IF(AND(B1018=1,N1018&gt;'Line Follower'!$C$7,SUM(C1018:K1018)&lt;4),1,0)</f>
        <v>#N/A</v>
      </c>
      <c r="S1018" s="4" t="e">
        <f>IF(AND(L1018=1,N1018&lt;'Line Follower'!$C$6,SUM(C1018:K1018)&lt;4),1,0)</f>
        <v>#N/A</v>
      </c>
      <c r="T1018" s="4" t="e">
        <f t="shared" si="77"/>
        <v>#N/A</v>
      </c>
      <c r="U1018" s="5" t="e">
        <f t="shared" si="78"/>
        <v>#N/A</v>
      </c>
      <c r="V1018" s="23" t="e">
        <f t="shared" si="79"/>
        <v>#N/A</v>
      </c>
    </row>
    <row r="1019" spans="2:22" x14ac:dyDescent="0.25">
      <c r="B1019" s="16">
        <v>0</v>
      </c>
      <c r="C1019" s="7">
        <v>0</v>
      </c>
      <c r="D1019" s="8">
        <v>0</v>
      </c>
      <c r="E1019" s="8">
        <v>1</v>
      </c>
      <c r="F1019" s="8">
        <v>1</v>
      </c>
      <c r="G1019" s="8">
        <v>1</v>
      </c>
      <c r="H1019" s="8">
        <v>1</v>
      </c>
      <c r="I1019" s="8">
        <v>1</v>
      </c>
      <c r="J1019" s="8">
        <v>1</v>
      </c>
      <c r="K1019" s="9">
        <v>1</v>
      </c>
      <c r="L1019" s="10">
        <v>0</v>
      </c>
      <c r="M1019" s="6">
        <v>0</v>
      </c>
      <c r="N1019" s="37" cm="1">
        <f t="array" ref="N1019">IF(OR(ISNUMBER(FIND(Aux!$D$3:$D$9,_xlfn.TEXTJOIN(,,C1019:K1019)))),NA(),IF(AND(SUM(C1019:F1019,H1019:K1019)=0,G1019=1),0,INT((SUMPRODUCT(C1019:F1019,COLUMN($A$1:$D$1)-1)+SUMPRODUCT(H1019:K1019,COLUMN($E$1:$H$1)-1))*'Line Follower'!$C$3/SUM(C1019:F1019,H1019:K1019)-'Line Follower'!$C$5)))</f>
        <v>2</v>
      </c>
      <c r="O1019" s="22">
        <v>1</v>
      </c>
      <c r="P1019" s="4">
        <f t="shared" si="75"/>
        <v>0</v>
      </c>
      <c r="Q1019" s="4">
        <f t="shared" si="76"/>
        <v>1</v>
      </c>
      <c r="R1019" s="4">
        <f>IF(AND(B1019=1,N1019&gt;'Line Follower'!$C$7,SUM(C1019:K1019)&lt;4),1,0)</f>
        <v>0</v>
      </c>
      <c r="S1019" s="4">
        <f>IF(AND(L1019=1,N1019&lt;'Line Follower'!$C$6,SUM(C1019:K1019)&lt;4),1,0)</f>
        <v>0</v>
      </c>
      <c r="T1019" s="4">
        <f t="shared" si="77"/>
        <v>0</v>
      </c>
      <c r="U1019" s="5">
        <f t="shared" si="78"/>
        <v>0</v>
      </c>
      <c r="V1019" s="23">
        <f t="shared" si="79"/>
        <v>0</v>
      </c>
    </row>
    <row r="1020" spans="2:22" x14ac:dyDescent="0.25">
      <c r="B1020" s="16">
        <v>1</v>
      </c>
      <c r="C1020" s="7">
        <v>0</v>
      </c>
      <c r="D1020" s="8">
        <v>0</v>
      </c>
      <c r="E1020" s="8">
        <v>1</v>
      </c>
      <c r="F1020" s="8">
        <v>1</v>
      </c>
      <c r="G1020" s="8">
        <v>1</v>
      </c>
      <c r="H1020" s="8">
        <v>1</v>
      </c>
      <c r="I1020" s="8">
        <v>1</v>
      </c>
      <c r="J1020" s="8">
        <v>1</v>
      </c>
      <c r="K1020" s="9">
        <v>1</v>
      </c>
      <c r="L1020" s="10">
        <v>0</v>
      </c>
      <c r="M1020" s="6">
        <v>0</v>
      </c>
      <c r="N1020" s="37" cm="1">
        <f t="array" ref="N1020">IF(OR(ISNUMBER(FIND(Aux!$D$3:$D$9,_xlfn.TEXTJOIN(,,C1020:K1020)))),NA(),IF(AND(SUM(C1020:F1020,H1020:K1020)=0,G1020=1),0,INT((SUMPRODUCT(C1020:F1020,COLUMN($A$1:$D$1)-1)+SUMPRODUCT(H1020:K1020,COLUMN($E$1:$H$1)-1))*'Line Follower'!$C$3/SUM(C1020:F1020,H1020:K1020)-'Line Follower'!$C$5)))</f>
        <v>2</v>
      </c>
      <c r="O1020" s="22">
        <v>1</v>
      </c>
      <c r="P1020" s="4">
        <f t="shared" si="75"/>
        <v>0</v>
      </c>
      <c r="Q1020" s="4">
        <f t="shared" si="76"/>
        <v>1</v>
      </c>
      <c r="R1020" s="4">
        <f>IF(AND(B1020=1,N1020&gt;'Line Follower'!$C$7,SUM(C1020:K1020)&lt;4),1,0)</f>
        <v>0</v>
      </c>
      <c r="S1020" s="4">
        <f>IF(AND(L1020=1,N1020&lt;'Line Follower'!$C$6,SUM(C1020:K1020)&lt;4),1,0)</f>
        <v>0</v>
      </c>
      <c r="T1020" s="4">
        <f t="shared" si="77"/>
        <v>0</v>
      </c>
      <c r="U1020" s="5">
        <f t="shared" si="78"/>
        <v>0</v>
      </c>
      <c r="V1020" s="23">
        <f t="shared" si="79"/>
        <v>0</v>
      </c>
    </row>
    <row r="1021" spans="2:22" x14ac:dyDescent="0.25">
      <c r="B1021" s="16">
        <v>0</v>
      </c>
      <c r="C1021" s="7">
        <v>1</v>
      </c>
      <c r="D1021" s="8">
        <v>0</v>
      </c>
      <c r="E1021" s="8">
        <v>1</v>
      </c>
      <c r="F1021" s="8">
        <v>1</v>
      </c>
      <c r="G1021" s="8">
        <v>1</v>
      </c>
      <c r="H1021" s="8">
        <v>1</v>
      </c>
      <c r="I1021" s="8">
        <v>1</v>
      </c>
      <c r="J1021" s="8">
        <v>1</v>
      </c>
      <c r="K1021" s="9">
        <v>1</v>
      </c>
      <c r="L1021" s="10">
        <v>0</v>
      </c>
      <c r="M1021" s="6">
        <v>0</v>
      </c>
      <c r="N1021" s="37" t="e" cm="1">
        <f t="array" ref="N1021">IF(OR(ISNUMBER(FIND(Aux!$D$3:$D$9,_xlfn.TEXTJOIN(,,C1021:K1021)))),NA(),IF(AND(SUM(C1021:F1021,H1021:K1021)=0,G1021=1),0,INT((SUMPRODUCT(C1021:F1021,COLUMN($A$1:$D$1)-1)+SUMPRODUCT(H1021:K1021,COLUMN($E$1:$H$1)-1))*'Line Follower'!$C$3/SUM(C1021:F1021,H1021:K1021)-'Line Follower'!$C$5)))</f>
        <v>#N/A</v>
      </c>
      <c r="O1021" s="22" t="e">
        <v>#N/A</v>
      </c>
      <c r="P1021" s="4" t="e">
        <f t="shared" si="75"/>
        <v>#N/A</v>
      </c>
      <c r="Q1021" s="4" t="e">
        <f t="shared" si="76"/>
        <v>#N/A</v>
      </c>
      <c r="R1021" s="4" t="e">
        <f>IF(AND(B1021=1,N1021&gt;'Line Follower'!$C$7,SUM(C1021:K1021)&lt;4),1,0)</f>
        <v>#N/A</v>
      </c>
      <c r="S1021" s="4" t="e">
        <f>IF(AND(L1021=1,N1021&lt;'Line Follower'!$C$6,SUM(C1021:K1021)&lt;4),1,0)</f>
        <v>#N/A</v>
      </c>
      <c r="T1021" s="4" t="e">
        <f t="shared" si="77"/>
        <v>#N/A</v>
      </c>
      <c r="U1021" s="5" t="e">
        <f t="shared" si="78"/>
        <v>#N/A</v>
      </c>
      <c r="V1021" s="23" t="e">
        <f t="shared" si="79"/>
        <v>#N/A</v>
      </c>
    </row>
    <row r="1022" spans="2:22" x14ac:dyDescent="0.25">
      <c r="B1022" s="16">
        <v>1</v>
      </c>
      <c r="C1022" s="7">
        <v>1</v>
      </c>
      <c r="D1022" s="8">
        <v>0</v>
      </c>
      <c r="E1022" s="8">
        <v>1</v>
      </c>
      <c r="F1022" s="8">
        <v>1</v>
      </c>
      <c r="G1022" s="8">
        <v>1</v>
      </c>
      <c r="H1022" s="8">
        <v>1</v>
      </c>
      <c r="I1022" s="8">
        <v>1</v>
      </c>
      <c r="J1022" s="8">
        <v>1</v>
      </c>
      <c r="K1022" s="9">
        <v>1</v>
      </c>
      <c r="L1022" s="10">
        <v>0</v>
      </c>
      <c r="M1022" s="6">
        <v>0</v>
      </c>
      <c r="N1022" s="37" t="e" cm="1">
        <f t="array" ref="N1022">IF(OR(ISNUMBER(FIND(Aux!$D$3:$D$9,_xlfn.TEXTJOIN(,,C1022:K1022)))),NA(),IF(AND(SUM(C1022:F1022,H1022:K1022)=0,G1022=1),0,INT((SUMPRODUCT(C1022:F1022,COLUMN($A$1:$D$1)-1)+SUMPRODUCT(H1022:K1022,COLUMN($E$1:$H$1)-1))*'Line Follower'!$C$3/SUM(C1022:F1022,H1022:K1022)-'Line Follower'!$C$5)))</f>
        <v>#N/A</v>
      </c>
      <c r="O1022" s="22" t="e">
        <v>#N/A</v>
      </c>
      <c r="P1022" s="4" t="e">
        <f t="shared" si="75"/>
        <v>#N/A</v>
      </c>
      <c r="Q1022" s="4" t="e">
        <f t="shared" si="76"/>
        <v>#N/A</v>
      </c>
      <c r="R1022" s="4" t="e">
        <f>IF(AND(B1022=1,N1022&gt;'Line Follower'!$C$7,SUM(C1022:K1022)&lt;4),1,0)</f>
        <v>#N/A</v>
      </c>
      <c r="S1022" s="4" t="e">
        <f>IF(AND(L1022=1,N1022&lt;'Line Follower'!$C$6,SUM(C1022:K1022)&lt;4),1,0)</f>
        <v>#N/A</v>
      </c>
      <c r="T1022" s="4" t="e">
        <f t="shared" si="77"/>
        <v>#N/A</v>
      </c>
      <c r="U1022" s="5" t="e">
        <f t="shared" si="78"/>
        <v>#N/A</v>
      </c>
      <c r="V1022" s="23" t="e">
        <f t="shared" si="79"/>
        <v>#N/A</v>
      </c>
    </row>
    <row r="1023" spans="2:22" x14ac:dyDescent="0.25">
      <c r="B1023" s="16">
        <v>0</v>
      </c>
      <c r="C1023" s="7">
        <v>0</v>
      </c>
      <c r="D1023" s="8">
        <v>1</v>
      </c>
      <c r="E1023" s="8">
        <v>1</v>
      </c>
      <c r="F1023" s="8">
        <v>1</v>
      </c>
      <c r="G1023" s="8">
        <v>1</v>
      </c>
      <c r="H1023" s="8">
        <v>1</v>
      </c>
      <c r="I1023" s="8">
        <v>1</v>
      </c>
      <c r="J1023" s="8">
        <v>1</v>
      </c>
      <c r="K1023" s="9">
        <v>1</v>
      </c>
      <c r="L1023" s="10">
        <v>0</v>
      </c>
      <c r="M1023" s="6">
        <v>0</v>
      </c>
      <c r="N1023" s="37" cm="1">
        <f t="array" ref="N1023">IF(OR(ISNUMBER(FIND(Aux!$D$3:$D$9,_xlfn.TEXTJOIN(,,C1023:K1023)))),NA(),IF(AND(SUM(C1023:F1023,H1023:K1023)=0,G1023=1),0,INT((SUMPRODUCT(C1023:F1023,COLUMN($A$1:$D$1)-1)+SUMPRODUCT(H1023:K1023,COLUMN($E$1:$H$1)-1))*'Line Follower'!$C$3/SUM(C1023:F1023,H1023:K1023)-'Line Follower'!$C$5)))</f>
        <v>1</v>
      </c>
      <c r="O1023" s="22">
        <v>1</v>
      </c>
      <c r="P1023" s="4">
        <f t="shared" si="75"/>
        <v>0</v>
      </c>
      <c r="Q1023" s="4">
        <f t="shared" si="76"/>
        <v>1</v>
      </c>
      <c r="R1023" s="4">
        <f>IF(AND(B1023=1,N1023&gt;'Line Follower'!$C$7,SUM(C1023:K1023)&lt;4),1,0)</f>
        <v>0</v>
      </c>
      <c r="S1023" s="4">
        <f>IF(AND(L1023=1,N1023&lt;'Line Follower'!$C$6,SUM(C1023:K1023)&lt;4),1,0)</f>
        <v>0</v>
      </c>
      <c r="T1023" s="4">
        <f t="shared" si="77"/>
        <v>0</v>
      </c>
      <c r="U1023" s="5">
        <f t="shared" si="78"/>
        <v>0</v>
      </c>
      <c r="V1023" s="23">
        <f t="shared" si="79"/>
        <v>0</v>
      </c>
    </row>
    <row r="1024" spans="2:22" x14ac:dyDescent="0.25">
      <c r="B1024" s="16">
        <v>1</v>
      </c>
      <c r="C1024" s="7">
        <v>0</v>
      </c>
      <c r="D1024" s="8">
        <v>1</v>
      </c>
      <c r="E1024" s="8">
        <v>1</v>
      </c>
      <c r="F1024" s="8">
        <v>1</v>
      </c>
      <c r="G1024" s="8">
        <v>1</v>
      </c>
      <c r="H1024" s="8">
        <v>1</v>
      </c>
      <c r="I1024" s="8">
        <v>1</v>
      </c>
      <c r="J1024" s="8">
        <v>1</v>
      </c>
      <c r="K1024" s="9">
        <v>1</v>
      </c>
      <c r="L1024" s="10">
        <v>0</v>
      </c>
      <c r="M1024" s="6">
        <v>0</v>
      </c>
      <c r="N1024" s="37" cm="1">
        <f t="array" ref="N1024">IF(OR(ISNUMBER(FIND(Aux!$D$3:$D$9,_xlfn.TEXTJOIN(,,C1024:K1024)))),NA(),IF(AND(SUM(C1024:F1024,H1024:K1024)=0,G1024=1),0,INT((SUMPRODUCT(C1024:F1024,COLUMN($A$1:$D$1)-1)+SUMPRODUCT(H1024:K1024,COLUMN($E$1:$H$1)-1))*'Line Follower'!$C$3/SUM(C1024:F1024,H1024:K1024)-'Line Follower'!$C$5)))</f>
        <v>1</v>
      </c>
      <c r="O1024" s="22">
        <v>1</v>
      </c>
      <c r="P1024" s="4">
        <f t="shared" si="75"/>
        <v>0</v>
      </c>
      <c r="Q1024" s="4">
        <f t="shared" si="76"/>
        <v>1</v>
      </c>
      <c r="R1024" s="4">
        <f>IF(AND(B1024=1,N1024&gt;'Line Follower'!$C$7,SUM(C1024:K1024)&lt;4),1,0)</f>
        <v>0</v>
      </c>
      <c r="S1024" s="4">
        <f>IF(AND(L1024=1,N1024&lt;'Line Follower'!$C$6,SUM(C1024:K1024)&lt;4),1,0)</f>
        <v>0</v>
      </c>
      <c r="T1024" s="4">
        <f t="shared" si="77"/>
        <v>0</v>
      </c>
      <c r="U1024" s="5">
        <f t="shared" si="78"/>
        <v>0</v>
      </c>
      <c r="V1024" s="23">
        <f t="shared" si="79"/>
        <v>0</v>
      </c>
    </row>
    <row r="1025" spans="2:22" x14ac:dyDescent="0.25">
      <c r="B1025" s="16">
        <v>0</v>
      </c>
      <c r="C1025" s="7">
        <v>1</v>
      </c>
      <c r="D1025" s="8">
        <v>1</v>
      </c>
      <c r="E1025" s="8">
        <v>1</v>
      </c>
      <c r="F1025" s="8">
        <v>1</v>
      </c>
      <c r="G1025" s="8">
        <v>1</v>
      </c>
      <c r="H1025" s="8">
        <v>1</v>
      </c>
      <c r="I1025" s="8">
        <v>1</v>
      </c>
      <c r="J1025" s="8">
        <v>1</v>
      </c>
      <c r="K1025" s="9">
        <v>1</v>
      </c>
      <c r="L1025" s="10">
        <v>0</v>
      </c>
      <c r="M1025" s="6">
        <v>0</v>
      </c>
      <c r="N1025" s="37" cm="1">
        <f t="array" ref="N1025">IF(OR(ISNUMBER(FIND(Aux!$D$3:$D$9,_xlfn.TEXTJOIN(,,C1025:K1025)))),NA(),IF(AND(SUM(C1025:F1025,H1025:K1025)=0,G1025=1),0,INT((SUMPRODUCT(C1025:F1025,COLUMN($A$1:$D$1)-1)+SUMPRODUCT(H1025:K1025,COLUMN($E$1:$H$1)-1))*'Line Follower'!$C$3/SUM(C1025:F1025,H1025:K1025)-'Line Follower'!$C$5)))</f>
        <v>0</v>
      </c>
      <c r="O1025" s="22">
        <v>1</v>
      </c>
      <c r="P1025" s="4">
        <f t="shared" si="75"/>
        <v>0</v>
      </c>
      <c r="Q1025" s="4">
        <f t="shared" si="76"/>
        <v>1</v>
      </c>
      <c r="R1025" s="4">
        <f>IF(AND(B1025=1,N1025&gt;'Line Follower'!$C$7,SUM(C1025:K1025)&lt;4),1,0)</f>
        <v>0</v>
      </c>
      <c r="S1025" s="4">
        <f>IF(AND(L1025=1,N1025&lt;'Line Follower'!$C$6,SUM(C1025:K1025)&lt;4),1,0)</f>
        <v>0</v>
      </c>
      <c r="T1025" s="4">
        <f t="shared" si="77"/>
        <v>0</v>
      </c>
      <c r="U1025" s="5">
        <f t="shared" si="78"/>
        <v>0</v>
      </c>
      <c r="V1025" s="23">
        <f t="shared" si="79"/>
        <v>0</v>
      </c>
    </row>
    <row r="1026" spans="2:22" x14ac:dyDescent="0.25">
      <c r="B1026" s="16">
        <v>1</v>
      </c>
      <c r="C1026" s="7">
        <v>1</v>
      </c>
      <c r="D1026" s="8">
        <v>1</v>
      </c>
      <c r="E1026" s="8">
        <v>1</v>
      </c>
      <c r="F1026" s="8">
        <v>1</v>
      </c>
      <c r="G1026" s="8">
        <v>1</v>
      </c>
      <c r="H1026" s="8">
        <v>1</v>
      </c>
      <c r="I1026" s="8">
        <v>1</v>
      </c>
      <c r="J1026" s="8">
        <v>1</v>
      </c>
      <c r="K1026" s="9">
        <v>1</v>
      </c>
      <c r="L1026" s="10">
        <v>0</v>
      </c>
      <c r="M1026" s="6">
        <v>0</v>
      </c>
      <c r="N1026" s="37" cm="1">
        <f t="array" ref="N1026">IF(OR(ISNUMBER(FIND(Aux!$D$3:$D$9,_xlfn.TEXTJOIN(,,C1026:K1026)))),NA(),IF(AND(SUM(C1026:F1026,H1026:K1026)=0,G1026=1),0,INT((SUMPRODUCT(C1026:F1026,COLUMN($A$1:$D$1)-1)+SUMPRODUCT(H1026:K1026,COLUMN($E$1:$H$1)-1))*'Line Follower'!$C$3/SUM(C1026:F1026,H1026:K1026)-'Line Follower'!$C$5)))</f>
        <v>0</v>
      </c>
      <c r="O1026" s="22">
        <v>1</v>
      </c>
      <c r="P1026" s="4">
        <f t="shared" si="75"/>
        <v>0</v>
      </c>
      <c r="Q1026" s="4">
        <f t="shared" si="76"/>
        <v>1</v>
      </c>
      <c r="R1026" s="4">
        <f>IF(AND(B1026=1,N1026&gt;'Line Follower'!$C$7,SUM(C1026:K1026)&lt;4),1,0)</f>
        <v>0</v>
      </c>
      <c r="S1026" s="4">
        <f>IF(AND(L1026=1,N1026&lt;'Line Follower'!$C$6,SUM(C1026:K1026)&lt;4),1,0)</f>
        <v>0</v>
      </c>
      <c r="T1026" s="4">
        <f t="shared" si="77"/>
        <v>0</v>
      </c>
      <c r="U1026" s="5">
        <f t="shared" si="78"/>
        <v>0</v>
      </c>
      <c r="V1026" s="23">
        <f t="shared" si="79"/>
        <v>0</v>
      </c>
    </row>
    <row r="1027" spans="2:22" x14ac:dyDescent="0.25">
      <c r="B1027" s="16">
        <v>0</v>
      </c>
      <c r="C1027" s="7">
        <v>0</v>
      </c>
      <c r="D1027" s="8">
        <v>0</v>
      </c>
      <c r="E1027" s="8">
        <v>0</v>
      </c>
      <c r="F1027" s="8">
        <v>0</v>
      </c>
      <c r="G1027" s="8">
        <v>0</v>
      </c>
      <c r="H1027" s="8">
        <v>0</v>
      </c>
      <c r="I1027" s="8">
        <v>0</v>
      </c>
      <c r="J1027" s="8">
        <v>0</v>
      </c>
      <c r="K1027" s="9">
        <v>0</v>
      </c>
      <c r="L1027" s="10">
        <v>1</v>
      </c>
      <c r="M1027" s="6">
        <v>0</v>
      </c>
      <c r="N1027" s="37" t="e" cm="1">
        <f t="array" ref="N1027">IF(OR(ISNUMBER(FIND(Aux!$D$3:$D$9,_xlfn.TEXTJOIN(,,C1027:K1027)))),NA(),IF(AND(SUM(C1027:F1027,H1027:K1027)=0,G1027=1),0,INT((SUMPRODUCT(C1027:F1027,COLUMN($A$1:$D$1)-1)+SUMPRODUCT(H1027:K1027,COLUMN($E$1:$H$1)-1))*'Line Follower'!$C$3/SUM(C1027:F1027,H1027:K1027)-'Line Follower'!$C$5)))</f>
        <v>#DIV/0!</v>
      </c>
      <c r="O1027" s="22" t="e">
        <v>#DIV/0!</v>
      </c>
      <c r="P1027" s="4" t="e">
        <f t="shared" ref="P1027:P1090" si="80">IF(AND(N1027=0,G1027=1,M1027=1),1,0)</f>
        <v>#DIV/0!</v>
      </c>
      <c r="Q1027" s="4" t="e">
        <f t="shared" ref="Q1027:Q1090" si="81">IF(ISERROR(N1027),N1027,IF(SUM(C1027:K1027)&gt;=4,1,0))</f>
        <v>#DIV/0!</v>
      </c>
      <c r="R1027" s="4" t="e">
        <f>IF(AND(B1027=1,N1027&gt;'Line Follower'!$C$7,SUM(C1027:K1027)&lt;4),1,0)</f>
        <v>#DIV/0!</v>
      </c>
      <c r="S1027" s="4" t="e">
        <f>IF(AND(L1027=1,N1027&lt;'Line Follower'!$C$6,SUM(C1027:K1027)&lt;4),1,0)</f>
        <v>#DIV/0!</v>
      </c>
      <c r="T1027" s="4">
        <f t="shared" si="77"/>
        <v>0</v>
      </c>
      <c r="U1027" s="5">
        <f t="shared" si="78"/>
        <v>1</v>
      </c>
      <c r="V1027" s="23">
        <f t="shared" si="79"/>
        <v>0</v>
      </c>
    </row>
    <row r="1028" spans="2:22" x14ac:dyDescent="0.25">
      <c r="B1028" s="16">
        <v>1</v>
      </c>
      <c r="C1028" s="7">
        <v>0</v>
      </c>
      <c r="D1028" s="8">
        <v>0</v>
      </c>
      <c r="E1028" s="8">
        <v>0</v>
      </c>
      <c r="F1028" s="8">
        <v>0</v>
      </c>
      <c r="G1028" s="8">
        <v>0</v>
      </c>
      <c r="H1028" s="8">
        <v>0</v>
      </c>
      <c r="I1028" s="8">
        <v>0</v>
      </c>
      <c r="J1028" s="8">
        <v>0</v>
      </c>
      <c r="K1028" s="9">
        <v>0</v>
      </c>
      <c r="L1028" s="10">
        <v>1</v>
      </c>
      <c r="M1028" s="6">
        <v>0</v>
      </c>
      <c r="N1028" s="37" t="e" cm="1">
        <f t="array" ref="N1028">IF(OR(ISNUMBER(FIND(Aux!$D$3:$D$9,_xlfn.TEXTJOIN(,,C1028:K1028)))),NA(),IF(AND(SUM(C1028:F1028,H1028:K1028)=0,G1028=1),0,INT((SUMPRODUCT(C1028:F1028,COLUMN($A$1:$D$1)-1)+SUMPRODUCT(H1028:K1028,COLUMN($E$1:$H$1)-1))*'Line Follower'!$C$3/SUM(C1028:F1028,H1028:K1028)-'Line Follower'!$C$5)))</f>
        <v>#DIV/0!</v>
      </c>
      <c r="O1028" s="22" t="e">
        <v>#DIV/0!</v>
      </c>
      <c r="P1028" s="4" t="e">
        <f t="shared" si="80"/>
        <v>#DIV/0!</v>
      </c>
      <c r="Q1028" s="4" t="e">
        <f t="shared" si="81"/>
        <v>#DIV/0!</v>
      </c>
      <c r="R1028" s="4" t="e">
        <f>IF(AND(B1028=1,N1028&gt;'Line Follower'!$C$7,SUM(C1028:K1028)&lt;4),1,0)</f>
        <v>#DIV/0!</v>
      </c>
      <c r="S1028" s="4" t="e">
        <f>IF(AND(L1028=1,N1028&lt;'Line Follower'!$C$6,SUM(C1028:K1028)&lt;4),1,0)</f>
        <v>#DIV/0!</v>
      </c>
      <c r="T1028" s="4">
        <f t="shared" ref="T1028:T1091" si="82">IF(ISNA(N1028),NA(),IF(SUM(C1028:L1028)=0,1,0))</f>
        <v>0</v>
      </c>
      <c r="U1028" s="5">
        <f t="shared" ref="U1028:U1091" si="83">IF(ISNA(N1028),NA(),IF(SUM(B1028:K1028)=0,1,0))</f>
        <v>0</v>
      </c>
      <c r="V1028" s="23">
        <f t="shared" ref="V1028:V1091" si="84">IF(ISNA(N1028),NA(),IF(SUM(B1028:L1028)=0,1,0))</f>
        <v>0</v>
      </c>
    </row>
    <row r="1029" spans="2:22" x14ac:dyDescent="0.25">
      <c r="B1029" s="16">
        <v>0</v>
      </c>
      <c r="C1029" s="7">
        <v>1</v>
      </c>
      <c r="D1029" s="8">
        <v>0</v>
      </c>
      <c r="E1029" s="8">
        <v>0</v>
      </c>
      <c r="F1029" s="8">
        <v>0</v>
      </c>
      <c r="G1029" s="8">
        <v>0</v>
      </c>
      <c r="H1029" s="8">
        <v>0</v>
      </c>
      <c r="I1029" s="8">
        <v>0</v>
      </c>
      <c r="J1029" s="8">
        <v>0</v>
      </c>
      <c r="K1029" s="9">
        <v>0</v>
      </c>
      <c r="L1029" s="10">
        <v>1</v>
      </c>
      <c r="M1029" s="6">
        <v>0</v>
      </c>
      <c r="N1029" s="37" cm="1">
        <f t="array" ref="N1029">IF(OR(ISNUMBER(FIND(Aux!$D$3:$D$9,_xlfn.TEXTJOIN(,,C1029:K1029)))),NA(),IF(AND(SUM(C1029:F1029,H1029:K1029)=0,G1029=1),0,INT((SUMPRODUCT(C1029:F1029,COLUMN($A$1:$D$1)-1)+SUMPRODUCT(H1029:K1029,COLUMN($E$1:$H$1)-1))*'Line Follower'!$C$3/SUM(C1029:F1029,H1029:K1029)-'Line Follower'!$C$5)))</f>
        <v>-7</v>
      </c>
      <c r="O1029" s="22">
        <v>1</v>
      </c>
      <c r="P1029" s="4">
        <f t="shared" si="80"/>
        <v>0</v>
      </c>
      <c r="Q1029" s="4">
        <f t="shared" si="81"/>
        <v>0</v>
      </c>
      <c r="R1029" s="4">
        <f>IF(AND(B1029=1,N1029&gt;'Line Follower'!$C$7,SUM(C1029:K1029)&lt;4),1,0)</f>
        <v>0</v>
      </c>
      <c r="S1029" s="4">
        <f>IF(AND(L1029=1,N1029&lt;'Line Follower'!$C$6,SUM(C1029:K1029)&lt;4),1,0)</f>
        <v>1</v>
      </c>
      <c r="T1029" s="4">
        <f t="shared" si="82"/>
        <v>0</v>
      </c>
      <c r="U1029" s="5">
        <f t="shared" si="83"/>
        <v>0</v>
      </c>
      <c r="V1029" s="23">
        <f t="shared" si="84"/>
        <v>0</v>
      </c>
    </row>
    <row r="1030" spans="2:22" x14ac:dyDescent="0.25">
      <c r="B1030" s="16">
        <v>1</v>
      </c>
      <c r="C1030" s="7">
        <v>1</v>
      </c>
      <c r="D1030" s="8">
        <v>0</v>
      </c>
      <c r="E1030" s="8">
        <v>0</v>
      </c>
      <c r="F1030" s="8">
        <v>0</v>
      </c>
      <c r="G1030" s="8">
        <v>0</v>
      </c>
      <c r="H1030" s="8">
        <v>0</v>
      </c>
      <c r="I1030" s="8">
        <v>0</v>
      </c>
      <c r="J1030" s="8">
        <v>0</v>
      </c>
      <c r="K1030" s="9">
        <v>0</v>
      </c>
      <c r="L1030" s="10">
        <v>1</v>
      </c>
      <c r="M1030" s="6">
        <v>0</v>
      </c>
      <c r="N1030" s="37" cm="1">
        <f t="array" ref="N1030">IF(OR(ISNUMBER(FIND(Aux!$D$3:$D$9,_xlfn.TEXTJOIN(,,C1030:K1030)))),NA(),IF(AND(SUM(C1030:F1030,H1030:K1030)=0,G1030=1),0,INT((SUMPRODUCT(C1030:F1030,COLUMN($A$1:$D$1)-1)+SUMPRODUCT(H1030:K1030,COLUMN($E$1:$H$1)-1))*'Line Follower'!$C$3/SUM(C1030:F1030,H1030:K1030)-'Line Follower'!$C$5)))</f>
        <v>-7</v>
      </c>
      <c r="O1030" s="22">
        <v>1</v>
      </c>
      <c r="P1030" s="4">
        <f t="shared" si="80"/>
        <v>0</v>
      </c>
      <c r="Q1030" s="4">
        <f t="shared" si="81"/>
        <v>0</v>
      </c>
      <c r="R1030" s="4">
        <f>IF(AND(B1030=1,N1030&gt;'Line Follower'!$C$7,SUM(C1030:K1030)&lt;4),1,0)</f>
        <v>0</v>
      </c>
      <c r="S1030" s="4">
        <f>IF(AND(L1030=1,N1030&lt;'Line Follower'!$C$6,SUM(C1030:K1030)&lt;4),1,0)</f>
        <v>1</v>
      </c>
      <c r="T1030" s="4">
        <f t="shared" si="82"/>
        <v>0</v>
      </c>
      <c r="U1030" s="5">
        <f t="shared" si="83"/>
        <v>0</v>
      </c>
      <c r="V1030" s="23">
        <f t="shared" si="84"/>
        <v>0</v>
      </c>
    </row>
    <row r="1031" spans="2:22" x14ac:dyDescent="0.25">
      <c r="B1031" s="16">
        <v>0</v>
      </c>
      <c r="C1031" s="7">
        <v>0</v>
      </c>
      <c r="D1031" s="8">
        <v>1</v>
      </c>
      <c r="E1031" s="8">
        <v>0</v>
      </c>
      <c r="F1031" s="8">
        <v>0</v>
      </c>
      <c r="G1031" s="8">
        <v>0</v>
      </c>
      <c r="H1031" s="8">
        <v>0</v>
      </c>
      <c r="I1031" s="8">
        <v>0</v>
      </c>
      <c r="J1031" s="8">
        <v>0</v>
      </c>
      <c r="K1031" s="9">
        <v>0</v>
      </c>
      <c r="L1031" s="10">
        <v>1</v>
      </c>
      <c r="M1031" s="6">
        <v>0</v>
      </c>
      <c r="N1031" s="37" cm="1">
        <f t="array" ref="N1031">IF(OR(ISNUMBER(FIND(Aux!$D$3:$D$9,_xlfn.TEXTJOIN(,,C1031:K1031)))),NA(),IF(AND(SUM(C1031:F1031,H1031:K1031)=0,G1031=1),0,INT((SUMPRODUCT(C1031:F1031,COLUMN($A$1:$D$1)-1)+SUMPRODUCT(H1031:K1031,COLUMN($E$1:$H$1)-1))*'Line Follower'!$C$3/SUM(C1031:F1031,H1031:K1031)-'Line Follower'!$C$5)))</f>
        <v>-5</v>
      </c>
      <c r="O1031" s="22">
        <v>1</v>
      </c>
      <c r="P1031" s="4">
        <f t="shared" si="80"/>
        <v>0</v>
      </c>
      <c r="Q1031" s="4">
        <f t="shared" si="81"/>
        <v>0</v>
      </c>
      <c r="R1031" s="4">
        <f>IF(AND(B1031=1,N1031&gt;'Line Follower'!$C$7,SUM(C1031:K1031)&lt;4),1,0)</f>
        <v>0</v>
      </c>
      <c r="S1031" s="4">
        <f>IF(AND(L1031=1,N1031&lt;'Line Follower'!$C$6,SUM(C1031:K1031)&lt;4),1,0)</f>
        <v>1</v>
      </c>
      <c r="T1031" s="4">
        <f t="shared" si="82"/>
        <v>0</v>
      </c>
      <c r="U1031" s="5">
        <f t="shared" si="83"/>
        <v>0</v>
      </c>
      <c r="V1031" s="23">
        <f t="shared" si="84"/>
        <v>0</v>
      </c>
    </row>
    <row r="1032" spans="2:22" x14ac:dyDescent="0.25">
      <c r="B1032" s="16">
        <v>1</v>
      </c>
      <c r="C1032" s="7">
        <v>0</v>
      </c>
      <c r="D1032" s="8">
        <v>1</v>
      </c>
      <c r="E1032" s="8">
        <v>0</v>
      </c>
      <c r="F1032" s="8">
        <v>0</v>
      </c>
      <c r="G1032" s="8">
        <v>0</v>
      </c>
      <c r="H1032" s="8">
        <v>0</v>
      </c>
      <c r="I1032" s="8">
        <v>0</v>
      </c>
      <c r="J1032" s="8">
        <v>0</v>
      </c>
      <c r="K1032" s="9">
        <v>0</v>
      </c>
      <c r="L1032" s="10">
        <v>1</v>
      </c>
      <c r="M1032" s="6">
        <v>0</v>
      </c>
      <c r="N1032" s="37" cm="1">
        <f t="array" ref="N1032">IF(OR(ISNUMBER(FIND(Aux!$D$3:$D$9,_xlfn.TEXTJOIN(,,C1032:K1032)))),NA(),IF(AND(SUM(C1032:F1032,H1032:K1032)=0,G1032=1),0,INT((SUMPRODUCT(C1032:F1032,COLUMN($A$1:$D$1)-1)+SUMPRODUCT(H1032:K1032,COLUMN($E$1:$H$1)-1))*'Line Follower'!$C$3/SUM(C1032:F1032,H1032:K1032)-'Line Follower'!$C$5)))</f>
        <v>-5</v>
      </c>
      <c r="O1032" s="22">
        <v>1</v>
      </c>
      <c r="P1032" s="4">
        <f t="shared" si="80"/>
        <v>0</v>
      </c>
      <c r="Q1032" s="4">
        <f t="shared" si="81"/>
        <v>0</v>
      </c>
      <c r="R1032" s="4">
        <f>IF(AND(B1032=1,N1032&gt;'Line Follower'!$C$7,SUM(C1032:K1032)&lt;4),1,0)</f>
        <v>1</v>
      </c>
      <c r="S1032" s="4">
        <f>IF(AND(L1032=1,N1032&lt;'Line Follower'!$C$6,SUM(C1032:K1032)&lt;4),1,0)</f>
        <v>1</v>
      </c>
      <c r="T1032" s="4">
        <f t="shared" si="82"/>
        <v>0</v>
      </c>
      <c r="U1032" s="5">
        <f t="shared" si="83"/>
        <v>0</v>
      </c>
      <c r="V1032" s="23">
        <f t="shared" si="84"/>
        <v>0</v>
      </c>
    </row>
    <row r="1033" spans="2:22" x14ac:dyDescent="0.25">
      <c r="B1033" s="16">
        <v>0</v>
      </c>
      <c r="C1033" s="7">
        <v>1</v>
      </c>
      <c r="D1033" s="8">
        <v>1</v>
      </c>
      <c r="E1033" s="8">
        <v>0</v>
      </c>
      <c r="F1033" s="8">
        <v>0</v>
      </c>
      <c r="G1033" s="8">
        <v>0</v>
      </c>
      <c r="H1033" s="8">
        <v>0</v>
      </c>
      <c r="I1033" s="8">
        <v>0</v>
      </c>
      <c r="J1033" s="8">
        <v>0</v>
      </c>
      <c r="K1033" s="9">
        <v>0</v>
      </c>
      <c r="L1033" s="10">
        <v>1</v>
      </c>
      <c r="M1033" s="6">
        <v>0</v>
      </c>
      <c r="N1033" s="37" cm="1">
        <f t="array" ref="N1033">IF(OR(ISNUMBER(FIND(Aux!$D$3:$D$9,_xlfn.TEXTJOIN(,,C1033:K1033)))),NA(),IF(AND(SUM(C1033:F1033,H1033:K1033)=0,G1033=1),0,INT((SUMPRODUCT(C1033:F1033,COLUMN($A$1:$D$1)-1)+SUMPRODUCT(H1033:K1033,COLUMN($E$1:$H$1)-1))*'Line Follower'!$C$3/SUM(C1033:F1033,H1033:K1033)-'Line Follower'!$C$5)))</f>
        <v>-6</v>
      </c>
      <c r="O1033" s="22">
        <v>1</v>
      </c>
      <c r="P1033" s="4">
        <f t="shared" si="80"/>
        <v>0</v>
      </c>
      <c r="Q1033" s="4">
        <f t="shared" si="81"/>
        <v>0</v>
      </c>
      <c r="R1033" s="4">
        <f>IF(AND(B1033=1,N1033&gt;'Line Follower'!$C$7,SUM(C1033:K1033)&lt;4),1,0)</f>
        <v>0</v>
      </c>
      <c r="S1033" s="4">
        <f>IF(AND(L1033=1,N1033&lt;'Line Follower'!$C$6,SUM(C1033:K1033)&lt;4),1,0)</f>
        <v>1</v>
      </c>
      <c r="T1033" s="4">
        <f t="shared" si="82"/>
        <v>0</v>
      </c>
      <c r="U1033" s="5">
        <f t="shared" si="83"/>
        <v>0</v>
      </c>
      <c r="V1033" s="23">
        <f t="shared" si="84"/>
        <v>0</v>
      </c>
    </row>
    <row r="1034" spans="2:22" x14ac:dyDescent="0.25">
      <c r="B1034" s="16">
        <v>1</v>
      </c>
      <c r="C1034" s="7">
        <v>1</v>
      </c>
      <c r="D1034" s="8">
        <v>1</v>
      </c>
      <c r="E1034" s="8">
        <v>0</v>
      </c>
      <c r="F1034" s="8">
        <v>0</v>
      </c>
      <c r="G1034" s="8">
        <v>0</v>
      </c>
      <c r="H1034" s="8">
        <v>0</v>
      </c>
      <c r="I1034" s="8">
        <v>0</v>
      </c>
      <c r="J1034" s="8">
        <v>0</v>
      </c>
      <c r="K1034" s="9">
        <v>0</v>
      </c>
      <c r="L1034" s="10">
        <v>1</v>
      </c>
      <c r="M1034" s="6">
        <v>0</v>
      </c>
      <c r="N1034" s="37" cm="1">
        <f t="array" ref="N1034">IF(OR(ISNUMBER(FIND(Aux!$D$3:$D$9,_xlfn.TEXTJOIN(,,C1034:K1034)))),NA(),IF(AND(SUM(C1034:F1034,H1034:K1034)=0,G1034=1),0,INT((SUMPRODUCT(C1034:F1034,COLUMN($A$1:$D$1)-1)+SUMPRODUCT(H1034:K1034,COLUMN($E$1:$H$1)-1))*'Line Follower'!$C$3/SUM(C1034:F1034,H1034:K1034)-'Line Follower'!$C$5)))</f>
        <v>-6</v>
      </c>
      <c r="O1034" s="22">
        <v>1</v>
      </c>
      <c r="P1034" s="4">
        <f t="shared" si="80"/>
        <v>0</v>
      </c>
      <c r="Q1034" s="4">
        <f t="shared" si="81"/>
        <v>0</v>
      </c>
      <c r="R1034" s="4">
        <f>IF(AND(B1034=1,N1034&gt;'Line Follower'!$C$7,SUM(C1034:K1034)&lt;4),1,0)</f>
        <v>1</v>
      </c>
      <c r="S1034" s="4">
        <f>IF(AND(L1034=1,N1034&lt;'Line Follower'!$C$6,SUM(C1034:K1034)&lt;4),1,0)</f>
        <v>1</v>
      </c>
      <c r="T1034" s="4">
        <f t="shared" si="82"/>
        <v>0</v>
      </c>
      <c r="U1034" s="5">
        <f t="shared" si="83"/>
        <v>0</v>
      </c>
      <c r="V1034" s="23">
        <f t="shared" si="84"/>
        <v>0</v>
      </c>
    </row>
    <row r="1035" spans="2:22" x14ac:dyDescent="0.25">
      <c r="B1035" s="16">
        <v>0</v>
      </c>
      <c r="C1035" s="7">
        <v>0</v>
      </c>
      <c r="D1035" s="8">
        <v>0</v>
      </c>
      <c r="E1035" s="8">
        <v>1</v>
      </c>
      <c r="F1035" s="8">
        <v>0</v>
      </c>
      <c r="G1035" s="8">
        <v>0</v>
      </c>
      <c r="H1035" s="8">
        <v>0</v>
      </c>
      <c r="I1035" s="8">
        <v>0</v>
      </c>
      <c r="J1035" s="8">
        <v>0</v>
      </c>
      <c r="K1035" s="9">
        <v>0</v>
      </c>
      <c r="L1035" s="10">
        <v>1</v>
      </c>
      <c r="M1035" s="6">
        <v>0</v>
      </c>
      <c r="N1035" s="37" cm="1">
        <f t="array" ref="N1035">IF(OR(ISNUMBER(FIND(Aux!$D$3:$D$9,_xlfn.TEXTJOIN(,,C1035:K1035)))),NA(),IF(AND(SUM(C1035:F1035,H1035:K1035)=0,G1035=1),0,INT((SUMPRODUCT(C1035:F1035,COLUMN($A$1:$D$1)-1)+SUMPRODUCT(H1035:K1035,COLUMN($E$1:$H$1)-1))*'Line Follower'!$C$3/SUM(C1035:F1035,H1035:K1035)-'Line Follower'!$C$5)))</f>
        <v>-3</v>
      </c>
      <c r="O1035" s="22">
        <v>1</v>
      </c>
      <c r="P1035" s="4">
        <f t="shared" si="80"/>
        <v>0</v>
      </c>
      <c r="Q1035" s="4">
        <f t="shared" si="81"/>
        <v>0</v>
      </c>
      <c r="R1035" s="4">
        <f>IF(AND(B1035=1,N1035&gt;'Line Follower'!$C$7,SUM(C1035:K1035)&lt;4),1,0)</f>
        <v>0</v>
      </c>
      <c r="S1035" s="4">
        <f>IF(AND(L1035=1,N1035&lt;'Line Follower'!$C$6,SUM(C1035:K1035)&lt;4),1,0)</f>
        <v>1</v>
      </c>
      <c r="T1035" s="4">
        <f t="shared" si="82"/>
        <v>0</v>
      </c>
      <c r="U1035" s="5">
        <f t="shared" si="83"/>
        <v>0</v>
      </c>
      <c r="V1035" s="23">
        <f t="shared" si="84"/>
        <v>0</v>
      </c>
    </row>
    <row r="1036" spans="2:22" x14ac:dyDescent="0.25">
      <c r="B1036" s="16">
        <v>1</v>
      </c>
      <c r="C1036" s="7">
        <v>0</v>
      </c>
      <c r="D1036" s="8">
        <v>0</v>
      </c>
      <c r="E1036" s="8">
        <v>1</v>
      </c>
      <c r="F1036" s="8">
        <v>0</v>
      </c>
      <c r="G1036" s="8">
        <v>0</v>
      </c>
      <c r="H1036" s="8">
        <v>0</v>
      </c>
      <c r="I1036" s="8">
        <v>0</v>
      </c>
      <c r="J1036" s="8">
        <v>0</v>
      </c>
      <c r="K1036" s="9">
        <v>0</v>
      </c>
      <c r="L1036" s="10">
        <v>1</v>
      </c>
      <c r="M1036" s="6">
        <v>0</v>
      </c>
      <c r="N1036" s="37" cm="1">
        <f t="array" ref="N1036">IF(OR(ISNUMBER(FIND(Aux!$D$3:$D$9,_xlfn.TEXTJOIN(,,C1036:K1036)))),NA(),IF(AND(SUM(C1036:F1036,H1036:K1036)=0,G1036=1),0,INT((SUMPRODUCT(C1036:F1036,COLUMN($A$1:$D$1)-1)+SUMPRODUCT(H1036:K1036,COLUMN($E$1:$H$1)-1))*'Line Follower'!$C$3/SUM(C1036:F1036,H1036:K1036)-'Line Follower'!$C$5)))</f>
        <v>-3</v>
      </c>
      <c r="O1036" s="22">
        <v>1</v>
      </c>
      <c r="P1036" s="4">
        <f t="shared" si="80"/>
        <v>0</v>
      </c>
      <c r="Q1036" s="4">
        <f t="shared" si="81"/>
        <v>0</v>
      </c>
      <c r="R1036" s="4">
        <f>IF(AND(B1036=1,N1036&gt;'Line Follower'!$C$7,SUM(C1036:K1036)&lt;4),1,0)</f>
        <v>1</v>
      </c>
      <c r="S1036" s="4">
        <f>IF(AND(L1036=1,N1036&lt;'Line Follower'!$C$6,SUM(C1036:K1036)&lt;4),1,0)</f>
        <v>1</v>
      </c>
      <c r="T1036" s="4">
        <f t="shared" si="82"/>
        <v>0</v>
      </c>
      <c r="U1036" s="5">
        <f t="shared" si="83"/>
        <v>0</v>
      </c>
      <c r="V1036" s="23">
        <f t="shared" si="84"/>
        <v>0</v>
      </c>
    </row>
    <row r="1037" spans="2:22" x14ac:dyDescent="0.25">
      <c r="B1037" s="16">
        <v>0</v>
      </c>
      <c r="C1037" s="7">
        <v>1</v>
      </c>
      <c r="D1037" s="8">
        <v>0</v>
      </c>
      <c r="E1037" s="8">
        <v>1</v>
      </c>
      <c r="F1037" s="8">
        <v>0</v>
      </c>
      <c r="G1037" s="8">
        <v>0</v>
      </c>
      <c r="H1037" s="8">
        <v>0</v>
      </c>
      <c r="I1037" s="8">
        <v>0</v>
      </c>
      <c r="J1037" s="8">
        <v>0</v>
      </c>
      <c r="K1037" s="9">
        <v>0</v>
      </c>
      <c r="L1037" s="10">
        <v>1</v>
      </c>
      <c r="M1037" s="6">
        <v>0</v>
      </c>
      <c r="N1037" s="37" t="e" cm="1">
        <f t="array" ref="N1037">IF(OR(ISNUMBER(FIND(Aux!$D$3:$D$9,_xlfn.TEXTJOIN(,,C1037:K1037)))),NA(),IF(AND(SUM(C1037:F1037,H1037:K1037)=0,G1037=1),0,INT((SUMPRODUCT(C1037:F1037,COLUMN($A$1:$D$1)-1)+SUMPRODUCT(H1037:K1037,COLUMN($E$1:$H$1)-1))*'Line Follower'!$C$3/SUM(C1037:F1037,H1037:K1037)-'Line Follower'!$C$5)))</f>
        <v>#N/A</v>
      </c>
      <c r="O1037" s="22" t="e">
        <v>#N/A</v>
      </c>
      <c r="P1037" s="4" t="e">
        <f t="shared" si="80"/>
        <v>#N/A</v>
      </c>
      <c r="Q1037" s="4" t="e">
        <f t="shared" si="81"/>
        <v>#N/A</v>
      </c>
      <c r="R1037" s="4" t="e">
        <f>IF(AND(B1037=1,N1037&gt;'Line Follower'!$C$7,SUM(C1037:K1037)&lt;4),1,0)</f>
        <v>#N/A</v>
      </c>
      <c r="S1037" s="4" t="e">
        <f>IF(AND(L1037=1,N1037&lt;'Line Follower'!$C$6,SUM(C1037:K1037)&lt;4),1,0)</f>
        <v>#N/A</v>
      </c>
      <c r="T1037" s="4" t="e">
        <f t="shared" si="82"/>
        <v>#N/A</v>
      </c>
      <c r="U1037" s="5" t="e">
        <f t="shared" si="83"/>
        <v>#N/A</v>
      </c>
      <c r="V1037" s="23" t="e">
        <f t="shared" si="84"/>
        <v>#N/A</v>
      </c>
    </row>
    <row r="1038" spans="2:22" x14ac:dyDescent="0.25">
      <c r="B1038" s="16">
        <v>1</v>
      </c>
      <c r="C1038" s="7">
        <v>1</v>
      </c>
      <c r="D1038" s="8">
        <v>0</v>
      </c>
      <c r="E1038" s="8">
        <v>1</v>
      </c>
      <c r="F1038" s="8">
        <v>0</v>
      </c>
      <c r="G1038" s="8">
        <v>0</v>
      </c>
      <c r="H1038" s="8">
        <v>0</v>
      </c>
      <c r="I1038" s="8">
        <v>0</v>
      </c>
      <c r="J1038" s="8">
        <v>0</v>
      </c>
      <c r="K1038" s="9">
        <v>0</v>
      </c>
      <c r="L1038" s="10">
        <v>1</v>
      </c>
      <c r="M1038" s="6">
        <v>0</v>
      </c>
      <c r="N1038" s="37" t="e" cm="1">
        <f t="array" ref="N1038">IF(OR(ISNUMBER(FIND(Aux!$D$3:$D$9,_xlfn.TEXTJOIN(,,C1038:K1038)))),NA(),IF(AND(SUM(C1038:F1038,H1038:K1038)=0,G1038=1),0,INT((SUMPRODUCT(C1038:F1038,COLUMN($A$1:$D$1)-1)+SUMPRODUCT(H1038:K1038,COLUMN($E$1:$H$1)-1))*'Line Follower'!$C$3/SUM(C1038:F1038,H1038:K1038)-'Line Follower'!$C$5)))</f>
        <v>#N/A</v>
      </c>
      <c r="O1038" s="22" t="e">
        <v>#N/A</v>
      </c>
      <c r="P1038" s="4" t="e">
        <f t="shared" si="80"/>
        <v>#N/A</v>
      </c>
      <c r="Q1038" s="4" t="e">
        <f t="shared" si="81"/>
        <v>#N/A</v>
      </c>
      <c r="R1038" s="4" t="e">
        <f>IF(AND(B1038=1,N1038&gt;'Line Follower'!$C$7,SUM(C1038:K1038)&lt;4),1,0)</f>
        <v>#N/A</v>
      </c>
      <c r="S1038" s="4" t="e">
        <f>IF(AND(L1038=1,N1038&lt;'Line Follower'!$C$6,SUM(C1038:K1038)&lt;4),1,0)</f>
        <v>#N/A</v>
      </c>
      <c r="T1038" s="4" t="e">
        <f t="shared" si="82"/>
        <v>#N/A</v>
      </c>
      <c r="U1038" s="5" t="e">
        <f t="shared" si="83"/>
        <v>#N/A</v>
      </c>
      <c r="V1038" s="23" t="e">
        <f t="shared" si="84"/>
        <v>#N/A</v>
      </c>
    </row>
    <row r="1039" spans="2:22" x14ac:dyDescent="0.25">
      <c r="B1039" s="16">
        <v>0</v>
      </c>
      <c r="C1039" s="7">
        <v>0</v>
      </c>
      <c r="D1039" s="8">
        <v>1</v>
      </c>
      <c r="E1039" s="8">
        <v>1</v>
      </c>
      <c r="F1039" s="8">
        <v>0</v>
      </c>
      <c r="G1039" s="8">
        <v>0</v>
      </c>
      <c r="H1039" s="8">
        <v>0</v>
      </c>
      <c r="I1039" s="8">
        <v>0</v>
      </c>
      <c r="J1039" s="8">
        <v>0</v>
      </c>
      <c r="K1039" s="9">
        <v>0</v>
      </c>
      <c r="L1039" s="10">
        <v>1</v>
      </c>
      <c r="M1039" s="6">
        <v>0</v>
      </c>
      <c r="N1039" s="37" cm="1">
        <f t="array" ref="N1039">IF(OR(ISNUMBER(FIND(Aux!$D$3:$D$9,_xlfn.TEXTJOIN(,,C1039:K1039)))),NA(),IF(AND(SUM(C1039:F1039,H1039:K1039)=0,G1039=1),0,INT((SUMPRODUCT(C1039:F1039,COLUMN($A$1:$D$1)-1)+SUMPRODUCT(H1039:K1039,COLUMN($E$1:$H$1)-1))*'Line Follower'!$C$3/SUM(C1039:F1039,H1039:K1039)-'Line Follower'!$C$5)))</f>
        <v>-4</v>
      </c>
      <c r="O1039" s="22">
        <v>1</v>
      </c>
      <c r="P1039" s="4">
        <f t="shared" si="80"/>
        <v>0</v>
      </c>
      <c r="Q1039" s="4">
        <f t="shared" si="81"/>
        <v>0</v>
      </c>
      <c r="R1039" s="4">
        <f>IF(AND(B1039=1,N1039&gt;'Line Follower'!$C$7,SUM(C1039:K1039)&lt;4),1,0)</f>
        <v>0</v>
      </c>
      <c r="S1039" s="4">
        <f>IF(AND(L1039=1,N1039&lt;'Line Follower'!$C$6,SUM(C1039:K1039)&lt;4),1,0)</f>
        <v>1</v>
      </c>
      <c r="T1039" s="4">
        <f t="shared" si="82"/>
        <v>0</v>
      </c>
      <c r="U1039" s="5">
        <f t="shared" si="83"/>
        <v>0</v>
      </c>
      <c r="V1039" s="23">
        <f t="shared" si="84"/>
        <v>0</v>
      </c>
    </row>
    <row r="1040" spans="2:22" x14ac:dyDescent="0.25">
      <c r="B1040" s="16">
        <v>1</v>
      </c>
      <c r="C1040" s="7">
        <v>0</v>
      </c>
      <c r="D1040" s="8">
        <v>1</v>
      </c>
      <c r="E1040" s="8">
        <v>1</v>
      </c>
      <c r="F1040" s="8">
        <v>0</v>
      </c>
      <c r="G1040" s="8">
        <v>0</v>
      </c>
      <c r="H1040" s="8">
        <v>0</v>
      </c>
      <c r="I1040" s="8">
        <v>0</v>
      </c>
      <c r="J1040" s="8">
        <v>0</v>
      </c>
      <c r="K1040" s="9">
        <v>0</v>
      </c>
      <c r="L1040" s="10">
        <v>1</v>
      </c>
      <c r="M1040" s="6">
        <v>0</v>
      </c>
      <c r="N1040" s="37" cm="1">
        <f t="array" ref="N1040">IF(OR(ISNUMBER(FIND(Aux!$D$3:$D$9,_xlfn.TEXTJOIN(,,C1040:K1040)))),NA(),IF(AND(SUM(C1040:F1040,H1040:K1040)=0,G1040=1),0,INT((SUMPRODUCT(C1040:F1040,COLUMN($A$1:$D$1)-1)+SUMPRODUCT(H1040:K1040,COLUMN($E$1:$H$1)-1))*'Line Follower'!$C$3/SUM(C1040:F1040,H1040:K1040)-'Line Follower'!$C$5)))</f>
        <v>-4</v>
      </c>
      <c r="O1040" s="22">
        <v>1</v>
      </c>
      <c r="P1040" s="4">
        <f t="shared" si="80"/>
        <v>0</v>
      </c>
      <c r="Q1040" s="4">
        <f t="shared" si="81"/>
        <v>0</v>
      </c>
      <c r="R1040" s="4">
        <f>IF(AND(B1040=1,N1040&gt;'Line Follower'!$C$7,SUM(C1040:K1040)&lt;4),1,0)</f>
        <v>1</v>
      </c>
      <c r="S1040" s="4">
        <f>IF(AND(L1040=1,N1040&lt;'Line Follower'!$C$6,SUM(C1040:K1040)&lt;4),1,0)</f>
        <v>1</v>
      </c>
      <c r="T1040" s="4">
        <f t="shared" si="82"/>
        <v>0</v>
      </c>
      <c r="U1040" s="5">
        <f t="shared" si="83"/>
        <v>0</v>
      </c>
      <c r="V1040" s="23">
        <f t="shared" si="84"/>
        <v>0</v>
      </c>
    </row>
    <row r="1041" spans="2:22" x14ac:dyDescent="0.25">
      <c r="B1041" s="16">
        <v>0</v>
      </c>
      <c r="C1041" s="7">
        <v>1</v>
      </c>
      <c r="D1041" s="8">
        <v>1</v>
      </c>
      <c r="E1041" s="8">
        <v>1</v>
      </c>
      <c r="F1041" s="8">
        <v>0</v>
      </c>
      <c r="G1041" s="8">
        <v>0</v>
      </c>
      <c r="H1041" s="8">
        <v>0</v>
      </c>
      <c r="I1041" s="8">
        <v>0</v>
      </c>
      <c r="J1041" s="8">
        <v>0</v>
      </c>
      <c r="K1041" s="9">
        <v>0</v>
      </c>
      <c r="L1041" s="10">
        <v>1</v>
      </c>
      <c r="M1041" s="6">
        <v>0</v>
      </c>
      <c r="N1041" s="37" cm="1">
        <f t="array" ref="N1041">IF(OR(ISNUMBER(FIND(Aux!$D$3:$D$9,_xlfn.TEXTJOIN(,,C1041:K1041)))),NA(),IF(AND(SUM(C1041:F1041,H1041:K1041)=0,G1041=1),0,INT((SUMPRODUCT(C1041:F1041,COLUMN($A$1:$D$1)-1)+SUMPRODUCT(H1041:K1041,COLUMN($E$1:$H$1)-1))*'Line Follower'!$C$3/SUM(C1041:F1041,H1041:K1041)-'Line Follower'!$C$5)))</f>
        <v>-5</v>
      </c>
      <c r="O1041" s="22">
        <v>1</v>
      </c>
      <c r="P1041" s="4">
        <f t="shared" si="80"/>
        <v>0</v>
      </c>
      <c r="Q1041" s="4">
        <f t="shared" si="81"/>
        <v>0</v>
      </c>
      <c r="R1041" s="4">
        <f>IF(AND(B1041=1,N1041&gt;'Line Follower'!$C$7,SUM(C1041:K1041)&lt;4),1,0)</f>
        <v>0</v>
      </c>
      <c r="S1041" s="4">
        <f>IF(AND(L1041=1,N1041&lt;'Line Follower'!$C$6,SUM(C1041:K1041)&lt;4),1,0)</f>
        <v>1</v>
      </c>
      <c r="T1041" s="4">
        <f t="shared" si="82"/>
        <v>0</v>
      </c>
      <c r="U1041" s="5">
        <f t="shared" si="83"/>
        <v>0</v>
      </c>
      <c r="V1041" s="23">
        <f t="shared" si="84"/>
        <v>0</v>
      </c>
    </row>
    <row r="1042" spans="2:22" x14ac:dyDescent="0.25">
      <c r="B1042" s="16">
        <v>1</v>
      </c>
      <c r="C1042" s="7">
        <v>1</v>
      </c>
      <c r="D1042" s="8">
        <v>1</v>
      </c>
      <c r="E1042" s="8">
        <v>1</v>
      </c>
      <c r="F1042" s="8">
        <v>0</v>
      </c>
      <c r="G1042" s="8">
        <v>0</v>
      </c>
      <c r="H1042" s="8">
        <v>0</v>
      </c>
      <c r="I1042" s="8">
        <v>0</v>
      </c>
      <c r="J1042" s="8">
        <v>0</v>
      </c>
      <c r="K1042" s="9">
        <v>0</v>
      </c>
      <c r="L1042" s="10">
        <v>1</v>
      </c>
      <c r="M1042" s="6">
        <v>0</v>
      </c>
      <c r="N1042" s="37" cm="1">
        <f t="array" ref="N1042">IF(OR(ISNUMBER(FIND(Aux!$D$3:$D$9,_xlfn.TEXTJOIN(,,C1042:K1042)))),NA(),IF(AND(SUM(C1042:F1042,H1042:K1042)=0,G1042=1),0,INT((SUMPRODUCT(C1042:F1042,COLUMN($A$1:$D$1)-1)+SUMPRODUCT(H1042:K1042,COLUMN($E$1:$H$1)-1))*'Line Follower'!$C$3/SUM(C1042:F1042,H1042:K1042)-'Line Follower'!$C$5)))</f>
        <v>-5</v>
      </c>
      <c r="O1042" s="22">
        <v>1</v>
      </c>
      <c r="P1042" s="4">
        <f t="shared" si="80"/>
        <v>0</v>
      </c>
      <c r="Q1042" s="4">
        <f t="shared" si="81"/>
        <v>0</v>
      </c>
      <c r="R1042" s="4">
        <f>IF(AND(B1042=1,N1042&gt;'Line Follower'!$C$7,SUM(C1042:K1042)&lt;4),1,0)</f>
        <v>1</v>
      </c>
      <c r="S1042" s="4">
        <f>IF(AND(L1042=1,N1042&lt;'Line Follower'!$C$6,SUM(C1042:K1042)&lt;4),1,0)</f>
        <v>1</v>
      </c>
      <c r="T1042" s="4">
        <f t="shared" si="82"/>
        <v>0</v>
      </c>
      <c r="U1042" s="5">
        <f t="shared" si="83"/>
        <v>0</v>
      </c>
      <c r="V1042" s="23">
        <f t="shared" si="84"/>
        <v>0</v>
      </c>
    </row>
    <row r="1043" spans="2:22" x14ac:dyDescent="0.25">
      <c r="B1043" s="16">
        <v>0</v>
      </c>
      <c r="C1043" s="7">
        <v>0</v>
      </c>
      <c r="D1043" s="8">
        <v>0</v>
      </c>
      <c r="E1043" s="8">
        <v>0</v>
      </c>
      <c r="F1043" s="8">
        <v>1</v>
      </c>
      <c r="G1043" s="8">
        <v>0</v>
      </c>
      <c r="H1043" s="8">
        <v>0</v>
      </c>
      <c r="I1043" s="8">
        <v>0</v>
      </c>
      <c r="J1043" s="8">
        <v>0</v>
      </c>
      <c r="K1043" s="9">
        <v>0</v>
      </c>
      <c r="L1043" s="10">
        <v>1</v>
      </c>
      <c r="M1043" s="6">
        <v>0</v>
      </c>
      <c r="N1043" s="37" cm="1">
        <f t="array" ref="N1043">IF(OR(ISNUMBER(FIND(Aux!$D$3:$D$9,_xlfn.TEXTJOIN(,,C1043:K1043)))),NA(),IF(AND(SUM(C1043:F1043,H1043:K1043)=0,G1043=1),0,INT((SUMPRODUCT(C1043:F1043,COLUMN($A$1:$D$1)-1)+SUMPRODUCT(H1043:K1043,COLUMN($E$1:$H$1)-1))*'Line Follower'!$C$3/SUM(C1043:F1043,H1043:K1043)-'Line Follower'!$C$5)))</f>
        <v>-1</v>
      </c>
      <c r="O1043" s="22">
        <v>1</v>
      </c>
      <c r="P1043" s="4">
        <f t="shared" si="80"/>
        <v>0</v>
      </c>
      <c r="Q1043" s="4">
        <f t="shared" si="81"/>
        <v>0</v>
      </c>
      <c r="R1043" s="4">
        <f>IF(AND(B1043=1,N1043&gt;'Line Follower'!$C$7,SUM(C1043:K1043)&lt;4),1,0)</f>
        <v>0</v>
      </c>
      <c r="S1043" s="4">
        <f>IF(AND(L1043=1,N1043&lt;'Line Follower'!$C$6,SUM(C1043:K1043)&lt;4),1,0)</f>
        <v>1</v>
      </c>
      <c r="T1043" s="4">
        <f t="shared" si="82"/>
        <v>0</v>
      </c>
      <c r="U1043" s="5">
        <f t="shared" si="83"/>
        <v>0</v>
      </c>
      <c r="V1043" s="23">
        <f t="shared" si="84"/>
        <v>0</v>
      </c>
    </row>
    <row r="1044" spans="2:22" x14ac:dyDescent="0.25">
      <c r="B1044" s="16">
        <v>1</v>
      </c>
      <c r="C1044" s="7">
        <v>0</v>
      </c>
      <c r="D1044" s="8">
        <v>0</v>
      </c>
      <c r="E1044" s="8">
        <v>0</v>
      </c>
      <c r="F1044" s="8">
        <v>1</v>
      </c>
      <c r="G1044" s="8">
        <v>0</v>
      </c>
      <c r="H1044" s="8">
        <v>0</v>
      </c>
      <c r="I1044" s="8">
        <v>0</v>
      </c>
      <c r="J1044" s="8">
        <v>0</v>
      </c>
      <c r="K1044" s="9">
        <v>0</v>
      </c>
      <c r="L1044" s="10">
        <v>1</v>
      </c>
      <c r="M1044" s="6">
        <v>0</v>
      </c>
      <c r="N1044" s="37" cm="1">
        <f t="array" ref="N1044">IF(OR(ISNUMBER(FIND(Aux!$D$3:$D$9,_xlfn.TEXTJOIN(,,C1044:K1044)))),NA(),IF(AND(SUM(C1044:F1044,H1044:K1044)=0,G1044=1),0,INT((SUMPRODUCT(C1044:F1044,COLUMN($A$1:$D$1)-1)+SUMPRODUCT(H1044:K1044,COLUMN($E$1:$H$1)-1))*'Line Follower'!$C$3/SUM(C1044:F1044,H1044:K1044)-'Line Follower'!$C$5)))</f>
        <v>-1</v>
      </c>
      <c r="O1044" s="22">
        <v>1</v>
      </c>
      <c r="P1044" s="4">
        <f t="shared" si="80"/>
        <v>0</v>
      </c>
      <c r="Q1044" s="4">
        <f t="shared" si="81"/>
        <v>0</v>
      </c>
      <c r="R1044" s="4">
        <f>IF(AND(B1044=1,N1044&gt;'Line Follower'!$C$7,SUM(C1044:K1044)&lt;4),1,0)</f>
        <v>1</v>
      </c>
      <c r="S1044" s="4">
        <f>IF(AND(L1044=1,N1044&lt;'Line Follower'!$C$6,SUM(C1044:K1044)&lt;4),1,0)</f>
        <v>1</v>
      </c>
      <c r="T1044" s="4">
        <f t="shared" si="82"/>
        <v>0</v>
      </c>
      <c r="U1044" s="5">
        <f t="shared" si="83"/>
        <v>0</v>
      </c>
      <c r="V1044" s="23">
        <f t="shared" si="84"/>
        <v>0</v>
      </c>
    </row>
    <row r="1045" spans="2:22" x14ac:dyDescent="0.25">
      <c r="B1045" s="16">
        <v>0</v>
      </c>
      <c r="C1045" s="7">
        <v>1</v>
      </c>
      <c r="D1045" s="8">
        <v>0</v>
      </c>
      <c r="E1045" s="8">
        <v>0</v>
      </c>
      <c r="F1045" s="8">
        <v>1</v>
      </c>
      <c r="G1045" s="8">
        <v>0</v>
      </c>
      <c r="H1045" s="8">
        <v>0</v>
      </c>
      <c r="I1045" s="8">
        <v>0</v>
      </c>
      <c r="J1045" s="8">
        <v>0</v>
      </c>
      <c r="K1045" s="9">
        <v>0</v>
      </c>
      <c r="L1045" s="10">
        <v>1</v>
      </c>
      <c r="M1045" s="6">
        <v>0</v>
      </c>
      <c r="N1045" s="37" t="e" cm="1">
        <f t="array" ref="N1045">IF(OR(ISNUMBER(FIND(Aux!$D$3:$D$9,_xlfn.TEXTJOIN(,,C1045:K1045)))),NA(),IF(AND(SUM(C1045:F1045,H1045:K1045)=0,G1045=1),0,INT((SUMPRODUCT(C1045:F1045,COLUMN($A$1:$D$1)-1)+SUMPRODUCT(H1045:K1045,COLUMN($E$1:$H$1)-1))*'Line Follower'!$C$3/SUM(C1045:F1045,H1045:K1045)-'Line Follower'!$C$5)))</f>
        <v>#N/A</v>
      </c>
      <c r="O1045" s="22" t="e">
        <v>#N/A</v>
      </c>
      <c r="P1045" s="4" t="e">
        <f t="shared" si="80"/>
        <v>#N/A</v>
      </c>
      <c r="Q1045" s="4" t="e">
        <f t="shared" si="81"/>
        <v>#N/A</v>
      </c>
      <c r="R1045" s="4" t="e">
        <f>IF(AND(B1045=1,N1045&gt;'Line Follower'!$C$7,SUM(C1045:K1045)&lt;4),1,0)</f>
        <v>#N/A</v>
      </c>
      <c r="S1045" s="4" t="e">
        <f>IF(AND(L1045=1,N1045&lt;'Line Follower'!$C$6,SUM(C1045:K1045)&lt;4),1,0)</f>
        <v>#N/A</v>
      </c>
      <c r="T1045" s="4" t="e">
        <f t="shared" si="82"/>
        <v>#N/A</v>
      </c>
      <c r="U1045" s="5" t="e">
        <f t="shared" si="83"/>
        <v>#N/A</v>
      </c>
      <c r="V1045" s="23" t="e">
        <f t="shared" si="84"/>
        <v>#N/A</v>
      </c>
    </row>
    <row r="1046" spans="2:22" x14ac:dyDescent="0.25">
      <c r="B1046" s="16">
        <v>1</v>
      </c>
      <c r="C1046" s="7">
        <v>1</v>
      </c>
      <c r="D1046" s="8">
        <v>0</v>
      </c>
      <c r="E1046" s="8">
        <v>0</v>
      </c>
      <c r="F1046" s="8">
        <v>1</v>
      </c>
      <c r="G1046" s="8">
        <v>0</v>
      </c>
      <c r="H1046" s="8">
        <v>0</v>
      </c>
      <c r="I1046" s="8">
        <v>0</v>
      </c>
      <c r="J1046" s="8">
        <v>0</v>
      </c>
      <c r="K1046" s="9">
        <v>0</v>
      </c>
      <c r="L1046" s="10">
        <v>1</v>
      </c>
      <c r="M1046" s="6">
        <v>0</v>
      </c>
      <c r="N1046" s="37" t="e" cm="1">
        <f t="array" ref="N1046">IF(OR(ISNUMBER(FIND(Aux!$D$3:$D$9,_xlfn.TEXTJOIN(,,C1046:K1046)))),NA(),IF(AND(SUM(C1046:F1046,H1046:K1046)=0,G1046=1),0,INT((SUMPRODUCT(C1046:F1046,COLUMN($A$1:$D$1)-1)+SUMPRODUCT(H1046:K1046,COLUMN($E$1:$H$1)-1))*'Line Follower'!$C$3/SUM(C1046:F1046,H1046:K1046)-'Line Follower'!$C$5)))</f>
        <v>#N/A</v>
      </c>
      <c r="O1046" s="22" t="e">
        <v>#N/A</v>
      </c>
      <c r="P1046" s="4" t="e">
        <f t="shared" si="80"/>
        <v>#N/A</v>
      </c>
      <c r="Q1046" s="4" t="e">
        <f t="shared" si="81"/>
        <v>#N/A</v>
      </c>
      <c r="R1046" s="4" t="e">
        <f>IF(AND(B1046=1,N1046&gt;'Line Follower'!$C$7,SUM(C1046:K1046)&lt;4),1,0)</f>
        <v>#N/A</v>
      </c>
      <c r="S1046" s="4" t="e">
        <f>IF(AND(L1046=1,N1046&lt;'Line Follower'!$C$6,SUM(C1046:K1046)&lt;4),1,0)</f>
        <v>#N/A</v>
      </c>
      <c r="T1046" s="4" t="e">
        <f t="shared" si="82"/>
        <v>#N/A</v>
      </c>
      <c r="U1046" s="5" t="e">
        <f t="shared" si="83"/>
        <v>#N/A</v>
      </c>
      <c r="V1046" s="23" t="e">
        <f t="shared" si="84"/>
        <v>#N/A</v>
      </c>
    </row>
    <row r="1047" spans="2:22" x14ac:dyDescent="0.25">
      <c r="B1047" s="16">
        <v>0</v>
      </c>
      <c r="C1047" s="7">
        <v>0</v>
      </c>
      <c r="D1047" s="8">
        <v>1</v>
      </c>
      <c r="E1047" s="8">
        <v>0</v>
      </c>
      <c r="F1047" s="8">
        <v>1</v>
      </c>
      <c r="G1047" s="8">
        <v>0</v>
      </c>
      <c r="H1047" s="8">
        <v>0</v>
      </c>
      <c r="I1047" s="8">
        <v>0</v>
      </c>
      <c r="J1047" s="8">
        <v>0</v>
      </c>
      <c r="K1047" s="9">
        <v>0</v>
      </c>
      <c r="L1047" s="10">
        <v>1</v>
      </c>
      <c r="M1047" s="6">
        <v>0</v>
      </c>
      <c r="N1047" s="37" t="e" cm="1">
        <f t="array" ref="N1047">IF(OR(ISNUMBER(FIND(Aux!$D$3:$D$9,_xlfn.TEXTJOIN(,,C1047:K1047)))),NA(),IF(AND(SUM(C1047:F1047,H1047:K1047)=0,G1047=1),0,INT((SUMPRODUCT(C1047:F1047,COLUMN($A$1:$D$1)-1)+SUMPRODUCT(H1047:K1047,COLUMN($E$1:$H$1)-1))*'Line Follower'!$C$3/SUM(C1047:F1047,H1047:K1047)-'Line Follower'!$C$5)))</f>
        <v>#N/A</v>
      </c>
      <c r="O1047" s="22" t="e">
        <v>#N/A</v>
      </c>
      <c r="P1047" s="4" t="e">
        <f t="shared" si="80"/>
        <v>#N/A</v>
      </c>
      <c r="Q1047" s="4" t="e">
        <f t="shared" si="81"/>
        <v>#N/A</v>
      </c>
      <c r="R1047" s="4" t="e">
        <f>IF(AND(B1047=1,N1047&gt;'Line Follower'!$C$7,SUM(C1047:K1047)&lt;4),1,0)</f>
        <v>#N/A</v>
      </c>
      <c r="S1047" s="4" t="e">
        <f>IF(AND(L1047=1,N1047&lt;'Line Follower'!$C$6,SUM(C1047:K1047)&lt;4),1,0)</f>
        <v>#N/A</v>
      </c>
      <c r="T1047" s="4" t="e">
        <f t="shared" si="82"/>
        <v>#N/A</v>
      </c>
      <c r="U1047" s="5" t="e">
        <f t="shared" si="83"/>
        <v>#N/A</v>
      </c>
      <c r="V1047" s="23" t="e">
        <f t="shared" si="84"/>
        <v>#N/A</v>
      </c>
    </row>
    <row r="1048" spans="2:22" x14ac:dyDescent="0.25">
      <c r="B1048" s="16">
        <v>1</v>
      </c>
      <c r="C1048" s="7">
        <v>0</v>
      </c>
      <c r="D1048" s="8">
        <v>1</v>
      </c>
      <c r="E1048" s="8">
        <v>0</v>
      </c>
      <c r="F1048" s="8">
        <v>1</v>
      </c>
      <c r="G1048" s="8">
        <v>0</v>
      </c>
      <c r="H1048" s="8">
        <v>0</v>
      </c>
      <c r="I1048" s="8">
        <v>0</v>
      </c>
      <c r="J1048" s="8">
        <v>0</v>
      </c>
      <c r="K1048" s="9">
        <v>0</v>
      </c>
      <c r="L1048" s="10">
        <v>1</v>
      </c>
      <c r="M1048" s="6">
        <v>0</v>
      </c>
      <c r="N1048" s="37" t="e" cm="1">
        <f t="array" ref="N1048">IF(OR(ISNUMBER(FIND(Aux!$D$3:$D$9,_xlfn.TEXTJOIN(,,C1048:K1048)))),NA(),IF(AND(SUM(C1048:F1048,H1048:K1048)=0,G1048=1),0,INT((SUMPRODUCT(C1048:F1048,COLUMN($A$1:$D$1)-1)+SUMPRODUCT(H1048:K1048,COLUMN($E$1:$H$1)-1))*'Line Follower'!$C$3/SUM(C1048:F1048,H1048:K1048)-'Line Follower'!$C$5)))</f>
        <v>#N/A</v>
      </c>
      <c r="O1048" s="22" t="e">
        <v>#N/A</v>
      </c>
      <c r="P1048" s="4" t="e">
        <f t="shared" si="80"/>
        <v>#N/A</v>
      </c>
      <c r="Q1048" s="4" t="e">
        <f t="shared" si="81"/>
        <v>#N/A</v>
      </c>
      <c r="R1048" s="4" t="e">
        <f>IF(AND(B1048=1,N1048&gt;'Line Follower'!$C$7,SUM(C1048:K1048)&lt;4),1,0)</f>
        <v>#N/A</v>
      </c>
      <c r="S1048" s="4" t="e">
        <f>IF(AND(L1048=1,N1048&lt;'Line Follower'!$C$6,SUM(C1048:K1048)&lt;4),1,0)</f>
        <v>#N/A</v>
      </c>
      <c r="T1048" s="4" t="e">
        <f t="shared" si="82"/>
        <v>#N/A</v>
      </c>
      <c r="U1048" s="5" t="e">
        <f t="shared" si="83"/>
        <v>#N/A</v>
      </c>
      <c r="V1048" s="23" t="e">
        <f t="shared" si="84"/>
        <v>#N/A</v>
      </c>
    </row>
    <row r="1049" spans="2:22" x14ac:dyDescent="0.25">
      <c r="B1049" s="16">
        <v>0</v>
      </c>
      <c r="C1049" s="7">
        <v>1</v>
      </c>
      <c r="D1049" s="8">
        <v>1</v>
      </c>
      <c r="E1049" s="8">
        <v>0</v>
      </c>
      <c r="F1049" s="8">
        <v>1</v>
      </c>
      <c r="G1049" s="8">
        <v>0</v>
      </c>
      <c r="H1049" s="8">
        <v>0</v>
      </c>
      <c r="I1049" s="8">
        <v>0</v>
      </c>
      <c r="J1049" s="8">
        <v>0</v>
      </c>
      <c r="K1049" s="9">
        <v>0</v>
      </c>
      <c r="L1049" s="10">
        <v>1</v>
      </c>
      <c r="M1049" s="6">
        <v>0</v>
      </c>
      <c r="N1049" s="37" t="e" cm="1">
        <f t="array" ref="N1049">IF(OR(ISNUMBER(FIND(Aux!$D$3:$D$9,_xlfn.TEXTJOIN(,,C1049:K1049)))),NA(),IF(AND(SUM(C1049:F1049,H1049:K1049)=0,G1049=1),0,INT((SUMPRODUCT(C1049:F1049,COLUMN($A$1:$D$1)-1)+SUMPRODUCT(H1049:K1049,COLUMN($E$1:$H$1)-1))*'Line Follower'!$C$3/SUM(C1049:F1049,H1049:K1049)-'Line Follower'!$C$5)))</f>
        <v>#N/A</v>
      </c>
      <c r="O1049" s="22" t="e">
        <v>#N/A</v>
      </c>
      <c r="P1049" s="4" t="e">
        <f t="shared" si="80"/>
        <v>#N/A</v>
      </c>
      <c r="Q1049" s="4" t="e">
        <f t="shared" si="81"/>
        <v>#N/A</v>
      </c>
      <c r="R1049" s="4" t="e">
        <f>IF(AND(B1049=1,N1049&gt;'Line Follower'!$C$7,SUM(C1049:K1049)&lt;4),1,0)</f>
        <v>#N/A</v>
      </c>
      <c r="S1049" s="4" t="e">
        <f>IF(AND(L1049=1,N1049&lt;'Line Follower'!$C$6,SUM(C1049:K1049)&lt;4),1,0)</f>
        <v>#N/A</v>
      </c>
      <c r="T1049" s="4" t="e">
        <f t="shared" si="82"/>
        <v>#N/A</v>
      </c>
      <c r="U1049" s="5" t="e">
        <f t="shared" si="83"/>
        <v>#N/A</v>
      </c>
      <c r="V1049" s="23" t="e">
        <f t="shared" si="84"/>
        <v>#N/A</v>
      </c>
    </row>
    <row r="1050" spans="2:22" x14ac:dyDescent="0.25">
      <c r="B1050" s="16">
        <v>1</v>
      </c>
      <c r="C1050" s="7">
        <v>1</v>
      </c>
      <c r="D1050" s="8">
        <v>1</v>
      </c>
      <c r="E1050" s="8">
        <v>0</v>
      </c>
      <c r="F1050" s="8">
        <v>1</v>
      </c>
      <c r="G1050" s="8">
        <v>0</v>
      </c>
      <c r="H1050" s="8">
        <v>0</v>
      </c>
      <c r="I1050" s="8">
        <v>0</v>
      </c>
      <c r="J1050" s="8">
        <v>0</v>
      </c>
      <c r="K1050" s="9">
        <v>0</v>
      </c>
      <c r="L1050" s="10">
        <v>1</v>
      </c>
      <c r="M1050" s="6">
        <v>0</v>
      </c>
      <c r="N1050" s="37" t="e" cm="1">
        <f t="array" ref="N1050">IF(OR(ISNUMBER(FIND(Aux!$D$3:$D$9,_xlfn.TEXTJOIN(,,C1050:K1050)))),NA(),IF(AND(SUM(C1050:F1050,H1050:K1050)=0,G1050=1),0,INT((SUMPRODUCT(C1050:F1050,COLUMN($A$1:$D$1)-1)+SUMPRODUCT(H1050:K1050,COLUMN($E$1:$H$1)-1))*'Line Follower'!$C$3/SUM(C1050:F1050,H1050:K1050)-'Line Follower'!$C$5)))</f>
        <v>#N/A</v>
      </c>
      <c r="O1050" s="22" t="e">
        <v>#N/A</v>
      </c>
      <c r="P1050" s="4" t="e">
        <f t="shared" si="80"/>
        <v>#N/A</v>
      </c>
      <c r="Q1050" s="4" t="e">
        <f t="shared" si="81"/>
        <v>#N/A</v>
      </c>
      <c r="R1050" s="4" t="e">
        <f>IF(AND(B1050=1,N1050&gt;'Line Follower'!$C$7,SUM(C1050:K1050)&lt;4),1,0)</f>
        <v>#N/A</v>
      </c>
      <c r="S1050" s="4" t="e">
        <f>IF(AND(L1050=1,N1050&lt;'Line Follower'!$C$6,SUM(C1050:K1050)&lt;4),1,0)</f>
        <v>#N/A</v>
      </c>
      <c r="T1050" s="4" t="e">
        <f t="shared" si="82"/>
        <v>#N/A</v>
      </c>
      <c r="U1050" s="5" t="e">
        <f t="shared" si="83"/>
        <v>#N/A</v>
      </c>
      <c r="V1050" s="23" t="e">
        <f t="shared" si="84"/>
        <v>#N/A</v>
      </c>
    </row>
    <row r="1051" spans="2:22" x14ac:dyDescent="0.25">
      <c r="B1051" s="16">
        <v>0</v>
      </c>
      <c r="C1051" s="7">
        <v>0</v>
      </c>
      <c r="D1051" s="8">
        <v>0</v>
      </c>
      <c r="E1051" s="8">
        <v>1</v>
      </c>
      <c r="F1051" s="8">
        <v>1</v>
      </c>
      <c r="G1051" s="8">
        <v>0</v>
      </c>
      <c r="H1051" s="8">
        <v>0</v>
      </c>
      <c r="I1051" s="8">
        <v>0</v>
      </c>
      <c r="J1051" s="8">
        <v>0</v>
      </c>
      <c r="K1051" s="9">
        <v>0</v>
      </c>
      <c r="L1051" s="10">
        <v>1</v>
      </c>
      <c r="M1051" s="6">
        <v>0</v>
      </c>
      <c r="N1051" s="37" cm="1">
        <f t="array" ref="N1051">IF(OR(ISNUMBER(FIND(Aux!$D$3:$D$9,_xlfn.TEXTJOIN(,,C1051:K1051)))),NA(),IF(AND(SUM(C1051:F1051,H1051:K1051)=0,G1051=1),0,INT((SUMPRODUCT(C1051:F1051,COLUMN($A$1:$D$1)-1)+SUMPRODUCT(H1051:K1051,COLUMN($E$1:$H$1)-1))*'Line Follower'!$C$3/SUM(C1051:F1051,H1051:K1051)-'Line Follower'!$C$5)))</f>
        <v>-2</v>
      </c>
      <c r="O1051" s="22">
        <v>1</v>
      </c>
      <c r="P1051" s="4">
        <f t="shared" si="80"/>
        <v>0</v>
      </c>
      <c r="Q1051" s="4">
        <f t="shared" si="81"/>
        <v>0</v>
      </c>
      <c r="R1051" s="4">
        <f>IF(AND(B1051=1,N1051&gt;'Line Follower'!$C$7,SUM(C1051:K1051)&lt;4),1,0)</f>
        <v>0</v>
      </c>
      <c r="S1051" s="4">
        <f>IF(AND(L1051=1,N1051&lt;'Line Follower'!$C$6,SUM(C1051:K1051)&lt;4),1,0)</f>
        <v>1</v>
      </c>
      <c r="T1051" s="4">
        <f t="shared" si="82"/>
        <v>0</v>
      </c>
      <c r="U1051" s="5">
        <f t="shared" si="83"/>
        <v>0</v>
      </c>
      <c r="V1051" s="23">
        <f t="shared" si="84"/>
        <v>0</v>
      </c>
    </row>
    <row r="1052" spans="2:22" x14ac:dyDescent="0.25">
      <c r="B1052" s="16">
        <v>1</v>
      </c>
      <c r="C1052" s="7">
        <v>0</v>
      </c>
      <c r="D1052" s="8">
        <v>0</v>
      </c>
      <c r="E1052" s="8">
        <v>1</v>
      </c>
      <c r="F1052" s="8">
        <v>1</v>
      </c>
      <c r="G1052" s="8">
        <v>0</v>
      </c>
      <c r="H1052" s="8">
        <v>0</v>
      </c>
      <c r="I1052" s="8">
        <v>0</v>
      </c>
      <c r="J1052" s="8">
        <v>0</v>
      </c>
      <c r="K1052" s="9">
        <v>0</v>
      </c>
      <c r="L1052" s="10">
        <v>1</v>
      </c>
      <c r="M1052" s="6">
        <v>0</v>
      </c>
      <c r="N1052" s="37" cm="1">
        <f t="array" ref="N1052">IF(OR(ISNUMBER(FIND(Aux!$D$3:$D$9,_xlfn.TEXTJOIN(,,C1052:K1052)))),NA(),IF(AND(SUM(C1052:F1052,H1052:K1052)=0,G1052=1),0,INT((SUMPRODUCT(C1052:F1052,COLUMN($A$1:$D$1)-1)+SUMPRODUCT(H1052:K1052,COLUMN($E$1:$H$1)-1))*'Line Follower'!$C$3/SUM(C1052:F1052,H1052:K1052)-'Line Follower'!$C$5)))</f>
        <v>-2</v>
      </c>
      <c r="O1052" s="22">
        <v>1</v>
      </c>
      <c r="P1052" s="4">
        <f t="shared" si="80"/>
        <v>0</v>
      </c>
      <c r="Q1052" s="4">
        <f t="shared" si="81"/>
        <v>0</v>
      </c>
      <c r="R1052" s="4">
        <f>IF(AND(B1052=1,N1052&gt;'Line Follower'!$C$7,SUM(C1052:K1052)&lt;4),1,0)</f>
        <v>1</v>
      </c>
      <c r="S1052" s="4">
        <f>IF(AND(L1052=1,N1052&lt;'Line Follower'!$C$6,SUM(C1052:K1052)&lt;4),1,0)</f>
        <v>1</v>
      </c>
      <c r="T1052" s="4">
        <f t="shared" si="82"/>
        <v>0</v>
      </c>
      <c r="U1052" s="5">
        <f t="shared" si="83"/>
        <v>0</v>
      </c>
      <c r="V1052" s="23">
        <f t="shared" si="84"/>
        <v>0</v>
      </c>
    </row>
    <row r="1053" spans="2:22" x14ac:dyDescent="0.25">
      <c r="B1053" s="16">
        <v>0</v>
      </c>
      <c r="C1053" s="7">
        <v>1</v>
      </c>
      <c r="D1053" s="8">
        <v>0</v>
      </c>
      <c r="E1053" s="8">
        <v>1</v>
      </c>
      <c r="F1053" s="8">
        <v>1</v>
      </c>
      <c r="G1053" s="8">
        <v>0</v>
      </c>
      <c r="H1053" s="8">
        <v>0</v>
      </c>
      <c r="I1053" s="8">
        <v>0</v>
      </c>
      <c r="J1053" s="8">
        <v>0</v>
      </c>
      <c r="K1053" s="9">
        <v>0</v>
      </c>
      <c r="L1053" s="10">
        <v>1</v>
      </c>
      <c r="M1053" s="6">
        <v>0</v>
      </c>
      <c r="N1053" s="37" t="e" cm="1">
        <f t="array" ref="N1053">IF(OR(ISNUMBER(FIND(Aux!$D$3:$D$9,_xlfn.TEXTJOIN(,,C1053:K1053)))),NA(),IF(AND(SUM(C1053:F1053,H1053:K1053)=0,G1053=1),0,INT((SUMPRODUCT(C1053:F1053,COLUMN($A$1:$D$1)-1)+SUMPRODUCT(H1053:K1053,COLUMN($E$1:$H$1)-1))*'Line Follower'!$C$3/SUM(C1053:F1053,H1053:K1053)-'Line Follower'!$C$5)))</f>
        <v>#N/A</v>
      </c>
      <c r="O1053" s="22" t="e">
        <v>#N/A</v>
      </c>
      <c r="P1053" s="4" t="e">
        <f t="shared" si="80"/>
        <v>#N/A</v>
      </c>
      <c r="Q1053" s="4" t="e">
        <f t="shared" si="81"/>
        <v>#N/A</v>
      </c>
      <c r="R1053" s="4" t="e">
        <f>IF(AND(B1053=1,N1053&gt;'Line Follower'!$C$7,SUM(C1053:K1053)&lt;4),1,0)</f>
        <v>#N/A</v>
      </c>
      <c r="S1053" s="4" t="e">
        <f>IF(AND(L1053=1,N1053&lt;'Line Follower'!$C$6,SUM(C1053:K1053)&lt;4),1,0)</f>
        <v>#N/A</v>
      </c>
      <c r="T1053" s="4" t="e">
        <f t="shared" si="82"/>
        <v>#N/A</v>
      </c>
      <c r="U1053" s="5" t="e">
        <f t="shared" si="83"/>
        <v>#N/A</v>
      </c>
      <c r="V1053" s="23" t="e">
        <f t="shared" si="84"/>
        <v>#N/A</v>
      </c>
    </row>
    <row r="1054" spans="2:22" x14ac:dyDescent="0.25">
      <c r="B1054" s="16">
        <v>1</v>
      </c>
      <c r="C1054" s="7">
        <v>1</v>
      </c>
      <c r="D1054" s="8">
        <v>0</v>
      </c>
      <c r="E1054" s="8">
        <v>1</v>
      </c>
      <c r="F1054" s="8">
        <v>1</v>
      </c>
      <c r="G1054" s="8">
        <v>0</v>
      </c>
      <c r="H1054" s="8">
        <v>0</v>
      </c>
      <c r="I1054" s="8">
        <v>0</v>
      </c>
      <c r="J1054" s="8">
        <v>0</v>
      </c>
      <c r="K1054" s="9">
        <v>0</v>
      </c>
      <c r="L1054" s="10">
        <v>1</v>
      </c>
      <c r="M1054" s="6">
        <v>0</v>
      </c>
      <c r="N1054" s="37" t="e" cm="1">
        <f t="array" ref="N1054">IF(OR(ISNUMBER(FIND(Aux!$D$3:$D$9,_xlfn.TEXTJOIN(,,C1054:K1054)))),NA(),IF(AND(SUM(C1054:F1054,H1054:K1054)=0,G1054=1),0,INT((SUMPRODUCT(C1054:F1054,COLUMN($A$1:$D$1)-1)+SUMPRODUCT(H1054:K1054,COLUMN($E$1:$H$1)-1))*'Line Follower'!$C$3/SUM(C1054:F1054,H1054:K1054)-'Line Follower'!$C$5)))</f>
        <v>#N/A</v>
      </c>
      <c r="O1054" s="22" t="e">
        <v>#N/A</v>
      </c>
      <c r="P1054" s="4" t="e">
        <f t="shared" si="80"/>
        <v>#N/A</v>
      </c>
      <c r="Q1054" s="4" t="e">
        <f t="shared" si="81"/>
        <v>#N/A</v>
      </c>
      <c r="R1054" s="4" t="e">
        <f>IF(AND(B1054=1,N1054&gt;'Line Follower'!$C$7,SUM(C1054:K1054)&lt;4),1,0)</f>
        <v>#N/A</v>
      </c>
      <c r="S1054" s="4" t="e">
        <f>IF(AND(L1054=1,N1054&lt;'Line Follower'!$C$6,SUM(C1054:K1054)&lt;4),1,0)</f>
        <v>#N/A</v>
      </c>
      <c r="T1054" s="4" t="e">
        <f t="shared" si="82"/>
        <v>#N/A</v>
      </c>
      <c r="U1054" s="5" t="e">
        <f t="shared" si="83"/>
        <v>#N/A</v>
      </c>
      <c r="V1054" s="23" t="e">
        <f t="shared" si="84"/>
        <v>#N/A</v>
      </c>
    </row>
    <row r="1055" spans="2:22" x14ac:dyDescent="0.25">
      <c r="B1055" s="16">
        <v>0</v>
      </c>
      <c r="C1055" s="7">
        <v>0</v>
      </c>
      <c r="D1055" s="8">
        <v>1</v>
      </c>
      <c r="E1055" s="8">
        <v>1</v>
      </c>
      <c r="F1055" s="8">
        <v>1</v>
      </c>
      <c r="G1055" s="8">
        <v>0</v>
      </c>
      <c r="H1055" s="8">
        <v>0</v>
      </c>
      <c r="I1055" s="8">
        <v>0</v>
      </c>
      <c r="J1055" s="8">
        <v>0</v>
      </c>
      <c r="K1055" s="9">
        <v>0</v>
      </c>
      <c r="L1055" s="10">
        <v>1</v>
      </c>
      <c r="M1055" s="6">
        <v>0</v>
      </c>
      <c r="N1055" s="37" cm="1">
        <f t="array" ref="N1055">IF(OR(ISNUMBER(FIND(Aux!$D$3:$D$9,_xlfn.TEXTJOIN(,,C1055:K1055)))),NA(),IF(AND(SUM(C1055:F1055,H1055:K1055)=0,G1055=1),0,INT((SUMPRODUCT(C1055:F1055,COLUMN($A$1:$D$1)-1)+SUMPRODUCT(H1055:K1055,COLUMN($E$1:$H$1)-1))*'Line Follower'!$C$3/SUM(C1055:F1055,H1055:K1055)-'Line Follower'!$C$5)))</f>
        <v>-3</v>
      </c>
      <c r="O1055" s="22">
        <v>1</v>
      </c>
      <c r="P1055" s="4">
        <f t="shared" si="80"/>
        <v>0</v>
      </c>
      <c r="Q1055" s="4">
        <f t="shared" si="81"/>
        <v>0</v>
      </c>
      <c r="R1055" s="4">
        <f>IF(AND(B1055=1,N1055&gt;'Line Follower'!$C$7,SUM(C1055:K1055)&lt;4),1,0)</f>
        <v>0</v>
      </c>
      <c r="S1055" s="4">
        <f>IF(AND(L1055=1,N1055&lt;'Line Follower'!$C$6,SUM(C1055:K1055)&lt;4),1,0)</f>
        <v>1</v>
      </c>
      <c r="T1055" s="4">
        <f t="shared" si="82"/>
        <v>0</v>
      </c>
      <c r="U1055" s="5">
        <f t="shared" si="83"/>
        <v>0</v>
      </c>
      <c r="V1055" s="23">
        <f t="shared" si="84"/>
        <v>0</v>
      </c>
    </row>
    <row r="1056" spans="2:22" x14ac:dyDescent="0.25">
      <c r="B1056" s="16">
        <v>1</v>
      </c>
      <c r="C1056" s="7">
        <v>0</v>
      </c>
      <c r="D1056" s="8">
        <v>1</v>
      </c>
      <c r="E1056" s="8">
        <v>1</v>
      </c>
      <c r="F1056" s="8">
        <v>1</v>
      </c>
      <c r="G1056" s="8">
        <v>0</v>
      </c>
      <c r="H1056" s="8">
        <v>0</v>
      </c>
      <c r="I1056" s="8">
        <v>0</v>
      </c>
      <c r="J1056" s="8">
        <v>0</v>
      </c>
      <c r="K1056" s="9">
        <v>0</v>
      </c>
      <c r="L1056" s="10">
        <v>1</v>
      </c>
      <c r="M1056" s="6">
        <v>0</v>
      </c>
      <c r="N1056" s="37" cm="1">
        <f t="array" ref="N1056">IF(OR(ISNUMBER(FIND(Aux!$D$3:$D$9,_xlfn.TEXTJOIN(,,C1056:K1056)))),NA(),IF(AND(SUM(C1056:F1056,H1056:K1056)=0,G1056=1),0,INT((SUMPRODUCT(C1056:F1056,COLUMN($A$1:$D$1)-1)+SUMPRODUCT(H1056:K1056,COLUMN($E$1:$H$1)-1))*'Line Follower'!$C$3/SUM(C1056:F1056,H1056:K1056)-'Line Follower'!$C$5)))</f>
        <v>-3</v>
      </c>
      <c r="O1056" s="22">
        <v>1</v>
      </c>
      <c r="P1056" s="4">
        <f t="shared" si="80"/>
        <v>0</v>
      </c>
      <c r="Q1056" s="4">
        <f t="shared" si="81"/>
        <v>0</v>
      </c>
      <c r="R1056" s="4">
        <f>IF(AND(B1056=1,N1056&gt;'Line Follower'!$C$7,SUM(C1056:K1056)&lt;4),1,0)</f>
        <v>1</v>
      </c>
      <c r="S1056" s="4">
        <f>IF(AND(L1056=1,N1056&lt;'Line Follower'!$C$6,SUM(C1056:K1056)&lt;4),1,0)</f>
        <v>1</v>
      </c>
      <c r="T1056" s="4">
        <f t="shared" si="82"/>
        <v>0</v>
      </c>
      <c r="U1056" s="5">
        <f t="shared" si="83"/>
        <v>0</v>
      </c>
      <c r="V1056" s="23">
        <f t="shared" si="84"/>
        <v>0</v>
      </c>
    </row>
    <row r="1057" spans="2:22" x14ac:dyDescent="0.25">
      <c r="B1057" s="16">
        <v>0</v>
      </c>
      <c r="C1057" s="7">
        <v>1</v>
      </c>
      <c r="D1057" s="8">
        <v>1</v>
      </c>
      <c r="E1057" s="8">
        <v>1</v>
      </c>
      <c r="F1057" s="8">
        <v>1</v>
      </c>
      <c r="G1057" s="8">
        <v>0</v>
      </c>
      <c r="H1057" s="8">
        <v>0</v>
      </c>
      <c r="I1057" s="8">
        <v>0</v>
      </c>
      <c r="J1057" s="8">
        <v>0</v>
      </c>
      <c r="K1057" s="9">
        <v>0</v>
      </c>
      <c r="L1057" s="10">
        <v>1</v>
      </c>
      <c r="M1057" s="6">
        <v>0</v>
      </c>
      <c r="N1057" s="37" cm="1">
        <f t="array" ref="N1057">IF(OR(ISNUMBER(FIND(Aux!$D$3:$D$9,_xlfn.TEXTJOIN(,,C1057:K1057)))),NA(),IF(AND(SUM(C1057:F1057,H1057:K1057)=0,G1057=1),0,INT((SUMPRODUCT(C1057:F1057,COLUMN($A$1:$D$1)-1)+SUMPRODUCT(H1057:K1057,COLUMN($E$1:$H$1)-1))*'Line Follower'!$C$3/SUM(C1057:F1057,H1057:K1057)-'Line Follower'!$C$5)))</f>
        <v>-4</v>
      </c>
      <c r="O1057" s="22">
        <v>1</v>
      </c>
      <c r="P1057" s="4">
        <f t="shared" si="80"/>
        <v>0</v>
      </c>
      <c r="Q1057" s="4">
        <f t="shared" si="81"/>
        <v>1</v>
      </c>
      <c r="R1057" s="4">
        <f>IF(AND(B1057=1,N1057&gt;'Line Follower'!$C$7,SUM(C1057:K1057)&lt;4),1,0)</f>
        <v>0</v>
      </c>
      <c r="S1057" s="4">
        <f>IF(AND(L1057=1,N1057&lt;'Line Follower'!$C$6,SUM(C1057:K1057)&lt;4),1,0)</f>
        <v>0</v>
      </c>
      <c r="T1057" s="4">
        <f t="shared" si="82"/>
        <v>0</v>
      </c>
      <c r="U1057" s="5">
        <f t="shared" si="83"/>
        <v>0</v>
      </c>
      <c r="V1057" s="23">
        <f t="shared" si="84"/>
        <v>0</v>
      </c>
    </row>
    <row r="1058" spans="2:22" x14ac:dyDescent="0.25">
      <c r="B1058" s="16">
        <v>1</v>
      </c>
      <c r="C1058" s="7">
        <v>1</v>
      </c>
      <c r="D1058" s="8">
        <v>1</v>
      </c>
      <c r="E1058" s="8">
        <v>1</v>
      </c>
      <c r="F1058" s="8">
        <v>1</v>
      </c>
      <c r="G1058" s="8">
        <v>0</v>
      </c>
      <c r="H1058" s="8">
        <v>0</v>
      </c>
      <c r="I1058" s="8">
        <v>0</v>
      </c>
      <c r="J1058" s="8">
        <v>0</v>
      </c>
      <c r="K1058" s="9">
        <v>0</v>
      </c>
      <c r="L1058" s="10">
        <v>1</v>
      </c>
      <c r="M1058" s="6">
        <v>0</v>
      </c>
      <c r="N1058" s="37" cm="1">
        <f t="array" ref="N1058">IF(OR(ISNUMBER(FIND(Aux!$D$3:$D$9,_xlfn.TEXTJOIN(,,C1058:K1058)))),NA(),IF(AND(SUM(C1058:F1058,H1058:K1058)=0,G1058=1),0,INT((SUMPRODUCT(C1058:F1058,COLUMN($A$1:$D$1)-1)+SUMPRODUCT(H1058:K1058,COLUMN($E$1:$H$1)-1))*'Line Follower'!$C$3/SUM(C1058:F1058,H1058:K1058)-'Line Follower'!$C$5)))</f>
        <v>-4</v>
      </c>
      <c r="O1058" s="22">
        <v>1</v>
      </c>
      <c r="P1058" s="4">
        <f t="shared" si="80"/>
        <v>0</v>
      </c>
      <c r="Q1058" s="4">
        <f t="shared" si="81"/>
        <v>1</v>
      </c>
      <c r="R1058" s="4">
        <f>IF(AND(B1058=1,N1058&gt;'Line Follower'!$C$7,SUM(C1058:K1058)&lt;4),1,0)</f>
        <v>0</v>
      </c>
      <c r="S1058" s="4">
        <f>IF(AND(L1058=1,N1058&lt;'Line Follower'!$C$6,SUM(C1058:K1058)&lt;4),1,0)</f>
        <v>0</v>
      </c>
      <c r="T1058" s="4">
        <f t="shared" si="82"/>
        <v>0</v>
      </c>
      <c r="U1058" s="5">
        <f t="shared" si="83"/>
        <v>0</v>
      </c>
      <c r="V1058" s="23">
        <f t="shared" si="84"/>
        <v>0</v>
      </c>
    </row>
    <row r="1059" spans="2:22" x14ac:dyDescent="0.25">
      <c r="B1059" s="16">
        <v>0</v>
      </c>
      <c r="C1059" s="7">
        <v>0</v>
      </c>
      <c r="D1059" s="8">
        <v>0</v>
      </c>
      <c r="E1059" s="8">
        <v>0</v>
      </c>
      <c r="F1059" s="8">
        <v>0</v>
      </c>
      <c r="G1059" s="8">
        <v>1</v>
      </c>
      <c r="H1059" s="8">
        <v>0</v>
      </c>
      <c r="I1059" s="8">
        <v>0</v>
      </c>
      <c r="J1059" s="8">
        <v>0</v>
      </c>
      <c r="K1059" s="9">
        <v>0</v>
      </c>
      <c r="L1059" s="10">
        <v>1</v>
      </c>
      <c r="M1059" s="6">
        <v>0</v>
      </c>
      <c r="N1059" s="37" cm="1">
        <f t="array" ref="N1059">IF(OR(ISNUMBER(FIND(Aux!$D$3:$D$9,_xlfn.TEXTJOIN(,,C1059:K1059)))),NA(),IF(AND(SUM(C1059:F1059,H1059:K1059)=0,G1059=1),0,INT((SUMPRODUCT(C1059:F1059,COLUMN($A$1:$D$1)-1)+SUMPRODUCT(H1059:K1059,COLUMN($E$1:$H$1)-1))*'Line Follower'!$C$3/SUM(C1059:F1059,H1059:K1059)-'Line Follower'!$C$5)))</f>
        <v>0</v>
      </c>
      <c r="O1059" s="22">
        <v>1</v>
      </c>
      <c r="P1059" s="4">
        <f t="shared" si="80"/>
        <v>0</v>
      </c>
      <c r="Q1059" s="4">
        <f t="shared" si="81"/>
        <v>0</v>
      </c>
      <c r="R1059" s="4">
        <f>IF(AND(B1059=1,N1059&gt;'Line Follower'!$C$7,SUM(C1059:K1059)&lt;4),1,0)</f>
        <v>0</v>
      </c>
      <c r="S1059" s="4">
        <f>IF(AND(L1059=1,N1059&lt;'Line Follower'!$C$6,SUM(C1059:K1059)&lt;4),1,0)</f>
        <v>1</v>
      </c>
      <c r="T1059" s="4">
        <f t="shared" si="82"/>
        <v>0</v>
      </c>
      <c r="U1059" s="5">
        <f t="shared" si="83"/>
        <v>0</v>
      </c>
      <c r="V1059" s="23">
        <f t="shared" si="84"/>
        <v>0</v>
      </c>
    </row>
    <row r="1060" spans="2:22" x14ac:dyDescent="0.25">
      <c r="B1060" s="16">
        <v>1</v>
      </c>
      <c r="C1060" s="7">
        <v>0</v>
      </c>
      <c r="D1060" s="8">
        <v>0</v>
      </c>
      <c r="E1060" s="8">
        <v>0</v>
      </c>
      <c r="F1060" s="8">
        <v>0</v>
      </c>
      <c r="G1060" s="8">
        <v>1</v>
      </c>
      <c r="H1060" s="8">
        <v>0</v>
      </c>
      <c r="I1060" s="8">
        <v>0</v>
      </c>
      <c r="J1060" s="8">
        <v>0</v>
      </c>
      <c r="K1060" s="9">
        <v>0</v>
      </c>
      <c r="L1060" s="10">
        <v>1</v>
      </c>
      <c r="M1060" s="6">
        <v>0</v>
      </c>
      <c r="N1060" s="37" cm="1">
        <f t="array" ref="N1060">IF(OR(ISNUMBER(FIND(Aux!$D$3:$D$9,_xlfn.TEXTJOIN(,,C1060:K1060)))),NA(),IF(AND(SUM(C1060:F1060,H1060:K1060)=0,G1060=1),0,INT((SUMPRODUCT(C1060:F1060,COLUMN($A$1:$D$1)-1)+SUMPRODUCT(H1060:K1060,COLUMN($E$1:$H$1)-1))*'Line Follower'!$C$3/SUM(C1060:F1060,H1060:K1060)-'Line Follower'!$C$5)))</f>
        <v>0</v>
      </c>
      <c r="O1060" s="22">
        <v>1</v>
      </c>
      <c r="P1060" s="4">
        <f t="shared" si="80"/>
        <v>0</v>
      </c>
      <c r="Q1060" s="4">
        <f t="shared" si="81"/>
        <v>0</v>
      </c>
      <c r="R1060" s="4">
        <f>IF(AND(B1060=1,N1060&gt;'Line Follower'!$C$7,SUM(C1060:K1060)&lt;4),1,0)</f>
        <v>1</v>
      </c>
      <c r="S1060" s="4">
        <f>IF(AND(L1060=1,N1060&lt;'Line Follower'!$C$6,SUM(C1060:K1060)&lt;4),1,0)</f>
        <v>1</v>
      </c>
      <c r="T1060" s="4">
        <f t="shared" si="82"/>
        <v>0</v>
      </c>
      <c r="U1060" s="5">
        <f t="shared" si="83"/>
        <v>0</v>
      </c>
      <c r="V1060" s="23">
        <f t="shared" si="84"/>
        <v>0</v>
      </c>
    </row>
    <row r="1061" spans="2:22" x14ac:dyDescent="0.25">
      <c r="B1061" s="16">
        <v>0</v>
      </c>
      <c r="C1061" s="7">
        <v>1</v>
      </c>
      <c r="D1061" s="8">
        <v>0</v>
      </c>
      <c r="E1061" s="8">
        <v>0</v>
      </c>
      <c r="F1061" s="8">
        <v>0</v>
      </c>
      <c r="G1061" s="8">
        <v>1</v>
      </c>
      <c r="H1061" s="8">
        <v>0</v>
      </c>
      <c r="I1061" s="8">
        <v>0</v>
      </c>
      <c r="J1061" s="8">
        <v>0</v>
      </c>
      <c r="K1061" s="9">
        <v>0</v>
      </c>
      <c r="L1061" s="10">
        <v>1</v>
      </c>
      <c r="M1061" s="6">
        <v>0</v>
      </c>
      <c r="N1061" s="37" t="e" cm="1">
        <f t="array" ref="N1061">IF(OR(ISNUMBER(FIND(Aux!$D$3:$D$9,_xlfn.TEXTJOIN(,,C1061:K1061)))),NA(),IF(AND(SUM(C1061:F1061,H1061:K1061)=0,G1061=1),0,INT((SUMPRODUCT(C1061:F1061,COLUMN($A$1:$D$1)-1)+SUMPRODUCT(H1061:K1061,COLUMN($E$1:$H$1)-1))*'Line Follower'!$C$3/SUM(C1061:F1061,H1061:K1061)-'Line Follower'!$C$5)))</f>
        <v>#N/A</v>
      </c>
      <c r="O1061" s="22" t="e">
        <v>#N/A</v>
      </c>
      <c r="P1061" s="4" t="e">
        <f t="shared" si="80"/>
        <v>#N/A</v>
      </c>
      <c r="Q1061" s="4" t="e">
        <f t="shared" si="81"/>
        <v>#N/A</v>
      </c>
      <c r="R1061" s="4" t="e">
        <f>IF(AND(B1061=1,N1061&gt;'Line Follower'!$C$7,SUM(C1061:K1061)&lt;4),1,0)</f>
        <v>#N/A</v>
      </c>
      <c r="S1061" s="4" t="e">
        <f>IF(AND(L1061=1,N1061&lt;'Line Follower'!$C$6,SUM(C1061:K1061)&lt;4),1,0)</f>
        <v>#N/A</v>
      </c>
      <c r="T1061" s="4" t="e">
        <f t="shared" si="82"/>
        <v>#N/A</v>
      </c>
      <c r="U1061" s="5" t="e">
        <f t="shared" si="83"/>
        <v>#N/A</v>
      </c>
      <c r="V1061" s="23" t="e">
        <f t="shared" si="84"/>
        <v>#N/A</v>
      </c>
    </row>
    <row r="1062" spans="2:22" x14ac:dyDescent="0.25">
      <c r="B1062" s="16">
        <v>1</v>
      </c>
      <c r="C1062" s="7">
        <v>1</v>
      </c>
      <c r="D1062" s="8">
        <v>0</v>
      </c>
      <c r="E1062" s="8">
        <v>0</v>
      </c>
      <c r="F1062" s="8">
        <v>0</v>
      </c>
      <c r="G1062" s="8">
        <v>1</v>
      </c>
      <c r="H1062" s="8">
        <v>0</v>
      </c>
      <c r="I1062" s="8">
        <v>0</v>
      </c>
      <c r="J1062" s="8">
        <v>0</v>
      </c>
      <c r="K1062" s="9">
        <v>0</v>
      </c>
      <c r="L1062" s="10">
        <v>1</v>
      </c>
      <c r="M1062" s="6">
        <v>0</v>
      </c>
      <c r="N1062" s="37" t="e" cm="1">
        <f t="array" ref="N1062">IF(OR(ISNUMBER(FIND(Aux!$D$3:$D$9,_xlfn.TEXTJOIN(,,C1062:K1062)))),NA(),IF(AND(SUM(C1062:F1062,H1062:K1062)=0,G1062=1),0,INT((SUMPRODUCT(C1062:F1062,COLUMN($A$1:$D$1)-1)+SUMPRODUCT(H1062:K1062,COLUMN($E$1:$H$1)-1))*'Line Follower'!$C$3/SUM(C1062:F1062,H1062:K1062)-'Line Follower'!$C$5)))</f>
        <v>#N/A</v>
      </c>
      <c r="O1062" s="22" t="e">
        <v>#N/A</v>
      </c>
      <c r="P1062" s="4" t="e">
        <f t="shared" si="80"/>
        <v>#N/A</v>
      </c>
      <c r="Q1062" s="4" t="e">
        <f t="shared" si="81"/>
        <v>#N/A</v>
      </c>
      <c r="R1062" s="4" t="e">
        <f>IF(AND(B1062=1,N1062&gt;'Line Follower'!$C$7,SUM(C1062:K1062)&lt;4),1,0)</f>
        <v>#N/A</v>
      </c>
      <c r="S1062" s="4" t="e">
        <f>IF(AND(L1062=1,N1062&lt;'Line Follower'!$C$6,SUM(C1062:K1062)&lt;4),1,0)</f>
        <v>#N/A</v>
      </c>
      <c r="T1062" s="4" t="e">
        <f t="shared" si="82"/>
        <v>#N/A</v>
      </c>
      <c r="U1062" s="5" t="e">
        <f t="shared" si="83"/>
        <v>#N/A</v>
      </c>
      <c r="V1062" s="23" t="e">
        <f t="shared" si="84"/>
        <v>#N/A</v>
      </c>
    </row>
    <row r="1063" spans="2:22" x14ac:dyDescent="0.25">
      <c r="B1063" s="16">
        <v>0</v>
      </c>
      <c r="C1063" s="7">
        <v>0</v>
      </c>
      <c r="D1063" s="8">
        <v>1</v>
      </c>
      <c r="E1063" s="8">
        <v>0</v>
      </c>
      <c r="F1063" s="8">
        <v>0</v>
      </c>
      <c r="G1063" s="8">
        <v>1</v>
      </c>
      <c r="H1063" s="8">
        <v>0</v>
      </c>
      <c r="I1063" s="8">
        <v>0</v>
      </c>
      <c r="J1063" s="8">
        <v>0</v>
      </c>
      <c r="K1063" s="9">
        <v>0</v>
      </c>
      <c r="L1063" s="10">
        <v>1</v>
      </c>
      <c r="M1063" s="6">
        <v>0</v>
      </c>
      <c r="N1063" s="37" t="e" cm="1">
        <f t="array" ref="N1063">IF(OR(ISNUMBER(FIND(Aux!$D$3:$D$9,_xlfn.TEXTJOIN(,,C1063:K1063)))),NA(),IF(AND(SUM(C1063:F1063,H1063:K1063)=0,G1063=1),0,INT((SUMPRODUCT(C1063:F1063,COLUMN($A$1:$D$1)-1)+SUMPRODUCT(H1063:K1063,COLUMN($E$1:$H$1)-1))*'Line Follower'!$C$3/SUM(C1063:F1063,H1063:K1063)-'Line Follower'!$C$5)))</f>
        <v>#N/A</v>
      </c>
      <c r="O1063" s="22" t="e">
        <v>#N/A</v>
      </c>
      <c r="P1063" s="4" t="e">
        <f t="shared" si="80"/>
        <v>#N/A</v>
      </c>
      <c r="Q1063" s="4" t="e">
        <f t="shared" si="81"/>
        <v>#N/A</v>
      </c>
      <c r="R1063" s="4" t="e">
        <f>IF(AND(B1063=1,N1063&gt;'Line Follower'!$C$7,SUM(C1063:K1063)&lt;4),1,0)</f>
        <v>#N/A</v>
      </c>
      <c r="S1063" s="4" t="e">
        <f>IF(AND(L1063=1,N1063&lt;'Line Follower'!$C$6,SUM(C1063:K1063)&lt;4),1,0)</f>
        <v>#N/A</v>
      </c>
      <c r="T1063" s="4" t="e">
        <f t="shared" si="82"/>
        <v>#N/A</v>
      </c>
      <c r="U1063" s="5" t="e">
        <f t="shared" si="83"/>
        <v>#N/A</v>
      </c>
      <c r="V1063" s="23" t="e">
        <f t="shared" si="84"/>
        <v>#N/A</v>
      </c>
    </row>
    <row r="1064" spans="2:22" x14ac:dyDescent="0.25">
      <c r="B1064" s="16">
        <v>1</v>
      </c>
      <c r="C1064" s="7">
        <v>0</v>
      </c>
      <c r="D1064" s="8">
        <v>1</v>
      </c>
      <c r="E1064" s="8">
        <v>0</v>
      </c>
      <c r="F1064" s="8">
        <v>0</v>
      </c>
      <c r="G1064" s="8">
        <v>1</v>
      </c>
      <c r="H1064" s="8">
        <v>0</v>
      </c>
      <c r="I1064" s="8">
        <v>0</v>
      </c>
      <c r="J1064" s="8">
        <v>0</v>
      </c>
      <c r="K1064" s="9">
        <v>0</v>
      </c>
      <c r="L1064" s="10">
        <v>1</v>
      </c>
      <c r="M1064" s="6">
        <v>0</v>
      </c>
      <c r="N1064" s="37" t="e" cm="1">
        <f t="array" ref="N1064">IF(OR(ISNUMBER(FIND(Aux!$D$3:$D$9,_xlfn.TEXTJOIN(,,C1064:K1064)))),NA(),IF(AND(SUM(C1064:F1064,H1064:K1064)=0,G1064=1),0,INT((SUMPRODUCT(C1064:F1064,COLUMN($A$1:$D$1)-1)+SUMPRODUCT(H1064:K1064,COLUMN($E$1:$H$1)-1))*'Line Follower'!$C$3/SUM(C1064:F1064,H1064:K1064)-'Line Follower'!$C$5)))</f>
        <v>#N/A</v>
      </c>
      <c r="O1064" s="22" t="e">
        <v>#N/A</v>
      </c>
      <c r="P1064" s="4" t="e">
        <f t="shared" si="80"/>
        <v>#N/A</v>
      </c>
      <c r="Q1064" s="4" t="e">
        <f t="shared" si="81"/>
        <v>#N/A</v>
      </c>
      <c r="R1064" s="4" t="e">
        <f>IF(AND(B1064=1,N1064&gt;'Line Follower'!$C$7,SUM(C1064:K1064)&lt;4),1,0)</f>
        <v>#N/A</v>
      </c>
      <c r="S1064" s="4" t="e">
        <f>IF(AND(L1064=1,N1064&lt;'Line Follower'!$C$6,SUM(C1064:K1064)&lt;4),1,0)</f>
        <v>#N/A</v>
      </c>
      <c r="T1064" s="4" t="e">
        <f t="shared" si="82"/>
        <v>#N/A</v>
      </c>
      <c r="U1064" s="5" t="e">
        <f t="shared" si="83"/>
        <v>#N/A</v>
      </c>
      <c r="V1064" s="23" t="e">
        <f t="shared" si="84"/>
        <v>#N/A</v>
      </c>
    </row>
    <row r="1065" spans="2:22" x14ac:dyDescent="0.25">
      <c r="B1065" s="16">
        <v>0</v>
      </c>
      <c r="C1065" s="7">
        <v>1</v>
      </c>
      <c r="D1065" s="8">
        <v>1</v>
      </c>
      <c r="E1065" s="8">
        <v>0</v>
      </c>
      <c r="F1065" s="8">
        <v>0</v>
      </c>
      <c r="G1065" s="8">
        <v>1</v>
      </c>
      <c r="H1065" s="8">
        <v>0</v>
      </c>
      <c r="I1065" s="8">
        <v>0</v>
      </c>
      <c r="J1065" s="8">
        <v>0</v>
      </c>
      <c r="K1065" s="9">
        <v>0</v>
      </c>
      <c r="L1065" s="10">
        <v>1</v>
      </c>
      <c r="M1065" s="6">
        <v>0</v>
      </c>
      <c r="N1065" s="37" t="e" cm="1">
        <f t="array" ref="N1065">IF(OR(ISNUMBER(FIND(Aux!$D$3:$D$9,_xlfn.TEXTJOIN(,,C1065:K1065)))),NA(),IF(AND(SUM(C1065:F1065,H1065:K1065)=0,G1065=1),0,INT((SUMPRODUCT(C1065:F1065,COLUMN($A$1:$D$1)-1)+SUMPRODUCT(H1065:K1065,COLUMN($E$1:$H$1)-1))*'Line Follower'!$C$3/SUM(C1065:F1065,H1065:K1065)-'Line Follower'!$C$5)))</f>
        <v>#N/A</v>
      </c>
      <c r="O1065" s="22" t="e">
        <v>#N/A</v>
      </c>
      <c r="P1065" s="4" t="e">
        <f t="shared" si="80"/>
        <v>#N/A</v>
      </c>
      <c r="Q1065" s="4" t="e">
        <f t="shared" si="81"/>
        <v>#N/A</v>
      </c>
      <c r="R1065" s="4" t="e">
        <f>IF(AND(B1065=1,N1065&gt;'Line Follower'!$C$7,SUM(C1065:K1065)&lt;4),1,0)</f>
        <v>#N/A</v>
      </c>
      <c r="S1065" s="4" t="e">
        <f>IF(AND(L1065=1,N1065&lt;'Line Follower'!$C$6,SUM(C1065:K1065)&lt;4),1,0)</f>
        <v>#N/A</v>
      </c>
      <c r="T1065" s="4" t="e">
        <f t="shared" si="82"/>
        <v>#N/A</v>
      </c>
      <c r="U1065" s="5" t="e">
        <f t="shared" si="83"/>
        <v>#N/A</v>
      </c>
      <c r="V1065" s="23" t="e">
        <f t="shared" si="84"/>
        <v>#N/A</v>
      </c>
    </row>
    <row r="1066" spans="2:22" x14ac:dyDescent="0.25">
      <c r="B1066" s="16">
        <v>1</v>
      </c>
      <c r="C1066" s="7">
        <v>1</v>
      </c>
      <c r="D1066" s="8">
        <v>1</v>
      </c>
      <c r="E1066" s="8">
        <v>0</v>
      </c>
      <c r="F1066" s="8">
        <v>0</v>
      </c>
      <c r="G1066" s="8">
        <v>1</v>
      </c>
      <c r="H1066" s="8">
        <v>0</v>
      </c>
      <c r="I1066" s="8">
        <v>0</v>
      </c>
      <c r="J1066" s="8">
        <v>0</v>
      </c>
      <c r="K1066" s="9">
        <v>0</v>
      </c>
      <c r="L1066" s="10">
        <v>1</v>
      </c>
      <c r="M1066" s="6">
        <v>0</v>
      </c>
      <c r="N1066" s="37" t="e" cm="1">
        <f t="array" ref="N1066">IF(OR(ISNUMBER(FIND(Aux!$D$3:$D$9,_xlfn.TEXTJOIN(,,C1066:K1066)))),NA(),IF(AND(SUM(C1066:F1066,H1066:K1066)=0,G1066=1),0,INT((SUMPRODUCT(C1066:F1066,COLUMN($A$1:$D$1)-1)+SUMPRODUCT(H1066:K1066,COLUMN($E$1:$H$1)-1))*'Line Follower'!$C$3/SUM(C1066:F1066,H1066:K1066)-'Line Follower'!$C$5)))</f>
        <v>#N/A</v>
      </c>
      <c r="O1066" s="22" t="e">
        <v>#N/A</v>
      </c>
      <c r="P1066" s="4" t="e">
        <f t="shared" si="80"/>
        <v>#N/A</v>
      </c>
      <c r="Q1066" s="4" t="e">
        <f t="shared" si="81"/>
        <v>#N/A</v>
      </c>
      <c r="R1066" s="4" t="e">
        <f>IF(AND(B1066=1,N1066&gt;'Line Follower'!$C$7,SUM(C1066:K1066)&lt;4),1,0)</f>
        <v>#N/A</v>
      </c>
      <c r="S1066" s="4" t="e">
        <f>IF(AND(L1066=1,N1066&lt;'Line Follower'!$C$6,SUM(C1066:K1066)&lt;4),1,0)</f>
        <v>#N/A</v>
      </c>
      <c r="T1066" s="4" t="e">
        <f t="shared" si="82"/>
        <v>#N/A</v>
      </c>
      <c r="U1066" s="5" t="e">
        <f t="shared" si="83"/>
        <v>#N/A</v>
      </c>
      <c r="V1066" s="23" t="e">
        <f t="shared" si="84"/>
        <v>#N/A</v>
      </c>
    </row>
    <row r="1067" spans="2:22" x14ac:dyDescent="0.25">
      <c r="B1067" s="16">
        <v>0</v>
      </c>
      <c r="C1067" s="7">
        <v>0</v>
      </c>
      <c r="D1067" s="8">
        <v>0</v>
      </c>
      <c r="E1067" s="8">
        <v>1</v>
      </c>
      <c r="F1067" s="8">
        <v>0</v>
      </c>
      <c r="G1067" s="8">
        <v>1</v>
      </c>
      <c r="H1067" s="8">
        <v>0</v>
      </c>
      <c r="I1067" s="8">
        <v>0</v>
      </c>
      <c r="J1067" s="8">
        <v>0</v>
      </c>
      <c r="K1067" s="9">
        <v>0</v>
      </c>
      <c r="L1067" s="10">
        <v>1</v>
      </c>
      <c r="M1067" s="6">
        <v>0</v>
      </c>
      <c r="N1067" s="37" t="e" cm="1">
        <f t="array" ref="N1067">IF(OR(ISNUMBER(FIND(Aux!$D$3:$D$9,_xlfn.TEXTJOIN(,,C1067:K1067)))),NA(),IF(AND(SUM(C1067:F1067,H1067:K1067)=0,G1067=1),0,INT((SUMPRODUCT(C1067:F1067,COLUMN($A$1:$D$1)-1)+SUMPRODUCT(H1067:K1067,COLUMN($E$1:$H$1)-1))*'Line Follower'!$C$3/SUM(C1067:F1067,H1067:K1067)-'Line Follower'!$C$5)))</f>
        <v>#N/A</v>
      </c>
      <c r="O1067" s="22" t="e">
        <v>#N/A</v>
      </c>
      <c r="P1067" s="4" t="e">
        <f t="shared" si="80"/>
        <v>#N/A</v>
      </c>
      <c r="Q1067" s="4" t="e">
        <f t="shared" si="81"/>
        <v>#N/A</v>
      </c>
      <c r="R1067" s="4" t="e">
        <f>IF(AND(B1067=1,N1067&gt;'Line Follower'!$C$7,SUM(C1067:K1067)&lt;4),1,0)</f>
        <v>#N/A</v>
      </c>
      <c r="S1067" s="4" t="e">
        <f>IF(AND(L1067=1,N1067&lt;'Line Follower'!$C$6,SUM(C1067:K1067)&lt;4),1,0)</f>
        <v>#N/A</v>
      </c>
      <c r="T1067" s="4" t="e">
        <f t="shared" si="82"/>
        <v>#N/A</v>
      </c>
      <c r="U1067" s="5" t="e">
        <f t="shared" si="83"/>
        <v>#N/A</v>
      </c>
      <c r="V1067" s="23" t="e">
        <f t="shared" si="84"/>
        <v>#N/A</v>
      </c>
    </row>
    <row r="1068" spans="2:22" x14ac:dyDescent="0.25">
      <c r="B1068" s="16">
        <v>1</v>
      </c>
      <c r="C1068" s="7">
        <v>0</v>
      </c>
      <c r="D1068" s="8">
        <v>0</v>
      </c>
      <c r="E1068" s="8">
        <v>1</v>
      </c>
      <c r="F1068" s="8">
        <v>0</v>
      </c>
      <c r="G1068" s="8">
        <v>1</v>
      </c>
      <c r="H1068" s="8">
        <v>0</v>
      </c>
      <c r="I1068" s="8">
        <v>0</v>
      </c>
      <c r="J1068" s="8">
        <v>0</v>
      </c>
      <c r="K1068" s="9">
        <v>0</v>
      </c>
      <c r="L1068" s="10">
        <v>1</v>
      </c>
      <c r="M1068" s="6">
        <v>0</v>
      </c>
      <c r="N1068" s="37" t="e" cm="1">
        <f t="array" ref="N1068">IF(OR(ISNUMBER(FIND(Aux!$D$3:$D$9,_xlfn.TEXTJOIN(,,C1068:K1068)))),NA(),IF(AND(SUM(C1068:F1068,H1068:K1068)=0,G1068=1),0,INT((SUMPRODUCT(C1068:F1068,COLUMN($A$1:$D$1)-1)+SUMPRODUCT(H1068:K1068,COLUMN($E$1:$H$1)-1))*'Line Follower'!$C$3/SUM(C1068:F1068,H1068:K1068)-'Line Follower'!$C$5)))</f>
        <v>#N/A</v>
      </c>
      <c r="O1068" s="22" t="e">
        <v>#N/A</v>
      </c>
      <c r="P1068" s="4" t="e">
        <f t="shared" si="80"/>
        <v>#N/A</v>
      </c>
      <c r="Q1068" s="4" t="e">
        <f t="shared" si="81"/>
        <v>#N/A</v>
      </c>
      <c r="R1068" s="4" t="e">
        <f>IF(AND(B1068=1,N1068&gt;'Line Follower'!$C$7,SUM(C1068:K1068)&lt;4),1,0)</f>
        <v>#N/A</v>
      </c>
      <c r="S1068" s="4" t="e">
        <f>IF(AND(L1068=1,N1068&lt;'Line Follower'!$C$6,SUM(C1068:K1068)&lt;4),1,0)</f>
        <v>#N/A</v>
      </c>
      <c r="T1068" s="4" t="e">
        <f t="shared" si="82"/>
        <v>#N/A</v>
      </c>
      <c r="U1068" s="5" t="e">
        <f t="shared" si="83"/>
        <v>#N/A</v>
      </c>
      <c r="V1068" s="23" t="e">
        <f t="shared" si="84"/>
        <v>#N/A</v>
      </c>
    </row>
    <row r="1069" spans="2:22" x14ac:dyDescent="0.25">
      <c r="B1069" s="16">
        <v>0</v>
      </c>
      <c r="C1069" s="7">
        <v>1</v>
      </c>
      <c r="D1069" s="8">
        <v>0</v>
      </c>
      <c r="E1069" s="8">
        <v>1</v>
      </c>
      <c r="F1069" s="8">
        <v>0</v>
      </c>
      <c r="G1069" s="8">
        <v>1</v>
      </c>
      <c r="H1069" s="8">
        <v>0</v>
      </c>
      <c r="I1069" s="8">
        <v>0</v>
      </c>
      <c r="J1069" s="8">
        <v>0</v>
      </c>
      <c r="K1069" s="9">
        <v>0</v>
      </c>
      <c r="L1069" s="10">
        <v>1</v>
      </c>
      <c r="M1069" s="6">
        <v>0</v>
      </c>
      <c r="N1069" s="37" t="e" cm="1">
        <f t="array" ref="N1069">IF(OR(ISNUMBER(FIND(Aux!$D$3:$D$9,_xlfn.TEXTJOIN(,,C1069:K1069)))),NA(),IF(AND(SUM(C1069:F1069,H1069:K1069)=0,G1069=1),0,INT((SUMPRODUCT(C1069:F1069,COLUMN($A$1:$D$1)-1)+SUMPRODUCT(H1069:K1069,COLUMN($E$1:$H$1)-1))*'Line Follower'!$C$3/SUM(C1069:F1069,H1069:K1069)-'Line Follower'!$C$5)))</f>
        <v>#N/A</v>
      </c>
      <c r="O1069" s="22" t="e">
        <v>#N/A</v>
      </c>
      <c r="P1069" s="4" t="e">
        <f t="shared" si="80"/>
        <v>#N/A</v>
      </c>
      <c r="Q1069" s="4" t="e">
        <f t="shared" si="81"/>
        <v>#N/A</v>
      </c>
      <c r="R1069" s="4" t="e">
        <f>IF(AND(B1069=1,N1069&gt;'Line Follower'!$C$7,SUM(C1069:K1069)&lt;4),1,0)</f>
        <v>#N/A</v>
      </c>
      <c r="S1069" s="4" t="e">
        <f>IF(AND(L1069=1,N1069&lt;'Line Follower'!$C$6,SUM(C1069:K1069)&lt;4),1,0)</f>
        <v>#N/A</v>
      </c>
      <c r="T1069" s="4" t="e">
        <f t="shared" si="82"/>
        <v>#N/A</v>
      </c>
      <c r="U1069" s="5" t="e">
        <f t="shared" si="83"/>
        <v>#N/A</v>
      </c>
      <c r="V1069" s="23" t="e">
        <f t="shared" si="84"/>
        <v>#N/A</v>
      </c>
    </row>
    <row r="1070" spans="2:22" x14ac:dyDescent="0.25">
      <c r="B1070" s="16">
        <v>1</v>
      </c>
      <c r="C1070" s="7">
        <v>1</v>
      </c>
      <c r="D1070" s="8">
        <v>0</v>
      </c>
      <c r="E1070" s="8">
        <v>1</v>
      </c>
      <c r="F1070" s="8">
        <v>0</v>
      </c>
      <c r="G1070" s="8">
        <v>1</v>
      </c>
      <c r="H1070" s="8">
        <v>0</v>
      </c>
      <c r="I1070" s="8">
        <v>0</v>
      </c>
      <c r="J1070" s="8">
        <v>0</v>
      </c>
      <c r="K1070" s="9">
        <v>0</v>
      </c>
      <c r="L1070" s="10">
        <v>1</v>
      </c>
      <c r="M1070" s="6">
        <v>0</v>
      </c>
      <c r="N1070" s="37" t="e" cm="1">
        <f t="array" ref="N1070">IF(OR(ISNUMBER(FIND(Aux!$D$3:$D$9,_xlfn.TEXTJOIN(,,C1070:K1070)))),NA(),IF(AND(SUM(C1070:F1070,H1070:K1070)=0,G1070=1),0,INT((SUMPRODUCT(C1070:F1070,COLUMN($A$1:$D$1)-1)+SUMPRODUCT(H1070:K1070,COLUMN($E$1:$H$1)-1))*'Line Follower'!$C$3/SUM(C1070:F1070,H1070:K1070)-'Line Follower'!$C$5)))</f>
        <v>#N/A</v>
      </c>
      <c r="O1070" s="22" t="e">
        <v>#N/A</v>
      </c>
      <c r="P1070" s="4" t="e">
        <f t="shared" si="80"/>
        <v>#N/A</v>
      </c>
      <c r="Q1070" s="4" t="e">
        <f t="shared" si="81"/>
        <v>#N/A</v>
      </c>
      <c r="R1070" s="4" t="e">
        <f>IF(AND(B1070=1,N1070&gt;'Line Follower'!$C$7,SUM(C1070:K1070)&lt;4),1,0)</f>
        <v>#N/A</v>
      </c>
      <c r="S1070" s="4" t="e">
        <f>IF(AND(L1070=1,N1070&lt;'Line Follower'!$C$6,SUM(C1070:K1070)&lt;4),1,0)</f>
        <v>#N/A</v>
      </c>
      <c r="T1070" s="4" t="e">
        <f t="shared" si="82"/>
        <v>#N/A</v>
      </c>
      <c r="U1070" s="5" t="e">
        <f t="shared" si="83"/>
        <v>#N/A</v>
      </c>
      <c r="V1070" s="23" t="e">
        <f t="shared" si="84"/>
        <v>#N/A</v>
      </c>
    </row>
    <row r="1071" spans="2:22" x14ac:dyDescent="0.25">
      <c r="B1071" s="16">
        <v>0</v>
      </c>
      <c r="C1071" s="7">
        <v>0</v>
      </c>
      <c r="D1071" s="8">
        <v>1</v>
      </c>
      <c r="E1071" s="8">
        <v>1</v>
      </c>
      <c r="F1071" s="8">
        <v>0</v>
      </c>
      <c r="G1071" s="8">
        <v>1</v>
      </c>
      <c r="H1071" s="8">
        <v>0</v>
      </c>
      <c r="I1071" s="8">
        <v>0</v>
      </c>
      <c r="J1071" s="8">
        <v>0</v>
      </c>
      <c r="K1071" s="9">
        <v>0</v>
      </c>
      <c r="L1071" s="10">
        <v>1</v>
      </c>
      <c r="M1071" s="6">
        <v>0</v>
      </c>
      <c r="N1071" s="37" t="e" cm="1">
        <f t="array" ref="N1071">IF(OR(ISNUMBER(FIND(Aux!$D$3:$D$9,_xlfn.TEXTJOIN(,,C1071:K1071)))),NA(),IF(AND(SUM(C1071:F1071,H1071:K1071)=0,G1071=1),0,INT((SUMPRODUCT(C1071:F1071,COLUMN($A$1:$D$1)-1)+SUMPRODUCT(H1071:K1071,COLUMN($E$1:$H$1)-1))*'Line Follower'!$C$3/SUM(C1071:F1071,H1071:K1071)-'Line Follower'!$C$5)))</f>
        <v>#N/A</v>
      </c>
      <c r="O1071" s="22" t="e">
        <v>#N/A</v>
      </c>
      <c r="P1071" s="4" t="e">
        <f t="shared" si="80"/>
        <v>#N/A</v>
      </c>
      <c r="Q1071" s="4" t="e">
        <f t="shared" si="81"/>
        <v>#N/A</v>
      </c>
      <c r="R1071" s="4" t="e">
        <f>IF(AND(B1071=1,N1071&gt;'Line Follower'!$C$7,SUM(C1071:K1071)&lt;4),1,0)</f>
        <v>#N/A</v>
      </c>
      <c r="S1071" s="4" t="e">
        <f>IF(AND(L1071=1,N1071&lt;'Line Follower'!$C$6,SUM(C1071:K1071)&lt;4),1,0)</f>
        <v>#N/A</v>
      </c>
      <c r="T1071" s="4" t="e">
        <f t="shared" si="82"/>
        <v>#N/A</v>
      </c>
      <c r="U1071" s="5" t="e">
        <f t="shared" si="83"/>
        <v>#N/A</v>
      </c>
      <c r="V1071" s="23" t="e">
        <f t="shared" si="84"/>
        <v>#N/A</v>
      </c>
    </row>
    <row r="1072" spans="2:22" x14ac:dyDescent="0.25">
      <c r="B1072" s="16">
        <v>1</v>
      </c>
      <c r="C1072" s="7">
        <v>0</v>
      </c>
      <c r="D1072" s="8">
        <v>1</v>
      </c>
      <c r="E1072" s="8">
        <v>1</v>
      </c>
      <c r="F1072" s="8">
        <v>0</v>
      </c>
      <c r="G1072" s="8">
        <v>1</v>
      </c>
      <c r="H1072" s="8">
        <v>0</v>
      </c>
      <c r="I1072" s="8">
        <v>0</v>
      </c>
      <c r="J1072" s="8">
        <v>0</v>
      </c>
      <c r="K1072" s="9">
        <v>0</v>
      </c>
      <c r="L1072" s="10">
        <v>1</v>
      </c>
      <c r="M1072" s="6">
        <v>0</v>
      </c>
      <c r="N1072" s="37" t="e" cm="1">
        <f t="array" ref="N1072">IF(OR(ISNUMBER(FIND(Aux!$D$3:$D$9,_xlfn.TEXTJOIN(,,C1072:K1072)))),NA(),IF(AND(SUM(C1072:F1072,H1072:K1072)=0,G1072=1),0,INT((SUMPRODUCT(C1072:F1072,COLUMN($A$1:$D$1)-1)+SUMPRODUCT(H1072:K1072,COLUMN($E$1:$H$1)-1))*'Line Follower'!$C$3/SUM(C1072:F1072,H1072:K1072)-'Line Follower'!$C$5)))</f>
        <v>#N/A</v>
      </c>
      <c r="O1072" s="22" t="e">
        <v>#N/A</v>
      </c>
      <c r="P1072" s="4" t="e">
        <f t="shared" si="80"/>
        <v>#N/A</v>
      </c>
      <c r="Q1072" s="4" t="e">
        <f t="shared" si="81"/>
        <v>#N/A</v>
      </c>
      <c r="R1072" s="4" t="e">
        <f>IF(AND(B1072=1,N1072&gt;'Line Follower'!$C$7,SUM(C1072:K1072)&lt;4),1,0)</f>
        <v>#N/A</v>
      </c>
      <c r="S1072" s="4" t="e">
        <f>IF(AND(L1072=1,N1072&lt;'Line Follower'!$C$6,SUM(C1072:K1072)&lt;4),1,0)</f>
        <v>#N/A</v>
      </c>
      <c r="T1072" s="4" t="e">
        <f t="shared" si="82"/>
        <v>#N/A</v>
      </c>
      <c r="U1072" s="5" t="e">
        <f t="shared" si="83"/>
        <v>#N/A</v>
      </c>
      <c r="V1072" s="23" t="e">
        <f t="shared" si="84"/>
        <v>#N/A</v>
      </c>
    </row>
    <row r="1073" spans="2:22" x14ac:dyDescent="0.25">
      <c r="B1073" s="16">
        <v>0</v>
      </c>
      <c r="C1073" s="7">
        <v>1</v>
      </c>
      <c r="D1073" s="8">
        <v>1</v>
      </c>
      <c r="E1073" s="8">
        <v>1</v>
      </c>
      <c r="F1073" s="8">
        <v>0</v>
      </c>
      <c r="G1073" s="8">
        <v>1</v>
      </c>
      <c r="H1073" s="8">
        <v>0</v>
      </c>
      <c r="I1073" s="8">
        <v>0</v>
      </c>
      <c r="J1073" s="8">
        <v>0</v>
      </c>
      <c r="K1073" s="9">
        <v>0</v>
      </c>
      <c r="L1073" s="10">
        <v>1</v>
      </c>
      <c r="M1073" s="6">
        <v>0</v>
      </c>
      <c r="N1073" s="37" t="e" cm="1">
        <f t="array" ref="N1073">IF(OR(ISNUMBER(FIND(Aux!$D$3:$D$9,_xlfn.TEXTJOIN(,,C1073:K1073)))),NA(),IF(AND(SUM(C1073:F1073,H1073:K1073)=0,G1073=1),0,INT((SUMPRODUCT(C1073:F1073,COLUMN($A$1:$D$1)-1)+SUMPRODUCT(H1073:K1073,COLUMN($E$1:$H$1)-1))*'Line Follower'!$C$3/SUM(C1073:F1073,H1073:K1073)-'Line Follower'!$C$5)))</f>
        <v>#N/A</v>
      </c>
      <c r="O1073" s="22" t="e">
        <v>#N/A</v>
      </c>
      <c r="P1073" s="4" t="e">
        <f t="shared" si="80"/>
        <v>#N/A</v>
      </c>
      <c r="Q1073" s="4" t="e">
        <f t="shared" si="81"/>
        <v>#N/A</v>
      </c>
      <c r="R1073" s="4" t="e">
        <f>IF(AND(B1073=1,N1073&gt;'Line Follower'!$C$7,SUM(C1073:K1073)&lt;4),1,0)</f>
        <v>#N/A</v>
      </c>
      <c r="S1073" s="4" t="e">
        <f>IF(AND(L1073=1,N1073&lt;'Line Follower'!$C$6,SUM(C1073:K1073)&lt;4),1,0)</f>
        <v>#N/A</v>
      </c>
      <c r="T1073" s="4" t="e">
        <f t="shared" si="82"/>
        <v>#N/A</v>
      </c>
      <c r="U1073" s="5" t="e">
        <f t="shared" si="83"/>
        <v>#N/A</v>
      </c>
      <c r="V1073" s="23" t="e">
        <f t="shared" si="84"/>
        <v>#N/A</v>
      </c>
    </row>
    <row r="1074" spans="2:22" x14ac:dyDescent="0.25">
      <c r="B1074" s="16">
        <v>1</v>
      </c>
      <c r="C1074" s="7">
        <v>1</v>
      </c>
      <c r="D1074" s="8">
        <v>1</v>
      </c>
      <c r="E1074" s="8">
        <v>1</v>
      </c>
      <c r="F1074" s="8">
        <v>0</v>
      </c>
      <c r="G1074" s="8">
        <v>1</v>
      </c>
      <c r="H1074" s="8">
        <v>0</v>
      </c>
      <c r="I1074" s="8">
        <v>0</v>
      </c>
      <c r="J1074" s="8">
        <v>0</v>
      </c>
      <c r="K1074" s="9">
        <v>0</v>
      </c>
      <c r="L1074" s="10">
        <v>1</v>
      </c>
      <c r="M1074" s="6">
        <v>0</v>
      </c>
      <c r="N1074" s="37" t="e" cm="1">
        <f t="array" ref="N1074">IF(OR(ISNUMBER(FIND(Aux!$D$3:$D$9,_xlfn.TEXTJOIN(,,C1074:K1074)))),NA(),IF(AND(SUM(C1074:F1074,H1074:K1074)=0,G1074=1),0,INT((SUMPRODUCT(C1074:F1074,COLUMN($A$1:$D$1)-1)+SUMPRODUCT(H1074:K1074,COLUMN($E$1:$H$1)-1))*'Line Follower'!$C$3/SUM(C1074:F1074,H1074:K1074)-'Line Follower'!$C$5)))</f>
        <v>#N/A</v>
      </c>
      <c r="O1074" s="22" t="e">
        <v>#N/A</v>
      </c>
      <c r="P1074" s="4" t="e">
        <f t="shared" si="80"/>
        <v>#N/A</v>
      </c>
      <c r="Q1074" s="4" t="e">
        <f t="shared" si="81"/>
        <v>#N/A</v>
      </c>
      <c r="R1074" s="4" t="e">
        <f>IF(AND(B1074=1,N1074&gt;'Line Follower'!$C$7,SUM(C1074:K1074)&lt;4),1,0)</f>
        <v>#N/A</v>
      </c>
      <c r="S1074" s="4" t="e">
        <f>IF(AND(L1074=1,N1074&lt;'Line Follower'!$C$6,SUM(C1074:K1074)&lt;4),1,0)</f>
        <v>#N/A</v>
      </c>
      <c r="T1074" s="4" t="e">
        <f t="shared" si="82"/>
        <v>#N/A</v>
      </c>
      <c r="U1074" s="5" t="e">
        <f t="shared" si="83"/>
        <v>#N/A</v>
      </c>
      <c r="V1074" s="23" t="e">
        <f t="shared" si="84"/>
        <v>#N/A</v>
      </c>
    </row>
    <row r="1075" spans="2:22" x14ac:dyDescent="0.25">
      <c r="B1075" s="16">
        <v>0</v>
      </c>
      <c r="C1075" s="7">
        <v>0</v>
      </c>
      <c r="D1075" s="8">
        <v>0</v>
      </c>
      <c r="E1075" s="8">
        <v>0</v>
      </c>
      <c r="F1075" s="8">
        <v>1</v>
      </c>
      <c r="G1075" s="8">
        <v>1</v>
      </c>
      <c r="H1075" s="8">
        <v>0</v>
      </c>
      <c r="I1075" s="8">
        <v>0</v>
      </c>
      <c r="J1075" s="8">
        <v>0</v>
      </c>
      <c r="K1075" s="9">
        <v>0</v>
      </c>
      <c r="L1075" s="10">
        <v>1</v>
      </c>
      <c r="M1075" s="6">
        <v>0</v>
      </c>
      <c r="N1075" s="37" cm="1">
        <f t="array" ref="N1075">IF(OR(ISNUMBER(FIND(Aux!$D$3:$D$9,_xlfn.TEXTJOIN(,,C1075:K1075)))),NA(),IF(AND(SUM(C1075:F1075,H1075:K1075)=0,G1075=1),0,INT((SUMPRODUCT(C1075:F1075,COLUMN($A$1:$D$1)-1)+SUMPRODUCT(H1075:K1075,COLUMN($E$1:$H$1)-1))*'Line Follower'!$C$3/SUM(C1075:F1075,H1075:K1075)-'Line Follower'!$C$5)))</f>
        <v>-1</v>
      </c>
      <c r="O1075" s="22">
        <v>1</v>
      </c>
      <c r="P1075" s="4">
        <f t="shared" si="80"/>
        <v>0</v>
      </c>
      <c r="Q1075" s="4">
        <f t="shared" si="81"/>
        <v>0</v>
      </c>
      <c r="R1075" s="4">
        <f>IF(AND(B1075=1,N1075&gt;'Line Follower'!$C$7,SUM(C1075:K1075)&lt;4),1,0)</f>
        <v>0</v>
      </c>
      <c r="S1075" s="4">
        <f>IF(AND(L1075=1,N1075&lt;'Line Follower'!$C$6,SUM(C1075:K1075)&lt;4),1,0)</f>
        <v>1</v>
      </c>
      <c r="T1075" s="4">
        <f t="shared" si="82"/>
        <v>0</v>
      </c>
      <c r="U1075" s="5">
        <f t="shared" si="83"/>
        <v>0</v>
      </c>
      <c r="V1075" s="23">
        <f t="shared" si="84"/>
        <v>0</v>
      </c>
    </row>
    <row r="1076" spans="2:22" x14ac:dyDescent="0.25">
      <c r="B1076" s="16">
        <v>1</v>
      </c>
      <c r="C1076" s="7">
        <v>0</v>
      </c>
      <c r="D1076" s="8">
        <v>0</v>
      </c>
      <c r="E1076" s="8">
        <v>0</v>
      </c>
      <c r="F1076" s="8">
        <v>1</v>
      </c>
      <c r="G1076" s="8">
        <v>1</v>
      </c>
      <c r="H1076" s="8">
        <v>0</v>
      </c>
      <c r="I1076" s="8">
        <v>0</v>
      </c>
      <c r="J1076" s="8">
        <v>0</v>
      </c>
      <c r="K1076" s="9">
        <v>0</v>
      </c>
      <c r="L1076" s="10">
        <v>1</v>
      </c>
      <c r="M1076" s="6">
        <v>0</v>
      </c>
      <c r="N1076" s="37" cm="1">
        <f t="array" ref="N1076">IF(OR(ISNUMBER(FIND(Aux!$D$3:$D$9,_xlfn.TEXTJOIN(,,C1076:K1076)))),NA(),IF(AND(SUM(C1076:F1076,H1076:K1076)=0,G1076=1),0,INT((SUMPRODUCT(C1076:F1076,COLUMN($A$1:$D$1)-1)+SUMPRODUCT(H1076:K1076,COLUMN($E$1:$H$1)-1))*'Line Follower'!$C$3/SUM(C1076:F1076,H1076:K1076)-'Line Follower'!$C$5)))</f>
        <v>-1</v>
      </c>
      <c r="O1076" s="22">
        <v>1</v>
      </c>
      <c r="P1076" s="4">
        <f t="shared" si="80"/>
        <v>0</v>
      </c>
      <c r="Q1076" s="4">
        <f t="shared" si="81"/>
        <v>0</v>
      </c>
      <c r="R1076" s="4">
        <f>IF(AND(B1076=1,N1076&gt;'Line Follower'!$C$7,SUM(C1076:K1076)&lt;4),1,0)</f>
        <v>1</v>
      </c>
      <c r="S1076" s="4">
        <f>IF(AND(L1076=1,N1076&lt;'Line Follower'!$C$6,SUM(C1076:K1076)&lt;4),1,0)</f>
        <v>1</v>
      </c>
      <c r="T1076" s="4">
        <f t="shared" si="82"/>
        <v>0</v>
      </c>
      <c r="U1076" s="5">
        <f t="shared" si="83"/>
        <v>0</v>
      </c>
      <c r="V1076" s="23">
        <f t="shared" si="84"/>
        <v>0</v>
      </c>
    </row>
    <row r="1077" spans="2:22" x14ac:dyDescent="0.25">
      <c r="B1077" s="16">
        <v>0</v>
      </c>
      <c r="C1077" s="7">
        <v>1</v>
      </c>
      <c r="D1077" s="8">
        <v>0</v>
      </c>
      <c r="E1077" s="8">
        <v>0</v>
      </c>
      <c r="F1077" s="8">
        <v>1</v>
      </c>
      <c r="G1077" s="8">
        <v>1</v>
      </c>
      <c r="H1077" s="8">
        <v>0</v>
      </c>
      <c r="I1077" s="8">
        <v>0</v>
      </c>
      <c r="J1077" s="8">
        <v>0</v>
      </c>
      <c r="K1077" s="9">
        <v>0</v>
      </c>
      <c r="L1077" s="10">
        <v>1</v>
      </c>
      <c r="M1077" s="6">
        <v>0</v>
      </c>
      <c r="N1077" s="37" t="e" cm="1">
        <f t="array" ref="N1077">IF(OR(ISNUMBER(FIND(Aux!$D$3:$D$9,_xlfn.TEXTJOIN(,,C1077:K1077)))),NA(),IF(AND(SUM(C1077:F1077,H1077:K1077)=0,G1077=1),0,INT((SUMPRODUCT(C1077:F1077,COLUMN($A$1:$D$1)-1)+SUMPRODUCT(H1077:K1077,COLUMN($E$1:$H$1)-1))*'Line Follower'!$C$3/SUM(C1077:F1077,H1077:K1077)-'Line Follower'!$C$5)))</f>
        <v>#N/A</v>
      </c>
      <c r="O1077" s="22" t="e">
        <v>#N/A</v>
      </c>
      <c r="P1077" s="4" t="e">
        <f t="shared" si="80"/>
        <v>#N/A</v>
      </c>
      <c r="Q1077" s="4" t="e">
        <f t="shared" si="81"/>
        <v>#N/A</v>
      </c>
      <c r="R1077" s="4" t="e">
        <f>IF(AND(B1077=1,N1077&gt;'Line Follower'!$C$7,SUM(C1077:K1077)&lt;4),1,0)</f>
        <v>#N/A</v>
      </c>
      <c r="S1077" s="4" t="e">
        <f>IF(AND(L1077=1,N1077&lt;'Line Follower'!$C$6,SUM(C1077:K1077)&lt;4),1,0)</f>
        <v>#N/A</v>
      </c>
      <c r="T1077" s="4" t="e">
        <f t="shared" si="82"/>
        <v>#N/A</v>
      </c>
      <c r="U1077" s="5" t="e">
        <f t="shared" si="83"/>
        <v>#N/A</v>
      </c>
      <c r="V1077" s="23" t="e">
        <f t="shared" si="84"/>
        <v>#N/A</v>
      </c>
    </row>
    <row r="1078" spans="2:22" x14ac:dyDescent="0.25">
      <c r="B1078" s="16">
        <v>1</v>
      </c>
      <c r="C1078" s="7">
        <v>1</v>
      </c>
      <c r="D1078" s="8">
        <v>0</v>
      </c>
      <c r="E1078" s="8">
        <v>0</v>
      </c>
      <c r="F1078" s="8">
        <v>1</v>
      </c>
      <c r="G1078" s="8">
        <v>1</v>
      </c>
      <c r="H1078" s="8">
        <v>0</v>
      </c>
      <c r="I1078" s="8">
        <v>0</v>
      </c>
      <c r="J1078" s="8">
        <v>0</v>
      </c>
      <c r="K1078" s="9">
        <v>0</v>
      </c>
      <c r="L1078" s="10">
        <v>1</v>
      </c>
      <c r="M1078" s="6">
        <v>0</v>
      </c>
      <c r="N1078" s="37" t="e" cm="1">
        <f t="array" ref="N1078">IF(OR(ISNUMBER(FIND(Aux!$D$3:$D$9,_xlfn.TEXTJOIN(,,C1078:K1078)))),NA(),IF(AND(SUM(C1078:F1078,H1078:K1078)=0,G1078=1),0,INT((SUMPRODUCT(C1078:F1078,COLUMN($A$1:$D$1)-1)+SUMPRODUCT(H1078:K1078,COLUMN($E$1:$H$1)-1))*'Line Follower'!$C$3/SUM(C1078:F1078,H1078:K1078)-'Line Follower'!$C$5)))</f>
        <v>#N/A</v>
      </c>
      <c r="O1078" s="22" t="e">
        <v>#N/A</v>
      </c>
      <c r="P1078" s="4" t="e">
        <f t="shared" si="80"/>
        <v>#N/A</v>
      </c>
      <c r="Q1078" s="4" t="e">
        <f t="shared" si="81"/>
        <v>#N/A</v>
      </c>
      <c r="R1078" s="4" t="e">
        <f>IF(AND(B1078=1,N1078&gt;'Line Follower'!$C$7,SUM(C1078:K1078)&lt;4),1,0)</f>
        <v>#N/A</v>
      </c>
      <c r="S1078" s="4" t="e">
        <f>IF(AND(L1078=1,N1078&lt;'Line Follower'!$C$6,SUM(C1078:K1078)&lt;4),1,0)</f>
        <v>#N/A</v>
      </c>
      <c r="T1078" s="4" t="e">
        <f t="shared" si="82"/>
        <v>#N/A</v>
      </c>
      <c r="U1078" s="5" t="e">
        <f t="shared" si="83"/>
        <v>#N/A</v>
      </c>
      <c r="V1078" s="23" t="e">
        <f t="shared" si="84"/>
        <v>#N/A</v>
      </c>
    </row>
    <row r="1079" spans="2:22" x14ac:dyDescent="0.25">
      <c r="B1079" s="16">
        <v>0</v>
      </c>
      <c r="C1079" s="7">
        <v>0</v>
      </c>
      <c r="D1079" s="8">
        <v>1</v>
      </c>
      <c r="E1079" s="8">
        <v>0</v>
      </c>
      <c r="F1079" s="8">
        <v>1</v>
      </c>
      <c r="G1079" s="8">
        <v>1</v>
      </c>
      <c r="H1079" s="8">
        <v>0</v>
      </c>
      <c r="I1079" s="8">
        <v>0</v>
      </c>
      <c r="J1079" s="8">
        <v>0</v>
      </c>
      <c r="K1079" s="9">
        <v>0</v>
      </c>
      <c r="L1079" s="10">
        <v>1</v>
      </c>
      <c r="M1079" s="6">
        <v>0</v>
      </c>
      <c r="N1079" s="37" t="e" cm="1">
        <f t="array" ref="N1079">IF(OR(ISNUMBER(FIND(Aux!$D$3:$D$9,_xlfn.TEXTJOIN(,,C1079:K1079)))),NA(),IF(AND(SUM(C1079:F1079,H1079:K1079)=0,G1079=1),0,INT((SUMPRODUCT(C1079:F1079,COLUMN($A$1:$D$1)-1)+SUMPRODUCT(H1079:K1079,COLUMN($E$1:$H$1)-1))*'Line Follower'!$C$3/SUM(C1079:F1079,H1079:K1079)-'Line Follower'!$C$5)))</f>
        <v>#N/A</v>
      </c>
      <c r="O1079" s="22" t="e">
        <v>#N/A</v>
      </c>
      <c r="P1079" s="4" t="e">
        <f t="shared" si="80"/>
        <v>#N/A</v>
      </c>
      <c r="Q1079" s="4" t="e">
        <f t="shared" si="81"/>
        <v>#N/A</v>
      </c>
      <c r="R1079" s="4" t="e">
        <f>IF(AND(B1079=1,N1079&gt;'Line Follower'!$C$7,SUM(C1079:K1079)&lt;4),1,0)</f>
        <v>#N/A</v>
      </c>
      <c r="S1079" s="4" t="e">
        <f>IF(AND(L1079=1,N1079&lt;'Line Follower'!$C$6,SUM(C1079:K1079)&lt;4),1,0)</f>
        <v>#N/A</v>
      </c>
      <c r="T1079" s="4" t="e">
        <f t="shared" si="82"/>
        <v>#N/A</v>
      </c>
      <c r="U1079" s="5" t="e">
        <f t="shared" si="83"/>
        <v>#N/A</v>
      </c>
      <c r="V1079" s="23" t="e">
        <f t="shared" si="84"/>
        <v>#N/A</v>
      </c>
    </row>
    <row r="1080" spans="2:22" x14ac:dyDescent="0.25">
      <c r="B1080" s="16">
        <v>1</v>
      </c>
      <c r="C1080" s="7">
        <v>0</v>
      </c>
      <c r="D1080" s="8">
        <v>1</v>
      </c>
      <c r="E1080" s="8">
        <v>0</v>
      </c>
      <c r="F1080" s="8">
        <v>1</v>
      </c>
      <c r="G1080" s="8">
        <v>1</v>
      </c>
      <c r="H1080" s="8">
        <v>0</v>
      </c>
      <c r="I1080" s="8">
        <v>0</v>
      </c>
      <c r="J1080" s="8">
        <v>0</v>
      </c>
      <c r="K1080" s="9">
        <v>0</v>
      </c>
      <c r="L1080" s="10">
        <v>1</v>
      </c>
      <c r="M1080" s="6">
        <v>0</v>
      </c>
      <c r="N1080" s="37" t="e" cm="1">
        <f t="array" ref="N1080">IF(OR(ISNUMBER(FIND(Aux!$D$3:$D$9,_xlfn.TEXTJOIN(,,C1080:K1080)))),NA(),IF(AND(SUM(C1080:F1080,H1080:K1080)=0,G1080=1),0,INT((SUMPRODUCT(C1080:F1080,COLUMN($A$1:$D$1)-1)+SUMPRODUCT(H1080:K1080,COLUMN($E$1:$H$1)-1))*'Line Follower'!$C$3/SUM(C1080:F1080,H1080:K1080)-'Line Follower'!$C$5)))</f>
        <v>#N/A</v>
      </c>
      <c r="O1080" s="22" t="e">
        <v>#N/A</v>
      </c>
      <c r="P1080" s="4" t="e">
        <f t="shared" si="80"/>
        <v>#N/A</v>
      </c>
      <c r="Q1080" s="4" t="e">
        <f t="shared" si="81"/>
        <v>#N/A</v>
      </c>
      <c r="R1080" s="4" t="e">
        <f>IF(AND(B1080=1,N1080&gt;'Line Follower'!$C$7,SUM(C1080:K1080)&lt;4),1,0)</f>
        <v>#N/A</v>
      </c>
      <c r="S1080" s="4" t="e">
        <f>IF(AND(L1080=1,N1080&lt;'Line Follower'!$C$6,SUM(C1080:K1080)&lt;4),1,0)</f>
        <v>#N/A</v>
      </c>
      <c r="T1080" s="4" t="e">
        <f t="shared" si="82"/>
        <v>#N/A</v>
      </c>
      <c r="U1080" s="5" t="e">
        <f t="shared" si="83"/>
        <v>#N/A</v>
      </c>
      <c r="V1080" s="23" t="e">
        <f t="shared" si="84"/>
        <v>#N/A</v>
      </c>
    </row>
    <row r="1081" spans="2:22" x14ac:dyDescent="0.25">
      <c r="B1081" s="16">
        <v>0</v>
      </c>
      <c r="C1081" s="7">
        <v>1</v>
      </c>
      <c r="D1081" s="8">
        <v>1</v>
      </c>
      <c r="E1081" s="8">
        <v>0</v>
      </c>
      <c r="F1081" s="8">
        <v>1</v>
      </c>
      <c r="G1081" s="8">
        <v>1</v>
      </c>
      <c r="H1081" s="8">
        <v>0</v>
      </c>
      <c r="I1081" s="8">
        <v>0</v>
      </c>
      <c r="J1081" s="8">
        <v>0</v>
      </c>
      <c r="K1081" s="9">
        <v>0</v>
      </c>
      <c r="L1081" s="10">
        <v>1</v>
      </c>
      <c r="M1081" s="6">
        <v>0</v>
      </c>
      <c r="N1081" s="37" t="e" cm="1">
        <f t="array" ref="N1081">IF(OR(ISNUMBER(FIND(Aux!$D$3:$D$9,_xlfn.TEXTJOIN(,,C1081:K1081)))),NA(),IF(AND(SUM(C1081:F1081,H1081:K1081)=0,G1081=1),0,INT((SUMPRODUCT(C1081:F1081,COLUMN($A$1:$D$1)-1)+SUMPRODUCT(H1081:K1081,COLUMN($E$1:$H$1)-1))*'Line Follower'!$C$3/SUM(C1081:F1081,H1081:K1081)-'Line Follower'!$C$5)))</f>
        <v>#N/A</v>
      </c>
      <c r="O1081" s="22" t="e">
        <v>#N/A</v>
      </c>
      <c r="P1081" s="4" t="e">
        <f t="shared" si="80"/>
        <v>#N/A</v>
      </c>
      <c r="Q1081" s="4" t="e">
        <f t="shared" si="81"/>
        <v>#N/A</v>
      </c>
      <c r="R1081" s="4" t="e">
        <f>IF(AND(B1081=1,N1081&gt;'Line Follower'!$C$7,SUM(C1081:K1081)&lt;4),1,0)</f>
        <v>#N/A</v>
      </c>
      <c r="S1081" s="4" t="e">
        <f>IF(AND(L1081=1,N1081&lt;'Line Follower'!$C$6,SUM(C1081:K1081)&lt;4),1,0)</f>
        <v>#N/A</v>
      </c>
      <c r="T1081" s="4" t="e">
        <f t="shared" si="82"/>
        <v>#N/A</v>
      </c>
      <c r="U1081" s="5" t="e">
        <f t="shared" si="83"/>
        <v>#N/A</v>
      </c>
      <c r="V1081" s="23" t="e">
        <f t="shared" si="84"/>
        <v>#N/A</v>
      </c>
    </row>
    <row r="1082" spans="2:22" x14ac:dyDescent="0.25">
      <c r="B1082" s="16">
        <v>1</v>
      </c>
      <c r="C1082" s="7">
        <v>1</v>
      </c>
      <c r="D1082" s="8">
        <v>1</v>
      </c>
      <c r="E1082" s="8">
        <v>0</v>
      </c>
      <c r="F1082" s="8">
        <v>1</v>
      </c>
      <c r="G1082" s="8">
        <v>1</v>
      </c>
      <c r="H1082" s="8">
        <v>0</v>
      </c>
      <c r="I1082" s="8">
        <v>0</v>
      </c>
      <c r="J1082" s="8">
        <v>0</v>
      </c>
      <c r="K1082" s="9">
        <v>0</v>
      </c>
      <c r="L1082" s="10">
        <v>1</v>
      </c>
      <c r="M1082" s="6">
        <v>0</v>
      </c>
      <c r="N1082" s="37" t="e" cm="1">
        <f t="array" ref="N1082">IF(OR(ISNUMBER(FIND(Aux!$D$3:$D$9,_xlfn.TEXTJOIN(,,C1082:K1082)))),NA(),IF(AND(SUM(C1082:F1082,H1082:K1082)=0,G1082=1),0,INT((SUMPRODUCT(C1082:F1082,COLUMN($A$1:$D$1)-1)+SUMPRODUCT(H1082:K1082,COLUMN($E$1:$H$1)-1))*'Line Follower'!$C$3/SUM(C1082:F1082,H1082:K1082)-'Line Follower'!$C$5)))</f>
        <v>#N/A</v>
      </c>
      <c r="O1082" s="22" t="e">
        <v>#N/A</v>
      </c>
      <c r="P1082" s="4" t="e">
        <f t="shared" si="80"/>
        <v>#N/A</v>
      </c>
      <c r="Q1082" s="4" t="e">
        <f t="shared" si="81"/>
        <v>#N/A</v>
      </c>
      <c r="R1082" s="4" t="e">
        <f>IF(AND(B1082=1,N1082&gt;'Line Follower'!$C$7,SUM(C1082:K1082)&lt;4),1,0)</f>
        <v>#N/A</v>
      </c>
      <c r="S1082" s="4" t="e">
        <f>IF(AND(L1082=1,N1082&lt;'Line Follower'!$C$6,SUM(C1082:K1082)&lt;4),1,0)</f>
        <v>#N/A</v>
      </c>
      <c r="T1082" s="4" t="e">
        <f t="shared" si="82"/>
        <v>#N/A</v>
      </c>
      <c r="U1082" s="5" t="e">
        <f t="shared" si="83"/>
        <v>#N/A</v>
      </c>
      <c r="V1082" s="23" t="e">
        <f t="shared" si="84"/>
        <v>#N/A</v>
      </c>
    </row>
    <row r="1083" spans="2:22" x14ac:dyDescent="0.25">
      <c r="B1083" s="16">
        <v>0</v>
      </c>
      <c r="C1083" s="7">
        <v>0</v>
      </c>
      <c r="D1083" s="8">
        <v>0</v>
      </c>
      <c r="E1083" s="8">
        <v>1</v>
      </c>
      <c r="F1083" s="8">
        <v>1</v>
      </c>
      <c r="G1083" s="8">
        <v>1</v>
      </c>
      <c r="H1083" s="8">
        <v>0</v>
      </c>
      <c r="I1083" s="8">
        <v>0</v>
      </c>
      <c r="J1083" s="8">
        <v>0</v>
      </c>
      <c r="K1083" s="9">
        <v>0</v>
      </c>
      <c r="L1083" s="10">
        <v>1</v>
      </c>
      <c r="M1083" s="6">
        <v>0</v>
      </c>
      <c r="N1083" s="37" cm="1">
        <f t="array" ref="N1083">IF(OR(ISNUMBER(FIND(Aux!$D$3:$D$9,_xlfn.TEXTJOIN(,,C1083:K1083)))),NA(),IF(AND(SUM(C1083:F1083,H1083:K1083)=0,G1083=1),0,INT((SUMPRODUCT(C1083:F1083,COLUMN($A$1:$D$1)-1)+SUMPRODUCT(H1083:K1083,COLUMN($E$1:$H$1)-1))*'Line Follower'!$C$3/SUM(C1083:F1083,H1083:K1083)-'Line Follower'!$C$5)))</f>
        <v>-2</v>
      </c>
      <c r="O1083" s="22">
        <v>1</v>
      </c>
      <c r="P1083" s="4">
        <f t="shared" si="80"/>
        <v>0</v>
      </c>
      <c r="Q1083" s="4">
        <f t="shared" si="81"/>
        <v>0</v>
      </c>
      <c r="R1083" s="4">
        <f>IF(AND(B1083=1,N1083&gt;'Line Follower'!$C$7,SUM(C1083:K1083)&lt;4),1,0)</f>
        <v>0</v>
      </c>
      <c r="S1083" s="4">
        <f>IF(AND(L1083=1,N1083&lt;'Line Follower'!$C$6,SUM(C1083:K1083)&lt;4),1,0)</f>
        <v>1</v>
      </c>
      <c r="T1083" s="4">
        <f t="shared" si="82"/>
        <v>0</v>
      </c>
      <c r="U1083" s="5">
        <f t="shared" si="83"/>
        <v>0</v>
      </c>
      <c r="V1083" s="23">
        <f t="shared" si="84"/>
        <v>0</v>
      </c>
    </row>
    <row r="1084" spans="2:22" x14ac:dyDescent="0.25">
      <c r="B1084" s="16">
        <v>1</v>
      </c>
      <c r="C1084" s="7">
        <v>0</v>
      </c>
      <c r="D1084" s="8">
        <v>0</v>
      </c>
      <c r="E1084" s="8">
        <v>1</v>
      </c>
      <c r="F1084" s="8">
        <v>1</v>
      </c>
      <c r="G1084" s="8">
        <v>1</v>
      </c>
      <c r="H1084" s="8">
        <v>0</v>
      </c>
      <c r="I1084" s="8">
        <v>0</v>
      </c>
      <c r="J1084" s="8">
        <v>0</v>
      </c>
      <c r="K1084" s="9">
        <v>0</v>
      </c>
      <c r="L1084" s="10">
        <v>1</v>
      </c>
      <c r="M1084" s="6">
        <v>0</v>
      </c>
      <c r="N1084" s="37" cm="1">
        <f t="array" ref="N1084">IF(OR(ISNUMBER(FIND(Aux!$D$3:$D$9,_xlfn.TEXTJOIN(,,C1084:K1084)))),NA(),IF(AND(SUM(C1084:F1084,H1084:K1084)=0,G1084=1),0,INT((SUMPRODUCT(C1084:F1084,COLUMN($A$1:$D$1)-1)+SUMPRODUCT(H1084:K1084,COLUMN($E$1:$H$1)-1))*'Line Follower'!$C$3/SUM(C1084:F1084,H1084:K1084)-'Line Follower'!$C$5)))</f>
        <v>-2</v>
      </c>
      <c r="O1084" s="22">
        <v>1</v>
      </c>
      <c r="P1084" s="4">
        <f t="shared" si="80"/>
        <v>0</v>
      </c>
      <c r="Q1084" s="4">
        <f t="shared" si="81"/>
        <v>0</v>
      </c>
      <c r="R1084" s="4">
        <f>IF(AND(B1084=1,N1084&gt;'Line Follower'!$C$7,SUM(C1084:K1084)&lt;4),1,0)</f>
        <v>1</v>
      </c>
      <c r="S1084" s="4">
        <f>IF(AND(L1084=1,N1084&lt;'Line Follower'!$C$6,SUM(C1084:K1084)&lt;4),1,0)</f>
        <v>1</v>
      </c>
      <c r="T1084" s="4">
        <f t="shared" si="82"/>
        <v>0</v>
      </c>
      <c r="U1084" s="5">
        <f t="shared" si="83"/>
        <v>0</v>
      </c>
      <c r="V1084" s="23">
        <f t="shared" si="84"/>
        <v>0</v>
      </c>
    </row>
    <row r="1085" spans="2:22" x14ac:dyDescent="0.25">
      <c r="B1085" s="16">
        <v>0</v>
      </c>
      <c r="C1085" s="7">
        <v>1</v>
      </c>
      <c r="D1085" s="8">
        <v>0</v>
      </c>
      <c r="E1085" s="8">
        <v>1</v>
      </c>
      <c r="F1085" s="8">
        <v>1</v>
      </c>
      <c r="G1085" s="8">
        <v>1</v>
      </c>
      <c r="H1085" s="8">
        <v>0</v>
      </c>
      <c r="I1085" s="8">
        <v>0</v>
      </c>
      <c r="J1085" s="8">
        <v>0</v>
      </c>
      <c r="K1085" s="9">
        <v>0</v>
      </c>
      <c r="L1085" s="10">
        <v>1</v>
      </c>
      <c r="M1085" s="6">
        <v>0</v>
      </c>
      <c r="N1085" s="37" t="e" cm="1">
        <f t="array" ref="N1085">IF(OR(ISNUMBER(FIND(Aux!$D$3:$D$9,_xlfn.TEXTJOIN(,,C1085:K1085)))),NA(),IF(AND(SUM(C1085:F1085,H1085:K1085)=0,G1085=1),0,INT((SUMPRODUCT(C1085:F1085,COLUMN($A$1:$D$1)-1)+SUMPRODUCT(H1085:K1085,COLUMN($E$1:$H$1)-1))*'Line Follower'!$C$3/SUM(C1085:F1085,H1085:K1085)-'Line Follower'!$C$5)))</f>
        <v>#N/A</v>
      </c>
      <c r="O1085" s="22" t="e">
        <v>#N/A</v>
      </c>
      <c r="P1085" s="4" t="e">
        <f t="shared" si="80"/>
        <v>#N/A</v>
      </c>
      <c r="Q1085" s="4" t="e">
        <f t="shared" si="81"/>
        <v>#N/A</v>
      </c>
      <c r="R1085" s="4" t="e">
        <f>IF(AND(B1085=1,N1085&gt;'Line Follower'!$C$7,SUM(C1085:K1085)&lt;4),1,0)</f>
        <v>#N/A</v>
      </c>
      <c r="S1085" s="4" t="e">
        <f>IF(AND(L1085=1,N1085&lt;'Line Follower'!$C$6,SUM(C1085:K1085)&lt;4),1,0)</f>
        <v>#N/A</v>
      </c>
      <c r="T1085" s="4" t="e">
        <f t="shared" si="82"/>
        <v>#N/A</v>
      </c>
      <c r="U1085" s="5" t="e">
        <f t="shared" si="83"/>
        <v>#N/A</v>
      </c>
      <c r="V1085" s="23" t="e">
        <f t="shared" si="84"/>
        <v>#N/A</v>
      </c>
    </row>
    <row r="1086" spans="2:22" x14ac:dyDescent="0.25">
      <c r="B1086" s="16">
        <v>1</v>
      </c>
      <c r="C1086" s="7">
        <v>1</v>
      </c>
      <c r="D1086" s="8">
        <v>0</v>
      </c>
      <c r="E1086" s="8">
        <v>1</v>
      </c>
      <c r="F1086" s="8">
        <v>1</v>
      </c>
      <c r="G1086" s="8">
        <v>1</v>
      </c>
      <c r="H1086" s="8">
        <v>0</v>
      </c>
      <c r="I1086" s="8">
        <v>0</v>
      </c>
      <c r="J1086" s="8">
        <v>0</v>
      </c>
      <c r="K1086" s="9">
        <v>0</v>
      </c>
      <c r="L1086" s="10">
        <v>1</v>
      </c>
      <c r="M1086" s="6">
        <v>0</v>
      </c>
      <c r="N1086" s="37" t="e" cm="1">
        <f t="array" ref="N1086">IF(OR(ISNUMBER(FIND(Aux!$D$3:$D$9,_xlfn.TEXTJOIN(,,C1086:K1086)))),NA(),IF(AND(SUM(C1086:F1086,H1086:K1086)=0,G1086=1),0,INT((SUMPRODUCT(C1086:F1086,COLUMN($A$1:$D$1)-1)+SUMPRODUCT(H1086:K1086,COLUMN($E$1:$H$1)-1))*'Line Follower'!$C$3/SUM(C1086:F1086,H1086:K1086)-'Line Follower'!$C$5)))</f>
        <v>#N/A</v>
      </c>
      <c r="O1086" s="22" t="e">
        <v>#N/A</v>
      </c>
      <c r="P1086" s="4" t="e">
        <f t="shared" si="80"/>
        <v>#N/A</v>
      </c>
      <c r="Q1086" s="4" t="e">
        <f t="shared" si="81"/>
        <v>#N/A</v>
      </c>
      <c r="R1086" s="4" t="e">
        <f>IF(AND(B1086=1,N1086&gt;'Line Follower'!$C$7,SUM(C1086:K1086)&lt;4),1,0)</f>
        <v>#N/A</v>
      </c>
      <c r="S1086" s="4" t="e">
        <f>IF(AND(L1086=1,N1086&lt;'Line Follower'!$C$6,SUM(C1086:K1086)&lt;4),1,0)</f>
        <v>#N/A</v>
      </c>
      <c r="T1086" s="4" t="e">
        <f t="shared" si="82"/>
        <v>#N/A</v>
      </c>
      <c r="U1086" s="5" t="e">
        <f t="shared" si="83"/>
        <v>#N/A</v>
      </c>
      <c r="V1086" s="23" t="e">
        <f t="shared" si="84"/>
        <v>#N/A</v>
      </c>
    </row>
    <row r="1087" spans="2:22" x14ac:dyDescent="0.25">
      <c r="B1087" s="16">
        <v>0</v>
      </c>
      <c r="C1087" s="7">
        <v>0</v>
      </c>
      <c r="D1087" s="8">
        <v>1</v>
      </c>
      <c r="E1087" s="8">
        <v>1</v>
      </c>
      <c r="F1087" s="8">
        <v>1</v>
      </c>
      <c r="G1087" s="8">
        <v>1</v>
      </c>
      <c r="H1087" s="8">
        <v>0</v>
      </c>
      <c r="I1087" s="8">
        <v>0</v>
      </c>
      <c r="J1087" s="8">
        <v>0</v>
      </c>
      <c r="K1087" s="9">
        <v>0</v>
      </c>
      <c r="L1087" s="10">
        <v>1</v>
      </c>
      <c r="M1087" s="6">
        <v>0</v>
      </c>
      <c r="N1087" s="37" cm="1">
        <f t="array" ref="N1087">IF(OR(ISNUMBER(FIND(Aux!$D$3:$D$9,_xlfn.TEXTJOIN(,,C1087:K1087)))),NA(),IF(AND(SUM(C1087:F1087,H1087:K1087)=0,G1087=1),0,INT((SUMPRODUCT(C1087:F1087,COLUMN($A$1:$D$1)-1)+SUMPRODUCT(H1087:K1087,COLUMN($E$1:$H$1)-1))*'Line Follower'!$C$3/SUM(C1087:F1087,H1087:K1087)-'Line Follower'!$C$5)))</f>
        <v>-3</v>
      </c>
      <c r="O1087" s="22">
        <v>1</v>
      </c>
      <c r="P1087" s="4">
        <f t="shared" si="80"/>
        <v>0</v>
      </c>
      <c r="Q1087" s="4">
        <f t="shared" si="81"/>
        <v>1</v>
      </c>
      <c r="R1087" s="4">
        <f>IF(AND(B1087=1,N1087&gt;'Line Follower'!$C$7,SUM(C1087:K1087)&lt;4),1,0)</f>
        <v>0</v>
      </c>
      <c r="S1087" s="4">
        <f>IF(AND(L1087=1,N1087&lt;'Line Follower'!$C$6,SUM(C1087:K1087)&lt;4),1,0)</f>
        <v>0</v>
      </c>
      <c r="T1087" s="4">
        <f t="shared" si="82"/>
        <v>0</v>
      </c>
      <c r="U1087" s="5">
        <f t="shared" si="83"/>
        <v>0</v>
      </c>
      <c r="V1087" s="23">
        <f t="shared" si="84"/>
        <v>0</v>
      </c>
    </row>
    <row r="1088" spans="2:22" x14ac:dyDescent="0.25">
      <c r="B1088" s="16">
        <v>1</v>
      </c>
      <c r="C1088" s="7">
        <v>0</v>
      </c>
      <c r="D1088" s="8">
        <v>1</v>
      </c>
      <c r="E1088" s="8">
        <v>1</v>
      </c>
      <c r="F1088" s="8">
        <v>1</v>
      </c>
      <c r="G1088" s="8">
        <v>1</v>
      </c>
      <c r="H1088" s="8">
        <v>0</v>
      </c>
      <c r="I1088" s="8">
        <v>0</v>
      </c>
      <c r="J1088" s="8">
        <v>0</v>
      </c>
      <c r="K1088" s="9">
        <v>0</v>
      </c>
      <c r="L1088" s="10">
        <v>1</v>
      </c>
      <c r="M1088" s="6">
        <v>0</v>
      </c>
      <c r="N1088" s="37" cm="1">
        <f t="array" ref="N1088">IF(OR(ISNUMBER(FIND(Aux!$D$3:$D$9,_xlfn.TEXTJOIN(,,C1088:K1088)))),NA(),IF(AND(SUM(C1088:F1088,H1088:K1088)=0,G1088=1),0,INT((SUMPRODUCT(C1088:F1088,COLUMN($A$1:$D$1)-1)+SUMPRODUCT(H1088:K1088,COLUMN($E$1:$H$1)-1))*'Line Follower'!$C$3/SUM(C1088:F1088,H1088:K1088)-'Line Follower'!$C$5)))</f>
        <v>-3</v>
      </c>
      <c r="O1088" s="22">
        <v>1</v>
      </c>
      <c r="P1088" s="4">
        <f t="shared" si="80"/>
        <v>0</v>
      </c>
      <c r="Q1088" s="4">
        <f t="shared" si="81"/>
        <v>1</v>
      </c>
      <c r="R1088" s="4">
        <f>IF(AND(B1088=1,N1088&gt;'Line Follower'!$C$7,SUM(C1088:K1088)&lt;4),1,0)</f>
        <v>0</v>
      </c>
      <c r="S1088" s="4">
        <f>IF(AND(L1088=1,N1088&lt;'Line Follower'!$C$6,SUM(C1088:K1088)&lt;4),1,0)</f>
        <v>0</v>
      </c>
      <c r="T1088" s="4">
        <f t="shared" si="82"/>
        <v>0</v>
      </c>
      <c r="U1088" s="5">
        <f t="shared" si="83"/>
        <v>0</v>
      </c>
      <c r="V1088" s="23">
        <f t="shared" si="84"/>
        <v>0</v>
      </c>
    </row>
    <row r="1089" spans="2:22" x14ac:dyDescent="0.25">
      <c r="B1089" s="16">
        <v>0</v>
      </c>
      <c r="C1089" s="7">
        <v>1</v>
      </c>
      <c r="D1089" s="8">
        <v>1</v>
      </c>
      <c r="E1089" s="8">
        <v>1</v>
      </c>
      <c r="F1089" s="8">
        <v>1</v>
      </c>
      <c r="G1089" s="8">
        <v>1</v>
      </c>
      <c r="H1089" s="8">
        <v>0</v>
      </c>
      <c r="I1089" s="8">
        <v>0</v>
      </c>
      <c r="J1089" s="8">
        <v>0</v>
      </c>
      <c r="K1089" s="9">
        <v>0</v>
      </c>
      <c r="L1089" s="10">
        <v>1</v>
      </c>
      <c r="M1089" s="6">
        <v>0</v>
      </c>
      <c r="N1089" s="37" cm="1">
        <f t="array" ref="N1089">IF(OR(ISNUMBER(FIND(Aux!$D$3:$D$9,_xlfn.TEXTJOIN(,,C1089:K1089)))),NA(),IF(AND(SUM(C1089:F1089,H1089:K1089)=0,G1089=1),0,INT((SUMPRODUCT(C1089:F1089,COLUMN($A$1:$D$1)-1)+SUMPRODUCT(H1089:K1089,COLUMN($E$1:$H$1)-1))*'Line Follower'!$C$3/SUM(C1089:F1089,H1089:K1089)-'Line Follower'!$C$5)))</f>
        <v>-4</v>
      </c>
      <c r="O1089" s="22">
        <v>1</v>
      </c>
      <c r="P1089" s="4">
        <f t="shared" si="80"/>
        <v>0</v>
      </c>
      <c r="Q1089" s="4">
        <f t="shared" si="81"/>
        <v>1</v>
      </c>
      <c r="R1089" s="4">
        <f>IF(AND(B1089=1,N1089&gt;'Line Follower'!$C$7,SUM(C1089:K1089)&lt;4),1,0)</f>
        <v>0</v>
      </c>
      <c r="S1089" s="4">
        <f>IF(AND(L1089=1,N1089&lt;'Line Follower'!$C$6,SUM(C1089:K1089)&lt;4),1,0)</f>
        <v>0</v>
      </c>
      <c r="T1089" s="4">
        <f t="shared" si="82"/>
        <v>0</v>
      </c>
      <c r="U1089" s="5">
        <f t="shared" si="83"/>
        <v>0</v>
      </c>
      <c r="V1089" s="23">
        <f t="shared" si="84"/>
        <v>0</v>
      </c>
    </row>
    <row r="1090" spans="2:22" x14ac:dyDescent="0.25">
      <c r="B1090" s="16">
        <v>1</v>
      </c>
      <c r="C1090" s="7">
        <v>1</v>
      </c>
      <c r="D1090" s="8">
        <v>1</v>
      </c>
      <c r="E1090" s="8">
        <v>1</v>
      </c>
      <c r="F1090" s="8">
        <v>1</v>
      </c>
      <c r="G1090" s="8">
        <v>1</v>
      </c>
      <c r="H1090" s="8">
        <v>0</v>
      </c>
      <c r="I1090" s="8">
        <v>0</v>
      </c>
      <c r="J1090" s="8">
        <v>0</v>
      </c>
      <c r="K1090" s="9">
        <v>0</v>
      </c>
      <c r="L1090" s="10">
        <v>1</v>
      </c>
      <c r="M1090" s="6">
        <v>0</v>
      </c>
      <c r="N1090" s="37" cm="1">
        <f t="array" ref="N1090">IF(OR(ISNUMBER(FIND(Aux!$D$3:$D$9,_xlfn.TEXTJOIN(,,C1090:K1090)))),NA(),IF(AND(SUM(C1090:F1090,H1090:K1090)=0,G1090=1),0,INT((SUMPRODUCT(C1090:F1090,COLUMN($A$1:$D$1)-1)+SUMPRODUCT(H1090:K1090,COLUMN($E$1:$H$1)-1))*'Line Follower'!$C$3/SUM(C1090:F1090,H1090:K1090)-'Line Follower'!$C$5)))</f>
        <v>-4</v>
      </c>
      <c r="O1090" s="22">
        <v>1</v>
      </c>
      <c r="P1090" s="4">
        <f t="shared" si="80"/>
        <v>0</v>
      </c>
      <c r="Q1090" s="4">
        <f t="shared" si="81"/>
        <v>1</v>
      </c>
      <c r="R1090" s="4">
        <f>IF(AND(B1090=1,N1090&gt;'Line Follower'!$C$7,SUM(C1090:K1090)&lt;4),1,0)</f>
        <v>0</v>
      </c>
      <c r="S1090" s="4">
        <f>IF(AND(L1090=1,N1090&lt;'Line Follower'!$C$6,SUM(C1090:K1090)&lt;4),1,0)</f>
        <v>0</v>
      </c>
      <c r="T1090" s="4">
        <f t="shared" si="82"/>
        <v>0</v>
      </c>
      <c r="U1090" s="5">
        <f t="shared" si="83"/>
        <v>0</v>
      </c>
      <c r="V1090" s="23">
        <f t="shared" si="84"/>
        <v>0</v>
      </c>
    </row>
    <row r="1091" spans="2:22" x14ac:dyDescent="0.25">
      <c r="B1091" s="16">
        <v>0</v>
      </c>
      <c r="C1091" s="7">
        <v>0</v>
      </c>
      <c r="D1091" s="8">
        <v>0</v>
      </c>
      <c r="E1091" s="8">
        <v>0</v>
      </c>
      <c r="F1091" s="8">
        <v>0</v>
      </c>
      <c r="G1091" s="8">
        <v>0</v>
      </c>
      <c r="H1091" s="8">
        <v>1</v>
      </c>
      <c r="I1091" s="8">
        <v>0</v>
      </c>
      <c r="J1091" s="8">
        <v>0</v>
      </c>
      <c r="K1091" s="9">
        <v>0</v>
      </c>
      <c r="L1091" s="10">
        <v>1</v>
      </c>
      <c r="M1091" s="6">
        <v>0</v>
      </c>
      <c r="N1091" s="37" cm="1">
        <f t="array" ref="N1091">IF(OR(ISNUMBER(FIND(Aux!$D$3:$D$9,_xlfn.TEXTJOIN(,,C1091:K1091)))),NA(),IF(AND(SUM(C1091:F1091,H1091:K1091)=0,G1091=1),0,INT((SUMPRODUCT(C1091:F1091,COLUMN($A$1:$D$1)-1)+SUMPRODUCT(H1091:K1091,COLUMN($E$1:$H$1)-1))*'Line Follower'!$C$3/SUM(C1091:F1091,H1091:K1091)-'Line Follower'!$C$5)))</f>
        <v>1</v>
      </c>
      <c r="O1091" s="22">
        <v>1</v>
      </c>
      <c r="P1091" s="4">
        <f t="shared" ref="P1091:P1154" si="85">IF(AND(N1091=0,G1091=1,M1091=1),1,0)</f>
        <v>0</v>
      </c>
      <c r="Q1091" s="4">
        <f t="shared" ref="Q1091:Q1154" si="86">IF(ISERROR(N1091),N1091,IF(SUM(C1091:K1091)&gt;=4,1,0))</f>
        <v>0</v>
      </c>
      <c r="R1091" s="4">
        <f>IF(AND(B1091=1,N1091&gt;'Line Follower'!$C$7,SUM(C1091:K1091)&lt;4),1,0)</f>
        <v>0</v>
      </c>
      <c r="S1091" s="4">
        <f>IF(AND(L1091=1,N1091&lt;'Line Follower'!$C$6,SUM(C1091:K1091)&lt;4),1,0)</f>
        <v>1</v>
      </c>
      <c r="T1091" s="4">
        <f t="shared" si="82"/>
        <v>0</v>
      </c>
      <c r="U1091" s="5">
        <f t="shared" si="83"/>
        <v>0</v>
      </c>
      <c r="V1091" s="23">
        <f t="shared" si="84"/>
        <v>0</v>
      </c>
    </row>
    <row r="1092" spans="2:22" x14ac:dyDescent="0.25">
      <c r="B1092" s="16">
        <v>1</v>
      </c>
      <c r="C1092" s="7">
        <v>0</v>
      </c>
      <c r="D1092" s="8">
        <v>0</v>
      </c>
      <c r="E1092" s="8">
        <v>0</v>
      </c>
      <c r="F1092" s="8">
        <v>0</v>
      </c>
      <c r="G1092" s="8">
        <v>0</v>
      </c>
      <c r="H1092" s="8">
        <v>1</v>
      </c>
      <c r="I1092" s="8">
        <v>0</v>
      </c>
      <c r="J1092" s="8">
        <v>0</v>
      </c>
      <c r="K1092" s="9">
        <v>0</v>
      </c>
      <c r="L1092" s="10">
        <v>1</v>
      </c>
      <c r="M1092" s="6">
        <v>0</v>
      </c>
      <c r="N1092" s="37" cm="1">
        <f t="array" ref="N1092">IF(OR(ISNUMBER(FIND(Aux!$D$3:$D$9,_xlfn.TEXTJOIN(,,C1092:K1092)))),NA(),IF(AND(SUM(C1092:F1092,H1092:K1092)=0,G1092=1),0,INT((SUMPRODUCT(C1092:F1092,COLUMN($A$1:$D$1)-1)+SUMPRODUCT(H1092:K1092,COLUMN($E$1:$H$1)-1))*'Line Follower'!$C$3/SUM(C1092:F1092,H1092:K1092)-'Line Follower'!$C$5)))</f>
        <v>1</v>
      </c>
      <c r="O1092" s="22">
        <v>1</v>
      </c>
      <c r="P1092" s="4">
        <f t="shared" si="85"/>
        <v>0</v>
      </c>
      <c r="Q1092" s="4">
        <f t="shared" si="86"/>
        <v>0</v>
      </c>
      <c r="R1092" s="4">
        <f>IF(AND(B1092=1,N1092&gt;'Line Follower'!$C$7,SUM(C1092:K1092)&lt;4),1,0)</f>
        <v>1</v>
      </c>
      <c r="S1092" s="4">
        <f>IF(AND(L1092=1,N1092&lt;'Line Follower'!$C$6,SUM(C1092:K1092)&lt;4),1,0)</f>
        <v>1</v>
      </c>
      <c r="T1092" s="4">
        <f t="shared" ref="T1092:T1155" si="87">IF(ISNA(N1092),NA(),IF(SUM(C1092:L1092)=0,1,0))</f>
        <v>0</v>
      </c>
      <c r="U1092" s="5">
        <f t="shared" ref="U1092:U1155" si="88">IF(ISNA(N1092),NA(),IF(SUM(B1092:K1092)=0,1,0))</f>
        <v>0</v>
      </c>
      <c r="V1092" s="23">
        <f t="shared" ref="V1092:V1155" si="89">IF(ISNA(N1092),NA(),IF(SUM(B1092:L1092)=0,1,0))</f>
        <v>0</v>
      </c>
    </row>
    <row r="1093" spans="2:22" x14ac:dyDescent="0.25">
      <c r="B1093" s="16">
        <v>0</v>
      </c>
      <c r="C1093" s="7">
        <v>1</v>
      </c>
      <c r="D1093" s="8">
        <v>0</v>
      </c>
      <c r="E1093" s="8">
        <v>0</v>
      </c>
      <c r="F1093" s="8">
        <v>0</v>
      </c>
      <c r="G1093" s="8">
        <v>0</v>
      </c>
      <c r="H1093" s="8">
        <v>1</v>
      </c>
      <c r="I1093" s="8">
        <v>0</v>
      </c>
      <c r="J1093" s="8">
        <v>0</v>
      </c>
      <c r="K1093" s="9">
        <v>0</v>
      </c>
      <c r="L1093" s="10">
        <v>1</v>
      </c>
      <c r="M1093" s="6">
        <v>0</v>
      </c>
      <c r="N1093" s="37" t="e" cm="1">
        <f t="array" ref="N1093">IF(OR(ISNUMBER(FIND(Aux!$D$3:$D$9,_xlfn.TEXTJOIN(,,C1093:K1093)))),NA(),IF(AND(SUM(C1093:F1093,H1093:K1093)=0,G1093=1),0,INT((SUMPRODUCT(C1093:F1093,COLUMN($A$1:$D$1)-1)+SUMPRODUCT(H1093:K1093,COLUMN($E$1:$H$1)-1))*'Line Follower'!$C$3/SUM(C1093:F1093,H1093:K1093)-'Line Follower'!$C$5)))</f>
        <v>#N/A</v>
      </c>
      <c r="O1093" s="22" t="e">
        <v>#N/A</v>
      </c>
      <c r="P1093" s="4" t="e">
        <f t="shared" si="85"/>
        <v>#N/A</v>
      </c>
      <c r="Q1093" s="4" t="e">
        <f t="shared" si="86"/>
        <v>#N/A</v>
      </c>
      <c r="R1093" s="4" t="e">
        <f>IF(AND(B1093=1,N1093&gt;'Line Follower'!$C$7,SUM(C1093:K1093)&lt;4),1,0)</f>
        <v>#N/A</v>
      </c>
      <c r="S1093" s="4" t="e">
        <f>IF(AND(L1093=1,N1093&lt;'Line Follower'!$C$6,SUM(C1093:K1093)&lt;4),1,0)</f>
        <v>#N/A</v>
      </c>
      <c r="T1093" s="4" t="e">
        <f t="shared" si="87"/>
        <v>#N/A</v>
      </c>
      <c r="U1093" s="5" t="e">
        <f t="shared" si="88"/>
        <v>#N/A</v>
      </c>
      <c r="V1093" s="23" t="e">
        <f t="shared" si="89"/>
        <v>#N/A</v>
      </c>
    </row>
    <row r="1094" spans="2:22" x14ac:dyDescent="0.25">
      <c r="B1094" s="16">
        <v>1</v>
      </c>
      <c r="C1094" s="7">
        <v>1</v>
      </c>
      <c r="D1094" s="8">
        <v>0</v>
      </c>
      <c r="E1094" s="8">
        <v>0</v>
      </c>
      <c r="F1094" s="8">
        <v>0</v>
      </c>
      <c r="G1094" s="8">
        <v>0</v>
      </c>
      <c r="H1094" s="8">
        <v>1</v>
      </c>
      <c r="I1094" s="8">
        <v>0</v>
      </c>
      <c r="J1094" s="8">
        <v>0</v>
      </c>
      <c r="K1094" s="9">
        <v>0</v>
      </c>
      <c r="L1094" s="10">
        <v>1</v>
      </c>
      <c r="M1094" s="6">
        <v>0</v>
      </c>
      <c r="N1094" s="37" t="e" cm="1">
        <f t="array" ref="N1094">IF(OR(ISNUMBER(FIND(Aux!$D$3:$D$9,_xlfn.TEXTJOIN(,,C1094:K1094)))),NA(),IF(AND(SUM(C1094:F1094,H1094:K1094)=0,G1094=1),0,INT((SUMPRODUCT(C1094:F1094,COLUMN($A$1:$D$1)-1)+SUMPRODUCT(H1094:K1094,COLUMN($E$1:$H$1)-1))*'Line Follower'!$C$3/SUM(C1094:F1094,H1094:K1094)-'Line Follower'!$C$5)))</f>
        <v>#N/A</v>
      </c>
      <c r="O1094" s="22" t="e">
        <v>#N/A</v>
      </c>
      <c r="P1094" s="4" t="e">
        <f t="shared" si="85"/>
        <v>#N/A</v>
      </c>
      <c r="Q1094" s="4" t="e">
        <f t="shared" si="86"/>
        <v>#N/A</v>
      </c>
      <c r="R1094" s="4" t="e">
        <f>IF(AND(B1094=1,N1094&gt;'Line Follower'!$C$7,SUM(C1094:K1094)&lt;4),1,0)</f>
        <v>#N/A</v>
      </c>
      <c r="S1094" s="4" t="e">
        <f>IF(AND(L1094=1,N1094&lt;'Line Follower'!$C$6,SUM(C1094:K1094)&lt;4),1,0)</f>
        <v>#N/A</v>
      </c>
      <c r="T1094" s="4" t="e">
        <f t="shared" si="87"/>
        <v>#N/A</v>
      </c>
      <c r="U1094" s="5" t="e">
        <f t="shared" si="88"/>
        <v>#N/A</v>
      </c>
      <c r="V1094" s="23" t="e">
        <f t="shared" si="89"/>
        <v>#N/A</v>
      </c>
    </row>
    <row r="1095" spans="2:22" x14ac:dyDescent="0.25">
      <c r="B1095" s="16">
        <v>0</v>
      </c>
      <c r="C1095" s="7">
        <v>0</v>
      </c>
      <c r="D1095" s="8">
        <v>1</v>
      </c>
      <c r="E1095" s="8">
        <v>0</v>
      </c>
      <c r="F1095" s="8">
        <v>0</v>
      </c>
      <c r="G1095" s="8">
        <v>0</v>
      </c>
      <c r="H1095" s="8">
        <v>1</v>
      </c>
      <c r="I1095" s="8">
        <v>0</v>
      </c>
      <c r="J1095" s="8">
        <v>0</v>
      </c>
      <c r="K1095" s="9">
        <v>0</v>
      </c>
      <c r="L1095" s="10">
        <v>1</v>
      </c>
      <c r="M1095" s="6">
        <v>0</v>
      </c>
      <c r="N1095" s="37" t="e" cm="1">
        <f t="array" ref="N1095">IF(OR(ISNUMBER(FIND(Aux!$D$3:$D$9,_xlfn.TEXTJOIN(,,C1095:K1095)))),NA(),IF(AND(SUM(C1095:F1095,H1095:K1095)=0,G1095=1),0,INT((SUMPRODUCT(C1095:F1095,COLUMN($A$1:$D$1)-1)+SUMPRODUCT(H1095:K1095,COLUMN($E$1:$H$1)-1))*'Line Follower'!$C$3/SUM(C1095:F1095,H1095:K1095)-'Line Follower'!$C$5)))</f>
        <v>#N/A</v>
      </c>
      <c r="O1095" s="22" t="e">
        <v>#N/A</v>
      </c>
      <c r="P1095" s="4" t="e">
        <f t="shared" si="85"/>
        <v>#N/A</v>
      </c>
      <c r="Q1095" s="4" t="e">
        <f t="shared" si="86"/>
        <v>#N/A</v>
      </c>
      <c r="R1095" s="4" t="e">
        <f>IF(AND(B1095=1,N1095&gt;'Line Follower'!$C$7,SUM(C1095:K1095)&lt;4),1,0)</f>
        <v>#N/A</v>
      </c>
      <c r="S1095" s="4" t="e">
        <f>IF(AND(L1095=1,N1095&lt;'Line Follower'!$C$6,SUM(C1095:K1095)&lt;4),1,0)</f>
        <v>#N/A</v>
      </c>
      <c r="T1095" s="4" t="e">
        <f t="shared" si="87"/>
        <v>#N/A</v>
      </c>
      <c r="U1095" s="5" t="e">
        <f t="shared" si="88"/>
        <v>#N/A</v>
      </c>
      <c r="V1095" s="23" t="e">
        <f t="shared" si="89"/>
        <v>#N/A</v>
      </c>
    </row>
    <row r="1096" spans="2:22" x14ac:dyDescent="0.25">
      <c r="B1096" s="16">
        <v>1</v>
      </c>
      <c r="C1096" s="7">
        <v>0</v>
      </c>
      <c r="D1096" s="8">
        <v>1</v>
      </c>
      <c r="E1096" s="8">
        <v>0</v>
      </c>
      <c r="F1096" s="8">
        <v>0</v>
      </c>
      <c r="G1096" s="8">
        <v>0</v>
      </c>
      <c r="H1096" s="8">
        <v>1</v>
      </c>
      <c r="I1096" s="8">
        <v>0</v>
      </c>
      <c r="J1096" s="8">
        <v>0</v>
      </c>
      <c r="K1096" s="9">
        <v>0</v>
      </c>
      <c r="L1096" s="10">
        <v>1</v>
      </c>
      <c r="M1096" s="6">
        <v>0</v>
      </c>
      <c r="N1096" s="37" t="e" cm="1">
        <f t="array" ref="N1096">IF(OR(ISNUMBER(FIND(Aux!$D$3:$D$9,_xlfn.TEXTJOIN(,,C1096:K1096)))),NA(),IF(AND(SUM(C1096:F1096,H1096:K1096)=0,G1096=1),0,INT((SUMPRODUCT(C1096:F1096,COLUMN($A$1:$D$1)-1)+SUMPRODUCT(H1096:K1096,COLUMN($E$1:$H$1)-1))*'Line Follower'!$C$3/SUM(C1096:F1096,H1096:K1096)-'Line Follower'!$C$5)))</f>
        <v>#N/A</v>
      </c>
      <c r="O1096" s="22" t="e">
        <v>#N/A</v>
      </c>
      <c r="P1096" s="4" t="e">
        <f t="shared" si="85"/>
        <v>#N/A</v>
      </c>
      <c r="Q1096" s="4" t="e">
        <f t="shared" si="86"/>
        <v>#N/A</v>
      </c>
      <c r="R1096" s="4" t="e">
        <f>IF(AND(B1096=1,N1096&gt;'Line Follower'!$C$7,SUM(C1096:K1096)&lt;4),1,0)</f>
        <v>#N/A</v>
      </c>
      <c r="S1096" s="4" t="e">
        <f>IF(AND(L1096=1,N1096&lt;'Line Follower'!$C$6,SUM(C1096:K1096)&lt;4),1,0)</f>
        <v>#N/A</v>
      </c>
      <c r="T1096" s="4" t="e">
        <f t="shared" si="87"/>
        <v>#N/A</v>
      </c>
      <c r="U1096" s="5" t="e">
        <f t="shared" si="88"/>
        <v>#N/A</v>
      </c>
      <c r="V1096" s="23" t="e">
        <f t="shared" si="89"/>
        <v>#N/A</v>
      </c>
    </row>
    <row r="1097" spans="2:22" x14ac:dyDescent="0.25">
      <c r="B1097" s="16">
        <v>0</v>
      </c>
      <c r="C1097" s="7">
        <v>1</v>
      </c>
      <c r="D1097" s="8">
        <v>1</v>
      </c>
      <c r="E1097" s="8">
        <v>0</v>
      </c>
      <c r="F1097" s="8">
        <v>0</v>
      </c>
      <c r="G1097" s="8">
        <v>0</v>
      </c>
      <c r="H1097" s="8">
        <v>1</v>
      </c>
      <c r="I1097" s="8">
        <v>0</v>
      </c>
      <c r="J1097" s="8">
        <v>0</v>
      </c>
      <c r="K1097" s="9">
        <v>0</v>
      </c>
      <c r="L1097" s="10">
        <v>1</v>
      </c>
      <c r="M1097" s="6">
        <v>0</v>
      </c>
      <c r="N1097" s="37" t="e" cm="1">
        <f t="array" ref="N1097">IF(OR(ISNUMBER(FIND(Aux!$D$3:$D$9,_xlfn.TEXTJOIN(,,C1097:K1097)))),NA(),IF(AND(SUM(C1097:F1097,H1097:K1097)=0,G1097=1),0,INT((SUMPRODUCT(C1097:F1097,COLUMN($A$1:$D$1)-1)+SUMPRODUCT(H1097:K1097,COLUMN($E$1:$H$1)-1))*'Line Follower'!$C$3/SUM(C1097:F1097,H1097:K1097)-'Line Follower'!$C$5)))</f>
        <v>#N/A</v>
      </c>
      <c r="O1097" s="22" t="e">
        <v>#N/A</v>
      </c>
      <c r="P1097" s="4" t="e">
        <f t="shared" si="85"/>
        <v>#N/A</v>
      </c>
      <c r="Q1097" s="4" t="e">
        <f t="shared" si="86"/>
        <v>#N/A</v>
      </c>
      <c r="R1097" s="4" t="e">
        <f>IF(AND(B1097=1,N1097&gt;'Line Follower'!$C$7,SUM(C1097:K1097)&lt;4),1,0)</f>
        <v>#N/A</v>
      </c>
      <c r="S1097" s="4" t="e">
        <f>IF(AND(L1097=1,N1097&lt;'Line Follower'!$C$6,SUM(C1097:K1097)&lt;4),1,0)</f>
        <v>#N/A</v>
      </c>
      <c r="T1097" s="4" t="e">
        <f t="shared" si="87"/>
        <v>#N/A</v>
      </c>
      <c r="U1097" s="5" t="e">
        <f t="shared" si="88"/>
        <v>#N/A</v>
      </c>
      <c r="V1097" s="23" t="e">
        <f t="shared" si="89"/>
        <v>#N/A</v>
      </c>
    </row>
    <row r="1098" spans="2:22" x14ac:dyDescent="0.25">
      <c r="B1098" s="16">
        <v>1</v>
      </c>
      <c r="C1098" s="7">
        <v>1</v>
      </c>
      <c r="D1098" s="8">
        <v>1</v>
      </c>
      <c r="E1098" s="8">
        <v>0</v>
      </c>
      <c r="F1098" s="8">
        <v>0</v>
      </c>
      <c r="G1098" s="8">
        <v>0</v>
      </c>
      <c r="H1098" s="8">
        <v>1</v>
      </c>
      <c r="I1098" s="8">
        <v>0</v>
      </c>
      <c r="J1098" s="8">
        <v>0</v>
      </c>
      <c r="K1098" s="9">
        <v>0</v>
      </c>
      <c r="L1098" s="10">
        <v>1</v>
      </c>
      <c r="M1098" s="6">
        <v>0</v>
      </c>
      <c r="N1098" s="37" t="e" cm="1">
        <f t="array" ref="N1098">IF(OR(ISNUMBER(FIND(Aux!$D$3:$D$9,_xlfn.TEXTJOIN(,,C1098:K1098)))),NA(),IF(AND(SUM(C1098:F1098,H1098:K1098)=0,G1098=1),0,INT((SUMPRODUCT(C1098:F1098,COLUMN($A$1:$D$1)-1)+SUMPRODUCT(H1098:K1098,COLUMN($E$1:$H$1)-1))*'Line Follower'!$C$3/SUM(C1098:F1098,H1098:K1098)-'Line Follower'!$C$5)))</f>
        <v>#N/A</v>
      </c>
      <c r="O1098" s="22" t="e">
        <v>#N/A</v>
      </c>
      <c r="P1098" s="4" t="e">
        <f t="shared" si="85"/>
        <v>#N/A</v>
      </c>
      <c r="Q1098" s="4" t="e">
        <f t="shared" si="86"/>
        <v>#N/A</v>
      </c>
      <c r="R1098" s="4" t="e">
        <f>IF(AND(B1098=1,N1098&gt;'Line Follower'!$C$7,SUM(C1098:K1098)&lt;4),1,0)</f>
        <v>#N/A</v>
      </c>
      <c r="S1098" s="4" t="e">
        <f>IF(AND(L1098=1,N1098&lt;'Line Follower'!$C$6,SUM(C1098:K1098)&lt;4),1,0)</f>
        <v>#N/A</v>
      </c>
      <c r="T1098" s="4" t="e">
        <f t="shared" si="87"/>
        <v>#N/A</v>
      </c>
      <c r="U1098" s="5" t="e">
        <f t="shared" si="88"/>
        <v>#N/A</v>
      </c>
      <c r="V1098" s="23" t="e">
        <f t="shared" si="89"/>
        <v>#N/A</v>
      </c>
    </row>
    <row r="1099" spans="2:22" x14ac:dyDescent="0.25">
      <c r="B1099" s="16">
        <v>0</v>
      </c>
      <c r="C1099" s="7">
        <v>0</v>
      </c>
      <c r="D1099" s="8">
        <v>0</v>
      </c>
      <c r="E1099" s="8">
        <v>1</v>
      </c>
      <c r="F1099" s="8">
        <v>0</v>
      </c>
      <c r="G1099" s="8">
        <v>0</v>
      </c>
      <c r="H1099" s="8">
        <v>1</v>
      </c>
      <c r="I1099" s="8">
        <v>0</v>
      </c>
      <c r="J1099" s="8">
        <v>0</v>
      </c>
      <c r="K1099" s="9">
        <v>0</v>
      </c>
      <c r="L1099" s="10">
        <v>1</v>
      </c>
      <c r="M1099" s="6">
        <v>0</v>
      </c>
      <c r="N1099" s="37" t="e" cm="1">
        <f t="array" ref="N1099">IF(OR(ISNUMBER(FIND(Aux!$D$3:$D$9,_xlfn.TEXTJOIN(,,C1099:K1099)))),NA(),IF(AND(SUM(C1099:F1099,H1099:K1099)=0,G1099=1),0,INT((SUMPRODUCT(C1099:F1099,COLUMN($A$1:$D$1)-1)+SUMPRODUCT(H1099:K1099,COLUMN($E$1:$H$1)-1))*'Line Follower'!$C$3/SUM(C1099:F1099,H1099:K1099)-'Line Follower'!$C$5)))</f>
        <v>#N/A</v>
      </c>
      <c r="O1099" s="22" t="e">
        <v>#N/A</v>
      </c>
      <c r="P1099" s="4" t="e">
        <f t="shared" si="85"/>
        <v>#N/A</v>
      </c>
      <c r="Q1099" s="4" t="e">
        <f t="shared" si="86"/>
        <v>#N/A</v>
      </c>
      <c r="R1099" s="4" t="e">
        <f>IF(AND(B1099=1,N1099&gt;'Line Follower'!$C$7,SUM(C1099:K1099)&lt;4),1,0)</f>
        <v>#N/A</v>
      </c>
      <c r="S1099" s="4" t="e">
        <f>IF(AND(L1099=1,N1099&lt;'Line Follower'!$C$6,SUM(C1099:K1099)&lt;4),1,0)</f>
        <v>#N/A</v>
      </c>
      <c r="T1099" s="4" t="e">
        <f t="shared" si="87"/>
        <v>#N/A</v>
      </c>
      <c r="U1099" s="5" t="e">
        <f t="shared" si="88"/>
        <v>#N/A</v>
      </c>
      <c r="V1099" s="23" t="e">
        <f t="shared" si="89"/>
        <v>#N/A</v>
      </c>
    </row>
    <row r="1100" spans="2:22" x14ac:dyDescent="0.25">
      <c r="B1100" s="16">
        <v>1</v>
      </c>
      <c r="C1100" s="7">
        <v>0</v>
      </c>
      <c r="D1100" s="8">
        <v>0</v>
      </c>
      <c r="E1100" s="8">
        <v>1</v>
      </c>
      <c r="F1100" s="8">
        <v>0</v>
      </c>
      <c r="G1100" s="8">
        <v>0</v>
      </c>
      <c r="H1100" s="8">
        <v>1</v>
      </c>
      <c r="I1100" s="8">
        <v>0</v>
      </c>
      <c r="J1100" s="8">
        <v>0</v>
      </c>
      <c r="K1100" s="9">
        <v>0</v>
      </c>
      <c r="L1100" s="10">
        <v>1</v>
      </c>
      <c r="M1100" s="6">
        <v>0</v>
      </c>
      <c r="N1100" s="37" t="e" cm="1">
        <f t="array" ref="N1100">IF(OR(ISNUMBER(FIND(Aux!$D$3:$D$9,_xlfn.TEXTJOIN(,,C1100:K1100)))),NA(),IF(AND(SUM(C1100:F1100,H1100:K1100)=0,G1100=1),0,INT((SUMPRODUCT(C1100:F1100,COLUMN($A$1:$D$1)-1)+SUMPRODUCT(H1100:K1100,COLUMN($E$1:$H$1)-1))*'Line Follower'!$C$3/SUM(C1100:F1100,H1100:K1100)-'Line Follower'!$C$5)))</f>
        <v>#N/A</v>
      </c>
      <c r="O1100" s="22" t="e">
        <v>#N/A</v>
      </c>
      <c r="P1100" s="4" t="e">
        <f t="shared" si="85"/>
        <v>#N/A</v>
      </c>
      <c r="Q1100" s="4" t="e">
        <f t="shared" si="86"/>
        <v>#N/A</v>
      </c>
      <c r="R1100" s="4" t="e">
        <f>IF(AND(B1100=1,N1100&gt;'Line Follower'!$C$7,SUM(C1100:K1100)&lt;4),1,0)</f>
        <v>#N/A</v>
      </c>
      <c r="S1100" s="4" t="e">
        <f>IF(AND(L1100=1,N1100&lt;'Line Follower'!$C$6,SUM(C1100:K1100)&lt;4),1,0)</f>
        <v>#N/A</v>
      </c>
      <c r="T1100" s="4" t="e">
        <f t="shared" si="87"/>
        <v>#N/A</v>
      </c>
      <c r="U1100" s="5" t="e">
        <f t="shared" si="88"/>
        <v>#N/A</v>
      </c>
      <c r="V1100" s="23" t="e">
        <f t="shared" si="89"/>
        <v>#N/A</v>
      </c>
    </row>
    <row r="1101" spans="2:22" x14ac:dyDescent="0.25">
      <c r="B1101" s="16">
        <v>0</v>
      </c>
      <c r="C1101" s="7">
        <v>1</v>
      </c>
      <c r="D1101" s="8">
        <v>0</v>
      </c>
      <c r="E1101" s="8">
        <v>1</v>
      </c>
      <c r="F1101" s="8">
        <v>0</v>
      </c>
      <c r="G1101" s="8">
        <v>0</v>
      </c>
      <c r="H1101" s="8">
        <v>1</v>
      </c>
      <c r="I1101" s="8">
        <v>0</v>
      </c>
      <c r="J1101" s="8">
        <v>0</v>
      </c>
      <c r="K1101" s="9">
        <v>0</v>
      </c>
      <c r="L1101" s="10">
        <v>1</v>
      </c>
      <c r="M1101" s="6">
        <v>0</v>
      </c>
      <c r="N1101" s="37" t="e" cm="1">
        <f t="array" ref="N1101">IF(OR(ISNUMBER(FIND(Aux!$D$3:$D$9,_xlfn.TEXTJOIN(,,C1101:K1101)))),NA(),IF(AND(SUM(C1101:F1101,H1101:K1101)=0,G1101=1),0,INT((SUMPRODUCT(C1101:F1101,COLUMN($A$1:$D$1)-1)+SUMPRODUCT(H1101:K1101,COLUMN($E$1:$H$1)-1))*'Line Follower'!$C$3/SUM(C1101:F1101,H1101:K1101)-'Line Follower'!$C$5)))</f>
        <v>#N/A</v>
      </c>
      <c r="O1101" s="22" t="e">
        <v>#N/A</v>
      </c>
      <c r="P1101" s="4" t="e">
        <f t="shared" si="85"/>
        <v>#N/A</v>
      </c>
      <c r="Q1101" s="4" t="e">
        <f t="shared" si="86"/>
        <v>#N/A</v>
      </c>
      <c r="R1101" s="4" t="e">
        <f>IF(AND(B1101=1,N1101&gt;'Line Follower'!$C$7,SUM(C1101:K1101)&lt;4),1,0)</f>
        <v>#N/A</v>
      </c>
      <c r="S1101" s="4" t="e">
        <f>IF(AND(L1101=1,N1101&lt;'Line Follower'!$C$6,SUM(C1101:K1101)&lt;4),1,0)</f>
        <v>#N/A</v>
      </c>
      <c r="T1101" s="4" t="e">
        <f t="shared" si="87"/>
        <v>#N/A</v>
      </c>
      <c r="U1101" s="5" t="e">
        <f t="shared" si="88"/>
        <v>#N/A</v>
      </c>
      <c r="V1101" s="23" t="e">
        <f t="shared" si="89"/>
        <v>#N/A</v>
      </c>
    </row>
    <row r="1102" spans="2:22" x14ac:dyDescent="0.25">
      <c r="B1102" s="16">
        <v>1</v>
      </c>
      <c r="C1102" s="7">
        <v>1</v>
      </c>
      <c r="D1102" s="8">
        <v>0</v>
      </c>
      <c r="E1102" s="8">
        <v>1</v>
      </c>
      <c r="F1102" s="8">
        <v>0</v>
      </c>
      <c r="G1102" s="8">
        <v>0</v>
      </c>
      <c r="H1102" s="8">
        <v>1</v>
      </c>
      <c r="I1102" s="8">
        <v>0</v>
      </c>
      <c r="J1102" s="8">
        <v>0</v>
      </c>
      <c r="K1102" s="9">
        <v>0</v>
      </c>
      <c r="L1102" s="10">
        <v>1</v>
      </c>
      <c r="M1102" s="6">
        <v>0</v>
      </c>
      <c r="N1102" s="37" t="e" cm="1">
        <f t="array" ref="N1102">IF(OR(ISNUMBER(FIND(Aux!$D$3:$D$9,_xlfn.TEXTJOIN(,,C1102:K1102)))),NA(),IF(AND(SUM(C1102:F1102,H1102:K1102)=0,G1102=1),0,INT((SUMPRODUCT(C1102:F1102,COLUMN($A$1:$D$1)-1)+SUMPRODUCT(H1102:K1102,COLUMN($E$1:$H$1)-1))*'Line Follower'!$C$3/SUM(C1102:F1102,H1102:K1102)-'Line Follower'!$C$5)))</f>
        <v>#N/A</v>
      </c>
      <c r="O1102" s="22" t="e">
        <v>#N/A</v>
      </c>
      <c r="P1102" s="4" t="e">
        <f t="shared" si="85"/>
        <v>#N/A</v>
      </c>
      <c r="Q1102" s="4" t="e">
        <f t="shared" si="86"/>
        <v>#N/A</v>
      </c>
      <c r="R1102" s="4" t="e">
        <f>IF(AND(B1102=1,N1102&gt;'Line Follower'!$C$7,SUM(C1102:K1102)&lt;4),1,0)</f>
        <v>#N/A</v>
      </c>
      <c r="S1102" s="4" t="e">
        <f>IF(AND(L1102=1,N1102&lt;'Line Follower'!$C$6,SUM(C1102:K1102)&lt;4),1,0)</f>
        <v>#N/A</v>
      </c>
      <c r="T1102" s="4" t="e">
        <f t="shared" si="87"/>
        <v>#N/A</v>
      </c>
      <c r="U1102" s="5" t="e">
        <f t="shared" si="88"/>
        <v>#N/A</v>
      </c>
      <c r="V1102" s="23" t="e">
        <f t="shared" si="89"/>
        <v>#N/A</v>
      </c>
    </row>
    <row r="1103" spans="2:22" x14ac:dyDescent="0.25">
      <c r="B1103" s="16">
        <v>0</v>
      </c>
      <c r="C1103" s="7">
        <v>0</v>
      </c>
      <c r="D1103" s="8">
        <v>1</v>
      </c>
      <c r="E1103" s="8">
        <v>1</v>
      </c>
      <c r="F1103" s="8">
        <v>0</v>
      </c>
      <c r="G1103" s="8">
        <v>0</v>
      </c>
      <c r="H1103" s="8">
        <v>1</v>
      </c>
      <c r="I1103" s="8">
        <v>0</v>
      </c>
      <c r="J1103" s="8">
        <v>0</v>
      </c>
      <c r="K1103" s="9">
        <v>0</v>
      </c>
      <c r="L1103" s="10">
        <v>1</v>
      </c>
      <c r="M1103" s="6">
        <v>0</v>
      </c>
      <c r="N1103" s="37" t="e" cm="1">
        <f t="array" ref="N1103">IF(OR(ISNUMBER(FIND(Aux!$D$3:$D$9,_xlfn.TEXTJOIN(,,C1103:K1103)))),NA(),IF(AND(SUM(C1103:F1103,H1103:K1103)=0,G1103=1),0,INT((SUMPRODUCT(C1103:F1103,COLUMN($A$1:$D$1)-1)+SUMPRODUCT(H1103:K1103,COLUMN($E$1:$H$1)-1))*'Line Follower'!$C$3/SUM(C1103:F1103,H1103:K1103)-'Line Follower'!$C$5)))</f>
        <v>#N/A</v>
      </c>
      <c r="O1103" s="22" t="e">
        <v>#N/A</v>
      </c>
      <c r="P1103" s="4" t="e">
        <f t="shared" si="85"/>
        <v>#N/A</v>
      </c>
      <c r="Q1103" s="4" t="e">
        <f t="shared" si="86"/>
        <v>#N/A</v>
      </c>
      <c r="R1103" s="4" t="e">
        <f>IF(AND(B1103=1,N1103&gt;'Line Follower'!$C$7,SUM(C1103:K1103)&lt;4),1,0)</f>
        <v>#N/A</v>
      </c>
      <c r="S1103" s="4" t="e">
        <f>IF(AND(L1103=1,N1103&lt;'Line Follower'!$C$6,SUM(C1103:K1103)&lt;4),1,0)</f>
        <v>#N/A</v>
      </c>
      <c r="T1103" s="4" t="e">
        <f t="shared" si="87"/>
        <v>#N/A</v>
      </c>
      <c r="U1103" s="5" t="e">
        <f t="shared" si="88"/>
        <v>#N/A</v>
      </c>
      <c r="V1103" s="23" t="e">
        <f t="shared" si="89"/>
        <v>#N/A</v>
      </c>
    </row>
    <row r="1104" spans="2:22" x14ac:dyDescent="0.25">
      <c r="B1104" s="16">
        <v>1</v>
      </c>
      <c r="C1104" s="7">
        <v>0</v>
      </c>
      <c r="D1104" s="8">
        <v>1</v>
      </c>
      <c r="E1104" s="8">
        <v>1</v>
      </c>
      <c r="F1104" s="8">
        <v>0</v>
      </c>
      <c r="G1104" s="8">
        <v>0</v>
      </c>
      <c r="H1104" s="8">
        <v>1</v>
      </c>
      <c r="I1104" s="8">
        <v>0</v>
      </c>
      <c r="J1104" s="8">
        <v>0</v>
      </c>
      <c r="K1104" s="9">
        <v>0</v>
      </c>
      <c r="L1104" s="10">
        <v>1</v>
      </c>
      <c r="M1104" s="6">
        <v>0</v>
      </c>
      <c r="N1104" s="37" t="e" cm="1">
        <f t="array" ref="N1104">IF(OR(ISNUMBER(FIND(Aux!$D$3:$D$9,_xlfn.TEXTJOIN(,,C1104:K1104)))),NA(),IF(AND(SUM(C1104:F1104,H1104:K1104)=0,G1104=1),0,INT((SUMPRODUCT(C1104:F1104,COLUMN($A$1:$D$1)-1)+SUMPRODUCT(H1104:K1104,COLUMN($E$1:$H$1)-1))*'Line Follower'!$C$3/SUM(C1104:F1104,H1104:K1104)-'Line Follower'!$C$5)))</f>
        <v>#N/A</v>
      </c>
      <c r="O1104" s="22" t="e">
        <v>#N/A</v>
      </c>
      <c r="P1104" s="4" t="e">
        <f t="shared" si="85"/>
        <v>#N/A</v>
      </c>
      <c r="Q1104" s="4" t="e">
        <f t="shared" si="86"/>
        <v>#N/A</v>
      </c>
      <c r="R1104" s="4" t="e">
        <f>IF(AND(B1104=1,N1104&gt;'Line Follower'!$C$7,SUM(C1104:K1104)&lt;4),1,0)</f>
        <v>#N/A</v>
      </c>
      <c r="S1104" s="4" t="e">
        <f>IF(AND(L1104=1,N1104&lt;'Line Follower'!$C$6,SUM(C1104:K1104)&lt;4),1,0)</f>
        <v>#N/A</v>
      </c>
      <c r="T1104" s="4" t="e">
        <f t="shared" si="87"/>
        <v>#N/A</v>
      </c>
      <c r="U1104" s="5" t="e">
        <f t="shared" si="88"/>
        <v>#N/A</v>
      </c>
      <c r="V1104" s="23" t="e">
        <f t="shared" si="89"/>
        <v>#N/A</v>
      </c>
    </row>
    <row r="1105" spans="2:22" x14ac:dyDescent="0.25">
      <c r="B1105" s="16">
        <v>0</v>
      </c>
      <c r="C1105" s="7">
        <v>1</v>
      </c>
      <c r="D1105" s="8">
        <v>1</v>
      </c>
      <c r="E1105" s="8">
        <v>1</v>
      </c>
      <c r="F1105" s="8">
        <v>0</v>
      </c>
      <c r="G1105" s="8">
        <v>0</v>
      </c>
      <c r="H1105" s="8">
        <v>1</v>
      </c>
      <c r="I1105" s="8">
        <v>0</v>
      </c>
      <c r="J1105" s="8">
        <v>0</v>
      </c>
      <c r="K1105" s="9">
        <v>0</v>
      </c>
      <c r="L1105" s="10">
        <v>1</v>
      </c>
      <c r="M1105" s="6">
        <v>0</v>
      </c>
      <c r="N1105" s="37" t="e" cm="1">
        <f t="array" ref="N1105">IF(OR(ISNUMBER(FIND(Aux!$D$3:$D$9,_xlfn.TEXTJOIN(,,C1105:K1105)))),NA(),IF(AND(SUM(C1105:F1105,H1105:K1105)=0,G1105=1),0,INT((SUMPRODUCT(C1105:F1105,COLUMN($A$1:$D$1)-1)+SUMPRODUCT(H1105:K1105,COLUMN($E$1:$H$1)-1))*'Line Follower'!$C$3/SUM(C1105:F1105,H1105:K1105)-'Line Follower'!$C$5)))</f>
        <v>#N/A</v>
      </c>
      <c r="O1105" s="22" t="e">
        <v>#N/A</v>
      </c>
      <c r="P1105" s="4" t="e">
        <f t="shared" si="85"/>
        <v>#N/A</v>
      </c>
      <c r="Q1105" s="4" t="e">
        <f t="shared" si="86"/>
        <v>#N/A</v>
      </c>
      <c r="R1105" s="4" t="e">
        <f>IF(AND(B1105=1,N1105&gt;'Line Follower'!$C$7,SUM(C1105:K1105)&lt;4),1,0)</f>
        <v>#N/A</v>
      </c>
      <c r="S1105" s="4" t="e">
        <f>IF(AND(L1105=1,N1105&lt;'Line Follower'!$C$6,SUM(C1105:K1105)&lt;4),1,0)</f>
        <v>#N/A</v>
      </c>
      <c r="T1105" s="4" t="e">
        <f t="shared" si="87"/>
        <v>#N/A</v>
      </c>
      <c r="U1105" s="5" t="e">
        <f t="shared" si="88"/>
        <v>#N/A</v>
      </c>
      <c r="V1105" s="23" t="e">
        <f t="shared" si="89"/>
        <v>#N/A</v>
      </c>
    </row>
    <row r="1106" spans="2:22" x14ac:dyDescent="0.25">
      <c r="B1106" s="16">
        <v>1</v>
      </c>
      <c r="C1106" s="7">
        <v>1</v>
      </c>
      <c r="D1106" s="8">
        <v>1</v>
      </c>
      <c r="E1106" s="8">
        <v>1</v>
      </c>
      <c r="F1106" s="8">
        <v>0</v>
      </c>
      <c r="G1106" s="8">
        <v>0</v>
      </c>
      <c r="H1106" s="8">
        <v>1</v>
      </c>
      <c r="I1106" s="8">
        <v>0</v>
      </c>
      <c r="J1106" s="8">
        <v>0</v>
      </c>
      <c r="K1106" s="9">
        <v>0</v>
      </c>
      <c r="L1106" s="10">
        <v>1</v>
      </c>
      <c r="M1106" s="6">
        <v>0</v>
      </c>
      <c r="N1106" s="37" t="e" cm="1">
        <f t="array" ref="N1106">IF(OR(ISNUMBER(FIND(Aux!$D$3:$D$9,_xlfn.TEXTJOIN(,,C1106:K1106)))),NA(),IF(AND(SUM(C1106:F1106,H1106:K1106)=0,G1106=1),0,INT((SUMPRODUCT(C1106:F1106,COLUMN($A$1:$D$1)-1)+SUMPRODUCT(H1106:K1106,COLUMN($E$1:$H$1)-1))*'Line Follower'!$C$3/SUM(C1106:F1106,H1106:K1106)-'Line Follower'!$C$5)))</f>
        <v>#N/A</v>
      </c>
      <c r="O1106" s="22" t="e">
        <v>#N/A</v>
      </c>
      <c r="P1106" s="4" t="e">
        <f t="shared" si="85"/>
        <v>#N/A</v>
      </c>
      <c r="Q1106" s="4" t="e">
        <f t="shared" si="86"/>
        <v>#N/A</v>
      </c>
      <c r="R1106" s="4" t="e">
        <f>IF(AND(B1106=1,N1106&gt;'Line Follower'!$C$7,SUM(C1106:K1106)&lt;4),1,0)</f>
        <v>#N/A</v>
      </c>
      <c r="S1106" s="4" t="e">
        <f>IF(AND(L1106=1,N1106&lt;'Line Follower'!$C$6,SUM(C1106:K1106)&lt;4),1,0)</f>
        <v>#N/A</v>
      </c>
      <c r="T1106" s="4" t="e">
        <f t="shared" si="87"/>
        <v>#N/A</v>
      </c>
      <c r="U1106" s="5" t="e">
        <f t="shared" si="88"/>
        <v>#N/A</v>
      </c>
      <c r="V1106" s="23" t="e">
        <f t="shared" si="89"/>
        <v>#N/A</v>
      </c>
    </row>
    <row r="1107" spans="2:22" x14ac:dyDescent="0.25">
      <c r="B1107" s="16">
        <v>0</v>
      </c>
      <c r="C1107" s="7">
        <v>0</v>
      </c>
      <c r="D1107" s="8">
        <v>0</v>
      </c>
      <c r="E1107" s="8">
        <v>0</v>
      </c>
      <c r="F1107" s="8">
        <v>1</v>
      </c>
      <c r="G1107" s="8">
        <v>0</v>
      </c>
      <c r="H1107" s="8">
        <v>1</v>
      </c>
      <c r="I1107" s="8">
        <v>0</v>
      </c>
      <c r="J1107" s="8">
        <v>0</v>
      </c>
      <c r="K1107" s="9">
        <v>0</v>
      </c>
      <c r="L1107" s="10">
        <v>1</v>
      </c>
      <c r="M1107" s="6">
        <v>0</v>
      </c>
      <c r="N1107" s="37" t="e" cm="1">
        <f t="array" ref="N1107">IF(OR(ISNUMBER(FIND(Aux!$D$3:$D$9,_xlfn.TEXTJOIN(,,C1107:K1107)))),NA(),IF(AND(SUM(C1107:F1107,H1107:K1107)=0,G1107=1),0,INT((SUMPRODUCT(C1107:F1107,COLUMN($A$1:$D$1)-1)+SUMPRODUCT(H1107:K1107,COLUMN($E$1:$H$1)-1))*'Line Follower'!$C$3/SUM(C1107:F1107,H1107:K1107)-'Line Follower'!$C$5)))</f>
        <v>#N/A</v>
      </c>
      <c r="O1107" s="22" t="e">
        <v>#N/A</v>
      </c>
      <c r="P1107" s="4" t="e">
        <f t="shared" si="85"/>
        <v>#N/A</v>
      </c>
      <c r="Q1107" s="4" t="e">
        <f t="shared" si="86"/>
        <v>#N/A</v>
      </c>
      <c r="R1107" s="4" t="e">
        <f>IF(AND(B1107=1,N1107&gt;'Line Follower'!$C$7,SUM(C1107:K1107)&lt;4),1,0)</f>
        <v>#N/A</v>
      </c>
      <c r="S1107" s="4" t="e">
        <f>IF(AND(L1107=1,N1107&lt;'Line Follower'!$C$6,SUM(C1107:K1107)&lt;4),1,0)</f>
        <v>#N/A</v>
      </c>
      <c r="T1107" s="4" t="e">
        <f t="shared" si="87"/>
        <v>#N/A</v>
      </c>
      <c r="U1107" s="5" t="e">
        <f t="shared" si="88"/>
        <v>#N/A</v>
      </c>
      <c r="V1107" s="23" t="e">
        <f t="shared" si="89"/>
        <v>#N/A</v>
      </c>
    </row>
    <row r="1108" spans="2:22" x14ac:dyDescent="0.25">
      <c r="B1108" s="16">
        <v>1</v>
      </c>
      <c r="C1108" s="7">
        <v>0</v>
      </c>
      <c r="D1108" s="8">
        <v>0</v>
      </c>
      <c r="E1108" s="8">
        <v>0</v>
      </c>
      <c r="F1108" s="8">
        <v>1</v>
      </c>
      <c r="G1108" s="8">
        <v>0</v>
      </c>
      <c r="H1108" s="8">
        <v>1</v>
      </c>
      <c r="I1108" s="8">
        <v>0</v>
      </c>
      <c r="J1108" s="8">
        <v>0</v>
      </c>
      <c r="K1108" s="9">
        <v>0</v>
      </c>
      <c r="L1108" s="10">
        <v>1</v>
      </c>
      <c r="M1108" s="6">
        <v>0</v>
      </c>
      <c r="N1108" s="37" t="e" cm="1">
        <f t="array" ref="N1108">IF(OR(ISNUMBER(FIND(Aux!$D$3:$D$9,_xlfn.TEXTJOIN(,,C1108:K1108)))),NA(),IF(AND(SUM(C1108:F1108,H1108:K1108)=0,G1108=1),0,INT((SUMPRODUCT(C1108:F1108,COLUMN($A$1:$D$1)-1)+SUMPRODUCT(H1108:K1108,COLUMN($E$1:$H$1)-1))*'Line Follower'!$C$3/SUM(C1108:F1108,H1108:K1108)-'Line Follower'!$C$5)))</f>
        <v>#N/A</v>
      </c>
      <c r="O1108" s="22" t="e">
        <v>#N/A</v>
      </c>
      <c r="P1108" s="4" t="e">
        <f t="shared" si="85"/>
        <v>#N/A</v>
      </c>
      <c r="Q1108" s="4" t="e">
        <f t="shared" si="86"/>
        <v>#N/A</v>
      </c>
      <c r="R1108" s="4" t="e">
        <f>IF(AND(B1108=1,N1108&gt;'Line Follower'!$C$7,SUM(C1108:K1108)&lt;4),1,0)</f>
        <v>#N/A</v>
      </c>
      <c r="S1108" s="4" t="e">
        <f>IF(AND(L1108=1,N1108&lt;'Line Follower'!$C$6,SUM(C1108:K1108)&lt;4),1,0)</f>
        <v>#N/A</v>
      </c>
      <c r="T1108" s="4" t="e">
        <f t="shared" si="87"/>
        <v>#N/A</v>
      </c>
      <c r="U1108" s="5" t="e">
        <f t="shared" si="88"/>
        <v>#N/A</v>
      </c>
      <c r="V1108" s="23" t="e">
        <f t="shared" si="89"/>
        <v>#N/A</v>
      </c>
    </row>
    <row r="1109" spans="2:22" x14ac:dyDescent="0.25">
      <c r="B1109" s="16">
        <v>0</v>
      </c>
      <c r="C1109" s="7">
        <v>1</v>
      </c>
      <c r="D1109" s="8">
        <v>0</v>
      </c>
      <c r="E1109" s="8">
        <v>0</v>
      </c>
      <c r="F1109" s="8">
        <v>1</v>
      </c>
      <c r="G1109" s="8">
        <v>0</v>
      </c>
      <c r="H1109" s="8">
        <v>1</v>
      </c>
      <c r="I1109" s="8">
        <v>0</v>
      </c>
      <c r="J1109" s="8">
        <v>0</v>
      </c>
      <c r="K1109" s="9">
        <v>0</v>
      </c>
      <c r="L1109" s="10">
        <v>1</v>
      </c>
      <c r="M1109" s="6">
        <v>0</v>
      </c>
      <c r="N1109" s="37" t="e" cm="1">
        <f t="array" ref="N1109">IF(OR(ISNUMBER(FIND(Aux!$D$3:$D$9,_xlfn.TEXTJOIN(,,C1109:K1109)))),NA(),IF(AND(SUM(C1109:F1109,H1109:K1109)=0,G1109=1),0,INT((SUMPRODUCT(C1109:F1109,COLUMN($A$1:$D$1)-1)+SUMPRODUCT(H1109:K1109,COLUMN($E$1:$H$1)-1))*'Line Follower'!$C$3/SUM(C1109:F1109,H1109:K1109)-'Line Follower'!$C$5)))</f>
        <v>#N/A</v>
      </c>
      <c r="O1109" s="22" t="e">
        <v>#N/A</v>
      </c>
      <c r="P1109" s="4" t="e">
        <f t="shared" si="85"/>
        <v>#N/A</v>
      </c>
      <c r="Q1109" s="4" t="e">
        <f t="shared" si="86"/>
        <v>#N/A</v>
      </c>
      <c r="R1109" s="4" t="e">
        <f>IF(AND(B1109=1,N1109&gt;'Line Follower'!$C$7,SUM(C1109:K1109)&lt;4),1,0)</f>
        <v>#N/A</v>
      </c>
      <c r="S1109" s="4" t="e">
        <f>IF(AND(L1109=1,N1109&lt;'Line Follower'!$C$6,SUM(C1109:K1109)&lt;4),1,0)</f>
        <v>#N/A</v>
      </c>
      <c r="T1109" s="4" t="e">
        <f t="shared" si="87"/>
        <v>#N/A</v>
      </c>
      <c r="U1109" s="5" t="e">
        <f t="shared" si="88"/>
        <v>#N/A</v>
      </c>
      <c r="V1109" s="23" t="e">
        <f t="shared" si="89"/>
        <v>#N/A</v>
      </c>
    </row>
    <row r="1110" spans="2:22" x14ac:dyDescent="0.25">
      <c r="B1110" s="16">
        <v>1</v>
      </c>
      <c r="C1110" s="7">
        <v>1</v>
      </c>
      <c r="D1110" s="8">
        <v>0</v>
      </c>
      <c r="E1110" s="8">
        <v>0</v>
      </c>
      <c r="F1110" s="8">
        <v>1</v>
      </c>
      <c r="G1110" s="8">
        <v>0</v>
      </c>
      <c r="H1110" s="8">
        <v>1</v>
      </c>
      <c r="I1110" s="8">
        <v>0</v>
      </c>
      <c r="J1110" s="8">
        <v>0</v>
      </c>
      <c r="K1110" s="9">
        <v>0</v>
      </c>
      <c r="L1110" s="10">
        <v>1</v>
      </c>
      <c r="M1110" s="6">
        <v>0</v>
      </c>
      <c r="N1110" s="37" t="e" cm="1">
        <f t="array" ref="N1110">IF(OR(ISNUMBER(FIND(Aux!$D$3:$D$9,_xlfn.TEXTJOIN(,,C1110:K1110)))),NA(),IF(AND(SUM(C1110:F1110,H1110:K1110)=0,G1110=1),0,INT((SUMPRODUCT(C1110:F1110,COLUMN($A$1:$D$1)-1)+SUMPRODUCT(H1110:K1110,COLUMN($E$1:$H$1)-1))*'Line Follower'!$C$3/SUM(C1110:F1110,H1110:K1110)-'Line Follower'!$C$5)))</f>
        <v>#N/A</v>
      </c>
      <c r="O1110" s="22" t="e">
        <v>#N/A</v>
      </c>
      <c r="P1110" s="4" t="e">
        <f t="shared" si="85"/>
        <v>#N/A</v>
      </c>
      <c r="Q1110" s="4" t="e">
        <f t="shared" si="86"/>
        <v>#N/A</v>
      </c>
      <c r="R1110" s="4" t="e">
        <f>IF(AND(B1110=1,N1110&gt;'Line Follower'!$C$7,SUM(C1110:K1110)&lt;4),1,0)</f>
        <v>#N/A</v>
      </c>
      <c r="S1110" s="4" t="e">
        <f>IF(AND(L1110=1,N1110&lt;'Line Follower'!$C$6,SUM(C1110:K1110)&lt;4),1,0)</f>
        <v>#N/A</v>
      </c>
      <c r="T1110" s="4" t="e">
        <f t="shared" si="87"/>
        <v>#N/A</v>
      </c>
      <c r="U1110" s="5" t="e">
        <f t="shared" si="88"/>
        <v>#N/A</v>
      </c>
      <c r="V1110" s="23" t="e">
        <f t="shared" si="89"/>
        <v>#N/A</v>
      </c>
    </row>
    <row r="1111" spans="2:22" x14ac:dyDescent="0.25">
      <c r="B1111" s="16">
        <v>0</v>
      </c>
      <c r="C1111" s="7">
        <v>0</v>
      </c>
      <c r="D1111" s="8">
        <v>1</v>
      </c>
      <c r="E1111" s="8">
        <v>0</v>
      </c>
      <c r="F1111" s="8">
        <v>1</v>
      </c>
      <c r="G1111" s="8">
        <v>0</v>
      </c>
      <c r="H1111" s="8">
        <v>1</v>
      </c>
      <c r="I1111" s="8">
        <v>0</v>
      </c>
      <c r="J1111" s="8">
        <v>0</v>
      </c>
      <c r="K1111" s="9">
        <v>0</v>
      </c>
      <c r="L1111" s="10">
        <v>1</v>
      </c>
      <c r="M1111" s="6">
        <v>0</v>
      </c>
      <c r="N1111" s="37" t="e" cm="1">
        <f t="array" ref="N1111">IF(OR(ISNUMBER(FIND(Aux!$D$3:$D$9,_xlfn.TEXTJOIN(,,C1111:K1111)))),NA(),IF(AND(SUM(C1111:F1111,H1111:K1111)=0,G1111=1),0,INT((SUMPRODUCT(C1111:F1111,COLUMN($A$1:$D$1)-1)+SUMPRODUCT(H1111:K1111,COLUMN($E$1:$H$1)-1))*'Line Follower'!$C$3/SUM(C1111:F1111,H1111:K1111)-'Line Follower'!$C$5)))</f>
        <v>#N/A</v>
      </c>
      <c r="O1111" s="22" t="e">
        <v>#N/A</v>
      </c>
      <c r="P1111" s="4" t="e">
        <f t="shared" si="85"/>
        <v>#N/A</v>
      </c>
      <c r="Q1111" s="4" t="e">
        <f t="shared" si="86"/>
        <v>#N/A</v>
      </c>
      <c r="R1111" s="4" t="e">
        <f>IF(AND(B1111=1,N1111&gt;'Line Follower'!$C$7,SUM(C1111:K1111)&lt;4),1,0)</f>
        <v>#N/A</v>
      </c>
      <c r="S1111" s="4" t="e">
        <f>IF(AND(L1111=1,N1111&lt;'Line Follower'!$C$6,SUM(C1111:K1111)&lt;4),1,0)</f>
        <v>#N/A</v>
      </c>
      <c r="T1111" s="4" t="e">
        <f t="shared" si="87"/>
        <v>#N/A</v>
      </c>
      <c r="U1111" s="5" t="e">
        <f t="shared" si="88"/>
        <v>#N/A</v>
      </c>
      <c r="V1111" s="23" t="e">
        <f t="shared" si="89"/>
        <v>#N/A</v>
      </c>
    </row>
    <row r="1112" spans="2:22" x14ac:dyDescent="0.25">
      <c r="B1112" s="16">
        <v>1</v>
      </c>
      <c r="C1112" s="7">
        <v>0</v>
      </c>
      <c r="D1112" s="8">
        <v>1</v>
      </c>
      <c r="E1112" s="8">
        <v>0</v>
      </c>
      <c r="F1112" s="8">
        <v>1</v>
      </c>
      <c r="G1112" s="8">
        <v>0</v>
      </c>
      <c r="H1112" s="8">
        <v>1</v>
      </c>
      <c r="I1112" s="8">
        <v>0</v>
      </c>
      <c r="J1112" s="8">
        <v>0</v>
      </c>
      <c r="K1112" s="9">
        <v>0</v>
      </c>
      <c r="L1112" s="10">
        <v>1</v>
      </c>
      <c r="M1112" s="6">
        <v>0</v>
      </c>
      <c r="N1112" s="37" t="e" cm="1">
        <f t="array" ref="N1112">IF(OR(ISNUMBER(FIND(Aux!$D$3:$D$9,_xlfn.TEXTJOIN(,,C1112:K1112)))),NA(),IF(AND(SUM(C1112:F1112,H1112:K1112)=0,G1112=1),0,INT((SUMPRODUCT(C1112:F1112,COLUMN($A$1:$D$1)-1)+SUMPRODUCT(H1112:K1112,COLUMN($E$1:$H$1)-1))*'Line Follower'!$C$3/SUM(C1112:F1112,H1112:K1112)-'Line Follower'!$C$5)))</f>
        <v>#N/A</v>
      </c>
      <c r="O1112" s="22" t="e">
        <v>#N/A</v>
      </c>
      <c r="P1112" s="4" t="e">
        <f t="shared" si="85"/>
        <v>#N/A</v>
      </c>
      <c r="Q1112" s="4" t="e">
        <f t="shared" si="86"/>
        <v>#N/A</v>
      </c>
      <c r="R1112" s="4" t="e">
        <f>IF(AND(B1112=1,N1112&gt;'Line Follower'!$C$7,SUM(C1112:K1112)&lt;4),1,0)</f>
        <v>#N/A</v>
      </c>
      <c r="S1112" s="4" t="e">
        <f>IF(AND(L1112=1,N1112&lt;'Line Follower'!$C$6,SUM(C1112:K1112)&lt;4),1,0)</f>
        <v>#N/A</v>
      </c>
      <c r="T1112" s="4" t="e">
        <f t="shared" si="87"/>
        <v>#N/A</v>
      </c>
      <c r="U1112" s="5" t="e">
        <f t="shared" si="88"/>
        <v>#N/A</v>
      </c>
      <c r="V1112" s="23" t="e">
        <f t="shared" si="89"/>
        <v>#N/A</v>
      </c>
    </row>
    <row r="1113" spans="2:22" x14ac:dyDescent="0.25">
      <c r="B1113" s="16">
        <v>0</v>
      </c>
      <c r="C1113" s="7">
        <v>1</v>
      </c>
      <c r="D1113" s="8">
        <v>1</v>
      </c>
      <c r="E1113" s="8">
        <v>0</v>
      </c>
      <c r="F1113" s="8">
        <v>1</v>
      </c>
      <c r="G1113" s="8">
        <v>0</v>
      </c>
      <c r="H1113" s="8">
        <v>1</v>
      </c>
      <c r="I1113" s="8">
        <v>0</v>
      </c>
      <c r="J1113" s="8">
        <v>0</v>
      </c>
      <c r="K1113" s="9">
        <v>0</v>
      </c>
      <c r="L1113" s="10">
        <v>1</v>
      </c>
      <c r="M1113" s="6">
        <v>0</v>
      </c>
      <c r="N1113" s="37" t="e" cm="1">
        <f t="array" ref="N1113">IF(OR(ISNUMBER(FIND(Aux!$D$3:$D$9,_xlfn.TEXTJOIN(,,C1113:K1113)))),NA(),IF(AND(SUM(C1113:F1113,H1113:K1113)=0,G1113=1),0,INT((SUMPRODUCT(C1113:F1113,COLUMN($A$1:$D$1)-1)+SUMPRODUCT(H1113:K1113,COLUMN($E$1:$H$1)-1))*'Line Follower'!$C$3/SUM(C1113:F1113,H1113:K1113)-'Line Follower'!$C$5)))</f>
        <v>#N/A</v>
      </c>
      <c r="O1113" s="22" t="e">
        <v>#N/A</v>
      </c>
      <c r="P1113" s="4" t="e">
        <f t="shared" si="85"/>
        <v>#N/A</v>
      </c>
      <c r="Q1113" s="4" t="e">
        <f t="shared" si="86"/>
        <v>#N/A</v>
      </c>
      <c r="R1113" s="4" t="e">
        <f>IF(AND(B1113=1,N1113&gt;'Line Follower'!$C$7,SUM(C1113:K1113)&lt;4),1,0)</f>
        <v>#N/A</v>
      </c>
      <c r="S1113" s="4" t="e">
        <f>IF(AND(L1113=1,N1113&lt;'Line Follower'!$C$6,SUM(C1113:K1113)&lt;4),1,0)</f>
        <v>#N/A</v>
      </c>
      <c r="T1113" s="4" t="e">
        <f t="shared" si="87"/>
        <v>#N/A</v>
      </c>
      <c r="U1113" s="5" t="e">
        <f t="shared" si="88"/>
        <v>#N/A</v>
      </c>
      <c r="V1113" s="23" t="e">
        <f t="shared" si="89"/>
        <v>#N/A</v>
      </c>
    </row>
    <row r="1114" spans="2:22" x14ac:dyDescent="0.25">
      <c r="B1114" s="16">
        <v>1</v>
      </c>
      <c r="C1114" s="7">
        <v>1</v>
      </c>
      <c r="D1114" s="8">
        <v>1</v>
      </c>
      <c r="E1114" s="8">
        <v>0</v>
      </c>
      <c r="F1114" s="8">
        <v>1</v>
      </c>
      <c r="G1114" s="8">
        <v>0</v>
      </c>
      <c r="H1114" s="8">
        <v>1</v>
      </c>
      <c r="I1114" s="8">
        <v>0</v>
      </c>
      <c r="J1114" s="8">
        <v>0</v>
      </c>
      <c r="K1114" s="9">
        <v>0</v>
      </c>
      <c r="L1114" s="10">
        <v>1</v>
      </c>
      <c r="M1114" s="6">
        <v>0</v>
      </c>
      <c r="N1114" s="37" t="e" cm="1">
        <f t="array" ref="N1114">IF(OR(ISNUMBER(FIND(Aux!$D$3:$D$9,_xlfn.TEXTJOIN(,,C1114:K1114)))),NA(),IF(AND(SUM(C1114:F1114,H1114:K1114)=0,G1114=1),0,INT((SUMPRODUCT(C1114:F1114,COLUMN($A$1:$D$1)-1)+SUMPRODUCT(H1114:K1114,COLUMN($E$1:$H$1)-1))*'Line Follower'!$C$3/SUM(C1114:F1114,H1114:K1114)-'Line Follower'!$C$5)))</f>
        <v>#N/A</v>
      </c>
      <c r="O1114" s="22" t="e">
        <v>#N/A</v>
      </c>
      <c r="P1114" s="4" t="e">
        <f t="shared" si="85"/>
        <v>#N/A</v>
      </c>
      <c r="Q1114" s="4" t="e">
        <f t="shared" si="86"/>
        <v>#N/A</v>
      </c>
      <c r="R1114" s="4" t="e">
        <f>IF(AND(B1114=1,N1114&gt;'Line Follower'!$C$7,SUM(C1114:K1114)&lt;4),1,0)</f>
        <v>#N/A</v>
      </c>
      <c r="S1114" s="4" t="e">
        <f>IF(AND(L1114=1,N1114&lt;'Line Follower'!$C$6,SUM(C1114:K1114)&lt;4),1,0)</f>
        <v>#N/A</v>
      </c>
      <c r="T1114" s="4" t="e">
        <f t="shared" si="87"/>
        <v>#N/A</v>
      </c>
      <c r="U1114" s="5" t="e">
        <f t="shared" si="88"/>
        <v>#N/A</v>
      </c>
      <c r="V1114" s="23" t="e">
        <f t="shared" si="89"/>
        <v>#N/A</v>
      </c>
    </row>
    <row r="1115" spans="2:22" x14ac:dyDescent="0.25">
      <c r="B1115" s="16">
        <v>0</v>
      </c>
      <c r="C1115" s="7">
        <v>0</v>
      </c>
      <c r="D1115" s="8">
        <v>0</v>
      </c>
      <c r="E1115" s="8">
        <v>1</v>
      </c>
      <c r="F1115" s="8">
        <v>1</v>
      </c>
      <c r="G1115" s="8">
        <v>0</v>
      </c>
      <c r="H1115" s="8">
        <v>1</v>
      </c>
      <c r="I1115" s="8">
        <v>0</v>
      </c>
      <c r="J1115" s="8">
        <v>0</v>
      </c>
      <c r="K1115" s="9">
        <v>0</v>
      </c>
      <c r="L1115" s="10">
        <v>1</v>
      </c>
      <c r="M1115" s="6">
        <v>0</v>
      </c>
      <c r="N1115" s="37" t="e" cm="1">
        <f t="array" ref="N1115">IF(OR(ISNUMBER(FIND(Aux!$D$3:$D$9,_xlfn.TEXTJOIN(,,C1115:K1115)))),NA(),IF(AND(SUM(C1115:F1115,H1115:K1115)=0,G1115=1),0,INT((SUMPRODUCT(C1115:F1115,COLUMN($A$1:$D$1)-1)+SUMPRODUCT(H1115:K1115,COLUMN($E$1:$H$1)-1))*'Line Follower'!$C$3/SUM(C1115:F1115,H1115:K1115)-'Line Follower'!$C$5)))</f>
        <v>#N/A</v>
      </c>
      <c r="O1115" s="22" t="e">
        <v>#N/A</v>
      </c>
      <c r="P1115" s="4" t="e">
        <f t="shared" si="85"/>
        <v>#N/A</v>
      </c>
      <c r="Q1115" s="4" t="e">
        <f t="shared" si="86"/>
        <v>#N/A</v>
      </c>
      <c r="R1115" s="4" t="e">
        <f>IF(AND(B1115=1,N1115&gt;'Line Follower'!$C$7,SUM(C1115:K1115)&lt;4),1,0)</f>
        <v>#N/A</v>
      </c>
      <c r="S1115" s="4" t="e">
        <f>IF(AND(L1115=1,N1115&lt;'Line Follower'!$C$6,SUM(C1115:K1115)&lt;4),1,0)</f>
        <v>#N/A</v>
      </c>
      <c r="T1115" s="4" t="e">
        <f t="shared" si="87"/>
        <v>#N/A</v>
      </c>
      <c r="U1115" s="5" t="e">
        <f t="shared" si="88"/>
        <v>#N/A</v>
      </c>
      <c r="V1115" s="23" t="e">
        <f t="shared" si="89"/>
        <v>#N/A</v>
      </c>
    </row>
    <row r="1116" spans="2:22" x14ac:dyDescent="0.25">
      <c r="B1116" s="16">
        <v>1</v>
      </c>
      <c r="C1116" s="7">
        <v>0</v>
      </c>
      <c r="D1116" s="8">
        <v>0</v>
      </c>
      <c r="E1116" s="8">
        <v>1</v>
      </c>
      <c r="F1116" s="8">
        <v>1</v>
      </c>
      <c r="G1116" s="8">
        <v>0</v>
      </c>
      <c r="H1116" s="8">
        <v>1</v>
      </c>
      <c r="I1116" s="8">
        <v>0</v>
      </c>
      <c r="J1116" s="8">
        <v>0</v>
      </c>
      <c r="K1116" s="9">
        <v>0</v>
      </c>
      <c r="L1116" s="10">
        <v>1</v>
      </c>
      <c r="M1116" s="6">
        <v>0</v>
      </c>
      <c r="N1116" s="37" t="e" cm="1">
        <f t="array" ref="N1116">IF(OR(ISNUMBER(FIND(Aux!$D$3:$D$9,_xlfn.TEXTJOIN(,,C1116:K1116)))),NA(),IF(AND(SUM(C1116:F1116,H1116:K1116)=0,G1116=1),0,INT((SUMPRODUCT(C1116:F1116,COLUMN($A$1:$D$1)-1)+SUMPRODUCT(H1116:K1116,COLUMN($E$1:$H$1)-1))*'Line Follower'!$C$3/SUM(C1116:F1116,H1116:K1116)-'Line Follower'!$C$5)))</f>
        <v>#N/A</v>
      </c>
      <c r="O1116" s="22" t="e">
        <v>#N/A</v>
      </c>
      <c r="P1116" s="4" t="e">
        <f t="shared" si="85"/>
        <v>#N/A</v>
      </c>
      <c r="Q1116" s="4" t="e">
        <f t="shared" si="86"/>
        <v>#N/A</v>
      </c>
      <c r="R1116" s="4" t="e">
        <f>IF(AND(B1116=1,N1116&gt;'Line Follower'!$C$7,SUM(C1116:K1116)&lt;4),1,0)</f>
        <v>#N/A</v>
      </c>
      <c r="S1116" s="4" t="e">
        <f>IF(AND(L1116=1,N1116&lt;'Line Follower'!$C$6,SUM(C1116:K1116)&lt;4),1,0)</f>
        <v>#N/A</v>
      </c>
      <c r="T1116" s="4" t="e">
        <f t="shared" si="87"/>
        <v>#N/A</v>
      </c>
      <c r="U1116" s="5" t="e">
        <f t="shared" si="88"/>
        <v>#N/A</v>
      </c>
      <c r="V1116" s="23" t="e">
        <f t="shared" si="89"/>
        <v>#N/A</v>
      </c>
    </row>
    <row r="1117" spans="2:22" x14ac:dyDescent="0.25">
      <c r="B1117" s="16">
        <v>0</v>
      </c>
      <c r="C1117" s="7">
        <v>1</v>
      </c>
      <c r="D1117" s="8">
        <v>0</v>
      </c>
      <c r="E1117" s="8">
        <v>1</v>
      </c>
      <c r="F1117" s="8">
        <v>1</v>
      </c>
      <c r="G1117" s="8">
        <v>0</v>
      </c>
      <c r="H1117" s="8">
        <v>1</v>
      </c>
      <c r="I1117" s="8">
        <v>0</v>
      </c>
      <c r="J1117" s="8">
        <v>0</v>
      </c>
      <c r="K1117" s="9">
        <v>0</v>
      </c>
      <c r="L1117" s="10">
        <v>1</v>
      </c>
      <c r="M1117" s="6">
        <v>0</v>
      </c>
      <c r="N1117" s="37" t="e" cm="1">
        <f t="array" ref="N1117">IF(OR(ISNUMBER(FIND(Aux!$D$3:$D$9,_xlfn.TEXTJOIN(,,C1117:K1117)))),NA(),IF(AND(SUM(C1117:F1117,H1117:K1117)=0,G1117=1),0,INT((SUMPRODUCT(C1117:F1117,COLUMN($A$1:$D$1)-1)+SUMPRODUCT(H1117:K1117,COLUMN($E$1:$H$1)-1))*'Line Follower'!$C$3/SUM(C1117:F1117,H1117:K1117)-'Line Follower'!$C$5)))</f>
        <v>#N/A</v>
      </c>
      <c r="O1117" s="22" t="e">
        <v>#N/A</v>
      </c>
      <c r="P1117" s="4" t="e">
        <f t="shared" si="85"/>
        <v>#N/A</v>
      </c>
      <c r="Q1117" s="4" t="e">
        <f t="shared" si="86"/>
        <v>#N/A</v>
      </c>
      <c r="R1117" s="4" t="e">
        <f>IF(AND(B1117=1,N1117&gt;'Line Follower'!$C$7,SUM(C1117:K1117)&lt;4),1,0)</f>
        <v>#N/A</v>
      </c>
      <c r="S1117" s="4" t="e">
        <f>IF(AND(L1117=1,N1117&lt;'Line Follower'!$C$6,SUM(C1117:K1117)&lt;4),1,0)</f>
        <v>#N/A</v>
      </c>
      <c r="T1117" s="4" t="e">
        <f t="shared" si="87"/>
        <v>#N/A</v>
      </c>
      <c r="U1117" s="5" t="e">
        <f t="shared" si="88"/>
        <v>#N/A</v>
      </c>
      <c r="V1117" s="23" t="e">
        <f t="shared" si="89"/>
        <v>#N/A</v>
      </c>
    </row>
    <row r="1118" spans="2:22" x14ac:dyDescent="0.25">
      <c r="B1118" s="16">
        <v>1</v>
      </c>
      <c r="C1118" s="7">
        <v>1</v>
      </c>
      <c r="D1118" s="8">
        <v>0</v>
      </c>
      <c r="E1118" s="8">
        <v>1</v>
      </c>
      <c r="F1118" s="8">
        <v>1</v>
      </c>
      <c r="G1118" s="8">
        <v>0</v>
      </c>
      <c r="H1118" s="8">
        <v>1</v>
      </c>
      <c r="I1118" s="8">
        <v>0</v>
      </c>
      <c r="J1118" s="8">
        <v>0</v>
      </c>
      <c r="K1118" s="9">
        <v>0</v>
      </c>
      <c r="L1118" s="10">
        <v>1</v>
      </c>
      <c r="M1118" s="6">
        <v>0</v>
      </c>
      <c r="N1118" s="37" t="e" cm="1">
        <f t="array" ref="N1118">IF(OR(ISNUMBER(FIND(Aux!$D$3:$D$9,_xlfn.TEXTJOIN(,,C1118:K1118)))),NA(),IF(AND(SUM(C1118:F1118,H1118:K1118)=0,G1118=1),0,INT((SUMPRODUCT(C1118:F1118,COLUMN($A$1:$D$1)-1)+SUMPRODUCT(H1118:K1118,COLUMN($E$1:$H$1)-1))*'Line Follower'!$C$3/SUM(C1118:F1118,H1118:K1118)-'Line Follower'!$C$5)))</f>
        <v>#N/A</v>
      </c>
      <c r="O1118" s="22" t="e">
        <v>#N/A</v>
      </c>
      <c r="P1118" s="4" t="e">
        <f t="shared" si="85"/>
        <v>#N/A</v>
      </c>
      <c r="Q1118" s="4" t="e">
        <f t="shared" si="86"/>
        <v>#N/A</v>
      </c>
      <c r="R1118" s="4" t="e">
        <f>IF(AND(B1118=1,N1118&gt;'Line Follower'!$C$7,SUM(C1118:K1118)&lt;4),1,0)</f>
        <v>#N/A</v>
      </c>
      <c r="S1118" s="4" t="e">
        <f>IF(AND(L1118=1,N1118&lt;'Line Follower'!$C$6,SUM(C1118:K1118)&lt;4),1,0)</f>
        <v>#N/A</v>
      </c>
      <c r="T1118" s="4" t="e">
        <f t="shared" si="87"/>
        <v>#N/A</v>
      </c>
      <c r="U1118" s="5" t="e">
        <f t="shared" si="88"/>
        <v>#N/A</v>
      </c>
      <c r="V1118" s="23" t="e">
        <f t="shared" si="89"/>
        <v>#N/A</v>
      </c>
    </row>
    <row r="1119" spans="2:22" x14ac:dyDescent="0.25">
      <c r="B1119" s="16">
        <v>0</v>
      </c>
      <c r="C1119" s="7">
        <v>0</v>
      </c>
      <c r="D1119" s="8">
        <v>1</v>
      </c>
      <c r="E1119" s="8">
        <v>1</v>
      </c>
      <c r="F1119" s="8">
        <v>1</v>
      </c>
      <c r="G1119" s="8">
        <v>0</v>
      </c>
      <c r="H1119" s="8">
        <v>1</v>
      </c>
      <c r="I1119" s="8">
        <v>0</v>
      </c>
      <c r="J1119" s="8">
        <v>0</v>
      </c>
      <c r="K1119" s="9">
        <v>0</v>
      </c>
      <c r="L1119" s="10">
        <v>1</v>
      </c>
      <c r="M1119" s="6">
        <v>0</v>
      </c>
      <c r="N1119" s="37" t="e" cm="1">
        <f t="array" ref="N1119">IF(OR(ISNUMBER(FIND(Aux!$D$3:$D$9,_xlfn.TEXTJOIN(,,C1119:K1119)))),NA(),IF(AND(SUM(C1119:F1119,H1119:K1119)=0,G1119=1),0,INT((SUMPRODUCT(C1119:F1119,COLUMN($A$1:$D$1)-1)+SUMPRODUCT(H1119:K1119,COLUMN($E$1:$H$1)-1))*'Line Follower'!$C$3/SUM(C1119:F1119,H1119:K1119)-'Line Follower'!$C$5)))</f>
        <v>#N/A</v>
      </c>
      <c r="O1119" s="22" t="e">
        <v>#N/A</v>
      </c>
      <c r="P1119" s="4" t="e">
        <f t="shared" si="85"/>
        <v>#N/A</v>
      </c>
      <c r="Q1119" s="4" t="e">
        <f t="shared" si="86"/>
        <v>#N/A</v>
      </c>
      <c r="R1119" s="4" t="e">
        <f>IF(AND(B1119=1,N1119&gt;'Line Follower'!$C$7,SUM(C1119:K1119)&lt;4),1,0)</f>
        <v>#N/A</v>
      </c>
      <c r="S1119" s="4" t="e">
        <f>IF(AND(L1119=1,N1119&lt;'Line Follower'!$C$6,SUM(C1119:K1119)&lt;4),1,0)</f>
        <v>#N/A</v>
      </c>
      <c r="T1119" s="4" t="e">
        <f t="shared" si="87"/>
        <v>#N/A</v>
      </c>
      <c r="U1119" s="5" t="e">
        <f t="shared" si="88"/>
        <v>#N/A</v>
      </c>
      <c r="V1119" s="23" t="e">
        <f t="shared" si="89"/>
        <v>#N/A</v>
      </c>
    </row>
    <row r="1120" spans="2:22" x14ac:dyDescent="0.25">
      <c r="B1120" s="16">
        <v>1</v>
      </c>
      <c r="C1120" s="7">
        <v>0</v>
      </c>
      <c r="D1120" s="8">
        <v>1</v>
      </c>
      <c r="E1120" s="8">
        <v>1</v>
      </c>
      <c r="F1120" s="8">
        <v>1</v>
      </c>
      <c r="G1120" s="8">
        <v>0</v>
      </c>
      <c r="H1120" s="8">
        <v>1</v>
      </c>
      <c r="I1120" s="8">
        <v>0</v>
      </c>
      <c r="J1120" s="8">
        <v>0</v>
      </c>
      <c r="K1120" s="9">
        <v>0</v>
      </c>
      <c r="L1120" s="10">
        <v>1</v>
      </c>
      <c r="M1120" s="6">
        <v>0</v>
      </c>
      <c r="N1120" s="37" t="e" cm="1">
        <f t="array" ref="N1120">IF(OR(ISNUMBER(FIND(Aux!$D$3:$D$9,_xlfn.TEXTJOIN(,,C1120:K1120)))),NA(),IF(AND(SUM(C1120:F1120,H1120:K1120)=0,G1120=1),0,INT((SUMPRODUCT(C1120:F1120,COLUMN($A$1:$D$1)-1)+SUMPRODUCT(H1120:K1120,COLUMN($E$1:$H$1)-1))*'Line Follower'!$C$3/SUM(C1120:F1120,H1120:K1120)-'Line Follower'!$C$5)))</f>
        <v>#N/A</v>
      </c>
      <c r="O1120" s="22" t="e">
        <v>#N/A</v>
      </c>
      <c r="P1120" s="4" t="e">
        <f t="shared" si="85"/>
        <v>#N/A</v>
      </c>
      <c r="Q1120" s="4" t="e">
        <f t="shared" si="86"/>
        <v>#N/A</v>
      </c>
      <c r="R1120" s="4" t="e">
        <f>IF(AND(B1120=1,N1120&gt;'Line Follower'!$C$7,SUM(C1120:K1120)&lt;4),1,0)</f>
        <v>#N/A</v>
      </c>
      <c r="S1120" s="4" t="e">
        <f>IF(AND(L1120=1,N1120&lt;'Line Follower'!$C$6,SUM(C1120:K1120)&lt;4),1,0)</f>
        <v>#N/A</v>
      </c>
      <c r="T1120" s="4" t="e">
        <f t="shared" si="87"/>
        <v>#N/A</v>
      </c>
      <c r="U1120" s="5" t="e">
        <f t="shared" si="88"/>
        <v>#N/A</v>
      </c>
      <c r="V1120" s="23" t="e">
        <f t="shared" si="89"/>
        <v>#N/A</v>
      </c>
    </row>
    <row r="1121" spans="2:22" x14ac:dyDescent="0.25">
      <c r="B1121" s="16">
        <v>0</v>
      </c>
      <c r="C1121" s="7">
        <v>1</v>
      </c>
      <c r="D1121" s="8">
        <v>1</v>
      </c>
      <c r="E1121" s="8">
        <v>1</v>
      </c>
      <c r="F1121" s="8">
        <v>1</v>
      </c>
      <c r="G1121" s="8">
        <v>0</v>
      </c>
      <c r="H1121" s="8">
        <v>1</v>
      </c>
      <c r="I1121" s="8">
        <v>0</v>
      </c>
      <c r="J1121" s="8">
        <v>0</v>
      </c>
      <c r="K1121" s="9">
        <v>0</v>
      </c>
      <c r="L1121" s="10">
        <v>1</v>
      </c>
      <c r="M1121" s="6">
        <v>0</v>
      </c>
      <c r="N1121" s="37" t="e" cm="1">
        <f t="array" ref="N1121">IF(OR(ISNUMBER(FIND(Aux!$D$3:$D$9,_xlfn.TEXTJOIN(,,C1121:K1121)))),NA(),IF(AND(SUM(C1121:F1121,H1121:K1121)=0,G1121=1),0,INT((SUMPRODUCT(C1121:F1121,COLUMN($A$1:$D$1)-1)+SUMPRODUCT(H1121:K1121,COLUMN($E$1:$H$1)-1))*'Line Follower'!$C$3/SUM(C1121:F1121,H1121:K1121)-'Line Follower'!$C$5)))</f>
        <v>#N/A</v>
      </c>
      <c r="O1121" s="22" t="e">
        <v>#N/A</v>
      </c>
      <c r="P1121" s="4" t="e">
        <f t="shared" si="85"/>
        <v>#N/A</v>
      </c>
      <c r="Q1121" s="4" t="e">
        <f t="shared" si="86"/>
        <v>#N/A</v>
      </c>
      <c r="R1121" s="4" t="e">
        <f>IF(AND(B1121=1,N1121&gt;'Line Follower'!$C$7,SUM(C1121:K1121)&lt;4),1,0)</f>
        <v>#N/A</v>
      </c>
      <c r="S1121" s="4" t="e">
        <f>IF(AND(L1121=1,N1121&lt;'Line Follower'!$C$6,SUM(C1121:K1121)&lt;4),1,0)</f>
        <v>#N/A</v>
      </c>
      <c r="T1121" s="4" t="e">
        <f t="shared" si="87"/>
        <v>#N/A</v>
      </c>
      <c r="U1121" s="5" t="e">
        <f t="shared" si="88"/>
        <v>#N/A</v>
      </c>
      <c r="V1121" s="23" t="e">
        <f t="shared" si="89"/>
        <v>#N/A</v>
      </c>
    </row>
    <row r="1122" spans="2:22" x14ac:dyDescent="0.25">
      <c r="B1122" s="16">
        <v>1</v>
      </c>
      <c r="C1122" s="7">
        <v>1</v>
      </c>
      <c r="D1122" s="8">
        <v>1</v>
      </c>
      <c r="E1122" s="8">
        <v>1</v>
      </c>
      <c r="F1122" s="8">
        <v>1</v>
      </c>
      <c r="G1122" s="8">
        <v>0</v>
      </c>
      <c r="H1122" s="8">
        <v>1</v>
      </c>
      <c r="I1122" s="8">
        <v>0</v>
      </c>
      <c r="J1122" s="8">
        <v>0</v>
      </c>
      <c r="K1122" s="9">
        <v>0</v>
      </c>
      <c r="L1122" s="10">
        <v>1</v>
      </c>
      <c r="M1122" s="6">
        <v>0</v>
      </c>
      <c r="N1122" s="37" t="e" cm="1">
        <f t="array" ref="N1122">IF(OR(ISNUMBER(FIND(Aux!$D$3:$D$9,_xlfn.TEXTJOIN(,,C1122:K1122)))),NA(),IF(AND(SUM(C1122:F1122,H1122:K1122)=0,G1122=1),0,INT((SUMPRODUCT(C1122:F1122,COLUMN($A$1:$D$1)-1)+SUMPRODUCT(H1122:K1122,COLUMN($E$1:$H$1)-1))*'Line Follower'!$C$3/SUM(C1122:F1122,H1122:K1122)-'Line Follower'!$C$5)))</f>
        <v>#N/A</v>
      </c>
      <c r="O1122" s="22" t="e">
        <v>#N/A</v>
      </c>
      <c r="P1122" s="4" t="e">
        <f t="shared" si="85"/>
        <v>#N/A</v>
      </c>
      <c r="Q1122" s="4" t="e">
        <f t="shared" si="86"/>
        <v>#N/A</v>
      </c>
      <c r="R1122" s="4" t="e">
        <f>IF(AND(B1122=1,N1122&gt;'Line Follower'!$C$7,SUM(C1122:K1122)&lt;4),1,0)</f>
        <v>#N/A</v>
      </c>
      <c r="S1122" s="4" t="e">
        <f>IF(AND(L1122=1,N1122&lt;'Line Follower'!$C$6,SUM(C1122:K1122)&lt;4),1,0)</f>
        <v>#N/A</v>
      </c>
      <c r="T1122" s="4" t="e">
        <f t="shared" si="87"/>
        <v>#N/A</v>
      </c>
      <c r="U1122" s="5" t="e">
        <f t="shared" si="88"/>
        <v>#N/A</v>
      </c>
      <c r="V1122" s="23" t="e">
        <f t="shared" si="89"/>
        <v>#N/A</v>
      </c>
    </row>
    <row r="1123" spans="2:22" x14ac:dyDescent="0.25">
      <c r="B1123" s="16">
        <v>0</v>
      </c>
      <c r="C1123" s="7">
        <v>0</v>
      </c>
      <c r="D1123" s="8">
        <v>0</v>
      </c>
      <c r="E1123" s="8">
        <v>0</v>
      </c>
      <c r="F1123" s="8">
        <v>0</v>
      </c>
      <c r="G1123" s="8">
        <v>1</v>
      </c>
      <c r="H1123" s="8">
        <v>1</v>
      </c>
      <c r="I1123" s="8">
        <v>0</v>
      </c>
      <c r="J1123" s="8">
        <v>0</v>
      </c>
      <c r="K1123" s="9">
        <v>0</v>
      </c>
      <c r="L1123" s="10">
        <v>1</v>
      </c>
      <c r="M1123" s="6">
        <v>0</v>
      </c>
      <c r="N1123" s="37" cm="1">
        <f t="array" ref="N1123">IF(OR(ISNUMBER(FIND(Aux!$D$3:$D$9,_xlfn.TEXTJOIN(,,C1123:K1123)))),NA(),IF(AND(SUM(C1123:F1123,H1123:K1123)=0,G1123=1),0,INT((SUMPRODUCT(C1123:F1123,COLUMN($A$1:$D$1)-1)+SUMPRODUCT(H1123:K1123,COLUMN($E$1:$H$1)-1))*'Line Follower'!$C$3/SUM(C1123:F1123,H1123:K1123)-'Line Follower'!$C$5)))</f>
        <v>1</v>
      </c>
      <c r="O1123" s="22">
        <v>1</v>
      </c>
      <c r="P1123" s="4">
        <f t="shared" si="85"/>
        <v>0</v>
      </c>
      <c r="Q1123" s="4">
        <f t="shared" si="86"/>
        <v>0</v>
      </c>
      <c r="R1123" s="4">
        <f>IF(AND(B1123=1,N1123&gt;'Line Follower'!$C$7,SUM(C1123:K1123)&lt;4),1,0)</f>
        <v>0</v>
      </c>
      <c r="S1123" s="4">
        <f>IF(AND(L1123=1,N1123&lt;'Line Follower'!$C$6,SUM(C1123:K1123)&lt;4),1,0)</f>
        <v>1</v>
      </c>
      <c r="T1123" s="4">
        <f t="shared" si="87"/>
        <v>0</v>
      </c>
      <c r="U1123" s="5">
        <f t="shared" si="88"/>
        <v>0</v>
      </c>
      <c r="V1123" s="23">
        <f t="shared" si="89"/>
        <v>0</v>
      </c>
    </row>
    <row r="1124" spans="2:22" x14ac:dyDescent="0.25">
      <c r="B1124" s="16">
        <v>1</v>
      </c>
      <c r="C1124" s="7">
        <v>0</v>
      </c>
      <c r="D1124" s="8">
        <v>0</v>
      </c>
      <c r="E1124" s="8">
        <v>0</v>
      </c>
      <c r="F1124" s="8">
        <v>0</v>
      </c>
      <c r="G1124" s="8">
        <v>1</v>
      </c>
      <c r="H1124" s="8">
        <v>1</v>
      </c>
      <c r="I1124" s="8">
        <v>0</v>
      </c>
      <c r="J1124" s="8">
        <v>0</v>
      </c>
      <c r="K1124" s="9">
        <v>0</v>
      </c>
      <c r="L1124" s="10">
        <v>1</v>
      </c>
      <c r="M1124" s="6">
        <v>0</v>
      </c>
      <c r="N1124" s="37" cm="1">
        <f t="array" ref="N1124">IF(OR(ISNUMBER(FIND(Aux!$D$3:$D$9,_xlfn.TEXTJOIN(,,C1124:K1124)))),NA(),IF(AND(SUM(C1124:F1124,H1124:K1124)=0,G1124=1),0,INT((SUMPRODUCT(C1124:F1124,COLUMN($A$1:$D$1)-1)+SUMPRODUCT(H1124:K1124,COLUMN($E$1:$H$1)-1))*'Line Follower'!$C$3/SUM(C1124:F1124,H1124:K1124)-'Line Follower'!$C$5)))</f>
        <v>1</v>
      </c>
      <c r="O1124" s="22">
        <v>1</v>
      </c>
      <c r="P1124" s="4">
        <f t="shared" si="85"/>
        <v>0</v>
      </c>
      <c r="Q1124" s="4">
        <f t="shared" si="86"/>
        <v>0</v>
      </c>
      <c r="R1124" s="4">
        <f>IF(AND(B1124=1,N1124&gt;'Line Follower'!$C$7,SUM(C1124:K1124)&lt;4),1,0)</f>
        <v>1</v>
      </c>
      <c r="S1124" s="4">
        <f>IF(AND(L1124=1,N1124&lt;'Line Follower'!$C$6,SUM(C1124:K1124)&lt;4),1,0)</f>
        <v>1</v>
      </c>
      <c r="T1124" s="4">
        <f t="shared" si="87"/>
        <v>0</v>
      </c>
      <c r="U1124" s="5">
        <f t="shared" si="88"/>
        <v>0</v>
      </c>
      <c r="V1124" s="23">
        <f t="shared" si="89"/>
        <v>0</v>
      </c>
    </row>
    <row r="1125" spans="2:22" x14ac:dyDescent="0.25">
      <c r="B1125" s="16">
        <v>0</v>
      </c>
      <c r="C1125" s="7">
        <v>1</v>
      </c>
      <c r="D1125" s="8">
        <v>0</v>
      </c>
      <c r="E1125" s="8">
        <v>0</v>
      </c>
      <c r="F1125" s="8">
        <v>0</v>
      </c>
      <c r="G1125" s="8">
        <v>1</v>
      </c>
      <c r="H1125" s="8">
        <v>1</v>
      </c>
      <c r="I1125" s="8">
        <v>0</v>
      </c>
      <c r="J1125" s="8">
        <v>0</v>
      </c>
      <c r="K1125" s="9">
        <v>0</v>
      </c>
      <c r="L1125" s="10">
        <v>1</v>
      </c>
      <c r="M1125" s="6">
        <v>0</v>
      </c>
      <c r="N1125" s="37" t="e" cm="1">
        <f t="array" ref="N1125">IF(OR(ISNUMBER(FIND(Aux!$D$3:$D$9,_xlfn.TEXTJOIN(,,C1125:K1125)))),NA(),IF(AND(SUM(C1125:F1125,H1125:K1125)=0,G1125=1),0,INT((SUMPRODUCT(C1125:F1125,COLUMN($A$1:$D$1)-1)+SUMPRODUCT(H1125:K1125,COLUMN($E$1:$H$1)-1))*'Line Follower'!$C$3/SUM(C1125:F1125,H1125:K1125)-'Line Follower'!$C$5)))</f>
        <v>#N/A</v>
      </c>
      <c r="O1125" s="22" t="e">
        <v>#N/A</v>
      </c>
      <c r="P1125" s="4" t="e">
        <f t="shared" si="85"/>
        <v>#N/A</v>
      </c>
      <c r="Q1125" s="4" t="e">
        <f t="shared" si="86"/>
        <v>#N/A</v>
      </c>
      <c r="R1125" s="4" t="e">
        <f>IF(AND(B1125=1,N1125&gt;'Line Follower'!$C$7,SUM(C1125:K1125)&lt;4),1,0)</f>
        <v>#N/A</v>
      </c>
      <c r="S1125" s="4" t="e">
        <f>IF(AND(L1125=1,N1125&lt;'Line Follower'!$C$6,SUM(C1125:K1125)&lt;4),1,0)</f>
        <v>#N/A</v>
      </c>
      <c r="T1125" s="4" t="e">
        <f t="shared" si="87"/>
        <v>#N/A</v>
      </c>
      <c r="U1125" s="5" t="e">
        <f t="shared" si="88"/>
        <v>#N/A</v>
      </c>
      <c r="V1125" s="23" t="e">
        <f t="shared" si="89"/>
        <v>#N/A</v>
      </c>
    </row>
    <row r="1126" spans="2:22" x14ac:dyDescent="0.25">
      <c r="B1126" s="16">
        <v>1</v>
      </c>
      <c r="C1126" s="7">
        <v>1</v>
      </c>
      <c r="D1126" s="8">
        <v>0</v>
      </c>
      <c r="E1126" s="8">
        <v>0</v>
      </c>
      <c r="F1126" s="8">
        <v>0</v>
      </c>
      <c r="G1126" s="8">
        <v>1</v>
      </c>
      <c r="H1126" s="8">
        <v>1</v>
      </c>
      <c r="I1126" s="8">
        <v>0</v>
      </c>
      <c r="J1126" s="8">
        <v>0</v>
      </c>
      <c r="K1126" s="9">
        <v>0</v>
      </c>
      <c r="L1126" s="10">
        <v>1</v>
      </c>
      <c r="M1126" s="6">
        <v>0</v>
      </c>
      <c r="N1126" s="37" t="e" cm="1">
        <f t="array" ref="N1126">IF(OR(ISNUMBER(FIND(Aux!$D$3:$D$9,_xlfn.TEXTJOIN(,,C1126:K1126)))),NA(),IF(AND(SUM(C1126:F1126,H1126:K1126)=0,G1126=1),0,INT((SUMPRODUCT(C1126:F1126,COLUMN($A$1:$D$1)-1)+SUMPRODUCT(H1126:K1126,COLUMN($E$1:$H$1)-1))*'Line Follower'!$C$3/SUM(C1126:F1126,H1126:K1126)-'Line Follower'!$C$5)))</f>
        <v>#N/A</v>
      </c>
      <c r="O1126" s="22" t="e">
        <v>#N/A</v>
      </c>
      <c r="P1126" s="4" t="e">
        <f t="shared" si="85"/>
        <v>#N/A</v>
      </c>
      <c r="Q1126" s="4" t="e">
        <f t="shared" si="86"/>
        <v>#N/A</v>
      </c>
      <c r="R1126" s="4" t="e">
        <f>IF(AND(B1126=1,N1126&gt;'Line Follower'!$C$7,SUM(C1126:K1126)&lt;4),1,0)</f>
        <v>#N/A</v>
      </c>
      <c r="S1126" s="4" t="e">
        <f>IF(AND(L1126=1,N1126&lt;'Line Follower'!$C$6,SUM(C1126:K1126)&lt;4),1,0)</f>
        <v>#N/A</v>
      </c>
      <c r="T1126" s="4" t="e">
        <f t="shared" si="87"/>
        <v>#N/A</v>
      </c>
      <c r="U1126" s="5" t="e">
        <f t="shared" si="88"/>
        <v>#N/A</v>
      </c>
      <c r="V1126" s="23" t="e">
        <f t="shared" si="89"/>
        <v>#N/A</v>
      </c>
    </row>
    <row r="1127" spans="2:22" x14ac:dyDescent="0.25">
      <c r="B1127" s="16">
        <v>0</v>
      </c>
      <c r="C1127" s="7">
        <v>0</v>
      </c>
      <c r="D1127" s="8">
        <v>1</v>
      </c>
      <c r="E1127" s="8">
        <v>0</v>
      </c>
      <c r="F1127" s="8">
        <v>0</v>
      </c>
      <c r="G1127" s="8">
        <v>1</v>
      </c>
      <c r="H1127" s="8">
        <v>1</v>
      </c>
      <c r="I1127" s="8">
        <v>0</v>
      </c>
      <c r="J1127" s="8">
        <v>0</v>
      </c>
      <c r="K1127" s="9">
        <v>0</v>
      </c>
      <c r="L1127" s="10">
        <v>1</v>
      </c>
      <c r="M1127" s="6">
        <v>0</v>
      </c>
      <c r="N1127" s="37" t="e" cm="1">
        <f t="array" ref="N1127">IF(OR(ISNUMBER(FIND(Aux!$D$3:$D$9,_xlfn.TEXTJOIN(,,C1127:K1127)))),NA(),IF(AND(SUM(C1127:F1127,H1127:K1127)=0,G1127=1),0,INT((SUMPRODUCT(C1127:F1127,COLUMN($A$1:$D$1)-1)+SUMPRODUCT(H1127:K1127,COLUMN($E$1:$H$1)-1))*'Line Follower'!$C$3/SUM(C1127:F1127,H1127:K1127)-'Line Follower'!$C$5)))</f>
        <v>#N/A</v>
      </c>
      <c r="O1127" s="22" t="e">
        <v>#N/A</v>
      </c>
      <c r="P1127" s="4" t="e">
        <f t="shared" si="85"/>
        <v>#N/A</v>
      </c>
      <c r="Q1127" s="4" t="e">
        <f t="shared" si="86"/>
        <v>#N/A</v>
      </c>
      <c r="R1127" s="4" t="e">
        <f>IF(AND(B1127=1,N1127&gt;'Line Follower'!$C$7,SUM(C1127:K1127)&lt;4),1,0)</f>
        <v>#N/A</v>
      </c>
      <c r="S1127" s="4" t="e">
        <f>IF(AND(L1127=1,N1127&lt;'Line Follower'!$C$6,SUM(C1127:K1127)&lt;4),1,0)</f>
        <v>#N/A</v>
      </c>
      <c r="T1127" s="4" t="e">
        <f t="shared" si="87"/>
        <v>#N/A</v>
      </c>
      <c r="U1127" s="5" t="e">
        <f t="shared" si="88"/>
        <v>#N/A</v>
      </c>
      <c r="V1127" s="23" t="e">
        <f t="shared" si="89"/>
        <v>#N/A</v>
      </c>
    </row>
    <row r="1128" spans="2:22" x14ac:dyDescent="0.25">
      <c r="B1128" s="16">
        <v>1</v>
      </c>
      <c r="C1128" s="7">
        <v>0</v>
      </c>
      <c r="D1128" s="8">
        <v>1</v>
      </c>
      <c r="E1128" s="8">
        <v>0</v>
      </c>
      <c r="F1128" s="8">
        <v>0</v>
      </c>
      <c r="G1128" s="8">
        <v>1</v>
      </c>
      <c r="H1128" s="8">
        <v>1</v>
      </c>
      <c r="I1128" s="8">
        <v>0</v>
      </c>
      <c r="J1128" s="8">
        <v>0</v>
      </c>
      <c r="K1128" s="9">
        <v>0</v>
      </c>
      <c r="L1128" s="10">
        <v>1</v>
      </c>
      <c r="M1128" s="6">
        <v>0</v>
      </c>
      <c r="N1128" s="37" t="e" cm="1">
        <f t="array" ref="N1128">IF(OR(ISNUMBER(FIND(Aux!$D$3:$D$9,_xlfn.TEXTJOIN(,,C1128:K1128)))),NA(),IF(AND(SUM(C1128:F1128,H1128:K1128)=0,G1128=1),0,INT((SUMPRODUCT(C1128:F1128,COLUMN($A$1:$D$1)-1)+SUMPRODUCT(H1128:K1128,COLUMN($E$1:$H$1)-1))*'Line Follower'!$C$3/SUM(C1128:F1128,H1128:K1128)-'Line Follower'!$C$5)))</f>
        <v>#N/A</v>
      </c>
      <c r="O1128" s="22" t="e">
        <v>#N/A</v>
      </c>
      <c r="P1128" s="4" t="e">
        <f t="shared" si="85"/>
        <v>#N/A</v>
      </c>
      <c r="Q1128" s="4" t="e">
        <f t="shared" si="86"/>
        <v>#N/A</v>
      </c>
      <c r="R1128" s="4" t="e">
        <f>IF(AND(B1128=1,N1128&gt;'Line Follower'!$C$7,SUM(C1128:K1128)&lt;4),1,0)</f>
        <v>#N/A</v>
      </c>
      <c r="S1128" s="4" t="e">
        <f>IF(AND(L1128=1,N1128&lt;'Line Follower'!$C$6,SUM(C1128:K1128)&lt;4),1,0)</f>
        <v>#N/A</v>
      </c>
      <c r="T1128" s="4" t="e">
        <f t="shared" si="87"/>
        <v>#N/A</v>
      </c>
      <c r="U1128" s="5" t="e">
        <f t="shared" si="88"/>
        <v>#N/A</v>
      </c>
      <c r="V1128" s="23" t="e">
        <f t="shared" si="89"/>
        <v>#N/A</v>
      </c>
    </row>
    <row r="1129" spans="2:22" x14ac:dyDescent="0.25">
      <c r="B1129" s="16">
        <v>0</v>
      </c>
      <c r="C1129" s="7">
        <v>1</v>
      </c>
      <c r="D1129" s="8">
        <v>1</v>
      </c>
      <c r="E1129" s="8">
        <v>0</v>
      </c>
      <c r="F1129" s="8">
        <v>0</v>
      </c>
      <c r="G1129" s="8">
        <v>1</v>
      </c>
      <c r="H1129" s="8">
        <v>1</v>
      </c>
      <c r="I1129" s="8">
        <v>0</v>
      </c>
      <c r="J1129" s="8">
        <v>0</v>
      </c>
      <c r="K1129" s="9">
        <v>0</v>
      </c>
      <c r="L1129" s="10">
        <v>1</v>
      </c>
      <c r="M1129" s="6">
        <v>0</v>
      </c>
      <c r="N1129" s="37" t="e" cm="1">
        <f t="array" ref="N1129">IF(OR(ISNUMBER(FIND(Aux!$D$3:$D$9,_xlfn.TEXTJOIN(,,C1129:K1129)))),NA(),IF(AND(SUM(C1129:F1129,H1129:K1129)=0,G1129=1),0,INT((SUMPRODUCT(C1129:F1129,COLUMN($A$1:$D$1)-1)+SUMPRODUCT(H1129:K1129,COLUMN($E$1:$H$1)-1))*'Line Follower'!$C$3/SUM(C1129:F1129,H1129:K1129)-'Line Follower'!$C$5)))</f>
        <v>#N/A</v>
      </c>
      <c r="O1129" s="22" t="e">
        <v>#N/A</v>
      </c>
      <c r="P1129" s="4" t="e">
        <f t="shared" si="85"/>
        <v>#N/A</v>
      </c>
      <c r="Q1129" s="4" t="e">
        <f t="shared" si="86"/>
        <v>#N/A</v>
      </c>
      <c r="R1129" s="4" t="e">
        <f>IF(AND(B1129=1,N1129&gt;'Line Follower'!$C$7,SUM(C1129:K1129)&lt;4),1,0)</f>
        <v>#N/A</v>
      </c>
      <c r="S1129" s="4" t="e">
        <f>IF(AND(L1129=1,N1129&lt;'Line Follower'!$C$6,SUM(C1129:K1129)&lt;4),1,0)</f>
        <v>#N/A</v>
      </c>
      <c r="T1129" s="4" t="e">
        <f t="shared" si="87"/>
        <v>#N/A</v>
      </c>
      <c r="U1129" s="5" t="e">
        <f t="shared" si="88"/>
        <v>#N/A</v>
      </c>
      <c r="V1129" s="23" t="e">
        <f t="shared" si="89"/>
        <v>#N/A</v>
      </c>
    </row>
    <row r="1130" spans="2:22" x14ac:dyDescent="0.25">
      <c r="B1130" s="16">
        <v>1</v>
      </c>
      <c r="C1130" s="7">
        <v>1</v>
      </c>
      <c r="D1130" s="8">
        <v>1</v>
      </c>
      <c r="E1130" s="8">
        <v>0</v>
      </c>
      <c r="F1130" s="8">
        <v>0</v>
      </c>
      <c r="G1130" s="8">
        <v>1</v>
      </c>
      <c r="H1130" s="8">
        <v>1</v>
      </c>
      <c r="I1130" s="8">
        <v>0</v>
      </c>
      <c r="J1130" s="8">
        <v>0</v>
      </c>
      <c r="K1130" s="9">
        <v>0</v>
      </c>
      <c r="L1130" s="10">
        <v>1</v>
      </c>
      <c r="M1130" s="6">
        <v>0</v>
      </c>
      <c r="N1130" s="37" t="e" cm="1">
        <f t="array" ref="N1130">IF(OR(ISNUMBER(FIND(Aux!$D$3:$D$9,_xlfn.TEXTJOIN(,,C1130:K1130)))),NA(),IF(AND(SUM(C1130:F1130,H1130:K1130)=0,G1130=1),0,INT((SUMPRODUCT(C1130:F1130,COLUMN($A$1:$D$1)-1)+SUMPRODUCT(H1130:K1130,COLUMN($E$1:$H$1)-1))*'Line Follower'!$C$3/SUM(C1130:F1130,H1130:K1130)-'Line Follower'!$C$5)))</f>
        <v>#N/A</v>
      </c>
      <c r="O1130" s="22" t="e">
        <v>#N/A</v>
      </c>
      <c r="P1130" s="4" t="e">
        <f t="shared" si="85"/>
        <v>#N/A</v>
      </c>
      <c r="Q1130" s="4" t="e">
        <f t="shared" si="86"/>
        <v>#N/A</v>
      </c>
      <c r="R1130" s="4" t="e">
        <f>IF(AND(B1130=1,N1130&gt;'Line Follower'!$C$7,SUM(C1130:K1130)&lt;4),1,0)</f>
        <v>#N/A</v>
      </c>
      <c r="S1130" s="4" t="e">
        <f>IF(AND(L1130=1,N1130&lt;'Line Follower'!$C$6,SUM(C1130:K1130)&lt;4),1,0)</f>
        <v>#N/A</v>
      </c>
      <c r="T1130" s="4" t="e">
        <f t="shared" si="87"/>
        <v>#N/A</v>
      </c>
      <c r="U1130" s="5" t="e">
        <f t="shared" si="88"/>
        <v>#N/A</v>
      </c>
      <c r="V1130" s="23" t="e">
        <f t="shared" si="89"/>
        <v>#N/A</v>
      </c>
    </row>
    <row r="1131" spans="2:22" x14ac:dyDescent="0.25">
      <c r="B1131" s="16">
        <v>0</v>
      </c>
      <c r="C1131" s="7">
        <v>0</v>
      </c>
      <c r="D1131" s="8">
        <v>0</v>
      </c>
      <c r="E1131" s="8">
        <v>1</v>
      </c>
      <c r="F1131" s="8">
        <v>0</v>
      </c>
      <c r="G1131" s="8">
        <v>1</v>
      </c>
      <c r="H1131" s="8">
        <v>1</v>
      </c>
      <c r="I1131" s="8">
        <v>0</v>
      </c>
      <c r="J1131" s="8">
        <v>0</v>
      </c>
      <c r="K1131" s="9">
        <v>0</v>
      </c>
      <c r="L1131" s="10">
        <v>1</v>
      </c>
      <c r="M1131" s="6">
        <v>0</v>
      </c>
      <c r="N1131" s="37" t="e" cm="1">
        <f t="array" ref="N1131">IF(OR(ISNUMBER(FIND(Aux!$D$3:$D$9,_xlfn.TEXTJOIN(,,C1131:K1131)))),NA(),IF(AND(SUM(C1131:F1131,H1131:K1131)=0,G1131=1),0,INT((SUMPRODUCT(C1131:F1131,COLUMN($A$1:$D$1)-1)+SUMPRODUCT(H1131:K1131,COLUMN($E$1:$H$1)-1))*'Line Follower'!$C$3/SUM(C1131:F1131,H1131:K1131)-'Line Follower'!$C$5)))</f>
        <v>#N/A</v>
      </c>
      <c r="O1131" s="22" t="e">
        <v>#N/A</v>
      </c>
      <c r="P1131" s="4" t="e">
        <f t="shared" si="85"/>
        <v>#N/A</v>
      </c>
      <c r="Q1131" s="4" t="e">
        <f t="shared" si="86"/>
        <v>#N/A</v>
      </c>
      <c r="R1131" s="4" t="e">
        <f>IF(AND(B1131=1,N1131&gt;'Line Follower'!$C$7,SUM(C1131:K1131)&lt;4),1,0)</f>
        <v>#N/A</v>
      </c>
      <c r="S1131" s="4" t="e">
        <f>IF(AND(L1131=1,N1131&lt;'Line Follower'!$C$6,SUM(C1131:K1131)&lt;4),1,0)</f>
        <v>#N/A</v>
      </c>
      <c r="T1131" s="4" t="e">
        <f t="shared" si="87"/>
        <v>#N/A</v>
      </c>
      <c r="U1131" s="5" t="e">
        <f t="shared" si="88"/>
        <v>#N/A</v>
      </c>
      <c r="V1131" s="23" t="e">
        <f t="shared" si="89"/>
        <v>#N/A</v>
      </c>
    </row>
    <row r="1132" spans="2:22" x14ac:dyDescent="0.25">
      <c r="B1132" s="16">
        <v>1</v>
      </c>
      <c r="C1132" s="7">
        <v>0</v>
      </c>
      <c r="D1132" s="8">
        <v>0</v>
      </c>
      <c r="E1132" s="8">
        <v>1</v>
      </c>
      <c r="F1132" s="8">
        <v>0</v>
      </c>
      <c r="G1132" s="8">
        <v>1</v>
      </c>
      <c r="H1132" s="8">
        <v>1</v>
      </c>
      <c r="I1132" s="8">
        <v>0</v>
      </c>
      <c r="J1132" s="8">
        <v>0</v>
      </c>
      <c r="K1132" s="9">
        <v>0</v>
      </c>
      <c r="L1132" s="10">
        <v>1</v>
      </c>
      <c r="M1132" s="6">
        <v>0</v>
      </c>
      <c r="N1132" s="37" t="e" cm="1">
        <f t="array" ref="N1132">IF(OR(ISNUMBER(FIND(Aux!$D$3:$D$9,_xlfn.TEXTJOIN(,,C1132:K1132)))),NA(),IF(AND(SUM(C1132:F1132,H1132:K1132)=0,G1132=1),0,INT((SUMPRODUCT(C1132:F1132,COLUMN($A$1:$D$1)-1)+SUMPRODUCT(H1132:K1132,COLUMN($E$1:$H$1)-1))*'Line Follower'!$C$3/SUM(C1132:F1132,H1132:K1132)-'Line Follower'!$C$5)))</f>
        <v>#N/A</v>
      </c>
      <c r="O1132" s="22" t="e">
        <v>#N/A</v>
      </c>
      <c r="P1132" s="4" t="e">
        <f t="shared" si="85"/>
        <v>#N/A</v>
      </c>
      <c r="Q1132" s="4" t="e">
        <f t="shared" si="86"/>
        <v>#N/A</v>
      </c>
      <c r="R1132" s="4" t="e">
        <f>IF(AND(B1132=1,N1132&gt;'Line Follower'!$C$7,SUM(C1132:K1132)&lt;4),1,0)</f>
        <v>#N/A</v>
      </c>
      <c r="S1132" s="4" t="e">
        <f>IF(AND(L1132=1,N1132&lt;'Line Follower'!$C$6,SUM(C1132:K1132)&lt;4),1,0)</f>
        <v>#N/A</v>
      </c>
      <c r="T1132" s="4" t="e">
        <f t="shared" si="87"/>
        <v>#N/A</v>
      </c>
      <c r="U1132" s="5" t="e">
        <f t="shared" si="88"/>
        <v>#N/A</v>
      </c>
      <c r="V1132" s="23" t="e">
        <f t="shared" si="89"/>
        <v>#N/A</v>
      </c>
    </row>
    <row r="1133" spans="2:22" x14ac:dyDescent="0.25">
      <c r="B1133" s="16">
        <v>0</v>
      </c>
      <c r="C1133" s="7">
        <v>1</v>
      </c>
      <c r="D1133" s="8">
        <v>0</v>
      </c>
      <c r="E1133" s="8">
        <v>1</v>
      </c>
      <c r="F1133" s="8">
        <v>0</v>
      </c>
      <c r="G1133" s="8">
        <v>1</v>
      </c>
      <c r="H1133" s="8">
        <v>1</v>
      </c>
      <c r="I1133" s="8">
        <v>0</v>
      </c>
      <c r="J1133" s="8">
        <v>0</v>
      </c>
      <c r="K1133" s="9">
        <v>0</v>
      </c>
      <c r="L1133" s="10">
        <v>1</v>
      </c>
      <c r="M1133" s="6">
        <v>0</v>
      </c>
      <c r="N1133" s="37" t="e" cm="1">
        <f t="array" ref="N1133">IF(OR(ISNUMBER(FIND(Aux!$D$3:$D$9,_xlfn.TEXTJOIN(,,C1133:K1133)))),NA(),IF(AND(SUM(C1133:F1133,H1133:K1133)=0,G1133=1),0,INT((SUMPRODUCT(C1133:F1133,COLUMN($A$1:$D$1)-1)+SUMPRODUCT(H1133:K1133,COLUMN($E$1:$H$1)-1))*'Line Follower'!$C$3/SUM(C1133:F1133,H1133:K1133)-'Line Follower'!$C$5)))</f>
        <v>#N/A</v>
      </c>
      <c r="O1133" s="22" t="e">
        <v>#N/A</v>
      </c>
      <c r="P1133" s="4" t="e">
        <f t="shared" si="85"/>
        <v>#N/A</v>
      </c>
      <c r="Q1133" s="4" t="e">
        <f t="shared" si="86"/>
        <v>#N/A</v>
      </c>
      <c r="R1133" s="4" t="e">
        <f>IF(AND(B1133=1,N1133&gt;'Line Follower'!$C$7,SUM(C1133:K1133)&lt;4),1,0)</f>
        <v>#N/A</v>
      </c>
      <c r="S1133" s="4" t="e">
        <f>IF(AND(L1133=1,N1133&lt;'Line Follower'!$C$6,SUM(C1133:K1133)&lt;4),1,0)</f>
        <v>#N/A</v>
      </c>
      <c r="T1133" s="4" t="e">
        <f t="shared" si="87"/>
        <v>#N/A</v>
      </c>
      <c r="U1133" s="5" t="e">
        <f t="shared" si="88"/>
        <v>#N/A</v>
      </c>
      <c r="V1133" s="23" t="e">
        <f t="shared" si="89"/>
        <v>#N/A</v>
      </c>
    </row>
    <row r="1134" spans="2:22" x14ac:dyDescent="0.25">
      <c r="B1134" s="16">
        <v>1</v>
      </c>
      <c r="C1134" s="7">
        <v>1</v>
      </c>
      <c r="D1134" s="8">
        <v>0</v>
      </c>
      <c r="E1134" s="8">
        <v>1</v>
      </c>
      <c r="F1134" s="8">
        <v>0</v>
      </c>
      <c r="G1134" s="8">
        <v>1</v>
      </c>
      <c r="H1134" s="8">
        <v>1</v>
      </c>
      <c r="I1134" s="8">
        <v>0</v>
      </c>
      <c r="J1134" s="8">
        <v>0</v>
      </c>
      <c r="K1134" s="9">
        <v>0</v>
      </c>
      <c r="L1134" s="10">
        <v>1</v>
      </c>
      <c r="M1134" s="6">
        <v>0</v>
      </c>
      <c r="N1134" s="37" t="e" cm="1">
        <f t="array" ref="N1134">IF(OR(ISNUMBER(FIND(Aux!$D$3:$D$9,_xlfn.TEXTJOIN(,,C1134:K1134)))),NA(),IF(AND(SUM(C1134:F1134,H1134:K1134)=0,G1134=1),0,INT((SUMPRODUCT(C1134:F1134,COLUMN($A$1:$D$1)-1)+SUMPRODUCT(H1134:K1134,COLUMN($E$1:$H$1)-1))*'Line Follower'!$C$3/SUM(C1134:F1134,H1134:K1134)-'Line Follower'!$C$5)))</f>
        <v>#N/A</v>
      </c>
      <c r="O1134" s="22" t="e">
        <v>#N/A</v>
      </c>
      <c r="P1134" s="4" t="e">
        <f t="shared" si="85"/>
        <v>#N/A</v>
      </c>
      <c r="Q1134" s="4" t="e">
        <f t="shared" si="86"/>
        <v>#N/A</v>
      </c>
      <c r="R1134" s="4" t="e">
        <f>IF(AND(B1134=1,N1134&gt;'Line Follower'!$C$7,SUM(C1134:K1134)&lt;4),1,0)</f>
        <v>#N/A</v>
      </c>
      <c r="S1134" s="4" t="e">
        <f>IF(AND(L1134=1,N1134&lt;'Line Follower'!$C$6,SUM(C1134:K1134)&lt;4),1,0)</f>
        <v>#N/A</v>
      </c>
      <c r="T1134" s="4" t="e">
        <f t="shared" si="87"/>
        <v>#N/A</v>
      </c>
      <c r="U1134" s="5" t="e">
        <f t="shared" si="88"/>
        <v>#N/A</v>
      </c>
      <c r="V1134" s="23" t="e">
        <f t="shared" si="89"/>
        <v>#N/A</v>
      </c>
    </row>
    <row r="1135" spans="2:22" x14ac:dyDescent="0.25">
      <c r="B1135" s="16">
        <v>0</v>
      </c>
      <c r="C1135" s="7">
        <v>0</v>
      </c>
      <c r="D1135" s="8">
        <v>1</v>
      </c>
      <c r="E1135" s="8">
        <v>1</v>
      </c>
      <c r="F1135" s="8">
        <v>0</v>
      </c>
      <c r="G1135" s="8">
        <v>1</v>
      </c>
      <c r="H1135" s="8">
        <v>1</v>
      </c>
      <c r="I1135" s="8">
        <v>0</v>
      </c>
      <c r="J1135" s="8">
        <v>0</v>
      </c>
      <c r="K1135" s="9">
        <v>0</v>
      </c>
      <c r="L1135" s="10">
        <v>1</v>
      </c>
      <c r="M1135" s="6">
        <v>0</v>
      </c>
      <c r="N1135" s="37" t="e" cm="1">
        <f t="array" ref="N1135">IF(OR(ISNUMBER(FIND(Aux!$D$3:$D$9,_xlfn.TEXTJOIN(,,C1135:K1135)))),NA(),IF(AND(SUM(C1135:F1135,H1135:K1135)=0,G1135=1),0,INT((SUMPRODUCT(C1135:F1135,COLUMN($A$1:$D$1)-1)+SUMPRODUCT(H1135:K1135,COLUMN($E$1:$H$1)-1))*'Line Follower'!$C$3/SUM(C1135:F1135,H1135:K1135)-'Line Follower'!$C$5)))</f>
        <v>#N/A</v>
      </c>
      <c r="O1135" s="22" t="e">
        <v>#N/A</v>
      </c>
      <c r="P1135" s="4" t="e">
        <f t="shared" si="85"/>
        <v>#N/A</v>
      </c>
      <c r="Q1135" s="4" t="e">
        <f t="shared" si="86"/>
        <v>#N/A</v>
      </c>
      <c r="R1135" s="4" t="e">
        <f>IF(AND(B1135=1,N1135&gt;'Line Follower'!$C$7,SUM(C1135:K1135)&lt;4),1,0)</f>
        <v>#N/A</v>
      </c>
      <c r="S1135" s="4" t="e">
        <f>IF(AND(L1135=1,N1135&lt;'Line Follower'!$C$6,SUM(C1135:K1135)&lt;4),1,0)</f>
        <v>#N/A</v>
      </c>
      <c r="T1135" s="4" t="e">
        <f t="shared" si="87"/>
        <v>#N/A</v>
      </c>
      <c r="U1135" s="5" t="e">
        <f t="shared" si="88"/>
        <v>#N/A</v>
      </c>
      <c r="V1135" s="23" t="e">
        <f t="shared" si="89"/>
        <v>#N/A</v>
      </c>
    </row>
    <row r="1136" spans="2:22" x14ac:dyDescent="0.25">
      <c r="B1136" s="16">
        <v>1</v>
      </c>
      <c r="C1136" s="7">
        <v>0</v>
      </c>
      <c r="D1136" s="8">
        <v>1</v>
      </c>
      <c r="E1136" s="8">
        <v>1</v>
      </c>
      <c r="F1136" s="8">
        <v>0</v>
      </c>
      <c r="G1136" s="8">
        <v>1</v>
      </c>
      <c r="H1136" s="8">
        <v>1</v>
      </c>
      <c r="I1136" s="8">
        <v>0</v>
      </c>
      <c r="J1136" s="8">
        <v>0</v>
      </c>
      <c r="K1136" s="9">
        <v>0</v>
      </c>
      <c r="L1136" s="10">
        <v>1</v>
      </c>
      <c r="M1136" s="6">
        <v>0</v>
      </c>
      <c r="N1136" s="37" t="e" cm="1">
        <f t="array" ref="N1136">IF(OR(ISNUMBER(FIND(Aux!$D$3:$D$9,_xlfn.TEXTJOIN(,,C1136:K1136)))),NA(),IF(AND(SUM(C1136:F1136,H1136:K1136)=0,G1136=1),0,INT((SUMPRODUCT(C1136:F1136,COLUMN($A$1:$D$1)-1)+SUMPRODUCT(H1136:K1136,COLUMN($E$1:$H$1)-1))*'Line Follower'!$C$3/SUM(C1136:F1136,H1136:K1136)-'Line Follower'!$C$5)))</f>
        <v>#N/A</v>
      </c>
      <c r="O1136" s="22" t="e">
        <v>#N/A</v>
      </c>
      <c r="P1136" s="4" t="e">
        <f t="shared" si="85"/>
        <v>#N/A</v>
      </c>
      <c r="Q1136" s="4" t="e">
        <f t="shared" si="86"/>
        <v>#N/A</v>
      </c>
      <c r="R1136" s="4" t="e">
        <f>IF(AND(B1136=1,N1136&gt;'Line Follower'!$C$7,SUM(C1136:K1136)&lt;4),1,0)</f>
        <v>#N/A</v>
      </c>
      <c r="S1136" s="4" t="e">
        <f>IF(AND(L1136=1,N1136&lt;'Line Follower'!$C$6,SUM(C1136:K1136)&lt;4),1,0)</f>
        <v>#N/A</v>
      </c>
      <c r="T1136" s="4" t="e">
        <f t="shared" si="87"/>
        <v>#N/A</v>
      </c>
      <c r="U1136" s="5" t="e">
        <f t="shared" si="88"/>
        <v>#N/A</v>
      </c>
      <c r="V1136" s="23" t="e">
        <f t="shared" si="89"/>
        <v>#N/A</v>
      </c>
    </row>
    <row r="1137" spans="2:22" x14ac:dyDescent="0.25">
      <c r="B1137" s="16">
        <v>0</v>
      </c>
      <c r="C1137" s="7">
        <v>1</v>
      </c>
      <c r="D1137" s="8">
        <v>1</v>
      </c>
      <c r="E1137" s="8">
        <v>1</v>
      </c>
      <c r="F1137" s="8">
        <v>0</v>
      </c>
      <c r="G1137" s="8">
        <v>1</v>
      </c>
      <c r="H1137" s="8">
        <v>1</v>
      </c>
      <c r="I1137" s="8">
        <v>0</v>
      </c>
      <c r="J1137" s="8">
        <v>0</v>
      </c>
      <c r="K1137" s="9">
        <v>0</v>
      </c>
      <c r="L1137" s="10">
        <v>1</v>
      </c>
      <c r="M1137" s="6">
        <v>0</v>
      </c>
      <c r="N1137" s="37" t="e" cm="1">
        <f t="array" ref="N1137">IF(OR(ISNUMBER(FIND(Aux!$D$3:$D$9,_xlfn.TEXTJOIN(,,C1137:K1137)))),NA(),IF(AND(SUM(C1137:F1137,H1137:K1137)=0,G1137=1),0,INT((SUMPRODUCT(C1137:F1137,COLUMN($A$1:$D$1)-1)+SUMPRODUCT(H1137:K1137,COLUMN($E$1:$H$1)-1))*'Line Follower'!$C$3/SUM(C1137:F1137,H1137:K1137)-'Line Follower'!$C$5)))</f>
        <v>#N/A</v>
      </c>
      <c r="O1137" s="22" t="e">
        <v>#N/A</v>
      </c>
      <c r="P1137" s="4" t="e">
        <f t="shared" si="85"/>
        <v>#N/A</v>
      </c>
      <c r="Q1137" s="4" t="e">
        <f t="shared" si="86"/>
        <v>#N/A</v>
      </c>
      <c r="R1137" s="4" t="e">
        <f>IF(AND(B1137=1,N1137&gt;'Line Follower'!$C$7,SUM(C1137:K1137)&lt;4),1,0)</f>
        <v>#N/A</v>
      </c>
      <c r="S1137" s="4" t="e">
        <f>IF(AND(L1137=1,N1137&lt;'Line Follower'!$C$6,SUM(C1137:K1137)&lt;4),1,0)</f>
        <v>#N/A</v>
      </c>
      <c r="T1137" s="4" t="e">
        <f t="shared" si="87"/>
        <v>#N/A</v>
      </c>
      <c r="U1137" s="5" t="e">
        <f t="shared" si="88"/>
        <v>#N/A</v>
      </c>
      <c r="V1137" s="23" t="e">
        <f t="shared" si="89"/>
        <v>#N/A</v>
      </c>
    </row>
    <row r="1138" spans="2:22" x14ac:dyDescent="0.25">
      <c r="B1138" s="16">
        <v>1</v>
      </c>
      <c r="C1138" s="7">
        <v>1</v>
      </c>
      <c r="D1138" s="8">
        <v>1</v>
      </c>
      <c r="E1138" s="8">
        <v>1</v>
      </c>
      <c r="F1138" s="8">
        <v>0</v>
      </c>
      <c r="G1138" s="8">
        <v>1</v>
      </c>
      <c r="H1138" s="8">
        <v>1</v>
      </c>
      <c r="I1138" s="8">
        <v>0</v>
      </c>
      <c r="J1138" s="8">
        <v>0</v>
      </c>
      <c r="K1138" s="9">
        <v>0</v>
      </c>
      <c r="L1138" s="10">
        <v>1</v>
      </c>
      <c r="M1138" s="6">
        <v>0</v>
      </c>
      <c r="N1138" s="37" t="e" cm="1">
        <f t="array" ref="N1138">IF(OR(ISNUMBER(FIND(Aux!$D$3:$D$9,_xlfn.TEXTJOIN(,,C1138:K1138)))),NA(),IF(AND(SUM(C1138:F1138,H1138:K1138)=0,G1138=1),0,INT((SUMPRODUCT(C1138:F1138,COLUMN($A$1:$D$1)-1)+SUMPRODUCT(H1138:K1138,COLUMN($E$1:$H$1)-1))*'Line Follower'!$C$3/SUM(C1138:F1138,H1138:K1138)-'Line Follower'!$C$5)))</f>
        <v>#N/A</v>
      </c>
      <c r="O1138" s="22" t="e">
        <v>#N/A</v>
      </c>
      <c r="P1138" s="4" t="e">
        <f t="shared" si="85"/>
        <v>#N/A</v>
      </c>
      <c r="Q1138" s="4" t="e">
        <f t="shared" si="86"/>
        <v>#N/A</v>
      </c>
      <c r="R1138" s="4" t="e">
        <f>IF(AND(B1138=1,N1138&gt;'Line Follower'!$C$7,SUM(C1138:K1138)&lt;4),1,0)</f>
        <v>#N/A</v>
      </c>
      <c r="S1138" s="4" t="e">
        <f>IF(AND(L1138=1,N1138&lt;'Line Follower'!$C$6,SUM(C1138:K1138)&lt;4),1,0)</f>
        <v>#N/A</v>
      </c>
      <c r="T1138" s="4" t="e">
        <f t="shared" si="87"/>
        <v>#N/A</v>
      </c>
      <c r="U1138" s="5" t="e">
        <f t="shared" si="88"/>
        <v>#N/A</v>
      </c>
      <c r="V1138" s="23" t="e">
        <f t="shared" si="89"/>
        <v>#N/A</v>
      </c>
    </row>
    <row r="1139" spans="2:22" x14ac:dyDescent="0.25">
      <c r="B1139" s="16">
        <v>0</v>
      </c>
      <c r="C1139" s="7">
        <v>0</v>
      </c>
      <c r="D1139" s="8">
        <v>0</v>
      </c>
      <c r="E1139" s="8">
        <v>0</v>
      </c>
      <c r="F1139" s="8">
        <v>1</v>
      </c>
      <c r="G1139" s="8">
        <v>1</v>
      </c>
      <c r="H1139" s="8">
        <v>1</v>
      </c>
      <c r="I1139" s="8">
        <v>0</v>
      </c>
      <c r="J1139" s="8">
        <v>0</v>
      </c>
      <c r="K1139" s="9">
        <v>0</v>
      </c>
      <c r="L1139" s="10">
        <v>1</v>
      </c>
      <c r="M1139" s="6">
        <v>0</v>
      </c>
      <c r="N1139" s="37" cm="1">
        <f t="array" ref="N1139">IF(OR(ISNUMBER(FIND(Aux!$D$3:$D$9,_xlfn.TEXTJOIN(,,C1139:K1139)))),NA(),IF(AND(SUM(C1139:F1139,H1139:K1139)=0,G1139=1),0,INT((SUMPRODUCT(C1139:F1139,COLUMN($A$1:$D$1)-1)+SUMPRODUCT(H1139:K1139,COLUMN($E$1:$H$1)-1))*'Line Follower'!$C$3/SUM(C1139:F1139,H1139:K1139)-'Line Follower'!$C$5)))</f>
        <v>0</v>
      </c>
      <c r="O1139" s="22">
        <v>1</v>
      </c>
      <c r="P1139" s="4">
        <f t="shared" si="85"/>
        <v>0</v>
      </c>
      <c r="Q1139" s="4">
        <f t="shared" si="86"/>
        <v>0</v>
      </c>
      <c r="R1139" s="4">
        <f>IF(AND(B1139=1,N1139&gt;'Line Follower'!$C$7,SUM(C1139:K1139)&lt;4),1,0)</f>
        <v>0</v>
      </c>
      <c r="S1139" s="4">
        <f>IF(AND(L1139=1,N1139&lt;'Line Follower'!$C$6,SUM(C1139:K1139)&lt;4),1,0)</f>
        <v>1</v>
      </c>
      <c r="T1139" s="4">
        <f t="shared" si="87"/>
        <v>0</v>
      </c>
      <c r="U1139" s="5">
        <f t="shared" si="88"/>
        <v>0</v>
      </c>
      <c r="V1139" s="23">
        <f t="shared" si="89"/>
        <v>0</v>
      </c>
    </row>
    <row r="1140" spans="2:22" x14ac:dyDescent="0.25">
      <c r="B1140" s="16">
        <v>1</v>
      </c>
      <c r="C1140" s="7">
        <v>0</v>
      </c>
      <c r="D1140" s="8">
        <v>0</v>
      </c>
      <c r="E1140" s="8">
        <v>0</v>
      </c>
      <c r="F1140" s="8">
        <v>1</v>
      </c>
      <c r="G1140" s="8">
        <v>1</v>
      </c>
      <c r="H1140" s="8">
        <v>1</v>
      </c>
      <c r="I1140" s="8">
        <v>0</v>
      </c>
      <c r="J1140" s="8">
        <v>0</v>
      </c>
      <c r="K1140" s="9">
        <v>0</v>
      </c>
      <c r="L1140" s="10">
        <v>1</v>
      </c>
      <c r="M1140" s="6">
        <v>0</v>
      </c>
      <c r="N1140" s="37" cm="1">
        <f t="array" ref="N1140">IF(OR(ISNUMBER(FIND(Aux!$D$3:$D$9,_xlfn.TEXTJOIN(,,C1140:K1140)))),NA(),IF(AND(SUM(C1140:F1140,H1140:K1140)=0,G1140=1),0,INT((SUMPRODUCT(C1140:F1140,COLUMN($A$1:$D$1)-1)+SUMPRODUCT(H1140:K1140,COLUMN($E$1:$H$1)-1))*'Line Follower'!$C$3/SUM(C1140:F1140,H1140:K1140)-'Line Follower'!$C$5)))</f>
        <v>0</v>
      </c>
      <c r="O1140" s="22">
        <v>1</v>
      </c>
      <c r="P1140" s="4">
        <f t="shared" si="85"/>
        <v>0</v>
      </c>
      <c r="Q1140" s="4">
        <f t="shared" si="86"/>
        <v>0</v>
      </c>
      <c r="R1140" s="4">
        <f>IF(AND(B1140=1,N1140&gt;'Line Follower'!$C$7,SUM(C1140:K1140)&lt;4),1,0)</f>
        <v>1</v>
      </c>
      <c r="S1140" s="4">
        <f>IF(AND(L1140=1,N1140&lt;'Line Follower'!$C$6,SUM(C1140:K1140)&lt;4),1,0)</f>
        <v>1</v>
      </c>
      <c r="T1140" s="4">
        <f t="shared" si="87"/>
        <v>0</v>
      </c>
      <c r="U1140" s="5">
        <f t="shared" si="88"/>
        <v>0</v>
      </c>
      <c r="V1140" s="23">
        <f t="shared" si="89"/>
        <v>0</v>
      </c>
    </row>
    <row r="1141" spans="2:22" x14ac:dyDescent="0.25">
      <c r="B1141" s="16">
        <v>0</v>
      </c>
      <c r="C1141" s="7">
        <v>1</v>
      </c>
      <c r="D1141" s="8">
        <v>0</v>
      </c>
      <c r="E1141" s="8">
        <v>0</v>
      </c>
      <c r="F1141" s="8">
        <v>1</v>
      </c>
      <c r="G1141" s="8">
        <v>1</v>
      </c>
      <c r="H1141" s="8">
        <v>1</v>
      </c>
      <c r="I1141" s="8">
        <v>0</v>
      </c>
      <c r="J1141" s="8">
        <v>0</v>
      </c>
      <c r="K1141" s="9">
        <v>0</v>
      </c>
      <c r="L1141" s="10">
        <v>1</v>
      </c>
      <c r="M1141" s="6">
        <v>0</v>
      </c>
      <c r="N1141" s="37" t="e" cm="1">
        <f t="array" ref="N1141">IF(OR(ISNUMBER(FIND(Aux!$D$3:$D$9,_xlfn.TEXTJOIN(,,C1141:K1141)))),NA(),IF(AND(SUM(C1141:F1141,H1141:K1141)=0,G1141=1),0,INT((SUMPRODUCT(C1141:F1141,COLUMN($A$1:$D$1)-1)+SUMPRODUCT(H1141:K1141,COLUMN($E$1:$H$1)-1))*'Line Follower'!$C$3/SUM(C1141:F1141,H1141:K1141)-'Line Follower'!$C$5)))</f>
        <v>#N/A</v>
      </c>
      <c r="O1141" s="22" t="e">
        <v>#N/A</v>
      </c>
      <c r="P1141" s="4" t="e">
        <f t="shared" si="85"/>
        <v>#N/A</v>
      </c>
      <c r="Q1141" s="4" t="e">
        <f t="shared" si="86"/>
        <v>#N/A</v>
      </c>
      <c r="R1141" s="4" t="e">
        <f>IF(AND(B1141=1,N1141&gt;'Line Follower'!$C$7,SUM(C1141:K1141)&lt;4),1,0)</f>
        <v>#N/A</v>
      </c>
      <c r="S1141" s="4" t="e">
        <f>IF(AND(L1141=1,N1141&lt;'Line Follower'!$C$6,SUM(C1141:K1141)&lt;4),1,0)</f>
        <v>#N/A</v>
      </c>
      <c r="T1141" s="4" t="e">
        <f t="shared" si="87"/>
        <v>#N/A</v>
      </c>
      <c r="U1141" s="5" t="e">
        <f t="shared" si="88"/>
        <v>#N/A</v>
      </c>
      <c r="V1141" s="23" t="e">
        <f t="shared" si="89"/>
        <v>#N/A</v>
      </c>
    </row>
    <row r="1142" spans="2:22" x14ac:dyDescent="0.25">
      <c r="B1142" s="16">
        <v>1</v>
      </c>
      <c r="C1142" s="7">
        <v>1</v>
      </c>
      <c r="D1142" s="8">
        <v>0</v>
      </c>
      <c r="E1142" s="8">
        <v>0</v>
      </c>
      <c r="F1142" s="8">
        <v>1</v>
      </c>
      <c r="G1142" s="8">
        <v>1</v>
      </c>
      <c r="H1142" s="8">
        <v>1</v>
      </c>
      <c r="I1142" s="8">
        <v>0</v>
      </c>
      <c r="J1142" s="8">
        <v>0</v>
      </c>
      <c r="K1142" s="9">
        <v>0</v>
      </c>
      <c r="L1142" s="10">
        <v>1</v>
      </c>
      <c r="M1142" s="6">
        <v>0</v>
      </c>
      <c r="N1142" s="37" t="e" cm="1">
        <f t="array" ref="N1142">IF(OR(ISNUMBER(FIND(Aux!$D$3:$D$9,_xlfn.TEXTJOIN(,,C1142:K1142)))),NA(),IF(AND(SUM(C1142:F1142,H1142:K1142)=0,G1142=1),0,INT((SUMPRODUCT(C1142:F1142,COLUMN($A$1:$D$1)-1)+SUMPRODUCT(H1142:K1142,COLUMN($E$1:$H$1)-1))*'Line Follower'!$C$3/SUM(C1142:F1142,H1142:K1142)-'Line Follower'!$C$5)))</f>
        <v>#N/A</v>
      </c>
      <c r="O1142" s="22" t="e">
        <v>#N/A</v>
      </c>
      <c r="P1142" s="4" t="e">
        <f t="shared" si="85"/>
        <v>#N/A</v>
      </c>
      <c r="Q1142" s="4" t="e">
        <f t="shared" si="86"/>
        <v>#N/A</v>
      </c>
      <c r="R1142" s="4" t="e">
        <f>IF(AND(B1142=1,N1142&gt;'Line Follower'!$C$7,SUM(C1142:K1142)&lt;4),1,0)</f>
        <v>#N/A</v>
      </c>
      <c r="S1142" s="4" t="e">
        <f>IF(AND(L1142=1,N1142&lt;'Line Follower'!$C$6,SUM(C1142:K1142)&lt;4),1,0)</f>
        <v>#N/A</v>
      </c>
      <c r="T1142" s="4" t="e">
        <f t="shared" si="87"/>
        <v>#N/A</v>
      </c>
      <c r="U1142" s="5" t="e">
        <f t="shared" si="88"/>
        <v>#N/A</v>
      </c>
      <c r="V1142" s="23" t="e">
        <f t="shared" si="89"/>
        <v>#N/A</v>
      </c>
    </row>
    <row r="1143" spans="2:22" x14ac:dyDescent="0.25">
      <c r="B1143" s="16">
        <v>0</v>
      </c>
      <c r="C1143" s="7">
        <v>0</v>
      </c>
      <c r="D1143" s="8">
        <v>1</v>
      </c>
      <c r="E1143" s="8">
        <v>0</v>
      </c>
      <c r="F1143" s="8">
        <v>1</v>
      </c>
      <c r="G1143" s="8">
        <v>1</v>
      </c>
      <c r="H1143" s="8">
        <v>1</v>
      </c>
      <c r="I1143" s="8">
        <v>0</v>
      </c>
      <c r="J1143" s="8">
        <v>0</v>
      </c>
      <c r="K1143" s="9">
        <v>0</v>
      </c>
      <c r="L1143" s="10">
        <v>1</v>
      </c>
      <c r="M1143" s="6">
        <v>0</v>
      </c>
      <c r="N1143" s="37" t="e" cm="1">
        <f t="array" ref="N1143">IF(OR(ISNUMBER(FIND(Aux!$D$3:$D$9,_xlfn.TEXTJOIN(,,C1143:K1143)))),NA(),IF(AND(SUM(C1143:F1143,H1143:K1143)=0,G1143=1),0,INT((SUMPRODUCT(C1143:F1143,COLUMN($A$1:$D$1)-1)+SUMPRODUCT(H1143:K1143,COLUMN($E$1:$H$1)-1))*'Line Follower'!$C$3/SUM(C1143:F1143,H1143:K1143)-'Line Follower'!$C$5)))</f>
        <v>#N/A</v>
      </c>
      <c r="O1143" s="22" t="e">
        <v>#N/A</v>
      </c>
      <c r="P1143" s="4" t="e">
        <f t="shared" si="85"/>
        <v>#N/A</v>
      </c>
      <c r="Q1143" s="4" t="e">
        <f t="shared" si="86"/>
        <v>#N/A</v>
      </c>
      <c r="R1143" s="4" t="e">
        <f>IF(AND(B1143=1,N1143&gt;'Line Follower'!$C$7,SUM(C1143:K1143)&lt;4),1,0)</f>
        <v>#N/A</v>
      </c>
      <c r="S1143" s="4" t="e">
        <f>IF(AND(L1143=1,N1143&lt;'Line Follower'!$C$6,SUM(C1143:K1143)&lt;4),1,0)</f>
        <v>#N/A</v>
      </c>
      <c r="T1143" s="4" t="e">
        <f t="shared" si="87"/>
        <v>#N/A</v>
      </c>
      <c r="U1143" s="5" t="e">
        <f t="shared" si="88"/>
        <v>#N/A</v>
      </c>
      <c r="V1143" s="23" t="e">
        <f t="shared" si="89"/>
        <v>#N/A</v>
      </c>
    </row>
    <row r="1144" spans="2:22" x14ac:dyDescent="0.25">
      <c r="B1144" s="16">
        <v>1</v>
      </c>
      <c r="C1144" s="7">
        <v>0</v>
      </c>
      <c r="D1144" s="8">
        <v>1</v>
      </c>
      <c r="E1144" s="8">
        <v>0</v>
      </c>
      <c r="F1144" s="8">
        <v>1</v>
      </c>
      <c r="G1144" s="8">
        <v>1</v>
      </c>
      <c r="H1144" s="8">
        <v>1</v>
      </c>
      <c r="I1144" s="8">
        <v>0</v>
      </c>
      <c r="J1144" s="8">
        <v>0</v>
      </c>
      <c r="K1144" s="9">
        <v>0</v>
      </c>
      <c r="L1144" s="10">
        <v>1</v>
      </c>
      <c r="M1144" s="6">
        <v>0</v>
      </c>
      <c r="N1144" s="37" t="e" cm="1">
        <f t="array" ref="N1144">IF(OR(ISNUMBER(FIND(Aux!$D$3:$D$9,_xlfn.TEXTJOIN(,,C1144:K1144)))),NA(),IF(AND(SUM(C1144:F1144,H1144:K1144)=0,G1144=1),0,INT((SUMPRODUCT(C1144:F1144,COLUMN($A$1:$D$1)-1)+SUMPRODUCT(H1144:K1144,COLUMN($E$1:$H$1)-1))*'Line Follower'!$C$3/SUM(C1144:F1144,H1144:K1144)-'Line Follower'!$C$5)))</f>
        <v>#N/A</v>
      </c>
      <c r="O1144" s="22" t="e">
        <v>#N/A</v>
      </c>
      <c r="P1144" s="4" t="e">
        <f t="shared" si="85"/>
        <v>#N/A</v>
      </c>
      <c r="Q1144" s="4" t="e">
        <f t="shared" si="86"/>
        <v>#N/A</v>
      </c>
      <c r="R1144" s="4" t="e">
        <f>IF(AND(B1144=1,N1144&gt;'Line Follower'!$C$7,SUM(C1144:K1144)&lt;4),1,0)</f>
        <v>#N/A</v>
      </c>
      <c r="S1144" s="4" t="e">
        <f>IF(AND(L1144=1,N1144&lt;'Line Follower'!$C$6,SUM(C1144:K1144)&lt;4),1,0)</f>
        <v>#N/A</v>
      </c>
      <c r="T1144" s="4" t="e">
        <f t="shared" si="87"/>
        <v>#N/A</v>
      </c>
      <c r="U1144" s="5" t="e">
        <f t="shared" si="88"/>
        <v>#N/A</v>
      </c>
      <c r="V1144" s="23" t="e">
        <f t="shared" si="89"/>
        <v>#N/A</v>
      </c>
    </row>
    <row r="1145" spans="2:22" x14ac:dyDescent="0.25">
      <c r="B1145" s="16">
        <v>0</v>
      </c>
      <c r="C1145" s="7">
        <v>1</v>
      </c>
      <c r="D1145" s="8">
        <v>1</v>
      </c>
      <c r="E1145" s="8">
        <v>0</v>
      </c>
      <c r="F1145" s="8">
        <v>1</v>
      </c>
      <c r="G1145" s="8">
        <v>1</v>
      </c>
      <c r="H1145" s="8">
        <v>1</v>
      </c>
      <c r="I1145" s="8">
        <v>0</v>
      </c>
      <c r="J1145" s="8">
        <v>0</v>
      </c>
      <c r="K1145" s="9">
        <v>0</v>
      </c>
      <c r="L1145" s="10">
        <v>1</v>
      </c>
      <c r="M1145" s="6">
        <v>0</v>
      </c>
      <c r="N1145" s="37" t="e" cm="1">
        <f t="array" ref="N1145">IF(OR(ISNUMBER(FIND(Aux!$D$3:$D$9,_xlfn.TEXTJOIN(,,C1145:K1145)))),NA(),IF(AND(SUM(C1145:F1145,H1145:K1145)=0,G1145=1),0,INT((SUMPRODUCT(C1145:F1145,COLUMN($A$1:$D$1)-1)+SUMPRODUCT(H1145:K1145,COLUMN($E$1:$H$1)-1))*'Line Follower'!$C$3/SUM(C1145:F1145,H1145:K1145)-'Line Follower'!$C$5)))</f>
        <v>#N/A</v>
      </c>
      <c r="O1145" s="22" t="e">
        <v>#N/A</v>
      </c>
      <c r="P1145" s="4" t="e">
        <f t="shared" si="85"/>
        <v>#N/A</v>
      </c>
      <c r="Q1145" s="4" t="e">
        <f t="shared" si="86"/>
        <v>#N/A</v>
      </c>
      <c r="R1145" s="4" t="e">
        <f>IF(AND(B1145=1,N1145&gt;'Line Follower'!$C$7,SUM(C1145:K1145)&lt;4),1,0)</f>
        <v>#N/A</v>
      </c>
      <c r="S1145" s="4" t="e">
        <f>IF(AND(L1145=1,N1145&lt;'Line Follower'!$C$6,SUM(C1145:K1145)&lt;4),1,0)</f>
        <v>#N/A</v>
      </c>
      <c r="T1145" s="4" t="e">
        <f t="shared" si="87"/>
        <v>#N/A</v>
      </c>
      <c r="U1145" s="5" t="e">
        <f t="shared" si="88"/>
        <v>#N/A</v>
      </c>
      <c r="V1145" s="23" t="e">
        <f t="shared" si="89"/>
        <v>#N/A</v>
      </c>
    </row>
    <row r="1146" spans="2:22" x14ac:dyDescent="0.25">
      <c r="B1146" s="16">
        <v>1</v>
      </c>
      <c r="C1146" s="7">
        <v>1</v>
      </c>
      <c r="D1146" s="8">
        <v>1</v>
      </c>
      <c r="E1146" s="8">
        <v>0</v>
      </c>
      <c r="F1146" s="8">
        <v>1</v>
      </c>
      <c r="G1146" s="8">
        <v>1</v>
      </c>
      <c r="H1146" s="8">
        <v>1</v>
      </c>
      <c r="I1146" s="8">
        <v>0</v>
      </c>
      <c r="J1146" s="8">
        <v>0</v>
      </c>
      <c r="K1146" s="9">
        <v>0</v>
      </c>
      <c r="L1146" s="10">
        <v>1</v>
      </c>
      <c r="M1146" s="6">
        <v>0</v>
      </c>
      <c r="N1146" s="37" t="e" cm="1">
        <f t="array" ref="N1146">IF(OR(ISNUMBER(FIND(Aux!$D$3:$D$9,_xlfn.TEXTJOIN(,,C1146:K1146)))),NA(),IF(AND(SUM(C1146:F1146,H1146:K1146)=0,G1146=1),0,INT((SUMPRODUCT(C1146:F1146,COLUMN($A$1:$D$1)-1)+SUMPRODUCT(H1146:K1146,COLUMN($E$1:$H$1)-1))*'Line Follower'!$C$3/SUM(C1146:F1146,H1146:K1146)-'Line Follower'!$C$5)))</f>
        <v>#N/A</v>
      </c>
      <c r="O1146" s="22" t="e">
        <v>#N/A</v>
      </c>
      <c r="P1146" s="4" t="e">
        <f t="shared" si="85"/>
        <v>#N/A</v>
      </c>
      <c r="Q1146" s="4" t="e">
        <f t="shared" si="86"/>
        <v>#N/A</v>
      </c>
      <c r="R1146" s="4" t="e">
        <f>IF(AND(B1146=1,N1146&gt;'Line Follower'!$C$7,SUM(C1146:K1146)&lt;4),1,0)</f>
        <v>#N/A</v>
      </c>
      <c r="S1146" s="4" t="e">
        <f>IF(AND(L1146=1,N1146&lt;'Line Follower'!$C$6,SUM(C1146:K1146)&lt;4),1,0)</f>
        <v>#N/A</v>
      </c>
      <c r="T1146" s="4" t="e">
        <f t="shared" si="87"/>
        <v>#N/A</v>
      </c>
      <c r="U1146" s="5" t="e">
        <f t="shared" si="88"/>
        <v>#N/A</v>
      </c>
      <c r="V1146" s="23" t="e">
        <f t="shared" si="89"/>
        <v>#N/A</v>
      </c>
    </row>
    <row r="1147" spans="2:22" x14ac:dyDescent="0.25">
      <c r="B1147" s="16">
        <v>0</v>
      </c>
      <c r="C1147" s="7">
        <v>0</v>
      </c>
      <c r="D1147" s="8">
        <v>0</v>
      </c>
      <c r="E1147" s="8">
        <v>1</v>
      </c>
      <c r="F1147" s="8">
        <v>1</v>
      </c>
      <c r="G1147" s="8">
        <v>1</v>
      </c>
      <c r="H1147" s="8">
        <v>1</v>
      </c>
      <c r="I1147" s="8">
        <v>0</v>
      </c>
      <c r="J1147" s="8">
        <v>0</v>
      </c>
      <c r="K1147" s="9">
        <v>0</v>
      </c>
      <c r="L1147" s="10">
        <v>1</v>
      </c>
      <c r="M1147" s="6">
        <v>0</v>
      </c>
      <c r="N1147" s="37" cm="1">
        <f t="array" ref="N1147">IF(OR(ISNUMBER(FIND(Aux!$D$3:$D$9,_xlfn.TEXTJOIN(,,C1147:K1147)))),NA(),IF(AND(SUM(C1147:F1147,H1147:K1147)=0,G1147=1),0,INT((SUMPRODUCT(C1147:F1147,COLUMN($A$1:$D$1)-1)+SUMPRODUCT(H1147:K1147,COLUMN($E$1:$H$1)-1))*'Line Follower'!$C$3/SUM(C1147:F1147,H1147:K1147)-'Line Follower'!$C$5)))</f>
        <v>-1</v>
      </c>
      <c r="O1147" s="22">
        <v>1</v>
      </c>
      <c r="P1147" s="4">
        <f t="shared" si="85"/>
        <v>0</v>
      </c>
      <c r="Q1147" s="4">
        <f t="shared" si="86"/>
        <v>1</v>
      </c>
      <c r="R1147" s="4">
        <f>IF(AND(B1147=1,N1147&gt;'Line Follower'!$C$7,SUM(C1147:K1147)&lt;4),1,0)</f>
        <v>0</v>
      </c>
      <c r="S1147" s="4">
        <f>IF(AND(L1147=1,N1147&lt;'Line Follower'!$C$6,SUM(C1147:K1147)&lt;4),1,0)</f>
        <v>0</v>
      </c>
      <c r="T1147" s="4">
        <f t="shared" si="87"/>
        <v>0</v>
      </c>
      <c r="U1147" s="5">
        <f t="shared" si="88"/>
        <v>0</v>
      </c>
      <c r="V1147" s="23">
        <f t="shared" si="89"/>
        <v>0</v>
      </c>
    </row>
    <row r="1148" spans="2:22" x14ac:dyDescent="0.25">
      <c r="B1148" s="16">
        <v>1</v>
      </c>
      <c r="C1148" s="7">
        <v>0</v>
      </c>
      <c r="D1148" s="8">
        <v>0</v>
      </c>
      <c r="E1148" s="8">
        <v>1</v>
      </c>
      <c r="F1148" s="8">
        <v>1</v>
      </c>
      <c r="G1148" s="8">
        <v>1</v>
      </c>
      <c r="H1148" s="8">
        <v>1</v>
      </c>
      <c r="I1148" s="8">
        <v>0</v>
      </c>
      <c r="J1148" s="8">
        <v>0</v>
      </c>
      <c r="K1148" s="9">
        <v>0</v>
      </c>
      <c r="L1148" s="10">
        <v>1</v>
      </c>
      <c r="M1148" s="6">
        <v>0</v>
      </c>
      <c r="N1148" s="37" cm="1">
        <f t="array" ref="N1148">IF(OR(ISNUMBER(FIND(Aux!$D$3:$D$9,_xlfn.TEXTJOIN(,,C1148:K1148)))),NA(),IF(AND(SUM(C1148:F1148,H1148:K1148)=0,G1148=1),0,INT((SUMPRODUCT(C1148:F1148,COLUMN($A$1:$D$1)-1)+SUMPRODUCT(H1148:K1148,COLUMN($E$1:$H$1)-1))*'Line Follower'!$C$3/SUM(C1148:F1148,H1148:K1148)-'Line Follower'!$C$5)))</f>
        <v>-1</v>
      </c>
      <c r="O1148" s="22">
        <v>1</v>
      </c>
      <c r="P1148" s="4">
        <f t="shared" si="85"/>
        <v>0</v>
      </c>
      <c r="Q1148" s="4">
        <f t="shared" si="86"/>
        <v>1</v>
      </c>
      <c r="R1148" s="4">
        <f>IF(AND(B1148=1,N1148&gt;'Line Follower'!$C$7,SUM(C1148:K1148)&lt;4),1,0)</f>
        <v>0</v>
      </c>
      <c r="S1148" s="4">
        <f>IF(AND(L1148=1,N1148&lt;'Line Follower'!$C$6,SUM(C1148:K1148)&lt;4),1,0)</f>
        <v>0</v>
      </c>
      <c r="T1148" s="4">
        <f t="shared" si="87"/>
        <v>0</v>
      </c>
      <c r="U1148" s="5">
        <f t="shared" si="88"/>
        <v>0</v>
      </c>
      <c r="V1148" s="23">
        <f t="shared" si="89"/>
        <v>0</v>
      </c>
    </row>
    <row r="1149" spans="2:22" x14ac:dyDescent="0.25">
      <c r="B1149" s="16">
        <v>0</v>
      </c>
      <c r="C1149" s="7">
        <v>1</v>
      </c>
      <c r="D1149" s="8">
        <v>0</v>
      </c>
      <c r="E1149" s="8">
        <v>1</v>
      </c>
      <c r="F1149" s="8">
        <v>1</v>
      </c>
      <c r="G1149" s="8">
        <v>1</v>
      </c>
      <c r="H1149" s="8">
        <v>1</v>
      </c>
      <c r="I1149" s="8">
        <v>0</v>
      </c>
      <c r="J1149" s="8">
        <v>0</v>
      </c>
      <c r="K1149" s="9">
        <v>0</v>
      </c>
      <c r="L1149" s="10">
        <v>1</v>
      </c>
      <c r="M1149" s="6">
        <v>0</v>
      </c>
      <c r="N1149" s="37" t="e" cm="1">
        <f t="array" ref="N1149">IF(OR(ISNUMBER(FIND(Aux!$D$3:$D$9,_xlfn.TEXTJOIN(,,C1149:K1149)))),NA(),IF(AND(SUM(C1149:F1149,H1149:K1149)=0,G1149=1),0,INT((SUMPRODUCT(C1149:F1149,COLUMN($A$1:$D$1)-1)+SUMPRODUCT(H1149:K1149,COLUMN($E$1:$H$1)-1))*'Line Follower'!$C$3/SUM(C1149:F1149,H1149:K1149)-'Line Follower'!$C$5)))</f>
        <v>#N/A</v>
      </c>
      <c r="O1149" s="22" t="e">
        <v>#N/A</v>
      </c>
      <c r="P1149" s="4" t="e">
        <f t="shared" si="85"/>
        <v>#N/A</v>
      </c>
      <c r="Q1149" s="4" t="e">
        <f t="shared" si="86"/>
        <v>#N/A</v>
      </c>
      <c r="R1149" s="4" t="e">
        <f>IF(AND(B1149=1,N1149&gt;'Line Follower'!$C$7,SUM(C1149:K1149)&lt;4),1,0)</f>
        <v>#N/A</v>
      </c>
      <c r="S1149" s="4" t="e">
        <f>IF(AND(L1149=1,N1149&lt;'Line Follower'!$C$6,SUM(C1149:K1149)&lt;4),1,0)</f>
        <v>#N/A</v>
      </c>
      <c r="T1149" s="4" t="e">
        <f t="shared" si="87"/>
        <v>#N/A</v>
      </c>
      <c r="U1149" s="5" t="e">
        <f t="shared" si="88"/>
        <v>#N/A</v>
      </c>
      <c r="V1149" s="23" t="e">
        <f t="shared" si="89"/>
        <v>#N/A</v>
      </c>
    </row>
    <row r="1150" spans="2:22" x14ac:dyDescent="0.25">
      <c r="B1150" s="16">
        <v>1</v>
      </c>
      <c r="C1150" s="7">
        <v>1</v>
      </c>
      <c r="D1150" s="8">
        <v>0</v>
      </c>
      <c r="E1150" s="8">
        <v>1</v>
      </c>
      <c r="F1150" s="8">
        <v>1</v>
      </c>
      <c r="G1150" s="8">
        <v>1</v>
      </c>
      <c r="H1150" s="8">
        <v>1</v>
      </c>
      <c r="I1150" s="8">
        <v>0</v>
      </c>
      <c r="J1150" s="8">
        <v>0</v>
      </c>
      <c r="K1150" s="9">
        <v>0</v>
      </c>
      <c r="L1150" s="10">
        <v>1</v>
      </c>
      <c r="M1150" s="6">
        <v>0</v>
      </c>
      <c r="N1150" s="37" t="e" cm="1">
        <f t="array" ref="N1150">IF(OR(ISNUMBER(FIND(Aux!$D$3:$D$9,_xlfn.TEXTJOIN(,,C1150:K1150)))),NA(),IF(AND(SUM(C1150:F1150,H1150:K1150)=0,G1150=1),0,INT((SUMPRODUCT(C1150:F1150,COLUMN($A$1:$D$1)-1)+SUMPRODUCT(H1150:K1150,COLUMN($E$1:$H$1)-1))*'Line Follower'!$C$3/SUM(C1150:F1150,H1150:K1150)-'Line Follower'!$C$5)))</f>
        <v>#N/A</v>
      </c>
      <c r="O1150" s="22" t="e">
        <v>#N/A</v>
      </c>
      <c r="P1150" s="4" t="e">
        <f t="shared" si="85"/>
        <v>#N/A</v>
      </c>
      <c r="Q1150" s="4" t="e">
        <f t="shared" si="86"/>
        <v>#N/A</v>
      </c>
      <c r="R1150" s="4" t="e">
        <f>IF(AND(B1150=1,N1150&gt;'Line Follower'!$C$7,SUM(C1150:K1150)&lt;4),1,0)</f>
        <v>#N/A</v>
      </c>
      <c r="S1150" s="4" t="e">
        <f>IF(AND(L1150=1,N1150&lt;'Line Follower'!$C$6,SUM(C1150:K1150)&lt;4),1,0)</f>
        <v>#N/A</v>
      </c>
      <c r="T1150" s="4" t="e">
        <f t="shared" si="87"/>
        <v>#N/A</v>
      </c>
      <c r="U1150" s="5" t="e">
        <f t="shared" si="88"/>
        <v>#N/A</v>
      </c>
      <c r="V1150" s="23" t="e">
        <f t="shared" si="89"/>
        <v>#N/A</v>
      </c>
    </row>
    <row r="1151" spans="2:22" x14ac:dyDescent="0.25">
      <c r="B1151" s="16">
        <v>0</v>
      </c>
      <c r="C1151" s="7">
        <v>0</v>
      </c>
      <c r="D1151" s="8">
        <v>1</v>
      </c>
      <c r="E1151" s="8">
        <v>1</v>
      </c>
      <c r="F1151" s="8">
        <v>1</v>
      </c>
      <c r="G1151" s="8">
        <v>1</v>
      </c>
      <c r="H1151" s="8">
        <v>1</v>
      </c>
      <c r="I1151" s="8">
        <v>0</v>
      </c>
      <c r="J1151" s="8">
        <v>0</v>
      </c>
      <c r="K1151" s="9">
        <v>0</v>
      </c>
      <c r="L1151" s="10">
        <v>1</v>
      </c>
      <c r="M1151" s="6">
        <v>0</v>
      </c>
      <c r="N1151" s="37" cm="1">
        <f t="array" ref="N1151">IF(OR(ISNUMBER(FIND(Aux!$D$3:$D$9,_xlfn.TEXTJOIN(,,C1151:K1151)))),NA(),IF(AND(SUM(C1151:F1151,H1151:K1151)=0,G1151=1),0,INT((SUMPRODUCT(C1151:F1151,COLUMN($A$1:$D$1)-1)+SUMPRODUCT(H1151:K1151,COLUMN($E$1:$H$1)-1))*'Line Follower'!$C$3/SUM(C1151:F1151,H1151:K1151)-'Line Follower'!$C$5)))</f>
        <v>-2</v>
      </c>
      <c r="O1151" s="22">
        <v>1</v>
      </c>
      <c r="P1151" s="4">
        <f t="shared" si="85"/>
        <v>0</v>
      </c>
      <c r="Q1151" s="4">
        <f t="shared" si="86"/>
        <v>1</v>
      </c>
      <c r="R1151" s="4">
        <f>IF(AND(B1151=1,N1151&gt;'Line Follower'!$C$7,SUM(C1151:K1151)&lt;4),1,0)</f>
        <v>0</v>
      </c>
      <c r="S1151" s="4">
        <f>IF(AND(L1151=1,N1151&lt;'Line Follower'!$C$6,SUM(C1151:K1151)&lt;4),1,0)</f>
        <v>0</v>
      </c>
      <c r="T1151" s="4">
        <f t="shared" si="87"/>
        <v>0</v>
      </c>
      <c r="U1151" s="5">
        <f t="shared" si="88"/>
        <v>0</v>
      </c>
      <c r="V1151" s="23">
        <f t="shared" si="89"/>
        <v>0</v>
      </c>
    </row>
    <row r="1152" spans="2:22" x14ac:dyDescent="0.25">
      <c r="B1152" s="16">
        <v>1</v>
      </c>
      <c r="C1152" s="7">
        <v>0</v>
      </c>
      <c r="D1152" s="8">
        <v>1</v>
      </c>
      <c r="E1152" s="8">
        <v>1</v>
      </c>
      <c r="F1152" s="8">
        <v>1</v>
      </c>
      <c r="G1152" s="8">
        <v>1</v>
      </c>
      <c r="H1152" s="8">
        <v>1</v>
      </c>
      <c r="I1152" s="8">
        <v>0</v>
      </c>
      <c r="J1152" s="8">
        <v>0</v>
      </c>
      <c r="K1152" s="9">
        <v>0</v>
      </c>
      <c r="L1152" s="10">
        <v>1</v>
      </c>
      <c r="M1152" s="6">
        <v>0</v>
      </c>
      <c r="N1152" s="37" cm="1">
        <f t="array" ref="N1152">IF(OR(ISNUMBER(FIND(Aux!$D$3:$D$9,_xlfn.TEXTJOIN(,,C1152:K1152)))),NA(),IF(AND(SUM(C1152:F1152,H1152:K1152)=0,G1152=1),0,INT((SUMPRODUCT(C1152:F1152,COLUMN($A$1:$D$1)-1)+SUMPRODUCT(H1152:K1152,COLUMN($E$1:$H$1)-1))*'Line Follower'!$C$3/SUM(C1152:F1152,H1152:K1152)-'Line Follower'!$C$5)))</f>
        <v>-2</v>
      </c>
      <c r="O1152" s="22">
        <v>1</v>
      </c>
      <c r="P1152" s="4">
        <f t="shared" si="85"/>
        <v>0</v>
      </c>
      <c r="Q1152" s="4">
        <f t="shared" si="86"/>
        <v>1</v>
      </c>
      <c r="R1152" s="4">
        <f>IF(AND(B1152=1,N1152&gt;'Line Follower'!$C$7,SUM(C1152:K1152)&lt;4),1,0)</f>
        <v>0</v>
      </c>
      <c r="S1152" s="4">
        <f>IF(AND(L1152=1,N1152&lt;'Line Follower'!$C$6,SUM(C1152:K1152)&lt;4),1,0)</f>
        <v>0</v>
      </c>
      <c r="T1152" s="4">
        <f t="shared" si="87"/>
        <v>0</v>
      </c>
      <c r="U1152" s="5">
        <f t="shared" si="88"/>
        <v>0</v>
      </c>
      <c r="V1152" s="23">
        <f t="shared" si="89"/>
        <v>0</v>
      </c>
    </row>
    <row r="1153" spans="2:22" x14ac:dyDescent="0.25">
      <c r="B1153" s="16">
        <v>0</v>
      </c>
      <c r="C1153" s="7">
        <v>1</v>
      </c>
      <c r="D1153" s="8">
        <v>1</v>
      </c>
      <c r="E1153" s="8">
        <v>1</v>
      </c>
      <c r="F1153" s="8">
        <v>1</v>
      </c>
      <c r="G1153" s="8">
        <v>1</v>
      </c>
      <c r="H1153" s="8">
        <v>1</v>
      </c>
      <c r="I1153" s="8">
        <v>0</v>
      </c>
      <c r="J1153" s="8">
        <v>0</v>
      </c>
      <c r="K1153" s="9">
        <v>0</v>
      </c>
      <c r="L1153" s="10">
        <v>1</v>
      </c>
      <c r="M1153" s="6">
        <v>0</v>
      </c>
      <c r="N1153" s="37" cm="1">
        <f t="array" ref="N1153">IF(OR(ISNUMBER(FIND(Aux!$D$3:$D$9,_xlfn.TEXTJOIN(,,C1153:K1153)))),NA(),IF(AND(SUM(C1153:F1153,H1153:K1153)=0,G1153=1),0,INT((SUMPRODUCT(C1153:F1153,COLUMN($A$1:$D$1)-1)+SUMPRODUCT(H1153:K1153,COLUMN($E$1:$H$1)-1))*'Line Follower'!$C$3/SUM(C1153:F1153,H1153:K1153)-'Line Follower'!$C$5)))</f>
        <v>-3</v>
      </c>
      <c r="O1153" s="22">
        <v>1</v>
      </c>
      <c r="P1153" s="4">
        <f t="shared" si="85"/>
        <v>0</v>
      </c>
      <c r="Q1153" s="4">
        <f t="shared" si="86"/>
        <v>1</v>
      </c>
      <c r="R1153" s="4">
        <f>IF(AND(B1153=1,N1153&gt;'Line Follower'!$C$7,SUM(C1153:K1153)&lt;4),1,0)</f>
        <v>0</v>
      </c>
      <c r="S1153" s="4">
        <f>IF(AND(L1153=1,N1153&lt;'Line Follower'!$C$6,SUM(C1153:K1153)&lt;4),1,0)</f>
        <v>0</v>
      </c>
      <c r="T1153" s="4">
        <f t="shared" si="87"/>
        <v>0</v>
      </c>
      <c r="U1153" s="5">
        <f t="shared" si="88"/>
        <v>0</v>
      </c>
      <c r="V1153" s="23">
        <f t="shared" si="89"/>
        <v>0</v>
      </c>
    </row>
    <row r="1154" spans="2:22" x14ac:dyDescent="0.25">
      <c r="B1154" s="16">
        <v>1</v>
      </c>
      <c r="C1154" s="7">
        <v>1</v>
      </c>
      <c r="D1154" s="8">
        <v>1</v>
      </c>
      <c r="E1154" s="8">
        <v>1</v>
      </c>
      <c r="F1154" s="8">
        <v>1</v>
      </c>
      <c r="G1154" s="8">
        <v>1</v>
      </c>
      <c r="H1154" s="8">
        <v>1</v>
      </c>
      <c r="I1154" s="8">
        <v>0</v>
      </c>
      <c r="J1154" s="8">
        <v>0</v>
      </c>
      <c r="K1154" s="9">
        <v>0</v>
      </c>
      <c r="L1154" s="10">
        <v>1</v>
      </c>
      <c r="M1154" s="6">
        <v>0</v>
      </c>
      <c r="N1154" s="37" cm="1">
        <f t="array" ref="N1154">IF(OR(ISNUMBER(FIND(Aux!$D$3:$D$9,_xlfn.TEXTJOIN(,,C1154:K1154)))),NA(),IF(AND(SUM(C1154:F1154,H1154:K1154)=0,G1154=1),0,INT((SUMPRODUCT(C1154:F1154,COLUMN($A$1:$D$1)-1)+SUMPRODUCT(H1154:K1154,COLUMN($E$1:$H$1)-1))*'Line Follower'!$C$3/SUM(C1154:F1154,H1154:K1154)-'Line Follower'!$C$5)))</f>
        <v>-3</v>
      </c>
      <c r="O1154" s="22">
        <v>1</v>
      </c>
      <c r="P1154" s="4">
        <f t="shared" si="85"/>
        <v>0</v>
      </c>
      <c r="Q1154" s="4">
        <f t="shared" si="86"/>
        <v>1</v>
      </c>
      <c r="R1154" s="4">
        <f>IF(AND(B1154=1,N1154&gt;'Line Follower'!$C$7,SUM(C1154:K1154)&lt;4),1,0)</f>
        <v>0</v>
      </c>
      <c r="S1154" s="4">
        <f>IF(AND(L1154=1,N1154&lt;'Line Follower'!$C$6,SUM(C1154:K1154)&lt;4),1,0)</f>
        <v>0</v>
      </c>
      <c r="T1154" s="4">
        <f t="shared" si="87"/>
        <v>0</v>
      </c>
      <c r="U1154" s="5">
        <f t="shared" si="88"/>
        <v>0</v>
      </c>
      <c r="V1154" s="23">
        <f t="shared" si="89"/>
        <v>0</v>
      </c>
    </row>
    <row r="1155" spans="2:22" x14ac:dyDescent="0.25">
      <c r="B1155" s="16">
        <v>0</v>
      </c>
      <c r="C1155" s="7">
        <v>0</v>
      </c>
      <c r="D1155" s="8">
        <v>0</v>
      </c>
      <c r="E1155" s="8">
        <v>0</v>
      </c>
      <c r="F1155" s="8">
        <v>0</v>
      </c>
      <c r="G1155" s="8">
        <v>0</v>
      </c>
      <c r="H1155" s="8">
        <v>0</v>
      </c>
      <c r="I1155" s="8">
        <v>1</v>
      </c>
      <c r="J1155" s="8">
        <v>0</v>
      </c>
      <c r="K1155" s="9">
        <v>0</v>
      </c>
      <c r="L1155" s="10">
        <v>1</v>
      </c>
      <c r="M1155" s="6">
        <v>0</v>
      </c>
      <c r="N1155" s="37" cm="1">
        <f t="array" ref="N1155">IF(OR(ISNUMBER(FIND(Aux!$D$3:$D$9,_xlfn.TEXTJOIN(,,C1155:K1155)))),NA(),IF(AND(SUM(C1155:F1155,H1155:K1155)=0,G1155=1),0,INT((SUMPRODUCT(C1155:F1155,COLUMN($A$1:$D$1)-1)+SUMPRODUCT(H1155:K1155,COLUMN($E$1:$H$1)-1))*'Line Follower'!$C$3/SUM(C1155:F1155,H1155:K1155)-'Line Follower'!$C$5)))</f>
        <v>3</v>
      </c>
      <c r="O1155" s="22">
        <v>1</v>
      </c>
      <c r="P1155" s="4">
        <f t="shared" ref="P1155:P1218" si="90">IF(AND(N1155=0,G1155=1,M1155=1),1,0)</f>
        <v>0</v>
      </c>
      <c r="Q1155" s="4">
        <f t="shared" ref="Q1155:Q1218" si="91">IF(ISERROR(N1155),N1155,IF(SUM(C1155:K1155)&gt;=4,1,0))</f>
        <v>0</v>
      </c>
      <c r="R1155" s="4">
        <f>IF(AND(B1155=1,N1155&gt;'Line Follower'!$C$7,SUM(C1155:K1155)&lt;4),1,0)</f>
        <v>0</v>
      </c>
      <c r="S1155" s="4">
        <f>IF(AND(L1155=1,N1155&lt;'Line Follower'!$C$6,SUM(C1155:K1155)&lt;4),1,0)</f>
        <v>1</v>
      </c>
      <c r="T1155" s="4">
        <f t="shared" si="87"/>
        <v>0</v>
      </c>
      <c r="U1155" s="5">
        <f t="shared" si="88"/>
        <v>0</v>
      </c>
      <c r="V1155" s="23">
        <f t="shared" si="89"/>
        <v>0</v>
      </c>
    </row>
    <row r="1156" spans="2:22" x14ac:dyDescent="0.25">
      <c r="B1156" s="16">
        <v>1</v>
      </c>
      <c r="C1156" s="7">
        <v>0</v>
      </c>
      <c r="D1156" s="8">
        <v>0</v>
      </c>
      <c r="E1156" s="8">
        <v>0</v>
      </c>
      <c r="F1156" s="8">
        <v>0</v>
      </c>
      <c r="G1156" s="8">
        <v>0</v>
      </c>
      <c r="H1156" s="8">
        <v>0</v>
      </c>
      <c r="I1156" s="8">
        <v>1</v>
      </c>
      <c r="J1156" s="8">
        <v>0</v>
      </c>
      <c r="K1156" s="9">
        <v>0</v>
      </c>
      <c r="L1156" s="10">
        <v>1</v>
      </c>
      <c r="M1156" s="6">
        <v>0</v>
      </c>
      <c r="N1156" s="37" cm="1">
        <f t="array" ref="N1156">IF(OR(ISNUMBER(FIND(Aux!$D$3:$D$9,_xlfn.TEXTJOIN(,,C1156:K1156)))),NA(),IF(AND(SUM(C1156:F1156,H1156:K1156)=0,G1156=1),0,INT((SUMPRODUCT(C1156:F1156,COLUMN($A$1:$D$1)-1)+SUMPRODUCT(H1156:K1156,COLUMN($E$1:$H$1)-1))*'Line Follower'!$C$3/SUM(C1156:F1156,H1156:K1156)-'Line Follower'!$C$5)))</f>
        <v>3</v>
      </c>
      <c r="O1156" s="22">
        <v>1</v>
      </c>
      <c r="P1156" s="4">
        <f t="shared" si="90"/>
        <v>0</v>
      </c>
      <c r="Q1156" s="4">
        <f t="shared" si="91"/>
        <v>0</v>
      </c>
      <c r="R1156" s="4">
        <f>IF(AND(B1156=1,N1156&gt;'Line Follower'!$C$7,SUM(C1156:K1156)&lt;4),1,0)</f>
        <v>1</v>
      </c>
      <c r="S1156" s="4">
        <f>IF(AND(L1156=1,N1156&lt;'Line Follower'!$C$6,SUM(C1156:K1156)&lt;4),1,0)</f>
        <v>1</v>
      </c>
      <c r="T1156" s="4">
        <f t="shared" ref="T1156:T1219" si="92">IF(ISNA(N1156),NA(),IF(SUM(C1156:L1156)=0,1,0))</f>
        <v>0</v>
      </c>
      <c r="U1156" s="5">
        <f t="shared" ref="U1156:U1219" si="93">IF(ISNA(N1156),NA(),IF(SUM(B1156:K1156)=0,1,0))</f>
        <v>0</v>
      </c>
      <c r="V1156" s="23">
        <f t="shared" ref="V1156:V1219" si="94">IF(ISNA(N1156),NA(),IF(SUM(B1156:L1156)=0,1,0))</f>
        <v>0</v>
      </c>
    </row>
    <row r="1157" spans="2:22" x14ac:dyDescent="0.25">
      <c r="B1157" s="16">
        <v>0</v>
      </c>
      <c r="C1157" s="7">
        <v>1</v>
      </c>
      <c r="D1157" s="8">
        <v>0</v>
      </c>
      <c r="E1157" s="8">
        <v>0</v>
      </c>
      <c r="F1157" s="8">
        <v>0</v>
      </c>
      <c r="G1157" s="8">
        <v>0</v>
      </c>
      <c r="H1157" s="8">
        <v>0</v>
      </c>
      <c r="I1157" s="8">
        <v>1</v>
      </c>
      <c r="J1157" s="8">
        <v>0</v>
      </c>
      <c r="K1157" s="9">
        <v>0</v>
      </c>
      <c r="L1157" s="10">
        <v>1</v>
      </c>
      <c r="M1157" s="6">
        <v>0</v>
      </c>
      <c r="N1157" s="37" t="e" cm="1">
        <f t="array" ref="N1157">IF(OR(ISNUMBER(FIND(Aux!$D$3:$D$9,_xlfn.TEXTJOIN(,,C1157:K1157)))),NA(),IF(AND(SUM(C1157:F1157,H1157:K1157)=0,G1157=1),0,INT((SUMPRODUCT(C1157:F1157,COLUMN($A$1:$D$1)-1)+SUMPRODUCT(H1157:K1157,COLUMN($E$1:$H$1)-1))*'Line Follower'!$C$3/SUM(C1157:F1157,H1157:K1157)-'Line Follower'!$C$5)))</f>
        <v>#N/A</v>
      </c>
      <c r="O1157" s="22" t="e">
        <v>#N/A</v>
      </c>
      <c r="P1157" s="4" t="e">
        <f t="shared" si="90"/>
        <v>#N/A</v>
      </c>
      <c r="Q1157" s="4" t="e">
        <f t="shared" si="91"/>
        <v>#N/A</v>
      </c>
      <c r="R1157" s="4" t="e">
        <f>IF(AND(B1157=1,N1157&gt;'Line Follower'!$C$7,SUM(C1157:K1157)&lt;4),1,0)</f>
        <v>#N/A</v>
      </c>
      <c r="S1157" s="4" t="e">
        <f>IF(AND(L1157=1,N1157&lt;'Line Follower'!$C$6,SUM(C1157:K1157)&lt;4),1,0)</f>
        <v>#N/A</v>
      </c>
      <c r="T1157" s="4" t="e">
        <f t="shared" si="92"/>
        <v>#N/A</v>
      </c>
      <c r="U1157" s="5" t="e">
        <f t="shared" si="93"/>
        <v>#N/A</v>
      </c>
      <c r="V1157" s="23" t="e">
        <f t="shared" si="94"/>
        <v>#N/A</v>
      </c>
    </row>
    <row r="1158" spans="2:22" x14ac:dyDescent="0.25">
      <c r="B1158" s="16">
        <v>1</v>
      </c>
      <c r="C1158" s="7">
        <v>1</v>
      </c>
      <c r="D1158" s="8">
        <v>0</v>
      </c>
      <c r="E1158" s="8">
        <v>0</v>
      </c>
      <c r="F1158" s="8">
        <v>0</v>
      </c>
      <c r="G1158" s="8">
        <v>0</v>
      </c>
      <c r="H1158" s="8">
        <v>0</v>
      </c>
      <c r="I1158" s="8">
        <v>1</v>
      </c>
      <c r="J1158" s="8">
        <v>0</v>
      </c>
      <c r="K1158" s="9">
        <v>0</v>
      </c>
      <c r="L1158" s="10">
        <v>1</v>
      </c>
      <c r="M1158" s="6">
        <v>0</v>
      </c>
      <c r="N1158" s="37" t="e" cm="1">
        <f t="array" ref="N1158">IF(OR(ISNUMBER(FIND(Aux!$D$3:$D$9,_xlfn.TEXTJOIN(,,C1158:K1158)))),NA(),IF(AND(SUM(C1158:F1158,H1158:K1158)=0,G1158=1),0,INT((SUMPRODUCT(C1158:F1158,COLUMN($A$1:$D$1)-1)+SUMPRODUCT(H1158:K1158,COLUMN($E$1:$H$1)-1))*'Line Follower'!$C$3/SUM(C1158:F1158,H1158:K1158)-'Line Follower'!$C$5)))</f>
        <v>#N/A</v>
      </c>
      <c r="O1158" s="22" t="e">
        <v>#N/A</v>
      </c>
      <c r="P1158" s="4" t="e">
        <f t="shared" si="90"/>
        <v>#N/A</v>
      </c>
      <c r="Q1158" s="4" t="e">
        <f t="shared" si="91"/>
        <v>#N/A</v>
      </c>
      <c r="R1158" s="4" t="e">
        <f>IF(AND(B1158=1,N1158&gt;'Line Follower'!$C$7,SUM(C1158:K1158)&lt;4),1,0)</f>
        <v>#N/A</v>
      </c>
      <c r="S1158" s="4" t="e">
        <f>IF(AND(L1158=1,N1158&lt;'Line Follower'!$C$6,SUM(C1158:K1158)&lt;4),1,0)</f>
        <v>#N/A</v>
      </c>
      <c r="T1158" s="4" t="e">
        <f t="shared" si="92"/>
        <v>#N/A</v>
      </c>
      <c r="U1158" s="5" t="e">
        <f t="shared" si="93"/>
        <v>#N/A</v>
      </c>
      <c r="V1158" s="23" t="e">
        <f t="shared" si="94"/>
        <v>#N/A</v>
      </c>
    </row>
    <row r="1159" spans="2:22" x14ac:dyDescent="0.25">
      <c r="B1159" s="16">
        <v>0</v>
      </c>
      <c r="C1159" s="7">
        <v>0</v>
      </c>
      <c r="D1159" s="8">
        <v>1</v>
      </c>
      <c r="E1159" s="8">
        <v>0</v>
      </c>
      <c r="F1159" s="8">
        <v>0</v>
      </c>
      <c r="G1159" s="8">
        <v>0</v>
      </c>
      <c r="H1159" s="8">
        <v>0</v>
      </c>
      <c r="I1159" s="8">
        <v>1</v>
      </c>
      <c r="J1159" s="8">
        <v>0</v>
      </c>
      <c r="K1159" s="9">
        <v>0</v>
      </c>
      <c r="L1159" s="10">
        <v>1</v>
      </c>
      <c r="M1159" s="6">
        <v>0</v>
      </c>
      <c r="N1159" s="37" t="e" cm="1">
        <f t="array" ref="N1159">IF(OR(ISNUMBER(FIND(Aux!$D$3:$D$9,_xlfn.TEXTJOIN(,,C1159:K1159)))),NA(),IF(AND(SUM(C1159:F1159,H1159:K1159)=0,G1159=1),0,INT((SUMPRODUCT(C1159:F1159,COLUMN($A$1:$D$1)-1)+SUMPRODUCT(H1159:K1159,COLUMN($E$1:$H$1)-1))*'Line Follower'!$C$3/SUM(C1159:F1159,H1159:K1159)-'Line Follower'!$C$5)))</f>
        <v>#N/A</v>
      </c>
      <c r="O1159" s="22" t="e">
        <v>#N/A</v>
      </c>
      <c r="P1159" s="4" t="e">
        <f t="shared" si="90"/>
        <v>#N/A</v>
      </c>
      <c r="Q1159" s="4" t="e">
        <f t="shared" si="91"/>
        <v>#N/A</v>
      </c>
      <c r="R1159" s="4" t="e">
        <f>IF(AND(B1159=1,N1159&gt;'Line Follower'!$C$7,SUM(C1159:K1159)&lt;4),1,0)</f>
        <v>#N/A</v>
      </c>
      <c r="S1159" s="4" t="e">
        <f>IF(AND(L1159=1,N1159&lt;'Line Follower'!$C$6,SUM(C1159:K1159)&lt;4),1,0)</f>
        <v>#N/A</v>
      </c>
      <c r="T1159" s="4" t="e">
        <f t="shared" si="92"/>
        <v>#N/A</v>
      </c>
      <c r="U1159" s="5" t="e">
        <f t="shared" si="93"/>
        <v>#N/A</v>
      </c>
      <c r="V1159" s="23" t="e">
        <f t="shared" si="94"/>
        <v>#N/A</v>
      </c>
    </row>
    <row r="1160" spans="2:22" x14ac:dyDescent="0.25">
      <c r="B1160" s="16">
        <v>1</v>
      </c>
      <c r="C1160" s="7">
        <v>0</v>
      </c>
      <c r="D1160" s="8">
        <v>1</v>
      </c>
      <c r="E1160" s="8">
        <v>0</v>
      </c>
      <c r="F1160" s="8">
        <v>0</v>
      </c>
      <c r="G1160" s="8">
        <v>0</v>
      </c>
      <c r="H1160" s="8">
        <v>0</v>
      </c>
      <c r="I1160" s="8">
        <v>1</v>
      </c>
      <c r="J1160" s="8">
        <v>0</v>
      </c>
      <c r="K1160" s="9">
        <v>0</v>
      </c>
      <c r="L1160" s="10">
        <v>1</v>
      </c>
      <c r="M1160" s="6">
        <v>0</v>
      </c>
      <c r="N1160" s="37" t="e" cm="1">
        <f t="array" ref="N1160">IF(OR(ISNUMBER(FIND(Aux!$D$3:$D$9,_xlfn.TEXTJOIN(,,C1160:K1160)))),NA(),IF(AND(SUM(C1160:F1160,H1160:K1160)=0,G1160=1),0,INT((SUMPRODUCT(C1160:F1160,COLUMN($A$1:$D$1)-1)+SUMPRODUCT(H1160:K1160,COLUMN($E$1:$H$1)-1))*'Line Follower'!$C$3/SUM(C1160:F1160,H1160:K1160)-'Line Follower'!$C$5)))</f>
        <v>#N/A</v>
      </c>
      <c r="O1160" s="22" t="e">
        <v>#N/A</v>
      </c>
      <c r="P1160" s="4" t="e">
        <f t="shared" si="90"/>
        <v>#N/A</v>
      </c>
      <c r="Q1160" s="4" t="e">
        <f t="shared" si="91"/>
        <v>#N/A</v>
      </c>
      <c r="R1160" s="4" t="e">
        <f>IF(AND(B1160=1,N1160&gt;'Line Follower'!$C$7,SUM(C1160:K1160)&lt;4),1,0)</f>
        <v>#N/A</v>
      </c>
      <c r="S1160" s="4" t="e">
        <f>IF(AND(L1160=1,N1160&lt;'Line Follower'!$C$6,SUM(C1160:K1160)&lt;4),1,0)</f>
        <v>#N/A</v>
      </c>
      <c r="T1160" s="4" t="e">
        <f t="shared" si="92"/>
        <v>#N/A</v>
      </c>
      <c r="U1160" s="5" t="e">
        <f t="shared" si="93"/>
        <v>#N/A</v>
      </c>
      <c r="V1160" s="23" t="e">
        <f t="shared" si="94"/>
        <v>#N/A</v>
      </c>
    </row>
    <row r="1161" spans="2:22" x14ac:dyDescent="0.25">
      <c r="B1161" s="16">
        <v>0</v>
      </c>
      <c r="C1161" s="7">
        <v>1</v>
      </c>
      <c r="D1161" s="8">
        <v>1</v>
      </c>
      <c r="E1161" s="8">
        <v>0</v>
      </c>
      <c r="F1161" s="8">
        <v>0</v>
      </c>
      <c r="G1161" s="8">
        <v>0</v>
      </c>
      <c r="H1161" s="8">
        <v>0</v>
      </c>
      <c r="I1161" s="8">
        <v>1</v>
      </c>
      <c r="J1161" s="8">
        <v>0</v>
      </c>
      <c r="K1161" s="9">
        <v>0</v>
      </c>
      <c r="L1161" s="10">
        <v>1</v>
      </c>
      <c r="M1161" s="6">
        <v>0</v>
      </c>
      <c r="N1161" s="37" t="e" cm="1">
        <f t="array" ref="N1161">IF(OR(ISNUMBER(FIND(Aux!$D$3:$D$9,_xlfn.TEXTJOIN(,,C1161:K1161)))),NA(),IF(AND(SUM(C1161:F1161,H1161:K1161)=0,G1161=1),0,INT((SUMPRODUCT(C1161:F1161,COLUMN($A$1:$D$1)-1)+SUMPRODUCT(H1161:K1161,COLUMN($E$1:$H$1)-1))*'Line Follower'!$C$3/SUM(C1161:F1161,H1161:K1161)-'Line Follower'!$C$5)))</f>
        <v>#N/A</v>
      </c>
      <c r="O1161" s="22" t="e">
        <v>#N/A</v>
      </c>
      <c r="P1161" s="4" t="e">
        <f t="shared" si="90"/>
        <v>#N/A</v>
      </c>
      <c r="Q1161" s="4" t="e">
        <f t="shared" si="91"/>
        <v>#N/A</v>
      </c>
      <c r="R1161" s="4" t="e">
        <f>IF(AND(B1161=1,N1161&gt;'Line Follower'!$C$7,SUM(C1161:K1161)&lt;4),1,0)</f>
        <v>#N/A</v>
      </c>
      <c r="S1161" s="4" t="e">
        <f>IF(AND(L1161=1,N1161&lt;'Line Follower'!$C$6,SUM(C1161:K1161)&lt;4),1,0)</f>
        <v>#N/A</v>
      </c>
      <c r="T1161" s="4" t="e">
        <f t="shared" si="92"/>
        <v>#N/A</v>
      </c>
      <c r="U1161" s="5" t="e">
        <f t="shared" si="93"/>
        <v>#N/A</v>
      </c>
      <c r="V1161" s="23" t="e">
        <f t="shared" si="94"/>
        <v>#N/A</v>
      </c>
    </row>
    <row r="1162" spans="2:22" x14ac:dyDescent="0.25">
      <c r="B1162" s="16">
        <v>1</v>
      </c>
      <c r="C1162" s="7">
        <v>1</v>
      </c>
      <c r="D1162" s="8">
        <v>1</v>
      </c>
      <c r="E1162" s="8">
        <v>0</v>
      </c>
      <c r="F1162" s="8">
        <v>0</v>
      </c>
      <c r="G1162" s="8">
        <v>0</v>
      </c>
      <c r="H1162" s="8">
        <v>0</v>
      </c>
      <c r="I1162" s="8">
        <v>1</v>
      </c>
      <c r="J1162" s="8">
        <v>0</v>
      </c>
      <c r="K1162" s="9">
        <v>0</v>
      </c>
      <c r="L1162" s="10">
        <v>1</v>
      </c>
      <c r="M1162" s="6">
        <v>0</v>
      </c>
      <c r="N1162" s="37" t="e" cm="1">
        <f t="array" ref="N1162">IF(OR(ISNUMBER(FIND(Aux!$D$3:$D$9,_xlfn.TEXTJOIN(,,C1162:K1162)))),NA(),IF(AND(SUM(C1162:F1162,H1162:K1162)=0,G1162=1),0,INT((SUMPRODUCT(C1162:F1162,COLUMN($A$1:$D$1)-1)+SUMPRODUCT(H1162:K1162,COLUMN($E$1:$H$1)-1))*'Line Follower'!$C$3/SUM(C1162:F1162,H1162:K1162)-'Line Follower'!$C$5)))</f>
        <v>#N/A</v>
      </c>
      <c r="O1162" s="22" t="e">
        <v>#N/A</v>
      </c>
      <c r="P1162" s="4" t="e">
        <f t="shared" si="90"/>
        <v>#N/A</v>
      </c>
      <c r="Q1162" s="4" t="e">
        <f t="shared" si="91"/>
        <v>#N/A</v>
      </c>
      <c r="R1162" s="4" t="e">
        <f>IF(AND(B1162=1,N1162&gt;'Line Follower'!$C$7,SUM(C1162:K1162)&lt;4),1,0)</f>
        <v>#N/A</v>
      </c>
      <c r="S1162" s="4" t="e">
        <f>IF(AND(L1162=1,N1162&lt;'Line Follower'!$C$6,SUM(C1162:K1162)&lt;4),1,0)</f>
        <v>#N/A</v>
      </c>
      <c r="T1162" s="4" t="e">
        <f t="shared" si="92"/>
        <v>#N/A</v>
      </c>
      <c r="U1162" s="5" t="e">
        <f t="shared" si="93"/>
        <v>#N/A</v>
      </c>
      <c r="V1162" s="23" t="e">
        <f t="shared" si="94"/>
        <v>#N/A</v>
      </c>
    </row>
    <row r="1163" spans="2:22" x14ac:dyDescent="0.25">
      <c r="B1163" s="16">
        <v>0</v>
      </c>
      <c r="C1163" s="7">
        <v>0</v>
      </c>
      <c r="D1163" s="8">
        <v>0</v>
      </c>
      <c r="E1163" s="8">
        <v>1</v>
      </c>
      <c r="F1163" s="8">
        <v>0</v>
      </c>
      <c r="G1163" s="8">
        <v>0</v>
      </c>
      <c r="H1163" s="8">
        <v>0</v>
      </c>
      <c r="I1163" s="8">
        <v>1</v>
      </c>
      <c r="J1163" s="8">
        <v>0</v>
      </c>
      <c r="K1163" s="9">
        <v>0</v>
      </c>
      <c r="L1163" s="10">
        <v>1</v>
      </c>
      <c r="M1163" s="6">
        <v>0</v>
      </c>
      <c r="N1163" s="37" t="e" cm="1">
        <f t="array" ref="N1163">IF(OR(ISNUMBER(FIND(Aux!$D$3:$D$9,_xlfn.TEXTJOIN(,,C1163:K1163)))),NA(),IF(AND(SUM(C1163:F1163,H1163:K1163)=0,G1163=1),0,INT((SUMPRODUCT(C1163:F1163,COLUMN($A$1:$D$1)-1)+SUMPRODUCT(H1163:K1163,COLUMN($E$1:$H$1)-1))*'Line Follower'!$C$3/SUM(C1163:F1163,H1163:K1163)-'Line Follower'!$C$5)))</f>
        <v>#N/A</v>
      </c>
      <c r="O1163" s="22" t="e">
        <v>#N/A</v>
      </c>
      <c r="P1163" s="4" t="e">
        <f t="shared" si="90"/>
        <v>#N/A</v>
      </c>
      <c r="Q1163" s="4" t="e">
        <f t="shared" si="91"/>
        <v>#N/A</v>
      </c>
      <c r="R1163" s="4" t="e">
        <f>IF(AND(B1163=1,N1163&gt;'Line Follower'!$C$7,SUM(C1163:K1163)&lt;4),1,0)</f>
        <v>#N/A</v>
      </c>
      <c r="S1163" s="4" t="e">
        <f>IF(AND(L1163=1,N1163&lt;'Line Follower'!$C$6,SUM(C1163:K1163)&lt;4),1,0)</f>
        <v>#N/A</v>
      </c>
      <c r="T1163" s="4" t="e">
        <f t="shared" si="92"/>
        <v>#N/A</v>
      </c>
      <c r="U1163" s="5" t="e">
        <f t="shared" si="93"/>
        <v>#N/A</v>
      </c>
      <c r="V1163" s="23" t="e">
        <f t="shared" si="94"/>
        <v>#N/A</v>
      </c>
    </row>
    <row r="1164" spans="2:22" x14ac:dyDescent="0.25">
      <c r="B1164" s="16">
        <v>1</v>
      </c>
      <c r="C1164" s="7">
        <v>0</v>
      </c>
      <c r="D1164" s="8">
        <v>0</v>
      </c>
      <c r="E1164" s="8">
        <v>1</v>
      </c>
      <c r="F1164" s="8">
        <v>0</v>
      </c>
      <c r="G1164" s="8">
        <v>0</v>
      </c>
      <c r="H1164" s="8">
        <v>0</v>
      </c>
      <c r="I1164" s="8">
        <v>1</v>
      </c>
      <c r="J1164" s="8">
        <v>0</v>
      </c>
      <c r="K1164" s="9">
        <v>0</v>
      </c>
      <c r="L1164" s="10">
        <v>1</v>
      </c>
      <c r="M1164" s="6">
        <v>0</v>
      </c>
      <c r="N1164" s="37" t="e" cm="1">
        <f t="array" ref="N1164">IF(OR(ISNUMBER(FIND(Aux!$D$3:$D$9,_xlfn.TEXTJOIN(,,C1164:K1164)))),NA(),IF(AND(SUM(C1164:F1164,H1164:K1164)=0,G1164=1),0,INT((SUMPRODUCT(C1164:F1164,COLUMN($A$1:$D$1)-1)+SUMPRODUCT(H1164:K1164,COLUMN($E$1:$H$1)-1))*'Line Follower'!$C$3/SUM(C1164:F1164,H1164:K1164)-'Line Follower'!$C$5)))</f>
        <v>#N/A</v>
      </c>
      <c r="O1164" s="22" t="e">
        <v>#N/A</v>
      </c>
      <c r="P1164" s="4" t="e">
        <f t="shared" si="90"/>
        <v>#N/A</v>
      </c>
      <c r="Q1164" s="4" t="e">
        <f t="shared" si="91"/>
        <v>#N/A</v>
      </c>
      <c r="R1164" s="4" t="e">
        <f>IF(AND(B1164=1,N1164&gt;'Line Follower'!$C$7,SUM(C1164:K1164)&lt;4),1,0)</f>
        <v>#N/A</v>
      </c>
      <c r="S1164" s="4" t="e">
        <f>IF(AND(L1164=1,N1164&lt;'Line Follower'!$C$6,SUM(C1164:K1164)&lt;4),1,0)</f>
        <v>#N/A</v>
      </c>
      <c r="T1164" s="4" t="e">
        <f t="shared" si="92"/>
        <v>#N/A</v>
      </c>
      <c r="U1164" s="5" t="e">
        <f t="shared" si="93"/>
        <v>#N/A</v>
      </c>
      <c r="V1164" s="23" t="e">
        <f t="shared" si="94"/>
        <v>#N/A</v>
      </c>
    </row>
    <row r="1165" spans="2:22" x14ac:dyDescent="0.25">
      <c r="B1165" s="16">
        <v>0</v>
      </c>
      <c r="C1165" s="7">
        <v>1</v>
      </c>
      <c r="D1165" s="8">
        <v>0</v>
      </c>
      <c r="E1165" s="8">
        <v>1</v>
      </c>
      <c r="F1165" s="8">
        <v>0</v>
      </c>
      <c r="G1165" s="8">
        <v>0</v>
      </c>
      <c r="H1165" s="8">
        <v>0</v>
      </c>
      <c r="I1165" s="8">
        <v>1</v>
      </c>
      <c r="J1165" s="8">
        <v>0</v>
      </c>
      <c r="K1165" s="9">
        <v>0</v>
      </c>
      <c r="L1165" s="10">
        <v>1</v>
      </c>
      <c r="M1165" s="6">
        <v>0</v>
      </c>
      <c r="N1165" s="37" t="e" cm="1">
        <f t="array" ref="N1165">IF(OR(ISNUMBER(FIND(Aux!$D$3:$D$9,_xlfn.TEXTJOIN(,,C1165:K1165)))),NA(),IF(AND(SUM(C1165:F1165,H1165:K1165)=0,G1165=1),0,INT((SUMPRODUCT(C1165:F1165,COLUMN($A$1:$D$1)-1)+SUMPRODUCT(H1165:K1165,COLUMN($E$1:$H$1)-1))*'Line Follower'!$C$3/SUM(C1165:F1165,H1165:K1165)-'Line Follower'!$C$5)))</f>
        <v>#N/A</v>
      </c>
      <c r="O1165" s="22" t="e">
        <v>#N/A</v>
      </c>
      <c r="P1165" s="4" t="e">
        <f t="shared" si="90"/>
        <v>#N/A</v>
      </c>
      <c r="Q1165" s="4" t="e">
        <f t="shared" si="91"/>
        <v>#N/A</v>
      </c>
      <c r="R1165" s="4" t="e">
        <f>IF(AND(B1165=1,N1165&gt;'Line Follower'!$C$7,SUM(C1165:K1165)&lt;4),1,0)</f>
        <v>#N/A</v>
      </c>
      <c r="S1165" s="4" t="e">
        <f>IF(AND(L1165=1,N1165&lt;'Line Follower'!$C$6,SUM(C1165:K1165)&lt;4),1,0)</f>
        <v>#N/A</v>
      </c>
      <c r="T1165" s="4" t="e">
        <f t="shared" si="92"/>
        <v>#N/A</v>
      </c>
      <c r="U1165" s="5" t="e">
        <f t="shared" si="93"/>
        <v>#N/A</v>
      </c>
      <c r="V1165" s="23" t="e">
        <f t="shared" si="94"/>
        <v>#N/A</v>
      </c>
    </row>
    <row r="1166" spans="2:22" x14ac:dyDescent="0.25">
      <c r="B1166" s="16">
        <v>1</v>
      </c>
      <c r="C1166" s="7">
        <v>1</v>
      </c>
      <c r="D1166" s="8">
        <v>0</v>
      </c>
      <c r="E1166" s="8">
        <v>1</v>
      </c>
      <c r="F1166" s="8">
        <v>0</v>
      </c>
      <c r="G1166" s="8">
        <v>0</v>
      </c>
      <c r="H1166" s="8">
        <v>0</v>
      </c>
      <c r="I1166" s="8">
        <v>1</v>
      </c>
      <c r="J1166" s="8">
        <v>0</v>
      </c>
      <c r="K1166" s="9">
        <v>0</v>
      </c>
      <c r="L1166" s="10">
        <v>1</v>
      </c>
      <c r="M1166" s="6">
        <v>0</v>
      </c>
      <c r="N1166" s="37" t="e" cm="1">
        <f t="array" ref="N1166">IF(OR(ISNUMBER(FIND(Aux!$D$3:$D$9,_xlfn.TEXTJOIN(,,C1166:K1166)))),NA(),IF(AND(SUM(C1166:F1166,H1166:K1166)=0,G1166=1),0,INT((SUMPRODUCT(C1166:F1166,COLUMN($A$1:$D$1)-1)+SUMPRODUCT(H1166:K1166,COLUMN($E$1:$H$1)-1))*'Line Follower'!$C$3/SUM(C1166:F1166,H1166:K1166)-'Line Follower'!$C$5)))</f>
        <v>#N/A</v>
      </c>
      <c r="O1166" s="22" t="e">
        <v>#N/A</v>
      </c>
      <c r="P1166" s="4" t="e">
        <f t="shared" si="90"/>
        <v>#N/A</v>
      </c>
      <c r="Q1166" s="4" t="e">
        <f t="shared" si="91"/>
        <v>#N/A</v>
      </c>
      <c r="R1166" s="4" t="e">
        <f>IF(AND(B1166=1,N1166&gt;'Line Follower'!$C$7,SUM(C1166:K1166)&lt;4),1,0)</f>
        <v>#N/A</v>
      </c>
      <c r="S1166" s="4" t="e">
        <f>IF(AND(L1166=1,N1166&lt;'Line Follower'!$C$6,SUM(C1166:K1166)&lt;4),1,0)</f>
        <v>#N/A</v>
      </c>
      <c r="T1166" s="4" t="e">
        <f t="shared" si="92"/>
        <v>#N/A</v>
      </c>
      <c r="U1166" s="5" t="e">
        <f t="shared" si="93"/>
        <v>#N/A</v>
      </c>
      <c r="V1166" s="23" t="e">
        <f t="shared" si="94"/>
        <v>#N/A</v>
      </c>
    </row>
    <row r="1167" spans="2:22" x14ac:dyDescent="0.25">
      <c r="B1167" s="16">
        <v>0</v>
      </c>
      <c r="C1167" s="7">
        <v>0</v>
      </c>
      <c r="D1167" s="8">
        <v>1</v>
      </c>
      <c r="E1167" s="8">
        <v>1</v>
      </c>
      <c r="F1167" s="8">
        <v>0</v>
      </c>
      <c r="G1167" s="8">
        <v>0</v>
      </c>
      <c r="H1167" s="8">
        <v>0</v>
      </c>
      <c r="I1167" s="8">
        <v>1</v>
      </c>
      <c r="J1167" s="8">
        <v>0</v>
      </c>
      <c r="K1167" s="9">
        <v>0</v>
      </c>
      <c r="L1167" s="10">
        <v>1</v>
      </c>
      <c r="M1167" s="6">
        <v>0</v>
      </c>
      <c r="N1167" s="37" t="e" cm="1">
        <f t="array" ref="N1167">IF(OR(ISNUMBER(FIND(Aux!$D$3:$D$9,_xlfn.TEXTJOIN(,,C1167:K1167)))),NA(),IF(AND(SUM(C1167:F1167,H1167:K1167)=0,G1167=1),0,INT((SUMPRODUCT(C1167:F1167,COLUMN($A$1:$D$1)-1)+SUMPRODUCT(H1167:K1167,COLUMN($E$1:$H$1)-1))*'Line Follower'!$C$3/SUM(C1167:F1167,H1167:K1167)-'Line Follower'!$C$5)))</f>
        <v>#N/A</v>
      </c>
      <c r="O1167" s="22" t="e">
        <v>#N/A</v>
      </c>
      <c r="P1167" s="4" t="e">
        <f t="shared" si="90"/>
        <v>#N/A</v>
      </c>
      <c r="Q1167" s="4" t="e">
        <f t="shared" si="91"/>
        <v>#N/A</v>
      </c>
      <c r="R1167" s="4" t="e">
        <f>IF(AND(B1167=1,N1167&gt;'Line Follower'!$C$7,SUM(C1167:K1167)&lt;4),1,0)</f>
        <v>#N/A</v>
      </c>
      <c r="S1167" s="4" t="e">
        <f>IF(AND(L1167=1,N1167&lt;'Line Follower'!$C$6,SUM(C1167:K1167)&lt;4),1,0)</f>
        <v>#N/A</v>
      </c>
      <c r="T1167" s="4" t="e">
        <f t="shared" si="92"/>
        <v>#N/A</v>
      </c>
      <c r="U1167" s="5" t="e">
        <f t="shared" si="93"/>
        <v>#N/A</v>
      </c>
      <c r="V1167" s="23" t="e">
        <f t="shared" si="94"/>
        <v>#N/A</v>
      </c>
    </row>
    <row r="1168" spans="2:22" x14ac:dyDescent="0.25">
      <c r="B1168" s="16">
        <v>1</v>
      </c>
      <c r="C1168" s="7">
        <v>0</v>
      </c>
      <c r="D1168" s="8">
        <v>1</v>
      </c>
      <c r="E1168" s="8">
        <v>1</v>
      </c>
      <c r="F1168" s="8">
        <v>0</v>
      </c>
      <c r="G1168" s="8">
        <v>0</v>
      </c>
      <c r="H1168" s="8">
        <v>0</v>
      </c>
      <c r="I1168" s="8">
        <v>1</v>
      </c>
      <c r="J1168" s="8">
        <v>0</v>
      </c>
      <c r="K1168" s="9">
        <v>0</v>
      </c>
      <c r="L1168" s="10">
        <v>1</v>
      </c>
      <c r="M1168" s="6">
        <v>0</v>
      </c>
      <c r="N1168" s="37" t="e" cm="1">
        <f t="array" ref="N1168">IF(OR(ISNUMBER(FIND(Aux!$D$3:$D$9,_xlfn.TEXTJOIN(,,C1168:K1168)))),NA(),IF(AND(SUM(C1168:F1168,H1168:K1168)=0,G1168=1),0,INT((SUMPRODUCT(C1168:F1168,COLUMN($A$1:$D$1)-1)+SUMPRODUCT(H1168:K1168,COLUMN($E$1:$H$1)-1))*'Line Follower'!$C$3/SUM(C1168:F1168,H1168:K1168)-'Line Follower'!$C$5)))</f>
        <v>#N/A</v>
      </c>
      <c r="O1168" s="22" t="e">
        <v>#N/A</v>
      </c>
      <c r="P1168" s="4" t="e">
        <f t="shared" si="90"/>
        <v>#N/A</v>
      </c>
      <c r="Q1168" s="4" t="e">
        <f t="shared" si="91"/>
        <v>#N/A</v>
      </c>
      <c r="R1168" s="4" t="e">
        <f>IF(AND(B1168=1,N1168&gt;'Line Follower'!$C$7,SUM(C1168:K1168)&lt;4),1,0)</f>
        <v>#N/A</v>
      </c>
      <c r="S1168" s="4" t="e">
        <f>IF(AND(L1168=1,N1168&lt;'Line Follower'!$C$6,SUM(C1168:K1168)&lt;4),1,0)</f>
        <v>#N/A</v>
      </c>
      <c r="T1168" s="4" t="e">
        <f t="shared" si="92"/>
        <v>#N/A</v>
      </c>
      <c r="U1168" s="5" t="e">
        <f t="shared" si="93"/>
        <v>#N/A</v>
      </c>
      <c r="V1168" s="23" t="e">
        <f t="shared" si="94"/>
        <v>#N/A</v>
      </c>
    </row>
    <row r="1169" spans="2:22" x14ac:dyDescent="0.25">
      <c r="B1169" s="16">
        <v>0</v>
      </c>
      <c r="C1169" s="7">
        <v>1</v>
      </c>
      <c r="D1169" s="8">
        <v>1</v>
      </c>
      <c r="E1169" s="8">
        <v>1</v>
      </c>
      <c r="F1169" s="8">
        <v>0</v>
      </c>
      <c r="G1169" s="8">
        <v>0</v>
      </c>
      <c r="H1169" s="8">
        <v>0</v>
      </c>
      <c r="I1169" s="8">
        <v>1</v>
      </c>
      <c r="J1169" s="8">
        <v>0</v>
      </c>
      <c r="K1169" s="9">
        <v>0</v>
      </c>
      <c r="L1169" s="10">
        <v>1</v>
      </c>
      <c r="M1169" s="6">
        <v>0</v>
      </c>
      <c r="N1169" s="37" t="e" cm="1">
        <f t="array" ref="N1169">IF(OR(ISNUMBER(FIND(Aux!$D$3:$D$9,_xlfn.TEXTJOIN(,,C1169:K1169)))),NA(),IF(AND(SUM(C1169:F1169,H1169:K1169)=0,G1169=1),0,INT((SUMPRODUCT(C1169:F1169,COLUMN($A$1:$D$1)-1)+SUMPRODUCT(H1169:K1169,COLUMN($E$1:$H$1)-1))*'Line Follower'!$C$3/SUM(C1169:F1169,H1169:K1169)-'Line Follower'!$C$5)))</f>
        <v>#N/A</v>
      </c>
      <c r="O1169" s="22" t="e">
        <v>#N/A</v>
      </c>
      <c r="P1169" s="4" t="e">
        <f t="shared" si="90"/>
        <v>#N/A</v>
      </c>
      <c r="Q1169" s="4" t="e">
        <f t="shared" si="91"/>
        <v>#N/A</v>
      </c>
      <c r="R1169" s="4" t="e">
        <f>IF(AND(B1169=1,N1169&gt;'Line Follower'!$C$7,SUM(C1169:K1169)&lt;4),1,0)</f>
        <v>#N/A</v>
      </c>
      <c r="S1169" s="4" t="e">
        <f>IF(AND(L1169=1,N1169&lt;'Line Follower'!$C$6,SUM(C1169:K1169)&lt;4),1,0)</f>
        <v>#N/A</v>
      </c>
      <c r="T1169" s="4" t="e">
        <f t="shared" si="92"/>
        <v>#N/A</v>
      </c>
      <c r="U1169" s="5" t="e">
        <f t="shared" si="93"/>
        <v>#N/A</v>
      </c>
      <c r="V1169" s="23" t="e">
        <f t="shared" si="94"/>
        <v>#N/A</v>
      </c>
    </row>
    <row r="1170" spans="2:22" x14ac:dyDescent="0.25">
      <c r="B1170" s="16">
        <v>1</v>
      </c>
      <c r="C1170" s="7">
        <v>1</v>
      </c>
      <c r="D1170" s="8">
        <v>1</v>
      </c>
      <c r="E1170" s="8">
        <v>1</v>
      </c>
      <c r="F1170" s="8">
        <v>0</v>
      </c>
      <c r="G1170" s="8">
        <v>0</v>
      </c>
      <c r="H1170" s="8">
        <v>0</v>
      </c>
      <c r="I1170" s="8">
        <v>1</v>
      </c>
      <c r="J1170" s="8">
        <v>0</v>
      </c>
      <c r="K1170" s="9">
        <v>0</v>
      </c>
      <c r="L1170" s="10">
        <v>1</v>
      </c>
      <c r="M1170" s="6">
        <v>0</v>
      </c>
      <c r="N1170" s="37" t="e" cm="1">
        <f t="array" ref="N1170">IF(OR(ISNUMBER(FIND(Aux!$D$3:$D$9,_xlfn.TEXTJOIN(,,C1170:K1170)))),NA(),IF(AND(SUM(C1170:F1170,H1170:K1170)=0,G1170=1),0,INT((SUMPRODUCT(C1170:F1170,COLUMN($A$1:$D$1)-1)+SUMPRODUCT(H1170:K1170,COLUMN($E$1:$H$1)-1))*'Line Follower'!$C$3/SUM(C1170:F1170,H1170:K1170)-'Line Follower'!$C$5)))</f>
        <v>#N/A</v>
      </c>
      <c r="O1170" s="22" t="e">
        <v>#N/A</v>
      </c>
      <c r="P1170" s="4" t="e">
        <f t="shared" si="90"/>
        <v>#N/A</v>
      </c>
      <c r="Q1170" s="4" t="e">
        <f t="shared" si="91"/>
        <v>#N/A</v>
      </c>
      <c r="R1170" s="4" t="e">
        <f>IF(AND(B1170=1,N1170&gt;'Line Follower'!$C$7,SUM(C1170:K1170)&lt;4),1,0)</f>
        <v>#N/A</v>
      </c>
      <c r="S1170" s="4" t="e">
        <f>IF(AND(L1170=1,N1170&lt;'Line Follower'!$C$6,SUM(C1170:K1170)&lt;4),1,0)</f>
        <v>#N/A</v>
      </c>
      <c r="T1170" s="4" t="e">
        <f t="shared" si="92"/>
        <v>#N/A</v>
      </c>
      <c r="U1170" s="5" t="e">
        <f t="shared" si="93"/>
        <v>#N/A</v>
      </c>
      <c r="V1170" s="23" t="e">
        <f t="shared" si="94"/>
        <v>#N/A</v>
      </c>
    </row>
    <row r="1171" spans="2:22" x14ac:dyDescent="0.25">
      <c r="B1171" s="16">
        <v>0</v>
      </c>
      <c r="C1171" s="7">
        <v>0</v>
      </c>
      <c r="D1171" s="8">
        <v>0</v>
      </c>
      <c r="E1171" s="8">
        <v>0</v>
      </c>
      <c r="F1171" s="8">
        <v>1</v>
      </c>
      <c r="G1171" s="8">
        <v>0</v>
      </c>
      <c r="H1171" s="8">
        <v>0</v>
      </c>
      <c r="I1171" s="8">
        <v>1</v>
      </c>
      <c r="J1171" s="8">
        <v>0</v>
      </c>
      <c r="K1171" s="9">
        <v>0</v>
      </c>
      <c r="L1171" s="10">
        <v>1</v>
      </c>
      <c r="M1171" s="6">
        <v>0</v>
      </c>
      <c r="N1171" s="37" t="e" cm="1">
        <f t="array" ref="N1171">IF(OR(ISNUMBER(FIND(Aux!$D$3:$D$9,_xlfn.TEXTJOIN(,,C1171:K1171)))),NA(),IF(AND(SUM(C1171:F1171,H1171:K1171)=0,G1171=1),0,INT((SUMPRODUCT(C1171:F1171,COLUMN($A$1:$D$1)-1)+SUMPRODUCT(H1171:K1171,COLUMN($E$1:$H$1)-1))*'Line Follower'!$C$3/SUM(C1171:F1171,H1171:K1171)-'Line Follower'!$C$5)))</f>
        <v>#N/A</v>
      </c>
      <c r="O1171" s="22" t="e">
        <v>#N/A</v>
      </c>
      <c r="P1171" s="4" t="e">
        <f t="shared" si="90"/>
        <v>#N/A</v>
      </c>
      <c r="Q1171" s="4" t="e">
        <f t="shared" si="91"/>
        <v>#N/A</v>
      </c>
      <c r="R1171" s="4" t="e">
        <f>IF(AND(B1171=1,N1171&gt;'Line Follower'!$C$7,SUM(C1171:K1171)&lt;4),1,0)</f>
        <v>#N/A</v>
      </c>
      <c r="S1171" s="4" t="e">
        <f>IF(AND(L1171=1,N1171&lt;'Line Follower'!$C$6,SUM(C1171:K1171)&lt;4),1,0)</f>
        <v>#N/A</v>
      </c>
      <c r="T1171" s="4" t="e">
        <f t="shared" si="92"/>
        <v>#N/A</v>
      </c>
      <c r="U1171" s="5" t="e">
        <f t="shared" si="93"/>
        <v>#N/A</v>
      </c>
      <c r="V1171" s="23" t="e">
        <f t="shared" si="94"/>
        <v>#N/A</v>
      </c>
    </row>
    <row r="1172" spans="2:22" x14ac:dyDescent="0.25">
      <c r="B1172" s="16">
        <v>1</v>
      </c>
      <c r="C1172" s="7">
        <v>0</v>
      </c>
      <c r="D1172" s="8">
        <v>0</v>
      </c>
      <c r="E1172" s="8">
        <v>0</v>
      </c>
      <c r="F1172" s="8">
        <v>1</v>
      </c>
      <c r="G1172" s="8">
        <v>0</v>
      </c>
      <c r="H1172" s="8">
        <v>0</v>
      </c>
      <c r="I1172" s="8">
        <v>1</v>
      </c>
      <c r="J1172" s="8">
        <v>0</v>
      </c>
      <c r="K1172" s="9">
        <v>0</v>
      </c>
      <c r="L1172" s="10">
        <v>1</v>
      </c>
      <c r="M1172" s="6">
        <v>0</v>
      </c>
      <c r="N1172" s="37" t="e" cm="1">
        <f t="array" ref="N1172">IF(OR(ISNUMBER(FIND(Aux!$D$3:$D$9,_xlfn.TEXTJOIN(,,C1172:K1172)))),NA(),IF(AND(SUM(C1172:F1172,H1172:K1172)=0,G1172=1),0,INT((SUMPRODUCT(C1172:F1172,COLUMN($A$1:$D$1)-1)+SUMPRODUCT(H1172:K1172,COLUMN($E$1:$H$1)-1))*'Line Follower'!$C$3/SUM(C1172:F1172,H1172:K1172)-'Line Follower'!$C$5)))</f>
        <v>#N/A</v>
      </c>
      <c r="O1172" s="22" t="e">
        <v>#N/A</v>
      </c>
      <c r="P1172" s="4" t="e">
        <f t="shared" si="90"/>
        <v>#N/A</v>
      </c>
      <c r="Q1172" s="4" t="e">
        <f t="shared" si="91"/>
        <v>#N/A</v>
      </c>
      <c r="R1172" s="4" t="e">
        <f>IF(AND(B1172=1,N1172&gt;'Line Follower'!$C$7,SUM(C1172:K1172)&lt;4),1,0)</f>
        <v>#N/A</v>
      </c>
      <c r="S1172" s="4" t="e">
        <f>IF(AND(L1172=1,N1172&lt;'Line Follower'!$C$6,SUM(C1172:K1172)&lt;4),1,0)</f>
        <v>#N/A</v>
      </c>
      <c r="T1172" s="4" t="e">
        <f t="shared" si="92"/>
        <v>#N/A</v>
      </c>
      <c r="U1172" s="5" t="e">
        <f t="shared" si="93"/>
        <v>#N/A</v>
      </c>
      <c r="V1172" s="23" t="e">
        <f t="shared" si="94"/>
        <v>#N/A</v>
      </c>
    </row>
    <row r="1173" spans="2:22" x14ac:dyDescent="0.25">
      <c r="B1173" s="16">
        <v>0</v>
      </c>
      <c r="C1173" s="7">
        <v>1</v>
      </c>
      <c r="D1173" s="8">
        <v>0</v>
      </c>
      <c r="E1173" s="8">
        <v>0</v>
      </c>
      <c r="F1173" s="8">
        <v>1</v>
      </c>
      <c r="G1173" s="8">
        <v>0</v>
      </c>
      <c r="H1173" s="8">
        <v>0</v>
      </c>
      <c r="I1173" s="8">
        <v>1</v>
      </c>
      <c r="J1173" s="8">
        <v>0</v>
      </c>
      <c r="K1173" s="9">
        <v>0</v>
      </c>
      <c r="L1173" s="10">
        <v>1</v>
      </c>
      <c r="M1173" s="6">
        <v>0</v>
      </c>
      <c r="N1173" s="37" t="e" cm="1">
        <f t="array" ref="N1173">IF(OR(ISNUMBER(FIND(Aux!$D$3:$D$9,_xlfn.TEXTJOIN(,,C1173:K1173)))),NA(),IF(AND(SUM(C1173:F1173,H1173:K1173)=0,G1173=1),0,INT((SUMPRODUCT(C1173:F1173,COLUMN($A$1:$D$1)-1)+SUMPRODUCT(H1173:K1173,COLUMN($E$1:$H$1)-1))*'Line Follower'!$C$3/SUM(C1173:F1173,H1173:K1173)-'Line Follower'!$C$5)))</f>
        <v>#N/A</v>
      </c>
      <c r="O1173" s="22" t="e">
        <v>#N/A</v>
      </c>
      <c r="P1173" s="4" t="e">
        <f t="shared" si="90"/>
        <v>#N/A</v>
      </c>
      <c r="Q1173" s="4" t="e">
        <f t="shared" si="91"/>
        <v>#N/A</v>
      </c>
      <c r="R1173" s="4" t="e">
        <f>IF(AND(B1173=1,N1173&gt;'Line Follower'!$C$7,SUM(C1173:K1173)&lt;4),1,0)</f>
        <v>#N/A</v>
      </c>
      <c r="S1173" s="4" t="e">
        <f>IF(AND(L1173=1,N1173&lt;'Line Follower'!$C$6,SUM(C1173:K1173)&lt;4),1,0)</f>
        <v>#N/A</v>
      </c>
      <c r="T1173" s="4" t="e">
        <f t="shared" si="92"/>
        <v>#N/A</v>
      </c>
      <c r="U1173" s="5" t="e">
        <f t="shared" si="93"/>
        <v>#N/A</v>
      </c>
      <c r="V1173" s="23" t="e">
        <f t="shared" si="94"/>
        <v>#N/A</v>
      </c>
    </row>
    <row r="1174" spans="2:22" x14ac:dyDescent="0.25">
      <c r="B1174" s="16">
        <v>1</v>
      </c>
      <c r="C1174" s="7">
        <v>1</v>
      </c>
      <c r="D1174" s="8">
        <v>0</v>
      </c>
      <c r="E1174" s="8">
        <v>0</v>
      </c>
      <c r="F1174" s="8">
        <v>1</v>
      </c>
      <c r="G1174" s="8">
        <v>0</v>
      </c>
      <c r="H1174" s="8">
        <v>0</v>
      </c>
      <c r="I1174" s="8">
        <v>1</v>
      </c>
      <c r="J1174" s="8">
        <v>0</v>
      </c>
      <c r="K1174" s="9">
        <v>0</v>
      </c>
      <c r="L1174" s="10">
        <v>1</v>
      </c>
      <c r="M1174" s="6">
        <v>0</v>
      </c>
      <c r="N1174" s="37" t="e" cm="1">
        <f t="array" ref="N1174">IF(OR(ISNUMBER(FIND(Aux!$D$3:$D$9,_xlfn.TEXTJOIN(,,C1174:K1174)))),NA(),IF(AND(SUM(C1174:F1174,H1174:K1174)=0,G1174=1),0,INT((SUMPRODUCT(C1174:F1174,COLUMN($A$1:$D$1)-1)+SUMPRODUCT(H1174:K1174,COLUMN($E$1:$H$1)-1))*'Line Follower'!$C$3/SUM(C1174:F1174,H1174:K1174)-'Line Follower'!$C$5)))</f>
        <v>#N/A</v>
      </c>
      <c r="O1174" s="22" t="e">
        <v>#N/A</v>
      </c>
      <c r="P1174" s="4" t="e">
        <f t="shared" si="90"/>
        <v>#N/A</v>
      </c>
      <c r="Q1174" s="4" t="e">
        <f t="shared" si="91"/>
        <v>#N/A</v>
      </c>
      <c r="R1174" s="4" t="e">
        <f>IF(AND(B1174=1,N1174&gt;'Line Follower'!$C$7,SUM(C1174:K1174)&lt;4),1,0)</f>
        <v>#N/A</v>
      </c>
      <c r="S1174" s="4" t="e">
        <f>IF(AND(L1174=1,N1174&lt;'Line Follower'!$C$6,SUM(C1174:K1174)&lt;4),1,0)</f>
        <v>#N/A</v>
      </c>
      <c r="T1174" s="4" t="e">
        <f t="shared" si="92"/>
        <v>#N/A</v>
      </c>
      <c r="U1174" s="5" t="e">
        <f t="shared" si="93"/>
        <v>#N/A</v>
      </c>
      <c r="V1174" s="23" t="e">
        <f t="shared" si="94"/>
        <v>#N/A</v>
      </c>
    </row>
    <row r="1175" spans="2:22" x14ac:dyDescent="0.25">
      <c r="B1175" s="16">
        <v>0</v>
      </c>
      <c r="C1175" s="7">
        <v>0</v>
      </c>
      <c r="D1175" s="8">
        <v>1</v>
      </c>
      <c r="E1175" s="8">
        <v>0</v>
      </c>
      <c r="F1175" s="8">
        <v>1</v>
      </c>
      <c r="G1175" s="8">
        <v>0</v>
      </c>
      <c r="H1175" s="8">
        <v>0</v>
      </c>
      <c r="I1175" s="8">
        <v>1</v>
      </c>
      <c r="J1175" s="8">
        <v>0</v>
      </c>
      <c r="K1175" s="9">
        <v>0</v>
      </c>
      <c r="L1175" s="10">
        <v>1</v>
      </c>
      <c r="M1175" s="6">
        <v>0</v>
      </c>
      <c r="N1175" s="37" t="e" cm="1">
        <f t="array" ref="N1175">IF(OR(ISNUMBER(FIND(Aux!$D$3:$D$9,_xlfn.TEXTJOIN(,,C1175:K1175)))),NA(),IF(AND(SUM(C1175:F1175,H1175:K1175)=0,G1175=1),0,INT((SUMPRODUCT(C1175:F1175,COLUMN($A$1:$D$1)-1)+SUMPRODUCT(H1175:K1175,COLUMN($E$1:$H$1)-1))*'Line Follower'!$C$3/SUM(C1175:F1175,H1175:K1175)-'Line Follower'!$C$5)))</f>
        <v>#N/A</v>
      </c>
      <c r="O1175" s="22" t="e">
        <v>#N/A</v>
      </c>
      <c r="P1175" s="4" t="e">
        <f t="shared" si="90"/>
        <v>#N/A</v>
      </c>
      <c r="Q1175" s="4" t="e">
        <f t="shared" si="91"/>
        <v>#N/A</v>
      </c>
      <c r="R1175" s="4" t="e">
        <f>IF(AND(B1175=1,N1175&gt;'Line Follower'!$C$7,SUM(C1175:K1175)&lt;4),1,0)</f>
        <v>#N/A</v>
      </c>
      <c r="S1175" s="4" t="e">
        <f>IF(AND(L1175=1,N1175&lt;'Line Follower'!$C$6,SUM(C1175:K1175)&lt;4),1,0)</f>
        <v>#N/A</v>
      </c>
      <c r="T1175" s="4" t="e">
        <f t="shared" si="92"/>
        <v>#N/A</v>
      </c>
      <c r="U1175" s="5" t="e">
        <f t="shared" si="93"/>
        <v>#N/A</v>
      </c>
      <c r="V1175" s="23" t="e">
        <f t="shared" si="94"/>
        <v>#N/A</v>
      </c>
    </row>
    <row r="1176" spans="2:22" x14ac:dyDescent="0.25">
      <c r="B1176" s="16">
        <v>1</v>
      </c>
      <c r="C1176" s="7">
        <v>0</v>
      </c>
      <c r="D1176" s="8">
        <v>1</v>
      </c>
      <c r="E1176" s="8">
        <v>0</v>
      </c>
      <c r="F1176" s="8">
        <v>1</v>
      </c>
      <c r="G1176" s="8">
        <v>0</v>
      </c>
      <c r="H1176" s="8">
        <v>0</v>
      </c>
      <c r="I1176" s="8">
        <v>1</v>
      </c>
      <c r="J1176" s="8">
        <v>0</v>
      </c>
      <c r="K1176" s="9">
        <v>0</v>
      </c>
      <c r="L1176" s="10">
        <v>1</v>
      </c>
      <c r="M1176" s="6">
        <v>0</v>
      </c>
      <c r="N1176" s="37" t="e" cm="1">
        <f t="array" ref="N1176">IF(OR(ISNUMBER(FIND(Aux!$D$3:$D$9,_xlfn.TEXTJOIN(,,C1176:K1176)))),NA(),IF(AND(SUM(C1176:F1176,H1176:K1176)=0,G1176=1),0,INT((SUMPRODUCT(C1176:F1176,COLUMN($A$1:$D$1)-1)+SUMPRODUCT(H1176:K1176,COLUMN($E$1:$H$1)-1))*'Line Follower'!$C$3/SUM(C1176:F1176,H1176:K1176)-'Line Follower'!$C$5)))</f>
        <v>#N/A</v>
      </c>
      <c r="O1176" s="22" t="e">
        <v>#N/A</v>
      </c>
      <c r="P1176" s="4" t="e">
        <f t="shared" si="90"/>
        <v>#N/A</v>
      </c>
      <c r="Q1176" s="4" t="e">
        <f t="shared" si="91"/>
        <v>#N/A</v>
      </c>
      <c r="R1176" s="4" t="e">
        <f>IF(AND(B1176=1,N1176&gt;'Line Follower'!$C$7,SUM(C1176:K1176)&lt;4),1,0)</f>
        <v>#N/A</v>
      </c>
      <c r="S1176" s="4" t="e">
        <f>IF(AND(L1176=1,N1176&lt;'Line Follower'!$C$6,SUM(C1176:K1176)&lt;4),1,0)</f>
        <v>#N/A</v>
      </c>
      <c r="T1176" s="4" t="e">
        <f t="shared" si="92"/>
        <v>#N/A</v>
      </c>
      <c r="U1176" s="5" t="e">
        <f t="shared" si="93"/>
        <v>#N/A</v>
      </c>
      <c r="V1176" s="23" t="e">
        <f t="shared" si="94"/>
        <v>#N/A</v>
      </c>
    </row>
    <row r="1177" spans="2:22" x14ac:dyDescent="0.25">
      <c r="B1177" s="16">
        <v>0</v>
      </c>
      <c r="C1177" s="7">
        <v>1</v>
      </c>
      <c r="D1177" s="8">
        <v>1</v>
      </c>
      <c r="E1177" s="8">
        <v>0</v>
      </c>
      <c r="F1177" s="8">
        <v>1</v>
      </c>
      <c r="G1177" s="8">
        <v>0</v>
      </c>
      <c r="H1177" s="8">
        <v>0</v>
      </c>
      <c r="I1177" s="8">
        <v>1</v>
      </c>
      <c r="J1177" s="8">
        <v>0</v>
      </c>
      <c r="K1177" s="9">
        <v>0</v>
      </c>
      <c r="L1177" s="10">
        <v>1</v>
      </c>
      <c r="M1177" s="6">
        <v>0</v>
      </c>
      <c r="N1177" s="37" t="e" cm="1">
        <f t="array" ref="N1177">IF(OR(ISNUMBER(FIND(Aux!$D$3:$D$9,_xlfn.TEXTJOIN(,,C1177:K1177)))),NA(),IF(AND(SUM(C1177:F1177,H1177:K1177)=0,G1177=1),0,INT((SUMPRODUCT(C1177:F1177,COLUMN($A$1:$D$1)-1)+SUMPRODUCT(H1177:K1177,COLUMN($E$1:$H$1)-1))*'Line Follower'!$C$3/SUM(C1177:F1177,H1177:K1177)-'Line Follower'!$C$5)))</f>
        <v>#N/A</v>
      </c>
      <c r="O1177" s="22" t="e">
        <v>#N/A</v>
      </c>
      <c r="P1177" s="4" t="e">
        <f t="shared" si="90"/>
        <v>#N/A</v>
      </c>
      <c r="Q1177" s="4" t="e">
        <f t="shared" si="91"/>
        <v>#N/A</v>
      </c>
      <c r="R1177" s="4" t="e">
        <f>IF(AND(B1177=1,N1177&gt;'Line Follower'!$C$7,SUM(C1177:K1177)&lt;4),1,0)</f>
        <v>#N/A</v>
      </c>
      <c r="S1177" s="4" t="e">
        <f>IF(AND(L1177=1,N1177&lt;'Line Follower'!$C$6,SUM(C1177:K1177)&lt;4),1,0)</f>
        <v>#N/A</v>
      </c>
      <c r="T1177" s="4" t="e">
        <f t="shared" si="92"/>
        <v>#N/A</v>
      </c>
      <c r="U1177" s="5" t="e">
        <f t="shared" si="93"/>
        <v>#N/A</v>
      </c>
      <c r="V1177" s="23" t="e">
        <f t="shared" si="94"/>
        <v>#N/A</v>
      </c>
    </row>
    <row r="1178" spans="2:22" x14ac:dyDescent="0.25">
      <c r="B1178" s="16">
        <v>1</v>
      </c>
      <c r="C1178" s="7">
        <v>1</v>
      </c>
      <c r="D1178" s="8">
        <v>1</v>
      </c>
      <c r="E1178" s="8">
        <v>0</v>
      </c>
      <c r="F1178" s="8">
        <v>1</v>
      </c>
      <c r="G1178" s="8">
        <v>0</v>
      </c>
      <c r="H1178" s="8">
        <v>0</v>
      </c>
      <c r="I1178" s="8">
        <v>1</v>
      </c>
      <c r="J1178" s="8">
        <v>0</v>
      </c>
      <c r="K1178" s="9">
        <v>0</v>
      </c>
      <c r="L1178" s="10">
        <v>1</v>
      </c>
      <c r="M1178" s="6">
        <v>0</v>
      </c>
      <c r="N1178" s="37" t="e" cm="1">
        <f t="array" ref="N1178">IF(OR(ISNUMBER(FIND(Aux!$D$3:$D$9,_xlfn.TEXTJOIN(,,C1178:K1178)))),NA(),IF(AND(SUM(C1178:F1178,H1178:K1178)=0,G1178=1),0,INT((SUMPRODUCT(C1178:F1178,COLUMN($A$1:$D$1)-1)+SUMPRODUCT(H1178:K1178,COLUMN($E$1:$H$1)-1))*'Line Follower'!$C$3/SUM(C1178:F1178,H1178:K1178)-'Line Follower'!$C$5)))</f>
        <v>#N/A</v>
      </c>
      <c r="O1178" s="22" t="e">
        <v>#N/A</v>
      </c>
      <c r="P1178" s="4" t="e">
        <f t="shared" si="90"/>
        <v>#N/A</v>
      </c>
      <c r="Q1178" s="4" t="e">
        <f t="shared" si="91"/>
        <v>#N/A</v>
      </c>
      <c r="R1178" s="4" t="e">
        <f>IF(AND(B1178=1,N1178&gt;'Line Follower'!$C$7,SUM(C1178:K1178)&lt;4),1,0)</f>
        <v>#N/A</v>
      </c>
      <c r="S1178" s="4" t="e">
        <f>IF(AND(L1178=1,N1178&lt;'Line Follower'!$C$6,SUM(C1178:K1178)&lt;4),1,0)</f>
        <v>#N/A</v>
      </c>
      <c r="T1178" s="4" t="e">
        <f t="shared" si="92"/>
        <v>#N/A</v>
      </c>
      <c r="U1178" s="5" t="e">
        <f t="shared" si="93"/>
        <v>#N/A</v>
      </c>
      <c r="V1178" s="23" t="e">
        <f t="shared" si="94"/>
        <v>#N/A</v>
      </c>
    </row>
    <row r="1179" spans="2:22" x14ac:dyDescent="0.25">
      <c r="B1179" s="16">
        <v>0</v>
      </c>
      <c r="C1179" s="7">
        <v>0</v>
      </c>
      <c r="D1179" s="8">
        <v>0</v>
      </c>
      <c r="E1179" s="8">
        <v>1</v>
      </c>
      <c r="F1179" s="8">
        <v>1</v>
      </c>
      <c r="G1179" s="8">
        <v>0</v>
      </c>
      <c r="H1179" s="8">
        <v>0</v>
      </c>
      <c r="I1179" s="8">
        <v>1</v>
      </c>
      <c r="J1179" s="8">
        <v>0</v>
      </c>
      <c r="K1179" s="9">
        <v>0</v>
      </c>
      <c r="L1179" s="10">
        <v>1</v>
      </c>
      <c r="M1179" s="6">
        <v>0</v>
      </c>
      <c r="N1179" s="37" t="e" cm="1">
        <f t="array" ref="N1179">IF(OR(ISNUMBER(FIND(Aux!$D$3:$D$9,_xlfn.TEXTJOIN(,,C1179:K1179)))),NA(),IF(AND(SUM(C1179:F1179,H1179:K1179)=0,G1179=1),0,INT((SUMPRODUCT(C1179:F1179,COLUMN($A$1:$D$1)-1)+SUMPRODUCT(H1179:K1179,COLUMN($E$1:$H$1)-1))*'Line Follower'!$C$3/SUM(C1179:F1179,H1179:K1179)-'Line Follower'!$C$5)))</f>
        <v>#N/A</v>
      </c>
      <c r="O1179" s="22" t="e">
        <v>#N/A</v>
      </c>
      <c r="P1179" s="4" t="e">
        <f t="shared" si="90"/>
        <v>#N/A</v>
      </c>
      <c r="Q1179" s="4" t="e">
        <f t="shared" si="91"/>
        <v>#N/A</v>
      </c>
      <c r="R1179" s="4" t="e">
        <f>IF(AND(B1179=1,N1179&gt;'Line Follower'!$C$7,SUM(C1179:K1179)&lt;4),1,0)</f>
        <v>#N/A</v>
      </c>
      <c r="S1179" s="4" t="e">
        <f>IF(AND(L1179=1,N1179&lt;'Line Follower'!$C$6,SUM(C1179:K1179)&lt;4),1,0)</f>
        <v>#N/A</v>
      </c>
      <c r="T1179" s="4" t="e">
        <f t="shared" si="92"/>
        <v>#N/A</v>
      </c>
      <c r="U1179" s="5" t="e">
        <f t="shared" si="93"/>
        <v>#N/A</v>
      </c>
      <c r="V1179" s="23" t="e">
        <f t="shared" si="94"/>
        <v>#N/A</v>
      </c>
    </row>
    <row r="1180" spans="2:22" x14ac:dyDescent="0.25">
      <c r="B1180" s="16">
        <v>1</v>
      </c>
      <c r="C1180" s="7">
        <v>0</v>
      </c>
      <c r="D1180" s="8">
        <v>0</v>
      </c>
      <c r="E1180" s="8">
        <v>1</v>
      </c>
      <c r="F1180" s="8">
        <v>1</v>
      </c>
      <c r="G1180" s="8">
        <v>0</v>
      </c>
      <c r="H1180" s="8">
        <v>0</v>
      </c>
      <c r="I1180" s="8">
        <v>1</v>
      </c>
      <c r="J1180" s="8">
        <v>0</v>
      </c>
      <c r="K1180" s="9">
        <v>0</v>
      </c>
      <c r="L1180" s="10">
        <v>1</v>
      </c>
      <c r="M1180" s="6">
        <v>0</v>
      </c>
      <c r="N1180" s="37" t="e" cm="1">
        <f t="array" ref="N1180">IF(OR(ISNUMBER(FIND(Aux!$D$3:$D$9,_xlfn.TEXTJOIN(,,C1180:K1180)))),NA(),IF(AND(SUM(C1180:F1180,H1180:K1180)=0,G1180=1),0,INT((SUMPRODUCT(C1180:F1180,COLUMN($A$1:$D$1)-1)+SUMPRODUCT(H1180:K1180,COLUMN($E$1:$H$1)-1))*'Line Follower'!$C$3/SUM(C1180:F1180,H1180:K1180)-'Line Follower'!$C$5)))</f>
        <v>#N/A</v>
      </c>
      <c r="O1180" s="22" t="e">
        <v>#N/A</v>
      </c>
      <c r="P1180" s="4" t="e">
        <f t="shared" si="90"/>
        <v>#N/A</v>
      </c>
      <c r="Q1180" s="4" t="e">
        <f t="shared" si="91"/>
        <v>#N/A</v>
      </c>
      <c r="R1180" s="4" t="e">
        <f>IF(AND(B1180=1,N1180&gt;'Line Follower'!$C$7,SUM(C1180:K1180)&lt;4),1,0)</f>
        <v>#N/A</v>
      </c>
      <c r="S1180" s="4" t="e">
        <f>IF(AND(L1180=1,N1180&lt;'Line Follower'!$C$6,SUM(C1180:K1180)&lt;4),1,0)</f>
        <v>#N/A</v>
      </c>
      <c r="T1180" s="4" t="e">
        <f t="shared" si="92"/>
        <v>#N/A</v>
      </c>
      <c r="U1180" s="5" t="e">
        <f t="shared" si="93"/>
        <v>#N/A</v>
      </c>
      <c r="V1180" s="23" t="e">
        <f t="shared" si="94"/>
        <v>#N/A</v>
      </c>
    </row>
    <row r="1181" spans="2:22" x14ac:dyDescent="0.25">
      <c r="B1181" s="16">
        <v>0</v>
      </c>
      <c r="C1181" s="7">
        <v>1</v>
      </c>
      <c r="D1181" s="8">
        <v>0</v>
      </c>
      <c r="E1181" s="8">
        <v>1</v>
      </c>
      <c r="F1181" s="8">
        <v>1</v>
      </c>
      <c r="G1181" s="8">
        <v>0</v>
      </c>
      <c r="H1181" s="8">
        <v>0</v>
      </c>
      <c r="I1181" s="8">
        <v>1</v>
      </c>
      <c r="J1181" s="8">
        <v>0</v>
      </c>
      <c r="K1181" s="9">
        <v>0</v>
      </c>
      <c r="L1181" s="10">
        <v>1</v>
      </c>
      <c r="M1181" s="6">
        <v>0</v>
      </c>
      <c r="N1181" s="37" t="e" cm="1">
        <f t="array" ref="N1181">IF(OR(ISNUMBER(FIND(Aux!$D$3:$D$9,_xlfn.TEXTJOIN(,,C1181:K1181)))),NA(),IF(AND(SUM(C1181:F1181,H1181:K1181)=0,G1181=1),0,INT((SUMPRODUCT(C1181:F1181,COLUMN($A$1:$D$1)-1)+SUMPRODUCT(H1181:K1181,COLUMN($E$1:$H$1)-1))*'Line Follower'!$C$3/SUM(C1181:F1181,H1181:K1181)-'Line Follower'!$C$5)))</f>
        <v>#N/A</v>
      </c>
      <c r="O1181" s="22" t="e">
        <v>#N/A</v>
      </c>
      <c r="P1181" s="4" t="e">
        <f t="shared" si="90"/>
        <v>#N/A</v>
      </c>
      <c r="Q1181" s="4" t="e">
        <f t="shared" si="91"/>
        <v>#N/A</v>
      </c>
      <c r="R1181" s="4" t="e">
        <f>IF(AND(B1181=1,N1181&gt;'Line Follower'!$C$7,SUM(C1181:K1181)&lt;4),1,0)</f>
        <v>#N/A</v>
      </c>
      <c r="S1181" s="4" t="e">
        <f>IF(AND(L1181=1,N1181&lt;'Line Follower'!$C$6,SUM(C1181:K1181)&lt;4),1,0)</f>
        <v>#N/A</v>
      </c>
      <c r="T1181" s="4" t="e">
        <f t="shared" si="92"/>
        <v>#N/A</v>
      </c>
      <c r="U1181" s="5" t="e">
        <f t="shared" si="93"/>
        <v>#N/A</v>
      </c>
      <c r="V1181" s="23" t="e">
        <f t="shared" si="94"/>
        <v>#N/A</v>
      </c>
    </row>
    <row r="1182" spans="2:22" x14ac:dyDescent="0.25">
      <c r="B1182" s="16">
        <v>1</v>
      </c>
      <c r="C1182" s="7">
        <v>1</v>
      </c>
      <c r="D1182" s="8">
        <v>0</v>
      </c>
      <c r="E1182" s="8">
        <v>1</v>
      </c>
      <c r="F1182" s="8">
        <v>1</v>
      </c>
      <c r="G1182" s="8">
        <v>0</v>
      </c>
      <c r="H1182" s="8">
        <v>0</v>
      </c>
      <c r="I1182" s="8">
        <v>1</v>
      </c>
      <c r="J1182" s="8">
        <v>0</v>
      </c>
      <c r="K1182" s="9">
        <v>0</v>
      </c>
      <c r="L1182" s="10">
        <v>1</v>
      </c>
      <c r="M1182" s="6">
        <v>0</v>
      </c>
      <c r="N1182" s="37" t="e" cm="1">
        <f t="array" ref="N1182">IF(OR(ISNUMBER(FIND(Aux!$D$3:$D$9,_xlfn.TEXTJOIN(,,C1182:K1182)))),NA(),IF(AND(SUM(C1182:F1182,H1182:K1182)=0,G1182=1),0,INT((SUMPRODUCT(C1182:F1182,COLUMN($A$1:$D$1)-1)+SUMPRODUCT(H1182:K1182,COLUMN($E$1:$H$1)-1))*'Line Follower'!$C$3/SUM(C1182:F1182,H1182:K1182)-'Line Follower'!$C$5)))</f>
        <v>#N/A</v>
      </c>
      <c r="O1182" s="22" t="e">
        <v>#N/A</v>
      </c>
      <c r="P1182" s="4" t="e">
        <f t="shared" si="90"/>
        <v>#N/A</v>
      </c>
      <c r="Q1182" s="4" t="e">
        <f t="shared" si="91"/>
        <v>#N/A</v>
      </c>
      <c r="R1182" s="4" t="e">
        <f>IF(AND(B1182=1,N1182&gt;'Line Follower'!$C$7,SUM(C1182:K1182)&lt;4),1,0)</f>
        <v>#N/A</v>
      </c>
      <c r="S1182" s="4" t="e">
        <f>IF(AND(L1182=1,N1182&lt;'Line Follower'!$C$6,SUM(C1182:K1182)&lt;4),1,0)</f>
        <v>#N/A</v>
      </c>
      <c r="T1182" s="4" t="e">
        <f t="shared" si="92"/>
        <v>#N/A</v>
      </c>
      <c r="U1182" s="5" t="e">
        <f t="shared" si="93"/>
        <v>#N/A</v>
      </c>
      <c r="V1182" s="23" t="e">
        <f t="shared" si="94"/>
        <v>#N/A</v>
      </c>
    </row>
    <row r="1183" spans="2:22" x14ac:dyDescent="0.25">
      <c r="B1183" s="16">
        <v>0</v>
      </c>
      <c r="C1183" s="7">
        <v>0</v>
      </c>
      <c r="D1183" s="8">
        <v>1</v>
      </c>
      <c r="E1183" s="8">
        <v>1</v>
      </c>
      <c r="F1183" s="8">
        <v>1</v>
      </c>
      <c r="G1183" s="8">
        <v>0</v>
      </c>
      <c r="H1183" s="8">
        <v>0</v>
      </c>
      <c r="I1183" s="8">
        <v>1</v>
      </c>
      <c r="J1183" s="8">
        <v>0</v>
      </c>
      <c r="K1183" s="9">
        <v>0</v>
      </c>
      <c r="L1183" s="10">
        <v>1</v>
      </c>
      <c r="M1183" s="6">
        <v>0</v>
      </c>
      <c r="N1183" s="37" t="e" cm="1">
        <f t="array" ref="N1183">IF(OR(ISNUMBER(FIND(Aux!$D$3:$D$9,_xlfn.TEXTJOIN(,,C1183:K1183)))),NA(),IF(AND(SUM(C1183:F1183,H1183:K1183)=0,G1183=1),0,INT((SUMPRODUCT(C1183:F1183,COLUMN($A$1:$D$1)-1)+SUMPRODUCT(H1183:K1183,COLUMN($E$1:$H$1)-1))*'Line Follower'!$C$3/SUM(C1183:F1183,H1183:K1183)-'Line Follower'!$C$5)))</f>
        <v>#N/A</v>
      </c>
      <c r="O1183" s="22" t="e">
        <v>#N/A</v>
      </c>
      <c r="P1183" s="4" t="e">
        <f t="shared" si="90"/>
        <v>#N/A</v>
      </c>
      <c r="Q1183" s="4" t="e">
        <f t="shared" si="91"/>
        <v>#N/A</v>
      </c>
      <c r="R1183" s="4" t="e">
        <f>IF(AND(B1183=1,N1183&gt;'Line Follower'!$C$7,SUM(C1183:K1183)&lt;4),1,0)</f>
        <v>#N/A</v>
      </c>
      <c r="S1183" s="4" t="e">
        <f>IF(AND(L1183=1,N1183&lt;'Line Follower'!$C$6,SUM(C1183:K1183)&lt;4),1,0)</f>
        <v>#N/A</v>
      </c>
      <c r="T1183" s="4" t="e">
        <f t="shared" si="92"/>
        <v>#N/A</v>
      </c>
      <c r="U1183" s="5" t="e">
        <f t="shared" si="93"/>
        <v>#N/A</v>
      </c>
      <c r="V1183" s="23" t="e">
        <f t="shared" si="94"/>
        <v>#N/A</v>
      </c>
    </row>
    <row r="1184" spans="2:22" x14ac:dyDescent="0.25">
      <c r="B1184" s="16">
        <v>1</v>
      </c>
      <c r="C1184" s="7">
        <v>0</v>
      </c>
      <c r="D1184" s="8">
        <v>1</v>
      </c>
      <c r="E1184" s="8">
        <v>1</v>
      </c>
      <c r="F1184" s="8">
        <v>1</v>
      </c>
      <c r="G1184" s="8">
        <v>0</v>
      </c>
      <c r="H1184" s="8">
        <v>0</v>
      </c>
      <c r="I1184" s="8">
        <v>1</v>
      </c>
      <c r="J1184" s="8">
        <v>0</v>
      </c>
      <c r="K1184" s="9">
        <v>0</v>
      </c>
      <c r="L1184" s="10">
        <v>1</v>
      </c>
      <c r="M1184" s="6">
        <v>0</v>
      </c>
      <c r="N1184" s="37" t="e" cm="1">
        <f t="array" ref="N1184">IF(OR(ISNUMBER(FIND(Aux!$D$3:$D$9,_xlfn.TEXTJOIN(,,C1184:K1184)))),NA(),IF(AND(SUM(C1184:F1184,H1184:K1184)=0,G1184=1),0,INT((SUMPRODUCT(C1184:F1184,COLUMN($A$1:$D$1)-1)+SUMPRODUCT(H1184:K1184,COLUMN($E$1:$H$1)-1))*'Line Follower'!$C$3/SUM(C1184:F1184,H1184:K1184)-'Line Follower'!$C$5)))</f>
        <v>#N/A</v>
      </c>
      <c r="O1184" s="22" t="e">
        <v>#N/A</v>
      </c>
      <c r="P1184" s="4" t="e">
        <f t="shared" si="90"/>
        <v>#N/A</v>
      </c>
      <c r="Q1184" s="4" t="e">
        <f t="shared" si="91"/>
        <v>#N/A</v>
      </c>
      <c r="R1184" s="4" t="e">
        <f>IF(AND(B1184=1,N1184&gt;'Line Follower'!$C$7,SUM(C1184:K1184)&lt;4),1,0)</f>
        <v>#N/A</v>
      </c>
      <c r="S1184" s="4" t="e">
        <f>IF(AND(L1184=1,N1184&lt;'Line Follower'!$C$6,SUM(C1184:K1184)&lt;4),1,0)</f>
        <v>#N/A</v>
      </c>
      <c r="T1184" s="4" t="e">
        <f t="shared" si="92"/>
        <v>#N/A</v>
      </c>
      <c r="U1184" s="5" t="e">
        <f t="shared" si="93"/>
        <v>#N/A</v>
      </c>
      <c r="V1184" s="23" t="e">
        <f t="shared" si="94"/>
        <v>#N/A</v>
      </c>
    </row>
    <row r="1185" spans="2:22" x14ac:dyDescent="0.25">
      <c r="B1185" s="16">
        <v>0</v>
      </c>
      <c r="C1185" s="7">
        <v>1</v>
      </c>
      <c r="D1185" s="8">
        <v>1</v>
      </c>
      <c r="E1185" s="8">
        <v>1</v>
      </c>
      <c r="F1185" s="8">
        <v>1</v>
      </c>
      <c r="G1185" s="8">
        <v>0</v>
      </c>
      <c r="H1185" s="8">
        <v>0</v>
      </c>
      <c r="I1185" s="8">
        <v>1</v>
      </c>
      <c r="J1185" s="8">
        <v>0</v>
      </c>
      <c r="K1185" s="9">
        <v>0</v>
      </c>
      <c r="L1185" s="10">
        <v>1</v>
      </c>
      <c r="M1185" s="6">
        <v>0</v>
      </c>
      <c r="N1185" s="37" t="e" cm="1">
        <f t="array" ref="N1185">IF(OR(ISNUMBER(FIND(Aux!$D$3:$D$9,_xlfn.TEXTJOIN(,,C1185:K1185)))),NA(),IF(AND(SUM(C1185:F1185,H1185:K1185)=0,G1185=1),0,INT((SUMPRODUCT(C1185:F1185,COLUMN($A$1:$D$1)-1)+SUMPRODUCT(H1185:K1185,COLUMN($E$1:$H$1)-1))*'Line Follower'!$C$3/SUM(C1185:F1185,H1185:K1185)-'Line Follower'!$C$5)))</f>
        <v>#N/A</v>
      </c>
      <c r="O1185" s="22" t="e">
        <v>#N/A</v>
      </c>
      <c r="P1185" s="4" t="e">
        <f t="shared" si="90"/>
        <v>#N/A</v>
      </c>
      <c r="Q1185" s="4" t="e">
        <f t="shared" si="91"/>
        <v>#N/A</v>
      </c>
      <c r="R1185" s="4" t="e">
        <f>IF(AND(B1185=1,N1185&gt;'Line Follower'!$C$7,SUM(C1185:K1185)&lt;4),1,0)</f>
        <v>#N/A</v>
      </c>
      <c r="S1185" s="4" t="e">
        <f>IF(AND(L1185=1,N1185&lt;'Line Follower'!$C$6,SUM(C1185:K1185)&lt;4),1,0)</f>
        <v>#N/A</v>
      </c>
      <c r="T1185" s="4" t="e">
        <f t="shared" si="92"/>
        <v>#N/A</v>
      </c>
      <c r="U1185" s="5" t="e">
        <f t="shared" si="93"/>
        <v>#N/A</v>
      </c>
      <c r="V1185" s="23" t="e">
        <f t="shared" si="94"/>
        <v>#N/A</v>
      </c>
    </row>
    <row r="1186" spans="2:22" x14ac:dyDescent="0.25">
      <c r="B1186" s="16">
        <v>1</v>
      </c>
      <c r="C1186" s="7">
        <v>1</v>
      </c>
      <c r="D1186" s="8">
        <v>1</v>
      </c>
      <c r="E1186" s="8">
        <v>1</v>
      </c>
      <c r="F1186" s="8">
        <v>1</v>
      </c>
      <c r="G1186" s="8">
        <v>0</v>
      </c>
      <c r="H1186" s="8">
        <v>0</v>
      </c>
      <c r="I1186" s="8">
        <v>1</v>
      </c>
      <c r="J1186" s="8">
        <v>0</v>
      </c>
      <c r="K1186" s="9">
        <v>0</v>
      </c>
      <c r="L1186" s="10">
        <v>1</v>
      </c>
      <c r="M1186" s="6">
        <v>0</v>
      </c>
      <c r="N1186" s="37" t="e" cm="1">
        <f t="array" ref="N1186">IF(OR(ISNUMBER(FIND(Aux!$D$3:$D$9,_xlfn.TEXTJOIN(,,C1186:K1186)))),NA(),IF(AND(SUM(C1186:F1186,H1186:K1186)=0,G1186=1),0,INT((SUMPRODUCT(C1186:F1186,COLUMN($A$1:$D$1)-1)+SUMPRODUCT(H1186:K1186,COLUMN($E$1:$H$1)-1))*'Line Follower'!$C$3/SUM(C1186:F1186,H1186:K1186)-'Line Follower'!$C$5)))</f>
        <v>#N/A</v>
      </c>
      <c r="O1186" s="22" t="e">
        <v>#N/A</v>
      </c>
      <c r="P1186" s="4" t="e">
        <f t="shared" si="90"/>
        <v>#N/A</v>
      </c>
      <c r="Q1186" s="4" t="e">
        <f t="shared" si="91"/>
        <v>#N/A</v>
      </c>
      <c r="R1186" s="4" t="e">
        <f>IF(AND(B1186=1,N1186&gt;'Line Follower'!$C$7,SUM(C1186:K1186)&lt;4),1,0)</f>
        <v>#N/A</v>
      </c>
      <c r="S1186" s="4" t="e">
        <f>IF(AND(L1186=1,N1186&lt;'Line Follower'!$C$6,SUM(C1186:K1186)&lt;4),1,0)</f>
        <v>#N/A</v>
      </c>
      <c r="T1186" s="4" t="e">
        <f t="shared" si="92"/>
        <v>#N/A</v>
      </c>
      <c r="U1186" s="5" t="e">
        <f t="shared" si="93"/>
        <v>#N/A</v>
      </c>
      <c r="V1186" s="23" t="e">
        <f t="shared" si="94"/>
        <v>#N/A</v>
      </c>
    </row>
    <row r="1187" spans="2:22" x14ac:dyDescent="0.25">
      <c r="B1187" s="16">
        <v>0</v>
      </c>
      <c r="C1187" s="7">
        <v>0</v>
      </c>
      <c r="D1187" s="8">
        <v>0</v>
      </c>
      <c r="E1187" s="8">
        <v>0</v>
      </c>
      <c r="F1187" s="8">
        <v>0</v>
      </c>
      <c r="G1187" s="8">
        <v>1</v>
      </c>
      <c r="H1187" s="8">
        <v>0</v>
      </c>
      <c r="I1187" s="8">
        <v>1</v>
      </c>
      <c r="J1187" s="8">
        <v>0</v>
      </c>
      <c r="K1187" s="9">
        <v>0</v>
      </c>
      <c r="L1187" s="10">
        <v>1</v>
      </c>
      <c r="M1187" s="6">
        <v>0</v>
      </c>
      <c r="N1187" s="37" t="e" cm="1">
        <f t="array" ref="N1187">IF(OR(ISNUMBER(FIND(Aux!$D$3:$D$9,_xlfn.TEXTJOIN(,,C1187:K1187)))),NA(),IF(AND(SUM(C1187:F1187,H1187:K1187)=0,G1187=1),0,INT((SUMPRODUCT(C1187:F1187,COLUMN($A$1:$D$1)-1)+SUMPRODUCT(H1187:K1187,COLUMN($E$1:$H$1)-1))*'Line Follower'!$C$3/SUM(C1187:F1187,H1187:K1187)-'Line Follower'!$C$5)))</f>
        <v>#N/A</v>
      </c>
      <c r="O1187" s="22" t="e">
        <v>#N/A</v>
      </c>
      <c r="P1187" s="4" t="e">
        <f t="shared" si="90"/>
        <v>#N/A</v>
      </c>
      <c r="Q1187" s="4" t="e">
        <f t="shared" si="91"/>
        <v>#N/A</v>
      </c>
      <c r="R1187" s="4" t="e">
        <f>IF(AND(B1187=1,N1187&gt;'Line Follower'!$C$7,SUM(C1187:K1187)&lt;4),1,0)</f>
        <v>#N/A</v>
      </c>
      <c r="S1187" s="4" t="e">
        <f>IF(AND(L1187=1,N1187&lt;'Line Follower'!$C$6,SUM(C1187:K1187)&lt;4),1,0)</f>
        <v>#N/A</v>
      </c>
      <c r="T1187" s="4" t="e">
        <f t="shared" si="92"/>
        <v>#N/A</v>
      </c>
      <c r="U1187" s="5" t="e">
        <f t="shared" si="93"/>
        <v>#N/A</v>
      </c>
      <c r="V1187" s="23" t="e">
        <f t="shared" si="94"/>
        <v>#N/A</v>
      </c>
    </row>
    <row r="1188" spans="2:22" x14ac:dyDescent="0.25">
      <c r="B1188" s="16">
        <v>1</v>
      </c>
      <c r="C1188" s="7">
        <v>0</v>
      </c>
      <c r="D1188" s="8">
        <v>0</v>
      </c>
      <c r="E1188" s="8">
        <v>0</v>
      </c>
      <c r="F1188" s="8">
        <v>0</v>
      </c>
      <c r="G1188" s="8">
        <v>1</v>
      </c>
      <c r="H1188" s="8">
        <v>0</v>
      </c>
      <c r="I1188" s="8">
        <v>1</v>
      </c>
      <c r="J1188" s="8">
        <v>0</v>
      </c>
      <c r="K1188" s="9">
        <v>0</v>
      </c>
      <c r="L1188" s="10">
        <v>1</v>
      </c>
      <c r="M1188" s="6">
        <v>0</v>
      </c>
      <c r="N1188" s="37" t="e" cm="1">
        <f t="array" ref="N1188">IF(OR(ISNUMBER(FIND(Aux!$D$3:$D$9,_xlfn.TEXTJOIN(,,C1188:K1188)))),NA(),IF(AND(SUM(C1188:F1188,H1188:K1188)=0,G1188=1),0,INT((SUMPRODUCT(C1188:F1188,COLUMN($A$1:$D$1)-1)+SUMPRODUCT(H1188:K1188,COLUMN($E$1:$H$1)-1))*'Line Follower'!$C$3/SUM(C1188:F1188,H1188:K1188)-'Line Follower'!$C$5)))</f>
        <v>#N/A</v>
      </c>
      <c r="O1188" s="22" t="e">
        <v>#N/A</v>
      </c>
      <c r="P1188" s="4" t="e">
        <f t="shared" si="90"/>
        <v>#N/A</v>
      </c>
      <c r="Q1188" s="4" t="e">
        <f t="shared" si="91"/>
        <v>#N/A</v>
      </c>
      <c r="R1188" s="4" t="e">
        <f>IF(AND(B1188=1,N1188&gt;'Line Follower'!$C$7,SUM(C1188:K1188)&lt;4),1,0)</f>
        <v>#N/A</v>
      </c>
      <c r="S1188" s="4" t="e">
        <f>IF(AND(L1188=1,N1188&lt;'Line Follower'!$C$6,SUM(C1188:K1188)&lt;4),1,0)</f>
        <v>#N/A</v>
      </c>
      <c r="T1188" s="4" t="e">
        <f t="shared" si="92"/>
        <v>#N/A</v>
      </c>
      <c r="U1188" s="5" t="e">
        <f t="shared" si="93"/>
        <v>#N/A</v>
      </c>
      <c r="V1188" s="23" t="e">
        <f t="shared" si="94"/>
        <v>#N/A</v>
      </c>
    </row>
    <row r="1189" spans="2:22" x14ac:dyDescent="0.25">
      <c r="B1189" s="16">
        <v>0</v>
      </c>
      <c r="C1189" s="7">
        <v>1</v>
      </c>
      <c r="D1189" s="8">
        <v>0</v>
      </c>
      <c r="E1189" s="8">
        <v>0</v>
      </c>
      <c r="F1189" s="8">
        <v>0</v>
      </c>
      <c r="G1189" s="8">
        <v>1</v>
      </c>
      <c r="H1189" s="8">
        <v>0</v>
      </c>
      <c r="I1189" s="8">
        <v>1</v>
      </c>
      <c r="J1189" s="8">
        <v>0</v>
      </c>
      <c r="K1189" s="9">
        <v>0</v>
      </c>
      <c r="L1189" s="10">
        <v>1</v>
      </c>
      <c r="M1189" s="6">
        <v>0</v>
      </c>
      <c r="N1189" s="37" t="e" cm="1">
        <f t="array" ref="N1189">IF(OR(ISNUMBER(FIND(Aux!$D$3:$D$9,_xlfn.TEXTJOIN(,,C1189:K1189)))),NA(),IF(AND(SUM(C1189:F1189,H1189:K1189)=0,G1189=1),0,INT((SUMPRODUCT(C1189:F1189,COLUMN($A$1:$D$1)-1)+SUMPRODUCT(H1189:K1189,COLUMN($E$1:$H$1)-1))*'Line Follower'!$C$3/SUM(C1189:F1189,H1189:K1189)-'Line Follower'!$C$5)))</f>
        <v>#N/A</v>
      </c>
      <c r="O1189" s="22" t="e">
        <v>#N/A</v>
      </c>
      <c r="P1189" s="4" t="e">
        <f t="shared" si="90"/>
        <v>#N/A</v>
      </c>
      <c r="Q1189" s="4" t="e">
        <f t="shared" si="91"/>
        <v>#N/A</v>
      </c>
      <c r="R1189" s="4" t="e">
        <f>IF(AND(B1189=1,N1189&gt;'Line Follower'!$C$7,SUM(C1189:K1189)&lt;4),1,0)</f>
        <v>#N/A</v>
      </c>
      <c r="S1189" s="4" t="e">
        <f>IF(AND(L1189=1,N1189&lt;'Line Follower'!$C$6,SUM(C1189:K1189)&lt;4),1,0)</f>
        <v>#N/A</v>
      </c>
      <c r="T1189" s="4" t="e">
        <f t="shared" si="92"/>
        <v>#N/A</v>
      </c>
      <c r="U1189" s="5" t="e">
        <f t="shared" si="93"/>
        <v>#N/A</v>
      </c>
      <c r="V1189" s="23" t="e">
        <f t="shared" si="94"/>
        <v>#N/A</v>
      </c>
    </row>
    <row r="1190" spans="2:22" x14ac:dyDescent="0.25">
      <c r="B1190" s="16">
        <v>1</v>
      </c>
      <c r="C1190" s="7">
        <v>1</v>
      </c>
      <c r="D1190" s="8">
        <v>0</v>
      </c>
      <c r="E1190" s="8">
        <v>0</v>
      </c>
      <c r="F1190" s="8">
        <v>0</v>
      </c>
      <c r="G1190" s="8">
        <v>1</v>
      </c>
      <c r="H1190" s="8">
        <v>0</v>
      </c>
      <c r="I1190" s="8">
        <v>1</v>
      </c>
      <c r="J1190" s="8">
        <v>0</v>
      </c>
      <c r="K1190" s="9">
        <v>0</v>
      </c>
      <c r="L1190" s="10">
        <v>1</v>
      </c>
      <c r="M1190" s="6">
        <v>0</v>
      </c>
      <c r="N1190" s="37" t="e" cm="1">
        <f t="array" ref="N1190">IF(OR(ISNUMBER(FIND(Aux!$D$3:$D$9,_xlfn.TEXTJOIN(,,C1190:K1190)))),NA(),IF(AND(SUM(C1190:F1190,H1190:K1190)=0,G1190=1),0,INT((SUMPRODUCT(C1190:F1190,COLUMN($A$1:$D$1)-1)+SUMPRODUCT(H1190:K1190,COLUMN($E$1:$H$1)-1))*'Line Follower'!$C$3/SUM(C1190:F1190,H1190:K1190)-'Line Follower'!$C$5)))</f>
        <v>#N/A</v>
      </c>
      <c r="O1190" s="22" t="e">
        <v>#N/A</v>
      </c>
      <c r="P1190" s="4" t="e">
        <f t="shared" si="90"/>
        <v>#N/A</v>
      </c>
      <c r="Q1190" s="4" t="e">
        <f t="shared" si="91"/>
        <v>#N/A</v>
      </c>
      <c r="R1190" s="4" t="e">
        <f>IF(AND(B1190=1,N1190&gt;'Line Follower'!$C$7,SUM(C1190:K1190)&lt;4),1,0)</f>
        <v>#N/A</v>
      </c>
      <c r="S1190" s="4" t="e">
        <f>IF(AND(L1190=1,N1190&lt;'Line Follower'!$C$6,SUM(C1190:K1190)&lt;4),1,0)</f>
        <v>#N/A</v>
      </c>
      <c r="T1190" s="4" t="e">
        <f t="shared" si="92"/>
        <v>#N/A</v>
      </c>
      <c r="U1190" s="5" t="e">
        <f t="shared" si="93"/>
        <v>#N/A</v>
      </c>
      <c r="V1190" s="23" t="e">
        <f t="shared" si="94"/>
        <v>#N/A</v>
      </c>
    </row>
    <row r="1191" spans="2:22" x14ac:dyDescent="0.25">
      <c r="B1191" s="16">
        <v>0</v>
      </c>
      <c r="C1191" s="7">
        <v>0</v>
      </c>
      <c r="D1191" s="8">
        <v>1</v>
      </c>
      <c r="E1191" s="8">
        <v>0</v>
      </c>
      <c r="F1191" s="8">
        <v>0</v>
      </c>
      <c r="G1191" s="8">
        <v>1</v>
      </c>
      <c r="H1191" s="8">
        <v>0</v>
      </c>
      <c r="I1191" s="8">
        <v>1</v>
      </c>
      <c r="J1191" s="8">
        <v>0</v>
      </c>
      <c r="K1191" s="9">
        <v>0</v>
      </c>
      <c r="L1191" s="10">
        <v>1</v>
      </c>
      <c r="M1191" s="6">
        <v>0</v>
      </c>
      <c r="N1191" s="37" t="e" cm="1">
        <f t="array" ref="N1191">IF(OR(ISNUMBER(FIND(Aux!$D$3:$D$9,_xlfn.TEXTJOIN(,,C1191:K1191)))),NA(),IF(AND(SUM(C1191:F1191,H1191:K1191)=0,G1191=1),0,INT((SUMPRODUCT(C1191:F1191,COLUMN($A$1:$D$1)-1)+SUMPRODUCT(H1191:K1191,COLUMN($E$1:$H$1)-1))*'Line Follower'!$C$3/SUM(C1191:F1191,H1191:K1191)-'Line Follower'!$C$5)))</f>
        <v>#N/A</v>
      </c>
      <c r="O1191" s="22" t="e">
        <v>#N/A</v>
      </c>
      <c r="P1191" s="4" t="e">
        <f t="shared" si="90"/>
        <v>#N/A</v>
      </c>
      <c r="Q1191" s="4" t="e">
        <f t="shared" si="91"/>
        <v>#N/A</v>
      </c>
      <c r="R1191" s="4" t="e">
        <f>IF(AND(B1191=1,N1191&gt;'Line Follower'!$C$7,SUM(C1191:K1191)&lt;4),1,0)</f>
        <v>#N/A</v>
      </c>
      <c r="S1191" s="4" t="e">
        <f>IF(AND(L1191=1,N1191&lt;'Line Follower'!$C$6,SUM(C1191:K1191)&lt;4),1,0)</f>
        <v>#N/A</v>
      </c>
      <c r="T1191" s="4" t="e">
        <f t="shared" si="92"/>
        <v>#N/A</v>
      </c>
      <c r="U1191" s="5" t="e">
        <f t="shared" si="93"/>
        <v>#N/A</v>
      </c>
      <c r="V1191" s="23" t="e">
        <f t="shared" si="94"/>
        <v>#N/A</v>
      </c>
    </row>
    <row r="1192" spans="2:22" x14ac:dyDescent="0.25">
      <c r="B1192" s="16">
        <v>1</v>
      </c>
      <c r="C1192" s="7">
        <v>0</v>
      </c>
      <c r="D1192" s="8">
        <v>1</v>
      </c>
      <c r="E1192" s="8">
        <v>0</v>
      </c>
      <c r="F1192" s="8">
        <v>0</v>
      </c>
      <c r="G1192" s="8">
        <v>1</v>
      </c>
      <c r="H1192" s="8">
        <v>0</v>
      </c>
      <c r="I1192" s="8">
        <v>1</v>
      </c>
      <c r="J1192" s="8">
        <v>0</v>
      </c>
      <c r="K1192" s="9">
        <v>0</v>
      </c>
      <c r="L1192" s="10">
        <v>1</v>
      </c>
      <c r="M1192" s="6">
        <v>0</v>
      </c>
      <c r="N1192" s="37" t="e" cm="1">
        <f t="array" ref="N1192">IF(OR(ISNUMBER(FIND(Aux!$D$3:$D$9,_xlfn.TEXTJOIN(,,C1192:K1192)))),NA(),IF(AND(SUM(C1192:F1192,H1192:K1192)=0,G1192=1),0,INT((SUMPRODUCT(C1192:F1192,COLUMN($A$1:$D$1)-1)+SUMPRODUCT(H1192:K1192,COLUMN($E$1:$H$1)-1))*'Line Follower'!$C$3/SUM(C1192:F1192,H1192:K1192)-'Line Follower'!$C$5)))</f>
        <v>#N/A</v>
      </c>
      <c r="O1192" s="22" t="e">
        <v>#N/A</v>
      </c>
      <c r="P1192" s="4" t="e">
        <f t="shared" si="90"/>
        <v>#N/A</v>
      </c>
      <c r="Q1192" s="4" t="e">
        <f t="shared" si="91"/>
        <v>#N/A</v>
      </c>
      <c r="R1192" s="4" t="e">
        <f>IF(AND(B1192=1,N1192&gt;'Line Follower'!$C$7,SUM(C1192:K1192)&lt;4),1,0)</f>
        <v>#N/A</v>
      </c>
      <c r="S1192" s="4" t="e">
        <f>IF(AND(L1192=1,N1192&lt;'Line Follower'!$C$6,SUM(C1192:K1192)&lt;4),1,0)</f>
        <v>#N/A</v>
      </c>
      <c r="T1192" s="4" t="e">
        <f t="shared" si="92"/>
        <v>#N/A</v>
      </c>
      <c r="U1192" s="5" t="e">
        <f t="shared" si="93"/>
        <v>#N/A</v>
      </c>
      <c r="V1192" s="23" t="e">
        <f t="shared" si="94"/>
        <v>#N/A</v>
      </c>
    </row>
    <row r="1193" spans="2:22" x14ac:dyDescent="0.25">
      <c r="B1193" s="16">
        <v>0</v>
      </c>
      <c r="C1193" s="7">
        <v>1</v>
      </c>
      <c r="D1193" s="8">
        <v>1</v>
      </c>
      <c r="E1193" s="8">
        <v>0</v>
      </c>
      <c r="F1193" s="8">
        <v>0</v>
      </c>
      <c r="G1193" s="8">
        <v>1</v>
      </c>
      <c r="H1193" s="8">
        <v>0</v>
      </c>
      <c r="I1193" s="8">
        <v>1</v>
      </c>
      <c r="J1193" s="8">
        <v>0</v>
      </c>
      <c r="K1193" s="9">
        <v>0</v>
      </c>
      <c r="L1193" s="10">
        <v>1</v>
      </c>
      <c r="M1193" s="6">
        <v>0</v>
      </c>
      <c r="N1193" s="37" t="e" cm="1">
        <f t="array" ref="N1193">IF(OR(ISNUMBER(FIND(Aux!$D$3:$D$9,_xlfn.TEXTJOIN(,,C1193:K1193)))),NA(),IF(AND(SUM(C1193:F1193,H1193:K1193)=0,G1193=1),0,INT((SUMPRODUCT(C1193:F1193,COLUMN($A$1:$D$1)-1)+SUMPRODUCT(H1193:K1193,COLUMN($E$1:$H$1)-1))*'Line Follower'!$C$3/SUM(C1193:F1193,H1193:K1193)-'Line Follower'!$C$5)))</f>
        <v>#N/A</v>
      </c>
      <c r="O1193" s="22" t="e">
        <v>#N/A</v>
      </c>
      <c r="P1193" s="4" t="e">
        <f t="shared" si="90"/>
        <v>#N/A</v>
      </c>
      <c r="Q1193" s="4" t="e">
        <f t="shared" si="91"/>
        <v>#N/A</v>
      </c>
      <c r="R1193" s="4" t="e">
        <f>IF(AND(B1193=1,N1193&gt;'Line Follower'!$C$7,SUM(C1193:K1193)&lt;4),1,0)</f>
        <v>#N/A</v>
      </c>
      <c r="S1193" s="4" t="e">
        <f>IF(AND(L1193=1,N1193&lt;'Line Follower'!$C$6,SUM(C1193:K1193)&lt;4),1,0)</f>
        <v>#N/A</v>
      </c>
      <c r="T1193" s="4" t="e">
        <f t="shared" si="92"/>
        <v>#N/A</v>
      </c>
      <c r="U1193" s="5" t="e">
        <f t="shared" si="93"/>
        <v>#N/A</v>
      </c>
      <c r="V1193" s="23" t="e">
        <f t="shared" si="94"/>
        <v>#N/A</v>
      </c>
    </row>
    <row r="1194" spans="2:22" x14ac:dyDescent="0.25">
      <c r="B1194" s="16">
        <v>1</v>
      </c>
      <c r="C1194" s="7">
        <v>1</v>
      </c>
      <c r="D1194" s="8">
        <v>1</v>
      </c>
      <c r="E1194" s="8">
        <v>0</v>
      </c>
      <c r="F1194" s="8">
        <v>0</v>
      </c>
      <c r="G1194" s="8">
        <v>1</v>
      </c>
      <c r="H1194" s="8">
        <v>0</v>
      </c>
      <c r="I1194" s="8">
        <v>1</v>
      </c>
      <c r="J1194" s="8">
        <v>0</v>
      </c>
      <c r="K1194" s="9">
        <v>0</v>
      </c>
      <c r="L1194" s="10">
        <v>1</v>
      </c>
      <c r="M1194" s="6">
        <v>0</v>
      </c>
      <c r="N1194" s="37" t="e" cm="1">
        <f t="array" ref="N1194">IF(OR(ISNUMBER(FIND(Aux!$D$3:$D$9,_xlfn.TEXTJOIN(,,C1194:K1194)))),NA(),IF(AND(SUM(C1194:F1194,H1194:K1194)=0,G1194=1),0,INT((SUMPRODUCT(C1194:F1194,COLUMN($A$1:$D$1)-1)+SUMPRODUCT(H1194:K1194,COLUMN($E$1:$H$1)-1))*'Line Follower'!$C$3/SUM(C1194:F1194,H1194:K1194)-'Line Follower'!$C$5)))</f>
        <v>#N/A</v>
      </c>
      <c r="O1194" s="22" t="e">
        <v>#N/A</v>
      </c>
      <c r="P1194" s="4" t="e">
        <f t="shared" si="90"/>
        <v>#N/A</v>
      </c>
      <c r="Q1194" s="4" t="e">
        <f t="shared" si="91"/>
        <v>#N/A</v>
      </c>
      <c r="R1194" s="4" t="e">
        <f>IF(AND(B1194=1,N1194&gt;'Line Follower'!$C$7,SUM(C1194:K1194)&lt;4),1,0)</f>
        <v>#N/A</v>
      </c>
      <c r="S1194" s="4" t="e">
        <f>IF(AND(L1194=1,N1194&lt;'Line Follower'!$C$6,SUM(C1194:K1194)&lt;4),1,0)</f>
        <v>#N/A</v>
      </c>
      <c r="T1194" s="4" t="e">
        <f t="shared" si="92"/>
        <v>#N/A</v>
      </c>
      <c r="U1194" s="5" t="e">
        <f t="shared" si="93"/>
        <v>#N/A</v>
      </c>
      <c r="V1194" s="23" t="e">
        <f t="shared" si="94"/>
        <v>#N/A</v>
      </c>
    </row>
    <row r="1195" spans="2:22" x14ac:dyDescent="0.25">
      <c r="B1195" s="16">
        <v>0</v>
      </c>
      <c r="C1195" s="7">
        <v>0</v>
      </c>
      <c r="D1195" s="8">
        <v>0</v>
      </c>
      <c r="E1195" s="8">
        <v>1</v>
      </c>
      <c r="F1195" s="8">
        <v>0</v>
      </c>
      <c r="G1195" s="8">
        <v>1</v>
      </c>
      <c r="H1195" s="8">
        <v>0</v>
      </c>
      <c r="I1195" s="8">
        <v>1</v>
      </c>
      <c r="J1195" s="8">
        <v>0</v>
      </c>
      <c r="K1195" s="9">
        <v>0</v>
      </c>
      <c r="L1195" s="10">
        <v>1</v>
      </c>
      <c r="M1195" s="6">
        <v>0</v>
      </c>
      <c r="N1195" s="37" t="e" cm="1">
        <f t="array" ref="N1195">IF(OR(ISNUMBER(FIND(Aux!$D$3:$D$9,_xlfn.TEXTJOIN(,,C1195:K1195)))),NA(),IF(AND(SUM(C1195:F1195,H1195:K1195)=0,G1195=1),0,INT((SUMPRODUCT(C1195:F1195,COLUMN($A$1:$D$1)-1)+SUMPRODUCT(H1195:K1195,COLUMN($E$1:$H$1)-1))*'Line Follower'!$C$3/SUM(C1195:F1195,H1195:K1195)-'Line Follower'!$C$5)))</f>
        <v>#N/A</v>
      </c>
      <c r="O1195" s="22" t="e">
        <v>#N/A</v>
      </c>
      <c r="P1195" s="4" t="e">
        <f t="shared" si="90"/>
        <v>#N/A</v>
      </c>
      <c r="Q1195" s="4" t="e">
        <f t="shared" si="91"/>
        <v>#N/A</v>
      </c>
      <c r="R1195" s="4" t="e">
        <f>IF(AND(B1195=1,N1195&gt;'Line Follower'!$C$7,SUM(C1195:K1195)&lt;4),1,0)</f>
        <v>#N/A</v>
      </c>
      <c r="S1195" s="4" t="e">
        <f>IF(AND(L1195=1,N1195&lt;'Line Follower'!$C$6,SUM(C1195:K1195)&lt;4),1,0)</f>
        <v>#N/A</v>
      </c>
      <c r="T1195" s="4" t="e">
        <f t="shared" si="92"/>
        <v>#N/A</v>
      </c>
      <c r="U1195" s="5" t="e">
        <f t="shared" si="93"/>
        <v>#N/A</v>
      </c>
      <c r="V1195" s="23" t="e">
        <f t="shared" si="94"/>
        <v>#N/A</v>
      </c>
    </row>
    <row r="1196" spans="2:22" x14ac:dyDescent="0.25">
      <c r="B1196" s="16">
        <v>1</v>
      </c>
      <c r="C1196" s="7">
        <v>0</v>
      </c>
      <c r="D1196" s="8">
        <v>0</v>
      </c>
      <c r="E1196" s="8">
        <v>1</v>
      </c>
      <c r="F1196" s="8">
        <v>0</v>
      </c>
      <c r="G1196" s="8">
        <v>1</v>
      </c>
      <c r="H1196" s="8">
        <v>0</v>
      </c>
      <c r="I1196" s="8">
        <v>1</v>
      </c>
      <c r="J1196" s="8">
        <v>0</v>
      </c>
      <c r="K1196" s="9">
        <v>0</v>
      </c>
      <c r="L1196" s="10">
        <v>1</v>
      </c>
      <c r="M1196" s="6">
        <v>0</v>
      </c>
      <c r="N1196" s="37" t="e" cm="1">
        <f t="array" ref="N1196">IF(OR(ISNUMBER(FIND(Aux!$D$3:$D$9,_xlfn.TEXTJOIN(,,C1196:K1196)))),NA(),IF(AND(SUM(C1196:F1196,H1196:K1196)=0,G1196=1),0,INT((SUMPRODUCT(C1196:F1196,COLUMN($A$1:$D$1)-1)+SUMPRODUCT(H1196:K1196,COLUMN($E$1:$H$1)-1))*'Line Follower'!$C$3/SUM(C1196:F1196,H1196:K1196)-'Line Follower'!$C$5)))</f>
        <v>#N/A</v>
      </c>
      <c r="O1196" s="22" t="e">
        <v>#N/A</v>
      </c>
      <c r="P1196" s="4" t="e">
        <f t="shared" si="90"/>
        <v>#N/A</v>
      </c>
      <c r="Q1196" s="4" t="e">
        <f t="shared" si="91"/>
        <v>#N/A</v>
      </c>
      <c r="R1196" s="4" t="e">
        <f>IF(AND(B1196=1,N1196&gt;'Line Follower'!$C$7,SUM(C1196:K1196)&lt;4),1,0)</f>
        <v>#N/A</v>
      </c>
      <c r="S1196" s="4" t="e">
        <f>IF(AND(L1196=1,N1196&lt;'Line Follower'!$C$6,SUM(C1196:K1196)&lt;4),1,0)</f>
        <v>#N/A</v>
      </c>
      <c r="T1196" s="4" t="e">
        <f t="shared" si="92"/>
        <v>#N/A</v>
      </c>
      <c r="U1196" s="5" t="e">
        <f t="shared" si="93"/>
        <v>#N/A</v>
      </c>
      <c r="V1196" s="23" t="e">
        <f t="shared" si="94"/>
        <v>#N/A</v>
      </c>
    </row>
    <row r="1197" spans="2:22" x14ac:dyDescent="0.25">
      <c r="B1197" s="16">
        <v>0</v>
      </c>
      <c r="C1197" s="7">
        <v>1</v>
      </c>
      <c r="D1197" s="8">
        <v>0</v>
      </c>
      <c r="E1197" s="8">
        <v>1</v>
      </c>
      <c r="F1197" s="8">
        <v>0</v>
      </c>
      <c r="G1197" s="8">
        <v>1</v>
      </c>
      <c r="H1197" s="8">
        <v>0</v>
      </c>
      <c r="I1197" s="8">
        <v>1</v>
      </c>
      <c r="J1197" s="8">
        <v>0</v>
      </c>
      <c r="K1197" s="9">
        <v>0</v>
      </c>
      <c r="L1197" s="10">
        <v>1</v>
      </c>
      <c r="M1197" s="6">
        <v>0</v>
      </c>
      <c r="N1197" s="37" t="e" cm="1">
        <f t="array" ref="N1197">IF(OR(ISNUMBER(FIND(Aux!$D$3:$D$9,_xlfn.TEXTJOIN(,,C1197:K1197)))),NA(),IF(AND(SUM(C1197:F1197,H1197:K1197)=0,G1197=1),0,INT((SUMPRODUCT(C1197:F1197,COLUMN($A$1:$D$1)-1)+SUMPRODUCT(H1197:K1197,COLUMN($E$1:$H$1)-1))*'Line Follower'!$C$3/SUM(C1197:F1197,H1197:K1197)-'Line Follower'!$C$5)))</f>
        <v>#N/A</v>
      </c>
      <c r="O1197" s="22" t="e">
        <v>#N/A</v>
      </c>
      <c r="P1197" s="4" t="e">
        <f t="shared" si="90"/>
        <v>#N/A</v>
      </c>
      <c r="Q1197" s="4" t="e">
        <f t="shared" si="91"/>
        <v>#N/A</v>
      </c>
      <c r="R1197" s="4" t="e">
        <f>IF(AND(B1197=1,N1197&gt;'Line Follower'!$C$7,SUM(C1197:K1197)&lt;4),1,0)</f>
        <v>#N/A</v>
      </c>
      <c r="S1197" s="4" t="e">
        <f>IF(AND(L1197=1,N1197&lt;'Line Follower'!$C$6,SUM(C1197:K1197)&lt;4),1,0)</f>
        <v>#N/A</v>
      </c>
      <c r="T1197" s="4" t="e">
        <f t="shared" si="92"/>
        <v>#N/A</v>
      </c>
      <c r="U1197" s="5" t="e">
        <f t="shared" si="93"/>
        <v>#N/A</v>
      </c>
      <c r="V1197" s="23" t="e">
        <f t="shared" si="94"/>
        <v>#N/A</v>
      </c>
    </row>
    <row r="1198" spans="2:22" x14ac:dyDescent="0.25">
      <c r="B1198" s="16">
        <v>1</v>
      </c>
      <c r="C1198" s="7">
        <v>1</v>
      </c>
      <c r="D1198" s="8">
        <v>0</v>
      </c>
      <c r="E1198" s="8">
        <v>1</v>
      </c>
      <c r="F1198" s="8">
        <v>0</v>
      </c>
      <c r="G1198" s="8">
        <v>1</v>
      </c>
      <c r="H1198" s="8">
        <v>0</v>
      </c>
      <c r="I1198" s="8">
        <v>1</v>
      </c>
      <c r="J1198" s="8">
        <v>0</v>
      </c>
      <c r="K1198" s="9">
        <v>0</v>
      </c>
      <c r="L1198" s="10">
        <v>1</v>
      </c>
      <c r="M1198" s="6">
        <v>0</v>
      </c>
      <c r="N1198" s="37" t="e" cm="1">
        <f t="array" ref="N1198">IF(OR(ISNUMBER(FIND(Aux!$D$3:$D$9,_xlfn.TEXTJOIN(,,C1198:K1198)))),NA(),IF(AND(SUM(C1198:F1198,H1198:K1198)=0,G1198=1),0,INT((SUMPRODUCT(C1198:F1198,COLUMN($A$1:$D$1)-1)+SUMPRODUCT(H1198:K1198,COLUMN($E$1:$H$1)-1))*'Line Follower'!$C$3/SUM(C1198:F1198,H1198:K1198)-'Line Follower'!$C$5)))</f>
        <v>#N/A</v>
      </c>
      <c r="O1198" s="22" t="e">
        <v>#N/A</v>
      </c>
      <c r="P1198" s="4" t="e">
        <f t="shared" si="90"/>
        <v>#N/A</v>
      </c>
      <c r="Q1198" s="4" t="e">
        <f t="shared" si="91"/>
        <v>#N/A</v>
      </c>
      <c r="R1198" s="4" t="e">
        <f>IF(AND(B1198=1,N1198&gt;'Line Follower'!$C$7,SUM(C1198:K1198)&lt;4),1,0)</f>
        <v>#N/A</v>
      </c>
      <c r="S1198" s="4" t="e">
        <f>IF(AND(L1198=1,N1198&lt;'Line Follower'!$C$6,SUM(C1198:K1198)&lt;4),1,0)</f>
        <v>#N/A</v>
      </c>
      <c r="T1198" s="4" t="e">
        <f t="shared" si="92"/>
        <v>#N/A</v>
      </c>
      <c r="U1198" s="5" t="e">
        <f t="shared" si="93"/>
        <v>#N/A</v>
      </c>
      <c r="V1198" s="23" t="e">
        <f t="shared" si="94"/>
        <v>#N/A</v>
      </c>
    </row>
    <row r="1199" spans="2:22" x14ac:dyDescent="0.25">
      <c r="B1199" s="16">
        <v>0</v>
      </c>
      <c r="C1199" s="7">
        <v>0</v>
      </c>
      <c r="D1199" s="8">
        <v>1</v>
      </c>
      <c r="E1199" s="8">
        <v>1</v>
      </c>
      <c r="F1199" s="8">
        <v>0</v>
      </c>
      <c r="G1199" s="8">
        <v>1</v>
      </c>
      <c r="H1199" s="8">
        <v>0</v>
      </c>
      <c r="I1199" s="8">
        <v>1</v>
      </c>
      <c r="J1199" s="8">
        <v>0</v>
      </c>
      <c r="K1199" s="9">
        <v>0</v>
      </c>
      <c r="L1199" s="10">
        <v>1</v>
      </c>
      <c r="M1199" s="6">
        <v>0</v>
      </c>
      <c r="N1199" s="37" t="e" cm="1">
        <f t="array" ref="N1199">IF(OR(ISNUMBER(FIND(Aux!$D$3:$D$9,_xlfn.TEXTJOIN(,,C1199:K1199)))),NA(),IF(AND(SUM(C1199:F1199,H1199:K1199)=0,G1199=1),0,INT((SUMPRODUCT(C1199:F1199,COLUMN($A$1:$D$1)-1)+SUMPRODUCT(H1199:K1199,COLUMN($E$1:$H$1)-1))*'Line Follower'!$C$3/SUM(C1199:F1199,H1199:K1199)-'Line Follower'!$C$5)))</f>
        <v>#N/A</v>
      </c>
      <c r="O1199" s="22" t="e">
        <v>#N/A</v>
      </c>
      <c r="P1199" s="4" t="e">
        <f t="shared" si="90"/>
        <v>#N/A</v>
      </c>
      <c r="Q1199" s="4" t="e">
        <f t="shared" si="91"/>
        <v>#N/A</v>
      </c>
      <c r="R1199" s="4" t="e">
        <f>IF(AND(B1199=1,N1199&gt;'Line Follower'!$C$7,SUM(C1199:K1199)&lt;4),1,0)</f>
        <v>#N/A</v>
      </c>
      <c r="S1199" s="4" t="e">
        <f>IF(AND(L1199=1,N1199&lt;'Line Follower'!$C$6,SUM(C1199:K1199)&lt;4),1,0)</f>
        <v>#N/A</v>
      </c>
      <c r="T1199" s="4" t="e">
        <f t="shared" si="92"/>
        <v>#N/A</v>
      </c>
      <c r="U1199" s="5" t="e">
        <f t="shared" si="93"/>
        <v>#N/A</v>
      </c>
      <c r="V1199" s="23" t="e">
        <f t="shared" si="94"/>
        <v>#N/A</v>
      </c>
    </row>
    <row r="1200" spans="2:22" x14ac:dyDescent="0.25">
      <c r="B1200" s="16">
        <v>1</v>
      </c>
      <c r="C1200" s="7">
        <v>0</v>
      </c>
      <c r="D1200" s="8">
        <v>1</v>
      </c>
      <c r="E1200" s="8">
        <v>1</v>
      </c>
      <c r="F1200" s="8">
        <v>0</v>
      </c>
      <c r="G1200" s="8">
        <v>1</v>
      </c>
      <c r="H1200" s="8">
        <v>0</v>
      </c>
      <c r="I1200" s="8">
        <v>1</v>
      </c>
      <c r="J1200" s="8">
        <v>0</v>
      </c>
      <c r="K1200" s="9">
        <v>0</v>
      </c>
      <c r="L1200" s="10">
        <v>1</v>
      </c>
      <c r="M1200" s="6">
        <v>0</v>
      </c>
      <c r="N1200" s="37" t="e" cm="1">
        <f t="array" ref="N1200">IF(OR(ISNUMBER(FIND(Aux!$D$3:$D$9,_xlfn.TEXTJOIN(,,C1200:K1200)))),NA(),IF(AND(SUM(C1200:F1200,H1200:K1200)=0,G1200=1),0,INT((SUMPRODUCT(C1200:F1200,COLUMN($A$1:$D$1)-1)+SUMPRODUCT(H1200:K1200,COLUMN($E$1:$H$1)-1))*'Line Follower'!$C$3/SUM(C1200:F1200,H1200:K1200)-'Line Follower'!$C$5)))</f>
        <v>#N/A</v>
      </c>
      <c r="O1200" s="22" t="e">
        <v>#N/A</v>
      </c>
      <c r="P1200" s="4" t="e">
        <f t="shared" si="90"/>
        <v>#N/A</v>
      </c>
      <c r="Q1200" s="4" t="e">
        <f t="shared" si="91"/>
        <v>#N/A</v>
      </c>
      <c r="R1200" s="4" t="e">
        <f>IF(AND(B1200=1,N1200&gt;'Line Follower'!$C$7,SUM(C1200:K1200)&lt;4),1,0)</f>
        <v>#N/A</v>
      </c>
      <c r="S1200" s="4" t="e">
        <f>IF(AND(L1200=1,N1200&lt;'Line Follower'!$C$6,SUM(C1200:K1200)&lt;4),1,0)</f>
        <v>#N/A</v>
      </c>
      <c r="T1200" s="4" t="e">
        <f t="shared" si="92"/>
        <v>#N/A</v>
      </c>
      <c r="U1200" s="5" t="e">
        <f t="shared" si="93"/>
        <v>#N/A</v>
      </c>
      <c r="V1200" s="23" t="e">
        <f t="shared" si="94"/>
        <v>#N/A</v>
      </c>
    </row>
    <row r="1201" spans="2:22" x14ac:dyDescent="0.25">
      <c r="B1201" s="16">
        <v>0</v>
      </c>
      <c r="C1201" s="7">
        <v>1</v>
      </c>
      <c r="D1201" s="8">
        <v>1</v>
      </c>
      <c r="E1201" s="8">
        <v>1</v>
      </c>
      <c r="F1201" s="8">
        <v>0</v>
      </c>
      <c r="G1201" s="8">
        <v>1</v>
      </c>
      <c r="H1201" s="8">
        <v>0</v>
      </c>
      <c r="I1201" s="8">
        <v>1</v>
      </c>
      <c r="J1201" s="8">
        <v>0</v>
      </c>
      <c r="K1201" s="9">
        <v>0</v>
      </c>
      <c r="L1201" s="10">
        <v>1</v>
      </c>
      <c r="M1201" s="6">
        <v>0</v>
      </c>
      <c r="N1201" s="37" t="e" cm="1">
        <f t="array" ref="N1201">IF(OR(ISNUMBER(FIND(Aux!$D$3:$D$9,_xlfn.TEXTJOIN(,,C1201:K1201)))),NA(),IF(AND(SUM(C1201:F1201,H1201:K1201)=0,G1201=1),0,INT((SUMPRODUCT(C1201:F1201,COLUMN($A$1:$D$1)-1)+SUMPRODUCT(H1201:K1201,COLUMN($E$1:$H$1)-1))*'Line Follower'!$C$3/SUM(C1201:F1201,H1201:K1201)-'Line Follower'!$C$5)))</f>
        <v>#N/A</v>
      </c>
      <c r="O1201" s="22" t="e">
        <v>#N/A</v>
      </c>
      <c r="P1201" s="4" t="e">
        <f t="shared" si="90"/>
        <v>#N/A</v>
      </c>
      <c r="Q1201" s="4" t="e">
        <f t="shared" si="91"/>
        <v>#N/A</v>
      </c>
      <c r="R1201" s="4" t="e">
        <f>IF(AND(B1201=1,N1201&gt;'Line Follower'!$C$7,SUM(C1201:K1201)&lt;4),1,0)</f>
        <v>#N/A</v>
      </c>
      <c r="S1201" s="4" t="e">
        <f>IF(AND(L1201=1,N1201&lt;'Line Follower'!$C$6,SUM(C1201:K1201)&lt;4),1,0)</f>
        <v>#N/A</v>
      </c>
      <c r="T1201" s="4" t="e">
        <f t="shared" si="92"/>
        <v>#N/A</v>
      </c>
      <c r="U1201" s="5" t="e">
        <f t="shared" si="93"/>
        <v>#N/A</v>
      </c>
      <c r="V1201" s="23" t="e">
        <f t="shared" si="94"/>
        <v>#N/A</v>
      </c>
    </row>
    <row r="1202" spans="2:22" x14ac:dyDescent="0.25">
      <c r="B1202" s="16">
        <v>1</v>
      </c>
      <c r="C1202" s="7">
        <v>1</v>
      </c>
      <c r="D1202" s="8">
        <v>1</v>
      </c>
      <c r="E1202" s="8">
        <v>1</v>
      </c>
      <c r="F1202" s="8">
        <v>0</v>
      </c>
      <c r="G1202" s="8">
        <v>1</v>
      </c>
      <c r="H1202" s="8">
        <v>0</v>
      </c>
      <c r="I1202" s="8">
        <v>1</v>
      </c>
      <c r="J1202" s="8">
        <v>0</v>
      </c>
      <c r="K1202" s="9">
        <v>0</v>
      </c>
      <c r="L1202" s="10">
        <v>1</v>
      </c>
      <c r="M1202" s="6">
        <v>0</v>
      </c>
      <c r="N1202" s="37" t="e" cm="1">
        <f t="array" ref="N1202">IF(OR(ISNUMBER(FIND(Aux!$D$3:$D$9,_xlfn.TEXTJOIN(,,C1202:K1202)))),NA(),IF(AND(SUM(C1202:F1202,H1202:K1202)=0,G1202=1),0,INT((SUMPRODUCT(C1202:F1202,COLUMN($A$1:$D$1)-1)+SUMPRODUCT(H1202:K1202,COLUMN($E$1:$H$1)-1))*'Line Follower'!$C$3/SUM(C1202:F1202,H1202:K1202)-'Line Follower'!$C$5)))</f>
        <v>#N/A</v>
      </c>
      <c r="O1202" s="22" t="e">
        <v>#N/A</v>
      </c>
      <c r="P1202" s="4" t="e">
        <f t="shared" si="90"/>
        <v>#N/A</v>
      </c>
      <c r="Q1202" s="4" t="e">
        <f t="shared" si="91"/>
        <v>#N/A</v>
      </c>
      <c r="R1202" s="4" t="e">
        <f>IF(AND(B1202=1,N1202&gt;'Line Follower'!$C$7,SUM(C1202:K1202)&lt;4),1,0)</f>
        <v>#N/A</v>
      </c>
      <c r="S1202" s="4" t="e">
        <f>IF(AND(L1202=1,N1202&lt;'Line Follower'!$C$6,SUM(C1202:K1202)&lt;4),1,0)</f>
        <v>#N/A</v>
      </c>
      <c r="T1202" s="4" t="e">
        <f t="shared" si="92"/>
        <v>#N/A</v>
      </c>
      <c r="U1202" s="5" t="e">
        <f t="shared" si="93"/>
        <v>#N/A</v>
      </c>
      <c r="V1202" s="23" t="e">
        <f t="shared" si="94"/>
        <v>#N/A</v>
      </c>
    </row>
    <row r="1203" spans="2:22" x14ac:dyDescent="0.25">
      <c r="B1203" s="16">
        <v>0</v>
      </c>
      <c r="C1203" s="7">
        <v>0</v>
      </c>
      <c r="D1203" s="8">
        <v>0</v>
      </c>
      <c r="E1203" s="8">
        <v>0</v>
      </c>
      <c r="F1203" s="8">
        <v>1</v>
      </c>
      <c r="G1203" s="8">
        <v>1</v>
      </c>
      <c r="H1203" s="8">
        <v>0</v>
      </c>
      <c r="I1203" s="8">
        <v>1</v>
      </c>
      <c r="J1203" s="8">
        <v>0</v>
      </c>
      <c r="K1203" s="9">
        <v>0</v>
      </c>
      <c r="L1203" s="10">
        <v>1</v>
      </c>
      <c r="M1203" s="6">
        <v>0</v>
      </c>
      <c r="N1203" s="37" t="e" cm="1">
        <f t="array" ref="N1203">IF(OR(ISNUMBER(FIND(Aux!$D$3:$D$9,_xlfn.TEXTJOIN(,,C1203:K1203)))),NA(),IF(AND(SUM(C1203:F1203,H1203:K1203)=0,G1203=1),0,INT((SUMPRODUCT(C1203:F1203,COLUMN($A$1:$D$1)-1)+SUMPRODUCT(H1203:K1203,COLUMN($E$1:$H$1)-1))*'Line Follower'!$C$3/SUM(C1203:F1203,H1203:K1203)-'Line Follower'!$C$5)))</f>
        <v>#N/A</v>
      </c>
      <c r="O1203" s="22" t="e">
        <v>#N/A</v>
      </c>
      <c r="P1203" s="4" t="e">
        <f t="shared" si="90"/>
        <v>#N/A</v>
      </c>
      <c r="Q1203" s="4" t="e">
        <f t="shared" si="91"/>
        <v>#N/A</v>
      </c>
      <c r="R1203" s="4" t="e">
        <f>IF(AND(B1203=1,N1203&gt;'Line Follower'!$C$7,SUM(C1203:K1203)&lt;4),1,0)</f>
        <v>#N/A</v>
      </c>
      <c r="S1203" s="4" t="e">
        <f>IF(AND(L1203=1,N1203&lt;'Line Follower'!$C$6,SUM(C1203:K1203)&lt;4),1,0)</f>
        <v>#N/A</v>
      </c>
      <c r="T1203" s="4" t="e">
        <f t="shared" si="92"/>
        <v>#N/A</v>
      </c>
      <c r="U1203" s="5" t="e">
        <f t="shared" si="93"/>
        <v>#N/A</v>
      </c>
      <c r="V1203" s="23" t="e">
        <f t="shared" si="94"/>
        <v>#N/A</v>
      </c>
    </row>
    <row r="1204" spans="2:22" x14ac:dyDescent="0.25">
      <c r="B1204" s="16">
        <v>1</v>
      </c>
      <c r="C1204" s="7">
        <v>0</v>
      </c>
      <c r="D1204" s="8">
        <v>0</v>
      </c>
      <c r="E1204" s="8">
        <v>0</v>
      </c>
      <c r="F1204" s="8">
        <v>1</v>
      </c>
      <c r="G1204" s="8">
        <v>1</v>
      </c>
      <c r="H1204" s="8">
        <v>0</v>
      </c>
      <c r="I1204" s="8">
        <v>1</v>
      </c>
      <c r="J1204" s="8">
        <v>0</v>
      </c>
      <c r="K1204" s="9">
        <v>0</v>
      </c>
      <c r="L1204" s="10">
        <v>1</v>
      </c>
      <c r="M1204" s="6">
        <v>0</v>
      </c>
      <c r="N1204" s="37" t="e" cm="1">
        <f t="array" ref="N1204">IF(OR(ISNUMBER(FIND(Aux!$D$3:$D$9,_xlfn.TEXTJOIN(,,C1204:K1204)))),NA(),IF(AND(SUM(C1204:F1204,H1204:K1204)=0,G1204=1),0,INT((SUMPRODUCT(C1204:F1204,COLUMN($A$1:$D$1)-1)+SUMPRODUCT(H1204:K1204,COLUMN($E$1:$H$1)-1))*'Line Follower'!$C$3/SUM(C1204:F1204,H1204:K1204)-'Line Follower'!$C$5)))</f>
        <v>#N/A</v>
      </c>
      <c r="O1204" s="22" t="e">
        <v>#N/A</v>
      </c>
      <c r="P1204" s="4" t="e">
        <f t="shared" si="90"/>
        <v>#N/A</v>
      </c>
      <c r="Q1204" s="4" t="e">
        <f t="shared" si="91"/>
        <v>#N/A</v>
      </c>
      <c r="R1204" s="4" t="e">
        <f>IF(AND(B1204=1,N1204&gt;'Line Follower'!$C$7,SUM(C1204:K1204)&lt;4),1,0)</f>
        <v>#N/A</v>
      </c>
      <c r="S1204" s="4" t="e">
        <f>IF(AND(L1204=1,N1204&lt;'Line Follower'!$C$6,SUM(C1204:K1204)&lt;4),1,0)</f>
        <v>#N/A</v>
      </c>
      <c r="T1204" s="4" t="e">
        <f t="shared" si="92"/>
        <v>#N/A</v>
      </c>
      <c r="U1204" s="5" t="e">
        <f t="shared" si="93"/>
        <v>#N/A</v>
      </c>
      <c r="V1204" s="23" t="e">
        <f t="shared" si="94"/>
        <v>#N/A</v>
      </c>
    </row>
    <row r="1205" spans="2:22" x14ac:dyDescent="0.25">
      <c r="B1205" s="16">
        <v>0</v>
      </c>
      <c r="C1205" s="7">
        <v>1</v>
      </c>
      <c r="D1205" s="8">
        <v>0</v>
      </c>
      <c r="E1205" s="8">
        <v>0</v>
      </c>
      <c r="F1205" s="8">
        <v>1</v>
      </c>
      <c r="G1205" s="8">
        <v>1</v>
      </c>
      <c r="H1205" s="8">
        <v>0</v>
      </c>
      <c r="I1205" s="8">
        <v>1</v>
      </c>
      <c r="J1205" s="8">
        <v>0</v>
      </c>
      <c r="K1205" s="9">
        <v>0</v>
      </c>
      <c r="L1205" s="10">
        <v>1</v>
      </c>
      <c r="M1205" s="6">
        <v>0</v>
      </c>
      <c r="N1205" s="37" t="e" cm="1">
        <f t="array" ref="N1205">IF(OR(ISNUMBER(FIND(Aux!$D$3:$D$9,_xlfn.TEXTJOIN(,,C1205:K1205)))),NA(),IF(AND(SUM(C1205:F1205,H1205:K1205)=0,G1205=1),0,INT((SUMPRODUCT(C1205:F1205,COLUMN($A$1:$D$1)-1)+SUMPRODUCT(H1205:K1205,COLUMN($E$1:$H$1)-1))*'Line Follower'!$C$3/SUM(C1205:F1205,H1205:K1205)-'Line Follower'!$C$5)))</f>
        <v>#N/A</v>
      </c>
      <c r="O1205" s="22" t="e">
        <v>#N/A</v>
      </c>
      <c r="P1205" s="4" t="e">
        <f t="shared" si="90"/>
        <v>#N/A</v>
      </c>
      <c r="Q1205" s="4" t="e">
        <f t="shared" si="91"/>
        <v>#N/A</v>
      </c>
      <c r="R1205" s="4" t="e">
        <f>IF(AND(B1205=1,N1205&gt;'Line Follower'!$C$7,SUM(C1205:K1205)&lt;4),1,0)</f>
        <v>#N/A</v>
      </c>
      <c r="S1205" s="4" t="e">
        <f>IF(AND(L1205=1,N1205&lt;'Line Follower'!$C$6,SUM(C1205:K1205)&lt;4),1,0)</f>
        <v>#N/A</v>
      </c>
      <c r="T1205" s="4" t="e">
        <f t="shared" si="92"/>
        <v>#N/A</v>
      </c>
      <c r="U1205" s="5" t="e">
        <f t="shared" si="93"/>
        <v>#N/A</v>
      </c>
      <c r="V1205" s="23" t="e">
        <f t="shared" si="94"/>
        <v>#N/A</v>
      </c>
    </row>
    <row r="1206" spans="2:22" x14ac:dyDescent="0.25">
      <c r="B1206" s="16">
        <v>1</v>
      </c>
      <c r="C1206" s="7">
        <v>1</v>
      </c>
      <c r="D1206" s="8">
        <v>0</v>
      </c>
      <c r="E1206" s="8">
        <v>0</v>
      </c>
      <c r="F1206" s="8">
        <v>1</v>
      </c>
      <c r="G1206" s="8">
        <v>1</v>
      </c>
      <c r="H1206" s="8">
        <v>0</v>
      </c>
      <c r="I1206" s="8">
        <v>1</v>
      </c>
      <c r="J1206" s="8">
        <v>0</v>
      </c>
      <c r="K1206" s="9">
        <v>0</v>
      </c>
      <c r="L1206" s="10">
        <v>1</v>
      </c>
      <c r="M1206" s="6">
        <v>0</v>
      </c>
      <c r="N1206" s="37" t="e" cm="1">
        <f t="array" ref="N1206">IF(OR(ISNUMBER(FIND(Aux!$D$3:$D$9,_xlfn.TEXTJOIN(,,C1206:K1206)))),NA(),IF(AND(SUM(C1206:F1206,H1206:K1206)=0,G1206=1),0,INT((SUMPRODUCT(C1206:F1206,COLUMN($A$1:$D$1)-1)+SUMPRODUCT(H1206:K1206,COLUMN($E$1:$H$1)-1))*'Line Follower'!$C$3/SUM(C1206:F1206,H1206:K1206)-'Line Follower'!$C$5)))</f>
        <v>#N/A</v>
      </c>
      <c r="O1206" s="22" t="e">
        <v>#N/A</v>
      </c>
      <c r="P1206" s="4" t="e">
        <f t="shared" si="90"/>
        <v>#N/A</v>
      </c>
      <c r="Q1206" s="4" t="e">
        <f t="shared" si="91"/>
        <v>#N/A</v>
      </c>
      <c r="R1206" s="4" t="e">
        <f>IF(AND(B1206=1,N1206&gt;'Line Follower'!$C$7,SUM(C1206:K1206)&lt;4),1,0)</f>
        <v>#N/A</v>
      </c>
      <c r="S1206" s="4" t="e">
        <f>IF(AND(L1206=1,N1206&lt;'Line Follower'!$C$6,SUM(C1206:K1206)&lt;4),1,0)</f>
        <v>#N/A</v>
      </c>
      <c r="T1206" s="4" t="e">
        <f t="shared" si="92"/>
        <v>#N/A</v>
      </c>
      <c r="U1206" s="5" t="e">
        <f t="shared" si="93"/>
        <v>#N/A</v>
      </c>
      <c r="V1206" s="23" t="e">
        <f t="shared" si="94"/>
        <v>#N/A</v>
      </c>
    </row>
    <row r="1207" spans="2:22" x14ac:dyDescent="0.25">
      <c r="B1207" s="16">
        <v>0</v>
      </c>
      <c r="C1207" s="7">
        <v>0</v>
      </c>
      <c r="D1207" s="8">
        <v>1</v>
      </c>
      <c r="E1207" s="8">
        <v>0</v>
      </c>
      <c r="F1207" s="8">
        <v>1</v>
      </c>
      <c r="G1207" s="8">
        <v>1</v>
      </c>
      <c r="H1207" s="8">
        <v>0</v>
      </c>
      <c r="I1207" s="8">
        <v>1</v>
      </c>
      <c r="J1207" s="8">
        <v>0</v>
      </c>
      <c r="K1207" s="9">
        <v>0</v>
      </c>
      <c r="L1207" s="10">
        <v>1</v>
      </c>
      <c r="M1207" s="6">
        <v>0</v>
      </c>
      <c r="N1207" s="37" t="e" cm="1">
        <f t="array" ref="N1207">IF(OR(ISNUMBER(FIND(Aux!$D$3:$D$9,_xlfn.TEXTJOIN(,,C1207:K1207)))),NA(),IF(AND(SUM(C1207:F1207,H1207:K1207)=0,G1207=1),0,INT((SUMPRODUCT(C1207:F1207,COLUMN($A$1:$D$1)-1)+SUMPRODUCT(H1207:K1207,COLUMN($E$1:$H$1)-1))*'Line Follower'!$C$3/SUM(C1207:F1207,H1207:K1207)-'Line Follower'!$C$5)))</f>
        <v>#N/A</v>
      </c>
      <c r="O1207" s="22" t="e">
        <v>#N/A</v>
      </c>
      <c r="P1207" s="4" t="e">
        <f t="shared" si="90"/>
        <v>#N/A</v>
      </c>
      <c r="Q1207" s="4" t="e">
        <f t="shared" si="91"/>
        <v>#N/A</v>
      </c>
      <c r="R1207" s="4" t="e">
        <f>IF(AND(B1207=1,N1207&gt;'Line Follower'!$C$7,SUM(C1207:K1207)&lt;4),1,0)</f>
        <v>#N/A</v>
      </c>
      <c r="S1207" s="4" t="e">
        <f>IF(AND(L1207=1,N1207&lt;'Line Follower'!$C$6,SUM(C1207:K1207)&lt;4),1,0)</f>
        <v>#N/A</v>
      </c>
      <c r="T1207" s="4" t="e">
        <f t="shared" si="92"/>
        <v>#N/A</v>
      </c>
      <c r="U1207" s="5" t="e">
        <f t="shared" si="93"/>
        <v>#N/A</v>
      </c>
      <c r="V1207" s="23" t="e">
        <f t="shared" si="94"/>
        <v>#N/A</v>
      </c>
    </row>
    <row r="1208" spans="2:22" x14ac:dyDescent="0.25">
      <c r="B1208" s="16">
        <v>1</v>
      </c>
      <c r="C1208" s="7">
        <v>0</v>
      </c>
      <c r="D1208" s="8">
        <v>1</v>
      </c>
      <c r="E1208" s="8">
        <v>0</v>
      </c>
      <c r="F1208" s="8">
        <v>1</v>
      </c>
      <c r="G1208" s="8">
        <v>1</v>
      </c>
      <c r="H1208" s="8">
        <v>0</v>
      </c>
      <c r="I1208" s="8">
        <v>1</v>
      </c>
      <c r="J1208" s="8">
        <v>0</v>
      </c>
      <c r="K1208" s="9">
        <v>0</v>
      </c>
      <c r="L1208" s="10">
        <v>1</v>
      </c>
      <c r="M1208" s="6">
        <v>0</v>
      </c>
      <c r="N1208" s="37" t="e" cm="1">
        <f t="array" ref="N1208">IF(OR(ISNUMBER(FIND(Aux!$D$3:$D$9,_xlfn.TEXTJOIN(,,C1208:K1208)))),NA(),IF(AND(SUM(C1208:F1208,H1208:K1208)=0,G1208=1),0,INT((SUMPRODUCT(C1208:F1208,COLUMN($A$1:$D$1)-1)+SUMPRODUCT(H1208:K1208,COLUMN($E$1:$H$1)-1))*'Line Follower'!$C$3/SUM(C1208:F1208,H1208:K1208)-'Line Follower'!$C$5)))</f>
        <v>#N/A</v>
      </c>
      <c r="O1208" s="22" t="e">
        <v>#N/A</v>
      </c>
      <c r="P1208" s="4" t="e">
        <f t="shared" si="90"/>
        <v>#N/A</v>
      </c>
      <c r="Q1208" s="4" t="e">
        <f t="shared" si="91"/>
        <v>#N/A</v>
      </c>
      <c r="R1208" s="4" t="e">
        <f>IF(AND(B1208=1,N1208&gt;'Line Follower'!$C$7,SUM(C1208:K1208)&lt;4),1,0)</f>
        <v>#N/A</v>
      </c>
      <c r="S1208" s="4" t="e">
        <f>IF(AND(L1208=1,N1208&lt;'Line Follower'!$C$6,SUM(C1208:K1208)&lt;4),1,0)</f>
        <v>#N/A</v>
      </c>
      <c r="T1208" s="4" t="e">
        <f t="shared" si="92"/>
        <v>#N/A</v>
      </c>
      <c r="U1208" s="5" t="e">
        <f t="shared" si="93"/>
        <v>#N/A</v>
      </c>
      <c r="V1208" s="23" t="e">
        <f t="shared" si="94"/>
        <v>#N/A</v>
      </c>
    </row>
    <row r="1209" spans="2:22" x14ac:dyDescent="0.25">
      <c r="B1209" s="16">
        <v>0</v>
      </c>
      <c r="C1209" s="7">
        <v>1</v>
      </c>
      <c r="D1209" s="8">
        <v>1</v>
      </c>
      <c r="E1209" s="8">
        <v>0</v>
      </c>
      <c r="F1209" s="8">
        <v>1</v>
      </c>
      <c r="G1209" s="8">
        <v>1</v>
      </c>
      <c r="H1209" s="8">
        <v>0</v>
      </c>
      <c r="I1209" s="8">
        <v>1</v>
      </c>
      <c r="J1209" s="8">
        <v>0</v>
      </c>
      <c r="K1209" s="9">
        <v>0</v>
      </c>
      <c r="L1209" s="10">
        <v>1</v>
      </c>
      <c r="M1209" s="6">
        <v>0</v>
      </c>
      <c r="N1209" s="37" t="e" cm="1">
        <f t="array" ref="N1209">IF(OR(ISNUMBER(FIND(Aux!$D$3:$D$9,_xlfn.TEXTJOIN(,,C1209:K1209)))),NA(),IF(AND(SUM(C1209:F1209,H1209:K1209)=0,G1209=1),0,INT((SUMPRODUCT(C1209:F1209,COLUMN($A$1:$D$1)-1)+SUMPRODUCT(H1209:K1209,COLUMN($E$1:$H$1)-1))*'Line Follower'!$C$3/SUM(C1209:F1209,H1209:K1209)-'Line Follower'!$C$5)))</f>
        <v>#N/A</v>
      </c>
      <c r="O1209" s="22" t="e">
        <v>#N/A</v>
      </c>
      <c r="P1209" s="4" t="e">
        <f t="shared" si="90"/>
        <v>#N/A</v>
      </c>
      <c r="Q1209" s="4" t="e">
        <f t="shared" si="91"/>
        <v>#N/A</v>
      </c>
      <c r="R1209" s="4" t="e">
        <f>IF(AND(B1209=1,N1209&gt;'Line Follower'!$C$7,SUM(C1209:K1209)&lt;4),1,0)</f>
        <v>#N/A</v>
      </c>
      <c r="S1209" s="4" t="e">
        <f>IF(AND(L1209=1,N1209&lt;'Line Follower'!$C$6,SUM(C1209:K1209)&lt;4),1,0)</f>
        <v>#N/A</v>
      </c>
      <c r="T1209" s="4" t="e">
        <f t="shared" si="92"/>
        <v>#N/A</v>
      </c>
      <c r="U1209" s="5" t="e">
        <f t="shared" si="93"/>
        <v>#N/A</v>
      </c>
      <c r="V1209" s="23" t="e">
        <f t="shared" si="94"/>
        <v>#N/A</v>
      </c>
    </row>
    <row r="1210" spans="2:22" x14ac:dyDescent="0.25">
      <c r="B1210" s="16">
        <v>1</v>
      </c>
      <c r="C1210" s="7">
        <v>1</v>
      </c>
      <c r="D1210" s="8">
        <v>1</v>
      </c>
      <c r="E1210" s="8">
        <v>0</v>
      </c>
      <c r="F1210" s="8">
        <v>1</v>
      </c>
      <c r="G1210" s="8">
        <v>1</v>
      </c>
      <c r="H1210" s="8">
        <v>0</v>
      </c>
      <c r="I1210" s="8">
        <v>1</v>
      </c>
      <c r="J1210" s="8">
        <v>0</v>
      </c>
      <c r="K1210" s="9">
        <v>0</v>
      </c>
      <c r="L1210" s="10">
        <v>1</v>
      </c>
      <c r="M1210" s="6">
        <v>0</v>
      </c>
      <c r="N1210" s="37" t="e" cm="1">
        <f t="array" ref="N1210">IF(OR(ISNUMBER(FIND(Aux!$D$3:$D$9,_xlfn.TEXTJOIN(,,C1210:K1210)))),NA(),IF(AND(SUM(C1210:F1210,H1210:K1210)=0,G1210=1),0,INT((SUMPRODUCT(C1210:F1210,COLUMN($A$1:$D$1)-1)+SUMPRODUCT(H1210:K1210,COLUMN($E$1:$H$1)-1))*'Line Follower'!$C$3/SUM(C1210:F1210,H1210:K1210)-'Line Follower'!$C$5)))</f>
        <v>#N/A</v>
      </c>
      <c r="O1210" s="22" t="e">
        <v>#N/A</v>
      </c>
      <c r="P1210" s="4" t="e">
        <f t="shared" si="90"/>
        <v>#N/A</v>
      </c>
      <c r="Q1210" s="4" t="e">
        <f t="shared" si="91"/>
        <v>#N/A</v>
      </c>
      <c r="R1210" s="4" t="e">
        <f>IF(AND(B1210=1,N1210&gt;'Line Follower'!$C$7,SUM(C1210:K1210)&lt;4),1,0)</f>
        <v>#N/A</v>
      </c>
      <c r="S1210" s="4" t="e">
        <f>IF(AND(L1210=1,N1210&lt;'Line Follower'!$C$6,SUM(C1210:K1210)&lt;4),1,0)</f>
        <v>#N/A</v>
      </c>
      <c r="T1210" s="4" t="e">
        <f t="shared" si="92"/>
        <v>#N/A</v>
      </c>
      <c r="U1210" s="5" t="e">
        <f t="shared" si="93"/>
        <v>#N/A</v>
      </c>
      <c r="V1210" s="23" t="e">
        <f t="shared" si="94"/>
        <v>#N/A</v>
      </c>
    </row>
    <row r="1211" spans="2:22" x14ac:dyDescent="0.25">
      <c r="B1211" s="16">
        <v>0</v>
      </c>
      <c r="C1211" s="7">
        <v>0</v>
      </c>
      <c r="D1211" s="8">
        <v>0</v>
      </c>
      <c r="E1211" s="8">
        <v>1</v>
      </c>
      <c r="F1211" s="8">
        <v>1</v>
      </c>
      <c r="G1211" s="8">
        <v>1</v>
      </c>
      <c r="H1211" s="8">
        <v>0</v>
      </c>
      <c r="I1211" s="8">
        <v>1</v>
      </c>
      <c r="J1211" s="8">
        <v>0</v>
      </c>
      <c r="K1211" s="9">
        <v>0</v>
      </c>
      <c r="L1211" s="10">
        <v>1</v>
      </c>
      <c r="M1211" s="6">
        <v>0</v>
      </c>
      <c r="N1211" s="37" t="e" cm="1">
        <f t="array" ref="N1211">IF(OR(ISNUMBER(FIND(Aux!$D$3:$D$9,_xlfn.TEXTJOIN(,,C1211:K1211)))),NA(),IF(AND(SUM(C1211:F1211,H1211:K1211)=0,G1211=1),0,INT((SUMPRODUCT(C1211:F1211,COLUMN($A$1:$D$1)-1)+SUMPRODUCT(H1211:K1211,COLUMN($E$1:$H$1)-1))*'Line Follower'!$C$3/SUM(C1211:F1211,H1211:K1211)-'Line Follower'!$C$5)))</f>
        <v>#N/A</v>
      </c>
      <c r="O1211" s="22" t="e">
        <v>#N/A</v>
      </c>
      <c r="P1211" s="4" t="e">
        <f t="shared" si="90"/>
        <v>#N/A</v>
      </c>
      <c r="Q1211" s="4" t="e">
        <f t="shared" si="91"/>
        <v>#N/A</v>
      </c>
      <c r="R1211" s="4" t="e">
        <f>IF(AND(B1211=1,N1211&gt;'Line Follower'!$C$7,SUM(C1211:K1211)&lt;4),1,0)</f>
        <v>#N/A</v>
      </c>
      <c r="S1211" s="4" t="e">
        <f>IF(AND(L1211=1,N1211&lt;'Line Follower'!$C$6,SUM(C1211:K1211)&lt;4),1,0)</f>
        <v>#N/A</v>
      </c>
      <c r="T1211" s="4" t="e">
        <f t="shared" si="92"/>
        <v>#N/A</v>
      </c>
      <c r="U1211" s="5" t="e">
        <f t="shared" si="93"/>
        <v>#N/A</v>
      </c>
      <c r="V1211" s="23" t="e">
        <f t="shared" si="94"/>
        <v>#N/A</v>
      </c>
    </row>
    <row r="1212" spans="2:22" x14ac:dyDescent="0.25">
      <c r="B1212" s="16">
        <v>1</v>
      </c>
      <c r="C1212" s="7">
        <v>0</v>
      </c>
      <c r="D1212" s="8">
        <v>0</v>
      </c>
      <c r="E1212" s="8">
        <v>1</v>
      </c>
      <c r="F1212" s="8">
        <v>1</v>
      </c>
      <c r="G1212" s="8">
        <v>1</v>
      </c>
      <c r="H1212" s="8">
        <v>0</v>
      </c>
      <c r="I1212" s="8">
        <v>1</v>
      </c>
      <c r="J1212" s="8">
        <v>0</v>
      </c>
      <c r="K1212" s="9">
        <v>0</v>
      </c>
      <c r="L1212" s="10">
        <v>1</v>
      </c>
      <c r="M1212" s="6">
        <v>0</v>
      </c>
      <c r="N1212" s="37" t="e" cm="1">
        <f t="array" ref="N1212">IF(OR(ISNUMBER(FIND(Aux!$D$3:$D$9,_xlfn.TEXTJOIN(,,C1212:K1212)))),NA(),IF(AND(SUM(C1212:F1212,H1212:K1212)=0,G1212=1),0,INT((SUMPRODUCT(C1212:F1212,COLUMN($A$1:$D$1)-1)+SUMPRODUCT(H1212:K1212,COLUMN($E$1:$H$1)-1))*'Line Follower'!$C$3/SUM(C1212:F1212,H1212:K1212)-'Line Follower'!$C$5)))</f>
        <v>#N/A</v>
      </c>
      <c r="O1212" s="22" t="e">
        <v>#N/A</v>
      </c>
      <c r="P1212" s="4" t="e">
        <f t="shared" si="90"/>
        <v>#N/A</v>
      </c>
      <c r="Q1212" s="4" t="e">
        <f t="shared" si="91"/>
        <v>#N/A</v>
      </c>
      <c r="R1212" s="4" t="e">
        <f>IF(AND(B1212=1,N1212&gt;'Line Follower'!$C$7,SUM(C1212:K1212)&lt;4),1,0)</f>
        <v>#N/A</v>
      </c>
      <c r="S1212" s="4" t="e">
        <f>IF(AND(L1212=1,N1212&lt;'Line Follower'!$C$6,SUM(C1212:K1212)&lt;4),1,0)</f>
        <v>#N/A</v>
      </c>
      <c r="T1212" s="4" t="e">
        <f t="shared" si="92"/>
        <v>#N/A</v>
      </c>
      <c r="U1212" s="5" t="e">
        <f t="shared" si="93"/>
        <v>#N/A</v>
      </c>
      <c r="V1212" s="23" t="e">
        <f t="shared" si="94"/>
        <v>#N/A</v>
      </c>
    </row>
    <row r="1213" spans="2:22" x14ac:dyDescent="0.25">
      <c r="B1213" s="16">
        <v>0</v>
      </c>
      <c r="C1213" s="7">
        <v>1</v>
      </c>
      <c r="D1213" s="8">
        <v>0</v>
      </c>
      <c r="E1213" s="8">
        <v>1</v>
      </c>
      <c r="F1213" s="8">
        <v>1</v>
      </c>
      <c r="G1213" s="8">
        <v>1</v>
      </c>
      <c r="H1213" s="8">
        <v>0</v>
      </c>
      <c r="I1213" s="8">
        <v>1</v>
      </c>
      <c r="J1213" s="8">
        <v>0</v>
      </c>
      <c r="K1213" s="9">
        <v>0</v>
      </c>
      <c r="L1213" s="10">
        <v>1</v>
      </c>
      <c r="M1213" s="6">
        <v>0</v>
      </c>
      <c r="N1213" s="37" t="e" cm="1">
        <f t="array" ref="N1213">IF(OR(ISNUMBER(FIND(Aux!$D$3:$D$9,_xlfn.TEXTJOIN(,,C1213:K1213)))),NA(),IF(AND(SUM(C1213:F1213,H1213:K1213)=0,G1213=1),0,INT((SUMPRODUCT(C1213:F1213,COLUMN($A$1:$D$1)-1)+SUMPRODUCT(H1213:K1213,COLUMN($E$1:$H$1)-1))*'Line Follower'!$C$3/SUM(C1213:F1213,H1213:K1213)-'Line Follower'!$C$5)))</f>
        <v>#N/A</v>
      </c>
      <c r="O1213" s="22" t="e">
        <v>#N/A</v>
      </c>
      <c r="P1213" s="4" t="e">
        <f t="shared" si="90"/>
        <v>#N/A</v>
      </c>
      <c r="Q1213" s="4" t="e">
        <f t="shared" si="91"/>
        <v>#N/A</v>
      </c>
      <c r="R1213" s="4" t="e">
        <f>IF(AND(B1213=1,N1213&gt;'Line Follower'!$C$7,SUM(C1213:K1213)&lt;4),1,0)</f>
        <v>#N/A</v>
      </c>
      <c r="S1213" s="4" t="e">
        <f>IF(AND(L1213=1,N1213&lt;'Line Follower'!$C$6,SUM(C1213:K1213)&lt;4),1,0)</f>
        <v>#N/A</v>
      </c>
      <c r="T1213" s="4" t="e">
        <f t="shared" si="92"/>
        <v>#N/A</v>
      </c>
      <c r="U1213" s="5" t="e">
        <f t="shared" si="93"/>
        <v>#N/A</v>
      </c>
      <c r="V1213" s="23" t="e">
        <f t="shared" si="94"/>
        <v>#N/A</v>
      </c>
    </row>
    <row r="1214" spans="2:22" x14ac:dyDescent="0.25">
      <c r="B1214" s="16">
        <v>1</v>
      </c>
      <c r="C1214" s="7">
        <v>1</v>
      </c>
      <c r="D1214" s="8">
        <v>0</v>
      </c>
      <c r="E1214" s="8">
        <v>1</v>
      </c>
      <c r="F1214" s="8">
        <v>1</v>
      </c>
      <c r="G1214" s="8">
        <v>1</v>
      </c>
      <c r="H1214" s="8">
        <v>0</v>
      </c>
      <c r="I1214" s="8">
        <v>1</v>
      </c>
      <c r="J1214" s="8">
        <v>0</v>
      </c>
      <c r="K1214" s="9">
        <v>0</v>
      </c>
      <c r="L1214" s="10">
        <v>1</v>
      </c>
      <c r="M1214" s="6">
        <v>0</v>
      </c>
      <c r="N1214" s="37" t="e" cm="1">
        <f t="array" ref="N1214">IF(OR(ISNUMBER(FIND(Aux!$D$3:$D$9,_xlfn.TEXTJOIN(,,C1214:K1214)))),NA(),IF(AND(SUM(C1214:F1214,H1214:K1214)=0,G1214=1),0,INT((SUMPRODUCT(C1214:F1214,COLUMN($A$1:$D$1)-1)+SUMPRODUCT(H1214:K1214,COLUMN($E$1:$H$1)-1))*'Line Follower'!$C$3/SUM(C1214:F1214,H1214:K1214)-'Line Follower'!$C$5)))</f>
        <v>#N/A</v>
      </c>
      <c r="O1214" s="22" t="e">
        <v>#N/A</v>
      </c>
      <c r="P1214" s="4" t="e">
        <f t="shared" si="90"/>
        <v>#N/A</v>
      </c>
      <c r="Q1214" s="4" t="e">
        <f t="shared" si="91"/>
        <v>#N/A</v>
      </c>
      <c r="R1214" s="4" t="e">
        <f>IF(AND(B1214=1,N1214&gt;'Line Follower'!$C$7,SUM(C1214:K1214)&lt;4),1,0)</f>
        <v>#N/A</v>
      </c>
      <c r="S1214" s="4" t="e">
        <f>IF(AND(L1214=1,N1214&lt;'Line Follower'!$C$6,SUM(C1214:K1214)&lt;4),1,0)</f>
        <v>#N/A</v>
      </c>
      <c r="T1214" s="4" t="e">
        <f t="shared" si="92"/>
        <v>#N/A</v>
      </c>
      <c r="U1214" s="5" t="e">
        <f t="shared" si="93"/>
        <v>#N/A</v>
      </c>
      <c r="V1214" s="23" t="e">
        <f t="shared" si="94"/>
        <v>#N/A</v>
      </c>
    </row>
    <row r="1215" spans="2:22" x14ac:dyDescent="0.25">
      <c r="B1215" s="16">
        <v>0</v>
      </c>
      <c r="C1215" s="7">
        <v>0</v>
      </c>
      <c r="D1215" s="8">
        <v>1</v>
      </c>
      <c r="E1215" s="8">
        <v>1</v>
      </c>
      <c r="F1215" s="8">
        <v>1</v>
      </c>
      <c r="G1215" s="8">
        <v>1</v>
      </c>
      <c r="H1215" s="8">
        <v>0</v>
      </c>
      <c r="I1215" s="8">
        <v>1</v>
      </c>
      <c r="J1215" s="8">
        <v>0</v>
      </c>
      <c r="K1215" s="9">
        <v>0</v>
      </c>
      <c r="L1215" s="10">
        <v>1</v>
      </c>
      <c r="M1215" s="6">
        <v>0</v>
      </c>
      <c r="N1215" s="37" t="e" cm="1">
        <f t="array" ref="N1215">IF(OR(ISNUMBER(FIND(Aux!$D$3:$D$9,_xlfn.TEXTJOIN(,,C1215:K1215)))),NA(),IF(AND(SUM(C1215:F1215,H1215:K1215)=0,G1215=1),0,INT((SUMPRODUCT(C1215:F1215,COLUMN($A$1:$D$1)-1)+SUMPRODUCT(H1215:K1215,COLUMN($E$1:$H$1)-1))*'Line Follower'!$C$3/SUM(C1215:F1215,H1215:K1215)-'Line Follower'!$C$5)))</f>
        <v>#N/A</v>
      </c>
      <c r="O1215" s="22" t="e">
        <v>#N/A</v>
      </c>
      <c r="P1215" s="4" t="e">
        <f t="shared" si="90"/>
        <v>#N/A</v>
      </c>
      <c r="Q1215" s="4" t="e">
        <f t="shared" si="91"/>
        <v>#N/A</v>
      </c>
      <c r="R1215" s="4" t="e">
        <f>IF(AND(B1215=1,N1215&gt;'Line Follower'!$C$7,SUM(C1215:K1215)&lt;4),1,0)</f>
        <v>#N/A</v>
      </c>
      <c r="S1215" s="4" t="e">
        <f>IF(AND(L1215=1,N1215&lt;'Line Follower'!$C$6,SUM(C1215:K1215)&lt;4),1,0)</f>
        <v>#N/A</v>
      </c>
      <c r="T1215" s="4" t="e">
        <f t="shared" si="92"/>
        <v>#N/A</v>
      </c>
      <c r="U1215" s="5" t="e">
        <f t="shared" si="93"/>
        <v>#N/A</v>
      </c>
      <c r="V1215" s="23" t="e">
        <f t="shared" si="94"/>
        <v>#N/A</v>
      </c>
    </row>
    <row r="1216" spans="2:22" x14ac:dyDescent="0.25">
      <c r="B1216" s="16">
        <v>1</v>
      </c>
      <c r="C1216" s="7">
        <v>0</v>
      </c>
      <c r="D1216" s="8">
        <v>1</v>
      </c>
      <c r="E1216" s="8">
        <v>1</v>
      </c>
      <c r="F1216" s="8">
        <v>1</v>
      </c>
      <c r="G1216" s="8">
        <v>1</v>
      </c>
      <c r="H1216" s="8">
        <v>0</v>
      </c>
      <c r="I1216" s="8">
        <v>1</v>
      </c>
      <c r="J1216" s="8">
        <v>0</v>
      </c>
      <c r="K1216" s="9">
        <v>0</v>
      </c>
      <c r="L1216" s="10">
        <v>1</v>
      </c>
      <c r="M1216" s="6">
        <v>0</v>
      </c>
      <c r="N1216" s="37" t="e" cm="1">
        <f t="array" ref="N1216">IF(OR(ISNUMBER(FIND(Aux!$D$3:$D$9,_xlfn.TEXTJOIN(,,C1216:K1216)))),NA(),IF(AND(SUM(C1216:F1216,H1216:K1216)=0,G1216=1),0,INT((SUMPRODUCT(C1216:F1216,COLUMN($A$1:$D$1)-1)+SUMPRODUCT(H1216:K1216,COLUMN($E$1:$H$1)-1))*'Line Follower'!$C$3/SUM(C1216:F1216,H1216:K1216)-'Line Follower'!$C$5)))</f>
        <v>#N/A</v>
      </c>
      <c r="O1216" s="22" t="e">
        <v>#N/A</v>
      </c>
      <c r="P1216" s="4" t="e">
        <f t="shared" si="90"/>
        <v>#N/A</v>
      </c>
      <c r="Q1216" s="4" t="e">
        <f t="shared" si="91"/>
        <v>#N/A</v>
      </c>
      <c r="R1216" s="4" t="e">
        <f>IF(AND(B1216=1,N1216&gt;'Line Follower'!$C$7,SUM(C1216:K1216)&lt;4),1,0)</f>
        <v>#N/A</v>
      </c>
      <c r="S1216" s="4" t="e">
        <f>IF(AND(L1216=1,N1216&lt;'Line Follower'!$C$6,SUM(C1216:K1216)&lt;4),1,0)</f>
        <v>#N/A</v>
      </c>
      <c r="T1216" s="4" t="e">
        <f t="shared" si="92"/>
        <v>#N/A</v>
      </c>
      <c r="U1216" s="5" t="e">
        <f t="shared" si="93"/>
        <v>#N/A</v>
      </c>
      <c r="V1216" s="23" t="e">
        <f t="shared" si="94"/>
        <v>#N/A</v>
      </c>
    </row>
    <row r="1217" spans="2:22" x14ac:dyDescent="0.25">
      <c r="B1217" s="16">
        <v>0</v>
      </c>
      <c r="C1217" s="7">
        <v>1</v>
      </c>
      <c r="D1217" s="8">
        <v>1</v>
      </c>
      <c r="E1217" s="8">
        <v>1</v>
      </c>
      <c r="F1217" s="8">
        <v>1</v>
      </c>
      <c r="G1217" s="8">
        <v>1</v>
      </c>
      <c r="H1217" s="8">
        <v>0</v>
      </c>
      <c r="I1217" s="8">
        <v>1</v>
      </c>
      <c r="J1217" s="8">
        <v>0</v>
      </c>
      <c r="K1217" s="9">
        <v>0</v>
      </c>
      <c r="L1217" s="10">
        <v>1</v>
      </c>
      <c r="M1217" s="6">
        <v>0</v>
      </c>
      <c r="N1217" s="37" t="e" cm="1">
        <f t="array" ref="N1217">IF(OR(ISNUMBER(FIND(Aux!$D$3:$D$9,_xlfn.TEXTJOIN(,,C1217:K1217)))),NA(),IF(AND(SUM(C1217:F1217,H1217:K1217)=0,G1217=1),0,INT((SUMPRODUCT(C1217:F1217,COLUMN($A$1:$D$1)-1)+SUMPRODUCT(H1217:K1217,COLUMN($E$1:$H$1)-1))*'Line Follower'!$C$3/SUM(C1217:F1217,H1217:K1217)-'Line Follower'!$C$5)))</f>
        <v>#N/A</v>
      </c>
      <c r="O1217" s="22" t="e">
        <v>#N/A</v>
      </c>
      <c r="P1217" s="4" t="e">
        <f t="shared" si="90"/>
        <v>#N/A</v>
      </c>
      <c r="Q1217" s="4" t="e">
        <f t="shared" si="91"/>
        <v>#N/A</v>
      </c>
      <c r="R1217" s="4" t="e">
        <f>IF(AND(B1217=1,N1217&gt;'Line Follower'!$C$7,SUM(C1217:K1217)&lt;4),1,0)</f>
        <v>#N/A</v>
      </c>
      <c r="S1217" s="4" t="e">
        <f>IF(AND(L1217=1,N1217&lt;'Line Follower'!$C$6,SUM(C1217:K1217)&lt;4),1,0)</f>
        <v>#N/A</v>
      </c>
      <c r="T1217" s="4" t="e">
        <f t="shared" si="92"/>
        <v>#N/A</v>
      </c>
      <c r="U1217" s="5" t="e">
        <f t="shared" si="93"/>
        <v>#N/A</v>
      </c>
      <c r="V1217" s="23" t="e">
        <f t="shared" si="94"/>
        <v>#N/A</v>
      </c>
    </row>
    <row r="1218" spans="2:22" x14ac:dyDescent="0.25">
      <c r="B1218" s="16">
        <v>1</v>
      </c>
      <c r="C1218" s="7">
        <v>1</v>
      </c>
      <c r="D1218" s="8">
        <v>1</v>
      </c>
      <c r="E1218" s="8">
        <v>1</v>
      </c>
      <c r="F1218" s="8">
        <v>1</v>
      </c>
      <c r="G1218" s="8">
        <v>1</v>
      </c>
      <c r="H1218" s="8">
        <v>0</v>
      </c>
      <c r="I1218" s="8">
        <v>1</v>
      </c>
      <c r="J1218" s="8">
        <v>0</v>
      </c>
      <c r="K1218" s="9">
        <v>0</v>
      </c>
      <c r="L1218" s="10">
        <v>1</v>
      </c>
      <c r="M1218" s="6">
        <v>0</v>
      </c>
      <c r="N1218" s="37" t="e" cm="1">
        <f t="array" ref="N1218">IF(OR(ISNUMBER(FIND(Aux!$D$3:$D$9,_xlfn.TEXTJOIN(,,C1218:K1218)))),NA(),IF(AND(SUM(C1218:F1218,H1218:K1218)=0,G1218=1),0,INT((SUMPRODUCT(C1218:F1218,COLUMN($A$1:$D$1)-1)+SUMPRODUCT(H1218:K1218,COLUMN($E$1:$H$1)-1))*'Line Follower'!$C$3/SUM(C1218:F1218,H1218:K1218)-'Line Follower'!$C$5)))</f>
        <v>#N/A</v>
      </c>
      <c r="O1218" s="22" t="e">
        <v>#N/A</v>
      </c>
      <c r="P1218" s="4" t="e">
        <f t="shared" si="90"/>
        <v>#N/A</v>
      </c>
      <c r="Q1218" s="4" t="e">
        <f t="shared" si="91"/>
        <v>#N/A</v>
      </c>
      <c r="R1218" s="4" t="e">
        <f>IF(AND(B1218=1,N1218&gt;'Line Follower'!$C$7,SUM(C1218:K1218)&lt;4),1,0)</f>
        <v>#N/A</v>
      </c>
      <c r="S1218" s="4" t="e">
        <f>IF(AND(L1218=1,N1218&lt;'Line Follower'!$C$6,SUM(C1218:K1218)&lt;4),1,0)</f>
        <v>#N/A</v>
      </c>
      <c r="T1218" s="4" t="e">
        <f t="shared" si="92"/>
        <v>#N/A</v>
      </c>
      <c r="U1218" s="5" t="e">
        <f t="shared" si="93"/>
        <v>#N/A</v>
      </c>
      <c r="V1218" s="23" t="e">
        <f t="shared" si="94"/>
        <v>#N/A</v>
      </c>
    </row>
    <row r="1219" spans="2:22" x14ac:dyDescent="0.25">
      <c r="B1219" s="16">
        <v>0</v>
      </c>
      <c r="C1219" s="7">
        <v>0</v>
      </c>
      <c r="D1219" s="8">
        <v>0</v>
      </c>
      <c r="E1219" s="8">
        <v>0</v>
      </c>
      <c r="F1219" s="8">
        <v>0</v>
      </c>
      <c r="G1219" s="8">
        <v>0</v>
      </c>
      <c r="H1219" s="8">
        <v>1</v>
      </c>
      <c r="I1219" s="8">
        <v>1</v>
      </c>
      <c r="J1219" s="8">
        <v>0</v>
      </c>
      <c r="K1219" s="9">
        <v>0</v>
      </c>
      <c r="L1219" s="10">
        <v>1</v>
      </c>
      <c r="M1219" s="6">
        <v>0</v>
      </c>
      <c r="N1219" s="37" cm="1">
        <f t="array" ref="N1219">IF(OR(ISNUMBER(FIND(Aux!$D$3:$D$9,_xlfn.TEXTJOIN(,,C1219:K1219)))),NA(),IF(AND(SUM(C1219:F1219,H1219:K1219)=0,G1219=1),0,INT((SUMPRODUCT(C1219:F1219,COLUMN($A$1:$D$1)-1)+SUMPRODUCT(H1219:K1219,COLUMN($E$1:$H$1)-1))*'Line Follower'!$C$3/SUM(C1219:F1219,H1219:K1219)-'Line Follower'!$C$5)))</f>
        <v>2</v>
      </c>
      <c r="O1219" s="22">
        <v>1</v>
      </c>
      <c r="P1219" s="4">
        <f t="shared" ref="P1219:P1282" si="95">IF(AND(N1219=0,G1219=1,M1219=1),1,0)</f>
        <v>0</v>
      </c>
      <c r="Q1219" s="4">
        <f t="shared" ref="Q1219:Q1282" si="96">IF(ISERROR(N1219),N1219,IF(SUM(C1219:K1219)&gt;=4,1,0))</f>
        <v>0</v>
      </c>
      <c r="R1219" s="4">
        <f>IF(AND(B1219=1,N1219&gt;'Line Follower'!$C$7,SUM(C1219:K1219)&lt;4),1,0)</f>
        <v>0</v>
      </c>
      <c r="S1219" s="4">
        <f>IF(AND(L1219=1,N1219&lt;'Line Follower'!$C$6,SUM(C1219:K1219)&lt;4),1,0)</f>
        <v>1</v>
      </c>
      <c r="T1219" s="4">
        <f t="shared" si="92"/>
        <v>0</v>
      </c>
      <c r="U1219" s="5">
        <f t="shared" si="93"/>
        <v>0</v>
      </c>
      <c r="V1219" s="23">
        <f t="shared" si="94"/>
        <v>0</v>
      </c>
    </row>
    <row r="1220" spans="2:22" x14ac:dyDescent="0.25">
      <c r="B1220" s="16">
        <v>1</v>
      </c>
      <c r="C1220" s="7">
        <v>0</v>
      </c>
      <c r="D1220" s="8">
        <v>0</v>
      </c>
      <c r="E1220" s="8">
        <v>0</v>
      </c>
      <c r="F1220" s="8">
        <v>0</v>
      </c>
      <c r="G1220" s="8">
        <v>0</v>
      </c>
      <c r="H1220" s="8">
        <v>1</v>
      </c>
      <c r="I1220" s="8">
        <v>1</v>
      </c>
      <c r="J1220" s="8">
        <v>0</v>
      </c>
      <c r="K1220" s="9">
        <v>0</v>
      </c>
      <c r="L1220" s="10">
        <v>1</v>
      </c>
      <c r="M1220" s="6">
        <v>0</v>
      </c>
      <c r="N1220" s="37" cm="1">
        <f t="array" ref="N1220">IF(OR(ISNUMBER(FIND(Aux!$D$3:$D$9,_xlfn.TEXTJOIN(,,C1220:K1220)))),NA(),IF(AND(SUM(C1220:F1220,H1220:K1220)=0,G1220=1),0,INT((SUMPRODUCT(C1220:F1220,COLUMN($A$1:$D$1)-1)+SUMPRODUCT(H1220:K1220,COLUMN($E$1:$H$1)-1))*'Line Follower'!$C$3/SUM(C1220:F1220,H1220:K1220)-'Line Follower'!$C$5)))</f>
        <v>2</v>
      </c>
      <c r="O1220" s="22">
        <v>1</v>
      </c>
      <c r="P1220" s="4">
        <f t="shared" si="95"/>
        <v>0</v>
      </c>
      <c r="Q1220" s="4">
        <f t="shared" si="96"/>
        <v>0</v>
      </c>
      <c r="R1220" s="4">
        <f>IF(AND(B1220=1,N1220&gt;'Line Follower'!$C$7,SUM(C1220:K1220)&lt;4),1,0)</f>
        <v>1</v>
      </c>
      <c r="S1220" s="4">
        <f>IF(AND(L1220=1,N1220&lt;'Line Follower'!$C$6,SUM(C1220:K1220)&lt;4),1,0)</f>
        <v>1</v>
      </c>
      <c r="T1220" s="4">
        <f t="shared" ref="T1220:T1283" si="97">IF(ISNA(N1220),NA(),IF(SUM(C1220:L1220)=0,1,0))</f>
        <v>0</v>
      </c>
      <c r="U1220" s="5">
        <f t="shared" ref="U1220:U1283" si="98">IF(ISNA(N1220),NA(),IF(SUM(B1220:K1220)=0,1,0))</f>
        <v>0</v>
      </c>
      <c r="V1220" s="23">
        <f t="shared" ref="V1220:V1283" si="99">IF(ISNA(N1220),NA(),IF(SUM(B1220:L1220)=0,1,0))</f>
        <v>0</v>
      </c>
    </row>
    <row r="1221" spans="2:22" x14ac:dyDescent="0.25">
      <c r="B1221" s="16">
        <v>0</v>
      </c>
      <c r="C1221" s="7">
        <v>1</v>
      </c>
      <c r="D1221" s="8">
        <v>0</v>
      </c>
      <c r="E1221" s="8">
        <v>0</v>
      </c>
      <c r="F1221" s="8">
        <v>0</v>
      </c>
      <c r="G1221" s="8">
        <v>0</v>
      </c>
      <c r="H1221" s="8">
        <v>1</v>
      </c>
      <c r="I1221" s="8">
        <v>1</v>
      </c>
      <c r="J1221" s="8">
        <v>0</v>
      </c>
      <c r="K1221" s="9">
        <v>0</v>
      </c>
      <c r="L1221" s="10">
        <v>1</v>
      </c>
      <c r="M1221" s="6">
        <v>0</v>
      </c>
      <c r="N1221" s="37" t="e" cm="1">
        <f t="array" ref="N1221">IF(OR(ISNUMBER(FIND(Aux!$D$3:$D$9,_xlfn.TEXTJOIN(,,C1221:K1221)))),NA(),IF(AND(SUM(C1221:F1221,H1221:K1221)=0,G1221=1),0,INT((SUMPRODUCT(C1221:F1221,COLUMN($A$1:$D$1)-1)+SUMPRODUCT(H1221:K1221,COLUMN($E$1:$H$1)-1))*'Line Follower'!$C$3/SUM(C1221:F1221,H1221:K1221)-'Line Follower'!$C$5)))</f>
        <v>#N/A</v>
      </c>
      <c r="O1221" s="22" t="e">
        <v>#N/A</v>
      </c>
      <c r="P1221" s="4" t="e">
        <f t="shared" si="95"/>
        <v>#N/A</v>
      </c>
      <c r="Q1221" s="4" t="e">
        <f t="shared" si="96"/>
        <v>#N/A</v>
      </c>
      <c r="R1221" s="4" t="e">
        <f>IF(AND(B1221=1,N1221&gt;'Line Follower'!$C$7,SUM(C1221:K1221)&lt;4),1,0)</f>
        <v>#N/A</v>
      </c>
      <c r="S1221" s="4" t="e">
        <f>IF(AND(L1221=1,N1221&lt;'Line Follower'!$C$6,SUM(C1221:K1221)&lt;4),1,0)</f>
        <v>#N/A</v>
      </c>
      <c r="T1221" s="4" t="e">
        <f t="shared" si="97"/>
        <v>#N/A</v>
      </c>
      <c r="U1221" s="5" t="e">
        <f t="shared" si="98"/>
        <v>#N/A</v>
      </c>
      <c r="V1221" s="23" t="e">
        <f t="shared" si="99"/>
        <v>#N/A</v>
      </c>
    </row>
    <row r="1222" spans="2:22" x14ac:dyDescent="0.25">
      <c r="B1222" s="16">
        <v>1</v>
      </c>
      <c r="C1222" s="7">
        <v>1</v>
      </c>
      <c r="D1222" s="8">
        <v>0</v>
      </c>
      <c r="E1222" s="8">
        <v>0</v>
      </c>
      <c r="F1222" s="8">
        <v>0</v>
      </c>
      <c r="G1222" s="8">
        <v>0</v>
      </c>
      <c r="H1222" s="8">
        <v>1</v>
      </c>
      <c r="I1222" s="8">
        <v>1</v>
      </c>
      <c r="J1222" s="8">
        <v>0</v>
      </c>
      <c r="K1222" s="9">
        <v>0</v>
      </c>
      <c r="L1222" s="10">
        <v>1</v>
      </c>
      <c r="M1222" s="6">
        <v>0</v>
      </c>
      <c r="N1222" s="37" t="e" cm="1">
        <f t="array" ref="N1222">IF(OR(ISNUMBER(FIND(Aux!$D$3:$D$9,_xlfn.TEXTJOIN(,,C1222:K1222)))),NA(),IF(AND(SUM(C1222:F1222,H1222:K1222)=0,G1222=1),0,INT((SUMPRODUCT(C1222:F1222,COLUMN($A$1:$D$1)-1)+SUMPRODUCT(H1222:K1222,COLUMN($E$1:$H$1)-1))*'Line Follower'!$C$3/SUM(C1222:F1222,H1222:K1222)-'Line Follower'!$C$5)))</f>
        <v>#N/A</v>
      </c>
      <c r="O1222" s="22" t="e">
        <v>#N/A</v>
      </c>
      <c r="P1222" s="4" t="e">
        <f t="shared" si="95"/>
        <v>#N/A</v>
      </c>
      <c r="Q1222" s="4" t="e">
        <f t="shared" si="96"/>
        <v>#N/A</v>
      </c>
      <c r="R1222" s="4" t="e">
        <f>IF(AND(B1222=1,N1222&gt;'Line Follower'!$C$7,SUM(C1222:K1222)&lt;4),1,0)</f>
        <v>#N/A</v>
      </c>
      <c r="S1222" s="4" t="e">
        <f>IF(AND(L1222=1,N1222&lt;'Line Follower'!$C$6,SUM(C1222:K1222)&lt;4),1,0)</f>
        <v>#N/A</v>
      </c>
      <c r="T1222" s="4" t="e">
        <f t="shared" si="97"/>
        <v>#N/A</v>
      </c>
      <c r="U1222" s="5" t="e">
        <f t="shared" si="98"/>
        <v>#N/A</v>
      </c>
      <c r="V1222" s="23" t="e">
        <f t="shared" si="99"/>
        <v>#N/A</v>
      </c>
    </row>
    <row r="1223" spans="2:22" x14ac:dyDescent="0.25">
      <c r="B1223" s="16">
        <v>0</v>
      </c>
      <c r="C1223" s="7">
        <v>0</v>
      </c>
      <c r="D1223" s="8">
        <v>1</v>
      </c>
      <c r="E1223" s="8">
        <v>0</v>
      </c>
      <c r="F1223" s="8">
        <v>0</v>
      </c>
      <c r="G1223" s="8">
        <v>0</v>
      </c>
      <c r="H1223" s="8">
        <v>1</v>
      </c>
      <c r="I1223" s="8">
        <v>1</v>
      </c>
      <c r="J1223" s="8">
        <v>0</v>
      </c>
      <c r="K1223" s="9">
        <v>0</v>
      </c>
      <c r="L1223" s="10">
        <v>1</v>
      </c>
      <c r="M1223" s="6">
        <v>0</v>
      </c>
      <c r="N1223" s="37" t="e" cm="1">
        <f t="array" ref="N1223">IF(OR(ISNUMBER(FIND(Aux!$D$3:$D$9,_xlfn.TEXTJOIN(,,C1223:K1223)))),NA(),IF(AND(SUM(C1223:F1223,H1223:K1223)=0,G1223=1),0,INT((SUMPRODUCT(C1223:F1223,COLUMN($A$1:$D$1)-1)+SUMPRODUCT(H1223:K1223,COLUMN($E$1:$H$1)-1))*'Line Follower'!$C$3/SUM(C1223:F1223,H1223:K1223)-'Line Follower'!$C$5)))</f>
        <v>#N/A</v>
      </c>
      <c r="O1223" s="22" t="e">
        <v>#N/A</v>
      </c>
      <c r="P1223" s="4" t="e">
        <f t="shared" si="95"/>
        <v>#N/A</v>
      </c>
      <c r="Q1223" s="4" t="e">
        <f t="shared" si="96"/>
        <v>#N/A</v>
      </c>
      <c r="R1223" s="4" t="e">
        <f>IF(AND(B1223=1,N1223&gt;'Line Follower'!$C$7,SUM(C1223:K1223)&lt;4),1,0)</f>
        <v>#N/A</v>
      </c>
      <c r="S1223" s="4" t="e">
        <f>IF(AND(L1223=1,N1223&lt;'Line Follower'!$C$6,SUM(C1223:K1223)&lt;4),1,0)</f>
        <v>#N/A</v>
      </c>
      <c r="T1223" s="4" t="e">
        <f t="shared" si="97"/>
        <v>#N/A</v>
      </c>
      <c r="U1223" s="5" t="e">
        <f t="shared" si="98"/>
        <v>#N/A</v>
      </c>
      <c r="V1223" s="23" t="e">
        <f t="shared" si="99"/>
        <v>#N/A</v>
      </c>
    </row>
    <row r="1224" spans="2:22" x14ac:dyDescent="0.25">
      <c r="B1224" s="16">
        <v>1</v>
      </c>
      <c r="C1224" s="7">
        <v>0</v>
      </c>
      <c r="D1224" s="8">
        <v>1</v>
      </c>
      <c r="E1224" s="8">
        <v>0</v>
      </c>
      <c r="F1224" s="8">
        <v>0</v>
      </c>
      <c r="G1224" s="8">
        <v>0</v>
      </c>
      <c r="H1224" s="8">
        <v>1</v>
      </c>
      <c r="I1224" s="8">
        <v>1</v>
      </c>
      <c r="J1224" s="8">
        <v>0</v>
      </c>
      <c r="K1224" s="9">
        <v>0</v>
      </c>
      <c r="L1224" s="10">
        <v>1</v>
      </c>
      <c r="M1224" s="6">
        <v>0</v>
      </c>
      <c r="N1224" s="37" t="e" cm="1">
        <f t="array" ref="N1224">IF(OR(ISNUMBER(FIND(Aux!$D$3:$D$9,_xlfn.TEXTJOIN(,,C1224:K1224)))),NA(),IF(AND(SUM(C1224:F1224,H1224:K1224)=0,G1224=1),0,INT((SUMPRODUCT(C1224:F1224,COLUMN($A$1:$D$1)-1)+SUMPRODUCT(H1224:K1224,COLUMN($E$1:$H$1)-1))*'Line Follower'!$C$3/SUM(C1224:F1224,H1224:K1224)-'Line Follower'!$C$5)))</f>
        <v>#N/A</v>
      </c>
      <c r="O1224" s="22" t="e">
        <v>#N/A</v>
      </c>
      <c r="P1224" s="4" t="e">
        <f t="shared" si="95"/>
        <v>#N/A</v>
      </c>
      <c r="Q1224" s="4" t="e">
        <f t="shared" si="96"/>
        <v>#N/A</v>
      </c>
      <c r="R1224" s="4" t="e">
        <f>IF(AND(B1224=1,N1224&gt;'Line Follower'!$C$7,SUM(C1224:K1224)&lt;4),1,0)</f>
        <v>#N/A</v>
      </c>
      <c r="S1224" s="4" t="e">
        <f>IF(AND(L1224=1,N1224&lt;'Line Follower'!$C$6,SUM(C1224:K1224)&lt;4),1,0)</f>
        <v>#N/A</v>
      </c>
      <c r="T1224" s="4" t="e">
        <f t="shared" si="97"/>
        <v>#N/A</v>
      </c>
      <c r="U1224" s="5" t="e">
        <f t="shared" si="98"/>
        <v>#N/A</v>
      </c>
      <c r="V1224" s="23" t="e">
        <f t="shared" si="99"/>
        <v>#N/A</v>
      </c>
    </row>
    <row r="1225" spans="2:22" x14ac:dyDescent="0.25">
      <c r="B1225" s="16">
        <v>0</v>
      </c>
      <c r="C1225" s="7">
        <v>1</v>
      </c>
      <c r="D1225" s="8">
        <v>1</v>
      </c>
      <c r="E1225" s="8">
        <v>0</v>
      </c>
      <c r="F1225" s="8">
        <v>0</v>
      </c>
      <c r="G1225" s="8">
        <v>0</v>
      </c>
      <c r="H1225" s="8">
        <v>1</v>
      </c>
      <c r="I1225" s="8">
        <v>1</v>
      </c>
      <c r="J1225" s="8">
        <v>0</v>
      </c>
      <c r="K1225" s="9">
        <v>0</v>
      </c>
      <c r="L1225" s="10">
        <v>1</v>
      </c>
      <c r="M1225" s="6">
        <v>0</v>
      </c>
      <c r="N1225" s="37" t="e" cm="1">
        <f t="array" ref="N1225">IF(OR(ISNUMBER(FIND(Aux!$D$3:$D$9,_xlfn.TEXTJOIN(,,C1225:K1225)))),NA(),IF(AND(SUM(C1225:F1225,H1225:K1225)=0,G1225=1),0,INT((SUMPRODUCT(C1225:F1225,COLUMN($A$1:$D$1)-1)+SUMPRODUCT(H1225:K1225,COLUMN($E$1:$H$1)-1))*'Line Follower'!$C$3/SUM(C1225:F1225,H1225:K1225)-'Line Follower'!$C$5)))</f>
        <v>#N/A</v>
      </c>
      <c r="O1225" s="22" t="e">
        <v>#N/A</v>
      </c>
      <c r="P1225" s="4" t="e">
        <f t="shared" si="95"/>
        <v>#N/A</v>
      </c>
      <c r="Q1225" s="4" t="e">
        <f t="shared" si="96"/>
        <v>#N/A</v>
      </c>
      <c r="R1225" s="4" t="e">
        <f>IF(AND(B1225=1,N1225&gt;'Line Follower'!$C$7,SUM(C1225:K1225)&lt;4),1,0)</f>
        <v>#N/A</v>
      </c>
      <c r="S1225" s="4" t="e">
        <f>IF(AND(L1225=1,N1225&lt;'Line Follower'!$C$6,SUM(C1225:K1225)&lt;4),1,0)</f>
        <v>#N/A</v>
      </c>
      <c r="T1225" s="4" t="e">
        <f t="shared" si="97"/>
        <v>#N/A</v>
      </c>
      <c r="U1225" s="5" t="e">
        <f t="shared" si="98"/>
        <v>#N/A</v>
      </c>
      <c r="V1225" s="23" t="e">
        <f t="shared" si="99"/>
        <v>#N/A</v>
      </c>
    </row>
    <row r="1226" spans="2:22" x14ac:dyDescent="0.25">
      <c r="B1226" s="16">
        <v>1</v>
      </c>
      <c r="C1226" s="7">
        <v>1</v>
      </c>
      <c r="D1226" s="8">
        <v>1</v>
      </c>
      <c r="E1226" s="8">
        <v>0</v>
      </c>
      <c r="F1226" s="8">
        <v>0</v>
      </c>
      <c r="G1226" s="8">
        <v>0</v>
      </c>
      <c r="H1226" s="8">
        <v>1</v>
      </c>
      <c r="I1226" s="8">
        <v>1</v>
      </c>
      <c r="J1226" s="8">
        <v>0</v>
      </c>
      <c r="K1226" s="9">
        <v>0</v>
      </c>
      <c r="L1226" s="10">
        <v>1</v>
      </c>
      <c r="M1226" s="6">
        <v>0</v>
      </c>
      <c r="N1226" s="37" t="e" cm="1">
        <f t="array" ref="N1226">IF(OR(ISNUMBER(FIND(Aux!$D$3:$D$9,_xlfn.TEXTJOIN(,,C1226:K1226)))),NA(),IF(AND(SUM(C1226:F1226,H1226:K1226)=0,G1226=1),0,INT((SUMPRODUCT(C1226:F1226,COLUMN($A$1:$D$1)-1)+SUMPRODUCT(H1226:K1226,COLUMN($E$1:$H$1)-1))*'Line Follower'!$C$3/SUM(C1226:F1226,H1226:K1226)-'Line Follower'!$C$5)))</f>
        <v>#N/A</v>
      </c>
      <c r="O1226" s="22" t="e">
        <v>#N/A</v>
      </c>
      <c r="P1226" s="4" t="e">
        <f t="shared" si="95"/>
        <v>#N/A</v>
      </c>
      <c r="Q1226" s="4" t="e">
        <f t="shared" si="96"/>
        <v>#N/A</v>
      </c>
      <c r="R1226" s="4" t="e">
        <f>IF(AND(B1226=1,N1226&gt;'Line Follower'!$C$7,SUM(C1226:K1226)&lt;4),1,0)</f>
        <v>#N/A</v>
      </c>
      <c r="S1226" s="4" t="e">
        <f>IF(AND(L1226=1,N1226&lt;'Line Follower'!$C$6,SUM(C1226:K1226)&lt;4),1,0)</f>
        <v>#N/A</v>
      </c>
      <c r="T1226" s="4" t="e">
        <f t="shared" si="97"/>
        <v>#N/A</v>
      </c>
      <c r="U1226" s="5" t="e">
        <f t="shared" si="98"/>
        <v>#N/A</v>
      </c>
      <c r="V1226" s="23" t="e">
        <f t="shared" si="99"/>
        <v>#N/A</v>
      </c>
    </row>
    <row r="1227" spans="2:22" x14ac:dyDescent="0.25">
      <c r="B1227" s="16">
        <v>0</v>
      </c>
      <c r="C1227" s="7">
        <v>0</v>
      </c>
      <c r="D1227" s="8">
        <v>0</v>
      </c>
      <c r="E1227" s="8">
        <v>1</v>
      </c>
      <c r="F1227" s="8">
        <v>0</v>
      </c>
      <c r="G1227" s="8">
        <v>0</v>
      </c>
      <c r="H1227" s="8">
        <v>1</v>
      </c>
      <c r="I1227" s="8">
        <v>1</v>
      </c>
      <c r="J1227" s="8">
        <v>0</v>
      </c>
      <c r="K1227" s="9">
        <v>0</v>
      </c>
      <c r="L1227" s="10">
        <v>1</v>
      </c>
      <c r="M1227" s="6">
        <v>0</v>
      </c>
      <c r="N1227" s="37" t="e" cm="1">
        <f t="array" ref="N1227">IF(OR(ISNUMBER(FIND(Aux!$D$3:$D$9,_xlfn.TEXTJOIN(,,C1227:K1227)))),NA(),IF(AND(SUM(C1227:F1227,H1227:K1227)=0,G1227=1),0,INT((SUMPRODUCT(C1227:F1227,COLUMN($A$1:$D$1)-1)+SUMPRODUCT(H1227:K1227,COLUMN($E$1:$H$1)-1))*'Line Follower'!$C$3/SUM(C1227:F1227,H1227:K1227)-'Line Follower'!$C$5)))</f>
        <v>#N/A</v>
      </c>
      <c r="O1227" s="22" t="e">
        <v>#N/A</v>
      </c>
      <c r="P1227" s="4" t="e">
        <f t="shared" si="95"/>
        <v>#N/A</v>
      </c>
      <c r="Q1227" s="4" t="e">
        <f t="shared" si="96"/>
        <v>#N/A</v>
      </c>
      <c r="R1227" s="4" t="e">
        <f>IF(AND(B1227=1,N1227&gt;'Line Follower'!$C$7,SUM(C1227:K1227)&lt;4),1,0)</f>
        <v>#N/A</v>
      </c>
      <c r="S1227" s="4" t="e">
        <f>IF(AND(L1227=1,N1227&lt;'Line Follower'!$C$6,SUM(C1227:K1227)&lt;4),1,0)</f>
        <v>#N/A</v>
      </c>
      <c r="T1227" s="4" t="e">
        <f t="shared" si="97"/>
        <v>#N/A</v>
      </c>
      <c r="U1227" s="5" t="e">
        <f t="shared" si="98"/>
        <v>#N/A</v>
      </c>
      <c r="V1227" s="23" t="e">
        <f t="shared" si="99"/>
        <v>#N/A</v>
      </c>
    </row>
    <row r="1228" spans="2:22" x14ac:dyDescent="0.25">
      <c r="B1228" s="16">
        <v>1</v>
      </c>
      <c r="C1228" s="7">
        <v>0</v>
      </c>
      <c r="D1228" s="8">
        <v>0</v>
      </c>
      <c r="E1228" s="8">
        <v>1</v>
      </c>
      <c r="F1228" s="8">
        <v>0</v>
      </c>
      <c r="G1228" s="8">
        <v>0</v>
      </c>
      <c r="H1228" s="8">
        <v>1</v>
      </c>
      <c r="I1228" s="8">
        <v>1</v>
      </c>
      <c r="J1228" s="8">
        <v>0</v>
      </c>
      <c r="K1228" s="9">
        <v>0</v>
      </c>
      <c r="L1228" s="10">
        <v>1</v>
      </c>
      <c r="M1228" s="6">
        <v>0</v>
      </c>
      <c r="N1228" s="37" t="e" cm="1">
        <f t="array" ref="N1228">IF(OR(ISNUMBER(FIND(Aux!$D$3:$D$9,_xlfn.TEXTJOIN(,,C1228:K1228)))),NA(),IF(AND(SUM(C1228:F1228,H1228:K1228)=0,G1228=1),0,INT((SUMPRODUCT(C1228:F1228,COLUMN($A$1:$D$1)-1)+SUMPRODUCT(H1228:K1228,COLUMN($E$1:$H$1)-1))*'Line Follower'!$C$3/SUM(C1228:F1228,H1228:K1228)-'Line Follower'!$C$5)))</f>
        <v>#N/A</v>
      </c>
      <c r="O1228" s="22" t="e">
        <v>#N/A</v>
      </c>
      <c r="P1228" s="4" t="e">
        <f t="shared" si="95"/>
        <v>#N/A</v>
      </c>
      <c r="Q1228" s="4" t="e">
        <f t="shared" si="96"/>
        <v>#N/A</v>
      </c>
      <c r="R1228" s="4" t="e">
        <f>IF(AND(B1228=1,N1228&gt;'Line Follower'!$C$7,SUM(C1228:K1228)&lt;4),1,0)</f>
        <v>#N/A</v>
      </c>
      <c r="S1228" s="4" t="e">
        <f>IF(AND(L1228=1,N1228&lt;'Line Follower'!$C$6,SUM(C1228:K1228)&lt;4),1,0)</f>
        <v>#N/A</v>
      </c>
      <c r="T1228" s="4" t="e">
        <f t="shared" si="97"/>
        <v>#N/A</v>
      </c>
      <c r="U1228" s="5" t="e">
        <f t="shared" si="98"/>
        <v>#N/A</v>
      </c>
      <c r="V1228" s="23" t="e">
        <f t="shared" si="99"/>
        <v>#N/A</v>
      </c>
    </row>
    <row r="1229" spans="2:22" x14ac:dyDescent="0.25">
      <c r="B1229" s="16">
        <v>0</v>
      </c>
      <c r="C1229" s="7">
        <v>1</v>
      </c>
      <c r="D1229" s="8">
        <v>0</v>
      </c>
      <c r="E1229" s="8">
        <v>1</v>
      </c>
      <c r="F1229" s="8">
        <v>0</v>
      </c>
      <c r="G1229" s="8">
        <v>0</v>
      </c>
      <c r="H1229" s="8">
        <v>1</v>
      </c>
      <c r="I1229" s="8">
        <v>1</v>
      </c>
      <c r="J1229" s="8">
        <v>0</v>
      </c>
      <c r="K1229" s="9">
        <v>0</v>
      </c>
      <c r="L1229" s="10">
        <v>1</v>
      </c>
      <c r="M1229" s="6">
        <v>0</v>
      </c>
      <c r="N1229" s="37" t="e" cm="1">
        <f t="array" ref="N1229">IF(OR(ISNUMBER(FIND(Aux!$D$3:$D$9,_xlfn.TEXTJOIN(,,C1229:K1229)))),NA(),IF(AND(SUM(C1229:F1229,H1229:K1229)=0,G1229=1),0,INT((SUMPRODUCT(C1229:F1229,COLUMN($A$1:$D$1)-1)+SUMPRODUCT(H1229:K1229,COLUMN($E$1:$H$1)-1))*'Line Follower'!$C$3/SUM(C1229:F1229,H1229:K1229)-'Line Follower'!$C$5)))</f>
        <v>#N/A</v>
      </c>
      <c r="O1229" s="22" t="e">
        <v>#N/A</v>
      </c>
      <c r="P1229" s="4" t="e">
        <f t="shared" si="95"/>
        <v>#N/A</v>
      </c>
      <c r="Q1229" s="4" t="e">
        <f t="shared" si="96"/>
        <v>#N/A</v>
      </c>
      <c r="R1229" s="4" t="e">
        <f>IF(AND(B1229=1,N1229&gt;'Line Follower'!$C$7,SUM(C1229:K1229)&lt;4),1,0)</f>
        <v>#N/A</v>
      </c>
      <c r="S1229" s="4" t="e">
        <f>IF(AND(L1229=1,N1229&lt;'Line Follower'!$C$6,SUM(C1229:K1229)&lt;4),1,0)</f>
        <v>#N/A</v>
      </c>
      <c r="T1229" s="4" t="e">
        <f t="shared" si="97"/>
        <v>#N/A</v>
      </c>
      <c r="U1229" s="5" t="e">
        <f t="shared" si="98"/>
        <v>#N/A</v>
      </c>
      <c r="V1229" s="23" t="e">
        <f t="shared" si="99"/>
        <v>#N/A</v>
      </c>
    </row>
    <row r="1230" spans="2:22" x14ac:dyDescent="0.25">
      <c r="B1230" s="16">
        <v>1</v>
      </c>
      <c r="C1230" s="7">
        <v>1</v>
      </c>
      <c r="D1230" s="8">
        <v>0</v>
      </c>
      <c r="E1230" s="8">
        <v>1</v>
      </c>
      <c r="F1230" s="8">
        <v>0</v>
      </c>
      <c r="G1230" s="8">
        <v>0</v>
      </c>
      <c r="H1230" s="8">
        <v>1</v>
      </c>
      <c r="I1230" s="8">
        <v>1</v>
      </c>
      <c r="J1230" s="8">
        <v>0</v>
      </c>
      <c r="K1230" s="9">
        <v>0</v>
      </c>
      <c r="L1230" s="10">
        <v>1</v>
      </c>
      <c r="M1230" s="6">
        <v>0</v>
      </c>
      <c r="N1230" s="37" t="e" cm="1">
        <f t="array" ref="N1230">IF(OR(ISNUMBER(FIND(Aux!$D$3:$D$9,_xlfn.TEXTJOIN(,,C1230:K1230)))),NA(),IF(AND(SUM(C1230:F1230,H1230:K1230)=0,G1230=1),0,INT((SUMPRODUCT(C1230:F1230,COLUMN($A$1:$D$1)-1)+SUMPRODUCT(H1230:K1230,COLUMN($E$1:$H$1)-1))*'Line Follower'!$C$3/SUM(C1230:F1230,H1230:K1230)-'Line Follower'!$C$5)))</f>
        <v>#N/A</v>
      </c>
      <c r="O1230" s="22" t="e">
        <v>#N/A</v>
      </c>
      <c r="P1230" s="4" t="e">
        <f t="shared" si="95"/>
        <v>#N/A</v>
      </c>
      <c r="Q1230" s="4" t="e">
        <f t="shared" si="96"/>
        <v>#N/A</v>
      </c>
      <c r="R1230" s="4" t="e">
        <f>IF(AND(B1230=1,N1230&gt;'Line Follower'!$C$7,SUM(C1230:K1230)&lt;4),1,0)</f>
        <v>#N/A</v>
      </c>
      <c r="S1230" s="4" t="e">
        <f>IF(AND(L1230=1,N1230&lt;'Line Follower'!$C$6,SUM(C1230:K1230)&lt;4),1,0)</f>
        <v>#N/A</v>
      </c>
      <c r="T1230" s="4" t="e">
        <f t="shared" si="97"/>
        <v>#N/A</v>
      </c>
      <c r="U1230" s="5" t="e">
        <f t="shared" si="98"/>
        <v>#N/A</v>
      </c>
      <c r="V1230" s="23" t="e">
        <f t="shared" si="99"/>
        <v>#N/A</v>
      </c>
    </row>
    <row r="1231" spans="2:22" x14ac:dyDescent="0.25">
      <c r="B1231" s="16">
        <v>0</v>
      </c>
      <c r="C1231" s="7">
        <v>0</v>
      </c>
      <c r="D1231" s="8">
        <v>1</v>
      </c>
      <c r="E1231" s="8">
        <v>1</v>
      </c>
      <c r="F1231" s="8">
        <v>0</v>
      </c>
      <c r="G1231" s="8">
        <v>0</v>
      </c>
      <c r="H1231" s="8">
        <v>1</v>
      </c>
      <c r="I1231" s="8">
        <v>1</v>
      </c>
      <c r="J1231" s="8">
        <v>0</v>
      </c>
      <c r="K1231" s="9">
        <v>0</v>
      </c>
      <c r="L1231" s="10">
        <v>1</v>
      </c>
      <c r="M1231" s="6">
        <v>0</v>
      </c>
      <c r="N1231" s="37" t="e" cm="1">
        <f t="array" ref="N1231">IF(OR(ISNUMBER(FIND(Aux!$D$3:$D$9,_xlfn.TEXTJOIN(,,C1231:K1231)))),NA(),IF(AND(SUM(C1231:F1231,H1231:K1231)=0,G1231=1),0,INT((SUMPRODUCT(C1231:F1231,COLUMN($A$1:$D$1)-1)+SUMPRODUCT(H1231:K1231,COLUMN($E$1:$H$1)-1))*'Line Follower'!$C$3/SUM(C1231:F1231,H1231:K1231)-'Line Follower'!$C$5)))</f>
        <v>#N/A</v>
      </c>
      <c r="O1231" s="22" t="e">
        <v>#N/A</v>
      </c>
      <c r="P1231" s="4" t="e">
        <f t="shared" si="95"/>
        <v>#N/A</v>
      </c>
      <c r="Q1231" s="4" t="e">
        <f t="shared" si="96"/>
        <v>#N/A</v>
      </c>
      <c r="R1231" s="4" t="e">
        <f>IF(AND(B1231=1,N1231&gt;'Line Follower'!$C$7,SUM(C1231:K1231)&lt;4),1,0)</f>
        <v>#N/A</v>
      </c>
      <c r="S1231" s="4" t="e">
        <f>IF(AND(L1231=1,N1231&lt;'Line Follower'!$C$6,SUM(C1231:K1231)&lt;4),1,0)</f>
        <v>#N/A</v>
      </c>
      <c r="T1231" s="4" t="e">
        <f t="shared" si="97"/>
        <v>#N/A</v>
      </c>
      <c r="U1231" s="5" t="e">
        <f t="shared" si="98"/>
        <v>#N/A</v>
      </c>
      <c r="V1231" s="23" t="e">
        <f t="shared" si="99"/>
        <v>#N/A</v>
      </c>
    </row>
    <row r="1232" spans="2:22" x14ac:dyDescent="0.25">
      <c r="B1232" s="16">
        <v>1</v>
      </c>
      <c r="C1232" s="7">
        <v>0</v>
      </c>
      <c r="D1232" s="8">
        <v>1</v>
      </c>
      <c r="E1232" s="8">
        <v>1</v>
      </c>
      <c r="F1232" s="8">
        <v>0</v>
      </c>
      <c r="G1232" s="8">
        <v>0</v>
      </c>
      <c r="H1232" s="8">
        <v>1</v>
      </c>
      <c r="I1232" s="8">
        <v>1</v>
      </c>
      <c r="J1232" s="8">
        <v>0</v>
      </c>
      <c r="K1232" s="9">
        <v>0</v>
      </c>
      <c r="L1232" s="10">
        <v>1</v>
      </c>
      <c r="M1232" s="6">
        <v>0</v>
      </c>
      <c r="N1232" s="37" t="e" cm="1">
        <f t="array" ref="N1232">IF(OR(ISNUMBER(FIND(Aux!$D$3:$D$9,_xlfn.TEXTJOIN(,,C1232:K1232)))),NA(),IF(AND(SUM(C1232:F1232,H1232:K1232)=0,G1232=1),0,INT((SUMPRODUCT(C1232:F1232,COLUMN($A$1:$D$1)-1)+SUMPRODUCT(H1232:K1232,COLUMN($E$1:$H$1)-1))*'Line Follower'!$C$3/SUM(C1232:F1232,H1232:K1232)-'Line Follower'!$C$5)))</f>
        <v>#N/A</v>
      </c>
      <c r="O1232" s="22" t="e">
        <v>#N/A</v>
      </c>
      <c r="P1232" s="4" t="e">
        <f t="shared" si="95"/>
        <v>#N/A</v>
      </c>
      <c r="Q1232" s="4" t="e">
        <f t="shared" si="96"/>
        <v>#N/A</v>
      </c>
      <c r="R1232" s="4" t="e">
        <f>IF(AND(B1232=1,N1232&gt;'Line Follower'!$C$7,SUM(C1232:K1232)&lt;4),1,0)</f>
        <v>#N/A</v>
      </c>
      <c r="S1232" s="4" t="e">
        <f>IF(AND(L1232=1,N1232&lt;'Line Follower'!$C$6,SUM(C1232:K1232)&lt;4),1,0)</f>
        <v>#N/A</v>
      </c>
      <c r="T1232" s="4" t="e">
        <f t="shared" si="97"/>
        <v>#N/A</v>
      </c>
      <c r="U1232" s="5" t="e">
        <f t="shared" si="98"/>
        <v>#N/A</v>
      </c>
      <c r="V1232" s="23" t="e">
        <f t="shared" si="99"/>
        <v>#N/A</v>
      </c>
    </row>
    <row r="1233" spans="2:22" x14ac:dyDescent="0.25">
      <c r="B1233" s="16">
        <v>0</v>
      </c>
      <c r="C1233" s="7">
        <v>1</v>
      </c>
      <c r="D1233" s="8">
        <v>1</v>
      </c>
      <c r="E1233" s="8">
        <v>1</v>
      </c>
      <c r="F1233" s="8">
        <v>0</v>
      </c>
      <c r="G1233" s="8">
        <v>0</v>
      </c>
      <c r="H1233" s="8">
        <v>1</v>
      </c>
      <c r="I1233" s="8">
        <v>1</v>
      </c>
      <c r="J1233" s="8">
        <v>0</v>
      </c>
      <c r="K1233" s="9">
        <v>0</v>
      </c>
      <c r="L1233" s="10">
        <v>1</v>
      </c>
      <c r="M1233" s="6">
        <v>0</v>
      </c>
      <c r="N1233" s="37" t="e" cm="1">
        <f t="array" ref="N1233">IF(OR(ISNUMBER(FIND(Aux!$D$3:$D$9,_xlfn.TEXTJOIN(,,C1233:K1233)))),NA(),IF(AND(SUM(C1233:F1233,H1233:K1233)=0,G1233=1),0,INT((SUMPRODUCT(C1233:F1233,COLUMN($A$1:$D$1)-1)+SUMPRODUCT(H1233:K1233,COLUMN($E$1:$H$1)-1))*'Line Follower'!$C$3/SUM(C1233:F1233,H1233:K1233)-'Line Follower'!$C$5)))</f>
        <v>#N/A</v>
      </c>
      <c r="O1233" s="22" t="e">
        <v>#N/A</v>
      </c>
      <c r="P1233" s="4" t="e">
        <f t="shared" si="95"/>
        <v>#N/A</v>
      </c>
      <c r="Q1233" s="4" t="e">
        <f t="shared" si="96"/>
        <v>#N/A</v>
      </c>
      <c r="R1233" s="4" t="e">
        <f>IF(AND(B1233=1,N1233&gt;'Line Follower'!$C$7,SUM(C1233:K1233)&lt;4),1,0)</f>
        <v>#N/A</v>
      </c>
      <c r="S1233" s="4" t="e">
        <f>IF(AND(L1233=1,N1233&lt;'Line Follower'!$C$6,SUM(C1233:K1233)&lt;4),1,0)</f>
        <v>#N/A</v>
      </c>
      <c r="T1233" s="4" t="e">
        <f t="shared" si="97"/>
        <v>#N/A</v>
      </c>
      <c r="U1233" s="5" t="e">
        <f t="shared" si="98"/>
        <v>#N/A</v>
      </c>
      <c r="V1233" s="23" t="e">
        <f t="shared" si="99"/>
        <v>#N/A</v>
      </c>
    </row>
    <row r="1234" spans="2:22" x14ac:dyDescent="0.25">
      <c r="B1234" s="16">
        <v>1</v>
      </c>
      <c r="C1234" s="7">
        <v>1</v>
      </c>
      <c r="D1234" s="8">
        <v>1</v>
      </c>
      <c r="E1234" s="8">
        <v>1</v>
      </c>
      <c r="F1234" s="8">
        <v>0</v>
      </c>
      <c r="G1234" s="8">
        <v>0</v>
      </c>
      <c r="H1234" s="8">
        <v>1</v>
      </c>
      <c r="I1234" s="8">
        <v>1</v>
      </c>
      <c r="J1234" s="8">
        <v>0</v>
      </c>
      <c r="K1234" s="9">
        <v>0</v>
      </c>
      <c r="L1234" s="10">
        <v>1</v>
      </c>
      <c r="M1234" s="6">
        <v>0</v>
      </c>
      <c r="N1234" s="37" t="e" cm="1">
        <f t="array" ref="N1234">IF(OR(ISNUMBER(FIND(Aux!$D$3:$D$9,_xlfn.TEXTJOIN(,,C1234:K1234)))),NA(),IF(AND(SUM(C1234:F1234,H1234:K1234)=0,G1234=1),0,INT((SUMPRODUCT(C1234:F1234,COLUMN($A$1:$D$1)-1)+SUMPRODUCT(H1234:K1234,COLUMN($E$1:$H$1)-1))*'Line Follower'!$C$3/SUM(C1234:F1234,H1234:K1234)-'Line Follower'!$C$5)))</f>
        <v>#N/A</v>
      </c>
      <c r="O1234" s="22" t="e">
        <v>#N/A</v>
      </c>
      <c r="P1234" s="4" t="e">
        <f t="shared" si="95"/>
        <v>#N/A</v>
      </c>
      <c r="Q1234" s="4" t="e">
        <f t="shared" si="96"/>
        <v>#N/A</v>
      </c>
      <c r="R1234" s="4" t="e">
        <f>IF(AND(B1234=1,N1234&gt;'Line Follower'!$C$7,SUM(C1234:K1234)&lt;4),1,0)</f>
        <v>#N/A</v>
      </c>
      <c r="S1234" s="4" t="e">
        <f>IF(AND(L1234=1,N1234&lt;'Line Follower'!$C$6,SUM(C1234:K1234)&lt;4),1,0)</f>
        <v>#N/A</v>
      </c>
      <c r="T1234" s="4" t="e">
        <f t="shared" si="97"/>
        <v>#N/A</v>
      </c>
      <c r="U1234" s="5" t="e">
        <f t="shared" si="98"/>
        <v>#N/A</v>
      </c>
      <c r="V1234" s="23" t="e">
        <f t="shared" si="99"/>
        <v>#N/A</v>
      </c>
    </row>
    <row r="1235" spans="2:22" x14ac:dyDescent="0.25">
      <c r="B1235" s="16">
        <v>0</v>
      </c>
      <c r="C1235" s="7">
        <v>0</v>
      </c>
      <c r="D1235" s="8">
        <v>0</v>
      </c>
      <c r="E1235" s="8">
        <v>0</v>
      </c>
      <c r="F1235" s="8">
        <v>1</v>
      </c>
      <c r="G1235" s="8">
        <v>0</v>
      </c>
      <c r="H1235" s="8">
        <v>1</v>
      </c>
      <c r="I1235" s="8">
        <v>1</v>
      </c>
      <c r="J1235" s="8">
        <v>0</v>
      </c>
      <c r="K1235" s="9">
        <v>0</v>
      </c>
      <c r="L1235" s="10">
        <v>1</v>
      </c>
      <c r="M1235" s="6">
        <v>0</v>
      </c>
      <c r="N1235" s="37" t="e" cm="1">
        <f t="array" ref="N1235">IF(OR(ISNUMBER(FIND(Aux!$D$3:$D$9,_xlfn.TEXTJOIN(,,C1235:K1235)))),NA(),IF(AND(SUM(C1235:F1235,H1235:K1235)=0,G1235=1),0,INT((SUMPRODUCT(C1235:F1235,COLUMN($A$1:$D$1)-1)+SUMPRODUCT(H1235:K1235,COLUMN($E$1:$H$1)-1))*'Line Follower'!$C$3/SUM(C1235:F1235,H1235:K1235)-'Line Follower'!$C$5)))</f>
        <v>#N/A</v>
      </c>
      <c r="O1235" s="22" t="e">
        <v>#N/A</v>
      </c>
      <c r="P1235" s="4" t="e">
        <f t="shared" si="95"/>
        <v>#N/A</v>
      </c>
      <c r="Q1235" s="4" t="e">
        <f t="shared" si="96"/>
        <v>#N/A</v>
      </c>
      <c r="R1235" s="4" t="e">
        <f>IF(AND(B1235=1,N1235&gt;'Line Follower'!$C$7,SUM(C1235:K1235)&lt;4),1,0)</f>
        <v>#N/A</v>
      </c>
      <c r="S1235" s="4" t="e">
        <f>IF(AND(L1235=1,N1235&lt;'Line Follower'!$C$6,SUM(C1235:K1235)&lt;4),1,0)</f>
        <v>#N/A</v>
      </c>
      <c r="T1235" s="4" t="e">
        <f t="shared" si="97"/>
        <v>#N/A</v>
      </c>
      <c r="U1235" s="5" t="e">
        <f t="shared" si="98"/>
        <v>#N/A</v>
      </c>
      <c r="V1235" s="23" t="e">
        <f t="shared" si="99"/>
        <v>#N/A</v>
      </c>
    </row>
    <row r="1236" spans="2:22" x14ac:dyDescent="0.25">
      <c r="B1236" s="16">
        <v>1</v>
      </c>
      <c r="C1236" s="7">
        <v>0</v>
      </c>
      <c r="D1236" s="8">
        <v>0</v>
      </c>
      <c r="E1236" s="8">
        <v>0</v>
      </c>
      <c r="F1236" s="8">
        <v>1</v>
      </c>
      <c r="G1236" s="8">
        <v>0</v>
      </c>
      <c r="H1236" s="8">
        <v>1</v>
      </c>
      <c r="I1236" s="8">
        <v>1</v>
      </c>
      <c r="J1236" s="8">
        <v>0</v>
      </c>
      <c r="K1236" s="9">
        <v>0</v>
      </c>
      <c r="L1236" s="10">
        <v>1</v>
      </c>
      <c r="M1236" s="6">
        <v>0</v>
      </c>
      <c r="N1236" s="37" t="e" cm="1">
        <f t="array" ref="N1236">IF(OR(ISNUMBER(FIND(Aux!$D$3:$D$9,_xlfn.TEXTJOIN(,,C1236:K1236)))),NA(),IF(AND(SUM(C1236:F1236,H1236:K1236)=0,G1236=1),0,INT((SUMPRODUCT(C1236:F1236,COLUMN($A$1:$D$1)-1)+SUMPRODUCT(H1236:K1236,COLUMN($E$1:$H$1)-1))*'Line Follower'!$C$3/SUM(C1236:F1236,H1236:K1236)-'Line Follower'!$C$5)))</f>
        <v>#N/A</v>
      </c>
      <c r="O1236" s="22" t="e">
        <v>#N/A</v>
      </c>
      <c r="P1236" s="4" t="e">
        <f t="shared" si="95"/>
        <v>#N/A</v>
      </c>
      <c r="Q1236" s="4" t="e">
        <f t="shared" si="96"/>
        <v>#N/A</v>
      </c>
      <c r="R1236" s="4" t="e">
        <f>IF(AND(B1236=1,N1236&gt;'Line Follower'!$C$7,SUM(C1236:K1236)&lt;4),1,0)</f>
        <v>#N/A</v>
      </c>
      <c r="S1236" s="4" t="e">
        <f>IF(AND(L1236=1,N1236&lt;'Line Follower'!$C$6,SUM(C1236:K1236)&lt;4),1,0)</f>
        <v>#N/A</v>
      </c>
      <c r="T1236" s="4" t="e">
        <f t="shared" si="97"/>
        <v>#N/A</v>
      </c>
      <c r="U1236" s="5" t="e">
        <f t="shared" si="98"/>
        <v>#N/A</v>
      </c>
      <c r="V1236" s="23" t="e">
        <f t="shared" si="99"/>
        <v>#N/A</v>
      </c>
    </row>
    <row r="1237" spans="2:22" x14ac:dyDescent="0.25">
      <c r="B1237" s="16">
        <v>0</v>
      </c>
      <c r="C1237" s="7">
        <v>1</v>
      </c>
      <c r="D1237" s="8">
        <v>0</v>
      </c>
      <c r="E1237" s="8">
        <v>0</v>
      </c>
      <c r="F1237" s="8">
        <v>1</v>
      </c>
      <c r="G1237" s="8">
        <v>0</v>
      </c>
      <c r="H1237" s="8">
        <v>1</v>
      </c>
      <c r="I1237" s="8">
        <v>1</v>
      </c>
      <c r="J1237" s="8">
        <v>0</v>
      </c>
      <c r="K1237" s="9">
        <v>0</v>
      </c>
      <c r="L1237" s="10">
        <v>1</v>
      </c>
      <c r="M1237" s="6">
        <v>0</v>
      </c>
      <c r="N1237" s="37" t="e" cm="1">
        <f t="array" ref="N1237">IF(OR(ISNUMBER(FIND(Aux!$D$3:$D$9,_xlfn.TEXTJOIN(,,C1237:K1237)))),NA(),IF(AND(SUM(C1237:F1237,H1237:K1237)=0,G1237=1),0,INT((SUMPRODUCT(C1237:F1237,COLUMN($A$1:$D$1)-1)+SUMPRODUCT(H1237:K1237,COLUMN($E$1:$H$1)-1))*'Line Follower'!$C$3/SUM(C1237:F1237,H1237:K1237)-'Line Follower'!$C$5)))</f>
        <v>#N/A</v>
      </c>
      <c r="O1237" s="22" t="e">
        <v>#N/A</v>
      </c>
      <c r="P1237" s="4" t="e">
        <f t="shared" si="95"/>
        <v>#N/A</v>
      </c>
      <c r="Q1237" s="4" t="e">
        <f t="shared" si="96"/>
        <v>#N/A</v>
      </c>
      <c r="R1237" s="4" t="e">
        <f>IF(AND(B1237=1,N1237&gt;'Line Follower'!$C$7,SUM(C1237:K1237)&lt;4),1,0)</f>
        <v>#N/A</v>
      </c>
      <c r="S1237" s="4" t="e">
        <f>IF(AND(L1237=1,N1237&lt;'Line Follower'!$C$6,SUM(C1237:K1237)&lt;4),1,0)</f>
        <v>#N/A</v>
      </c>
      <c r="T1237" s="4" t="e">
        <f t="shared" si="97"/>
        <v>#N/A</v>
      </c>
      <c r="U1237" s="5" t="e">
        <f t="shared" si="98"/>
        <v>#N/A</v>
      </c>
      <c r="V1237" s="23" t="e">
        <f t="shared" si="99"/>
        <v>#N/A</v>
      </c>
    </row>
    <row r="1238" spans="2:22" x14ac:dyDescent="0.25">
      <c r="B1238" s="16">
        <v>1</v>
      </c>
      <c r="C1238" s="7">
        <v>1</v>
      </c>
      <c r="D1238" s="8">
        <v>0</v>
      </c>
      <c r="E1238" s="8">
        <v>0</v>
      </c>
      <c r="F1238" s="8">
        <v>1</v>
      </c>
      <c r="G1238" s="8">
        <v>0</v>
      </c>
      <c r="H1238" s="8">
        <v>1</v>
      </c>
      <c r="I1238" s="8">
        <v>1</v>
      </c>
      <c r="J1238" s="8">
        <v>0</v>
      </c>
      <c r="K1238" s="9">
        <v>0</v>
      </c>
      <c r="L1238" s="10">
        <v>1</v>
      </c>
      <c r="M1238" s="6">
        <v>0</v>
      </c>
      <c r="N1238" s="37" t="e" cm="1">
        <f t="array" ref="N1238">IF(OR(ISNUMBER(FIND(Aux!$D$3:$D$9,_xlfn.TEXTJOIN(,,C1238:K1238)))),NA(),IF(AND(SUM(C1238:F1238,H1238:K1238)=0,G1238=1),0,INT((SUMPRODUCT(C1238:F1238,COLUMN($A$1:$D$1)-1)+SUMPRODUCT(H1238:K1238,COLUMN($E$1:$H$1)-1))*'Line Follower'!$C$3/SUM(C1238:F1238,H1238:K1238)-'Line Follower'!$C$5)))</f>
        <v>#N/A</v>
      </c>
      <c r="O1238" s="22" t="e">
        <v>#N/A</v>
      </c>
      <c r="P1238" s="4" t="e">
        <f t="shared" si="95"/>
        <v>#N/A</v>
      </c>
      <c r="Q1238" s="4" t="e">
        <f t="shared" si="96"/>
        <v>#N/A</v>
      </c>
      <c r="R1238" s="4" t="e">
        <f>IF(AND(B1238=1,N1238&gt;'Line Follower'!$C$7,SUM(C1238:K1238)&lt;4),1,0)</f>
        <v>#N/A</v>
      </c>
      <c r="S1238" s="4" t="e">
        <f>IF(AND(L1238=1,N1238&lt;'Line Follower'!$C$6,SUM(C1238:K1238)&lt;4),1,0)</f>
        <v>#N/A</v>
      </c>
      <c r="T1238" s="4" t="e">
        <f t="shared" si="97"/>
        <v>#N/A</v>
      </c>
      <c r="U1238" s="5" t="e">
        <f t="shared" si="98"/>
        <v>#N/A</v>
      </c>
      <c r="V1238" s="23" t="e">
        <f t="shared" si="99"/>
        <v>#N/A</v>
      </c>
    </row>
    <row r="1239" spans="2:22" x14ac:dyDescent="0.25">
      <c r="B1239" s="16">
        <v>0</v>
      </c>
      <c r="C1239" s="7">
        <v>0</v>
      </c>
      <c r="D1239" s="8">
        <v>1</v>
      </c>
      <c r="E1239" s="8">
        <v>0</v>
      </c>
      <c r="F1239" s="8">
        <v>1</v>
      </c>
      <c r="G1239" s="8">
        <v>0</v>
      </c>
      <c r="H1239" s="8">
        <v>1</v>
      </c>
      <c r="I1239" s="8">
        <v>1</v>
      </c>
      <c r="J1239" s="8">
        <v>0</v>
      </c>
      <c r="K1239" s="9">
        <v>0</v>
      </c>
      <c r="L1239" s="10">
        <v>1</v>
      </c>
      <c r="M1239" s="6">
        <v>0</v>
      </c>
      <c r="N1239" s="37" t="e" cm="1">
        <f t="array" ref="N1239">IF(OR(ISNUMBER(FIND(Aux!$D$3:$D$9,_xlfn.TEXTJOIN(,,C1239:K1239)))),NA(),IF(AND(SUM(C1239:F1239,H1239:K1239)=0,G1239=1),0,INT((SUMPRODUCT(C1239:F1239,COLUMN($A$1:$D$1)-1)+SUMPRODUCT(H1239:K1239,COLUMN($E$1:$H$1)-1))*'Line Follower'!$C$3/SUM(C1239:F1239,H1239:K1239)-'Line Follower'!$C$5)))</f>
        <v>#N/A</v>
      </c>
      <c r="O1239" s="22" t="e">
        <v>#N/A</v>
      </c>
      <c r="P1239" s="4" t="e">
        <f t="shared" si="95"/>
        <v>#N/A</v>
      </c>
      <c r="Q1239" s="4" t="e">
        <f t="shared" si="96"/>
        <v>#N/A</v>
      </c>
      <c r="R1239" s="4" t="e">
        <f>IF(AND(B1239=1,N1239&gt;'Line Follower'!$C$7,SUM(C1239:K1239)&lt;4),1,0)</f>
        <v>#N/A</v>
      </c>
      <c r="S1239" s="4" t="e">
        <f>IF(AND(L1239=1,N1239&lt;'Line Follower'!$C$6,SUM(C1239:K1239)&lt;4),1,0)</f>
        <v>#N/A</v>
      </c>
      <c r="T1239" s="4" t="e">
        <f t="shared" si="97"/>
        <v>#N/A</v>
      </c>
      <c r="U1239" s="5" t="e">
        <f t="shared" si="98"/>
        <v>#N/A</v>
      </c>
      <c r="V1239" s="23" t="e">
        <f t="shared" si="99"/>
        <v>#N/A</v>
      </c>
    </row>
    <row r="1240" spans="2:22" x14ac:dyDescent="0.25">
      <c r="B1240" s="16">
        <v>1</v>
      </c>
      <c r="C1240" s="7">
        <v>0</v>
      </c>
      <c r="D1240" s="8">
        <v>1</v>
      </c>
      <c r="E1240" s="8">
        <v>0</v>
      </c>
      <c r="F1240" s="8">
        <v>1</v>
      </c>
      <c r="G1240" s="8">
        <v>0</v>
      </c>
      <c r="H1240" s="8">
        <v>1</v>
      </c>
      <c r="I1240" s="8">
        <v>1</v>
      </c>
      <c r="J1240" s="8">
        <v>0</v>
      </c>
      <c r="K1240" s="9">
        <v>0</v>
      </c>
      <c r="L1240" s="10">
        <v>1</v>
      </c>
      <c r="M1240" s="6">
        <v>0</v>
      </c>
      <c r="N1240" s="37" t="e" cm="1">
        <f t="array" ref="N1240">IF(OR(ISNUMBER(FIND(Aux!$D$3:$D$9,_xlfn.TEXTJOIN(,,C1240:K1240)))),NA(),IF(AND(SUM(C1240:F1240,H1240:K1240)=0,G1240=1),0,INT((SUMPRODUCT(C1240:F1240,COLUMN($A$1:$D$1)-1)+SUMPRODUCT(H1240:K1240,COLUMN($E$1:$H$1)-1))*'Line Follower'!$C$3/SUM(C1240:F1240,H1240:K1240)-'Line Follower'!$C$5)))</f>
        <v>#N/A</v>
      </c>
      <c r="O1240" s="22" t="e">
        <v>#N/A</v>
      </c>
      <c r="P1240" s="4" t="e">
        <f t="shared" si="95"/>
        <v>#N/A</v>
      </c>
      <c r="Q1240" s="4" t="e">
        <f t="shared" si="96"/>
        <v>#N/A</v>
      </c>
      <c r="R1240" s="4" t="e">
        <f>IF(AND(B1240=1,N1240&gt;'Line Follower'!$C$7,SUM(C1240:K1240)&lt;4),1,0)</f>
        <v>#N/A</v>
      </c>
      <c r="S1240" s="4" t="e">
        <f>IF(AND(L1240=1,N1240&lt;'Line Follower'!$C$6,SUM(C1240:K1240)&lt;4),1,0)</f>
        <v>#N/A</v>
      </c>
      <c r="T1240" s="4" t="e">
        <f t="shared" si="97"/>
        <v>#N/A</v>
      </c>
      <c r="U1240" s="5" t="e">
        <f t="shared" si="98"/>
        <v>#N/A</v>
      </c>
      <c r="V1240" s="23" t="e">
        <f t="shared" si="99"/>
        <v>#N/A</v>
      </c>
    </row>
    <row r="1241" spans="2:22" x14ac:dyDescent="0.25">
      <c r="B1241" s="16">
        <v>0</v>
      </c>
      <c r="C1241" s="7">
        <v>1</v>
      </c>
      <c r="D1241" s="8">
        <v>1</v>
      </c>
      <c r="E1241" s="8">
        <v>0</v>
      </c>
      <c r="F1241" s="8">
        <v>1</v>
      </c>
      <c r="G1241" s="8">
        <v>0</v>
      </c>
      <c r="H1241" s="8">
        <v>1</v>
      </c>
      <c r="I1241" s="8">
        <v>1</v>
      </c>
      <c r="J1241" s="8">
        <v>0</v>
      </c>
      <c r="K1241" s="9">
        <v>0</v>
      </c>
      <c r="L1241" s="10">
        <v>1</v>
      </c>
      <c r="M1241" s="6">
        <v>0</v>
      </c>
      <c r="N1241" s="37" t="e" cm="1">
        <f t="array" ref="N1241">IF(OR(ISNUMBER(FIND(Aux!$D$3:$D$9,_xlfn.TEXTJOIN(,,C1241:K1241)))),NA(),IF(AND(SUM(C1241:F1241,H1241:K1241)=0,G1241=1),0,INT((SUMPRODUCT(C1241:F1241,COLUMN($A$1:$D$1)-1)+SUMPRODUCT(H1241:K1241,COLUMN($E$1:$H$1)-1))*'Line Follower'!$C$3/SUM(C1241:F1241,H1241:K1241)-'Line Follower'!$C$5)))</f>
        <v>#N/A</v>
      </c>
      <c r="O1241" s="22" t="e">
        <v>#N/A</v>
      </c>
      <c r="P1241" s="4" t="e">
        <f t="shared" si="95"/>
        <v>#N/A</v>
      </c>
      <c r="Q1241" s="4" t="e">
        <f t="shared" si="96"/>
        <v>#N/A</v>
      </c>
      <c r="R1241" s="4" t="e">
        <f>IF(AND(B1241=1,N1241&gt;'Line Follower'!$C$7,SUM(C1241:K1241)&lt;4),1,0)</f>
        <v>#N/A</v>
      </c>
      <c r="S1241" s="4" t="e">
        <f>IF(AND(L1241=1,N1241&lt;'Line Follower'!$C$6,SUM(C1241:K1241)&lt;4),1,0)</f>
        <v>#N/A</v>
      </c>
      <c r="T1241" s="4" t="e">
        <f t="shared" si="97"/>
        <v>#N/A</v>
      </c>
      <c r="U1241" s="5" t="e">
        <f t="shared" si="98"/>
        <v>#N/A</v>
      </c>
      <c r="V1241" s="23" t="e">
        <f t="shared" si="99"/>
        <v>#N/A</v>
      </c>
    </row>
    <row r="1242" spans="2:22" x14ac:dyDescent="0.25">
      <c r="B1242" s="16">
        <v>1</v>
      </c>
      <c r="C1242" s="7">
        <v>1</v>
      </c>
      <c r="D1242" s="8">
        <v>1</v>
      </c>
      <c r="E1242" s="8">
        <v>0</v>
      </c>
      <c r="F1242" s="8">
        <v>1</v>
      </c>
      <c r="G1242" s="8">
        <v>0</v>
      </c>
      <c r="H1242" s="8">
        <v>1</v>
      </c>
      <c r="I1242" s="8">
        <v>1</v>
      </c>
      <c r="J1242" s="8">
        <v>0</v>
      </c>
      <c r="K1242" s="9">
        <v>0</v>
      </c>
      <c r="L1242" s="10">
        <v>1</v>
      </c>
      <c r="M1242" s="6">
        <v>0</v>
      </c>
      <c r="N1242" s="37" t="e" cm="1">
        <f t="array" ref="N1242">IF(OR(ISNUMBER(FIND(Aux!$D$3:$D$9,_xlfn.TEXTJOIN(,,C1242:K1242)))),NA(),IF(AND(SUM(C1242:F1242,H1242:K1242)=0,G1242=1),0,INT((SUMPRODUCT(C1242:F1242,COLUMN($A$1:$D$1)-1)+SUMPRODUCT(H1242:K1242,COLUMN($E$1:$H$1)-1))*'Line Follower'!$C$3/SUM(C1242:F1242,H1242:K1242)-'Line Follower'!$C$5)))</f>
        <v>#N/A</v>
      </c>
      <c r="O1242" s="22" t="e">
        <v>#N/A</v>
      </c>
      <c r="P1242" s="4" t="e">
        <f t="shared" si="95"/>
        <v>#N/A</v>
      </c>
      <c r="Q1242" s="4" t="e">
        <f t="shared" si="96"/>
        <v>#N/A</v>
      </c>
      <c r="R1242" s="4" t="e">
        <f>IF(AND(B1242=1,N1242&gt;'Line Follower'!$C$7,SUM(C1242:K1242)&lt;4),1,0)</f>
        <v>#N/A</v>
      </c>
      <c r="S1242" s="4" t="e">
        <f>IF(AND(L1242=1,N1242&lt;'Line Follower'!$C$6,SUM(C1242:K1242)&lt;4),1,0)</f>
        <v>#N/A</v>
      </c>
      <c r="T1242" s="4" t="e">
        <f t="shared" si="97"/>
        <v>#N/A</v>
      </c>
      <c r="U1242" s="5" t="e">
        <f t="shared" si="98"/>
        <v>#N/A</v>
      </c>
      <c r="V1242" s="23" t="e">
        <f t="shared" si="99"/>
        <v>#N/A</v>
      </c>
    </row>
    <row r="1243" spans="2:22" x14ac:dyDescent="0.25">
      <c r="B1243" s="16">
        <v>0</v>
      </c>
      <c r="C1243" s="7">
        <v>0</v>
      </c>
      <c r="D1243" s="8">
        <v>0</v>
      </c>
      <c r="E1243" s="8">
        <v>1</v>
      </c>
      <c r="F1243" s="8">
        <v>1</v>
      </c>
      <c r="G1243" s="8">
        <v>0</v>
      </c>
      <c r="H1243" s="8">
        <v>1</v>
      </c>
      <c r="I1243" s="8">
        <v>1</v>
      </c>
      <c r="J1243" s="8">
        <v>0</v>
      </c>
      <c r="K1243" s="9">
        <v>0</v>
      </c>
      <c r="L1243" s="10">
        <v>1</v>
      </c>
      <c r="M1243" s="6">
        <v>0</v>
      </c>
      <c r="N1243" s="37" t="e" cm="1">
        <f t="array" ref="N1243">IF(OR(ISNUMBER(FIND(Aux!$D$3:$D$9,_xlfn.TEXTJOIN(,,C1243:K1243)))),NA(),IF(AND(SUM(C1243:F1243,H1243:K1243)=0,G1243=1),0,INT((SUMPRODUCT(C1243:F1243,COLUMN($A$1:$D$1)-1)+SUMPRODUCT(H1243:K1243,COLUMN($E$1:$H$1)-1))*'Line Follower'!$C$3/SUM(C1243:F1243,H1243:K1243)-'Line Follower'!$C$5)))</f>
        <v>#N/A</v>
      </c>
      <c r="O1243" s="22" t="e">
        <v>#N/A</v>
      </c>
      <c r="P1243" s="4" t="e">
        <f t="shared" si="95"/>
        <v>#N/A</v>
      </c>
      <c r="Q1243" s="4" t="e">
        <f t="shared" si="96"/>
        <v>#N/A</v>
      </c>
      <c r="R1243" s="4" t="e">
        <f>IF(AND(B1243=1,N1243&gt;'Line Follower'!$C$7,SUM(C1243:K1243)&lt;4),1,0)</f>
        <v>#N/A</v>
      </c>
      <c r="S1243" s="4" t="e">
        <f>IF(AND(L1243=1,N1243&lt;'Line Follower'!$C$6,SUM(C1243:K1243)&lt;4),1,0)</f>
        <v>#N/A</v>
      </c>
      <c r="T1243" s="4" t="e">
        <f t="shared" si="97"/>
        <v>#N/A</v>
      </c>
      <c r="U1243" s="5" t="e">
        <f t="shared" si="98"/>
        <v>#N/A</v>
      </c>
      <c r="V1243" s="23" t="e">
        <f t="shared" si="99"/>
        <v>#N/A</v>
      </c>
    </row>
    <row r="1244" spans="2:22" x14ac:dyDescent="0.25">
      <c r="B1244" s="16">
        <v>1</v>
      </c>
      <c r="C1244" s="7">
        <v>0</v>
      </c>
      <c r="D1244" s="8">
        <v>0</v>
      </c>
      <c r="E1244" s="8">
        <v>1</v>
      </c>
      <c r="F1244" s="8">
        <v>1</v>
      </c>
      <c r="G1244" s="8">
        <v>0</v>
      </c>
      <c r="H1244" s="8">
        <v>1</v>
      </c>
      <c r="I1244" s="8">
        <v>1</v>
      </c>
      <c r="J1244" s="8">
        <v>0</v>
      </c>
      <c r="K1244" s="9">
        <v>0</v>
      </c>
      <c r="L1244" s="10">
        <v>1</v>
      </c>
      <c r="M1244" s="6">
        <v>0</v>
      </c>
      <c r="N1244" s="37" t="e" cm="1">
        <f t="array" ref="N1244">IF(OR(ISNUMBER(FIND(Aux!$D$3:$D$9,_xlfn.TEXTJOIN(,,C1244:K1244)))),NA(),IF(AND(SUM(C1244:F1244,H1244:K1244)=0,G1244=1),0,INT((SUMPRODUCT(C1244:F1244,COLUMN($A$1:$D$1)-1)+SUMPRODUCT(H1244:K1244,COLUMN($E$1:$H$1)-1))*'Line Follower'!$C$3/SUM(C1244:F1244,H1244:K1244)-'Line Follower'!$C$5)))</f>
        <v>#N/A</v>
      </c>
      <c r="O1244" s="22" t="e">
        <v>#N/A</v>
      </c>
      <c r="P1244" s="4" t="e">
        <f t="shared" si="95"/>
        <v>#N/A</v>
      </c>
      <c r="Q1244" s="4" t="e">
        <f t="shared" si="96"/>
        <v>#N/A</v>
      </c>
      <c r="R1244" s="4" t="e">
        <f>IF(AND(B1244=1,N1244&gt;'Line Follower'!$C$7,SUM(C1244:K1244)&lt;4),1,0)</f>
        <v>#N/A</v>
      </c>
      <c r="S1244" s="4" t="e">
        <f>IF(AND(L1244=1,N1244&lt;'Line Follower'!$C$6,SUM(C1244:K1244)&lt;4),1,0)</f>
        <v>#N/A</v>
      </c>
      <c r="T1244" s="4" t="e">
        <f t="shared" si="97"/>
        <v>#N/A</v>
      </c>
      <c r="U1244" s="5" t="e">
        <f t="shared" si="98"/>
        <v>#N/A</v>
      </c>
      <c r="V1244" s="23" t="e">
        <f t="shared" si="99"/>
        <v>#N/A</v>
      </c>
    </row>
    <row r="1245" spans="2:22" x14ac:dyDescent="0.25">
      <c r="B1245" s="16">
        <v>0</v>
      </c>
      <c r="C1245" s="7">
        <v>1</v>
      </c>
      <c r="D1245" s="8">
        <v>0</v>
      </c>
      <c r="E1245" s="8">
        <v>1</v>
      </c>
      <c r="F1245" s="8">
        <v>1</v>
      </c>
      <c r="G1245" s="8">
        <v>0</v>
      </c>
      <c r="H1245" s="8">
        <v>1</v>
      </c>
      <c r="I1245" s="8">
        <v>1</v>
      </c>
      <c r="J1245" s="8">
        <v>0</v>
      </c>
      <c r="K1245" s="9">
        <v>0</v>
      </c>
      <c r="L1245" s="10">
        <v>1</v>
      </c>
      <c r="M1245" s="6">
        <v>0</v>
      </c>
      <c r="N1245" s="37" t="e" cm="1">
        <f t="array" ref="N1245">IF(OR(ISNUMBER(FIND(Aux!$D$3:$D$9,_xlfn.TEXTJOIN(,,C1245:K1245)))),NA(),IF(AND(SUM(C1245:F1245,H1245:K1245)=0,G1245=1),0,INT((SUMPRODUCT(C1245:F1245,COLUMN($A$1:$D$1)-1)+SUMPRODUCT(H1245:K1245,COLUMN($E$1:$H$1)-1))*'Line Follower'!$C$3/SUM(C1245:F1245,H1245:K1245)-'Line Follower'!$C$5)))</f>
        <v>#N/A</v>
      </c>
      <c r="O1245" s="22" t="e">
        <v>#N/A</v>
      </c>
      <c r="P1245" s="4" t="e">
        <f t="shared" si="95"/>
        <v>#N/A</v>
      </c>
      <c r="Q1245" s="4" t="e">
        <f t="shared" si="96"/>
        <v>#N/A</v>
      </c>
      <c r="R1245" s="4" t="e">
        <f>IF(AND(B1245=1,N1245&gt;'Line Follower'!$C$7,SUM(C1245:K1245)&lt;4),1,0)</f>
        <v>#N/A</v>
      </c>
      <c r="S1245" s="4" t="e">
        <f>IF(AND(L1245=1,N1245&lt;'Line Follower'!$C$6,SUM(C1245:K1245)&lt;4),1,0)</f>
        <v>#N/A</v>
      </c>
      <c r="T1245" s="4" t="e">
        <f t="shared" si="97"/>
        <v>#N/A</v>
      </c>
      <c r="U1245" s="5" t="e">
        <f t="shared" si="98"/>
        <v>#N/A</v>
      </c>
      <c r="V1245" s="23" t="e">
        <f t="shared" si="99"/>
        <v>#N/A</v>
      </c>
    </row>
    <row r="1246" spans="2:22" x14ac:dyDescent="0.25">
      <c r="B1246" s="16">
        <v>1</v>
      </c>
      <c r="C1246" s="7">
        <v>1</v>
      </c>
      <c r="D1246" s="8">
        <v>0</v>
      </c>
      <c r="E1246" s="8">
        <v>1</v>
      </c>
      <c r="F1246" s="8">
        <v>1</v>
      </c>
      <c r="G1246" s="8">
        <v>0</v>
      </c>
      <c r="H1246" s="8">
        <v>1</v>
      </c>
      <c r="I1246" s="8">
        <v>1</v>
      </c>
      <c r="J1246" s="8">
        <v>0</v>
      </c>
      <c r="K1246" s="9">
        <v>0</v>
      </c>
      <c r="L1246" s="10">
        <v>1</v>
      </c>
      <c r="M1246" s="6">
        <v>0</v>
      </c>
      <c r="N1246" s="37" t="e" cm="1">
        <f t="array" ref="N1246">IF(OR(ISNUMBER(FIND(Aux!$D$3:$D$9,_xlfn.TEXTJOIN(,,C1246:K1246)))),NA(),IF(AND(SUM(C1246:F1246,H1246:K1246)=0,G1246=1),0,INT((SUMPRODUCT(C1246:F1246,COLUMN($A$1:$D$1)-1)+SUMPRODUCT(H1246:K1246,COLUMN($E$1:$H$1)-1))*'Line Follower'!$C$3/SUM(C1246:F1246,H1246:K1246)-'Line Follower'!$C$5)))</f>
        <v>#N/A</v>
      </c>
      <c r="O1246" s="22" t="e">
        <v>#N/A</v>
      </c>
      <c r="P1246" s="4" t="e">
        <f t="shared" si="95"/>
        <v>#N/A</v>
      </c>
      <c r="Q1246" s="4" t="e">
        <f t="shared" si="96"/>
        <v>#N/A</v>
      </c>
      <c r="R1246" s="4" t="e">
        <f>IF(AND(B1246=1,N1246&gt;'Line Follower'!$C$7,SUM(C1246:K1246)&lt;4),1,0)</f>
        <v>#N/A</v>
      </c>
      <c r="S1246" s="4" t="e">
        <f>IF(AND(L1246=1,N1246&lt;'Line Follower'!$C$6,SUM(C1246:K1246)&lt;4),1,0)</f>
        <v>#N/A</v>
      </c>
      <c r="T1246" s="4" t="e">
        <f t="shared" si="97"/>
        <v>#N/A</v>
      </c>
      <c r="U1246" s="5" t="e">
        <f t="shared" si="98"/>
        <v>#N/A</v>
      </c>
      <c r="V1246" s="23" t="e">
        <f t="shared" si="99"/>
        <v>#N/A</v>
      </c>
    </row>
    <row r="1247" spans="2:22" x14ac:dyDescent="0.25">
      <c r="B1247" s="16">
        <v>0</v>
      </c>
      <c r="C1247" s="7">
        <v>0</v>
      </c>
      <c r="D1247" s="8">
        <v>1</v>
      </c>
      <c r="E1247" s="8">
        <v>1</v>
      </c>
      <c r="F1247" s="8">
        <v>1</v>
      </c>
      <c r="G1247" s="8">
        <v>0</v>
      </c>
      <c r="H1247" s="8">
        <v>1</v>
      </c>
      <c r="I1247" s="8">
        <v>1</v>
      </c>
      <c r="J1247" s="8">
        <v>0</v>
      </c>
      <c r="K1247" s="9">
        <v>0</v>
      </c>
      <c r="L1247" s="10">
        <v>1</v>
      </c>
      <c r="M1247" s="6">
        <v>0</v>
      </c>
      <c r="N1247" s="37" t="e" cm="1">
        <f t="array" ref="N1247">IF(OR(ISNUMBER(FIND(Aux!$D$3:$D$9,_xlfn.TEXTJOIN(,,C1247:K1247)))),NA(),IF(AND(SUM(C1247:F1247,H1247:K1247)=0,G1247=1),0,INT((SUMPRODUCT(C1247:F1247,COLUMN($A$1:$D$1)-1)+SUMPRODUCT(H1247:K1247,COLUMN($E$1:$H$1)-1))*'Line Follower'!$C$3/SUM(C1247:F1247,H1247:K1247)-'Line Follower'!$C$5)))</f>
        <v>#N/A</v>
      </c>
      <c r="O1247" s="22" t="e">
        <v>#N/A</v>
      </c>
      <c r="P1247" s="4" t="e">
        <f t="shared" si="95"/>
        <v>#N/A</v>
      </c>
      <c r="Q1247" s="4" t="e">
        <f t="shared" si="96"/>
        <v>#N/A</v>
      </c>
      <c r="R1247" s="4" t="e">
        <f>IF(AND(B1247=1,N1247&gt;'Line Follower'!$C$7,SUM(C1247:K1247)&lt;4),1,0)</f>
        <v>#N/A</v>
      </c>
      <c r="S1247" s="4" t="e">
        <f>IF(AND(L1247=1,N1247&lt;'Line Follower'!$C$6,SUM(C1247:K1247)&lt;4),1,0)</f>
        <v>#N/A</v>
      </c>
      <c r="T1247" s="4" t="e">
        <f t="shared" si="97"/>
        <v>#N/A</v>
      </c>
      <c r="U1247" s="5" t="e">
        <f t="shared" si="98"/>
        <v>#N/A</v>
      </c>
      <c r="V1247" s="23" t="e">
        <f t="shared" si="99"/>
        <v>#N/A</v>
      </c>
    </row>
    <row r="1248" spans="2:22" x14ac:dyDescent="0.25">
      <c r="B1248" s="16">
        <v>1</v>
      </c>
      <c r="C1248" s="7">
        <v>0</v>
      </c>
      <c r="D1248" s="8">
        <v>1</v>
      </c>
      <c r="E1248" s="8">
        <v>1</v>
      </c>
      <c r="F1248" s="8">
        <v>1</v>
      </c>
      <c r="G1248" s="8">
        <v>0</v>
      </c>
      <c r="H1248" s="8">
        <v>1</v>
      </c>
      <c r="I1248" s="8">
        <v>1</v>
      </c>
      <c r="J1248" s="8">
        <v>0</v>
      </c>
      <c r="K1248" s="9">
        <v>0</v>
      </c>
      <c r="L1248" s="10">
        <v>1</v>
      </c>
      <c r="M1248" s="6">
        <v>0</v>
      </c>
      <c r="N1248" s="37" t="e" cm="1">
        <f t="array" ref="N1248">IF(OR(ISNUMBER(FIND(Aux!$D$3:$D$9,_xlfn.TEXTJOIN(,,C1248:K1248)))),NA(),IF(AND(SUM(C1248:F1248,H1248:K1248)=0,G1248=1),0,INT((SUMPRODUCT(C1248:F1248,COLUMN($A$1:$D$1)-1)+SUMPRODUCT(H1248:K1248,COLUMN($E$1:$H$1)-1))*'Line Follower'!$C$3/SUM(C1248:F1248,H1248:K1248)-'Line Follower'!$C$5)))</f>
        <v>#N/A</v>
      </c>
      <c r="O1248" s="22" t="e">
        <v>#N/A</v>
      </c>
      <c r="P1248" s="4" t="e">
        <f t="shared" si="95"/>
        <v>#N/A</v>
      </c>
      <c r="Q1248" s="4" t="e">
        <f t="shared" si="96"/>
        <v>#N/A</v>
      </c>
      <c r="R1248" s="4" t="e">
        <f>IF(AND(B1248=1,N1248&gt;'Line Follower'!$C$7,SUM(C1248:K1248)&lt;4),1,0)</f>
        <v>#N/A</v>
      </c>
      <c r="S1248" s="4" t="e">
        <f>IF(AND(L1248=1,N1248&lt;'Line Follower'!$C$6,SUM(C1248:K1248)&lt;4),1,0)</f>
        <v>#N/A</v>
      </c>
      <c r="T1248" s="4" t="e">
        <f t="shared" si="97"/>
        <v>#N/A</v>
      </c>
      <c r="U1248" s="5" t="e">
        <f t="shared" si="98"/>
        <v>#N/A</v>
      </c>
      <c r="V1248" s="23" t="e">
        <f t="shared" si="99"/>
        <v>#N/A</v>
      </c>
    </row>
    <row r="1249" spans="2:22" x14ac:dyDescent="0.25">
      <c r="B1249" s="16">
        <v>0</v>
      </c>
      <c r="C1249" s="7">
        <v>1</v>
      </c>
      <c r="D1249" s="8">
        <v>1</v>
      </c>
      <c r="E1249" s="8">
        <v>1</v>
      </c>
      <c r="F1249" s="8">
        <v>1</v>
      </c>
      <c r="G1249" s="8">
        <v>0</v>
      </c>
      <c r="H1249" s="8">
        <v>1</v>
      </c>
      <c r="I1249" s="8">
        <v>1</v>
      </c>
      <c r="J1249" s="8">
        <v>0</v>
      </c>
      <c r="K1249" s="9">
        <v>0</v>
      </c>
      <c r="L1249" s="10">
        <v>1</v>
      </c>
      <c r="M1249" s="6">
        <v>0</v>
      </c>
      <c r="N1249" s="37" t="e" cm="1">
        <f t="array" ref="N1249">IF(OR(ISNUMBER(FIND(Aux!$D$3:$D$9,_xlfn.TEXTJOIN(,,C1249:K1249)))),NA(),IF(AND(SUM(C1249:F1249,H1249:K1249)=0,G1249=1),0,INT((SUMPRODUCT(C1249:F1249,COLUMN($A$1:$D$1)-1)+SUMPRODUCT(H1249:K1249,COLUMN($E$1:$H$1)-1))*'Line Follower'!$C$3/SUM(C1249:F1249,H1249:K1249)-'Line Follower'!$C$5)))</f>
        <v>#N/A</v>
      </c>
      <c r="O1249" s="22" t="e">
        <v>#N/A</v>
      </c>
      <c r="P1249" s="4" t="e">
        <f t="shared" si="95"/>
        <v>#N/A</v>
      </c>
      <c r="Q1249" s="4" t="e">
        <f t="shared" si="96"/>
        <v>#N/A</v>
      </c>
      <c r="R1249" s="4" t="e">
        <f>IF(AND(B1249=1,N1249&gt;'Line Follower'!$C$7,SUM(C1249:K1249)&lt;4),1,0)</f>
        <v>#N/A</v>
      </c>
      <c r="S1249" s="4" t="e">
        <f>IF(AND(L1249=1,N1249&lt;'Line Follower'!$C$6,SUM(C1249:K1249)&lt;4),1,0)</f>
        <v>#N/A</v>
      </c>
      <c r="T1249" s="4" t="e">
        <f t="shared" si="97"/>
        <v>#N/A</v>
      </c>
      <c r="U1249" s="5" t="e">
        <f t="shared" si="98"/>
        <v>#N/A</v>
      </c>
      <c r="V1249" s="23" t="e">
        <f t="shared" si="99"/>
        <v>#N/A</v>
      </c>
    </row>
    <row r="1250" spans="2:22" x14ac:dyDescent="0.25">
      <c r="B1250" s="16">
        <v>1</v>
      </c>
      <c r="C1250" s="7">
        <v>1</v>
      </c>
      <c r="D1250" s="8">
        <v>1</v>
      </c>
      <c r="E1250" s="8">
        <v>1</v>
      </c>
      <c r="F1250" s="8">
        <v>1</v>
      </c>
      <c r="G1250" s="8">
        <v>0</v>
      </c>
      <c r="H1250" s="8">
        <v>1</v>
      </c>
      <c r="I1250" s="8">
        <v>1</v>
      </c>
      <c r="J1250" s="8">
        <v>0</v>
      </c>
      <c r="K1250" s="9">
        <v>0</v>
      </c>
      <c r="L1250" s="10">
        <v>1</v>
      </c>
      <c r="M1250" s="6">
        <v>0</v>
      </c>
      <c r="N1250" s="37" t="e" cm="1">
        <f t="array" ref="N1250">IF(OR(ISNUMBER(FIND(Aux!$D$3:$D$9,_xlfn.TEXTJOIN(,,C1250:K1250)))),NA(),IF(AND(SUM(C1250:F1250,H1250:K1250)=0,G1250=1),0,INT((SUMPRODUCT(C1250:F1250,COLUMN($A$1:$D$1)-1)+SUMPRODUCT(H1250:K1250,COLUMN($E$1:$H$1)-1))*'Line Follower'!$C$3/SUM(C1250:F1250,H1250:K1250)-'Line Follower'!$C$5)))</f>
        <v>#N/A</v>
      </c>
      <c r="O1250" s="22" t="e">
        <v>#N/A</v>
      </c>
      <c r="P1250" s="4" t="e">
        <f t="shared" si="95"/>
        <v>#N/A</v>
      </c>
      <c r="Q1250" s="4" t="e">
        <f t="shared" si="96"/>
        <v>#N/A</v>
      </c>
      <c r="R1250" s="4" t="e">
        <f>IF(AND(B1250=1,N1250&gt;'Line Follower'!$C$7,SUM(C1250:K1250)&lt;4),1,0)</f>
        <v>#N/A</v>
      </c>
      <c r="S1250" s="4" t="e">
        <f>IF(AND(L1250=1,N1250&lt;'Line Follower'!$C$6,SUM(C1250:K1250)&lt;4),1,0)</f>
        <v>#N/A</v>
      </c>
      <c r="T1250" s="4" t="e">
        <f t="shared" si="97"/>
        <v>#N/A</v>
      </c>
      <c r="U1250" s="5" t="e">
        <f t="shared" si="98"/>
        <v>#N/A</v>
      </c>
      <c r="V1250" s="23" t="e">
        <f t="shared" si="99"/>
        <v>#N/A</v>
      </c>
    </row>
    <row r="1251" spans="2:22" x14ac:dyDescent="0.25">
      <c r="B1251" s="16">
        <v>0</v>
      </c>
      <c r="C1251" s="7">
        <v>0</v>
      </c>
      <c r="D1251" s="8">
        <v>0</v>
      </c>
      <c r="E1251" s="8">
        <v>0</v>
      </c>
      <c r="F1251" s="8">
        <v>0</v>
      </c>
      <c r="G1251" s="8">
        <v>1</v>
      </c>
      <c r="H1251" s="8">
        <v>1</v>
      </c>
      <c r="I1251" s="8">
        <v>1</v>
      </c>
      <c r="J1251" s="8">
        <v>0</v>
      </c>
      <c r="K1251" s="9">
        <v>0</v>
      </c>
      <c r="L1251" s="10">
        <v>1</v>
      </c>
      <c r="M1251" s="6">
        <v>0</v>
      </c>
      <c r="N1251" s="37" cm="1">
        <f t="array" ref="N1251">IF(OR(ISNUMBER(FIND(Aux!$D$3:$D$9,_xlfn.TEXTJOIN(,,C1251:K1251)))),NA(),IF(AND(SUM(C1251:F1251,H1251:K1251)=0,G1251=1),0,INT((SUMPRODUCT(C1251:F1251,COLUMN($A$1:$D$1)-1)+SUMPRODUCT(H1251:K1251,COLUMN($E$1:$H$1)-1))*'Line Follower'!$C$3/SUM(C1251:F1251,H1251:K1251)-'Line Follower'!$C$5)))</f>
        <v>2</v>
      </c>
      <c r="O1251" s="22">
        <v>1</v>
      </c>
      <c r="P1251" s="4">
        <f t="shared" si="95"/>
        <v>0</v>
      </c>
      <c r="Q1251" s="4">
        <f t="shared" si="96"/>
        <v>0</v>
      </c>
      <c r="R1251" s="4">
        <f>IF(AND(B1251=1,N1251&gt;'Line Follower'!$C$7,SUM(C1251:K1251)&lt;4),1,0)</f>
        <v>0</v>
      </c>
      <c r="S1251" s="4">
        <f>IF(AND(L1251=1,N1251&lt;'Line Follower'!$C$6,SUM(C1251:K1251)&lt;4),1,0)</f>
        <v>1</v>
      </c>
      <c r="T1251" s="4">
        <f t="shared" si="97"/>
        <v>0</v>
      </c>
      <c r="U1251" s="5">
        <f t="shared" si="98"/>
        <v>0</v>
      </c>
      <c r="V1251" s="23">
        <f t="shared" si="99"/>
        <v>0</v>
      </c>
    </row>
    <row r="1252" spans="2:22" x14ac:dyDescent="0.25">
      <c r="B1252" s="16">
        <v>1</v>
      </c>
      <c r="C1252" s="7">
        <v>0</v>
      </c>
      <c r="D1252" s="8">
        <v>0</v>
      </c>
      <c r="E1252" s="8">
        <v>0</v>
      </c>
      <c r="F1252" s="8">
        <v>0</v>
      </c>
      <c r="G1252" s="8">
        <v>1</v>
      </c>
      <c r="H1252" s="8">
        <v>1</v>
      </c>
      <c r="I1252" s="8">
        <v>1</v>
      </c>
      <c r="J1252" s="8">
        <v>0</v>
      </c>
      <c r="K1252" s="9">
        <v>0</v>
      </c>
      <c r="L1252" s="10">
        <v>1</v>
      </c>
      <c r="M1252" s="6">
        <v>0</v>
      </c>
      <c r="N1252" s="37" cm="1">
        <f t="array" ref="N1252">IF(OR(ISNUMBER(FIND(Aux!$D$3:$D$9,_xlfn.TEXTJOIN(,,C1252:K1252)))),NA(),IF(AND(SUM(C1252:F1252,H1252:K1252)=0,G1252=1),0,INT((SUMPRODUCT(C1252:F1252,COLUMN($A$1:$D$1)-1)+SUMPRODUCT(H1252:K1252,COLUMN($E$1:$H$1)-1))*'Line Follower'!$C$3/SUM(C1252:F1252,H1252:K1252)-'Line Follower'!$C$5)))</f>
        <v>2</v>
      </c>
      <c r="O1252" s="22">
        <v>1</v>
      </c>
      <c r="P1252" s="4">
        <f t="shared" si="95"/>
        <v>0</v>
      </c>
      <c r="Q1252" s="4">
        <f t="shared" si="96"/>
        <v>0</v>
      </c>
      <c r="R1252" s="4">
        <f>IF(AND(B1252=1,N1252&gt;'Line Follower'!$C$7,SUM(C1252:K1252)&lt;4),1,0)</f>
        <v>1</v>
      </c>
      <c r="S1252" s="4">
        <f>IF(AND(L1252=1,N1252&lt;'Line Follower'!$C$6,SUM(C1252:K1252)&lt;4),1,0)</f>
        <v>1</v>
      </c>
      <c r="T1252" s="4">
        <f t="shared" si="97"/>
        <v>0</v>
      </c>
      <c r="U1252" s="5">
        <f t="shared" si="98"/>
        <v>0</v>
      </c>
      <c r="V1252" s="23">
        <f t="shared" si="99"/>
        <v>0</v>
      </c>
    </row>
    <row r="1253" spans="2:22" x14ac:dyDescent="0.25">
      <c r="B1253" s="16">
        <v>0</v>
      </c>
      <c r="C1253" s="7">
        <v>1</v>
      </c>
      <c r="D1253" s="8">
        <v>0</v>
      </c>
      <c r="E1253" s="8">
        <v>0</v>
      </c>
      <c r="F1253" s="8">
        <v>0</v>
      </c>
      <c r="G1253" s="8">
        <v>1</v>
      </c>
      <c r="H1253" s="8">
        <v>1</v>
      </c>
      <c r="I1253" s="8">
        <v>1</v>
      </c>
      <c r="J1253" s="8">
        <v>0</v>
      </c>
      <c r="K1253" s="9">
        <v>0</v>
      </c>
      <c r="L1253" s="10">
        <v>1</v>
      </c>
      <c r="M1253" s="6">
        <v>0</v>
      </c>
      <c r="N1253" s="37" t="e" cm="1">
        <f t="array" ref="N1253">IF(OR(ISNUMBER(FIND(Aux!$D$3:$D$9,_xlfn.TEXTJOIN(,,C1253:K1253)))),NA(),IF(AND(SUM(C1253:F1253,H1253:K1253)=0,G1253=1),0,INT((SUMPRODUCT(C1253:F1253,COLUMN($A$1:$D$1)-1)+SUMPRODUCT(H1253:K1253,COLUMN($E$1:$H$1)-1))*'Line Follower'!$C$3/SUM(C1253:F1253,H1253:K1253)-'Line Follower'!$C$5)))</f>
        <v>#N/A</v>
      </c>
      <c r="O1253" s="22" t="e">
        <v>#N/A</v>
      </c>
      <c r="P1253" s="4" t="e">
        <f t="shared" si="95"/>
        <v>#N/A</v>
      </c>
      <c r="Q1253" s="4" t="e">
        <f t="shared" si="96"/>
        <v>#N/A</v>
      </c>
      <c r="R1253" s="4" t="e">
        <f>IF(AND(B1253=1,N1253&gt;'Line Follower'!$C$7,SUM(C1253:K1253)&lt;4),1,0)</f>
        <v>#N/A</v>
      </c>
      <c r="S1253" s="4" t="e">
        <f>IF(AND(L1253=1,N1253&lt;'Line Follower'!$C$6,SUM(C1253:K1253)&lt;4),1,0)</f>
        <v>#N/A</v>
      </c>
      <c r="T1253" s="4" t="e">
        <f t="shared" si="97"/>
        <v>#N/A</v>
      </c>
      <c r="U1253" s="5" t="e">
        <f t="shared" si="98"/>
        <v>#N/A</v>
      </c>
      <c r="V1253" s="23" t="e">
        <f t="shared" si="99"/>
        <v>#N/A</v>
      </c>
    </row>
    <row r="1254" spans="2:22" x14ac:dyDescent="0.25">
      <c r="B1254" s="16">
        <v>1</v>
      </c>
      <c r="C1254" s="7">
        <v>1</v>
      </c>
      <c r="D1254" s="8">
        <v>0</v>
      </c>
      <c r="E1254" s="8">
        <v>0</v>
      </c>
      <c r="F1254" s="8">
        <v>0</v>
      </c>
      <c r="G1254" s="8">
        <v>1</v>
      </c>
      <c r="H1254" s="8">
        <v>1</v>
      </c>
      <c r="I1254" s="8">
        <v>1</v>
      </c>
      <c r="J1254" s="8">
        <v>0</v>
      </c>
      <c r="K1254" s="9">
        <v>0</v>
      </c>
      <c r="L1254" s="10">
        <v>1</v>
      </c>
      <c r="M1254" s="6">
        <v>0</v>
      </c>
      <c r="N1254" s="37" t="e" cm="1">
        <f t="array" ref="N1254">IF(OR(ISNUMBER(FIND(Aux!$D$3:$D$9,_xlfn.TEXTJOIN(,,C1254:K1254)))),NA(),IF(AND(SUM(C1254:F1254,H1254:K1254)=0,G1254=1),0,INT((SUMPRODUCT(C1254:F1254,COLUMN($A$1:$D$1)-1)+SUMPRODUCT(H1254:K1254,COLUMN($E$1:$H$1)-1))*'Line Follower'!$C$3/SUM(C1254:F1254,H1254:K1254)-'Line Follower'!$C$5)))</f>
        <v>#N/A</v>
      </c>
      <c r="O1254" s="22" t="e">
        <v>#N/A</v>
      </c>
      <c r="P1254" s="4" t="e">
        <f t="shared" si="95"/>
        <v>#N/A</v>
      </c>
      <c r="Q1254" s="4" t="e">
        <f t="shared" si="96"/>
        <v>#N/A</v>
      </c>
      <c r="R1254" s="4" t="e">
        <f>IF(AND(B1254=1,N1254&gt;'Line Follower'!$C$7,SUM(C1254:K1254)&lt;4),1,0)</f>
        <v>#N/A</v>
      </c>
      <c r="S1254" s="4" t="e">
        <f>IF(AND(L1254=1,N1254&lt;'Line Follower'!$C$6,SUM(C1254:K1254)&lt;4),1,0)</f>
        <v>#N/A</v>
      </c>
      <c r="T1254" s="4" t="e">
        <f t="shared" si="97"/>
        <v>#N/A</v>
      </c>
      <c r="U1254" s="5" t="e">
        <f t="shared" si="98"/>
        <v>#N/A</v>
      </c>
      <c r="V1254" s="23" t="e">
        <f t="shared" si="99"/>
        <v>#N/A</v>
      </c>
    </row>
    <row r="1255" spans="2:22" x14ac:dyDescent="0.25">
      <c r="B1255" s="16">
        <v>0</v>
      </c>
      <c r="C1255" s="7">
        <v>0</v>
      </c>
      <c r="D1255" s="8">
        <v>1</v>
      </c>
      <c r="E1255" s="8">
        <v>0</v>
      </c>
      <c r="F1255" s="8">
        <v>0</v>
      </c>
      <c r="G1255" s="8">
        <v>1</v>
      </c>
      <c r="H1255" s="8">
        <v>1</v>
      </c>
      <c r="I1255" s="8">
        <v>1</v>
      </c>
      <c r="J1255" s="8">
        <v>0</v>
      </c>
      <c r="K1255" s="9">
        <v>0</v>
      </c>
      <c r="L1255" s="10">
        <v>1</v>
      </c>
      <c r="M1255" s="6">
        <v>0</v>
      </c>
      <c r="N1255" s="37" t="e" cm="1">
        <f t="array" ref="N1255">IF(OR(ISNUMBER(FIND(Aux!$D$3:$D$9,_xlfn.TEXTJOIN(,,C1255:K1255)))),NA(),IF(AND(SUM(C1255:F1255,H1255:K1255)=0,G1255=1),0,INT((SUMPRODUCT(C1255:F1255,COLUMN($A$1:$D$1)-1)+SUMPRODUCT(H1255:K1255,COLUMN($E$1:$H$1)-1))*'Line Follower'!$C$3/SUM(C1255:F1255,H1255:K1255)-'Line Follower'!$C$5)))</f>
        <v>#N/A</v>
      </c>
      <c r="O1255" s="22" t="e">
        <v>#N/A</v>
      </c>
      <c r="P1255" s="4" t="e">
        <f t="shared" si="95"/>
        <v>#N/A</v>
      </c>
      <c r="Q1255" s="4" t="e">
        <f t="shared" si="96"/>
        <v>#N/A</v>
      </c>
      <c r="R1255" s="4" t="e">
        <f>IF(AND(B1255=1,N1255&gt;'Line Follower'!$C$7,SUM(C1255:K1255)&lt;4),1,0)</f>
        <v>#N/A</v>
      </c>
      <c r="S1255" s="4" t="e">
        <f>IF(AND(L1255=1,N1255&lt;'Line Follower'!$C$6,SUM(C1255:K1255)&lt;4),1,0)</f>
        <v>#N/A</v>
      </c>
      <c r="T1255" s="4" t="e">
        <f t="shared" si="97"/>
        <v>#N/A</v>
      </c>
      <c r="U1255" s="5" t="e">
        <f t="shared" si="98"/>
        <v>#N/A</v>
      </c>
      <c r="V1255" s="23" t="e">
        <f t="shared" si="99"/>
        <v>#N/A</v>
      </c>
    </row>
    <row r="1256" spans="2:22" x14ac:dyDescent="0.25">
      <c r="B1256" s="16">
        <v>1</v>
      </c>
      <c r="C1256" s="7">
        <v>0</v>
      </c>
      <c r="D1256" s="8">
        <v>1</v>
      </c>
      <c r="E1256" s="8">
        <v>0</v>
      </c>
      <c r="F1256" s="8">
        <v>0</v>
      </c>
      <c r="G1256" s="8">
        <v>1</v>
      </c>
      <c r="H1256" s="8">
        <v>1</v>
      </c>
      <c r="I1256" s="8">
        <v>1</v>
      </c>
      <c r="J1256" s="8">
        <v>0</v>
      </c>
      <c r="K1256" s="9">
        <v>0</v>
      </c>
      <c r="L1256" s="10">
        <v>1</v>
      </c>
      <c r="M1256" s="6">
        <v>0</v>
      </c>
      <c r="N1256" s="37" t="e" cm="1">
        <f t="array" ref="N1256">IF(OR(ISNUMBER(FIND(Aux!$D$3:$D$9,_xlfn.TEXTJOIN(,,C1256:K1256)))),NA(),IF(AND(SUM(C1256:F1256,H1256:K1256)=0,G1256=1),0,INT((SUMPRODUCT(C1256:F1256,COLUMN($A$1:$D$1)-1)+SUMPRODUCT(H1256:K1256,COLUMN($E$1:$H$1)-1))*'Line Follower'!$C$3/SUM(C1256:F1256,H1256:K1256)-'Line Follower'!$C$5)))</f>
        <v>#N/A</v>
      </c>
      <c r="O1256" s="22" t="e">
        <v>#N/A</v>
      </c>
      <c r="P1256" s="4" t="e">
        <f t="shared" si="95"/>
        <v>#N/A</v>
      </c>
      <c r="Q1256" s="4" t="e">
        <f t="shared" si="96"/>
        <v>#N/A</v>
      </c>
      <c r="R1256" s="4" t="e">
        <f>IF(AND(B1256=1,N1256&gt;'Line Follower'!$C$7,SUM(C1256:K1256)&lt;4),1,0)</f>
        <v>#N/A</v>
      </c>
      <c r="S1256" s="4" t="e">
        <f>IF(AND(L1256=1,N1256&lt;'Line Follower'!$C$6,SUM(C1256:K1256)&lt;4),1,0)</f>
        <v>#N/A</v>
      </c>
      <c r="T1256" s="4" t="e">
        <f t="shared" si="97"/>
        <v>#N/A</v>
      </c>
      <c r="U1256" s="5" t="e">
        <f t="shared" si="98"/>
        <v>#N/A</v>
      </c>
      <c r="V1256" s="23" t="e">
        <f t="shared" si="99"/>
        <v>#N/A</v>
      </c>
    </row>
    <row r="1257" spans="2:22" x14ac:dyDescent="0.25">
      <c r="B1257" s="16">
        <v>0</v>
      </c>
      <c r="C1257" s="7">
        <v>1</v>
      </c>
      <c r="D1257" s="8">
        <v>1</v>
      </c>
      <c r="E1257" s="8">
        <v>0</v>
      </c>
      <c r="F1257" s="8">
        <v>0</v>
      </c>
      <c r="G1257" s="8">
        <v>1</v>
      </c>
      <c r="H1257" s="8">
        <v>1</v>
      </c>
      <c r="I1257" s="8">
        <v>1</v>
      </c>
      <c r="J1257" s="8">
        <v>0</v>
      </c>
      <c r="K1257" s="9">
        <v>0</v>
      </c>
      <c r="L1257" s="10">
        <v>1</v>
      </c>
      <c r="M1257" s="6">
        <v>0</v>
      </c>
      <c r="N1257" s="37" t="e" cm="1">
        <f t="array" ref="N1257">IF(OR(ISNUMBER(FIND(Aux!$D$3:$D$9,_xlfn.TEXTJOIN(,,C1257:K1257)))),NA(),IF(AND(SUM(C1257:F1257,H1257:K1257)=0,G1257=1),0,INT((SUMPRODUCT(C1257:F1257,COLUMN($A$1:$D$1)-1)+SUMPRODUCT(H1257:K1257,COLUMN($E$1:$H$1)-1))*'Line Follower'!$C$3/SUM(C1257:F1257,H1257:K1257)-'Line Follower'!$C$5)))</f>
        <v>#N/A</v>
      </c>
      <c r="O1257" s="22" t="e">
        <v>#N/A</v>
      </c>
      <c r="P1257" s="4" t="e">
        <f t="shared" si="95"/>
        <v>#N/A</v>
      </c>
      <c r="Q1257" s="4" t="e">
        <f t="shared" si="96"/>
        <v>#N/A</v>
      </c>
      <c r="R1257" s="4" t="e">
        <f>IF(AND(B1257=1,N1257&gt;'Line Follower'!$C$7,SUM(C1257:K1257)&lt;4),1,0)</f>
        <v>#N/A</v>
      </c>
      <c r="S1257" s="4" t="e">
        <f>IF(AND(L1257=1,N1257&lt;'Line Follower'!$C$6,SUM(C1257:K1257)&lt;4),1,0)</f>
        <v>#N/A</v>
      </c>
      <c r="T1257" s="4" t="e">
        <f t="shared" si="97"/>
        <v>#N/A</v>
      </c>
      <c r="U1257" s="5" t="e">
        <f t="shared" si="98"/>
        <v>#N/A</v>
      </c>
      <c r="V1257" s="23" t="e">
        <f t="shared" si="99"/>
        <v>#N/A</v>
      </c>
    </row>
    <row r="1258" spans="2:22" x14ac:dyDescent="0.25">
      <c r="B1258" s="16">
        <v>1</v>
      </c>
      <c r="C1258" s="7">
        <v>1</v>
      </c>
      <c r="D1258" s="8">
        <v>1</v>
      </c>
      <c r="E1258" s="8">
        <v>0</v>
      </c>
      <c r="F1258" s="8">
        <v>0</v>
      </c>
      <c r="G1258" s="8">
        <v>1</v>
      </c>
      <c r="H1258" s="8">
        <v>1</v>
      </c>
      <c r="I1258" s="8">
        <v>1</v>
      </c>
      <c r="J1258" s="8">
        <v>0</v>
      </c>
      <c r="K1258" s="9">
        <v>0</v>
      </c>
      <c r="L1258" s="10">
        <v>1</v>
      </c>
      <c r="M1258" s="6">
        <v>0</v>
      </c>
      <c r="N1258" s="37" t="e" cm="1">
        <f t="array" ref="N1258">IF(OR(ISNUMBER(FIND(Aux!$D$3:$D$9,_xlfn.TEXTJOIN(,,C1258:K1258)))),NA(),IF(AND(SUM(C1258:F1258,H1258:K1258)=0,G1258=1),0,INT((SUMPRODUCT(C1258:F1258,COLUMN($A$1:$D$1)-1)+SUMPRODUCT(H1258:K1258,COLUMN($E$1:$H$1)-1))*'Line Follower'!$C$3/SUM(C1258:F1258,H1258:K1258)-'Line Follower'!$C$5)))</f>
        <v>#N/A</v>
      </c>
      <c r="O1258" s="22" t="e">
        <v>#N/A</v>
      </c>
      <c r="P1258" s="4" t="e">
        <f t="shared" si="95"/>
        <v>#N/A</v>
      </c>
      <c r="Q1258" s="4" t="e">
        <f t="shared" si="96"/>
        <v>#N/A</v>
      </c>
      <c r="R1258" s="4" t="e">
        <f>IF(AND(B1258=1,N1258&gt;'Line Follower'!$C$7,SUM(C1258:K1258)&lt;4),1,0)</f>
        <v>#N/A</v>
      </c>
      <c r="S1258" s="4" t="e">
        <f>IF(AND(L1258=1,N1258&lt;'Line Follower'!$C$6,SUM(C1258:K1258)&lt;4),1,0)</f>
        <v>#N/A</v>
      </c>
      <c r="T1258" s="4" t="e">
        <f t="shared" si="97"/>
        <v>#N/A</v>
      </c>
      <c r="U1258" s="5" t="e">
        <f t="shared" si="98"/>
        <v>#N/A</v>
      </c>
      <c r="V1258" s="23" t="e">
        <f t="shared" si="99"/>
        <v>#N/A</v>
      </c>
    </row>
    <row r="1259" spans="2:22" x14ac:dyDescent="0.25">
      <c r="B1259" s="16">
        <v>0</v>
      </c>
      <c r="C1259" s="7">
        <v>0</v>
      </c>
      <c r="D1259" s="8">
        <v>0</v>
      </c>
      <c r="E1259" s="8">
        <v>1</v>
      </c>
      <c r="F1259" s="8">
        <v>0</v>
      </c>
      <c r="G1259" s="8">
        <v>1</v>
      </c>
      <c r="H1259" s="8">
        <v>1</v>
      </c>
      <c r="I1259" s="8">
        <v>1</v>
      </c>
      <c r="J1259" s="8">
        <v>0</v>
      </c>
      <c r="K1259" s="9">
        <v>0</v>
      </c>
      <c r="L1259" s="10">
        <v>1</v>
      </c>
      <c r="M1259" s="6">
        <v>0</v>
      </c>
      <c r="N1259" s="37" t="e" cm="1">
        <f t="array" ref="N1259">IF(OR(ISNUMBER(FIND(Aux!$D$3:$D$9,_xlfn.TEXTJOIN(,,C1259:K1259)))),NA(),IF(AND(SUM(C1259:F1259,H1259:K1259)=0,G1259=1),0,INT((SUMPRODUCT(C1259:F1259,COLUMN($A$1:$D$1)-1)+SUMPRODUCT(H1259:K1259,COLUMN($E$1:$H$1)-1))*'Line Follower'!$C$3/SUM(C1259:F1259,H1259:K1259)-'Line Follower'!$C$5)))</f>
        <v>#N/A</v>
      </c>
      <c r="O1259" s="22" t="e">
        <v>#N/A</v>
      </c>
      <c r="P1259" s="4" t="e">
        <f t="shared" si="95"/>
        <v>#N/A</v>
      </c>
      <c r="Q1259" s="4" t="e">
        <f t="shared" si="96"/>
        <v>#N/A</v>
      </c>
      <c r="R1259" s="4" t="e">
        <f>IF(AND(B1259=1,N1259&gt;'Line Follower'!$C$7,SUM(C1259:K1259)&lt;4),1,0)</f>
        <v>#N/A</v>
      </c>
      <c r="S1259" s="4" t="e">
        <f>IF(AND(L1259=1,N1259&lt;'Line Follower'!$C$6,SUM(C1259:K1259)&lt;4),1,0)</f>
        <v>#N/A</v>
      </c>
      <c r="T1259" s="4" t="e">
        <f t="shared" si="97"/>
        <v>#N/A</v>
      </c>
      <c r="U1259" s="5" t="e">
        <f t="shared" si="98"/>
        <v>#N/A</v>
      </c>
      <c r="V1259" s="23" t="e">
        <f t="shared" si="99"/>
        <v>#N/A</v>
      </c>
    </row>
    <row r="1260" spans="2:22" x14ac:dyDescent="0.25">
      <c r="B1260" s="16">
        <v>1</v>
      </c>
      <c r="C1260" s="7">
        <v>0</v>
      </c>
      <c r="D1260" s="8">
        <v>0</v>
      </c>
      <c r="E1260" s="8">
        <v>1</v>
      </c>
      <c r="F1260" s="8">
        <v>0</v>
      </c>
      <c r="G1260" s="8">
        <v>1</v>
      </c>
      <c r="H1260" s="8">
        <v>1</v>
      </c>
      <c r="I1260" s="8">
        <v>1</v>
      </c>
      <c r="J1260" s="8">
        <v>0</v>
      </c>
      <c r="K1260" s="9">
        <v>0</v>
      </c>
      <c r="L1260" s="10">
        <v>1</v>
      </c>
      <c r="M1260" s="6">
        <v>0</v>
      </c>
      <c r="N1260" s="37" t="e" cm="1">
        <f t="array" ref="N1260">IF(OR(ISNUMBER(FIND(Aux!$D$3:$D$9,_xlfn.TEXTJOIN(,,C1260:K1260)))),NA(),IF(AND(SUM(C1260:F1260,H1260:K1260)=0,G1260=1),0,INT((SUMPRODUCT(C1260:F1260,COLUMN($A$1:$D$1)-1)+SUMPRODUCT(H1260:K1260,COLUMN($E$1:$H$1)-1))*'Line Follower'!$C$3/SUM(C1260:F1260,H1260:K1260)-'Line Follower'!$C$5)))</f>
        <v>#N/A</v>
      </c>
      <c r="O1260" s="22" t="e">
        <v>#N/A</v>
      </c>
      <c r="P1260" s="4" t="e">
        <f t="shared" si="95"/>
        <v>#N/A</v>
      </c>
      <c r="Q1260" s="4" t="e">
        <f t="shared" si="96"/>
        <v>#N/A</v>
      </c>
      <c r="R1260" s="4" t="e">
        <f>IF(AND(B1260=1,N1260&gt;'Line Follower'!$C$7,SUM(C1260:K1260)&lt;4),1,0)</f>
        <v>#N/A</v>
      </c>
      <c r="S1260" s="4" t="e">
        <f>IF(AND(L1260=1,N1260&lt;'Line Follower'!$C$6,SUM(C1260:K1260)&lt;4),1,0)</f>
        <v>#N/A</v>
      </c>
      <c r="T1260" s="4" t="e">
        <f t="shared" si="97"/>
        <v>#N/A</v>
      </c>
      <c r="U1260" s="5" t="e">
        <f t="shared" si="98"/>
        <v>#N/A</v>
      </c>
      <c r="V1260" s="23" t="e">
        <f t="shared" si="99"/>
        <v>#N/A</v>
      </c>
    </row>
    <row r="1261" spans="2:22" x14ac:dyDescent="0.25">
      <c r="B1261" s="16">
        <v>0</v>
      </c>
      <c r="C1261" s="7">
        <v>1</v>
      </c>
      <c r="D1261" s="8">
        <v>0</v>
      </c>
      <c r="E1261" s="8">
        <v>1</v>
      </c>
      <c r="F1261" s="8">
        <v>0</v>
      </c>
      <c r="G1261" s="8">
        <v>1</v>
      </c>
      <c r="H1261" s="8">
        <v>1</v>
      </c>
      <c r="I1261" s="8">
        <v>1</v>
      </c>
      <c r="J1261" s="8">
        <v>0</v>
      </c>
      <c r="K1261" s="9">
        <v>0</v>
      </c>
      <c r="L1261" s="10">
        <v>1</v>
      </c>
      <c r="M1261" s="6">
        <v>0</v>
      </c>
      <c r="N1261" s="37" t="e" cm="1">
        <f t="array" ref="N1261">IF(OR(ISNUMBER(FIND(Aux!$D$3:$D$9,_xlfn.TEXTJOIN(,,C1261:K1261)))),NA(),IF(AND(SUM(C1261:F1261,H1261:K1261)=0,G1261=1),0,INT((SUMPRODUCT(C1261:F1261,COLUMN($A$1:$D$1)-1)+SUMPRODUCT(H1261:K1261,COLUMN($E$1:$H$1)-1))*'Line Follower'!$C$3/SUM(C1261:F1261,H1261:K1261)-'Line Follower'!$C$5)))</f>
        <v>#N/A</v>
      </c>
      <c r="O1261" s="22" t="e">
        <v>#N/A</v>
      </c>
      <c r="P1261" s="4" t="e">
        <f t="shared" si="95"/>
        <v>#N/A</v>
      </c>
      <c r="Q1261" s="4" t="e">
        <f t="shared" si="96"/>
        <v>#N/A</v>
      </c>
      <c r="R1261" s="4" t="e">
        <f>IF(AND(B1261=1,N1261&gt;'Line Follower'!$C$7,SUM(C1261:K1261)&lt;4),1,0)</f>
        <v>#N/A</v>
      </c>
      <c r="S1261" s="4" t="e">
        <f>IF(AND(L1261=1,N1261&lt;'Line Follower'!$C$6,SUM(C1261:K1261)&lt;4),1,0)</f>
        <v>#N/A</v>
      </c>
      <c r="T1261" s="4" t="e">
        <f t="shared" si="97"/>
        <v>#N/A</v>
      </c>
      <c r="U1261" s="5" t="e">
        <f t="shared" si="98"/>
        <v>#N/A</v>
      </c>
      <c r="V1261" s="23" t="e">
        <f t="shared" si="99"/>
        <v>#N/A</v>
      </c>
    </row>
    <row r="1262" spans="2:22" x14ac:dyDescent="0.25">
      <c r="B1262" s="16">
        <v>1</v>
      </c>
      <c r="C1262" s="7">
        <v>1</v>
      </c>
      <c r="D1262" s="8">
        <v>0</v>
      </c>
      <c r="E1262" s="8">
        <v>1</v>
      </c>
      <c r="F1262" s="8">
        <v>0</v>
      </c>
      <c r="G1262" s="8">
        <v>1</v>
      </c>
      <c r="H1262" s="8">
        <v>1</v>
      </c>
      <c r="I1262" s="8">
        <v>1</v>
      </c>
      <c r="J1262" s="8">
        <v>0</v>
      </c>
      <c r="K1262" s="9">
        <v>0</v>
      </c>
      <c r="L1262" s="10">
        <v>1</v>
      </c>
      <c r="M1262" s="6">
        <v>0</v>
      </c>
      <c r="N1262" s="37" t="e" cm="1">
        <f t="array" ref="N1262">IF(OR(ISNUMBER(FIND(Aux!$D$3:$D$9,_xlfn.TEXTJOIN(,,C1262:K1262)))),NA(),IF(AND(SUM(C1262:F1262,H1262:K1262)=0,G1262=1),0,INT((SUMPRODUCT(C1262:F1262,COLUMN($A$1:$D$1)-1)+SUMPRODUCT(H1262:K1262,COLUMN($E$1:$H$1)-1))*'Line Follower'!$C$3/SUM(C1262:F1262,H1262:K1262)-'Line Follower'!$C$5)))</f>
        <v>#N/A</v>
      </c>
      <c r="O1262" s="22" t="e">
        <v>#N/A</v>
      </c>
      <c r="P1262" s="4" t="e">
        <f t="shared" si="95"/>
        <v>#N/A</v>
      </c>
      <c r="Q1262" s="4" t="e">
        <f t="shared" si="96"/>
        <v>#N/A</v>
      </c>
      <c r="R1262" s="4" t="e">
        <f>IF(AND(B1262=1,N1262&gt;'Line Follower'!$C$7,SUM(C1262:K1262)&lt;4),1,0)</f>
        <v>#N/A</v>
      </c>
      <c r="S1262" s="4" t="e">
        <f>IF(AND(L1262=1,N1262&lt;'Line Follower'!$C$6,SUM(C1262:K1262)&lt;4),1,0)</f>
        <v>#N/A</v>
      </c>
      <c r="T1262" s="4" t="e">
        <f t="shared" si="97"/>
        <v>#N/A</v>
      </c>
      <c r="U1262" s="5" t="e">
        <f t="shared" si="98"/>
        <v>#N/A</v>
      </c>
      <c r="V1262" s="23" t="e">
        <f t="shared" si="99"/>
        <v>#N/A</v>
      </c>
    </row>
    <row r="1263" spans="2:22" x14ac:dyDescent="0.25">
      <c r="B1263" s="16">
        <v>0</v>
      </c>
      <c r="C1263" s="7">
        <v>0</v>
      </c>
      <c r="D1263" s="8">
        <v>1</v>
      </c>
      <c r="E1263" s="8">
        <v>1</v>
      </c>
      <c r="F1263" s="8">
        <v>0</v>
      </c>
      <c r="G1263" s="8">
        <v>1</v>
      </c>
      <c r="H1263" s="8">
        <v>1</v>
      </c>
      <c r="I1263" s="8">
        <v>1</v>
      </c>
      <c r="J1263" s="8">
        <v>0</v>
      </c>
      <c r="K1263" s="9">
        <v>0</v>
      </c>
      <c r="L1263" s="10">
        <v>1</v>
      </c>
      <c r="M1263" s="6">
        <v>0</v>
      </c>
      <c r="N1263" s="37" t="e" cm="1">
        <f t="array" ref="N1263">IF(OR(ISNUMBER(FIND(Aux!$D$3:$D$9,_xlfn.TEXTJOIN(,,C1263:K1263)))),NA(),IF(AND(SUM(C1263:F1263,H1263:K1263)=0,G1263=1),0,INT((SUMPRODUCT(C1263:F1263,COLUMN($A$1:$D$1)-1)+SUMPRODUCT(H1263:K1263,COLUMN($E$1:$H$1)-1))*'Line Follower'!$C$3/SUM(C1263:F1263,H1263:K1263)-'Line Follower'!$C$5)))</f>
        <v>#N/A</v>
      </c>
      <c r="O1263" s="22" t="e">
        <v>#N/A</v>
      </c>
      <c r="P1263" s="4" t="e">
        <f t="shared" si="95"/>
        <v>#N/A</v>
      </c>
      <c r="Q1263" s="4" t="e">
        <f t="shared" si="96"/>
        <v>#N/A</v>
      </c>
      <c r="R1263" s="4" t="e">
        <f>IF(AND(B1263=1,N1263&gt;'Line Follower'!$C$7,SUM(C1263:K1263)&lt;4),1,0)</f>
        <v>#N/A</v>
      </c>
      <c r="S1263" s="4" t="e">
        <f>IF(AND(L1263=1,N1263&lt;'Line Follower'!$C$6,SUM(C1263:K1263)&lt;4),1,0)</f>
        <v>#N/A</v>
      </c>
      <c r="T1263" s="4" t="e">
        <f t="shared" si="97"/>
        <v>#N/A</v>
      </c>
      <c r="U1263" s="5" t="e">
        <f t="shared" si="98"/>
        <v>#N/A</v>
      </c>
      <c r="V1263" s="23" t="e">
        <f t="shared" si="99"/>
        <v>#N/A</v>
      </c>
    </row>
    <row r="1264" spans="2:22" x14ac:dyDescent="0.25">
      <c r="B1264" s="16">
        <v>1</v>
      </c>
      <c r="C1264" s="7">
        <v>0</v>
      </c>
      <c r="D1264" s="8">
        <v>1</v>
      </c>
      <c r="E1264" s="8">
        <v>1</v>
      </c>
      <c r="F1264" s="8">
        <v>0</v>
      </c>
      <c r="G1264" s="8">
        <v>1</v>
      </c>
      <c r="H1264" s="8">
        <v>1</v>
      </c>
      <c r="I1264" s="8">
        <v>1</v>
      </c>
      <c r="J1264" s="8">
        <v>0</v>
      </c>
      <c r="K1264" s="9">
        <v>0</v>
      </c>
      <c r="L1264" s="10">
        <v>1</v>
      </c>
      <c r="M1264" s="6">
        <v>0</v>
      </c>
      <c r="N1264" s="37" t="e" cm="1">
        <f t="array" ref="N1264">IF(OR(ISNUMBER(FIND(Aux!$D$3:$D$9,_xlfn.TEXTJOIN(,,C1264:K1264)))),NA(),IF(AND(SUM(C1264:F1264,H1264:K1264)=0,G1264=1),0,INT((SUMPRODUCT(C1264:F1264,COLUMN($A$1:$D$1)-1)+SUMPRODUCT(H1264:K1264,COLUMN($E$1:$H$1)-1))*'Line Follower'!$C$3/SUM(C1264:F1264,H1264:K1264)-'Line Follower'!$C$5)))</f>
        <v>#N/A</v>
      </c>
      <c r="O1264" s="22" t="e">
        <v>#N/A</v>
      </c>
      <c r="P1264" s="4" t="e">
        <f t="shared" si="95"/>
        <v>#N/A</v>
      </c>
      <c r="Q1264" s="4" t="e">
        <f t="shared" si="96"/>
        <v>#N/A</v>
      </c>
      <c r="R1264" s="4" t="e">
        <f>IF(AND(B1264=1,N1264&gt;'Line Follower'!$C$7,SUM(C1264:K1264)&lt;4),1,0)</f>
        <v>#N/A</v>
      </c>
      <c r="S1264" s="4" t="e">
        <f>IF(AND(L1264=1,N1264&lt;'Line Follower'!$C$6,SUM(C1264:K1264)&lt;4),1,0)</f>
        <v>#N/A</v>
      </c>
      <c r="T1264" s="4" t="e">
        <f t="shared" si="97"/>
        <v>#N/A</v>
      </c>
      <c r="U1264" s="5" t="e">
        <f t="shared" si="98"/>
        <v>#N/A</v>
      </c>
      <c r="V1264" s="23" t="e">
        <f t="shared" si="99"/>
        <v>#N/A</v>
      </c>
    </row>
    <row r="1265" spans="2:22" x14ac:dyDescent="0.25">
      <c r="B1265" s="16">
        <v>0</v>
      </c>
      <c r="C1265" s="7">
        <v>1</v>
      </c>
      <c r="D1265" s="8">
        <v>1</v>
      </c>
      <c r="E1265" s="8">
        <v>1</v>
      </c>
      <c r="F1265" s="8">
        <v>0</v>
      </c>
      <c r="G1265" s="8">
        <v>1</v>
      </c>
      <c r="H1265" s="8">
        <v>1</v>
      </c>
      <c r="I1265" s="8">
        <v>1</v>
      </c>
      <c r="J1265" s="8">
        <v>0</v>
      </c>
      <c r="K1265" s="9">
        <v>0</v>
      </c>
      <c r="L1265" s="10">
        <v>1</v>
      </c>
      <c r="M1265" s="6">
        <v>0</v>
      </c>
      <c r="N1265" s="37" t="e" cm="1">
        <f t="array" ref="N1265">IF(OR(ISNUMBER(FIND(Aux!$D$3:$D$9,_xlfn.TEXTJOIN(,,C1265:K1265)))),NA(),IF(AND(SUM(C1265:F1265,H1265:K1265)=0,G1265=1),0,INT((SUMPRODUCT(C1265:F1265,COLUMN($A$1:$D$1)-1)+SUMPRODUCT(H1265:K1265,COLUMN($E$1:$H$1)-1))*'Line Follower'!$C$3/SUM(C1265:F1265,H1265:K1265)-'Line Follower'!$C$5)))</f>
        <v>#N/A</v>
      </c>
      <c r="O1265" s="22" t="e">
        <v>#N/A</v>
      </c>
      <c r="P1265" s="4" t="e">
        <f t="shared" si="95"/>
        <v>#N/A</v>
      </c>
      <c r="Q1265" s="4" t="e">
        <f t="shared" si="96"/>
        <v>#N/A</v>
      </c>
      <c r="R1265" s="4" t="e">
        <f>IF(AND(B1265=1,N1265&gt;'Line Follower'!$C$7,SUM(C1265:K1265)&lt;4),1,0)</f>
        <v>#N/A</v>
      </c>
      <c r="S1265" s="4" t="e">
        <f>IF(AND(L1265=1,N1265&lt;'Line Follower'!$C$6,SUM(C1265:K1265)&lt;4),1,0)</f>
        <v>#N/A</v>
      </c>
      <c r="T1265" s="4" t="e">
        <f t="shared" si="97"/>
        <v>#N/A</v>
      </c>
      <c r="U1265" s="5" t="e">
        <f t="shared" si="98"/>
        <v>#N/A</v>
      </c>
      <c r="V1265" s="23" t="e">
        <f t="shared" si="99"/>
        <v>#N/A</v>
      </c>
    </row>
    <row r="1266" spans="2:22" x14ac:dyDescent="0.25">
      <c r="B1266" s="16">
        <v>1</v>
      </c>
      <c r="C1266" s="7">
        <v>1</v>
      </c>
      <c r="D1266" s="8">
        <v>1</v>
      </c>
      <c r="E1266" s="8">
        <v>1</v>
      </c>
      <c r="F1266" s="8">
        <v>0</v>
      </c>
      <c r="G1266" s="8">
        <v>1</v>
      </c>
      <c r="H1266" s="8">
        <v>1</v>
      </c>
      <c r="I1266" s="8">
        <v>1</v>
      </c>
      <c r="J1266" s="8">
        <v>0</v>
      </c>
      <c r="K1266" s="9">
        <v>0</v>
      </c>
      <c r="L1266" s="10">
        <v>1</v>
      </c>
      <c r="M1266" s="6">
        <v>0</v>
      </c>
      <c r="N1266" s="37" t="e" cm="1">
        <f t="array" ref="N1266">IF(OR(ISNUMBER(FIND(Aux!$D$3:$D$9,_xlfn.TEXTJOIN(,,C1266:K1266)))),NA(),IF(AND(SUM(C1266:F1266,H1266:K1266)=0,G1266=1),0,INT((SUMPRODUCT(C1266:F1266,COLUMN($A$1:$D$1)-1)+SUMPRODUCT(H1266:K1266,COLUMN($E$1:$H$1)-1))*'Line Follower'!$C$3/SUM(C1266:F1266,H1266:K1266)-'Line Follower'!$C$5)))</f>
        <v>#N/A</v>
      </c>
      <c r="O1266" s="22" t="e">
        <v>#N/A</v>
      </c>
      <c r="P1266" s="4" t="e">
        <f t="shared" si="95"/>
        <v>#N/A</v>
      </c>
      <c r="Q1266" s="4" t="e">
        <f t="shared" si="96"/>
        <v>#N/A</v>
      </c>
      <c r="R1266" s="4" t="e">
        <f>IF(AND(B1266=1,N1266&gt;'Line Follower'!$C$7,SUM(C1266:K1266)&lt;4),1,0)</f>
        <v>#N/A</v>
      </c>
      <c r="S1266" s="4" t="e">
        <f>IF(AND(L1266=1,N1266&lt;'Line Follower'!$C$6,SUM(C1266:K1266)&lt;4),1,0)</f>
        <v>#N/A</v>
      </c>
      <c r="T1266" s="4" t="e">
        <f t="shared" si="97"/>
        <v>#N/A</v>
      </c>
      <c r="U1266" s="5" t="e">
        <f t="shared" si="98"/>
        <v>#N/A</v>
      </c>
      <c r="V1266" s="23" t="e">
        <f t="shared" si="99"/>
        <v>#N/A</v>
      </c>
    </row>
    <row r="1267" spans="2:22" x14ac:dyDescent="0.25">
      <c r="B1267" s="16">
        <v>0</v>
      </c>
      <c r="C1267" s="7">
        <v>0</v>
      </c>
      <c r="D1267" s="8">
        <v>0</v>
      </c>
      <c r="E1267" s="8">
        <v>0</v>
      </c>
      <c r="F1267" s="8">
        <v>1</v>
      </c>
      <c r="G1267" s="8">
        <v>1</v>
      </c>
      <c r="H1267" s="8">
        <v>1</v>
      </c>
      <c r="I1267" s="8">
        <v>1</v>
      </c>
      <c r="J1267" s="8">
        <v>0</v>
      </c>
      <c r="K1267" s="9">
        <v>0</v>
      </c>
      <c r="L1267" s="10">
        <v>1</v>
      </c>
      <c r="M1267" s="6">
        <v>0</v>
      </c>
      <c r="N1267" s="37" cm="1">
        <f t="array" ref="N1267">IF(OR(ISNUMBER(FIND(Aux!$D$3:$D$9,_xlfn.TEXTJOIN(,,C1267:K1267)))),NA(),IF(AND(SUM(C1267:F1267,H1267:K1267)=0,G1267=1),0,INT((SUMPRODUCT(C1267:F1267,COLUMN($A$1:$D$1)-1)+SUMPRODUCT(H1267:K1267,COLUMN($E$1:$H$1)-1))*'Line Follower'!$C$3/SUM(C1267:F1267,H1267:K1267)-'Line Follower'!$C$5)))</f>
        <v>1</v>
      </c>
      <c r="O1267" s="22">
        <v>1</v>
      </c>
      <c r="P1267" s="4">
        <f t="shared" si="95"/>
        <v>0</v>
      </c>
      <c r="Q1267" s="4">
        <f t="shared" si="96"/>
        <v>1</v>
      </c>
      <c r="R1267" s="4">
        <f>IF(AND(B1267=1,N1267&gt;'Line Follower'!$C$7,SUM(C1267:K1267)&lt;4),1,0)</f>
        <v>0</v>
      </c>
      <c r="S1267" s="4">
        <f>IF(AND(L1267=1,N1267&lt;'Line Follower'!$C$6,SUM(C1267:K1267)&lt;4),1,0)</f>
        <v>0</v>
      </c>
      <c r="T1267" s="4">
        <f t="shared" si="97"/>
        <v>0</v>
      </c>
      <c r="U1267" s="5">
        <f t="shared" si="98"/>
        <v>0</v>
      </c>
      <c r="V1267" s="23">
        <f t="shared" si="99"/>
        <v>0</v>
      </c>
    </row>
    <row r="1268" spans="2:22" x14ac:dyDescent="0.25">
      <c r="B1268" s="16">
        <v>1</v>
      </c>
      <c r="C1268" s="7">
        <v>0</v>
      </c>
      <c r="D1268" s="8">
        <v>0</v>
      </c>
      <c r="E1268" s="8">
        <v>0</v>
      </c>
      <c r="F1268" s="8">
        <v>1</v>
      </c>
      <c r="G1268" s="8">
        <v>1</v>
      </c>
      <c r="H1268" s="8">
        <v>1</v>
      </c>
      <c r="I1268" s="8">
        <v>1</v>
      </c>
      <c r="J1268" s="8">
        <v>0</v>
      </c>
      <c r="K1268" s="9">
        <v>0</v>
      </c>
      <c r="L1268" s="10">
        <v>1</v>
      </c>
      <c r="M1268" s="6">
        <v>0</v>
      </c>
      <c r="N1268" s="37" cm="1">
        <f t="array" ref="N1268">IF(OR(ISNUMBER(FIND(Aux!$D$3:$D$9,_xlfn.TEXTJOIN(,,C1268:K1268)))),NA(),IF(AND(SUM(C1268:F1268,H1268:K1268)=0,G1268=1),0,INT((SUMPRODUCT(C1268:F1268,COLUMN($A$1:$D$1)-1)+SUMPRODUCT(H1268:K1268,COLUMN($E$1:$H$1)-1))*'Line Follower'!$C$3/SUM(C1268:F1268,H1268:K1268)-'Line Follower'!$C$5)))</f>
        <v>1</v>
      </c>
      <c r="O1268" s="22">
        <v>1</v>
      </c>
      <c r="P1268" s="4">
        <f t="shared" si="95"/>
        <v>0</v>
      </c>
      <c r="Q1268" s="4">
        <f t="shared" si="96"/>
        <v>1</v>
      </c>
      <c r="R1268" s="4">
        <f>IF(AND(B1268=1,N1268&gt;'Line Follower'!$C$7,SUM(C1268:K1268)&lt;4),1,0)</f>
        <v>0</v>
      </c>
      <c r="S1268" s="4">
        <f>IF(AND(L1268=1,N1268&lt;'Line Follower'!$C$6,SUM(C1268:K1268)&lt;4),1,0)</f>
        <v>0</v>
      </c>
      <c r="T1268" s="4">
        <f t="shared" si="97"/>
        <v>0</v>
      </c>
      <c r="U1268" s="5">
        <f t="shared" si="98"/>
        <v>0</v>
      </c>
      <c r="V1268" s="23">
        <f t="shared" si="99"/>
        <v>0</v>
      </c>
    </row>
    <row r="1269" spans="2:22" x14ac:dyDescent="0.25">
      <c r="B1269" s="16">
        <v>0</v>
      </c>
      <c r="C1269" s="7">
        <v>1</v>
      </c>
      <c r="D1269" s="8">
        <v>0</v>
      </c>
      <c r="E1269" s="8">
        <v>0</v>
      </c>
      <c r="F1269" s="8">
        <v>1</v>
      </c>
      <c r="G1269" s="8">
        <v>1</v>
      </c>
      <c r="H1269" s="8">
        <v>1</v>
      </c>
      <c r="I1269" s="8">
        <v>1</v>
      </c>
      <c r="J1269" s="8">
        <v>0</v>
      </c>
      <c r="K1269" s="9">
        <v>0</v>
      </c>
      <c r="L1269" s="10">
        <v>1</v>
      </c>
      <c r="M1269" s="6">
        <v>0</v>
      </c>
      <c r="N1269" s="37" t="e" cm="1">
        <f t="array" ref="N1269">IF(OR(ISNUMBER(FIND(Aux!$D$3:$D$9,_xlfn.TEXTJOIN(,,C1269:K1269)))),NA(),IF(AND(SUM(C1269:F1269,H1269:K1269)=0,G1269=1),0,INT((SUMPRODUCT(C1269:F1269,COLUMN($A$1:$D$1)-1)+SUMPRODUCT(H1269:K1269,COLUMN($E$1:$H$1)-1))*'Line Follower'!$C$3/SUM(C1269:F1269,H1269:K1269)-'Line Follower'!$C$5)))</f>
        <v>#N/A</v>
      </c>
      <c r="O1269" s="22" t="e">
        <v>#N/A</v>
      </c>
      <c r="P1269" s="4" t="e">
        <f t="shared" si="95"/>
        <v>#N/A</v>
      </c>
      <c r="Q1269" s="4" t="e">
        <f t="shared" si="96"/>
        <v>#N/A</v>
      </c>
      <c r="R1269" s="4" t="e">
        <f>IF(AND(B1269=1,N1269&gt;'Line Follower'!$C$7,SUM(C1269:K1269)&lt;4),1,0)</f>
        <v>#N/A</v>
      </c>
      <c r="S1269" s="4" t="e">
        <f>IF(AND(L1269=1,N1269&lt;'Line Follower'!$C$6,SUM(C1269:K1269)&lt;4),1,0)</f>
        <v>#N/A</v>
      </c>
      <c r="T1269" s="4" t="e">
        <f t="shared" si="97"/>
        <v>#N/A</v>
      </c>
      <c r="U1269" s="5" t="e">
        <f t="shared" si="98"/>
        <v>#N/A</v>
      </c>
      <c r="V1269" s="23" t="e">
        <f t="shared" si="99"/>
        <v>#N/A</v>
      </c>
    </row>
    <row r="1270" spans="2:22" x14ac:dyDescent="0.25">
      <c r="B1270" s="16">
        <v>1</v>
      </c>
      <c r="C1270" s="7">
        <v>1</v>
      </c>
      <c r="D1270" s="8">
        <v>0</v>
      </c>
      <c r="E1270" s="8">
        <v>0</v>
      </c>
      <c r="F1270" s="8">
        <v>1</v>
      </c>
      <c r="G1270" s="8">
        <v>1</v>
      </c>
      <c r="H1270" s="8">
        <v>1</v>
      </c>
      <c r="I1270" s="8">
        <v>1</v>
      </c>
      <c r="J1270" s="8">
        <v>0</v>
      </c>
      <c r="K1270" s="9">
        <v>0</v>
      </c>
      <c r="L1270" s="10">
        <v>1</v>
      </c>
      <c r="M1270" s="6">
        <v>0</v>
      </c>
      <c r="N1270" s="37" t="e" cm="1">
        <f t="array" ref="N1270">IF(OR(ISNUMBER(FIND(Aux!$D$3:$D$9,_xlfn.TEXTJOIN(,,C1270:K1270)))),NA(),IF(AND(SUM(C1270:F1270,H1270:K1270)=0,G1270=1),0,INT((SUMPRODUCT(C1270:F1270,COLUMN($A$1:$D$1)-1)+SUMPRODUCT(H1270:K1270,COLUMN($E$1:$H$1)-1))*'Line Follower'!$C$3/SUM(C1270:F1270,H1270:K1270)-'Line Follower'!$C$5)))</f>
        <v>#N/A</v>
      </c>
      <c r="O1270" s="22" t="e">
        <v>#N/A</v>
      </c>
      <c r="P1270" s="4" t="e">
        <f t="shared" si="95"/>
        <v>#N/A</v>
      </c>
      <c r="Q1270" s="4" t="e">
        <f t="shared" si="96"/>
        <v>#N/A</v>
      </c>
      <c r="R1270" s="4" t="e">
        <f>IF(AND(B1270=1,N1270&gt;'Line Follower'!$C$7,SUM(C1270:K1270)&lt;4),1,0)</f>
        <v>#N/A</v>
      </c>
      <c r="S1270" s="4" t="e">
        <f>IF(AND(L1270=1,N1270&lt;'Line Follower'!$C$6,SUM(C1270:K1270)&lt;4),1,0)</f>
        <v>#N/A</v>
      </c>
      <c r="T1270" s="4" t="e">
        <f t="shared" si="97"/>
        <v>#N/A</v>
      </c>
      <c r="U1270" s="5" t="e">
        <f t="shared" si="98"/>
        <v>#N/A</v>
      </c>
      <c r="V1270" s="23" t="e">
        <f t="shared" si="99"/>
        <v>#N/A</v>
      </c>
    </row>
    <row r="1271" spans="2:22" x14ac:dyDescent="0.25">
      <c r="B1271" s="16">
        <v>0</v>
      </c>
      <c r="C1271" s="7">
        <v>0</v>
      </c>
      <c r="D1271" s="8">
        <v>1</v>
      </c>
      <c r="E1271" s="8">
        <v>0</v>
      </c>
      <c r="F1271" s="8">
        <v>1</v>
      </c>
      <c r="G1271" s="8">
        <v>1</v>
      </c>
      <c r="H1271" s="8">
        <v>1</v>
      </c>
      <c r="I1271" s="8">
        <v>1</v>
      </c>
      <c r="J1271" s="8">
        <v>0</v>
      </c>
      <c r="K1271" s="9">
        <v>0</v>
      </c>
      <c r="L1271" s="10">
        <v>1</v>
      </c>
      <c r="M1271" s="6">
        <v>0</v>
      </c>
      <c r="N1271" s="37" t="e" cm="1">
        <f t="array" ref="N1271">IF(OR(ISNUMBER(FIND(Aux!$D$3:$D$9,_xlfn.TEXTJOIN(,,C1271:K1271)))),NA(),IF(AND(SUM(C1271:F1271,H1271:K1271)=0,G1271=1),0,INT((SUMPRODUCT(C1271:F1271,COLUMN($A$1:$D$1)-1)+SUMPRODUCT(H1271:K1271,COLUMN($E$1:$H$1)-1))*'Line Follower'!$C$3/SUM(C1271:F1271,H1271:K1271)-'Line Follower'!$C$5)))</f>
        <v>#N/A</v>
      </c>
      <c r="O1271" s="22" t="e">
        <v>#N/A</v>
      </c>
      <c r="P1271" s="4" t="e">
        <f t="shared" si="95"/>
        <v>#N/A</v>
      </c>
      <c r="Q1271" s="4" t="e">
        <f t="shared" si="96"/>
        <v>#N/A</v>
      </c>
      <c r="R1271" s="4" t="e">
        <f>IF(AND(B1271=1,N1271&gt;'Line Follower'!$C$7,SUM(C1271:K1271)&lt;4),1,0)</f>
        <v>#N/A</v>
      </c>
      <c r="S1271" s="4" t="e">
        <f>IF(AND(L1271=1,N1271&lt;'Line Follower'!$C$6,SUM(C1271:K1271)&lt;4),1,0)</f>
        <v>#N/A</v>
      </c>
      <c r="T1271" s="4" t="e">
        <f t="shared" si="97"/>
        <v>#N/A</v>
      </c>
      <c r="U1271" s="5" t="e">
        <f t="shared" si="98"/>
        <v>#N/A</v>
      </c>
      <c r="V1271" s="23" t="e">
        <f t="shared" si="99"/>
        <v>#N/A</v>
      </c>
    </row>
    <row r="1272" spans="2:22" x14ac:dyDescent="0.25">
      <c r="B1272" s="16">
        <v>1</v>
      </c>
      <c r="C1272" s="7">
        <v>0</v>
      </c>
      <c r="D1272" s="8">
        <v>1</v>
      </c>
      <c r="E1272" s="8">
        <v>0</v>
      </c>
      <c r="F1272" s="8">
        <v>1</v>
      </c>
      <c r="G1272" s="8">
        <v>1</v>
      </c>
      <c r="H1272" s="8">
        <v>1</v>
      </c>
      <c r="I1272" s="8">
        <v>1</v>
      </c>
      <c r="J1272" s="8">
        <v>0</v>
      </c>
      <c r="K1272" s="9">
        <v>0</v>
      </c>
      <c r="L1272" s="10">
        <v>1</v>
      </c>
      <c r="M1272" s="6">
        <v>0</v>
      </c>
      <c r="N1272" s="37" t="e" cm="1">
        <f t="array" ref="N1272">IF(OR(ISNUMBER(FIND(Aux!$D$3:$D$9,_xlfn.TEXTJOIN(,,C1272:K1272)))),NA(),IF(AND(SUM(C1272:F1272,H1272:K1272)=0,G1272=1),0,INT((SUMPRODUCT(C1272:F1272,COLUMN($A$1:$D$1)-1)+SUMPRODUCT(H1272:K1272,COLUMN($E$1:$H$1)-1))*'Line Follower'!$C$3/SUM(C1272:F1272,H1272:K1272)-'Line Follower'!$C$5)))</f>
        <v>#N/A</v>
      </c>
      <c r="O1272" s="22" t="e">
        <v>#N/A</v>
      </c>
      <c r="P1272" s="4" t="e">
        <f t="shared" si="95"/>
        <v>#N/A</v>
      </c>
      <c r="Q1272" s="4" t="e">
        <f t="shared" si="96"/>
        <v>#N/A</v>
      </c>
      <c r="R1272" s="4" t="e">
        <f>IF(AND(B1272=1,N1272&gt;'Line Follower'!$C$7,SUM(C1272:K1272)&lt;4),1,0)</f>
        <v>#N/A</v>
      </c>
      <c r="S1272" s="4" t="e">
        <f>IF(AND(L1272=1,N1272&lt;'Line Follower'!$C$6,SUM(C1272:K1272)&lt;4),1,0)</f>
        <v>#N/A</v>
      </c>
      <c r="T1272" s="4" t="e">
        <f t="shared" si="97"/>
        <v>#N/A</v>
      </c>
      <c r="U1272" s="5" t="e">
        <f t="shared" si="98"/>
        <v>#N/A</v>
      </c>
      <c r="V1272" s="23" t="e">
        <f t="shared" si="99"/>
        <v>#N/A</v>
      </c>
    </row>
    <row r="1273" spans="2:22" x14ac:dyDescent="0.25">
      <c r="B1273" s="16">
        <v>0</v>
      </c>
      <c r="C1273" s="7">
        <v>1</v>
      </c>
      <c r="D1273" s="8">
        <v>1</v>
      </c>
      <c r="E1273" s="8">
        <v>0</v>
      </c>
      <c r="F1273" s="8">
        <v>1</v>
      </c>
      <c r="G1273" s="8">
        <v>1</v>
      </c>
      <c r="H1273" s="8">
        <v>1</v>
      </c>
      <c r="I1273" s="8">
        <v>1</v>
      </c>
      <c r="J1273" s="8">
        <v>0</v>
      </c>
      <c r="K1273" s="9">
        <v>0</v>
      </c>
      <c r="L1273" s="10">
        <v>1</v>
      </c>
      <c r="M1273" s="6">
        <v>0</v>
      </c>
      <c r="N1273" s="37" t="e" cm="1">
        <f t="array" ref="N1273">IF(OR(ISNUMBER(FIND(Aux!$D$3:$D$9,_xlfn.TEXTJOIN(,,C1273:K1273)))),NA(),IF(AND(SUM(C1273:F1273,H1273:K1273)=0,G1273=1),0,INT((SUMPRODUCT(C1273:F1273,COLUMN($A$1:$D$1)-1)+SUMPRODUCT(H1273:K1273,COLUMN($E$1:$H$1)-1))*'Line Follower'!$C$3/SUM(C1273:F1273,H1273:K1273)-'Line Follower'!$C$5)))</f>
        <v>#N/A</v>
      </c>
      <c r="O1273" s="22" t="e">
        <v>#N/A</v>
      </c>
      <c r="P1273" s="4" t="e">
        <f t="shared" si="95"/>
        <v>#N/A</v>
      </c>
      <c r="Q1273" s="4" t="e">
        <f t="shared" si="96"/>
        <v>#N/A</v>
      </c>
      <c r="R1273" s="4" t="e">
        <f>IF(AND(B1273=1,N1273&gt;'Line Follower'!$C$7,SUM(C1273:K1273)&lt;4),1,0)</f>
        <v>#N/A</v>
      </c>
      <c r="S1273" s="4" t="e">
        <f>IF(AND(L1273=1,N1273&lt;'Line Follower'!$C$6,SUM(C1273:K1273)&lt;4),1,0)</f>
        <v>#N/A</v>
      </c>
      <c r="T1273" s="4" t="e">
        <f t="shared" si="97"/>
        <v>#N/A</v>
      </c>
      <c r="U1273" s="5" t="e">
        <f t="shared" si="98"/>
        <v>#N/A</v>
      </c>
      <c r="V1273" s="23" t="e">
        <f t="shared" si="99"/>
        <v>#N/A</v>
      </c>
    </row>
    <row r="1274" spans="2:22" x14ac:dyDescent="0.25">
      <c r="B1274" s="16">
        <v>1</v>
      </c>
      <c r="C1274" s="7">
        <v>1</v>
      </c>
      <c r="D1274" s="8">
        <v>1</v>
      </c>
      <c r="E1274" s="8">
        <v>0</v>
      </c>
      <c r="F1274" s="8">
        <v>1</v>
      </c>
      <c r="G1274" s="8">
        <v>1</v>
      </c>
      <c r="H1274" s="8">
        <v>1</v>
      </c>
      <c r="I1274" s="8">
        <v>1</v>
      </c>
      <c r="J1274" s="8">
        <v>0</v>
      </c>
      <c r="K1274" s="9">
        <v>0</v>
      </c>
      <c r="L1274" s="10">
        <v>1</v>
      </c>
      <c r="M1274" s="6">
        <v>0</v>
      </c>
      <c r="N1274" s="37" t="e" cm="1">
        <f t="array" ref="N1274">IF(OR(ISNUMBER(FIND(Aux!$D$3:$D$9,_xlfn.TEXTJOIN(,,C1274:K1274)))),NA(),IF(AND(SUM(C1274:F1274,H1274:K1274)=0,G1274=1),0,INT((SUMPRODUCT(C1274:F1274,COLUMN($A$1:$D$1)-1)+SUMPRODUCT(H1274:K1274,COLUMN($E$1:$H$1)-1))*'Line Follower'!$C$3/SUM(C1274:F1274,H1274:K1274)-'Line Follower'!$C$5)))</f>
        <v>#N/A</v>
      </c>
      <c r="O1274" s="22" t="e">
        <v>#N/A</v>
      </c>
      <c r="P1274" s="4" t="e">
        <f t="shared" si="95"/>
        <v>#N/A</v>
      </c>
      <c r="Q1274" s="4" t="e">
        <f t="shared" si="96"/>
        <v>#N/A</v>
      </c>
      <c r="R1274" s="4" t="e">
        <f>IF(AND(B1274=1,N1274&gt;'Line Follower'!$C$7,SUM(C1274:K1274)&lt;4),1,0)</f>
        <v>#N/A</v>
      </c>
      <c r="S1274" s="4" t="e">
        <f>IF(AND(L1274=1,N1274&lt;'Line Follower'!$C$6,SUM(C1274:K1274)&lt;4),1,0)</f>
        <v>#N/A</v>
      </c>
      <c r="T1274" s="4" t="e">
        <f t="shared" si="97"/>
        <v>#N/A</v>
      </c>
      <c r="U1274" s="5" t="e">
        <f t="shared" si="98"/>
        <v>#N/A</v>
      </c>
      <c r="V1274" s="23" t="e">
        <f t="shared" si="99"/>
        <v>#N/A</v>
      </c>
    </row>
    <row r="1275" spans="2:22" x14ac:dyDescent="0.25">
      <c r="B1275" s="16">
        <v>0</v>
      </c>
      <c r="C1275" s="7">
        <v>0</v>
      </c>
      <c r="D1275" s="8">
        <v>0</v>
      </c>
      <c r="E1275" s="8">
        <v>1</v>
      </c>
      <c r="F1275" s="8">
        <v>1</v>
      </c>
      <c r="G1275" s="8">
        <v>1</v>
      </c>
      <c r="H1275" s="8">
        <v>1</v>
      </c>
      <c r="I1275" s="8">
        <v>1</v>
      </c>
      <c r="J1275" s="8">
        <v>0</v>
      </c>
      <c r="K1275" s="9">
        <v>0</v>
      </c>
      <c r="L1275" s="10">
        <v>1</v>
      </c>
      <c r="M1275" s="6">
        <v>0</v>
      </c>
      <c r="N1275" s="37" cm="1">
        <f t="array" ref="N1275">IF(OR(ISNUMBER(FIND(Aux!$D$3:$D$9,_xlfn.TEXTJOIN(,,C1275:K1275)))),NA(),IF(AND(SUM(C1275:F1275,H1275:K1275)=0,G1275=1),0,INT((SUMPRODUCT(C1275:F1275,COLUMN($A$1:$D$1)-1)+SUMPRODUCT(H1275:K1275,COLUMN($E$1:$H$1)-1))*'Line Follower'!$C$3/SUM(C1275:F1275,H1275:K1275)-'Line Follower'!$C$5)))</f>
        <v>0</v>
      </c>
      <c r="O1275" s="22">
        <v>1</v>
      </c>
      <c r="P1275" s="4">
        <f t="shared" si="95"/>
        <v>0</v>
      </c>
      <c r="Q1275" s="4">
        <f t="shared" si="96"/>
        <v>1</v>
      </c>
      <c r="R1275" s="4">
        <f>IF(AND(B1275=1,N1275&gt;'Line Follower'!$C$7,SUM(C1275:K1275)&lt;4),1,0)</f>
        <v>0</v>
      </c>
      <c r="S1275" s="4">
        <f>IF(AND(L1275=1,N1275&lt;'Line Follower'!$C$6,SUM(C1275:K1275)&lt;4),1,0)</f>
        <v>0</v>
      </c>
      <c r="T1275" s="4">
        <f t="shared" si="97"/>
        <v>0</v>
      </c>
      <c r="U1275" s="5">
        <f t="shared" si="98"/>
        <v>0</v>
      </c>
      <c r="V1275" s="23">
        <f t="shared" si="99"/>
        <v>0</v>
      </c>
    </row>
    <row r="1276" spans="2:22" x14ac:dyDescent="0.25">
      <c r="B1276" s="16">
        <v>1</v>
      </c>
      <c r="C1276" s="7">
        <v>0</v>
      </c>
      <c r="D1276" s="8">
        <v>0</v>
      </c>
      <c r="E1276" s="8">
        <v>1</v>
      </c>
      <c r="F1276" s="8">
        <v>1</v>
      </c>
      <c r="G1276" s="8">
        <v>1</v>
      </c>
      <c r="H1276" s="8">
        <v>1</v>
      </c>
      <c r="I1276" s="8">
        <v>1</v>
      </c>
      <c r="J1276" s="8">
        <v>0</v>
      </c>
      <c r="K1276" s="9">
        <v>0</v>
      </c>
      <c r="L1276" s="10">
        <v>1</v>
      </c>
      <c r="M1276" s="6">
        <v>0</v>
      </c>
      <c r="N1276" s="37" cm="1">
        <f t="array" ref="N1276">IF(OR(ISNUMBER(FIND(Aux!$D$3:$D$9,_xlfn.TEXTJOIN(,,C1276:K1276)))),NA(),IF(AND(SUM(C1276:F1276,H1276:K1276)=0,G1276=1),0,INT((SUMPRODUCT(C1276:F1276,COLUMN($A$1:$D$1)-1)+SUMPRODUCT(H1276:K1276,COLUMN($E$1:$H$1)-1))*'Line Follower'!$C$3/SUM(C1276:F1276,H1276:K1276)-'Line Follower'!$C$5)))</f>
        <v>0</v>
      </c>
      <c r="O1276" s="22">
        <v>1</v>
      </c>
      <c r="P1276" s="4">
        <f t="shared" si="95"/>
        <v>0</v>
      </c>
      <c r="Q1276" s="4">
        <f t="shared" si="96"/>
        <v>1</v>
      </c>
      <c r="R1276" s="4">
        <f>IF(AND(B1276=1,N1276&gt;'Line Follower'!$C$7,SUM(C1276:K1276)&lt;4),1,0)</f>
        <v>0</v>
      </c>
      <c r="S1276" s="4">
        <f>IF(AND(L1276=1,N1276&lt;'Line Follower'!$C$6,SUM(C1276:K1276)&lt;4),1,0)</f>
        <v>0</v>
      </c>
      <c r="T1276" s="4">
        <f t="shared" si="97"/>
        <v>0</v>
      </c>
      <c r="U1276" s="5">
        <f t="shared" si="98"/>
        <v>0</v>
      </c>
      <c r="V1276" s="23">
        <f t="shared" si="99"/>
        <v>0</v>
      </c>
    </row>
    <row r="1277" spans="2:22" x14ac:dyDescent="0.25">
      <c r="B1277" s="16">
        <v>0</v>
      </c>
      <c r="C1277" s="7">
        <v>1</v>
      </c>
      <c r="D1277" s="8">
        <v>0</v>
      </c>
      <c r="E1277" s="8">
        <v>1</v>
      </c>
      <c r="F1277" s="8">
        <v>1</v>
      </c>
      <c r="G1277" s="8">
        <v>1</v>
      </c>
      <c r="H1277" s="8">
        <v>1</v>
      </c>
      <c r="I1277" s="8">
        <v>1</v>
      </c>
      <c r="J1277" s="8">
        <v>0</v>
      </c>
      <c r="K1277" s="9">
        <v>0</v>
      </c>
      <c r="L1277" s="10">
        <v>1</v>
      </c>
      <c r="M1277" s="6">
        <v>0</v>
      </c>
      <c r="N1277" s="37" t="e" cm="1">
        <f t="array" ref="N1277">IF(OR(ISNUMBER(FIND(Aux!$D$3:$D$9,_xlfn.TEXTJOIN(,,C1277:K1277)))),NA(),IF(AND(SUM(C1277:F1277,H1277:K1277)=0,G1277=1),0,INT((SUMPRODUCT(C1277:F1277,COLUMN($A$1:$D$1)-1)+SUMPRODUCT(H1277:K1277,COLUMN($E$1:$H$1)-1))*'Line Follower'!$C$3/SUM(C1277:F1277,H1277:K1277)-'Line Follower'!$C$5)))</f>
        <v>#N/A</v>
      </c>
      <c r="O1277" s="22" t="e">
        <v>#N/A</v>
      </c>
      <c r="P1277" s="4" t="e">
        <f t="shared" si="95"/>
        <v>#N/A</v>
      </c>
      <c r="Q1277" s="4" t="e">
        <f t="shared" si="96"/>
        <v>#N/A</v>
      </c>
      <c r="R1277" s="4" t="e">
        <f>IF(AND(B1277=1,N1277&gt;'Line Follower'!$C$7,SUM(C1277:K1277)&lt;4),1,0)</f>
        <v>#N/A</v>
      </c>
      <c r="S1277" s="4" t="e">
        <f>IF(AND(L1277=1,N1277&lt;'Line Follower'!$C$6,SUM(C1277:K1277)&lt;4),1,0)</f>
        <v>#N/A</v>
      </c>
      <c r="T1277" s="4" t="e">
        <f t="shared" si="97"/>
        <v>#N/A</v>
      </c>
      <c r="U1277" s="5" t="e">
        <f t="shared" si="98"/>
        <v>#N/A</v>
      </c>
      <c r="V1277" s="23" t="e">
        <f t="shared" si="99"/>
        <v>#N/A</v>
      </c>
    </row>
    <row r="1278" spans="2:22" x14ac:dyDescent="0.25">
      <c r="B1278" s="16">
        <v>1</v>
      </c>
      <c r="C1278" s="7">
        <v>1</v>
      </c>
      <c r="D1278" s="8">
        <v>0</v>
      </c>
      <c r="E1278" s="8">
        <v>1</v>
      </c>
      <c r="F1278" s="8">
        <v>1</v>
      </c>
      <c r="G1278" s="8">
        <v>1</v>
      </c>
      <c r="H1278" s="8">
        <v>1</v>
      </c>
      <c r="I1278" s="8">
        <v>1</v>
      </c>
      <c r="J1278" s="8">
        <v>0</v>
      </c>
      <c r="K1278" s="9">
        <v>0</v>
      </c>
      <c r="L1278" s="10">
        <v>1</v>
      </c>
      <c r="M1278" s="6">
        <v>0</v>
      </c>
      <c r="N1278" s="37" t="e" cm="1">
        <f t="array" ref="N1278">IF(OR(ISNUMBER(FIND(Aux!$D$3:$D$9,_xlfn.TEXTJOIN(,,C1278:K1278)))),NA(),IF(AND(SUM(C1278:F1278,H1278:K1278)=0,G1278=1),0,INT((SUMPRODUCT(C1278:F1278,COLUMN($A$1:$D$1)-1)+SUMPRODUCT(H1278:K1278,COLUMN($E$1:$H$1)-1))*'Line Follower'!$C$3/SUM(C1278:F1278,H1278:K1278)-'Line Follower'!$C$5)))</f>
        <v>#N/A</v>
      </c>
      <c r="O1278" s="22" t="e">
        <v>#N/A</v>
      </c>
      <c r="P1278" s="4" t="e">
        <f t="shared" si="95"/>
        <v>#N/A</v>
      </c>
      <c r="Q1278" s="4" t="e">
        <f t="shared" si="96"/>
        <v>#N/A</v>
      </c>
      <c r="R1278" s="4" t="e">
        <f>IF(AND(B1278=1,N1278&gt;'Line Follower'!$C$7,SUM(C1278:K1278)&lt;4),1,0)</f>
        <v>#N/A</v>
      </c>
      <c r="S1278" s="4" t="e">
        <f>IF(AND(L1278=1,N1278&lt;'Line Follower'!$C$6,SUM(C1278:K1278)&lt;4),1,0)</f>
        <v>#N/A</v>
      </c>
      <c r="T1278" s="4" t="e">
        <f t="shared" si="97"/>
        <v>#N/A</v>
      </c>
      <c r="U1278" s="5" t="e">
        <f t="shared" si="98"/>
        <v>#N/A</v>
      </c>
      <c r="V1278" s="23" t="e">
        <f t="shared" si="99"/>
        <v>#N/A</v>
      </c>
    </row>
    <row r="1279" spans="2:22" x14ac:dyDescent="0.25">
      <c r="B1279" s="16">
        <v>0</v>
      </c>
      <c r="C1279" s="7">
        <v>0</v>
      </c>
      <c r="D1279" s="8">
        <v>1</v>
      </c>
      <c r="E1279" s="8">
        <v>1</v>
      </c>
      <c r="F1279" s="8">
        <v>1</v>
      </c>
      <c r="G1279" s="8">
        <v>1</v>
      </c>
      <c r="H1279" s="8">
        <v>1</v>
      </c>
      <c r="I1279" s="8">
        <v>1</v>
      </c>
      <c r="J1279" s="8">
        <v>0</v>
      </c>
      <c r="K1279" s="9">
        <v>0</v>
      </c>
      <c r="L1279" s="10">
        <v>1</v>
      </c>
      <c r="M1279" s="6">
        <v>0</v>
      </c>
      <c r="N1279" s="37" cm="1">
        <f t="array" ref="N1279">IF(OR(ISNUMBER(FIND(Aux!$D$3:$D$9,_xlfn.TEXTJOIN(,,C1279:K1279)))),NA(),IF(AND(SUM(C1279:F1279,H1279:K1279)=0,G1279=1),0,INT((SUMPRODUCT(C1279:F1279,COLUMN($A$1:$D$1)-1)+SUMPRODUCT(H1279:K1279,COLUMN($E$1:$H$1)-1))*'Line Follower'!$C$3/SUM(C1279:F1279,H1279:K1279)-'Line Follower'!$C$5)))</f>
        <v>-1</v>
      </c>
      <c r="O1279" s="22">
        <v>1</v>
      </c>
      <c r="P1279" s="4">
        <f t="shared" si="95"/>
        <v>0</v>
      </c>
      <c r="Q1279" s="4">
        <f t="shared" si="96"/>
        <v>1</v>
      </c>
      <c r="R1279" s="4">
        <f>IF(AND(B1279=1,N1279&gt;'Line Follower'!$C$7,SUM(C1279:K1279)&lt;4),1,0)</f>
        <v>0</v>
      </c>
      <c r="S1279" s="4">
        <f>IF(AND(L1279=1,N1279&lt;'Line Follower'!$C$6,SUM(C1279:K1279)&lt;4),1,0)</f>
        <v>0</v>
      </c>
      <c r="T1279" s="4">
        <f t="shared" si="97"/>
        <v>0</v>
      </c>
      <c r="U1279" s="5">
        <f t="shared" si="98"/>
        <v>0</v>
      </c>
      <c r="V1279" s="23">
        <f t="shared" si="99"/>
        <v>0</v>
      </c>
    </row>
    <row r="1280" spans="2:22" x14ac:dyDescent="0.25">
      <c r="B1280" s="16">
        <v>1</v>
      </c>
      <c r="C1280" s="7">
        <v>0</v>
      </c>
      <c r="D1280" s="8">
        <v>1</v>
      </c>
      <c r="E1280" s="8">
        <v>1</v>
      </c>
      <c r="F1280" s="8">
        <v>1</v>
      </c>
      <c r="G1280" s="8">
        <v>1</v>
      </c>
      <c r="H1280" s="8">
        <v>1</v>
      </c>
      <c r="I1280" s="8">
        <v>1</v>
      </c>
      <c r="J1280" s="8">
        <v>0</v>
      </c>
      <c r="K1280" s="9">
        <v>0</v>
      </c>
      <c r="L1280" s="10">
        <v>1</v>
      </c>
      <c r="M1280" s="6">
        <v>0</v>
      </c>
      <c r="N1280" s="37" cm="1">
        <f t="array" ref="N1280">IF(OR(ISNUMBER(FIND(Aux!$D$3:$D$9,_xlfn.TEXTJOIN(,,C1280:K1280)))),NA(),IF(AND(SUM(C1280:F1280,H1280:K1280)=0,G1280=1),0,INT((SUMPRODUCT(C1280:F1280,COLUMN($A$1:$D$1)-1)+SUMPRODUCT(H1280:K1280,COLUMN($E$1:$H$1)-1))*'Line Follower'!$C$3/SUM(C1280:F1280,H1280:K1280)-'Line Follower'!$C$5)))</f>
        <v>-1</v>
      </c>
      <c r="O1280" s="22">
        <v>1</v>
      </c>
      <c r="P1280" s="4">
        <f t="shared" si="95"/>
        <v>0</v>
      </c>
      <c r="Q1280" s="4">
        <f t="shared" si="96"/>
        <v>1</v>
      </c>
      <c r="R1280" s="4">
        <f>IF(AND(B1280=1,N1280&gt;'Line Follower'!$C$7,SUM(C1280:K1280)&lt;4),1,0)</f>
        <v>0</v>
      </c>
      <c r="S1280" s="4">
        <f>IF(AND(L1280=1,N1280&lt;'Line Follower'!$C$6,SUM(C1280:K1280)&lt;4),1,0)</f>
        <v>0</v>
      </c>
      <c r="T1280" s="4">
        <f t="shared" si="97"/>
        <v>0</v>
      </c>
      <c r="U1280" s="5">
        <f t="shared" si="98"/>
        <v>0</v>
      </c>
      <c r="V1280" s="23">
        <f t="shared" si="99"/>
        <v>0</v>
      </c>
    </row>
    <row r="1281" spans="2:22" x14ac:dyDescent="0.25">
      <c r="B1281" s="16">
        <v>0</v>
      </c>
      <c r="C1281" s="7">
        <v>1</v>
      </c>
      <c r="D1281" s="8">
        <v>1</v>
      </c>
      <c r="E1281" s="8">
        <v>1</v>
      </c>
      <c r="F1281" s="8">
        <v>1</v>
      </c>
      <c r="G1281" s="8">
        <v>1</v>
      </c>
      <c r="H1281" s="8">
        <v>1</v>
      </c>
      <c r="I1281" s="8">
        <v>1</v>
      </c>
      <c r="J1281" s="8">
        <v>0</v>
      </c>
      <c r="K1281" s="9">
        <v>0</v>
      </c>
      <c r="L1281" s="10">
        <v>1</v>
      </c>
      <c r="M1281" s="6">
        <v>0</v>
      </c>
      <c r="N1281" s="37" cm="1">
        <f t="array" ref="N1281">IF(OR(ISNUMBER(FIND(Aux!$D$3:$D$9,_xlfn.TEXTJOIN(,,C1281:K1281)))),NA(),IF(AND(SUM(C1281:F1281,H1281:K1281)=0,G1281=1),0,INT((SUMPRODUCT(C1281:F1281,COLUMN($A$1:$D$1)-1)+SUMPRODUCT(H1281:K1281,COLUMN($E$1:$H$1)-1))*'Line Follower'!$C$3/SUM(C1281:F1281,H1281:K1281)-'Line Follower'!$C$5)))</f>
        <v>-2</v>
      </c>
      <c r="O1281" s="22">
        <v>1</v>
      </c>
      <c r="P1281" s="4">
        <f t="shared" si="95"/>
        <v>0</v>
      </c>
      <c r="Q1281" s="4">
        <f t="shared" si="96"/>
        <v>1</v>
      </c>
      <c r="R1281" s="4">
        <f>IF(AND(B1281=1,N1281&gt;'Line Follower'!$C$7,SUM(C1281:K1281)&lt;4),1,0)</f>
        <v>0</v>
      </c>
      <c r="S1281" s="4">
        <f>IF(AND(L1281=1,N1281&lt;'Line Follower'!$C$6,SUM(C1281:K1281)&lt;4),1,0)</f>
        <v>0</v>
      </c>
      <c r="T1281" s="4">
        <f t="shared" si="97"/>
        <v>0</v>
      </c>
      <c r="U1281" s="5">
        <f t="shared" si="98"/>
        <v>0</v>
      </c>
      <c r="V1281" s="23">
        <f t="shared" si="99"/>
        <v>0</v>
      </c>
    </row>
    <row r="1282" spans="2:22" x14ac:dyDescent="0.25">
      <c r="B1282" s="16">
        <v>1</v>
      </c>
      <c r="C1282" s="7">
        <v>1</v>
      </c>
      <c r="D1282" s="8">
        <v>1</v>
      </c>
      <c r="E1282" s="8">
        <v>1</v>
      </c>
      <c r="F1282" s="8">
        <v>1</v>
      </c>
      <c r="G1282" s="8">
        <v>1</v>
      </c>
      <c r="H1282" s="8">
        <v>1</v>
      </c>
      <c r="I1282" s="8">
        <v>1</v>
      </c>
      <c r="J1282" s="8">
        <v>0</v>
      </c>
      <c r="K1282" s="9">
        <v>0</v>
      </c>
      <c r="L1282" s="10">
        <v>1</v>
      </c>
      <c r="M1282" s="6">
        <v>0</v>
      </c>
      <c r="N1282" s="37" cm="1">
        <f t="array" ref="N1282">IF(OR(ISNUMBER(FIND(Aux!$D$3:$D$9,_xlfn.TEXTJOIN(,,C1282:K1282)))),NA(),IF(AND(SUM(C1282:F1282,H1282:K1282)=0,G1282=1),0,INT((SUMPRODUCT(C1282:F1282,COLUMN($A$1:$D$1)-1)+SUMPRODUCT(H1282:K1282,COLUMN($E$1:$H$1)-1))*'Line Follower'!$C$3/SUM(C1282:F1282,H1282:K1282)-'Line Follower'!$C$5)))</f>
        <v>-2</v>
      </c>
      <c r="O1282" s="22">
        <v>1</v>
      </c>
      <c r="P1282" s="4">
        <f t="shared" si="95"/>
        <v>0</v>
      </c>
      <c r="Q1282" s="4">
        <f t="shared" si="96"/>
        <v>1</v>
      </c>
      <c r="R1282" s="4">
        <f>IF(AND(B1282=1,N1282&gt;'Line Follower'!$C$7,SUM(C1282:K1282)&lt;4),1,0)</f>
        <v>0</v>
      </c>
      <c r="S1282" s="4">
        <f>IF(AND(L1282=1,N1282&lt;'Line Follower'!$C$6,SUM(C1282:K1282)&lt;4),1,0)</f>
        <v>0</v>
      </c>
      <c r="T1282" s="4">
        <f t="shared" si="97"/>
        <v>0</v>
      </c>
      <c r="U1282" s="5">
        <f t="shared" si="98"/>
        <v>0</v>
      </c>
      <c r="V1282" s="23">
        <f t="shared" si="99"/>
        <v>0</v>
      </c>
    </row>
    <row r="1283" spans="2:22" x14ac:dyDescent="0.25">
      <c r="B1283" s="16">
        <v>0</v>
      </c>
      <c r="C1283" s="7">
        <v>0</v>
      </c>
      <c r="D1283" s="8">
        <v>0</v>
      </c>
      <c r="E1283" s="8">
        <v>0</v>
      </c>
      <c r="F1283" s="8">
        <v>0</v>
      </c>
      <c r="G1283" s="8">
        <v>0</v>
      </c>
      <c r="H1283" s="8">
        <v>0</v>
      </c>
      <c r="I1283" s="8">
        <v>0</v>
      </c>
      <c r="J1283" s="8">
        <v>1</v>
      </c>
      <c r="K1283" s="9">
        <v>0</v>
      </c>
      <c r="L1283" s="10">
        <v>1</v>
      </c>
      <c r="M1283" s="6">
        <v>0</v>
      </c>
      <c r="N1283" s="37" cm="1">
        <f t="array" ref="N1283">IF(OR(ISNUMBER(FIND(Aux!$D$3:$D$9,_xlfn.TEXTJOIN(,,C1283:K1283)))),NA(),IF(AND(SUM(C1283:F1283,H1283:K1283)=0,G1283=1),0,INT((SUMPRODUCT(C1283:F1283,COLUMN($A$1:$D$1)-1)+SUMPRODUCT(H1283:K1283,COLUMN($E$1:$H$1)-1))*'Line Follower'!$C$3/SUM(C1283:F1283,H1283:K1283)-'Line Follower'!$C$5)))</f>
        <v>5</v>
      </c>
      <c r="O1283" s="22">
        <v>1</v>
      </c>
      <c r="P1283" s="4">
        <f t="shared" ref="P1283:P1346" si="100">IF(AND(N1283=0,G1283=1,M1283=1),1,0)</f>
        <v>0</v>
      </c>
      <c r="Q1283" s="4">
        <f t="shared" ref="Q1283:Q1346" si="101">IF(ISERROR(N1283),N1283,IF(SUM(C1283:K1283)&gt;=4,1,0))</f>
        <v>0</v>
      </c>
      <c r="R1283" s="4">
        <f>IF(AND(B1283=1,N1283&gt;'Line Follower'!$C$7,SUM(C1283:K1283)&lt;4),1,0)</f>
        <v>0</v>
      </c>
      <c r="S1283" s="4">
        <f>IF(AND(L1283=1,N1283&lt;'Line Follower'!$C$6,SUM(C1283:K1283)&lt;4),1,0)</f>
        <v>1</v>
      </c>
      <c r="T1283" s="4">
        <f t="shared" si="97"/>
        <v>0</v>
      </c>
      <c r="U1283" s="5">
        <f t="shared" si="98"/>
        <v>0</v>
      </c>
      <c r="V1283" s="23">
        <f t="shared" si="99"/>
        <v>0</v>
      </c>
    </row>
    <row r="1284" spans="2:22" x14ac:dyDescent="0.25">
      <c r="B1284" s="16">
        <v>1</v>
      </c>
      <c r="C1284" s="7">
        <v>0</v>
      </c>
      <c r="D1284" s="8">
        <v>0</v>
      </c>
      <c r="E1284" s="8">
        <v>0</v>
      </c>
      <c r="F1284" s="8">
        <v>0</v>
      </c>
      <c r="G1284" s="8">
        <v>0</v>
      </c>
      <c r="H1284" s="8">
        <v>0</v>
      </c>
      <c r="I1284" s="8">
        <v>0</v>
      </c>
      <c r="J1284" s="8">
        <v>1</v>
      </c>
      <c r="K1284" s="9">
        <v>0</v>
      </c>
      <c r="L1284" s="10">
        <v>1</v>
      </c>
      <c r="M1284" s="6">
        <v>0</v>
      </c>
      <c r="N1284" s="37" cm="1">
        <f t="array" ref="N1284">IF(OR(ISNUMBER(FIND(Aux!$D$3:$D$9,_xlfn.TEXTJOIN(,,C1284:K1284)))),NA(),IF(AND(SUM(C1284:F1284,H1284:K1284)=0,G1284=1),0,INT((SUMPRODUCT(C1284:F1284,COLUMN($A$1:$D$1)-1)+SUMPRODUCT(H1284:K1284,COLUMN($E$1:$H$1)-1))*'Line Follower'!$C$3/SUM(C1284:F1284,H1284:K1284)-'Line Follower'!$C$5)))</f>
        <v>5</v>
      </c>
      <c r="O1284" s="22">
        <v>1</v>
      </c>
      <c r="P1284" s="4">
        <f t="shared" si="100"/>
        <v>0</v>
      </c>
      <c r="Q1284" s="4">
        <f t="shared" si="101"/>
        <v>0</v>
      </c>
      <c r="R1284" s="4">
        <f>IF(AND(B1284=1,N1284&gt;'Line Follower'!$C$7,SUM(C1284:K1284)&lt;4),1,0)</f>
        <v>1</v>
      </c>
      <c r="S1284" s="4">
        <f>IF(AND(L1284=1,N1284&lt;'Line Follower'!$C$6,SUM(C1284:K1284)&lt;4),1,0)</f>
        <v>1</v>
      </c>
      <c r="T1284" s="4">
        <f t="shared" ref="T1284:T1347" si="102">IF(ISNA(N1284),NA(),IF(SUM(C1284:L1284)=0,1,0))</f>
        <v>0</v>
      </c>
      <c r="U1284" s="5">
        <f t="shared" ref="U1284:U1347" si="103">IF(ISNA(N1284),NA(),IF(SUM(B1284:K1284)=0,1,0))</f>
        <v>0</v>
      </c>
      <c r="V1284" s="23">
        <f t="shared" ref="V1284:V1347" si="104">IF(ISNA(N1284),NA(),IF(SUM(B1284:L1284)=0,1,0))</f>
        <v>0</v>
      </c>
    </row>
    <row r="1285" spans="2:22" x14ac:dyDescent="0.25">
      <c r="B1285" s="16">
        <v>0</v>
      </c>
      <c r="C1285" s="7">
        <v>1</v>
      </c>
      <c r="D1285" s="8">
        <v>0</v>
      </c>
      <c r="E1285" s="8">
        <v>0</v>
      </c>
      <c r="F1285" s="8">
        <v>0</v>
      </c>
      <c r="G1285" s="8">
        <v>0</v>
      </c>
      <c r="H1285" s="8">
        <v>0</v>
      </c>
      <c r="I1285" s="8">
        <v>0</v>
      </c>
      <c r="J1285" s="8">
        <v>1</v>
      </c>
      <c r="K1285" s="9">
        <v>0</v>
      </c>
      <c r="L1285" s="10">
        <v>1</v>
      </c>
      <c r="M1285" s="6">
        <v>0</v>
      </c>
      <c r="N1285" s="37" t="e" cm="1">
        <f t="array" ref="N1285">IF(OR(ISNUMBER(FIND(Aux!$D$3:$D$9,_xlfn.TEXTJOIN(,,C1285:K1285)))),NA(),IF(AND(SUM(C1285:F1285,H1285:K1285)=0,G1285=1),0,INT((SUMPRODUCT(C1285:F1285,COLUMN($A$1:$D$1)-1)+SUMPRODUCT(H1285:K1285,COLUMN($E$1:$H$1)-1))*'Line Follower'!$C$3/SUM(C1285:F1285,H1285:K1285)-'Line Follower'!$C$5)))</f>
        <v>#N/A</v>
      </c>
      <c r="O1285" s="22" t="e">
        <v>#N/A</v>
      </c>
      <c r="P1285" s="4" t="e">
        <f t="shared" si="100"/>
        <v>#N/A</v>
      </c>
      <c r="Q1285" s="4" t="e">
        <f t="shared" si="101"/>
        <v>#N/A</v>
      </c>
      <c r="R1285" s="4" t="e">
        <f>IF(AND(B1285=1,N1285&gt;'Line Follower'!$C$7,SUM(C1285:K1285)&lt;4),1,0)</f>
        <v>#N/A</v>
      </c>
      <c r="S1285" s="4" t="e">
        <f>IF(AND(L1285=1,N1285&lt;'Line Follower'!$C$6,SUM(C1285:K1285)&lt;4),1,0)</f>
        <v>#N/A</v>
      </c>
      <c r="T1285" s="4" t="e">
        <f t="shared" si="102"/>
        <v>#N/A</v>
      </c>
      <c r="U1285" s="5" t="e">
        <f t="shared" si="103"/>
        <v>#N/A</v>
      </c>
      <c r="V1285" s="23" t="e">
        <f t="shared" si="104"/>
        <v>#N/A</v>
      </c>
    </row>
    <row r="1286" spans="2:22" x14ac:dyDescent="0.25">
      <c r="B1286" s="16">
        <v>1</v>
      </c>
      <c r="C1286" s="7">
        <v>1</v>
      </c>
      <c r="D1286" s="8">
        <v>0</v>
      </c>
      <c r="E1286" s="8">
        <v>0</v>
      </c>
      <c r="F1286" s="8">
        <v>0</v>
      </c>
      <c r="G1286" s="8">
        <v>0</v>
      </c>
      <c r="H1286" s="8">
        <v>0</v>
      </c>
      <c r="I1286" s="8">
        <v>0</v>
      </c>
      <c r="J1286" s="8">
        <v>1</v>
      </c>
      <c r="K1286" s="9">
        <v>0</v>
      </c>
      <c r="L1286" s="10">
        <v>1</v>
      </c>
      <c r="M1286" s="6">
        <v>0</v>
      </c>
      <c r="N1286" s="37" t="e" cm="1">
        <f t="array" ref="N1286">IF(OR(ISNUMBER(FIND(Aux!$D$3:$D$9,_xlfn.TEXTJOIN(,,C1286:K1286)))),NA(),IF(AND(SUM(C1286:F1286,H1286:K1286)=0,G1286=1),0,INT((SUMPRODUCT(C1286:F1286,COLUMN($A$1:$D$1)-1)+SUMPRODUCT(H1286:K1286,COLUMN($E$1:$H$1)-1))*'Line Follower'!$C$3/SUM(C1286:F1286,H1286:K1286)-'Line Follower'!$C$5)))</f>
        <v>#N/A</v>
      </c>
      <c r="O1286" s="22" t="e">
        <v>#N/A</v>
      </c>
      <c r="P1286" s="4" t="e">
        <f t="shared" si="100"/>
        <v>#N/A</v>
      </c>
      <c r="Q1286" s="4" t="e">
        <f t="shared" si="101"/>
        <v>#N/A</v>
      </c>
      <c r="R1286" s="4" t="e">
        <f>IF(AND(B1286=1,N1286&gt;'Line Follower'!$C$7,SUM(C1286:K1286)&lt;4),1,0)</f>
        <v>#N/A</v>
      </c>
      <c r="S1286" s="4" t="e">
        <f>IF(AND(L1286=1,N1286&lt;'Line Follower'!$C$6,SUM(C1286:K1286)&lt;4),1,0)</f>
        <v>#N/A</v>
      </c>
      <c r="T1286" s="4" t="e">
        <f t="shared" si="102"/>
        <v>#N/A</v>
      </c>
      <c r="U1286" s="5" t="e">
        <f t="shared" si="103"/>
        <v>#N/A</v>
      </c>
      <c r="V1286" s="23" t="e">
        <f t="shared" si="104"/>
        <v>#N/A</v>
      </c>
    </row>
    <row r="1287" spans="2:22" x14ac:dyDescent="0.25">
      <c r="B1287" s="16">
        <v>0</v>
      </c>
      <c r="C1287" s="7">
        <v>0</v>
      </c>
      <c r="D1287" s="8">
        <v>1</v>
      </c>
      <c r="E1287" s="8">
        <v>0</v>
      </c>
      <c r="F1287" s="8">
        <v>0</v>
      </c>
      <c r="G1287" s="8">
        <v>0</v>
      </c>
      <c r="H1287" s="8">
        <v>0</v>
      </c>
      <c r="I1287" s="8">
        <v>0</v>
      </c>
      <c r="J1287" s="8">
        <v>1</v>
      </c>
      <c r="K1287" s="9">
        <v>0</v>
      </c>
      <c r="L1287" s="10">
        <v>1</v>
      </c>
      <c r="M1287" s="6">
        <v>0</v>
      </c>
      <c r="N1287" s="37" t="e" cm="1">
        <f t="array" ref="N1287">IF(OR(ISNUMBER(FIND(Aux!$D$3:$D$9,_xlfn.TEXTJOIN(,,C1287:K1287)))),NA(),IF(AND(SUM(C1287:F1287,H1287:K1287)=0,G1287=1),0,INT((SUMPRODUCT(C1287:F1287,COLUMN($A$1:$D$1)-1)+SUMPRODUCT(H1287:K1287,COLUMN($E$1:$H$1)-1))*'Line Follower'!$C$3/SUM(C1287:F1287,H1287:K1287)-'Line Follower'!$C$5)))</f>
        <v>#N/A</v>
      </c>
      <c r="O1287" s="22" t="e">
        <v>#N/A</v>
      </c>
      <c r="P1287" s="4" t="e">
        <f t="shared" si="100"/>
        <v>#N/A</v>
      </c>
      <c r="Q1287" s="4" t="e">
        <f t="shared" si="101"/>
        <v>#N/A</v>
      </c>
      <c r="R1287" s="4" t="e">
        <f>IF(AND(B1287=1,N1287&gt;'Line Follower'!$C$7,SUM(C1287:K1287)&lt;4),1,0)</f>
        <v>#N/A</v>
      </c>
      <c r="S1287" s="4" t="e">
        <f>IF(AND(L1287=1,N1287&lt;'Line Follower'!$C$6,SUM(C1287:K1287)&lt;4),1,0)</f>
        <v>#N/A</v>
      </c>
      <c r="T1287" s="4" t="e">
        <f t="shared" si="102"/>
        <v>#N/A</v>
      </c>
      <c r="U1287" s="5" t="e">
        <f t="shared" si="103"/>
        <v>#N/A</v>
      </c>
      <c r="V1287" s="23" t="e">
        <f t="shared" si="104"/>
        <v>#N/A</v>
      </c>
    </row>
    <row r="1288" spans="2:22" x14ac:dyDescent="0.25">
      <c r="B1288" s="16">
        <v>1</v>
      </c>
      <c r="C1288" s="7">
        <v>0</v>
      </c>
      <c r="D1288" s="8">
        <v>1</v>
      </c>
      <c r="E1288" s="8">
        <v>0</v>
      </c>
      <c r="F1288" s="8">
        <v>0</v>
      </c>
      <c r="G1288" s="8">
        <v>0</v>
      </c>
      <c r="H1288" s="8">
        <v>0</v>
      </c>
      <c r="I1288" s="8">
        <v>0</v>
      </c>
      <c r="J1288" s="8">
        <v>1</v>
      </c>
      <c r="K1288" s="9">
        <v>0</v>
      </c>
      <c r="L1288" s="10">
        <v>1</v>
      </c>
      <c r="M1288" s="6">
        <v>0</v>
      </c>
      <c r="N1288" s="37" t="e" cm="1">
        <f t="array" ref="N1288">IF(OR(ISNUMBER(FIND(Aux!$D$3:$D$9,_xlfn.TEXTJOIN(,,C1288:K1288)))),NA(),IF(AND(SUM(C1288:F1288,H1288:K1288)=0,G1288=1),0,INT((SUMPRODUCT(C1288:F1288,COLUMN($A$1:$D$1)-1)+SUMPRODUCT(H1288:K1288,COLUMN($E$1:$H$1)-1))*'Line Follower'!$C$3/SUM(C1288:F1288,H1288:K1288)-'Line Follower'!$C$5)))</f>
        <v>#N/A</v>
      </c>
      <c r="O1288" s="22" t="e">
        <v>#N/A</v>
      </c>
      <c r="P1288" s="4" t="e">
        <f t="shared" si="100"/>
        <v>#N/A</v>
      </c>
      <c r="Q1288" s="4" t="e">
        <f t="shared" si="101"/>
        <v>#N/A</v>
      </c>
      <c r="R1288" s="4" t="e">
        <f>IF(AND(B1288=1,N1288&gt;'Line Follower'!$C$7,SUM(C1288:K1288)&lt;4),1,0)</f>
        <v>#N/A</v>
      </c>
      <c r="S1288" s="4" t="e">
        <f>IF(AND(L1288=1,N1288&lt;'Line Follower'!$C$6,SUM(C1288:K1288)&lt;4),1,0)</f>
        <v>#N/A</v>
      </c>
      <c r="T1288" s="4" t="e">
        <f t="shared" si="102"/>
        <v>#N/A</v>
      </c>
      <c r="U1288" s="5" t="e">
        <f t="shared" si="103"/>
        <v>#N/A</v>
      </c>
      <c r="V1288" s="23" t="e">
        <f t="shared" si="104"/>
        <v>#N/A</v>
      </c>
    </row>
    <row r="1289" spans="2:22" x14ac:dyDescent="0.25">
      <c r="B1289" s="16">
        <v>0</v>
      </c>
      <c r="C1289" s="7">
        <v>1</v>
      </c>
      <c r="D1289" s="8">
        <v>1</v>
      </c>
      <c r="E1289" s="8">
        <v>0</v>
      </c>
      <c r="F1289" s="8">
        <v>0</v>
      </c>
      <c r="G1289" s="8">
        <v>0</v>
      </c>
      <c r="H1289" s="8">
        <v>0</v>
      </c>
      <c r="I1289" s="8">
        <v>0</v>
      </c>
      <c r="J1289" s="8">
        <v>1</v>
      </c>
      <c r="K1289" s="9">
        <v>0</v>
      </c>
      <c r="L1289" s="10">
        <v>1</v>
      </c>
      <c r="M1289" s="6">
        <v>0</v>
      </c>
      <c r="N1289" s="37" t="e" cm="1">
        <f t="array" ref="N1289">IF(OR(ISNUMBER(FIND(Aux!$D$3:$D$9,_xlfn.TEXTJOIN(,,C1289:K1289)))),NA(),IF(AND(SUM(C1289:F1289,H1289:K1289)=0,G1289=1),0,INT((SUMPRODUCT(C1289:F1289,COLUMN($A$1:$D$1)-1)+SUMPRODUCT(H1289:K1289,COLUMN($E$1:$H$1)-1))*'Line Follower'!$C$3/SUM(C1289:F1289,H1289:K1289)-'Line Follower'!$C$5)))</f>
        <v>#N/A</v>
      </c>
      <c r="O1289" s="22" t="e">
        <v>#N/A</v>
      </c>
      <c r="P1289" s="4" t="e">
        <f t="shared" si="100"/>
        <v>#N/A</v>
      </c>
      <c r="Q1289" s="4" t="e">
        <f t="shared" si="101"/>
        <v>#N/A</v>
      </c>
      <c r="R1289" s="4" t="e">
        <f>IF(AND(B1289=1,N1289&gt;'Line Follower'!$C$7,SUM(C1289:K1289)&lt;4),1,0)</f>
        <v>#N/A</v>
      </c>
      <c r="S1289" s="4" t="e">
        <f>IF(AND(L1289=1,N1289&lt;'Line Follower'!$C$6,SUM(C1289:K1289)&lt;4),1,0)</f>
        <v>#N/A</v>
      </c>
      <c r="T1289" s="4" t="e">
        <f t="shared" si="102"/>
        <v>#N/A</v>
      </c>
      <c r="U1289" s="5" t="e">
        <f t="shared" si="103"/>
        <v>#N/A</v>
      </c>
      <c r="V1289" s="23" t="e">
        <f t="shared" si="104"/>
        <v>#N/A</v>
      </c>
    </row>
    <row r="1290" spans="2:22" x14ac:dyDescent="0.25">
      <c r="B1290" s="16">
        <v>1</v>
      </c>
      <c r="C1290" s="7">
        <v>1</v>
      </c>
      <c r="D1290" s="8">
        <v>1</v>
      </c>
      <c r="E1290" s="8">
        <v>0</v>
      </c>
      <c r="F1290" s="8">
        <v>0</v>
      </c>
      <c r="G1290" s="8">
        <v>0</v>
      </c>
      <c r="H1290" s="8">
        <v>0</v>
      </c>
      <c r="I1290" s="8">
        <v>0</v>
      </c>
      <c r="J1290" s="8">
        <v>1</v>
      </c>
      <c r="K1290" s="9">
        <v>0</v>
      </c>
      <c r="L1290" s="10">
        <v>1</v>
      </c>
      <c r="M1290" s="6">
        <v>0</v>
      </c>
      <c r="N1290" s="37" t="e" cm="1">
        <f t="array" ref="N1290">IF(OR(ISNUMBER(FIND(Aux!$D$3:$D$9,_xlfn.TEXTJOIN(,,C1290:K1290)))),NA(),IF(AND(SUM(C1290:F1290,H1290:K1290)=0,G1290=1),0,INT((SUMPRODUCT(C1290:F1290,COLUMN($A$1:$D$1)-1)+SUMPRODUCT(H1290:K1290,COLUMN($E$1:$H$1)-1))*'Line Follower'!$C$3/SUM(C1290:F1290,H1290:K1290)-'Line Follower'!$C$5)))</f>
        <v>#N/A</v>
      </c>
      <c r="O1290" s="22" t="e">
        <v>#N/A</v>
      </c>
      <c r="P1290" s="4" t="e">
        <f t="shared" si="100"/>
        <v>#N/A</v>
      </c>
      <c r="Q1290" s="4" t="e">
        <f t="shared" si="101"/>
        <v>#N/A</v>
      </c>
      <c r="R1290" s="4" t="e">
        <f>IF(AND(B1290=1,N1290&gt;'Line Follower'!$C$7,SUM(C1290:K1290)&lt;4),1,0)</f>
        <v>#N/A</v>
      </c>
      <c r="S1290" s="4" t="e">
        <f>IF(AND(L1290=1,N1290&lt;'Line Follower'!$C$6,SUM(C1290:K1290)&lt;4),1,0)</f>
        <v>#N/A</v>
      </c>
      <c r="T1290" s="4" t="e">
        <f t="shared" si="102"/>
        <v>#N/A</v>
      </c>
      <c r="U1290" s="5" t="e">
        <f t="shared" si="103"/>
        <v>#N/A</v>
      </c>
      <c r="V1290" s="23" t="e">
        <f t="shared" si="104"/>
        <v>#N/A</v>
      </c>
    </row>
    <row r="1291" spans="2:22" x14ac:dyDescent="0.25">
      <c r="B1291" s="16">
        <v>0</v>
      </c>
      <c r="C1291" s="7">
        <v>0</v>
      </c>
      <c r="D1291" s="8">
        <v>0</v>
      </c>
      <c r="E1291" s="8">
        <v>1</v>
      </c>
      <c r="F1291" s="8">
        <v>0</v>
      </c>
      <c r="G1291" s="8">
        <v>0</v>
      </c>
      <c r="H1291" s="8">
        <v>0</v>
      </c>
      <c r="I1291" s="8">
        <v>0</v>
      </c>
      <c r="J1291" s="8">
        <v>1</v>
      </c>
      <c r="K1291" s="9">
        <v>0</v>
      </c>
      <c r="L1291" s="10">
        <v>1</v>
      </c>
      <c r="M1291" s="6">
        <v>0</v>
      </c>
      <c r="N1291" s="37" t="e" cm="1">
        <f t="array" ref="N1291">IF(OR(ISNUMBER(FIND(Aux!$D$3:$D$9,_xlfn.TEXTJOIN(,,C1291:K1291)))),NA(),IF(AND(SUM(C1291:F1291,H1291:K1291)=0,G1291=1),0,INT((SUMPRODUCT(C1291:F1291,COLUMN($A$1:$D$1)-1)+SUMPRODUCT(H1291:K1291,COLUMN($E$1:$H$1)-1))*'Line Follower'!$C$3/SUM(C1291:F1291,H1291:K1291)-'Line Follower'!$C$5)))</f>
        <v>#N/A</v>
      </c>
      <c r="O1291" s="22" t="e">
        <v>#N/A</v>
      </c>
      <c r="P1291" s="4" t="e">
        <f t="shared" si="100"/>
        <v>#N/A</v>
      </c>
      <c r="Q1291" s="4" t="e">
        <f t="shared" si="101"/>
        <v>#N/A</v>
      </c>
      <c r="R1291" s="4" t="e">
        <f>IF(AND(B1291=1,N1291&gt;'Line Follower'!$C$7,SUM(C1291:K1291)&lt;4),1,0)</f>
        <v>#N/A</v>
      </c>
      <c r="S1291" s="4" t="e">
        <f>IF(AND(L1291=1,N1291&lt;'Line Follower'!$C$6,SUM(C1291:K1291)&lt;4),1,0)</f>
        <v>#N/A</v>
      </c>
      <c r="T1291" s="4" t="e">
        <f t="shared" si="102"/>
        <v>#N/A</v>
      </c>
      <c r="U1291" s="5" t="e">
        <f t="shared" si="103"/>
        <v>#N/A</v>
      </c>
      <c r="V1291" s="23" t="e">
        <f t="shared" si="104"/>
        <v>#N/A</v>
      </c>
    </row>
    <row r="1292" spans="2:22" x14ac:dyDescent="0.25">
      <c r="B1292" s="16">
        <v>1</v>
      </c>
      <c r="C1292" s="7">
        <v>0</v>
      </c>
      <c r="D1292" s="8">
        <v>0</v>
      </c>
      <c r="E1292" s="8">
        <v>1</v>
      </c>
      <c r="F1292" s="8">
        <v>0</v>
      </c>
      <c r="G1292" s="8">
        <v>0</v>
      </c>
      <c r="H1292" s="8">
        <v>0</v>
      </c>
      <c r="I1292" s="8">
        <v>0</v>
      </c>
      <c r="J1292" s="8">
        <v>1</v>
      </c>
      <c r="K1292" s="9">
        <v>0</v>
      </c>
      <c r="L1292" s="10">
        <v>1</v>
      </c>
      <c r="M1292" s="6">
        <v>0</v>
      </c>
      <c r="N1292" s="37" t="e" cm="1">
        <f t="array" ref="N1292">IF(OR(ISNUMBER(FIND(Aux!$D$3:$D$9,_xlfn.TEXTJOIN(,,C1292:K1292)))),NA(),IF(AND(SUM(C1292:F1292,H1292:K1292)=0,G1292=1),0,INT((SUMPRODUCT(C1292:F1292,COLUMN($A$1:$D$1)-1)+SUMPRODUCT(H1292:K1292,COLUMN($E$1:$H$1)-1))*'Line Follower'!$C$3/SUM(C1292:F1292,H1292:K1292)-'Line Follower'!$C$5)))</f>
        <v>#N/A</v>
      </c>
      <c r="O1292" s="22" t="e">
        <v>#N/A</v>
      </c>
      <c r="P1292" s="4" t="e">
        <f t="shared" si="100"/>
        <v>#N/A</v>
      </c>
      <c r="Q1292" s="4" t="e">
        <f t="shared" si="101"/>
        <v>#N/A</v>
      </c>
      <c r="R1292" s="4" t="e">
        <f>IF(AND(B1292=1,N1292&gt;'Line Follower'!$C$7,SUM(C1292:K1292)&lt;4),1,0)</f>
        <v>#N/A</v>
      </c>
      <c r="S1292" s="4" t="e">
        <f>IF(AND(L1292=1,N1292&lt;'Line Follower'!$C$6,SUM(C1292:K1292)&lt;4),1,0)</f>
        <v>#N/A</v>
      </c>
      <c r="T1292" s="4" t="e">
        <f t="shared" si="102"/>
        <v>#N/A</v>
      </c>
      <c r="U1292" s="5" t="e">
        <f t="shared" si="103"/>
        <v>#N/A</v>
      </c>
      <c r="V1292" s="23" t="e">
        <f t="shared" si="104"/>
        <v>#N/A</v>
      </c>
    </row>
    <row r="1293" spans="2:22" x14ac:dyDescent="0.25">
      <c r="B1293" s="16">
        <v>0</v>
      </c>
      <c r="C1293" s="7">
        <v>1</v>
      </c>
      <c r="D1293" s="8">
        <v>0</v>
      </c>
      <c r="E1293" s="8">
        <v>1</v>
      </c>
      <c r="F1293" s="8">
        <v>0</v>
      </c>
      <c r="G1293" s="8">
        <v>0</v>
      </c>
      <c r="H1293" s="8">
        <v>0</v>
      </c>
      <c r="I1293" s="8">
        <v>0</v>
      </c>
      <c r="J1293" s="8">
        <v>1</v>
      </c>
      <c r="K1293" s="9">
        <v>0</v>
      </c>
      <c r="L1293" s="10">
        <v>1</v>
      </c>
      <c r="M1293" s="6">
        <v>0</v>
      </c>
      <c r="N1293" s="37" t="e" cm="1">
        <f t="array" ref="N1293">IF(OR(ISNUMBER(FIND(Aux!$D$3:$D$9,_xlfn.TEXTJOIN(,,C1293:K1293)))),NA(),IF(AND(SUM(C1293:F1293,H1293:K1293)=0,G1293=1),0,INT((SUMPRODUCT(C1293:F1293,COLUMN($A$1:$D$1)-1)+SUMPRODUCT(H1293:K1293,COLUMN($E$1:$H$1)-1))*'Line Follower'!$C$3/SUM(C1293:F1293,H1293:K1293)-'Line Follower'!$C$5)))</f>
        <v>#N/A</v>
      </c>
      <c r="O1293" s="22" t="e">
        <v>#N/A</v>
      </c>
      <c r="P1293" s="4" t="e">
        <f t="shared" si="100"/>
        <v>#N/A</v>
      </c>
      <c r="Q1293" s="4" t="e">
        <f t="shared" si="101"/>
        <v>#N/A</v>
      </c>
      <c r="R1293" s="4" t="e">
        <f>IF(AND(B1293=1,N1293&gt;'Line Follower'!$C$7,SUM(C1293:K1293)&lt;4),1,0)</f>
        <v>#N/A</v>
      </c>
      <c r="S1293" s="4" t="e">
        <f>IF(AND(L1293=1,N1293&lt;'Line Follower'!$C$6,SUM(C1293:K1293)&lt;4),1,0)</f>
        <v>#N/A</v>
      </c>
      <c r="T1293" s="4" t="e">
        <f t="shared" si="102"/>
        <v>#N/A</v>
      </c>
      <c r="U1293" s="5" t="e">
        <f t="shared" si="103"/>
        <v>#N/A</v>
      </c>
      <c r="V1293" s="23" t="e">
        <f t="shared" si="104"/>
        <v>#N/A</v>
      </c>
    </row>
    <row r="1294" spans="2:22" x14ac:dyDescent="0.25">
      <c r="B1294" s="16">
        <v>1</v>
      </c>
      <c r="C1294" s="7">
        <v>1</v>
      </c>
      <c r="D1294" s="8">
        <v>0</v>
      </c>
      <c r="E1294" s="8">
        <v>1</v>
      </c>
      <c r="F1294" s="8">
        <v>0</v>
      </c>
      <c r="G1294" s="8">
        <v>0</v>
      </c>
      <c r="H1294" s="8">
        <v>0</v>
      </c>
      <c r="I1294" s="8">
        <v>0</v>
      </c>
      <c r="J1294" s="8">
        <v>1</v>
      </c>
      <c r="K1294" s="9">
        <v>0</v>
      </c>
      <c r="L1294" s="10">
        <v>1</v>
      </c>
      <c r="M1294" s="6">
        <v>0</v>
      </c>
      <c r="N1294" s="37" t="e" cm="1">
        <f t="array" ref="N1294">IF(OR(ISNUMBER(FIND(Aux!$D$3:$D$9,_xlfn.TEXTJOIN(,,C1294:K1294)))),NA(),IF(AND(SUM(C1294:F1294,H1294:K1294)=0,G1294=1),0,INT((SUMPRODUCT(C1294:F1294,COLUMN($A$1:$D$1)-1)+SUMPRODUCT(H1294:K1294,COLUMN($E$1:$H$1)-1))*'Line Follower'!$C$3/SUM(C1294:F1294,H1294:K1294)-'Line Follower'!$C$5)))</f>
        <v>#N/A</v>
      </c>
      <c r="O1294" s="22" t="e">
        <v>#N/A</v>
      </c>
      <c r="P1294" s="4" t="e">
        <f t="shared" si="100"/>
        <v>#N/A</v>
      </c>
      <c r="Q1294" s="4" t="e">
        <f t="shared" si="101"/>
        <v>#N/A</v>
      </c>
      <c r="R1294" s="4" t="e">
        <f>IF(AND(B1294=1,N1294&gt;'Line Follower'!$C$7,SUM(C1294:K1294)&lt;4),1,0)</f>
        <v>#N/A</v>
      </c>
      <c r="S1294" s="4" t="e">
        <f>IF(AND(L1294=1,N1294&lt;'Line Follower'!$C$6,SUM(C1294:K1294)&lt;4),1,0)</f>
        <v>#N/A</v>
      </c>
      <c r="T1294" s="4" t="e">
        <f t="shared" si="102"/>
        <v>#N/A</v>
      </c>
      <c r="U1294" s="5" t="e">
        <f t="shared" si="103"/>
        <v>#N/A</v>
      </c>
      <c r="V1294" s="23" t="e">
        <f t="shared" si="104"/>
        <v>#N/A</v>
      </c>
    </row>
    <row r="1295" spans="2:22" x14ac:dyDescent="0.25">
      <c r="B1295" s="16">
        <v>0</v>
      </c>
      <c r="C1295" s="7">
        <v>0</v>
      </c>
      <c r="D1295" s="8">
        <v>1</v>
      </c>
      <c r="E1295" s="8">
        <v>1</v>
      </c>
      <c r="F1295" s="8">
        <v>0</v>
      </c>
      <c r="G1295" s="8">
        <v>0</v>
      </c>
      <c r="H1295" s="8">
        <v>0</v>
      </c>
      <c r="I1295" s="8">
        <v>0</v>
      </c>
      <c r="J1295" s="8">
        <v>1</v>
      </c>
      <c r="K1295" s="9">
        <v>0</v>
      </c>
      <c r="L1295" s="10">
        <v>1</v>
      </c>
      <c r="M1295" s="6">
        <v>0</v>
      </c>
      <c r="N1295" s="37" t="e" cm="1">
        <f t="array" ref="N1295">IF(OR(ISNUMBER(FIND(Aux!$D$3:$D$9,_xlfn.TEXTJOIN(,,C1295:K1295)))),NA(),IF(AND(SUM(C1295:F1295,H1295:K1295)=0,G1295=1),0,INT((SUMPRODUCT(C1295:F1295,COLUMN($A$1:$D$1)-1)+SUMPRODUCT(H1295:K1295,COLUMN($E$1:$H$1)-1))*'Line Follower'!$C$3/SUM(C1295:F1295,H1295:K1295)-'Line Follower'!$C$5)))</f>
        <v>#N/A</v>
      </c>
      <c r="O1295" s="22" t="e">
        <v>#N/A</v>
      </c>
      <c r="P1295" s="4" t="e">
        <f t="shared" si="100"/>
        <v>#N/A</v>
      </c>
      <c r="Q1295" s="4" t="e">
        <f t="shared" si="101"/>
        <v>#N/A</v>
      </c>
      <c r="R1295" s="4" t="e">
        <f>IF(AND(B1295=1,N1295&gt;'Line Follower'!$C$7,SUM(C1295:K1295)&lt;4),1,0)</f>
        <v>#N/A</v>
      </c>
      <c r="S1295" s="4" t="e">
        <f>IF(AND(L1295=1,N1295&lt;'Line Follower'!$C$6,SUM(C1295:K1295)&lt;4),1,0)</f>
        <v>#N/A</v>
      </c>
      <c r="T1295" s="4" t="e">
        <f t="shared" si="102"/>
        <v>#N/A</v>
      </c>
      <c r="U1295" s="5" t="e">
        <f t="shared" si="103"/>
        <v>#N/A</v>
      </c>
      <c r="V1295" s="23" t="e">
        <f t="shared" si="104"/>
        <v>#N/A</v>
      </c>
    </row>
    <row r="1296" spans="2:22" x14ac:dyDescent="0.25">
      <c r="B1296" s="16">
        <v>1</v>
      </c>
      <c r="C1296" s="7">
        <v>0</v>
      </c>
      <c r="D1296" s="8">
        <v>1</v>
      </c>
      <c r="E1296" s="8">
        <v>1</v>
      </c>
      <c r="F1296" s="8">
        <v>0</v>
      </c>
      <c r="G1296" s="8">
        <v>0</v>
      </c>
      <c r="H1296" s="8">
        <v>0</v>
      </c>
      <c r="I1296" s="8">
        <v>0</v>
      </c>
      <c r="J1296" s="8">
        <v>1</v>
      </c>
      <c r="K1296" s="9">
        <v>0</v>
      </c>
      <c r="L1296" s="10">
        <v>1</v>
      </c>
      <c r="M1296" s="6">
        <v>0</v>
      </c>
      <c r="N1296" s="37" t="e" cm="1">
        <f t="array" ref="N1296">IF(OR(ISNUMBER(FIND(Aux!$D$3:$D$9,_xlfn.TEXTJOIN(,,C1296:K1296)))),NA(),IF(AND(SUM(C1296:F1296,H1296:K1296)=0,G1296=1),0,INT((SUMPRODUCT(C1296:F1296,COLUMN($A$1:$D$1)-1)+SUMPRODUCT(H1296:K1296,COLUMN($E$1:$H$1)-1))*'Line Follower'!$C$3/SUM(C1296:F1296,H1296:K1296)-'Line Follower'!$C$5)))</f>
        <v>#N/A</v>
      </c>
      <c r="O1296" s="22" t="e">
        <v>#N/A</v>
      </c>
      <c r="P1296" s="4" t="e">
        <f t="shared" si="100"/>
        <v>#N/A</v>
      </c>
      <c r="Q1296" s="4" t="e">
        <f t="shared" si="101"/>
        <v>#N/A</v>
      </c>
      <c r="R1296" s="4" t="e">
        <f>IF(AND(B1296=1,N1296&gt;'Line Follower'!$C$7,SUM(C1296:K1296)&lt;4),1,0)</f>
        <v>#N/A</v>
      </c>
      <c r="S1296" s="4" t="e">
        <f>IF(AND(L1296=1,N1296&lt;'Line Follower'!$C$6,SUM(C1296:K1296)&lt;4),1,0)</f>
        <v>#N/A</v>
      </c>
      <c r="T1296" s="4" t="e">
        <f t="shared" si="102"/>
        <v>#N/A</v>
      </c>
      <c r="U1296" s="5" t="e">
        <f t="shared" si="103"/>
        <v>#N/A</v>
      </c>
      <c r="V1296" s="23" t="e">
        <f t="shared" si="104"/>
        <v>#N/A</v>
      </c>
    </row>
    <row r="1297" spans="2:22" x14ac:dyDescent="0.25">
      <c r="B1297" s="16">
        <v>0</v>
      </c>
      <c r="C1297" s="7">
        <v>1</v>
      </c>
      <c r="D1297" s="8">
        <v>1</v>
      </c>
      <c r="E1297" s="8">
        <v>1</v>
      </c>
      <c r="F1297" s="8">
        <v>0</v>
      </c>
      <c r="G1297" s="8">
        <v>0</v>
      </c>
      <c r="H1297" s="8">
        <v>0</v>
      </c>
      <c r="I1297" s="8">
        <v>0</v>
      </c>
      <c r="J1297" s="8">
        <v>1</v>
      </c>
      <c r="K1297" s="9">
        <v>0</v>
      </c>
      <c r="L1297" s="10">
        <v>1</v>
      </c>
      <c r="M1297" s="6">
        <v>0</v>
      </c>
      <c r="N1297" s="37" t="e" cm="1">
        <f t="array" ref="N1297">IF(OR(ISNUMBER(FIND(Aux!$D$3:$D$9,_xlfn.TEXTJOIN(,,C1297:K1297)))),NA(),IF(AND(SUM(C1297:F1297,H1297:K1297)=0,G1297=1),0,INT((SUMPRODUCT(C1297:F1297,COLUMN($A$1:$D$1)-1)+SUMPRODUCT(H1297:K1297,COLUMN($E$1:$H$1)-1))*'Line Follower'!$C$3/SUM(C1297:F1297,H1297:K1297)-'Line Follower'!$C$5)))</f>
        <v>#N/A</v>
      </c>
      <c r="O1297" s="22" t="e">
        <v>#N/A</v>
      </c>
      <c r="P1297" s="4" t="e">
        <f t="shared" si="100"/>
        <v>#N/A</v>
      </c>
      <c r="Q1297" s="4" t="e">
        <f t="shared" si="101"/>
        <v>#N/A</v>
      </c>
      <c r="R1297" s="4" t="e">
        <f>IF(AND(B1297=1,N1297&gt;'Line Follower'!$C$7,SUM(C1297:K1297)&lt;4),1,0)</f>
        <v>#N/A</v>
      </c>
      <c r="S1297" s="4" t="e">
        <f>IF(AND(L1297=1,N1297&lt;'Line Follower'!$C$6,SUM(C1297:K1297)&lt;4),1,0)</f>
        <v>#N/A</v>
      </c>
      <c r="T1297" s="4" t="e">
        <f t="shared" si="102"/>
        <v>#N/A</v>
      </c>
      <c r="U1297" s="5" t="e">
        <f t="shared" si="103"/>
        <v>#N/A</v>
      </c>
      <c r="V1297" s="23" t="e">
        <f t="shared" si="104"/>
        <v>#N/A</v>
      </c>
    </row>
    <row r="1298" spans="2:22" x14ac:dyDescent="0.25">
      <c r="B1298" s="16">
        <v>1</v>
      </c>
      <c r="C1298" s="7">
        <v>1</v>
      </c>
      <c r="D1298" s="8">
        <v>1</v>
      </c>
      <c r="E1298" s="8">
        <v>1</v>
      </c>
      <c r="F1298" s="8">
        <v>0</v>
      </c>
      <c r="G1298" s="8">
        <v>0</v>
      </c>
      <c r="H1298" s="8">
        <v>0</v>
      </c>
      <c r="I1298" s="8">
        <v>0</v>
      </c>
      <c r="J1298" s="8">
        <v>1</v>
      </c>
      <c r="K1298" s="9">
        <v>0</v>
      </c>
      <c r="L1298" s="10">
        <v>1</v>
      </c>
      <c r="M1298" s="6">
        <v>0</v>
      </c>
      <c r="N1298" s="37" t="e" cm="1">
        <f t="array" ref="N1298">IF(OR(ISNUMBER(FIND(Aux!$D$3:$D$9,_xlfn.TEXTJOIN(,,C1298:K1298)))),NA(),IF(AND(SUM(C1298:F1298,H1298:K1298)=0,G1298=1),0,INT((SUMPRODUCT(C1298:F1298,COLUMN($A$1:$D$1)-1)+SUMPRODUCT(H1298:K1298,COLUMN($E$1:$H$1)-1))*'Line Follower'!$C$3/SUM(C1298:F1298,H1298:K1298)-'Line Follower'!$C$5)))</f>
        <v>#N/A</v>
      </c>
      <c r="O1298" s="22" t="e">
        <v>#N/A</v>
      </c>
      <c r="P1298" s="4" t="e">
        <f t="shared" si="100"/>
        <v>#N/A</v>
      </c>
      <c r="Q1298" s="4" t="e">
        <f t="shared" si="101"/>
        <v>#N/A</v>
      </c>
      <c r="R1298" s="4" t="e">
        <f>IF(AND(B1298=1,N1298&gt;'Line Follower'!$C$7,SUM(C1298:K1298)&lt;4),1,0)</f>
        <v>#N/A</v>
      </c>
      <c r="S1298" s="4" t="e">
        <f>IF(AND(L1298=1,N1298&lt;'Line Follower'!$C$6,SUM(C1298:K1298)&lt;4),1,0)</f>
        <v>#N/A</v>
      </c>
      <c r="T1298" s="4" t="e">
        <f t="shared" si="102"/>
        <v>#N/A</v>
      </c>
      <c r="U1298" s="5" t="e">
        <f t="shared" si="103"/>
        <v>#N/A</v>
      </c>
      <c r="V1298" s="23" t="e">
        <f t="shared" si="104"/>
        <v>#N/A</v>
      </c>
    </row>
    <row r="1299" spans="2:22" x14ac:dyDescent="0.25">
      <c r="B1299" s="16">
        <v>0</v>
      </c>
      <c r="C1299" s="7">
        <v>0</v>
      </c>
      <c r="D1299" s="8">
        <v>0</v>
      </c>
      <c r="E1299" s="8">
        <v>0</v>
      </c>
      <c r="F1299" s="8">
        <v>1</v>
      </c>
      <c r="G1299" s="8">
        <v>0</v>
      </c>
      <c r="H1299" s="8">
        <v>0</v>
      </c>
      <c r="I1299" s="8">
        <v>0</v>
      </c>
      <c r="J1299" s="8">
        <v>1</v>
      </c>
      <c r="K1299" s="9">
        <v>0</v>
      </c>
      <c r="L1299" s="10">
        <v>1</v>
      </c>
      <c r="M1299" s="6">
        <v>0</v>
      </c>
      <c r="N1299" s="37" t="e" cm="1">
        <f t="array" ref="N1299">IF(OR(ISNUMBER(FIND(Aux!$D$3:$D$9,_xlfn.TEXTJOIN(,,C1299:K1299)))),NA(),IF(AND(SUM(C1299:F1299,H1299:K1299)=0,G1299=1),0,INT((SUMPRODUCT(C1299:F1299,COLUMN($A$1:$D$1)-1)+SUMPRODUCT(H1299:K1299,COLUMN($E$1:$H$1)-1))*'Line Follower'!$C$3/SUM(C1299:F1299,H1299:K1299)-'Line Follower'!$C$5)))</f>
        <v>#N/A</v>
      </c>
      <c r="O1299" s="22" t="e">
        <v>#N/A</v>
      </c>
      <c r="P1299" s="4" t="e">
        <f t="shared" si="100"/>
        <v>#N/A</v>
      </c>
      <c r="Q1299" s="4" t="e">
        <f t="shared" si="101"/>
        <v>#N/A</v>
      </c>
      <c r="R1299" s="4" t="e">
        <f>IF(AND(B1299=1,N1299&gt;'Line Follower'!$C$7,SUM(C1299:K1299)&lt;4),1,0)</f>
        <v>#N/A</v>
      </c>
      <c r="S1299" s="4" t="e">
        <f>IF(AND(L1299=1,N1299&lt;'Line Follower'!$C$6,SUM(C1299:K1299)&lt;4),1,0)</f>
        <v>#N/A</v>
      </c>
      <c r="T1299" s="4" t="e">
        <f t="shared" si="102"/>
        <v>#N/A</v>
      </c>
      <c r="U1299" s="5" t="e">
        <f t="shared" si="103"/>
        <v>#N/A</v>
      </c>
      <c r="V1299" s="23" t="e">
        <f t="shared" si="104"/>
        <v>#N/A</v>
      </c>
    </row>
    <row r="1300" spans="2:22" x14ac:dyDescent="0.25">
      <c r="B1300" s="16">
        <v>1</v>
      </c>
      <c r="C1300" s="7">
        <v>0</v>
      </c>
      <c r="D1300" s="8">
        <v>0</v>
      </c>
      <c r="E1300" s="8">
        <v>0</v>
      </c>
      <c r="F1300" s="8">
        <v>1</v>
      </c>
      <c r="G1300" s="8">
        <v>0</v>
      </c>
      <c r="H1300" s="8">
        <v>0</v>
      </c>
      <c r="I1300" s="8">
        <v>0</v>
      </c>
      <c r="J1300" s="8">
        <v>1</v>
      </c>
      <c r="K1300" s="9">
        <v>0</v>
      </c>
      <c r="L1300" s="10">
        <v>1</v>
      </c>
      <c r="M1300" s="6">
        <v>0</v>
      </c>
      <c r="N1300" s="37" t="e" cm="1">
        <f t="array" ref="N1300">IF(OR(ISNUMBER(FIND(Aux!$D$3:$D$9,_xlfn.TEXTJOIN(,,C1300:K1300)))),NA(),IF(AND(SUM(C1300:F1300,H1300:K1300)=0,G1300=1),0,INT((SUMPRODUCT(C1300:F1300,COLUMN($A$1:$D$1)-1)+SUMPRODUCT(H1300:K1300,COLUMN($E$1:$H$1)-1))*'Line Follower'!$C$3/SUM(C1300:F1300,H1300:K1300)-'Line Follower'!$C$5)))</f>
        <v>#N/A</v>
      </c>
      <c r="O1300" s="22" t="e">
        <v>#N/A</v>
      </c>
      <c r="P1300" s="4" t="e">
        <f t="shared" si="100"/>
        <v>#N/A</v>
      </c>
      <c r="Q1300" s="4" t="e">
        <f t="shared" si="101"/>
        <v>#N/A</v>
      </c>
      <c r="R1300" s="4" t="e">
        <f>IF(AND(B1300=1,N1300&gt;'Line Follower'!$C$7,SUM(C1300:K1300)&lt;4),1,0)</f>
        <v>#N/A</v>
      </c>
      <c r="S1300" s="4" t="e">
        <f>IF(AND(L1300=1,N1300&lt;'Line Follower'!$C$6,SUM(C1300:K1300)&lt;4),1,0)</f>
        <v>#N/A</v>
      </c>
      <c r="T1300" s="4" t="e">
        <f t="shared" si="102"/>
        <v>#N/A</v>
      </c>
      <c r="U1300" s="5" t="e">
        <f t="shared" si="103"/>
        <v>#N/A</v>
      </c>
      <c r="V1300" s="23" t="e">
        <f t="shared" si="104"/>
        <v>#N/A</v>
      </c>
    </row>
    <row r="1301" spans="2:22" x14ac:dyDescent="0.25">
      <c r="B1301" s="16">
        <v>0</v>
      </c>
      <c r="C1301" s="7">
        <v>1</v>
      </c>
      <c r="D1301" s="8">
        <v>0</v>
      </c>
      <c r="E1301" s="8">
        <v>0</v>
      </c>
      <c r="F1301" s="8">
        <v>1</v>
      </c>
      <c r="G1301" s="8">
        <v>0</v>
      </c>
      <c r="H1301" s="8">
        <v>0</v>
      </c>
      <c r="I1301" s="8">
        <v>0</v>
      </c>
      <c r="J1301" s="8">
        <v>1</v>
      </c>
      <c r="K1301" s="9">
        <v>0</v>
      </c>
      <c r="L1301" s="10">
        <v>1</v>
      </c>
      <c r="M1301" s="6">
        <v>0</v>
      </c>
      <c r="N1301" s="37" t="e" cm="1">
        <f t="array" ref="N1301">IF(OR(ISNUMBER(FIND(Aux!$D$3:$D$9,_xlfn.TEXTJOIN(,,C1301:K1301)))),NA(),IF(AND(SUM(C1301:F1301,H1301:K1301)=0,G1301=1),0,INT((SUMPRODUCT(C1301:F1301,COLUMN($A$1:$D$1)-1)+SUMPRODUCT(H1301:K1301,COLUMN($E$1:$H$1)-1))*'Line Follower'!$C$3/SUM(C1301:F1301,H1301:K1301)-'Line Follower'!$C$5)))</f>
        <v>#N/A</v>
      </c>
      <c r="O1301" s="22" t="e">
        <v>#N/A</v>
      </c>
      <c r="P1301" s="4" t="e">
        <f t="shared" si="100"/>
        <v>#N/A</v>
      </c>
      <c r="Q1301" s="4" t="e">
        <f t="shared" si="101"/>
        <v>#N/A</v>
      </c>
      <c r="R1301" s="4" t="e">
        <f>IF(AND(B1301=1,N1301&gt;'Line Follower'!$C$7,SUM(C1301:K1301)&lt;4),1,0)</f>
        <v>#N/A</v>
      </c>
      <c r="S1301" s="4" t="e">
        <f>IF(AND(L1301=1,N1301&lt;'Line Follower'!$C$6,SUM(C1301:K1301)&lt;4),1,0)</f>
        <v>#N/A</v>
      </c>
      <c r="T1301" s="4" t="e">
        <f t="shared" si="102"/>
        <v>#N/A</v>
      </c>
      <c r="U1301" s="5" t="e">
        <f t="shared" si="103"/>
        <v>#N/A</v>
      </c>
      <c r="V1301" s="23" t="e">
        <f t="shared" si="104"/>
        <v>#N/A</v>
      </c>
    </row>
    <row r="1302" spans="2:22" x14ac:dyDescent="0.25">
      <c r="B1302" s="16">
        <v>1</v>
      </c>
      <c r="C1302" s="7">
        <v>1</v>
      </c>
      <c r="D1302" s="8">
        <v>0</v>
      </c>
      <c r="E1302" s="8">
        <v>0</v>
      </c>
      <c r="F1302" s="8">
        <v>1</v>
      </c>
      <c r="G1302" s="8">
        <v>0</v>
      </c>
      <c r="H1302" s="8">
        <v>0</v>
      </c>
      <c r="I1302" s="8">
        <v>0</v>
      </c>
      <c r="J1302" s="8">
        <v>1</v>
      </c>
      <c r="K1302" s="9">
        <v>0</v>
      </c>
      <c r="L1302" s="10">
        <v>1</v>
      </c>
      <c r="M1302" s="6">
        <v>0</v>
      </c>
      <c r="N1302" s="37" t="e" cm="1">
        <f t="array" ref="N1302">IF(OR(ISNUMBER(FIND(Aux!$D$3:$D$9,_xlfn.TEXTJOIN(,,C1302:K1302)))),NA(),IF(AND(SUM(C1302:F1302,H1302:K1302)=0,G1302=1),0,INT((SUMPRODUCT(C1302:F1302,COLUMN($A$1:$D$1)-1)+SUMPRODUCT(H1302:K1302,COLUMN($E$1:$H$1)-1))*'Line Follower'!$C$3/SUM(C1302:F1302,H1302:K1302)-'Line Follower'!$C$5)))</f>
        <v>#N/A</v>
      </c>
      <c r="O1302" s="22" t="e">
        <v>#N/A</v>
      </c>
      <c r="P1302" s="4" t="e">
        <f t="shared" si="100"/>
        <v>#N/A</v>
      </c>
      <c r="Q1302" s="4" t="e">
        <f t="shared" si="101"/>
        <v>#N/A</v>
      </c>
      <c r="R1302" s="4" t="e">
        <f>IF(AND(B1302=1,N1302&gt;'Line Follower'!$C$7,SUM(C1302:K1302)&lt;4),1,0)</f>
        <v>#N/A</v>
      </c>
      <c r="S1302" s="4" t="e">
        <f>IF(AND(L1302=1,N1302&lt;'Line Follower'!$C$6,SUM(C1302:K1302)&lt;4),1,0)</f>
        <v>#N/A</v>
      </c>
      <c r="T1302" s="4" t="e">
        <f t="shared" si="102"/>
        <v>#N/A</v>
      </c>
      <c r="U1302" s="5" t="e">
        <f t="shared" si="103"/>
        <v>#N/A</v>
      </c>
      <c r="V1302" s="23" t="e">
        <f t="shared" si="104"/>
        <v>#N/A</v>
      </c>
    </row>
    <row r="1303" spans="2:22" x14ac:dyDescent="0.25">
      <c r="B1303" s="16">
        <v>0</v>
      </c>
      <c r="C1303" s="7">
        <v>0</v>
      </c>
      <c r="D1303" s="8">
        <v>1</v>
      </c>
      <c r="E1303" s="8">
        <v>0</v>
      </c>
      <c r="F1303" s="8">
        <v>1</v>
      </c>
      <c r="G1303" s="8">
        <v>0</v>
      </c>
      <c r="H1303" s="8">
        <v>0</v>
      </c>
      <c r="I1303" s="8">
        <v>0</v>
      </c>
      <c r="J1303" s="8">
        <v>1</v>
      </c>
      <c r="K1303" s="9">
        <v>0</v>
      </c>
      <c r="L1303" s="10">
        <v>1</v>
      </c>
      <c r="M1303" s="6">
        <v>0</v>
      </c>
      <c r="N1303" s="37" t="e" cm="1">
        <f t="array" ref="N1303">IF(OR(ISNUMBER(FIND(Aux!$D$3:$D$9,_xlfn.TEXTJOIN(,,C1303:K1303)))),NA(),IF(AND(SUM(C1303:F1303,H1303:K1303)=0,G1303=1),0,INT((SUMPRODUCT(C1303:F1303,COLUMN($A$1:$D$1)-1)+SUMPRODUCT(H1303:K1303,COLUMN($E$1:$H$1)-1))*'Line Follower'!$C$3/SUM(C1303:F1303,H1303:K1303)-'Line Follower'!$C$5)))</f>
        <v>#N/A</v>
      </c>
      <c r="O1303" s="22" t="e">
        <v>#N/A</v>
      </c>
      <c r="P1303" s="4" t="e">
        <f t="shared" si="100"/>
        <v>#N/A</v>
      </c>
      <c r="Q1303" s="4" t="e">
        <f t="shared" si="101"/>
        <v>#N/A</v>
      </c>
      <c r="R1303" s="4" t="e">
        <f>IF(AND(B1303=1,N1303&gt;'Line Follower'!$C$7,SUM(C1303:K1303)&lt;4),1,0)</f>
        <v>#N/A</v>
      </c>
      <c r="S1303" s="4" t="e">
        <f>IF(AND(L1303=1,N1303&lt;'Line Follower'!$C$6,SUM(C1303:K1303)&lt;4),1,0)</f>
        <v>#N/A</v>
      </c>
      <c r="T1303" s="4" t="e">
        <f t="shared" si="102"/>
        <v>#N/A</v>
      </c>
      <c r="U1303" s="5" t="e">
        <f t="shared" si="103"/>
        <v>#N/A</v>
      </c>
      <c r="V1303" s="23" t="e">
        <f t="shared" si="104"/>
        <v>#N/A</v>
      </c>
    </row>
    <row r="1304" spans="2:22" x14ac:dyDescent="0.25">
      <c r="B1304" s="16">
        <v>1</v>
      </c>
      <c r="C1304" s="7">
        <v>0</v>
      </c>
      <c r="D1304" s="8">
        <v>1</v>
      </c>
      <c r="E1304" s="8">
        <v>0</v>
      </c>
      <c r="F1304" s="8">
        <v>1</v>
      </c>
      <c r="G1304" s="8">
        <v>0</v>
      </c>
      <c r="H1304" s="8">
        <v>0</v>
      </c>
      <c r="I1304" s="8">
        <v>0</v>
      </c>
      <c r="J1304" s="8">
        <v>1</v>
      </c>
      <c r="K1304" s="9">
        <v>0</v>
      </c>
      <c r="L1304" s="10">
        <v>1</v>
      </c>
      <c r="M1304" s="6">
        <v>0</v>
      </c>
      <c r="N1304" s="37" t="e" cm="1">
        <f t="array" ref="N1304">IF(OR(ISNUMBER(FIND(Aux!$D$3:$D$9,_xlfn.TEXTJOIN(,,C1304:K1304)))),NA(),IF(AND(SUM(C1304:F1304,H1304:K1304)=0,G1304=1),0,INT((SUMPRODUCT(C1304:F1304,COLUMN($A$1:$D$1)-1)+SUMPRODUCT(H1304:K1304,COLUMN($E$1:$H$1)-1))*'Line Follower'!$C$3/SUM(C1304:F1304,H1304:K1304)-'Line Follower'!$C$5)))</f>
        <v>#N/A</v>
      </c>
      <c r="O1304" s="22" t="e">
        <v>#N/A</v>
      </c>
      <c r="P1304" s="4" t="e">
        <f t="shared" si="100"/>
        <v>#N/A</v>
      </c>
      <c r="Q1304" s="4" t="e">
        <f t="shared" si="101"/>
        <v>#N/A</v>
      </c>
      <c r="R1304" s="4" t="e">
        <f>IF(AND(B1304=1,N1304&gt;'Line Follower'!$C$7,SUM(C1304:K1304)&lt;4),1,0)</f>
        <v>#N/A</v>
      </c>
      <c r="S1304" s="4" t="e">
        <f>IF(AND(L1304=1,N1304&lt;'Line Follower'!$C$6,SUM(C1304:K1304)&lt;4),1,0)</f>
        <v>#N/A</v>
      </c>
      <c r="T1304" s="4" t="e">
        <f t="shared" si="102"/>
        <v>#N/A</v>
      </c>
      <c r="U1304" s="5" t="e">
        <f t="shared" si="103"/>
        <v>#N/A</v>
      </c>
      <c r="V1304" s="23" t="e">
        <f t="shared" si="104"/>
        <v>#N/A</v>
      </c>
    </row>
    <row r="1305" spans="2:22" x14ac:dyDescent="0.25">
      <c r="B1305" s="16">
        <v>0</v>
      </c>
      <c r="C1305" s="7">
        <v>1</v>
      </c>
      <c r="D1305" s="8">
        <v>1</v>
      </c>
      <c r="E1305" s="8">
        <v>0</v>
      </c>
      <c r="F1305" s="8">
        <v>1</v>
      </c>
      <c r="G1305" s="8">
        <v>0</v>
      </c>
      <c r="H1305" s="8">
        <v>0</v>
      </c>
      <c r="I1305" s="8">
        <v>0</v>
      </c>
      <c r="J1305" s="8">
        <v>1</v>
      </c>
      <c r="K1305" s="9">
        <v>0</v>
      </c>
      <c r="L1305" s="10">
        <v>1</v>
      </c>
      <c r="M1305" s="6">
        <v>0</v>
      </c>
      <c r="N1305" s="37" t="e" cm="1">
        <f t="array" ref="N1305">IF(OR(ISNUMBER(FIND(Aux!$D$3:$D$9,_xlfn.TEXTJOIN(,,C1305:K1305)))),NA(),IF(AND(SUM(C1305:F1305,H1305:K1305)=0,G1305=1),0,INT((SUMPRODUCT(C1305:F1305,COLUMN($A$1:$D$1)-1)+SUMPRODUCT(H1305:K1305,COLUMN($E$1:$H$1)-1))*'Line Follower'!$C$3/SUM(C1305:F1305,H1305:K1305)-'Line Follower'!$C$5)))</f>
        <v>#N/A</v>
      </c>
      <c r="O1305" s="22" t="e">
        <v>#N/A</v>
      </c>
      <c r="P1305" s="4" t="e">
        <f t="shared" si="100"/>
        <v>#N/A</v>
      </c>
      <c r="Q1305" s="4" t="e">
        <f t="shared" si="101"/>
        <v>#N/A</v>
      </c>
      <c r="R1305" s="4" t="e">
        <f>IF(AND(B1305=1,N1305&gt;'Line Follower'!$C$7,SUM(C1305:K1305)&lt;4),1,0)</f>
        <v>#N/A</v>
      </c>
      <c r="S1305" s="4" t="e">
        <f>IF(AND(L1305=1,N1305&lt;'Line Follower'!$C$6,SUM(C1305:K1305)&lt;4),1,0)</f>
        <v>#N/A</v>
      </c>
      <c r="T1305" s="4" t="e">
        <f t="shared" si="102"/>
        <v>#N/A</v>
      </c>
      <c r="U1305" s="5" t="e">
        <f t="shared" si="103"/>
        <v>#N/A</v>
      </c>
      <c r="V1305" s="23" t="e">
        <f t="shared" si="104"/>
        <v>#N/A</v>
      </c>
    </row>
    <row r="1306" spans="2:22" x14ac:dyDescent="0.25">
      <c r="B1306" s="16">
        <v>1</v>
      </c>
      <c r="C1306" s="7">
        <v>1</v>
      </c>
      <c r="D1306" s="8">
        <v>1</v>
      </c>
      <c r="E1306" s="8">
        <v>0</v>
      </c>
      <c r="F1306" s="8">
        <v>1</v>
      </c>
      <c r="G1306" s="8">
        <v>0</v>
      </c>
      <c r="H1306" s="8">
        <v>0</v>
      </c>
      <c r="I1306" s="8">
        <v>0</v>
      </c>
      <c r="J1306" s="8">
        <v>1</v>
      </c>
      <c r="K1306" s="9">
        <v>0</v>
      </c>
      <c r="L1306" s="10">
        <v>1</v>
      </c>
      <c r="M1306" s="6">
        <v>0</v>
      </c>
      <c r="N1306" s="37" t="e" cm="1">
        <f t="array" ref="N1306">IF(OR(ISNUMBER(FIND(Aux!$D$3:$D$9,_xlfn.TEXTJOIN(,,C1306:K1306)))),NA(),IF(AND(SUM(C1306:F1306,H1306:K1306)=0,G1306=1),0,INT((SUMPRODUCT(C1306:F1306,COLUMN($A$1:$D$1)-1)+SUMPRODUCT(H1306:K1306,COLUMN($E$1:$H$1)-1))*'Line Follower'!$C$3/SUM(C1306:F1306,H1306:K1306)-'Line Follower'!$C$5)))</f>
        <v>#N/A</v>
      </c>
      <c r="O1306" s="22" t="e">
        <v>#N/A</v>
      </c>
      <c r="P1306" s="4" t="e">
        <f t="shared" si="100"/>
        <v>#N/A</v>
      </c>
      <c r="Q1306" s="4" t="e">
        <f t="shared" si="101"/>
        <v>#N/A</v>
      </c>
      <c r="R1306" s="4" t="e">
        <f>IF(AND(B1306=1,N1306&gt;'Line Follower'!$C$7,SUM(C1306:K1306)&lt;4),1,0)</f>
        <v>#N/A</v>
      </c>
      <c r="S1306" s="4" t="e">
        <f>IF(AND(L1306=1,N1306&lt;'Line Follower'!$C$6,SUM(C1306:K1306)&lt;4),1,0)</f>
        <v>#N/A</v>
      </c>
      <c r="T1306" s="4" t="e">
        <f t="shared" si="102"/>
        <v>#N/A</v>
      </c>
      <c r="U1306" s="5" t="e">
        <f t="shared" si="103"/>
        <v>#N/A</v>
      </c>
      <c r="V1306" s="23" t="e">
        <f t="shared" si="104"/>
        <v>#N/A</v>
      </c>
    </row>
    <row r="1307" spans="2:22" x14ac:dyDescent="0.25">
      <c r="B1307" s="16">
        <v>0</v>
      </c>
      <c r="C1307" s="7">
        <v>0</v>
      </c>
      <c r="D1307" s="8">
        <v>0</v>
      </c>
      <c r="E1307" s="8">
        <v>1</v>
      </c>
      <c r="F1307" s="8">
        <v>1</v>
      </c>
      <c r="G1307" s="8">
        <v>0</v>
      </c>
      <c r="H1307" s="8">
        <v>0</v>
      </c>
      <c r="I1307" s="8">
        <v>0</v>
      </c>
      <c r="J1307" s="8">
        <v>1</v>
      </c>
      <c r="K1307" s="9">
        <v>0</v>
      </c>
      <c r="L1307" s="10">
        <v>1</v>
      </c>
      <c r="M1307" s="6">
        <v>0</v>
      </c>
      <c r="N1307" s="37" t="e" cm="1">
        <f t="array" ref="N1307">IF(OR(ISNUMBER(FIND(Aux!$D$3:$D$9,_xlfn.TEXTJOIN(,,C1307:K1307)))),NA(),IF(AND(SUM(C1307:F1307,H1307:K1307)=0,G1307=1),0,INT((SUMPRODUCT(C1307:F1307,COLUMN($A$1:$D$1)-1)+SUMPRODUCT(H1307:K1307,COLUMN($E$1:$H$1)-1))*'Line Follower'!$C$3/SUM(C1307:F1307,H1307:K1307)-'Line Follower'!$C$5)))</f>
        <v>#N/A</v>
      </c>
      <c r="O1307" s="22" t="e">
        <v>#N/A</v>
      </c>
      <c r="P1307" s="4" t="e">
        <f t="shared" si="100"/>
        <v>#N/A</v>
      </c>
      <c r="Q1307" s="4" t="e">
        <f t="shared" si="101"/>
        <v>#N/A</v>
      </c>
      <c r="R1307" s="4" t="e">
        <f>IF(AND(B1307=1,N1307&gt;'Line Follower'!$C$7,SUM(C1307:K1307)&lt;4),1,0)</f>
        <v>#N/A</v>
      </c>
      <c r="S1307" s="4" t="e">
        <f>IF(AND(L1307=1,N1307&lt;'Line Follower'!$C$6,SUM(C1307:K1307)&lt;4),1,0)</f>
        <v>#N/A</v>
      </c>
      <c r="T1307" s="4" t="e">
        <f t="shared" si="102"/>
        <v>#N/A</v>
      </c>
      <c r="U1307" s="5" t="e">
        <f t="shared" si="103"/>
        <v>#N/A</v>
      </c>
      <c r="V1307" s="23" t="e">
        <f t="shared" si="104"/>
        <v>#N/A</v>
      </c>
    </row>
    <row r="1308" spans="2:22" x14ac:dyDescent="0.25">
      <c r="B1308" s="16">
        <v>1</v>
      </c>
      <c r="C1308" s="7">
        <v>0</v>
      </c>
      <c r="D1308" s="8">
        <v>0</v>
      </c>
      <c r="E1308" s="8">
        <v>1</v>
      </c>
      <c r="F1308" s="8">
        <v>1</v>
      </c>
      <c r="G1308" s="8">
        <v>0</v>
      </c>
      <c r="H1308" s="8">
        <v>0</v>
      </c>
      <c r="I1308" s="8">
        <v>0</v>
      </c>
      <c r="J1308" s="8">
        <v>1</v>
      </c>
      <c r="K1308" s="9">
        <v>0</v>
      </c>
      <c r="L1308" s="10">
        <v>1</v>
      </c>
      <c r="M1308" s="6">
        <v>0</v>
      </c>
      <c r="N1308" s="37" t="e" cm="1">
        <f t="array" ref="N1308">IF(OR(ISNUMBER(FIND(Aux!$D$3:$D$9,_xlfn.TEXTJOIN(,,C1308:K1308)))),NA(),IF(AND(SUM(C1308:F1308,H1308:K1308)=0,G1308=1),0,INT((SUMPRODUCT(C1308:F1308,COLUMN($A$1:$D$1)-1)+SUMPRODUCT(H1308:K1308,COLUMN($E$1:$H$1)-1))*'Line Follower'!$C$3/SUM(C1308:F1308,H1308:K1308)-'Line Follower'!$C$5)))</f>
        <v>#N/A</v>
      </c>
      <c r="O1308" s="22" t="e">
        <v>#N/A</v>
      </c>
      <c r="P1308" s="4" t="e">
        <f t="shared" si="100"/>
        <v>#N/A</v>
      </c>
      <c r="Q1308" s="4" t="e">
        <f t="shared" si="101"/>
        <v>#N/A</v>
      </c>
      <c r="R1308" s="4" t="e">
        <f>IF(AND(B1308=1,N1308&gt;'Line Follower'!$C$7,SUM(C1308:K1308)&lt;4),1,0)</f>
        <v>#N/A</v>
      </c>
      <c r="S1308" s="4" t="e">
        <f>IF(AND(L1308=1,N1308&lt;'Line Follower'!$C$6,SUM(C1308:K1308)&lt;4),1,0)</f>
        <v>#N/A</v>
      </c>
      <c r="T1308" s="4" t="e">
        <f t="shared" si="102"/>
        <v>#N/A</v>
      </c>
      <c r="U1308" s="5" t="e">
        <f t="shared" si="103"/>
        <v>#N/A</v>
      </c>
      <c r="V1308" s="23" t="e">
        <f t="shared" si="104"/>
        <v>#N/A</v>
      </c>
    </row>
    <row r="1309" spans="2:22" x14ac:dyDescent="0.25">
      <c r="B1309" s="16">
        <v>0</v>
      </c>
      <c r="C1309" s="7">
        <v>1</v>
      </c>
      <c r="D1309" s="8">
        <v>0</v>
      </c>
      <c r="E1309" s="8">
        <v>1</v>
      </c>
      <c r="F1309" s="8">
        <v>1</v>
      </c>
      <c r="G1309" s="8">
        <v>0</v>
      </c>
      <c r="H1309" s="8">
        <v>0</v>
      </c>
      <c r="I1309" s="8">
        <v>0</v>
      </c>
      <c r="J1309" s="8">
        <v>1</v>
      </c>
      <c r="K1309" s="9">
        <v>0</v>
      </c>
      <c r="L1309" s="10">
        <v>1</v>
      </c>
      <c r="M1309" s="6">
        <v>0</v>
      </c>
      <c r="N1309" s="37" t="e" cm="1">
        <f t="array" ref="N1309">IF(OR(ISNUMBER(FIND(Aux!$D$3:$D$9,_xlfn.TEXTJOIN(,,C1309:K1309)))),NA(),IF(AND(SUM(C1309:F1309,H1309:K1309)=0,G1309=1),0,INT((SUMPRODUCT(C1309:F1309,COLUMN($A$1:$D$1)-1)+SUMPRODUCT(H1309:K1309,COLUMN($E$1:$H$1)-1))*'Line Follower'!$C$3/SUM(C1309:F1309,H1309:K1309)-'Line Follower'!$C$5)))</f>
        <v>#N/A</v>
      </c>
      <c r="O1309" s="22" t="e">
        <v>#N/A</v>
      </c>
      <c r="P1309" s="4" t="e">
        <f t="shared" si="100"/>
        <v>#N/A</v>
      </c>
      <c r="Q1309" s="4" t="e">
        <f t="shared" si="101"/>
        <v>#N/A</v>
      </c>
      <c r="R1309" s="4" t="e">
        <f>IF(AND(B1309=1,N1309&gt;'Line Follower'!$C$7,SUM(C1309:K1309)&lt;4),1,0)</f>
        <v>#N/A</v>
      </c>
      <c r="S1309" s="4" t="e">
        <f>IF(AND(L1309=1,N1309&lt;'Line Follower'!$C$6,SUM(C1309:K1309)&lt;4),1,0)</f>
        <v>#N/A</v>
      </c>
      <c r="T1309" s="4" t="e">
        <f t="shared" si="102"/>
        <v>#N/A</v>
      </c>
      <c r="U1309" s="5" t="e">
        <f t="shared" si="103"/>
        <v>#N/A</v>
      </c>
      <c r="V1309" s="23" t="e">
        <f t="shared" si="104"/>
        <v>#N/A</v>
      </c>
    </row>
    <row r="1310" spans="2:22" x14ac:dyDescent="0.25">
      <c r="B1310" s="16">
        <v>1</v>
      </c>
      <c r="C1310" s="7">
        <v>1</v>
      </c>
      <c r="D1310" s="8">
        <v>0</v>
      </c>
      <c r="E1310" s="8">
        <v>1</v>
      </c>
      <c r="F1310" s="8">
        <v>1</v>
      </c>
      <c r="G1310" s="8">
        <v>0</v>
      </c>
      <c r="H1310" s="8">
        <v>0</v>
      </c>
      <c r="I1310" s="8">
        <v>0</v>
      </c>
      <c r="J1310" s="8">
        <v>1</v>
      </c>
      <c r="K1310" s="9">
        <v>0</v>
      </c>
      <c r="L1310" s="10">
        <v>1</v>
      </c>
      <c r="M1310" s="6">
        <v>0</v>
      </c>
      <c r="N1310" s="37" t="e" cm="1">
        <f t="array" ref="N1310">IF(OR(ISNUMBER(FIND(Aux!$D$3:$D$9,_xlfn.TEXTJOIN(,,C1310:K1310)))),NA(),IF(AND(SUM(C1310:F1310,H1310:K1310)=0,G1310=1),0,INT((SUMPRODUCT(C1310:F1310,COLUMN($A$1:$D$1)-1)+SUMPRODUCT(H1310:K1310,COLUMN($E$1:$H$1)-1))*'Line Follower'!$C$3/SUM(C1310:F1310,H1310:K1310)-'Line Follower'!$C$5)))</f>
        <v>#N/A</v>
      </c>
      <c r="O1310" s="22" t="e">
        <v>#N/A</v>
      </c>
      <c r="P1310" s="4" t="e">
        <f t="shared" si="100"/>
        <v>#N/A</v>
      </c>
      <c r="Q1310" s="4" t="e">
        <f t="shared" si="101"/>
        <v>#N/A</v>
      </c>
      <c r="R1310" s="4" t="e">
        <f>IF(AND(B1310=1,N1310&gt;'Line Follower'!$C$7,SUM(C1310:K1310)&lt;4),1,0)</f>
        <v>#N/A</v>
      </c>
      <c r="S1310" s="4" t="e">
        <f>IF(AND(L1310=1,N1310&lt;'Line Follower'!$C$6,SUM(C1310:K1310)&lt;4),1,0)</f>
        <v>#N/A</v>
      </c>
      <c r="T1310" s="4" t="e">
        <f t="shared" si="102"/>
        <v>#N/A</v>
      </c>
      <c r="U1310" s="5" t="e">
        <f t="shared" si="103"/>
        <v>#N/A</v>
      </c>
      <c r="V1310" s="23" t="e">
        <f t="shared" si="104"/>
        <v>#N/A</v>
      </c>
    </row>
    <row r="1311" spans="2:22" x14ac:dyDescent="0.25">
      <c r="B1311" s="16">
        <v>0</v>
      </c>
      <c r="C1311" s="7">
        <v>0</v>
      </c>
      <c r="D1311" s="8">
        <v>1</v>
      </c>
      <c r="E1311" s="8">
        <v>1</v>
      </c>
      <c r="F1311" s="8">
        <v>1</v>
      </c>
      <c r="G1311" s="8">
        <v>0</v>
      </c>
      <c r="H1311" s="8">
        <v>0</v>
      </c>
      <c r="I1311" s="8">
        <v>0</v>
      </c>
      <c r="J1311" s="8">
        <v>1</v>
      </c>
      <c r="K1311" s="9">
        <v>0</v>
      </c>
      <c r="L1311" s="10">
        <v>1</v>
      </c>
      <c r="M1311" s="6">
        <v>0</v>
      </c>
      <c r="N1311" s="37" t="e" cm="1">
        <f t="array" ref="N1311">IF(OR(ISNUMBER(FIND(Aux!$D$3:$D$9,_xlfn.TEXTJOIN(,,C1311:K1311)))),NA(),IF(AND(SUM(C1311:F1311,H1311:K1311)=0,G1311=1),0,INT((SUMPRODUCT(C1311:F1311,COLUMN($A$1:$D$1)-1)+SUMPRODUCT(H1311:K1311,COLUMN($E$1:$H$1)-1))*'Line Follower'!$C$3/SUM(C1311:F1311,H1311:K1311)-'Line Follower'!$C$5)))</f>
        <v>#N/A</v>
      </c>
      <c r="O1311" s="22" t="e">
        <v>#N/A</v>
      </c>
      <c r="P1311" s="4" t="e">
        <f t="shared" si="100"/>
        <v>#N/A</v>
      </c>
      <c r="Q1311" s="4" t="e">
        <f t="shared" si="101"/>
        <v>#N/A</v>
      </c>
      <c r="R1311" s="4" t="e">
        <f>IF(AND(B1311=1,N1311&gt;'Line Follower'!$C$7,SUM(C1311:K1311)&lt;4),1,0)</f>
        <v>#N/A</v>
      </c>
      <c r="S1311" s="4" t="e">
        <f>IF(AND(L1311=1,N1311&lt;'Line Follower'!$C$6,SUM(C1311:K1311)&lt;4),1,0)</f>
        <v>#N/A</v>
      </c>
      <c r="T1311" s="4" t="e">
        <f t="shared" si="102"/>
        <v>#N/A</v>
      </c>
      <c r="U1311" s="5" t="e">
        <f t="shared" si="103"/>
        <v>#N/A</v>
      </c>
      <c r="V1311" s="23" t="e">
        <f t="shared" si="104"/>
        <v>#N/A</v>
      </c>
    </row>
    <row r="1312" spans="2:22" x14ac:dyDescent="0.25">
      <c r="B1312" s="16">
        <v>1</v>
      </c>
      <c r="C1312" s="7">
        <v>0</v>
      </c>
      <c r="D1312" s="8">
        <v>1</v>
      </c>
      <c r="E1312" s="8">
        <v>1</v>
      </c>
      <c r="F1312" s="8">
        <v>1</v>
      </c>
      <c r="G1312" s="8">
        <v>0</v>
      </c>
      <c r="H1312" s="8">
        <v>0</v>
      </c>
      <c r="I1312" s="8">
        <v>0</v>
      </c>
      <c r="J1312" s="8">
        <v>1</v>
      </c>
      <c r="K1312" s="9">
        <v>0</v>
      </c>
      <c r="L1312" s="10">
        <v>1</v>
      </c>
      <c r="M1312" s="6">
        <v>0</v>
      </c>
      <c r="N1312" s="37" t="e" cm="1">
        <f t="array" ref="N1312">IF(OR(ISNUMBER(FIND(Aux!$D$3:$D$9,_xlfn.TEXTJOIN(,,C1312:K1312)))),NA(),IF(AND(SUM(C1312:F1312,H1312:K1312)=0,G1312=1),0,INT((SUMPRODUCT(C1312:F1312,COLUMN($A$1:$D$1)-1)+SUMPRODUCT(H1312:K1312,COLUMN($E$1:$H$1)-1))*'Line Follower'!$C$3/SUM(C1312:F1312,H1312:K1312)-'Line Follower'!$C$5)))</f>
        <v>#N/A</v>
      </c>
      <c r="O1312" s="22" t="e">
        <v>#N/A</v>
      </c>
      <c r="P1312" s="4" t="e">
        <f t="shared" si="100"/>
        <v>#N/A</v>
      </c>
      <c r="Q1312" s="4" t="e">
        <f t="shared" si="101"/>
        <v>#N/A</v>
      </c>
      <c r="R1312" s="4" t="e">
        <f>IF(AND(B1312=1,N1312&gt;'Line Follower'!$C$7,SUM(C1312:K1312)&lt;4),1,0)</f>
        <v>#N/A</v>
      </c>
      <c r="S1312" s="4" t="e">
        <f>IF(AND(L1312=1,N1312&lt;'Line Follower'!$C$6,SUM(C1312:K1312)&lt;4),1,0)</f>
        <v>#N/A</v>
      </c>
      <c r="T1312" s="4" t="e">
        <f t="shared" si="102"/>
        <v>#N/A</v>
      </c>
      <c r="U1312" s="5" t="e">
        <f t="shared" si="103"/>
        <v>#N/A</v>
      </c>
      <c r="V1312" s="23" t="e">
        <f t="shared" si="104"/>
        <v>#N/A</v>
      </c>
    </row>
    <row r="1313" spans="2:22" x14ac:dyDescent="0.25">
      <c r="B1313" s="16">
        <v>0</v>
      </c>
      <c r="C1313" s="7">
        <v>1</v>
      </c>
      <c r="D1313" s="8">
        <v>1</v>
      </c>
      <c r="E1313" s="8">
        <v>1</v>
      </c>
      <c r="F1313" s="8">
        <v>1</v>
      </c>
      <c r="G1313" s="8">
        <v>0</v>
      </c>
      <c r="H1313" s="8">
        <v>0</v>
      </c>
      <c r="I1313" s="8">
        <v>0</v>
      </c>
      <c r="J1313" s="8">
        <v>1</v>
      </c>
      <c r="K1313" s="9">
        <v>0</v>
      </c>
      <c r="L1313" s="10">
        <v>1</v>
      </c>
      <c r="M1313" s="6">
        <v>0</v>
      </c>
      <c r="N1313" s="37" t="e" cm="1">
        <f t="array" ref="N1313">IF(OR(ISNUMBER(FIND(Aux!$D$3:$D$9,_xlfn.TEXTJOIN(,,C1313:K1313)))),NA(),IF(AND(SUM(C1313:F1313,H1313:K1313)=0,G1313=1),0,INT((SUMPRODUCT(C1313:F1313,COLUMN($A$1:$D$1)-1)+SUMPRODUCT(H1313:K1313,COLUMN($E$1:$H$1)-1))*'Line Follower'!$C$3/SUM(C1313:F1313,H1313:K1313)-'Line Follower'!$C$5)))</f>
        <v>#N/A</v>
      </c>
      <c r="O1313" s="22" t="e">
        <v>#N/A</v>
      </c>
      <c r="P1313" s="4" t="e">
        <f t="shared" si="100"/>
        <v>#N/A</v>
      </c>
      <c r="Q1313" s="4" t="e">
        <f t="shared" si="101"/>
        <v>#N/A</v>
      </c>
      <c r="R1313" s="4" t="e">
        <f>IF(AND(B1313=1,N1313&gt;'Line Follower'!$C$7,SUM(C1313:K1313)&lt;4),1,0)</f>
        <v>#N/A</v>
      </c>
      <c r="S1313" s="4" t="e">
        <f>IF(AND(L1313=1,N1313&lt;'Line Follower'!$C$6,SUM(C1313:K1313)&lt;4),1,0)</f>
        <v>#N/A</v>
      </c>
      <c r="T1313" s="4" t="e">
        <f t="shared" si="102"/>
        <v>#N/A</v>
      </c>
      <c r="U1313" s="5" t="e">
        <f t="shared" si="103"/>
        <v>#N/A</v>
      </c>
      <c r="V1313" s="23" t="e">
        <f t="shared" si="104"/>
        <v>#N/A</v>
      </c>
    </row>
    <row r="1314" spans="2:22" x14ac:dyDescent="0.25">
      <c r="B1314" s="16">
        <v>1</v>
      </c>
      <c r="C1314" s="7">
        <v>1</v>
      </c>
      <c r="D1314" s="8">
        <v>1</v>
      </c>
      <c r="E1314" s="8">
        <v>1</v>
      </c>
      <c r="F1314" s="8">
        <v>1</v>
      </c>
      <c r="G1314" s="8">
        <v>0</v>
      </c>
      <c r="H1314" s="8">
        <v>0</v>
      </c>
      <c r="I1314" s="8">
        <v>0</v>
      </c>
      <c r="J1314" s="8">
        <v>1</v>
      </c>
      <c r="K1314" s="9">
        <v>0</v>
      </c>
      <c r="L1314" s="10">
        <v>1</v>
      </c>
      <c r="M1314" s="6">
        <v>0</v>
      </c>
      <c r="N1314" s="37" t="e" cm="1">
        <f t="array" ref="N1314">IF(OR(ISNUMBER(FIND(Aux!$D$3:$D$9,_xlfn.TEXTJOIN(,,C1314:K1314)))),NA(),IF(AND(SUM(C1314:F1314,H1314:K1314)=0,G1314=1),0,INT((SUMPRODUCT(C1314:F1314,COLUMN($A$1:$D$1)-1)+SUMPRODUCT(H1314:K1314,COLUMN($E$1:$H$1)-1))*'Line Follower'!$C$3/SUM(C1314:F1314,H1314:K1314)-'Line Follower'!$C$5)))</f>
        <v>#N/A</v>
      </c>
      <c r="O1314" s="22" t="e">
        <v>#N/A</v>
      </c>
      <c r="P1314" s="4" t="e">
        <f t="shared" si="100"/>
        <v>#N/A</v>
      </c>
      <c r="Q1314" s="4" t="e">
        <f t="shared" si="101"/>
        <v>#N/A</v>
      </c>
      <c r="R1314" s="4" t="e">
        <f>IF(AND(B1314=1,N1314&gt;'Line Follower'!$C$7,SUM(C1314:K1314)&lt;4),1,0)</f>
        <v>#N/A</v>
      </c>
      <c r="S1314" s="4" t="e">
        <f>IF(AND(L1314=1,N1314&lt;'Line Follower'!$C$6,SUM(C1314:K1314)&lt;4),1,0)</f>
        <v>#N/A</v>
      </c>
      <c r="T1314" s="4" t="e">
        <f t="shared" si="102"/>
        <v>#N/A</v>
      </c>
      <c r="U1314" s="5" t="e">
        <f t="shared" si="103"/>
        <v>#N/A</v>
      </c>
      <c r="V1314" s="23" t="e">
        <f t="shared" si="104"/>
        <v>#N/A</v>
      </c>
    </row>
    <row r="1315" spans="2:22" x14ac:dyDescent="0.25">
      <c r="B1315" s="16">
        <v>0</v>
      </c>
      <c r="C1315" s="7">
        <v>0</v>
      </c>
      <c r="D1315" s="8">
        <v>0</v>
      </c>
      <c r="E1315" s="8">
        <v>0</v>
      </c>
      <c r="F1315" s="8">
        <v>0</v>
      </c>
      <c r="G1315" s="8">
        <v>1</v>
      </c>
      <c r="H1315" s="8">
        <v>0</v>
      </c>
      <c r="I1315" s="8">
        <v>0</v>
      </c>
      <c r="J1315" s="8">
        <v>1</v>
      </c>
      <c r="K1315" s="9">
        <v>0</v>
      </c>
      <c r="L1315" s="10">
        <v>1</v>
      </c>
      <c r="M1315" s="6">
        <v>0</v>
      </c>
      <c r="N1315" s="37" t="e" cm="1">
        <f t="array" ref="N1315">IF(OR(ISNUMBER(FIND(Aux!$D$3:$D$9,_xlfn.TEXTJOIN(,,C1315:K1315)))),NA(),IF(AND(SUM(C1315:F1315,H1315:K1315)=0,G1315=1),0,INT((SUMPRODUCT(C1315:F1315,COLUMN($A$1:$D$1)-1)+SUMPRODUCT(H1315:K1315,COLUMN($E$1:$H$1)-1))*'Line Follower'!$C$3/SUM(C1315:F1315,H1315:K1315)-'Line Follower'!$C$5)))</f>
        <v>#N/A</v>
      </c>
      <c r="O1315" s="22" t="e">
        <v>#N/A</v>
      </c>
      <c r="P1315" s="4" t="e">
        <f t="shared" si="100"/>
        <v>#N/A</v>
      </c>
      <c r="Q1315" s="4" t="e">
        <f t="shared" si="101"/>
        <v>#N/A</v>
      </c>
      <c r="R1315" s="4" t="e">
        <f>IF(AND(B1315=1,N1315&gt;'Line Follower'!$C$7,SUM(C1315:K1315)&lt;4),1,0)</f>
        <v>#N/A</v>
      </c>
      <c r="S1315" s="4" t="e">
        <f>IF(AND(L1315=1,N1315&lt;'Line Follower'!$C$6,SUM(C1315:K1315)&lt;4),1,0)</f>
        <v>#N/A</v>
      </c>
      <c r="T1315" s="4" t="e">
        <f t="shared" si="102"/>
        <v>#N/A</v>
      </c>
      <c r="U1315" s="5" t="e">
        <f t="shared" si="103"/>
        <v>#N/A</v>
      </c>
      <c r="V1315" s="23" t="e">
        <f t="shared" si="104"/>
        <v>#N/A</v>
      </c>
    </row>
    <row r="1316" spans="2:22" x14ac:dyDescent="0.25">
      <c r="B1316" s="16">
        <v>1</v>
      </c>
      <c r="C1316" s="7">
        <v>0</v>
      </c>
      <c r="D1316" s="8">
        <v>0</v>
      </c>
      <c r="E1316" s="8">
        <v>0</v>
      </c>
      <c r="F1316" s="8">
        <v>0</v>
      </c>
      <c r="G1316" s="8">
        <v>1</v>
      </c>
      <c r="H1316" s="8">
        <v>0</v>
      </c>
      <c r="I1316" s="8">
        <v>0</v>
      </c>
      <c r="J1316" s="8">
        <v>1</v>
      </c>
      <c r="K1316" s="9">
        <v>0</v>
      </c>
      <c r="L1316" s="10">
        <v>1</v>
      </c>
      <c r="M1316" s="6">
        <v>0</v>
      </c>
      <c r="N1316" s="37" t="e" cm="1">
        <f t="array" ref="N1316">IF(OR(ISNUMBER(FIND(Aux!$D$3:$D$9,_xlfn.TEXTJOIN(,,C1316:K1316)))),NA(),IF(AND(SUM(C1316:F1316,H1316:K1316)=0,G1316=1),0,INT((SUMPRODUCT(C1316:F1316,COLUMN($A$1:$D$1)-1)+SUMPRODUCT(H1316:K1316,COLUMN($E$1:$H$1)-1))*'Line Follower'!$C$3/SUM(C1316:F1316,H1316:K1316)-'Line Follower'!$C$5)))</f>
        <v>#N/A</v>
      </c>
      <c r="O1316" s="22" t="e">
        <v>#N/A</v>
      </c>
      <c r="P1316" s="4" t="e">
        <f t="shared" si="100"/>
        <v>#N/A</v>
      </c>
      <c r="Q1316" s="4" t="e">
        <f t="shared" si="101"/>
        <v>#N/A</v>
      </c>
      <c r="R1316" s="4" t="e">
        <f>IF(AND(B1316=1,N1316&gt;'Line Follower'!$C$7,SUM(C1316:K1316)&lt;4),1,0)</f>
        <v>#N/A</v>
      </c>
      <c r="S1316" s="4" t="e">
        <f>IF(AND(L1316=1,N1316&lt;'Line Follower'!$C$6,SUM(C1316:K1316)&lt;4),1,0)</f>
        <v>#N/A</v>
      </c>
      <c r="T1316" s="4" t="e">
        <f t="shared" si="102"/>
        <v>#N/A</v>
      </c>
      <c r="U1316" s="5" t="e">
        <f t="shared" si="103"/>
        <v>#N/A</v>
      </c>
      <c r="V1316" s="23" t="e">
        <f t="shared" si="104"/>
        <v>#N/A</v>
      </c>
    </row>
    <row r="1317" spans="2:22" x14ac:dyDescent="0.25">
      <c r="B1317" s="16">
        <v>0</v>
      </c>
      <c r="C1317" s="7">
        <v>1</v>
      </c>
      <c r="D1317" s="8">
        <v>0</v>
      </c>
      <c r="E1317" s="8">
        <v>0</v>
      </c>
      <c r="F1317" s="8">
        <v>0</v>
      </c>
      <c r="G1317" s="8">
        <v>1</v>
      </c>
      <c r="H1317" s="8">
        <v>0</v>
      </c>
      <c r="I1317" s="8">
        <v>0</v>
      </c>
      <c r="J1317" s="8">
        <v>1</v>
      </c>
      <c r="K1317" s="9">
        <v>0</v>
      </c>
      <c r="L1317" s="10">
        <v>1</v>
      </c>
      <c r="M1317" s="6">
        <v>0</v>
      </c>
      <c r="N1317" s="37" t="e" cm="1">
        <f t="array" ref="N1317">IF(OR(ISNUMBER(FIND(Aux!$D$3:$D$9,_xlfn.TEXTJOIN(,,C1317:K1317)))),NA(),IF(AND(SUM(C1317:F1317,H1317:K1317)=0,G1317=1),0,INT((SUMPRODUCT(C1317:F1317,COLUMN($A$1:$D$1)-1)+SUMPRODUCT(H1317:K1317,COLUMN($E$1:$H$1)-1))*'Line Follower'!$C$3/SUM(C1317:F1317,H1317:K1317)-'Line Follower'!$C$5)))</f>
        <v>#N/A</v>
      </c>
      <c r="O1317" s="22" t="e">
        <v>#N/A</v>
      </c>
      <c r="P1317" s="4" t="e">
        <f t="shared" si="100"/>
        <v>#N/A</v>
      </c>
      <c r="Q1317" s="4" t="e">
        <f t="shared" si="101"/>
        <v>#N/A</v>
      </c>
      <c r="R1317" s="4" t="e">
        <f>IF(AND(B1317=1,N1317&gt;'Line Follower'!$C$7,SUM(C1317:K1317)&lt;4),1,0)</f>
        <v>#N/A</v>
      </c>
      <c r="S1317" s="4" t="e">
        <f>IF(AND(L1317=1,N1317&lt;'Line Follower'!$C$6,SUM(C1317:K1317)&lt;4),1,0)</f>
        <v>#N/A</v>
      </c>
      <c r="T1317" s="4" t="e">
        <f t="shared" si="102"/>
        <v>#N/A</v>
      </c>
      <c r="U1317" s="5" t="e">
        <f t="shared" si="103"/>
        <v>#N/A</v>
      </c>
      <c r="V1317" s="23" t="e">
        <f t="shared" si="104"/>
        <v>#N/A</v>
      </c>
    </row>
    <row r="1318" spans="2:22" x14ac:dyDescent="0.25">
      <c r="B1318" s="16">
        <v>1</v>
      </c>
      <c r="C1318" s="7">
        <v>1</v>
      </c>
      <c r="D1318" s="8">
        <v>0</v>
      </c>
      <c r="E1318" s="8">
        <v>0</v>
      </c>
      <c r="F1318" s="8">
        <v>0</v>
      </c>
      <c r="G1318" s="8">
        <v>1</v>
      </c>
      <c r="H1318" s="8">
        <v>0</v>
      </c>
      <c r="I1318" s="8">
        <v>0</v>
      </c>
      <c r="J1318" s="8">
        <v>1</v>
      </c>
      <c r="K1318" s="9">
        <v>0</v>
      </c>
      <c r="L1318" s="10">
        <v>1</v>
      </c>
      <c r="M1318" s="6">
        <v>0</v>
      </c>
      <c r="N1318" s="37" t="e" cm="1">
        <f t="array" ref="N1318">IF(OR(ISNUMBER(FIND(Aux!$D$3:$D$9,_xlfn.TEXTJOIN(,,C1318:K1318)))),NA(),IF(AND(SUM(C1318:F1318,H1318:K1318)=0,G1318=1),0,INT((SUMPRODUCT(C1318:F1318,COLUMN($A$1:$D$1)-1)+SUMPRODUCT(H1318:K1318,COLUMN($E$1:$H$1)-1))*'Line Follower'!$C$3/SUM(C1318:F1318,H1318:K1318)-'Line Follower'!$C$5)))</f>
        <v>#N/A</v>
      </c>
      <c r="O1318" s="22" t="e">
        <v>#N/A</v>
      </c>
      <c r="P1318" s="4" t="e">
        <f t="shared" si="100"/>
        <v>#N/A</v>
      </c>
      <c r="Q1318" s="4" t="e">
        <f t="shared" si="101"/>
        <v>#N/A</v>
      </c>
      <c r="R1318" s="4" t="e">
        <f>IF(AND(B1318=1,N1318&gt;'Line Follower'!$C$7,SUM(C1318:K1318)&lt;4),1,0)</f>
        <v>#N/A</v>
      </c>
      <c r="S1318" s="4" t="e">
        <f>IF(AND(L1318=1,N1318&lt;'Line Follower'!$C$6,SUM(C1318:K1318)&lt;4),1,0)</f>
        <v>#N/A</v>
      </c>
      <c r="T1318" s="4" t="e">
        <f t="shared" si="102"/>
        <v>#N/A</v>
      </c>
      <c r="U1318" s="5" t="e">
        <f t="shared" si="103"/>
        <v>#N/A</v>
      </c>
      <c r="V1318" s="23" t="e">
        <f t="shared" si="104"/>
        <v>#N/A</v>
      </c>
    </row>
    <row r="1319" spans="2:22" x14ac:dyDescent="0.25">
      <c r="B1319" s="16">
        <v>0</v>
      </c>
      <c r="C1319" s="7">
        <v>0</v>
      </c>
      <c r="D1319" s="8">
        <v>1</v>
      </c>
      <c r="E1319" s="8">
        <v>0</v>
      </c>
      <c r="F1319" s="8">
        <v>0</v>
      </c>
      <c r="G1319" s="8">
        <v>1</v>
      </c>
      <c r="H1319" s="8">
        <v>0</v>
      </c>
      <c r="I1319" s="8">
        <v>0</v>
      </c>
      <c r="J1319" s="8">
        <v>1</v>
      </c>
      <c r="K1319" s="9">
        <v>0</v>
      </c>
      <c r="L1319" s="10">
        <v>1</v>
      </c>
      <c r="M1319" s="6">
        <v>0</v>
      </c>
      <c r="N1319" s="37" t="e" cm="1">
        <f t="array" ref="N1319">IF(OR(ISNUMBER(FIND(Aux!$D$3:$D$9,_xlfn.TEXTJOIN(,,C1319:K1319)))),NA(),IF(AND(SUM(C1319:F1319,H1319:K1319)=0,G1319=1),0,INT((SUMPRODUCT(C1319:F1319,COLUMN($A$1:$D$1)-1)+SUMPRODUCT(H1319:K1319,COLUMN($E$1:$H$1)-1))*'Line Follower'!$C$3/SUM(C1319:F1319,H1319:K1319)-'Line Follower'!$C$5)))</f>
        <v>#N/A</v>
      </c>
      <c r="O1319" s="22" t="e">
        <v>#N/A</v>
      </c>
      <c r="P1319" s="4" t="e">
        <f t="shared" si="100"/>
        <v>#N/A</v>
      </c>
      <c r="Q1319" s="4" t="e">
        <f t="shared" si="101"/>
        <v>#N/A</v>
      </c>
      <c r="R1319" s="4" t="e">
        <f>IF(AND(B1319=1,N1319&gt;'Line Follower'!$C$7,SUM(C1319:K1319)&lt;4),1,0)</f>
        <v>#N/A</v>
      </c>
      <c r="S1319" s="4" t="e">
        <f>IF(AND(L1319=1,N1319&lt;'Line Follower'!$C$6,SUM(C1319:K1319)&lt;4),1,0)</f>
        <v>#N/A</v>
      </c>
      <c r="T1319" s="4" t="e">
        <f t="shared" si="102"/>
        <v>#N/A</v>
      </c>
      <c r="U1319" s="5" t="e">
        <f t="shared" si="103"/>
        <v>#N/A</v>
      </c>
      <c r="V1319" s="23" t="e">
        <f t="shared" si="104"/>
        <v>#N/A</v>
      </c>
    </row>
    <row r="1320" spans="2:22" x14ac:dyDescent="0.25">
      <c r="B1320" s="16">
        <v>1</v>
      </c>
      <c r="C1320" s="7">
        <v>0</v>
      </c>
      <c r="D1320" s="8">
        <v>1</v>
      </c>
      <c r="E1320" s="8">
        <v>0</v>
      </c>
      <c r="F1320" s="8">
        <v>0</v>
      </c>
      <c r="G1320" s="8">
        <v>1</v>
      </c>
      <c r="H1320" s="8">
        <v>0</v>
      </c>
      <c r="I1320" s="8">
        <v>0</v>
      </c>
      <c r="J1320" s="8">
        <v>1</v>
      </c>
      <c r="K1320" s="9">
        <v>0</v>
      </c>
      <c r="L1320" s="10">
        <v>1</v>
      </c>
      <c r="M1320" s="6">
        <v>0</v>
      </c>
      <c r="N1320" s="37" t="e" cm="1">
        <f t="array" ref="N1320">IF(OR(ISNUMBER(FIND(Aux!$D$3:$D$9,_xlfn.TEXTJOIN(,,C1320:K1320)))),NA(),IF(AND(SUM(C1320:F1320,H1320:K1320)=0,G1320=1),0,INT((SUMPRODUCT(C1320:F1320,COLUMN($A$1:$D$1)-1)+SUMPRODUCT(H1320:K1320,COLUMN($E$1:$H$1)-1))*'Line Follower'!$C$3/SUM(C1320:F1320,H1320:K1320)-'Line Follower'!$C$5)))</f>
        <v>#N/A</v>
      </c>
      <c r="O1320" s="22" t="e">
        <v>#N/A</v>
      </c>
      <c r="P1320" s="4" t="e">
        <f t="shared" si="100"/>
        <v>#N/A</v>
      </c>
      <c r="Q1320" s="4" t="e">
        <f t="shared" si="101"/>
        <v>#N/A</v>
      </c>
      <c r="R1320" s="4" t="e">
        <f>IF(AND(B1320=1,N1320&gt;'Line Follower'!$C$7,SUM(C1320:K1320)&lt;4),1,0)</f>
        <v>#N/A</v>
      </c>
      <c r="S1320" s="4" t="e">
        <f>IF(AND(L1320=1,N1320&lt;'Line Follower'!$C$6,SUM(C1320:K1320)&lt;4),1,0)</f>
        <v>#N/A</v>
      </c>
      <c r="T1320" s="4" t="e">
        <f t="shared" si="102"/>
        <v>#N/A</v>
      </c>
      <c r="U1320" s="5" t="e">
        <f t="shared" si="103"/>
        <v>#N/A</v>
      </c>
      <c r="V1320" s="23" t="e">
        <f t="shared" si="104"/>
        <v>#N/A</v>
      </c>
    </row>
    <row r="1321" spans="2:22" x14ac:dyDescent="0.25">
      <c r="B1321" s="16">
        <v>0</v>
      </c>
      <c r="C1321" s="7">
        <v>1</v>
      </c>
      <c r="D1321" s="8">
        <v>1</v>
      </c>
      <c r="E1321" s="8">
        <v>0</v>
      </c>
      <c r="F1321" s="8">
        <v>0</v>
      </c>
      <c r="G1321" s="8">
        <v>1</v>
      </c>
      <c r="H1321" s="8">
        <v>0</v>
      </c>
      <c r="I1321" s="8">
        <v>0</v>
      </c>
      <c r="J1321" s="8">
        <v>1</v>
      </c>
      <c r="K1321" s="9">
        <v>0</v>
      </c>
      <c r="L1321" s="10">
        <v>1</v>
      </c>
      <c r="M1321" s="6">
        <v>0</v>
      </c>
      <c r="N1321" s="37" t="e" cm="1">
        <f t="array" ref="N1321">IF(OR(ISNUMBER(FIND(Aux!$D$3:$D$9,_xlfn.TEXTJOIN(,,C1321:K1321)))),NA(),IF(AND(SUM(C1321:F1321,H1321:K1321)=0,G1321=1),0,INT((SUMPRODUCT(C1321:F1321,COLUMN($A$1:$D$1)-1)+SUMPRODUCT(H1321:K1321,COLUMN($E$1:$H$1)-1))*'Line Follower'!$C$3/SUM(C1321:F1321,H1321:K1321)-'Line Follower'!$C$5)))</f>
        <v>#N/A</v>
      </c>
      <c r="O1321" s="22" t="e">
        <v>#N/A</v>
      </c>
      <c r="P1321" s="4" t="e">
        <f t="shared" si="100"/>
        <v>#N/A</v>
      </c>
      <c r="Q1321" s="4" t="e">
        <f t="shared" si="101"/>
        <v>#N/A</v>
      </c>
      <c r="R1321" s="4" t="e">
        <f>IF(AND(B1321=1,N1321&gt;'Line Follower'!$C$7,SUM(C1321:K1321)&lt;4),1,0)</f>
        <v>#N/A</v>
      </c>
      <c r="S1321" s="4" t="e">
        <f>IF(AND(L1321=1,N1321&lt;'Line Follower'!$C$6,SUM(C1321:K1321)&lt;4),1,0)</f>
        <v>#N/A</v>
      </c>
      <c r="T1321" s="4" t="e">
        <f t="shared" si="102"/>
        <v>#N/A</v>
      </c>
      <c r="U1321" s="5" t="e">
        <f t="shared" si="103"/>
        <v>#N/A</v>
      </c>
      <c r="V1321" s="23" t="e">
        <f t="shared" si="104"/>
        <v>#N/A</v>
      </c>
    </row>
    <row r="1322" spans="2:22" x14ac:dyDescent="0.25">
      <c r="B1322" s="16">
        <v>1</v>
      </c>
      <c r="C1322" s="7">
        <v>1</v>
      </c>
      <c r="D1322" s="8">
        <v>1</v>
      </c>
      <c r="E1322" s="8">
        <v>0</v>
      </c>
      <c r="F1322" s="8">
        <v>0</v>
      </c>
      <c r="G1322" s="8">
        <v>1</v>
      </c>
      <c r="H1322" s="8">
        <v>0</v>
      </c>
      <c r="I1322" s="8">
        <v>0</v>
      </c>
      <c r="J1322" s="8">
        <v>1</v>
      </c>
      <c r="K1322" s="9">
        <v>0</v>
      </c>
      <c r="L1322" s="10">
        <v>1</v>
      </c>
      <c r="M1322" s="6">
        <v>0</v>
      </c>
      <c r="N1322" s="37" t="e" cm="1">
        <f t="array" ref="N1322">IF(OR(ISNUMBER(FIND(Aux!$D$3:$D$9,_xlfn.TEXTJOIN(,,C1322:K1322)))),NA(),IF(AND(SUM(C1322:F1322,H1322:K1322)=0,G1322=1),0,INT((SUMPRODUCT(C1322:F1322,COLUMN($A$1:$D$1)-1)+SUMPRODUCT(H1322:K1322,COLUMN($E$1:$H$1)-1))*'Line Follower'!$C$3/SUM(C1322:F1322,H1322:K1322)-'Line Follower'!$C$5)))</f>
        <v>#N/A</v>
      </c>
      <c r="O1322" s="22" t="e">
        <v>#N/A</v>
      </c>
      <c r="P1322" s="4" t="e">
        <f t="shared" si="100"/>
        <v>#N/A</v>
      </c>
      <c r="Q1322" s="4" t="e">
        <f t="shared" si="101"/>
        <v>#N/A</v>
      </c>
      <c r="R1322" s="4" t="e">
        <f>IF(AND(B1322=1,N1322&gt;'Line Follower'!$C$7,SUM(C1322:K1322)&lt;4),1,0)</f>
        <v>#N/A</v>
      </c>
      <c r="S1322" s="4" t="e">
        <f>IF(AND(L1322=1,N1322&lt;'Line Follower'!$C$6,SUM(C1322:K1322)&lt;4),1,0)</f>
        <v>#N/A</v>
      </c>
      <c r="T1322" s="4" t="e">
        <f t="shared" si="102"/>
        <v>#N/A</v>
      </c>
      <c r="U1322" s="5" t="e">
        <f t="shared" si="103"/>
        <v>#N/A</v>
      </c>
      <c r="V1322" s="23" t="e">
        <f t="shared" si="104"/>
        <v>#N/A</v>
      </c>
    </row>
    <row r="1323" spans="2:22" x14ac:dyDescent="0.25">
      <c r="B1323" s="16">
        <v>0</v>
      </c>
      <c r="C1323" s="7">
        <v>0</v>
      </c>
      <c r="D1323" s="8">
        <v>0</v>
      </c>
      <c r="E1323" s="8">
        <v>1</v>
      </c>
      <c r="F1323" s="8">
        <v>0</v>
      </c>
      <c r="G1323" s="8">
        <v>1</v>
      </c>
      <c r="H1323" s="8">
        <v>0</v>
      </c>
      <c r="I1323" s="8">
        <v>0</v>
      </c>
      <c r="J1323" s="8">
        <v>1</v>
      </c>
      <c r="K1323" s="9">
        <v>0</v>
      </c>
      <c r="L1323" s="10">
        <v>1</v>
      </c>
      <c r="M1323" s="6">
        <v>0</v>
      </c>
      <c r="N1323" s="37" t="e" cm="1">
        <f t="array" ref="N1323">IF(OR(ISNUMBER(FIND(Aux!$D$3:$D$9,_xlfn.TEXTJOIN(,,C1323:K1323)))),NA(),IF(AND(SUM(C1323:F1323,H1323:K1323)=0,G1323=1),0,INT((SUMPRODUCT(C1323:F1323,COLUMN($A$1:$D$1)-1)+SUMPRODUCT(H1323:K1323,COLUMN($E$1:$H$1)-1))*'Line Follower'!$C$3/SUM(C1323:F1323,H1323:K1323)-'Line Follower'!$C$5)))</f>
        <v>#N/A</v>
      </c>
      <c r="O1323" s="22" t="e">
        <v>#N/A</v>
      </c>
      <c r="P1323" s="4" t="e">
        <f t="shared" si="100"/>
        <v>#N/A</v>
      </c>
      <c r="Q1323" s="4" t="e">
        <f t="shared" si="101"/>
        <v>#N/A</v>
      </c>
      <c r="R1323" s="4" t="e">
        <f>IF(AND(B1323=1,N1323&gt;'Line Follower'!$C$7,SUM(C1323:K1323)&lt;4),1,0)</f>
        <v>#N/A</v>
      </c>
      <c r="S1323" s="4" t="e">
        <f>IF(AND(L1323=1,N1323&lt;'Line Follower'!$C$6,SUM(C1323:K1323)&lt;4),1,0)</f>
        <v>#N/A</v>
      </c>
      <c r="T1323" s="4" t="e">
        <f t="shared" si="102"/>
        <v>#N/A</v>
      </c>
      <c r="U1323" s="5" t="e">
        <f t="shared" si="103"/>
        <v>#N/A</v>
      </c>
      <c r="V1323" s="23" t="e">
        <f t="shared" si="104"/>
        <v>#N/A</v>
      </c>
    </row>
    <row r="1324" spans="2:22" x14ac:dyDescent="0.25">
      <c r="B1324" s="16">
        <v>1</v>
      </c>
      <c r="C1324" s="7">
        <v>0</v>
      </c>
      <c r="D1324" s="8">
        <v>0</v>
      </c>
      <c r="E1324" s="8">
        <v>1</v>
      </c>
      <c r="F1324" s="8">
        <v>0</v>
      </c>
      <c r="G1324" s="8">
        <v>1</v>
      </c>
      <c r="H1324" s="8">
        <v>0</v>
      </c>
      <c r="I1324" s="8">
        <v>0</v>
      </c>
      <c r="J1324" s="8">
        <v>1</v>
      </c>
      <c r="K1324" s="9">
        <v>0</v>
      </c>
      <c r="L1324" s="10">
        <v>1</v>
      </c>
      <c r="M1324" s="6">
        <v>0</v>
      </c>
      <c r="N1324" s="37" t="e" cm="1">
        <f t="array" ref="N1324">IF(OR(ISNUMBER(FIND(Aux!$D$3:$D$9,_xlfn.TEXTJOIN(,,C1324:K1324)))),NA(),IF(AND(SUM(C1324:F1324,H1324:K1324)=0,G1324=1),0,INT((SUMPRODUCT(C1324:F1324,COLUMN($A$1:$D$1)-1)+SUMPRODUCT(H1324:K1324,COLUMN($E$1:$H$1)-1))*'Line Follower'!$C$3/SUM(C1324:F1324,H1324:K1324)-'Line Follower'!$C$5)))</f>
        <v>#N/A</v>
      </c>
      <c r="O1324" s="22" t="e">
        <v>#N/A</v>
      </c>
      <c r="P1324" s="4" t="e">
        <f t="shared" si="100"/>
        <v>#N/A</v>
      </c>
      <c r="Q1324" s="4" t="e">
        <f t="shared" si="101"/>
        <v>#N/A</v>
      </c>
      <c r="R1324" s="4" t="e">
        <f>IF(AND(B1324=1,N1324&gt;'Line Follower'!$C$7,SUM(C1324:K1324)&lt;4),1,0)</f>
        <v>#N/A</v>
      </c>
      <c r="S1324" s="4" t="e">
        <f>IF(AND(L1324=1,N1324&lt;'Line Follower'!$C$6,SUM(C1324:K1324)&lt;4),1,0)</f>
        <v>#N/A</v>
      </c>
      <c r="T1324" s="4" t="e">
        <f t="shared" si="102"/>
        <v>#N/A</v>
      </c>
      <c r="U1324" s="5" t="e">
        <f t="shared" si="103"/>
        <v>#N/A</v>
      </c>
      <c r="V1324" s="23" t="e">
        <f t="shared" si="104"/>
        <v>#N/A</v>
      </c>
    </row>
    <row r="1325" spans="2:22" x14ac:dyDescent="0.25">
      <c r="B1325" s="16">
        <v>0</v>
      </c>
      <c r="C1325" s="7">
        <v>1</v>
      </c>
      <c r="D1325" s="8">
        <v>0</v>
      </c>
      <c r="E1325" s="8">
        <v>1</v>
      </c>
      <c r="F1325" s="8">
        <v>0</v>
      </c>
      <c r="G1325" s="8">
        <v>1</v>
      </c>
      <c r="H1325" s="8">
        <v>0</v>
      </c>
      <c r="I1325" s="8">
        <v>0</v>
      </c>
      <c r="J1325" s="8">
        <v>1</v>
      </c>
      <c r="K1325" s="9">
        <v>0</v>
      </c>
      <c r="L1325" s="10">
        <v>1</v>
      </c>
      <c r="M1325" s="6">
        <v>0</v>
      </c>
      <c r="N1325" s="37" t="e" cm="1">
        <f t="array" ref="N1325">IF(OR(ISNUMBER(FIND(Aux!$D$3:$D$9,_xlfn.TEXTJOIN(,,C1325:K1325)))),NA(),IF(AND(SUM(C1325:F1325,H1325:K1325)=0,G1325=1),0,INT((SUMPRODUCT(C1325:F1325,COLUMN($A$1:$D$1)-1)+SUMPRODUCT(H1325:K1325,COLUMN($E$1:$H$1)-1))*'Line Follower'!$C$3/SUM(C1325:F1325,H1325:K1325)-'Line Follower'!$C$5)))</f>
        <v>#N/A</v>
      </c>
      <c r="O1325" s="22" t="e">
        <v>#N/A</v>
      </c>
      <c r="P1325" s="4" t="e">
        <f t="shared" si="100"/>
        <v>#N/A</v>
      </c>
      <c r="Q1325" s="4" t="e">
        <f t="shared" si="101"/>
        <v>#N/A</v>
      </c>
      <c r="R1325" s="4" t="e">
        <f>IF(AND(B1325=1,N1325&gt;'Line Follower'!$C$7,SUM(C1325:K1325)&lt;4),1,0)</f>
        <v>#N/A</v>
      </c>
      <c r="S1325" s="4" t="e">
        <f>IF(AND(L1325=1,N1325&lt;'Line Follower'!$C$6,SUM(C1325:K1325)&lt;4),1,0)</f>
        <v>#N/A</v>
      </c>
      <c r="T1325" s="4" t="e">
        <f t="shared" si="102"/>
        <v>#N/A</v>
      </c>
      <c r="U1325" s="5" t="e">
        <f t="shared" si="103"/>
        <v>#N/A</v>
      </c>
      <c r="V1325" s="23" t="e">
        <f t="shared" si="104"/>
        <v>#N/A</v>
      </c>
    </row>
    <row r="1326" spans="2:22" x14ac:dyDescent="0.25">
      <c r="B1326" s="16">
        <v>1</v>
      </c>
      <c r="C1326" s="7">
        <v>1</v>
      </c>
      <c r="D1326" s="8">
        <v>0</v>
      </c>
      <c r="E1326" s="8">
        <v>1</v>
      </c>
      <c r="F1326" s="8">
        <v>0</v>
      </c>
      <c r="G1326" s="8">
        <v>1</v>
      </c>
      <c r="H1326" s="8">
        <v>0</v>
      </c>
      <c r="I1326" s="8">
        <v>0</v>
      </c>
      <c r="J1326" s="8">
        <v>1</v>
      </c>
      <c r="K1326" s="9">
        <v>0</v>
      </c>
      <c r="L1326" s="10">
        <v>1</v>
      </c>
      <c r="M1326" s="6">
        <v>0</v>
      </c>
      <c r="N1326" s="37" t="e" cm="1">
        <f t="array" ref="N1326">IF(OR(ISNUMBER(FIND(Aux!$D$3:$D$9,_xlfn.TEXTJOIN(,,C1326:K1326)))),NA(),IF(AND(SUM(C1326:F1326,H1326:K1326)=0,G1326=1),0,INT((SUMPRODUCT(C1326:F1326,COLUMN($A$1:$D$1)-1)+SUMPRODUCT(H1326:K1326,COLUMN($E$1:$H$1)-1))*'Line Follower'!$C$3/SUM(C1326:F1326,H1326:K1326)-'Line Follower'!$C$5)))</f>
        <v>#N/A</v>
      </c>
      <c r="O1326" s="22" t="e">
        <v>#N/A</v>
      </c>
      <c r="P1326" s="4" t="e">
        <f t="shared" si="100"/>
        <v>#N/A</v>
      </c>
      <c r="Q1326" s="4" t="e">
        <f t="shared" si="101"/>
        <v>#N/A</v>
      </c>
      <c r="R1326" s="4" t="e">
        <f>IF(AND(B1326=1,N1326&gt;'Line Follower'!$C$7,SUM(C1326:K1326)&lt;4),1,0)</f>
        <v>#N/A</v>
      </c>
      <c r="S1326" s="4" t="e">
        <f>IF(AND(L1326=1,N1326&lt;'Line Follower'!$C$6,SUM(C1326:K1326)&lt;4),1,0)</f>
        <v>#N/A</v>
      </c>
      <c r="T1326" s="4" t="e">
        <f t="shared" si="102"/>
        <v>#N/A</v>
      </c>
      <c r="U1326" s="5" t="e">
        <f t="shared" si="103"/>
        <v>#N/A</v>
      </c>
      <c r="V1326" s="23" t="e">
        <f t="shared" si="104"/>
        <v>#N/A</v>
      </c>
    </row>
    <row r="1327" spans="2:22" x14ac:dyDescent="0.25">
      <c r="B1327" s="16">
        <v>0</v>
      </c>
      <c r="C1327" s="7">
        <v>0</v>
      </c>
      <c r="D1327" s="8">
        <v>1</v>
      </c>
      <c r="E1327" s="8">
        <v>1</v>
      </c>
      <c r="F1327" s="8">
        <v>0</v>
      </c>
      <c r="G1327" s="8">
        <v>1</v>
      </c>
      <c r="H1327" s="8">
        <v>0</v>
      </c>
      <c r="I1327" s="8">
        <v>0</v>
      </c>
      <c r="J1327" s="8">
        <v>1</v>
      </c>
      <c r="K1327" s="9">
        <v>0</v>
      </c>
      <c r="L1327" s="10">
        <v>1</v>
      </c>
      <c r="M1327" s="6">
        <v>0</v>
      </c>
      <c r="N1327" s="37" t="e" cm="1">
        <f t="array" ref="N1327">IF(OR(ISNUMBER(FIND(Aux!$D$3:$D$9,_xlfn.TEXTJOIN(,,C1327:K1327)))),NA(),IF(AND(SUM(C1327:F1327,H1327:K1327)=0,G1327=1),0,INT((SUMPRODUCT(C1327:F1327,COLUMN($A$1:$D$1)-1)+SUMPRODUCT(H1327:K1327,COLUMN($E$1:$H$1)-1))*'Line Follower'!$C$3/SUM(C1327:F1327,H1327:K1327)-'Line Follower'!$C$5)))</f>
        <v>#N/A</v>
      </c>
      <c r="O1327" s="22" t="e">
        <v>#N/A</v>
      </c>
      <c r="P1327" s="4" t="e">
        <f t="shared" si="100"/>
        <v>#N/A</v>
      </c>
      <c r="Q1327" s="4" t="e">
        <f t="shared" si="101"/>
        <v>#N/A</v>
      </c>
      <c r="R1327" s="4" t="e">
        <f>IF(AND(B1327=1,N1327&gt;'Line Follower'!$C$7,SUM(C1327:K1327)&lt;4),1,0)</f>
        <v>#N/A</v>
      </c>
      <c r="S1327" s="4" t="e">
        <f>IF(AND(L1327=1,N1327&lt;'Line Follower'!$C$6,SUM(C1327:K1327)&lt;4),1,0)</f>
        <v>#N/A</v>
      </c>
      <c r="T1327" s="4" t="e">
        <f t="shared" si="102"/>
        <v>#N/A</v>
      </c>
      <c r="U1327" s="5" t="e">
        <f t="shared" si="103"/>
        <v>#N/A</v>
      </c>
      <c r="V1327" s="23" t="e">
        <f t="shared" si="104"/>
        <v>#N/A</v>
      </c>
    </row>
    <row r="1328" spans="2:22" x14ac:dyDescent="0.25">
      <c r="B1328" s="16">
        <v>1</v>
      </c>
      <c r="C1328" s="7">
        <v>0</v>
      </c>
      <c r="D1328" s="8">
        <v>1</v>
      </c>
      <c r="E1328" s="8">
        <v>1</v>
      </c>
      <c r="F1328" s="8">
        <v>0</v>
      </c>
      <c r="G1328" s="8">
        <v>1</v>
      </c>
      <c r="H1328" s="8">
        <v>0</v>
      </c>
      <c r="I1328" s="8">
        <v>0</v>
      </c>
      <c r="J1328" s="8">
        <v>1</v>
      </c>
      <c r="K1328" s="9">
        <v>0</v>
      </c>
      <c r="L1328" s="10">
        <v>1</v>
      </c>
      <c r="M1328" s="6">
        <v>0</v>
      </c>
      <c r="N1328" s="37" t="e" cm="1">
        <f t="array" ref="N1328">IF(OR(ISNUMBER(FIND(Aux!$D$3:$D$9,_xlfn.TEXTJOIN(,,C1328:K1328)))),NA(),IF(AND(SUM(C1328:F1328,H1328:K1328)=0,G1328=1),0,INT((SUMPRODUCT(C1328:F1328,COLUMN($A$1:$D$1)-1)+SUMPRODUCT(H1328:K1328,COLUMN($E$1:$H$1)-1))*'Line Follower'!$C$3/SUM(C1328:F1328,H1328:K1328)-'Line Follower'!$C$5)))</f>
        <v>#N/A</v>
      </c>
      <c r="O1328" s="22" t="e">
        <v>#N/A</v>
      </c>
      <c r="P1328" s="4" t="e">
        <f t="shared" si="100"/>
        <v>#N/A</v>
      </c>
      <c r="Q1328" s="4" t="e">
        <f t="shared" si="101"/>
        <v>#N/A</v>
      </c>
      <c r="R1328" s="4" t="e">
        <f>IF(AND(B1328=1,N1328&gt;'Line Follower'!$C$7,SUM(C1328:K1328)&lt;4),1,0)</f>
        <v>#N/A</v>
      </c>
      <c r="S1328" s="4" t="e">
        <f>IF(AND(L1328=1,N1328&lt;'Line Follower'!$C$6,SUM(C1328:K1328)&lt;4),1,0)</f>
        <v>#N/A</v>
      </c>
      <c r="T1328" s="4" t="e">
        <f t="shared" si="102"/>
        <v>#N/A</v>
      </c>
      <c r="U1328" s="5" t="e">
        <f t="shared" si="103"/>
        <v>#N/A</v>
      </c>
      <c r="V1328" s="23" t="e">
        <f t="shared" si="104"/>
        <v>#N/A</v>
      </c>
    </row>
    <row r="1329" spans="2:22" x14ac:dyDescent="0.25">
      <c r="B1329" s="16">
        <v>0</v>
      </c>
      <c r="C1329" s="7">
        <v>1</v>
      </c>
      <c r="D1329" s="8">
        <v>1</v>
      </c>
      <c r="E1329" s="8">
        <v>1</v>
      </c>
      <c r="F1329" s="8">
        <v>0</v>
      </c>
      <c r="G1329" s="8">
        <v>1</v>
      </c>
      <c r="H1329" s="8">
        <v>0</v>
      </c>
      <c r="I1329" s="8">
        <v>0</v>
      </c>
      <c r="J1329" s="8">
        <v>1</v>
      </c>
      <c r="K1329" s="9">
        <v>0</v>
      </c>
      <c r="L1329" s="10">
        <v>1</v>
      </c>
      <c r="M1329" s="6">
        <v>0</v>
      </c>
      <c r="N1329" s="37" t="e" cm="1">
        <f t="array" ref="N1329">IF(OR(ISNUMBER(FIND(Aux!$D$3:$D$9,_xlfn.TEXTJOIN(,,C1329:K1329)))),NA(),IF(AND(SUM(C1329:F1329,H1329:K1329)=0,G1329=1),0,INT((SUMPRODUCT(C1329:F1329,COLUMN($A$1:$D$1)-1)+SUMPRODUCT(H1329:K1329,COLUMN($E$1:$H$1)-1))*'Line Follower'!$C$3/SUM(C1329:F1329,H1329:K1329)-'Line Follower'!$C$5)))</f>
        <v>#N/A</v>
      </c>
      <c r="O1329" s="22" t="e">
        <v>#N/A</v>
      </c>
      <c r="P1329" s="4" t="e">
        <f t="shared" si="100"/>
        <v>#N/A</v>
      </c>
      <c r="Q1329" s="4" t="e">
        <f t="shared" si="101"/>
        <v>#N/A</v>
      </c>
      <c r="R1329" s="4" t="e">
        <f>IF(AND(B1329=1,N1329&gt;'Line Follower'!$C$7,SUM(C1329:K1329)&lt;4),1,0)</f>
        <v>#N/A</v>
      </c>
      <c r="S1329" s="4" t="e">
        <f>IF(AND(L1329=1,N1329&lt;'Line Follower'!$C$6,SUM(C1329:K1329)&lt;4),1,0)</f>
        <v>#N/A</v>
      </c>
      <c r="T1329" s="4" t="e">
        <f t="shared" si="102"/>
        <v>#N/A</v>
      </c>
      <c r="U1329" s="5" t="e">
        <f t="shared" si="103"/>
        <v>#N/A</v>
      </c>
      <c r="V1329" s="23" t="e">
        <f t="shared" si="104"/>
        <v>#N/A</v>
      </c>
    </row>
    <row r="1330" spans="2:22" x14ac:dyDescent="0.25">
      <c r="B1330" s="16">
        <v>1</v>
      </c>
      <c r="C1330" s="7">
        <v>1</v>
      </c>
      <c r="D1330" s="8">
        <v>1</v>
      </c>
      <c r="E1330" s="8">
        <v>1</v>
      </c>
      <c r="F1330" s="8">
        <v>0</v>
      </c>
      <c r="G1330" s="8">
        <v>1</v>
      </c>
      <c r="H1330" s="8">
        <v>0</v>
      </c>
      <c r="I1330" s="8">
        <v>0</v>
      </c>
      <c r="J1330" s="8">
        <v>1</v>
      </c>
      <c r="K1330" s="9">
        <v>0</v>
      </c>
      <c r="L1330" s="10">
        <v>1</v>
      </c>
      <c r="M1330" s="6">
        <v>0</v>
      </c>
      <c r="N1330" s="37" t="e" cm="1">
        <f t="array" ref="N1330">IF(OR(ISNUMBER(FIND(Aux!$D$3:$D$9,_xlfn.TEXTJOIN(,,C1330:K1330)))),NA(),IF(AND(SUM(C1330:F1330,H1330:K1330)=0,G1330=1),0,INT((SUMPRODUCT(C1330:F1330,COLUMN($A$1:$D$1)-1)+SUMPRODUCT(H1330:K1330,COLUMN($E$1:$H$1)-1))*'Line Follower'!$C$3/SUM(C1330:F1330,H1330:K1330)-'Line Follower'!$C$5)))</f>
        <v>#N/A</v>
      </c>
      <c r="O1330" s="22" t="e">
        <v>#N/A</v>
      </c>
      <c r="P1330" s="4" t="e">
        <f t="shared" si="100"/>
        <v>#N/A</v>
      </c>
      <c r="Q1330" s="4" t="e">
        <f t="shared" si="101"/>
        <v>#N/A</v>
      </c>
      <c r="R1330" s="4" t="e">
        <f>IF(AND(B1330=1,N1330&gt;'Line Follower'!$C$7,SUM(C1330:K1330)&lt;4),1,0)</f>
        <v>#N/A</v>
      </c>
      <c r="S1330" s="4" t="e">
        <f>IF(AND(L1330=1,N1330&lt;'Line Follower'!$C$6,SUM(C1330:K1330)&lt;4),1,0)</f>
        <v>#N/A</v>
      </c>
      <c r="T1330" s="4" t="e">
        <f t="shared" si="102"/>
        <v>#N/A</v>
      </c>
      <c r="U1330" s="5" t="e">
        <f t="shared" si="103"/>
        <v>#N/A</v>
      </c>
      <c r="V1330" s="23" t="e">
        <f t="shared" si="104"/>
        <v>#N/A</v>
      </c>
    </row>
    <row r="1331" spans="2:22" x14ac:dyDescent="0.25">
      <c r="B1331" s="16">
        <v>0</v>
      </c>
      <c r="C1331" s="7">
        <v>0</v>
      </c>
      <c r="D1331" s="8">
        <v>0</v>
      </c>
      <c r="E1331" s="8">
        <v>0</v>
      </c>
      <c r="F1331" s="8">
        <v>1</v>
      </c>
      <c r="G1331" s="8">
        <v>1</v>
      </c>
      <c r="H1331" s="8">
        <v>0</v>
      </c>
      <c r="I1331" s="8">
        <v>0</v>
      </c>
      <c r="J1331" s="8">
        <v>1</v>
      </c>
      <c r="K1331" s="9">
        <v>0</v>
      </c>
      <c r="L1331" s="10">
        <v>1</v>
      </c>
      <c r="M1331" s="6">
        <v>0</v>
      </c>
      <c r="N1331" s="37" t="e" cm="1">
        <f t="array" ref="N1331">IF(OR(ISNUMBER(FIND(Aux!$D$3:$D$9,_xlfn.TEXTJOIN(,,C1331:K1331)))),NA(),IF(AND(SUM(C1331:F1331,H1331:K1331)=0,G1331=1),0,INT((SUMPRODUCT(C1331:F1331,COLUMN($A$1:$D$1)-1)+SUMPRODUCT(H1331:K1331,COLUMN($E$1:$H$1)-1))*'Line Follower'!$C$3/SUM(C1331:F1331,H1331:K1331)-'Line Follower'!$C$5)))</f>
        <v>#N/A</v>
      </c>
      <c r="O1331" s="22" t="e">
        <v>#N/A</v>
      </c>
      <c r="P1331" s="4" t="e">
        <f t="shared" si="100"/>
        <v>#N/A</v>
      </c>
      <c r="Q1331" s="4" t="e">
        <f t="shared" si="101"/>
        <v>#N/A</v>
      </c>
      <c r="R1331" s="4" t="e">
        <f>IF(AND(B1331=1,N1331&gt;'Line Follower'!$C$7,SUM(C1331:K1331)&lt;4),1,0)</f>
        <v>#N/A</v>
      </c>
      <c r="S1331" s="4" t="e">
        <f>IF(AND(L1331=1,N1331&lt;'Line Follower'!$C$6,SUM(C1331:K1331)&lt;4),1,0)</f>
        <v>#N/A</v>
      </c>
      <c r="T1331" s="4" t="e">
        <f t="shared" si="102"/>
        <v>#N/A</v>
      </c>
      <c r="U1331" s="5" t="e">
        <f t="shared" si="103"/>
        <v>#N/A</v>
      </c>
      <c r="V1331" s="23" t="e">
        <f t="shared" si="104"/>
        <v>#N/A</v>
      </c>
    </row>
    <row r="1332" spans="2:22" x14ac:dyDescent="0.25">
      <c r="B1332" s="16">
        <v>1</v>
      </c>
      <c r="C1332" s="7">
        <v>0</v>
      </c>
      <c r="D1332" s="8">
        <v>0</v>
      </c>
      <c r="E1332" s="8">
        <v>0</v>
      </c>
      <c r="F1332" s="8">
        <v>1</v>
      </c>
      <c r="G1332" s="8">
        <v>1</v>
      </c>
      <c r="H1332" s="8">
        <v>0</v>
      </c>
      <c r="I1332" s="8">
        <v>0</v>
      </c>
      <c r="J1332" s="8">
        <v>1</v>
      </c>
      <c r="K1332" s="9">
        <v>0</v>
      </c>
      <c r="L1332" s="10">
        <v>1</v>
      </c>
      <c r="M1332" s="6">
        <v>0</v>
      </c>
      <c r="N1332" s="37" t="e" cm="1">
        <f t="array" ref="N1332">IF(OR(ISNUMBER(FIND(Aux!$D$3:$D$9,_xlfn.TEXTJOIN(,,C1332:K1332)))),NA(),IF(AND(SUM(C1332:F1332,H1332:K1332)=0,G1332=1),0,INT((SUMPRODUCT(C1332:F1332,COLUMN($A$1:$D$1)-1)+SUMPRODUCT(H1332:K1332,COLUMN($E$1:$H$1)-1))*'Line Follower'!$C$3/SUM(C1332:F1332,H1332:K1332)-'Line Follower'!$C$5)))</f>
        <v>#N/A</v>
      </c>
      <c r="O1332" s="22" t="e">
        <v>#N/A</v>
      </c>
      <c r="P1332" s="4" t="e">
        <f t="shared" si="100"/>
        <v>#N/A</v>
      </c>
      <c r="Q1332" s="4" t="e">
        <f t="shared" si="101"/>
        <v>#N/A</v>
      </c>
      <c r="R1332" s="4" t="e">
        <f>IF(AND(B1332=1,N1332&gt;'Line Follower'!$C$7,SUM(C1332:K1332)&lt;4),1,0)</f>
        <v>#N/A</v>
      </c>
      <c r="S1332" s="4" t="e">
        <f>IF(AND(L1332=1,N1332&lt;'Line Follower'!$C$6,SUM(C1332:K1332)&lt;4),1,0)</f>
        <v>#N/A</v>
      </c>
      <c r="T1332" s="4" t="e">
        <f t="shared" si="102"/>
        <v>#N/A</v>
      </c>
      <c r="U1332" s="5" t="e">
        <f t="shared" si="103"/>
        <v>#N/A</v>
      </c>
      <c r="V1332" s="23" t="e">
        <f t="shared" si="104"/>
        <v>#N/A</v>
      </c>
    </row>
    <row r="1333" spans="2:22" x14ac:dyDescent="0.25">
      <c r="B1333" s="16">
        <v>0</v>
      </c>
      <c r="C1333" s="7">
        <v>1</v>
      </c>
      <c r="D1333" s="8">
        <v>0</v>
      </c>
      <c r="E1333" s="8">
        <v>0</v>
      </c>
      <c r="F1333" s="8">
        <v>1</v>
      </c>
      <c r="G1333" s="8">
        <v>1</v>
      </c>
      <c r="H1333" s="8">
        <v>0</v>
      </c>
      <c r="I1333" s="8">
        <v>0</v>
      </c>
      <c r="J1333" s="8">
        <v>1</v>
      </c>
      <c r="K1333" s="9">
        <v>0</v>
      </c>
      <c r="L1333" s="10">
        <v>1</v>
      </c>
      <c r="M1333" s="6">
        <v>0</v>
      </c>
      <c r="N1333" s="37" t="e" cm="1">
        <f t="array" ref="N1333">IF(OR(ISNUMBER(FIND(Aux!$D$3:$D$9,_xlfn.TEXTJOIN(,,C1333:K1333)))),NA(),IF(AND(SUM(C1333:F1333,H1333:K1333)=0,G1333=1),0,INT((SUMPRODUCT(C1333:F1333,COLUMN($A$1:$D$1)-1)+SUMPRODUCT(H1333:K1333,COLUMN($E$1:$H$1)-1))*'Line Follower'!$C$3/SUM(C1333:F1333,H1333:K1333)-'Line Follower'!$C$5)))</f>
        <v>#N/A</v>
      </c>
      <c r="O1333" s="22" t="e">
        <v>#N/A</v>
      </c>
      <c r="P1333" s="4" t="e">
        <f t="shared" si="100"/>
        <v>#N/A</v>
      </c>
      <c r="Q1333" s="4" t="e">
        <f t="shared" si="101"/>
        <v>#N/A</v>
      </c>
      <c r="R1333" s="4" t="e">
        <f>IF(AND(B1333=1,N1333&gt;'Line Follower'!$C$7,SUM(C1333:K1333)&lt;4),1,0)</f>
        <v>#N/A</v>
      </c>
      <c r="S1333" s="4" t="e">
        <f>IF(AND(L1333=1,N1333&lt;'Line Follower'!$C$6,SUM(C1333:K1333)&lt;4),1,0)</f>
        <v>#N/A</v>
      </c>
      <c r="T1333" s="4" t="e">
        <f t="shared" si="102"/>
        <v>#N/A</v>
      </c>
      <c r="U1333" s="5" t="e">
        <f t="shared" si="103"/>
        <v>#N/A</v>
      </c>
      <c r="V1333" s="23" t="e">
        <f t="shared" si="104"/>
        <v>#N/A</v>
      </c>
    </row>
    <row r="1334" spans="2:22" x14ac:dyDescent="0.25">
      <c r="B1334" s="16">
        <v>1</v>
      </c>
      <c r="C1334" s="7">
        <v>1</v>
      </c>
      <c r="D1334" s="8">
        <v>0</v>
      </c>
      <c r="E1334" s="8">
        <v>0</v>
      </c>
      <c r="F1334" s="8">
        <v>1</v>
      </c>
      <c r="G1334" s="8">
        <v>1</v>
      </c>
      <c r="H1334" s="8">
        <v>0</v>
      </c>
      <c r="I1334" s="8">
        <v>0</v>
      </c>
      <c r="J1334" s="8">
        <v>1</v>
      </c>
      <c r="K1334" s="9">
        <v>0</v>
      </c>
      <c r="L1334" s="10">
        <v>1</v>
      </c>
      <c r="M1334" s="6">
        <v>0</v>
      </c>
      <c r="N1334" s="37" t="e" cm="1">
        <f t="array" ref="N1334">IF(OR(ISNUMBER(FIND(Aux!$D$3:$D$9,_xlfn.TEXTJOIN(,,C1334:K1334)))),NA(),IF(AND(SUM(C1334:F1334,H1334:K1334)=0,G1334=1),0,INT((SUMPRODUCT(C1334:F1334,COLUMN($A$1:$D$1)-1)+SUMPRODUCT(H1334:K1334,COLUMN($E$1:$H$1)-1))*'Line Follower'!$C$3/SUM(C1334:F1334,H1334:K1334)-'Line Follower'!$C$5)))</f>
        <v>#N/A</v>
      </c>
      <c r="O1334" s="22" t="e">
        <v>#N/A</v>
      </c>
      <c r="P1334" s="4" t="e">
        <f t="shared" si="100"/>
        <v>#N/A</v>
      </c>
      <c r="Q1334" s="4" t="e">
        <f t="shared" si="101"/>
        <v>#N/A</v>
      </c>
      <c r="R1334" s="4" t="e">
        <f>IF(AND(B1334=1,N1334&gt;'Line Follower'!$C$7,SUM(C1334:K1334)&lt;4),1,0)</f>
        <v>#N/A</v>
      </c>
      <c r="S1334" s="4" t="e">
        <f>IF(AND(L1334=1,N1334&lt;'Line Follower'!$C$6,SUM(C1334:K1334)&lt;4),1,0)</f>
        <v>#N/A</v>
      </c>
      <c r="T1334" s="4" t="e">
        <f t="shared" si="102"/>
        <v>#N/A</v>
      </c>
      <c r="U1334" s="5" t="e">
        <f t="shared" si="103"/>
        <v>#N/A</v>
      </c>
      <c r="V1334" s="23" t="e">
        <f t="shared" si="104"/>
        <v>#N/A</v>
      </c>
    </row>
    <row r="1335" spans="2:22" x14ac:dyDescent="0.25">
      <c r="B1335" s="16">
        <v>0</v>
      </c>
      <c r="C1335" s="7">
        <v>0</v>
      </c>
      <c r="D1335" s="8">
        <v>1</v>
      </c>
      <c r="E1335" s="8">
        <v>0</v>
      </c>
      <c r="F1335" s="8">
        <v>1</v>
      </c>
      <c r="G1335" s="8">
        <v>1</v>
      </c>
      <c r="H1335" s="8">
        <v>0</v>
      </c>
      <c r="I1335" s="8">
        <v>0</v>
      </c>
      <c r="J1335" s="8">
        <v>1</v>
      </c>
      <c r="K1335" s="9">
        <v>0</v>
      </c>
      <c r="L1335" s="10">
        <v>1</v>
      </c>
      <c r="M1335" s="6">
        <v>0</v>
      </c>
      <c r="N1335" s="37" t="e" cm="1">
        <f t="array" ref="N1335">IF(OR(ISNUMBER(FIND(Aux!$D$3:$D$9,_xlfn.TEXTJOIN(,,C1335:K1335)))),NA(),IF(AND(SUM(C1335:F1335,H1335:K1335)=0,G1335=1),0,INT((SUMPRODUCT(C1335:F1335,COLUMN($A$1:$D$1)-1)+SUMPRODUCT(H1335:K1335,COLUMN($E$1:$H$1)-1))*'Line Follower'!$C$3/SUM(C1335:F1335,H1335:K1335)-'Line Follower'!$C$5)))</f>
        <v>#N/A</v>
      </c>
      <c r="O1335" s="22" t="e">
        <v>#N/A</v>
      </c>
      <c r="P1335" s="4" t="e">
        <f t="shared" si="100"/>
        <v>#N/A</v>
      </c>
      <c r="Q1335" s="4" t="e">
        <f t="shared" si="101"/>
        <v>#N/A</v>
      </c>
      <c r="R1335" s="4" t="e">
        <f>IF(AND(B1335=1,N1335&gt;'Line Follower'!$C$7,SUM(C1335:K1335)&lt;4),1,0)</f>
        <v>#N/A</v>
      </c>
      <c r="S1335" s="4" t="e">
        <f>IF(AND(L1335=1,N1335&lt;'Line Follower'!$C$6,SUM(C1335:K1335)&lt;4),1,0)</f>
        <v>#N/A</v>
      </c>
      <c r="T1335" s="4" t="e">
        <f t="shared" si="102"/>
        <v>#N/A</v>
      </c>
      <c r="U1335" s="5" t="e">
        <f t="shared" si="103"/>
        <v>#N/A</v>
      </c>
      <c r="V1335" s="23" t="e">
        <f t="shared" si="104"/>
        <v>#N/A</v>
      </c>
    </row>
    <row r="1336" spans="2:22" x14ac:dyDescent="0.25">
      <c r="B1336" s="16">
        <v>1</v>
      </c>
      <c r="C1336" s="7">
        <v>0</v>
      </c>
      <c r="D1336" s="8">
        <v>1</v>
      </c>
      <c r="E1336" s="8">
        <v>0</v>
      </c>
      <c r="F1336" s="8">
        <v>1</v>
      </c>
      <c r="G1336" s="8">
        <v>1</v>
      </c>
      <c r="H1336" s="8">
        <v>0</v>
      </c>
      <c r="I1336" s="8">
        <v>0</v>
      </c>
      <c r="J1336" s="8">
        <v>1</v>
      </c>
      <c r="K1336" s="9">
        <v>0</v>
      </c>
      <c r="L1336" s="10">
        <v>1</v>
      </c>
      <c r="M1336" s="6">
        <v>0</v>
      </c>
      <c r="N1336" s="37" t="e" cm="1">
        <f t="array" ref="N1336">IF(OR(ISNUMBER(FIND(Aux!$D$3:$D$9,_xlfn.TEXTJOIN(,,C1336:K1336)))),NA(),IF(AND(SUM(C1336:F1336,H1336:K1336)=0,G1336=1),0,INT((SUMPRODUCT(C1336:F1336,COLUMN($A$1:$D$1)-1)+SUMPRODUCT(H1336:K1336,COLUMN($E$1:$H$1)-1))*'Line Follower'!$C$3/SUM(C1336:F1336,H1336:K1336)-'Line Follower'!$C$5)))</f>
        <v>#N/A</v>
      </c>
      <c r="O1336" s="22" t="e">
        <v>#N/A</v>
      </c>
      <c r="P1336" s="4" t="e">
        <f t="shared" si="100"/>
        <v>#N/A</v>
      </c>
      <c r="Q1336" s="4" t="e">
        <f t="shared" si="101"/>
        <v>#N/A</v>
      </c>
      <c r="R1336" s="4" t="e">
        <f>IF(AND(B1336=1,N1336&gt;'Line Follower'!$C$7,SUM(C1336:K1336)&lt;4),1,0)</f>
        <v>#N/A</v>
      </c>
      <c r="S1336" s="4" t="e">
        <f>IF(AND(L1336=1,N1336&lt;'Line Follower'!$C$6,SUM(C1336:K1336)&lt;4),1,0)</f>
        <v>#N/A</v>
      </c>
      <c r="T1336" s="4" t="e">
        <f t="shared" si="102"/>
        <v>#N/A</v>
      </c>
      <c r="U1336" s="5" t="e">
        <f t="shared" si="103"/>
        <v>#N/A</v>
      </c>
      <c r="V1336" s="23" t="e">
        <f t="shared" si="104"/>
        <v>#N/A</v>
      </c>
    </row>
    <row r="1337" spans="2:22" x14ac:dyDescent="0.25">
      <c r="B1337" s="16">
        <v>0</v>
      </c>
      <c r="C1337" s="7">
        <v>1</v>
      </c>
      <c r="D1337" s="8">
        <v>1</v>
      </c>
      <c r="E1337" s="8">
        <v>0</v>
      </c>
      <c r="F1337" s="8">
        <v>1</v>
      </c>
      <c r="G1337" s="8">
        <v>1</v>
      </c>
      <c r="H1337" s="8">
        <v>0</v>
      </c>
      <c r="I1337" s="8">
        <v>0</v>
      </c>
      <c r="J1337" s="8">
        <v>1</v>
      </c>
      <c r="K1337" s="9">
        <v>0</v>
      </c>
      <c r="L1337" s="10">
        <v>1</v>
      </c>
      <c r="M1337" s="6">
        <v>0</v>
      </c>
      <c r="N1337" s="37" t="e" cm="1">
        <f t="array" ref="N1337">IF(OR(ISNUMBER(FIND(Aux!$D$3:$D$9,_xlfn.TEXTJOIN(,,C1337:K1337)))),NA(),IF(AND(SUM(C1337:F1337,H1337:K1337)=0,G1337=1),0,INT((SUMPRODUCT(C1337:F1337,COLUMN($A$1:$D$1)-1)+SUMPRODUCT(H1337:K1337,COLUMN($E$1:$H$1)-1))*'Line Follower'!$C$3/SUM(C1337:F1337,H1337:K1337)-'Line Follower'!$C$5)))</f>
        <v>#N/A</v>
      </c>
      <c r="O1337" s="22" t="e">
        <v>#N/A</v>
      </c>
      <c r="P1337" s="4" t="e">
        <f t="shared" si="100"/>
        <v>#N/A</v>
      </c>
      <c r="Q1337" s="4" t="e">
        <f t="shared" si="101"/>
        <v>#N/A</v>
      </c>
      <c r="R1337" s="4" t="e">
        <f>IF(AND(B1337=1,N1337&gt;'Line Follower'!$C$7,SUM(C1337:K1337)&lt;4),1,0)</f>
        <v>#N/A</v>
      </c>
      <c r="S1337" s="4" t="e">
        <f>IF(AND(L1337=1,N1337&lt;'Line Follower'!$C$6,SUM(C1337:K1337)&lt;4),1,0)</f>
        <v>#N/A</v>
      </c>
      <c r="T1337" s="4" t="e">
        <f t="shared" si="102"/>
        <v>#N/A</v>
      </c>
      <c r="U1337" s="5" t="e">
        <f t="shared" si="103"/>
        <v>#N/A</v>
      </c>
      <c r="V1337" s="23" t="e">
        <f t="shared" si="104"/>
        <v>#N/A</v>
      </c>
    </row>
    <row r="1338" spans="2:22" x14ac:dyDescent="0.25">
      <c r="B1338" s="16">
        <v>1</v>
      </c>
      <c r="C1338" s="7">
        <v>1</v>
      </c>
      <c r="D1338" s="8">
        <v>1</v>
      </c>
      <c r="E1338" s="8">
        <v>0</v>
      </c>
      <c r="F1338" s="8">
        <v>1</v>
      </c>
      <c r="G1338" s="8">
        <v>1</v>
      </c>
      <c r="H1338" s="8">
        <v>0</v>
      </c>
      <c r="I1338" s="8">
        <v>0</v>
      </c>
      <c r="J1338" s="8">
        <v>1</v>
      </c>
      <c r="K1338" s="9">
        <v>0</v>
      </c>
      <c r="L1338" s="10">
        <v>1</v>
      </c>
      <c r="M1338" s="6">
        <v>0</v>
      </c>
      <c r="N1338" s="37" t="e" cm="1">
        <f t="array" ref="N1338">IF(OR(ISNUMBER(FIND(Aux!$D$3:$D$9,_xlfn.TEXTJOIN(,,C1338:K1338)))),NA(),IF(AND(SUM(C1338:F1338,H1338:K1338)=0,G1338=1),0,INT((SUMPRODUCT(C1338:F1338,COLUMN($A$1:$D$1)-1)+SUMPRODUCT(H1338:K1338,COLUMN($E$1:$H$1)-1))*'Line Follower'!$C$3/SUM(C1338:F1338,H1338:K1338)-'Line Follower'!$C$5)))</f>
        <v>#N/A</v>
      </c>
      <c r="O1338" s="22" t="e">
        <v>#N/A</v>
      </c>
      <c r="P1338" s="4" t="e">
        <f t="shared" si="100"/>
        <v>#N/A</v>
      </c>
      <c r="Q1338" s="4" t="e">
        <f t="shared" si="101"/>
        <v>#N/A</v>
      </c>
      <c r="R1338" s="4" t="e">
        <f>IF(AND(B1338=1,N1338&gt;'Line Follower'!$C$7,SUM(C1338:K1338)&lt;4),1,0)</f>
        <v>#N/A</v>
      </c>
      <c r="S1338" s="4" t="e">
        <f>IF(AND(L1338=1,N1338&lt;'Line Follower'!$C$6,SUM(C1338:K1338)&lt;4),1,0)</f>
        <v>#N/A</v>
      </c>
      <c r="T1338" s="4" t="e">
        <f t="shared" si="102"/>
        <v>#N/A</v>
      </c>
      <c r="U1338" s="5" t="e">
        <f t="shared" si="103"/>
        <v>#N/A</v>
      </c>
      <c r="V1338" s="23" t="e">
        <f t="shared" si="104"/>
        <v>#N/A</v>
      </c>
    </row>
    <row r="1339" spans="2:22" x14ac:dyDescent="0.25">
      <c r="B1339" s="16">
        <v>0</v>
      </c>
      <c r="C1339" s="7">
        <v>0</v>
      </c>
      <c r="D1339" s="8">
        <v>0</v>
      </c>
      <c r="E1339" s="8">
        <v>1</v>
      </c>
      <c r="F1339" s="8">
        <v>1</v>
      </c>
      <c r="G1339" s="8">
        <v>1</v>
      </c>
      <c r="H1339" s="8">
        <v>0</v>
      </c>
      <c r="I1339" s="8">
        <v>0</v>
      </c>
      <c r="J1339" s="8">
        <v>1</v>
      </c>
      <c r="K1339" s="9">
        <v>0</v>
      </c>
      <c r="L1339" s="10">
        <v>1</v>
      </c>
      <c r="M1339" s="6">
        <v>0</v>
      </c>
      <c r="N1339" s="37" t="e" cm="1">
        <f t="array" ref="N1339">IF(OR(ISNUMBER(FIND(Aux!$D$3:$D$9,_xlfn.TEXTJOIN(,,C1339:K1339)))),NA(),IF(AND(SUM(C1339:F1339,H1339:K1339)=0,G1339=1),0,INT((SUMPRODUCT(C1339:F1339,COLUMN($A$1:$D$1)-1)+SUMPRODUCT(H1339:K1339,COLUMN($E$1:$H$1)-1))*'Line Follower'!$C$3/SUM(C1339:F1339,H1339:K1339)-'Line Follower'!$C$5)))</f>
        <v>#N/A</v>
      </c>
      <c r="O1339" s="22" t="e">
        <v>#N/A</v>
      </c>
      <c r="P1339" s="4" t="e">
        <f t="shared" si="100"/>
        <v>#N/A</v>
      </c>
      <c r="Q1339" s="4" t="e">
        <f t="shared" si="101"/>
        <v>#N/A</v>
      </c>
      <c r="R1339" s="4" t="e">
        <f>IF(AND(B1339=1,N1339&gt;'Line Follower'!$C$7,SUM(C1339:K1339)&lt;4),1,0)</f>
        <v>#N/A</v>
      </c>
      <c r="S1339" s="4" t="e">
        <f>IF(AND(L1339=1,N1339&lt;'Line Follower'!$C$6,SUM(C1339:K1339)&lt;4),1,0)</f>
        <v>#N/A</v>
      </c>
      <c r="T1339" s="4" t="e">
        <f t="shared" si="102"/>
        <v>#N/A</v>
      </c>
      <c r="U1339" s="5" t="e">
        <f t="shared" si="103"/>
        <v>#N/A</v>
      </c>
      <c r="V1339" s="23" t="e">
        <f t="shared" si="104"/>
        <v>#N/A</v>
      </c>
    </row>
    <row r="1340" spans="2:22" x14ac:dyDescent="0.25">
      <c r="B1340" s="16">
        <v>1</v>
      </c>
      <c r="C1340" s="7">
        <v>0</v>
      </c>
      <c r="D1340" s="8">
        <v>0</v>
      </c>
      <c r="E1340" s="8">
        <v>1</v>
      </c>
      <c r="F1340" s="8">
        <v>1</v>
      </c>
      <c r="G1340" s="8">
        <v>1</v>
      </c>
      <c r="H1340" s="8">
        <v>0</v>
      </c>
      <c r="I1340" s="8">
        <v>0</v>
      </c>
      <c r="J1340" s="8">
        <v>1</v>
      </c>
      <c r="K1340" s="9">
        <v>0</v>
      </c>
      <c r="L1340" s="10">
        <v>1</v>
      </c>
      <c r="M1340" s="6">
        <v>0</v>
      </c>
      <c r="N1340" s="37" t="e" cm="1">
        <f t="array" ref="N1340">IF(OR(ISNUMBER(FIND(Aux!$D$3:$D$9,_xlfn.TEXTJOIN(,,C1340:K1340)))),NA(),IF(AND(SUM(C1340:F1340,H1340:K1340)=0,G1340=1),0,INT((SUMPRODUCT(C1340:F1340,COLUMN($A$1:$D$1)-1)+SUMPRODUCT(H1340:K1340,COLUMN($E$1:$H$1)-1))*'Line Follower'!$C$3/SUM(C1340:F1340,H1340:K1340)-'Line Follower'!$C$5)))</f>
        <v>#N/A</v>
      </c>
      <c r="O1340" s="22" t="e">
        <v>#N/A</v>
      </c>
      <c r="P1340" s="4" t="e">
        <f t="shared" si="100"/>
        <v>#N/A</v>
      </c>
      <c r="Q1340" s="4" t="e">
        <f t="shared" si="101"/>
        <v>#N/A</v>
      </c>
      <c r="R1340" s="4" t="e">
        <f>IF(AND(B1340=1,N1340&gt;'Line Follower'!$C$7,SUM(C1340:K1340)&lt;4),1,0)</f>
        <v>#N/A</v>
      </c>
      <c r="S1340" s="4" t="e">
        <f>IF(AND(L1340=1,N1340&lt;'Line Follower'!$C$6,SUM(C1340:K1340)&lt;4),1,0)</f>
        <v>#N/A</v>
      </c>
      <c r="T1340" s="4" t="e">
        <f t="shared" si="102"/>
        <v>#N/A</v>
      </c>
      <c r="U1340" s="5" t="e">
        <f t="shared" si="103"/>
        <v>#N/A</v>
      </c>
      <c r="V1340" s="23" t="e">
        <f t="shared" si="104"/>
        <v>#N/A</v>
      </c>
    </row>
    <row r="1341" spans="2:22" x14ac:dyDescent="0.25">
      <c r="B1341" s="16">
        <v>0</v>
      </c>
      <c r="C1341" s="7">
        <v>1</v>
      </c>
      <c r="D1341" s="8">
        <v>0</v>
      </c>
      <c r="E1341" s="8">
        <v>1</v>
      </c>
      <c r="F1341" s="8">
        <v>1</v>
      </c>
      <c r="G1341" s="8">
        <v>1</v>
      </c>
      <c r="H1341" s="8">
        <v>0</v>
      </c>
      <c r="I1341" s="8">
        <v>0</v>
      </c>
      <c r="J1341" s="8">
        <v>1</v>
      </c>
      <c r="K1341" s="9">
        <v>0</v>
      </c>
      <c r="L1341" s="10">
        <v>1</v>
      </c>
      <c r="M1341" s="6">
        <v>0</v>
      </c>
      <c r="N1341" s="37" t="e" cm="1">
        <f t="array" ref="N1341">IF(OR(ISNUMBER(FIND(Aux!$D$3:$D$9,_xlfn.TEXTJOIN(,,C1341:K1341)))),NA(),IF(AND(SUM(C1341:F1341,H1341:K1341)=0,G1341=1),0,INT((SUMPRODUCT(C1341:F1341,COLUMN($A$1:$D$1)-1)+SUMPRODUCT(H1341:K1341,COLUMN($E$1:$H$1)-1))*'Line Follower'!$C$3/SUM(C1341:F1341,H1341:K1341)-'Line Follower'!$C$5)))</f>
        <v>#N/A</v>
      </c>
      <c r="O1341" s="22" t="e">
        <v>#N/A</v>
      </c>
      <c r="P1341" s="4" t="e">
        <f t="shared" si="100"/>
        <v>#N/A</v>
      </c>
      <c r="Q1341" s="4" t="e">
        <f t="shared" si="101"/>
        <v>#N/A</v>
      </c>
      <c r="R1341" s="4" t="e">
        <f>IF(AND(B1341=1,N1341&gt;'Line Follower'!$C$7,SUM(C1341:K1341)&lt;4),1,0)</f>
        <v>#N/A</v>
      </c>
      <c r="S1341" s="4" t="e">
        <f>IF(AND(L1341=1,N1341&lt;'Line Follower'!$C$6,SUM(C1341:K1341)&lt;4),1,0)</f>
        <v>#N/A</v>
      </c>
      <c r="T1341" s="4" t="e">
        <f t="shared" si="102"/>
        <v>#N/A</v>
      </c>
      <c r="U1341" s="5" t="e">
        <f t="shared" si="103"/>
        <v>#N/A</v>
      </c>
      <c r="V1341" s="23" t="e">
        <f t="shared" si="104"/>
        <v>#N/A</v>
      </c>
    </row>
    <row r="1342" spans="2:22" x14ac:dyDescent="0.25">
      <c r="B1342" s="16">
        <v>1</v>
      </c>
      <c r="C1342" s="7">
        <v>1</v>
      </c>
      <c r="D1342" s="8">
        <v>0</v>
      </c>
      <c r="E1342" s="8">
        <v>1</v>
      </c>
      <c r="F1342" s="8">
        <v>1</v>
      </c>
      <c r="G1342" s="8">
        <v>1</v>
      </c>
      <c r="H1342" s="8">
        <v>0</v>
      </c>
      <c r="I1342" s="8">
        <v>0</v>
      </c>
      <c r="J1342" s="8">
        <v>1</v>
      </c>
      <c r="K1342" s="9">
        <v>0</v>
      </c>
      <c r="L1342" s="10">
        <v>1</v>
      </c>
      <c r="M1342" s="6">
        <v>0</v>
      </c>
      <c r="N1342" s="37" t="e" cm="1">
        <f t="array" ref="N1342">IF(OR(ISNUMBER(FIND(Aux!$D$3:$D$9,_xlfn.TEXTJOIN(,,C1342:K1342)))),NA(),IF(AND(SUM(C1342:F1342,H1342:K1342)=0,G1342=1),0,INT((SUMPRODUCT(C1342:F1342,COLUMN($A$1:$D$1)-1)+SUMPRODUCT(H1342:K1342,COLUMN($E$1:$H$1)-1))*'Line Follower'!$C$3/SUM(C1342:F1342,H1342:K1342)-'Line Follower'!$C$5)))</f>
        <v>#N/A</v>
      </c>
      <c r="O1342" s="22" t="e">
        <v>#N/A</v>
      </c>
      <c r="P1342" s="4" t="e">
        <f t="shared" si="100"/>
        <v>#N/A</v>
      </c>
      <c r="Q1342" s="4" t="e">
        <f t="shared" si="101"/>
        <v>#N/A</v>
      </c>
      <c r="R1342" s="4" t="e">
        <f>IF(AND(B1342=1,N1342&gt;'Line Follower'!$C$7,SUM(C1342:K1342)&lt;4),1,0)</f>
        <v>#N/A</v>
      </c>
      <c r="S1342" s="4" t="e">
        <f>IF(AND(L1342=1,N1342&lt;'Line Follower'!$C$6,SUM(C1342:K1342)&lt;4),1,0)</f>
        <v>#N/A</v>
      </c>
      <c r="T1342" s="4" t="e">
        <f t="shared" si="102"/>
        <v>#N/A</v>
      </c>
      <c r="U1342" s="5" t="e">
        <f t="shared" si="103"/>
        <v>#N/A</v>
      </c>
      <c r="V1342" s="23" t="e">
        <f t="shared" si="104"/>
        <v>#N/A</v>
      </c>
    </row>
    <row r="1343" spans="2:22" x14ac:dyDescent="0.25">
      <c r="B1343" s="16">
        <v>0</v>
      </c>
      <c r="C1343" s="7">
        <v>0</v>
      </c>
      <c r="D1343" s="8">
        <v>1</v>
      </c>
      <c r="E1343" s="8">
        <v>1</v>
      </c>
      <c r="F1343" s="8">
        <v>1</v>
      </c>
      <c r="G1343" s="8">
        <v>1</v>
      </c>
      <c r="H1343" s="8">
        <v>0</v>
      </c>
      <c r="I1343" s="8">
        <v>0</v>
      </c>
      <c r="J1343" s="8">
        <v>1</v>
      </c>
      <c r="K1343" s="9">
        <v>0</v>
      </c>
      <c r="L1343" s="10">
        <v>1</v>
      </c>
      <c r="M1343" s="6">
        <v>0</v>
      </c>
      <c r="N1343" s="37" t="e" cm="1">
        <f t="array" ref="N1343">IF(OR(ISNUMBER(FIND(Aux!$D$3:$D$9,_xlfn.TEXTJOIN(,,C1343:K1343)))),NA(),IF(AND(SUM(C1343:F1343,H1343:K1343)=0,G1343=1),0,INT((SUMPRODUCT(C1343:F1343,COLUMN($A$1:$D$1)-1)+SUMPRODUCT(H1343:K1343,COLUMN($E$1:$H$1)-1))*'Line Follower'!$C$3/SUM(C1343:F1343,H1343:K1343)-'Line Follower'!$C$5)))</f>
        <v>#N/A</v>
      </c>
      <c r="O1343" s="22" t="e">
        <v>#N/A</v>
      </c>
      <c r="P1343" s="4" t="e">
        <f t="shared" si="100"/>
        <v>#N/A</v>
      </c>
      <c r="Q1343" s="4" t="e">
        <f t="shared" si="101"/>
        <v>#N/A</v>
      </c>
      <c r="R1343" s="4" t="e">
        <f>IF(AND(B1343=1,N1343&gt;'Line Follower'!$C$7,SUM(C1343:K1343)&lt;4),1,0)</f>
        <v>#N/A</v>
      </c>
      <c r="S1343" s="4" t="e">
        <f>IF(AND(L1343=1,N1343&lt;'Line Follower'!$C$6,SUM(C1343:K1343)&lt;4),1,0)</f>
        <v>#N/A</v>
      </c>
      <c r="T1343" s="4" t="e">
        <f t="shared" si="102"/>
        <v>#N/A</v>
      </c>
      <c r="U1343" s="5" t="e">
        <f t="shared" si="103"/>
        <v>#N/A</v>
      </c>
      <c r="V1343" s="23" t="e">
        <f t="shared" si="104"/>
        <v>#N/A</v>
      </c>
    </row>
    <row r="1344" spans="2:22" x14ac:dyDescent="0.25">
      <c r="B1344" s="16">
        <v>1</v>
      </c>
      <c r="C1344" s="7">
        <v>0</v>
      </c>
      <c r="D1344" s="8">
        <v>1</v>
      </c>
      <c r="E1344" s="8">
        <v>1</v>
      </c>
      <c r="F1344" s="8">
        <v>1</v>
      </c>
      <c r="G1344" s="8">
        <v>1</v>
      </c>
      <c r="H1344" s="8">
        <v>0</v>
      </c>
      <c r="I1344" s="8">
        <v>0</v>
      </c>
      <c r="J1344" s="8">
        <v>1</v>
      </c>
      <c r="K1344" s="9">
        <v>0</v>
      </c>
      <c r="L1344" s="10">
        <v>1</v>
      </c>
      <c r="M1344" s="6">
        <v>0</v>
      </c>
      <c r="N1344" s="37" t="e" cm="1">
        <f t="array" ref="N1344">IF(OR(ISNUMBER(FIND(Aux!$D$3:$D$9,_xlfn.TEXTJOIN(,,C1344:K1344)))),NA(),IF(AND(SUM(C1344:F1344,H1344:K1344)=0,G1344=1),0,INT((SUMPRODUCT(C1344:F1344,COLUMN($A$1:$D$1)-1)+SUMPRODUCT(H1344:K1344,COLUMN($E$1:$H$1)-1))*'Line Follower'!$C$3/SUM(C1344:F1344,H1344:K1344)-'Line Follower'!$C$5)))</f>
        <v>#N/A</v>
      </c>
      <c r="O1344" s="22" t="e">
        <v>#N/A</v>
      </c>
      <c r="P1344" s="4" t="e">
        <f t="shared" si="100"/>
        <v>#N/A</v>
      </c>
      <c r="Q1344" s="4" t="e">
        <f t="shared" si="101"/>
        <v>#N/A</v>
      </c>
      <c r="R1344" s="4" t="e">
        <f>IF(AND(B1344=1,N1344&gt;'Line Follower'!$C$7,SUM(C1344:K1344)&lt;4),1,0)</f>
        <v>#N/A</v>
      </c>
      <c r="S1344" s="4" t="e">
        <f>IF(AND(L1344=1,N1344&lt;'Line Follower'!$C$6,SUM(C1344:K1344)&lt;4),1,0)</f>
        <v>#N/A</v>
      </c>
      <c r="T1344" s="4" t="e">
        <f t="shared" si="102"/>
        <v>#N/A</v>
      </c>
      <c r="U1344" s="5" t="e">
        <f t="shared" si="103"/>
        <v>#N/A</v>
      </c>
      <c r="V1344" s="23" t="e">
        <f t="shared" si="104"/>
        <v>#N/A</v>
      </c>
    </row>
    <row r="1345" spans="2:22" x14ac:dyDescent="0.25">
      <c r="B1345" s="16">
        <v>0</v>
      </c>
      <c r="C1345" s="7">
        <v>1</v>
      </c>
      <c r="D1345" s="8">
        <v>1</v>
      </c>
      <c r="E1345" s="8">
        <v>1</v>
      </c>
      <c r="F1345" s="8">
        <v>1</v>
      </c>
      <c r="G1345" s="8">
        <v>1</v>
      </c>
      <c r="H1345" s="8">
        <v>0</v>
      </c>
      <c r="I1345" s="8">
        <v>0</v>
      </c>
      <c r="J1345" s="8">
        <v>1</v>
      </c>
      <c r="K1345" s="9">
        <v>0</v>
      </c>
      <c r="L1345" s="10">
        <v>1</v>
      </c>
      <c r="M1345" s="6">
        <v>0</v>
      </c>
      <c r="N1345" s="37" t="e" cm="1">
        <f t="array" ref="N1345">IF(OR(ISNUMBER(FIND(Aux!$D$3:$D$9,_xlfn.TEXTJOIN(,,C1345:K1345)))),NA(),IF(AND(SUM(C1345:F1345,H1345:K1345)=0,G1345=1),0,INT((SUMPRODUCT(C1345:F1345,COLUMN($A$1:$D$1)-1)+SUMPRODUCT(H1345:K1345,COLUMN($E$1:$H$1)-1))*'Line Follower'!$C$3/SUM(C1345:F1345,H1345:K1345)-'Line Follower'!$C$5)))</f>
        <v>#N/A</v>
      </c>
      <c r="O1345" s="22" t="e">
        <v>#N/A</v>
      </c>
      <c r="P1345" s="4" t="e">
        <f t="shared" si="100"/>
        <v>#N/A</v>
      </c>
      <c r="Q1345" s="4" t="e">
        <f t="shared" si="101"/>
        <v>#N/A</v>
      </c>
      <c r="R1345" s="4" t="e">
        <f>IF(AND(B1345=1,N1345&gt;'Line Follower'!$C$7,SUM(C1345:K1345)&lt;4),1,0)</f>
        <v>#N/A</v>
      </c>
      <c r="S1345" s="4" t="e">
        <f>IF(AND(L1345=1,N1345&lt;'Line Follower'!$C$6,SUM(C1345:K1345)&lt;4),1,0)</f>
        <v>#N/A</v>
      </c>
      <c r="T1345" s="4" t="e">
        <f t="shared" si="102"/>
        <v>#N/A</v>
      </c>
      <c r="U1345" s="5" t="e">
        <f t="shared" si="103"/>
        <v>#N/A</v>
      </c>
      <c r="V1345" s="23" t="e">
        <f t="shared" si="104"/>
        <v>#N/A</v>
      </c>
    </row>
    <row r="1346" spans="2:22" x14ac:dyDescent="0.25">
      <c r="B1346" s="16">
        <v>1</v>
      </c>
      <c r="C1346" s="7">
        <v>1</v>
      </c>
      <c r="D1346" s="8">
        <v>1</v>
      </c>
      <c r="E1346" s="8">
        <v>1</v>
      </c>
      <c r="F1346" s="8">
        <v>1</v>
      </c>
      <c r="G1346" s="8">
        <v>1</v>
      </c>
      <c r="H1346" s="8">
        <v>0</v>
      </c>
      <c r="I1346" s="8">
        <v>0</v>
      </c>
      <c r="J1346" s="8">
        <v>1</v>
      </c>
      <c r="K1346" s="9">
        <v>0</v>
      </c>
      <c r="L1346" s="10">
        <v>1</v>
      </c>
      <c r="M1346" s="6">
        <v>0</v>
      </c>
      <c r="N1346" s="37" t="e" cm="1">
        <f t="array" ref="N1346">IF(OR(ISNUMBER(FIND(Aux!$D$3:$D$9,_xlfn.TEXTJOIN(,,C1346:K1346)))),NA(),IF(AND(SUM(C1346:F1346,H1346:K1346)=0,G1346=1),0,INT((SUMPRODUCT(C1346:F1346,COLUMN($A$1:$D$1)-1)+SUMPRODUCT(H1346:K1346,COLUMN($E$1:$H$1)-1))*'Line Follower'!$C$3/SUM(C1346:F1346,H1346:K1346)-'Line Follower'!$C$5)))</f>
        <v>#N/A</v>
      </c>
      <c r="O1346" s="22" t="e">
        <v>#N/A</v>
      </c>
      <c r="P1346" s="4" t="e">
        <f t="shared" si="100"/>
        <v>#N/A</v>
      </c>
      <c r="Q1346" s="4" t="e">
        <f t="shared" si="101"/>
        <v>#N/A</v>
      </c>
      <c r="R1346" s="4" t="e">
        <f>IF(AND(B1346=1,N1346&gt;'Line Follower'!$C$7,SUM(C1346:K1346)&lt;4),1,0)</f>
        <v>#N/A</v>
      </c>
      <c r="S1346" s="4" t="e">
        <f>IF(AND(L1346=1,N1346&lt;'Line Follower'!$C$6,SUM(C1346:K1346)&lt;4),1,0)</f>
        <v>#N/A</v>
      </c>
      <c r="T1346" s="4" t="e">
        <f t="shared" si="102"/>
        <v>#N/A</v>
      </c>
      <c r="U1346" s="5" t="e">
        <f t="shared" si="103"/>
        <v>#N/A</v>
      </c>
      <c r="V1346" s="23" t="e">
        <f t="shared" si="104"/>
        <v>#N/A</v>
      </c>
    </row>
    <row r="1347" spans="2:22" x14ac:dyDescent="0.25">
      <c r="B1347" s="16">
        <v>0</v>
      </c>
      <c r="C1347" s="7">
        <v>0</v>
      </c>
      <c r="D1347" s="8">
        <v>0</v>
      </c>
      <c r="E1347" s="8">
        <v>0</v>
      </c>
      <c r="F1347" s="8">
        <v>0</v>
      </c>
      <c r="G1347" s="8">
        <v>0</v>
      </c>
      <c r="H1347" s="8">
        <v>1</v>
      </c>
      <c r="I1347" s="8">
        <v>0</v>
      </c>
      <c r="J1347" s="8">
        <v>1</v>
      </c>
      <c r="K1347" s="9">
        <v>0</v>
      </c>
      <c r="L1347" s="10">
        <v>1</v>
      </c>
      <c r="M1347" s="6">
        <v>0</v>
      </c>
      <c r="N1347" s="37" t="e" cm="1">
        <f t="array" ref="N1347">IF(OR(ISNUMBER(FIND(Aux!$D$3:$D$9,_xlfn.TEXTJOIN(,,C1347:K1347)))),NA(),IF(AND(SUM(C1347:F1347,H1347:K1347)=0,G1347=1),0,INT((SUMPRODUCT(C1347:F1347,COLUMN($A$1:$D$1)-1)+SUMPRODUCT(H1347:K1347,COLUMN($E$1:$H$1)-1))*'Line Follower'!$C$3/SUM(C1347:F1347,H1347:K1347)-'Line Follower'!$C$5)))</f>
        <v>#N/A</v>
      </c>
      <c r="O1347" s="22" t="e">
        <v>#N/A</v>
      </c>
      <c r="P1347" s="4" t="e">
        <f t="shared" ref="P1347:P1410" si="105">IF(AND(N1347=0,G1347=1,M1347=1),1,0)</f>
        <v>#N/A</v>
      </c>
      <c r="Q1347" s="4" t="e">
        <f t="shared" ref="Q1347:Q1410" si="106">IF(ISERROR(N1347),N1347,IF(SUM(C1347:K1347)&gt;=4,1,0))</f>
        <v>#N/A</v>
      </c>
      <c r="R1347" s="4" t="e">
        <f>IF(AND(B1347=1,N1347&gt;'Line Follower'!$C$7,SUM(C1347:K1347)&lt;4),1,0)</f>
        <v>#N/A</v>
      </c>
      <c r="S1347" s="4" t="e">
        <f>IF(AND(L1347=1,N1347&lt;'Line Follower'!$C$6,SUM(C1347:K1347)&lt;4),1,0)</f>
        <v>#N/A</v>
      </c>
      <c r="T1347" s="4" t="e">
        <f t="shared" si="102"/>
        <v>#N/A</v>
      </c>
      <c r="U1347" s="5" t="e">
        <f t="shared" si="103"/>
        <v>#N/A</v>
      </c>
      <c r="V1347" s="23" t="e">
        <f t="shared" si="104"/>
        <v>#N/A</v>
      </c>
    </row>
    <row r="1348" spans="2:22" x14ac:dyDescent="0.25">
      <c r="B1348" s="16">
        <v>1</v>
      </c>
      <c r="C1348" s="7">
        <v>0</v>
      </c>
      <c r="D1348" s="8">
        <v>0</v>
      </c>
      <c r="E1348" s="8">
        <v>0</v>
      </c>
      <c r="F1348" s="8">
        <v>0</v>
      </c>
      <c r="G1348" s="8">
        <v>0</v>
      </c>
      <c r="H1348" s="8">
        <v>1</v>
      </c>
      <c r="I1348" s="8">
        <v>0</v>
      </c>
      <c r="J1348" s="8">
        <v>1</v>
      </c>
      <c r="K1348" s="9">
        <v>0</v>
      </c>
      <c r="L1348" s="10">
        <v>1</v>
      </c>
      <c r="M1348" s="6">
        <v>0</v>
      </c>
      <c r="N1348" s="37" t="e" cm="1">
        <f t="array" ref="N1348">IF(OR(ISNUMBER(FIND(Aux!$D$3:$D$9,_xlfn.TEXTJOIN(,,C1348:K1348)))),NA(),IF(AND(SUM(C1348:F1348,H1348:K1348)=0,G1348=1),0,INT((SUMPRODUCT(C1348:F1348,COLUMN($A$1:$D$1)-1)+SUMPRODUCT(H1348:K1348,COLUMN($E$1:$H$1)-1))*'Line Follower'!$C$3/SUM(C1348:F1348,H1348:K1348)-'Line Follower'!$C$5)))</f>
        <v>#N/A</v>
      </c>
      <c r="O1348" s="22" t="e">
        <v>#N/A</v>
      </c>
      <c r="P1348" s="4" t="e">
        <f t="shared" si="105"/>
        <v>#N/A</v>
      </c>
      <c r="Q1348" s="4" t="e">
        <f t="shared" si="106"/>
        <v>#N/A</v>
      </c>
      <c r="R1348" s="4" t="e">
        <f>IF(AND(B1348=1,N1348&gt;'Line Follower'!$C$7,SUM(C1348:K1348)&lt;4),1,0)</f>
        <v>#N/A</v>
      </c>
      <c r="S1348" s="4" t="e">
        <f>IF(AND(L1348=1,N1348&lt;'Line Follower'!$C$6,SUM(C1348:K1348)&lt;4),1,0)</f>
        <v>#N/A</v>
      </c>
      <c r="T1348" s="4" t="e">
        <f t="shared" ref="T1348:T1411" si="107">IF(ISNA(N1348),NA(),IF(SUM(C1348:L1348)=0,1,0))</f>
        <v>#N/A</v>
      </c>
      <c r="U1348" s="5" t="e">
        <f t="shared" ref="U1348:U1411" si="108">IF(ISNA(N1348),NA(),IF(SUM(B1348:K1348)=0,1,0))</f>
        <v>#N/A</v>
      </c>
      <c r="V1348" s="23" t="e">
        <f t="shared" ref="V1348:V1411" si="109">IF(ISNA(N1348),NA(),IF(SUM(B1348:L1348)=0,1,0))</f>
        <v>#N/A</v>
      </c>
    </row>
    <row r="1349" spans="2:22" x14ac:dyDescent="0.25">
      <c r="B1349" s="16">
        <v>0</v>
      </c>
      <c r="C1349" s="7">
        <v>1</v>
      </c>
      <c r="D1349" s="8">
        <v>0</v>
      </c>
      <c r="E1349" s="8">
        <v>0</v>
      </c>
      <c r="F1349" s="8">
        <v>0</v>
      </c>
      <c r="G1349" s="8">
        <v>0</v>
      </c>
      <c r="H1349" s="8">
        <v>1</v>
      </c>
      <c r="I1349" s="8">
        <v>0</v>
      </c>
      <c r="J1349" s="8">
        <v>1</v>
      </c>
      <c r="K1349" s="9">
        <v>0</v>
      </c>
      <c r="L1349" s="10">
        <v>1</v>
      </c>
      <c r="M1349" s="6">
        <v>0</v>
      </c>
      <c r="N1349" s="37" t="e" cm="1">
        <f t="array" ref="N1349">IF(OR(ISNUMBER(FIND(Aux!$D$3:$D$9,_xlfn.TEXTJOIN(,,C1349:K1349)))),NA(),IF(AND(SUM(C1349:F1349,H1349:K1349)=0,G1349=1),0,INT((SUMPRODUCT(C1349:F1349,COLUMN($A$1:$D$1)-1)+SUMPRODUCT(H1349:K1349,COLUMN($E$1:$H$1)-1))*'Line Follower'!$C$3/SUM(C1349:F1349,H1349:K1349)-'Line Follower'!$C$5)))</f>
        <v>#N/A</v>
      </c>
      <c r="O1349" s="22" t="e">
        <v>#N/A</v>
      </c>
      <c r="P1349" s="4" t="e">
        <f t="shared" si="105"/>
        <v>#N/A</v>
      </c>
      <c r="Q1349" s="4" t="e">
        <f t="shared" si="106"/>
        <v>#N/A</v>
      </c>
      <c r="R1349" s="4" t="e">
        <f>IF(AND(B1349=1,N1349&gt;'Line Follower'!$C$7,SUM(C1349:K1349)&lt;4),1,0)</f>
        <v>#N/A</v>
      </c>
      <c r="S1349" s="4" t="e">
        <f>IF(AND(L1349=1,N1349&lt;'Line Follower'!$C$6,SUM(C1349:K1349)&lt;4),1,0)</f>
        <v>#N/A</v>
      </c>
      <c r="T1349" s="4" t="e">
        <f t="shared" si="107"/>
        <v>#N/A</v>
      </c>
      <c r="U1349" s="5" t="e">
        <f t="shared" si="108"/>
        <v>#N/A</v>
      </c>
      <c r="V1349" s="23" t="e">
        <f t="shared" si="109"/>
        <v>#N/A</v>
      </c>
    </row>
    <row r="1350" spans="2:22" x14ac:dyDescent="0.25">
      <c r="B1350" s="16">
        <v>1</v>
      </c>
      <c r="C1350" s="7">
        <v>1</v>
      </c>
      <c r="D1350" s="8">
        <v>0</v>
      </c>
      <c r="E1350" s="8">
        <v>0</v>
      </c>
      <c r="F1350" s="8">
        <v>0</v>
      </c>
      <c r="G1350" s="8">
        <v>0</v>
      </c>
      <c r="H1350" s="8">
        <v>1</v>
      </c>
      <c r="I1350" s="8">
        <v>0</v>
      </c>
      <c r="J1350" s="8">
        <v>1</v>
      </c>
      <c r="K1350" s="9">
        <v>0</v>
      </c>
      <c r="L1350" s="10">
        <v>1</v>
      </c>
      <c r="M1350" s="6">
        <v>0</v>
      </c>
      <c r="N1350" s="37" t="e" cm="1">
        <f t="array" ref="N1350">IF(OR(ISNUMBER(FIND(Aux!$D$3:$D$9,_xlfn.TEXTJOIN(,,C1350:K1350)))),NA(),IF(AND(SUM(C1350:F1350,H1350:K1350)=0,G1350=1),0,INT((SUMPRODUCT(C1350:F1350,COLUMN($A$1:$D$1)-1)+SUMPRODUCT(H1350:K1350,COLUMN($E$1:$H$1)-1))*'Line Follower'!$C$3/SUM(C1350:F1350,H1350:K1350)-'Line Follower'!$C$5)))</f>
        <v>#N/A</v>
      </c>
      <c r="O1350" s="22" t="e">
        <v>#N/A</v>
      </c>
      <c r="P1350" s="4" t="e">
        <f t="shared" si="105"/>
        <v>#N/A</v>
      </c>
      <c r="Q1350" s="4" t="e">
        <f t="shared" si="106"/>
        <v>#N/A</v>
      </c>
      <c r="R1350" s="4" t="e">
        <f>IF(AND(B1350=1,N1350&gt;'Line Follower'!$C$7,SUM(C1350:K1350)&lt;4),1,0)</f>
        <v>#N/A</v>
      </c>
      <c r="S1350" s="4" t="e">
        <f>IF(AND(L1350=1,N1350&lt;'Line Follower'!$C$6,SUM(C1350:K1350)&lt;4),1,0)</f>
        <v>#N/A</v>
      </c>
      <c r="T1350" s="4" t="e">
        <f t="shared" si="107"/>
        <v>#N/A</v>
      </c>
      <c r="U1350" s="5" t="e">
        <f t="shared" si="108"/>
        <v>#N/A</v>
      </c>
      <c r="V1350" s="23" t="e">
        <f t="shared" si="109"/>
        <v>#N/A</v>
      </c>
    </row>
    <row r="1351" spans="2:22" x14ac:dyDescent="0.25">
      <c r="B1351" s="16">
        <v>0</v>
      </c>
      <c r="C1351" s="7">
        <v>0</v>
      </c>
      <c r="D1351" s="8">
        <v>1</v>
      </c>
      <c r="E1351" s="8">
        <v>0</v>
      </c>
      <c r="F1351" s="8">
        <v>0</v>
      </c>
      <c r="G1351" s="8">
        <v>0</v>
      </c>
      <c r="H1351" s="8">
        <v>1</v>
      </c>
      <c r="I1351" s="8">
        <v>0</v>
      </c>
      <c r="J1351" s="8">
        <v>1</v>
      </c>
      <c r="K1351" s="9">
        <v>0</v>
      </c>
      <c r="L1351" s="10">
        <v>1</v>
      </c>
      <c r="M1351" s="6">
        <v>0</v>
      </c>
      <c r="N1351" s="37" t="e" cm="1">
        <f t="array" ref="N1351">IF(OR(ISNUMBER(FIND(Aux!$D$3:$D$9,_xlfn.TEXTJOIN(,,C1351:K1351)))),NA(),IF(AND(SUM(C1351:F1351,H1351:K1351)=0,G1351=1),0,INT((SUMPRODUCT(C1351:F1351,COLUMN($A$1:$D$1)-1)+SUMPRODUCT(H1351:K1351,COLUMN($E$1:$H$1)-1))*'Line Follower'!$C$3/SUM(C1351:F1351,H1351:K1351)-'Line Follower'!$C$5)))</f>
        <v>#N/A</v>
      </c>
      <c r="O1351" s="22" t="e">
        <v>#N/A</v>
      </c>
      <c r="P1351" s="4" t="e">
        <f t="shared" si="105"/>
        <v>#N/A</v>
      </c>
      <c r="Q1351" s="4" t="e">
        <f t="shared" si="106"/>
        <v>#N/A</v>
      </c>
      <c r="R1351" s="4" t="e">
        <f>IF(AND(B1351=1,N1351&gt;'Line Follower'!$C$7,SUM(C1351:K1351)&lt;4),1,0)</f>
        <v>#N/A</v>
      </c>
      <c r="S1351" s="4" t="e">
        <f>IF(AND(L1351=1,N1351&lt;'Line Follower'!$C$6,SUM(C1351:K1351)&lt;4),1,0)</f>
        <v>#N/A</v>
      </c>
      <c r="T1351" s="4" t="e">
        <f t="shared" si="107"/>
        <v>#N/A</v>
      </c>
      <c r="U1351" s="5" t="e">
        <f t="shared" si="108"/>
        <v>#N/A</v>
      </c>
      <c r="V1351" s="23" t="e">
        <f t="shared" si="109"/>
        <v>#N/A</v>
      </c>
    </row>
    <row r="1352" spans="2:22" x14ac:dyDescent="0.25">
      <c r="B1352" s="16">
        <v>1</v>
      </c>
      <c r="C1352" s="7">
        <v>0</v>
      </c>
      <c r="D1352" s="8">
        <v>1</v>
      </c>
      <c r="E1352" s="8">
        <v>0</v>
      </c>
      <c r="F1352" s="8">
        <v>0</v>
      </c>
      <c r="G1352" s="8">
        <v>0</v>
      </c>
      <c r="H1352" s="8">
        <v>1</v>
      </c>
      <c r="I1352" s="8">
        <v>0</v>
      </c>
      <c r="J1352" s="8">
        <v>1</v>
      </c>
      <c r="K1352" s="9">
        <v>0</v>
      </c>
      <c r="L1352" s="10">
        <v>1</v>
      </c>
      <c r="M1352" s="6">
        <v>0</v>
      </c>
      <c r="N1352" s="37" t="e" cm="1">
        <f t="array" ref="N1352">IF(OR(ISNUMBER(FIND(Aux!$D$3:$D$9,_xlfn.TEXTJOIN(,,C1352:K1352)))),NA(),IF(AND(SUM(C1352:F1352,H1352:K1352)=0,G1352=1),0,INT((SUMPRODUCT(C1352:F1352,COLUMN($A$1:$D$1)-1)+SUMPRODUCT(H1352:K1352,COLUMN($E$1:$H$1)-1))*'Line Follower'!$C$3/SUM(C1352:F1352,H1352:K1352)-'Line Follower'!$C$5)))</f>
        <v>#N/A</v>
      </c>
      <c r="O1352" s="22" t="e">
        <v>#N/A</v>
      </c>
      <c r="P1352" s="4" t="e">
        <f t="shared" si="105"/>
        <v>#N/A</v>
      </c>
      <c r="Q1352" s="4" t="e">
        <f t="shared" si="106"/>
        <v>#N/A</v>
      </c>
      <c r="R1352" s="4" t="e">
        <f>IF(AND(B1352=1,N1352&gt;'Line Follower'!$C$7,SUM(C1352:K1352)&lt;4),1,0)</f>
        <v>#N/A</v>
      </c>
      <c r="S1352" s="4" t="e">
        <f>IF(AND(L1352=1,N1352&lt;'Line Follower'!$C$6,SUM(C1352:K1352)&lt;4),1,0)</f>
        <v>#N/A</v>
      </c>
      <c r="T1352" s="4" t="e">
        <f t="shared" si="107"/>
        <v>#N/A</v>
      </c>
      <c r="U1352" s="5" t="e">
        <f t="shared" si="108"/>
        <v>#N/A</v>
      </c>
      <c r="V1352" s="23" t="e">
        <f t="shared" si="109"/>
        <v>#N/A</v>
      </c>
    </row>
    <row r="1353" spans="2:22" x14ac:dyDescent="0.25">
      <c r="B1353" s="16">
        <v>0</v>
      </c>
      <c r="C1353" s="7">
        <v>1</v>
      </c>
      <c r="D1353" s="8">
        <v>1</v>
      </c>
      <c r="E1353" s="8">
        <v>0</v>
      </c>
      <c r="F1353" s="8">
        <v>0</v>
      </c>
      <c r="G1353" s="8">
        <v>0</v>
      </c>
      <c r="H1353" s="8">
        <v>1</v>
      </c>
      <c r="I1353" s="8">
        <v>0</v>
      </c>
      <c r="J1353" s="8">
        <v>1</v>
      </c>
      <c r="K1353" s="9">
        <v>0</v>
      </c>
      <c r="L1353" s="10">
        <v>1</v>
      </c>
      <c r="M1353" s="6">
        <v>0</v>
      </c>
      <c r="N1353" s="37" t="e" cm="1">
        <f t="array" ref="N1353">IF(OR(ISNUMBER(FIND(Aux!$D$3:$D$9,_xlfn.TEXTJOIN(,,C1353:K1353)))),NA(),IF(AND(SUM(C1353:F1353,H1353:K1353)=0,G1353=1),0,INT((SUMPRODUCT(C1353:F1353,COLUMN($A$1:$D$1)-1)+SUMPRODUCT(H1353:K1353,COLUMN($E$1:$H$1)-1))*'Line Follower'!$C$3/SUM(C1353:F1353,H1353:K1353)-'Line Follower'!$C$5)))</f>
        <v>#N/A</v>
      </c>
      <c r="O1353" s="22" t="e">
        <v>#N/A</v>
      </c>
      <c r="P1353" s="4" t="e">
        <f t="shared" si="105"/>
        <v>#N/A</v>
      </c>
      <c r="Q1353" s="4" t="e">
        <f t="shared" si="106"/>
        <v>#N/A</v>
      </c>
      <c r="R1353" s="4" t="e">
        <f>IF(AND(B1353=1,N1353&gt;'Line Follower'!$C$7,SUM(C1353:K1353)&lt;4),1,0)</f>
        <v>#N/A</v>
      </c>
      <c r="S1353" s="4" t="e">
        <f>IF(AND(L1353=1,N1353&lt;'Line Follower'!$C$6,SUM(C1353:K1353)&lt;4),1,0)</f>
        <v>#N/A</v>
      </c>
      <c r="T1353" s="4" t="e">
        <f t="shared" si="107"/>
        <v>#N/A</v>
      </c>
      <c r="U1353" s="5" t="e">
        <f t="shared" si="108"/>
        <v>#N/A</v>
      </c>
      <c r="V1353" s="23" t="e">
        <f t="shared" si="109"/>
        <v>#N/A</v>
      </c>
    </row>
    <row r="1354" spans="2:22" x14ac:dyDescent="0.25">
      <c r="B1354" s="16">
        <v>1</v>
      </c>
      <c r="C1354" s="7">
        <v>1</v>
      </c>
      <c r="D1354" s="8">
        <v>1</v>
      </c>
      <c r="E1354" s="8">
        <v>0</v>
      </c>
      <c r="F1354" s="8">
        <v>0</v>
      </c>
      <c r="G1354" s="8">
        <v>0</v>
      </c>
      <c r="H1354" s="8">
        <v>1</v>
      </c>
      <c r="I1354" s="8">
        <v>0</v>
      </c>
      <c r="J1354" s="8">
        <v>1</v>
      </c>
      <c r="K1354" s="9">
        <v>0</v>
      </c>
      <c r="L1354" s="10">
        <v>1</v>
      </c>
      <c r="M1354" s="6">
        <v>0</v>
      </c>
      <c r="N1354" s="37" t="e" cm="1">
        <f t="array" ref="N1354">IF(OR(ISNUMBER(FIND(Aux!$D$3:$D$9,_xlfn.TEXTJOIN(,,C1354:K1354)))),NA(),IF(AND(SUM(C1354:F1354,H1354:K1354)=0,G1354=1),0,INT((SUMPRODUCT(C1354:F1354,COLUMN($A$1:$D$1)-1)+SUMPRODUCT(H1354:K1354,COLUMN($E$1:$H$1)-1))*'Line Follower'!$C$3/SUM(C1354:F1354,H1354:K1354)-'Line Follower'!$C$5)))</f>
        <v>#N/A</v>
      </c>
      <c r="O1354" s="22" t="e">
        <v>#N/A</v>
      </c>
      <c r="P1354" s="4" t="e">
        <f t="shared" si="105"/>
        <v>#N/A</v>
      </c>
      <c r="Q1354" s="4" t="e">
        <f t="shared" si="106"/>
        <v>#N/A</v>
      </c>
      <c r="R1354" s="4" t="e">
        <f>IF(AND(B1354=1,N1354&gt;'Line Follower'!$C$7,SUM(C1354:K1354)&lt;4),1,0)</f>
        <v>#N/A</v>
      </c>
      <c r="S1354" s="4" t="e">
        <f>IF(AND(L1354=1,N1354&lt;'Line Follower'!$C$6,SUM(C1354:K1354)&lt;4),1,0)</f>
        <v>#N/A</v>
      </c>
      <c r="T1354" s="4" t="e">
        <f t="shared" si="107"/>
        <v>#N/A</v>
      </c>
      <c r="U1354" s="5" t="e">
        <f t="shared" si="108"/>
        <v>#N/A</v>
      </c>
      <c r="V1354" s="23" t="e">
        <f t="shared" si="109"/>
        <v>#N/A</v>
      </c>
    </row>
    <row r="1355" spans="2:22" x14ac:dyDescent="0.25">
      <c r="B1355" s="16">
        <v>0</v>
      </c>
      <c r="C1355" s="7">
        <v>0</v>
      </c>
      <c r="D1355" s="8">
        <v>0</v>
      </c>
      <c r="E1355" s="8">
        <v>1</v>
      </c>
      <c r="F1355" s="8">
        <v>0</v>
      </c>
      <c r="G1355" s="8">
        <v>0</v>
      </c>
      <c r="H1355" s="8">
        <v>1</v>
      </c>
      <c r="I1355" s="8">
        <v>0</v>
      </c>
      <c r="J1355" s="8">
        <v>1</v>
      </c>
      <c r="K1355" s="9">
        <v>0</v>
      </c>
      <c r="L1355" s="10">
        <v>1</v>
      </c>
      <c r="M1355" s="6">
        <v>0</v>
      </c>
      <c r="N1355" s="37" t="e" cm="1">
        <f t="array" ref="N1355">IF(OR(ISNUMBER(FIND(Aux!$D$3:$D$9,_xlfn.TEXTJOIN(,,C1355:K1355)))),NA(),IF(AND(SUM(C1355:F1355,H1355:K1355)=0,G1355=1),0,INT((SUMPRODUCT(C1355:F1355,COLUMN($A$1:$D$1)-1)+SUMPRODUCT(H1355:K1355,COLUMN($E$1:$H$1)-1))*'Line Follower'!$C$3/SUM(C1355:F1355,H1355:K1355)-'Line Follower'!$C$5)))</f>
        <v>#N/A</v>
      </c>
      <c r="O1355" s="22" t="e">
        <v>#N/A</v>
      </c>
      <c r="P1355" s="4" t="e">
        <f t="shared" si="105"/>
        <v>#N/A</v>
      </c>
      <c r="Q1355" s="4" t="e">
        <f t="shared" si="106"/>
        <v>#N/A</v>
      </c>
      <c r="R1355" s="4" t="e">
        <f>IF(AND(B1355=1,N1355&gt;'Line Follower'!$C$7,SUM(C1355:K1355)&lt;4),1,0)</f>
        <v>#N/A</v>
      </c>
      <c r="S1355" s="4" t="e">
        <f>IF(AND(L1355=1,N1355&lt;'Line Follower'!$C$6,SUM(C1355:K1355)&lt;4),1,0)</f>
        <v>#N/A</v>
      </c>
      <c r="T1355" s="4" t="e">
        <f t="shared" si="107"/>
        <v>#N/A</v>
      </c>
      <c r="U1355" s="5" t="e">
        <f t="shared" si="108"/>
        <v>#N/A</v>
      </c>
      <c r="V1355" s="23" t="e">
        <f t="shared" si="109"/>
        <v>#N/A</v>
      </c>
    </row>
    <row r="1356" spans="2:22" x14ac:dyDescent="0.25">
      <c r="B1356" s="16">
        <v>1</v>
      </c>
      <c r="C1356" s="7">
        <v>0</v>
      </c>
      <c r="D1356" s="8">
        <v>0</v>
      </c>
      <c r="E1356" s="8">
        <v>1</v>
      </c>
      <c r="F1356" s="8">
        <v>0</v>
      </c>
      <c r="G1356" s="8">
        <v>0</v>
      </c>
      <c r="H1356" s="8">
        <v>1</v>
      </c>
      <c r="I1356" s="8">
        <v>0</v>
      </c>
      <c r="J1356" s="8">
        <v>1</v>
      </c>
      <c r="K1356" s="9">
        <v>0</v>
      </c>
      <c r="L1356" s="10">
        <v>1</v>
      </c>
      <c r="M1356" s="6">
        <v>0</v>
      </c>
      <c r="N1356" s="37" t="e" cm="1">
        <f t="array" ref="N1356">IF(OR(ISNUMBER(FIND(Aux!$D$3:$D$9,_xlfn.TEXTJOIN(,,C1356:K1356)))),NA(),IF(AND(SUM(C1356:F1356,H1356:K1356)=0,G1356=1),0,INT((SUMPRODUCT(C1356:F1356,COLUMN($A$1:$D$1)-1)+SUMPRODUCT(H1356:K1356,COLUMN($E$1:$H$1)-1))*'Line Follower'!$C$3/SUM(C1356:F1356,H1356:K1356)-'Line Follower'!$C$5)))</f>
        <v>#N/A</v>
      </c>
      <c r="O1356" s="22" t="e">
        <v>#N/A</v>
      </c>
      <c r="P1356" s="4" t="e">
        <f t="shared" si="105"/>
        <v>#N/A</v>
      </c>
      <c r="Q1356" s="4" t="e">
        <f t="shared" si="106"/>
        <v>#N/A</v>
      </c>
      <c r="R1356" s="4" t="e">
        <f>IF(AND(B1356=1,N1356&gt;'Line Follower'!$C$7,SUM(C1356:K1356)&lt;4),1,0)</f>
        <v>#N/A</v>
      </c>
      <c r="S1356" s="4" t="e">
        <f>IF(AND(L1356=1,N1356&lt;'Line Follower'!$C$6,SUM(C1356:K1356)&lt;4),1,0)</f>
        <v>#N/A</v>
      </c>
      <c r="T1356" s="4" t="e">
        <f t="shared" si="107"/>
        <v>#N/A</v>
      </c>
      <c r="U1356" s="5" t="e">
        <f t="shared" si="108"/>
        <v>#N/A</v>
      </c>
      <c r="V1356" s="23" t="e">
        <f t="shared" si="109"/>
        <v>#N/A</v>
      </c>
    </row>
    <row r="1357" spans="2:22" x14ac:dyDescent="0.25">
      <c r="B1357" s="16">
        <v>0</v>
      </c>
      <c r="C1357" s="7">
        <v>1</v>
      </c>
      <c r="D1357" s="8">
        <v>0</v>
      </c>
      <c r="E1357" s="8">
        <v>1</v>
      </c>
      <c r="F1357" s="8">
        <v>0</v>
      </c>
      <c r="G1357" s="8">
        <v>0</v>
      </c>
      <c r="H1357" s="8">
        <v>1</v>
      </c>
      <c r="I1357" s="8">
        <v>0</v>
      </c>
      <c r="J1357" s="8">
        <v>1</v>
      </c>
      <c r="K1357" s="9">
        <v>0</v>
      </c>
      <c r="L1357" s="10">
        <v>1</v>
      </c>
      <c r="M1357" s="6">
        <v>0</v>
      </c>
      <c r="N1357" s="37" t="e" cm="1">
        <f t="array" ref="N1357">IF(OR(ISNUMBER(FIND(Aux!$D$3:$D$9,_xlfn.TEXTJOIN(,,C1357:K1357)))),NA(),IF(AND(SUM(C1357:F1357,H1357:K1357)=0,G1357=1),0,INT((SUMPRODUCT(C1357:F1357,COLUMN($A$1:$D$1)-1)+SUMPRODUCT(H1357:K1357,COLUMN($E$1:$H$1)-1))*'Line Follower'!$C$3/SUM(C1357:F1357,H1357:K1357)-'Line Follower'!$C$5)))</f>
        <v>#N/A</v>
      </c>
      <c r="O1357" s="22" t="e">
        <v>#N/A</v>
      </c>
      <c r="P1357" s="4" t="e">
        <f t="shared" si="105"/>
        <v>#N/A</v>
      </c>
      <c r="Q1357" s="4" t="e">
        <f t="shared" si="106"/>
        <v>#N/A</v>
      </c>
      <c r="R1357" s="4" t="e">
        <f>IF(AND(B1357=1,N1357&gt;'Line Follower'!$C$7,SUM(C1357:K1357)&lt;4),1,0)</f>
        <v>#N/A</v>
      </c>
      <c r="S1357" s="4" t="e">
        <f>IF(AND(L1357=1,N1357&lt;'Line Follower'!$C$6,SUM(C1357:K1357)&lt;4),1,0)</f>
        <v>#N/A</v>
      </c>
      <c r="T1357" s="4" t="e">
        <f t="shared" si="107"/>
        <v>#N/A</v>
      </c>
      <c r="U1357" s="5" t="e">
        <f t="shared" si="108"/>
        <v>#N/A</v>
      </c>
      <c r="V1357" s="23" t="e">
        <f t="shared" si="109"/>
        <v>#N/A</v>
      </c>
    </row>
    <row r="1358" spans="2:22" x14ac:dyDescent="0.25">
      <c r="B1358" s="16">
        <v>1</v>
      </c>
      <c r="C1358" s="7">
        <v>1</v>
      </c>
      <c r="D1358" s="8">
        <v>0</v>
      </c>
      <c r="E1358" s="8">
        <v>1</v>
      </c>
      <c r="F1358" s="8">
        <v>0</v>
      </c>
      <c r="G1358" s="8">
        <v>0</v>
      </c>
      <c r="H1358" s="8">
        <v>1</v>
      </c>
      <c r="I1358" s="8">
        <v>0</v>
      </c>
      <c r="J1358" s="8">
        <v>1</v>
      </c>
      <c r="K1358" s="9">
        <v>0</v>
      </c>
      <c r="L1358" s="10">
        <v>1</v>
      </c>
      <c r="M1358" s="6">
        <v>0</v>
      </c>
      <c r="N1358" s="37" t="e" cm="1">
        <f t="array" ref="N1358">IF(OR(ISNUMBER(FIND(Aux!$D$3:$D$9,_xlfn.TEXTJOIN(,,C1358:K1358)))),NA(),IF(AND(SUM(C1358:F1358,H1358:K1358)=0,G1358=1),0,INT((SUMPRODUCT(C1358:F1358,COLUMN($A$1:$D$1)-1)+SUMPRODUCT(H1358:K1358,COLUMN($E$1:$H$1)-1))*'Line Follower'!$C$3/SUM(C1358:F1358,H1358:K1358)-'Line Follower'!$C$5)))</f>
        <v>#N/A</v>
      </c>
      <c r="O1358" s="22" t="e">
        <v>#N/A</v>
      </c>
      <c r="P1358" s="4" t="e">
        <f t="shared" si="105"/>
        <v>#N/A</v>
      </c>
      <c r="Q1358" s="4" t="e">
        <f t="shared" si="106"/>
        <v>#N/A</v>
      </c>
      <c r="R1358" s="4" t="e">
        <f>IF(AND(B1358=1,N1358&gt;'Line Follower'!$C$7,SUM(C1358:K1358)&lt;4),1,0)</f>
        <v>#N/A</v>
      </c>
      <c r="S1358" s="4" t="e">
        <f>IF(AND(L1358=1,N1358&lt;'Line Follower'!$C$6,SUM(C1358:K1358)&lt;4),1,0)</f>
        <v>#N/A</v>
      </c>
      <c r="T1358" s="4" t="e">
        <f t="shared" si="107"/>
        <v>#N/A</v>
      </c>
      <c r="U1358" s="5" t="e">
        <f t="shared" si="108"/>
        <v>#N/A</v>
      </c>
      <c r="V1358" s="23" t="e">
        <f t="shared" si="109"/>
        <v>#N/A</v>
      </c>
    </row>
    <row r="1359" spans="2:22" x14ac:dyDescent="0.25">
      <c r="B1359" s="16">
        <v>0</v>
      </c>
      <c r="C1359" s="7">
        <v>0</v>
      </c>
      <c r="D1359" s="8">
        <v>1</v>
      </c>
      <c r="E1359" s="8">
        <v>1</v>
      </c>
      <c r="F1359" s="8">
        <v>0</v>
      </c>
      <c r="G1359" s="8">
        <v>0</v>
      </c>
      <c r="H1359" s="8">
        <v>1</v>
      </c>
      <c r="I1359" s="8">
        <v>0</v>
      </c>
      <c r="J1359" s="8">
        <v>1</v>
      </c>
      <c r="K1359" s="9">
        <v>0</v>
      </c>
      <c r="L1359" s="10">
        <v>1</v>
      </c>
      <c r="M1359" s="6">
        <v>0</v>
      </c>
      <c r="N1359" s="37" t="e" cm="1">
        <f t="array" ref="N1359">IF(OR(ISNUMBER(FIND(Aux!$D$3:$D$9,_xlfn.TEXTJOIN(,,C1359:K1359)))),NA(),IF(AND(SUM(C1359:F1359,H1359:K1359)=0,G1359=1),0,INT((SUMPRODUCT(C1359:F1359,COLUMN($A$1:$D$1)-1)+SUMPRODUCT(H1359:K1359,COLUMN($E$1:$H$1)-1))*'Line Follower'!$C$3/SUM(C1359:F1359,H1359:K1359)-'Line Follower'!$C$5)))</f>
        <v>#N/A</v>
      </c>
      <c r="O1359" s="22" t="e">
        <v>#N/A</v>
      </c>
      <c r="P1359" s="4" t="e">
        <f t="shared" si="105"/>
        <v>#N/A</v>
      </c>
      <c r="Q1359" s="4" t="e">
        <f t="shared" si="106"/>
        <v>#N/A</v>
      </c>
      <c r="R1359" s="4" t="e">
        <f>IF(AND(B1359=1,N1359&gt;'Line Follower'!$C$7,SUM(C1359:K1359)&lt;4),1,0)</f>
        <v>#N/A</v>
      </c>
      <c r="S1359" s="4" t="e">
        <f>IF(AND(L1359=1,N1359&lt;'Line Follower'!$C$6,SUM(C1359:K1359)&lt;4),1,0)</f>
        <v>#N/A</v>
      </c>
      <c r="T1359" s="4" t="e">
        <f t="shared" si="107"/>
        <v>#N/A</v>
      </c>
      <c r="U1359" s="5" t="e">
        <f t="shared" si="108"/>
        <v>#N/A</v>
      </c>
      <c r="V1359" s="23" t="e">
        <f t="shared" si="109"/>
        <v>#N/A</v>
      </c>
    </row>
    <row r="1360" spans="2:22" x14ac:dyDescent="0.25">
      <c r="B1360" s="16">
        <v>1</v>
      </c>
      <c r="C1360" s="7">
        <v>0</v>
      </c>
      <c r="D1360" s="8">
        <v>1</v>
      </c>
      <c r="E1360" s="8">
        <v>1</v>
      </c>
      <c r="F1360" s="8">
        <v>0</v>
      </c>
      <c r="G1360" s="8">
        <v>0</v>
      </c>
      <c r="H1360" s="8">
        <v>1</v>
      </c>
      <c r="I1360" s="8">
        <v>0</v>
      </c>
      <c r="J1360" s="8">
        <v>1</v>
      </c>
      <c r="K1360" s="9">
        <v>0</v>
      </c>
      <c r="L1360" s="10">
        <v>1</v>
      </c>
      <c r="M1360" s="6">
        <v>0</v>
      </c>
      <c r="N1360" s="37" t="e" cm="1">
        <f t="array" ref="N1360">IF(OR(ISNUMBER(FIND(Aux!$D$3:$D$9,_xlfn.TEXTJOIN(,,C1360:K1360)))),NA(),IF(AND(SUM(C1360:F1360,H1360:K1360)=0,G1360=1),0,INT((SUMPRODUCT(C1360:F1360,COLUMN($A$1:$D$1)-1)+SUMPRODUCT(H1360:K1360,COLUMN($E$1:$H$1)-1))*'Line Follower'!$C$3/SUM(C1360:F1360,H1360:K1360)-'Line Follower'!$C$5)))</f>
        <v>#N/A</v>
      </c>
      <c r="O1360" s="22" t="e">
        <v>#N/A</v>
      </c>
      <c r="P1360" s="4" t="e">
        <f t="shared" si="105"/>
        <v>#N/A</v>
      </c>
      <c r="Q1360" s="4" t="e">
        <f t="shared" si="106"/>
        <v>#N/A</v>
      </c>
      <c r="R1360" s="4" t="e">
        <f>IF(AND(B1360=1,N1360&gt;'Line Follower'!$C$7,SUM(C1360:K1360)&lt;4),1,0)</f>
        <v>#N/A</v>
      </c>
      <c r="S1360" s="4" t="e">
        <f>IF(AND(L1360=1,N1360&lt;'Line Follower'!$C$6,SUM(C1360:K1360)&lt;4),1,0)</f>
        <v>#N/A</v>
      </c>
      <c r="T1360" s="4" t="e">
        <f t="shared" si="107"/>
        <v>#N/A</v>
      </c>
      <c r="U1360" s="5" t="e">
        <f t="shared" si="108"/>
        <v>#N/A</v>
      </c>
      <c r="V1360" s="23" t="e">
        <f t="shared" si="109"/>
        <v>#N/A</v>
      </c>
    </row>
    <row r="1361" spans="2:22" x14ac:dyDescent="0.25">
      <c r="B1361" s="16">
        <v>0</v>
      </c>
      <c r="C1361" s="7">
        <v>1</v>
      </c>
      <c r="D1361" s="8">
        <v>1</v>
      </c>
      <c r="E1361" s="8">
        <v>1</v>
      </c>
      <c r="F1361" s="8">
        <v>0</v>
      </c>
      <c r="G1361" s="8">
        <v>0</v>
      </c>
      <c r="H1361" s="8">
        <v>1</v>
      </c>
      <c r="I1361" s="8">
        <v>0</v>
      </c>
      <c r="J1361" s="8">
        <v>1</v>
      </c>
      <c r="K1361" s="9">
        <v>0</v>
      </c>
      <c r="L1361" s="10">
        <v>1</v>
      </c>
      <c r="M1361" s="6">
        <v>0</v>
      </c>
      <c r="N1361" s="37" t="e" cm="1">
        <f t="array" ref="N1361">IF(OR(ISNUMBER(FIND(Aux!$D$3:$D$9,_xlfn.TEXTJOIN(,,C1361:K1361)))),NA(),IF(AND(SUM(C1361:F1361,H1361:K1361)=0,G1361=1),0,INT((SUMPRODUCT(C1361:F1361,COLUMN($A$1:$D$1)-1)+SUMPRODUCT(H1361:K1361,COLUMN($E$1:$H$1)-1))*'Line Follower'!$C$3/SUM(C1361:F1361,H1361:K1361)-'Line Follower'!$C$5)))</f>
        <v>#N/A</v>
      </c>
      <c r="O1361" s="22" t="e">
        <v>#N/A</v>
      </c>
      <c r="P1361" s="4" t="e">
        <f t="shared" si="105"/>
        <v>#N/A</v>
      </c>
      <c r="Q1361" s="4" t="e">
        <f t="shared" si="106"/>
        <v>#N/A</v>
      </c>
      <c r="R1361" s="4" t="e">
        <f>IF(AND(B1361=1,N1361&gt;'Line Follower'!$C$7,SUM(C1361:K1361)&lt;4),1,0)</f>
        <v>#N/A</v>
      </c>
      <c r="S1361" s="4" t="e">
        <f>IF(AND(L1361=1,N1361&lt;'Line Follower'!$C$6,SUM(C1361:K1361)&lt;4),1,0)</f>
        <v>#N/A</v>
      </c>
      <c r="T1361" s="4" t="e">
        <f t="shared" si="107"/>
        <v>#N/A</v>
      </c>
      <c r="U1361" s="5" t="e">
        <f t="shared" si="108"/>
        <v>#N/A</v>
      </c>
      <c r="V1361" s="23" t="e">
        <f t="shared" si="109"/>
        <v>#N/A</v>
      </c>
    </row>
    <row r="1362" spans="2:22" x14ac:dyDescent="0.25">
      <c r="B1362" s="16">
        <v>1</v>
      </c>
      <c r="C1362" s="7">
        <v>1</v>
      </c>
      <c r="D1362" s="8">
        <v>1</v>
      </c>
      <c r="E1362" s="8">
        <v>1</v>
      </c>
      <c r="F1362" s="8">
        <v>0</v>
      </c>
      <c r="G1362" s="8">
        <v>0</v>
      </c>
      <c r="H1362" s="8">
        <v>1</v>
      </c>
      <c r="I1362" s="8">
        <v>0</v>
      </c>
      <c r="J1362" s="8">
        <v>1</v>
      </c>
      <c r="K1362" s="9">
        <v>0</v>
      </c>
      <c r="L1362" s="10">
        <v>1</v>
      </c>
      <c r="M1362" s="6">
        <v>0</v>
      </c>
      <c r="N1362" s="37" t="e" cm="1">
        <f t="array" ref="N1362">IF(OR(ISNUMBER(FIND(Aux!$D$3:$D$9,_xlfn.TEXTJOIN(,,C1362:K1362)))),NA(),IF(AND(SUM(C1362:F1362,H1362:K1362)=0,G1362=1),0,INT((SUMPRODUCT(C1362:F1362,COLUMN($A$1:$D$1)-1)+SUMPRODUCT(H1362:K1362,COLUMN($E$1:$H$1)-1))*'Line Follower'!$C$3/SUM(C1362:F1362,H1362:K1362)-'Line Follower'!$C$5)))</f>
        <v>#N/A</v>
      </c>
      <c r="O1362" s="22" t="e">
        <v>#N/A</v>
      </c>
      <c r="P1362" s="4" t="e">
        <f t="shared" si="105"/>
        <v>#N/A</v>
      </c>
      <c r="Q1362" s="4" t="e">
        <f t="shared" si="106"/>
        <v>#N/A</v>
      </c>
      <c r="R1362" s="4" t="e">
        <f>IF(AND(B1362=1,N1362&gt;'Line Follower'!$C$7,SUM(C1362:K1362)&lt;4),1,0)</f>
        <v>#N/A</v>
      </c>
      <c r="S1362" s="4" t="e">
        <f>IF(AND(L1362=1,N1362&lt;'Line Follower'!$C$6,SUM(C1362:K1362)&lt;4),1,0)</f>
        <v>#N/A</v>
      </c>
      <c r="T1362" s="4" t="e">
        <f t="shared" si="107"/>
        <v>#N/A</v>
      </c>
      <c r="U1362" s="5" t="e">
        <f t="shared" si="108"/>
        <v>#N/A</v>
      </c>
      <c r="V1362" s="23" t="e">
        <f t="shared" si="109"/>
        <v>#N/A</v>
      </c>
    </row>
    <row r="1363" spans="2:22" x14ac:dyDescent="0.25">
      <c r="B1363" s="16">
        <v>0</v>
      </c>
      <c r="C1363" s="7">
        <v>0</v>
      </c>
      <c r="D1363" s="8">
        <v>0</v>
      </c>
      <c r="E1363" s="8">
        <v>0</v>
      </c>
      <c r="F1363" s="8">
        <v>1</v>
      </c>
      <c r="G1363" s="8">
        <v>0</v>
      </c>
      <c r="H1363" s="8">
        <v>1</v>
      </c>
      <c r="I1363" s="8">
        <v>0</v>
      </c>
      <c r="J1363" s="8">
        <v>1</v>
      </c>
      <c r="K1363" s="9">
        <v>0</v>
      </c>
      <c r="L1363" s="10">
        <v>1</v>
      </c>
      <c r="M1363" s="6">
        <v>0</v>
      </c>
      <c r="N1363" s="37" t="e" cm="1">
        <f t="array" ref="N1363">IF(OR(ISNUMBER(FIND(Aux!$D$3:$D$9,_xlfn.TEXTJOIN(,,C1363:K1363)))),NA(),IF(AND(SUM(C1363:F1363,H1363:K1363)=0,G1363=1),0,INT((SUMPRODUCT(C1363:F1363,COLUMN($A$1:$D$1)-1)+SUMPRODUCT(H1363:K1363,COLUMN($E$1:$H$1)-1))*'Line Follower'!$C$3/SUM(C1363:F1363,H1363:K1363)-'Line Follower'!$C$5)))</f>
        <v>#N/A</v>
      </c>
      <c r="O1363" s="22" t="e">
        <v>#N/A</v>
      </c>
      <c r="P1363" s="4" t="e">
        <f t="shared" si="105"/>
        <v>#N/A</v>
      </c>
      <c r="Q1363" s="4" t="e">
        <f t="shared" si="106"/>
        <v>#N/A</v>
      </c>
      <c r="R1363" s="4" t="e">
        <f>IF(AND(B1363=1,N1363&gt;'Line Follower'!$C$7,SUM(C1363:K1363)&lt;4),1,0)</f>
        <v>#N/A</v>
      </c>
      <c r="S1363" s="4" t="e">
        <f>IF(AND(L1363=1,N1363&lt;'Line Follower'!$C$6,SUM(C1363:K1363)&lt;4),1,0)</f>
        <v>#N/A</v>
      </c>
      <c r="T1363" s="4" t="e">
        <f t="shared" si="107"/>
        <v>#N/A</v>
      </c>
      <c r="U1363" s="5" t="e">
        <f t="shared" si="108"/>
        <v>#N/A</v>
      </c>
      <c r="V1363" s="23" t="e">
        <f t="shared" si="109"/>
        <v>#N/A</v>
      </c>
    </row>
    <row r="1364" spans="2:22" x14ac:dyDescent="0.25">
      <c r="B1364" s="16">
        <v>1</v>
      </c>
      <c r="C1364" s="7">
        <v>0</v>
      </c>
      <c r="D1364" s="8">
        <v>0</v>
      </c>
      <c r="E1364" s="8">
        <v>0</v>
      </c>
      <c r="F1364" s="8">
        <v>1</v>
      </c>
      <c r="G1364" s="8">
        <v>0</v>
      </c>
      <c r="H1364" s="8">
        <v>1</v>
      </c>
      <c r="I1364" s="8">
        <v>0</v>
      </c>
      <c r="J1364" s="8">
        <v>1</v>
      </c>
      <c r="K1364" s="9">
        <v>0</v>
      </c>
      <c r="L1364" s="10">
        <v>1</v>
      </c>
      <c r="M1364" s="6">
        <v>0</v>
      </c>
      <c r="N1364" s="37" t="e" cm="1">
        <f t="array" ref="N1364">IF(OR(ISNUMBER(FIND(Aux!$D$3:$D$9,_xlfn.TEXTJOIN(,,C1364:K1364)))),NA(),IF(AND(SUM(C1364:F1364,H1364:K1364)=0,G1364=1),0,INT((SUMPRODUCT(C1364:F1364,COLUMN($A$1:$D$1)-1)+SUMPRODUCT(H1364:K1364,COLUMN($E$1:$H$1)-1))*'Line Follower'!$C$3/SUM(C1364:F1364,H1364:K1364)-'Line Follower'!$C$5)))</f>
        <v>#N/A</v>
      </c>
      <c r="O1364" s="22" t="e">
        <v>#N/A</v>
      </c>
      <c r="P1364" s="4" t="e">
        <f t="shared" si="105"/>
        <v>#N/A</v>
      </c>
      <c r="Q1364" s="4" t="e">
        <f t="shared" si="106"/>
        <v>#N/A</v>
      </c>
      <c r="R1364" s="4" t="e">
        <f>IF(AND(B1364=1,N1364&gt;'Line Follower'!$C$7,SUM(C1364:K1364)&lt;4),1,0)</f>
        <v>#N/A</v>
      </c>
      <c r="S1364" s="4" t="e">
        <f>IF(AND(L1364=1,N1364&lt;'Line Follower'!$C$6,SUM(C1364:K1364)&lt;4),1,0)</f>
        <v>#N/A</v>
      </c>
      <c r="T1364" s="4" t="e">
        <f t="shared" si="107"/>
        <v>#N/A</v>
      </c>
      <c r="U1364" s="5" t="e">
        <f t="shared" si="108"/>
        <v>#N/A</v>
      </c>
      <c r="V1364" s="23" t="e">
        <f t="shared" si="109"/>
        <v>#N/A</v>
      </c>
    </row>
    <row r="1365" spans="2:22" x14ac:dyDescent="0.25">
      <c r="B1365" s="16">
        <v>0</v>
      </c>
      <c r="C1365" s="7">
        <v>1</v>
      </c>
      <c r="D1365" s="8">
        <v>0</v>
      </c>
      <c r="E1365" s="8">
        <v>0</v>
      </c>
      <c r="F1365" s="8">
        <v>1</v>
      </c>
      <c r="G1365" s="8">
        <v>0</v>
      </c>
      <c r="H1365" s="8">
        <v>1</v>
      </c>
      <c r="I1365" s="8">
        <v>0</v>
      </c>
      <c r="J1365" s="8">
        <v>1</v>
      </c>
      <c r="K1365" s="9">
        <v>0</v>
      </c>
      <c r="L1365" s="10">
        <v>1</v>
      </c>
      <c r="M1365" s="6">
        <v>0</v>
      </c>
      <c r="N1365" s="37" t="e" cm="1">
        <f t="array" ref="N1365">IF(OR(ISNUMBER(FIND(Aux!$D$3:$D$9,_xlfn.TEXTJOIN(,,C1365:K1365)))),NA(),IF(AND(SUM(C1365:F1365,H1365:K1365)=0,G1365=1),0,INT((SUMPRODUCT(C1365:F1365,COLUMN($A$1:$D$1)-1)+SUMPRODUCT(H1365:K1365,COLUMN($E$1:$H$1)-1))*'Line Follower'!$C$3/SUM(C1365:F1365,H1365:K1365)-'Line Follower'!$C$5)))</f>
        <v>#N/A</v>
      </c>
      <c r="O1365" s="22" t="e">
        <v>#N/A</v>
      </c>
      <c r="P1365" s="4" t="e">
        <f t="shared" si="105"/>
        <v>#N/A</v>
      </c>
      <c r="Q1365" s="4" t="e">
        <f t="shared" si="106"/>
        <v>#N/A</v>
      </c>
      <c r="R1365" s="4" t="e">
        <f>IF(AND(B1365=1,N1365&gt;'Line Follower'!$C$7,SUM(C1365:K1365)&lt;4),1,0)</f>
        <v>#N/A</v>
      </c>
      <c r="S1365" s="4" t="e">
        <f>IF(AND(L1365=1,N1365&lt;'Line Follower'!$C$6,SUM(C1365:K1365)&lt;4),1,0)</f>
        <v>#N/A</v>
      </c>
      <c r="T1365" s="4" t="e">
        <f t="shared" si="107"/>
        <v>#N/A</v>
      </c>
      <c r="U1365" s="5" t="e">
        <f t="shared" si="108"/>
        <v>#N/A</v>
      </c>
      <c r="V1365" s="23" t="e">
        <f t="shared" si="109"/>
        <v>#N/A</v>
      </c>
    </row>
    <row r="1366" spans="2:22" x14ac:dyDescent="0.25">
      <c r="B1366" s="16">
        <v>1</v>
      </c>
      <c r="C1366" s="7">
        <v>1</v>
      </c>
      <c r="D1366" s="8">
        <v>0</v>
      </c>
      <c r="E1366" s="8">
        <v>0</v>
      </c>
      <c r="F1366" s="8">
        <v>1</v>
      </c>
      <c r="G1366" s="8">
        <v>0</v>
      </c>
      <c r="H1366" s="8">
        <v>1</v>
      </c>
      <c r="I1366" s="8">
        <v>0</v>
      </c>
      <c r="J1366" s="8">
        <v>1</v>
      </c>
      <c r="K1366" s="9">
        <v>0</v>
      </c>
      <c r="L1366" s="10">
        <v>1</v>
      </c>
      <c r="M1366" s="6">
        <v>0</v>
      </c>
      <c r="N1366" s="37" t="e" cm="1">
        <f t="array" ref="N1366">IF(OR(ISNUMBER(FIND(Aux!$D$3:$D$9,_xlfn.TEXTJOIN(,,C1366:K1366)))),NA(),IF(AND(SUM(C1366:F1366,H1366:K1366)=0,G1366=1),0,INT((SUMPRODUCT(C1366:F1366,COLUMN($A$1:$D$1)-1)+SUMPRODUCT(H1366:K1366,COLUMN($E$1:$H$1)-1))*'Line Follower'!$C$3/SUM(C1366:F1366,H1366:K1366)-'Line Follower'!$C$5)))</f>
        <v>#N/A</v>
      </c>
      <c r="O1366" s="22" t="e">
        <v>#N/A</v>
      </c>
      <c r="P1366" s="4" t="e">
        <f t="shared" si="105"/>
        <v>#N/A</v>
      </c>
      <c r="Q1366" s="4" t="e">
        <f t="shared" si="106"/>
        <v>#N/A</v>
      </c>
      <c r="R1366" s="4" t="e">
        <f>IF(AND(B1366=1,N1366&gt;'Line Follower'!$C$7,SUM(C1366:K1366)&lt;4),1,0)</f>
        <v>#N/A</v>
      </c>
      <c r="S1366" s="4" t="e">
        <f>IF(AND(L1366=1,N1366&lt;'Line Follower'!$C$6,SUM(C1366:K1366)&lt;4),1,0)</f>
        <v>#N/A</v>
      </c>
      <c r="T1366" s="4" t="e">
        <f t="shared" si="107"/>
        <v>#N/A</v>
      </c>
      <c r="U1366" s="5" t="e">
        <f t="shared" si="108"/>
        <v>#N/A</v>
      </c>
      <c r="V1366" s="23" t="e">
        <f t="shared" si="109"/>
        <v>#N/A</v>
      </c>
    </row>
    <row r="1367" spans="2:22" x14ac:dyDescent="0.25">
      <c r="B1367" s="16">
        <v>0</v>
      </c>
      <c r="C1367" s="7">
        <v>0</v>
      </c>
      <c r="D1367" s="8">
        <v>1</v>
      </c>
      <c r="E1367" s="8">
        <v>0</v>
      </c>
      <c r="F1367" s="8">
        <v>1</v>
      </c>
      <c r="G1367" s="8">
        <v>0</v>
      </c>
      <c r="H1367" s="8">
        <v>1</v>
      </c>
      <c r="I1367" s="8">
        <v>0</v>
      </c>
      <c r="J1367" s="8">
        <v>1</v>
      </c>
      <c r="K1367" s="9">
        <v>0</v>
      </c>
      <c r="L1367" s="10">
        <v>1</v>
      </c>
      <c r="M1367" s="6">
        <v>0</v>
      </c>
      <c r="N1367" s="37" t="e" cm="1">
        <f t="array" ref="N1367">IF(OR(ISNUMBER(FIND(Aux!$D$3:$D$9,_xlfn.TEXTJOIN(,,C1367:K1367)))),NA(),IF(AND(SUM(C1367:F1367,H1367:K1367)=0,G1367=1),0,INT((SUMPRODUCT(C1367:F1367,COLUMN($A$1:$D$1)-1)+SUMPRODUCT(H1367:K1367,COLUMN($E$1:$H$1)-1))*'Line Follower'!$C$3/SUM(C1367:F1367,H1367:K1367)-'Line Follower'!$C$5)))</f>
        <v>#N/A</v>
      </c>
      <c r="O1367" s="22" t="e">
        <v>#N/A</v>
      </c>
      <c r="P1367" s="4" t="e">
        <f t="shared" si="105"/>
        <v>#N/A</v>
      </c>
      <c r="Q1367" s="4" t="e">
        <f t="shared" si="106"/>
        <v>#N/A</v>
      </c>
      <c r="R1367" s="4" t="e">
        <f>IF(AND(B1367=1,N1367&gt;'Line Follower'!$C$7,SUM(C1367:K1367)&lt;4),1,0)</f>
        <v>#N/A</v>
      </c>
      <c r="S1367" s="4" t="e">
        <f>IF(AND(L1367=1,N1367&lt;'Line Follower'!$C$6,SUM(C1367:K1367)&lt;4),1,0)</f>
        <v>#N/A</v>
      </c>
      <c r="T1367" s="4" t="e">
        <f t="shared" si="107"/>
        <v>#N/A</v>
      </c>
      <c r="U1367" s="5" t="e">
        <f t="shared" si="108"/>
        <v>#N/A</v>
      </c>
      <c r="V1367" s="23" t="e">
        <f t="shared" si="109"/>
        <v>#N/A</v>
      </c>
    </row>
    <row r="1368" spans="2:22" x14ac:dyDescent="0.25">
      <c r="B1368" s="16">
        <v>1</v>
      </c>
      <c r="C1368" s="7">
        <v>0</v>
      </c>
      <c r="D1368" s="8">
        <v>1</v>
      </c>
      <c r="E1368" s="8">
        <v>0</v>
      </c>
      <c r="F1368" s="8">
        <v>1</v>
      </c>
      <c r="G1368" s="8">
        <v>0</v>
      </c>
      <c r="H1368" s="8">
        <v>1</v>
      </c>
      <c r="I1368" s="8">
        <v>0</v>
      </c>
      <c r="J1368" s="8">
        <v>1</v>
      </c>
      <c r="K1368" s="9">
        <v>0</v>
      </c>
      <c r="L1368" s="10">
        <v>1</v>
      </c>
      <c r="M1368" s="6">
        <v>0</v>
      </c>
      <c r="N1368" s="37" t="e" cm="1">
        <f t="array" ref="N1368">IF(OR(ISNUMBER(FIND(Aux!$D$3:$D$9,_xlfn.TEXTJOIN(,,C1368:K1368)))),NA(),IF(AND(SUM(C1368:F1368,H1368:K1368)=0,G1368=1),0,INT((SUMPRODUCT(C1368:F1368,COLUMN($A$1:$D$1)-1)+SUMPRODUCT(H1368:K1368,COLUMN($E$1:$H$1)-1))*'Line Follower'!$C$3/SUM(C1368:F1368,H1368:K1368)-'Line Follower'!$C$5)))</f>
        <v>#N/A</v>
      </c>
      <c r="O1368" s="22" t="e">
        <v>#N/A</v>
      </c>
      <c r="P1368" s="4" t="e">
        <f t="shared" si="105"/>
        <v>#N/A</v>
      </c>
      <c r="Q1368" s="4" t="e">
        <f t="shared" si="106"/>
        <v>#N/A</v>
      </c>
      <c r="R1368" s="4" t="e">
        <f>IF(AND(B1368=1,N1368&gt;'Line Follower'!$C$7,SUM(C1368:K1368)&lt;4),1,0)</f>
        <v>#N/A</v>
      </c>
      <c r="S1368" s="4" t="e">
        <f>IF(AND(L1368=1,N1368&lt;'Line Follower'!$C$6,SUM(C1368:K1368)&lt;4),1,0)</f>
        <v>#N/A</v>
      </c>
      <c r="T1368" s="4" t="e">
        <f t="shared" si="107"/>
        <v>#N/A</v>
      </c>
      <c r="U1368" s="5" t="e">
        <f t="shared" si="108"/>
        <v>#N/A</v>
      </c>
      <c r="V1368" s="23" t="e">
        <f t="shared" si="109"/>
        <v>#N/A</v>
      </c>
    </row>
    <row r="1369" spans="2:22" x14ac:dyDescent="0.25">
      <c r="B1369" s="16">
        <v>0</v>
      </c>
      <c r="C1369" s="7">
        <v>1</v>
      </c>
      <c r="D1369" s="8">
        <v>1</v>
      </c>
      <c r="E1369" s="8">
        <v>0</v>
      </c>
      <c r="F1369" s="8">
        <v>1</v>
      </c>
      <c r="G1369" s="8">
        <v>0</v>
      </c>
      <c r="H1369" s="8">
        <v>1</v>
      </c>
      <c r="I1369" s="8">
        <v>0</v>
      </c>
      <c r="J1369" s="8">
        <v>1</v>
      </c>
      <c r="K1369" s="9">
        <v>0</v>
      </c>
      <c r="L1369" s="10">
        <v>1</v>
      </c>
      <c r="M1369" s="6">
        <v>0</v>
      </c>
      <c r="N1369" s="37" t="e" cm="1">
        <f t="array" ref="N1369">IF(OR(ISNUMBER(FIND(Aux!$D$3:$D$9,_xlfn.TEXTJOIN(,,C1369:K1369)))),NA(),IF(AND(SUM(C1369:F1369,H1369:K1369)=0,G1369=1),0,INT((SUMPRODUCT(C1369:F1369,COLUMN($A$1:$D$1)-1)+SUMPRODUCT(H1369:K1369,COLUMN($E$1:$H$1)-1))*'Line Follower'!$C$3/SUM(C1369:F1369,H1369:K1369)-'Line Follower'!$C$5)))</f>
        <v>#N/A</v>
      </c>
      <c r="O1369" s="22" t="e">
        <v>#N/A</v>
      </c>
      <c r="P1369" s="4" t="e">
        <f t="shared" si="105"/>
        <v>#N/A</v>
      </c>
      <c r="Q1369" s="4" t="e">
        <f t="shared" si="106"/>
        <v>#N/A</v>
      </c>
      <c r="R1369" s="4" t="e">
        <f>IF(AND(B1369=1,N1369&gt;'Line Follower'!$C$7,SUM(C1369:K1369)&lt;4),1,0)</f>
        <v>#N/A</v>
      </c>
      <c r="S1369" s="4" t="e">
        <f>IF(AND(L1369=1,N1369&lt;'Line Follower'!$C$6,SUM(C1369:K1369)&lt;4),1,0)</f>
        <v>#N/A</v>
      </c>
      <c r="T1369" s="4" t="e">
        <f t="shared" si="107"/>
        <v>#N/A</v>
      </c>
      <c r="U1369" s="5" t="e">
        <f t="shared" si="108"/>
        <v>#N/A</v>
      </c>
      <c r="V1369" s="23" t="e">
        <f t="shared" si="109"/>
        <v>#N/A</v>
      </c>
    </row>
    <row r="1370" spans="2:22" x14ac:dyDescent="0.25">
      <c r="B1370" s="16">
        <v>1</v>
      </c>
      <c r="C1370" s="7">
        <v>1</v>
      </c>
      <c r="D1370" s="8">
        <v>1</v>
      </c>
      <c r="E1370" s="8">
        <v>0</v>
      </c>
      <c r="F1370" s="8">
        <v>1</v>
      </c>
      <c r="G1370" s="8">
        <v>0</v>
      </c>
      <c r="H1370" s="8">
        <v>1</v>
      </c>
      <c r="I1370" s="8">
        <v>0</v>
      </c>
      <c r="J1370" s="8">
        <v>1</v>
      </c>
      <c r="K1370" s="9">
        <v>0</v>
      </c>
      <c r="L1370" s="10">
        <v>1</v>
      </c>
      <c r="M1370" s="6">
        <v>0</v>
      </c>
      <c r="N1370" s="37" t="e" cm="1">
        <f t="array" ref="N1370">IF(OR(ISNUMBER(FIND(Aux!$D$3:$D$9,_xlfn.TEXTJOIN(,,C1370:K1370)))),NA(),IF(AND(SUM(C1370:F1370,H1370:K1370)=0,G1370=1),0,INT((SUMPRODUCT(C1370:F1370,COLUMN($A$1:$D$1)-1)+SUMPRODUCT(H1370:K1370,COLUMN($E$1:$H$1)-1))*'Line Follower'!$C$3/SUM(C1370:F1370,H1370:K1370)-'Line Follower'!$C$5)))</f>
        <v>#N/A</v>
      </c>
      <c r="O1370" s="22" t="e">
        <v>#N/A</v>
      </c>
      <c r="P1370" s="4" t="e">
        <f t="shared" si="105"/>
        <v>#N/A</v>
      </c>
      <c r="Q1370" s="4" t="e">
        <f t="shared" si="106"/>
        <v>#N/A</v>
      </c>
      <c r="R1370" s="4" t="e">
        <f>IF(AND(B1370=1,N1370&gt;'Line Follower'!$C$7,SUM(C1370:K1370)&lt;4),1,0)</f>
        <v>#N/A</v>
      </c>
      <c r="S1370" s="4" t="e">
        <f>IF(AND(L1370=1,N1370&lt;'Line Follower'!$C$6,SUM(C1370:K1370)&lt;4),1,0)</f>
        <v>#N/A</v>
      </c>
      <c r="T1370" s="4" t="e">
        <f t="shared" si="107"/>
        <v>#N/A</v>
      </c>
      <c r="U1370" s="5" t="e">
        <f t="shared" si="108"/>
        <v>#N/A</v>
      </c>
      <c r="V1370" s="23" t="e">
        <f t="shared" si="109"/>
        <v>#N/A</v>
      </c>
    </row>
    <row r="1371" spans="2:22" x14ac:dyDescent="0.25">
      <c r="B1371" s="16">
        <v>0</v>
      </c>
      <c r="C1371" s="7">
        <v>0</v>
      </c>
      <c r="D1371" s="8">
        <v>0</v>
      </c>
      <c r="E1371" s="8">
        <v>1</v>
      </c>
      <c r="F1371" s="8">
        <v>1</v>
      </c>
      <c r="G1371" s="8">
        <v>0</v>
      </c>
      <c r="H1371" s="8">
        <v>1</v>
      </c>
      <c r="I1371" s="8">
        <v>0</v>
      </c>
      <c r="J1371" s="8">
        <v>1</v>
      </c>
      <c r="K1371" s="9">
        <v>0</v>
      </c>
      <c r="L1371" s="10">
        <v>1</v>
      </c>
      <c r="M1371" s="6">
        <v>0</v>
      </c>
      <c r="N1371" s="37" t="e" cm="1">
        <f t="array" ref="N1371">IF(OR(ISNUMBER(FIND(Aux!$D$3:$D$9,_xlfn.TEXTJOIN(,,C1371:K1371)))),NA(),IF(AND(SUM(C1371:F1371,H1371:K1371)=0,G1371=1),0,INT((SUMPRODUCT(C1371:F1371,COLUMN($A$1:$D$1)-1)+SUMPRODUCT(H1371:K1371,COLUMN($E$1:$H$1)-1))*'Line Follower'!$C$3/SUM(C1371:F1371,H1371:K1371)-'Line Follower'!$C$5)))</f>
        <v>#N/A</v>
      </c>
      <c r="O1371" s="22" t="e">
        <v>#N/A</v>
      </c>
      <c r="P1371" s="4" t="e">
        <f t="shared" si="105"/>
        <v>#N/A</v>
      </c>
      <c r="Q1371" s="4" t="e">
        <f t="shared" si="106"/>
        <v>#N/A</v>
      </c>
      <c r="R1371" s="4" t="e">
        <f>IF(AND(B1371=1,N1371&gt;'Line Follower'!$C$7,SUM(C1371:K1371)&lt;4),1,0)</f>
        <v>#N/A</v>
      </c>
      <c r="S1371" s="4" t="e">
        <f>IF(AND(L1371=1,N1371&lt;'Line Follower'!$C$6,SUM(C1371:K1371)&lt;4),1,0)</f>
        <v>#N/A</v>
      </c>
      <c r="T1371" s="4" t="e">
        <f t="shared" si="107"/>
        <v>#N/A</v>
      </c>
      <c r="U1371" s="5" t="e">
        <f t="shared" si="108"/>
        <v>#N/A</v>
      </c>
      <c r="V1371" s="23" t="e">
        <f t="shared" si="109"/>
        <v>#N/A</v>
      </c>
    </row>
    <row r="1372" spans="2:22" x14ac:dyDescent="0.25">
      <c r="B1372" s="16">
        <v>1</v>
      </c>
      <c r="C1372" s="7">
        <v>0</v>
      </c>
      <c r="D1372" s="8">
        <v>0</v>
      </c>
      <c r="E1372" s="8">
        <v>1</v>
      </c>
      <c r="F1372" s="8">
        <v>1</v>
      </c>
      <c r="G1372" s="8">
        <v>0</v>
      </c>
      <c r="H1372" s="8">
        <v>1</v>
      </c>
      <c r="I1372" s="8">
        <v>0</v>
      </c>
      <c r="J1372" s="8">
        <v>1</v>
      </c>
      <c r="K1372" s="9">
        <v>0</v>
      </c>
      <c r="L1372" s="10">
        <v>1</v>
      </c>
      <c r="M1372" s="6">
        <v>0</v>
      </c>
      <c r="N1372" s="37" t="e" cm="1">
        <f t="array" ref="N1372">IF(OR(ISNUMBER(FIND(Aux!$D$3:$D$9,_xlfn.TEXTJOIN(,,C1372:K1372)))),NA(),IF(AND(SUM(C1372:F1372,H1372:K1372)=0,G1372=1),0,INT((SUMPRODUCT(C1372:F1372,COLUMN($A$1:$D$1)-1)+SUMPRODUCT(H1372:K1372,COLUMN($E$1:$H$1)-1))*'Line Follower'!$C$3/SUM(C1372:F1372,H1372:K1372)-'Line Follower'!$C$5)))</f>
        <v>#N/A</v>
      </c>
      <c r="O1372" s="22" t="e">
        <v>#N/A</v>
      </c>
      <c r="P1372" s="4" t="e">
        <f t="shared" si="105"/>
        <v>#N/A</v>
      </c>
      <c r="Q1372" s="4" t="e">
        <f t="shared" si="106"/>
        <v>#N/A</v>
      </c>
      <c r="R1372" s="4" t="e">
        <f>IF(AND(B1372=1,N1372&gt;'Line Follower'!$C$7,SUM(C1372:K1372)&lt;4),1,0)</f>
        <v>#N/A</v>
      </c>
      <c r="S1372" s="4" t="e">
        <f>IF(AND(L1372=1,N1372&lt;'Line Follower'!$C$6,SUM(C1372:K1372)&lt;4),1,0)</f>
        <v>#N/A</v>
      </c>
      <c r="T1372" s="4" t="e">
        <f t="shared" si="107"/>
        <v>#N/A</v>
      </c>
      <c r="U1372" s="5" t="e">
        <f t="shared" si="108"/>
        <v>#N/A</v>
      </c>
      <c r="V1372" s="23" t="e">
        <f t="shared" si="109"/>
        <v>#N/A</v>
      </c>
    </row>
    <row r="1373" spans="2:22" x14ac:dyDescent="0.25">
      <c r="B1373" s="16">
        <v>0</v>
      </c>
      <c r="C1373" s="7">
        <v>1</v>
      </c>
      <c r="D1373" s="8">
        <v>0</v>
      </c>
      <c r="E1373" s="8">
        <v>1</v>
      </c>
      <c r="F1373" s="8">
        <v>1</v>
      </c>
      <c r="G1373" s="8">
        <v>0</v>
      </c>
      <c r="H1373" s="8">
        <v>1</v>
      </c>
      <c r="I1373" s="8">
        <v>0</v>
      </c>
      <c r="J1373" s="8">
        <v>1</v>
      </c>
      <c r="K1373" s="9">
        <v>0</v>
      </c>
      <c r="L1373" s="10">
        <v>1</v>
      </c>
      <c r="M1373" s="6">
        <v>0</v>
      </c>
      <c r="N1373" s="37" t="e" cm="1">
        <f t="array" ref="N1373">IF(OR(ISNUMBER(FIND(Aux!$D$3:$D$9,_xlfn.TEXTJOIN(,,C1373:K1373)))),NA(),IF(AND(SUM(C1373:F1373,H1373:K1373)=0,G1373=1),0,INT((SUMPRODUCT(C1373:F1373,COLUMN($A$1:$D$1)-1)+SUMPRODUCT(H1373:K1373,COLUMN($E$1:$H$1)-1))*'Line Follower'!$C$3/SUM(C1373:F1373,H1373:K1373)-'Line Follower'!$C$5)))</f>
        <v>#N/A</v>
      </c>
      <c r="O1373" s="22" t="e">
        <v>#N/A</v>
      </c>
      <c r="P1373" s="4" t="e">
        <f t="shared" si="105"/>
        <v>#N/A</v>
      </c>
      <c r="Q1373" s="4" t="e">
        <f t="shared" si="106"/>
        <v>#N/A</v>
      </c>
      <c r="R1373" s="4" t="e">
        <f>IF(AND(B1373=1,N1373&gt;'Line Follower'!$C$7,SUM(C1373:K1373)&lt;4),1,0)</f>
        <v>#N/A</v>
      </c>
      <c r="S1373" s="4" t="e">
        <f>IF(AND(L1373=1,N1373&lt;'Line Follower'!$C$6,SUM(C1373:K1373)&lt;4),1,0)</f>
        <v>#N/A</v>
      </c>
      <c r="T1373" s="4" t="e">
        <f t="shared" si="107"/>
        <v>#N/A</v>
      </c>
      <c r="U1373" s="5" t="e">
        <f t="shared" si="108"/>
        <v>#N/A</v>
      </c>
      <c r="V1373" s="23" t="e">
        <f t="shared" si="109"/>
        <v>#N/A</v>
      </c>
    </row>
    <row r="1374" spans="2:22" x14ac:dyDescent="0.25">
      <c r="B1374" s="16">
        <v>1</v>
      </c>
      <c r="C1374" s="7">
        <v>1</v>
      </c>
      <c r="D1374" s="8">
        <v>0</v>
      </c>
      <c r="E1374" s="8">
        <v>1</v>
      </c>
      <c r="F1374" s="8">
        <v>1</v>
      </c>
      <c r="G1374" s="8">
        <v>0</v>
      </c>
      <c r="H1374" s="8">
        <v>1</v>
      </c>
      <c r="I1374" s="8">
        <v>0</v>
      </c>
      <c r="J1374" s="8">
        <v>1</v>
      </c>
      <c r="K1374" s="9">
        <v>0</v>
      </c>
      <c r="L1374" s="10">
        <v>1</v>
      </c>
      <c r="M1374" s="6">
        <v>0</v>
      </c>
      <c r="N1374" s="37" t="e" cm="1">
        <f t="array" ref="N1374">IF(OR(ISNUMBER(FIND(Aux!$D$3:$D$9,_xlfn.TEXTJOIN(,,C1374:K1374)))),NA(),IF(AND(SUM(C1374:F1374,H1374:K1374)=0,G1374=1),0,INT((SUMPRODUCT(C1374:F1374,COLUMN($A$1:$D$1)-1)+SUMPRODUCT(H1374:K1374,COLUMN($E$1:$H$1)-1))*'Line Follower'!$C$3/SUM(C1374:F1374,H1374:K1374)-'Line Follower'!$C$5)))</f>
        <v>#N/A</v>
      </c>
      <c r="O1374" s="22" t="e">
        <v>#N/A</v>
      </c>
      <c r="P1374" s="4" t="e">
        <f t="shared" si="105"/>
        <v>#N/A</v>
      </c>
      <c r="Q1374" s="4" t="e">
        <f t="shared" si="106"/>
        <v>#N/A</v>
      </c>
      <c r="R1374" s="4" t="e">
        <f>IF(AND(B1374=1,N1374&gt;'Line Follower'!$C$7,SUM(C1374:K1374)&lt;4),1,0)</f>
        <v>#N/A</v>
      </c>
      <c r="S1374" s="4" t="e">
        <f>IF(AND(L1374=1,N1374&lt;'Line Follower'!$C$6,SUM(C1374:K1374)&lt;4),1,0)</f>
        <v>#N/A</v>
      </c>
      <c r="T1374" s="4" t="e">
        <f t="shared" si="107"/>
        <v>#N/A</v>
      </c>
      <c r="U1374" s="5" t="e">
        <f t="shared" si="108"/>
        <v>#N/A</v>
      </c>
      <c r="V1374" s="23" t="e">
        <f t="shared" si="109"/>
        <v>#N/A</v>
      </c>
    </row>
    <row r="1375" spans="2:22" x14ac:dyDescent="0.25">
      <c r="B1375" s="16">
        <v>0</v>
      </c>
      <c r="C1375" s="7">
        <v>0</v>
      </c>
      <c r="D1375" s="8">
        <v>1</v>
      </c>
      <c r="E1375" s="8">
        <v>1</v>
      </c>
      <c r="F1375" s="8">
        <v>1</v>
      </c>
      <c r="G1375" s="8">
        <v>0</v>
      </c>
      <c r="H1375" s="8">
        <v>1</v>
      </c>
      <c r="I1375" s="8">
        <v>0</v>
      </c>
      <c r="J1375" s="8">
        <v>1</v>
      </c>
      <c r="K1375" s="9">
        <v>0</v>
      </c>
      <c r="L1375" s="10">
        <v>1</v>
      </c>
      <c r="M1375" s="6">
        <v>0</v>
      </c>
      <c r="N1375" s="37" t="e" cm="1">
        <f t="array" ref="N1375">IF(OR(ISNUMBER(FIND(Aux!$D$3:$D$9,_xlfn.TEXTJOIN(,,C1375:K1375)))),NA(),IF(AND(SUM(C1375:F1375,H1375:K1375)=0,G1375=1),0,INT((SUMPRODUCT(C1375:F1375,COLUMN($A$1:$D$1)-1)+SUMPRODUCT(H1375:K1375,COLUMN($E$1:$H$1)-1))*'Line Follower'!$C$3/SUM(C1375:F1375,H1375:K1375)-'Line Follower'!$C$5)))</f>
        <v>#N/A</v>
      </c>
      <c r="O1375" s="22" t="e">
        <v>#N/A</v>
      </c>
      <c r="P1375" s="4" t="e">
        <f t="shared" si="105"/>
        <v>#N/A</v>
      </c>
      <c r="Q1375" s="4" t="e">
        <f t="shared" si="106"/>
        <v>#N/A</v>
      </c>
      <c r="R1375" s="4" t="e">
        <f>IF(AND(B1375=1,N1375&gt;'Line Follower'!$C$7,SUM(C1375:K1375)&lt;4),1,0)</f>
        <v>#N/A</v>
      </c>
      <c r="S1375" s="4" t="e">
        <f>IF(AND(L1375=1,N1375&lt;'Line Follower'!$C$6,SUM(C1375:K1375)&lt;4),1,0)</f>
        <v>#N/A</v>
      </c>
      <c r="T1375" s="4" t="e">
        <f t="shared" si="107"/>
        <v>#N/A</v>
      </c>
      <c r="U1375" s="5" t="e">
        <f t="shared" si="108"/>
        <v>#N/A</v>
      </c>
      <c r="V1375" s="23" t="e">
        <f t="shared" si="109"/>
        <v>#N/A</v>
      </c>
    </row>
    <row r="1376" spans="2:22" x14ac:dyDescent="0.25">
      <c r="B1376" s="16">
        <v>1</v>
      </c>
      <c r="C1376" s="7">
        <v>0</v>
      </c>
      <c r="D1376" s="8">
        <v>1</v>
      </c>
      <c r="E1376" s="8">
        <v>1</v>
      </c>
      <c r="F1376" s="8">
        <v>1</v>
      </c>
      <c r="G1376" s="8">
        <v>0</v>
      </c>
      <c r="H1376" s="8">
        <v>1</v>
      </c>
      <c r="I1376" s="8">
        <v>0</v>
      </c>
      <c r="J1376" s="8">
        <v>1</v>
      </c>
      <c r="K1376" s="9">
        <v>0</v>
      </c>
      <c r="L1376" s="10">
        <v>1</v>
      </c>
      <c r="M1376" s="6">
        <v>0</v>
      </c>
      <c r="N1376" s="37" t="e" cm="1">
        <f t="array" ref="N1376">IF(OR(ISNUMBER(FIND(Aux!$D$3:$D$9,_xlfn.TEXTJOIN(,,C1376:K1376)))),NA(),IF(AND(SUM(C1376:F1376,H1376:K1376)=0,G1376=1),0,INT((SUMPRODUCT(C1376:F1376,COLUMN($A$1:$D$1)-1)+SUMPRODUCT(H1376:K1376,COLUMN($E$1:$H$1)-1))*'Line Follower'!$C$3/SUM(C1376:F1376,H1376:K1376)-'Line Follower'!$C$5)))</f>
        <v>#N/A</v>
      </c>
      <c r="O1376" s="22" t="e">
        <v>#N/A</v>
      </c>
      <c r="P1376" s="4" t="e">
        <f t="shared" si="105"/>
        <v>#N/A</v>
      </c>
      <c r="Q1376" s="4" t="e">
        <f t="shared" si="106"/>
        <v>#N/A</v>
      </c>
      <c r="R1376" s="4" t="e">
        <f>IF(AND(B1376=1,N1376&gt;'Line Follower'!$C$7,SUM(C1376:K1376)&lt;4),1,0)</f>
        <v>#N/A</v>
      </c>
      <c r="S1376" s="4" t="e">
        <f>IF(AND(L1376=1,N1376&lt;'Line Follower'!$C$6,SUM(C1376:K1376)&lt;4),1,0)</f>
        <v>#N/A</v>
      </c>
      <c r="T1376" s="4" t="e">
        <f t="shared" si="107"/>
        <v>#N/A</v>
      </c>
      <c r="U1376" s="5" t="e">
        <f t="shared" si="108"/>
        <v>#N/A</v>
      </c>
      <c r="V1376" s="23" t="e">
        <f t="shared" si="109"/>
        <v>#N/A</v>
      </c>
    </row>
    <row r="1377" spans="2:22" x14ac:dyDescent="0.25">
      <c r="B1377" s="16">
        <v>0</v>
      </c>
      <c r="C1377" s="7">
        <v>1</v>
      </c>
      <c r="D1377" s="8">
        <v>1</v>
      </c>
      <c r="E1377" s="8">
        <v>1</v>
      </c>
      <c r="F1377" s="8">
        <v>1</v>
      </c>
      <c r="G1377" s="8">
        <v>0</v>
      </c>
      <c r="H1377" s="8">
        <v>1</v>
      </c>
      <c r="I1377" s="8">
        <v>0</v>
      </c>
      <c r="J1377" s="8">
        <v>1</v>
      </c>
      <c r="K1377" s="9">
        <v>0</v>
      </c>
      <c r="L1377" s="10">
        <v>1</v>
      </c>
      <c r="M1377" s="6">
        <v>0</v>
      </c>
      <c r="N1377" s="37" t="e" cm="1">
        <f t="array" ref="N1377">IF(OR(ISNUMBER(FIND(Aux!$D$3:$D$9,_xlfn.TEXTJOIN(,,C1377:K1377)))),NA(),IF(AND(SUM(C1377:F1377,H1377:K1377)=0,G1377=1),0,INT((SUMPRODUCT(C1377:F1377,COLUMN($A$1:$D$1)-1)+SUMPRODUCT(H1377:K1377,COLUMN($E$1:$H$1)-1))*'Line Follower'!$C$3/SUM(C1377:F1377,H1377:K1377)-'Line Follower'!$C$5)))</f>
        <v>#N/A</v>
      </c>
      <c r="O1377" s="22" t="e">
        <v>#N/A</v>
      </c>
      <c r="P1377" s="4" t="e">
        <f t="shared" si="105"/>
        <v>#N/A</v>
      </c>
      <c r="Q1377" s="4" t="e">
        <f t="shared" si="106"/>
        <v>#N/A</v>
      </c>
      <c r="R1377" s="4" t="e">
        <f>IF(AND(B1377=1,N1377&gt;'Line Follower'!$C$7,SUM(C1377:K1377)&lt;4),1,0)</f>
        <v>#N/A</v>
      </c>
      <c r="S1377" s="4" t="e">
        <f>IF(AND(L1377=1,N1377&lt;'Line Follower'!$C$6,SUM(C1377:K1377)&lt;4),1,0)</f>
        <v>#N/A</v>
      </c>
      <c r="T1377" s="4" t="e">
        <f t="shared" si="107"/>
        <v>#N/A</v>
      </c>
      <c r="U1377" s="5" t="e">
        <f t="shared" si="108"/>
        <v>#N/A</v>
      </c>
      <c r="V1377" s="23" t="e">
        <f t="shared" si="109"/>
        <v>#N/A</v>
      </c>
    </row>
    <row r="1378" spans="2:22" x14ac:dyDescent="0.25">
      <c r="B1378" s="16">
        <v>1</v>
      </c>
      <c r="C1378" s="7">
        <v>1</v>
      </c>
      <c r="D1378" s="8">
        <v>1</v>
      </c>
      <c r="E1378" s="8">
        <v>1</v>
      </c>
      <c r="F1378" s="8">
        <v>1</v>
      </c>
      <c r="G1378" s="8">
        <v>0</v>
      </c>
      <c r="H1378" s="8">
        <v>1</v>
      </c>
      <c r="I1378" s="8">
        <v>0</v>
      </c>
      <c r="J1378" s="8">
        <v>1</v>
      </c>
      <c r="K1378" s="9">
        <v>0</v>
      </c>
      <c r="L1378" s="10">
        <v>1</v>
      </c>
      <c r="M1378" s="6">
        <v>0</v>
      </c>
      <c r="N1378" s="37" t="e" cm="1">
        <f t="array" ref="N1378">IF(OR(ISNUMBER(FIND(Aux!$D$3:$D$9,_xlfn.TEXTJOIN(,,C1378:K1378)))),NA(),IF(AND(SUM(C1378:F1378,H1378:K1378)=0,G1378=1),0,INT((SUMPRODUCT(C1378:F1378,COLUMN($A$1:$D$1)-1)+SUMPRODUCT(H1378:K1378,COLUMN($E$1:$H$1)-1))*'Line Follower'!$C$3/SUM(C1378:F1378,H1378:K1378)-'Line Follower'!$C$5)))</f>
        <v>#N/A</v>
      </c>
      <c r="O1378" s="22" t="e">
        <v>#N/A</v>
      </c>
      <c r="P1378" s="4" t="e">
        <f t="shared" si="105"/>
        <v>#N/A</v>
      </c>
      <c r="Q1378" s="4" t="e">
        <f t="shared" si="106"/>
        <v>#N/A</v>
      </c>
      <c r="R1378" s="4" t="e">
        <f>IF(AND(B1378=1,N1378&gt;'Line Follower'!$C$7,SUM(C1378:K1378)&lt;4),1,0)</f>
        <v>#N/A</v>
      </c>
      <c r="S1378" s="4" t="e">
        <f>IF(AND(L1378=1,N1378&lt;'Line Follower'!$C$6,SUM(C1378:K1378)&lt;4),1,0)</f>
        <v>#N/A</v>
      </c>
      <c r="T1378" s="4" t="e">
        <f t="shared" si="107"/>
        <v>#N/A</v>
      </c>
      <c r="U1378" s="5" t="e">
        <f t="shared" si="108"/>
        <v>#N/A</v>
      </c>
      <c r="V1378" s="23" t="e">
        <f t="shared" si="109"/>
        <v>#N/A</v>
      </c>
    </row>
    <row r="1379" spans="2:22" x14ac:dyDescent="0.25">
      <c r="B1379" s="16">
        <v>0</v>
      </c>
      <c r="C1379" s="7">
        <v>0</v>
      </c>
      <c r="D1379" s="8">
        <v>0</v>
      </c>
      <c r="E1379" s="8">
        <v>0</v>
      </c>
      <c r="F1379" s="8">
        <v>0</v>
      </c>
      <c r="G1379" s="8">
        <v>1</v>
      </c>
      <c r="H1379" s="8">
        <v>1</v>
      </c>
      <c r="I1379" s="8">
        <v>0</v>
      </c>
      <c r="J1379" s="8">
        <v>1</v>
      </c>
      <c r="K1379" s="9">
        <v>0</v>
      </c>
      <c r="L1379" s="10">
        <v>1</v>
      </c>
      <c r="M1379" s="6">
        <v>0</v>
      </c>
      <c r="N1379" s="37" t="e" cm="1">
        <f t="array" ref="N1379">IF(OR(ISNUMBER(FIND(Aux!$D$3:$D$9,_xlfn.TEXTJOIN(,,C1379:K1379)))),NA(),IF(AND(SUM(C1379:F1379,H1379:K1379)=0,G1379=1),0,INT((SUMPRODUCT(C1379:F1379,COLUMN($A$1:$D$1)-1)+SUMPRODUCT(H1379:K1379,COLUMN($E$1:$H$1)-1))*'Line Follower'!$C$3/SUM(C1379:F1379,H1379:K1379)-'Line Follower'!$C$5)))</f>
        <v>#N/A</v>
      </c>
      <c r="O1379" s="22" t="e">
        <v>#N/A</v>
      </c>
      <c r="P1379" s="4" t="e">
        <f t="shared" si="105"/>
        <v>#N/A</v>
      </c>
      <c r="Q1379" s="4" t="e">
        <f t="shared" si="106"/>
        <v>#N/A</v>
      </c>
      <c r="R1379" s="4" t="e">
        <f>IF(AND(B1379=1,N1379&gt;'Line Follower'!$C$7,SUM(C1379:K1379)&lt;4),1,0)</f>
        <v>#N/A</v>
      </c>
      <c r="S1379" s="4" t="e">
        <f>IF(AND(L1379=1,N1379&lt;'Line Follower'!$C$6,SUM(C1379:K1379)&lt;4),1,0)</f>
        <v>#N/A</v>
      </c>
      <c r="T1379" s="4" t="e">
        <f t="shared" si="107"/>
        <v>#N/A</v>
      </c>
      <c r="U1379" s="5" t="e">
        <f t="shared" si="108"/>
        <v>#N/A</v>
      </c>
      <c r="V1379" s="23" t="e">
        <f t="shared" si="109"/>
        <v>#N/A</v>
      </c>
    </row>
    <row r="1380" spans="2:22" x14ac:dyDescent="0.25">
      <c r="B1380" s="16">
        <v>1</v>
      </c>
      <c r="C1380" s="7">
        <v>0</v>
      </c>
      <c r="D1380" s="8">
        <v>0</v>
      </c>
      <c r="E1380" s="8">
        <v>0</v>
      </c>
      <c r="F1380" s="8">
        <v>0</v>
      </c>
      <c r="G1380" s="8">
        <v>1</v>
      </c>
      <c r="H1380" s="8">
        <v>1</v>
      </c>
      <c r="I1380" s="8">
        <v>0</v>
      </c>
      <c r="J1380" s="8">
        <v>1</v>
      </c>
      <c r="K1380" s="9">
        <v>0</v>
      </c>
      <c r="L1380" s="10">
        <v>1</v>
      </c>
      <c r="M1380" s="6">
        <v>0</v>
      </c>
      <c r="N1380" s="37" t="e" cm="1">
        <f t="array" ref="N1380">IF(OR(ISNUMBER(FIND(Aux!$D$3:$D$9,_xlfn.TEXTJOIN(,,C1380:K1380)))),NA(),IF(AND(SUM(C1380:F1380,H1380:K1380)=0,G1380=1),0,INT((SUMPRODUCT(C1380:F1380,COLUMN($A$1:$D$1)-1)+SUMPRODUCT(H1380:K1380,COLUMN($E$1:$H$1)-1))*'Line Follower'!$C$3/SUM(C1380:F1380,H1380:K1380)-'Line Follower'!$C$5)))</f>
        <v>#N/A</v>
      </c>
      <c r="O1380" s="22" t="e">
        <v>#N/A</v>
      </c>
      <c r="P1380" s="4" t="e">
        <f t="shared" si="105"/>
        <v>#N/A</v>
      </c>
      <c r="Q1380" s="4" t="e">
        <f t="shared" si="106"/>
        <v>#N/A</v>
      </c>
      <c r="R1380" s="4" t="e">
        <f>IF(AND(B1380=1,N1380&gt;'Line Follower'!$C$7,SUM(C1380:K1380)&lt;4),1,0)</f>
        <v>#N/A</v>
      </c>
      <c r="S1380" s="4" t="e">
        <f>IF(AND(L1380=1,N1380&lt;'Line Follower'!$C$6,SUM(C1380:K1380)&lt;4),1,0)</f>
        <v>#N/A</v>
      </c>
      <c r="T1380" s="4" t="e">
        <f t="shared" si="107"/>
        <v>#N/A</v>
      </c>
      <c r="U1380" s="5" t="e">
        <f t="shared" si="108"/>
        <v>#N/A</v>
      </c>
      <c r="V1380" s="23" t="e">
        <f t="shared" si="109"/>
        <v>#N/A</v>
      </c>
    </row>
    <row r="1381" spans="2:22" x14ac:dyDescent="0.25">
      <c r="B1381" s="16">
        <v>0</v>
      </c>
      <c r="C1381" s="7">
        <v>1</v>
      </c>
      <c r="D1381" s="8">
        <v>0</v>
      </c>
      <c r="E1381" s="8">
        <v>0</v>
      </c>
      <c r="F1381" s="8">
        <v>0</v>
      </c>
      <c r="G1381" s="8">
        <v>1</v>
      </c>
      <c r="H1381" s="8">
        <v>1</v>
      </c>
      <c r="I1381" s="8">
        <v>0</v>
      </c>
      <c r="J1381" s="8">
        <v>1</v>
      </c>
      <c r="K1381" s="9">
        <v>0</v>
      </c>
      <c r="L1381" s="10">
        <v>1</v>
      </c>
      <c r="M1381" s="6">
        <v>0</v>
      </c>
      <c r="N1381" s="37" t="e" cm="1">
        <f t="array" ref="N1381">IF(OR(ISNUMBER(FIND(Aux!$D$3:$D$9,_xlfn.TEXTJOIN(,,C1381:K1381)))),NA(),IF(AND(SUM(C1381:F1381,H1381:K1381)=0,G1381=1),0,INT((SUMPRODUCT(C1381:F1381,COLUMN($A$1:$D$1)-1)+SUMPRODUCT(H1381:K1381,COLUMN($E$1:$H$1)-1))*'Line Follower'!$C$3/SUM(C1381:F1381,H1381:K1381)-'Line Follower'!$C$5)))</f>
        <v>#N/A</v>
      </c>
      <c r="O1381" s="22" t="e">
        <v>#N/A</v>
      </c>
      <c r="P1381" s="4" t="e">
        <f t="shared" si="105"/>
        <v>#N/A</v>
      </c>
      <c r="Q1381" s="4" t="e">
        <f t="shared" si="106"/>
        <v>#N/A</v>
      </c>
      <c r="R1381" s="4" t="e">
        <f>IF(AND(B1381=1,N1381&gt;'Line Follower'!$C$7,SUM(C1381:K1381)&lt;4),1,0)</f>
        <v>#N/A</v>
      </c>
      <c r="S1381" s="4" t="e">
        <f>IF(AND(L1381=1,N1381&lt;'Line Follower'!$C$6,SUM(C1381:K1381)&lt;4),1,0)</f>
        <v>#N/A</v>
      </c>
      <c r="T1381" s="4" t="e">
        <f t="shared" si="107"/>
        <v>#N/A</v>
      </c>
      <c r="U1381" s="5" t="e">
        <f t="shared" si="108"/>
        <v>#N/A</v>
      </c>
      <c r="V1381" s="23" t="e">
        <f t="shared" si="109"/>
        <v>#N/A</v>
      </c>
    </row>
    <row r="1382" spans="2:22" x14ac:dyDescent="0.25">
      <c r="B1382" s="16">
        <v>1</v>
      </c>
      <c r="C1382" s="7">
        <v>1</v>
      </c>
      <c r="D1382" s="8">
        <v>0</v>
      </c>
      <c r="E1382" s="8">
        <v>0</v>
      </c>
      <c r="F1382" s="8">
        <v>0</v>
      </c>
      <c r="G1382" s="8">
        <v>1</v>
      </c>
      <c r="H1382" s="8">
        <v>1</v>
      </c>
      <c r="I1382" s="8">
        <v>0</v>
      </c>
      <c r="J1382" s="8">
        <v>1</v>
      </c>
      <c r="K1382" s="9">
        <v>0</v>
      </c>
      <c r="L1382" s="10">
        <v>1</v>
      </c>
      <c r="M1382" s="6">
        <v>0</v>
      </c>
      <c r="N1382" s="37" t="e" cm="1">
        <f t="array" ref="N1382">IF(OR(ISNUMBER(FIND(Aux!$D$3:$D$9,_xlfn.TEXTJOIN(,,C1382:K1382)))),NA(),IF(AND(SUM(C1382:F1382,H1382:K1382)=0,G1382=1),0,INT((SUMPRODUCT(C1382:F1382,COLUMN($A$1:$D$1)-1)+SUMPRODUCT(H1382:K1382,COLUMN($E$1:$H$1)-1))*'Line Follower'!$C$3/SUM(C1382:F1382,H1382:K1382)-'Line Follower'!$C$5)))</f>
        <v>#N/A</v>
      </c>
      <c r="O1382" s="22" t="e">
        <v>#N/A</v>
      </c>
      <c r="P1382" s="4" t="e">
        <f t="shared" si="105"/>
        <v>#N/A</v>
      </c>
      <c r="Q1382" s="4" t="e">
        <f t="shared" si="106"/>
        <v>#N/A</v>
      </c>
      <c r="R1382" s="4" t="e">
        <f>IF(AND(B1382=1,N1382&gt;'Line Follower'!$C$7,SUM(C1382:K1382)&lt;4),1,0)</f>
        <v>#N/A</v>
      </c>
      <c r="S1382" s="4" t="e">
        <f>IF(AND(L1382=1,N1382&lt;'Line Follower'!$C$6,SUM(C1382:K1382)&lt;4),1,0)</f>
        <v>#N/A</v>
      </c>
      <c r="T1382" s="4" t="e">
        <f t="shared" si="107"/>
        <v>#N/A</v>
      </c>
      <c r="U1382" s="5" t="e">
        <f t="shared" si="108"/>
        <v>#N/A</v>
      </c>
      <c r="V1382" s="23" t="e">
        <f t="shared" si="109"/>
        <v>#N/A</v>
      </c>
    </row>
    <row r="1383" spans="2:22" x14ac:dyDescent="0.25">
      <c r="B1383" s="16">
        <v>0</v>
      </c>
      <c r="C1383" s="7">
        <v>0</v>
      </c>
      <c r="D1383" s="8">
        <v>1</v>
      </c>
      <c r="E1383" s="8">
        <v>0</v>
      </c>
      <c r="F1383" s="8">
        <v>0</v>
      </c>
      <c r="G1383" s="8">
        <v>1</v>
      </c>
      <c r="H1383" s="8">
        <v>1</v>
      </c>
      <c r="I1383" s="8">
        <v>0</v>
      </c>
      <c r="J1383" s="8">
        <v>1</v>
      </c>
      <c r="K1383" s="9">
        <v>0</v>
      </c>
      <c r="L1383" s="10">
        <v>1</v>
      </c>
      <c r="M1383" s="6">
        <v>0</v>
      </c>
      <c r="N1383" s="37" t="e" cm="1">
        <f t="array" ref="N1383">IF(OR(ISNUMBER(FIND(Aux!$D$3:$D$9,_xlfn.TEXTJOIN(,,C1383:K1383)))),NA(),IF(AND(SUM(C1383:F1383,H1383:K1383)=0,G1383=1),0,INT((SUMPRODUCT(C1383:F1383,COLUMN($A$1:$D$1)-1)+SUMPRODUCT(H1383:K1383,COLUMN($E$1:$H$1)-1))*'Line Follower'!$C$3/SUM(C1383:F1383,H1383:K1383)-'Line Follower'!$C$5)))</f>
        <v>#N/A</v>
      </c>
      <c r="O1383" s="22" t="e">
        <v>#N/A</v>
      </c>
      <c r="P1383" s="4" t="e">
        <f t="shared" si="105"/>
        <v>#N/A</v>
      </c>
      <c r="Q1383" s="4" t="e">
        <f t="shared" si="106"/>
        <v>#N/A</v>
      </c>
      <c r="R1383" s="4" t="e">
        <f>IF(AND(B1383=1,N1383&gt;'Line Follower'!$C$7,SUM(C1383:K1383)&lt;4),1,0)</f>
        <v>#N/A</v>
      </c>
      <c r="S1383" s="4" t="e">
        <f>IF(AND(L1383=1,N1383&lt;'Line Follower'!$C$6,SUM(C1383:K1383)&lt;4),1,0)</f>
        <v>#N/A</v>
      </c>
      <c r="T1383" s="4" t="e">
        <f t="shared" si="107"/>
        <v>#N/A</v>
      </c>
      <c r="U1383" s="5" t="e">
        <f t="shared" si="108"/>
        <v>#N/A</v>
      </c>
      <c r="V1383" s="23" t="e">
        <f t="shared" si="109"/>
        <v>#N/A</v>
      </c>
    </row>
    <row r="1384" spans="2:22" x14ac:dyDescent="0.25">
      <c r="B1384" s="16">
        <v>1</v>
      </c>
      <c r="C1384" s="7">
        <v>0</v>
      </c>
      <c r="D1384" s="8">
        <v>1</v>
      </c>
      <c r="E1384" s="8">
        <v>0</v>
      </c>
      <c r="F1384" s="8">
        <v>0</v>
      </c>
      <c r="G1384" s="8">
        <v>1</v>
      </c>
      <c r="H1384" s="8">
        <v>1</v>
      </c>
      <c r="I1384" s="8">
        <v>0</v>
      </c>
      <c r="J1384" s="8">
        <v>1</v>
      </c>
      <c r="K1384" s="9">
        <v>0</v>
      </c>
      <c r="L1384" s="10">
        <v>1</v>
      </c>
      <c r="M1384" s="6">
        <v>0</v>
      </c>
      <c r="N1384" s="37" t="e" cm="1">
        <f t="array" ref="N1384">IF(OR(ISNUMBER(FIND(Aux!$D$3:$D$9,_xlfn.TEXTJOIN(,,C1384:K1384)))),NA(),IF(AND(SUM(C1384:F1384,H1384:K1384)=0,G1384=1),0,INT((SUMPRODUCT(C1384:F1384,COLUMN($A$1:$D$1)-1)+SUMPRODUCT(H1384:K1384,COLUMN($E$1:$H$1)-1))*'Line Follower'!$C$3/SUM(C1384:F1384,H1384:K1384)-'Line Follower'!$C$5)))</f>
        <v>#N/A</v>
      </c>
      <c r="O1384" s="22" t="e">
        <v>#N/A</v>
      </c>
      <c r="P1384" s="4" t="e">
        <f t="shared" si="105"/>
        <v>#N/A</v>
      </c>
      <c r="Q1384" s="4" t="e">
        <f t="shared" si="106"/>
        <v>#N/A</v>
      </c>
      <c r="R1384" s="4" t="e">
        <f>IF(AND(B1384=1,N1384&gt;'Line Follower'!$C$7,SUM(C1384:K1384)&lt;4),1,0)</f>
        <v>#N/A</v>
      </c>
      <c r="S1384" s="4" t="e">
        <f>IF(AND(L1384=1,N1384&lt;'Line Follower'!$C$6,SUM(C1384:K1384)&lt;4),1,0)</f>
        <v>#N/A</v>
      </c>
      <c r="T1384" s="4" t="e">
        <f t="shared" si="107"/>
        <v>#N/A</v>
      </c>
      <c r="U1384" s="5" t="e">
        <f t="shared" si="108"/>
        <v>#N/A</v>
      </c>
      <c r="V1384" s="23" t="e">
        <f t="shared" si="109"/>
        <v>#N/A</v>
      </c>
    </row>
    <row r="1385" spans="2:22" x14ac:dyDescent="0.25">
      <c r="B1385" s="16">
        <v>0</v>
      </c>
      <c r="C1385" s="7">
        <v>1</v>
      </c>
      <c r="D1385" s="8">
        <v>1</v>
      </c>
      <c r="E1385" s="8">
        <v>0</v>
      </c>
      <c r="F1385" s="8">
        <v>0</v>
      </c>
      <c r="G1385" s="8">
        <v>1</v>
      </c>
      <c r="H1385" s="8">
        <v>1</v>
      </c>
      <c r="I1385" s="8">
        <v>0</v>
      </c>
      <c r="J1385" s="8">
        <v>1</v>
      </c>
      <c r="K1385" s="9">
        <v>0</v>
      </c>
      <c r="L1385" s="10">
        <v>1</v>
      </c>
      <c r="M1385" s="6">
        <v>0</v>
      </c>
      <c r="N1385" s="37" t="e" cm="1">
        <f t="array" ref="N1385">IF(OR(ISNUMBER(FIND(Aux!$D$3:$D$9,_xlfn.TEXTJOIN(,,C1385:K1385)))),NA(),IF(AND(SUM(C1385:F1385,H1385:K1385)=0,G1385=1),0,INT((SUMPRODUCT(C1385:F1385,COLUMN($A$1:$D$1)-1)+SUMPRODUCT(H1385:K1385,COLUMN($E$1:$H$1)-1))*'Line Follower'!$C$3/SUM(C1385:F1385,H1385:K1385)-'Line Follower'!$C$5)))</f>
        <v>#N/A</v>
      </c>
      <c r="O1385" s="22" t="e">
        <v>#N/A</v>
      </c>
      <c r="P1385" s="4" t="e">
        <f t="shared" si="105"/>
        <v>#N/A</v>
      </c>
      <c r="Q1385" s="4" t="e">
        <f t="shared" si="106"/>
        <v>#N/A</v>
      </c>
      <c r="R1385" s="4" t="e">
        <f>IF(AND(B1385=1,N1385&gt;'Line Follower'!$C$7,SUM(C1385:K1385)&lt;4),1,0)</f>
        <v>#N/A</v>
      </c>
      <c r="S1385" s="4" t="e">
        <f>IF(AND(L1385=1,N1385&lt;'Line Follower'!$C$6,SUM(C1385:K1385)&lt;4),1,0)</f>
        <v>#N/A</v>
      </c>
      <c r="T1385" s="4" t="e">
        <f t="shared" si="107"/>
        <v>#N/A</v>
      </c>
      <c r="U1385" s="5" t="e">
        <f t="shared" si="108"/>
        <v>#N/A</v>
      </c>
      <c r="V1385" s="23" t="e">
        <f t="shared" si="109"/>
        <v>#N/A</v>
      </c>
    </row>
    <row r="1386" spans="2:22" x14ac:dyDescent="0.25">
      <c r="B1386" s="16">
        <v>1</v>
      </c>
      <c r="C1386" s="7">
        <v>1</v>
      </c>
      <c r="D1386" s="8">
        <v>1</v>
      </c>
      <c r="E1386" s="8">
        <v>0</v>
      </c>
      <c r="F1386" s="8">
        <v>0</v>
      </c>
      <c r="G1386" s="8">
        <v>1</v>
      </c>
      <c r="H1386" s="8">
        <v>1</v>
      </c>
      <c r="I1386" s="8">
        <v>0</v>
      </c>
      <c r="J1386" s="8">
        <v>1</v>
      </c>
      <c r="K1386" s="9">
        <v>0</v>
      </c>
      <c r="L1386" s="10">
        <v>1</v>
      </c>
      <c r="M1386" s="6">
        <v>0</v>
      </c>
      <c r="N1386" s="37" t="e" cm="1">
        <f t="array" ref="N1386">IF(OR(ISNUMBER(FIND(Aux!$D$3:$D$9,_xlfn.TEXTJOIN(,,C1386:K1386)))),NA(),IF(AND(SUM(C1386:F1386,H1386:K1386)=0,G1386=1),0,INT((SUMPRODUCT(C1386:F1386,COLUMN($A$1:$D$1)-1)+SUMPRODUCT(H1386:K1386,COLUMN($E$1:$H$1)-1))*'Line Follower'!$C$3/SUM(C1386:F1386,H1386:K1386)-'Line Follower'!$C$5)))</f>
        <v>#N/A</v>
      </c>
      <c r="O1386" s="22" t="e">
        <v>#N/A</v>
      </c>
      <c r="P1386" s="4" t="e">
        <f t="shared" si="105"/>
        <v>#N/A</v>
      </c>
      <c r="Q1386" s="4" t="e">
        <f t="shared" si="106"/>
        <v>#N/A</v>
      </c>
      <c r="R1386" s="4" t="e">
        <f>IF(AND(B1386=1,N1386&gt;'Line Follower'!$C$7,SUM(C1386:K1386)&lt;4),1,0)</f>
        <v>#N/A</v>
      </c>
      <c r="S1386" s="4" t="e">
        <f>IF(AND(L1386=1,N1386&lt;'Line Follower'!$C$6,SUM(C1386:K1386)&lt;4),1,0)</f>
        <v>#N/A</v>
      </c>
      <c r="T1386" s="4" t="e">
        <f t="shared" si="107"/>
        <v>#N/A</v>
      </c>
      <c r="U1386" s="5" t="e">
        <f t="shared" si="108"/>
        <v>#N/A</v>
      </c>
      <c r="V1386" s="23" t="e">
        <f t="shared" si="109"/>
        <v>#N/A</v>
      </c>
    </row>
    <row r="1387" spans="2:22" x14ac:dyDescent="0.25">
      <c r="B1387" s="16">
        <v>0</v>
      </c>
      <c r="C1387" s="7">
        <v>0</v>
      </c>
      <c r="D1387" s="8">
        <v>0</v>
      </c>
      <c r="E1387" s="8">
        <v>1</v>
      </c>
      <c r="F1387" s="8">
        <v>0</v>
      </c>
      <c r="G1387" s="8">
        <v>1</v>
      </c>
      <c r="H1387" s="8">
        <v>1</v>
      </c>
      <c r="I1387" s="8">
        <v>0</v>
      </c>
      <c r="J1387" s="8">
        <v>1</v>
      </c>
      <c r="K1387" s="9">
        <v>0</v>
      </c>
      <c r="L1387" s="10">
        <v>1</v>
      </c>
      <c r="M1387" s="6">
        <v>0</v>
      </c>
      <c r="N1387" s="37" t="e" cm="1">
        <f t="array" ref="N1387">IF(OR(ISNUMBER(FIND(Aux!$D$3:$D$9,_xlfn.TEXTJOIN(,,C1387:K1387)))),NA(),IF(AND(SUM(C1387:F1387,H1387:K1387)=0,G1387=1),0,INT((SUMPRODUCT(C1387:F1387,COLUMN($A$1:$D$1)-1)+SUMPRODUCT(H1387:K1387,COLUMN($E$1:$H$1)-1))*'Line Follower'!$C$3/SUM(C1387:F1387,H1387:K1387)-'Line Follower'!$C$5)))</f>
        <v>#N/A</v>
      </c>
      <c r="O1387" s="22" t="e">
        <v>#N/A</v>
      </c>
      <c r="P1387" s="4" t="e">
        <f t="shared" si="105"/>
        <v>#N/A</v>
      </c>
      <c r="Q1387" s="4" t="e">
        <f t="shared" si="106"/>
        <v>#N/A</v>
      </c>
      <c r="R1387" s="4" t="e">
        <f>IF(AND(B1387=1,N1387&gt;'Line Follower'!$C$7,SUM(C1387:K1387)&lt;4),1,0)</f>
        <v>#N/A</v>
      </c>
      <c r="S1387" s="4" t="e">
        <f>IF(AND(L1387=1,N1387&lt;'Line Follower'!$C$6,SUM(C1387:K1387)&lt;4),1,0)</f>
        <v>#N/A</v>
      </c>
      <c r="T1387" s="4" t="e">
        <f t="shared" si="107"/>
        <v>#N/A</v>
      </c>
      <c r="U1387" s="5" t="e">
        <f t="shared" si="108"/>
        <v>#N/A</v>
      </c>
      <c r="V1387" s="23" t="e">
        <f t="shared" si="109"/>
        <v>#N/A</v>
      </c>
    </row>
    <row r="1388" spans="2:22" x14ac:dyDescent="0.25">
      <c r="B1388" s="16">
        <v>1</v>
      </c>
      <c r="C1388" s="7">
        <v>0</v>
      </c>
      <c r="D1388" s="8">
        <v>0</v>
      </c>
      <c r="E1388" s="8">
        <v>1</v>
      </c>
      <c r="F1388" s="8">
        <v>0</v>
      </c>
      <c r="G1388" s="8">
        <v>1</v>
      </c>
      <c r="H1388" s="8">
        <v>1</v>
      </c>
      <c r="I1388" s="8">
        <v>0</v>
      </c>
      <c r="J1388" s="8">
        <v>1</v>
      </c>
      <c r="K1388" s="9">
        <v>0</v>
      </c>
      <c r="L1388" s="10">
        <v>1</v>
      </c>
      <c r="M1388" s="6">
        <v>0</v>
      </c>
      <c r="N1388" s="37" t="e" cm="1">
        <f t="array" ref="N1388">IF(OR(ISNUMBER(FIND(Aux!$D$3:$D$9,_xlfn.TEXTJOIN(,,C1388:K1388)))),NA(),IF(AND(SUM(C1388:F1388,H1388:K1388)=0,G1388=1),0,INT((SUMPRODUCT(C1388:F1388,COLUMN($A$1:$D$1)-1)+SUMPRODUCT(H1388:K1388,COLUMN($E$1:$H$1)-1))*'Line Follower'!$C$3/SUM(C1388:F1388,H1388:K1388)-'Line Follower'!$C$5)))</f>
        <v>#N/A</v>
      </c>
      <c r="O1388" s="22" t="e">
        <v>#N/A</v>
      </c>
      <c r="P1388" s="4" t="e">
        <f t="shared" si="105"/>
        <v>#N/A</v>
      </c>
      <c r="Q1388" s="4" t="e">
        <f t="shared" si="106"/>
        <v>#N/A</v>
      </c>
      <c r="R1388" s="4" t="e">
        <f>IF(AND(B1388=1,N1388&gt;'Line Follower'!$C$7,SUM(C1388:K1388)&lt;4),1,0)</f>
        <v>#N/A</v>
      </c>
      <c r="S1388" s="4" t="e">
        <f>IF(AND(L1388=1,N1388&lt;'Line Follower'!$C$6,SUM(C1388:K1388)&lt;4),1,0)</f>
        <v>#N/A</v>
      </c>
      <c r="T1388" s="4" t="e">
        <f t="shared" si="107"/>
        <v>#N/A</v>
      </c>
      <c r="U1388" s="5" t="e">
        <f t="shared" si="108"/>
        <v>#N/A</v>
      </c>
      <c r="V1388" s="23" t="e">
        <f t="shared" si="109"/>
        <v>#N/A</v>
      </c>
    </row>
    <row r="1389" spans="2:22" x14ac:dyDescent="0.25">
      <c r="B1389" s="16">
        <v>0</v>
      </c>
      <c r="C1389" s="7">
        <v>1</v>
      </c>
      <c r="D1389" s="8">
        <v>0</v>
      </c>
      <c r="E1389" s="8">
        <v>1</v>
      </c>
      <c r="F1389" s="8">
        <v>0</v>
      </c>
      <c r="G1389" s="8">
        <v>1</v>
      </c>
      <c r="H1389" s="8">
        <v>1</v>
      </c>
      <c r="I1389" s="8">
        <v>0</v>
      </c>
      <c r="J1389" s="8">
        <v>1</v>
      </c>
      <c r="K1389" s="9">
        <v>0</v>
      </c>
      <c r="L1389" s="10">
        <v>1</v>
      </c>
      <c r="M1389" s="6">
        <v>0</v>
      </c>
      <c r="N1389" s="37" t="e" cm="1">
        <f t="array" ref="N1389">IF(OR(ISNUMBER(FIND(Aux!$D$3:$D$9,_xlfn.TEXTJOIN(,,C1389:K1389)))),NA(),IF(AND(SUM(C1389:F1389,H1389:K1389)=0,G1389=1),0,INT((SUMPRODUCT(C1389:F1389,COLUMN($A$1:$D$1)-1)+SUMPRODUCT(H1389:K1389,COLUMN($E$1:$H$1)-1))*'Line Follower'!$C$3/SUM(C1389:F1389,H1389:K1389)-'Line Follower'!$C$5)))</f>
        <v>#N/A</v>
      </c>
      <c r="O1389" s="22" t="e">
        <v>#N/A</v>
      </c>
      <c r="P1389" s="4" t="e">
        <f t="shared" si="105"/>
        <v>#N/A</v>
      </c>
      <c r="Q1389" s="4" t="e">
        <f t="shared" si="106"/>
        <v>#N/A</v>
      </c>
      <c r="R1389" s="4" t="e">
        <f>IF(AND(B1389=1,N1389&gt;'Line Follower'!$C$7,SUM(C1389:K1389)&lt;4),1,0)</f>
        <v>#N/A</v>
      </c>
      <c r="S1389" s="4" t="e">
        <f>IF(AND(L1389=1,N1389&lt;'Line Follower'!$C$6,SUM(C1389:K1389)&lt;4),1,0)</f>
        <v>#N/A</v>
      </c>
      <c r="T1389" s="4" t="e">
        <f t="shared" si="107"/>
        <v>#N/A</v>
      </c>
      <c r="U1389" s="5" t="e">
        <f t="shared" si="108"/>
        <v>#N/A</v>
      </c>
      <c r="V1389" s="23" t="e">
        <f t="shared" si="109"/>
        <v>#N/A</v>
      </c>
    </row>
    <row r="1390" spans="2:22" x14ac:dyDescent="0.25">
      <c r="B1390" s="16">
        <v>1</v>
      </c>
      <c r="C1390" s="7">
        <v>1</v>
      </c>
      <c r="D1390" s="8">
        <v>0</v>
      </c>
      <c r="E1390" s="8">
        <v>1</v>
      </c>
      <c r="F1390" s="8">
        <v>0</v>
      </c>
      <c r="G1390" s="8">
        <v>1</v>
      </c>
      <c r="H1390" s="8">
        <v>1</v>
      </c>
      <c r="I1390" s="8">
        <v>0</v>
      </c>
      <c r="J1390" s="8">
        <v>1</v>
      </c>
      <c r="K1390" s="9">
        <v>0</v>
      </c>
      <c r="L1390" s="10">
        <v>1</v>
      </c>
      <c r="M1390" s="6">
        <v>0</v>
      </c>
      <c r="N1390" s="37" t="e" cm="1">
        <f t="array" ref="N1390">IF(OR(ISNUMBER(FIND(Aux!$D$3:$D$9,_xlfn.TEXTJOIN(,,C1390:K1390)))),NA(),IF(AND(SUM(C1390:F1390,H1390:K1390)=0,G1390=1),0,INT((SUMPRODUCT(C1390:F1390,COLUMN($A$1:$D$1)-1)+SUMPRODUCT(H1390:K1390,COLUMN($E$1:$H$1)-1))*'Line Follower'!$C$3/SUM(C1390:F1390,H1390:K1390)-'Line Follower'!$C$5)))</f>
        <v>#N/A</v>
      </c>
      <c r="O1390" s="22" t="e">
        <v>#N/A</v>
      </c>
      <c r="P1390" s="4" t="e">
        <f t="shared" si="105"/>
        <v>#N/A</v>
      </c>
      <c r="Q1390" s="4" t="e">
        <f t="shared" si="106"/>
        <v>#N/A</v>
      </c>
      <c r="R1390" s="4" t="e">
        <f>IF(AND(B1390=1,N1390&gt;'Line Follower'!$C$7,SUM(C1390:K1390)&lt;4),1,0)</f>
        <v>#N/A</v>
      </c>
      <c r="S1390" s="4" t="e">
        <f>IF(AND(L1390=1,N1390&lt;'Line Follower'!$C$6,SUM(C1390:K1390)&lt;4),1,0)</f>
        <v>#N/A</v>
      </c>
      <c r="T1390" s="4" t="e">
        <f t="shared" si="107"/>
        <v>#N/A</v>
      </c>
      <c r="U1390" s="5" t="e">
        <f t="shared" si="108"/>
        <v>#N/A</v>
      </c>
      <c r="V1390" s="23" t="e">
        <f t="shared" si="109"/>
        <v>#N/A</v>
      </c>
    </row>
    <row r="1391" spans="2:22" x14ac:dyDescent="0.25">
      <c r="B1391" s="16">
        <v>0</v>
      </c>
      <c r="C1391" s="7">
        <v>0</v>
      </c>
      <c r="D1391" s="8">
        <v>1</v>
      </c>
      <c r="E1391" s="8">
        <v>1</v>
      </c>
      <c r="F1391" s="8">
        <v>0</v>
      </c>
      <c r="G1391" s="8">
        <v>1</v>
      </c>
      <c r="H1391" s="8">
        <v>1</v>
      </c>
      <c r="I1391" s="8">
        <v>0</v>
      </c>
      <c r="J1391" s="8">
        <v>1</v>
      </c>
      <c r="K1391" s="9">
        <v>0</v>
      </c>
      <c r="L1391" s="10">
        <v>1</v>
      </c>
      <c r="M1391" s="6">
        <v>0</v>
      </c>
      <c r="N1391" s="37" t="e" cm="1">
        <f t="array" ref="N1391">IF(OR(ISNUMBER(FIND(Aux!$D$3:$D$9,_xlfn.TEXTJOIN(,,C1391:K1391)))),NA(),IF(AND(SUM(C1391:F1391,H1391:K1391)=0,G1391=1),0,INT((SUMPRODUCT(C1391:F1391,COLUMN($A$1:$D$1)-1)+SUMPRODUCT(H1391:K1391,COLUMN($E$1:$H$1)-1))*'Line Follower'!$C$3/SUM(C1391:F1391,H1391:K1391)-'Line Follower'!$C$5)))</f>
        <v>#N/A</v>
      </c>
      <c r="O1391" s="22" t="e">
        <v>#N/A</v>
      </c>
      <c r="P1391" s="4" t="e">
        <f t="shared" si="105"/>
        <v>#N/A</v>
      </c>
      <c r="Q1391" s="4" t="e">
        <f t="shared" si="106"/>
        <v>#N/A</v>
      </c>
      <c r="R1391" s="4" t="e">
        <f>IF(AND(B1391=1,N1391&gt;'Line Follower'!$C$7,SUM(C1391:K1391)&lt;4),1,0)</f>
        <v>#N/A</v>
      </c>
      <c r="S1391" s="4" t="e">
        <f>IF(AND(L1391=1,N1391&lt;'Line Follower'!$C$6,SUM(C1391:K1391)&lt;4),1,0)</f>
        <v>#N/A</v>
      </c>
      <c r="T1391" s="4" t="e">
        <f t="shared" si="107"/>
        <v>#N/A</v>
      </c>
      <c r="U1391" s="5" t="e">
        <f t="shared" si="108"/>
        <v>#N/A</v>
      </c>
      <c r="V1391" s="23" t="e">
        <f t="shared" si="109"/>
        <v>#N/A</v>
      </c>
    </row>
    <row r="1392" spans="2:22" x14ac:dyDescent="0.25">
      <c r="B1392" s="16">
        <v>1</v>
      </c>
      <c r="C1392" s="7">
        <v>0</v>
      </c>
      <c r="D1392" s="8">
        <v>1</v>
      </c>
      <c r="E1392" s="8">
        <v>1</v>
      </c>
      <c r="F1392" s="8">
        <v>0</v>
      </c>
      <c r="G1392" s="8">
        <v>1</v>
      </c>
      <c r="H1392" s="8">
        <v>1</v>
      </c>
      <c r="I1392" s="8">
        <v>0</v>
      </c>
      <c r="J1392" s="8">
        <v>1</v>
      </c>
      <c r="K1392" s="9">
        <v>0</v>
      </c>
      <c r="L1392" s="10">
        <v>1</v>
      </c>
      <c r="M1392" s="6">
        <v>0</v>
      </c>
      <c r="N1392" s="37" t="e" cm="1">
        <f t="array" ref="N1392">IF(OR(ISNUMBER(FIND(Aux!$D$3:$D$9,_xlfn.TEXTJOIN(,,C1392:K1392)))),NA(),IF(AND(SUM(C1392:F1392,H1392:K1392)=0,G1392=1),0,INT((SUMPRODUCT(C1392:F1392,COLUMN($A$1:$D$1)-1)+SUMPRODUCT(H1392:K1392,COLUMN($E$1:$H$1)-1))*'Line Follower'!$C$3/SUM(C1392:F1392,H1392:K1392)-'Line Follower'!$C$5)))</f>
        <v>#N/A</v>
      </c>
      <c r="O1392" s="22" t="e">
        <v>#N/A</v>
      </c>
      <c r="P1392" s="4" t="e">
        <f t="shared" si="105"/>
        <v>#N/A</v>
      </c>
      <c r="Q1392" s="4" t="e">
        <f t="shared" si="106"/>
        <v>#N/A</v>
      </c>
      <c r="R1392" s="4" t="e">
        <f>IF(AND(B1392=1,N1392&gt;'Line Follower'!$C$7,SUM(C1392:K1392)&lt;4),1,0)</f>
        <v>#N/A</v>
      </c>
      <c r="S1392" s="4" t="e">
        <f>IF(AND(L1392=1,N1392&lt;'Line Follower'!$C$6,SUM(C1392:K1392)&lt;4),1,0)</f>
        <v>#N/A</v>
      </c>
      <c r="T1392" s="4" t="e">
        <f t="shared" si="107"/>
        <v>#N/A</v>
      </c>
      <c r="U1392" s="5" t="e">
        <f t="shared" si="108"/>
        <v>#N/A</v>
      </c>
      <c r="V1392" s="23" t="e">
        <f t="shared" si="109"/>
        <v>#N/A</v>
      </c>
    </row>
    <row r="1393" spans="2:22" x14ac:dyDescent="0.25">
      <c r="B1393" s="16">
        <v>0</v>
      </c>
      <c r="C1393" s="7">
        <v>1</v>
      </c>
      <c r="D1393" s="8">
        <v>1</v>
      </c>
      <c r="E1393" s="8">
        <v>1</v>
      </c>
      <c r="F1393" s="8">
        <v>0</v>
      </c>
      <c r="G1393" s="8">
        <v>1</v>
      </c>
      <c r="H1393" s="8">
        <v>1</v>
      </c>
      <c r="I1393" s="8">
        <v>0</v>
      </c>
      <c r="J1393" s="8">
        <v>1</v>
      </c>
      <c r="K1393" s="9">
        <v>0</v>
      </c>
      <c r="L1393" s="10">
        <v>1</v>
      </c>
      <c r="M1393" s="6">
        <v>0</v>
      </c>
      <c r="N1393" s="37" t="e" cm="1">
        <f t="array" ref="N1393">IF(OR(ISNUMBER(FIND(Aux!$D$3:$D$9,_xlfn.TEXTJOIN(,,C1393:K1393)))),NA(),IF(AND(SUM(C1393:F1393,H1393:K1393)=0,G1393=1),0,INT((SUMPRODUCT(C1393:F1393,COLUMN($A$1:$D$1)-1)+SUMPRODUCT(H1393:K1393,COLUMN($E$1:$H$1)-1))*'Line Follower'!$C$3/SUM(C1393:F1393,H1393:K1393)-'Line Follower'!$C$5)))</f>
        <v>#N/A</v>
      </c>
      <c r="O1393" s="22" t="e">
        <v>#N/A</v>
      </c>
      <c r="P1393" s="4" t="e">
        <f t="shared" si="105"/>
        <v>#N/A</v>
      </c>
      <c r="Q1393" s="4" t="e">
        <f t="shared" si="106"/>
        <v>#N/A</v>
      </c>
      <c r="R1393" s="4" t="e">
        <f>IF(AND(B1393=1,N1393&gt;'Line Follower'!$C$7,SUM(C1393:K1393)&lt;4),1,0)</f>
        <v>#N/A</v>
      </c>
      <c r="S1393" s="4" t="e">
        <f>IF(AND(L1393=1,N1393&lt;'Line Follower'!$C$6,SUM(C1393:K1393)&lt;4),1,0)</f>
        <v>#N/A</v>
      </c>
      <c r="T1393" s="4" t="e">
        <f t="shared" si="107"/>
        <v>#N/A</v>
      </c>
      <c r="U1393" s="5" t="e">
        <f t="shared" si="108"/>
        <v>#N/A</v>
      </c>
      <c r="V1393" s="23" t="e">
        <f t="shared" si="109"/>
        <v>#N/A</v>
      </c>
    </row>
    <row r="1394" spans="2:22" x14ac:dyDescent="0.25">
      <c r="B1394" s="16">
        <v>1</v>
      </c>
      <c r="C1394" s="7">
        <v>1</v>
      </c>
      <c r="D1394" s="8">
        <v>1</v>
      </c>
      <c r="E1394" s="8">
        <v>1</v>
      </c>
      <c r="F1394" s="8">
        <v>0</v>
      </c>
      <c r="G1394" s="8">
        <v>1</v>
      </c>
      <c r="H1394" s="8">
        <v>1</v>
      </c>
      <c r="I1394" s="8">
        <v>0</v>
      </c>
      <c r="J1394" s="8">
        <v>1</v>
      </c>
      <c r="K1394" s="9">
        <v>0</v>
      </c>
      <c r="L1394" s="10">
        <v>1</v>
      </c>
      <c r="M1394" s="6">
        <v>0</v>
      </c>
      <c r="N1394" s="37" t="e" cm="1">
        <f t="array" ref="N1394">IF(OR(ISNUMBER(FIND(Aux!$D$3:$D$9,_xlfn.TEXTJOIN(,,C1394:K1394)))),NA(),IF(AND(SUM(C1394:F1394,H1394:K1394)=0,G1394=1),0,INT((SUMPRODUCT(C1394:F1394,COLUMN($A$1:$D$1)-1)+SUMPRODUCT(H1394:K1394,COLUMN($E$1:$H$1)-1))*'Line Follower'!$C$3/SUM(C1394:F1394,H1394:K1394)-'Line Follower'!$C$5)))</f>
        <v>#N/A</v>
      </c>
      <c r="O1394" s="22" t="e">
        <v>#N/A</v>
      </c>
      <c r="P1394" s="4" t="e">
        <f t="shared" si="105"/>
        <v>#N/A</v>
      </c>
      <c r="Q1394" s="4" t="e">
        <f t="shared" si="106"/>
        <v>#N/A</v>
      </c>
      <c r="R1394" s="4" t="e">
        <f>IF(AND(B1394=1,N1394&gt;'Line Follower'!$C$7,SUM(C1394:K1394)&lt;4),1,0)</f>
        <v>#N/A</v>
      </c>
      <c r="S1394" s="4" t="e">
        <f>IF(AND(L1394=1,N1394&lt;'Line Follower'!$C$6,SUM(C1394:K1394)&lt;4),1,0)</f>
        <v>#N/A</v>
      </c>
      <c r="T1394" s="4" t="e">
        <f t="shared" si="107"/>
        <v>#N/A</v>
      </c>
      <c r="U1394" s="5" t="e">
        <f t="shared" si="108"/>
        <v>#N/A</v>
      </c>
      <c r="V1394" s="23" t="e">
        <f t="shared" si="109"/>
        <v>#N/A</v>
      </c>
    </row>
    <row r="1395" spans="2:22" x14ac:dyDescent="0.25">
      <c r="B1395" s="16">
        <v>0</v>
      </c>
      <c r="C1395" s="7">
        <v>0</v>
      </c>
      <c r="D1395" s="8">
        <v>0</v>
      </c>
      <c r="E1395" s="8">
        <v>0</v>
      </c>
      <c r="F1395" s="8">
        <v>1</v>
      </c>
      <c r="G1395" s="8">
        <v>1</v>
      </c>
      <c r="H1395" s="8">
        <v>1</v>
      </c>
      <c r="I1395" s="8">
        <v>0</v>
      </c>
      <c r="J1395" s="8">
        <v>1</v>
      </c>
      <c r="K1395" s="9">
        <v>0</v>
      </c>
      <c r="L1395" s="10">
        <v>1</v>
      </c>
      <c r="M1395" s="6">
        <v>0</v>
      </c>
      <c r="N1395" s="37" t="e" cm="1">
        <f t="array" ref="N1395">IF(OR(ISNUMBER(FIND(Aux!$D$3:$D$9,_xlfn.TEXTJOIN(,,C1395:K1395)))),NA(),IF(AND(SUM(C1395:F1395,H1395:K1395)=0,G1395=1),0,INT((SUMPRODUCT(C1395:F1395,COLUMN($A$1:$D$1)-1)+SUMPRODUCT(H1395:K1395,COLUMN($E$1:$H$1)-1))*'Line Follower'!$C$3/SUM(C1395:F1395,H1395:K1395)-'Line Follower'!$C$5)))</f>
        <v>#N/A</v>
      </c>
      <c r="O1395" s="22" t="e">
        <v>#N/A</v>
      </c>
      <c r="P1395" s="4" t="e">
        <f t="shared" si="105"/>
        <v>#N/A</v>
      </c>
      <c r="Q1395" s="4" t="e">
        <f t="shared" si="106"/>
        <v>#N/A</v>
      </c>
      <c r="R1395" s="4" t="e">
        <f>IF(AND(B1395=1,N1395&gt;'Line Follower'!$C$7,SUM(C1395:K1395)&lt;4),1,0)</f>
        <v>#N/A</v>
      </c>
      <c r="S1395" s="4" t="e">
        <f>IF(AND(L1395=1,N1395&lt;'Line Follower'!$C$6,SUM(C1395:K1395)&lt;4),1,0)</f>
        <v>#N/A</v>
      </c>
      <c r="T1395" s="4" t="e">
        <f t="shared" si="107"/>
        <v>#N/A</v>
      </c>
      <c r="U1395" s="5" t="e">
        <f t="shared" si="108"/>
        <v>#N/A</v>
      </c>
      <c r="V1395" s="23" t="e">
        <f t="shared" si="109"/>
        <v>#N/A</v>
      </c>
    </row>
    <row r="1396" spans="2:22" x14ac:dyDescent="0.25">
      <c r="B1396" s="16">
        <v>1</v>
      </c>
      <c r="C1396" s="7">
        <v>0</v>
      </c>
      <c r="D1396" s="8">
        <v>0</v>
      </c>
      <c r="E1396" s="8">
        <v>0</v>
      </c>
      <c r="F1396" s="8">
        <v>1</v>
      </c>
      <c r="G1396" s="8">
        <v>1</v>
      </c>
      <c r="H1396" s="8">
        <v>1</v>
      </c>
      <c r="I1396" s="8">
        <v>0</v>
      </c>
      <c r="J1396" s="8">
        <v>1</v>
      </c>
      <c r="K1396" s="9">
        <v>0</v>
      </c>
      <c r="L1396" s="10">
        <v>1</v>
      </c>
      <c r="M1396" s="6">
        <v>0</v>
      </c>
      <c r="N1396" s="37" t="e" cm="1">
        <f t="array" ref="N1396">IF(OR(ISNUMBER(FIND(Aux!$D$3:$D$9,_xlfn.TEXTJOIN(,,C1396:K1396)))),NA(),IF(AND(SUM(C1396:F1396,H1396:K1396)=0,G1396=1),0,INT((SUMPRODUCT(C1396:F1396,COLUMN($A$1:$D$1)-1)+SUMPRODUCT(H1396:K1396,COLUMN($E$1:$H$1)-1))*'Line Follower'!$C$3/SUM(C1396:F1396,H1396:K1396)-'Line Follower'!$C$5)))</f>
        <v>#N/A</v>
      </c>
      <c r="O1396" s="22" t="e">
        <v>#N/A</v>
      </c>
      <c r="P1396" s="4" t="e">
        <f t="shared" si="105"/>
        <v>#N/A</v>
      </c>
      <c r="Q1396" s="4" t="e">
        <f t="shared" si="106"/>
        <v>#N/A</v>
      </c>
      <c r="R1396" s="4" t="e">
        <f>IF(AND(B1396=1,N1396&gt;'Line Follower'!$C$7,SUM(C1396:K1396)&lt;4),1,0)</f>
        <v>#N/A</v>
      </c>
      <c r="S1396" s="4" t="e">
        <f>IF(AND(L1396=1,N1396&lt;'Line Follower'!$C$6,SUM(C1396:K1396)&lt;4),1,0)</f>
        <v>#N/A</v>
      </c>
      <c r="T1396" s="4" t="e">
        <f t="shared" si="107"/>
        <v>#N/A</v>
      </c>
      <c r="U1396" s="5" t="e">
        <f t="shared" si="108"/>
        <v>#N/A</v>
      </c>
      <c r="V1396" s="23" t="e">
        <f t="shared" si="109"/>
        <v>#N/A</v>
      </c>
    </row>
    <row r="1397" spans="2:22" x14ac:dyDescent="0.25">
      <c r="B1397" s="16">
        <v>0</v>
      </c>
      <c r="C1397" s="7">
        <v>1</v>
      </c>
      <c r="D1397" s="8">
        <v>0</v>
      </c>
      <c r="E1397" s="8">
        <v>0</v>
      </c>
      <c r="F1397" s="8">
        <v>1</v>
      </c>
      <c r="G1397" s="8">
        <v>1</v>
      </c>
      <c r="H1397" s="8">
        <v>1</v>
      </c>
      <c r="I1397" s="8">
        <v>0</v>
      </c>
      <c r="J1397" s="8">
        <v>1</v>
      </c>
      <c r="K1397" s="9">
        <v>0</v>
      </c>
      <c r="L1397" s="10">
        <v>1</v>
      </c>
      <c r="M1397" s="6">
        <v>0</v>
      </c>
      <c r="N1397" s="37" t="e" cm="1">
        <f t="array" ref="N1397">IF(OR(ISNUMBER(FIND(Aux!$D$3:$D$9,_xlfn.TEXTJOIN(,,C1397:K1397)))),NA(),IF(AND(SUM(C1397:F1397,H1397:K1397)=0,G1397=1),0,INT((SUMPRODUCT(C1397:F1397,COLUMN($A$1:$D$1)-1)+SUMPRODUCT(H1397:K1397,COLUMN($E$1:$H$1)-1))*'Line Follower'!$C$3/SUM(C1397:F1397,H1397:K1397)-'Line Follower'!$C$5)))</f>
        <v>#N/A</v>
      </c>
      <c r="O1397" s="22" t="e">
        <v>#N/A</v>
      </c>
      <c r="P1397" s="4" t="e">
        <f t="shared" si="105"/>
        <v>#N/A</v>
      </c>
      <c r="Q1397" s="4" t="e">
        <f t="shared" si="106"/>
        <v>#N/A</v>
      </c>
      <c r="R1397" s="4" t="e">
        <f>IF(AND(B1397=1,N1397&gt;'Line Follower'!$C$7,SUM(C1397:K1397)&lt;4),1,0)</f>
        <v>#N/A</v>
      </c>
      <c r="S1397" s="4" t="e">
        <f>IF(AND(L1397=1,N1397&lt;'Line Follower'!$C$6,SUM(C1397:K1397)&lt;4),1,0)</f>
        <v>#N/A</v>
      </c>
      <c r="T1397" s="4" t="e">
        <f t="shared" si="107"/>
        <v>#N/A</v>
      </c>
      <c r="U1397" s="5" t="e">
        <f t="shared" si="108"/>
        <v>#N/A</v>
      </c>
      <c r="V1397" s="23" t="e">
        <f t="shared" si="109"/>
        <v>#N/A</v>
      </c>
    </row>
    <row r="1398" spans="2:22" x14ac:dyDescent="0.25">
      <c r="B1398" s="16">
        <v>1</v>
      </c>
      <c r="C1398" s="7">
        <v>1</v>
      </c>
      <c r="D1398" s="8">
        <v>0</v>
      </c>
      <c r="E1398" s="8">
        <v>0</v>
      </c>
      <c r="F1398" s="8">
        <v>1</v>
      </c>
      <c r="G1398" s="8">
        <v>1</v>
      </c>
      <c r="H1398" s="8">
        <v>1</v>
      </c>
      <c r="I1398" s="8">
        <v>0</v>
      </c>
      <c r="J1398" s="8">
        <v>1</v>
      </c>
      <c r="K1398" s="9">
        <v>0</v>
      </c>
      <c r="L1398" s="10">
        <v>1</v>
      </c>
      <c r="M1398" s="6">
        <v>0</v>
      </c>
      <c r="N1398" s="37" t="e" cm="1">
        <f t="array" ref="N1398">IF(OR(ISNUMBER(FIND(Aux!$D$3:$D$9,_xlfn.TEXTJOIN(,,C1398:K1398)))),NA(),IF(AND(SUM(C1398:F1398,H1398:K1398)=0,G1398=1),0,INT((SUMPRODUCT(C1398:F1398,COLUMN($A$1:$D$1)-1)+SUMPRODUCT(H1398:K1398,COLUMN($E$1:$H$1)-1))*'Line Follower'!$C$3/SUM(C1398:F1398,H1398:K1398)-'Line Follower'!$C$5)))</f>
        <v>#N/A</v>
      </c>
      <c r="O1398" s="22" t="e">
        <v>#N/A</v>
      </c>
      <c r="P1398" s="4" t="e">
        <f t="shared" si="105"/>
        <v>#N/A</v>
      </c>
      <c r="Q1398" s="4" t="e">
        <f t="shared" si="106"/>
        <v>#N/A</v>
      </c>
      <c r="R1398" s="4" t="e">
        <f>IF(AND(B1398=1,N1398&gt;'Line Follower'!$C$7,SUM(C1398:K1398)&lt;4),1,0)</f>
        <v>#N/A</v>
      </c>
      <c r="S1398" s="4" t="e">
        <f>IF(AND(L1398=1,N1398&lt;'Line Follower'!$C$6,SUM(C1398:K1398)&lt;4),1,0)</f>
        <v>#N/A</v>
      </c>
      <c r="T1398" s="4" t="e">
        <f t="shared" si="107"/>
        <v>#N/A</v>
      </c>
      <c r="U1398" s="5" t="e">
        <f t="shared" si="108"/>
        <v>#N/A</v>
      </c>
      <c r="V1398" s="23" t="e">
        <f t="shared" si="109"/>
        <v>#N/A</v>
      </c>
    </row>
    <row r="1399" spans="2:22" x14ac:dyDescent="0.25">
      <c r="B1399" s="16">
        <v>0</v>
      </c>
      <c r="C1399" s="7">
        <v>0</v>
      </c>
      <c r="D1399" s="8">
        <v>1</v>
      </c>
      <c r="E1399" s="8">
        <v>0</v>
      </c>
      <c r="F1399" s="8">
        <v>1</v>
      </c>
      <c r="G1399" s="8">
        <v>1</v>
      </c>
      <c r="H1399" s="8">
        <v>1</v>
      </c>
      <c r="I1399" s="8">
        <v>0</v>
      </c>
      <c r="J1399" s="8">
        <v>1</v>
      </c>
      <c r="K1399" s="9">
        <v>0</v>
      </c>
      <c r="L1399" s="10">
        <v>1</v>
      </c>
      <c r="M1399" s="6">
        <v>0</v>
      </c>
      <c r="N1399" s="37" t="e" cm="1">
        <f t="array" ref="N1399">IF(OR(ISNUMBER(FIND(Aux!$D$3:$D$9,_xlfn.TEXTJOIN(,,C1399:K1399)))),NA(),IF(AND(SUM(C1399:F1399,H1399:K1399)=0,G1399=1),0,INT((SUMPRODUCT(C1399:F1399,COLUMN($A$1:$D$1)-1)+SUMPRODUCT(H1399:K1399,COLUMN($E$1:$H$1)-1))*'Line Follower'!$C$3/SUM(C1399:F1399,H1399:K1399)-'Line Follower'!$C$5)))</f>
        <v>#N/A</v>
      </c>
      <c r="O1399" s="22" t="e">
        <v>#N/A</v>
      </c>
      <c r="P1399" s="4" t="e">
        <f t="shared" si="105"/>
        <v>#N/A</v>
      </c>
      <c r="Q1399" s="4" t="e">
        <f t="shared" si="106"/>
        <v>#N/A</v>
      </c>
      <c r="R1399" s="4" t="e">
        <f>IF(AND(B1399=1,N1399&gt;'Line Follower'!$C$7,SUM(C1399:K1399)&lt;4),1,0)</f>
        <v>#N/A</v>
      </c>
      <c r="S1399" s="4" t="e">
        <f>IF(AND(L1399=1,N1399&lt;'Line Follower'!$C$6,SUM(C1399:K1399)&lt;4),1,0)</f>
        <v>#N/A</v>
      </c>
      <c r="T1399" s="4" t="e">
        <f t="shared" si="107"/>
        <v>#N/A</v>
      </c>
      <c r="U1399" s="5" t="e">
        <f t="shared" si="108"/>
        <v>#N/A</v>
      </c>
      <c r="V1399" s="23" t="e">
        <f t="shared" si="109"/>
        <v>#N/A</v>
      </c>
    </row>
    <row r="1400" spans="2:22" x14ac:dyDescent="0.25">
      <c r="B1400" s="16">
        <v>1</v>
      </c>
      <c r="C1400" s="7">
        <v>0</v>
      </c>
      <c r="D1400" s="8">
        <v>1</v>
      </c>
      <c r="E1400" s="8">
        <v>0</v>
      </c>
      <c r="F1400" s="8">
        <v>1</v>
      </c>
      <c r="G1400" s="8">
        <v>1</v>
      </c>
      <c r="H1400" s="8">
        <v>1</v>
      </c>
      <c r="I1400" s="8">
        <v>0</v>
      </c>
      <c r="J1400" s="8">
        <v>1</v>
      </c>
      <c r="K1400" s="9">
        <v>0</v>
      </c>
      <c r="L1400" s="10">
        <v>1</v>
      </c>
      <c r="M1400" s="6">
        <v>0</v>
      </c>
      <c r="N1400" s="37" t="e" cm="1">
        <f t="array" ref="N1400">IF(OR(ISNUMBER(FIND(Aux!$D$3:$D$9,_xlfn.TEXTJOIN(,,C1400:K1400)))),NA(),IF(AND(SUM(C1400:F1400,H1400:K1400)=0,G1400=1),0,INT((SUMPRODUCT(C1400:F1400,COLUMN($A$1:$D$1)-1)+SUMPRODUCT(H1400:K1400,COLUMN($E$1:$H$1)-1))*'Line Follower'!$C$3/SUM(C1400:F1400,H1400:K1400)-'Line Follower'!$C$5)))</f>
        <v>#N/A</v>
      </c>
      <c r="O1400" s="22" t="e">
        <v>#N/A</v>
      </c>
      <c r="P1400" s="4" t="e">
        <f t="shared" si="105"/>
        <v>#N/A</v>
      </c>
      <c r="Q1400" s="4" t="e">
        <f t="shared" si="106"/>
        <v>#N/A</v>
      </c>
      <c r="R1400" s="4" t="e">
        <f>IF(AND(B1400=1,N1400&gt;'Line Follower'!$C$7,SUM(C1400:K1400)&lt;4),1,0)</f>
        <v>#N/A</v>
      </c>
      <c r="S1400" s="4" t="e">
        <f>IF(AND(L1400=1,N1400&lt;'Line Follower'!$C$6,SUM(C1400:K1400)&lt;4),1,0)</f>
        <v>#N/A</v>
      </c>
      <c r="T1400" s="4" t="e">
        <f t="shared" si="107"/>
        <v>#N/A</v>
      </c>
      <c r="U1400" s="5" t="e">
        <f t="shared" si="108"/>
        <v>#N/A</v>
      </c>
      <c r="V1400" s="23" t="e">
        <f t="shared" si="109"/>
        <v>#N/A</v>
      </c>
    </row>
    <row r="1401" spans="2:22" x14ac:dyDescent="0.25">
      <c r="B1401" s="16">
        <v>0</v>
      </c>
      <c r="C1401" s="7">
        <v>1</v>
      </c>
      <c r="D1401" s="8">
        <v>1</v>
      </c>
      <c r="E1401" s="8">
        <v>0</v>
      </c>
      <c r="F1401" s="8">
        <v>1</v>
      </c>
      <c r="G1401" s="8">
        <v>1</v>
      </c>
      <c r="H1401" s="8">
        <v>1</v>
      </c>
      <c r="I1401" s="8">
        <v>0</v>
      </c>
      <c r="J1401" s="8">
        <v>1</v>
      </c>
      <c r="K1401" s="9">
        <v>0</v>
      </c>
      <c r="L1401" s="10">
        <v>1</v>
      </c>
      <c r="M1401" s="6">
        <v>0</v>
      </c>
      <c r="N1401" s="37" t="e" cm="1">
        <f t="array" ref="N1401">IF(OR(ISNUMBER(FIND(Aux!$D$3:$D$9,_xlfn.TEXTJOIN(,,C1401:K1401)))),NA(),IF(AND(SUM(C1401:F1401,H1401:K1401)=0,G1401=1),0,INT((SUMPRODUCT(C1401:F1401,COLUMN($A$1:$D$1)-1)+SUMPRODUCT(H1401:K1401,COLUMN($E$1:$H$1)-1))*'Line Follower'!$C$3/SUM(C1401:F1401,H1401:K1401)-'Line Follower'!$C$5)))</f>
        <v>#N/A</v>
      </c>
      <c r="O1401" s="22" t="e">
        <v>#N/A</v>
      </c>
      <c r="P1401" s="4" t="e">
        <f t="shared" si="105"/>
        <v>#N/A</v>
      </c>
      <c r="Q1401" s="4" t="e">
        <f t="shared" si="106"/>
        <v>#N/A</v>
      </c>
      <c r="R1401" s="4" t="e">
        <f>IF(AND(B1401=1,N1401&gt;'Line Follower'!$C$7,SUM(C1401:K1401)&lt;4),1,0)</f>
        <v>#N/A</v>
      </c>
      <c r="S1401" s="4" t="e">
        <f>IF(AND(L1401=1,N1401&lt;'Line Follower'!$C$6,SUM(C1401:K1401)&lt;4),1,0)</f>
        <v>#N/A</v>
      </c>
      <c r="T1401" s="4" t="e">
        <f t="shared" si="107"/>
        <v>#N/A</v>
      </c>
      <c r="U1401" s="5" t="e">
        <f t="shared" si="108"/>
        <v>#N/A</v>
      </c>
      <c r="V1401" s="23" t="e">
        <f t="shared" si="109"/>
        <v>#N/A</v>
      </c>
    </row>
    <row r="1402" spans="2:22" x14ac:dyDescent="0.25">
      <c r="B1402" s="16">
        <v>1</v>
      </c>
      <c r="C1402" s="7">
        <v>1</v>
      </c>
      <c r="D1402" s="8">
        <v>1</v>
      </c>
      <c r="E1402" s="8">
        <v>0</v>
      </c>
      <c r="F1402" s="8">
        <v>1</v>
      </c>
      <c r="G1402" s="8">
        <v>1</v>
      </c>
      <c r="H1402" s="8">
        <v>1</v>
      </c>
      <c r="I1402" s="8">
        <v>0</v>
      </c>
      <c r="J1402" s="8">
        <v>1</v>
      </c>
      <c r="K1402" s="9">
        <v>0</v>
      </c>
      <c r="L1402" s="10">
        <v>1</v>
      </c>
      <c r="M1402" s="6">
        <v>0</v>
      </c>
      <c r="N1402" s="37" t="e" cm="1">
        <f t="array" ref="N1402">IF(OR(ISNUMBER(FIND(Aux!$D$3:$D$9,_xlfn.TEXTJOIN(,,C1402:K1402)))),NA(),IF(AND(SUM(C1402:F1402,H1402:K1402)=0,G1402=1),0,INT((SUMPRODUCT(C1402:F1402,COLUMN($A$1:$D$1)-1)+SUMPRODUCT(H1402:K1402,COLUMN($E$1:$H$1)-1))*'Line Follower'!$C$3/SUM(C1402:F1402,H1402:K1402)-'Line Follower'!$C$5)))</f>
        <v>#N/A</v>
      </c>
      <c r="O1402" s="22" t="e">
        <v>#N/A</v>
      </c>
      <c r="P1402" s="4" t="e">
        <f t="shared" si="105"/>
        <v>#N/A</v>
      </c>
      <c r="Q1402" s="4" t="e">
        <f t="shared" si="106"/>
        <v>#N/A</v>
      </c>
      <c r="R1402" s="4" t="e">
        <f>IF(AND(B1402=1,N1402&gt;'Line Follower'!$C$7,SUM(C1402:K1402)&lt;4),1,0)</f>
        <v>#N/A</v>
      </c>
      <c r="S1402" s="4" t="e">
        <f>IF(AND(L1402=1,N1402&lt;'Line Follower'!$C$6,SUM(C1402:K1402)&lt;4),1,0)</f>
        <v>#N/A</v>
      </c>
      <c r="T1402" s="4" t="e">
        <f t="shared" si="107"/>
        <v>#N/A</v>
      </c>
      <c r="U1402" s="5" t="e">
        <f t="shared" si="108"/>
        <v>#N/A</v>
      </c>
      <c r="V1402" s="23" t="e">
        <f t="shared" si="109"/>
        <v>#N/A</v>
      </c>
    </row>
    <row r="1403" spans="2:22" x14ac:dyDescent="0.25">
      <c r="B1403" s="16">
        <v>0</v>
      </c>
      <c r="C1403" s="7">
        <v>0</v>
      </c>
      <c r="D1403" s="8">
        <v>0</v>
      </c>
      <c r="E1403" s="8">
        <v>1</v>
      </c>
      <c r="F1403" s="8">
        <v>1</v>
      </c>
      <c r="G1403" s="8">
        <v>1</v>
      </c>
      <c r="H1403" s="8">
        <v>1</v>
      </c>
      <c r="I1403" s="8">
        <v>0</v>
      </c>
      <c r="J1403" s="8">
        <v>1</v>
      </c>
      <c r="K1403" s="9">
        <v>0</v>
      </c>
      <c r="L1403" s="10">
        <v>1</v>
      </c>
      <c r="M1403" s="6">
        <v>0</v>
      </c>
      <c r="N1403" s="37" t="e" cm="1">
        <f t="array" ref="N1403">IF(OR(ISNUMBER(FIND(Aux!$D$3:$D$9,_xlfn.TEXTJOIN(,,C1403:K1403)))),NA(),IF(AND(SUM(C1403:F1403,H1403:K1403)=0,G1403=1),0,INT((SUMPRODUCT(C1403:F1403,COLUMN($A$1:$D$1)-1)+SUMPRODUCT(H1403:K1403,COLUMN($E$1:$H$1)-1))*'Line Follower'!$C$3/SUM(C1403:F1403,H1403:K1403)-'Line Follower'!$C$5)))</f>
        <v>#N/A</v>
      </c>
      <c r="O1403" s="22" t="e">
        <v>#N/A</v>
      </c>
      <c r="P1403" s="4" t="e">
        <f t="shared" si="105"/>
        <v>#N/A</v>
      </c>
      <c r="Q1403" s="4" t="e">
        <f t="shared" si="106"/>
        <v>#N/A</v>
      </c>
      <c r="R1403" s="4" t="e">
        <f>IF(AND(B1403=1,N1403&gt;'Line Follower'!$C$7,SUM(C1403:K1403)&lt;4),1,0)</f>
        <v>#N/A</v>
      </c>
      <c r="S1403" s="4" t="e">
        <f>IF(AND(L1403=1,N1403&lt;'Line Follower'!$C$6,SUM(C1403:K1403)&lt;4),1,0)</f>
        <v>#N/A</v>
      </c>
      <c r="T1403" s="4" t="e">
        <f t="shared" si="107"/>
        <v>#N/A</v>
      </c>
      <c r="U1403" s="5" t="e">
        <f t="shared" si="108"/>
        <v>#N/A</v>
      </c>
      <c r="V1403" s="23" t="e">
        <f t="shared" si="109"/>
        <v>#N/A</v>
      </c>
    </row>
    <row r="1404" spans="2:22" x14ac:dyDescent="0.25">
      <c r="B1404" s="16">
        <v>1</v>
      </c>
      <c r="C1404" s="7">
        <v>0</v>
      </c>
      <c r="D1404" s="8">
        <v>0</v>
      </c>
      <c r="E1404" s="8">
        <v>1</v>
      </c>
      <c r="F1404" s="8">
        <v>1</v>
      </c>
      <c r="G1404" s="8">
        <v>1</v>
      </c>
      <c r="H1404" s="8">
        <v>1</v>
      </c>
      <c r="I1404" s="8">
        <v>0</v>
      </c>
      <c r="J1404" s="8">
        <v>1</v>
      </c>
      <c r="K1404" s="9">
        <v>0</v>
      </c>
      <c r="L1404" s="10">
        <v>1</v>
      </c>
      <c r="M1404" s="6">
        <v>0</v>
      </c>
      <c r="N1404" s="37" t="e" cm="1">
        <f t="array" ref="N1404">IF(OR(ISNUMBER(FIND(Aux!$D$3:$D$9,_xlfn.TEXTJOIN(,,C1404:K1404)))),NA(),IF(AND(SUM(C1404:F1404,H1404:K1404)=0,G1404=1),0,INT((SUMPRODUCT(C1404:F1404,COLUMN($A$1:$D$1)-1)+SUMPRODUCT(H1404:K1404,COLUMN($E$1:$H$1)-1))*'Line Follower'!$C$3/SUM(C1404:F1404,H1404:K1404)-'Line Follower'!$C$5)))</f>
        <v>#N/A</v>
      </c>
      <c r="O1404" s="22" t="e">
        <v>#N/A</v>
      </c>
      <c r="P1404" s="4" t="e">
        <f t="shared" si="105"/>
        <v>#N/A</v>
      </c>
      <c r="Q1404" s="4" t="e">
        <f t="shared" si="106"/>
        <v>#N/A</v>
      </c>
      <c r="R1404" s="4" t="e">
        <f>IF(AND(B1404=1,N1404&gt;'Line Follower'!$C$7,SUM(C1404:K1404)&lt;4),1,0)</f>
        <v>#N/A</v>
      </c>
      <c r="S1404" s="4" t="e">
        <f>IF(AND(L1404=1,N1404&lt;'Line Follower'!$C$6,SUM(C1404:K1404)&lt;4),1,0)</f>
        <v>#N/A</v>
      </c>
      <c r="T1404" s="4" t="e">
        <f t="shared" si="107"/>
        <v>#N/A</v>
      </c>
      <c r="U1404" s="5" t="e">
        <f t="shared" si="108"/>
        <v>#N/A</v>
      </c>
      <c r="V1404" s="23" t="e">
        <f t="shared" si="109"/>
        <v>#N/A</v>
      </c>
    </row>
    <row r="1405" spans="2:22" x14ac:dyDescent="0.25">
      <c r="B1405" s="16">
        <v>0</v>
      </c>
      <c r="C1405" s="7">
        <v>1</v>
      </c>
      <c r="D1405" s="8">
        <v>0</v>
      </c>
      <c r="E1405" s="8">
        <v>1</v>
      </c>
      <c r="F1405" s="8">
        <v>1</v>
      </c>
      <c r="G1405" s="8">
        <v>1</v>
      </c>
      <c r="H1405" s="8">
        <v>1</v>
      </c>
      <c r="I1405" s="8">
        <v>0</v>
      </c>
      <c r="J1405" s="8">
        <v>1</v>
      </c>
      <c r="K1405" s="9">
        <v>0</v>
      </c>
      <c r="L1405" s="10">
        <v>1</v>
      </c>
      <c r="M1405" s="6">
        <v>0</v>
      </c>
      <c r="N1405" s="37" t="e" cm="1">
        <f t="array" ref="N1405">IF(OR(ISNUMBER(FIND(Aux!$D$3:$D$9,_xlfn.TEXTJOIN(,,C1405:K1405)))),NA(),IF(AND(SUM(C1405:F1405,H1405:K1405)=0,G1405=1),0,INT((SUMPRODUCT(C1405:F1405,COLUMN($A$1:$D$1)-1)+SUMPRODUCT(H1405:K1405,COLUMN($E$1:$H$1)-1))*'Line Follower'!$C$3/SUM(C1405:F1405,H1405:K1405)-'Line Follower'!$C$5)))</f>
        <v>#N/A</v>
      </c>
      <c r="O1405" s="22" t="e">
        <v>#N/A</v>
      </c>
      <c r="P1405" s="4" t="e">
        <f t="shared" si="105"/>
        <v>#N/A</v>
      </c>
      <c r="Q1405" s="4" t="e">
        <f t="shared" si="106"/>
        <v>#N/A</v>
      </c>
      <c r="R1405" s="4" t="e">
        <f>IF(AND(B1405=1,N1405&gt;'Line Follower'!$C$7,SUM(C1405:K1405)&lt;4),1,0)</f>
        <v>#N/A</v>
      </c>
      <c r="S1405" s="4" t="e">
        <f>IF(AND(L1405=1,N1405&lt;'Line Follower'!$C$6,SUM(C1405:K1405)&lt;4),1,0)</f>
        <v>#N/A</v>
      </c>
      <c r="T1405" s="4" t="e">
        <f t="shared" si="107"/>
        <v>#N/A</v>
      </c>
      <c r="U1405" s="5" t="e">
        <f t="shared" si="108"/>
        <v>#N/A</v>
      </c>
      <c r="V1405" s="23" t="e">
        <f t="shared" si="109"/>
        <v>#N/A</v>
      </c>
    </row>
    <row r="1406" spans="2:22" x14ac:dyDescent="0.25">
      <c r="B1406" s="16">
        <v>1</v>
      </c>
      <c r="C1406" s="7">
        <v>1</v>
      </c>
      <c r="D1406" s="8">
        <v>0</v>
      </c>
      <c r="E1406" s="8">
        <v>1</v>
      </c>
      <c r="F1406" s="8">
        <v>1</v>
      </c>
      <c r="G1406" s="8">
        <v>1</v>
      </c>
      <c r="H1406" s="8">
        <v>1</v>
      </c>
      <c r="I1406" s="8">
        <v>0</v>
      </c>
      <c r="J1406" s="8">
        <v>1</v>
      </c>
      <c r="K1406" s="9">
        <v>0</v>
      </c>
      <c r="L1406" s="10">
        <v>1</v>
      </c>
      <c r="M1406" s="6">
        <v>0</v>
      </c>
      <c r="N1406" s="37" t="e" cm="1">
        <f t="array" ref="N1406">IF(OR(ISNUMBER(FIND(Aux!$D$3:$D$9,_xlfn.TEXTJOIN(,,C1406:K1406)))),NA(),IF(AND(SUM(C1406:F1406,H1406:K1406)=0,G1406=1),0,INT((SUMPRODUCT(C1406:F1406,COLUMN($A$1:$D$1)-1)+SUMPRODUCT(H1406:K1406,COLUMN($E$1:$H$1)-1))*'Line Follower'!$C$3/SUM(C1406:F1406,H1406:K1406)-'Line Follower'!$C$5)))</f>
        <v>#N/A</v>
      </c>
      <c r="O1406" s="22" t="e">
        <v>#N/A</v>
      </c>
      <c r="P1406" s="4" t="e">
        <f t="shared" si="105"/>
        <v>#N/A</v>
      </c>
      <c r="Q1406" s="4" t="e">
        <f t="shared" si="106"/>
        <v>#N/A</v>
      </c>
      <c r="R1406" s="4" t="e">
        <f>IF(AND(B1406=1,N1406&gt;'Line Follower'!$C$7,SUM(C1406:K1406)&lt;4),1,0)</f>
        <v>#N/A</v>
      </c>
      <c r="S1406" s="4" t="e">
        <f>IF(AND(L1406=1,N1406&lt;'Line Follower'!$C$6,SUM(C1406:K1406)&lt;4),1,0)</f>
        <v>#N/A</v>
      </c>
      <c r="T1406" s="4" t="e">
        <f t="shared" si="107"/>
        <v>#N/A</v>
      </c>
      <c r="U1406" s="5" t="e">
        <f t="shared" si="108"/>
        <v>#N/A</v>
      </c>
      <c r="V1406" s="23" t="e">
        <f t="shared" si="109"/>
        <v>#N/A</v>
      </c>
    </row>
    <row r="1407" spans="2:22" x14ac:dyDescent="0.25">
      <c r="B1407" s="16">
        <v>0</v>
      </c>
      <c r="C1407" s="7">
        <v>0</v>
      </c>
      <c r="D1407" s="8">
        <v>1</v>
      </c>
      <c r="E1407" s="8">
        <v>1</v>
      </c>
      <c r="F1407" s="8">
        <v>1</v>
      </c>
      <c r="G1407" s="8">
        <v>1</v>
      </c>
      <c r="H1407" s="8">
        <v>1</v>
      </c>
      <c r="I1407" s="8">
        <v>0</v>
      </c>
      <c r="J1407" s="8">
        <v>1</v>
      </c>
      <c r="K1407" s="9">
        <v>0</v>
      </c>
      <c r="L1407" s="10">
        <v>1</v>
      </c>
      <c r="M1407" s="6">
        <v>0</v>
      </c>
      <c r="N1407" s="37" t="e" cm="1">
        <f t="array" ref="N1407">IF(OR(ISNUMBER(FIND(Aux!$D$3:$D$9,_xlfn.TEXTJOIN(,,C1407:K1407)))),NA(),IF(AND(SUM(C1407:F1407,H1407:K1407)=0,G1407=1),0,INT((SUMPRODUCT(C1407:F1407,COLUMN($A$1:$D$1)-1)+SUMPRODUCT(H1407:K1407,COLUMN($E$1:$H$1)-1))*'Line Follower'!$C$3/SUM(C1407:F1407,H1407:K1407)-'Line Follower'!$C$5)))</f>
        <v>#N/A</v>
      </c>
      <c r="O1407" s="22" t="e">
        <v>#N/A</v>
      </c>
      <c r="P1407" s="4" t="e">
        <f t="shared" si="105"/>
        <v>#N/A</v>
      </c>
      <c r="Q1407" s="4" t="e">
        <f t="shared" si="106"/>
        <v>#N/A</v>
      </c>
      <c r="R1407" s="4" t="e">
        <f>IF(AND(B1407=1,N1407&gt;'Line Follower'!$C$7,SUM(C1407:K1407)&lt;4),1,0)</f>
        <v>#N/A</v>
      </c>
      <c r="S1407" s="4" t="e">
        <f>IF(AND(L1407=1,N1407&lt;'Line Follower'!$C$6,SUM(C1407:K1407)&lt;4),1,0)</f>
        <v>#N/A</v>
      </c>
      <c r="T1407" s="4" t="e">
        <f t="shared" si="107"/>
        <v>#N/A</v>
      </c>
      <c r="U1407" s="5" t="e">
        <f t="shared" si="108"/>
        <v>#N/A</v>
      </c>
      <c r="V1407" s="23" t="e">
        <f t="shared" si="109"/>
        <v>#N/A</v>
      </c>
    </row>
    <row r="1408" spans="2:22" x14ac:dyDescent="0.25">
      <c r="B1408" s="16">
        <v>1</v>
      </c>
      <c r="C1408" s="7">
        <v>0</v>
      </c>
      <c r="D1408" s="8">
        <v>1</v>
      </c>
      <c r="E1408" s="8">
        <v>1</v>
      </c>
      <c r="F1408" s="8">
        <v>1</v>
      </c>
      <c r="G1408" s="8">
        <v>1</v>
      </c>
      <c r="H1408" s="8">
        <v>1</v>
      </c>
      <c r="I1408" s="8">
        <v>0</v>
      </c>
      <c r="J1408" s="8">
        <v>1</v>
      </c>
      <c r="K1408" s="9">
        <v>0</v>
      </c>
      <c r="L1408" s="10">
        <v>1</v>
      </c>
      <c r="M1408" s="6">
        <v>0</v>
      </c>
      <c r="N1408" s="37" t="e" cm="1">
        <f t="array" ref="N1408">IF(OR(ISNUMBER(FIND(Aux!$D$3:$D$9,_xlfn.TEXTJOIN(,,C1408:K1408)))),NA(),IF(AND(SUM(C1408:F1408,H1408:K1408)=0,G1408=1),0,INT((SUMPRODUCT(C1408:F1408,COLUMN($A$1:$D$1)-1)+SUMPRODUCT(H1408:K1408,COLUMN($E$1:$H$1)-1))*'Line Follower'!$C$3/SUM(C1408:F1408,H1408:K1408)-'Line Follower'!$C$5)))</f>
        <v>#N/A</v>
      </c>
      <c r="O1408" s="22" t="e">
        <v>#N/A</v>
      </c>
      <c r="P1408" s="4" t="e">
        <f t="shared" si="105"/>
        <v>#N/A</v>
      </c>
      <c r="Q1408" s="4" t="e">
        <f t="shared" si="106"/>
        <v>#N/A</v>
      </c>
      <c r="R1408" s="4" t="e">
        <f>IF(AND(B1408=1,N1408&gt;'Line Follower'!$C$7,SUM(C1408:K1408)&lt;4),1,0)</f>
        <v>#N/A</v>
      </c>
      <c r="S1408" s="4" t="e">
        <f>IF(AND(L1408=1,N1408&lt;'Line Follower'!$C$6,SUM(C1408:K1408)&lt;4),1,0)</f>
        <v>#N/A</v>
      </c>
      <c r="T1408" s="4" t="e">
        <f t="shared" si="107"/>
        <v>#N/A</v>
      </c>
      <c r="U1408" s="5" t="e">
        <f t="shared" si="108"/>
        <v>#N/A</v>
      </c>
      <c r="V1408" s="23" t="e">
        <f t="shared" si="109"/>
        <v>#N/A</v>
      </c>
    </row>
    <row r="1409" spans="2:22" x14ac:dyDescent="0.25">
      <c r="B1409" s="16">
        <v>0</v>
      </c>
      <c r="C1409" s="7">
        <v>1</v>
      </c>
      <c r="D1409" s="8">
        <v>1</v>
      </c>
      <c r="E1409" s="8">
        <v>1</v>
      </c>
      <c r="F1409" s="8">
        <v>1</v>
      </c>
      <c r="G1409" s="8">
        <v>1</v>
      </c>
      <c r="H1409" s="8">
        <v>1</v>
      </c>
      <c r="I1409" s="8">
        <v>0</v>
      </c>
      <c r="J1409" s="8">
        <v>1</v>
      </c>
      <c r="K1409" s="9">
        <v>0</v>
      </c>
      <c r="L1409" s="10">
        <v>1</v>
      </c>
      <c r="M1409" s="6">
        <v>0</v>
      </c>
      <c r="N1409" s="37" t="e" cm="1">
        <f t="array" ref="N1409">IF(OR(ISNUMBER(FIND(Aux!$D$3:$D$9,_xlfn.TEXTJOIN(,,C1409:K1409)))),NA(),IF(AND(SUM(C1409:F1409,H1409:K1409)=0,G1409=1),0,INT((SUMPRODUCT(C1409:F1409,COLUMN($A$1:$D$1)-1)+SUMPRODUCT(H1409:K1409,COLUMN($E$1:$H$1)-1))*'Line Follower'!$C$3/SUM(C1409:F1409,H1409:K1409)-'Line Follower'!$C$5)))</f>
        <v>#N/A</v>
      </c>
      <c r="O1409" s="22" t="e">
        <v>#N/A</v>
      </c>
      <c r="P1409" s="4" t="e">
        <f t="shared" si="105"/>
        <v>#N/A</v>
      </c>
      <c r="Q1409" s="4" t="e">
        <f t="shared" si="106"/>
        <v>#N/A</v>
      </c>
      <c r="R1409" s="4" t="e">
        <f>IF(AND(B1409=1,N1409&gt;'Line Follower'!$C$7,SUM(C1409:K1409)&lt;4),1,0)</f>
        <v>#N/A</v>
      </c>
      <c r="S1409" s="4" t="e">
        <f>IF(AND(L1409=1,N1409&lt;'Line Follower'!$C$6,SUM(C1409:K1409)&lt;4),1,0)</f>
        <v>#N/A</v>
      </c>
      <c r="T1409" s="4" t="e">
        <f t="shared" si="107"/>
        <v>#N/A</v>
      </c>
      <c r="U1409" s="5" t="e">
        <f t="shared" si="108"/>
        <v>#N/A</v>
      </c>
      <c r="V1409" s="23" t="e">
        <f t="shared" si="109"/>
        <v>#N/A</v>
      </c>
    </row>
    <row r="1410" spans="2:22" x14ac:dyDescent="0.25">
      <c r="B1410" s="16">
        <v>1</v>
      </c>
      <c r="C1410" s="7">
        <v>1</v>
      </c>
      <c r="D1410" s="8">
        <v>1</v>
      </c>
      <c r="E1410" s="8">
        <v>1</v>
      </c>
      <c r="F1410" s="8">
        <v>1</v>
      </c>
      <c r="G1410" s="8">
        <v>1</v>
      </c>
      <c r="H1410" s="8">
        <v>1</v>
      </c>
      <c r="I1410" s="8">
        <v>0</v>
      </c>
      <c r="J1410" s="8">
        <v>1</v>
      </c>
      <c r="K1410" s="9">
        <v>0</v>
      </c>
      <c r="L1410" s="10">
        <v>1</v>
      </c>
      <c r="M1410" s="6">
        <v>0</v>
      </c>
      <c r="N1410" s="37" t="e" cm="1">
        <f t="array" ref="N1410">IF(OR(ISNUMBER(FIND(Aux!$D$3:$D$9,_xlfn.TEXTJOIN(,,C1410:K1410)))),NA(),IF(AND(SUM(C1410:F1410,H1410:K1410)=0,G1410=1),0,INT((SUMPRODUCT(C1410:F1410,COLUMN($A$1:$D$1)-1)+SUMPRODUCT(H1410:K1410,COLUMN($E$1:$H$1)-1))*'Line Follower'!$C$3/SUM(C1410:F1410,H1410:K1410)-'Line Follower'!$C$5)))</f>
        <v>#N/A</v>
      </c>
      <c r="O1410" s="22" t="e">
        <v>#N/A</v>
      </c>
      <c r="P1410" s="4" t="e">
        <f t="shared" si="105"/>
        <v>#N/A</v>
      </c>
      <c r="Q1410" s="4" t="e">
        <f t="shared" si="106"/>
        <v>#N/A</v>
      </c>
      <c r="R1410" s="4" t="e">
        <f>IF(AND(B1410=1,N1410&gt;'Line Follower'!$C$7,SUM(C1410:K1410)&lt;4),1,0)</f>
        <v>#N/A</v>
      </c>
      <c r="S1410" s="4" t="e">
        <f>IF(AND(L1410=1,N1410&lt;'Line Follower'!$C$6,SUM(C1410:K1410)&lt;4),1,0)</f>
        <v>#N/A</v>
      </c>
      <c r="T1410" s="4" t="e">
        <f t="shared" si="107"/>
        <v>#N/A</v>
      </c>
      <c r="U1410" s="5" t="e">
        <f t="shared" si="108"/>
        <v>#N/A</v>
      </c>
      <c r="V1410" s="23" t="e">
        <f t="shared" si="109"/>
        <v>#N/A</v>
      </c>
    </row>
    <row r="1411" spans="2:22" x14ac:dyDescent="0.25">
      <c r="B1411" s="16">
        <v>0</v>
      </c>
      <c r="C1411" s="7">
        <v>0</v>
      </c>
      <c r="D1411" s="8">
        <v>0</v>
      </c>
      <c r="E1411" s="8">
        <v>0</v>
      </c>
      <c r="F1411" s="8">
        <v>0</v>
      </c>
      <c r="G1411" s="8">
        <v>0</v>
      </c>
      <c r="H1411" s="8">
        <v>0</v>
      </c>
      <c r="I1411" s="8">
        <v>1</v>
      </c>
      <c r="J1411" s="8">
        <v>1</v>
      </c>
      <c r="K1411" s="9">
        <v>0</v>
      </c>
      <c r="L1411" s="10">
        <v>1</v>
      </c>
      <c r="M1411" s="6">
        <v>0</v>
      </c>
      <c r="N1411" s="37" cm="1">
        <f t="array" ref="N1411">IF(OR(ISNUMBER(FIND(Aux!$D$3:$D$9,_xlfn.TEXTJOIN(,,C1411:K1411)))),NA(),IF(AND(SUM(C1411:F1411,H1411:K1411)=0,G1411=1),0,INT((SUMPRODUCT(C1411:F1411,COLUMN($A$1:$D$1)-1)+SUMPRODUCT(H1411:K1411,COLUMN($E$1:$H$1)-1))*'Line Follower'!$C$3/SUM(C1411:F1411,H1411:K1411)-'Line Follower'!$C$5)))</f>
        <v>4</v>
      </c>
      <c r="O1411" s="22">
        <v>1</v>
      </c>
      <c r="P1411" s="4">
        <f t="shared" ref="P1411:P1474" si="110">IF(AND(N1411=0,G1411=1,M1411=1),1,0)</f>
        <v>0</v>
      </c>
      <c r="Q1411" s="4">
        <f t="shared" ref="Q1411:Q1474" si="111">IF(ISERROR(N1411),N1411,IF(SUM(C1411:K1411)&gt;=4,1,0))</f>
        <v>0</v>
      </c>
      <c r="R1411" s="4">
        <f>IF(AND(B1411=1,N1411&gt;'Line Follower'!$C$7,SUM(C1411:K1411)&lt;4),1,0)</f>
        <v>0</v>
      </c>
      <c r="S1411" s="4">
        <f>IF(AND(L1411=1,N1411&lt;'Line Follower'!$C$6,SUM(C1411:K1411)&lt;4),1,0)</f>
        <v>1</v>
      </c>
      <c r="T1411" s="4">
        <f t="shared" si="107"/>
        <v>0</v>
      </c>
      <c r="U1411" s="5">
        <f t="shared" si="108"/>
        <v>0</v>
      </c>
      <c r="V1411" s="23">
        <f t="shared" si="109"/>
        <v>0</v>
      </c>
    </row>
    <row r="1412" spans="2:22" x14ac:dyDescent="0.25">
      <c r="B1412" s="16">
        <v>1</v>
      </c>
      <c r="C1412" s="7">
        <v>0</v>
      </c>
      <c r="D1412" s="8">
        <v>0</v>
      </c>
      <c r="E1412" s="8">
        <v>0</v>
      </c>
      <c r="F1412" s="8">
        <v>0</v>
      </c>
      <c r="G1412" s="8">
        <v>0</v>
      </c>
      <c r="H1412" s="8">
        <v>0</v>
      </c>
      <c r="I1412" s="8">
        <v>1</v>
      </c>
      <c r="J1412" s="8">
        <v>1</v>
      </c>
      <c r="K1412" s="9">
        <v>0</v>
      </c>
      <c r="L1412" s="10">
        <v>1</v>
      </c>
      <c r="M1412" s="6">
        <v>0</v>
      </c>
      <c r="N1412" s="37" cm="1">
        <f t="array" ref="N1412">IF(OR(ISNUMBER(FIND(Aux!$D$3:$D$9,_xlfn.TEXTJOIN(,,C1412:K1412)))),NA(),IF(AND(SUM(C1412:F1412,H1412:K1412)=0,G1412=1),0,INT((SUMPRODUCT(C1412:F1412,COLUMN($A$1:$D$1)-1)+SUMPRODUCT(H1412:K1412,COLUMN($E$1:$H$1)-1))*'Line Follower'!$C$3/SUM(C1412:F1412,H1412:K1412)-'Line Follower'!$C$5)))</f>
        <v>4</v>
      </c>
      <c r="O1412" s="22">
        <v>1</v>
      </c>
      <c r="P1412" s="4">
        <f t="shared" si="110"/>
        <v>0</v>
      </c>
      <c r="Q1412" s="4">
        <f t="shared" si="111"/>
        <v>0</v>
      </c>
      <c r="R1412" s="4">
        <f>IF(AND(B1412=1,N1412&gt;'Line Follower'!$C$7,SUM(C1412:K1412)&lt;4),1,0)</f>
        <v>1</v>
      </c>
      <c r="S1412" s="4">
        <f>IF(AND(L1412=1,N1412&lt;'Line Follower'!$C$6,SUM(C1412:K1412)&lt;4),1,0)</f>
        <v>1</v>
      </c>
      <c r="T1412" s="4">
        <f t="shared" ref="T1412:T1475" si="112">IF(ISNA(N1412),NA(),IF(SUM(C1412:L1412)=0,1,0))</f>
        <v>0</v>
      </c>
      <c r="U1412" s="5">
        <f t="shared" ref="U1412:U1475" si="113">IF(ISNA(N1412),NA(),IF(SUM(B1412:K1412)=0,1,0))</f>
        <v>0</v>
      </c>
      <c r="V1412" s="23">
        <f t="shared" ref="V1412:V1475" si="114">IF(ISNA(N1412),NA(),IF(SUM(B1412:L1412)=0,1,0))</f>
        <v>0</v>
      </c>
    </row>
    <row r="1413" spans="2:22" x14ac:dyDescent="0.25">
      <c r="B1413" s="16">
        <v>0</v>
      </c>
      <c r="C1413" s="7">
        <v>1</v>
      </c>
      <c r="D1413" s="8">
        <v>0</v>
      </c>
      <c r="E1413" s="8">
        <v>0</v>
      </c>
      <c r="F1413" s="8">
        <v>0</v>
      </c>
      <c r="G1413" s="8">
        <v>0</v>
      </c>
      <c r="H1413" s="8">
        <v>0</v>
      </c>
      <c r="I1413" s="8">
        <v>1</v>
      </c>
      <c r="J1413" s="8">
        <v>1</v>
      </c>
      <c r="K1413" s="9">
        <v>0</v>
      </c>
      <c r="L1413" s="10">
        <v>1</v>
      </c>
      <c r="M1413" s="6">
        <v>0</v>
      </c>
      <c r="N1413" s="37" t="e" cm="1">
        <f t="array" ref="N1413">IF(OR(ISNUMBER(FIND(Aux!$D$3:$D$9,_xlfn.TEXTJOIN(,,C1413:K1413)))),NA(),IF(AND(SUM(C1413:F1413,H1413:K1413)=0,G1413=1),0,INT((SUMPRODUCT(C1413:F1413,COLUMN($A$1:$D$1)-1)+SUMPRODUCT(H1413:K1413,COLUMN($E$1:$H$1)-1))*'Line Follower'!$C$3/SUM(C1413:F1413,H1413:K1413)-'Line Follower'!$C$5)))</f>
        <v>#N/A</v>
      </c>
      <c r="O1413" s="22" t="e">
        <v>#N/A</v>
      </c>
      <c r="P1413" s="4" t="e">
        <f t="shared" si="110"/>
        <v>#N/A</v>
      </c>
      <c r="Q1413" s="4" t="e">
        <f t="shared" si="111"/>
        <v>#N/A</v>
      </c>
      <c r="R1413" s="4" t="e">
        <f>IF(AND(B1413=1,N1413&gt;'Line Follower'!$C$7,SUM(C1413:K1413)&lt;4),1,0)</f>
        <v>#N/A</v>
      </c>
      <c r="S1413" s="4" t="e">
        <f>IF(AND(L1413=1,N1413&lt;'Line Follower'!$C$6,SUM(C1413:K1413)&lt;4),1,0)</f>
        <v>#N/A</v>
      </c>
      <c r="T1413" s="4" t="e">
        <f t="shared" si="112"/>
        <v>#N/A</v>
      </c>
      <c r="U1413" s="5" t="e">
        <f t="shared" si="113"/>
        <v>#N/A</v>
      </c>
      <c r="V1413" s="23" t="e">
        <f t="shared" si="114"/>
        <v>#N/A</v>
      </c>
    </row>
    <row r="1414" spans="2:22" x14ac:dyDescent="0.25">
      <c r="B1414" s="16">
        <v>1</v>
      </c>
      <c r="C1414" s="7">
        <v>1</v>
      </c>
      <c r="D1414" s="8">
        <v>0</v>
      </c>
      <c r="E1414" s="8">
        <v>0</v>
      </c>
      <c r="F1414" s="8">
        <v>0</v>
      </c>
      <c r="G1414" s="8">
        <v>0</v>
      </c>
      <c r="H1414" s="8">
        <v>0</v>
      </c>
      <c r="I1414" s="8">
        <v>1</v>
      </c>
      <c r="J1414" s="8">
        <v>1</v>
      </c>
      <c r="K1414" s="9">
        <v>0</v>
      </c>
      <c r="L1414" s="10">
        <v>1</v>
      </c>
      <c r="M1414" s="6">
        <v>0</v>
      </c>
      <c r="N1414" s="37" t="e" cm="1">
        <f t="array" ref="N1414">IF(OR(ISNUMBER(FIND(Aux!$D$3:$D$9,_xlfn.TEXTJOIN(,,C1414:K1414)))),NA(),IF(AND(SUM(C1414:F1414,H1414:K1414)=0,G1414=1),0,INT((SUMPRODUCT(C1414:F1414,COLUMN($A$1:$D$1)-1)+SUMPRODUCT(H1414:K1414,COLUMN($E$1:$H$1)-1))*'Line Follower'!$C$3/SUM(C1414:F1414,H1414:K1414)-'Line Follower'!$C$5)))</f>
        <v>#N/A</v>
      </c>
      <c r="O1414" s="22" t="e">
        <v>#N/A</v>
      </c>
      <c r="P1414" s="4" t="e">
        <f t="shared" si="110"/>
        <v>#N/A</v>
      </c>
      <c r="Q1414" s="4" t="e">
        <f t="shared" si="111"/>
        <v>#N/A</v>
      </c>
      <c r="R1414" s="4" t="e">
        <f>IF(AND(B1414=1,N1414&gt;'Line Follower'!$C$7,SUM(C1414:K1414)&lt;4),1,0)</f>
        <v>#N/A</v>
      </c>
      <c r="S1414" s="4" t="e">
        <f>IF(AND(L1414=1,N1414&lt;'Line Follower'!$C$6,SUM(C1414:K1414)&lt;4),1,0)</f>
        <v>#N/A</v>
      </c>
      <c r="T1414" s="4" t="e">
        <f t="shared" si="112"/>
        <v>#N/A</v>
      </c>
      <c r="U1414" s="5" t="e">
        <f t="shared" si="113"/>
        <v>#N/A</v>
      </c>
      <c r="V1414" s="23" t="e">
        <f t="shared" si="114"/>
        <v>#N/A</v>
      </c>
    </row>
    <row r="1415" spans="2:22" x14ac:dyDescent="0.25">
      <c r="B1415" s="16">
        <v>0</v>
      </c>
      <c r="C1415" s="7">
        <v>0</v>
      </c>
      <c r="D1415" s="8">
        <v>1</v>
      </c>
      <c r="E1415" s="8">
        <v>0</v>
      </c>
      <c r="F1415" s="8">
        <v>0</v>
      </c>
      <c r="G1415" s="8">
        <v>0</v>
      </c>
      <c r="H1415" s="8">
        <v>0</v>
      </c>
      <c r="I1415" s="8">
        <v>1</v>
      </c>
      <c r="J1415" s="8">
        <v>1</v>
      </c>
      <c r="K1415" s="9">
        <v>0</v>
      </c>
      <c r="L1415" s="10">
        <v>1</v>
      </c>
      <c r="M1415" s="6">
        <v>0</v>
      </c>
      <c r="N1415" s="37" t="e" cm="1">
        <f t="array" ref="N1415">IF(OR(ISNUMBER(FIND(Aux!$D$3:$D$9,_xlfn.TEXTJOIN(,,C1415:K1415)))),NA(),IF(AND(SUM(C1415:F1415,H1415:K1415)=0,G1415=1),0,INT((SUMPRODUCT(C1415:F1415,COLUMN($A$1:$D$1)-1)+SUMPRODUCT(H1415:K1415,COLUMN($E$1:$H$1)-1))*'Line Follower'!$C$3/SUM(C1415:F1415,H1415:K1415)-'Line Follower'!$C$5)))</f>
        <v>#N/A</v>
      </c>
      <c r="O1415" s="22" t="e">
        <v>#N/A</v>
      </c>
      <c r="P1415" s="4" t="e">
        <f t="shared" si="110"/>
        <v>#N/A</v>
      </c>
      <c r="Q1415" s="4" t="e">
        <f t="shared" si="111"/>
        <v>#N/A</v>
      </c>
      <c r="R1415" s="4" t="e">
        <f>IF(AND(B1415=1,N1415&gt;'Line Follower'!$C$7,SUM(C1415:K1415)&lt;4),1,0)</f>
        <v>#N/A</v>
      </c>
      <c r="S1415" s="4" t="e">
        <f>IF(AND(L1415=1,N1415&lt;'Line Follower'!$C$6,SUM(C1415:K1415)&lt;4),1,0)</f>
        <v>#N/A</v>
      </c>
      <c r="T1415" s="4" t="e">
        <f t="shared" si="112"/>
        <v>#N/A</v>
      </c>
      <c r="U1415" s="5" t="e">
        <f t="shared" si="113"/>
        <v>#N/A</v>
      </c>
      <c r="V1415" s="23" t="e">
        <f t="shared" si="114"/>
        <v>#N/A</v>
      </c>
    </row>
    <row r="1416" spans="2:22" x14ac:dyDescent="0.25">
      <c r="B1416" s="16">
        <v>1</v>
      </c>
      <c r="C1416" s="7">
        <v>0</v>
      </c>
      <c r="D1416" s="8">
        <v>1</v>
      </c>
      <c r="E1416" s="8">
        <v>0</v>
      </c>
      <c r="F1416" s="8">
        <v>0</v>
      </c>
      <c r="G1416" s="8">
        <v>0</v>
      </c>
      <c r="H1416" s="8">
        <v>0</v>
      </c>
      <c r="I1416" s="8">
        <v>1</v>
      </c>
      <c r="J1416" s="8">
        <v>1</v>
      </c>
      <c r="K1416" s="9">
        <v>0</v>
      </c>
      <c r="L1416" s="10">
        <v>1</v>
      </c>
      <c r="M1416" s="6">
        <v>0</v>
      </c>
      <c r="N1416" s="37" t="e" cm="1">
        <f t="array" ref="N1416">IF(OR(ISNUMBER(FIND(Aux!$D$3:$D$9,_xlfn.TEXTJOIN(,,C1416:K1416)))),NA(),IF(AND(SUM(C1416:F1416,H1416:K1416)=0,G1416=1),0,INT((SUMPRODUCT(C1416:F1416,COLUMN($A$1:$D$1)-1)+SUMPRODUCT(H1416:K1416,COLUMN($E$1:$H$1)-1))*'Line Follower'!$C$3/SUM(C1416:F1416,H1416:K1416)-'Line Follower'!$C$5)))</f>
        <v>#N/A</v>
      </c>
      <c r="O1416" s="22" t="e">
        <v>#N/A</v>
      </c>
      <c r="P1416" s="4" t="e">
        <f t="shared" si="110"/>
        <v>#N/A</v>
      </c>
      <c r="Q1416" s="4" t="e">
        <f t="shared" si="111"/>
        <v>#N/A</v>
      </c>
      <c r="R1416" s="4" t="e">
        <f>IF(AND(B1416=1,N1416&gt;'Line Follower'!$C$7,SUM(C1416:K1416)&lt;4),1,0)</f>
        <v>#N/A</v>
      </c>
      <c r="S1416" s="4" t="e">
        <f>IF(AND(L1416=1,N1416&lt;'Line Follower'!$C$6,SUM(C1416:K1416)&lt;4),1,0)</f>
        <v>#N/A</v>
      </c>
      <c r="T1416" s="4" t="e">
        <f t="shared" si="112"/>
        <v>#N/A</v>
      </c>
      <c r="U1416" s="5" t="e">
        <f t="shared" si="113"/>
        <v>#N/A</v>
      </c>
      <c r="V1416" s="23" t="e">
        <f t="shared" si="114"/>
        <v>#N/A</v>
      </c>
    </row>
    <row r="1417" spans="2:22" x14ac:dyDescent="0.25">
      <c r="B1417" s="16">
        <v>0</v>
      </c>
      <c r="C1417" s="7">
        <v>1</v>
      </c>
      <c r="D1417" s="8">
        <v>1</v>
      </c>
      <c r="E1417" s="8">
        <v>0</v>
      </c>
      <c r="F1417" s="8">
        <v>0</v>
      </c>
      <c r="G1417" s="8">
        <v>0</v>
      </c>
      <c r="H1417" s="8">
        <v>0</v>
      </c>
      <c r="I1417" s="8">
        <v>1</v>
      </c>
      <c r="J1417" s="8">
        <v>1</v>
      </c>
      <c r="K1417" s="9">
        <v>0</v>
      </c>
      <c r="L1417" s="10">
        <v>1</v>
      </c>
      <c r="M1417" s="6">
        <v>0</v>
      </c>
      <c r="N1417" s="37" t="e" cm="1">
        <f t="array" ref="N1417">IF(OR(ISNUMBER(FIND(Aux!$D$3:$D$9,_xlfn.TEXTJOIN(,,C1417:K1417)))),NA(),IF(AND(SUM(C1417:F1417,H1417:K1417)=0,G1417=1),0,INT((SUMPRODUCT(C1417:F1417,COLUMN($A$1:$D$1)-1)+SUMPRODUCT(H1417:K1417,COLUMN($E$1:$H$1)-1))*'Line Follower'!$C$3/SUM(C1417:F1417,H1417:K1417)-'Line Follower'!$C$5)))</f>
        <v>#N/A</v>
      </c>
      <c r="O1417" s="22" t="e">
        <v>#N/A</v>
      </c>
      <c r="P1417" s="4" t="e">
        <f t="shared" si="110"/>
        <v>#N/A</v>
      </c>
      <c r="Q1417" s="4" t="e">
        <f t="shared" si="111"/>
        <v>#N/A</v>
      </c>
      <c r="R1417" s="4" t="e">
        <f>IF(AND(B1417=1,N1417&gt;'Line Follower'!$C$7,SUM(C1417:K1417)&lt;4),1,0)</f>
        <v>#N/A</v>
      </c>
      <c r="S1417" s="4" t="e">
        <f>IF(AND(L1417=1,N1417&lt;'Line Follower'!$C$6,SUM(C1417:K1417)&lt;4),1,0)</f>
        <v>#N/A</v>
      </c>
      <c r="T1417" s="4" t="e">
        <f t="shared" si="112"/>
        <v>#N/A</v>
      </c>
      <c r="U1417" s="5" t="e">
        <f t="shared" si="113"/>
        <v>#N/A</v>
      </c>
      <c r="V1417" s="23" t="e">
        <f t="shared" si="114"/>
        <v>#N/A</v>
      </c>
    </row>
    <row r="1418" spans="2:22" x14ac:dyDescent="0.25">
      <c r="B1418" s="16">
        <v>1</v>
      </c>
      <c r="C1418" s="7">
        <v>1</v>
      </c>
      <c r="D1418" s="8">
        <v>1</v>
      </c>
      <c r="E1418" s="8">
        <v>0</v>
      </c>
      <c r="F1418" s="8">
        <v>0</v>
      </c>
      <c r="G1418" s="8">
        <v>0</v>
      </c>
      <c r="H1418" s="8">
        <v>0</v>
      </c>
      <c r="I1418" s="8">
        <v>1</v>
      </c>
      <c r="J1418" s="8">
        <v>1</v>
      </c>
      <c r="K1418" s="9">
        <v>0</v>
      </c>
      <c r="L1418" s="10">
        <v>1</v>
      </c>
      <c r="M1418" s="6">
        <v>0</v>
      </c>
      <c r="N1418" s="37" t="e" cm="1">
        <f t="array" ref="N1418">IF(OR(ISNUMBER(FIND(Aux!$D$3:$D$9,_xlfn.TEXTJOIN(,,C1418:K1418)))),NA(),IF(AND(SUM(C1418:F1418,H1418:K1418)=0,G1418=1),0,INT((SUMPRODUCT(C1418:F1418,COLUMN($A$1:$D$1)-1)+SUMPRODUCT(H1418:K1418,COLUMN($E$1:$H$1)-1))*'Line Follower'!$C$3/SUM(C1418:F1418,H1418:K1418)-'Line Follower'!$C$5)))</f>
        <v>#N/A</v>
      </c>
      <c r="O1418" s="22" t="e">
        <v>#N/A</v>
      </c>
      <c r="P1418" s="4" t="e">
        <f t="shared" si="110"/>
        <v>#N/A</v>
      </c>
      <c r="Q1418" s="4" t="e">
        <f t="shared" si="111"/>
        <v>#N/A</v>
      </c>
      <c r="R1418" s="4" t="e">
        <f>IF(AND(B1418=1,N1418&gt;'Line Follower'!$C$7,SUM(C1418:K1418)&lt;4),1,0)</f>
        <v>#N/A</v>
      </c>
      <c r="S1418" s="4" t="e">
        <f>IF(AND(L1418=1,N1418&lt;'Line Follower'!$C$6,SUM(C1418:K1418)&lt;4),1,0)</f>
        <v>#N/A</v>
      </c>
      <c r="T1418" s="4" t="e">
        <f t="shared" si="112"/>
        <v>#N/A</v>
      </c>
      <c r="U1418" s="5" t="e">
        <f t="shared" si="113"/>
        <v>#N/A</v>
      </c>
      <c r="V1418" s="23" t="e">
        <f t="shared" si="114"/>
        <v>#N/A</v>
      </c>
    </row>
    <row r="1419" spans="2:22" x14ac:dyDescent="0.25">
      <c r="B1419" s="16">
        <v>0</v>
      </c>
      <c r="C1419" s="7">
        <v>0</v>
      </c>
      <c r="D1419" s="8">
        <v>0</v>
      </c>
      <c r="E1419" s="8">
        <v>1</v>
      </c>
      <c r="F1419" s="8">
        <v>0</v>
      </c>
      <c r="G1419" s="8">
        <v>0</v>
      </c>
      <c r="H1419" s="8">
        <v>0</v>
      </c>
      <c r="I1419" s="8">
        <v>1</v>
      </c>
      <c r="J1419" s="8">
        <v>1</v>
      </c>
      <c r="K1419" s="9">
        <v>0</v>
      </c>
      <c r="L1419" s="10">
        <v>1</v>
      </c>
      <c r="M1419" s="6">
        <v>0</v>
      </c>
      <c r="N1419" s="37" t="e" cm="1">
        <f t="array" ref="N1419">IF(OR(ISNUMBER(FIND(Aux!$D$3:$D$9,_xlfn.TEXTJOIN(,,C1419:K1419)))),NA(),IF(AND(SUM(C1419:F1419,H1419:K1419)=0,G1419=1),0,INT((SUMPRODUCT(C1419:F1419,COLUMN($A$1:$D$1)-1)+SUMPRODUCT(H1419:K1419,COLUMN($E$1:$H$1)-1))*'Line Follower'!$C$3/SUM(C1419:F1419,H1419:K1419)-'Line Follower'!$C$5)))</f>
        <v>#N/A</v>
      </c>
      <c r="O1419" s="22" t="e">
        <v>#N/A</v>
      </c>
      <c r="P1419" s="4" t="e">
        <f t="shared" si="110"/>
        <v>#N/A</v>
      </c>
      <c r="Q1419" s="4" t="e">
        <f t="shared" si="111"/>
        <v>#N/A</v>
      </c>
      <c r="R1419" s="4" t="e">
        <f>IF(AND(B1419=1,N1419&gt;'Line Follower'!$C$7,SUM(C1419:K1419)&lt;4),1,0)</f>
        <v>#N/A</v>
      </c>
      <c r="S1419" s="4" t="e">
        <f>IF(AND(L1419=1,N1419&lt;'Line Follower'!$C$6,SUM(C1419:K1419)&lt;4),1,0)</f>
        <v>#N/A</v>
      </c>
      <c r="T1419" s="4" t="e">
        <f t="shared" si="112"/>
        <v>#N/A</v>
      </c>
      <c r="U1419" s="5" t="e">
        <f t="shared" si="113"/>
        <v>#N/A</v>
      </c>
      <c r="V1419" s="23" t="e">
        <f t="shared" si="114"/>
        <v>#N/A</v>
      </c>
    </row>
    <row r="1420" spans="2:22" x14ac:dyDescent="0.25">
      <c r="B1420" s="16">
        <v>1</v>
      </c>
      <c r="C1420" s="7">
        <v>0</v>
      </c>
      <c r="D1420" s="8">
        <v>0</v>
      </c>
      <c r="E1420" s="8">
        <v>1</v>
      </c>
      <c r="F1420" s="8">
        <v>0</v>
      </c>
      <c r="G1420" s="8">
        <v>0</v>
      </c>
      <c r="H1420" s="8">
        <v>0</v>
      </c>
      <c r="I1420" s="8">
        <v>1</v>
      </c>
      <c r="J1420" s="8">
        <v>1</v>
      </c>
      <c r="K1420" s="9">
        <v>0</v>
      </c>
      <c r="L1420" s="10">
        <v>1</v>
      </c>
      <c r="M1420" s="6">
        <v>0</v>
      </c>
      <c r="N1420" s="37" t="e" cm="1">
        <f t="array" ref="N1420">IF(OR(ISNUMBER(FIND(Aux!$D$3:$D$9,_xlfn.TEXTJOIN(,,C1420:K1420)))),NA(),IF(AND(SUM(C1420:F1420,H1420:K1420)=0,G1420=1),0,INT((SUMPRODUCT(C1420:F1420,COLUMN($A$1:$D$1)-1)+SUMPRODUCT(H1420:K1420,COLUMN($E$1:$H$1)-1))*'Line Follower'!$C$3/SUM(C1420:F1420,H1420:K1420)-'Line Follower'!$C$5)))</f>
        <v>#N/A</v>
      </c>
      <c r="O1420" s="22" t="e">
        <v>#N/A</v>
      </c>
      <c r="P1420" s="4" t="e">
        <f t="shared" si="110"/>
        <v>#N/A</v>
      </c>
      <c r="Q1420" s="4" t="e">
        <f t="shared" si="111"/>
        <v>#N/A</v>
      </c>
      <c r="R1420" s="4" t="e">
        <f>IF(AND(B1420=1,N1420&gt;'Line Follower'!$C$7,SUM(C1420:K1420)&lt;4),1,0)</f>
        <v>#N/A</v>
      </c>
      <c r="S1420" s="4" t="e">
        <f>IF(AND(L1420=1,N1420&lt;'Line Follower'!$C$6,SUM(C1420:K1420)&lt;4),1,0)</f>
        <v>#N/A</v>
      </c>
      <c r="T1420" s="4" t="e">
        <f t="shared" si="112"/>
        <v>#N/A</v>
      </c>
      <c r="U1420" s="5" t="e">
        <f t="shared" si="113"/>
        <v>#N/A</v>
      </c>
      <c r="V1420" s="23" t="e">
        <f t="shared" si="114"/>
        <v>#N/A</v>
      </c>
    </row>
    <row r="1421" spans="2:22" x14ac:dyDescent="0.25">
      <c r="B1421" s="16">
        <v>0</v>
      </c>
      <c r="C1421" s="7">
        <v>1</v>
      </c>
      <c r="D1421" s="8">
        <v>0</v>
      </c>
      <c r="E1421" s="8">
        <v>1</v>
      </c>
      <c r="F1421" s="8">
        <v>0</v>
      </c>
      <c r="G1421" s="8">
        <v>0</v>
      </c>
      <c r="H1421" s="8">
        <v>0</v>
      </c>
      <c r="I1421" s="8">
        <v>1</v>
      </c>
      <c r="J1421" s="8">
        <v>1</v>
      </c>
      <c r="K1421" s="9">
        <v>0</v>
      </c>
      <c r="L1421" s="10">
        <v>1</v>
      </c>
      <c r="M1421" s="6">
        <v>0</v>
      </c>
      <c r="N1421" s="37" t="e" cm="1">
        <f t="array" ref="N1421">IF(OR(ISNUMBER(FIND(Aux!$D$3:$D$9,_xlfn.TEXTJOIN(,,C1421:K1421)))),NA(),IF(AND(SUM(C1421:F1421,H1421:K1421)=0,G1421=1),0,INT((SUMPRODUCT(C1421:F1421,COLUMN($A$1:$D$1)-1)+SUMPRODUCT(H1421:K1421,COLUMN($E$1:$H$1)-1))*'Line Follower'!$C$3/SUM(C1421:F1421,H1421:K1421)-'Line Follower'!$C$5)))</f>
        <v>#N/A</v>
      </c>
      <c r="O1421" s="22" t="e">
        <v>#N/A</v>
      </c>
      <c r="P1421" s="4" t="e">
        <f t="shared" si="110"/>
        <v>#N/A</v>
      </c>
      <c r="Q1421" s="4" t="e">
        <f t="shared" si="111"/>
        <v>#N/A</v>
      </c>
      <c r="R1421" s="4" t="e">
        <f>IF(AND(B1421=1,N1421&gt;'Line Follower'!$C$7,SUM(C1421:K1421)&lt;4),1,0)</f>
        <v>#N/A</v>
      </c>
      <c r="S1421" s="4" t="e">
        <f>IF(AND(L1421=1,N1421&lt;'Line Follower'!$C$6,SUM(C1421:K1421)&lt;4),1,0)</f>
        <v>#N/A</v>
      </c>
      <c r="T1421" s="4" t="e">
        <f t="shared" si="112"/>
        <v>#N/A</v>
      </c>
      <c r="U1421" s="5" t="e">
        <f t="shared" si="113"/>
        <v>#N/A</v>
      </c>
      <c r="V1421" s="23" t="e">
        <f t="shared" si="114"/>
        <v>#N/A</v>
      </c>
    </row>
    <row r="1422" spans="2:22" x14ac:dyDescent="0.25">
      <c r="B1422" s="16">
        <v>1</v>
      </c>
      <c r="C1422" s="7">
        <v>1</v>
      </c>
      <c r="D1422" s="8">
        <v>0</v>
      </c>
      <c r="E1422" s="8">
        <v>1</v>
      </c>
      <c r="F1422" s="8">
        <v>0</v>
      </c>
      <c r="G1422" s="8">
        <v>0</v>
      </c>
      <c r="H1422" s="8">
        <v>0</v>
      </c>
      <c r="I1422" s="8">
        <v>1</v>
      </c>
      <c r="J1422" s="8">
        <v>1</v>
      </c>
      <c r="K1422" s="9">
        <v>0</v>
      </c>
      <c r="L1422" s="10">
        <v>1</v>
      </c>
      <c r="M1422" s="6">
        <v>0</v>
      </c>
      <c r="N1422" s="37" t="e" cm="1">
        <f t="array" ref="N1422">IF(OR(ISNUMBER(FIND(Aux!$D$3:$D$9,_xlfn.TEXTJOIN(,,C1422:K1422)))),NA(),IF(AND(SUM(C1422:F1422,H1422:K1422)=0,G1422=1),0,INT((SUMPRODUCT(C1422:F1422,COLUMN($A$1:$D$1)-1)+SUMPRODUCT(H1422:K1422,COLUMN($E$1:$H$1)-1))*'Line Follower'!$C$3/SUM(C1422:F1422,H1422:K1422)-'Line Follower'!$C$5)))</f>
        <v>#N/A</v>
      </c>
      <c r="O1422" s="22" t="e">
        <v>#N/A</v>
      </c>
      <c r="P1422" s="4" t="e">
        <f t="shared" si="110"/>
        <v>#N/A</v>
      </c>
      <c r="Q1422" s="4" t="e">
        <f t="shared" si="111"/>
        <v>#N/A</v>
      </c>
      <c r="R1422" s="4" t="e">
        <f>IF(AND(B1422=1,N1422&gt;'Line Follower'!$C$7,SUM(C1422:K1422)&lt;4),1,0)</f>
        <v>#N/A</v>
      </c>
      <c r="S1422" s="4" t="e">
        <f>IF(AND(L1422=1,N1422&lt;'Line Follower'!$C$6,SUM(C1422:K1422)&lt;4),1,0)</f>
        <v>#N/A</v>
      </c>
      <c r="T1422" s="4" t="e">
        <f t="shared" si="112"/>
        <v>#N/A</v>
      </c>
      <c r="U1422" s="5" t="e">
        <f t="shared" si="113"/>
        <v>#N/A</v>
      </c>
      <c r="V1422" s="23" t="e">
        <f t="shared" si="114"/>
        <v>#N/A</v>
      </c>
    </row>
    <row r="1423" spans="2:22" x14ac:dyDescent="0.25">
      <c r="B1423" s="16">
        <v>0</v>
      </c>
      <c r="C1423" s="7">
        <v>0</v>
      </c>
      <c r="D1423" s="8">
        <v>1</v>
      </c>
      <c r="E1423" s="8">
        <v>1</v>
      </c>
      <c r="F1423" s="8">
        <v>0</v>
      </c>
      <c r="G1423" s="8">
        <v>0</v>
      </c>
      <c r="H1423" s="8">
        <v>0</v>
      </c>
      <c r="I1423" s="8">
        <v>1</v>
      </c>
      <c r="J1423" s="8">
        <v>1</v>
      </c>
      <c r="K1423" s="9">
        <v>0</v>
      </c>
      <c r="L1423" s="10">
        <v>1</v>
      </c>
      <c r="M1423" s="6">
        <v>0</v>
      </c>
      <c r="N1423" s="37" t="e" cm="1">
        <f t="array" ref="N1423">IF(OR(ISNUMBER(FIND(Aux!$D$3:$D$9,_xlfn.TEXTJOIN(,,C1423:K1423)))),NA(),IF(AND(SUM(C1423:F1423,H1423:K1423)=0,G1423=1),0,INT((SUMPRODUCT(C1423:F1423,COLUMN($A$1:$D$1)-1)+SUMPRODUCT(H1423:K1423,COLUMN($E$1:$H$1)-1))*'Line Follower'!$C$3/SUM(C1423:F1423,H1423:K1423)-'Line Follower'!$C$5)))</f>
        <v>#N/A</v>
      </c>
      <c r="O1423" s="22" t="e">
        <v>#N/A</v>
      </c>
      <c r="P1423" s="4" t="e">
        <f t="shared" si="110"/>
        <v>#N/A</v>
      </c>
      <c r="Q1423" s="4" t="e">
        <f t="shared" si="111"/>
        <v>#N/A</v>
      </c>
      <c r="R1423" s="4" t="e">
        <f>IF(AND(B1423=1,N1423&gt;'Line Follower'!$C$7,SUM(C1423:K1423)&lt;4),1,0)</f>
        <v>#N/A</v>
      </c>
      <c r="S1423" s="4" t="e">
        <f>IF(AND(L1423=1,N1423&lt;'Line Follower'!$C$6,SUM(C1423:K1423)&lt;4),1,0)</f>
        <v>#N/A</v>
      </c>
      <c r="T1423" s="4" t="e">
        <f t="shared" si="112"/>
        <v>#N/A</v>
      </c>
      <c r="U1423" s="5" t="e">
        <f t="shared" si="113"/>
        <v>#N/A</v>
      </c>
      <c r="V1423" s="23" t="e">
        <f t="shared" si="114"/>
        <v>#N/A</v>
      </c>
    </row>
    <row r="1424" spans="2:22" x14ac:dyDescent="0.25">
      <c r="B1424" s="16">
        <v>1</v>
      </c>
      <c r="C1424" s="7">
        <v>0</v>
      </c>
      <c r="D1424" s="8">
        <v>1</v>
      </c>
      <c r="E1424" s="8">
        <v>1</v>
      </c>
      <c r="F1424" s="8">
        <v>0</v>
      </c>
      <c r="G1424" s="8">
        <v>0</v>
      </c>
      <c r="H1424" s="8">
        <v>0</v>
      </c>
      <c r="I1424" s="8">
        <v>1</v>
      </c>
      <c r="J1424" s="8">
        <v>1</v>
      </c>
      <c r="K1424" s="9">
        <v>0</v>
      </c>
      <c r="L1424" s="10">
        <v>1</v>
      </c>
      <c r="M1424" s="6">
        <v>0</v>
      </c>
      <c r="N1424" s="37" t="e" cm="1">
        <f t="array" ref="N1424">IF(OR(ISNUMBER(FIND(Aux!$D$3:$D$9,_xlfn.TEXTJOIN(,,C1424:K1424)))),NA(),IF(AND(SUM(C1424:F1424,H1424:K1424)=0,G1424=1),0,INT((SUMPRODUCT(C1424:F1424,COLUMN($A$1:$D$1)-1)+SUMPRODUCT(H1424:K1424,COLUMN($E$1:$H$1)-1))*'Line Follower'!$C$3/SUM(C1424:F1424,H1424:K1424)-'Line Follower'!$C$5)))</f>
        <v>#N/A</v>
      </c>
      <c r="O1424" s="22" t="e">
        <v>#N/A</v>
      </c>
      <c r="P1424" s="4" t="e">
        <f t="shared" si="110"/>
        <v>#N/A</v>
      </c>
      <c r="Q1424" s="4" t="e">
        <f t="shared" si="111"/>
        <v>#N/A</v>
      </c>
      <c r="R1424" s="4" t="e">
        <f>IF(AND(B1424=1,N1424&gt;'Line Follower'!$C$7,SUM(C1424:K1424)&lt;4),1,0)</f>
        <v>#N/A</v>
      </c>
      <c r="S1424" s="4" t="e">
        <f>IF(AND(L1424=1,N1424&lt;'Line Follower'!$C$6,SUM(C1424:K1424)&lt;4),1,0)</f>
        <v>#N/A</v>
      </c>
      <c r="T1424" s="4" t="e">
        <f t="shared" si="112"/>
        <v>#N/A</v>
      </c>
      <c r="U1424" s="5" t="e">
        <f t="shared" si="113"/>
        <v>#N/A</v>
      </c>
      <c r="V1424" s="23" t="e">
        <f t="shared" si="114"/>
        <v>#N/A</v>
      </c>
    </row>
    <row r="1425" spans="2:22" x14ac:dyDescent="0.25">
      <c r="B1425" s="16">
        <v>0</v>
      </c>
      <c r="C1425" s="7">
        <v>1</v>
      </c>
      <c r="D1425" s="8">
        <v>1</v>
      </c>
      <c r="E1425" s="8">
        <v>1</v>
      </c>
      <c r="F1425" s="8">
        <v>0</v>
      </c>
      <c r="G1425" s="8">
        <v>0</v>
      </c>
      <c r="H1425" s="8">
        <v>0</v>
      </c>
      <c r="I1425" s="8">
        <v>1</v>
      </c>
      <c r="J1425" s="8">
        <v>1</v>
      </c>
      <c r="K1425" s="9">
        <v>0</v>
      </c>
      <c r="L1425" s="10">
        <v>1</v>
      </c>
      <c r="M1425" s="6">
        <v>0</v>
      </c>
      <c r="N1425" s="37" t="e" cm="1">
        <f t="array" ref="N1425">IF(OR(ISNUMBER(FIND(Aux!$D$3:$D$9,_xlfn.TEXTJOIN(,,C1425:K1425)))),NA(),IF(AND(SUM(C1425:F1425,H1425:K1425)=0,G1425=1),0,INT((SUMPRODUCT(C1425:F1425,COLUMN($A$1:$D$1)-1)+SUMPRODUCT(H1425:K1425,COLUMN($E$1:$H$1)-1))*'Line Follower'!$C$3/SUM(C1425:F1425,H1425:K1425)-'Line Follower'!$C$5)))</f>
        <v>#N/A</v>
      </c>
      <c r="O1425" s="22" t="e">
        <v>#N/A</v>
      </c>
      <c r="P1425" s="4" t="e">
        <f t="shared" si="110"/>
        <v>#N/A</v>
      </c>
      <c r="Q1425" s="4" t="e">
        <f t="shared" si="111"/>
        <v>#N/A</v>
      </c>
      <c r="R1425" s="4" t="e">
        <f>IF(AND(B1425=1,N1425&gt;'Line Follower'!$C$7,SUM(C1425:K1425)&lt;4),1,0)</f>
        <v>#N/A</v>
      </c>
      <c r="S1425" s="4" t="e">
        <f>IF(AND(L1425=1,N1425&lt;'Line Follower'!$C$6,SUM(C1425:K1425)&lt;4),1,0)</f>
        <v>#N/A</v>
      </c>
      <c r="T1425" s="4" t="e">
        <f t="shared" si="112"/>
        <v>#N/A</v>
      </c>
      <c r="U1425" s="5" t="e">
        <f t="shared" si="113"/>
        <v>#N/A</v>
      </c>
      <c r="V1425" s="23" t="e">
        <f t="shared" si="114"/>
        <v>#N/A</v>
      </c>
    </row>
    <row r="1426" spans="2:22" x14ac:dyDescent="0.25">
      <c r="B1426" s="16">
        <v>1</v>
      </c>
      <c r="C1426" s="7">
        <v>1</v>
      </c>
      <c r="D1426" s="8">
        <v>1</v>
      </c>
      <c r="E1426" s="8">
        <v>1</v>
      </c>
      <c r="F1426" s="8">
        <v>0</v>
      </c>
      <c r="G1426" s="8">
        <v>0</v>
      </c>
      <c r="H1426" s="8">
        <v>0</v>
      </c>
      <c r="I1426" s="8">
        <v>1</v>
      </c>
      <c r="J1426" s="8">
        <v>1</v>
      </c>
      <c r="K1426" s="9">
        <v>0</v>
      </c>
      <c r="L1426" s="10">
        <v>1</v>
      </c>
      <c r="M1426" s="6">
        <v>0</v>
      </c>
      <c r="N1426" s="37" t="e" cm="1">
        <f t="array" ref="N1426">IF(OR(ISNUMBER(FIND(Aux!$D$3:$D$9,_xlfn.TEXTJOIN(,,C1426:K1426)))),NA(),IF(AND(SUM(C1426:F1426,H1426:K1426)=0,G1426=1),0,INT((SUMPRODUCT(C1426:F1426,COLUMN($A$1:$D$1)-1)+SUMPRODUCT(H1426:K1426,COLUMN($E$1:$H$1)-1))*'Line Follower'!$C$3/SUM(C1426:F1426,H1426:K1426)-'Line Follower'!$C$5)))</f>
        <v>#N/A</v>
      </c>
      <c r="O1426" s="22" t="e">
        <v>#N/A</v>
      </c>
      <c r="P1426" s="4" t="e">
        <f t="shared" si="110"/>
        <v>#N/A</v>
      </c>
      <c r="Q1426" s="4" t="e">
        <f t="shared" si="111"/>
        <v>#N/A</v>
      </c>
      <c r="R1426" s="4" t="e">
        <f>IF(AND(B1426=1,N1426&gt;'Line Follower'!$C$7,SUM(C1426:K1426)&lt;4),1,0)</f>
        <v>#N/A</v>
      </c>
      <c r="S1426" s="4" t="e">
        <f>IF(AND(L1426=1,N1426&lt;'Line Follower'!$C$6,SUM(C1426:K1426)&lt;4),1,0)</f>
        <v>#N/A</v>
      </c>
      <c r="T1426" s="4" t="e">
        <f t="shared" si="112"/>
        <v>#N/A</v>
      </c>
      <c r="U1426" s="5" t="e">
        <f t="shared" si="113"/>
        <v>#N/A</v>
      </c>
      <c r="V1426" s="23" t="e">
        <f t="shared" si="114"/>
        <v>#N/A</v>
      </c>
    </row>
    <row r="1427" spans="2:22" x14ac:dyDescent="0.25">
      <c r="B1427" s="16">
        <v>0</v>
      </c>
      <c r="C1427" s="7">
        <v>0</v>
      </c>
      <c r="D1427" s="8">
        <v>0</v>
      </c>
      <c r="E1427" s="8">
        <v>0</v>
      </c>
      <c r="F1427" s="8">
        <v>1</v>
      </c>
      <c r="G1427" s="8">
        <v>0</v>
      </c>
      <c r="H1427" s="8">
        <v>0</v>
      </c>
      <c r="I1427" s="8">
        <v>1</v>
      </c>
      <c r="J1427" s="8">
        <v>1</v>
      </c>
      <c r="K1427" s="9">
        <v>0</v>
      </c>
      <c r="L1427" s="10">
        <v>1</v>
      </c>
      <c r="M1427" s="6">
        <v>0</v>
      </c>
      <c r="N1427" s="37" t="e" cm="1">
        <f t="array" ref="N1427">IF(OR(ISNUMBER(FIND(Aux!$D$3:$D$9,_xlfn.TEXTJOIN(,,C1427:K1427)))),NA(),IF(AND(SUM(C1427:F1427,H1427:K1427)=0,G1427=1),0,INT((SUMPRODUCT(C1427:F1427,COLUMN($A$1:$D$1)-1)+SUMPRODUCT(H1427:K1427,COLUMN($E$1:$H$1)-1))*'Line Follower'!$C$3/SUM(C1427:F1427,H1427:K1427)-'Line Follower'!$C$5)))</f>
        <v>#N/A</v>
      </c>
      <c r="O1427" s="22" t="e">
        <v>#N/A</v>
      </c>
      <c r="P1427" s="4" t="e">
        <f t="shared" si="110"/>
        <v>#N/A</v>
      </c>
      <c r="Q1427" s="4" t="e">
        <f t="shared" si="111"/>
        <v>#N/A</v>
      </c>
      <c r="R1427" s="4" t="e">
        <f>IF(AND(B1427=1,N1427&gt;'Line Follower'!$C$7,SUM(C1427:K1427)&lt;4),1,0)</f>
        <v>#N/A</v>
      </c>
      <c r="S1427" s="4" t="e">
        <f>IF(AND(L1427=1,N1427&lt;'Line Follower'!$C$6,SUM(C1427:K1427)&lt;4),1,0)</f>
        <v>#N/A</v>
      </c>
      <c r="T1427" s="4" t="e">
        <f t="shared" si="112"/>
        <v>#N/A</v>
      </c>
      <c r="U1427" s="5" t="e">
        <f t="shared" si="113"/>
        <v>#N/A</v>
      </c>
      <c r="V1427" s="23" t="e">
        <f t="shared" si="114"/>
        <v>#N/A</v>
      </c>
    </row>
    <row r="1428" spans="2:22" x14ac:dyDescent="0.25">
      <c r="B1428" s="16">
        <v>1</v>
      </c>
      <c r="C1428" s="7">
        <v>0</v>
      </c>
      <c r="D1428" s="8">
        <v>0</v>
      </c>
      <c r="E1428" s="8">
        <v>0</v>
      </c>
      <c r="F1428" s="8">
        <v>1</v>
      </c>
      <c r="G1428" s="8">
        <v>0</v>
      </c>
      <c r="H1428" s="8">
        <v>0</v>
      </c>
      <c r="I1428" s="8">
        <v>1</v>
      </c>
      <c r="J1428" s="8">
        <v>1</v>
      </c>
      <c r="K1428" s="9">
        <v>0</v>
      </c>
      <c r="L1428" s="10">
        <v>1</v>
      </c>
      <c r="M1428" s="6">
        <v>0</v>
      </c>
      <c r="N1428" s="37" t="e" cm="1">
        <f t="array" ref="N1428">IF(OR(ISNUMBER(FIND(Aux!$D$3:$D$9,_xlfn.TEXTJOIN(,,C1428:K1428)))),NA(),IF(AND(SUM(C1428:F1428,H1428:K1428)=0,G1428=1),0,INT((SUMPRODUCT(C1428:F1428,COLUMN($A$1:$D$1)-1)+SUMPRODUCT(H1428:K1428,COLUMN($E$1:$H$1)-1))*'Line Follower'!$C$3/SUM(C1428:F1428,H1428:K1428)-'Line Follower'!$C$5)))</f>
        <v>#N/A</v>
      </c>
      <c r="O1428" s="22" t="e">
        <v>#N/A</v>
      </c>
      <c r="P1428" s="4" t="e">
        <f t="shared" si="110"/>
        <v>#N/A</v>
      </c>
      <c r="Q1428" s="4" t="e">
        <f t="shared" si="111"/>
        <v>#N/A</v>
      </c>
      <c r="R1428" s="4" t="e">
        <f>IF(AND(B1428=1,N1428&gt;'Line Follower'!$C$7,SUM(C1428:K1428)&lt;4),1,0)</f>
        <v>#N/A</v>
      </c>
      <c r="S1428" s="4" t="e">
        <f>IF(AND(L1428=1,N1428&lt;'Line Follower'!$C$6,SUM(C1428:K1428)&lt;4),1,0)</f>
        <v>#N/A</v>
      </c>
      <c r="T1428" s="4" t="e">
        <f t="shared" si="112"/>
        <v>#N/A</v>
      </c>
      <c r="U1428" s="5" t="e">
        <f t="shared" si="113"/>
        <v>#N/A</v>
      </c>
      <c r="V1428" s="23" t="e">
        <f t="shared" si="114"/>
        <v>#N/A</v>
      </c>
    </row>
    <row r="1429" spans="2:22" x14ac:dyDescent="0.25">
      <c r="B1429" s="16">
        <v>0</v>
      </c>
      <c r="C1429" s="7">
        <v>1</v>
      </c>
      <c r="D1429" s="8">
        <v>0</v>
      </c>
      <c r="E1429" s="8">
        <v>0</v>
      </c>
      <c r="F1429" s="8">
        <v>1</v>
      </c>
      <c r="G1429" s="8">
        <v>0</v>
      </c>
      <c r="H1429" s="8">
        <v>0</v>
      </c>
      <c r="I1429" s="8">
        <v>1</v>
      </c>
      <c r="J1429" s="8">
        <v>1</v>
      </c>
      <c r="K1429" s="9">
        <v>0</v>
      </c>
      <c r="L1429" s="10">
        <v>1</v>
      </c>
      <c r="M1429" s="6">
        <v>0</v>
      </c>
      <c r="N1429" s="37" t="e" cm="1">
        <f t="array" ref="N1429">IF(OR(ISNUMBER(FIND(Aux!$D$3:$D$9,_xlfn.TEXTJOIN(,,C1429:K1429)))),NA(),IF(AND(SUM(C1429:F1429,H1429:K1429)=0,G1429=1),0,INT((SUMPRODUCT(C1429:F1429,COLUMN($A$1:$D$1)-1)+SUMPRODUCT(H1429:K1429,COLUMN($E$1:$H$1)-1))*'Line Follower'!$C$3/SUM(C1429:F1429,H1429:K1429)-'Line Follower'!$C$5)))</f>
        <v>#N/A</v>
      </c>
      <c r="O1429" s="22" t="e">
        <v>#N/A</v>
      </c>
      <c r="P1429" s="4" t="e">
        <f t="shared" si="110"/>
        <v>#N/A</v>
      </c>
      <c r="Q1429" s="4" t="e">
        <f t="shared" si="111"/>
        <v>#N/A</v>
      </c>
      <c r="R1429" s="4" t="e">
        <f>IF(AND(B1429=1,N1429&gt;'Line Follower'!$C$7,SUM(C1429:K1429)&lt;4),1,0)</f>
        <v>#N/A</v>
      </c>
      <c r="S1429" s="4" t="e">
        <f>IF(AND(L1429=1,N1429&lt;'Line Follower'!$C$6,SUM(C1429:K1429)&lt;4),1,0)</f>
        <v>#N/A</v>
      </c>
      <c r="T1429" s="4" t="e">
        <f t="shared" si="112"/>
        <v>#N/A</v>
      </c>
      <c r="U1429" s="5" t="e">
        <f t="shared" si="113"/>
        <v>#N/A</v>
      </c>
      <c r="V1429" s="23" t="e">
        <f t="shared" si="114"/>
        <v>#N/A</v>
      </c>
    </row>
    <row r="1430" spans="2:22" x14ac:dyDescent="0.25">
      <c r="B1430" s="16">
        <v>1</v>
      </c>
      <c r="C1430" s="7">
        <v>1</v>
      </c>
      <c r="D1430" s="8">
        <v>0</v>
      </c>
      <c r="E1430" s="8">
        <v>0</v>
      </c>
      <c r="F1430" s="8">
        <v>1</v>
      </c>
      <c r="G1430" s="8">
        <v>0</v>
      </c>
      <c r="H1430" s="8">
        <v>0</v>
      </c>
      <c r="I1430" s="8">
        <v>1</v>
      </c>
      <c r="J1430" s="8">
        <v>1</v>
      </c>
      <c r="K1430" s="9">
        <v>0</v>
      </c>
      <c r="L1430" s="10">
        <v>1</v>
      </c>
      <c r="M1430" s="6">
        <v>0</v>
      </c>
      <c r="N1430" s="37" t="e" cm="1">
        <f t="array" ref="N1430">IF(OR(ISNUMBER(FIND(Aux!$D$3:$D$9,_xlfn.TEXTJOIN(,,C1430:K1430)))),NA(),IF(AND(SUM(C1430:F1430,H1430:K1430)=0,G1430=1),0,INT((SUMPRODUCT(C1430:F1430,COLUMN($A$1:$D$1)-1)+SUMPRODUCT(H1430:K1430,COLUMN($E$1:$H$1)-1))*'Line Follower'!$C$3/SUM(C1430:F1430,H1430:K1430)-'Line Follower'!$C$5)))</f>
        <v>#N/A</v>
      </c>
      <c r="O1430" s="22" t="e">
        <v>#N/A</v>
      </c>
      <c r="P1430" s="4" t="e">
        <f t="shared" si="110"/>
        <v>#N/A</v>
      </c>
      <c r="Q1430" s="4" t="e">
        <f t="shared" si="111"/>
        <v>#N/A</v>
      </c>
      <c r="R1430" s="4" t="e">
        <f>IF(AND(B1430=1,N1430&gt;'Line Follower'!$C$7,SUM(C1430:K1430)&lt;4),1,0)</f>
        <v>#N/A</v>
      </c>
      <c r="S1430" s="4" t="e">
        <f>IF(AND(L1430=1,N1430&lt;'Line Follower'!$C$6,SUM(C1430:K1430)&lt;4),1,0)</f>
        <v>#N/A</v>
      </c>
      <c r="T1430" s="4" t="e">
        <f t="shared" si="112"/>
        <v>#N/A</v>
      </c>
      <c r="U1430" s="5" t="e">
        <f t="shared" si="113"/>
        <v>#N/A</v>
      </c>
      <c r="V1430" s="23" t="e">
        <f t="shared" si="114"/>
        <v>#N/A</v>
      </c>
    </row>
    <row r="1431" spans="2:22" x14ac:dyDescent="0.25">
      <c r="B1431" s="16">
        <v>0</v>
      </c>
      <c r="C1431" s="7">
        <v>0</v>
      </c>
      <c r="D1431" s="8">
        <v>1</v>
      </c>
      <c r="E1431" s="8">
        <v>0</v>
      </c>
      <c r="F1431" s="8">
        <v>1</v>
      </c>
      <c r="G1431" s="8">
        <v>0</v>
      </c>
      <c r="H1431" s="8">
        <v>0</v>
      </c>
      <c r="I1431" s="8">
        <v>1</v>
      </c>
      <c r="J1431" s="8">
        <v>1</v>
      </c>
      <c r="K1431" s="9">
        <v>0</v>
      </c>
      <c r="L1431" s="10">
        <v>1</v>
      </c>
      <c r="M1431" s="6">
        <v>0</v>
      </c>
      <c r="N1431" s="37" t="e" cm="1">
        <f t="array" ref="N1431">IF(OR(ISNUMBER(FIND(Aux!$D$3:$D$9,_xlfn.TEXTJOIN(,,C1431:K1431)))),NA(),IF(AND(SUM(C1431:F1431,H1431:K1431)=0,G1431=1),0,INT((SUMPRODUCT(C1431:F1431,COLUMN($A$1:$D$1)-1)+SUMPRODUCT(H1431:K1431,COLUMN($E$1:$H$1)-1))*'Line Follower'!$C$3/SUM(C1431:F1431,H1431:K1431)-'Line Follower'!$C$5)))</f>
        <v>#N/A</v>
      </c>
      <c r="O1431" s="22" t="e">
        <v>#N/A</v>
      </c>
      <c r="P1431" s="4" t="e">
        <f t="shared" si="110"/>
        <v>#N/A</v>
      </c>
      <c r="Q1431" s="4" t="e">
        <f t="shared" si="111"/>
        <v>#N/A</v>
      </c>
      <c r="R1431" s="4" t="e">
        <f>IF(AND(B1431=1,N1431&gt;'Line Follower'!$C$7,SUM(C1431:K1431)&lt;4),1,0)</f>
        <v>#N/A</v>
      </c>
      <c r="S1431" s="4" t="e">
        <f>IF(AND(L1431=1,N1431&lt;'Line Follower'!$C$6,SUM(C1431:K1431)&lt;4),1,0)</f>
        <v>#N/A</v>
      </c>
      <c r="T1431" s="4" t="e">
        <f t="shared" si="112"/>
        <v>#N/A</v>
      </c>
      <c r="U1431" s="5" t="e">
        <f t="shared" si="113"/>
        <v>#N/A</v>
      </c>
      <c r="V1431" s="23" t="e">
        <f t="shared" si="114"/>
        <v>#N/A</v>
      </c>
    </row>
    <row r="1432" spans="2:22" x14ac:dyDescent="0.25">
      <c r="B1432" s="16">
        <v>1</v>
      </c>
      <c r="C1432" s="7">
        <v>0</v>
      </c>
      <c r="D1432" s="8">
        <v>1</v>
      </c>
      <c r="E1432" s="8">
        <v>0</v>
      </c>
      <c r="F1432" s="8">
        <v>1</v>
      </c>
      <c r="G1432" s="8">
        <v>0</v>
      </c>
      <c r="H1432" s="8">
        <v>0</v>
      </c>
      <c r="I1432" s="8">
        <v>1</v>
      </c>
      <c r="J1432" s="8">
        <v>1</v>
      </c>
      <c r="K1432" s="9">
        <v>0</v>
      </c>
      <c r="L1432" s="10">
        <v>1</v>
      </c>
      <c r="M1432" s="6">
        <v>0</v>
      </c>
      <c r="N1432" s="37" t="e" cm="1">
        <f t="array" ref="N1432">IF(OR(ISNUMBER(FIND(Aux!$D$3:$D$9,_xlfn.TEXTJOIN(,,C1432:K1432)))),NA(),IF(AND(SUM(C1432:F1432,H1432:K1432)=0,G1432=1),0,INT((SUMPRODUCT(C1432:F1432,COLUMN($A$1:$D$1)-1)+SUMPRODUCT(H1432:K1432,COLUMN($E$1:$H$1)-1))*'Line Follower'!$C$3/SUM(C1432:F1432,H1432:K1432)-'Line Follower'!$C$5)))</f>
        <v>#N/A</v>
      </c>
      <c r="O1432" s="22" t="e">
        <v>#N/A</v>
      </c>
      <c r="P1432" s="4" t="e">
        <f t="shared" si="110"/>
        <v>#N/A</v>
      </c>
      <c r="Q1432" s="4" t="e">
        <f t="shared" si="111"/>
        <v>#N/A</v>
      </c>
      <c r="R1432" s="4" t="e">
        <f>IF(AND(B1432=1,N1432&gt;'Line Follower'!$C$7,SUM(C1432:K1432)&lt;4),1,0)</f>
        <v>#N/A</v>
      </c>
      <c r="S1432" s="4" t="e">
        <f>IF(AND(L1432=1,N1432&lt;'Line Follower'!$C$6,SUM(C1432:K1432)&lt;4),1,0)</f>
        <v>#N/A</v>
      </c>
      <c r="T1432" s="4" t="e">
        <f t="shared" si="112"/>
        <v>#N/A</v>
      </c>
      <c r="U1432" s="5" t="e">
        <f t="shared" si="113"/>
        <v>#N/A</v>
      </c>
      <c r="V1432" s="23" t="e">
        <f t="shared" si="114"/>
        <v>#N/A</v>
      </c>
    </row>
    <row r="1433" spans="2:22" x14ac:dyDescent="0.25">
      <c r="B1433" s="16">
        <v>0</v>
      </c>
      <c r="C1433" s="7">
        <v>1</v>
      </c>
      <c r="D1433" s="8">
        <v>1</v>
      </c>
      <c r="E1433" s="8">
        <v>0</v>
      </c>
      <c r="F1433" s="8">
        <v>1</v>
      </c>
      <c r="G1433" s="8">
        <v>0</v>
      </c>
      <c r="H1433" s="8">
        <v>0</v>
      </c>
      <c r="I1433" s="8">
        <v>1</v>
      </c>
      <c r="J1433" s="8">
        <v>1</v>
      </c>
      <c r="K1433" s="9">
        <v>0</v>
      </c>
      <c r="L1433" s="10">
        <v>1</v>
      </c>
      <c r="M1433" s="6">
        <v>0</v>
      </c>
      <c r="N1433" s="37" t="e" cm="1">
        <f t="array" ref="N1433">IF(OR(ISNUMBER(FIND(Aux!$D$3:$D$9,_xlfn.TEXTJOIN(,,C1433:K1433)))),NA(),IF(AND(SUM(C1433:F1433,H1433:K1433)=0,G1433=1),0,INT((SUMPRODUCT(C1433:F1433,COLUMN($A$1:$D$1)-1)+SUMPRODUCT(H1433:K1433,COLUMN($E$1:$H$1)-1))*'Line Follower'!$C$3/SUM(C1433:F1433,H1433:K1433)-'Line Follower'!$C$5)))</f>
        <v>#N/A</v>
      </c>
      <c r="O1433" s="22" t="e">
        <v>#N/A</v>
      </c>
      <c r="P1433" s="4" t="e">
        <f t="shared" si="110"/>
        <v>#N/A</v>
      </c>
      <c r="Q1433" s="4" t="e">
        <f t="shared" si="111"/>
        <v>#N/A</v>
      </c>
      <c r="R1433" s="4" t="e">
        <f>IF(AND(B1433=1,N1433&gt;'Line Follower'!$C$7,SUM(C1433:K1433)&lt;4),1,0)</f>
        <v>#N/A</v>
      </c>
      <c r="S1433" s="4" t="e">
        <f>IF(AND(L1433=1,N1433&lt;'Line Follower'!$C$6,SUM(C1433:K1433)&lt;4),1,0)</f>
        <v>#N/A</v>
      </c>
      <c r="T1433" s="4" t="e">
        <f t="shared" si="112"/>
        <v>#N/A</v>
      </c>
      <c r="U1433" s="5" t="e">
        <f t="shared" si="113"/>
        <v>#N/A</v>
      </c>
      <c r="V1433" s="23" t="e">
        <f t="shared" si="114"/>
        <v>#N/A</v>
      </c>
    </row>
    <row r="1434" spans="2:22" x14ac:dyDescent="0.25">
      <c r="B1434" s="16">
        <v>1</v>
      </c>
      <c r="C1434" s="7">
        <v>1</v>
      </c>
      <c r="D1434" s="8">
        <v>1</v>
      </c>
      <c r="E1434" s="8">
        <v>0</v>
      </c>
      <c r="F1434" s="8">
        <v>1</v>
      </c>
      <c r="G1434" s="8">
        <v>0</v>
      </c>
      <c r="H1434" s="8">
        <v>0</v>
      </c>
      <c r="I1434" s="8">
        <v>1</v>
      </c>
      <c r="J1434" s="8">
        <v>1</v>
      </c>
      <c r="K1434" s="9">
        <v>0</v>
      </c>
      <c r="L1434" s="10">
        <v>1</v>
      </c>
      <c r="M1434" s="6">
        <v>0</v>
      </c>
      <c r="N1434" s="37" t="e" cm="1">
        <f t="array" ref="N1434">IF(OR(ISNUMBER(FIND(Aux!$D$3:$D$9,_xlfn.TEXTJOIN(,,C1434:K1434)))),NA(),IF(AND(SUM(C1434:F1434,H1434:K1434)=0,G1434=1),0,INT((SUMPRODUCT(C1434:F1434,COLUMN($A$1:$D$1)-1)+SUMPRODUCT(H1434:K1434,COLUMN($E$1:$H$1)-1))*'Line Follower'!$C$3/SUM(C1434:F1434,H1434:K1434)-'Line Follower'!$C$5)))</f>
        <v>#N/A</v>
      </c>
      <c r="O1434" s="22" t="e">
        <v>#N/A</v>
      </c>
      <c r="P1434" s="4" t="e">
        <f t="shared" si="110"/>
        <v>#N/A</v>
      </c>
      <c r="Q1434" s="4" t="e">
        <f t="shared" si="111"/>
        <v>#N/A</v>
      </c>
      <c r="R1434" s="4" t="e">
        <f>IF(AND(B1434=1,N1434&gt;'Line Follower'!$C$7,SUM(C1434:K1434)&lt;4),1,0)</f>
        <v>#N/A</v>
      </c>
      <c r="S1434" s="4" t="e">
        <f>IF(AND(L1434=1,N1434&lt;'Line Follower'!$C$6,SUM(C1434:K1434)&lt;4),1,0)</f>
        <v>#N/A</v>
      </c>
      <c r="T1434" s="4" t="e">
        <f t="shared" si="112"/>
        <v>#N/A</v>
      </c>
      <c r="U1434" s="5" t="e">
        <f t="shared" si="113"/>
        <v>#N/A</v>
      </c>
      <c r="V1434" s="23" t="e">
        <f t="shared" si="114"/>
        <v>#N/A</v>
      </c>
    </row>
    <row r="1435" spans="2:22" x14ac:dyDescent="0.25">
      <c r="B1435" s="16">
        <v>0</v>
      </c>
      <c r="C1435" s="7">
        <v>0</v>
      </c>
      <c r="D1435" s="8">
        <v>0</v>
      </c>
      <c r="E1435" s="8">
        <v>1</v>
      </c>
      <c r="F1435" s="8">
        <v>1</v>
      </c>
      <c r="G1435" s="8">
        <v>0</v>
      </c>
      <c r="H1435" s="8">
        <v>0</v>
      </c>
      <c r="I1435" s="8">
        <v>1</v>
      </c>
      <c r="J1435" s="8">
        <v>1</v>
      </c>
      <c r="K1435" s="9">
        <v>0</v>
      </c>
      <c r="L1435" s="10">
        <v>1</v>
      </c>
      <c r="M1435" s="6">
        <v>0</v>
      </c>
      <c r="N1435" s="37" t="e" cm="1">
        <f t="array" ref="N1435">IF(OR(ISNUMBER(FIND(Aux!$D$3:$D$9,_xlfn.TEXTJOIN(,,C1435:K1435)))),NA(),IF(AND(SUM(C1435:F1435,H1435:K1435)=0,G1435=1),0,INT((SUMPRODUCT(C1435:F1435,COLUMN($A$1:$D$1)-1)+SUMPRODUCT(H1435:K1435,COLUMN($E$1:$H$1)-1))*'Line Follower'!$C$3/SUM(C1435:F1435,H1435:K1435)-'Line Follower'!$C$5)))</f>
        <v>#N/A</v>
      </c>
      <c r="O1435" s="22" t="e">
        <v>#N/A</v>
      </c>
      <c r="P1435" s="4" t="e">
        <f t="shared" si="110"/>
        <v>#N/A</v>
      </c>
      <c r="Q1435" s="4" t="e">
        <f t="shared" si="111"/>
        <v>#N/A</v>
      </c>
      <c r="R1435" s="4" t="e">
        <f>IF(AND(B1435=1,N1435&gt;'Line Follower'!$C$7,SUM(C1435:K1435)&lt;4),1,0)</f>
        <v>#N/A</v>
      </c>
      <c r="S1435" s="4" t="e">
        <f>IF(AND(L1435=1,N1435&lt;'Line Follower'!$C$6,SUM(C1435:K1435)&lt;4),1,0)</f>
        <v>#N/A</v>
      </c>
      <c r="T1435" s="4" t="e">
        <f t="shared" si="112"/>
        <v>#N/A</v>
      </c>
      <c r="U1435" s="5" t="e">
        <f t="shared" si="113"/>
        <v>#N/A</v>
      </c>
      <c r="V1435" s="23" t="e">
        <f t="shared" si="114"/>
        <v>#N/A</v>
      </c>
    </row>
    <row r="1436" spans="2:22" x14ac:dyDescent="0.25">
      <c r="B1436" s="16">
        <v>1</v>
      </c>
      <c r="C1436" s="7">
        <v>0</v>
      </c>
      <c r="D1436" s="8">
        <v>0</v>
      </c>
      <c r="E1436" s="8">
        <v>1</v>
      </c>
      <c r="F1436" s="8">
        <v>1</v>
      </c>
      <c r="G1436" s="8">
        <v>0</v>
      </c>
      <c r="H1436" s="8">
        <v>0</v>
      </c>
      <c r="I1436" s="8">
        <v>1</v>
      </c>
      <c r="J1436" s="8">
        <v>1</v>
      </c>
      <c r="K1436" s="9">
        <v>0</v>
      </c>
      <c r="L1436" s="10">
        <v>1</v>
      </c>
      <c r="M1436" s="6">
        <v>0</v>
      </c>
      <c r="N1436" s="37" t="e" cm="1">
        <f t="array" ref="N1436">IF(OR(ISNUMBER(FIND(Aux!$D$3:$D$9,_xlfn.TEXTJOIN(,,C1436:K1436)))),NA(),IF(AND(SUM(C1436:F1436,H1436:K1436)=0,G1436=1),0,INT((SUMPRODUCT(C1436:F1436,COLUMN($A$1:$D$1)-1)+SUMPRODUCT(H1436:K1436,COLUMN($E$1:$H$1)-1))*'Line Follower'!$C$3/SUM(C1436:F1436,H1436:K1436)-'Line Follower'!$C$5)))</f>
        <v>#N/A</v>
      </c>
      <c r="O1436" s="22" t="e">
        <v>#N/A</v>
      </c>
      <c r="P1436" s="4" t="e">
        <f t="shared" si="110"/>
        <v>#N/A</v>
      </c>
      <c r="Q1436" s="4" t="e">
        <f t="shared" si="111"/>
        <v>#N/A</v>
      </c>
      <c r="R1436" s="4" t="e">
        <f>IF(AND(B1436=1,N1436&gt;'Line Follower'!$C$7,SUM(C1436:K1436)&lt;4),1,0)</f>
        <v>#N/A</v>
      </c>
      <c r="S1436" s="4" t="e">
        <f>IF(AND(L1436=1,N1436&lt;'Line Follower'!$C$6,SUM(C1436:K1436)&lt;4),1,0)</f>
        <v>#N/A</v>
      </c>
      <c r="T1436" s="4" t="e">
        <f t="shared" si="112"/>
        <v>#N/A</v>
      </c>
      <c r="U1436" s="5" t="e">
        <f t="shared" si="113"/>
        <v>#N/A</v>
      </c>
      <c r="V1436" s="23" t="e">
        <f t="shared" si="114"/>
        <v>#N/A</v>
      </c>
    </row>
    <row r="1437" spans="2:22" x14ac:dyDescent="0.25">
      <c r="B1437" s="16">
        <v>0</v>
      </c>
      <c r="C1437" s="7">
        <v>1</v>
      </c>
      <c r="D1437" s="8">
        <v>0</v>
      </c>
      <c r="E1437" s="8">
        <v>1</v>
      </c>
      <c r="F1437" s="8">
        <v>1</v>
      </c>
      <c r="G1437" s="8">
        <v>0</v>
      </c>
      <c r="H1437" s="8">
        <v>0</v>
      </c>
      <c r="I1437" s="8">
        <v>1</v>
      </c>
      <c r="J1437" s="8">
        <v>1</v>
      </c>
      <c r="K1437" s="9">
        <v>0</v>
      </c>
      <c r="L1437" s="10">
        <v>1</v>
      </c>
      <c r="M1437" s="6">
        <v>0</v>
      </c>
      <c r="N1437" s="37" t="e" cm="1">
        <f t="array" ref="N1437">IF(OR(ISNUMBER(FIND(Aux!$D$3:$D$9,_xlfn.TEXTJOIN(,,C1437:K1437)))),NA(),IF(AND(SUM(C1437:F1437,H1437:K1437)=0,G1437=1),0,INT((SUMPRODUCT(C1437:F1437,COLUMN($A$1:$D$1)-1)+SUMPRODUCT(H1437:K1437,COLUMN($E$1:$H$1)-1))*'Line Follower'!$C$3/SUM(C1437:F1437,H1437:K1437)-'Line Follower'!$C$5)))</f>
        <v>#N/A</v>
      </c>
      <c r="O1437" s="22" t="e">
        <v>#N/A</v>
      </c>
      <c r="P1437" s="4" t="e">
        <f t="shared" si="110"/>
        <v>#N/A</v>
      </c>
      <c r="Q1437" s="4" t="e">
        <f t="shared" si="111"/>
        <v>#N/A</v>
      </c>
      <c r="R1437" s="4" t="e">
        <f>IF(AND(B1437=1,N1437&gt;'Line Follower'!$C$7,SUM(C1437:K1437)&lt;4),1,0)</f>
        <v>#N/A</v>
      </c>
      <c r="S1437" s="4" t="e">
        <f>IF(AND(L1437=1,N1437&lt;'Line Follower'!$C$6,SUM(C1437:K1437)&lt;4),1,0)</f>
        <v>#N/A</v>
      </c>
      <c r="T1437" s="4" t="e">
        <f t="shared" si="112"/>
        <v>#N/A</v>
      </c>
      <c r="U1437" s="5" t="e">
        <f t="shared" si="113"/>
        <v>#N/A</v>
      </c>
      <c r="V1437" s="23" t="e">
        <f t="shared" si="114"/>
        <v>#N/A</v>
      </c>
    </row>
    <row r="1438" spans="2:22" x14ac:dyDescent="0.25">
      <c r="B1438" s="16">
        <v>1</v>
      </c>
      <c r="C1438" s="7">
        <v>1</v>
      </c>
      <c r="D1438" s="8">
        <v>0</v>
      </c>
      <c r="E1438" s="8">
        <v>1</v>
      </c>
      <c r="F1438" s="8">
        <v>1</v>
      </c>
      <c r="G1438" s="8">
        <v>0</v>
      </c>
      <c r="H1438" s="8">
        <v>0</v>
      </c>
      <c r="I1438" s="8">
        <v>1</v>
      </c>
      <c r="J1438" s="8">
        <v>1</v>
      </c>
      <c r="K1438" s="9">
        <v>0</v>
      </c>
      <c r="L1438" s="10">
        <v>1</v>
      </c>
      <c r="M1438" s="6">
        <v>0</v>
      </c>
      <c r="N1438" s="37" t="e" cm="1">
        <f t="array" ref="N1438">IF(OR(ISNUMBER(FIND(Aux!$D$3:$D$9,_xlfn.TEXTJOIN(,,C1438:K1438)))),NA(),IF(AND(SUM(C1438:F1438,H1438:K1438)=0,G1438=1),0,INT((SUMPRODUCT(C1438:F1438,COLUMN($A$1:$D$1)-1)+SUMPRODUCT(H1438:K1438,COLUMN($E$1:$H$1)-1))*'Line Follower'!$C$3/SUM(C1438:F1438,H1438:K1438)-'Line Follower'!$C$5)))</f>
        <v>#N/A</v>
      </c>
      <c r="O1438" s="22" t="e">
        <v>#N/A</v>
      </c>
      <c r="P1438" s="4" t="e">
        <f t="shared" si="110"/>
        <v>#N/A</v>
      </c>
      <c r="Q1438" s="4" t="e">
        <f t="shared" si="111"/>
        <v>#N/A</v>
      </c>
      <c r="R1438" s="4" t="e">
        <f>IF(AND(B1438=1,N1438&gt;'Line Follower'!$C$7,SUM(C1438:K1438)&lt;4),1,0)</f>
        <v>#N/A</v>
      </c>
      <c r="S1438" s="4" t="e">
        <f>IF(AND(L1438=1,N1438&lt;'Line Follower'!$C$6,SUM(C1438:K1438)&lt;4),1,0)</f>
        <v>#N/A</v>
      </c>
      <c r="T1438" s="4" t="e">
        <f t="shared" si="112"/>
        <v>#N/A</v>
      </c>
      <c r="U1438" s="5" t="e">
        <f t="shared" si="113"/>
        <v>#N/A</v>
      </c>
      <c r="V1438" s="23" t="e">
        <f t="shared" si="114"/>
        <v>#N/A</v>
      </c>
    </row>
    <row r="1439" spans="2:22" x14ac:dyDescent="0.25">
      <c r="B1439" s="16">
        <v>0</v>
      </c>
      <c r="C1439" s="7">
        <v>0</v>
      </c>
      <c r="D1439" s="8">
        <v>1</v>
      </c>
      <c r="E1439" s="8">
        <v>1</v>
      </c>
      <c r="F1439" s="8">
        <v>1</v>
      </c>
      <c r="G1439" s="8">
        <v>0</v>
      </c>
      <c r="H1439" s="8">
        <v>0</v>
      </c>
      <c r="I1439" s="8">
        <v>1</v>
      </c>
      <c r="J1439" s="8">
        <v>1</v>
      </c>
      <c r="K1439" s="9">
        <v>0</v>
      </c>
      <c r="L1439" s="10">
        <v>1</v>
      </c>
      <c r="M1439" s="6">
        <v>0</v>
      </c>
      <c r="N1439" s="37" t="e" cm="1">
        <f t="array" ref="N1439">IF(OR(ISNUMBER(FIND(Aux!$D$3:$D$9,_xlfn.TEXTJOIN(,,C1439:K1439)))),NA(),IF(AND(SUM(C1439:F1439,H1439:K1439)=0,G1439=1),0,INT((SUMPRODUCT(C1439:F1439,COLUMN($A$1:$D$1)-1)+SUMPRODUCT(H1439:K1439,COLUMN($E$1:$H$1)-1))*'Line Follower'!$C$3/SUM(C1439:F1439,H1439:K1439)-'Line Follower'!$C$5)))</f>
        <v>#N/A</v>
      </c>
      <c r="O1439" s="22" t="e">
        <v>#N/A</v>
      </c>
      <c r="P1439" s="4" t="e">
        <f t="shared" si="110"/>
        <v>#N/A</v>
      </c>
      <c r="Q1439" s="4" t="e">
        <f t="shared" si="111"/>
        <v>#N/A</v>
      </c>
      <c r="R1439" s="4" t="e">
        <f>IF(AND(B1439=1,N1439&gt;'Line Follower'!$C$7,SUM(C1439:K1439)&lt;4),1,0)</f>
        <v>#N/A</v>
      </c>
      <c r="S1439" s="4" t="e">
        <f>IF(AND(L1439=1,N1439&lt;'Line Follower'!$C$6,SUM(C1439:K1439)&lt;4),1,0)</f>
        <v>#N/A</v>
      </c>
      <c r="T1439" s="4" t="e">
        <f t="shared" si="112"/>
        <v>#N/A</v>
      </c>
      <c r="U1439" s="5" t="e">
        <f t="shared" si="113"/>
        <v>#N/A</v>
      </c>
      <c r="V1439" s="23" t="e">
        <f t="shared" si="114"/>
        <v>#N/A</v>
      </c>
    </row>
    <row r="1440" spans="2:22" x14ac:dyDescent="0.25">
      <c r="B1440" s="16">
        <v>1</v>
      </c>
      <c r="C1440" s="7">
        <v>0</v>
      </c>
      <c r="D1440" s="8">
        <v>1</v>
      </c>
      <c r="E1440" s="8">
        <v>1</v>
      </c>
      <c r="F1440" s="8">
        <v>1</v>
      </c>
      <c r="G1440" s="8">
        <v>0</v>
      </c>
      <c r="H1440" s="8">
        <v>0</v>
      </c>
      <c r="I1440" s="8">
        <v>1</v>
      </c>
      <c r="J1440" s="8">
        <v>1</v>
      </c>
      <c r="K1440" s="9">
        <v>0</v>
      </c>
      <c r="L1440" s="10">
        <v>1</v>
      </c>
      <c r="M1440" s="6">
        <v>0</v>
      </c>
      <c r="N1440" s="37" t="e" cm="1">
        <f t="array" ref="N1440">IF(OR(ISNUMBER(FIND(Aux!$D$3:$D$9,_xlfn.TEXTJOIN(,,C1440:K1440)))),NA(),IF(AND(SUM(C1440:F1440,H1440:K1440)=0,G1440=1),0,INT((SUMPRODUCT(C1440:F1440,COLUMN($A$1:$D$1)-1)+SUMPRODUCT(H1440:K1440,COLUMN($E$1:$H$1)-1))*'Line Follower'!$C$3/SUM(C1440:F1440,H1440:K1440)-'Line Follower'!$C$5)))</f>
        <v>#N/A</v>
      </c>
      <c r="O1440" s="22" t="e">
        <v>#N/A</v>
      </c>
      <c r="P1440" s="4" t="e">
        <f t="shared" si="110"/>
        <v>#N/A</v>
      </c>
      <c r="Q1440" s="4" t="e">
        <f t="shared" si="111"/>
        <v>#N/A</v>
      </c>
      <c r="R1440" s="4" t="e">
        <f>IF(AND(B1440=1,N1440&gt;'Line Follower'!$C$7,SUM(C1440:K1440)&lt;4),1,0)</f>
        <v>#N/A</v>
      </c>
      <c r="S1440" s="4" t="e">
        <f>IF(AND(L1440=1,N1440&lt;'Line Follower'!$C$6,SUM(C1440:K1440)&lt;4),1,0)</f>
        <v>#N/A</v>
      </c>
      <c r="T1440" s="4" t="e">
        <f t="shared" si="112"/>
        <v>#N/A</v>
      </c>
      <c r="U1440" s="5" t="e">
        <f t="shared" si="113"/>
        <v>#N/A</v>
      </c>
      <c r="V1440" s="23" t="e">
        <f t="shared" si="114"/>
        <v>#N/A</v>
      </c>
    </row>
    <row r="1441" spans="2:22" x14ac:dyDescent="0.25">
      <c r="B1441" s="16">
        <v>0</v>
      </c>
      <c r="C1441" s="7">
        <v>1</v>
      </c>
      <c r="D1441" s="8">
        <v>1</v>
      </c>
      <c r="E1441" s="8">
        <v>1</v>
      </c>
      <c r="F1441" s="8">
        <v>1</v>
      </c>
      <c r="G1441" s="8">
        <v>0</v>
      </c>
      <c r="H1441" s="8">
        <v>0</v>
      </c>
      <c r="I1441" s="8">
        <v>1</v>
      </c>
      <c r="J1441" s="8">
        <v>1</v>
      </c>
      <c r="K1441" s="9">
        <v>0</v>
      </c>
      <c r="L1441" s="10">
        <v>1</v>
      </c>
      <c r="M1441" s="6">
        <v>0</v>
      </c>
      <c r="N1441" s="37" t="e" cm="1">
        <f t="array" ref="N1441">IF(OR(ISNUMBER(FIND(Aux!$D$3:$D$9,_xlfn.TEXTJOIN(,,C1441:K1441)))),NA(),IF(AND(SUM(C1441:F1441,H1441:K1441)=0,G1441=1),0,INT((SUMPRODUCT(C1441:F1441,COLUMN($A$1:$D$1)-1)+SUMPRODUCT(H1441:K1441,COLUMN($E$1:$H$1)-1))*'Line Follower'!$C$3/SUM(C1441:F1441,H1441:K1441)-'Line Follower'!$C$5)))</f>
        <v>#N/A</v>
      </c>
      <c r="O1441" s="22" t="e">
        <v>#N/A</v>
      </c>
      <c r="P1441" s="4" t="e">
        <f t="shared" si="110"/>
        <v>#N/A</v>
      </c>
      <c r="Q1441" s="4" t="e">
        <f t="shared" si="111"/>
        <v>#N/A</v>
      </c>
      <c r="R1441" s="4" t="e">
        <f>IF(AND(B1441=1,N1441&gt;'Line Follower'!$C$7,SUM(C1441:K1441)&lt;4),1,0)</f>
        <v>#N/A</v>
      </c>
      <c r="S1441" s="4" t="e">
        <f>IF(AND(L1441=1,N1441&lt;'Line Follower'!$C$6,SUM(C1441:K1441)&lt;4),1,0)</f>
        <v>#N/A</v>
      </c>
      <c r="T1441" s="4" t="e">
        <f t="shared" si="112"/>
        <v>#N/A</v>
      </c>
      <c r="U1441" s="5" t="e">
        <f t="shared" si="113"/>
        <v>#N/A</v>
      </c>
      <c r="V1441" s="23" t="e">
        <f t="shared" si="114"/>
        <v>#N/A</v>
      </c>
    </row>
    <row r="1442" spans="2:22" x14ac:dyDescent="0.25">
      <c r="B1442" s="16">
        <v>1</v>
      </c>
      <c r="C1442" s="7">
        <v>1</v>
      </c>
      <c r="D1442" s="8">
        <v>1</v>
      </c>
      <c r="E1442" s="8">
        <v>1</v>
      </c>
      <c r="F1442" s="8">
        <v>1</v>
      </c>
      <c r="G1442" s="8">
        <v>0</v>
      </c>
      <c r="H1442" s="8">
        <v>0</v>
      </c>
      <c r="I1442" s="8">
        <v>1</v>
      </c>
      <c r="J1442" s="8">
        <v>1</v>
      </c>
      <c r="K1442" s="9">
        <v>0</v>
      </c>
      <c r="L1442" s="10">
        <v>1</v>
      </c>
      <c r="M1442" s="6">
        <v>0</v>
      </c>
      <c r="N1442" s="37" t="e" cm="1">
        <f t="array" ref="N1442">IF(OR(ISNUMBER(FIND(Aux!$D$3:$D$9,_xlfn.TEXTJOIN(,,C1442:K1442)))),NA(),IF(AND(SUM(C1442:F1442,H1442:K1442)=0,G1442=1),0,INT((SUMPRODUCT(C1442:F1442,COLUMN($A$1:$D$1)-1)+SUMPRODUCT(H1442:K1442,COLUMN($E$1:$H$1)-1))*'Line Follower'!$C$3/SUM(C1442:F1442,H1442:K1442)-'Line Follower'!$C$5)))</f>
        <v>#N/A</v>
      </c>
      <c r="O1442" s="22" t="e">
        <v>#N/A</v>
      </c>
      <c r="P1442" s="4" t="e">
        <f t="shared" si="110"/>
        <v>#N/A</v>
      </c>
      <c r="Q1442" s="4" t="e">
        <f t="shared" si="111"/>
        <v>#N/A</v>
      </c>
      <c r="R1442" s="4" t="e">
        <f>IF(AND(B1442=1,N1442&gt;'Line Follower'!$C$7,SUM(C1442:K1442)&lt;4),1,0)</f>
        <v>#N/A</v>
      </c>
      <c r="S1442" s="4" t="e">
        <f>IF(AND(L1442=1,N1442&lt;'Line Follower'!$C$6,SUM(C1442:K1442)&lt;4),1,0)</f>
        <v>#N/A</v>
      </c>
      <c r="T1442" s="4" t="e">
        <f t="shared" si="112"/>
        <v>#N/A</v>
      </c>
      <c r="U1442" s="5" t="e">
        <f t="shared" si="113"/>
        <v>#N/A</v>
      </c>
      <c r="V1442" s="23" t="e">
        <f t="shared" si="114"/>
        <v>#N/A</v>
      </c>
    </row>
    <row r="1443" spans="2:22" x14ac:dyDescent="0.25">
      <c r="B1443" s="16">
        <v>0</v>
      </c>
      <c r="C1443" s="7">
        <v>0</v>
      </c>
      <c r="D1443" s="8">
        <v>0</v>
      </c>
      <c r="E1443" s="8">
        <v>0</v>
      </c>
      <c r="F1443" s="8">
        <v>0</v>
      </c>
      <c r="G1443" s="8">
        <v>1</v>
      </c>
      <c r="H1443" s="8">
        <v>0</v>
      </c>
      <c r="I1443" s="8">
        <v>1</v>
      </c>
      <c r="J1443" s="8">
        <v>1</v>
      </c>
      <c r="K1443" s="9">
        <v>0</v>
      </c>
      <c r="L1443" s="10">
        <v>1</v>
      </c>
      <c r="M1443" s="6">
        <v>0</v>
      </c>
      <c r="N1443" s="37" t="e" cm="1">
        <f t="array" ref="N1443">IF(OR(ISNUMBER(FIND(Aux!$D$3:$D$9,_xlfn.TEXTJOIN(,,C1443:K1443)))),NA(),IF(AND(SUM(C1443:F1443,H1443:K1443)=0,G1443=1),0,INT((SUMPRODUCT(C1443:F1443,COLUMN($A$1:$D$1)-1)+SUMPRODUCT(H1443:K1443,COLUMN($E$1:$H$1)-1))*'Line Follower'!$C$3/SUM(C1443:F1443,H1443:K1443)-'Line Follower'!$C$5)))</f>
        <v>#N/A</v>
      </c>
      <c r="O1443" s="22" t="e">
        <v>#N/A</v>
      </c>
      <c r="P1443" s="4" t="e">
        <f t="shared" si="110"/>
        <v>#N/A</v>
      </c>
      <c r="Q1443" s="4" t="e">
        <f t="shared" si="111"/>
        <v>#N/A</v>
      </c>
      <c r="R1443" s="4" t="e">
        <f>IF(AND(B1443=1,N1443&gt;'Line Follower'!$C$7,SUM(C1443:K1443)&lt;4),1,0)</f>
        <v>#N/A</v>
      </c>
      <c r="S1443" s="4" t="e">
        <f>IF(AND(L1443=1,N1443&lt;'Line Follower'!$C$6,SUM(C1443:K1443)&lt;4),1,0)</f>
        <v>#N/A</v>
      </c>
      <c r="T1443" s="4" t="e">
        <f t="shared" si="112"/>
        <v>#N/A</v>
      </c>
      <c r="U1443" s="5" t="e">
        <f t="shared" si="113"/>
        <v>#N/A</v>
      </c>
      <c r="V1443" s="23" t="e">
        <f t="shared" si="114"/>
        <v>#N/A</v>
      </c>
    </row>
    <row r="1444" spans="2:22" x14ac:dyDescent="0.25">
      <c r="B1444" s="16">
        <v>1</v>
      </c>
      <c r="C1444" s="7">
        <v>0</v>
      </c>
      <c r="D1444" s="8">
        <v>0</v>
      </c>
      <c r="E1444" s="8">
        <v>0</v>
      </c>
      <c r="F1444" s="8">
        <v>0</v>
      </c>
      <c r="G1444" s="8">
        <v>1</v>
      </c>
      <c r="H1444" s="8">
        <v>0</v>
      </c>
      <c r="I1444" s="8">
        <v>1</v>
      </c>
      <c r="J1444" s="8">
        <v>1</v>
      </c>
      <c r="K1444" s="9">
        <v>0</v>
      </c>
      <c r="L1444" s="10">
        <v>1</v>
      </c>
      <c r="M1444" s="6">
        <v>0</v>
      </c>
      <c r="N1444" s="37" t="e" cm="1">
        <f t="array" ref="N1444">IF(OR(ISNUMBER(FIND(Aux!$D$3:$D$9,_xlfn.TEXTJOIN(,,C1444:K1444)))),NA(),IF(AND(SUM(C1444:F1444,H1444:K1444)=0,G1444=1),0,INT((SUMPRODUCT(C1444:F1444,COLUMN($A$1:$D$1)-1)+SUMPRODUCT(H1444:K1444,COLUMN($E$1:$H$1)-1))*'Line Follower'!$C$3/SUM(C1444:F1444,H1444:K1444)-'Line Follower'!$C$5)))</f>
        <v>#N/A</v>
      </c>
      <c r="O1444" s="22" t="e">
        <v>#N/A</v>
      </c>
      <c r="P1444" s="4" t="e">
        <f t="shared" si="110"/>
        <v>#N/A</v>
      </c>
      <c r="Q1444" s="4" t="e">
        <f t="shared" si="111"/>
        <v>#N/A</v>
      </c>
      <c r="R1444" s="4" t="e">
        <f>IF(AND(B1444=1,N1444&gt;'Line Follower'!$C$7,SUM(C1444:K1444)&lt;4),1,0)</f>
        <v>#N/A</v>
      </c>
      <c r="S1444" s="4" t="e">
        <f>IF(AND(L1444=1,N1444&lt;'Line Follower'!$C$6,SUM(C1444:K1444)&lt;4),1,0)</f>
        <v>#N/A</v>
      </c>
      <c r="T1444" s="4" t="e">
        <f t="shared" si="112"/>
        <v>#N/A</v>
      </c>
      <c r="U1444" s="5" t="e">
        <f t="shared" si="113"/>
        <v>#N/A</v>
      </c>
      <c r="V1444" s="23" t="e">
        <f t="shared" si="114"/>
        <v>#N/A</v>
      </c>
    </row>
    <row r="1445" spans="2:22" x14ac:dyDescent="0.25">
      <c r="B1445" s="16">
        <v>0</v>
      </c>
      <c r="C1445" s="7">
        <v>1</v>
      </c>
      <c r="D1445" s="8">
        <v>0</v>
      </c>
      <c r="E1445" s="8">
        <v>0</v>
      </c>
      <c r="F1445" s="8">
        <v>0</v>
      </c>
      <c r="G1445" s="8">
        <v>1</v>
      </c>
      <c r="H1445" s="8">
        <v>0</v>
      </c>
      <c r="I1445" s="8">
        <v>1</v>
      </c>
      <c r="J1445" s="8">
        <v>1</v>
      </c>
      <c r="K1445" s="9">
        <v>0</v>
      </c>
      <c r="L1445" s="10">
        <v>1</v>
      </c>
      <c r="M1445" s="6">
        <v>0</v>
      </c>
      <c r="N1445" s="37" t="e" cm="1">
        <f t="array" ref="N1445">IF(OR(ISNUMBER(FIND(Aux!$D$3:$D$9,_xlfn.TEXTJOIN(,,C1445:K1445)))),NA(),IF(AND(SUM(C1445:F1445,H1445:K1445)=0,G1445=1),0,INT((SUMPRODUCT(C1445:F1445,COLUMN($A$1:$D$1)-1)+SUMPRODUCT(H1445:K1445,COLUMN($E$1:$H$1)-1))*'Line Follower'!$C$3/SUM(C1445:F1445,H1445:K1445)-'Line Follower'!$C$5)))</f>
        <v>#N/A</v>
      </c>
      <c r="O1445" s="22" t="e">
        <v>#N/A</v>
      </c>
      <c r="P1445" s="4" t="e">
        <f t="shared" si="110"/>
        <v>#N/A</v>
      </c>
      <c r="Q1445" s="4" t="e">
        <f t="shared" si="111"/>
        <v>#N/A</v>
      </c>
      <c r="R1445" s="4" t="e">
        <f>IF(AND(B1445=1,N1445&gt;'Line Follower'!$C$7,SUM(C1445:K1445)&lt;4),1,0)</f>
        <v>#N/A</v>
      </c>
      <c r="S1445" s="4" t="e">
        <f>IF(AND(L1445=1,N1445&lt;'Line Follower'!$C$6,SUM(C1445:K1445)&lt;4),1,0)</f>
        <v>#N/A</v>
      </c>
      <c r="T1445" s="4" t="e">
        <f t="shared" si="112"/>
        <v>#N/A</v>
      </c>
      <c r="U1445" s="5" t="e">
        <f t="shared" si="113"/>
        <v>#N/A</v>
      </c>
      <c r="V1445" s="23" t="e">
        <f t="shared" si="114"/>
        <v>#N/A</v>
      </c>
    </row>
    <row r="1446" spans="2:22" x14ac:dyDescent="0.25">
      <c r="B1446" s="16">
        <v>1</v>
      </c>
      <c r="C1446" s="7">
        <v>1</v>
      </c>
      <c r="D1446" s="8">
        <v>0</v>
      </c>
      <c r="E1446" s="8">
        <v>0</v>
      </c>
      <c r="F1446" s="8">
        <v>0</v>
      </c>
      <c r="G1446" s="8">
        <v>1</v>
      </c>
      <c r="H1446" s="8">
        <v>0</v>
      </c>
      <c r="I1446" s="8">
        <v>1</v>
      </c>
      <c r="J1446" s="8">
        <v>1</v>
      </c>
      <c r="K1446" s="9">
        <v>0</v>
      </c>
      <c r="L1446" s="10">
        <v>1</v>
      </c>
      <c r="M1446" s="6">
        <v>0</v>
      </c>
      <c r="N1446" s="37" t="e" cm="1">
        <f t="array" ref="N1446">IF(OR(ISNUMBER(FIND(Aux!$D$3:$D$9,_xlfn.TEXTJOIN(,,C1446:K1446)))),NA(),IF(AND(SUM(C1446:F1446,H1446:K1446)=0,G1446=1),0,INT((SUMPRODUCT(C1446:F1446,COLUMN($A$1:$D$1)-1)+SUMPRODUCT(H1446:K1446,COLUMN($E$1:$H$1)-1))*'Line Follower'!$C$3/SUM(C1446:F1446,H1446:K1446)-'Line Follower'!$C$5)))</f>
        <v>#N/A</v>
      </c>
      <c r="O1446" s="22" t="e">
        <v>#N/A</v>
      </c>
      <c r="P1446" s="4" t="e">
        <f t="shared" si="110"/>
        <v>#N/A</v>
      </c>
      <c r="Q1446" s="4" t="e">
        <f t="shared" si="111"/>
        <v>#N/A</v>
      </c>
      <c r="R1446" s="4" t="e">
        <f>IF(AND(B1446=1,N1446&gt;'Line Follower'!$C$7,SUM(C1446:K1446)&lt;4),1,0)</f>
        <v>#N/A</v>
      </c>
      <c r="S1446" s="4" t="e">
        <f>IF(AND(L1446=1,N1446&lt;'Line Follower'!$C$6,SUM(C1446:K1446)&lt;4),1,0)</f>
        <v>#N/A</v>
      </c>
      <c r="T1446" s="4" t="e">
        <f t="shared" si="112"/>
        <v>#N/A</v>
      </c>
      <c r="U1446" s="5" t="e">
        <f t="shared" si="113"/>
        <v>#N/A</v>
      </c>
      <c r="V1446" s="23" t="e">
        <f t="shared" si="114"/>
        <v>#N/A</v>
      </c>
    </row>
    <row r="1447" spans="2:22" x14ac:dyDescent="0.25">
      <c r="B1447" s="16">
        <v>0</v>
      </c>
      <c r="C1447" s="7">
        <v>0</v>
      </c>
      <c r="D1447" s="8">
        <v>1</v>
      </c>
      <c r="E1447" s="8">
        <v>0</v>
      </c>
      <c r="F1447" s="8">
        <v>0</v>
      </c>
      <c r="G1447" s="8">
        <v>1</v>
      </c>
      <c r="H1447" s="8">
        <v>0</v>
      </c>
      <c r="I1447" s="8">
        <v>1</v>
      </c>
      <c r="J1447" s="8">
        <v>1</v>
      </c>
      <c r="K1447" s="9">
        <v>0</v>
      </c>
      <c r="L1447" s="10">
        <v>1</v>
      </c>
      <c r="M1447" s="6">
        <v>0</v>
      </c>
      <c r="N1447" s="37" t="e" cm="1">
        <f t="array" ref="N1447">IF(OR(ISNUMBER(FIND(Aux!$D$3:$D$9,_xlfn.TEXTJOIN(,,C1447:K1447)))),NA(),IF(AND(SUM(C1447:F1447,H1447:K1447)=0,G1447=1),0,INT((SUMPRODUCT(C1447:F1447,COLUMN($A$1:$D$1)-1)+SUMPRODUCT(H1447:K1447,COLUMN($E$1:$H$1)-1))*'Line Follower'!$C$3/SUM(C1447:F1447,H1447:K1447)-'Line Follower'!$C$5)))</f>
        <v>#N/A</v>
      </c>
      <c r="O1447" s="22" t="e">
        <v>#N/A</v>
      </c>
      <c r="P1447" s="4" t="e">
        <f t="shared" si="110"/>
        <v>#N/A</v>
      </c>
      <c r="Q1447" s="4" t="e">
        <f t="shared" si="111"/>
        <v>#N/A</v>
      </c>
      <c r="R1447" s="4" t="e">
        <f>IF(AND(B1447=1,N1447&gt;'Line Follower'!$C$7,SUM(C1447:K1447)&lt;4),1,0)</f>
        <v>#N/A</v>
      </c>
      <c r="S1447" s="4" t="e">
        <f>IF(AND(L1447=1,N1447&lt;'Line Follower'!$C$6,SUM(C1447:K1447)&lt;4),1,0)</f>
        <v>#N/A</v>
      </c>
      <c r="T1447" s="4" t="e">
        <f t="shared" si="112"/>
        <v>#N/A</v>
      </c>
      <c r="U1447" s="5" t="e">
        <f t="shared" si="113"/>
        <v>#N/A</v>
      </c>
      <c r="V1447" s="23" t="e">
        <f t="shared" si="114"/>
        <v>#N/A</v>
      </c>
    </row>
    <row r="1448" spans="2:22" x14ac:dyDescent="0.25">
      <c r="B1448" s="16">
        <v>1</v>
      </c>
      <c r="C1448" s="7">
        <v>0</v>
      </c>
      <c r="D1448" s="8">
        <v>1</v>
      </c>
      <c r="E1448" s="8">
        <v>0</v>
      </c>
      <c r="F1448" s="8">
        <v>0</v>
      </c>
      <c r="G1448" s="8">
        <v>1</v>
      </c>
      <c r="H1448" s="8">
        <v>0</v>
      </c>
      <c r="I1448" s="8">
        <v>1</v>
      </c>
      <c r="J1448" s="8">
        <v>1</v>
      </c>
      <c r="K1448" s="9">
        <v>0</v>
      </c>
      <c r="L1448" s="10">
        <v>1</v>
      </c>
      <c r="M1448" s="6">
        <v>0</v>
      </c>
      <c r="N1448" s="37" t="e" cm="1">
        <f t="array" ref="N1448">IF(OR(ISNUMBER(FIND(Aux!$D$3:$D$9,_xlfn.TEXTJOIN(,,C1448:K1448)))),NA(),IF(AND(SUM(C1448:F1448,H1448:K1448)=0,G1448=1),0,INT((SUMPRODUCT(C1448:F1448,COLUMN($A$1:$D$1)-1)+SUMPRODUCT(H1448:K1448,COLUMN($E$1:$H$1)-1))*'Line Follower'!$C$3/SUM(C1448:F1448,H1448:K1448)-'Line Follower'!$C$5)))</f>
        <v>#N/A</v>
      </c>
      <c r="O1448" s="22" t="e">
        <v>#N/A</v>
      </c>
      <c r="P1448" s="4" t="e">
        <f t="shared" si="110"/>
        <v>#N/A</v>
      </c>
      <c r="Q1448" s="4" t="e">
        <f t="shared" si="111"/>
        <v>#N/A</v>
      </c>
      <c r="R1448" s="4" t="e">
        <f>IF(AND(B1448=1,N1448&gt;'Line Follower'!$C$7,SUM(C1448:K1448)&lt;4),1,0)</f>
        <v>#N/A</v>
      </c>
      <c r="S1448" s="4" t="e">
        <f>IF(AND(L1448=1,N1448&lt;'Line Follower'!$C$6,SUM(C1448:K1448)&lt;4),1,0)</f>
        <v>#N/A</v>
      </c>
      <c r="T1448" s="4" t="e">
        <f t="shared" si="112"/>
        <v>#N/A</v>
      </c>
      <c r="U1448" s="5" t="e">
        <f t="shared" si="113"/>
        <v>#N/A</v>
      </c>
      <c r="V1448" s="23" t="e">
        <f t="shared" si="114"/>
        <v>#N/A</v>
      </c>
    </row>
    <row r="1449" spans="2:22" x14ac:dyDescent="0.25">
      <c r="B1449" s="16">
        <v>0</v>
      </c>
      <c r="C1449" s="7">
        <v>1</v>
      </c>
      <c r="D1449" s="8">
        <v>1</v>
      </c>
      <c r="E1449" s="8">
        <v>0</v>
      </c>
      <c r="F1449" s="8">
        <v>0</v>
      </c>
      <c r="G1449" s="8">
        <v>1</v>
      </c>
      <c r="H1449" s="8">
        <v>0</v>
      </c>
      <c r="I1449" s="8">
        <v>1</v>
      </c>
      <c r="J1449" s="8">
        <v>1</v>
      </c>
      <c r="K1449" s="9">
        <v>0</v>
      </c>
      <c r="L1449" s="10">
        <v>1</v>
      </c>
      <c r="M1449" s="6">
        <v>0</v>
      </c>
      <c r="N1449" s="37" t="e" cm="1">
        <f t="array" ref="N1449">IF(OR(ISNUMBER(FIND(Aux!$D$3:$D$9,_xlfn.TEXTJOIN(,,C1449:K1449)))),NA(),IF(AND(SUM(C1449:F1449,H1449:K1449)=0,G1449=1),0,INT((SUMPRODUCT(C1449:F1449,COLUMN($A$1:$D$1)-1)+SUMPRODUCT(H1449:K1449,COLUMN($E$1:$H$1)-1))*'Line Follower'!$C$3/SUM(C1449:F1449,H1449:K1449)-'Line Follower'!$C$5)))</f>
        <v>#N/A</v>
      </c>
      <c r="O1449" s="22" t="e">
        <v>#N/A</v>
      </c>
      <c r="P1449" s="4" t="e">
        <f t="shared" si="110"/>
        <v>#N/A</v>
      </c>
      <c r="Q1449" s="4" t="e">
        <f t="shared" si="111"/>
        <v>#N/A</v>
      </c>
      <c r="R1449" s="4" t="e">
        <f>IF(AND(B1449=1,N1449&gt;'Line Follower'!$C$7,SUM(C1449:K1449)&lt;4),1,0)</f>
        <v>#N/A</v>
      </c>
      <c r="S1449" s="4" t="e">
        <f>IF(AND(L1449=1,N1449&lt;'Line Follower'!$C$6,SUM(C1449:K1449)&lt;4),1,0)</f>
        <v>#N/A</v>
      </c>
      <c r="T1449" s="4" t="e">
        <f t="shared" si="112"/>
        <v>#N/A</v>
      </c>
      <c r="U1449" s="5" t="e">
        <f t="shared" si="113"/>
        <v>#N/A</v>
      </c>
      <c r="V1449" s="23" t="e">
        <f t="shared" si="114"/>
        <v>#N/A</v>
      </c>
    </row>
    <row r="1450" spans="2:22" x14ac:dyDescent="0.25">
      <c r="B1450" s="16">
        <v>1</v>
      </c>
      <c r="C1450" s="7">
        <v>1</v>
      </c>
      <c r="D1450" s="8">
        <v>1</v>
      </c>
      <c r="E1450" s="8">
        <v>0</v>
      </c>
      <c r="F1450" s="8">
        <v>0</v>
      </c>
      <c r="G1450" s="8">
        <v>1</v>
      </c>
      <c r="H1450" s="8">
        <v>0</v>
      </c>
      <c r="I1450" s="8">
        <v>1</v>
      </c>
      <c r="J1450" s="8">
        <v>1</v>
      </c>
      <c r="K1450" s="9">
        <v>0</v>
      </c>
      <c r="L1450" s="10">
        <v>1</v>
      </c>
      <c r="M1450" s="6">
        <v>0</v>
      </c>
      <c r="N1450" s="37" t="e" cm="1">
        <f t="array" ref="N1450">IF(OR(ISNUMBER(FIND(Aux!$D$3:$D$9,_xlfn.TEXTJOIN(,,C1450:K1450)))),NA(),IF(AND(SUM(C1450:F1450,H1450:K1450)=0,G1450=1),0,INT((SUMPRODUCT(C1450:F1450,COLUMN($A$1:$D$1)-1)+SUMPRODUCT(H1450:K1450,COLUMN($E$1:$H$1)-1))*'Line Follower'!$C$3/SUM(C1450:F1450,H1450:K1450)-'Line Follower'!$C$5)))</f>
        <v>#N/A</v>
      </c>
      <c r="O1450" s="22" t="e">
        <v>#N/A</v>
      </c>
      <c r="P1450" s="4" t="e">
        <f t="shared" si="110"/>
        <v>#N/A</v>
      </c>
      <c r="Q1450" s="4" t="e">
        <f t="shared" si="111"/>
        <v>#N/A</v>
      </c>
      <c r="R1450" s="4" t="e">
        <f>IF(AND(B1450=1,N1450&gt;'Line Follower'!$C$7,SUM(C1450:K1450)&lt;4),1,0)</f>
        <v>#N/A</v>
      </c>
      <c r="S1450" s="4" t="e">
        <f>IF(AND(L1450=1,N1450&lt;'Line Follower'!$C$6,SUM(C1450:K1450)&lt;4),1,0)</f>
        <v>#N/A</v>
      </c>
      <c r="T1450" s="4" t="e">
        <f t="shared" si="112"/>
        <v>#N/A</v>
      </c>
      <c r="U1450" s="5" t="e">
        <f t="shared" si="113"/>
        <v>#N/A</v>
      </c>
      <c r="V1450" s="23" t="e">
        <f t="shared" si="114"/>
        <v>#N/A</v>
      </c>
    </row>
    <row r="1451" spans="2:22" x14ac:dyDescent="0.25">
      <c r="B1451" s="16">
        <v>0</v>
      </c>
      <c r="C1451" s="7">
        <v>0</v>
      </c>
      <c r="D1451" s="8">
        <v>0</v>
      </c>
      <c r="E1451" s="8">
        <v>1</v>
      </c>
      <c r="F1451" s="8">
        <v>0</v>
      </c>
      <c r="G1451" s="8">
        <v>1</v>
      </c>
      <c r="H1451" s="8">
        <v>0</v>
      </c>
      <c r="I1451" s="8">
        <v>1</v>
      </c>
      <c r="J1451" s="8">
        <v>1</v>
      </c>
      <c r="K1451" s="9">
        <v>0</v>
      </c>
      <c r="L1451" s="10">
        <v>1</v>
      </c>
      <c r="M1451" s="6">
        <v>0</v>
      </c>
      <c r="N1451" s="37" t="e" cm="1">
        <f t="array" ref="N1451">IF(OR(ISNUMBER(FIND(Aux!$D$3:$D$9,_xlfn.TEXTJOIN(,,C1451:K1451)))),NA(),IF(AND(SUM(C1451:F1451,H1451:K1451)=0,G1451=1),0,INT((SUMPRODUCT(C1451:F1451,COLUMN($A$1:$D$1)-1)+SUMPRODUCT(H1451:K1451,COLUMN($E$1:$H$1)-1))*'Line Follower'!$C$3/SUM(C1451:F1451,H1451:K1451)-'Line Follower'!$C$5)))</f>
        <v>#N/A</v>
      </c>
      <c r="O1451" s="22" t="e">
        <v>#N/A</v>
      </c>
      <c r="P1451" s="4" t="e">
        <f t="shared" si="110"/>
        <v>#N/A</v>
      </c>
      <c r="Q1451" s="4" t="e">
        <f t="shared" si="111"/>
        <v>#N/A</v>
      </c>
      <c r="R1451" s="4" t="e">
        <f>IF(AND(B1451=1,N1451&gt;'Line Follower'!$C$7,SUM(C1451:K1451)&lt;4),1,0)</f>
        <v>#N/A</v>
      </c>
      <c r="S1451" s="4" t="e">
        <f>IF(AND(L1451=1,N1451&lt;'Line Follower'!$C$6,SUM(C1451:K1451)&lt;4),1,0)</f>
        <v>#N/A</v>
      </c>
      <c r="T1451" s="4" t="e">
        <f t="shared" si="112"/>
        <v>#N/A</v>
      </c>
      <c r="U1451" s="5" t="e">
        <f t="shared" si="113"/>
        <v>#N/A</v>
      </c>
      <c r="V1451" s="23" t="e">
        <f t="shared" si="114"/>
        <v>#N/A</v>
      </c>
    </row>
    <row r="1452" spans="2:22" x14ac:dyDescent="0.25">
      <c r="B1452" s="16">
        <v>1</v>
      </c>
      <c r="C1452" s="7">
        <v>0</v>
      </c>
      <c r="D1452" s="8">
        <v>0</v>
      </c>
      <c r="E1452" s="8">
        <v>1</v>
      </c>
      <c r="F1452" s="8">
        <v>0</v>
      </c>
      <c r="G1452" s="8">
        <v>1</v>
      </c>
      <c r="H1452" s="8">
        <v>0</v>
      </c>
      <c r="I1452" s="8">
        <v>1</v>
      </c>
      <c r="J1452" s="8">
        <v>1</v>
      </c>
      <c r="K1452" s="9">
        <v>0</v>
      </c>
      <c r="L1452" s="10">
        <v>1</v>
      </c>
      <c r="M1452" s="6">
        <v>0</v>
      </c>
      <c r="N1452" s="37" t="e" cm="1">
        <f t="array" ref="N1452">IF(OR(ISNUMBER(FIND(Aux!$D$3:$D$9,_xlfn.TEXTJOIN(,,C1452:K1452)))),NA(),IF(AND(SUM(C1452:F1452,H1452:K1452)=0,G1452=1),0,INT((SUMPRODUCT(C1452:F1452,COLUMN($A$1:$D$1)-1)+SUMPRODUCT(H1452:K1452,COLUMN($E$1:$H$1)-1))*'Line Follower'!$C$3/SUM(C1452:F1452,H1452:K1452)-'Line Follower'!$C$5)))</f>
        <v>#N/A</v>
      </c>
      <c r="O1452" s="22" t="e">
        <v>#N/A</v>
      </c>
      <c r="P1452" s="4" t="e">
        <f t="shared" si="110"/>
        <v>#N/A</v>
      </c>
      <c r="Q1452" s="4" t="e">
        <f t="shared" si="111"/>
        <v>#N/A</v>
      </c>
      <c r="R1452" s="4" t="e">
        <f>IF(AND(B1452=1,N1452&gt;'Line Follower'!$C$7,SUM(C1452:K1452)&lt;4),1,0)</f>
        <v>#N/A</v>
      </c>
      <c r="S1452" s="4" t="e">
        <f>IF(AND(L1452=1,N1452&lt;'Line Follower'!$C$6,SUM(C1452:K1452)&lt;4),1,0)</f>
        <v>#N/A</v>
      </c>
      <c r="T1452" s="4" t="e">
        <f t="shared" si="112"/>
        <v>#N/A</v>
      </c>
      <c r="U1452" s="5" t="e">
        <f t="shared" si="113"/>
        <v>#N/A</v>
      </c>
      <c r="V1452" s="23" t="e">
        <f t="shared" si="114"/>
        <v>#N/A</v>
      </c>
    </row>
    <row r="1453" spans="2:22" x14ac:dyDescent="0.25">
      <c r="B1453" s="16">
        <v>0</v>
      </c>
      <c r="C1453" s="7">
        <v>1</v>
      </c>
      <c r="D1453" s="8">
        <v>0</v>
      </c>
      <c r="E1453" s="8">
        <v>1</v>
      </c>
      <c r="F1453" s="8">
        <v>0</v>
      </c>
      <c r="G1453" s="8">
        <v>1</v>
      </c>
      <c r="H1453" s="8">
        <v>0</v>
      </c>
      <c r="I1453" s="8">
        <v>1</v>
      </c>
      <c r="J1453" s="8">
        <v>1</v>
      </c>
      <c r="K1453" s="9">
        <v>0</v>
      </c>
      <c r="L1453" s="10">
        <v>1</v>
      </c>
      <c r="M1453" s="6">
        <v>0</v>
      </c>
      <c r="N1453" s="37" t="e" cm="1">
        <f t="array" ref="N1453">IF(OR(ISNUMBER(FIND(Aux!$D$3:$D$9,_xlfn.TEXTJOIN(,,C1453:K1453)))),NA(),IF(AND(SUM(C1453:F1453,H1453:K1453)=0,G1453=1),0,INT((SUMPRODUCT(C1453:F1453,COLUMN($A$1:$D$1)-1)+SUMPRODUCT(H1453:K1453,COLUMN($E$1:$H$1)-1))*'Line Follower'!$C$3/SUM(C1453:F1453,H1453:K1453)-'Line Follower'!$C$5)))</f>
        <v>#N/A</v>
      </c>
      <c r="O1453" s="22" t="e">
        <v>#N/A</v>
      </c>
      <c r="P1453" s="4" t="e">
        <f t="shared" si="110"/>
        <v>#N/A</v>
      </c>
      <c r="Q1453" s="4" t="e">
        <f t="shared" si="111"/>
        <v>#N/A</v>
      </c>
      <c r="R1453" s="4" t="e">
        <f>IF(AND(B1453=1,N1453&gt;'Line Follower'!$C$7,SUM(C1453:K1453)&lt;4),1,0)</f>
        <v>#N/A</v>
      </c>
      <c r="S1453" s="4" t="e">
        <f>IF(AND(L1453=1,N1453&lt;'Line Follower'!$C$6,SUM(C1453:K1453)&lt;4),1,0)</f>
        <v>#N/A</v>
      </c>
      <c r="T1453" s="4" t="e">
        <f t="shared" si="112"/>
        <v>#N/A</v>
      </c>
      <c r="U1453" s="5" t="e">
        <f t="shared" si="113"/>
        <v>#N/A</v>
      </c>
      <c r="V1453" s="23" t="e">
        <f t="shared" si="114"/>
        <v>#N/A</v>
      </c>
    </row>
    <row r="1454" spans="2:22" x14ac:dyDescent="0.25">
      <c r="B1454" s="16">
        <v>1</v>
      </c>
      <c r="C1454" s="7">
        <v>1</v>
      </c>
      <c r="D1454" s="8">
        <v>0</v>
      </c>
      <c r="E1454" s="8">
        <v>1</v>
      </c>
      <c r="F1454" s="8">
        <v>0</v>
      </c>
      <c r="G1454" s="8">
        <v>1</v>
      </c>
      <c r="H1454" s="8">
        <v>0</v>
      </c>
      <c r="I1454" s="8">
        <v>1</v>
      </c>
      <c r="J1454" s="8">
        <v>1</v>
      </c>
      <c r="K1454" s="9">
        <v>0</v>
      </c>
      <c r="L1454" s="10">
        <v>1</v>
      </c>
      <c r="M1454" s="6">
        <v>0</v>
      </c>
      <c r="N1454" s="37" t="e" cm="1">
        <f t="array" ref="N1454">IF(OR(ISNUMBER(FIND(Aux!$D$3:$D$9,_xlfn.TEXTJOIN(,,C1454:K1454)))),NA(),IF(AND(SUM(C1454:F1454,H1454:K1454)=0,G1454=1),0,INT((SUMPRODUCT(C1454:F1454,COLUMN($A$1:$D$1)-1)+SUMPRODUCT(H1454:K1454,COLUMN($E$1:$H$1)-1))*'Line Follower'!$C$3/SUM(C1454:F1454,H1454:K1454)-'Line Follower'!$C$5)))</f>
        <v>#N/A</v>
      </c>
      <c r="O1454" s="22" t="e">
        <v>#N/A</v>
      </c>
      <c r="P1454" s="4" t="e">
        <f t="shared" si="110"/>
        <v>#N/A</v>
      </c>
      <c r="Q1454" s="4" t="e">
        <f t="shared" si="111"/>
        <v>#N/A</v>
      </c>
      <c r="R1454" s="4" t="e">
        <f>IF(AND(B1454=1,N1454&gt;'Line Follower'!$C$7,SUM(C1454:K1454)&lt;4),1,0)</f>
        <v>#N/A</v>
      </c>
      <c r="S1454" s="4" t="e">
        <f>IF(AND(L1454=1,N1454&lt;'Line Follower'!$C$6,SUM(C1454:K1454)&lt;4),1,0)</f>
        <v>#N/A</v>
      </c>
      <c r="T1454" s="4" t="e">
        <f t="shared" si="112"/>
        <v>#N/A</v>
      </c>
      <c r="U1454" s="5" t="e">
        <f t="shared" si="113"/>
        <v>#N/A</v>
      </c>
      <c r="V1454" s="23" t="e">
        <f t="shared" si="114"/>
        <v>#N/A</v>
      </c>
    </row>
    <row r="1455" spans="2:22" x14ac:dyDescent="0.25">
      <c r="B1455" s="16">
        <v>0</v>
      </c>
      <c r="C1455" s="7">
        <v>0</v>
      </c>
      <c r="D1455" s="8">
        <v>1</v>
      </c>
      <c r="E1455" s="8">
        <v>1</v>
      </c>
      <c r="F1455" s="8">
        <v>0</v>
      </c>
      <c r="G1455" s="8">
        <v>1</v>
      </c>
      <c r="H1455" s="8">
        <v>0</v>
      </c>
      <c r="I1455" s="8">
        <v>1</v>
      </c>
      <c r="J1455" s="8">
        <v>1</v>
      </c>
      <c r="K1455" s="9">
        <v>0</v>
      </c>
      <c r="L1455" s="10">
        <v>1</v>
      </c>
      <c r="M1455" s="6">
        <v>0</v>
      </c>
      <c r="N1455" s="37" t="e" cm="1">
        <f t="array" ref="N1455">IF(OR(ISNUMBER(FIND(Aux!$D$3:$D$9,_xlfn.TEXTJOIN(,,C1455:K1455)))),NA(),IF(AND(SUM(C1455:F1455,H1455:K1455)=0,G1455=1),0,INT((SUMPRODUCT(C1455:F1455,COLUMN($A$1:$D$1)-1)+SUMPRODUCT(H1455:K1455,COLUMN($E$1:$H$1)-1))*'Line Follower'!$C$3/SUM(C1455:F1455,H1455:K1455)-'Line Follower'!$C$5)))</f>
        <v>#N/A</v>
      </c>
      <c r="O1455" s="22" t="e">
        <v>#N/A</v>
      </c>
      <c r="P1455" s="4" t="e">
        <f t="shared" si="110"/>
        <v>#N/A</v>
      </c>
      <c r="Q1455" s="4" t="e">
        <f t="shared" si="111"/>
        <v>#N/A</v>
      </c>
      <c r="R1455" s="4" t="e">
        <f>IF(AND(B1455=1,N1455&gt;'Line Follower'!$C$7,SUM(C1455:K1455)&lt;4),1,0)</f>
        <v>#N/A</v>
      </c>
      <c r="S1455" s="4" t="e">
        <f>IF(AND(L1455=1,N1455&lt;'Line Follower'!$C$6,SUM(C1455:K1455)&lt;4),1,0)</f>
        <v>#N/A</v>
      </c>
      <c r="T1455" s="4" t="e">
        <f t="shared" si="112"/>
        <v>#N/A</v>
      </c>
      <c r="U1455" s="5" t="e">
        <f t="shared" si="113"/>
        <v>#N/A</v>
      </c>
      <c r="V1455" s="23" t="e">
        <f t="shared" si="114"/>
        <v>#N/A</v>
      </c>
    </row>
    <row r="1456" spans="2:22" x14ac:dyDescent="0.25">
      <c r="B1456" s="16">
        <v>1</v>
      </c>
      <c r="C1456" s="7">
        <v>0</v>
      </c>
      <c r="D1456" s="8">
        <v>1</v>
      </c>
      <c r="E1456" s="8">
        <v>1</v>
      </c>
      <c r="F1456" s="8">
        <v>0</v>
      </c>
      <c r="G1456" s="8">
        <v>1</v>
      </c>
      <c r="H1456" s="8">
        <v>0</v>
      </c>
      <c r="I1456" s="8">
        <v>1</v>
      </c>
      <c r="J1456" s="8">
        <v>1</v>
      </c>
      <c r="K1456" s="9">
        <v>0</v>
      </c>
      <c r="L1456" s="10">
        <v>1</v>
      </c>
      <c r="M1456" s="6">
        <v>0</v>
      </c>
      <c r="N1456" s="37" t="e" cm="1">
        <f t="array" ref="N1456">IF(OR(ISNUMBER(FIND(Aux!$D$3:$D$9,_xlfn.TEXTJOIN(,,C1456:K1456)))),NA(),IF(AND(SUM(C1456:F1456,H1456:K1456)=0,G1456=1),0,INT((SUMPRODUCT(C1456:F1456,COLUMN($A$1:$D$1)-1)+SUMPRODUCT(H1456:K1456,COLUMN($E$1:$H$1)-1))*'Line Follower'!$C$3/SUM(C1456:F1456,H1456:K1456)-'Line Follower'!$C$5)))</f>
        <v>#N/A</v>
      </c>
      <c r="O1456" s="22" t="e">
        <v>#N/A</v>
      </c>
      <c r="P1456" s="4" t="e">
        <f t="shared" si="110"/>
        <v>#N/A</v>
      </c>
      <c r="Q1456" s="4" t="e">
        <f t="shared" si="111"/>
        <v>#N/A</v>
      </c>
      <c r="R1456" s="4" t="e">
        <f>IF(AND(B1456=1,N1456&gt;'Line Follower'!$C$7,SUM(C1456:K1456)&lt;4),1,0)</f>
        <v>#N/A</v>
      </c>
      <c r="S1456" s="4" t="e">
        <f>IF(AND(L1456=1,N1456&lt;'Line Follower'!$C$6,SUM(C1456:K1456)&lt;4),1,0)</f>
        <v>#N/A</v>
      </c>
      <c r="T1456" s="4" t="e">
        <f t="shared" si="112"/>
        <v>#N/A</v>
      </c>
      <c r="U1456" s="5" t="e">
        <f t="shared" si="113"/>
        <v>#N/A</v>
      </c>
      <c r="V1456" s="23" t="e">
        <f t="shared" si="114"/>
        <v>#N/A</v>
      </c>
    </row>
    <row r="1457" spans="2:22" x14ac:dyDescent="0.25">
      <c r="B1457" s="16">
        <v>0</v>
      </c>
      <c r="C1457" s="7">
        <v>1</v>
      </c>
      <c r="D1457" s="8">
        <v>1</v>
      </c>
      <c r="E1457" s="8">
        <v>1</v>
      </c>
      <c r="F1457" s="8">
        <v>0</v>
      </c>
      <c r="G1457" s="8">
        <v>1</v>
      </c>
      <c r="H1457" s="8">
        <v>0</v>
      </c>
      <c r="I1457" s="8">
        <v>1</v>
      </c>
      <c r="J1457" s="8">
        <v>1</v>
      </c>
      <c r="K1457" s="9">
        <v>0</v>
      </c>
      <c r="L1457" s="10">
        <v>1</v>
      </c>
      <c r="M1457" s="6">
        <v>0</v>
      </c>
      <c r="N1457" s="37" t="e" cm="1">
        <f t="array" ref="N1457">IF(OR(ISNUMBER(FIND(Aux!$D$3:$D$9,_xlfn.TEXTJOIN(,,C1457:K1457)))),NA(),IF(AND(SUM(C1457:F1457,H1457:K1457)=0,G1457=1),0,INT((SUMPRODUCT(C1457:F1457,COLUMN($A$1:$D$1)-1)+SUMPRODUCT(H1457:K1457,COLUMN($E$1:$H$1)-1))*'Line Follower'!$C$3/SUM(C1457:F1457,H1457:K1457)-'Line Follower'!$C$5)))</f>
        <v>#N/A</v>
      </c>
      <c r="O1457" s="22" t="e">
        <v>#N/A</v>
      </c>
      <c r="P1457" s="4" t="e">
        <f t="shared" si="110"/>
        <v>#N/A</v>
      </c>
      <c r="Q1457" s="4" t="e">
        <f t="shared" si="111"/>
        <v>#N/A</v>
      </c>
      <c r="R1457" s="4" t="e">
        <f>IF(AND(B1457=1,N1457&gt;'Line Follower'!$C$7,SUM(C1457:K1457)&lt;4),1,0)</f>
        <v>#N/A</v>
      </c>
      <c r="S1457" s="4" t="e">
        <f>IF(AND(L1457=1,N1457&lt;'Line Follower'!$C$6,SUM(C1457:K1457)&lt;4),1,0)</f>
        <v>#N/A</v>
      </c>
      <c r="T1457" s="4" t="e">
        <f t="shared" si="112"/>
        <v>#N/A</v>
      </c>
      <c r="U1457" s="5" t="e">
        <f t="shared" si="113"/>
        <v>#N/A</v>
      </c>
      <c r="V1457" s="23" t="e">
        <f t="shared" si="114"/>
        <v>#N/A</v>
      </c>
    </row>
    <row r="1458" spans="2:22" x14ac:dyDescent="0.25">
      <c r="B1458" s="16">
        <v>1</v>
      </c>
      <c r="C1458" s="7">
        <v>1</v>
      </c>
      <c r="D1458" s="8">
        <v>1</v>
      </c>
      <c r="E1458" s="8">
        <v>1</v>
      </c>
      <c r="F1458" s="8">
        <v>0</v>
      </c>
      <c r="G1458" s="8">
        <v>1</v>
      </c>
      <c r="H1458" s="8">
        <v>0</v>
      </c>
      <c r="I1458" s="8">
        <v>1</v>
      </c>
      <c r="J1458" s="8">
        <v>1</v>
      </c>
      <c r="K1458" s="9">
        <v>0</v>
      </c>
      <c r="L1458" s="10">
        <v>1</v>
      </c>
      <c r="M1458" s="6">
        <v>0</v>
      </c>
      <c r="N1458" s="37" t="e" cm="1">
        <f t="array" ref="N1458">IF(OR(ISNUMBER(FIND(Aux!$D$3:$D$9,_xlfn.TEXTJOIN(,,C1458:K1458)))),NA(),IF(AND(SUM(C1458:F1458,H1458:K1458)=0,G1458=1),0,INT((SUMPRODUCT(C1458:F1458,COLUMN($A$1:$D$1)-1)+SUMPRODUCT(H1458:K1458,COLUMN($E$1:$H$1)-1))*'Line Follower'!$C$3/SUM(C1458:F1458,H1458:K1458)-'Line Follower'!$C$5)))</f>
        <v>#N/A</v>
      </c>
      <c r="O1458" s="22" t="e">
        <v>#N/A</v>
      </c>
      <c r="P1458" s="4" t="e">
        <f t="shared" si="110"/>
        <v>#N/A</v>
      </c>
      <c r="Q1458" s="4" t="e">
        <f t="shared" si="111"/>
        <v>#N/A</v>
      </c>
      <c r="R1458" s="4" t="e">
        <f>IF(AND(B1458=1,N1458&gt;'Line Follower'!$C$7,SUM(C1458:K1458)&lt;4),1,0)</f>
        <v>#N/A</v>
      </c>
      <c r="S1458" s="4" t="e">
        <f>IF(AND(L1458=1,N1458&lt;'Line Follower'!$C$6,SUM(C1458:K1458)&lt;4),1,0)</f>
        <v>#N/A</v>
      </c>
      <c r="T1458" s="4" t="e">
        <f t="shared" si="112"/>
        <v>#N/A</v>
      </c>
      <c r="U1458" s="5" t="e">
        <f t="shared" si="113"/>
        <v>#N/A</v>
      </c>
      <c r="V1458" s="23" t="e">
        <f t="shared" si="114"/>
        <v>#N/A</v>
      </c>
    </row>
    <row r="1459" spans="2:22" x14ac:dyDescent="0.25">
      <c r="B1459" s="16">
        <v>0</v>
      </c>
      <c r="C1459" s="7">
        <v>0</v>
      </c>
      <c r="D1459" s="8">
        <v>0</v>
      </c>
      <c r="E1459" s="8">
        <v>0</v>
      </c>
      <c r="F1459" s="8">
        <v>1</v>
      </c>
      <c r="G1459" s="8">
        <v>1</v>
      </c>
      <c r="H1459" s="8">
        <v>0</v>
      </c>
      <c r="I1459" s="8">
        <v>1</v>
      </c>
      <c r="J1459" s="8">
        <v>1</v>
      </c>
      <c r="K1459" s="9">
        <v>0</v>
      </c>
      <c r="L1459" s="10">
        <v>1</v>
      </c>
      <c r="M1459" s="6">
        <v>0</v>
      </c>
      <c r="N1459" s="37" t="e" cm="1">
        <f t="array" ref="N1459">IF(OR(ISNUMBER(FIND(Aux!$D$3:$D$9,_xlfn.TEXTJOIN(,,C1459:K1459)))),NA(),IF(AND(SUM(C1459:F1459,H1459:K1459)=0,G1459=1),0,INT((SUMPRODUCT(C1459:F1459,COLUMN($A$1:$D$1)-1)+SUMPRODUCT(H1459:K1459,COLUMN($E$1:$H$1)-1))*'Line Follower'!$C$3/SUM(C1459:F1459,H1459:K1459)-'Line Follower'!$C$5)))</f>
        <v>#N/A</v>
      </c>
      <c r="O1459" s="22" t="e">
        <v>#N/A</v>
      </c>
      <c r="P1459" s="4" t="e">
        <f t="shared" si="110"/>
        <v>#N/A</v>
      </c>
      <c r="Q1459" s="4" t="e">
        <f t="shared" si="111"/>
        <v>#N/A</v>
      </c>
      <c r="R1459" s="4" t="e">
        <f>IF(AND(B1459=1,N1459&gt;'Line Follower'!$C$7,SUM(C1459:K1459)&lt;4),1,0)</f>
        <v>#N/A</v>
      </c>
      <c r="S1459" s="4" t="e">
        <f>IF(AND(L1459=1,N1459&lt;'Line Follower'!$C$6,SUM(C1459:K1459)&lt;4),1,0)</f>
        <v>#N/A</v>
      </c>
      <c r="T1459" s="4" t="e">
        <f t="shared" si="112"/>
        <v>#N/A</v>
      </c>
      <c r="U1459" s="5" t="e">
        <f t="shared" si="113"/>
        <v>#N/A</v>
      </c>
      <c r="V1459" s="23" t="e">
        <f t="shared" si="114"/>
        <v>#N/A</v>
      </c>
    </row>
    <row r="1460" spans="2:22" x14ac:dyDescent="0.25">
      <c r="B1460" s="16">
        <v>1</v>
      </c>
      <c r="C1460" s="7">
        <v>0</v>
      </c>
      <c r="D1460" s="8">
        <v>0</v>
      </c>
      <c r="E1460" s="8">
        <v>0</v>
      </c>
      <c r="F1460" s="8">
        <v>1</v>
      </c>
      <c r="G1460" s="8">
        <v>1</v>
      </c>
      <c r="H1460" s="8">
        <v>0</v>
      </c>
      <c r="I1460" s="8">
        <v>1</v>
      </c>
      <c r="J1460" s="8">
        <v>1</v>
      </c>
      <c r="K1460" s="9">
        <v>0</v>
      </c>
      <c r="L1460" s="10">
        <v>1</v>
      </c>
      <c r="M1460" s="6">
        <v>0</v>
      </c>
      <c r="N1460" s="37" t="e" cm="1">
        <f t="array" ref="N1460">IF(OR(ISNUMBER(FIND(Aux!$D$3:$D$9,_xlfn.TEXTJOIN(,,C1460:K1460)))),NA(),IF(AND(SUM(C1460:F1460,H1460:K1460)=0,G1460=1),0,INT((SUMPRODUCT(C1460:F1460,COLUMN($A$1:$D$1)-1)+SUMPRODUCT(H1460:K1460,COLUMN($E$1:$H$1)-1))*'Line Follower'!$C$3/SUM(C1460:F1460,H1460:K1460)-'Line Follower'!$C$5)))</f>
        <v>#N/A</v>
      </c>
      <c r="O1460" s="22" t="e">
        <v>#N/A</v>
      </c>
      <c r="P1460" s="4" t="e">
        <f t="shared" si="110"/>
        <v>#N/A</v>
      </c>
      <c r="Q1460" s="4" t="e">
        <f t="shared" si="111"/>
        <v>#N/A</v>
      </c>
      <c r="R1460" s="4" t="e">
        <f>IF(AND(B1460=1,N1460&gt;'Line Follower'!$C$7,SUM(C1460:K1460)&lt;4),1,0)</f>
        <v>#N/A</v>
      </c>
      <c r="S1460" s="4" t="e">
        <f>IF(AND(L1460=1,N1460&lt;'Line Follower'!$C$6,SUM(C1460:K1460)&lt;4),1,0)</f>
        <v>#N/A</v>
      </c>
      <c r="T1460" s="4" t="e">
        <f t="shared" si="112"/>
        <v>#N/A</v>
      </c>
      <c r="U1460" s="5" t="e">
        <f t="shared" si="113"/>
        <v>#N/A</v>
      </c>
      <c r="V1460" s="23" t="e">
        <f t="shared" si="114"/>
        <v>#N/A</v>
      </c>
    </row>
    <row r="1461" spans="2:22" x14ac:dyDescent="0.25">
      <c r="B1461" s="16">
        <v>0</v>
      </c>
      <c r="C1461" s="7">
        <v>1</v>
      </c>
      <c r="D1461" s="8">
        <v>0</v>
      </c>
      <c r="E1461" s="8">
        <v>0</v>
      </c>
      <c r="F1461" s="8">
        <v>1</v>
      </c>
      <c r="G1461" s="8">
        <v>1</v>
      </c>
      <c r="H1461" s="8">
        <v>0</v>
      </c>
      <c r="I1461" s="8">
        <v>1</v>
      </c>
      <c r="J1461" s="8">
        <v>1</v>
      </c>
      <c r="K1461" s="9">
        <v>0</v>
      </c>
      <c r="L1461" s="10">
        <v>1</v>
      </c>
      <c r="M1461" s="6">
        <v>0</v>
      </c>
      <c r="N1461" s="37" t="e" cm="1">
        <f t="array" ref="N1461">IF(OR(ISNUMBER(FIND(Aux!$D$3:$D$9,_xlfn.TEXTJOIN(,,C1461:K1461)))),NA(),IF(AND(SUM(C1461:F1461,H1461:K1461)=0,G1461=1),0,INT((SUMPRODUCT(C1461:F1461,COLUMN($A$1:$D$1)-1)+SUMPRODUCT(H1461:K1461,COLUMN($E$1:$H$1)-1))*'Line Follower'!$C$3/SUM(C1461:F1461,H1461:K1461)-'Line Follower'!$C$5)))</f>
        <v>#N/A</v>
      </c>
      <c r="O1461" s="22" t="e">
        <v>#N/A</v>
      </c>
      <c r="P1461" s="4" t="e">
        <f t="shared" si="110"/>
        <v>#N/A</v>
      </c>
      <c r="Q1461" s="4" t="e">
        <f t="shared" si="111"/>
        <v>#N/A</v>
      </c>
      <c r="R1461" s="4" t="e">
        <f>IF(AND(B1461=1,N1461&gt;'Line Follower'!$C$7,SUM(C1461:K1461)&lt;4),1,0)</f>
        <v>#N/A</v>
      </c>
      <c r="S1461" s="4" t="e">
        <f>IF(AND(L1461=1,N1461&lt;'Line Follower'!$C$6,SUM(C1461:K1461)&lt;4),1,0)</f>
        <v>#N/A</v>
      </c>
      <c r="T1461" s="4" t="e">
        <f t="shared" si="112"/>
        <v>#N/A</v>
      </c>
      <c r="U1461" s="5" t="e">
        <f t="shared" si="113"/>
        <v>#N/A</v>
      </c>
      <c r="V1461" s="23" t="e">
        <f t="shared" si="114"/>
        <v>#N/A</v>
      </c>
    </row>
    <row r="1462" spans="2:22" x14ac:dyDescent="0.25">
      <c r="B1462" s="16">
        <v>1</v>
      </c>
      <c r="C1462" s="7">
        <v>1</v>
      </c>
      <c r="D1462" s="8">
        <v>0</v>
      </c>
      <c r="E1462" s="8">
        <v>0</v>
      </c>
      <c r="F1462" s="8">
        <v>1</v>
      </c>
      <c r="G1462" s="8">
        <v>1</v>
      </c>
      <c r="H1462" s="8">
        <v>0</v>
      </c>
      <c r="I1462" s="8">
        <v>1</v>
      </c>
      <c r="J1462" s="8">
        <v>1</v>
      </c>
      <c r="K1462" s="9">
        <v>0</v>
      </c>
      <c r="L1462" s="10">
        <v>1</v>
      </c>
      <c r="M1462" s="6">
        <v>0</v>
      </c>
      <c r="N1462" s="37" t="e" cm="1">
        <f t="array" ref="N1462">IF(OR(ISNUMBER(FIND(Aux!$D$3:$D$9,_xlfn.TEXTJOIN(,,C1462:K1462)))),NA(),IF(AND(SUM(C1462:F1462,H1462:K1462)=0,G1462=1),0,INT((SUMPRODUCT(C1462:F1462,COLUMN($A$1:$D$1)-1)+SUMPRODUCT(H1462:K1462,COLUMN($E$1:$H$1)-1))*'Line Follower'!$C$3/SUM(C1462:F1462,H1462:K1462)-'Line Follower'!$C$5)))</f>
        <v>#N/A</v>
      </c>
      <c r="O1462" s="22" t="e">
        <v>#N/A</v>
      </c>
      <c r="P1462" s="4" t="e">
        <f t="shared" si="110"/>
        <v>#N/A</v>
      </c>
      <c r="Q1462" s="4" t="e">
        <f t="shared" si="111"/>
        <v>#N/A</v>
      </c>
      <c r="R1462" s="4" t="e">
        <f>IF(AND(B1462=1,N1462&gt;'Line Follower'!$C$7,SUM(C1462:K1462)&lt;4),1,0)</f>
        <v>#N/A</v>
      </c>
      <c r="S1462" s="4" t="e">
        <f>IF(AND(L1462=1,N1462&lt;'Line Follower'!$C$6,SUM(C1462:K1462)&lt;4),1,0)</f>
        <v>#N/A</v>
      </c>
      <c r="T1462" s="4" t="e">
        <f t="shared" si="112"/>
        <v>#N/A</v>
      </c>
      <c r="U1462" s="5" t="e">
        <f t="shared" si="113"/>
        <v>#N/A</v>
      </c>
      <c r="V1462" s="23" t="e">
        <f t="shared" si="114"/>
        <v>#N/A</v>
      </c>
    </row>
    <row r="1463" spans="2:22" x14ac:dyDescent="0.25">
      <c r="B1463" s="16">
        <v>0</v>
      </c>
      <c r="C1463" s="7">
        <v>0</v>
      </c>
      <c r="D1463" s="8">
        <v>1</v>
      </c>
      <c r="E1463" s="8">
        <v>0</v>
      </c>
      <c r="F1463" s="8">
        <v>1</v>
      </c>
      <c r="G1463" s="8">
        <v>1</v>
      </c>
      <c r="H1463" s="8">
        <v>0</v>
      </c>
      <c r="I1463" s="8">
        <v>1</v>
      </c>
      <c r="J1463" s="8">
        <v>1</v>
      </c>
      <c r="K1463" s="9">
        <v>0</v>
      </c>
      <c r="L1463" s="10">
        <v>1</v>
      </c>
      <c r="M1463" s="6">
        <v>0</v>
      </c>
      <c r="N1463" s="37" t="e" cm="1">
        <f t="array" ref="N1463">IF(OR(ISNUMBER(FIND(Aux!$D$3:$D$9,_xlfn.TEXTJOIN(,,C1463:K1463)))),NA(),IF(AND(SUM(C1463:F1463,H1463:K1463)=0,G1463=1),0,INT((SUMPRODUCT(C1463:F1463,COLUMN($A$1:$D$1)-1)+SUMPRODUCT(H1463:K1463,COLUMN($E$1:$H$1)-1))*'Line Follower'!$C$3/SUM(C1463:F1463,H1463:K1463)-'Line Follower'!$C$5)))</f>
        <v>#N/A</v>
      </c>
      <c r="O1463" s="22" t="e">
        <v>#N/A</v>
      </c>
      <c r="P1463" s="4" t="e">
        <f t="shared" si="110"/>
        <v>#N/A</v>
      </c>
      <c r="Q1463" s="4" t="e">
        <f t="shared" si="111"/>
        <v>#N/A</v>
      </c>
      <c r="R1463" s="4" t="e">
        <f>IF(AND(B1463=1,N1463&gt;'Line Follower'!$C$7,SUM(C1463:K1463)&lt;4),1,0)</f>
        <v>#N/A</v>
      </c>
      <c r="S1463" s="4" t="e">
        <f>IF(AND(L1463=1,N1463&lt;'Line Follower'!$C$6,SUM(C1463:K1463)&lt;4),1,0)</f>
        <v>#N/A</v>
      </c>
      <c r="T1463" s="4" t="e">
        <f t="shared" si="112"/>
        <v>#N/A</v>
      </c>
      <c r="U1463" s="5" t="e">
        <f t="shared" si="113"/>
        <v>#N/A</v>
      </c>
      <c r="V1463" s="23" t="e">
        <f t="shared" si="114"/>
        <v>#N/A</v>
      </c>
    </row>
    <row r="1464" spans="2:22" x14ac:dyDescent="0.25">
      <c r="B1464" s="16">
        <v>1</v>
      </c>
      <c r="C1464" s="7">
        <v>0</v>
      </c>
      <c r="D1464" s="8">
        <v>1</v>
      </c>
      <c r="E1464" s="8">
        <v>0</v>
      </c>
      <c r="F1464" s="8">
        <v>1</v>
      </c>
      <c r="G1464" s="8">
        <v>1</v>
      </c>
      <c r="H1464" s="8">
        <v>0</v>
      </c>
      <c r="I1464" s="8">
        <v>1</v>
      </c>
      <c r="J1464" s="8">
        <v>1</v>
      </c>
      <c r="K1464" s="9">
        <v>0</v>
      </c>
      <c r="L1464" s="10">
        <v>1</v>
      </c>
      <c r="M1464" s="6">
        <v>0</v>
      </c>
      <c r="N1464" s="37" t="e" cm="1">
        <f t="array" ref="N1464">IF(OR(ISNUMBER(FIND(Aux!$D$3:$D$9,_xlfn.TEXTJOIN(,,C1464:K1464)))),NA(),IF(AND(SUM(C1464:F1464,H1464:K1464)=0,G1464=1),0,INT((SUMPRODUCT(C1464:F1464,COLUMN($A$1:$D$1)-1)+SUMPRODUCT(H1464:K1464,COLUMN($E$1:$H$1)-1))*'Line Follower'!$C$3/SUM(C1464:F1464,H1464:K1464)-'Line Follower'!$C$5)))</f>
        <v>#N/A</v>
      </c>
      <c r="O1464" s="22" t="e">
        <v>#N/A</v>
      </c>
      <c r="P1464" s="4" t="e">
        <f t="shared" si="110"/>
        <v>#N/A</v>
      </c>
      <c r="Q1464" s="4" t="e">
        <f t="shared" si="111"/>
        <v>#N/A</v>
      </c>
      <c r="R1464" s="4" t="e">
        <f>IF(AND(B1464=1,N1464&gt;'Line Follower'!$C$7,SUM(C1464:K1464)&lt;4),1,0)</f>
        <v>#N/A</v>
      </c>
      <c r="S1464" s="4" t="e">
        <f>IF(AND(L1464=1,N1464&lt;'Line Follower'!$C$6,SUM(C1464:K1464)&lt;4),1,0)</f>
        <v>#N/A</v>
      </c>
      <c r="T1464" s="4" t="e">
        <f t="shared" si="112"/>
        <v>#N/A</v>
      </c>
      <c r="U1464" s="5" t="e">
        <f t="shared" si="113"/>
        <v>#N/A</v>
      </c>
      <c r="V1464" s="23" t="e">
        <f t="shared" si="114"/>
        <v>#N/A</v>
      </c>
    </row>
    <row r="1465" spans="2:22" x14ac:dyDescent="0.25">
      <c r="B1465" s="16">
        <v>0</v>
      </c>
      <c r="C1465" s="7">
        <v>1</v>
      </c>
      <c r="D1465" s="8">
        <v>1</v>
      </c>
      <c r="E1465" s="8">
        <v>0</v>
      </c>
      <c r="F1465" s="8">
        <v>1</v>
      </c>
      <c r="G1465" s="8">
        <v>1</v>
      </c>
      <c r="H1465" s="8">
        <v>0</v>
      </c>
      <c r="I1465" s="8">
        <v>1</v>
      </c>
      <c r="J1465" s="8">
        <v>1</v>
      </c>
      <c r="K1465" s="9">
        <v>0</v>
      </c>
      <c r="L1465" s="10">
        <v>1</v>
      </c>
      <c r="M1465" s="6">
        <v>0</v>
      </c>
      <c r="N1465" s="37" t="e" cm="1">
        <f t="array" ref="N1465">IF(OR(ISNUMBER(FIND(Aux!$D$3:$D$9,_xlfn.TEXTJOIN(,,C1465:K1465)))),NA(),IF(AND(SUM(C1465:F1465,H1465:K1465)=0,G1465=1),0,INT((SUMPRODUCT(C1465:F1465,COLUMN($A$1:$D$1)-1)+SUMPRODUCT(H1465:K1465,COLUMN($E$1:$H$1)-1))*'Line Follower'!$C$3/SUM(C1465:F1465,H1465:K1465)-'Line Follower'!$C$5)))</f>
        <v>#N/A</v>
      </c>
      <c r="O1465" s="22" t="e">
        <v>#N/A</v>
      </c>
      <c r="P1465" s="4" t="e">
        <f t="shared" si="110"/>
        <v>#N/A</v>
      </c>
      <c r="Q1465" s="4" t="e">
        <f t="shared" si="111"/>
        <v>#N/A</v>
      </c>
      <c r="R1465" s="4" t="e">
        <f>IF(AND(B1465=1,N1465&gt;'Line Follower'!$C$7,SUM(C1465:K1465)&lt;4),1,0)</f>
        <v>#N/A</v>
      </c>
      <c r="S1465" s="4" t="e">
        <f>IF(AND(L1465=1,N1465&lt;'Line Follower'!$C$6,SUM(C1465:K1465)&lt;4),1,0)</f>
        <v>#N/A</v>
      </c>
      <c r="T1465" s="4" t="e">
        <f t="shared" si="112"/>
        <v>#N/A</v>
      </c>
      <c r="U1465" s="5" t="e">
        <f t="shared" si="113"/>
        <v>#N/A</v>
      </c>
      <c r="V1465" s="23" t="e">
        <f t="shared" si="114"/>
        <v>#N/A</v>
      </c>
    </row>
    <row r="1466" spans="2:22" x14ac:dyDescent="0.25">
      <c r="B1466" s="16">
        <v>1</v>
      </c>
      <c r="C1466" s="7">
        <v>1</v>
      </c>
      <c r="D1466" s="8">
        <v>1</v>
      </c>
      <c r="E1466" s="8">
        <v>0</v>
      </c>
      <c r="F1466" s="8">
        <v>1</v>
      </c>
      <c r="G1466" s="8">
        <v>1</v>
      </c>
      <c r="H1466" s="8">
        <v>0</v>
      </c>
      <c r="I1466" s="8">
        <v>1</v>
      </c>
      <c r="J1466" s="8">
        <v>1</v>
      </c>
      <c r="K1466" s="9">
        <v>0</v>
      </c>
      <c r="L1466" s="10">
        <v>1</v>
      </c>
      <c r="M1466" s="6">
        <v>0</v>
      </c>
      <c r="N1466" s="37" t="e" cm="1">
        <f t="array" ref="N1466">IF(OR(ISNUMBER(FIND(Aux!$D$3:$D$9,_xlfn.TEXTJOIN(,,C1466:K1466)))),NA(),IF(AND(SUM(C1466:F1466,H1466:K1466)=0,G1466=1),0,INT((SUMPRODUCT(C1466:F1466,COLUMN($A$1:$D$1)-1)+SUMPRODUCT(H1466:K1466,COLUMN($E$1:$H$1)-1))*'Line Follower'!$C$3/SUM(C1466:F1466,H1466:K1466)-'Line Follower'!$C$5)))</f>
        <v>#N/A</v>
      </c>
      <c r="O1466" s="22" t="e">
        <v>#N/A</v>
      </c>
      <c r="P1466" s="4" t="e">
        <f t="shared" si="110"/>
        <v>#N/A</v>
      </c>
      <c r="Q1466" s="4" t="e">
        <f t="shared" si="111"/>
        <v>#N/A</v>
      </c>
      <c r="R1466" s="4" t="e">
        <f>IF(AND(B1466=1,N1466&gt;'Line Follower'!$C$7,SUM(C1466:K1466)&lt;4),1,0)</f>
        <v>#N/A</v>
      </c>
      <c r="S1466" s="4" t="e">
        <f>IF(AND(L1466=1,N1466&lt;'Line Follower'!$C$6,SUM(C1466:K1466)&lt;4),1,0)</f>
        <v>#N/A</v>
      </c>
      <c r="T1466" s="4" t="e">
        <f t="shared" si="112"/>
        <v>#N/A</v>
      </c>
      <c r="U1466" s="5" t="e">
        <f t="shared" si="113"/>
        <v>#N/A</v>
      </c>
      <c r="V1466" s="23" t="e">
        <f t="shared" si="114"/>
        <v>#N/A</v>
      </c>
    </row>
    <row r="1467" spans="2:22" x14ac:dyDescent="0.25">
      <c r="B1467" s="16">
        <v>0</v>
      </c>
      <c r="C1467" s="7">
        <v>0</v>
      </c>
      <c r="D1467" s="8">
        <v>0</v>
      </c>
      <c r="E1467" s="8">
        <v>1</v>
      </c>
      <c r="F1467" s="8">
        <v>1</v>
      </c>
      <c r="G1467" s="8">
        <v>1</v>
      </c>
      <c r="H1467" s="8">
        <v>0</v>
      </c>
      <c r="I1467" s="8">
        <v>1</v>
      </c>
      <c r="J1467" s="8">
        <v>1</v>
      </c>
      <c r="K1467" s="9">
        <v>0</v>
      </c>
      <c r="L1467" s="10">
        <v>1</v>
      </c>
      <c r="M1467" s="6">
        <v>0</v>
      </c>
      <c r="N1467" s="37" t="e" cm="1">
        <f t="array" ref="N1467">IF(OR(ISNUMBER(FIND(Aux!$D$3:$D$9,_xlfn.TEXTJOIN(,,C1467:K1467)))),NA(),IF(AND(SUM(C1467:F1467,H1467:K1467)=0,G1467=1),0,INT((SUMPRODUCT(C1467:F1467,COLUMN($A$1:$D$1)-1)+SUMPRODUCT(H1467:K1467,COLUMN($E$1:$H$1)-1))*'Line Follower'!$C$3/SUM(C1467:F1467,H1467:K1467)-'Line Follower'!$C$5)))</f>
        <v>#N/A</v>
      </c>
      <c r="O1467" s="22" t="e">
        <v>#N/A</v>
      </c>
      <c r="P1467" s="4" t="e">
        <f t="shared" si="110"/>
        <v>#N/A</v>
      </c>
      <c r="Q1467" s="4" t="e">
        <f t="shared" si="111"/>
        <v>#N/A</v>
      </c>
      <c r="R1467" s="4" t="e">
        <f>IF(AND(B1467=1,N1467&gt;'Line Follower'!$C$7,SUM(C1467:K1467)&lt;4),1,0)</f>
        <v>#N/A</v>
      </c>
      <c r="S1467" s="4" t="e">
        <f>IF(AND(L1467=1,N1467&lt;'Line Follower'!$C$6,SUM(C1467:K1467)&lt;4),1,0)</f>
        <v>#N/A</v>
      </c>
      <c r="T1467" s="4" t="e">
        <f t="shared" si="112"/>
        <v>#N/A</v>
      </c>
      <c r="U1467" s="5" t="e">
        <f t="shared" si="113"/>
        <v>#N/A</v>
      </c>
      <c r="V1467" s="23" t="e">
        <f t="shared" si="114"/>
        <v>#N/A</v>
      </c>
    </row>
    <row r="1468" spans="2:22" x14ac:dyDescent="0.25">
      <c r="B1468" s="16">
        <v>1</v>
      </c>
      <c r="C1468" s="7">
        <v>0</v>
      </c>
      <c r="D1468" s="8">
        <v>0</v>
      </c>
      <c r="E1468" s="8">
        <v>1</v>
      </c>
      <c r="F1468" s="8">
        <v>1</v>
      </c>
      <c r="G1468" s="8">
        <v>1</v>
      </c>
      <c r="H1468" s="8">
        <v>0</v>
      </c>
      <c r="I1468" s="8">
        <v>1</v>
      </c>
      <c r="J1468" s="8">
        <v>1</v>
      </c>
      <c r="K1468" s="9">
        <v>0</v>
      </c>
      <c r="L1468" s="10">
        <v>1</v>
      </c>
      <c r="M1468" s="6">
        <v>0</v>
      </c>
      <c r="N1468" s="37" t="e" cm="1">
        <f t="array" ref="N1468">IF(OR(ISNUMBER(FIND(Aux!$D$3:$D$9,_xlfn.TEXTJOIN(,,C1468:K1468)))),NA(),IF(AND(SUM(C1468:F1468,H1468:K1468)=0,G1468=1),0,INT((SUMPRODUCT(C1468:F1468,COLUMN($A$1:$D$1)-1)+SUMPRODUCT(H1468:K1468,COLUMN($E$1:$H$1)-1))*'Line Follower'!$C$3/SUM(C1468:F1468,H1468:K1468)-'Line Follower'!$C$5)))</f>
        <v>#N/A</v>
      </c>
      <c r="O1468" s="22" t="e">
        <v>#N/A</v>
      </c>
      <c r="P1468" s="4" t="e">
        <f t="shared" si="110"/>
        <v>#N/A</v>
      </c>
      <c r="Q1468" s="4" t="e">
        <f t="shared" si="111"/>
        <v>#N/A</v>
      </c>
      <c r="R1468" s="4" t="e">
        <f>IF(AND(B1468=1,N1468&gt;'Line Follower'!$C$7,SUM(C1468:K1468)&lt;4),1,0)</f>
        <v>#N/A</v>
      </c>
      <c r="S1468" s="4" t="e">
        <f>IF(AND(L1468=1,N1468&lt;'Line Follower'!$C$6,SUM(C1468:K1468)&lt;4),1,0)</f>
        <v>#N/A</v>
      </c>
      <c r="T1468" s="4" t="e">
        <f t="shared" si="112"/>
        <v>#N/A</v>
      </c>
      <c r="U1468" s="5" t="e">
        <f t="shared" si="113"/>
        <v>#N/A</v>
      </c>
      <c r="V1468" s="23" t="e">
        <f t="shared" si="114"/>
        <v>#N/A</v>
      </c>
    </row>
    <row r="1469" spans="2:22" x14ac:dyDescent="0.25">
      <c r="B1469" s="16">
        <v>0</v>
      </c>
      <c r="C1469" s="7">
        <v>1</v>
      </c>
      <c r="D1469" s="8">
        <v>0</v>
      </c>
      <c r="E1469" s="8">
        <v>1</v>
      </c>
      <c r="F1469" s="8">
        <v>1</v>
      </c>
      <c r="G1469" s="8">
        <v>1</v>
      </c>
      <c r="H1469" s="8">
        <v>0</v>
      </c>
      <c r="I1469" s="8">
        <v>1</v>
      </c>
      <c r="J1469" s="8">
        <v>1</v>
      </c>
      <c r="K1469" s="9">
        <v>0</v>
      </c>
      <c r="L1469" s="10">
        <v>1</v>
      </c>
      <c r="M1469" s="6">
        <v>0</v>
      </c>
      <c r="N1469" s="37" t="e" cm="1">
        <f t="array" ref="N1469">IF(OR(ISNUMBER(FIND(Aux!$D$3:$D$9,_xlfn.TEXTJOIN(,,C1469:K1469)))),NA(),IF(AND(SUM(C1469:F1469,H1469:K1469)=0,G1469=1),0,INT((SUMPRODUCT(C1469:F1469,COLUMN($A$1:$D$1)-1)+SUMPRODUCT(H1469:K1469,COLUMN($E$1:$H$1)-1))*'Line Follower'!$C$3/SUM(C1469:F1469,H1469:K1469)-'Line Follower'!$C$5)))</f>
        <v>#N/A</v>
      </c>
      <c r="O1469" s="22" t="e">
        <v>#N/A</v>
      </c>
      <c r="P1469" s="4" t="e">
        <f t="shared" si="110"/>
        <v>#N/A</v>
      </c>
      <c r="Q1469" s="4" t="e">
        <f t="shared" si="111"/>
        <v>#N/A</v>
      </c>
      <c r="R1469" s="4" t="e">
        <f>IF(AND(B1469=1,N1469&gt;'Line Follower'!$C$7,SUM(C1469:K1469)&lt;4),1,0)</f>
        <v>#N/A</v>
      </c>
      <c r="S1469" s="4" t="e">
        <f>IF(AND(L1469=1,N1469&lt;'Line Follower'!$C$6,SUM(C1469:K1469)&lt;4),1,0)</f>
        <v>#N/A</v>
      </c>
      <c r="T1469" s="4" t="e">
        <f t="shared" si="112"/>
        <v>#N/A</v>
      </c>
      <c r="U1469" s="5" t="e">
        <f t="shared" si="113"/>
        <v>#N/A</v>
      </c>
      <c r="V1469" s="23" t="e">
        <f t="shared" si="114"/>
        <v>#N/A</v>
      </c>
    </row>
    <row r="1470" spans="2:22" x14ac:dyDescent="0.25">
      <c r="B1470" s="16">
        <v>1</v>
      </c>
      <c r="C1470" s="7">
        <v>1</v>
      </c>
      <c r="D1470" s="8">
        <v>0</v>
      </c>
      <c r="E1470" s="8">
        <v>1</v>
      </c>
      <c r="F1470" s="8">
        <v>1</v>
      </c>
      <c r="G1470" s="8">
        <v>1</v>
      </c>
      <c r="H1470" s="8">
        <v>0</v>
      </c>
      <c r="I1470" s="8">
        <v>1</v>
      </c>
      <c r="J1470" s="8">
        <v>1</v>
      </c>
      <c r="K1470" s="9">
        <v>0</v>
      </c>
      <c r="L1470" s="10">
        <v>1</v>
      </c>
      <c r="M1470" s="6">
        <v>0</v>
      </c>
      <c r="N1470" s="37" t="e" cm="1">
        <f t="array" ref="N1470">IF(OR(ISNUMBER(FIND(Aux!$D$3:$D$9,_xlfn.TEXTJOIN(,,C1470:K1470)))),NA(),IF(AND(SUM(C1470:F1470,H1470:K1470)=0,G1470=1),0,INT((SUMPRODUCT(C1470:F1470,COLUMN($A$1:$D$1)-1)+SUMPRODUCT(H1470:K1470,COLUMN($E$1:$H$1)-1))*'Line Follower'!$C$3/SUM(C1470:F1470,H1470:K1470)-'Line Follower'!$C$5)))</f>
        <v>#N/A</v>
      </c>
      <c r="O1470" s="22" t="e">
        <v>#N/A</v>
      </c>
      <c r="P1470" s="4" t="e">
        <f t="shared" si="110"/>
        <v>#N/A</v>
      </c>
      <c r="Q1470" s="4" t="e">
        <f t="shared" si="111"/>
        <v>#N/A</v>
      </c>
      <c r="R1470" s="4" t="e">
        <f>IF(AND(B1470=1,N1470&gt;'Line Follower'!$C$7,SUM(C1470:K1470)&lt;4),1,0)</f>
        <v>#N/A</v>
      </c>
      <c r="S1470" s="4" t="e">
        <f>IF(AND(L1470=1,N1470&lt;'Line Follower'!$C$6,SUM(C1470:K1470)&lt;4),1,0)</f>
        <v>#N/A</v>
      </c>
      <c r="T1470" s="4" t="e">
        <f t="shared" si="112"/>
        <v>#N/A</v>
      </c>
      <c r="U1470" s="5" t="e">
        <f t="shared" si="113"/>
        <v>#N/A</v>
      </c>
      <c r="V1470" s="23" t="e">
        <f t="shared" si="114"/>
        <v>#N/A</v>
      </c>
    </row>
    <row r="1471" spans="2:22" x14ac:dyDescent="0.25">
      <c r="B1471" s="16">
        <v>0</v>
      </c>
      <c r="C1471" s="7">
        <v>0</v>
      </c>
      <c r="D1471" s="8">
        <v>1</v>
      </c>
      <c r="E1471" s="8">
        <v>1</v>
      </c>
      <c r="F1471" s="8">
        <v>1</v>
      </c>
      <c r="G1471" s="8">
        <v>1</v>
      </c>
      <c r="H1471" s="8">
        <v>0</v>
      </c>
      <c r="I1471" s="8">
        <v>1</v>
      </c>
      <c r="J1471" s="8">
        <v>1</v>
      </c>
      <c r="K1471" s="9">
        <v>0</v>
      </c>
      <c r="L1471" s="10">
        <v>1</v>
      </c>
      <c r="M1471" s="6">
        <v>0</v>
      </c>
      <c r="N1471" s="37" t="e" cm="1">
        <f t="array" ref="N1471">IF(OR(ISNUMBER(FIND(Aux!$D$3:$D$9,_xlfn.TEXTJOIN(,,C1471:K1471)))),NA(),IF(AND(SUM(C1471:F1471,H1471:K1471)=0,G1471=1),0,INT((SUMPRODUCT(C1471:F1471,COLUMN($A$1:$D$1)-1)+SUMPRODUCT(H1471:K1471,COLUMN($E$1:$H$1)-1))*'Line Follower'!$C$3/SUM(C1471:F1471,H1471:K1471)-'Line Follower'!$C$5)))</f>
        <v>#N/A</v>
      </c>
      <c r="O1471" s="22" t="e">
        <v>#N/A</v>
      </c>
      <c r="P1471" s="4" t="e">
        <f t="shared" si="110"/>
        <v>#N/A</v>
      </c>
      <c r="Q1471" s="4" t="e">
        <f t="shared" si="111"/>
        <v>#N/A</v>
      </c>
      <c r="R1471" s="4" t="e">
        <f>IF(AND(B1471=1,N1471&gt;'Line Follower'!$C$7,SUM(C1471:K1471)&lt;4),1,0)</f>
        <v>#N/A</v>
      </c>
      <c r="S1471" s="4" t="e">
        <f>IF(AND(L1471=1,N1471&lt;'Line Follower'!$C$6,SUM(C1471:K1471)&lt;4),1,0)</f>
        <v>#N/A</v>
      </c>
      <c r="T1471" s="4" t="e">
        <f t="shared" si="112"/>
        <v>#N/A</v>
      </c>
      <c r="U1471" s="5" t="e">
        <f t="shared" si="113"/>
        <v>#N/A</v>
      </c>
      <c r="V1471" s="23" t="e">
        <f t="shared" si="114"/>
        <v>#N/A</v>
      </c>
    </row>
    <row r="1472" spans="2:22" x14ac:dyDescent="0.25">
      <c r="B1472" s="16">
        <v>1</v>
      </c>
      <c r="C1472" s="7">
        <v>0</v>
      </c>
      <c r="D1472" s="8">
        <v>1</v>
      </c>
      <c r="E1472" s="8">
        <v>1</v>
      </c>
      <c r="F1472" s="8">
        <v>1</v>
      </c>
      <c r="G1472" s="8">
        <v>1</v>
      </c>
      <c r="H1472" s="8">
        <v>0</v>
      </c>
      <c r="I1472" s="8">
        <v>1</v>
      </c>
      <c r="J1472" s="8">
        <v>1</v>
      </c>
      <c r="K1472" s="9">
        <v>0</v>
      </c>
      <c r="L1472" s="10">
        <v>1</v>
      </c>
      <c r="M1472" s="6">
        <v>0</v>
      </c>
      <c r="N1472" s="37" t="e" cm="1">
        <f t="array" ref="N1472">IF(OR(ISNUMBER(FIND(Aux!$D$3:$D$9,_xlfn.TEXTJOIN(,,C1472:K1472)))),NA(),IF(AND(SUM(C1472:F1472,H1472:K1472)=0,G1472=1),0,INT((SUMPRODUCT(C1472:F1472,COLUMN($A$1:$D$1)-1)+SUMPRODUCT(H1472:K1472,COLUMN($E$1:$H$1)-1))*'Line Follower'!$C$3/SUM(C1472:F1472,H1472:K1472)-'Line Follower'!$C$5)))</f>
        <v>#N/A</v>
      </c>
      <c r="O1472" s="22" t="e">
        <v>#N/A</v>
      </c>
      <c r="P1472" s="4" t="e">
        <f t="shared" si="110"/>
        <v>#N/A</v>
      </c>
      <c r="Q1472" s="4" t="e">
        <f t="shared" si="111"/>
        <v>#N/A</v>
      </c>
      <c r="R1472" s="4" t="e">
        <f>IF(AND(B1472=1,N1472&gt;'Line Follower'!$C$7,SUM(C1472:K1472)&lt;4),1,0)</f>
        <v>#N/A</v>
      </c>
      <c r="S1472" s="4" t="e">
        <f>IF(AND(L1472=1,N1472&lt;'Line Follower'!$C$6,SUM(C1472:K1472)&lt;4),1,0)</f>
        <v>#N/A</v>
      </c>
      <c r="T1472" s="4" t="e">
        <f t="shared" si="112"/>
        <v>#N/A</v>
      </c>
      <c r="U1472" s="5" t="e">
        <f t="shared" si="113"/>
        <v>#N/A</v>
      </c>
      <c r="V1472" s="23" t="e">
        <f t="shared" si="114"/>
        <v>#N/A</v>
      </c>
    </row>
    <row r="1473" spans="2:22" x14ac:dyDescent="0.25">
      <c r="B1473" s="16">
        <v>0</v>
      </c>
      <c r="C1473" s="7">
        <v>1</v>
      </c>
      <c r="D1473" s="8">
        <v>1</v>
      </c>
      <c r="E1473" s="8">
        <v>1</v>
      </c>
      <c r="F1473" s="8">
        <v>1</v>
      </c>
      <c r="G1473" s="8">
        <v>1</v>
      </c>
      <c r="H1473" s="8">
        <v>0</v>
      </c>
      <c r="I1473" s="8">
        <v>1</v>
      </c>
      <c r="J1473" s="8">
        <v>1</v>
      </c>
      <c r="K1473" s="9">
        <v>0</v>
      </c>
      <c r="L1473" s="10">
        <v>1</v>
      </c>
      <c r="M1473" s="6">
        <v>0</v>
      </c>
      <c r="N1473" s="37" t="e" cm="1">
        <f t="array" ref="N1473">IF(OR(ISNUMBER(FIND(Aux!$D$3:$D$9,_xlfn.TEXTJOIN(,,C1473:K1473)))),NA(),IF(AND(SUM(C1473:F1473,H1473:K1473)=0,G1473=1),0,INT((SUMPRODUCT(C1473:F1473,COLUMN($A$1:$D$1)-1)+SUMPRODUCT(H1473:K1473,COLUMN($E$1:$H$1)-1))*'Line Follower'!$C$3/SUM(C1473:F1473,H1473:K1473)-'Line Follower'!$C$5)))</f>
        <v>#N/A</v>
      </c>
      <c r="O1473" s="22" t="e">
        <v>#N/A</v>
      </c>
      <c r="P1473" s="4" t="e">
        <f t="shared" si="110"/>
        <v>#N/A</v>
      </c>
      <c r="Q1473" s="4" t="e">
        <f t="shared" si="111"/>
        <v>#N/A</v>
      </c>
      <c r="R1473" s="4" t="e">
        <f>IF(AND(B1473=1,N1473&gt;'Line Follower'!$C$7,SUM(C1473:K1473)&lt;4),1,0)</f>
        <v>#N/A</v>
      </c>
      <c r="S1473" s="4" t="e">
        <f>IF(AND(L1473=1,N1473&lt;'Line Follower'!$C$6,SUM(C1473:K1473)&lt;4),1,0)</f>
        <v>#N/A</v>
      </c>
      <c r="T1473" s="4" t="e">
        <f t="shared" si="112"/>
        <v>#N/A</v>
      </c>
      <c r="U1473" s="5" t="e">
        <f t="shared" si="113"/>
        <v>#N/A</v>
      </c>
      <c r="V1473" s="23" t="e">
        <f t="shared" si="114"/>
        <v>#N/A</v>
      </c>
    </row>
    <row r="1474" spans="2:22" x14ac:dyDescent="0.25">
      <c r="B1474" s="16">
        <v>1</v>
      </c>
      <c r="C1474" s="7">
        <v>1</v>
      </c>
      <c r="D1474" s="8">
        <v>1</v>
      </c>
      <c r="E1474" s="8">
        <v>1</v>
      </c>
      <c r="F1474" s="8">
        <v>1</v>
      </c>
      <c r="G1474" s="8">
        <v>1</v>
      </c>
      <c r="H1474" s="8">
        <v>0</v>
      </c>
      <c r="I1474" s="8">
        <v>1</v>
      </c>
      <c r="J1474" s="8">
        <v>1</v>
      </c>
      <c r="K1474" s="9">
        <v>0</v>
      </c>
      <c r="L1474" s="10">
        <v>1</v>
      </c>
      <c r="M1474" s="6">
        <v>0</v>
      </c>
      <c r="N1474" s="37" t="e" cm="1">
        <f t="array" ref="N1474">IF(OR(ISNUMBER(FIND(Aux!$D$3:$D$9,_xlfn.TEXTJOIN(,,C1474:K1474)))),NA(),IF(AND(SUM(C1474:F1474,H1474:K1474)=0,G1474=1),0,INT((SUMPRODUCT(C1474:F1474,COLUMN($A$1:$D$1)-1)+SUMPRODUCT(H1474:K1474,COLUMN($E$1:$H$1)-1))*'Line Follower'!$C$3/SUM(C1474:F1474,H1474:K1474)-'Line Follower'!$C$5)))</f>
        <v>#N/A</v>
      </c>
      <c r="O1474" s="22" t="e">
        <v>#N/A</v>
      </c>
      <c r="P1474" s="4" t="e">
        <f t="shared" si="110"/>
        <v>#N/A</v>
      </c>
      <c r="Q1474" s="4" t="e">
        <f t="shared" si="111"/>
        <v>#N/A</v>
      </c>
      <c r="R1474" s="4" t="e">
        <f>IF(AND(B1474=1,N1474&gt;'Line Follower'!$C$7,SUM(C1474:K1474)&lt;4),1,0)</f>
        <v>#N/A</v>
      </c>
      <c r="S1474" s="4" t="e">
        <f>IF(AND(L1474=1,N1474&lt;'Line Follower'!$C$6,SUM(C1474:K1474)&lt;4),1,0)</f>
        <v>#N/A</v>
      </c>
      <c r="T1474" s="4" t="e">
        <f t="shared" si="112"/>
        <v>#N/A</v>
      </c>
      <c r="U1474" s="5" t="e">
        <f t="shared" si="113"/>
        <v>#N/A</v>
      </c>
      <c r="V1474" s="23" t="e">
        <f t="shared" si="114"/>
        <v>#N/A</v>
      </c>
    </row>
    <row r="1475" spans="2:22" x14ac:dyDescent="0.25">
      <c r="B1475" s="16">
        <v>0</v>
      </c>
      <c r="C1475" s="7">
        <v>0</v>
      </c>
      <c r="D1475" s="8">
        <v>0</v>
      </c>
      <c r="E1475" s="8">
        <v>0</v>
      </c>
      <c r="F1475" s="8">
        <v>0</v>
      </c>
      <c r="G1475" s="8">
        <v>0</v>
      </c>
      <c r="H1475" s="8">
        <v>1</v>
      </c>
      <c r="I1475" s="8">
        <v>1</v>
      </c>
      <c r="J1475" s="8">
        <v>1</v>
      </c>
      <c r="K1475" s="9">
        <v>0</v>
      </c>
      <c r="L1475" s="10">
        <v>1</v>
      </c>
      <c r="M1475" s="6">
        <v>0</v>
      </c>
      <c r="N1475" s="37" cm="1">
        <f t="array" ref="N1475">IF(OR(ISNUMBER(FIND(Aux!$D$3:$D$9,_xlfn.TEXTJOIN(,,C1475:K1475)))),NA(),IF(AND(SUM(C1475:F1475,H1475:K1475)=0,G1475=1),0,INT((SUMPRODUCT(C1475:F1475,COLUMN($A$1:$D$1)-1)+SUMPRODUCT(H1475:K1475,COLUMN($E$1:$H$1)-1))*'Line Follower'!$C$3/SUM(C1475:F1475,H1475:K1475)-'Line Follower'!$C$5)))</f>
        <v>3</v>
      </c>
      <c r="O1475" s="22">
        <v>1</v>
      </c>
      <c r="P1475" s="4">
        <f t="shared" ref="P1475:P1538" si="115">IF(AND(N1475=0,G1475=1,M1475=1),1,0)</f>
        <v>0</v>
      </c>
      <c r="Q1475" s="4">
        <f t="shared" ref="Q1475:Q1538" si="116">IF(ISERROR(N1475),N1475,IF(SUM(C1475:K1475)&gt;=4,1,0))</f>
        <v>0</v>
      </c>
      <c r="R1475" s="4">
        <f>IF(AND(B1475=1,N1475&gt;'Line Follower'!$C$7,SUM(C1475:K1475)&lt;4),1,0)</f>
        <v>0</v>
      </c>
      <c r="S1475" s="4">
        <f>IF(AND(L1475=1,N1475&lt;'Line Follower'!$C$6,SUM(C1475:K1475)&lt;4),1,0)</f>
        <v>1</v>
      </c>
      <c r="T1475" s="4">
        <f t="shared" si="112"/>
        <v>0</v>
      </c>
      <c r="U1475" s="5">
        <f t="shared" si="113"/>
        <v>0</v>
      </c>
      <c r="V1475" s="23">
        <f t="shared" si="114"/>
        <v>0</v>
      </c>
    </row>
    <row r="1476" spans="2:22" x14ac:dyDescent="0.25">
      <c r="B1476" s="16">
        <v>1</v>
      </c>
      <c r="C1476" s="7">
        <v>0</v>
      </c>
      <c r="D1476" s="8">
        <v>0</v>
      </c>
      <c r="E1476" s="8">
        <v>0</v>
      </c>
      <c r="F1476" s="8">
        <v>0</v>
      </c>
      <c r="G1476" s="8">
        <v>0</v>
      </c>
      <c r="H1476" s="8">
        <v>1</v>
      </c>
      <c r="I1476" s="8">
        <v>1</v>
      </c>
      <c r="J1476" s="8">
        <v>1</v>
      </c>
      <c r="K1476" s="9">
        <v>0</v>
      </c>
      <c r="L1476" s="10">
        <v>1</v>
      </c>
      <c r="M1476" s="6">
        <v>0</v>
      </c>
      <c r="N1476" s="37" cm="1">
        <f t="array" ref="N1476">IF(OR(ISNUMBER(FIND(Aux!$D$3:$D$9,_xlfn.TEXTJOIN(,,C1476:K1476)))),NA(),IF(AND(SUM(C1476:F1476,H1476:K1476)=0,G1476=1),0,INT((SUMPRODUCT(C1476:F1476,COLUMN($A$1:$D$1)-1)+SUMPRODUCT(H1476:K1476,COLUMN($E$1:$H$1)-1))*'Line Follower'!$C$3/SUM(C1476:F1476,H1476:K1476)-'Line Follower'!$C$5)))</f>
        <v>3</v>
      </c>
      <c r="O1476" s="22">
        <v>1</v>
      </c>
      <c r="P1476" s="4">
        <f t="shared" si="115"/>
        <v>0</v>
      </c>
      <c r="Q1476" s="4">
        <f t="shared" si="116"/>
        <v>0</v>
      </c>
      <c r="R1476" s="4">
        <f>IF(AND(B1476=1,N1476&gt;'Line Follower'!$C$7,SUM(C1476:K1476)&lt;4),1,0)</f>
        <v>1</v>
      </c>
      <c r="S1476" s="4">
        <f>IF(AND(L1476=1,N1476&lt;'Line Follower'!$C$6,SUM(C1476:K1476)&lt;4),1,0)</f>
        <v>1</v>
      </c>
      <c r="T1476" s="4">
        <f t="shared" ref="T1476:T1539" si="117">IF(ISNA(N1476),NA(),IF(SUM(C1476:L1476)=0,1,0))</f>
        <v>0</v>
      </c>
      <c r="U1476" s="5">
        <f t="shared" ref="U1476:U1539" si="118">IF(ISNA(N1476),NA(),IF(SUM(B1476:K1476)=0,1,0))</f>
        <v>0</v>
      </c>
      <c r="V1476" s="23">
        <f t="shared" ref="V1476:V1539" si="119">IF(ISNA(N1476),NA(),IF(SUM(B1476:L1476)=0,1,0))</f>
        <v>0</v>
      </c>
    </row>
    <row r="1477" spans="2:22" x14ac:dyDescent="0.25">
      <c r="B1477" s="16">
        <v>0</v>
      </c>
      <c r="C1477" s="7">
        <v>1</v>
      </c>
      <c r="D1477" s="8">
        <v>0</v>
      </c>
      <c r="E1477" s="8">
        <v>0</v>
      </c>
      <c r="F1477" s="8">
        <v>0</v>
      </c>
      <c r="G1477" s="8">
        <v>0</v>
      </c>
      <c r="H1477" s="8">
        <v>1</v>
      </c>
      <c r="I1477" s="8">
        <v>1</v>
      </c>
      <c r="J1477" s="8">
        <v>1</v>
      </c>
      <c r="K1477" s="9">
        <v>0</v>
      </c>
      <c r="L1477" s="10">
        <v>1</v>
      </c>
      <c r="M1477" s="6">
        <v>0</v>
      </c>
      <c r="N1477" s="37" t="e" cm="1">
        <f t="array" ref="N1477">IF(OR(ISNUMBER(FIND(Aux!$D$3:$D$9,_xlfn.TEXTJOIN(,,C1477:K1477)))),NA(),IF(AND(SUM(C1477:F1477,H1477:K1477)=0,G1477=1),0,INT((SUMPRODUCT(C1477:F1477,COLUMN($A$1:$D$1)-1)+SUMPRODUCT(H1477:K1477,COLUMN($E$1:$H$1)-1))*'Line Follower'!$C$3/SUM(C1477:F1477,H1477:K1477)-'Line Follower'!$C$5)))</f>
        <v>#N/A</v>
      </c>
      <c r="O1477" s="22" t="e">
        <v>#N/A</v>
      </c>
      <c r="P1477" s="4" t="e">
        <f t="shared" si="115"/>
        <v>#N/A</v>
      </c>
      <c r="Q1477" s="4" t="e">
        <f t="shared" si="116"/>
        <v>#N/A</v>
      </c>
      <c r="R1477" s="4" t="e">
        <f>IF(AND(B1477=1,N1477&gt;'Line Follower'!$C$7,SUM(C1477:K1477)&lt;4),1,0)</f>
        <v>#N/A</v>
      </c>
      <c r="S1477" s="4" t="e">
        <f>IF(AND(L1477=1,N1477&lt;'Line Follower'!$C$6,SUM(C1477:K1477)&lt;4),1,0)</f>
        <v>#N/A</v>
      </c>
      <c r="T1477" s="4" t="e">
        <f t="shared" si="117"/>
        <v>#N/A</v>
      </c>
      <c r="U1477" s="5" t="e">
        <f t="shared" si="118"/>
        <v>#N/A</v>
      </c>
      <c r="V1477" s="23" t="e">
        <f t="shared" si="119"/>
        <v>#N/A</v>
      </c>
    </row>
    <row r="1478" spans="2:22" x14ac:dyDescent="0.25">
      <c r="B1478" s="16">
        <v>1</v>
      </c>
      <c r="C1478" s="7">
        <v>1</v>
      </c>
      <c r="D1478" s="8">
        <v>0</v>
      </c>
      <c r="E1478" s="8">
        <v>0</v>
      </c>
      <c r="F1478" s="8">
        <v>0</v>
      </c>
      <c r="G1478" s="8">
        <v>0</v>
      </c>
      <c r="H1478" s="8">
        <v>1</v>
      </c>
      <c r="I1478" s="8">
        <v>1</v>
      </c>
      <c r="J1478" s="8">
        <v>1</v>
      </c>
      <c r="K1478" s="9">
        <v>0</v>
      </c>
      <c r="L1478" s="10">
        <v>1</v>
      </c>
      <c r="M1478" s="6">
        <v>0</v>
      </c>
      <c r="N1478" s="37" t="e" cm="1">
        <f t="array" ref="N1478">IF(OR(ISNUMBER(FIND(Aux!$D$3:$D$9,_xlfn.TEXTJOIN(,,C1478:K1478)))),NA(),IF(AND(SUM(C1478:F1478,H1478:K1478)=0,G1478=1),0,INT((SUMPRODUCT(C1478:F1478,COLUMN($A$1:$D$1)-1)+SUMPRODUCT(H1478:K1478,COLUMN($E$1:$H$1)-1))*'Line Follower'!$C$3/SUM(C1478:F1478,H1478:K1478)-'Line Follower'!$C$5)))</f>
        <v>#N/A</v>
      </c>
      <c r="O1478" s="22" t="e">
        <v>#N/A</v>
      </c>
      <c r="P1478" s="4" t="e">
        <f t="shared" si="115"/>
        <v>#N/A</v>
      </c>
      <c r="Q1478" s="4" t="e">
        <f t="shared" si="116"/>
        <v>#N/A</v>
      </c>
      <c r="R1478" s="4" t="e">
        <f>IF(AND(B1478=1,N1478&gt;'Line Follower'!$C$7,SUM(C1478:K1478)&lt;4),1,0)</f>
        <v>#N/A</v>
      </c>
      <c r="S1478" s="4" t="e">
        <f>IF(AND(L1478=1,N1478&lt;'Line Follower'!$C$6,SUM(C1478:K1478)&lt;4),1,0)</f>
        <v>#N/A</v>
      </c>
      <c r="T1478" s="4" t="e">
        <f t="shared" si="117"/>
        <v>#N/A</v>
      </c>
      <c r="U1478" s="5" t="e">
        <f t="shared" si="118"/>
        <v>#N/A</v>
      </c>
      <c r="V1478" s="23" t="e">
        <f t="shared" si="119"/>
        <v>#N/A</v>
      </c>
    </row>
    <row r="1479" spans="2:22" x14ac:dyDescent="0.25">
      <c r="B1479" s="16">
        <v>0</v>
      </c>
      <c r="C1479" s="7">
        <v>0</v>
      </c>
      <c r="D1479" s="8">
        <v>1</v>
      </c>
      <c r="E1479" s="8">
        <v>0</v>
      </c>
      <c r="F1479" s="8">
        <v>0</v>
      </c>
      <c r="G1479" s="8">
        <v>0</v>
      </c>
      <c r="H1479" s="8">
        <v>1</v>
      </c>
      <c r="I1479" s="8">
        <v>1</v>
      </c>
      <c r="J1479" s="8">
        <v>1</v>
      </c>
      <c r="K1479" s="9">
        <v>0</v>
      </c>
      <c r="L1479" s="10">
        <v>1</v>
      </c>
      <c r="M1479" s="6">
        <v>0</v>
      </c>
      <c r="N1479" s="37" t="e" cm="1">
        <f t="array" ref="N1479">IF(OR(ISNUMBER(FIND(Aux!$D$3:$D$9,_xlfn.TEXTJOIN(,,C1479:K1479)))),NA(),IF(AND(SUM(C1479:F1479,H1479:K1479)=0,G1479=1),0,INT((SUMPRODUCT(C1479:F1479,COLUMN($A$1:$D$1)-1)+SUMPRODUCT(H1479:K1479,COLUMN($E$1:$H$1)-1))*'Line Follower'!$C$3/SUM(C1479:F1479,H1479:K1479)-'Line Follower'!$C$5)))</f>
        <v>#N/A</v>
      </c>
      <c r="O1479" s="22" t="e">
        <v>#N/A</v>
      </c>
      <c r="P1479" s="4" t="e">
        <f t="shared" si="115"/>
        <v>#N/A</v>
      </c>
      <c r="Q1479" s="4" t="e">
        <f t="shared" si="116"/>
        <v>#N/A</v>
      </c>
      <c r="R1479" s="4" t="e">
        <f>IF(AND(B1479=1,N1479&gt;'Line Follower'!$C$7,SUM(C1479:K1479)&lt;4),1,0)</f>
        <v>#N/A</v>
      </c>
      <c r="S1479" s="4" t="e">
        <f>IF(AND(L1479=1,N1479&lt;'Line Follower'!$C$6,SUM(C1479:K1479)&lt;4),1,0)</f>
        <v>#N/A</v>
      </c>
      <c r="T1479" s="4" t="e">
        <f t="shared" si="117"/>
        <v>#N/A</v>
      </c>
      <c r="U1479" s="5" t="e">
        <f t="shared" si="118"/>
        <v>#N/A</v>
      </c>
      <c r="V1479" s="23" t="e">
        <f t="shared" si="119"/>
        <v>#N/A</v>
      </c>
    </row>
    <row r="1480" spans="2:22" x14ac:dyDescent="0.25">
      <c r="B1480" s="16">
        <v>1</v>
      </c>
      <c r="C1480" s="7">
        <v>0</v>
      </c>
      <c r="D1480" s="8">
        <v>1</v>
      </c>
      <c r="E1480" s="8">
        <v>0</v>
      </c>
      <c r="F1480" s="8">
        <v>0</v>
      </c>
      <c r="G1480" s="8">
        <v>0</v>
      </c>
      <c r="H1480" s="8">
        <v>1</v>
      </c>
      <c r="I1480" s="8">
        <v>1</v>
      </c>
      <c r="J1480" s="8">
        <v>1</v>
      </c>
      <c r="K1480" s="9">
        <v>0</v>
      </c>
      <c r="L1480" s="10">
        <v>1</v>
      </c>
      <c r="M1480" s="6">
        <v>0</v>
      </c>
      <c r="N1480" s="37" t="e" cm="1">
        <f t="array" ref="N1480">IF(OR(ISNUMBER(FIND(Aux!$D$3:$D$9,_xlfn.TEXTJOIN(,,C1480:K1480)))),NA(),IF(AND(SUM(C1480:F1480,H1480:K1480)=0,G1480=1),0,INT((SUMPRODUCT(C1480:F1480,COLUMN($A$1:$D$1)-1)+SUMPRODUCT(H1480:K1480,COLUMN($E$1:$H$1)-1))*'Line Follower'!$C$3/SUM(C1480:F1480,H1480:K1480)-'Line Follower'!$C$5)))</f>
        <v>#N/A</v>
      </c>
      <c r="O1480" s="22" t="e">
        <v>#N/A</v>
      </c>
      <c r="P1480" s="4" t="e">
        <f t="shared" si="115"/>
        <v>#N/A</v>
      </c>
      <c r="Q1480" s="4" t="e">
        <f t="shared" si="116"/>
        <v>#N/A</v>
      </c>
      <c r="R1480" s="4" t="e">
        <f>IF(AND(B1480=1,N1480&gt;'Line Follower'!$C$7,SUM(C1480:K1480)&lt;4),1,0)</f>
        <v>#N/A</v>
      </c>
      <c r="S1480" s="4" t="e">
        <f>IF(AND(L1480=1,N1480&lt;'Line Follower'!$C$6,SUM(C1480:K1480)&lt;4),1,0)</f>
        <v>#N/A</v>
      </c>
      <c r="T1480" s="4" t="e">
        <f t="shared" si="117"/>
        <v>#N/A</v>
      </c>
      <c r="U1480" s="5" t="e">
        <f t="shared" si="118"/>
        <v>#N/A</v>
      </c>
      <c r="V1480" s="23" t="e">
        <f t="shared" si="119"/>
        <v>#N/A</v>
      </c>
    </row>
    <row r="1481" spans="2:22" x14ac:dyDescent="0.25">
      <c r="B1481" s="16">
        <v>0</v>
      </c>
      <c r="C1481" s="7">
        <v>1</v>
      </c>
      <c r="D1481" s="8">
        <v>1</v>
      </c>
      <c r="E1481" s="8">
        <v>0</v>
      </c>
      <c r="F1481" s="8">
        <v>0</v>
      </c>
      <c r="G1481" s="8">
        <v>0</v>
      </c>
      <c r="H1481" s="8">
        <v>1</v>
      </c>
      <c r="I1481" s="8">
        <v>1</v>
      </c>
      <c r="J1481" s="8">
        <v>1</v>
      </c>
      <c r="K1481" s="9">
        <v>0</v>
      </c>
      <c r="L1481" s="10">
        <v>1</v>
      </c>
      <c r="M1481" s="6">
        <v>0</v>
      </c>
      <c r="N1481" s="37" t="e" cm="1">
        <f t="array" ref="N1481">IF(OR(ISNUMBER(FIND(Aux!$D$3:$D$9,_xlfn.TEXTJOIN(,,C1481:K1481)))),NA(),IF(AND(SUM(C1481:F1481,H1481:K1481)=0,G1481=1),0,INT((SUMPRODUCT(C1481:F1481,COLUMN($A$1:$D$1)-1)+SUMPRODUCT(H1481:K1481,COLUMN($E$1:$H$1)-1))*'Line Follower'!$C$3/SUM(C1481:F1481,H1481:K1481)-'Line Follower'!$C$5)))</f>
        <v>#N/A</v>
      </c>
      <c r="O1481" s="22" t="e">
        <v>#N/A</v>
      </c>
      <c r="P1481" s="4" t="e">
        <f t="shared" si="115"/>
        <v>#N/A</v>
      </c>
      <c r="Q1481" s="4" t="e">
        <f t="shared" si="116"/>
        <v>#N/A</v>
      </c>
      <c r="R1481" s="4" t="e">
        <f>IF(AND(B1481=1,N1481&gt;'Line Follower'!$C$7,SUM(C1481:K1481)&lt;4),1,0)</f>
        <v>#N/A</v>
      </c>
      <c r="S1481" s="4" t="e">
        <f>IF(AND(L1481=1,N1481&lt;'Line Follower'!$C$6,SUM(C1481:K1481)&lt;4),1,0)</f>
        <v>#N/A</v>
      </c>
      <c r="T1481" s="4" t="e">
        <f t="shared" si="117"/>
        <v>#N/A</v>
      </c>
      <c r="U1481" s="5" t="e">
        <f t="shared" si="118"/>
        <v>#N/A</v>
      </c>
      <c r="V1481" s="23" t="e">
        <f t="shared" si="119"/>
        <v>#N/A</v>
      </c>
    </row>
    <row r="1482" spans="2:22" x14ac:dyDescent="0.25">
      <c r="B1482" s="16">
        <v>1</v>
      </c>
      <c r="C1482" s="7">
        <v>1</v>
      </c>
      <c r="D1482" s="8">
        <v>1</v>
      </c>
      <c r="E1482" s="8">
        <v>0</v>
      </c>
      <c r="F1482" s="8">
        <v>0</v>
      </c>
      <c r="G1482" s="8">
        <v>0</v>
      </c>
      <c r="H1482" s="8">
        <v>1</v>
      </c>
      <c r="I1482" s="8">
        <v>1</v>
      </c>
      <c r="J1482" s="8">
        <v>1</v>
      </c>
      <c r="K1482" s="9">
        <v>0</v>
      </c>
      <c r="L1482" s="10">
        <v>1</v>
      </c>
      <c r="M1482" s="6">
        <v>0</v>
      </c>
      <c r="N1482" s="37" t="e" cm="1">
        <f t="array" ref="N1482">IF(OR(ISNUMBER(FIND(Aux!$D$3:$D$9,_xlfn.TEXTJOIN(,,C1482:K1482)))),NA(),IF(AND(SUM(C1482:F1482,H1482:K1482)=0,G1482=1),0,INT((SUMPRODUCT(C1482:F1482,COLUMN($A$1:$D$1)-1)+SUMPRODUCT(H1482:K1482,COLUMN($E$1:$H$1)-1))*'Line Follower'!$C$3/SUM(C1482:F1482,H1482:K1482)-'Line Follower'!$C$5)))</f>
        <v>#N/A</v>
      </c>
      <c r="O1482" s="22" t="e">
        <v>#N/A</v>
      </c>
      <c r="P1482" s="4" t="e">
        <f t="shared" si="115"/>
        <v>#N/A</v>
      </c>
      <c r="Q1482" s="4" t="e">
        <f t="shared" si="116"/>
        <v>#N/A</v>
      </c>
      <c r="R1482" s="4" t="e">
        <f>IF(AND(B1482=1,N1482&gt;'Line Follower'!$C$7,SUM(C1482:K1482)&lt;4),1,0)</f>
        <v>#N/A</v>
      </c>
      <c r="S1482" s="4" t="e">
        <f>IF(AND(L1482=1,N1482&lt;'Line Follower'!$C$6,SUM(C1482:K1482)&lt;4),1,0)</f>
        <v>#N/A</v>
      </c>
      <c r="T1482" s="4" t="e">
        <f t="shared" si="117"/>
        <v>#N/A</v>
      </c>
      <c r="U1482" s="5" t="e">
        <f t="shared" si="118"/>
        <v>#N/A</v>
      </c>
      <c r="V1482" s="23" t="e">
        <f t="shared" si="119"/>
        <v>#N/A</v>
      </c>
    </row>
    <row r="1483" spans="2:22" x14ac:dyDescent="0.25">
      <c r="B1483" s="16">
        <v>0</v>
      </c>
      <c r="C1483" s="7">
        <v>0</v>
      </c>
      <c r="D1483" s="8">
        <v>0</v>
      </c>
      <c r="E1483" s="8">
        <v>1</v>
      </c>
      <c r="F1483" s="8">
        <v>0</v>
      </c>
      <c r="G1483" s="8">
        <v>0</v>
      </c>
      <c r="H1483" s="8">
        <v>1</v>
      </c>
      <c r="I1483" s="8">
        <v>1</v>
      </c>
      <c r="J1483" s="8">
        <v>1</v>
      </c>
      <c r="K1483" s="9">
        <v>0</v>
      </c>
      <c r="L1483" s="10">
        <v>1</v>
      </c>
      <c r="M1483" s="6">
        <v>0</v>
      </c>
      <c r="N1483" s="37" t="e" cm="1">
        <f t="array" ref="N1483">IF(OR(ISNUMBER(FIND(Aux!$D$3:$D$9,_xlfn.TEXTJOIN(,,C1483:K1483)))),NA(),IF(AND(SUM(C1483:F1483,H1483:K1483)=0,G1483=1),0,INT((SUMPRODUCT(C1483:F1483,COLUMN($A$1:$D$1)-1)+SUMPRODUCT(H1483:K1483,COLUMN($E$1:$H$1)-1))*'Line Follower'!$C$3/SUM(C1483:F1483,H1483:K1483)-'Line Follower'!$C$5)))</f>
        <v>#N/A</v>
      </c>
      <c r="O1483" s="22" t="e">
        <v>#N/A</v>
      </c>
      <c r="P1483" s="4" t="e">
        <f t="shared" si="115"/>
        <v>#N/A</v>
      </c>
      <c r="Q1483" s="4" t="e">
        <f t="shared" si="116"/>
        <v>#N/A</v>
      </c>
      <c r="R1483" s="4" t="e">
        <f>IF(AND(B1483=1,N1483&gt;'Line Follower'!$C$7,SUM(C1483:K1483)&lt;4),1,0)</f>
        <v>#N/A</v>
      </c>
      <c r="S1483" s="4" t="e">
        <f>IF(AND(L1483=1,N1483&lt;'Line Follower'!$C$6,SUM(C1483:K1483)&lt;4),1,0)</f>
        <v>#N/A</v>
      </c>
      <c r="T1483" s="4" t="e">
        <f t="shared" si="117"/>
        <v>#N/A</v>
      </c>
      <c r="U1483" s="5" t="e">
        <f t="shared" si="118"/>
        <v>#N/A</v>
      </c>
      <c r="V1483" s="23" t="e">
        <f t="shared" si="119"/>
        <v>#N/A</v>
      </c>
    </row>
    <row r="1484" spans="2:22" x14ac:dyDescent="0.25">
      <c r="B1484" s="16">
        <v>1</v>
      </c>
      <c r="C1484" s="7">
        <v>0</v>
      </c>
      <c r="D1484" s="8">
        <v>0</v>
      </c>
      <c r="E1484" s="8">
        <v>1</v>
      </c>
      <c r="F1484" s="8">
        <v>0</v>
      </c>
      <c r="G1484" s="8">
        <v>0</v>
      </c>
      <c r="H1484" s="8">
        <v>1</v>
      </c>
      <c r="I1484" s="8">
        <v>1</v>
      </c>
      <c r="J1484" s="8">
        <v>1</v>
      </c>
      <c r="K1484" s="9">
        <v>0</v>
      </c>
      <c r="L1484" s="10">
        <v>1</v>
      </c>
      <c r="M1484" s="6">
        <v>0</v>
      </c>
      <c r="N1484" s="37" t="e" cm="1">
        <f t="array" ref="N1484">IF(OR(ISNUMBER(FIND(Aux!$D$3:$D$9,_xlfn.TEXTJOIN(,,C1484:K1484)))),NA(),IF(AND(SUM(C1484:F1484,H1484:K1484)=0,G1484=1),0,INT((SUMPRODUCT(C1484:F1484,COLUMN($A$1:$D$1)-1)+SUMPRODUCT(H1484:K1484,COLUMN($E$1:$H$1)-1))*'Line Follower'!$C$3/SUM(C1484:F1484,H1484:K1484)-'Line Follower'!$C$5)))</f>
        <v>#N/A</v>
      </c>
      <c r="O1484" s="22" t="e">
        <v>#N/A</v>
      </c>
      <c r="P1484" s="4" t="e">
        <f t="shared" si="115"/>
        <v>#N/A</v>
      </c>
      <c r="Q1484" s="4" t="e">
        <f t="shared" si="116"/>
        <v>#N/A</v>
      </c>
      <c r="R1484" s="4" t="e">
        <f>IF(AND(B1484=1,N1484&gt;'Line Follower'!$C$7,SUM(C1484:K1484)&lt;4),1,0)</f>
        <v>#N/A</v>
      </c>
      <c r="S1484" s="4" t="e">
        <f>IF(AND(L1484=1,N1484&lt;'Line Follower'!$C$6,SUM(C1484:K1484)&lt;4),1,0)</f>
        <v>#N/A</v>
      </c>
      <c r="T1484" s="4" t="e">
        <f t="shared" si="117"/>
        <v>#N/A</v>
      </c>
      <c r="U1484" s="5" t="e">
        <f t="shared" si="118"/>
        <v>#N/A</v>
      </c>
      <c r="V1484" s="23" t="e">
        <f t="shared" si="119"/>
        <v>#N/A</v>
      </c>
    </row>
    <row r="1485" spans="2:22" x14ac:dyDescent="0.25">
      <c r="B1485" s="16">
        <v>0</v>
      </c>
      <c r="C1485" s="7">
        <v>1</v>
      </c>
      <c r="D1485" s="8">
        <v>0</v>
      </c>
      <c r="E1485" s="8">
        <v>1</v>
      </c>
      <c r="F1485" s="8">
        <v>0</v>
      </c>
      <c r="G1485" s="8">
        <v>0</v>
      </c>
      <c r="H1485" s="8">
        <v>1</v>
      </c>
      <c r="I1485" s="8">
        <v>1</v>
      </c>
      <c r="J1485" s="8">
        <v>1</v>
      </c>
      <c r="K1485" s="9">
        <v>0</v>
      </c>
      <c r="L1485" s="10">
        <v>1</v>
      </c>
      <c r="M1485" s="6">
        <v>0</v>
      </c>
      <c r="N1485" s="37" t="e" cm="1">
        <f t="array" ref="N1485">IF(OR(ISNUMBER(FIND(Aux!$D$3:$D$9,_xlfn.TEXTJOIN(,,C1485:K1485)))),NA(),IF(AND(SUM(C1485:F1485,H1485:K1485)=0,G1485=1),0,INT((SUMPRODUCT(C1485:F1485,COLUMN($A$1:$D$1)-1)+SUMPRODUCT(H1485:K1485,COLUMN($E$1:$H$1)-1))*'Line Follower'!$C$3/SUM(C1485:F1485,H1485:K1485)-'Line Follower'!$C$5)))</f>
        <v>#N/A</v>
      </c>
      <c r="O1485" s="22" t="e">
        <v>#N/A</v>
      </c>
      <c r="P1485" s="4" t="e">
        <f t="shared" si="115"/>
        <v>#N/A</v>
      </c>
      <c r="Q1485" s="4" t="e">
        <f t="shared" si="116"/>
        <v>#N/A</v>
      </c>
      <c r="R1485" s="4" t="e">
        <f>IF(AND(B1485=1,N1485&gt;'Line Follower'!$C$7,SUM(C1485:K1485)&lt;4),1,0)</f>
        <v>#N/A</v>
      </c>
      <c r="S1485" s="4" t="e">
        <f>IF(AND(L1485=1,N1485&lt;'Line Follower'!$C$6,SUM(C1485:K1485)&lt;4),1,0)</f>
        <v>#N/A</v>
      </c>
      <c r="T1485" s="4" t="e">
        <f t="shared" si="117"/>
        <v>#N/A</v>
      </c>
      <c r="U1485" s="5" t="e">
        <f t="shared" si="118"/>
        <v>#N/A</v>
      </c>
      <c r="V1485" s="23" t="e">
        <f t="shared" si="119"/>
        <v>#N/A</v>
      </c>
    </row>
    <row r="1486" spans="2:22" x14ac:dyDescent="0.25">
      <c r="B1486" s="16">
        <v>1</v>
      </c>
      <c r="C1486" s="7">
        <v>1</v>
      </c>
      <c r="D1486" s="8">
        <v>0</v>
      </c>
      <c r="E1486" s="8">
        <v>1</v>
      </c>
      <c r="F1486" s="8">
        <v>0</v>
      </c>
      <c r="G1486" s="8">
        <v>0</v>
      </c>
      <c r="H1486" s="8">
        <v>1</v>
      </c>
      <c r="I1486" s="8">
        <v>1</v>
      </c>
      <c r="J1486" s="8">
        <v>1</v>
      </c>
      <c r="K1486" s="9">
        <v>0</v>
      </c>
      <c r="L1486" s="10">
        <v>1</v>
      </c>
      <c r="M1486" s="6">
        <v>0</v>
      </c>
      <c r="N1486" s="37" t="e" cm="1">
        <f t="array" ref="N1486">IF(OR(ISNUMBER(FIND(Aux!$D$3:$D$9,_xlfn.TEXTJOIN(,,C1486:K1486)))),NA(),IF(AND(SUM(C1486:F1486,H1486:K1486)=0,G1486=1),0,INT((SUMPRODUCT(C1486:F1486,COLUMN($A$1:$D$1)-1)+SUMPRODUCT(H1486:K1486,COLUMN($E$1:$H$1)-1))*'Line Follower'!$C$3/SUM(C1486:F1486,H1486:K1486)-'Line Follower'!$C$5)))</f>
        <v>#N/A</v>
      </c>
      <c r="O1486" s="22" t="e">
        <v>#N/A</v>
      </c>
      <c r="P1486" s="4" t="e">
        <f t="shared" si="115"/>
        <v>#N/A</v>
      </c>
      <c r="Q1486" s="4" t="e">
        <f t="shared" si="116"/>
        <v>#N/A</v>
      </c>
      <c r="R1486" s="4" t="e">
        <f>IF(AND(B1486=1,N1486&gt;'Line Follower'!$C$7,SUM(C1486:K1486)&lt;4),1,0)</f>
        <v>#N/A</v>
      </c>
      <c r="S1486" s="4" t="e">
        <f>IF(AND(L1486=1,N1486&lt;'Line Follower'!$C$6,SUM(C1486:K1486)&lt;4),1,0)</f>
        <v>#N/A</v>
      </c>
      <c r="T1486" s="4" t="e">
        <f t="shared" si="117"/>
        <v>#N/A</v>
      </c>
      <c r="U1486" s="5" t="e">
        <f t="shared" si="118"/>
        <v>#N/A</v>
      </c>
      <c r="V1486" s="23" t="e">
        <f t="shared" si="119"/>
        <v>#N/A</v>
      </c>
    </row>
    <row r="1487" spans="2:22" x14ac:dyDescent="0.25">
      <c r="B1487" s="16">
        <v>0</v>
      </c>
      <c r="C1487" s="7">
        <v>0</v>
      </c>
      <c r="D1487" s="8">
        <v>1</v>
      </c>
      <c r="E1487" s="8">
        <v>1</v>
      </c>
      <c r="F1487" s="8">
        <v>0</v>
      </c>
      <c r="G1487" s="8">
        <v>0</v>
      </c>
      <c r="H1487" s="8">
        <v>1</v>
      </c>
      <c r="I1487" s="8">
        <v>1</v>
      </c>
      <c r="J1487" s="8">
        <v>1</v>
      </c>
      <c r="K1487" s="9">
        <v>0</v>
      </c>
      <c r="L1487" s="10">
        <v>1</v>
      </c>
      <c r="M1487" s="6">
        <v>0</v>
      </c>
      <c r="N1487" s="37" t="e" cm="1">
        <f t="array" ref="N1487">IF(OR(ISNUMBER(FIND(Aux!$D$3:$D$9,_xlfn.TEXTJOIN(,,C1487:K1487)))),NA(),IF(AND(SUM(C1487:F1487,H1487:K1487)=0,G1487=1),0,INT((SUMPRODUCT(C1487:F1487,COLUMN($A$1:$D$1)-1)+SUMPRODUCT(H1487:K1487,COLUMN($E$1:$H$1)-1))*'Line Follower'!$C$3/SUM(C1487:F1487,H1487:K1487)-'Line Follower'!$C$5)))</f>
        <v>#N/A</v>
      </c>
      <c r="O1487" s="22" t="e">
        <v>#N/A</v>
      </c>
      <c r="P1487" s="4" t="e">
        <f t="shared" si="115"/>
        <v>#N/A</v>
      </c>
      <c r="Q1487" s="4" t="e">
        <f t="shared" si="116"/>
        <v>#N/A</v>
      </c>
      <c r="R1487" s="4" t="e">
        <f>IF(AND(B1487=1,N1487&gt;'Line Follower'!$C$7,SUM(C1487:K1487)&lt;4),1,0)</f>
        <v>#N/A</v>
      </c>
      <c r="S1487" s="4" t="e">
        <f>IF(AND(L1487=1,N1487&lt;'Line Follower'!$C$6,SUM(C1487:K1487)&lt;4),1,0)</f>
        <v>#N/A</v>
      </c>
      <c r="T1487" s="4" t="e">
        <f t="shared" si="117"/>
        <v>#N/A</v>
      </c>
      <c r="U1487" s="5" t="e">
        <f t="shared" si="118"/>
        <v>#N/A</v>
      </c>
      <c r="V1487" s="23" t="e">
        <f t="shared" si="119"/>
        <v>#N/A</v>
      </c>
    </row>
    <row r="1488" spans="2:22" x14ac:dyDescent="0.25">
      <c r="B1488" s="16">
        <v>1</v>
      </c>
      <c r="C1488" s="7">
        <v>0</v>
      </c>
      <c r="D1488" s="8">
        <v>1</v>
      </c>
      <c r="E1488" s="8">
        <v>1</v>
      </c>
      <c r="F1488" s="8">
        <v>0</v>
      </c>
      <c r="G1488" s="8">
        <v>0</v>
      </c>
      <c r="H1488" s="8">
        <v>1</v>
      </c>
      <c r="I1488" s="8">
        <v>1</v>
      </c>
      <c r="J1488" s="8">
        <v>1</v>
      </c>
      <c r="K1488" s="9">
        <v>0</v>
      </c>
      <c r="L1488" s="10">
        <v>1</v>
      </c>
      <c r="M1488" s="6">
        <v>0</v>
      </c>
      <c r="N1488" s="37" t="e" cm="1">
        <f t="array" ref="N1488">IF(OR(ISNUMBER(FIND(Aux!$D$3:$D$9,_xlfn.TEXTJOIN(,,C1488:K1488)))),NA(),IF(AND(SUM(C1488:F1488,H1488:K1488)=0,G1488=1),0,INT((SUMPRODUCT(C1488:F1488,COLUMN($A$1:$D$1)-1)+SUMPRODUCT(H1488:K1488,COLUMN($E$1:$H$1)-1))*'Line Follower'!$C$3/SUM(C1488:F1488,H1488:K1488)-'Line Follower'!$C$5)))</f>
        <v>#N/A</v>
      </c>
      <c r="O1488" s="22" t="e">
        <v>#N/A</v>
      </c>
      <c r="P1488" s="4" t="e">
        <f t="shared" si="115"/>
        <v>#N/A</v>
      </c>
      <c r="Q1488" s="4" t="e">
        <f t="shared" si="116"/>
        <v>#N/A</v>
      </c>
      <c r="R1488" s="4" t="e">
        <f>IF(AND(B1488=1,N1488&gt;'Line Follower'!$C$7,SUM(C1488:K1488)&lt;4),1,0)</f>
        <v>#N/A</v>
      </c>
      <c r="S1488" s="4" t="e">
        <f>IF(AND(L1488=1,N1488&lt;'Line Follower'!$C$6,SUM(C1488:K1488)&lt;4),1,0)</f>
        <v>#N/A</v>
      </c>
      <c r="T1488" s="4" t="e">
        <f t="shared" si="117"/>
        <v>#N/A</v>
      </c>
      <c r="U1488" s="5" t="e">
        <f t="shared" si="118"/>
        <v>#N/A</v>
      </c>
      <c r="V1488" s="23" t="e">
        <f t="shared" si="119"/>
        <v>#N/A</v>
      </c>
    </row>
    <row r="1489" spans="2:22" x14ac:dyDescent="0.25">
      <c r="B1489" s="16">
        <v>0</v>
      </c>
      <c r="C1489" s="7">
        <v>1</v>
      </c>
      <c r="D1489" s="8">
        <v>1</v>
      </c>
      <c r="E1489" s="8">
        <v>1</v>
      </c>
      <c r="F1489" s="8">
        <v>0</v>
      </c>
      <c r="G1489" s="8">
        <v>0</v>
      </c>
      <c r="H1489" s="8">
        <v>1</v>
      </c>
      <c r="I1489" s="8">
        <v>1</v>
      </c>
      <c r="J1489" s="8">
        <v>1</v>
      </c>
      <c r="K1489" s="9">
        <v>0</v>
      </c>
      <c r="L1489" s="10">
        <v>1</v>
      </c>
      <c r="M1489" s="6">
        <v>0</v>
      </c>
      <c r="N1489" s="37" t="e" cm="1">
        <f t="array" ref="N1489">IF(OR(ISNUMBER(FIND(Aux!$D$3:$D$9,_xlfn.TEXTJOIN(,,C1489:K1489)))),NA(),IF(AND(SUM(C1489:F1489,H1489:K1489)=0,G1489=1),0,INT((SUMPRODUCT(C1489:F1489,COLUMN($A$1:$D$1)-1)+SUMPRODUCT(H1489:K1489,COLUMN($E$1:$H$1)-1))*'Line Follower'!$C$3/SUM(C1489:F1489,H1489:K1489)-'Line Follower'!$C$5)))</f>
        <v>#N/A</v>
      </c>
      <c r="O1489" s="22" t="e">
        <v>#N/A</v>
      </c>
      <c r="P1489" s="4" t="e">
        <f t="shared" si="115"/>
        <v>#N/A</v>
      </c>
      <c r="Q1489" s="4" t="e">
        <f t="shared" si="116"/>
        <v>#N/A</v>
      </c>
      <c r="R1489" s="4" t="e">
        <f>IF(AND(B1489=1,N1489&gt;'Line Follower'!$C$7,SUM(C1489:K1489)&lt;4),1,0)</f>
        <v>#N/A</v>
      </c>
      <c r="S1489" s="4" t="e">
        <f>IF(AND(L1489=1,N1489&lt;'Line Follower'!$C$6,SUM(C1489:K1489)&lt;4),1,0)</f>
        <v>#N/A</v>
      </c>
      <c r="T1489" s="4" t="e">
        <f t="shared" si="117"/>
        <v>#N/A</v>
      </c>
      <c r="U1489" s="5" t="e">
        <f t="shared" si="118"/>
        <v>#N/A</v>
      </c>
      <c r="V1489" s="23" t="e">
        <f t="shared" si="119"/>
        <v>#N/A</v>
      </c>
    </row>
    <row r="1490" spans="2:22" x14ac:dyDescent="0.25">
      <c r="B1490" s="16">
        <v>1</v>
      </c>
      <c r="C1490" s="7">
        <v>1</v>
      </c>
      <c r="D1490" s="8">
        <v>1</v>
      </c>
      <c r="E1490" s="8">
        <v>1</v>
      </c>
      <c r="F1490" s="8">
        <v>0</v>
      </c>
      <c r="G1490" s="8">
        <v>0</v>
      </c>
      <c r="H1490" s="8">
        <v>1</v>
      </c>
      <c r="I1490" s="8">
        <v>1</v>
      </c>
      <c r="J1490" s="8">
        <v>1</v>
      </c>
      <c r="K1490" s="9">
        <v>0</v>
      </c>
      <c r="L1490" s="10">
        <v>1</v>
      </c>
      <c r="M1490" s="6">
        <v>0</v>
      </c>
      <c r="N1490" s="37" t="e" cm="1">
        <f t="array" ref="N1490">IF(OR(ISNUMBER(FIND(Aux!$D$3:$D$9,_xlfn.TEXTJOIN(,,C1490:K1490)))),NA(),IF(AND(SUM(C1490:F1490,H1490:K1490)=0,G1490=1),0,INT((SUMPRODUCT(C1490:F1490,COLUMN($A$1:$D$1)-1)+SUMPRODUCT(H1490:K1490,COLUMN($E$1:$H$1)-1))*'Line Follower'!$C$3/SUM(C1490:F1490,H1490:K1490)-'Line Follower'!$C$5)))</f>
        <v>#N/A</v>
      </c>
      <c r="O1490" s="22" t="e">
        <v>#N/A</v>
      </c>
      <c r="P1490" s="4" t="e">
        <f t="shared" si="115"/>
        <v>#N/A</v>
      </c>
      <c r="Q1490" s="4" t="e">
        <f t="shared" si="116"/>
        <v>#N/A</v>
      </c>
      <c r="R1490" s="4" t="e">
        <f>IF(AND(B1490=1,N1490&gt;'Line Follower'!$C$7,SUM(C1490:K1490)&lt;4),1,0)</f>
        <v>#N/A</v>
      </c>
      <c r="S1490" s="4" t="e">
        <f>IF(AND(L1490=1,N1490&lt;'Line Follower'!$C$6,SUM(C1490:K1490)&lt;4),1,0)</f>
        <v>#N/A</v>
      </c>
      <c r="T1490" s="4" t="e">
        <f t="shared" si="117"/>
        <v>#N/A</v>
      </c>
      <c r="U1490" s="5" t="e">
        <f t="shared" si="118"/>
        <v>#N/A</v>
      </c>
      <c r="V1490" s="23" t="e">
        <f t="shared" si="119"/>
        <v>#N/A</v>
      </c>
    </row>
    <row r="1491" spans="2:22" x14ac:dyDescent="0.25">
      <c r="B1491" s="16">
        <v>0</v>
      </c>
      <c r="C1491" s="7">
        <v>0</v>
      </c>
      <c r="D1491" s="8">
        <v>0</v>
      </c>
      <c r="E1491" s="8">
        <v>0</v>
      </c>
      <c r="F1491" s="8">
        <v>1</v>
      </c>
      <c r="G1491" s="8">
        <v>0</v>
      </c>
      <c r="H1491" s="8">
        <v>1</v>
      </c>
      <c r="I1491" s="8">
        <v>1</v>
      </c>
      <c r="J1491" s="8">
        <v>1</v>
      </c>
      <c r="K1491" s="9">
        <v>0</v>
      </c>
      <c r="L1491" s="10">
        <v>1</v>
      </c>
      <c r="M1491" s="6">
        <v>0</v>
      </c>
      <c r="N1491" s="37" t="e" cm="1">
        <f t="array" ref="N1491">IF(OR(ISNUMBER(FIND(Aux!$D$3:$D$9,_xlfn.TEXTJOIN(,,C1491:K1491)))),NA(),IF(AND(SUM(C1491:F1491,H1491:K1491)=0,G1491=1),0,INT((SUMPRODUCT(C1491:F1491,COLUMN($A$1:$D$1)-1)+SUMPRODUCT(H1491:K1491,COLUMN($E$1:$H$1)-1))*'Line Follower'!$C$3/SUM(C1491:F1491,H1491:K1491)-'Line Follower'!$C$5)))</f>
        <v>#N/A</v>
      </c>
      <c r="O1491" s="22" t="e">
        <v>#N/A</v>
      </c>
      <c r="P1491" s="4" t="e">
        <f t="shared" si="115"/>
        <v>#N/A</v>
      </c>
      <c r="Q1491" s="4" t="e">
        <f t="shared" si="116"/>
        <v>#N/A</v>
      </c>
      <c r="R1491" s="4" t="e">
        <f>IF(AND(B1491=1,N1491&gt;'Line Follower'!$C$7,SUM(C1491:K1491)&lt;4),1,0)</f>
        <v>#N/A</v>
      </c>
      <c r="S1491" s="4" t="e">
        <f>IF(AND(L1491=1,N1491&lt;'Line Follower'!$C$6,SUM(C1491:K1491)&lt;4),1,0)</f>
        <v>#N/A</v>
      </c>
      <c r="T1491" s="4" t="e">
        <f t="shared" si="117"/>
        <v>#N/A</v>
      </c>
      <c r="U1491" s="5" t="e">
        <f t="shared" si="118"/>
        <v>#N/A</v>
      </c>
      <c r="V1491" s="23" t="e">
        <f t="shared" si="119"/>
        <v>#N/A</v>
      </c>
    </row>
    <row r="1492" spans="2:22" x14ac:dyDescent="0.25">
      <c r="B1492" s="16">
        <v>1</v>
      </c>
      <c r="C1492" s="7">
        <v>0</v>
      </c>
      <c r="D1492" s="8">
        <v>0</v>
      </c>
      <c r="E1492" s="8">
        <v>0</v>
      </c>
      <c r="F1492" s="8">
        <v>1</v>
      </c>
      <c r="G1492" s="8">
        <v>0</v>
      </c>
      <c r="H1492" s="8">
        <v>1</v>
      </c>
      <c r="I1492" s="8">
        <v>1</v>
      </c>
      <c r="J1492" s="8">
        <v>1</v>
      </c>
      <c r="K1492" s="9">
        <v>0</v>
      </c>
      <c r="L1492" s="10">
        <v>1</v>
      </c>
      <c r="M1492" s="6">
        <v>0</v>
      </c>
      <c r="N1492" s="37" t="e" cm="1">
        <f t="array" ref="N1492">IF(OR(ISNUMBER(FIND(Aux!$D$3:$D$9,_xlfn.TEXTJOIN(,,C1492:K1492)))),NA(),IF(AND(SUM(C1492:F1492,H1492:K1492)=0,G1492=1),0,INT((SUMPRODUCT(C1492:F1492,COLUMN($A$1:$D$1)-1)+SUMPRODUCT(H1492:K1492,COLUMN($E$1:$H$1)-1))*'Line Follower'!$C$3/SUM(C1492:F1492,H1492:K1492)-'Line Follower'!$C$5)))</f>
        <v>#N/A</v>
      </c>
      <c r="O1492" s="22" t="e">
        <v>#N/A</v>
      </c>
      <c r="P1492" s="4" t="e">
        <f t="shared" si="115"/>
        <v>#N/A</v>
      </c>
      <c r="Q1492" s="4" t="e">
        <f t="shared" si="116"/>
        <v>#N/A</v>
      </c>
      <c r="R1492" s="4" t="e">
        <f>IF(AND(B1492=1,N1492&gt;'Line Follower'!$C$7,SUM(C1492:K1492)&lt;4),1,0)</f>
        <v>#N/A</v>
      </c>
      <c r="S1492" s="4" t="e">
        <f>IF(AND(L1492=1,N1492&lt;'Line Follower'!$C$6,SUM(C1492:K1492)&lt;4),1,0)</f>
        <v>#N/A</v>
      </c>
      <c r="T1492" s="4" t="e">
        <f t="shared" si="117"/>
        <v>#N/A</v>
      </c>
      <c r="U1492" s="5" t="e">
        <f t="shared" si="118"/>
        <v>#N/A</v>
      </c>
      <c r="V1492" s="23" t="e">
        <f t="shared" si="119"/>
        <v>#N/A</v>
      </c>
    </row>
    <row r="1493" spans="2:22" x14ac:dyDescent="0.25">
      <c r="B1493" s="16">
        <v>0</v>
      </c>
      <c r="C1493" s="7">
        <v>1</v>
      </c>
      <c r="D1493" s="8">
        <v>0</v>
      </c>
      <c r="E1493" s="8">
        <v>0</v>
      </c>
      <c r="F1493" s="8">
        <v>1</v>
      </c>
      <c r="G1493" s="8">
        <v>0</v>
      </c>
      <c r="H1493" s="8">
        <v>1</v>
      </c>
      <c r="I1493" s="8">
        <v>1</v>
      </c>
      <c r="J1493" s="8">
        <v>1</v>
      </c>
      <c r="K1493" s="9">
        <v>0</v>
      </c>
      <c r="L1493" s="10">
        <v>1</v>
      </c>
      <c r="M1493" s="6">
        <v>0</v>
      </c>
      <c r="N1493" s="37" t="e" cm="1">
        <f t="array" ref="N1493">IF(OR(ISNUMBER(FIND(Aux!$D$3:$D$9,_xlfn.TEXTJOIN(,,C1493:K1493)))),NA(),IF(AND(SUM(C1493:F1493,H1493:K1493)=0,G1493=1),0,INT((SUMPRODUCT(C1493:F1493,COLUMN($A$1:$D$1)-1)+SUMPRODUCT(H1493:K1493,COLUMN($E$1:$H$1)-1))*'Line Follower'!$C$3/SUM(C1493:F1493,H1493:K1493)-'Line Follower'!$C$5)))</f>
        <v>#N/A</v>
      </c>
      <c r="O1493" s="22" t="e">
        <v>#N/A</v>
      </c>
      <c r="P1493" s="4" t="e">
        <f t="shared" si="115"/>
        <v>#N/A</v>
      </c>
      <c r="Q1493" s="4" t="e">
        <f t="shared" si="116"/>
        <v>#N/A</v>
      </c>
      <c r="R1493" s="4" t="e">
        <f>IF(AND(B1493=1,N1493&gt;'Line Follower'!$C$7,SUM(C1493:K1493)&lt;4),1,0)</f>
        <v>#N/A</v>
      </c>
      <c r="S1493" s="4" t="e">
        <f>IF(AND(L1493=1,N1493&lt;'Line Follower'!$C$6,SUM(C1493:K1493)&lt;4),1,0)</f>
        <v>#N/A</v>
      </c>
      <c r="T1493" s="4" t="e">
        <f t="shared" si="117"/>
        <v>#N/A</v>
      </c>
      <c r="U1493" s="5" t="e">
        <f t="shared" si="118"/>
        <v>#N/A</v>
      </c>
      <c r="V1493" s="23" t="e">
        <f t="shared" si="119"/>
        <v>#N/A</v>
      </c>
    </row>
    <row r="1494" spans="2:22" x14ac:dyDescent="0.25">
      <c r="B1494" s="16">
        <v>1</v>
      </c>
      <c r="C1494" s="7">
        <v>1</v>
      </c>
      <c r="D1494" s="8">
        <v>0</v>
      </c>
      <c r="E1494" s="8">
        <v>0</v>
      </c>
      <c r="F1494" s="8">
        <v>1</v>
      </c>
      <c r="G1494" s="8">
        <v>0</v>
      </c>
      <c r="H1494" s="8">
        <v>1</v>
      </c>
      <c r="I1494" s="8">
        <v>1</v>
      </c>
      <c r="J1494" s="8">
        <v>1</v>
      </c>
      <c r="K1494" s="9">
        <v>0</v>
      </c>
      <c r="L1494" s="10">
        <v>1</v>
      </c>
      <c r="M1494" s="6">
        <v>0</v>
      </c>
      <c r="N1494" s="37" t="e" cm="1">
        <f t="array" ref="N1494">IF(OR(ISNUMBER(FIND(Aux!$D$3:$D$9,_xlfn.TEXTJOIN(,,C1494:K1494)))),NA(),IF(AND(SUM(C1494:F1494,H1494:K1494)=0,G1494=1),0,INT((SUMPRODUCT(C1494:F1494,COLUMN($A$1:$D$1)-1)+SUMPRODUCT(H1494:K1494,COLUMN($E$1:$H$1)-1))*'Line Follower'!$C$3/SUM(C1494:F1494,H1494:K1494)-'Line Follower'!$C$5)))</f>
        <v>#N/A</v>
      </c>
      <c r="O1494" s="22" t="e">
        <v>#N/A</v>
      </c>
      <c r="P1494" s="4" t="e">
        <f t="shared" si="115"/>
        <v>#N/A</v>
      </c>
      <c r="Q1494" s="4" t="e">
        <f t="shared" si="116"/>
        <v>#N/A</v>
      </c>
      <c r="R1494" s="4" t="e">
        <f>IF(AND(B1494=1,N1494&gt;'Line Follower'!$C$7,SUM(C1494:K1494)&lt;4),1,0)</f>
        <v>#N/A</v>
      </c>
      <c r="S1494" s="4" t="e">
        <f>IF(AND(L1494=1,N1494&lt;'Line Follower'!$C$6,SUM(C1494:K1494)&lt;4),1,0)</f>
        <v>#N/A</v>
      </c>
      <c r="T1494" s="4" t="e">
        <f t="shared" si="117"/>
        <v>#N/A</v>
      </c>
      <c r="U1494" s="5" t="e">
        <f t="shared" si="118"/>
        <v>#N/A</v>
      </c>
      <c r="V1494" s="23" t="e">
        <f t="shared" si="119"/>
        <v>#N/A</v>
      </c>
    </row>
    <row r="1495" spans="2:22" x14ac:dyDescent="0.25">
      <c r="B1495" s="16">
        <v>0</v>
      </c>
      <c r="C1495" s="7">
        <v>0</v>
      </c>
      <c r="D1495" s="8">
        <v>1</v>
      </c>
      <c r="E1495" s="8">
        <v>0</v>
      </c>
      <c r="F1495" s="8">
        <v>1</v>
      </c>
      <c r="G1495" s="8">
        <v>0</v>
      </c>
      <c r="H1495" s="8">
        <v>1</v>
      </c>
      <c r="I1495" s="8">
        <v>1</v>
      </c>
      <c r="J1495" s="8">
        <v>1</v>
      </c>
      <c r="K1495" s="9">
        <v>0</v>
      </c>
      <c r="L1495" s="10">
        <v>1</v>
      </c>
      <c r="M1495" s="6">
        <v>0</v>
      </c>
      <c r="N1495" s="37" t="e" cm="1">
        <f t="array" ref="N1495">IF(OR(ISNUMBER(FIND(Aux!$D$3:$D$9,_xlfn.TEXTJOIN(,,C1495:K1495)))),NA(),IF(AND(SUM(C1495:F1495,H1495:K1495)=0,G1495=1),0,INT((SUMPRODUCT(C1495:F1495,COLUMN($A$1:$D$1)-1)+SUMPRODUCT(H1495:K1495,COLUMN($E$1:$H$1)-1))*'Line Follower'!$C$3/SUM(C1495:F1495,H1495:K1495)-'Line Follower'!$C$5)))</f>
        <v>#N/A</v>
      </c>
      <c r="O1495" s="22" t="e">
        <v>#N/A</v>
      </c>
      <c r="P1495" s="4" t="e">
        <f t="shared" si="115"/>
        <v>#N/A</v>
      </c>
      <c r="Q1495" s="4" t="e">
        <f t="shared" si="116"/>
        <v>#N/A</v>
      </c>
      <c r="R1495" s="4" t="e">
        <f>IF(AND(B1495=1,N1495&gt;'Line Follower'!$C$7,SUM(C1495:K1495)&lt;4),1,0)</f>
        <v>#N/A</v>
      </c>
      <c r="S1495" s="4" t="e">
        <f>IF(AND(L1495=1,N1495&lt;'Line Follower'!$C$6,SUM(C1495:K1495)&lt;4),1,0)</f>
        <v>#N/A</v>
      </c>
      <c r="T1495" s="4" t="e">
        <f t="shared" si="117"/>
        <v>#N/A</v>
      </c>
      <c r="U1495" s="5" t="e">
        <f t="shared" si="118"/>
        <v>#N/A</v>
      </c>
      <c r="V1495" s="23" t="e">
        <f t="shared" si="119"/>
        <v>#N/A</v>
      </c>
    </row>
    <row r="1496" spans="2:22" x14ac:dyDescent="0.25">
      <c r="B1496" s="16">
        <v>1</v>
      </c>
      <c r="C1496" s="7">
        <v>0</v>
      </c>
      <c r="D1496" s="8">
        <v>1</v>
      </c>
      <c r="E1496" s="8">
        <v>0</v>
      </c>
      <c r="F1496" s="8">
        <v>1</v>
      </c>
      <c r="G1496" s="8">
        <v>0</v>
      </c>
      <c r="H1496" s="8">
        <v>1</v>
      </c>
      <c r="I1496" s="8">
        <v>1</v>
      </c>
      <c r="J1496" s="8">
        <v>1</v>
      </c>
      <c r="K1496" s="9">
        <v>0</v>
      </c>
      <c r="L1496" s="10">
        <v>1</v>
      </c>
      <c r="M1496" s="6">
        <v>0</v>
      </c>
      <c r="N1496" s="37" t="e" cm="1">
        <f t="array" ref="N1496">IF(OR(ISNUMBER(FIND(Aux!$D$3:$D$9,_xlfn.TEXTJOIN(,,C1496:K1496)))),NA(),IF(AND(SUM(C1496:F1496,H1496:K1496)=0,G1496=1),0,INT((SUMPRODUCT(C1496:F1496,COLUMN($A$1:$D$1)-1)+SUMPRODUCT(H1496:K1496,COLUMN($E$1:$H$1)-1))*'Line Follower'!$C$3/SUM(C1496:F1496,H1496:K1496)-'Line Follower'!$C$5)))</f>
        <v>#N/A</v>
      </c>
      <c r="O1496" s="22" t="e">
        <v>#N/A</v>
      </c>
      <c r="P1496" s="4" t="e">
        <f t="shared" si="115"/>
        <v>#N/A</v>
      </c>
      <c r="Q1496" s="4" t="e">
        <f t="shared" si="116"/>
        <v>#N/A</v>
      </c>
      <c r="R1496" s="4" t="e">
        <f>IF(AND(B1496=1,N1496&gt;'Line Follower'!$C$7,SUM(C1496:K1496)&lt;4),1,0)</f>
        <v>#N/A</v>
      </c>
      <c r="S1496" s="4" t="e">
        <f>IF(AND(L1496=1,N1496&lt;'Line Follower'!$C$6,SUM(C1496:K1496)&lt;4),1,0)</f>
        <v>#N/A</v>
      </c>
      <c r="T1496" s="4" t="e">
        <f t="shared" si="117"/>
        <v>#N/A</v>
      </c>
      <c r="U1496" s="5" t="e">
        <f t="shared" si="118"/>
        <v>#N/A</v>
      </c>
      <c r="V1496" s="23" t="e">
        <f t="shared" si="119"/>
        <v>#N/A</v>
      </c>
    </row>
    <row r="1497" spans="2:22" x14ac:dyDescent="0.25">
      <c r="B1497" s="16">
        <v>0</v>
      </c>
      <c r="C1497" s="7">
        <v>1</v>
      </c>
      <c r="D1497" s="8">
        <v>1</v>
      </c>
      <c r="E1497" s="8">
        <v>0</v>
      </c>
      <c r="F1497" s="8">
        <v>1</v>
      </c>
      <c r="G1497" s="8">
        <v>0</v>
      </c>
      <c r="H1497" s="8">
        <v>1</v>
      </c>
      <c r="I1497" s="8">
        <v>1</v>
      </c>
      <c r="J1497" s="8">
        <v>1</v>
      </c>
      <c r="K1497" s="9">
        <v>0</v>
      </c>
      <c r="L1497" s="10">
        <v>1</v>
      </c>
      <c r="M1497" s="6">
        <v>0</v>
      </c>
      <c r="N1497" s="37" t="e" cm="1">
        <f t="array" ref="N1497">IF(OR(ISNUMBER(FIND(Aux!$D$3:$D$9,_xlfn.TEXTJOIN(,,C1497:K1497)))),NA(),IF(AND(SUM(C1497:F1497,H1497:K1497)=0,G1497=1),0,INT((SUMPRODUCT(C1497:F1497,COLUMN($A$1:$D$1)-1)+SUMPRODUCT(H1497:K1497,COLUMN($E$1:$H$1)-1))*'Line Follower'!$C$3/SUM(C1497:F1497,H1497:K1497)-'Line Follower'!$C$5)))</f>
        <v>#N/A</v>
      </c>
      <c r="O1497" s="22" t="e">
        <v>#N/A</v>
      </c>
      <c r="P1497" s="4" t="e">
        <f t="shared" si="115"/>
        <v>#N/A</v>
      </c>
      <c r="Q1497" s="4" t="e">
        <f t="shared" si="116"/>
        <v>#N/A</v>
      </c>
      <c r="R1497" s="4" t="e">
        <f>IF(AND(B1497=1,N1497&gt;'Line Follower'!$C$7,SUM(C1497:K1497)&lt;4),1,0)</f>
        <v>#N/A</v>
      </c>
      <c r="S1497" s="4" t="e">
        <f>IF(AND(L1497=1,N1497&lt;'Line Follower'!$C$6,SUM(C1497:K1497)&lt;4),1,0)</f>
        <v>#N/A</v>
      </c>
      <c r="T1497" s="4" t="e">
        <f t="shared" si="117"/>
        <v>#N/A</v>
      </c>
      <c r="U1497" s="5" t="e">
        <f t="shared" si="118"/>
        <v>#N/A</v>
      </c>
      <c r="V1497" s="23" t="e">
        <f t="shared" si="119"/>
        <v>#N/A</v>
      </c>
    </row>
    <row r="1498" spans="2:22" x14ac:dyDescent="0.25">
      <c r="B1498" s="16">
        <v>1</v>
      </c>
      <c r="C1498" s="7">
        <v>1</v>
      </c>
      <c r="D1498" s="8">
        <v>1</v>
      </c>
      <c r="E1498" s="8">
        <v>0</v>
      </c>
      <c r="F1498" s="8">
        <v>1</v>
      </c>
      <c r="G1498" s="8">
        <v>0</v>
      </c>
      <c r="H1498" s="8">
        <v>1</v>
      </c>
      <c r="I1498" s="8">
        <v>1</v>
      </c>
      <c r="J1498" s="8">
        <v>1</v>
      </c>
      <c r="K1498" s="9">
        <v>0</v>
      </c>
      <c r="L1498" s="10">
        <v>1</v>
      </c>
      <c r="M1498" s="6">
        <v>0</v>
      </c>
      <c r="N1498" s="37" t="e" cm="1">
        <f t="array" ref="N1498">IF(OR(ISNUMBER(FIND(Aux!$D$3:$D$9,_xlfn.TEXTJOIN(,,C1498:K1498)))),NA(),IF(AND(SUM(C1498:F1498,H1498:K1498)=0,G1498=1),0,INT((SUMPRODUCT(C1498:F1498,COLUMN($A$1:$D$1)-1)+SUMPRODUCT(H1498:K1498,COLUMN($E$1:$H$1)-1))*'Line Follower'!$C$3/SUM(C1498:F1498,H1498:K1498)-'Line Follower'!$C$5)))</f>
        <v>#N/A</v>
      </c>
      <c r="O1498" s="22" t="e">
        <v>#N/A</v>
      </c>
      <c r="P1498" s="4" t="e">
        <f t="shared" si="115"/>
        <v>#N/A</v>
      </c>
      <c r="Q1498" s="4" t="e">
        <f t="shared" si="116"/>
        <v>#N/A</v>
      </c>
      <c r="R1498" s="4" t="e">
        <f>IF(AND(B1498=1,N1498&gt;'Line Follower'!$C$7,SUM(C1498:K1498)&lt;4),1,0)</f>
        <v>#N/A</v>
      </c>
      <c r="S1498" s="4" t="e">
        <f>IF(AND(L1498=1,N1498&lt;'Line Follower'!$C$6,SUM(C1498:K1498)&lt;4),1,0)</f>
        <v>#N/A</v>
      </c>
      <c r="T1498" s="4" t="e">
        <f t="shared" si="117"/>
        <v>#N/A</v>
      </c>
      <c r="U1498" s="5" t="e">
        <f t="shared" si="118"/>
        <v>#N/A</v>
      </c>
      <c r="V1498" s="23" t="e">
        <f t="shared" si="119"/>
        <v>#N/A</v>
      </c>
    </row>
    <row r="1499" spans="2:22" x14ac:dyDescent="0.25">
      <c r="B1499" s="16">
        <v>0</v>
      </c>
      <c r="C1499" s="7">
        <v>0</v>
      </c>
      <c r="D1499" s="8">
        <v>0</v>
      </c>
      <c r="E1499" s="8">
        <v>1</v>
      </c>
      <c r="F1499" s="8">
        <v>1</v>
      </c>
      <c r="G1499" s="8">
        <v>0</v>
      </c>
      <c r="H1499" s="8">
        <v>1</v>
      </c>
      <c r="I1499" s="8">
        <v>1</v>
      </c>
      <c r="J1499" s="8">
        <v>1</v>
      </c>
      <c r="K1499" s="9">
        <v>0</v>
      </c>
      <c r="L1499" s="10">
        <v>1</v>
      </c>
      <c r="M1499" s="6">
        <v>0</v>
      </c>
      <c r="N1499" s="37" t="e" cm="1">
        <f t="array" ref="N1499">IF(OR(ISNUMBER(FIND(Aux!$D$3:$D$9,_xlfn.TEXTJOIN(,,C1499:K1499)))),NA(),IF(AND(SUM(C1499:F1499,H1499:K1499)=0,G1499=1),0,INT((SUMPRODUCT(C1499:F1499,COLUMN($A$1:$D$1)-1)+SUMPRODUCT(H1499:K1499,COLUMN($E$1:$H$1)-1))*'Line Follower'!$C$3/SUM(C1499:F1499,H1499:K1499)-'Line Follower'!$C$5)))</f>
        <v>#N/A</v>
      </c>
      <c r="O1499" s="22" t="e">
        <v>#N/A</v>
      </c>
      <c r="P1499" s="4" t="e">
        <f t="shared" si="115"/>
        <v>#N/A</v>
      </c>
      <c r="Q1499" s="4" t="e">
        <f t="shared" si="116"/>
        <v>#N/A</v>
      </c>
      <c r="R1499" s="4" t="e">
        <f>IF(AND(B1499=1,N1499&gt;'Line Follower'!$C$7,SUM(C1499:K1499)&lt;4),1,0)</f>
        <v>#N/A</v>
      </c>
      <c r="S1499" s="4" t="e">
        <f>IF(AND(L1499=1,N1499&lt;'Line Follower'!$C$6,SUM(C1499:K1499)&lt;4),1,0)</f>
        <v>#N/A</v>
      </c>
      <c r="T1499" s="4" t="e">
        <f t="shared" si="117"/>
        <v>#N/A</v>
      </c>
      <c r="U1499" s="5" t="e">
        <f t="shared" si="118"/>
        <v>#N/A</v>
      </c>
      <c r="V1499" s="23" t="e">
        <f t="shared" si="119"/>
        <v>#N/A</v>
      </c>
    </row>
    <row r="1500" spans="2:22" x14ac:dyDescent="0.25">
      <c r="B1500" s="16">
        <v>1</v>
      </c>
      <c r="C1500" s="7">
        <v>0</v>
      </c>
      <c r="D1500" s="8">
        <v>0</v>
      </c>
      <c r="E1500" s="8">
        <v>1</v>
      </c>
      <c r="F1500" s="8">
        <v>1</v>
      </c>
      <c r="G1500" s="8">
        <v>0</v>
      </c>
      <c r="H1500" s="8">
        <v>1</v>
      </c>
      <c r="I1500" s="8">
        <v>1</v>
      </c>
      <c r="J1500" s="8">
        <v>1</v>
      </c>
      <c r="K1500" s="9">
        <v>0</v>
      </c>
      <c r="L1500" s="10">
        <v>1</v>
      </c>
      <c r="M1500" s="6">
        <v>0</v>
      </c>
      <c r="N1500" s="37" t="e" cm="1">
        <f t="array" ref="N1500">IF(OR(ISNUMBER(FIND(Aux!$D$3:$D$9,_xlfn.TEXTJOIN(,,C1500:K1500)))),NA(),IF(AND(SUM(C1500:F1500,H1500:K1500)=0,G1500=1),0,INT((SUMPRODUCT(C1500:F1500,COLUMN($A$1:$D$1)-1)+SUMPRODUCT(H1500:K1500,COLUMN($E$1:$H$1)-1))*'Line Follower'!$C$3/SUM(C1500:F1500,H1500:K1500)-'Line Follower'!$C$5)))</f>
        <v>#N/A</v>
      </c>
      <c r="O1500" s="22" t="e">
        <v>#N/A</v>
      </c>
      <c r="P1500" s="4" t="e">
        <f t="shared" si="115"/>
        <v>#N/A</v>
      </c>
      <c r="Q1500" s="4" t="e">
        <f t="shared" si="116"/>
        <v>#N/A</v>
      </c>
      <c r="R1500" s="4" t="e">
        <f>IF(AND(B1500=1,N1500&gt;'Line Follower'!$C$7,SUM(C1500:K1500)&lt;4),1,0)</f>
        <v>#N/A</v>
      </c>
      <c r="S1500" s="4" t="e">
        <f>IF(AND(L1500=1,N1500&lt;'Line Follower'!$C$6,SUM(C1500:K1500)&lt;4),1,0)</f>
        <v>#N/A</v>
      </c>
      <c r="T1500" s="4" t="e">
        <f t="shared" si="117"/>
        <v>#N/A</v>
      </c>
      <c r="U1500" s="5" t="e">
        <f t="shared" si="118"/>
        <v>#N/A</v>
      </c>
      <c r="V1500" s="23" t="e">
        <f t="shared" si="119"/>
        <v>#N/A</v>
      </c>
    </row>
    <row r="1501" spans="2:22" x14ac:dyDescent="0.25">
      <c r="B1501" s="16">
        <v>0</v>
      </c>
      <c r="C1501" s="7">
        <v>1</v>
      </c>
      <c r="D1501" s="8">
        <v>0</v>
      </c>
      <c r="E1501" s="8">
        <v>1</v>
      </c>
      <c r="F1501" s="8">
        <v>1</v>
      </c>
      <c r="G1501" s="8">
        <v>0</v>
      </c>
      <c r="H1501" s="8">
        <v>1</v>
      </c>
      <c r="I1501" s="8">
        <v>1</v>
      </c>
      <c r="J1501" s="8">
        <v>1</v>
      </c>
      <c r="K1501" s="9">
        <v>0</v>
      </c>
      <c r="L1501" s="10">
        <v>1</v>
      </c>
      <c r="M1501" s="6">
        <v>0</v>
      </c>
      <c r="N1501" s="37" t="e" cm="1">
        <f t="array" ref="N1501">IF(OR(ISNUMBER(FIND(Aux!$D$3:$D$9,_xlfn.TEXTJOIN(,,C1501:K1501)))),NA(),IF(AND(SUM(C1501:F1501,H1501:K1501)=0,G1501=1),0,INT((SUMPRODUCT(C1501:F1501,COLUMN($A$1:$D$1)-1)+SUMPRODUCT(H1501:K1501,COLUMN($E$1:$H$1)-1))*'Line Follower'!$C$3/SUM(C1501:F1501,H1501:K1501)-'Line Follower'!$C$5)))</f>
        <v>#N/A</v>
      </c>
      <c r="O1501" s="22" t="e">
        <v>#N/A</v>
      </c>
      <c r="P1501" s="4" t="e">
        <f t="shared" si="115"/>
        <v>#N/A</v>
      </c>
      <c r="Q1501" s="4" t="e">
        <f t="shared" si="116"/>
        <v>#N/A</v>
      </c>
      <c r="R1501" s="4" t="e">
        <f>IF(AND(B1501=1,N1501&gt;'Line Follower'!$C$7,SUM(C1501:K1501)&lt;4),1,0)</f>
        <v>#N/A</v>
      </c>
      <c r="S1501" s="4" t="e">
        <f>IF(AND(L1501=1,N1501&lt;'Line Follower'!$C$6,SUM(C1501:K1501)&lt;4),1,0)</f>
        <v>#N/A</v>
      </c>
      <c r="T1501" s="4" t="e">
        <f t="shared" si="117"/>
        <v>#N/A</v>
      </c>
      <c r="U1501" s="5" t="e">
        <f t="shared" si="118"/>
        <v>#N/A</v>
      </c>
      <c r="V1501" s="23" t="e">
        <f t="shared" si="119"/>
        <v>#N/A</v>
      </c>
    </row>
    <row r="1502" spans="2:22" x14ac:dyDescent="0.25">
      <c r="B1502" s="16">
        <v>1</v>
      </c>
      <c r="C1502" s="7">
        <v>1</v>
      </c>
      <c r="D1502" s="8">
        <v>0</v>
      </c>
      <c r="E1502" s="8">
        <v>1</v>
      </c>
      <c r="F1502" s="8">
        <v>1</v>
      </c>
      <c r="G1502" s="8">
        <v>0</v>
      </c>
      <c r="H1502" s="8">
        <v>1</v>
      </c>
      <c r="I1502" s="8">
        <v>1</v>
      </c>
      <c r="J1502" s="8">
        <v>1</v>
      </c>
      <c r="K1502" s="9">
        <v>0</v>
      </c>
      <c r="L1502" s="10">
        <v>1</v>
      </c>
      <c r="M1502" s="6">
        <v>0</v>
      </c>
      <c r="N1502" s="37" t="e" cm="1">
        <f t="array" ref="N1502">IF(OR(ISNUMBER(FIND(Aux!$D$3:$D$9,_xlfn.TEXTJOIN(,,C1502:K1502)))),NA(),IF(AND(SUM(C1502:F1502,H1502:K1502)=0,G1502=1),0,INT((SUMPRODUCT(C1502:F1502,COLUMN($A$1:$D$1)-1)+SUMPRODUCT(H1502:K1502,COLUMN($E$1:$H$1)-1))*'Line Follower'!$C$3/SUM(C1502:F1502,H1502:K1502)-'Line Follower'!$C$5)))</f>
        <v>#N/A</v>
      </c>
      <c r="O1502" s="22" t="e">
        <v>#N/A</v>
      </c>
      <c r="P1502" s="4" t="e">
        <f t="shared" si="115"/>
        <v>#N/A</v>
      </c>
      <c r="Q1502" s="4" t="e">
        <f t="shared" si="116"/>
        <v>#N/A</v>
      </c>
      <c r="R1502" s="4" t="e">
        <f>IF(AND(B1502=1,N1502&gt;'Line Follower'!$C$7,SUM(C1502:K1502)&lt;4),1,0)</f>
        <v>#N/A</v>
      </c>
      <c r="S1502" s="4" t="e">
        <f>IF(AND(L1502=1,N1502&lt;'Line Follower'!$C$6,SUM(C1502:K1502)&lt;4),1,0)</f>
        <v>#N/A</v>
      </c>
      <c r="T1502" s="4" t="e">
        <f t="shared" si="117"/>
        <v>#N/A</v>
      </c>
      <c r="U1502" s="5" t="e">
        <f t="shared" si="118"/>
        <v>#N/A</v>
      </c>
      <c r="V1502" s="23" t="e">
        <f t="shared" si="119"/>
        <v>#N/A</v>
      </c>
    </row>
    <row r="1503" spans="2:22" x14ac:dyDescent="0.25">
      <c r="B1503" s="16">
        <v>0</v>
      </c>
      <c r="C1503" s="7">
        <v>0</v>
      </c>
      <c r="D1503" s="8">
        <v>1</v>
      </c>
      <c r="E1503" s="8">
        <v>1</v>
      </c>
      <c r="F1503" s="8">
        <v>1</v>
      </c>
      <c r="G1503" s="8">
        <v>0</v>
      </c>
      <c r="H1503" s="8">
        <v>1</v>
      </c>
      <c r="I1503" s="8">
        <v>1</v>
      </c>
      <c r="J1503" s="8">
        <v>1</v>
      </c>
      <c r="K1503" s="9">
        <v>0</v>
      </c>
      <c r="L1503" s="10">
        <v>1</v>
      </c>
      <c r="M1503" s="6">
        <v>0</v>
      </c>
      <c r="N1503" s="37" t="e" cm="1">
        <f t="array" ref="N1503">IF(OR(ISNUMBER(FIND(Aux!$D$3:$D$9,_xlfn.TEXTJOIN(,,C1503:K1503)))),NA(),IF(AND(SUM(C1503:F1503,H1503:K1503)=0,G1503=1),0,INT((SUMPRODUCT(C1503:F1503,COLUMN($A$1:$D$1)-1)+SUMPRODUCT(H1503:K1503,COLUMN($E$1:$H$1)-1))*'Line Follower'!$C$3/SUM(C1503:F1503,H1503:K1503)-'Line Follower'!$C$5)))</f>
        <v>#N/A</v>
      </c>
      <c r="O1503" s="22" t="e">
        <v>#N/A</v>
      </c>
      <c r="P1503" s="4" t="e">
        <f t="shared" si="115"/>
        <v>#N/A</v>
      </c>
      <c r="Q1503" s="4" t="e">
        <f t="shared" si="116"/>
        <v>#N/A</v>
      </c>
      <c r="R1503" s="4" t="e">
        <f>IF(AND(B1503=1,N1503&gt;'Line Follower'!$C$7,SUM(C1503:K1503)&lt;4),1,0)</f>
        <v>#N/A</v>
      </c>
      <c r="S1503" s="4" t="e">
        <f>IF(AND(L1503=1,N1503&lt;'Line Follower'!$C$6,SUM(C1503:K1503)&lt;4),1,0)</f>
        <v>#N/A</v>
      </c>
      <c r="T1503" s="4" t="e">
        <f t="shared" si="117"/>
        <v>#N/A</v>
      </c>
      <c r="U1503" s="5" t="e">
        <f t="shared" si="118"/>
        <v>#N/A</v>
      </c>
      <c r="V1503" s="23" t="e">
        <f t="shared" si="119"/>
        <v>#N/A</v>
      </c>
    </row>
    <row r="1504" spans="2:22" x14ac:dyDescent="0.25">
      <c r="B1504" s="16">
        <v>1</v>
      </c>
      <c r="C1504" s="7">
        <v>0</v>
      </c>
      <c r="D1504" s="8">
        <v>1</v>
      </c>
      <c r="E1504" s="8">
        <v>1</v>
      </c>
      <c r="F1504" s="8">
        <v>1</v>
      </c>
      <c r="G1504" s="8">
        <v>0</v>
      </c>
      <c r="H1504" s="8">
        <v>1</v>
      </c>
      <c r="I1504" s="8">
        <v>1</v>
      </c>
      <c r="J1504" s="8">
        <v>1</v>
      </c>
      <c r="K1504" s="9">
        <v>0</v>
      </c>
      <c r="L1504" s="10">
        <v>1</v>
      </c>
      <c r="M1504" s="6">
        <v>0</v>
      </c>
      <c r="N1504" s="37" t="e" cm="1">
        <f t="array" ref="N1504">IF(OR(ISNUMBER(FIND(Aux!$D$3:$D$9,_xlfn.TEXTJOIN(,,C1504:K1504)))),NA(),IF(AND(SUM(C1504:F1504,H1504:K1504)=0,G1504=1),0,INT((SUMPRODUCT(C1504:F1504,COLUMN($A$1:$D$1)-1)+SUMPRODUCT(H1504:K1504,COLUMN($E$1:$H$1)-1))*'Line Follower'!$C$3/SUM(C1504:F1504,H1504:K1504)-'Line Follower'!$C$5)))</f>
        <v>#N/A</v>
      </c>
      <c r="O1504" s="22" t="e">
        <v>#N/A</v>
      </c>
      <c r="P1504" s="4" t="e">
        <f t="shared" si="115"/>
        <v>#N/A</v>
      </c>
      <c r="Q1504" s="4" t="e">
        <f t="shared" si="116"/>
        <v>#N/A</v>
      </c>
      <c r="R1504" s="4" t="e">
        <f>IF(AND(B1504=1,N1504&gt;'Line Follower'!$C$7,SUM(C1504:K1504)&lt;4),1,0)</f>
        <v>#N/A</v>
      </c>
      <c r="S1504" s="4" t="e">
        <f>IF(AND(L1504=1,N1504&lt;'Line Follower'!$C$6,SUM(C1504:K1504)&lt;4),1,0)</f>
        <v>#N/A</v>
      </c>
      <c r="T1504" s="4" t="e">
        <f t="shared" si="117"/>
        <v>#N/A</v>
      </c>
      <c r="U1504" s="5" t="e">
        <f t="shared" si="118"/>
        <v>#N/A</v>
      </c>
      <c r="V1504" s="23" t="e">
        <f t="shared" si="119"/>
        <v>#N/A</v>
      </c>
    </row>
    <row r="1505" spans="2:22" x14ac:dyDescent="0.25">
      <c r="B1505" s="16">
        <v>0</v>
      </c>
      <c r="C1505" s="7">
        <v>1</v>
      </c>
      <c r="D1505" s="8">
        <v>1</v>
      </c>
      <c r="E1505" s="8">
        <v>1</v>
      </c>
      <c r="F1505" s="8">
        <v>1</v>
      </c>
      <c r="G1505" s="8">
        <v>0</v>
      </c>
      <c r="H1505" s="8">
        <v>1</v>
      </c>
      <c r="I1505" s="8">
        <v>1</v>
      </c>
      <c r="J1505" s="8">
        <v>1</v>
      </c>
      <c r="K1505" s="9">
        <v>0</v>
      </c>
      <c r="L1505" s="10">
        <v>1</v>
      </c>
      <c r="M1505" s="6">
        <v>0</v>
      </c>
      <c r="N1505" s="37" t="e" cm="1">
        <f t="array" ref="N1505">IF(OR(ISNUMBER(FIND(Aux!$D$3:$D$9,_xlfn.TEXTJOIN(,,C1505:K1505)))),NA(),IF(AND(SUM(C1505:F1505,H1505:K1505)=0,G1505=1),0,INT((SUMPRODUCT(C1505:F1505,COLUMN($A$1:$D$1)-1)+SUMPRODUCT(H1505:K1505,COLUMN($E$1:$H$1)-1))*'Line Follower'!$C$3/SUM(C1505:F1505,H1505:K1505)-'Line Follower'!$C$5)))</f>
        <v>#N/A</v>
      </c>
      <c r="O1505" s="22" t="e">
        <v>#N/A</v>
      </c>
      <c r="P1505" s="4" t="e">
        <f t="shared" si="115"/>
        <v>#N/A</v>
      </c>
      <c r="Q1505" s="4" t="e">
        <f t="shared" si="116"/>
        <v>#N/A</v>
      </c>
      <c r="R1505" s="4" t="e">
        <f>IF(AND(B1505=1,N1505&gt;'Line Follower'!$C$7,SUM(C1505:K1505)&lt;4),1,0)</f>
        <v>#N/A</v>
      </c>
      <c r="S1505" s="4" t="e">
        <f>IF(AND(L1505=1,N1505&lt;'Line Follower'!$C$6,SUM(C1505:K1505)&lt;4),1,0)</f>
        <v>#N/A</v>
      </c>
      <c r="T1505" s="4" t="e">
        <f t="shared" si="117"/>
        <v>#N/A</v>
      </c>
      <c r="U1505" s="5" t="e">
        <f t="shared" si="118"/>
        <v>#N/A</v>
      </c>
      <c r="V1505" s="23" t="e">
        <f t="shared" si="119"/>
        <v>#N/A</v>
      </c>
    </row>
    <row r="1506" spans="2:22" x14ac:dyDescent="0.25">
      <c r="B1506" s="16">
        <v>1</v>
      </c>
      <c r="C1506" s="7">
        <v>1</v>
      </c>
      <c r="D1506" s="8">
        <v>1</v>
      </c>
      <c r="E1506" s="8">
        <v>1</v>
      </c>
      <c r="F1506" s="8">
        <v>1</v>
      </c>
      <c r="G1506" s="8">
        <v>0</v>
      </c>
      <c r="H1506" s="8">
        <v>1</v>
      </c>
      <c r="I1506" s="8">
        <v>1</v>
      </c>
      <c r="J1506" s="8">
        <v>1</v>
      </c>
      <c r="K1506" s="9">
        <v>0</v>
      </c>
      <c r="L1506" s="10">
        <v>1</v>
      </c>
      <c r="M1506" s="6">
        <v>0</v>
      </c>
      <c r="N1506" s="37" t="e" cm="1">
        <f t="array" ref="N1506">IF(OR(ISNUMBER(FIND(Aux!$D$3:$D$9,_xlfn.TEXTJOIN(,,C1506:K1506)))),NA(),IF(AND(SUM(C1506:F1506,H1506:K1506)=0,G1506=1),0,INT((SUMPRODUCT(C1506:F1506,COLUMN($A$1:$D$1)-1)+SUMPRODUCT(H1506:K1506,COLUMN($E$1:$H$1)-1))*'Line Follower'!$C$3/SUM(C1506:F1506,H1506:K1506)-'Line Follower'!$C$5)))</f>
        <v>#N/A</v>
      </c>
      <c r="O1506" s="22" t="e">
        <v>#N/A</v>
      </c>
      <c r="P1506" s="4" t="e">
        <f t="shared" si="115"/>
        <v>#N/A</v>
      </c>
      <c r="Q1506" s="4" t="e">
        <f t="shared" si="116"/>
        <v>#N/A</v>
      </c>
      <c r="R1506" s="4" t="e">
        <f>IF(AND(B1506=1,N1506&gt;'Line Follower'!$C$7,SUM(C1506:K1506)&lt;4),1,0)</f>
        <v>#N/A</v>
      </c>
      <c r="S1506" s="4" t="e">
        <f>IF(AND(L1506=1,N1506&lt;'Line Follower'!$C$6,SUM(C1506:K1506)&lt;4),1,0)</f>
        <v>#N/A</v>
      </c>
      <c r="T1506" s="4" t="e">
        <f t="shared" si="117"/>
        <v>#N/A</v>
      </c>
      <c r="U1506" s="5" t="e">
        <f t="shared" si="118"/>
        <v>#N/A</v>
      </c>
      <c r="V1506" s="23" t="e">
        <f t="shared" si="119"/>
        <v>#N/A</v>
      </c>
    </row>
    <row r="1507" spans="2:22" x14ac:dyDescent="0.25">
      <c r="B1507" s="16">
        <v>0</v>
      </c>
      <c r="C1507" s="7">
        <v>0</v>
      </c>
      <c r="D1507" s="8">
        <v>0</v>
      </c>
      <c r="E1507" s="8">
        <v>0</v>
      </c>
      <c r="F1507" s="8">
        <v>0</v>
      </c>
      <c r="G1507" s="8">
        <v>1</v>
      </c>
      <c r="H1507" s="8">
        <v>1</v>
      </c>
      <c r="I1507" s="8">
        <v>1</v>
      </c>
      <c r="J1507" s="8">
        <v>1</v>
      </c>
      <c r="K1507" s="9">
        <v>0</v>
      </c>
      <c r="L1507" s="10">
        <v>1</v>
      </c>
      <c r="M1507" s="6">
        <v>0</v>
      </c>
      <c r="N1507" s="37" cm="1">
        <f t="array" ref="N1507">IF(OR(ISNUMBER(FIND(Aux!$D$3:$D$9,_xlfn.TEXTJOIN(,,C1507:K1507)))),NA(),IF(AND(SUM(C1507:F1507,H1507:K1507)=0,G1507=1),0,INT((SUMPRODUCT(C1507:F1507,COLUMN($A$1:$D$1)-1)+SUMPRODUCT(H1507:K1507,COLUMN($E$1:$H$1)-1))*'Line Follower'!$C$3/SUM(C1507:F1507,H1507:K1507)-'Line Follower'!$C$5)))</f>
        <v>3</v>
      </c>
      <c r="O1507" s="22">
        <v>1</v>
      </c>
      <c r="P1507" s="4">
        <f t="shared" si="115"/>
        <v>0</v>
      </c>
      <c r="Q1507" s="4">
        <f t="shared" si="116"/>
        <v>1</v>
      </c>
      <c r="R1507" s="4">
        <f>IF(AND(B1507=1,N1507&gt;'Line Follower'!$C$7,SUM(C1507:K1507)&lt;4),1,0)</f>
        <v>0</v>
      </c>
      <c r="S1507" s="4">
        <f>IF(AND(L1507=1,N1507&lt;'Line Follower'!$C$6,SUM(C1507:K1507)&lt;4),1,0)</f>
        <v>0</v>
      </c>
      <c r="T1507" s="4">
        <f t="shared" si="117"/>
        <v>0</v>
      </c>
      <c r="U1507" s="5">
        <f t="shared" si="118"/>
        <v>0</v>
      </c>
      <c r="V1507" s="23">
        <f t="shared" si="119"/>
        <v>0</v>
      </c>
    </row>
    <row r="1508" spans="2:22" x14ac:dyDescent="0.25">
      <c r="B1508" s="16">
        <v>1</v>
      </c>
      <c r="C1508" s="7">
        <v>0</v>
      </c>
      <c r="D1508" s="8">
        <v>0</v>
      </c>
      <c r="E1508" s="8">
        <v>0</v>
      </c>
      <c r="F1508" s="8">
        <v>0</v>
      </c>
      <c r="G1508" s="8">
        <v>1</v>
      </c>
      <c r="H1508" s="8">
        <v>1</v>
      </c>
      <c r="I1508" s="8">
        <v>1</v>
      </c>
      <c r="J1508" s="8">
        <v>1</v>
      </c>
      <c r="K1508" s="9">
        <v>0</v>
      </c>
      <c r="L1508" s="10">
        <v>1</v>
      </c>
      <c r="M1508" s="6">
        <v>0</v>
      </c>
      <c r="N1508" s="37" cm="1">
        <f t="array" ref="N1508">IF(OR(ISNUMBER(FIND(Aux!$D$3:$D$9,_xlfn.TEXTJOIN(,,C1508:K1508)))),NA(),IF(AND(SUM(C1508:F1508,H1508:K1508)=0,G1508=1),0,INT((SUMPRODUCT(C1508:F1508,COLUMN($A$1:$D$1)-1)+SUMPRODUCT(H1508:K1508,COLUMN($E$1:$H$1)-1))*'Line Follower'!$C$3/SUM(C1508:F1508,H1508:K1508)-'Line Follower'!$C$5)))</f>
        <v>3</v>
      </c>
      <c r="O1508" s="22">
        <v>1</v>
      </c>
      <c r="P1508" s="4">
        <f t="shared" si="115"/>
        <v>0</v>
      </c>
      <c r="Q1508" s="4">
        <f t="shared" si="116"/>
        <v>1</v>
      </c>
      <c r="R1508" s="4">
        <f>IF(AND(B1508=1,N1508&gt;'Line Follower'!$C$7,SUM(C1508:K1508)&lt;4),1,0)</f>
        <v>0</v>
      </c>
      <c r="S1508" s="4">
        <f>IF(AND(L1508=1,N1508&lt;'Line Follower'!$C$6,SUM(C1508:K1508)&lt;4),1,0)</f>
        <v>0</v>
      </c>
      <c r="T1508" s="4">
        <f t="shared" si="117"/>
        <v>0</v>
      </c>
      <c r="U1508" s="5">
        <f t="shared" si="118"/>
        <v>0</v>
      </c>
      <c r="V1508" s="23">
        <f t="shared" si="119"/>
        <v>0</v>
      </c>
    </row>
    <row r="1509" spans="2:22" x14ac:dyDescent="0.25">
      <c r="B1509" s="16">
        <v>0</v>
      </c>
      <c r="C1509" s="7">
        <v>1</v>
      </c>
      <c r="D1509" s="8">
        <v>0</v>
      </c>
      <c r="E1509" s="8">
        <v>0</v>
      </c>
      <c r="F1509" s="8">
        <v>0</v>
      </c>
      <c r="G1509" s="8">
        <v>1</v>
      </c>
      <c r="H1509" s="8">
        <v>1</v>
      </c>
      <c r="I1509" s="8">
        <v>1</v>
      </c>
      <c r="J1509" s="8">
        <v>1</v>
      </c>
      <c r="K1509" s="9">
        <v>0</v>
      </c>
      <c r="L1509" s="10">
        <v>1</v>
      </c>
      <c r="M1509" s="6">
        <v>0</v>
      </c>
      <c r="N1509" s="37" t="e" cm="1">
        <f t="array" ref="N1509">IF(OR(ISNUMBER(FIND(Aux!$D$3:$D$9,_xlfn.TEXTJOIN(,,C1509:K1509)))),NA(),IF(AND(SUM(C1509:F1509,H1509:K1509)=0,G1509=1),0,INT((SUMPRODUCT(C1509:F1509,COLUMN($A$1:$D$1)-1)+SUMPRODUCT(H1509:K1509,COLUMN($E$1:$H$1)-1))*'Line Follower'!$C$3/SUM(C1509:F1509,H1509:K1509)-'Line Follower'!$C$5)))</f>
        <v>#N/A</v>
      </c>
      <c r="O1509" s="22" t="e">
        <v>#N/A</v>
      </c>
      <c r="P1509" s="4" t="e">
        <f t="shared" si="115"/>
        <v>#N/A</v>
      </c>
      <c r="Q1509" s="4" t="e">
        <f t="shared" si="116"/>
        <v>#N/A</v>
      </c>
      <c r="R1509" s="4" t="e">
        <f>IF(AND(B1509=1,N1509&gt;'Line Follower'!$C$7,SUM(C1509:K1509)&lt;4),1,0)</f>
        <v>#N/A</v>
      </c>
      <c r="S1509" s="4" t="e">
        <f>IF(AND(L1509=1,N1509&lt;'Line Follower'!$C$6,SUM(C1509:K1509)&lt;4),1,0)</f>
        <v>#N/A</v>
      </c>
      <c r="T1509" s="4" t="e">
        <f t="shared" si="117"/>
        <v>#N/A</v>
      </c>
      <c r="U1509" s="5" t="e">
        <f t="shared" si="118"/>
        <v>#N/A</v>
      </c>
      <c r="V1509" s="23" t="e">
        <f t="shared" si="119"/>
        <v>#N/A</v>
      </c>
    </row>
    <row r="1510" spans="2:22" x14ac:dyDescent="0.25">
      <c r="B1510" s="16">
        <v>1</v>
      </c>
      <c r="C1510" s="7">
        <v>1</v>
      </c>
      <c r="D1510" s="8">
        <v>0</v>
      </c>
      <c r="E1510" s="8">
        <v>0</v>
      </c>
      <c r="F1510" s="8">
        <v>0</v>
      </c>
      <c r="G1510" s="8">
        <v>1</v>
      </c>
      <c r="H1510" s="8">
        <v>1</v>
      </c>
      <c r="I1510" s="8">
        <v>1</v>
      </c>
      <c r="J1510" s="8">
        <v>1</v>
      </c>
      <c r="K1510" s="9">
        <v>0</v>
      </c>
      <c r="L1510" s="10">
        <v>1</v>
      </c>
      <c r="M1510" s="6">
        <v>0</v>
      </c>
      <c r="N1510" s="37" t="e" cm="1">
        <f t="array" ref="N1510">IF(OR(ISNUMBER(FIND(Aux!$D$3:$D$9,_xlfn.TEXTJOIN(,,C1510:K1510)))),NA(),IF(AND(SUM(C1510:F1510,H1510:K1510)=0,G1510=1),0,INT((SUMPRODUCT(C1510:F1510,COLUMN($A$1:$D$1)-1)+SUMPRODUCT(H1510:K1510,COLUMN($E$1:$H$1)-1))*'Line Follower'!$C$3/SUM(C1510:F1510,H1510:K1510)-'Line Follower'!$C$5)))</f>
        <v>#N/A</v>
      </c>
      <c r="O1510" s="22" t="e">
        <v>#N/A</v>
      </c>
      <c r="P1510" s="4" t="e">
        <f t="shared" si="115"/>
        <v>#N/A</v>
      </c>
      <c r="Q1510" s="4" t="e">
        <f t="shared" si="116"/>
        <v>#N/A</v>
      </c>
      <c r="R1510" s="4" t="e">
        <f>IF(AND(B1510=1,N1510&gt;'Line Follower'!$C$7,SUM(C1510:K1510)&lt;4),1,0)</f>
        <v>#N/A</v>
      </c>
      <c r="S1510" s="4" t="e">
        <f>IF(AND(L1510=1,N1510&lt;'Line Follower'!$C$6,SUM(C1510:K1510)&lt;4),1,0)</f>
        <v>#N/A</v>
      </c>
      <c r="T1510" s="4" t="e">
        <f t="shared" si="117"/>
        <v>#N/A</v>
      </c>
      <c r="U1510" s="5" t="e">
        <f t="shared" si="118"/>
        <v>#N/A</v>
      </c>
      <c r="V1510" s="23" t="e">
        <f t="shared" si="119"/>
        <v>#N/A</v>
      </c>
    </row>
    <row r="1511" spans="2:22" x14ac:dyDescent="0.25">
      <c r="B1511" s="16">
        <v>0</v>
      </c>
      <c r="C1511" s="7">
        <v>0</v>
      </c>
      <c r="D1511" s="8">
        <v>1</v>
      </c>
      <c r="E1511" s="8">
        <v>0</v>
      </c>
      <c r="F1511" s="8">
        <v>0</v>
      </c>
      <c r="G1511" s="8">
        <v>1</v>
      </c>
      <c r="H1511" s="8">
        <v>1</v>
      </c>
      <c r="I1511" s="8">
        <v>1</v>
      </c>
      <c r="J1511" s="8">
        <v>1</v>
      </c>
      <c r="K1511" s="9">
        <v>0</v>
      </c>
      <c r="L1511" s="10">
        <v>1</v>
      </c>
      <c r="M1511" s="6">
        <v>0</v>
      </c>
      <c r="N1511" s="37" t="e" cm="1">
        <f t="array" ref="N1511">IF(OR(ISNUMBER(FIND(Aux!$D$3:$D$9,_xlfn.TEXTJOIN(,,C1511:K1511)))),NA(),IF(AND(SUM(C1511:F1511,H1511:K1511)=0,G1511=1),0,INT((SUMPRODUCT(C1511:F1511,COLUMN($A$1:$D$1)-1)+SUMPRODUCT(H1511:K1511,COLUMN($E$1:$H$1)-1))*'Line Follower'!$C$3/SUM(C1511:F1511,H1511:K1511)-'Line Follower'!$C$5)))</f>
        <v>#N/A</v>
      </c>
      <c r="O1511" s="22" t="e">
        <v>#N/A</v>
      </c>
      <c r="P1511" s="4" t="e">
        <f t="shared" si="115"/>
        <v>#N/A</v>
      </c>
      <c r="Q1511" s="4" t="e">
        <f t="shared" si="116"/>
        <v>#N/A</v>
      </c>
      <c r="R1511" s="4" t="e">
        <f>IF(AND(B1511=1,N1511&gt;'Line Follower'!$C$7,SUM(C1511:K1511)&lt;4),1,0)</f>
        <v>#N/A</v>
      </c>
      <c r="S1511" s="4" t="e">
        <f>IF(AND(L1511=1,N1511&lt;'Line Follower'!$C$6,SUM(C1511:K1511)&lt;4),1,0)</f>
        <v>#N/A</v>
      </c>
      <c r="T1511" s="4" t="e">
        <f t="shared" si="117"/>
        <v>#N/A</v>
      </c>
      <c r="U1511" s="5" t="e">
        <f t="shared" si="118"/>
        <v>#N/A</v>
      </c>
      <c r="V1511" s="23" t="e">
        <f t="shared" si="119"/>
        <v>#N/A</v>
      </c>
    </row>
    <row r="1512" spans="2:22" x14ac:dyDescent="0.25">
      <c r="B1512" s="16">
        <v>1</v>
      </c>
      <c r="C1512" s="7">
        <v>0</v>
      </c>
      <c r="D1512" s="8">
        <v>1</v>
      </c>
      <c r="E1512" s="8">
        <v>0</v>
      </c>
      <c r="F1512" s="8">
        <v>0</v>
      </c>
      <c r="G1512" s="8">
        <v>1</v>
      </c>
      <c r="H1512" s="8">
        <v>1</v>
      </c>
      <c r="I1512" s="8">
        <v>1</v>
      </c>
      <c r="J1512" s="8">
        <v>1</v>
      </c>
      <c r="K1512" s="9">
        <v>0</v>
      </c>
      <c r="L1512" s="10">
        <v>1</v>
      </c>
      <c r="M1512" s="6">
        <v>0</v>
      </c>
      <c r="N1512" s="37" t="e" cm="1">
        <f t="array" ref="N1512">IF(OR(ISNUMBER(FIND(Aux!$D$3:$D$9,_xlfn.TEXTJOIN(,,C1512:K1512)))),NA(),IF(AND(SUM(C1512:F1512,H1512:K1512)=0,G1512=1),0,INT((SUMPRODUCT(C1512:F1512,COLUMN($A$1:$D$1)-1)+SUMPRODUCT(H1512:K1512,COLUMN($E$1:$H$1)-1))*'Line Follower'!$C$3/SUM(C1512:F1512,H1512:K1512)-'Line Follower'!$C$5)))</f>
        <v>#N/A</v>
      </c>
      <c r="O1512" s="22" t="e">
        <v>#N/A</v>
      </c>
      <c r="P1512" s="4" t="e">
        <f t="shared" si="115"/>
        <v>#N/A</v>
      </c>
      <c r="Q1512" s="4" t="e">
        <f t="shared" si="116"/>
        <v>#N/A</v>
      </c>
      <c r="R1512" s="4" t="e">
        <f>IF(AND(B1512=1,N1512&gt;'Line Follower'!$C$7,SUM(C1512:K1512)&lt;4),1,0)</f>
        <v>#N/A</v>
      </c>
      <c r="S1512" s="4" t="e">
        <f>IF(AND(L1512=1,N1512&lt;'Line Follower'!$C$6,SUM(C1512:K1512)&lt;4),1,0)</f>
        <v>#N/A</v>
      </c>
      <c r="T1512" s="4" t="e">
        <f t="shared" si="117"/>
        <v>#N/A</v>
      </c>
      <c r="U1512" s="5" t="e">
        <f t="shared" si="118"/>
        <v>#N/A</v>
      </c>
      <c r="V1512" s="23" t="e">
        <f t="shared" si="119"/>
        <v>#N/A</v>
      </c>
    </row>
    <row r="1513" spans="2:22" x14ac:dyDescent="0.25">
      <c r="B1513" s="16">
        <v>0</v>
      </c>
      <c r="C1513" s="7">
        <v>1</v>
      </c>
      <c r="D1513" s="8">
        <v>1</v>
      </c>
      <c r="E1513" s="8">
        <v>0</v>
      </c>
      <c r="F1513" s="8">
        <v>0</v>
      </c>
      <c r="G1513" s="8">
        <v>1</v>
      </c>
      <c r="H1513" s="8">
        <v>1</v>
      </c>
      <c r="I1513" s="8">
        <v>1</v>
      </c>
      <c r="J1513" s="8">
        <v>1</v>
      </c>
      <c r="K1513" s="9">
        <v>0</v>
      </c>
      <c r="L1513" s="10">
        <v>1</v>
      </c>
      <c r="M1513" s="6">
        <v>0</v>
      </c>
      <c r="N1513" s="37" t="e" cm="1">
        <f t="array" ref="N1513">IF(OR(ISNUMBER(FIND(Aux!$D$3:$D$9,_xlfn.TEXTJOIN(,,C1513:K1513)))),NA(),IF(AND(SUM(C1513:F1513,H1513:K1513)=0,G1513=1),0,INT((SUMPRODUCT(C1513:F1513,COLUMN($A$1:$D$1)-1)+SUMPRODUCT(H1513:K1513,COLUMN($E$1:$H$1)-1))*'Line Follower'!$C$3/SUM(C1513:F1513,H1513:K1513)-'Line Follower'!$C$5)))</f>
        <v>#N/A</v>
      </c>
      <c r="O1513" s="22" t="e">
        <v>#N/A</v>
      </c>
      <c r="P1513" s="4" t="e">
        <f t="shared" si="115"/>
        <v>#N/A</v>
      </c>
      <c r="Q1513" s="4" t="e">
        <f t="shared" si="116"/>
        <v>#N/A</v>
      </c>
      <c r="R1513" s="4" t="e">
        <f>IF(AND(B1513=1,N1513&gt;'Line Follower'!$C$7,SUM(C1513:K1513)&lt;4),1,0)</f>
        <v>#N/A</v>
      </c>
      <c r="S1513" s="4" t="e">
        <f>IF(AND(L1513=1,N1513&lt;'Line Follower'!$C$6,SUM(C1513:K1513)&lt;4),1,0)</f>
        <v>#N/A</v>
      </c>
      <c r="T1513" s="4" t="e">
        <f t="shared" si="117"/>
        <v>#N/A</v>
      </c>
      <c r="U1513" s="5" t="e">
        <f t="shared" si="118"/>
        <v>#N/A</v>
      </c>
      <c r="V1513" s="23" t="e">
        <f t="shared" si="119"/>
        <v>#N/A</v>
      </c>
    </row>
    <row r="1514" spans="2:22" x14ac:dyDescent="0.25">
      <c r="B1514" s="16">
        <v>1</v>
      </c>
      <c r="C1514" s="7">
        <v>1</v>
      </c>
      <c r="D1514" s="8">
        <v>1</v>
      </c>
      <c r="E1514" s="8">
        <v>0</v>
      </c>
      <c r="F1514" s="8">
        <v>0</v>
      </c>
      <c r="G1514" s="8">
        <v>1</v>
      </c>
      <c r="H1514" s="8">
        <v>1</v>
      </c>
      <c r="I1514" s="8">
        <v>1</v>
      </c>
      <c r="J1514" s="8">
        <v>1</v>
      </c>
      <c r="K1514" s="9">
        <v>0</v>
      </c>
      <c r="L1514" s="10">
        <v>1</v>
      </c>
      <c r="M1514" s="6">
        <v>0</v>
      </c>
      <c r="N1514" s="37" t="e" cm="1">
        <f t="array" ref="N1514">IF(OR(ISNUMBER(FIND(Aux!$D$3:$D$9,_xlfn.TEXTJOIN(,,C1514:K1514)))),NA(),IF(AND(SUM(C1514:F1514,H1514:K1514)=0,G1514=1),0,INT((SUMPRODUCT(C1514:F1514,COLUMN($A$1:$D$1)-1)+SUMPRODUCT(H1514:K1514,COLUMN($E$1:$H$1)-1))*'Line Follower'!$C$3/SUM(C1514:F1514,H1514:K1514)-'Line Follower'!$C$5)))</f>
        <v>#N/A</v>
      </c>
      <c r="O1514" s="22" t="e">
        <v>#N/A</v>
      </c>
      <c r="P1514" s="4" t="e">
        <f t="shared" si="115"/>
        <v>#N/A</v>
      </c>
      <c r="Q1514" s="4" t="e">
        <f t="shared" si="116"/>
        <v>#N/A</v>
      </c>
      <c r="R1514" s="4" t="e">
        <f>IF(AND(B1514=1,N1514&gt;'Line Follower'!$C$7,SUM(C1514:K1514)&lt;4),1,0)</f>
        <v>#N/A</v>
      </c>
      <c r="S1514" s="4" t="e">
        <f>IF(AND(L1514=1,N1514&lt;'Line Follower'!$C$6,SUM(C1514:K1514)&lt;4),1,0)</f>
        <v>#N/A</v>
      </c>
      <c r="T1514" s="4" t="e">
        <f t="shared" si="117"/>
        <v>#N/A</v>
      </c>
      <c r="U1514" s="5" t="e">
        <f t="shared" si="118"/>
        <v>#N/A</v>
      </c>
      <c r="V1514" s="23" t="e">
        <f t="shared" si="119"/>
        <v>#N/A</v>
      </c>
    </row>
    <row r="1515" spans="2:22" x14ac:dyDescent="0.25">
      <c r="B1515" s="16">
        <v>0</v>
      </c>
      <c r="C1515" s="7">
        <v>0</v>
      </c>
      <c r="D1515" s="8">
        <v>0</v>
      </c>
      <c r="E1515" s="8">
        <v>1</v>
      </c>
      <c r="F1515" s="8">
        <v>0</v>
      </c>
      <c r="G1515" s="8">
        <v>1</v>
      </c>
      <c r="H1515" s="8">
        <v>1</v>
      </c>
      <c r="I1515" s="8">
        <v>1</v>
      </c>
      <c r="J1515" s="8">
        <v>1</v>
      </c>
      <c r="K1515" s="9">
        <v>0</v>
      </c>
      <c r="L1515" s="10">
        <v>1</v>
      </c>
      <c r="M1515" s="6">
        <v>0</v>
      </c>
      <c r="N1515" s="37" t="e" cm="1">
        <f t="array" ref="N1515">IF(OR(ISNUMBER(FIND(Aux!$D$3:$D$9,_xlfn.TEXTJOIN(,,C1515:K1515)))),NA(),IF(AND(SUM(C1515:F1515,H1515:K1515)=0,G1515=1),0,INT((SUMPRODUCT(C1515:F1515,COLUMN($A$1:$D$1)-1)+SUMPRODUCT(H1515:K1515,COLUMN($E$1:$H$1)-1))*'Line Follower'!$C$3/SUM(C1515:F1515,H1515:K1515)-'Line Follower'!$C$5)))</f>
        <v>#N/A</v>
      </c>
      <c r="O1515" s="22" t="e">
        <v>#N/A</v>
      </c>
      <c r="P1515" s="4" t="e">
        <f t="shared" si="115"/>
        <v>#N/A</v>
      </c>
      <c r="Q1515" s="4" t="e">
        <f t="shared" si="116"/>
        <v>#N/A</v>
      </c>
      <c r="R1515" s="4" t="e">
        <f>IF(AND(B1515=1,N1515&gt;'Line Follower'!$C$7,SUM(C1515:K1515)&lt;4),1,0)</f>
        <v>#N/A</v>
      </c>
      <c r="S1515" s="4" t="e">
        <f>IF(AND(L1515=1,N1515&lt;'Line Follower'!$C$6,SUM(C1515:K1515)&lt;4),1,0)</f>
        <v>#N/A</v>
      </c>
      <c r="T1515" s="4" t="e">
        <f t="shared" si="117"/>
        <v>#N/A</v>
      </c>
      <c r="U1515" s="5" t="e">
        <f t="shared" si="118"/>
        <v>#N/A</v>
      </c>
      <c r="V1515" s="23" t="e">
        <f t="shared" si="119"/>
        <v>#N/A</v>
      </c>
    </row>
    <row r="1516" spans="2:22" x14ac:dyDescent="0.25">
      <c r="B1516" s="16">
        <v>1</v>
      </c>
      <c r="C1516" s="7">
        <v>0</v>
      </c>
      <c r="D1516" s="8">
        <v>0</v>
      </c>
      <c r="E1516" s="8">
        <v>1</v>
      </c>
      <c r="F1516" s="8">
        <v>0</v>
      </c>
      <c r="G1516" s="8">
        <v>1</v>
      </c>
      <c r="H1516" s="8">
        <v>1</v>
      </c>
      <c r="I1516" s="8">
        <v>1</v>
      </c>
      <c r="J1516" s="8">
        <v>1</v>
      </c>
      <c r="K1516" s="9">
        <v>0</v>
      </c>
      <c r="L1516" s="10">
        <v>1</v>
      </c>
      <c r="M1516" s="6">
        <v>0</v>
      </c>
      <c r="N1516" s="37" t="e" cm="1">
        <f t="array" ref="N1516">IF(OR(ISNUMBER(FIND(Aux!$D$3:$D$9,_xlfn.TEXTJOIN(,,C1516:K1516)))),NA(),IF(AND(SUM(C1516:F1516,H1516:K1516)=0,G1516=1),0,INT((SUMPRODUCT(C1516:F1516,COLUMN($A$1:$D$1)-1)+SUMPRODUCT(H1516:K1516,COLUMN($E$1:$H$1)-1))*'Line Follower'!$C$3/SUM(C1516:F1516,H1516:K1516)-'Line Follower'!$C$5)))</f>
        <v>#N/A</v>
      </c>
      <c r="O1516" s="22" t="e">
        <v>#N/A</v>
      </c>
      <c r="P1516" s="4" t="e">
        <f t="shared" si="115"/>
        <v>#N/A</v>
      </c>
      <c r="Q1516" s="4" t="e">
        <f t="shared" si="116"/>
        <v>#N/A</v>
      </c>
      <c r="R1516" s="4" t="e">
        <f>IF(AND(B1516=1,N1516&gt;'Line Follower'!$C$7,SUM(C1516:K1516)&lt;4),1,0)</f>
        <v>#N/A</v>
      </c>
      <c r="S1516" s="4" t="e">
        <f>IF(AND(L1516=1,N1516&lt;'Line Follower'!$C$6,SUM(C1516:K1516)&lt;4),1,0)</f>
        <v>#N/A</v>
      </c>
      <c r="T1516" s="4" t="e">
        <f t="shared" si="117"/>
        <v>#N/A</v>
      </c>
      <c r="U1516" s="5" t="e">
        <f t="shared" si="118"/>
        <v>#N/A</v>
      </c>
      <c r="V1516" s="23" t="e">
        <f t="shared" si="119"/>
        <v>#N/A</v>
      </c>
    </row>
    <row r="1517" spans="2:22" x14ac:dyDescent="0.25">
      <c r="B1517" s="16">
        <v>0</v>
      </c>
      <c r="C1517" s="7">
        <v>1</v>
      </c>
      <c r="D1517" s="8">
        <v>0</v>
      </c>
      <c r="E1517" s="8">
        <v>1</v>
      </c>
      <c r="F1517" s="8">
        <v>0</v>
      </c>
      <c r="G1517" s="8">
        <v>1</v>
      </c>
      <c r="H1517" s="8">
        <v>1</v>
      </c>
      <c r="I1517" s="8">
        <v>1</v>
      </c>
      <c r="J1517" s="8">
        <v>1</v>
      </c>
      <c r="K1517" s="9">
        <v>0</v>
      </c>
      <c r="L1517" s="10">
        <v>1</v>
      </c>
      <c r="M1517" s="6">
        <v>0</v>
      </c>
      <c r="N1517" s="37" t="e" cm="1">
        <f t="array" ref="N1517">IF(OR(ISNUMBER(FIND(Aux!$D$3:$D$9,_xlfn.TEXTJOIN(,,C1517:K1517)))),NA(),IF(AND(SUM(C1517:F1517,H1517:K1517)=0,G1517=1),0,INT((SUMPRODUCT(C1517:F1517,COLUMN($A$1:$D$1)-1)+SUMPRODUCT(H1517:K1517,COLUMN($E$1:$H$1)-1))*'Line Follower'!$C$3/SUM(C1517:F1517,H1517:K1517)-'Line Follower'!$C$5)))</f>
        <v>#N/A</v>
      </c>
      <c r="O1517" s="22" t="e">
        <v>#N/A</v>
      </c>
      <c r="P1517" s="4" t="e">
        <f t="shared" si="115"/>
        <v>#N/A</v>
      </c>
      <c r="Q1517" s="4" t="e">
        <f t="shared" si="116"/>
        <v>#N/A</v>
      </c>
      <c r="R1517" s="4" t="e">
        <f>IF(AND(B1517=1,N1517&gt;'Line Follower'!$C$7,SUM(C1517:K1517)&lt;4),1,0)</f>
        <v>#N/A</v>
      </c>
      <c r="S1517" s="4" t="e">
        <f>IF(AND(L1517=1,N1517&lt;'Line Follower'!$C$6,SUM(C1517:K1517)&lt;4),1,0)</f>
        <v>#N/A</v>
      </c>
      <c r="T1517" s="4" t="e">
        <f t="shared" si="117"/>
        <v>#N/A</v>
      </c>
      <c r="U1517" s="5" t="e">
        <f t="shared" si="118"/>
        <v>#N/A</v>
      </c>
      <c r="V1517" s="23" t="e">
        <f t="shared" si="119"/>
        <v>#N/A</v>
      </c>
    </row>
    <row r="1518" spans="2:22" x14ac:dyDescent="0.25">
      <c r="B1518" s="16">
        <v>1</v>
      </c>
      <c r="C1518" s="7">
        <v>1</v>
      </c>
      <c r="D1518" s="8">
        <v>0</v>
      </c>
      <c r="E1518" s="8">
        <v>1</v>
      </c>
      <c r="F1518" s="8">
        <v>0</v>
      </c>
      <c r="G1518" s="8">
        <v>1</v>
      </c>
      <c r="H1518" s="8">
        <v>1</v>
      </c>
      <c r="I1518" s="8">
        <v>1</v>
      </c>
      <c r="J1518" s="8">
        <v>1</v>
      </c>
      <c r="K1518" s="9">
        <v>0</v>
      </c>
      <c r="L1518" s="10">
        <v>1</v>
      </c>
      <c r="M1518" s="6">
        <v>0</v>
      </c>
      <c r="N1518" s="37" t="e" cm="1">
        <f t="array" ref="N1518">IF(OR(ISNUMBER(FIND(Aux!$D$3:$D$9,_xlfn.TEXTJOIN(,,C1518:K1518)))),NA(),IF(AND(SUM(C1518:F1518,H1518:K1518)=0,G1518=1),0,INT((SUMPRODUCT(C1518:F1518,COLUMN($A$1:$D$1)-1)+SUMPRODUCT(H1518:K1518,COLUMN($E$1:$H$1)-1))*'Line Follower'!$C$3/SUM(C1518:F1518,H1518:K1518)-'Line Follower'!$C$5)))</f>
        <v>#N/A</v>
      </c>
      <c r="O1518" s="22" t="e">
        <v>#N/A</v>
      </c>
      <c r="P1518" s="4" t="e">
        <f t="shared" si="115"/>
        <v>#N/A</v>
      </c>
      <c r="Q1518" s="4" t="e">
        <f t="shared" si="116"/>
        <v>#N/A</v>
      </c>
      <c r="R1518" s="4" t="e">
        <f>IF(AND(B1518=1,N1518&gt;'Line Follower'!$C$7,SUM(C1518:K1518)&lt;4),1,0)</f>
        <v>#N/A</v>
      </c>
      <c r="S1518" s="4" t="e">
        <f>IF(AND(L1518=1,N1518&lt;'Line Follower'!$C$6,SUM(C1518:K1518)&lt;4),1,0)</f>
        <v>#N/A</v>
      </c>
      <c r="T1518" s="4" t="e">
        <f t="shared" si="117"/>
        <v>#N/A</v>
      </c>
      <c r="U1518" s="5" t="e">
        <f t="shared" si="118"/>
        <v>#N/A</v>
      </c>
      <c r="V1518" s="23" t="e">
        <f t="shared" si="119"/>
        <v>#N/A</v>
      </c>
    </row>
    <row r="1519" spans="2:22" x14ac:dyDescent="0.25">
      <c r="B1519" s="16">
        <v>0</v>
      </c>
      <c r="C1519" s="7">
        <v>0</v>
      </c>
      <c r="D1519" s="8">
        <v>1</v>
      </c>
      <c r="E1519" s="8">
        <v>1</v>
      </c>
      <c r="F1519" s="8">
        <v>0</v>
      </c>
      <c r="G1519" s="8">
        <v>1</v>
      </c>
      <c r="H1519" s="8">
        <v>1</v>
      </c>
      <c r="I1519" s="8">
        <v>1</v>
      </c>
      <c r="J1519" s="8">
        <v>1</v>
      </c>
      <c r="K1519" s="9">
        <v>0</v>
      </c>
      <c r="L1519" s="10">
        <v>1</v>
      </c>
      <c r="M1519" s="6">
        <v>0</v>
      </c>
      <c r="N1519" s="37" t="e" cm="1">
        <f t="array" ref="N1519">IF(OR(ISNUMBER(FIND(Aux!$D$3:$D$9,_xlfn.TEXTJOIN(,,C1519:K1519)))),NA(),IF(AND(SUM(C1519:F1519,H1519:K1519)=0,G1519=1),0,INT((SUMPRODUCT(C1519:F1519,COLUMN($A$1:$D$1)-1)+SUMPRODUCT(H1519:K1519,COLUMN($E$1:$H$1)-1))*'Line Follower'!$C$3/SUM(C1519:F1519,H1519:K1519)-'Line Follower'!$C$5)))</f>
        <v>#N/A</v>
      </c>
      <c r="O1519" s="22" t="e">
        <v>#N/A</v>
      </c>
      <c r="P1519" s="4" t="e">
        <f t="shared" si="115"/>
        <v>#N/A</v>
      </c>
      <c r="Q1519" s="4" t="e">
        <f t="shared" si="116"/>
        <v>#N/A</v>
      </c>
      <c r="R1519" s="4" t="e">
        <f>IF(AND(B1519=1,N1519&gt;'Line Follower'!$C$7,SUM(C1519:K1519)&lt;4),1,0)</f>
        <v>#N/A</v>
      </c>
      <c r="S1519" s="4" t="e">
        <f>IF(AND(L1519=1,N1519&lt;'Line Follower'!$C$6,SUM(C1519:K1519)&lt;4),1,0)</f>
        <v>#N/A</v>
      </c>
      <c r="T1519" s="4" t="e">
        <f t="shared" si="117"/>
        <v>#N/A</v>
      </c>
      <c r="U1519" s="5" t="e">
        <f t="shared" si="118"/>
        <v>#N/A</v>
      </c>
      <c r="V1519" s="23" t="e">
        <f t="shared" si="119"/>
        <v>#N/A</v>
      </c>
    </row>
    <row r="1520" spans="2:22" x14ac:dyDescent="0.25">
      <c r="B1520" s="16">
        <v>1</v>
      </c>
      <c r="C1520" s="7">
        <v>0</v>
      </c>
      <c r="D1520" s="8">
        <v>1</v>
      </c>
      <c r="E1520" s="8">
        <v>1</v>
      </c>
      <c r="F1520" s="8">
        <v>0</v>
      </c>
      <c r="G1520" s="8">
        <v>1</v>
      </c>
      <c r="H1520" s="8">
        <v>1</v>
      </c>
      <c r="I1520" s="8">
        <v>1</v>
      </c>
      <c r="J1520" s="8">
        <v>1</v>
      </c>
      <c r="K1520" s="9">
        <v>0</v>
      </c>
      <c r="L1520" s="10">
        <v>1</v>
      </c>
      <c r="M1520" s="6">
        <v>0</v>
      </c>
      <c r="N1520" s="37" t="e" cm="1">
        <f t="array" ref="N1520">IF(OR(ISNUMBER(FIND(Aux!$D$3:$D$9,_xlfn.TEXTJOIN(,,C1520:K1520)))),NA(),IF(AND(SUM(C1520:F1520,H1520:K1520)=0,G1520=1),0,INT((SUMPRODUCT(C1520:F1520,COLUMN($A$1:$D$1)-1)+SUMPRODUCT(H1520:K1520,COLUMN($E$1:$H$1)-1))*'Line Follower'!$C$3/SUM(C1520:F1520,H1520:K1520)-'Line Follower'!$C$5)))</f>
        <v>#N/A</v>
      </c>
      <c r="O1520" s="22" t="e">
        <v>#N/A</v>
      </c>
      <c r="P1520" s="4" t="e">
        <f t="shared" si="115"/>
        <v>#N/A</v>
      </c>
      <c r="Q1520" s="4" t="e">
        <f t="shared" si="116"/>
        <v>#N/A</v>
      </c>
      <c r="R1520" s="4" t="e">
        <f>IF(AND(B1520=1,N1520&gt;'Line Follower'!$C$7,SUM(C1520:K1520)&lt;4),1,0)</f>
        <v>#N/A</v>
      </c>
      <c r="S1520" s="4" t="e">
        <f>IF(AND(L1520=1,N1520&lt;'Line Follower'!$C$6,SUM(C1520:K1520)&lt;4),1,0)</f>
        <v>#N/A</v>
      </c>
      <c r="T1520" s="4" t="e">
        <f t="shared" si="117"/>
        <v>#N/A</v>
      </c>
      <c r="U1520" s="5" t="e">
        <f t="shared" si="118"/>
        <v>#N/A</v>
      </c>
      <c r="V1520" s="23" t="e">
        <f t="shared" si="119"/>
        <v>#N/A</v>
      </c>
    </row>
    <row r="1521" spans="2:22" x14ac:dyDescent="0.25">
      <c r="B1521" s="16">
        <v>0</v>
      </c>
      <c r="C1521" s="7">
        <v>1</v>
      </c>
      <c r="D1521" s="8">
        <v>1</v>
      </c>
      <c r="E1521" s="8">
        <v>1</v>
      </c>
      <c r="F1521" s="8">
        <v>0</v>
      </c>
      <c r="G1521" s="8">
        <v>1</v>
      </c>
      <c r="H1521" s="8">
        <v>1</v>
      </c>
      <c r="I1521" s="8">
        <v>1</v>
      </c>
      <c r="J1521" s="8">
        <v>1</v>
      </c>
      <c r="K1521" s="9">
        <v>0</v>
      </c>
      <c r="L1521" s="10">
        <v>1</v>
      </c>
      <c r="M1521" s="6">
        <v>0</v>
      </c>
      <c r="N1521" s="37" t="e" cm="1">
        <f t="array" ref="N1521">IF(OR(ISNUMBER(FIND(Aux!$D$3:$D$9,_xlfn.TEXTJOIN(,,C1521:K1521)))),NA(),IF(AND(SUM(C1521:F1521,H1521:K1521)=0,G1521=1),0,INT((SUMPRODUCT(C1521:F1521,COLUMN($A$1:$D$1)-1)+SUMPRODUCT(H1521:K1521,COLUMN($E$1:$H$1)-1))*'Line Follower'!$C$3/SUM(C1521:F1521,H1521:K1521)-'Line Follower'!$C$5)))</f>
        <v>#N/A</v>
      </c>
      <c r="O1521" s="22" t="e">
        <v>#N/A</v>
      </c>
      <c r="P1521" s="4" t="e">
        <f t="shared" si="115"/>
        <v>#N/A</v>
      </c>
      <c r="Q1521" s="4" t="e">
        <f t="shared" si="116"/>
        <v>#N/A</v>
      </c>
      <c r="R1521" s="4" t="e">
        <f>IF(AND(B1521=1,N1521&gt;'Line Follower'!$C$7,SUM(C1521:K1521)&lt;4),1,0)</f>
        <v>#N/A</v>
      </c>
      <c r="S1521" s="4" t="e">
        <f>IF(AND(L1521=1,N1521&lt;'Line Follower'!$C$6,SUM(C1521:K1521)&lt;4),1,0)</f>
        <v>#N/A</v>
      </c>
      <c r="T1521" s="4" t="e">
        <f t="shared" si="117"/>
        <v>#N/A</v>
      </c>
      <c r="U1521" s="5" t="e">
        <f t="shared" si="118"/>
        <v>#N/A</v>
      </c>
      <c r="V1521" s="23" t="e">
        <f t="shared" si="119"/>
        <v>#N/A</v>
      </c>
    </row>
    <row r="1522" spans="2:22" x14ac:dyDescent="0.25">
      <c r="B1522" s="16">
        <v>1</v>
      </c>
      <c r="C1522" s="7">
        <v>1</v>
      </c>
      <c r="D1522" s="8">
        <v>1</v>
      </c>
      <c r="E1522" s="8">
        <v>1</v>
      </c>
      <c r="F1522" s="8">
        <v>0</v>
      </c>
      <c r="G1522" s="8">
        <v>1</v>
      </c>
      <c r="H1522" s="8">
        <v>1</v>
      </c>
      <c r="I1522" s="8">
        <v>1</v>
      </c>
      <c r="J1522" s="8">
        <v>1</v>
      </c>
      <c r="K1522" s="9">
        <v>0</v>
      </c>
      <c r="L1522" s="10">
        <v>1</v>
      </c>
      <c r="M1522" s="6">
        <v>0</v>
      </c>
      <c r="N1522" s="37" t="e" cm="1">
        <f t="array" ref="N1522">IF(OR(ISNUMBER(FIND(Aux!$D$3:$D$9,_xlfn.TEXTJOIN(,,C1522:K1522)))),NA(),IF(AND(SUM(C1522:F1522,H1522:K1522)=0,G1522=1),0,INT((SUMPRODUCT(C1522:F1522,COLUMN($A$1:$D$1)-1)+SUMPRODUCT(H1522:K1522,COLUMN($E$1:$H$1)-1))*'Line Follower'!$C$3/SUM(C1522:F1522,H1522:K1522)-'Line Follower'!$C$5)))</f>
        <v>#N/A</v>
      </c>
      <c r="O1522" s="22" t="e">
        <v>#N/A</v>
      </c>
      <c r="P1522" s="4" t="e">
        <f t="shared" si="115"/>
        <v>#N/A</v>
      </c>
      <c r="Q1522" s="4" t="e">
        <f t="shared" si="116"/>
        <v>#N/A</v>
      </c>
      <c r="R1522" s="4" t="e">
        <f>IF(AND(B1522=1,N1522&gt;'Line Follower'!$C$7,SUM(C1522:K1522)&lt;4),1,0)</f>
        <v>#N/A</v>
      </c>
      <c r="S1522" s="4" t="e">
        <f>IF(AND(L1522=1,N1522&lt;'Line Follower'!$C$6,SUM(C1522:K1522)&lt;4),1,0)</f>
        <v>#N/A</v>
      </c>
      <c r="T1522" s="4" t="e">
        <f t="shared" si="117"/>
        <v>#N/A</v>
      </c>
      <c r="U1522" s="5" t="e">
        <f t="shared" si="118"/>
        <v>#N/A</v>
      </c>
      <c r="V1522" s="23" t="e">
        <f t="shared" si="119"/>
        <v>#N/A</v>
      </c>
    </row>
    <row r="1523" spans="2:22" x14ac:dyDescent="0.25">
      <c r="B1523" s="16">
        <v>0</v>
      </c>
      <c r="C1523" s="7">
        <v>0</v>
      </c>
      <c r="D1523" s="8">
        <v>0</v>
      </c>
      <c r="E1523" s="8">
        <v>0</v>
      </c>
      <c r="F1523" s="8">
        <v>1</v>
      </c>
      <c r="G1523" s="8">
        <v>1</v>
      </c>
      <c r="H1523" s="8">
        <v>1</v>
      </c>
      <c r="I1523" s="8">
        <v>1</v>
      </c>
      <c r="J1523" s="8">
        <v>1</v>
      </c>
      <c r="K1523" s="9">
        <v>0</v>
      </c>
      <c r="L1523" s="10">
        <v>1</v>
      </c>
      <c r="M1523" s="6">
        <v>0</v>
      </c>
      <c r="N1523" s="37" cm="1">
        <f t="array" ref="N1523">IF(OR(ISNUMBER(FIND(Aux!$D$3:$D$9,_xlfn.TEXTJOIN(,,C1523:K1523)))),NA(),IF(AND(SUM(C1523:F1523,H1523:K1523)=0,G1523=1),0,INT((SUMPRODUCT(C1523:F1523,COLUMN($A$1:$D$1)-1)+SUMPRODUCT(H1523:K1523,COLUMN($E$1:$H$1)-1))*'Line Follower'!$C$3/SUM(C1523:F1523,H1523:K1523)-'Line Follower'!$C$5)))</f>
        <v>2</v>
      </c>
      <c r="O1523" s="22">
        <v>1</v>
      </c>
      <c r="P1523" s="4">
        <f t="shared" si="115"/>
        <v>0</v>
      </c>
      <c r="Q1523" s="4">
        <f t="shared" si="116"/>
        <v>1</v>
      </c>
      <c r="R1523" s="4">
        <f>IF(AND(B1523=1,N1523&gt;'Line Follower'!$C$7,SUM(C1523:K1523)&lt;4),1,0)</f>
        <v>0</v>
      </c>
      <c r="S1523" s="4">
        <f>IF(AND(L1523=1,N1523&lt;'Line Follower'!$C$6,SUM(C1523:K1523)&lt;4),1,0)</f>
        <v>0</v>
      </c>
      <c r="T1523" s="4">
        <f t="shared" si="117"/>
        <v>0</v>
      </c>
      <c r="U1523" s="5">
        <f t="shared" si="118"/>
        <v>0</v>
      </c>
      <c r="V1523" s="23">
        <f t="shared" si="119"/>
        <v>0</v>
      </c>
    </row>
    <row r="1524" spans="2:22" x14ac:dyDescent="0.25">
      <c r="B1524" s="16">
        <v>1</v>
      </c>
      <c r="C1524" s="7">
        <v>0</v>
      </c>
      <c r="D1524" s="8">
        <v>0</v>
      </c>
      <c r="E1524" s="8">
        <v>0</v>
      </c>
      <c r="F1524" s="8">
        <v>1</v>
      </c>
      <c r="G1524" s="8">
        <v>1</v>
      </c>
      <c r="H1524" s="8">
        <v>1</v>
      </c>
      <c r="I1524" s="8">
        <v>1</v>
      </c>
      <c r="J1524" s="8">
        <v>1</v>
      </c>
      <c r="K1524" s="9">
        <v>0</v>
      </c>
      <c r="L1524" s="10">
        <v>1</v>
      </c>
      <c r="M1524" s="6">
        <v>0</v>
      </c>
      <c r="N1524" s="37" cm="1">
        <f t="array" ref="N1524">IF(OR(ISNUMBER(FIND(Aux!$D$3:$D$9,_xlfn.TEXTJOIN(,,C1524:K1524)))),NA(),IF(AND(SUM(C1524:F1524,H1524:K1524)=0,G1524=1),0,INT((SUMPRODUCT(C1524:F1524,COLUMN($A$1:$D$1)-1)+SUMPRODUCT(H1524:K1524,COLUMN($E$1:$H$1)-1))*'Line Follower'!$C$3/SUM(C1524:F1524,H1524:K1524)-'Line Follower'!$C$5)))</f>
        <v>2</v>
      </c>
      <c r="O1524" s="22">
        <v>1</v>
      </c>
      <c r="P1524" s="4">
        <f t="shared" si="115"/>
        <v>0</v>
      </c>
      <c r="Q1524" s="4">
        <f t="shared" si="116"/>
        <v>1</v>
      </c>
      <c r="R1524" s="4">
        <f>IF(AND(B1524=1,N1524&gt;'Line Follower'!$C$7,SUM(C1524:K1524)&lt;4),1,0)</f>
        <v>0</v>
      </c>
      <c r="S1524" s="4">
        <f>IF(AND(L1524=1,N1524&lt;'Line Follower'!$C$6,SUM(C1524:K1524)&lt;4),1,0)</f>
        <v>0</v>
      </c>
      <c r="T1524" s="4">
        <f t="shared" si="117"/>
        <v>0</v>
      </c>
      <c r="U1524" s="5">
        <f t="shared" si="118"/>
        <v>0</v>
      </c>
      <c r="V1524" s="23">
        <f t="shared" si="119"/>
        <v>0</v>
      </c>
    </row>
    <row r="1525" spans="2:22" x14ac:dyDescent="0.25">
      <c r="B1525" s="16">
        <v>0</v>
      </c>
      <c r="C1525" s="7">
        <v>1</v>
      </c>
      <c r="D1525" s="8">
        <v>0</v>
      </c>
      <c r="E1525" s="8">
        <v>0</v>
      </c>
      <c r="F1525" s="8">
        <v>1</v>
      </c>
      <c r="G1525" s="8">
        <v>1</v>
      </c>
      <c r="H1525" s="8">
        <v>1</v>
      </c>
      <c r="I1525" s="8">
        <v>1</v>
      </c>
      <c r="J1525" s="8">
        <v>1</v>
      </c>
      <c r="K1525" s="9">
        <v>0</v>
      </c>
      <c r="L1525" s="10">
        <v>1</v>
      </c>
      <c r="M1525" s="6">
        <v>0</v>
      </c>
      <c r="N1525" s="37" t="e" cm="1">
        <f t="array" ref="N1525">IF(OR(ISNUMBER(FIND(Aux!$D$3:$D$9,_xlfn.TEXTJOIN(,,C1525:K1525)))),NA(),IF(AND(SUM(C1525:F1525,H1525:K1525)=0,G1525=1),0,INT((SUMPRODUCT(C1525:F1525,COLUMN($A$1:$D$1)-1)+SUMPRODUCT(H1525:K1525,COLUMN($E$1:$H$1)-1))*'Line Follower'!$C$3/SUM(C1525:F1525,H1525:K1525)-'Line Follower'!$C$5)))</f>
        <v>#N/A</v>
      </c>
      <c r="O1525" s="22" t="e">
        <v>#N/A</v>
      </c>
      <c r="P1525" s="4" t="e">
        <f t="shared" si="115"/>
        <v>#N/A</v>
      </c>
      <c r="Q1525" s="4" t="e">
        <f t="shared" si="116"/>
        <v>#N/A</v>
      </c>
      <c r="R1525" s="4" t="e">
        <f>IF(AND(B1525=1,N1525&gt;'Line Follower'!$C$7,SUM(C1525:K1525)&lt;4),1,0)</f>
        <v>#N/A</v>
      </c>
      <c r="S1525" s="4" t="e">
        <f>IF(AND(L1525=1,N1525&lt;'Line Follower'!$C$6,SUM(C1525:K1525)&lt;4),1,0)</f>
        <v>#N/A</v>
      </c>
      <c r="T1525" s="4" t="e">
        <f t="shared" si="117"/>
        <v>#N/A</v>
      </c>
      <c r="U1525" s="5" t="e">
        <f t="shared" si="118"/>
        <v>#N/A</v>
      </c>
      <c r="V1525" s="23" t="e">
        <f t="shared" si="119"/>
        <v>#N/A</v>
      </c>
    </row>
    <row r="1526" spans="2:22" x14ac:dyDescent="0.25">
      <c r="B1526" s="16">
        <v>1</v>
      </c>
      <c r="C1526" s="7">
        <v>1</v>
      </c>
      <c r="D1526" s="8">
        <v>0</v>
      </c>
      <c r="E1526" s="8">
        <v>0</v>
      </c>
      <c r="F1526" s="8">
        <v>1</v>
      </c>
      <c r="G1526" s="8">
        <v>1</v>
      </c>
      <c r="H1526" s="8">
        <v>1</v>
      </c>
      <c r="I1526" s="8">
        <v>1</v>
      </c>
      <c r="J1526" s="8">
        <v>1</v>
      </c>
      <c r="K1526" s="9">
        <v>0</v>
      </c>
      <c r="L1526" s="10">
        <v>1</v>
      </c>
      <c r="M1526" s="6">
        <v>0</v>
      </c>
      <c r="N1526" s="37" t="e" cm="1">
        <f t="array" ref="N1526">IF(OR(ISNUMBER(FIND(Aux!$D$3:$D$9,_xlfn.TEXTJOIN(,,C1526:K1526)))),NA(),IF(AND(SUM(C1526:F1526,H1526:K1526)=0,G1526=1),0,INT((SUMPRODUCT(C1526:F1526,COLUMN($A$1:$D$1)-1)+SUMPRODUCT(H1526:K1526,COLUMN($E$1:$H$1)-1))*'Line Follower'!$C$3/SUM(C1526:F1526,H1526:K1526)-'Line Follower'!$C$5)))</f>
        <v>#N/A</v>
      </c>
      <c r="O1526" s="22" t="e">
        <v>#N/A</v>
      </c>
      <c r="P1526" s="4" t="e">
        <f t="shared" si="115"/>
        <v>#N/A</v>
      </c>
      <c r="Q1526" s="4" t="e">
        <f t="shared" si="116"/>
        <v>#N/A</v>
      </c>
      <c r="R1526" s="4" t="e">
        <f>IF(AND(B1526=1,N1526&gt;'Line Follower'!$C$7,SUM(C1526:K1526)&lt;4),1,0)</f>
        <v>#N/A</v>
      </c>
      <c r="S1526" s="4" t="e">
        <f>IF(AND(L1526=1,N1526&lt;'Line Follower'!$C$6,SUM(C1526:K1526)&lt;4),1,0)</f>
        <v>#N/A</v>
      </c>
      <c r="T1526" s="4" t="e">
        <f t="shared" si="117"/>
        <v>#N/A</v>
      </c>
      <c r="U1526" s="5" t="e">
        <f t="shared" si="118"/>
        <v>#N/A</v>
      </c>
      <c r="V1526" s="23" t="e">
        <f t="shared" si="119"/>
        <v>#N/A</v>
      </c>
    </row>
    <row r="1527" spans="2:22" x14ac:dyDescent="0.25">
      <c r="B1527" s="16">
        <v>0</v>
      </c>
      <c r="C1527" s="7">
        <v>0</v>
      </c>
      <c r="D1527" s="8">
        <v>1</v>
      </c>
      <c r="E1527" s="8">
        <v>0</v>
      </c>
      <c r="F1527" s="8">
        <v>1</v>
      </c>
      <c r="G1527" s="8">
        <v>1</v>
      </c>
      <c r="H1527" s="8">
        <v>1</v>
      </c>
      <c r="I1527" s="8">
        <v>1</v>
      </c>
      <c r="J1527" s="8">
        <v>1</v>
      </c>
      <c r="K1527" s="9">
        <v>0</v>
      </c>
      <c r="L1527" s="10">
        <v>1</v>
      </c>
      <c r="M1527" s="6">
        <v>0</v>
      </c>
      <c r="N1527" s="37" t="e" cm="1">
        <f t="array" ref="N1527">IF(OR(ISNUMBER(FIND(Aux!$D$3:$D$9,_xlfn.TEXTJOIN(,,C1527:K1527)))),NA(),IF(AND(SUM(C1527:F1527,H1527:K1527)=0,G1527=1),0,INT((SUMPRODUCT(C1527:F1527,COLUMN($A$1:$D$1)-1)+SUMPRODUCT(H1527:K1527,COLUMN($E$1:$H$1)-1))*'Line Follower'!$C$3/SUM(C1527:F1527,H1527:K1527)-'Line Follower'!$C$5)))</f>
        <v>#N/A</v>
      </c>
      <c r="O1527" s="22" t="e">
        <v>#N/A</v>
      </c>
      <c r="P1527" s="4" t="e">
        <f t="shared" si="115"/>
        <v>#N/A</v>
      </c>
      <c r="Q1527" s="4" t="e">
        <f t="shared" si="116"/>
        <v>#N/A</v>
      </c>
      <c r="R1527" s="4" t="e">
        <f>IF(AND(B1527=1,N1527&gt;'Line Follower'!$C$7,SUM(C1527:K1527)&lt;4),1,0)</f>
        <v>#N/A</v>
      </c>
      <c r="S1527" s="4" t="e">
        <f>IF(AND(L1527=1,N1527&lt;'Line Follower'!$C$6,SUM(C1527:K1527)&lt;4),1,0)</f>
        <v>#N/A</v>
      </c>
      <c r="T1527" s="4" t="e">
        <f t="shared" si="117"/>
        <v>#N/A</v>
      </c>
      <c r="U1527" s="5" t="e">
        <f t="shared" si="118"/>
        <v>#N/A</v>
      </c>
      <c r="V1527" s="23" t="e">
        <f t="shared" si="119"/>
        <v>#N/A</v>
      </c>
    </row>
    <row r="1528" spans="2:22" x14ac:dyDescent="0.25">
      <c r="B1528" s="16">
        <v>1</v>
      </c>
      <c r="C1528" s="7">
        <v>0</v>
      </c>
      <c r="D1528" s="8">
        <v>1</v>
      </c>
      <c r="E1528" s="8">
        <v>0</v>
      </c>
      <c r="F1528" s="8">
        <v>1</v>
      </c>
      <c r="G1528" s="8">
        <v>1</v>
      </c>
      <c r="H1528" s="8">
        <v>1</v>
      </c>
      <c r="I1528" s="8">
        <v>1</v>
      </c>
      <c r="J1528" s="8">
        <v>1</v>
      </c>
      <c r="K1528" s="9">
        <v>0</v>
      </c>
      <c r="L1528" s="10">
        <v>1</v>
      </c>
      <c r="M1528" s="6">
        <v>0</v>
      </c>
      <c r="N1528" s="37" t="e" cm="1">
        <f t="array" ref="N1528">IF(OR(ISNUMBER(FIND(Aux!$D$3:$D$9,_xlfn.TEXTJOIN(,,C1528:K1528)))),NA(),IF(AND(SUM(C1528:F1528,H1528:K1528)=0,G1528=1),0,INT((SUMPRODUCT(C1528:F1528,COLUMN($A$1:$D$1)-1)+SUMPRODUCT(H1528:K1528,COLUMN($E$1:$H$1)-1))*'Line Follower'!$C$3/SUM(C1528:F1528,H1528:K1528)-'Line Follower'!$C$5)))</f>
        <v>#N/A</v>
      </c>
      <c r="O1528" s="22" t="e">
        <v>#N/A</v>
      </c>
      <c r="P1528" s="4" t="e">
        <f t="shared" si="115"/>
        <v>#N/A</v>
      </c>
      <c r="Q1528" s="4" t="e">
        <f t="shared" si="116"/>
        <v>#N/A</v>
      </c>
      <c r="R1528" s="4" t="e">
        <f>IF(AND(B1528=1,N1528&gt;'Line Follower'!$C$7,SUM(C1528:K1528)&lt;4),1,0)</f>
        <v>#N/A</v>
      </c>
      <c r="S1528" s="4" t="e">
        <f>IF(AND(L1528=1,N1528&lt;'Line Follower'!$C$6,SUM(C1528:K1528)&lt;4),1,0)</f>
        <v>#N/A</v>
      </c>
      <c r="T1528" s="4" t="e">
        <f t="shared" si="117"/>
        <v>#N/A</v>
      </c>
      <c r="U1528" s="5" t="e">
        <f t="shared" si="118"/>
        <v>#N/A</v>
      </c>
      <c r="V1528" s="23" t="e">
        <f t="shared" si="119"/>
        <v>#N/A</v>
      </c>
    </row>
    <row r="1529" spans="2:22" x14ac:dyDescent="0.25">
      <c r="B1529" s="16">
        <v>0</v>
      </c>
      <c r="C1529" s="7">
        <v>1</v>
      </c>
      <c r="D1529" s="8">
        <v>1</v>
      </c>
      <c r="E1529" s="8">
        <v>0</v>
      </c>
      <c r="F1529" s="8">
        <v>1</v>
      </c>
      <c r="G1529" s="8">
        <v>1</v>
      </c>
      <c r="H1529" s="8">
        <v>1</v>
      </c>
      <c r="I1529" s="8">
        <v>1</v>
      </c>
      <c r="J1529" s="8">
        <v>1</v>
      </c>
      <c r="K1529" s="9">
        <v>0</v>
      </c>
      <c r="L1529" s="10">
        <v>1</v>
      </c>
      <c r="M1529" s="6">
        <v>0</v>
      </c>
      <c r="N1529" s="37" t="e" cm="1">
        <f t="array" ref="N1529">IF(OR(ISNUMBER(FIND(Aux!$D$3:$D$9,_xlfn.TEXTJOIN(,,C1529:K1529)))),NA(),IF(AND(SUM(C1529:F1529,H1529:K1529)=0,G1529=1),0,INT((SUMPRODUCT(C1529:F1529,COLUMN($A$1:$D$1)-1)+SUMPRODUCT(H1529:K1529,COLUMN($E$1:$H$1)-1))*'Line Follower'!$C$3/SUM(C1529:F1529,H1529:K1529)-'Line Follower'!$C$5)))</f>
        <v>#N/A</v>
      </c>
      <c r="O1529" s="22" t="e">
        <v>#N/A</v>
      </c>
      <c r="P1529" s="4" t="e">
        <f t="shared" si="115"/>
        <v>#N/A</v>
      </c>
      <c r="Q1529" s="4" t="e">
        <f t="shared" si="116"/>
        <v>#N/A</v>
      </c>
      <c r="R1529" s="4" t="e">
        <f>IF(AND(B1529=1,N1529&gt;'Line Follower'!$C$7,SUM(C1529:K1529)&lt;4),1,0)</f>
        <v>#N/A</v>
      </c>
      <c r="S1529" s="4" t="e">
        <f>IF(AND(L1529=1,N1529&lt;'Line Follower'!$C$6,SUM(C1529:K1529)&lt;4),1,0)</f>
        <v>#N/A</v>
      </c>
      <c r="T1529" s="4" t="e">
        <f t="shared" si="117"/>
        <v>#N/A</v>
      </c>
      <c r="U1529" s="5" t="e">
        <f t="shared" si="118"/>
        <v>#N/A</v>
      </c>
      <c r="V1529" s="23" t="e">
        <f t="shared" si="119"/>
        <v>#N/A</v>
      </c>
    </row>
    <row r="1530" spans="2:22" x14ac:dyDescent="0.25">
      <c r="B1530" s="16">
        <v>1</v>
      </c>
      <c r="C1530" s="7">
        <v>1</v>
      </c>
      <c r="D1530" s="8">
        <v>1</v>
      </c>
      <c r="E1530" s="8">
        <v>0</v>
      </c>
      <c r="F1530" s="8">
        <v>1</v>
      </c>
      <c r="G1530" s="8">
        <v>1</v>
      </c>
      <c r="H1530" s="8">
        <v>1</v>
      </c>
      <c r="I1530" s="8">
        <v>1</v>
      </c>
      <c r="J1530" s="8">
        <v>1</v>
      </c>
      <c r="K1530" s="9">
        <v>0</v>
      </c>
      <c r="L1530" s="10">
        <v>1</v>
      </c>
      <c r="M1530" s="6">
        <v>0</v>
      </c>
      <c r="N1530" s="37" t="e" cm="1">
        <f t="array" ref="N1530">IF(OR(ISNUMBER(FIND(Aux!$D$3:$D$9,_xlfn.TEXTJOIN(,,C1530:K1530)))),NA(),IF(AND(SUM(C1530:F1530,H1530:K1530)=0,G1530=1),0,INT((SUMPRODUCT(C1530:F1530,COLUMN($A$1:$D$1)-1)+SUMPRODUCT(H1530:K1530,COLUMN($E$1:$H$1)-1))*'Line Follower'!$C$3/SUM(C1530:F1530,H1530:K1530)-'Line Follower'!$C$5)))</f>
        <v>#N/A</v>
      </c>
      <c r="O1530" s="22" t="e">
        <v>#N/A</v>
      </c>
      <c r="P1530" s="4" t="e">
        <f t="shared" si="115"/>
        <v>#N/A</v>
      </c>
      <c r="Q1530" s="4" t="e">
        <f t="shared" si="116"/>
        <v>#N/A</v>
      </c>
      <c r="R1530" s="4" t="e">
        <f>IF(AND(B1530=1,N1530&gt;'Line Follower'!$C$7,SUM(C1530:K1530)&lt;4),1,0)</f>
        <v>#N/A</v>
      </c>
      <c r="S1530" s="4" t="e">
        <f>IF(AND(L1530=1,N1530&lt;'Line Follower'!$C$6,SUM(C1530:K1530)&lt;4),1,0)</f>
        <v>#N/A</v>
      </c>
      <c r="T1530" s="4" t="e">
        <f t="shared" si="117"/>
        <v>#N/A</v>
      </c>
      <c r="U1530" s="5" t="e">
        <f t="shared" si="118"/>
        <v>#N/A</v>
      </c>
      <c r="V1530" s="23" t="e">
        <f t="shared" si="119"/>
        <v>#N/A</v>
      </c>
    </row>
    <row r="1531" spans="2:22" x14ac:dyDescent="0.25">
      <c r="B1531" s="16">
        <v>0</v>
      </c>
      <c r="C1531" s="7">
        <v>0</v>
      </c>
      <c r="D1531" s="8">
        <v>0</v>
      </c>
      <c r="E1531" s="8">
        <v>1</v>
      </c>
      <c r="F1531" s="8">
        <v>1</v>
      </c>
      <c r="G1531" s="8">
        <v>1</v>
      </c>
      <c r="H1531" s="8">
        <v>1</v>
      </c>
      <c r="I1531" s="8">
        <v>1</v>
      </c>
      <c r="J1531" s="8">
        <v>1</v>
      </c>
      <c r="K1531" s="9">
        <v>0</v>
      </c>
      <c r="L1531" s="10">
        <v>1</v>
      </c>
      <c r="M1531" s="6">
        <v>0</v>
      </c>
      <c r="N1531" s="37" cm="1">
        <f t="array" ref="N1531">IF(OR(ISNUMBER(FIND(Aux!$D$3:$D$9,_xlfn.TEXTJOIN(,,C1531:K1531)))),NA(),IF(AND(SUM(C1531:F1531,H1531:K1531)=0,G1531=1),0,INT((SUMPRODUCT(C1531:F1531,COLUMN($A$1:$D$1)-1)+SUMPRODUCT(H1531:K1531,COLUMN($E$1:$H$1)-1))*'Line Follower'!$C$3/SUM(C1531:F1531,H1531:K1531)-'Line Follower'!$C$5)))</f>
        <v>1</v>
      </c>
      <c r="O1531" s="22">
        <v>1</v>
      </c>
      <c r="P1531" s="4">
        <f t="shared" si="115"/>
        <v>0</v>
      </c>
      <c r="Q1531" s="4">
        <f t="shared" si="116"/>
        <v>1</v>
      </c>
      <c r="R1531" s="4">
        <f>IF(AND(B1531=1,N1531&gt;'Line Follower'!$C$7,SUM(C1531:K1531)&lt;4),1,0)</f>
        <v>0</v>
      </c>
      <c r="S1531" s="4">
        <f>IF(AND(L1531=1,N1531&lt;'Line Follower'!$C$6,SUM(C1531:K1531)&lt;4),1,0)</f>
        <v>0</v>
      </c>
      <c r="T1531" s="4">
        <f t="shared" si="117"/>
        <v>0</v>
      </c>
      <c r="U1531" s="5">
        <f t="shared" si="118"/>
        <v>0</v>
      </c>
      <c r="V1531" s="23">
        <f t="shared" si="119"/>
        <v>0</v>
      </c>
    </row>
    <row r="1532" spans="2:22" x14ac:dyDescent="0.25">
      <c r="B1532" s="16">
        <v>1</v>
      </c>
      <c r="C1532" s="7">
        <v>0</v>
      </c>
      <c r="D1532" s="8">
        <v>0</v>
      </c>
      <c r="E1532" s="8">
        <v>1</v>
      </c>
      <c r="F1532" s="8">
        <v>1</v>
      </c>
      <c r="G1532" s="8">
        <v>1</v>
      </c>
      <c r="H1532" s="8">
        <v>1</v>
      </c>
      <c r="I1532" s="8">
        <v>1</v>
      </c>
      <c r="J1532" s="8">
        <v>1</v>
      </c>
      <c r="K1532" s="9">
        <v>0</v>
      </c>
      <c r="L1532" s="10">
        <v>1</v>
      </c>
      <c r="M1532" s="6">
        <v>0</v>
      </c>
      <c r="N1532" s="37" cm="1">
        <f t="array" ref="N1532">IF(OR(ISNUMBER(FIND(Aux!$D$3:$D$9,_xlfn.TEXTJOIN(,,C1532:K1532)))),NA(),IF(AND(SUM(C1532:F1532,H1532:K1532)=0,G1532=1),0,INT((SUMPRODUCT(C1532:F1532,COLUMN($A$1:$D$1)-1)+SUMPRODUCT(H1532:K1532,COLUMN($E$1:$H$1)-1))*'Line Follower'!$C$3/SUM(C1532:F1532,H1532:K1532)-'Line Follower'!$C$5)))</f>
        <v>1</v>
      </c>
      <c r="O1532" s="22">
        <v>1</v>
      </c>
      <c r="P1532" s="4">
        <f t="shared" si="115"/>
        <v>0</v>
      </c>
      <c r="Q1532" s="4">
        <f t="shared" si="116"/>
        <v>1</v>
      </c>
      <c r="R1532" s="4">
        <f>IF(AND(B1532=1,N1532&gt;'Line Follower'!$C$7,SUM(C1532:K1532)&lt;4),1,0)</f>
        <v>0</v>
      </c>
      <c r="S1532" s="4">
        <f>IF(AND(L1532=1,N1532&lt;'Line Follower'!$C$6,SUM(C1532:K1532)&lt;4),1,0)</f>
        <v>0</v>
      </c>
      <c r="T1532" s="4">
        <f t="shared" si="117"/>
        <v>0</v>
      </c>
      <c r="U1532" s="5">
        <f t="shared" si="118"/>
        <v>0</v>
      </c>
      <c r="V1532" s="23">
        <f t="shared" si="119"/>
        <v>0</v>
      </c>
    </row>
    <row r="1533" spans="2:22" x14ac:dyDescent="0.25">
      <c r="B1533" s="16">
        <v>0</v>
      </c>
      <c r="C1533" s="7">
        <v>1</v>
      </c>
      <c r="D1533" s="8">
        <v>0</v>
      </c>
      <c r="E1533" s="8">
        <v>1</v>
      </c>
      <c r="F1533" s="8">
        <v>1</v>
      </c>
      <c r="G1533" s="8">
        <v>1</v>
      </c>
      <c r="H1533" s="8">
        <v>1</v>
      </c>
      <c r="I1533" s="8">
        <v>1</v>
      </c>
      <c r="J1533" s="8">
        <v>1</v>
      </c>
      <c r="K1533" s="9">
        <v>0</v>
      </c>
      <c r="L1533" s="10">
        <v>1</v>
      </c>
      <c r="M1533" s="6">
        <v>0</v>
      </c>
      <c r="N1533" s="37" t="e" cm="1">
        <f t="array" ref="N1533">IF(OR(ISNUMBER(FIND(Aux!$D$3:$D$9,_xlfn.TEXTJOIN(,,C1533:K1533)))),NA(),IF(AND(SUM(C1533:F1533,H1533:K1533)=0,G1533=1),0,INT((SUMPRODUCT(C1533:F1533,COLUMN($A$1:$D$1)-1)+SUMPRODUCT(H1533:K1533,COLUMN($E$1:$H$1)-1))*'Line Follower'!$C$3/SUM(C1533:F1533,H1533:K1533)-'Line Follower'!$C$5)))</f>
        <v>#N/A</v>
      </c>
      <c r="O1533" s="22" t="e">
        <v>#N/A</v>
      </c>
      <c r="P1533" s="4" t="e">
        <f t="shared" si="115"/>
        <v>#N/A</v>
      </c>
      <c r="Q1533" s="4" t="e">
        <f t="shared" si="116"/>
        <v>#N/A</v>
      </c>
      <c r="R1533" s="4" t="e">
        <f>IF(AND(B1533=1,N1533&gt;'Line Follower'!$C$7,SUM(C1533:K1533)&lt;4),1,0)</f>
        <v>#N/A</v>
      </c>
      <c r="S1533" s="4" t="e">
        <f>IF(AND(L1533=1,N1533&lt;'Line Follower'!$C$6,SUM(C1533:K1533)&lt;4),1,0)</f>
        <v>#N/A</v>
      </c>
      <c r="T1533" s="4" t="e">
        <f t="shared" si="117"/>
        <v>#N/A</v>
      </c>
      <c r="U1533" s="5" t="e">
        <f t="shared" si="118"/>
        <v>#N/A</v>
      </c>
      <c r="V1533" s="23" t="e">
        <f t="shared" si="119"/>
        <v>#N/A</v>
      </c>
    </row>
    <row r="1534" spans="2:22" x14ac:dyDescent="0.25">
      <c r="B1534" s="16">
        <v>1</v>
      </c>
      <c r="C1534" s="7">
        <v>1</v>
      </c>
      <c r="D1534" s="8">
        <v>0</v>
      </c>
      <c r="E1534" s="8">
        <v>1</v>
      </c>
      <c r="F1534" s="8">
        <v>1</v>
      </c>
      <c r="G1534" s="8">
        <v>1</v>
      </c>
      <c r="H1534" s="8">
        <v>1</v>
      </c>
      <c r="I1534" s="8">
        <v>1</v>
      </c>
      <c r="J1534" s="8">
        <v>1</v>
      </c>
      <c r="K1534" s="9">
        <v>0</v>
      </c>
      <c r="L1534" s="10">
        <v>1</v>
      </c>
      <c r="M1534" s="6">
        <v>0</v>
      </c>
      <c r="N1534" s="37" t="e" cm="1">
        <f t="array" ref="N1534">IF(OR(ISNUMBER(FIND(Aux!$D$3:$D$9,_xlfn.TEXTJOIN(,,C1534:K1534)))),NA(),IF(AND(SUM(C1534:F1534,H1534:K1534)=0,G1534=1),0,INT((SUMPRODUCT(C1534:F1534,COLUMN($A$1:$D$1)-1)+SUMPRODUCT(H1534:K1534,COLUMN($E$1:$H$1)-1))*'Line Follower'!$C$3/SUM(C1534:F1534,H1534:K1534)-'Line Follower'!$C$5)))</f>
        <v>#N/A</v>
      </c>
      <c r="O1534" s="22" t="e">
        <v>#N/A</v>
      </c>
      <c r="P1534" s="4" t="e">
        <f t="shared" si="115"/>
        <v>#N/A</v>
      </c>
      <c r="Q1534" s="4" t="e">
        <f t="shared" si="116"/>
        <v>#N/A</v>
      </c>
      <c r="R1534" s="4" t="e">
        <f>IF(AND(B1534=1,N1534&gt;'Line Follower'!$C$7,SUM(C1534:K1534)&lt;4),1,0)</f>
        <v>#N/A</v>
      </c>
      <c r="S1534" s="4" t="e">
        <f>IF(AND(L1534=1,N1534&lt;'Line Follower'!$C$6,SUM(C1534:K1534)&lt;4),1,0)</f>
        <v>#N/A</v>
      </c>
      <c r="T1534" s="4" t="e">
        <f t="shared" si="117"/>
        <v>#N/A</v>
      </c>
      <c r="U1534" s="5" t="e">
        <f t="shared" si="118"/>
        <v>#N/A</v>
      </c>
      <c r="V1534" s="23" t="e">
        <f t="shared" si="119"/>
        <v>#N/A</v>
      </c>
    </row>
    <row r="1535" spans="2:22" x14ac:dyDescent="0.25">
      <c r="B1535" s="16">
        <v>0</v>
      </c>
      <c r="C1535" s="7">
        <v>0</v>
      </c>
      <c r="D1535" s="8">
        <v>1</v>
      </c>
      <c r="E1535" s="8">
        <v>1</v>
      </c>
      <c r="F1535" s="8">
        <v>1</v>
      </c>
      <c r="G1535" s="8">
        <v>1</v>
      </c>
      <c r="H1535" s="8">
        <v>1</v>
      </c>
      <c r="I1535" s="8">
        <v>1</v>
      </c>
      <c r="J1535" s="8">
        <v>1</v>
      </c>
      <c r="K1535" s="9">
        <v>0</v>
      </c>
      <c r="L1535" s="10">
        <v>1</v>
      </c>
      <c r="M1535" s="6">
        <v>0</v>
      </c>
      <c r="N1535" s="37" cm="1">
        <f t="array" ref="N1535">IF(OR(ISNUMBER(FIND(Aux!$D$3:$D$9,_xlfn.TEXTJOIN(,,C1535:K1535)))),NA(),IF(AND(SUM(C1535:F1535,H1535:K1535)=0,G1535=1),0,INT((SUMPRODUCT(C1535:F1535,COLUMN($A$1:$D$1)-1)+SUMPRODUCT(H1535:K1535,COLUMN($E$1:$H$1)-1))*'Line Follower'!$C$3/SUM(C1535:F1535,H1535:K1535)-'Line Follower'!$C$5)))</f>
        <v>0</v>
      </c>
      <c r="O1535" s="22">
        <v>1</v>
      </c>
      <c r="P1535" s="4">
        <f t="shared" si="115"/>
        <v>0</v>
      </c>
      <c r="Q1535" s="4">
        <f t="shared" si="116"/>
        <v>1</v>
      </c>
      <c r="R1535" s="4">
        <f>IF(AND(B1535=1,N1535&gt;'Line Follower'!$C$7,SUM(C1535:K1535)&lt;4),1,0)</f>
        <v>0</v>
      </c>
      <c r="S1535" s="4">
        <f>IF(AND(L1535=1,N1535&lt;'Line Follower'!$C$6,SUM(C1535:K1535)&lt;4),1,0)</f>
        <v>0</v>
      </c>
      <c r="T1535" s="4">
        <f t="shared" si="117"/>
        <v>0</v>
      </c>
      <c r="U1535" s="5">
        <f t="shared" si="118"/>
        <v>0</v>
      </c>
      <c r="V1535" s="23">
        <f t="shared" si="119"/>
        <v>0</v>
      </c>
    </row>
    <row r="1536" spans="2:22" x14ac:dyDescent="0.25">
      <c r="B1536" s="16">
        <v>1</v>
      </c>
      <c r="C1536" s="7">
        <v>0</v>
      </c>
      <c r="D1536" s="8">
        <v>1</v>
      </c>
      <c r="E1536" s="8">
        <v>1</v>
      </c>
      <c r="F1536" s="8">
        <v>1</v>
      </c>
      <c r="G1536" s="8">
        <v>1</v>
      </c>
      <c r="H1536" s="8">
        <v>1</v>
      </c>
      <c r="I1536" s="8">
        <v>1</v>
      </c>
      <c r="J1536" s="8">
        <v>1</v>
      </c>
      <c r="K1536" s="9">
        <v>0</v>
      </c>
      <c r="L1536" s="10">
        <v>1</v>
      </c>
      <c r="M1536" s="6">
        <v>0</v>
      </c>
      <c r="N1536" s="37" cm="1">
        <f t="array" ref="N1536">IF(OR(ISNUMBER(FIND(Aux!$D$3:$D$9,_xlfn.TEXTJOIN(,,C1536:K1536)))),NA(),IF(AND(SUM(C1536:F1536,H1536:K1536)=0,G1536=1),0,INT((SUMPRODUCT(C1536:F1536,COLUMN($A$1:$D$1)-1)+SUMPRODUCT(H1536:K1536,COLUMN($E$1:$H$1)-1))*'Line Follower'!$C$3/SUM(C1536:F1536,H1536:K1536)-'Line Follower'!$C$5)))</f>
        <v>0</v>
      </c>
      <c r="O1536" s="22">
        <v>1</v>
      </c>
      <c r="P1536" s="4">
        <f t="shared" si="115"/>
        <v>0</v>
      </c>
      <c r="Q1536" s="4">
        <f t="shared" si="116"/>
        <v>1</v>
      </c>
      <c r="R1536" s="4">
        <f>IF(AND(B1536=1,N1536&gt;'Line Follower'!$C$7,SUM(C1536:K1536)&lt;4),1,0)</f>
        <v>0</v>
      </c>
      <c r="S1536" s="4">
        <f>IF(AND(L1536=1,N1536&lt;'Line Follower'!$C$6,SUM(C1536:K1536)&lt;4),1,0)</f>
        <v>0</v>
      </c>
      <c r="T1536" s="4">
        <f t="shared" si="117"/>
        <v>0</v>
      </c>
      <c r="U1536" s="5">
        <f t="shared" si="118"/>
        <v>0</v>
      </c>
      <c r="V1536" s="23">
        <f t="shared" si="119"/>
        <v>0</v>
      </c>
    </row>
    <row r="1537" spans="2:22" x14ac:dyDescent="0.25">
      <c r="B1537" s="16">
        <v>0</v>
      </c>
      <c r="C1537" s="7">
        <v>1</v>
      </c>
      <c r="D1537" s="8">
        <v>1</v>
      </c>
      <c r="E1537" s="8">
        <v>1</v>
      </c>
      <c r="F1537" s="8">
        <v>1</v>
      </c>
      <c r="G1537" s="8">
        <v>1</v>
      </c>
      <c r="H1537" s="8">
        <v>1</v>
      </c>
      <c r="I1537" s="8">
        <v>1</v>
      </c>
      <c r="J1537" s="8">
        <v>1</v>
      </c>
      <c r="K1537" s="9">
        <v>0</v>
      </c>
      <c r="L1537" s="10">
        <v>1</v>
      </c>
      <c r="M1537" s="6">
        <v>0</v>
      </c>
      <c r="N1537" s="37" cm="1">
        <f t="array" ref="N1537">IF(OR(ISNUMBER(FIND(Aux!$D$3:$D$9,_xlfn.TEXTJOIN(,,C1537:K1537)))),NA(),IF(AND(SUM(C1537:F1537,H1537:K1537)=0,G1537=1),0,INT((SUMPRODUCT(C1537:F1537,COLUMN($A$1:$D$1)-1)+SUMPRODUCT(H1537:K1537,COLUMN($E$1:$H$1)-1))*'Line Follower'!$C$3/SUM(C1537:F1537,H1537:K1537)-'Line Follower'!$C$5)))</f>
        <v>-1</v>
      </c>
      <c r="O1537" s="22">
        <v>1</v>
      </c>
      <c r="P1537" s="4">
        <f t="shared" si="115"/>
        <v>0</v>
      </c>
      <c r="Q1537" s="4">
        <f t="shared" si="116"/>
        <v>1</v>
      </c>
      <c r="R1537" s="4">
        <f>IF(AND(B1537=1,N1537&gt;'Line Follower'!$C$7,SUM(C1537:K1537)&lt;4),1,0)</f>
        <v>0</v>
      </c>
      <c r="S1537" s="4">
        <f>IF(AND(L1537=1,N1537&lt;'Line Follower'!$C$6,SUM(C1537:K1537)&lt;4),1,0)</f>
        <v>0</v>
      </c>
      <c r="T1537" s="4">
        <f t="shared" si="117"/>
        <v>0</v>
      </c>
      <c r="U1537" s="5">
        <f t="shared" si="118"/>
        <v>0</v>
      </c>
      <c r="V1537" s="23">
        <f t="shared" si="119"/>
        <v>0</v>
      </c>
    </row>
    <row r="1538" spans="2:22" x14ac:dyDescent="0.25">
      <c r="B1538" s="16">
        <v>1</v>
      </c>
      <c r="C1538" s="7">
        <v>1</v>
      </c>
      <c r="D1538" s="8">
        <v>1</v>
      </c>
      <c r="E1538" s="8">
        <v>1</v>
      </c>
      <c r="F1538" s="8">
        <v>1</v>
      </c>
      <c r="G1538" s="8">
        <v>1</v>
      </c>
      <c r="H1538" s="8">
        <v>1</v>
      </c>
      <c r="I1538" s="8">
        <v>1</v>
      </c>
      <c r="J1538" s="8">
        <v>1</v>
      </c>
      <c r="K1538" s="9">
        <v>0</v>
      </c>
      <c r="L1538" s="10">
        <v>1</v>
      </c>
      <c r="M1538" s="6">
        <v>0</v>
      </c>
      <c r="N1538" s="37" cm="1">
        <f t="array" ref="N1538">IF(OR(ISNUMBER(FIND(Aux!$D$3:$D$9,_xlfn.TEXTJOIN(,,C1538:K1538)))),NA(),IF(AND(SUM(C1538:F1538,H1538:K1538)=0,G1538=1),0,INT((SUMPRODUCT(C1538:F1538,COLUMN($A$1:$D$1)-1)+SUMPRODUCT(H1538:K1538,COLUMN($E$1:$H$1)-1))*'Line Follower'!$C$3/SUM(C1538:F1538,H1538:K1538)-'Line Follower'!$C$5)))</f>
        <v>-1</v>
      </c>
      <c r="O1538" s="22">
        <v>1</v>
      </c>
      <c r="P1538" s="4">
        <f t="shared" si="115"/>
        <v>0</v>
      </c>
      <c r="Q1538" s="4">
        <f t="shared" si="116"/>
        <v>1</v>
      </c>
      <c r="R1538" s="4">
        <f>IF(AND(B1538=1,N1538&gt;'Line Follower'!$C$7,SUM(C1538:K1538)&lt;4),1,0)</f>
        <v>0</v>
      </c>
      <c r="S1538" s="4">
        <f>IF(AND(L1538=1,N1538&lt;'Line Follower'!$C$6,SUM(C1538:K1538)&lt;4),1,0)</f>
        <v>0</v>
      </c>
      <c r="T1538" s="4">
        <f t="shared" si="117"/>
        <v>0</v>
      </c>
      <c r="U1538" s="5">
        <f t="shared" si="118"/>
        <v>0</v>
      </c>
      <c r="V1538" s="23">
        <f t="shared" si="119"/>
        <v>0</v>
      </c>
    </row>
    <row r="1539" spans="2:22" x14ac:dyDescent="0.25">
      <c r="B1539" s="16">
        <v>0</v>
      </c>
      <c r="C1539" s="7">
        <v>0</v>
      </c>
      <c r="D1539" s="8">
        <v>0</v>
      </c>
      <c r="E1539" s="8">
        <v>0</v>
      </c>
      <c r="F1539" s="8">
        <v>0</v>
      </c>
      <c r="G1539" s="8">
        <v>0</v>
      </c>
      <c r="H1539" s="8">
        <v>0</v>
      </c>
      <c r="I1539" s="8">
        <v>0</v>
      </c>
      <c r="J1539" s="8">
        <v>0</v>
      </c>
      <c r="K1539" s="9">
        <v>1</v>
      </c>
      <c r="L1539" s="10">
        <v>1</v>
      </c>
      <c r="M1539" s="6">
        <v>0</v>
      </c>
      <c r="N1539" s="37" cm="1">
        <f t="array" ref="N1539">IF(OR(ISNUMBER(FIND(Aux!$D$3:$D$9,_xlfn.TEXTJOIN(,,C1539:K1539)))),NA(),IF(AND(SUM(C1539:F1539,H1539:K1539)=0,G1539=1),0,INT((SUMPRODUCT(C1539:F1539,COLUMN($A$1:$D$1)-1)+SUMPRODUCT(H1539:K1539,COLUMN($E$1:$H$1)-1))*'Line Follower'!$C$3/SUM(C1539:F1539,H1539:K1539)-'Line Follower'!$C$5)))</f>
        <v>7</v>
      </c>
      <c r="O1539" s="22">
        <v>1</v>
      </c>
      <c r="P1539" s="4">
        <f t="shared" ref="P1539:P1602" si="120">IF(AND(N1539=0,G1539=1,M1539=1),1,0)</f>
        <v>0</v>
      </c>
      <c r="Q1539" s="4">
        <f t="shared" ref="Q1539:Q1602" si="121">IF(ISERROR(N1539),N1539,IF(SUM(C1539:K1539)&gt;=4,1,0))</f>
        <v>0</v>
      </c>
      <c r="R1539" s="4">
        <f>IF(AND(B1539=1,N1539&gt;'Line Follower'!$C$7,SUM(C1539:K1539)&lt;4),1,0)</f>
        <v>0</v>
      </c>
      <c r="S1539" s="4">
        <f>IF(AND(L1539=1,N1539&lt;'Line Follower'!$C$6,SUM(C1539:K1539)&lt;4),1,0)</f>
        <v>0</v>
      </c>
      <c r="T1539" s="4">
        <f t="shared" si="117"/>
        <v>0</v>
      </c>
      <c r="U1539" s="5">
        <f t="shared" si="118"/>
        <v>0</v>
      </c>
      <c r="V1539" s="23">
        <f t="shared" si="119"/>
        <v>0</v>
      </c>
    </row>
    <row r="1540" spans="2:22" x14ac:dyDescent="0.25">
      <c r="B1540" s="16">
        <v>1</v>
      </c>
      <c r="C1540" s="7">
        <v>0</v>
      </c>
      <c r="D1540" s="8">
        <v>0</v>
      </c>
      <c r="E1540" s="8">
        <v>0</v>
      </c>
      <c r="F1540" s="8">
        <v>0</v>
      </c>
      <c r="G1540" s="8">
        <v>0</v>
      </c>
      <c r="H1540" s="8">
        <v>0</v>
      </c>
      <c r="I1540" s="8">
        <v>0</v>
      </c>
      <c r="J1540" s="8">
        <v>0</v>
      </c>
      <c r="K1540" s="9">
        <v>1</v>
      </c>
      <c r="L1540" s="10">
        <v>1</v>
      </c>
      <c r="M1540" s="6">
        <v>0</v>
      </c>
      <c r="N1540" s="37" cm="1">
        <f t="array" ref="N1540">IF(OR(ISNUMBER(FIND(Aux!$D$3:$D$9,_xlfn.TEXTJOIN(,,C1540:K1540)))),NA(),IF(AND(SUM(C1540:F1540,H1540:K1540)=0,G1540=1),0,INT((SUMPRODUCT(C1540:F1540,COLUMN($A$1:$D$1)-1)+SUMPRODUCT(H1540:K1540,COLUMN($E$1:$H$1)-1))*'Line Follower'!$C$3/SUM(C1540:F1540,H1540:K1540)-'Line Follower'!$C$5)))</f>
        <v>7</v>
      </c>
      <c r="O1540" s="22">
        <v>1</v>
      </c>
      <c r="P1540" s="4">
        <f t="shared" si="120"/>
        <v>0</v>
      </c>
      <c r="Q1540" s="4">
        <f t="shared" si="121"/>
        <v>0</v>
      </c>
      <c r="R1540" s="4">
        <f>IF(AND(B1540=1,N1540&gt;'Line Follower'!$C$7,SUM(C1540:K1540)&lt;4),1,0)</f>
        <v>1</v>
      </c>
      <c r="S1540" s="4">
        <f>IF(AND(L1540=1,N1540&lt;'Line Follower'!$C$6,SUM(C1540:K1540)&lt;4),1,0)</f>
        <v>0</v>
      </c>
      <c r="T1540" s="4">
        <f t="shared" ref="T1540:T1603" si="122">IF(ISNA(N1540),NA(),IF(SUM(C1540:L1540)=0,1,0))</f>
        <v>0</v>
      </c>
      <c r="U1540" s="5">
        <f t="shared" ref="U1540:U1603" si="123">IF(ISNA(N1540),NA(),IF(SUM(B1540:K1540)=0,1,0))</f>
        <v>0</v>
      </c>
      <c r="V1540" s="23">
        <f t="shared" ref="V1540:V1603" si="124">IF(ISNA(N1540),NA(),IF(SUM(B1540:L1540)=0,1,0))</f>
        <v>0</v>
      </c>
    </row>
    <row r="1541" spans="2:22" x14ac:dyDescent="0.25">
      <c r="B1541" s="16">
        <v>0</v>
      </c>
      <c r="C1541" s="7">
        <v>1</v>
      </c>
      <c r="D1541" s="8">
        <v>0</v>
      </c>
      <c r="E1541" s="8">
        <v>0</v>
      </c>
      <c r="F1541" s="8">
        <v>0</v>
      </c>
      <c r="G1541" s="8">
        <v>0</v>
      </c>
      <c r="H1541" s="8">
        <v>0</v>
      </c>
      <c r="I1541" s="8">
        <v>0</v>
      </c>
      <c r="J1541" s="8">
        <v>0</v>
      </c>
      <c r="K1541" s="9">
        <v>1</v>
      </c>
      <c r="L1541" s="10">
        <v>1</v>
      </c>
      <c r="M1541" s="6">
        <v>0</v>
      </c>
      <c r="N1541" s="37" t="e" cm="1">
        <f t="array" ref="N1541">IF(OR(ISNUMBER(FIND(Aux!$D$3:$D$9,_xlfn.TEXTJOIN(,,C1541:K1541)))),NA(),IF(AND(SUM(C1541:F1541,H1541:K1541)=0,G1541=1),0,INT((SUMPRODUCT(C1541:F1541,COLUMN($A$1:$D$1)-1)+SUMPRODUCT(H1541:K1541,COLUMN($E$1:$H$1)-1))*'Line Follower'!$C$3/SUM(C1541:F1541,H1541:K1541)-'Line Follower'!$C$5)))</f>
        <v>#N/A</v>
      </c>
      <c r="O1541" s="22" t="e">
        <v>#N/A</v>
      </c>
      <c r="P1541" s="4" t="e">
        <f t="shared" si="120"/>
        <v>#N/A</v>
      </c>
      <c r="Q1541" s="4" t="e">
        <f t="shared" si="121"/>
        <v>#N/A</v>
      </c>
      <c r="R1541" s="4" t="e">
        <f>IF(AND(B1541=1,N1541&gt;'Line Follower'!$C$7,SUM(C1541:K1541)&lt;4),1,0)</f>
        <v>#N/A</v>
      </c>
      <c r="S1541" s="4" t="e">
        <f>IF(AND(L1541=1,N1541&lt;'Line Follower'!$C$6,SUM(C1541:K1541)&lt;4),1,0)</f>
        <v>#N/A</v>
      </c>
      <c r="T1541" s="4" t="e">
        <f t="shared" si="122"/>
        <v>#N/A</v>
      </c>
      <c r="U1541" s="5" t="e">
        <f t="shared" si="123"/>
        <v>#N/A</v>
      </c>
      <c r="V1541" s="23" t="e">
        <f t="shared" si="124"/>
        <v>#N/A</v>
      </c>
    </row>
    <row r="1542" spans="2:22" x14ac:dyDescent="0.25">
      <c r="B1542" s="16">
        <v>1</v>
      </c>
      <c r="C1542" s="7">
        <v>1</v>
      </c>
      <c r="D1542" s="8">
        <v>0</v>
      </c>
      <c r="E1542" s="8">
        <v>0</v>
      </c>
      <c r="F1542" s="8">
        <v>0</v>
      </c>
      <c r="G1542" s="8">
        <v>0</v>
      </c>
      <c r="H1542" s="8">
        <v>0</v>
      </c>
      <c r="I1542" s="8">
        <v>0</v>
      </c>
      <c r="J1542" s="8">
        <v>0</v>
      </c>
      <c r="K1542" s="9">
        <v>1</v>
      </c>
      <c r="L1542" s="10">
        <v>1</v>
      </c>
      <c r="M1542" s="6">
        <v>0</v>
      </c>
      <c r="N1542" s="37" t="e" cm="1">
        <f t="array" ref="N1542">IF(OR(ISNUMBER(FIND(Aux!$D$3:$D$9,_xlfn.TEXTJOIN(,,C1542:K1542)))),NA(),IF(AND(SUM(C1542:F1542,H1542:K1542)=0,G1542=1),0,INT((SUMPRODUCT(C1542:F1542,COLUMN($A$1:$D$1)-1)+SUMPRODUCT(H1542:K1542,COLUMN($E$1:$H$1)-1))*'Line Follower'!$C$3/SUM(C1542:F1542,H1542:K1542)-'Line Follower'!$C$5)))</f>
        <v>#N/A</v>
      </c>
      <c r="O1542" s="22" t="e">
        <v>#N/A</v>
      </c>
      <c r="P1542" s="4" t="e">
        <f t="shared" si="120"/>
        <v>#N/A</v>
      </c>
      <c r="Q1542" s="4" t="e">
        <f t="shared" si="121"/>
        <v>#N/A</v>
      </c>
      <c r="R1542" s="4" t="e">
        <f>IF(AND(B1542=1,N1542&gt;'Line Follower'!$C$7,SUM(C1542:K1542)&lt;4),1,0)</f>
        <v>#N/A</v>
      </c>
      <c r="S1542" s="4" t="e">
        <f>IF(AND(L1542=1,N1542&lt;'Line Follower'!$C$6,SUM(C1542:K1542)&lt;4),1,0)</f>
        <v>#N/A</v>
      </c>
      <c r="T1542" s="4" t="e">
        <f t="shared" si="122"/>
        <v>#N/A</v>
      </c>
      <c r="U1542" s="5" t="e">
        <f t="shared" si="123"/>
        <v>#N/A</v>
      </c>
      <c r="V1542" s="23" t="e">
        <f t="shared" si="124"/>
        <v>#N/A</v>
      </c>
    </row>
    <row r="1543" spans="2:22" x14ac:dyDescent="0.25">
      <c r="B1543" s="16">
        <v>0</v>
      </c>
      <c r="C1543" s="7">
        <v>0</v>
      </c>
      <c r="D1543" s="8">
        <v>1</v>
      </c>
      <c r="E1543" s="8">
        <v>0</v>
      </c>
      <c r="F1543" s="8">
        <v>0</v>
      </c>
      <c r="G1543" s="8">
        <v>0</v>
      </c>
      <c r="H1543" s="8">
        <v>0</v>
      </c>
      <c r="I1543" s="8">
        <v>0</v>
      </c>
      <c r="J1543" s="8">
        <v>0</v>
      </c>
      <c r="K1543" s="9">
        <v>1</v>
      </c>
      <c r="L1543" s="10">
        <v>1</v>
      </c>
      <c r="M1543" s="6">
        <v>0</v>
      </c>
      <c r="N1543" s="37" t="e" cm="1">
        <f t="array" ref="N1543">IF(OR(ISNUMBER(FIND(Aux!$D$3:$D$9,_xlfn.TEXTJOIN(,,C1543:K1543)))),NA(),IF(AND(SUM(C1543:F1543,H1543:K1543)=0,G1543=1),0,INT((SUMPRODUCT(C1543:F1543,COLUMN($A$1:$D$1)-1)+SUMPRODUCT(H1543:K1543,COLUMN($E$1:$H$1)-1))*'Line Follower'!$C$3/SUM(C1543:F1543,H1543:K1543)-'Line Follower'!$C$5)))</f>
        <v>#N/A</v>
      </c>
      <c r="O1543" s="22" t="e">
        <v>#N/A</v>
      </c>
      <c r="P1543" s="4" t="e">
        <f t="shared" si="120"/>
        <v>#N/A</v>
      </c>
      <c r="Q1543" s="4" t="e">
        <f t="shared" si="121"/>
        <v>#N/A</v>
      </c>
      <c r="R1543" s="4" t="e">
        <f>IF(AND(B1543=1,N1543&gt;'Line Follower'!$C$7,SUM(C1543:K1543)&lt;4),1,0)</f>
        <v>#N/A</v>
      </c>
      <c r="S1543" s="4" t="e">
        <f>IF(AND(L1543=1,N1543&lt;'Line Follower'!$C$6,SUM(C1543:K1543)&lt;4),1,0)</f>
        <v>#N/A</v>
      </c>
      <c r="T1543" s="4" t="e">
        <f t="shared" si="122"/>
        <v>#N/A</v>
      </c>
      <c r="U1543" s="5" t="e">
        <f t="shared" si="123"/>
        <v>#N/A</v>
      </c>
      <c r="V1543" s="23" t="e">
        <f t="shared" si="124"/>
        <v>#N/A</v>
      </c>
    </row>
    <row r="1544" spans="2:22" x14ac:dyDescent="0.25">
      <c r="B1544" s="16">
        <v>1</v>
      </c>
      <c r="C1544" s="7">
        <v>0</v>
      </c>
      <c r="D1544" s="8">
        <v>1</v>
      </c>
      <c r="E1544" s="8">
        <v>0</v>
      </c>
      <c r="F1544" s="8">
        <v>0</v>
      </c>
      <c r="G1544" s="8">
        <v>0</v>
      </c>
      <c r="H1544" s="8">
        <v>0</v>
      </c>
      <c r="I1544" s="8">
        <v>0</v>
      </c>
      <c r="J1544" s="8">
        <v>0</v>
      </c>
      <c r="K1544" s="9">
        <v>1</v>
      </c>
      <c r="L1544" s="10">
        <v>1</v>
      </c>
      <c r="M1544" s="6">
        <v>0</v>
      </c>
      <c r="N1544" s="37" t="e" cm="1">
        <f t="array" ref="N1544">IF(OR(ISNUMBER(FIND(Aux!$D$3:$D$9,_xlfn.TEXTJOIN(,,C1544:K1544)))),NA(),IF(AND(SUM(C1544:F1544,H1544:K1544)=0,G1544=1),0,INT((SUMPRODUCT(C1544:F1544,COLUMN($A$1:$D$1)-1)+SUMPRODUCT(H1544:K1544,COLUMN($E$1:$H$1)-1))*'Line Follower'!$C$3/SUM(C1544:F1544,H1544:K1544)-'Line Follower'!$C$5)))</f>
        <v>#N/A</v>
      </c>
      <c r="O1544" s="22" t="e">
        <v>#N/A</v>
      </c>
      <c r="P1544" s="4" t="e">
        <f t="shared" si="120"/>
        <v>#N/A</v>
      </c>
      <c r="Q1544" s="4" t="e">
        <f t="shared" si="121"/>
        <v>#N/A</v>
      </c>
      <c r="R1544" s="4" t="e">
        <f>IF(AND(B1544=1,N1544&gt;'Line Follower'!$C$7,SUM(C1544:K1544)&lt;4),1,0)</f>
        <v>#N/A</v>
      </c>
      <c r="S1544" s="4" t="e">
        <f>IF(AND(L1544=1,N1544&lt;'Line Follower'!$C$6,SUM(C1544:K1544)&lt;4),1,0)</f>
        <v>#N/A</v>
      </c>
      <c r="T1544" s="4" t="e">
        <f t="shared" si="122"/>
        <v>#N/A</v>
      </c>
      <c r="U1544" s="5" t="e">
        <f t="shared" si="123"/>
        <v>#N/A</v>
      </c>
      <c r="V1544" s="23" t="e">
        <f t="shared" si="124"/>
        <v>#N/A</v>
      </c>
    </row>
    <row r="1545" spans="2:22" x14ac:dyDescent="0.25">
      <c r="B1545" s="16">
        <v>0</v>
      </c>
      <c r="C1545" s="7">
        <v>1</v>
      </c>
      <c r="D1545" s="8">
        <v>1</v>
      </c>
      <c r="E1545" s="8">
        <v>0</v>
      </c>
      <c r="F1545" s="8">
        <v>0</v>
      </c>
      <c r="G1545" s="8">
        <v>0</v>
      </c>
      <c r="H1545" s="8">
        <v>0</v>
      </c>
      <c r="I1545" s="8">
        <v>0</v>
      </c>
      <c r="J1545" s="8">
        <v>0</v>
      </c>
      <c r="K1545" s="9">
        <v>1</v>
      </c>
      <c r="L1545" s="10">
        <v>1</v>
      </c>
      <c r="M1545" s="6">
        <v>0</v>
      </c>
      <c r="N1545" s="37" t="e" cm="1">
        <f t="array" ref="N1545">IF(OR(ISNUMBER(FIND(Aux!$D$3:$D$9,_xlfn.TEXTJOIN(,,C1545:K1545)))),NA(),IF(AND(SUM(C1545:F1545,H1545:K1545)=0,G1545=1),0,INT((SUMPRODUCT(C1545:F1545,COLUMN($A$1:$D$1)-1)+SUMPRODUCT(H1545:K1545,COLUMN($E$1:$H$1)-1))*'Line Follower'!$C$3/SUM(C1545:F1545,H1545:K1545)-'Line Follower'!$C$5)))</f>
        <v>#N/A</v>
      </c>
      <c r="O1545" s="22" t="e">
        <v>#N/A</v>
      </c>
      <c r="P1545" s="4" t="e">
        <f t="shared" si="120"/>
        <v>#N/A</v>
      </c>
      <c r="Q1545" s="4" t="e">
        <f t="shared" si="121"/>
        <v>#N/A</v>
      </c>
      <c r="R1545" s="4" t="e">
        <f>IF(AND(B1545=1,N1545&gt;'Line Follower'!$C$7,SUM(C1545:K1545)&lt;4),1,0)</f>
        <v>#N/A</v>
      </c>
      <c r="S1545" s="4" t="e">
        <f>IF(AND(L1545=1,N1545&lt;'Line Follower'!$C$6,SUM(C1545:K1545)&lt;4),1,0)</f>
        <v>#N/A</v>
      </c>
      <c r="T1545" s="4" t="e">
        <f t="shared" si="122"/>
        <v>#N/A</v>
      </c>
      <c r="U1545" s="5" t="e">
        <f t="shared" si="123"/>
        <v>#N/A</v>
      </c>
      <c r="V1545" s="23" t="e">
        <f t="shared" si="124"/>
        <v>#N/A</v>
      </c>
    </row>
    <row r="1546" spans="2:22" x14ac:dyDescent="0.25">
      <c r="B1546" s="16">
        <v>1</v>
      </c>
      <c r="C1546" s="7">
        <v>1</v>
      </c>
      <c r="D1546" s="8">
        <v>1</v>
      </c>
      <c r="E1546" s="8">
        <v>0</v>
      </c>
      <c r="F1546" s="8">
        <v>0</v>
      </c>
      <c r="G1546" s="8">
        <v>0</v>
      </c>
      <c r="H1546" s="8">
        <v>0</v>
      </c>
      <c r="I1546" s="8">
        <v>0</v>
      </c>
      <c r="J1546" s="8">
        <v>0</v>
      </c>
      <c r="K1546" s="9">
        <v>1</v>
      </c>
      <c r="L1546" s="10">
        <v>1</v>
      </c>
      <c r="M1546" s="6">
        <v>0</v>
      </c>
      <c r="N1546" s="37" t="e" cm="1">
        <f t="array" ref="N1546">IF(OR(ISNUMBER(FIND(Aux!$D$3:$D$9,_xlfn.TEXTJOIN(,,C1546:K1546)))),NA(),IF(AND(SUM(C1546:F1546,H1546:K1546)=0,G1546=1),0,INT((SUMPRODUCT(C1546:F1546,COLUMN($A$1:$D$1)-1)+SUMPRODUCT(H1546:K1546,COLUMN($E$1:$H$1)-1))*'Line Follower'!$C$3/SUM(C1546:F1546,H1546:K1546)-'Line Follower'!$C$5)))</f>
        <v>#N/A</v>
      </c>
      <c r="O1546" s="22" t="e">
        <v>#N/A</v>
      </c>
      <c r="P1546" s="4" t="e">
        <f t="shared" si="120"/>
        <v>#N/A</v>
      </c>
      <c r="Q1546" s="4" t="e">
        <f t="shared" si="121"/>
        <v>#N/A</v>
      </c>
      <c r="R1546" s="4" t="e">
        <f>IF(AND(B1546=1,N1546&gt;'Line Follower'!$C$7,SUM(C1546:K1546)&lt;4),1,0)</f>
        <v>#N/A</v>
      </c>
      <c r="S1546" s="4" t="e">
        <f>IF(AND(L1546=1,N1546&lt;'Line Follower'!$C$6,SUM(C1546:K1546)&lt;4),1,0)</f>
        <v>#N/A</v>
      </c>
      <c r="T1546" s="4" t="e">
        <f t="shared" si="122"/>
        <v>#N/A</v>
      </c>
      <c r="U1546" s="5" t="e">
        <f t="shared" si="123"/>
        <v>#N/A</v>
      </c>
      <c r="V1546" s="23" t="e">
        <f t="shared" si="124"/>
        <v>#N/A</v>
      </c>
    </row>
    <row r="1547" spans="2:22" x14ac:dyDescent="0.25">
      <c r="B1547" s="16">
        <v>0</v>
      </c>
      <c r="C1547" s="7">
        <v>0</v>
      </c>
      <c r="D1547" s="8">
        <v>0</v>
      </c>
      <c r="E1547" s="8">
        <v>1</v>
      </c>
      <c r="F1547" s="8">
        <v>0</v>
      </c>
      <c r="G1547" s="8">
        <v>0</v>
      </c>
      <c r="H1547" s="8">
        <v>0</v>
      </c>
      <c r="I1547" s="8">
        <v>0</v>
      </c>
      <c r="J1547" s="8">
        <v>0</v>
      </c>
      <c r="K1547" s="9">
        <v>1</v>
      </c>
      <c r="L1547" s="10">
        <v>1</v>
      </c>
      <c r="M1547" s="6">
        <v>0</v>
      </c>
      <c r="N1547" s="37" t="e" cm="1">
        <f t="array" ref="N1547">IF(OR(ISNUMBER(FIND(Aux!$D$3:$D$9,_xlfn.TEXTJOIN(,,C1547:K1547)))),NA(),IF(AND(SUM(C1547:F1547,H1547:K1547)=0,G1547=1),0,INT((SUMPRODUCT(C1547:F1547,COLUMN($A$1:$D$1)-1)+SUMPRODUCT(H1547:K1547,COLUMN($E$1:$H$1)-1))*'Line Follower'!$C$3/SUM(C1547:F1547,H1547:K1547)-'Line Follower'!$C$5)))</f>
        <v>#N/A</v>
      </c>
      <c r="O1547" s="22" t="e">
        <v>#N/A</v>
      </c>
      <c r="P1547" s="4" t="e">
        <f t="shared" si="120"/>
        <v>#N/A</v>
      </c>
      <c r="Q1547" s="4" t="e">
        <f t="shared" si="121"/>
        <v>#N/A</v>
      </c>
      <c r="R1547" s="4" t="e">
        <f>IF(AND(B1547=1,N1547&gt;'Line Follower'!$C$7,SUM(C1547:K1547)&lt;4),1,0)</f>
        <v>#N/A</v>
      </c>
      <c r="S1547" s="4" t="e">
        <f>IF(AND(L1547=1,N1547&lt;'Line Follower'!$C$6,SUM(C1547:K1547)&lt;4),1,0)</f>
        <v>#N/A</v>
      </c>
      <c r="T1547" s="4" t="e">
        <f t="shared" si="122"/>
        <v>#N/A</v>
      </c>
      <c r="U1547" s="5" t="e">
        <f t="shared" si="123"/>
        <v>#N/A</v>
      </c>
      <c r="V1547" s="23" t="e">
        <f t="shared" si="124"/>
        <v>#N/A</v>
      </c>
    </row>
    <row r="1548" spans="2:22" x14ac:dyDescent="0.25">
      <c r="B1548" s="16">
        <v>1</v>
      </c>
      <c r="C1548" s="7">
        <v>0</v>
      </c>
      <c r="D1548" s="8">
        <v>0</v>
      </c>
      <c r="E1548" s="8">
        <v>1</v>
      </c>
      <c r="F1548" s="8">
        <v>0</v>
      </c>
      <c r="G1548" s="8">
        <v>0</v>
      </c>
      <c r="H1548" s="8">
        <v>0</v>
      </c>
      <c r="I1548" s="8">
        <v>0</v>
      </c>
      <c r="J1548" s="8">
        <v>0</v>
      </c>
      <c r="K1548" s="9">
        <v>1</v>
      </c>
      <c r="L1548" s="10">
        <v>1</v>
      </c>
      <c r="M1548" s="6">
        <v>0</v>
      </c>
      <c r="N1548" s="37" t="e" cm="1">
        <f t="array" ref="N1548">IF(OR(ISNUMBER(FIND(Aux!$D$3:$D$9,_xlfn.TEXTJOIN(,,C1548:K1548)))),NA(),IF(AND(SUM(C1548:F1548,H1548:K1548)=0,G1548=1),0,INT((SUMPRODUCT(C1548:F1548,COLUMN($A$1:$D$1)-1)+SUMPRODUCT(H1548:K1548,COLUMN($E$1:$H$1)-1))*'Line Follower'!$C$3/SUM(C1548:F1548,H1548:K1548)-'Line Follower'!$C$5)))</f>
        <v>#N/A</v>
      </c>
      <c r="O1548" s="22" t="e">
        <v>#N/A</v>
      </c>
      <c r="P1548" s="4" t="e">
        <f t="shared" si="120"/>
        <v>#N/A</v>
      </c>
      <c r="Q1548" s="4" t="e">
        <f t="shared" si="121"/>
        <v>#N/A</v>
      </c>
      <c r="R1548" s="4" t="e">
        <f>IF(AND(B1548=1,N1548&gt;'Line Follower'!$C$7,SUM(C1548:K1548)&lt;4),1,0)</f>
        <v>#N/A</v>
      </c>
      <c r="S1548" s="4" t="e">
        <f>IF(AND(L1548=1,N1548&lt;'Line Follower'!$C$6,SUM(C1548:K1548)&lt;4),1,0)</f>
        <v>#N/A</v>
      </c>
      <c r="T1548" s="4" t="e">
        <f t="shared" si="122"/>
        <v>#N/A</v>
      </c>
      <c r="U1548" s="5" t="e">
        <f t="shared" si="123"/>
        <v>#N/A</v>
      </c>
      <c r="V1548" s="23" t="e">
        <f t="shared" si="124"/>
        <v>#N/A</v>
      </c>
    </row>
    <row r="1549" spans="2:22" x14ac:dyDescent="0.25">
      <c r="B1549" s="16">
        <v>0</v>
      </c>
      <c r="C1549" s="7">
        <v>1</v>
      </c>
      <c r="D1549" s="8">
        <v>0</v>
      </c>
      <c r="E1549" s="8">
        <v>1</v>
      </c>
      <c r="F1549" s="8">
        <v>0</v>
      </c>
      <c r="G1549" s="8">
        <v>0</v>
      </c>
      <c r="H1549" s="8">
        <v>0</v>
      </c>
      <c r="I1549" s="8">
        <v>0</v>
      </c>
      <c r="J1549" s="8">
        <v>0</v>
      </c>
      <c r="K1549" s="9">
        <v>1</v>
      </c>
      <c r="L1549" s="10">
        <v>1</v>
      </c>
      <c r="M1549" s="6">
        <v>0</v>
      </c>
      <c r="N1549" s="37" t="e" cm="1">
        <f t="array" ref="N1549">IF(OR(ISNUMBER(FIND(Aux!$D$3:$D$9,_xlfn.TEXTJOIN(,,C1549:K1549)))),NA(),IF(AND(SUM(C1549:F1549,H1549:K1549)=0,G1549=1),0,INT((SUMPRODUCT(C1549:F1549,COLUMN($A$1:$D$1)-1)+SUMPRODUCT(H1549:K1549,COLUMN($E$1:$H$1)-1))*'Line Follower'!$C$3/SUM(C1549:F1549,H1549:K1549)-'Line Follower'!$C$5)))</f>
        <v>#N/A</v>
      </c>
      <c r="O1549" s="22" t="e">
        <v>#N/A</v>
      </c>
      <c r="P1549" s="4" t="e">
        <f t="shared" si="120"/>
        <v>#N/A</v>
      </c>
      <c r="Q1549" s="4" t="e">
        <f t="shared" si="121"/>
        <v>#N/A</v>
      </c>
      <c r="R1549" s="4" t="e">
        <f>IF(AND(B1549=1,N1549&gt;'Line Follower'!$C$7,SUM(C1549:K1549)&lt;4),1,0)</f>
        <v>#N/A</v>
      </c>
      <c r="S1549" s="4" t="e">
        <f>IF(AND(L1549=1,N1549&lt;'Line Follower'!$C$6,SUM(C1549:K1549)&lt;4),1,0)</f>
        <v>#N/A</v>
      </c>
      <c r="T1549" s="4" t="e">
        <f t="shared" si="122"/>
        <v>#N/A</v>
      </c>
      <c r="U1549" s="5" t="e">
        <f t="shared" si="123"/>
        <v>#N/A</v>
      </c>
      <c r="V1549" s="23" t="e">
        <f t="shared" si="124"/>
        <v>#N/A</v>
      </c>
    </row>
    <row r="1550" spans="2:22" x14ac:dyDescent="0.25">
      <c r="B1550" s="16">
        <v>1</v>
      </c>
      <c r="C1550" s="7">
        <v>1</v>
      </c>
      <c r="D1550" s="8">
        <v>0</v>
      </c>
      <c r="E1550" s="8">
        <v>1</v>
      </c>
      <c r="F1550" s="8">
        <v>0</v>
      </c>
      <c r="G1550" s="8">
        <v>0</v>
      </c>
      <c r="H1550" s="8">
        <v>0</v>
      </c>
      <c r="I1550" s="8">
        <v>0</v>
      </c>
      <c r="J1550" s="8">
        <v>0</v>
      </c>
      <c r="K1550" s="9">
        <v>1</v>
      </c>
      <c r="L1550" s="10">
        <v>1</v>
      </c>
      <c r="M1550" s="6">
        <v>0</v>
      </c>
      <c r="N1550" s="37" t="e" cm="1">
        <f t="array" ref="N1550">IF(OR(ISNUMBER(FIND(Aux!$D$3:$D$9,_xlfn.TEXTJOIN(,,C1550:K1550)))),NA(),IF(AND(SUM(C1550:F1550,H1550:K1550)=0,G1550=1),0,INT((SUMPRODUCT(C1550:F1550,COLUMN($A$1:$D$1)-1)+SUMPRODUCT(H1550:K1550,COLUMN($E$1:$H$1)-1))*'Line Follower'!$C$3/SUM(C1550:F1550,H1550:K1550)-'Line Follower'!$C$5)))</f>
        <v>#N/A</v>
      </c>
      <c r="O1550" s="22" t="e">
        <v>#N/A</v>
      </c>
      <c r="P1550" s="4" t="e">
        <f t="shared" si="120"/>
        <v>#N/A</v>
      </c>
      <c r="Q1550" s="4" t="e">
        <f t="shared" si="121"/>
        <v>#N/A</v>
      </c>
      <c r="R1550" s="4" t="e">
        <f>IF(AND(B1550=1,N1550&gt;'Line Follower'!$C$7,SUM(C1550:K1550)&lt;4),1,0)</f>
        <v>#N/A</v>
      </c>
      <c r="S1550" s="4" t="e">
        <f>IF(AND(L1550=1,N1550&lt;'Line Follower'!$C$6,SUM(C1550:K1550)&lt;4),1,0)</f>
        <v>#N/A</v>
      </c>
      <c r="T1550" s="4" t="e">
        <f t="shared" si="122"/>
        <v>#N/A</v>
      </c>
      <c r="U1550" s="5" t="e">
        <f t="shared" si="123"/>
        <v>#N/A</v>
      </c>
      <c r="V1550" s="23" t="e">
        <f t="shared" si="124"/>
        <v>#N/A</v>
      </c>
    </row>
    <row r="1551" spans="2:22" x14ac:dyDescent="0.25">
      <c r="B1551" s="16">
        <v>0</v>
      </c>
      <c r="C1551" s="7">
        <v>0</v>
      </c>
      <c r="D1551" s="8">
        <v>1</v>
      </c>
      <c r="E1551" s="8">
        <v>1</v>
      </c>
      <c r="F1551" s="8">
        <v>0</v>
      </c>
      <c r="G1551" s="8">
        <v>0</v>
      </c>
      <c r="H1551" s="8">
        <v>0</v>
      </c>
      <c r="I1551" s="8">
        <v>0</v>
      </c>
      <c r="J1551" s="8">
        <v>0</v>
      </c>
      <c r="K1551" s="9">
        <v>1</v>
      </c>
      <c r="L1551" s="10">
        <v>1</v>
      </c>
      <c r="M1551" s="6">
        <v>0</v>
      </c>
      <c r="N1551" s="37" t="e" cm="1">
        <f t="array" ref="N1551">IF(OR(ISNUMBER(FIND(Aux!$D$3:$D$9,_xlfn.TEXTJOIN(,,C1551:K1551)))),NA(),IF(AND(SUM(C1551:F1551,H1551:K1551)=0,G1551=1),0,INT((SUMPRODUCT(C1551:F1551,COLUMN($A$1:$D$1)-1)+SUMPRODUCT(H1551:K1551,COLUMN($E$1:$H$1)-1))*'Line Follower'!$C$3/SUM(C1551:F1551,H1551:K1551)-'Line Follower'!$C$5)))</f>
        <v>#N/A</v>
      </c>
      <c r="O1551" s="22" t="e">
        <v>#N/A</v>
      </c>
      <c r="P1551" s="4" t="e">
        <f t="shared" si="120"/>
        <v>#N/A</v>
      </c>
      <c r="Q1551" s="4" t="e">
        <f t="shared" si="121"/>
        <v>#N/A</v>
      </c>
      <c r="R1551" s="4" t="e">
        <f>IF(AND(B1551=1,N1551&gt;'Line Follower'!$C$7,SUM(C1551:K1551)&lt;4),1,0)</f>
        <v>#N/A</v>
      </c>
      <c r="S1551" s="4" t="e">
        <f>IF(AND(L1551=1,N1551&lt;'Line Follower'!$C$6,SUM(C1551:K1551)&lt;4),1,0)</f>
        <v>#N/A</v>
      </c>
      <c r="T1551" s="4" t="e">
        <f t="shared" si="122"/>
        <v>#N/A</v>
      </c>
      <c r="U1551" s="5" t="e">
        <f t="shared" si="123"/>
        <v>#N/A</v>
      </c>
      <c r="V1551" s="23" t="e">
        <f t="shared" si="124"/>
        <v>#N/A</v>
      </c>
    </row>
    <row r="1552" spans="2:22" x14ac:dyDescent="0.25">
      <c r="B1552" s="16">
        <v>1</v>
      </c>
      <c r="C1552" s="7">
        <v>0</v>
      </c>
      <c r="D1552" s="8">
        <v>1</v>
      </c>
      <c r="E1552" s="8">
        <v>1</v>
      </c>
      <c r="F1552" s="8">
        <v>0</v>
      </c>
      <c r="G1552" s="8">
        <v>0</v>
      </c>
      <c r="H1552" s="8">
        <v>0</v>
      </c>
      <c r="I1552" s="8">
        <v>0</v>
      </c>
      <c r="J1552" s="8">
        <v>0</v>
      </c>
      <c r="K1552" s="9">
        <v>1</v>
      </c>
      <c r="L1552" s="10">
        <v>1</v>
      </c>
      <c r="M1552" s="6">
        <v>0</v>
      </c>
      <c r="N1552" s="37" t="e" cm="1">
        <f t="array" ref="N1552">IF(OR(ISNUMBER(FIND(Aux!$D$3:$D$9,_xlfn.TEXTJOIN(,,C1552:K1552)))),NA(),IF(AND(SUM(C1552:F1552,H1552:K1552)=0,G1552=1),0,INT((SUMPRODUCT(C1552:F1552,COLUMN($A$1:$D$1)-1)+SUMPRODUCT(H1552:K1552,COLUMN($E$1:$H$1)-1))*'Line Follower'!$C$3/SUM(C1552:F1552,H1552:K1552)-'Line Follower'!$C$5)))</f>
        <v>#N/A</v>
      </c>
      <c r="O1552" s="22" t="e">
        <v>#N/A</v>
      </c>
      <c r="P1552" s="4" t="e">
        <f t="shared" si="120"/>
        <v>#N/A</v>
      </c>
      <c r="Q1552" s="4" t="e">
        <f t="shared" si="121"/>
        <v>#N/A</v>
      </c>
      <c r="R1552" s="4" t="e">
        <f>IF(AND(B1552=1,N1552&gt;'Line Follower'!$C$7,SUM(C1552:K1552)&lt;4),1,0)</f>
        <v>#N/A</v>
      </c>
      <c r="S1552" s="4" t="e">
        <f>IF(AND(L1552=1,N1552&lt;'Line Follower'!$C$6,SUM(C1552:K1552)&lt;4),1,0)</f>
        <v>#N/A</v>
      </c>
      <c r="T1552" s="4" t="e">
        <f t="shared" si="122"/>
        <v>#N/A</v>
      </c>
      <c r="U1552" s="5" t="e">
        <f t="shared" si="123"/>
        <v>#N/A</v>
      </c>
      <c r="V1552" s="23" t="e">
        <f t="shared" si="124"/>
        <v>#N/A</v>
      </c>
    </row>
    <row r="1553" spans="2:22" x14ac:dyDescent="0.25">
      <c r="B1553" s="16">
        <v>0</v>
      </c>
      <c r="C1553" s="7">
        <v>1</v>
      </c>
      <c r="D1553" s="8">
        <v>1</v>
      </c>
      <c r="E1553" s="8">
        <v>1</v>
      </c>
      <c r="F1553" s="8">
        <v>0</v>
      </c>
      <c r="G1553" s="8">
        <v>0</v>
      </c>
      <c r="H1553" s="8">
        <v>0</v>
      </c>
      <c r="I1553" s="8">
        <v>0</v>
      </c>
      <c r="J1553" s="8">
        <v>0</v>
      </c>
      <c r="K1553" s="9">
        <v>1</v>
      </c>
      <c r="L1553" s="10">
        <v>1</v>
      </c>
      <c r="M1553" s="6">
        <v>0</v>
      </c>
      <c r="N1553" s="37" t="e" cm="1">
        <f t="array" ref="N1553">IF(OR(ISNUMBER(FIND(Aux!$D$3:$D$9,_xlfn.TEXTJOIN(,,C1553:K1553)))),NA(),IF(AND(SUM(C1553:F1553,H1553:K1553)=0,G1553=1),0,INT((SUMPRODUCT(C1553:F1553,COLUMN($A$1:$D$1)-1)+SUMPRODUCT(H1553:K1553,COLUMN($E$1:$H$1)-1))*'Line Follower'!$C$3/SUM(C1553:F1553,H1553:K1553)-'Line Follower'!$C$5)))</f>
        <v>#N/A</v>
      </c>
      <c r="O1553" s="22" t="e">
        <v>#N/A</v>
      </c>
      <c r="P1553" s="4" t="e">
        <f t="shared" si="120"/>
        <v>#N/A</v>
      </c>
      <c r="Q1553" s="4" t="e">
        <f t="shared" si="121"/>
        <v>#N/A</v>
      </c>
      <c r="R1553" s="4" t="e">
        <f>IF(AND(B1553=1,N1553&gt;'Line Follower'!$C$7,SUM(C1553:K1553)&lt;4),1,0)</f>
        <v>#N/A</v>
      </c>
      <c r="S1553" s="4" t="e">
        <f>IF(AND(L1553=1,N1553&lt;'Line Follower'!$C$6,SUM(C1553:K1553)&lt;4),1,0)</f>
        <v>#N/A</v>
      </c>
      <c r="T1553" s="4" t="e">
        <f t="shared" si="122"/>
        <v>#N/A</v>
      </c>
      <c r="U1553" s="5" t="e">
        <f t="shared" si="123"/>
        <v>#N/A</v>
      </c>
      <c r="V1553" s="23" t="e">
        <f t="shared" si="124"/>
        <v>#N/A</v>
      </c>
    </row>
    <row r="1554" spans="2:22" x14ac:dyDescent="0.25">
      <c r="B1554" s="16">
        <v>1</v>
      </c>
      <c r="C1554" s="7">
        <v>1</v>
      </c>
      <c r="D1554" s="8">
        <v>1</v>
      </c>
      <c r="E1554" s="8">
        <v>1</v>
      </c>
      <c r="F1554" s="8">
        <v>0</v>
      </c>
      <c r="G1554" s="8">
        <v>0</v>
      </c>
      <c r="H1554" s="8">
        <v>0</v>
      </c>
      <c r="I1554" s="8">
        <v>0</v>
      </c>
      <c r="J1554" s="8">
        <v>0</v>
      </c>
      <c r="K1554" s="9">
        <v>1</v>
      </c>
      <c r="L1554" s="10">
        <v>1</v>
      </c>
      <c r="M1554" s="6">
        <v>0</v>
      </c>
      <c r="N1554" s="37" t="e" cm="1">
        <f t="array" ref="N1554">IF(OR(ISNUMBER(FIND(Aux!$D$3:$D$9,_xlfn.TEXTJOIN(,,C1554:K1554)))),NA(),IF(AND(SUM(C1554:F1554,H1554:K1554)=0,G1554=1),0,INT((SUMPRODUCT(C1554:F1554,COLUMN($A$1:$D$1)-1)+SUMPRODUCT(H1554:K1554,COLUMN($E$1:$H$1)-1))*'Line Follower'!$C$3/SUM(C1554:F1554,H1554:K1554)-'Line Follower'!$C$5)))</f>
        <v>#N/A</v>
      </c>
      <c r="O1554" s="22" t="e">
        <v>#N/A</v>
      </c>
      <c r="P1554" s="4" t="e">
        <f t="shared" si="120"/>
        <v>#N/A</v>
      </c>
      <c r="Q1554" s="4" t="e">
        <f t="shared" si="121"/>
        <v>#N/A</v>
      </c>
      <c r="R1554" s="4" t="e">
        <f>IF(AND(B1554=1,N1554&gt;'Line Follower'!$C$7,SUM(C1554:K1554)&lt;4),1,0)</f>
        <v>#N/A</v>
      </c>
      <c r="S1554" s="4" t="e">
        <f>IF(AND(L1554=1,N1554&lt;'Line Follower'!$C$6,SUM(C1554:K1554)&lt;4),1,0)</f>
        <v>#N/A</v>
      </c>
      <c r="T1554" s="4" t="e">
        <f t="shared" si="122"/>
        <v>#N/A</v>
      </c>
      <c r="U1554" s="5" t="e">
        <f t="shared" si="123"/>
        <v>#N/A</v>
      </c>
      <c r="V1554" s="23" t="e">
        <f t="shared" si="124"/>
        <v>#N/A</v>
      </c>
    </row>
    <row r="1555" spans="2:22" x14ac:dyDescent="0.25">
      <c r="B1555" s="16">
        <v>0</v>
      </c>
      <c r="C1555" s="7">
        <v>0</v>
      </c>
      <c r="D1555" s="8">
        <v>0</v>
      </c>
      <c r="E1555" s="8">
        <v>0</v>
      </c>
      <c r="F1555" s="8">
        <v>1</v>
      </c>
      <c r="G1555" s="8">
        <v>0</v>
      </c>
      <c r="H1555" s="8">
        <v>0</v>
      </c>
      <c r="I1555" s="8">
        <v>0</v>
      </c>
      <c r="J1555" s="8">
        <v>0</v>
      </c>
      <c r="K1555" s="9">
        <v>1</v>
      </c>
      <c r="L1555" s="10">
        <v>1</v>
      </c>
      <c r="M1555" s="6">
        <v>0</v>
      </c>
      <c r="N1555" s="37" t="e" cm="1">
        <f t="array" ref="N1555">IF(OR(ISNUMBER(FIND(Aux!$D$3:$D$9,_xlfn.TEXTJOIN(,,C1555:K1555)))),NA(),IF(AND(SUM(C1555:F1555,H1555:K1555)=0,G1555=1),0,INT((SUMPRODUCT(C1555:F1555,COLUMN($A$1:$D$1)-1)+SUMPRODUCT(H1555:K1555,COLUMN($E$1:$H$1)-1))*'Line Follower'!$C$3/SUM(C1555:F1555,H1555:K1555)-'Line Follower'!$C$5)))</f>
        <v>#N/A</v>
      </c>
      <c r="O1555" s="22" t="e">
        <v>#N/A</v>
      </c>
      <c r="P1555" s="4" t="e">
        <f t="shared" si="120"/>
        <v>#N/A</v>
      </c>
      <c r="Q1555" s="4" t="e">
        <f t="shared" si="121"/>
        <v>#N/A</v>
      </c>
      <c r="R1555" s="4" t="e">
        <f>IF(AND(B1555=1,N1555&gt;'Line Follower'!$C$7,SUM(C1555:K1555)&lt;4),1,0)</f>
        <v>#N/A</v>
      </c>
      <c r="S1555" s="4" t="e">
        <f>IF(AND(L1555=1,N1555&lt;'Line Follower'!$C$6,SUM(C1555:K1555)&lt;4),1,0)</f>
        <v>#N/A</v>
      </c>
      <c r="T1555" s="4" t="e">
        <f t="shared" si="122"/>
        <v>#N/A</v>
      </c>
      <c r="U1555" s="5" t="e">
        <f t="shared" si="123"/>
        <v>#N/A</v>
      </c>
      <c r="V1555" s="23" t="e">
        <f t="shared" si="124"/>
        <v>#N/A</v>
      </c>
    </row>
    <row r="1556" spans="2:22" x14ac:dyDescent="0.25">
      <c r="B1556" s="16">
        <v>1</v>
      </c>
      <c r="C1556" s="7">
        <v>0</v>
      </c>
      <c r="D1556" s="8">
        <v>0</v>
      </c>
      <c r="E1556" s="8">
        <v>0</v>
      </c>
      <c r="F1556" s="8">
        <v>1</v>
      </c>
      <c r="G1556" s="8">
        <v>0</v>
      </c>
      <c r="H1556" s="8">
        <v>0</v>
      </c>
      <c r="I1556" s="8">
        <v>0</v>
      </c>
      <c r="J1556" s="8">
        <v>0</v>
      </c>
      <c r="K1556" s="9">
        <v>1</v>
      </c>
      <c r="L1556" s="10">
        <v>1</v>
      </c>
      <c r="M1556" s="6">
        <v>0</v>
      </c>
      <c r="N1556" s="37" t="e" cm="1">
        <f t="array" ref="N1556">IF(OR(ISNUMBER(FIND(Aux!$D$3:$D$9,_xlfn.TEXTJOIN(,,C1556:K1556)))),NA(),IF(AND(SUM(C1556:F1556,H1556:K1556)=0,G1556=1),0,INT((SUMPRODUCT(C1556:F1556,COLUMN($A$1:$D$1)-1)+SUMPRODUCT(H1556:K1556,COLUMN($E$1:$H$1)-1))*'Line Follower'!$C$3/SUM(C1556:F1556,H1556:K1556)-'Line Follower'!$C$5)))</f>
        <v>#N/A</v>
      </c>
      <c r="O1556" s="22" t="e">
        <v>#N/A</v>
      </c>
      <c r="P1556" s="4" t="e">
        <f t="shared" si="120"/>
        <v>#N/A</v>
      </c>
      <c r="Q1556" s="4" t="e">
        <f t="shared" si="121"/>
        <v>#N/A</v>
      </c>
      <c r="R1556" s="4" t="e">
        <f>IF(AND(B1556=1,N1556&gt;'Line Follower'!$C$7,SUM(C1556:K1556)&lt;4),1,0)</f>
        <v>#N/A</v>
      </c>
      <c r="S1556" s="4" t="e">
        <f>IF(AND(L1556=1,N1556&lt;'Line Follower'!$C$6,SUM(C1556:K1556)&lt;4),1,0)</f>
        <v>#N/A</v>
      </c>
      <c r="T1556" s="4" t="e">
        <f t="shared" si="122"/>
        <v>#N/A</v>
      </c>
      <c r="U1556" s="5" t="e">
        <f t="shared" si="123"/>
        <v>#N/A</v>
      </c>
      <c r="V1556" s="23" t="e">
        <f t="shared" si="124"/>
        <v>#N/A</v>
      </c>
    </row>
    <row r="1557" spans="2:22" x14ac:dyDescent="0.25">
      <c r="B1557" s="16">
        <v>0</v>
      </c>
      <c r="C1557" s="7">
        <v>1</v>
      </c>
      <c r="D1557" s="8">
        <v>0</v>
      </c>
      <c r="E1557" s="8">
        <v>0</v>
      </c>
      <c r="F1557" s="8">
        <v>1</v>
      </c>
      <c r="G1557" s="8">
        <v>0</v>
      </c>
      <c r="H1557" s="8">
        <v>0</v>
      </c>
      <c r="I1557" s="8">
        <v>0</v>
      </c>
      <c r="J1557" s="8">
        <v>0</v>
      </c>
      <c r="K1557" s="9">
        <v>1</v>
      </c>
      <c r="L1557" s="10">
        <v>1</v>
      </c>
      <c r="M1557" s="6">
        <v>0</v>
      </c>
      <c r="N1557" s="37" t="e" cm="1">
        <f t="array" ref="N1557">IF(OR(ISNUMBER(FIND(Aux!$D$3:$D$9,_xlfn.TEXTJOIN(,,C1557:K1557)))),NA(),IF(AND(SUM(C1557:F1557,H1557:K1557)=0,G1557=1),0,INT((SUMPRODUCT(C1557:F1557,COLUMN($A$1:$D$1)-1)+SUMPRODUCT(H1557:K1557,COLUMN($E$1:$H$1)-1))*'Line Follower'!$C$3/SUM(C1557:F1557,H1557:K1557)-'Line Follower'!$C$5)))</f>
        <v>#N/A</v>
      </c>
      <c r="O1557" s="22" t="e">
        <v>#N/A</v>
      </c>
      <c r="P1557" s="4" t="e">
        <f t="shared" si="120"/>
        <v>#N/A</v>
      </c>
      <c r="Q1557" s="4" t="e">
        <f t="shared" si="121"/>
        <v>#N/A</v>
      </c>
      <c r="R1557" s="4" t="e">
        <f>IF(AND(B1557=1,N1557&gt;'Line Follower'!$C$7,SUM(C1557:K1557)&lt;4),1,0)</f>
        <v>#N/A</v>
      </c>
      <c r="S1557" s="4" t="e">
        <f>IF(AND(L1557=1,N1557&lt;'Line Follower'!$C$6,SUM(C1557:K1557)&lt;4),1,0)</f>
        <v>#N/A</v>
      </c>
      <c r="T1557" s="4" t="e">
        <f t="shared" si="122"/>
        <v>#N/A</v>
      </c>
      <c r="U1557" s="5" t="e">
        <f t="shared" si="123"/>
        <v>#N/A</v>
      </c>
      <c r="V1557" s="23" t="e">
        <f t="shared" si="124"/>
        <v>#N/A</v>
      </c>
    </row>
    <row r="1558" spans="2:22" x14ac:dyDescent="0.25">
      <c r="B1558" s="16">
        <v>1</v>
      </c>
      <c r="C1558" s="7">
        <v>1</v>
      </c>
      <c r="D1558" s="8">
        <v>0</v>
      </c>
      <c r="E1558" s="8">
        <v>0</v>
      </c>
      <c r="F1558" s="8">
        <v>1</v>
      </c>
      <c r="G1558" s="8">
        <v>0</v>
      </c>
      <c r="H1558" s="8">
        <v>0</v>
      </c>
      <c r="I1558" s="8">
        <v>0</v>
      </c>
      <c r="J1558" s="8">
        <v>0</v>
      </c>
      <c r="K1558" s="9">
        <v>1</v>
      </c>
      <c r="L1558" s="10">
        <v>1</v>
      </c>
      <c r="M1558" s="6">
        <v>0</v>
      </c>
      <c r="N1558" s="37" t="e" cm="1">
        <f t="array" ref="N1558">IF(OR(ISNUMBER(FIND(Aux!$D$3:$D$9,_xlfn.TEXTJOIN(,,C1558:K1558)))),NA(),IF(AND(SUM(C1558:F1558,H1558:K1558)=0,G1558=1),0,INT((SUMPRODUCT(C1558:F1558,COLUMN($A$1:$D$1)-1)+SUMPRODUCT(H1558:K1558,COLUMN($E$1:$H$1)-1))*'Line Follower'!$C$3/SUM(C1558:F1558,H1558:K1558)-'Line Follower'!$C$5)))</f>
        <v>#N/A</v>
      </c>
      <c r="O1558" s="22" t="e">
        <v>#N/A</v>
      </c>
      <c r="P1558" s="4" t="e">
        <f t="shared" si="120"/>
        <v>#N/A</v>
      </c>
      <c r="Q1558" s="4" t="e">
        <f t="shared" si="121"/>
        <v>#N/A</v>
      </c>
      <c r="R1558" s="4" t="e">
        <f>IF(AND(B1558=1,N1558&gt;'Line Follower'!$C$7,SUM(C1558:K1558)&lt;4),1,0)</f>
        <v>#N/A</v>
      </c>
      <c r="S1558" s="4" t="e">
        <f>IF(AND(L1558=1,N1558&lt;'Line Follower'!$C$6,SUM(C1558:K1558)&lt;4),1,0)</f>
        <v>#N/A</v>
      </c>
      <c r="T1558" s="4" t="e">
        <f t="shared" si="122"/>
        <v>#N/A</v>
      </c>
      <c r="U1558" s="5" t="e">
        <f t="shared" si="123"/>
        <v>#N/A</v>
      </c>
      <c r="V1558" s="23" t="e">
        <f t="shared" si="124"/>
        <v>#N/A</v>
      </c>
    </row>
    <row r="1559" spans="2:22" x14ac:dyDescent="0.25">
      <c r="B1559" s="16">
        <v>0</v>
      </c>
      <c r="C1559" s="7">
        <v>0</v>
      </c>
      <c r="D1559" s="8">
        <v>1</v>
      </c>
      <c r="E1559" s="8">
        <v>0</v>
      </c>
      <c r="F1559" s="8">
        <v>1</v>
      </c>
      <c r="G1559" s="8">
        <v>0</v>
      </c>
      <c r="H1559" s="8">
        <v>0</v>
      </c>
      <c r="I1559" s="8">
        <v>0</v>
      </c>
      <c r="J1559" s="8">
        <v>0</v>
      </c>
      <c r="K1559" s="9">
        <v>1</v>
      </c>
      <c r="L1559" s="10">
        <v>1</v>
      </c>
      <c r="M1559" s="6">
        <v>0</v>
      </c>
      <c r="N1559" s="37" t="e" cm="1">
        <f t="array" ref="N1559">IF(OR(ISNUMBER(FIND(Aux!$D$3:$D$9,_xlfn.TEXTJOIN(,,C1559:K1559)))),NA(),IF(AND(SUM(C1559:F1559,H1559:K1559)=0,G1559=1),0,INT((SUMPRODUCT(C1559:F1559,COLUMN($A$1:$D$1)-1)+SUMPRODUCT(H1559:K1559,COLUMN($E$1:$H$1)-1))*'Line Follower'!$C$3/SUM(C1559:F1559,H1559:K1559)-'Line Follower'!$C$5)))</f>
        <v>#N/A</v>
      </c>
      <c r="O1559" s="22" t="e">
        <v>#N/A</v>
      </c>
      <c r="P1559" s="4" t="e">
        <f t="shared" si="120"/>
        <v>#N/A</v>
      </c>
      <c r="Q1559" s="4" t="e">
        <f t="shared" si="121"/>
        <v>#N/A</v>
      </c>
      <c r="R1559" s="4" t="e">
        <f>IF(AND(B1559=1,N1559&gt;'Line Follower'!$C$7,SUM(C1559:K1559)&lt;4),1,0)</f>
        <v>#N/A</v>
      </c>
      <c r="S1559" s="4" t="e">
        <f>IF(AND(L1559=1,N1559&lt;'Line Follower'!$C$6,SUM(C1559:K1559)&lt;4),1,0)</f>
        <v>#N/A</v>
      </c>
      <c r="T1559" s="4" t="e">
        <f t="shared" si="122"/>
        <v>#N/A</v>
      </c>
      <c r="U1559" s="5" t="e">
        <f t="shared" si="123"/>
        <v>#N/A</v>
      </c>
      <c r="V1559" s="23" t="e">
        <f t="shared" si="124"/>
        <v>#N/A</v>
      </c>
    </row>
    <row r="1560" spans="2:22" x14ac:dyDescent="0.25">
      <c r="B1560" s="16">
        <v>1</v>
      </c>
      <c r="C1560" s="7">
        <v>0</v>
      </c>
      <c r="D1560" s="8">
        <v>1</v>
      </c>
      <c r="E1560" s="8">
        <v>0</v>
      </c>
      <c r="F1560" s="8">
        <v>1</v>
      </c>
      <c r="G1560" s="8">
        <v>0</v>
      </c>
      <c r="H1560" s="8">
        <v>0</v>
      </c>
      <c r="I1560" s="8">
        <v>0</v>
      </c>
      <c r="J1560" s="8">
        <v>0</v>
      </c>
      <c r="K1560" s="9">
        <v>1</v>
      </c>
      <c r="L1560" s="10">
        <v>1</v>
      </c>
      <c r="M1560" s="6">
        <v>0</v>
      </c>
      <c r="N1560" s="37" t="e" cm="1">
        <f t="array" ref="N1560">IF(OR(ISNUMBER(FIND(Aux!$D$3:$D$9,_xlfn.TEXTJOIN(,,C1560:K1560)))),NA(),IF(AND(SUM(C1560:F1560,H1560:K1560)=0,G1560=1),0,INT((SUMPRODUCT(C1560:F1560,COLUMN($A$1:$D$1)-1)+SUMPRODUCT(H1560:K1560,COLUMN($E$1:$H$1)-1))*'Line Follower'!$C$3/SUM(C1560:F1560,H1560:K1560)-'Line Follower'!$C$5)))</f>
        <v>#N/A</v>
      </c>
      <c r="O1560" s="22" t="e">
        <v>#N/A</v>
      </c>
      <c r="P1560" s="4" t="e">
        <f t="shared" si="120"/>
        <v>#N/A</v>
      </c>
      <c r="Q1560" s="4" t="e">
        <f t="shared" si="121"/>
        <v>#N/A</v>
      </c>
      <c r="R1560" s="4" t="e">
        <f>IF(AND(B1560=1,N1560&gt;'Line Follower'!$C$7,SUM(C1560:K1560)&lt;4),1,0)</f>
        <v>#N/A</v>
      </c>
      <c r="S1560" s="4" t="e">
        <f>IF(AND(L1560=1,N1560&lt;'Line Follower'!$C$6,SUM(C1560:K1560)&lt;4),1,0)</f>
        <v>#N/A</v>
      </c>
      <c r="T1560" s="4" t="e">
        <f t="shared" si="122"/>
        <v>#N/A</v>
      </c>
      <c r="U1560" s="5" t="e">
        <f t="shared" si="123"/>
        <v>#N/A</v>
      </c>
      <c r="V1560" s="23" t="e">
        <f t="shared" si="124"/>
        <v>#N/A</v>
      </c>
    </row>
    <row r="1561" spans="2:22" x14ac:dyDescent="0.25">
      <c r="B1561" s="16">
        <v>0</v>
      </c>
      <c r="C1561" s="7">
        <v>1</v>
      </c>
      <c r="D1561" s="8">
        <v>1</v>
      </c>
      <c r="E1561" s="8">
        <v>0</v>
      </c>
      <c r="F1561" s="8">
        <v>1</v>
      </c>
      <c r="G1561" s="8">
        <v>0</v>
      </c>
      <c r="H1561" s="8">
        <v>0</v>
      </c>
      <c r="I1561" s="8">
        <v>0</v>
      </c>
      <c r="J1561" s="8">
        <v>0</v>
      </c>
      <c r="K1561" s="9">
        <v>1</v>
      </c>
      <c r="L1561" s="10">
        <v>1</v>
      </c>
      <c r="M1561" s="6">
        <v>0</v>
      </c>
      <c r="N1561" s="37" t="e" cm="1">
        <f t="array" ref="N1561">IF(OR(ISNUMBER(FIND(Aux!$D$3:$D$9,_xlfn.TEXTJOIN(,,C1561:K1561)))),NA(),IF(AND(SUM(C1561:F1561,H1561:K1561)=0,G1561=1),0,INT((SUMPRODUCT(C1561:F1561,COLUMN($A$1:$D$1)-1)+SUMPRODUCT(H1561:K1561,COLUMN($E$1:$H$1)-1))*'Line Follower'!$C$3/SUM(C1561:F1561,H1561:K1561)-'Line Follower'!$C$5)))</f>
        <v>#N/A</v>
      </c>
      <c r="O1561" s="22" t="e">
        <v>#N/A</v>
      </c>
      <c r="P1561" s="4" t="e">
        <f t="shared" si="120"/>
        <v>#N/A</v>
      </c>
      <c r="Q1561" s="4" t="e">
        <f t="shared" si="121"/>
        <v>#N/A</v>
      </c>
      <c r="R1561" s="4" t="e">
        <f>IF(AND(B1561=1,N1561&gt;'Line Follower'!$C$7,SUM(C1561:K1561)&lt;4),1,0)</f>
        <v>#N/A</v>
      </c>
      <c r="S1561" s="4" t="e">
        <f>IF(AND(L1561=1,N1561&lt;'Line Follower'!$C$6,SUM(C1561:K1561)&lt;4),1,0)</f>
        <v>#N/A</v>
      </c>
      <c r="T1561" s="4" t="e">
        <f t="shared" si="122"/>
        <v>#N/A</v>
      </c>
      <c r="U1561" s="5" t="e">
        <f t="shared" si="123"/>
        <v>#N/A</v>
      </c>
      <c r="V1561" s="23" t="e">
        <f t="shared" si="124"/>
        <v>#N/A</v>
      </c>
    </row>
    <row r="1562" spans="2:22" x14ac:dyDescent="0.25">
      <c r="B1562" s="16">
        <v>1</v>
      </c>
      <c r="C1562" s="7">
        <v>1</v>
      </c>
      <c r="D1562" s="8">
        <v>1</v>
      </c>
      <c r="E1562" s="8">
        <v>0</v>
      </c>
      <c r="F1562" s="8">
        <v>1</v>
      </c>
      <c r="G1562" s="8">
        <v>0</v>
      </c>
      <c r="H1562" s="8">
        <v>0</v>
      </c>
      <c r="I1562" s="8">
        <v>0</v>
      </c>
      <c r="J1562" s="8">
        <v>0</v>
      </c>
      <c r="K1562" s="9">
        <v>1</v>
      </c>
      <c r="L1562" s="10">
        <v>1</v>
      </c>
      <c r="M1562" s="6">
        <v>0</v>
      </c>
      <c r="N1562" s="37" t="e" cm="1">
        <f t="array" ref="N1562">IF(OR(ISNUMBER(FIND(Aux!$D$3:$D$9,_xlfn.TEXTJOIN(,,C1562:K1562)))),NA(),IF(AND(SUM(C1562:F1562,H1562:K1562)=0,G1562=1),0,INT((SUMPRODUCT(C1562:F1562,COLUMN($A$1:$D$1)-1)+SUMPRODUCT(H1562:K1562,COLUMN($E$1:$H$1)-1))*'Line Follower'!$C$3/SUM(C1562:F1562,H1562:K1562)-'Line Follower'!$C$5)))</f>
        <v>#N/A</v>
      </c>
      <c r="O1562" s="22" t="e">
        <v>#N/A</v>
      </c>
      <c r="P1562" s="4" t="e">
        <f t="shared" si="120"/>
        <v>#N/A</v>
      </c>
      <c r="Q1562" s="4" t="e">
        <f t="shared" si="121"/>
        <v>#N/A</v>
      </c>
      <c r="R1562" s="4" t="e">
        <f>IF(AND(B1562=1,N1562&gt;'Line Follower'!$C$7,SUM(C1562:K1562)&lt;4),1,0)</f>
        <v>#N/A</v>
      </c>
      <c r="S1562" s="4" t="e">
        <f>IF(AND(L1562=1,N1562&lt;'Line Follower'!$C$6,SUM(C1562:K1562)&lt;4),1,0)</f>
        <v>#N/A</v>
      </c>
      <c r="T1562" s="4" t="e">
        <f t="shared" si="122"/>
        <v>#N/A</v>
      </c>
      <c r="U1562" s="5" t="e">
        <f t="shared" si="123"/>
        <v>#N/A</v>
      </c>
      <c r="V1562" s="23" t="e">
        <f t="shared" si="124"/>
        <v>#N/A</v>
      </c>
    </row>
    <row r="1563" spans="2:22" x14ac:dyDescent="0.25">
      <c r="B1563" s="16">
        <v>0</v>
      </c>
      <c r="C1563" s="7">
        <v>0</v>
      </c>
      <c r="D1563" s="8">
        <v>0</v>
      </c>
      <c r="E1563" s="8">
        <v>1</v>
      </c>
      <c r="F1563" s="8">
        <v>1</v>
      </c>
      <c r="G1563" s="8">
        <v>0</v>
      </c>
      <c r="H1563" s="8">
        <v>0</v>
      </c>
      <c r="I1563" s="8">
        <v>0</v>
      </c>
      <c r="J1563" s="8">
        <v>0</v>
      </c>
      <c r="K1563" s="9">
        <v>1</v>
      </c>
      <c r="L1563" s="10">
        <v>1</v>
      </c>
      <c r="M1563" s="6">
        <v>0</v>
      </c>
      <c r="N1563" s="37" t="e" cm="1">
        <f t="array" ref="N1563">IF(OR(ISNUMBER(FIND(Aux!$D$3:$D$9,_xlfn.TEXTJOIN(,,C1563:K1563)))),NA(),IF(AND(SUM(C1563:F1563,H1563:K1563)=0,G1563=1),0,INT((SUMPRODUCT(C1563:F1563,COLUMN($A$1:$D$1)-1)+SUMPRODUCT(H1563:K1563,COLUMN($E$1:$H$1)-1))*'Line Follower'!$C$3/SUM(C1563:F1563,H1563:K1563)-'Line Follower'!$C$5)))</f>
        <v>#N/A</v>
      </c>
      <c r="O1563" s="22" t="e">
        <v>#N/A</v>
      </c>
      <c r="P1563" s="4" t="e">
        <f t="shared" si="120"/>
        <v>#N/A</v>
      </c>
      <c r="Q1563" s="4" t="e">
        <f t="shared" si="121"/>
        <v>#N/A</v>
      </c>
      <c r="R1563" s="4" t="e">
        <f>IF(AND(B1563=1,N1563&gt;'Line Follower'!$C$7,SUM(C1563:K1563)&lt;4),1,0)</f>
        <v>#N/A</v>
      </c>
      <c r="S1563" s="4" t="e">
        <f>IF(AND(L1563=1,N1563&lt;'Line Follower'!$C$6,SUM(C1563:K1563)&lt;4),1,0)</f>
        <v>#N/A</v>
      </c>
      <c r="T1563" s="4" t="e">
        <f t="shared" si="122"/>
        <v>#N/A</v>
      </c>
      <c r="U1563" s="5" t="e">
        <f t="shared" si="123"/>
        <v>#N/A</v>
      </c>
      <c r="V1563" s="23" t="e">
        <f t="shared" si="124"/>
        <v>#N/A</v>
      </c>
    </row>
    <row r="1564" spans="2:22" x14ac:dyDescent="0.25">
      <c r="B1564" s="16">
        <v>1</v>
      </c>
      <c r="C1564" s="7">
        <v>0</v>
      </c>
      <c r="D1564" s="8">
        <v>0</v>
      </c>
      <c r="E1564" s="8">
        <v>1</v>
      </c>
      <c r="F1564" s="8">
        <v>1</v>
      </c>
      <c r="G1564" s="8">
        <v>0</v>
      </c>
      <c r="H1564" s="8">
        <v>0</v>
      </c>
      <c r="I1564" s="8">
        <v>0</v>
      </c>
      <c r="J1564" s="8">
        <v>0</v>
      </c>
      <c r="K1564" s="9">
        <v>1</v>
      </c>
      <c r="L1564" s="10">
        <v>1</v>
      </c>
      <c r="M1564" s="6">
        <v>0</v>
      </c>
      <c r="N1564" s="37" t="e" cm="1">
        <f t="array" ref="N1564">IF(OR(ISNUMBER(FIND(Aux!$D$3:$D$9,_xlfn.TEXTJOIN(,,C1564:K1564)))),NA(),IF(AND(SUM(C1564:F1564,H1564:K1564)=0,G1564=1),0,INT((SUMPRODUCT(C1564:F1564,COLUMN($A$1:$D$1)-1)+SUMPRODUCT(H1564:K1564,COLUMN($E$1:$H$1)-1))*'Line Follower'!$C$3/SUM(C1564:F1564,H1564:K1564)-'Line Follower'!$C$5)))</f>
        <v>#N/A</v>
      </c>
      <c r="O1564" s="22" t="e">
        <v>#N/A</v>
      </c>
      <c r="P1564" s="4" t="e">
        <f t="shared" si="120"/>
        <v>#N/A</v>
      </c>
      <c r="Q1564" s="4" t="e">
        <f t="shared" si="121"/>
        <v>#N/A</v>
      </c>
      <c r="R1564" s="4" t="e">
        <f>IF(AND(B1564=1,N1564&gt;'Line Follower'!$C$7,SUM(C1564:K1564)&lt;4),1,0)</f>
        <v>#N/A</v>
      </c>
      <c r="S1564" s="4" t="e">
        <f>IF(AND(L1564=1,N1564&lt;'Line Follower'!$C$6,SUM(C1564:K1564)&lt;4),1,0)</f>
        <v>#N/A</v>
      </c>
      <c r="T1564" s="4" t="e">
        <f t="shared" si="122"/>
        <v>#N/A</v>
      </c>
      <c r="U1564" s="5" t="e">
        <f t="shared" si="123"/>
        <v>#N/A</v>
      </c>
      <c r="V1564" s="23" t="e">
        <f t="shared" si="124"/>
        <v>#N/A</v>
      </c>
    </row>
    <row r="1565" spans="2:22" x14ac:dyDescent="0.25">
      <c r="B1565" s="16">
        <v>0</v>
      </c>
      <c r="C1565" s="7">
        <v>1</v>
      </c>
      <c r="D1565" s="8">
        <v>0</v>
      </c>
      <c r="E1565" s="8">
        <v>1</v>
      </c>
      <c r="F1565" s="8">
        <v>1</v>
      </c>
      <c r="G1565" s="8">
        <v>0</v>
      </c>
      <c r="H1565" s="8">
        <v>0</v>
      </c>
      <c r="I1565" s="8">
        <v>0</v>
      </c>
      <c r="J1565" s="8">
        <v>0</v>
      </c>
      <c r="K1565" s="9">
        <v>1</v>
      </c>
      <c r="L1565" s="10">
        <v>1</v>
      </c>
      <c r="M1565" s="6">
        <v>0</v>
      </c>
      <c r="N1565" s="37" t="e" cm="1">
        <f t="array" ref="N1565">IF(OR(ISNUMBER(FIND(Aux!$D$3:$D$9,_xlfn.TEXTJOIN(,,C1565:K1565)))),NA(),IF(AND(SUM(C1565:F1565,H1565:K1565)=0,G1565=1),0,INT((SUMPRODUCT(C1565:F1565,COLUMN($A$1:$D$1)-1)+SUMPRODUCT(H1565:K1565,COLUMN($E$1:$H$1)-1))*'Line Follower'!$C$3/SUM(C1565:F1565,H1565:K1565)-'Line Follower'!$C$5)))</f>
        <v>#N/A</v>
      </c>
      <c r="O1565" s="22" t="e">
        <v>#N/A</v>
      </c>
      <c r="P1565" s="4" t="e">
        <f t="shared" si="120"/>
        <v>#N/A</v>
      </c>
      <c r="Q1565" s="4" t="e">
        <f t="shared" si="121"/>
        <v>#N/A</v>
      </c>
      <c r="R1565" s="4" t="e">
        <f>IF(AND(B1565=1,N1565&gt;'Line Follower'!$C$7,SUM(C1565:K1565)&lt;4),1,0)</f>
        <v>#N/A</v>
      </c>
      <c r="S1565" s="4" t="e">
        <f>IF(AND(L1565=1,N1565&lt;'Line Follower'!$C$6,SUM(C1565:K1565)&lt;4),1,0)</f>
        <v>#N/A</v>
      </c>
      <c r="T1565" s="4" t="e">
        <f t="shared" si="122"/>
        <v>#N/A</v>
      </c>
      <c r="U1565" s="5" t="e">
        <f t="shared" si="123"/>
        <v>#N/A</v>
      </c>
      <c r="V1565" s="23" t="e">
        <f t="shared" si="124"/>
        <v>#N/A</v>
      </c>
    </row>
    <row r="1566" spans="2:22" x14ac:dyDescent="0.25">
      <c r="B1566" s="16">
        <v>1</v>
      </c>
      <c r="C1566" s="7">
        <v>1</v>
      </c>
      <c r="D1566" s="8">
        <v>0</v>
      </c>
      <c r="E1566" s="8">
        <v>1</v>
      </c>
      <c r="F1566" s="8">
        <v>1</v>
      </c>
      <c r="G1566" s="8">
        <v>0</v>
      </c>
      <c r="H1566" s="8">
        <v>0</v>
      </c>
      <c r="I1566" s="8">
        <v>0</v>
      </c>
      <c r="J1566" s="8">
        <v>0</v>
      </c>
      <c r="K1566" s="9">
        <v>1</v>
      </c>
      <c r="L1566" s="10">
        <v>1</v>
      </c>
      <c r="M1566" s="6">
        <v>0</v>
      </c>
      <c r="N1566" s="37" t="e" cm="1">
        <f t="array" ref="N1566">IF(OR(ISNUMBER(FIND(Aux!$D$3:$D$9,_xlfn.TEXTJOIN(,,C1566:K1566)))),NA(),IF(AND(SUM(C1566:F1566,H1566:K1566)=0,G1566=1),0,INT((SUMPRODUCT(C1566:F1566,COLUMN($A$1:$D$1)-1)+SUMPRODUCT(H1566:K1566,COLUMN($E$1:$H$1)-1))*'Line Follower'!$C$3/SUM(C1566:F1566,H1566:K1566)-'Line Follower'!$C$5)))</f>
        <v>#N/A</v>
      </c>
      <c r="O1566" s="22" t="e">
        <v>#N/A</v>
      </c>
      <c r="P1566" s="4" t="e">
        <f t="shared" si="120"/>
        <v>#N/A</v>
      </c>
      <c r="Q1566" s="4" t="e">
        <f t="shared" si="121"/>
        <v>#N/A</v>
      </c>
      <c r="R1566" s="4" t="e">
        <f>IF(AND(B1566=1,N1566&gt;'Line Follower'!$C$7,SUM(C1566:K1566)&lt;4),1,0)</f>
        <v>#N/A</v>
      </c>
      <c r="S1566" s="4" t="e">
        <f>IF(AND(L1566=1,N1566&lt;'Line Follower'!$C$6,SUM(C1566:K1566)&lt;4),1,0)</f>
        <v>#N/A</v>
      </c>
      <c r="T1566" s="4" t="e">
        <f t="shared" si="122"/>
        <v>#N/A</v>
      </c>
      <c r="U1566" s="5" t="e">
        <f t="shared" si="123"/>
        <v>#N/A</v>
      </c>
      <c r="V1566" s="23" t="e">
        <f t="shared" si="124"/>
        <v>#N/A</v>
      </c>
    </row>
    <row r="1567" spans="2:22" x14ac:dyDescent="0.25">
      <c r="B1567" s="16">
        <v>0</v>
      </c>
      <c r="C1567" s="7">
        <v>0</v>
      </c>
      <c r="D1567" s="8">
        <v>1</v>
      </c>
      <c r="E1567" s="8">
        <v>1</v>
      </c>
      <c r="F1567" s="8">
        <v>1</v>
      </c>
      <c r="G1567" s="8">
        <v>0</v>
      </c>
      <c r="H1567" s="8">
        <v>0</v>
      </c>
      <c r="I1567" s="8">
        <v>0</v>
      </c>
      <c r="J1567" s="8">
        <v>0</v>
      </c>
      <c r="K1567" s="9">
        <v>1</v>
      </c>
      <c r="L1567" s="10">
        <v>1</v>
      </c>
      <c r="M1567" s="6">
        <v>0</v>
      </c>
      <c r="N1567" s="37" t="e" cm="1">
        <f t="array" ref="N1567">IF(OR(ISNUMBER(FIND(Aux!$D$3:$D$9,_xlfn.TEXTJOIN(,,C1567:K1567)))),NA(),IF(AND(SUM(C1567:F1567,H1567:K1567)=0,G1567=1),0,INT((SUMPRODUCT(C1567:F1567,COLUMN($A$1:$D$1)-1)+SUMPRODUCT(H1567:K1567,COLUMN($E$1:$H$1)-1))*'Line Follower'!$C$3/SUM(C1567:F1567,H1567:K1567)-'Line Follower'!$C$5)))</f>
        <v>#N/A</v>
      </c>
      <c r="O1567" s="22" t="e">
        <v>#N/A</v>
      </c>
      <c r="P1567" s="4" t="e">
        <f t="shared" si="120"/>
        <v>#N/A</v>
      </c>
      <c r="Q1567" s="4" t="e">
        <f t="shared" si="121"/>
        <v>#N/A</v>
      </c>
      <c r="R1567" s="4" t="e">
        <f>IF(AND(B1567=1,N1567&gt;'Line Follower'!$C$7,SUM(C1567:K1567)&lt;4),1,0)</f>
        <v>#N/A</v>
      </c>
      <c r="S1567" s="4" t="e">
        <f>IF(AND(L1567=1,N1567&lt;'Line Follower'!$C$6,SUM(C1567:K1567)&lt;4),1,0)</f>
        <v>#N/A</v>
      </c>
      <c r="T1567" s="4" t="e">
        <f t="shared" si="122"/>
        <v>#N/A</v>
      </c>
      <c r="U1567" s="5" t="e">
        <f t="shared" si="123"/>
        <v>#N/A</v>
      </c>
      <c r="V1567" s="23" t="e">
        <f t="shared" si="124"/>
        <v>#N/A</v>
      </c>
    </row>
    <row r="1568" spans="2:22" x14ac:dyDescent="0.25">
      <c r="B1568" s="16">
        <v>1</v>
      </c>
      <c r="C1568" s="7">
        <v>0</v>
      </c>
      <c r="D1568" s="8">
        <v>1</v>
      </c>
      <c r="E1568" s="8">
        <v>1</v>
      </c>
      <c r="F1568" s="8">
        <v>1</v>
      </c>
      <c r="G1568" s="8">
        <v>0</v>
      </c>
      <c r="H1568" s="8">
        <v>0</v>
      </c>
      <c r="I1568" s="8">
        <v>0</v>
      </c>
      <c r="J1568" s="8">
        <v>0</v>
      </c>
      <c r="K1568" s="9">
        <v>1</v>
      </c>
      <c r="L1568" s="10">
        <v>1</v>
      </c>
      <c r="M1568" s="6">
        <v>0</v>
      </c>
      <c r="N1568" s="37" t="e" cm="1">
        <f t="array" ref="N1568">IF(OR(ISNUMBER(FIND(Aux!$D$3:$D$9,_xlfn.TEXTJOIN(,,C1568:K1568)))),NA(),IF(AND(SUM(C1568:F1568,H1568:K1568)=0,G1568=1),0,INT((SUMPRODUCT(C1568:F1568,COLUMN($A$1:$D$1)-1)+SUMPRODUCT(H1568:K1568,COLUMN($E$1:$H$1)-1))*'Line Follower'!$C$3/SUM(C1568:F1568,H1568:K1568)-'Line Follower'!$C$5)))</f>
        <v>#N/A</v>
      </c>
      <c r="O1568" s="22" t="e">
        <v>#N/A</v>
      </c>
      <c r="P1568" s="4" t="e">
        <f t="shared" si="120"/>
        <v>#N/A</v>
      </c>
      <c r="Q1568" s="4" t="e">
        <f t="shared" si="121"/>
        <v>#N/A</v>
      </c>
      <c r="R1568" s="4" t="e">
        <f>IF(AND(B1568=1,N1568&gt;'Line Follower'!$C$7,SUM(C1568:K1568)&lt;4),1,0)</f>
        <v>#N/A</v>
      </c>
      <c r="S1568" s="4" t="e">
        <f>IF(AND(L1568=1,N1568&lt;'Line Follower'!$C$6,SUM(C1568:K1568)&lt;4),1,0)</f>
        <v>#N/A</v>
      </c>
      <c r="T1568" s="4" t="e">
        <f t="shared" si="122"/>
        <v>#N/A</v>
      </c>
      <c r="U1568" s="5" t="e">
        <f t="shared" si="123"/>
        <v>#N/A</v>
      </c>
      <c r="V1568" s="23" t="e">
        <f t="shared" si="124"/>
        <v>#N/A</v>
      </c>
    </row>
    <row r="1569" spans="2:22" x14ac:dyDescent="0.25">
      <c r="B1569" s="16">
        <v>0</v>
      </c>
      <c r="C1569" s="7">
        <v>1</v>
      </c>
      <c r="D1569" s="8">
        <v>1</v>
      </c>
      <c r="E1569" s="8">
        <v>1</v>
      </c>
      <c r="F1569" s="8">
        <v>1</v>
      </c>
      <c r="G1569" s="8">
        <v>0</v>
      </c>
      <c r="H1569" s="8">
        <v>0</v>
      </c>
      <c r="I1569" s="8">
        <v>0</v>
      </c>
      <c r="J1569" s="8">
        <v>0</v>
      </c>
      <c r="K1569" s="9">
        <v>1</v>
      </c>
      <c r="L1569" s="10">
        <v>1</v>
      </c>
      <c r="M1569" s="6">
        <v>0</v>
      </c>
      <c r="N1569" s="37" t="e" cm="1">
        <f t="array" ref="N1569">IF(OR(ISNUMBER(FIND(Aux!$D$3:$D$9,_xlfn.TEXTJOIN(,,C1569:K1569)))),NA(),IF(AND(SUM(C1569:F1569,H1569:K1569)=0,G1569=1),0,INT((SUMPRODUCT(C1569:F1569,COLUMN($A$1:$D$1)-1)+SUMPRODUCT(H1569:K1569,COLUMN($E$1:$H$1)-1))*'Line Follower'!$C$3/SUM(C1569:F1569,H1569:K1569)-'Line Follower'!$C$5)))</f>
        <v>#N/A</v>
      </c>
      <c r="O1569" s="22" t="e">
        <v>#N/A</v>
      </c>
      <c r="P1569" s="4" t="e">
        <f t="shared" si="120"/>
        <v>#N/A</v>
      </c>
      <c r="Q1569" s="4" t="e">
        <f t="shared" si="121"/>
        <v>#N/A</v>
      </c>
      <c r="R1569" s="4" t="e">
        <f>IF(AND(B1569=1,N1569&gt;'Line Follower'!$C$7,SUM(C1569:K1569)&lt;4),1,0)</f>
        <v>#N/A</v>
      </c>
      <c r="S1569" s="4" t="e">
        <f>IF(AND(L1569=1,N1569&lt;'Line Follower'!$C$6,SUM(C1569:K1569)&lt;4),1,0)</f>
        <v>#N/A</v>
      </c>
      <c r="T1569" s="4" t="e">
        <f t="shared" si="122"/>
        <v>#N/A</v>
      </c>
      <c r="U1569" s="5" t="e">
        <f t="shared" si="123"/>
        <v>#N/A</v>
      </c>
      <c r="V1569" s="23" t="e">
        <f t="shared" si="124"/>
        <v>#N/A</v>
      </c>
    </row>
    <row r="1570" spans="2:22" x14ac:dyDescent="0.25">
      <c r="B1570" s="16">
        <v>1</v>
      </c>
      <c r="C1570" s="7">
        <v>1</v>
      </c>
      <c r="D1570" s="8">
        <v>1</v>
      </c>
      <c r="E1570" s="8">
        <v>1</v>
      </c>
      <c r="F1570" s="8">
        <v>1</v>
      </c>
      <c r="G1570" s="8">
        <v>0</v>
      </c>
      <c r="H1570" s="8">
        <v>0</v>
      </c>
      <c r="I1570" s="8">
        <v>0</v>
      </c>
      <c r="J1570" s="8">
        <v>0</v>
      </c>
      <c r="K1570" s="9">
        <v>1</v>
      </c>
      <c r="L1570" s="10">
        <v>1</v>
      </c>
      <c r="M1570" s="6">
        <v>0</v>
      </c>
      <c r="N1570" s="37" t="e" cm="1">
        <f t="array" ref="N1570">IF(OR(ISNUMBER(FIND(Aux!$D$3:$D$9,_xlfn.TEXTJOIN(,,C1570:K1570)))),NA(),IF(AND(SUM(C1570:F1570,H1570:K1570)=0,G1570=1),0,INT((SUMPRODUCT(C1570:F1570,COLUMN($A$1:$D$1)-1)+SUMPRODUCT(H1570:K1570,COLUMN($E$1:$H$1)-1))*'Line Follower'!$C$3/SUM(C1570:F1570,H1570:K1570)-'Line Follower'!$C$5)))</f>
        <v>#N/A</v>
      </c>
      <c r="O1570" s="22" t="e">
        <v>#N/A</v>
      </c>
      <c r="P1570" s="4" t="e">
        <f t="shared" si="120"/>
        <v>#N/A</v>
      </c>
      <c r="Q1570" s="4" t="e">
        <f t="shared" si="121"/>
        <v>#N/A</v>
      </c>
      <c r="R1570" s="4" t="e">
        <f>IF(AND(B1570=1,N1570&gt;'Line Follower'!$C$7,SUM(C1570:K1570)&lt;4),1,0)</f>
        <v>#N/A</v>
      </c>
      <c r="S1570" s="4" t="e">
        <f>IF(AND(L1570=1,N1570&lt;'Line Follower'!$C$6,SUM(C1570:K1570)&lt;4),1,0)</f>
        <v>#N/A</v>
      </c>
      <c r="T1570" s="4" t="e">
        <f t="shared" si="122"/>
        <v>#N/A</v>
      </c>
      <c r="U1570" s="5" t="e">
        <f t="shared" si="123"/>
        <v>#N/A</v>
      </c>
      <c r="V1570" s="23" t="e">
        <f t="shared" si="124"/>
        <v>#N/A</v>
      </c>
    </row>
    <row r="1571" spans="2:22" x14ac:dyDescent="0.25">
      <c r="B1571" s="16">
        <v>0</v>
      </c>
      <c r="C1571" s="7">
        <v>0</v>
      </c>
      <c r="D1571" s="8">
        <v>0</v>
      </c>
      <c r="E1571" s="8">
        <v>0</v>
      </c>
      <c r="F1571" s="8">
        <v>0</v>
      </c>
      <c r="G1571" s="8">
        <v>1</v>
      </c>
      <c r="H1571" s="8">
        <v>0</v>
      </c>
      <c r="I1571" s="8">
        <v>0</v>
      </c>
      <c r="J1571" s="8">
        <v>0</v>
      </c>
      <c r="K1571" s="9">
        <v>1</v>
      </c>
      <c r="L1571" s="10">
        <v>1</v>
      </c>
      <c r="M1571" s="6">
        <v>0</v>
      </c>
      <c r="N1571" s="37" t="e" cm="1">
        <f t="array" ref="N1571">IF(OR(ISNUMBER(FIND(Aux!$D$3:$D$9,_xlfn.TEXTJOIN(,,C1571:K1571)))),NA(),IF(AND(SUM(C1571:F1571,H1571:K1571)=0,G1571=1),0,INT((SUMPRODUCT(C1571:F1571,COLUMN($A$1:$D$1)-1)+SUMPRODUCT(H1571:K1571,COLUMN($E$1:$H$1)-1))*'Line Follower'!$C$3/SUM(C1571:F1571,H1571:K1571)-'Line Follower'!$C$5)))</f>
        <v>#N/A</v>
      </c>
      <c r="O1571" s="22" t="e">
        <v>#N/A</v>
      </c>
      <c r="P1571" s="4" t="e">
        <f t="shared" si="120"/>
        <v>#N/A</v>
      </c>
      <c r="Q1571" s="4" t="e">
        <f t="shared" si="121"/>
        <v>#N/A</v>
      </c>
      <c r="R1571" s="4" t="e">
        <f>IF(AND(B1571=1,N1571&gt;'Line Follower'!$C$7,SUM(C1571:K1571)&lt;4),1,0)</f>
        <v>#N/A</v>
      </c>
      <c r="S1571" s="4" t="e">
        <f>IF(AND(L1571=1,N1571&lt;'Line Follower'!$C$6,SUM(C1571:K1571)&lt;4),1,0)</f>
        <v>#N/A</v>
      </c>
      <c r="T1571" s="4" t="e">
        <f t="shared" si="122"/>
        <v>#N/A</v>
      </c>
      <c r="U1571" s="5" t="e">
        <f t="shared" si="123"/>
        <v>#N/A</v>
      </c>
      <c r="V1571" s="23" t="e">
        <f t="shared" si="124"/>
        <v>#N/A</v>
      </c>
    </row>
    <row r="1572" spans="2:22" x14ac:dyDescent="0.25">
      <c r="B1572" s="16">
        <v>1</v>
      </c>
      <c r="C1572" s="7">
        <v>0</v>
      </c>
      <c r="D1572" s="8">
        <v>0</v>
      </c>
      <c r="E1572" s="8">
        <v>0</v>
      </c>
      <c r="F1572" s="8">
        <v>0</v>
      </c>
      <c r="G1572" s="8">
        <v>1</v>
      </c>
      <c r="H1572" s="8">
        <v>0</v>
      </c>
      <c r="I1572" s="8">
        <v>0</v>
      </c>
      <c r="J1572" s="8">
        <v>0</v>
      </c>
      <c r="K1572" s="9">
        <v>1</v>
      </c>
      <c r="L1572" s="10">
        <v>1</v>
      </c>
      <c r="M1572" s="6">
        <v>0</v>
      </c>
      <c r="N1572" s="37" t="e" cm="1">
        <f t="array" ref="N1572">IF(OR(ISNUMBER(FIND(Aux!$D$3:$D$9,_xlfn.TEXTJOIN(,,C1572:K1572)))),NA(),IF(AND(SUM(C1572:F1572,H1572:K1572)=0,G1572=1),0,INT((SUMPRODUCT(C1572:F1572,COLUMN($A$1:$D$1)-1)+SUMPRODUCT(H1572:K1572,COLUMN($E$1:$H$1)-1))*'Line Follower'!$C$3/SUM(C1572:F1572,H1572:K1572)-'Line Follower'!$C$5)))</f>
        <v>#N/A</v>
      </c>
      <c r="O1572" s="22" t="e">
        <v>#N/A</v>
      </c>
      <c r="P1572" s="4" t="e">
        <f t="shared" si="120"/>
        <v>#N/A</v>
      </c>
      <c r="Q1572" s="4" t="e">
        <f t="shared" si="121"/>
        <v>#N/A</v>
      </c>
      <c r="R1572" s="4" t="e">
        <f>IF(AND(B1572=1,N1572&gt;'Line Follower'!$C$7,SUM(C1572:K1572)&lt;4),1,0)</f>
        <v>#N/A</v>
      </c>
      <c r="S1572" s="4" t="e">
        <f>IF(AND(L1572=1,N1572&lt;'Line Follower'!$C$6,SUM(C1572:K1572)&lt;4),1,0)</f>
        <v>#N/A</v>
      </c>
      <c r="T1572" s="4" t="e">
        <f t="shared" si="122"/>
        <v>#N/A</v>
      </c>
      <c r="U1572" s="5" t="e">
        <f t="shared" si="123"/>
        <v>#N/A</v>
      </c>
      <c r="V1572" s="23" t="e">
        <f t="shared" si="124"/>
        <v>#N/A</v>
      </c>
    </row>
    <row r="1573" spans="2:22" x14ac:dyDescent="0.25">
      <c r="B1573" s="16">
        <v>0</v>
      </c>
      <c r="C1573" s="7">
        <v>1</v>
      </c>
      <c r="D1573" s="8">
        <v>0</v>
      </c>
      <c r="E1573" s="8">
        <v>0</v>
      </c>
      <c r="F1573" s="8">
        <v>0</v>
      </c>
      <c r="G1573" s="8">
        <v>1</v>
      </c>
      <c r="H1573" s="8">
        <v>0</v>
      </c>
      <c r="I1573" s="8">
        <v>0</v>
      </c>
      <c r="J1573" s="8">
        <v>0</v>
      </c>
      <c r="K1573" s="9">
        <v>1</v>
      </c>
      <c r="L1573" s="10">
        <v>1</v>
      </c>
      <c r="M1573" s="6">
        <v>0</v>
      </c>
      <c r="N1573" s="37" t="e" cm="1">
        <f t="array" ref="N1573">IF(OR(ISNUMBER(FIND(Aux!$D$3:$D$9,_xlfn.TEXTJOIN(,,C1573:K1573)))),NA(),IF(AND(SUM(C1573:F1573,H1573:K1573)=0,G1573=1),0,INT((SUMPRODUCT(C1573:F1573,COLUMN($A$1:$D$1)-1)+SUMPRODUCT(H1573:K1573,COLUMN($E$1:$H$1)-1))*'Line Follower'!$C$3/SUM(C1573:F1573,H1573:K1573)-'Line Follower'!$C$5)))</f>
        <v>#N/A</v>
      </c>
      <c r="O1573" s="22" t="e">
        <v>#N/A</v>
      </c>
      <c r="P1573" s="4" t="e">
        <f t="shared" si="120"/>
        <v>#N/A</v>
      </c>
      <c r="Q1573" s="4" t="e">
        <f t="shared" si="121"/>
        <v>#N/A</v>
      </c>
      <c r="R1573" s="4" t="e">
        <f>IF(AND(B1573=1,N1573&gt;'Line Follower'!$C$7,SUM(C1573:K1573)&lt;4),1,0)</f>
        <v>#N/A</v>
      </c>
      <c r="S1573" s="4" t="e">
        <f>IF(AND(L1573=1,N1573&lt;'Line Follower'!$C$6,SUM(C1573:K1573)&lt;4),1,0)</f>
        <v>#N/A</v>
      </c>
      <c r="T1573" s="4" t="e">
        <f t="shared" si="122"/>
        <v>#N/A</v>
      </c>
      <c r="U1573" s="5" t="e">
        <f t="shared" si="123"/>
        <v>#N/A</v>
      </c>
      <c r="V1573" s="23" t="e">
        <f t="shared" si="124"/>
        <v>#N/A</v>
      </c>
    </row>
    <row r="1574" spans="2:22" x14ac:dyDescent="0.25">
      <c r="B1574" s="16">
        <v>1</v>
      </c>
      <c r="C1574" s="7">
        <v>1</v>
      </c>
      <c r="D1574" s="8">
        <v>0</v>
      </c>
      <c r="E1574" s="8">
        <v>0</v>
      </c>
      <c r="F1574" s="8">
        <v>0</v>
      </c>
      <c r="G1574" s="8">
        <v>1</v>
      </c>
      <c r="H1574" s="8">
        <v>0</v>
      </c>
      <c r="I1574" s="8">
        <v>0</v>
      </c>
      <c r="J1574" s="8">
        <v>0</v>
      </c>
      <c r="K1574" s="9">
        <v>1</v>
      </c>
      <c r="L1574" s="10">
        <v>1</v>
      </c>
      <c r="M1574" s="6">
        <v>0</v>
      </c>
      <c r="N1574" s="37" t="e" cm="1">
        <f t="array" ref="N1574">IF(OR(ISNUMBER(FIND(Aux!$D$3:$D$9,_xlfn.TEXTJOIN(,,C1574:K1574)))),NA(),IF(AND(SUM(C1574:F1574,H1574:K1574)=0,G1574=1),0,INT((SUMPRODUCT(C1574:F1574,COLUMN($A$1:$D$1)-1)+SUMPRODUCT(H1574:K1574,COLUMN($E$1:$H$1)-1))*'Line Follower'!$C$3/SUM(C1574:F1574,H1574:K1574)-'Line Follower'!$C$5)))</f>
        <v>#N/A</v>
      </c>
      <c r="O1574" s="22" t="e">
        <v>#N/A</v>
      </c>
      <c r="P1574" s="4" t="e">
        <f t="shared" si="120"/>
        <v>#N/A</v>
      </c>
      <c r="Q1574" s="4" t="e">
        <f t="shared" si="121"/>
        <v>#N/A</v>
      </c>
      <c r="R1574" s="4" t="e">
        <f>IF(AND(B1574=1,N1574&gt;'Line Follower'!$C$7,SUM(C1574:K1574)&lt;4),1,0)</f>
        <v>#N/A</v>
      </c>
      <c r="S1574" s="4" t="e">
        <f>IF(AND(L1574=1,N1574&lt;'Line Follower'!$C$6,SUM(C1574:K1574)&lt;4),1,0)</f>
        <v>#N/A</v>
      </c>
      <c r="T1574" s="4" t="e">
        <f t="shared" si="122"/>
        <v>#N/A</v>
      </c>
      <c r="U1574" s="5" t="e">
        <f t="shared" si="123"/>
        <v>#N/A</v>
      </c>
      <c r="V1574" s="23" t="e">
        <f t="shared" si="124"/>
        <v>#N/A</v>
      </c>
    </row>
    <row r="1575" spans="2:22" x14ac:dyDescent="0.25">
      <c r="B1575" s="16">
        <v>0</v>
      </c>
      <c r="C1575" s="7">
        <v>0</v>
      </c>
      <c r="D1575" s="8">
        <v>1</v>
      </c>
      <c r="E1575" s="8">
        <v>0</v>
      </c>
      <c r="F1575" s="8">
        <v>0</v>
      </c>
      <c r="G1575" s="8">
        <v>1</v>
      </c>
      <c r="H1575" s="8">
        <v>0</v>
      </c>
      <c r="I1575" s="8">
        <v>0</v>
      </c>
      <c r="J1575" s="8">
        <v>0</v>
      </c>
      <c r="K1575" s="9">
        <v>1</v>
      </c>
      <c r="L1575" s="10">
        <v>1</v>
      </c>
      <c r="M1575" s="6">
        <v>0</v>
      </c>
      <c r="N1575" s="37" t="e" cm="1">
        <f t="array" ref="N1575">IF(OR(ISNUMBER(FIND(Aux!$D$3:$D$9,_xlfn.TEXTJOIN(,,C1575:K1575)))),NA(),IF(AND(SUM(C1575:F1575,H1575:K1575)=0,G1575=1),0,INT((SUMPRODUCT(C1575:F1575,COLUMN($A$1:$D$1)-1)+SUMPRODUCT(H1575:K1575,COLUMN($E$1:$H$1)-1))*'Line Follower'!$C$3/SUM(C1575:F1575,H1575:K1575)-'Line Follower'!$C$5)))</f>
        <v>#N/A</v>
      </c>
      <c r="O1575" s="22" t="e">
        <v>#N/A</v>
      </c>
      <c r="P1575" s="4" t="e">
        <f t="shared" si="120"/>
        <v>#N/A</v>
      </c>
      <c r="Q1575" s="4" t="e">
        <f t="shared" si="121"/>
        <v>#N/A</v>
      </c>
      <c r="R1575" s="4" t="e">
        <f>IF(AND(B1575=1,N1575&gt;'Line Follower'!$C$7,SUM(C1575:K1575)&lt;4),1,0)</f>
        <v>#N/A</v>
      </c>
      <c r="S1575" s="4" t="e">
        <f>IF(AND(L1575=1,N1575&lt;'Line Follower'!$C$6,SUM(C1575:K1575)&lt;4),1,0)</f>
        <v>#N/A</v>
      </c>
      <c r="T1575" s="4" t="e">
        <f t="shared" si="122"/>
        <v>#N/A</v>
      </c>
      <c r="U1575" s="5" t="e">
        <f t="shared" si="123"/>
        <v>#N/A</v>
      </c>
      <c r="V1575" s="23" t="e">
        <f t="shared" si="124"/>
        <v>#N/A</v>
      </c>
    </row>
    <row r="1576" spans="2:22" x14ac:dyDescent="0.25">
      <c r="B1576" s="16">
        <v>1</v>
      </c>
      <c r="C1576" s="7">
        <v>0</v>
      </c>
      <c r="D1576" s="8">
        <v>1</v>
      </c>
      <c r="E1576" s="8">
        <v>0</v>
      </c>
      <c r="F1576" s="8">
        <v>0</v>
      </c>
      <c r="G1576" s="8">
        <v>1</v>
      </c>
      <c r="H1576" s="8">
        <v>0</v>
      </c>
      <c r="I1576" s="8">
        <v>0</v>
      </c>
      <c r="J1576" s="8">
        <v>0</v>
      </c>
      <c r="K1576" s="9">
        <v>1</v>
      </c>
      <c r="L1576" s="10">
        <v>1</v>
      </c>
      <c r="M1576" s="6">
        <v>0</v>
      </c>
      <c r="N1576" s="37" t="e" cm="1">
        <f t="array" ref="N1576">IF(OR(ISNUMBER(FIND(Aux!$D$3:$D$9,_xlfn.TEXTJOIN(,,C1576:K1576)))),NA(),IF(AND(SUM(C1576:F1576,H1576:K1576)=0,G1576=1),0,INT((SUMPRODUCT(C1576:F1576,COLUMN($A$1:$D$1)-1)+SUMPRODUCT(H1576:K1576,COLUMN($E$1:$H$1)-1))*'Line Follower'!$C$3/SUM(C1576:F1576,H1576:K1576)-'Line Follower'!$C$5)))</f>
        <v>#N/A</v>
      </c>
      <c r="O1576" s="22" t="e">
        <v>#N/A</v>
      </c>
      <c r="P1576" s="4" t="e">
        <f t="shared" si="120"/>
        <v>#N/A</v>
      </c>
      <c r="Q1576" s="4" t="e">
        <f t="shared" si="121"/>
        <v>#N/A</v>
      </c>
      <c r="R1576" s="4" t="e">
        <f>IF(AND(B1576=1,N1576&gt;'Line Follower'!$C$7,SUM(C1576:K1576)&lt;4),1,0)</f>
        <v>#N/A</v>
      </c>
      <c r="S1576" s="4" t="e">
        <f>IF(AND(L1576=1,N1576&lt;'Line Follower'!$C$6,SUM(C1576:K1576)&lt;4),1,0)</f>
        <v>#N/A</v>
      </c>
      <c r="T1576" s="4" t="e">
        <f t="shared" si="122"/>
        <v>#N/A</v>
      </c>
      <c r="U1576" s="5" t="e">
        <f t="shared" si="123"/>
        <v>#N/A</v>
      </c>
      <c r="V1576" s="23" t="e">
        <f t="shared" si="124"/>
        <v>#N/A</v>
      </c>
    </row>
    <row r="1577" spans="2:22" x14ac:dyDescent="0.25">
      <c r="B1577" s="16">
        <v>0</v>
      </c>
      <c r="C1577" s="7">
        <v>1</v>
      </c>
      <c r="D1577" s="8">
        <v>1</v>
      </c>
      <c r="E1577" s="8">
        <v>0</v>
      </c>
      <c r="F1577" s="8">
        <v>0</v>
      </c>
      <c r="G1577" s="8">
        <v>1</v>
      </c>
      <c r="H1577" s="8">
        <v>0</v>
      </c>
      <c r="I1577" s="8">
        <v>0</v>
      </c>
      <c r="J1577" s="8">
        <v>0</v>
      </c>
      <c r="K1577" s="9">
        <v>1</v>
      </c>
      <c r="L1577" s="10">
        <v>1</v>
      </c>
      <c r="M1577" s="6">
        <v>0</v>
      </c>
      <c r="N1577" s="37" t="e" cm="1">
        <f t="array" ref="N1577">IF(OR(ISNUMBER(FIND(Aux!$D$3:$D$9,_xlfn.TEXTJOIN(,,C1577:K1577)))),NA(),IF(AND(SUM(C1577:F1577,H1577:K1577)=0,G1577=1),0,INT((SUMPRODUCT(C1577:F1577,COLUMN($A$1:$D$1)-1)+SUMPRODUCT(H1577:K1577,COLUMN($E$1:$H$1)-1))*'Line Follower'!$C$3/SUM(C1577:F1577,H1577:K1577)-'Line Follower'!$C$5)))</f>
        <v>#N/A</v>
      </c>
      <c r="O1577" s="22" t="e">
        <v>#N/A</v>
      </c>
      <c r="P1577" s="4" t="e">
        <f t="shared" si="120"/>
        <v>#N/A</v>
      </c>
      <c r="Q1577" s="4" t="e">
        <f t="shared" si="121"/>
        <v>#N/A</v>
      </c>
      <c r="R1577" s="4" t="e">
        <f>IF(AND(B1577=1,N1577&gt;'Line Follower'!$C$7,SUM(C1577:K1577)&lt;4),1,0)</f>
        <v>#N/A</v>
      </c>
      <c r="S1577" s="4" t="e">
        <f>IF(AND(L1577=1,N1577&lt;'Line Follower'!$C$6,SUM(C1577:K1577)&lt;4),1,0)</f>
        <v>#N/A</v>
      </c>
      <c r="T1577" s="4" t="e">
        <f t="shared" si="122"/>
        <v>#N/A</v>
      </c>
      <c r="U1577" s="5" t="e">
        <f t="shared" si="123"/>
        <v>#N/A</v>
      </c>
      <c r="V1577" s="23" t="e">
        <f t="shared" si="124"/>
        <v>#N/A</v>
      </c>
    </row>
    <row r="1578" spans="2:22" x14ac:dyDescent="0.25">
      <c r="B1578" s="16">
        <v>1</v>
      </c>
      <c r="C1578" s="7">
        <v>1</v>
      </c>
      <c r="D1578" s="8">
        <v>1</v>
      </c>
      <c r="E1578" s="8">
        <v>0</v>
      </c>
      <c r="F1578" s="8">
        <v>0</v>
      </c>
      <c r="G1578" s="8">
        <v>1</v>
      </c>
      <c r="H1578" s="8">
        <v>0</v>
      </c>
      <c r="I1578" s="8">
        <v>0</v>
      </c>
      <c r="J1578" s="8">
        <v>0</v>
      </c>
      <c r="K1578" s="9">
        <v>1</v>
      </c>
      <c r="L1578" s="10">
        <v>1</v>
      </c>
      <c r="M1578" s="6">
        <v>0</v>
      </c>
      <c r="N1578" s="37" t="e" cm="1">
        <f t="array" ref="N1578">IF(OR(ISNUMBER(FIND(Aux!$D$3:$D$9,_xlfn.TEXTJOIN(,,C1578:K1578)))),NA(),IF(AND(SUM(C1578:F1578,H1578:K1578)=0,G1578=1),0,INT((SUMPRODUCT(C1578:F1578,COLUMN($A$1:$D$1)-1)+SUMPRODUCT(H1578:K1578,COLUMN($E$1:$H$1)-1))*'Line Follower'!$C$3/SUM(C1578:F1578,H1578:K1578)-'Line Follower'!$C$5)))</f>
        <v>#N/A</v>
      </c>
      <c r="O1578" s="22" t="e">
        <v>#N/A</v>
      </c>
      <c r="P1578" s="4" t="e">
        <f t="shared" si="120"/>
        <v>#N/A</v>
      </c>
      <c r="Q1578" s="4" t="e">
        <f t="shared" si="121"/>
        <v>#N/A</v>
      </c>
      <c r="R1578" s="4" t="e">
        <f>IF(AND(B1578=1,N1578&gt;'Line Follower'!$C$7,SUM(C1578:K1578)&lt;4),1,0)</f>
        <v>#N/A</v>
      </c>
      <c r="S1578" s="4" t="e">
        <f>IF(AND(L1578=1,N1578&lt;'Line Follower'!$C$6,SUM(C1578:K1578)&lt;4),1,0)</f>
        <v>#N/A</v>
      </c>
      <c r="T1578" s="4" t="e">
        <f t="shared" si="122"/>
        <v>#N/A</v>
      </c>
      <c r="U1578" s="5" t="e">
        <f t="shared" si="123"/>
        <v>#N/A</v>
      </c>
      <c r="V1578" s="23" t="e">
        <f t="shared" si="124"/>
        <v>#N/A</v>
      </c>
    </row>
    <row r="1579" spans="2:22" x14ac:dyDescent="0.25">
      <c r="B1579" s="16">
        <v>0</v>
      </c>
      <c r="C1579" s="7">
        <v>0</v>
      </c>
      <c r="D1579" s="8">
        <v>0</v>
      </c>
      <c r="E1579" s="8">
        <v>1</v>
      </c>
      <c r="F1579" s="8">
        <v>0</v>
      </c>
      <c r="G1579" s="8">
        <v>1</v>
      </c>
      <c r="H1579" s="8">
        <v>0</v>
      </c>
      <c r="I1579" s="8">
        <v>0</v>
      </c>
      <c r="J1579" s="8">
        <v>0</v>
      </c>
      <c r="K1579" s="9">
        <v>1</v>
      </c>
      <c r="L1579" s="10">
        <v>1</v>
      </c>
      <c r="M1579" s="6">
        <v>0</v>
      </c>
      <c r="N1579" s="37" t="e" cm="1">
        <f t="array" ref="N1579">IF(OR(ISNUMBER(FIND(Aux!$D$3:$D$9,_xlfn.TEXTJOIN(,,C1579:K1579)))),NA(),IF(AND(SUM(C1579:F1579,H1579:K1579)=0,G1579=1),0,INT((SUMPRODUCT(C1579:F1579,COLUMN($A$1:$D$1)-1)+SUMPRODUCT(H1579:K1579,COLUMN($E$1:$H$1)-1))*'Line Follower'!$C$3/SUM(C1579:F1579,H1579:K1579)-'Line Follower'!$C$5)))</f>
        <v>#N/A</v>
      </c>
      <c r="O1579" s="22" t="e">
        <v>#N/A</v>
      </c>
      <c r="P1579" s="4" t="e">
        <f t="shared" si="120"/>
        <v>#N/A</v>
      </c>
      <c r="Q1579" s="4" t="e">
        <f t="shared" si="121"/>
        <v>#N/A</v>
      </c>
      <c r="R1579" s="4" t="e">
        <f>IF(AND(B1579=1,N1579&gt;'Line Follower'!$C$7,SUM(C1579:K1579)&lt;4),1,0)</f>
        <v>#N/A</v>
      </c>
      <c r="S1579" s="4" t="e">
        <f>IF(AND(L1579=1,N1579&lt;'Line Follower'!$C$6,SUM(C1579:K1579)&lt;4),1,0)</f>
        <v>#N/A</v>
      </c>
      <c r="T1579" s="4" t="e">
        <f t="shared" si="122"/>
        <v>#N/A</v>
      </c>
      <c r="U1579" s="5" t="e">
        <f t="shared" si="123"/>
        <v>#N/A</v>
      </c>
      <c r="V1579" s="23" t="e">
        <f t="shared" si="124"/>
        <v>#N/A</v>
      </c>
    </row>
    <row r="1580" spans="2:22" x14ac:dyDescent="0.25">
      <c r="B1580" s="16">
        <v>1</v>
      </c>
      <c r="C1580" s="7">
        <v>0</v>
      </c>
      <c r="D1580" s="8">
        <v>0</v>
      </c>
      <c r="E1580" s="8">
        <v>1</v>
      </c>
      <c r="F1580" s="8">
        <v>0</v>
      </c>
      <c r="G1580" s="8">
        <v>1</v>
      </c>
      <c r="H1580" s="8">
        <v>0</v>
      </c>
      <c r="I1580" s="8">
        <v>0</v>
      </c>
      <c r="J1580" s="8">
        <v>0</v>
      </c>
      <c r="K1580" s="9">
        <v>1</v>
      </c>
      <c r="L1580" s="10">
        <v>1</v>
      </c>
      <c r="M1580" s="6">
        <v>0</v>
      </c>
      <c r="N1580" s="37" t="e" cm="1">
        <f t="array" ref="N1580">IF(OR(ISNUMBER(FIND(Aux!$D$3:$D$9,_xlfn.TEXTJOIN(,,C1580:K1580)))),NA(),IF(AND(SUM(C1580:F1580,H1580:K1580)=0,G1580=1),0,INT((SUMPRODUCT(C1580:F1580,COLUMN($A$1:$D$1)-1)+SUMPRODUCT(H1580:K1580,COLUMN($E$1:$H$1)-1))*'Line Follower'!$C$3/SUM(C1580:F1580,H1580:K1580)-'Line Follower'!$C$5)))</f>
        <v>#N/A</v>
      </c>
      <c r="O1580" s="22" t="e">
        <v>#N/A</v>
      </c>
      <c r="P1580" s="4" t="e">
        <f t="shared" si="120"/>
        <v>#N/A</v>
      </c>
      <c r="Q1580" s="4" t="e">
        <f t="shared" si="121"/>
        <v>#N/A</v>
      </c>
      <c r="R1580" s="4" t="e">
        <f>IF(AND(B1580=1,N1580&gt;'Line Follower'!$C$7,SUM(C1580:K1580)&lt;4),1,0)</f>
        <v>#N/A</v>
      </c>
      <c r="S1580" s="4" t="e">
        <f>IF(AND(L1580=1,N1580&lt;'Line Follower'!$C$6,SUM(C1580:K1580)&lt;4),1,0)</f>
        <v>#N/A</v>
      </c>
      <c r="T1580" s="4" t="e">
        <f t="shared" si="122"/>
        <v>#N/A</v>
      </c>
      <c r="U1580" s="5" t="e">
        <f t="shared" si="123"/>
        <v>#N/A</v>
      </c>
      <c r="V1580" s="23" t="e">
        <f t="shared" si="124"/>
        <v>#N/A</v>
      </c>
    </row>
    <row r="1581" spans="2:22" x14ac:dyDescent="0.25">
      <c r="B1581" s="16">
        <v>0</v>
      </c>
      <c r="C1581" s="7">
        <v>1</v>
      </c>
      <c r="D1581" s="8">
        <v>0</v>
      </c>
      <c r="E1581" s="8">
        <v>1</v>
      </c>
      <c r="F1581" s="8">
        <v>0</v>
      </c>
      <c r="G1581" s="8">
        <v>1</v>
      </c>
      <c r="H1581" s="8">
        <v>0</v>
      </c>
      <c r="I1581" s="8">
        <v>0</v>
      </c>
      <c r="J1581" s="8">
        <v>0</v>
      </c>
      <c r="K1581" s="9">
        <v>1</v>
      </c>
      <c r="L1581" s="10">
        <v>1</v>
      </c>
      <c r="M1581" s="6">
        <v>0</v>
      </c>
      <c r="N1581" s="37" t="e" cm="1">
        <f t="array" ref="N1581">IF(OR(ISNUMBER(FIND(Aux!$D$3:$D$9,_xlfn.TEXTJOIN(,,C1581:K1581)))),NA(),IF(AND(SUM(C1581:F1581,H1581:K1581)=0,G1581=1),0,INT((SUMPRODUCT(C1581:F1581,COLUMN($A$1:$D$1)-1)+SUMPRODUCT(H1581:K1581,COLUMN($E$1:$H$1)-1))*'Line Follower'!$C$3/SUM(C1581:F1581,H1581:K1581)-'Line Follower'!$C$5)))</f>
        <v>#N/A</v>
      </c>
      <c r="O1581" s="22" t="e">
        <v>#N/A</v>
      </c>
      <c r="P1581" s="4" t="e">
        <f t="shared" si="120"/>
        <v>#N/A</v>
      </c>
      <c r="Q1581" s="4" t="e">
        <f t="shared" si="121"/>
        <v>#N/A</v>
      </c>
      <c r="R1581" s="4" t="e">
        <f>IF(AND(B1581=1,N1581&gt;'Line Follower'!$C$7,SUM(C1581:K1581)&lt;4),1,0)</f>
        <v>#N/A</v>
      </c>
      <c r="S1581" s="4" t="e">
        <f>IF(AND(L1581=1,N1581&lt;'Line Follower'!$C$6,SUM(C1581:K1581)&lt;4),1,0)</f>
        <v>#N/A</v>
      </c>
      <c r="T1581" s="4" t="e">
        <f t="shared" si="122"/>
        <v>#N/A</v>
      </c>
      <c r="U1581" s="5" t="e">
        <f t="shared" si="123"/>
        <v>#N/A</v>
      </c>
      <c r="V1581" s="23" t="e">
        <f t="shared" si="124"/>
        <v>#N/A</v>
      </c>
    </row>
    <row r="1582" spans="2:22" x14ac:dyDescent="0.25">
      <c r="B1582" s="16">
        <v>1</v>
      </c>
      <c r="C1582" s="7">
        <v>1</v>
      </c>
      <c r="D1582" s="8">
        <v>0</v>
      </c>
      <c r="E1582" s="8">
        <v>1</v>
      </c>
      <c r="F1582" s="8">
        <v>0</v>
      </c>
      <c r="G1582" s="8">
        <v>1</v>
      </c>
      <c r="H1582" s="8">
        <v>0</v>
      </c>
      <c r="I1582" s="8">
        <v>0</v>
      </c>
      <c r="J1582" s="8">
        <v>0</v>
      </c>
      <c r="K1582" s="9">
        <v>1</v>
      </c>
      <c r="L1582" s="10">
        <v>1</v>
      </c>
      <c r="M1582" s="6">
        <v>0</v>
      </c>
      <c r="N1582" s="37" t="e" cm="1">
        <f t="array" ref="N1582">IF(OR(ISNUMBER(FIND(Aux!$D$3:$D$9,_xlfn.TEXTJOIN(,,C1582:K1582)))),NA(),IF(AND(SUM(C1582:F1582,H1582:K1582)=0,G1582=1),0,INT((SUMPRODUCT(C1582:F1582,COLUMN($A$1:$D$1)-1)+SUMPRODUCT(H1582:K1582,COLUMN($E$1:$H$1)-1))*'Line Follower'!$C$3/SUM(C1582:F1582,H1582:K1582)-'Line Follower'!$C$5)))</f>
        <v>#N/A</v>
      </c>
      <c r="O1582" s="22" t="e">
        <v>#N/A</v>
      </c>
      <c r="P1582" s="4" t="e">
        <f t="shared" si="120"/>
        <v>#N/A</v>
      </c>
      <c r="Q1582" s="4" t="e">
        <f t="shared" si="121"/>
        <v>#N/A</v>
      </c>
      <c r="R1582" s="4" t="e">
        <f>IF(AND(B1582=1,N1582&gt;'Line Follower'!$C$7,SUM(C1582:K1582)&lt;4),1,0)</f>
        <v>#N/A</v>
      </c>
      <c r="S1582" s="4" t="e">
        <f>IF(AND(L1582=1,N1582&lt;'Line Follower'!$C$6,SUM(C1582:K1582)&lt;4),1,0)</f>
        <v>#N/A</v>
      </c>
      <c r="T1582" s="4" t="e">
        <f t="shared" si="122"/>
        <v>#N/A</v>
      </c>
      <c r="U1582" s="5" t="e">
        <f t="shared" si="123"/>
        <v>#N/A</v>
      </c>
      <c r="V1582" s="23" t="e">
        <f t="shared" si="124"/>
        <v>#N/A</v>
      </c>
    </row>
    <row r="1583" spans="2:22" x14ac:dyDescent="0.25">
      <c r="B1583" s="16">
        <v>0</v>
      </c>
      <c r="C1583" s="7">
        <v>0</v>
      </c>
      <c r="D1583" s="8">
        <v>1</v>
      </c>
      <c r="E1583" s="8">
        <v>1</v>
      </c>
      <c r="F1583" s="8">
        <v>0</v>
      </c>
      <c r="G1583" s="8">
        <v>1</v>
      </c>
      <c r="H1583" s="8">
        <v>0</v>
      </c>
      <c r="I1583" s="8">
        <v>0</v>
      </c>
      <c r="J1583" s="8">
        <v>0</v>
      </c>
      <c r="K1583" s="9">
        <v>1</v>
      </c>
      <c r="L1583" s="10">
        <v>1</v>
      </c>
      <c r="M1583" s="6">
        <v>0</v>
      </c>
      <c r="N1583" s="37" t="e" cm="1">
        <f t="array" ref="N1583">IF(OR(ISNUMBER(FIND(Aux!$D$3:$D$9,_xlfn.TEXTJOIN(,,C1583:K1583)))),NA(),IF(AND(SUM(C1583:F1583,H1583:K1583)=0,G1583=1),0,INT((SUMPRODUCT(C1583:F1583,COLUMN($A$1:$D$1)-1)+SUMPRODUCT(H1583:K1583,COLUMN($E$1:$H$1)-1))*'Line Follower'!$C$3/SUM(C1583:F1583,H1583:K1583)-'Line Follower'!$C$5)))</f>
        <v>#N/A</v>
      </c>
      <c r="O1583" s="22" t="e">
        <v>#N/A</v>
      </c>
      <c r="P1583" s="4" t="e">
        <f t="shared" si="120"/>
        <v>#N/A</v>
      </c>
      <c r="Q1583" s="4" t="e">
        <f t="shared" si="121"/>
        <v>#N/A</v>
      </c>
      <c r="R1583" s="4" t="e">
        <f>IF(AND(B1583=1,N1583&gt;'Line Follower'!$C$7,SUM(C1583:K1583)&lt;4),1,0)</f>
        <v>#N/A</v>
      </c>
      <c r="S1583" s="4" t="e">
        <f>IF(AND(L1583=1,N1583&lt;'Line Follower'!$C$6,SUM(C1583:K1583)&lt;4),1,0)</f>
        <v>#N/A</v>
      </c>
      <c r="T1583" s="4" t="e">
        <f t="shared" si="122"/>
        <v>#N/A</v>
      </c>
      <c r="U1583" s="5" t="e">
        <f t="shared" si="123"/>
        <v>#N/A</v>
      </c>
      <c r="V1583" s="23" t="e">
        <f t="shared" si="124"/>
        <v>#N/A</v>
      </c>
    </row>
    <row r="1584" spans="2:22" x14ac:dyDescent="0.25">
      <c r="B1584" s="16">
        <v>1</v>
      </c>
      <c r="C1584" s="7">
        <v>0</v>
      </c>
      <c r="D1584" s="8">
        <v>1</v>
      </c>
      <c r="E1584" s="8">
        <v>1</v>
      </c>
      <c r="F1584" s="8">
        <v>0</v>
      </c>
      <c r="G1584" s="8">
        <v>1</v>
      </c>
      <c r="H1584" s="8">
        <v>0</v>
      </c>
      <c r="I1584" s="8">
        <v>0</v>
      </c>
      <c r="J1584" s="8">
        <v>0</v>
      </c>
      <c r="K1584" s="9">
        <v>1</v>
      </c>
      <c r="L1584" s="10">
        <v>1</v>
      </c>
      <c r="M1584" s="6">
        <v>0</v>
      </c>
      <c r="N1584" s="37" t="e" cm="1">
        <f t="array" ref="N1584">IF(OR(ISNUMBER(FIND(Aux!$D$3:$D$9,_xlfn.TEXTJOIN(,,C1584:K1584)))),NA(),IF(AND(SUM(C1584:F1584,H1584:K1584)=0,G1584=1),0,INT((SUMPRODUCT(C1584:F1584,COLUMN($A$1:$D$1)-1)+SUMPRODUCT(H1584:K1584,COLUMN($E$1:$H$1)-1))*'Line Follower'!$C$3/SUM(C1584:F1584,H1584:K1584)-'Line Follower'!$C$5)))</f>
        <v>#N/A</v>
      </c>
      <c r="O1584" s="22" t="e">
        <v>#N/A</v>
      </c>
      <c r="P1584" s="4" t="e">
        <f t="shared" si="120"/>
        <v>#N/A</v>
      </c>
      <c r="Q1584" s="4" t="e">
        <f t="shared" si="121"/>
        <v>#N/A</v>
      </c>
      <c r="R1584" s="4" t="e">
        <f>IF(AND(B1584=1,N1584&gt;'Line Follower'!$C$7,SUM(C1584:K1584)&lt;4),1,0)</f>
        <v>#N/A</v>
      </c>
      <c r="S1584" s="4" t="e">
        <f>IF(AND(L1584=1,N1584&lt;'Line Follower'!$C$6,SUM(C1584:K1584)&lt;4),1,0)</f>
        <v>#N/A</v>
      </c>
      <c r="T1584" s="4" t="e">
        <f t="shared" si="122"/>
        <v>#N/A</v>
      </c>
      <c r="U1584" s="5" t="e">
        <f t="shared" si="123"/>
        <v>#N/A</v>
      </c>
      <c r="V1584" s="23" t="e">
        <f t="shared" si="124"/>
        <v>#N/A</v>
      </c>
    </row>
    <row r="1585" spans="2:22" x14ac:dyDescent="0.25">
      <c r="B1585" s="16">
        <v>0</v>
      </c>
      <c r="C1585" s="7">
        <v>1</v>
      </c>
      <c r="D1585" s="8">
        <v>1</v>
      </c>
      <c r="E1585" s="8">
        <v>1</v>
      </c>
      <c r="F1585" s="8">
        <v>0</v>
      </c>
      <c r="G1585" s="8">
        <v>1</v>
      </c>
      <c r="H1585" s="8">
        <v>0</v>
      </c>
      <c r="I1585" s="8">
        <v>0</v>
      </c>
      <c r="J1585" s="8">
        <v>0</v>
      </c>
      <c r="K1585" s="9">
        <v>1</v>
      </c>
      <c r="L1585" s="10">
        <v>1</v>
      </c>
      <c r="M1585" s="6">
        <v>0</v>
      </c>
      <c r="N1585" s="37" t="e" cm="1">
        <f t="array" ref="N1585">IF(OR(ISNUMBER(FIND(Aux!$D$3:$D$9,_xlfn.TEXTJOIN(,,C1585:K1585)))),NA(),IF(AND(SUM(C1585:F1585,H1585:K1585)=0,G1585=1),0,INT((SUMPRODUCT(C1585:F1585,COLUMN($A$1:$D$1)-1)+SUMPRODUCT(H1585:K1585,COLUMN($E$1:$H$1)-1))*'Line Follower'!$C$3/SUM(C1585:F1585,H1585:K1585)-'Line Follower'!$C$5)))</f>
        <v>#N/A</v>
      </c>
      <c r="O1585" s="22" t="e">
        <v>#N/A</v>
      </c>
      <c r="P1585" s="4" t="e">
        <f t="shared" si="120"/>
        <v>#N/A</v>
      </c>
      <c r="Q1585" s="4" t="e">
        <f t="shared" si="121"/>
        <v>#N/A</v>
      </c>
      <c r="R1585" s="4" t="e">
        <f>IF(AND(B1585=1,N1585&gt;'Line Follower'!$C$7,SUM(C1585:K1585)&lt;4),1,0)</f>
        <v>#N/A</v>
      </c>
      <c r="S1585" s="4" t="e">
        <f>IF(AND(L1585=1,N1585&lt;'Line Follower'!$C$6,SUM(C1585:K1585)&lt;4),1,0)</f>
        <v>#N/A</v>
      </c>
      <c r="T1585" s="4" t="e">
        <f t="shared" si="122"/>
        <v>#N/A</v>
      </c>
      <c r="U1585" s="5" t="e">
        <f t="shared" si="123"/>
        <v>#N/A</v>
      </c>
      <c r="V1585" s="23" t="e">
        <f t="shared" si="124"/>
        <v>#N/A</v>
      </c>
    </row>
    <row r="1586" spans="2:22" x14ac:dyDescent="0.25">
      <c r="B1586" s="16">
        <v>1</v>
      </c>
      <c r="C1586" s="7">
        <v>1</v>
      </c>
      <c r="D1586" s="8">
        <v>1</v>
      </c>
      <c r="E1586" s="8">
        <v>1</v>
      </c>
      <c r="F1586" s="8">
        <v>0</v>
      </c>
      <c r="G1586" s="8">
        <v>1</v>
      </c>
      <c r="H1586" s="8">
        <v>0</v>
      </c>
      <c r="I1586" s="8">
        <v>0</v>
      </c>
      <c r="J1586" s="8">
        <v>0</v>
      </c>
      <c r="K1586" s="9">
        <v>1</v>
      </c>
      <c r="L1586" s="10">
        <v>1</v>
      </c>
      <c r="M1586" s="6">
        <v>0</v>
      </c>
      <c r="N1586" s="37" t="e" cm="1">
        <f t="array" ref="N1586">IF(OR(ISNUMBER(FIND(Aux!$D$3:$D$9,_xlfn.TEXTJOIN(,,C1586:K1586)))),NA(),IF(AND(SUM(C1586:F1586,H1586:K1586)=0,G1586=1),0,INT((SUMPRODUCT(C1586:F1586,COLUMN($A$1:$D$1)-1)+SUMPRODUCT(H1586:K1586,COLUMN($E$1:$H$1)-1))*'Line Follower'!$C$3/SUM(C1586:F1586,H1586:K1586)-'Line Follower'!$C$5)))</f>
        <v>#N/A</v>
      </c>
      <c r="O1586" s="22" t="e">
        <v>#N/A</v>
      </c>
      <c r="P1586" s="4" t="e">
        <f t="shared" si="120"/>
        <v>#N/A</v>
      </c>
      <c r="Q1586" s="4" t="e">
        <f t="shared" si="121"/>
        <v>#N/A</v>
      </c>
      <c r="R1586" s="4" t="e">
        <f>IF(AND(B1586=1,N1586&gt;'Line Follower'!$C$7,SUM(C1586:K1586)&lt;4),1,0)</f>
        <v>#N/A</v>
      </c>
      <c r="S1586" s="4" t="e">
        <f>IF(AND(L1586=1,N1586&lt;'Line Follower'!$C$6,SUM(C1586:K1586)&lt;4),1,0)</f>
        <v>#N/A</v>
      </c>
      <c r="T1586" s="4" t="e">
        <f t="shared" si="122"/>
        <v>#N/A</v>
      </c>
      <c r="U1586" s="5" t="e">
        <f t="shared" si="123"/>
        <v>#N/A</v>
      </c>
      <c r="V1586" s="23" t="e">
        <f t="shared" si="124"/>
        <v>#N/A</v>
      </c>
    </row>
    <row r="1587" spans="2:22" x14ac:dyDescent="0.25">
      <c r="B1587" s="16">
        <v>0</v>
      </c>
      <c r="C1587" s="7">
        <v>0</v>
      </c>
      <c r="D1587" s="8">
        <v>0</v>
      </c>
      <c r="E1587" s="8">
        <v>0</v>
      </c>
      <c r="F1587" s="8">
        <v>1</v>
      </c>
      <c r="G1587" s="8">
        <v>1</v>
      </c>
      <c r="H1587" s="8">
        <v>0</v>
      </c>
      <c r="I1587" s="8">
        <v>0</v>
      </c>
      <c r="J1587" s="8">
        <v>0</v>
      </c>
      <c r="K1587" s="9">
        <v>1</v>
      </c>
      <c r="L1587" s="10">
        <v>1</v>
      </c>
      <c r="M1587" s="6">
        <v>0</v>
      </c>
      <c r="N1587" s="37" t="e" cm="1">
        <f t="array" ref="N1587">IF(OR(ISNUMBER(FIND(Aux!$D$3:$D$9,_xlfn.TEXTJOIN(,,C1587:K1587)))),NA(),IF(AND(SUM(C1587:F1587,H1587:K1587)=0,G1587=1),0,INT((SUMPRODUCT(C1587:F1587,COLUMN($A$1:$D$1)-1)+SUMPRODUCT(H1587:K1587,COLUMN($E$1:$H$1)-1))*'Line Follower'!$C$3/SUM(C1587:F1587,H1587:K1587)-'Line Follower'!$C$5)))</f>
        <v>#N/A</v>
      </c>
      <c r="O1587" s="22" t="e">
        <v>#N/A</v>
      </c>
      <c r="P1587" s="4" t="e">
        <f t="shared" si="120"/>
        <v>#N/A</v>
      </c>
      <c r="Q1587" s="4" t="e">
        <f t="shared" si="121"/>
        <v>#N/A</v>
      </c>
      <c r="R1587" s="4" t="e">
        <f>IF(AND(B1587=1,N1587&gt;'Line Follower'!$C$7,SUM(C1587:K1587)&lt;4),1,0)</f>
        <v>#N/A</v>
      </c>
      <c r="S1587" s="4" t="e">
        <f>IF(AND(L1587=1,N1587&lt;'Line Follower'!$C$6,SUM(C1587:K1587)&lt;4),1,0)</f>
        <v>#N/A</v>
      </c>
      <c r="T1587" s="4" t="e">
        <f t="shared" si="122"/>
        <v>#N/A</v>
      </c>
      <c r="U1587" s="5" t="e">
        <f t="shared" si="123"/>
        <v>#N/A</v>
      </c>
      <c r="V1587" s="23" t="e">
        <f t="shared" si="124"/>
        <v>#N/A</v>
      </c>
    </row>
    <row r="1588" spans="2:22" x14ac:dyDescent="0.25">
      <c r="B1588" s="16">
        <v>1</v>
      </c>
      <c r="C1588" s="7">
        <v>0</v>
      </c>
      <c r="D1588" s="8">
        <v>0</v>
      </c>
      <c r="E1588" s="8">
        <v>0</v>
      </c>
      <c r="F1588" s="8">
        <v>1</v>
      </c>
      <c r="G1588" s="8">
        <v>1</v>
      </c>
      <c r="H1588" s="8">
        <v>0</v>
      </c>
      <c r="I1588" s="8">
        <v>0</v>
      </c>
      <c r="J1588" s="8">
        <v>0</v>
      </c>
      <c r="K1588" s="9">
        <v>1</v>
      </c>
      <c r="L1588" s="10">
        <v>1</v>
      </c>
      <c r="M1588" s="6">
        <v>0</v>
      </c>
      <c r="N1588" s="37" t="e" cm="1">
        <f t="array" ref="N1588">IF(OR(ISNUMBER(FIND(Aux!$D$3:$D$9,_xlfn.TEXTJOIN(,,C1588:K1588)))),NA(),IF(AND(SUM(C1588:F1588,H1588:K1588)=0,G1588=1),0,INT((SUMPRODUCT(C1588:F1588,COLUMN($A$1:$D$1)-1)+SUMPRODUCT(H1588:K1588,COLUMN($E$1:$H$1)-1))*'Line Follower'!$C$3/SUM(C1588:F1588,H1588:K1588)-'Line Follower'!$C$5)))</f>
        <v>#N/A</v>
      </c>
      <c r="O1588" s="22" t="e">
        <v>#N/A</v>
      </c>
      <c r="P1588" s="4" t="e">
        <f t="shared" si="120"/>
        <v>#N/A</v>
      </c>
      <c r="Q1588" s="4" t="e">
        <f t="shared" si="121"/>
        <v>#N/A</v>
      </c>
      <c r="R1588" s="4" t="e">
        <f>IF(AND(B1588=1,N1588&gt;'Line Follower'!$C$7,SUM(C1588:K1588)&lt;4),1,0)</f>
        <v>#N/A</v>
      </c>
      <c r="S1588" s="4" t="e">
        <f>IF(AND(L1588=1,N1588&lt;'Line Follower'!$C$6,SUM(C1588:K1588)&lt;4),1,0)</f>
        <v>#N/A</v>
      </c>
      <c r="T1588" s="4" t="e">
        <f t="shared" si="122"/>
        <v>#N/A</v>
      </c>
      <c r="U1588" s="5" t="e">
        <f t="shared" si="123"/>
        <v>#N/A</v>
      </c>
      <c r="V1588" s="23" t="e">
        <f t="shared" si="124"/>
        <v>#N/A</v>
      </c>
    </row>
    <row r="1589" spans="2:22" x14ac:dyDescent="0.25">
      <c r="B1589" s="16">
        <v>0</v>
      </c>
      <c r="C1589" s="7">
        <v>1</v>
      </c>
      <c r="D1589" s="8">
        <v>0</v>
      </c>
      <c r="E1589" s="8">
        <v>0</v>
      </c>
      <c r="F1589" s="8">
        <v>1</v>
      </c>
      <c r="G1589" s="8">
        <v>1</v>
      </c>
      <c r="H1589" s="8">
        <v>0</v>
      </c>
      <c r="I1589" s="8">
        <v>0</v>
      </c>
      <c r="J1589" s="8">
        <v>0</v>
      </c>
      <c r="K1589" s="9">
        <v>1</v>
      </c>
      <c r="L1589" s="10">
        <v>1</v>
      </c>
      <c r="M1589" s="6">
        <v>0</v>
      </c>
      <c r="N1589" s="37" t="e" cm="1">
        <f t="array" ref="N1589">IF(OR(ISNUMBER(FIND(Aux!$D$3:$D$9,_xlfn.TEXTJOIN(,,C1589:K1589)))),NA(),IF(AND(SUM(C1589:F1589,H1589:K1589)=0,G1589=1),0,INT((SUMPRODUCT(C1589:F1589,COLUMN($A$1:$D$1)-1)+SUMPRODUCT(H1589:K1589,COLUMN($E$1:$H$1)-1))*'Line Follower'!$C$3/SUM(C1589:F1589,H1589:K1589)-'Line Follower'!$C$5)))</f>
        <v>#N/A</v>
      </c>
      <c r="O1589" s="22" t="e">
        <v>#N/A</v>
      </c>
      <c r="P1589" s="4" t="e">
        <f t="shared" si="120"/>
        <v>#N/A</v>
      </c>
      <c r="Q1589" s="4" t="e">
        <f t="shared" si="121"/>
        <v>#N/A</v>
      </c>
      <c r="R1589" s="4" t="e">
        <f>IF(AND(B1589=1,N1589&gt;'Line Follower'!$C$7,SUM(C1589:K1589)&lt;4),1,0)</f>
        <v>#N/A</v>
      </c>
      <c r="S1589" s="4" t="e">
        <f>IF(AND(L1589=1,N1589&lt;'Line Follower'!$C$6,SUM(C1589:K1589)&lt;4),1,0)</f>
        <v>#N/A</v>
      </c>
      <c r="T1589" s="4" t="e">
        <f t="shared" si="122"/>
        <v>#N/A</v>
      </c>
      <c r="U1589" s="5" t="e">
        <f t="shared" si="123"/>
        <v>#N/A</v>
      </c>
      <c r="V1589" s="23" t="e">
        <f t="shared" si="124"/>
        <v>#N/A</v>
      </c>
    </row>
    <row r="1590" spans="2:22" x14ac:dyDescent="0.25">
      <c r="B1590" s="16">
        <v>1</v>
      </c>
      <c r="C1590" s="7">
        <v>1</v>
      </c>
      <c r="D1590" s="8">
        <v>0</v>
      </c>
      <c r="E1590" s="8">
        <v>0</v>
      </c>
      <c r="F1590" s="8">
        <v>1</v>
      </c>
      <c r="G1590" s="8">
        <v>1</v>
      </c>
      <c r="H1590" s="8">
        <v>0</v>
      </c>
      <c r="I1590" s="8">
        <v>0</v>
      </c>
      <c r="J1590" s="8">
        <v>0</v>
      </c>
      <c r="K1590" s="9">
        <v>1</v>
      </c>
      <c r="L1590" s="10">
        <v>1</v>
      </c>
      <c r="M1590" s="6">
        <v>0</v>
      </c>
      <c r="N1590" s="37" t="e" cm="1">
        <f t="array" ref="N1590">IF(OR(ISNUMBER(FIND(Aux!$D$3:$D$9,_xlfn.TEXTJOIN(,,C1590:K1590)))),NA(),IF(AND(SUM(C1590:F1590,H1590:K1590)=0,G1590=1),0,INT((SUMPRODUCT(C1590:F1590,COLUMN($A$1:$D$1)-1)+SUMPRODUCT(H1590:K1590,COLUMN($E$1:$H$1)-1))*'Line Follower'!$C$3/SUM(C1590:F1590,H1590:K1590)-'Line Follower'!$C$5)))</f>
        <v>#N/A</v>
      </c>
      <c r="O1590" s="22" t="e">
        <v>#N/A</v>
      </c>
      <c r="P1590" s="4" t="e">
        <f t="shared" si="120"/>
        <v>#N/A</v>
      </c>
      <c r="Q1590" s="4" t="e">
        <f t="shared" si="121"/>
        <v>#N/A</v>
      </c>
      <c r="R1590" s="4" t="e">
        <f>IF(AND(B1590=1,N1590&gt;'Line Follower'!$C$7,SUM(C1590:K1590)&lt;4),1,0)</f>
        <v>#N/A</v>
      </c>
      <c r="S1590" s="4" t="e">
        <f>IF(AND(L1590=1,N1590&lt;'Line Follower'!$C$6,SUM(C1590:K1590)&lt;4),1,0)</f>
        <v>#N/A</v>
      </c>
      <c r="T1590" s="4" t="e">
        <f t="shared" si="122"/>
        <v>#N/A</v>
      </c>
      <c r="U1590" s="5" t="e">
        <f t="shared" si="123"/>
        <v>#N/A</v>
      </c>
      <c r="V1590" s="23" t="e">
        <f t="shared" si="124"/>
        <v>#N/A</v>
      </c>
    </row>
    <row r="1591" spans="2:22" x14ac:dyDescent="0.25">
      <c r="B1591" s="16">
        <v>0</v>
      </c>
      <c r="C1591" s="7">
        <v>0</v>
      </c>
      <c r="D1591" s="8">
        <v>1</v>
      </c>
      <c r="E1591" s="8">
        <v>0</v>
      </c>
      <c r="F1591" s="8">
        <v>1</v>
      </c>
      <c r="G1591" s="8">
        <v>1</v>
      </c>
      <c r="H1591" s="8">
        <v>0</v>
      </c>
      <c r="I1591" s="8">
        <v>0</v>
      </c>
      <c r="J1591" s="8">
        <v>0</v>
      </c>
      <c r="K1591" s="9">
        <v>1</v>
      </c>
      <c r="L1591" s="10">
        <v>1</v>
      </c>
      <c r="M1591" s="6">
        <v>0</v>
      </c>
      <c r="N1591" s="37" t="e" cm="1">
        <f t="array" ref="N1591">IF(OR(ISNUMBER(FIND(Aux!$D$3:$D$9,_xlfn.TEXTJOIN(,,C1591:K1591)))),NA(),IF(AND(SUM(C1591:F1591,H1591:K1591)=0,G1591=1),0,INT((SUMPRODUCT(C1591:F1591,COLUMN($A$1:$D$1)-1)+SUMPRODUCT(H1591:K1591,COLUMN($E$1:$H$1)-1))*'Line Follower'!$C$3/SUM(C1591:F1591,H1591:K1591)-'Line Follower'!$C$5)))</f>
        <v>#N/A</v>
      </c>
      <c r="O1591" s="22" t="e">
        <v>#N/A</v>
      </c>
      <c r="P1591" s="4" t="e">
        <f t="shared" si="120"/>
        <v>#N/A</v>
      </c>
      <c r="Q1591" s="4" t="e">
        <f t="shared" si="121"/>
        <v>#N/A</v>
      </c>
      <c r="R1591" s="4" t="e">
        <f>IF(AND(B1591=1,N1591&gt;'Line Follower'!$C$7,SUM(C1591:K1591)&lt;4),1,0)</f>
        <v>#N/A</v>
      </c>
      <c r="S1591" s="4" t="e">
        <f>IF(AND(L1591=1,N1591&lt;'Line Follower'!$C$6,SUM(C1591:K1591)&lt;4),1,0)</f>
        <v>#N/A</v>
      </c>
      <c r="T1591" s="4" t="e">
        <f t="shared" si="122"/>
        <v>#N/A</v>
      </c>
      <c r="U1591" s="5" t="e">
        <f t="shared" si="123"/>
        <v>#N/A</v>
      </c>
      <c r="V1591" s="23" t="e">
        <f t="shared" si="124"/>
        <v>#N/A</v>
      </c>
    </row>
    <row r="1592" spans="2:22" x14ac:dyDescent="0.25">
      <c r="B1592" s="16">
        <v>1</v>
      </c>
      <c r="C1592" s="7">
        <v>0</v>
      </c>
      <c r="D1592" s="8">
        <v>1</v>
      </c>
      <c r="E1592" s="8">
        <v>0</v>
      </c>
      <c r="F1592" s="8">
        <v>1</v>
      </c>
      <c r="G1592" s="8">
        <v>1</v>
      </c>
      <c r="H1592" s="8">
        <v>0</v>
      </c>
      <c r="I1592" s="8">
        <v>0</v>
      </c>
      <c r="J1592" s="8">
        <v>0</v>
      </c>
      <c r="K1592" s="9">
        <v>1</v>
      </c>
      <c r="L1592" s="10">
        <v>1</v>
      </c>
      <c r="M1592" s="6">
        <v>0</v>
      </c>
      <c r="N1592" s="37" t="e" cm="1">
        <f t="array" ref="N1592">IF(OR(ISNUMBER(FIND(Aux!$D$3:$D$9,_xlfn.TEXTJOIN(,,C1592:K1592)))),NA(),IF(AND(SUM(C1592:F1592,H1592:K1592)=0,G1592=1),0,INT((SUMPRODUCT(C1592:F1592,COLUMN($A$1:$D$1)-1)+SUMPRODUCT(H1592:K1592,COLUMN($E$1:$H$1)-1))*'Line Follower'!$C$3/SUM(C1592:F1592,H1592:K1592)-'Line Follower'!$C$5)))</f>
        <v>#N/A</v>
      </c>
      <c r="O1592" s="22" t="e">
        <v>#N/A</v>
      </c>
      <c r="P1592" s="4" t="e">
        <f t="shared" si="120"/>
        <v>#N/A</v>
      </c>
      <c r="Q1592" s="4" t="e">
        <f t="shared" si="121"/>
        <v>#N/A</v>
      </c>
      <c r="R1592" s="4" t="e">
        <f>IF(AND(B1592=1,N1592&gt;'Line Follower'!$C$7,SUM(C1592:K1592)&lt;4),1,0)</f>
        <v>#N/A</v>
      </c>
      <c r="S1592" s="4" t="e">
        <f>IF(AND(L1592=1,N1592&lt;'Line Follower'!$C$6,SUM(C1592:K1592)&lt;4),1,0)</f>
        <v>#N/A</v>
      </c>
      <c r="T1592" s="4" t="e">
        <f t="shared" si="122"/>
        <v>#N/A</v>
      </c>
      <c r="U1592" s="5" t="e">
        <f t="shared" si="123"/>
        <v>#N/A</v>
      </c>
      <c r="V1592" s="23" t="e">
        <f t="shared" si="124"/>
        <v>#N/A</v>
      </c>
    </row>
    <row r="1593" spans="2:22" x14ac:dyDescent="0.25">
      <c r="B1593" s="16">
        <v>0</v>
      </c>
      <c r="C1593" s="7">
        <v>1</v>
      </c>
      <c r="D1593" s="8">
        <v>1</v>
      </c>
      <c r="E1593" s="8">
        <v>0</v>
      </c>
      <c r="F1593" s="8">
        <v>1</v>
      </c>
      <c r="G1593" s="8">
        <v>1</v>
      </c>
      <c r="H1593" s="8">
        <v>0</v>
      </c>
      <c r="I1593" s="8">
        <v>0</v>
      </c>
      <c r="J1593" s="8">
        <v>0</v>
      </c>
      <c r="K1593" s="9">
        <v>1</v>
      </c>
      <c r="L1593" s="10">
        <v>1</v>
      </c>
      <c r="M1593" s="6">
        <v>0</v>
      </c>
      <c r="N1593" s="37" t="e" cm="1">
        <f t="array" ref="N1593">IF(OR(ISNUMBER(FIND(Aux!$D$3:$D$9,_xlfn.TEXTJOIN(,,C1593:K1593)))),NA(),IF(AND(SUM(C1593:F1593,H1593:K1593)=0,G1593=1),0,INT((SUMPRODUCT(C1593:F1593,COLUMN($A$1:$D$1)-1)+SUMPRODUCT(H1593:K1593,COLUMN($E$1:$H$1)-1))*'Line Follower'!$C$3/SUM(C1593:F1593,H1593:K1593)-'Line Follower'!$C$5)))</f>
        <v>#N/A</v>
      </c>
      <c r="O1593" s="22" t="e">
        <v>#N/A</v>
      </c>
      <c r="P1593" s="4" t="e">
        <f t="shared" si="120"/>
        <v>#N/A</v>
      </c>
      <c r="Q1593" s="4" t="e">
        <f t="shared" si="121"/>
        <v>#N/A</v>
      </c>
      <c r="R1593" s="4" t="e">
        <f>IF(AND(B1593=1,N1593&gt;'Line Follower'!$C$7,SUM(C1593:K1593)&lt;4),1,0)</f>
        <v>#N/A</v>
      </c>
      <c r="S1593" s="4" t="e">
        <f>IF(AND(L1593=1,N1593&lt;'Line Follower'!$C$6,SUM(C1593:K1593)&lt;4),1,0)</f>
        <v>#N/A</v>
      </c>
      <c r="T1593" s="4" t="e">
        <f t="shared" si="122"/>
        <v>#N/A</v>
      </c>
      <c r="U1593" s="5" t="e">
        <f t="shared" si="123"/>
        <v>#N/A</v>
      </c>
      <c r="V1593" s="23" t="e">
        <f t="shared" si="124"/>
        <v>#N/A</v>
      </c>
    </row>
    <row r="1594" spans="2:22" x14ac:dyDescent="0.25">
      <c r="B1594" s="16">
        <v>1</v>
      </c>
      <c r="C1594" s="7">
        <v>1</v>
      </c>
      <c r="D1594" s="8">
        <v>1</v>
      </c>
      <c r="E1594" s="8">
        <v>0</v>
      </c>
      <c r="F1594" s="8">
        <v>1</v>
      </c>
      <c r="G1594" s="8">
        <v>1</v>
      </c>
      <c r="H1594" s="8">
        <v>0</v>
      </c>
      <c r="I1594" s="8">
        <v>0</v>
      </c>
      <c r="J1594" s="8">
        <v>0</v>
      </c>
      <c r="K1594" s="9">
        <v>1</v>
      </c>
      <c r="L1594" s="10">
        <v>1</v>
      </c>
      <c r="M1594" s="6">
        <v>0</v>
      </c>
      <c r="N1594" s="37" t="e" cm="1">
        <f t="array" ref="N1594">IF(OR(ISNUMBER(FIND(Aux!$D$3:$D$9,_xlfn.TEXTJOIN(,,C1594:K1594)))),NA(),IF(AND(SUM(C1594:F1594,H1594:K1594)=0,G1594=1),0,INT((SUMPRODUCT(C1594:F1594,COLUMN($A$1:$D$1)-1)+SUMPRODUCT(H1594:K1594,COLUMN($E$1:$H$1)-1))*'Line Follower'!$C$3/SUM(C1594:F1594,H1594:K1594)-'Line Follower'!$C$5)))</f>
        <v>#N/A</v>
      </c>
      <c r="O1594" s="22" t="e">
        <v>#N/A</v>
      </c>
      <c r="P1594" s="4" t="e">
        <f t="shared" si="120"/>
        <v>#N/A</v>
      </c>
      <c r="Q1594" s="4" t="e">
        <f t="shared" si="121"/>
        <v>#N/A</v>
      </c>
      <c r="R1594" s="4" t="e">
        <f>IF(AND(B1594=1,N1594&gt;'Line Follower'!$C$7,SUM(C1594:K1594)&lt;4),1,0)</f>
        <v>#N/A</v>
      </c>
      <c r="S1594" s="4" t="e">
        <f>IF(AND(L1594=1,N1594&lt;'Line Follower'!$C$6,SUM(C1594:K1594)&lt;4),1,0)</f>
        <v>#N/A</v>
      </c>
      <c r="T1594" s="4" t="e">
        <f t="shared" si="122"/>
        <v>#N/A</v>
      </c>
      <c r="U1594" s="5" t="e">
        <f t="shared" si="123"/>
        <v>#N/A</v>
      </c>
      <c r="V1594" s="23" t="e">
        <f t="shared" si="124"/>
        <v>#N/A</v>
      </c>
    </row>
    <row r="1595" spans="2:22" x14ac:dyDescent="0.25">
      <c r="B1595" s="16">
        <v>0</v>
      </c>
      <c r="C1595" s="7">
        <v>0</v>
      </c>
      <c r="D1595" s="8">
        <v>0</v>
      </c>
      <c r="E1595" s="8">
        <v>1</v>
      </c>
      <c r="F1595" s="8">
        <v>1</v>
      </c>
      <c r="G1595" s="8">
        <v>1</v>
      </c>
      <c r="H1595" s="8">
        <v>0</v>
      </c>
      <c r="I1595" s="8">
        <v>0</v>
      </c>
      <c r="J1595" s="8">
        <v>0</v>
      </c>
      <c r="K1595" s="9">
        <v>1</v>
      </c>
      <c r="L1595" s="10">
        <v>1</v>
      </c>
      <c r="M1595" s="6">
        <v>0</v>
      </c>
      <c r="N1595" s="37" t="e" cm="1">
        <f t="array" ref="N1595">IF(OR(ISNUMBER(FIND(Aux!$D$3:$D$9,_xlfn.TEXTJOIN(,,C1595:K1595)))),NA(),IF(AND(SUM(C1595:F1595,H1595:K1595)=0,G1595=1),0,INT((SUMPRODUCT(C1595:F1595,COLUMN($A$1:$D$1)-1)+SUMPRODUCT(H1595:K1595,COLUMN($E$1:$H$1)-1))*'Line Follower'!$C$3/SUM(C1595:F1595,H1595:K1595)-'Line Follower'!$C$5)))</f>
        <v>#N/A</v>
      </c>
      <c r="O1595" s="22" t="e">
        <v>#N/A</v>
      </c>
      <c r="P1595" s="4" t="e">
        <f t="shared" si="120"/>
        <v>#N/A</v>
      </c>
      <c r="Q1595" s="4" t="e">
        <f t="shared" si="121"/>
        <v>#N/A</v>
      </c>
      <c r="R1595" s="4" t="e">
        <f>IF(AND(B1595=1,N1595&gt;'Line Follower'!$C$7,SUM(C1595:K1595)&lt;4),1,0)</f>
        <v>#N/A</v>
      </c>
      <c r="S1595" s="4" t="e">
        <f>IF(AND(L1595=1,N1595&lt;'Line Follower'!$C$6,SUM(C1595:K1595)&lt;4),1,0)</f>
        <v>#N/A</v>
      </c>
      <c r="T1595" s="4" t="e">
        <f t="shared" si="122"/>
        <v>#N/A</v>
      </c>
      <c r="U1595" s="5" t="e">
        <f t="shared" si="123"/>
        <v>#N/A</v>
      </c>
      <c r="V1595" s="23" t="e">
        <f t="shared" si="124"/>
        <v>#N/A</v>
      </c>
    </row>
    <row r="1596" spans="2:22" x14ac:dyDescent="0.25">
      <c r="B1596" s="16">
        <v>1</v>
      </c>
      <c r="C1596" s="7">
        <v>0</v>
      </c>
      <c r="D1596" s="8">
        <v>0</v>
      </c>
      <c r="E1596" s="8">
        <v>1</v>
      </c>
      <c r="F1596" s="8">
        <v>1</v>
      </c>
      <c r="G1596" s="8">
        <v>1</v>
      </c>
      <c r="H1596" s="8">
        <v>0</v>
      </c>
      <c r="I1596" s="8">
        <v>0</v>
      </c>
      <c r="J1596" s="8">
        <v>0</v>
      </c>
      <c r="K1596" s="9">
        <v>1</v>
      </c>
      <c r="L1596" s="10">
        <v>1</v>
      </c>
      <c r="M1596" s="6">
        <v>0</v>
      </c>
      <c r="N1596" s="37" t="e" cm="1">
        <f t="array" ref="N1596">IF(OR(ISNUMBER(FIND(Aux!$D$3:$D$9,_xlfn.TEXTJOIN(,,C1596:K1596)))),NA(),IF(AND(SUM(C1596:F1596,H1596:K1596)=0,G1596=1),0,INT((SUMPRODUCT(C1596:F1596,COLUMN($A$1:$D$1)-1)+SUMPRODUCT(H1596:K1596,COLUMN($E$1:$H$1)-1))*'Line Follower'!$C$3/SUM(C1596:F1596,H1596:K1596)-'Line Follower'!$C$5)))</f>
        <v>#N/A</v>
      </c>
      <c r="O1596" s="22" t="e">
        <v>#N/A</v>
      </c>
      <c r="P1596" s="4" t="e">
        <f t="shared" si="120"/>
        <v>#N/A</v>
      </c>
      <c r="Q1596" s="4" t="e">
        <f t="shared" si="121"/>
        <v>#N/A</v>
      </c>
      <c r="R1596" s="4" t="e">
        <f>IF(AND(B1596=1,N1596&gt;'Line Follower'!$C$7,SUM(C1596:K1596)&lt;4),1,0)</f>
        <v>#N/A</v>
      </c>
      <c r="S1596" s="4" t="e">
        <f>IF(AND(L1596=1,N1596&lt;'Line Follower'!$C$6,SUM(C1596:K1596)&lt;4),1,0)</f>
        <v>#N/A</v>
      </c>
      <c r="T1596" s="4" t="e">
        <f t="shared" si="122"/>
        <v>#N/A</v>
      </c>
      <c r="U1596" s="5" t="e">
        <f t="shared" si="123"/>
        <v>#N/A</v>
      </c>
      <c r="V1596" s="23" t="e">
        <f t="shared" si="124"/>
        <v>#N/A</v>
      </c>
    </row>
    <row r="1597" spans="2:22" x14ac:dyDescent="0.25">
      <c r="B1597" s="16">
        <v>0</v>
      </c>
      <c r="C1597" s="7">
        <v>1</v>
      </c>
      <c r="D1597" s="8">
        <v>0</v>
      </c>
      <c r="E1597" s="8">
        <v>1</v>
      </c>
      <c r="F1597" s="8">
        <v>1</v>
      </c>
      <c r="G1597" s="8">
        <v>1</v>
      </c>
      <c r="H1597" s="8">
        <v>0</v>
      </c>
      <c r="I1597" s="8">
        <v>0</v>
      </c>
      <c r="J1597" s="8">
        <v>0</v>
      </c>
      <c r="K1597" s="9">
        <v>1</v>
      </c>
      <c r="L1597" s="10">
        <v>1</v>
      </c>
      <c r="M1597" s="6">
        <v>0</v>
      </c>
      <c r="N1597" s="37" t="e" cm="1">
        <f t="array" ref="N1597">IF(OR(ISNUMBER(FIND(Aux!$D$3:$D$9,_xlfn.TEXTJOIN(,,C1597:K1597)))),NA(),IF(AND(SUM(C1597:F1597,H1597:K1597)=0,G1597=1),0,INT((SUMPRODUCT(C1597:F1597,COLUMN($A$1:$D$1)-1)+SUMPRODUCT(H1597:K1597,COLUMN($E$1:$H$1)-1))*'Line Follower'!$C$3/SUM(C1597:F1597,H1597:K1597)-'Line Follower'!$C$5)))</f>
        <v>#N/A</v>
      </c>
      <c r="O1597" s="22" t="e">
        <v>#N/A</v>
      </c>
      <c r="P1597" s="4" t="e">
        <f t="shared" si="120"/>
        <v>#N/A</v>
      </c>
      <c r="Q1597" s="4" t="e">
        <f t="shared" si="121"/>
        <v>#N/A</v>
      </c>
      <c r="R1597" s="4" t="e">
        <f>IF(AND(B1597=1,N1597&gt;'Line Follower'!$C$7,SUM(C1597:K1597)&lt;4),1,0)</f>
        <v>#N/A</v>
      </c>
      <c r="S1597" s="4" t="e">
        <f>IF(AND(L1597=1,N1597&lt;'Line Follower'!$C$6,SUM(C1597:K1597)&lt;4),1,0)</f>
        <v>#N/A</v>
      </c>
      <c r="T1597" s="4" t="e">
        <f t="shared" si="122"/>
        <v>#N/A</v>
      </c>
      <c r="U1597" s="5" t="e">
        <f t="shared" si="123"/>
        <v>#N/A</v>
      </c>
      <c r="V1597" s="23" t="e">
        <f t="shared" si="124"/>
        <v>#N/A</v>
      </c>
    </row>
    <row r="1598" spans="2:22" x14ac:dyDescent="0.25">
      <c r="B1598" s="16">
        <v>1</v>
      </c>
      <c r="C1598" s="7">
        <v>1</v>
      </c>
      <c r="D1598" s="8">
        <v>0</v>
      </c>
      <c r="E1598" s="8">
        <v>1</v>
      </c>
      <c r="F1598" s="8">
        <v>1</v>
      </c>
      <c r="G1598" s="8">
        <v>1</v>
      </c>
      <c r="H1598" s="8">
        <v>0</v>
      </c>
      <c r="I1598" s="8">
        <v>0</v>
      </c>
      <c r="J1598" s="8">
        <v>0</v>
      </c>
      <c r="K1598" s="9">
        <v>1</v>
      </c>
      <c r="L1598" s="10">
        <v>1</v>
      </c>
      <c r="M1598" s="6">
        <v>0</v>
      </c>
      <c r="N1598" s="37" t="e" cm="1">
        <f t="array" ref="N1598">IF(OR(ISNUMBER(FIND(Aux!$D$3:$D$9,_xlfn.TEXTJOIN(,,C1598:K1598)))),NA(),IF(AND(SUM(C1598:F1598,H1598:K1598)=0,G1598=1),0,INT((SUMPRODUCT(C1598:F1598,COLUMN($A$1:$D$1)-1)+SUMPRODUCT(H1598:K1598,COLUMN($E$1:$H$1)-1))*'Line Follower'!$C$3/SUM(C1598:F1598,H1598:K1598)-'Line Follower'!$C$5)))</f>
        <v>#N/A</v>
      </c>
      <c r="O1598" s="22" t="e">
        <v>#N/A</v>
      </c>
      <c r="P1598" s="4" t="e">
        <f t="shared" si="120"/>
        <v>#N/A</v>
      </c>
      <c r="Q1598" s="4" t="e">
        <f t="shared" si="121"/>
        <v>#N/A</v>
      </c>
      <c r="R1598" s="4" t="e">
        <f>IF(AND(B1598=1,N1598&gt;'Line Follower'!$C$7,SUM(C1598:K1598)&lt;4),1,0)</f>
        <v>#N/A</v>
      </c>
      <c r="S1598" s="4" t="e">
        <f>IF(AND(L1598=1,N1598&lt;'Line Follower'!$C$6,SUM(C1598:K1598)&lt;4),1,0)</f>
        <v>#N/A</v>
      </c>
      <c r="T1598" s="4" t="e">
        <f t="shared" si="122"/>
        <v>#N/A</v>
      </c>
      <c r="U1598" s="5" t="e">
        <f t="shared" si="123"/>
        <v>#N/A</v>
      </c>
      <c r="V1598" s="23" t="e">
        <f t="shared" si="124"/>
        <v>#N/A</v>
      </c>
    </row>
    <row r="1599" spans="2:22" x14ac:dyDescent="0.25">
      <c r="B1599" s="16">
        <v>0</v>
      </c>
      <c r="C1599" s="7">
        <v>0</v>
      </c>
      <c r="D1599" s="8">
        <v>1</v>
      </c>
      <c r="E1599" s="8">
        <v>1</v>
      </c>
      <c r="F1599" s="8">
        <v>1</v>
      </c>
      <c r="G1599" s="8">
        <v>1</v>
      </c>
      <c r="H1599" s="8">
        <v>0</v>
      </c>
      <c r="I1599" s="8">
        <v>0</v>
      </c>
      <c r="J1599" s="8">
        <v>0</v>
      </c>
      <c r="K1599" s="9">
        <v>1</v>
      </c>
      <c r="L1599" s="10">
        <v>1</v>
      </c>
      <c r="M1599" s="6">
        <v>0</v>
      </c>
      <c r="N1599" s="37" t="e" cm="1">
        <f t="array" ref="N1599">IF(OR(ISNUMBER(FIND(Aux!$D$3:$D$9,_xlfn.TEXTJOIN(,,C1599:K1599)))),NA(),IF(AND(SUM(C1599:F1599,H1599:K1599)=0,G1599=1),0,INT((SUMPRODUCT(C1599:F1599,COLUMN($A$1:$D$1)-1)+SUMPRODUCT(H1599:K1599,COLUMN($E$1:$H$1)-1))*'Line Follower'!$C$3/SUM(C1599:F1599,H1599:K1599)-'Line Follower'!$C$5)))</f>
        <v>#N/A</v>
      </c>
      <c r="O1599" s="22" t="e">
        <v>#N/A</v>
      </c>
      <c r="P1599" s="4" t="e">
        <f t="shared" si="120"/>
        <v>#N/A</v>
      </c>
      <c r="Q1599" s="4" t="e">
        <f t="shared" si="121"/>
        <v>#N/A</v>
      </c>
      <c r="R1599" s="4" t="e">
        <f>IF(AND(B1599=1,N1599&gt;'Line Follower'!$C$7,SUM(C1599:K1599)&lt;4),1,0)</f>
        <v>#N/A</v>
      </c>
      <c r="S1599" s="4" t="e">
        <f>IF(AND(L1599=1,N1599&lt;'Line Follower'!$C$6,SUM(C1599:K1599)&lt;4),1,0)</f>
        <v>#N/A</v>
      </c>
      <c r="T1599" s="4" t="e">
        <f t="shared" si="122"/>
        <v>#N/A</v>
      </c>
      <c r="U1599" s="5" t="e">
        <f t="shared" si="123"/>
        <v>#N/A</v>
      </c>
      <c r="V1599" s="23" t="e">
        <f t="shared" si="124"/>
        <v>#N/A</v>
      </c>
    </row>
    <row r="1600" spans="2:22" x14ac:dyDescent="0.25">
      <c r="B1600" s="16">
        <v>1</v>
      </c>
      <c r="C1600" s="7">
        <v>0</v>
      </c>
      <c r="D1600" s="8">
        <v>1</v>
      </c>
      <c r="E1600" s="8">
        <v>1</v>
      </c>
      <c r="F1600" s="8">
        <v>1</v>
      </c>
      <c r="G1600" s="8">
        <v>1</v>
      </c>
      <c r="H1600" s="8">
        <v>0</v>
      </c>
      <c r="I1600" s="8">
        <v>0</v>
      </c>
      <c r="J1600" s="8">
        <v>0</v>
      </c>
      <c r="K1600" s="9">
        <v>1</v>
      </c>
      <c r="L1600" s="10">
        <v>1</v>
      </c>
      <c r="M1600" s="6">
        <v>0</v>
      </c>
      <c r="N1600" s="37" t="e" cm="1">
        <f t="array" ref="N1600">IF(OR(ISNUMBER(FIND(Aux!$D$3:$D$9,_xlfn.TEXTJOIN(,,C1600:K1600)))),NA(),IF(AND(SUM(C1600:F1600,H1600:K1600)=0,G1600=1),0,INT((SUMPRODUCT(C1600:F1600,COLUMN($A$1:$D$1)-1)+SUMPRODUCT(H1600:K1600,COLUMN($E$1:$H$1)-1))*'Line Follower'!$C$3/SUM(C1600:F1600,H1600:K1600)-'Line Follower'!$C$5)))</f>
        <v>#N/A</v>
      </c>
      <c r="O1600" s="22" t="e">
        <v>#N/A</v>
      </c>
      <c r="P1600" s="4" t="e">
        <f t="shared" si="120"/>
        <v>#N/A</v>
      </c>
      <c r="Q1600" s="4" t="e">
        <f t="shared" si="121"/>
        <v>#N/A</v>
      </c>
      <c r="R1600" s="4" t="e">
        <f>IF(AND(B1600=1,N1600&gt;'Line Follower'!$C$7,SUM(C1600:K1600)&lt;4),1,0)</f>
        <v>#N/A</v>
      </c>
      <c r="S1600" s="4" t="e">
        <f>IF(AND(L1600=1,N1600&lt;'Line Follower'!$C$6,SUM(C1600:K1600)&lt;4),1,0)</f>
        <v>#N/A</v>
      </c>
      <c r="T1600" s="4" t="e">
        <f t="shared" si="122"/>
        <v>#N/A</v>
      </c>
      <c r="U1600" s="5" t="e">
        <f t="shared" si="123"/>
        <v>#N/A</v>
      </c>
      <c r="V1600" s="23" t="e">
        <f t="shared" si="124"/>
        <v>#N/A</v>
      </c>
    </row>
    <row r="1601" spans="2:22" x14ac:dyDescent="0.25">
      <c r="B1601" s="16">
        <v>0</v>
      </c>
      <c r="C1601" s="7">
        <v>1</v>
      </c>
      <c r="D1601" s="8">
        <v>1</v>
      </c>
      <c r="E1601" s="8">
        <v>1</v>
      </c>
      <c r="F1601" s="8">
        <v>1</v>
      </c>
      <c r="G1601" s="8">
        <v>1</v>
      </c>
      <c r="H1601" s="8">
        <v>0</v>
      </c>
      <c r="I1601" s="8">
        <v>0</v>
      </c>
      <c r="J1601" s="8">
        <v>0</v>
      </c>
      <c r="K1601" s="9">
        <v>1</v>
      </c>
      <c r="L1601" s="10">
        <v>1</v>
      </c>
      <c r="M1601" s="6">
        <v>0</v>
      </c>
      <c r="N1601" s="37" t="e" cm="1">
        <f t="array" ref="N1601">IF(OR(ISNUMBER(FIND(Aux!$D$3:$D$9,_xlfn.TEXTJOIN(,,C1601:K1601)))),NA(),IF(AND(SUM(C1601:F1601,H1601:K1601)=0,G1601=1),0,INT((SUMPRODUCT(C1601:F1601,COLUMN($A$1:$D$1)-1)+SUMPRODUCT(H1601:K1601,COLUMN($E$1:$H$1)-1))*'Line Follower'!$C$3/SUM(C1601:F1601,H1601:K1601)-'Line Follower'!$C$5)))</f>
        <v>#N/A</v>
      </c>
      <c r="O1601" s="22" t="e">
        <v>#N/A</v>
      </c>
      <c r="P1601" s="4" t="e">
        <f t="shared" si="120"/>
        <v>#N/A</v>
      </c>
      <c r="Q1601" s="4" t="e">
        <f t="shared" si="121"/>
        <v>#N/A</v>
      </c>
      <c r="R1601" s="4" t="e">
        <f>IF(AND(B1601=1,N1601&gt;'Line Follower'!$C$7,SUM(C1601:K1601)&lt;4),1,0)</f>
        <v>#N/A</v>
      </c>
      <c r="S1601" s="4" t="e">
        <f>IF(AND(L1601=1,N1601&lt;'Line Follower'!$C$6,SUM(C1601:K1601)&lt;4),1,0)</f>
        <v>#N/A</v>
      </c>
      <c r="T1601" s="4" t="e">
        <f t="shared" si="122"/>
        <v>#N/A</v>
      </c>
      <c r="U1601" s="5" t="e">
        <f t="shared" si="123"/>
        <v>#N/A</v>
      </c>
      <c r="V1601" s="23" t="e">
        <f t="shared" si="124"/>
        <v>#N/A</v>
      </c>
    </row>
    <row r="1602" spans="2:22" x14ac:dyDescent="0.25">
      <c r="B1602" s="16">
        <v>1</v>
      </c>
      <c r="C1602" s="7">
        <v>1</v>
      </c>
      <c r="D1602" s="8">
        <v>1</v>
      </c>
      <c r="E1602" s="8">
        <v>1</v>
      </c>
      <c r="F1602" s="8">
        <v>1</v>
      </c>
      <c r="G1602" s="8">
        <v>1</v>
      </c>
      <c r="H1602" s="8">
        <v>0</v>
      </c>
      <c r="I1602" s="8">
        <v>0</v>
      </c>
      <c r="J1602" s="8">
        <v>0</v>
      </c>
      <c r="K1602" s="9">
        <v>1</v>
      </c>
      <c r="L1602" s="10">
        <v>1</v>
      </c>
      <c r="M1602" s="6">
        <v>0</v>
      </c>
      <c r="N1602" s="37" t="e" cm="1">
        <f t="array" ref="N1602">IF(OR(ISNUMBER(FIND(Aux!$D$3:$D$9,_xlfn.TEXTJOIN(,,C1602:K1602)))),NA(),IF(AND(SUM(C1602:F1602,H1602:K1602)=0,G1602=1),0,INT((SUMPRODUCT(C1602:F1602,COLUMN($A$1:$D$1)-1)+SUMPRODUCT(H1602:K1602,COLUMN($E$1:$H$1)-1))*'Line Follower'!$C$3/SUM(C1602:F1602,H1602:K1602)-'Line Follower'!$C$5)))</f>
        <v>#N/A</v>
      </c>
      <c r="O1602" s="22" t="e">
        <v>#N/A</v>
      </c>
      <c r="P1602" s="4" t="e">
        <f t="shared" si="120"/>
        <v>#N/A</v>
      </c>
      <c r="Q1602" s="4" t="e">
        <f t="shared" si="121"/>
        <v>#N/A</v>
      </c>
      <c r="R1602" s="4" t="e">
        <f>IF(AND(B1602=1,N1602&gt;'Line Follower'!$C$7,SUM(C1602:K1602)&lt;4),1,0)</f>
        <v>#N/A</v>
      </c>
      <c r="S1602" s="4" t="e">
        <f>IF(AND(L1602=1,N1602&lt;'Line Follower'!$C$6,SUM(C1602:K1602)&lt;4),1,0)</f>
        <v>#N/A</v>
      </c>
      <c r="T1602" s="4" t="e">
        <f t="shared" si="122"/>
        <v>#N/A</v>
      </c>
      <c r="U1602" s="5" t="e">
        <f t="shared" si="123"/>
        <v>#N/A</v>
      </c>
      <c r="V1602" s="23" t="e">
        <f t="shared" si="124"/>
        <v>#N/A</v>
      </c>
    </row>
    <row r="1603" spans="2:22" x14ac:dyDescent="0.25">
      <c r="B1603" s="16">
        <v>0</v>
      </c>
      <c r="C1603" s="7">
        <v>0</v>
      </c>
      <c r="D1603" s="8">
        <v>0</v>
      </c>
      <c r="E1603" s="8">
        <v>0</v>
      </c>
      <c r="F1603" s="8">
        <v>0</v>
      </c>
      <c r="G1603" s="8">
        <v>0</v>
      </c>
      <c r="H1603" s="8">
        <v>1</v>
      </c>
      <c r="I1603" s="8">
        <v>0</v>
      </c>
      <c r="J1603" s="8">
        <v>0</v>
      </c>
      <c r="K1603" s="9">
        <v>1</v>
      </c>
      <c r="L1603" s="10">
        <v>1</v>
      </c>
      <c r="M1603" s="6">
        <v>0</v>
      </c>
      <c r="N1603" s="37" t="e" cm="1">
        <f t="array" ref="N1603">IF(OR(ISNUMBER(FIND(Aux!$D$3:$D$9,_xlfn.TEXTJOIN(,,C1603:K1603)))),NA(),IF(AND(SUM(C1603:F1603,H1603:K1603)=0,G1603=1),0,INT((SUMPRODUCT(C1603:F1603,COLUMN($A$1:$D$1)-1)+SUMPRODUCT(H1603:K1603,COLUMN($E$1:$H$1)-1))*'Line Follower'!$C$3/SUM(C1603:F1603,H1603:K1603)-'Line Follower'!$C$5)))</f>
        <v>#N/A</v>
      </c>
      <c r="O1603" s="22" t="e">
        <v>#N/A</v>
      </c>
      <c r="P1603" s="4" t="e">
        <f t="shared" ref="P1603:P1666" si="125">IF(AND(N1603=0,G1603=1,M1603=1),1,0)</f>
        <v>#N/A</v>
      </c>
      <c r="Q1603" s="4" t="e">
        <f t="shared" ref="Q1603:Q1666" si="126">IF(ISERROR(N1603),N1603,IF(SUM(C1603:K1603)&gt;=4,1,0))</f>
        <v>#N/A</v>
      </c>
      <c r="R1603" s="4" t="e">
        <f>IF(AND(B1603=1,N1603&gt;'Line Follower'!$C$7,SUM(C1603:K1603)&lt;4),1,0)</f>
        <v>#N/A</v>
      </c>
      <c r="S1603" s="4" t="e">
        <f>IF(AND(L1603=1,N1603&lt;'Line Follower'!$C$6,SUM(C1603:K1603)&lt;4),1,0)</f>
        <v>#N/A</v>
      </c>
      <c r="T1603" s="4" t="e">
        <f t="shared" si="122"/>
        <v>#N/A</v>
      </c>
      <c r="U1603" s="5" t="e">
        <f t="shared" si="123"/>
        <v>#N/A</v>
      </c>
      <c r="V1603" s="23" t="e">
        <f t="shared" si="124"/>
        <v>#N/A</v>
      </c>
    </row>
    <row r="1604" spans="2:22" x14ac:dyDescent="0.25">
      <c r="B1604" s="16">
        <v>1</v>
      </c>
      <c r="C1604" s="7">
        <v>0</v>
      </c>
      <c r="D1604" s="8">
        <v>0</v>
      </c>
      <c r="E1604" s="8">
        <v>0</v>
      </c>
      <c r="F1604" s="8">
        <v>0</v>
      </c>
      <c r="G1604" s="8">
        <v>0</v>
      </c>
      <c r="H1604" s="8">
        <v>1</v>
      </c>
      <c r="I1604" s="8">
        <v>0</v>
      </c>
      <c r="J1604" s="8">
        <v>0</v>
      </c>
      <c r="K1604" s="9">
        <v>1</v>
      </c>
      <c r="L1604" s="10">
        <v>1</v>
      </c>
      <c r="M1604" s="6">
        <v>0</v>
      </c>
      <c r="N1604" s="37" t="e" cm="1">
        <f t="array" ref="N1604">IF(OR(ISNUMBER(FIND(Aux!$D$3:$D$9,_xlfn.TEXTJOIN(,,C1604:K1604)))),NA(),IF(AND(SUM(C1604:F1604,H1604:K1604)=0,G1604=1),0,INT((SUMPRODUCT(C1604:F1604,COLUMN($A$1:$D$1)-1)+SUMPRODUCT(H1604:K1604,COLUMN($E$1:$H$1)-1))*'Line Follower'!$C$3/SUM(C1604:F1604,H1604:K1604)-'Line Follower'!$C$5)))</f>
        <v>#N/A</v>
      </c>
      <c r="O1604" s="22" t="e">
        <v>#N/A</v>
      </c>
      <c r="P1604" s="4" t="e">
        <f t="shared" si="125"/>
        <v>#N/A</v>
      </c>
      <c r="Q1604" s="4" t="e">
        <f t="shared" si="126"/>
        <v>#N/A</v>
      </c>
      <c r="R1604" s="4" t="e">
        <f>IF(AND(B1604=1,N1604&gt;'Line Follower'!$C$7,SUM(C1604:K1604)&lt;4),1,0)</f>
        <v>#N/A</v>
      </c>
      <c r="S1604" s="4" t="e">
        <f>IF(AND(L1604=1,N1604&lt;'Line Follower'!$C$6,SUM(C1604:K1604)&lt;4),1,0)</f>
        <v>#N/A</v>
      </c>
      <c r="T1604" s="4" t="e">
        <f t="shared" ref="T1604:T1667" si="127">IF(ISNA(N1604),NA(),IF(SUM(C1604:L1604)=0,1,0))</f>
        <v>#N/A</v>
      </c>
      <c r="U1604" s="5" t="e">
        <f t="shared" ref="U1604:U1667" si="128">IF(ISNA(N1604),NA(),IF(SUM(B1604:K1604)=0,1,0))</f>
        <v>#N/A</v>
      </c>
      <c r="V1604" s="23" t="e">
        <f t="shared" ref="V1604:V1667" si="129">IF(ISNA(N1604),NA(),IF(SUM(B1604:L1604)=0,1,0))</f>
        <v>#N/A</v>
      </c>
    </row>
    <row r="1605" spans="2:22" x14ac:dyDescent="0.25">
      <c r="B1605" s="16">
        <v>0</v>
      </c>
      <c r="C1605" s="7">
        <v>1</v>
      </c>
      <c r="D1605" s="8">
        <v>0</v>
      </c>
      <c r="E1605" s="8">
        <v>0</v>
      </c>
      <c r="F1605" s="8">
        <v>0</v>
      </c>
      <c r="G1605" s="8">
        <v>0</v>
      </c>
      <c r="H1605" s="8">
        <v>1</v>
      </c>
      <c r="I1605" s="8">
        <v>0</v>
      </c>
      <c r="J1605" s="8">
        <v>0</v>
      </c>
      <c r="K1605" s="9">
        <v>1</v>
      </c>
      <c r="L1605" s="10">
        <v>1</v>
      </c>
      <c r="M1605" s="6">
        <v>0</v>
      </c>
      <c r="N1605" s="37" t="e" cm="1">
        <f t="array" ref="N1605">IF(OR(ISNUMBER(FIND(Aux!$D$3:$D$9,_xlfn.TEXTJOIN(,,C1605:K1605)))),NA(),IF(AND(SUM(C1605:F1605,H1605:K1605)=0,G1605=1),0,INT((SUMPRODUCT(C1605:F1605,COLUMN($A$1:$D$1)-1)+SUMPRODUCT(H1605:K1605,COLUMN($E$1:$H$1)-1))*'Line Follower'!$C$3/SUM(C1605:F1605,H1605:K1605)-'Line Follower'!$C$5)))</f>
        <v>#N/A</v>
      </c>
      <c r="O1605" s="22" t="e">
        <v>#N/A</v>
      </c>
      <c r="P1605" s="4" t="e">
        <f t="shared" si="125"/>
        <v>#N/A</v>
      </c>
      <c r="Q1605" s="4" t="e">
        <f t="shared" si="126"/>
        <v>#N/A</v>
      </c>
      <c r="R1605" s="4" t="e">
        <f>IF(AND(B1605=1,N1605&gt;'Line Follower'!$C$7,SUM(C1605:K1605)&lt;4),1,0)</f>
        <v>#N/A</v>
      </c>
      <c r="S1605" s="4" t="e">
        <f>IF(AND(L1605=1,N1605&lt;'Line Follower'!$C$6,SUM(C1605:K1605)&lt;4),1,0)</f>
        <v>#N/A</v>
      </c>
      <c r="T1605" s="4" t="e">
        <f t="shared" si="127"/>
        <v>#N/A</v>
      </c>
      <c r="U1605" s="5" t="e">
        <f t="shared" si="128"/>
        <v>#N/A</v>
      </c>
      <c r="V1605" s="23" t="e">
        <f t="shared" si="129"/>
        <v>#N/A</v>
      </c>
    </row>
    <row r="1606" spans="2:22" x14ac:dyDescent="0.25">
      <c r="B1606" s="16">
        <v>1</v>
      </c>
      <c r="C1606" s="7">
        <v>1</v>
      </c>
      <c r="D1606" s="8">
        <v>0</v>
      </c>
      <c r="E1606" s="8">
        <v>0</v>
      </c>
      <c r="F1606" s="8">
        <v>0</v>
      </c>
      <c r="G1606" s="8">
        <v>0</v>
      </c>
      <c r="H1606" s="8">
        <v>1</v>
      </c>
      <c r="I1606" s="8">
        <v>0</v>
      </c>
      <c r="J1606" s="8">
        <v>0</v>
      </c>
      <c r="K1606" s="9">
        <v>1</v>
      </c>
      <c r="L1606" s="10">
        <v>1</v>
      </c>
      <c r="M1606" s="6">
        <v>0</v>
      </c>
      <c r="N1606" s="37" t="e" cm="1">
        <f t="array" ref="N1606">IF(OR(ISNUMBER(FIND(Aux!$D$3:$D$9,_xlfn.TEXTJOIN(,,C1606:K1606)))),NA(),IF(AND(SUM(C1606:F1606,H1606:K1606)=0,G1606=1),0,INT((SUMPRODUCT(C1606:F1606,COLUMN($A$1:$D$1)-1)+SUMPRODUCT(H1606:K1606,COLUMN($E$1:$H$1)-1))*'Line Follower'!$C$3/SUM(C1606:F1606,H1606:K1606)-'Line Follower'!$C$5)))</f>
        <v>#N/A</v>
      </c>
      <c r="O1606" s="22" t="e">
        <v>#N/A</v>
      </c>
      <c r="P1606" s="4" t="e">
        <f t="shared" si="125"/>
        <v>#N/A</v>
      </c>
      <c r="Q1606" s="4" t="e">
        <f t="shared" si="126"/>
        <v>#N/A</v>
      </c>
      <c r="R1606" s="4" t="e">
        <f>IF(AND(B1606=1,N1606&gt;'Line Follower'!$C$7,SUM(C1606:K1606)&lt;4),1,0)</f>
        <v>#N/A</v>
      </c>
      <c r="S1606" s="4" t="e">
        <f>IF(AND(L1606=1,N1606&lt;'Line Follower'!$C$6,SUM(C1606:K1606)&lt;4),1,0)</f>
        <v>#N/A</v>
      </c>
      <c r="T1606" s="4" t="e">
        <f t="shared" si="127"/>
        <v>#N/A</v>
      </c>
      <c r="U1606" s="5" t="e">
        <f t="shared" si="128"/>
        <v>#N/A</v>
      </c>
      <c r="V1606" s="23" t="e">
        <f t="shared" si="129"/>
        <v>#N/A</v>
      </c>
    </row>
    <row r="1607" spans="2:22" x14ac:dyDescent="0.25">
      <c r="B1607" s="16">
        <v>0</v>
      </c>
      <c r="C1607" s="7">
        <v>0</v>
      </c>
      <c r="D1607" s="8">
        <v>1</v>
      </c>
      <c r="E1607" s="8">
        <v>0</v>
      </c>
      <c r="F1607" s="8">
        <v>0</v>
      </c>
      <c r="G1607" s="8">
        <v>0</v>
      </c>
      <c r="H1607" s="8">
        <v>1</v>
      </c>
      <c r="I1607" s="8">
        <v>0</v>
      </c>
      <c r="J1607" s="8">
        <v>0</v>
      </c>
      <c r="K1607" s="9">
        <v>1</v>
      </c>
      <c r="L1607" s="10">
        <v>1</v>
      </c>
      <c r="M1607" s="6">
        <v>0</v>
      </c>
      <c r="N1607" s="37" t="e" cm="1">
        <f t="array" ref="N1607">IF(OR(ISNUMBER(FIND(Aux!$D$3:$D$9,_xlfn.TEXTJOIN(,,C1607:K1607)))),NA(),IF(AND(SUM(C1607:F1607,H1607:K1607)=0,G1607=1),0,INT((SUMPRODUCT(C1607:F1607,COLUMN($A$1:$D$1)-1)+SUMPRODUCT(H1607:K1607,COLUMN($E$1:$H$1)-1))*'Line Follower'!$C$3/SUM(C1607:F1607,H1607:K1607)-'Line Follower'!$C$5)))</f>
        <v>#N/A</v>
      </c>
      <c r="O1607" s="22" t="e">
        <v>#N/A</v>
      </c>
      <c r="P1607" s="4" t="e">
        <f t="shared" si="125"/>
        <v>#N/A</v>
      </c>
      <c r="Q1607" s="4" t="e">
        <f t="shared" si="126"/>
        <v>#N/A</v>
      </c>
      <c r="R1607" s="4" t="e">
        <f>IF(AND(B1607=1,N1607&gt;'Line Follower'!$C$7,SUM(C1607:K1607)&lt;4),1,0)</f>
        <v>#N/A</v>
      </c>
      <c r="S1607" s="4" t="e">
        <f>IF(AND(L1607=1,N1607&lt;'Line Follower'!$C$6,SUM(C1607:K1607)&lt;4),1,0)</f>
        <v>#N/A</v>
      </c>
      <c r="T1607" s="4" t="e">
        <f t="shared" si="127"/>
        <v>#N/A</v>
      </c>
      <c r="U1607" s="5" t="e">
        <f t="shared" si="128"/>
        <v>#N/A</v>
      </c>
      <c r="V1607" s="23" t="e">
        <f t="shared" si="129"/>
        <v>#N/A</v>
      </c>
    </row>
    <row r="1608" spans="2:22" x14ac:dyDescent="0.25">
      <c r="B1608" s="16">
        <v>1</v>
      </c>
      <c r="C1608" s="7">
        <v>0</v>
      </c>
      <c r="D1608" s="8">
        <v>1</v>
      </c>
      <c r="E1608" s="8">
        <v>0</v>
      </c>
      <c r="F1608" s="8">
        <v>0</v>
      </c>
      <c r="G1608" s="8">
        <v>0</v>
      </c>
      <c r="H1608" s="8">
        <v>1</v>
      </c>
      <c r="I1608" s="8">
        <v>0</v>
      </c>
      <c r="J1608" s="8">
        <v>0</v>
      </c>
      <c r="K1608" s="9">
        <v>1</v>
      </c>
      <c r="L1608" s="10">
        <v>1</v>
      </c>
      <c r="M1608" s="6">
        <v>0</v>
      </c>
      <c r="N1608" s="37" t="e" cm="1">
        <f t="array" ref="N1608">IF(OR(ISNUMBER(FIND(Aux!$D$3:$D$9,_xlfn.TEXTJOIN(,,C1608:K1608)))),NA(),IF(AND(SUM(C1608:F1608,H1608:K1608)=0,G1608=1),0,INT((SUMPRODUCT(C1608:F1608,COLUMN($A$1:$D$1)-1)+SUMPRODUCT(H1608:K1608,COLUMN($E$1:$H$1)-1))*'Line Follower'!$C$3/SUM(C1608:F1608,H1608:K1608)-'Line Follower'!$C$5)))</f>
        <v>#N/A</v>
      </c>
      <c r="O1608" s="22" t="e">
        <v>#N/A</v>
      </c>
      <c r="P1608" s="4" t="e">
        <f t="shared" si="125"/>
        <v>#N/A</v>
      </c>
      <c r="Q1608" s="4" t="e">
        <f t="shared" si="126"/>
        <v>#N/A</v>
      </c>
      <c r="R1608" s="4" t="e">
        <f>IF(AND(B1608=1,N1608&gt;'Line Follower'!$C$7,SUM(C1608:K1608)&lt;4),1,0)</f>
        <v>#N/A</v>
      </c>
      <c r="S1608" s="4" t="e">
        <f>IF(AND(L1608=1,N1608&lt;'Line Follower'!$C$6,SUM(C1608:K1608)&lt;4),1,0)</f>
        <v>#N/A</v>
      </c>
      <c r="T1608" s="4" t="e">
        <f t="shared" si="127"/>
        <v>#N/A</v>
      </c>
      <c r="U1608" s="5" t="e">
        <f t="shared" si="128"/>
        <v>#N/A</v>
      </c>
      <c r="V1608" s="23" t="e">
        <f t="shared" si="129"/>
        <v>#N/A</v>
      </c>
    </row>
    <row r="1609" spans="2:22" x14ac:dyDescent="0.25">
      <c r="B1609" s="16">
        <v>0</v>
      </c>
      <c r="C1609" s="7">
        <v>1</v>
      </c>
      <c r="D1609" s="8">
        <v>1</v>
      </c>
      <c r="E1609" s="8">
        <v>0</v>
      </c>
      <c r="F1609" s="8">
        <v>0</v>
      </c>
      <c r="G1609" s="8">
        <v>0</v>
      </c>
      <c r="H1609" s="8">
        <v>1</v>
      </c>
      <c r="I1609" s="8">
        <v>0</v>
      </c>
      <c r="J1609" s="8">
        <v>0</v>
      </c>
      <c r="K1609" s="9">
        <v>1</v>
      </c>
      <c r="L1609" s="10">
        <v>1</v>
      </c>
      <c r="M1609" s="6">
        <v>0</v>
      </c>
      <c r="N1609" s="37" t="e" cm="1">
        <f t="array" ref="N1609">IF(OR(ISNUMBER(FIND(Aux!$D$3:$D$9,_xlfn.TEXTJOIN(,,C1609:K1609)))),NA(),IF(AND(SUM(C1609:F1609,H1609:K1609)=0,G1609=1),0,INT((SUMPRODUCT(C1609:F1609,COLUMN($A$1:$D$1)-1)+SUMPRODUCT(H1609:K1609,COLUMN($E$1:$H$1)-1))*'Line Follower'!$C$3/SUM(C1609:F1609,H1609:K1609)-'Line Follower'!$C$5)))</f>
        <v>#N/A</v>
      </c>
      <c r="O1609" s="22" t="e">
        <v>#N/A</v>
      </c>
      <c r="P1609" s="4" t="e">
        <f t="shared" si="125"/>
        <v>#N/A</v>
      </c>
      <c r="Q1609" s="4" t="e">
        <f t="shared" si="126"/>
        <v>#N/A</v>
      </c>
      <c r="R1609" s="4" t="e">
        <f>IF(AND(B1609=1,N1609&gt;'Line Follower'!$C$7,SUM(C1609:K1609)&lt;4),1,0)</f>
        <v>#N/A</v>
      </c>
      <c r="S1609" s="4" t="e">
        <f>IF(AND(L1609=1,N1609&lt;'Line Follower'!$C$6,SUM(C1609:K1609)&lt;4),1,0)</f>
        <v>#N/A</v>
      </c>
      <c r="T1609" s="4" t="e">
        <f t="shared" si="127"/>
        <v>#N/A</v>
      </c>
      <c r="U1609" s="5" t="e">
        <f t="shared" si="128"/>
        <v>#N/A</v>
      </c>
      <c r="V1609" s="23" t="e">
        <f t="shared" si="129"/>
        <v>#N/A</v>
      </c>
    </row>
    <row r="1610" spans="2:22" x14ac:dyDescent="0.25">
      <c r="B1610" s="16">
        <v>1</v>
      </c>
      <c r="C1610" s="7">
        <v>1</v>
      </c>
      <c r="D1610" s="8">
        <v>1</v>
      </c>
      <c r="E1610" s="8">
        <v>0</v>
      </c>
      <c r="F1610" s="8">
        <v>0</v>
      </c>
      <c r="G1610" s="8">
        <v>0</v>
      </c>
      <c r="H1610" s="8">
        <v>1</v>
      </c>
      <c r="I1610" s="8">
        <v>0</v>
      </c>
      <c r="J1610" s="8">
        <v>0</v>
      </c>
      <c r="K1610" s="9">
        <v>1</v>
      </c>
      <c r="L1610" s="10">
        <v>1</v>
      </c>
      <c r="M1610" s="6">
        <v>0</v>
      </c>
      <c r="N1610" s="37" t="e" cm="1">
        <f t="array" ref="N1610">IF(OR(ISNUMBER(FIND(Aux!$D$3:$D$9,_xlfn.TEXTJOIN(,,C1610:K1610)))),NA(),IF(AND(SUM(C1610:F1610,H1610:K1610)=0,G1610=1),0,INT((SUMPRODUCT(C1610:F1610,COLUMN($A$1:$D$1)-1)+SUMPRODUCT(H1610:K1610,COLUMN($E$1:$H$1)-1))*'Line Follower'!$C$3/SUM(C1610:F1610,H1610:K1610)-'Line Follower'!$C$5)))</f>
        <v>#N/A</v>
      </c>
      <c r="O1610" s="22" t="e">
        <v>#N/A</v>
      </c>
      <c r="P1610" s="4" t="e">
        <f t="shared" si="125"/>
        <v>#N/A</v>
      </c>
      <c r="Q1610" s="4" t="e">
        <f t="shared" si="126"/>
        <v>#N/A</v>
      </c>
      <c r="R1610" s="4" t="e">
        <f>IF(AND(B1610=1,N1610&gt;'Line Follower'!$C$7,SUM(C1610:K1610)&lt;4),1,0)</f>
        <v>#N/A</v>
      </c>
      <c r="S1610" s="4" t="e">
        <f>IF(AND(L1610=1,N1610&lt;'Line Follower'!$C$6,SUM(C1610:K1610)&lt;4),1,0)</f>
        <v>#N/A</v>
      </c>
      <c r="T1610" s="4" t="e">
        <f t="shared" si="127"/>
        <v>#N/A</v>
      </c>
      <c r="U1610" s="5" t="e">
        <f t="shared" si="128"/>
        <v>#N/A</v>
      </c>
      <c r="V1610" s="23" t="e">
        <f t="shared" si="129"/>
        <v>#N/A</v>
      </c>
    </row>
    <row r="1611" spans="2:22" x14ac:dyDescent="0.25">
      <c r="B1611" s="16">
        <v>0</v>
      </c>
      <c r="C1611" s="7">
        <v>0</v>
      </c>
      <c r="D1611" s="8">
        <v>0</v>
      </c>
      <c r="E1611" s="8">
        <v>1</v>
      </c>
      <c r="F1611" s="8">
        <v>0</v>
      </c>
      <c r="G1611" s="8">
        <v>0</v>
      </c>
      <c r="H1611" s="8">
        <v>1</v>
      </c>
      <c r="I1611" s="8">
        <v>0</v>
      </c>
      <c r="J1611" s="8">
        <v>0</v>
      </c>
      <c r="K1611" s="9">
        <v>1</v>
      </c>
      <c r="L1611" s="10">
        <v>1</v>
      </c>
      <c r="M1611" s="6">
        <v>0</v>
      </c>
      <c r="N1611" s="37" t="e" cm="1">
        <f t="array" ref="N1611">IF(OR(ISNUMBER(FIND(Aux!$D$3:$D$9,_xlfn.TEXTJOIN(,,C1611:K1611)))),NA(),IF(AND(SUM(C1611:F1611,H1611:K1611)=0,G1611=1),0,INT((SUMPRODUCT(C1611:F1611,COLUMN($A$1:$D$1)-1)+SUMPRODUCT(H1611:K1611,COLUMN($E$1:$H$1)-1))*'Line Follower'!$C$3/SUM(C1611:F1611,H1611:K1611)-'Line Follower'!$C$5)))</f>
        <v>#N/A</v>
      </c>
      <c r="O1611" s="22" t="e">
        <v>#N/A</v>
      </c>
      <c r="P1611" s="4" t="e">
        <f t="shared" si="125"/>
        <v>#N/A</v>
      </c>
      <c r="Q1611" s="4" t="e">
        <f t="shared" si="126"/>
        <v>#N/A</v>
      </c>
      <c r="R1611" s="4" t="e">
        <f>IF(AND(B1611=1,N1611&gt;'Line Follower'!$C$7,SUM(C1611:K1611)&lt;4),1,0)</f>
        <v>#N/A</v>
      </c>
      <c r="S1611" s="4" t="e">
        <f>IF(AND(L1611=1,N1611&lt;'Line Follower'!$C$6,SUM(C1611:K1611)&lt;4),1,0)</f>
        <v>#N/A</v>
      </c>
      <c r="T1611" s="4" t="e">
        <f t="shared" si="127"/>
        <v>#N/A</v>
      </c>
      <c r="U1611" s="5" t="e">
        <f t="shared" si="128"/>
        <v>#N/A</v>
      </c>
      <c r="V1611" s="23" t="e">
        <f t="shared" si="129"/>
        <v>#N/A</v>
      </c>
    </row>
    <row r="1612" spans="2:22" x14ac:dyDescent="0.25">
      <c r="B1612" s="16">
        <v>1</v>
      </c>
      <c r="C1612" s="7">
        <v>0</v>
      </c>
      <c r="D1612" s="8">
        <v>0</v>
      </c>
      <c r="E1612" s="8">
        <v>1</v>
      </c>
      <c r="F1612" s="8">
        <v>0</v>
      </c>
      <c r="G1612" s="8">
        <v>0</v>
      </c>
      <c r="H1612" s="8">
        <v>1</v>
      </c>
      <c r="I1612" s="8">
        <v>0</v>
      </c>
      <c r="J1612" s="8">
        <v>0</v>
      </c>
      <c r="K1612" s="9">
        <v>1</v>
      </c>
      <c r="L1612" s="10">
        <v>1</v>
      </c>
      <c r="M1612" s="6">
        <v>0</v>
      </c>
      <c r="N1612" s="37" t="e" cm="1">
        <f t="array" ref="N1612">IF(OR(ISNUMBER(FIND(Aux!$D$3:$D$9,_xlfn.TEXTJOIN(,,C1612:K1612)))),NA(),IF(AND(SUM(C1612:F1612,H1612:K1612)=0,G1612=1),0,INT((SUMPRODUCT(C1612:F1612,COLUMN($A$1:$D$1)-1)+SUMPRODUCT(H1612:K1612,COLUMN($E$1:$H$1)-1))*'Line Follower'!$C$3/SUM(C1612:F1612,H1612:K1612)-'Line Follower'!$C$5)))</f>
        <v>#N/A</v>
      </c>
      <c r="O1612" s="22" t="e">
        <v>#N/A</v>
      </c>
      <c r="P1612" s="4" t="e">
        <f t="shared" si="125"/>
        <v>#N/A</v>
      </c>
      <c r="Q1612" s="4" t="e">
        <f t="shared" si="126"/>
        <v>#N/A</v>
      </c>
      <c r="R1612" s="4" t="e">
        <f>IF(AND(B1612=1,N1612&gt;'Line Follower'!$C$7,SUM(C1612:K1612)&lt;4),1,0)</f>
        <v>#N/A</v>
      </c>
      <c r="S1612" s="4" t="e">
        <f>IF(AND(L1612=1,N1612&lt;'Line Follower'!$C$6,SUM(C1612:K1612)&lt;4),1,0)</f>
        <v>#N/A</v>
      </c>
      <c r="T1612" s="4" t="e">
        <f t="shared" si="127"/>
        <v>#N/A</v>
      </c>
      <c r="U1612" s="5" t="e">
        <f t="shared" si="128"/>
        <v>#N/A</v>
      </c>
      <c r="V1612" s="23" t="e">
        <f t="shared" si="129"/>
        <v>#N/A</v>
      </c>
    </row>
    <row r="1613" spans="2:22" x14ac:dyDescent="0.25">
      <c r="B1613" s="16">
        <v>0</v>
      </c>
      <c r="C1613" s="7">
        <v>1</v>
      </c>
      <c r="D1613" s="8">
        <v>0</v>
      </c>
      <c r="E1613" s="8">
        <v>1</v>
      </c>
      <c r="F1613" s="8">
        <v>0</v>
      </c>
      <c r="G1613" s="8">
        <v>0</v>
      </c>
      <c r="H1613" s="8">
        <v>1</v>
      </c>
      <c r="I1613" s="8">
        <v>0</v>
      </c>
      <c r="J1613" s="8">
        <v>0</v>
      </c>
      <c r="K1613" s="9">
        <v>1</v>
      </c>
      <c r="L1613" s="10">
        <v>1</v>
      </c>
      <c r="M1613" s="6">
        <v>0</v>
      </c>
      <c r="N1613" s="37" t="e" cm="1">
        <f t="array" ref="N1613">IF(OR(ISNUMBER(FIND(Aux!$D$3:$D$9,_xlfn.TEXTJOIN(,,C1613:K1613)))),NA(),IF(AND(SUM(C1613:F1613,H1613:K1613)=0,G1613=1),0,INT((SUMPRODUCT(C1613:F1613,COLUMN($A$1:$D$1)-1)+SUMPRODUCT(H1613:K1613,COLUMN($E$1:$H$1)-1))*'Line Follower'!$C$3/SUM(C1613:F1613,H1613:K1613)-'Line Follower'!$C$5)))</f>
        <v>#N/A</v>
      </c>
      <c r="O1613" s="22" t="e">
        <v>#N/A</v>
      </c>
      <c r="P1613" s="4" t="e">
        <f t="shared" si="125"/>
        <v>#N/A</v>
      </c>
      <c r="Q1613" s="4" t="e">
        <f t="shared" si="126"/>
        <v>#N/A</v>
      </c>
      <c r="R1613" s="4" t="e">
        <f>IF(AND(B1613=1,N1613&gt;'Line Follower'!$C$7,SUM(C1613:K1613)&lt;4),1,0)</f>
        <v>#N/A</v>
      </c>
      <c r="S1613" s="4" t="e">
        <f>IF(AND(L1613=1,N1613&lt;'Line Follower'!$C$6,SUM(C1613:K1613)&lt;4),1,0)</f>
        <v>#N/A</v>
      </c>
      <c r="T1613" s="4" t="e">
        <f t="shared" si="127"/>
        <v>#N/A</v>
      </c>
      <c r="U1613" s="5" t="e">
        <f t="shared" si="128"/>
        <v>#N/A</v>
      </c>
      <c r="V1613" s="23" t="e">
        <f t="shared" si="129"/>
        <v>#N/A</v>
      </c>
    </row>
    <row r="1614" spans="2:22" x14ac:dyDescent="0.25">
      <c r="B1614" s="16">
        <v>1</v>
      </c>
      <c r="C1614" s="7">
        <v>1</v>
      </c>
      <c r="D1614" s="8">
        <v>0</v>
      </c>
      <c r="E1614" s="8">
        <v>1</v>
      </c>
      <c r="F1614" s="8">
        <v>0</v>
      </c>
      <c r="G1614" s="8">
        <v>0</v>
      </c>
      <c r="H1614" s="8">
        <v>1</v>
      </c>
      <c r="I1614" s="8">
        <v>0</v>
      </c>
      <c r="J1614" s="8">
        <v>0</v>
      </c>
      <c r="K1614" s="9">
        <v>1</v>
      </c>
      <c r="L1614" s="10">
        <v>1</v>
      </c>
      <c r="M1614" s="6">
        <v>0</v>
      </c>
      <c r="N1614" s="37" t="e" cm="1">
        <f t="array" ref="N1614">IF(OR(ISNUMBER(FIND(Aux!$D$3:$D$9,_xlfn.TEXTJOIN(,,C1614:K1614)))),NA(),IF(AND(SUM(C1614:F1614,H1614:K1614)=0,G1614=1),0,INT((SUMPRODUCT(C1614:F1614,COLUMN($A$1:$D$1)-1)+SUMPRODUCT(H1614:K1614,COLUMN($E$1:$H$1)-1))*'Line Follower'!$C$3/SUM(C1614:F1614,H1614:K1614)-'Line Follower'!$C$5)))</f>
        <v>#N/A</v>
      </c>
      <c r="O1614" s="22" t="e">
        <v>#N/A</v>
      </c>
      <c r="P1614" s="4" t="e">
        <f t="shared" si="125"/>
        <v>#N/A</v>
      </c>
      <c r="Q1614" s="4" t="e">
        <f t="shared" si="126"/>
        <v>#N/A</v>
      </c>
      <c r="R1614" s="4" t="e">
        <f>IF(AND(B1614=1,N1614&gt;'Line Follower'!$C$7,SUM(C1614:K1614)&lt;4),1,0)</f>
        <v>#N/A</v>
      </c>
      <c r="S1614" s="4" t="e">
        <f>IF(AND(L1614=1,N1614&lt;'Line Follower'!$C$6,SUM(C1614:K1614)&lt;4),1,0)</f>
        <v>#N/A</v>
      </c>
      <c r="T1614" s="4" t="e">
        <f t="shared" si="127"/>
        <v>#N/A</v>
      </c>
      <c r="U1614" s="5" t="e">
        <f t="shared" si="128"/>
        <v>#N/A</v>
      </c>
      <c r="V1614" s="23" t="e">
        <f t="shared" si="129"/>
        <v>#N/A</v>
      </c>
    </row>
    <row r="1615" spans="2:22" x14ac:dyDescent="0.25">
      <c r="B1615" s="16">
        <v>0</v>
      </c>
      <c r="C1615" s="7">
        <v>0</v>
      </c>
      <c r="D1615" s="8">
        <v>1</v>
      </c>
      <c r="E1615" s="8">
        <v>1</v>
      </c>
      <c r="F1615" s="8">
        <v>0</v>
      </c>
      <c r="G1615" s="8">
        <v>0</v>
      </c>
      <c r="H1615" s="8">
        <v>1</v>
      </c>
      <c r="I1615" s="8">
        <v>0</v>
      </c>
      <c r="J1615" s="8">
        <v>0</v>
      </c>
      <c r="K1615" s="9">
        <v>1</v>
      </c>
      <c r="L1615" s="10">
        <v>1</v>
      </c>
      <c r="M1615" s="6">
        <v>0</v>
      </c>
      <c r="N1615" s="37" t="e" cm="1">
        <f t="array" ref="N1615">IF(OR(ISNUMBER(FIND(Aux!$D$3:$D$9,_xlfn.TEXTJOIN(,,C1615:K1615)))),NA(),IF(AND(SUM(C1615:F1615,H1615:K1615)=0,G1615=1),0,INT((SUMPRODUCT(C1615:F1615,COLUMN($A$1:$D$1)-1)+SUMPRODUCT(H1615:K1615,COLUMN($E$1:$H$1)-1))*'Line Follower'!$C$3/SUM(C1615:F1615,H1615:K1615)-'Line Follower'!$C$5)))</f>
        <v>#N/A</v>
      </c>
      <c r="O1615" s="22" t="e">
        <v>#N/A</v>
      </c>
      <c r="P1615" s="4" t="e">
        <f t="shared" si="125"/>
        <v>#N/A</v>
      </c>
      <c r="Q1615" s="4" t="e">
        <f t="shared" si="126"/>
        <v>#N/A</v>
      </c>
      <c r="R1615" s="4" t="e">
        <f>IF(AND(B1615=1,N1615&gt;'Line Follower'!$C$7,SUM(C1615:K1615)&lt;4),1,0)</f>
        <v>#N/A</v>
      </c>
      <c r="S1615" s="4" t="e">
        <f>IF(AND(L1615=1,N1615&lt;'Line Follower'!$C$6,SUM(C1615:K1615)&lt;4),1,0)</f>
        <v>#N/A</v>
      </c>
      <c r="T1615" s="4" t="e">
        <f t="shared" si="127"/>
        <v>#N/A</v>
      </c>
      <c r="U1615" s="5" t="e">
        <f t="shared" si="128"/>
        <v>#N/A</v>
      </c>
      <c r="V1615" s="23" t="e">
        <f t="shared" si="129"/>
        <v>#N/A</v>
      </c>
    </row>
    <row r="1616" spans="2:22" x14ac:dyDescent="0.25">
      <c r="B1616" s="16">
        <v>1</v>
      </c>
      <c r="C1616" s="7">
        <v>0</v>
      </c>
      <c r="D1616" s="8">
        <v>1</v>
      </c>
      <c r="E1616" s="8">
        <v>1</v>
      </c>
      <c r="F1616" s="8">
        <v>0</v>
      </c>
      <c r="G1616" s="8">
        <v>0</v>
      </c>
      <c r="H1616" s="8">
        <v>1</v>
      </c>
      <c r="I1616" s="8">
        <v>0</v>
      </c>
      <c r="J1616" s="8">
        <v>0</v>
      </c>
      <c r="K1616" s="9">
        <v>1</v>
      </c>
      <c r="L1616" s="10">
        <v>1</v>
      </c>
      <c r="M1616" s="6">
        <v>0</v>
      </c>
      <c r="N1616" s="37" t="e" cm="1">
        <f t="array" ref="N1616">IF(OR(ISNUMBER(FIND(Aux!$D$3:$D$9,_xlfn.TEXTJOIN(,,C1616:K1616)))),NA(),IF(AND(SUM(C1616:F1616,H1616:K1616)=0,G1616=1),0,INT((SUMPRODUCT(C1616:F1616,COLUMN($A$1:$D$1)-1)+SUMPRODUCT(H1616:K1616,COLUMN($E$1:$H$1)-1))*'Line Follower'!$C$3/SUM(C1616:F1616,H1616:K1616)-'Line Follower'!$C$5)))</f>
        <v>#N/A</v>
      </c>
      <c r="O1616" s="22" t="e">
        <v>#N/A</v>
      </c>
      <c r="P1616" s="4" t="e">
        <f t="shared" si="125"/>
        <v>#N/A</v>
      </c>
      <c r="Q1616" s="4" t="e">
        <f t="shared" si="126"/>
        <v>#N/A</v>
      </c>
      <c r="R1616" s="4" t="e">
        <f>IF(AND(B1616=1,N1616&gt;'Line Follower'!$C$7,SUM(C1616:K1616)&lt;4),1,0)</f>
        <v>#N/A</v>
      </c>
      <c r="S1616" s="4" t="e">
        <f>IF(AND(L1616=1,N1616&lt;'Line Follower'!$C$6,SUM(C1616:K1616)&lt;4),1,0)</f>
        <v>#N/A</v>
      </c>
      <c r="T1616" s="4" t="e">
        <f t="shared" si="127"/>
        <v>#N/A</v>
      </c>
      <c r="U1616" s="5" t="e">
        <f t="shared" si="128"/>
        <v>#N/A</v>
      </c>
      <c r="V1616" s="23" t="e">
        <f t="shared" si="129"/>
        <v>#N/A</v>
      </c>
    </row>
    <row r="1617" spans="2:22" x14ac:dyDescent="0.25">
      <c r="B1617" s="16">
        <v>0</v>
      </c>
      <c r="C1617" s="7">
        <v>1</v>
      </c>
      <c r="D1617" s="8">
        <v>1</v>
      </c>
      <c r="E1617" s="8">
        <v>1</v>
      </c>
      <c r="F1617" s="8">
        <v>0</v>
      </c>
      <c r="G1617" s="8">
        <v>0</v>
      </c>
      <c r="H1617" s="8">
        <v>1</v>
      </c>
      <c r="I1617" s="8">
        <v>0</v>
      </c>
      <c r="J1617" s="8">
        <v>0</v>
      </c>
      <c r="K1617" s="9">
        <v>1</v>
      </c>
      <c r="L1617" s="10">
        <v>1</v>
      </c>
      <c r="M1617" s="6">
        <v>0</v>
      </c>
      <c r="N1617" s="37" t="e" cm="1">
        <f t="array" ref="N1617">IF(OR(ISNUMBER(FIND(Aux!$D$3:$D$9,_xlfn.TEXTJOIN(,,C1617:K1617)))),NA(),IF(AND(SUM(C1617:F1617,H1617:K1617)=0,G1617=1),0,INT((SUMPRODUCT(C1617:F1617,COLUMN($A$1:$D$1)-1)+SUMPRODUCT(H1617:K1617,COLUMN($E$1:$H$1)-1))*'Line Follower'!$C$3/SUM(C1617:F1617,H1617:K1617)-'Line Follower'!$C$5)))</f>
        <v>#N/A</v>
      </c>
      <c r="O1617" s="22" t="e">
        <v>#N/A</v>
      </c>
      <c r="P1617" s="4" t="e">
        <f t="shared" si="125"/>
        <v>#N/A</v>
      </c>
      <c r="Q1617" s="4" t="e">
        <f t="shared" si="126"/>
        <v>#N/A</v>
      </c>
      <c r="R1617" s="4" t="e">
        <f>IF(AND(B1617=1,N1617&gt;'Line Follower'!$C$7,SUM(C1617:K1617)&lt;4),1,0)</f>
        <v>#N/A</v>
      </c>
      <c r="S1617" s="4" t="e">
        <f>IF(AND(L1617=1,N1617&lt;'Line Follower'!$C$6,SUM(C1617:K1617)&lt;4),1,0)</f>
        <v>#N/A</v>
      </c>
      <c r="T1617" s="4" t="e">
        <f t="shared" si="127"/>
        <v>#N/A</v>
      </c>
      <c r="U1617" s="5" t="e">
        <f t="shared" si="128"/>
        <v>#N/A</v>
      </c>
      <c r="V1617" s="23" t="e">
        <f t="shared" si="129"/>
        <v>#N/A</v>
      </c>
    </row>
    <row r="1618" spans="2:22" x14ac:dyDescent="0.25">
      <c r="B1618" s="16">
        <v>1</v>
      </c>
      <c r="C1618" s="7">
        <v>1</v>
      </c>
      <c r="D1618" s="8">
        <v>1</v>
      </c>
      <c r="E1618" s="8">
        <v>1</v>
      </c>
      <c r="F1618" s="8">
        <v>0</v>
      </c>
      <c r="G1618" s="8">
        <v>0</v>
      </c>
      <c r="H1618" s="8">
        <v>1</v>
      </c>
      <c r="I1618" s="8">
        <v>0</v>
      </c>
      <c r="J1618" s="8">
        <v>0</v>
      </c>
      <c r="K1618" s="9">
        <v>1</v>
      </c>
      <c r="L1618" s="10">
        <v>1</v>
      </c>
      <c r="M1618" s="6">
        <v>0</v>
      </c>
      <c r="N1618" s="37" t="e" cm="1">
        <f t="array" ref="N1618">IF(OR(ISNUMBER(FIND(Aux!$D$3:$D$9,_xlfn.TEXTJOIN(,,C1618:K1618)))),NA(),IF(AND(SUM(C1618:F1618,H1618:K1618)=0,G1618=1),0,INT((SUMPRODUCT(C1618:F1618,COLUMN($A$1:$D$1)-1)+SUMPRODUCT(H1618:K1618,COLUMN($E$1:$H$1)-1))*'Line Follower'!$C$3/SUM(C1618:F1618,H1618:K1618)-'Line Follower'!$C$5)))</f>
        <v>#N/A</v>
      </c>
      <c r="O1618" s="22" t="e">
        <v>#N/A</v>
      </c>
      <c r="P1618" s="4" t="e">
        <f t="shared" si="125"/>
        <v>#N/A</v>
      </c>
      <c r="Q1618" s="4" t="e">
        <f t="shared" si="126"/>
        <v>#N/A</v>
      </c>
      <c r="R1618" s="4" t="e">
        <f>IF(AND(B1618=1,N1618&gt;'Line Follower'!$C$7,SUM(C1618:K1618)&lt;4),1,0)</f>
        <v>#N/A</v>
      </c>
      <c r="S1618" s="4" t="e">
        <f>IF(AND(L1618=1,N1618&lt;'Line Follower'!$C$6,SUM(C1618:K1618)&lt;4),1,0)</f>
        <v>#N/A</v>
      </c>
      <c r="T1618" s="4" t="e">
        <f t="shared" si="127"/>
        <v>#N/A</v>
      </c>
      <c r="U1618" s="5" t="e">
        <f t="shared" si="128"/>
        <v>#N/A</v>
      </c>
      <c r="V1618" s="23" t="e">
        <f t="shared" si="129"/>
        <v>#N/A</v>
      </c>
    </row>
    <row r="1619" spans="2:22" x14ac:dyDescent="0.25">
      <c r="B1619" s="16">
        <v>0</v>
      </c>
      <c r="C1619" s="7">
        <v>0</v>
      </c>
      <c r="D1619" s="8">
        <v>0</v>
      </c>
      <c r="E1619" s="8">
        <v>0</v>
      </c>
      <c r="F1619" s="8">
        <v>1</v>
      </c>
      <c r="G1619" s="8">
        <v>0</v>
      </c>
      <c r="H1619" s="8">
        <v>1</v>
      </c>
      <c r="I1619" s="8">
        <v>0</v>
      </c>
      <c r="J1619" s="8">
        <v>0</v>
      </c>
      <c r="K1619" s="9">
        <v>1</v>
      </c>
      <c r="L1619" s="10">
        <v>1</v>
      </c>
      <c r="M1619" s="6">
        <v>0</v>
      </c>
      <c r="N1619" s="37" t="e" cm="1">
        <f t="array" ref="N1619">IF(OR(ISNUMBER(FIND(Aux!$D$3:$D$9,_xlfn.TEXTJOIN(,,C1619:K1619)))),NA(),IF(AND(SUM(C1619:F1619,H1619:K1619)=0,G1619=1),0,INT((SUMPRODUCT(C1619:F1619,COLUMN($A$1:$D$1)-1)+SUMPRODUCT(H1619:K1619,COLUMN($E$1:$H$1)-1))*'Line Follower'!$C$3/SUM(C1619:F1619,H1619:K1619)-'Line Follower'!$C$5)))</f>
        <v>#N/A</v>
      </c>
      <c r="O1619" s="22" t="e">
        <v>#N/A</v>
      </c>
      <c r="P1619" s="4" t="e">
        <f t="shared" si="125"/>
        <v>#N/A</v>
      </c>
      <c r="Q1619" s="4" t="e">
        <f t="shared" si="126"/>
        <v>#N/A</v>
      </c>
      <c r="R1619" s="4" t="e">
        <f>IF(AND(B1619=1,N1619&gt;'Line Follower'!$C$7,SUM(C1619:K1619)&lt;4),1,0)</f>
        <v>#N/A</v>
      </c>
      <c r="S1619" s="4" t="e">
        <f>IF(AND(L1619=1,N1619&lt;'Line Follower'!$C$6,SUM(C1619:K1619)&lt;4),1,0)</f>
        <v>#N/A</v>
      </c>
      <c r="T1619" s="4" t="e">
        <f t="shared" si="127"/>
        <v>#N/A</v>
      </c>
      <c r="U1619" s="5" t="e">
        <f t="shared" si="128"/>
        <v>#N/A</v>
      </c>
      <c r="V1619" s="23" t="e">
        <f t="shared" si="129"/>
        <v>#N/A</v>
      </c>
    </row>
    <row r="1620" spans="2:22" x14ac:dyDescent="0.25">
      <c r="B1620" s="16">
        <v>1</v>
      </c>
      <c r="C1620" s="7">
        <v>0</v>
      </c>
      <c r="D1620" s="8">
        <v>0</v>
      </c>
      <c r="E1620" s="8">
        <v>0</v>
      </c>
      <c r="F1620" s="8">
        <v>1</v>
      </c>
      <c r="G1620" s="8">
        <v>0</v>
      </c>
      <c r="H1620" s="8">
        <v>1</v>
      </c>
      <c r="I1620" s="8">
        <v>0</v>
      </c>
      <c r="J1620" s="8">
        <v>0</v>
      </c>
      <c r="K1620" s="9">
        <v>1</v>
      </c>
      <c r="L1620" s="10">
        <v>1</v>
      </c>
      <c r="M1620" s="6">
        <v>0</v>
      </c>
      <c r="N1620" s="37" t="e" cm="1">
        <f t="array" ref="N1620">IF(OR(ISNUMBER(FIND(Aux!$D$3:$D$9,_xlfn.TEXTJOIN(,,C1620:K1620)))),NA(),IF(AND(SUM(C1620:F1620,H1620:K1620)=0,G1620=1),0,INT((SUMPRODUCT(C1620:F1620,COLUMN($A$1:$D$1)-1)+SUMPRODUCT(H1620:K1620,COLUMN($E$1:$H$1)-1))*'Line Follower'!$C$3/SUM(C1620:F1620,H1620:K1620)-'Line Follower'!$C$5)))</f>
        <v>#N/A</v>
      </c>
      <c r="O1620" s="22" t="e">
        <v>#N/A</v>
      </c>
      <c r="P1620" s="4" t="e">
        <f t="shared" si="125"/>
        <v>#N/A</v>
      </c>
      <c r="Q1620" s="4" t="e">
        <f t="shared" si="126"/>
        <v>#N/A</v>
      </c>
      <c r="R1620" s="4" t="e">
        <f>IF(AND(B1620=1,N1620&gt;'Line Follower'!$C$7,SUM(C1620:K1620)&lt;4),1,0)</f>
        <v>#N/A</v>
      </c>
      <c r="S1620" s="4" t="e">
        <f>IF(AND(L1620=1,N1620&lt;'Line Follower'!$C$6,SUM(C1620:K1620)&lt;4),1,0)</f>
        <v>#N/A</v>
      </c>
      <c r="T1620" s="4" t="e">
        <f t="shared" si="127"/>
        <v>#N/A</v>
      </c>
      <c r="U1620" s="5" t="e">
        <f t="shared" si="128"/>
        <v>#N/A</v>
      </c>
      <c r="V1620" s="23" t="e">
        <f t="shared" si="129"/>
        <v>#N/A</v>
      </c>
    </row>
    <row r="1621" spans="2:22" x14ac:dyDescent="0.25">
      <c r="B1621" s="16">
        <v>0</v>
      </c>
      <c r="C1621" s="7">
        <v>1</v>
      </c>
      <c r="D1621" s="8">
        <v>0</v>
      </c>
      <c r="E1621" s="8">
        <v>0</v>
      </c>
      <c r="F1621" s="8">
        <v>1</v>
      </c>
      <c r="G1621" s="8">
        <v>0</v>
      </c>
      <c r="H1621" s="8">
        <v>1</v>
      </c>
      <c r="I1621" s="8">
        <v>0</v>
      </c>
      <c r="J1621" s="8">
        <v>0</v>
      </c>
      <c r="K1621" s="9">
        <v>1</v>
      </c>
      <c r="L1621" s="10">
        <v>1</v>
      </c>
      <c r="M1621" s="6">
        <v>0</v>
      </c>
      <c r="N1621" s="37" t="e" cm="1">
        <f t="array" ref="N1621">IF(OR(ISNUMBER(FIND(Aux!$D$3:$D$9,_xlfn.TEXTJOIN(,,C1621:K1621)))),NA(),IF(AND(SUM(C1621:F1621,H1621:K1621)=0,G1621=1),0,INT((SUMPRODUCT(C1621:F1621,COLUMN($A$1:$D$1)-1)+SUMPRODUCT(H1621:K1621,COLUMN($E$1:$H$1)-1))*'Line Follower'!$C$3/SUM(C1621:F1621,H1621:K1621)-'Line Follower'!$C$5)))</f>
        <v>#N/A</v>
      </c>
      <c r="O1621" s="22" t="e">
        <v>#N/A</v>
      </c>
      <c r="P1621" s="4" t="e">
        <f t="shared" si="125"/>
        <v>#N/A</v>
      </c>
      <c r="Q1621" s="4" t="e">
        <f t="shared" si="126"/>
        <v>#N/A</v>
      </c>
      <c r="R1621" s="4" t="e">
        <f>IF(AND(B1621=1,N1621&gt;'Line Follower'!$C$7,SUM(C1621:K1621)&lt;4),1,0)</f>
        <v>#N/A</v>
      </c>
      <c r="S1621" s="4" t="e">
        <f>IF(AND(L1621=1,N1621&lt;'Line Follower'!$C$6,SUM(C1621:K1621)&lt;4),1,0)</f>
        <v>#N/A</v>
      </c>
      <c r="T1621" s="4" t="e">
        <f t="shared" si="127"/>
        <v>#N/A</v>
      </c>
      <c r="U1621" s="5" t="e">
        <f t="shared" si="128"/>
        <v>#N/A</v>
      </c>
      <c r="V1621" s="23" t="e">
        <f t="shared" si="129"/>
        <v>#N/A</v>
      </c>
    </row>
    <row r="1622" spans="2:22" x14ac:dyDescent="0.25">
      <c r="B1622" s="16">
        <v>1</v>
      </c>
      <c r="C1622" s="7">
        <v>1</v>
      </c>
      <c r="D1622" s="8">
        <v>0</v>
      </c>
      <c r="E1622" s="8">
        <v>0</v>
      </c>
      <c r="F1622" s="8">
        <v>1</v>
      </c>
      <c r="G1622" s="8">
        <v>0</v>
      </c>
      <c r="H1622" s="8">
        <v>1</v>
      </c>
      <c r="I1622" s="8">
        <v>0</v>
      </c>
      <c r="J1622" s="8">
        <v>0</v>
      </c>
      <c r="K1622" s="9">
        <v>1</v>
      </c>
      <c r="L1622" s="10">
        <v>1</v>
      </c>
      <c r="M1622" s="6">
        <v>0</v>
      </c>
      <c r="N1622" s="37" t="e" cm="1">
        <f t="array" ref="N1622">IF(OR(ISNUMBER(FIND(Aux!$D$3:$D$9,_xlfn.TEXTJOIN(,,C1622:K1622)))),NA(),IF(AND(SUM(C1622:F1622,H1622:K1622)=0,G1622=1),0,INT((SUMPRODUCT(C1622:F1622,COLUMN($A$1:$D$1)-1)+SUMPRODUCT(H1622:K1622,COLUMN($E$1:$H$1)-1))*'Line Follower'!$C$3/SUM(C1622:F1622,H1622:K1622)-'Line Follower'!$C$5)))</f>
        <v>#N/A</v>
      </c>
      <c r="O1622" s="22" t="e">
        <v>#N/A</v>
      </c>
      <c r="P1622" s="4" t="e">
        <f t="shared" si="125"/>
        <v>#N/A</v>
      </c>
      <c r="Q1622" s="4" t="e">
        <f t="shared" si="126"/>
        <v>#N/A</v>
      </c>
      <c r="R1622" s="4" t="e">
        <f>IF(AND(B1622=1,N1622&gt;'Line Follower'!$C$7,SUM(C1622:K1622)&lt;4),1,0)</f>
        <v>#N/A</v>
      </c>
      <c r="S1622" s="4" t="e">
        <f>IF(AND(L1622=1,N1622&lt;'Line Follower'!$C$6,SUM(C1622:K1622)&lt;4),1,0)</f>
        <v>#N/A</v>
      </c>
      <c r="T1622" s="4" t="e">
        <f t="shared" si="127"/>
        <v>#N/A</v>
      </c>
      <c r="U1622" s="5" t="e">
        <f t="shared" si="128"/>
        <v>#N/A</v>
      </c>
      <c r="V1622" s="23" t="e">
        <f t="shared" si="129"/>
        <v>#N/A</v>
      </c>
    </row>
    <row r="1623" spans="2:22" x14ac:dyDescent="0.25">
      <c r="B1623" s="16">
        <v>0</v>
      </c>
      <c r="C1623" s="7">
        <v>0</v>
      </c>
      <c r="D1623" s="8">
        <v>1</v>
      </c>
      <c r="E1623" s="8">
        <v>0</v>
      </c>
      <c r="F1623" s="8">
        <v>1</v>
      </c>
      <c r="G1623" s="8">
        <v>0</v>
      </c>
      <c r="H1623" s="8">
        <v>1</v>
      </c>
      <c r="I1623" s="8">
        <v>0</v>
      </c>
      <c r="J1623" s="8">
        <v>0</v>
      </c>
      <c r="K1623" s="9">
        <v>1</v>
      </c>
      <c r="L1623" s="10">
        <v>1</v>
      </c>
      <c r="M1623" s="6">
        <v>0</v>
      </c>
      <c r="N1623" s="37" t="e" cm="1">
        <f t="array" ref="N1623">IF(OR(ISNUMBER(FIND(Aux!$D$3:$D$9,_xlfn.TEXTJOIN(,,C1623:K1623)))),NA(),IF(AND(SUM(C1623:F1623,H1623:K1623)=0,G1623=1),0,INT((SUMPRODUCT(C1623:F1623,COLUMN($A$1:$D$1)-1)+SUMPRODUCT(H1623:K1623,COLUMN($E$1:$H$1)-1))*'Line Follower'!$C$3/SUM(C1623:F1623,H1623:K1623)-'Line Follower'!$C$5)))</f>
        <v>#N/A</v>
      </c>
      <c r="O1623" s="22" t="e">
        <v>#N/A</v>
      </c>
      <c r="P1623" s="4" t="e">
        <f t="shared" si="125"/>
        <v>#N/A</v>
      </c>
      <c r="Q1623" s="4" t="e">
        <f t="shared" si="126"/>
        <v>#N/A</v>
      </c>
      <c r="R1623" s="4" t="e">
        <f>IF(AND(B1623=1,N1623&gt;'Line Follower'!$C$7,SUM(C1623:K1623)&lt;4),1,0)</f>
        <v>#N/A</v>
      </c>
      <c r="S1623" s="4" t="e">
        <f>IF(AND(L1623=1,N1623&lt;'Line Follower'!$C$6,SUM(C1623:K1623)&lt;4),1,0)</f>
        <v>#N/A</v>
      </c>
      <c r="T1623" s="4" t="e">
        <f t="shared" si="127"/>
        <v>#N/A</v>
      </c>
      <c r="U1623" s="5" t="e">
        <f t="shared" si="128"/>
        <v>#N/A</v>
      </c>
      <c r="V1623" s="23" t="e">
        <f t="shared" si="129"/>
        <v>#N/A</v>
      </c>
    </row>
    <row r="1624" spans="2:22" x14ac:dyDescent="0.25">
      <c r="B1624" s="16">
        <v>1</v>
      </c>
      <c r="C1624" s="7">
        <v>0</v>
      </c>
      <c r="D1624" s="8">
        <v>1</v>
      </c>
      <c r="E1624" s="8">
        <v>0</v>
      </c>
      <c r="F1624" s="8">
        <v>1</v>
      </c>
      <c r="G1624" s="8">
        <v>0</v>
      </c>
      <c r="H1624" s="8">
        <v>1</v>
      </c>
      <c r="I1624" s="8">
        <v>0</v>
      </c>
      <c r="J1624" s="8">
        <v>0</v>
      </c>
      <c r="K1624" s="9">
        <v>1</v>
      </c>
      <c r="L1624" s="10">
        <v>1</v>
      </c>
      <c r="M1624" s="6">
        <v>0</v>
      </c>
      <c r="N1624" s="37" t="e" cm="1">
        <f t="array" ref="N1624">IF(OR(ISNUMBER(FIND(Aux!$D$3:$D$9,_xlfn.TEXTJOIN(,,C1624:K1624)))),NA(),IF(AND(SUM(C1624:F1624,H1624:K1624)=0,G1624=1),0,INT((SUMPRODUCT(C1624:F1624,COLUMN($A$1:$D$1)-1)+SUMPRODUCT(H1624:K1624,COLUMN($E$1:$H$1)-1))*'Line Follower'!$C$3/SUM(C1624:F1624,H1624:K1624)-'Line Follower'!$C$5)))</f>
        <v>#N/A</v>
      </c>
      <c r="O1624" s="22" t="e">
        <v>#N/A</v>
      </c>
      <c r="P1624" s="4" t="e">
        <f t="shared" si="125"/>
        <v>#N/A</v>
      </c>
      <c r="Q1624" s="4" t="e">
        <f t="shared" si="126"/>
        <v>#N/A</v>
      </c>
      <c r="R1624" s="4" t="e">
        <f>IF(AND(B1624=1,N1624&gt;'Line Follower'!$C$7,SUM(C1624:K1624)&lt;4),1,0)</f>
        <v>#N/A</v>
      </c>
      <c r="S1624" s="4" t="e">
        <f>IF(AND(L1624=1,N1624&lt;'Line Follower'!$C$6,SUM(C1624:K1624)&lt;4),1,0)</f>
        <v>#N/A</v>
      </c>
      <c r="T1624" s="4" t="e">
        <f t="shared" si="127"/>
        <v>#N/A</v>
      </c>
      <c r="U1624" s="5" t="e">
        <f t="shared" si="128"/>
        <v>#N/A</v>
      </c>
      <c r="V1624" s="23" t="e">
        <f t="shared" si="129"/>
        <v>#N/A</v>
      </c>
    </row>
    <row r="1625" spans="2:22" x14ac:dyDescent="0.25">
      <c r="B1625" s="16">
        <v>0</v>
      </c>
      <c r="C1625" s="7">
        <v>1</v>
      </c>
      <c r="D1625" s="8">
        <v>1</v>
      </c>
      <c r="E1625" s="8">
        <v>0</v>
      </c>
      <c r="F1625" s="8">
        <v>1</v>
      </c>
      <c r="G1625" s="8">
        <v>0</v>
      </c>
      <c r="H1625" s="8">
        <v>1</v>
      </c>
      <c r="I1625" s="8">
        <v>0</v>
      </c>
      <c r="J1625" s="8">
        <v>0</v>
      </c>
      <c r="K1625" s="9">
        <v>1</v>
      </c>
      <c r="L1625" s="10">
        <v>1</v>
      </c>
      <c r="M1625" s="6">
        <v>0</v>
      </c>
      <c r="N1625" s="37" t="e" cm="1">
        <f t="array" ref="N1625">IF(OR(ISNUMBER(FIND(Aux!$D$3:$D$9,_xlfn.TEXTJOIN(,,C1625:K1625)))),NA(),IF(AND(SUM(C1625:F1625,H1625:K1625)=0,G1625=1),0,INT((SUMPRODUCT(C1625:F1625,COLUMN($A$1:$D$1)-1)+SUMPRODUCT(H1625:K1625,COLUMN($E$1:$H$1)-1))*'Line Follower'!$C$3/SUM(C1625:F1625,H1625:K1625)-'Line Follower'!$C$5)))</f>
        <v>#N/A</v>
      </c>
      <c r="O1625" s="22" t="e">
        <v>#N/A</v>
      </c>
      <c r="P1625" s="4" t="e">
        <f t="shared" si="125"/>
        <v>#N/A</v>
      </c>
      <c r="Q1625" s="4" t="e">
        <f t="shared" si="126"/>
        <v>#N/A</v>
      </c>
      <c r="R1625" s="4" t="e">
        <f>IF(AND(B1625=1,N1625&gt;'Line Follower'!$C$7,SUM(C1625:K1625)&lt;4),1,0)</f>
        <v>#N/A</v>
      </c>
      <c r="S1625" s="4" t="e">
        <f>IF(AND(L1625=1,N1625&lt;'Line Follower'!$C$6,SUM(C1625:K1625)&lt;4),1,0)</f>
        <v>#N/A</v>
      </c>
      <c r="T1625" s="4" t="e">
        <f t="shared" si="127"/>
        <v>#N/A</v>
      </c>
      <c r="U1625" s="5" t="e">
        <f t="shared" si="128"/>
        <v>#N/A</v>
      </c>
      <c r="V1625" s="23" t="e">
        <f t="shared" si="129"/>
        <v>#N/A</v>
      </c>
    </row>
    <row r="1626" spans="2:22" x14ac:dyDescent="0.25">
      <c r="B1626" s="16">
        <v>1</v>
      </c>
      <c r="C1626" s="7">
        <v>1</v>
      </c>
      <c r="D1626" s="8">
        <v>1</v>
      </c>
      <c r="E1626" s="8">
        <v>0</v>
      </c>
      <c r="F1626" s="8">
        <v>1</v>
      </c>
      <c r="G1626" s="8">
        <v>0</v>
      </c>
      <c r="H1626" s="8">
        <v>1</v>
      </c>
      <c r="I1626" s="8">
        <v>0</v>
      </c>
      <c r="J1626" s="8">
        <v>0</v>
      </c>
      <c r="K1626" s="9">
        <v>1</v>
      </c>
      <c r="L1626" s="10">
        <v>1</v>
      </c>
      <c r="M1626" s="6">
        <v>0</v>
      </c>
      <c r="N1626" s="37" t="e" cm="1">
        <f t="array" ref="N1626">IF(OR(ISNUMBER(FIND(Aux!$D$3:$D$9,_xlfn.TEXTJOIN(,,C1626:K1626)))),NA(),IF(AND(SUM(C1626:F1626,H1626:K1626)=0,G1626=1),0,INT((SUMPRODUCT(C1626:F1626,COLUMN($A$1:$D$1)-1)+SUMPRODUCT(H1626:K1626,COLUMN($E$1:$H$1)-1))*'Line Follower'!$C$3/SUM(C1626:F1626,H1626:K1626)-'Line Follower'!$C$5)))</f>
        <v>#N/A</v>
      </c>
      <c r="O1626" s="22" t="e">
        <v>#N/A</v>
      </c>
      <c r="P1626" s="4" t="e">
        <f t="shared" si="125"/>
        <v>#N/A</v>
      </c>
      <c r="Q1626" s="4" t="e">
        <f t="shared" si="126"/>
        <v>#N/A</v>
      </c>
      <c r="R1626" s="4" t="e">
        <f>IF(AND(B1626=1,N1626&gt;'Line Follower'!$C$7,SUM(C1626:K1626)&lt;4),1,0)</f>
        <v>#N/A</v>
      </c>
      <c r="S1626" s="4" t="e">
        <f>IF(AND(L1626=1,N1626&lt;'Line Follower'!$C$6,SUM(C1626:K1626)&lt;4),1,0)</f>
        <v>#N/A</v>
      </c>
      <c r="T1626" s="4" t="e">
        <f t="shared" si="127"/>
        <v>#N/A</v>
      </c>
      <c r="U1626" s="5" t="e">
        <f t="shared" si="128"/>
        <v>#N/A</v>
      </c>
      <c r="V1626" s="23" t="e">
        <f t="shared" si="129"/>
        <v>#N/A</v>
      </c>
    </row>
    <row r="1627" spans="2:22" x14ac:dyDescent="0.25">
      <c r="B1627" s="16">
        <v>0</v>
      </c>
      <c r="C1627" s="7">
        <v>0</v>
      </c>
      <c r="D1627" s="8">
        <v>0</v>
      </c>
      <c r="E1627" s="8">
        <v>1</v>
      </c>
      <c r="F1627" s="8">
        <v>1</v>
      </c>
      <c r="G1627" s="8">
        <v>0</v>
      </c>
      <c r="H1627" s="8">
        <v>1</v>
      </c>
      <c r="I1627" s="8">
        <v>0</v>
      </c>
      <c r="J1627" s="8">
        <v>0</v>
      </c>
      <c r="K1627" s="9">
        <v>1</v>
      </c>
      <c r="L1627" s="10">
        <v>1</v>
      </c>
      <c r="M1627" s="6">
        <v>0</v>
      </c>
      <c r="N1627" s="37" t="e" cm="1">
        <f t="array" ref="N1627">IF(OR(ISNUMBER(FIND(Aux!$D$3:$D$9,_xlfn.TEXTJOIN(,,C1627:K1627)))),NA(),IF(AND(SUM(C1627:F1627,H1627:K1627)=0,G1627=1),0,INT((SUMPRODUCT(C1627:F1627,COLUMN($A$1:$D$1)-1)+SUMPRODUCT(H1627:K1627,COLUMN($E$1:$H$1)-1))*'Line Follower'!$C$3/SUM(C1627:F1627,H1627:K1627)-'Line Follower'!$C$5)))</f>
        <v>#N/A</v>
      </c>
      <c r="O1627" s="22" t="e">
        <v>#N/A</v>
      </c>
      <c r="P1627" s="4" t="e">
        <f t="shared" si="125"/>
        <v>#N/A</v>
      </c>
      <c r="Q1627" s="4" t="e">
        <f t="shared" si="126"/>
        <v>#N/A</v>
      </c>
      <c r="R1627" s="4" t="e">
        <f>IF(AND(B1627=1,N1627&gt;'Line Follower'!$C$7,SUM(C1627:K1627)&lt;4),1,0)</f>
        <v>#N/A</v>
      </c>
      <c r="S1627" s="4" t="e">
        <f>IF(AND(L1627=1,N1627&lt;'Line Follower'!$C$6,SUM(C1627:K1627)&lt;4),1,0)</f>
        <v>#N/A</v>
      </c>
      <c r="T1627" s="4" t="e">
        <f t="shared" si="127"/>
        <v>#N/A</v>
      </c>
      <c r="U1627" s="5" t="e">
        <f t="shared" si="128"/>
        <v>#N/A</v>
      </c>
      <c r="V1627" s="23" t="e">
        <f t="shared" si="129"/>
        <v>#N/A</v>
      </c>
    </row>
    <row r="1628" spans="2:22" x14ac:dyDescent="0.25">
      <c r="B1628" s="16">
        <v>1</v>
      </c>
      <c r="C1628" s="7">
        <v>0</v>
      </c>
      <c r="D1628" s="8">
        <v>0</v>
      </c>
      <c r="E1628" s="8">
        <v>1</v>
      </c>
      <c r="F1628" s="8">
        <v>1</v>
      </c>
      <c r="G1628" s="8">
        <v>0</v>
      </c>
      <c r="H1628" s="8">
        <v>1</v>
      </c>
      <c r="I1628" s="8">
        <v>0</v>
      </c>
      <c r="J1628" s="8">
        <v>0</v>
      </c>
      <c r="K1628" s="9">
        <v>1</v>
      </c>
      <c r="L1628" s="10">
        <v>1</v>
      </c>
      <c r="M1628" s="6">
        <v>0</v>
      </c>
      <c r="N1628" s="37" t="e" cm="1">
        <f t="array" ref="N1628">IF(OR(ISNUMBER(FIND(Aux!$D$3:$D$9,_xlfn.TEXTJOIN(,,C1628:K1628)))),NA(),IF(AND(SUM(C1628:F1628,H1628:K1628)=0,G1628=1),0,INT((SUMPRODUCT(C1628:F1628,COLUMN($A$1:$D$1)-1)+SUMPRODUCT(H1628:K1628,COLUMN($E$1:$H$1)-1))*'Line Follower'!$C$3/SUM(C1628:F1628,H1628:K1628)-'Line Follower'!$C$5)))</f>
        <v>#N/A</v>
      </c>
      <c r="O1628" s="22" t="e">
        <v>#N/A</v>
      </c>
      <c r="P1628" s="4" t="e">
        <f t="shared" si="125"/>
        <v>#N/A</v>
      </c>
      <c r="Q1628" s="4" t="e">
        <f t="shared" si="126"/>
        <v>#N/A</v>
      </c>
      <c r="R1628" s="4" t="e">
        <f>IF(AND(B1628=1,N1628&gt;'Line Follower'!$C$7,SUM(C1628:K1628)&lt;4),1,0)</f>
        <v>#N/A</v>
      </c>
      <c r="S1628" s="4" t="e">
        <f>IF(AND(L1628=1,N1628&lt;'Line Follower'!$C$6,SUM(C1628:K1628)&lt;4),1,0)</f>
        <v>#N/A</v>
      </c>
      <c r="T1628" s="4" t="e">
        <f t="shared" si="127"/>
        <v>#N/A</v>
      </c>
      <c r="U1628" s="5" t="e">
        <f t="shared" si="128"/>
        <v>#N/A</v>
      </c>
      <c r="V1628" s="23" t="e">
        <f t="shared" si="129"/>
        <v>#N/A</v>
      </c>
    </row>
    <row r="1629" spans="2:22" x14ac:dyDescent="0.25">
      <c r="B1629" s="16">
        <v>0</v>
      </c>
      <c r="C1629" s="7">
        <v>1</v>
      </c>
      <c r="D1629" s="8">
        <v>0</v>
      </c>
      <c r="E1629" s="8">
        <v>1</v>
      </c>
      <c r="F1629" s="8">
        <v>1</v>
      </c>
      <c r="G1629" s="8">
        <v>0</v>
      </c>
      <c r="H1629" s="8">
        <v>1</v>
      </c>
      <c r="I1629" s="8">
        <v>0</v>
      </c>
      <c r="J1629" s="8">
        <v>0</v>
      </c>
      <c r="K1629" s="9">
        <v>1</v>
      </c>
      <c r="L1629" s="10">
        <v>1</v>
      </c>
      <c r="M1629" s="6">
        <v>0</v>
      </c>
      <c r="N1629" s="37" t="e" cm="1">
        <f t="array" ref="N1629">IF(OR(ISNUMBER(FIND(Aux!$D$3:$D$9,_xlfn.TEXTJOIN(,,C1629:K1629)))),NA(),IF(AND(SUM(C1629:F1629,H1629:K1629)=0,G1629=1),0,INT((SUMPRODUCT(C1629:F1629,COLUMN($A$1:$D$1)-1)+SUMPRODUCT(H1629:K1629,COLUMN($E$1:$H$1)-1))*'Line Follower'!$C$3/SUM(C1629:F1629,H1629:K1629)-'Line Follower'!$C$5)))</f>
        <v>#N/A</v>
      </c>
      <c r="O1629" s="22" t="e">
        <v>#N/A</v>
      </c>
      <c r="P1629" s="4" t="e">
        <f t="shared" si="125"/>
        <v>#N/A</v>
      </c>
      <c r="Q1629" s="4" t="e">
        <f t="shared" si="126"/>
        <v>#N/A</v>
      </c>
      <c r="R1629" s="4" t="e">
        <f>IF(AND(B1629=1,N1629&gt;'Line Follower'!$C$7,SUM(C1629:K1629)&lt;4),1,0)</f>
        <v>#N/A</v>
      </c>
      <c r="S1629" s="4" t="e">
        <f>IF(AND(L1629=1,N1629&lt;'Line Follower'!$C$6,SUM(C1629:K1629)&lt;4),1,0)</f>
        <v>#N/A</v>
      </c>
      <c r="T1629" s="4" t="e">
        <f t="shared" si="127"/>
        <v>#N/A</v>
      </c>
      <c r="U1629" s="5" t="e">
        <f t="shared" si="128"/>
        <v>#N/A</v>
      </c>
      <c r="V1629" s="23" t="e">
        <f t="shared" si="129"/>
        <v>#N/A</v>
      </c>
    </row>
    <row r="1630" spans="2:22" x14ac:dyDescent="0.25">
      <c r="B1630" s="16">
        <v>1</v>
      </c>
      <c r="C1630" s="7">
        <v>1</v>
      </c>
      <c r="D1630" s="8">
        <v>0</v>
      </c>
      <c r="E1630" s="8">
        <v>1</v>
      </c>
      <c r="F1630" s="8">
        <v>1</v>
      </c>
      <c r="G1630" s="8">
        <v>0</v>
      </c>
      <c r="H1630" s="8">
        <v>1</v>
      </c>
      <c r="I1630" s="8">
        <v>0</v>
      </c>
      <c r="J1630" s="8">
        <v>0</v>
      </c>
      <c r="K1630" s="9">
        <v>1</v>
      </c>
      <c r="L1630" s="10">
        <v>1</v>
      </c>
      <c r="M1630" s="6">
        <v>0</v>
      </c>
      <c r="N1630" s="37" t="e" cm="1">
        <f t="array" ref="N1630">IF(OR(ISNUMBER(FIND(Aux!$D$3:$D$9,_xlfn.TEXTJOIN(,,C1630:K1630)))),NA(),IF(AND(SUM(C1630:F1630,H1630:K1630)=0,G1630=1),0,INT((SUMPRODUCT(C1630:F1630,COLUMN($A$1:$D$1)-1)+SUMPRODUCT(H1630:K1630,COLUMN($E$1:$H$1)-1))*'Line Follower'!$C$3/SUM(C1630:F1630,H1630:K1630)-'Line Follower'!$C$5)))</f>
        <v>#N/A</v>
      </c>
      <c r="O1630" s="22" t="e">
        <v>#N/A</v>
      </c>
      <c r="P1630" s="4" t="e">
        <f t="shared" si="125"/>
        <v>#N/A</v>
      </c>
      <c r="Q1630" s="4" t="e">
        <f t="shared" si="126"/>
        <v>#N/A</v>
      </c>
      <c r="R1630" s="4" t="e">
        <f>IF(AND(B1630=1,N1630&gt;'Line Follower'!$C$7,SUM(C1630:K1630)&lt;4),1,0)</f>
        <v>#N/A</v>
      </c>
      <c r="S1630" s="4" t="e">
        <f>IF(AND(L1630=1,N1630&lt;'Line Follower'!$C$6,SUM(C1630:K1630)&lt;4),1,0)</f>
        <v>#N/A</v>
      </c>
      <c r="T1630" s="4" t="e">
        <f t="shared" si="127"/>
        <v>#N/A</v>
      </c>
      <c r="U1630" s="5" t="e">
        <f t="shared" si="128"/>
        <v>#N/A</v>
      </c>
      <c r="V1630" s="23" t="e">
        <f t="shared" si="129"/>
        <v>#N/A</v>
      </c>
    </row>
    <row r="1631" spans="2:22" x14ac:dyDescent="0.25">
      <c r="B1631" s="16">
        <v>0</v>
      </c>
      <c r="C1631" s="7">
        <v>0</v>
      </c>
      <c r="D1631" s="8">
        <v>1</v>
      </c>
      <c r="E1631" s="8">
        <v>1</v>
      </c>
      <c r="F1631" s="8">
        <v>1</v>
      </c>
      <c r="G1631" s="8">
        <v>0</v>
      </c>
      <c r="H1631" s="8">
        <v>1</v>
      </c>
      <c r="I1631" s="8">
        <v>0</v>
      </c>
      <c r="J1631" s="8">
        <v>0</v>
      </c>
      <c r="K1631" s="9">
        <v>1</v>
      </c>
      <c r="L1631" s="10">
        <v>1</v>
      </c>
      <c r="M1631" s="6">
        <v>0</v>
      </c>
      <c r="N1631" s="37" t="e" cm="1">
        <f t="array" ref="N1631">IF(OR(ISNUMBER(FIND(Aux!$D$3:$D$9,_xlfn.TEXTJOIN(,,C1631:K1631)))),NA(),IF(AND(SUM(C1631:F1631,H1631:K1631)=0,G1631=1),0,INT((SUMPRODUCT(C1631:F1631,COLUMN($A$1:$D$1)-1)+SUMPRODUCT(H1631:K1631,COLUMN($E$1:$H$1)-1))*'Line Follower'!$C$3/SUM(C1631:F1631,H1631:K1631)-'Line Follower'!$C$5)))</f>
        <v>#N/A</v>
      </c>
      <c r="O1631" s="22" t="e">
        <v>#N/A</v>
      </c>
      <c r="P1631" s="4" t="e">
        <f t="shared" si="125"/>
        <v>#N/A</v>
      </c>
      <c r="Q1631" s="4" t="e">
        <f t="shared" si="126"/>
        <v>#N/A</v>
      </c>
      <c r="R1631" s="4" t="e">
        <f>IF(AND(B1631=1,N1631&gt;'Line Follower'!$C$7,SUM(C1631:K1631)&lt;4),1,0)</f>
        <v>#N/A</v>
      </c>
      <c r="S1631" s="4" t="e">
        <f>IF(AND(L1631=1,N1631&lt;'Line Follower'!$C$6,SUM(C1631:K1631)&lt;4),1,0)</f>
        <v>#N/A</v>
      </c>
      <c r="T1631" s="4" t="e">
        <f t="shared" si="127"/>
        <v>#N/A</v>
      </c>
      <c r="U1631" s="5" t="e">
        <f t="shared" si="128"/>
        <v>#N/A</v>
      </c>
      <c r="V1631" s="23" t="e">
        <f t="shared" si="129"/>
        <v>#N/A</v>
      </c>
    </row>
    <row r="1632" spans="2:22" x14ac:dyDescent="0.25">
      <c r="B1632" s="16">
        <v>1</v>
      </c>
      <c r="C1632" s="7">
        <v>0</v>
      </c>
      <c r="D1632" s="8">
        <v>1</v>
      </c>
      <c r="E1632" s="8">
        <v>1</v>
      </c>
      <c r="F1632" s="8">
        <v>1</v>
      </c>
      <c r="G1632" s="8">
        <v>0</v>
      </c>
      <c r="H1632" s="8">
        <v>1</v>
      </c>
      <c r="I1632" s="8">
        <v>0</v>
      </c>
      <c r="J1632" s="8">
        <v>0</v>
      </c>
      <c r="K1632" s="9">
        <v>1</v>
      </c>
      <c r="L1632" s="10">
        <v>1</v>
      </c>
      <c r="M1632" s="6">
        <v>0</v>
      </c>
      <c r="N1632" s="37" t="e" cm="1">
        <f t="array" ref="N1632">IF(OR(ISNUMBER(FIND(Aux!$D$3:$D$9,_xlfn.TEXTJOIN(,,C1632:K1632)))),NA(),IF(AND(SUM(C1632:F1632,H1632:K1632)=0,G1632=1),0,INT((SUMPRODUCT(C1632:F1632,COLUMN($A$1:$D$1)-1)+SUMPRODUCT(H1632:K1632,COLUMN($E$1:$H$1)-1))*'Line Follower'!$C$3/SUM(C1632:F1632,H1632:K1632)-'Line Follower'!$C$5)))</f>
        <v>#N/A</v>
      </c>
      <c r="O1632" s="22" t="e">
        <v>#N/A</v>
      </c>
      <c r="P1632" s="4" t="e">
        <f t="shared" si="125"/>
        <v>#N/A</v>
      </c>
      <c r="Q1632" s="4" t="e">
        <f t="shared" si="126"/>
        <v>#N/A</v>
      </c>
      <c r="R1632" s="4" t="e">
        <f>IF(AND(B1632=1,N1632&gt;'Line Follower'!$C$7,SUM(C1632:K1632)&lt;4),1,0)</f>
        <v>#N/A</v>
      </c>
      <c r="S1632" s="4" t="e">
        <f>IF(AND(L1632=1,N1632&lt;'Line Follower'!$C$6,SUM(C1632:K1632)&lt;4),1,0)</f>
        <v>#N/A</v>
      </c>
      <c r="T1632" s="4" t="e">
        <f t="shared" si="127"/>
        <v>#N/A</v>
      </c>
      <c r="U1632" s="5" t="e">
        <f t="shared" si="128"/>
        <v>#N/A</v>
      </c>
      <c r="V1632" s="23" t="e">
        <f t="shared" si="129"/>
        <v>#N/A</v>
      </c>
    </row>
    <row r="1633" spans="2:22" x14ac:dyDescent="0.25">
      <c r="B1633" s="16">
        <v>0</v>
      </c>
      <c r="C1633" s="7">
        <v>1</v>
      </c>
      <c r="D1633" s="8">
        <v>1</v>
      </c>
      <c r="E1633" s="8">
        <v>1</v>
      </c>
      <c r="F1633" s="8">
        <v>1</v>
      </c>
      <c r="G1633" s="8">
        <v>0</v>
      </c>
      <c r="H1633" s="8">
        <v>1</v>
      </c>
      <c r="I1633" s="8">
        <v>0</v>
      </c>
      <c r="J1633" s="8">
        <v>0</v>
      </c>
      <c r="K1633" s="9">
        <v>1</v>
      </c>
      <c r="L1633" s="10">
        <v>1</v>
      </c>
      <c r="M1633" s="6">
        <v>0</v>
      </c>
      <c r="N1633" s="37" t="e" cm="1">
        <f t="array" ref="N1633">IF(OR(ISNUMBER(FIND(Aux!$D$3:$D$9,_xlfn.TEXTJOIN(,,C1633:K1633)))),NA(),IF(AND(SUM(C1633:F1633,H1633:K1633)=0,G1633=1),0,INT((SUMPRODUCT(C1633:F1633,COLUMN($A$1:$D$1)-1)+SUMPRODUCT(H1633:K1633,COLUMN($E$1:$H$1)-1))*'Line Follower'!$C$3/SUM(C1633:F1633,H1633:K1633)-'Line Follower'!$C$5)))</f>
        <v>#N/A</v>
      </c>
      <c r="O1633" s="22" t="e">
        <v>#N/A</v>
      </c>
      <c r="P1633" s="4" t="e">
        <f t="shared" si="125"/>
        <v>#N/A</v>
      </c>
      <c r="Q1633" s="4" t="e">
        <f t="shared" si="126"/>
        <v>#N/A</v>
      </c>
      <c r="R1633" s="4" t="e">
        <f>IF(AND(B1633=1,N1633&gt;'Line Follower'!$C$7,SUM(C1633:K1633)&lt;4),1,0)</f>
        <v>#N/A</v>
      </c>
      <c r="S1633" s="4" t="e">
        <f>IF(AND(L1633=1,N1633&lt;'Line Follower'!$C$6,SUM(C1633:K1633)&lt;4),1,0)</f>
        <v>#N/A</v>
      </c>
      <c r="T1633" s="4" t="e">
        <f t="shared" si="127"/>
        <v>#N/A</v>
      </c>
      <c r="U1633" s="5" t="e">
        <f t="shared" si="128"/>
        <v>#N/A</v>
      </c>
      <c r="V1633" s="23" t="e">
        <f t="shared" si="129"/>
        <v>#N/A</v>
      </c>
    </row>
    <row r="1634" spans="2:22" x14ac:dyDescent="0.25">
      <c r="B1634" s="16">
        <v>1</v>
      </c>
      <c r="C1634" s="7">
        <v>1</v>
      </c>
      <c r="D1634" s="8">
        <v>1</v>
      </c>
      <c r="E1634" s="8">
        <v>1</v>
      </c>
      <c r="F1634" s="8">
        <v>1</v>
      </c>
      <c r="G1634" s="8">
        <v>0</v>
      </c>
      <c r="H1634" s="8">
        <v>1</v>
      </c>
      <c r="I1634" s="8">
        <v>0</v>
      </c>
      <c r="J1634" s="8">
        <v>0</v>
      </c>
      <c r="K1634" s="9">
        <v>1</v>
      </c>
      <c r="L1634" s="10">
        <v>1</v>
      </c>
      <c r="M1634" s="6">
        <v>0</v>
      </c>
      <c r="N1634" s="37" t="e" cm="1">
        <f t="array" ref="N1634">IF(OR(ISNUMBER(FIND(Aux!$D$3:$D$9,_xlfn.TEXTJOIN(,,C1634:K1634)))),NA(),IF(AND(SUM(C1634:F1634,H1634:K1634)=0,G1634=1),0,INT((SUMPRODUCT(C1634:F1634,COLUMN($A$1:$D$1)-1)+SUMPRODUCT(H1634:K1634,COLUMN($E$1:$H$1)-1))*'Line Follower'!$C$3/SUM(C1634:F1634,H1634:K1634)-'Line Follower'!$C$5)))</f>
        <v>#N/A</v>
      </c>
      <c r="O1634" s="22" t="e">
        <v>#N/A</v>
      </c>
      <c r="P1634" s="4" t="e">
        <f t="shared" si="125"/>
        <v>#N/A</v>
      </c>
      <c r="Q1634" s="4" t="e">
        <f t="shared" si="126"/>
        <v>#N/A</v>
      </c>
      <c r="R1634" s="4" t="e">
        <f>IF(AND(B1634=1,N1634&gt;'Line Follower'!$C$7,SUM(C1634:K1634)&lt;4),1,0)</f>
        <v>#N/A</v>
      </c>
      <c r="S1634" s="4" t="e">
        <f>IF(AND(L1634=1,N1634&lt;'Line Follower'!$C$6,SUM(C1634:K1634)&lt;4),1,0)</f>
        <v>#N/A</v>
      </c>
      <c r="T1634" s="4" t="e">
        <f t="shared" si="127"/>
        <v>#N/A</v>
      </c>
      <c r="U1634" s="5" t="e">
        <f t="shared" si="128"/>
        <v>#N/A</v>
      </c>
      <c r="V1634" s="23" t="e">
        <f t="shared" si="129"/>
        <v>#N/A</v>
      </c>
    </row>
    <row r="1635" spans="2:22" x14ac:dyDescent="0.25">
      <c r="B1635" s="16">
        <v>0</v>
      </c>
      <c r="C1635" s="7">
        <v>0</v>
      </c>
      <c r="D1635" s="8">
        <v>0</v>
      </c>
      <c r="E1635" s="8">
        <v>0</v>
      </c>
      <c r="F1635" s="8">
        <v>0</v>
      </c>
      <c r="G1635" s="8">
        <v>1</v>
      </c>
      <c r="H1635" s="8">
        <v>1</v>
      </c>
      <c r="I1635" s="8">
        <v>0</v>
      </c>
      <c r="J1635" s="8">
        <v>0</v>
      </c>
      <c r="K1635" s="9">
        <v>1</v>
      </c>
      <c r="L1635" s="10">
        <v>1</v>
      </c>
      <c r="M1635" s="6">
        <v>0</v>
      </c>
      <c r="N1635" s="37" t="e" cm="1">
        <f t="array" ref="N1635">IF(OR(ISNUMBER(FIND(Aux!$D$3:$D$9,_xlfn.TEXTJOIN(,,C1635:K1635)))),NA(),IF(AND(SUM(C1635:F1635,H1635:K1635)=0,G1635=1),0,INT((SUMPRODUCT(C1635:F1635,COLUMN($A$1:$D$1)-1)+SUMPRODUCT(H1635:K1635,COLUMN($E$1:$H$1)-1))*'Line Follower'!$C$3/SUM(C1635:F1635,H1635:K1635)-'Line Follower'!$C$5)))</f>
        <v>#N/A</v>
      </c>
      <c r="O1635" s="22" t="e">
        <v>#N/A</v>
      </c>
      <c r="P1635" s="4" t="e">
        <f t="shared" si="125"/>
        <v>#N/A</v>
      </c>
      <c r="Q1635" s="4" t="e">
        <f t="shared" si="126"/>
        <v>#N/A</v>
      </c>
      <c r="R1635" s="4" t="e">
        <f>IF(AND(B1635=1,N1635&gt;'Line Follower'!$C$7,SUM(C1635:K1635)&lt;4),1,0)</f>
        <v>#N/A</v>
      </c>
      <c r="S1635" s="4" t="e">
        <f>IF(AND(L1635=1,N1635&lt;'Line Follower'!$C$6,SUM(C1635:K1635)&lt;4),1,0)</f>
        <v>#N/A</v>
      </c>
      <c r="T1635" s="4" t="e">
        <f t="shared" si="127"/>
        <v>#N/A</v>
      </c>
      <c r="U1635" s="5" t="e">
        <f t="shared" si="128"/>
        <v>#N/A</v>
      </c>
      <c r="V1635" s="23" t="e">
        <f t="shared" si="129"/>
        <v>#N/A</v>
      </c>
    </row>
    <row r="1636" spans="2:22" x14ac:dyDescent="0.25">
      <c r="B1636" s="16">
        <v>1</v>
      </c>
      <c r="C1636" s="7">
        <v>0</v>
      </c>
      <c r="D1636" s="8">
        <v>0</v>
      </c>
      <c r="E1636" s="8">
        <v>0</v>
      </c>
      <c r="F1636" s="8">
        <v>0</v>
      </c>
      <c r="G1636" s="8">
        <v>1</v>
      </c>
      <c r="H1636" s="8">
        <v>1</v>
      </c>
      <c r="I1636" s="8">
        <v>0</v>
      </c>
      <c r="J1636" s="8">
        <v>0</v>
      </c>
      <c r="K1636" s="9">
        <v>1</v>
      </c>
      <c r="L1636" s="10">
        <v>1</v>
      </c>
      <c r="M1636" s="6">
        <v>0</v>
      </c>
      <c r="N1636" s="37" t="e" cm="1">
        <f t="array" ref="N1636">IF(OR(ISNUMBER(FIND(Aux!$D$3:$D$9,_xlfn.TEXTJOIN(,,C1636:K1636)))),NA(),IF(AND(SUM(C1636:F1636,H1636:K1636)=0,G1636=1),0,INT((SUMPRODUCT(C1636:F1636,COLUMN($A$1:$D$1)-1)+SUMPRODUCT(H1636:K1636,COLUMN($E$1:$H$1)-1))*'Line Follower'!$C$3/SUM(C1636:F1636,H1636:K1636)-'Line Follower'!$C$5)))</f>
        <v>#N/A</v>
      </c>
      <c r="O1636" s="22" t="e">
        <v>#N/A</v>
      </c>
      <c r="P1636" s="4" t="e">
        <f t="shared" si="125"/>
        <v>#N/A</v>
      </c>
      <c r="Q1636" s="4" t="e">
        <f t="shared" si="126"/>
        <v>#N/A</v>
      </c>
      <c r="R1636" s="4" t="e">
        <f>IF(AND(B1636=1,N1636&gt;'Line Follower'!$C$7,SUM(C1636:K1636)&lt;4),1,0)</f>
        <v>#N/A</v>
      </c>
      <c r="S1636" s="4" t="e">
        <f>IF(AND(L1636=1,N1636&lt;'Line Follower'!$C$6,SUM(C1636:K1636)&lt;4),1,0)</f>
        <v>#N/A</v>
      </c>
      <c r="T1636" s="4" t="e">
        <f t="shared" si="127"/>
        <v>#N/A</v>
      </c>
      <c r="U1636" s="5" t="e">
        <f t="shared" si="128"/>
        <v>#N/A</v>
      </c>
      <c r="V1636" s="23" t="e">
        <f t="shared" si="129"/>
        <v>#N/A</v>
      </c>
    </row>
    <row r="1637" spans="2:22" x14ac:dyDescent="0.25">
      <c r="B1637" s="16">
        <v>0</v>
      </c>
      <c r="C1637" s="7">
        <v>1</v>
      </c>
      <c r="D1637" s="8">
        <v>0</v>
      </c>
      <c r="E1637" s="8">
        <v>0</v>
      </c>
      <c r="F1637" s="8">
        <v>0</v>
      </c>
      <c r="G1637" s="8">
        <v>1</v>
      </c>
      <c r="H1637" s="8">
        <v>1</v>
      </c>
      <c r="I1637" s="8">
        <v>0</v>
      </c>
      <c r="J1637" s="8">
        <v>0</v>
      </c>
      <c r="K1637" s="9">
        <v>1</v>
      </c>
      <c r="L1637" s="10">
        <v>1</v>
      </c>
      <c r="M1637" s="6">
        <v>0</v>
      </c>
      <c r="N1637" s="37" t="e" cm="1">
        <f t="array" ref="N1637">IF(OR(ISNUMBER(FIND(Aux!$D$3:$D$9,_xlfn.TEXTJOIN(,,C1637:K1637)))),NA(),IF(AND(SUM(C1637:F1637,H1637:K1637)=0,G1637=1),0,INT((SUMPRODUCT(C1637:F1637,COLUMN($A$1:$D$1)-1)+SUMPRODUCT(H1637:K1637,COLUMN($E$1:$H$1)-1))*'Line Follower'!$C$3/SUM(C1637:F1637,H1637:K1637)-'Line Follower'!$C$5)))</f>
        <v>#N/A</v>
      </c>
      <c r="O1637" s="22" t="e">
        <v>#N/A</v>
      </c>
      <c r="P1637" s="4" t="e">
        <f t="shared" si="125"/>
        <v>#N/A</v>
      </c>
      <c r="Q1637" s="4" t="e">
        <f t="shared" si="126"/>
        <v>#N/A</v>
      </c>
      <c r="R1637" s="4" t="e">
        <f>IF(AND(B1637=1,N1637&gt;'Line Follower'!$C$7,SUM(C1637:K1637)&lt;4),1,0)</f>
        <v>#N/A</v>
      </c>
      <c r="S1637" s="4" t="e">
        <f>IF(AND(L1637=1,N1637&lt;'Line Follower'!$C$6,SUM(C1637:K1637)&lt;4),1,0)</f>
        <v>#N/A</v>
      </c>
      <c r="T1637" s="4" t="e">
        <f t="shared" si="127"/>
        <v>#N/A</v>
      </c>
      <c r="U1637" s="5" t="e">
        <f t="shared" si="128"/>
        <v>#N/A</v>
      </c>
      <c r="V1637" s="23" t="e">
        <f t="shared" si="129"/>
        <v>#N/A</v>
      </c>
    </row>
    <row r="1638" spans="2:22" x14ac:dyDescent="0.25">
      <c r="B1638" s="16">
        <v>1</v>
      </c>
      <c r="C1638" s="7">
        <v>1</v>
      </c>
      <c r="D1638" s="8">
        <v>0</v>
      </c>
      <c r="E1638" s="8">
        <v>0</v>
      </c>
      <c r="F1638" s="8">
        <v>0</v>
      </c>
      <c r="G1638" s="8">
        <v>1</v>
      </c>
      <c r="H1638" s="8">
        <v>1</v>
      </c>
      <c r="I1638" s="8">
        <v>0</v>
      </c>
      <c r="J1638" s="8">
        <v>0</v>
      </c>
      <c r="K1638" s="9">
        <v>1</v>
      </c>
      <c r="L1638" s="10">
        <v>1</v>
      </c>
      <c r="M1638" s="6">
        <v>0</v>
      </c>
      <c r="N1638" s="37" t="e" cm="1">
        <f t="array" ref="N1638">IF(OR(ISNUMBER(FIND(Aux!$D$3:$D$9,_xlfn.TEXTJOIN(,,C1638:K1638)))),NA(),IF(AND(SUM(C1638:F1638,H1638:K1638)=0,G1638=1),0,INT((SUMPRODUCT(C1638:F1638,COLUMN($A$1:$D$1)-1)+SUMPRODUCT(H1638:K1638,COLUMN($E$1:$H$1)-1))*'Line Follower'!$C$3/SUM(C1638:F1638,H1638:K1638)-'Line Follower'!$C$5)))</f>
        <v>#N/A</v>
      </c>
      <c r="O1638" s="22" t="e">
        <v>#N/A</v>
      </c>
      <c r="P1638" s="4" t="e">
        <f t="shared" si="125"/>
        <v>#N/A</v>
      </c>
      <c r="Q1638" s="4" t="e">
        <f t="shared" si="126"/>
        <v>#N/A</v>
      </c>
      <c r="R1638" s="4" t="e">
        <f>IF(AND(B1638=1,N1638&gt;'Line Follower'!$C$7,SUM(C1638:K1638)&lt;4),1,0)</f>
        <v>#N/A</v>
      </c>
      <c r="S1638" s="4" t="e">
        <f>IF(AND(L1638=1,N1638&lt;'Line Follower'!$C$6,SUM(C1638:K1638)&lt;4),1,0)</f>
        <v>#N/A</v>
      </c>
      <c r="T1638" s="4" t="e">
        <f t="shared" si="127"/>
        <v>#N/A</v>
      </c>
      <c r="U1638" s="5" t="e">
        <f t="shared" si="128"/>
        <v>#N/A</v>
      </c>
      <c r="V1638" s="23" t="e">
        <f t="shared" si="129"/>
        <v>#N/A</v>
      </c>
    </row>
    <row r="1639" spans="2:22" x14ac:dyDescent="0.25">
      <c r="B1639" s="16">
        <v>0</v>
      </c>
      <c r="C1639" s="7">
        <v>0</v>
      </c>
      <c r="D1639" s="8">
        <v>1</v>
      </c>
      <c r="E1639" s="8">
        <v>0</v>
      </c>
      <c r="F1639" s="8">
        <v>0</v>
      </c>
      <c r="G1639" s="8">
        <v>1</v>
      </c>
      <c r="H1639" s="8">
        <v>1</v>
      </c>
      <c r="I1639" s="8">
        <v>0</v>
      </c>
      <c r="J1639" s="8">
        <v>0</v>
      </c>
      <c r="K1639" s="9">
        <v>1</v>
      </c>
      <c r="L1639" s="10">
        <v>1</v>
      </c>
      <c r="M1639" s="6">
        <v>0</v>
      </c>
      <c r="N1639" s="37" t="e" cm="1">
        <f t="array" ref="N1639">IF(OR(ISNUMBER(FIND(Aux!$D$3:$D$9,_xlfn.TEXTJOIN(,,C1639:K1639)))),NA(),IF(AND(SUM(C1639:F1639,H1639:K1639)=0,G1639=1),0,INT((SUMPRODUCT(C1639:F1639,COLUMN($A$1:$D$1)-1)+SUMPRODUCT(H1639:K1639,COLUMN($E$1:$H$1)-1))*'Line Follower'!$C$3/SUM(C1639:F1639,H1639:K1639)-'Line Follower'!$C$5)))</f>
        <v>#N/A</v>
      </c>
      <c r="O1639" s="22" t="e">
        <v>#N/A</v>
      </c>
      <c r="P1639" s="4" t="e">
        <f t="shared" si="125"/>
        <v>#N/A</v>
      </c>
      <c r="Q1639" s="4" t="e">
        <f t="shared" si="126"/>
        <v>#N/A</v>
      </c>
      <c r="R1639" s="4" t="e">
        <f>IF(AND(B1639=1,N1639&gt;'Line Follower'!$C$7,SUM(C1639:K1639)&lt;4),1,0)</f>
        <v>#N/A</v>
      </c>
      <c r="S1639" s="4" t="e">
        <f>IF(AND(L1639=1,N1639&lt;'Line Follower'!$C$6,SUM(C1639:K1639)&lt;4),1,0)</f>
        <v>#N/A</v>
      </c>
      <c r="T1639" s="4" t="e">
        <f t="shared" si="127"/>
        <v>#N/A</v>
      </c>
      <c r="U1639" s="5" t="e">
        <f t="shared" si="128"/>
        <v>#N/A</v>
      </c>
      <c r="V1639" s="23" t="e">
        <f t="shared" si="129"/>
        <v>#N/A</v>
      </c>
    </row>
    <row r="1640" spans="2:22" x14ac:dyDescent="0.25">
      <c r="B1640" s="16">
        <v>1</v>
      </c>
      <c r="C1640" s="7">
        <v>0</v>
      </c>
      <c r="D1640" s="8">
        <v>1</v>
      </c>
      <c r="E1640" s="8">
        <v>0</v>
      </c>
      <c r="F1640" s="8">
        <v>0</v>
      </c>
      <c r="G1640" s="8">
        <v>1</v>
      </c>
      <c r="H1640" s="8">
        <v>1</v>
      </c>
      <c r="I1640" s="8">
        <v>0</v>
      </c>
      <c r="J1640" s="8">
        <v>0</v>
      </c>
      <c r="K1640" s="9">
        <v>1</v>
      </c>
      <c r="L1640" s="10">
        <v>1</v>
      </c>
      <c r="M1640" s="6">
        <v>0</v>
      </c>
      <c r="N1640" s="37" t="e" cm="1">
        <f t="array" ref="N1640">IF(OR(ISNUMBER(FIND(Aux!$D$3:$D$9,_xlfn.TEXTJOIN(,,C1640:K1640)))),NA(),IF(AND(SUM(C1640:F1640,H1640:K1640)=0,G1640=1),0,INT((SUMPRODUCT(C1640:F1640,COLUMN($A$1:$D$1)-1)+SUMPRODUCT(H1640:K1640,COLUMN($E$1:$H$1)-1))*'Line Follower'!$C$3/SUM(C1640:F1640,H1640:K1640)-'Line Follower'!$C$5)))</f>
        <v>#N/A</v>
      </c>
      <c r="O1640" s="22" t="e">
        <v>#N/A</v>
      </c>
      <c r="P1640" s="4" t="e">
        <f t="shared" si="125"/>
        <v>#N/A</v>
      </c>
      <c r="Q1640" s="4" t="e">
        <f t="shared" si="126"/>
        <v>#N/A</v>
      </c>
      <c r="R1640" s="4" t="e">
        <f>IF(AND(B1640=1,N1640&gt;'Line Follower'!$C$7,SUM(C1640:K1640)&lt;4),1,0)</f>
        <v>#N/A</v>
      </c>
      <c r="S1640" s="4" t="e">
        <f>IF(AND(L1640=1,N1640&lt;'Line Follower'!$C$6,SUM(C1640:K1640)&lt;4),1,0)</f>
        <v>#N/A</v>
      </c>
      <c r="T1640" s="4" t="e">
        <f t="shared" si="127"/>
        <v>#N/A</v>
      </c>
      <c r="U1640" s="5" t="e">
        <f t="shared" si="128"/>
        <v>#N/A</v>
      </c>
      <c r="V1640" s="23" t="e">
        <f t="shared" si="129"/>
        <v>#N/A</v>
      </c>
    </row>
    <row r="1641" spans="2:22" x14ac:dyDescent="0.25">
      <c r="B1641" s="16">
        <v>0</v>
      </c>
      <c r="C1641" s="7">
        <v>1</v>
      </c>
      <c r="D1641" s="8">
        <v>1</v>
      </c>
      <c r="E1641" s="8">
        <v>0</v>
      </c>
      <c r="F1641" s="8">
        <v>0</v>
      </c>
      <c r="G1641" s="8">
        <v>1</v>
      </c>
      <c r="H1641" s="8">
        <v>1</v>
      </c>
      <c r="I1641" s="8">
        <v>0</v>
      </c>
      <c r="J1641" s="8">
        <v>0</v>
      </c>
      <c r="K1641" s="9">
        <v>1</v>
      </c>
      <c r="L1641" s="10">
        <v>1</v>
      </c>
      <c r="M1641" s="6">
        <v>0</v>
      </c>
      <c r="N1641" s="37" t="e" cm="1">
        <f t="array" ref="N1641">IF(OR(ISNUMBER(FIND(Aux!$D$3:$D$9,_xlfn.TEXTJOIN(,,C1641:K1641)))),NA(),IF(AND(SUM(C1641:F1641,H1641:K1641)=0,G1641=1),0,INT((SUMPRODUCT(C1641:F1641,COLUMN($A$1:$D$1)-1)+SUMPRODUCT(H1641:K1641,COLUMN($E$1:$H$1)-1))*'Line Follower'!$C$3/SUM(C1641:F1641,H1641:K1641)-'Line Follower'!$C$5)))</f>
        <v>#N/A</v>
      </c>
      <c r="O1641" s="22" t="e">
        <v>#N/A</v>
      </c>
      <c r="P1641" s="4" t="e">
        <f t="shared" si="125"/>
        <v>#N/A</v>
      </c>
      <c r="Q1641" s="4" t="e">
        <f t="shared" si="126"/>
        <v>#N/A</v>
      </c>
      <c r="R1641" s="4" t="e">
        <f>IF(AND(B1641=1,N1641&gt;'Line Follower'!$C$7,SUM(C1641:K1641)&lt;4),1,0)</f>
        <v>#N/A</v>
      </c>
      <c r="S1641" s="4" t="e">
        <f>IF(AND(L1641=1,N1641&lt;'Line Follower'!$C$6,SUM(C1641:K1641)&lt;4),1,0)</f>
        <v>#N/A</v>
      </c>
      <c r="T1641" s="4" t="e">
        <f t="shared" si="127"/>
        <v>#N/A</v>
      </c>
      <c r="U1641" s="5" t="e">
        <f t="shared" si="128"/>
        <v>#N/A</v>
      </c>
      <c r="V1641" s="23" t="e">
        <f t="shared" si="129"/>
        <v>#N/A</v>
      </c>
    </row>
    <row r="1642" spans="2:22" x14ac:dyDescent="0.25">
      <c r="B1642" s="16">
        <v>1</v>
      </c>
      <c r="C1642" s="7">
        <v>1</v>
      </c>
      <c r="D1642" s="8">
        <v>1</v>
      </c>
      <c r="E1642" s="8">
        <v>0</v>
      </c>
      <c r="F1642" s="8">
        <v>0</v>
      </c>
      <c r="G1642" s="8">
        <v>1</v>
      </c>
      <c r="H1642" s="8">
        <v>1</v>
      </c>
      <c r="I1642" s="8">
        <v>0</v>
      </c>
      <c r="J1642" s="8">
        <v>0</v>
      </c>
      <c r="K1642" s="9">
        <v>1</v>
      </c>
      <c r="L1642" s="10">
        <v>1</v>
      </c>
      <c r="M1642" s="6">
        <v>0</v>
      </c>
      <c r="N1642" s="37" t="e" cm="1">
        <f t="array" ref="N1642">IF(OR(ISNUMBER(FIND(Aux!$D$3:$D$9,_xlfn.TEXTJOIN(,,C1642:K1642)))),NA(),IF(AND(SUM(C1642:F1642,H1642:K1642)=0,G1642=1),0,INT((SUMPRODUCT(C1642:F1642,COLUMN($A$1:$D$1)-1)+SUMPRODUCT(H1642:K1642,COLUMN($E$1:$H$1)-1))*'Line Follower'!$C$3/SUM(C1642:F1642,H1642:K1642)-'Line Follower'!$C$5)))</f>
        <v>#N/A</v>
      </c>
      <c r="O1642" s="22" t="e">
        <v>#N/A</v>
      </c>
      <c r="P1642" s="4" t="e">
        <f t="shared" si="125"/>
        <v>#N/A</v>
      </c>
      <c r="Q1642" s="4" t="e">
        <f t="shared" si="126"/>
        <v>#N/A</v>
      </c>
      <c r="R1642" s="4" t="e">
        <f>IF(AND(B1642=1,N1642&gt;'Line Follower'!$C$7,SUM(C1642:K1642)&lt;4),1,0)</f>
        <v>#N/A</v>
      </c>
      <c r="S1642" s="4" t="e">
        <f>IF(AND(L1642=1,N1642&lt;'Line Follower'!$C$6,SUM(C1642:K1642)&lt;4),1,0)</f>
        <v>#N/A</v>
      </c>
      <c r="T1642" s="4" t="e">
        <f t="shared" si="127"/>
        <v>#N/A</v>
      </c>
      <c r="U1642" s="5" t="e">
        <f t="shared" si="128"/>
        <v>#N/A</v>
      </c>
      <c r="V1642" s="23" t="e">
        <f t="shared" si="129"/>
        <v>#N/A</v>
      </c>
    </row>
    <row r="1643" spans="2:22" x14ac:dyDescent="0.25">
      <c r="B1643" s="16">
        <v>0</v>
      </c>
      <c r="C1643" s="7">
        <v>0</v>
      </c>
      <c r="D1643" s="8">
        <v>0</v>
      </c>
      <c r="E1643" s="8">
        <v>1</v>
      </c>
      <c r="F1643" s="8">
        <v>0</v>
      </c>
      <c r="G1643" s="8">
        <v>1</v>
      </c>
      <c r="H1643" s="8">
        <v>1</v>
      </c>
      <c r="I1643" s="8">
        <v>0</v>
      </c>
      <c r="J1643" s="8">
        <v>0</v>
      </c>
      <c r="K1643" s="9">
        <v>1</v>
      </c>
      <c r="L1643" s="10">
        <v>1</v>
      </c>
      <c r="M1643" s="6">
        <v>0</v>
      </c>
      <c r="N1643" s="37" t="e" cm="1">
        <f t="array" ref="N1643">IF(OR(ISNUMBER(FIND(Aux!$D$3:$D$9,_xlfn.TEXTJOIN(,,C1643:K1643)))),NA(),IF(AND(SUM(C1643:F1643,H1643:K1643)=0,G1643=1),0,INT((SUMPRODUCT(C1643:F1643,COLUMN($A$1:$D$1)-1)+SUMPRODUCT(H1643:K1643,COLUMN($E$1:$H$1)-1))*'Line Follower'!$C$3/SUM(C1643:F1643,H1643:K1643)-'Line Follower'!$C$5)))</f>
        <v>#N/A</v>
      </c>
      <c r="O1643" s="22" t="e">
        <v>#N/A</v>
      </c>
      <c r="P1643" s="4" t="e">
        <f t="shared" si="125"/>
        <v>#N/A</v>
      </c>
      <c r="Q1643" s="4" t="e">
        <f t="shared" si="126"/>
        <v>#N/A</v>
      </c>
      <c r="R1643" s="4" t="e">
        <f>IF(AND(B1643=1,N1643&gt;'Line Follower'!$C$7,SUM(C1643:K1643)&lt;4),1,0)</f>
        <v>#N/A</v>
      </c>
      <c r="S1643" s="4" t="e">
        <f>IF(AND(L1643=1,N1643&lt;'Line Follower'!$C$6,SUM(C1643:K1643)&lt;4),1,0)</f>
        <v>#N/A</v>
      </c>
      <c r="T1643" s="4" t="e">
        <f t="shared" si="127"/>
        <v>#N/A</v>
      </c>
      <c r="U1643" s="5" t="e">
        <f t="shared" si="128"/>
        <v>#N/A</v>
      </c>
      <c r="V1643" s="23" t="e">
        <f t="shared" si="129"/>
        <v>#N/A</v>
      </c>
    </row>
    <row r="1644" spans="2:22" x14ac:dyDescent="0.25">
      <c r="B1644" s="16">
        <v>1</v>
      </c>
      <c r="C1644" s="7">
        <v>0</v>
      </c>
      <c r="D1644" s="8">
        <v>0</v>
      </c>
      <c r="E1644" s="8">
        <v>1</v>
      </c>
      <c r="F1644" s="8">
        <v>0</v>
      </c>
      <c r="G1644" s="8">
        <v>1</v>
      </c>
      <c r="H1644" s="8">
        <v>1</v>
      </c>
      <c r="I1644" s="8">
        <v>0</v>
      </c>
      <c r="J1644" s="8">
        <v>0</v>
      </c>
      <c r="K1644" s="9">
        <v>1</v>
      </c>
      <c r="L1644" s="10">
        <v>1</v>
      </c>
      <c r="M1644" s="6">
        <v>0</v>
      </c>
      <c r="N1644" s="37" t="e" cm="1">
        <f t="array" ref="N1644">IF(OR(ISNUMBER(FIND(Aux!$D$3:$D$9,_xlfn.TEXTJOIN(,,C1644:K1644)))),NA(),IF(AND(SUM(C1644:F1644,H1644:K1644)=0,G1644=1),0,INT((SUMPRODUCT(C1644:F1644,COLUMN($A$1:$D$1)-1)+SUMPRODUCT(H1644:K1644,COLUMN($E$1:$H$1)-1))*'Line Follower'!$C$3/SUM(C1644:F1644,H1644:K1644)-'Line Follower'!$C$5)))</f>
        <v>#N/A</v>
      </c>
      <c r="O1644" s="22" t="e">
        <v>#N/A</v>
      </c>
      <c r="P1644" s="4" t="e">
        <f t="shared" si="125"/>
        <v>#N/A</v>
      </c>
      <c r="Q1644" s="4" t="e">
        <f t="shared" si="126"/>
        <v>#N/A</v>
      </c>
      <c r="R1644" s="4" t="e">
        <f>IF(AND(B1644=1,N1644&gt;'Line Follower'!$C$7,SUM(C1644:K1644)&lt;4),1,0)</f>
        <v>#N/A</v>
      </c>
      <c r="S1644" s="4" t="e">
        <f>IF(AND(L1644=1,N1644&lt;'Line Follower'!$C$6,SUM(C1644:K1644)&lt;4),1,0)</f>
        <v>#N/A</v>
      </c>
      <c r="T1644" s="4" t="e">
        <f t="shared" si="127"/>
        <v>#N/A</v>
      </c>
      <c r="U1644" s="5" t="e">
        <f t="shared" si="128"/>
        <v>#N/A</v>
      </c>
      <c r="V1644" s="23" t="e">
        <f t="shared" si="129"/>
        <v>#N/A</v>
      </c>
    </row>
    <row r="1645" spans="2:22" x14ac:dyDescent="0.25">
      <c r="B1645" s="16">
        <v>0</v>
      </c>
      <c r="C1645" s="7">
        <v>1</v>
      </c>
      <c r="D1645" s="8">
        <v>0</v>
      </c>
      <c r="E1645" s="8">
        <v>1</v>
      </c>
      <c r="F1645" s="8">
        <v>0</v>
      </c>
      <c r="G1645" s="8">
        <v>1</v>
      </c>
      <c r="H1645" s="8">
        <v>1</v>
      </c>
      <c r="I1645" s="8">
        <v>0</v>
      </c>
      <c r="J1645" s="8">
        <v>0</v>
      </c>
      <c r="K1645" s="9">
        <v>1</v>
      </c>
      <c r="L1645" s="10">
        <v>1</v>
      </c>
      <c r="M1645" s="6">
        <v>0</v>
      </c>
      <c r="N1645" s="37" t="e" cm="1">
        <f t="array" ref="N1645">IF(OR(ISNUMBER(FIND(Aux!$D$3:$D$9,_xlfn.TEXTJOIN(,,C1645:K1645)))),NA(),IF(AND(SUM(C1645:F1645,H1645:K1645)=0,G1645=1),0,INT((SUMPRODUCT(C1645:F1645,COLUMN($A$1:$D$1)-1)+SUMPRODUCT(H1645:K1645,COLUMN($E$1:$H$1)-1))*'Line Follower'!$C$3/SUM(C1645:F1645,H1645:K1645)-'Line Follower'!$C$5)))</f>
        <v>#N/A</v>
      </c>
      <c r="O1645" s="22" t="e">
        <v>#N/A</v>
      </c>
      <c r="P1645" s="4" t="e">
        <f t="shared" si="125"/>
        <v>#N/A</v>
      </c>
      <c r="Q1645" s="4" t="e">
        <f t="shared" si="126"/>
        <v>#N/A</v>
      </c>
      <c r="R1645" s="4" t="e">
        <f>IF(AND(B1645=1,N1645&gt;'Line Follower'!$C$7,SUM(C1645:K1645)&lt;4),1,0)</f>
        <v>#N/A</v>
      </c>
      <c r="S1645" s="4" t="e">
        <f>IF(AND(L1645=1,N1645&lt;'Line Follower'!$C$6,SUM(C1645:K1645)&lt;4),1,0)</f>
        <v>#N/A</v>
      </c>
      <c r="T1645" s="4" t="e">
        <f t="shared" si="127"/>
        <v>#N/A</v>
      </c>
      <c r="U1645" s="5" t="e">
        <f t="shared" si="128"/>
        <v>#N/A</v>
      </c>
      <c r="V1645" s="23" t="e">
        <f t="shared" si="129"/>
        <v>#N/A</v>
      </c>
    </row>
    <row r="1646" spans="2:22" x14ac:dyDescent="0.25">
      <c r="B1646" s="16">
        <v>1</v>
      </c>
      <c r="C1646" s="7">
        <v>1</v>
      </c>
      <c r="D1646" s="8">
        <v>0</v>
      </c>
      <c r="E1646" s="8">
        <v>1</v>
      </c>
      <c r="F1646" s="8">
        <v>0</v>
      </c>
      <c r="G1646" s="8">
        <v>1</v>
      </c>
      <c r="H1646" s="8">
        <v>1</v>
      </c>
      <c r="I1646" s="8">
        <v>0</v>
      </c>
      <c r="J1646" s="8">
        <v>0</v>
      </c>
      <c r="K1646" s="9">
        <v>1</v>
      </c>
      <c r="L1646" s="10">
        <v>1</v>
      </c>
      <c r="M1646" s="6">
        <v>0</v>
      </c>
      <c r="N1646" s="37" t="e" cm="1">
        <f t="array" ref="N1646">IF(OR(ISNUMBER(FIND(Aux!$D$3:$D$9,_xlfn.TEXTJOIN(,,C1646:K1646)))),NA(),IF(AND(SUM(C1646:F1646,H1646:K1646)=0,G1646=1),0,INT((SUMPRODUCT(C1646:F1646,COLUMN($A$1:$D$1)-1)+SUMPRODUCT(H1646:K1646,COLUMN($E$1:$H$1)-1))*'Line Follower'!$C$3/SUM(C1646:F1646,H1646:K1646)-'Line Follower'!$C$5)))</f>
        <v>#N/A</v>
      </c>
      <c r="O1646" s="22" t="e">
        <v>#N/A</v>
      </c>
      <c r="P1646" s="4" t="e">
        <f t="shared" si="125"/>
        <v>#N/A</v>
      </c>
      <c r="Q1646" s="4" t="e">
        <f t="shared" si="126"/>
        <v>#N/A</v>
      </c>
      <c r="R1646" s="4" t="e">
        <f>IF(AND(B1646=1,N1646&gt;'Line Follower'!$C$7,SUM(C1646:K1646)&lt;4),1,0)</f>
        <v>#N/A</v>
      </c>
      <c r="S1646" s="4" t="e">
        <f>IF(AND(L1646=1,N1646&lt;'Line Follower'!$C$6,SUM(C1646:K1646)&lt;4),1,0)</f>
        <v>#N/A</v>
      </c>
      <c r="T1646" s="4" t="e">
        <f t="shared" si="127"/>
        <v>#N/A</v>
      </c>
      <c r="U1646" s="5" t="e">
        <f t="shared" si="128"/>
        <v>#N/A</v>
      </c>
      <c r="V1646" s="23" t="e">
        <f t="shared" si="129"/>
        <v>#N/A</v>
      </c>
    </row>
    <row r="1647" spans="2:22" x14ac:dyDescent="0.25">
      <c r="B1647" s="16">
        <v>0</v>
      </c>
      <c r="C1647" s="7">
        <v>0</v>
      </c>
      <c r="D1647" s="8">
        <v>1</v>
      </c>
      <c r="E1647" s="8">
        <v>1</v>
      </c>
      <c r="F1647" s="8">
        <v>0</v>
      </c>
      <c r="G1647" s="8">
        <v>1</v>
      </c>
      <c r="H1647" s="8">
        <v>1</v>
      </c>
      <c r="I1647" s="8">
        <v>0</v>
      </c>
      <c r="J1647" s="8">
        <v>0</v>
      </c>
      <c r="K1647" s="9">
        <v>1</v>
      </c>
      <c r="L1647" s="10">
        <v>1</v>
      </c>
      <c r="M1647" s="6">
        <v>0</v>
      </c>
      <c r="N1647" s="37" t="e" cm="1">
        <f t="array" ref="N1647">IF(OR(ISNUMBER(FIND(Aux!$D$3:$D$9,_xlfn.TEXTJOIN(,,C1647:K1647)))),NA(),IF(AND(SUM(C1647:F1647,H1647:K1647)=0,G1647=1),0,INT((SUMPRODUCT(C1647:F1647,COLUMN($A$1:$D$1)-1)+SUMPRODUCT(H1647:K1647,COLUMN($E$1:$H$1)-1))*'Line Follower'!$C$3/SUM(C1647:F1647,H1647:K1647)-'Line Follower'!$C$5)))</f>
        <v>#N/A</v>
      </c>
      <c r="O1647" s="22" t="e">
        <v>#N/A</v>
      </c>
      <c r="P1647" s="4" t="e">
        <f t="shared" si="125"/>
        <v>#N/A</v>
      </c>
      <c r="Q1647" s="4" t="e">
        <f t="shared" si="126"/>
        <v>#N/A</v>
      </c>
      <c r="R1647" s="4" t="e">
        <f>IF(AND(B1647=1,N1647&gt;'Line Follower'!$C$7,SUM(C1647:K1647)&lt;4),1,0)</f>
        <v>#N/A</v>
      </c>
      <c r="S1647" s="4" t="e">
        <f>IF(AND(L1647=1,N1647&lt;'Line Follower'!$C$6,SUM(C1647:K1647)&lt;4),1,0)</f>
        <v>#N/A</v>
      </c>
      <c r="T1647" s="4" t="e">
        <f t="shared" si="127"/>
        <v>#N/A</v>
      </c>
      <c r="U1647" s="5" t="e">
        <f t="shared" si="128"/>
        <v>#N/A</v>
      </c>
      <c r="V1647" s="23" t="e">
        <f t="shared" si="129"/>
        <v>#N/A</v>
      </c>
    </row>
    <row r="1648" spans="2:22" x14ac:dyDescent="0.25">
      <c r="B1648" s="16">
        <v>1</v>
      </c>
      <c r="C1648" s="7">
        <v>0</v>
      </c>
      <c r="D1648" s="8">
        <v>1</v>
      </c>
      <c r="E1648" s="8">
        <v>1</v>
      </c>
      <c r="F1648" s="8">
        <v>0</v>
      </c>
      <c r="G1648" s="8">
        <v>1</v>
      </c>
      <c r="H1648" s="8">
        <v>1</v>
      </c>
      <c r="I1648" s="8">
        <v>0</v>
      </c>
      <c r="J1648" s="8">
        <v>0</v>
      </c>
      <c r="K1648" s="9">
        <v>1</v>
      </c>
      <c r="L1648" s="10">
        <v>1</v>
      </c>
      <c r="M1648" s="6">
        <v>0</v>
      </c>
      <c r="N1648" s="37" t="e" cm="1">
        <f t="array" ref="N1648">IF(OR(ISNUMBER(FIND(Aux!$D$3:$D$9,_xlfn.TEXTJOIN(,,C1648:K1648)))),NA(),IF(AND(SUM(C1648:F1648,H1648:K1648)=0,G1648=1),0,INT((SUMPRODUCT(C1648:F1648,COLUMN($A$1:$D$1)-1)+SUMPRODUCT(H1648:K1648,COLUMN($E$1:$H$1)-1))*'Line Follower'!$C$3/SUM(C1648:F1648,H1648:K1648)-'Line Follower'!$C$5)))</f>
        <v>#N/A</v>
      </c>
      <c r="O1648" s="22" t="e">
        <v>#N/A</v>
      </c>
      <c r="P1648" s="4" t="e">
        <f t="shared" si="125"/>
        <v>#N/A</v>
      </c>
      <c r="Q1648" s="4" t="e">
        <f t="shared" si="126"/>
        <v>#N/A</v>
      </c>
      <c r="R1648" s="4" t="e">
        <f>IF(AND(B1648=1,N1648&gt;'Line Follower'!$C$7,SUM(C1648:K1648)&lt;4),1,0)</f>
        <v>#N/A</v>
      </c>
      <c r="S1648" s="4" t="e">
        <f>IF(AND(L1648=1,N1648&lt;'Line Follower'!$C$6,SUM(C1648:K1648)&lt;4),1,0)</f>
        <v>#N/A</v>
      </c>
      <c r="T1648" s="4" t="e">
        <f t="shared" si="127"/>
        <v>#N/A</v>
      </c>
      <c r="U1648" s="5" t="e">
        <f t="shared" si="128"/>
        <v>#N/A</v>
      </c>
      <c r="V1648" s="23" t="e">
        <f t="shared" si="129"/>
        <v>#N/A</v>
      </c>
    </row>
    <row r="1649" spans="2:22" x14ac:dyDescent="0.25">
      <c r="B1649" s="16">
        <v>0</v>
      </c>
      <c r="C1649" s="7">
        <v>1</v>
      </c>
      <c r="D1649" s="8">
        <v>1</v>
      </c>
      <c r="E1649" s="8">
        <v>1</v>
      </c>
      <c r="F1649" s="8">
        <v>0</v>
      </c>
      <c r="G1649" s="8">
        <v>1</v>
      </c>
      <c r="H1649" s="8">
        <v>1</v>
      </c>
      <c r="I1649" s="8">
        <v>0</v>
      </c>
      <c r="J1649" s="8">
        <v>0</v>
      </c>
      <c r="K1649" s="9">
        <v>1</v>
      </c>
      <c r="L1649" s="10">
        <v>1</v>
      </c>
      <c r="M1649" s="6">
        <v>0</v>
      </c>
      <c r="N1649" s="37" t="e" cm="1">
        <f t="array" ref="N1649">IF(OR(ISNUMBER(FIND(Aux!$D$3:$D$9,_xlfn.TEXTJOIN(,,C1649:K1649)))),NA(),IF(AND(SUM(C1649:F1649,H1649:K1649)=0,G1649=1),0,INT((SUMPRODUCT(C1649:F1649,COLUMN($A$1:$D$1)-1)+SUMPRODUCT(H1649:K1649,COLUMN($E$1:$H$1)-1))*'Line Follower'!$C$3/SUM(C1649:F1649,H1649:K1649)-'Line Follower'!$C$5)))</f>
        <v>#N/A</v>
      </c>
      <c r="O1649" s="22" t="e">
        <v>#N/A</v>
      </c>
      <c r="P1649" s="4" t="e">
        <f t="shared" si="125"/>
        <v>#N/A</v>
      </c>
      <c r="Q1649" s="4" t="e">
        <f t="shared" si="126"/>
        <v>#N/A</v>
      </c>
      <c r="R1649" s="4" t="e">
        <f>IF(AND(B1649=1,N1649&gt;'Line Follower'!$C$7,SUM(C1649:K1649)&lt;4),1,0)</f>
        <v>#N/A</v>
      </c>
      <c r="S1649" s="4" t="e">
        <f>IF(AND(L1649=1,N1649&lt;'Line Follower'!$C$6,SUM(C1649:K1649)&lt;4),1,0)</f>
        <v>#N/A</v>
      </c>
      <c r="T1649" s="4" t="e">
        <f t="shared" si="127"/>
        <v>#N/A</v>
      </c>
      <c r="U1649" s="5" t="e">
        <f t="shared" si="128"/>
        <v>#N/A</v>
      </c>
      <c r="V1649" s="23" t="e">
        <f t="shared" si="129"/>
        <v>#N/A</v>
      </c>
    </row>
    <row r="1650" spans="2:22" x14ac:dyDescent="0.25">
      <c r="B1650" s="16">
        <v>1</v>
      </c>
      <c r="C1650" s="7">
        <v>1</v>
      </c>
      <c r="D1650" s="8">
        <v>1</v>
      </c>
      <c r="E1650" s="8">
        <v>1</v>
      </c>
      <c r="F1650" s="8">
        <v>0</v>
      </c>
      <c r="G1650" s="8">
        <v>1</v>
      </c>
      <c r="H1650" s="8">
        <v>1</v>
      </c>
      <c r="I1650" s="8">
        <v>0</v>
      </c>
      <c r="J1650" s="8">
        <v>0</v>
      </c>
      <c r="K1650" s="9">
        <v>1</v>
      </c>
      <c r="L1650" s="10">
        <v>1</v>
      </c>
      <c r="M1650" s="6">
        <v>0</v>
      </c>
      <c r="N1650" s="37" t="e" cm="1">
        <f t="array" ref="N1650">IF(OR(ISNUMBER(FIND(Aux!$D$3:$D$9,_xlfn.TEXTJOIN(,,C1650:K1650)))),NA(),IF(AND(SUM(C1650:F1650,H1650:K1650)=0,G1650=1),0,INT((SUMPRODUCT(C1650:F1650,COLUMN($A$1:$D$1)-1)+SUMPRODUCT(H1650:K1650,COLUMN($E$1:$H$1)-1))*'Line Follower'!$C$3/SUM(C1650:F1650,H1650:K1650)-'Line Follower'!$C$5)))</f>
        <v>#N/A</v>
      </c>
      <c r="O1650" s="22" t="e">
        <v>#N/A</v>
      </c>
      <c r="P1650" s="4" t="e">
        <f t="shared" si="125"/>
        <v>#N/A</v>
      </c>
      <c r="Q1650" s="4" t="e">
        <f t="shared" si="126"/>
        <v>#N/A</v>
      </c>
      <c r="R1650" s="4" t="e">
        <f>IF(AND(B1650=1,N1650&gt;'Line Follower'!$C$7,SUM(C1650:K1650)&lt;4),1,0)</f>
        <v>#N/A</v>
      </c>
      <c r="S1650" s="4" t="e">
        <f>IF(AND(L1650=1,N1650&lt;'Line Follower'!$C$6,SUM(C1650:K1650)&lt;4),1,0)</f>
        <v>#N/A</v>
      </c>
      <c r="T1650" s="4" t="e">
        <f t="shared" si="127"/>
        <v>#N/A</v>
      </c>
      <c r="U1650" s="5" t="e">
        <f t="shared" si="128"/>
        <v>#N/A</v>
      </c>
      <c r="V1650" s="23" t="e">
        <f t="shared" si="129"/>
        <v>#N/A</v>
      </c>
    </row>
    <row r="1651" spans="2:22" x14ac:dyDescent="0.25">
      <c r="B1651" s="16">
        <v>0</v>
      </c>
      <c r="C1651" s="7">
        <v>0</v>
      </c>
      <c r="D1651" s="8">
        <v>0</v>
      </c>
      <c r="E1651" s="8">
        <v>0</v>
      </c>
      <c r="F1651" s="8">
        <v>1</v>
      </c>
      <c r="G1651" s="8">
        <v>1</v>
      </c>
      <c r="H1651" s="8">
        <v>1</v>
      </c>
      <c r="I1651" s="8">
        <v>0</v>
      </c>
      <c r="J1651" s="8">
        <v>0</v>
      </c>
      <c r="K1651" s="9">
        <v>1</v>
      </c>
      <c r="L1651" s="10">
        <v>1</v>
      </c>
      <c r="M1651" s="6">
        <v>0</v>
      </c>
      <c r="N1651" s="37" t="e" cm="1">
        <f t="array" ref="N1651">IF(OR(ISNUMBER(FIND(Aux!$D$3:$D$9,_xlfn.TEXTJOIN(,,C1651:K1651)))),NA(),IF(AND(SUM(C1651:F1651,H1651:K1651)=0,G1651=1),0,INT((SUMPRODUCT(C1651:F1651,COLUMN($A$1:$D$1)-1)+SUMPRODUCT(H1651:K1651,COLUMN($E$1:$H$1)-1))*'Line Follower'!$C$3/SUM(C1651:F1651,H1651:K1651)-'Line Follower'!$C$5)))</f>
        <v>#N/A</v>
      </c>
      <c r="O1651" s="22" t="e">
        <v>#N/A</v>
      </c>
      <c r="P1651" s="4" t="e">
        <f t="shared" si="125"/>
        <v>#N/A</v>
      </c>
      <c r="Q1651" s="4" t="e">
        <f t="shared" si="126"/>
        <v>#N/A</v>
      </c>
      <c r="R1651" s="4" t="e">
        <f>IF(AND(B1651=1,N1651&gt;'Line Follower'!$C$7,SUM(C1651:K1651)&lt;4),1,0)</f>
        <v>#N/A</v>
      </c>
      <c r="S1651" s="4" t="e">
        <f>IF(AND(L1651=1,N1651&lt;'Line Follower'!$C$6,SUM(C1651:K1651)&lt;4),1,0)</f>
        <v>#N/A</v>
      </c>
      <c r="T1651" s="4" t="e">
        <f t="shared" si="127"/>
        <v>#N/A</v>
      </c>
      <c r="U1651" s="5" t="e">
        <f t="shared" si="128"/>
        <v>#N/A</v>
      </c>
      <c r="V1651" s="23" t="e">
        <f t="shared" si="129"/>
        <v>#N/A</v>
      </c>
    </row>
    <row r="1652" spans="2:22" x14ac:dyDescent="0.25">
      <c r="B1652" s="16">
        <v>1</v>
      </c>
      <c r="C1652" s="7">
        <v>0</v>
      </c>
      <c r="D1652" s="8">
        <v>0</v>
      </c>
      <c r="E1652" s="8">
        <v>0</v>
      </c>
      <c r="F1652" s="8">
        <v>1</v>
      </c>
      <c r="G1652" s="8">
        <v>1</v>
      </c>
      <c r="H1652" s="8">
        <v>1</v>
      </c>
      <c r="I1652" s="8">
        <v>0</v>
      </c>
      <c r="J1652" s="8">
        <v>0</v>
      </c>
      <c r="K1652" s="9">
        <v>1</v>
      </c>
      <c r="L1652" s="10">
        <v>1</v>
      </c>
      <c r="M1652" s="6">
        <v>0</v>
      </c>
      <c r="N1652" s="37" t="e" cm="1">
        <f t="array" ref="N1652">IF(OR(ISNUMBER(FIND(Aux!$D$3:$D$9,_xlfn.TEXTJOIN(,,C1652:K1652)))),NA(),IF(AND(SUM(C1652:F1652,H1652:K1652)=0,G1652=1),0,INT((SUMPRODUCT(C1652:F1652,COLUMN($A$1:$D$1)-1)+SUMPRODUCT(H1652:K1652,COLUMN($E$1:$H$1)-1))*'Line Follower'!$C$3/SUM(C1652:F1652,H1652:K1652)-'Line Follower'!$C$5)))</f>
        <v>#N/A</v>
      </c>
      <c r="O1652" s="22" t="e">
        <v>#N/A</v>
      </c>
      <c r="P1652" s="4" t="e">
        <f t="shared" si="125"/>
        <v>#N/A</v>
      </c>
      <c r="Q1652" s="4" t="e">
        <f t="shared" si="126"/>
        <v>#N/A</v>
      </c>
      <c r="R1652" s="4" t="e">
        <f>IF(AND(B1652=1,N1652&gt;'Line Follower'!$C$7,SUM(C1652:K1652)&lt;4),1,0)</f>
        <v>#N/A</v>
      </c>
      <c r="S1652" s="4" t="e">
        <f>IF(AND(L1652=1,N1652&lt;'Line Follower'!$C$6,SUM(C1652:K1652)&lt;4),1,0)</f>
        <v>#N/A</v>
      </c>
      <c r="T1652" s="4" t="e">
        <f t="shared" si="127"/>
        <v>#N/A</v>
      </c>
      <c r="U1652" s="5" t="e">
        <f t="shared" si="128"/>
        <v>#N/A</v>
      </c>
      <c r="V1652" s="23" t="e">
        <f t="shared" si="129"/>
        <v>#N/A</v>
      </c>
    </row>
    <row r="1653" spans="2:22" x14ac:dyDescent="0.25">
      <c r="B1653" s="16">
        <v>0</v>
      </c>
      <c r="C1653" s="7">
        <v>1</v>
      </c>
      <c r="D1653" s="8">
        <v>0</v>
      </c>
      <c r="E1653" s="8">
        <v>0</v>
      </c>
      <c r="F1653" s="8">
        <v>1</v>
      </c>
      <c r="G1653" s="8">
        <v>1</v>
      </c>
      <c r="H1653" s="8">
        <v>1</v>
      </c>
      <c r="I1653" s="8">
        <v>0</v>
      </c>
      <c r="J1653" s="8">
        <v>0</v>
      </c>
      <c r="K1653" s="9">
        <v>1</v>
      </c>
      <c r="L1653" s="10">
        <v>1</v>
      </c>
      <c r="M1653" s="6">
        <v>0</v>
      </c>
      <c r="N1653" s="37" t="e" cm="1">
        <f t="array" ref="N1653">IF(OR(ISNUMBER(FIND(Aux!$D$3:$D$9,_xlfn.TEXTJOIN(,,C1653:K1653)))),NA(),IF(AND(SUM(C1653:F1653,H1653:K1653)=0,G1653=1),0,INT((SUMPRODUCT(C1653:F1653,COLUMN($A$1:$D$1)-1)+SUMPRODUCT(H1653:K1653,COLUMN($E$1:$H$1)-1))*'Line Follower'!$C$3/SUM(C1653:F1653,H1653:K1653)-'Line Follower'!$C$5)))</f>
        <v>#N/A</v>
      </c>
      <c r="O1653" s="22" t="e">
        <v>#N/A</v>
      </c>
      <c r="P1653" s="4" t="e">
        <f t="shared" si="125"/>
        <v>#N/A</v>
      </c>
      <c r="Q1653" s="4" t="e">
        <f t="shared" si="126"/>
        <v>#N/A</v>
      </c>
      <c r="R1653" s="4" t="e">
        <f>IF(AND(B1653=1,N1653&gt;'Line Follower'!$C$7,SUM(C1653:K1653)&lt;4),1,0)</f>
        <v>#N/A</v>
      </c>
      <c r="S1653" s="4" t="e">
        <f>IF(AND(L1653=1,N1653&lt;'Line Follower'!$C$6,SUM(C1653:K1653)&lt;4),1,0)</f>
        <v>#N/A</v>
      </c>
      <c r="T1653" s="4" t="e">
        <f t="shared" si="127"/>
        <v>#N/A</v>
      </c>
      <c r="U1653" s="5" t="e">
        <f t="shared" si="128"/>
        <v>#N/A</v>
      </c>
      <c r="V1653" s="23" t="e">
        <f t="shared" si="129"/>
        <v>#N/A</v>
      </c>
    </row>
    <row r="1654" spans="2:22" x14ac:dyDescent="0.25">
      <c r="B1654" s="16">
        <v>1</v>
      </c>
      <c r="C1654" s="7">
        <v>1</v>
      </c>
      <c r="D1654" s="8">
        <v>0</v>
      </c>
      <c r="E1654" s="8">
        <v>0</v>
      </c>
      <c r="F1654" s="8">
        <v>1</v>
      </c>
      <c r="G1654" s="8">
        <v>1</v>
      </c>
      <c r="H1654" s="8">
        <v>1</v>
      </c>
      <c r="I1654" s="8">
        <v>0</v>
      </c>
      <c r="J1654" s="8">
        <v>0</v>
      </c>
      <c r="K1654" s="9">
        <v>1</v>
      </c>
      <c r="L1654" s="10">
        <v>1</v>
      </c>
      <c r="M1654" s="6">
        <v>0</v>
      </c>
      <c r="N1654" s="37" t="e" cm="1">
        <f t="array" ref="N1654">IF(OR(ISNUMBER(FIND(Aux!$D$3:$D$9,_xlfn.TEXTJOIN(,,C1654:K1654)))),NA(),IF(AND(SUM(C1654:F1654,H1654:K1654)=0,G1654=1),0,INT((SUMPRODUCT(C1654:F1654,COLUMN($A$1:$D$1)-1)+SUMPRODUCT(H1654:K1654,COLUMN($E$1:$H$1)-1))*'Line Follower'!$C$3/SUM(C1654:F1654,H1654:K1654)-'Line Follower'!$C$5)))</f>
        <v>#N/A</v>
      </c>
      <c r="O1654" s="22" t="e">
        <v>#N/A</v>
      </c>
      <c r="P1654" s="4" t="e">
        <f t="shared" si="125"/>
        <v>#N/A</v>
      </c>
      <c r="Q1654" s="4" t="e">
        <f t="shared" si="126"/>
        <v>#N/A</v>
      </c>
      <c r="R1654" s="4" t="e">
        <f>IF(AND(B1654=1,N1654&gt;'Line Follower'!$C$7,SUM(C1654:K1654)&lt;4),1,0)</f>
        <v>#N/A</v>
      </c>
      <c r="S1654" s="4" t="e">
        <f>IF(AND(L1654=1,N1654&lt;'Line Follower'!$C$6,SUM(C1654:K1654)&lt;4),1,0)</f>
        <v>#N/A</v>
      </c>
      <c r="T1654" s="4" t="e">
        <f t="shared" si="127"/>
        <v>#N/A</v>
      </c>
      <c r="U1654" s="5" t="e">
        <f t="shared" si="128"/>
        <v>#N/A</v>
      </c>
      <c r="V1654" s="23" t="e">
        <f t="shared" si="129"/>
        <v>#N/A</v>
      </c>
    </row>
    <row r="1655" spans="2:22" x14ac:dyDescent="0.25">
      <c r="B1655" s="16">
        <v>0</v>
      </c>
      <c r="C1655" s="7">
        <v>0</v>
      </c>
      <c r="D1655" s="8">
        <v>1</v>
      </c>
      <c r="E1655" s="8">
        <v>0</v>
      </c>
      <c r="F1655" s="8">
        <v>1</v>
      </c>
      <c r="G1655" s="8">
        <v>1</v>
      </c>
      <c r="H1655" s="8">
        <v>1</v>
      </c>
      <c r="I1655" s="8">
        <v>0</v>
      </c>
      <c r="J1655" s="8">
        <v>0</v>
      </c>
      <c r="K1655" s="9">
        <v>1</v>
      </c>
      <c r="L1655" s="10">
        <v>1</v>
      </c>
      <c r="M1655" s="6">
        <v>0</v>
      </c>
      <c r="N1655" s="37" t="e" cm="1">
        <f t="array" ref="N1655">IF(OR(ISNUMBER(FIND(Aux!$D$3:$D$9,_xlfn.TEXTJOIN(,,C1655:K1655)))),NA(),IF(AND(SUM(C1655:F1655,H1655:K1655)=0,G1655=1),0,INT((SUMPRODUCT(C1655:F1655,COLUMN($A$1:$D$1)-1)+SUMPRODUCT(H1655:K1655,COLUMN($E$1:$H$1)-1))*'Line Follower'!$C$3/SUM(C1655:F1655,H1655:K1655)-'Line Follower'!$C$5)))</f>
        <v>#N/A</v>
      </c>
      <c r="O1655" s="22" t="e">
        <v>#N/A</v>
      </c>
      <c r="P1655" s="4" t="e">
        <f t="shared" si="125"/>
        <v>#N/A</v>
      </c>
      <c r="Q1655" s="4" t="e">
        <f t="shared" si="126"/>
        <v>#N/A</v>
      </c>
      <c r="R1655" s="4" t="e">
        <f>IF(AND(B1655=1,N1655&gt;'Line Follower'!$C$7,SUM(C1655:K1655)&lt;4),1,0)</f>
        <v>#N/A</v>
      </c>
      <c r="S1655" s="4" t="e">
        <f>IF(AND(L1655=1,N1655&lt;'Line Follower'!$C$6,SUM(C1655:K1655)&lt;4),1,0)</f>
        <v>#N/A</v>
      </c>
      <c r="T1655" s="4" t="e">
        <f t="shared" si="127"/>
        <v>#N/A</v>
      </c>
      <c r="U1655" s="5" t="e">
        <f t="shared" si="128"/>
        <v>#N/A</v>
      </c>
      <c r="V1655" s="23" t="e">
        <f t="shared" si="129"/>
        <v>#N/A</v>
      </c>
    </row>
    <row r="1656" spans="2:22" x14ac:dyDescent="0.25">
      <c r="B1656" s="16">
        <v>1</v>
      </c>
      <c r="C1656" s="7">
        <v>0</v>
      </c>
      <c r="D1656" s="8">
        <v>1</v>
      </c>
      <c r="E1656" s="8">
        <v>0</v>
      </c>
      <c r="F1656" s="8">
        <v>1</v>
      </c>
      <c r="G1656" s="8">
        <v>1</v>
      </c>
      <c r="H1656" s="8">
        <v>1</v>
      </c>
      <c r="I1656" s="8">
        <v>0</v>
      </c>
      <c r="J1656" s="8">
        <v>0</v>
      </c>
      <c r="K1656" s="9">
        <v>1</v>
      </c>
      <c r="L1656" s="10">
        <v>1</v>
      </c>
      <c r="M1656" s="6">
        <v>0</v>
      </c>
      <c r="N1656" s="37" t="e" cm="1">
        <f t="array" ref="N1656">IF(OR(ISNUMBER(FIND(Aux!$D$3:$D$9,_xlfn.TEXTJOIN(,,C1656:K1656)))),NA(),IF(AND(SUM(C1656:F1656,H1656:K1656)=0,G1656=1),0,INT((SUMPRODUCT(C1656:F1656,COLUMN($A$1:$D$1)-1)+SUMPRODUCT(H1656:K1656,COLUMN($E$1:$H$1)-1))*'Line Follower'!$C$3/SUM(C1656:F1656,H1656:K1656)-'Line Follower'!$C$5)))</f>
        <v>#N/A</v>
      </c>
      <c r="O1656" s="22" t="e">
        <v>#N/A</v>
      </c>
      <c r="P1656" s="4" t="e">
        <f t="shared" si="125"/>
        <v>#N/A</v>
      </c>
      <c r="Q1656" s="4" t="e">
        <f t="shared" si="126"/>
        <v>#N/A</v>
      </c>
      <c r="R1656" s="4" t="e">
        <f>IF(AND(B1656=1,N1656&gt;'Line Follower'!$C$7,SUM(C1656:K1656)&lt;4),1,0)</f>
        <v>#N/A</v>
      </c>
      <c r="S1656" s="4" t="e">
        <f>IF(AND(L1656=1,N1656&lt;'Line Follower'!$C$6,SUM(C1656:K1656)&lt;4),1,0)</f>
        <v>#N/A</v>
      </c>
      <c r="T1656" s="4" t="e">
        <f t="shared" si="127"/>
        <v>#N/A</v>
      </c>
      <c r="U1656" s="5" t="e">
        <f t="shared" si="128"/>
        <v>#N/A</v>
      </c>
      <c r="V1656" s="23" t="e">
        <f t="shared" si="129"/>
        <v>#N/A</v>
      </c>
    </row>
    <row r="1657" spans="2:22" x14ac:dyDescent="0.25">
      <c r="B1657" s="16">
        <v>0</v>
      </c>
      <c r="C1657" s="7">
        <v>1</v>
      </c>
      <c r="D1657" s="8">
        <v>1</v>
      </c>
      <c r="E1657" s="8">
        <v>0</v>
      </c>
      <c r="F1657" s="8">
        <v>1</v>
      </c>
      <c r="G1657" s="8">
        <v>1</v>
      </c>
      <c r="H1657" s="8">
        <v>1</v>
      </c>
      <c r="I1657" s="8">
        <v>0</v>
      </c>
      <c r="J1657" s="8">
        <v>0</v>
      </c>
      <c r="K1657" s="9">
        <v>1</v>
      </c>
      <c r="L1657" s="10">
        <v>1</v>
      </c>
      <c r="M1657" s="6">
        <v>0</v>
      </c>
      <c r="N1657" s="37" t="e" cm="1">
        <f t="array" ref="N1657">IF(OR(ISNUMBER(FIND(Aux!$D$3:$D$9,_xlfn.TEXTJOIN(,,C1657:K1657)))),NA(),IF(AND(SUM(C1657:F1657,H1657:K1657)=0,G1657=1),0,INT((SUMPRODUCT(C1657:F1657,COLUMN($A$1:$D$1)-1)+SUMPRODUCT(H1657:K1657,COLUMN($E$1:$H$1)-1))*'Line Follower'!$C$3/SUM(C1657:F1657,H1657:K1657)-'Line Follower'!$C$5)))</f>
        <v>#N/A</v>
      </c>
      <c r="O1657" s="22" t="e">
        <v>#N/A</v>
      </c>
      <c r="P1657" s="4" t="e">
        <f t="shared" si="125"/>
        <v>#N/A</v>
      </c>
      <c r="Q1657" s="4" t="e">
        <f t="shared" si="126"/>
        <v>#N/A</v>
      </c>
      <c r="R1657" s="4" t="e">
        <f>IF(AND(B1657=1,N1657&gt;'Line Follower'!$C$7,SUM(C1657:K1657)&lt;4),1,0)</f>
        <v>#N/A</v>
      </c>
      <c r="S1657" s="4" t="e">
        <f>IF(AND(L1657=1,N1657&lt;'Line Follower'!$C$6,SUM(C1657:K1657)&lt;4),1,0)</f>
        <v>#N/A</v>
      </c>
      <c r="T1657" s="4" t="e">
        <f t="shared" si="127"/>
        <v>#N/A</v>
      </c>
      <c r="U1657" s="5" t="e">
        <f t="shared" si="128"/>
        <v>#N/A</v>
      </c>
      <c r="V1657" s="23" t="e">
        <f t="shared" si="129"/>
        <v>#N/A</v>
      </c>
    </row>
    <row r="1658" spans="2:22" x14ac:dyDescent="0.25">
      <c r="B1658" s="16">
        <v>1</v>
      </c>
      <c r="C1658" s="7">
        <v>1</v>
      </c>
      <c r="D1658" s="8">
        <v>1</v>
      </c>
      <c r="E1658" s="8">
        <v>0</v>
      </c>
      <c r="F1658" s="8">
        <v>1</v>
      </c>
      <c r="G1658" s="8">
        <v>1</v>
      </c>
      <c r="H1658" s="8">
        <v>1</v>
      </c>
      <c r="I1658" s="8">
        <v>0</v>
      </c>
      <c r="J1658" s="8">
        <v>0</v>
      </c>
      <c r="K1658" s="9">
        <v>1</v>
      </c>
      <c r="L1658" s="10">
        <v>1</v>
      </c>
      <c r="M1658" s="6">
        <v>0</v>
      </c>
      <c r="N1658" s="37" t="e" cm="1">
        <f t="array" ref="N1658">IF(OR(ISNUMBER(FIND(Aux!$D$3:$D$9,_xlfn.TEXTJOIN(,,C1658:K1658)))),NA(),IF(AND(SUM(C1658:F1658,H1658:K1658)=0,G1658=1),0,INT((SUMPRODUCT(C1658:F1658,COLUMN($A$1:$D$1)-1)+SUMPRODUCT(H1658:K1658,COLUMN($E$1:$H$1)-1))*'Line Follower'!$C$3/SUM(C1658:F1658,H1658:K1658)-'Line Follower'!$C$5)))</f>
        <v>#N/A</v>
      </c>
      <c r="O1658" s="22" t="e">
        <v>#N/A</v>
      </c>
      <c r="P1658" s="4" t="e">
        <f t="shared" si="125"/>
        <v>#N/A</v>
      </c>
      <c r="Q1658" s="4" t="e">
        <f t="shared" si="126"/>
        <v>#N/A</v>
      </c>
      <c r="R1658" s="4" t="e">
        <f>IF(AND(B1658=1,N1658&gt;'Line Follower'!$C$7,SUM(C1658:K1658)&lt;4),1,0)</f>
        <v>#N/A</v>
      </c>
      <c r="S1658" s="4" t="e">
        <f>IF(AND(L1658=1,N1658&lt;'Line Follower'!$C$6,SUM(C1658:K1658)&lt;4),1,0)</f>
        <v>#N/A</v>
      </c>
      <c r="T1658" s="4" t="e">
        <f t="shared" si="127"/>
        <v>#N/A</v>
      </c>
      <c r="U1658" s="5" t="e">
        <f t="shared" si="128"/>
        <v>#N/A</v>
      </c>
      <c r="V1658" s="23" t="e">
        <f t="shared" si="129"/>
        <v>#N/A</v>
      </c>
    </row>
    <row r="1659" spans="2:22" x14ac:dyDescent="0.25">
      <c r="B1659" s="16">
        <v>0</v>
      </c>
      <c r="C1659" s="7">
        <v>0</v>
      </c>
      <c r="D1659" s="8">
        <v>0</v>
      </c>
      <c r="E1659" s="8">
        <v>1</v>
      </c>
      <c r="F1659" s="8">
        <v>1</v>
      </c>
      <c r="G1659" s="8">
        <v>1</v>
      </c>
      <c r="H1659" s="8">
        <v>1</v>
      </c>
      <c r="I1659" s="8">
        <v>0</v>
      </c>
      <c r="J1659" s="8">
        <v>0</v>
      </c>
      <c r="K1659" s="9">
        <v>1</v>
      </c>
      <c r="L1659" s="10">
        <v>1</v>
      </c>
      <c r="M1659" s="6">
        <v>0</v>
      </c>
      <c r="N1659" s="37" t="e" cm="1">
        <f t="array" ref="N1659">IF(OR(ISNUMBER(FIND(Aux!$D$3:$D$9,_xlfn.TEXTJOIN(,,C1659:K1659)))),NA(),IF(AND(SUM(C1659:F1659,H1659:K1659)=0,G1659=1),0,INT((SUMPRODUCT(C1659:F1659,COLUMN($A$1:$D$1)-1)+SUMPRODUCT(H1659:K1659,COLUMN($E$1:$H$1)-1))*'Line Follower'!$C$3/SUM(C1659:F1659,H1659:K1659)-'Line Follower'!$C$5)))</f>
        <v>#N/A</v>
      </c>
      <c r="O1659" s="22" t="e">
        <v>#N/A</v>
      </c>
      <c r="P1659" s="4" t="e">
        <f t="shared" si="125"/>
        <v>#N/A</v>
      </c>
      <c r="Q1659" s="4" t="e">
        <f t="shared" si="126"/>
        <v>#N/A</v>
      </c>
      <c r="R1659" s="4" t="e">
        <f>IF(AND(B1659=1,N1659&gt;'Line Follower'!$C$7,SUM(C1659:K1659)&lt;4),1,0)</f>
        <v>#N/A</v>
      </c>
      <c r="S1659" s="4" t="e">
        <f>IF(AND(L1659=1,N1659&lt;'Line Follower'!$C$6,SUM(C1659:K1659)&lt;4),1,0)</f>
        <v>#N/A</v>
      </c>
      <c r="T1659" s="4" t="e">
        <f t="shared" si="127"/>
        <v>#N/A</v>
      </c>
      <c r="U1659" s="5" t="e">
        <f t="shared" si="128"/>
        <v>#N/A</v>
      </c>
      <c r="V1659" s="23" t="e">
        <f t="shared" si="129"/>
        <v>#N/A</v>
      </c>
    </row>
    <row r="1660" spans="2:22" x14ac:dyDescent="0.25">
      <c r="B1660" s="16">
        <v>1</v>
      </c>
      <c r="C1660" s="7">
        <v>0</v>
      </c>
      <c r="D1660" s="8">
        <v>0</v>
      </c>
      <c r="E1660" s="8">
        <v>1</v>
      </c>
      <c r="F1660" s="8">
        <v>1</v>
      </c>
      <c r="G1660" s="8">
        <v>1</v>
      </c>
      <c r="H1660" s="8">
        <v>1</v>
      </c>
      <c r="I1660" s="8">
        <v>0</v>
      </c>
      <c r="J1660" s="8">
        <v>0</v>
      </c>
      <c r="K1660" s="9">
        <v>1</v>
      </c>
      <c r="L1660" s="10">
        <v>1</v>
      </c>
      <c r="M1660" s="6">
        <v>0</v>
      </c>
      <c r="N1660" s="37" t="e" cm="1">
        <f t="array" ref="N1660">IF(OR(ISNUMBER(FIND(Aux!$D$3:$D$9,_xlfn.TEXTJOIN(,,C1660:K1660)))),NA(),IF(AND(SUM(C1660:F1660,H1660:K1660)=0,G1660=1),0,INT((SUMPRODUCT(C1660:F1660,COLUMN($A$1:$D$1)-1)+SUMPRODUCT(H1660:K1660,COLUMN($E$1:$H$1)-1))*'Line Follower'!$C$3/SUM(C1660:F1660,H1660:K1660)-'Line Follower'!$C$5)))</f>
        <v>#N/A</v>
      </c>
      <c r="O1660" s="22" t="e">
        <v>#N/A</v>
      </c>
      <c r="P1660" s="4" t="e">
        <f t="shared" si="125"/>
        <v>#N/A</v>
      </c>
      <c r="Q1660" s="4" t="e">
        <f t="shared" si="126"/>
        <v>#N/A</v>
      </c>
      <c r="R1660" s="4" t="e">
        <f>IF(AND(B1660=1,N1660&gt;'Line Follower'!$C$7,SUM(C1660:K1660)&lt;4),1,0)</f>
        <v>#N/A</v>
      </c>
      <c r="S1660" s="4" t="e">
        <f>IF(AND(L1660=1,N1660&lt;'Line Follower'!$C$6,SUM(C1660:K1660)&lt;4),1,0)</f>
        <v>#N/A</v>
      </c>
      <c r="T1660" s="4" t="e">
        <f t="shared" si="127"/>
        <v>#N/A</v>
      </c>
      <c r="U1660" s="5" t="e">
        <f t="shared" si="128"/>
        <v>#N/A</v>
      </c>
      <c r="V1660" s="23" t="e">
        <f t="shared" si="129"/>
        <v>#N/A</v>
      </c>
    </row>
    <row r="1661" spans="2:22" x14ac:dyDescent="0.25">
      <c r="B1661" s="16">
        <v>0</v>
      </c>
      <c r="C1661" s="7">
        <v>1</v>
      </c>
      <c r="D1661" s="8">
        <v>0</v>
      </c>
      <c r="E1661" s="8">
        <v>1</v>
      </c>
      <c r="F1661" s="8">
        <v>1</v>
      </c>
      <c r="G1661" s="8">
        <v>1</v>
      </c>
      <c r="H1661" s="8">
        <v>1</v>
      </c>
      <c r="I1661" s="8">
        <v>0</v>
      </c>
      <c r="J1661" s="8">
        <v>0</v>
      </c>
      <c r="K1661" s="9">
        <v>1</v>
      </c>
      <c r="L1661" s="10">
        <v>1</v>
      </c>
      <c r="M1661" s="6">
        <v>0</v>
      </c>
      <c r="N1661" s="37" t="e" cm="1">
        <f t="array" ref="N1661">IF(OR(ISNUMBER(FIND(Aux!$D$3:$D$9,_xlfn.TEXTJOIN(,,C1661:K1661)))),NA(),IF(AND(SUM(C1661:F1661,H1661:K1661)=0,G1661=1),0,INT((SUMPRODUCT(C1661:F1661,COLUMN($A$1:$D$1)-1)+SUMPRODUCT(H1661:K1661,COLUMN($E$1:$H$1)-1))*'Line Follower'!$C$3/SUM(C1661:F1661,H1661:K1661)-'Line Follower'!$C$5)))</f>
        <v>#N/A</v>
      </c>
      <c r="O1661" s="22" t="e">
        <v>#N/A</v>
      </c>
      <c r="P1661" s="4" t="e">
        <f t="shared" si="125"/>
        <v>#N/A</v>
      </c>
      <c r="Q1661" s="4" t="e">
        <f t="shared" si="126"/>
        <v>#N/A</v>
      </c>
      <c r="R1661" s="4" t="e">
        <f>IF(AND(B1661=1,N1661&gt;'Line Follower'!$C$7,SUM(C1661:K1661)&lt;4),1,0)</f>
        <v>#N/A</v>
      </c>
      <c r="S1661" s="4" t="e">
        <f>IF(AND(L1661=1,N1661&lt;'Line Follower'!$C$6,SUM(C1661:K1661)&lt;4),1,0)</f>
        <v>#N/A</v>
      </c>
      <c r="T1661" s="4" t="e">
        <f t="shared" si="127"/>
        <v>#N/A</v>
      </c>
      <c r="U1661" s="5" t="e">
        <f t="shared" si="128"/>
        <v>#N/A</v>
      </c>
      <c r="V1661" s="23" t="e">
        <f t="shared" si="129"/>
        <v>#N/A</v>
      </c>
    </row>
    <row r="1662" spans="2:22" x14ac:dyDescent="0.25">
      <c r="B1662" s="16">
        <v>1</v>
      </c>
      <c r="C1662" s="7">
        <v>1</v>
      </c>
      <c r="D1662" s="8">
        <v>0</v>
      </c>
      <c r="E1662" s="8">
        <v>1</v>
      </c>
      <c r="F1662" s="8">
        <v>1</v>
      </c>
      <c r="G1662" s="8">
        <v>1</v>
      </c>
      <c r="H1662" s="8">
        <v>1</v>
      </c>
      <c r="I1662" s="8">
        <v>0</v>
      </c>
      <c r="J1662" s="8">
        <v>0</v>
      </c>
      <c r="K1662" s="9">
        <v>1</v>
      </c>
      <c r="L1662" s="10">
        <v>1</v>
      </c>
      <c r="M1662" s="6">
        <v>0</v>
      </c>
      <c r="N1662" s="37" t="e" cm="1">
        <f t="array" ref="N1662">IF(OR(ISNUMBER(FIND(Aux!$D$3:$D$9,_xlfn.TEXTJOIN(,,C1662:K1662)))),NA(),IF(AND(SUM(C1662:F1662,H1662:K1662)=0,G1662=1),0,INT((SUMPRODUCT(C1662:F1662,COLUMN($A$1:$D$1)-1)+SUMPRODUCT(H1662:K1662,COLUMN($E$1:$H$1)-1))*'Line Follower'!$C$3/SUM(C1662:F1662,H1662:K1662)-'Line Follower'!$C$5)))</f>
        <v>#N/A</v>
      </c>
      <c r="O1662" s="22" t="e">
        <v>#N/A</v>
      </c>
      <c r="P1662" s="4" t="e">
        <f t="shared" si="125"/>
        <v>#N/A</v>
      </c>
      <c r="Q1662" s="4" t="e">
        <f t="shared" si="126"/>
        <v>#N/A</v>
      </c>
      <c r="R1662" s="4" t="e">
        <f>IF(AND(B1662=1,N1662&gt;'Line Follower'!$C$7,SUM(C1662:K1662)&lt;4),1,0)</f>
        <v>#N/A</v>
      </c>
      <c r="S1662" s="4" t="e">
        <f>IF(AND(L1662=1,N1662&lt;'Line Follower'!$C$6,SUM(C1662:K1662)&lt;4),1,0)</f>
        <v>#N/A</v>
      </c>
      <c r="T1662" s="4" t="e">
        <f t="shared" si="127"/>
        <v>#N/A</v>
      </c>
      <c r="U1662" s="5" t="e">
        <f t="shared" si="128"/>
        <v>#N/A</v>
      </c>
      <c r="V1662" s="23" t="e">
        <f t="shared" si="129"/>
        <v>#N/A</v>
      </c>
    </row>
    <row r="1663" spans="2:22" x14ac:dyDescent="0.25">
      <c r="B1663" s="16">
        <v>0</v>
      </c>
      <c r="C1663" s="7">
        <v>0</v>
      </c>
      <c r="D1663" s="8">
        <v>1</v>
      </c>
      <c r="E1663" s="8">
        <v>1</v>
      </c>
      <c r="F1663" s="8">
        <v>1</v>
      </c>
      <c r="G1663" s="8">
        <v>1</v>
      </c>
      <c r="H1663" s="8">
        <v>1</v>
      </c>
      <c r="I1663" s="8">
        <v>0</v>
      </c>
      <c r="J1663" s="8">
        <v>0</v>
      </c>
      <c r="K1663" s="9">
        <v>1</v>
      </c>
      <c r="L1663" s="10">
        <v>1</v>
      </c>
      <c r="M1663" s="6">
        <v>0</v>
      </c>
      <c r="N1663" s="37" t="e" cm="1">
        <f t="array" ref="N1663">IF(OR(ISNUMBER(FIND(Aux!$D$3:$D$9,_xlfn.TEXTJOIN(,,C1663:K1663)))),NA(),IF(AND(SUM(C1663:F1663,H1663:K1663)=0,G1663=1),0,INT((SUMPRODUCT(C1663:F1663,COLUMN($A$1:$D$1)-1)+SUMPRODUCT(H1663:K1663,COLUMN($E$1:$H$1)-1))*'Line Follower'!$C$3/SUM(C1663:F1663,H1663:K1663)-'Line Follower'!$C$5)))</f>
        <v>#N/A</v>
      </c>
      <c r="O1663" s="22" t="e">
        <v>#N/A</v>
      </c>
      <c r="P1663" s="4" t="e">
        <f t="shared" si="125"/>
        <v>#N/A</v>
      </c>
      <c r="Q1663" s="4" t="e">
        <f t="shared" si="126"/>
        <v>#N/A</v>
      </c>
      <c r="R1663" s="4" t="e">
        <f>IF(AND(B1663=1,N1663&gt;'Line Follower'!$C$7,SUM(C1663:K1663)&lt;4),1,0)</f>
        <v>#N/A</v>
      </c>
      <c r="S1663" s="4" t="e">
        <f>IF(AND(L1663=1,N1663&lt;'Line Follower'!$C$6,SUM(C1663:K1663)&lt;4),1,0)</f>
        <v>#N/A</v>
      </c>
      <c r="T1663" s="4" t="e">
        <f t="shared" si="127"/>
        <v>#N/A</v>
      </c>
      <c r="U1663" s="5" t="e">
        <f t="shared" si="128"/>
        <v>#N/A</v>
      </c>
      <c r="V1663" s="23" t="e">
        <f t="shared" si="129"/>
        <v>#N/A</v>
      </c>
    </row>
    <row r="1664" spans="2:22" x14ac:dyDescent="0.25">
      <c r="B1664" s="16">
        <v>1</v>
      </c>
      <c r="C1664" s="7">
        <v>0</v>
      </c>
      <c r="D1664" s="8">
        <v>1</v>
      </c>
      <c r="E1664" s="8">
        <v>1</v>
      </c>
      <c r="F1664" s="8">
        <v>1</v>
      </c>
      <c r="G1664" s="8">
        <v>1</v>
      </c>
      <c r="H1664" s="8">
        <v>1</v>
      </c>
      <c r="I1664" s="8">
        <v>0</v>
      </c>
      <c r="J1664" s="8">
        <v>0</v>
      </c>
      <c r="K1664" s="9">
        <v>1</v>
      </c>
      <c r="L1664" s="10">
        <v>1</v>
      </c>
      <c r="M1664" s="6">
        <v>0</v>
      </c>
      <c r="N1664" s="37" t="e" cm="1">
        <f t="array" ref="N1664">IF(OR(ISNUMBER(FIND(Aux!$D$3:$D$9,_xlfn.TEXTJOIN(,,C1664:K1664)))),NA(),IF(AND(SUM(C1664:F1664,H1664:K1664)=0,G1664=1),0,INT((SUMPRODUCT(C1664:F1664,COLUMN($A$1:$D$1)-1)+SUMPRODUCT(H1664:K1664,COLUMN($E$1:$H$1)-1))*'Line Follower'!$C$3/SUM(C1664:F1664,H1664:K1664)-'Line Follower'!$C$5)))</f>
        <v>#N/A</v>
      </c>
      <c r="O1664" s="22" t="e">
        <v>#N/A</v>
      </c>
      <c r="P1664" s="4" t="e">
        <f t="shared" si="125"/>
        <v>#N/A</v>
      </c>
      <c r="Q1664" s="4" t="e">
        <f t="shared" si="126"/>
        <v>#N/A</v>
      </c>
      <c r="R1664" s="4" t="e">
        <f>IF(AND(B1664=1,N1664&gt;'Line Follower'!$C$7,SUM(C1664:K1664)&lt;4),1,0)</f>
        <v>#N/A</v>
      </c>
      <c r="S1664" s="4" t="e">
        <f>IF(AND(L1664=1,N1664&lt;'Line Follower'!$C$6,SUM(C1664:K1664)&lt;4),1,0)</f>
        <v>#N/A</v>
      </c>
      <c r="T1664" s="4" t="e">
        <f t="shared" si="127"/>
        <v>#N/A</v>
      </c>
      <c r="U1664" s="5" t="e">
        <f t="shared" si="128"/>
        <v>#N/A</v>
      </c>
      <c r="V1664" s="23" t="e">
        <f t="shared" si="129"/>
        <v>#N/A</v>
      </c>
    </row>
    <row r="1665" spans="2:22" x14ac:dyDescent="0.25">
      <c r="B1665" s="16">
        <v>0</v>
      </c>
      <c r="C1665" s="7">
        <v>1</v>
      </c>
      <c r="D1665" s="8">
        <v>1</v>
      </c>
      <c r="E1665" s="8">
        <v>1</v>
      </c>
      <c r="F1665" s="8">
        <v>1</v>
      </c>
      <c r="G1665" s="8">
        <v>1</v>
      </c>
      <c r="H1665" s="8">
        <v>1</v>
      </c>
      <c r="I1665" s="8">
        <v>0</v>
      </c>
      <c r="J1665" s="8">
        <v>0</v>
      </c>
      <c r="K1665" s="9">
        <v>1</v>
      </c>
      <c r="L1665" s="10">
        <v>1</v>
      </c>
      <c r="M1665" s="6">
        <v>0</v>
      </c>
      <c r="N1665" s="37" t="e" cm="1">
        <f t="array" ref="N1665">IF(OR(ISNUMBER(FIND(Aux!$D$3:$D$9,_xlfn.TEXTJOIN(,,C1665:K1665)))),NA(),IF(AND(SUM(C1665:F1665,H1665:K1665)=0,G1665=1),0,INT((SUMPRODUCT(C1665:F1665,COLUMN($A$1:$D$1)-1)+SUMPRODUCT(H1665:K1665,COLUMN($E$1:$H$1)-1))*'Line Follower'!$C$3/SUM(C1665:F1665,H1665:K1665)-'Line Follower'!$C$5)))</f>
        <v>#N/A</v>
      </c>
      <c r="O1665" s="22" t="e">
        <v>#N/A</v>
      </c>
      <c r="P1665" s="4" t="e">
        <f t="shared" si="125"/>
        <v>#N/A</v>
      </c>
      <c r="Q1665" s="4" t="e">
        <f t="shared" si="126"/>
        <v>#N/A</v>
      </c>
      <c r="R1665" s="4" t="e">
        <f>IF(AND(B1665=1,N1665&gt;'Line Follower'!$C$7,SUM(C1665:K1665)&lt;4),1,0)</f>
        <v>#N/A</v>
      </c>
      <c r="S1665" s="4" t="e">
        <f>IF(AND(L1665=1,N1665&lt;'Line Follower'!$C$6,SUM(C1665:K1665)&lt;4),1,0)</f>
        <v>#N/A</v>
      </c>
      <c r="T1665" s="4" t="e">
        <f t="shared" si="127"/>
        <v>#N/A</v>
      </c>
      <c r="U1665" s="5" t="e">
        <f t="shared" si="128"/>
        <v>#N/A</v>
      </c>
      <c r="V1665" s="23" t="e">
        <f t="shared" si="129"/>
        <v>#N/A</v>
      </c>
    </row>
    <row r="1666" spans="2:22" x14ac:dyDescent="0.25">
      <c r="B1666" s="16">
        <v>1</v>
      </c>
      <c r="C1666" s="7">
        <v>1</v>
      </c>
      <c r="D1666" s="8">
        <v>1</v>
      </c>
      <c r="E1666" s="8">
        <v>1</v>
      </c>
      <c r="F1666" s="8">
        <v>1</v>
      </c>
      <c r="G1666" s="8">
        <v>1</v>
      </c>
      <c r="H1666" s="8">
        <v>1</v>
      </c>
      <c r="I1666" s="8">
        <v>0</v>
      </c>
      <c r="J1666" s="8">
        <v>0</v>
      </c>
      <c r="K1666" s="9">
        <v>1</v>
      </c>
      <c r="L1666" s="10">
        <v>1</v>
      </c>
      <c r="M1666" s="6">
        <v>0</v>
      </c>
      <c r="N1666" s="37" t="e" cm="1">
        <f t="array" ref="N1666">IF(OR(ISNUMBER(FIND(Aux!$D$3:$D$9,_xlfn.TEXTJOIN(,,C1666:K1666)))),NA(),IF(AND(SUM(C1666:F1666,H1666:K1666)=0,G1666=1),0,INT((SUMPRODUCT(C1666:F1666,COLUMN($A$1:$D$1)-1)+SUMPRODUCT(H1666:K1666,COLUMN($E$1:$H$1)-1))*'Line Follower'!$C$3/SUM(C1666:F1666,H1666:K1666)-'Line Follower'!$C$5)))</f>
        <v>#N/A</v>
      </c>
      <c r="O1666" s="22" t="e">
        <v>#N/A</v>
      </c>
      <c r="P1666" s="4" t="e">
        <f t="shared" si="125"/>
        <v>#N/A</v>
      </c>
      <c r="Q1666" s="4" t="e">
        <f t="shared" si="126"/>
        <v>#N/A</v>
      </c>
      <c r="R1666" s="4" t="e">
        <f>IF(AND(B1666=1,N1666&gt;'Line Follower'!$C$7,SUM(C1666:K1666)&lt;4),1,0)</f>
        <v>#N/A</v>
      </c>
      <c r="S1666" s="4" t="e">
        <f>IF(AND(L1666=1,N1666&lt;'Line Follower'!$C$6,SUM(C1666:K1666)&lt;4),1,0)</f>
        <v>#N/A</v>
      </c>
      <c r="T1666" s="4" t="e">
        <f t="shared" si="127"/>
        <v>#N/A</v>
      </c>
      <c r="U1666" s="5" t="e">
        <f t="shared" si="128"/>
        <v>#N/A</v>
      </c>
      <c r="V1666" s="23" t="e">
        <f t="shared" si="129"/>
        <v>#N/A</v>
      </c>
    </row>
    <row r="1667" spans="2:22" x14ac:dyDescent="0.25">
      <c r="B1667" s="16">
        <v>0</v>
      </c>
      <c r="C1667" s="7">
        <v>0</v>
      </c>
      <c r="D1667" s="8">
        <v>0</v>
      </c>
      <c r="E1667" s="8">
        <v>0</v>
      </c>
      <c r="F1667" s="8">
        <v>0</v>
      </c>
      <c r="G1667" s="8">
        <v>0</v>
      </c>
      <c r="H1667" s="8">
        <v>0</v>
      </c>
      <c r="I1667" s="8">
        <v>1</v>
      </c>
      <c r="J1667" s="8">
        <v>0</v>
      </c>
      <c r="K1667" s="9">
        <v>1</v>
      </c>
      <c r="L1667" s="10">
        <v>1</v>
      </c>
      <c r="M1667" s="6">
        <v>0</v>
      </c>
      <c r="N1667" s="37" t="e" cm="1">
        <f t="array" ref="N1667">IF(OR(ISNUMBER(FIND(Aux!$D$3:$D$9,_xlfn.TEXTJOIN(,,C1667:K1667)))),NA(),IF(AND(SUM(C1667:F1667,H1667:K1667)=0,G1667=1),0,INT((SUMPRODUCT(C1667:F1667,COLUMN($A$1:$D$1)-1)+SUMPRODUCT(H1667:K1667,COLUMN($E$1:$H$1)-1))*'Line Follower'!$C$3/SUM(C1667:F1667,H1667:K1667)-'Line Follower'!$C$5)))</f>
        <v>#N/A</v>
      </c>
      <c r="O1667" s="22" t="e">
        <v>#N/A</v>
      </c>
      <c r="P1667" s="4" t="e">
        <f t="shared" ref="P1667:P1730" si="130">IF(AND(N1667=0,G1667=1,M1667=1),1,0)</f>
        <v>#N/A</v>
      </c>
      <c r="Q1667" s="4" t="e">
        <f t="shared" ref="Q1667:Q1730" si="131">IF(ISERROR(N1667),N1667,IF(SUM(C1667:K1667)&gt;=4,1,0))</f>
        <v>#N/A</v>
      </c>
      <c r="R1667" s="4" t="e">
        <f>IF(AND(B1667=1,N1667&gt;'Line Follower'!$C$7,SUM(C1667:K1667)&lt;4),1,0)</f>
        <v>#N/A</v>
      </c>
      <c r="S1667" s="4" t="e">
        <f>IF(AND(L1667=1,N1667&lt;'Line Follower'!$C$6,SUM(C1667:K1667)&lt;4),1,0)</f>
        <v>#N/A</v>
      </c>
      <c r="T1667" s="4" t="e">
        <f t="shared" si="127"/>
        <v>#N/A</v>
      </c>
      <c r="U1667" s="5" t="e">
        <f t="shared" si="128"/>
        <v>#N/A</v>
      </c>
      <c r="V1667" s="23" t="e">
        <f t="shared" si="129"/>
        <v>#N/A</v>
      </c>
    </row>
    <row r="1668" spans="2:22" x14ac:dyDescent="0.25">
      <c r="B1668" s="16">
        <v>1</v>
      </c>
      <c r="C1668" s="7">
        <v>0</v>
      </c>
      <c r="D1668" s="8">
        <v>0</v>
      </c>
      <c r="E1668" s="8">
        <v>0</v>
      </c>
      <c r="F1668" s="8">
        <v>0</v>
      </c>
      <c r="G1668" s="8">
        <v>0</v>
      </c>
      <c r="H1668" s="8">
        <v>0</v>
      </c>
      <c r="I1668" s="8">
        <v>1</v>
      </c>
      <c r="J1668" s="8">
        <v>0</v>
      </c>
      <c r="K1668" s="9">
        <v>1</v>
      </c>
      <c r="L1668" s="10">
        <v>1</v>
      </c>
      <c r="M1668" s="6">
        <v>0</v>
      </c>
      <c r="N1668" s="37" t="e" cm="1">
        <f t="array" ref="N1668">IF(OR(ISNUMBER(FIND(Aux!$D$3:$D$9,_xlfn.TEXTJOIN(,,C1668:K1668)))),NA(),IF(AND(SUM(C1668:F1668,H1668:K1668)=0,G1668=1),0,INT((SUMPRODUCT(C1668:F1668,COLUMN($A$1:$D$1)-1)+SUMPRODUCT(H1668:K1668,COLUMN($E$1:$H$1)-1))*'Line Follower'!$C$3/SUM(C1668:F1668,H1668:K1668)-'Line Follower'!$C$5)))</f>
        <v>#N/A</v>
      </c>
      <c r="O1668" s="22" t="e">
        <v>#N/A</v>
      </c>
      <c r="P1668" s="4" t="e">
        <f t="shared" si="130"/>
        <v>#N/A</v>
      </c>
      <c r="Q1668" s="4" t="e">
        <f t="shared" si="131"/>
        <v>#N/A</v>
      </c>
      <c r="R1668" s="4" t="e">
        <f>IF(AND(B1668=1,N1668&gt;'Line Follower'!$C$7,SUM(C1668:K1668)&lt;4),1,0)</f>
        <v>#N/A</v>
      </c>
      <c r="S1668" s="4" t="e">
        <f>IF(AND(L1668=1,N1668&lt;'Line Follower'!$C$6,SUM(C1668:K1668)&lt;4),1,0)</f>
        <v>#N/A</v>
      </c>
      <c r="T1668" s="4" t="e">
        <f t="shared" ref="T1668:T1731" si="132">IF(ISNA(N1668),NA(),IF(SUM(C1668:L1668)=0,1,0))</f>
        <v>#N/A</v>
      </c>
      <c r="U1668" s="5" t="e">
        <f t="shared" ref="U1668:U1731" si="133">IF(ISNA(N1668),NA(),IF(SUM(B1668:K1668)=0,1,0))</f>
        <v>#N/A</v>
      </c>
      <c r="V1668" s="23" t="e">
        <f t="shared" ref="V1668:V1731" si="134">IF(ISNA(N1668),NA(),IF(SUM(B1668:L1668)=0,1,0))</f>
        <v>#N/A</v>
      </c>
    </row>
    <row r="1669" spans="2:22" x14ac:dyDescent="0.25">
      <c r="B1669" s="16">
        <v>0</v>
      </c>
      <c r="C1669" s="7">
        <v>1</v>
      </c>
      <c r="D1669" s="8">
        <v>0</v>
      </c>
      <c r="E1669" s="8">
        <v>0</v>
      </c>
      <c r="F1669" s="8">
        <v>0</v>
      </c>
      <c r="G1669" s="8">
        <v>0</v>
      </c>
      <c r="H1669" s="8">
        <v>0</v>
      </c>
      <c r="I1669" s="8">
        <v>1</v>
      </c>
      <c r="J1669" s="8">
        <v>0</v>
      </c>
      <c r="K1669" s="9">
        <v>1</v>
      </c>
      <c r="L1669" s="10">
        <v>1</v>
      </c>
      <c r="M1669" s="6">
        <v>0</v>
      </c>
      <c r="N1669" s="37" t="e" cm="1">
        <f t="array" ref="N1669">IF(OR(ISNUMBER(FIND(Aux!$D$3:$D$9,_xlfn.TEXTJOIN(,,C1669:K1669)))),NA(),IF(AND(SUM(C1669:F1669,H1669:K1669)=0,G1669=1),0,INT((SUMPRODUCT(C1669:F1669,COLUMN($A$1:$D$1)-1)+SUMPRODUCT(H1669:K1669,COLUMN($E$1:$H$1)-1))*'Line Follower'!$C$3/SUM(C1669:F1669,H1669:K1669)-'Line Follower'!$C$5)))</f>
        <v>#N/A</v>
      </c>
      <c r="O1669" s="22" t="e">
        <v>#N/A</v>
      </c>
      <c r="P1669" s="4" t="e">
        <f t="shared" si="130"/>
        <v>#N/A</v>
      </c>
      <c r="Q1669" s="4" t="e">
        <f t="shared" si="131"/>
        <v>#N/A</v>
      </c>
      <c r="R1669" s="4" t="e">
        <f>IF(AND(B1669=1,N1669&gt;'Line Follower'!$C$7,SUM(C1669:K1669)&lt;4),1,0)</f>
        <v>#N/A</v>
      </c>
      <c r="S1669" s="4" t="e">
        <f>IF(AND(L1669=1,N1669&lt;'Line Follower'!$C$6,SUM(C1669:K1669)&lt;4),1,0)</f>
        <v>#N/A</v>
      </c>
      <c r="T1669" s="4" t="e">
        <f t="shared" si="132"/>
        <v>#N/A</v>
      </c>
      <c r="U1669" s="5" t="e">
        <f t="shared" si="133"/>
        <v>#N/A</v>
      </c>
      <c r="V1669" s="23" t="e">
        <f t="shared" si="134"/>
        <v>#N/A</v>
      </c>
    </row>
    <row r="1670" spans="2:22" x14ac:dyDescent="0.25">
      <c r="B1670" s="16">
        <v>1</v>
      </c>
      <c r="C1670" s="7">
        <v>1</v>
      </c>
      <c r="D1670" s="8">
        <v>0</v>
      </c>
      <c r="E1670" s="8">
        <v>0</v>
      </c>
      <c r="F1670" s="8">
        <v>0</v>
      </c>
      <c r="G1670" s="8">
        <v>0</v>
      </c>
      <c r="H1670" s="8">
        <v>0</v>
      </c>
      <c r="I1670" s="8">
        <v>1</v>
      </c>
      <c r="J1670" s="8">
        <v>0</v>
      </c>
      <c r="K1670" s="9">
        <v>1</v>
      </c>
      <c r="L1670" s="10">
        <v>1</v>
      </c>
      <c r="M1670" s="6">
        <v>0</v>
      </c>
      <c r="N1670" s="37" t="e" cm="1">
        <f t="array" ref="N1670">IF(OR(ISNUMBER(FIND(Aux!$D$3:$D$9,_xlfn.TEXTJOIN(,,C1670:K1670)))),NA(),IF(AND(SUM(C1670:F1670,H1670:K1670)=0,G1670=1),0,INT((SUMPRODUCT(C1670:F1670,COLUMN($A$1:$D$1)-1)+SUMPRODUCT(H1670:K1670,COLUMN($E$1:$H$1)-1))*'Line Follower'!$C$3/SUM(C1670:F1670,H1670:K1670)-'Line Follower'!$C$5)))</f>
        <v>#N/A</v>
      </c>
      <c r="O1670" s="22" t="e">
        <v>#N/A</v>
      </c>
      <c r="P1670" s="4" t="e">
        <f t="shared" si="130"/>
        <v>#N/A</v>
      </c>
      <c r="Q1670" s="4" t="e">
        <f t="shared" si="131"/>
        <v>#N/A</v>
      </c>
      <c r="R1670" s="4" t="e">
        <f>IF(AND(B1670=1,N1670&gt;'Line Follower'!$C$7,SUM(C1670:K1670)&lt;4),1,0)</f>
        <v>#N/A</v>
      </c>
      <c r="S1670" s="4" t="e">
        <f>IF(AND(L1670=1,N1670&lt;'Line Follower'!$C$6,SUM(C1670:K1670)&lt;4),1,0)</f>
        <v>#N/A</v>
      </c>
      <c r="T1670" s="4" t="e">
        <f t="shared" si="132"/>
        <v>#N/A</v>
      </c>
      <c r="U1670" s="5" t="e">
        <f t="shared" si="133"/>
        <v>#N/A</v>
      </c>
      <c r="V1670" s="23" t="e">
        <f t="shared" si="134"/>
        <v>#N/A</v>
      </c>
    </row>
    <row r="1671" spans="2:22" x14ac:dyDescent="0.25">
      <c r="B1671" s="16">
        <v>0</v>
      </c>
      <c r="C1671" s="7">
        <v>0</v>
      </c>
      <c r="D1671" s="8">
        <v>1</v>
      </c>
      <c r="E1671" s="8">
        <v>0</v>
      </c>
      <c r="F1671" s="8">
        <v>0</v>
      </c>
      <c r="G1671" s="8">
        <v>0</v>
      </c>
      <c r="H1671" s="8">
        <v>0</v>
      </c>
      <c r="I1671" s="8">
        <v>1</v>
      </c>
      <c r="J1671" s="8">
        <v>0</v>
      </c>
      <c r="K1671" s="9">
        <v>1</v>
      </c>
      <c r="L1671" s="10">
        <v>1</v>
      </c>
      <c r="M1671" s="6">
        <v>0</v>
      </c>
      <c r="N1671" s="37" t="e" cm="1">
        <f t="array" ref="N1671">IF(OR(ISNUMBER(FIND(Aux!$D$3:$D$9,_xlfn.TEXTJOIN(,,C1671:K1671)))),NA(),IF(AND(SUM(C1671:F1671,H1671:K1671)=0,G1671=1),0,INT((SUMPRODUCT(C1671:F1671,COLUMN($A$1:$D$1)-1)+SUMPRODUCT(H1671:K1671,COLUMN($E$1:$H$1)-1))*'Line Follower'!$C$3/SUM(C1671:F1671,H1671:K1671)-'Line Follower'!$C$5)))</f>
        <v>#N/A</v>
      </c>
      <c r="O1671" s="22" t="e">
        <v>#N/A</v>
      </c>
      <c r="P1671" s="4" t="e">
        <f t="shared" si="130"/>
        <v>#N/A</v>
      </c>
      <c r="Q1671" s="4" t="e">
        <f t="shared" si="131"/>
        <v>#N/A</v>
      </c>
      <c r="R1671" s="4" t="e">
        <f>IF(AND(B1671=1,N1671&gt;'Line Follower'!$C$7,SUM(C1671:K1671)&lt;4),1,0)</f>
        <v>#N/A</v>
      </c>
      <c r="S1671" s="4" t="e">
        <f>IF(AND(L1671=1,N1671&lt;'Line Follower'!$C$6,SUM(C1671:K1671)&lt;4),1,0)</f>
        <v>#N/A</v>
      </c>
      <c r="T1671" s="4" t="e">
        <f t="shared" si="132"/>
        <v>#N/A</v>
      </c>
      <c r="U1671" s="5" t="e">
        <f t="shared" si="133"/>
        <v>#N/A</v>
      </c>
      <c r="V1671" s="23" t="e">
        <f t="shared" si="134"/>
        <v>#N/A</v>
      </c>
    </row>
    <row r="1672" spans="2:22" x14ac:dyDescent="0.25">
      <c r="B1672" s="16">
        <v>1</v>
      </c>
      <c r="C1672" s="7">
        <v>0</v>
      </c>
      <c r="D1672" s="8">
        <v>1</v>
      </c>
      <c r="E1672" s="8">
        <v>0</v>
      </c>
      <c r="F1672" s="8">
        <v>0</v>
      </c>
      <c r="G1672" s="8">
        <v>0</v>
      </c>
      <c r="H1672" s="8">
        <v>0</v>
      </c>
      <c r="I1672" s="8">
        <v>1</v>
      </c>
      <c r="J1672" s="8">
        <v>0</v>
      </c>
      <c r="K1672" s="9">
        <v>1</v>
      </c>
      <c r="L1672" s="10">
        <v>1</v>
      </c>
      <c r="M1672" s="6">
        <v>0</v>
      </c>
      <c r="N1672" s="37" t="e" cm="1">
        <f t="array" ref="N1672">IF(OR(ISNUMBER(FIND(Aux!$D$3:$D$9,_xlfn.TEXTJOIN(,,C1672:K1672)))),NA(),IF(AND(SUM(C1672:F1672,H1672:K1672)=0,G1672=1),0,INT((SUMPRODUCT(C1672:F1672,COLUMN($A$1:$D$1)-1)+SUMPRODUCT(H1672:K1672,COLUMN($E$1:$H$1)-1))*'Line Follower'!$C$3/SUM(C1672:F1672,H1672:K1672)-'Line Follower'!$C$5)))</f>
        <v>#N/A</v>
      </c>
      <c r="O1672" s="22" t="e">
        <v>#N/A</v>
      </c>
      <c r="P1672" s="4" t="e">
        <f t="shared" si="130"/>
        <v>#N/A</v>
      </c>
      <c r="Q1672" s="4" t="e">
        <f t="shared" si="131"/>
        <v>#N/A</v>
      </c>
      <c r="R1672" s="4" t="e">
        <f>IF(AND(B1672=1,N1672&gt;'Line Follower'!$C$7,SUM(C1672:K1672)&lt;4),1,0)</f>
        <v>#N/A</v>
      </c>
      <c r="S1672" s="4" t="e">
        <f>IF(AND(L1672=1,N1672&lt;'Line Follower'!$C$6,SUM(C1672:K1672)&lt;4),1,0)</f>
        <v>#N/A</v>
      </c>
      <c r="T1672" s="4" t="e">
        <f t="shared" si="132"/>
        <v>#N/A</v>
      </c>
      <c r="U1672" s="5" t="e">
        <f t="shared" si="133"/>
        <v>#N/A</v>
      </c>
      <c r="V1672" s="23" t="e">
        <f t="shared" si="134"/>
        <v>#N/A</v>
      </c>
    </row>
    <row r="1673" spans="2:22" x14ac:dyDescent="0.25">
      <c r="B1673" s="16">
        <v>0</v>
      </c>
      <c r="C1673" s="7">
        <v>1</v>
      </c>
      <c r="D1673" s="8">
        <v>1</v>
      </c>
      <c r="E1673" s="8">
        <v>0</v>
      </c>
      <c r="F1673" s="8">
        <v>0</v>
      </c>
      <c r="G1673" s="8">
        <v>0</v>
      </c>
      <c r="H1673" s="8">
        <v>0</v>
      </c>
      <c r="I1673" s="8">
        <v>1</v>
      </c>
      <c r="J1673" s="8">
        <v>0</v>
      </c>
      <c r="K1673" s="9">
        <v>1</v>
      </c>
      <c r="L1673" s="10">
        <v>1</v>
      </c>
      <c r="M1673" s="6">
        <v>0</v>
      </c>
      <c r="N1673" s="37" t="e" cm="1">
        <f t="array" ref="N1673">IF(OR(ISNUMBER(FIND(Aux!$D$3:$D$9,_xlfn.TEXTJOIN(,,C1673:K1673)))),NA(),IF(AND(SUM(C1673:F1673,H1673:K1673)=0,G1673=1),0,INT((SUMPRODUCT(C1673:F1673,COLUMN($A$1:$D$1)-1)+SUMPRODUCT(H1673:K1673,COLUMN($E$1:$H$1)-1))*'Line Follower'!$C$3/SUM(C1673:F1673,H1673:K1673)-'Line Follower'!$C$5)))</f>
        <v>#N/A</v>
      </c>
      <c r="O1673" s="22" t="e">
        <v>#N/A</v>
      </c>
      <c r="P1673" s="4" t="e">
        <f t="shared" si="130"/>
        <v>#N/A</v>
      </c>
      <c r="Q1673" s="4" t="e">
        <f t="shared" si="131"/>
        <v>#N/A</v>
      </c>
      <c r="R1673" s="4" t="e">
        <f>IF(AND(B1673=1,N1673&gt;'Line Follower'!$C$7,SUM(C1673:K1673)&lt;4),1,0)</f>
        <v>#N/A</v>
      </c>
      <c r="S1673" s="4" t="e">
        <f>IF(AND(L1673=1,N1673&lt;'Line Follower'!$C$6,SUM(C1673:K1673)&lt;4),1,0)</f>
        <v>#N/A</v>
      </c>
      <c r="T1673" s="4" t="e">
        <f t="shared" si="132"/>
        <v>#N/A</v>
      </c>
      <c r="U1673" s="5" t="e">
        <f t="shared" si="133"/>
        <v>#N/A</v>
      </c>
      <c r="V1673" s="23" t="e">
        <f t="shared" si="134"/>
        <v>#N/A</v>
      </c>
    </row>
    <row r="1674" spans="2:22" x14ac:dyDescent="0.25">
      <c r="B1674" s="16">
        <v>1</v>
      </c>
      <c r="C1674" s="7">
        <v>1</v>
      </c>
      <c r="D1674" s="8">
        <v>1</v>
      </c>
      <c r="E1674" s="8">
        <v>0</v>
      </c>
      <c r="F1674" s="8">
        <v>0</v>
      </c>
      <c r="G1674" s="8">
        <v>0</v>
      </c>
      <c r="H1674" s="8">
        <v>0</v>
      </c>
      <c r="I1674" s="8">
        <v>1</v>
      </c>
      <c r="J1674" s="8">
        <v>0</v>
      </c>
      <c r="K1674" s="9">
        <v>1</v>
      </c>
      <c r="L1674" s="10">
        <v>1</v>
      </c>
      <c r="M1674" s="6">
        <v>0</v>
      </c>
      <c r="N1674" s="37" t="e" cm="1">
        <f t="array" ref="N1674">IF(OR(ISNUMBER(FIND(Aux!$D$3:$D$9,_xlfn.TEXTJOIN(,,C1674:K1674)))),NA(),IF(AND(SUM(C1674:F1674,H1674:K1674)=0,G1674=1),0,INT((SUMPRODUCT(C1674:F1674,COLUMN($A$1:$D$1)-1)+SUMPRODUCT(H1674:K1674,COLUMN($E$1:$H$1)-1))*'Line Follower'!$C$3/SUM(C1674:F1674,H1674:K1674)-'Line Follower'!$C$5)))</f>
        <v>#N/A</v>
      </c>
      <c r="O1674" s="22" t="e">
        <v>#N/A</v>
      </c>
      <c r="P1674" s="4" t="e">
        <f t="shared" si="130"/>
        <v>#N/A</v>
      </c>
      <c r="Q1674" s="4" t="e">
        <f t="shared" si="131"/>
        <v>#N/A</v>
      </c>
      <c r="R1674" s="4" t="e">
        <f>IF(AND(B1674=1,N1674&gt;'Line Follower'!$C$7,SUM(C1674:K1674)&lt;4),1,0)</f>
        <v>#N/A</v>
      </c>
      <c r="S1674" s="4" t="e">
        <f>IF(AND(L1674=1,N1674&lt;'Line Follower'!$C$6,SUM(C1674:K1674)&lt;4),1,0)</f>
        <v>#N/A</v>
      </c>
      <c r="T1674" s="4" t="e">
        <f t="shared" si="132"/>
        <v>#N/A</v>
      </c>
      <c r="U1674" s="5" t="e">
        <f t="shared" si="133"/>
        <v>#N/A</v>
      </c>
      <c r="V1674" s="23" t="e">
        <f t="shared" si="134"/>
        <v>#N/A</v>
      </c>
    </row>
    <row r="1675" spans="2:22" x14ac:dyDescent="0.25">
      <c r="B1675" s="16">
        <v>0</v>
      </c>
      <c r="C1675" s="7">
        <v>0</v>
      </c>
      <c r="D1675" s="8">
        <v>0</v>
      </c>
      <c r="E1675" s="8">
        <v>1</v>
      </c>
      <c r="F1675" s="8">
        <v>0</v>
      </c>
      <c r="G1675" s="8">
        <v>0</v>
      </c>
      <c r="H1675" s="8">
        <v>0</v>
      </c>
      <c r="I1675" s="8">
        <v>1</v>
      </c>
      <c r="J1675" s="8">
        <v>0</v>
      </c>
      <c r="K1675" s="9">
        <v>1</v>
      </c>
      <c r="L1675" s="10">
        <v>1</v>
      </c>
      <c r="M1675" s="6">
        <v>0</v>
      </c>
      <c r="N1675" s="37" t="e" cm="1">
        <f t="array" ref="N1675">IF(OR(ISNUMBER(FIND(Aux!$D$3:$D$9,_xlfn.TEXTJOIN(,,C1675:K1675)))),NA(),IF(AND(SUM(C1675:F1675,H1675:K1675)=0,G1675=1),0,INT((SUMPRODUCT(C1675:F1675,COLUMN($A$1:$D$1)-1)+SUMPRODUCT(H1675:K1675,COLUMN($E$1:$H$1)-1))*'Line Follower'!$C$3/SUM(C1675:F1675,H1675:K1675)-'Line Follower'!$C$5)))</f>
        <v>#N/A</v>
      </c>
      <c r="O1675" s="22" t="e">
        <v>#N/A</v>
      </c>
      <c r="P1675" s="4" t="e">
        <f t="shared" si="130"/>
        <v>#N/A</v>
      </c>
      <c r="Q1675" s="4" t="e">
        <f t="shared" si="131"/>
        <v>#N/A</v>
      </c>
      <c r="R1675" s="4" t="e">
        <f>IF(AND(B1675=1,N1675&gt;'Line Follower'!$C$7,SUM(C1675:K1675)&lt;4),1,0)</f>
        <v>#N/A</v>
      </c>
      <c r="S1675" s="4" t="e">
        <f>IF(AND(L1675=1,N1675&lt;'Line Follower'!$C$6,SUM(C1675:K1675)&lt;4),1,0)</f>
        <v>#N/A</v>
      </c>
      <c r="T1675" s="4" t="e">
        <f t="shared" si="132"/>
        <v>#N/A</v>
      </c>
      <c r="U1675" s="5" t="e">
        <f t="shared" si="133"/>
        <v>#N/A</v>
      </c>
      <c r="V1675" s="23" t="e">
        <f t="shared" si="134"/>
        <v>#N/A</v>
      </c>
    </row>
    <row r="1676" spans="2:22" x14ac:dyDescent="0.25">
      <c r="B1676" s="16">
        <v>1</v>
      </c>
      <c r="C1676" s="7">
        <v>0</v>
      </c>
      <c r="D1676" s="8">
        <v>0</v>
      </c>
      <c r="E1676" s="8">
        <v>1</v>
      </c>
      <c r="F1676" s="8">
        <v>0</v>
      </c>
      <c r="G1676" s="8">
        <v>0</v>
      </c>
      <c r="H1676" s="8">
        <v>0</v>
      </c>
      <c r="I1676" s="8">
        <v>1</v>
      </c>
      <c r="J1676" s="8">
        <v>0</v>
      </c>
      <c r="K1676" s="9">
        <v>1</v>
      </c>
      <c r="L1676" s="10">
        <v>1</v>
      </c>
      <c r="M1676" s="6">
        <v>0</v>
      </c>
      <c r="N1676" s="37" t="e" cm="1">
        <f t="array" ref="N1676">IF(OR(ISNUMBER(FIND(Aux!$D$3:$D$9,_xlfn.TEXTJOIN(,,C1676:K1676)))),NA(),IF(AND(SUM(C1676:F1676,H1676:K1676)=0,G1676=1),0,INT((SUMPRODUCT(C1676:F1676,COLUMN($A$1:$D$1)-1)+SUMPRODUCT(H1676:K1676,COLUMN($E$1:$H$1)-1))*'Line Follower'!$C$3/SUM(C1676:F1676,H1676:K1676)-'Line Follower'!$C$5)))</f>
        <v>#N/A</v>
      </c>
      <c r="O1676" s="22" t="e">
        <v>#N/A</v>
      </c>
      <c r="P1676" s="4" t="e">
        <f t="shared" si="130"/>
        <v>#N/A</v>
      </c>
      <c r="Q1676" s="4" t="e">
        <f t="shared" si="131"/>
        <v>#N/A</v>
      </c>
      <c r="R1676" s="4" t="e">
        <f>IF(AND(B1676=1,N1676&gt;'Line Follower'!$C$7,SUM(C1676:K1676)&lt;4),1,0)</f>
        <v>#N/A</v>
      </c>
      <c r="S1676" s="4" t="e">
        <f>IF(AND(L1676=1,N1676&lt;'Line Follower'!$C$6,SUM(C1676:K1676)&lt;4),1,0)</f>
        <v>#N/A</v>
      </c>
      <c r="T1676" s="4" t="e">
        <f t="shared" si="132"/>
        <v>#N/A</v>
      </c>
      <c r="U1676" s="5" t="e">
        <f t="shared" si="133"/>
        <v>#N/A</v>
      </c>
      <c r="V1676" s="23" t="e">
        <f t="shared" si="134"/>
        <v>#N/A</v>
      </c>
    </row>
    <row r="1677" spans="2:22" x14ac:dyDescent="0.25">
      <c r="B1677" s="16">
        <v>0</v>
      </c>
      <c r="C1677" s="7">
        <v>1</v>
      </c>
      <c r="D1677" s="8">
        <v>0</v>
      </c>
      <c r="E1677" s="8">
        <v>1</v>
      </c>
      <c r="F1677" s="8">
        <v>0</v>
      </c>
      <c r="G1677" s="8">
        <v>0</v>
      </c>
      <c r="H1677" s="8">
        <v>0</v>
      </c>
      <c r="I1677" s="8">
        <v>1</v>
      </c>
      <c r="J1677" s="8">
        <v>0</v>
      </c>
      <c r="K1677" s="9">
        <v>1</v>
      </c>
      <c r="L1677" s="10">
        <v>1</v>
      </c>
      <c r="M1677" s="6">
        <v>0</v>
      </c>
      <c r="N1677" s="37" t="e" cm="1">
        <f t="array" ref="N1677">IF(OR(ISNUMBER(FIND(Aux!$D$3:$D$9,_xlfn.TEXTJOIN(,,C1677:K1677)))),NA(),IF(AND(SUM(C1677:F1677,H1677:K1677)=0,G1677=1),0,INT((SUMPRODUCT(C1677:F1677,COLUMN($A$1:$D$1)-1)+SUMPRODUCT(H1677:K1677,COLUMN($E$1:$H$1)-1))*'Line Follower'!$C$3/SUM(C1677:F1677,H1677:K1677)-'Line Follower'!$C$5)))</f>
        <v>#N/A</v>
      </c>
      <c r="O1677" s="22" t="e">
        <v>#N/A</v>
      </c>
      <c r="P1677" s="4" t="e">
        <f t="shared" si="130"/>
        <v>#N/A</v>
      </c>
      <c r="Q1677" s="4" t="e">
        <f t="shared" si="131"/>
        <v>#N/A</v>
      </c>
      <c r="R1677" s="4" t="e">
        <f>IF(AND(B1677=1,N1677&gt;'Line Follower'!$C$7,SUM(C1677:K1677)&lt;4),1,0)</f>
        <v>#N/A</v>
      </c>
      <c r="S1677" s="4" t="e">
        <f>IF(AND(L1677=1,N1677&lt;'Line Follower'!$C$6,SUM(C1677:K1677)&lt;4),1,0)</f>
        <v>#N/A</v>
      </c>
      <c r="T1677" s="4" t="e">
        <f t="shared" si="132"/>
        <v>#N/A</v>
      </c>
      <c r="U1677" s="5" t="e">
        <f t="shared" si="133"/>
        <v>#N/A</v>
      </c>
      <c r="V1677" s="23" t="e">
        <f t="shared" si="134"/>
        <v>#N/A</v>
      </c>
    </row>
    <row r="1678" spans="2:22" x14ac:dyDescent="0.25">
      <c r="B1678" s="16">
        <v>1</v>
      </c>
      <c r="C1678" s="7">
        <v>1</v>
      </c>
      <c r="D1678" s="8">
        <v>0</v>
      </c>
      <c r="E1678" s="8">
        <v>1</v>
      </c>
      <c r="F1678" s="8">
        <v>0</v>
      </c>
      <c r="G1678" s="8">
        <v>0</v>
      </c>
      <c r="H1678" s="8">
        <v>0</v>
      </c>
      <c r="I1678" s="8">
        <v>1</v>
      </c>
      <c r="J1678" s="8">
        <v>0</v>
      </c>
      <c r="K1678" s="9">
        <v>1</v>
      </c>
      <c r="L1678" s="10">
        <v>1</v>
      </c>
      <c r="M1678" s="6">
        <v>0</v>
      </c>
      <c r="N1678" s="37" t="e" cm="1">
        <f t="array" ref="N1678">IF(OR(ISNUMBER(FIND(Aux!$D$3:$D$9,_xlfn.TEXTJOIN(,,C1678:K1678)))),NA(),IF(AND(SUM(C1678:F1678,H1678:K1678)=0,G1678=1),0,INT((SUMPRODUCT(C1678:F1678,COLUMN($A$1:$D$1)-1)+SUMPRODUCT(H1678:K1678,COLUMN($E$1:$H$1)-1))*'Line Follower'!$C$3/SUM(C1678:F1678,H1678:K1678)-'Line Follower'!$C$5)))</f>
        <v>#N/A</v>
      </c>
      <c r="O1678" s="22" t="e">
        <v>#N/A</v>
      </c>
      <c r="P1678" s="4" t="e">
        <f t="shared" si="130"/>
        <v>#N/A</v>
      </c>
      <c r="Q1678" s="4" t="e">
        <f t="shared" si="131"/>
        <v>#N/A</v>
      </c>
      <c r="R1678" s="4" t="e">
        <f>IF(AND(B1678=1,N1678&gt;'Line Follower'!$C$7,SUM(C1678:K1678)&lt;4),1,0)</f>
        <v>#N/A</v>
      </c>
      <c r="S1678" s="4" t="e">
        <f>IF(AND(L1678=1,N1678&lt;'Line Follower'!$C$6,SUM(C1678:K1678)&lt;4),1,0)</f>
        <v>#N/A</v>
      </c>
      <c r="T1678" s="4" t="e">
        <f t="shared" si="132"/>
        <v>#N/A</v>
      </c>
      <c r="U1678" s="5" t="e">
        <f t="shared" si="133"/>
        <v>#N/A</v>
      </c>
      <c r="V1678" s="23" t="e">
        <f t="shared" si="134"/>
        <v>#N/A</v>
      </c>
    </row>
    <row r="1679" spans="2:22" x14ac:dyDescent="0.25">
      <c r="B1679" s="16">
        <v>0</v>
      </c>
      <c r="C1679" s="7">
        <v>0</v>
      </c>
      <c r="D1679" s="8">
        <v>1</v>
      </c>
      <c r="E1679" s="8">
        <v>1</v>
      </c>
      <c r="F1679" s="8">
        <v>0</v>
      </c>
      <c r="G1679" s="8">
        <v>0</v>
      </c>
      <c r="H1679" s="8">
        <v>0</v>
      </c>
      <c r="I1679" s="8">
        <v>1</v>
      </c>
      <c r="J1679" s="8">
        <v>0</v>
      </c>
      <c r="K1679" s="9">
        <v>1</v>
      </c>
      <c r="L1679" s="10">
        <v>1</v>
      </c>
      <c r="M1679" s="6">
        <v>0</v>
      </c>
      <c r="N1679" s="37" t="e" cm="1">
        <f t="array" ref="N1679">IF(OR(ISNUMBER(FIND(Aux!$D$3:$D$9,_xlfn.TEXTJOIN(,,C1679:K1679)))),NA(),IF(AND(SUM(C1679:F1679,H1679:K1679)=0,G1679=1),0,INT((SUMPRODUCT(C1679:F1679,COLUMN($A$1:$D$1)-1)+SUMPRODUCT(H1679:K1679,COLUMN($E$1:$H$1)-1))*'Line Follower'!$C$3/SUM(C1679:F1679,H1679:K1679)-'Line Follower'!$C$5)))</f>
        <v>#N/A</v>
      </c>
      <c r="O1679" s="22" t="e">
        <v>#N/A</v>
      </c>
      <c r="P1679" s="4" t="e">
        <f t="shared" si="130"/>
        <v>#N/A</v>
      </c>
      <c r="Q1679" s="4" t="e">
        <f t="shared" si="131"/>
        <v>#N/A</v>
      </c>
      <c r="R1679" s="4" t="e">
        <f>IF(AND(B1679=1,N1679&gt;'Line Follower'!$C$7,SUM(C1679:K1679)&lt;4),1,0)</f>
        <v>#N/A</v>
      </c>
      <c r="S1679" s="4" t="e">
        <f>IF(AND(L1679=1,N1679&lt;'Line Follower'!$C$6,SUM(C1679:K1679)&lt;4),1,0)</f>
        <v>#N/A</v>
      </c>
      <c r="T1679" s="4" t="e">
        <f t="shared" si="132"/>
        <v>#N/A</v>
      </c>
      <c r="U1679" s="5" t="e">
        <f t="shared" si="133"/>
        <v>#N/A</v>
      </c>
      <c r="V1679" s="23" t="e">
        <f t="shared" si="134"/>
        <v>#N/A</v>
      </c>
    </row>
    <row r="1680" spans="2:22" x14ac:dyDescent="0.25">
      <c r="B1680" s="16">
        <v>1</v>
      </c>
      <c r="C1680" s="7">
        <v>0</v>
      </c>
      <c r="D1680" s="8">
        <v>1</v>
      </c>
      <c r="E1680" s="8">
        <v>1</v>
      </c>
      <c r="F1680" s="8">
        <v>0</v>
      </c>
      <c r="G1680" s="8">
        <v>0</v>
      </c>
      <c r="H1680" s="8">
        <v>0</v>
      </c>
      <c r="I1680" s="8">
        <v>1</v>
      </c>
      <c r="J1680" s="8">
        <v>0</v>
      </c>
      <c r="K1680" s="9">
        <v>1</v>
      </c>
      <c r="L1680" s="10">
        <v>1</v>
      </c>
      <c r="M1680" s="6">
        <v>0</v>
      </c>
      <c r="N1680" s="37" t="e" cm="1">
        <f t="array" ref="N1680">IF(OR(ISNUMBER(FIND(Aux!$D$3:$D$9,_xlfn.TEXTJOIN(,,C1680:K1680)))),NA(),IF(AND(SUM(C1680:F1680,H1680:K1680)=0,G1680=1),0,INT((SUMPRODUCT(C1680:F1680,COLUMN($A$1:$D$1)-1)+SUMPRODUCT(H1680:K1680,COLUMN($E$1:$H$1)-1))*'Line Follower'!$C$3/SUM(C1680:F1680,H1680:K1680)-'Line Follower'!$C$5)))</f>
        <v>#N/A</v>
      </c>
      <c r="O1680" s="22" t="e">
        <v>#N/A</v>
      </c>
      <c r="P1680" s="4" t="e">
        <f t="shared" si="130"/>
        <v>#N/A</v>
      </c>
      <c r="Q1680" s="4" t="e">
        <f t="shared" si="131"/>
        <v>#N/A</v>
      </c>
      <c r="R1680" s="4" t="e">
        <f>IF(AND(B1680=1,N1680&gt;'Line Follower'!$C$7,SUM(C1680:K1680)&lt;4),1,0)</f>
        <v>#N/A</v>
      </c>
      <c r="S1680" s="4" t="e">
        <f>IF(AND(L1680=1,N1680&lt;'Line Follower'!$C$6,SUM(C1680:K1680)&lt;4),1,0)</f>
        <v>#N/A</v>
      </c>
      <c r="T1680" s="4" t="e">
        <f t="shared" si="132"/>
        <v>#N/A</v>
      </c>
      <c r="U1680" s="5" t="e">
        <f t="shared" si="133"/>
        <v>#N/A</v>
      </c>
      <c r="V1680" s="23" t="e">
        <f t="shared" si="134"/>
        <v>#N/A</v>
      </c>
    </row>
    <row r="1681" spans="2:22" x14ac:dyDescent="0.25">
      <c r="B1681" s="16">
        <v>0</v>
      </c>
      <c r="C1681" s="7">
        <v>1</v>
      </c>
      <c r="D1681" s="8">
        <v>1</v>
      </c>
      <c r="E1681" s="8">
        <v>1</v>
      </c>
      <c r="F1681" s="8">
        <v>0</v>
      </c>
      <c r="G1681" s="8">
        <v>0</v>
      </c>
      <c r="H1681" s="8">
        <v>0</v>
      </c>
      <c r="I1681" s="8">
        <v>1</v>
      </c>
      <c r="J1681" s="8">
        <v>0</v>
      </c>
      <c r="K1681" s="9">
        <v>1</v>
      </c>
      <c r="L1681" s="10">
        <v>1</v>
      </c>
      <c r="M1681" s="6">
        <v>0</v>
      </c>
      <c r="N1681" s="37" t="e" cm="1">
        <f t="array" ref="N1681">IF(OR(ISNUMBER(FIND(Aux!$D$3:$D$9,_xlfn.TEXTJOIN(,,C1681:K1681)))),NA(),IF(AND(SUM(C1681:F1681,H1681:K1681)=0,G1681=1),0,INT((SUMPRODUCT(C1681:F1681,COLUMN($A$1:$D$1)-1)+SUMPRODUCT(H1681:K1681,COLUMN($E$1:$H$1)-1))*'Line Follower'!$C$3/SUM(C1681:F1681,H1681:K1681)-'Line Follower'!$C$5)))</f>
        <v>#N/A</v>
      </c>
      <c r="O1681" s="22" t="e">
        <v>#N/A</v>
      </c>
      <c r="P1681" s="4" t="e">
        <f t="shared" si="130"/>
        <v>#N/A</v>
      </c>
      <c r="Q1681" s="4" t="e">
        <f t="shared" si="131"/>
        <v>#N/A</v>
      </c>
      <c r="R1681" s="4" t="e">
        <f>IF(AND(B1681=1,N1681&gt;'Line Follower'!$C$7,SUM(C1681:K1681)&lt;4),1,0)</f>
        <v>#N/A</v>
      </c>
      <c r="S1681" s="4" t="e">
        <f>IF(AND(L1681=1,N1681&lt;'Line Follower'!$C$6,SUM(C1681:K1681)&lt;4),1,0)</f>
        <v>#N/A</v>
      </c>
      <c r="T1681" s="4" t="e">
        <f t="shared" si="132"/>
        <v>#N/A</v>
      </c>
      <c r="U1681" s="5" t="e">
        <f t="shared" si="133"/>
        <v>#N/A</v>
      </c>
      <c r="V1681" s="23" t="e">
        <f t="shared" si="134"/>
        <v>#N/A</v>
      </c>
    </row>
    <row r="1682" spans="2:22" x14ac:dyDescent="0.25">
      <c r="B1682" s="16">
        <v>1</v>
      </c>
      <c r="C1682" s="7">
        <v>1</v>
      </c>
      <c r="D1682" s="8">
        <v>1</v>
      </c>
      <c r="E1682" s="8">
        <v>1</v>
      </c>
      <c r="F1682" s="8">
        <v>0</v>
      </c>
      <c r="G1682" s="8">
        <v>0</v>
      </c>
      <c r="H1682" s="8">
        <v>0</v>
      </c>
      <c r="I1682" s="8">
        <v>1</v>
      </c>
      <c r="J1682" s="8">
        <v>0</v>
      </c>
      <c r="K1682" s="9">
        <v>1</v>
      </c>
      <c r="L1682" s="10">
        <v>1</v>
      </c>
      <c r="M1682" s="6">
        <v>0</v>
      </c>
      <c r="N1682" s="37" t="e" cm="1">
        <f t="array" ref="N1682">IF(OR(ISNUMBER(FIND(Aux!$D$3:$D$9,_xlfn.TEXTJOIN(,,C1682:K1682)))),NA(),IF(AND(SUM(C1682:F1682,H1682:K1682)=0,G1682=1),0,INT((SUMPRODUCT(C1682:F1682,COLUMN($A$1:$D$1)-1)+SUMPRODUCT(H1682:K1682,COLUMN($E$1:$H$1)-1))*'Line Follower'!$C$3/SUM(C1682:F1682,H1682:K1682)-'Line Follower'!$C$5)))</f>
        <v>#N/A</v>
      </c>
      <c r="O1682" s="22" t="e">
        <v>#N/A</v>
      </c>
      <c r="P1682" s="4" t="e">
        <f t="shared" si="130"/>
        <v>#N/A</v>
      </c>
      <c r="Q1682" s="4" t="e">
        <f t="shared" si="131"/>
        <v>#N/A</v>
      </c>
      <c r="R1682" s="4" t="e">
        <f>IF(AND(B1682=1,N1682&gt;'Line Follower'!$C$7,SUM(C1682:K1682)&lt;4),1,0)</f>
        <v>#N/A</v>
      </c>
      <c r="S1682" s="4" t="e">
        <f>IF(AND(L1682=1,N1682&lt;'Line Follower'!$C$6,SUM(C1682:K1682)&lt;4),1,0)</f>
        <v>#N/A</v>
      </c>
      <c r="T1682" s="4" t="e">
        <f t="shared" si="132"/>
        <v>#N/A</v>
      </c>
      <c r="U1682" s="5" t="e">
        <f t="shared" si="133"/>
        <v>#N/A</v>
      </c>
      <c r="V1682" s="23" t="e">
        <f t="shared" si="134"/>
        <v>#N/A</v>
      </c>
    </row>
    <row r="1683" spans="2:22" x14ac:dyDescent="0.25">
      <c r="B1683" s="16">
        <v>0</v>
      </c>
      <c r="C1683" s="7">
        <v>0</v>
      </c>
      <c r="D1683" s="8">
        <v>0</v>
      </c>
      <c r="E1683" s="8">
        <v>0</v>
      </c>
      <c r="F1683" s="8">
        <v>1</v>
      </c>
      <c r="G1683" s="8">
        <v>0</v>
      </c>
      <c r="H1683" s="8">
        <v>0</v>
      </c>
      <c r="I1683" s="8">
        <v>1</v>
      </c>
      <c r="J1683" s="8">
        <v>0</v>
      </c>
      <c r="K1683" s="9">
        <v>1</v>
      </c>
      <c r="L1683" s="10">
        <v>1</v>
      </c>
      <c r="M1683" s="6">
        <v>0</v>
      </c>
      <c r="N1683" s="37" t="e" cm="1">
        <f t="array" ref="N1683">IF(OR(ISNUMBER(FIND(Aux!$D$3:$D$9,_xlfn.TEXTJOIN(,,C1683:K1683)))),NA(),IF(AND(SUM(C1683:F1683,H1683:K1683)=0,G1683=1),0,INT((SUMPRODUCT(C1683:F1683,COLUMN($A$1:$D$1)-1)+SUMPRODUCT(H1683:K1683,COLUMN($E$1:$H$1)-1))*'Line Follower'!$C$3/SUM(C1683:F1683,H1683:K1683)-'Line Follower'!$C$5)))</f>
        <v>#N/A</v>
      </c>
      <c r="O1683" s="22" t="e">
        <v>#N/A</v>
      </c>
      <c r="P1683" s="4" t="e">
        <f t="shared" si="130"/>
        <v>#N/A</v>
      </c>
      <c r="Q1683" s="4" t="e">
        <f t="shared" si="131"/>
        <v>#N/A</v>
      </c>
      <c r="R1683" s="4" t="e">
        <f>IF(AND(B1683=1,N1683&gt;'Line Follower'!$C$7,SUM(C1683:K1683)&lt;4),1,0)</f>
        <v>#N/A</v>
      </c>
      <c r="S1683" s="4" t="e">
        <f>IF(AND(L1683=1,N1683&lt;'Line Follower'!$C$6,SUM(C1683:K1683)&lt;4),1,0)</f>
        <v>#N/A</v>
      </c>
      <c r="T1683" s="4" t="e">
        <f t="shared" si="132"/>
        <v>#N/A</v>
      </c>
      <c r="U1683" s="5" t="e">
        <f t="shared" si="133"/>
        <v>#N/A</v>
      </c>
      <c r="V1683" s="23" t="e">
        <f t="shared" si="134"/>
        <v>#N/A</v>
      </c>
    </row>
    <row r="1684" spans="2:22" x14ac:dyDescent="0.25">
      <c r="B1684" s="16">
        <v>1</v>
      </c>
      <c r="C1684" s="7">
        <v>0</v>
      </c>
      <c r="D1684" s="8">
        <v>0</v>
      </c>
      <c r="E1684" s="8">
        <v>0</v>
      </c>
      <c r="F1684" s="8">
        <v>1</v>
      </c>
      <c r="G1684" s="8">
        <v>0</v>
      </c>
      <c r="H1684" s="8">
        <v>0</v>
      </c>
      <c r="I1684" s="8">
        <v>1</v>
      </c>
      <c r="J1684" s="8">
        <v>0</v>
      </c>
      <c r="K1684" s="9">
        <v>1</v>
      </c>
      <c r="L1684" s="10">
        <v>1</v>
      </c>
      <c r="M1684" s="6">
        <v>0</v>
      </c>
      <c r="N1684" s="37" t="e" cm="1">
        <f t="array" ref="N1684">IF(OR(ISNUMBER(FIND(Aux!$D$3:$D$9,_xlfn.TEXTJOIN(,,C1684:K1684)))),NA(),IF(AND(SUM(C1684:F1684,H1684:K1684)=0,G1684=1),0,INT((SUMPRODUCT(C1684:F1684,COLUMN($A$1:$D$1)-1)+SUMPRODUCT(H1684:K1684,COLUMN($E$1:$H$1)-1))*'Line Follower'!$C$3/SUM(C1684:F1684,H1684:K1684)-'Line Follower'!$C$5)))</f>
        <v>#N/A</v>
      </c>
      <c r="O1684" s="22" t="e">
        <v>#N/A</v>
      </c>
      <c r="P1684" s="4" t="e">
        <f t="shared" si="130"/>
        <v>#N/A</v>
      </c>
      <c r="Q1684" s="4" t="e">
        <f t="shared" si="131"/>
        <v>#N/A</v>
      </c>
      <c r="R1684" s="4" t="e">
        <f>IF(AND(B1684=1,N1684&gt;'Line Follower'!$C$7,SUM(C1684:K1684)&lt;4),1,0)</f>
        <v>#N/A</v>
      </c>
      <c r="S1684" s="4" t="e">
        <f>IF(AND(L1684=1,N1684&lt;'Line Follower'!$C$6,SUM(C1684:K1684)&lt;4),1,0)</f>
        <v>#N/A</v>
      </c>
      <c r="T1684" s="4" t="e">
        <f t="shared" si="132"/>
        <v>#N/A</v>
      </c>
      <c r="U1684" s="5" t="e">
        <f t="shared" si="133"/>
        <v>#N/A</v>
      </c>
      <c r="V1684" s="23" t="e">
        <f t="shared" si="134"/>
        <v>#N/A</v>
      </c>
    </row>
    <row r="1685" spans="2:22" x14ac:dyDescent="0.25">
      <c r="B1685" s="16">
        <v>0</v>
      </c>
      <c r="C1685" s="7">
        <v>1</v>
      </c>
      <c r="D1685" s="8">
        <v>0</v>
      </c>
      <c r="E1685" s="8">
        <v>0</v>
      </c>
      <c r="F1685" s="8">
        <v>1</v>
      </c>
      <c r="G1685" s="8">
        <v>0</v>
      </c>
      <c r="H1685" s="8">
        <v>0</v>
      </c>
      <c r="I1685" s="8">
        <v>1</v>
      </c>
      <c r="J1685" s="8">
        <v>0</v>
      </c>
      <c r="K1685" s="9">
        <v>1</v>
      </c>
      <c r="L1685" s="10">
        <v>1</v>
      </c>
      <c r="M1685" s="6">
        <v>0</v>
      </c>
      <c r="N1685" s="37" t="e" cm="1">
        <f t="array" ref="N1685">IF(OR(ISNUMBER(FIND(Aux!$D$3:$D$9,_xlfn.TEXTJOIN(,,C1685:K1685)))),NA(),IF(AND(SUM(C1685:F1685,H1685:K1685)=0,G1685=1),0,INT((SUMPRODUCT(C1685:F1685,COLUMN($A$1:$D$1)-1)+SUMPRODUCT(H1685:K1685,COLUMN($E$1:$H$1)-1))*'Line Follower'!$C$3/SUM(C1685:F1685,H1685:K1685)-'Line Follower'!$C$5)))</f>
        <v>#N/A</v>
      </c>
      <c r="O1685" s="22" t="e">
        <v>#N/A</v>
      </c>
      <c r="P1685" s="4" t="e">
        <f t="shared" si="130"/>
        <v>#N/A</v>
      </c>
      <c r="Q1685" s="4" t="e">
        <f t="shared" si="131"/>
        <v>#N/A</v>
      </c>
      <c r="R1685" s="4" t="e">
        <f>IF(AND(B1685=1,N1685&gt;'Line Follower'!$C$7,SUM(C1685:K1685)&lt;4),1,0)</f>
        <v>#N/A</v>
      </c>
      <c r="S1685" s="4" t="e">
        <f>IF(AND(L1685=1,N1685&lt;'Line Follower'!$C$6,SUM(C1685:K1685)&lt;4),1,0)</f>
        <v>#N/A</v>
      </c>
      <c r="T1685" s="4" t="e">
        <f t="shared" si="132"/>
        <v>#N/A</v>
      </c>
      <c r="U1685" s="5" t="e">
        <f t="shared" si="133"/>
        <v>#N/A</v>
      </c>
      <c r="V1685" s="23" t="e">
        <f t="shared" si="134"/>
        <v>#N/A</v>
      </c>
    </row>
    <row r="1686" spans="2:22" x14ac:dyDescent="0.25">
      <c r="B1686" s="16">
        <v>1</v>
      </c>
      <c r="C1686" s="7">
        <v>1</v>
      </c>
      <c r="D1686" s="8">
        <v>0</v>
      </c>
      <c r="E1686" s="8">
        <v>0</v>
      </c>
      <c r="F1686" s="8">
        <v>1</v>
      </c>
      <c r="G1686" s="8">
        <v>0</v>
      </c>
      <c r="H1686" s="8">
        <v>0</v>
      </c>
      <c r="I1686" s="8">
        <v>1</v>
      </c>
      <c r="J1686" s="8">
        <v>0</v>
      </c>
      <c r="K1686" s="9">
        <v>1</v>
      </c>
      <c r="L1686" s="10">
        <v>1</v>
      </c>
      <c r="M1686" s="6">
        <v>0</v>
      </c>
      <c r="N1686" s="37" t="e" cm="1">
        <f t="array" ref="N1686">IF(OR(ISNUMBER(FIND(Aux!$D$3:$D$9,_xlfn.TEXTJOIN(,,C1686:K1686)))),NA(),IF(AND(SUM(C1686:F1686,H1686:K1686)=0,G1686=1),0,INT((SUMPRODUCT(C1686:F1686,COLUMN($A$1:$D$1)-1)+SUMPRODUCT(H1686:K1686,COLUMN($E$1:$H$1)-1))*'Line Follower'!$C$3/SUM(C1686:F1686,H1686:K1686)-'Line Follower'!$C$5)))</f>
        <v>#N/A</v>
      </c>
      <c r="O1686" s="22" t="e">
        <v>#N/A</v>
      </c>
      <c r="P1686" s="4" t="e">
        <f t="shared" si="130"/>
        <v>#N/A</v>
      </c>
      <c r="Q1686" s="4" t="e">
        <f t="shared" si="131"/>
        <v>#N/A</v>
      </c>
      <c r="R1686" s="4" t="e">
        <f>IF(AND(B1686=1,N1686&gt;'Line Follower'!$C$7,SUM(C1686:K1686)&lt;4),1,0)</f>
        <v>#N/A</v>
      </c>
      <c r="S1686" s="4" t="e">
        <f>IF(AND(L1686=1,N1686&lt;'Line Follower'!$C$6,SUM(C1686:K1686)&lt;4),1,0)</f>
        <v>#N/A</v>
      </c>
      <c r="T1686" s="4" t="e">
        <f t="shared" si="132"/>
        <v>#N/A</v>
      </c>
      <c r="U1686" s="5" t="e">
        <f t="shared" si="133"/>
        <v>#N/A</v>
      </c>
      <c r="V1686" s="23" t="e">
        <f t="shared" si="134"/>
        <v>#N/A</v>
      </c>
    </row>
    <row r="1687" spans="2:22" x14ac:dyDescent="0.25">
      <c r="B1687" s="16">
        <v>0</v>
      </c>
      <c r="C1687" s="7">
        <v>0</v>
      </c>
      <c r="D1687" s="8">
        <v>1</v>
      </c>
      <c r="E1687" s="8">
        <v>0</v>
      </c>
      <c r="F1687" s="8">
        <v>1</v>
      </c>
      <c r="G1687" s="8">
        <v>0</v>
      </c>
      <c r="H1687" s="8">
        <v>0</v>
      </c>
      <c r="I1687" s="8">
        <v>1</v>
      </c>
      <c r="J1687" s="8">
        <v>0</v>
      </c>
      <c r="K1687" s="9">
        <v>1</v>
      </c>
      <c r="L1687" s="10">
        <v>1</v>
      </c>
      <c r="M1687" s="6">
        <v>0</v>
      </c>
      <c r="N1687" s="37" t="e" cm="1">
        <f t="array" ref="N1687">IF(OR(ISNUMBER(FIND(Aux!$D$3:$D$9,_xlfn.TEXTJOIN(,,C1687:K1687)))),NA(),IF(AND(SUM(C1687:F1687,H1687:K1687)=0,G1687=1),0,INT((SUMPRODUCT(C1687:F1687,COLUMN($A$1:$D$1)-1)+SUMPRODUCT(H1687:K1687,COLUMN($E$1:$H$1)-1))*'Line Follower'!$C$3/SUM(C1687:F1687,H1687:K1687)-'Line Follower'!$C$5)))</f>
        <v>#N/A</v>
      </c>
      <c r="O1687" s="22" t="e">
        <v>#N/A</v>
      </c>
      <c r="P1687" s="4" t="e">
        <f t="shared" si="130"/>
        <v>#N/A</v>
      </c>
      <c r="Q1687" s="4" t="e">
        <f t="shared" si="131"/>
        <v>#N/A</v>
      </c>
      <c r="R1687" s="4" t="e">
        <f>IF(AND(B1687=1,N1687&gt;'Line Follower'!$C$7,SUM(C1687:K1687)&lt;4),1,0)</f>
        <v>#N/A</v>
      </c>
      <c r="S1687" s="4" t="e">
        <f>IF(AND(L1687=1,N1687&lt;'Line Follower'!$C$6,SUM(C1687:K1687)&lt;4),1,0)</f>
        <v>#N/A</v>
      </c>
      <c r="T1687" s="4" t="e">
        <f t="shared" si="132"/>
        <v>#N/A</v>
      </c>
      <c r="U1687" s="5" t="e">
        <f t="shared" si="133"/>
        <v>#N/A</v>
      </c>
      <c r="V1687" s="23" t="e">
        <f t="shared" si="134"/>
        <v>#N/A</v>
      </c>
    </row>
    <row r="1688" spans="2:22" x14ac:dyDescent="0.25">
      <c r="B1688" s="16">
        <v>1</v>
      </c>
      <c r="C1688" s="7">
        <v>0</v>
      </c>
      <c r="D1688" s="8">
        <v>1</v>
      </c>
      <c r="E1688" s="8">
        <v>0</v>
      </c>
      <c r="F1688" s="8">
        <v>1</v>
      </c>
      <c r="G1688" s="8">
        <v>0</v>
      </c>
      <c r="H1688" s="8">
        <v>0</v>
      </c>
      <c r="I1688" s="8">
        <v>1</v>
      </c>
      <c r="J1688" s="8">
        <v>0</v>
      </c>
      <c r="K1688" s="9">
        <v>1</v>
      </c>
      <c r="L1688" s="10">
        <v>1</v>
      </c>
      <c r="M1688" s="6">
        <v>0</v>
      </c>
      <c r="N1688" s="37" t="e" cm="1">
        <f t="array" ref="N1688">IF(OR(ISNUMBER(FIND(Aux!$D$3:$D$9,_xlfn.TEXTJOIN(,,C1688:K1688)))),NA(),IF(AND(SUM(C1688:F1688,H1688:K1688)=0,G1688=1),0,INT((SUMPRODUCT(C1688:F1688,COLUMN($A$1:$D$1)-1)+SUMPRODUCT(H1688:K1688,COLUMN($E$1:$H$1)-1))*'Line Follower'!$C$3/SUM(C1688:F1688,H1688:K1688)-'Line Follower'!$C$5)))</f>
        <v>#N/A</v>
      </c>
      <c r="O1688" s="22" t="e">
        <v>#N/A</v>
      </c>
      <c r="P1688" s="4" t="e">
        <f t="shared" si="130"/>
        <v>#N/A</v>
      </c>
      <c r="Q1688" s="4" t="e">
        <f t="shared" si="131"/>
        <v>#N/A</v>
      </c>
      <c r="R1688" s="4" t="e">
        <f>IF(AND(B1688=1,N1688&gt;'Line Follower'!$C$7,SUM(C1688:K1688)&lt;4),1,0)</f>
        <v>#N/A</v>
      </c>
      <c r="S1688" s="4" t="e">
        <f>IF(AND(L1688=1,N1688&lt;'Line Follower'!$C$6,SUM(C1688:K1688)&lt;4),1,0)</f>
        <v>#N/A</v>
      </c>
      <c r="T1688" s="4" t="e">
        <f t="shared" si="132"/>
        <v>#N/A</v>
      </c>
      <c r="U1688" s="5" t="e">
        <f t="shared" si="133"/>
        <v>#N/A</v>
      </c>
      <c r="V1688" s="23" t="e">
        <f t="shared" si="134"/>
        <v>#N/A</v>
      </c>
    </row>
    <row r="1689" spans="2:22" x14ac:dyDescent="0.25">
      <c r="B1689" s="16">
        <v>0</v>
      </c>
      <c r="C1689" s="7">
        <v>1</v>
      </c>
      <c r="D1689" s="8">
        <v>1</v>
      </c>
      <c r="E1689" s="8">
        <v>0</v>
      </c>
      <c r="F1689" s="8">
        <v>1</v>
      </c>
      <c r="G1689" s="8">
        <v>0</v>
      </c>
      <c r="H1689" s="8">
        <v>0</v>
      </c>
      <c r="I1689" s="8">
        <v>1</v>
      </c>
      <c r="J1689" s="8">
        <v>0</v>
      </c>
      <c r="K1689" s="9">
        <v>1</v>
      </c>
      <c r="L1689" s="10">
        <v>1</v>
      </c>
      <c r="M1689" s="6">
        <v>0</v>
      </c>
      <c r="N1689" s="37" t="e" cm="1">
        <f t="array" ref="N1689">IF(OR(ISNUMBER(FIND(Aux!$D$3:$D$9,_xlfn.TEXTJOIN(,,C1689:K1689)))),NA(),IF(AND(SUM(C1689:F1689,H1689:K1689)=0,G1689=1),0,INT((SUMPRODUCT(C1689:F1689,COLUMN($A$1:$D$1)-1)+SUMPRODUCT(H1689:K1689,COLUMN($E$1:$H$1)-1))*'Line Follower'!$C$3/SUM(C1689:F1689,H1689:K1689)-'Line Follower'!$C$5)))</f>
        <v>#N/A</v>
      </c>
      <c r="O1689" s="22" t="e">
        <v>#N/A</v>
      </c>
      <c r="P1689" s="4" t="e">
        <f t="shared" si="130"/>
        <v>#N/A</v>
      </c>
      <c r="Q1689" s="4" t="e">
        <f t="shared" si="131"/>
        <v>#N/A</v>
      </c>
      <c r="R1689" s="4" t="e">
        <f>IF(AND(B1689=1,N1689&gt;'Line Follower'!$C$7,SUM(C1689:K1689)&lt;4),1,0)</f>
        <v>#N/A</v>
      </c>
      <c r="S1689" s="4" t="e">
        <f>IF(AND(L1689=1,N1689&lt;'Line Follower'!$C$6,SUM(C1689:K1689)&lt;4),1,0)</f>
        <v>#N/A</v>
      </c>
      <c r="T1689" s="4" t="e">
        <f t="shared" si="132"/>
        <v>#N/A</v>
      </c>
      <c r="U1689" s="5" t="e">
        <f t="shared" si="133"/>
        <v>#N/A</v>
      </c>
      <c r="V1689" s="23" t="e">
        <f t="shared" si="134"/>
        <v>#N/A</v>
      </c>
    </row>
    <row r="1690" spans="2:22" x14ac:dyDescent="0.25">
      <c r="B1690" s="16">
        <v>1</v>
      </c>
      <c r="C1690" s="7">
        <v>1</v>
      </c>
      <c r="D1690" s="8">
        <v>1</v>
      </c>
      <c r="E1690" s="8">
        <v>0</v>
      </c>
      <c r="F1690" s="8">
        <v>1</v>
      </c>
      <c r="G1690" s="8">
        <v>0</v>
      </c>
      <c r="H1690" s="8">
        <v>0</v>
      </c>
      <c r="I1690" s="8">
        <v>1</v>
      </c>
      <c r="J1690" s="8">
        <v>0</v>
      </c>
      <c r="K1690" s="9">
        <v>1</v>
      </c>
      <c r="L1690" s="10">
        <v>1</v>
      </c>
      <c r="M1690" s="6">
        <v>0</v>
      </c>
      <c r="N1690" s="37" t="e" cm="1">
        <f t="array" ref="N1690">IF(OR(ISNUMBER(FIND(Aux!$D$3:$D$9,_xlfn.TEXTJOIN(,,C1690:K1690)))),NA(),IF(AND(SUM(C1690:F1690,H1690:K1690)=0,G1690=1),0,INT((SUMPRODUCT(C1690:F1690,COLUMN($A$1:$D$1)-1)+SUMPRODUCT(H1690:K1690,COLUMN($E$1:$H$1)-1))*'Line Follower'!$C$3/SUM(C1690:F1690,H1690:K1690)-'Line Follower'!$C$5)))</f>
        <v>#N/A</v>
      </c>
      <c r="O1690" s="22" t="e">
        <v>#N/A</v>
      </c>
      <c r="P1690" s="4" t="e">
        <f t="shared" si="130"/>
        <v>#N/A</v>
      </c>
      <c r="Q1690" s="4" t="e">
        <f t="shared" si="131"/>
        <v>#N/A</v>
      </c>
      <c r="R1690" s="4" t="e">
        <f>IF(AND(B1690=1,N1690&gt;'Line Follower'!$C$7,SUM(C1690:K1690)&lt;4),1,0)</f>
        <v>#N/A</v>
      </c>
      <c r="S1690" s="4" t="e">
        <f>IF(AND(L1690=1,N1690&lt;'Line Follower'!$C$6,SUM(C1690:K1690)&lt;4),1,0)</f>
        <v>#N/A</v>
      </c>
      <c r="T1690" s="4" t="e">
        <f t="shared" si="132"/>
        <v>#N/A</v>
      </c>
      <c r="U1690" s="5" t="e">
        <f t="shared" si="133"/>
        <v>#N/A</v>
      </c>
      <c r="V1690" s="23" t="e">
        <f t="shared" si="134"/>
        <v>#N/A</v>
      </c>
    </row>
    <row r="1691" spans="2:22" x14ac:dyDescent="0.25">
      <c r="B1691" s="16">
        <v>0</v>
      </c>
      <c r="C1691" s="7">
        <v>0</v>
      </c>
      <c r="D1691" s="8">
        <v>0</v>
      </c>
      <c r="E1691" s="8">
        <v>1</v>
      </c>
      <c r="F1691" s="8">
        <v>1</v>
      </c>
      <c r="G1691" s="8">
        <v>0</v>
      </c>
      <c r="H1691" s="8">
        <v>0</v>
      </c>
      <c r="I1691" s="8">
        <v>1</v>
      </c>
      <c r="J1691" s="8">
        <v>0</v>
      </c>
      <c r="K1691" s="9">
        <v>1</v>
      </c>
      <c r="L1691" s="10">
        <v>1</v>
      </c>
      <c r="M1691" s="6">
        <v>0</v>
      </c>
      <c r="N1691" s="37" t="e" cm="1">
        <f t="array" ref="N1691">IF(OR(ISNUMBER(FIND(Aux!$D$3:$D$9,_xlfn.TEXTJOIN(,,C1691:K1691)))),NA(),IF(AND(SUM(C1691:F1691,H1691:K1691)=0,G1691=1),0,INT((SUMPRODUCT(C1691:F1691,COLUMN($A$1:$D$1)-1)+SUMPRODUCT(H1691:K1691,COLUMN($E$1:$H$1)-1))*'Line Follower'!$C$3/SUM(C1691:F1691,H1691:K1691)-'Line Follower'!$C$5)))</f>
        <v>#N/A</v>
      </c>
      <c r="O1691" s="22" t="e">
        <v>#N/A</v>
      </c>
      <c r="P1691" s="4" t="e">
        <f t="shared" si="130"/>
        <v>#N/A</v>
      </c>
      <c r="Q1691" s="4" t="e">
        <f t="shared" si="131"/>
        <v>#N/A</v>
      </c>
      <c r="R1691" s="4" t="e">
        <f>IF(AND(B1691=1,N1691&gt;'Line Follower'!$C$7,SUM(C1691:K1691)&lt;4),1,0)</f>
        <v>#N/A</v>
      </c>
      <c r="S1691" s="4" t="e">
        <f>IF(AND(L1691=1,N1691&lt;'Line Follower'!$C$6,SUM(C1691:K1691)&lt;4),1,0)</f>
        <v>#N/A</v>
      </c>
      <c r="T1691" s="4" t="e">
        <f t="shared" si="132"/>
        <v>#N/A</v>
      </c>
      <c r="U1691" s="5" t="e">
        <f t="shared" si="133"/>
        <v>#N/A</v>
      </c>
      <c r="V1691" s="23" t="e">
        <f t="shared" si="134"/>
        <v>#N/A</v>
      </c>
    </row>
    <row r="1692" spans="2:22" x14ac:dyDescent="0.25">
      <c r="B1692" s="16">
        <v>1</v>
      </c>
      <c r="C1692" s="7">
        <v>0</v>
      </c>
      <c r="D1692" s="8">
        <v>0</v>
      </c>
      <c r="E1692" s="8">
        <v>1</v>
      </c>
      <c r="F1692" s="8">
        <v>1</v>
      </c>
      <c r="G1692" s="8">
        <v>0</v>
      </c>
      <c r="H1692" s="8">
        <v>0</v>
      </c>
      <c r="I1692" s="8">
        <v>1</v>
      </c>
      <c r="J1692" s="8">
        <v>0</v>
      </c>
      <c r="K1692" s="9">
        <v>1</v>
      </c>
      <c r="L1692" s="10">
        <v>1</v>
      </c>
      <c r="M1692" s="6">
        <v>0</v>
      </c>
      <c r="N1692" s="37" t="e" cm="1">
        <f t="array" ref="N1692">IF(OR(ISNUMBER(FIND(Aux!$D$3:$D$9,_xlfn.TEXTJOIN(,,C1692:K1692)))),NA(),IF(AND(SUM(C1692:F1692,H1692:K1692)=0,G1692=1),0,INT((SUMPRODUCT(C1692:F1692,COLUMN($A$1:$D$1)-1)+SUMPRODUCT(H1692:K1692,COLUMN($E$1:$H$1)-1))*'Line Follower'!$C$3/SUM(C1692:F1692,H1692:K1692)-'Line Follower'!$C$5)))</f>
        <v>#N/A</v>
      </c>
      <c r="O1692" s="22" t="e">
        <v>#N/A</v>
      </c>
      <c r="P1692" s="4" t="e">
        <f t="shared" si="130"/>
        <v>#N/A</v>
      </c>
      <c r="Q1692" s="4" t="e">
        <f t="shared" si="131"/>
        <v>#N/A</v>
      </c>
      <c r="R1692" s="4" t="e">
        <f>IF(AND(B1692=1,N1692&gt;'Line Follower'!$C$7,SUM(C1692:K1692)&lt;4),1,0)</f>
        <v>#N/A</v>
      </c>
      <c r="S1692" s="4" t="e">
        <f>IF(AND(L1692=1,N1692&lt;'Line Follower'!$C$6,SUM(C1692:K1692)&lt;4),1,0)</f>
        <v>#N/A</v>
      </c>
      <c r="T1692" s="4" t="e">
        <f t="shared" si="132"/>
        <v>#N/A</v>
      </c>
      <c r="U1692" s="5" t="e">
        <f t="shared" si="133"/>
        <v>#N/A</v>
      </c>
      <c r="V1692" s="23" t="e">
        <f t="shared" si="134"/>
        <v>#N/A</v>
      </c>
    </row>
    <row r="1693" spans="2:22" x14ac:dyDescent="0.25">
      <c r="B1693" s="16">
        <v>0</v>
      </c>
      <c r="C1693" s="7">
        <v>1</v>
      </c>
      <c r="D1693" s="8">
        <v>0</v>
      </c>
      <c r="E1693" s="8">
        <v>1</v>
      </c>
      <c r="F1693" s="8">
        <v>1</v>
      </c>
      <c r="G1693" s="8">
        <v>0</v>
      </c>
      <c r="H1693" s="8">
        <v>0</v>
      </c>
      <c r="I1693" s="8">
        <v>1</v>
      </c>
      <c r="J1693" s="8">
        <v>0</v>
      </c>
      <c r="K1693" s="9">
        <v>1</v>
      </c>
      <c r="L1693" s="10">
        <v>1</v>
      </c>
      <c r="M1693" s="6">
        <v>0</v>
      </c>
      <c r="N1693" s="37" t="e" cm="1">
        <f t="array" ref="N1693">IF(OR(ISNUMBER(FIND(Aux!$D$3:$D$9,_xlfn.TEXTJOIN(,,C1693:K1693)))),NA(),IF(AND(SUM(C1693:F1693,H1693:K1693)=0,G1693=1),0,INT((SUMPRODUCT(C1693:F1693,COLUMN($A$1:$D$1)-1)+SUMPRODUCT(H1693:K1693,COLUMN($E$1:$H$1)-1))*'Line Follower'!$C$3/SUM(C1693:F1693,H1693:K1693)-'Line Follower'!$C$5)))</f>
        <v>#N/A</v>
      </c>
      <c r="O1693" s="22" t="e">
        <v>#N/A</v>
      </c>
      <c r="P1693" s="4" t="e">
        <f t="shared" si="130"/>
        <v>#N/A</v>
      </c>
      <c r="Q1693" s="4" t="e">
        <f t="shared" si="131"/>
        <v>#N/A</v>
      </c>
      <c r="R1693" s="4" t="e">
        <f>IF(AND(B1693=1,N1693&gt;'Line Follower'!$C$7,SUM(C1693:K1693)&lt;4),1,0)</f>
        <v>#N/A</v>
      </c>
      <c r="S1693" s="4" t="e">
        <f>IF(AND(L1693=1,N1693&lt;'Line Follower'!$C$6,SUM(C1693:K1693)&lt;4),1,0)</f>
        <v>#N/A</v>
      </c>
      <c r="T1693" s="4" t="e">
        <f t="shared" si="132"/>
        <v>#N/A</v>
      </c>
      <c r="U1693" s="5" t="e">
        <f t="shared" si="133"/>
        <v>#N/A</v>
      </c>
      <c r="V1693" s="23" t="e">
        <f t="shared" si="134"/>
        <v>#N/A</v>
      </c>
    </row>
    <row r="1694" spans="2:22" x14ac:dyDescent="0.25">
      <c r="B1694" s="16">
        <v>1</v>
      </c>
      <c r="C1694" s="7">
        <v>1</v>
      </c>
      <c r="D1694" s="8">
        <v>0</v>
      </c>
      <c r="E1694" s="8">
        <v>1</v>
      </c>
      <c r="F1694" s="8">
        <v>1</v>
      </c>
      <c r="G1694" s="8">
        <v>0</v>
      </c>
      <c r="H1694" s="8">
        <v>0</v>
      </c>
      <c r="I1694" s="8">
        <v>1</v>
      </c>
      <c r="J1694" s="8">
        <v>0</v>
      </c>
      <c r="K1694" s="9">
        <v>1</v>
      </c>
      <c r="L1694" s="10">
        <v>1</v>
      </c>
      <c r="M1694" s="6">
        <v>0</v>
      </c>
      <c r="N1694" s="37" t="e" cm="1">
        <f t="array" ref="N1694">IF(OR(ISNUMBER(FIND(Aux!$D$3:$D$9,_xlfn.TEXTJOIN(,,C1694:K1694)))),NA(),IF(AND(SUM(C1694:F1694,H1694:K1694)=0,G1694=1),0,INT((SUMPRODUCT(C1694:F1694,COLUMN($A$1:$D$1)-1)+SUMPRODUCT(H1694:K1694,COLUMN($E$1:$H$1)-1))*'Line Follower'!$C$3/SUM(C1694:F1694,H1694:K1694)-'Line Follower'!$C$5)))</f>
        <v>#N/A</v>
      </c>
      <c r="O1694" s="22" t="e">
        <v>#N/A</v>
      </c>
      <c r="P1694" s="4" t="e">
        <f t="shared" si="130"/>
        <v>#N/A</v>
      </c>
      <c r="Q1694" s="4" t="e">
        <f t="shared" si="131"/>
        <v>#N/A</v>
      </c>
      <c r="R1694" s="4" t="e">
        <f>IF(AND(B1694=1,N1694&gt;'Line Follower'!$C$7,SUM(C1694:K1694)&lt;4),1,0)</f>
        <v>#N/A</v>
      </c>
      <c r="S1694" s="4" t="e">
        <f>IF(AND(L1694=1,N1694&lt;'Line Follower'!$C$6,SUM(C1694:K1694)&lt;4),1,0)</f>
        <v>#N/A</v>
      </c>
      <c r="T1694" s="4" t="e">
        <f t="shared" si="132"/>
        <v>#N/A</v>
      </c>
      <c r="U1694" s="5" t="e">
        <f t="shared" si="133"/>
        <v>#N/A</v>
      </c>
      <c r="V1694" s="23" t="e">
        <f t="shared" si="134"/>
        <v>#N/A</v>
      </c>
    </row>
    <row r="1695" spans="2:22" x14ac:dyDescent="0.25">
      <c r="B1695" s="16">
        <v>0</v>
      </c>
      <c r="C1695" s="7">
        <v>0</v>
      </c>
      <c r="D1695" s="8">
        <v>1</v>
      </c>
      <c r="E1695" s="8">
        <v>1</v>
      </c>
      <c r="F1695" s="8">
        <v>1</v>
      </c>
      <c r="G1695" s="8">
        <v>0</v>
      </c>
      <c r="H1695" s="8">
        <v>0</v>
      </c>
      <c r="I1695" s="8">
        <v>1</v>
      </c>
      <c r="J1695" s="8">
        <v>0</v>
      </c>
      <c r="K1695" s="9">
        <v>1</v>
      </c>
      <c r="L1695" s="10">
        <v>1</v>
      </c>
      <c r="M1695" s="6">
        <v>0</v>
      </c>
      <c r="N1695" s="37" t="e" cm="1">
        <f t="array" ref="N1695">IF(OR(ISNUMBER(FIND(Aux!$D$3:$D$9,_xlfn.TEXTJOIN(,,C1695:K1695)))),NA(),IF(AND(SUM(C1695:F1695,H1695:K1695)=0,G1695=1),0,INT((SUMPRODUCT(C1695:F1695,COLUMN($A$1:$D$1)-1)+SUMPRODUCT(H1695:K1695,COLUMN($E$1:$H$1)-1))*'Line Follower'!$C$3/SUM(C1695:F1695,H1695:K1695)-'Line Follower'!$C$5)))</f>
        <v>#N/A</v>
      </c>
      <c r="O1695" s="22" t="e">
        <v>#N/A</v>
      </c>
      <c r="P1695" s="4" t="e">
        <f t="shared" si="130"/>
        <v>#N/A</v>
      </c>
      <c r="Q1695" s="4" t="e">
        <f t="shared" si="131"/>
        <v>#N/A</v>
      </c>
      <c r="R1695" s="4" t="e">
        <f>IF(AND(B1695=1,N1695&gt;'Line Follower'!$C$7,SUM(C1695:K1695)&lt;4),1,0)</f>
        <v>#N/A</v>
      </c>
      <c r="S1695" s="4" t="e">
        <f>IF(AND(L1695=1,N1695&lt;'Line Follower'!$C$6,SUM(C1695:K1695)&lt;4),1,0)</f>
        <v>#N/A</v>
      </c>
      <c r="T1695" s="4" t="e">
        <f t="shared" si="132"/>
        <v>#N/A</v>
      </c>
      <c r="U1695" s="5" t="e">
        <f t="shared" si="133"/>
        <v>#N/A</v>
      </c>
      <c r="V1695" s="23" t="e">
        <f t="shared" si="134"/>
        <v>#N/A</v>
      </c>
    </row>
    <row r="1696" spans="2:22" x14ac:dyDescent="0.25">
      <c r="B1696" s="16">
        <v>1</v>
      </c>
      <c r="C1696" s="7">
        <v>0</v>
      </c>
      <c r="D1696" s="8">
        <v>1</v>
      </c>
      <c r="E1696" s="8">
        <v>1</v>
      </c>
      <c r="F1696" s="8">
        <v>1</v>
      </c>
      <c r="G1696" s="8">
        <v>0</v>
      </c>
      <c r="H1696" s="8">
        <v>0</v>
      </c>
      <c r="I1696" s="8">
        <v>1</v>
      </c>
      <c r="J1696" s="8">
        <v>0</v>
      </c>
      <c r="K1696" s="9">
        <v>1</v>
      </c>
      <c r="L1696" s="10">
        <v>1</v>
      </c>
      <c r="M1696" s="6">
        <v>0</v>
      </c>
      <c r="N1696" s="37" t="e" cm="1">
        <f t="array" ref="N1696">IF(OR(ISNUMBER(FIND(Aux!$D$3:$D$9,_xlfn.TEXTJOIN(,,C1696:K1696)))),NA(),IF(AND(SUM(C1696:F1696,H1696:K1696)=0,G1696=1),0,INT((SUMPRODUCT(C1696:F1696,COLUMN($A$1:$D$1)-1)+SUMPRODUCT(H1696:K1696,COLUMN($E$1:$H$1)-1))*'Line Follower'!$C$3/SUM(C1696:F1696,H1696:K1696)-'Line Follower'!$C$5)))</f>
        <v>#N/A</v>
      </c>
      <c r="O1696" s="22" t="e">
        <v>#N/A</v>
      </c>
      <c r="P1696" s="4" t="e">
        <f t="shared" si="130"/>
        <v>#N/A</v>
      </c>
      <c r="Q1696" s="4" t="e">
        <f t="shared" si="131"/>
        <v>#N/A</v>
      </c>
      <c r="R1696" s="4" t="e">
        <f>IF(AND(B1696=1,N1696&gt;'Line Follower'!$C$7,SUM(C1696:K1696)&lt;4),1,0)</f>
        <v>#N/A</v>
      </c>
      <c r="S1696" s="4" t="e">
        <f>IF(AND(L1696=1,N1696&lt;'Line Follower'!$C$6,SUM(C1696:K1696)&lt;4),1,0)</f>
        <v>#N/A</v>
      </c>
      <c r="T1696" s="4" t="e">
        <f t="shared" si="132"/>
        <v>#N/A</v>
      </c>
      <c r="U1696" s="5" t="e">
        <f t="shared" si="133"/>
        <v>#N/A</v>
      </c>
      <c r="V1696" s="23" t="e">
        <f t="shared" si="134"/>
        <v>#N/A</v>
      </c>
    </row>
    <row r="1697" spans="2:22" x14ac:dyDescent="0.25">
      <c r="B1697" s="16">
        <v>0</v>
      </c>
      <c r="C1697" s="7">
        <v>1</v>
      </c>
      <c r="D1697" s="8">
        <v>1</v>
      </c>
      <c r="E1697" s="8">
        <v>1</v>
      </c>
      <c r="F1697" s="8">
        <v>1</v>
      </c>
      <c r="G1697" s="8">
        <v>0</v>
      </c>
      <c r="H1697" s="8">
        <v>0</v>
      </c>
      <c r="I1697" s="8">
        <v>1</v>
      </c>
      <c r="J1697" s="8">
        <v>0</v>
      </c>
      <c r="K1697" s="9">
        <v>1</v>
      </c>
      <c r="L1697" s="10">
        <v>1</v>
      </c>
      <c r="M1697" s="6">
        <v>0</v>
      </c>
      <c r="N1697" s="37" t="e" cm="1">
        <f t="array" ref="N1697">IF(OR(ISNUMBER(FIND(Aux!$D$3:$D$9,_xlfn.TEXTJOIN(,,C1697:K1697)))),NA(),IF(AND(SUM(C1697:F1697,H1697:K1697)=0,G1697=1),0,INT((SUMPRODUCT(C1697:F1697,COLUMN($A$1:$D$1)-1)+SUMPRODUCT(H1697:K1697,COLUMN($E$1:$H$1)-1))*'Line Follower'!$C$3/SUM(C1697:F1697,H1697:K1697)-'Line Follower'!$C$5)))</f>
        <v>#N/A</v>
      </c>
      <c r="O1697" s="22" t="e">
        <v>#N/A</v>
      </c>
      <c r="P1697" s="4" t="e">
        <f t="shared" si="130"/>
        <v>#N/A</v>
      </c>
      <c r="Q1697" s="4" t="e">
        <f t="shared" si="131"/>
        <v>#N/A</v>
      </c>
      <c r="R1697" s="4" t="e">
        <f>IF(AND(B1697=1,N1697&gt;'Line Follower'!$C$7,SUM(C1697:K1697)&lt;4),1,0)</f>
        <v>#N/A</v>
      </c>
      <c r="S1697" s="4" t="e">
        <f>IF(AND(L1697=1,N1697&lt;'Line Follower'!$C$6,SUM(C1697:K1697)&lt;4),1,0)</f>
        <v>#N/A</v>
      </c>
      <c r="T1697" s="4" t="e">
        <f t="shared" si="132"/>
        <v>#N/A</v>
      </c>
      <c r="U1697" s="5" t="e">
        <f t="shared" si="133"/>
        <v>#N/A</v>
      </c>
      <c r="V1697" s="23" t="e">
        <f t="shared" si="134"/>
        <v>#N/A</v>
      </c>
    </row>
    <row r="1698" spans="2:22" x14ac:dyDescent="0.25">
      <c r="B1698" s="16">
        <v>1</v>
      </c>
      <c r="C1698" s="7">
        <v>1</v>
      </c>
      <c r="D1698" s="8">
        <v>1</v>
      </c>
      <c r="E1698" s="8">
        <v>1</v>
      </c>
      <c r="F1698" s="8">
        <v>1</v>
      </c>
      <c r="G1698" s="8">
        <v>0</v>
      </c>
      <c r="H1698" s="8">
        <v>0</v>
      </c>
      <c r="I1698" s="8">
        <v>1</v>
      </c>
      <c r="J1698" s="8">
        <v>0</v>
      </c>
      <c r="K1698" s="9">
        <v>1</v>
      </c>
      <c r="L1698" s="10">
        <v>1</v>
      </c>
      <c r="M1698" s="6">
        <v>0</v>
      </c>
      <c r="N1698" s="37" t="e" cm="1">
        <f t="array" ref="N1698">IF(OR(ISNUMBER(FIND(Aux!$D$3:$D$9,_xlfn.TEXTJOIN(,,C1698:K1698)))),NA(),IF(AND(SUM(C1698:F1698,H1698:K1698)=0,G1698=1),0,INT((SUMPRODUCT(C1698:F1698,COLUMN($A$1:$D$1)-1)+SUMPRODUCT(H1698:K1698,COLUMN($E$1:$H$1)-1))*'Line Follower'!$C$3/SUM(C1698:F1698,H1698:K1698)-'Line Follower'!$C$5)))</f>
        <v>#N/A</v>
      </c>
      <c r="O1698" s="22" t="e">
        <v>#N/A</v>
      </c>
      <c r="P1698" s="4" t="e">
        <f t="shared" si="130"/>
        <v>#N/A</v>
      </c>
      <c r="Q1698" s="4" t="e">
        <f t="shared" si="131"/>
        <v>#N/A</v>
      </c>
      <c r="R1698" s="4" t="e">
        <f>IF(AND(B1698=1,N1698&gt;'Line Follower'!$C$7,SUM(C1698:K1698)&lt;4),1,0)</f>
        <v>#N/A</v>
      </c>
      <c r="S1698" s="4" t="e">
        <f>IF(AND(L1698=1,N1698&lt;'Line Follower'!$C$6,SUM(C1698:K1698)&lt;4),1,0)</f>
        <v>#N/A</v>
      </c>
      <c r="T1698" s="4" t="e">
        <f t="shared" si="132"/>
        <v>#N/A</v>
      </c>
      <c r="U1698" s="5" t="e">
        <f t="shared" si="133"/>
        <v>#N/A</v>
      </c>
      <c r="V1698" s="23" t="e">
        <f t="shared" si="134"/>
        <v>#N/A</v>
      </c>
    </row>
    <row r="1699" spans="2:22" x14ac:dyDescent="0.25">
      <c r="B1699" s="16">
        <v>0</v>
      </c>
      <c r="C1699" s="7">
        <v>0</v>
      </c>
      <c r="D1699" s="8">
        <v>0</v>
      </c>
      <c r="E1699" s="8">
        <v>0</v>
      </c>
      <c r="F1699" s="8">
        <v>0</v>
      </c>
      <c r="G1699" s="8">
        <v>1</v>
      </c>
      <c r="H1699" s="8">
        <v>0</v>
      </c>
      <c r="I1699" s="8">
        <v>1</v>
      </c>
      <c r="J1699" s="8">
        <v>0</v>
      </c>
      <c r="K1699" s="9">
        <v>1</v>
      </c>
      <c r="L1699" s="10">
        <v>1</v>
      </c>
      <c r="M1699" s="6">
        <v>0</v>
      </c>
      <c r="N1699" s="37" t="e" cm="1">
        <f t="array" ref="N1699">IF(OR(ISNUMBER(FIND(Aux!$D$3:$D$9,_xlfn.TEXTJOIN(,,C1699:K1699)))),NA(),IF(AND(SUM(C1699:F1699,H1699:K1699)=0,G1699=1),0,INT((SUMPRODUCT(C1699:F1699,COLUMN($A$1:$D$1)-1)+SUMPRODUCT(H1699:K1699,COLUMN($E$1:$H$1)-1))*'Line Follower'!$C$3/SUM(C1699:F1699,H1699:K1699)-'Line Follower'!$C$5)))</f>
        <v>#N/A</v>
      </c>
      <c r="O1699" s="22" t="e">
        <v>#N/A</v>
      </c>
      <c r="P1699" s="4" t="e">
        <f t="shared" si="130"/>
        <v>#N/A</v>
      </c>
      <c r="Q1699" s="4" t="e">
        <f t="shared" si="131"/>
        <v>#N/A</v>
      </c>
      <c r="R1699" s="4" t="e">
        <f>IF(AND(B1699=1,N1699&gt;'Line Follower'!$C$7,SUM(C1699:K1699)&lt;4),1,0)</f>
        <v>#N/A</v>
      </c>
      <c r="S1699" s="4" t="e">
        <f>IF(AND(L1699=1,N1699&lt;'Line Follower'!$C$6,SUM(C1699:K1699)&lt;4),1,0)</f>
        <v>#N/A</v>
      </c>
      <c r="T1699" s="4" t="e">
        <f t="shared" si="132"/>
        <v>#N/A</v>
      </c>
      <c r="U1699" s="5" t="e">
        <f t="shared" si="133"/>
        <v>#N/A</v>
      </c>
      <c r="V1699" s="23" t="e">
        <f t="shared" si="134"/>
        <v>#N/A</v>
      </c>
    </row>
    <row r="1700" spans="2:22" x14ac:dyDescent="0.25">
      <c r="B1700" s="16">
        <v>1</v>
      </c>
      <c r="C1700" s="7">
        <v>0</v>
      </c>
      <c r="D1700" s="8">
        <v>0</v>
      </c>
      <c r="E1700" s="8">
        <v>0</v>
      </c>
      <c r="F1700" s="8">
        <v>0</v>
      </c>
      <c r="G1700" s="8">
        <v>1</v>
      </c>
      <c r="H1700" s="8">
        <v>0</v>
      </c>
      <c r="I1700" s="8">
        <v>1</v>
      </c>
      <c r="J1700" s="8">
        <v>0</v>
      </c>
      <c r="K1700" s="9">
        <v>1</v>
      </c>
      <c r="L1700" s="10">
        <v>1</v>
      </c>
      <c r="M1700" s="6">
        <v>0</v>
      </c>
      <c r="N1700" s="37" t="e" cm="1">
        <f t="array" ref="N1700">IF(OR(ISNUMBER(FIND(Aux!$D$3:$D$9,_xlfn.TEXTJOIN(,,C1700:K1700)))),NA(),IF(AND(SUM(C1700:F1700,H1700:K1700)=0,G1700=1),0,INT((SUMPRODUCT(C1700:F1700,COLUMN($A$1:$D$1)-1)+SUMPRODUCT(H1700:K1700,COLUMN($E$1:$H$1)-1))*'Line Follower'!$C$3/SUM(C1700:F1700,H1700:K1700)-'Line Follower'!$C$5)))</f>
        <v>#N/A</v>
      </c>
      <c r="O1700" s="22" t="e">
        <v>#N/A</v>
      </c>
      <c r="P1700" s="4" t="e">
        <f t="shared" si="130"/>
        <v>#N/A</v>
      </c>
      <c r="Q1700" s="4" t="e">
        <f t="shared" si="131"/>
        <v>#N/A</v>
      </c>
      <c r="R1700" s="4" t="e">
        <f>IF(AND(B1700=1,N1700&gt;'Line Follower'!$C$7,SUM(C1700:K1700)&lt;4),1,0)</f>
        <v>#N/A</v>
      </c>
      <c r="S1700" s="4" t="e">
        <f>IF(AND(L1700=1,N1700&lt;'Line Follower'!$C$6,SUM(C1700:K1700)&lt;4),1,0)</f>
        <v>#N/A</v>
      </c>
      <c r="T1700" s="4" t="e">
        <f t="shared" si="132"/>
        <v>#N/A</v>
      </c>
      <c r="U1700" s="5" t="e">
        <f t="shared" si="133"/>
        <v>#N/A</v>
      </c>
      <c r="V1700" s="23" t="e">
        <f t="shared" si="134"/>
        <v>#N/A</v>
      </c>
    </row>
    <row r="1701" spans="2:22" x14ac:dyDescent="0.25">
      <c r="B1701" s="16">
        <v>0</v>
      </c>
      <c r="C1701" s="7">
        <v>1</v>
      </c>
      <c r="D1701" s="8">
        <v>0</v>
      </c>
      <c r="E1701" s="8">
        <v>0</v>
      </c>
      <c r="F1701" s="8">
        <v>0</v>
      </c>
      <c r="G1701" s="8">
        <v>1</v>
      </c>
      <c r="H1701" s="8">
        <v>0</v>
      </c>
      <c r="I1701" s="8">
        <v>1</v>
      </c>
      <c r="J1701" s="8">
        <v>0</v>
      </c>
      <c r="K1701" s="9">
        <v>1</v>
      </c>
      <c r="L1701" s="10">
        <v>1</v>
      </c>
      <c r="M1701" s="6">
        <v>0</v>
      </c>
      <c r="N1701" s="37" t="e" cm="1">
        <f t="array" ref="N1701">IF(OR(ISNUMBER(FIND(Aux!$D$3:$D$9,_xlfn.TEXTJOIN(,,C1701:K1701)))),NA(),IF(AND(SUM(C1701:F1701,H1701:K1701)=0,G1701=1),0,INT((SUMPRODUCT(C1701:F1701,COLUMN($A$1:$D$1)-1)+SUMPRODUCT(H1701:K1701,COLUMN($E$1:$H$1)-1))*'Line Follower'!$C$3/SUM(C1701:F1701,H1701:K1701)-'Line Follower'!$C$5)))</f>
        <v>#N/A</v>
      </c>
      <c r="O1701" s="22" t="e">
        <v>#N/A</v>
      </c>
      <c r="P1701" s="4" t="e">
        <f t="shared" si="130"/>
        <v>#N/A</v>
      </c>
      <c r="Q1701" s="4" t="e">
        <f t="shared" si="131"/>
        <v>#N/A</v>
      </c>
      <c r="R1701" s="4" t="e">
        <f>IF(AND(B1701=1,N1701&gt;'Line Follower'!$C$7,SUM(C1701:K1701)&lt;4),1,0)</f>
        <v>#N/A</v>
      </c>
      <c r="S1701" s="4" t="e">
        <f>IF(AND(L1701=1,N1701&lt;'Line Follower'!$C$6,SUM(C1701:K1701)&lt;4),1,0)</f>
        <v>#N/A</v>
      </c>
      <c r="T1701" s="4" t="e">
        <f t="shared" si="132"/>
        <v>#N/A</v>
      </c>
      <c r="U1701" s="5" t="e">
        <f t="shared" si="133"/>
        <v>#N/A</v>
      </c>
      <c r="V1701" s="23" t="e">
        <f t="shared" si="134"/>
        <v>#N/A</v>
      </c>
    </row>
    <row r="1702" spans="2:22" x14ac:dyDescent="0.25">
      <c r="B1702" s="16">
        <v>1</v>
      </c>
      <c r="C1702" s="7">
        <v>1</v>
      </c>
      <c r="D1702" s="8">
        <v>0</v>
      </c>
      <c r="E1702" s="8">
        <v>0</v>
      </c>
      <c r="F1702" s="8">
        <v>0</v>
      </c>
      <c r="G1702" s="8">
        <v>1</v>
      </c>
      <c r="H1702" s="8">
        <v>0</v>
      </c>
      <c r="I1702" s="8">
        <v>1</v>
      </c>
      <c r="J1702" s="8">
        <v>0</v>
      </c>
      <c r="K1702" s="9">
        <v>1</v>
      </c>
      <c r="L1702" s="10">
        <v>1</v>
      </c>
      <c r="M1702" s="6">
        <v>0</v>
      </c>
      <c r="N1702" s="37" t="e" cm="1">
        <f t="array" ref="N1702">IF(OR(ISNUMBER(FIND(Aux!$D$3:$D$9,_xlfn.TEXTJOIN(,,C1702:K1702)))),NA(),IF(AND(SUM(C1702:F1702,H1702:K1702)=0,G1702=1),0,INT((SUMPRODUCT(C1702:F1702,COLUMN($A$1:$D$1)-1)+SUMPRODUCT(H1702:K1702,COLUMN($E$1:$H$1)-1))*'Line Follower'!$C$3/SUM(C1702:F1702,H1702:K1702)-'Line Follower'!$C$5)))</f>
        <v>#N/A</v>
      </c>
      <c r="O1702" s="22" t="e">
        <v>#N/A</v>
      </c>
      <c r="P1702" s="4" t="e">
        <f t="shared" si="130"/>
        <v>#N/A</v>
      </c>
      <c r="Q1702" s="4" t="e">
        <f t="shared" si="131"/>
        <v>#N/A</v>
      </c>
      <c r="R1702" s="4" t="e">
        <f>IF(AND(B1702=1,N1702&gt;'Line Follower'!$C$7,SUM(C1702:K1702)&lt;4),1,0)</f>
        <v>#N/A</v>
      </c>
      <c r="S1702" s="4" t="e">
        <f>IF(AND(L1702=1,N1702&lt;'Line Follower'!$C$6,SUM(C1702:K1702)&lt;4),1,0)</f>
        <v>#N/A</v>
      </c>
      <c r="T1702" s="4" t="e">
        <f t="shared" si="132"/>
        <v>#N/A</v>
      </c>
      <c r="U1702" s="5" t="e">
        <f t="shared" si="133"/>
        <v>#N/A</v>
      </c>
      <c r="V1702" s="23" t="e">
        <f t="shared" si="134"/>
        <v>#N/A</v>
      </c>
    </row>
    <row r="1703" spans="2:22" x14ac:dyDescent="0.25">
      <c r="B1703" s="16">
        <v>0</v>
      </c>
      <c r="C1703" s="7">
        <v>0</v>
      </c>
      <c r="D1703" s="8">
        <v>1</v>
      </c>
      <c r="E1703" s="8">
        <v>0</v>
      </c>
      <c r="F1703" s="8">
        <v>0</v>
      </c>
      <c r="G1703" s="8">
        <v>1</v>
      </c>
      <c r="H1703" s="8">
        <v>0</v>
      </c>
      <c r="I1703" s="8">
        <v>1</v>
      </c>
      <c r="J1703" s="8">
        <v>0</v>
      </c>
      <c r="K1703" s="9">
        <v>1</v>
      </c>
      <c r="L1703" s="10">
        <v>1</v>
      </c>
      <c r="M1703" s="6">
        <v>0</v>
      </c>
      <c r="N1703" s="37" t="e" cm="1">
        <f t="array" ref="N1703">IF(OR(ISNUMBER(FIND(Aux!$D$3:$D$9,_xlfn.TEXTJOIN(,,C1703:K1703)))),NA(),IF(AND(SUM(C1703:F1703,H1703:K1703)=0,G1703=1),0,INT((SUMPRODUCT(C1703:F1703,COLUMN($A$1:$D$1)-1)+SUMPRODUCT(H1703:K1703,COLUMN($E$1:$H$1)-1))*'Line Follower'!$C$3/SUM(C1703:F1703,H1703:K1703)-'Line Follower'!$C$5)))</f>
        <v>#N/A</v>
      </c>
      <c r="O1703" s="22" t="e">
        <v>#N/A</v>
      </c>
      <c r="P1703" s="4" t="e">
        <f t="shared" si="130"/>
        <v>#N/A</v>
      </c>
      <c r="Q1703" s="4" t="e">
        <f t="shared" si="131"/>
        <v>#N/A</v>
      </c>
      <c r="R1703" s="4" t="e">
        <f>IF(AND(B1703=1,N1703&gt;'Line Follower'!$C$7,SUM(C1703:K1703)&lt;4),1,0)</f>
        <v>#N/A</v>
      </c>
      <c r="S1703" s="4" t="e">
        <f>IF(AND(L1703=1,N1703&lt;'Line Follower'!$C$6,SUM(C1703:K1703)&lt;4),1,0)</f>
        <v>#N/A</v>
      </c>
      <c r="T1703" s="4" t="e">
        <f t="shared" si="132"/>
        <v>#N/A</v>
      </c>
      <c r="U1703" s="5" t="e">
        <f t="shared" si="133"/>
        <v>#N/A</v>
      </c>
      <c r="V1703" s="23" t="e">
        <f t="shared" si="134"/>
        <v>#N/A</v>
      </c>
    </row>
    <row r="1704" spans="2:22" x14ac:dyDescent="0.25">
      <c r="B1704" s="16">
        <v>1</v>
      </c>
      <c r="C1704" s="7">
        <v>0</v>
      </c>
      <c r="D1704" s="8">
        <v>1</v>
      </c>
      <c r="E1704" s="8">
        <v>0</v>
      </c>
      <c r="F1704" s="8">
        <v>0</v>
      </c>
      <c r="G1704" s="8">
        <v>1</v>
      </c>
      <c r="H1704" s="8">
        <v>0</v>
      </c>
      <c r="I1704" s="8">
        <v>1</v>
      </c>
      <c r="J1704" s="8">
        <v>0</v>
      </c>
      <c r="K1704" s="9">
        <v>1</v>
      </c>
      <c r="L1704" s="10">
        <v>1</v>
      </c>
      <c r="M1704" s="6">
        <v>0</v>
      </c>
      <c r="N1704" s="37" t="e" cm="1">
        <f t="array" ref="N1704">IF(OR(ISNUMBER(FIND(Aux!$D$3:$D$9,_xlfn.TEXTJOIN(,,C1704:K1704)))),NA(),IF(AND(SUM(C1704:F1704,H1704:K1704)=0,G1704=1),0,INT((SUMPRODUCT(C1704:F1704,COLUMN($A$1:$D$1)-1)+SUMPRODUCT(H1704:K1704,COLUMN($E$1:$H$1)-1))*'Line Follower'!$C$3/SUM(C1704:F1704,H1704:K1704)-'Line Follower'!$C$5)))</f>
        <v>#N/A</v>
      </c>
      <c r="O1704" s="22" t="e">
        <v>#N/A</v>
      </c>
      <c r="P1704" s="4" t="e">
        <f t="shared" si="130"/>
        <v>#N/A</v>
      </c>
      <c r="Q1704" s="4" t="e">
        <f t="shared" si="131"/>
        <v>#N/A</v>
      </c>
      <c r="R1704" s="4" t="e">
        <f>IF(AND(B1704=1,N1704&gt;'Line Follower'!$C$7,SUM(C1704:K1704)&lt;4),1,0)</f>
        <v>#N/A</v>
      </c>
      <c r="S1704" s="4" t="e">
        <f>IF(AND(L1704=1,N1704&lt;'Line Follower'!$C$6,SUM(C1704:K1704)&lt;4),1,0)</f>
        <v>#N/A</v>
      </c>
      <c r="T1704" s="4" t="e">
        <f t="shared" si="132"/>
        <v>#N/A</v>
      </c>
      <c r="U1704" s="5" t="e">
        <f t="shared" si="133"/>
        <v>#N/A</v>
      </c>
      <c r="V1704" s="23" t="e">
        <f t="shared" si="134"/>
        <v>#N/A</v>
      </c>
    </row>
    <row r="1705" spans="2:22" x14ac:dyDescent="0.25">
      <c r="B1705" s="16">
        <v>0</v>
      </c>
      <c r="C1705" s="7">
        <v>1</v>
      </c>
      <c r="D1705" s="8">
        <v>1</v>
      </c>
      <c r="E1705" s="8">
        <v>0</v>
      </c>
      <c r="F1705" s="8">
        <v>0</v>
      </c>
      <c r="G1705" s="8">
        <v>1</v>
      </c>
      <c r="H1705" s="8">
        <v>0</v>
      </c>
      <c r="I1705" s="8">
        <v>1</v>
      </c>
      <c r="J1705" s="8">
        <v>0</v>
      </c>
      <c r="K1705" s="9">
        <v>1</v>
      </c>
      <c r="L1705" s="10">
        <v>1</v>
      </c>
      <c r="M1705" s="6">
        <v>0</v>
      </c>
      <c r="N1705" s="37" t="e" cm="1">
        <f t="array" ref="N1705">IF(OR(ISNUMBER(FIND(Aux!$D$3:$D$9,_xlfn.TEXTJOIN(,,C1705:K1705)))),NA(),IF(AND(SUM(C1705:F1705,H1705:K1705)=0,G1705=1),0,INT((SUMPRODUCT(C1705:F1705,COLUMN($A$1:$D$1)-1)+SUMPRODUCT(H1705:K1705,COLUMN($E$1:$H$1)-1))*'Line Follower'!$C$3/SUM(C1705:F1705,H1705:K1705)-'Line Follower'!$C$5)))</f>
        <v>#N/A</v>
      </c>
      <c r="O1705" s="22" t="e">
        <v>#N/A</v>
      </c>
      <c r="P1705" s="4" t="e">
        <f t="shared" si="130"/>
        <v>#N/A</v>
      </c>
      <c r="Q1705" s="4" t="e">
        <f t="shared" si="131"/>
        <v>#N/A</v>
      </c>
      <c r="R1705" s="4" t="e">
        <f>IF(AND(B1705=1,N1705&gt;'Line Follower'!$C$7,SUM(C1705:K1705)&lt;4),1,0)</f>
        <v>#N/A</v>
      </c>
      <c r="S1705" s="4" t="e">
        <f>IF(AND(L1705=1,N1705&lt;'Line Follower'!$C$6,SUM(C1705:K1705)&lt;4),1,0)</f>
        <v>#N/A</v>
      </c>
      <c r="T1705" s="4" t="e">
        <f t="shared" si="132"/>
        <v>#N/A</v>
      </c>
      <c r="U1705" s="5" t="e">
        <f t="shared" si="133"/>
        <v>#N/A</v>
      </c>
      <c r="V1705" s="23" t="e">
        <f t="shared" si="134"/>
        <v>#N/A</v>
      </c>
    </row>
    <row r="1706" spans="2:22" x14ac:dyDescent="0.25">
      <c r="B1706" s="16">
        <v>1</v>
      </c>
      <c r="C1706" s="7">
        <v>1</v>
      </c>
      <c r="D1706" s="8">
        <v>1</v>
      </c>
      <c r="E1706" s="8">
        <v>0</v>
      </c>
      <c r="F1706" s="8">
        <v>0</v>
      </c>
      <c r="G1706" s="8">
        <v>1</v>
      </c>
      <c r="H1706" s="8">
        <v>0</v>
      </c>
      <c r="I1706" s="8">
        <v>1</v>
      </c>
      <c r="J1706" s="8">
        <v>0</v>
      </c>
      <c r="K1706" s="9">
        <v>1</v>
      </c>
      <c r="L1706" s="10">
        <v>1</v>
      </c>
      <c r="M1706" s="6">
        <v>0</v>
      </c>
      <c r="N1706" s="37" t="e" cm="1">
        <f t="array" ref="N1706">IF(OR(ISNUMBER(FIND(Aux!$D$3:$D$9,_xlfn.TEXTJOIN(,,C1706:K1706)))),NA(),IF(AND(SUM(C1706:F1706,H1706:K1706)=0,G1706=1),0,INT((SUMPRODUCT(C1706:F1706,COLUMN($A$1:$D$1)-1)+SUMPRODUCT(H1706:K1706,COLUMN($E$1:$H$1)-1))*'Line Follower'!$C$3/SUM(C1706:F1706,H1706:K1706)-'Line Follower'!$C$5)))</f>
        <v>#N/A</v>
      </c>
      <c r="O1706" s="22" t="e">
        <v>#N/A</v>
      </c>
      <c r="P1706" s="4" t="e">
        <f t="shared" si="130"/>
        <v>#N/A</v>
      </c>
      <c r="Q1706" s="4" t="e">
        <f t="shared" si="131"/>
        <v>#N/A</v>
      </c>
      <c r="R1706" s="4" t="e">
        <f>IF(AND(B1706=1,N1706&gt;'Line Follower'!$C$7,SUM(C1706:K1706)&lt;4),1,0)</f>
        <v>#N/A</v>
      </c>
      <c r="S1706" s="4" t="e">
        <f>IF(AND(L1706=1,N1706&lt;'Line Follower'!$C$6,SUM(C1706:K1706)&lt;4),1,0)</f>
        <v>#N/A</v>
      </c>
      <c r="T1706" s="4" t="e">
        <f t="shared" si="132"/>
        <v>#N/A</v>
      </c>
      <c r="U1706" s="5" t="e">
        <f t="shared" si="133"/>
        <v>#N/A</v>
      </c>
      <c r="V1706" s="23" t="e">
        <f t="shared" si="134"/>
        <v>#N/A</v>
      </c>
    </row>
    <row r="1707" spans="2:22" x14ac:dyDescent="0.25">
      <c r="B1707" s="16">
        <v>0</v>
      </c>
      <c r="C1707" s="7">
        <v>0</v>
      </c>
      <c r="D1707" s="8">
        <v>0</v>
      </c>
      <c r="E1707" s="8">
        <v>1</v>
      </c>
      <c r="F1707" s="8">
        <v>0</v>
      </c>
      <c r="G1707" s="8">
        <v>1</v>
      </c>
      <c r="H1707" s="8">
        <v>0</v>
      </c>
      <c r="I1707" s="8">
        <v>1</v>
      </c>
      <c r="J1707" s="8">
        <v>0</v>
      </c>
      <c r="K1707" s="9">
        <v>1</v>
      </c>
      <c r="L1707" s="10">
        <v>1</v>
      </c>
      <c r="M1707" s="6">
        <v>0</v>
      </c>
      <c r="N1707" s="37" t="e" cm="1">
        <f t="array" ref="N1707">IF(OR(ISNUMBER(FIND(Aux!$D$3:$D$9,_xlfn.TEXTJOIN(,,C1707:K1707)))),NA(),IF(AND(SUM(C1707:F1707,H1707:K1707)=0,G1707=1),0,INT((SUMPRODUCT(C1707:F1707,COLUMN($A$1:$D$1)-1)+SUMPRODUCT(H1707:K1707,COLUMN($E$1:$H$1)-1))*'Line Follower'!$C$3/SUM(C1707:F1707,H1707:K1707)-'Line Follower'!$C$5)))</f>
        <v>#N/A</v>
      </c>
      <c r="O1707" s="22" t="e">
        <v>#N/A</v>
      </c>
      <c r="P1707" s="4" t="e">
        <f t="shared" si="130"/>
        <v>#N/A</v>
      </c>
      <c r="Q1707" s="4" t="e">
        <f t="shared" si="131"/>
        <v>#N/A</v>
      </c>
      <c r="R1707" s="4" t="e">
        <f>IF(AND(B1707=1,N1707&gt;'Line Follower'!$C$7,SUM(C1707:K1707)&lt;4),1,0)</f>
        <v>#N/A</v>
      </c>
      <c r="S1707" s="4" t="e">
        <f>IF(AND(L1707=1,N1707&lt;'Line Follower'!$C$6,SUM(C1707:K1707)&lt;4),1,0)</f>
        <v>#N/A</v>
      </c>
      <c r="T1707" s="4" t="e">
        <f t="shared" si="132"/>
        <v>#N/A</v>
      </c>
      <c r="U1707" s="5" t="e">
        <f t="shared" si="133"/>
        <v>#N/A</v>
      </c>
      <c r="V1707" s="23" t="e">
        <f t="shared" si="134"/>
        <v>#N/A</v>
      </c>
    </row>
    <row r="1708" spans="2:22" x14ac:dyDescent="0.25">
      <c r="B1708" s="16">
        <v>1</v>
      </c>
      <c r="C1708" s="7">
        <v>0</v>
      </c>
      <c r="D1708" s="8">
        <v>0</v>
      </c>
      <c r="E1708" s="8">
        <v>1</v>
      </c>
      <c r="F1708" s="8">
        <v>0</v>
      </c>
      <c r="G1708" s="8">
        <v>1</v>
      </c>
      <c r="H1708" s="8">
        <v>0</v>
      </c>
      <c r="I1708" s="8">
        <v>1</v>
      </c>
      <c r="J1708" s="8">
        <v>0</v>
      </c>
      <c r="K1708" s="9">
        <v>1</v>
      </c>
      <c r="L1708" s="10">
        <v>1</v>
      </c>
      <c r="M1708" s="6">
        <v>0</v>
      </c>
      <c r="N1708" s="37" t="e" cm="1">
        <f t="array" ref="N1708">IF(OR(ISNUMBER(FIND(Aux!$D$3:$D$9,_xlfn.TEXTJOIN(,,C1708:K1708)))),NA(),IF(AND(SUM(C1708:F1708,H1708:K1708)=0,G1708=1),0,INT((SUMPRODUCT(C1708:F1708,COLUMN($A$1:$D$1)-1)+SUMPRODUCT(H1708:K1708,COLUMN($E$1:$H$1)-1))*'Line Follower'!$C$3/SUM(C1708:F1708,H1708:K1708)-'Line Follower'!$C$5)))</f>
        <v>#N/A</v>
      </c>
      <c r="O1708" s="22" t="e">
        <v>#N/A</v>
      </c>
      <c r="P1708" s="4" t="e">
        <f t="shared" si="130"/>
        <v>#N/A</v>
      </c>
      <c r="Q1708" s="4" t="e">
        <f t="shared" si="131"/>
        <v>#N/A</v>
      </c>
      <c r="R1708" s="4" t="e">
        <f>IF(AND(B1708=1,N1708&gt;'Line Follower'!$C$7,SUM(C1708:K1708)&lt;4),1,0)</f>
        <v>#N/A</v>
      </c>
      <c r="S1708" s="4" t="e">
        <f>IF(AND(L1708=1,N1708&lt;'Line Follower'!$C$6,SUM(C1708:K1708)&lt;4),1,0)</f>
        <v>#N/A</v>
      </c>
      <c r="T1708" s="4" t="e">
        <f t="shared" si="132"/>
        <v>#N/A</v>
      </c>
      <c r="U1708" s="5" t="e">
        <f t="shared" si="133"/>
        <v>#N/A</v>
      </c>
      <c r="V1708" s="23" t="e">
        <f t="shared" si="134"/>
        <v>#N/A</v>
      </c>
    </row>
    <row r="1709" spans="2:22" x14ac:dyDescent="0.25">
      <c r="B1709" s="16">
        <v>0</v>
      </c>
      <c r="C1709" s="7">
        <v>1</v>
      </c>
      <c r="D1709" s="8">
        <v>0</v>
      </c>
      <c r="E1709" s="8">
        <v>1</v>
      </c>
      <c r="F1709" s="8">
        <v>0</v>
      </c>
      <c r="G1709" s="8">
        <v>1</v>
      </c>
      <c r="H1709" s="8">
        <v>0</v>
      </c>
      <c r="I1709" s="8">
        <v>1</v>
      </c>
      <c r="J1709" s="8">
        <v>0</v>
      </c>
      <c r="K1709" s="9">
        <v>1</v>
      </c>
      <c r="L1709" s="10">
        <v>1</v>
      </c>
      <c r="M1709" s="6">
        <v>0</v>
      </c>
      <c r="N1709" s="37" t="e" cm="1">
        <f t="array" ref="N1709">IF(OR(ISNUMBER(FIND(Aux!$D$3:$D$9,_xlfn.TEXTJOIN(,,C1709:K1709)))),NA(),IF(AND(SUM(C1709:F1709,H1709:K1709)=0,G1709=1),0,INT((SUMPRODUCT(C1709:F1709,COLUMN($A$1:$D$1)-1)+SUMPRODUCT(H1709:K1709,COLUMN($E$1:$H$1)-1))*'Line Follower'!$C$3/SUM(C1709:F1709,H1709:K1709)-'Line Follower'!$C$5)))</f>
        <v>#N/A</v>
      </c>
      <c r="O1709" s="22" t="e">
        <v>#N/A</v>
      </c>
      <c r="P1709" s="4" t="e">
        <f t="shared" si="130"/>
        <v>#N/A</v>
      </c>
      <c r="Q1709" s="4" t="e">
        <f t="shared" si="131"/>
        <v>#N/A</v>
      </c>
      <c r="R1709" s="4" t="e">
        <f>IF(AND(B1709=1,N1709&gt;'Line Follower'!$C$7,SUM(C1709:K1709)&lt;4),1,0)</f>
        <v>#N/A</v>
      </c>
      <c r="S1709" s="4" t="e">
        <f>IF(AND(L1709=1,N1709&lt;'Line Follower'!$C$6,SUM(C1709:K1709)&lt;4),1,0)</f>
        <v>#N/A</v>
      </c>
      <c r="T1709" s="4" t="e">
        <f t="shared" si="132"/>
        <v>#N/A</v>
      </c>
      <c r="U1709" s="5" t="e">
        <f t="shared" si="133"/>
        <v>#N/A</v>
      </c>
      <c r="V1709" s="23" t="e">
        <f t="shared" si="134"/>
        <v>#N/A</v>
      </c>
    </row>
    <row r="1710" spans="2:22" x14ac:dyDescent="0.25">
      <c r="B1710" s="16">
        <v>1</v>
      </c>
      <c r="C1710" s="7">
        <v>1</v>
      </c>
      <c r="D1710" s="8">
        <v>0</v>
      </c>
      <c r="E1710" s="8">
        <v>1</v>
      </c>
      <c r="F1710" s="8">
        <v>0</v>
      </c>
      <c r="G1710" s="8">
        <v>1</v>
      </c>
      <c r="H1710" s="8">
        <v>0</v>
      </c>
      <c r="I1710" s="8">
        <v>1</v>
      </c>
      <c r="J1710" s="8">
        <v>0</v>
      </c>
      <c r="K1710" s="9">
        <v>1</v>
      </c>
      <c r="L1710" s="10">
        <v>1</v>
      </c>
      <c r="M1710" s="6">
        <v>0</v>
      </c>
      <c r="N1710" s="37" t="e" cm="1">
        <f t="array" ref="N1710">IF(OR(ISNUMBER(FIND(Aux!$D$3:$D$9,_xlfn.TEXTJOIN(,,C1710:K1710)))),NA(),IF(AND(SUM(C1710:F1710,H1710:K1710)=0,G1710=1),0,INT((SUMPRODUCT(C1710:F1710,COLUMN($A$1:$D$1)-1)+SUMPRODUCT(H1710:K1710,COLUMN($E$1:$H$1)-1))*'Line Follower'!$C$3/SUM(C1710:F1710,H1710:K1710)-'Line Follower'!$C$5)))</f>
        <v>#N/A</v>
      </c>
      <c r="O1710" s="22" t="e">
        <v>#N/A</v>
      </c>
      <c r="P1710" s="4" t="e">
        <f t="shared" si="130"/>
        <v>#N/A</v>
      </c>
      <c r="Q1710" s="4" t="e">
        <f t="shared" si="131"/>
        <v>#N/A</v>
      </c>
      <c r="R1710" s="4" t="e">
        <f>IF(AND(B1710=1,N1710&gt;'Line Follower'!$C$7,SUM(C1710:K1710)&lt;4),1,0)</f>
        <v>#N/A</v>
      </c>
      <c r="S1710" s="4" t="e">
        <f>IF(AND(L1710=1,N1710&lt;'Line Follower'!$C$6,SUM(C1710:K1710)&lt;4),1,0)</f>
        <v>#N/A</v>
      </c>
      <c r="T1710" s="4" t="e">
        <f t="shared" si="132"/>
        <v>#N/A</v>
      </c>
      <c r="U1710" s="5" t="e">
        <f t="shared" si="133"/>
        <v>#N/A</v>
      </c>
      <c r="V1710" s="23" t="e">
        <f t="shared" si="134"/>
        <v>#N/A</v>
      </c>
    </row>
    <row r="1711" spans="2:22" x14ac:dyDescent="0.25">
      <c r="B1711" s="16">
        <v>0</v>
      </c>
      <c r="C1711" s="7">
        <v>0</v>
      </c>
      <c r="D1711" s="8">
        <v>1</v>
      </c>
      <c r="E1711" s="8">
        <v>1</v>
      </c>
      <c r="F1711" s="8">
        <v>0</v>
      </c>
      <c r="G1711" s="8">
        <v>1</v>
      </c>
      <c r="H1711" s="8">
        <v>0</v>
      </c>
      <c r="I1711" s="8">
        <v>1</v>
      </c>
      <c r="J1711" s="8">
        <v>0</v>
      </c>
      <c r="K1711" s="9">
        <v>1</v>
      </c>
      <c r="L1711" s="10">
        <v>1</v>
      </c>
      <c r="M1711" s="6">
        <v>0</v>
      </c>
      <c r="N1711" s="37" t="e" cm="1">
        <f t="array" ref="N1711">IF(OR(ISNUMBER(FIND(Aux!$D$3:$D$9,_xlfn.TEXTJOIN(,,C1711:K1711)))),NA(),IF(AND(SUM(C1711:F1711,H1711:K1711)=0,G1711=1),0,INT((SUMPRODUCT(C1711:F1711,COLUMN($A$1:$D$1)-1)+SUMPRODUCT(H1711:K1711,COLUMN($E$1:$H$1)-1))*'Line Follower'!$C$3/SUM(C1711:F1711,H1711:K1711)-'Line Follower'!$C$5)))</f>
        <v>#N/A</v>
      </c>
      <c r="O1711" s="22" t="e">
        <v>#N/A</v>
      </c>
      <c r="P1711" s="4" t="e">
        <f t="shared" si="130"/>
        <v>#N/A</v>
      </c>
      <c r="Q1711" s="4" t="e">
        <f t="shared" si="131"/>
        <v>#N/A</v>
      </c>
      <c r="R1711" s="4" t="e">
        <f>IF(AND(B1711=1,N1711&gt;'Line Follower'!$C$7,SUM(C1711:K1711)&lt;4),1,0)</f>
        <v>#N/A</v>
      </c>
      <c r="S1711" s="4" t="e">
        <f>IF(AND(L1711=1,N1711&lt;'Line Follower'!$C$6,SUM(C1711:K1711)&lt;4),1,0)</f>
        <v>#N/A</v>
      </c>
      <c r="T1711" s="4" t="e">
        <f t="shared" si="132"/>
        <v>#N/A</v>
      </c>
      <c r="U1711" s="5" t="e">
        <f t="shared" si="133"/>
        <v>#N/A</v>
      </c>
      <c r="V1711" s="23" t="e">
        <f t="shared" si="134"/>
        <v>#N/A</v>
      </c>
    </row>
    <row r="1712" spans="2:22" x14ac:dyDescent="0.25">
      <c r="B1712" s="16">
        <v>1</v>
      </c>
      <c r="C1712" s="7">
        <v>0</v>
      </c>
      <c r="D1712" s="8">
        <v>1</v>
      </c>
      <c r="E1712" s="8">
        <v>1</v>
      </c>
      <c r="F1712" s="8">
        <v>0</v>
      </c>
      <c r="G1712" s="8">
        <v>1</v>
      </c>
      <c r="H1712" s="8">
        <v>0</v>
      </c>
      <c r="I1712" s="8">
        <v>1</v>
      </c>
      <c r="J1712" s="8">
        <v>0</v>
      </c>
      <c r="K1712" s="9">
        <v>1</v>
      </c>
      <c r="L1712" s="10">
        <v>1</v>
      </c>
      <c r="M1712" s="6">
        <v>0</v>
      </c>
      <c r="N1712" s="37" t="e" cm="1">
        <f t="array" ref="N1712">IF(OR(ISNUMBER(FIND(Aux!$D$3:$D$9,_xlfn.TEXTJOIN(,,C1712:K1712)))),NA(),IF(AND(SUM(C1712:F1712,H1712:K1712)=0,G1712=1),0,INT((SUMPRODUCT(C1712:F1712,COLUMN($A$1:$D$1)-1)+SUMPRODUCT(H1712:K1712,COLUMN($E$1:$H$1)-1))*'Line Follower'!$C$3/SUM(C1712:F1712,H1712:K1712)-'Line Follower'!$C$5)))</f>
        <v>#N/A</v>
      </c>
      <c r="O1712" s="22" t="e">
        <v>#N/A</v>
      </c>
      <c r="P1712" s="4" t="e">
        <f t="shared" si="130"/>
        <v>#N/A</v>
      </c>
      <c r="Q1712" s="4" t="e">
        <f t="shared" si="131"/>
        <v>#N/A</v>
      </c>
      <c r="R1712" s="4" t="e">
        <f>IF(AND(B1712=1,N1712&gt;'Line Follower'!$C$7,SUM(C1712:K1712)&lt;4),1,0)</f>
        <v>#N/A</v>
      </c>
      <c r="S1712" s="4" t="e">
        <f>IF(AND(L1712=1,N1712&lt;'Line Follower'!$C$6,SUM(C1712:K1712)&lt;4),1,0)</f>
        <v>#N/A</v>
      </c>
      <c r="T1712" s="4" t="e">
        <f t="shared" si="132"/>
        <v>#N/A</v>
      </c>
      <c r="U1712" s="5" t="e">
        <f t="shared" si="133"/>
        <v>#N/A</v>
      </c>
      <c r="V1712" s="23" t="e">
        <f t="shared" si="134"/>
        <v>#N/A</v>
      </c>
    </row>
    <row r="1713" spans="2:22" x14ac:dyDescent="0.25">
      <c r="B1713" s="16">
        <v>0</v>
      </c>
      <c r="C1713" s="7">
        <v>1</v>
      </c>
      <c r="D1713" s="8">
        <v>1</v>
      </c>
      <c r="E1713" s="8">
        <v>1</v>
      </c>
      <c r="F1713" s="8">
        <v>0</v>
      </c>
      <c r="G1713" s="8">
        <v>1</v>
      </c>
      <c r="H1713" s="8">
        <v>0</v>
      </c>
      <c r="I1713" s="8">
        <v>1</v>
      </c>
      <c r="J1713" s="8">
        <v>0</v>
      </c>
      <c r="K1713" s="9">
        <v>1</v>
      </c>
      <c r="L1713" s="10">
        <v>1</v>
      </c>
      <c r="M1713" s="6">
        <v>0</v>
      </c>
      <c r="N1713" s="37" t="e" cm="1">
        <f t="array" ref="N1713">IF(OR(ISNUMBER(FIND(Aux!$D$3:$D$9,_xlfn.TEXTJOIN(,,C1713:K1713)))),NA(),IF(AND(SUM(C1713:F1713,H1713:K1713)=0,G1713=1),0,INT((SUMPRODUCT(C1713:F1713,COLUMN($A$1:$D$1)-1)+SUMPRODUCT(H1713:K1713,COLUMN($E$1:$H$1)-1))*'Line Follower'!$C$3/SUM(C1713:F1713,H1713:K1713)-'Line Follower'!$C$5)))</f>
        <v>#N/A</v>
      </c>
      <c r="O1713" s="22" t="e">
        <v>#N/A</v>
      </c>
      <c r="P1713" s="4" t="e">
        <f t="shared" si="130"/>
        <v>#N/A</v>
      </c>
      <c r="Q1713" s="4" t="e">
        <f t="shared" si="131"/>
        <v>#N/A</v>
      </c>
      <c r="R1713" s="4" t="e">
        <f>IF(AND(B1713=1,N1713&gt;'Line Follower'!$C$7,SUM(C1713:K1713)&lt;4),1,0)</f>
        <v>#N/A</v>
      </c>
      <c r="S1713" s="4" t="e">
        <f>IF(AND(L1713=1,N1713&lt;'Line Follower'!$C$6,SUM(C1713:K1713)&lt;4),1,0)</f>
        <v>#N/A</v>
      </c>
      <c r="T1713" s="4" t="e">
        <f t="shared" si="132"/>
        <v>#N/A</v>
      </c>
      <c r="U1713" s="5" t="e">
        <f t="shared" si="133"/>
        <v>#N/A</v>
      </c>
      <c r="V1713" s="23" t="e">
        <f t="shared" si="134"/>
        <v>#N/A</v>
      </c>
    </row>
    <row r="1714" spans="2:22" x14ac:dyDescent="0.25">
      <c r="B1714" s="16">
        <v>1</v>
      </c>
      <c r="C1714" s="7">
        <v>1</v>
      </c>
      <c r="D1714" s="8">
        <v>1</v>
      </c>
      <c r="E1714" s="8">
        <v>1</v>
      </c>
      <c r="F1714" s="8">
        <v>0</v>
      </c>
      <c r="G1714" s="8">
        <v>1</v>
      </c>
      <c r="H1714" s="8">
        <v>0</v>
      </c>
      <c r="I1714" s="8">
        <v>1</v>
      </c>
      <c r="J1714" s="8">
        <v>0</v>
      </c>
      <c r="K1714" s="9">
        <v>1</v>
      </c>
      <c r="L1714" s="10">
        <v>1</v>
      </c>
      <c r="M1714" s="6">
        <v>0</v>
      </c>
      <c r="N1714" s="37" t="e" cm="1">
        <f t="array" ref="N1714">IF(OR(ISNUMBER(FIND(Aux!$D$3:$D$9,_xlfn.TEXTJOIN(,,C1714:K1714)))),NA(),IF(AND(SUM(C1714:F1714,H1714:K1714)=0,G1714=1),0,INT((SUMPRODUCT(C1714:F1714,COLUMN($A$1:$D$1)-1)+SUMPRODUCT(H1714:K1714,COLUMN($E$1:$H$1)-1))*'Line Follower'!$C$3/SUM(C1714:F1714,H1714:K1714)-'Line Follower'!$C$5)))</f>
        <v>#N/A</v>
      </c>
      <c r="O1714" s="22" t="e">
        <v>#N/A</v>
      </c>
      <c r="P1714" s="4" t="e">
        <f t="shared" si="130"/>
        <v>#N/A</v>
      </c>
      <c r="Q1714" s="4" t="e">
        <f t="shared" si="131"/>
        <v>#N/A</v>
      </c>
      <c r="R1714" s="4" t="e">
        <f>IF(AND(B1714=1,N1714&gt;'Line Follower'!$C$7,SUM(C1714:K1714)&lt;4),1,0)</f>
        <v>#N/A</v>
      </c>
      <c r="S1714" s="4" t="e">
        <f>IF(AND(L1714=1,N1714&lt;'Line Follower'!$C$6,SUM(C1714:K1714)&lt;4),1,0)</f>
        <v>#N/A</v>
      </c>
      <c r="T1714" s="4" t="e">
        <f t="shared" si="132"/>
        <v>#N/A</v>
      </c>
      <c r="U1714" s="5" t="e">
        <f t="shared" si="133"/>
        <v>#N/A</v>
      </c>
      <c r="V1714" s="23" t="e">
        <f t="shared" si="134"/>
        <v>#N/A</v>
      </c>
    </row>
    <row r="1715" spans="2:22" x14ac:dyDescent="0.25">
      <c r="B1715" s="16">
        <v>0</v>
      </c>
      <c r="C1715" s="7">
        <v>0</v>
      </c>
      <c r="D1715" s="8">
        <v>0</v>
      </c>
      <c r="E1715" s="8">
        <v>0</v>
      </c>
      <c r="F1715" s="8">
        <v>1</v>
      </c>
      <c r="G1715" s="8">
        <v>1</v>
      </c>
      <c r="H1715" s="8">
        <v>0</v>
      </c>
      <c r="I1715" s="8">
        <v>1</v>
      </c>
      <c r="J1715" s="8">
        <v>0</v>
      </c>
      <c r="K1715" s="9">
        <v>1</v>
      </c>
      <c r="L1715" s="10">
        <v>1</v>
      </c>
      <c r="M1715" s="6">
        <v>0</v>
      </c>
      <c r="N1715" s="37" t="e" cm="1">
        <f t="array" ref="N1715">IF(OR(ISNUMBER(FIND(Aux!$D$3:$D$9,_xlfn.TEXTJOIN(,,C1715:K1715)))),NA(),IF(AND(SUM(C1715:F1715,H1715:K1715)=0,G1715=1),0,INT((SUMPRODUCT(C1715:F1715,COLUMN($A$1:$D$1)-1)+SUMPRODUCT(H1715:K1715,COLUMN($E$1:$H$1)-1))*'Line Follower'!$C$3/SUM(C1715:F1715,H1715:K1715)-'Line Follower'!$C$5)))</f>
        <v>#N/A</v>
      </c>
      <c r="O1715" s="22" t="e">
        <v>#N/A</v>
      </c>
      <c r="P1715" s="4" t="e">
        <f t="shared" si="130"/>
        <v>#N/A</v>
      </c>
      <c r="Q1715" s="4" t="e">
        <f t="shared" si="131"/>
        <v>#N/A</v>
      </c>
      <c r="R1715" s="4" t="e">
        <f>IF(AND(B1715=1,N1715&gt;'Line Follower'!$C$7,SUM(C1715:K1715)&lt;4),1,0)</f>
        <v>#N/A</v>
      </c>
      <c r="S1715" s="4" t="e">
        <f>IF(AND(L1715=1,N1715&lt;'Line Follower'!$C$6,SUM(C1715:K1715)&lt;4),1,0)</f>
        <v>#N/A</v>
      </c>
      <c r="T1715" s="4" t="e">
        <f t="shared" si="132"/>
        <v>#N/A</v>
      </c>
      <c r="U1715" s="5" t="e">
        <f t="shared" si="133"/>
        <v>#N/A</v>
      </c>
      <c r="V1715" s="23" t="e">
        <f t="shared" si="134"/>
        <v>#N/A</v>
      </c>
    </row>
    <row r="1716" spans="2:22" x14ac:dyDescent="0.25">
      <c r="B1716" s="16">
        <v>1</v>
      </c>
      <c r="C1716" s="7">
        <v>0</v>
      </c>
      <c r="D1716" s="8">
        <v>0</v>
      </c>
      <c r="E1716" s="8">
        <v>0</v>
      </c>
      <c r="F1716" s="8">
        <v>1</v>
      </c>
      <c r="G1716" s="8">
        <v>1</v>
      </c>
      <c r="H1716" s="8">
        <v>0</v>
      </c>
      <c r="I1716" s="8">
        <v>1</v>
      </c>
      <c r="J1716" s="8">
        <v>0</v>
      </c>
      <c r="K1716" s="9">
        <v>1</v>
      </c>
      <c r="L1716" s="10">
        <v>1</v>
      </c>
      <c r="M1716" s="6">
        <v>0</v>
      </c>
      <c r="N1716" s="37" t="e" cm="1">
        <f t="array" ref="N1716">IF(OR(ISNUMBER(FIND(Aux!$D$3:$D$9,_xlfn.TEXTJOIN(,,C1716:K1716)))),NA(),IF(AND(SUM(C1716:F1716,H1716:K1716)=0,G1716=1),0,INT((SUMPRODUCT(C1716:F1716,COLUMN($A$1:$D$1)-1)+SUMPRODUCT(H1716:K1716,COLUMN($E$1:$H$1)-1))*'Line Follower'!$C$3/SUM(C1716:F1716,H1716:K1716)-'Line Follower'!$C$5)))</f>
        <v>#N/A</v>
      </c>
      <c r="O1716" s="22" t="e">
        <v>#N/A</v>
      </c>
      <c r="P1716" s="4" t="e">
        <f t="shared" si="130"/>
        <v>#N/A</v>
      </c>
      <c r="Q1716" s="4" t="e">
        <f t="shared" si="131"/>
        <v>#N/A</v>
      </c>
      <c r="R1716" s="4" t="e">
        <f>IF(AND(B1716=1,N1716&gt;'Line Follower'!$C$7,SUM(C1716:K1716)&lt;4),1,0)</f>
        <v>#N/A</v>
      </c>
      <c r="S1716" s="4" t="e">
        <f>IF(AND(L1716=1,N1716&lt;'Line Follower'!$C$6,SUM(C1716:K1716)&lt;4),1,0)</f>
        <v>#N/A</v>
      </c>
      <c r="T1716" s="4" t="e">
        <f t="shared" si="132"/>
        <v>#N/A</v>
      </c>
      <c r="U1716" s="5" t="e">
        <f t="shared" si="133"/>
        <v>#N/A</v>
      </c>
      <c r="V1716" s="23" t="e">
        <f t="shared" si="134"/>
        <v>#N/A</v>
      </c>
    </row>
    <row r="1717" spans="2:22" x14ac:dyDescent="0.25">
      <c r="B1717" s="16">
        <v>0</v>
      </c>
      <c r="C1717" s="7">
        <v>1</v>
      </c>
      <c r="D1717" s="8">
        <v>0</v>
      </c>
      <c r="E1717" s="8">
        <v>0</v>
      </c>
      <c r="F1717" s="8">
        <v>1</v>
      </c>
      <c r="G1717" s="8">
        <v>1</v>
      </c>
      <c r="H1717" s="8">
        <v>0</v>
      </c>
      <c r="I1717" s="8">
        <v>1</v>
      </c>
      <c r="J1717" s="8">
        <v>0</v>
      </c>
      <c r="K1717" s="9">
        <v>1</v>
      </c>
      <c r="L1717" s="10">
        <v>1</v>
      </c>
      <c r="M1717" s="6">
        <v>0</v>
      </c>
      <c r="N1717" s="37" t="e" cm="1">
        <f t="array" ref="N1717">IF(OR(ISNUMBER(FIND(Aux!$D$3:$D$9,_xlfn.TEXTJOIN(,,C1717:K1717)))),NA(),IF(AND(SUM(C1717:F1717,H1717:K1717)=0,G1717=1),0,INT((SUMPRODUCT(C1717:F1717,COLUMN($A$1:$D$1)-1)+SUMPRODUCT(H1717:K1717,COLUMN($E$1:$H$1)-1))*'Line Follower'!$C$3/SUM(C1717:F1717,H1717:K1717)-'Line Follower'!$C$5)))</f>
        <v>#N/A</v>
      </c>
      <c r="O1717" s="22" t="e">
        <v>#N/A</v>
      </c>
      <c r="P1717" s="4" t="e">
        <f t="shared" si="130"/>
        <v>#N/A</v>
      </c>
      <c r="Q1717" s="4" t="e">
        <f t="shared" si="131"/>
        <v>#N/A</v>
      </c>
      <c r="R1717" s="4" t="e">
        <f>IF(AND(B1717=1,N1717&gt;'Line Follower'!$C$7,SUM(C1717:K1717)&lt;4),1,0)</f>
        <v>#N/A</v>
      </c>
      <c r="S1717" s="4" t="e">
        <f>IF(AND(L1717=1,N1717&lt;'Line Follower'!$C$6,SUM(C1717:K1717)&lt;4),1,0)</f>
        <v>#N/A</v>
      </c>
      <c r="T1717" s="4" t="e">
        <f t="shared" si="132"/>
        <v>#N/A</v>
      </c>
      <c r="U1717" s="5" t="e">
        <f t="shared" si="133"/>
        <v>#N/A</v>
      </c>
      <c r="V1717" s="23" t="e">
        <f t="shared" si="134"/>
        <v>#N/A</v>
      </c>
    </row>
    <row r="1718" spans="2:22" x14ac:dyDescent="0.25">
      <c r="B1718" s="16">
        <v>1</v>
      </c>
      <c r="C1718" s="7">
        <v>1</v>
      </c>
      <c r="D1718" s="8">
        <v>0</v>
      </c>
      <c r="E1718" s="8">
        <v>0</v>
      </c>
      <c r="F1718" s="8">
        <v>1</v>
      </c>
      <c r="G1718" s="8">
        <v>1</v>
      </c>
      <c r="H1718" s="8">
        <v>0</v>
      </c>
      <c r="I1718" s="8">
        <v>1</v>
      </c>
      <c r="J1718" s="8">
        <v>0</v>
      </c>
      <c r="K1718" s="9">
        <v>1</v>
      </c>
      <c r="L1718" s="10">
        <v>1</v>
      </c>
      <c r="M1718" s="6">
        <v>0</v>
      </c>
      <c r="N1718" s="37" t="e" cm="1">
        <f t="array" ref="N1718">IF(OR(ISNUMBER(FIND(Aux!$D$3:$D$9,_xlfn.TEXTJOIN(,,C1718:K1718)))),NA(),IF(AND(SUM(C1718:F1718,H1718:K1718)=0,G1718=1),0,INT((SUMPRODUCT(C1718:F1718,COLUMN($A$1:$D$1)-1)+SUMPRODUCT(H1718:K1718,COLUMN($E$1:$H$1)-1))*'Line Follower'!$C$3/SUM(C1718:F1718,H1718:K1718)-'Line Follower'!$C$5)))</f>
        <v>#N/A</v>
      </c>
      <c r="O1718" s="22" t="e">
        <v>#N/A</v>
      </c>
      <c r="P1718" s="4" t="e">
        <f t="shared" si="130"/>
        <v>#N/A</v>
      </c>
      <c r="Q1718" s="4" t="e">
        <f t="shared" si="131"/>
        <v>#N/A</v>
      </c>
      <c r="R1718" s="4" t="e">
        <f>IF(AND(B1718=1,N1718&gt;'Line Follower'!$C$7,SUM(C1718:K1718)&lt;4),1,0)</f>
        <v>#N/A</v>
      </c>
      <c r="S1718" s="4" t="e">
        <f>IF(AND(L1718=1,N1718&lt;'Line Follower'!$C$6,SUM(C1718:K1718)&lt;4),1,0)</f>
        <v>#N/A</v>
      </c>
      <c r="T1718" s="4" t="e">
        <f t="shared" si="132"/>
        <v>#N/A</v>
      </c>
      <c r="U1718" s="5" t="e">
        <f t="shared" si="133"/>
        <v>#N/A</v>
      </c>
      <c r="V1718" s="23" t="e">
        <f t="shared" si="134"/>
        <v>#N/A</v>
      </c>
    </row>
    <row r="1719" spans="2:22" x14ac:dyDescent="0.25">
      <c r="B1719" s="16">
        <v>0</v>
      </c>
      <c r="C1719" s="7">
        <v>0</v>
      </c>
      <c r="D1719" s="8">
        <v>1</v>
      </c>
      <c r="E1719" s="8">
        <v>0</v>
      </c>
      <c r="F1719" s="8">
        <v>1</v>
      </c>
      <c r="G1719" s="8">
        <v>1</v>
      </c>
      <c r="H1719" s="8">
        <v>0</v>
      </c>
      <c r="I1719" s="8">
        <v>1</v>
      </c>
      <c r="J1719" s="8">
        <v>0</v>
      </c>
      <c r="K1719" s="9">
        <v>1</v>
      </c>
      <c r="L1719" s="10">
        <v>1</v>
      </c>
      <c r="M1719" s="6">
        <v>0</v>
      </c>
      <c r="N1719" s="37" t="e" cm="1">
        <f t="array" ref="N1719">IF(OR(ISNUMBER(FIND(Aux!$D$3:$D$9,_xlfn.TEXTJOIN(,,C1719:K1719)))),NA(),IF(AND(SUM(C1719:F1719,H1719:K1719)=0,G1719=1),0,INT((SUMPRODUCT(C1719:F1719,COLUMN($A$1:$D$1)-1)+SUMPRODUCT(H1719:K1719,COLUMN($E$1:$H$1)-1))*'Line Follower'!$C$3/SUM(C1719:F1719,H1719:K1719)-'Line Follower'!$C$5)))</f>
        <v>#N/A</v>
      </c>
      <c r="O1719" s="22" t="e">
        <v>#N/A</v>
      </c>
      <c r="P1719" s="4" t="e">
        <f t="shared" si="130"/>
        <v>#N/A</v>
      </c>
      <c r="Q1719" s="4" t="e">
        <f t="shared" si="131"/>
        <v>#N/A</v>
      </c>
      <c r="R1719" s="4" t="e">
        <f>IF(AND(B1719=1,N1719&gt;'Line Follower'!$C$7,SUM(C1719:K1719)&lt;4),1,0)</f>
        <v>#N/A</v>
      </c>
      <c r="S1719" s="4" t="e">
        <f>IF(AND(L1719=1,N1719&lt;'Line Follower'!$C$6,SUM(C1719:K1719)&lt;4),1,0)</f>
        <v>#N/A</v>
      </c>
      <c r="T1719" s="4" t="e">
        <f t="shared" si="132"/>
        <v>#N/A</v>
      </c>
      <c r="U1719" s="5" t="e">
        <f t="shared" si="133"/>
        <v>#N/A</v>
      </c>
      <c r="V1719" s="23" t="e">
        <f t="shared" si="134"/>
        <v>#N/A</v>
      </c>
    </row>
    <row r="1720" spans="2:22" x14ac:dyDescent="0.25">
      <c r="B1720" s="16">
        <v>1</v>
      </c>
      <c r="C1720" s="7">
        <v>0</v>
      </c>
      <c r="D1720" s="8">
        <v>1</v>
      </c>
      <c r="E1720" s="8">
        <v>0</v>
      </c>
      <c r="F1720" s="8">
        <v>1</v>
      </c>
      <c r="G1720" s="8">
        <v>1</v>
      </c>
      <c r="H1720" s="8">
        <v>0</v>
      </c>
      <c r="I1720" s="8">
        <v>1</v>
      </c>
      <c r="J1720" s="8">
        <v>0</v>
      </c>
      <c r="K1720" s="9">
        <v>1</v>
      </c>
      <c r="L1720" s="10">
        <v>1</v>
      </c>
      <c r="M1720" s="6">
        <v>0</v>
      </c>
      <c r="N1720" s="37" t="e" cm="1">
        <f t="array" ref="N1720">IF(OR(ISNUMBER(FIND(Aux!$D$3:$D$9,_xlfn.TEXTJOIN(,,C1720:K1720)))),NA(),IF(AND(SUM(C1720:F1720,H1720:K1720)=0,G1720=1),0,INT((SUMPRODUCT(C1720:F1720,COLUMN($A$1:$D$1)-1)+SUMPRODUCT(H1720:K1720,COLUMN($E$1:$H$1)-1))*'Line Follower'!$C$3/SUM(C1720:F1720,H1720:K1720)-'Line Follower'!$C$5)))</f>
        <v>#N/A</v>
      </c>
      <c r="O1720" s="22" t="e">
        <v>#N/A</v>
      </c>
      <c r="P1720" s="4" t="e">
        <f t="shared" si="130"/>
        <v>#N/A</v>
      </c>
      <c r="Q1720" s="4" t="e">
        <f t="shared" si="131"/>
        <v>#N/A</v>
      </c>
      <c r="R1720" s="4" t="e">
        <f>IF(AND(B1720=1,N1720&gt;'Line Follower'!$C$7,SUM(C1720:K1720)&lt;4),1,0)</f>
        <v>#N/A</v>
      </c>
      <c r="S1720" s="4" t="e">
        <f>IF(AND(L1720=1,N1720&lt;'Line Follower'!$C$6,SUM(C1720:K1720)&lt;4),1,0)</f>
        <v>#N/A</v>
      </c>
      <c r="T1720" s="4" t="e">
        <f t="shared" si="132"/>
        <v>#N/A</v>
      </c>
      <c r="U1720" s="5" t="e">
        <f t="shared" si="133"/>
        <v>#N/A</v>
      </c>
      <c r="V1720" s="23" t="e">
        <f t="shared" si="134"/>
        <v>#N/A</v>
      </c>
    </row>
    <row r="1721" spans="2:22" x14ac:dyDescent="0.25">
      <c r="B1721" s="16">
        <v>0</v>
      </c>
      <c r="C1721" s="7">
        <v>1</v>
      </c>
      <c r="D1721" s="8">
        <v>1</v>
      </c>
      <c r="E1721" s="8">
        <v>0</v>
      </c>
      <c r="F1721" s="8">
        <v>1</v>
      </c>
      <c r="G1721" s="8">
        <v>1</v>
      </c>
      <c r="H1721" s="8">
        <v>0</v>
      </c>
      <c r="I1721" s="8">
        <v>1</v>
      </c>
      <c r="J1721" s="8">
        <v>0</v>
      </c>
      <c r="K1721" s="9">
        <v>1</v>
      </c>
      <c r="L1721" s="10">
        <v>1</v>
      </c>
      <c r="M1721" s="6">
        <v>0</v>
      </c>
      <c r="N1721" s="37" t="e" cm="1">
        <f t="array" ref="N1721">IF(OR(ISNUMBER(FIND(Aux!$D$3:$D$9,_xlfn.TEXTJOIN(,,C1721:K1721)))),NA(),IF(AND(SUM(C1721:F1721,H1721:K1721)=0,G1721=1),0,INT((SUMPRODUCT(C1721:F1721,COLUMN($A$1:$D$1)-1)+SUMPRODUCT(H1721:K1721,COLUMN($E$1:$H$1)-1))*'Line Follower'!$C$3/SUM(C1721:F1721,H1721:K1721)-'Line Follower'!$C$5)))</f>
        <v>#N/A</v>
      </c>
      <c r="O1721" s="22" t="e">
        <v>#N/A</v>
      </c>
      <c r="P1721" s="4" t="e">
        <f t="shared" si="130"/>
        <v>#N/A</v>
      </c>
      <c r="Q1721" s="4" t="e">
        <f t="shared" si="131"/>
        <v>#N/A</v>
      </c>
      <c r="R1721" s="4" t="e">
        <f>IF(AND(B1721=1,N1721&gt;'Line Follower'!$C$7,SUM(C1721:K1721)&lt;4),1,0)</f>
        <v>#N/A</v>
      </c>
      <c r="S1721" s="4" t="e">
        <f>IF(AND(L1721=1,N1721&lt;'Line Follower'!$C$6,SUM(C1721:K1721)&lt;4),1,0)</f>
        <v>#N/A</v>
      </c>
      <c r="T1721" s="4" t="e">
        <f t="shared" si="132"/>
        <v>#N/A</v>
      </c>
      <c r="U1721" s="5" t="e">
        <f t="shared" si="133"/>
        <v>#N/A</v>
      </c>
      <c r="V1721" s="23" t="e">
        <f t="shared" si="134"/>
        <v>#N/A</v>
      </c>
    </row>
    <row r="1722" spans="2:22" x14ac:dyDescent="0.25">
      <c r="B1722" s="16">
        <v>1</v>
      </c>
      <c r="C1722" s="7">
        <v>1</v>
      </c>
      <c r="D1722" s="8">
        <v>1</v>
      </c>
      <c r="E1722" s="8">
        <v>0</v>
      </c>
      <c r="F1722" s="8">
        <v>1</v>
      </c>
      <c r="G1722" s="8">
        <v>1</v>
      </c>
      <c r="H1722" s="8">
        <v>0</v>
      </c>
      <c r="I1722" s="8">
        <v>1</v>
      </c>
      <c r="J1722" s="8">
        <v>0</v>
      </c>
      <c r="K1722" s="9">
        <v>1</v>
      </c>
      <c r="L1722" s="10">
        <v>1</v>
      </c>
      <c r="M1722" s="6">
        <v>0</v>
      </c>
      <c r="N1722" s="37" t="e" cm="1">
        <f t="array" ref="N1722">IF(OR(ISNUMBER(FIND(Aux!$D$3:$D$9,_xlfn.TEXTJOIN(,,C1722:K1722)))),NA(),IF(AND(SUM(C1722:F1722,H1722:K1722)=0,G1722=1),0,INT((SUMPRODUCT(C1722:F1722,COLUMN($A$1:$D$1)-1)+SUMPRODUCT(H1722:K1722,COLUMN($E$1:$H$1)-1))*'Line Follower'!$C$3/SUM(C1722:F1722,H1722:K1722)-'Line Follower'!$C$5)))</f>
        <v>#N/A</v>
      </c>
      <c r="O1722" s="22" t="e">
        <v>#N/A</v>
      </c>
      <c r="P1722" s="4" t="e">
        <f t="shared" si="130"/>
        <v>#N/A</v>
      </c>
      <c r="Q1722" s="4" t="e">
        <f t="shared" si="131"/>
        <v>#N/A</v>
      </c>
      <c r="R1722" s="4" t="e">
        <f>IF(AND(B1722=1,N1722&gt;'Line Follower'!$C$7,SUM(C1722:K1722)&lt;4),1,0)</f>
        <v>#N/A</v>
      </c>
      <c r="S1722" s="4" t="e">
        <f>IF(AND(L1722=1,N1722&lt;'Line Follower'!$C$6,SUM(C1722:K1722)&lt;4),1,0)</f>
        <v>#N/A</v>
      </c>
      <c r="T1722" s="4" t="e">
        <f t="shared" si="132"/>
        <v>#N/A</v>
      </c>
      <c r="U1722" s="5" t="e">
        <f t="shared" si="133"/>
        <v>#N/A</v>
      </c>
      <c r="V1722" s="23" t="e">
        <f t="shared" si="134"/>
        <v>#N/A</v>
      </c>
    </row>
    <row r="1723" spans="2:22" x14ac:dyDescent="0.25">
      <c r="B1723" s="16">
        <v>0</v>
      </c>
      <c r="C1723" s="7">
        <v>0</v>
      </c>
      <c r="D1723" s="8">
        <v>0</v>
      </c>
      <c r="E1723" s="8">
        <v>1</v>
      </c>
      <c r="F1723" s="8">
        <v>1</v>
      </c>
      <c r="G1723" s="8">
        <v>1</v>
      </c>
      <c r="H1723" s="8">
        <v>0</v>
      </c>
      <c r="I1723" s="8">
        <v>1</v>
      </c>
      <c r="J1723" s="8">
        <v>0</v>
      </c>
      <c r="K1723" s="9">
        <v>1</v>
      </c>
      <c r="L1723" s="10">
        <v>1</v>
      </c>
      <c r="M1723" s="6">
        <v>0</v>
      </c>
      <c r="N1723" s="37" t="e" cm="1">
        <f t="array" ref="N1723">IF(OR(ISNUMBER(FIND(Aux!$D$3:$D$9,_xlfn.TEXTJOIN(,,C1723:K1723)))),NA(),IF(AND(SUM(C1723:F1723,H1723:K1723)=0,G1723=1),0,INT((SUMPRODUCT(C1723:F1723,COLUMN($A$1:$D$1)-1)+SUMPRODUCT(H1723:K1723,COLUMN($E$1:$H$1)-1))*'Line Follower'!$C$3/SUM(C1723:F1723,H1723:K1723)-'Line Follower'!$C$5)))</f>
        <v>#N/A</v>
      </c>
      <c r="O1723" s="22" t="e">
        <v>#N/A</v>
      </c>
      <c r="P1723" s="4" t="e">
        <f t="shared" si="130"/>
        <v>#N/A</v>
      </c>
      <c r="Q1723" s="4" t="e">
        <f t="shared" si="131"/>
        <v>#N/A</v>
      </c>
      <c r="R1723" s="4" t="e">
        <f>IF(AND(B1723=1,N1723&gt;'Line Follower'!$C$7,SUM(C1723:K1723)&lt;4),1,0)</f>
        <v>#N/A</v>
      </c>
      <c r="S1723" s="4" t="e">
        <f>IF(AND(L1723=1,N1723&lt;'Line Follower'!$C$6,SUM(C1723:K1723)&lt;4),1,0)</f>
        <v>#N/A</v>
      </c>
      <c r="T1723" s="4" t="e">
        <f t="shared" si="132"/>
        <v>#N/A</v>
      </c>
      <c r="U1723" s="5" t="e">
        <f t="shared" si="133"/>
        <v>#N/A</v>
      </c>
      <c r="V1723" s="23" t="e">
        <f t="shared" si="134"/>
        <v>#N/A</v>
      </c>
    </row>
    <row r="1724" spans="2:22" x14ac:dyDescent="0.25">
      <c r="B1724" s="16">
        <v>1</v>
      </c>
      <c r="C1724" s="7">
        <v>0</v>
      </c>
      <c r="D1724" s="8">
        <v>0</v>
      </c>
      <c r="E1724" s="8">
        <v>1</v>
      </c>
      <c r="F1724" s="8">
        <v>1</v>
      </c>
      <c r="G1724" s="8">
        <v>1</v>
      </c>
      <c r="H1724" s="8">
        <v>0</v>
      </c>
      <c r="I1724" s="8">
        <v>1</v>
      </c>
      <c r="J1724" s="8">
        <v>0</v>
      </c>
      <c r="K1724" s="9">
        <v>1</v>
      </c>
      <c r="L1724" s="10">
        <v>1</v>
      </c>
      <c r="M1724" s="6">
        <v>0</v>
      </c>
      <c r="N1724" s="37" t="e" cm="1">
        <f t="array" ref="N1724">IF(OR(ISNUMBER(FIND(Aux!$D$3:$D$9,_xlfn.TEXTJOIN(,,C1724:K1724)))),NA(),IF(AND(SUM(C1724:F1724,H1724:K1724)=0,G1724=1),0,INT((SUMPRODUCT(C1724:F1724,COLUMN($A$1:$D$1)-1)+SUMPRODUCT(H1724:K1724,COLUMN($E$1:$H$1)-1))*'Line Follower'!$C$3/SUM(C1724:F1724,H1724:K1724)-'Line Follower'!$C$5)))</f>
        <v>#N/A</v>
      </c>
      <c r="O1724" s="22" t="e">
        <v>#N/A</v>
      </c>
      <c r="P1724" s="4" t="e">
        <f t="shared" si="130"/>
        <v>#N/A</v>
      </c>
      <c r="Q1724" s="4" t="e">
        <f t="shared" si="131"/>
        <v>#N/A</v>
      </c>
      <c r="R1724" s="4" t="e">
        <f>IF(AND(B1724=1,N1724&gt;'Line Follower'!$C$7,SUM(C1724:K1724)&lt;4),1,0)</f>
        <v>#N/A</v>
      </c>
      <c r="S1724" s="4" t="e">
        <f>IF(AND(L1724=1,N1724&lt;'Line Follower'!$C$6,SUM(C1724:K1724)&lt;4),1,0)</f>
        <v>#N/A</v>
      </c>
      <c r="T1724" s="4" t="e">
        <f t="shared" si="132"/>
        <v>#N/A</v>
      </c>
      <c r="U1724" s="5" t="e">
        <f t="shared" si="133"/>
        <v>#N/A</v>
      </c>
      <c r="V1724" s="23" t="e">
        <f t="shared" si="134"/>
        <v>#N/A</v>
      </c>
    </row>
    <row r="1725" spans="2:22" x14ac:dyDescent="0.25">
      <c r="B1725" s="16">
        <v>0</v>
      </c>
      <c r="C1725" s="7">
        <v>1</v>
      </c>
      <c r="D1725" s="8">
        <v>0</v>
      </c>
      <c r="E1725" s="8">
        <v>1</v>
      </c>
      <c r="F1725" s="8">
        <v>1</v>
      </c>
      <c r="G1725" s="8">
        <v>1</v>
      </c>
      <c r="H1725" s="8">
        <v>0</v>
      </c>
      <c r="I1725" s="8">
        <v>1</v>
      </c>
      <c r="J1725" s="8">
        <v>0</v>
      </c>
      <c r="K1725" s="9">
        <v>1</v>
      </c>
      <c r="L1725" s="10">
        <v>1</v>
      </c>
      <c r="M1725" s="6">
        <v>0</v>
      </c>
      <c r="N1725" s="37" t="e" cm="1">
        <f t="array" ref="N1725">IF(OR(ISNUMBER(FIND(Aux!$D$3:$D$9,_xlfn.TEXTJOIN(,,C1725:K1725)))),NA(),IF(AND(SUM(C1725:F1725,H1725:K1725)=0,G1725=1),0,INT((SUMPRODUCT(C1725:F1725,COLUMN($A$1:$D$1)-1)+SUMPRODUCT(H1725:K1725,COLUMN($E$1:$H$1)-1))*'Line Follower'!$C$3/SUM(C1725:F1725,H1725:K1725)-'Line Follower'!$C$5)))</f>
        <v>#N/A</v>
      </c>
      <c r="O1725" s="22" t="e">
        <v>#N/A</v>
      </c>
      <c r="P1725" s="4" t="e">
        <f t="shared" si="130"/>
        <v>#N/A</v>
      </c>
      <c r="Q1725" s="4" t="e">
        <f t="shared" si="131"/>
        <v>#N/A</v>
      </c>
      <c r="R1725" s="4" t="e">
        <f>IF(AND(B1725=1,N1725&gt;'Line Follower'!$C$7,SUM(C1725:K1725)&lt;4),1,0)</f>
        <v>#N/A</v>
      </c>
      <c r="S1725" s="4" t="e">
        <f>IF(AND(L1725=1,N1725&lt;'Line Follower'!$C$6,SUM(C1725:K1725)&lt;4),1,0)</f>
        <v>#N/A</v>
      </c>
      <c r="T1725" s="4" t="e">
        <f t="shared" si="132"/>
        <v>#N/A</v>
      </c>
      <c r="U1725" s="5" t="e">
        <f t="shared" si="133"/>
        <v>#N/A</v>
      </c>
      <c r="V1725" s="23" t="e">
        <f t="shared" si="134"/>
        <v>#N/A</v>
      </c>
    </row>
    <row r="1726" spans="2:22" x14ac:dyDescent="0.25">
      <c r="B1726" s="16">
        <v>1</v>
      </c>
      <c r="C1726" s="7">
        <v>1</v>
      </c>
      <c r="D1726" s="8">
        <v>0</v>
      </c>
      <c r="E1726" s="8">
        <v>1</v>
      </c>
      <c r="F1726" s="8">
        <v>1</v>
      </c>
      <c r="G1726" s="8">
        <v>1</v>
      </c>
      <c r="H1726" s="8">
        <v>0</v>
      </c>
      <c r="I1726" s="8">
        <v>1</v>
      </c>
      <c r="J1726" s="8">
        <v>0</v>
      </c>
      <c r="K1726" s="9">
        <v>1</v>
      </c>
      <c r="L1726" s="10">
        <v>1</v>
      </c>
      <c r="M1726" s="6">
        <v>0</v>
      </c>
      <c r="N1726" s="37" t="e" cm="1">
        <f t="array" ref="N1726">IF(OR(ISNUMBER(FIND(Aux!$D$3:$D$9,_xlfn.TEXTJOIN(,,C1726:K1726)))),NA(),IF(AND(SUM(C1726:F1726,H1726:K1726)=0,G1726=1),0,INT((SUMPRODUCT(C1726:F1726,COLUMN($A$1:$D$1)-1)+SUMPRODUCT(H1726:K1726,COLUMN($E$1:$H$1)-1))*'Line Follower'!$C$3/SUM(C1726:F1726,H1726:K1726)-'Line Follower'!$C$5)))</f>
        <v>#N/A</v>
      </c>
      <c r="O1726" s="22" t="e">
        <v>#N/A</v>
      </c>
      <c r="P1726" s="4" t="e">
        <f t="shared" si="130"/>
        <v>#N/A</v>
      </c>
      <c r="Q1726" s="4" t="e">
        <f t="shared" si="131"/>
        <v>#N/A</v>
      </c>
      <c r="R1726" s="4" t="e">
        <f>IF(AND(B1726=1,N1726&gt;'Line Follower'!$C$7,SUM(C1726:K1726)&lt;4),1,0)</f>
        <v>#N/A</v>
      </c>
      <c r="S1726" s="4" t="e">
        <f>IF(AND(L1726=1,N1726&lt;'Line Follower'!$C$6,SUM(C1726:K1726)&lt;4),1,0)</f>
        <v>#N/A</v>
      </c>
      <c r="T1726" s="4" t="e">
        <f t="shared" si="132"/>
        <v>#N/A</v>
      </c>
      <c r="U1726" s="5" t="e">
        <f t="shared" si="133"/>
        <v>#N/A</v>
      </c>
      <c r="V1726" s="23" t="e">
        <f t="shared" si="134"/>
        <v>#N/A</v>
      </c>
    </row>
    <row r="1727" spans="2:22" x14ac:dyDescent="0.25">
      <c r="B1727" s="16">
        <v>0</v>
      </c>
      <c r="C1727" s="7">
        <v>0</v>
      </c>
      <c r="D1727" s="8">
        <v>1</v>
      </c>
      <c r="E1727" s="8">
        <v>1</v>
      </c>
      <c r="F1727" s="8">
        <v>1</v>
      </c>
      <c r="G1727" s="8">
        <v>1</v>
      </c>
      <c r="H1727" s="8">
        <v>0</v>
      </c>
      <c r="I1727" s="8">
        <v>1</v>
      </c>
      <c r="J1727" s="8">
        <v>0</v>
      </c>
      <c r="K1727" s="9">
        <v>1</v>
      </c>
      <c r="L1727" s="10">
        <v>1</v>
      </c>
      <c r="M1727" s="6">
        <v>0</v>
      </c>
      <c r="N1727" s="37" t="e" cm="1">
        <f t="array" ref="N1727">IF(OR(ISNUMBER(FIND(Aux!$D$3:$D$9,_xlfn.TEXTJOIN(,,C1727:K1727)))),NA(),IF(AND(SUM(C1727:F1727,H1727:K1727)=0,G1727=1),0,INT((SUMPRODUCT(C1727:F1727,COLUMN($A$1:$D$1)-1)+SUMPRODUCT(H1727:K1727,COLUMN($E$1:$H$1)-1))*'Line Follower'!$C$3/SUM(C1727:F1727,H1727:K1727)-'Line Follower'!$C$5)))</f>
        <v>#N/A</v>
      </c>
      <c r="O1727" s="22" t="e">
        <v>#N/A</v>
      </c>
      <c r="P1727" s="4" t="e">
        <f t="shared" si="130"/>
        <v>#N/A</v>
      </c>
      <c r="Q1727" s="4" t="e">
        <f t="shared" si="131"/>
        <v>#N/A</v>
      </c>
      <c r="R1727" s="4" t="e">
        <f>IF(AND(B1727=1,N1727&gt;'Line Follower'!$C$7,SUM(C1727:K1727)&lt;4),1,0)</f>
        <v>#N/A</v>
      </c>
      <c r="S1727" s="4" t="e">
        <f>IF(AND(L1727=1,N1727&lt;'Line Follower'!$C$6,SUM(C1727:K1727)&lt;4),1,0)</f>
        <v>#N/A</v>
      </c>
      <c r="T1727" s="4" t="e">
        <f t="shared" si="132"/>
        <v>#N/A</v>
      </c>
      <c r="U1727" s="5" t="e">
        <f t="shared" si="133"/>
        <v>#N/A</v>
      </c>
      <c r="V1727" s="23" t="e">
        <f t="shared" si="134"/>
        <v>#N/A</v>
      </c>
    </row>
    <row r="1728" spans="2:22" x14ac:dyDescent="0.25">
      <c r="B1728" s="16">
        <v>1</v>
      </c>
      <c r="C1728" s="7">
        <v>0</v>
      </c>
      <c r="D1728" s="8">
        <v>1</v>
      </c>
      <c r="E1728" s="8">
        <v>1</v>
      </c>
      <c r="F1728" s="8">
        <v>1</v>
      </c>
      <c r="G1728" s="8">
        <v>1</v>
      </c>
      <c r="H1728" s="8">
        <v>0</v>
      </c>
      <c r="I1728" s="8">
        <v>1</v>
      </c>
      <c r="J1728" s="8">
        <v>0</v>
      </c>
      <c r="K1728" s="9">
        <v>1</v>
      </c>
      <c r="L1728" s="10">
        <v>1</v>
      </c>
      <c r="M1728" s="6">
        <v>0</v>
      </c>
      <c r="N1728" s="37" t="e" cm="1">
        <f t="array" ref="N1728">IF(OR(ISNUMBER(FIND(Aux!$D$3:$D$9,_xlfn.TEXTJOIN(,,C1728:K1728)))),NA(),IF(AND(SUM(C1728:F1728,H1728:K1728)=0,G1728=1),0,INT((SUMPRODUCT(C1728:F1728,COLUMN($A$1:$D$1)-1)+SUMPRODUCT(H1728:K1728,COLUMN($E$1:$H$1)-1))*'Line Follower'!$C$3/SUM(C1728:F1728,H1728:K1728)-'Line Follower'!$C$5)))</f>
        <v>#N/A</v>
      </c>
      <c r="O1728" s="22" t="e">
        <v>#N/A</v>
      </c>
      <c r="P1728" s="4" t="e">
        <f t="shared" si="130"/>
        <v>#N/A</v>
      </c>
      <c r="Q1728" s="4" t="e">
        <f t="shared" si="131"/>
        <v>#N/A</v>
      </c>
      <c r="R1728" s="4" t="e">
        <f>IF(AND(B1728=1,N1728&gt;'Line Follower'!$C$7,SUM(C1728:K1728)&lt;4),1,0)</f>
        <v>#N/A</v>
      </c>
      <c r="S1728" s="4" t="e">
        <f>IF(AND(L1728=1,N1728&lt;'Line Follower'!$C$6,SUM(C1728:K1728)&lt;4),1,0)</f>
        <v>#N/A</v>
      </c>
      <c r="T1728" s="4" t="e">
        <f t="shared" si="132"/>
        <v>#N/A</v>
      </c>
      <c r="U1728" s="5" t="e">
        <f t="shared" si="133"/>
        <v>#N/A</v>
      </c>
      <c r="V1728" s="23" t="e">
        <f t="shared" si="134"/>
        <v>#N/A</v>
      </c>
    </row>
    <row r="1729" spans="2:22" x14ac:dyDescent="0.25">
      <c r="B1729" s="16">
        <v>0</v>
      </c>
      <c r="C1729" s="7">
        <v>1</v>
      </c>
      <c r="D1729" s="8">
        <v>1</v>
      </c>
      <c r="E1729" s="8">
        <v>1</v>
      </c>
      <c r="F1729" s="8">
        <v>1</v>
      </c>
      <c r="G1729" s="8">
        <v>1</v>
      </c>
      <c r="H1729" s="8">
        <v>0</v>
      </c>
      <c r="I1729" s="8">
        <v>1</v>
      </c>
      <c r="J1729" s="8">
        <v>0</v>
      </c>
      <c r="K1729" s="9">
        <v>1</v>
      </c>
      <c r="L1729" s="10">
        <v>1</v>
      </c>
      <c r="M1729" s="6">
        <v>0</v>
      </c>
      <c r="N1729" s="37" t="e" cm="1">
        <f t="array" ref="N1729">IF(OR(ISNUMBER(FIND(Aux!$D$3:$D$9,_xlfn.TEXTJOIN(,,C1729:K1729)))),NA(),IF(AND(SUM(C1729:F1729,H1729:K1729)=0,G1729=1),0,INT((SUMPRODUCT(C1729:F1729,COLUMN($A$1:$D$1)-1)+SUMPRODUCT(H1729:K1729,COLUMN($E$1:$H$1)-1))*'Line Follower'!$C$3/SUM(C1729:F1729,H1729:K1729)-'Line Follower'!$C$5)))</f>
        <v>#N/A</v>
      </c>
      <c r="O1729" s="22" t="e">
        <v>#N/A</v>
      </c>
      <c r="P1729" s="4" t="e">
        <f t="shared" si="130"/>
        <v>#N/A</v>
      </c>
      <c r="Q1729" s="4" t="e">
        <f t="shared" si="131"/>
        <v>#N/A</v>
      </c>
      <c r="R1729" s="4" t="e">
        <f>IF(AND(B1729=1,N1729&gt;'Line Follower'!$C$7,SUM(C1729:K1729)&lt;4),1,0)</f>
        <v>#N/A</v>
      </c>
      <c r="S1729" s="4" t="e">
        <f>IF(AND(L1729=1,N1729&lt;'Line Follower'!$C$6,SUM(C1729:K1729)&lt;4),1,0)</f>
        <v>#N/A</v>
      </c>
      <c r="T1729" s="4" t="e">
        <f t="shared" si="132"/>
        <v>#N/A</v>
      </c>
      <c r="U1729" s="5" t="e">
        <f t="shared" si="133"/>
        <v>#N/A</v>
      </c>
      <c r="V1729" s="23" t="e">
        <f t="shared" si="134"/>
        <v>#N/A</v>
      </c>
    </row>
    <row r="1730" spans="2:22" x14ac:dyDescent="0.25">
      <c r="B1730" s="16">
        <v>1</v>
      </c>
      <c r="C1730" s="7">
        <v>1</v>
      </c>
      <c r="D1730" s="8">
        <v>1</v>
      </c>
      <c r="E1730" s="8">
        <v>1</v>
      </c>
      <c r="F1730" s="8">
        <v>1</v>
      </c>
      <c r="G1730" s="8">
        <v>1</v>
      </c>
      <c r="H1730" s="8">
        <v>0</v>
      </c>
      <c r="I1730" s="8">
        <v>1</v>
      </c>
      <c r="J1730" s="8">
        <v>0</v>
      </c>
      <c r="K1730" s="9">
        <v>1</v>
      </c>
      <c r="L1730" s="10">
        <v>1</v>
      </c>
      <c r="M1730" s="6">
        <v>0</v>
      </c>
      <c r="N1730" s="37" t="e" cm="1">
        <f t="array" ref="N1730">IF(OR(ISNUMBER(FIND(Aux!$D$3:$D$9,_xlfn.TEXTJOIN(,,C1730:K1730)))),NA(),IF(AND(SUM(C1730:F1730,H1730:K1730)=0,G1730=1),0,INT((SUMPRODUCT(C1730:F1730,COLUMN($A$1:$D$1)-1)+SUMPRODUCT(H1730:K1730,COLUMN($E$1:$H$1)-1))*'Line Follower'!$C$3/SUM(C1730:F1730,H1730:K1730)-'Line Follower'!$C$5)))</f>
        <v>#N/A</v>
      </c>
      <c r="O1730" s="22" t="e">
        <v>#N/A</v>
      </c>
      <c r="P1730" s="4" t="e">
        <f t="shared" si="130"/>
        <v>#N/A</v>
      </c>
      <c r="Q1730" s="4" t="e">
        <f t="shared" si="131"/>
        <v>#N/A</v>
      </c>
      <c r="R1730" s="4" t="e">
        <f>IF(AND(B1730=1,N1730&gt;'Line Follower'!$C$7,SUM(C1730:K1730)&lt;4),1,0)</f>
        <v>#N/A</v>
      </c>
      <c r="S1730" s="4" t="e">
        <f>IF(AND(L1730=1,N1730&lt;'Line Follower'!$C$6,SUM(C1730:K1730)&lt;4),1,0)</f>
        <v>#N/A</v>
      </c>
      <c r="T1730" s="4" t="e">
        <f t="shared" si="132"/>
        <v>#N/A</v>
      </c>
      <c r="U1730" s="5" t="e">
        <f t="shared" si="133"/>
        <v>#N/A</v>
      </c>
      <c r="V1730" s="23" t="e">
        <f t="shared" si="134"/>
        <v>#N/A</v>
      </c>
    </row>
    <row r="1731" spans="2:22" x14ac:dyDescent="0.25">
      <c r="B1731" s="16">
        <v>0</v>
      </c>
      <c r="C1731" s="7">
        <v>0</v>
      </c>
      <c r="D1731" s="8">
        <v>0</v>
      </c>
      <c r="E1731" s="8">
        <v>0</v>
      </c>
      <c r="F1731" s="8">
        <v>0</v>
      </c>
      <c r="G1731" s="8">
        <v>0</v>
      </c>
      <c r="H1731" s="8">
        <v>1</v>
      </c>
      <c r="I1731" s="8">
        <v>1</v>
      </c>
      <c r="J1731" s="8">
        <v>0</v>
      </c>
      <c r="K1731" s="9">
        <v>1</v>
      </c>
      <c r="L1731" s="10">
        <v>1</v>
      </c>
      <c r="M1731" s="6">
        <v>0</v>
      </c>
      <c r="N1731" s="37" t="e" cm="1">
        <f t="array" ref="N1731">IF(OR(ISNUMBER(FIND(Aux!$D$3:$D$9,_xlfn.TEXTJOIN(,,C1731:K1731)))),NA(),IF(AND(SUM(C1731:F1731,H1731:K1731)=0,G1731=1),0,INT((SUMPRODUCT(C1731:F1731,COLUMN($A$1:$D$1)-1)+SUMPRODUCT(H1731:K1731,COLUMN($E$1:$H$1)-1))*'Line Follower'!$C$3/SUM(C1731:F1731,H1731:K1731)-'Line Follower'!$C$5)))</f>
        <v>#N/A</v>
      </c>
      <c r="O1731" s="22" t="e">
        <v>#N/A</v>
      </c>
      <c r="P1731" s="4" t="e">
        <f t="shared" ref="P1731:P1794" si="135">IF(AND(N1731=0,G1731=1,M1731=1),1,0)</f>
        <v>#N/A</v>
      </c>
      <c r="Q1731" s="4" t="e">
        <f t="shared" ref="Q1731:Q1794" si="136">IF(ISERROR(N1731),N1731,IF(SUM(C1731:K1731)&gt;=4,1,0))</f>
        <v>#N/A</v>
      </c>
      <c r="R1731" s="4" t="e">
        <f>IF(AND(B1731=1,N1731&gt;'Line Follower'!$C$7,SUM(C1731:K1731)&lt;4),1,0)</f>
        <v>#N/A</v>
      </c>
      <c r="S1731" s="4" t="e">
        <f>IF(AND(L1731=1,N1731&lt;'Line Follower'!$C$6,SUM(C1731:K1731)&lt;4),1,0)</f>
        <v>#N/A</v>
      </c>
      <c r="T1731" s="4" t="e">
        <f t="shared" si="132"/>
        <v>#N/A</v>
      </c>
      <c r="U1731" s="5" t="e">
        <f t="shared" si="133"/>
        <v>#N/A</v>
      </c>
      <c r="V1731" s="23" t="e">
        <f t="shared" si="134"/>
        <v>#N/A</v>
      </c>
    </row>
    <row r="1732" spans="2:22" x14ac:dyDescent="0.25">
      <c r="B1732" s="16">
        <v>1</v>
      </c>
      <c r="C1732" s="7">
        <v>0</v>
      </c>
      <c r="D1732" s="8">
        <v>0</v>
      </c>
      <c r="E1732" s="8">
        <v>0</v>
      </c>
      <c r="F1732" s="8">
        <v>0</v>
      </c>
      <c r="G1732" s="8">
        <v>0</v>
      </c>
      <c r="H1732" s="8">
        <v>1</v>
      </c>
      <c r="I1732" s="8">
        <v>1</v>
      </c>
      <c r="J1732" s="8">
        <v>0</v>
      </c>
      <c r="K1732" s="9">
        <v>1</v>
      </c>
      <c r="L1732" s="10">
        <v>1</v>
      </c>
      <c r="M1732" s="6">
        <v>0</v>
      </c>
      <c r="N1732" s="37" t="e" cm="1">
        <f t="array" ref="N1732">IF(OR(ISNUMBER(FIND(Aux!$D$3:$D$9,_xlfn.TEXTJOIN(,,C1732:K1732)))),NA(),IF(AND(SUM(C1732:F1732,H1732:K1732)=0,G1732=1),0,INT((SUMPRODUCT(C1732:F1732,COLUMN($A$1:$D$1)-1)+SUMPRODUCT(H1732:K1732,COLUMN($E$1:$H$1)-1))*'Line Follower'!$C$3/SUM(C1732:F1732,H1732:K1732)-'Line Follower'!$C$5)))</f>
        <v>#N/A</v>
      </c>
      <c r="O1732" s="22" t="e">
        <v>#N/A</v>
      </c>
      <c r="P1732" s="4" t="e">
        <f t="shared" si="135"/>
        <v>#N/A</v>
      </c>
      <c r="Q1732" s="4" t="e">
        <f t="shared" si="136"/>
        <v>#N/A</v>
      </c>
      <c r="R1732" s="4" t="e">
        <f>IF(AND(B1732=1,N1732&gt;'Line Follower'!$C$7,SUM(C1732:K1732)&lt;4),1,0)</f>
        <v>#N/A</v>
      </c>
      <c r="S1732" s="4" t="e">
        <f>IF(AND(L1732=1,N1732&lt;'Line Follower'!$C$6,SUM(C1732:K1732)&lt;4),1,0)</f>
        <v>#N/A</v>
      </c>
      <c r="T1732" s="4" t="e">
        <f t="shared" ref="T1732:T1795" si="137">IF(ISNA(N1732),NA(),IF(SUM(C1732:L1732)=0,1,0))</f>
        <v>#N/A</v>
      </c>
      <c r="U1732" s="5" t="e">
        <f t="shared" ref="U1732:U1795" si="138">IF(ISNA(N1732),NA(),IF(SUM(B1732:K1732)=0,1,0))</f>
        <v>#N/A</v>
      </c>
      <c r="V1732" s="23" t="e">
        <f t="shared" ref="V1732:V1795" si="139">IF(ISNA(N1732),NA(),IF(SUM(B1732:L1732)=0,1,0))</f>
        <v>#N/A</v>
      </c>
    </row>
    <row r="1733" spans="2:22" x14ac:dyDescent="0.25">
      <c r="B1733" s="16">
        <v>0</v>
      </c>
      <c r="C1733" s="7">
        <v>1</v>
      </c>
      <c r="D1733" s="8">
        <v>0</v>
      </c>
      <c r="E1733" s="8">
        <v>0</v>
      </c>
      <c r="F1733" s="8">
        <v>0</v>
      </c>
      <c r="G1733" s="8">
        <v>0</v>
      </c>
      <c r="H1733" s="8">
        <v>1</v>
      </c>
      <c r="I1733" s="8">
        <v>1</v>
      </c>
      <c r="J1733" s="8">
        <v>0</v>
      </c>
      <c r="K1733" s="9">
        <v>1</v>
      </c>
      <c r="L1733" s="10">
        <v>1</v>
      </c>
      <c r="M1733" s="6">
        <v>0</v>
      </c>
      <c r="N1733" s="37" t="e" cm="1">
        <f t="array" ref="N1733">IF(OR(ISNUMBER(FIND(Aux!$D$3:$D$9,_xlfn.TEXTJOIN(,,C1733:K1733)))),NA(),IF(AND(SUM(C1733:F1733,H1733:K1733)=0,G1733=1),0,INT((SUMPRODUCT(C1733:F1733,COLUMN($A$1:$D$1)-1)+SUMPRODUCT(H1733:K1733,COLUMN($E$1:$H$1)-1))*'Line Follower'!$C$3/SUM(C1733:F1733,H1733:K1733)-'Line Follower'!$C$5)))</f>
        <v>#N/A</v>
      </c>
      <c r="O1733" s="22" t="e">
        <v>#N/A</v>
      </c>
      <c r="P1733" s="4" t="e">
        <f t="shared" si="135"/>
        <v>#N/A</v>
      </c>
      <c r="Q1733" s="4" t="e">
        <f t="shared" si="136"/>
        <v>#N/A</v>
      </c>
      <c r="R1733" s="4" t="e">
        <f>IF(AND(B1733=1,N1733&gt;'Line Follower'!$C$7,SUM(C1733:K1733)&lt;4),1,0)</f>
        <v>#N/A</v>
      </c>
      <c r="S1733" s="4" t="e">
        <f>IF(AND(L1733=1,N1733&lt;'Line Follower'!$C$6,SUM(C1733:K1733)&lt;4),1,0)</f>
        <v>#N/A</v>
      </c>
      <c r="T1733" s="4" t="e">
        <f t="shared" si="137"/>
        <v>#N/A</v>
      </c>
      <c r="U1733" s="5" t="e">
        <f t="shared" si="138"/>
        <v>#N/A</v>
      </c>
      <c r="V1733" s="23" t="e">
        <f t="shared" si="139"/>
        <v>#N/A</v>
      </c>
    </row>
    <row r="1734" spans="2:22" x14ac:dyDescent="0.25">
      <c r="B1734" s="16">
        <v>1</v>
      </c>
      <c r="C1734" s="7">
        <v>1</v>
      </c>
      <c r="D1734" s="8">
        <v>0</v>
      </c>
      <c r="E1734" s="8">
        <v>0</v>
      </c>
      <c r="F1734" s="8">
        <v>0</v>
      </c>
      <c r="G1734" s="8">
        <v>0</v>
      </c>
      <c r="H1734" s="8">
        <v>1</v>
      </c>
      <c r="I1734" s="8">
        <v>1</v>
      </c>
      <c r="J1734" s="8">
        <v>0</v>
      </c>
      <c r="K1734" s="9">
        <v>1</v>
      </c>
      <c r="L1734" s="10">
        <v>1</v>
      </c>
      <c r="M1734" s="6">
        <v>0</v>
      </c>
      <c r="N1734" s="37" t="e" cm="1">
        <f t="array" ref="N1734">IF(OR(ISNUMBER(FIND(Aux!$D$3:$D$9,_xlfn.TEXTJOIN(,,C1734:K1734)))),NA(),IF(AND(SUM(C1734:F1734,H1734:K1734)=0,G1734=1),0,INT((SUMPRODUCT(C1734:F1734,COLUMN($A$1:$D$1)-1)+SUMPRODUCT(H1734:K1734,COLUMN($E$1:$H$1)-1))*'Line Follower'!$C$3/SUM(C1734:F1734,H1734:K1734)-'Line Follower'!$C$5)))</f>
        <v>#N/A</v>
      </c>
      <c r="O1734" s="22" t="e">
        <v>#N/A</v>
      </c>
      <c r="P1734" s="4" t="e">
        <f t="shared" si="135"/>
        <v>#N/A</v>
      </c>
      <c r="Q1734" s="4" t="e">
        <f t="shared" si="136"/>
        <v>#N/A</v>
      </c>
      <c r="R1734" s="4" t="e">
        <f>IF(AND(B1734=1,N1734&gt;'Line Follower'!$C$7,SUM(C1734:K1734)&lt;4),1,0)</f>
        <v>#N/A</v>
      </c>
      <c r="S1734" s="4" t="e">
        <f>IF(AND(L1734=1,N1734&lt;'Line Follower'!$C$6,SUM(C1734:K1734)&lt;4),1,0)</f>
        <v>#N/A</v>
      </c>
      <c r="T1734" s="4" t="e">
        <f t="shared" si="137"/>
        <v>#N/A</v>
      </c>
      <c r="U1734" s="5" t="e">
        <f t="shared" si="138"/>
        <v>#N/A</v>
      </c>
      <c r="V1734" s="23" t="e">
        <f t="shared" si="139"/>
        <v>#N/A</v>
      </c>
    </row>
    <row r="1735" spans="2:22" x14ac:dyDescent="0.25">
      <c r="B1735" s="16">
        <v>0</v>
      </c>
      <c r="C1735" s="7">
        <v>0</v>
      </c>
      <c r="D1735" s="8">
        <v>1</v>
      </c>
      <c r="E1735" s="8">
        <v>0</v>
      </c>
      <c r="F1735" s="8">
        <v>0</v>
      </c>
      <c r="G1735" s="8">
        <v>0</v>
      </c>
      <c r="H1735" s="8">
        <v>1</v>
      </c>
      <c r="I1735" s="8">
        <v>1</v>
      </c>
      <c r="J1735" s="8">
        <v>0</v>
      </c>
      <c r="K1735" s="9">
        <v>1</v>
      </c>
      <c r="L1735" s="10">
        <v>1</v>
      </c>
      <c r="M1735" s="6">
        <v>0</v>
      </c>
      <c r="N1735" s="37" t="e" cm="1">
        <f t="array" ref="N1735">IF(OR(ISNUMBER(FIND(Aux!$D$3:$D$9,_xlfn.TEXTJOIN(,,C1735:K1735)))),NA(),IF(AND(SUM(C1735:F1735,H1735:K1735)=0,G1735=1),0,INT((SUMPRODUCT(C1735:F1735,COLUMN($A$1:$D$1)-1)+SUMPRODUCT(H1735:K1735,COLUMN($E$1:$H$1)-1))*'Line Follower'!$C$3/SUM(C1735:F1735,H1735:K1735)-'Line Follower'!$C$5)))</f>
        <v>#N/A</v>
      </c>
      <c r="O1735" s="22" t="e">
        <v>#N/A</v>
      </c>
      <c r="P1735" s="4" t="e">
        <f t="shared" si="135"/>
        <v>#N/A</v>
      </c>
      <c r="Q1735" s="4" t="e">
        <f t="shared" si="136"/>
        <v>#N/A</v>
      </c>
      <c r="R1735" s="4" t="e">
        <f>IF(AND(B1735=1,N1735&gt;'Line Follower'!$C$7,SUM(C1735:K1735)&lt;4),1,0)</f>
        <v>#N/A</v>
      </c>
      <c r="S1735" s="4" t="e">
        <f>IF(AND(L1735=1,N1735&lt;'Line Follower'!$C$6,SUM(C1735:K1735)&lt;4),1,0)</f>
        <v>#N/A</v>
      </c>
      <c r="T1735" s="4" t="e">
        <f t="shared" si="137"/>
        <v>#N/A</v>
      </c>
      <c r="U1735" s="5" t="e">
        <f t="shared" si="138"/>
        <v>#N/A</v>
      </c>
      <c r="V1735" s="23" t="e">
        <f t="shared" si="139"/>
        <v>#N/A</v>
      </c>
    </row>
    <row r="1736" spans="2:22" x14ac:dyDescent="0.25">
      <c r="B1736" s="16">
        <v>1</v>
      </c>
      <c r="C1736" s="7">
        <v>0</v>
      </c>
      <c r="D1736" s="8">
        <v>1</v>
      </c>
      <c r="E1736" s="8">
        <v>0</v>
      </c>
      <c r="F1736" s="8">
        <v>0</v>
      </c>
      <c r="G1736" s="8">
        <v>0</v>
      </c>
      <c r="H1736" s="8">
        <v>1</v>
      </c>
      <c r="I1736" s="8">
        <v>1</v>
      </c>
      <c r="J1736" s="8">
        <v>0</v>
      </c>
      <c r="K1736" s="9">
        <v>1</v>
      </c>
      <c r="L1736" s="10">
        <v>1</v>
      </c>
      <c r="M1736" s="6">
        <v>0</v>
      </c>
      <c r="N1736" s="37" t="e" cm="1">
        <f t="array" ref="N1736">IF(OR(ISNUMBER(FIND(Aux!$D$3:$D$9,_xlfn.TEXTJOIN(,,C1736:K1736)))),NA(),IF(AND(SUM(C1736:F1736,H1736:K1736)=0,G1736=1),0,INT((SUMPRODUCT(C1736:F1736,COLUMN($A$1:$D$1)-1)+SUMPRODUCT(H1736:K1736,COLUMN($E$1:$H$1)-1))*'Line Follower'!$C$3/SUM(C1736:F1736,H1736:K1736)-'Line Follower'!$C$5)))</f>
        <v>#N/A</v>
      </c>
      <c r="O1736" s="22" t="e">
        <v>#N/A</v>
      </c>
      <c r="P1736" s="4" t="e">
        <f t="shared" si="135"/>
        <v>#N/A</v>
      </c>
      <c r="Q1736" s="4" t="e">
        <f t="shared" si="136"/>
        <v>#N/A</v>
      </c>
      <c r="R1736" s="4" t="e">
        <f>IF(AND(B1736=1,N1736&gt;'Line Follower'!$C$7,SUM(C1736:K1736)&lt;4),1,0)</f>
        <v>#N/A</v>
      </c>
      <c r="S1736" s="4" t="e">
        <f>IF(AND(L1736=1,N1736&lt;'Line Follower'!$C$6,SUM(C1736:K1736)&lt;4),1,0)</f>
        <v>#N/A</v>
      </c>
      <c r="T1736" s="4" t="e">
        <f t="shared" si="137"/>
        <v>#N/A</v>
      </c>
      <c r="U1736" s="5" t="e">
        <f t="shared" si="138"/>
        <v>#N/A</v>
      </c>
      <c r="V1736" s="23" t="e">
        <f t="shared" si="139"/>
        <v>#N/A</v>
      </c>
    </row>
    <row r="1737" spans="2:22" x14ac:dyDescent="0.25">
      <c r="B1737" s="16">
        <v>0</v>
      </c>
      <c r="C1737" s="7">
        <v>1</v>
      </c>
      <c r="D1737" s="8">
        <v>1</v>
      </c>
      <c r="E1737" s="8">
        <v>0</v>
      </c>
      <c r="F1737" s="8">
        <v>0</v>
      </c>
      <c r="G1737" s="8">
        <v>0</v>
      </c>
      <c r="H1737" s="8">
        <v>1</v>
      </c>
      <c r="I1737" s="8">
        <v>1</v>
      </c>
      <c r="J1737" s="8">
        <v>0</v>
      </c>
      <c r="K1737" s="9">
        <v>1</v>
      </c>
      <c r="L1737" s="10">
        <v>1</v>
      </c>
      <c r="M1737" s="6">
        <v>0</v>
      </c>
      <c r="N1737" s="37" t="e" cm="1">
        <f t="array" ref="N1737">IF(OR(ISNUMBER(FIND(Aux!$D$3:$D$9,_xlfn.TEXTJOIN(,,C1737:K1737)))),NA(),IF(AND(SUM(C1737:F1737,H1737:K1737)=0,G1737=1),0,INT((SUMPRODUCT(C1737:F1737,COLUMN($A$1:$D$1)-1)+SUMPRODUCT(H1737:K1737,COLUMN($E$1:$H$1)-1))*'Line Follower'!$C$3/SUM(C1737:F1737,H1737:K1737)-'Line Follower'!$C$5)))</f>
        <v>#N/A</v>
      </c>
      <c r="O1737" s="22" t="e">
        <v>#N/A</v>
      </c>
      <c r="P1737" s="4" t="e">
        <f t="shared" si="135"/>
        <v>#N/A</v>
      </c>
      <c r="Q1737" s="4" t="e">
        <f t="shared" si="136"/>
        <v>#N/A</v>
      </c>
      <c r="R1737" s="4" t="e">
        <f>IF(AND(B1737=1,N1737&gt;'Line Follower'!$C$7,SUM(C1737:K1737)&lt;4),1,0)</f>
        <v>#N/A</v>
      </c>
      <c r="S1737" s="4" t="e">
        <f>IF(AND(L1737=1,N1737&lt;'Line Follower'!$C$6,SUM(C1737:K1737)&lt;4),1,0)</f>
        <v>#N/A</v>
      </c>
      <c r="T1737" s="4" t="e">
        <f t="shared" si="137"/>
        <v>#N/A</v>
      </c>
      <c r="U1737" s="5" t="e">
        <f t="shared" si="138"/>
        <v>#N/A</v>
      </c>
      <c r="V1737" s="23" t="e">
        <f t="shared" si="139"/>
        <v>#N/A</v>
      </c>
    </row>
    <row r="1738" spans="2:22" x14ac:dyDescent="0.25">
      <c r="B1738" s="16">
        <v>1</v>
      </c>
      <c r="C1738" s="7">
        <v>1</v>
      </c>
      <c r="D1738" s="8">
        <v>1</v>
      </c>
      <c r="E1738" s="8">
        <v>0</v>
      </c>
      <c r="F1738" s="8">
        <v>0</v>
      </c>
      <c r="G1738" s="8">
        <v>0</v>
      </c>
      <c r="H1738" s="8">
        <v>1</v>
      </c>
      <c r="I1738" s="8">
        <v>1</v>
      </c>
      <c r="J1738" s="8">
        <v>0</v>
      </c>
      <c r="K1738" s="9">
        <v>1</v>
      </c>
      <c r="L1738" s="10">
        <v>1</v>
      </c>
      <c r="M1738" s="6">
        <v>0</v>
      </c>
      <c r="N1738" s="37" t="e" cm="1">
        <f t="array" ref="N1738">IF(OR(ISNUMBER(FIND(Aux!$D$3:$D$9,_xlfn.TEXTJOIN(,,C1738:K1738)))),NA(),IF(AND(SUM(C1738:F1738,H1738:K1738)=0,G1738=1),0,INT((SUMPRODUCT(C1738:F1738,COLUMN($A$1:$D$1)-1)+SUMPRODUCT(H1738:K1738,COLUMN($E$1:$H$1)-1))*'Line Follower'!$C$3/SUM(C1738:F1738,H1738:K1738)-'Line Follower'!$C$5)))</f>
        <v>#N/A</v>
      </c>
      <c r="O1738" s="22" t="e">
        <v>#N/A</v>
      </c>
      <c r="P1738" s="4" t="e">
        <f t="shared" si="135"/>
        <v>#N/A</v>
      </c>
      <c r="Q1738" s="4" t="e">
        <f t="shared" si="136"/>
        <v>#N/A</v>
      </c>
      <c r="R1738" s="4" t="e">
        <f>IF(AND(B1738=1,N1738&gt;'Line Follower'!$C$7,SUM(C1738:K1738)&lt;4),1,0)</f>
        <v>#N/A</v>
      </c>
      <c r="S1738" s="4" t="e">
        <f>IF(AND(L1738=1,N1738&lt;'Line Follower'!$C$6,SUM(C1738:K1738)&lt;4),1,0)</f>
        <v>#N/A</v>
      </c>
      <c r="T1738" s="4" t="e">
        <f t="shared" si="137"/>
        <v>#N/A</v>
      </c>
      <c r="U1738" s="5" t="e">
        <f t="shared" si="138"/>
        <v>#N/A</v>
      </c>
      <c r="V1738" s="23" t="e">
        <f t="shared" si="139"/>
        <v>#N/A</v>
      </c>
    </row>
    <row r="1739" spans="2:22" x14ac:dyDescent="0.25">
      <c r="B1739" s="16">
        <v>0</v>
      </c>
      <c r="C1739" s="7">
        <v>0</v>
      </c>
      <c r="D1739" s="8">
        <v>0</v>
      </c>
      <c r="E1739" s="8">
        <v>1</v>
      </c>
      <c r="F1739" s="8">
        <v>0</v>
      </c>
      <c r="G1739" s="8">
        <v>0</v>
      </c>
      <c r="H1739" s="8">
        <v>1</v>
      </c>
      <c r="I1739" s="8">
        <v>1</v>
      </c>
      <c r="J1739" s="8">
        <v>0</v>
      </c>
      <c r="K1739" s="9">
        <v>1</v>
      </c>
      <c r="L1739" s="10">
        <v>1</v>
      </c>
      <c r="M1739" s="6">
        <v>0</v>
      </c>
      <c r="N1739" s="37" t="e" cm="1">
        <f t="array" ref="N1739">IF(OR(ISNUMBER(FIND(Aux!$D$3:$D$9,_xlfn.TEXTJOIN(,,C1739:K1739)))),NA(),IF(AND(SUM(C1739:F1739,H1739:K1739)=0,G1739=1),0,INT((SUMPRODUCT(C1739:F1739,COLUMN($A$1:$D$1)-1)+SUMPRODUCT(H1739:K1739,COLUMN($E$1:$H$1)-1))*'Line Follower'!$C$3/SUM(C1739:F1739,H1739:K1739)-'Line Follower'!$C$5)))</f>
        <v>#N/A</v>
      </c>
      <c r="O1739" s="22" t="e">
        <v>#N/A</v>
      </c>
      <c r="P1739" s="4" t="e">
        <f t="shared" si="135"/>
        <v>#N/A</v>
      </c>
      <c r="Q1739" s="4" t="e">
        <f t="shared" si="136"/>
        <v>#N/A</v>
      </c>
      <c r="R1739" s="4" t="e">
        <f>IF(AND(B1739=1,N1739&gt;'Line Follower'!$C$7,SUM(C1739:K1739)&lt;4),1,0)</f>
        <v>#N/A</v>
      </c>
      <c r="S1739" s="4" t="e">
        <f>IF(AND(L1739=1,N1739&lt;'Line Follower'!$C$6,SUM(C1739:K1739)&lt;4),1,0)</f>
        <v>#N/A</v>
      </c>
      <c r="T1739" s="4" t="e">
        <f t="shared" si="137"/>
        <v>#N/A</v>
      </c>
      <c r="U1739" s="5" t="e">
        <f t="shared" si="138"/>
        <v>#N/A</v>
      </c>
      <c r="V1739" s="23" t="e">
        <f t="shared" si="139"/>
        <v>#N/A</v>
      </c>
    </row>
    <row r="1740" spans="2:22" x14ac:dyDescent="0.25">
      <c r="B1740" s="16">
        <v>1</v>
      </c>
      <c r="C1740" s="7">
        <v>0</v>
      </c>
      <c r="D1740" s="8">
        <v>0</v>
      </c>
      <c r="E1740" s="8">
        <v>1</v>
      </c>
      <c r="F1740" s="8">
        <v>0</v>
      </c>
      <c r="G1740" s="8">
        <v>0</v>
      </c>
      <c r="H1740" s="8">
        <v>1</v>
      </c>
      <c r="I1740" s="8">
        <v>1</v>
      </c>
      <c r="J1740" s="8">
        <v>0</v>
      </c>
      <c r="K1740" s="9">
        <v>1</v>
      </c>
      <c r="L1740" s="10">
        <v>1</v>
      </c>
      <c r="M1740" s="6">
        <v>0</v>
      </c>
      <c r="N1740" s="37" t="e" cm="1">
        <f t="array" ref="N1740">IF(OR(ISNUMBER(FIND(Aux!$D$3:$D$9,_xlfn.TEXTJOIN(,,C1740:K1740)))),NA(),IF(AND(SUM(C1740:F1740,H1740:K1740)=0,G1740=1),0,INT((SUMPRODUCT(C1740:F1740,COLUMN($A$1:$D$1)-1)+SUMPRODUCT(H1740:K1740,COLUMN($E$1:$H$1)-1))*'Line Follower'!$C$3/SUM(C1740:F1740,H1740:K1740)-'Line Follower'!$C$5)))</f>
        <v>#N/A</v>
      </c>
      <c r="O1740" s="22" t="e">
        <v>#N/A</v>
      </c>
      <c r="P1740" s="4" t="e">
        <f t="shared" si="135"/>
        <v>#N/A</v>
      </c>
      <c r="Q1740" s="4" t="e">
        <f t="shared" si="136"/>
        <v>#N/A</v>
      </c>
      <c r="R1740" s="4" t="e">
        <f>IF(AND(B1740=1,N1740&gt;'Line Follower'!$C$7,SUM(C1740:K1740)&lt;4),1,0)</f>
        <v>#N/A</v>
      </c>
      <c r="S1740" s="4" t="e">
        <f>IF(AND(L1740=1,N1740&lt;'Line Follower'!$C$6,SUM(C1740:K1740)&lt;4),1,0)</f>
        <v>#N/A</v>
      </c>
      <c r="T1740" s="4" t="e">
        <f t="shared" si="137"/>
        <v>#N/A</v>
      </c>
      <c r="U1740" s="5" t="e">
        <f t="shared" si="138"/>
        <v>#N/A</v>
      </c>
      <c r="V1740" s="23" t="e">
        <f t="shared" si="139"/>
        <v>#N/A</v>
      </c>
    </row>
    <row r="1741" spans="2:22" x14ac:dyDescent="0.25">
      <c r="B1741" s="16">
        <v>0</v>
      </c>
      <c r="C1741" s="7">
        <v>1</v>
      </c>
      <c r="D1741" s="8">
        <v>0</v>
      </c>
      <c r="E1741" s="8">
        <v>1</v>
      </c>
      <c r="F1741" s="8">
        <v>0</v>
      </c>
      <c r="G1741" s="8">
        <v>0</v>
      </c>
      <c r="H1741" s="8">
        <v>1</v>
      </c>
      <c r="I1741" s="8">
        <v>1</v>
      </c>
      <c r="J1741" s="8">
        <v>0</v>
      </c>
      <c r="K1741" s="9">
        <v>1</v>
      </c>
      <c r="L1741" s="10">
        <v>1</v>
      </c>
      <c r="M1741" s="6">
        <v>0</v>
      </c>
      <c r="N1741" s="37" t="e" cm="1">
        <f t="array" ref="N1741">IF(OR(ISNUMBER(FIND(Aux!$D$3:$D$9,_xlfn.TEXTJOIN(,,C1741:K1741)))),NA(),IF(AND(SUM(C1741:F1741,H1741:K1741)=0,G1741=1),0,INT((SUMPRODUCT(C1741:F1741,COLUMN($A$1:$D$1)-1)+SUMPRODUCT(H1741:K1741,COLUMN($E$1:$H$1)-1))*'Line Follower'!$C$3/SUM(C1741:F1741,H1741:K1741)-'Line Follower'!$C$5)))</f>
        <v>#N/A</v>
      </c>
      <c r="O1741" s="22" t="e">
        <v>#N/A</v>
      </c>
      <c r="P1741" s="4" t="e">
        <f t="shared" si="135"/>
        <v>#N/A</v>
      </c>
      <c r="Q1741" s="4" t="e">
        <f t="shared" si="136"/>
        <v>#N/A</v>
      </c>
      <c r="R1741" s="4" t="e">
        <f>IF(AND(B1741=1,N1741&gt;'Line Follower'!$C$7,SUM(C1741:K1741)&lt;4),1,0)</f>
        <v>#N/A</v>
      </c>
      <c r="S1741" s="4" t="e">
        <f>IF(AND(L1741=1,N1741&lt;'Line Follower'!$C$6,SUM(C1741:K1741)&lt;4),1,0)</f>
        <v>#N/A</v>
      </c>
      <c r="T1741" s="4" t="e">
        <f t="shared" si="137"/>
        <v>#N/A</v>
      </c>
      <c r="U1741" s="5" t="e">
        <f t="shared" si="138"/>
        <v>#N/A</v>
      </c>
      <c r="V1741" s="23" t="e">
        <f t="shared" si="139"/>
        <v>#N/A</v>
      </c>
    </row>
    <row r="1742" spans="2:22" x14ac:dyDescent="0.25">
      <c r="B1742" s="16">
        <v>1</v>
      </c>
      <c r="C1742" s="7">
        <v>1</v>
      </c>
      <c r="D1742" s="8">
        <v>0</v>
      </c>
      <c r="E1742" s="8">
        <v>1</v>
      </c>
      <c r="F1742" s="8">
        <v>0</v>
      </c>
      <c r="G1742" s="8">
        <v>0</v>
      </c>
      <c r="H1742" s="8">
        <v>1</v>
      </c>
      <c r="I1742" s="8">
        <v>1</v>
      </c>
      <c r="J1742" s="8">
        <v>0</v>
      </c>
      <c r="K1742" s="9">
        <v>1</v>
      </c>
      <c r="L1742" s="10">
        <v>1</v>
      </c>
      <c r="M1742" s="6">
        <v>0</v>
      </c>
      <c r="N1742" s="37" t="e" cm="1">
        <f t="array" ref="N1742">IF(OR(ISNUMBER(FIND(Aux!$D$3:$D$9,_xlfn.TEXTJOIN(,,C1742:K1742)))),NA(),IF(AND(SUM(C1742:F1742,H1742:K1742)=0,G1742=1),0,INT((SUMPRODUCT(C1742:F1742,COLUMN($A$1:$D$1)-1)+SUMPRODUCT(H1742:K1742,COLUMN($E$1:$H$1)-1))*'Line Follower'!$C$3/SUM(C1742:F1742,H1742:K1742)-'Line Follower'!$C$5)))</f>
        <v>#N/A</v>
      </c>
      <c r="O1742" s="22" t="e">
        <v>#N/A</v>
      </c>
      <c r="P1742" s="4" t="e">
        <f t="shared" si="135"/>
        <v>#N/A</v>
      </c>
      <c r="Q1742" s="4" t="e">
        <f t="shared" si="136"/>
        <v>#N/A</v>
      </c>
      <c r="R1742" s="4" t="e">
        <f>IF(AND(B1742=1,N1742&gt;'Line Follower'!$C$7,SUM(C1742:K1742)&lt;4),1,0)</f>
        <v>#N/A</v>
      </c>
      <c r="S1742" s="4" t="e">
        <f>IF(AND(L1742=1,N1742&lt;'Line Follower'!$C$6,SUM(C1742:K1742)&lt;4),1,0)</f>
        <v>#N/A</v>
      </c>
      <c r="T1742" s="4" t="e">
        <f t="shared" si="137"/>
        <v>#N/A</v>
      </c>
      <c r="U1742" s="5" t="e">
        <f t="shared" si="138"/>
        <v>#N/A</v>
      </c>
      <c r="V1742" s="23" t="e">
        <f t="shared" si="139"/>
        <v>#N/A</v>
      </c>
    </row>
    <row r="1743" spans="2:22" x14ac:dyDescent="0.25">
      <c r="B1743" s="16">
        <v>0</v>
      </c>
      <c r="C1743" s="7">
        <v>0</v>
      </c>
      <c r="D1743" s="8">
        <v>1</v>
      </c>
      <c r="E1743" s="8">
        <v>1</v>
      </c>
      <c r="F1743" s="8">
        <v>0</v>
      </c>
      <c r="G1743" s="8">
        <v>0</v>
      </c>
      <c r="H1743" s="8">
        <v>1</v>
      </c>
      <c r="I1743" s="8">
        <v>1</v>
      </c>
      <c r="J1743" s="8">
        <v>0</v>
      </c>
      <c r="K1743" s="9">
        <v>1</v>
      </c>
      <c r="L1743" s="10">
        <v>1</v>
      </c>
      <c r="M1743" s="6">
        <v>0</v>
      </c>
      <c r="N1743" s="37" t="e" cm="1">
        <f t="array" ref="N1743">IF(OR(ISNUMBER(FIND(Aux!$D$3:$D$9,_xlfn.TEXTJOIN(,,C1743:K1743)))),NA(),IF(AND(SUM(C1743:F1743,H1743:K1743)=0,G1743=1),0,INT((SUMPRODUCT(C1743:F1743,COLUMN($A$1:$D$1)-1)+SUMPRODUCT(H1743:K1743,COLUMN($E$1:$H$1)-1))*'Line Follower'!$C$3/SUM(C1743:F1743,H1743:K1743)-'Line Follower'!$C$5)))</f>
        <v>#N/A</v>
      </c>
      <c r="O1743" s="22" t="e">
        <v>#N/A</v>
      </c>
      <c r="P1743" s="4" t="e">
        <f t="shared" si="135"/>
        <v>#N/A</v>
      </c>
      <c r="Q1743" s="4" t="e">
        <f t="shared" si="136"/>
        <v>#N/A</v>
      </c>
      <c r="R1743" s="4" t="e">
        <f>IF(AND(B1743=1,N1743&gt;'Line Follower'!$C$7,SUM(C1743:K1743)&lt;4),1,0)</f>
        <v>#N/A</v>
      </c>
      <c r="S1743" s="4" t="e">
        <f>IF(AND(L1743=1,N1743&lt;'Line Follower'!$C$6,SUM(C1743:K1743)&lt;4),1,0)</f>
        <v>#N/A</v>
      </c>
      <c r="T1743" s="4" t="e">
        <f t="shared" si="137"/>
        <v>#N/A</v>
      </c>
      <c r="U1743" s="5" t="e">
        <f t="shared" si="138"/>
        <v>#N/A</v>
      </c>
      <c r="V1743" s="23" t="e">
        <f t="shared" si="139"/>
        <v>#N/A</v>
      </c>
    </row>
    <row r="1744" spans="2:22" x14ac:dyDescent="0.25">
      <c r="B1744" s="16">
        <v>1</v>
      </c>
      <c r="C1744" s="7">
        <v>0</v>
      </c>
      <c r="D1744" s="8">
        <v>1</v>
      </c>
      <c r="E1744" s="8">
        <v>1</v>
      </c>
      <c r="F1744" s="8">
        <v>0</v>
      </c>
      <c r="G1744" s="8">
        <v>0</v>
      </c>
      <c r="H1744" s="8">
        <v>1</v>
      </c>
      <c r="I1744" s="8">
        <v>1</v>
      </c>
      <c r="J1744" s="8">
        <v>0</v>
      </c>
      <c r="K1744" s="9">
        <v>1</v>
      </c>
      <c r="L1744" s="10">
        <v>1</v>
      </c>
      <c r="M1744" s="6">
        <v>0</v>
      </c>
      <c r="N1744" s="37" t="e" cm="1">
        <f t="array" ref="N1744">IF(OR(ISNUMBER(FIND(Aux!$D$3:$D$9,_xlfn.TEXTJOIN(,,C1744:K1744)))),NA(),IF(AND(SUM(C1744:F1744,H1744:K1744)=0,G1744=1),0,INT((SUMPRODUCT(C1744:F1744,COLUMN($A$1:$D$1)-1)+SUMPRODUCT(H1744:K1744,COLUMN($E$1:$H$1)-1))*'Line Follower'!$C$3/SUM(C1744:F1744,H1744:K1744)-'Line Follower'!$C$5)))</f>
        <v>#N/A</v>
      </c>
      <c r="O1744" s="22" t="e">
        <v>#N/A</v>
      </c>
      <c r="P1744" s="4" t="e">
        <f t="shared" si="135"/>
        <v>#N/A</v>
      </c>
      <c r="Q1744" s="4" t="e">
        <f t="shared" si="136"/>
        <v>#N/A</v>
      </c>
      <c r="R1744" s="4" t="e">
        <f>IF(AND(B1744=1,N1744&gt;'Line Follower'!$C$7,SUM(C1744:K1744)&lt;4),1,0)</f>
        <v>#N/A</v>
      </c>
      <c r="S1744" s="4" t="e">
        <f>IF(AND(L1744=1,N1744&lt;'Line Follower'!$C$6,SUM(C1744:K1744)&lt;4),1,0)</f>
        <v>#N/A</v>
      </c>
      <c r="T1744" s="4" t="e">
        <f t="shared" si="137"/>
        <v>#N/A</v>
      </c>
      <c r="U1744" s="5" t="e">
        <f t="shared" si="138"/>
        <v>#N/A</v>
      </c>
      <c r="V1744" s="23" t="e">
        <f t="shared" si="139"/>
        <v>#N/A</v>
      </c>
    </row>
    <row r="1745" spans="2:22" x14ac:dyDescent="0.25">
      <c r="B1745" s="16">
        <v>0</v>
      </c>
      <c r="C1745" s="7">
        <v>1</v>
      </c>
      <c r="D1745" s="8">
        <v>1</v>
      </c>
      <c r="E1745" s="8">
        <v>1</v>
      </c>
      <c r="F1745" s="8">
        <v>0</v>
      </c>
      <c r="G1745" s="8">
        <v>0</v>
      </c>
      <c r="H1745" s="8">
        <v>1</v>
      </c>
      <c r="I1745" s="8">
        <v>1</v>
      </c>
      <c r="J1745" s="8">
        <v>0</v>
      </c>
      <c r="K1745" s="9">
        <v>1</v>
      </c>
      <c r="L1745" s="10">
        <v>1</v>
      </c>
      <c r="M1745" s="6">
        <v>0</v>
      </c>
      <c r="N1745" s="37" t="e" cm="1">
        <f t="array" ref="N1745">IF(OR(ISNUMBER(FIND(Aux!$D$3:$D$9,_xlfn.TEXTJOIN(,,C1745:K1745)))),NA(),IF(AND(SUM(C1745:F1745,H1745:K1745)=0,G1745=1),0,INT((SUMPRODUCT(C1745:F1745,COLUMN($A$1:$D$1)-1)+SUMPRODUCT(H1745:K1745,COLUMN($E$1:$H$1)-1))*'Line Follower'!$C$3/SUM(C1745:F1745,H1745:K1745)-'Line Follower'!$C$5)))</f>
        <v>#N/A</v>
      </c>
      <c r="O1745" s="22" t="e">
        <v>#N/A</v>
      </c>
      <c r="P1745" s="4" t="e">
        <f t="shared" si="135"/>
        <v>#N/A</v>
      </c>
      <c r="Q1745" s="4" t="e">
        <f t="shared" si="136"/>
        <v>#N/A</v>
      </c>
      <c r="R1745" s="4" t="e">
        <f>IF(AND(B1745=1,N1745&gt;'Line Follower'!$C$7,SUM(C1745:K1745)&lt;4),1,0)</f>
        <v>#N/A</v>
      </c>
      <c r="S1745" s="4" t="e">
        <f>IF(AND(L1745=1,N1745&lt;'Line Follower'!$C$6,SUM(C1745:K1745)&lt;4),1,0)</f>
        <v>#N/A</v>
      </c>
      <c r="T1745" s="4" t="e">
        <f t="shared" si="137"/>
        <v>#N/A</v>
      </c>
      <c r="U1745" s="5" t="e">
        <f t="shared" si="138"/>
        <v>#N/A</v>
      </c>
      <c r="V1745" s="23" t="e">
        <f t="shared" si="139"/>
        <v>#N/A</v>
      </c>
    </row>
    <row r="1746" spans="2:22" x14ac:dyDescent="0.25">
      <c r="B1746" s="16">
        <v>1</v>
      </c>
      <c r="C1746" s="7">
        <v>1</v>
      </c>
      <c r="D1746" s="8">
        <v>1</v>
      </c>
      <c r="E1746" s="8">
        <v>1</v>
      </c>
      <c r="F1746" s="8">
        <v>0</v>
      </c>
      <c r="G1746" s="8">
        <v>0</v>
      </c>
      <c r="H1746" s="8">
        <v>1</v>
      </c>
      <c r="I1746" s="8">
        <v>1</v>
      </c>
      <c r="J1746" s="8">
        <v>0</v>
      </c>
      <c r="K1746" s="9">
        <v>1</v>
      </c>
      <c r="L1746" s="10">
        <v>1</v>
      </c>
      <c r="M1746" s="6">
        <v>0</v>
      </c>
      <c r="N1746" s="37" t="e" cm="1">
        <f t="array" ref="N1746">IF(OR(ISNUMBER(FIND(Aux!$D$3:$D$9,_xlfn.TEXTJOIN(,,C1746:K1746)))),NA(),IF(AND(SUM(C1746:F1746,H1746:K1746)=0,G1746=1),0,INT((SUMPRODUCT(C1746:F1746,COLUMN($A$1:$D$1)-1)+SUMPRODUCT(H1746:K1746,COLUMN($E$1:$H$1)-1))*'Line Follower'!$C$3/SUM(C1746:F1746,H1746:K1746)-'Line Follower'!$C$5)))</f>
        <v>#N/A</v>
      </c>
      <c r="O1746" s="22" t="e">
        <v>#N/A</v>
      </c>
      <c r="P1746" s="4" t="e">
        <f t="shared" si="135"/>
        <v>#N/A</v>
      </c>
      <c r="Q1746" s="4" t="e">
        <f t="shared" si="136"/>
        <v>#N/A</v>
      </c>
      <c r="R1746" s="4" t="e">
        <f>IF(AND(B1746=1,N1746&gt;'Line Follower'!$C$7,SUM(C1746:K1746)&lt;4),1,0)</f>
        <v>#N/A</v>
      </c>
      <c r="S1746" s="4" t="e">
        <f>IF(AND(L1746=1,N1746&lt;'Line Follower'!$C$6,SUM(C1746:K1746)&lt;4),1,0)</f>
        <v>#N/A</v>
      </c>
      <c r="T1746" s="4" t="e">
        <f t="shared" si="137"/>
        <v>#N/A</v>
      </c>
      <c r="U1746" s="5" t="e">
        <f t="shared" si="138"/>
        <v>#N/A</v>
      </c>
      <c r="V1746" s="23" t="e">
        <f t="shared" si="139"/>
        <v>#N/A</v>
      </c>
    </row>
    <row r="1747" spans="2:22" x14ac:dyDescent="0.25">
      <c r="B1747" s="16">
        <v>0</v>
      </c>
      <c r="C1747" s="7">
        <v>0</v>
      </c>
      <c r="D1747" s="8">
        <v>0</v>
      </c>
      <c r="E1747" s="8">
        <v>0</v>
      </c>
      <c r="F1747" s="8">
        <v>1</v>
      </c>
      <c r="G1747" s="8">
        <v>0</v>
      </c>
      <c r="H1747" s="8">
        <v>1</v>
      </c>
      <c r="I1747" s="8">
        <v>1</v>
      </c>
      <c r="J1747" s="8">
        <v>0</v>
      </c>
      <c r="K1747" s="9">
        <v>1</v>
      </c>
      <c r="L1747" s="10">
        <v>1</v>
      </c>
      <c r="M1747" s="6">
        <v>0</v>
      </c>
      <c r="N1747" s="37" t="e" cm="1">
        <f t="array" ref="N1747">IF(OR(ISNUMBER(FIND(Aux!$D$3:$D$9,_xlfn.TEXTJOIN(,,C1747:K1747)))),NA(),IF(AND(SUM(C1747:F1747,H1747:K1747)=0,G1747=1),0,INT((SUMPRODUCT(C1747:F1747,COLUMN($A$1:$D$1)-1)+SUMPRODUCT(H1747:K1747,COLUMN($E$1:$H$1)-1))*'Line Follower'!$C$3/SUM(C1747:F1747,H1747:K1747)-'Line Follower'!$C$5)))</f>
        <v>#N/A</v>
      </c>
      <c r="O1747" s="22" t="e">
        <v>#N/A</v>
      </c>
      <c r="P1747" s="4" t="e">
        <f t="shared" si="135"/>
        <v>#N/A</v>
      </c>
      <c r="Q1747" s="4" t="e">
        <f t="shared" si="136"/>
        <v>#N/A</v>
      </c>
      <c r="R1747" s="4" t="e">
        <f>IF(AND(B1747=1,N1747&gt;'Line Follower'!$C$7,SUM(C1747:K1747)&lt;4),1,0)</f>
        <v>#N/A</v>
      </c>
      <c r="S1747" s="4" t="e">
        <f>IF(AND(L1747=1,N1747&lt;'Line Follower'!$C$6,SUM(C1747:K1747)&lt;4),1,0)</f>
        <v>#N/A</v>
      </c>
      <c r="T1747" s="4" t="e">
        <f t="shared" si="137"/>
        <v>#N/A</v>
      </c>
      <c r="U1747" s="5" t="e">
        <f t="shared" si="138"/>
        <v>#N/A</v>
      </c>
      <c r="V1747" s="23" t="e">
        <f t="shared" si="139"/>
        <v>#N/A</v>
      </c>
    </row>
    <row r="1748" spans="2:22" x14ac:dyDescent="0.25">
      <c r="B1748" s="16">
        <v>1</v>
      </c>
      <c r="C1748" s="7">
        <v>0</v>
      </c>
      <c r="D1748" s="8">
        <v>0</v>
      </c>
      <c r="E1748" s="8">
        <v>0</v>
      </c>
      <c r="F1748" s="8">
        <v>1</v>
      </c>
      <c r="G1748" s="8">
        <v>0</v>
      </c>
      <c r="H1748" s="8">
        <v>1</v>
      </c>
      <c r="I1748" s="8">
        <v>1</v>
      </c>
      <c r="J1748" s="8">
        <v>0</v>
      </c>
      <c r="K1748" s="9">
        <v>1</v>
      </c>
      <c r="L1748" s="10">
        <v>1</v>
      </c>
      <c r="M1748" s="6">
        <v>0</v>
      </c>
      <c r="N1748" s="37" t="e" cm="1">
        <f t="array" ref="N1748">IF(OR(ISNUMBER(FIND(Aux!$D$3:$D$9,_xlfn.TEXTJOIN(,,C1748:K1748)))),NA(),IF(AND(SUM(C1748:F1748,H1748:K1748)=0,G1748=1),0,INT((SUMPRODUCT(C1748:F1748,COLUMN($A$1:$D$1)-1)+SUMPRODUCT(H1748:K1748,COLUMN($E$1:$H$1)-1))*'Line Follower'!$C$3/SUM(C1748:F1748,H1748:K1748)-'Line Follower'!$C$5)))</f>
        <v>#N/A</v>
      </c>
      <c r="O1748" s="22" t="e">
        <v>#N/A</v>
      </c>
      <c r="P1748" s="4" t="e">
        <f t="shared" si="135"/>
        <v>#N/A</v>
      </c>
      <c r="Q1748" s="4" t="e">
        <f t="shared" si="136"/>
        <v>#N/A</v>
      </c>
      <c r="R1748" s="4" t="e">
        <f>IF(AND(B1748=1,N1748&gt;'Line Follower'!$C$7,SUM(C1748:K1748)&lt;4),1,0)</f>
        <v>#N/A</v>
      </c>
      <c r="S1748" s="4" t="e">
        <f>IF(AND(L1748=1,N1748&lt;'Line Follower'!$C$6,SUM(C1748:K1748)&lt;4),1,0)</f>
        <v>#N/A</v>
      </c>
      <c r="T1748" s="4" t="e">
        <f t="shared" si="137"/>
        <v>#N/A</v>
      </c>
      <c r="U1748" s="5" t="e">
        <f t="shared" si="138"/>
        <v>#N/A</v>
      </c>
      <c r="V1748" s="23" t="e">
        <f t="shared" si="139"/>
        <v>#N/A</v>
      </c>
    </row>
    <row r="1749" spans="2:22" x14ac:dyDescent="0.25">
      <c r="B1749" s="16">
        <v>0</v>
      </c>
      <c r="C1749" s="7">
        <v>1</v>
      </c>
      <c r="D1749" s="8">
        <v>0</v>
      </c>
      <c r="E1749" s="8">
        <v>0</v>
      </c>
      <c r="F1749" s="8">
        <v>1</v>
      </c>
      <c r="G1749" s="8">
        <v>0</v>
      </c>
      <c r="H1749" s="8">
        <v>1</v>
      </c>
      <c r="I1749" s="8">
        <v>1</v>
      </c>
      <c r="J1749" s="8">
        <v>0</v>
      </c>
      <c r="K1749" s="9">
        <v>1</v>
      </c>
      <c r="L1749" s="10">
        <v>1</v>
      </c>
      <c r="M1749" s="6">
        <v>0</v>
      </c>
      <c r="N1749" s="37" t="e" cm="1">
        <f t="array" ref="N1749">IF(OR(ISNUMBER(FIND(Aux!$D$3:$D$9,_xlfn.TEXTJOIN(,,C1749:K1749)))),NA(),IF(AND(SUM(C1749:F1749,H1749:K1749)=0,G1749=1),0,INT((SUMPRODUCT(C1749:F1749,COLUMN($A$1:$D$1)-1)+SUMPRODUCT(H1749:K1749,COLUMN($E$1:$H$1)-1))*'Line Follower'!$C$3/SUM(C1749:F1749,H1749:K1749)-'Line Follower'!$C$5)))</f>
        <v>#N/A</v>
      </c>
      <c r="O1749" s="22" t="e">
        <v>#N/A</v>
      </c>
      <c r="P1749" s="4" t="e">
        <f t="shared" si="135"/>
        <v>#N/A</v>
      </c>
      <c r="Q1749" s="4" t="e">
        <f t="shared" si="136"/>
        <v>#N/A</v>
      </c>
      <c r="R1749" s="4" t="e">
        <f>IF(AND(B1749=1,N1749&gt;'Line Follower'!$C$7,SUM(C1749:K1749)&lt;4),1,0)</f>
        <v>#N/A</v>
      </c>
      <c r="S1749" s="4" t="e">
        <f>IF(AND(L1749=1,N1749&lt;'Line Follower'!$C$6,SUM(C1749:K1749)&lt;4),1,0)</f>
        <v>#N/A</v>
      </c>
      <c r="T1749" s="4" t="e">
        <f t="shared" si="137"/>
        <v>#N/A</v>
      </c>
      <c r="U1749" s="5" t="e">
        <f t="shared" si="138"/>
        <v>#N/A</v>
      </c>
      <c r="V1749" s="23" t="e">
        <f t="shared" si="139"/>
        <v>#N/A</v>
      </c>
    </row>
    <row r="1750" spans="2:22" x14ac:dyDescent="0.25">
      <c r="B1750" s="16">
        <v>1</v>
      </c>
      <c r="C1750" s="7">
        <v>1</v>
      </c>
      <c r="D1750" s="8">
        <v>0</v>
      </c>
      <c r="E1750" s="8">
        <v>0</v>
      </c>
      <c r="F1750" s="8">
        <v>1</v>
      </c>
      <c r="G1750" s="8">
        <v>0</v>
      </c>
      <c r="H1750" s="8">
        <v>1</v>
      </c>
      <c r="I1750" s="8">
        <v>1</v>
      </c>
      <c r="J1750" s="8">
        <v>0</v>
      </c>
      <c r="K1750" s="9">
        <v>1</v>
      </c>
      <c r="L1750" s="10">
        <v>1</v>
      </c>
      <c r="M1750" s="6">
        <v>0</v>
      </c>
      <c r="N1750" s="37" t="e" cm="1">
        <f t="array" ref="N1750">IF(OR(ISNUMBER(FIND(Aux!$D$3:$D$9,_xlfn.TEXTJOIN(,,C1750:K1750)))),NA(),IF(AND(SUM(C1750:F1750,H1750:K1750)=0,G1750=1),0,INT((SUMPRODUCT(C1750:F1750,COLUMN($A$1:$D$1)-1)+SUMPRODUCT(H1750:K1750,COLUMN($E$1:$H$1)-1))*'Line Follower'!$C$3/SUM(C1750:F1750,H1750:K1750)-'Line Follower'!$C$5)))</f>
        <v>#N/A</v>
      </c>
      <c r="O1750" s="22" t="e">
        <v>#N/A</v>
      </c>
      <c r="P1750" s="4" t="e">
        <f t="shared" si="135"/>
        <v>#N/A</v>
      </c>
      <c r="Q1750" s="4" t="e">
        <f t="shared" si="136"/>
        <v>#N/A</v>
      </c>
      <c r="R1750" s="4" t="e">
        <f>IF(AND(B1750=1,N1750&gt;'Line Follower'!$C$7,SUM(C1750:K1750)&lt;4),1,0)</f>
        <v>#N/A</v>
      </c>
      <c r="S1750" s="4" t="e">
        <f>IF(AND(L1750=1,N1750&lt;'Line Follower'!$C$6,SUM(C1750:K1750)&lt;4),1,0)</f>
        <v>#N/A</v>
      </c>
      <c r="T1750" s="4" t="e">
        <f t="shared" si="137"/>
        <v>#N/A</v>
      </c>
      <c r="U1750" s="5" t="e">
        <f t="shared" si="138"/>
        <v>#N/A</v>
      </c>
      <c r="V1750" s="23" t="e">
        <f t="shared" si="139"/>
        <v>#N/A</v>
      </c>
    </row>
    <row r="1751" spans="2:22" x14ac:dyDescent="0.25">
      <c r="B1751" s="16">
        <v>0</v>
      </c>
      <c r="C1751" s="7">
        <v>0</v>
      </c>
      <c r="D1751" s="8">
        <v>1</v>
      </c>
      <c r="E1751" s="8">
        <v>0</v>
      </c>
      <c r="F1751" s="8">
        <v>1</v>
      </c>
      <c r="G1751" s="8">
        <v>0</v>
      </c>
      <c r="H1751" s="8">
        <v>1</v>
      </c>
      <c r="I1751" s="8">
        <v>1</v>
      </c>
      <c r="J1751" s="8">
        <v>0</v>
      </c>
      <c r="K1751" s="9">
        <v>1</v>
      </c>
      <c r="L1751" s="10">
        <v>1</v>
      </c>
      <c r="M1751" s="6">
        <v>0</v>
      </c>
      <c r="N1751" s="37" t="e" cm="1">
        <f t="array" ref="N1751">IF(OR(ISNUMBER(FIND(Aux!$D$3:$D$9,_xlfn.TEXTJOIN(,,C1751:K1751)))),NA(),IF(AND(SUM(C1751:F1751,H1751:K1751)=0,G1751=1),0,INT((SUMPRODUCT(C1751:F1751,COLUMN($A$1:$D$1)-1)+SUMPRODUCT(H1751:K1751,COLUMN($E$1:$H$1)-1))*'Line Follower'!$C$3/SUM(C1751:F1751,H1751:K1751)-'Line Follower'!$C$5)))</f>
        <v>#N/A</v>
      </c>
      <c r="O1751" s="22" t="e">
        <v>#N/A</v>
      </c>
      <c r="P1751" s="4" t="e">
        <f t="shared" si="135"/>
        <v>#N/A</v>
      </c>
      <c r="Q1751" s="4" t="e">
        <f t="shared" si="136"/>
        <v>#N/A</v>
      </c>
      <c r="R1751" s="4" t="e">
        <f>IF(AND(B1751=1,N1751&gt;'Line Follower'!$C$7,SUM(C1751:K1751)&lt;4),1,0)</f>
        <v>#N/A</v>
      </c>
      <c r="S1751" s="4" t="e">
        <f>IF(AND(L1751=1,N1751&lt;'Line Follower'!$C$6,SUM(C1751:K1751)&lt;4),1,0)</f>
        <v>#N/A</v>
      </c>
      <c r="T1751" s="4" t="e">
        <f t="shared" si="137"/>
        <v>#N/A</v>
      </c>
      <c r="U1751" s="5" t="e">
        <f t="shared" si="138"/>
        <v>#N/A</v>
      </c>
      <c r="V1751" s="23" t="e">
        <f t="shared" si="139"/>
        <v>#N/A</v>
      </c>
    </row>
    <row r="1752" spans="2:22" x14ac:dyDescent="0.25">
      <c r="B1752" s="16">
        <v>1</v>
      </c>
      <c r="C1752" s="7">
        <v>0</v>
      </c>
      <c r="D1752" s="8">
        <v>1</v>
      </c>
      <c r="E1752" s="8">
        <v>0</v>
      </c>
      <c r="F1752" s="8">
        <v>1</v>
      </c>
      <c r="G1752" s="8">
        <v>0</v>
      </c>
      <c r="H1752" s="8">
        <v>1</v>
      </c>
      <c r="I1752" s="8">
        <v>1</v>
      </c>
      <c r="J1752" s="8">
        <v>0</v>
      </c>
      <c r="K1752" s="9">
        <v>1</v>
      </c>
      <c r="L1752" s="10">
        <v>1</v>
      </c>
      <c r="M1752" s="6">
        <v>0</v>
      </c>
      <c r="N1752" s="37" t="e" cm="1">
        <f t="array" ref="N1752">IF(OR(ISNUMBER(FIND(Aux!$D$3:$D$9,_xlfn.TEXTJOIN(,,C1752:K1752)))),NA(),IF(AND(SUM(C1752:F1752,H1752:K1752)=0,G1752=1),0,INT((SUMPRODUCT(C1752:F1752,COLUMN($A$1:$D$1)-1)+SUMPRODUCT(H1752:K1752,COLUMN($E$1:$H$1)-1))*'Line Follower'!$C$3/SUM(C1752:F1752,H1752:K1752)-'Line Follower'!$C$5)))</f>
        <v>#N/A</v>
      </c>
      <c r="O1752" s="22" t="e">
        <v>#N/A</v>
      </c>
      <c r="P1752" s="4" t="e">
        <f t="shared" si="135"/>
        <v>#N/A</v>
      </c>
      <c r="Q1752" s="4" t="e">
        <f t="shared" si="136"/>
        <v>#N/A</v>
      </c>
      <c r="R1752" s="4" t="e">
        <f>IF(AND(B1752=1,N1752&gt;'Line Follower'!$C$7,SUM(C1752:K1752)&lt;4),1,0)</f>
        <v>#N/A</v>
      </c>
      <c r="S1752" s="4" t="e">
        <f>IF(AND(L1752=1,N1752&lt;'Line Follower'!$C$6,SUM(C1752:K1752)&lt;4),1,0)</f>
        <v>#N/A</v>
      </c>
      <c r="T1752" s="4" t="e">
        <f t="shared" si="137"/>
        <v>#N/A</v>
      </c>
      <c r="U1752" s="5" t="e">
        <f t="shared" si="138"/>
        <v>#N/A</v>
      </c>
      <c r="V1752" s="23" t="e">
        <f t="shared" si="139"/>
        <v>#N/A</v>
      </c>
    </row>
    <row r="1753" spans="2:22" x14ac:dyDescent="0.25">
      <c r="B1753" s="16">
        <v>0</v>
      </c>
      <c r="C1753" s="7">
        <v>1</v>
      </c>
      <c r="D1753" s="8">
        <v>1</v>
      </c>
      <c r="E1753" s="8">
        <v>0</v>
      </c>
      <c r="F1753" s="8">
        <v>1</v>
      </c>
      <c r="G1753" s="8">
        <v>0</v>
      </c>
      <c r="H1753" s="8">
        <v>1</v>
      </c>
      <c r="I1753" s="8">
        <v>1</v>
      </c>
      <c r="J1753" s="8">
        <v>0</v>
      </c>
      <c r="K1753" s="9">
        <v>1</v>
      </c>
      <c r="L1753" s="10">
        <v>1</v>
      </c>
      <c r="M1753" s="6">
        <v>0</v>
      </c>
      <c r="N1753" s="37" t="e" cm="1">
        <f t="array" ref="N1753">IF(OR(ISNUMBER(FIND(Aux!$D$3:$D$9,_xlfn.TEXTJOIN(,,C1753:K1753)))),NA(),IF(AND(SUM(C1753:F1753,H1753:K1753)=0,G1753=1),0,INT((SUMPRODUCT(C1753:F1753,COLUMN($A$1:$D$1)-1)+SUMPRODUCT(H1753:K1753,COLUMN($E$1:$H$1)-1))*'Line Follower'!$C$3/SUM(C1753:F1753,H1753:K1753)-'Line Follower'!$C$5)))</f>
        <v>#N/A</v>
      </c>
      <c r="O1753" s="22" t="e">
        <v>#N/A</v>
      </c>
      <c r="P1753" s="4" t="e">
        <f t="shared" si="135"/>
        <v>#N/A</v>
      </c>
      <c r="Q1753" s="4" t="e">
        <f t="shared" si="136"/>
        <v>#N/A</v>
      </c>
      <c r="R1753" s="4" t="e">
        <f>IF(AND(B1753=1,N1753&gt;'Line Follower'!$C$7,SUM(C1753:K1753)&lt;4),1,0)</f>
        <v>#N/A</v>
      </c>
      <c r="S1753" s="4" t="e">
        <f>IF(AND(L1753=1,N1753&lt;'Line Follower'!$C$6,SUM(C1753:K1753)&lt;4),1,0)</f>
        <v>#N/A</v>
      </c>
      <c r="T1753" s="4" t="e">
        <f t="shared" si="137"/>
        <v>#N/A</v>
      </c>
      <c r="U1753" s="5" t="e">
        <f t="shared" si="138"/>
        <v>#N/A</v>
      </c>
      <c r="V1753" s="23" t="e">
        <f t="shared" si="139"/>
        <v>#N/A</v>
      </c>
    </row>
    <row r="1754" spans="2:22" x14ac:dyDescent="0.25">
      <c r="B1754" s="16">
        <v>1</v>
      </c>
      <c r="C1754" s="7">
        <v>1</v>
      </c>
      <c r="D1754" s="8">
        <v>1</v>
      </c>
      <c r="E1754" s="8">
        <v>0</v>
      </c>
      <c r="F1754" s="8">
        <v>1</v>
      </c>
      <c r="G1754" s="8">
        <v>0</v>
      </c>
      <c r="H1754" s="8">
        <v>1</v>
      </c>
      <c r="I1754" s="8">
        <v>1</v>
      </c>
      <c r="J1754" s="8">
        <v>0</v>
      </c>
      <c r="K1754" s="9">
        <v>1</v>
      </c>
      <c r="L1754" s="10">
        <v>1</v>
      </c>
      <c r="M1754" s="6">
        <v>0</v>
      </c>
      <c r="N1754" s="37" t="e" cm="1">
        <f t="array" ref="N1754">IF(OR(ISNUMBER(FIND(Aux!$D$3:$D$9,_xlfn.TEXTJOIN(,,C1754:K1754)))),NA(),IF(AND(SUM(C1754:F1754,H1754:K1754)=0,G1754=1),0,INT((SUMPRODUCT(C1754:F1754,COLUMN($A$1:$D$1)-1)+SUMPRODUCT(H1754:K1754,COLUMN($E$1:$H$1)-1))*'Line Follower'!$C$3/SUM(C1754:F1754,H1754:K1754)-'Line Follower'!$C$5)))</f>
        <v>#N/A</v>
      </c>
      <c r="O1754" s="22" t="e">
        <v>#N/A</v>
      </c>
      <c r="P1754" s="4" t="e">
        <f t="shared" si="135"/>
        <v>#N/A</v>
      </c>
      <c r="Q1754" s="4" t="e">
        <f t="shared" si="136"/>
        <v>#N/A</v>
      </c>
      <c r="R1754" s="4" t="e">
        <f>IF(AND(B1754=1,N1754&gt;'Line Follower'!$C$7,SUM(C1754:K1754)&lt;4),1,0)</f>
        <v>#N/A</v>
      </c>
      <c r="S1754" s="4" t="e">
        <f>IF(AND(L1754=1,N1754&lt;'Line Follower'!$C$6,SUM(C1754:K1754)&lt;4),1,0)</f>
        <v>#N/A</v>
      </c>
      <c r="T1754" s="4" t="e">
        <f t="shared" si="137"/>
        <v>#N/A</v>
      </c>
      <c r="U1754" s="5" t="e">
        <f t="shared" si="138"/>
        <v>#N/A</v>
      </c>
      <c r="V1754" s="23" t="e">
        <f t="shared" si="139"/>
        <v>#N/A</v>
      </c>
    </row>
    <row r="1755" spans="2:22" x14ac:dyDescent="0.25">
      <c r="B1755" s="16">
        <v>0</v>
      </c>
      <c r="C1755" s="7">
        <v>0</v>
      </c>
      <c r="D1755" s="8">
        <v>0</v>
      </c>
      <c r="E1755" s="8">
        <v>1</v>
      </c>
      <c r="F1755" s="8">
        <v>1</v>
      </c>
      <c r="G1755" s="8">
        <v>0</v>
      </c>
      <c r="H1755" s="8">
        <v>1</v>
      </c>
      <c r="I1755" s="8">
        <v>1</v>
      </c>
      <c r="J1755" s="8">
        <v>0</v>
      </c>
      <c r="K1755" s="9">
        <v>1</v>
      </c>
      <c r="L1755" s="10">
        <v>1</v>
      </c>
      <c r="M1755" s="6">
        <v>0</v>
      </c>
      <c r="N1755" s="37" t="e" cm="1">
        <f t="array" ref="N1755">IF(OR(ISNUMBER(FIND(Aux!$D$3:$D$9,_xlfn.TEXTJOIN(,,C1755:K1755)))),NA(),IF(AND(SUM(C1755:F1755,H1755:K1755)=0,G1755=1),0,INT((SUMPRODUCT(C1755:F1755,COLUMN($A$1:$D$1)-1)+SUMPRODUCT(H1755:K1755,COLUMN($E$1:$H$1)-1))*'Line Follower'!$C$3/SUM(C1755:F1755,H1755:K1755)-'Line Follower'!$C$5)))</f>
        <v>#N/A</v>
      </c>
      <c r="O1755" s="22" t="e">
        <v>#N/A</v>
      </c>
      <c r="P1755" s="4" t="e">
        <f t="shared" si="135"/>
        <v>#N/A</v>
      </c>
      <c r="Q1755" s="4" t="e">
        <f t="shared" si="136"/>
        <v>#N/A</v>
      </c>
      <c r="R1755" s="4" t="e">
        <f>IF(AND(B1755=1,N1755&gt;'Line Follower'!$C$7,SUM(C1755:K1755)&lt;4),1,0)</f>
        <v>#N/A</v>
      </c>
      <c r="S1755" s="4" t="e">
        <f>IF(AND(L1755=1,N1755&lt;'Line Follower'!$C$6,SUM(C1755:K1755)&lt;4),1,0)</f>
        <v>#N/A</v>
      </c>
      <c r="T1755" s="4" t="e">
        <f t="shared" si="137"/>
        <v>#N/A</v>
      </c>
      <c r="U1755" s="5" t="e">
        <f t="shared" si="138"/>
        <v>#N/A</v>
      </c>
      <c r="V1755" s="23" t="e">
        <f t="shared" si="139"/>
        <v>#N/A</v>
      </c>
    </row>
    <row r="1756" spans="2:22" x14ac:dyDescent="0.25">
      <c r="B1756" s="16">
        <v>1</v>
      </c>
      <c r="C1756" s="7">
        <v>0</v>
      </c>
      <c r="D1756" s="8">
        <v>0</v>
      </c>
      <c r="E1756" s="8">
        <v>1</v>
      </c>
      <c r="F1756" s="8">
        <v>1</v>
      </c>
      <c r="G1756" s="8">
        <v>0</v>
      </c>
      <c r="H1756" s="8">
        <v>1</v>
      </c>
      <c r="I1756" s="8">
        <v>1</v>
      </c>
      <c r="J1756" s="8">
        <v>0</v>
      </c>
      <c r="K1756" s="9">
        <v>1</v>
      </c>
      <c r="L1756" s="10">
        <v>1</v>
      </c>
      <c r="M1756" s="6">
        <v>0</v>
      </c>
      <c r="N1756" s="37" t="e" cm="1">
        <f t="array" ref="N1756">IF(OR(ISNUMBER(FIND(Aux!$D$3:$D$9,_xlfn.TEXTJOIN(,,C1756:K1756)))),NA(),IF(AND(SUM(C1756:F1756,H1756:K1756)=0,G1756=1),0,INT((SUMPRODUCT(C1756:F1756,COLUMN($A$1:$D$1)-1)+SUMPRODUCT(H1756:K1756,COLUMN($E$1:$H$1)-1))*'Line Follower'!$C$3/SUM(C1756:F1756,H1756:K1756)-'Line Follower'!$C$5)))</f>
        <v>#N/A</v>
      </c>
      <c r="O1756" s="22" t="e">
        <v>#N/A</v>
      </c>
      <c r="P1756" s="4" t="e">
        <f t="shared" si="135"/>
        <v>#N/A</v>
      </c>
      <c r="Q1756" s="4" t="e">
        <f t="shared" si="136"/>
        <v>#N/A</v>
      </c>
      <c r="R1756" s="4" t="e">
        <f>IF(AND(B1756=1,N1756&gt;'Line Follower'!$C$7,SUM(C1756:K1756)&lt;4),1,0)</f>
        <v>#N/A</v>
      </c>
      <c r="S1756" s="4" t="e">
        <f>IF(AND(L1756=1,N1756&lt;'Line Follower'!$C$6,SUM(C1756:K1756)&lt;4),1,0)</f>
        <v>#N/A</v>
      </c>
      <c r="T1756" s="4" t="e">
        <f t="shared" si="137"/>
        <v>#N/A</v>
      </c>
      <c r="U1756" s="5" t="e">
        <f t="shared" si="138"/>
        <v>#N/A</v>
      </c>
      <c r="V1756" s="23" t="e">
        <f t="shared" si="139"/>
        <v>#N/A</v>
      </c>
    </row>
    <row r="1757" spans="2:22" x14ac:dyDescent="0.25">
      <c r="B1757" s="16">
        <v>0</v>
      </c>
      <c r="C1757" s="7">
        <v>1</v>
      </c>
      <c r="D1757" s="8">
        <v>0</v>
      </c>
      <c r="E1757" s="8">
        <v>1</v>
      </c>
      <c r="F1757" s="8">
        <v>1</v>
      </c>
      <c r="G1757" s="8">
        <v>0</v>
      </c>
      <c r="H1757" s="8">
        <v>1</v>
      </c>
      <c r="I1757" s="8">
        <v>1</v>
      </c>
      <c r="J1757" s="8">
        <v>0</v>
      </c>
      <c r="K1757" s="9">
        <v>1</v>
      </c>
      <c r="L1757" s="10">
        <v>1</v>
      </c>
      <c r="M1757" s="6">
        <v>0</v>
      </c>
      <c r="N1757" s="37" t="e" cm="1">
        <f t="array" ref="N1757">IF(OR(ISNUMBER(FIND(Aux!$D$3:$D$9,_xlfn.TEXTJOIN(,,C1757:K1757)))),NA(),IF(AND(SUM(C1757:F1757,H1757:K1757)=0,G1757=1),0,INT((SUMPRODUCT(C1757:F1757,COLUMN($A$1:$D$1)-1)+SUMPRODUCT(H1757:K1757,COLUMN($E$1:$H$1)-1))*'Line Follower'!$C$3/SUM(C1757:F1757,H1757:K1757)-'Line Follower'!$C$5)))</f>
        <v>#N/A</v>
      </c>
      <c r="O1757" s="22" t="e">
        <v>#N/A</v>
      </c>
      <c r="P1757" s="4" t="e">
        <f t="shared" si="135"/>
        <v>#N/A</v>
      </c>
      <c r="Q1757" s="4" t="e">
        <f t="shared" si="136"/>
        <v>#N/A</v>
      </c>
      <c r="R1757" s="4" t="e">
        <f>IF(AND(B1757=1,N1757&gt;'Line Follower'!$C$7,SUM(C1757:K1757)&lt;4),1,0)</f>
        <v>#N/A</v>
      </c>
      <c r="S1757" s="4" t="e">
        <f>IF(AND(L1757=1,N1757&lt;'Line Follower'!$C$6,SUM(C1757:K1757)&lt;4),1,0)</f>
        <v>#N/A</v>
      </c>
      <c r="T1757" s="4" t="e">
        <f t="shared" si="137"/>
        <v>#N/A</v>
      </c>
      <c r="U1757" s="5" t="e">
        <f t="shared" si="138"/>
        <v>#N/A</v>
      </c>
      <c r="V1757" s="23" t="e">
        <f t="shared" si="139"/>
        <v>#N/A</v>
      </c>
    </row>
    <row r="1758" spans="2:22" x14ac:dyDescent="0.25">
      <c r="B1758" s="16">
        <v>1</v>
      </c>
      <c r="C1758" s="7">
        <v>1</v>
      </c>
      <c r="D1758" s="8">
        <v>0</v>
      </c>
      <c r="E1758" s="8">
        <v>1</v>
      </c>
      <c r="F1758" s="8">
        <v>1</v>
      </c>
      <c r="G1758" s="8">
        <v>0</v>
      </c>
      <c r="H1758" s="8">
        <v>1</v>
      </c>
      <c r="I1758" s="8">
        <v>1</v>
      </c>
      <c r="J1758" s="8">
        <v>0</v>
      </c>
      <c r="K1758" s="9">
        <v>1</v>
      </c>
      <c r="L1758" s="10">
        <v>1</v>
      </c>
      <c r="M1758" s="6">
        <v>0</v>
      </c>
      <c r="N1758" s="37" t="e" cm="1">
        <f t="array" ref="N1758">IF(OR(ISNUMBER(FIND(Aux!$D$3:$D$9,_xlfn.TEXTJOIN(,,C1758:K1758)))),NA(),IF(AND(SUM(C1758:F1758,H1758:K1758)=0,G1758=1),0,INT((SUMPRODUCT(C1758:F1758,COLUMN($A$1:$D$1)-1)+SUMPRODUCT(H1758:K1758,COLUMN($E$1:$H$1)-1))*'Line Follower'!$C$3/SUM(C1758:F1758,H1758:K1758)-'Line Follower'!$C$5)))</f>
        <v>#N/A</v>
      </c>
      <c r="O1758" s="22" t="e">
        <v>#N/A</v>
      </c>
      <c r="P1758" s="4" t="e">
        <f t="shared" si="135"/>
        <v>#N/A</v>
      </c>
      <c r="Q1758" s="4" t="e">
        <f t="shared" si="136"/>
        <v>#N/A</v>
      </c>
      <c r="R1758" s="4" t="e">
        <f>IF(AND(B1758=1,N1758&gt;'Line Follower'!$C$7,SUM(C1758:K1758)&lt;4),1,0)</f>
        <v>#N/A</v>
      </c>
      <c r="S1758" s="4" t="e">
        <f>IF(AND(L1758=1,N1758&lt;'Line Follower'!$C$6,SUM(C1758:K1758)&lt;4),1,0)</f>
        <v>#N/A</v>
      </c>
      <c r="T1758" s="4" t="e">
        <f t="shared" si="137"/>
        <v>#N/A</v>
      </c>
      <c r="U1758" s="5" t="e">
        <f t="shared" si="138"/>
        <v>#N/A</v>
      </c>
      <c r="V1758" s="23" t="e">
        <f t="shared" si="139"/>
        <v>#N/A</v>
      </c>
    </row>
    <row r="1759" spans="2:22" x14ac:dyDescent="0.25">
      <c r="B1759" s="16">
        <v>0</v>
      </c>
      <c r="C1759" s="7">
        <v>0</v>
      </c>
      <c r="D1759" s="8">
        <v>1</v>
      </c>
      <c r="E1759" s="8">
        <v>1</v>
      </c>
      <c r="F1759" s="8">
        <v>1</v>
      </c>
      <c r="G1759" s="8">
        <v>0</v>
      </c>
      <c r="H1759" s="8">
        <v>1</v>
      </c>
      <c r="I1759" s="8">
        <v>1</v>
      </c>
      <c r="J1759" s="8">
        <v>0</v>
      </c>
      <c r="K1759" s="9">
        <v>1</v>
      </c>
      <c r="L1759" s="10">
        <v>1</v>
      </c>
      <c r="M1759" s="6">
        <v>0</v>
      </c>
      <c r="N1759" s="37" t="e" cm="1">
        <f t="array" ref="N1759">IF(OR(ISNUMBER(FIND(Aux!$D$3:$D$9,_xlfn.TEXTJOIN(,,C1759:K1759)))),NA(),IF(AND(SUM(C1759:F1759,H1759:K1759)=0,G1759=1),0,INT((SUMPRODUCT(C1759:F1759,COLUMN($A$1:$D$1)-1)+SUMPRODUCT(H1759:K1759,COLUMN($E$1:$H$1)-1))*'Line Follower'!$C$3/SUM(C1759:F1759,H1759:K1759)-'Line Follower'!$C$5)))</f>
        <v>#N/A</v>
      </c>
      <c r="O1759" s="22" t="e">
        <v>#N/A</v>
      </c>
      <c r="P1759" s="4" t="e">
        <f t="shared" si="135"/>
        <v>#N/A</v>
      </c>
      <c r="Q1759" s="4" t="e">
        <f t="shared" si="136"/>
        <v>#N/A</v>
      </c>
      <c r="R1759" s="4" t="e">
        <f>IF(AND(B1759=1,N1759&gt;'Line Follower'!$C$7,SUM(C1759:K1759)&lt;4),1,0)</f>
        <v>#N/A</v>
      </c>
      <c r="S1759" s="4" t="e">
        <f>IF(AND(L1759=1,N1759&lt;'Line Follower'!$C$6,SUM(C1759:K1759)&lt;4),1,0)</f>
        <v>#N/A</v>
      </c>
      <c r="T1759" s="4" t="e">
        <f t="shared" si="137"/>
        <v>#N/A</v>
      </c>
      <c r="U1759" s="5" t="e">
        <f t="shared" si="138"/>
        <v>#N/A</v>
      </c>
      <c r="V1759" s="23" t="e">
        <f t="shared" si="139"/>
        <v>#N/A</v>
      </c>
    </row>
    <row r="1760" spans="2:22" x14ac:dyDescent="0.25">
      <c r="B1760" s="16">
        <v>1</v>
      </c>
      <c r="C1760" s="7">
        <v>0</v>
      </c>
      <c r="D1760" s="8">
        <v>1</v>
      </c>
      <c r="E1760" s="8">
        <v>1</v>
      </c>
      <c r="F1760" s="8">
        <v>1</v>
      </c>
      <c r="G1760" s="8">
        <v>0</v>
      </c>
      <c r="H1760" s="8">
        <v>1</v>
      </c>
      <c r="I1760" s="8">
        <v>1</v>
      </c>
      <c r="J1760" s="8">
        <v>0</v>
      </c>
      <c r="K1760" s="9">
        <v>1</v>
      </c>
      <c r="L1760" s="10">
        <v>1</v>
      </c>
      <c r="M1760" s="6">
        <v>0</v>
      </c>
      <c r="N1760" s="37" t="e" cm="1">
        <f t="array" ref="N1760">IF(OR(ISNUMBER(FIND(Aux!$D$3:$D$9,_xlfn.TEXTJOIN(,,C1760:K1760)))),NA(),IF(AND(SUM(C1760:F1760,H1760:K1760)=0,G1760=1),0,INT((SUMPRODUCT(C1760:F1760,COLUMN($A$1:$D$1)-1)+SUMPRODUCT(H1760:K1760,COLUMN($E$1:$H$1)-1))*'Line Follower'!$C$3/SUM(C1760:F1760,H1760:K1760)-'Line Follower'!$C$5)))</f>
        <v>#N/A</v>
      </c>
      <c r="O1760" s="22" t="e">
        <v>#N/A</v>
      </c>
      <c r="P1760" s="4" t="e">
        <f t="shared" si="135"/>
        <v>#N/A</v>
      </c>
      <c r="Q1760" s="4" t="e">
        <f t="shared" si="136"/>
        <v>#N/A</v>
      </c>
      <c r="R1760" s="4" t="e">
        <f>IF(AND(B1760=1,N1760&gt;'Line Follower'!$C$7,SUM(C1760:K1760)&lt;4),1,0)</f>
        <v>#N/A</v>
      </c>
      <c r="S1760" s="4" t="e">
        <f>IF(AND(L1760=1,N1760&lt;'Line Follower'!$C$6,SUM(C1760:K1760)&lt;4),1,0)</f>
        <v>#N/A</v>
      </c>
      <c r="T1760" s="4" t="e">
        <f t="shared" si="137"/>
        <v>#N/A</v>
      </c>
      <c r="U1760" s="5" t="e">
        <f t="shared" si="138"/>
        <v>#N/A</v>
      </c>
      <c r="V1760" s="23" t="e">
        <f t="shared" si="139"/>
        <v>#N/A</v>
      </c>
    </row>
    <row r="1761" spans="2:22" x14ac:dyDescent="0.25">
      <c r="B1761" s="16">
        <v>0</v>
      </c>
      <c r="C1761" s="7">
        <v>1</v>
      </c>
      <c r="D1761" s="8">
        <v>1</v>
      </c>
      <c r="E1761" s="8">
        <v>1</v>
      </c>
      <c r="F1761" s="8">
        <v>1</v>
      </c>
      <c r="G1761" s="8">
        <v>0</v>
      </c>
      <c r="H1761" s="8">
        <v>1</v>
      </c>
      <c r="I1761" s="8">
        <v>1</v>
      </c>
      <c r="J1761" s="8">
        <v>0</v>
      </c>
      <c r="K1761" s="9">
        <v>1</v>
      </c>
      <c r="L1761" s="10">
        <v>1</v>
      </c>
      <c r="M1761" s="6">
        <v>0</v>
      </c>
      <c r="N1761" s="37" t="e" cm="1">
        <f t="array" ref="N1761">IF(OR(ISNUMBER(FIND(Aux!$D$3:$D$9,_xlfn.TEXTJOIN(,,C1761:K1761)))),NA(),IF(AND(SUM(C1761:F1761,H1761:K1761)=0,G1761=1),0,INT((SUMPRODUCT(C1761:F1761,COLUMN($A$1:$D$1)-1)+SUMPRODUCT(H1761:K1761,COLUMN($E$1:$H$1)-1))*'Line Follower'!$C$3/SUM(C1761:F1761,H1761:K1761)-'Line Follower'!$C$5)))</f>
        <v>#N/A</v>
      </c>
      <c r="O1761" s="22" t="e">
        <v>#N/A</v>
      </c>
      <c r="P1761" s="4" t="e">
        <f t="shared" si="135"/>
        <v>#N/A</v>
      </c>
      <c r="Q1761" s="4" t="e">
        <f t="shared" si="136"/>
        <v>#N/A</v>
      </c>
      <c r="R1761" s="4" t="e">
        <f>IF(AND(B1761=1,N1761&gt;'Line Follower'!$C$7,SUM(C1761:K1761)&lt;4),1,0)</f>
        <v>#N/A</v>
      </c>
      <c r="S1761" s="4" t="e">
        <f>IF(AND(L1761=1,N1761&lt;'Line Follower'!$C$6,SUM(C1761:K1761)&lt;4),1,0)</f>
        <v>#N/A</v>
      </c>
      <c r="T1761" s="4" t="e">
        <f t="shared" si="137"/>
        <v>#N/A</v>
      </c>
      <c r="U1761" s="5" t="e">
        <f t="shared" si="138"/>
        <v>#N/A</v>
      </c>
      <c r="V1761" s="23" t="e">
        <f t="shared" si="139"/>
        <v>#N/A</v>
      </c>
    </row>
    <row r="1762" spans="2:22" x14ac:dyDescent="0.25">
      <c r="B1762" s="16">
        <v>1</v>
      </c>
      <c r="C1762" s="7">
        <v>1</v>
      </c>
      <c r="D1762" s="8">
        <v>1</v>
      </c>
      <c r="E1762" s="8">
        <v>1</v>
      </c>
      <c r="F1762" s="8">
        <v>1</v>
      </c>
      <c r="G1762" s="8">
        <v>0</v>
      </c>
      <c r="H1762" s="8">
        <v>1</v>
      </c>
      <c r="I1762" s="8">
        <v>1</v>
      </c>
      <c r="J1762" s="8">
        <v>0</v>
      </c>
      <c r="K1762" s="9">
        <v>1</v>
      </c>
      <c r="L1762" s="10">
        <v>1</v>
      </c>
      <c r="M1762" s="6">
        <v>0</v>
      </c>
      <c r="N1762" s="37" t="e" cm="1">
        <f t="array" ref="N1762">IF(OR(ISNUMBER(FIND(Aux!$D$3:$D$9,_xlfn.TEXTJOIN(,,C1762:K1762)))),NA(),IF(AND(SUM(C1762:F1762,H1762:K1762)=0,G1762=1),0,INT((SUMPRODUCT(C1762:F1762,COLUMN($A$1:$D$1)-1)+SUMPRODUCT(H1762:K1762,COLUMN($E$1:$H$1)-1))*'Line Follower'!$C$3/SUM(C1762:F1762,H1762:K1762)-'Line Follower'!$C$5)))</f>
        <v>#N/A</v>
      </c>
      <c r="O1762" s="22" t="e">
        <v>#N/A</v>
      </c>
      <c r="P1762" s="4" t="e">
        <f t="shared" si="135"/>
        <v>#N/A</v>
      </c>
      <c r="Q1762" s="4" t="e">
        <f t="shared" si="136"/>
        <v>#N/A</v>
      </c>
      <c r="R1762" s="4" t="e">
        <f>IF(AND(B1762=1,N1762&gt;'Line Follower'!$C$7,SUM(C1762:K1762)&lt;4),1,0)</f>
        <v>#N/A</v>
      </c>
      <c r="S1762" s="4" t="e">
        <f>IF(AND(L1762=1,N1762&lt;'Line Follower'!$C$6,SUM(C1762:K1762)&lt;4),1,0)</f>
        <v>#N/A</v>
      </c>
      <c r="T1762" s="4" t="e">
        <f t="shared" si="137"/>
        <v>#N/A</v>
      </c>
      <c r="U1762" s="5" t="e">
        <f t="shared" si="138"/>
        <v>#N/A</v>
      </c>
      <c r="V1762" s="23" t="e">
        <f t="shared" si="139"/>
        <v>#N/A</v>
      </c>
    </row>
    <row r="1763" spans="2:22" x14ac:dyDescent="0.25">
      <c r="B1763" s="16">
        <v>0</v>
      </c>
      <c r="C1763" s="7">
        <v>0</v>
      </c>
      <c r="D1763" s="8">
        <v>0</v>
      </c>
      <c r="E1763" s="8">
        <v>0</v>
      </c>
      <c r="F1763" s="8">
        <v>0</v>
      </c>
      <c r="G1763" s="8">
        <v>1</v>
      </c>
      <c r="H1763" s="8">
        <v>1</v>
      </c>
      <c r="I1763" s="8">
        <v>1</v>
      </c>
      <c r="J1763" s="8">
        <v>0</v>
      </c>
      <c r="K1763" s="9">
        <v>1</v>
      </c>
      <c r="L1763" s="10">
        <v>1</v>
      </c>
      <c r="M1763" s="6">
        <v>0</v>
      </c>
      <c r="N1763" s="37" t="e" cm="1">
        <f t="array" ref="N1763">IF(OR(ISNUMBER(FIND(Aux!$D$3:$D$9,_xlfn.TEXTJOIN(,,C1763:K1763)))),NA(),IF(AND(SUM(C1763:F1763,H1763:K1763)=0,G1763=1),0,INT((SUMPRODUCT(C1763:F1763,COLUMN($A$1:$D$1)-1)+SUMPRODUCT(H1763:K1763,COLUMN($E$1:$H$1)-1))*'Line Follower'!$C$3/SUM(C1763:F1763,H1763:K1763)-'Line Follower'!$C$5)))</f>
        <v>#N/A</v>
      </c>
      <c r="O1763" s="22" t="e">
        <v>#N/A</v>
      </c>
      <c r="P1763" s="4" t="e">
        <f t="shared" si="135"/>
        <v>#N/A</v>
      </c>
      <c r="Q1763" s="4" t="e">
        <f t="shared" si="136"/>
        <v>#N/A</v>
      </c>
      <c r="R1763" s="4" t="e">
        <f>IF(AND(B1763=1,N1763&gt;'Line Follower'!$C$7,SUM(C1763:K1763)&lt;4),1,0)</f>
        <v>#N/A</v>
      </c>
      <c r="S1763" s="4" t="e">
        <f>IF(AND(L1763=1,N1763&lt;'Line Follower'!$C$6,SUM(C1763:K1763)&lt;4),1,0)</f>
        <v>#N/A</v>
      </c>
      <c r="T1763" s="4" t="e">
        <f t="shared" si="137"/>
        <v>#N/A</v>
      </c>
      <c r="U1763" s="5" t="e">
        <f t="shared" si="138"/>
        <v>#N/A</v>
      </c>
      <c r="V1763" s="23" t="e">
        <f t="shared" si="139"/>
        <v>#N/A</v>
      </c>
    </row>
    <row r="1764" spans="2:22" x14ac:dyDescent="0.25">
      <c r="B1764" s="16">
        <v>1</v>
      </c>
      <c r="C1764" s="7">
        <v>0</v>
      </c>
      <c r="D1764" s="8">
        <v>0</v>
      </c>
      <c r="E1764" s="8">
        <v>0</v>
      </c>
      <c r="F1764" s="8">
        <v>0</v>
      </c>
      <c r="G1764" s="8">
        <v>1</v>
      </c>
      <c r="H1764" s="8">
        <v>1</v>
      </c>
      <c r="I1764" s="8">
        <v>1</v>
      </c>
      <c r="J1764" s="8">
        <v>0</v>
      </c>
      <c r="K1764" s="9">
        <v>1</v>
      </c>
      <c r="L1764" s="10">
        <v>1</v>
      </c>
      <c r="M1764" s="6">
        <v>0</v>
      </c>
      <c r="N1764" s="37" t="e" cm="1">
        <f t="array" ref="N1764">IF(OR(ISNUMBER(FIND(Aux!$D$3:$D$9,_xlfn.TEXTJOIN(,,C1764:K1764)))),NA(),IF(AND(SUM(C1764:F1764,H1764:K1764)=0,G1764=1),0,INT((SUMPRODUCT(C1764:F1764,COLUMN($A$1:$D$1)-1)+SUMPRODUCT(H1764:K1764,COLUMN($E$1:$H$1)-1))*'Line Follower'!$C$3/SUM(C1764:F1764,H1764:K1764)-'Line Follower'!$C$5)))</f>
        <v>#N/A</v>
      </c>
      <c r="O1764" s="22" t="e">
        <v>#N/A</v>
      </c>
      <c r="P1764" s="4" t="e">
        <f t="shared" si="135"/>
        <v>#N/A</v>
      </c>
      <c r="Q1764" s="4" t="e">
        <f t="shared" si="136"/>
        <v>#N/A</v>
      </c>
      <c r="R1764" s="4" t="e">
        <f>IF(AND(B1764=1,N1764&gt;'Line Follower'!$C$7,SUM(C1764:K1764)&lt;4),1,0)</f>
        <v>#N/A</v>
      </c>
      <c r="S1764" s="4" t="e">
        <f>IF(AND(L1764=1,N1764&lt;'Line Follower'!$C$6,SUM(C1764:K1764)&lt;4),1,0)</f>
        <v>#N/A</v>
      </c>
      <c r="T1764" s="4" t="e">
        <f t="shared" si="137"/>
        <v>#N/A</v>
      </c>
      <c r="U1764" s="5" t="e">
        <f t="shared" si="138"/>
        <v>#N/A</v>
      </c>
      <c r="V1764" s="23" t="e">
        <f t="shared" si="139"/>
        <v>#N/A</v>
      </c>
    </row>
    <row r="1765" spans="2:22" x14ac:dyDescent="0.25">
      <c r="B1765" s="16">
        <v>0</v>
      </c>
      <c r="C1765" s="7">
        <v>1</v>
      </c>
      <c r="D1765" s="8">
        <v>0</v>
      </c>
      <c r="E1765" s="8">
        <v>0</v>
      </c>
      <c r="F1765" s="8">
        <v>0</v>
      </c>
      <c r="G1765" s="8">
        <v>1</v>
      </c>
      <c r="H1765" s="8">
        <v>1</v>
      </c>
      <c r="I1765" s="8">
        <v>1</v>
      </c>
      <c r="J1765" s="8">
        <v>0</v>
      </c>
      <c r="K1765" s="9">
        <v>1</v>
      </c>
      <c r="L1765" s="10">
        <v>1</v>
      </c>
      <c r="M1765" s="6">
        <v>0</v>
      </c>
      <c r="N1765" s="37" t="e" cm="1">
        <f t="array" ref="N1765">IF(OR(ISNUMBER(FIND(Aux!$D$3:$D$9,_xlfn.TEXTJOIN(,,C1765:K1765)))),NA(),IF(AND(SUM(C1765:F1765,H1765:K1765)=0,G1765=1),0,INT((SUMPRODUCT(C1765:F1765,COLUMN($A$1:$D$1)-1)+SUMPRODUCT(H1765:K1765,COLUMN($E$1:$H$1)-1))*'Line Follower'!$C$3/SUM(C1765:F1765,H1765:K1765)-'Line Follower'!$C$5)))</f>
        <v>#N/A</v>
      </c>
      <c r="O1765" s="22" t="e">
        <v>#N/A</v>
      </c>
      <c r="P1765" s="4" t="e">
        <f t="shared" si="135"/>
        <v>#N/A</v>
      </c>
      <c r="Q1765" s="4" t="e">
        <f t="shared" si="136"/>
        <v>#N/A</v>
      </c>
      <c r="R1765" s="4" t="e">
        <f>IF(AND(B1765=1,N1765&gt;'Line Follower'!$C$7,SUM(C1765:K1765)&lt;4),1,0)</f>
        <v>#N/A</v>
      </c>
      <c r="S1765" s="4" t="e">
        <f>IF(AND(L1765=1,N1765&lt;'Line Follower'!$C$6,SUM(C1765:K1765)&lt;4),1,0)</f>
        <v>#N/A</v>
      </c>
      <c r="T1765" s="4" t="e">
        <f t="shared" si="137"/>
        <v>#N/A</v>
      </c>
      <c r="U1765" s="5" t="e">
        <f t="shared" si="138"/>
        <v>#N/A</v>
      </c>
      <c r="V1765" s="23" t="e">
        <f t="shared" si="139"/>
        <v>#N/A</v>
      </c>
    </row>
    <row r="1766" spans="2:22" x14ac:dyDescent="0.25">
      <c r="B1766" s="16">
        <v>1</v>
      </c>
      <c r="C1766" s="7">
        <v>1</v>
      </c>
      <c r="D1766" s="8">
        <v>0</v>
      </c>
      <c r="E1766" s="8">
        <v>0</v>
      </c>
      <c r="F1766" s="8">
        <v>0</v>
      </c>
      <c r="G1766" s="8">
        <v>1</v>
      </c>
      <c r="H1766" s="8">
        <v>1</v>
      </c>
      <c r="I1766" s="8">
        <v>1</v>
      </c>
      <c r="J1766" s="8">
        <v>0</v>
      </c>
      <c r="K1766" s="9">
        <v>1</v>
      </c>
      <c r="L1766" s="10">
        <v>1</v>
      </c>
      <c r="M1766" s="6">
        <v>0</v>
      </c>
      <c r="N1766" s="37" t="e" cm="1">
        <f t="array" ref="N1766">IF(OR(ISNUMBER(FIND(Aux!$D$3:$D$9,_xlfn.TEXTJOIN(,,C1766:K1766)))),NA(),IF(AND(SUM(C1766:F1766,H1766:K1766)=0,G1766=1),0,INT((SUMPRODUCT(C1766:F1766,COLUMN($A$1:$D$1)-1)+SUMPRODUCT(H1766:K1766,COLUMN($E$1:$H$1)-1))*'Line Follower'!$C$3/SUM(C1766:F1766,H1766:K1766)-'Line Follower'!$C$5)))</f>
        <v>#N/A</v>
      </c>
      <c r="O1766" s="22" t="e">
        <v>#N/A</v>
      </c>
      <c r="P1766" s="4" t="e">
        <f t="shared" si="135"/>
        <v>#N/A</v>
      </c>
      <c r="Q1766" s="4" t="e">
        <f t="shared" si="136"/>
        <v>#N/A</v>
      </c>
      <c r="R1766" s="4" t="e">
        <f>IF(AND(B1766=1,N1766&gt;'Line Follower'!$C$7,SUM(C1766:K1766)&lt;4),1,0)</f>
        <v>#N/A</v>
      </c>
      <c r="S1766" s="4" t="e">
        <f>IF(AND(L1766=1,N1766&lt;'Line Follower'!$C$6,SUM(C1766:K1766)&lt;4),1,0)</f>
        <v>#N/A</v>
      </c>
      <c r="T1766" s="4" t="e">
        <f t="shared" si="137"/>
        <v>#N/A</v>
      </c>
      <c r="U1766" s="5" t="e">
        <f t="shared" si="138"/>
        <v>#N/A</v>
      </c>
      <c r="V1766" s="23" t="e">
        <f t="shared" si="139"/>
        <v>#N/A</v>
      </c>
    </row>
    <row r="1767" spans="2:22" x14ac:dyDescent="0.25">
      <c r="B1767" s="16">
        <v>0</v>
      </c>
      <c r="C1767" s="7">
        <v>0</v>
      </c>
      <c r="D1767" s="8">
        <v>1</v>
      </c>
      <c r="E1767" s="8">
        <v>0</v>
      </c>
      <c r="F1767" s="8">
        <v>0</v>
      </c>
      <c r="G1767" s="8">
        <v>1</v>
      </c>
      <c r="H1767" s="8">
        <v>1</v>
      </c>
      <c r="I1767" s="8">
        <v>1</v>
      </c>
      <c r="J1767" s="8">
        <v>0</v>
      </c>
      <c r="K1767" s="9">
        <v>1</v>
      </c>
      <c r="L1767" s="10">
        <v>1</v>
      </c>
      <c r="M1767" s="6">
        <v>0</v>
      </c>
      <c r="N1767" s="37" t="e" cm="1">
        <f t="array" ref="N1767">IF(OR(ISNUMBER(FIND(Aux!$D$3:$D$9,_xlfn.TEXTJOIN(,,C1767:K1767)))),NA(),IF(AND(SUM(C1767:F1767,H1767:K1767)=0,G1767=1),0,INT((SUMPRODUCT(C1767:F1767,COLUMN($A$1:$D$1)-1)+SUMPRODUCT(H1767:K1767,COLUMN($E$1:$H$1)-1))*'Line Follower'!$C$3/SUM(C1767:F1767,H1767:K1767)-'Line Follower'!$C$5)))</f>
        <v>#N/A</v>
      </c>
      <c r="O1767" s="22" t="e">
        <v>#N/A</v>
      </c>
      <c r="P1767" s="4" t="e">
        <f t="shared" si="135"/>
        <v>#N/A</v>
      </c>
      <c r="Q1767" s="4" t="e">
        <f t="shared" si="136"/>
        <v>#N/A</v>
      </c>
      <c r="R1767" s="4" t="e">
        <f>IF(AND(B1767=1,N1767&gt;'Line Follower'!$C$7,SUM(C1767:K1767)&lt;4),1,0)</f>
        <v>#N/A</v>
      </c>
      <c r="S1767" s="4" t="e">
        <f>IF(AND(L1767=1,N1767&lt;'Line Follower'!$C$6,SUM(C1767:K1767)&lt;4),1,0)</f>
        <v>#N/A</v>
      </c>
      <c r="T1767" s="4" t="e">
        <f t="shared" si="137"/>
        <v>#N/A</v>
      </c>
      <c r="U1767" s="5" t="e">
        <f t="shared" si="138"/>
        <v>#N/A</v>
      </c>
      <c r="V1767" s="23" t="e">
        <f t="shared" si="139"/>
        <v>#N/A</v>
      </c>
    </row>
    <row r="1768" spans="2:22" x14ac:dyDescent="0.25">
      <c r="B1768" s="16">
        <v>1</v>
      </c>
      <c r="C1768" s="7">
        <v>0</v>
      </c>
      <c r="D1768" s="8">
        <v>1</v>
      </c>
      <c r="E1768" s="8">
        <v>0</v>
      </c>
      <c r="F1768" s="8">
        <v>0</v>
      </c>
      <c r="G1768" s="8">
        <v>1</v>
      </c>
      <c r="H1768" s="8">
        <v>1</v>
      </c>
      <c r="I1768" s="8">
        <v>1</v>
      </c>
      <c r="J1768" s="8">
        <v>0</v>
      </c>
      <c r="K1768" s="9">
        <v>1</v>
      </c>
      <c r="L1768" s="10">
        <v>1</v>
      </c>
      <c r="M1768" s="6">
        <v>0</v>
      </c>
      <c r="N1768" s="37" t="e" cm="1">
        <f t="array" ref="N1768">IF(OR(ISNUMBER(FIND(Aux!$D$3:$D$9,_xlfn.TEXTJOIN(,,C1768:K1768)))),NA(),IF(AND(SUM(C1768:F1768,H1768:K1768)=0,G1768=1),0,INT((SUMPRODUCT(C1768:F1768,COLUMN($A$1:$D$1)-1)+SUMPRODUCT(H1768:K1768,COLUMN($E$1:$H$1)-1))*'Line Follower'!$C$3/SUM(C1768:F1768,H1768:K1768)-'Line Follower'!$C$5)))</f>
        <v>#N/A</v>
      </c>
      <c r="O1768" s="22" t="e">
        <v>#N/A</v>
      </c>
      <c r="P1768" s="4" t="e">
        <f t="shared" si="135"/>
        <v>#N/A</v>
      </c>
      <c r="Q1768" s="4" t="e">
        <f t="shared" si="136"/>
        <v>#N/A</v>
      </c>
      <c r="R1768" s="4" t="e">
        <f>IF(AND(B1768=1,N1768&gt;'Line Follower'!$C$7,SUM(C1768:K1768)&lt;4),1,0)</f>
        <v>#N/A</v>
      </c>
      <c r="S1768" s="4" t="e">
        <f>IF(AND(L1768=1,N1768&lt;'Line Follower'!$C$6,SUM(C1768:K1768)&lt;4),1,0)</f>
        <v>#N/A</v>
      </c>
      <c r="T1768" s="4" t="e">
        <f t="shared" si="137"/>
        <v>#N/A</v>
      </c>
      <c r="U1768" s="5" t="e">
        <f t="shared" si="138"/>
        <v>#N/A</v>
      </c>
      <c r="V1768" s="23" t="e">
        <f t="shared" si="139"/>
        <v>#N/A</v>
      </c>
    </row>
    <row r="1769" spans="2:22" x14ac:dyDescent="0.25">
      <c r="B1769" s="16">
        <v>0</v>
      </c>
      <c r="C1769" s="7">
        <v>1</v>
      </c>
      <c r="D1769" s="8">
        <v>1</v>
      </c>
      <c r="E1769" s="8">
        <v>0</v>
      </c>
      <c r="F1769" s="8">
        <v>0</v>
      </c>
      <c r="G1769" s="8">
        <v>1</v>
      </c>
      <c r="H1769" s="8">
        <v>1</v>
      </c>
      <c r="I1769" s="8">
        <v>1</v>
      </c>
      <c r="J1769" s="8">
        <v>0</v>
      </c>
      <c r="K1769" s="9">
        <v>1</v>
      </c>
      <c r="L1769" s="10">
        <v>1</v>
      </c>
      <c r="M1769" s="6">
        <v>0</v>
      </c>
      <c r="N1769" s="37" t="e" cm="1">
        <f t="array" ref="N1769">IF(OR(ISNUMBER(FIND(Aux!$D$3:$D$9,_xlfn.TEXTJOIN(,,C1769:K1769)))),NA(),IF(AND(SUM(C1769:F1769,H1769:K1769)=0,G1769=1),0,INT((SUMPRODUCT(C1769:F1769,COLUMN($A$1:$D$1)-1)+SUMPRODUCT(H1769:K1769,COLUMN($E$1:$H$1)-1))*'Line Follower'!$C$3/SUM(C1769:F1769,H1769:K1769)-'Line Follower'!$C$5)))</f>
        <v>#N/A</v>
      </c>
      <c r="O1769" s="22" t="e">
        <v>#N/A</v>
      </c>
      <c r="P1769" s="4" t="e">
        <f t="shared" si="135"/>
        <v>#N/A</v>
      </c>
      <c r="Q1769" s="4" t="e">
        <f t="shared" si="136"/>
        <v>#N/A</v>
      </c>
      <c r="R1769" s="4" t="e">
        <f>IF(AND(B1769=1,N1769&gt;'Line Follower'!$C$7,SUM(C1769:K1769)&lt;4),1,0)</f>
        <v>#N/A</v>
      </c>
      <c r="S1769" s="4" t="e">
        <f>IF(AND(L1769=1,N1769&lt;'Line Follower'!$C$6,SUM(C1769:K1769)&lt;4),1,0)</f>
        <v>#N/A</v>
      </c>
      <c r="T1769" s="4" t="e">
        <f t="shared" si="137"/>
        <v>#N/A</v>
      </c>
      <c r="U1769" s="5" t="e">
        <f t="shared" si="138"/>
        <v>#N/A</v>
      </c>
      <c r="V1769" s="23" t="e">
        <f t="shared" si="139"/>
        <v>#N/A</v>
      </c>
    </row>
    <row r="1770" spans="2:22" x14ac:dyDescent="0.25">
      <c r="B1770" s="16">
        <v>1</v>
      </c>
      <c r="C1770" s="7">
        <v>1</v>
      </c>
      <c r="D1770" s="8">
        <v>1</v>
      </c>
      <c r="E1770" s="8">
        <v>0</v>
      </c>
      <c r="F1770" s="8">
        <v>0</v>
      </c>
      <c r="G1770" s="8">
        <v>1</v>
      </c>
      <c r="H1770" s="8">
        <v>1</v>
      </c>
      <c r="I1770" s="8">
        <v>1</v>
      </c>
      <c r="J1770" s="8">
        <v>0</v>
      </c>
      <c r="K1770" s="9">
        <v>1</v>
      </c>
      <c r="L1770" s="10">
        <v>1</v>
      </c>
      <c r="M1770" s="6">
        <v>0</v>
      </c>
      <c r="N1770" s="37" t="e" cm="1">
        <f t="array" ref="N1770">IF(OR(ISNUMBER(FIND(Aux!$D$3:$D$9,_xlfn.TEXTJOIN(,,C1770:K1770)))),NA(),IF(AND(SUM(C1770:F1770,H1770:K1770)=0,G1770=1),0,INT((SUMPRODUCT(C1770:F1770,COLUMN($A$1:$D$1)-1)+SUMPRODUCT(H1770:K1770,COLUMN($E$1:$H$1)-1))*'Line Follower'!$C$3/SUM(C1770:F1770,H1770:K1770)-'Line Follower'!$C$5)))</f>
        <v>#N/A</v>
      </c>
      <c r="O1770" s="22" t="e">
        <v>#N/A</v>
      </c>
      <c r="P1770" s="4" t="e">
        <f t="shared" si="135"/>
        <v>#N/A</v>
      </c>
      <c r="Q1770" s="4" t="e">
        <f t="shared" si="136"/>
        <v>#N/A</v>
      </c>
      <c r="R1770" s="4" t="e">
        <f>IF(AND(B1770=1,N1770&gt;'Line Follower'!$C$7,SUM(C1770:K1770)&lt;4),1,0)</f>
        <v>#N/A</v>
      </c>
      <c r="S1770" s="4" t="e">
        <f>IF(AND(L1770=1,N1770&lt;'Line Follower'!$C$6,SUM(C1770:K1770)&lt;4),1,0)</f>
        <v>#N/A</v>
      </c>
      <c r="T1770" s="4" t="e">
        <f t="shared" si="137"/>
        <v>#N/A</v>
      </c>
      <c r="U1770" s="5" t="e">
        <f t="shared" si="138"/>
        <v>#N/A</v>
      </c>
      <c r="V1770" s="23" t="e">
        <f t="shared" si="139"/>
        <v>#N/A</v>
      </c>
    </row>
    <row r="1771" spans="2:22" x14ac:dyDescent="0.25">
      <c r="B1771" s="16">
        <v>0</v>
      </c>
      <c r="C1771" s="7">
        <v>0</v>
      </c>
      <c r="D1771" s="8">
        <v>0</v>
      </c>
      <c r="E1771" s="8">
        <v>1</v>
      </c>
      <c r="F1771" s="8">
        <v>0</v>
      </c>
      <c r="G1771" s="8">
        <v>1</v>
      </c>
      <c r="H1771" s="8">
        <v>1</v>
      </c>
      <c r="I1771" s="8">
        <v>1</v>
      </c>
      <c r="J1771" s="8">
        <v>0</v>
      </c>
      <c r="K1771" s="9">
        <v>1</v>
      </c>
      <c r="L1771" s="10">
        <v>1</v>
      </c>
      <c r="M1771" s="6">
        <v>0</v>
      </c>
      <c r="N1771" s="37" t="e" cm="1">
        <f t="array" ref="N1771">IF(OR(ISNUMBER(FIND(Aux!$D$3:$D$9,_xlfn.TEXTJOIN(,,C1771:K1771)))),NA(),IF(AND(SUM(C1771:F1771,H1771:K1771)=0,G1771=1),0,INT((SUMPRODUCT(C1771:F1771,COLUMN($A$1:$D$1)-1)+SUMPRODUCT(H1771:K1771,COLUMN($E$1:$H$1)-1))*'Line Follower'!$C$3/SUM(C1771:F1771,H1771:K1771)-'Line Follower'!$C$5)))</f>
        <v>#N/A</v>
      </c>
      <c r="O1771" s="22" t="e">
        <v>#N/A</v>
      </c>
      <c r="P1771" s="4" t="e">
        <f t="shared" si="135"/>
        <v>#N/A</v>
      </c>
      <c r="Q1771" s="4" t="e">
        <f t="shared" si="136"/>
        <v>#N/A</v>
      </c>
      <c r="R1771" s="4" t="e">
        <f>IF(AND(B1771=1,N1771&gt;'Line Follower'!$C$7,SUM(C1771:K1771)&lt;4),1,0)</f>
        <v>#N/A</v>
      </c>
      <c r="S1771" s="4" t="e">
        <f>IF(AND(L1771=1,N1771&lt;'Line Follower'!$C$6,SUM(C1771:K1771)&lt;4),1,0)</f>
        <v>#N/A</v>
      </c>
      <c r="T1771" s="4" t="e">
        <f t="shared" si="137"/>
        <v>#N/A</v>
      </c>
      <c r="U1771" s="5" t="e">
        <f t="shared" si="138"/>
        <v>#N/A</v>
      </c>
      <c r="V1771" s="23" t="e">
        <f t="shared" si="139"/>
        <v>#N/A</v>
      </c>
    </row>
    <row r="1772" spans="2:22" x14ac:dyDescent="0.25">
      <c r="B1772" s="16">
        <v>1</v>
      </c>
      <c r="C1772" s="7">
        <v>0</v>
      </c>
      <c r="D1772" s="8">
        <v>0</v>
      </c>
      <c r="E1772" s="8">
        <v>1</v>
      </c>
      <c r="F1772" s="8">
        <v>0</v>
      </c>
      <c r="G1772" s="8">
        <v>1</v>
      </c>
      <c r="H1772" s="8">
        <v>1</v>
      </c>
      <c r="I1772" s="8">
        <v>1</v>
      </c>
      <c r="J1772" s="8">
        <v>0</v>
      </c>
      <c r="K1772" s="9">
        <v>1</v>
      </c>
      <c r="L1772" s="10">
        <v>1</v>
      </c>
      <c r="M1772" s="6">
        <v>0</v>
      </c>
      <c r="N1772" s="37" t="e" cm="1">
        <f t="array" ref="N1772">IF(OR(ISNUMBER(FIND(Aux!$D$3:$D$9,_xlfn.TEXTJOIN(,,C1772:K1772)))),NA(),IF(AND(SUM(C1772:F1772,H1772:K1772)=0,G1772=1),0,INT((SUMPRODUCT(C1772:F1772,COLUMN($A$1:$D$1)-1)+SUMPRODUCT(H1772:K1772,COLUMN($E$1:$H$1)-1))*'Line Follower'!$C$3/SUM(C1772:F1772,H1772:K1772)-'Line Follower'!$C$5)))</f>
        <v>#N/A</v>
      </c>
      <c r="O1772" s="22" t="e">
        <v>#N/A</v>
      </c>
      <c r="P1772" s="4" t="e">
        <f t="shared" si="135"/>
        <v>#N/A</v>
      </c>
      <c r="Q1772" s="4" t="e">
        <f t="shared" si="136"/>
        <v>#N/A</v>
      </c>
      <c r="R1772" s="4" t="e">
        <f>IF(AND(B1772=1,N1772&gt;'Line Follower'!$C$7,SUM(C1772:K1772)&lt;4),1,0)</f>
        <v>#N/A</v>
      </c>
      <c r="S1772" s="4" t="e">
        <f>IF(AND(L1772=1,N1772&lt;'Line Follower'!$C$6,SUM(C1772:K1772)&lt;4),1,0)</f>
        <v>#N/A</v>
      </c>
      <c r="T1772" s="4" t="e">
        <f t="shared" si="137"/>
        <v>#N/A</v>
      </c>
      <c r="U1772" s="5" t="e">
        <f t="shared" si="138"/>
        <v>#N/A</v>
      </c>
      <c r="V1772" s="23" t="e">
        <f t="shared" si="139"/>
        <v>#N/A</v>
      </c>
    </row>
    <row r="1773" spans="2:22" x14ac:dyDescent="0.25">
      <c r="B1773" s="16">
        <v>0</v>
      </c>
      <c r="C1773" s="7">
        <v>1</v>
      </c>
      <c r="D1773" s="8">
        <v>0</v>
      </c>
      <c r="E1773" s="8">
        <v>1</v>
      </c>
      <c r="F1773" s="8">
        <v>0</v>
      </c>
      <c r="G1773" s="8">
        <v>1</v>
      </c>
      <c r="H1773" s="8">
        <v>1</v>
      </c>
      <c r="I1773" s="8">
        <v>1</v>
      </c>
      <c r="J1773" s="8">
        <v>0</v>
      </c>
      <c r="K1773" s="9">
        <v>1</v>
      </c>
      <c r="L1773" s="10">
        <v>1</v>
      </c>
      <c r="M1773" s="6">
        <v>0</v>
      </c>
      <c r="N1773" s="37" t="e" cm="1">
        <f t="array" ref="N1773">IF(OR(ISNUMBER(FIND(Aux!$D$3:$D$9,_xlfn.TEXTJOIN(,,C1773:K1773)))),NA(),IF(AND(SUM(C1773:F1773,H1773:K1773)=0,G1773=1),0,INT((SUMPRODUCT(C1773:F1773,COLUMN($A$1:$D$1)-1)+SUMPRODUCT(H1773:K1773,COLUMN($E$1:$H$1)-1))*'Line Follower'!$C$3/SUM(C1773:F1773,H1773:K1773)-'Line Follower'!$C$5)))</f>
        <v>#N/A</v>
      </c>
      <c r="O1773" s="22" t="e">
        <v>#N/A</v>
      </c>
      <c r="P1773" s="4" t="e">
        <f t="shared" si="135"/>
        <v>#N/A</v>
      </c>
      <c r="Q1773" s="4" t="e">
        <f t="shared" si="136"/>
        <v>#N/A</v>
      </c>
      <c r="R1773" s="4" t="e">
        <f>IF(AND(B1773=1,N1773&gt;'Line Follower'!$C$7,SUM(C1773:K1773)&lt;4),1,0)</f>
        <v>#N/A</v>
      </c>
      <c r="S1773" s="4" t="e">
        <f>IF(AND(L1773=1,N1773&lt;'Line Follower'!$C$6,SUM(C1773:K1773)&lt;4),1,0)</f>
        <v>#N/A</v>
      </c>
      <c r="T1773" s="4" t="e">
        <f t="shared" si="137"/>
        <v>#N/A</v>
      </c>
      <c r="U1773" s="5" t="e">
        <f t="shared" si="138"/>
        <v>#N/A</v>
      </c>
      <c r="V1773" s="23" t="e">
        <f t="shared" si="139"/>
        <v>#N/A</v>
      </c>
    </row>
    <row r="1774" spans="2:22" x14ac:dyDescent="0.25">
      <c r="B1774" s="16">
        <v>1</v>
      </c>
      <c r="C1774" s="7">
        <v>1</v>
      </c>
      <c r="D1774" s="8">
        <v>0</v>
      </c>
      <c r="E1774" s="8">
        <v>1</v>
      </c>
      <c r="F1774" s="8">
        <v>0</v>
      </c>
      <c r="G1774" s="8">
        <v>1</v>
      </c>
      <c r="H1774" s="8">
        <v>1</v>
      </c>
      <c r="I1774" s="8">
        <v>1</v>
      </c>
      <c r="J1774" s="8">
        <v>0</v>
      </c>
      <c r="K1774" s="9">
        <v>1</v>
      </c>
      <c r="L1774" s="10">
        <v>1</v>
      </c>
      <c r="M1774" s="6">
        <v>0</v>
      </c>
      <c r="N1774" s="37" t="e" cm="1">
        <f t="array" ref="N1774">IF(OR(ISNUMBER(FIND(Aux!$D$3:$D$9,_xlfn.TEXTJOIN(,,C1774:K1774)))),NA(),IF(AND(SUM(C1774:F1774,H1774:K1774)=0,G1774=1),0,INT((SUMPRODUCT(C1774:F1774,COLUMN($A$1:$D$1)-1)+SUMPRODUCT(H1774:K1774,COLUMN($E$1:$H$1)-1))*'Line Follower'!$C$3/SUM(C1774:F1774,H1774:K1774)-'Line Follower'!$C$5)))</f>
        <v>#N/A</v>
      </c>
      <c r="O1774" s="22" t="e">
        <v>#N/A</v>
      </c>
      <c r="P1774" s="4" t="e">
        <f t="shared" si="135"/>
        <v>#N/A</v>
      </c>
      <c r="Q1774" s="4" t="e">
        <f t="shared" si="136"/>
        <v>#N/A</v>
      </c>
      <c r="R1774" s="4" t="e">
        <f>IF(AND(B1774=1,N1774&gt;'Line Follower'!$C$7,SUM(C1774:K1774)&lt;4),1,0)</f>
        <v>#N/A</v>
      </c>
      <c r="S1774" s="4" t="e">
        <f>IF(AND(L1774=1,N1774&lt;'Line Follower'!$C$6,SUM(C1774:K1774)&lt;4),1,0)</f>
        <v>#N/A</v>
      </c>
      <c r="T1774" s="4" t="e">
        <f t="shared" si="137"/>
        <v>#N/A</v>
      </c>
      <c r="U1774" s="5" t="e">
        <f t="shared" si="138"/>
        <v>#N/A</v>
      </c>
      <c r="V1774" s="23" t="e">
        <f t="shared" si="139"/>
        <v>#N/A</v>
      </c>
    </row>
    <row r="1775" spans="2:22" x14ac:dyDescent="0.25">
      <c r="B1775" s="16">
        <v>0</v>
      </c>
      <c r="C1775" s="7">
        <v>0</v>
      </c>
      <c r="D1775" s="8">
        <v>1</v>
      </c>
      <c r="E1775" s="8">
        <v>1</v>
      </c>
      <c r="F1775" s="8">
        <v>0</v>
      </c>
      <c r="G1775" s="8">
        <v>1</v>
      </c>
      <c r="H1775" s="8">
        <v>1</v>
      </c>
      <c r="I1775" s="8">
        <v>1</v>
      </c>
      <c r="J1775" s="8">
        <v>0</v>
      </c>
      <c r="K1775" s="9">
        <v>1</v>
      </c>
      <c r="L1775" s="10">
        <v>1</v>
      </c>
      <c r="M1775" s="6">
        <v>0</v>
      </c>
      <c r="N1775" s="37" t="e" cm="1">
        <f t="array" ref="N1775">IF(OR(ISNUMBER(FIND(Aux!$D$3:$D$9,_xlfn.TEXTJOIN(,,C1775:K1775)))),NA(),IF(AND(SUM(C1775:F1775,H1775:K1775)=0,G1775=1),0,INT((SUMPRODUCT(C1775:F1775,COLUMN($A$1:$D$1)-1)+SUMPRODUCT(H1775:K1775,COLUMN($E$1:$H$1)-1))*'Line Follower'!$C$3/SUM(C1775:F1775,H1775:K1775)-'Line Follower'!$C$5)))</f>
        <v>#N/A</v>
      </c>
      <c r="O1775" s="22" t="e">
        <v>#N/A</v>
      </c>
      <c r="P1775" s="4" t="e">
        <f t="shared" si="135"/>
        <v>#N/A</v>
      </c>
      <c r="Q1775" s="4" t="e">
        <f t="shared" si="136"/>
        <v>#N/A</v>
      </c>
      <c r="R1775" s="4" t="e">
        <f>IF(AND(B1775=1,N1775&gt;'Line Follower'!$C$7,SUM(C1775:K1775)&lt;4),1,0)</f>
        <v>#N/A</v>
      </c>
      <c r="S1775" s="4" t="e">
        <f>IF(AND(L1775=1,N1775&lt;'Line Follower'!$C$6,SUM(C1775:K1775)&lt;4),1,0)</f>
        <v>#N/A</v>
      </c>
      <c r="T1775" s="4" t="e">
        <f t="shared" si="137"/>
        <v>#N/A</v>
      </c>
      <c r="U1775" s="5" t="e">
        <f t="shared" si="138"/>
        <v>#N/A</v>
      </c>
      <c r="V1775" s="23" t="e">
        <f t="shared" si="139"/>
        <v>#N/A</v>
      </c>
    </row>
    <row r="1776" spans="2:22" x14ac:dyDescent="0.25">
      <c r="B1776" s="16">
        <v>1</v>
      </c>
      <c r="C1776" s="7">
        <v>0</v>
      </c>
      <c r="D1776" s="8">
        <v>1</v>
      </c>
      <c r="E1776" s="8">
        <v>1</v>
      </c>
      <c r="F1776" s="8">
        <v>0</v>
      </c>
      <c r="G1776" s="8">
        <v>1</v>
      </c>
      <c r="H1776" s="8">
        <v>1</v>
      </c>
      <c r="I1776" s="8">
        <v>1</v>
      </c>
      <c r="J1776" s="8">
        <v>0</v>
      </c>
      <c r="K1776" s="9">
        <v>1</v>
      </c>
      <c r="L1776" s="10">
        <v>1</v>
      </c>
      <c r="M1776" s="6">
        <v>0</v>
      </c>
      <c r="N1776" s="37" t="e" cm="1">
        <f t="array" ref="N1776">IF(OR(ISNUMBER(FIND(Aux!$D$3:$D$9,_xlfn.TEXTJOIN(,,C1776:K1776)))),NA(),IF(AND(SUM(C1776:F1776,H1776:K1776)=0,G1776=1),0,INT((SUMPRODUCT(C1776:F1776,COLUMN($A$1:$D$1)-1)+SUMPRODUCT(H1776:K1776,COLUMN($E$1:$H$1)-1))*'Line Follower'!$C$3/SUM(C1776:F1776,H1776:K1776)-'Line Follower'!$C$5)))</f>
        <v>#N/A</v>
      </c>
      <c r="O1776" s="22" t="e">
        <v>#N/A</v>
      </c>
      <c r="P1776" s="4" t="e">
        <f t="shared" si="135"/>
        <v>#N/A</v>
      </c>
      <c r="Q1776" s="4" t="e">
        <f t="shared" si="136"/>
        <v>#N/A</v>
      </c>
      <c r="R1776" s="4" t="e">
        <f>IF(AND(B1776=1,N1776&gt;'Line Follower'!$C$7,SUM(C1776:K1776)&lt;4),1,0)</f>
        <v>#N/A</v>
      </c>
      <c r="S1776" s="4" t="e">
        <f>IF(AND(L1776=1,N1776&lt;'Line Follower'!$C$6,SUM(C1776:K1776)&lt;4),1,0)</f>
        <v>#N/A</v>
      </c>
      <c r="T1776" s="4" t="e">
        <f t="shared" si="137"/>
        <v>#N/A</v>
      </c>
      <c r="U1776" s="5" t="e">
        <f t="shared" si="138"/>
        <v>#N/A</v>
      </c>
      <c r="V1776" s="23" t="e">
        <f t="shared" si="139"/>
        <v>#N/A</v>
      </c>
    </row>
    <row r="1777" spans="2:22" x14ac:dyDescent="0.25">
      <c r="B1777" s="16">
        <v>0</v>
      </c>
      <c r="C1777" s="7">
        <v>1</v>
      </c>
      <c r="D1777" s="8">
        <v>1</v>
      </c>
      <c r="E1777" s="8">
        <v>1</v>
      </c>
      <c r="F1777" s="8">
        <v>0</v>
      </c>
      <c r="G1777" s="8">
        <v>1</v>
      </c>
      <c r="H1777" s="8">
        <v>1</v>
      </c>
      <c r="I1777" s="8">
        <v>1</v>
      </c>
      <c r="J1777" s="8">
        <v>0</v>
      </c>
      <c r="K1777" s="9">
        <v>1</v>
      </c>
      <c r="L1777" s="10">
        <v>1</v>
      </c>
      <c r="M1777" s="6">
        <v>0</v>
      </c>
      <c r="N1777" s="37" t="e" cm="1">
        <f t="array" ref="N1777">IF(OR(ISNUMBER(FIND(Aux!$D$3:$D$9,_xlfn.TEXTJOIN(,,C1777:K1777)))),NA(),IF(AND(SUM(C1777:F1777,H1777:K1777)=0,G1777=1),0,INT((SUMPRODUCT(C1777:F1777,COLUMN($A$1:$D$1)-1)+SUMPRODUCT(H1777:K1777,COLUMN($E$1:$H$1)-1))*'Line Follower'!$C$3/SUM(C1777:F1777,H1777:K1777)-'Line Follower'!$C$5)))</f>
        <v>#N/A</v>
      </c>
      <c r="O1777" s="22" t="e">
        <v>#N/A</v>
      </c>
      <c r="P1777" s="4" t="e">
        <f t="shared" si="135"/>
        <v>#N/A</v>
      </c>
      <c r="Q1777" s="4" t="e">
        <f t="shared" si="136"/>
        <v>#N/A</v>
      </c>
      <c r="R1777" s="4" t="e">
        <f>IF(AND(B1777=1,N1777&gt;'Line Follower'!$C$7,SUM(C1777:K1777)&lt;4),1,0)</f>
        <v>#N/A</v>
      </c>
      <c r="S1777" s="4" t="e">
        <f>IF(AND(L1777=1,N1777&lt;'Line Follower'!$C$6,SUM(C1777:K1777)&lt;4),1,0)</f>
        <v>#N/A</v>
      </c>
      <c r="T1777" s="4" t="e">
        <f t="shared" si="137"/>
        <v>#N/A</v>
      </c>
      <c r="U1777" s="5" t="e">
        <f t="shared" si="138"/>
        <v>#N/A</v>
      </c>
      <c r="V1777" s="23" t="e">
        <f t="shared" si="139"/>
        <v>#N/A</v>
      </c>
    </row>
    <row r="1778" spans="2:22" x14ac:dyDescent="0.25">
      <c r="B1778" s="16">
        <v>1</v>
      </c>
      <c r="C1778" s="7">
        <v>1</v>
      </c>
      <c r="D1778" s="8">
        <v>1</v>
      </c>
      <c r="E1778" s="8">
        <v>1</v>
      </c>
      <c r="F1778" s="8">
        <v>0</v>
      </c>
      <c r="G1778" s="8">
        <v>1</v>
      </c>
      <c r="H1778" s="8">
        <v>1</v>
      </c>
      <c r="I1778" s="8">
        <v>1</v>
      </c>
      <c r="J1778" s="8">
        <v>0</v>
      </c>
      <c r="K1778" s="9">
        <v>1</v>
      </c>
      <c r="L1778" s="10">
        <v>1</v>
      </c>
      <c r="M1778" s="6">
        <v>0</v>
      </c>
      <c r="N1778" s="37" t="e" cm="1">
        <f t="array" ref="N1778">IF(OR(ISNUMBER(FIND(Aux!$D$3:$D$9,_xlfn.TEXTJOIN(,,C1778:K1778)))),NA(),IF(AND(SUM(C1778:F1778,H1778:K1778)=0,G1778=1),0,INT((SUMPRODUCT(C1778:F1778,COLUMN($A$1:$D$1)-1)+SUMPRODUCT(H1778:K1778,COLUMN($E$1:$H$1)-1))*'Line Follower'!$C$3/SUM(C1778:F1778,H1778:K1778)-'Line Follower'!$C$5)))</f>
        <v>#N/A</v>
      </c>
      <c r="O1778" s="22" t="e">
        <v>#N/A</v>
      </c>
      <c r="P1778" s="4" t="e">
        <f t="shared" si="135"/>
        <v>#N/A</v>
      </c>
      <c r="Q1778" s="4" t="e">
        <f t="shared" si="136"/>
        <v>#N/A</v>
      </c>
      <c r="R1778" s="4" t="e">
        <f>IF(AND(B1778=1,N1778&gt;'Line Follower'!$C$7,SUM(C1778:K1778)&lt;4),1,0)</f>
        <v>#N/A</v>
      </c>
      <c r="S1778" s="4" t="e">
        <f>IF(AND(L1778=1,N1778&lt;'Line Follower'!$C$6,SUM(C1778:K1778)&lt;4),1,0)</f>
        <v>#N/A</v>
      </c>
      <c r="T1778" s="4" t="e">
        <f t="shared" si="137"/>
        <v>#N/A</v>
      </c>
      <c r="U1778" s="5" t="e">
        <f t="shared" si="138"/>
        <v>#N/A</v>
      </c>
      <c r="V1778" s="23" t="e">
        <f t="shared" si="139"/>
        <v>#N/A</v>
      </c>
    </row>
    <row r="1779" spans="2:22" x14ac:dyDescent="0.25">
      <c r="B1779" s="16">
        <v>0</v>
      </c>
      <c r="C1779" s="7">
        <v>0</v>
      </c>
      <c r="D1779" s="8">
        <v>0</v>
      </c>
      <c r="E1779" s="8">
        <v>0</v>
      </c>
      <c r="F1779" s="8">
        <v>1</v>
      </c>
      <c r="G1779" s="8">
        <v>1</v>
      </c>
      <c r="H1779" s="8">
        <v>1</v>
      </c>
      <c r="I1779" s="8">
        <v>1</v>
      </c>
      <c r="J1779" s="8">
        <v>0</v>
      </c>
      <c r="K1779" s="9">
        <v>1</v>
      </c>
      <c r="L1779" s="10">
        <v>1</v>
      </c>
      <c r="M1779" s="6">
        <v>0</v>
      </c>
      <c r="N1779" s="37" t="e" cm="1">
        <f t="array" ref="N1779">IF(OR(ISNUMBER(FIND(Aux!$D$3:$D$9,_xlfn.TEXTJOIN(,,C1779:K1779)))),NA(),IF(AND(SUM(C1779:F1779,H1779:K1779)=0,G1779=1),0,INT((SUMPRODUCT(C1779:F1779,COLUMN($A$1:$D$1)-1)+SUMPRODUCT(H1779:K1779,COLUMN($E$1:$H$1)-1))*'Line Follower'!$C$3/SUM(C1779:F1779,H1779:K1779)-'Line Follower'!$C$5)))</f>
        <v>#N/A</v>
      </c>
      <c r="O1779" s="22" t="e">
        <v>#N/A</v>
      </c>
      <c r="P1779" s="4" t="e">
        <f t="shared" si="135"/>
        <v>#N/A</v>
      </c>
      <c r="Q1779" s="4" t="e">
        <f t="shared" si="136"/>
        <v>#N/A</v>
      </c>
      <c r="R1779" s="4" t="e">
        <f>IF(AND(B1779=1,N1779&gt;'Line Follower'!$C$7,SUM(C1779:K1779)&lt;4),1,0)</f>
        <v>#N/A</v>
      </c>
      <c r="S1779" s="4" t="e">
        <f>IF(AND(L1779=1,N1779&lt;'Line Follower'!$C$6,SUM(C1779:K1779)&lt;4),1,0)</f>
        <v>#N/A</v>
      </c>
      <c r="T1779" s="4" t="e">
        <f t="shared" si="137"/>
        <v>#N/A</v>
      </c>
      <c r="U1779" s="5" t="e">
        <f t="shared" si="138"/>
        <v>#N/A</v>
      </c>
      <c r="V1779" s="23" t="e">
        <f t="shared" si="139"/>
        <v>#N/A</v>
      </c>
    </row>
    <row r="1780" spans="2:22" x14ac:dyDescent="0.25">
      <c r="B1780" s="16">
        <v>1</v>
      </c>
      <c r="C1780" s="7">
        <v>0</v>
      </c>
      <c r="D1780" s="8">
        <v>0</v>
      </c>
      <c r="E1780" s="8">
        <v>0</v>
      </c>
      <c r="F1780" s="8">
        <v>1</v>
      </c>
      <c r="G1780" s="8">
        <v>1</v>
      </c>
      <c r="H1780" s="8">
        <v>1</v>
      </c>
      <c r="I1780" s="8">
        <v>1</v>
      </c>
      <c r="J1780" s="8">
        <v>0</v>
      </c>
      <c r="K1780" s="9">
        <v>1</v>
      </c>
      <c r="L1780" s="10">
        <v>1</v>
      </c>
      <c r="M1780" s="6">
        <v>0</v>
      </c>
      <c r="N1780" s="37" t="e" cm="1">
        <f t="array" ref="N1780">IF(OR(ISNUMBER(FIND(Aux!$D$3:$D$9,_xlfn.TEXTJOIN(,,C1780:K1780)))),NA(),IF(AND(SUM(C1780:F1780,H1780:K1780)=0,G1780=1),0,INT((SUMPRODUCT(C1780:F1780,COLUMN($A$1:$D$1)-1)+SUMPRODUCT(H1780:K1780,COLUMN($E$1:$H$1)-1))*'Line Follower'!$C$3/SUM(C1780:F1780,H1780:K1780)-'Line Follower'!$C$5)))</f>
        <v>#N/A</v>
      </c>
      <c r="O1780" s="22" t="e">
        <v>#N/A</v>
      </c>
      <c r="P1780" s="4" t="e">
        <f t="shared" si="135"/>
        <v>#N/A</v>
      </c>
      <c r="Q1780" s="4" t="e">
        <f t="shared" si="136"/>
        <v>#N/A</v>
      </c>
      <c r="R1780" s="4" t="e">
        <f>IF(AND(B1780=1,N1780&gt;'Line Follower'!$C$7,SUM(C1780:K1780)&lt;4),1,0)</f>
        <v>#N/A</v>
      </c>
      <c r="S1780" s="4" t="e">
        <f>IF(AND(L1780=1,N1780&lt;'Line Follower'!$C$6,SUM(C1780:K1780)&lt;4),1,0)</f>
        <v>#N/A</v>
      </c>
      <c r="T1780" s="4" t="e">
        <f t="shared" si="137"/>
        <v>#N/A</v>
      </c>
      <c r="U1780" s="5" t="e">
        <f t="shared" si="138"/>
        <v>#N/A</v>
      </c>
      <c r="V1780" s="23" t="e">
        <f t="shared" si="139"/>
        <v>#N/A</v>
      </c>
    </row>
    <row r="1781" spans="2:22" x14ac:dyDescent="0.25">
      <c r="B1781" s="16">
        <v>0</v>
      </c>
      <c r="C1781" s="7">
        <v>1</v>
      </c>
      <c r="D1781" s="8">
        <v>0</v>
      </c>
      <c r="E1781" s="8">
        <v>0</v>
      </c>
      <c r="F1781" s="8">
        <v>1</v>
      </c>
      <c r="G1781" s="8">
        <v>1</v>
      </c>
      <c r="H1781" s="8">
        <v>1</v>
      </c>
      <c r="I1781" s="8">
        <v>1</v>
      </c>
      <c r="J1781" s="8">
        <v>0</v>
      </c>
      <c r="K1781" s="9">
        <v>1</v>
      </c>
      <c r="L1781" s="10">
        <v>1</v>
      </c>
      <c r="M1781" s="6">
        <v>0</v>
      </c>
      <c r="N1781" s="37" t="e" cm="1">
        <f t="array" ref="N1781">IF(OR(ISNUMBER(FIND(Aux!$D$3:$D$9,_xlfn.TEXTJOIN(,,C1781:K1781)))),NA(),IF(AND(SUM(C1781:F1781,H1781:K1781)=0,G1781=1),0,INT((SUMPRODUCT(C1781:F1781,COLUMN($A$1:$D$1)-1)+SUMPRODUCT(H1781:K1781,COLUMN($E$1:$H$1)-1))*'Line Follower'!$C$3/SUM(C1781:F1781,H1781:K1781)-'Line Follower'!$C$5)))</f>
        <v>#N/A</v>
      </c>
      <c r="O1781" s="22" t="e">
        <v>#N/A</v>
      </c>
      <c r="P1781" s="4" t="e">
        <f t="shared" si="135"/>
        <v>#N/A</v>
      </c>
      <c r="Q1781" s="4" t="e">
        <f t="shared" si="136"/>
        <v>#N/A</v>
      </c>
      <c r="R1781" s="4" t="e">
        <f>IF(AND(B1781=1,N1781&gt;'Line Follower'!$C$7,SUM(C1781:K1781)&lt;4),1,0)</f>
        <v>#N/A</v>
      </c>
      <c r="S1781" s="4" t="e">
        <f>IF(AND(L1781=1,N1781&lt;'Line Follower'!$C$6,SUM(C1781:K1781)&lt;4),1,0)</f>
        <v>#N/A</v>
      </c>
      <c r="T1781" s="4" t="e">
        <f t="shared" si="137"/>
        <v>#N/A</v>
      </c>
      <c r="U1781" s="5" t="e">
        <f t="shared" si="138"/>
        <v>#N/A</v>
      </c>
      <c r="V1781" s="23" t="e">
        <f t="shared" si="139"/>
        <v>#N/A</v>
      </c>
    </row>
    <row r="1782" spans="2:22" x14ac:dyDescent="0.25">
      <c r="B1782" s="16">
        <v>1</v>
      </c>
      <c r="C1782" s="7">
        <v>1</v>
      </c>
      <c r="D1782" s="8">
        <v>0</v>
      </c>
      <c r="E1782" s="8">
        <v>0</v>
      </c>
      <c r="F1782" s="8">
        <v>1</v>
      </c>
      <c r="G1782" s="8">
        <v>1</v>
      </c>
      <c r="H1782" s="8">
        <v>1</v>
      </c>
      <c r="I1782" s="8">
        <v>1</v>
      </c>
      <c r="J1782" s="8">
        <v>0</v>
      </c>
      <c r="K1782" s="9">
        <v>1</v>
      </c>
      <c r="L1782" s="10">
        <v>1</v>
      </c>
      <c r="M1782" s="6">
        <v>0</v>
      </c>
      <c r="N1782" s="37" t="e" cm="1">
        <f t="array" ref="N1782">IF(OR(ISNUMBER(FIND(Aux!$D$3:$D$9,_xlfn.TEXTJOIN(,,C1782:K1782)))),NA(),IF(AND(SUM(C1782:F1782,H1782:K1782)=0,G1782=1),0,INT((SUMPRODUCT(C1782:F1782,COLUMN($A$1:$D$1)-1)+SUMPRODUCT(H1782:K1782,COLUMN($E$1:$H$1)-1))*'Line Follower'!$C$3/SUM(C1782:F1782,H1782:K1782)-'Line Follower'!$C$5)))</f>
        <v>#N/A</v>
      </c>
      <c r="O1782" s="22" t="e">
        <v>#N/A</v>
      </c>
      <c r="P1782" s="4" t="e">
        <f t="shared" si="135"/>
        <v>#N/A</v>
      </c>
      <c r="Q1782" s="4" t="e">
        <f t="shared" si="136"/>
        <v>#N/A</v>
      </c>
      <c r="R1782" s="4" t="e">
        <f>IF(AND(B1782=1,N1782&gt;'Line Follower'!$C$7,SUM(C1782:K1782)&lt;4),1,0)</f>
        <v>#N/A</v>
      </c>
      <c r="S1782" s="4" t="e">
        <f>IF(AND(L1782=1,N1782&lt;'Line Follower'!$C$6,SUM(C1782:K1782)&lt;4),1,0)</f>
        <v>#N/A</v>
      </c>
      <c r="T1782" s="4" t="e">
        <f t="shared" si="137"/>
        <v>#N/A</v>
      </c>
      <c r="U1782" s="5" t="e">
        <f t="shared" si="138"/>
        <v>#N/A</v>
      </c>
      <c r="V1782" s="23" t="e">
        <f t="shared" si="139"/>
        <v>#N/A</v>
      </c>
    </row>
    <row r="1783" spans="2:22" x14ac:dyDescent="0.25">
      <c r="B1783" s="16">
        <v>0</v>
      </c>
      <c r="C1783" s="7">
        <v>0</v>
      </c>
      <c r="D1783" s="8">
        <v>1</v>
      </c>
      <c r="E1783" s="8">
        <v>0</v>
      </c>
      <c r="F1783" s="8">
        <v>1</v>
      </c>
      <c r="G1783" s="8">
        <v>1</v>
      </c>
      <c r="H1783" s="8">
        <v>1</v>
      </c>
      <c r="I1783" s="8">
        <v>1</v>
      </c>
      <c r="J1783" s="8">
        <v>0</v>
      </c>
      <c r="K1783" s="9">
        <v>1</v>
      </c>
      <c r="L1783" s="10">
        <v>1</v>
      </c>
      <c r="M1783" s="6">
        <v>0</v>
      </c>
      <c r="N1783" s="37" t="e" cm="1">
        <f t="array" ref="N1783">IF(OR(ISNUMBER(FIND(Aux!$D$3:$D$9,_xlfn.TEXTJOIN(,,C1783:K1783)))),NA(),IF(AND(SUM(C1783:F1783,H1783:K1783)=0,G1783=1),0,INT((SUMPRODUCT(C1783:F1783,COLUMN($A$1:$D$1)-1)+SUMPRODUCT(H1783:K1783,COLUMN($E$1:$H$1)-1))*'Line Follower'!$C$3/SUM(C1783:F1783,H1783:K1783)-'Line Follower'!$C$5)))</f>
        <v>#N/A</v>
      </c>
      <c r="O1783" s="22" t="e">
        <v>#N/A</v>
      </c>
      <c r="P1783" s="4" t="e">
        <f t="shared" si="135"/>
        <v>#N/A</v>
      </c>
      <c r="Q1783" s="4" t="e">
        <f t="shared" si="136"/>
        <v>#N/A</v>
      </c>
      <c r="R1783" s="4" t="e">
        <f>IF(AND(B1783=1,N1783&gt;'Line Follower'!$C$7,SUM(C1783:K1783)&lt;4),1,0)</f>
        <v>#N/A</v>
      </c>
      <c r="S1783" s="4" t="e">
        <f>IF(AND(L1783=1,N1783&lt;'Line Follower'!$C$6,SUM(C1783:K1783)&lt;4),1,0)</f>
        <v>#N/A</v>
      </c>
      <c r="T1783" s="4" t="e">
        <f t="shared" si="137"/>
        <v>#N/A</v>
      </c>
      <c r="U1783" s="5" t="e">
        <f t="shared" si="138"/>
        <v>#N/A</v>
      </c>
      <c r="V1783" s="23" t="e">
        <f t="shared" si="139"/>
        <v>#N/A</v>
      </c>
    </row>
    <row r="1784" spans="2:22" x14ac:dyDescent="0.25">
      <c r="B1784" s="16">
        <v>1</v>
      </c>
      <c r="C1784" s="7">
        <v>0</v>
      </c>
      <c r="D1784" s="8">
        <v>1</v>
      </c>
      <c r="E1784" s="8">
        <v>0</v>
      </c>
      <c r="F1784" s="8">
        <v>1</v>
      </c>
      <c r="G1784" s="8">
        <v>1</v>
      </c>
      <c r="H1784" s="8">
        <v>1</v>
      </c>
      <c r="I1784" s="8">
        <v>1</v>
      </c>
      <c r="J1784" s="8">
        <v>0</v>
      </c>
      <c r="K1784" s="9">
        <v>1</v>
      </c>
      <c r="L1784" s="10">
        <v>1</v>
      </c>
      <c r="M1784" s="6">
        <v>0</v>
      </c>
      <c r="N1784" s="37" t="e" cm="1">
        <f t="array" ref="N1784">IF(OR(ISNUMBER(FIND(Aux!$D$3:$D$9,_xlfn.TEXTJOIN(,,C1784:K1784)))),NA(),IF(AND(SUM(C1784:F1784,H1784:K1784)=0,G1784=1),0,INT((SUMPRODUCT(C1784:F1784,COLUMN($A$1:$D$1)-1)+SUMPRODUCT(H1784:K1784,COLUMN($E$1:$H$1)-1))*'Line Follower'!$C$3/SUM(C1784:F1784,H1784:K1784)-'Line Follower'!$C$5)))</f>
        <v>#N/A</v>
      </c>
      <c r="O1784" s="22" t="e">
        <v>#N/A</v>
      </c>
      <c r="P1784" s="4" t="e">
        <f t="shared" si="135"/>
        <v>#N/A</v>
      </c>
      <c r="Q1784" s="4" t="e">
        <f t="shared" si="136"/>
        <v>#N/A</v>
      </c>
      <c r="R1784" s="4" t="e">
        <f>IF(AND(B1784=1,N1784&gt;'Line Follower'!$C$7,SUM(C1784:K1784)&lt;4),1,0)</f>
        <v>#N/A</v>
      </c>
      <c r="S1784" s="4" t="e">
        <f>IF(AND(L1784=1,N1784&lt;'Line Follower'!$C$6,SUM(C1784:K1784)&lt;4),1,0)</f>
        <v>#N/A</v>
      </c>
      <c r="T1784" s="4" t="e">
        <f t="shared" si="137"/>
        <v>#N/A</v>
      </c>
      <c r="U1784" s="5" t="e">
        <f t="shared" si="138"/>
        <v>#N/A</v>
      </c>
      <c r="V1784" s="23" t="e">
        <f t="shared" si="139"/>
        <v>#N/A</v>
      </c>
    </row>
    <row r="1785" spans="2:22" x14ac:dyDescent="0.25">
      <c r="B1785" s="16">
        <v>0</v>
      </c>
      <c r="C1785" s="7">
        <v>1</v>
      </c>
      <c r="D1785" s="8">
        <v>1</v>
      </c>
      <c r="E1785" s="8">
        <v>0</v>
      </c>
      <c r="F1785" s="8">
        <v>1</v>
      </c>
      <c r="G1785" s="8">
        <v>1</v>
      </c>
      <c r="H1785" s="8">
        <v>1</v>
      </c>
      <c r="I1785" s="8">
        <v>1</v>
      </c>
      <c r="J1785" s="8">
        <v>0</v>
      </c>
      <c r="K1785" s="9">
        <v>1</v>
      </c>
      <c r="L1785" s="10">
        <v>1</v>
      </c>
      <c r="M1785" s="6">
        <v>0</v>
      </c>
      <c r="N1785" s="37" t="e" cm="1">
        <f t="array" ref="N1785">IF(OR(ISNUMBER(FIND(Aux!$D$3:$D$9,_xlfn.TEXTJOIN(,,C1785:K1785)))),NA(),IF(AND(SUM(C1785:F1785,H1785:K1785)=0,G1785=1),0,INT((SUMPRODUCT(C1785:F1785,COLUMN($A$1:$D$1)-1)+SUMPRODUCT(H1785:K1785,COLUMN($E$1:$H$1)-1))*'Line Follower'!$C$3/SUM(C1785:F1785,H1785:K1785)-'Line Follower'!$C$5)))</f>
        <v>#N/A</v>
      </c>
      <c r="O1785" s="22" t="e">
        <v>#N/A</v>
      </c>
      <c r="P1785" s="4" t="e">
        <f t="shared" si="135"/>
        <v>#N/A</v>
      </c>
      <c r="Q1785" s="4" t="e">
        <f t="shared" si="136"/>
        <v>#N/A</v>
      </c>
      <c r="R1785" s="4" t="e">
        <f>IF(AND(B1785=1,N1785&gt;'Line Follower'!$C$7,SUM(C1785:K1785)&lt;4),1,0)</f>
        <v>#N/A</v>
      </c>
      <c r="S1785" s="4" t="e">
        <f>IF(AND(L1785=1,N1785&lt;'Line Follower'!$C$6,SUM(C1785:K1785)&lt;4),1,0)</f>
        <v>#N/A</v>
      </c>
      <c r="T1785" s="4" t="e">
        <f t="shared" si="137"/>
        <v>#N/A</v>
      </c>
      <c r="U1785" s="5" t="e">
        <f t="shared" si="138"/>
        <v>#N/A</v>
      </c>
      <c r="V1785" s="23" t="e">
        <f t="shared" si="139"/>
        <v>#N/A</v>
      </c>
    </row>
    <row r="1786" spans="2:22" x14ac:dyDescent="0.25">
      <c r="B1786" s="16">
        <v>1</v>
      </c>
      <c r="C1786" s="7">
        <v>1</v>
      </c>
      <c r="D1786" s="8">
        <v>1</v>
      </c>
      <c r="E1786" s="8">
        <v>0</v>
      </c>
      <c r="F1786" s="8">
        <v>1</v>
      </c>
      <c r="G1786" s="8">
        <v>1</v>
      </c>
      <c r="H1786" s="8">
        <v>1</v>
      </c>
      <c r="I1786" s="8">
        <v>1</v>
      </c>
      <c r="J1786" s="8">
        <v>0</v>
      </c>
      <c r="K1786" s="9">
        <v>1</v>
      </c>
      <c r="L1786" s="10">
        <v>1</v>
      </c>
      <c r="M1786" s="6">
        <v>0</v>
      </c>
      <c r="N1786" s="37" t="e" cm="1">
        <f t="array" ref="N1786">IF(OR(ISNUMBER(FIND(Aux!$D$3:$D$9,_xlfn.TEXTJOIN(,,C1786:K1786)))),NA(),IF(AND(SUM(C1786:F1786,H1786:K1786)=0,G1786=1),0,INT((SUMPRODUCT(C1786:F1786,COLUMN($A$1:$D$1)-1)+SUMPRODUCT(H1786:K1786,COLUMN($E$1:$H$1)-1))*'Line Follower'!$C$3/SUM(C1786:F1786,H1786:K1786)-'Line Follower'!$C$5)))</f>
        <v>#N/A</v>
      </c>
      <c r="O1786" s="22" t="e">
        <v>#N/A</v>
      </c>
      <c r="P1786" s="4" t="e">
        <f t="shared" si="135"/>
        <v>#N/A</v>
      </c>
      <c r="Q1786" s="4" t="e">
        <f t="shared" si="136"/>
        <v>#N/A</v>
      </c>
      <c r="R1786" s="4" t="e">
        <f>IF(AND(B1786=1,N1786&gt;'Line Follower'!$C$7,SUM(C1786:K1786)&lt;4),1,0)</f>
        <v>#N/A</v>
      </c>
      <c r="S1786" s="4" t="e">
        <f>IF(AND(L1786=1,N1786&lt;'Line Follower'!$C$6,SUM(C1786:K1786)&lt;4),1,0)</f>
        <v>#N/A</v>
      </c>
      <c r="T1786" s="4" t="e">
        <f t="shared" si="137"/>
        <v>#N/A</v>
      </c>
      <c r="U1786" s="5" t="e">
        <f t="shared" si="138"/>
        <v>#N/A</v>
      </c>
      <c r="V1786" s="23" t="e">
        <f t="shared" si="139"/>
        <v>#N/A</v>
      </c>
    </row>
    <row r="1787" spans="2:22" x14ac:dyDescent="0.25">
      <c r="B1787" s="16">
        <v>0</v>
      </c>
      <c r="C1787" s="7">
        <v>0</v>
      </c>
      <c r="D1787" s="8">
        <v>0</v>
      </c>
      <c r="E1787" s="8">
        <v>1</v>
      </c>
      <c r="F1787" s="8">
        <v>1</v>
      </c>
      <c r="G1787" s="8">
        <v>1</v>
      </c>
      <c r="H1787" s="8">
        <v>1</v>
      </c>
      <c r="I1787" s="8">
        <v>1</v>
      </c>
      <c r="J1787" s="8">
        <v>0</v>
      </c>
      <c r="K1787" s="9">
        <v>1</v>
      </c>
      <c r="L1787" s="10">
        <v>1</v>
      </c>
      <c r="M1787" s="6">
        <v>0</v>
      </c>
      <c r="N1787" s="37" t="e" cm="1">
        <f t="array" ref="N1787">IF(OR(ISNUMBER(FIND(Aux!$D$3:$D$9,_xlfn.TEXTJOIN(,,C1787:K1787)))),NA(),IF(AND(SUM(C1787:F1787,H1787:K1787)=0,G1787=1),0,INT((SUMPRODUCT(C1787:F1787,COLUMN($A$1:$D$1)-1)+SUMPRODUCT(H1787:K1787,COLUMN($E$1:$H$1)-1))*'Line Follower'!$C$3/SUM(C1787:F1787,H1787:K1787)-'Line Follower'!$C$5)))</f>
        <v>#N/A</v>
      </c>
      <c r="O1787" s="22" t="e">
        <v>#N/A</v>
      </c>
      <c r="P1787" s="4" t="e">
        <f t="shared" si="135"/>
        <v>#N/A</v>
      </c>
      <c r="Q1787" s="4" t="e">
        <f t="shared" si="136"/>
        <v>#N/A</v>
      </c>
      <c r="R1787" s="4" t="e">
        <f>IF(AND(B1787=1,N1787&gt;'Line Follower'!$C$7,SUM(C1787:K1787)&lt;4),1,0)</f>
        <v>#N/A</v>
      </c>
      <c r="S1787" s="4" t="e">
        <f>IF(AND(L1787=1,N1787&lt;'Line Follower'!$C$6,SUM(C1787:K1787)&lt;4),1,0)</f>
        <v>#N/A</v>
      </c>
      <c r="T1787" s="4" t="e">
        <f t="shared" si="137"/>
        <v>#N/A</v>
      </c>
      <c r="U1787" s="5" t="e">
        <f t="shared" si="138"/>
        <v>#N/A</v>
      </c>
      <c r="V1787" s="23" t="e">
        <f t="shared" si="139"/>
        <v>#N/A</v>
      </c>
    </row>
    <row r="1788" spans="2:22" x14ac:dyDescent="0.25">
      <c r="B1788" s="16">
        <v>1</v>
      </c>
      <c r="C1788" s="7">
        <v>0</v>
      </c>
      <c r="D1788" s="8">
        <v>0</v>
      </c>
      <c r="E1788" s="8">
        <v>1</v>
      </c>
      <c r="F1788" s="8">
        <v>1</v>
      </c>
      <c r="G1788" s="8">
        <v>1</v>
      </c>
      <c r="H1788" s="8">
        <v>1</v>
      </c>
      <c r="I1788" s="8">
        <v>1</v>
      </c>
      <c r="J1788" s="8">
        <v>0</v>
      </c>
      <c r="K1788" s="9">
        <v>1</v>
      </c>
      <c r="L1788" s="10">
        <v>1</v>
      </c>
      <c r="M1788" s="6">
        <v>0</v>
      </c>
      <c r="N1788" s="37" t="e" cm="1">
        <f t="array" ref="N1788">IF(OR(ISNUMBER(FIND(Aux!$D$3:$D$9,_xlfn.TEXTJOIN(,,C1788:K1788)))),NA(),IF(AND(SUM(C1788:F1788,H1788:K1788)=0,G1788=1),0,INT((SUMPRODUCT(C1788:F1788,COLUMN($A$1:$D$1)-1)+SUMPRODUCT(H1788:K1788,COLUMN($E$1:$H$1)-1))*'Line Follower'!$C$3/SUM(C1788:F1788,H1788:K1788)-'Line Follower'!$C$5)))</f>
        <v>#N/A</v>
      </c>
      <c r="O1788" s="22" t="e">
        <v>#N/A</v>
      </c>
      <c r="P1788" s="4" t="e">
        <f t="shared" si="135"/>
        <v>#N/A</v>
      </c>
      <c r="Q1788" s="4" t="e">
        <f t="shared" si="136"/>
        <v>#N/A</v>
      </c>
      <c r="R1788" s="4" t="e">
        <f>IF(AND(B1788=1,N1788&gt;'Line Follower'!$C$7,SUM(C1788:K1788)&lt;4),1,0)</f>
        <v>#N/A</v>
      </c>
      <c r="S1788" s="4" t="e">
        <f>IF(AND(L1788=1,N1788&lt;'Line Follower'!$C$6,SUM(C1788:K1788)&lt;4),1,0)</f>
        <v>#N/A</v>
      </c>
      <c r="T1788" s="4" t="e">
        <f t="shared" si="137"/>
        <v>#N/A</v>
      </c>
      <c r="U1788" s="5" t="e">
        <f t="shared" si="138"/>
        <v>#N/A</v>
      </c>
      <c r="V1788" s="23" t="e">
        <f t="shared" si="139"/>
        <v>#N/A</v>
      </c>
    </row>
    <row r="1789" spans="2:22" x14ac:dyDescent="0.25">
      <c r="B1789" s="16">
        <v>0</v>
      </c>
      <c r="C1789" s="7">
        <v>1</v>
      </c>
      <c r="D1789" s="8">
        <v>0</v>
      </c>
      <c r="E1789" s="8">
        <v>1</v>
      </c>
      <c r="F1789" s="8">
        <v>1</v>
      </c>
      <c r="G1789" s="8">
        <v>1</v>
      </c>
      <c r="H1789" s="8">
        <v>1</v>
      </c>
      <c r="I1789" s="8">
        <v>1</v>
      </c>
      <c r="J1789" s="8">
        <v>0</v>
      </c>
      <c r="K1789" s="9">
        <v>1</v>
      </c>
      <c r="L1789" s="10">
        <v>1</v>
      </c>
      <c r="M1789" s="6">
        <v>0</v>
      </c>
      <c r="N1789" s="37" t="e" cm="1">
        <f t="array" ref="N1789">IF(OR(ISNUMBER(FIND(Aux!$D$3:$D$9,_xlfn.TEXTJOIN(,,C1789:K1789)))),NA(),IF(AND(SUM(C1789:F1789,H1789:K1789)=0,G1789=1),0,INT((SUMPRODUCT(C1789:F1789,COLUMN($A$1:$D$1)-1)+SUMPRODUCT(H1789:K1789,COLUMN($E$1:$H$1)-1))*'Line Follower'!$C$3/SUM(C1789:F1789,H1789:K1789)-'Line Follower'!$C$5)))</f>
        <v>#N/A</v>
      </c>
      <c r="O1789" s="22" t="e">
        <v>#N/A</v>
      </c>
      <c r="P1789" s="4" t="e">
        <f t="shared" si="135"/>
        <v>#N/A</v>
      </c>
      <c r="Q1789" s="4" t="e">
        <f t="shared" si="136"/>
        <v>#N/A</v>
      </c>
      <c r="R1789" s="4" t="e">
        <f>IF(AND(B1789=1,N1789&gt;'Line Follower'!$C$7,SUM(C1789:K1789)&lt;4),1,0)</f>
        <v>#N/A</v>
      </c>
      <c r="S1789" s="4" t="e">
        <f>IF(AND(L1789=1,N1789&lt;'Line Follower'!$C$6,SUM(C1789:K1789)&lt;4),1,0)</f>
        <v>#N/A</v>
      </c>
      <c r="T1789" s="4" t="e">
        <f t="shared" si="137"/>
        <v>#N/A</v>
      </c>
      <c r="U1789" s="5" t="e">
        <f t="shared" si="138"/>
        <v>#N/A</v>
      </c>
      <c r="V1789" s="23" t="e">
        <f t="shared" si="139"/>
        <v>#N/A</v>
      </c>
    </row>
    <row r="1790" spans="2:22" x14ac:dyDescent="0.25">
      <c r="B1790" s="16">
        <v>1</v>
      </c>
      <c r="C1790" s="7">
        <v>1</v>
      </c>
      <c r="D1790" s="8">
        <v>0</v>
      </c>
      <c r="E1790" s="8">
        <v>1</v>
      </c>
      <c r="F1790" s="8">
        <v>1</v>
      </c>
      <c r="G1790" s="8">
        <v>1</v>
      </c>
      <c r="H1790" s="8">
        <v>1</v>
      </c>
      <c r="I1790" s="8">
        <v>1</v>
      </c>
      <c r="J1790" s="8">
        <v>0</v>
      </c>
      <c r="K1790" s="9">
        <v>1</v>
      </c>
      <c r="L1790" s="10">
        <v>1</v>
      </c>
      <c r="M1790" s="6">
        <v>0</v>
      </c>
      <c r="N1790" s="37" t="e" cm="1">
        <f t="array" ref="N1790">IF(OR(ISNUMBER(FIND(Aux!$D$3:$D$9,_xlfn.TEXTJOIN(,,C1790:K1790)))),NA(),IF(AND(SUM(C1790:F1790,H1790:K1790)=0,G1790=1),0,INT((SUMPRODUCT(C1790:F1790,COLUMN($A$1:$D$1)-1)+SUMPRODUCT(H1790:K1790,COLUMN($E$1:$H$1)-1))*'Line Follower'!$C$3/SUM(C1790:F1790,H1790:K1790)-'Line Follower'!$C$5)))</f>
        <v>#N/A</v>
      </c>
      <c r="O1790" s="22" t="e">
        <v>#N/A</v>
      </c>
      <c r="P1790" s="4" t="e">
        <f t="shared" si="135"/>
        <v>#N/A</v>
      </c>
      <c r="Q1790" s="4" t="e">
        <f t="shared" si="136"/>
        <v>#N/A</v>
      </c>
      <c r="R1790" s="4" t="e">
        <f>IF(AND(B1790=1,N1790&gt;'Line Follower'!$C$7,SUM(C1790:K1790)&lt;4),1,0)</f>
        <v>#N/A</v>
      </c>
      <c r="S1790" s="4" t="e">
        <f>IF(AND(L1790=1,N1790&lt;'Line Follower'!$C$6,SUM(C1790:K1790)&lt;4),1,0)</f>
        <v>#N/A</v>
      </c>
      <c r="T1790" s="4" t="e">
        <f t="shared" si="137"/>
        <v>#N/A</v>
      </c>
      <c r="U1790" s="5" t="e">
        <f t="shared" si="138"/>
        <v>#N/A</v>
      </c>
      <c r="V1790" s="23" t="e">
        <f t="shared" si="139"/>
        <v>#N/A</v>
      </c>
    </row>
    <row r="1791" spans="2:22" x14ac:dyDescent="0.25">
      <c r="B1791" s="16">
        <v>0</v>
      </c>
      <c r="C1791" s="7">
        <v>0</v>
      </c>
      <c r="D1791" s="8">
        <v>1</v>
      </c>
      <c r="E1791" s="8">
        <v>1</v>
      </c>
      <c r="F1791" s="8">
        <v>1</v>
      </c>
      <c r="G1791" s="8">
        <v>1</v>
      </c>
      <c r="H1791" s="8">
        <v>1</v>
      </c>
      <c r="I1791" s="8">
        <v>1</v>
      </c>
      <c r="J1791" s="8">
        <v>0</v>
      </c>
      <c r="K1791" s="9">
        <v>1</v>
      </c>
      <c r="L1791" s="10">
        <v>1</v>
      </c>
      <c r="M1791" s="6">
        <v>0</v>
      </c>
      <c r="N1791" s="37" t="e" cm="1">
        <f t="array" ref="N1791">IF(OR(ISNUMBER(FIND(Aux!$D$3:$D$9,_xlfn.TEXTJOIN(,,C1791:K1791)))),NA(),IF(AND(SUM(C1791:F1791,H1791:K1791)=0,G1791=1),0,INT((SUMPRODUCT(C1791:F1791,COLUMN($A$1:$D$1)-1)+SUMPRODUCT(H1791:K1791,COLUMN($E$1:$H$1)-1))*'Line Follower'!$C$3/SUM(C1791:F1791,H1791:K1791)-'Line Follower'!$C$5)))</f>
        <v>#N/A</v>
      </c>
      <c r="O1791" s="22" t="e">
        <v>#N/A</v>
      </c>
      <c r="P1791" s="4" t="e">
        <f t="shared" si="135"/>
        <v>#N/A</v>
      </c>
      <c r="Q1791" s="4" t="e">
        <f t="shared" si="136"/>
        <v>#N/A</v>
      </c>
      <c r="R1791" s="4" t="e">
        <f>IF(AND(B1791=1,N1791&gt;'Line Follower'!$C$7,SUM(C1791:K1791)&lt;4),1,0)</f>
        <v>#N/A</v>
      </c>
      <c r="S1791" s="4" t="e">
        <f>IF(AND(L1791=1,N1791&lt;'Line Follower'!$C$6,SUM(C1791:K1791)&lt;4),1,0)</f>
        <v>#N/A</v>
      </c>
      <c r="T1791" s="4" t="e">
        <f t="shared" si="137"/>
        <v>#N/A</v>
      </c>
      <c r="U1791" s="5" t="e">
        <f t="shared" si="138"/>
        <v>#N/A</v>
      </c>
      <c r="V1791" s="23" t="e">
        <f t="shared" si="139"/>
        <v>#N/A</v>
      </c>
    </row>
    <row r="1792" spans="2:22" x14ac:dyDescent="0.25">
      <c r="B1792" s="16">
        <v>1</v>
      </c>
      <c r="C1792" s="7">
        <v>0</v>
      </c>
      <c r="D1792" s="8">
        <v>1</v>
      </c>
      <c r="E1792" s="8">
        <v>1</v>
      </c>
      <c r="F1792" s="8">
        <v>1</v>
      </c>
      <c r="G1792" s="8">
        <v>1</v>
      </c>
      <c r="H1792" s="8">
        <v>1</v>
      </c>
      <c r="I1792" s="8">
        <v>1</v>
      </c>
      <c r="J1792" s="8">
        <v>0</v>
      </c>
      <c r="K1792" s="9">
        <v>1</v>
      </c>
      <c r="L1792" s="10">
        <v>1</v>
      </c>
      <c r="M1792" s="6">
        <v>0</v>
      </c>
      <c r="N1792" s="37" t="e" cm="1">
        <f t="array" ref="N1792">IF(OR(ISNUMBER(FIND(Aux!$D$3:$D$9,_xlfn.TEXTJOIN(,,C1792:K1792)))),NA(),IF(AND(SUM(C1792:F1792,H1792:K1792)=0,G1792=1),0,INT((SUMPRODUCT(C1792:F1792,COLUMN($A$1:$D$1)-1)+SUMPRODUCT(H1792:K1792,COLUMN($E$1:$H$1)-1))*'Line Follower'!$C$3/SUM(C1792:F1792,H1792:K1792)-'Line Follower'!$C$5)))</f>
        <v>#N/A</v>
      </c>
      <c r="O1792" s="22" t="e">
        <v>#N/A</v>
      </c>
      <c r="P1792" s="4" t="e">
        <f t="shared" si="135"/>
        <v>#N/A</v>
      </c>
      <c r="Q1792" s="4" t="e">
        <f t="shared" si="136"/>
        <v>#N/A</v>
      </c>
      <c r="R1792" s="4" t="e">
        <f>IF(AND(B1792=1,N1792&gt;'Line Follower'!$C$7,SUM(C1792:K1792)&lt;4),1,0)</f>
        <v>#N/A</v>
      </c>
      <c r="S1792" s="4" t="e">
        <f>IF(AND(L1792=1,N1792&lt;'Line Follower'!$C$6,SUM(C1792:K1792)&lt;4),1,0)</f>
        <v>#N/A</v>
      </c>
      <c r="T1792" s="4" t="e">
        <f t="shared" si="137"/>
        <v>#N/A</v>
      </c>
      <c r="U1792" s="5" t="e">
        <f t="shared" si="138"/>
        <v>#N/A</v>
      </c>
      <c r="V1792" s="23" t="e">
        <f t="shared" si="139"/>
        <v>#N/A</v>
      </c>
    </row>
    <row r="1793" spans="2:22" x14ac:dyDescent="0.25">
      <c r="B1793" s="16">
        <v>0</v>
      </c>
      <c r="C1793" s="7">
        <v>1</v>
      </c>
      <c r="D1793" s="8">
        <v>1</v>
      </c>
      <c r="E1793" s="8">
        <v>1</v>
      </c>
      <c r="F1793" s="8">
        <v>1</v>
      </c>
      <c r="G1793" s="8">
        <v>1</v>
      </c>
      <c r="H1793" s="8">
        <v>1</v>
      </c>
      <c r="I1793" s="8">
        <v>1</v>
      </c>
      <c r="J1793" s="8">
        <v>0</v>
      </c>
      <c r="K1793" s="9">
        <v>1</v>
      </c>
      <c r="L1793" s="10">
        <v>1</v>
      </c>
      <c r="M1793" s="6">
        <v>0</v>
      </c>
      <c r="N1793" s="37" t="e" cm="1">
        <f t="array" ref="N1793">IF(OR(ISNUMBER(FIND(Aux!$D$3:$D$9,_xlfn.TEXTJOIN(,,C1793:K1793)))),NA(),IF(AND(SUM(C1793:F1793,H1793:K1793)=0,G1793=1),0,INT((SUMPRODUCT(C1793:F1793,COLUMN($A$1:$D$1)-1)+SUMPRODUCT(H1793:K1793,COLUMN($E$1:$H$1)-1))*'Line Follower'!$C$3/SUM(C1793:F1793,H1793:K1793)-'Line Follower'!$C$5)))</f>
        <v>#N/A</v>
      </c>
      <c r="O1793" s="22" t="e">
        <v>#N/A</v>
      </c>
      <c r="P1793" s="4" t="e">
        <f t="shared" si="135"/>
        <v>#N/A</v>
      </c>
      <c r="Q1793" s="4" t="e">
        <f t="shared" si="136"/>
        <v>#N/A</v>
      </c>
      <c r="R1793" s="4" t="e">
        <f>IF(AND(B1793=1,N1793&gt;'Line Follower'!$C$7,SUM(C1793:K1793)&lt;4),1,0)</f>
        <v>#N/A</v>
      </c>
      <c r="S1793" s="4" t="e">
        <f>IF(AND(L1793=1,N1793&lt;'Line Follower'!$C$6,SUM(C1793:K1793)&lt;4),1,0)</f>
        <v>#N/A</v>
      </c>
      <c r="T1793" s="4" t="e">
        <f t="shared" si="137"/>
        <v>#N/A</v>
      </c>
      <c r="U1793" s="5" t="e">
        <f t="shared" si="138"/>
        <v>#N/A</v>
      </c>
      <c r="V1793" s="23" t="e">
        <f t="shared" si="139"/>
        <v>#N/A</v>
      </c>
    </row>
    <row r="1794" spans="2:22" x14ac:dyDescent="0.25">
      <c r="B1794" s="16">
        <v>1</v>
      </c>
      <c r="C1794" s="7">
        <v>1</v>
      </c>
      <c r="D1794" s="8">
        <v>1</v>
      </c>
      <c r="E1794" s="8">
        <v>1</v>
      </c>
      <c r="F1794" s="8">
        <v>1</v>
      </c>
      <c r="G1794" s="8">
        <v>1</v>
      </c>
      <c r="H1794" s="8">
        <v>1</v>
      </c>
      <c r="I1794" s="8">
        <v>1</v>
      </c>
      <c r="J1794" s="8">
        <v>0</v>
      </c>
      <c r="K1794" s="9">
        <v>1</v>
      </c>
      <c r="L1794" s="10">
        <v>1</v>
      </c>
      <c r="M1794" s="6">
        <v>0</v>
      </c>
      <c r="N1794" s="37" t="e" cm="1">
        <f t="array" ref="N1794">IF(OR(ISNUMBER(FIND(Aux!$D$3:$D$9,_xlfn.TEXTJOIN(,,C1794:K1794)))),NA(),IF(AND(SUM(C1794:F1794,H1794:K1794)=0,G1794=1),0,INT((SUMPRODUCT(C1794:F1794,COLUMN($A$1:$D$1)-1)+SUMPRODUCT(H1794:K1794,COLUMN($E$1:$H$1)-1))*'Line Follower'!$C$3/SUM(C1794:F1794,H1794:K1794)-'Line Follower'!$C$5)))</f>
        <v>#N/A</v>
      </c>
      <c r="O1794" s="22" t="e">
        <v>#N/A</v>
      </c>
      <c r="P1794" s="4" t="e">
        <f t="shared" si="135"/>
        <v>#N/A</v>
      </c>
      <c r="Q1794" s="4" t="e">
        <f t="shared" si="136"/>
        <v>#N/A</v>
      </c>
      <c r="R1794" s="4" t="e">
        <f>IF(AND(B1794=1,N1794&gt;'Line Follower'!$C$7,SUM(C1794:K1794)&lt;4),1,0)</f>
        <v>#N/A</v>
      </c>
      <c r="S1794" s="4" t="e">
        <f>IF(AND(L1794=1,N1794&lt;'Line Follower'!$C$6,SUM(C1794:K1794)&lt;4),1,0)</f>
        <v>#N/A</v>
      </c>
      <c r="T1794" s="4" t="e">
        <f t="shared" si="137"/>
        <v>#N/A</v>
      </c>
      <c r="U1794" s="5" t="e">
        <f t="shared" si="138"/>
        <v>#N/A</v>
      </c>
      <c r="V1794" s="23" t="e">
        <f t="shared" si="139"/>
        <v>#N/A</v>
      </c>
    </row>
    <row r="1795" spans="2:22" x14ac:dyDescent="0.25">
      <c r="B1795" s="16">
        <v>0</v>
      </c>
      <c r="C1795" s="7">
        <v>0</v>
      </c>
      <c r="D1795" s="8">
        <v>0</v>
      </c>
      <c r="E1795" s="8">
        <v>0</v>
      </c>
      <c r="F1795" s="8">
        <v>0</v>
      </c>
      <c r="G1795" s="8">
        <v>0</v>
      </c>
      <c r="H1795" s="8">
        <v>0</v>
      </c>
      <c r="I1795" s="8">
        <v>0</v>
      </c>
      <c r="J1795" s="8">
        <v>1</v>
      </c>
      <c r="K1795" s="9">
        <v>1</v>
      </c>
      <c r="L1795" s="10">
        <v>1</v>
      </c>
      <c r="M1795" s="6">
        <v>0</v>
      </c>
      <c r="N1795" s="37" cm="1">
        <f t="array" ref="N1795">IF(OR(ISNUMBER(FIND(Aux!$D$3:$D$9,_xlfn.TEXTJOIN(,,C1795:K1795)))),NA(),IF(AND(SUM(C1795:F1795,H1795:K1795)=0,G1795=1),0,INT((SUMPRODUCT(C1795:F1795,COLUMN($A$1:$D$1)-1)+SUMPRODUCT(H1795:K1795,COLUMN($E$1:$H$1)-1))*'Line Follower'!$C$3/SUM(C1795:F1795,H1795:K1795)-'Line Follower'!$C$5)))</f>
        <v>6</v>
      </c>
      <c r="O1795" s="22">
        <v>1</v>
      </c>
      <c r="P1795" s="4">
        <f t="shared" ref="P1795:P1858" si="140">IF(AND(N1795=0,G1795=1,M1795=1),1,0)</f>
        <v>0</v>
      </c>
      <c r="Q1795" s="4">
        <f t="shared" ref="Q1795:Q1858" si="141">IF(ISERROR(N1795),N1795,IF(SUM(C1795:K1795)&gt;=4,1,0))</f>
        <v>0</v>
      </c>
      <c r="R1795" s="4">
        <f>IF(AND(B1795=1,N1795&gt;'Line Follower'!$C$7,SUM(C1795:K1795)&lt;4),1,0)</f>
        <v>0</v>
      </c>
      <c r="S1795" s="4">
        <f>IF(AND(L1795=1,N1795&lt;'Line Follower'!$C$6,SUM(C1795:K1795)&lt;4),1,0)</f>
        <v>1</v>
      </c>
      <c r="T1795" s="4">
        <f t="shared" si="137"/>
        <v>0</v>
      </c>
      <c r="U1795" s="5">
        <f t="shared" si="138"/>
        <v>0</v>
      </c>
      <c r="V1795" s="23">
        <f t="shared" si="139"/>
        <v>0</v>
      </c>
    </row>
    <row r="1796" spans="2:22" x14ac:dyDescent="0.25">
      <c r="B1796" s="16">
        <v>1</v>
      </c>
      <c r="C1796" s="7">
        <v>0</v>
      </c>
      <c r="D1796" s="8">
        <v>0</v>
      </c>
      <c r="E1796" s="8">
        <v>0</v>
      </c>
      <c r="F1796" s="8">
        <v>0</v>
      </c>
      <c r="G1796" s="8">
        <v>0</v>
      </c>
      <c r="H1796" s="8">
        <v>0</v>
      </c>
      <c r="I1796" s="8">
        <v>0</v>
      </c>
      <c r="J1796" s="8">
        <v>1</v>
      </c>
      <c r="K1796" s="9">
        <v>1</v>
      </c>
      <c r="L1796" s="10">
        <v>1</v>
      </c>
      <c r="M1796" s="6">
        <v>0</v>
      </c>
      <c r="N1796" s="37" cm="1">
        <f t="array" ref="N1796">IF(OR(ISNUMBER(FIND(Aux!$D$3:$D$9,_xlfn.TEXTJOIN(,,C1796:K1796)))),NA(),IF(AND(SUM(C1796:F1796,H1796:K1796)=0,G1796=1),0,INT((SUMPRODUCT(C1796:F1796,COLUMN($A$1:$D$1)-1)+SUMPRODUCT(H1796:K1796,COLUMN($E$1:$H$1)-1))*'Line Follower'!$C$3/SUM(C1796:F1796,H1796:K1796)-'Line Follower'!$C$5)))</f>
        <v>6</v>
      </c>
      <c r="O1796" s="22">
        <v>1</v>
      </c>
      <c r="P1796" s="4">
        <f t="shared" si="140"/>
        <v>0</v>
      </c>
      <c r="Q1796" s="4">
        <f t="shared" si="141"/>
        <v>0</v>
      </c>
      <c r="R1796" s="4">
        <f>IF(AND(B1796=1,N1796&gt;'Line Follower'!$C$7,SUM(C1796:K1796)&lt;4),1,0)</f>
        <v>1</v>
      </c>
      <c r="S1796" s="4">
        <f>IF(AND(L1796=1,N1796&lt;'Line Follower'!$C$6,SUM(C1796:K1796)&lt;4),1,0)</f>
        <v>1</v>
      </c>
      <c r="T1796" s="4">
        <f t="shared" ref="T1796:T1859" si="142">IF(ISNA(N1796),NA(),IF(SUM(C1796:L1796)=0,1,0))</f>
        <v>0</v>
      </c>
      <c r="U1796" s="5">
        <f t="shared" ref="U1796:U1859" si="143">IF(ISNA(N1796),NA(),IF(SUM(B1796:K1796)=0,1,0))</f>
        <v>0</v>
      </c>
      <c r="V1796" s="23">
        <f t="shared" ref="V1796:V1859" si="144">IF(ISNA(N1796),NA(),IF(SUM(B1796:L1796)=0,1,0))</f>
        <v>0</v>
      </c>
    </row>
    <row r="1797" spans="2:22" x14ac:dyDescent="0.25">
      <c r="B1797" s="16">
        <v>0</v>
      </c>
      <c r="C1797" s="7">
        <v>1</v>
      </c>
      <c r="D1797" s="8">
        <v>0</v>
      </c>
      <c r="E1797" s="8">
        <v>0</v>
      </c>
      <c r="F1797" s="8">
        <v>0</v>
      </c>
      <c r="G1797" s="8">
        <v>0</v>
      </c>
      <c r="H1797" s="8">
        <v>0</v>
      </c>
      <c r="I1797" s="8">
        <v>0</v>
      </c>
      <c r="J1797" s="8">
        <v>1</v>
      </c>
      <c r="K1797" s="9">
        <v>1</v>
      </c>
      <c r="L1797" s="10">
        <v>1</v>
      </c>
      <c r="M1797" s="6">
        <v>0</v>
      </c>
      <c r="N1797" s="37" t="e" cm="1">
        <f t="array" ref="N1797">IF(OR(ISNUMBER(FIND(Aux!$D$3:$D$9,_xlfn.TEXTJOIN(,,C1797:K1797)))),NA(),IF(AND(SUM(C1797:F1797,H1797:K1797)=0,G1797=1),0,INT((SUMPRODUCT(C1797:F1797,COLUMN($A$1:$D$1)-1)+SUMPRODUCT(H1797:K1797,COLUMN($E$1:$H$1)-1))*'Line Follower'!$C$3/SUM(C1797:F1797,H1797:K1797)-'Line Follower'!$C$5)))</f>
        <v>#N/A</v>
      </c>
      <c r="O1797" s="22" t="e">
        <v>#N/A</v>
      </c>
      <c r="P1797" s="4" t="e">
        <f t="shared" si="140"/>
        <v>#N/A</v>
      </c>
      <c r="Q1797" s="4" t="e">
        <f t="shared" si="141"/>
        <v>#N/A</v>
      </c>
      <c r="R1797" s="4" t="e">
        <f>IF(AND(B1797=1,N1797&gt;'Line Follower'!$C$7,SUM(C1797:K1797)&lt;4),1,0)</f>
        <v>#N/A</v>
      </c>
      <c r="S1797" s="4" t="e">
        <f>IF(AND(L1797=1,N1797&lt;'Line Follower'!$C$6,SUM(C1797:K1797)&lt;4),1,0)</f>
        <v>#N/A</v>
      </c>
      <c r="T1797" s="4" t="e">
        <f t="shared" si="142"/>
        <v>#N/A</v>
      </c>
      <c r="U1797" s="5" t="e">
        <f t="shared" si="143"/>
        <v>#N/A</v>
      </c>
      <c r="V1797" s="23" t="e">
        <f t="shared" si="144"/>
        <v>#N/A</v>
      </c>
    </row>
    <row r="1798" spans="2:22" x14ac:dyDescent="0.25">
      <c r="B1798" s="16">
        <v>1</v>
      </c>
      <c r="C1798" s="7">
        <v>1</v>
      </c>
      <c r="D1798" s="8">
        <v>0</v>
      </c>
      <c r="E1798" s="8">
        <v>0</v>
      </c>
      <c r="F1798" s="8">
        <v>0</v>
      </c>
      <c r="G1798" s="8">
        <v>0</v>
      </c>
      <c r="H1798" s="8">
        <v>0</v>
      </c>
      <c r="I1798" s="8">
        <v>0</v>
      </c>
      <c r="J1798" s="8">
        <v>1</v>
      </c>
      <c r="K1798" s="9">
        <v>1</v>
      </c>
      <c r="L1798" s="10">
        <v>1</v>
      </c>
      <c r="M1798" s="6">
        <v>0</v>
      </c>
      <c r="N1798" s="37" t="e" cm="1">
        <f t="array" ref="N1798">IF(OR(ISNUMBER(FIND(Aux!$D$3:$D$9,_xlfn.TEXTJOIN(,,C1798:K1798)))),NA(),IF(AND(SUM(C1798:F1798,H1798:K1798)=0,G1798=1),0,INT((SUMPRODUCT(C1798:F1798,COLUMN($A$1:$D$1)-1)+SUMPRODUCT(H1798:K1798,COLUMN($E$1:$H$1)-1))*'Line Follower'!$C$3/SUM(C1798:F1798,H1798:K1798)-'Line Follower'!$C$5)))</f>
        <v>#N/A</v>
      </c>
      <c r="O1798" s="22" t="e">
        <v>#N/A</v>
      </c>
      <c r="P1798" s="4" t="e">
        <f t="shared" si="140"/>
        <v>#N/A</v>
      </c>
      <c r="Q1798" s="4" t="e">
        <f t="shared" si="141"/>
        <v>#N/A</v>
      </c>
      <c r="R1798" s="4" t="e">
        <f>IF(AND(B1798=1,N1798&gt;'Line Follower'!$C$7,SUM(C1798:K1798)&lt;4),1,0)</f>
        <v>#N/A</v>
      </c>
      <c r="S1798" s="4" t="e">
        <f>IF(AND(L1798=1,N1798&lt;'Line Follower'!$C$6,SUM(C1798:K1798)&lt;4),1,0)</f>
        <v>#N/A</v>
      </c>
      <c r="T1798" s="4" t="e">
        <f t="shared" si="142"/>
        <v>#N/A</v>
      </c>
      <c r="U1798" s="5" t="e">
        <f t="shared" si="143"/>
        <v>#N/A</v>
      </c>
      <c r="V1798" s="23" t="e">
        <f t="shared" si="144"/>
        <v>#N/A</v>
      </c>
    </row>
    <row r="1799" spans="2:22" x14ac:dyDescent="0.25">
      <c r="B1799" s="16">
        <v>0</v>
      </c>
      <c r="C1799" s="7">
        <v>0</v>
      </c>
      <c r="D1799" s="8">
        <v>1</v>
      </c>
      <c r="E1799" s="8">
        <v>0</v>
      </c>
      <c r="F1799" s="8">
        <v>0</v>
      </c>
      <c r="G1799" s="8">
        <v>0</v>
      </c>
      <c r="H1799" s="8">
        <v>0</v>
      </c>
      <c r="I1799" s="8">
        <v>0</v>
      </c>
      <c r="J1799" s="8">
        <v>1</v>
      </c>
      <c r="K1799" s="9">
        <v>1</v>
      </c>
      <c r="L1799" s="10">
        <v>1</v>
      </c>
      <c r="M1799" s="6">
        <v>0</v>
      </c>
      <c r="N1799" s="37" t="e" cm="1">
        <f t="array" ref="N1799">IF(OR(ISNUMBER(FIND(Aux!$D$3:$D$9,_xlfn.TEXTJOIN(,,C1799:K1799)))),NA(),IF(AND(SUM(C1799:F1799,H1799:K1799)=0,G1799=1),0,INT((SUMPRODUCT(C1799:F1799,COLUMN($A$1:$D$1)-1)+SUMPRODUCT(H1799:K1799,COLUMN($E$1:$H$1)-1))*'Line Follower'!$C$3/SUM(C1799:F1799,H1799:K1799)-'Line Follower'!$C$5)))</f>
        <v>#N/A</v>
      </c>
      <c r="O1799" s="22" t="e">
        <v>#N/A</v>
      </c>
      <c r="P1799" s="4" t="e">
        <f t="shared" si="140"/>
        <v>#N/A</v>
      </c>
      <c r="Q1799" s="4" t="e">
        <f t="shared" si="141"/>
        <v>#N/A</v>
      </c>
      <c r="R1799" s="4" t="e">
        <f>IF(AND(B1799=1,N1799&gt;'Line Follower'!$C$7,SUM(C1799:K1799)&lt;4),1,0)</f>
        <v>#N/A</v>
      </c>
      <c r="S1799" s="4" t="e">
        <f>IF(AND(L1799=1,N1799&lt;'Line Follower'!$C$6,SUM(C1799:K1799)&lt;4),1,0)</f>
        <v>#N/A</v>
      </c>
      <c r="T1799" s="4" t="e">
        <f t="shared" si="142"/>
        <v>#N/A</v>
      </c>
      <c r="U1799" s="5" t="e">
        <f t="shared" si="143"/>
        <v>#N/A</v>
      </c>
      <c r="V1799" s="23" t="e">
        <f t="shared" si="144"/>
        <v>#N/A</v>
      </c>
    </row>
    <row r="1800" spans="2:22" x14ac:dyDescent="0.25">
      <c r="B1800" s="16">
        <v>1</v>
      </c>
      <c r="C1800" s="7">
        <v>0</v>
      </c>
      <c r="D1800" s="8">
        <v>1</v>
      </c>
      <c r="E1800" s="8">
        <v>0</v>
      </c>
      <c r="F1800" s="8">
        <v>0</v>
      </c>
      <c r="G1800" s="8">
        <v>0</v>
      </c>
      <c r="H1800" s="8">
        <v>0</v>
      </c>
      <c r="I1800" s="8">
        <v>0</v>
      </c>
      <c r="J1800" s="8">
        <v>1</v>
      </c>
      <c r="K1800" s="9">
        <v>1</v>
      </c>
      <c r="L1800" s="10">
        <v>1</v>
      </c>
      <c r="M1800" s="6">
        <v>0</v>
      </c>
      <c r="N1800" s="37" t="e" cm="1">
        <f t="array" ref="N1800">IF(OR(ISNUMBER(FIND(Aux!$D$3:$D$9,_xlfn.TEXTJOIN(,,C1800:K1800)))),NA(),IF(AND(SUM(C1800:F1800,H1800:K1800)=0,G1800=1),0,INT((SUMPRODUCT(C1800:F1800,COLUMN($A$1:$D$1)-1)+SUMPRODUCT(H1800:K1800,COLUMN($E$1:$H$1)-1))*'Line Follower'!$C$3/SUM(C1800:F1800,H1800:K1800)-'Line Follower'!$C$5)))</f>
        <v>#N/A</v>
      </c>
      <c r="O1800" s="22" t="e">
        <v>#N/A</v>
      </c>
      <c r="P1800" s="4" t="e">
        <f t="shared" si="140"/>
        <v>#N/A</v>
      </c>
      <c r="Q1800" s="4" t="e">
        <f t="shared" si="141"/>
        <v>#N/A</v>
      </c>
      <c r="R1800" s="4" t="e">
        <f>IF(AND(B1800=1,N1800&gt;'Line Follower'!$C$7,SUM(C1800:K1800)&lt;4),1,0)</f>
        <v>#N/A</v>
      </c>
      <c r="S1800" s="4" t="e">
        <f>IF(AND(L1800=1,N1800&lt;'Line Follower'!$C$6,SUM(C1800:K1800)&lt;4),1,0)</f>
        <v>#N/A</v>
      </c>
      <c r="T1800" s="4" t="e">
        <f t="shared" si="142"/>
        <v>#N/A</v>
      </c>
      <c r="U1800" s="5" t="e">
        <f t="shared" si="143"/>
        <v>#N/A</v>
      </c>
      <c r="V1800" s="23" t="e">
        <f t="shared" si="144"/>
        <v>#N/A</v>
      </c>
    </row>
    <row r="1801" spans="2:22" x14ac:dyDescent="0.25">
      <c r="B1801" s="16">
        <v>0</v>
      </c>
      <c r="C1801" s="7">
        <v>1</v>
      </c>
      <c r="D1801" s="8">
        <v>1</v>
      </c>
      <c r="E1801" s="8">
        <v>0</v>
      </c>
      <c r="F1801" s="8">
        <v>0</v>
      </c>
      <c r="G1801" s="8">
        <v>0</v>
      </c>
      <c r="H1801" s="8">
        <v>0</v>
      </c>
      <c r="I1801" s="8">
        <v>0</v>
      </c>
      <c r="J1801" s="8">
        <v>1</v>
      </c>
      <c r="K1801" s="9">
        <v>1</v>
      </c>
      <c r="L1801" s="10">
        <v>1</v>
      </c>
      <c r="M1801" s="6">
        <v>0</v>
      </c>
      <c r="N1801" s="37" t="e" cm="1">
        <f t="array" ref="N1801">IF(OR(ISNUMBER(FIND(Aux!$D$3:$D$9,_xlfn.TEXTJOIN(,,C1801:K1801)))),NA(),IF(AND(SUM(C1801:F1801,H1801:K1801)=0,G1801=1),0,INT((SUMPRODUCT(C1801:F1801,COLUMN($A$1:$D$1)-1)+SUMPRODUCT(H1801:K1801,COLUMN($E$1:$H$1)-1))*'Line Follower'!$C$3/SUM(C1801:F1801,H1801:K1801)-'Line Follower'!$C$5)))</f>
        <v>#N/A</v>
      </c>
      <c r="O1801" s="22" t="e">
        <v>#N/A</v>
      </c>
      <c r="P1801" s="4" t="e">
        <f t="shared" si="140"/>
        <v>#N/A</v>
      </c>
      <c r="Q1801" s="4" t="e">
        <f t="shared" si="141"/>
        <v>#N/A</v>
      </c>
      <c r="R1801" s="4" t="e">
        <f>IF(AND(B1801=1,N1801&gt;'Line Follower'!$C$7,SUM(C1801:K1801)&lt;4),1,0)</f>
        <v>#N/A</v>
      </c>
      <c r="S1801" s="4" t="e">
        <f>IF(AND(L1801=1,N1801&lt;'Line Follower'!$C$6,SUM(C1801:K1801)&lt;4),1,0)</f>
        <v>#N/A</v>
      </c>
      <c r="T1801" s="4" t="e">
        <f t="shared" si="142"/>
        <v>#N/A</v>
      </c>
      <c r="U1801" s="5" t="e">
        <f t="shared" si="143"/>
        <v>#N/A</v>
      </c>
      <c r="V1801" s="23" t="e">
        <f t="shared" si="144"/>
        <v>#N/A</v>
      </c>
    </row>
    <row r="1802" spans="2:22" x14ac:dyDescent="0.25">
      <c r="B1802" s="16">
        <v>1</v>
      </c>
      <c r="C1802" s="7">
        <v>1</v>
      </c>
      <c r="D1802" s="8">
        <v>1</v>
      </c>
      <c r="E1802" s="8">
        <v>0</v>
      </c>
      <c r="F1802" s="8">
        <v>0</v>
      </c>
      <c r="G1802" s="8">
        <v>0</v>
      </c>
      <c r="H1802" s="8">
        <v>0</v>
      </c>
      <c r="I1802" s="8">
        <v>0</v>
      </c>
      <c r="J1802" s="8">
        <v>1</v>
      </c>
      <c r="K1802" s="9">
        <v>1</v>
      </c>
      <c r="L1802" s="10">
        <v>1</v>
      </c>
      <c r="M1802" s="6">
        <v>0</v>
      </c>
      <c r="N1802" s="37" t="e" cm="1">
        <f t="array" ref="N1802">IF(OR(ISNUMBER(FIND(Aux!$D$3:$D$9,_xlfn.TEXTJOIN(,,C1802:K1802)))),NA(),IF(AND(SUM(C1802:F1802,H1802:K1802)=0,G1802=1),0,INT((SUMPRODUCT(C1802:F1802,COLUMN($A$1:$D$1)-1)+SUMPRODUCT(H1802:K1802,COLUMN($E$1:$H$1)-1))*'Line Follower'!$C$3/SUM(C1802:F1802,H1802:K1802)-'Line Follower'!$C$5)))</f>
        <v>#N/A</v>
      </c>
      <c r="O1802" s="22" t="e">
        <v>#N/A</v>
      </c>
      <c r="P1802" s="4" t="e">
        <f t="shared" si="140"/>
        <v>#N/A</v>
      </c>
      <c r="Q1802" s="4" t="e">
        <f t="shared" si="141"/>
        <v>#N/A</v>
      </c>
      <c r="R1802" s="4" t="e">
        <f>IF(AND(B1802=1,N1802&gt;'Line Follower'!$C$7,SUM(C1802:K1802)&lt;4),1,0)</f>
        <v>#N/A</v>
      </c>
      <c r="S1802" s="4" t="e">
        <f>IF(AND(L1802=1,N1802&lt;'Line Follower'!$C$6,SUM(C1802:K1802)&lt;4),1,0)</f>
        <v>#N/A</v>
      </c>
      <c r="T1802" s="4" t="e">
        <f t="shared" si="142"/>
        <v>#N/A</v>
      </c>
      <c r="U1802" s="5" t="e">
        <f t="shared" si="143"/>
        <v>#N/A</v>
      </c>
      <c r="V1802" s="23" t="e">
        <f t="shared" si="144"/>
        <v>#N/A</v>
      </c>
    </row>
    <row r="1803" spans="2:22" x14ac:dyDescent="0.25">
      <c r="B1803" s="16">
        <v>0</v>
      </c>
      <c r="C1803" s="7">
        <v>0</v>
      </c>
      <c r="D1803" s="8">
        <v>0</v>
      </c>
      <c r="E1803" s="8">
        <v>1</v>
      </c>
      <c r="F1803" s="8">
        <v>0</v>
      </c>
      <c r="G1803" s="8">
        <v>0</v>
      </c>
      <c r="H1803" s="8">
        <v>0</v>
      </c>
      <c r="I1803" s="8">
        <v>0</v>
      </c>
      <c r="J1803" s="8">
        <v>1</v>
      </c>
      <c r="K1803" s="9">
        <v>1</v>
      </c>
      <c r="L1803" s="10">
        <v>1</v>
      </c>
      <c r="M1803" s="6">
        <v>0</v>
      </c>
      <c r="N1803" s="37" t="e" cm="1">
        <f t="array" ref="N1803">IF(OR(ISNUMBER(FIND(Aux!$D$3:$D$9,_xlfn.TEXTJOIN(,,C1803:K1803)))),NA(),IF(AND(SUM(C1803:F1803,H1803:K1803)=0,G1803=1),0,INT((SUMPRODUCT(C1803:F1803,COLUMN($A$1:$D$1)-1)+SUMPRODUCT(H1803:K1803,COLUMN($E$1:$H$1)-1))*'Line Follower'!$C$3/SUM(C1803:F1803,H1803:K1803)-'Line Follower'!$C$5)))</f>
        <v>#N/A</v>
      </c>
      <c r="O1803" s="22" t="e">
        <v>#N/A</v>
      </c>
      <c r="P1803" s="4" t="e">
        <f t="shared" si="140"/>
        <v>#N/A</v>
      </c>
      <c r="Q1803" s="4" t="e">
        <f t="shared" si="141"/>
        <v>#N/A</v>
      </c>
      <c r="R1803" s="4" t="e">
        <f>IF(AND(B1803=1,N1803&gt;'Line Follower'!$C$7,SUM(C1803:K1803)&lt;4),1,0)</f>
        <v>#N/A</v>
      </c>
      <c r="S1803" s="4" t="e">
        <f>IF(AND(L1803=1,N1803&lt;'Line Follower'!$C$6,SUM(C1803:K1803)&lt;4),1,0)</f>
        <v>#N/A</v>
      </c>
      <c r="T1803" s="4" t="e">
        <f t="shared" si="142"/>
        <v>#N/A</v>
      </c>
      <c r="U1803" s="5" t="e">
        <f t="shared" si="143"/>
        <v>#N/A</v>
      </c>
      <c r="V1803" s="23" t="e">
        <f t="shared" si="144"/>
        <v>#N/A</v>
      </c>
    </row>
    <row r="1804" spans="2:22" x14ac:dyDescent="0.25">
      <c r="B1804" s="16">
        <v>1</v>
      </c>
      <c r="C1804" s="7">
        <v>0</v>
      </c>
      <c r="D1804" s="8">
        <v>0</v>
      </c>
      <c r="E1804" s="8">
        <v>1</v>
      </c>
      <c r="F1804" s="8">
        <v>0</v>
      </c>
      <c r="G1804" s="8">
        <v>0</v>
      </c>
      <c r="H1804" s="8">
        <v>0</v>
      </c>
      <c r="I1804" s="8">
        <v>0</v>
      </c>
      <c r="J1804" s="8">
        <v>1</v>
      </c>
      <c r="K1804" s="9">
        <v>1</v>
      </c>
      <c r="L1804" s="10">
        <v>1</v>
      </c>
      <c r="M1804" s="6">
        <v>0</v>
      </c>
      <c r="N1804" s="37" t="e" cm="1">
        <f t="array" ref="N1804">IF(OR(ISNUMBER(FIND(Aux!$D$3:$D$9,_xlfn.TEXTJOIN(,,C1804:K1804)))),NA(),IF(AND(SUM(C1804:F1804,H1804:K1804)=0,G1804=1),0,INT((SUMPRODUCT(C1804:F1804,COLUMN($A$1:$D$1)-1)+SUMPRODUCT(H1804:K1804,COLUMN($E$1:$H$1)-1))*'Line Follower'!$C$3/SUM(C1804:F1804,H1804:K1804)-'Line Follower'!$C$5)))</f>
        <v>#N/A</v>
      </c>
      <c r="O1804" s="22" t="e">
        <v>#N/A</v>
      </c>
      <c r="P1804" s="4" t="e">
        <f t="shared" si="140"/>
        <v>#N/A</v>
      </c>
      <c r="Q1804" s="4" t="e">
        <f t="shared" si="141"/>
        <v>#N/A</v>
      </c>
      <c r="R1804" s="4" t="e">
        <f>IF(AND(B1804=1,N1804&gt;'Line Follower'!$C$7,SUM(C1804:K1804)&lt;4),1,0)</f>
        <v>#N/A</v>
      </c>
      <c r="S1804" s="4" t="e">
        <f>IF(AND(L1804=1,N1804&lt;'Line Follower'!$C$6,SUM(C1804:K1804)&lt;4),1,0)</f>
        <v>#N/A</v>
      </c>
      <c r="T1804" s="4" t="e">
        <f t="shared" si="142"/>
        <v>#N/A</v>
      </c>
      <c r="U1804" s="5" t="e">
        <f t="shared" si="143"/>
        <v>#N/A</v>
      </c>
      <c r="V1804" s="23" t="e">
        <f t="shared" si="144"/>
        <v>#N/A</v>
      </c>
    </row>
    <row r="1805" spans="2:22" x14ac:dyDescent="0.25">
      <c r="B1805" s="16">
        <v>0</v>
      </c>
      <c r="C1805" s="7">
        <v>1</v>
      </c>
      <c r="D1805" s="8">
        <v>0</v>
      </c>
      <c r="E1805" s="8">
        <v>1</v>
      </c>
      <c r="F1805" s="8">
        <v>0</v>
      </c>
      <c r="G1805" s="8">
        <v>0</v>
      </c>
      <c r="H1805" s="8">
        <v>0</v>
      </c>
      <c r="I1805" s="8">
        <v>0</v>
      </c>
      <c r="J1805" s="8">
        <v>1</v>
      </c>
      <c r="K1805" s="9">
        <v>1</v>
      </c>
      <c r="L1805" s="10">
        <v>1</v>
      </c>
      <c r="M1805" s="6">
        <v>0</v>
      </c>
      <c r="N1805" s="37" t="e" cm="1">
        <f t="array" ref="N1805">IF(OR(ISNUMBER(FIND(Aux!$D$3:$D$9,_xlfn.TEXTJOIN(,,C1805:K1805)))),NA(),IF(AND(SUM(C1805:F1805,H1805:K1805)=0,G1805=1),0,INT((SUMPRODUCT(C1805:F1805,COLUMN($A$1:$D$1)-1)+SUMPRODUCT(H1805:K1805,COLUMN($E$1:$H$1)-1))*'Line Follower'!$C$3/SUM(C1805:F1805,H1805:K1805)-'Line Follower'!$C$5)))</f>
        <v>#N/A</v>
      </c>
      <c r="O1805" s="22" t="e">
        <v>#N/A</v>
      </c>
      <c r="P1805" s="4" t="e">
        <f t="shared" si="140"/>
        <v>#N/A</v>
      </c>
      <c r="Q1805" s="4" t="e">
        <f t="shared" si="141"/>
        <v>#N/A</v>
      </c>
      <c r="R1805" s="4" t="e">
        <f>IF(AND(B1805=1,N1805&gt;'Line Follower'!$C$7,SUM(C1805:K1805)&lt;4),1,0)</f>
        <v>#N/A</v>
      </c>
      <c r="S1805" s="4" t="e">
        <f>IF(AND(L1805=1,N1805&lt;'Line Follower'!$C$6,SUM(C1805:K1805)&lt;4),1,0)</f>
        <v>#N/A</v>
      </c>
      <c r="T1805" s="4" t="e">
        <f t="shared" si="142"/>
        <v>#N/A</v>
      </c>
      <c r="U1805" s="5" t="e">
        <f t="shared" si="143"/>
        <v>#N/A</v>
      </c>
      <c r="V1805" s="23" t="e">
        <f t="shared" si="144"/>
        <v>#N/A</v>
      </c>
    </row>
    <row r="1806" spans="2:22" x14ac:dyDescent="0.25">
      <c r="B1806" s="16">
        <v>1</v>
      </c>
      <c r="C1806" s="7">
        <v>1</v>
      </c>
      <c r="D1806" s="8">
        <v>0</v>
      </c>
      <c r="E1806" s="8">
        <v>1</v>
      </c>
      <c r="F1806" s="8">
        <v>0</v>
      </c>
      <c r="G1806" s="8">
        <v>0</v>
      </c>
      <c r="H1806" s="8">
        <v>0</v>
      </c>
      <c r="I1806" s="8">
        <v>0</v>
      </c>
      <c r="J1806" s="8">
        <v>1</v>
      </c>
      <c r="K1806" s="9">
        <v>1</v>
      </c>
      <c r="L1806" s="10">
        <v>1</v>
      </c>
      <c r="M1806" s="6">
        <v>0</v>
      </c>
      <c r="N1806" s="37" t="e" cm="1">
        <f t="array" ref="N1806">IF(OR(ISNUMBER(FIND(Aux!$D$3:$D$9,_xlfn.TEXTJOIN(,,C1806:K1806)))),NA(),IF(AND(SUM(C1806:F1806,H1806:K1806)=0,G1806=1),0,INT((SUMPRODUCT(C1806:F1806,COLUMN($A$1:$D$1)-1)+SUMPRODUCT(H1806:K1806,COLUMN($E$1:$H$1)-1))*'Line Follower'!$C$3/SUM(C1806:F1806,H1806:K1806)-'Line Follower'!$C$5)))</f>
        <v>#N/A</v>
      </c>
      <c r="O1806" s="22" t="e">
        <v>#N/A</v>
      </c>
      <c r="P1806" s="4" t="e">
        <f t="shared" si="140"/>
        <v>#N/A</v>
      </c>
      <c r="Q1806" s="4" t="e">
        <f t="shared" si="141"/>
        <v>#N/A</v>
      </c>
      <c r="R1806" s="4" t="e">
        <f>IF(AND(B1806=1,N1806&gt;'Line Follower'!$C$7,SUM(C1806:K1806)&lt;4),1,0)</f>
        <v>#N/A</v>
      </c>
      <c r="S1806" s="4" t="e">
        <f>IF(AND(L1806=1,N1806&lt;'Line Follower'!$C$6,SUM(C1806:K1806)&lt;4),1,0)</f>
        <v>#N/A</v>
      </c>
      <c r="T1806" s="4" t="e">
        <f t="shared" si="142"/>
        <v>#N/A</v>
      </c>
      <c r="U1806" s="5" t="e">
        <f t="shared" si="143"/>
        <v>#N/A</v>
      </c>
      <c r="V1806" s="23" t="e">
        <f t="shared" si="144"/>
        <v>#N/A</v>
      </c>
    </row>
    <row r="1807" spans="2:22" x14ac:dyDescent="0.25">
      <c r="B1807" s="16">
        <v>0</v>
      </c>
      <c r="C1807" s="7">
        <v>0</v>
      </c>
      <c r="D1807" s="8">
        <v>1</v>
      </c>
      <c r="E1807" s="8">
        <v>1</v>
      </c>
      <c r="F1807" s="8">
        <v>0</v>
      </c>
      <c r="G1807" s="8">
        <v>0</v>
      </c>
      <c r="H1807" s="8">
        <v>0</v>
      </c>
      <c r="I1807" s="8">
        <v>0</v>
      </c>
      <c r="J1807" s="8">
        <v>1</v>
      </c>
      <c r="K1807" s="9">
        <v>1</v>
      </c>
      <c r="L1807" s="10">
        <v>1</v>
      </c>
      <c r="M1807" s="6">
        <v>0</v>
      </c>
      <c r="N1807" s="37" t="e" cm="1">
        <f t="array" ref="N1807">IF(OR(ISNUMBER(FIND(Aux!$D$3:$D$9,_xlfn.TEXTJOIN(,,C1807:K1807)))),NA(),IF(AND(SUM(C1807:F1807,H1807:K1807)=0,G1807=1),0,INT((SUMPRODUCT(C1807:F1807,COLUMN($A$1:$D$1)-1)+SUMPRODUCT(H1807:K1807,COLUMN($E$1:$H$1)-1))*'Line Follower'!$C$3/SUM(C1807:F1807,H1807:K1807)-'Line Follower'!$C$5)))</f>
        <v>#N/A</v>
      </c>
      <c r="O1807" s="22" t="e">
        <v>#N/A</v>
      </c>
      <c r="P1807" s="4" t="e">
        <f t="shared" si="140"/>
        <v>#N/A</v>
      </c>
      <c r="Q1807" s="4" t="e">
        <f t="shared" si="141"/>
        <v>#N/A</v>
      </c>
      <c r="R1807" s="4" t="e">
        <f>IF(AND(B1807=1,N1807&gt;'Line Follower'!$C$7,SUM(C1807:K1807)&lt;4),1,0)</f>
        <v>#N/A</v>
      </c>
      <c r="S1807" s="4" t="e">
        <f>IF(AND(L1807=1,N1807&lt;'Line Follower'!$C$6,SUM(C1807:K1807)&lt;4),1,0)</f>
        <v>#N/A</v>
      </c>
      <c r="T1807" s="4" t="e">
        <f t="shared" si="142"/>
        <v>#N/A</v>
      </c>
      <c r="U1807" s="5" t="e">
        <f t="shared" si="143"/>
        <v>#N/A</v>
      </c>
      <c r="V1807" s="23" t="e">
        <f t="shared" si="144"/>
        <v>#N/A</v>
      </c>
    </row>
    <row r="1808" spans="2:22" x14ac:dyDescent="0.25">
      <c r="B1808" s="16">
        <v>1</v>
      </c>
      <c r="C1808" s="7">
        <v>0</v>
      </c>
      <c r="D1808" s="8">
        <v>1</v>
      </c>
      <c r="E1808" s="8">
        <v>1</v>
      </c>
      <c r="F1808" s="8">
        <v>0</v>
      </c>
      <c r="G1808" s="8">
        <v>0</v>
      </c>
      <c r="H1808" s="8">
        <v>0</v>
      </c>
      <c r="I1808" s="8">
        <v>0</v>
      </c>
      <c r="J1808" s="8">
        <v>1</v>
      </c>
      <c r="K1808" s="9">
        <v>1</v>
      </c>
      <c r="L1808" s="10">
        <v>1</v>
      </c>
      <c r="M1808" s="6">
        <v>0</v>
      </c>
      <c r="N1808" s="37" t="e" cm="1">
        <f t="array" ref="N1808">IF(OR(ISNUMBER(FIND(Aux!$D$3:$D$9,_xlfn.TEXTJOIN(,,C1808:K1808)))),NA(),IF(AND(SUM(C1808:F1808,H1808:K1808)=0,G1808=1),0,INT((SUMPRODUCT(C1808:F1808,COLUMN($A$1:$D$1)-1)+SUMPRODUCT(H1808:K1808,COLUMN($E$1:$H$1)-1))*'Line Follower'!$C$3/SUM(C1808:F1808,H1808:K1808)-'Line Follower'!$C$5)))</f>
        <v>#N/A</v>
      </c>
      <c r="O1808" s="22" t="e">
        <v>#N/A</v>
      </c>
      <c r="P1808" s="4" t="e">
        <f t="shared" si="140"/>
        <v>#N/A</v>
      </c>
      <c r="Q1808" s="4" t="e">
        <f t="shared" si="141"/>
        <v>#N/A</v>
      </c>
      <c r="R1808" s="4" t="e">
        <f>IF(AND(B1808=1,N1808&gt;'Line Follower'!$C$7,SUM(C1808:K1808)&lt;4),1,0)</f>
        <v>#N/A</v>
      </c>
      <c r="S1808" s="4" t="e">
        <f>IF(AND(L1808=1,N1808&lt;'Line Follower'!$C$6,SUM(C1808:K1808)&lt;4),1,0)</f>
        <v>#N/A</v>
      </c>
      <c r="T1808" s="4" t="e">
        <f t="shared" si="142"/>
        <v>#N/A</v>
      </c>
      <c r="U1808" s="5" t="e">
        <f t="shared" si="143"/>
        <v>#N/A</v>
      </c>
      <c r="V1808" s="23" t="e">
        <f t="shared" si="144"/>
        <v>#N/A</v>
      </c>
    </row>
    <row r="1809" spans="2:22" x14ac:dyDescent="0.25">
      <c r="B1809" s="16">
        <v>0</v>
      </c>
      <c r="C1809" s="7">
        <v>1</v>
      </c>
      <c r="D1809" s="8">
        <v>1</v>
      </c>
      <c r="E1809" s="8">
        <v>1</v>
      </c>
      <c r="F1809" s="8">
        <v>0</v>
      </c>
      <c r="G1809" s="8">
        <v>0</v>
      </c>
      <c r="H1809" s="8">
        <v>0</v>
      </c>
      <c r="I1809" s="8">
        <v>0</v>
      </c>
      <c r="J1809" s="8">
        <v>1</v>
      </c>
      <c r="K1809" s="9">
        <v>1</v>
      </c>
      <c r="L1809" s="10">
        <v>1</v>
      </c>
      <c r="M1809" s="6">
        <v>0</v>
      </c>
      <c r="N1809" s="37" t="e" cm="1">
        <f t="array" ref="N1809">IF(OR(ISNUMBER(FIND(Aux!$D$3:$D$9,_xlfn.TEXTJOIN(,,C1809:K1809)))),NA(),IF(AND(SUM(C1809:F1809,H1809:K1809)=0,G1809=1),0,INT((SUMPRODUCT(C1809:F1809,COLUMN($A$1:$D$1)-1)+SUMPRODUCT(H1809:K1809,COLUMN($E$1:$H$1)-1))*'Line Follower'!$C$3/SUM(C1809:F1809,H1809:K1809)-'Line Follower'!$C$5)))</f>
        <v>#N/A</v>
      </c>
      <c r="O1809" s="22" t="e">
        <v>#N/A</v>
      </c>
      <c r="P1809" s="4" t="e">
        <f t="shared" si="140"/>
        <v>#N/A</v>
      </c>
      <c r="Q1809" s="4" t="e">
        <f t="shared" si="141"/>
        <v>#N/A</v>
      </c>
      <c r="R1809" s="4" t="e">
        <f>IF(AND(B1809=1,N1809&gt;'Line Follower'!$C$7,SUM(C1809:K1809)&lt;4),1,0)</f>
        <v>#N/A</v>
      </c>
      <c r="S1809" s="4" t="e">
        <f>IF(AND(L1809=1,N1809&lt;'Line Follower'!$C$6,SUM(C1809:K1809)&lt;4),1,0)</f>
        <v>#N/A</v>
      </c>
      <c r="T1809" s="4" t="e">
        <f t="shared" si="142"/>
        <v>#N/A</v>
      </c>
      <c r="U1809" s="5" t="e">
        <f t="shared" si="143"/>
        <v>#N/A</v>
      </c>
      <c r="V1809" s="23" t="e">
        <f t="shared" si="144"/>
        <v>#N/A</v>
      </c>
    </row>
    <row r="1810" spans="2:22" x14ac:dyDescent="0.25">
      <c r="B1810" s="16">
        <v>1</v>
      </c>
      <c r="C1810" s="7">
        <v>1</v>
      </c>
      <c r="D1810" s="8">
        <v>1</v>
      </c>
      <c r="E1810" s="8">
        <v>1</v>
      </c>
      <c r="F1810" s="8">
        <v>0</v>
      </c>
      <c r="G1810" s="8">
        <v>0</v>
      </c>
      <c r="H1810" s="8">
        <v>0</v>
      </c>
      <c r="I1810" s="8">
        <v>0</v>
      </c>
      <c r="J1810" s="8">
        <v>1</v>
      </c>
      <c r="K1810" s="9">
        <v>1</v>
      </c>
      <c r="L1810" s="10">
        <v>1</v>
      </c>
      <c r="M1810" s="6">
        <v>0</v>
      </c>
      <c r="N1810" s="37" t="e" cm="1">
        <f t="array" ref="N1810">IF(OR(ISNUMBER(FIND(Aux!$D$3:$D$9,_xlfn.TEXTJOIN(,,C1810:K1810)))),NA(),IF(AND(SUM(C1810:F1810,H1810:K1810)=0,G1810=1),0,INT((SUMPRODUCT(C1810:F1810,COLUMN($A$1:$D$1)-1)+SUMPRODUCT(H1810:K1810,COLUMN($E$1:$H$1)-1))*'Line Follower'!$C$3/SUM(C1810:F1810,H1810:K1810)-'Line Follower'!$C$5)))</f>
        <v>#N/A</v>
      </c>
      <c r="O1810" s="22" t="e">
        <v>#N/A</v>
      </c>
      <c r="P1810" s="4" t="e">
        <f t="shared" si="140"/>
        <v>#N/A</v>
      </c>
      <c r="Q1810" s="4" t="e">
        <f t="shared" si="141"/>
        <v>#N/A</v>
      </c>
      <c r="R1810" s="4" t="e">
        <f>IF(AND(B1810=1,N1810&gt;'Line Follower'!$C$7,SUM(C1810:K1810)&lt;4),1,0)</f>
        <v>#N/A</v>
      </c>
      <c r="S1810" s="4" t="e">
        <f>IF(AND(L1810=1,N1810&lt;'Line Follower'!$C$6,SUM(C1810:K1810)&lt;4),1,0)</f>
        <v>#N/A</v>
      </c>
      <c r="T1810" s="4" t="e">
        <f t="shared" si="142"/>
        <v>#N/A</v>
      </c>
      <c r="U1810" s="5" t="e">
        <f t="shared" si="143"/>
        <v>#N/A</v>
      </c>
      <c r="V1810" s="23" t="e">
        <f t="shared" si="144"/>
        <v>#N/A</v>
      </c>
    </row>
    <row r="1811" spans="2:22" x14ac:dyDescent="0.25">
      <c r="B1811" s="16">
        <v>0</v>
      </c>
      <c r="C1811" s="7">
        <v>0</v>
      </c>
      <c r="D1811" s="8">
        <v>0</v>
      </c>
      <c r="E1811" s="8">
        <v>0</v>
      </c>
      <c r="F1811" s="8">
        <v>1</v>
      </c>
      <c r="G1811" s="8">
        <v>0</v>
      </c>
      <c r="H1811" s="8">
        <v>0</v>
      </c>
      <c r="I1811" s="8">
        <v>0</v>
      </c>
      <c r="J1811" s="8">
        <v>1</v>
      </c>
      <c r="K1811" s="9">
        <v>1</v>
      </c>
      <c r="L1811" s="10">
        <v>1</v>
      </c>
      <c r="M1811" s="6">
        <v>0</v>
      </c>
      <c r="N1811" s="37" t="e" cm="1">
        <f t="array" ref="N1811">IF(OR(ISNUMBER(FIND(Aux!$D$3:$D$9,_xlfn.TEXTJOIN(,,C1811:K1811)))),NA(),IF(AND(SUM(C1811:F1811,H1811:K1811)=0,G1811=1),0,INT((SUMPRODUCT(C1811:F1811,COLUMN($A$1:$D$1)-1)+SUMPRODUCT(H1811:K1811,COLUMN($E$1:$H$1)-1))*'Line Follower'!$C$3/SUM(C1811:F1811,H1811:K1811)-'Line Follower'!$C$5)))</f>
        <v>#N/A</v>
      </c>
      <c r="O1811" s="22" t="e">
        <v>#N/A</v>
      </c>
      <c r="P1811" s="4" t="e">
        <f t="shared" si="140"/>
        <v>#N/A</v>
      </c>
      <c r="Q1811" s="4" t="e">
        <f t="shared" si="141"/>
        <v>#N/A</v>
      </c>
      <c r="R1811" s="4" t="e">
        <f>IF(AND(B1811=1,N1811&gt;'Line Follower'!$C$7,SUM(C1811:K1811)&lt;4),1,0)</f>
        <v>#N/A</v>
      </c>
      <c r="S1811" s="4" t="e">
        <f>IF(AND(L1811=1,N1811&lt;'Line Follower'!$C$6,SUM(C1811:K1811)&lt;4),1,0)</f>
        <v>#N/A</v>
      </c>
      <c r="T1811" s="4" t="e">
        <f t="shared" si="142"/>
        <v>#N/A</v>
      </c>
      <c r="U1811" s="5" t="e">
        <f t="shared" si="143"/>
        <v>#N/A</v>
      </c>
      <c r="V1811" s="23" t="e">
        <f t="shared" si="144"/>
        <v>#N/A</v>
      </c>
    </row>
    <row r="1812" spans="2:22" x14ac:dyDescent="0.25">
      <c r="B1812" s="16">
        <v>1</v>
      </c>
      <c r="C1812" s="7">
        <v>0</v>
      </c>
      <c r="D1812" s="8">
        <v>0</v>
      </c>
      <c r="E1812" s="8">
        <v>0</v>
      </c>
      <c r="F1812" s="8">
        <v>1</v>
      </c>
      <c r="G1812" s="8">
        <v>0</v>
      </c>
      <c r="H1812" s="8">
        <v>0</v>
      </c>
      <c r="I1812" s="8">
        <v>0</v>
      </c>
      <c r="J1812" s="8">
        <v>1</v>
      </c>
      <c r="K1812" s="9">
        <v>1</v>
      </c>
      <c r="L1812" s="10">
        <v>1</v>
      </c>
      <c r="M1812" s="6">
        <v>0</v>
      </c>
      <c r="N1812" s="37" t="e" cm="1">
        <f t="array" ref="N1812">IF(OR(ISNUMBER(FIND(Aux!$D$3:$D$9,_xlfn.TEXTJOIN(,,C1812:K1812)))),NA(),IF(AND(SUM(C1812:F1812,H1812:K1812)=0,G1812=1),0,INT((SUMPRODUCT(C1812:F1812,COLUMN($A$1:$D$1)-1)+SUMPRODUCT(H1812:K1812,COLUMN($E$1:$H$1)-1))*'Line Follower'!$C$3/SUM(C1812:F1812,H1812:K1812)-'Line Follower'!$C$5)))</f>
        <v>#N/A</v>
      </c>
      <c r="O1812" s="22" t="e">
        <v>#N/A</v>
      </c>
      <c r="P1812" s="4" t="e">
        <f t="shared" si="140"/>
        <v>#N/A</v>
      </c>
      <c r="Q1812" s="4" t="e">
        <f t="shared" si="141"/>
        <v>#N/A</v>
      </c>
      <c r="R1812" s="4" t="e">
        <f>IF(AND(B1812=1,N1812&gt;'Line Follower'!$C$7,SUM(C1812:K1812)&lt;4),1,0)</f>
        <v>#N/A</v>
      </c>
      <c r="S1812" s="4" t="e">
        <f>IF(AND(L1812=1,N1812&lt;'Line Follower'!$C$6,SUM(C1812:K1812)&lt;4),1,0)</f>
        <v>#N/A</v>
      </c>
      <c r="T1812" s="4" t="e">
        <f t="shared" si="142"/>
        <v>#N/A</v>
      </c>
      <c r="U1812" s="5" t="e">
        <f t="shared" si="143"/>
        <v>#N/A</v>
      </c>
      <c r="V1812" s="23" t="e">
        <f t="shared" si="144"/>
        <v>#N/A</v>
      </c>
    </row>
    <row r="1813" spans="2:22" x14ac:dyDescent="0.25">
      <c r="B1813" s="16">
        <v>0</v>
      </c>
      <c r="C1813" s="7">
        <v>1</v>
      </c>
      <c r="D1813" s="8">
        <v>0</v>
      </c>
      <c r="E1813" s="8">
        <v>0</v>
      </c>
      <c r="F1813" s="8">
        <v>1</v>
      </c>
      <c r="G1813" s="8">
        <v>0</v>
      </c>
      <c r="H1813" s="8">
        <v>0</v>
      </c>
      <c r="I1813" s="8">
        <v>0</v>
      </c>
      <c r="J1813" s="8">
        <v>1</v>
      </c>
      <c r="K1813" s="9">
        <v>1</v>
      </c>
      <c r="L1813" s="10">
        <v>1</v>
      </c>
      <c r="M1813" s="6">
        <v>0</v>
      </c>
      <c r="N1813" s="37" t="e" cm="1">
        <f t="array" ref="N1813">IF(OR(ISNUMBER(FIND(Aux!$D$3:$D$9,_xlfn.TEXTJOIN(,,C1813:K1813)))),NA(),IF(AND(SUM(C1813:F1813,H1813:K1813)=0,G1813=1),0,INT((SUMPRODUCT(C1813:F1813,COLUMN($A$1:$D$1)-1)+SUMPRODUCT(H1813:K1813,COLUMN($E$1:$H$1)-1))*'Line Follower'!$C$3/SUM(C1813:F1813,H1813:K1813)-'Line Follower'!$C$5)))</f>
        <v>#N/A</v>
      </c>
      <c r="O1813" s="22" t="e">
        <v>#N/A</v>
      </c>
      <c r="P1813" s="4" t="e">
        <f t="shared" si="140"/>
        <v>#N/A</v>
      </c>
      <c r="Q1813" s="4" t="e">
        <f t="shared" si="141"/>
        <v>#N/A</v>
      </c>
      <c r="R1813" s="4" t="e">
        <f>IF(AND(B1813=1,N1813&gt;'Line Follower'!$C$7,SUM(C1813:K1813)&lt;4),1,0)</f>
        <v>#N/A</v>
      </c>
      <c r="S1813" s="4" t="e">
        <f>IF(AND(L1813=1,N1813&lt;'Line Follower'!$C$6,SUM(C1813:K1813)&lt;4),1,0)</f>
        <v>#N/A</v>
      </c>
      <c r="T1813" s="4" t="e">
        <f t="shared" si="142"/>
        <v>#N/A</v>
      </c>
      <c r="U1813" s="5" t="e">
        <f t="shared" si="143"/>
        <v>#N/A</v>
      </c>
      <c r="V1813" s="23" t="e">
        <f t="shared" si="144"/>
        <v>#N/A</v>
      </c>
    </row>
    <row r="1814" spans="2:22" x14ac:dyDescent="0.25">
      <c r="B1814" s="16">
        <v>1</v>
      </c>
      <c r="C1814" s="7">
        <v>1</v>
      </c>
      <c r="D1814" s="8">
        <v>0</v>
      </c>
      <c r="E1814" s="8">
        <v>0</v>
      </c>
      <c r="F1814" s="8">
        <v>1</v>
      </c>
      <c r="G1814" s="8">
        <v>0</v>
      </c>
      <c r="H1814" s="8">
        <v>0</v>
      </c>
      <c r="I1814" s="8">
        <v>0</v>
      </c>
      <c r="J1814" s="8">
        <v>1</v>
      </c>
      <c r="K1814" s="9">
        <v>1</v>
      </c>
      <c r="L1814" s="10">
        <v>1</v>
      </c>
      <c r="M1814" s="6">
        <v>0</v>
      </c>
      <c r="N1814" s="37" t="e" cm="1">
        <f t="array" ref="N1814">IF(OR(ISNUMBER(FIND(Aux!$D$3:$D$9,_xlfn.TEXTJOIN(,,C1814:K1814)))),NA(),IF(AND(SUM(C1814:F1814,H1814:K1814)=0,G1814=1),0,INT((SUMPRODUCT(C1814:F1814,COLUMN($A$1:$D$1)-1)+SUMPRODUCT(H1814:K1814,COLUMN($E$1:$H$1)-1))*'Line Follower'!$C$3/SUM(C1814:F1814,H1814:K1814)-'Line Follower'!$C$5)))</f>
        <v>#N/A</v>
      </c>
      <c r="O1814" s="22" t="e">
        <v>#N/A</v>
      </c>
      <c r="P1814" s="4" t="e">
        <f t="shared" si="140"/>
        <v>#N/A</v>
      </c>
      <c r="Q1814" s="4" t="e">
        <f t="shared" si="141"/>
        <v>#N/A</v>
      </c>
      <c r="R1814" s="4" t="e">
        <f>IF(AND(B1814=1,N1814&gt;'Line Follower'!$C$7,SUM(C1814:K1814)&lt;4),1,0)</f>
        <v>#N/A</v>
      </c>
      <c r="S1814" s="4" t="e">
        <f>IF(AND(L1814=1,N1814&lt;'Line Follower'!$C$6,SUM(C1814:K1814)&lt;4),1,0)</f>
        <v>#N/A</v>
      </c>
      <c r="T1814" s="4" t="e">
        <f t="shared" si="142"/>
        <v>#N/A</v>
      </c>
      <c r="U1814" s="5" t="e">
        <f t="shared" si="143"/>
        <v>#N/A</v>
      </c>
      <c r="V1814" s="23" t="e">
        <f t="shared" si="144"/>
        <v>#N/A</v>
      </c>
    </row>
    <row r="1815" spans="2:22" x14ac:dyDescent="0.25">
      <c r="B1815" s="16">
        <v>0</v>
      </c>
      <c r="C1815" s="7">
        <v>0</v>
      </c>
      <c r="D1815" s="8">
        <v>1</v>
      </c>
      <c r="E1815" s="8">
        <v>0</v>
      </c>
      <c r="F1815" s="8">
        <v>1</v>
      </c>
      <c r="G1815" s="8">
        <v>0</v>
      </c>
      <c r="H1815" s="8">
        <v>0</v>
      </c>
      <c r="I1815" s="8">
        <v>0</v>
      </c>
      <c r="J1815" s="8">
        <v>1</v>
      </c>
      <c r="K1815" s="9">
        <v>1</v>
      </c>
      <c r="L1815" s="10">
        <v>1</v>
      </c>
      <c r="M1815" s="6">
        <v>0</v>
      </c>
      <c r="N1815" s="37" t="e" cm="1">
        <f t="array" ref="N1815">IF(OR(ISNUMBER(FIND(Aux!$D$3:$D$9,_xlfn.TEXTJOIN(,,C1815:K1815)))),NA(),IF(AND(SUM(C1815:F1815,H1815:K1815)=0,G1815=1),0,INT((SUMPRODUCT(C1815:F1815,COLUMN($A$1:$D$1)-1)+SUMPRODUCT(H1815:K1815,COLUMN($E$1:$H$1)-1))*'Line Follower'!$C$3/SUM(C1815:F1815,H1815:K1815)-'Line Follower'!$C$5)))</f>
        <v>#N/A</v>
      </c>
      <c r="O1815" s="22" t="e">
        <v>#N/A</v>
      </c>
      <c r="P1815" s="4" t="e">
        <f t="shared" si="140"/>
        <v>#N/A</v>
      </c>
      <c r="Q1815" s="4" t="e">
        <f t="shared" si="141"/>
        <v>#N/A</v>
      </c>
      <c r="R1815" s="4" t="e">
        <f>IF(AND(B1815=1,N1815&gt;'Line Follower'!$C$7,SUM(C1815:K1815)&lt;4),1,0)</f>
        <v>#N/A</v>
      </c>
      <c r="S1815" s="4" t="e">
        <f>IF(AND(L1815=1,N1815&lt;'Line Follower'!$C$6,SUM(C1815:K1815)&lt;4),1,0)</f>
        <v>#N/A</v>
      </c>
      <c r="T1815" s="4" t="e">
        <f t="shared" si="142"/>
        <v>#N/A</v>
      </c>
      <c r="U1815" s="5" t="e">
        <f t="shared" si="143"/>
        <v>#N/A</v>
      </c>
      <c r="V1815" s="23" t="e">
        <f t="shared" si="144"/>
        <v>#N/A</v>
      </c>
    </row>
    <row r="1816" spans="2:22" x14ac:dyDescent="0.25">
      <c r="B1816" s="16">
        <v>1</v>
      </c>
      <c r="C1816" s="7">
        <v>0</v>
      </c>
      <c r="D1816" s="8">
        <v>1</v>
      </c>
      <c r="E1816" s="8">
        <v>0</v>
      </c>
      <c r="F1816" s="8">
        <v>1</v>
      </c>
      <c r="G1816" s="8">
        <v>0</v>
      </c>
      <c r="H1816" s="8">
        <v>0</v>
      </c>
      <c r="I1816" s="8">
        <v>0</v>
      </c>
      <c r="J1816" s="8">
        <v>1</v>
      </c>
      <c r="K1816" s="9">
        <v>1</v>
      </c>
      <c r="L1816" s="10">
        <v>1</v>
      </c>
      <c r="M1816" s="6">
        <v>0</v>
      </c>
      <c r="N1816" s="37" t="e" cm="1">
        <f t="array" ref="N1816">IF(OR(ISNUMBER(FIND(Aux!$D$3:$D$9,_xlfn.TEXTJOIN(,,C1816:K1816)))),NA(),IF(AND(SUM(C1816:F1816,H1816:K1816)=0,G1816=1),0,INT((SUMPRODUCT(C1816:F1816,COLUMN($A$1:$D$1)-1)+SUMPRODUCT(H1816:K1816,COLUMN($E$1:$H$1)-1))*'Line Follower'!$C$3/SUM(C1816:F1816,H1816:K1816)-'Line Follower'!$C$5)))</f>
        <v>#N/A</v>
      </c>
      <c r="O1816" s="22" t="e">
        <v>#N/A</v>
      </c>
      <c r="P1816" s="4" t="e">
        <f t="shared" si="140"/>
        <v>#N/A</v>
      </c>
      <c r="Q1816" s="4" t="e">
        <f t="shared" si="141"/>
        <v>#N/A</v>
      </c>
      <c r="R1816" s="4" t="e">
        <f>IF(AND(B1816=1,N1816&gt;'Line Follower'!$C$7,SUM(C1816:K1816)&lt;4),1,0)</f>
        <v>#N/A</v>
      </c>
      <c r="S1816" s="4" t="e">
        <f>IF(AND(L1816=1,N1816&lt;'Line Follower'!$C$6,SUM(C1816:K1816)&lt;4),1,0)</f>
        <v>#N/A</v>
      </c>
      <c r="T1816" s="4" t="e">
        <f t="shared" si="142"/>
        <v>#N/A</v>
      </c>
      <c r="U1816" s="5" t="e">
        <f t="shared" si="143"/>
        <v>#N/A</v>
      </c>
      <c r="V1816" s="23" t="e">
        <f t="shared" si="144"/>
        <v>#N/A</v>
      </c>
    </row>
    <row r="1817" spans="2:22" x14ac:dyDescent="0.25">
      <c r="B1817" s="16">
        <v>0</v>
      </c>
      <c r="C1817" s="7">
        <v>1</v>
      </c>
      <c r="D1817" s="8">
        <v>1</v>
      </c>
      <c r="E1817" s="8">
        <v>0</v>
      </c>
      <c r="F1817" s="8">
        <v>1</v>
      </c>
      <c r="G1817" s="8">
        <v>0</v>
      </c>
      <c r="H1817" s="8">
        <v>0</v>
      </c>
      <c r="I1817" s="8">
        <v>0</v>
      </c>
      <c r="J1817" s="8">
        <v>1</v>
      </c>
      <c r="K1817" s="9">
        <v>1</v>
      </c>
      <c r="L1817" s="10">
        <v>1</v>
      </c>
      <c r="M1817" s="6">
        <v>0</v>
      </c>
      <c r="N1817" s="37" t="e" cm="1">
        <f t="array" ref="N1817">IF(OR(ISNUMBER(FIND(Aux!$D$3:$D$9,_xlfn.TEXTJOIN(,,C1817:K1817)))),NA(),IF(AND(SUM(C1817:F1817,H1817:K1817)=0,G1817=1),0,INT((SUMPRODUCT(C1817:F1817,COLUMN($A$1:$D$1)-1)+SUMPRODUCT(H1817:K1817,COLUMN($E$1:$H$1)-1))*'Line Follower'!$C$3/SUM(C1817:F1817,H1817:K1817)-'Line Follower'!$C$5)))</f>
        <v>#N/A</v>
      </c>
      <c r="O1817" s="22" t="e">
        <v>#N/A</v>
      </c>
      <c r="P1817" s="4" t="e">
        <f t="shared" si="140"/>
        <v>#N/A</v>
      </c>
      <c r="Q1817" s="4" t="e">
        <f t="shared" si="141"/>
        <v>#N/A</v>
      </c>
      <c r="R1817" s="4" t="e">
        <f>IF(AND(B1817=1,N1817&gt;'Line Follower'!$C$7,SUM(C1817:K1817)&lt;4),1,0)</f>
        <v>#N/A</v>
      </c>
      <c r="S1817" s="4" t="e">
        <f>IF(AND(L1817=1,N1817&lt;'Line Follower'!$C$6,SUM(C1817:K1817)&lt;4),1,0)</f>
        <v>#N/A</v>
      </c>
      <c r="T1817" s="4" t="e">
        <f t="shared" si="142"/>
        <v>#N/A</v>
      </c>
      <c r="U1817" s="5" t="e">
        <f t="shared" si="143"/>
        <v>#N/A</v>
      </c>
      <c r="V1817" s="23" t="e">
        <f t="shared" si="144"/>
        <v>#N/A</v>
      </c>
    </row>
    <row r="1818" spans="2:22" x14ac:dyDescent="0.25">
      <c r="B1818" s="16">
        <v>1</v>
      </c>
      <c r="C1818" s="7">
        <v>1</v>
      </c>
      <c r="D1818" s="8">
        <v>1</v>
      </c>
      <c r="E1818" s="8">
        <v>0</v>
      </c>
      <c r="F1818" s="8">
        <v>1</v>
      </c>
      <c r="G1818" s="8">
        <v>0</v>
      </c>
      <c r="H1818" s="8">
        <v>0</v>
      </c>
      <c r="I1818" s="8">
        <v>0</v>
      </c>
      <c r="J1818" s="8">
        <v>1</v>
      </c>
      <c r="K1818" s="9">
        <v>1</v>
      </c>
      <c r="L1818" s="10">
        <v>1</v>
      </c>
      <c r="M1818" s="6">
        <v>0</v>
      </c>
      <c r="N1818" s="37" t="e" cm="1">
        <f t="array" ref="N1818">IF(OR(ISNUMBER(FIND(Aux!$D$3:$D$9,_xlfn.TEXTJOIN(,,C1818:K1818)))),NA(),IF(AND(SUM(C1818:F1818,H1818:K1818)=0,G1818=1),0,INT((SUMPRODUCT(C1818:F1818,COLUMN($A$1:$D$1)-1)+SUMPRODUCT(H1818:K1818,COLUMN($E$1:$H$1)-1))*'Line Follower'!$C$3/SUM(C1818:F1818,H1818:K1818)-'Line Follower'!$C$5)))</f>
        <v>#N/A</v>
      </c>
      <c r="O1818" s="22" t="e">
        <v>#N/A</v>
      </c>
      <c r="P1818" s="4" t="e">
        <f t="shared" si="140"/>
        <v>#N/A</v>
      </c>
      <c r="Q1818" s="4" t="e">
        <f t="shared" si="141"/>
        <v>#N/A</v>
      </c>
      <c r="R1818" s="4" t="e">
        <f>IF(AND(B1818=1,N1818&gt;'Line Follower'!$C$7,SUM(C1818:K1818)&lt;4),1,0)</f>
        <v>#N/A</v>
      </c>
      <c r="S1818" s="4" t="e">
        <f>IF(AND(L1818=1,N1818&lt;'Line Follower'!$C$6,SUM(C1818:K1818)&lt;4),1,0)</f>
        <v>#N/A</v>
      </c>
      <c r="T1818" s="4" t="e">
        <f t="shared" si="142"/>
        <v>#N/A</v>
      </c>
      <c r="U1818" s="5" t="e">
        <f t="shared" si="143"/>
        <v>#N/A</v>
      </c>
      <c r="V1818" s="23" t="e">
        <f t="shared" si="144"/>
        <v>#N/A</v>
      </c>
    </row>
    <row r="1819" spans="2:22" x14ac:dyDescent="0.25">
      <c r="B1819" s="16">
        <v>0</v>
      </c>
      <c r="C1819" s="7">
        <v>0</v>
      </c>
      <c r="D1819" s="8">
        <v>0</v>
      </c>
      <c r="E1819" s="8">
        <v>1</v>
      </c>
      <c r="F1819" s="8">
        <v>1</v>
      </c>
      <c r="G1819" s="8">
        <v>0</v>
      </c>
      <c r="H1819" s="8">
        <v>0</v>
      </c>
      <c r="I1819" s="8">
        <v>0</v>
      </c>
      <c r="J1819" s="8">
        <v>1</v>
      </c>
      <c r="K1819" s="9">
        <v>1</v>
      </c>
      <c r="L1819" s="10">
        <v>1</v>
      </c>
      <c r="M1819" s="6">
        <v>0</v>
      </c>
      <c r="N1819" s="37" t="e" cm="1">
        <f t="array" ref="N1819">IF(OR(ISNUMBER(FIND(Aux!$D$3:$D$9,_xlfn.TEXTJOIN(,,C1819:K1819)))),NA(),IF(AND(SUM(C1819:F1819,H1819:K1819)=0,G1819=1),0,INT((SUMPRODUCT(C1819:F1819,COLUMN($A$1:$D$1)-1)+SUMPRODUCT(H1819:K1819,COLUMN($E$1:$H$1)-1))*'Line Follower'!$C$3/SUM(C1819:F1819,H1819:K1819)-'Line Follower'!$C$5)))</f>
        <v>#N/A</v>
      </c>
      <c r="O1819" s="22" t="e">
        <v>#N/A</v>
      </c>
      <c r="P1819" s="4" t="e">
        <f t="shared" si="140"/>
        <v>#N/A</v>
      </c>
      <c r="Q1819" s="4" t="e">
        <f t="shared" si="141"/>
        <v>#N/A</v>
      </c>
      <c r="R1819" s="4" t="e">
        <f>IF(AND(B1819=1,N1819&gt;'Line Follower'!$C$7,SUM(C1819:K1819)&lt;4),1,0)</f>
        <v>#N/A</v>
      </c>
      <c r="S1819" s="4" t="e">
        <f>IF(AND(L1819=1,N1819&lt;'Line Follower'!$C$6,SUM(C1819:K1819)&lt;4),1,0)</f>
        <v>#N/A</v>
      </c>
      <c r="T1819" s="4" t="e">
        <f t="shared" si="142"/>
        <v>#N/A</v>
      </c>
      <c r="U1819" s="5" t="e">
        <f t="shared" si="143"/>
        <v>#N/A</v>
      </c>
      <c r="V1819" s="23" t="e">
        <f t="shared" si="144"/>
        <v>#N/A</v>
      </c>
    </row>
    <row r="1820" spans="2:22" x14ac:dyDescent="0.25">
      <c r="B1820" s="16">
        <v>1</v>
      </c>
      <c r="C1820" s="7">
        <v>0</v>
      </c>
      <c r="D1820" s="8">
        <v>0</v>
      </c>
      <c r="E1820" s="8">
        <v>1</v>
      </c>
      <c r="F1820" s="8">
        <v>1</v>
      </c>
      <c r="G1820" s="8">
        <v>0</v>
      </c>
      <c r="H1820" s="8">
        <v>0</v>
      </c>
      <c r="I1820" s="8">
        <v>0</v>
      </c>
      <c r="J1820" s="8">
        <v>1</v>
      </c>
      <c r="K1820" s="9">
        <v>1</v>
      </c>
      <c r="L1820" s="10">
        <v>1</v>
      </c>
      <c r="M1820" s="6">
        <v>0</v>
      </c>
      <c r="N1820" s="37" t="e" cm="1">
        <f t="array" ref="N1820">IF(OR(ISNUMBER(FIND(Aux!$D$3:$D$9,_xlfn.TEXTJOIN(,,C1820:K1820)))),NA(),IF(AND(SUM(C1820:F1820,H1820:K1820)=0,G1820=1),0,INT((SUMPRODUCT(C1820:F1820,COLUMN($A$1:$D$1)-1)+SUMPRODUCT(H1820:K1820,COLUMN($E$1:$H$1)-1))*'Line Follower'!$C$3/SUM(C1820:F1820,H1820:K1820)-'Line Follower'!$C$5)))</f>
        <v>#N/A</v>
      </c>
      <c r="O1820" s="22" t="e">
        <v>#N/A</v>
      </c>
      <c r="P1820" s="4" t="e">
        <f t="shared" si="140"/>
        <v>#N/A</v>
      </c>
      <c r="Q1820" s="4" t="e">
        <f t="shared" si="141"/>
        <v>#N/A</v>
      </c>
      <c r="R1820" s="4" t="e">
        <f>IF(AND(B1820=1,N1820&gt;'Line Follower'!$C$7,SUM(C1820:K1820)&lt;4),1,0)</f>
        <v>#N/A</v>
      </c>
      <c r="S1820" s="4" t="e">
        <f>IF(AND(L1820=1,N1820&lt;'Line Follower'!$C$6,SUM(C1820:K1820)&lt;4),1,0)</f>
        <v>#N/A</v>
      </c>
      <c r="T1820" s="4" t="e">
        <f t="shared" si="142"/>
        <v>#N/A</v>
      </c>
      <c r="U1820" s="5" t="e">
        <f t="shared" si="143"/>
        <v>#N/A</v>
      </c>
      <c r="V1820" s="23" t="e">
        <f t="shared" si="144"/>
        <v>#N/A</v>
      </c>
    </row>
    <row r="1821" spans="2:22" x14ac:dyDescent="0.25">
      <c r="B1821" s="16">
        <v>0</v>
      </c>
      <c r="C1821" s="7">
        <v>1</v>
      </c>
      <c r="D1821" s="8">
        <v>0</v>
      </c>
      <c r="E1821" s="8">
        <v>1</v>
      </c>
      <c r="F1821" s="8">
        <v>1</v>
      </c>
      <c r="G1821" s="8">
        <v>0</v>
      </c>
      <c r="H1821" s="8">
        <v>0</v>
      </c>
      <c r="I1821" s="8">
        <v>0</v>
      </c>
      <c r="J1821" s="8">
        <v>1</v>
      </c>
      <c r="K1821" s="9">
        <v>1</v>
      </c>
      <c r="L1821" s="10">
        <v>1</v>
      </c>
      <c r="M1821" s="6">
        <v>0</v>
      </c>
      <c r="N1821" s="37" t="e" cm="1">
        <f t="array" ref="N1821">IF(OR(ISNUMBER(FIND(Aux!$D$3:$D$9,_xlfn.TEXTJOIN(,,C1821:K1821)))),NA(),IF(AND(SUM(C1821:F1821,H1821:K1821)=0,G1821=1),0,INT((SUMPRODUCT(C1821:F1821,COLUMN($A$1:$D$1)-1)+SUMPRODUCT(H1821:K1821,COLUMN($E$1:$H$1)-1))*'Line Follower'!$C$3/SUM(C1821:F1821,H1821:K1821)-'Line Follower'!$C$5)))</f>
        <v>#N/A</v>
      </c>
      <c r="O1821" s="22" t="e">
        <v>#N/A</v>
      </c>
      <c r="P1821" s="4" t="e">
        <f t="shared" si="140"/>
        <v>#N/A</v>
      </c>
      <c r="Q1821" s="4" t="e">
        <f t="shared" si="141"/>
        <v>#N/A</v>
      </c>
      <c r="R1821" s="4" t="e">
        <f>IF(AND(B1821=1,N1821&gt;'Line Follower'!$C$7,SUM(C1821:K1821)&lt;4),1,0)</f>
        <v>#N/A</v>
      </c>
      <c r="S1821" s="4" t="e">
        <f>IF(AND(L1821=1,N1821&lt;'Line Follower'!$C$6,SUM(C1821:K1821)&lt;4),1,0)</f>
        <v>#N/A</v>
      </c>
      <c r="T1821" s="4" t="e">
        <f t="shared" si="142"/>
        <v>#N/A</v>
      </c>
      <c r="U1821" s="5" t="e">
        <f t="shared" si="143"/>
        <v>#N/A</v>
      </c>
      <c r="V1821" s="23" t="e">
        <f t="shared" si="144"/>
        <v>#N/A</v>
      </c>
    </row>
    <row r="1822" spans="2:22" x14ac:dyDescent="0.25">
      <c r="B1822" s="16">
        <v>1</v>
      </c>
      <c r="C1822" s="7">
        <v>1</v>
      </c>
      <c r="D1822" s="8">
        <v>0</v>
      </c>
      <c r="E1822" s="8">
        <v>1</v>
      </c>
      <c r="F1822" s="8">
        <v>1</v>
      </c>
      <c r="G1822" s="8">
        <v>0</v>
      </c>
      <c r="H1822" s="8">
        <v>0</v>
      </c>
      <c r="I1822" s="8">
        <v>0</v>
      </c>
      <c r="J1822" s="8">
        <v>1</v>
      </c>
      <c r="K1822" s="9">
        <v>1</v>
      </c>
      <c r="L1822" s="10">
        <v>1</v>
      </c>
      <c r="M1822" s="6">
        <v>0</v>
      </c>
      <c r="N1822" s="37" t="e" cm="1">
        <f t="array" ref="N1822">IF(OR(ISNUMBER(FIND(Aux!$D$3:$D$9,_xlfn.TEXTJOIN(,,C1822:K1822)))),NA(),IF(AND(SUM(C1822:F1822,H1822:K1822)=0,G1822=1),0,INT((SUMPRODUCT(C1822:F1822,COLUMN($A$1:$D$1)-1)+SUMPRODUCT(H1822:K1822,COLUMN($E$1:$H$1)-1))*'Line Follower'!$C$3/SUM(C1822:F1822,H1822:K1822)-'Line Follower'!$C$5)))</f>
        <v>#N/A</v>
      </c>
      <c r="O1822" s="22" t="e">
        <v>#N/A</v>
      </c>
      <c r="P1822" s="4" t="e">
        <f t="shared" si="140"/>
        <v>#N/A</v>
      </c>
      <c r="Q1822" s="4" t="e">
        <f t="shared" si="141"/>
        <v>#N/A</v>
      </c>
      <c r="R1822" s="4" t="e">
        <f>IF(AND(B1822=1,N1822&gt;'Line Follower'!$C$7,SUM(C1822:K1822)&lt;4),1,0)</f>
        <v>#N/A</v>
      </c>
      <c r="S1822" s="4" t="e">
        <f>IF(AND(L1822=1,N1822&lt;'Line Follower'!$C$6,SUM(C1822:K1822)&lt;4),1,0)</f>
        <v>#N/A</v>
      </c>
      <c r="T1822" s="4" t="e">
        <f t="shared" si="142"/>
        <v>#N/A</v>
      </c>
      <c r="U1822" s="5" t="e">
        <f t="shared" si="143"/>
        <v>#N/A</v>
      </c>
      <c r="V1822" s="23" t="e">
        <f t="shared" si="144"/>
        <v>#N/A</v>
      </c>
    </row>
    <row r="1823" spans="2:22" x14ac:dyDescent="0.25">
      <c r="B1823" s="16">
        <v>0</v>
      </c>
      <c r="C1823" s="7">
        <v>0</v>
      </c>
      <c r="D1823" s="8">
        <v>1</v>
      </c>
      <c r="E1823" s="8">
        <v>1</v>
      </c>
      <c r="F1823" s="8">
        <v>1</v>
      </c>
      <c r="G1823" s="8">
        <v>0</v>
      </c>
      <c r="H1823" s="8">
        <v>0</v>
      </c>
      <c r="I1823" s="8">
        <v>0</v>
      </c>
      <c r="J1823" s="8">
        <v>1</v>
      </c>
      <c r="K1823" s="9">
        <v>1</v>
      </c>
      <c r="L1823" s="10">
        <v>1</v>
      </c>
      <c r="M1823" s="6">
        <v>0</v>
      </c>
      <c r="N1823" s="37" t="e" cm="1">
        <f t="array" ref="N1823">IF(OR(ISNUMBER(FIND(Aux!$D$3:$D$9,_xlfn.TEXTJOIN(,,C1823:K1823)))),NA(),IF(AND(SUM(C1823:F1823,H1823:K1823)=0,G1823=1),0,INT((SUMPRODUCT(C1823:F1823,COLUMN($A$1:$D$1)-1)+SUMPRODUCT(H1823:K1823,COLUMN($E$1:$H$1)-1))*'Line Follower'!$C$3/SUM(C1823:F1823,H1823:K1823)-'Line Follower'!$C$5)))</f>
        <v>#N/A</v>
      </c>
      <c r="O1823" s="22" t="e">
        <v>#N/A</v>
      </c>
      <c r="P1823" s="4" t="e">
        <f t="shared" si="140"/>
        <v>#N/A</v>
      </c>
      <c r="Q1823" s="4" t="e">
        <f t="shared" si="141"/>
        <v>#N/A</v>
      </c>
      <c r="R1823" s="4" t="e">
        <f>IF(AND(B1823=1,N1823&gt;'Line Follower'!$C$7,SUM(C1823:K1823)&lt;4),1,0)</f>
        <v>#N/A</v>
      </c>
      <c r="S1823" s="4" t="e">
        <f>IF(AND(L1823=1,N1823&lt;'Line Follower'!$C$6,SUM(C1823:K1823)&lt;4),1,0)</f>
        <v>#N/A</v>
      </c>
      <c r="T1823" s="4" t="e">
        <f t="shared" si="142"/>
        <v>#N/A</v>
      </c>
      <c r="U1823" s="5" t="e">
        <f t="shared" si="143"/>
        <v>#N/A</v>
      </c>
      <c r="V1823" s="23" t="e">
        <f t="shared" si="144"/>
        <v>#N/A</v>
      </c>
    </row>
    <row r="1824" spans="2:22" x14ac:dyDescent="0.25">
      <c r="B1824" s="16">
        <v>1</v>
      </c>
      <c r="C1824" s="7">
        <v>0</v>
      </c>
      <c r="D1824" s="8">
        <v>1</v>
      </c>
      <c r="E1824" s="8">
        <v>1</v>
      </c>
      <c r="F1824" s="8">
        <v>1</v>
      </c>
      <c r="G1824" s="8">
        <v>0</v>
      </c>
      <c r="H1824" s="8">
        <v>0</v>
      </c>
      <c r="I1824" s="8">
        <v>0</v>
      </c>
      <c r="J1824" s="8">
        <v>1</v>
      </c>
      <c r="K1824" s="9">
        <v>1</v>
      </c>
      <c r="L1824" s="10">
        <v>1</v>
      </c>
      <c r="M1824" s="6">
        <v>0</v>
      </c>
      <c r="N1824" s="37" t="e" cm="1">
        <f t="array" ref="N1824">IF(OR(ISNUMBER(FIND(Aux!$D$3:$D$9,_xlfn.TEXTJOIN(,,C1824:K1824)))),NA(),IF(AND(SUM(C1824:F1824,H1824:K1824)=0,G1824=1),0,INT((SUMPRODUCT(C1824:F1824,COLUMN($A$1:$D$1)-1)+SUMPRODUCT(H1824:K1824,COLUMN($E$1:$H$1)-1))*'Line Follower'!$C$3/SUM(C1824:F1824,H1824:K1824)-'Line Follower'!$C$5)))</f>
        <v>#N/A</v>
      </c>
      <c r="O1824" s="22" t="e">
        <v>#N/A</v>
      </c>
      <c r="P1824" s="4" t="e">
        <f t="shared" si="140"/>
        <v>#N/A</v>
      </c>
      <c r="Q1824" s="4" t="e">
        <f t="shared" si="141"/>
        <v>#N/A</v>
      </c>
      <c r="R1824" s="4" t="e">
        <f>IF(AND(B1824=1,N1824&gt;'Line Follower'!$C$7,SUM(C1824:K1824)&lt;4),1,0)</f>
        <v>#N/A</v>
      </c>
      <c r="S1824" s="4" t="e">
        <f>IF(AND(L1824=1,N1824&lt;'Line Follower'!$C$6,SUM(C1824:K1824)&lt;4),1,0)</f>
        <v>#N/A</v>
      </c>
      <c r="T1824" s="4" t="e">
        <f t="shared" si="142"/>
        <v>#N/A</v>
      </c>
      <c r="U1824" s="5" t="e">
        <f t="shared" si="143"/>
        <v>#N/A</v>
      </c>
      <c r="V1824" s="23" t="e">
        <f t="shared" si="144"/>
        <v>#N/A</v>
      </c>
    </row>
    <row r="1825" spans="2:22" x14ac:dyDescent="0.25">
      <c r="B1825" s="16">
        <v>0</v>
      </c>
      <c r="C1825" s="7">
        <v>1</v>
      </c>
      <c r="D1825" s="8">
        <v>1</v>
      </c>
      <c r="E1825" s="8">
        <v>1</v>
      </c>
      <c r="F1825" s="8">
        <v>1</v>
      </c>
      <c r="G1825" s="8">
        <v>0</v>
      </c>
      <c r="H1825" s="8">
        <v>0</v>
      </c>
      <c r="I1825" s="8">
        <v>0</v>
      </c>
      <c r="J1825" s="8">
        <v>1</v>
      </c>
      <c r="K1825" s="9">
        <v>1</v>
      </c>
      <c r="L1825" s="10">
        <v>1</v>
      </c>
      <c r="M1825" s="6">
        <v>0</v>
      </c>
      <c r="N1825" s="37" t="e" cm="1">
        <f t="array" ref="N1825">IF(OR(ISNUMBER(FIND(Aux!$D$3:$D$9,_xlfn.TEXTJOIN(,,C1825:K1825)))),NA(),IF(AND(SUM(C1825:F1825,H1825:K1825)=0,G1825=1),0,INT((SUMPRODUCT(C1825:F1825,COLUMN($A$1:$D$1)-1)+SUMPRODUCT(H1825:K1825,COLUMN($E$1:$H$1)-1))*'Line Follower'!$C$3/SUM(C1825:F1825,H1825:K1825)-'Line Follower'!$C$5)))</f>
        <v>#N/A</v>
      </c>
      <c r="O1825" s="22" t="e">
        <v>#N/A</v>
      </c>
      <c r="P1825" s="4" t="e">
        <f t="shared" si="140"/>
        <v>#N/A</v>
      </c>
      <c r="Q1825" s="4" t="e">
        <f t="shared" si="141"/>
        <v>#N/A</v>
      </c>
      <c r="R1825" s="4" t="e">
        <f>IF(AND(B1825=1,N1825&gt;'Line Follower'!$C$7,SUM(C1825:K1825)&lt;4),1,0)</f>
        <v>#N/A</v>
      </c>
      <c r="S1825" s="4" t="e">
        <f>IF(AND(L1825=1,N1825&lt;'Line Follower'!$C$6,SUM(C1825:K1825)&lt;4),1,0)</f>
        <v>#N/A</v>
      </c>
      <c r="T1825" s="4" t="e">
        <f t="shared" si="142"/>
        <v>#N/A</v>
      </c>
      <c r="U1825" s="5" t="e">
        <f t="shared" si="143"/>
        <v>#N/A</v>
      </c>
      <c r="V1825" s="23" t="e">
        <f t="shared" si="144"/>
        <v>#N/A</v>
      </c>
    </row>
    <row r="1826" spans="2:22" x14ac:dyDescent="0.25">
      <c r="B1826" s="16">
        <v>1</v>
      </c>
      <c r="C1826" s="7">
        <v>1</v>
      </c>
      <c r="D1826" s="8">
        <v>1</v>
      </c>
      <c r="E1826" s="8">
        <v>1</v>
      </c>
      <c r="F1826" s="8">
        <v>1</v>
      </c>
      <c r="G1826" s="8">
        <v>0</v>
      </c>
      <c r="H1826" s="8">
        <v>0</v>
      </c>
      <c r="I1826" s="8">
        <v>0</v>
      </c>
      <c r="J1826" s="8">
        <v>1</v>
      </c>
      <c r="K1826" s="9">
        <v>1</v>
      </c>
      <c r="L1826" s="10">
        <v>1</v>
      </c>
      <c r="M1826" s="6">
        <v>0</v>
      </c>
      <c r="N1826" s="37" t="e" cm="1">
        <f t="array" ref="N1826">IF(OR(ISNUMBER(FIND(Aux!$D$3:$D$9,_xlfn.TEXTJOIN(,,C1826:K1826)))),NA(),IF(AND(SUM(C1826:F1826,H1826:K1826)=0,G1826=1),0,INT((SUMPRODUCT(C1826:F1826,COLUMN($A$1:$D$1)-1)+SUMPRODUCT(H1826:K1826,COLUMN($E$1:$H$1)-1))*'Line Follower'!$C$3/SUM(C1826:F1826,H1826:K1826)-'Line Follower'!$C$5)))</f>
        <v>#N/A</v>
      </c>
      <c r="O1826" s="22" t="e">
        <v>#N/A</v>
      </c>
      <c r="P1826" s="4" t="e">
        <f t="shared" si="140"/>
        <v>#N/A</v>
      </c>
      <c r="Q1826" s="4" t="e">
        <f t="shared" si="141"/>
        <v>#N/A</v>
      </c>
      <c r="R1826" s="4" t="e">
        <f>IF(AND(B1826=1,N1826&gt;'Line Follower'!$C$7,SUM(C1826:K1826)&lt;4),1,0)</f>
        <v>#N/A</v>
      </c>
      <c r="S1826" s="4" t="e">
        <f>IF(AND(L1826=1,N1826&lt;'Line Follower'!$C$6,SUM(C1826:K1826)&lt;4),1,0)</f>
        <v>#N/A</v>
      </c>
      <c r="T1826" s="4" t="e">
        <f t="shared" si="142"/>
        <v>#N/A</v>
      </c>
      <c r="U1826" s="5" t="e">
        <f t="shared" si="143"/>
        <v>#N/A</v>
      </c>
      <c r="V1826" s="23" t="e">
        <f t="shared" si="144"/>
        <v>#N/A</v>
      </c>
    </row>
    <row r="1827" spans="2:22" x14ac:dyDescent="0.25">
      <c r="B1827" s="16">
        <v>0</v>
      </c>
      <c r="C1827" s="7">
        <v>0</v>
      </c>
      <c r="D1827" s="8">
        <v>0</v>
      </c>
      <c r="E1827" s="8">
        <v>0</v>
      </c>
      <c r="F1827" s="8">
        <v>0</v>
      </c>
      <c r="G1827" s="8">
        <v>1</v>
      </c>
      <c r="H1827" s="8">
        <v>0</v>
      </c>
      <c r="I1827" s="8">
        <v>0</v>
      </c>
      <c r="J1827" s="8">
        <v>1</v>
      </c>
      <c r="K1827" s="9">
        <v>1</v>
      </c>
      <c r="L1827" s="10">
        <v>1</v>
      </c>
      <c r="M1827" s="6">
        <v>0</v>
      </c>
      <c r="N1827" s="37" t="e" cm="1">
        <f t="array" ref="N1827">IF(OR(ISNUMBER(FIND(Aux!$D$3:$D$9,_xlfn.TEXTJOIN(,,C1827:K1827)))),NA(),IF(AND(SUM(C1827:F1827,H1827:K1827)=0,G1827=1),0,INT((SUMPRODUCT(C1827:F1827,COLUMN($A$1:$D$1)-1)+SUMPRODUCT(H1827:K1827,COLUMN($E$1:$H$1)-1))*'Line Follower'!$C$3/SUM(C1827:F1827,H1827:K1827)-'Line Follower'!$C$5)))</f>
        <v>#N/A</v>
      </c>
      <c r="O1827" s="22" t="e">
        <v>#N/A</v>
      </c>
      <c r="P1827" s="4" t="e">
        <f t="shared" si="140"/>
        <v>#N/A</v>
      </c>
      <c r="Q1827" s="4" t="e">
        <f t="shared" si="141"/>
        <v>#N/A</v>
      </c>
      <c r="R1827" s="4" t="e">
        <f>IF(AND(B1827=1,N1827&gt;'Line Follower'!$C$7,SUM(C1827:K1827)&lt;4),1,0)</f>
        <v>#N/A</v>
      </c>
      <c r="S1827" s="4" t="e">
        <f>IF(AND(L1827=1,N1827&lt;'Line Follower'!$C$6,SUM(C1827:K1827)&lt;4),1,0)</f>
        <v>#N/A</v>
      </c>
      <c r="T1827" s="4" t="e">
        <f t="shared" si="142"/>
        <v>#N/A</v>
      </c>
      <c r="U1827" s="5" t="e">
        <f t="shared" si="143"/>
        <v>#N/A</v>
      </c>
      <c r="V1827" s="23" t="e">
        <f t="shared" si="144"/>
        <v>#N/A</v>
      </c>
    </row>
    <row r="1828" spans="2:22" x14ac:dyDescent="0.25">
      <c r="B1828" s="16">
        <v>1</v>
      </c>
      <c r="C1828" s="7">
        <v>0</v>
      </c>
      <c r="D1828" s="8">
        <v>0</v>
      </c>
      <c r="E1828" s="8">
        <v>0</v>
      </c>
      <c r="F1828" s="8">
        <v>0</v>
      </c>
      <c r="G1828" s="8">
        <v>1</v>
      </c>
      <c r="H1828" s="8">
        <v>0</v>
      </c>
      <c r="I1828" s="8">
        <v>0</v>
      </c>
      <c r="J1828" s="8">
        <v>1</v>
      </c>
      <c r="K1828" s="9">
        <v>1</v>
      </c>
      <c r="L1828" s="10">
        <v>1</v>
      </c>
      <c r="M1828" s="6">
        <v>0</v>
      </c>
      <c r="N1828" s="37" t="e" cm="1">
        <f t="array" ref="N1828">IF(OR(ISNUMBER(FIND(Aux!$D$3:$D$9,_xlfn.TEXTJOIN(,,C1828:K1828)))),NA(),IF(AND(SUM(C1828:F1828,H1828:K1828)=0,G1828=1),0,INT((SUMPRODUCT(C1828:F1828,COLUMN($A$1:$D$1)-1)+SUMPRODUCT(H1828:K1828,COLUMN($E$1:$H$1)-1))*'Line Follower'!$C$3/SUM(C1828:F1828,H1828:K1828)-'Line Follower'!$C$5)))</f>
        <v>#N/A</v>
      </c>
      <c r="O1828" s="22" t="e">
        <v>#N/A</v>
      </c>
      <c r="P1828" s="4" t="e">
        <f t="shared" si="140"/>
        <v>#N/A</v>
      </c>
      <c r="Q1828" s="4" t="e">
        <f t="shared" si="141"/>
        <v>#N/A</v>
      </c>
      <c r="R1828" s="4" t="e">
        <f>IF(AND(B1828=1,N1828&gt;'Line Follower'!$C$7,SUM(C1828:K1828)&lt;4),1,0)</f>
        <v>#N/A</v>
      </c>
      <c r="S1828" s="4" t="e">
        <f>IF(AND(L1828=1,N1828&lt;'Line Follower'!$C$6,SUM(C1828:K1828)&lt;4),1,0)</f>
        <v>#N/A</v>
      </c>
      <c r="T1828" s="4" t="e">
        <f t="shared" si="142"/>
        <v>#N/A</v>
      </c>
      <c r="U1828" s="5" t="e">
        <f t="shared" si="143"/>
        <v>#N/A</v>
      </c>
      <c r="V1828" s="23" t="e">
        <f t="shared" si="144"/>
        <v>#N/A</v>
      </c>
    </row>
    <row r="1829" spans="2:22" x14ac:dyDescent="0.25">
      <c r="B1829" s="16">
        <v>0</v>
      </c>
      <c r="C1829" s="7">
        <v>1</v>
      </c>
      <c r="D1829" s="8">
        <v>0</v>
      </c>
      <c r="E1829" s="8">
        <v>0</v>
      </c>
      <c r="F1829" s="8">
        <v>0</v>
      </c>
      <c r="G1829" s="8">
        <v>1</v>
      </c>
      <c r="H1829" s="8">
        <v>0</v>
      </c>
      <c r="I1829" s="8">
        <v>0</v>
      </c>
      <c r="J1829" s="8">
        <v>1</v>
      </c>
      <c r="K1829" s="9">
        <v>1</v>
      </c>
      <c r="L1829" s="10">
        <v>1</v>
      </c>
      <c r="M1829" s="6">
        <v>0</v>
      </c>
      <c r="N1829" s="37" t="e" cm="1">
        <f t="array" ref="N1829">IF(OR(ISNUMBER(FIND(Aux!$D$3:$D$9,_xlfn.TEXTJOIN(,,C1829:K1829)))),NA(),IF(AND(SUM(C1829:F1829,H1829:K1829)=0,G1829=1),0,INT((SUMPRODUCT(C1829:F1829,COLUMN($A$1:$D$1)-1)+SUMPRODUCT(H1829:K1829,COLUMN($E$1:$H$1)-1))*'Line Follower'!$C$3/SUM(C1829:F1829,H1829:K1829)-'Line Follower'!$C$5)))</f>
        <v>#N/A</v>
      </c>
      <c r="O1829" s="22" t="e">
        <v>#N/A</v>
      </c>
      <c r="P1829" s="4" t="e">
        <f t="shared" si="140"/>
        <v>#N/A</v>
      </c>
      <c r="Q1829" s="4" t="e">
        <f t="shared" si="141"/>
        <v>#N/A</v>
      </c>
      <c r="R1829" s="4" t="e">
        <f>IF(AND(B1829=1,N1829&gt;'Line Follower'!$C$7,SUM(C1829:K1829)&lt;4),1,0)</f>
        <v>#N/A</v>
      </c>
      <c r="S1829" s="4" t="e">
        <f>IF(AND(L1829=1,N1829&lt;'Line Follower'!$C$6,SUM(C1829:K1829)&lt;4),1,0)</f>
        <v>#N/A</v>
      </c>
      <c r="T1829" s="4" t="e">
        <f t="shared" si="142"/>
        <v>#N/A</v>
      </c>
      <c r="U1829" s="5" t="e">
        <f t="shared" si="143"/>
        <v>#N/A</v>
      </c>
      <c r="V1829" s="23" t="e">
        <f t="shared" si="144"/>
        <v>#N/A</v>
      </c>
    </row>
    <row r="1830" spans="2:22" x14ac:dyDescent="0.25">
      <c r="B1830" s="16">
        <v>1</v>
      </c>
      <c r="C1830" s="7">
        <v>1</v>
      </c>
      <c r="D1830" s="8">
        <v>0</v>
      </c>
      <c r="E1830" s="8">
        <v>0</v>
      </c>
      <c r="F1830" s="8">
        <v>0</v>
      </c>
      <c r="G1830" s="8">
        <v>1</v>
      </c>
      <c r="H1830" s="8">
        <v>0</v>
      </c>
      <c r="I1830" s="8">
        <v>0</v>
      </c>
      <c r="J1830" s="8">
        <v>1</v>
      </c>
      <c r="K1830" s="9">
        <v>1</v>
      </c>
      <c r="L1830" s="10">
        <v>1</v>
      </c>
      <c r="M1830" s="6">
        <v>0</v>
      </c>
      <c r="N1830" s="37" t="e" cm="1">
        <f t="array" ref="N1830">IF(OR(ISNUMBER(FIND(Aux!$D$3:$D$9,_xlfn.TEXTJOIN(,,C1830:K1830)))),NA(),IF(AND(SUM(C1830:F1830,H1830:K1830)=0,G1830=1),0,INT((SUMPRODUCT(C1830:F1830,COLUMN($A$1:$D$1)-1)+SUMPRODUCT(H1830:K1830,COLUMN($E$1:$H$1)-1))*'Line Follower'!$C$3/SUM(C1830:F1830,H1830:K1830)-'Line Follower'!$C$5)))</f>
        <v>#N/A</v>
      </c>
      <c r="O1830" s="22" t="e">
        <v>#N/A</v>
      </c>
      <c r="P1830" s="4" t="e">
        <f t="shared" si="140"/>
        <v>#N/A</v>
      </c>
      <c r="Q1830" s="4" t="e">
        <f t="shared" si="141"/>
        <v>#N/A</v>
      </c>
      <c r="R1830" s="4" t="e">
        <f>IF(AND(B1830=1,N1830&gt;'Line Follower'!$C$7,SUM(C1830:K1830)&lt;4),1,0)</f>
        <v>#N/A</v>
      </c>
      <c r="S1830" s="4" t="e">
        <f>IF(AND(L1830=1,N1830&lt;'Line Follower'!$C$6,SUM(C1830:K1830)&lt;4),1,0)</f>
        <v>#N/A</v>
      </c>
      <c r="T1830" s="4" t="e">
        <f t="shared" si="142"/>
        <v>#N/A</v>
      </c>
      <c r="U1830" s="5" t="e">
        <f t="shared" si="143"/>
        <v>#N/A</v>
      </c>
      <c r="V1830" s="23" t="e">
        <f t="shared" si="144"/>
        <v>#N/A</v>
      </c>
    </row>
    <row r="1831" spans="2:22" x14ac:dyDescent="0.25">
      <c r="B1831" s="16">
        <v>0</v>
      </c>
      <c r="C1831" s="7">
        <v>0</v>
      </c>
      <c r="D1831" s="8">
        <v>1</v>
      </c>
      <c r="E1831" s="8">
        <v>0</v>
      </c>
      <c r="F1831" s="8">
        <v>0</v>
      </c>
      <c r="G1831" s="8">
        <v>1</v>
      </c>
      <c r="H1831" s="8">
        <v>0</v>
      </c>
      <c r="I1831" s="8">
        <v>0</v>
      </c>
      <c r="J1831" s="8">
        <v>1</v>
      </c>
      <c r="K1831" s="9">
        <v>1</v>
      </c>
      <c r="L1831" s="10">
        <v>1</v>
      </c>
      <c r="M1831" s="6">
        <v>0</v>
      </c>
      <c r="N1831" s="37" t="e" cm="1">
        <f t="array" ref="N1831">IF(OR(ISNUMBER(FIND(Aux!$D$3:$D$9,_xlfn.TEXTJOIN(,,C1831:K1831)))),NA(),IF(AND(SUM(C1831:F1831,H1831:K1831)=0,G1831=1),0,INT((SUMPRODUCT(C1831:F1831,COLUMN($A$1:$D$1)-1)+SUMPRODUCT(H1831:K1831,COLUMN($E$1:$H$1)-1))*'Line Follower'!$C$3/SUM(C1831:F1831,H1831:K1831)-'Line Follower'!$C$5)))</f>
        <v>#N/A</v>
      </c>
      <c r="O1831" s="22" t="e">
        <v>#N/A</v>
      </c>
      <c r="P1831" s="4" t="e">
        <f t="shared" si="140"/>
        <v>#N/A</v>
      </c>
      <c r="Q1831" s="4" t="e">
        <f t="shared" si="141"/>
        <v>#N/A</v>
      </c>
      <c r="R1831" s="4" t="e">
        <f>IF(AND(B1831=1,N1831&gt;'Line Follower'!$C$7,SUM(C1831:K1831)&lt;4),1,0)</f>
        <v>#N/A</v>
      </c>
      <c r="S1831" s="4" t="e">
        <f>IF(AND(L1831=1,N1831&lt;'Line Follower'!$C$6,SUM(C1831:K1831)&lt;4),1,0)</f>
        <v>#N/A</v>
      </c>
      <c r="T1831" s="4" t="e">
        <f t="shared" si="142"/>
        <v>#N/A</v>
      </c>
      <c r="U1831" s="5" t="e">
        <f t="shared" si="143"/>
        <v>#N/A</v>
      </c>
      <c r="V1831" s="23" t="e">
        <f t="shared" si="144"/>
        <v>#N/A</v>
      </c>
    </row>
    <row r="1832" spans="2:22" x14ac:dyDescent="0.25">
      <c r="B1832" s="16">
        <v>1</v>
      </c>
      <c r="C1832" s="7">
        <v>0</v>
      </c>
      <c r="D1832" s="8">
        <v>1</v>
      </c>
      <c r="E1832" s="8">
        <v>0</v>
      </c>
      <c r="F1832" s="8">
        <v>0</v>
      </c>
      <c r="G1832" s="8">
        <v>1</v>
      </c>
      <c r="H1832" s="8">
        <v>0</v>
      </c>
      <c r="I1832" s="8">
        <v>0</v>
      </c>
      <c r="J1832" s="8">
        <v>1</v>
      </c>
      <c r="K1832" s="9">
        <v>1</v>
      </c>
      <c r="L1832" s="10">
        <v>1</v>
      </c>
      <c r="M1832" s="6">
        <v>0</v>
      </c>
      <c r="N1832" s="37" t="e" cm="1">
        <f t="array" ref="N1832">IF(OR(ISNUMBER(FIND(Aux!$D$3:$D$9,_xlfn.TEXTJOIN(,,C1832:K1832)))),NA(),IF(AND(SUM(C1832:F1832,H1832:K1832)=0,G1832=1),0,INT((SUMPRODUCT(C1832:F1832,COLUMN($A$1:$D$1)-1)+SUMPRODUCT(H1832:K1832,COLUMN($E$1:$H$1)-1))*'Line Follower'!$C$3/SUM(C1832:F1832,H1832:K1832)-'Line Follower'!$C$5)))</f>
        <v>#N/A</v>
      </c>
      <c r="O1832" s="22" t="e">
        <v>#N/A</v>
      </c>
      <c r="P1832" s="4" t="e">
        <f t="shared" si="140"/>
        <v>#N/A</v>
      </c>
      <c r="Q1832" s="4" t="e">
        <f t="shared" si="141"/>
        <v>#N/A</v>
      </c>
      <c r="R1832" s="4" t="e">
        <f>IF(AND(B1832=1,N1832&gt;'Line Follower'!$C$7,SUM(C1832:K1832)&lt;4),1,0)</f>
        <v>#N/A</v>
      </c>
      <c r="S1832" s="4" t="e">
        <f>IF(AND(L1832=1,N1832&lt;'Line Follower'!$C$6,SUM(C1832:K1832)&lt;4),1,0)</f>
        <v>#N/A</v>
      </c>
      <c r="T1832" s="4" t="e">
        <f t="shared" si="142"/>
        <v>#N/A</v>
      </c>
      <c r="U1832" s="5" t="e">
        <f t="shared" si="143"/>
        <v>#N/A</v>
      </c>
      <c r="V1832" s="23" t="e">
        <f t="shared" si="144"/>
        <v>#N/A</v>
      </c>
    </row>
    <row r="1833" spans="2:22" x14ac:dyDescent="0.25">
      <c r="B1833" s="16">
        <v>0</v>
      </c>
      <c r="C1833" s="7">
        <v>1</v>
      </c>
      <c r="D1833" s="8">
        <v>1</v>
      </c>
      <c r="E1833" s="8">
        <v>0</v>
      </c>
      <c r="F1833" s="8">
        <v>0</v>
      </c>
      <c r="G1833" s="8">
        <v>1</v>
      </c>
      <c r="H1833" s="8">
        <v>0</v>
      </c>
      <c r="I1833" s="8">
        <v>0</v>
      </c>
      <c r="J1833" s="8">
        <v>1</v>
      </c>
      <c r="K1833" s="9">
        <v>1</v>
      </c>
      <c r="L1833" s="10">
        <v>1</v>
      </c>
      <c r="M1833" s="6">
        <v>0</v>
      </c>
      <c r="N1833" s="37" t="e" cm="1">
        <f t="array" ref="N1833">IF(OR(ISNUMBER(FIND(Aux!$D$3:$D$9,_xlfn.TEXTJOIN(,,C1833:K1833)))),NA(),IF(AND(SUM(C1833:F1833,H1833:K1833)=0,G1833=1),0,INT((SUMPRODUCT(C1833:F1833,COLUMN($A$1:$D$1)-1)+SUMPRODUCT(H1833:K1833,COLUMN($E$1:$H$1)-1))*'Line Follower'!$C$3/SUM(C1833:F1833,H1833:K1833)-'Line Follower'!$C$5)))</f>
        <v>#N/A</v>
      </c>
      <c r="O1833" s="22" t="e">
        <v>#N/A</v>
      </c>
      <c r="P1833" s="4" t="e">
        <f t="shared" si="140"/>
        <v>#N/A</v>
      </c>
      <c r="Q1833" s="4" t="e">
        <f t="shared" si="141"/>
        <v>#N/A</v>
      </c>
      <c r="R1833" s="4" t="e">
        <f>IF(AND(B1833=1,N1833&gt;'Line Follower'!$C$7,SUM(C1833:K1833)&lt;4),1,0)</f>
        <v>#N/A</v>
      </c>
      <c r="S1833" s="4" t="e">
        <f>IF(AND(L1833=1,N1833&lt;'Line Follower'!$C$6,SUM(C1833:K1833)&lt;4),1,0)</f>
        <v>#N/A</v>
      </c>
      <c r="T1833" s="4" t="e">
        <f t="shared" si="142"/>
        <v>#N/A</v>
      </c>
      <c r="U1833" s="5" t="e">
        <f t="shared" si="143"/>
        <v>#N/A</v>
      </c>
      <c r="V1833" s="23" t="e">
        <f t="shared" si="144"/>
        <v>#N/A</v>
      </c>
    </row>
    <row r="1834" spans="2:22" x14ac:dyDescent="0.25">
      <c r="B1834" s="16">
        <v>1</v>
      </c>
      <c r="C1834" s="7">
        <v>1</v>
      </c>
      <c r="D1834" s="8">
        <v>1</v>
      </c>
      <c r="E1834" s="8">
        <v>0</v>
      </c>
      <c r="F1834" s="8">
        <v>0</v>
      </c>
      <c r="G1834" s="8">
        <v>1</v>
      </c>
      <c r="H1834" s="8">
        <v>0</v>
      </c>
      <c r="I1834" s="8">
        <v>0</v>
      </c>
      <c r="J1834" s="8">
        <v>1</v>
      </c>
      <c r="K1834" s="9">
        <v>1</v>
      </c>
      <c r="L1834" s="10">
        <v>1</v>
      </c>
      <c r="M1834" s="6">
        <v>0</v>
      </c>
      <c r="N1834" s="37" t="e" cm="1">
        <f t="array" ref="N1834">IF(OR(ISNUMBER(FIND(Aux!$D$3:$D$9,_xlfn.TEXTJOIN(,,C1834:K1834)))),NA(),IF(AND(SUM(C1834:F1834,H1834:K1834)=0,G1834=1),0,INT((SUMPRODUCT(C1834:F1834,COLUMN($A$1:$D$1)-1)+SUMPRODUCT(H1834:K1834,COLUMN($E$1:$H$1)-1))*'Line Follower'!$C$3/SUM(C1834:F1834,H1834:K1834)-'Line Follower'!$C$5)))</f>
        <v>#N/A</v>
      </c>
      <c r="O1834" s="22" t="e">
        <v>#N/A</v>
      </c>
      <c r="P1834" s="4" t="e">
        <f t="shared" si="140"/>
        <v>#N/A</v>
      </c>
      <c r="Q1834" s="4" t="e">
        <f t="shared" si="141"/>
        <v>#N/A</v>
      </c>
      <c r="R1834" s="4" t="e">
        <f>IF(AND(B1834=1,N1834&gt;'Line Follower'!$C$7,SUM(C1834:K1834)&lt;4),1,0)</f>
        <v>#N/A</v>
      </c>
      <c r="S1834" s="4" t="e">
        <f>IF(AND(L1834=1,N1834&lt;'Line Follower'!$C$6,SUM(C1834:K1834)&lt;4),1,0)</f>
        <v>#N/A</v>
      </c>
      <c r="T1834" s="4" t="e">
        <f t="shared" si="142"/>
        <v>#N/A</v>
      </c>
      <c r="U1834" s="5" t="e">
        <f t="shared" si="143"/>
        <v>#N/A</v>
      </c>
      <c r="V1834" s="23" t="e">
        <f t="shared" si="144"/>
        <v>#N/A</v>
      </c>
    </row>
    <row r="1835" spans="2:22" x14ac:dyDescent="0.25">
      <c r="B1835" s="16">
        <v>0</v>
      </c>
      <c r="C1835" s="7">
        <v>0</v>
      </c>
      <c r="D1835" s="8">
        <v>0</v>
      </c>
      <c r="E1835" s="8">
        <v>1</v>
      </c>
      <c r="F1835" s="8">
        <v>0</v>
      </c>
      <c r="G1835" s="8">
        <v>1</v>
      </c>
      <c r="H1835" s="8">
        <v>0</v>
      </c>
      <c r="I1835" s="8">
        <v>0</v>
      </c>
      <c r="J1835" s="8">
        <v>1</v>
      </c>
      <c r="K1835" s="9">
        <v>1</v>
      </c>
      <c r="L1835" s="10">
        <v>1</v>
      </c>
      <c r="M1835" s="6">
        <v>0</v>
      </c>
      <c r="N1835" s="37" t="e" cm="1">
        <f t="array" ref="N1835">IF(OR(ISNUMBER(FIND(Aux!$D$3:$D$9,_xlfn.TEXTJOIN(,,C1835:K1835)))),NA(),IF(AND(SUM(C1835:F1835,H1835:K1835)=0,G1835=1),0,INT((SUMPRODUCT(C1835:F1835,COLUMN($A$1:$D$1)-1)+SUMPRODUCT(H1835:K1835,COLUMN($E$1:$H$1)-1))*'Line Follower'!$C$3/SUM(C1835:F1835,H1835:K1835)-'Line Follower'!$C$5)))</f>
        <v>#N/A</v>
      </c>
      <c r="O1835" s="22" t="e">
        <v>#N/A</v>
      </c>
      <c r="P1835" s="4" t="e">
        <f t="shared" si="140"/>
        <v>#N/A</v>
      </c>
      <c r="Q1835" s="4" t="e">
        <f t="shared" si="141"/>
        <v>#N/A</v>
      </c>
      <c r="R1835" s="4" t="e">
        <f>IF(AND(B1835=1,N1835&gt;'Line Follower'!$C$7,SUM(C1835:K1835)&lt;4),1,0)</f>
        <v>#N/A</v>
      </c>
      <c r="S1835" s="4" t="e">
        <f>IF(AND(L1835=1,N1835&lt;'Line Follower'!$C$6,SUM(C1835:K1835)&lt;4),1,0)</f>
        <v>#N/A</v>
      </c>
      <c r="T1835" s="4" t="e">
        <f t="shared" si="142"/>
        <v>#N/A</v>
      </c>
      <c r="U1835" s="5" t="e">
        <f t="shared" si="143"/>
        <v>#N/A</v>
      </c>
      <c r="V1835" s="23" t="e">
        <f t="shared" si="144"/>
        <v>#N/A</v>
      </c>
    </row>
    <row r="1836" spans="2:22" x14ac:dyDescent="0.25">
      <c r="B1836" s="16">
        <v>1</v>
      </c>
      <c r="C1836" s="7">
        <v>0</v>
      </c>
      <c r="D1836" s="8">
        <v>0</v>
      </c>
      <c r="E1836" s="8">
        <v>1</v>
      </c>
      <c r="F1836" s="8">
        <v>0</v>
      </c>
      <c r="G1836" s="8">
        <v>1</v>
      </c>
      <c r="H1836" s="8">
        <v>0</v>
      </c>
      <c r="I1836" s="8">
        <v>0</v>
      </c>
      <c r="J1836" s="8">
        <v>1</v>
      </c>
      <c r="K1836" s="9">
        <v>1</v>
      </c>
      <c r="L1836" s="10">
        <v>1</v>
      </c>
      <c r="M1836" s="6">
        <v>0</v>
      </c>
      <c r="N1836" s="37" t="e" cm="1">
        <f t="array" ref="N1836">IF(OR(ISNUMBER(FIND(Aux!$D$3:$D$9,_xlfn.TEXTJOIN(,,C1836:K1836)))),NA(),IF(AND(SUM(C1836:F1836,H1836:K1836)=0,G1836=1),0,INT((SUMPRODUCT(C1836:F1836,COLUMN($A$1:$D$1)-1)+SUMPRODUCT(H1836:K1836,COLUMN($E$1:$H$1)-1))*'Line Follower'!$C$3/SUM(C1836:F1836,H1836:K1836)-'Line Follower'!$C$5)))</f>
        <v>#N/A</v>
      </c>
      <c r="O1836" s="22" t="e">
        <v>#N/A</v>
      </c>
      <c r="P1836" s="4" t="e">
        <f t="shared" si="140"/>
        <v>#N/A</v>
      </c>
      <c r="Q1836" s="4" t="e">
        <f t="shared" si="141"/>
        <v>#N/A</v>
      </c>
      <c r="R1836" s="4" t="e">
        <f>IF(AND(B1836=1,N1836&gt;'Line Follower'!$C$7,SUM(C1836:K1836)&lt;4),1,0)</f>
        <v>#N/A</v>
      </c>
      <c r="S1836" s="4" t="e">
        <f>IF(AND(L1836=1,N1836&lt;'Line Follower'!$C$6,SUM(C1836:K1836)&lt;4),1,0)</f>
        <v>#N/A</v>
      </c>
      <c r="T1836" s="4" t="e">
        <f t="shared" si="142"/>
        <v>#N/A</v>
      </c>
      <c r="U1836" s="5" t="e">
        <f t="shared" si="143"/>
        <v>#N/A</v>
      </c>
      <c r="V1836" s="23" t="e">
        <f t="shared" si="144"/>
        <v>#N/A</v>
      </c>
    </row>
    <row r="1837" spans="2:22" x14ac:dyDescent="0.25">
      <c r="B1837" s="16">
        <v>0</v>
      </c>
      <c r="C1837" s="7">
        <v>1</v>
      </c>
      <c r="D1837" s="8">
        <v>0</v>
      </c>
      <c r="E1837" s="8">
        <v>1</v>
      </c>
      <c r="F1837" s="8">
        <v>0</v>
      </c>
      <c r="G1837" s="8">
        <v>1</v>
      </c>
      <c r="H1837" s="8">
        <v>0</v>
      </c>
      <c r="I1837" s="8">
        <v>0</v>
      </c>
      <c r="J1837" s="8">
        <v>1</v>
      </c>
      <c r="K1837" s="9">
        <v>1</v>
      </c>
      <c r="L1837" s="10">
        <v>1</v>
      </c>
      <c r="M1837" s="6">
        <v>0</v>
      </c>
      <c r="N1837" s="37" t="e" cm="1">
        <f t="array" ref="N1837">IF(OR(ISNUMBER(FIND(Aux!$D$3:$D$9,_xlfn.TEXTJOIN(,,C1837:K1837)))),NA(),IF(AND(SUM(C1837:F1837,H1837:K1837)=0,G1837=1),0,INT((SUMPRODUCT(C1837:F1837,COLUMN($A$1:$D$1)-1)+SUMPRODUCT(H1837:K1837,COLUMN($E$1:$H$1)-1))*'Line Follower'!$C$3/SUM(C1837:F1837,H1837:K1837)-'Line Follower'!$C$5)))</f>
        <v>#N/A</v>
      </c>
      <c r="O1837" s="22" t="e">
        <v>#N/A</v>
      </c>
      <c r="P1837" s="4" t="e">
        <f t="shared" si="140"/>
        <v>#N/A</v>
      </c>
      <c r="Q1837" s="4" t="e">
        <f t="shared" si="141"/>
        <v>#N/A</v>
      </c>
      <c r="R1837" s="4" t="e">
        <f>IF(AND(B1837=1,N1837&gt;'Line Follower'!$C$7,SUM(C1837:K1837)&lt;4),1,0)</f>
        <v>#N/A</v>
      </c>
      <c r="S1837" s="4" t="e">
        <f>IF(AND(L1837=1,N1837&lt;'Line Follower'!$C$6,SUM(C1837:K1837)&lt;4),1,0)</f>
        <v>#N/A</v>
      </c>
      <c r="T1837" s="4" t="e">
        <f t="shared" si="142"/>
        <v>#N/A</v>
      </c>
      <c r="U1837" s="5" t="e">
        <f t="shared" si="143"/>
        <v>#N/A</v>
      </c>
      <c r="V1837" s="23" t="e">
        <f t="shared" si="144"/>
        <v>#N/A</v>
      </c>
    </row>
    <row r="1838" spans="2:22" x14ac:dyDescent="0.25">
      <c r="B1838" s="16">
        <v>1</v>
      </c>
      <c r="C1838" s="7">
        <v>1</v>
      </c>
      <c r="D1838" s="8">
        <v>0</v>
      </c>
      <c r="E1838" s="8">
        <v>1</v>
      </c>
      <c r="F1838" s="8">
        <v>0</v>
      </c>
      <c r="G1838" s="8">
        <v>1</v>
      </c>
      <c r="H1838" s="8">
        <v>0</v>
      </c>
      <c r="I1838" s="8">
        <v>0</v>
      </c>
      <c r="J1838" s="8">
        <v>1</v>
      </c>
      <c r="K1838" s="9">
        <v>1</v>
      </c>
      <c r="L1838" s="10">
        <v>1</v>
      </c>
      <c r="M1838" s="6">
        <v>0</v>
      </c>
      <c r="N1838" s="37" t="e" cm="1">
        <f t="array" ref="N1838">IF(OR(ISNUMBER(FIND(Aux!$D$3:$D$9,_xlfn.TEXTJOIN(,,C1838:K1838)))),NA(),IF(AND(SUM(C1838:F1838,H1838:K1838)=0,G1838=1),0,INT((SUMPRODUCT(C1838:F1838,COLUMN($A$1:$D$1)-1)+SUMPRODUCT(H1838:K1838,COLUMN($E$1:$H$1)-1))*'Line Follower'!$C$3/SUM(C1838:F1838,H1838:K1838)-'Line Follower'!$C$5)))</f>
        <v>#N/A</v>
      </c>
      <c r="O1838" s="22" t="e">
        <v>#N/A</v>
      </c>
      <c r="P1838" s="4" t="e">
        <f t="shared" si="140"/>
        <v>#N/A</v>
      </c>
      <c r="Q1838" s="4" t="e">
        <f t="shared" si="141"/>
        <v>#N/A</v>
      </c>
      <c r="R1838" s="4" t="e">
        <f>IF(AND(B1838=1,N1838&gt;'Line Follower'!$C$7,SUM(C1838:K1838)&lt;4),1,0)</f>
        <v>#N/A</v>
      </c>
      <c r="S1838" s="4" t="e">
        <f>IF(AND(L1838=1,N1838&lt;'Line Follower'!$C$6,SUM(C1838:K1838)&lt;4),1,0)</f>
        <v>#N/A</v>
      </c>
      <c r="T1838" s="4" t="e">
        <f t="shared" si="142"/>
        <v>#N/A</v>
      </c>
      <c r="U1838" s="5" t="e">
        <f t="shared" si="143"/>
        <v>#N/A</v>
      </c>
      <c r="V1838" s="23" t="e">
        <f t="shared" si="144"/>
        <v>#N/A</v>
      </c>
    </row>
    <row r="1839" spans="2:22" x14ac:dyDescent="0.25">
      <c r="B1839" s="16">
        <v>0</v>
      </c>
      <c r="C1839" s="7">
        <v>0</v>
      </c>
      <c r="D1839" s="8">
        <v>1</v>
      </c>
      <c r="E1839" s="8">
        <v>1</v>
      </c>
      <c r="F1839" s="8">
        <v>0</v>
      </c>
      <c r="G1839" s="8">
        <v>1</v>
      </c>
      <c r="H1839" s="8">
        <v>0</v>
      </c>
      <c r="I1839" s="8">
        <v>0</v>
      </c>
      <c r="J1839" s="8">
        <v>1</v>
      </c>
      <c r="K1839" s="9">
        <v>1</v>
      </c>
      <c r="L1839" s="10">
        <v>1</v>
      </c>
      <c r="M1839" s="6">
        <v>0</v>
      </c>
      <c r="N1839" s="37" t="e" cm="1">
        <f t="array" ref="N1839">IF(OR(ISNUMBER(FIND(Aux!$D$3:$D$9,_xlfn.TEXTJOIN(,,C1839:K1839)))),NA(),IF(AND(SUM(C1839:F1839,H1839:K1839)=0,G1839=1),0,INT((SUMPRODUCT(C1839:F1839,COLUMN($A$1:$D$1)-1)+SUMPRODUCT(H1839:K1839,COLUMN($E$1:$H$1)-1))*'Line Follower'!$C$3/SUM(C1839:F1839,H1839:K1839)-'Line Follower'!$C$5)))</f>
        <v>#N/A</v>
      </c>
      <c r="O1839" s="22" t="e">
        <v>#N/A</v>
      </c>
      <c r="P1839" s="4" t="e">
        <f t="shared" si="140"/>
        <v>#N/A</v>
      </c>
      <c r="Q1839" s="4" t="e">
        <f t="shared" si="141"/>
        <v>#N/A</v>
      </c>
      <c r="R1839" s="4" t="e">
        <f>IF(AND(B1839=1,N1839&gt;'Line Follower'!$C$7,SUM(C1839:K1839)&lt;4),1,0)</f>
        <v>#N/A</v>
      </c>
      <c r="S1839" s="4" t="e">
        <f>IF(AND(L1839=1,N1839&lt;'Line Follower'!$C$6,SUM(C1839:K1839)&lt;4),1,0)</f>
        <v>#N/A</v>
      </c>
      <c r="T1839" s="4" t="e">
        <f t="shared" si="142"/>
        <v>#N/A</v>
      </c>
      <c r="U1839" s="5" t="e">
        <f t="shared" si="143"/>
        <v>#N/A</v>
      </c>
      <c r="V1839" s="23" t="e">
        <f t="shared" si="144"/>
        <v>#N/A</v>
      </c>
    </row>
    <row r="1840" spans="2:22" x14ac:dyDescent="0.25">
      <c r="B1840" s="16">
        <v>1</v>
      </c>
      <c r="C1840" s="7">
        <v>0</v>
      </c>
      <c r="D1840" s="8">
        <v>1</v>
      </c>
      <c r="E1840" s="8">
        <v>1</v>
      </c>
      <c r="F1840" s="8">
        <v>0</v>
      </c>
      <c r="G1840" s="8">
        <v>1</v>
      </c>
      <c r="H1840" s="8">
        <v>0</v>
      </c>
      <c r="I1840" s="8">
        <v>0</v>
      </c>
      <c r="J1840" s="8">
        <v>1</v>
      </c>
      <c r="K1840" s="9">
        <v>1</v>
      </c>
      <c r="L1840" s="10">
        <v>1</v>
      </c>
      <c r="M1840" s="6">
        <v>0</v>
      </c>
      <c r="N1840" s="37" t="e" cm="1">
        <f t="array" ref="N1840">IF(OR(ISNUMBER(FIND(Aux!$D$3:$D$9,_xlfn.TEXTJOIN(,,C1840:K1840)))),NA(),IF(AND(SUM(C1840:F1840,H1840:K1840)=0,G1840=1),0,INT((SUMPRODUCT(C1840:F1840,COLUMN($A$1:$D$1)-1)+SUMPRODUCT(H1840:K1840,COLUMN($E$1:$H$1)-1))*'Line Follower'!$C$3/SUM(C1840:F1840,H1840:K1840)-'Line Follower'!$C$5)))</f>
        <v>#N/A</v>
      </c>
      <c r="O1840" s="22" t="e">
        <v>#N/A</v>
      </c>
      <c r="P1840" s="4" t="e">
        <f t="shared" si="140"/>
        <v>#N/A</v>
      </c>
      <c r="Q1840" s="4" t="e">
        <f t="shared" si="141"/>
        <v>#N/A</v>
      </c>
      <c r="R1840" s="4" t="e">
        <f>IF(AND(B1840=1,N1840&gt;'Line Follower'!$C$7,SUM(C1840:K1840)&lt;4),1,0)</f>
        <v>#N/A</v>
      </c>
      <c r="S1840" s="4" t="e">
        <f>IF(AND(L1840=1,N1840&lt;'Line Follower'!$C$6,SUM(C1840:K1840)&lt;4),1,0)</f>
        <v>#N/A</v>
      </c>
      <c r="T1840" s="4" t="e">
        <f t="shared" si="142"/>
        <v>#N/A</v>
      </c>
      <c r="U1840" s="5" t="e">
        <f t="shared" si="143"/>
        <v>#N/A</v>
      </c>
      <c r="V1840" s="23" t="e">
        <f t="shared" si="144"/>
        <v>#N/A</v>
      </c>
    </row>
    <row r="1841" spans="2:22" x14ac:dyDescent="0.25">
      <c r="B1841" s="16">
        <v>0</v>
      </c>
      <c r="C1841" s="7">
        <v>1</v>
      </c>
      <c r="D1841" s="8">
        <v>1</v>
      </c>
      <c r="E1841" s="8">
        <v>1</v>
      </c>
      <c r="F1841" s="8">
        <v>0</v>
      </c>
      <c r="G1841" s="8">
        <v>1</v>
      </c>
      <c r="H1841" s="8">
        <v>0</v>
      </c>
      <c r="I1841" s="8">
        <v>0</v>
      </c>
      <c r="J1841" s="8">
        <v>1</v>
      </c>
      <c r="K1841" s="9">
        <v>1</v>
      </c>
      <c r="L1841" s="10">
        <v>1</v>
      </c>
      <c r="M1841" s="6">
        <v>0</v>
      </c>
      <c r="N1841" s="37" t="e" cm="1">
        <f t="array" ref="N1841">IF(OR(ISNUMBER(FIND(Aux!$D$3:$D$9,_xlfn.TEXTJOIN(,,C1841:K1841)))),NA(),IF(AND(SUM(C1841:F1841,H1841:K1841)=0,G1841=1),0,INT((SUMPRODUCT(C1841:F1841,COLUMN($A$1:$D$1)-1)+SUMPRODUCT(H1841:K1841,COLUMN($E$1:$H$1)-1))*'Line Follower'!$C$3/SUM(C1841:F1841,H1841:K1841)-'Line Follower'!$C$5)))</f>
        <v>#N/A</v>
      </c>
      <c r="O1841" s="22" t="e">
        <v>#N/A</v>
      </c>
      <c r="P1841" s="4" t="e">
        <f t="shared" si="140"/>
        <v>#N/A</v>
      </c>
      <c r="Q1841" s="4" t="e">
        <f t="shared" si="141"/>
        <v>#N/A</v>
      </c>
      <c r="R1841" s="4" t="e">
        <f>IF(AND(B1841=1,N1841&gt;'Line Follower'!$C$7,SUM(C1841:K1841)&lt;4),1,0)</f>
        <v>#N/A</v>
      </c>
      <c r="S1841" s="4" t="e">
        <f>IF(AND(L1841=1,N1841&lt;'Line Follower'!$C$6,SUM(C1841:K1841)&lt;4),1,0)</f>
        <v>#N/A</v>
      </c>
      <c r="T1841" s="4" t="e">
        <f t="shared" si="142"/>
        <v>#N/A</v>
      </c>
      <c r="U1841" s="5" t="e">
        <f t="shared" si="143"/>
        <v>#N/A</v>
      </c>
      <c r="V1841" s="23" t="e">
        <f t="shared" si="144"/>
        <v>#N/A</v>
      </c>
    </row>
    <row r="1842" spans="2:22" x14ac:dyDescent="0.25">
      <c r="B1842" s="16">
        <v>1</v>
      </c>
      <c r="C1842" s="7">
        <v>1</v>
      </c>
      <c r="D1842" s="8">
        <v>1</v>
      </c>
      <c r="E1842" s="8">
        <v>1</v>
      </c>
      <c r="F1842" s="8">
        <v>0</v>
      </c>
      <c r="G1842" s="8">
        <v>1</v>
      </c>
      <c r="H1842" s="8">
        <v>0</v>
      </c>
      <c r="I1842" s="8">
        <v>0</v>
      </c>
      <c r="J1842" s="8">
        <v>1</v>
      </c>
      <c r="K1842" s="9">
        <v>1</v>
      </c>
      <c r="L1842" s="10">
        <v>1</v>
      </c>
      <c r="M1842" s="6">
        <v>0</v>
      </c>
      <c r="N1842" s="37" t="e" cm="1">
        <f t="array" ref="N1842">IF(OR(ISNUMBER(FIND(Aux!$D$3:$D$9,_xlfn.TEXTJOIN(,,C1842:K1842)))),NA(),IF(AND(SUM(C1842:F1842,H1842:K1842)=0,G1842=1),0,INT((SUMPRODUCT(C1842:F1842,COLUMN($A$1:$D$1)-1)+SUMPRODUCT(H1842:K1842,COLUMN($E$1:$H$1)-1))*'Line Follower'!$C$3/SUM(C1842:F1842,H1842:K1842)-'Line Follower'!$C$5)))</f>
        <v>#N/A</v>
      </c>
      <c r="O1842" s="22" t="e">
        <v>#N/A</v>
      </c>
      <c r="P1842" s="4" t="e">
        <f t="shared" si="140"/>
        <v>#N/A</v>
      </c>
      <c r="Q1842" s="4" t="e">
        <f t="shared" si="141"/>
        <v>#N/A</v>
      </c>
      <c r="R1842" s="4" t="e">
        <f>IF(AND(B1842=1,N1842&gt;'Line Follower'!$C$7,SUM(C1842:K1842)&lt;4),1,0)</f>
        <v>#N/A</v>
      </c>
      <c r="S1842" s="4" t="e">
        <f>IF(AND(L1842=1,N1842&lt;'Line Follower'!$C$6,SUM(C1842:K1842)&lt;4),1,0)</f>
        <v>#N/A</v>
      </c>
      <c r="T1842" s="4" t="e">
        <f t="shared" si="142"/>
        <v>#N/A</v>
      </c>
      <c r="U1842" s="5" t="e">
        <f t="shared" si="143"/>
        <v>#N/A</v>
      </c>
      <c r="V1842" s="23" t="e">
        <f t="shared" si="144"/>
        <v>#N/A</v>
      </c>
    </row>
    <row r="1843" spans="2:22" x14ac:dyDescent="0.25">
      <c r="B1843" s="16">
        <v>0</v>
      </c>
      <c r="C1843" s="7">
        <v>0</v>
      </c>
      <c r="D1843" s="8">
        <v>0</v>
      </c>
      <c r="E1843" s="8">
        <v>0</v>
      </c>
      <c r="F1843" s="8">
        <v>1</v>
      </c>
      <c r="G1843" s="8">
        <v>1</v>
      </c>
      <c r="H1843" s="8">
        <v>0</v>
      </c>
      <c r="I1843" s="8">
        <v>0</v>
      </c>
      <c r="J1843" s="8">
        <v>1</v>
      </c>
      <c r="K1843" s="9">
        <v>1</v>
      </c>
      <c r="L1843" s="10">
        <v>1</v>
      </c>
      <c r="M1843" s="6">
        <v>0</v>
      </c>
      <c r="N1843" s="37" t="e" cm="1">
        <f t="array" ref="N1843">IF(OR(ISNUMBER(FIND(Aux!$D$3:$D$9,_xlfn.TEXTJOIN(,,C1843:K1843)))),NA(),IF(AND(SUM(C1843:F1843,H1843:K1843)=0,G1843=1),0,INT((SUMPRODUCT(C1843:F1843,COLUMN($A$1:$D$1)-1)+SUMPRODUCT(H1843:K1843,COLUMN($E$1:$H$1)-1))*'Line Follower'!$C$3/SUM(C1843:F1843,H1843:K1843)-'Line Follower'!$C$5)))</f>
        <v>#N/A</v>
      </c>
      <c r="O1843" s="22" t="e">
        <v>#N/A</v>
      </c>
      <c r="P1843" s="4" t="e">
        <f t="shared" si="140"/>
        <v>#N/A</v>
      </c>
      <c r="Q1843" s="4" t="e">
        <f t="shared" si="141"/>
        <v>#N/A</v>
      </c>
      <c r="R1843" s="4" t="e">
        <f>IF(AND(B1843=1,N1843&gt;'Line Follower'!$C$7,SUM(C1843:K1843)&lt;4),1,0)</f>
        <v>#N/A</v>
      </c>
      <c r="S1843" s="4" t="e">
        <f>IF(AND(L1843=1,N1843&lt;'Line Follower'!$C$6,SUM(C1843:K1843)&lt;4),1,0)</f>
        <v>#N/A</v>
      </c>
      <c r="T1843" s="4" t="e">
        <f t="shared" si="142"/>
        <v>#N/A</v>
      </c>
      <c r="U1843" s="5" t="e">
        <f t="shared" si="143"/>
        <v>#N/A</v>
      </c>
      <c r="V1843" s="23" t="e">
        <f t="shared" si="144"/>
        <v>#N/A</v>
      </c>
    </row>
    <row r="1844" spans="2:22" x14ac:dyDescent="0.25">
      <c r="B1844" s="16">
        <v>1</v>
      </c>
      <c r="C1844" s="7">
        <v>0</v>
      </c>
      <c r="D1844" s="8">
        <v>0</v>
      </c>
      <c r="E1844" s="8">
        <v>0</v>
      </c>
      <c r="F1844" s="8">
        <v>1</v>
      </c>
      <c r="G1844" s="8">
        <v>1</v>
      </c>
      <c r="H1844" s="8">
        <v>0</v>
      </c>
      <c r="I1844" s="8">
        <v>0</v>
      </c>
      <c r="J1844" s="8">
        <v>1</v>
      </c>
      <c r="K1844" s="9">
        <v>1</v>
      </c>
      <c r="L1844" s="10">
        <v>1</v>
      </c>
      <c r="M1844" s="6">
        <v>0</v>
      </c>
      <c r="N1844" s="37" t="e" cm="1">
        <f t="array" ref="N1844">IF(OR(ISNUMBER(FIND(Aux!$D$3:$D$9,_xlfn.TEXTJOIN(,,C1844:K1844)))),NA(),IF(AND(SUM(C1844:F1844,H1844:K1844)=0,G1844=1),0,INT((SUMPRODUCT(C1844:F1844,COLUMN($A$1:$D$1)-1)+SUMPRODUCT(H1844:K1844,COLUMN($E$1:$H$1)-1))*'Line Follower'!$C$3/SUM(C1844:F1844,H1844:K1844)-'Line Follower'!$C$5)))</f>
        <v>#N/A</v>
      </c>
      <c r="O1844" s="22" t="e">
        <v>#N/A</v>
      </c>
      <c r="P1844" s="4" t="e">
        <f t="shared" si="140"/>
        <v>#N/A</v>
      </c>
      <c r="Q1844" s="4" t="e">
        <f t="shared" si="141"/>
        <v>#N/A</v>
      </c>
      <c r="R1844" s="4" t="e">
        <f>IF(AND(B1844=1,N1844&gt;'Line Follower'!$C$7,SUM(C1844:K1844)&lt;4),1,0)</f>
        <v>#N/A</v>
      </c>
      <c r="S1844" s="4" t="e">
        <f>IF(AND(L1844=1,N1844&lt;'Line Follower'!$C$6,SUM(C1844:K1844)&lt;4),1,0)</f>
        <v>#N/A</v>
      </c>
      <c r="T1844" s="4" t="e">
        <f t="shared" si="142"/>
        <v>#N/A</v>
      </c>
      <c r="U1844" s="5" t="e">
        <f t="shared" si="143"/>
        <v>#N/A</v>
      </c>
      <c r="V1844" s="23" t="e">
        <f t="shared" si="144"/>
        <v>#N/A</v>
      </c>
    </row>
    <row r="1845" spans="2:22" x14ac:dyDescent="0.25">
      <c r="B1845" s="16">
        <v>0</v>
      </c>
      <c r="C1845" s="7">
        <v>1</v>
      </c>
      <c r="D1845" s="8">
        <v>0</v>
      </c>
      <c r="E1845" s="8">
        <v>0</v>
      </c>
      <c r="F1845" s="8">
        <v>1</v>
      </c>
      <c r="G1845" s="8">
        <v>1</v>
      </c>
      <c r="H1845" s="8">
        <v>0</v>
      </c>
      <c r="I1845" s="8">
        <v>0</v>
      </c>
      <c r="J1845" s="8">
        <v>1</v>
      </c>
      <c r="K1845" s="9">
        <v>1</v>
      </c>
      <c r="L1845" s="10">
        <v>1</v>
      </c>
      <c r="M1845" s="6">
        <v>0</v>
      </c>
      <c r="N1845" s="37" t="e" cm="1">
        <f t="array" ref="N1845">IF(OR(ISNUMBER(FIND(Aux!$D$3:$D$9,_xlfn.TEXTJOIN(,,C1845:K1845)))),NA(),IF(AND(SUM(C1845:F1845,H1845:K1845)=0,G1845=1),0,INT((SUMPRODUCT(C1845:F1845,COLUMN($A$1:$D$1)-1)+SUMPRODUCT(H1845:K1845,COLUMN($E$1:$H$1)-1))*'Line Follower'!$C$3/SUM(C1845:F1845,H1845:K1845)-'Line Follower'!$C$5)))</f>
        <v>#N/A</v>
      </c>
      <c r="O1845" s="22" t="e">
        <v>#N/A</v>
      </c>
      <c r="P1845" s="4" t="e">
        <f t="shared" si="140"/>
        <v>#N/A</v>
      </c>
      <c r="Q1845" s="4" t="e">
        <f t="shared" si="141"/>
        <v>#N/A</v>
      </c>
      <c r="R1845" s="4" t="e">
        <f>IF(AND(B1845=1,N1845&gt;'Line Follower'!$C$7,SUM(C1845:K1845)&lt;4),1,0)</f>
        <v>#N/A</v>
      </c>
      <c r="S1845" s="4" t="e">
        <f>IF(AND(L1845=1,N1845&lt;'Line Follower'!$C$6,SUM(C1845:K1845)&lt;4),1,0)</f>
        <v>#N/A</v>
      </c>
      <c r="T1845" s="4" t="e">
        <f t="shared" si="142"/>
        <v>#N/A</v>
      </c>
      <c r="U1845" s="5" t="e">
        <f t="shared" si="143"/>
        <v>#N/A</v>
      </c>
      <c r="V1845" s="23" t="e">
        <f t="shared" si="144"/>
        <v>#N/A</v>
      </c>
    </row>
    <row r="1846" spans="2:22" x14ac:dyDescent="0.25">
      <c r="B1846" s="16">
        <v>1</v>
      </c>
      <c r="C1846" s="7">
        <v>1</v>
      </c>
      <c r="D1846" s="8">
        <v>0</v>
      </c>
      <c r="E1846" s="8">
        <v>0</v>
      </c>
      <c r="F1846" s="8">
        <v>1</v>
      </c>
      <c r="G1846" s="8">
        <v>1</v>
      </c>
      <c r="H1846" s="8">
        <v>0</v>
      </c>
      <c r="I1846" s="8">
        <v>0</v>
      </c>
      <c r="J1846" s="8">
        <v>1</v>
      </c>
      <c r="K1846" s="9">
        <v>1</v>
      </c>
      <c r="L1846" s="10">
        <v>1</v>
      </c>
      <c r="M1846" s="6">
        <v>0</v>
      </c>
      <c r="N1846" s="37" t="e" cm="1">
        <f t="array" ref="N1846">IF(OR(ISNUMBER(FIND(Aux!$D$3:$D$9,_xlfn.TEXTJOIN(,,C1846:K1846)))),NA(),IF(AND(SUM(C1846:F1846,H1846:K1846)=0,G1846=1),0,INT((SUMPRODUCT(C1846:F1846,COLUMN($A$1:$D$1)-1)+SUMPRODUCT(H1846:K1846,COLUMN($E$1:$H$1)-1))*'Line Follower'!$C$3/SUM(C1846:F1846,H1846:K1846)-'Line Follower'!$C$5)))</f>
        <v>#N/A</v>
      </c>
      <c r="O1846" s="22" t="e">
        <v>#N/A</v>
      </c>
      <c r="P1846" s="4" t="e">
        <f t="shared" si="140"/>
        <v>#N/A</v>
      </c>
      <c r="Q1846" s="4" t="e">
        <f t="shared" si="141"/>
        <v>#N/A</v>
      </c>
      <c r="R1846" s="4" t="e">
        <f>IF(AND(B1846=1,N1846&gt;'Line Follower'!$C$7,SUM(C1846:K1846)&lt;4),1,0)</f>
        <v>#N/A</v>
      </c>
      <c r="S1846" s="4" t="e">
        <f>IF(AND(L1846=1,N1846&lt;'Line Follower'!$C$6,SUM(C1846:K1846)&lt;4),1,0)</f>
        <v>#N/A</v>
      </c>
      <c r="T1846" s="4" t="e">
        <f t="shared" si="142"/>
        <v>#N/A</v>
      </c>
      <c r="U1846" s="5" t="e">
        <f t="shared" si="143"/>
        <v>#N/A</v>
      </c>
      <c r="V1846" s="23" t="e">
        <f t="shared" si="144"/>
        <v>#N/A</v>
      </c>
    </row>
    <row r="1847" spans="2:22" x14ac:dyDescent="0.25">
      <c r="B1847" s="16">
        <v>0</v>
      </c>
      <c r="C1847" s="7">
        <v>0</v>
      </c>
      <c r="D1847" s="8">
        <v>1</v>
      </c>
      <c r="E1847" s="8">
        <v>0</v>
      </c>
      <c r="F1847" s="8">
        <v>1</v>
      </c>
      <c r="G1847" s="8">
        <v>1</v>
      </c>
      <c r="H1847" s="8">
        <v>0</v>
      </c>
      <c r="I1847" s="8">
        <v>0</v>
      </c>
      <c r="J1847" s="8">
        <v>1</v>
      </c>
      <c r="K1847" s="9">
        <v>1</v>
      </c>
      <c r="L1847" s="10">
        <v>1</v>
      </c>
      <c r="M1847" s="6">
        <v>0</v>
      </c>
      <c r="N1847" s="37" t="e" cm="1">
        <f t="array" ref="N1847">IF(OR(ISNUMBER(FIND(Aux!$D$3:$D$9,_xlfn.TEXTJOIN(,,C1847:K1847)))),NA(),IF(AND(SUM(C1847:F1847,H1847:K1847)=0,G1847=1),0,INT((SUMPRODUCT(C1847:F1847,COLUMN($A$1:$D$1)-1)+SUMPRODUCT(H1847:K1847,COLUMN($E$1:$H$1)-1))*'Line Follower'!$C$3/SUM(C1847:F1847,H1847:K1847)-'Line Follower'!$C$5)))</f>
        <v>#N/A</v>
      </c>
      <c r="O1847" s="22" t="e">
        <v>#N/A</v>
      </c>
      <c r="P1847" s="4" t="e">
        <f t="shared" si="140"/>
        <v>#N/A</v>
      </c>
      <c r="Q1847" s="4" t="e">
        <f t="shared" si="141"/>
        <v>#N/A</v>
      </c>
      <c r="R1847" s="4" t="e">
        <f>IF(AND(B1847=1,N1847&gt;'Line Follower'!$C$7,SUM(C1847:K1847)&lt;4),1,0)</f>
        <v>#N/A</v>
      </c>
      <c r="S1847" s="4" t="e">
        <f>IF(AND(L1847=1,N1847&lt;'Line Follower'!$C$6,SUM(C1847:K1847)&lt;4),1,0)</f>
        <v>#N/A</v>
      </c>
      <c r="T1847" s="4" t="e">
        <f t="shared" si="142"/>
        <v>#N/A</v>
      </c>
      <c r="U1847" s="5" t="e">
        <f t="shared" si="143"/>
        <v>#N/A</v>
      </c>
      <c r="V1847" s="23" t="e">
        <f t="shared" si="144"/>
        <v>#N/A</v>
      </c>
    </row>
    <row r="1848" spans="2:22" x14ac:dyDescent="0.25">
      <c r="B1848" s="16">
        <v>1</v>
      </c>
      <c r="C1848" s="7">
        <v>0</v>
      </c>
      <c r="D1848" s="8">
        <v>1</v>
      </c>
      <c r="E1848" s="8">
        <v>0</v>
      </c>
      <c r="F1848" s="8">
        <v>1</v>
      </c>
      <c r="G1848" s="8">
        <v>1</v>
      </c>
      <c r="H1848" s="8">
        <v>0</v>
      </c>
      <c r="I1848" s="8">
        <v>0</v>
      </c>
      <c r="J1848" s="8">
        <v>1</v>
      </c>
      <c r="K1848" s="9">
        <v>1</v>
      </c>
      <c r="L1848" s="10">
        <v>1</v>
      </c>
      <c r="M1848" s="6">
        <v>0</v>
      </c>
      <c r="N1848" s="37" t="e" cm="1">
        <f t="array" ref="N1848">IF(OR(ISNUMBER(FIND(Aux!$D$3:$D$9,_xlfn.TEXTJOIN(,,C1848:K1848)))),NA(),IF(AND(SUM(C1848:F1848,H1848:K1848)=0,G1848=1),0,INT((SUMPRODUCT(C1848:F1848,COLUMN($A$1:$D$1)-1)+SUMPRODUCT(H1848:K1848,COLUMN($E$1:$H$1)-1))*'Line Follower'!$C$3/SUM(C1848:F1848,H1848:K1848)-'Line Follower'!$C$5)))</f>
        <v>#N/A</v>
      </c>
      <c r="O1848" s="22" t="e">
        <v>#N/A</v>
      </c>
      <c r="P1848" s="4" t="e">
        <f t="shared" si="140"/>
        <v>#N/A</v>
      </c>
      <c r="Q1848" s="4" t="e">
        <f t="shared" si="141"/>
        <v>#N/A</v>
      </c>
      <c r="R1848" s="4" t="e">
        <f>IF(AND(B1848=1,N1848&gt;'Line Follower'!$C$7,SUM(C1848:K1848)&lt;4),1,0)</f>
        <v>#N/A</v>
      </c>
      <c r="S1848" s="4" t="e">
        <f>IF(AND(L1848=1,N1848&lt;'Line Follower'!$C$6,SUM(C1848:K1848)&lt;4),1,0)</f>
        <v>#N/A</v>
      </c>
      <c r="T1848" s="4" t="e">
        <f t="shared" si="142"/>
        <v>#N/A</v>
      </c>
      <c r="U1848" s="5" t="e">
        <f t="shared" si="143"/>
        <v>#N/A</v>
      </c>
      <c r="V1848" s="23" t="e">
        <f t="shared" si="144"/>
        <v>#N/A</v>
      </c>
    </row>
    <row r="1849" spans="2:22" x14ac:dyDescent="0.25">
      <c r="B1849" s="16">
        <v>0</v>
      </c>
      <c r="C1849" s="7">
        <v>1</v>
      </c>
      <c r="D1849" s="8">
        <v>1</v>
      </c>
      <c r="E1849" s="8">
        <v>0</v>
      </c>
      <c r="F1849" s="8">
        <v>1</v>
      </c>
      <c r="G1849" s="8">
        <v>1</v>
      </c>
      <c r="H1849" s="8">
        <v>0</v>
      </c>
      <c r="I1849" s="8">
        <v>0</v>
      </c>
      <c r="J1849" s="8">
        <v>1</v>
      </c>
      <c r="K1849" s="9">
        <v>1</v>
      </c>
      <c r="L1849" s="10">
        <v>1</v>
      </c>
      <c r="M1849" s="6">
        <v>0</v>
      </c>
      <c r="N1849" s="37" t="e" cm="1">
        <f t="array" ref="N1849">IF(OR(ISNUMBER(FIND(Aux!$D$3:$D$9,_xlfn.TEXTJOIN(,,C1849:K1849)))),NA(),IF(AND(SUM(C1849:F1849,H1849:K1849)=0,G1849=1),0,INT((SUMPRODUCT(C1849:F1849,COLUMN($A$1:$D$1)-1)+SUMPRODUCT(H1849:K1849,COLUMN($E$1:$H$1)-1))*'Line Follower'!$C$3/SUM(C1849:F1849,H1849:K1849)-'Line Follower'!$C$5)))</f>
        <v>#N/A</v>
      </c>
      <c r="O1849" s="22" t="e">
        <v>#N/A</v>
      </c>
      <c r="P1849" s="4" t="e">
        <f t="shared" si="140"/>
        <v>#N/A</v>
      </c>
      <c r="Q1849" s="4" t="e">
        <f t="shared" si="141"/>
        <v>#N/A</v>
      </c>
      <c r="R1849" s="4" t="e">
        <f>IF(AND(B1849=1,N1849&gt;'Line Follower'!$C$7,SUM(C1849:K1849)&lt;4),1,0)</f>
        <v>#N/A</v>
      </c>
      <c r="S1849" s="4" t="e">
        <f>IF(AND(L1849=1,N1849&lt;'Line Follower'!$C$6,SUM(C1849:K1849)&lt;4),1,0)</f>
        <v>#N/A</v>
      </c>
      <c r="T1849" s="4" t="e">
        <f t="shared" si="142"/>
        <v>#N/A</v>
      </c>
      <c r="U1849" s="5" t="e">
        <f t="shared" si="143"/>
        <v>#N/A</v>
      </c>
      <c r="V1849" s="23" t="e">
        <f t="shared" si="144"/>
        <v>#N/A</v>
      </c>
    </row>
    <row r="1850" spans="2:22" x14ac:dyDescent="0.25">
      <c r="B1850" s="16">
        <v>1</v>
      </c>
      <c r="C1850" s="7">
        <v>1</v>
      </c>
      <c r="D1850" s="8">
        <v>1</v>
      </c>
      <c r="E1850" s="8">
        <v>0</v>
      </c>
      <c r="F1850" s="8">
        <v>1</v>
      </c>
      <c r="G1850" s="8">
        <v>1</v>
      </c>
      <c r="H1850" s="8">
        <v>0</v>
      </c>
      <c r="I1850" s="8">
        <v>0</v>
      </c>
      <c r="J1850" s="8">
        <v>1</v>
      </c>
      <c r="K1850" s="9">
        <v>1</v>
      </c>
      <c r="L1850" s="10">
        <v>1</v>
      </c>
      <c r="M1850" s="6">
        <v>0</v>
      </c>
      <c r="N1850" s="37" t="e" cm="1">
        <f t="array" ref="N1850">IF(OR(ISNUMBER(FIND(Aux!$D$3:$D$9,_xlfn.TEXTJOIN(,,C1850:K1850)))),NA(),IF(AND(SUM(C1850:F1850,H1850:K1850)=0,G1850=1),0,INT((SUMPRODUCT(C1850:F1850,COLUMN($A$1:$D$1)-1)+SUMPRODUCT(H1850:K1850,COLUMN($E$1:$H$1)-1))*'Line Follower'!$C$3/SUM(C1850:F1850,H1850:K1850)-'Line Follower'!$C$5)))</f>
        <v>#N/A</v>
      </c>
      <c r="O1850" s="22" t="e">
        <v>#N/A</v>
      </c>
      <c r="P1850" s="4" t="e">
        <f t="shared" si="140"/>
        <v>#N/A</v>
      </c>
      <c r="Q1850" s="4" t="e">
        <f t="shared" si="141"/>
        <v>#N/A</v>
      </c>
      <c r="R1850" s="4" t="e">
        <f>IF(AND(B1850=1,N1850&gt;'Line Follower'!$C$7,SUM(C1850:K1850)&lt;4),1,0)</f>
        <v>#N/A</v>
      </c>
      <c r="S1850" s="4" t="e">
        <f>IF(AND(L1850=1,N1850&lt;'Line Follower'!$C$6,SUM(C1850:K1850)&lt;4),1,0)</f>
        <v>#N/A</v>
      </c>
      <c r="T1850" s="4" t="e">
        <f t="shared" si="142"/>
        <v>#N/A</v>
      </c>
      <c r="U1850" s="5" t="e">
        <f t="shared" si="143"/>
        <v>#N/A</v>
      </c>
      <c r="V1850" s="23" t="e">
        <f t="shared" si="144"/>
        <v>#N/A</v>
      </c>
    </row>
    <row r="1851" spans="2:22" x14ac:dyDescent="0.25">
      <c r="B1851" s="16">
        <v>0</v>
      </c>
      <c r="C1851" s="7">
        <v>0</v>
      </c>
      <c r="D1851" s="8">
        <v>0</v>
      </c>
      <c r="E1851" s="8">
        <v>1</v>
      </c>
      <c r="F1851" s="8">
        <v>1</v>
      </c>
      <c r="G1851" s="8">
        <v>1</v>
      </c>
      <c r="H1851" s="8">
        <v>0</v>
      </c>
      <c r="I1851" s="8">
        <v>0</v>
      </c>
      <c r="J1851" s="8">
        <v>1</v>
      </c>
      <c r="K1851" s="9">
        <v>1</v>
      </c>
      <c r="L1851" s="10">
        <v>1</v>
      </c>
      <c r="M1851" s="6">
        <v>0</v>
      </c>
      <c r="N1851" s="37" t="e" cm="1">
        <f t="array" ref="N1851">IF(OR(ISNUMBER(FIND(Aux!$D$3:$D$9,_xlfn.TEXTJOIN(,,C1851:K1851)))),NA(),IF(AND(SUM(C1851:F1851,H1851:K1851)=0,G1851=1),0,INT((SUMPRODUCT(C1851:F1851,COLUMN($A$1:$D$1)-1)+SUMPRODUCT(H1851:K1851,COLUMN($E$1:$H$1)-1))*'Line Follower'!$C$3/SUM(C1851:F1851,H1851:K1851)-'Line Follower'!$C$5)))</f>
        <v>#N/A</v>
      </c>
      <c r="O1851" s="22" t="e">
        <v>#N/A</v>
      </c>
      <c r="P1851" s="4" t="e">
        <f t="shared" si="140"/>
        <v>#N/A</v>
      </c>
      <c r="Q1851" s="4" t="e">
        <f t="shared" si="141"/>
        <v>#N/A</v>
      </c>
      <c r="R1851" s="4" t="e">
        <f>IF(AND(B1851=1,N1851&gt;'Line Follower'!$C$7,SUM(C1851:K1851)&lt;4),1,0)</f>
        <v>#N/A</v>
      </c>
      <c r="S1851" s="4" t="e">
        <f>IF(AND(L1851=1,N1851&lt;'Line Follower'!$C$6,SUM(C1851:K1851)&lt;4),1,0)</f>
        <v>#N/A</v>
      </c>
      <c r="T1851" s="4" t="e">
        <f t="shared" si="142"/>
        <v>#N/A</v>
      </c>
      <c r="U1851" s="5" t="e">
        <f t="shared" si="143"/>
        <v>#N/A</v>
      </c>
      <c r="V1851" s="23" t="e">
        <f t="shared" si="144"/>
        <v>#N/A</v>
      </c>
    </row>
    <row r="1852" spans="2:22" x14ac:dyDescent="0.25">
      <c r="B1852" s="16">
        <v>1</v>
      </c>
      <c r="C1852" s="7">
        <v>0</v>
      </c>
      <c r="D1852" s="8">
        <v>0</v>
      </c>
      <c r="E1852" s="8">
        <v>1</v>
      </c>
      <c r="F1852" s="8">
        <v>1</v>
      </c>
      <c r="G1852" s="8">
        <v>1</v>
      </c>
      <c r="H1852" s="8">
        <v>0</v>
      </c>
      <c r="I1852" s="8">
        <v>0</v>
      </c>
      <c r="J1852" s="8">
        <v>1</v>
      </c>
      <c r="K1852" s="9">
        <v>1</v>
      </c>
      <c r="L1852" s="10">
        <v>1</v>
      </c>
      <c r="M1852" s="6">
        <v>0</v>
      </c>
      <c r="N1852" s="37" t="e" cm="1">
        <f t="array" ref="N1852">IF(OR(ISNUMBER(FIND(Aux!$D$3:$D$9,_xlfn.TEXTJOIN(,,C1852:K1852)))),NA(),IF(AND(SUM(C1852:F1852,H1852:K1852)=0,G1852=1),0,INT((SUMPRODUCT(C1852:F1852,COLUMN($A$1:$D$1)-1)+SUMPRODUCT(H1852:K1852,COLUMN($E$1:$H$1)-1))*'Line Follower'!$C$3/SUM(C1852:F1852,H1852:K1852)-'Line Follower'!$C$5)))</f>
        <v>#N/A</v>
      </c>
      <c r="O1852" s="22" t="e">
        <v>#N/A</v>
      </c>
      <c r="P1852" s="4" t="e">
        <f t="shared" si="140"/>
        <v>#N/A</v>
      </c>
      <c r="Q1852" s="4" t="e">
        <f t="shared" si="141"/>
        <v>#N/A</v>
      </c>
      <c r="R1852" s="4" t="e">
        <f>IF(AND(B1852=1,N1852&gt;'Line Follower'!$C$7,SUM(C1852:K1852)&lt;4),1,0)</f>
        <v>#N/A</v>
      </c>
      <c r="S1852" s="4" t="e">
        <f>IF(AND(L1852=1,N1852&lt;'Line Follower'!$C$6,SUM(C1852:K1852)&lt;4),1,0)</f>
        <v>#N/A</v>
      </c>
      <c r="T1852" s="4" t="e">
        <f t="shared" si="142"/>
        <v>#N/A</v>
      </c>
      <c r="U1852" s="5" t="e">
        <f t="shared" si="143"/>
        <v>#N/A</v>
      </c>
      <c r="V1852" s="23" t="e">
        <f t="shared" si="144"/>
        <v>#N/A</v>
      </c>
    </row>
    <row r="1853" spans="2:22" x14ac:dyDescent="0.25">
      <c r="B1853" s="16">
        <v>0</v>
      </c>
      <c r="C1853" s="7">
        <v>1</v>
      </c>
      <c r="D1853" s="8">
        <v>0</v>
      </c>
      <c r="E1853" s="8">
        <v>1</v>
      </c>
      <c r="F1853" s="8">
        <v>1</v>
      </c>
      <c r="G1853" s="8">
        <v>1</v>
      </c>
      <c r="H1853" s="8">
        <v>0</v>
      </c>
      <c r="I1853" s="8">
        <v>0</v>
      </c>
      <c r="J1853" s="8">
        <v>1</v>
      </c>
      <c r="K1853" s="9">
        <v>1</v>
      </c>
      <c r="L1853" s="10">
        <v>1</v>
      </c>
      <c r="M1853" s="6">
        <v>0</v>
      </c>
      <c r="N1853" s="37" t="e" cm="1">
        <f t="array" ref="N1853">IF(OR(ISNUMBER(FIND(Aux!$D$3:$D$9,_xlfn.TEXTJOIN(,,C1853:K1853)))),NA(),IF(AND(SUM(C1853:F1853,H1853:K1853)=0,G1853=1),0,INT((SUMPRODUCT(C1853:F1853,COLUMN($A$1:$D$1)-1)+SUMPRODUCT(H1853:K1853,COLUMN($E$1:$H$1)-1))*'Line Follower'!$C$3/SUM(C1853:F1853,H1853:K1853)-'Line Follower'!$C$5)))</f>
        <v>#N/A</v>
      </c>
      <c r="O1853" s="22" t="e">
        <v>#N/A</v>
      </c>
      <c r="P1853" s="4" t="e">
        <f t="shared" si="140"/>
        <v>#N/A</v>
      </c>
      <c r="Q1853" s="4" t="e">
        <f t="shared" si="141"/>
        <v>#N/A</v>
      </c>
      <c r="R1853" s="4" t="e">
        <f>IF(AND(B1853=1,N1853&gt;'Line Follower'!$C$7,SUM(C1853:K1853)&lt;4),1,0)</f>
        <v>#N/A</v>
      </c>
      <c r="S1853" s="4" t="e">
        <f>IF(AND(L1853=1,N1853&lt;'Line Follower'!$C$6,SUM(C1853:K1853)&lt;4),1,0)</f>
        <v>#N/A</v>
      </c>
      <c r="T1853" s="4" t="e">
        <f t="shared" si="142"/>
        <v>#N/A</v>
      </c>
      <c r="U1853" s="5" t="e">
        <f t="shared" si="143"/>
        <v>#N/A</v>
      </c>
      <c r="V1853" s="23" t="e">
        <f t="shared" si="144"/>
        <v>#N/A</v>
      </c>
    </row>
    <row r="1854" spans="2:22" x14ac:dyDescent="0.25">
      <c r="B1854" s="16">
        <v>1</v>
      </c>
      <c r="C1854" s="7">
        <v>1</v>
      </c>
      <c r="D1854" s="8">
        <v>0</v>
      </c>
      <c r="E1854" s="8">
        <v>1</v>
      </c>
      <c r="F1854" s="8">
        <v>1</v>
      </c>
      <c r="G1854" s="8">
        <v>1</v>
      </c>
      <c r="H1854" s="8">
        <v>0</v>
      </c>
      <c r="I1854" s="8">
        <v>0</v>
      </c>
      <c r="J1854" s="8">
        <v>1</v>
      </c>
      <c r="K1854" s="9">
        <v>1</v>
      </c>
      <c r="L1854" s="10">
        <v>1</v>
      </c>
      <c r="M1854" s="6">
        <v>0</v>
      </c>
      <c r="N1854" s="37" t="e" cm="1">
        <f t="array" ref="N1854">IF(OR(ISNUMBER(FIND(Aux!$D$3:$D$9,_xlfn.TEXTJOIN(,,C1854:K1854)))),NA(),IF(AND(SUM(C1854:F1854,H1854:K1854)=0,G1854=1),0,INT((SUMPRODUCT(C1854:F1854,COLUMN($A$1:$D$1)-1)+SUMPRODUCT(H1854:K1854,COLUMN($E$1:$H$1)-1))*'Line Follower'!$C$3/SUM(C1854:F1854,H1854:K1854)-'Line Follower'!$C$5)))</f>
        <v>#N/A</v>
      </c>
      <c r="O1854" s="22" t="e">
        <v>#N/A</v>
      </c>
      <c r="P1854" s="4" t="e">
        <f t="shared" si="140"/>
        <v>#N/A</v>
      </c>
      <c r="Q1854" s="4" t="e">
        <f t="shared" si="141"/>
        <v>#N/A</v>
      </c>
      <c r="R1854" s="4" t="e">
        <f>IF(AND(B1854=1,N1854&gt;'Line Follower'!$C$7,SUM(C1854:K1854)&lt;4),1,0)</f>
        <v>#N/A</v>
      </c>
      <c r="S1854" s="4" t="e">
        <f>IF(AND(L1854=1,N1854&lt;'Line Follower'!$C$6,SUM(C1854:K1854)&lt;4),1,0)</f>
        <v>#N/A</v>
      </c>
      <c r="T1854" s="4" t="e">
        <f t="shared" si="142"/>
        <v>#N/A</v>
      </c>
      <c r="U1854" s="5" t="e">
        <f t="shared" si="143"/>
        <v>#N/A</v>
      </c>
      <c r="V1854" s="23" t="e">
        <f t="shared" si="144"/>
        <v>#N/A</v>
      </c>
    </row>
    <row r="1855" spans="2:22" x14ac:dyDescent="0.25">
      <c r="B1855" s="16">
        <v>0</v>
      </c>
      <c r="C1855" s="7">
        <v>0</v>
      </c>
      <c r="D1855" s="8">
        <v>1</v>
      </c>
      <c r="E1855" s="8">
        <v>1</v>
      </c>
      <c r="F1855" s="8">
        <v>1</v>
      </c>
      <c r="G1855" s="8">
        <v>1</v>
      </c>
      <c r="H1855" s="8">
        <v>0</v>
      </c>
      <c r="I1855" s="8">
        <v>0</v>
      </c>
      <c r="J1855" s="8">
        <v>1</v>
      </c>
      <c r="K1855" s="9">
        <v>1</v>
      </c>
      <c r="L1855" s="10">
        <v>1</v>
      </c>
      <c r="M1855" s="6">
        <v>0</v>
      </c>
      <c r="N1855" s="37" t="e" cm="1">
        <f t="array" ref="N1855">IF(OR(ISNUMBER(FIND(Aux!$D$3:$D$9,_xlfn.TEXTJOIN(,,C1855:K1855)))),NA(),IF(AND(SUM(C1855:F1855,H1855:K1855)=0,G1855=1),0,INT((SUMPRODUCT(C1855:F1855,COLUMN($A$1:$D$1)-1)+SUMPRODUCT(H1855:K1855,COLUMN($E$1:$H$1)-1))*'Line Follower'!$C$3/SUM(C1855:F1855,H1855:K1855)-'Line Follower'!$C$5)))</f>
        <v>#N/A</v>
      </c>
      <c r="O1855" s="22" t="e">
        <v>#N/A</v>
      </c>
      <c r="P1855" s="4" t="e">
        <f t="shared" si="140"/>
        <v>#N/A</v>
      </c>
      <c r="Q1855" s="4" t="e">
        <f t="shared" si="141"/>
        <v>#N/A</v>
      </c>
      <c r="R1855" s="4" t="e">
        <f>IF(AND(B1855=1,N1855&gt;'Line Follower'!$C$7,SUM(C1855:K1855)&lt;4),1,0)</f>
        <v>#N/A</v>
      </c>
      <c r="S1855" s="4" t="e">
        <f>IF(AND(L1855=1,N1855&lt;'Line Follower'!$C$6,SUM(C1855:K1855)&lt;4),1,0)</f>
        <v>#N/A</v>
      </c>
      <c r="T1855" s="4" t="e">
        <f t="shared" si="142"/>
        <v>#N/A</v>
      </c>
      <c r="U1855" s="5" t="e">
        <f t="shared" si="143"/>
        <v>#N/A</v>
      </c>
      <c r="V1855" s="23" t="e">
        <f t="shared" si="144"/>
        <v>#N/A</v>
      </c>
    </row>
    <row r="1856" spans="2:22" x14ac:dyDescent="0.25">
      <c r="B1856" s="16">
        <v>1</v>
      </c>
      <c r="C1856" s="7">
        <v>0</v>
      </c>
      <c r="D1856" s="8">
        <v>1</v>
      </c>
      <c r="E1856" s="8">
        <v>1</v>
      </c>
      <c r="F1856" s="8">
        <v>1</v>
      </c>
      <c r="G1856" s="8">
        <v>1</v>
      </c>
      <c r="H1856" s="8">
        <v>0</v>
      </c>
      <c r="I1856" s="8">
        <v>0</v>
      </c>
      <c r="J1856" s="8">
        <v>1</v>
      </c>
      <c r="K1856" s="9">
        <v>1</v>
      </c>
      <c r="L1856" s="10">
        <v>1</v>
      </c>
      <c r="M1856" s="6">
        <v>0</v>
      </c>
      <c r="N1856" s="37" t="e" cm="1">
        <f t="array" ref="N1856">IF(OR(ISNUMBER(FIND(Aux!$D$3:$D$9,_xlfn.TEXTJOIN(,,C1856:K1856)))),NA(),IF(AND(SUM(C1856:F1856,H1856:K1856)=0,G1856=1),0,INT((SUMPRODUCT(C1856:F1856,COLUMN($A$1:$D$1)-1)+SUMPRODUCT(H1856:K1856,COLUMN($E$1:$H$1)-1))*'Line Follower'!$C$3/SUM(C1856:F1856,H1856:K1856)-'Line Follower'!$C$5)))</f>
        <v>#N/A</v>
      </c>
      <c r="O1856" s="22" t="e">
        <v>#N/A</v>
      </c>
      <c r="P1856" s="4" t="e">
        <f t="shared" si="140"/>
        <v>#N/A</v>
      </c>
      <c r="Q1856" s="4" t="e">
        <f t="shared" si="141"/>
        <v>#N/A</v>
      </c>
      <c r="R1856" s="4" t="e">
        <f>IF(AND(B1856=1,N1856&gt;'Line Follower'!$C$7,SUM(C1856:K1856)&lt;4),1,0)</f>
        <v>#N/A</v>
      </c>
      <c r="S1856" s="4" t="e">
        <f>IF(AND(L1856=1,N1856&lt;'Line Follower'!$C$6,SUM(C1856:K1856)&lt;4),1,0)</f>
        <v>#N/A</v>
      </c>
      <c r="T1856" s="4" t="e">
        <f t="shared" si="142"/>
        <v>#N/A</v>
      </c>
      <c r="U1856" s="5" t="e">
        <f t="shared" si="143"/>
        <v>#N/A</v>
      </c>
      <c r="V1856" s="23" t="e">
        <f t="shared" si="144"/>
        <v>#N/A</v>
      </c>
    </row>
    <row r="1857" spans="2:22" x14ac:dyDescent="0.25">
      <c r="B1857" s="16">
        <v>0</v>
      </c>
      <c r="C1857" s="7">
        <v>1</v>
      </c>
      <c r="D1857" s="8">
        <v>1</v>
      </c>
      <c r="E1857" s="8">
        <v>1</v>
      </c>
      <c r="F1857" s="8">
        <v>1</v>
      </c>
      <c r="G1857" s="8">
        <v>1</v>
      </c>
      <c r="H1857" s="8">
        <v>0</v>
      </c>
      <c r="I1857" s="8">
        <v>0</v>
      </c>
      <c r="J1857" s="8">
        <v>1</v>
      </c>
      <c r="K1857" s="9">
        <v>1</v>
      </c>
      <c r="L1857" s="10">
        <v>1</v>
      </c>
      <c r="M1857" s="6">
        <v>0</v>
      </c>
      <c r="N1857" s="37" t="e" cm="1">
        <f t="array" ref="N1857">IF(OR(ISNUMBER(FIND(Aux!$D$3:$D$9,_xlfn.TEXTJOIN(,,C1857:K1857)))),NA(),IF(AND(SUM(C1857:F1857,H1857:K1857)=0,G1857=1),0,INT((SUMPRODUCT(C1857:F1857,COLUMN($A$1:$D$1)-1)+SUMPRODUCT(H1857:K1857,COLUMN($E$1:$H$1)-1))*'Line Follower'!$C$3/SUM(C1857:F1857,H1857:K1857)-'Line Follower'!$C$5)))</f>
        <v>#N/A</v>
      </c>
      <c r="O1857" s="22" t="e">
        <v>#N/A</v>
      </c>
      <c r="P1857" s="4" t="e">
        <f t="shared" si="140"/>
        <v>#N/A</v>
      </c>
      <c r="Q1857" s="4" t="e">
        <f t="shared" si="141"/>
        <v>#N/A</v>
      </c>
      <c r="R1857" s="4" t="e">
        <f>IF(AND(B1857=1,N1857&gt;'Line Follower'!$C$7,SUM(C1857:K1857)&lt;4),1,0)</f>
        <v>#N/A</v>
      </c>
      <c r="S1857" s="4" t="e">
        <f>IF(AND(L1857=1,N1857&lt;'Line Follower'!$C$6,SUM(C1857:K1857)&lt;4),1,0)</f>
        <v>#N/A</v>
      </c>
      <c r="T1857" s="4" t="e">
        <f t="shared" si="142"/>
        <v>#N/A</v>
      </c>
      <c r="U1857" s="5" t="e">
        <f t="shared" si="143"/>
        <v>#N/A</v>
      </c>
      <c r="V1857" s="23" t="e">
        <f t="shared" si="144"/>
        <v>#N/A</v>
      </c>
    </row>
    <row r="1858" spans="2:22" x14ac:dyDescent="0.25">
      <c r="B1858" s="16">
        <v>1</v>
      </c>
      <c r="C1858" s="7">
        <v>1</v>
      </c>
      <c r="D1858" s="8">
        <v>1</v>
      </c>
      <c r="E1858" s="8">
        <v>1</v>
      </c>
      <c r="F1858" s="8">
        <v>1</v>
      </c>
      <c r="G1858" s="8">
        <v>1</v>
      </c>
      <c r="H1858" s="8">
        <v>0</v>
      </c>
      <c r="I1858" s="8">
        <v>0</v>
      </c>
      <c r="J1858" s="8">
        <v>1</v>
      </c>
      <c r="K1858" s="9">
        <v>1</v>
      </c>
      <c r="L1858" s="10">
        <v>1</v>
      </c>
      <c r="M1858" s="6">
        <v>0</v>
      </c>
      <c r="N1858" s="37" t="e" cm="1">
        <f t="array" ref="N1858">IF(OR(ISNUMBER(FIND(Aux!$D$3:$D$9,_xlfn.TEXTJOIN(,,C1858:K1858)))),NA(),IF(AND(SUM(C1858:F1858,H1858:K1858)=0,G1858=1),0,INT((SUMPRODUCT(C1858:F1858,COLUMN($A$1:$D$1)-1)+SUMPRODUCT(H1858:K1858,COLUMN($E$1:$H$1)-1))*'Line Follower'!$C$3/SUM(C1858:F1858,H1858:K1858)-'Line Follower'!$C$5)))</f>
        <v>#N/A</v>
      </c>
      <c r="O1858" s="22" t="e">
        <v>#N/A</v>
      </c>
      <c r="P1858" s="4" t="e">
        <f t="shared" si="140"/>
        <v>#N/A</v>
      </c>
      <c r="Q1858" s="4" t="e">
        <f t="shared" si="141"/>
        <v>#N/A</v>
      </c>
      <c r="R1858" s="4" t="e">
        <f>IF(AND(B1858=1,N1858&gt;'Line Follower'!$C$7,SUM(C1858:K1858)&lt;4),1,0)</f>
        <v>#N/A</v>
      </c>
      <c r="S1858" s="4" t="e">
        <f>IF(AND(L1858=1,N1858&lt;'Line Follower'!$C$6,SUM(C1858:K1858)&lt;4),1,0)</f>
        <v>#N/A</v>
      </c>
      <c r="T1858" s="4" t="e">
        <f t="shared" si="142"/>
        <v>#N/A</v>
      </c>
      <c r="U1858" s="5" t="e">
        <f t="shared" si="143"/>
        <v>#N/A</v>
      </c>
      <c r="V1858" s="23" t="e">
        <f t="shared" si="144"/>
        <v>#N/A</v>
      </c>
    </row>
    <row r="1859" spans="2:22" x14ac:dyDescent="0.25">
      <c r="B1859" s="16">
        <v>0</v>
      </c>
      <c r="C1859" s="7">
        <v>0</v>
      </c>
      <c r="D1859" s="8">
        <v>0</v>
      </c>
      <c r="E1859" s="8">
        <v>0</v>
      </c>
      <c r="F1859" s="8">
        <v>0</v>
      </c>
      <c r="G1859" s="8">
        <v>0</v>
      </c>
      <c r="H1859" s="8">
        <v>1</v>
      </c>
      <c r="I1859" s="8">
        <v>0</v>
      </c>
      <c r="J1859" s="8">
        <v>1</v>
      </c>
      <c r="K1859" s="9">
        <v>1</v>
      </c>
      <c r="L1859" s="10">
        <v>1</v>
      </c>
      <c r="M1859" s="6">
        <v>0</v>
      </c>
      <c r="N1859" s="37" t="e" cm="1">
        <f t="array" ref="N1859">IF(OR(ISNUMBER(FIND(Aux!$D$3:$D$9,_xlfn.TEXTJOIN(,,C1859:K1859)))),NA(),IF(AND(SUM(C1859:F1859,H1859:K1859)=0,G1859=1),0,INT((SUMPRODUCT(C1859:F1859,COLUMN($A$1:$D$1)-1)+SUMPRODUCT(H1859:K1859,COLUMN($E$1:$H$1)-1))*'Line Follower'!$C$3/SUM(C1859:F1859,H1859:K1859)-'Line Follower'!$C$5)))</f>
        <v>#N/A</v>
      </c>
      <c r="O1859" s="22" t="e">
        <v>#N/A</v>
      </c>
      <c r="P1859" s="4" t="e">
        <f t="shared" ref="P1859:P1922" si="145">IF(AND(N1859=0,G1859=1,M1859=1),1,0)</f>
        <v>#N/A</v>
      </c>
      <c r="Q1859" s="4" t="e">
        <f t="shared" ref="Q1859:Q1922" si="146">IF(ISERROR(N1859),N1859,IF(SUM(C1859:K1859)&gt;=4,1,0))</f>
        <v>#N/A</v>
      </c>
      <c r="R1859" s="4" t="e">
        <f>IF(AND(B1859=1,N1859&gt;'Line Follower'!$C$7,SUM(C1859:K1859)&lt;4),1,0)</f>
        <v>#N/A</v>
      </c>
      <c r="S1859" s="4" t="e">
        <f>IF(AND(L1859=1,N1859&lt;'Line Follower'!$C$6,SUM(C1859:K1859)&lt;4),1,0)</f>
        <v>#N/A</v>
      </c>
      <c r="T1859" s="4" t="e">
        <f t="shared" si="142"/>
        <v>#N/A</v>
      </c>
      <c r="U1859" s="5" t="e">
        <f t="shared" si="143"/>
        <v>#N/A</v>
      </c>
      <c r="V1859" s="23" t="e">
        <f t="shared" si="144"/>
        <v>#N/A</v>
      </c>
    </row>
    <row r="1860" spans="2:22" x14ac:dyDescent="0.25">
      <c r="B1860" s="16">
        <v>1</v>
      </c>
      <c r="C1860" s="7">
        <v>0</v>
      </c>
      <c r="D1860" s="8">
        <v>0</v>
      </c>
      <c r="E1860" s="8">
        <v>0</v>
      </c>
      <c r="F1860" s="8">
        <v>0</v>
      </c>
      <c r="G1860" s="8">
        <v>0</v>
      </c>
      <c r="H1860" s="8">
        <v>1</v>
      </c>
      <c r="I1860" s="8">
        <v>0</v>
      </c>
      <c r="J1860" s="8">
        <v>1</v>
      </c>
      <c r="K1860" s="9">
        <v>1</v>
      </c>
      <c r="L1860" s="10">
        <v>1</v>
      </c>
      <c r="M1860" s="6">
        <v>0</v>
      </c>
      <c r="N1860" s="37" t="e" cm="1">
        <f t="array" ref="N1860">IF(OR(ISNUMBER(FIND(Aux!$D$3:$D$9,_xlfn.TEXTJOIN(,,C1860:K1860)))),NA(),IF(AND(SUM(C1860:F1860,H1860:K1860)=0,G1860=1),0,INT((SUMPRODUCT(C1860:F1860,COLUMN($A$1:$D$1)-1)+SUMPRODUCT(H1860:K1860,COLUMN($E$1:$H$1)-1))*'Line Follower'!$C$3/SUM(C1860:F1860,H1860:K1860)-'Line Follower'!$C$5)))</f>
        <v>#N/A</v>
      </c>
      <c r="O1860" s="22" t="e">
        <v>#N/A</v>
      </c>
      <c r="P1860" s="4" t="e">
        <f t="shared" si="145"/>
        <v>#N/A</v>
      </c>
      <c r="Q1860" s="4" t="e">
        <f t="shared" si="146"/>
        <v>#N/A</v>
      </c>
      <c r="R1860" s="4" t="e">
        <f>IF(AND(B1860=1,N1860&gt;'Line Follower'!$C$7,SUM(C1860:K1860)&lt;4),1,0)</f>
        <v>#N/A</v>
      </c>
      <c r="S1860" s="4" t="e">
        <f>IF(AND(L1860=1,N1860&lt;'Line Follower'!$C$6,SUM(C1860:K1860)&lt;4),1,0)</f>
        <v>#N/A</v>
      </c>
      <c r="T1860" s="4" t="e">
        <f t="shared" ref="T1860:T1923" si="147">IF(ISNA(N1860),NA(),IF(SUM(C1860:L1860)=0,1,0))</f>
        <v>#N/A</v>
      </c>
      <c r="U1860" s="5" t="e">
        <f t="shared" ref="U1860:U1923" si="148">IF(ISNA(N1860),NA(),IF(SUM(B1860:K1860)=0,1,0))</f>
        <v>#N/A</v>
      </c>
      <c r="V1860" s="23" t="e">
        <f t="shared" ref="V1860:V1923" si="149">IF(ISNA(N1860),NA(),IF(SUM(B1860:L1860)=0,1,0))</f>
        <v>#N/A</v>
      </c>
    </row>
    <row r="1861" spans="2:22" x14ac:dyDescent="0.25">
      <c r="B1861" s="16">
        <v>0</v>
      </c>
      <c r="C1861" s="7">
        <v>1</v>
      </c>
      <c r="D1861" s="8">
        <v>0</v>
      </c>
      <c r="E1861" s="8">
        <v>0</v>
      </c>
      <c r="F1861" s="8">
        <v>0</v>
      </c>
      <c r="G1861" s="8">
        <v>0</v>
      </c>
      <c r="H1861" s="8">
        <v>1</v>
      </c>
      <c r="I1861" s="8">
        <v>0</v>
      </c>
      <c r="J1861" s="8">
        <v>1</v>
      </c>
      <c r="K1861" s="9">
        <v>1</v>
      </c>
      <c r="L1861" s="10">
        <v>1</v>
      </c>
      <c r="M1861" s="6">
        <v>0</v>
      </c>
      <c r="N1861" s="37" t="e" cm="1">
        <f t="array" ref="N1861">IF(OR(ISNUMBER(FIND(Aux!$D$3:$D$9,_xlfn.TEXTJOIN(,,C1861:K1861)))),NA(),IF(AND(SUM(C1861:F1861,H1861:K1861)=0,G1861=1),0,INT((SUMPRODUCT(C1861:F1861,COLUMN($A$1:$D$1)-1)+SUMPRODUCT(H1861:K1861,COLUMN($E$1:$H$1)-1))*'Line Follower'!$C$3/SUM(C1861:F1861,H1861:K1861)-'Line Follower'!$C$5)))</f>
        <v>#N/A</v>
      </c>
      <c r="O1861" s="22" t="e">
        <v>#N/A</v>
      </c>
      <c r="P1861" s="4" t="e">
        <f t="shared" si="145"/>
        <v>#N/A</v>
      </c>
      <c r="Q1861" s="4" t="e">
        <f t="shared" si="146"/>
        <v>#N/A</v>
      </c>
      <c r="R1861" s="4" t="e">
        <f>IF(AND(B1861=1,N1861&gt;'Line Follower'!$C$7,SUM(C1861:K1861)&lt;4),1,0)</f>
        <v>#N/A</v>
      </c>
      <c r="S1861" s="4" t="e">
        <f>IF(AND(L1861=1,N1861&lt;'Line Follower'!$C$6,SUM(C1861:K1861)&lt;4),1,0)</f>
        <v>#N/A</v>
      </c>
      <c r="T1861" s="4" t="e">
        <f t="shared" si="147"/>
        <v>#N/A</v>
      </c>
      <c r="U1861" s="5" t="e">
        <f t="shared" si="148"/>
        <v>#N/A</v>
      </c>
      <c r="V1861" s="23" t="e">
        <f t="shared" si="149"/>
        <v>#N/A</v>
      </c>
    </row>
    <row r="1862" spans="2:22" x14ac:dyDescent="0.25">
      <c r="B1862" s="16">
        <v>1</v>
      </c>
      <c r="C1862" s="7">
        <v>1</v>
      </c>
      <c r="D1862" s="8">
        <v>0</v>
      </c>
      <c r="E1862" s="8">
        <v>0</v>
      </c>
      <c r="F1862" s="8">
        <v>0</v>
      </c>
      <c r="G1862" s="8">
        <v>0</v>
      </c>
      <c r="H1862" s="8">
        <v>1</v>
      </c>
      <c r="I1862" s="8">
        <v>0</v>
      </c>
      <c r="J1862" s="8">
        <v>1</v>
      </c>
      <c r="K1862" s="9">
        <v>1</v>
      </c>
      <c r="L1862" s="10">
        <v>1</v>
      </c>
      <c r="M1862" s="6">
        <v>0</v>
      </c>
      <c r="N1862" s="37" t="e" cm="1">
        <f t="array" ref="N1862">IF(OR(ISNUMBER(FIND(Aux!$D$3:$D$9,_xlfn.TEXTJOIN(,,C1862:K1862)))),NA(),IF(AND(SUM(C1862:F1862,H1862:K1862)=0,G1862=1),0,INT((SUMPRODUCT(C1862:F1862,COLUMN($A$1:$D$1)-1)+SUMPRODUCT(H1862:K1862,COLUMN($E$1:$H$1)-1))*'Line Follower'!$C$3/SUM(C1862:F1862,H1862:K1862)-'Line Follower'!$C$5)))</f>
        <v>#N/A</v>
      </c>
      <c r="O1862" s="22" t="e">
        <v>#N/A</v>
      </c>
      <c r="P1862" s="4" t="e">
        <f t="shared" si="145"/>
        <v>#N/A</v>
      </c>
      <c r="Q1862" s="4" t="e">
        <f t="shared" si="146"/>
        <v>#N/A</v>
      </c>
      <c r="R1862" s="4" t="e">
        <f>IF(AND(B1862=1,N1862&gt;'Line Follower'!$C$7,SUM(C1862:K1862)&lt;4),1,0)</f>
        <v>#N/A</v>
      </c>
      <c r="S1862" s="4" t="e">
        <f>IF(AND(L1862=1,N1862&lt;'Line Follower'!$C$6,SUM(C1862:K1862)&lt;4),1,0)</f>
        <v>#N/A</v>
      </c>
      <c r="T1862" s="4" t="e">
        <f t="shared" si="147"/>
        <v>#N/A</v>
      </c>
      <c r="U1862" s="5" t="e">
        <f t="shared" si="148"/>
        <v>#N/A</v>
      </c>
      <c r="V1862" s="23" t="e">
        <f t="shared" si="149"/>
        <v>#N/A</v>
      </c>
    </row>
    <row r="1863" spans="2:22" x14ac:dyDescent="0.25">
      <c r="B1863" s="16">
        <v>0</v>
      </c>
      <c r="C1863" s="7">
        <v>0</v>
      </c>
      <c r="D1863" s="8">
        <v>1</v>
      </c>
      <c r="E1863" s="8">
        <v>0</v>
      </c>
      <c r="F1863" s="8">
        <v>0</v>
      </c>
      <c r="G1863" s="8">
        <v>0</v>
      </c>
      <c r="H1863" s="8">
        <v>1</v>
      </c>
      <c r="I1863" s="8">
        <v>0</v>
      </c>
      <c r="J1863" s="8">
        <v>1</v>
      </c>
      <c r="K1863" s="9">
        <v>1</v>
      </c>
      <c r="L1863" s="10">
        <v>1</v>
      </c>
      <c r="M1863" s="6">
        <v>0</v>
      </c>
      <c r="N1863" s="37" t="e" cm="1">
        <f t="array" ref="N1863">IF(OR(ISNUMBER(FIND(Aux!$D$3:$D$9,_xlfn.TEXTJOIN(,,C1863:K1863)))),NA(),IF(AND(SUM(C1863:F1863,H1863:K1863)=0,G1863=1),0,INT((SUMPRODUCT(C1863:F1863,COLUMN($A$1:$D$1)-1)+SUMPRODUCT(H1863:K1863,COLUMN($E$1:$H$1)-1))*'Line Follower'!$C$3/SUM(C1863:F1863,H1863:K1863)-'Line Follower'!$C$5)))</f>
        <v>#N/A</v>
      </c>
      <c r="O1863" s="22" t="e">
        <v>#N/A</v>
      </c>
      <c r="P1863" s="4" t="e">
        <f t="shared" si="145"/>
        <v>#N/A</v>
      </c>
      <c r="Q1863" s="4" t="e">
        <f t="shared" si="146"/>
        <v>#N/A</v>
      </c>
      <c r="R1863" s="4" t="e">
        <f>IF(AND(B1863=1,N1863&gt;'Line Follower'!$C$7,SUM(C1863:K1863)&lt;4),1,0)</f>
        <v>#N/A</v>
      </c>
      <c r="S1863" s="4" t="e">
        <f>IF(AND(L1863=1,N1863&lt;'Line Follower'!$C$6,SUM(C1863:K1863)&lt;4),1,0)</f>
        <v>#N/A</v>
      </c>
      <c r="T1863" s="4" t="e">
        <f t="shared" si="147"/>
        <v>#N/A</v>
      </c>
      <c r="U1863" s="5" t="e">
        <f t="shared" si="148"/>
        <v>#N/A</v>
      </c>
      <c r="V1863" s="23" t="e">
        <f t="shared" si="149"/>
        <v>#N/A</v>
      </c>
    </row>
    <row r="1864" spans="2:22" x14ac:dyDescent="0.25">
      <c r="B1864" s="16">
        <v>1</v>
      </c>
      <c r="C1864" s="7">
        <v>0</v>
      </c>
      <c r="D1864" s="8">
        <v>1</v>
      </c>
      <c r="E1864" s="8">
        <v>0</v>
      </c>
      <c r="F1864" s="8">
        <v>0</v>
      </c>
      <c r="G1864" s="8">
        <v>0</v>
      </c>
      <c r="H1864" s="8">
        <v>1</v>
      </c>
      <c r="I1864" s="8">
        <v>0</v>
      </c>
      <c r="J1864" s="8">
        <v>1</v>
      </c>
      <c r="K1864" s="9">
        <v>1</v>
      </c>
      <c r="L1864" s="10">
        <v>1</v>
      </c>
      <c r="M1864" s="6">
        <v>0</v>
      </c>
      <c r="N1864" s="37" t="e" cm="1">
        <f t="array" ref="N1864">IF(OR(ISNUMBER(FIND(Aux!$D$3:$D$9,_xlfn.TEXTJOIN(,,C1864:K1864)))),NA(),IF(AND(SUM(C1864:F1864,H1864:K1864)=0,G1864=1),0,INT((SUMPRODUCT(C1864:F1864,COLUMN($A$1:$D$1)-1)+SUMPRODUCT(H1864:K1864,COLUMN($E$1:$H$1)-1))*'Line Follower'!$C$3/SUM(C1864:F1864,H1864:K1864)-'Line Follower'!$C$5)))</f>
        <v>#N/A</v>
      </c>
      <c r="O1864" s="22" t="e">
        <v>#N/A</v>
      </c>
      <c r="P1864" s="4" t="e">
        <f t="shared" si="145"/>
        <v>#N/A</v>
      </c>
      <c r="Q1864" s="4" t="e">
        <f t="shared" si="146"/>
        <v>#N/A</v>
      </c>
      <c r="R1864" s="4" t="e">
        <f>IF(AND(B1864=1,N1864&gt;'Line Follower'!$C$7,SUM(C1864:K1864)&lt;4),1,0)</f>
        <v>#N/A</v>
      </c>
      <c r="S1864" s="4" t="e">
        <f>IF(AND(L1864=1,N1864&lt;'Line Follower'!$C$6,SUM(C1864:K1864)&lt;4),1,0)</f>
        <v>#N/A</v>
      </c>
      <c r="T1864" s="4" t="e">
        <f t="shared" si="147"/>
        <v>#N/A</v>
      </c>
      <c r="U1864" s="5" t="e">
        <f t="shared" si="148"/>
        <v>#N/A</v>
      </c>
      <c r="V1864" s="23" t="e">
        <f t="shared" si="149"/>
        <v>#N/A</v>
      </c>
    </row>
    <row r="1865" spans="2:22" x14ac:dyDescent="0.25">
      <c r="B1865" s="16">
        <v>0</v>
      </c>
      <c r="C1865" s="7">
        <v>1</v>
      </c>
      <c r="D1865" s="8">
        <v>1</v>
      </c>
      <c r="E1865" s="8">
        <v>0</v>
      </c>
      <c r="F1865" s="8">
        <v>0</v>
      </c>
      <c r="G1865" s="8">
        <v>0</v>
      </c>
      <c r="H1865" s="8">
        <v>1</v>
      </c>
      <c r="I1865" s="8">
        <v>0</v>
      </c>
      <c r="J1865" s="8">
        <v>1</v>
      </c>
      <c r="K1865" s="9">
        <v>1</v>
      </c>
      <c r="L1865" s="10">
        <v>1</v>
      </c>
      <c r="M1865" s="6">
        <v>0</v>
      </c>
      <c r="N1865" s="37" t="e" cm="1">
        <f t="array" ref="N1865">IF(OR(ISNUMBER(FIND(Aux!$D$3:$D$9,_xlfn.TEXTJOIN(,,C1865:K1865)))),NA(),IF(AND(SUM(C1865:F1865,H1865:K1865)=0,G1865=1),0,INT((SUMPRODUCT(C1865:F1865,COLUMN($A$1:$D$1)-1)+SUMPRODUCT(H1865:K1865,COLUMN($E$1:$H$1)-1))*'Line Follower'!$C$3/SUM(C1865:F1865,H1865:K1865)-'Line Follower'!$C$5)))</f>
        <v>#N/A</v>
      </c>
      <c r="O1865" s="22" t="e">
        <v>#N/A</v>
      </c>
      <c r="P1865" s="4" t="e">
        <f t="shared" si="145"/>
        <v>#N/A</v>
      </c>
      <c r="Q1865" s="4" t="e">
        <f t="shared" si="146"/>
        <v>#N/A</v>
      </c>
      <c r="R1865" s="4" t="e">
        <f>IF(AND(B1865=1,N1865&gt;'Line Follower'!$C$7,SUM(C1865:K1865)&lt;4),1,0)</f>
        <v>#N/A</v>
      </c>
      <c r="S1865" s="4" t="e">
        <f>IF(AND(L1865=1,N1865&lt;'Line Follower'!$C$6,SUM(C1865:K1865)&lt;4),1,0)</f>
        <v>#N/A</v>
      </c>
      <c r="T1865" s="4" t="e">
        <f t="shared" si="147"/>
        <v>#N/A</v>
      </c>
      <c r="U1865" s="5" t="e">
        <f t="shared" si="148"/>
        <v>#N/A</v>
      </c>
      <c r="V1865" s="23" t="e">
        <f t="shared" si="149"/>
        <v>#N/A</v>
      </c>
    </row>
    <row r="1866" spans="2:22" x14ac:dyDescent="0.25">
      <c r="B1866" s="16">
        <v>1</v>
      </c>
      <c r="C1866" s="7">
        <v>1</v>
      </c>
      <c r="D1866" s="8">
        <v>1</v>
      </c>
      <c r="E1866" s="8">
        <v>0</v>
      </c>
      <c r="F1866" s="8">
        <v>0</v>
      </c>
      <c r="G1866" s="8">
        <v>0</v>
      </c>
      <c r="H1866" s="8">
        <v>1</v>
      </c>
      <c r="I1866" s="8">
        <v>0</v>
      </c>
      <c r="J1866" s="8">
        <v>1</v>
      </c>
      <c r="K1866" s="9">
        <v>1</v>
      </c>
      <c r="L1866" s="10">
        <v>1</v>
      </c>
      <c r="M1866" s="6">
        <v>0</v>
      </c>
      <c r="N1866" s="37" t="e" cm="1">
        <f t="array" ref="N1866">IF(OR(ISNUMBER(FIND(Aux!$D$3:$D$9,_xlfn.TEXTJOIN(,,C1866:K1866)))),NA(),IF(AND(SUM(C1866:F1866,H1866:K1866)=0,G1866=1),0,INT((SUMPRODUCT(C1866:F1866,COLUMN($A$1:$D$1)-1)+SUMPRODUCT(H1866:K1866,COLUMN($E$1:$H$1)-1))*'Line Follower'!$C$3/SUM(C1866:F1866,H1866:K1866)-'Line Follower'!$C$5)))</f>
        <v>#N/A</v>
      </c>
      <c r="O1866" s="22" t="e">
        <v>#N/A</v>
      </c>
      <c r="P1866" s="4" t="e">
        <f t="shared" si="145"/>
        <v>#N/A</v>
      </c>
      <c r="Q1866" s="4" t="e">
        <f t="shared" si="146"/>
        <v>#N/A</v>
      </c>
      <c r="R1866" s="4" t="e">
        <f>IF(AND(B1866=1,N1866&gt;'Line Follower'!$C$7,SUM(C1866:K1866)&lt;4),1,0)</f>
        <v>#N/A</v>
      </c>
      <c r="S1866" s="4" t="e">
        <f>IF(AND(L1866=1,N1866&lt;'Line Follower'!$C$6,SUM(C1866:K1866)&lt;4),1,0)</f>
        <v>#N/A</v>
      </c>
      <c r="T1866" s="4" t="e">
        <f t="shared" si="147"/>
        <v>#N/A</v>
      </c>
      <c r="U1866" s="5" t="e">
        <f t="shared" si="148"/>
        <v>#N/A</v>
      </c>
      <c r="V1866" s="23" t="e">
        <f t="shared" si="149"/>
        <v>#N/A</v>
      </c>
    </row>
    <row r="1867" spans="2:22" x14ac:dyDescent="0.25">
      <c r="B1867" s="16">
        <v>0</v>
      </c>
      <c r="C1867" s="7">
        <v>0</v>
      </c>
      <c r="D1867" s="8">
        <v>0</v>
      </c>
      <c r="E1867" s="8">
        <v>1</v>
      </c>
      <c r="F1867" s="8">
        <v>0</v>
      </c>
      <c r="G1867" s="8">
        <v>0</v>
      </c>
      <c r="H1867" s="8">
        <v>1</v>
      </c>
      <c r="I1867" s="8">
        <v>0</v>
      </c>
      <c r="J1867" s="8">
        <v>1</v>
      </c>
      <c r="K1867" s="9">
        <v>1</v>
      </c>
      <c r="L1867" s="10">
        <v>1</v>
      </c>
      <c r="M1867" s="6">
        <v>0</v>
      </c>
      <c r="N1867" s="37" t="e" cm="1">
        <f t="array" ref="N1867">IF(OR(ISNUMBER(FIND(Aux!$D$3:$D$9,_xlfn.TEXTJOIN(,,C1867:K1867)))),NA(),IF(AND(SUM(C1867:F1867,H1867:K1867)=0,G1867=1),0,INT((SUMPRODUCT(C1867:F1867,COLUMN($A$1:$D$1)-1)+SUMPRODUCT(H1867:K1867,COLUMN($E$1:$H$1)-1))*'Line Follower'!$C$3/SUM(C1867:F1867,H1867:K1867)-'Line Follower'!$C$5)))</f>
        <v>#N/A</v>
      </c>
      <c r="O1867" s="22" t="e">
        <v>#N/A</v>
      </c>
      <c r="P1867" s="4" t="e">
        <f t="shared" si="145"/>
        <v>#N/A</v>
      </c>
      <c r="Q1867" s="4" t="e">
        <f t="shared" si="146"/>
        <v>#N/A</v>
      </c>
      <c r="R1867" s="4" t="e">
        <f>IF(AND(B1867=1,N1867&gt;'Line Follower'!$C$7,SUM(C1867:K1867)&lt;4),1,0)</f>
        <v>#N/A</v>
      </c>
      <c r="S1867" s="4" t="e">
        <f>IF(AND(L1867=1,N1867&lt;'Line Follower'!$C$6,SUM(C1867:K1867)&lt;4),1,0)</f>
        <v>#N/A</v>
      </c>
      <c r="T1867" s="4" t="e">
        <f t="shared" si="147"/>
        <v>#N/A</v>
      </c>
      <c r="U1867" s="5" t="e">
        <f t="shared" si="148"/>
        <v>#N/A</v>
      </c>
      <c r="V1867" s="23" t="e">
        <f t="shared" si="149"/>
        <v>#N/A</v>
      </c>
    </row>
    <row r="1868" spans="2:22" x14ac:dyDescent="0.25">
      <c r="B1868" s="16">
        <v>1</v>
      </c>
      <c r="C1868" s="7">
        <v>0</v>
      </c>
      <c r="D1868" s="8">
        <v>0</v>
      </c>
      <c r="E1868" s="8">
        <v>1</v>
      </c>
      <c r="F1868" s="8">
        <v>0</v>
      </c>
      <c r="G1868" s="8">
        <v>0</v>
      </c>
      <c r="H1868" s="8">
        <v>1</v>
      </c>
      <c r="I1868" s="8">
        <v>0</v>
      </c>
      <c r="J1868" s="8">
        <v>1</v>
      </c>
      <c r="K1868" s="9">
        <v>1</v>
      </c>
      <c r="L1868" s="10">
        <v>1</v>
      </c>
      <c r="M1868" s="6">
        <v>0</v>
      </c>
      <c r="N1868" s="37" t="e" cm="1">
        <f t="array" ref="N1868">IF(OR(ISNUMBER(FIND(Aux!$D$3:$D$9,_xlfn.TEXTJOIN(,,C1868:K1868)))),NA(),IF(AND(SUM(C1868:F1868,H1868:K1868)=0,G1868=1),0,INT((SUMPRODUCT(C1868:F1868,COLUMN($A$1:$D$1)-1)+SUMPRODUCT(H1868:K1868,COLUMN($E$1:$H$1)-1))*'Line Follower'!$C$3/SUM(C1868:F1868,H1868:K1868)-'Line Follower'!$C$5)))</f>
        <v>#N/A</v>
      </c>
      <c r="O1868" s="22" t="e">
        <v>#N/A</v>
      </c>
      <c r="P1868" s="4" t="e">
        <f t="shared" si="145"/>
        <v>#N/A</v>
      </c>
      <c r="Q1868" s="4" t="e">
        <f t="shared" si="146"/>
        <v>#N/A</v>
      </c>
      <c r="R1868" s="4" t="e">
        <f>IF(AND(B1868=1,N1868&gt;'Line Follower'!$C$7,SUM(C1868:K1868)&lt;4),1,0)</f>
        <v>#N/A</v>
      </c>
      <c r="S1868" s="4" t="e">
        <f>IF(AND(L1868=1,N1868&lt;'Line Follower'!$C$6,SUM(C1868:K1868)&lt;4),1,0)</f>
        <v>#N/A</v>
      </c>
      <c r="T1868" s="4" t="e">
        <f t="shared" si="147"/>
        <v>#N/A</v>
      </c>
      <c r="U1868" s="5" t="e">
        <f t="shared" si="148"/>
        <v>#N/A</v>
      </c>
      <c r="V1868" s="23" t="e">
        <f t="shared" si="149"/>
        <v>#N/A</v>
      </c>
    </row>
    <row r="1869" spans="2:22" x14ac:dyDescent="0.25">
      <c r="B1869" s="16">
        <v>0</v>
      </c>
      <c r="C1869" s="7">
        <v>1</v>
      </c>
      <c r="D1869" s="8">
        <v>0</v>
      </c>
      <c r="E1869" s="8">
        <v>1</v>
      </c>
      <c r="F1869" s="8">
        <v>0</v>
      </c>
      <c r="G1869" s="8">
        <v>0</v>
      </c>
      <c r="H1869" s="8">
        <v>1</v>
      </c>
      <c r="I1869" s="8">
        <v>0</v>
      </c>
      <c r="J1869" s="8">
        <v>1</v>
      </c>
      <c r="K1869" s="9">
        <v>1</v>
      </c>
      <c r="L1869" s="10">
        <v>1</v>
      </c>
      <c r="M1869" s="6">
        <v>0</v>
      </c>
      <c r="N1869" s="37" t="e" cm="1">
        <f t="array" ref="N1869">IF(OR(ISNUMBER(FIND(Aux!$D$3:$D$9,_xlfn.TEXTJOIN(,,C1869:K1869)))),NA(),IF(AND(SUM(C1869:F1869,H1869:K1869)=0,G1869=1),0,INT((SUMPRODUCT(C1869:F1869,COLUMN($A$1:$D$1)-1)+SUMPRODUCT(H1869:K1869,COLUMN($E$1:$H$1)-1))*'Line Follower'!$C$3/SUM(C1869:F1869,H1869:K1869)-'Line Follower'!$C$5)))</f>
        <v>#N/A</v>
      </c>
      <c r="O1869" s="22" t="e">
        <v>#N/A</v>
      </c>
      <c r="P1869" s="4" t="e">
        <f t="shared" si="145"/>
        <v>#N/A</v>
      </c>
      <c r="Q1869" s="4" t="e">
        <f t="shared" si="146"/>
        <v>#N/A</v>
      </c>
      <c r="R1869" s="4" t="e">
        <f>IF(AND(B1869=1,N1869&gt;'Line Follower'!$C$7,SUM(C1869:K1869)&lt;4),1,0)</f>
        <v>#N/A</v>
      </c>
      <c r="S1869" s="4" t="e">
        <f>IF(AND(L1869=1,N1869&lt;'Line Follower'!$C$6,SUM(C1869:K1869)&lt;4),1,0)</f>
        <v>#N/A</v>
      </c>
      <c r="T1869" s="4" t="e">
        <f t="shared" si="147"/>
        <v>#N/A</v>
      </c>
      <c r="U1869" s="5" t="e">
        <f t="shared" si="148"/>
        <v>#N/A</v>
      </c>
      <c r="V1869" s="23" t="e">
        <f t="shared" si="149"/>
        <v>#N/A</v>
      </c>
    </row>
    <row r="1870" spans="2:22" x14ac:dyDescent="0.25">
      <c r="B1870" s="16">
        <v>1</v>
      </c>
      <c r="C1870" s="7">
        <v>1</v>
      </c>
      <c r="D1870" s="8">
        <v>0</v>
      </c>
      <c r="E1870" s="8">
        <v>1</v>
      </c>
      <c r="F1870" s="8">
        <v>0</v>
      </c>
      <c r="G1870" s="8">
        <v>0</v>
      </c>
      <c r="H1870" s="8">
        <v>1</v>
      </c>
      <c r="I1870" s="8">
        <v>0</v>
      </c>
      <c r="J1870" s="8">
        <v>1</v>
      </c>
      <c r="K1870" s="9">
        <v>1</v>
      </c>
      <c r="L1870" s="10">
        <v>1</v>
      </c>
      <c r="M1870" s="6">
        <v>0</v>
      </c>
      <c r="N1870" s="37" t="e" cm="1">
        <f t="array" ref="N1870">IF(OR(ISNUMBER(FIND(Aux!$D$3:$D$9,_xlfn.TEXTJOIN(,,C1870:K1870)))),NA(),IF(AND(SUM(C1870:F1870,H1870:K1870)=0,G1870=1),0,INT((SUMPRODUCT(C1870:F1870,COLUMN($A$1:$D$1)-1)+SUMPRODUCT(H1870:K1870,COLUMN($E$1:$H$1)-1))*'Line Follower'!$C$3/SUM(C1870:F1870,H1870:K1870)-'Line Follower'!$C$5)))</f>
        <v>#N/A</v>
      </c>
      <c r="O1870" s="22" t="e">
        <v>#N/A</v>
      </c>
      <c r="P1870" s="4" t="e">
        <f t="shared" si="145"/>
        <v>#N/A</v>
      </c>
      <c r="Q1870" s="4" t="e">
        <f t="shared" si="146"/>
        <v>#N/A</v>
      </c>
      <c r="R1870" s="4" t="e">
        <f>IF(AND(B1870=1,N1870&gt;'Line Follower'!$C$7,SUM(C1870:K1870)&lt;4),1,0)</f>
        <v>#N/A</v>
      </c>
      <c r="S1870" s="4" t="e">
        <f>IF(AND(L1870=1,N1870&lt;'Line Follower'!$C$6,SUM(C1870:K1870)&lt;4),1,0)</f>
        <v>#N/A</v>
      </c>
      <c r="T1870" s="4" t="e">
        <f t="shared" si="147"/>
        <v>#N/A</v>
      </c>
      <c r="U1870" s="5" t="e">
        <f t="shared" si="148"/>
        <v>#N/A</v>
      </c>
      <c r="V1870" s="23" t="e">
        <f t="shared" si="149"/>
        <v>#N/A</v>
      </c>
    </row>
    <row r="1871" spans="2:22" x14ac:dyDescent="0.25">
      <c r="B1871" s="16">
        <v>0</v>
      </c>
      <c r="C1871" s="7">
        <v>0</v>
      </c>
      <c r="D1871" s="8">
        <v>1</v>
      </c>
      <c r="E1871" s="8">
        <v>1</v>
      </c>
      <c r="F1871" s="8">
        <v>0</v>
      </c>
      <c r="G1871" s="8">
        <v>0</v>
      </c>
      <c r="H1871" s="8">
        <v>1</v>
      </c>
      <c r="I1871" s="8">
        <v>0</v>
      </c>
      <c r="J1871" s="8">
        <v>1</v>
      </c>
      <c r="K1871" s="9">
        <v>1</v>
      </c>
      <c r="L1871" s="10">
        <v>1</v>
      </c>
      <c r="M1871" s="6">
        <v>0</v>
      </c>
      <c r="N1871" s="37" t="e" cm="1">
        <f t="array" ref="N1871">IF(OR(ISNUMBER(FIND(Aux!$D$3:$D$9,_xlfn.TEXTJOIN(,,C1871:K1871)))),NA(),IF(AND(SUM(C1871:F1871,H1871:K1871)=0,G1871=1),0,INT((SUMPRODUCT(C1871:F1871,COLUMN($A$1:$D$1)-1)+SUMPRODUCT(H1871:K1871,COLUMN($E$1:$H$1)-1))*'Line Follower'!$C$3/SUM(C1871:F1871,H1871:K1871)-'Line Follower'!$C$5)))</f>
        <v>#N/A</v>
      </c>
      <c r="O1871" s="22" t="e">
        <v>#N/A</v>
      </c>
      <c r="P1871" s="4" t="e">
        <f t="shared" si="145"/>
        <v>#N/A</v>
      </c>
      <c r="Q1871" s="4" t="e">
        <f t="shared" si="146"/>
        <v>#N/A</v>
      </c>
      <c r="R1871" s="4" t="e">
        <f>IF(AND(B1871=1,N1871&gt;'Line Follower'!$C$7,SUM(C1871:K1871)&lt;4),1,0)</f>
        <v>#N/A</v>
      </c>
      <c r="S1871" s="4" t="e">
        <f>IF(AND(L1871=1,N1871&lt;'Line Follower'!$C$6,SUM(C1871:K1871)&lt;4),1,0)</f>
        <v>#N/A</v>
      </c>
      <c r="T1871" s="4" t="e">
        <f t="shared" si="147"/>
        <v>#N/A</v>
      </c>
      <c r="U1871" s="5" t="e">
        <f t="shared" si="148"/>
        <v>#N/A</v>
      </c>
      <c r="V1871" s="23" t="e">
        <f t="shared" si="149"/>
        <v>#N/A</v>
      </c>
    </row>
    <row r="1872" spans="2:22" x14ac:dyDescent="0.25">
      <c r="B1872" s="16">
        <v>1</v>
      </c>
      <c r="C1872" s="7">
        <v>0</v>
      </c>
      <c r="D1872" s="8">
        <v>1</v>
      </c>
      <c r="E1872" s="8">
        <v>1</v>
      </c>
      <c r="F1872" s="8">
        <v>0</v>
      </c>
      <c r="G1872" s="8">
        <v>0</v>
      </c>
      <c r="H1872" s="8">
        <v>1</v>
      </c>
      <c r="I1872" s="8">
        <v>0</v>
      </c>
      <c r="J1872" s="8">
        <v>1</v>
      </c>
      <c r="K1872" s="9">
        <v>1</v>
      </c>
      <c r="L1872" s="10">
        <v>1</v>
      </c>
      <c r="M1872" s="6">
        <v>0</v>
      </c>
      <c r="N1872" s="37" t="e" cm="1">
        <f t="array" ref="N1872">IF(OR(ISNUMBER(FIND(Aux!$D$3:$D$9,_xlfn.TEXTJOIN(,,C1872:K1872)))),NA(),IF(AND(SUM(C1872:F1872,H1872:K1872)=0,G1872=1),0,INT((SUMPRODUCT(C1872:F1872,COLUMN($A$1:$D$1)-1)+SUMPRODUCT(H1872:K1872,COLUMN($E$1:$H$1)-1))*'Line Follower'!$C$3/SUM(C1872:F1872,H1872:K1872)-'Line Follower'!$C$5)))</f>
        <v>#N/A</v>
      </c>
      <c r="O1872" s="22" t="e">
        <v>#N/A</v>
      </c>
      <c r="P1872" s="4" t="e">
        <f t="shared" si="145"/>
        <v>#N/A</v>
      </c>
      <c r="Q1872" s="4" t="e">
        <f t="shared" si="146"/>
        <v>#N/A</v>
      </c>
      <c r="R1872" s="4" t="e">
        <f>IF(AND(B1872=1,N1872&gt;'Line Follower'!$C$7,SUM(C1872:K1872)&lt;4),1,0)</f>
        <v>#N/A</v>
      </c>
      <c r="S1872" s="4" t="e">
        <f>IF(AND(L1872=1,N1872&lt;'Line Follower'!$C$6,SUM(C1872:K1872)&lt;4),1,0)</f>
        <v>#N/A</v>
      </c>
      <c r="T1872" s="4" t="e">
        <f t="shared" si="147"/>
        <v>#N/A</v>
      </c>
      <c r="U1872" s="5" t="e">
        <f t="shared" si="148"/>
        <v>#N/A</v>
      </c>
      <c r="V1872" s="23" t="e">
        <f t="shared" si="149"/>
        <v>#N/A</v>
      </c>
    </row>
    <row r="1873" spans="2:22" x14ac:dyDescent="0.25">
      <c r="B1873" s="16">
        <v>0</v>
      </c>
      <c r="C1873" s="7">
        <v>1</v>
      </c>
      <c r="D1873" s="8">
        <v>1</v>
      </c>
      <c r="E1873" s="8">
        <v>1</v>
      </c>
      <c r="F1873" s="8">
        <v>0</v>
      </c>
      <c r="G1873" s="8">
        <v>0</v>
      </c>
      <c r="H1873" s="8">
        <v>1</v>
      </c>
      <c r="I1873" s="8">
        <v>0</v>
      </c>
      <c r="J1873" s="8">
        <v>1</v>
      </c>
      <c r="K1873" s="9">
        <v>1</v>
      </c>
      <c r="L1873" s="10">
        <v>1</v>
      </c>
      <c r="M1873" s="6">
        <v>0</v>
      </c>
      <c r="N1873" s="37" t="e" cm="1">
        <f t="array" ref="N1873">IF(OR(ISNUMBER(FIND(Aux!$D$3:$D$9,_xlfn.TEXTJOIN(,,C1873:K1873)))),NA(),IF(AND(SUM(C1873:F1873,H1873:K1873)=0,G1873=1),0,INT((SUMPRODUCT(C1873:F1873,COLUMN($A$1:$D$1)-1)+SUMPRODUCT(H1873:K1873,COLUMN($E$1:$H$1)-1))*'Line Follower'!$C$3/SUM(C1873:F1873,H1873:K1873)-'Line Follower'!$C$5)))</f>
        <v>#N/A</v>
      </c>
      <c r="O1873" s="22" t="e">
        <v>#N/A</v>
      </c>
      <c r="P1873" s="4" t="e">
        <f t="shared" si="145"/>
        <v>#N/A</v>
      </c>
      <c r="Q1873" s="4" t="e">
        <f t="shared" si="146"/>
        <v>#N/A</v>
      </c>
      <c r="R1873" s="4" t="e">
        <f>IF(AND(B1873=1,N1873&gt;'Line Follower'!$C$7,SUM(C1873:K1873)&lt;4),1,0)</f>
        <v>#N/A</v>
      </c>
      <c r="S1873" s="4" t="e">
        <f>IF(AND(L1873=1,N1873&lt;'Line Follower'!$C$6,SUM(C1873:K1873)&lt;4),1,0)</f>
        <v>#N/A</v>
      </c>
      <c r="T1873" s="4" t="e">
        <f t="shared" si="147"/>
        <v>#N/A</v>
      </c>
      <c r="U1873" s="5" t="e">
        <f t="shared" si="148"/>
        <v>#N/A</v>
      </c>
      <c r="V1873" s="23" t="e">
        <f t="shared" si="149"/>
        <v>#N/A</v>
      </c>
    </row>
    <row r="1874" spans="2:22" x14ac:dyDescent="0.25">
      <c r="B1874" s="16">
        <v>1</v>
      </c>
      <c r="C1874" s="7">
        <v>1</v>
      </c>
      <c r="D1874" s="8">
        <v>1</v>
      </c>
      <c r="E1874" s="8">
        <v>1</v>
      </c>
      <c r="F1874" s="8">
        <v>0</v>
      </c>
      <c r="G1874" s="8">
        <v>0</v>
      </c>
      <c r="H1874" s="8">
        <v>1</v>
      </c>
      <c r="I1874" s="8">
        <v>0</v>
      </c>
      <c r="J1874" s="8">
        <v>1</v>
      </c>
      <c r="K1874" s="9">
        <v>1</v>
      </c>
      <c r="L1874" s="10">
        <v>1</v>
      </c>
      <c r="M1874" s="6">
        <v>0</v>
      </c>
      <c r="N1874" s="37" t="e" cm="1">
        <f t="array" ref="N1874">IF(OR(ISNUMBER(FIND(Aux!$D$3:$D$9,_xlfn.TEXTJOIN(,,C1874:K1874)))),NA(),IF(AND(SUM(C1874:F1874,H1874:K1874)=0,G1874=1),0,INT((SUMPRODUCT(C1874:F1874,COLUMN($A$1:$D$1)-1)+SUMPRODUCT(H1874:K1874,COLUMN($E$1:$H$1)-1))*'Line Follower'!$C$3/SUM(C1874:F1874,H1874:K1874)-'Line Follower'!$C$5)))</f>
        <v>#N/A</v>
      </c>
      <c r="O1874" s="22" t="e">
        <v>#N/A</v>
      </c>
      <c r="P1874" s="4" t="e">
        <f t="shared" si="145"/>
        <v>#N/A</v>
      </c>
      <c r="Q1874" s="4" t="e">
        <f t="shared" si="146"/>
        <v>#N/A</v>
      </c>
      <c r="R1874" s="4" t="e">
        <f>IF(AND(B1874=1,N1874&gt;'Line Follower'!$C$7,SUM(C1874:K1874)&lt;4),1,0)</f>
        <v>#N/A</v>
      </c>
      <c r="S1874" s="4" t="e">
        <f>IF(AND(L1874=1,N1874&lt;'Line Follower'!$C$6,SUM(C1874:K1874)&lt;4),1,0)</f>
        <v>#N/A</v>
      </c>
      <c r="T1874" s="4" t="e">
        <f t="shared" si="147"/>
        <v>#N/A</v>
      </c>
      <c r="U1874" s="5" t="e">
        <f t="shared" si="148"/>
        <v>#N/A</v>
      </c>
      <c r="V1874" s="23" t="e">
        <f t="shared" si="149"/>
        <v>#N/A</v>
      </c>
    </row>
    <row r="1875" spans="2:22" x14ac:dyDescent="0.25">
      <c r="B1875" s="16">
        <v>0</v>
      </c>
      <c r="C1875" s="7">
        <v>0</v>
      </c>
      <c r="D1875" s="8">
        <v>0</v>
      </c>
      <c r="E1875" s="8">
        <v>0</v>
      </c>
      <c r="F1875" s="8">
        <v>1</v>
      </c>
      <c r="G1875" s="8">
        <v>0</v>
      </c>
      <c r="H1875" s="8">
        <v>1</v>
      </c>
      <c r="I1875" s="8">
        <v>0</v>
      </c>
      <c r="J1875" s="8">
        <v>1</v>
      </c>
      <c r="K1875" s="9">
        <v>1</v>
      </c>
      <c r="L1875" s="10">
        <v>1</v>
      </c>
      <c r="M1875" s="6">
        <v>0</v>
      </c>
      <c r="N1875" s="37" t="e" cm="1">
        <f t="array" ref="N1875">IF(OR(ISNUMBER(FIND(Aux!$D$3:$D$9,_xlfn.TEXTJOIN(,,C1875:K1875)))),NA(),IF(AND(SUM(C1875:F1875,H1875:K1875)=0,G1875=1),0,INT((SUMPRODUCT(C1875:F1875,COLUMN($A$1:$D$1)-1)+SUMPRODUCT(H1875:K1875,COLUMN($E$1:$H$1)-1))*'Line Follower'!$C$3/SUM(C1875:F1875,H1875:K1875)-'Line Follower'!$C$5)))</f>
        <v>#N/A</v>
      </c>
      <c r="O1875" s="22" t="e">
        <v>#N/A</v>
      </c>
      <c r="P1875" s="4" t="e">
        <f t="shared" si="145"/>
        <v>#N/A</v>
      </c>
      <c r="Q1875" s="4" t="e">
        <f t="shared" si="146"/>
        <v>#N/A</v>
      </c>
      <c r="R1875" s="4" t="e">
        <f>IF(AND(B1875=1,N1875&gt;'Line Follower'!$C$7,SUM(C1875:K1875)&lt;4),1,0)</f>
        <v>#N/A</v>
      </c>
      <c r="S1875" s="4" t="e">
        <f>IF(AND(L1875=1,N1875&lt;'Line Follower'!$C$6,SUM(C1875:K1875)&lt;4),1,0)</f>
        <v>#N/A</v>
      </c>
      <c r="T1875" s="4" t="e">
        <f t="shared" si="147"/>
        <v>#N/A</v>
      </c>
      <c r="U1875" s="5" t="e">
        <f t="shared" si="148"/>
        <v>#N/A</v>
      </c>
      <c r="V1875" s="23" t="e">
        <f t="shared" si="149"/>
        <v>#N/A</v>
      </c>
    </row>
    <row r="1876" spans="2:22" x14ac:dyDescent="0.25">
      <c r="B1876" s="16">
        <v>1</v>
      </c>
      <c r="C1876" s="7">
        <v>0</v>
      </c>
      <c r="D1876" s="8">
        <v>0</v>
      </c>
      <c r="E1876" s="8">
        <v>0</v>
      </c>
      <c r="F1876" s="8">
        <v>1</v>
      </c>
      <c r="G1876" s="8">
        <v>0</v>
      </c>
      <c r="H1876" s="8">
        <v>1</v>
      </c>
      <c r="I1876" s="8">
        <v>0</v>
      </c>
      <c r="J1876" s="8">
        <v>1</v>
      </c>
      <c r="K1876" s="9">
        <v>1</v>
      </c>
      <c r="L1876" s="10">
        <v>1</v>
      </c>
      <c r="M1876" s="6">
        <v>0</v>
      </c>
      <c r="N1876" s="37" t="e" cm="1">
        <f t="array" ref="N1876">IF(OR(ISNUMBER(FIND(Aux!$D$3:$D$9,_xlfn.TEXTJOIN(,,C1876:K1876)))),NA(),IF(AND(SUM(C1876:F1876,H1876:K1876)=0,G1876=1),0,INT((SUMPRODUCT(C1876:F1876,COLUMN($A$1:$D$1)-1)+SUMPRODUCT(H1876:K1876,COLUMN($E$1:$H$1)-1))*'Line Follower'!$C$3/SUM(C1876:F1876,H1876:K1876)-'Line Follower'!$C$5)))</f>
        <v>#N/A</v>
      </c>
      <c r="O1876" s="22" t="e">
        <v>#N/A</v>
      </c>
      <c r="P1876" s="4" t="e">
        <f t="shared" si="145"/>
        <v>#N/A</v>
      </c>
      <c r="Q1876" s="4" t="e">
        <f t="shared" si="146"/>
        <v>#N/A</v>
      </c>
      <c r="R1876" s="4" t="e">
        <f>IF(AND(B1876=1,N1876&gt;'Line Follower'!$C$7,SUM(C1876:K1876)&lt;4),1,0)</f>
        <v>#N/A</v>
      </c>
      <c r="S1876" s="4" t="e">
        <f>IF(AND(L1876=1,N1876&lt;'Line Follower'!$C$6,SUM(C1876:K1876)&lt;4),1,0)</f>
        <v>#N/A</v>
      </c>
      <c r="T1876" s="4" t="e">
        <f t="shared" si="147"/>
        <v>#N/A</v>
      </c>
      <c r="U1876" s="5" t="e">
        <f t="shared" si="148"/>
        <v>#N/A</v>
      </c>
      <c r="V1876" s="23" t="e">
        <f t="shared" si="149"/>
        <v>#N/A</v>
      </c>
    </row>
    <row r="1877" spans="2:22" x14ac:dyDescent="0.25">
      <c r="B1877" s="16">
        <v>0</v>
      </c>
      <c r="C1877" s="7">
        <v>1</v>
      </c>
      <c r="D1877" s="8">
        <v>0</v>
      </c>
      <c r="E1877" s="8">
        <v>0</v>
      </c>
      <c r="F1877" s="8">
        <v>1</v>
      </c>
      <c r="G1877" s="8">
        <v>0</v>
      </c>
      <c r="H1877" s="8">
        <v>1</v>
      </c>
      <c r="I1877" s="8">
        <v>0</v>
      </c>
      <c r="J1877" s="8">
        <v>1</v>
      </c>
      <c r="K1877" s="9">
        <v>1</v>
      </c>
      <c r="L1877" s="10">
        <v>1</v>
      </c>
      <c r="M1877" s="6">
        <v>0</v>
      </c>
      <c r="N1877" s="37" t="e" cm="1">
        <f t="array" ref="N1877">IF(OR(ISNUMBER(FIND(Aux!$D$3:$D$9,_xlfn.TEXTJOIN(,,C1877:K1877)))),NA(),IF(AND(SUM(C1877:F1877,H1877:K1877)=0,G1877=1),0,INT((SUMPRODUCT(C1877:F1877,COLUMN($A$1:$D$1)-1)+SUMPRODUCT(H1877:K1877,COLUMN($E$1:$H$1)-1))*'Line Follower'!$C$3/SUM(C1877:F1877,H1877:K1877)-'Line Follower'!$C$5)))</f>
        <v>#N/A</v>
      </c>
      <c r="O1877" s="22" t="e">
        <v>#N/A</v>
      </c>
      <c r="P1877" s="4" t="e">
        <f t="shared" si="145"/>
        <v>#N/A</v>
      </c>
      <c r="Q1877" s="4" t="e">
        <f t="shared" si="146"/>
        <v>#N/A</v>
      </c>
      <c r="R1877" s="4" t="e">
        <f>IF(AND(B1877=1,N1877&gt;'Line Follower'!$C$7,SUM(C1877:K1877)&lt;4),1,0)</f>
        <v>#N/A</v>
      </c>
      <c r="S1877" s="4" t="e">
        <f>IF(AND(L1877=1,N1877&lt;'Line Follower'!$C$6,SUM(C1877:K1877)&lt;4),1,0)</f>
        <v>#N/A</v>
      </c>
      <c r="T1877" s="4" t="e">
        <f t="shared" si="147"/>
        <v>#N/A</v>
      </c>
      <c r="U1877" s="5" t="e">
        <f t="shared" si="148"/>
        <v>#N/A</v>
      </c>
      <c r="V1877" s="23" t="e">
        <f t="shared" si="149"/>
        <v>#N/A</v>
      </c>
    </row>
    <row r="1878" spans="2:22" x14ac:dyDescent="0.25">
      <c r="B1878" s="16">
        <v>1</v>
      </c>
      <c r="C1878" s="7">
        <v>1</v>
      </c>
      <c r="D1878" s="8">
        <v>0</v>
      </c>
      <c r="E1878" s="8">
        <v>0</v>
      </c>
      <c r="F1878" s="8">
        <v>1</v>
      </c>
      <c r="G1878" s="8">
        <v>0</v>
      </c>
      <c r="H1878" s="8">
        <v>1</v>
      </c>
      <c r="I1878" s="8">
        <v>0</v>
      </c>
      <c r="J1878" s="8">
        <v>1</v>
      </c>
      <c r="K1878" s="9">
        <v>1</v>
      </c>
      <c r="L1878" s="10">
        <v>1</v>
      </c>
      <c r="M1878" s="6">
        <v>0</v>
      </c>
      <c r="N1878" s="37" t="e" cm="1">
        <f t="array" ref="N1878">IF(OR(ISNUMBER(FIND(Aux!$D$3:$D$9,_xlfn.TEXTJOIN(,,C1878:K1878)))),NA(),IF(AND(SUM(C1878:F1878,H1878:K1878)=0,G1878=1),0,INT((SUMPRODUCT(C1878:F1878,COLUMN($A$1:$D$1)-1)+SUMPRODUCT(H1878:K1878,COLUMN($E$1:$H$1)-1))*'Line Follower'!$C$3/SUM(C1878:F1878,H1878:K1878)-'Line Follower'!$C$5)))</f>
        <v>#N/A</v>
      </c>
      <c r="O1878" s="22" t="e">
        <v>#N/A</v>
      </c>
      <c r="P1878" s="4" t="e">
        <f t="shared" si="145"/>
        <v>#N/A</v>
      </c>
      <c r="Q1878" s="4" t="e">
        <f t="shared" si="146"/>
        <v>#N/A</v>
      </c>
      <c r="R1878" s="4" t="e">
        <f>IF(AND(B1878=1,N1878&gt;'Line Follower'!$C$7,SUM(C1878:K1878)&lt;4),1,0)</f>
        <v>#N/A</v>
      </c>
      <c r="S1878" s="4" t="e">
        <f>IF(AND(L1878=1,N1878&lt;'Line Follower'!$C$6,SUM(C1878:K1878)&lt;4),1,0)</f>
        <v>#N/A</v>
      </c>
      <c r="T1878" s="4" t="e">
        <f t="shared" si="147"/>
        <v>#N/A</v>
      </c>
      <c r="U1878" s="5" t="e">
        <f t="shared" si="148"/>
        <v>#N/A</v>
      </c>
      <c r="V1878" s="23" t="e">
        <f t="shared" si="149"/>
        <v>#N/A</v>
      </c>
    </row>
    <row r="1879" spans="2:22" x14ac:dyDescent="0.25">
      <c r="B1879" s="16">
        <v>0</v>
      </c>
      <c r="C1879" s="7">
        <v>0</v>
      </c>
      <c r="D1879" s="8">
        <v>1</v>
      </c>
      <c r="E1879" s="8">
        <v>0</v>
      </c>
      <c r="F1879" s="8">
        <v>1</v>
      </c>
      <c r="G1879" s="8">
        <v>0</v>
      </c>
      <c r="H1879" s="8">
        <v>1</v>
      </c>
      <c r="I1879" s="8">
        <v>0</v>
      </c>
      <c r="J1879" s="8">
        <v>1</v>
      </c>
      <c r="K1879" s="9">
        <v>1</v>
      </c>
      <c r="L1879" s="10">
        <v>1</v>
      </c>
      <c r="M1879" s="6">
        <v>0</v>
      </c>
      <c r="N1879" s="37" t="e" cm="1">
        <f t="array" ref="N1879">IF(OR(ISNUMBER(FIND(Aux!$D$3:$D$9,_xlfn.TEXTJOIN(,,C1879:K1879)))),NA(),IF(AND(SUM(C1879:F1879,H1879:K1879)=0,G1879=1),0,INT((SUMPRODUCT(C1879:F1879,COLUMN($A$1:$D$1)-1)+SUMPRODUCT(H1879:K1879,COLUMN($E$1:$H$1)-1))*'Line Follower'!$C$3/SUM(C1879:F1879,H1879:K1879)-'Line Follower'!$C$5)))</f>
        <v>#N/A</v>
      </c>
      <c r="O1879" s="22" t="e">
        <v>#N/A</v>
      </c>
      <c r="P1879" s="4" t="e">
        <f t="shared" si="145"/>
        <v>#N/A</v>
      </c>
      <c r="Q1879" s="4" t="e">
        <f t="shared" si="146"/>
        <v>#N/A</v>
      </c>
      <c r="R1879" s="4" t="e">
        <f>IF(AND(B1879=1,N1879&gt;'Line Follower'!$C$7,SUM(C1879:K1879)&lt;4),1,0)</f>
        <v>#N/A</v>
      </c>
      <c r="S1879" s="4" t="e">
        <f>IF(AND(L1879=1,N1879&lt;'Line Follower'!$C$6,SUM(C1879:K1879)&lt;4),1,0)</f>
        <v>#N/A</v>
      </c>
      <c r="T1879" s="4" t="e">
        <f t="shared" si="147"/>
        <v>#N/A</v>
      </c>
      <c r="U1879" s="5" t="e">
        <f t="shared" si="148"/>
        <v>#N/A</v>
      </c>
      <c r="V1879" s="23" t="e">
        <f t="shared" si="149"/>
        <v>#N/A</v>
      </c>
    </row>
    <row r="1880" spans="2:22" x14ac:dyDescent="0.25">
      <c r="B1880" s="16">
        <v>1</v>
      </c>
      <c r="C1880" s="7">
        <v>0</v>
      </c>
      <c r="D1880" s="8">
        <v>1</v>
      </c>
      <c r="E1880" s="8">
        <v>0</v>
      </c>
      <c r="F1880" s="8">
        <v>1</v>
      </c>
      <c r="G1880" s="8">
        <v>0</v>
      </c>
      <c r="H1880" s="8">
        <v>1</v>
      </c>
      <c r="I1880" s="8">
        <v>0</v>
      </c>
      <c r="J1880" s="8">
        <v>1</v>
      </c>
      <c r="K1880" s="9">
        <v>1</v>
      </c>
      <c r="L1880" s="10">
        <v>1</v>
      </c>
      <c r="M1880" s="6">
        <v>0</v>
      </c>
      <c r="N1880" s="37" t="e" cm="1">
        <f t="array" ref="N1880">IF(OR(ISNUMBER(FIND(Aux!$D$3:$D$9,_xlfn.TEXTJOIN(,,C1880:K1880)))),NA(),IF(AND(SUM(C1880:F1880,H1880:K1880)=0,G1880=1),0,INT((SUMPRODUCT(C1880:F1880,COLUMN($A$1:$D$1)-1)+SUMPRODUCT(H1880:K1880,COLUMN($E$1:$H$1)-1))*'Line Follower'!$C$3/SUM(C1880:F1880,H1880:K1880)-'Line Follower'!$C$5)))</f>
        <v>#N/A</v>
      </c>
      <c r="O1880" s="22" t="e">
        <v>#N/A</v>
      </c>
      <c r="P1880" s="4" t="e">
        <f t="shared" si="145"/>
        <v>#N/A</v>
      </c>
      <c r="Q1880" s="4" t="e">
        <f t="shared" si="146"/>
        <v>#N/A</v>
      </c>
      <c r="R1880" s="4" t="e">
        <f>IF(AND(B1880=1,N1880&gt;'Line Follower'!$C$7,SUM(C1880:K1880)&lt;4),1,0)</f>
        <v>#N/A</v>
      </c>
      <c r="S1880" s="4" t="e">
        <f>IF(AND(L1880=1,N1880&lt;'Line Follower'!$C$6,SUM(C1880:K1880)&lt;4),1,0)</f>
        <v>#N/A</v>
      </c>
      <c r="T1880" s="4" t="e">
        <f t="shared" si="147"/>
        <v>#N/A</v>
      </c>
      <c r="U1880" s="5" t="e">
        <f t="shared" si="148"/>
        <v>#N/A</v>
      </c>
      <c r="V1880" s="23" t="e">
        <f t="shared" si="149"/>
        <v>#N/A</v>
      </c>
    </row>
    <row r="1881" spans="2:22" x14ac:dyDescent="0.25">
      <c r="B1881" s="16">
        <v>0</v>
      </c>
      <c r="C1881" s="7">
        <v>1</v>
      </c>
      <c r="D1881" s="8">
        <v>1</v>
      </c>
      <c r="E1881" s="8">
        <v>0</v>
      </c>
      <c r="F1881" s="8">
        <v>1</v>
      </c>
      <c r="G1881" s="8">
        <v>0</v>
      </c>
      <c r="H1881" s="8">
        <v>1</v>
      </c>
      <c r="I1881" s="8">
        <v>0</v>
      </c>
      <c r="J1881" s="8">
        <v>1</v>
      </c>
      <c r="K1881" s="9">
        <v>1</v>
      </c>
      <c r="L1881" s="10">
        <v>1</v>
      </c>
      <c r="M1881" s="6">
        <v>0</v>
      </c>
      <c r="N1881" s="37" t="e" cm="1">
        <f t="array" ref="N1881">IF(OR(ISNUMBER(FIND(Aux!$D$3:$D$9,_xlfn.TEXTJOIN(,,C1881:K1881)))),NA(),IF(AND(SUM(C1881:F1881,H1881:K1881)=0,G1881=1),0,INT((SUMPRODUCT(C1881:F1881,COLUMN($A$1:$D$1)-1)+SUMPRODUCT(H1881:K1881,COLUMN($E$1:$H$1)-1))*'Line Follower'!$C$3/SUM(C1881:F1881,H1881:K1881)-'Line Follower'!$C$5)))</f>
        <v>#N/A</v>
      </c>
      <c r="O1881" s="22" t="e">
        <v>#N/A</v>
      </c>
      <c r="P1881" s="4" t="e">
        <f t="shared" si="145"/>
        <v>#N/A</v>
      </c>
      <c r="Q1881" s="4" t="e">
        <f t="shared" si="146"/>
        <v>#N/A</v>
      </c>
      <c r="R1881" s="4" t="e">
        <f>IF(AND(B1881=1,N1881&gt;'Line Follower'!$C$7,SUM(C1881:K1881)&lt;4),1,0)</f>
        <v>#N/A</v>
      </c>
      <c r="S1881" s="4" t="e">
        <f>IF(AND(L1881=1,N1881&lt;'Line Follower'!$C$6,SUM(C1881:K1881)&lt;4),1,0)</f>
        <v>#N/A</v>
      </c>
      <c r="T1881" s="4" t="e">
        <f t="shared" si="147"/>
        <v>#N/A</v>
      </c>
      <c r="U1881" s="5" t="e">
        <f t="shared" si="148"/>
        <v>#N/A</v>
      </c>
      <c r="V1881" s="23" t="e">
        <f t="shared" si="149"/>
        <v>#N/A</v>
      </c>
    </row>
    <row r="1882" spans="2:22" x14ac:dyDescent="0.25">
      <c r="B1882" s="16">
        <v>1</v>
      </c>
      <c r="C1882" s="7">
        <v>1</v>
      </c>
      <c r="D1882" s="8">
        <v>1</v>
      </c>
      <c r="E1882" s="8">
        <v>0</v>
      </c>
      <c r="F1882" s="8">
        <v>1</v>
      </c>
      <c r="G1882" s="8">
        <v>0</v>
      </c>
      <c r="H1882" s="8">
        <v>1</v>
      </c>
      <c r="I1882" s="8">
        <v>0</v>
      </c>
      <c r="J1882" s="8">
        <v>1</v>
      </c>
      <c r="K1882" s="9">
        <v>1</v>
      </c>
      <c r="L1882" s="10">
        <v>1</v>
      </c>
      <c r="M1882" s="6">
        <v>0</v>
      </c>
      <c r="N1882" s="37" t="e" cm="1">
        <f t="array" ref="N1882">IF(OR(ISNUMBER(FIND(Aux!$D$3:$D$9,_xlfn.TEXTJOIN(,,C1882:K1882)))),NA(),IF(AND(SUM(C1882:F1882,H1882:K1882)=0,G1882=1),0,INT((SUMPRODUCT(C1882:F1882,COLUMN($A$1:$D$1)-1)+SUMPRODUCT(H1882:K1882,COLUMN($E$1:$H$1)-1))*'Line Follower'!$C$3/SUM(C1882:F1882,H1882:K1882)-'Line Follower'!$C$5)))</f>
        <v>#N/A</v>
      </c>
      <c r="O1882" s="22" t="e">
        <v>#N/A</v>
      </c>
      <c r="P1882" s="4" t="e">
        <f t="shared" si="145"/>
        <v>#N/A</v>
      </c>
      <c r="Q1882" s="4" t="e">
        <f t="shared" si="146"/>
        <v>#N/A</v>
      </c>
      <c r="R1882" s="4" t="e">
        <f>IF(AND(B1882=1,N1882&gt;'Line Follower'!$C$7,SUM(C1882:K1882)&lt;4),1,0)</f>
        <v>#N/A</v>
      </c>
      <c r="S1882" s="4" t="e">
        <f>IF(AND(L1882=1,N1882&lt;'Line Follower'!$C$6,SUM(C1882:K1882)&lt;4),1,0)</f>
        <v>#N/A</v>
      </c>
      <c r="T1882" s="4" t="e">
        <f t="shared" si="147"/>
        <v>#N/A</v>
      </c>
      <c r="U1882" s="5" t="e">
        <f t="shared" si="148"/>
        <v>#N/A</v>
      </c>
      <c r="V1882" s="23" t="e">
        <f t="shared" si="149"/>
        <v>#N/A</v>
      </c>
    </row>
    <row r="1883" spans="2:22" x14ac:dyDescent="0.25">
      <c r="B1883" s="16">
        <v>0</v>
      </c>
      <c r="C1883" s="7">
        <v>0</v>
      </c>
      <c r="D1883" s="8">
        <v>0</v>
      </c>
      <c r="E1883" s="8">
        <v>1</v>
      </c>
      <c r="F1883" s="8">
        <v>1</v>
      </c>
      <c r="G1883" s="8">
        <v>0</v>
      </c>
      <c r="H1883" s="8">
        <v>1</v>
      </c>
      <c r="I1883" s="8">
        <v>0</v>
      </c>
      <c r="J1883" s="8">
        <v>1</v>
      </c>
      <c r="K1883" s="9">
        <v>1</v>
      </c>
      <c r="L1883" s="10">
        <v>1</v>
      </c>
      <c r="M1883" s="6">
        <v>0</v>
      </c>
      <c r="N1883" s="37" t="e" cm="1">
        <f t="array" ref="N1883">IF(OR(ISNUMBER(FIND(Aux!$D$3:$D$9,_xlfn.TEXTJOIN(,,C1883:K1883)))),NA(),IF(AND(SUM(C1883:F1883,H1883:K1883)=0,G1883=1),0,INT((SUMPRODUCT(C1883:F1883,COLUMN($A$1:$D$1)-1)+SUMPRODUCT(H1883:K1883,COLUMN($E$1:$H$1)-1))*'Line Follower'!$C$3/SUM(C1883:F1883,H1883:K1883)-'Line Follower'!$C$5)))</f>
        <v>#N/A</v>
      </c>
      <c r="O1883" s="22" t="e">
        <v>#N/A</v>
      </c>
      <c r="P1883" s="4" t="e">
        <f t="shared" si="145"/>
        <v>#N/A</v>
      </c>
      <c r="Q1883" s="4" t="e">
        <f t="shared" si="146"/>
        <v>#N/A</v>
      </c>
      <c r="R1883" s="4" t="e">
        <f>IF(AND(B1883=1,N1883&gt;'Line Follower'!$C$7,SUM(C1883:K1883)&lt;4),1,0)</f>
        <v>#N/A</v>
      </c>
      <c r="S1883" s="4" t="e">
        <f>IF(AND(L1883=1,N1883&lt;'Line Follower'!$C$6,SUM(C1883:K1883)&lt;4),1,0)</f>
        <v>#N/A</v>
      </c>
      <c r="T1883" s="4" t="e">
        <f t="shared" si="147"/>
        <v>#N/A</v>
      </c>
      <c r="U1883" s="5" t="e">
        <f t="shared" si="148"/>
        <v>#N/A</v>
      </c>
      <c r="V1883" s="23" t="e">
        <f t="shared" si="149"/>
        <v>#N/A</v>
      </c>
    </row>
    <row r="1884" spans="2:22" x14ac:dyDescent="0.25">
      <c r="B1884" s="16">
        <v>1</v>
      </c>
      <c r="C1884" s="7">
        <v>0</v>
      </c>
      <c r="D1884" s="8">
        <v>0</v>
      </c>
      <c r="E1884" s="8">
        <v>1</v>
      </c>
      <c r="F1884" s="8">
        <v>1</v>
      </c>
      <c r="G1884" s="8">
        <v>0</v>
      </c>
      <c r="H1884" s="8">
        <v>1</v>
      </c>
      <c r="I1884" s="8">
        <v>0</v>
      </c>
      <c r="J1884" s="8">
        <v>1</v>
      </c>
      <c r="K1884" s="9">
        <v>1</v>
      </c>
      <c r="L1884" s="10">
        <v>1</v>
      </c>
      <c r="M1884" s="6">
        <v>0</v>
      </c>
      <c r="N1884" s="37" t="e" cm="1">
        <f t="array" ref="N1884">IF(OR(ISNUMBER(FIND(Aux!$D$3:$D$9,_xlfn.TEXTJOIN(,,C1884:K1884)))),NA(),IF(AND(SUM(C1884:F1884,H1884:K1884)=0,G1884=1),0,INT((SUMPRODUCT(C1884:F1884,COLUMN($A$1:$D$1)-1)+SUMPRODUCT(H1884:K1884,COLUMN($E$1:$H$1)-1))*'Line Follower'!$C$3/SUM(C1884:F1884,H1884:K1884)-'Line Follower'!$C$5)))</f>
        <v>#N/A</v>
      </c>
      <c r="O1884" s="22" t="e">
        <v>#N/A</v>
      </c>
      <c r="P1884" s="4" t="e">
        <f t="shared" si="145"/>
        <v>#N/A</v>
      </c>
      <c r="Q1884" s="4" t="e">
        <f t="shared" si="146"/>
        <v>#N/A</v>
      </c>
      <c r="R1884" s="4" t="e">
        <f>IF(AND(B1884=1,N1884&gt;'Line Follower'!$C$7,SUM(C1884:K1884)&lt;4),1,0)</f>
        <v>#N/A</v>
      </c>
      <c r="S1884" s="4" t="e">
        <f>IF(AND(L1884=1,N1884&lt;'Line Follower'!$C$6,SUM(C1884:K1884)&lt;4),1,0)</f>
        <v>#N/A</v>
      </c>
      <c r="T1884" s="4" t="e">
        <f t="shared" si="147"/>
        <v>#N/A</v>
      </c>
      <c r="U1884" s="5" t="e">
        <f t="shared" si="148"/>
        <v>#N/A</v>
      </c>
      <c r="V1884" s="23" t="e">
        <f t="shared" si="149"/>
        <v>#N/A</v>
      </c>
    </row>
    <row r="1885" spans="2:22" x14ac:dyDescent="0.25">
      <c r="B1885" s="16">
        <v>0</v>
      </c>
      <c r="C1885" s="7">
        <v>1</v>
      </c>
      <c r="D1885" s="8">
        <v>0</v>
      </c>
      <c r="E1885" s="8">
        <v>1</v>
      </c>
      <c r="F1885" s="8">
        <v>1</v>
      </c>
      <c r="G1885" s="8">
        <v>0</v>
      </c>
      <c r="H1885" s="8">
        <v>1</v>
      </c>
      <c r="I1885" s="8">
        <v>0</v>
      </c>
      <c r="J1885" s="8">
        <v>1</v>
      </c>
      <c r="K1885" s="9">
        <v>1</v>
      </c>
      <c r="L1885" s="10">
        <v>1</v>
      </c>
      <c r="M1885" s="6">
        <v>0</v>
      </c>
      <c r="N1885" s="37" t="e" cm="1">
        <f t="array" ref="N1885">IF(OR(ISNUMBER(FIND(Aux!$D$3:$D$9,_xlfn.TEXTJOIN(,,C1885:K1885)))),NA(),IF(AND(SUM(C1885:F1885,H1885:K1885)=0,G1885=1),0,INT((SUMPRODUCT(C1885:F1885,COLUMN($A$1:$D$1)-1)+SUMPRODUCT(H1885:K1885,COLUMN($E$1:$H$1)-1))*'Line Follower'!$C$3/SUM(C1885:F1885,H1885:K1885)-'Line Follower'!$C$5)))</f>
        <v>#N/A</v>
      </c>
      <c r="O1885" s="22" t="e">
        <v>#N/A</v>
      </c>
      <c r="P1885" s="4" t="e">
        <f t="shared" si="145"/>
        <v>#N/A</v>
      </c>
      <c r="Q1885" s="4" t="e">
        <f t="shared" si="146"/>
        <v>#N/A</v>
      </c>
      <c r="R1885" s="4" t="e">
        <f>IF(AND(B1885=1,N1885&gt;'Line Follower'!$C$7,SUM(C1885:K1885)&lt;4),1,0)</f>
        <v>#N/A</v>
      </c>
      <c r="S1885" s="4" t="e">
        <f>IF(AND(L1885=1,N1885&lt;'Line Follower'!$C$6,SUM(C1885:K1885)&lt;4),1,0)</f>
        <v>#N/A</v>
      </c>
      <c r="T1885" s="4" t="e">
        <f t="shared" si="147"/>
        <v>#N/A</v>
      </c>
      <c r="U1885" s="5" t="e">
        <f t="shared" si="148"/>
        <v>#N/A</v>
      </c>
      <c r="V1885" s="23" t="e">
        <f t="shared" si="149"/>
        <v>#N/A</v>
      </c>
    </row>
    <row r="1886" spans="2:22" x14ac:dyDescent="0.25">
      <c r="B1886" s="16">
        <v>1</v>
      </c>
      <c r="C1886" s="7">
        <v>1</v>
      </c>
      <c r="D1886" s="8">
        <v>0</v>
      </c>
      <c r="E1886" s="8">
        <v>1</v>
      </c>
      <c r="F1886" s="8">
        <v>1</v>
      </c>
      <c r="G1886" s="8">
        <v>0</v>
      </c>
      <c r="H1886" s="8">
        <v>1</v>
      </c>
      <c r="I1886" s="8">
        <v>0</v>
      </c>
      <c r="J1886" s="8">
        <v>1</v>
      </c>
      <c r="K1886" s="9">
        <v>1</v>
      </c>
      <c r="L1886" s="10">
        <v>1</v>
      </c>
      <c r="M1886" s="6">
        <v>0</v>
      </c>
      <c r="N1886" s="37" t="e" cm="1">
        <f t="array" ref="N1886">IF(OR(ISNUMBER(FIND(Aux!$D$3:$D$9,_xlfn.TEXTJOIN(,,C1886:K1886)))),NA(),IF(AND(SUM(C1886:F1886,H1886:K1886)=0,G1886=1),0,INT((SUMPRODUCT(C1886:F1886,COLUMN($A$1:$D$1)-1)+SUMPRODUCT(H1886:K1886,COLUMN($E$1:$H$1)-1))*'Line Follower'!$C$3/SUM(C1886:F1886,H1886:K1886)-'Line Follower'!$C$5)))</f>
        <v>#N/A</v>
      </c>
      <c r="O1886" s="22" t="e">
        <v>#N/A</v>
      </c>
      <c r="P1886" s="4" t="e">
        <f t="shared" si="145"/>
        <v>#N/A</v>
      </c>
      <c r="Q1886" s="4" t="e">
        <f t="shared" si="146"/>
        <v>#N/A</v>
      </c>
      <c r="R1886" s="4" t="e">
        <f>IF(AND(B1886=1,N1886&gt;'Line Follower'!$C$7,SUM(C1886:K1886)&lt;4),1,0)</f>
        <v>#N/A</v>
      </c>
      <c r="S1886" s="4" t="e">
        <f>IF(AND(L1886=1,N1886&lt;'Line Follower'!$C$6,SUM(C1886:K1886)&lt;4),1,0)</f>
        <v>#N/A</v>
      </c>
      <c r="T1886" s="4" t="e">
        <f t="shared" si="147"/>
        <v>#N/A</v>
      </c>
      <c r="U1886" s="5" t="e">
        <f t="shared" si="148"/>
        <v>#N/A</v>
      </c>
      <c r="V1886" s="23" t="e">
        <f t="shared" si="149"/>
        <v>#N/A</v>
      </c>
    </row>
    <row r="1887" spans="2:22" x14ac:dyDescent="0.25">
      <c r="B1887" s="16">
        <v>0</v>
      </c>
      <c r="C1887" s="7">
        <v>0</v>
      </c>
      <c r="D1887" s="8">
        <v>1</v>
      </c>
      <c r="E1887" s="8">
        <v>1</v>
      </c>
      <c r="F1887" s="8">
        <v>1</v>
      </c>
      <c r="G1887" s="8">
        <v>0</v>
      </c>
      <c r="H1887" s="8">
        <v>1</v>
      </c>
      <c r="I1887" s="8">
        <v>0</v>
      </c>
      <c r="J1887" s="8">
        <v>1</v>
      </c>
      <c r="K1887" s="9">
        <v>1</v>
      </c>
      <c r="L1887" s="10">
        <v>1</v>
      </c>
      <c r="M1887" s="6">
        <v>0</v>
      </c>
      <c r="N1887" s="37" t="e" cm="1">
        <f t="array" ref="N1887">IF(OR(ISNUMBER(FIND(Aux!$D$3:$D$9,_xlfn.TEXTJOIN(,,C1887:K1887)))),NA(),IF(AND(SUM(C1887:F1887,H1887:K1887)=0,G1887=1),0,INT((SUMPRODUCT(C1887:F1887,COLUMN($A$1:$D$1)-1)+SUMPRODUCT(H1887:K1887,COLUMN($E$1:$H$1)-1))*'Line Follower'!$C$3/SUM(C1887:F1887,H1887:K1887)-'Line Follower'!$C$5)))</f>
        <v>#N/A</v>
      </c>
      <c r="O1887" s="22" t="e">
        <v>#N/A</v>
      </c>
      <c r="P1887" s="4" t="e">
        <f t="shared" si="145"/>
        <v>#N/A</v>
      </c>
      <c r="Q1887" s="4" t="e">
        <f t="shared" si="146"/>
        <v>#N/A</v>
      </c>
      <c r="R1887" s="4" t="e">
        <f>IF(AND(B1887=1,N1887&gt;'Line Follower'!$C$7,SUM(C1887:K1887)&lt;4),1,0)</f>
        <v>#N/A</v>
      </c>
      <c r="S1887" s="4" t="e">
        <f>IF(AND(L1887=1,N1887&lt;'Line Follower'!$C$6,SUM(C1887:K1887)&lt;4),1,0)</f>
        <v>#N/A</v>
      </c>
      <c r="T1887" s="4" t="e">
        <f t="shared" si="147"/>
        <v>#N/A</v>
      </c>
      <c r="U1887" s="5" t="e">
        <f t="shared" si="148"/>
        <v>#N/A</v>
      </c>
      <c r="V1887" s="23" t="e">
        <f t="shared" si="149"/>
        <v>#N/A</v>
      </c>
    </row>
    <row r="1888" spans="2:22" x14ac:dyDescent="0.25">
      <c r="B1888" s="16">
        <v>1</v>
      </c>
      <c r="C1888" s="7">
        <v>0</v>
      </c>
      <c r="D1888" s="8">
        <v>1</v>
      </c>
      <c r="E1888" s="8">
        <v>1</v>
      </c>
      <c r="F1888" s="8">
        <v>1</v>
      </c>
      <c r="G1888" s="8">
        <v>0</v>
      </c>
      <c r="H1888" s="8">
        <v>1</v>
      </c>
      <c r="I1888" s="8">
        <v>0</v>
      </c>
      <c r="J1888" s="8">
        <v>1</v>
      </c>
      <c r="K1888" s="9">
        <v>1</v>
      </c>
      <c r="L1888" s="10">
        <v>1</v>
      </c>
      <c r="M1888" s="6">
        <v>0</v>
      </c>
      <c r="N1888" s="37" t="e" cm="1">
        <f t="array" ref="N1888">IF(OR(ISNUMBER(FIND(Aux!$D$3:$D$9,_xlfn.TEXTJOIN(,,C1888:K1888)))),NA(),IF(AND(SUM(C1888:F1888,H1888:K1888)=0,G1888=1),0,INT((SUMPRODUCT(C1888:F1888,COLUMN($A$1:$D$1)-1)+SUMPRODUCT(H1888:K1888,COLUMN($E$1:$H$1)-1))*'Line Follower'!$C$3/SUM(C1888:F1888,H1888:K1888)-'Line Follower'!$C$5)))</f>
        <v>#N/A</v>
      </c>
      <c r="O1888" s="22" t="e">
        <v>#N/A</v>
      </c>
      <c r="P1888" s="4" t="e">
        <f t="shared" si="145"/>
        <v>#N/A</v>
      </c>
      <c r="Q1888" s="4" t="e">
        <f t="shared" si="146"/>
        <v>#N/A</v>
      </c>
      <c r="R1888" s="4" t="e">
        <f>IF(AND(B1888=1,N1888&gt;'Line Follower'!$C$7,SUM(C1888:K1888)&lt;4),1,0)</f>
        <v>#N/A</v>
      </c>
      <c r="S1888" s="4" t="e">
        <f>IF(AND(L1888=1,N1888&lt;'Line Follower'!$C$6,SUM(C1888:K1888)&lt;4),1,0)</f>
        <v>#N/A</v>
      </c>
      <c r="T1888" s="4" t="e">
        <f t="shared" si="147"/>
        <v>#N/A</v>
      </c>
      <c r="U1888" s="5" t="e">
        <f t="shared" si="148"/>
        <v>#N/A</v>
      </c>
      <c r="V1888" s="23" t="e">
        <f t="shared" si="149"/>
        <v>#N/A</v>
      </c>
    </row>
    <row r="1889" spans="2:22" x14ac:dyDescent="0.25">
      <c r="B1889" s="16">
        <v>0</v>
      </c>
      <c r="C1889" s="7">
        <v>1</v>
      </c>
      <c r="D1889" s="8">
        <v>1</v>
      </c>
      <c r="E1889" s="8">
        <v>1</v>
      </c>
      <c r="F1889" s="8">
        <v>1</v>
      </c>
      <c r="G1889" s="8">
        <v>0</v>
      </c>
      <c r="H1889" s="8">
        <v>1</v>
      </c>
      <c r="I1889" s="8">
        <v>0</v>
      </c>
      <c r="J1889" s="8">
        <v>1</v>
      </c>
      <c r="K1889" s="9">
        <v>1</v>
      </c>
      <c r="L1889" s="10">
        <v>1</v>
      </c>
      <c r="M1889" s="6">
        <v>0</v>
      </c>
      <c r="N1889" s="37" t="e" cm="1">
        <f t="array" ref="N1889">IF(OR(ISNUMBER(FIND(Aux!$D$3:$D$9,_xlfn.TEXTJOIN(,,C1889:K1889)))),NA(),IF(AND(SUM(C1889:F1889,H1889:K1889)=0,G1889=1),0,INT((SUMPRODUCT(C1889:F1889,COLUMN($A$1:$D$1)-1)+SUMPRODUCT(H1889:K1889,COLUMN($E$1:$H$1)-1))*'Line Follower'!$C$3/SUM(C1889:F1889,H1889:K1889)-'Line Follower'!$C$5)))</f>
        <v>#N/A</v>
      </c>
      <c r="O1889" s="22" t="e">
        <v>#N/A</v>
      </c>
      <c r="P1889" s="4" t="e">
        <f t="shared" si="145"/>
        <v>#N/A</v>
      </c>
      <c r="Q1889" s="4" t="e">
        <f t="shared" si="146"/>
        <v>#N/A</v>
      </c>
      <c r="R1889" s="4" t="e">
        <f>IF(AND(B1889=1,N1889&gt;'Line Follower'!$C$7,SUM(C1889:K1889)&lt;4),1,0)</f>
        <v>#N/A</v>
      </c>
      <c r="S1889" s="4" t="e">
        <f>IF(AND(L1889=1,N1889&lt;'Line Follower'!$C$6,SUM(C1889:K1889)&lt;4),1,0)</f>
        <v>#N/A</v>
      </c>
      <c r="T1889" s="4" t="e">
        <f t="shared" si="147"/>
        <v>#N/A</v>
      </c>
      <c r="U1889" s="5" t="e">
        <f t="shared" si="148"/>
        <v>#N/A</v>
      </c>
      <c r="V1889" s="23" t="e">
        <f t="shared" si="149"/>
        <v>#N/A</v>
      </c>
    </row>
    <row r="1890" spans="2:22" x14ac:dyDescent="0.25">
      <c r="B1890" s="16">
        <v>1</v>
      </c>
      <c r="C1890" s="7">
        <v>1</v>
      </c>
      <c r="D1890" s="8">
        <v>1</v>
      </c>
      <c r="E1890" s="8">
        <v>1</v>
      </c>
      <c r="F1890" s="8">
        <v>1</v>
      </c>
      <c r="G1890" s="8">
        <v>0</v>
      </c>
      <c r="H1890" s="8">
        <v>1</v>
      </c>
      <c r="I1890" s="8">
        <v>0</v>
      </c>
      <c r="J1890" s="8">
        <v>1</v>
      </c>
      <c r="K1890" s="9">
        <v>1</v>
      </c>
      <c r="L1890" s="10">
        <v>1</v>
      </c>
      <c r="M1890" s="6">
        <v>0</v>
      </c>
      <c r="N1890" s="37" t="e" cm="1">
        <f t="array" ref="N1890">IF(OR(ISNUMBER(FIND(Aux!$D$3:$D$9,_xlfn.TEXTJOIN(,,C1890:K1890)))),NA(),IF(AND(SUM(C1890:F1890,H1890:K1890)=0,G1890=1),0,INT((SUMPRODUCT(C1890:F1890,COLUMN($A$1:$D$1)-1)+SUMPRODUCT(H1890:K1890,COLUMN($E$1:$H$1)-1))*'Line Follower'!$C$3/SUM(C1890:F1890,H1890:K1890)-'Line Follower'!$C$5)))</f>
        <v>#N/A</v>
      </c>
      <c r="O1890" s="22" t="e">
        <v>#N/A</v>
      </c>
      <c r="P1890" s="4" t="e">
        <f t="shared" si="145"/>
        <v>#N/A</v>
      </c>
      <c r="Q1890" s="4" t="e">
        <f t="shared" si="146"/>
        <v>#N/A</v>
      </c>
      <c r="R1890" s="4" t="e">
        <f>IF(AND(B1890=1,N1890&gt;'Line Follower'!$C$7,SUM(C1890:K1890)&lt;4),1,0)</f>
        <v>#N/A</v>
      </c>
      <c r="S1890" s="4" t="e">
        <f>IF(AND(L1890=1,N1890&lt;'Line Follower'!$C$6,SUM(C1890:K1890)&lt;4),1,0)</f>
        <v>#N/A</v>
      </c>
      <c r="T1890" s="4" t="e">
        <f t="shared" si="147"/>
        <v>#N/A</v>
      </c>
      <c r="U1890" s="5" t="e">
        <f t="shared" si="148"/>
        <v>#N/A</v>
      </c>
      <c r="V1890" s="23" t="e">
        <f t="shared" si="149"/>
        <v>#N/A</v>
      </c>
    </row>
    <row r="1891" spans="2:22" x14ac:dyDescent="0.25">
      <c r="B1891" s="16">
        <v>0</v>
      </c>
      <c r="C1891" s="7">
        <v>0</v>
      </c>
      <c r="D1891" s="8">
        <v>0</v>
      </c>
      <c r="E1891" s="8">
        <v>0</v>
      </c>
      <c r="F1891" s="8">
        <v>0</v>
      </c>
      <c r="G1891" s="8">
        <v>1</v>
      </c>
      <c r="H1891" s="8">
        <v>1</v>
      </c>
      <c r="I1891" s="8">
        <v>0</v>
      </c>
      <c r="J1891" s="8">
        <v>1</v>
      </c>
      <c r="K1891" s="9">
        <v>1</v>
      </c>
      <c r="L1891" s="10">
        <v>1</v>
      </c>
      <c r="M1891" s="6">
        <v>0</v>
      </c>
      <c r="N1891" s="37" t="e" cm="1">
        <f t="array" ref="N1891">IF(OR(ISNUMBER(FIND(Aux!$D$3:$D$9,_xlfn.TEXTJOIN(,,C1891:K1891)))),NA(),IF(AND(SUM(C1891:F1891,H1891:K1891)=0,G1891=1),0,INT((SUMPRODUCT(C1891:F1891,COLUMN($A$1:$D$1)-1)+SUMPRODUCT(H1891:K1891,COLUMN($E$1:$H$1)-1))*'Line Follower'!$C$3/SUM(C1891:F1891,H1891:K1891)-'Line Follower'!$C$5)))</f>
        <v>#N/A</v>
      </c>
      <c r="O1891" s="22" t="e">
        <v>#N/A</v>
      </c>
      <c r="P1891" s="4" t="e">
        <f t="shared" si="145"/>
        <v>#N/A</v>
      </c>
      <c r="Q1891" s="4" t="e">
        <f t="shared" si="146"/>
        <v>#N/A</v>
      </c>
      <c r="R1891" s="4" t="e">
        <f>IF(AND(B1891=1,N1891&gt;'Line Follower'!$C$7,SUM(C1891:K1891)&lt;4),1,0)</f>
        <v>#N/A</v>
      </c>
      <c r="S1891" s="4" t="e">
        <f>IF(AND(L1891=1,N1891&lt;'Line Follower'!$C$6,SUM(C1891:K1891)&lt;4),1,0)</f>
        <v>#N/A</v>
      </c>
      <c r="T1891" s="4" t="e">
        <f t="shared" si="147"/>
        <v>#N/A</v>
      </c>
      <c r="U1891" s="5" t="e">
        <f t="shared" si="148"/>
        <v>#N/A</v>
      </c>
      <c r="V1891" s="23" t="e">
        <f t="shared" si="149"/>
        <v>#N/A</v>
      </c>
    </row>
    <row r="1892" spans="2:22" x14ac:dyDescent="0.25">
      <c r="B1892" s="16">
        <v>1</v>
      </c>
      <c r="C1892" s="7">
        <v>0</v>
      </c>
      <c r="D1892" s="8">
        <v>0</v>
      </c>
      <c r="E1892" s="8">
        <v>0</v>
      </c>
      <c r="F1892" s="8">
        <v>0</v>
      </c>
      <c r="G1892" s="8">
        <v>1</v>
      </c>
      <c r="H1892" s="8">
        <v>1</v>
      </c>
      <c r="I1892" s="8">
        <v>0</v>
      </c>
      <c r="J1892" s="8">
        <v>1</v>
      </c>
      <c r="K1892" s="9">
        <v>1</v>
      </c>
      <c r="L1892" s="10">
        <v>1</v>
      </c>
      <c r="M1892" s="6">
        <v>0</v>
      </c>
      <c r="N1892" s="37" t="e" cm="1">
        <f t="array" ref="N1892">IF(OR(ISNUMBER(FIND(Aux!$D$3:$D$9,_xlfn.TEXTJOIN(,,C1892:K1892)))),NA(),IF(AND(SUM(C1892:F1892,H1892:K1892)=0,G1892=1),0,INT((SUMPRODUCT(C1892:F1892,COLUMN($A$1:$D$1)-1)+SUMPRODUCT(H1892:K1892,COLUMN($E$1:$H$1)-1))*'Line Follower'!$C$3/SUM(C1892:F1892,H1892:K1892)-'Line Follower'!$C$5)))</f>
        <v>#N/A</v>
      </c>
      <c r="O1892" s="22" t="e">
        <v>#N/A</v>
      </c>
      <c r="P1892" s="4" t="e">
        <f t="shared" si="145"/>
        <v>#N/A</v>
      </c>
      <c r="Q1892" s="4" t="e">
        <f t="shared" si="146"/>
        <v>#N/A</v>
      </c>
      <c r="R1892" s="4" t="e">
        <f>IF(AND(B1892=1,N1892&gt;'Line Follower'!$C$7,SUM(C1892:K1892)&lt;4),1,0)</f>
        <v>#N/A</v>
      </c>
      <c r="S1892" s="4" t="e">
        <f>IF(AND(L1892=1,N1892&lt;'Line Follower'!$C$6,SUM(C1892:K1892)&lt;4),1,0)</f>
        <v>#N/A</v>
      </c>
      <c r="T1892" s="4" t="e">
        <f t="shared" si="147"/>
        <v>#N/A</v>
      </c>
      <c r="U1892" s="5" t="e">
        <f t="shared" si="148"/>
        <v>#N/A</v>
      </c>
      <c r="V1892" s="23" t="e">
        <f t="shared" si="149"/>
        <v>#N/A</v>
      </c>
    </row>
    <row r="1893" spans="2:22" x14ac:dyDescent="0.25">
      <c r="B1893" s="16">
        <v>0</v>
      </c>
      <c r="C1893" s="7">
        <v>1</v>
      </c>
      <c r="D1893" s="8">
        <v>0</v>
      </c>
      <c r="E1893" s="8">
        <v>0</v>
      </c>
      <c r="F1893" s="8">
        <v>0</v>
      </c>
      <c r="G1893" s="8">
        <v>1</v>
      </c>
      <c r="H1893" s="8">
        <v>1</v>
      </c>
      <c r="I1893" s="8">
        <v>0</v>
      </c>
      <c r="J1893" s="8">
        <v>1</v>
      </c>
      <c r="K1893" s="9">
        <v>1</v>
      </c>
      <c r="L1893" s="10">
        <v>1</v>
      </c>
      <c r="M1893" s="6">
        <v>0</v>
      </c>
      <c r="N1893" s="37" t="e" cm="1">
        <f t="array" ref="N1893">IF(OR(ISNUMBER(FIND(Aux!$D$3:$D$9,_xlfn.TEXTJOIN(,,C1893:K1893)))),NA(),IF(AND(SUM(C1893:F1893,H1893:K1893)=0,G1893=1),0,INT((SUMPRODUCT(C1893:F1893,COLUMN($A$1:$D$1)-1)+SUMPRODUCT(H1893:K1893,COLUMN($E$1:$H$1)-1))*'Line Follower'!$C$3/SUM(C1893:F1893,H1893:K1893)-'Line Follower'!$C$5)))</f>
        <v>#N/A</v>
      </c>
      <c r="O1893" s="22" t="e">
        <v>#N/A</v>
      </c>
      <c r="P1893" s="4" t="e">
        <f t="shared" si="145"/>
        <v>#N/A</v>
      </c>
      <c r="Q1893" s="4" t="e">
        <f t="shared" si="146"/>
        <v>#N/A</v>
      </c>
      <c r="R1893" s="4" t="e">
        <f>IF(AND(B1893=1,N1893&gt;'Line Follower'!$C$7,SUM(C1893:K1893)&lt;4),1,0)</f>
        <v>#N/A</v>
      </c>
      <c r="S1893" s="4" t="e">
        <f>IF(AND(L1893=1,N1893&lt;'Line Follower'!$C$6,SUM(C1893:K1893)&lt;4),1,0)</f>
        <v>#N/A</v>
      </c>
      <c r="T1893" s="4" t="e">
        <f t="shared" si="147"/>
        <v>#N/A</v>
      </c>
      <c r="U1893" s="5" t="e">
        <f t="shared" si="148"/>
        <v>#N/A</v>
      </c>
      <c r="V1893" s="23" t="e">
        <f t="shared" si="149"/>
        <v>#N/A</v>
      </c>
    </row>
    <row r="1894" spans="2:22" x14ac:dyDescent="0.25">
      <c r="B1894" s="16">
        <v>1</v>
      </c>
      <c r="C1894" s="7">
        <v>1</v>
      </c>
      <c r="D1894" s="8">
        <v>0</v>
      </c>
      <c r="E1894" s="8">
        <v>0</v>
      </c>
      <c r="F1894" s="8">
        <v>0</v>
      </c>
      <c r="G1894" s="8">
        <v>1</v>
      </c>
      <c r="H1894" s="8">
        <v>1</v>
      </c>
      <c r="I1894" s="8">
        <v>0</v>
      </c>
      <c r="J1894" s="8">
        <v>1</v>
      </c>
      <c r="K1894" s="9">
        <v>1</v>
      </c>
      <c r="L1894" s="10">
        <v>1</v>
      </c>
      <c r="M1894" s="6">
        <v>0</v>
      </c>
      <c r="N1894" s="37" t="e" cm="1">
        <f t="array" ref="N1894">IF(OR(ISNUMBER(FIND(Aux!$D$3:$D$9,_xlfn.TEXTJOIN(,,C1894:K1894)))),NA(),IF(AND(SUM(C1894:F1894,H1894:K1894)=0,G1894=1),0,INT((SUMPRODUCT(C1894:F1894,COLUMN($A$1:$D$1)-1)+SUMPRODUCT(H1894:K1894,COLUMN($E$1:$H$1)-1))*'Line Follower'!$C$3/SUM(C1894:F1894,H1894:K1894)-'Line Follower'!$C$5)))</f>
        <v>#N/A</v>
      </c>
      <c r="O1894" s="22" t="e">
        <v>#N/A</v>
      </c>
      <c r="P1894" s="4" t="e">
        <f t="shared" si="145"/>
        <v>#N/A</v>
      </c>
      <c r="Q1894" s="4" t="e">
        <f t="shared" si="146"/>
        <v>#N/A</v>
      </c>
      <c r="R1894" s="4" t="e">
        <f>IF(AND(B1894=1,N1894&gt;'Line Follower'!$C$7,SUM(C1894:K1894)&lt;4),1,0)</f>
        <v>#N/A</v>
      </c>
      <c r="S1894" s="4" t="e">
        <f>IF(AND(L1894=1,N1894&lt;'Line Follower'!$C$6,SUM(C1894:K1894)&lt;4),1,0)</f>
        <v>#N/A</v>
      </c>
      <c r="T1894" s="4" t="e">
        <f t="shared" si="147"/>
        <v>#N/A</v>
      </c>
      <c r="U1894" s="5" t="e">
        <f t="shared" si="148"/>
        <v>#N/A</v>
      </c>
      <c r="V1894" s="23" t="e">
        <f t="shared" si="149"/>
        <v>#N/A</v>
      </c>
    </row>
    <row r="1895" spans="2:22" x14ac:dyDescent="0.25">
      <c r="B1895" s="16">
        <v>0</v>
      </c>
      <c r="C1895" s="7">
        <v>0</v>
      </c>
      <c r="D1895" s="8">
        <v>1</v>
      </c>
      <c r="E1895" s="8">
        <v>0</v>
      </c>
      <c r="F1895" s="8">
        <v>0</v>
      </c>
      <c r="G1895" s="8">
        <v>1</v>
      </c>
      <c r="H1895" s="8">
        <v>1</v>
      </c>
      <c r="I1895" s="8">
        <v>0</v>
      </c>
      <c r="J1895" s="8">
        <v>1</v>
      </c>
      <c r="K1895" s="9">
        <v>1</v>
      </c>
      <c r="L1895" s="10">
        <v>1</v>
      </c>
      <c r="M1895" s="6">
        <v>0</v>
      </c>
      <c r="N1895" s="37" t="e" cm="1">
        <f t="array" ref="N1895">IF(OR(ISNUMBER(FIND(Aux!$D$3:$D$9,_xlfn.TEXTJOIN(,,C1895:K1895)))),NA(),IF(AND(SUM(C1895:F1895,H1895:K1895)=0,G1895=1),0,INT((SUMPRODUCT(C1895:F1895,COLUMN($A$1:$D$1)-1)+SUMPRODUCT(H1895:K1895,COLUMN($E$1:$H$1)-1))*'Line Follower'!$C$3/SUM(C1895:F1895,H1895:K1895)-'Line Follower'!$C$5)))</f>
        <v>#N/A</v>
      </c>
      <c r="O1895" s="22" t="e">
        <v>#N/A</v>
      </c>
      <c r="P1895" s="4" t="e">
        <f t="shared" si="145"/>
        <v>#N/A</v>
      </c>
      <c r="Q1895" s="4" t="e">
        <f t="shared" si="146"/>
        <v>#N/A</v>
      </c>
      <c r="R1895" s="4" t="e">
        <f>IF(AND(B1895=1,N1895&gt;'Line Follower'!$C$7,SUM(C1895:K1895)&lt;4),1,0)</f>
        <v>#N/A</v>
      </c>
      <c r="S1895" s="4" t="e">
        <f>IF(AND(L1895=1,N1895&lt;'Line Follower'!$C$6,SUM(C1895:K1895)&lt;4),1,0)</f>
        <v>#N/A</v>
      </c>
      <c r="T1895" s="4" t="e">
        <f t="shared" si="147"/>
        <v>#N/A</v>
      </c>
      <c r="U1895" s="5" t="e">
        <f t="shared" si="148"/>
        <v>#N/A</v>
      </c>
      <c r="V1895" s="23" t="e">
        <f t="shared" si="149"/>
        <v>#N/A</v>
      </c>
    </row>
    <row r="1896" spans="2:22" x14ac:dyDescent="0.25">
      <c r="B1896" s="16">
        <v>1</v>
      </c>
      <c r="C1896" s="7">
        <v>0</v>
      </c>
      <c r="D1896" s="8">
        <v>1</v>
      </c>
      <c r="E1896" s="8">
        <v>0</v>
      </c>
      <c r="F1896" s="8">
        <v>0</v>
      </c>
      <c r="G1896" s="8">
        <v>1</v>
      </c>
      <c r="H1896" s="8">
        <v>1</v>
      </c>
      <c r="I1896" s="8">
        <v>0</v>
      </c>
      <c r="J1896" s="8">
        <v>1</v>
      </c>
      <c r="K1896" s="9">
        <v>1</v>
      </c>
      <c r="L1896" s="10">
        <v>1</v>
      </c>
      <c r="M1896" s="6">
        <v>0</v>
      </c>
      <c r="N1896" s="37" t="e" cm="1">
        <f t="array" ref="N1896">IF(OR(ISNUMBER(FIND(Aux!$D$3:$D$9,_xlfn.TEXTJOIN(,,C1896:K1896)))),NA(),IF(AND(SUM(C1896:F1896,H1896:K1896)=0,G1896=1),0,INT((SUMPRODUCT(C1896:F1896,COLUMN($A$1:$D$1)-1)+SUMPRODUCT(H1896:K1896,COLUMN($E$1:$H$1)-1))*'Line Follower'!$C$3/SUM(C1896:F1896,H1896:K1896)-'Line Follower'!$C$5)))</f>
        <v>#N/A</v>
      </c>
      <c r="O1896" s="22" t="e">
        <v>#N/A</v>
      </c>
      <c r="P1896" s="4" t="e">
        <f t="shared" si="145"/>
        <v>#N/A</v>
      </c>
      <c r="Q1896" s="4" t="e">
        <f t="shared" si="146"/>
        <v>#N/A</v>
      </c>
      <c r="R1896" s="4" t="e">
        <f>IF(AND(B1896=1,N1896&gt;'Line Follower'!$C$7,SUM(C1896:K1896)&lt;4),1,0)</f>
        <v>#N/A</v>
      </c>
      <c r="S1896" s="4" t="e">
        <f>IF(AND(L1896=1,N1896&lt;'Line Follower'!$C$6,SUM(C1896:K1896)&lt;4),1,0)</f>
        <v>#N/A</v>
      </c>
      <c r="T1896" s="4" t="e">
        <f t="shared" si="147"/>
        <v>#N/A</v>
      </c>
      <c r="U1896" s="5" t="e">
        <f t="shared" si="148"/>
        <v>#N/A</v>
      </c>
      <c r="V1896" s="23" t="e">
        <f t="shared" si="149"/>
        <v>#N/A</v>
      </c>
    </row>
    <row r="1897" spans="2:22" x14ac:dyDescent="0.25">
      <c r="B1897" s="16">
        <v>0</v>
      </c>
      <c r="C1897" s="7">
        <v>1</v>
      </c>
      <c r="D1897" s="8">
        <v>1</v>
      </c>
      <c r="E1897" s="8">
        <v>0</v>
      </c>
      <c r="F1897" s="8">
        <v>0</v>
      </c>
      <c r="G1897" s="8">
        <v>1</v>
      </c>
      <c r="H1897" s="8">
        <v>1</v>
      </c>
      <c r="I1897" s="8">
        <v>0</v>
      </c>
      <c r="J1897" s="8">
        <v>1</v>
      </c>
      <c r="K1897" s="9">
        <v>1</v>
      </c>
      <c r="L1897" s="10">
        <v>1</v>
      </c>
      <c r="M1897" s="6">
        <v>0</v>
      </c>
      <c r="N1897" s="37" t="e" cm="1">
        <f t="array" ref="N1897">IF(OR(ISNUMBER(FIND(Aux!$D$3:$D$9,_xlfn.TEXTJOIN(,,C1897:K1897)))),NA(),IF(AND(SUM(C1897:F1897,H1897:K1897)=0,G1897=1),0,INT((SUMPRODUCT(C1897:F1897,COLUMN($A$1:$D$1)-1)+SUMPRODUCT(H1897:K1897,COLUMN($E$1:$H$1)-1))*'Line Follower'!$C$3/SUM(C1897:F1897,H1897:K1897)-'Line Follower'!$C$5)))</f>
        <v>#N/A</v>
      </c>
      <c r="O1897" s="22" t="e">
        <v>#N/A</v>
      </c>
      <c r="P1897" s="4" t="e">
        <f t="shared" si="145"/>
        <v>#N/A</v>
      </c>
      <c r="Q1897" s="4" t="e">
        <f t="shared" si="146"/>
        <v>#N/A</v>
      </c>
      <c r="R1897" s="4" t="e">
        <f>IF(AND(B1897=1,N1897&gt;'Line Follower'!$C$7,SUM(C1897:K1897)&lt;4),1,0)</f>
        <v>#N/A</v>
      </c>
      <c r="S1897" s="4" t="e">
        <f>IF(AND(L1897=1,N1897&lt;'Line Follower'!$C$6,SUM(C1897:K1897)&lt;4),1,0)</f>
        <v>#N/A</v>
      </c>
      <c r="T1897" s="4" t="e">
        <f t="shared" si="147"/>
        <v>#N/A</v>
      </c>
      <c r="U1897" s="5" t="e">
        <f t="shared" si="148"/>
        <v>#N/A</v>
      </c>
      <c r="V1897" s="23" t="e">
        <f t="shared" si="149"/>
        <v>#N/A</v>
      </c>
    </row>
    <row r="1898" spans="2:22" x14ac:dyDescent="0.25">
      <c r="B1898" s="16">
        <v>1</v>
      </c>
      <c r="C1898" s="7">
        <v>1</v>
      </c>
      <c r="D1898" s="8">
        <v>1</v>
      </c>
      <c r="E1898" s="8">
        <v>0</v>
      </c>
      <c r="F1898" s="8">
        <v>0</v>
      </c>
      <c r="G1898" s="8">
        <v>1</v>
      </c>
      <c r="H1898" s="8">
        <v>1</v>
      </c>
      <c r="I1898" s="8">
        <v>0</v>
      </c>
      <c r="J1898" s="8">
        <v>1</v>
      </c>
      <c r="K1898" s="9">
        <v>1</v>
      </c>
      <c r="L1898" s="10">
        <v>1</v>
      </c>
      <c r="M1898" s="6">
        <v>0</v>
      </c>
      <c r="N1898" s="37" t="e" cm="1">
        <f t="array" ref="N1898">IF(OR(ISNUMBER(FIND(Aux!$D$3:$D$9,_xlfn.TEXTJOIN(,,C1898:K1898)))),NA(),IF(AND(SUM(C1898:F1898,H1898:K1898)=0,G1898=1),0,INT((SUMPRODUCT(C1898:F1898,COLUMN($A$1:$D$1)-1)+SUMPRODUCT(H1898:K1898,COLUMN($E$1:$H$1)-1))*'Line Follower'!$C$3/SUM(C1898:F1898,H1898:K1898)-'Line Follower'!$C$5)))</f>
        <v>#N/A</v>
      </c>
      <c r="O1898" s="22" t="e">
        <v>#N/A</v>
      </c>
      <c r="P1898" s="4" t="e">
        <f t="shared" si="145"/>
        <v>#N/A</v>
      </c>
      <c r="Q1898" s="4" t="e">
        <f t="shared" si="146"/>
        <v>#N/A</v>
      </c>
      <c r="R1898" s="4" t="e">
        <f>IF(AND(B1898=1,N1898&gt;'Line Follower'!$C$7,SUM(C1898:K1898)&lt;4),1,0)</f>
        <v>#N/A</v>
      </c>
      <c r="S1898" s="4" t="e">
        <f>IF(AND(L1898=1,N1898&lt;'Line Follower'!$C$6,SUM(C1898:K1898)&lt;4),1,0)</f>
        <v>#N/A</v>
      </c>
      <c r="T1898" s="4" t="e">
        <f t="shared" si="147"/>
        <v>#N/A</v>
      </c>
      <c r="U1898" s="5" t="e">
        <f t="shared" si="148"/>
        <v>#N/A</v>
      </c>
      <c r="V1898" s="23" t="e">
        <f t="shared" si="149"/>
        <v>#N/A</v>
      </c>
    </row>
    <row r="1899" spans="2:22" x14ac:dyDescent="0.25">
      <c r="B1899" s="16">
        <v>0</v>
      </c>
      <c r="C1899" s="7">
        <v>0</v>
      </c>
      <c r="D1899" s="8">
        <v>0</v>
      </c>
      <c r="E1899" s="8">
        <v>1</v>
      </c>
      <c r="F1899" s="8">
        <v>0</v>
      </c>
      <c r="G1899" s="8">
        <v>1</v>
      </c>
      <c r="H1899" s="8">
        <v>1</v>
      </c>
      <c r="I1899" s="8">
        <v>0</v>
      </c>
      <c r="J1899" s="8">
        <v>1</v>
      </c>
      <c r="K1899" s="9">
        <v>1</v>
      </c>
      <c r="L1899" s="10">
        <v>1</v>
      </c>
      <c r="M1899" s="6">
        <v>0</v>
      </c>
      <c r="N1899" s="37" t="e" cm="1">
        <f t="array" ref="N1899">IF(OR(ISNUMBER(FIND(Aux!$D$3:$D$9,_xlfn.TEXTJOIN(,,C1899:K1899)))),NA(),IF(AND(SUM(C1899:F1899,H1899:K1899)=0,G1899=1),0,INT((SUMPRODUCT(C1899:F1899,COLUMN($A$1:$D$1)-1)+SUMPRODUCT(H1899:K1899,COLUMN($E$1:$H$1)-1))*'Line Follower'!$C$3/SUM(C1899:F1899,H1899:K1899)-'Line Follower'!$C$5)))</f>
        <v>#N/A</v>
      </c>
      <c r="O1899" s="22" t="e">
        <v>#N/A</v>
      </c>
      <c r="P1899" s="4" t="e">
        <f t="shared" si="145"/>
        <v>#N/A</v>
      </c>
      <c r="Q1899" s="4" t="e">
        <f t="shared" si="146"/>
        <v>#N/A</v>
      </c>
      <c r="R1899" s="4" t="e">
        <f>IF(AND(B1899=1,N1899&gt;'Line Follower'!$C$7,SUM(C1899:K1899)&lt;4),1,0)</f>
        <v>#N/A</v>
      </c>
      <c r="S1899" s="4" t="e">
        <f>IF(AND(L1899=1,N1899&lt;'Line Follower'!$C$6,SUM(C1899:K1899)&lt;4),1,0)</f>
        <v>#N/A</v>
      </c>
      <c r="T1899" s="4" t="e">
        <f t="shared" si="147"/>
        <v>#N/A</v>
      </c>
      <c r="U1899" s="5" t="e">
        <f t="shared" si="148"/>
        <v>#N/A</v>
      </c>
      <c r="V1899" s="23" t="e">
        <f t="shared" si="149"/>
        <v>#N/A</v>
      </c>
    </row>
    <row r="1900" spans="2:22" x14ac:dyDescent="0.25">
      <c r="B1900" s="16">
        <v>1</v>
      </c>
      <c r="C1900" s="7">
        <v>0</v>
      </c>
      <c r="D1900" s="8">
        <v>0</v>
      </c>
      <c r="E1900" s="8">
        <v>1</v>
      </c>
      <c r="F1900" s="8">
        <v>0</v>
      </c>
      <c r="G1900" s="8">
        <v>1</v>
      </c>
      <c r="H1900" s="8">
        <v>1</v>
      </c>
      <c r="I1900" s="8">
        <v>0</v>
      </c>
      <c r="J1900" s="8">
        <v>1</v>
      </c>
      <c r="K1900" s="9">
        <v>1</v>
      </c>
      <c r="L1900" s="10">
        <v>1</v>
      </c>
      <c r="M1900" s="6">
        <v>0</v>
      </c>
      <c r="N1900" s="37" t="e" cm="1">
        <f t="array" ref="N1900">IF(OR(ISNUMBER(FIND(Aux!$D$3:$D$9,_xlfn.TEXTJOIN(,,C1900:K1900)))),NA(),IF(AND(SUM(C1900:F1900,H1900:K1900)=0,G1900=1),0,INT((SUMPRODUCT(C1900:F1900,COLUMN($A$1:$D$1)-1)+SUMPRODUCT(H1900:K1900,COLUMN($E$1:$H$1)-1))*'Line Follower'!$C$3/SUM(C1900:F1900,H1900:K1900)-'Line Follower'!$C$5)))</f>
        <v>#N/A</v>
      </c>
      <c r="O1900" s="22" t="e">
        <v>#N/A</v>
      </c>
      <c r="P1900" s="4" t="e">
        <f t="shared" si="145"/>
        <v>#N/A</v>
      </c>
      <c r="Q1900" s="4" t="e">
        <f t="shared" si="146"/>
        <v>#N/A</v>
      </c>
      <c r="R1900" s="4" t="e">
        <f>IF(AND(B1900=1,N1900&gt;'Line Follower'!$C$7,SUM(C1900:K1900)&lt;4),1,0)</f>
        <v>#N/A</v>
      </c>
      <c r="S1900" s="4" t="e">
        <f>IF(AND(L1900=1,N1900&lt;'Line Follower'!$C$6,SUM(C1900:K1900)&lt;4),1,0)</f>
        <v>#N/A</v>
      </c>
      <c r="T1900" s="4" t="e">
        <f t="shared" si="147"/>
        <v>#N/A</v>
      </c>
      <c r="U1900" s="5" t="e">
        <f t="shared" si="148"/>
        <v>#N/A</v>
      </c>
      <c r="V1900" s="23" t="e">
        <f t="shared" si="149"/>
        <v>#N/A</v>
      </c>
    </row>
    <row r="1901" spans="2:22" x14ac:dyDescent="0.25">
      <c r="B1901" s="16">
        <v>0</v>
      </c>
      <c r="C1901" s="7">
        <v>1</v>
      </c>
      <c r="D1901" s="8">
        <v>0</v>
      </c>
      <c r="E1901" s="8">
        <v>1</v>
      </c>
      <c r="F1901" s="8">
        <v>0</v>
      </c>
      <c r="G1901" s="8">
        <v>1</v>
      </c>
      <c r="H1901" s="8">
        <v>1</v>
      </c>
      <c r="I1901" s="8">
        <v>0</v>
      </c>
      <c r="J1901" s="8">
        <v>1</v>
      </c>
      <c r="K1901" s="9">
        <v>1</v>
      </c>
      <c r="L1901" s="10">
        <v>1</v>
      </c>
      <c r="M1901" s="6">
        <v>0</v>
      </c>
      <c r="N1901" s="37" t="e" cm="1">
        <f t="array" ref="N1901">IF(OR(ISNUMBER(FIND(Aux!$D$3:$D$9,_xlfn.TEXTJOIN(,,C1901:K1901)))),NA(),IF(AND(SUM(C1901:F1901,H1901:K1901)=0,G1901=1),0,INT((SUMPRODUCT(C1901:F1901,COLUMN($A$1:$D$1)-1)+SUMPRODUCT(H1901:K1901,COLUMN($E$1:$H$1)-1))*'Line Follower'!$C$3/SUM(C1901:F1901,H1901:K1901)-'Line Follower'!$C$5)))</f>
        <v>#N/A</v>
      </c>
      <c r="O1901" s="22" t="e">
        <v>#N/A</v>
      </c>
      <c r="P1901" s="4" t="e">
        <f t="shared" si="145"/>
        <v>#N/A</v>
      </c>
      <c r="Q1901" s="4" t="e">
        <f t="shared" si="146"/>
        <v>#N/A</v>
      </c>
      <c r="R1901" s="4" t="e">
        <f>IF(AND(B1901=1,N1901&gt;'Line Follower'!$C$7,SUM(C1901:K1901)&lt;4),1,0)</f>
        <v>#N/A</v>
      </c>
      <c r="S1901" s="4" t="e">
        <f>IF(AND(L1901=1,N1901&lt;'Line Follower'!$C$6,SUM(C1901:K1901)&lt;4),1,0)</f>
        <v>#N/A</v>
      </c>
      <c r="T1901" s="4" t="e">
        <f t="shared" si="147"/>
        <v>#N/A</v>
      </c>
      <c r="U1901" s="5" t="e">
        <f t="shared" si="148"/>
        <v>#N/A</v>
      </c>
      <c r="V1901" s="23" t="e">
        <f t="shared" si="149"/>
        <v>#N/A</v>
      </c>
    </row>
    <row r="1902" spans="2:22" x14ac:dyDescent="0.25">
      <c r="B1902" s="16">
        <v>1</v>
      </c>
      <c r="C1902" s="7">
        <v>1</v>
      </c>
      <c r="D1902" s="8">
        <v>0</v>
      </c>
      <c r="E1902" s="8">
        <v>1</v>
      </c>
      <c r="F1902" s="8">
        <v>0</v>
      </c>
      <c r="G1902" s="8">
        <v>1</v>
      </c>
      <c r="H1902" s="8">
        <v>1</v>
      </c>
      <c r="I1902" s="8">
        <v>0</v>
      </c>
      <c r="J1902" s="8">
        <v>1</v>
      </c>
      <c r="K1902" s="9">
        <v>1</v>
      </c>
      <c r="L1902" s="10">
        <v>1</v>
      </c>
      <c r="M1902" s="6">
        <v>0</v>
      </c>
      <c r="N1902" s="37" t="e" cm="1">
        <f t="array" ref="N1902">IF(OR(ISNUMBER(FIND(Aux!$D$3:$D$9,_xlfn.TEXTJOIN(,,C1902:K1902)))),NA(),IF(AND(SUM(C1902:F1902,H1902:K1902)=0,G1902=1),0,INT((SUMPRODUCT(C1902:F1902,COLUMN($A$1:$D$1)-1)+SUMPRODUCT(H1902:K1902,COLUMN($E$1:$H$1)-1))*'Line Follower'!$C$3/SUM(C1902:F1902,H1902:K1902)-'Line Follower'!$C$5)))</f>
        <v>#N/A</v>
      </c>
      <c r="O1902" s="22" t="e">
        <v>#N/A</v>
      </c>
      <c r="P1902" s="4" t="e">
        <f t="shared" si="145"/>
        <v>#N/A</v>
      </c>
      <c r="Q1902" s="4" t="e">
        <f t="shared" si="146"/>
        <v>#N/A</v>
      </c>
      <c r="R1902" s="4" t="e">
        <f>IF(AND(B1902=1,N1902&gt;'Line Follower'!$C$7,SUM(C1902:K1902)&lt;4),1,0)</f>
        <v>#N/A</v>
      </c>
      <c r="S1902" s="4" t="e">
        <f>IF(AND(L1902=1,N1902&lt;'Line Follower'!$C$6,SUM(C1902:K1902)&lt;4),1,0)</f>
        <v>#N/A</v>
      </c>
      <c r="T1902" s="4" t="e">
        <f t="shared" si="147"/>
        <v>#N/A</v>
      </c>
      <c r="U1902" s="5" t="e">
        <f t="shared" si="148"/>
        <v>#N/A</v>
      </c>
      <c r="V1902" s="23" t="e">
        <f t="shared" si="149"/>
        <v>#N/A</v>
      </c>
    </row>
    <row r="1903" spans="2:22" x14ac:dyDescent="0.25">
      <c r="B1903" s="16">
        <v>0</v>
      </c>
      <c r="C1903" s="7">
        <v>0</v>
      </c>
      <c r="D1903" s="8">
        <v>1</v>
      </c>
      <c r="E1903" s="8">
        <v>1</v>
      </c>
      <c r="F1903" s="8">
        <v>0</v>
      </c>
      <c r="G1903" s="8">
        <v>1</v>
      </c>
      <c r="H1903" s="8">
        <v>1</v>
      </c>
      <c r="I1903" s="8">
        <v>0</v>
      </c>
      <c r="J1903" s="8">
        <v>1</v>
      </c>
      <c r="K1903" s="9">
        <v>1</v>
      </c>
      <c r="L1903" s="10">
        <v>1</v>
      </c>
      <c r="M1903" s="6">
        <v>0</v>
      </c>
      <c r="N1903" s="37" t="e" cm="1">
        <f t="array" ref="N1903">IF(OR(ISNUMBER(FIND(Aux!$D$3:$D$9,_xlfn.TEXTJOIN(,,C1903:K1903)))),NA(),IF(AND(SUM(C1903:F1903,H1903:K1903)=0,G1903=1),0,INT((SUMPRODUCT(C1903:F1903,COLUMN($A$1:$D$1)-1)+SUMPRODUCT(H1903:K1903,COLUMN($E$1:$H$1)-1))*'Line Follower'!$C$3/SUM(C1903:F1903,H1903:K1903)-'Line Follower'!$C$5)))</f>
        <v>#N/A</v>
      </c>
      <c r="O1903" s="22" t="e">
        <v>#N/A</v>
      </c>
      <c r="P1903" s="4" t="e">
        <f t="shared" si="145"/>
        <v>#N/A</v>
      </c>
      <c r="Q1903" s="4" t="e">
        <f t="shared" si="146"/>
        <v>#N/A</v>
      </c>
      <c r="R1903" s="4" t="e">
        <f>IF(AND(B1903=1,N1903&gt;'Line Follower'!$C$7,SUM(C1903:K1903)&lt;4),1,0)</f>
        <v>#N/A</v>
      </c>
      <c r="S1903" s="4" t="e">
        <f>IF(AND(L1903=1,N1903&lt;'Line Follower'!$C$6,SUM(C1903:K1903)&lt;4),1,0)</f>
        <v>#N/A</v>
      </c>
      <c r="T1903" s="4" t="e">
        <f t="shared" si="147"/>
        <v>#N/A</v>
      </c>
      <c r="U1903" s="5" t="e">
        <f t="shared" si="148"/>
        <v>#N/A</v>
      </c>
      <c r="V1903" s="23" t="e">
        <f t="shared" si="149"/>
        <v>#N/A</v>
      </c>
    </row>
    <row r="1904" spans="2:22" x14ac:dyDescent="0.25">
      <c r="B1904" s="16">
        <v>1</v>
      </c>
      <c r="C1904" s="7">
        <v>0</v>
      </c>
      <c r="D1904" s="8">
        <v>1</v>
      </c>
      <c r="E1904" s="8">
        <v>1</v>
      </c>
      <c r="F1904" s="8">
        <v>0</v>
      </c>
      <c r="G1904" s="8">
        <v>1</v>
      </c>
      <c r="H1904" s="8">
        <v>1</v>
      </c>
      <c r="I1904" s="8">
        <v>0</v>
      </c>
      <c r="J1904" s="8">
        <v>1</v>
      </c>
      <c r="K1904" s="9">
        <v>1</v>
      </c>
      <c r="L1904" s="10">
        <v>1</v>
      </c>
      <c r="M1904" s="6">
        <v>0</v>
      </c>
      <c r="N1904" s="37" t="e" cm="1">
        <f t="array" ref="N1904">IF(OR(ISNUMBER(FIND(Aux!$D$3:$D$9,_xlfn.TEXTJOIN(,,C1904:K1904)))),NA(),IF(AND(SUM(C1904:F1904,H1904:K1904)=0,G1904=1),0,INT((SUMPRODUCT(C1904:F1904,COLUMN($A$1:$D$1)-1)+SUMPRODUCT(H1904:K1904,COLUMN($E$1:$H$1)-1))*'Line Follower'!$C$3/SUM(C1904:F1904,H1904:K1904)-'Line Follower'!$C$5)))</f>
        <v>#N/A</v>
      </c>
      <c r="O1904" s="22" t="e">
        <v>#N/A</v>
      </c>
      <c r="P1904" s="4" t="e">
        <f t="shared" si="145"/>
        <v>#N/A</v>
      </c>
      <c r="Q1904" s="4" t="e">
        <f t="shared" si="146"/>
        <v>#N/A</v>
      </c>
      <c r="R1904" s="4" t="e">
        <f>IF(AND(B1904=1,N1904&gt;'Line Follower'!$C$7,SUM(C1904:K1904)&lt;4),1,0)</f>
        <v>#N/A</v>
      </c>
      <c r="S1904" s="4" t="e">
        <f>IF(AND(L1904=1,N1904&lt;'Line Follower'!$C$6,SUM(C1904:K1904)&lt;4),1,0)</f>
        <v>#N/A</v>
      </c>
      <c r="T1904" s="4" t="e">
        <f t="shared" si="147"/>
        <v>#N/A</v>
      </c>
      <c r="U1904" s="5" t="e">
        <f t="shared" si="148"/>
        <v>#N/A</v>
      </c>
      <c r="V1904" s="23" t="e">
        <f t="shared" si="149"/>
        <v>#N/A</v>
      </c>
    </row>
    <row r="1905" spans="2:22" x14ac:dyDescent="0.25">
      <c r="B1905" s="16">
        <v>0</v>
      </c>
      <c r="C1905" s="7">
        <v>1</v>
      </c>
      <c r="D1905" s="8">
        <v>1</v>
      </c>
      <c r="E1905" s="8">
        <v>1</v>
      </c>
      <c r="F1905" s="8">
        <v>0</v>
      </c>
      <c r="G1905" s="8">
        <v>1</v>
      </c>
      <c r="H1905" s="8">
        <v>1</v>
      </c>
      <c r="I1905" s="8">
        <v>0</v>
      </c>
      <c r="J1905" s="8">
        <v>1</v>
      </c>
      <c r="K1905" s="9">
        <v>1</v>
      </c>
      <c r="L1905" s="10">
        <v>1</v>
      </c>
      <c r="M1905" s="6">
        <v>0</v>
      </c>
      <c r="N1905" s="37" t="e" cm="1">
        <f t="array" ref="N1905">IF(OR(ISNUMBER(FIND(Aux!$D$3:$D$9,_xlfn.TEXTJOIN(,,C1905:K1905)))),NA(),IF(AND(SUM(C1905:F1905,H1905:K1905)=0,G1905=1),0,INT((SUMPRODUCT(C1905:F1905,COLUMN($A$1:$D$1)-1)+SUMPRODUCT(H1905:K1905,COLUMN($E$1:$H$1)-1))*'Line Follower'!$C$3/SUM(C1905:F1905,H1905:K1905)-'Line Follower'!$C$5)))</f>
        <v>#N/A</v>
      </c>
      <c r="O1905" s="22" t="e">
        <v>#N/A</v>
      </c>
      <c r="P1905" s="4" t="e">
        <f t="shared" si="145"/>
        <v>#N/A</v>
      </c>
      <c r="Q1905" s="4" t="e">
        <f t="shared" si="146"/>
        <v>#N/A</v>
      </c>
      <c r="R1905" s="4" t="e">
        <f>IF(AND(B1905=1,N1905&gt;'Line Follower'!$C$7,SUM(C1905:K1905)&lt;4),1,0)</f>
        <v>#N/A</v>
      </c>
      <c r="S1905" s="4" t="e">
        <f>IF(AND(L1905=1,N1905&lt;'Line Follower'!$C$6,SUM(C1905:K1905)&lt;4),1,0)</f>
        <v>#N/A</v>
      </c>
      <c r="T1905" s="4" t="e">
        <f t="shared" si="147"/>
        <v>#N/A</v>
      </c>
      <c r="U1905" s="5" t="e">
        <f t="shared" si="148"/>
        <v>#N/A</v>
      </c>
      <c r="V1905" s="23" t="e">
        <f t="shared" si="149"/>
        <v>#N/A</v>
      </c>
    </row>
    <row r="1906" spans="2:22" x14ac:dyDescent="0.25">
      <c r="B1906" s="16">
        <v>1</v>
      </c>
      <c r="C1906" s="7">
        <v>1</v>
      </c>
      <c r="D1906" s="8">
        <v>1</v>
      </c>
      <c r="E1906" s="8">
        <v>1</v>
      </c>
      <c r="F1906" s="8">
        <v>0</v>
      </c>
      <c r="G1906" s="8">
        <v>1</v>
      </c>
      <c r="H1906" s="8">
        <v>1</v>
      </c>
      <c r="I1906" s="8">
        <v>0</v>
      </c>
      <c r="J1906" s="8">
        <v>1</v>
      </c>
      <c r="K1906" s="9">
        <v>1</v>
      </c>
      <c r="L1906" s="10">
        <v>1</v>
      </c>
      <c r="M1906" s="6">
        <v>0</v>
      </c>
      <c r="N1906" s="37" t="e" cm="1">
        <f t="array" ref="N1906">IF(OR(ISNUMBER(FIND(Aux!$D$3:$D$9,_xlfn.TEXTJOIN(,,C1906:K1906)))),NA(),IF(AND(SUM(C1906:F1906,H1906:K1906)=0,G1906=1),0,INT((SUMPRODUCT(C1906:F1906,COLUMN($A$1:$D$1)-1)+SUMPRODUCT(H1906:K1906,COLUMN($E$1:$H$1)-1))*'Line Follower'!$C$3/SUM(C1906:F1906,H1906:K1906)-'Line Follower'!$C$5)))</f>
        <v>#N/A</v>
      </c>
      <c r="O1906" s="22" t="e">
        <v>#N/A</v>
      </c>
      <c r="P1906" s="4" t="e">
        <f t="shared" si="145"/>
        <v>#N/A</v>
      </c>
      <c r="Q1906" s="4" t="e">
        <f t="shared" si="146"/>
        <v>#N/A</v>
      </c>
      <c r="R1906" s="4" t="e">
        <f>IF(AND(B1906=1,N1906&gt;'Line Follower'!$C$7,SUM(C1906:K1906)&lt;4),1,0)</f>
        <v>#N/A</v>
      </c>
      <c r="S1906" s="4" t="e">
        <f>IF(AND(L1906=1,N1906&lt;'Line Follower'!$C$6,SUM(C1906:K1906)&lt;4),1,0)</f>
        <v>#N/A</v>
      </c>
      <c r="T1906" s="4" t="e">
        <f t="shared" si="147"/>
        <v>#N/A</v>
      </c>
      <c r="U1906" s="5" t="e">
        <f t="shared" si="148"/>
        <v>#N/A</v>
      </c>
      <c r="V1906" s="23" t="e">
        <f t="shared" si="149"/>
        <v>#N/A</v>
      </c>
    </row>
    <row r="1907" spans="2:22" x14ac:dyDescent="0.25">
      <c r="B1907" s="16">
        <v>0</v>
      </c>
      <c r="C1907" s="7">
        <v>0</v>
      </c>
      <c r="D1907" s="8">
        <v>0</v>
      </c>
      <c r="E1907" s="8">
        <v>0</v>
      </c>
      <c r="F1907" s="8">
        <v>1</v>
      </c>
      <c r="G1907" s="8">
        <v>1</v>
      </c>
      <c r="H1907" s="8">
        <v>1</v>
      </c>
      <c r="I1907" s="8">
        <v>0</v>
      </c>
      <c r="J1907" s="8">
        <v>1</v>
      </c>
      <c r="K1907" s="9">
        <v>1</v>
      </c>
      <c r="L1907" s="10">
        <v>1</v>
      </c>
      <c r="M1907" s="6">
        <v>0</v>
      </c>
      <c r="N1907" s="37" t="e" cm="1">
        <f t="array" ref="N1907">IF(OR(ISNUMBER(FIND(Aux!$D$3:$D$9,_xlfn.TEXTJOIN(,,C1907:K1907)))),NA(),IF(AND(SUM(C1907:F1907,H1907:K1907)=0,G1907=1),0,INT((SUMPRODUCT(C1907:F1907,COLUMN($A$1:$D$1)-1)+SUMPRODUCT(H1907:K1907,COLUMN($E$1:$H$1)-1))*'Line Follower'!$C$3/SUM(C1907:F1907,H1907:K1907)-'Line Follower'!$C$5)))</f>
        <v>#N/A</v>
      </c>
      <c r="O1907" s="22" t="e">
        <v>#N/A</v>
      </c>
      <c r="P1907" s="4" t="e">
        <f t="shared" si="145"/>
        <v>#N/A</v>
      </c>
      <c r="Q1907" s="4" t="e">
        <f t="shared" si="146"/>
        <v>#N/A</v>
      </c>
      <c r="R1907" s="4" t="e">
        <f>IF(AND(B1907=1,N1907&gt;'Line Follower'!$C$7,SUM(C1907:K1907)&lt;4),1,0)</f>
        <v>#N/A</v>
      </c>
      <c r="S1907" s="4" t="e">
        <f>IF(AND(L1907=1,N1907&lt;'Line Follower'!$C$6,SUM(C1907:K1907)&lt;4),1,0)</f>
        <v>#N/A</v>
      </c>
      <c r="T1907" s="4" t="e">
        <f t="shared" si="147"/>
        <v>#N/A</v>
      </c>
      <c r="U1907" s="5" t="e">
        <f t="shared" si="148"/>
        <v>#N/A</v>
      </c>
      <c r="V1907" s="23" t="e">
        <f t="shared" si="149"/>
        <v>#N/A</v>
      </c>
    </row>
    <row r="1908" spans="2:22" x14ac:dyDescent="0.25">
      <c r="B1908" s="16">
        <v>1</v>
      </c>
      <c r="C1908" s="7">
        <v>0</v>
      </c>
      <c r="D1908" s="8">
        <v>0</v>
      </c>
      <c r="E1908" s="8">
        <v>0</v>
      </c>
      <c r="F1908" s="8">
        <v>1</v>
      </c>
      <c r="G1908" s="8">
        <v>1</v>
      </c>
      <c r="H1908" s="8">
        <v>1</v>
      </c>
      <c r="I1908" s="8">
        <v>0</v>
      </c>
      <c r="J1908" s="8">
        <v>1</v>
      </c>
      <c r="K1908" s="9">
        <v>1</v>
      </c>
      <c r="L1908" s="10">
        <v>1</v>
      </c>
      <c r="M1908" s="6">
        <v>0</v>
      </c>
      <c r="N1908" s="37" t="e" cm="1">
        <f t="array" ref="N1908">IF(OR(ISNUMBER(FIND(Aux!$D$3:$D$9,_xlfn.TEXTJOIN(,,C1908:K1908)))),NA(),IF(AND(SUM(C1908:F1908,H1908:K1908)=0,G1908=1),0,INT((SUMPRODUCT(C1908:F1908,COLUMN($A$1:$D$1)-1)+SUMPRODUCT(H1908:K1908,COLUMN($E$1:$H$1)-1))*'Line Follower'!$C$3/SUM(C1908:F1908,H1908:K1908)-'Line Follower'!$C$5)))</f>
        <v>#N/A</v>
      </c>
      <c r="O1908" s="22" t="e">
        <v>#N/A</v>
      </c>
      <c r="P1908" s="4" t="e">
        <f t="shared" si="145"/>
        <v>#N/A</v>
      </c>
      <c r="Q1908" s="4" t="e">
        <f t="shared" si="146"/>
        <v>#N/A</v>
      </c>
      <c r="R1908" s="4" t="e">
        <f>IF(AND(B1908=1,N1908&gt;'Line Follower'!$C$7,SUM(C1908:K1908)&lt;4),1,0)</f>
        <v>#N/A</v>
      </c>
      <c r="S1908" s="4" t="e">
        <f>IF(AND(L1908=1,N1908&lt;'Line Follower'!$C$6,SUM(C1908:K1908)&lt;4),1,0)</f>
        <v>#N/A</v>
      </c>
      <c r="T1908" s="4" t="e">
        <f t="shared" si="147"/>
        <v>#N/A</v>
      </c>
      <c r="U1908" s="5" t="e">
        <f t="shared" si="148"/>
        <v>#N/A</v>
      </c>
      <c r="V1908" s="23" t="e">
        <f t="shared" si="149"/>
        <v>#N/A</v>
      </c>
    </row>
    <row r="1909" spans="2:22" x14ac:dyDescent="0.25">
      <c r="B1909" s="16">
        <v>0</v>
      </c>
      <c r="C1909" s="7">
        <v>1</v>
      </c>
      <c r="D1909" s="8">
        <v>0</v>
      </c>
      <c r="E1909" s="8">
        <v>0</v>
      </c>
      <c r="F1909" s="8">
        <v>1</v>
      </c>
      <c r="G1909" s="8">
        <v>1</v>
      </c>
      <c r="H1909" s="8">
        <v>1</v>
      </c>
      <c r="I1909" s="8">
        <v>0</v>
      </c>
      <c r="J1909" s="8">
        <v>1</v>
      </c>
      <c r="K1909" s="9">
        <v>1</v>
      </c>
      <c r="L1909" s="10">
        <v>1</v>
      </c>
      <c r="M1909" s="6">
        <v>0</v>
      </c>
      <c r="N1909" s="37" t="e" cm="1">
        <f t="array" ref="N1909">IF(OR(ISNUMBER(FIND(Aux!$D$3:$D$9,_xlfn.TEXTJOIN(,,C1909:K1909)))),NA(),IF(AND(SUM(C1909:F1909,H1909:K1909)=0,G1909=1),0,INT((SUMPRODUCT(C1909:F1909,COLUMN($A$1:$D$1)-1)+SUMPRODUCT(H1909:K1909,COLUMN($E$1:$H$1)-1))*'Line Follower'!$C$3/SUM(C1909:F1909,H1909:K1909)-'Line Follower'!$C$5)))</f>
        <v>#N/A</v>
      </c>
      <c r="O1909" s="22" t="e">
        <v>#N/A</v>
      </c>
      <c r="P1909" s="4" t="e">
        <f t="shared" si="145"/>
        <v>#N/A</v>
      </c>
      <c r="Q1909" s="4" t="e">
        <f t="shared" si="146"/>
        <v>#N/A</v>
      </c>
      <c r="R1909" s="4" t="e">
        <f>IF(AND(B1909=1,N1909&gt;'Line Follower'!$C$7,SUM(C1909:K1909)&lt;4),1,0)</f>
        <v>#N/A</v>
      </c>
      <c r="S1909" s="4" t="e">
        <f>IF(AND(L1909=1,N1909&lt;'Line Follower'!$C$6,SUM(C1909:K1909)&lt;4),1,0)</f>
        <v>#N/A</v>
      </c>
      <c r="T1909" s="4" t="e">
        <f t="shared" si="147"/>
        <v>#N/A</v>
      </c>
      <c r="U1909" s="5" t="e">
        <f t="shared" si="148"/>
        <v>#N/A</v>
      </c>
      <c r="V1909" s="23" t="e">
        <f t="shared" si="149"/>
        <v>#N/A</v>
      </c>
    </row>
    <row r="1910" spans="2:22" x14ac:dyDescent="0.25">
      <c r="B1910" s="16">
        <v>1</v>
      </c>
      <c r="C1910" s="7">
        <v>1</v>
      </c>
      <c r="D1910" s="8">
        <v>0</v>
      </c>
      <c r="E1910" s="8">
        <v>0</v>
      </c>
      <c r="F1910" s="8">
        <v>1</v>
      </c>
      <c r="G1910" s="8">
        <v>1</v>
      </c>
      <c r="H1910" s="8">
        <v>1</v>
      </c>
      <c r="I1910" s="8">
        <v>0</v>
      </c>
      <c r="J1910" s="8">
        <v>1</v>
      </c>
      <c r="K1910" s="9">
        <v>1</v>
      </c>
      <c r="L1910" s="10">
        <v>1</v>
      </c>
      <c r="M1910" s="6">
        <v>0</v>
      </c>
      <c r="N1910" s="37" t="e" cm="1">
        <f t="array" ref="N1910">IF(OR(ISNUMBER(FIND(Aux!$D$3:$D$9,_xlfn.TEXTJOIN(,,C1910:K1910)))),NA(),IF(AND(SUM(C1910:F1910,H1910:K1910)=0,G1910=1),0,INT((SUMPRODUCT(C1910:F1910,COLUMN($A$1:$D$1)-1)+SUMPRODUCT(H1910:K1910,COLUMN($E$1:$H$1)-1))*'Line Follower'!$C$3/SUM(C1910:F1910,H1910:K1910)-'Line Follower'!$C$5)))</f>
        <v>#N/A</v>
      </c>
      <c r="O1910" s="22" t="e">
        <v>#N/A</v>
      </c>
      <c r="P1910" s="4" t="e">
        <f t="shared" si="145"/>
        <v>#N/A</v>
      </c>
      <c r="Q1910" s="4" t="e">
        <f t="shared" si="146"/>
        <v>#N/A</v>
      </c>
      <c r="R1910" s="4" t="e">
        <f>IF(AND(B1910=1,N1910&gt;'Line Follower'!$C$7,SUM(C1910:K1910)&lt;4),1,0)</f>
        <v>#N/A</v>
      </c>
      <c r="S1910" s="4" t="e">
        <f>IF(AND(L1910=1,N1910&lt;'Line Follower'!$C$6,SUM(C1910:K1910)&lt;4),1,0)</f>
        <v>#N/A</v>
      </c>
      <c r="T1910" s="4" t="e">
        <f t="shared" si="147"/>
        <v>#N/A</v>
      </c>
      <c r="U1910" s="5" t="e">
        <f t="shared" si="148"/>
        <v>#N/A</v>
      </c>
      <c r="V1910" s="23" t="e">
        <f t="shared" si="149"/>
        <v>#N/A</v>
      </c>
    </row>
    <row r="1911" spans="2:22" x14ac:dyDescent="0.25">
      <c r="B1911" s="16">
        <v>0</v>
      </c>
      <c r="C1911" s="7">
        <v>0</v>
      </c>
      <c r="D1911" s="8">
        <v>1</v>
      </c>
      <c r="E1911" s="8">
        <v>0</v>
      </c>
      <c r="F1911" s="8">
        <v>1</v>
      </c>
      <c r="G1911" s="8">
        <v>1</v>
      </c>
      <c r="H1911" s="8">
        <v>1</v>
      </c>
      <c r="I1911" s="8">
        <v>0</v>
      </c>
      <c r="J1911" s="8">
        <v>1</v>
      </c>
      <c r="K1911" s="9">
        <v>1</v>
      </c>
      <c r="L1911" s="10">
        <v>1</v>
      </c>
      <c r="M1911" s="6">
        <v>0</v>
      </c>
      <c r="N1911" s="37" t="e" cm="1">
        <f t="array" ref="N1911">IF(OR(ISNUMBER(FIND(Aux!$D$3:$D$9,_xlfn.TEXTJOIN(,,C1911:K1911)))),NA(),IF(AND(SUM(C1911:F1911,H1911:K1911)=0,G1911=1),0,INT((SUMPRODUCT(C1911:F1911,COLUMN($A$1:$D$1)-1)+SUMPRODUCT(H1911:K1911,COLUMN($E$1:$H$1)-1))*'Line Follower'!$C$3/SUM(C1911:F1911,H1911:K1911)-'Line Follower'!$C$5)))</f>
        <v>#N/A</v>
      </c>
      <c r="O1911" s="22" t="e">
        <v>#N/A</v>
      </c>
      <c r="P1911" s="4" t="e">
        <f t="shared" si="145"/>
        <v>#N/A</v>
      </c>
      <c r="Q1911" s="4" t="e">
        <f t="shared" si="146"/>
        <v>#N/A</v>
      </c>
      <c r="R1911" s="4" t="e">
        <f>IF(AND(B1911=1,N1911&gt;'Line Follower'!$C$7,SUM(C1911:K1911)&lt;4),1,0)</f>
        <v>#N/A</v>
      </c>
      <c r="S1911" s="4" t="e">
        <f>IF(AND(L1911=1,N1911&lt;'Line Follower'!$C$6,SUM(C1911:K1911)&lt;4),1,0)</f>
        <v>#N/A</v>
      </c>
      <c r="T1911" s="4" t="e">
        <f t="shared" si="147"/>
        <v>#N/A</v>
      </c>
      <c r="U1911" s="5" t="e">
        <f t="shared" si="148"/>
        <v>#N/A</v>
      </c>
      <c r="V1911" s="23" t="e">
        <f t="shared" si="149"/>
        <v>#N/A</v>
      </c>
    </row>
    <row r="1912" spans="2:22" x14ac:dyDescent="0.25">
      <c r="B1912" s="16">
        <v>1</v>
      </c>
      <c r="C1912" s="7">
        <v>0</v>
      </c>
      <c r="D1912" s="8">
        <v>1</v>
      </c>
      <c r="E1912" s="8">
        <v>0</v>
      </c>
      <c r="F1912" s="8">
        <v>1</v>
      </c>
      <c r="G1912" s="8">
        <v>1</v>
      </c>
      <c r="H1912" s="8">
        <v>1</v>
      </c>
      <c r="I1912" s="8">
        <v>0</v>
      </c>
      <c r="J1912" s="8">
        <v>1</v>
      </c>
      <c r="K1912" s="9">
        <v>1</v>
      </c>
      <c r="L1912" s="10">
        <v>1</v>
      </c>
      <c r="M1912" s="6">
        <v>0</v>
      </c>
      <c r="N1912" s="37" t="e" cm="1">
        <f t="array" ref="N1912">IF(OR(ISNUMBER(FIND(Aux!$D$3:$D$9,_xlfn.TEXTJOIN(,,C1912:K1912)))),NA(),IF(AND(SUM(C1912:F1912,H1912:K1912)=0,G1912=1),0,INT((SUMPRODUCT(C1912:F1912,COLUMN($A$1:$D$1)-1)+SUMPRODUCT(H1912:K1912,COLUMN($E$1:$H$1)-1))*'Line Follower'!$C$3/SUM(C1912:F1912,H1912:K1912)-'Line Follower'!$C$5)))</f>
        <v>#N/A</v>
      </c>
      <c r="O1912" s="22" t="e">
        <v>#N/A</v>
      </c>
      <c r="P1912" s="4" t="e">
        <f t="shared" si="145"/>
        <v>#N/A</v>
      </c>
      <c r="Q1912" s="4" t="e">
        <f t="shared" si="146"/>
        <v>#N/A</v>
      </c>
      <c r="R1912" s="4" t="e">
        <f>IF(AND(B1912=1,N1912&gt;'Line Follower'!$C$7,SUM(C1912:K1912)&lt;4),1,0)</f>
        <v>#N/A</v>
      </c>
      <c r="S1912" s="4" t="e">
        <f>IF(AND(L1912=1,N1912&lt;'Line Follower'!$C$6,SUM(C1912:K1912)&lt;4),1,0)</f>
        <v>#N/A</v>
      </c>
      <c r="T1912" s="4" t="e">
        <f t="shared" si="147"/>
        <v>#N/A</v>
      </c>
      <c r="U1912" s="5" t="e">
        <f t="shared" si="148"/>
        <v>#N/A</v>
      </c>
      <c r="V1912" s="23" t="e">
        <f t="shared" si="149"/>
        <v>#N/A</v>
      </c>
    </row>
    <row r="1913" spans="2:22" x14ac:dyDescent="0.25">
      <c r="B1913" s="16">
        <v>0</v>
      </c>
      <c r="C1913" s="7">
        <v>1</v>
      </c>
      <c r="D1913" s="8">
        <v>1</v>
      </c>
      <c r="E1913" s="8">
        <v>0</v>
      </c>
      <c r="F1913" s="8">
        <v>1</v>
      </c>
      <c r="G1913" s="8">
        <v>1</v>
      </c>
      <c r="H1913" s="8">
        <v>1</v>
      </c>
      <c r="I1913" s="8">
        <v>0</v>
      </c>
      <c r="J1913" s="8">
        <v>1</v>
      </c>
      <c r="K1913" s="9">
        <v>1</v>
      </c>
      <c r="L1913" s="10">
        <v>1</v>
      </c>
      <c r="M1913" s="6">
        <v>0</v>
      </c>
      <c r="N1913" s="37" t="e" cm="1">
        <f t="array" ref="N1913">IF(OR(ISNUMBER(FIND(Aux!$D$3:$D$9,_xlfn.TEXTJOIN(,,C1913:K1913)))),NA(),IF(AND(SUM(C1913:F1913,H1913:K1913)=0,G1913=1),0,INT((SUMPRODUCT(C1913:F1913,COLUMN($A$1:$D$1)-1)+SUMPRODUCT(H1913:K1913,COLUMN($E$1:$H$1)-1))*'Line Follower'!$C$3/SUM(C1913:F1913,H1913:K1913)-'Line Follower'!$C$5)))</f>
        <v>#N/A</v>
      </c>
      <c r="O1913" s="22" t="e">
        <v>#N/A</v>
      </c>
      <c r="P1913" s="4" t="e">
        <f t="shared" si="145"/>
        <v>#N/A</v>
      </c>
      <c r="Q1913" s="4" t="e">
        <f t="shared" si="146"/>
        <v>#N/A</v>
      </c>
      <c r="R1913" s="4" t="e">
        <f>IF(AND(B1913=1,N1913&gt;'Line Follower'!$C$7,SUM(C1913:K1913)&lt;4),1,0)</f>
        <v>#N/A</v>
      </c>
      <c r="S1913" s="4" t="e">
        <f>IF(AND(L1913=1,N1913&lt;'Line Follower'!$C$6,SUM(C1913:K1913)&lt;4),1,0)</f>
        <v>#N/A</v>
      </c>
      <c r="T1913" s="4" t="e">
        <f t="shared" si="147"/>
        <v>#N/A</v>
      </c>
      <c r="U1913" s="5" t="e">
        <f t="shared" si="148"/>
        <v>#N/A</v>
      </c>
      <c r="V1913" s="23" t="e">
        <f t="shared" si="149"/>
        <v>#N/A</v>
      </c>
    </row>
    <row r="1914" spans="2:22" x14ac:dyDescent="0.25">
      <c r="B1914" s="16">
        <v>1</v>
      </c>
      <c r="C1914" s="7">
        <v>1</v>
      </c>
      <c r="D1914" s="8">
        <v>1</v>
      </c>
      <c r="E1914" s="8">
        <v>0</v>
      </c>
      <c r="F1914" s="8">
        <v>1</v>
      </c>
      <c r="G1914" s="8">
        <v>1</v>
      </c>
      <c r="H1914" s="8">
        <v>1</v>
      </c>
      <c r="I1914" s="8">
        <v>0</v>
      </c>
      <c r="J1914" s="8">
        <v>1</v>
      </c>
      <c r="K1914" s="9">
        <v>1</v>
      </c>
      <c r="L1914" s="10">
        <v>1</v>
      </c>
      <c r="M1914" s="6">
        <v>0</v>
      </c>
      <c r="N1914" s="37" t="e" cm="1">
        <f t="array" ref="N1914">IF(OR(ISNUMBER(FIND(Aux!$D$3:$D$9,_xlfn.TEXTJOIN(,,C1914:K1914)))),NA(),IF(AND(SUM(C1914:F1914,H1914:K1914)=0,G1914=1),0,INT((SUMPRODUCT(C1914:F1914,COLUMN($A$1:$D$1)-1)+SUMPRODUCT(H1914:K1914,COLUMN($E$1:$H$1)-1))*'Line Follower'!$C$3/SUM(C1914:F1914,H1914:K1914)-'Line Follower'!$C$5)))</f>
        <v>#N/A</v>
      </c>
      <c r="O1914" s="22" t="e">
        <v>#N/A</v>
      </c>
      <c r="P1914" s="4" t="e">
        <f t="shared" si="145"/>
        <v>#N/A</v>
      </c>
      <c r="Q1914" s="4" t="e">
        <f t="shared" si="146"/>
        <v>#N/A</v>
      </c>
      <c r="R1914" s="4" t="e">
        <f>IF(AND(B1914=1,N1914&gt;'Line Follower'!$C$7,SUM(C1914:K1914)&lt;4),1,0)</f>
        <v>#N/A</v>
      </c>
      <c r="S1914" s="4" t="e">
        <f>IF(AND(L1914=1,N1914&lt;'Line Follower'!$C$6,SUM(C1914:K1914)&lt;4),1,0)</f>
        <v>#N/A</v>
      </c>
      <c r="T1914" s="4" t="e">
        <f t="shared" si="147"/>
        <v>#N/A</v>
      </c>
      <c r="U1914" s="5" t="e">
        <f t="shared" si="148"/>
        <v>#N/A</v>
      </c>
      <c r="V1914" s="23" t="e">
        <f t="shared" si="149"/>
        <v>#N/A</v>
      </c>
    </row>
    <row r="1915" spans="2:22" x14ac:dyDescent="0.25">
      <c r="B1915" s="16">
        <v>0</v>
      </c>
      <c r="C1915" s="7">
        <v>0</v>
      </c>
      <c r="D1915" s="8">
        <v>0</v>
      </c>
      <c r="E1915" s="8">
        <v>1</v>
      </c>
      <c r="F1915" s="8">
        <v>1</v>
      </c>
      <c r="G1915" s="8">
        <v>1</v>
      </c>
      <c r="H1915" s="8">
        <v>1</v>
      </c>
      <c r="I1915" s="8">
        <v>0</v>
      </c>
      <c r="J1915" s="8">
        <v>1</v>
      </c>
      <c r="K1915" s="9">
        <v>1</v>
      </c>
      <c r="L1915" s="10">
        <v>1</v>
      </c>
      <c r="M1915" s="6">
        <v>0</v>
      </c>
      <c r="N1915" s="37" t="e" cm="1">
        <f t="array" ref="N1915">IF(OR(ISNUMBER(FIND(Aux!$D$3:$D$9,_xlfn.TEXTJOIN(,,C1915:K1915)))),NA(),IF(AND(SUM(C1915:F1915,H1915:K1915)=0,G1915=1),0,INT((SUMPRODUCT(C1915:F1915,COLUMN($A$1:$D$1)-1)+SUMPRODUCT(H1915:K1915,COLUMN($E$1:$H$1)-1))*'Line Follower'!$C$3/SUM(C1915:F1915,H1915:K1915)-'Line Follower'!$C$5)))</f>
        <v>#N/A</v>
      </c>
      <c r="O1915" s="22" t="e">
        <v>#N/A</v>
      </c>
      <c r="P1915" s="4" t="e">
        <f t="shared" si="145"/>
        <v>#N/A</v>
      </c>
      <c r="Q1915" s="4" t="e">
        <f t="shared" si="146"/>
        <v>#N/A</v>
      </c>
      <c r="R1915" s="4" t="e">
        <f>IF(AND(B1915=1,N1915&gt;'Line Follower'!$C$7,SUM(C1915:K1915)&lt;4),1,0)</f>
        <v>#N/A</v>
      </c>
      <c r="S1915" s="4" t="e">
        <f>IF(AND(L1915=1,N1915&lt;'Line Follower'!$C$6,SUM(C1915:K1915)&lt;4),1,0)</f>
        <v>#N/A</v>
      </c>
      <c r="T1915" s="4" t="e">
        <f t="shared" si="147"/>
        <v>#N/A</v>
      </c>
      <c r="U1915" s="5" t="e">
        <f t="shared" si="148"/>
        <v>#N/A</v>
      </c>
      <c r="V1915" s="23" t="e">
        <f t="shared" si="149"/>
        <v>#N/A</v>
      </c>
    </row>
    <row r="1916" spans="2:22" x14ac:dyDescent="0.25">
      <c r="B1916" s="16">
        <v>1</v>
      </c>
      <c r="C1916" s="7">
        <v>0</v>
      </c>
      <c r="D1916" s="8">
        <v>0</v>
      </c>
      <c r="E1916" s="8">
        <v>1</v>
      </c>
      <c r="F1916" s="8">
        <v>1</v>
      </c>
      <c r="G1916" s="8">
        <v>1</v>
      </c>
      <c r="H1916" s="8">
        <v>1</v>
      </c>
      <c r="I1916" s="8">
        <v>0</v>
      </c>
      <c r="J1916" s="8">
        <v>1</v>
      </c>
      <c r="K1916" s="9">
        <v>1</v>
      </c>
      <c r="L1916" s="10">
        <v>1</v>
      </c>
      <c r="M1916" s="6">
        <v>0</v>
      </c>
      <c r="N1916" s="37" t="e" cm="1">
        <f t="array" ref="N1916">IF(OR(ISNUMBER(FIND(Aux!$D$3:$D$9,_xlfn.TEXTJOIN(,,C1916:K1916)))),NA(),IF(AND(SUM(C1916:F1916,H1916:K1916)=0,G1916=1),0,INT((SUMPRODUCT(C1916:F1916,COLUMN($A$1:$D$1)-1)+SUMPRODUCT(H1916:K1916,COLUMN($E$1:$H$1)-1))*'Line Follower'!$C$3/SUM(C1916:F1916,H1916:K1916)-'Line Follower'!$C$5)))</f>
        <v>#N/A</v>
      </c>
      <c r="O1916" s="22" t="e">
        <v>#N/A</v>
      </c>
      <c r="P1916" s="4" t="e">
        <f t="shared" si="145"/>
        <v>#N/A</v>
      </c>
      <c r="Q1916" s="4" t="e">
        <f t="shared" si="146"/>
        <v>#N/A</v>
      </c>
      <c r="R1916" s="4" t="e">
        <f>IF(AND(B1916=1,N1916&gt;'Line Follower'!$C$7,SUM(C1916:K1916)&lt;4),1,0)</f>
        <v>#N/A</v>
      </c>
      <c r="S1916" s="4" t="e">
        <f>IF(AND(L1916=1,N1916&lt;'Line Follower'!$C$6,SUM(C1916:K1916)&lt;4),1,0)</f>
        <v>#N/A</v>
      </c>
      <c r="T1916" s="4" t="e">
        <f t="shared" si="147"/>
        <v>#N/A</v>
      </c>
      <c r="U1916" s="5" t="e">
        <f t="shared" si="148"/>
        <v>#N/A</v>
      </c>
      <c r="V1916" s="23" t="e">
        <f t="shared" si="149"/>
        <v>#N/A</v>
      </c>
    </row>
    <row r="1917" spans="2:22" x14ac:dyDescent="0.25">
      <c r="B1917" s="16">
        <v>0</v>
      </c>
      <c r="C1917" s="7">
        <v>1</v>
      </c>
      <c r="D1917" s="8">
        <v>0</v>
      </c>
      <c r="E1917" s="8">
        <v>1</v>
      </c>
      <c r="F1917" s="8">
        <v>1</v>
      </c>
      <c r="G1917" s="8">
        <v>1</v>
      </c>
      <c r="H1917" s="8">
        <v>1</v>
      </c>
      <c r="I1917" s="8">
        <v>0</v>
      </c>
      <c r="J1917" s="8">
        <v>1</v>
      </c>
      <c r="K1917" s="9">
        <v>1</v>
      </c>
      <c r="L1917" s="10">
        <v>1</v>
      </c>
      <c r="M1917" s="6">
        <v>0</v>
      </c>
      <c r="N1917" s="37" t="e" cm="1">
        <f t="array" ref="N1917">IF(OR(ISNUMBER(FIND(Aux!$D$3:$D$9,_xlfn.TEXTJOIN(,,C1917:K1917)))),NA(),IF(AND(SUM(C1917:F1917,H1917:K1917)=0,G1917=1),0,INT((SUMPRODUCT(C1917:F1917,COLUMN($A$1:$D$1)-1)+SUMPRODUCT(H1917:K1917,COLUMN($E$1:$H$1)-1))*'Line Follower'!$C$3/SUM(C1917:F1917,H1917:K1917)-'Line Follower'!$C$5)))</f>
        <v>#N/A</v>
      </c>
      <c r="O1917" s="22" t="e">
        <v>#N/A</v>
      </c>
      <c r="P1917" s="4" t="e">
        <f t="shared" si="145"/>
        <v>#N/A</v>
      </c>
      <c r="Q1917" s="4" t="e">
        <f t="shared" si="146"/>
        <v>#N/A</v>
      </c>
      <c r="R1917" s="4" t="e">
        <f>IF(AND(B1917=1,N1917&gt;'Line Follower'!$C$7,SUM(C1917:K1917)&lt;4),1,0)</f>
        <v>#N/A</v>
      </c>
      <c r="S1917" s="4" t="e">
        <f>IF(AND(L1917=1,N1917&lt;'Line Follower'!$C$6,SUM(C1917:K1917)&lt;4),1,0)</f>
        <v>#N/A</v>
      </c>
      <c r="T1917" s="4" t="e">
        <f t="shared" si="147"/>
        <v>#N/A</v>
      </c>
      <c r="U1917" s="5" t="e">
        <f t="shared" si="148"/>
        <v>#N/A</v>
      </c>
      <c r="V1917" s="23" t="e">
        <f t="shared" si="149"/>
        <v>#N/A</v>
      </c>
    </row>
    <row r="1918" spans="2:22" x14ac:dyDescent="0.25">
      <c r="B1918" s="16">
        <v>1</v>
      </c>
      <c r="C1918" s="7">
        <v>1</v>
      </c>
      <c r="D1918" s="8">
        <v>0</v>
      </c>
      <c r="E1918" s="8">
        <v>1</v>
      </c>
      <c r="F1918" s="8">
        <v>1</v>
      </c>
      <c r="G1918" s="8">
        <v>1</v>
      </c>
      <c r="H1918" s="8">
        <v>1</v>
      </c>
      <c r="I1918" s="8">
        <v>0</v>
      </c>
      <c r="J1918" s="8">
        <v>1</v>
      </c>
      <c r="K1918" s="9">
        <v>1</v>
      </c>
      <c r="L1918" s="10">
        <v>1</v>
      </c>
      <c r="M1918" s="6">
        <v>0</v>
      </c>
      <c r="N1918" s="37" t="e" cm="1">
        <f t="array" ref="N1918">IF(OR(ISNUMBER(FIND(Aux!$D$3:$D$9,_xlfn.TEXTJOIN(,,C1918:K1918)))),NA(),IF(AND(SUM(C1918:F1918,H1918:K1918)=0,G1918=1),0,INT((SUMPRODUCT(C1918:F1918,COLUMN($A$1:$D$1)-1)+SUMPRODUCT(H1918:K1918,COLUMN($E$1:$H$1)-1))*'Line Follower'!$C$3/SUM(C1918:F1918,H1918:K1918)-'Line Follower'!$C$5)))</f>
        <v>#N/A</v>
      </c>
      <c r="O1918" s="22" t="e">
        <v>#N/A</v>
      </c>
      <c r="P1918" s="4" t="e">
        <f t="shared" si="145"/>
        <v>#N/A</v>
      </c>
      <c r="Q1918" s="4" t="e">
        <f t="shared" si="146"/>
        <v>#N/A</v>
      </c>
      <c r="R1918" s="4" t="e">
        <f>IF(AND(B1918=1,N1918&gt;'Line Follower'!$C$7,SUM(C1918:K1918)&lt;4),1,0)</f>
        <v>#N/A</v>
      </c>
      <c r="S1918" s="4" t="e">
        <f>IF(AND(L1918=1,N1918&lt;'Line Follower'!$C$6,SUM(C1918:K1918)&lt;4),1,0)</f>
        <v>#N/A</v>
      </c>
      <c r="T1918" s="4" t="e">
        <f t="shared" si="147"/>
        <v>#N/A</v>
      </c>
      <c r="U1918" s="5" t="e">
        <f t="shared" si="148"/>
        <v>#N/A</v>
      </c>
      <c r="V1918" s="23" t="e">
        <f t="shared" si="149"/>
        <v>#N/A</v>
      </c>
    </row>
    <row r="1919" spans="2:22" x14ac:dyDescent="0.25">
      <c r="B1919" s="16">
        <v>0</v>
      </c>
      <c r="C1919" s="7">
        <v>0</v>
      </c>
      <c r="D1919" s="8">
        <v>1</v>
      </c>
      <c r="E1919" s="8">
        <v>1</v>
      </c>
      <c r="F1919" s="8">
        <v>1</v>
      </c>
      <c r="G1919" s="8">
        <v>1</v>
      </c>
      <c r="H1919" s="8">
        <v>1</v>
      </c>
      <c r="I1919" s="8">
        <v>0</v>
      </c>
      <c r="J1919" s="8">
        <v>1</v>
      </c>
      <c r="K1919" s="9">
        <v>1</v>
      </c>
      <c r="L1919" s="10">
        <v>1</v>
      </c>
      <c r="M1919" s="6">
        <v>0</v>
      </c>
      <c r="N1919" s="37" t="e" cm="1">
        <f t="array" ref="N1919">IF(OR(ISNUMBER(FIND(Aux!$D$3:$D$9,_xlfn.TEXTJOIN(,,C1919:K1919)))),NA(),IF(AND(SUM(C1919:F1919,H1919:K1919)=0,G1919=1),0,INT((SUMPRODUCT(C1919:F1919,COLUMN($A$1:$D$1)-1)+SUMPRODUCT(H1919:K1919,COLUMN($E$1:$H$1)-1))*'Line Follower'!$C$3/SUM(C1919:F1919,H1919:K1919)-'Line Follower'!$C$5)))</f>
        <v>#N/A</v>
      </c>
      <c r="O1919" s="22" t="e">
        <v>#N/A</v>
      </c>
      <c r="P1919" s="4" t="e">
        <f t="shared" si="145"/>
        <v>#N/A</v>
      </c>
      <c r="Q1919" s="4" t="e">
        <f t="shared" si="146"/>
        <v>#N/A</v>
      </c>
      <c r="R1919" s="4" t="e">
        <f>IF(AND(B1919=1,N1919&gt;'Line Follower'!$C$7,SUM(C1919:K1919)&lt;4),1,0)</f>
        <v>#N/A</v>
      </c>
      <c r="S1919" s="4" t="e">
        <f>IF(AND(L1919=1,N1919&lt;'Line Follower'!$C$6,SUM(C1919:K1919)&lt;4),1,0)</f>
        <v>#N/A</v>
      </c>
      <c r="T1919" s="4" t="e">
        <f t="shared" si="147"/>
        <v>#N/A</v>
      </c>
      <c r="U1919" s="5" t="e">
        <f t="shared" si="148"/>
        <v>#N/A</v>
      </c>
      <c r="V1919" s="23" t="e">
        <f t="shared" si="149"/>
        <v>#N/A</v>
      </c>
    </row>
    <row r="1920" spans="2:22" x14ac:dyDescent="0.25">
      <c r="B1920" s="16">
        <v>1</v>
      </c>
      <c r="C1920" s="7">
        <v>0</v>
      </c>
      <c r="D1920" s="8">
        <v>1</v>
      </c>
      <c r="E1920" s="8">
        <v>1</v>
      </c>
      <c r="F1920" s="8">
        <v>1</v>
      </c>
      <c r="G1920" s="8">
        <v>1</v>
      </c>
      <c r="H1920" s="8">
        <v>1</v>
      </c>
      <c r="I1920" s="8">
        <v>0</v>
      </c>
      <c r="J1920" s="8">
        <v>1</v>
      </c>
      <c r="K1920" s="9">
        <v>1</v>
      </c>
      <c r="L1920" s="10">
        <v>1</v>
      </c>
      <c r="M1920" s="6">
        <v>0</v>
      </c>
      <c r="N1920" s="37" t="e" cm="1">
        <f t="array" ref="N1920">IF(OR(ISNUMBER(FIND(Aux!$D$3:$D$9,_xlfn.TEXTJOIN(,,C1920:K1920)))),NA(),IF(AND(SUM(C1920:F1920,H1920:K1920)=0,G1920=1),0,INT((SUMPRODUCT(C1920:F1920,COLUMN($A$1:$D$1)-1)+SUMPRODUCT(H1920:K1920,COLUMN($E$1:$H$1)-1))*'Line Follower'!$C$3/SUM(C1920:F1920,H1920:K1920)-'Line Follower'!$C$5)))</f>
        <v>#N/A</v>
      </c>
      <c r="O1920" s="22" t="e">
        <v>#N/A</v>
      </c>
      <c r="P1920" s="4" t="e">
        <f t="shared" si="145"/>
        <v>#N/A</v>
      </c>
      <c r="Q1920" s="4" t="e">
        <f t="shared" si="146"/>
        <v>#N/A</v>
      </c>
      <c r="R1920" s="4" t="e">
        <f>IF(AND(B1920=1,N1920&gt;'Line Follower'!$C$7,SUM(C1920:K1920)&lt;4),1,0)</f>
        <v>#N/A</v>
      </c>
      <c r="S1920" s="4" t="e">
        <f>IF(AND(L1920=1,N1920&lt;'Line Follower'!$C$6,SUM(C1920:K1920)&lt;4),1,0)</f>
        <v>#N/A</v>
      </c>
      <c r="T1920" s="4" t="e">
        <f t="shared" si="147"/>
        <v>#N/A</v>
      </c>
      <c r="U1920" s="5" t="e">
        <f t="shared" si="148"/>
        <v>#N/A</v>
      </c>
      <c r="V1920" s="23" t="e">
        <f t="shared" si="149"/>
        <v>#N/A</v>
      </c>
    </row>
    <row r="1921" spans="2:22" x14ac:dyDescent="0.25">
      <c r="B1921" s="16">
        <v>0</v>
      </c>
      <c r="C1921" s="7">
        <v>1</v>
      </c>
      <c r="D1921" s="8">
        <v>1</v>
      </c>
      <c r="E1921" s="8">
        <v>1</v>
      </c>
      <c r="F1921" s="8">
        <v>1</v>
      </c>
      <c r="G1921" s="8">
        <v>1</v>
      </c>
      <c r="H1921" s="8">
        <v>1</v>
      </c>
      <c r="I1921" s="8">
        <v>0</v>
      </c>
      <c r="J1921" s="8">
        <v>1</v>
      </c>
      <c r="K1921" s="9">
        <v>1</v>
      </c>
      <c r="L1921" s="10">
        <v>1</v>
      </c>
      <c r="M1921" s="6">
        <v>0</v>
      </c>
      <c r="N1921" s="37" t="e" cm="1">
        <f t="array" ref="N1921">IF(OR(ISNUMBER(FIND(Aux!$D$3:$D$9,_xlfn.TEXTJOIN(,,C1921:K1921)))),NA(),IF(AND(SUM(C1921:F1921,H1921:K1921)=0,G1921=1),0,INT((SUMPRODUCT(C1921:F1921,COLUMN($A$1:$D$1)-1)+SUMPRODUCT(H1921:K1921,COLUMN($E$1:$H$1)-1))*'Line Follower'!$C$3/SUM(C1921:F1921,H1921:K1921)-'Line Follower'!$C$5)))</f>
        <v>#N/A</v>
      </c>
      <c r="O1921" s="22" t="e">
        <v>#N/A</v>
      </c>
      <c r="P1921" s="4" t="e">
        <f t="shared" si="145"/>
        <v>#N/A</v>
      </c>
      <c r="Q1921" s="4" t="e">
        <f t="shared" si="146"/>
        <v>#N/A</v>
      </c>
      <c r="R1921" s="4" t="e">
        <f>IF(AND(B1921=1,N1921&gt;'Line Follower'!$C$7,SUM(C1921:K1921)&lt;4),1,0)</f>
        <v>#N/A</v>
      </c>
      <c r="S1921" s="4" t="e">
        <f>IF(AND(L1921=1,N1921&lt;'Line Follower'!$C$6,SUM(C1921:K1921)&lt;4),1,0)</f>
        <v>#N/A</v>
      </c>
      <c r="T1921" s="4" t="e">
        <f t="shared" si="147"/>
        <v>#N/A</v>
      </c>
      <c r="U1921" s="5" t="e">
        <f t="shared" si="148"/>
        <v>#N/A</v>
      </c>
      <c r="V1921" s="23" t="e">
        <f t="shared" si="149"/>
        <v>#N/A</v>
      </c>
    </row>
    <row r="1922" spans="2:22" x14ac:dyDescent="0.25">
      <c r="B1922" s="16">
        <v>1</v>
      </c>
      <c r="C1922" s="7">
        <v>1</v>
      </c>
      <c r="D1922" s="8">
        <v>1</v>
      </c>
      <c r="E1922" s="8">
        <v>1</v>
      </c>
      <c r="F1922" s="8">
        <v>1</v>
      </c>
      <c r="G1922" s="8">
        <v>1</v>
      </c>
      <c r="H1922" s="8">
        <v>1</v>
      </c>
      <c r="I1922" s="8">
        <v>0</v>
      </c>
      <c r="J1922" s="8">
        <v>1</v>
      </c>
      <c r="K1922" s="9">
        <v>1</v>
      </c>
      <c r="L1922" s="10">
        <v>1</v>
      </c>
      <c r="M1922" s="6">
        <v>0</v>
      </c>
      <c r="N1922" s="37" t="e" cm="1">
        <f t="array" ref="N1922">IF(OR(ISNUMBER(FIND(Aux!$D$3:$D$9,_xlfn.TEXTJOIN(,,C1922:K1922)))),NA(),IF(AND(SUM(C1922:F1922,H1922:K1922)=0,G1922=1),0,INT((SUMPRODUCT(C1922:F1922,COLUMN($A$1:$D$1)-1)+SUMPRODUCT(H1922:K1922,COLUMN($E$1:$H$1)-1))*'Line Follower'!$C$3/SUM(C1922:F1922,H1922:K1922)-'Line Follower'!$C$5)))</f>
        <v>#N/A</v>
      </c>
      <c r="O1922" s="22" t="e">
        <v>#N/A</v>
      </c>
      <c r="P1922" s="4" t="e">
        <f t="shared" si="145"/>
        <v>#N/A</v>
      </c>
      <c r="Q1922" s="4" t="e">
        <f t="shared" si="146"/>
        <v>#N/A</v>
      </c>
      <c r="R1922" s="4" t="e">
        <f>IF(AND(B1922=1,N1922&gt;'Line Follower'!$C$7,SUM(C1922:K1922)&lt;4),1,0)</f>
        <v>#N/A</v>
      </c>
      <c r="S1922" s="4" t="e">
        <f>IF(AND(L1922=1,N1922&lt;'Line Follower'!$C$6,SUM(C1922:K1922)&lt;4),1,0)</f>
        <v>#N/A</v>
      </c>
      <c r="T1922" s="4" t="e">
        <f t="shared" si="147"/>
        <v>#N/A</v>
      </c>
      <c r="U1922" s="5" t="e">
        <f t="shared" si="148"/>
        <v>#N/A</v>
      </c>
      <c r="V1922" s="23" t="e">
        <f t="shared" si="149"/>
        <v>#N/A</v>
      </c>
    </row>
    <row r="1923" spans="2:22" x14ac:dyDescent="0.25">
      <c r="B1923" s="16">
        <v>0</v>
      </c>
      <c r="C1923" s="7">
        <v>0</v>
      </c>
      <c r="D1923" s="8">
        <v>0</v>
      </c>
      <c r="E1923" s="8">
        <v>0</v>
      </c>
      <c r="F1923" s="8">
        <v>0</v>
      </c>
      <c r="G1923" s="8">
        <v>0</v>
      </c>
      <c r="H1923" s="8">
        <v>0</v>
      </c>
      <c r="I1923" s="8">
        <v>1</v>
      </c>
      <c r="J1923" s="8">
        <v>1</v>
      </c>
      <c r="K1923" s="9">
        <v>1</v>
      </c>
      <c r="L1923" s="10">
        <v>1</v>
      </c>
      <c r="M1923" s="6">
        <v>0</v>
      </c>
      <c r="N1923" s="37" cm="1">
        <f t="array" ref="N1923">IF(OR(ISNUMBER(FIND(Aux!$D$3:$D$9,_xlfn.TEXTJOIN(,,C1923:K1923)))),NA(),IF(AND(SUM(C1923:F1923,H1923:K1923)=0,G1923=1),0,INT((SUMPRODUCT(C1923:F1923,COLUMN($A$1:$D$1)-1)+SUMPRODUCT(H1923:K1923,COLUMN($E$1:$H$1)-1))*'Line Follower'!$C$3/SUM(C1923:F1923,H1923:K1923)-'Line Follower'!$C$5)))</f>
        <v>5</v>
      </c>
      <c r="O1923" s="22">
        <v>1</v>
      </c>
      <c r="P1923" s="4">
        <f t="shared" ref="P1923:P1986" si="150">IF(AND(N1923=0,G1923=1,M1923=1),1,0)</f>
        <v>0</v>
      </c>
      <c r="Q1923" s="4">
        <f t="shared" ref="Q1923:Q1986" si="151">IF(ISERROR(N1923),N1923,IF(SUM(C1923:K1923)&gt;=4,1,0))</f>
        <v>0</v>
      </c>
      <c r="R1923" s="4">
        <f>IF(AND(B1923=1,N1923&gt;'Line Follower'!$C$7,SUM(C1923:K1923)&lt;4),1,0)</f>
        <v>0</v>
      </c>
      <c r="S1923" s="4">
        <f>IF(AND(L1923=1,N1923&lt;'Line Follower'!$C$6,SUM(C1923:K1923)&lt;4),1,0)</f>
        <v>1</v>
      </c>
      <c r="T1923" s="4">
        <f t="shared" si="147"/>
        <v>0</v>
      </c>
      <c r="U1923" s="5">
        <f t="shared" si="148"/>
        <v>0</v>
      </c>
      <c r="V1923" s="23">
        <f t="shared" si="149"/>
        <v>0</v>
      </c>
    </row>
    <row r="1924" spans="2:22" x14ac:dyDescent="0.25">
      <c r="B1924" s="16">
        <v>1</v>
      </c>
      <c r="C1924" s="7">
        <v>0</v>
      </c>
      <c r="D1924" s="8">
        <v>0</v>
      </c>
      <c r="E1924" s="8">
        <v>0</v>
      </c>
      <c r="F1924" s="8">
        <v>0</v>
      </c>
      <c r="G1924" s="8">
        <v>0</v>
      </c>
      <c r="H1924" s="8">
        <v>0</v>
      </c>
      <c r="I1924" s="8">
        <v>1</v>
      </c>
      <c r="J1924" s="8">
        <v>1</v>
      </c>
      <c r="K1924" s="9">
        <v>1</v>
      </c>
      <c r="L1924" s="10">
        <v>1</v>
      </c>
      <c r="M1924" s="6">
        <v>0</v>
      </c>
      <c r="N1924" s="37" cm="1">
        <f t="array" ref="N1924">IF(OR(ISNUMBER(FIND(Aux!$D$3:$D$9,_xlfn.TEXTJOIN(,,C1924:K1924)))),NA(),IF(AND(SUM(C1924:F1924,H1924:K1924)=0,G1924=1),0,INT((SUMPRODUCT(C1924:F1924,COLUMN($A$1:$D$1)-1)+SUMPRODUCT(H1924:K1924,COLUMN($E$1:$H$1)-1))*'Line Follower'!$C$3/SUM(C1924:F1924,H1924:K1924)-'Line Follower'!$C$5)))</f>
        <v>5</v>
      </c>
      <c r="O1924" s="22">
        <v>1</v>
      </c>
      <c r="P1924" s="4">
        <f t="shared" si="150"/>
        <v>0</v>
      </c>
      <c r="Q1924" s="4">
        <f t="shared" si="151"/>
        <v>0</v>
      </c>
      <c r="R1924" s="4">
        <f>IF(AND(B1924=1,N1924&gt;'Line Follower'!$C$7,SUM(C1924:K1924)&lt;4),1,0)</f>
        <v>1</v>
      </c>
      <c r="S1924" s="4">
        <f>IF(AND(L1924=1,N1924&lt;'Line Follower'!$C$6,SUM(C1924:K1924)&lt;4),1,0)</f>
        <v>1</v>
      </c>
      <c r="T1924" s="4">
        <f t="shared" ref="T1924:T1987" si="152">IF(ISNA(N1924),NA(),IF(SUM(C1924:L1924)=0,1,0))</f>
        <v>0</v>
      </c>
      <c r="U1924" s="5">
        <f t="shared" ref="U1924:U1987" si="153">IF(ISNA(N1924),NA(),IF(SUM(B1924:K1924)=0,1,0))</f>
        <v>0</v>
      </c>
      <c r="V1924" s="23">
        <f t="shared" ref="V1924:V1987" si="154">IF(ISNA(N1924),NA(),IF(SUM(B1924:L1924)=0,1,0))</f>
        <v>0</v>
      </c>
    </row>
    <row r="1925" spans="2:22" x14ac:dyDescent="0.25">
      <c r="B1925" s="16">
        <v>0</v>
      </c>
      <c r="C1925" s="7">
        <v>1</v>
      </c>
      <c r="D1925" s="8">
        <v>0</v>
      </c>
      <c r="E1925" s="8">
        <v>0</v>
      </c>
      <c r="F1925" s="8">
        <v>0</v>
      </c>
      <c r="G1925" s="8">
        <v>0</v>
      </c>
      <c r="H1925" s="8">
        <v>0</v>
      </c>
      <c r="I1925" s="8">
        <v>1</v>
      </c>
      <c r="J1925" s="8">
        <v>1</v>
      </c>
      <c r="K1925" s="9">
        <v>1</v>
      </c>
      <c r="L1925" s="10">
        <v>1</v>
      </c>
      <c r="M1925" s="6">
        <v>0</v>
      </c>
      <c r="N1925" s="37" t="e" cm="1">
        <f t="array" ref="N1925">IF(OR(ISNUMBER(FIND(Aux!$D$3:$D$9,_xlfn.TEXTJOIN(,,C1925:K1925)))),NA(),IF(AND(SUM(C1925:F1925,H1925:K1925)=0,G1925=1),0,INT((SUMPRODUCT(C1925:F1925,COLUMN($A$1:$D$1)-1)+SUMPRODUCT(H1925:K1925,COLUMN($E$1:$H$1)-1))*'Line Follower'!$C$3/SUM(C1925:F1925,H1925:K1925)-'Line Follower'!$C$5)))</f>
        <v>#N/A</v>
      </c>
      <c r="O1925" s="22" t="e">
        <v>#N/A</v>
      </c>
      <c r="P1925" s="4" t="e">
        <f t="shared" si="150"/>
        <v>#N/A</v>
      </c>
      <c r="Q1925" s="4" t="e">
        <f t="shared" si="151"/>
        <v>#N/A</v>
      </c>
      <c r="R1925" s="4" t="e">
        <f>IF(AND(B1925=1,N1925&gt;'Line Follower'!$C$7,SUM(C1925:K1925)&lt;4),1,0)</f>
        <v>#N/A</v>
      </c>
      <c r="S1925" s="4" t="e">
        <f>IF(AND(L1925=1,N1925&lt;'Line Follower'!$C$6,SUM(C1925:K1925)&lt;4),1,0)</f>
        <v>#N/A</v>
      </c>
      <c r="T1925" s="4" t="e">
        <f t="shared" si="152"/>
        <v>#N/A</v>
      </c>
      <c r="U1925" s="5" t="e">
        <f t="shared" si="153"/>
        <v>#N/A</v>
      </c>
      <c r="V1925" s="23" t="e">
        <f t="shared" si="154"/>
        <v>#N/A</v>
      </c>
    </row>
    <row r="1926" spans="2:22" x14ac:dyDescent="0.25">
      <c r="B1926" s="16">
        <v>1</v>
      </c>
      <c r="C1926" s="7">
        <v>1</v>
      </c>
      <c r="D1926" s="8">
        <v>0</v>
      </c>
      <c r="E1926" s="8">
        <v>0</v>
      </c>
      <c r="F1926" s="8">
        <v>0</v>
      </c>
      <c r="G1926" s="8">
        <v>0</v>
      </c>
      <c r="H1926" s="8">
        <v>0</v>
      </c>
      <c r="I1926" s="8">
        <v>1</v>
      </c>
      <c r="J1926" s="8">
        <v>1</v>
      </c>
      <c r="K1926" s="9">
        <v>1</v>
      </c>
      <c r="L1926" s="10">
        <v>1</v>
      </c>
      <c r="M1926" s="6">
        <v>0</v>
      </c>
      <c r="N1926" s="37" t="e" cm="1">
        <f t="array" ref="N1926">IF(OR(ISNUMBER(FIND(Aux!$D$3:$D$9,_xlfn.TEXTJOIN(,,C1926:K1926)))),NA(),IF(AND(SUM(C1926:F1926,H1926:K1926)=0,G1926=1),0,INT((SUMPRODUCT(C1926:F1926,COLUMN($A$1:$D$1)-1)+SUMPRODUCT(H1926:K1926,COLUMN($E$1:$H$1)-1))*'Line Follower'!$C$3/SUM(C1926:F1926,H1926:K1926)-'Line Follower'!$C$5)))</f>
        <v>#N/A</v>
      </c>
      <c r="O1926" s="22" t="e">
        <v>#N/A</v>
      </c>
      <c r="P1926" s="4" t="e">
        <f t="shared" si="150"/>
        <v>#N/A</v>
      </c>
      <c r="Q1926" s="4" t="e">
        <f t="shared" si="151"/>
        <v>#N/A</v>
      </c>
      <c r="R1926" s="4" t="e">
        <f>IF(AND(B1926=1,N1926&gt;'Line Follower'!$C$7,SUM(C1926:K1926)&lt;4),1,0)</f>
        <v>#N/A</v>
      </c>
      <c r="S1926" s="4" t="e">
        <f>IF(AND(L1926=1,N1926&lt;'Line Follower'!$C$6,SUM(C1926:K1926)&lt;4),1,0)</f>
        <v>#N/A</v>
      </c>
      <c r="T1926" s="4" t="e">
        <f t="shared" si="152"/>
        <v>#N/A</v>
      </c>
      <c r="U1926" s="5" t="e">
        <f t="shared" si="153"/>
        <v>#N/A</v>
      </c>
      <c r="V1926" s="23" t="e">
        <f t="shared" si="154"/>
        <v>#N/A</v>
      </c>
    </row>
    <row r="1927" spans="2:22" x14ac:dyDescent="0.25">
      <c r="B1927" s="16">
        <v>0</v>
      </c>
      <c r="C1927" s="7">
        <v>0</v>
      </c>
      <c r="D1927" s="8">
        <v>1</v>
      </c>
      <c r="E1927" s="8">
        <v>0</v>
      </c>
      <c r="F1927" s="8">
        <v>0</v>
      </c>
      <c r="G1927" s="8">
        <v>0</v>
      </c>
      <c r="H1927" s="8">
        <v>0</v>
      </c>
      <c r="I1927" s="8">
        <v>1</v>
      </c>
      <c r="J1927" s="8">
        <v>1</v>
      </c>
      <c r="K1927" s="9">
        <v>1</v>
      </c>
      <c r="L1927" s="10">
        <v>1</v>
      </c>
      <c r="M1927" s="6">
        <v>0</v>
      </c>
      <c r="N1927" s="37" t="e" cm="1">
        <f t="array" ref="N1927">IF(OR(ISNUMBER(FIND(Aux!$D$3:$D$9,_xlfn.TEXTJOIN(,,C1927:K1927)))),NA(),IF(AND(SUM(C1927:F1927,H1927:K1927)=0,G1927=1),0,INT((SUMPRODUCT(C1927:F1927,COLUMN($A$1:$D$1)-1)+SUMPRODUCT(H1927:K1927,COLUMN($E$1:$H$1)-1))*'Line Follower'!$C$3/SUM(C1927:F1927,H1927:K1927)-'Line Follower'!$C$5)))</f>
        <v>#N/A</v>
      </c>
      <c r="O1927" s="22" t="e">
        <v>#N/A</v>
      </c>
      <c r="P1927" s="4" t="e">
        <f t="shared" si="150"/>
        <v>#N/A</v>
      </c>
      <c r="Q1927" s="4" t="e">
        <f t="shared" si="151"/>
        <v>#N/A</v>
      </c>
      <c r="R1927" s="4" t="e">
        <f>IF(AND(B1927=1,N1927&gt;'Line Follower'!$C$7,SUM(C1927:K1927)&lt;4),1,0)</f>
        <v>#N/A</v>
      </c>
      <c r="S1927" s="4" t="e">
        <f>IF(AND(L1927=1,N1927&lt;'Line Follower'!$C$6,SUM(C1927:K1927)&lt;4),1,0)</f>
        <v>#N/A</v>
      </c>
      <c r="T1927" s="4" t="e">
        <f t="shared" si="152"/>
        <v>#N/A</v>
      </c>
      <c r="U1927" s="5" t="e">
        <f t="shared" si="153"/>
        <v>#N/A</v>
      </c>
      <c r="V1927" s="23" t="e">
        <f t="shared" si="154"/>
        <v>#N/A</v>
      </c>
    </row>
    <row r="1928" spans="2:22" x14ac:dyDescent="0.25">
      <c r="B1928" s="16">
        <v>1</v>
      </c>
      <c r="C1928" s="7">
        <v>0</v>
      </c>
      <c r="D1928" s="8">
        <v>1</v>
      </c>
      <c r="E1928" s="8">
        <v>0</v>
      </c>
      <c r="F1928" s="8">
        <v>0</v>
      </c>
      <c r="G1928" s="8">
        <v>0</v>
      </c>
      <c r="H1928" s="8">
        <v>0</v>
      </c>
      <c r="I1928" s="8">
        <v>1</v>
      </c>
      <c r="J1928" s="8">
        <v>1</v>
      </c>
      <c r="K1928" s="9">
        <v>1</v>
      </c>
      <c r="L1928" s="10">
        <v>1</v>
      </c>
      <c r="M1928" s="6">
        <v>0</v>
      </c>
      <c r="N1928" s="37" t="e" cm="1">
        <f t="array" ref="N1928">IF(OR(ISNUMBER(FIND(Aux!$D$3:$D$9,_xlfn.TEXTJOIN(,,C1928:K1928)))),NA(),IF(AND(SUM(C1928:F1928,H1928:K1928)=0,G1928=1),0,INT((SUMPRODUCT(C1928:F1928,COLUMN($A$1:$D$1)-1)+SUMPRODUCT(H1928:K1928,COLUMN($E$1:$H$1)-1))*'Line Follower'!$C$3/SUM(C1928:F1928,H1928:K1928)-'Line Follower'!$C$5)))</f>
        <v>#N/A</v>
      </c>
      <c r="O1928" s="22" t="e">
        <v>#N/A</v>
      </c>
      <c r="P1928" s="4" t="e">
        <f t="shared" si="150"/>
        <v>#N/A</v>
      </c>
      <c r="Q1928" s="4" t="e">
        <f t="shared" si="151"/>
        <v>#N/A</v>
      </c>
      <c r="R1928" s="4" t="e">
        <f>IF(AND(B1928=1,N1928&gt;'Line Follower'!$C$7,SUM(C1928:K1928)&lt;4),1,0)</f>
        <v>#N/A</v>
      </c>
      <c r="S1928" s="4" t="e">
        <f>IF(AND(L1928=1,N1928&lt;'Line Follower'!$C$6,SUM(C1928:K1928)&lt;4),1,0)</f>
        <v>#N/A</v>
      </c>
      <c r="T1928" s="4" t="e">
        <f t="shared" si="152"/>
        <v>#N/A</v>
      </c>
      <c r="U1928" s="5" t="e">
        <f t="shared" si="153"/>
        <v>#N/A</v>
      </c>
      <c r="V1928" s="23" t="e">
        <f t="shared" si="154"/>
        <v>#N/A</v>
      </c>
    </row>
    <row r="1929" spans="2:22" x14ac:dyDescent="0.25">
      <c r="B1929" s="16">
        <v>0</v>
      </c>
      <c r="C1929" s="7">
        <v>1</v>
      </c>
      <c r="D1929" s="8">
        <v>1</v>
      </c>
      <c r="E1929" s="8">
        <v>0</v>
      </c>
      <c r="F1929" s="8">
        <v>0</v>
      </c>
      <c r="G1929" s="8">
        <v>0</v>
      </c>
      <c r="H1929" s="8">
        <v>0</v>
      </c>
      <c r="I1929" s="8">
        <v>1</v>
      </c>
      <c r="J1929" s="8">
        <v>1</v>
      </c>
      <c r="K1929" s="9">
        <v>1</v>
      </c>
      <c r="L1929" s="10">
        <v>1</v>
      </c>
      <c r="M1929" s="6">
        <v>0</v>
      </c>
      <c r="N1929" s="37" t="e" cm="1">
        <f t="array" ref="N1929">IF(OR(ISNUMBER(FIND(Aux!$D$3:$D$9,_xlfn.TEXTJOIN(,,C1929:K1929)))),NA(),IF(AND(SUM(C1929:F1929,H1929:K1929)=0,G1929=1),0,INT((SUMPRODUCT(C1929:F1929,COLUMN($A$1:$D$1)-1)+SUMPRODUCT(H1929:K1929,COLUMN($E$1:$H$1)-1))*'Line Follower'!$C$3/SUM(C1929:F1929,H1929:K1929)-'Line Follower'!$C$5)))</f>
        <v>#N/A</v>
      </c>
      <c r="O1929" s="22" t="e">
        <v>#N/A</v>
      </c>
      <c r="P1929" s="4" t="e">
        <f t="shared" si="150"/>
        <v>#N/A</v>
      </c>
      <c r="Q1929" s="4" t="e">
        <f t="shared" si="151"/>
        <v>#N/A</v>
      </c>
      <c r="R1929" s="4" t="e">
        <f>IF(AND(B1929=1,N1929&gt;'Line Follower'!$C$7,SUM(C1929:K1929)&lt;4),1,0)</f>
        <v>#N/A</v>
      </c>
      <c r="S1929" s="4" t="e">
        <f>IF(AND(L1929=1,N1929&lt;'Line Follower'!$C$6,SUM(C1929:K1929)&lt;4),1,0)</f>
        <v>#N/A</v>
      </c>
      <c r="T1929" s="4" t="e">
        <f t="shared" si="152"/>
        <v>#N/A</v>
      </c>
      <c r="U1929" s="5" t="e">
        <f t="shared" si="153"/>
        <v>#N/A</v>
      </c>
      <c r="V1929" s="23" t="e">
        <f t="shared" si="154"/>
        <v>#N/A</v>
      </c>
    </row>
    <row r="1930" spans="2:22" x14ac:dyDescent="0.25">
      <c r="B1930" s="16">
        <v>1</v>
      </c>
      <c r="C1930" s="7">
        <v>1</v>
      </c>
      <c r="D1930" s="8">
        <v>1</v>
      </c>
      <c r="E1930" s="8">
        <v>0</v>
      </c>
      <c r="F1930" s="8">
        <v>0</v>
      </c>
      <c r="G1930" s="8">
        <v>0</v>
      </c>
      <c r="H1930" s="8">
        <v>0</v>
      </c>
      <c r="I1930" s="8">
        <v>1</v>
      </c>
      <c r="J1930" s="8">
        <v>1</v>
      </c>
      <c r="K1930" s="9">
        <v>1</v>
      </c>
      <c r="L1930" s="10">
        <v>1</v>
      </c>
      <c r="M1930" s="6">
        <v>0</v>
      </c>
      <c r="N1930" s="37" t="e" cm="1">
        <f t="array" ref="N1930">IF(OR(ISNUMBER(FIND(Aux!$D$3:$D$9,_xlfn.TEXTJOIN(,,C1930:K1930)))),NA(),IF(AND(SUM(C1930:F1930,H1930:K1930)=0,G1930=1),0,INT((SUMPRODUCT(C1930:F1930,COLUMN($A$1:$D$1)-1)+SUMPRODUCT(H1930:K1930,COLUMN($E$1:$H$1)-1))*'Line Follower'!$C$3/SUM(C1930:F1930,H1930:K1930)-'Line Follower'!$C$5)))</f>
        <v>#N/A</v>
      </c>
      <c r="O1930" s="22" t="e">
        <v>#N/A</v>
      </c>
      <c r="P1930" s="4" t="e">
        <f t="shared" si="150"/>
        <v>#N/A</v>
      </c>
      <c r="Q1930" s="4" t="e">
        <f t="shared" si="151"/>
        <v>#N/A</v>
      </c>
      <c r="R1930" s="4" t="e">
        <f>IF(AND(B1930=1,N1930&gt;'Line Follower'!$C$7,SUM(C1930:K1930)&lt;4),1,0)</f>
        <v>#N/A</v>
      </c>
      <c r="S1930" s="4" t="e">
        <f>IF(AND(L1930=1,N1930&lt;'Line Follower'!$C$6,SUM(C1930:K1930)&lt;4),1,0)</f>
        <v>#N/A</v>
      </c>
      <c r="T1930" s="4" t="e">
        <f t="shared" si="152"/>
        <v>#N/A</v>
      </c>
      <c r="U1930" s="5" t="e">
        <f t="shared" si="153"/>
        <v>#N/A</v>
      </c>
      <c r="V1930" s="23" t="e">
        <f t="shared" si="154"/>
        <v>#N/A</v>
      </c>
    </row>
    <row r="1931" spans="2:22" x14ac:dyDescent="0.25">
      <c r="B1931" s="16">
        <v>0</v>
      </c>
      <c r="C1931" s="7">
        <v>0</v>
      </c>
      <c r="D1931" s="8">
        <v>0</v>
      </c>
      <c r="E1931" s="8">
        <v>1</v>
      </c>
      <c r="F1931" s="8">
        <v>0</v>
      </c>
      <c r="G1931" s="8">
        <v>0</v>
      </c>
      <c r="H1931" s="8">
        <v>0</v>
      </c>
      <c r="I1931" s="8">
        <v>1</v>
      </c>
      <c r="J1931" s="8">
        <v>1</v>
      </c>
      <c r="K1931" s="9">
        <v>1</v>
      </c>
      <c r="L1931" s="10">
        <v>1</v>
      </c>
      <c r="M1931" s="6">
        <v>0</v>
      </c>
      <c r="N1931" s="37" t="e" cm="1">
        <f t="array" ref="N1931">IF(OR(ISNUMBER(FIND(Aux!$D$3:$D$9,_xlfn.TEXTJOIN(,,C1931:K1931)))),NA(),IF(AND(SUM(C1931:F1931,H1931:K1931)=0,G1931=1),0,INT((SUMPRODUCT(C1931:F1931,COLUMN($A$1:$D$1)-1)+SUMPRODUCT(H1931:K1931,COLUMN($E$1:$H$1)-1))*'Line Follower'!$C$3/SUM(C1931:F1931,H1931:K1931)-'Line Follower'!$C$5)))</f>
        <v>#N/A</v>
      </c>
      <c r="O1931" s="22" t="e">
        <v>#N/A</v>
      </c>
      <c r="P1931" s="4" t="e">
        <f t="shared" si="150"/>
        <v>#N/A</v>
      </c>
      <c r="Q1931" s="4" t="e">
        <f t="shared" si="151"/>
        <v>#N/A</v>
      </c>
      <c r="R1931" s="4" t="e">
        <f>IF(AND(B1931=1,N1931&gt;'Line Follower'!$C$7,SUM(C1931:K1931)&lt;4),1,0)</f>
        <v>#N/A</v>
      </c>
      <c r="S1931" s="4" t="e">
        <f>IF(AND(L1931=1,N1931&lt;'Line Follower'!$C$6,SUM(C1931:K1931)&lt;4),1,0)</f>
        <v>#N/A</v>
      </c>
      <c r="T1931" s="4" t="e">
        <f t="shared" si="152"/>
        <v>#N/A</v>
      </c>
      <c r="U1931" s="5" t="e">
        <f t="shared" si="153"/>
        <v>#N/A</v>
      </c>
      <c r="V1931" s="23" t="e">
        <f t="shared" si="154"/>
        <v>#N/A</v>
      </c>
    </row>
    <row r="1932" spans="2:22" x14ac:dyDescent="0.25">
      <c r="B1932" s="16">
        <v>1</v>
      </c>
      <c r="C1932" s="7">
        <v>0</v>
      </c>
      <c r="D1932" s="8">
        <v>0</v>
      </c>
      <c r="E1932" s="8">
        <v>1</v>
      </c>
      <c r="F1932" s="8">
        <v>0</v>
      </c>
      <c r="G1932" s="8">
        <v>0</v>
      </c>
      <c r="H1932" s="8">
        <v>0</v>
      </c>
      <c r="I1932" s="8">
        <v>1</v>
      </c>
      <c r="J1932" s="8">
        <v>1</v>
      </c>
      <c r="K1932" s="9">
        <v>1</v>
      </c>
      <c r="L1932" s="10">
        <v>1</v>
      </c>
      <c r="M1932" s="6">
        <v>0</v>
      </c>
      <c r="N1932" s="37" t="e" cm="1">
        <f t="array" ref="N1932">IF(OR(ISNUMBER(FIND(Aux!$D$3:$D$9,_xlfn.TEXTJOIN(,,C1932:K1932)))),NA(),IF(AND(SUM(C1932:F1932,H1932:K1932)=0,G1932=1),0,INT((SUMPRODUCT(C1932:F1932,COLUMN($A$1:$D$1)-1)+SUMPRODUCT(H1932:K1932,COLUMN($E$1:$H$1)-1))*'Line Follower'!$C$3/SUM(C1932:F1932,H1932:K1932)-'Line Follower'!$C$5)))</f>
        <v>#N/A</v>
      </c>
      <c r="O1932" s="22" t="e">
        <v>#N/A</v>
      </c>
      <c r="P1932" s="4" t="e">
        <f t="shared" si="150"/>
        <v>#N/A</v>
      </c>
      <c r="Q1932" s="4" t="e">
        <f t="shared" si="151"/>
        <v>#N/A</v>
      </c>
      <c r="R1932" s="4" t="e">
        <f>IF(AND(B1932=1,N1932&gt;'Line Follower'!$C$7,SUM(C1932:K1932)&lt;4),1,0)</f>
        <v>#N/A</v>
      </c>
      <c r="S1932" s="4" t="e">
        <f>IF(AND(L1932=1,N1932&lt;'Line Follower'!$C$6,SUM(C1932:K1932)&lt;4),1,0)</f>
        <v>#N/A</v>
      </c>
      <c r="T1932" s="4" t="e">
        <f t="shared" si="152"/>
        <v>#N/A</v>
      </c>
      <c r="U1932" s="5" t="e">
        <f t="shared" si="153"/>
        <v>#N/A</v>
      </c>
      <c r="V1932" s="23" t="e">
        <f t="shared" si="154"/>
        <v>#N/A</v>
      </c>
    </row>
    <row r="1933" spans="2:22" x14ac:dyDescent="0.25">
      <c r="B1933" s="16">
        <v>0</v>
      </c>
      <c r="C1933" s="7">
        <v>1</v>
      </c>
      <c r="D1933" s="8">
        <v>0</v>
      </c>
      <c r="E1933" s="8">
        <v>1</v>
      </c>
      <c r="F1933" s="8">
        <v>0</v>
      </c>
      <c r="G1933" s="8">
        <v>0</v>
      </c>
      <c r="H1933" s="8">
        <v>0</v>
      </c>
      <c r="I1933" s="8">
        <v>1</v>
      </c>
      <c r="J1933" s="8">
        <v>1</v>
      </c>
      <c r="K1933" s="9">
        <v>1</v>
      </c>
      <c r="L1933" s="10">
        <v>1</v>
      </c>
      <c r="M1933" s="6">
        <v>0</v>
      </c>
      <c r="N1933" s="37" t="e" cm="1">
        <f t="array" ref="N1933">IF(OR(ISNUMBER(FIND(Aux!$D$3:$D$9,_xlfn.TEXTJOIN(,,C1933:K1933)))),NA(),IF(AND(SUM(C1933:F1933,H1933:K1933)=0,G1933=1),0,INT((SUMPRODUCT(C1933:F1933,COLUMN($A$1:$D$1)-1)+SUMPRODUCT(H1933:K1933,COLUMN($E$1:$H$1)-1))*'Line Follower'!$C$3/SUM(C1933:F1933,H1933:K1933)-'Line Follower'!$C$5)))</f>
        <v>#N/A</v>
      </c>
      <c r="O1933" s="22" t="e">
        <v>#N/A</v>
      </c>
      <c r="P1933" s="4" t="e">
        <f t="shared" si="150"/>
        <v>#N/A</v>
      </c>
      <c r="Q1933" s="4" t="e">
        <f t="shared" si="151"/>
        <v>#N/A</v>
      </c>
      <c r="R1933" s="4" t="e">
        <f>IF(AND(B1933=1,N1933&gt;'Line Follower'!$C$7,SUM(C1933:K1933)&lt;4),1,0)</f>
        <v>#N/A</v>
      </c>
      <c r="S1933" s="4" t="e">
        <f>IF(AND(L1933=1,N1933&lt;'Line Follower'!$C$6,SUM(C1933:K1933)&lt;4),1,0)</f>
        <v>#N/A</v>
      </c>
      <c r="T1933" s="4" t="e">
        <f t="shared" si="152"/>
        <v>#N/A</v>
      </c>
      <c r="U1933" s="5" t="e">
        <f t="shared" si="153"/>
        <v>#N/A</v>
      </c>
      <c r="V1933" s="23" t="e">
        <f t="shared" si="154"/>
        <v>#N/A</v>
      </c>
    </row>
    <row r="1934" spans="2:22" x14ac:dyDescent="0.25">
      <c r="B1934" s="16">
        <v>1</v>
      </c>
      <c r="C1934" s="7">
        <v>1</v>
      </c>
      <c r="D1934" s="8">
        <v>0</v>
      </c>
      <c r="E1934" s="8">
        <v>1</v>
      </c>
      <c r="F1934" s="8">
        <v>0</v>
      </c>
      <c r="G1934" s="8">
        <v>0</v>
      </c>
      <c r="H1934" s="8">
        <v>0</v>
      </c>
      <c r="I1934" s="8">
        <v>1</v>
      </c>
      <c r="J1934" s="8">
        <v>1</v>
      </c>
      <c r="K1934" s="9">
        <v>1</v>
      </c>
      <c r="L1934" s="10">
        <v>1</v>
      </c>
      <c r="M1934" s="6">
        <v>0</v>
      </c>
      <c r="N1934" s="37" t="e" cm="1">
        <f t="array" ref="N1934">IF(OR(ISNUMBER(FIND(Aux!$D$3:$D$9,_xlfn.TEXTJOIN(,,C1934:K1934)))),NA(),IF(AND(SUM(C1934:F1934,H1934:K1934)=0,G1934=1),0,INT((SUMPRODUCT(C1934:F1934,COLUMN($A$1:$D$1)-1)+SUMPRODUCT(H1934:K1934,COLUMN($E$1:$H$1)-1))*'Line Follower'!$C$3/SUM(C1934:F1934,H1934:K1934)-'Line Follower'!$C$5)))</f>
        <v>#N/A</v>
      </c>
      <c r="O1934" s="22" t="e">
        <v>#N/A</v>
      </c>
      <c r="P1934" s="4" t="e">
        <f t="shared" si="150"/>
        <v>#N/A</v>
      </c>
      <c r="Q1934" s="4" t="e">
        <f t="shared" si="151"/>
        <v>#N/A</v>
      </c>
      <c r="R1934" s="4" t="e">
        <f>IF(AND(B1934=1,N1934&gt;'Line Follower'!$C$7,SUM(C1934:K1934)&lt;4),1,0)</f>
        <v>#N/A</v>
      </c>
      <c r="S1934" s="4" t="e">
        <f>IF(AND(L1934=1,N1934&lt;'Line Follower'!$C$6,SUM(C1934:K1934)&lt;4),1,0)</f>
        <v>#N/A</v>
      </c>
      <c r="T1934" s="4" t="e">
        <f t="shared" si="152"/>
        <v>#N/A</v>
      </c>
      <c r="U1934" s="5" t="e">
        <f t="shared" si="153"/>
        <v>#N/A</v>
      </c>
      <c r="V1934" s="23" t="e">
        <f t="shared" si="154"/>
        <v>#N/A</v>
      </c>
    </row>
    <row r="1935" spans="2:22" x14ac:dyDescent="0.25">
      <c r="B1935" s="16">
        <v>0</v>
      </c>
      <c r="C1935" s="7">
        <v>0</v>
      </c>
      <c r="D1935" s="8">
        <v>1</v>
      </c>
      <c r="E1935" s="8">
        <v>1</v>
      </c>
      <c r="F1935" s="8">
        <v>0</v>
      </c>
      <c r="G1935" s="8">
        <v>0</v>
      </c>
      <c r="H1935" s="8">
        <v>0</v>
      </c>
      <c r="I1935" s="8">
        <v>1</v>
      </c>
      <c r="J1935" s="8">
        <v>1</v>
      </c>
      <c r="K1935" s="9">
        <v>1</v>
      </c>
      <c r="L1935" s="10">
        <v>1</v>
      </c>
      <c r="M1935" s="6">
        <v>0</v>
      </c>
      <c r="N1935" s="37" t="e" cm="1">
        <f t="array" ref="N1935">IF(OR(ISNUMBER(FIND(Aux!$D$3:$D$9,_xlfn.TEXTJOIN(,,C1935:K1935)))),NA(),IF(AND(SUM(C1935:F1935,H1935:K1935)=0,G1935=1),0,INT((SUMPRODUCT(C1935:F1935,COLUMN($A$1:$D$1)-1)+SUMPRODUCT(H1935:K1935,COLUMN($E$1:$H$1)-1))*'Line Follower'!$C$3/SUM(C1935:F1935,H1935:K1935)-'Line Follower'!$C$5)))</f>
        <v>#N/A</v>
      </c>
      <c r="O1935" s="22" t="e">
        <v>#N/A</v>
      </c>
      <c r="P1935" s="4" t="e">
        <f t="shared" si="150"/>
        <v>#N/A</v>
      </c>
      <c r="Q1935" s="4" t="e">
        <f t="shared" si="151"/>
        <v>#N/A</v>
      </c>
      <c r="R1935" s="4" t="e">
        <f>IF(AND(B1935=1,N1935&gt;'Line Follower'!$C$7,SUM(C1935:K1935)&lt;4),1,0)</f>
        <v>#N/A</v>
      </c>
      <c r="S1935" s="4" t="e">
        <f>IF(AND(L1935=1,N1935&lt;'Line Follower'!$C$6,SUM(C1935:K1935)&lt;4),1,0)</f>
        <v>#N/A</v>
      </c>
      <c r="T1935" s="4" t="e">
        <f t="shared" si="152"/>
        <v>#N/A</v>
      </c>
      <c r="U1935" s="5" t="e">
        <f t="shared" si="153"/>
        <v>#N/A</v>
      </c>
      <c r="V1935" s="23" t="e">
        <f t="shared" si="154"/>
        <v>#N/A</v>
      </c>
    </row>
    <row r="1936" spans="2:22" x14ac:dyDescent="0.25">
      <c r="B1936" s="16">
        <v>1</v>
      </c>
      <c r="C1936" s="7">
        <v>0</v>
      </c>
      <c r="D1936" s="8">
        <v>1</v>
      </c>
      <c r="E1936" s="8">
        <v>1</v>
      </c>
      <c r="F1936" s="8">
        <v>0</v>
      </c>
      <c r="G1936" s="8">
        <v>0</v>
      </c>
      <c r="H1936" s="8">
        <v>0</v>
      </c>
      <c r="I1936" s="8">
        <v>1</v>
      </c>
      <c r="J1936" s="8">
        <v>1</v>
      </c>
      <c r="K1936" s="9">
        <v>1</v>
      </c>
      <c r="L1936" s="10">
        <v>1</v>
      </c>
      <c r="M1936" s="6">
        <v>0</v>
      </c>
      <c r="N1936" s="37" t="e" cm="1">
        <f t="array" ref="N1936">IF(OR(ISNUMBER(FIND(Aux!$D$3:$D$9,_xlfn.TEXTJOIN(,,C1936:K1936)))),NA(),IF(AND(SUM(C1936:F1936,H1936:K1936)=0,G1936=1),0,INT((SUMPRODUCT(C1936:F1936,COLUMN($A$1:$D$1)-1)+SUMPRODUCT(H1936:K1936,COLUMN($E$1:$H$1)-1))*'Line Follower'!$C$3/SUM(C1936:F1936,H1936:K1936)-'Line Follower'!$C$5)))</f>
        <v>#N/A</v>
      </c>
      <c r="O1936" s="22" t="e">
        <v>#N/A</v>
      </c>
      <c r="P1936" s="4" t="e">
        <f t="shared" si="150"/>
        <v>#N/A</v>
      </c>
      <c r="Q1936" s="4" t="e">
        <f t="shared" si="151"/>
        <v>#N/A</v>
      </c>
      <c r="R1936" s="4" t="e">
        <f>IF(AND(B1936=1,N1936&gt;'Line Follower'!$C$7,SUM(C1936:K1936)&lt;4),1,0)</f>
        <v>#N/A</v>
      </c>
      <c r="S1936" s="4" t="e">
        <f>IF(AND(L1936=1,N1936&lt;'Line Follower'!$C$6,SUM(C1936:K1936)&lt;4),1,0)</f>
        <v>#N/A</v>
      </c>
      <c r="T1936" s="4" t="e">
        <f t="shared" si="152"/>
        <v>#N/A</v>
      </c>
      <c r="U1936" s="5" t="e">
        <f t="shared" si="153"/>
        <v>#N/A</v>
      </c>
      <c r="V1936" s="23" t="e">
        <f t="shared" si="154"/>
        <v>#N/A</v>
      </c>
    </row>
    <row r="1937" spans="2:22" x14ac:dyDescent="0.25">
      <c r="B1937" s="16">
        <v>0</v>
      </c>
      <c r="C1937" s="7">
        <v>1</v>
      </c>
      <c r="D1937" s="8">
        <v>1</v>
      </c>
      <c r="E1937" s="8">
        <v>1</v>
      </c>
      <c r="F1937" s="8">
        <v>0</v>
      </c>
      <c r="G1937" s="8">
        <v>0</v>
      </c>
      <c r="H1937" s="8">
        <v>0</v>
      </c>
      <c r="I1937" s="8">
        <v>1</v>
      </c>
      <c r="J1937" s="8">
        <v>1</v>
      </c>
      <c r="K1937" s="9">
        <v>1</v>
      </c>
      <c r="L1937" s="10">
        <v>1</v>
      </c>
      <c r="M1937" s="6">
        <v>0</v>
      </c>
      <c r="N1937" s="37" t="e" cm="1">
        <f t="array" ref="N1937">IF(OR(ISNUMBER(FIND(Aux!$D$3:$D$9,_xlfn.TEXTJOIN(,,C1937:K1937)))),NA(),IF(AND(SUM(C1937:F1937,H1937:K1937)=0,G1937=1),0,INT((SUMPRODUCT(C1937:F1937,COLUMN($A$1:$D$1)-1)+SUMPRODUCT(H1937:K1937,COLUMN($E$1:$H$1)-1))*'Line Follower'!$C$3/SUM(C1937:F1937,H1937:K1937)-'Line Follower'!$C$5)))</f>
        <v>#N/A</v>
      </c>
      <c r="O1937" s="22" t="e">
        <v>#N/A</v>
      </c>
      <c r="P1937" s="4" t="e">
        <f t="shared" si="150"/>
        <v>#N/A</v>
      </c>
      <c r="Q1937" s="4" t="e">
        <f t="shared" si="151"/>
        <v>#N/A</v>
      </c>
      <c r="R1937" s="4" t="e">
        <f>IF(AND(B1937=1,N1937&gt;'Line Follower'!$C$7,SUM(C1937:K1937)&lt;4),1,0)</f>
        <v>#N/A</v>
      </c>
      <c r="S1937" s="4" t="e">
        <f>IF(AND(L1937=1,N1937&lt;'Line Follower'!$C$6,SUM(C1937:K1937)&lt;4),1,0)</f>
        <v>#N/A</v>
      </c>
      <c r="T1937" s="4" t="e">
        <f t="shared" si="152"/>
        <v>#N/A</v>
      </c>
      <c r="U1937" s="5" t="e">
        <f t="shared" si="153"/>
        <v>#N/A</v>
      </c>
      <c r="V1937" s="23" t="e">
        <f t="shared" si="154"/>
        <v>#N/A</v>
      </c>
    </row>
    <row r="1938" spans="2:22" x14ac:dyDescent="0.25">
      <c r="B1938" s="16">
        <v>1</v>
      </c>
      <c r="C1938" s="7">
        <v>1</v>
      </c>
      <c r="D1938" s="8">
        <v>1</v>
      </c>
      <c r="E1938" s="8">
        <v>1</v>
      </c>
      <c r="F1938" s="8">
        <v>0</v>
      </c>
      <c r="G1938" s="8">
        <v>0</v>
      </c>
      <c r="H1938" s="8">
        <v>0</v>
      </c>
      <c r="I1938" s="8">
        <v>1</v>
      </c>
      <c r="J1938" s="8">
        <v>1</v>
      </c>
      <c r="K1938" s="9">
        <v>1</v>
      </c>
      <c r="L1938" s="10">
        <v>1</v>
      </c>
      <c r="M1938" s="6">
        <v>0</v>
      </c>
      <c r="N1938" s="37" t="e" cm="1">
        <f t="array" ref="N1938">IF(OR(ISNUMBER(FIND(Aux!$D$3:$D$9,_xlfn.TEXTJOIN(,,C1938:K1938)))),NA(),IF(AND(SUM(C1938:F1938,H1938:K1938)=0,G1938=1),0,INT((SUMPRODUCT(C1938:F1938,COLUMN($A$1:$D$1)-1)+SUMPRODUCT(H1938:K1938,COLUMN($E$1:$H$1)-1))*'Line Follower'!$C$3/SUM(C1938:F1938,H1938:K1938)-'Line Follower'!$C$5)))</f>
        <v>#N/A</v>
      </c>
      <c r="O1938" s="22" t="e">
        <v>#N/A</v>
      </c>
      <c r="P1938" s="4" t="e">
        <f t="shared" si="150"/>
        <v>#N/A</v>
      </c>
      <c r="Q1938" s="4" t="e">
        <f t="shared" si="151"/>
        <v>#N/A</v>
      </c>
      <c r="R1938" s="4" t="e">
        <f>IF(AND(B1938=1,N1938&gt;'Line Follower'!$C$7,SUM(C1938:K1938)&lt;4),1,0)</f>
        <v>#N/A</v>
      </c>
      <c r="S1938" s="4" t="e">
        <f>IF(AND(L1938=1,N1938&lt;'Line Follower'!$C$6,SUM(C1938:K1938)&lt;4),1,0)</f>
        <v>#N/A</v>
      </c>
      <c r="T1938" s="4" t="e">
        <f t="shared" si="152"/>
        <v>#N/A</v>
      </c>
      <c r="U1938" s="5" t="e">
        <f t="shared" si="153"/>
        <v>#N/A</v>
      </c>
      <c r="V1938" s="23" t="e">
        <f t="shared" si="154"/>
        <v>#N/A</v>
      </c>
    </row>
    <row r="1939" spans="2:22" x14ac:dyDescent="0.25">
      <c r="B1939" s="16">
        <v>0</v>
      </c>
      <c r="C1939" s="7">
        <v>0</v>
      </c>
      <c r="D1939" s="8">
        <v>0</v>
      </c>
      <c r="E1939" s="8">
        <v>0</v>
      </c>
      <c r="F1939" s="8">
        <v>1</v>
      </c>
      <c r="G1939" s="8">
        <v>0</v>
      </c>
      <c r="H1939" s="8">
        <v>0</v>
      </c>
      <c r="I1939" s="8">
        <v>1</v>
      </c>
      <c r="J1939" s="8">
        <v>1</v>
      </c>
      <c r="K1939" s="9">
        <v>1</v>
      </c>
      <c r="L1939" s="10">
        <v>1</v>
      </c>
      <c r="M1939" s="6">
        <v>0</v>
      </c>
      <c r="N1939" s="37" t="e" cm="1">
        <f t="array" ref="N1939">IF(OR(ISNUMBER(FIND(Aux!$D$3:$D$9,_xlfn.TEXTJOIN(,,C1939:K1939)))),NA(),IF(AND(SUM(C1939:F1939,H1939:K1939)=0,G1939=1),0,INT((SUMPRODUCT(C1939:F1939,COLUMN($A$1:$D$1)-1)+SUMPRODUCT(H1939:K1939,COLUMN($E$1:$H$1)-1))*'Line Follower'!$C$3/SUM(C1939:F1939,H1939:K1939)-'Line Follower'!$C$5)))</f>
        <v>#N/A</v>
      </c>
      <c r="O1939" s="22" t="e">
        <v>#N/A</v>
      </c>
      <c r="P1939" s="4" t="e">
        <f t="shared" si="150"/>
        <v>#N/A</v>
      </c>
      <c r="Q1939" s="4" t="e">
        <f t="shared" si="151"/>
        <v>#N/A</v>
      </c>
      <c r="R1939" s="4" t="e">
        <f>IF(AND(B1939=1,N1939&gt;'Line Follower'!$C$7,SUM(C1939:K1939)&lt;4),1,0)</f>
        <v>#N/A</v>
      </c>
      <c r="S1939" s="4" t="e">
        <f>IF(AND(L1939=1,N1939&lt;'Line Follower'!$C$6,SUM(C1939:K1939)&lt;4),1,0)</f>
        <v>#N/A</v>
      </c>
      <c r="T1939" s="4" t="e">
        <f t="shared" si="152"/>
        <v>#N/A</v>
      </c>
      <c r="U1939" s="5" t="e">
        <f t="shared" si="153"/>
        <v>#N/A</v>
      </c>
      <c r="V1939" s="23" t="e">
        <f t="shared" si="154"/>
        <v>#N/A</v>
      </c>
    </row>
    <row r="1940" spans="2:22" x14ac:dyDescent="0.25">
      <c r="B1940" s="16">
        <v>1</v>
      </c>
      <c r="C1940" s="7">
        <v>0</v>
      </c>
      <c r="D1940" s="8">
        <v>0</v>
      </c>
      <c r="E1940" s="8">
        <v>0</v>
      </c>
      <c r="F1940" s="8">
        <v>1</v>
      </c>
      <c r="G1940" s="8">
        <v>0</v>
      </c>
      <c r="H1940" s="8">
        <v>0</v>
      </c>
      <c r="I1940" s="8">
        <v>1</v>
      </c>
      <c r="J1940" s="8">
        <v>1</v>
      </c>
      <c r="K1940" s="9">
        <v>1</v>
      </c>
      <c r="L1940" s="10">
        <v>1</v>
      </c>
      <c r="M1940" s="6">
        <v>0</v>
      </c>
      <c r="N1940" s="37" t="e" cm="1">
        <f t="array" ref="N1940">IF(OR(ISNUMBER(FIND(Aux!$D$3:$D$9,_xlfn.TEXTJOIN(,,C1940:K1940)))),NA(),IF(AND(SUM(C1940:F1940,H1940:K1940)=0,G1940=1),0,INT((SUMPRODUCT(C1940:F1940,COLUMN($A$1:$D$1)-1)+SUMPRODUCT(H1940:K1940,COLUMN($E$1:$H$1)-1))*'Line Follower'!$C$3/SUM(C1940:F1940,H1940:K1940)-'Line Follower'!$C$5)))</f>
        <v>#N/A</v>
      </c>
      <c r="O1940" s="22" t="e">
        <v>#N/A</v>
      </c>
      <c r="P1940" s="4" t="e">
        <f t="shared" si="150"/>
        <v>#N/A</v>
      </c>
      <c r="Q1940" s="4" t="e">
        <f t="shared" si="151"/>
        <v>#N/A</v>
      </c>
      <c r="R1940" s="4" t="e">
        <f>IF(AND(B1940=1,N1940&gt;'Line Follower'!$C$7,SUM(C1940:K1940)&lt;4),1,0)</f>
        <v>#N/A</v>
      </c>
      <c r="S1940" s="4" t="e">
        <f>IF(AND(L1940=1,N1940&lt;'Line Follower'!$C$6,SUM(C1940:K1940)&lt;4),1,0)</f>
        <v>#N/A</v>
      </c>
      <c r="T1940" s="4" t="e">
        <f t="shared" si="152"/>
        <v>#N/A</v>
      </c>
      <c r="U1940" s="5" t="e">
        <f t="shared" si="153"/>
        <v>#N/A</v>
      </c>
      <c r="V1940" s="23" t="e">
        <f t="shared" si="154"/>
        <v>#N/A</v>
      </c>
    </row>
    <row r="1941" spans="2:22" x14ac:dyDescent="0.25">
      <c r="B1941" s="16">
        <v>0</v>
      </c>
      <c r="C1941" s="7">
        <v>1</v>
      </c>
      <c r="D1941" s="8">
        <v>0</v>
      </c>
      <c r="E1941" s="8">
        <v>0</v>
      </c>
      <c r="F1941" s="8">
        <v>1</v>
      </c>
      <c r="G1941" s="8">
        <v>0</v>
      </c>
      <c r="H1941" s="8">
        <v>0</v>
      </c>
      <c r="I1941" s="8">
        <v>1</v>
      </c>
      <c r="J1941" s="8">
        <v>1</v>
      </c>
      <c r="K1941" s="9">
        <v>1</v>
      </c>
      <c r="L1941" s="10">
        <v>1</v>
      </c>
      <c r="M1941" s="6">
        <v>0</v>
      </c>
      <c r="N1941" s="37" t="e" cm="1">
        <f t="array" ref="N1941">IF(OR(ISNUMBER(FIND(Aux!$D$3:$D$9,_xlfn.TEXTJOIN(,,C1941:K1941)))),NA(),IF(AND(SUM(C1941:F1941,H1941:K1941)=0,G1941=1),0,INT((SUMPRODUCT(C1941:F1941,COLUMN($A$1:$D$1)-1)+SUMPRODUCT(H1941:K1941,COLUMN($E$1:$H$1)-1))*'Line Follower'!$C$3/SUM(C1941:F1941,H1941:K1941)-'Line Follower'!$C$5)))</f>
        <v>#N/A</v>
      </c>
      <c r="O1941" s="22" t="e">
        <v>#N/A</v>
      </c>
      <c r="P1941" s="4" t="e">
        <f t="shared" si="150"/>
        <v>#N/A</v>
      </c>
      <c r="Q1941" s="4" t="e">
        <f t="shared" si="151"/>
        <v>#N/A</v>
      </c>
      <c r="R1941" s="4" t="e">
        <f>IF(AND(B1941=1,N1941&gt;'Line Follower'!$C$7,SUM(C1941:K1941)&lt;4),1,0)</f>
        <v>#N/A</v>
      </c>
      <c r="S1941" s="4" t="e">
        <f>IF(AND(L1941=1,N1941&lt;'Line Follower'!$C$6,SUM(C1941:K1941)&lt;4),1,0)</f>
        <v>#N/A</v>
      </c>
      <c r="T1941" s="4" t="e">
        <f t="shared" si="152"/>
        <v>#N/A</v>
      </c>
      <c r="U1941" s="5" t="e">
        <f t="shared" si="153"/>
        <v>#N/A</v>
      </c>
      <c r="V1941" s="23" t="e">
        <f t="shared" si="154"/>
        <v>#N/A</v>
      </c>
    </row>
    <row r="1942" spans="2:22" x14ac:dyDescent="0.25">
      <c r="B1942" s="16">
        <v>1</v>
      </c>
      <c r="C1942" s="7">
        <v>1</v>
      </c>
      <c r="D1942" s="8">
        <v>0</v>
      </c>
      <c r="E1942" s="8">
        <v>0</v>
      </c>
      <c r="F1942" s="8">
        <v>1</v>
      </c>
      <c r="G1942" s="8">
        <v>0</v>
      </c>
      <c r="H1942" s="8">
        <v>0</v>
      </c>
      <c r="I1942" s="8">
        <v>1</v>
      </c>
      <c r="J1942" s="8">
        <v>1</v>
      </c>
      <c r="K1942" s="9">
        <v>1</v>
      </c>
      <c r="L1942" s="10">
        <v>1</v>
      </c>
      <c r="M1942" s="6">
        <v>0</v>
      </c>
      <c r="N1942" s="37" t="e" cm="1">
        <f t="array" ref="N1942">IF(OR(ISNUMBER(FIND(Aux!$D$3:$D$9,_xlfn.TEXTJOIN(,,C1942:K1942)))),NA(),IF(AND(SUM(C1942:F1942,H1942:K1942)=0,G1942=1),0,INT((SUMPRODUCT(C1942:F1942,COLUMN($A$1:$D$1)-1)+SUMPRODUCT(H1942:K1942,COLUMN($E$1:$H$1)-1))*'Line Follower'!$C$3/SUM(C1942:F1942,H1942:K1942)-'Line Follower'!$C$5)))</f>
        <v>#N/A</v>
      </c>
      <c r="O1942" s="22" t="e">
        <v>#N/A</v>
      </c>
      <c r="P1942" s="4" t="e">
        <f t="shared" si="150"/>
        <v>#N/A</v>
      </c>
      <c r="Q1942" s="4" t="e">
        <f t="shared" si="151"/>
        <v>#N/A</v>
      </c>
      <c r="R1942" s="4" t="e">
        <f>IF(AND(B1942=1,N1942&gt;'Line Follower'!$C$7,SUM(C1942:K1942)&lt;4),1,0)</f>
        <v>#N/A</v>
      </c>
      <c r="S1942" s="4" t="e">
        <f>IF(AND(L1942=1,N1942&lt;'Line Follower'!$C$6,SUM(C1942:K1942)&lt;4),1,0)</f>
        <v>#N/A</v>
      </c>
      <c r="T1942" s="4" t="e">
        <f t="shared" si="152"/>
        <v>#N/A</v>
      </c>
      <c r="U1942" s="5" t="e">
        <f t="shared" si="153"/>
        <v>#N/A</v>
      </c>
      <c r="V1942" s="23" t="e">
        <f t="shared" si="154"/>
        <v>#N/A</v>
      </c>
    </row>
    <row r="1943" spans="2:22" x14ac:dyDescent="0.25">
      <c r="B1943" s="16">
        <v>0</v>
      </c>
      <c r="C1943" s="7">
        <v>0</v>
      </c>
      <c r="D1943" s="8">
        <v>1</v>
      </c>
      <c r="E1943" s="8">
        <v>0</v>
      </c>
      <c r="F1943" s="8">
        <v>1</v>
      </c>
      <c r="G1943" s="8">
        <v>0</v>
      </c>
      <c r="H1943" s="8">
        <v>0</v>
      </c>
      <c r="I1943" s="8">
        <v>1</v>
      </c>
      <c r="J1943" s="8">
        <v>1</v>
      </c>
      <c r="K1943" s="9">
        <v>1</v>
      </c>
      <c r="L1943" s="10">
        <v>1</v>
      </c>
      <c r="M1943" s="6">
        <v>0</v>
      </c>
      <c r="N1943" s="37" t="e" cm="1">
        <f t="array" ref="N1943">IF(OR(ISNUMBER(FIND(Aux!$D$3:$D$9,_xlfn.TEXTJOIN(,,C1943:K1943)))),NA(),IF(AND(SUM(C1943:F1943,H1943:K1943)=0,G1943=1),0,INT((SUMPRODUCT(C1943:F1943,COLUMN($A$1:$D$1)-1)+SUMPRODUCT(H1943:K1943,COLUMN($E$1:$H$1)-1))*'Line Follower'!$C$3/SUM(C1943:F1943,H1943:K1943)-'Line Follower'!$C$5)))</f>
        <v>#N/A</v>
      </c>
      <c r="O1943" s="22" t="e">
        <v>#N/A</v>
      </c>
      <c r="P1943" s="4" t="e">
        <f t="shared" si="150"/>
        <v>#N/A</v>
      </c>
      <c r="Q1943" s="4" t="e">
        <f t="shared" si="151"/>
        <v>#N/A</v>
      </c>
      <c r="R1943" s="4" t="e">
        <f>IF(AND(B1943=1,N1943&gt;'Line Follower'!$C$7,SUM(C1943:K1943)&lt;4),1,0)</f>
        <v>#N/A</v>
      </c>
      <c r="S1943" s="4" t="e">
        <f>IF(AND(L1943=1,N1943&lt;'Line Follower'!$C$6,SUM(C1943:K1943)&lt;4),1,0)</f>
        <v>#N/A</v>
      </c>
      <c r="T1943" s="4" t="e">
        <f t="shared" si="152"/>
        <v>#N/A</v>
      </c>
      <c r="U1943" s="5" t="e">
        <f t="shared" si="153"/>
        <v>#N/A</v>
      </c>
      <c r="V1943" s="23" t="e">
        <f t="shared" si="154"/>
        <v>#N/A</v>
      </c>
    </row>
    <row r="1944" spans="2:22" x14ac:dyDescent="0.25">
      <c r="B1944" s="16">
        <v>1</v>
      </c>
      <c r="C1944" s="7">
        <v>0</v>
      </c>
      <c r="D1944" s="8">
        <v>1</v>
      </c>
      <c r="E1944" s="8">
        <v>0</v>
      </c>
      <c r="F1944" s="8">
        <v>1</v>
      </c>
      <c r="G1944" s="8">
        <v>0</v>
      </c>
      <c r="H1944" s="8">
        <v>0</v>
      </c>
      <c r="I1944" s="8">
        <v>1</v>
      </c>
      <c r="J1944" s="8">
        <v>1</v>
      </c>
      <c r="K1944" s="9">
        <v>1</v>
      </c>
      <c r="L1944" s="10">
        <v>1</v>
      </c>
      <c r="M1944" s="6">
        <v>0</v>
      </c>
      <c r="N1944" s="37" t="e" cm="1">
        <f t="array" ref="N1944">IF(OR(ISNUMBER(FIND(Aux!$D$3:$D$9,_xlfn.TEXTJOIN(,,C1944:K1944)))),NA(),IF(AND(SUM(C1944:F1944,H1944:K1944)=0,G1944=1),0,INT((SUMPRODUCT(C1944:F1944,COLUMN($A$1:$D$1)-1)+SUMPRODUCT(H1944:K1944,COLUMN($E$1:$H$1)-1))*'Line Follower'!$C$3/SUM(C1944:F1944,H1944:K1944)-'Line Follower'!$C$5)))</f>
        <v>#N/A</v>
      </c>
      <c r="O1944" s="22" t="e">
        <v>#N/A</v>
      </c>
      <c r="P1944" s="4" t="e">
        <f t="shared" si="150"/>
        <v>#N/A</v>
      </c>
      <c r="Q1944" s="4" t="e">
        <f t="shared" si="151"/>
        <v>#N/A</v>
      </c>
      <c r="R1944" s="4" t="e">
        <f>IF(AND(B1944=1,N1944&gt;'Line Follower'!$C$7,SUM(C1944:K1944)&lt;4),1,0)</f>
        <v>#N/A</v>
      </c>
      <c r="S1944" s="4" t="e">
        <f>IF(AND(L1944=1,N1944&lt;'Line Follower'!$C$6,SUM(C1944:K1944)&lt;4),1,0)</f>
        <v>#N/A</v>
      </c>
      <c r="T1944" s="4" t="e">
        <f t="shared" si="152"/>
        <v>#N/A</v>
      </c>
      <c r="U1944" s="5" t="e">
        <f t="shared" si="153"/>
        <v>#N/A</v>
      </c>
      <c r="V1944" s="23" t="e">
        <f t="shared" si="154"/>
        <v>#N/A</v>
      </c>
    </row>
    <row r="1945" spans="2:22" x14ac:dyDescent="0.25">
      <c r="B1945" s="16">
        <v>0</v>
      </c>
      <c r="C1945" s="7">
        <v>1</v>
      </c>
      <c r="D1945" s="8">
        <v>1</v>
      </c>
      <c r="E1945" s="8">
        <v>0</v>
      </c>
      <c r="F1945" s="8">
        <v>1</v>
      </c>
      <c r="G1945" s="8">
        <v>0</v>
      </c>
      <c r="H1945" s="8">
        <v>0</v>
      </c>
      <c r="I1945" s="8">
        <v>1</v>
      </c>
      <c r="J1945" s="8">
        <v>1</v>
      </c>
      <c r="K1945" s="9">
        <v>1</v>
      </c>
      <c r="L1945" s="10">
        <v>1</v>
      </c>
      <c r="M1945" s="6">
        <v>0</v>
      </c>
      <c r="N1945" s="37" t="e" cm="1">
        <f t="array" ref="N1945">IF(OR(ISNUMBER(FIND(Aux!$D$3:$D$9,_xlfn.TEXTJOIN(,,C1945:K1945)))),NA(),IF(AND(SUM(C1945:F1945,H1945:K1945)=0,G1945=1),0,INT((SUMPRODUCT(C1945:F1945,COLUMN($A$1:$D$1)-1)+SUMPRODUCT(H1945:K1945,COLUMN($E$1:$H$1)-1))*'Line Follower'!$C$3/SUM(C1945:F1945,H1945:K1945)-'Line Follower'!$C$5)))</f>
        <v>#N/A</v>
      </c>
      <c r="O1945" s="22" t="e">
        <v>#N/A</v>
      </c>
      <c r="P1945" s="4" t="e">
        <f t="shared" si="150"/>
        <v>#N/A</v>
      </c>
      <c r="Q1945" s="4" t="e">
        <f t="shared" si="151"/>
        <v>#N/A</v>
      </c>
      <c r="R1945" s="4" t="e">
        <f>IF(AND(B1945=1,N1945&gt;'Line Follower'!$C$7,SUM(C1945:K1945)&lt;4),1,0)</f>
        <v>#N/A</v>
      </c>
      <c r="S1945" s="4" t="e">
        <f>IF(AND(L1945=1,N1945&lt;'Line Follower'!$C$6,SUM(C1945:K1945)&lt;4),1,0)</f>
        <v>#N/A</v>
      </c>
      <c r="T1945" s="4" t="e">
        <f t="shared" si="152"/>
        <v>#N/A</v>
      </c>
      <c r="U1945" s="5" t="e">
        <f t="shared" si="153"/>
        <v>#N/A</v>
      </c>
      <c r="V1945" s="23" t="e">
        <f t="shared" si="154"/>
        <v>#N/A</v>
      </c>
    </row>
    <row r="1946" spans="2:22" x14ac:dyDescent="0.25">
      <c r="B1946" s="16">
        <v>1</v>
      </c>
      <c r="C1946" s="7">
        <v>1</v>
      </c>
      <c r="D1946" s="8">
        <v>1</v>
      </c>
      <c r="E1946" s="8">
        <v>0</v>
      </c>
      <c r="F1946" s="8">
        <v>1</v>
      </c>
      <c r="G1946" s="8">
        <v>0</v>
      </c>
      <c r="H1946" s="8">
        <v>0</v>
      </c>
      <c r="I1946" s="8">
        <v>1</v>
      </c>
      <c r="J1946" s="8">
        <v>1</v>
      </c>
      <c r="K1946" s="9">
        <v>1</v>
      </c>
      <c r="L1946" s="10">
        <v>1</v>
      </c>
      <c r="M1946" s="6">
        <v>0</v>
      </c>
      <c r="N1946" s="37" t="e" cm="1">
        <f t="array" ref="N1946">IF(OR(ISNUMBER(FIND(Aux!$D$3:$D$9,_xlfn.TEXTJOIN(,,C1946:K1946)))),NA(),IF(AND(SUM(C1946:F1946,H1946:K1946)=0,G1946=1),0,INT((SUMPRODUCT(C1946:F1946,COLUMN($A$1:$D$1)-1)+SUMPRODUCT(H1946:K1946,COLUMN($E$1:$H$1)-1))*'Line Follower'!$C$3/SUM(C1946:F1946,H1946:K1946)-'Line Follower'!$C$5)))</f>
        <v>#N/A</v>
      </c>
      <c r="O1946" s="22" t="e">
        <v>#N/A</v>
      </c>
      <c r="P1946" s="4" t="e">
        <f t="shared" si="150"/>
        <v>#N/A</v>
      </c>
      <c r="Q1946" s="4" t="e">
        <f t="shared" si="151"/>
        <v>#N/A</v>
      </c>
      <c r="R1946" s="4" t="e">
        <f>IF(AND(B1946=1,N1946&gt;'Line Follower'!$C$7,SUM(C1946:K1946)&lt;4),1,0)</f>
        <v>#N/A</v>
      </c>
      <c r="S1946" s="4" t="e">
        <f>IF(AND(L1946=1,N1946&lt;'Line Follower'!$C$6,SUM(C1946:K1946)&lt;4),1,0)</f>
        <v>#N/A</v>
      </c>
      <c r="T1946" s="4" t="e">
        <f t="shared" si="152"/>
        <v>#N/A</v>
      </c>
      <c r="U1946" s="5" t="e">
        <f t="shared" si="153"/>
        <v>#N/A</v>
      </c>
      <c r="V1946" s="23" t="e">
        <f t="shared" si="154"/>
        <v>#N/A</v>
      </c>
    </row>
    <row r="1947" spans="2:22" x14ac:dyDescent="0.25">
      <c r="B1947" s="16">
        <v>0</v>
      </c>
      <c r="C1947" s="7">
        <v>0</v>
      </c>
      <c r="D1947" s="8">
        <v>0</v>
      </c>
      <c r="E1947" s="8">
        <v>1</v>
      </c>
      <c r="F1947" s="8">
        <v>1</v>
      </c>
      <c r="G1947" s="8">
        <v>0</v>
      </c>
      <c r="H1947" s="8">
        <v>0</v>
      </c>
      <c r="I1947" s="8">
        <v>1</v>
      </c>
      <c r="J1947" s="8">
        <v>1</v>
      </c>
      <c r="K1947" s="9">
        <v>1</v>
      </c>
      <c r="L1947" s="10">
        <v>1</v>
      </c>
      <c r="M1947" s="6">
        <v>0</v>
      </c>
      <c r="N1947" s="37" t="e" cm="1">
        <f t="array" ref="N1947">IF(OR(ISNUMBER(FIND(Aux!$D$3:$D$9,_xlfn.TEXTJOIN(,,C1947:K1947)))),NA(),IF(AND(SUM(C1947:F1947,H1947:K1947)=0,G1947=1),0,INT((SUMPRODUCT(C1947:F1947,COLUMN($A$1:$D$1)-1)+SUMPRODUCT(H1947:K1947,COLUMN($E$1:$H$1)-1))*'Line Follower'!$C$3/SUM(C1947:F1947,H1947:K1947)-'Line Follower'!$C$5)))</f>
        <v>#N/A</v>
      </c>
      <c r="O1947" s="22" t="e">
        <v>#N/A</v>
      </c>
      <c r="P1947" s="4" t="e">
        <f t="shared" si="150"/>
        <v>#N/A</v>
      </c>
      <c r="Q1947" s="4" t="e">
        <f t="shared" si="151"/>
        <v>#N/A</v>
      </c>
      <c r="R1947" s="4" t="e">
        <f>IF(AND(B1947=1,N1947&gt;'Line Follower'!$C$7,SUM(C1947:K1947)&lt;4),1,0)</f>
        <v>#N/A</v>
      </c>
      <c r="S1947" s="4" t="e">
        <f>IF(AND(L1947=1,N1947&lt;'Line Follower'!$C$6,SUM(C1947:K1947)&lt;4),1,0)</f>
        <v>#N/A</v>
      </c>
      <c r="T1947" s="4" t="e">
        <f t="shared" si="152"/>
        <v>#N/A</v>
      </c>
      <c r="U1947" s="5" t="e">
        <f t="shared" si="153"/>
        <v>#N/A</v>
      </c>
      <c r="V1947" s="23" t="e">
        <f t="shared" si="154"/>
        <v>#N/A</v>
      </c>
    </row>
    <row r="1948" spans="2:22" x14ac:dyDescent="0.25">
      <c r="B1948" s="16">
        <v>1</v>
      </c>
      <c r="C1948" s="7">
        <v>0</v>
      </c>
      <c r="D1948" s="8">
        <v>0</v>
      </c>
      <c r="E1948" s="8">
        <v>1</v>
      </c>
      <c r="F1948" s="8">
        <v>1</v>
      </c>
      <c r="G1948" s="8">
        <v>0</v>
      </c>
      <c r="H1948" s="8">
        <v>0</v>
      </c>
      <c r="I1948" s="8">
        <v>1</v>
      </c>
      <c r="J1948" s="8">
        <v>1</v>
      </c>
      <c r="K1948" s="9">
        <v>1</v>
      </c>
      <c r="L1948" s="10">
        <v>1</v>
      </c>
      <c r="M1948" s="6">
        <v>0</v>
      </c>
      <c r="N1948" s="37" t="e" cm="1">
        <f t="array" ref="N1948">IF(OR(ISNUMBER(FIND(Aux!$D$3:$D$9,_xlfn.TEXTJOIN(,,C1948:K1948)))),NA(),IF(AND(SUM(C1948:F1948,H1948:K1948)=0,G1948=1),0,INT((SUMPRODUCT(C1948:F1948,COLUMN($A$1:$D$1)-1)+SUMPRODUCT(H1948:K1948,COLUMN($E$1:$H$1)-1))*'Line Follower'!$C$3/SUM(C1948:F1948,H1948:K1948)-'Line Follower'!$C$5)))</f>
        <v>#N/A</v>
      </c>
      <c r="O1948" s="22" t="e">
        <v>#N/A</v>
      </c>
      <c r="P1948" s="4" t="e">
        <f t="shared" si="150"/>
        <v>#N/A</v>
      </c>
      <c r="Q1948" s="4" t="e">
        <f t="shared" si="151"/>
        <v>#N/A</v>
      </c>
      <c r="R1948" s="4" t="e">
        <f>IF(AND(B1948=1,N1948&gt;'Line Follower'!$C$7,SUM(C1948:K1948)&lt;4),1,0)</f>
        <v>#N/A</v>
      </c>
      <c r="S1948" s="4" t="e">
        <f>IF(AND(L1948=1,N1948&lt;'Line Follower'!$C$6,SUM(C1948:K1948)&lt;4),1,0)</f>
        <v>#N/A</v>
      </c>
      <c r="T1948" s="4" t="e">
        <f t="shared" si="152"/>
        <v>#N/A</v>
      </c>
      <c r="U1948" s="5" t="e">
        <f t="shared" si="153"/>
        <v>#N/A</v>
      </c>
      <c r="V1948" s="23" t="e">
        <f t="shared" si="154"/>
        <v>#N/A</v>
      </c>
    </row>
    <row r="1949" spans="2:22" x14ac:dyDescent="0.25">
      <c r="B1949" s="16">
        <v>0</v>
      </c>
      <c r="C1949" s="7">
        <v>1</v>
      </c>
      <c r="D1949" s="8">
        <v>0</v>
      </c>
      <c r="E1949" s="8">
        <v>1</v>
      </c>
      <c r="F1949" s="8">
        <v>1</v>
      </c>
      <c r="G1949" s="8">
        <v>0</v>
      </c>
      <c r="H1949" s="8">
        <v>0</v>
      </c>
      <c r="I1949" s="8">
        <v>1</v>
      </c>
      <c r="J1949" s="8">
        <v>1</v>
      </c>
      <c r="K1949" s="9">
        <v>1</v>
      </c>
      <c r="L1949" s="10">
        <v>1</v>
      </c>
      <c r="M1949" s="6">
        <v>0</v>
      </c>
      <c r="N1949" s="37" t="e" cm="1">
        <f t="array" ref="N1949">IF(OR(ISNUMBER(FIND(Aux!$D$3:$D$9,_xlfn.TEXTJOIN(,,C1949:K1949)))),NA(),IF(AND(SUM(C1949:F1949,H1949:K1949)=0,G1949=1),0,INT((SUMPRODUCT(C1949:F1949,COLUMN($A$1:$D$1)-1)+SUMPRODUCT(H1949:K1949,COLUMN($E$1:$H$1)-1))*'Line Follower'!$C$3/SUM(C1949:F1949,H1949:K1949)-'Line Follower'!$C$5)))</f>
        <v>#N/A</v>
      </c>
      <c r="O1949" s="22" t="e">
        <v>#N/A</v>
      </c>
      <c r="P1949" s="4" t="e">
        <f t="shared" si="150"/>
        <v>#N/A</v>
      </c>
      <c r="Q1949" s="4" t="e">
        <f t="shared" si="151"/>
        <v>#N/A</v>
      </c>
      <c r="R1949" s="4" t="e">
        <f>IF(AND(B1949=1,N1949&gt;'Line Follower'!$C$7,SUM(C1949:K1949)&lt;4),1,0)</f>
        <v>#N/A</v>
      </c>
      <c r="S1949" s="4" t="e">
        <f>IF(AND(L1949=1,N1949&lt;'Line Follower'!$C$6,SUM(C1949:K1949)&lt;4),1,0)</f>
        <v>#N/A</v>
      </c>
      <c r="T1949" s="4" t="e">
        <f t="shared" si="152"/>
        <v>#N/A</v>
      </c>
      <c r="U1949" s="5" t="e">
        <f t="shared" si="153"/>
        <v>#N/A</v>
      </c>
      <c r="V1949" s="23" t="e">
        <f t="shared" si="154"/>
        <v>#N/A</v>
      </c>
    </row>
    <row r="1950" spans="2:22" x14ac:dyDescent="0.25">
      <c r="B1950" s="16">
        <v>1</v>
      </c>
      <c r="C1950" s="7">
        <v>1</v>
      </c>
      <c r="D1950" s="8">
        <v>0</v>
      </c>
      <c r="E1950" s="8">
        <v>1</v>
      </c>
      <c r="F1950" s="8">
        <v>1</v>
      </c>
      <c r="G1950" s="8">
        <v>0</v>
      </c>
      <c r="H1950" s="8">
        <v>0</v>
      </c>
      <c r="I1950" s="8">
        <v>1</v>
      </c>
      <c r="J1950" s="8">
        <v>1</v>
      </c>
      <c r="K1950" s="9">
        <v>1</v>
      </c>
      <c r="L1950" s="10">
        <v>1</v>
      </c>
      <c r="M1950" s="6">
        <v>0</v>
      </c>
      <c r="N1950" s="37" t="e" cm="1">
        <f t="array" ref="N1950">IF(OR(ISNUMBER(FIND(Aux!$D$3:$D$9,_xlfn.TEXTJOIN(,,C1950:K1950)))),NA(),IF(AND(SUM(C1950:F1950,H1950:K1950)=0,G1950=1),0,INT((SUMPRODUCT(C1950:F1950,COLUMN($A$1:$D$1)-1)+SUMPRODUCT(H1950:K1950,COLUMN($E$1:$H$1)-1))*'Line Follower'!$C$3/SUM(C1950:F1950,H1950:K1950)-'Line Follower'!$C$5)))</f>
        <v>#N/A</v>
      </c>
      <c r="O1950" s="22" t="e">
        <v>#N/A</v>
      </c>
      <c r="P1950" s="4" t="e">
        <f t="shared" si="150"/>
        <v>#N/A</v>
      </c>
      <c r="Q1950" s="4" t="e">
        <f t="shared" si="151"/>
        <v>#N/A</v>
      </c>
      <c r="R1950" s="4" t="e">
        <f>IF(AND(B1950=1,N1950&gt;'Line Follower'!$C$7,SUM(C1950:K1950)&lt;4),1,0)</f>
        <v>#N/A</v>
      </c>
      <c r="S1950" s="4" t="e">
        <f>IF(AND(L1950=1,N1950&lt;'Line Follower'!$C$6,SUM(C1950:K1950)&lt;4),1,0)</f>
        <v>#N/A</v>
      </c>
      <c r="T1950" s="4" t="e">
        <f t="shared" si="152"/>
        <v>#N/A</v>
      </c>
      <c r="U1950" s="5" t="e">
        <f t="shared" si="153"/>
        <v>#N/A</v>
      </c>
      <c r="V1950" s="23" t="e">
        <f t="shared" si="154"/>
        <v>#N/A</v>
      </c>
    </row>
    <row r="1951" spans="2:22" x14ac:dyDescent="0.25">
      <c r="B1951" s="16">
        <v>0</v>
      </c>
      <c r="C1951" s="7">
        <v>0</v>
      </c>
      <c r="D1951" s="8">
        <v>1</v>
      </c>
      <c r="E1951" s="8">
        <v>1</v>
      </c>
      <c r="F1951" s="8">
        <v>1</v>
      </c>
      <c r="G1951" s="8">
        <v>0</v>
      </c>
      <c r="H1951" s="8">
        <v>0</v>
      </c>
      <c r="I1951" s="8">
        <v>1</v>
      </c>
      <c r="J1951" s="8">
        <v>1</v>
      </c>
      <c r="K1951" s="9">
        <v>1</v>
      </c>
      <c r="L1951" s="10">
        <v>1</v>
      </c>
      <c r="M1951" s="6">
        <v>0</v>
      </c>
      <c r="N1951" s="37" t="e" cm="1">
        <f t="array" ref="N1951">IF(OR(ISNUMBER(FIND(Aux!$D$3:$D$9,_xlfn.TEXTJOIN(,,C1951:K1951)))),NA(),IF(AND(SUM(C1951:F1951,H1951:K1951)=0,G1951=1),0,INT((SUMPRODUCT(C1951:F1951,COLUMN($A$1:$D$1)-1)+SUMPRODUCT(H1951:K1951,COLUMN($E$1:$H$1)-1))*'Line Follower'!$C$3/SUM(C1951:F1951,H1951:K1951)-'Line Follower'!$C$5)))</f>
        <v>#N/A</v>
      </c>
      <c r="O1951" s="22" t="e">
        <v>#N/A</v>
      </c>
      <c r="P1951" s="4" t="e">
        <f t="shared" si="150"/>
        <v>#N/A</v>
      </c>
      <c r="Q1951" s="4" t="e">
        <f t="shared" si="151"/>
        <v>#N/A</v>
      </c>
      <c r="R1951" s="4" t="e">
        <f>IF(AND(B1951=1,N1951&gt;'Line Follower'!$C$7,SUM(C1951:K1951)&lt;4),1,0)</f>
        <v>#N/A</v>
      </c>
      <c r="S1951" s="4" t="e">
        <f>IF(AND(L1951=1,N1951&lt;'Line Follower'!$C$6,SUM(C1951:K1951)&lt;4),1,0)</f>
        <v>#N/A</v>
      </c>
      <c r="T1951" s="4" t="e">
        <f t="shared" si="152"/>
        <v>#N/A</v>
      </c>
      <c r="U1951" s="5" t="e">
        <f t="shared" si="153"/>
        <v>#N/A</v>
      </c>
      <c r="V1951" s="23" t="e">
        <f t="shared" si="154"/>
        <v>#N/A</v>
      </c>
    </row>
    <row r="1952" spans="2:22" x14ac:dyDescent="0.25">
      <c r="B1952" s="16">
        <v>1</v>
      </c>
      <c r="C1952" s="7">
        <v>0</v>
      </c>
      <c r="D1952" s="8">
        <v>1</v>
      </c>
      <c r="E1952" s="8">
        <v>1</v>
      </c>
      <c r="F1952" s="8">
        <v>1</v>
      </c>
      <c r="G1952" s="8">
        <v>0</v>
      </c>
      <c r="H1952" s="8">
        <v>0</v>
      </c>
      <c r="I1952" s="8">
        <v>1</v>
      </c>
      <c r="J1952" s="8">
        <v>1</v>
      </c>
      <c r="K1952" s="9">
        <v>1</v>
      </c>
      <c r="L1952" s="10">
        <v>1</v>
      </c>
      <c r="M1952" s="6">
        <v>0</v>
      </c>
      <c r="N1952" s="37" t="e" cm="1">
        <f t="array" ref="N1952">IF(OR(ISNUMBER(FIND(Aux!$D$3:$D$9,_xlfn.TEXTJOIN(,,C1952:K1952)))),NA(),IF(AND(SUM(C1952:F1952,H1952:K1952)=0,G1952=1),0,INT((SUMPRODUCT(C1952:F1952,COLUMN($A$1:$D$1)-1)+SUMPRODUCT(H1952:K1952,COLUMN($E$1:$H$1)-1))*'Line Follower'!$C$3/SUM(C1952:F1952,H1952:K1952)-'Line Follower'!$C$5)))</f>
        <v>#N/A</v>
      </c>
      <c r="O1952" s="22" t="e">
        <v>#N/A</v>
      </c>
      <c r="P1952" s="4" t="e">
        <f t="shared" si="150"/>
        <v>#N/A</v>
      </c>
      <c r="Q1952" s="4" t="e">
        <f t="shared" si="151"/>
        <v>#N/A</v>
      </c>
      <c r="R1952" s="4" t="e">
        <f>IF(AND(B1952=1,N1952&gt;'Line Follower'!$C$7,SUM(C1952:K1952)&lt;4),1,0)</f>
        <v>#N/A</v>
      </c>
      <c r="S1952" s="4" t="e">
        <f>IF(AND(L1952=1,N1952&lt;'Line Follower'!$C$6,SUM(C1952:K1952)&lt;4),1,0)</f>
        <v>#N/A</v>
      </c>
      <c r="T1952" s="4" t="e">
        <f t="shared" si="152"/>
        <v>#N/A</v>
      </c>
      <c r="U1952" s="5" t="e">
        <f t="shared" si="153"/>
        <v>#N/A</v>
      </c>
      <c r="V1952" s="23" t="e">
        <f t="shared" si="154"/>
        <v>#N/A</v>
      </c>
    </row>
    <row r="1953" spans="2:22" x14ac:dyDescent="0.25">
      <c r="B1953" s="16">
        <v>0</v>
      </c>
      <c r="C1953" s="7">
        <v>1</v>
      </c>
      <c r="D1953" s="8">
        <v>1</v>
      </c>
      <c r="E1953" s="8">
        <v>1</v>
      </c>
      <c r="F1953" s="8">
        <v>1</v>
      </c>
      <c r="G1953" s="8">
        <v>0</v>
      </c>
      <c r="H1953" s="8">
        <v>0</v>
      </c>
      <c r="I1953" s="8">
        <v>1</v>
      </c>
      <c r="J1953" s="8">
        <v>1</v>
      </c>
      <c r="K1953" s="9">
        <v>1</v>
      </c>
      <c r="L1953" s="10">
        <v>1</v>
      </c>
      <c r="M1953" s="6">
        <v>0</v>
      </c>
      <c r="N1953" s="37" t="e" cm="1">
        <f t="array" ref="N1953">IF(OR(ISNUMBER(FIND(Aux!$D$3:$D$9,_xlfn.TEXTJOIN(,,C1953:K1953)))),NA(),IF(AND(SUM(C1953:F1953,H1953:K1953)=0,G1953=1),0,INT((SUMPRODUCT(C1953:F1953,COLUMN($A$1:$D$1)-1)+SUMPRODUCT(H1953:K1953,COLUMN($E$1:$H$1)-1))*'Line Follower'!$C$3/SUM(C1953:F1953,H1953:K1953)-'Line Follower'!$C$5)))</f>
        <v>#N/A</v>
      </c>
      <c r="O1953" s="22" t="e">
        <v>#N/A</v>
      </c>
      <c r="P1953" s="4" t="e">
        <f t="shared" si="150"/>
        <v>#N/A</v>
      </c>
      <c r="Q1953" s="4" t="e">
        <f t="shared" si="151"/>
        <v>#N/A</v>
      </c>
      <c r="R1953" s="4" t="e">
        <f>IF(AND(B1953=1,N1953&gt;'Line Follower'!$C$7,SUM(C1953:K1953)&lt;4),1,0)</f>
        <v>#N/A</v>
      </c>
      <c r="S1953" s="4" t="e">
        <f>IF(AND(L1953=1,N1953&lt;'Line Follower'!$C$6,SUM(C1953:K1953)&lt;4),1,0)</f>
        <v>#N/A</v>
      </c>
      <c r="T1953" s="4" t="e">
        <f t="shared" si="152"/>
        <v>#N/A</v>
      </c>
      <c r="U1953" s="5" t="e">
        <f t="shared" si="153"/>
        <v>#N/A</v>
      </c>
      <c r="V1953" s="23" t="e">
        <f t="shared" si="154"/>
        <v>#N/A</v>
      </c>
    </row>
    <row r="1954" spans="2:22" x14ac:dyDescent="0.25">
      <c r="B1954" s="16">
        <v>1</v>
      </c>
      <c r="C1954" s="7">
        <v>1</v>
      </c>
      <c r="D1954" s="8">
        <v>1</v>
      </c>
      <c r="E1954" s="8">
        <v>1</v>
      </c>
      <c r="F1954" s="8">
        <v>1</v>
      </c>
      <c r="G1954" s="8">
        <v>0</v>
      </c>
      <c r="H1954" s="8">
        <v>0</v>
      </c>
      <c r="I1954" s="8">
        <v>1</v>
      </c>
      <c r="J1954" s="8">
        <v>1</v>
      </c>
      <c r="K1954" s="9">
        <v>1</v>
      </c>
      <c r="L1954" s="10">
        <v>1</v>
      </c>
      <c r="M1954" s="6">
        <v>0</v>
      </c>
      <c r="N1954" s="37" t="e" cm="1">
        <f t="array" ref="N1954">IF(OR(ISNUMBER(FIND(Aux!$D$3:$D$9,_xlfn.TEXTJOIN(,,C1954:K1954)))),NA(),IF(AND(SUM(C1954:F1954,H1954:K1954)=0,G1954=1),0,INT((SUMPRODUCT(C1954:F1954,COLUMN($A$1:$D$1)-1)+SUMPRODUCT(H1954:K1954,COLUMN($E$1:$H$1)-1))*'Line Follower'!$C$3/SUM(C1954:F1954,H1954:K1954)-'Line Follower'!$C$5)))</f>
        <v>#N/A</v>
      </c>
      <c r="O1954" s="22" t="e">
        <v>#N/A</v>
      </c>
      <c r="P1954" s="4" t="e">
        <f t="shared" si="150"/>
        <v>#N/A</v>
      </c>
      <c r="Q1954" s="4" t="e">
        <f t="shared" si="151"/>
        <v>#N/A</v>
      </c>
      <c r="R1954" s="4" t="e">
        <f>IF(AND(B1954=1,N1954&gt;'Line Follower'!$C$7,SUM(C1954:K1954)&lt;4),1,0)</f>
        <v>#N/A</v>
      </c>
      <c r="S1954" s="4" t="e">
        <f>IF(AND(L1954=1,N1954&lt;'Line Follower'!$C$6,SUM(C1954:K1954)&lt;4),1,0)</f>
        <v>#N/A</v>
      </c>
      <c r="T1954" s="4" t="e">
        <f t="shared" si="152"/>
        <v>#N/A</v>
      </c>
      <c r="U1954" s="5" t="e">
        <f t="shared" si="153"/>
        <v>#N/A</v>
      </c>
      <c r="V1954" s="23" t="e">
        <f t="shared" si="154"/>
        <v>#N/A</v>
      </c>
    </row>
    <row r="1955" spans="2:22" x14ac:dyDescent="0.25">
      <c r="B1955" s="16">
        <v>0</v>
      </c>
      <c r="C1955" s="7">
        <v>0</v>
      </c>
      <c r="D1955" s="8">
        <v>0</v>
      </c>
      <c r="E1955" s="8">
        <v>0</v>
      </c>
      <c r="F1955" s="8">
        <v>0</v>
      </c>
      <c r="G1955" s="8">
        <v>1</v>
      </c>
      <c r="H1955" s="8">
        <v>0</v>
      </c>
      <c r="I1955" s="8">
        <v>1</v>
      </c>
      <c r="J1955" s="8">
        <v>1</v>
      </c>
      <c r="K1955" s="9">
        <v>1</v>
      </c>
      <c r="L1955" s="10">
        <v>1</v>
      </c>
      <c r="M1955" s="6">
        <v>0</v>
      </c>
      <c r="N1955" s="37" t="e" cm="1">
        <f t="array" ref="N1955">IF(OR(ISNUMBER(FIND(Aux!$D$3:$D$9,_xlfn.TEXTJOIN(,,C1955:K1955)))),NA(),IF(AND(SUM(C1955:F1955,H1955:K1955)=0,G1955=1),0,INT((SUMPRODUCT(C1955:F1955,COLUMN($A$1:$D$1)-1)+SUMPRODUCT(H1955:K1955,COLUMN($E$1:$H$1)-1))*'Line Follower'!$C$3/SUM(C1955:F1955,H1955:K1955)-'Line Follower'!$C$5)))</f>
        <v>#N/A</v>
      </c>
      <c r="O1955" s="22" t="e">
        <v>#N/A</v>
      </c>
      <c r="P1955" s="4" t="e">
        <f t="shared" si="150"/>
        <v>#N/A</v>
      </c>
      <c r="Q1955" s="4" t="e">
        <f t="shared" si="151"/>
        <v>#N/A</v>
      </c>
      <c r="R1955" s="4" t="e">
        <f>IF(AND(B1955=1,N1955&gt;'Line Follower'!$C$7,SUM(C1955:K1955)&lt;4),1,0)</f>
        <v>#N/A</v>
      </c>
      <c r="S1955" s="4" t="e">
        <f>IF(AND(L1955=1,N1955&lt;'Line Follower'!$C$6,SUM(C1955:K1955)&lt;4),1,0)</f>
        <v>#N/A</v>
      </c>
      <c r="T1955" s="4" t="e">
        <f t="shared" si="152"/>
        <v>#N/A</v>
      </c>
      <c r="U1955" s="5" t="e">
        <f t="shared" si="153"/>
        <v>#N/A</v>
      </c>
      <c r="V1955" s="23" t="e">
        <f t="shared" si="154"/>
        <v>#N/A</v>
      </c>
    </row>
    <row r="1956" spans="2:22" x14ac:dyDescent="0.25">
      <c r="B1956" s="16">
        <v>1</v>
      </c>
      <c r="C1956" s="7">
        <v>0</v>
      </c>
      <c r="D1956" s="8">
        <v>0</v>
      </c>
      <c r="E1956" s="8">
        <v>0</v>
      </c>
      <c r="F1956" s="8">
        <v>0</v>
      </c>
      <c r="G1956" s="8">
        <v>1</v>
      </c>
      <c r="H1956" s="8">
        <v>0</v>
      </c>
      <c r="I1956" s="8">
        <v>1</v>
      </c>
      <c r="J1956" s="8">
        <v>1</v>
      </c>
      <c r="K1956" s="9">
        <v>1</v>
      </c>
      <c r="L1956" s="10">
        <v>1</v>
      </c>
      <c r="M1956" s="6">
        <v>0</v>
      </c>
      <c r="N1956" s="37" t="e" cm="1">
        <f t="array" ref="N1956">IF(OR(ISNUMBER(FIND(Aux!$D$3:$D$9,_xlfn.TEXTJOIN(,,C1956:K1956)))),NA(),IF(AND(SUM(C1956:F1956,H1956:K1956)=0,G1956=1),0,INT((SUMPRODUCT(C1956:F1956,COLUMN($A$1:$D$1)-1)+SUMPRODUCT(H1956:K1956,COLUMN($E$1:$H$1)-1))*'Line Follower'!$C$3/SUM(C1956:F1956,H1956:K1956)-'Line Follower'!$C$5)))</f>
        <v>#N/A</v>
      </c>
      <c r="O1956" s="22" t="e">
        <v>#N/A</v>
      </c>
      <c r="P1956" s="4" t="e">
        <f t="shared" si="150"/>
        <v>#N/A</v>
      </c>
      <c r="Q1956" s="4" t="e">
        <f t="shared" si="151"/>
        <v>#N/A</v>
      </c>
      <c r="R1956" s="4" t="e">
        <f>IF(AND(B1956=1,N1956&gt;'Line Follower'!$C$7,SUM(C1956:K1956)&lt;4),1,0)</f>
        <v>#N/A</v>
      </c>
      <c r="S1956" s="4" t="e">
        <f>IF(AND(L1956=1,N1956&lt;'Line Follower'!$C$6,SUM(C1956:K1956)&lt;4),1,0)</f>
        <v>#N/A</v>
      </c>
      <c r="T1956" s="4" t="e">
        <f t="shared" si="152"/>
        <v>#N/A</v>
      </c>
      <c r="U1956" s="5" t="e">
        <f t="shared" si="153"/>
        <v>#N/A</v>
      </c>
      <c r="V1956" s="23" t="e">
        <f t="shared" si="154"/>
        <v>#N/A</v>
      </c>
    </row>
    <row r="1957" spans="2:22" x14ac:dyDescent="0.25">
      <c r="B1957" s="16">
        <v>0</v>
      </c>
      <c r="C1957" s="7">
        <v>1</v>
      </c>
      <c r="D1957" s="8">
        <v>0</v>
      </c>
      <c r="E1957" s="8">
        <v>0</v>
      </c>
      <c r="F1957" s="8">
        <v>0</v>
      </c>
      <c r="G1957" s="8">
        <v>1</v>
      </c>
      <c r="H1957" s="8">
        <v>0</v>
      </c>
      <c r="I1957" s="8">
        <v>1</v>
      </c>
      <c r="J1957" s="8">
        <v>1</v>
      </c>
      <c r="K1957" s="9">
        <v>1</v>
      </c>
      <c r="L1957" s="10">
        <v>1</v>
      </c>
      <c r="M1957" s="6">
        <v>0</v>
      </c>
      <c r="N1957" s="37" t="e" cm="1">
        <f t="array" ref="N1957">IF(OR(ISNUMBER(FIND(Aux!$D$3:$D$9,_xlfn.TEXTJOIN(,,C1957:K1957)))),NA(),IF(AND(SUM(C1957:F1957,H1957:K1957)=0,G1957=1),0,INT((SUMPRODUCT(C1957:F1957,COLUMN($A$1:$D$1)-1)+SUMPRODUCT(H1957:K1957,COLUMN($E$1:$H$1)-1))*'Line Follower'!$C$3/SUM(C1957:F1957,H1957:K1957)-'Line Follower'!$C$5)))</f>
        <v>#N/A</v>
      </c>
      <c r="O1957" s="22" t="e">
        <v>#N/A</v>
      </c>
      <c r="P1957" s="4" t="e">
        <f t="shared" si="150"/>
        <v>#N/A</v>
      </c>
      <c r="Q1957" s="4" t="e">
        <f t="shared" si="151"/>
        <v>#N/A</v>
      </c>
      <c r="R1957" s="4" t="e">
        <f>IF(AND(B1957=1,N1957&gt;'Line Follower'!$C$7,SUM(C1957:K1957)&lt;4),1,0)</f>
        <v>#N/A</v>
      </c>
      <c r="S1957" s="4" t="e">
        <f>IF(AND(L1957=1,N1957&lt;'Line Follower'!$C$6,SUM(C1957:K1957)&lt;4),1,0)</f>
        <v>#N/A</v>
      </c>
      <c r="T1957" s="4" t="e">
        <f t="shared" si="152"/>
        <v>#N/A</v>
      </c>
      <c r="U1957" s="5" t="e">
        <f t="shared" si="153"/>
        <v>#N/A</v>
      </c>
      <c r="V1957" s="23" t="e">
        <f t="shared" si="154"/>
        <v>#N/A</v>
      </c>
    </row>
    <row r="1958" spans="2:22" x14ac:dyDescent="0.25">
      <c r="B1958" s="16">
        <v>1</v>
      </c>
      <c r="C1958" s="7">
        <v>1</v>
      </c>
      <c r="D1958" s="8">
        <v>0</v>
      </c>
      <c r="E1958" s="8">
        <v>0</v>
      </c>
      <c r="F1958" s="8">
        <v>0</v>
      </c>
      <c r="G1958" s="8">
        <v>1</v>
      </c>
      <c r="H1958" s="8">
        <v>0</v>
      </c>
      <c r="I1958" s="8">
        <v>1</v>
      </c>
      <c r="J1958" s="8">
        <v>1</v>
      </c>
      <c r="K1958" s="9">
        <v>1</v>
      </c>
      <c r="L1958" s="10">
        <v>1</v>
      </c>
      <c r="M1958" s="6">
        <v>0</v>
      </c>
      <c r="N1958" s="37" t="e" cm="1">
        <f t="array" ref="N1958">IF(OR(ISNUMBER(FIND(Aux!$D$3:$D$9,_xlfn.TEXTJOIN(,,C1958:K1958)))),NA(),IF(AND(SUM(C1958:F1958,H1958:K1958)=0,G1958=1),0,INT((SUMPRODUCT(C1958:F1958,COLUMN($A$1:$D$1)-1)+SUMPRODUCT(H1958:K1958,COLUMN($E$1:$H$1)-1))*'Line Follower'!$C$3/SUM(C1958:F1958,H1958:K1958)-'Line Follower'!$C$5)))</f>
        <v>#N/A</v>
      </c>
      <c r="O1958" s="22" t="e">
        <v>#N/A</v>
      </c>
      <c r="P1958" s="4" t="e">
        <f t="shared" si="150"/>
        <v>#N/A</v>
      </c>
      <c r="Q1958" s="4" t="e">
        <f t="shared" si="151"/>
        <v>#N/A</v>
      </c>
      <c r="R1958" s="4" t="e">
        <f>IF(AND(B1958=1,N1958&gt;'Line Follower'!$C$7,SUM(C1958:K1958)&lt;4),1,0)</f>
        <v>#N/A</v>
      </c>
      <c r="S1958" s="4" t="e">
        <f>IF(AND(L1958=1,N1958&lt;'Line Follower'!$C$6,SUM(C1958:K1958)&lt;4),1,0)</f>
        <v>#N/A</v>
      </c>
      <c r="T1958" s="4" t="e">
        <f t="shared" si="152"/>
        <v>#N/A</v>
      </c>
      <c r="U1958" s="5" t="e">
        <f t="shared" si="153"/>
        <v>#N/A</v>
      </c>
      <c r="V1958" s="23" t="e">
        <f t="shared" si="154"/>
        <v>#N/A</v>
      </c>
    </row>
    <row r="1959" spans="2:22" x14ac:dyDescent="0.25">
      <c r="B1959" s="16">
        <v>0</v>
      </c>
      <c r="C1959" s="7">
        <v>0</v>
      </c>
      <c r="D1959" s="8">
        <v>1</v>
      </c>
      <c r="E1959" s="8">
        <v>0</v>
      </c>
      <c r="F1959" s="8">
        <v>0</v>
      </c>
      <c r="G1959" s="8">
        <v>1</v>
      </c>
      <c r="H1959" s="8">
        <v>0</v>
      </c>
      <c r="I1959" s="8">
        <v>1</v>
      </c>
      <c r="J1959" s="8">
        <v>1</v>
      </c>
      <c r="K1959" s="9">
        <v>1</v>
      </c>
      <c r="L1959" s="10">
        <v>1</v>
      </c>
      <c r="M1959" s="6">
        <v>0</v>
      </c>
      <c r="N1959" s="37" t="e" cm="1">
        <f t="array" ref="N1959">IF(OR(ISNUMBER(FIND(Aux!$D$3:$D$9,_xlfn.TEXTJOIN(,,C1959:K1959)))),NA(),IF(AND(SUM(C1959:F1959,H1959:K1959)=0,G1959=1),0,INT((SUMPRODUCT(C1959:F1959,COLUMN($A$1:$D$1)-1)+SUMPRODUCT(H1959:K1959,COLUMN($E$1:$H$1)-1))*'Line Follower'!$C$3/SUM(C1959:F1959,H1959:K1959)-'Line Follower'!$C$5)))</f>
        <v>#N/A</v>
      </c>
      <c r="O1959" s="22" t="e">
        <v>#N/A</v>
      </c>
      <c r="P1959" s="4" t="e">
        <f t="shared" si="150"/>
        <v>#N/A</v>
      </c>
      <c r="Q1959" s="4" t="e">
        <f t="shared" si="151"/>
        <v>#N/A</v>
      </c>
      <c r="R1959" s="4" t="e">
        <f>IF(AND(B1959=1,N1959&gt;'Line Follower'!$C$7,SUM(C1959:K1959)&lt;4),1,0)</f>
        <v>#N/A</v>
      </c>
      <c r="S1959" s="4" t="e">
        <f>IF(AND(L1959=1,N1959&lt;'Line Follower'!$C$6,SUM(C1959:K1959)&lt;4),1,0)</f>
        <v>#N/A</v>
      </c>
      <c r="T1959" s="4" t="e">
        <f t="shared" si="152"/>
        <v>#N/A</v>
      </c>
      <c r="U1959" s="5" t="e">
        <f t="shared" si="153"/>
        <v>#N/A</v>
      </c>
      <c r="V1959" s="23" t="e">
        <f t="shared" si="154"/>
        <v>#N/A</v>
      </c>
    </row>
    <row r="1960" spans="2:22" x14ac:dyDescent="0.25">
      <c r="B1960" s="16">
        <v>1</v>
      </c>
      <c r="C1960" s="7">
        <v>0</v>
      </c>
      <c r="D1960" s="8">
        <v>1</v>
      </c>
      <c r="E1960" s="8">
        <v>0</v>
      </c>
      <c r="F1960" s="8">
        <v>0</v>
      </c>
      <c r="G1960" s="8">
        <v>1</v>
      </c>
      <c r="H1960" s="8">
        <v>0</v>
      </c>
      <c r="I1960" s="8">
        <v>1</v>
      </c>
      <c r="J1960" s="8">
        <v>1</v>
      </c>
      <c r="K1960" s="9">
        <v>1</v>
      </c>
      <c r="L1960" s="10">
        <v>1</v>
      </c>
      <c r="M1960" s="6">
        <v>0</v>
      </c>
      <c r="N1960" s="37" t="e" cm="1">
        <f t="array" ref="N1960">IF(OR(ISNUMBER(FIND(Aux!$D$3:$D$9,_xlfn.TEXTJOIN(,,C1960:K1960)))),NA(),IF(AND(SUM(C1960:F1960,H1960:K1960)=0,G1960=1),0,INT((SUMPRODUCT(C1960:F1960,COLUMN($A$1:$D$1)-1)+SUMPRODUCT(H1960:K1960,COLUMN($E$1:$H$1)-1))*'Line Follower'!$C$3/SUM(C1960:F1960,H1960:K1960)-'Line Follower'!$C$5)))</f>
        <v>#N/A</v>
      </c>
      <c r="O1960" s="22" t="e">
        <v>#N/A</v>
      </c>
      <c r="P1960" s="4" t="e">
        <f t="shared" si="150"/>
        <v>#N/A</v>
      </c>
      <c r="Q1960" s="4" t="e">
        <f t="shared" si="151"/>
        <v>#N/A</v>
      </c>
      <c r="R1960" s="4" t="e">
        <f>IF(AND(B1960=1,N1960&gt;'Line Follower'!$C$7,SUM(C1960:K1960)&lt;4),1,0)</f>
        <v>#N/A</v>
      </c>
      <c r="S1960" s="4" t="e">
        <f>IF(AND(L1960=1,N1960&lt;'Line Follower'!$C$6,SUM(C1960:K1960)&lt;4),1,0)</f>
        <v>#N/A</v>
      </c>
      <c r="T1960" s="4" t="e">
        <f t="shared" si="152"/>
        <v>#N/A</v>
      </c>
      <c r="U1960" s="5" t="e">
        <f t="shared" si="153"/>
        <v>#N/A</v>
      </c>
      <c r="V1960" s="23" t="e">
        <f t="shared" si="154"/>
        <v>#N/A</v>
      </c>
    </row>
    <row r="1961" spans="2:22" x14ac:dyDescent="0.25">
      <c r="B1961" s="16">
        <v>0</v>
      </c>
      <c r="C1961" s="7">
        <v>1</v>
      </c>
      <c r="D1961" s="8">
        <v>1</v>
      </c>
      <c r="E1961" s="8">
        <v>0</v>
      </c>
      <c r="F1961" s="8">
        <v>0</v>
      </c>
      <c r="G1961" s="8">
        <v>1</v>
      </c>
      <c r="H1961" s="8">
        <v>0</v>
      </c>
      <c r="I1961" s="8">
        <v>1</v>
      </c>
      <c r="J1961" s="8">
        <v>1</v>
      </c>
      <c r="K1961" s="9">
        <v>1</v>
      </c>
      <c r="L1961" s="10">
        <v>1</v>
      </c>
      <c r="M1961" s="6">
        <v>0</v>
      </c>
      <c r="N1961" s="37" t="e" cm="1">
        <f t="array" ref="N1961">IF(OR(ISNUMBER(FIND(Aux!$D$3:$D$9,_xlfn.TEXTJOIN(,,C1961:K1961)))),NA(),IF(AND(SUM(C1961:F1961,H1961:K1961)=0,G1961=1),0,INT((SUMPRODUCT(C1961:F1961,COLUMN($A$1:$D$1)-1)+SUMPRODUCT(H1961:K1961,COLUMN($E$1:$H$1)-1))*'Line Follower'!$C$3/SUM(C1961:F1961,H1961:K1961)-'Line Follower'!$C$5)))</f>
        <v>#N/A</v>
      </c>
      <c r="O1961" s="22" t="e">
        <v>#N/A</v>
      </c>
      <c r="P1961" s="4" t="e">
        <f t="shared" si="150"/>
        <v>#N/A</v>
      </c>
      <c r="Q1961" s="4" t="e">
        <f t="shared" si="151"/>
        <v>#N/A</v>
      </c>
      <c r="R1961" s="4" t="e">
        <f>IF(AND(B1961=1,N1961&gt;'Line Follower'!$C$7,SUM(C1961:K1961)&lt;4),1,0)</f>
        <v>#N/A</v>
      </c>
      <c r="S1961" s="4" t="e">
        <f>IF(AND(L1961=1,N1961&lt;'Line Follower'!$C$6,SUM(C1961:K1961)&lt;4),1,0)</f>
        <v>#N/A</v>
      </c>
      <c r="T1961" s="4" t="e">
        <f t="shared" si="152"/>
        <v>#N/A</v>
      </c>
      <c r="U1961" s="5" t="e">
        <f t="shared" si="153"/>
        <v>#N/A</v>
      </c>
      <c r="V1961" s="23" t="e">
        <f t="shared" si="154"/>
        <v>#N/A</v>
      </c>
    </row>
    <row r="1962" spans="2:22" x14ac:dyDescent="0.25">
      <c r="B1962" s="16">
        <v>1</v>
      </c>
      <c r="C1962" s="7">
        <v>1</v>
      </c>
      <c r="D1962" s="8">
        <v>1</v>
      </c>
      <c r="E1962" s="8">
        <v>0</v>
      </c>
      <c r="F1962" s="8">
        <v>0</v>
      </c>
      <c r="G1962" s="8">
        <v>1</v>
      </c>
      <c r="H1962" s="8">
        <v>0</v>
      </c>
      <c r="I1962" s="8">
        <v>1</v>
      </c>
      <c r="J1962" s="8">
        <v>1</v>
      </c>
      <c r="K1962" s="9">
        <v>1</v>
      </c>
      <c r="L1962" s="10">
        <v>1</v>
      </c>
      <c r="M1962" s="6">
        <v>0</v>
      </c>
      <c r="N1962" s="37" t="e" cm="1">
        <f t="array" ref="N1962">IF(OR(ISNUMBER(FIND(Aux!$D$3:$D$9,_xlfn.TEXTJOIN(,,C1962:K1962)))),NA(),IF(AND(SUM(C1962:F1962,H1962:K1962)=0,G1962=1),0,INT((SUMPRODUCT(C1962:F1962,COLUMN($A$1:$D$1)-1)+SUMPRODUCT(H1962:K1962,COLUMN($E$1:$H$1)-1))*'Line Follower'!$C$3/SUM(C1962:F1962,H1962:K1962)-'Line Follower'!$C$5)))</f>
        <v>#N/A</v>
      </c>
      <c r="O1962" s="22" t="e">
        <v>#N/A</v>
      </c>
      <c r="P1962" s="4" t="e">
        <f t="shared" si="150"/>
        <v>#N/A</v>
      </c>
      <c r="Q1962" s="4" t="e">
        <f t="shared" si="151"/>
        <v>#N/A</v>
      </c>
      <c r="R1962" s="4" t="e">
        <f>IF(AND(B1962=1,N1962&gt;'Line Follower'!$C$7,SUM(C1962:K1962)&lt;4),1,0)</f>
        <v>#N/A</v>
      </c>
      <c r="S1962" s="4" t="e">
        <f>IF(AND(L1962=1,N1962&lt;'Line Follower'!$C$6,SUM(C1962:K1962)&lt;4),1,0)</f>
        <v>#N/A</v>
      </c>
      <c r="T1962" s="4" t="e">
        <f t="shared" si="152"/>
        <v>#N/A</v>
      </c>
      <c r="U1962" s="5" t="e">
        <f t="shared" si="153"/>
        <v>#N/A</v>
      </c>
      <c r="V1962" s="23" t="e">
        <f t="shared" si="154"/>
        <v>#N/A</v>
      </c>
    </row>
    <row r="1963" spans="2:22" x14ac:dyDescent="0.25">
      <c r="B1963" s="16">
        <v>0</v>
      </c>
      <c r="C1963" s="7">
        <v>0</v>
      </c>
      <c r="D1963" s="8">
        <v>0</v>
      </c>
      <c r="E1963" s="8">
        <v>1</v>
      </c>
      <c r="F1963" s="8">
        <v>0</v>
      </c>
      <c r="G1963" s="8">
        <v>1</v>
      </c>
      <c r="H1963" s="8">
        <v>0</v>
      </c>
      <c r="I1963" s="8">
        <v>1</v>
      </c>
      <c r="J1963" s="8">
        <v>1</v>
      </c>
      <c r="K1963" s="9">
        <v>1</v>
      </c>
      <c r="L1963" s="10">
        <v>1</v>
      </c>
      <c r="M1963" s="6">
        <v>0</v>
      </c>
      <c r="N1963" s="37" t="e" cm="1">
        <f t="array" ref="N1963">IF(OR(ISNUMBER(FIND(Aux!$D$3:$D$9,_xlfn.TEXTJOIN(,,C1963:K1963)))),NA(),IF(AND(SUM(C1963:F1963,H1963:K1963)=0,G1963=1),0,INT((SUMPRODUCT(C1963:F1963,COLUMN($A$1:$D$1)-1)+SUMPRODUCT(H1963:K1963,COLUMN($E$1:$H$1)-1))*'Line Follower'!$C$3/SUM(C1963:F1963,H1963:K1963)-'Line Follower'!$C$5)))</f>
        <v>#N/A</v>
      </c>
      <c r="O1963" s="22" t="e">
        <v>#N/A</v>
      </c>
      <c r="P1963" s="4" t="e">
        <f t="shared" si="150"/>
        <v>#N/A</v>
      </c>
      <c r="Q1963" s="4" t="e">
        <f t="shared" si="151"/>
        <v>#N/A</v>
      </c>
      <c r="R1963" s="4" t="e">
        <f>IF(AND(B1963=1,N1963&gt;'Line Follower'!$C$7,SUM(C1963:K1963)&lt;4),1,0)</f>
        <v>#N/A</v>
      </c>
      <c r="S1963" s="4" t="e">
        <f>IF(AND(L1963=1,N1963&lt;'Line Follower'!$C$6,SUM(C1963:K1963)&lt;4),1,0)</f>
        <v>#N/A</v>
      </c>
      <c r="T1963" s="4" t="e">
        <f t="shared" si="152"/>
        <v>#N/A</v>
      </c>
      <c r="U1963" s="5" t="e">
        <f t="shared" si="153"/>
        <v>#N/A</v>
      </c>
      <c r="V1963" s="23" t="e">
        <f t="shared" si="154"/>
        <v>#N/A</v>
      </c>
    </row>
    <row r="1964" spans="2:22" x14ac:dyDescent="0.25">
      <c r="B1964" s="16">
        <v>1</v>
      </c>
      <c r="C1964" s="7">
        <v>0</v>
      </c>
      <c r="D1964" s="8">
        <v>0</v>
      </c>
      <c r="E1964" s="8">
        <v>1</v>
      </c>
      <c r="F1964" s="8">
        <v>0</v>
      </c>
      <c r="G1964" s="8">
        <v>1</v>
      </c>
      <c r="H1964" s="8">
        <v>0</v>
      </c>
      <c r="I1964" s="8">
        <v>1</v>
      </c>
      <c r="J1964" s="8">
        <v>1</v>
      </c>
      <c r="K1964" s="9">
        <v>1</v>
      </c>
      <c r="L1964" s="10">
        <v>1</v>
      </c>
      <c r="M1964" s="6">
        <v>0</v>
      </c>
      <c r="N1964" s="37" t="e" cm="1">
        <f t="array" ref="N1964">IF(OR(ISNUMBER(FIND(Aux!$D$3:$D$9,_xlfn.TEXTJOIN(,,C1964:K1964)))),NA(),IF(AND(SUM(C1964:F1964,H1964:K1964)=0,G1964=1),0,INT((SUMPRODUCT(C1964:F1964,COLUMN($A$1:$D$1)-1)+SUMPRODUCT(H1964:K1964,COLUMN($E$1:$H$1)-1))*'Line Follower'!$C$3/SUM(C1964:F1964,H1964:K1964)-'Line Follower'!$C$5)))</f>
        <v>#N/A</v>
      </c>
      <c r="O1964" s="22" t="e">
        <v>#N/A</v>
      </c>
      <c r="P1964" s="4" t="e">
        <f t="shared" si="150"/>
        <v>#N/A</v>
      </c>
      <c r="Q1964" s="4" t="e">
        <f t="shared" si="151"/>
        <v>#N/A</v>
      </c>
      <c r="R1964" s="4" t="e">
        <f>IF(AND(B1964=1,N1964&gt;'Line Follower'!$C$7,SUM(C1964:K1964)&lt;4),1,0)</f>
        <v>#N/A</v>
      </c>
      <c r="S1964" s="4" t="e">
        <f>IF(AND(L1964=1,N1964&lt;'Line Follower'!$C$6,SUM(C1964:K1964)&lt;4),1,0)</f>
        <v>#N/A</v>
      </c>
      <c r="T1964" s="4" t="e">
        <f t="shared" si="152"/>
        <v>#N/A</v>
      </c>
      <c r="U1964" s="5" t="e">
        <f t="shared" si="153"/>
        <v>#N/A</v>
      </c>
      <c r="V1964" s="23" t="e">
        <f t="shared" si="154"/>
        <v>#N/A</v>
      </c>
    </row>
    <row r="1965" spans="2:22" x14ac:dyDescent="0.25">
      <c r="B1965" s="16">
        <v>0</v>
      </c>
      <c r="C1965" s="7">
        <v>1</v>
      </c>
      <c r="D1965" s="8">
        <v>0</v>
      </c>
      <c r="E1965" s="8">
        <v>1</v>
      </c>
      <c r="F1965" s="8">
        <v>0</v>
      </c>
      <c r="G1965" s="8">
        <v>1</v>
      </c>
      <c r="H1965" s="8">
        <v>0</v>
      </c>
      <c r="I1965" s="8">
        <v>1</v>
      </c>
      <c r="J1965" s="8">
        <v>1</v>
      </c>
      <c r="K1965" s="9">
        <v>1</v>
      </c>
      <c r="L1965" s="10">
        <v>1</v>
      </c>
      <c r="M1965" s="6">
        <v>0</v>
      </c>
      <c r="N1965" s="37" t="e" cm="1">
        <f t="array" ref="N1965">IF(OR(ISNUMBER(FIND(Aux!$D$3:$D$9,_xlfn.TEXTJOIN(,,C1965:K1965)))),NA(),IF(AND(SUM(C1965:F1965,H1965:K1965)=0,G1965=1),0,INT((SUMPRODUCT(C1965:F1965,COLUMN($A$1:$D$1)-1)+SUMPRODUCT(H1965:K1965,COLUMN($E$1:$H$1)-1))*'Line Follower'!$C$3/SUM(C1965:F1965,H1965:K1965)-'Line Follower'!$C$5)))</f>
        <v>#N/A</v>
      </c>
      <c r="O1965" s="22" t="e">
        <v>#N/A</v>
      </c>
      <c r="P1965" s="4" t="e">
        <f t="shared" si="150"/>
        <v>#N/A</v>
      </c>
      <c r="Q1965" s="4" t="e">
        <f t="shared" si="151"/>
        <v>#N/A</v>
      </c>
      <c r="R1965" s="4" t="e">
        <f>IF(AND(B1965=1,N1965&gt;'Line Follower'!$C$7,SUM(C1965:K1965)&lt;4),1,0)</f>
        <v>#N/A</v>
      </c>
      <c r="S1965" s="4" t="e">
        <f>IF(AND(L1965=1,N1965&lt;'Line Follower'!$C$6,SUM(C1965:K1965)&lt;4),1,0)</f>
        <v>#N/A</v>
      </c>
      <c r="T1965" s="4" t="e">
        <f t="shared" si="152"/>
        <v>#N/A</v>
      </c>
      <c r="U1965" s="5" t="e">
        <f t="shared" si="153"/>
        <v>#N/A</v>
      </c>
      <c r="V1965" s="23" t="e">
        <f t="shared" si="154"/>
        <v>#N/A</v>
      </c>
    </row>
    <row r="1966" spans="2:22" x14ac:dyDescent="0.25">
      <c r="B1966" s="16">
        <v>1</v>
      </c>
      <c r="C1966" s="7">
        <v>1</v>
      </c>
      <c r="D1966" s="8">
        <v>0</v>
      </c>
      <c r="E1966" s="8">
        <v>1</v>
      </c>
      <c r="F1966" s="8">
        <v>0</v>
      </c>
      <c r="G1966" s="8">
        <v>1</v>
      </c>
      <c r="H1966" s="8">
        <v>0</v>
      </c>
      <c r="I1966" s="8">
        <v>1</v>
      </c>
      <c r="J1966" s="8">
        <v>1</v>
      </c>
      <c r="K1966" s="9">
        <v>1</v>
      </c>
      <c r="L1966" s="10">
        <v>1</v>
      </c>
      <c r="M1966" s="6">
        <v>0</v>
      </c>
      <c r="N1966" s="37" t="e" cm="1">
        <f t="array" ref="N1966">IF(OR(ISNUMBER(FIND(Aux!$D$3:$D$9,_xlfn.TEXTJOIN(,,C1966:K1966)))),NA(),IF(AND(SUM(C1966:F1966,H1966:K1966)=0,G1966=1),0,INT((SUMPRODUCT(C1966:F1966,COLUMN($A$1:$D$1)-1)+SUMPRODUCT(H1966:K1966,COLUMN($E$1:$H$1)-1))*'Line Follower'!$C$3/SUM(C1966:F1966,H1966:K1966)-'Line Follower'!$C$5)))</f>
        <v>#N/A</v>
      </c>
      <c r="O1966" s="22" t="e">
        <v>#N/A</v>
      </c>
      <c r="P1966" s="4" t="e">
        <f t="shared" si="150"/>
        <v>#N/A</v>
      </c>
      <c r="Q1966" s="4" t="e">
        <f t="shared" si="151"/>
        <v>#N/A</v>
      </c>
      <c r="R1966" s="4" t="e">
        <f>IF(AND(B1966=1,N1966&gt;'Line Follower'!$C$7,SUM(C1966:K1966)&lt;4),1,0)</f>
        <v>#N/A</v>
      </c>
      <c r="S1966" s="4" t="e">
        <f>IF(AND(L1966=1,N1966&lt;'Line Follower'!$C$6,SUM(C1966:K1966)&lt;4),1,0)</f>
        <v>#N/A</v>
      </c>
      <c r="T1966" s="4" t="e">
        <f t="shared" si="152"/>
        <v>#N/A</v>
      </c>
      <c r="U1966" s="5" t="e">
        <f t="shared" si="153"/>
        <v>#N/A</v>
      </c>
      <c r="V1966" s="23" t="e">
        <f t="shared" si="154"/>
        <v>#N/A</v>
      </c>
    </row>
    <row r="1967" spans="2:22" x14ac:dyDescent="0.25">
      <c r="B1967" s="16">
        <v>0</v>
      </c>
      <c r="C1967" s="7">
        <v>0</v>
      </c>
      <c r="D1967" s="8">
        <v>1</v>
      </c>
      <c r="E1967" s="8">
        <v>1</v>
      </c>
      <c r="F1967" s="8">
        <v>0</v>
      </c>
      <c r="G1967" s="8">
        <v>1</v>
      </c>
      <c r="H1967" s="8">
        <v>0</v>
      </c>
      <c r="I1967" s="8">
        <v>1</v>
      </c>
      <c r="J1967" s="8">
        <v>1</v>
      </c>
      <c r="K1967" s="9">
        <v>1</v>
      </c>
      <c r="L1967" s="10">
        <v>1</v>
      </c>
      <c r="M1967" s="6">
        <v>0</v>
      </c>
      <c r="N1967" s="37" t="e" cm="1">
        <f t="array" ref="N1967">IF(OR(ISNUMBER(FIND(Aux!$D$3:$D$9,_xlfn.TEXTJOIN(,,C1967:K1967)))),NA(),IF(AND(SUM(C1967:F1967,H1967:K1967)=0,G1967=1),0,INT((SUMPRODUCT(C1967:F1967,COLUMN($A$1:$D$1)-1)+SUMPRODUCT(H1967:K1967,COLUMN($E$1:$H$1)-1))*'Line Follower'!$C$3/SUM(C1967:F1967,H1967:K1967)-'Line Follower'!$C$5)))</f>
        <v>#N/A</v>
      </c>
      <c r="O1967" s="22" t="e">
        <v>#N/A</v>
      </c>
      <c r="P1967" s="4" t="e">
        <f t="shared" si="150"/>
        <v>#N/A</v>
      </c>
      <c r="Q1967" s="4" t="e">
        <f t="shared" si="151"/>
        <v>#N/A</v>
      </c>
      <c r="R1967" s="4" t="e">
        <f>IF(AND(B1967=1,N1967&gt;'Line Follower'!$C$7,SUM(C1967:K1967)&lt;4),1,0)</f>
        <v>#N/A</v>
      </c>
      <c r="S1967" s="4" t="e">
        <f>IF(AND(L1967=1,N1967&lt;'Line Follower'!$C$6,SUM(C1967:K1967)&lt;4),1,0)</f>
        <v>#N/A</v>
      </c>
      <c r="T1967" s="4" t="e">
        <f t="shared" si="152"/>
        <v>#N/A</v>
      </c>
      <c r="U1967" s="5" t="e">
        <f t="shared" si="153"/>
        <v>#N/A</v>
      </c>
      <c r="V1967" s="23" t="e">
        <f t="shared" si="154"/>
        <v>#N/A</v>
      </c>
    </row>
    <row r="1968" spans="2:22" x14ac:dyDescent="0.25">
      <c r="B1968" s="16">
        <v>1</v>
      </c>
      <c r="C1968" s="7">
        <v>0</v>
      </c>
      <c r="D1968" s="8">
        <v>1</v>
      </c>
      <c r="E1968" s="8">
        <v>1</v>
      </c>
      <c r="F1968" s="8">
        <v>0</v>
      </c>
      <c r="G1968" s="8">
        <v>1</v>
      </c>
      <c r="H1968" s="8">
        <v>0</v>
      </c>
      <c r="I1968" s="8">
        <v>1</v>
      </c>
      <c r="J1968" s="8">
        <v>1</v>
      </c>
      <c r="K1968" s="9">
        <v>1</v>
      </c>
      <c r="L1968" s="10">
        <v>1</v>
      </c>
      <c r="M1968" s="6">
        <v>0</v>
      </c>
      <c r="N1968" s="37" t="e" cm="1">
        <f t="array" ref="N1968">IF(OR(ISNUMBER(FIND(Aux!$D$3:$D$9,_xlfn.TEXTJOIN(,,C1968:K1968)))),NA(),IF(AND(SUM(C1968:F1968,H1968:K1968)=0,G1968=1),0,INT((SUMPRODUCT(C1968:F1968,COLUMN($A$1:$D$1)-1)+SUMPRODUCT(H1968:K1968,COLUMN($E$1:$H$1)-1))*'Line Follower'!$C$3/SUM(C1968:F1968,H1968:K1968)-'Line Follower'!$C$5)))</f>
        <v>#N/A</v>
      </c>
      <c r="O1968" s="22" t="e">
        <v>#N/A</v>
      </c>
      <c r="P1968" s="4" t="e">
        <f t="shared" si="150"/>
        <v>#N/A</v>
      </c>
      <c r="Q1968" s="4" t="e">
        <f t="shared" si="151"/>
        <v>#N/A</v>
      </c>
      <c r="R1968" s="4" t="e">
        <f>IF(AND(B1968=1,N1968&gt;'Line Follower'!$C$7,SUM(C1968:K1968)&lt;4),1,0)</f>
        <v>#N/A</v>
      </c>
      <c r="S1968" s="4" t="e">
        <f>IF(AND(L1968=1,N1968&lt;'Line Follower'!$C$6,SUM(C1968:K1968)&lt;4),1,0)</f>
        <v>#N/A</v>
      </c>
      <c r="T1968" s="4" t="e">
        <f t="shared" si="152"/>
        <v>#N/A</v>
      </c>
      <c r="U1968" s="5" t="e">
        <f t="shared" si="153"/>
        <v>#N/A</v>
      </c>
      <c r="V1968" s="23" t="e">
        <f t="shared" si="154"/>
        <v>#N/A</v>
      </c>
    </row>
    <row r="1969" spans="2:22" x14ac:dyDescent="0.25">
      <c r="B1969" s="16">
        <v>0</v>
      </c>
      <c r="C1969" s="7">
        <v>1</v>
      </c>
      <c r="D1969" s="8">
        <v>1</v>
      </c>
      <c r="E1969" s="8">
        <v>1</v>
      </c>
      <c r="F1969" s="8">
        <v>0</v>
      </c>
      <c r="G1969" s="8">
        <v>1</v>
      </c>
      <c r="H1969" s="8">
        <v>0</v>
      </c>
      <c r="I1969" s="8">
        <v>1</v>
      </c>
      <c r="J1969" s="8">
        <v>1</v>
      </c>
      <c r="K1969" s="9">
        <v>1</v>
      </c>
      <c r="L1969" s="10">
        <v>1</v>
      </c>
      <c r="M1969" s="6">
        <v>0</v>
      </c>
      <c r="N1969" s="37" t="e" cm="1">
        <f t="array" ref="N1969">IF(OR(ISNUMBER(FIND(Aux!$D$3:$D$9,_xlfn.TEXTJOIN(,,C1969:K1969)))),NA(),IF(AND(SUM(C1969:F1969,H1969:K1969)=0,G1969=1),0,INT((SUMPRODUCT(C1969:F1969,COLUMN($A$1:$D$1)-1)+SUMPRODUCT(H1969:K1969,COLUMN($E$1:$H$1)-1))*'Line Follower'!$C$3/SUM(C1969:F1969,H1969:K1969)-'Line Follower'!$C$5)))</f>
        <v>#N/A</v>
      </c>
      <c r="O1969" s="22" t="e">
        <v>#N/A</v>
      </c>
      <c r="P1969" s="4" t="e">
        <f t="shared" si="150"/>
        <v>#N/A</v>
      </c>
      <c r="Q1969" s="4" t="e">
        <f t="shared" si="151"/>
        <v>#N/A</v>
      </c>
      <c r="R1969" s="4" t="e">
        <f>IF(AND(B1969=1,N1969&gt;'Line Follower'!$C$7,SUM(C1969:K1969)&lt;4),1,0)</f>
        <v>#N/A</v>
      </c>
      <c r="S1969" s="4" t="e">
        <f>IF(AND(L1969=1,N1969&lt;'Line Follower'!$C$6,SUM(C1969:K1969)&lt;4),1,0)</f>
        <v>#N/A</v>
      </c>
      <c r="T1969" s="4" t="e">
        <f t="shared" si="152"/>
        <v>#N/A</v>
      </c>
      <c r="U1969" s="5" t="e">
        <f t="shared" si="153"/>
        <v>#N/A</v>
      </c>
      <c r="V1969" s="23" t="e">
        <f t="shared" si="154"/>
        <v>#N/A</v>
      </c>
    </row>
    <row r="1970" spans="2:22" x14ac:dyDescent="0.25">
      <c r="B1970" s="16">
        <v>1</v>
      </c>
      <c r="C1970" s="7">
        <v>1</v>
      </c>
      <c r="D1970" s="8">
        <v>1</v>
      </c>
      <c r="E1970" s="8">
        <v>1</v>
      </c>
      <c r="F1970" s="8">
        <v>0</v>
      </c>
      <c r="G1970" s="8">
        <v>1</v>
      </c>
      <c r="H1970" s="8">
        <v>0</v>
      </c>
      <c r="I1970" s="8">
        <v>1</v>
      </c>
      <c r="J1970" s="8">
        <v>1</v>
      </c>
      <c r="K1970" s="9">
        <v>1</v>
      </c>
      <c r="L1970" s="10">
        <v>1</v>
      </c>
      <c r="M1970" s="6">
        <v>0</v>
      </c>
      <c r="N1970" s="37" t="e" cm="1">
        <f t="array" ref="N1970">IF(OR(ISNUMBER(FIND(Aux!$D$3:$D$9,_xlfn.TEXTJOIN(,,C1970:K1970)))),NA(),IF(AND(SUM(C1970:F1970,H1970:K1970)=0,G1970=1),0,INT((SUMPRODUCT(C1970:F1970,COLUMN($A$1:$D$1)-1)+SUMPRODUCT(H1970:K1970,COLUMN($E$1:$H$1)-1))*'Line Follower'!$C$3/SUM(C1970:F1970,H1970:K1970)-'Line Follower'!$C$5)))</f>
        <v>#N/A</v>
      </c>
      <c r="O1970" s="22" t="e">
        <v>#N/A</v>
      </c>
      <c r="P1970" s="4" t="e">
        <f t="shared" si="150"/>
        <v>#N/A</v>
      </c>
      <c r="Q1970" s="4" t="e">
        <f t="shared" si="151"/>
        <v>#N/A</v>
      </c>
      <c r="R1970" s="4" t="e">
        <f>IF(AND(B1970=1,N1970&gt;'Line Follower'!$C$7,SUM(C1970:K1970)&lt;4),1,0)</f>
        <v>#N/A</v>
      </c>
      <c r="S1970" s="4" t="e">
        <f>IF(AND(L1970=1,N1970&lt;'Line Follower'!$C$6,SUM(C1970:K1970)&lt;4),1,0)</f>
        <v>#N/A</v>
      </c>
      <c r="T1970" s="4" t="e">
        <f t="shared" si="152"/>
        <v>#N/A</v>
      </c>
      <c r="U1970" s="5" t="e">
        <f t="shared" si="153"/>
        <v>#N/A</v>
      </c>
      <c r="V1970" s="23" t="e">
        <f t="shared" si="154"/>
        <v>#N/A</v>
      </c>
    </row>
    <row r="1971" spans="2:22" x14ac:dyDescent="0.25">
      <c r="B1971" s="16">
        <v>0</v>
      </c>
      <c r="C1971" s="7">
        <v>0</v>
      </c>
      <c r="D1971" s="8">
        <v>0</v>
      </c>
      <c r="E1971" s="8">
        <v>0</v>
      </c>
      <c r="F1971" s="8">
        <v>1</v>
      </c>
      <c r="G1971" s="8">
        <v>1</v>
      </c>
      <c r="H1971" s="8">
        <v>0</v>
      </c>
      <c r="I1971" s="8">
        <v>1</v>
      </c>
      <c r="J1971" s="8">
        <v>1</v>
      </c>
      <c r="K1971" s="9">
        <v>1</v>
      </c>
      <c r="L1971" s="10">
        <v>1</v>
      </c>
      <c r="M1971" s="6">
        <v>0</v>
      </c>
      <c r="N1971" s="37" t="e" cm="1">
        <f t="array" ref="N1971">IF(OR(ISNUMBER(FIND(Aux!$D$3:$D$9,_xlfn.TEXTJOIN(,,C1971:K1971)))),NA(),IF(AND(SUM(C1971:F1971,H1971:K1971)=0,G1971=1),0,INT((SUMPRODUCT(C1971:F1971,COLUMN($A$1:$D$1)-1)+SUMPRODUCT(H1971:K1971,COLUMN($E$1:$H$1)-1))*'Line Follower'!$C$3/SUM(C1971:F1971,H1971:K1971)-'Line Follower'!$C$5)))</f>
        <v>#N/A</v>
      </c>
      <c r="O1971" s="22" t="e">
        <v>#N/A</v>
      </c>
      <c r="P1971" s="4" t="e">
        <f t="shared" si="150"/>
        <v>#N/A</v>
      </c>
      <c r="Q1971" s="4" t="e">
        <f t="shared" si="151"/>
        <v>#N/A</v>
      </c>
      <c r="R1971" s="4" t="e">
        <f>IF(AND(B1971=1,N1971&gt;'Line Follower'!$C$7,SUM(C1971:K1971)&lt;4),1,0)</f>
        <v>#N/A</v>
      </c>
      <c r="S1971" s="4" t="e">
        <f>IF(AND(L1971=1,N1971&lt;'Line Follower'!$C$6,SUM(C1971:K1971)&lt;4),1,0)</f>
        <v>#N/A</v>
      </c>
      <c r="T1971" s="4" t="e">
        <f t="shared" si="152"/>
        <v>#N/A</v>
      </c>
      <c r="U1971" s="5" t="e">
        <f t="shared" si="153"/>
        <v>#N/A</v>
      </c>
      <c r="V1971" s="23" t="e">
        <f t="shared" si="154"/>
        <v>#N/A</v>
      </c>
    </row>
    <row r="1972" spans="2:22" x14ac:dyDescent="0.25">
      <c r="B1972" s="16">
        <v>1</v>
      </c>
      <c r="C1972" s="7">
        <v>0</v>
      </c>
      <c r="D1972" s="8">
        <v>0</v>
      </c>
      <c r="E1972" s="8">
        <v>0</v>
      </c>
      <c r="F1972" s="8">
        <v>1</v>
      </c>
      <c r="G1972" s="8">
        <v>1</v>
      </c>
      <c r="H1972" s="8">
        <v>0</v>
      </c>
      <c r="I1972" s="8">
        <v>1</v>
      </c>
      <c r="J1972" s="8">
        <v>1</v>
      </c>
      <c r="K1972" s="9">
        <v>1</v>
      </c>
      <c r="L1972" s="10">
        <v>1</v>
      </c>
      <c r="M1972" s="6">
        <v>0</v>
      </c>
      <c r="N1972" s="37" t="e" cm="1">
        <f t="array" ref="N1972">IF(OR(ISNUMBER(FIND(Aux!$D$3:$D$9,_xlfn.TEXTJOIN(,,C1972:K1972)))),NA(),IF(AND(SUM(C1972:F1972,H1972:K1972)=0,G1972=1),0,INT((SUMPRODUCT(C1972:F1972,COLUMN($A$1:$D$1)-1)+SUMPRODUCT(H1972:K1972,COLUMN($E$1:$H$1)-1))*'Line Follower'!$C$3/SUM(C1972:F1972,H1972:K1972)-'Line Follower'!$C$5)))</f>
        <v>#N/A</v>
      </c>
      <c r="O1972" s="22" t="e">
        <v>#N/A</v>
      </c>
      <c r="P1972" s="4" t="e">
        <f t="shared" si="150"/>
        <v>#N/A</v>
      </c>
      <c r="Q1972" s="4" t="e">
        <f t="shared" si="151"/>
        <v>#N/A</v>
      </c>
      <c r="R1972" s="4" t="e">
        <f>IF(AND(B1972=1,N1972&gt;'Line Follower'!$C$7,SUM(C1972:K1972)&lt;4),1,0)</f>
        <v>#N/A</v>
      </c>
      <c r="S1972" s="4" t="e">
        <f>IF(AND(L1972=1,N1972&lt;'Line Follower'!$C$6,SUM(C1972:K1972)&lt;4),1,0)</f>
        <v>#N/A</v>
      </c>
      <c r="T1972" s="4" t="e">
        <f t="shared" si="152"/>
        <v>#N/A</v>
      </c>
      <c r="U1972" s="5" t="e">
        <f t="shared" si="153"/>
        <v>#N/A</v>
      </c>
      <c r="V1972" s="23" t="e">
        <f t="shared" si="154"/>
        <v>#N/A</v>
      </c>
    </row>
    <row r="1973" spans="2:22" x14ac:dyDescent="0.25">
      <c r="B1973" s="16">
        <v>0</v>
      </c>
      <c r="C1973" s="7">
        <v>1</v>
      </c>
      <c r="D1973" s="8">
        <v>0</v>
      </c>
      <c r="E1973" s="8">
        <v>0</v>
      </c>
      <c r="F1973" s="8">
        <v>1</v>
      </c>
      <c r="G1973" s="8">
        <v>1</v>
      </c>
      <c r="H1973" s="8">
        <v>0</v>
      </c>
      <c r="I1973" s="8">
        <v>1</v>
      </c>
      <c r="J1973" s="8">
        <v>1</v>
      </c>
      <c r="K1973" s="9">
        <v>1</v>
      </c>
      <c r="L1973" s="10">
        <v>1</v>
      </c>
      <c r="M1973" s="6">
        <v>0</v>
      </c>
      <c r="N1973" s="37" t="e" cm="1">
        <f t="array" ref="N1973">IF(OR(ISNUMBER(FIND(Aux!$D$3:$D$9,_xlfn.TEXTJOIN(,,C1973:K1973)))),NA(),IF(AND(SUM(C1973:F1973,H1973:K1973)=0,G1973=1),0,INT((SUMPRODUCT(C1973:F1973,COLUMN($A$1:$D$1)-1)+SUMPRODUCT(H1973:K1973,COLUMN($E$1:$H$1)-1))*'Line Follower'!$C$3/SUM(C1973:F1973,H1973:K1973)-'Line Follower'!$C$5)))</f>
        <v>#N/A</v>
      </c>
      <c r="O1973" s="22" t="e">
        <v>#N/A</v>
      </c>
      <c r="P1973" s="4" t="e">
        <f t="shared" si="150"/>
        <v>#N/A</v>
      </c>
      <c r="Q1973" s="4" t="e">
        <f t="shared" si="151"/>
        <v>#N/A</v>
      </c>
      <c r="R1973" s="4" t="e">
        <f>IF(AND(B1973=1,N1973&gt;'Line Follower'!$C$7,SUM(C1973:K1973)&lt;4),1,0)</f>
        <v>#N/A</v>
      </c>
      <c r="S1973" s="4" t="e">
        <f>IF(AND(L1973=1,N1973&lt;'Line Follower'!$C$6,SUM(C1973:K1973)&lt;4),1,0)</f>
        <v>#N/A</v>
      </c>
      <c r="T1973" s="4" t="e">
        <f t="shared" si="152"/>
        <v>#N/A</v>
      </c>
      <c r="U1973" s="5" t="e">
        <f t="shared" si="153"/>
        <v>#N/A</v>
      </c>
      <c r="V1973" s="23" t="e">
        <f t="shared" si="154"/>
        <v>#N/A</v>
      </c>
    </row>
    <row r="1974" spans="2:22" x14ac:dyDescent="0.25">
      <c r="B1974" s="16">
        <v>1</v>
      </c>
      <c r="C1974" s="7">
        <v>1</v>
      </c>
      <c r="D1974" s="8">
        <v>0</v>
      </c>
      <c r="E1974" s="8">
        <v>0</v>
      </c>
      <c r="F1974" s="8">
        <v>1</v>
      </c>
      <c r="G1974" s="8">
        <v>1</v>
      </c>
      <c r="H1974" s="8">
        <v>0</v>
      </c>
      <c r="I1974" s="8">
        <v>1</v>
      </c>
      <c r="J1974" s="8">
        <v>1</v>
      </c>
      <c r="K1974" s="9">
        <v>1</v>
      </c>
      <c r="L1974" s="10">
        <v>1</v>
      </c>
      <c r="M1974" s="6">
        <v>0</v>
      </c>
      <c r="N1974" s="37" t="e" cm="1">
        <f t="array" ref="N1974">IF(OR(ISNUMBER(FIND(Aux!$D$3:$D$9,_xlfn.TEXTJOIN(,,C1974:K1974)))),NA(),IF(AND(SUM(C1974:F1974,H1974:K1974)=0,G1974=1),0,INT((SUMPRODUCT(C1974:F1974,COLUMN($A$1:$D$1)-1)+SUMPRODUCT(H1974:K1974,COLUMN($E$1:$H$1)-1))*'Line Follower'!$C$3/SUM(C1974:F1974,H1974:K1974)-'Line Follower'!$C$5)))</f>
        <v>#N/A</v>
      </c>
      <c r="O1974" s="22" t="e">
        <v>#N/A</v>
      </c>
      <c r="P1974" s="4" t="e">
        <f t="shared" si="150"/>
        <v>#N/A</v>
      </c>
      <c r="Q1974" s="4" t="e">
        <f t="shared" si="151"/>
        <v>#N/A</v>
      </c>
      <c r="R1974" s="4" t="e">
        <f>IF(AND(B1974=1,N1974&gt;'Line Follower'!$C$7,SUM(C1974:K1974)&lt;4),1,0)</f>
        <v>#N/A</v>
      </c>
      <c r="S1974" s="4" t="e">
        <f>IF(AND(L1974=1,N1974&lt;'Line Follower'!$C$6,SUM(C1974:K1974)&lt;4),1,0)</f>
        <v>#N/A</v>
      </c>
      <c r="T1974" s="4" t="e">
        <f t="shared" si="152"/>
        <v>#N/A</v>
      </c>
      <c r="U1974" s="5" t="e">
        <f t="shared" si="153"/>
        <v>#N/A</v>
      </c>
      <c r="V1974" s="23" t="e">
        <f t="shared" si="154"/>
        <v>#N/A</v>
      </c>
    </row>
    <row r="1975" spans="2:22" x14ac:dyDescent="0.25">
      <c r="B1975" s="16">
        <v>0</v>
      </c>
      <c r="C1975" s="7">
        <v>0</v>
      </c>
      <c r="D1975" s="8">
        <v>1</v>
      </c>
      <c r="E1975" s="8">
        <v>0</v>
      </c>
      <c r="F1975" s="8">
        <v>1</v>
      </c>
      <c r="G1975" s="8">
        <v>1</v>
      </c>
      <c r="H1975" s="8">
        <v>0</v>
      </c>
      <c r="I1975" s="8">
        <v>1</v>
      </c>
      <c r="J1975" s="8">
        <v>1</v>
      </c>
      <c r="K1975" s="9">
        <v>1</v>
      </c>
      <c r="L1975" s="10">
        <v>1</v>
      </c>
      <c r="M1975" s="6">
        <v>0</v>
      </c>
      <c r="N1975" s="37" t="e" cm="1">
        <f t="array" ref="N1975">IF(OR(ISNUMBER(FIND(Aux!$D$3:$D$9,_xlfn.TEXTJOIN(,,C1975:K1975)))),NA(),IF(AND(SUM(C1975:F1975,H1975:K1975)=0,G1975=1),0,INT((SUMPRODUCT(C1975:F1975,COLUMN($A$1:$D$1)-1)+SUMPRODUCT(H1975:K1975,COLUMN($E$1:$H$1)-1))*'Line Follower'!$C$3/SUM(C1975:F1975,H1975:K1975)-'Line Follower'!$C$5)))</f>
        <v>#N/A</v>
      </c>
      <c r="O1975" s="22" t="e">
        <v>#N/A</v>
      </c>
      <c r="P1975" s="4" t="e">
        <f t="shared" si="150"/>
        <v>#N/A</v>
      </c>
      <c r="Q1975" s="4" t="e">
        <f t="shared" si="151"/>
        <v>#N/A</v>
      </c>
      <c r="R1975" s="4" t="e">
        <f>IF(AND(B1975=1,N1975&gt;'Line Follower'!$C$7,SUM(C1975:K1975)&lt;4),1,0)</f>
        <v>#N/A</v>
      </c>
      <c r="S1975" s="4" t="e">
        <f>IF(AND(L1975=1,N1975&lt;'Line Follower'!$C$6,SUM(C1975:K1975)&lt;4),1,0)</f>
        <v>#N/A</v>
      </c>
      <c r="T1975" s="4" t="e">
        <f t="shared" si="152"/>
        <v>#N/A</v>
      </c>
      <c r="U1975" s="5" t="e">
        <f t="shared" si="153"/>
        <v>#N/A</v>
      </c>
      <c r="V1975" s="23" t="e">
        <f t="shared" si="154"/>
        <v>#N/A</v>
      </c>
    </row>
    <row r="1976" spans="2:22" x14ac:dyDescent="0.25">
      <c r="B1976" s="16">
        <v>1</v>
      </c>
      <c r="C1976" s="7">
        <v>0</v>
      </c>
      <c r="D1976" s="8">
        <v>1</v>
      </c>
      <c r="E1976" s="8">
        <v>0</v>
      </c>
      <c r="F1976" s="8">
        <v>1</v>
      </c>
      <c r="G1976" s="8">
        <v>1</v>
      </c>
      <c r="H1976" s="8">
        <v>0</v>
      </c>
      <c r="I1976" s="8">
        <v>1</v>
      </c>
      <c r="J1976" s="8">
        <v>1</v>
      </c>
      <c r="K1976" s="9">
        <v>1</v>
      </c>
      <c r="L1976" s="10">
        <v>1</v>
      </c>
      <c r="M1976" s="6">
        <v>0</v>
      </c>
      <c r="N1976" s="37" t="e" cm="1">
        <f t="array" ref="N1976">IF(OR(ISNUMBER(FIND(Aux!$D$3:$D$9,_xlfn.TEXTJOIN(,,C1976:K1976)))),NA(),IF(AND(SUM(C1976:F1976,H1976:K1976)=0,G1976=1),0,INT((SUMPRODUCT(C1976:F1976,COLUMN($A$1:$D$1)-1)+SUMPRODUCT(H1976:K1976,COLUMN($E$1:$H$1)-1))*'Line Follower'!$C$3/SUM(C1976:F1976,H1976:K1976)-'Line Follower'!$C$5)))</f>
        <v>#N/A</v>
      </c>
      <c r="O1976" s="22" t="e">
        <v>#N/A</v>
      </c>
      <c r="P1976" s="4" t="e">
        <f t="shared" si="150"/>
        <v>#N/A</v>
      </c>
      <c r="Q1976" s="4" t="e">
        <f t="shared" si="151"/>
        <v>#N/A</v>
      </c>
      <c r="R1976" s="4" t="e">
        <f>IF(AND(B1976=1,N1976&gt;'Line Follower'!$C$7,SUM(C1976:K1976)&lt;4),1,0)</f>
        <v>#N/A</v>
      </c>
      <c r="S1976" s="4" t="e">
        <f>IF(AND(L1976=1,N1976&lt;'Line Follower'!$C$6,SUM(C1976:K1976)&lt;4),1,0)</f>
        <v>#N/A</v>
      </c>
      <c r="T1976" s="4" t="e">
        <f t="shared" si="152"/>
        <v>#N/A</v>
      </c>
      <c r="U1976" s="5" t="e">
        <f t="shared" si="153"/>
        <v>#N/A</v>
      </c>
      <c r="V1976" s="23" t="e">
        <f t="shared" si="154"/>
        <v>#N/A</v>
      </c>
    </row>
    <row r="1977" spans="2:22" x14ac:dyDescent="0.25">
      <c r="B1977" s="16">
        <v>0</v>
      </c>
      <c r="C1977" s="7">
        <v>1</v>
      </c>
      <c r="D1977" s="8">
        <v>1</v>
      </c>
      <c r="E1977" s="8">
        <v>0</v>
      </c>
      <c r="F1977" s="8">
        <v>1</v>
      </c>
      <c r="G1977" s="8">
        <v>1</v>
      </c>
      <c r="H1977" s="8">
        <v>0</v>
      </c>
      <c r="I1977" s="8">
        <v>1</v>
      </c>
      <c r="J1977" s="8">
        <v>1</v>
      </c>
      <c r="K1977" s="9">
        <v>1</v>
      </c>
      <c r="L1977" s="10">
        <v>1</v>
      </c>
      <c r="M1977" s="6">
        <v>0</v>
      </c>
      <c r="N1977" s="37" t="e" cm="1">
        <f t="array" ref="N1977">IF(OR(ISNUMBER(FIND(Aux!$D$3:$D$9,_xlfn.TEXTJOIN(,,C1977:K1977)))),NA(),IF(AND(SUM(C1977:F1977,H1977:K1977)=0,G1977=1),0,INT((SUMPRODUCT(C1977:F1977,COLUMN($A$1:$D$1)-1)+SUMPRODUCT(H1977:K1977,COLUMN($E$1:$H$1)-1))*'Line Follower'!$C$3/SUM(C1977:F1977,H1977:K1977)-'Line Follower'!$C$5)))</f>
        <v>#N/A</v>
      </c>
      <c r="O1977" s="22" t="e">
        <v>#N/A</v>
      </c>
      <c r="P1977" s="4" t="e">
        <f t="shared" si="150"/>
        <v>#N/A</v>
      </c>
      <c r="Q1977" s="4" t="e">
        <f t="shared" si="151"/>
        <v>#N/A</v>
      </c>
      <c r="R1977" s="4" t="e">
        <f>IF(AND(B1977=1,N1977&gt;'Line Follower'!$C$7,SUM(C1977:K1977)&lt;4),1,0)</f>
        <v>#N/A</v>
      </c>
      <c r="S1977" s="4" t="e">
        <f>IF(AND(L1977=1,N1977&lt;'Line Follower'!$C$6,SUM(C1977:K1977)&lt;4),1,0)</f>
        <v>#N/A</v>
      </c>
      <c r="T1977" s="4" t="e">
        <f t="shared" si="152"/>
        <v>#N/A</v>
      </c>
      <c r="U1977" s="5" t="e">
        <f t="shared" si="153"/>
        <v>#N/A</v>
      </c>
      <c r="V1977" s="23" t="e">
        <f t="shared" si="154"/>
        <v>#N/A</v>
      </c>
    </row>
    <row r="1978" spans="2:22" x14ac:dyDescent="0.25">
      <c r="B1978" s="16">
        <v>1</v>
      </c>
      <c r="C1978" s="7">
        <v>1</v>
      </c>
      <c r="D1978" s="8">
        <v>1</v>
      </c>
      <c r="E1978" s="8">
        <v>0</v>
      </c>
      <c r="F1978" s="8">
        <v>1</v>
      </c>
      <c r="G1978" s="8">
        <v>1</v>
      </c>
      <c r="H1978" s="8">
        <v>0</v>
      </c>
      <c r="I1978" s="8">
        <v>1</v>
      </c>
      <c r="J1978" s="8">
        <v>1</v>
      </c>
      <c r="K1978" s="9">
        <v>1</v>
      </c>
      <c r="L1978" s="10">
        <v>1</v>
      </c>
      <c r="M1978" s="6">
        <v>0</v>
      </c>
      <c r="N1978" s="37" t="e" cm="1">
        <f t="array" ref="N1978">IF(OR(ISNUMBER(FIND(Aux!$D$3:$D$9,_xlfn.TEXTJOIN(,,C1978:K1978)))),NA(),IF(AND(SUM(C1978:F1978,H1978:K1978)=0,G1978=1),0,INT((SUMPRODUCT(C1978:F1978,COLUMN($A$1:$D$1)-1)+SUMPRODUCT(H1978:K1978,COLUMN($E$1:$H$1)-1))*'Line Follower'!$C$3/SUM(C1978:F1978,H1978:K1978)-'Line Follower'!$C$5)))</f>
        <v>#N/A</v>
      </c>
      <c r="O1978" s="22" t="e">
        <v>#N/A</v>
      </c>
      <c r="P1978" s="4" t="e">
        <f t="shared" si="150"/>
        <v>#N/A</v>
      </c>
      <c r="Q1978" s="4" t="e">
        <f t="shared" si="151"/>
        <v>#N/A</v>
      </c>
      <c r="R1978" s="4" t="e">
        <f>IF(AND(B1978=1,N1978&gt;'Line Follower'!$C$7,SUM(C1978:K1978)&lt;4),1,0)</f>
        <v>#N/A</v>
      </c>
      <c r="S1978" s="4" t="e">
        <f>IF(AND(L1978=1,N1978&lt;'Line Follower'!$C$6,SUM(C1978:K1978)&lt;4),1,0)</f>
        <v>#N/A</v>
      </c>
      <c r="T1978" s="4" t="e">
        <f t="shared" si="152"/>
        <v>#N/A</v>
      </c>
      <c r="U1978" s="5" t="e">
        <f t="shared" si="153"/>
        <v>#N/A</v>
      </c>
      <c r="V1978" s="23" t="e">
        <f t="shared" si="154"/>
        <v>#N/A</v>
      </c>
    </row>
    <row r="1979" spans="2:22" x14ac:dyDescent="0.25">
      <c r="B1979" s="16">
        <v>0</v>
      </c>
      <c r="C1979" s="7">
        <v>0</v>
      </c>
      <c r="D1979" s="8">
        <v>0</v>
      </c>
      <c r="E1979" s="8">
        <v>1</v>
      </c>
      <c r="F1979" s="8">
        <v>1</v>
      </c>
      <c r="G1979" s="8">
        <v>1</v>
      </c>
      <c r="H1979" s="8">
        <v>0</v>
      </c>
      <c r="I1979" s="8">
        <v>1</v>
      </c>
      <c r="J1979" s="8">
        <v>1</v>
      </c>
      <c r="K1979" s="9">
        <v>1</v>
      </c>
      <c r="L1979" s="10">
        <v>1</v>
      </c>
      <c r="M1979" s="6">
        <v>0</v>
      </c>
      <c r="N1979" s="37" t="e" cm="1">
        <f t="array" ref="N1979">IF(OR(ISNUMBER(FIND(Aux!$D$3:$D$9,_xlfn.TEXTJOIN(,,C1979:K1979)))),NA(),IF(AND(SUM(C1979:F1979,H1979:K1979)=0,G1979=1),0,INT((SUMPRODUCT(C1979:F1979,COLUMN($A$1:$D$1)-1)+SUMPRODUCT(H1979:K1979,COLUMN($E$1:$H$1)-1))*'Line Follower'!$C$3/SUM(C1979:F1979,H1979:K1979)-'Line Follower'!$C$5)))</f>
        <v>#N/A</v>
      </c>
      <c r="O1979" s="22" t="e">
        <v>#N/A</v>
      </c>
      <c r="P1979" s="4" t="e">
        <f t="shared" si="150"/>
        <v>#N/A</v>
      </c>
      <c r="Q1979" s="4" t="e">
        <f t="shared" si="151"/>
        <v>#N/A</v>
      </c>
      <c r="R1979" s="4" t="e">
        <f>IF(AND(B1979=1,N1979&gt;'Line Follower'!$C$7,SUM(C1979:K1979)&lt;4),1,0)</f>
        <v>#N/A</v>
      </c>
      <c r="S1979" s="4" t="e">
        <f>IF(AND(L1979=1,N1979&lt;'Line Follower'!$C$6,SUM(C1979:K1979)&lt;4),1,0)</f>
        <v>#N/A</v>
      </c>
      <c r="T1979" s="4" t="e">
        <f t="shared" si="152"/>
        <v>#N/A</v>
      </c>
      <c r="U1979" s="5" t="e">
        <f t="shared" si="153"/>
        <v>#N/A</v>
      </c>
      <c r="V1979" s="23" t="e">
        <f t="shared" si="154"/>
        <v>#N/A</v>
      </c>
    </row>
    <row r="1980" spans="2:22" x14ac:dyDescent="0.25">
      <c r="B1980" s="16">
        <v>1</v>
      </c>
      <c r="C1980" s="7">
        <v>0</v>
      </c>
      <c r="D1980" s="8">
        <v>0</v>
      </c>
      <c r="E1980" s="8">
        <v>1</v>
      </c>
      <c r="F1980" s="8">
        <v>1</v>
      </c>
      <c r="G1980" s="8">
        <v>1</v>
      </c>
      <c r="H1980" s="8">
        <v>0</v>
      </c>
      <c r="I1980" s="8">
        <v>1</v>
      </c>
      <c r="J1980" s="8">
        <v>1</v>
      </c>
      <c r="K1980" s="9">
        <v>1</v>
      </c>
      <c r="L1980" s="10">
        <v>1</v>
      </c>
      <c r="M1980" s="6">
        <v>0</v>
      </c>
      <c r="N1980" s="37" t="e" cm="1">
        <f t="array" ref="N1980">IF(OR(ISNUMBER(FIND(Aux!$D$3:$D$9,_xlfn.TEXTJOIN(,,C1980:K1980)))),NA(),IF(AND(SUM(C1980:F1980,H1980:K1980)=0,G1980=1),0,INT((SUMPRODUCT(C1980:F1980,COLUMN($A$1:$D$1)-1)+SUMPRODUCT(H1980:K1980,COLUMN($E$1:$H$1)-1))*'Line Follower'!$C$3/SUM(C1980:F1980,H1980:K1980)-'Line Follower'!$C$5)))</f>
        <v>#N/A</v>
      </c>
      <c r="O1980" s="22" t="e">
        <v>#N/A</v>
      </c>
      <c r="P1980" s="4" t="e">
        <f t="shared" si="150"/>
        <v>#N/A</v>
      </c>
      <c r="Q1980" s="4" t="e">
        <f t="shared" si="151"/>
        <v>#N/A</v>
      </c>
      <c r="R1980" s="4" t="e">
        <f>IF(AND(B1980=1,N1980&gt;'Line Follower'!$C$7,SUM(C1980:K1980)&lt;4),1,0)</f>
        <v>#N/A</v>
      </c>
      <c r="S1980" s="4" t="e">
        <f>IF(AND(L1980=1,N1980&lt;'Line Follower'!$C$6,SUM(C1980:K1980)&lt;4),1,0)</f>
        <v>#N/A</v>
      </c>
      <c r="T1980" s="4" t="e">
        <f t="shared" si="152"/>
        <v>#N/A</v>
      </c>
      <c r="U1980" s="5" t="e">
        <f t="shared" si="153"/>
        <v>#N/A</v>
      </c>
      <c r="V1980" s="23" t="e">
        <f t="shared" si="154"/>
        <v>#N/A</v>
      </c>
    </row>
    <row r="1981" spans="2:22" x14ac:dyDescent="0.25">
      <c r="B1981" s="16">
        <v>0</v>
      </c>
      <c r="C1981" s="7">
        <v>1</v>
      </c>
      <c r="D1981" s="8">
        <v>0</v>
      </c>
      <c r="E1981" s="8">
        <v>1</v>
      </c>
      <c r="F1981" s="8">
        <v>1</v>
      </c>
      <c r="G1981" s="8">
        <v>1</v>
      </c>
      <c r="H1981" s="8">
        <v>0</v>
      </c>
      <c r="I1981" s="8">
        <v>1</v>
      </c>
      <c r="J1981" s="8">
        <v>1</v>
      </c>
      <c r="K1981" s="9">
        <v>1</v>
      </c>
      <c r="L1981" s="10">
        <v>1</v>
      </c>
      <c r="M1981" s="6">
        <v>0</v>
      </c>
      <c r="N1981" s="37" t="e" cm="1">
        <f t="array" ref="N1981">IF(OR(ISNUMBER(FIND(Aux!$D$3:$D$9,_xlfn.TEXTJOIN(,,C1981:K1981)))),NA(),IF(AND(SUM(C1981:F1981,H1981:K1981)=0,G1981=1),0,INT((SUMPRODUCT(C1981:F1981,COLUMN($A$1:$D$1)-1)+SUMPRODUCT(H1981:K1981,COLUMN($E$1:$H$1)-1))*'Line Follower'!$C$3/SUM(C1981:F1981,H1981:K1981)-'Line Follower'!$C$5)))</f>
        <v>#N/A</v>
      </c>
      <c r="O1981" s="22" t="e">
        <v>#N/A</v>
      </c>
      <c r="P1981" s="4" t="e">
        <f t="shared" si="150"/>
        <v>#N/A</v>
      </c>
      <c r="Q1981" s="4" t="e">
        <f t="shared" si="151"/>
        <v>#N/A</v>
      </c>
      <c r="R1981" s="4" t="e">
        <f>IF(AND(B1981=1,N1981&gt;'Line Follower'!$C$7,SUM(C1981:K1981)&lt;4),1,0)</f>
        <v>#N/A</v>
      </c>
      <c r="S1981" s="4" t="e">
        <f>IF(AND(L1981=1,N1981&lt;'Line Follower'!$C$6,SUM(C1981:K1981)&lt;4),1,0)</f>
        <v>#N/A</v>
      </c>
      <c r="T1981" s="4" t="e">
        <f t="shared" si="152"/>
        <v>#N/A</v>
      </c>
      <c r="U1981" s="5" t="e">
        <f t="shared" si="153"/>
        <v>#N/A</v>
      </c>
      <c r="V1981" s="23" t="e">
        <f t="shared" si="154"/>
        <v>#N/A</v>
      </c>
    </row>
    <row r="1982" spans="2:22" x14ac:dyDescent="0.25">
      <c r="B1982" s="16">
        <v>1</v>
      </c>
      <c r="C1982" s="7">
        <v>1</v>
      </c>
      <c r="D1982" s="8">
        <v>0</v>
      </c>
      <c r="E1982" s="8">
        <v>1</v>
      </c>
      <c r="F1982" s="8">
        <v>1</v>
      </c>
      <c r="G1982" s="8">
        <v>1</v>
      </c>
      <c r="H1982" s="8">
        <v>0</v>
      </c>
      <c r="I1982" s="8">
        <v>1</v>
      </c>
      <c r="J1982" s="8">
        <v>1</v>
      </c>
      <c r="K1982" s="9">
        <v>1</v>
      </c>
      <c r="L1982" s="10">
        <v>1</v>
      </c>
      <c r="M1982" s="6">
        <v>0</v>
      </c>
      <c r="N1982" s="37" t="e" cm="1">
        <f t="array" ref="N1982">IF(OR(ISNUMBER(FIND(Aux!$D$3:$D$9,_xlfn.TEXTJOIN(,,C1982:K1982)))),NA(),IF(AND(SUM(C1982:F1982,H1982:K1982)=0,G1982=1),0,INT((SUMPRODUCT(C1982:F1982,COLUMN($A$1:$D$1)-1)+SUMPRODUCT(H1982:K1982,COLUMN($E$1:$H$1)-1))*'Line Follower'!$C$3/SUM(C1982:F1982,H1982:K1982)-'Line Follower'!$C$5)))</f>
        <v>#N/A</v>
      </c>
      <c r="O1982" s="22" t="e">
        <v>#N/A</v>
      </c>
      <c r="P1982" s="4" t="e">
        <f t="shared" si="150"/>
        <v>#N/A</v>
      </c>
      <c r="Q1982" s="4" t="e">
        <f t="shared" si="151"/>
        <v>#N/A</v>
      </c>
      <c r="R1982" s="4" t="e">
        <f>IF(AND(B1982=1,N1982&gt;'Line Follower'!$C$7,SUM(C1982:K1982)&lt;4),1,0)</f>
        <v>#N/A</v>
      </c>
      <c r="S1982" s="4" t="e">
        <f>IF(AND(L1982=1,N1982&lt;'Line Follower'!$C$6,SUM(C1982:K1982)&lt;4),1,0)</f>
        <v>#N/A</v>
      </c>
      <c r="T1982" s="4" t="e">
        <f t="shared" si="152"/>
        <v>#N/A</v>
      </c>
      <c r="U1982" s="5" t="e">
        <f t="shared" si="153"/>
        <v>#N/A</v>
      </c>
      <c r="V1982" s="23" t="e">
        <f t="shared" si="154"/>
        <v>#N/A</v>
      </c>
    </row>
    <row r="1983" spans="2:22" x14ac:dyDescent="0.25">
      <c r="B1983" s="16">
        <v>0</v>
      </c>
      <c r="C1983" s="7">
        <v>0</v>
      </c>
      <c r="D1983" s="8">
        <v>1</v>
      </c>
      <c r="E1983" s="8">
        <v>1</v>
      </c>
      <c r="F1983" s="8">
        <v>1</v>
      </c>
      <c r="G1983" s="8">
        <v>1</v>
      </c>
      <c r="H1983" s="8">
        <v>0</v>
      </c>
      <c r="I1983" s="8">
        <v>1</v>
      </c>
      <c r="J1983" s="8">
        <v>1</v>
      </c>
      <c r="K1983" s="9">
        <v>1</v>
      </c>
      <c r="L1983" s="10">
        <v>1</v>
      </c>
      <c r="M1983" s="6">
        <v>0</v>
      </c>
      <c r="N1983" s="37" t="e" cm="1">
        <f t="array" ref="N1983">IF(OR(ISNUMBER(FIND(Aux!$D$3:$D$9,_xlfn.TEXTJOIN(,,C1983:K1983)))),NA(),IF(AND(SUM(C1983:F1983,H1983:K1983)=0,G1983=1),0,INT((SUMPRODUCT(C1983:F1983,COLUMN($A$1:$D$1)-1)+SUMPRODUCT(H1983:K1983,COLUMN($E$1:$H$1)-1))*'Line Follower'!$C$3/SUM(C1983:F1983,H1983:K1983)-'Line Follower'!$C$5)))</f>
        <v>#N/A</v>
      </c>
      <c r="O1983" s="22" t="e">
        <v>#N/A</v>
      </c>
      <c r="P1983" s="4" t="e">
        <f t="shared" si="150"/>
        <v>#N/A</v>
      </c>
      <c r="Q1983" s="4" t="e">
        <f t="shared" si="151"/>
        <v>#N/A</v>
      </c>
      <c r="R1983" s="4" t="e">
        <f>IF(AND(B1983=1,N1983&gt;'Line Follower'!$C$7,SUM(C1983:K1983)&lt;4),1,0)</f>
        <v>#N/A</v>
      </c>
      <c r="S1983" s="4" t="e">
        <f>IF(AND(L1983=1,N1983&lt;'Line Follower'!$C$6,SUM(C1983:K1983)&lt;4),1,0)</f>
        <v>#N/A</v>
      </c>
      <c r="T1983" s="4" t="e">
        <f t="shared" si="152"/>
        <v>#N/A</v>
      </c>
      <c r="U1983" s="5" t="e">
        <f t="shared" si="153"/>
        <v>#N/A</v>
      </c>
      <c r="V1983" s="23" t="e">
        <f t="shared" si="154"/>
        <v>#N/A</v>
      </c>
    </row>
    <row r="1984" spans="2:22" x14ac:dyDescent="0.25">
      <c r="B1984" s="16">
        <v>1</v>
      </c>
      <c r="C1984" s="7">
        <v>0</v>
      </c>
      <c r="D1984" s="8">
        <v>1</v>
      </c>
      <c r="E1984" s="8">
        <v>1</v>
      </c>
      <c r="F1984" s="8">
        <v>1</v>
      </c>
      <c r="G1984" s="8">
        <v>1</v>
      </c>
      <c r="H1984" s="8">
        <v>0</v>
      </c>
      <c r="I1984" s="8">
        <v>1</v>
      </c>
      <c r="J1984" s="8">
        <v>1</v>
      </c>
      <c r="K1984" s="9">
        <v>1</v>
      </c>
      <c r="L1984" s="10">
        <v>1</v>
      </c>
      <c r="M1984" s="6">
        <v>0</v>
      </c>
      <c r="N1984" s="37" t="e" cm="1">
        <f t="array" ref="N1984">IF(OR(ISNUMBER(FIND(Aux!$D$3:$D$9,_xlfn.TEXTJOIN(,,C1984:K1984)))),NA(),IF(AND(SUM(C1984:F1984,H1984:K1984)=0,G1984=1),0,INT((SUMPRODUCT(C1984:F1984,COLUMN($A$1:$D$1)-1)+SUMPRODUCT(H1984:K1984,COLUMN($E$1:$H$1)-1))*'Line Follower'!$C$3/SUM(C1984:F1984,H1984:K1984)-'Line Follower'!$C$5)))</f>
        <v>#N/A</v>
      </c>
      <c r="O1984" s="22" t="e">
        <v>#N/A</v>
      </c>
      <c r="P1984" s="4" t="e">
        <f t="shared" si="150"/>
        <v>#N/A</v>
      </c>
      <c r="Q1984" s="4" t="e">
        <f t="shared" si="151"/>
        <v>#N/A</v>
      </c>
      <c r="R1984" s="4" t="e">
        <f>IF(AND(B1984=1,N1984&gt;'Line Follower'!$C$7,SUM(C1984:K1984)&lt;4),1,0)</f>
        <v>#N/A</v>
      </c>
      <c r="S1984" s="4" t="e">
        <f>IF(AND(L1984=1,N1984&lt;'Line Follower'!$C$6,SUM(C1984:K1984)&lt;4),1,0)</f>
        <v>#N/A</v>
      </c>
      <c r="T1984" s="4" t="e">
        <f t="shared" si="152"/>
        <v>#N/A</v>
      </c>
      <c r="U1984" s="5" t="e">
        <f t="shared" si="153"/>
        <v>#N/A</v>
      </c>
      <c r="V1984" s="23" t="e">
        <f t="shared" si="154"/>
        <v>#N/A</v>
      </c>
    </row>
    <row r="1985" spans="2:22" x14ac:dyDescent="0.25">
      <c r="B1985" s="16">
        <v>0</v>
      </c>
      <c r="C1985" s="7">
        <v>1</v>
      </c>
      <c r="D1985" s="8">
        <v>1</v>
      </c>
      <c r="E1985" s="8">
        <v>1</v>
      </c>
      <c r="F1985" s="8">
        <v>1</v>
      </c>
      <c r="G1985" s="8">
        <v>1</v>
      </c>
      <c r="H1985" s="8">
        <v>0</v>
      </c>
      <c r="I1985" s="8">
        <v>1</v>
      </c>
      <c r="J1985" s="8">
        <v>1</v>
      </c>
      <c r="K1985" s="9">
        <v>1</v>
      </c>
      <c r="L1985" s="10">
        <v>1</v>
      </c>
      <c r="M1985" s="6">
        <v>0</v>
      </c>
      <c r="N1985" s="37" t="e" cm="1">
        <f t="array" ref="N1985">IF(OR(ISNUMBER(FIND(Aux!$D$3:$D$9,_xlfn.TEXTJOIN(,,C1985:K1985)))),NA(),IF(AND(SUM(C1985:F1985,H1985:K1985)=0,G1985=1),0,INT((SUMPRODUCT(C1985:F1985,COLUMN($A$1:$D$1)-1)+SUMPRODUCT(H1985:K1985,COLUMN($E$1:$H$1)-1))*'Line Follower'!$C$3/SUM(C1985:F1985,H1985:K1985)-'Line Follower'!$C$5)))</f>
        <v>#N/A</v>
      </c>
      <c r="O1985" s="22" t="e">
        <v>#N/A</v>
      </c>
      <c r="P1985" s="4" t="e">
        <f t="shared" si="150"/>
        <v>#N/A</v>
      </c>
      <c r="Q1985" s="4" t="e">
        <f t="shared" si="151"/>
        <v>#N/A</v>
      </c>
      <c r="R1985" s="4" t="e">
        <f>IF(AND(B1985=1,N1985&gt;'Line Follower'!$C$7,SUM(C1985:K1985)&lt;4),1,0)</f>
        <v>#N/A</v>
      </c>
      <c r="S1985" s="4" t="e">
        <f>IF(AND(L1985=1,N1985&lt;'Line Follower'!$C$6,SUM(C1985:K1985)&lt;4),1,0)</f>
        <v>#N/A</v>
      </c>
      <c r="T1985" s="4" t="e">
        <f t="shared" si="152"/>
        <v>#N/A</v>
      </c>
      <c r="U1985" s="5" t="e">
        <f t="shared" si="153"/>
        <v>#N/A</v>
      </c>
      <c r="V1985" s="23" t="e">
        <f t="shared" si="154"/>
        <v>#N/A</v>
      </c>
    </row>
    <row r="1986" spans="2:22" x14ac:dyDescent="0.25">
      <c r="B1986" s="16">
        <v>1</v>
      </c>
      <c r="C1986" s="7">
        <v>1</v>
      </c>
      <c r="D1986" s="8">
        <v>1</v>
      </c>
      <c r="E1986" s="8">
        <v>1</v>
      </c>
      <c r="F1986" s="8">
        <v>1</v>
      </c>
      <c r="G1986" s="8">
        <v>1</v>
      </c>
      <c r="H1986" s="8">
        <v>0</v>
      </c>
      <c r="I1986" s="8">
        <v>1</v>
      </c>
      <c r="J1986" s="8">
        <v>1</v>
      </c>
      <c r="K1986" s="9">
        <v>1</v>
      </c>
      <c r="L1986" s="10">
        <v>1</v>
      </c>
      <c r="M1986" s="6">
        <v>0</v>
      </c>
      <c r="N1986" s="37" t="e" cm="1">
        <f t="array" ref="N1986">IF(OR(ISNUMBER(FIND(Aux!$D$3:$D$9,_xlfn.TEXTJOIN(,,C1986:K1986)))),NA(),IF(AND(SUM(C1986:F1986,H1986:K1986)=0,G1986=1),0,INT((SUMPRODUCT(C1986:F1986,COLUMN($A$1:$D$1)-1)+SUMPRODUCT(H1986:K1986,COLUMN($E$1:$H$1)-1))*'Line Follower'!$C$3/SUM(C1986:F1986,H1986:K1986)-'Line Follower'!$C$5)))</f>
        <v>#N/A</v>
      </c>
      <c r="O1986" s="22" t="e">
        <v>#N/A</v>
      </c>
      <c r="P1986" s="4" t="e">
        <f t="shared" si="150"/>
        <v>#N/A</v>
      </c>
      <c r="Q1986" s="4" t="e">
        <f t="shared" si="151"/>
        <v>#N/A</v>
      </c>
      <c r="R1986" s="4" t="e">
        <f>IF(AND(B1986=1,N1986&gt;'Line Follower'!$C$7,SUM(C1986:K1986)&lt;4),1,0)</f>
        <v>#N/A</v>
      </c>
      <c r="S1986" s="4" t="e">
        <f>IF(AND(L1986=1,N1986&lt;'Line Follower'!$C$6,SUM(C1986:K1986)&lt;4),1,0)</f>
        <v>#N/A</v>
      </c>
      <c r="T1986" s="4" t="e">
        <f t="shared" si="152"/>
        <v>#N/A</v>
      </c>
      <c r="U1986" s="5" t="e">
        <f t="shared" si="153"/>
        <v>#N/A</v>
      </c>
      <c r="V1986" s="23" t="e">
        <f t="shared" si="154"/>
        <v>#N/A</v>
      </c>
    </row>
    <row r="1987" spans="2:22" x14ac:dyDescent="0.25">
      <c r="B1987" s="16">
        <v>0</v>
      </c>
      <c r="C1987" s="7">
        <v>0</v>
      </c>
      <c r="D1987" s="8">
        <v>0</v>
      </c>
      <c r="E1987" s="8">
        <v>0</v>
      </c>
      <c r="F1987" s="8">
        <v>0</v>
      </c>
      <c r="G1987" s="8">
        <v>0</v>
      </c>
      <c r="H1987" s="8">
        <v>1</v>
      </c>
      <c r="I1987" s="8">
        <v>1</v>
      </c>
      <c r="J1987" s="8">
        <v>1</v>
      </c>
      <c r="K1987" s="9">
        <v>1</v>
      </c>
      <c r="L1987" s="10">
        <v>1</v>
      </c>
      <c r="M1987" s="6">
        <v>0</v>
      </c>
      <c r="N1987" s="37" cm="1">
        <f t="array" ref="N1987">IF(OR(ISNUMBER(FIND(Aux!$D$3:$D$9,_xlfn.TEXTJOIN(,,C1987:K1987)))),NA(),IF(AND(SUM(C1987:F1987,H1987:K1987)=0,G1987=1),0,INT((SUMPRODUCT(C1987:F1987,COLUMN($A$1:$D$1)-1)+SUMPRODUCT(H1987:K1987,COLUMN($E$1:$H$1)-1))*'Line Follower'!$C$3/SUM(C1987:F1987,H1987:K1987)-'Line Follower'!$C$5)))</f>
        <v>4</v>
      </c>
      <c r="O1987" s="22">
        <v>1</v>
      </c>
      <c r="P1987" s="4">
        <f t="shared" ref="P1987:P2050" si="155">IF(AND(N1987=0,G1987=1,M1987=1),1,0)</f>
        <v>0</v>
      </c>
      <c r="Q1987" s="4">
        <f t="shared" ref="Q1987:Q2050" si="156">IF(ISERROR(N1987),N1987,IF(SUM(C1987:K1987)&gt;=4,1,0))</f>
        <v>1</v>
      </c>
      <c r="R1987" s="4">
        <f>IF(AND(B1987=1,N1987&gt;'Line Follower'!$C$7,SUM(C1987:K1987)&lt;4),1,0)</f>
        <v>0</v>
      </c>
      <c r="S1987" s="4">
        <f>IF(AND(L1987=1,N1987&lt;'Line Follower'!$C$6,SUM(C1987:K1987)&lt;4),1,0)</f>
        <v>0</v>
      </c>
      <c r="T1987" s="4">
        <f t="shared" si="152"/>
        <v>0</v>
      </c>
      <c r="U1987" s="5">
        <f t="shared" si="153"/>
        <v>0</v>
      </c>
      <c r="V1987" s="23">
        <f t="shared" si="154"/>
        <v>0</v>
      </c>
    </row>
    <row r="1988" spans="2:22" x14ac:dyDescent="0.25">
      <c r="B1988" s="16">
        <v>1</v>
      </c>
      <c r="C1988" s="7">
        <v>0</v>
      </c>
      <c r="D1988" s="8">
        <v>0</v>
      </c>
      <c r="E1988" s="8">
        <v>0</v>
      </c>
      <c r="F1988" s="8">
        <v>0</v>
      </c>
      <c r="G1988" s="8">
        <v>0</v>
      </c>
      <c r="H1988" s="8">
        <v>1</v>
      </c>
      <c r="I1988" s="8">
        <v>1</v>
      </c>
      <c r="J1988" s="8">
        <v>1</v>
      </c>
      <c r="K1988" s="9">
        <v>1</v>
      </c>
      <c r="L1988" s="10">
        <v>1</v>
      </c>
      <c r="M1988" s="6">
        <v>0</v>
      </c>
      <c r="N1988" s="37" cm="1">
        <f t="array" ref="N1988">IF(OR(ISNUMBER(FIND(Aux!$D$3:$D$9,_xlfn.TEXTJOIN(,,C1988:K1988)))),NA(),IF(AND(SUM(C1988:F1988,H1988:K1988)=0,G1988=1),0,INT((SUMPRODUCT(C1988:F1988,COLUMN($A$1:$D$1)-1)+SUMPRODUCT(H1988:K1988,COLUMN($E$1:$H$1)-1))*'Line Follower'!$C$3/SUM(C1988:F1988,H1988:K1988)-'Line Follower'!$C$5)))</f>
        <v>4</v>
      </c>
      <c r="O1988" s="22">
        <v>1</v>
      </c>
      <c r="P1988" s="4">
        <f t="shared" si="155"/>
        <v>0</v>
      </c>
      <c r="Q1988" s="4">
        <f t="shared" si="156"/>
        <v>1</v>
      </c>
      <c r="R1988" s="4">
        <f>IF(AND(B1988=1,N1988&gt;'Line Follower'!$C$7,SUM(C1988:K1988)&lt;4),1,0)</f>
        <v>0</v>
      </c>
      <c r="S1988" s="4">
        <f>IF(AND(L1988=1,N1988&lt;'Line Follower'!$C$6,SUM(C1988:K1988)&lt;4),1,0)</f>
        <v>0</v>
      </c>
      <c r="T1988" s="4">
        <f t="shared" ref="T1988:T2051" si="157">IF(ISNA(N1988),NA(),IF(SUM(C1988:L1988)=0,1,0))</f>
        <v>0</v>
      </c>
      <c r="U1988" s="5">
        <f t="shared" ref="U1988:U2051" si="158">IF(ISNA(N1988),NA(),IF(SUM(B1988:K1988)=0,1,0))</f>
        <v>0</v>
      </c>
      <c r="V1988" s="23">
        <f t="shared" ref="V1988:V2051" si="159">IF(ISNA(N1988),NA(),IF(SUM(B1988:L1988)=0,1,0))</f>
        <v>0</v>
      </c>
    </row>
    <row r="1989" spans="2:22" x14ac:dyDescent="0.25">
      <c r="B1989" s="16">
        <v>0</v>
      </c>
      <c r="C1989" s="7">
        <v>1</v>
      </c>
      <c r="D1989" s="8">
        <v>0</v>
      </c>
      <c r="E1989" s="8">
        <v>0</v>
      </c>
      <c r="F1989" s="8">
        <v>0</v>
      </c>
      <c r="G1989" s="8">
        <v>0</v>
      </c>
      <c r="H1989" s="8">
        <v>1</v>
      </c>
      <c r="I1989" s="8">
        <v>1</v>
      </c>
      <c r="J1989" s="8">
        <v>1</v>
      </c>
      <c r="K1989" s="9">
        <v>1</v>
      </c>
      <c r="L1989" s="10">
        <v>1</v>
      </c>
      <c r="M1989" s="6">
        <v>0</v>
      </c>
      <c r="N1989" s="37" t="e" cm="1">
        <f t="array" ref="N1989">IF(OR(ISNUMBER(FIND(Aux!$D$3:$D$9,_xlfn.TEXTJOIN(,,C1989:K1989)))),NA(),IF(AND(SUM(C1989:F1989,H1989:K1989)=0,G1989=1),0,INT((SUMPRODUCT(C1989:F1989,COLUMN($A$1:$D$1)-1)+SUMPRODUCT(H1989:K1989,COLUMN($E$1:$H$1)-1))*'Line Follower'!$C$3/SUM(C1989:F1989,H1989:K1989)-'Line Follower'!$C$5)))</f>
        <v>#N/A</v>
      </c>
      <c r="O1989" s="22" t="e">
        <v>#N/A</v>
      </c>
      <c r="P1989" s="4" t="e">
        <f t="shared" si="155"/>
        <v>#N/A</v>
      </c>
      <c r="Q1989" s="4" t="e">
        <f t="shared" si="156"/>
        <v>#N/A</v>
      </c>
      <c r="R1989" s="4" t="e">
        <f>IF(AND(B1989=1,N1989&gt;'Line Follower'!$C$7,SUM(C1989:K1989)&lt;4),1,0)</f>
        <v>#N/A</v>
      </c>
      <c r="S1989" s="4" t="e">
        <f>IF(AND(L1989=1,N1989&lt;'Line Follower'!$C$6,SUM(C1989:K1989)&lt;4),1,0)</f>
        <v>#N/A</v>
      </c>
      <c r="T1989" s="4" t="e">
        <f t="shared" si="157"/>
        <v>#N/A</v>
      </c>
      <c r="U1989" s="5" t="e">
        <f t="shared" si="158"/>
        <v>#N/A</v>
      </c>
      <c r="V1989" s="23" t="e">
        <f t="shared" si="159"/>
        <v>#N/A</v>
      </c>
    </row>
    <row r="1990" spans="2:22" x14ac:dyDescent="0.25">
      <c r="B1990" s="16">
        <v>1</v>
      </c>
      <c r="C1990" s="7">
        <v>1</v>
      </c>
      <c r="D1990" s="8">
        <v>0</v>
      </c>
      <c r="E1990" s="8">
        <v>0</v>
      </c>
      <c r="F1990" s="8">
        <v>0</v>
      </c>
      <c r="G1990" s="8">
        <v>0</v>
      </c>
      <c r="H1990" s="8">
        <v>1</v>
      </c>
      <c r="I1990" s="8">
        <v>1</v>
      </c>
      <c r="J1990" s="8">
        <v>1</v>
      </c>
      <c r="K1990" s="9">
        <v>1</v>
      </c>
      <c r="L1990" s="10">
        <v>1</v>
      </c>
      <c r="M1990" s="6">
        <v>0</v>
      </c>
      <c r="N1990" s="37" t="e" cm="1">
        <f t="array" ref="N1990">IF(OR(ISNUMBER(FIND(Aux!$D$3:$D$9,_xlfn.TEXTJOIN(,,C1990:K1990)))),NA(),IF(AND(SUM(C1990:F1990,H1990:K1990)=0,G1990=1),0,INT((SUMPRODUCT(C1990:F1990,COLUMN($A$1:$D$1)-1)+SUMPRODUCT(H1990:K1990,COLUMN($E$1:$H$1)-1))*'Line Follower'!$C$3/SUM(C1990:F1990,H1990:K1990)-'Line Follower'!$C$5)))</f>
        <v>#N/A</v>
      </c>
      <c r="O1990" s="22" t="e">
        <v>#N/A</v>
      </c>
      <c r="P1990" s="4" t="e">
        <f t="shared" si="155"/>
        <v>#N/A</v>
      </c>
      <c r="Q1990" s="4" t="e">
        <f t="shared" si="156"/>
        <v>#N/A</v>
      </c>
      <c r="R1990" s="4" t="e">
        <f>IF(AND(B1990=1,N1990&gt;'Line Follower'!$C$7,SUM(C1990:K1990)&lt;4),1,0)</f>
        <v>#N/A</v>
      </c>
      <c r="S1990" s="4" t="e">
        <f>IF(AND(L1990=1,N1990&lt;'Line Follower'!$C$6,SUM(C1990:K1990)&lt;4),1,0)</f>
        <v>#N/A</v>
      </c>
      <c r="T1990" s="4" t="e">
        <f t="shared" si="157"/>
        <v>#N/A</v>
      </c>
      <c r="U1990" s="5" t="e">
        <f t="shared" si="158"/>
        <v>#N/A</v>
      </c>
      <c r="V1990" s="23" t="e">
        <f t="shared" si="159"/>
        <v>#N/A</v>
      </c>
    </row>
    <row r="1991" spans="2:22" x14ac:dyDescent="0.25">
      <c r="B1991" s="16">
        <v>0</v>
      </c>
      <c r="C1991" s="7">
        <v>0</v>
      </c>
      <c r="D1991" s="8">
        <v>1</v>
      </c>
      <c r="E1991" s="8">
        <v>0</v>
      </c>
      <c r="F1991" s="8">
        <v>0</v>
      </c>
      <c r="G1991" s="8">
        <v>0</v>
      </c>
      <c r="H1991" s="8">
        <v>1</v>
      </c>
      <c r="I1991" s="8">
        <v>1</v>
      </c>
      <c r="J1991" s="8">
        <v>1</v>
      </c>
      <c r="K1991" s="9">
        <v>1</v>
      </c>
      <c r="L1991" s="10">
        <v>1</v>
      </c>
      <c r="M1991" s="6">
        <v>0</v>
      </c>
      <c r="N1991" s="37" t="e" cm="1">
        <f t="array" ref="N1991">IF(OR(ISNUMBER(FIND(Aux!$D$3:$D$9,_xlfn.TEXTJOIN(,,C1991:K1991)))),NA(),IF(AND(SUM(C1991:F1991,H1991:K1991)=0,G1991=1),0,INT((SUMPRODUCT(C1991:F1991,COLUMN($A$1:$D$1)-1)+SUMPRODUCT(H1991:K1991,COLUMN($E$1:$H$1)-1))*'Line Follower'!$C$3/SUM(C1991:F1991,H1991:K1991)-'Line Follower'!$C$5)))</f>
        <v>#N/A</v>
      </c>
      <c r="O1991" s="22" t="e">
        <v>#N/A</v>
      </c>
      <c r="P1991" s="4" t="e">
        <f t="shared" si="155"/>
        <v>#N/A</v>
      </c>
      <c r="Q1991" s="4" t="e">
        <f t="shared" si="156"/>
        <v>#N/A</v>
      </c>
      <c r="R1991" s="4" t="e">
        <f>IF(AND(B1991=1,N1991&gt;'Line Follower'!$C$7,SUM(C1991:K1991)&lt;4),1,0)</f>
        <v>#N/A</v>
      </c>
      <c r="S1991" s="4" t="e">
        <f>IF(AND(L1991=1,N1991&lt;'Line Follower'!$C$6,SUM(C1991:K1991)&lt;4),1,0)</f>
        <v>#N/A</v>
      </c>
      <c r="T1991" s="4" t="e">
        <f t="shared" si="157"/>
        <v>#N/A</v>
      </c>
      <c r="U1991" s="5" t="e">
        <f t="shared" si="158"/>
        <v>#N/A</v>
      </c>
      <c r="V1991" s="23" t="e">
        <f t="shared" si="159"/>
        <v>#N/A</v>
      </c>
    </row>
    <row r="1992" spans="2:22" x14ac:dyDescent="0.25">
      <c r="B1992" s="16">
        <v>1</v>
      </c>
      <c r="C1992" s="7">
        <v>0</v>
      </c>
      <c r="D1992" s="8">
        <v>1</v>
      </c>
      <c r="E1992" s="8">
        <v>0</v>
      </c>
      <c r="F1992" s="8">
        <v>0</v>
      </c>
      <c r="G1992" s="8">
        <v>0</v>
      </c>
      <c r="H1992" s="8">
        <v>1</v>
      </c>
      <c r="I1992" s="8">
        <v>1</v>
      </c>
      <c r="J1992" s="8">
        <v>1</v>
      </c>
      <c r="K1992" s="9">
        <v>1</v>
      </c>
      <c r="L1992" s="10">
        <v>1</v>
      </c>
      <c r="M1992" s="6">
        <v>0</v>
      </c>
      <c r="N1992" s="37" t="e" cm="1">
        <f t="array" ref="N1992">IF(OR(ISNUMBER(FIND(Aux!$D$3:$D$9,_xlfn.TEXTJOIN(,,C1992:K1992)))),NA(),IF(AND(SUM(C1992:F1992,H1992:K1992)=0,G1992=1),0,INT((SUMPRODUCT(C1992:F1992,COLUMN($A$1:$D$1)-1)+SUMPRODUCT(H1992:K1992,COLUMN($E$1:$H$1)-1))*'Line Follower'!$C$3/SUM(C1992:F1992,H1992:K1992)-'Line Follower'!$C$5)))</f>
        <v>#N/A</v>
      </c>
      <c r="O1992" s="22" t="e">
        <v>#N/A</v>
      </c>
      <c r="P1992" s="4" t="e">
        <f t="shared" si="155"/>
        <v>#N/A</v>
      </c>
      <c r="Q1992" s="4" t="e">
        <f t="shared" si="156"/>
        <v>#N/A</v>
      </c>
      <c r="R1992" s="4" t="e">
        <f>IF(AND(B1992=1,N1992&gt;'Line Follower'!$C$7,SUM(C1992:K1992)&lt;4),1,0)</f>
        <v>#N/A</v>
      </c>
      <c r="S1992" s="4" t="e">
        <f>IF(AND(L1992=1,N1992&lt;'Line Follower'!$C$6,SUM(C1992:K1992)&lt;4),1,0)</f>
        <v>#N/A</v>
      </c>
      <c r="T1992" s="4" t="e">
        <f t="shared" si="157"/>
        <v>#N/A</v>
      </c>
      <c r="U1992" s="5" t="e">
        <f t="shared" si="158"/>
        <v>#N/A</v>
      </c>
      <c r="V1992" s="23" t="e">
        <f t="shared" si="159"/>
        <v>#N/A</v>
      </c>
    </row>
    <row r="1993" spans="2:22" x14ac:dyDescent="0.25">
      <c r="B1993" s="16">
        <v>0</v>
      </c>
      <c r="C1993" s="7">
        <v>1</v>
      </c>
      <c r="D1993" s="8">
        <v>1</v>
      </c>
      <c r="E1993" s="8">
        <v>0</v>
      </c>
      <c r="F1993" s="8">
        <v>0</v>
      </c>
      <c r="G1993" s="8">
        <v>0</v>
      </c>
      <c r="H1993" s="8">
        <v>1</v>
      </c>
      <c r="I1993" s="8">
        <v>1</v>
      </c>
      <c r="J1993" s="8">
        <v>1</v>
      </c>
      <c r="K1993" s="9">
        <v>1</v>
      </c>
      <c r="L1993" s="10">
        <v>1</v>
      </c>
      <c r="M1993" s="6">
        <v>0</v>
      </c>
      <c r="N1993" s="37" t="e" cm="1">
        <f t="array" ref="N1993">IF(OR(ISNUMBER(FIND(Aux!$D$3:$D$9,_xlfn.TEXTJOIN(,,C1993:K1993)))),NA(),IF(AND(SUM(C1993:F1993,H1993:K1993)=0,G1993=1),0,INT((SUMPRODUCT(C1993:F1993,COLUMN($A$1:$D$1)-1)+SUMPRODUCT(H1993:K1993,COLUMN($E$1:$H$1)-1))*'Line Follower'!$C$3/SUM(C1993:F1993,H1993:K1993)-'Line Follower'!$C$5)))</f>
        <v>#N/A</v>
      </c>
      <c r="O1993" s="22" t="e">
        <v>#N/A</v>
      </c>
      <c r="P1993" s="4" t="e">
        <f t="shared" si="155"/>
        <v>#N/A</v>
      </c>
      <c r="Q1993" s="4" t="e">
        <f t="shared" si="156"/>
        <v>#N/A</v>
      </c>
      <c r="R1993" s="4" t="e">
        <f>IF(AND(B1993=1,N1993&gt;'Line Follower'!$C$7,SUM(C1993:K1993)&lt;4),1,0)</f>
        <v>#N/A</v>
      </c>
      <c r="S1993" s="4" t="e">
        <f>IF(AND(L1993=1,N1993&lt;'Line Follower'!$C$6,SUM(C1993:K1993)&lt;4),1,0)</f>
        <v>#N/A</v>
      </c>
      <c r="T1993" s="4" t="e">
        <f t="shared" si="157"/>
        <v>#N/A</v>
      </c>
      <c r="U1993" s="5" t="e">
        <f t="shared" si="158"/>
        <v>#N/A</v>
      </c>
      <c r="V1993" s="23" t="e">
        <f t="shared" si="159"/>
        <v>#N/A</v>
      </c>
    </row>
    <row r="1994" spans="2:22" x14ac:dyDescent="0.25">
      <c r="B1994" s="16">
        <v>1</v>
      </c>
      <c r="C1994" s="7">
        <v>1</v>
      </c>
      <c r="D1994" s="8">
        <v>1</v>
      </c>
      <c r="E1994" s="8">
        <v>0</v>
      </c>
      <c r="F1994" s="8">
        <v>0</v>
      </c>
      <c r="G1994" s="8">
        <v>0</v>
      </c>
      <c r="H1994" s="8">
        <v>1</v>
      </c>
      <c r="I1994" s="8">
        <v>1</v>
      </c>
      <c r="J1994" s="8">
        <v>1</v>
      </c>
      <c r="K1994" s="9">
        <v>1</v>
      </c>
      <c r="L1994" s="10">
        <v>1</v>
      </c>
      <c r="M1994" s="6">
        <v>0</v>
      </c>
      <c r="N1994" s="37" t="e" cm="1">
        <f t="array" ref="N1994">IF(OR(ISNUMBER(FIND(Aux!$D$3:$D$9,_xlfn.TEXTJOIN(,,C1994:K1994)))),NA(),IF(AND(SUM(C1994:F1994,H1994:K1994)=0,G1994=1),0,INT((SUMPRODUCT(C1994:F1994,COLUMN($A$1:$D$1)-1)+SUMPRODUCT(H1994:K1994,COLUMN($E$1:$H$1)-1))*'Line Follower'!$C$3/SUM(C1994:F1994,H1994:K1994)-'Line Follower'!$C$5)))</f>
        <v>#N/A</v>
      </c>
      <c r="O1994" s="22" t="e">
        <v>#N/A</v>
      </c>
      <c r="P1994" s="4" t="e">
        <f t="shared" si="155"/>
        <v>#N/A</v>
      </c>
      <c r="Q1994" s="4" t="e">
        <f t="shared" si="156"/>
        <v>#N/A</v>
      </c>
      <c r="R1994" s="4" t="e">
        <f>IF(AND(B1994=1,N1994&gt;'Line Follower'!$C$7,SUM(C1994:K1994)&lt;4),1,0)</f>
        <v>#N/A</v>
      </c>
      <c r="S1994" s="4" t="e">
        <f>IF(AND(L1994=1,N1994&lt;'Line Follower'!$C$6,SUM(C1994:K1994)&lt;4),1,0)</f>
        <v>#N/A</v>
      </c>
      <c r="T1994" s="4" t="e">
        <f t="shared" si="157"/>
        <v>#N/A</v>
      </c>
      <c r="U1994" s="5" t="e">
        <f t="shared" si="158"/>
        <v>#N/A</v>
      </c>
      <c r="V1994" s="23" t="e">
        <f t="shared" si="159"/>
        <v>#N/A</v>
      </c>
    </row>
    <row r="1995" spans="2:22" x14ac:dyDescent="0.25">
      <c r="B1995" s="16">
        <v>0</v>
      </c>
      <c r="C1995" s="7">
        <v>0</v>
      </c>
      <c r="D1995" s="8">
        <v>0</v>
      </c>
      <c r="E1995" s="8">
        <v>1</v>
      </c>
      <c r="F1995" s="8">
        <v>0</v>
      </c>
      <c r="G1995" s="8">
        <v>0</v>
      </c>
      <c r="H1995" s="8">
        <v>1</v>
      </c>
      <c r="I1995" s="8">
        <v>1</v>
      </c>
      <c r="J1995" s="8">
        <v>1</v>
      </c>
      <c r="K1995" s="9">
        <v>1</v>
      </c>
      <c r="L1995" s="10">
        <v>1</v>
      </c>
      <c r="M1995" s="6">
        <v>0</v>
      </c>
      <c r="N1995" s="37" t="e" cm="1">
        <f t="array" ref="N1995">IF(OR(ISNUMBER(FIND(Aux!$D$3:$D$9,_xlfn.TEXTJOIN(,,C1995:K1995)))),NA(),IF(AND(SUM(C1995:F1995,H1995:K1995)=0,G1995=1),0,INT((SUMPRODUCT(C1995:F1995,COLUMN($A$1:$D$1)-1)+SUMPRODUCT(H1995:K1995,COLUMN($E$1:$H$1)-1))*'Line Follower'!$C$3/SUM(C1995:F1995,H1995:K1995)-'Line Follower'!$C$5)))</f>
        <v>#N/A</v>
      </c>
      <c r="O1995" s="22" t="e">
        <v>#N/A</v>
      </c>
      <c r="P1995" s="4" t="e">
        <f t="shared" si="155"/>
        <v>#N/A</v>
      </c>
      <c r="Q1995" s="4" t="e">
        <f t="shared" si="156"/>
        <v>#N/A</v>
      </c>
      <c r="R1995" s="4" t="e">
        <f>IF(AND(B1995=1,N1995&gt;'Line Follower'!$C$7,SUM(C1995:K1995)&lt;4),1,0)</f>
        <v>#N/A</v>
      </c>
      <c r="S1995" s="4" t="e">
        <f>IF(AND(L1995=1,N1995&lt;'Line Follower'!$C$6,SUM(C1995:K1995)&lt;4),1,0)</f>
        <v>#N/A</v>
      </c>
      <c r="T1995" s="4" t="e">
        <f t="shared" si="157"/>
        <v>#N/A</v>
      </c>
      <c r="U1995" s="5" t="e">
        <f t="shared" si="158"/>
        <v>#N/A</v>
      </c>
      <c r="V1995" s="23" t="e">
        <f t="shared" si="159"/>
        <v>#N/A</v>
      </c>
    </row>
    <row r="1996" spans="2:22" x14ac:dyDescent="0.25">
      <c r="B1996" s="16">
        <v>1</v>
      </c>
      <c r="C1996" s="7">
        <v>0</v>
      </c>
      <c r="D1996" s="8">
        <v>0</v>
      </c>
      <c r="E1996" s="8">
        <v>1</v>
      </c>
      <c r="F1996" s="8">
        <v>0</v>
      </c>
      <c r="G1996" s="8">
        <v>0</v>
      </c>
      <c r="H1996" s="8">
        <v>1</v>
      </c>
      <c r="I1996" s="8">
        <v>1</v>
      </c>
      <c r="J1996" s="8">
        <v>1</v>
      </c>
      <c r="K1996" s="9">
        <v>1</v>
      </c>
      <c r="L1996" s="10">
        <v>1</v>
      </c>
      <c r="M1996" s="6">
        <v>0</v>
      </c>
      <c r="N1996" s="37" t="e" cm="1">
        <f t="array" ref="N1996">IF(OR(ISNUMBER(FIND(Aux!$D$3:$D$9,_xlfn.TEXTJOIN(,,C1996:K1996)))),NA(),IF(AND(SUM(C1996:F1996,H1996:K1996)=0,G1996=1),0,INT((SUMPRODUCT(C1996:F1996,COLUMN($A$1:$D$1)-1)+SUMPRODUCT(H1996:K1996,COLUMN($E$1:$H$1)-1))*'Line Follower'!$C$3/SUM(C1996:F1996,H1996:K1996)-'Line Follower'!$C$5)))</f>
        <v>#N/A</v>
      </c>
      <c r="O1996" s="22" t="e">
        <v>#N/A</v>
      </c>
      <c r="P1996" s="4" t="e">
        <f t="shared" si="155"/>
        <v>#N/A</v>
      </c>
      <c r="Q1996" s="4" t="e">
        <f t="shared" si="156"/>
        <v>#N/A</v>
      </c>
      <c r="R1996" s="4" t="e">
        <f>IF(AND(B1996=1,N1996&gt;'Line Follower'!$C$7,SUM(C1996:K1996)&lt;4),1,0)</f>
        <v>#N/A</v>
      </c>
      <c r="S1996" s="4" t="e">
        <f>IF(AND(L1996=1,N1996&lt;'Line Follower'!$C$6,SUM(C1996:K1996)&lt;4),1,0)</f>
        <v>#N/A</v>
      </c>
      <c r="T1996" s="4" t="e">
        <f t="shared" si="157"/>
        <v>#N/A</v>
      </c>
      <c r="U1996" s="5" t="e">
        <f t="shared" si="158"/>
        <v>#N/A</v>
      </c>
      <c r="V1996" s="23" t="e">
        <f t="shared" si="159"/>
        <v>#N/A</v>
      </c>
    </row>
    <row r="1997" spans="2:22" x14ac:dyDescent="0.25">
      <c r="B1997" s="16">
        <v>0</v>
      </c>
      <c r="C1997" s="7">
        <v>1</v>
      </c>
      <c r="D1997" s="8">
        <v>0</v>
      </c>
      <c r="E1997" s="8">
        <v>1</v>
      </c>
      <c r="F1997" s="8">
        <v>0</v>
      </c>
      <c r="G1997" s="8">
        <v>0</v>
      </c>
      <c r="H1997" s="8">
        <v>1</v>
      </c>
      <c r="I1997" s="8">
        <v>1</v>
      </c>
      <c r="J1997" s="8">
        <v>1</v>
      </c>
      <c r="K1997" s="9">
        <v>1</v>
      </c>
      <c r="L1997" s="10">
        <v>1</v>
      </c>
      <c r="M1997" s="6">
        <v>0</v>
      </c>
      <c r="N1997" s="37" t="e" cm="1">
        <f t="array" ref="N1997">IF(OR(ISNUMBER(FIND(Aux!$D$3:$D$9,_xlfn.TEXTJOIN(,,C1997:K1997)))),NA(),IF(AND(SUM(C1997:F1997,H1997:K1997)=0,G1997=1),0,INT((SUMPRODUCT(C1997:F1997,COLUMN($A$1:$D$1)-1)+SUMPRODUCT(H1997:K1997,COLUMN($E$1:$H$1)-1))*'Line Follower'!$C$3/SUM(C1997:F1997,H1997:K1997)-'Line Follower'!$C$5)))</f>
        <v>#N/A</v>
      </c>
      <c r="O1997" s="22" t="e">
        <v>#N/A</v>
      </c>
      <c r="P1997" s="4" t="e">
        <f t="shared" si="155"/>
        <v>#N/A</v>
      </c>
      <c r="Q1997" s="4" t="e">
        <f t="shared" si="156"/>
        <v>#N/A</v>
      </c>
      <c r="R1997" s="4" t="e">
        <f>IF(AND(B1997=1,N1997&gt;'Line Follower'!$C$7,SUM(C1997:K1997)&lt;4),1,0)</f>
        <v>#N/A</v>
      </c>
      <c r="S1997" s="4" t="e">
        <f>IF(AND(L1997=1,N1997&lt;'Line Follower'!$C$6,SUM(C1997:K1997)&lt;4),1,0)</f>
        <v>#N/A</v>
      </c>
      <c r="T1997" s="4" t="e">
        <f t="shared" si="157"/>
        <v>#N/A</v>
      </c>
      <c r="U1997" s="5" t="e">
        <f t="shared" si="158"/>
        <v>#N/A</v>
      </c>
      <c r="V1997" s="23" t="e">
        <f t="shared" si="159"/>
        <v>#N/A</v>
      </c>
    </row>
    <row r="1998" spans="2:22" x14ac:dyDescent="0.25">
      <c r="B1998" s="16">
        <v>1</v>
      </c>
      <c r="C1998" s="7">
        <v>1</v>
      </c>
      <c r="D1998" s="8">
        <v>0</v>
      </c>
      <c r="E1998" s="8">
        <v>1</v>
      </c>
      <c r="F1998" s="8">
        <v>0</v>
      </c>
      <c r="G1998" s="8">
        <v>0</v>
      </c>
      <c r="H1998" s="8">
        <v>1</v>
      </c>
      <c r="I1998" s="8">
        <v>1</v>
      </c>
      <c r="J1998" s="8">
        <v>1</v>
      </c>
      <c r="K1998" s="9">
        <v>1</v>
      </c>
      <c r="L1998" s="10">
        <v>1</v>
      </c>
      <c r="M1998" s="6">
        <v>0</v>
      </c>
      <c r="N1998" s="37" t="e" cm="1">
        <f t="array" ref="N1998">IF(OR(ISNUMBER(FIND(Aux!$D$3:$D$9,_xlfn.TEXTJOIN(,,C1998:K1998)))),NA(),IF(AND(SUM(C1998:F1998,H1998:K1998)=0,G1998=1),0,INT((SUMPRODUCT(C1998:F1998,COLUMN($A$1:$D$1)-1)+SUMPRODUCT(H1998:K1998,COLUMN($E$1:$H$1)-1))*'Line Follower'!$C$3/SUM(C1998:F1998,H1998:K1998)-'Line Follower'!$C$5)))</f>
        <v>#N/A</v>
      </c>
      <c r="O1998" s="22" t="e">
        <v>#N/A</v>
      </c>
      <c r="P1998" s="4" t="e">
        <f t="shared" si="155"/>
        <v>#N/A</v>
      </c>
      <c r="Q1998" s="4" t="e">
        <f t="shared" si="156"/>
        <v>#N/A</v>
      </c>
      <c r="R1998" s="4" t="e">
        <f>IF(AND(B1998=1,N1998&gt;'Line Follower'!$C$7,SUM(C1998:K1998)&lt;4),1,0)</f>
        <v>#N/A</v>
      </c>
      <c r="S1998" s="4" t="e">
        <f>IF(AND(L1998=1,N1998&lt;'Line Follower'!$C$6,SUM(C1998:K1998)&lt;4),1,0)</f>
        <v>#N/A</v>
      </c>
      <c r="T1998" s="4" t="e">
        <f t="shared" si="157"/>
        <v>#N/A</v>
      </c>
      <c r="U1998" s="5" t="e">
        <f t="shared" si="158"/>
        <v>#N/A</v>
      </c>
      <c r="V1998" s="23" t="e">
        <f t="shared" si="159"/>
        <v>#N/A</v>
      </c>
    </row>
    <row r="1999" spans="2:22" x14ac:dyDescent="0.25">
      <c r="B1999" s="16">
        <v>0</v>
      </c>
      <c r="C1999" s="7">
        <v>0</v>
      </c>
      <c r="D1999" s="8">
        <v>1</v>
      </c>
      <c r="E1999" s="8">
        <v>1</v>
      </c>
      <c r="F1999" s="8">
        <v>0</v>
      </c>
      <c r="G1999" s="8">
        <v>0</v>
      </c>
      <c r="H1999" s="8">
        <v>1</v>
      </c>
      <c r="I1999" s="8">
        <v>1</v>
      </c>
      <c r="J1999" s="8">
        <v>1</v>
      </c>
      <c r="K1999" s="9">
        <v>1</v>
      </c>
      <c r="L1999" s="10">
        <v>1</v>
      </c>
      <c r="M1999" s="6">
        <v>0</v>
      </c>
      <c r="N1999" s="37" t="e" cm="1">
        <f t="array" ref="N1999">IF(OR(ISNUMBER(FIND(Aux!$D$3:$D$9,_xlfn.TEXTJOIN(,,C1999:K1999)))),NA(),IF(AND(SUM(C1999:F1999,H1999:K1999)=0,G1999=1),0,INT((SUMPRODUCT(C1999:F1999,COLUMN($A$1:$D$1)-1)+SUMPRODUCT(H1999:K1999,COLUMN($E$1:$H$1)-1))*'Line Follower'!$C$3/SUM(C1999:F1999,H1999:K1999)-'Line Follower'!$C$5)))</f>
        <v>#N/A</v>
      </c>
      <c r="O1999" s="22" t="e">
        <v>#N/A</v>
      </c>
      <c r="P1999" s="4" t="e">
        <f t="shared" si="155"/>
        <v>#N/A</v>
      </c>
      <c r="Q1999" s="4" t="e">
        <f t="shared" si="156"/>
        <v>#N/A</v>
      </c>
      <c r="R1999" s="4" t="e">
        <f>IF(AND(B1999=1,N1999&gt;'Line Follower'!$C$7,SUM(C1999:K1999)&lt;4),1,0)</f>
        <v>#N/A</v>
      </c>
      <c r="S1999" s="4" t="e">
        <f>IF(AND(L1999=1,N1999&lt;'Line Follower'!$C$6,SUM(C1999:K1999)&lt;4),1,0)</f>
        <v>#N/A</v>
      </c>
      <c r="T1999" s="4" t="e">
        <f t="shared" si="157"/>
        <v>#N/A</v>
      </c>
      <c r="U1999" s="5" t="e">
        <f t="shared" si="158"/>
        <v>#N/A</v>
      </c>
      <c r="V1999" s="23" t="e">
        <f t="shared" si="159"/>
        <v>#N/A</v>
      </c>
    </row>
    <row r="2000" spans="2:22" x14ac:dyDescent="0.25">
      <c r="B2000" s="16">
        <v>1</v>
      </c>
      <c r="C2000" s="7">
        <v>0</v>
      </c>
      <c r="D2000" s="8">
        <v>1</v>
      </c>
      <c r="E2000" s="8">
        <v>1</v>
      </c>
      <c r="F2000" s="8">
        <v>0</v>
      </c>
      <c r="G2000" s="8">
        <v>0</v>
      </c>
      <c r="H2000" s="8">
        <v>1</v>
      </c>
      <c r="I2000" s="8">
        <v>1</v>
      </c>
      <c r="J2000" s="8">
        <v>1</v>
      </c>
      <c r="K2000" s="9">
        <v>1</v>
      </c>
      <c r="L2000" s="10">
        <v>1</v>
      </c>
      <c r="M2000" s="6">
        <v>0</v>
      </c>
      <c r="N2000" s="37" t="e" cm="1">
        <f t="array" ref="N2000">IF(OR(ISNUMBER(FIND(Aux!$D$3:$D$9,_xlfn.TEXTJOIN(,,C2000:K2000)))),NA(),IF(AND(SUM(C2000:F2000,H2000:K2000)=0,G2000=1),0,INT((SUMPRODUCT(C2000:F2000,COLUMN($A$1:$D$1)-1)+SUMPRODUCT(H2000:K2000,COLUMN($E$1:$H$1)-1))*'Line Follower'!$C$3/SUM(C2000:F2000,H2000:K2000)-'Line Follower'!$C$5)))</f>
        <v>#N/A</v>
      </c>
      <c r="O2000" s="22" t="e">
        <v>#N/A</v>
      </c>
      <c r="P2000" s="4" t="e">
        <f t="shared" si="155"/>
        <v>#N/A</v>
      </c>
      <c r="Q2000" s="4" t="e">
        <f t="shared" si="156"/>
        <v>#N/A</v>
      </c>
      <c r="R2000" s="4" t="e">
        <f>IF(AND(B2000=1,N2000&gt;'Line Follower'!$C$7,SUM(C2000:K2000)&lt;4),1,0)</f>
        <v>#N/A</v>
      </c>
      <c r="S2000" s="4" t="e">
        <f>IF(AND(L2000=1,N2000&lt;'Line Follower'!$C$6,SUM(C2000:K2000)&lt;4),1,0)</f>
        <v>#N/A</v>
      </c>
      <c r="T2000" s="4" t="e">
        <f t="shared" si="157"/>
        <v>#N/A</v>
      </c>
      <c r="U2000" s="5" t="e">
        <f t="shared" si="158"/>
        <v>#N/A</v>
      </c>
      <c r="V2000" s="23" t="e">
        <f t="shared" si="159"/>
        <v>#N/A</v>
      </c>
    </row>
    <row r="2001" spans="2:22" x14ac:dyDescent="0.25">
      <c r="B2001" s="16">
        <v>0</v>
      </c>
      <c r="C2001" s="7">
        <v>1</v>
      </c>
      <c r="D2001" s="8">
        <v>1</v>
      </c>
      <c r="E2001" s="8">
        <v>1</v>
      </c>
      <c r="F2001" s="8">
        <v>0</v>
      </c>
      <c r="G2001" s="8">
        <v>0</v>
      </c>
      <c r="H2001" s="8">
        <v>1</v>
      </c>
      <c r="I2001" s="8">
        <v>1</v>
      </c>
      <c r="J2001" s="8">
        <v>1</v>
      </c>
      <c r="K2001" s="9">
        <v>1</v>
      </c>
      <c r="L2001" s="10">
        <v>1</v>
      </c>
      <c r="M2001" s="6">
        <v>0</v>
      </c>
      <c r="N2001" s="37" t="e" cm="1">
        <f t="array" ref="N2001">IF(OR(ISNUMBER(FIND(Aux!$D$3:$D$9,_xlfn.TEXTJOIN(,,C2001:K2001)))),NA(),IF(AND(SUM(C2001:F2001,H2001:K2001)=0,G2001=1),0,INT((SUMPRODUCT(C2001:F2001,COLUMN($A$1:$D$1)-1)+SUMPRODUCT(H2001:K2001,COLUMN($E$1:$H$1)-1))*'Line Follower'!$C$3/SUM(C2001:F2001,H2001:K2001)-'Line Follower'!$C$5)))</f>
        <v>#N/A</v>
      </c>
      <c r="O2001" s="22" t="e">
        <v>#N/A</v>
      </c>
      <c r="P2001" s="4" t="e">
        <f t="shared" si="155"/>
        <v>#N/A</v>
      </c>
      <c r="Q2001" s="4" t="e">
        <f t="shared" si="156"/>
        <v>#N/A</v>
      </c>
      <c r="R2001" s="4" t="e">
        <f>IF(AND(B2001=1,N2001&gt;'Line Follower'!$C$7,SUM(C2001:K2001)&lt;4),1,0)</f>
        <v>#N/A</v>
      </c>
      <c r="S2001" s="4" t="e">
        <f>IF(AND(L2001=1,N2001&lt;'Line Follower'!$C$6,SUM(C2001:K2001)&lt;4),1,0)</f>
        <v>#N/A</v>
      </c>
      <c r="T2001" s="4" t="e">
        <f t="shared" si="157"/>
        <v>#N/A</v>
      </c>
      <c r="U2001" s="5" t="e">
        <f t="shared" si="158"/>
        <v>#N/A</v>
      </c>
      <c r="V2001" s="23" t="e">
        <f t="shared" si="159"/>
        <v>#N/A</v>
      </c>
    </row>
    <row r="2002" spans="2:22" x14ac:dyDescent="0.25">
      <c r="B2002" s="16">
        <v>1</v>
      </c>
      <c r="C2002" s="7">
        <v>1</v>
      </c>
      <c r="D2002" s="8">
        <v>1</v>
      </c>
      <c r="E2002" s="8">
        <v>1</v>
      </c>
      <c r="F2002" s="8">
        <v>0</v>
      </c>
      <c r="G2002" s="8">
        <v>0</v>
      </c>
      <c r="H2002" s="8">
        <v>1</v>
      </c>
      <c r="I2002" s="8">
        <v>1</v>
      </c>
      <c r="J2002" s="8">
        <v>1</v>
      </c>
      <c r="K2002" s="9">
        <v>1</v>
      </c>
      <c r="L2002" s="10">
        <v>1</v>
      </c>
      <c r="M2002" s="6">
        <v>0</v>
      </c>
      <c r="N2002" s="37" t="e" cm="1">
        <f t="array" ref="N2002">IF(OR(ISNUMBER(FIND(Aux!$D$3:$D$9,_xlfn.TEXTJOIN(,,C2002:K2002)))),NA(),IF(AND(SUM(C2002:F2002,H2002:K2002)=0,G2002=1),0,INT((SUMPRODUCT(C2002:F2002,COLUMN($A$1:$D$1)-1)+SUMPRODUCT(H2002:K2002,COLUMN($E$1:$H$1)-1))*'Line Follower'!$C$3/SUM(C2002:F2002,H2002:K2002)-'Line Follower'!$C$5)))</f>
        <v>#N/A</v>
      </c>
      <c r="O2002" s="22" t="e">
        <v>#N/A</v>
      </c>
      <c r="P2002" s="4" t="e">
        <f t="shared" si="155"/>
        <v>#N/A</v>
      </c>
      <c r="Q2002" s="4" t="e">
        <f t="shared" si="156"/>
        <v>#N/A</v>
      </c>
      <c r="R2002" s="4" t="e">
        <f>IF(AND(B2002=1,N2002&gt;'Line Follower'!$C$7,SUM(C2002:K2002)&lt;4),1,0)</f>
        <v>#N/A</v>
      </c>
      <c r="S2002" s="4" t="e">
        <f>IF(AND(L2002=1,N2002&lt;'Line Follower'!$C$6,SUM(C2002:K2002)&lt;4),1,0)</f>
        <v>#N/A</v>
      </c>
      <c r="T2002" s="4" t="e">
        <f t="shared" si="157"/>
        <v>#N/A</v>
      </c>
      <c r="U2002" s="5" t="e">
        <f t="shared" si="158"/>
        <v>#N/A</v>
      </c>
      <c r="V2002" s="23" t="e">
        <f t="shared" si="159"/>
        <v>#N/A</v>
      </c>
    </row>
    <row r="2003" spans="2:22" x14ac:dyDescent="0.25">
      <c r="B2003" s="16">
        <v>0</v>
      </c>
      <c r="C2003" s="7">
        <v>0</v>
      </c>
      <c r="D2003" s="8">
        <v>0</v>
      </c>
      <c r="E2003" s="8">
        <v>0</v>
      </c>
      <c r="F2003" s="8">
        <v>1</v>
      </c>
      <c r="G2003" s="8">
        <v>0</v>
      </c>
      <c r="H2003" s="8">
        <v>1</v>
      </c>
      <c r="I2003" s="8">
        <v>1</v>
      </c>
      <c r="J2003" s="8">
        <v>1</v>
      </c>
      <c r="K2003" s="9">
        <v>1</v>
      </c>
      <c r="L2003" s="10">
        <v>1</v>
      </c>
      <c r="M2003" s="6">
        <v>0</v>
      </c>
      <c r="N2003" s="37" t="e" cm="1">
        <f t="array" ref="N2003">IF(OR(ISNUMBER(FIND(Aux!$D$3:$D$9,_xlfn.TEXTJOIN(,,C2003:K2003)))),NA(),IF(AND(SUM(C2003:F2003,H2003:K2003)=0,G2003=1),0,INT((SUMPRODUCT(C2003:F2003,COLUMN($A$1:$D$1)-1)+SUMPRODUCT(H2003:K2003,COLUMN($E$1:$H$1)-1))*'Line Follower'!$C$3/SUM(C2003:F2003,H2003:K2003)-'Line Follower'!$C$5)))</f>
        <v>#N/A</v>
      </c>
      <c r="O2003" s="22" t="e">
        <v>#N/A</v>
      </c>
      <c r="P2003" s="4" t="e">
        <f t="shared" si="155"/>
        <v>#N/A</v>
      </c>
      <c r="Q2003" s="4" t="e">
        <f t="shared" si="156"/>
        <v>#N/A</v>
      </c>
      <c r="R2003" s="4" t="e">
        <f>IF(AND(B2003=1,N2003&gt;'Line Follower'!$C$7,SUM(C2003:K2003)&lt;4),1,0)</f>
        <v>#N/A</v>
      </c>
      <c r="S2003" s="4" t="e">
        <f>IF(AND(L2003=1,N2003&lt;'Line Follower'!$C$6,SUM(C2003:K2003)&lt;4),1,0)</f>
        <v>#N/A</v>
      </c>
      <c r="T2003" s="4" t="e">
        <f t="shared" si="157"/>
        <v>#N/A</v>
      </c>
      <c r="U2003" s="5" t="e">
        <f t="shared" si="158"/>
        <v>#N/A</v>
      </c>
      <c r="V2003" s="23" t="e">
        <f t="shared" si="159"/>
        <v>#N/A</v>
      </c>
    </row>
    <row r="2004" spans="2:22" x14ac:dyDescent="0.25">
      <c r="B2004" s="16">
        <v>1</v>
      </c>
      <c r="C2004" s="7">
        <v>0</v>
      </c>
      <c r="D2004" s="8">
        <v>0</v>
      </c>
      <c r="E2004" s="8">
        <v>0</v>
      </c>
      <c r="F2004" s="8">
        <v>1</v>
      </c>
      <c r="G2004" s="8">
        <v>0</v>
      </c>
      <c r="H2004" s="8">
        <v>1</v>
      </c>
      <c r="I2004" s="8">
        <v>1</v>
      </c>
      <c r="J2004" s="8">
        <v>1</v>
      </c>
      <c r="K2004" s="9">
        <v>1</v>
      </c>
      <c r="L2004" s="10">
        <v>1</v>
      </c>
      <c r="M2004" s="6">
        <v>0</v>
      </c>
      <c r="N2004" s="37" t="e" cm="1">
        <f t="array" ref="N2004">IF(OR(ISNUMBER(FIND(Aux!$D$3:$D$9,_xlfn.TEXTJOIN(,,C2004:K2004)))),NA(),IF(AND(SUM(C2004:F2004,H2004:K2004)=0,G2004=1),0,INT((SUMPRODUCT(C2004:F2004,COLUMN($A$1:$D$1)-1)+SUMPRODUCT(H2004:K2004,COLUMN($E$1:$H$1)-1))*'Line Follower'!$C$3/SUM(C2004:F2004,H2004:K2004)-'Line Follower'!$C$5)))</f>
        <v>#N/A</v>
      </c>
      <c r="O2004" s="22" t="e">
        <v>#N/A</v>
      </c>
      <c r="P2004" s="4" t="e">
        <f t="shared" si="155"/>
        <v>#N/A</v>
      </c>
      <c r="Q2004" s="4" t="e">
        <f t="shared" si="156"/>
        <v>#N/A</v>
      </c>
      <c r="R2004" s="4" t="e">
        <f>IF(AND(B2004=1,N2004&gt;'Line Follower'!$C$7,SUM(C2004:K2004)&lt;4),1,0)</f>
        <v>#N/A</v>
      </c>
      <c r="S2004" s="4" t="e">
        <f>IF(AND(L2004=1,N2004&lt;'Line Follower'!$C$6,SUM(C2004:K2004)&lt;4),1,0)</f>
        <v>#N/A</v>
      </c>
      <c r="T2004" s="4" t="e">
        <f t="shared" si="157"/>
        <v>#N/A</v>
      </c>
      <c r="U2004" s="5" t="e">
        <f t="shared" si="158"/>
        <v>#N/A</v>
      </c>
      <c r="V2004" s="23" t="e">
        <f t="shared" si="159"/>
        <v>#N/A</v>
      </c>
    </row>
    <row r="2005" spans="2:22" x14ac:dyDescent="0.25">
      <c r="B2005" s="16">
        <v>0</v>
      </c>
      <c r="C2005" s="7">
        <v>1</v>
      </c>
      <c r="D2005" s="8">
        <v>0</v>
      </c>
      <c r="E2005" s="8">
        <v>0</v>
      </c>
      <c r="F2005" s="8">
        <v>1</v>
      </c>
      <c r="G2005" s="8">
        <v>0</v>
      </c>
      <c r="H2005" s="8">
        <v>1</v>
      </c>
      <c r="I2005" s="8">
        <v>1</v>
      </c>
      <c r="J2005" s="8">
        <v>1</v>
      </c>
      <c r="K2005" s="9">
        <v>1</v>
      </c>
      <c r="L2005" s="10">
        <v>1</v>
      </c>
      <c r="M2005" s="6">
        <v>0</v>
      </c>
      <c r="N2005" s="37" t="e" cm="1">
        <f t="array" ref="N2005">IF(OR(ISNUMBER(FIND(Aux!$D$3:$D$9,_xlfn.TEXTJOIN(,,C2005:K2005)))),NA(),IF(AND(SUM(C2005:F2005,H2005:K2005)=0,G2005=1),0,INT((SUMPRODUCT(C2005:F2005,COLUMN($A$1:$D$1)-1)+SUMPRODUCT(H2005:K2005,COLUMN($E$1:$H$1)-1))*'Line Follower'!$C$3/SUM(C2005:F2005,H2005:K2005)-'Line Follower'!$C$5)))</f>
        <v>#N/A</v>
      </c>
      <c r="O2005" s="22" t="e">
        <v>#N/A</v>
      </c>
      <c r="P2005" s="4" t="e">
        <f t="shared" si="155"/>
        <v>#N/A</v>
      </c>
      <c r="Q2005" s="4" t="e">
        <f t="shared" si="156"/>
        <v>#N/A</v>
      </c>
      <c r="R2005" s="4" t="e">
        <f>IF(AND(B2005=1,N2005&gt;'Line Follower'!$C$7,SUM(C2005:K2005)&lt;4),1,0)</f>
        <v>#N/A</v>
      </c>
      <c r="S2005" s="4" t="e">
        <f>IF(AND(L2005=1,N2005&lt;'Line Follower'!$C$6,SUM(C2005:K2005)&lt;4),1,0)</f>
        <v>#N/A</v>
      </c>
      <c r="T2005" s="4" t="e">
        <f t="shared" si="157"/>
        <v>#N/A</v>
      </c>
      <c r="U2005" s="5" t="e">
        <f t="shared" si="158"/>
        <v>#N/A</v>
      </c>
      <c r="V2005" s="23" t="e">
        <f t="shared" si="159"/>
        <v>#N/A</v>
      </c>
    </row>
    <row r="2006" spans="2:22" x14ac:dyDescent="0.25">
      <c r="B2006" s="16">
        <v>1</v>
      </c>
      <c r="C2006" s="7">
        <v>1</v>
      </c>
      <c r="D2006" s="8">
        <v>0</v>
      </c>
      <c r="E2006" s="8">
        <v>0</v>
      </c>
      <c r="F2006" s="8">
        <v>1</v>
      </c>
      <c r="G2006" s="8">
        <v>0</v>
      </c>
      <c r="H2006" s="8">
        <v>1</v>
      </c>
      <c r="I2006" s="8">
        <v>1</v>
      </c>
      <c r="J2006" s="8">
        <v>1</v>
      </c>
      <c r="K2006" s="9">
        <v>1</v>
      </c>
      <c r="L2006" s="10">
        <v>1</v>
      </c>
      <c r="M2006" s="6">
        <v>0</v>
      </c>
      <c r="N2006" s="37" t="e" cm="1">
        <f t="array" ref="N2006">IF(OR(ISNUMBER(FIND(Aux!$D$3:$D$9,_xlfn.TEXTJOIN(,,C2006:K2006)))),NA(),IF(AND(SUM(C2006:F2006,H2006:K2006)=0,G2006=1),0,INT((SUMPRODUCT(C2006:F2006,COLUMN($A$1:$D$1)-1)+SUMPRODUCT(H2006:K2006,COLUMN($E$1:$H$1)-1))*'Line Follower'!$C$3/SUM(C2006:F2006,H2006:K2006)-'Line Follower'!$C$5)))</f>
        <v>#N/A</v>
      </c>
      <c r="O2006" s="22" t="e">
        <v>#N/A</v>
      </c>
      <c r="P2006" s="4" t="e">
        <f t="shared" si="155"/>
        <v>#N/A</v>
      </c>
      <c r="Q2006" s="4" t="e">
        <f t="shared" si="156"/>
        <v>#N/A</v>
      </c>
      <c r="R2006" s="4" t="e">
        <f>IF(AND(B2006=1,N2006&gt;'Line Follower'!$C$7,SUM(C2006:K2006)&lt;4),1,0)</f>
        <v>#N/A</v>
      </c>
      <c r="S2006" s="4" t="e">
        <f>IF(AND(L2006=1,N2006&lt;'Line Follower'!$C$6,SUM(C2006:K2006)&lt;4),1,0)</f>
        <v>#N/A</v>
      </c>
      <c r="T2006" s="4" t="e">
        <f t="shared" si="157"/>
        <v>#N/A</v>
      </c>
      <c r="U2006" s="5" t="e">
        <f t="shared" si="158"/>
        <v>#N/A</v>
      </c>
      <c r="V2006" s="23" t="e">
        <f t="shared" si="159"/>
        <v>#N/A</v>
      </c>
    </row>
    <row r="2007" spans="2:22" x14ac:dyDescent="0.25">
      <c r="B2007" s="16">
        <v>0</v>
      </c>
      <c r="C2007" s="7">
        <v>0</v>
      </c>
      <c r="D2007" s="8">
        <v>1</v>
      </c>
      <c r="E2007" s="8">
        <v>0</v>
      </c>
      <c r="F2007" s="8">
        <v>1</v>
      </c>
      <c r="G2007" s="8">
        <v>0</v>
      </c>
      <c r="H2007" s="8">
        <v>1</v>
      </c>
      <c r="I2007" s="8">
        <v>1</v>
      </c>
      <c r="J2007" s="8">
        <v>1</v>
      </c>
      <c r="K2007" s="9">
        <v>1</v>
      </c>
      <c r="L2007" s="10">
        <v>1</v>
      </c>
      <c r="M2007" s="6">
        <v>0</v>
      </c>
      <c r="N2007" s="37" t="e" cm="1">
        <f t="array" ref="N2007">IF(OR(ISNUMBER(FIND(Aux!$D$3:$D$9,_xlfn.TEXTJOIN(,,C2007:K2007)))),NA(),IF(AND(SUM(C2007:F2007,H2007:K2007)=0,G2007=1),0,INT((SUMPRODUCT(C2007:F2007,COLUMN($A$1:$D$1)-1)+SUMPRODUCT(H2007:K2007,COLUMN($E$1:$H$1)-1))*'Line Follower'!$C$3/SUM(C2007:F2007,H2007:K2007)-'Line Follower'!$C$5)))</f>
        <v>#N/A</v>
      </c>
      <c r="O2007" s="22" t="e">
        <v>#N/A</v>
      </c>
      <c r="P2007" s="4" t="e">
        <f t="shared" si="155"/>
        <v>#N/A</v>
      </c>
      <c r="Q2007" s="4" t="e">
        <f t="shared" si="156"/>
        <v>#N/A</v>
      </c>
      <c r="R2007" s="4" t="e">
        <f>IF(AND(B2007=1,N2007&gt;'Line Follower'!$C$7,SUM(C2007:K2007)&lt;4),1,0)</f>
        <v>#N/A</v>
      </c>
      <c r="S2007" s="4" t="e">
        <f>IF(AND(L2007=1,N2007&lt;'Line Follower'!$C$6,SUM(C2007:K2007)&lt;4),1,0)</f>
        <v>#N/A</v>
      </c>
      <c r="T2007" s="4" t="e">
        <f t="shared" si="157"/>
        <v>#N/A</v>
      </c>
      <c r="U2007" s="5" t="e">
        <f t="shared" si="158"/>
        <v>#N/A</v>
      </c>
      <c r="V2007" s="23" t="e">
        <f t="shared" si="159"/>
        <v>#N/A</v>
      </c>
    </row>
    <row r="2008" spans="2:22" x14ac:dyDescent="0.25">
      <c r="B2008" s="16">
        <v>1</v>
      </c>
      <c r="C2008" s="7">
        <v>0</v>
      </c>
      <c r="D2008" s="8">
        <v>1</v>
      </c>
      <c r="E2008" s="8">
        <v>0</v>
      </c>
      <c r="F2008" s="8">
        <v>1</v>
      </c>
      <c r="G2008" s="8">
        <v>0</v>
      </c>
      <c r="H2008" s="8">
        <v>1</v>
      </c>
      <c r="I2008" s="8">
        <v>1</v>
      </c>
      <c r="J2008" s="8">
        <v>1</v>
      </c>
      <c r="K2008" s="9">
        <v>1</v>
      </c>
      <c r="L2008" s="10">
        <v>1</v>
      </c>
      <c r="M2008" s="6">
        <v>0</v>
      </c>
      <c r="N2008" s="37" t="e" cm="1">
        <f t="array" ref="N2008">IF(OR(ISNUMBER(FIND(Aux!$D$3:$D$9,_xlfn.TEXTJOIN(,,C2008:K2008)))),NA(),IF(AND(SUM(C2008:F2008,H2008:K2008)=0,G2008=1),0,INT((SUMPRODUCT(C2008:F2008,COLUMN($A$1:$D$1)-1)+SUMPRODUCT(H2008:K2008,COLUMN($E$1:$H$1)-1))*'Line Follower'!$C$3/SUM(C2008:F2008,H2008:K2008)-'Line Follower'!$C$5)))</f>
        <v>#N/A</v>
      </c>
      <c r="O2008" s="22" t="e">
        <v>#N/A</v>
      </c>
      <c r="P2008" s="4" t="e">
        <f t="shared" si="155"/>
        <v>#N/A</v>
      </c>
      <c r="Q2008" s="4" t="e">
        <f t="shared" si="156"/>
        <v>#N/A</v>
      </c>
      <c r="R2008" s="4" t="e">
        <f>IF(AND(B2008=1,N2008&gt;'Line Follower'!$C$7,SUM(C2008:K2008)&lt;4),1,0)</f>
        <v>#N/A</v>
      </c>
      <c r="S2008" s="4" t="e">
        <f>IF(AND(L2008=1,N2008&lt;'Line Follower'!$C$6,SUM(C2008:K2008)&lt;4),1,0)</f>
        <v>#N/A</v>
      </c>
      <c r="T2008" s="4" t="e">
        <f t="shared" si="157"/>
        <v>#N/A</v>
      </c>
      <c r="U2008" s="5" t="e">
        <f t="shared" si="158"/>
        <v>#N/A</v>
      </c>
      <c r="V2008" s="23" t="e">
        <f t="shared" si="159"/>
        <v>#N/A</v>
      </c>
    </row>
    <row r="2009" spans="2:22" x14ac:dyDescent="0.25">
      <c r="B2009" s="16">
        <v>0</v>
      </c>
      <c r="C2009" s="7">
        <v>1</v>
      </c>
      <c r="D2009" s="8">
        <v>1</v>
      </c>
      <c r="E2009" s="8">
        <v>0</v>
      </c>
      <c r="F2009" s="8">
        <v>1</v>
      </c>
      <c r="G2009" s="8">
        <v>0</v>
      </c>
      <c r="H2009" s="8">
        <v>1</v>
      </c>
      <c r="I2009" s="8">
        <v>1</v>
      </c>
      <c r="J2009" s="8">
        <v>1</v>
      </c>
      <c r="K2009" s="9">
        <v>1</v>
      </c>
      <c r="L2009" s="10">
        <v>1</v>
      </c>
      <c r="M2009" s="6">
        <v>0</v>
      </c>
      <c r="N2009" s="37" t="e" cm="1">
        <f t="array" ref="N2009">IF(OR(ISNUMBER(FIND(Aux!$D$3:$D$9,_xlfn.TEXTJOIN(,,C2009:K2009)))),NA(),IF(AND(SUM(C2009:F2009,H2009:K2009)=0,G2009=1),0,INT((SUMPRODUCT(C2009:F2009,COLUMN($A$1:$D$1)-1)+SUMPRODUCT(H2009:K2009,COLUMN($E$1:$H$1)-1))*'Line Follower'!$C$3/SUM(C2009:F2009,H2009:K2009)-'Line Follower'!$C$5)))</f>
        <v>#N/A</v>
      </c>
      <c r="O2009" s="22" t="e">
        <v>#N/A</v>
      </c>
      <c r="P2009" s="4" t="e">
        <f t="shared" si="155"/>
        <v>#N/A</v>
      </c>
      <c r="Q2009" s="4" t="e">
        <f t="shared" si="156"/>
        <v>#N/A</v>
      </c>
      <c r="R2009" s="4" t="e">
        <f>IF(AND(B2009=1,N2009&gt;'Line Follower'!$C$7,SUM(C2009:K2009)&lt;4),1,0)</f>
        <v>#N/A</v>
      </c>
      <c r="S2009" s="4" t="e">
        <f>IF(AND(L2009=1,N2009&lt;'Line Follower'!$C$6,SUM(C2009:K2009)&lt;4),1,0)</f>
        <v>#N/A</v>
      </c>
      <c r="T2009" s="4" t="e">
        <f t="shared" si="157"/>
        <v>#N/A</v>
      </c>
      <c r="U2009" s="5" t="e">
        <f t="shared" si="158"/>
        <v>#N/A</v>
      </c>
      <c r="V2009" s="23" t="e">
        <f t="shared" si="159"/>
        <v>#N/A</v>
      </c>
    </row>
    <row r="2010" spans="2:22" x14ac:dyDescent="0.25">
      <c r="B2010" s="16">
        <v>1</v>
      </c>
      <c r="C2010" s="7">
        <v>1</v>
      </c>
      <c r="D2010" s="8">
        <v>1</v>
      </c>
      <c r="E2010" s="8">
        <v>0</v>
      </c>
      <c r="F2010" s="8">
        <v>1</v>
      </c>
      <c r="G2010" s="8">
        <v>0</v>
      </c>
      <c r="H2010" s="8">
        <v>1</v>
      </c>
      <c r="I2010" s="8">
        <v>1</v>
      </c>
      <c r="J2010" s="8">
        <v>1</v>
      </c>
      <c r="K2010" s="9">
        <v>1</v>
      </c>
      <c r="L2010" s="10">
        <v>1</v>
      </c>
      <c r="M2010" s="6">
        <v>0</v>
      </c>
      <c r="N2010" s="37" t="e" cm="1">
        <f t="array" ref="N2010">IF(OR(ISNUMBER(FIND(Aux!$D$3:$D$9,_xlfn.TEXTJOIN(,,C2010:K2010)))),NA(),IF(AND(SUM(C2010:F2010,H2010:K2010)=0,G2010=1),0,INT((SUMPRODUCT(C2010:F2010,COLUMN($A$1:$D$1)-1)+SUMPRODUCT(H2010:K2010,COLUMN($E$1:$H$1)-1))*'Line Follower'!$C$3/SUM(C2010:F2010,H2010:K2010)-'Line Follower'!$C$5)))</f>
        <v>#N/A</v>
      </c>
      <c r="O2010" s="22" t="e">
        <v>#N/A</v>
      </c>
      <c r="P2010" s="4" t="e">
        <f t="shared" si="155"/>
        <v>#N/A</v>
      </c>
      <c r="Q2010" s="4" t="e">
        <f t="shared" si="156"/>
        <v>#N/A</v>
      </c>
      <c r="R2010" s="4" t="e">
        <f>IF(AND(B2010=1,N2010&gt;'Line Follower'!$C$7,SUM(C2010:K2010)&lt;4),1,0)</f>
        <v>#N/A</v>
      </c>
      <c r="S2010" s="4" t="e">
        <f>IF(AND(L2010=1,N2010&lt;'Line Follower'!$C$6,SUM(C2010:K2010)&lt;4),1,0)</f>
        <v>#N/A</v>
      </c>
      <c r="T2010" s="4" t="e">
        <f t="shared" si="157"/>
        <v>#N/A</v>
      </c>
      <c r="U2010" s="5" t="e">
        <f t="shared" si="158"/>
        <v>#N/A</v>
      </c>
      <c r="V2010" s="23" t="e">
        <f t="shared" si="159"/>
        <v>#N/A</v>
      </c>
    </row>
    <row r="2011" spans="2:22" x14ac:dyDescent="0.25">
      <c r="B2011" s="16">
        <v>0</v>
      </c>
      <c r="C2011" s="7">
        <v>0</v>
      </c>
      <c r="D2011" s="8">
        <v>0</v>
      </c>
      <c r="E2011" s="8">
        <v>1</v>
      </c>
      <c r="F2011" s="8">
        <v>1</v>
      </c>
      <c r="G2011" s="8">
        <v>0</v>
      </c>
      <c r="H2011" s="8">
        <v>1</v>
      </c>
      <c r="I2011" s="8">
        <v>1</v>
      </c>
      <c r="J2011" s="8">
        <v>1</v>
      </c>
      <c r="K2011" s="9">
        <v>1</v>
      </c>
      <c r="L2011" s="10">
        <v>1</v>
      </c>
      <c r="M2011" s="6">
        <v>0</v>
      </c>
      <c r="N2011" s="37" t="e" cm="1">
        <f t="array" ref="N2011">IF(OR(ISNUMBER(FIND(Aux!$D$3:$D$9,_xlfn.TEXTJOIN(,,C2011:K2011)))),NA(),IF(AND(SUM(C2011:F2011,H2011:K2011)=0,G2011=1),0,INT((SUMPRODUCT(C2011:F2011,COLUMN($A$1:$D$1)-1)+SUMPRODUCT(H2011:K2011,COLUMN($E$1:$H$1)-1))*'Line Follower'!$C$3/SUM(C2011:F2011,H2011:K2011)-'Line Follower'!$C$5)))</f>
        <v>#N/A</v>
      </c>
      <c r="O2011" s="22" t="e">
        <v>#N/A</v>
      </c>
      <c r="P2011" s="4" t="e">
        <f t="shared" si="155"/>
        <v>#N/A</v>
      </c>
      <c r="Q2011" s="4" t="e">
        <f t="shared" si="156"/>
        <v>#N/A</v>
      </c>
      <c r="R2011" s="4" t="e">
        <f>IF(AND(B2011=1,N2011&gt;'Line Follower'!$C$7,SUM(C2011:K2011)&lt;4),1,0)</f>
        <v>#N/A</v>
      </c>
      <c r="S2011" s="4" t="e">
        <f>IF(AND(L2011=1,N2011&lt;'Line Follower'!$C$6,SUM(C2011:K2011)&lt;4),1,0)</f>
        <v>#N/A</v>
      </c>
      <c r="T2011" s="4" t="e">
        <f t="shared" si="157"/>
        <v>#N/A</v>
      </c>
      <c r="U2011" s="5" t="e">
        <f t="shared" si="158"/>
        <v>#N/A</v>
      </c>
      <c r="V2011" s="23" t="e">
        <f t="shared" si="159"/>
        <v>#N/A</v>
      </c>
    </row>
    <row r="2012" spans="2:22" x14ac:dyDescent="0.25">
      <c r="B2012" s="16">
        <v>1</v>
      </c>
      <c r="C2012" s="7">
        <v>0</v>
      </c>
      <c r="D2012" s="8">
        <v>0</v>
      </c>
      <c r="E2012" s="8">
        <v>1</v>
      </c>
      <c r="F2012" s="8">
        <v>1</v>
      </c>
      <c r="G2012" s="8">
        <v>0</v>
      </c>
      <c r="H2012" s="8">
        <v>1</v>
      </c>
      <c r="I2012" s="8">
        <v>1</v>
      </c>
      <c r="J2012" s="8">
        <v>1</v>
      </c>
      <c r="K2012" s="9">
        <v>1</v>
      </c>
      <c r="L2012" s="10">
        <v>1</v>
      </c>
      <c r="M2012" s="6">
        <v>0</v>
      </c>
      <c r="N2012" s="37" t="e" cm="1">
        <f t="array" ref="N2012">IF(OR(ISNUMBER(FIND(Aux!$D$3:$D$9,_xlfn.TEXTJOIN(,,C2012:K2012)))),NA(),IF(AND(SUM(C2012:F2012,H2012:K2012)=0,G2012=1),0,INT((SUMPRODUCT(C2012:F2012,COLUMN($A$1:$D$1)-1)+SUMPRODUCT(H2012:K2012,COLUMN($E$1:$H$1)-1))*'Line Follower'!$C$3/SUM(C2012:F2012,H2012:K2012)-'Line Follower'!$C$5)))</f>
        <v>#N/A</v>
      </c>
      <c r="O2012" s="22" t="e">
        <v>#N/A</v>
      </c>
      <c r="P2012" s="4" t="e">
        <f t="shared" si="155"/>
        <v>#N/A</v>
      </c>
      <c r="Q2012" s="4" t="e">
        <f t="shared" si="156"/>
        <v>#N/A</v>
      </c>
      <c r="R2012" s="4" t="e">
        <f>IF(AND(B2012=1,N2012&gt;'Line Follower'!$C$7,SUM(C2012:K2012)&lt;4),1,0)</f>
        <v>#N/A</v>
      </c>
      <c r="S2012" s="4" t="e">
        <f>IF(AND(L2012=1,N2012&lt;'Line Follower'!$C$6,SUM(C2012:K2012)&lt;4),1,0)</f>
        <v>#N/A</v>
      </c>
      <c r="T2012" s="4" t="e">
        <f t="shared" si="157"/>
        <v>#N/A</v>
      </c>
      <c r="U2012" s="5" t="e">
        <f t="shared" si="158"/>
        <v>#N/A</v>
      </c>
      <c r="V2012" s="23" t="e">
        <f t="shared" si="159"/>
        <v>#N/A</v>
      </c>
    </row>
    <row r="2013" spans="2:22" x14ac:dyDescent="0.25">
      <c r="B2013" s="16">
        <v>0</v>
      </c>
      <c r="C2013" s="7">
        <v>1</v>
      </c>
      <c r="D2013" s="8">
        <v>0</v>
      </c>
      <c r="E2013" s="8">
        <v>1</v>
      </c>
      <c r="F2013" s="8">
        <v>1</v>
      </c>
      <c r="G2013" s="8">
        <v>0</v>
      </c>
      <c r="H2013" s="8">
        <v>1</v>
      </c>
      <c r="I2013" s="8">
        <v>1</v>
      </c>
      <c r="J2013" s="8">
        <v>1</v>
      </c>
      <c r="K2013" s="9">
        <v>1</v>
      </c>
      <c r="L2013" s="10">
        <v>1</v>
      </c>
      <c r="M2013" s="6">
        <v>0</v>
      </c>
      <c r="N2013" s="37" t="e" cm="1">
        <f t="array" ref="N2013">IF(OR(ISNUMBER(FIND(Aux!$D$3:$D$9,_xlfn.TEXTJOIN(,,C2013:K2013)))),NA(),IF(AND(SUM(C2013:F2013,H2013:K2013)=0,G2013=1),0,INT((SUMPRODUCT(C2013:F2013,COLUMN($A$1:$D$1)-1)+SUMPRODUCT(H2013:K2013,COLUMN($E$1:$H$1)-1))*'Line Follower'!$C$3/SUM(C2013:F2013,H2013:K2013)-'Line Follower'!$C$5)))</f>
        <v>#N/A</v>
      </c>
      <c r="O2013" s="22" t="e">
        <v>#N/A</v>
      </c>
      <c r="P2013" s="4" t="e">
        <f t="shared" si="155"/>
        <v>#N/A</v>
      </c>
      <c r="Q2013" s="4" t="e">
        <f t="shared" si="156"/>
        <v>#N/A</v>
      </c>
      <c r="R2013" s="4" t="e">
        <f>IF(AND(B2013=1,N2013&gt;'Line Follower'!$C$7,SUM(C2013:K2013)&lt;4),1,0)</f>
        <v>#N/A</v>
      </c>
      <c r="S2013" s="4" t="e">
        <f>IF(AND(L2013=1,N2013&lt;'Line Follower'!$C$6,SUM(C2013:K2013)&lt;4),1,0)</f>
        <v>#N/A</v>
      </c>
      <c r="T2013" s="4" t="e">
        <f t="shared" si="157"/>
        <v>#N/A</v>
      </c>
      <c r="U2013" s="5" t="e">
        <f t="shared" si="158"/>
        <v>#N/A</v>
      </c>
      <c r="V2013" s="23" t="e">
        <f t="shared" si="159"/>
        <v>#N/A</v>
      </c>
    </row>
    <row r="2014" spans="2:22" x14ac:dyDescent="0.25">
      <c r="B2014" s="16">
        <v>1</v>
      </c>
      <c r="C2014" s="7">
        <v>1</v>
      </c>
      <c r="D2014" s="8">
        <v>0</v>
      </c>
      <c r="E2014" s="8">
        <v>1</v>
      </c>
      <c r="F2014" s="8">
        <v>1</v>
      </c>
      <c r="G2014" s="8">
        <v>0</v>
      </c>
      <c r="H2014" s="8">
        <v>1</v>
      </c>
      <c r="I2014" s="8">
        <v>1</v>
      </c>
      <c r="J2014" s="8">
        <v>1</v>
      </c>
      <c r="K2014" s="9">
        <v>1</v>
      </c>
      <c r="L2014" s="10">
        <v>1</v>
      </c>
      <c r="M2014" s="6">
        <v>0</v>
      </c>
      <c r="N2014" s="37" t="e" cm="1">
        <f t="array" ref="N2014">IF(OR(ISNUMBER(FIND(Aux!$D$3:$D$9,_xlfn.TEXTJOIN(,,C2014:K2014)))),NA(),IF(AND(SUM(C2014:F2014,H2014:K2014)=0,G2014=1),0,INT((SUMPRODUCT(C2014:F2014,COLUMN($A$1:$D$1)-1)+SUMPRODUCT(H2014:K2014,COLUMN($E$1:$H$1)-1))*'Line Follower'!$C$3/SUM(C2014:F2014,H2014:K2014)-'Line Follower'!$C$5)))</f>
        <v>#N/A</v>
      </c>
      <c r="O2014" s="22" t="e">
        <v>#N/A</v>
      </c>
      <c r="P2014" s="4" t="e">
        <f t="shared" si="155"/>
        <v>#N/A</v>
      </c>
      <c r="Q2014" s="4" t="e">
        <f t="shared" si="156"/>
        <v>#N/A</v>
      </c>
      <c r="R2014" s="4" t="e">
        <f>IF(AND(B2014=1,N2014&gt;'Line Follower'!$C$7,SUM(C2014:K2014)&lt;4),1,0)</f>
        <v>#N/A</v>
      </c>
      <c r="S2014" s="4" t="e">
        <f>IF(AND(L2014=1,N2014&lt;'Line Follower'!$C$6,SUM(C2014:K2014)&lt;4),1,0)</f>
        <v>#N/A</v>
      </c>
      <c r="T2014" s="4" t="e">
        <f t="shared" si="157"/>
        <v>#N/A</v>
      </c>
      <c r="U2014" s="5" t="e">
        <f t="shared" si="158"/>
        <v>#N/A</v>
      </c>
      <c r="V2014" s="23" t="e">
        <f t="shared" si="159"/>
        <v>#N/A</v>
      </c>
    </row>
    <row r="2015" spans="2:22" x14ac:dyDescent="0.25">
      <c r="B2015" s="16">
        <v>0</v>
      </c>
      <c r="C2015" s="7">
        <v>0</v>
      </c>
      <c r="D2015" s="8">
        <v>1</v>
      </c>
      <c r="E2015" s="8">
        <v>1</v>
      </c>
      <c r="F2015" s="8">
        <v>1</v>
      </c>
      <c r="G2015" s="8">
        <v>0</v>
      </c>
      <c r="H2015" s="8">
        <v>1</v>
      </c>
      <c r="I2015" s="8">
        <v>1</v>
      </c>
      <c r="J2015" s="8">
        <v>1</v>
      </c>
      <c r="K2015" s="9">
        <v>1</v>
      </c>
      <c r="L2015" s="10">
        <v>1</v>
      </c>
      <c r="M2015" s="6">
        <v>0</v>
      </c>
      <c r="N2015" s="37" t="e" cm="1">
        <f t="array" ref="N2015">IF(OR(ISNUMBER(FIND(Aux!$D$3:$D$9,_xlfn.TEXTJOIN(,,C2015:K2015)))),NA(),IF(AND(SUM(C2015:F2015,H2015:K2015)=0,G2015=1),0,INT((SUMPRODUCT(C2015:F2015,COLUMN($A$1:$D$1)-1)+SUMPRODUCT(H2015:K2015,COLUMN($E$1:$H$1)-1))*'Line Follower'!$C$3/SUM(C2015:F2015,H2015:K2015)-'Line Follower'!$C$5)))</f>
        <v>#N/A</v>
      </c>
      <c r="O2015" s="22" t="e">
        <v>#N/A</v>
      </c>
      <c r="P2015" s="4" t="e">
        <f t="shared" si="155"/>
        <v>#N/A</v>
      </c>
      <c r="Q2015" s="4" t="e">
        <f t="shared" si="156"/>
        <v>#N/A</v>
      </c>
      <c r="R2015" s="4" t="e">
        <f>IF(AND(B2015=1,N2015&gt;'Line Follower'!$C$7,SUM(C2015:K2015)&lt;4),1,0)</f>
        <v>#N/A</v>
      </c>
      <c r="S2015" s="4" t="e">
        <f>IF(AND(L2015=1,N2015&lt;'Line Follower'!$C$6,SUM(C2015:K2015)&lt;4),1,0)</f>
        <v>#N/A</v>
      </c>
      <c r="T2015" s="4" t="e">
        <f t="shared" si="157"/>
        <v>#N/A</v>
      </c>
      <c r="U2015" s="5" t="e">
        <f t="shared" si="158"/>
        <v>#N/A</v>
      </c>
      <c r="V2015" s="23" t="e">
        <f t="shared" si="159"/>
        <v>#N/A</v>
      </c>
    </row>
    <row r="2016" spans="2:22" x14ac:dyDescent="0.25">
      <c r="B2016" s="16">
        <v>1</v>
      </c>
      <c r="C2016" s="7">
        <v>0</v>
      </c>
      <c r="D2016" s="8">
        <v>1</v>
      </c>
      <c r="E2016" s="8">
        <v>1</v>
      </c>
      <c r="F2016" s="8">
        <v>1</v>
      </c>
      <c r="G2016" s="8">
        <v>0</v>
      </c>
      <c r="H2016" s="8">
        <v>1</v>
      </c>
      <c r="I2016" s="8">
        <v>1</v>
      </c>
      <c r="J2016" s="8">
        <v>1</v>
      </c>
      <c r="K2016" s="9">
        <v>1</v>
      </c>
      <c r="L2016" s="10">
        <v>1</v>
      </c>
      <c r="M2016" s="6">
        <v>0</v>
      </c>
      <c r="N2016" s="37" t="e" cm="1">
        <f t="array" ref="N2016">IF(OR(ISNUMBER(FIND(Aux!$D$3:$D$9,_xlfn.TEXTJOIN(,,C2016:K2016)))),NA(),IF(AND(SUM(C2016:F2016,H2016:K2016)=0,G2016=1),0,INT((SUMPRODUCT(C2016:F2016,COLUMN($A$1:$D$1)-1)+SUMPRODUCT(H2016:K2016,COLUMN($E$1:$H$1)-1))*'Line Follower'!$C$3/SUM(C2016:F2016,H2016:K2016)-'Line Follower'!$C$5)))</f>
        <v>#N/A</v>
      </c>
      <c r="O2016" s="22" t="e">
        <v>#N/A</v>
      </c>
      <c r="P2016" s="4" t="e">
        <f t="shared" si="155"/>
        <v>#N/A</v>
      </c>
      <c r="Q2016" s="4" t="e">
        <f t="shared" si="156"/>
        <v>#N/A</v>
      </c>
      <c r="R2016" s="4" t="e">
        <f>IF(AND(B2016=1,N2016&gt;'Line Follower'!$C$7,SUM(C2016:K2016)&lt;4),1,0)</f>
        <v>#N/A</v>
      </c>
      <c r="S2016" s="4" t="e">
        <f>IF(AND(L2016=1,N2016&lt;'Line Follower'!$C$6,SUM(C2016:K2016)&lt;4),1,0)</f>
        <v>#N/A</v>
      </c>
      <c r="T2016" s="4" t="e">
        <f t="shared" si="157"/>
        <v>#N/A</v>
      </c>
      <c r="U2016" s="5" t="e">
        <f t="shared" si="158"/>
        <v>#N/A</v>
      </c>
      <c r="V2016" s="23" t="e">
        <f t="shared" si="159"/>
        <v>#N/A</v>
      </c>
    </row>
    <row r="2017" spans="2:22" x14ac:dyDescent="0.25">
      <c r="B2017" s="16">
        <v>0</v>
      </c>
      <c r="C2017" s="7">
        <v>1</v>
      </c>
      <c r="D2017" s="8">
        <v>1</v>
      </c>
      <c r="E2017" s="8">
        <v>1</v>
      </c>
      <c r="F2017" s="8">
        <v>1</v>
      </c>
      <c r="G2017" s="8">
        <v>0</v>
      </c>
      <c r="H2017" s="8">
        <v>1</v>
      </c>
      <c r="I2017" s="8">
        <v>1</v>
      </c>
      <c r="J2017" s="8">
        <v>1</v>
      </c>
      <c r="K2017" s="9">
        <v>1</v>
      </c>
      <c r="L2017" s="10">
        <v>1</v>
      </c>
      <c r="M2017" s="6">
        <v>0</v>
      </c>
      <c r="N2017" s="37" t="e" cm="1">
        <f t="array" ref="N2017">IF(OR(ISNUMBER(FIND(Aux!$D$3:$D$9,_xlfn.TEXTJOIN(,,C2017:K2017)))),NA(),IF(AND(SUM(C2017:F2017,H2017:K2017)=0,G2017=1),0,INT((SUMPRODUCT(C2017:F2017,COLUMN($A$1:$D$1)-1)+SUMPRODUCT(H2017:K2017,COLUMN($E$1:$H$1)-1))*'Line Follower'!$C$3/SUM(C2017:F2017,H2017:K2017)-'Line Follower'!$C$5)))</f>
        <v>#N/A</v>
      </c>
      <c r="O2017" s="22" t="e">
        <v>#N/A</v>
      </c>
      <c r="P2017" s="4" t="e">
        <f t="shared" si="155"/>
        <v>#N/A</v>
      </c>
      <c r="Q2017" s="4" t="e">
        <f t="shared" si="156"/>
        <v>#N/A</v>
      </c>
      <c r="R2017" s="4" t="e">
        <f>IF(AND(B2017=1,N2017&gt;'Line Follower'!$C$7,SUM(C2017:K2017)&lt;4),1,0)</f>
        <v>#N/A</v>
      </c>
      <c r="S2017" s="4" t="e">
        <f>IF(AND(L2017=1,N2017&lt;'Line Follower'!$C$6,SUM(C2017:K2017)&lt;4),1,0)</f>
        <v>#N/A</v>
      </c>
      <c r="T2017" s="4" t="e">
        <f t="shared" si="157"/>
        <v>#N/A</v>
      </c>
      <c r="U2017" s="5" t="e">
        <f t="shared" si="158"/>
        <v>#N/A</v>
      </c>
      <c r="V2017" s="23" t="e">
        <f t="shared" si="159"/>
        <v>#N/A</v>
      </c>
    </row>
    <row r="2018" spans="2:22" x14ac:dyDescent="0.25">
      <c r="B2018" s="16">
        <v>1</v>
      </c>
      <c r="C2018" s="7">
        <v>1</v>
      </c>
      <c r="D2018" s="8">
        <v>1</v>
      </c>
      <c r="E2018" s="8">
        <v>1</v>
      </c>
      <c r="F2018" s="8">
        <v>1</v>
      </c>
      <c r="G2018" s="8">
        <v>0</v>
      </c>
      <c r="H2018" s="8">
        <v>1</v>
      </c>
      <c r="I2018" s="8">
        <v>1</v>
      </c>
      <c r="J2018" s="8">
        <v>1</v>
      </c>
      <c r="K2018" s="9">
        <v>1</v>
      </c>
      <c r="L2018" s="10">
        <v>1</v>
      </c>
      <c r="M2018" s="6">
        <v>0</v>
      </c>
      <c r="N2018" s="37" t="e" cm="1">
        <f t="array" ref="N2018">IF(OR(ISNUMBER(FIND(Aux!$D$3:$D$9,_xlfn.TEXTJOIN(,,C2018:K2018)))),NA(),IF(AND(SUM(C2018:F2018,H2018:K2018)=0,G2018=1),0,INT((SUMPRODUCT(C2018:F2018,COLUMN($A$1:$D$1)-1)+SUMPRODUCT(H2018:K2018,COLUMN($E$1:$H$1)-1))*'Line Follower'!$C$3/SUM(C2018:F2018,H2018:K2018)-'Line Follower'!$C$5)))</f>
        <v>#N/A</v>
      </c>
      <c r="O2018" s="22" t="e">
        <v>#N/A</v>
      </c>
      <c r="P2018" s="4" t="e">
        <f t="shared" si="155"/>
        <v>#N/A</v>
      </c>
      <c r="Q2018" s="4" t="e">
        <f t="shared" si="156"/>
        <v>#N/A</v>
      </c>
      <c r="R2018" s="4" t="e">
        <f>IF(AND(B2018=1,N2018&gt;'Line Follower'!$C$7,SUM(C2018:K2018)&lt;4),1,0)</f>
        <v>#N/A</v>
      </c>
      <c r="S2018" s="4" t="e">
        <f>IF(AND(L2018=1,N2018&lt;'Line Follower'!$C$6,SUM(C2018:K2018)&lt;4),1,0)</f>
        <v>#N/A</v>
      </c>
      <c r="T2018" s="4" t="e">
        <f t="shared" si="157"/>
        <v>#N/A</v>
      </c>
      <c r="U2018" s="5" t="e">
        <f t="shared" si="158"/>
        <v>#N/A</v>
      </c>
      <c r="V2018" s="23" t="e">
        <f t="shared" si="159"/>
        <v>#N/A</v>
      </c>
    </row>
    <row r="2019" spans="2:22" x14ac:dyDescent="0.25">
      <c r="B2019" s="16">
        <v>0</v>
      </c>
      <c r="C2019" s="7">
        <v>0</v>
      </c>
      <c r="D2019" s="8">
        <v>0</v>
      </c>
      <c r="E2019" s="8">
        <v>0</v>
      </c>
      <c r="F2019" s="8">
        <v>0</v>
      </c>
      <c r="G2019" s="8">
        <v>1</v>
      </c>
      <c r="H2019" s="8">
        <v>1</v>
      </c>
      <c r="I2019" s="8">
        <v>1</v>
      </c>
      <c r="J2019" s="8">
        <v>1</v>
      </c>
      <c r="K2019" s="9">
        <v>1</v>
      </c>
      <c r="L2019" s="10">
        <v>1</v>
      </c>
      <c r="M2019" s="6">
        <v>0</v>
      </c>
      <c r="N2019" s="37" cm="1">
        <f t="array" ref="N2019">IF(OR(ISNUMBER(FIND(Aux!$D$3:$D$9,_xlfn.TEXTJOIN(,,C2019:K2019)))),NA(),IF(AND(SUM(C2019:F2019,H2019:K2019)=0,G2019=1),0,INT((SUMPRODUCT(C2019:F2019,COLUMN($A$1:$D$1)-1)+SUMPRODUCT(H2019:K2019,COLUMN($E$1:$H$1)-1))*'Line Follower'!$C$3/SUM(C2019:F2019,H2019:K2019)-'Line Follower'!$C$5)))</f>
        <v>4</v>
      </c>
      <c r="O2019" s="22">
        <v>1</v>
      </c>
      <c r="P2019" s="4">
        <f t="shared" si="155"/>
        <v>0</v>
      </c>
      <c r="Q2019" s="4">
        <f t="shared" si="156"/>
        <v>1</v>
      </c>
      <c r="R2019" s="4">
        <f>IF(AND(B2019=1,N2019&gt;'Line Follower'!$C$7,SUM(C2019:K2019)&lt;4),1,0)</f>
        <v>0</v>
      </c>
      <c r="S2019" s="4">
        <f>IF(AND(L2019=1,N2019&lt;'Line Follower'!$C$6,SUM(C2019:K2019)&lt;4),1,0)</f>
        <v>0</v>
      </c>
      <c r="T2019" s="4">
        <f t="shared" si="157"/>
        <v>0</v>
      </c>
      <c r="U2019" s="5">
        <f t="shared" si="158"/>
        <v>0</v>
      </c>
      <c r="V2019" s="23">
        <f t="shared" si="159"/>
        <v>0</v>
      </c>
    </row>
    <row r="2020" spans="2:22" x14ac:dyDescent="0.25">
      <c r="B2020" s="16">
        <v>1</v>
      </c>
      <c r="C2020" s="7">
        <v>0</v>
      </c>
      <c r="D2020" s="8">
        <v>0</v>
      </c>
      <c r="E2020" s="8">
        <v>0</v>
      </c>
      <c r="F2020" s="8">
        <v>0</v>
      </c>
      <c r="G2020" s="8">
        <v>1</v>
      </c>
      <c r="H2020" s="8">
        <v>1</v>
      </c>
      <c r="I2020" s="8">
        <v>1</v>
      </c>
      <c r="J2020" s="8">
        <v>1</v>
      </c>
      <c r="K2020" s="9">
        <v>1</v>
      </c>
      <c r="L2020" s="10">
        <v>1</v>
      </c>
      <c r="M2020" s="6">
        <v>0</v>
      </c>
      <c r="N2020" s="37" cm="1">
        <f t="array" ref="N2020">IF(OR(ISNUMBER(FIND(Aux!$D$3:$D$9,_xlfn.TEXTJOIN(,,C2020:K2020)))),NA(),IF(AND(SUM(C2020:F2020,H2020:K2020)=0,G2020=1),0,INT((SUMPRODUCT(C2020:F2020,COLUMN($A$1:$D$1)-1)+SUMPRODUCT(H2020:K2020,COLUMN($E$1:$H$1)-1))*'Line Follower'!$C$3/SUM(C2020:F2020,H2020:K2020)-'Line Follower'!$C$5)))</f>
        <v>4</v>
      </c>
      <c r="O2020" s="22">
        <v>1</v>
      </c>
      <c r="P2020" s="4">
        <f t="shared" si="155"/>
        <v>0</v>
      </c>
      <c r="Q2020" s="4">
        <f t="shared" si="156"/>
        <v>1</v>
      </c>
      <c r="R2020" s="4">
        <f>IF(AND(B2020=1,N2020&gt;'Line Follower'!$C$7,SUM(C2020:K2020)&lt;4),1,0)</f>
        <v>0</v>
      </c>
      <c r="S2020" s="4">
        <f>IF(AND(L2020=1,N2020&lt;'Line Follower'!$C$6,SUM(C2020:K2020)&lt;4),1,0)</f>
        <v>0</v>
      </c>
      <c r="T2020" s="4">
        <f t="shared" si="157"/>
        <v>0</v>
      </c>
      <c r="U2020" s="5">
        <f t="shared" si="158"/>
        <v>0</v>
      </c>
      <c r="V2020" s="23">
        <f t="shared" si="159"/>
        <v>0</v>
      </c>
    </row>
    <row r="2021" spans="2:22" x14ac:dyDescent="0.25">
      <c r="B2021" s="16">
        <v>0</v>
      </c>
      <c r="C2021" s="7">
        <v>1</v>
      </c>
      <c r="D2021" s="8">
        <v>0</v>
      </c>
      <c r="E2021" s="8">
        <v>0</v>
      </c>
      <c r="F2021" s="8">
        <v>0</v>
      </c>
      <c r="G2021" s="8">
        <v>1</v>
      </c>
      <c r="H2021" s="8">
        <v>1</v>
      </c>
      <c r="I2021" s="8">
        <v>1</v>
      </c>
      <c r="J2021" s="8">
        <v>1</v>
      </c>
      <c r="K2021" s="9">
        <v>1</v>
      </c>
      <c r="L2021" s="10">
        <v>1</v>
      </c>
      <c r="M2021" s="6">
        <v>0</v>
      </c>
      <c r="N2021" s="37" t="e" cm="1">
        <f t="array" ref="N2021">IF(OR(ISNUMBER(FIND(Aux!$D$3:$D$9,_xlfn.TEXTJOIN(,,C2021:K2021)))),NA(),IF(AND(SUM(C2021:F2021,H2021:K2021)=0,G2021=1),0,INT((SUMPRODUCT(C2021:F2021,COLUMN($A$1:$D$1)-1)+SUMPRODUCT(H2021:K2021,COLUMN($E$1:$H$1)-1))*'Line Follower'!$C$3/SUM(C2021:F2021,H2021:K2021)-'Line Follower'!$C$5)))</f>
        <v>#N/A</v>
      </c>
      <c r="O2021" s="22" t="e">
        <v>#N/A</v>
      </c>
      <c r="P2021" s="4" t="e">
        <f t="shared" si="155"/>
        <v>#N/A</v>
      </c>
      <c r="Q2021" s="4" t="e">
        <f t="shared" si="156"/>
        <v>#N/A</v>
      </c>
      <c r="R2021" s="4" t="e">
        <f>IF(AND(B2021=1,N2021&gt;'Line Follower'!$C$7,SUM(C2021:K2021)&lt;4),1,0)</f>
        <v>#N/A</v>
      </c>
      <c r="S2021" s="4" t="e">
        <f>IF(AND(L2021=1,N2021&lt;'Line Follower'!$C$6,SUM(C2021:K2021)&lt;4),1,0)</f>
        <v>#N/A</v>
      </c>
      <c r="T2021" s="4" t="e">
        <f t="shared" si="157"/>
        <v>#N/A</v>
      </c>
      <c r="U2021" s="5" t="e">
        <f t="shared" si="158"/>
        <v>#N/A</v>
      </c>
      <c r="V2021" s="23" t="e">
        <f t="shared" si="159"/>
        <v>#N/A</v>
      </c>
    </row>
    <row r="2022" spans="2:22" x14ac:dyDescent="0.25">
      <c r="B2022" s="16">
        <v>1</v>
      </c>
      <c r="C2022" s="7">
        <v>1</v>
      </c>
      <c r="D2022" s="8">
        <v>0</v>
      </c>
      <c r="E2022" s="8">
        <v>0</v>
      </c>
      <c r="F2022" s="8">
        <v>0</v>
      </c>
      <c r="G2022" s="8">
        <v>1</v>
      </c>
      <c r="H2022" s="8">
        <v>1</v>
      </c>
      <c r="I2022" s="8">
        <v>1</v>
      </c>
      <c r="J2022" s="8">
        <v>1</v>
      </c>
      <c r="K2022" s="9">
        <v>1</v>
      </c>
      <c r="L2022" s="10">
        <v>1</v>
      </c>
      <c r="M2022" s="6">
        <v>0</v>
      </c>
      <c r="N2022" s="37" t="e" cm="1">
        <f t="array" ref="N2022">IF(OR(ISNUMBER(FIND(Aux!$D$3:$D$9,_xlfn.TEXTJOIN(,,C2022:K2022)))),NA(),IF(AND(SUM(C2022:F2022,H2022:K2022)=0,G2022=1),0,INT((SUMPRODUCT(C2022:F2022,COLUMN($A$1:$D$1)-1)+SUMPRODUCT(H2022:K2022,COLUMN($E$1:$H$1)-1))*'Line Follower'!$C$3/SUM(C2022:F2022,H2022:K2022)-'Line Follower'!$C$5)))</f>
        <v>#N/A</v>
      </c>
      <c r="O2022" s="22" t="e">
        <v>#N/A</v>
      </c>
      <c r="P2022" s="4" t="e">
        <f t="shared" si="155"/>
        <v>#N/A</v>
      </c>
      <c r="Q2022" s="4" t="e">
        <f t="shared" si="156"/>
        <v>#N/A</v>
      </c>
      <c r="R2022" s="4" t="e">
        <f>IF(AND(B2022=1,N2022&gt;'Line Follower'!$C$7,SUM(C2022:K2022)&lt;4),1,0)</f>
        <v>#N/A</v>
      </c>
      <c r="S2022" s="4" t="e">
        <f>IF(AND(L2022=1,N2022&lt;'Line Follower'!$C$6,SUM(C2022:K2022)&lt;4),1,0)</f>
        <v>#N/A</v>
      </c>
      <c r="T2022" s="4" t="e">
        <f t="shared" si="157"/>
        <v>#N/A</v>
      </c>
      <c r="U2022" s="5" t="e">
        <f t="shared" si="158"/>
        <v>#N/A</v>
      </c>
      <c r="V2022" s="23" t="e">
        <f t="shared" si="159"/>
        <v>#N/A</v>
      </c>
    </row>
    <row r="2023" spans="2:22" x14ac:dyDescent="0.25">
      <c r="B2023" s="16">
        <v>0</v>
      </c>
      <c r="C2023" s="7">
        <v>0</v>
      </c>
      <c r="D2023" s="8">
        <v>1</v>
      </c>
      <c r="E2023" s="8">
        <v>0</v>
      </c>
      <c r="F2023" s="8">
        <v>0</v>
      </c>
      <c r="G2023" s="8">
        <v>1</v>
      </c>
      <c r="H2023" s="8">
        <v>1</v>
      </c>
      <c r="I2023" s="8">
        <v>1</v>
      </c>
      <c r="J2023" s="8">
        <v>1</v>
      </c>
      <c r="K2023" s="9">
        <v>1</v>
      </c>
      <c r="L2023" s="10">
        <v>1</v>
      </c>
      <c r="M2023" s="6">
        <v>0</v>
      </c>
      <c r="N2023" s="37" t="e" cm="1">
        <f t="array" ref="N2023">IF(OR(ISNUMBER(FIND(Aux!$D$3:$D$9,_xlfn.TEXTJOIN(,,C2023:K2023)))),NA(),IF(AND(SUM(C2023:F2023,H2023:K2023)=0,G2023=1),0,INT((SUMPRODUCT(C2023:F2023,COLUMN($A$1:$D$1)-1)+SUMPRODUCT(H2023:K2023,COLUMN($E$1:$H$1)-1))*'Line Follower'!$C$3/SUM(C2023:F2023,H2023:K2023)-'Line Follower'!$C$5)))</f>
        <v>#N/A</v>
      </c>
      <c r="O2023" s="22" t="e">
        <v>#N/A</v>
      </c>
      <c r="P2023" s="4" t="e">
        <f t="shared" si="155"/>
        <v>#N/A</v>
      </c>
      <c r="Q2023" s="4" t="e">
        <f t="shared" si="156"/>
        <v>#N/A</v>
      </c>
      <c r="R2023" s="4" t="e">
        <f>IF(AND(B2023=1,N2023&gt;'Line Follower'!$C$7,SUM(C2023:K2023)&lt;4),1,0)</f>
        <v>#N/A</v>
      </c>
      <c r="S2023" s="4" t="e">
        <f>IF(AND(L2023=1,N2023&lt;'Line Follower'!$C$6,SUM(C2023:K2023)&lt;4),1,0)</f>
        <v>#N/A</v>
      </c>
      <c r="T2023" s="4" t="e">
        <f t="shared" si="157"/>
        <v>#N/A</v>
      </c>
      <c r="U2023" s="5" t="e">
        <f t="shared" si="158"/>
        <v>#N/A</v>
      </c>
      <c r="V2023" s="23" t="e">
        <f t="shared" si="159"/>
        <v>#N/A</v>
      </c>
    </row>
    <row r="2024" spans="2:22" x14ac:dyDescent="0.25">
      <c r="B2024" s="16">
        <v>1</v>
      </c>
      <c r="C2024" s="7">
        <v>0</v>
      </c>
      <c r="D2024" s="8">
        <v>1</v>
      </c>
      <c r="E2024" s="8">
        <v>0</v>
      </c>
      <c r="F2024" s="8">
        <v>0</v>
      </c>
      <c r="G2024" s="8">
        <v>1</v>
      </c>
      <c r="H2024" s="8">
        <v>1</v>
      </c>
      <c r="I2024" s="8">
        <v>1</v>
      </c>
      <c r="J2024" s="8">
        <v>1</v>
      </c>
      <c r="K2024" s="9">
        <v>1</v>
      </c>
      <c r="L2024" s="10">
        <v>1</v>
      </c>
      <c r="M2024" s="6">
        <v>0</v>
      </c>
      <c r="N2024" s="37" t="e" cm="1">
        <f t="array" ref="N2024">IF(OR(ISNUMBER(FIND(Aux!$D$3:$D$9,_xlfn.TEXTJOIN(,,C2024:K2024)))),NA(),IF(AND(SUM(C2024:F2024,H2024:K2024)=0,G2024=1),0,INT((SUMPRODUCT(C2024:F2024,COLUMN($A$1:$D$1)-1)+SUMPRODUCT(H2024:K2024,COLUMN($E$1:$H$1)-1))*'Line Follower'!$C$3/SUM(C2024:F2024,H2024:K2024)-'Line Follower'!$C$5)))</f>
        <v>#N/A</v>
      </c>
      <c r="O2024" s="22" t="e">
        <v>#N/A</v>
      </c>
      <c r="P2024" s="4" t="e">
        <f t="shared" si="155"/>
        <v>#N/A</v>
      </c>
      <c r="Q2024" s="4" t="e">
        <f t="shared" si="156"/>
        <v>#N/A</v>
      </c>
      <c r="R2024" s="4" t="e">
        <f>IF(AND(B2024=1,N2024&gt;'Line Follower'!$C$7,SUM(C2024:K2024)&lt;4),1,0)</f>
        <v>#N/A</v>
      </c>
      <c r="S2024" s="4" t="e">
        <f>IF(AND(L2024=1,N2024&lt;'Line Follower'!$C$6,SUM(C2024:K2024)&lt;4),1,0)</f>
        <v>#N/A</v>
      </c>
      <c r="T2024" s="4" t="e">
        <f t="shared" si="157"/>
        <v>#N/A</v>
      </c>
      <c r="U2024" s="5" t="e">
        <f t="shared" si="158"/>
        <v>#N/A</v>
      </c>
      <c r="V2024" s="23" t="e">
        <f t="shared" si="159"/>
        <v>#N/A</v>
      </c>
    </row>
    <row r="2025" spans="2:22" x14ac:dyDescent="0.25">
      <c r="B2025" s="16">
        <v>0</v>
      </c>
      <c r="C2025" s="7">
        <v>1</v>
      </c>
      <c r="D2025" s="8">
        <v>1</v>
      </c>
      <c r="E2025" s="8">
        <v>0</v>
      </c>
      <c r="F2025" s="8">
        <v>0</v>
      </c>
      <c r="G2025" s="8">
        <v>1</v>
      </c>
      <c r="H2025" s="8">
        <v>1</v>
      </c>
      <c r="I2025" s="8">
        <v>1</v>
      </c>
      <c r="J2025" s="8">
        <v>1</v>
      </c>
      <c r="K2025" s="9">
        <v>1</v>
      </c>
      <c r="L2025" s="10">
        <v>1</v>
      </c>
      <c r="M2025" s="6">
        <v>0</v>
      </c>
      <c r="N2025" s="37" t="e" cm="1">
        <f t="array" ref="N2025">IF(OR(ISNUMBER(FIND(Aux!$D$3:$D$9,_xlfn.TEXTJOIN(,,C2025:K2025)))),NA(),IF(AND(SUM(C2025:F2025,H2025:K2025)=0,G2025=1),0,INT((SUMPRODUCT(C2025:F2025,COLUMN($A$1:$D$1)-1)+SUMPRODUCT(H2025:K2025,COLUMN($E$1:$H$1)-1))*'Line Follower'!$C$3/SUM(C2025:F2025,H2025:K2025)-'Line Follower'!$C$5)))</f>
        <v>#N/A</v>
      </c>
      <c r="O2025" s="22" t="e">
        <v>#N/A</v>
      </c>
      <c r="P2025" s="4" t="e">
        <f t="shared" si="155"/>
        <v>#N/A</v>
      </c>
      <c r="Q2025" s="4" t="e">
        <f t="shared" si="156"/>
        <v>#N/A</v>
      </c>
      <c r="R2025" s="4" t="e">
        <f>IF(AND(B2025=1,N2025&gt;'Line Follower'!$C$7,SUM(C2025:K2025)&lt;4),1,0)</f>
        <v>#N/A</v>
      </c>
      <c r="S2025" s="4" t="e">
        <f>IF(AND(L2025=1,N2025&lt;'Line Follower'!$C$6,SUM(C2025:K2025)&lt;4),1,0)</f>
        <v>#N/A</v>
      </c>
      <c r="T2025" s="4" t="e">
        <f t="shared" si="157"/>
        <v>#N/A</v>
      </c>
      <c r="U2025" s="5" t="e">
        <f t="shared" si="158"/>
        <v>#N/A</v>
      </c>
      <c r="V2025" s="23" t="e">
        <f t="shared" si="159"/>
        <v>#N/A</v>
      </c>
    </row>
    <row r="2026" spans="2:22" x14ac:dyDescent="0.25">
      <c r="B2026" s="16">
        <v>1</v>
      </c>
      <c r="C2026" s="7">
        <v>1</v>
      </c>
      <c r="D2026" s="8">
        <v>1</v>
      </c>
      <c r="E2026" s="8">
        <v>0</v>
      </c>
      <c r="F2026" s="8">
        <v>0</v>
      </c>
      <c r="G2026" s="8">
        <v>1</v>
      </c>
      <c r="H2026" s="8">
        <v>1</v>
      </c>
      <c r="I2026" s="8">
        <v>1</v>
      </c>
      <c r="J2026" s="8">
        <v>1</v>
      </c>
      <c r="K2026" s="9">
        <v>1</v>
      </c>
      <c r="L2026" s="10">
        <v>1</v>
      </c>
      <c r="M2026" s="6">
        <v>0</v>
      </c>
      <c r="N2026" s="37" t="e" cm="1">
        <f t="array" ref="N2026">IF(OR(ISNUMBER(FIND(Aux!$D$3:$D$9,_xlfn.TEXTJOIN(,,C2026:K2026)))),NA(),IF(AND(SUM(C2026:F2026,H2026:K2026)=0,G2026=1),0,INT((SUMPRODUCT(C2026:F2026,COLUMN($A$1:$D$1)-1)+SUMPRODUCT(H2026:K2026,COLUMN($E$1:$H$1)-1))*'Line Follower'!$C$3/SUM(C2026:F2026,H2026:K2026)-'Line Follower'!$C$5)))</f>
        <v>#N/A</v>
      </c>
      <c r="O2026" s="22" t="e">
        <v>#N/A</v>
      </c>
      <c r="P2026" s="4" t="e">
        <f t="shared" si="155"/>
        <v>#N/A</v>
      </c>
      <c r="Q2026" s="4" t="e">
        <f t="shared" si="156"/>
        <v>#N/A</v>
      </c>
      <c r="R2026" s="4" t="e">
        <f>IF(AND(B2026=1,N2026&gt;'Line Follower'!$C$7,SUM(C2026:K2026)&lt;4),1,0)</f>
        <v>#N/A</v>
      </c>
      <c r="S2026" s="4" t="e">
        <f>IF(AND(L2026=1,N2026&lt;'Line Follower'!$C$6,SUM(C2026:K2026)&lt;4),1,0)</f>
        <v>#N/A</v>
      </c>
      <c r="T2026" s="4" t="e">
        <f t="shared" si="157"/>
        <v>#N/A</v>
      </c>
      <c r="U2026" s="5" t="e">
        <f t="shared" si="158"/>
        <v>#N/A</v>
      </c>
      <c r="V2026" s="23" t="e">
        <f t="shared" si="159"/>
        <v>#N/A</v>
      </c>
    </row>
    <row r="2027" spans="2:22" x14ac:dyDescent="0.25">
      <c r="B2027" s="16">
        <v>0</v>
      </c>
      <c r="C2027" s="7">
        <v>0</v>
      </c>
      <c r="D2027" s="8">
        <v>0</v>
      </c>
      <c r="E2027" s="8">
        <v>1</v>
      </c>
      <c r="F2027" s="8">
        <v>0</v>
      </c>
      <c r="G2027" s="8">
        <v>1</v>
      </c>
      <c r="H2027" s="8">
        <v>1</v>
      </c>
      <c r="I2027" s="8">
        <v>1</v>
      </c>
      <c r="J2027" s="8">
        <v>1</v>
      </c>
      <c r="K2027" s="9">
        <v>1</v>
      </c>
      <c r="L2027" s="10">
        <v>1</v>
      </c>
      <c r="M2027" s="6">
        <v>0</v>
      </c>
      <c r="N2027" s="37" t="e" cm="1">
        <f t="array" ref="N2027">IF(OR(ISNUMBER(FIND(Aux!$D$3:$D$9,_xlfn.TEXTJOIN(,,C2027:K2027)))),NA(),IF(AND(SUM(C2027:F2027,H2027:K2027)=0,G2027=1),0,INT((SUMPRODUCT(C2027:F2027,COLUMN($A$1:$D$1)-1)+SUMPRODUCT(H2027:K2027,COLUMN($E$1:$H$1)-1))*'Line Follower'!$C$3/SUM(C2027:F2027,H2027:K2027)-'Line Follower'!$C$5)))</f>
        <v>#N/A</v>
      </c>
      <c r="O2027" s="22" t="e">
        <v>#N/A</v>
      </c>
      <c r="P2027" s="4" t="e">
        <f t="shared" si="155"/>
        <v>#N/A</v>
      </c>
      <c r="Q2027" s="4" t="e">
        <f t="shared" si="156"/>
        <v>#N/A</v>
      </c>
      <c r="R2027" s="4" t="e">
        <f>IF(AND(B2027=1,N2027&gt;'Line Follower'!$C$7,SUM(C2027:K2027)&lt;4),1,0)</f>
        <v>#N/A</v>
      </c>
      <c r="S2027" s="4" t="e">
        <f>IF(AND(L2027=1,N2027&lt;'Line Follower'!$C$6,SUM(C2027:K2027)&lt;4),1,0)</f>
        <v>#N/A</v>
      </c>
      <c r="T2027" s="4" t="e">
        <f t="shared" si="157"/>
        <v>#N/A</v>
      </c>
      <c r="U2027" s="5" t="e">
        <f t="shared" si="158"/>
        <v>#N/A</v>
      </c>
      <c r="V2027" s="23" t="e">
        <f t="shared" si="159"/>
        <v>#N/A</v>
      </c>
    </row>
    <row r="2028" spans="2:22" x14ac:dyDescent="0.25">
      <c r="B2028" s="16">
        <v>1</v>
      </c>
      <c r="C2028" s="7">
        <v>0</v>
      </c>
      <c r="D2028" s="8">
        <v>0</v>
      </c>
      <c r="E2028" s="8">
        <v>1</v>
      </c>
      <c r="F2028" s="8">
        <v>0</v>
      </c>
      <c r="G2028" s="8">
        <v>1</v>
      </c>
      <c r="H2028" s="8">
        <v>1</v>
      </c>
      <c r="I2028" s="8">
        <v>1</v>
      </c>
      <c r="J2028" s="8">
        <v>1</v>
      </c>
      <c r="K2028" s="9">
        <v>1</v>
      </c>
      <c r="L2028" s="10">
        <v>1</v>
      </c>
      <c r="M2028" s="6">
        <v>0</v>
      </c>
      <c r="N2028" s="37" t="e" cm="1">
        <f t="array" ref="N2028">IF(OR(ISNUMBER(FIND(Aux!$D$3:$D$9,_xlfn.TEXTJOIN(,,C2028:K2028)))),NA(),IF(AND(SUM(C2028:F2028,H2028:K2028)=0,G2028=1),0,INT((SUMPRODUCT(C2028:F2028,COLUMN($A$1:$D$1)-1)+SUMPRODUCT(H2028:K2028,COLUMN($E$1:$H$1)-1))*'Line Follower'!$C$3/SUM(C2028:F2028,H2028:K2028)-'Line Follower'!$C$5)))</f>
        <v>#N/A</v>
      </c>
      <c r="O2028" s="22" t="e">
        <v>#N/A</v>
      </c>
      <c r="P2028" s="4" t="e">
        <f t="shared" si="155"/>
        <v>#N/A</v>
      </c>
      <c r="Q2028" s="4" t="e">
        <f t="shared" si="156"/>
        <v>#N/A</v>
      </c>
      <c r="R2028" s="4" t="e">
        <f>IF(AND(B2028=1,N2028&gt;'Line Follower'!$C$7,SUM(C2028:K2028)&lt;4),1,0)</f>
        <v>#N/A</v>
      </c>
      <c r="S2028" s="4" t="e">
        <f>IF(AND(L2028=1,N2028&lt;'Line Follower'!$C$6,SUM(C2028:K2028)&lt;4),1,0)</f>
        <v>#N/A</v>
      </c>
      <c r="T2028" s="4" t="e">
        <f t="shared" si="157"/>
        <v>#N/A</v>
      </c>
      <c r="U2028" s="5" t="e">
        <f t="shared" si="158"/>
        <v>#N/A</v>
      </c>
      <c r="V2028" s="23" t="e">
        <f t="shared" si="159"/>
        <v>#N/A</v>
      </c>
    </row>
    <row r="2029" spans="2:22" x14ac:dyDescent="0.25">
      <c r="B2029" s="16">
        <v>0</v>
      </c>
      <c r="C2029" s="7">
        <v>1</v>
      </c>
      <c r="D2029" s="8">
        <v>0</v>
      </c>
      <c r="E2029" s="8">
        <v>1</v>
      </c>
      <c r="F2029" s="8">
        <v>0</v>
      </c>
      <c r="G2029" s="8">
        <v>1</v>
      </c>
      <c r="H2029" s="8">
        <v>1</v>
      </c>
      <c r="I2029" s="8">
        <v>1</v>
      </c>
      <c r="J2029" s="8">
        <v>1</v>
      </c>
      <c r="K2029" s="9">
        <v>1</v>
      </c>
      <c r="L2029" s="10">
        <v>1</v>
      </c>
      <c r="M2029" s="6">
        <v>0</v>
      </c>
      <c r="N2029" s="37" t="e" cm="1">
        <f t="array" ref="N2029">IF(OR(ISNUMBER(FIND(Aux!$D$3:$D$9,_xlfn.TEXTJOIN(,,C2029:K2029)))),NA(),IF(AND(SUM(C2029:F2029,H2029:K2029)=0,G2029=1),0,INT((SUMPRODUCT(C2029:F2029,COLUMN($A$1:$D$1)-1)+SUMPRODUCT(H2029:K2029,COLUMN($E$1:$H$1)-1))*'Line Follower'!$C$3/SUM(C2029:F2029,H2029:K2029)-'Line Follower'!$C$5)))</f>
        <v>#N/A</v>
      </c>
      <c r="O2029" s="22" t="e">
        <v>#N/A</v>
      </c>
      <c r="P2029" s="4" t="e">
        <f t="shared" si="155"/>
        <v>#N/A</v>
      </c>
      <c r="Q2029" s="4" t="e">
        <f t="shared" si="156"/>
        <v>#N/A</v>
      </c>
      <c r="R2029" s="4" t="e">
        <f>IF(AND(B2029=1,N2029&gt;'Line Follower'!$C$7,SUM(C2029:K2029)&lt;4),1,0)</f>
        <v>#N/A</v>
      </c>
      <c r="S2029" s="4" t="e">
        <f>IF(AND(L2029=1,N2029&lt;'Line Follower'!$C$6,SUM(C2029:K2029)&lt;4),1,0)</f>
        <v>#N/A</v>
      </c>
      <c r="T2029" s="4" t="e">
        <f t="shared" si="157"/>
        <v>#N/A</v>
      </c>
      <c r="U2029" s="5" t="e">
        <f t="shared" si="158"/>
        <v>#N/A</v>
      </c>
      <c r="V2029" s="23" t="e">
        <f t="shared" si="159"/>
        <v>#N/A</v>
      </c>
    </row>
    <row r="2030" spans="2:22" x14ac:dyDescent="0.25">
      <c r="B2030" s="16">
        <v>1</v>
      </c>
      <c r="C2030" s="7">
        <v>1</v>
      </c>
      <c r="D2030" s="8">
        <v>0</v>
      </c>
      <c r="E2030" s="8">
        <v>1</v>
      </c>
      <c r="F2030" s="8">
        <v>0</v>
      </c>
      <c r="G2030" s="8">
        <v>1</v>
      </c>
      <c r="H2030" s="8">
        <v>1</v>
      </c>
      <c r="I2030" s="8">
        <v>1</v>
      </c>
      <c r="J2030" s="8">
        <v>1</v>
      </c>
      <c r="K2030" s="9">
        <v>1</v>
      </c>
      <c r="L2030" s="10">
        <v>1</v>
      </c>
      <c r="M2030" s="6">
        <v>0</v>
      </c>
      <c r="N2030" s="37" t="e" cm="1">
        <f t="array" ref="N2030">IF(OR(ISNUMBER(FIND(Aux!$D$3:$D$9,_xlfn.TEXTJOIN(,,C2030:K2030)))),NA(),IF(AND(SUM(C2030:F2030,H2030:K2030)=0,G2030=1),0,INT((SUMPRODUCT(C2030:F2030,COLUMN($A$1:$D$1)-1)+SUMPRODUCT(H2030:K2030,COLUMN($E$1:$H$1)-1))*'Line Follower'!$C$3/SUM(C2030:F2030,H2030:K2030)-'Line Follower'!$C$5)))</f>
        <v>#N/A</v>
      </c>
      <c r="O2030" s="22" t="e">
        <v>#N/A</v>
      </c>
      <c r="P2030" s="4" t="e">
        <f t="shared" si="155"/>
        <v>#N/A</v>
      </c>
      <c r="Q2030" s="4" t="e">
        <f t="shared" si="156"/>
        <v>#N/A</v>
      </c>
      <c r="R2030" s="4" t="e">
        <f>IF(AND(B2030=1,N2030&gt;'Line Follower'!$C$7,SUM(C2030:K2030)&lt;4),1,0)</f>
        <v>#N/A</v>
      </c>
      <c r="S2030" s="4" t="e">
        <f>IF(AND(L2030=1,N2030&lt;'Line Follower'!$C$6,SUM(C2030:K2030)&lt;4),1,0)</f>
        <v>#N/A</v>
      </c>
      <c r="T2030" s="4" t="e">
        <f t="shared" si="157"/>
        <v>#N/A</v>
      </c>
      <c r="U2030" s="5" t="e">
        <f t="shared" si="158"/>
        <v>#N/A</v>
      </c>
      <c r="V2030" s="23" t="e">
        <f t="shared" si="159"/>
        <v>#N/A</v>
      </c>
    </row>
    <row r="2031" spans="2:22" x14ac:dyDescent="0.25">
      <c r="B2031" s="16">
        <v>0</v>
      </c>
      <c r="C2031" s="7">
        <v>0</v>
      </c>
      <c r="D2031" s="8">
        <v>1</v>
      </c>
      <c r="E2031" s="8">
        <v>1</v>
      </c>
      <c r="F2031" s="8">
        <v>0</v>
      </c>
      <c r="G2031" s="8">
        <v>1</v>
      </c>
      <c r="H2031" s="8">
        <v>1</v>
      </c>
      <c r="I2031" s="8">
        <v>1</v>
      </c>
      <c r="J2031" s="8">
        <v>1</v>
      </c>
      <c r="K2031" s="9">
        <v>1</v>
      </c>
      <c r="L2031" s="10">
        <v>1</v>
      </c>
      <c r="M2031" s="6">
        <v>0</v>
      </c>
      <c r="N2031" s="37" t="e" cm="1">
        <f t="array" ref="N2031">IF(OR(ISNUMBER(FIND(Aux!$D$3:$D$9,_xlfn.TEXTJOIN(,,C2031:K2031)))),NA(),IF(AND(SUM(C2031:F2031,H2031:K2031)=0,G2031=1),0,INT((SUMPRODUCT(C2031:F2031,COLUMN($A$1:$D$1)-1)+SUMPRODUCT(H2031:K2031,COLUMN($E$1:$H$1)-1))*'Line Follower'!$C$3/SUM(C2031:F2031,H2031:K2031)-'Line Follower'!$C$5)))</f>
        <v>#N/A</v>
      </c>
      <c r="O2031" s="22" t="e">
        <v>#N/A</v>
      </c>
      <c r="P2031" s="4" t="e">
        <f t="shared" si="155"/>
        <v>#N/A</v>
      </c>
      <c r="Q2031" s="4" t="e">
        <f t="shared" si="156"/>
        <v>#N/A</v>
      </c>
      <c r="R2031" s="4" t="e">
        <f>IF(AND(B2031=1,N2031&gt;'Line Follower'!$C$7,SUM(C2031:K2031)&lt;4),1,0)</f>
        <v>#N/A</v>
      </c>
      <c r="S2031" s="4" t="e">
        <f>IF(AND(L2031=1,N2031&lt;'Line Follower'!$C$6,SUM(C2031:K2031)&lt;4),1,0)</f>
        <v>#N/A</v>
      </c>
      <c r="T2031" s="4" t="e">
        <f t="shared" si="157"/>
        <v>#N/A</v>
      </c>
      <c r="U2031" s="5" t="e">
        <f t="shared" si="158"/>
        <v>#N/A</v>
      </c>
      <c r="V2031" s="23" t="e">
        <f t="shared" si="159"/>
        <v>#N/A</v>
      </c>
    </row>
    <row r="2032" spans="2:22" x14ac:dyDescent="0.25">
      <c r="B2032" s="16">
        <v>1</v>
      </c>
      <c r="C2032" s="7">
        <v>0</v>
      </c>
      <c r="D2032" s="8">
        <v>1</v>
      </c>
      <c r="E2032" s="8">
        <v>1</v>
      </c>
      <c r="F2032" s="8">
        <v>0</v>
      </c>
      <c r="G2032" s="8">
        <v>1</v>
      </c>
      <c r="H2032" s="8">
        <v>1</v>
      </c>
      <c r="I2032" s="8">
        <v>1</v>
      </c>
      <c r="J2032" s="8">
        <v>1</v>
      </c>
      <c r="K2032" s="9">
        <v>1</v>
      </c>
      <c r="L2032" s="10">
        <v>1</v>
      </c>
      <c r="M2032" s="6">
        <v>0</v>
      </c>
      <c r="N2032" s="37" t="e" cm="1">
        <f t="array" ref="N2032">IF(OR(ISNUMBER(FIND(Aux!$D$3:$D$9,_xlfn.TEXTJOIN(,,C2032:K2032)))),NA(),IF(AND(SUM(C2032:F2032,H2032:K2032)=0,G2032=1),0,INT((SUMPRODUCT(C2032:F2032,COLUMN($A$1:$D$1)-1)+SUMPRODUCT(H2032:K2032,COLUMN($E$1:$H$1)-1))*'Line Follower'!$C$3/SUM(C2032:F2032,H2032:K2032)-'Line Follower'!$C$5)))</f>
        <v>#N/A</v>
      </c>
      <c r="O2032" s="22" t="e">
        <v>#N/A</v>
      </c>
      <c r="P2032" s="4" t="e">
        <f t="shared" si="155"/>
        <v>#N/A</v>
      </c>
      <c r="Q2032" s="4" t="e">
        <f t="shared" si="156"/>
        <v>#N/A</v>
      </c>
      <c r="R2032" s="4" t="e">
        <f>IF(AND(B2032=1,N2032&gt;'Line Follower'!$C$7,SUM(C2032:K2032)&lt;4),1,0)</f>
        <v>#N/A</v>
      </c>
      <c r="S2032" s="4" t="e">
        <f>IF(AND(L2032=1,N2032&lt;'Line Follower'!$C$6,SUM(C2032:K2032)&lt;4),1,0)</f>
        <v>#N/A</v>
      </c>
      <c r="T2032" s="4" t="e">
        <f t="shared" si="157"/>
        <v>#N/A</v>
      </c>
      <c r="U2032" s="5" t="e">
        <f t="shared" si="158"/>
        <v>#N/A</v>
      </c>
      <c r="V2032" s="23" t="e">
        <f t="shared" si="159"/>
        <v>#N/A</v>
      </c>
    </row>
    <row r="2033" spans="2:22" x14ac:dyDescent="0.25">
      <c r="B2033" s="16">
        <v>0</v>
      </c>
      <c r="C2033" s="7">
        <v>1</v>
      </c>
      <c r="D2033" s="8">
        <v>1</v>
      </c>
      <c r="E2033" s="8">
        <v>1</v>
      </c>
      <c r="F2033" s="8">
        <v>0</v>
      </c>
      <c r="G2033" s="8">
        <v>1</v>
      </c>
      <c r="H2033" s="8">
        <v>1</v>
      </c>
      <c r="I2033" s="8">
        <v>1</v>
      </c>
      <c r="J2033" s="8">
        <v>1</v>
      </c>
      <c r="K2033" s="9">
        <v>1</v>
      </c>
      <c r="L2033" s="10">
        <v>1</v>
      </c>
      <c r="M2033" s="6">
        <v>0</v>
      </c>
      <c r="N2033" s="37" t="e" cm="1">
        <f t="array" ref="N2033">IF(OR(ISNUMBER(FIND(Aux!$D$3:$D$9,_xlfn.TEXTJOIN(,,C2033:K2033)))),NA(),IF(AND(SUM(C2033:F2033,H2033:K2033)=0,G2033=1),0,INT((SUMPRODUCT(C2033:F2033,COLUMN($A$1:$D$1)-1)+SUMPRODUCT(H2033:K2033,COLUMN($E$1:$H$1)-1))*'Line Follower'!$C$3/SUM(C2033:F2033,H2033:K2033)-'Line Follower'!$C$5)))</f>
        <v>#N/A</v>
      </c>
      <c r="O2033" s="22" t="e">
        <v>#N/A</v>
      </c>
      <c r="P2033" s="4" t="e">
        <f t="shared" si="155"/>
        <v>#N/A</v>
      </c>
      <c r="Q2033" s="4" t="e">
        <f t="shared" si="156"/>
        <v>#N/A</v>
      </c>
      <c r="R2033" s="4" t="e">
        <f>IF(AND(B2033=1,N2033&gt;'Line Follower'!$C$7,SUM(C2033:K2033)&lt;4),1,0)</f>
        <v>#N/A</v>
      </c>
      <c r="S2033" s="4" t="e">
        <f>IF(AND(L2033=1,N2033&lt;'Line Follower'!$C$6,SUM(C2033:K2033)&lt;4),1,0)</f>
        <v>#N/A</v>
      </c>
      <c r="T2033" s="4" t="e">
        <f t="shared" si="157"/>
        <v>#N/A</v>
      </c>
      <c r="U2033" s="5" t="e">
        <f t="shared" si="158"/>
        <v>#N/A</v>
      </c>
      <c r="V2033" s="23" t="e">
        <f t="shared" si="159"/>
        <v>#N/A</v>
      </c>
    </row>
    <row r="2034" spans="2:22" x14ac:dyDescent="0.25">
      <c r="B2034" s="16">
        <v>1</v>
      </c>
      <c r="C2034" s="7">
        <v>1</v>
      </c>
      <c r="D2034" s="8">
        <v>1</v>
      </c>
      <c r="E2034" s="8">
        <v>1</v>
      </c>
      <c r="F2034" s="8">
        <v>0</v>
      </c>
      <c r="G2034" s="8">
        <v>1</v>
      </c>
      <c r="H2034" s="8">
        <v>1</v>
      </c>
      <c r="I2034" s="8">
        <v>1</v>
      </c>
      <c r="J2034" s="8">
        <v>1</v>
      </c>
      <c r="K2034" s="9">
        <v>1</v>
      </c>
      <c r="L2034" s="10">
        <v>1</v>
      </c>
      <c r="M2034" s="6">
        <v>0</v>
      </c>
      <c r="N2034" s="37" t="e" cm="1">
        <f t="array" ref="N2034">IF(OR(ISNUMBER(FIND(Aux!$D$3:$D$9,_xlfn.TEXTJOIN(,,C2034:K2034)))),NA(),IF(AND(SUM(C2034:F2034,H2034:K2034)=0,G2034=1),0,INT((SUMPRODUCT(C2034:F2034,COLUMN($A$1:$D$1)-1)+SUMPRODUCT(H2034:K2034,COLUMN($E$1:$H$1)-1))*'Line Follower'!$C$3/SUM(C2034:F2034,H2034:K2034)-'Line Follower'!$C$5)))</f>
        <v>#N/A</v>
      </c>
      <c r="O2034" s="22" t="e">
        <v>#N/A</v>
      </c>
      <c r="P2034" s="4" t="e">
        <f t="shared" si="155"/>
        <v>#N/A</v>
      </c>
      <c r="Q2034" s="4" t="e">
        <f t="shared" si="156"/>
        <v>#N/A</v>
      </c>
      <c r="R2034" s="4" t="e">
        <f>IF(AND(B2034=1,N2034&gt;'Line Follower'!$C$7,SUM(C2034:K2034)&lt;4),1,0)</f>
        <v>#N/A</v>
      </c>
      <c r="S2034" s="4" t="e">
        <f>IF(AND(L2034=1,N2034&lt;'Line Follower'!$C$6,SUM(C2034:K2034)&lt;4),1,0)</f>
        <v>#N/A</v>
      </c>
      <c r="T2034" s="4" t="e">
        <f t="shared" si="157"/>
        <v>#N/A</v>
      </c>
      <c r="U2034" s="5" t="e">
        <f t="shared" si="158"/>
        <v>#N/A</v>
      </c>
      <c r="V2034" s="23" t="e">
        <f t="shared" si="159"/>
        <v>#N/A</v>
      </c>
    </row>
    <row r="2035" spans="2:22" x14ac:dyDescent="0.25">
      <c r="B2035" s="16">
        <v>0</v>
      </c>
      <c r="C2035" s="7">
        <v>0</v>
      </c>
      <c r="D2035" s="8">
        <v>0</v>
      </c>
      <c r="E2035" s="8">
        <v>0</v>
      </c>
      <c r="F2035" s="8">
        <v>1</v>
      </c>
      <c r="G2035" s="8">
        <v>1</v>
      </c>
      <c r="H2035" s="8">
        <v>1</v>
      </c>
      <c r="I2035" s="8">
        <v>1</v>
      </c>
      <c r="J2035" s="8">
        <v>1</v>
      </c>
      <c r="K2035" s="9">
        <v>1</v>
      </c>
      <c r="L2035" s="10">
        <v>1</v>
      </c>
      <c r="M2035" s="6">
        <v>0</v>
      </c>
      <c r="N2035" s="37" cm="1">
        <f t="array" ref="N2035">IF(OR(ISNUMBER(FIND(Aux!$D$3:$D$9,_xlfn.TEXTJOIN(,,C2035:K2035)))),NA(),IF(AND(SUM(C2035:F2035,H2035:K2035)=0,G2035=1),0,INT((SUMPRODUCT(C2035:F2035,COLUMN($A$1:$D$1)-1)+SUMPRODUCT(H2035:K2035,COLUMN($E$1:$H$1)-1))*'Line Follower'!$C$3/SUM(C2035:F2035,H2035:K2035)-'Line Follower'!$C$5)))</f>
        <v>3</v>
      </c>
      <c r="O2035" s="22">
        <v>1</v>
      </c>
      <c r="P2035" s="4">
        <f t="shared" si="155"/>
        <v>0</v>
      </c>
      <c r="Q2035" s="4">
        <f t="shared" si="156"/>
        <v>1</v>
      </c>
      <c r="R2035" s="4">
        <f>IF(AND(B2035=1,N2035&gt;'Line Follower'!$C$7,SUM(C2035:K2035)&lt;4),1,0)</f>
        <v>0</v>
      </c>
      <c r="S2035" s="4">
        <f>IF(AND(L2035=1,N2035&lt;'Line Follower'!$C$6,SUM(C2035:K2035)&lt;4),1,0)</f>
        <v>0</v>
      </c>
      <c r="T2035" s="4">
        <f t="shared" si="157"/>
        <v>0</v>
      </c>
      <c r="U2035" s="5">
        <f t="shared" si="158"/>
        <v>0</v>
      </c>
      <c r="V2035" s="23">
        <f t="shared" si="159"/>
        <v>0</v>
      </c>
    </row>
    <row r="2036" spans="2:22" x14ac:dyDescent="0.25">
      <c r="B2036" s="16">
        <v>1</v>
      </c>
      <c r="C2036" s="7">
        <v>0</v>
      </c>
      <c r="D2036" s="8">
        <v>0</v>
      </c>
      <c r="E2036" s="8">
        <v>0</v>
      </c>
      <c r="F2036" s="8">
        <v>1</v>
      </c>
      <c r="G2036" s="8">
        <v>1</v>
      </c>
      <c r="H2036" s="8">
        <v>1</v>
      </c>
      <c r="I2036" s="8">
        <v>1</v>
      </c>
      <c r="J2036" s="8">
        <v>1</v>
      </c>
      <c r="K2036" s="9">
        <v>1</v>
      </c>
      <c r="L2036" s="10">
        <v>1</v>
      </c>
      <c r="M2036" s="6">
        <v>0</v>
      </c>
      <c r="N2036" s="37" cm="1">
        <f t="array" ref="N2036">IF(OR(ISNUMBER(FIND(Aux!$D$3:$D$9,_xlfn.TEXTJOIN(,,C2036:K2036)))),NA(),IF(AND(SUM(C2036:F2036,H2036:K2036)=0,G2036=1),0,INT((SUMPRODUCT(C2036:F2036,COLUMN($A$1:$D$1)-1)+SUMPRODUCT(H2036:K2036,COLUMN($E$1:$H$1)-1))*'Line Follower'!$C$3/SUM(C2036:F2036,H2036:K2036)-'Line Follower'!$C$5)))</f>
        <v>3</v>
      </c>
      <c r="O2036" s="22">
        <v>1</v>
      </c>
      <c r="P2036" s="4">
        <f t="shared" si="155"/>
        <v>0</v>
      </c>
      <c r="Q2036" s="4">
        <f t="shared" si="156"/>
        <v>1</v>
      </c>
      <c r="R2036" s="4">
        <f>IF(AND(B2036=1,N2036&gt;'Line Follower'!$C$7,SUM(C2036:K2036)&lt;4),1,0)</f>
        <v>0</v>
      </c>
      <c r="S2036" s="4">
        <f>IF(AND(L2036=1,N2036&lt;'Line Follower'!$C$6,SUM(C2036:K2036)&lt;4),1,0)</f>
        <v>0</v>
      </c>
      <c r="T2036" s="4">
        <f t="shared" si="157"/>
        <v>0</v>
      </c>
      <c r="U2036" s="5">
        <f t="shared" si="158"/>
        <v>0</v>
      </c>
      <c r="V2036" s="23">
        <f t="shared" si="159"/>
        <v>0</v>
      </c>
    </row>
    <row r="2037" spans="2:22" x14ac:dyDescent="0.25">
      <c r="B2037" s="16">
        <v>0</v>
      </c>
      <c r="C2037" s="7">
        <v>1</v>
      </c>
      <c r="D2037" s="8">
        <v>0</v>
      </c>
      <c r="E2037" s="8">
        <v>0</v>
      </c>
      <c r="F2037" s="8">
        <v>1</v>
      </c>
      <c r="G2037" s="8">
        <v>1</v>
      </c>
      <c r="H2037" s="8">
        <v>1</v>
      </c>
      <c r="I2037" s="8">
        <v>1</v>
      </c>
      <c r="J2037" s="8">
        <v>1</v>
      </c>
      <c r="K2037" s="9">
        <v>1</v>
      </c>
      <c r="L2037" s="10">
        <v>1</v>
      </c>
      <c r="M2037" s="6">
        <v>0</v>
      </c>
      <c r="N2037" s="37" t="e" cm="1">
        <f t="array" ref="N2037">IF(OR(ISNUMBER(FIND(Aux!$D$3:$D$9,_xlfn.TEXTJOIN(,,C2037:K2037)))),NA(),IF(AND(SUM(C2037:F2037,H2037:K2037)=0,G2037=1),0,INT((SUMPRODUCT(C2037:F2037,COLUMN($A$1:$D$1)-1)+SUMPRODUCT(H2037:K2037,COLUMN($E$1:$H$1)-1))*'Line Follower'!$C$3/SUM(C2037:F2037,H2037:K2037)-'Line Follower'!$C$5)))</f>
        <v>#N/A</v>
      </c>
      <c r="O2037" s="22" t="e">
        <v>#N/A</v>
      </c>
      <c r="P2037" s="4" t="e">
        <f t="shared" si="155"/>
        <v>#N/A</v>
      </c>
      <c r="Q2037" s="4" t="e">
        <f t="shared" si="156"/>
        <v>#N/A</v>
      </c>
      <c r="R2037" s="4" t="e">
        <f>IF(AND(B2037=1,N2037&gt;'Line Follower'!$C$7,SUM(C2037:K2037)&lt;4),1,0)</f>
        <v>#N/A</v>
      </c>
      <c r="S2037" s="4" t="e">
        <f>IF(AND(L2037=1,N2037&lt;'Line Follower'!$C$6,SUM(C2037:K2037)&lt;4),1,0)</f>
        <v>#N/A</v>
      </c>
      <c r="T2037" s="4" t="e">
        <f t="shared" si="157"/>
        <v>#N/A</v>
      </c>
      <c r="U2037" s="5" t="e">
        <f t="shared" si="158"/>
        <v>#N/A</v>
      </c>
      <c r="V2037" s="23" t="e">
        <f t="shared" si="159"/>
        <v>#N/A</v>
      </c>
    </row>
    <row r="2038" spans="2:22" x14ac:dyDescent="0.25">
      <c r="B2038" s="16">
        <v>1</v>
      </c>
      <c r="C2038" s="7">
        <v>1</v>
      </c>
      <c r="D2038" s="8">
        <v>0</v>
      </c>
      <c r="E2038" s="8">
        <v>0</v>
      </c>
      <c r="F2038" s="8">
        <v>1</v>
      </c>
      <c r="G2038" s="8">
        <v>1</v>
      </c>
      <c r="H2038" s="8">
        <v>1</v>
      </c>
      <c r="I2038" s="8">
        <v>1</v>
      </c>
      <c r="J2038" s="8">
        <v>1</v>
      </c>
      <c r="K2038" s="9">
        <v>1</v>
      </c>
      <c r="L2038" s="10">
        <v>1</v>
      </c>
      <c r="M2038" s="6">
        <v>0</v>
      </c>
      <c r="N2038" s="37" t="e" cm="1">
        <f t="array" ref="N2038">IF(OR(ISNUMBER(FIND(Aux!$D$3:$D$9,_xlfn.TEXTJOIN(,,C2038:K2038)))),NA(),IF(AND(SUM(C2038:F2038,H2038:K2038)=0,G2038=1),0,INT((SUMPRODUCT(C2038:F2038,COLUMN($A$1:$D$1)-1)+SUMPRODUCT(H2038:K2038,COLUMN($E$1:$H$1)-1))*'Line Follower'!$C$3/SUM(C2038:F2038,H2038:K2038)-'Line Follower'!$C$5)))</f>
        <v>#N/A</v>
      </c>
      <c r="O2038" s="22" t="e">
        <v>#N/A</v>
      </c>
      <c r="P2038" s="4" t="e">
        <f t="shared" si="155"/>
        <v>#N/A</v>
      </c>
      <c r="Q2038" s="4" t="e">
        <f t="shared" si="156"/>
        <v>#N/A</v>
      </c>
      <c r="R2038" s="4" t="e">
        <f>IF(AND(B2038=1,N2038&gt;'Line Follower'!$C$7,SUM(C2038:K2038)&lt;4),1,0)</f>
        <v>#N/A</v>
      </c>
      <c r="S2038" s="4" t="e">
        <f>IF(AND(L2038=1,N2038&lt;'Line Follower'!$C$6,SUM(C2038:K2038)&lt;4),1,0)</f>
        <v>#N/A</v>
      </c>
      <c r="T2038" s="4" t="e">
        <f t="shared" si="157"/>
        <v>#N/A</v>
      </c>
      <c r="U2038" s="5" t="e">
        <f t="shared" si="158"/>
        <v>#N/A</v>
      </c>
      <c r="V2038" s="23" t="e">
        <f t="shared" si="159"/>
        <v>#N/A</v>
      </c>
    </row>
    <row r="2039" spans="2:22" x14ac:dyDescent="0.25">
      <c r="B2039" s="16">
        <v>0</v>
      </c>
      <c r="C2039" s="7">
        <v>0</v>
      </c>
      <c r="D2039" s="8">
        <v>1</v>
      </c>
      <c r="E2039" s="8">
        <v>0</v>
      </c>
      <c r="F2039" s="8">
        <v>1</v>
      </c>
      <c r="G2039" s="8">
        <v>1</v>
      </c>
      <c r="H2039" s="8">
        <v>1</v>
      </c>
      <c r="I2039" s="8">
        <v>1</v>
      </c>
      <c r="J2039" s="8">
        <v>1</v>
      </c>
      <c r="K2039" s="9">
        <v>1</v>
      </c>
      <c r="L2039" s="10">
        <v>1</v>
      </c>
      <c r="M2039" s="6">
        <v>0</v>
      </c>
      <c r="N2039" s="37" t="e" cm="1">
        <f t="array" ref="N2039">IF(OR(ISNUMBER(FIND(Aux!$D$3:$D$9,_xlfn.TEXTJOIN(,,C2039:K2039)))),NA(),IF(AND(SUM(C2039:F2039,H2039:K2039)=0,G2039=1),0,INT((SUMPRODUCT(C2039:F2039,COLUMN($A$1:$D$1)-1)+SUMPRODUCT(H2039:K2039,COLUMN($E$1:$H$1)-1))*'Line Follower'!$C$3/SUM(C2039:F2039,H2039:K2039)-'Line Follower'!$C$5)))</f>
        <v>#N/A</v>
      </c>
      <c r="O2039" s="22" t="e">
        <v>#N/A</v>
      </c>
      <c r="P2039" s="4" t="e">
        <f t="shared" si="155"/>
        <v>#N/A</v>
      </c>
      <c r="Q2039" s="4" t="e">
        <f t="shared" si="156"/>
        <v>#N/A</v>
      </c>
      <c r="R2039" s="4" t="e">
        <f>IF(AND(B2039=1,N2039&gt;'Line Follower'!$C$7,SUM(C2039:K2039)&lt;4),1,0)</f>
        <v>#N/A</v>
      </c>
      <c r="S2039" s="4" t="e">
        <f>IF(AND(L2039=1,N2039&lt;'Line Follower'!$C$6,SUM(C2039:K2039)&lt;4),1,0)</f>
        <v>#N/A</v>
      </c>
      <c r="T2039" s="4" t="e">
        <f t="shared" si="157"/>
        <v>#N/A</v>
      </c>
      <c r="U2039" s="5" t="e">
        <f t="shared" si="158"/>
        <v>#N/A</v>
      </c>
      <c r="V2039" s="23" t="e">
        <f t="shared" si="159"/>
        <v>#N/A</v>
      </c>
    </row>
    <row r="2040" spans="2:22" x14ac:dyDescent="0.25">
      <c r="B2040" s="16">
        <v>1</v>
      </c>
      <c r="C2040" s="7">
        <v>0</v>
      </c>
      <c r="D2040" s="8">
        <v>1</v>
      </c>
      <c r="E2040" s="8">
        <v>0</v>
      </c>
      <c r="F2040" s="8">
        <v>1</v>
      </c>
      <c r="G2040" s="8">
        <v>1</v>
      </c>
      <c r="H2040" s="8">
        <v>1</v>
      </c>
      <c r="I2040" s="8">
        <v>1</v>
      </c>
      <c r="J2040" s="8">
        <v>1</v>
      </c>
      <c r="K2040" s="9">
        <v>1</v>
      </c>
      <c r="L2040" s="10">
        <v>1</v>
      </c>
      <c r="M2040" s="6">
        <v>0</v>
      </c>
      <c r="N2040" s="37" t="e" cm="1">
        <f t="array" ref="N2040">IF(OR(ISNUMBER(FIND(Aux!$D$3:$D$9,_xlfn.TEXTJOIN(,,C2040:K2040)))),NA(),IF(AND(SUM(C2040:F2040,H2040:K2040)=0,G2040=1),0,INT((SUMPRODUCT(C2040:F2040,COLUMN($A$1:$D$1)-1)+SUMPRODUCT(H2040:K2040,COLUMN($E$1:$H$1)-1))*'Line Follower'!$C$3/SUM(C2040:F2040,H2040:K2040)-'Line Follower'!$C$5)))</f>
        <v>#N/A</v>
      </c>
      <c r="O2040" s="22" t="e">
        <v>#N/A</v>
      </c>
      <c r="P2040" s="4" t="e">
        <f t="shared" si="155"/>
        <v>#N/A</v>
      </c>
      <c r="Q2040" s="4" t="e">
        <f t="shared" si="156"/>
        <v>#N/A</v>
      </c>
      <c r="R2040" s="4" t="e">
        <f>IF(AND(B2040=1,N2040&gt;'Line Follower'!$C$7,SUM(C2040:K2040)&lt;4),1,0)</f>
        <v>#N/A</v>
      </c>
      <c r="S2040" s="4" t="e">
        <f>IF(AND(L2040=1,N2040&lt;'Line Follower'!$C$6,SUM(C2040:K2040)&lt;4),1,0)</f>
        <v>#N/A</v>
      </c>
      <c r="T2040" s="4" t="e">
        <f t="shared" si="157"/>
        <v>#N/A</v>
      </c>
      <c r="U2040" s="5" t="e">
        <f t="shared" si="158"/>
        <v>#N/A</v>
      </c>
      <c r="V2040" s="23" t="e">
        <f t="shared" si="159"/>
        <v>#N/A</v>
      </c>
    </row>
    <row r="2041" spans="2:22" x14ac:dyDescent="0.25">
      <c r="B2041" s="16">
        <v>0</v>
      </c>
      <c r="C2041" s="7">
        <v>1</v>
      </c>
      <c r="D2041" s="8">
        <v>1</v>
      </c>
      <c r="E2041" s="8">
        <v>0</v>
      </c>
      <c r="F2041" s="8">
        <v>1</v>
      </c>
      <c r="G2041" s="8">
        <v>1</v>
      </c>
      <c r="H2041" s="8">
        <v>1</v>
      </c>
      <c r="I2041" s="8">
        <v>1</v>
      </c>
      <c r="J2041" s="8">
        <v>1</v>
      </c>
      <c r="K2041" s="9">
        <v>1</v>
      </c>
      <c r="L2041" s="10">
        <v>1</v>
      </c>
      <c r="M2041" s="6">
        <v>0</v>
      </c>
      <c r="N2041" s="37" t="e" cm="1">
        <f t="array" ref="N2041">IF(OR(ISNUMBER(FIND(Aux!$D$3:$D$9,_xlfn.TEXTJOIN(,,C2041:K2041)))),NA(),IF(AND(SUM(C2041:F2041,H2041:K2041)=0,G2041=1),0,INT((SUMPRODUCT(C2041:F2041,COLUMN($A$1:$D$1)-1)+SUMPRODUCT(H2041:K2041,COLUMN($E$1:$H$1)-1))*'Line Follower'!$C$3/SUM(C2041:F2041,H2041:K2041)-'Line Follower'!$C$5)))</f>
        <v>#N/A</v>
      </c>
      <c r="O2041" s="22" t="e">
        <v>#N/A</v>
      </c>
      <c r="P2041" s="4" t="e">
        <f t="shared" si="155"/>
        <v>#N/A</v>
      </c>
      <c r="Q2041" s="4" t="e">
        <f t="shared" si="156"/>
        <v>#N/A</v>
      </c>
      <c r="R2041" s="4" t="e">
        <f>IF(AND(B2041=1,N2041&gt;'Line Follower'!$C$7,SUM(C2041:K2041)&lt;4),1,0)</f>
        <v>#N/A</v>
      </c>
      <c r="S2041" s="4" t="e">
        <f>IF(AND(L2041=1,N2041&lt;'Line Follower'!$C$6,SUM(C2041:K2041)&lt;4),1,0)</f>
        <v>#N/A</v>
      </c>
      <c r="T2041" s="4" t="e">
        <f t="shared" si="157"/>
        <v>#N/A</v>
      </c>
      <c r="U2041" s="5" t="e">
        <f t="shared" si="158"/>
        <v>#N/A</v>
      </c>
      <c r="V2041" s="23" t="e">
        <f t="shared" si="159"/>
        <v>#N/A</v>
      </c>
    </row>
    <row r="2042" spans="2:22" x14ac:dyDescent="0.25">
      <c r="B2042" s="16">
        <v>1</v>
      </c>
      <c r="C2042" s="7">
        <v>1</v>
      </c>
      <c r="D2042" s="8">
        <v>1</v>
      </c>
      <c r="E2042" s="8">
        <v>0</v>
      </c>
      <c r="F2042" s="8">
        <v>1</v>
      </c>
      <c r="G2042" s="8">
        <v>1</v>
      </c>
      <c r="H2042" s="8">
        <v>1</v>
      </c>
      <c r="I2042" s="8">
        <v>1</v>
      </c>
      <c r="J2042" s="8">
        <v>1</v>
      </c>
      <c r="K2042" s="9">
        <v>1</v>
      </c>
      <c r="L2042" s="10">
        <v>1</v>
      </c>
      <c r="M2042" s="6">
        <v>0</v>
      </c>
      <c r="N2042" s="37" t="e" cm="1">
        <f t="array" ref="N2042">IF(OR(ISNUMBER(FIND(Aux!$D$3:$D$9,_xlfn.TEXTJOIN(,,C2042:K2042)))),NA(),IF(AND(SUM(C2042:F2042,H2042:K2042)=0,G2042=1),0,INT((SUMPRODUCT(C2042:F2042,COLUMN($A$1:$D$1)-1)+SUMPRODUCT(H2042:K2042,COLUMN($E$1:$H$1)-1))*'Line Follower'!$C$3/SUM(C2042:F2042,H2042:K2042)-'Line Follower'!$C$5)))</f>
        <v>#N/A</v>
      </c>
      <c r="O2042" s="22" t="e">
        <v>#N/A</v>
      </c>
      <c r="P2042" s="4" t="e">
        <f t="shared" si="155"/>
        <v>#N/A</v>
      </c>
      <c r="Q2042" s="4" t="e">
        <f t="shared" si="156"/>
        <v>#N/A</v>
      </c>
      <c r="R2042" s="4" t="e">
        <f>IF(AND(B2042=1,N2042&gt;'Line Follower'!$C$7,SUM(C2042:K2042)&lt;4),1,0)</f>
        <v>#N/A</v>
      </c>
      <c r="S2042" s="4" t="e">
        <f>IF(AND(L2042=1,N2042&lt;'Line Follower'!$C$6,SUM(C2042:K2042)&lt;4),1,0)</f>
        <v>#N/A</v>
      </c>
      <c r="T2042" s="4" t="e">
        <f t="shared" si="157"/>
        <v>#N/A</v>
      </c>
      <c r="U2042" s="5" t="e">
        <f t="shared" si="158"/>
        <v>#N/A</v>
      </c>
      <c r="V2042" s="23" t="e">
        <f t="shared" si="159"/>
        <v>#N/A</v>
      </c>
    </row>
    <row r="2043" spans="2:22" x14ac:dyDescent="0.25">
      <c r="B2043" s="16">
        <v>0</v>
      </c>
      <c r="C2043" s="7">
        <v>0</v>
      </c>
      <c r="D2043" s="8">
        <v>0</v>
      </c>
      <c r="E2043" s="8">
        <v>1</v>
      </c>
      <c r="F2043" s="8">
        <v>1</v>
      </c>
      <c r="G2043" s="8">
        <v>1</v>
      </c>
      <c r="H2043" s="8">
        <v>1</v>
      </c>
      <c r="I2043" s="8">
        <v>1</v>
      </c>
      <c r="J2043" s="8">
        <v>1</v>
      </c>
      <c r="K2043" s="9">
        <v>1</v>
      </c>
      <c r="L2043" s="10">
        <v>1</v>
      </c>
      <c r="M2043" s="6">
        <v>0</v>
      </c>
      <c r="N2043" s="37" cm="1">
        <f t="array" ref="N2043">IF(OR(ISNUMBER(FIND(Aux!$D$3:$D$9,_xlfn.TEXTJOIN(,,C2043:K2043)))),NA(),IF(AND(SUM(C2043:F2043,H2043:K2043)=0,G2043=1),0,INT((SUMPRODUCT(C2043:F2043,COLUMN($A$1:$D$1)-1)+SUMPRODUCT(H2043:K2043,COLUMN($E$1:$H$1)-1))*'Line Follower'!$C$3/SUM(C2043:F2043,H2043:K2043)-'Line Follower'!$C$5)))</f>
        <v>2</v>
      </c>
      <c r="O2043" s="22">
        <v>1</v>
      </c>
      <c r="P2043" s="4">
        <f t="shared" si="155"/>
        <v>0</v>
      </c>
      <c r="Q2043" s="4">
        <f t="shared" si="156"/>
        <v>1</v>
      </c>
      <c r="R2043" s="4">
        <f>IF(AND(B2043=1,N2043&gt;'Line Follower'!$C$7,SUM(C2043:K2043)&lt;4),1,0)</f>
        <v>0</v>
      </c>
      <c r="S2043" s="4">
        <f>IF(AND(L2043=1,N2043&lt;'Line Follower'!$C$6,SUM(C2043:K2043)&lt;4),1,0)</f>
        <v>0</v>
      </c>
      <c r="T2043" s="4">
        <f t="shared" si="157"/>
        <v>0</v>
      </c>
      <c r="U2043" s="5">
        <f t="shared" si="158"/>
        <v>0</v>
      </c>
      <c r="V2043" s="23">
        <f t="shared" si="159"/>
        <v>0</v>
      </c>
    </row>
    <row r="2044" spans="2:22" x14ac:dyDescent="0.25">
      <c r="B2044" s="16">
        <v>1</v>
      </c>
      <c r="C2044" s="7">
        <v>0</v>
      </c>
      <c r="D2044" s="8">
        <v>0</v>
      </c>
      <c r="E2044" s="8">
        <v>1</v>
      </c>
      <c r="F2044" s="8">
        <v>1</v>
      </c>
      <c r="G2044" s="8">
        <v>1</v>
      </c>
      <c r="H2044" s="8">
        <v>1</v>
      </c>
      <c r="I2044" s="8">
        <v>1</v>
      </c>
      <c r="J2044" s="8">
        <v>1</v>
      </c>
      <c r="K2044" s="9">
        <v>1</v>
      </c>
      <c r="L2044" s="10">
        <v>1</v>
      </c>
      <c r="M2044" s="6">
        <v>0</v>
      </c>
      <c r="N2044" s="37" cm="1">
        <f t="array" ref="N2044">IF(OR(ISNUMBER(FIND(Aux!$D$3:$D$9,_xlfn.TEXTJOIN(,,C2044:K2044)))),NA(),IF(AND(SUM(C2044:F2044,H2044:K2044)=0,G2044=1),0,INT((SUMPRODUCT(C2044:F2044,COLUMN($A$1:$D$1)-1)+SUMPRODUCT(H2044:K2044,COLUMN($E$1:$H$1)-1))*'Line Follower'!$C$3/SUM(C2044:F2044,H2044:K2044)-'Line Follower'!$C$5)))</f>
        <v>2</v>
      </c>
      <c r="O2044" s="22">
        <v>1</v>
      </c>
      <c r="P2044" s="4">
        <f t="shared" si="155"/>
        <v>0</v>
      </c>
      <c r="Q2044" s="4">
        <f t="shared" si="156"/>
        <v>1</v>
      </c>
      <c r="R2044" s="4">
        <f>IF(AND(B2044=1,N2044&gt;'Line Follower'!$C$7,SUM(C2044:K2044)&lt;4),1,0)</f>
        <v>0</v>
      </c>
      <c r="S2044" s="4">
        <f>IF(AND(L2044=1,N2044&lt;'Line Follower'!$C$6,SUM(C2044:K2044)&lt;4),1,0)</f>
        <v>0</v>
      </c>
      <c r="T2044" s="4">
        <f t="shared" si="157"/>
        <v>0</v>
      </c>
      <c r="U2044" s="5">
        <f t="shared" si="158"/>
        <v>0</v>
      </c>
      <c r="V2044" s="23">
        <f t="shared" si="159"/>
        <v>0</v>
      </c>
    </row>
    <row r="2045" spans="2:22" x14ac:dyDescent="0.25">
      <c r="B2045" s="16">
        <v>0</v>
      </c>
      <c r="C2045" s="7">
        <v>1</v>
      </c>
      <c r="D2045" s="8">
        <v>0</v>
      </c>
      <c r="E2045" s="8">
        <v>1</v>
      </c>
      <c r="F2045" s="8">
        <v>1</v>
      </c>
      <c r="G2045" s="8">
        <v>1</v>
      </c>
      <c r="H2045" s="8">
        <v>1</v>
      </c>
      <c r="I2045" s="8">
        <v>1</v>
      </c>
      <c r="J2045" s="8">
        <v>1</v>
      </c>
      <c r="K2045" s="9">
        <v>1</v>
      </c>
      <c r="L2045" s="10">
        <v>1</v>
      </c>
      <c r="M2045" s="6">
        <v>0</v>
      </c>
      <c r="N2045" s="37" t="e" cm="1">
        <f t="array" ref="N2045">IF(OR(ISNUMBER(FIND(Aux!$D$3:$D$9,_xlfn.TEXTJOIN(,,C2045:K2045)))),NA(),IF(AND(SUM(C2045:F2045,H2045:K2045)=0,G2045=1),0,INT((SUMPRODUCT(C2045:F2045,COLUMN($A$1:$D$1)-1)+SUMPRODUCT(H2045:K2045,COLUMN($E$1:$H$1)-1))*'Line Follower'!$C$3/SUM(C2045:F2045,H2045:K2045)-'Line Follower'!$C$5)))</f>
        <v>#N/A</v>
      </c>
      <c r="O2045" s="22" t="e">
        <v>#N/A</v>
      </c>
      <c r="P2045" s="4" t="e">
        <f t="shared" si="155"/>
        <v>#N/A</v>
      </c>
      <c r="Q2045" s="4" t="e">
        <f t="shared" si="156"/>
        <v>#N/A</v>
      </c>
      <c r="R2045" s="4" t="e">
        <f>IF(AND(B2045=1,N2045&gt;'Line Follower'!$C$7,SUM(C2045:K2045)&lt;4),1,0)</f>
        <v>#N/A</v>
      </c>
      <c r="S2045" s="4" t="e">
        <f>IF(AND(L2045=1,N2045&lt;'Line Follower'!$C$6,SUM(C2045:K2045)&lt;4),1,0)</f>
        <v>#N/A</v>
      </c>
      <c r="T2045" s="4" t="e">
        <f t="shared" si="157"/>
        <v>#N/A</v>
      </c>
      <c r="U2045" s="5" t="e">
        <f t="shared" si="158"/>
        <v>#N/A</v>
      </c>
      <c r="V2045" s="23" t="e">
        <f t="shared" si="159"/>
        <v>#N/A</v>
      </c>
    </row>
    <row r="2046" spans="2:22" x14ac:dyDescent="0.25">
      <c r="B2046" s="16">
        <v>1</v>
      </c>
      <c r="C2046" s="7">
        <v>1</v>
      </c>
      <c r="D2046" s="8">
        <v>0</v>
      </c>
      <c r="E2046" s="8">
        <v>1</v>
      </c>
      <c r="F2046" s="8">
        <v>1</v>
      </c>
      <c r="G2046" s="8">
        <v>1</v>
      </c>
      <c r="H2046" s="8">
        <v>1</v>
      </c>
      <c r="I2046" s="8">
        <v>1</v>
      </c>
      <c r="J2046" s="8">
        <v>1</v>
      </c>
      <c r="K2046" s="9">
        <v>1</v>
      </c>
      <c r="L2046" s="10">
        <v>1</v>
      </c>
      <c r="M2046" s="6">
        <v>0</v>
      </c>
      <c r="N2046" s="37" t="e" cm="1">
        <f t="array" ref="N2046">IF(OR(ISNUMBER(FIND(Aux!$D$3:$D$9,_xlfn.TEXTJOIN(,,C2046:K2046)))),NA(),IF(AND(SUM(C2046:F2046,H2046:K2046)=0,G2046=1),0,INT((SUMPRODUCT(C2046:F2046,COLUMN($A$1:$D$1)-1)+SUMPRODUCT(H2046:K2046,COLUMN($E$1:$H$1)-1))*'Line Follower'!$C$3/SUM(C2046:F2046,H2046:K2046)-'Line Follower'!$C$5)))</f>
        <v>#N/A</v>
      </c>
      <c r="O2046" s="22" t="e">
        <v>#N/A</v>
      </c>
      <c r="P2046" s="4" t="e">
        <f t="shared" si="155"/>
        <v>#N/A</v>
      </c>
      <c r="Q2046" s="4" t="e">
        <f t="shared" si="156"/>
        <v>#N/A</v>
      </c>
      <c r="R2046" s="4" t="e">
        <f>IF(AND(B2046=1,N2046&gt;'Line Follower'!$C$7,SUM(C2046:K2046)&lt;4),1,0)</f>
        <v>#N/A</v>
      </c>
      <c r="S2046" s="4" t="e">
        <f>IF(AND(L2046=1,N2046&lt;'Line Follower'!$C$6,SUM(C2046:K2046)&lt;4),1,0)</f>
        <v>#N/A</v>
      </c>
      <c r="T2046" s="4" t="e">
        <f t="shared" si="157"/>
        <v>#N/A</v>
      </c>
      <c r="U2046" s="5" t="e">
        <f t="shared" si="158"/>
        <v>#N/A</v>
      </c>
      <c r="V2046" s="23" t="e">
        <f t="shared" si="159"/>
        <v>#N/A</v>
      </c>
    </row>
    <row r="2047" spans="2:22" x14ac:dyDescent="0.25">
      <c r="B2047" s="16">
        <v>0</v>
      </c>
      <c r="C2047" s="7">
        <v>0</v>
      </c>
      <c r="D2047" s="8">
        <v>1</v>
      </c>
      <c r="E2047" s="8">
        <v>1</v>
      </c>
      <c r="F2047" s="8">
        <v>1</v>
      </c>
      <c r="G2047" s="8">
        <v>1</v>
      </c>
      <c r="H2047" s="8">
        <v>1</v>
      </c>
      <c r="I2047" s="8">
        <v>1</v>
      </c>
      <c r="J2047" s="8">
        <v>1</v>
      </c>
      <c r="K2047" s="9">
        <v>1</v>
      </c>
      <c r="L2047" s="10">
        <v>1</v>
      </c>
      <c r="M2047" s="6">
        <v>0</v>
      </c>
      <c r="N2047" s="37" cm="1">
        <f t="array" ref="N2047">IF(OR(ISNUMBER(FIND(Aux!$D$3:$D$9,_xlfn.TEXTJOIN(,,C2047:K2047)))),NA(),IF(AND(SUM(C2047:F2047,H2047:K2047)=0,G2047=1),0,INT((SUMPRODUCT(C2047:F2047,COLUMN($A$1:$D$1)-1)+SUMPRODUCT(H2047:K2047,COLUMN($E$1:$H$1)-1))*'Line Follower'!$C$3/SUM(C2047:F2047,H2047:K2047)-'Line Follower'!$C$5)))</f>
        <v>1</v>
      </c>
      <c r="O2047" s="22">
        <v>1</v>
      </c>
      <c r="P2047" s="4">
        <f t="shared" si="155"/>
        <v>0</v>
      </c>
      <c r="Q2047" s="4">
        <f t="shared" si="156"/>
        <v>1</v>
      </c>
      <c r="R2047" s="4">
        <f>IF(AND(B2047=1,N2047&gt;'Line Follower'!$C$7,SUM(C2047:K2047)&lt;4),1,0)</f>
        <v>0</v>
      </c>
      <c r="S2047" s="4">
        <f>IF(AND(L2047=1,N2047&lt;'Line Follower'!$C$6,SUM(C2047:K2047)&lt;4),1,0)</f>
        <v>0</v>
      </c>
      <c r="T2047" s="4">
        <f t="shared" si="157"/>
        <v>0</v>
      </c>
      <c r="U2047" s="5">
        <f t="shared" si="158"/>
        <v>0</v>
      </c>
      <c r="V2047" s="23">
        <f t="shared" si="159"/>
        <v>0</v>
      </c>
    </row>
    <row r="2048" spans="2:22" x14ac:dyDescent="0.25">
      <c r="B2048" s="16">
        <v>1</v>
      </c>
      <c r="C2048" s="7">
        <v>0</v>
      </c>
      <c r="D2048" s="8">
        <v>1</v>
      </c>
      <c r="E2048" s="8">
        <v>1</v>
      </c>
      <c r="F2048" s="8">
        <v>1</v>
      </c>
      <c r="G2048" s="8">
        <v>1</v>
      </c>
      <c r="H2048" s="8">
        <v>1</v>
      </c>
      <c r="I2048" s="8">
        <v>1</v>
      </c>
      <c r="J2048" s="8">
        <v>1</v>
      </c>
      <c r="K2048" s="9">
        <v>1</v>
      </c>
      <c r="L2048" s="10">
        <v>1</v>
      </c>
      <c r="M2048" s="6">
        <v>0</v>
      </c>
      <c r="N2048" s="37" cm="1">
        <f t="array" ref="N2048">IF(OR(ISNUMBER(FIND(Aux!$D$3:$D$9,_xlfn.TEXTJOIN(,,C2048:K2048)))),NA(),IF(AND(SUM(C2048:F2048,H2048:K2048)=0,G2048=1),0,INT((SUMPRODUCT(C2048:F2048,COLUMN($A$1:$D$1)-1)+SUMPRODUCT(H2048:K2048,COLUMN($E$1:$H$1)-1))*'Line Follower'!$C$3/SUM(C2048:F2048,H2048:K2048)-'Line Follower'!$C$5)))</f>
        <v>1</v>
      </c>
      <c r="O2048" s="22">
        <v>1</v>
      </c>
      <c r="P2048" s="4">
        <f t="shared" si="155"/>
        <v>0</v>
      </c>
      <c r="Q2048" s="4">
        <f t="shared" si="156"/>
        <v>1</v>
      </c>
      <c r="R2048" s="4">
        <f>IF(AND(B2048=1,N2048&gt;'Line Follower'!$C$7,SUM(C2048:K2048)&lt;4),1,0)</f>
        <v>0</v>
      </c>
      <c r="S2048" s="4">
        <f>IF(AND(L2048=1,N2048&lt;'Line Follower'!$C$6,SUM(C2048:K2048)&lt;4),1,0)</f>
        <v>0</v>
      </c>
      <c r="T2048" s="4">
        <f t="shared" si="157"/>
        <v>0</v>
      </c>
      <c r="U2048" s="5">
        <f t="shared" si="158"/>
        <v>0</v>
      </c>
      <c r="V2048" s="23">
        <f t="shared" si="159"/>
        <v>0</v>
      </c>
    </row>
    <row r="2049" spans="2:22" x14ac:dyDescent="0.25">
      <c r="B2049" s="16">
        <v>0</v>
      </c>
      <c r="C2049" s="7">
        <v>1</v>
      </c>
      <c r="D2049" s="8">
        <v>1</v>
      </c>
      <c r="E2049" s="8">
        <v>1</v>
      </c>
      <c r="F2049" s="8">
        <v>1</v>
      </c>
      <c r="G2049" s="8">
        <v>1</v>
      </c>
      <c r="H2049" s="8">
        <v>1</v>
      </c>
      <c r="I2049" s="8">
        <v>1</v>
      </c>
      <c r="J2049" s="8">
        <v>1</v>
      </c>
      <c r="K2049" s="9">
        <v>1</v>
      </c>
      <c r="L2049" s="10">
        <v>1</v>
      </c>
      <c r="M2049" s="6">
        <v>0</v>
      </c>
      <c r="N2049" s="37" cm="1">
        <f t="array" ref="N2049">IF(OR(ISNUMBER(FIND(Aux!$D$3:$D$9,_xlfn.TEXTJOIN(,,C2049:K2049)))),NA(),IF(AND(SUM(C2049:F2049,H2049:K2049)=0,G2049=1),0,INT((SUMPRODUCT(C2049:F2049,COLUMN($A$1:$D$1)-1)+SUMPRODUCT(H2049:K2049,COLUMN($E$1:$H$1)-1))*'Line Follower'!$C$3/SUM(C2049:F2049,H2049:K2049)-'Line Follower'!$C$5)))</f>
        <v>0</v>
      </c>
      <c r="O2049" s="22">
        <v>1</v>
      </c>
      <c r="P2049" s="4">
        <f t="shared" si="155"/>
        <v>0</v>
      </c>
      <c r="Q2049" s="4">
        <f t="shared" si="156"/>
        <v>1</v>
      </c>
      <c r="R2049" s="4">
        <f>IF(AND(B2049=1,N2049&gt;'Line Follower'!$C$7,SUM(C2049:K2049)&lt;4),1,0)</f>
        <v>0</v>
      </c>
      <c r="S2049" s="4">
        <f>IF(AND(L2049=1,N2049&lt;'Line Follower'!$C$6,SUM(C2049:K2049)&lt;4),1,0)</f>
        <v>0</v>
      </c>
      <c r="T2049" s="4">
        <f t="shared" si="157"/>
        <v>0</v>
      </c>
      <c r="U2049" s="5">
        <f t="shared" si="158"/>
        <v>0</v>
      </c>
      <c r="V2049" s="23">
        <f t="shared" si="159"/>
        <v>0</v>
      </c>
    </row>
    <row r="2050" spans="2:22" x14ac:dyDescent="0.25">
      <c r="B2050" s="16">
        <v>1</v>
      </c>
      <c r="C2050" s="7">
        <v>1</v>
      </c>
      <c r="D2050" s="8">
        <v>1</v>
      </c>
      <c r="E2050" s="8">
        <v>1</v>
      </c>
      <c r="F2050" s="8">
        <v>1</v>
      </c>
      <c r="G2050" s="8">
        <v>1</v>
      </c>
      <c r="H2050" s="8">
        <v>1</v>
      </c>
      <c r="I2050" s="8">
        <v>1</v>
      </c>
      <c r="J2050" s="8">
        <v>1</v>
      </c>
      <c r="K2050" s="9">
        <v>1</v>
      </c>
      <c r="L2050" s="10">
        <v>1</v>
      </c>
      <c r="M2050" s="6">
        <v>0</v>
      </c>
      <c r="N2050" s="37" cm="1">
        <f t="array" ref="N2050">IF(OR(ISNUMBER(FIND(Aux!$D$3:$D$9,_xlfn.TEXTJOIN(,,C2050:K2050)))),NA(),IF(AND(SUM(C2050:F2050,H2050:K2050)=0,G2050=1),0,INT((SUMPRODUCT(C2050:F2050,COLUMN($A$1:$D$1)-1)+SUMPRODUCT(H2050:K2050,COLUMN($E$1:$H$1)-1))*'Line Follower'!$C$3/SUM(C2050:F2050,H2050:K2050)-'Line Follower'!$C$5)))</f>
        <v>0</v>
      </c>
      <c r="O2050" s="22">
        <v>1</v>
      </c>
      <c r="P2050" s="4">
        <f t="shared" si="155"/>
        <v>0</v>
      </c>
      <c r="Q2050" s="4">
        <f t="shared" si="156"/>
        <v>1</v>
      </c>
      <c r="R2050" s="4">
        <f>IF(AND(B2050=1,N2050&gt;'Line Follower'!$C$7,SUM(C2050:K2050)&lt;4),1,0)</f>
        <v>0</v>
      </c>
      <c r="S2050" s="4">
        <f>IF(AND(L2050=1,N2050&lt;'Line Follower'!$C$6,SUM(C2050:K2050)&lt;4),1,0)</f>
        <v>0</v>
      </c>
      <c r="T2050" s="4">
        <f t="shared" si="157"/>
        <v>0</v>
      </c>
      <c r="U2050" s="5">
        <f t="shared" si="158"/>
        <v>0</v>
      </c>
      <c r="V2050" s="23">
        <f t="shared" si="159"/>
        <v>0</v>
      </c>
    </row>
    <row r="2051" spans="2:22" x14ac:dyDescent="0.25">
      <c r="B2051" s="16">
        <v>0</v>
      </c>
      <c r="C2051" s="7">
        <v>0</v>
      </c>
      <c r="D2051" s="8">
        <v>0</v>
      </c>
      <c r="E2051" s="8">
        <v>0</v>
      </c>
      <c r="F2051" s="8">
        <v>0</v>
      </c>
      <c r="G2051" s="8">
        <v>0</v>
      </c>
      <c r="H2051" s="8">
        <v>0</v>
      </c>
      <c r="I2051" s="8">
        <v>0</v>
      </c>
      <c r="J2051" s="8">
        <v>0</v>
      </c>
      <c r="K2051" s="9">
        <v>0</v>
      </c>
      <c r="L2051" s="10">
        <v>0</v>
      </c>
      <c r="M2051" s="6">
        <v>1</v>
      </c>
      <c r="N2051" s="37" t="e" cm="1">
        <f t="array" ref="N2051">IF(OR(ISNUMBER(FIND(Aux!$D$3:$D$9,_xlfn.TEXTJOIN(,,C2051:K2051)))),NA(),IF(AND(SUM(C2051:F2051,H2051:K2051)=0,G2051=1),0,INT((SUMPRODUCT(C2051:F2051,COLUMN($A$1:$D$1)-1)+SUMPRODUCT(H2051:K2051,COLUMN($E$1:$H$1)-1))*'Line Follower'!$C$3/SUM(C2051:F2051,H2051:K2051)-'Line Follower'!$C$5)))</f>
        <v>#DIV/0!</v>
      </c>
      <c r="O2051" s="22" t="e">
        <v>#DIV/0!</v>
      </c>
      <c r="P2051" s="4" t="e">
        <f t="shared" ref="P2051:P2114" si="160">IF(AND(N2051=0,G2051=1,M2051=1),1,0)</f>
        <v>#DIV/0!</v>
      </c>
      <c r="Q2051" s="4" t="e">
        <f t="shared" ref="Q2051:Q2114" si="161">IF(ISERROR(N2051),N2051,IF(SUM(C2051:K2051)&gt;=4,1,0))</f>
        <v>#DIV/0!</v>
      </c>
      <c r="R2051" s="4" t="e">
        <f>IF(AND(B2051=1,N2051&gt;'Line Follower'!$C$7,SUM(C2051:K2051)&lt;4),1,0)</f>
        <v>#DIV/0!</v>
      </c>
      <c r="S2051" s="4" t="e">
        <f>IF(AND(L2051=1,N2051&lt;'Line Follower'!$C$6,SUM(C2051:K2051)&lt;4),1,0)</f>
        <v>#DIV/0!</v>
      </c>
      <c r="T2051" s="4">
        <f t="shared" si="157"/>
        <v>1</v>
      </c>
      <c r="U2051" s="5">
        <f t="shared" si="158"/>
        <v>1</v>
      </c>
      <c r="V2051" s="23">
        <f t="shared" si="159"/>
        <v>1</v>
      </c>
    </row>
    <row r="2052" spans="2:22" x14ac:dyDescent="0.25">
      <c r="B2052" s="16">
        <v>1</v>
      </c>
      <c r="C2052" s="7">
        <v>0</v>
      </c>
      <c r="D2052" s="8">
        <v>0</v>
      </c>
      <c r="E2052" s="8">
        <v>0</v>
      </c>
      <c r="F2052" s="8">
        <v>0</v>
      </c>
      <c r="G2052" s="8">
        <v>0</v>
      </c>
      <c r="H2052" s="8">
        <v>0</v>
      </c>
      <c r="I2052" s="8">
        <v>0</v>
      </c>
      <c r="J2052" s="8">
        <v>0</v>
      </c>
      <c r="K2052" s="9">
        <v>0</v>
      </c>
      <c r="L2052" s="10">
        <v>0</v>
      </c>
      <c r="M2052" s="6">
        <v>1</v>
      </c>
      <c r="N2052" s="37" t="e" cm="1">
        <f t="array" ref="N2052">IF(OR(ISNUMBER(FIND(Aux!$D$3:$D$9,_xlfn.TEXTJOIN(,,C2052:K2052)))),NA(),IF(AND(SUM(C2052:F2052,H2052:K2052)=0,G2052=1),0,INT((SUMPRODUCT(C2052:F2052,COLUMN($A$1:$D$1)-1)+SUMPRODUCT(H2052:K2052,COLUMN($E$1:$H$1)-1))*'Line Follower'!$C$3/SUM(C2052:F2052,H2052:K2052)-'Line Follower'!$C$5)))</f>
        <v>#DIV/0!</v>
      </c>
      <c r="O2052" s="22" t="e">
        <v>#DIV/0!</v>
      </c>
      <c r="P2052" s="4" t="e">
        <f t="shared" si="160"/>
        <v>#DIV/0!</v>
      </c>
      <c r="Q2052" s="4" t="e">
        <f t="shared" si="161"/>
        <v>#DIV/0!</v>
      </c>
      <c r="R2052" s="4" t="e">
        <f>IF(AND(B2052=1,N2052&gt;'Line Follower'!$C$7,SUM(C2052:K2052)&lt;4),1,0)</f>
        <v>#DIV/0!</v>
      </c>
      <c r="S2052" s="4" t="e">
        <f>IF(AND(L2052=1,N2052&lt;'Line Follower'!$C$6,SUM(C2052:K2052)&lt;4),1,0)</f>
        <v>#DIV/0!</v>
      </c>
      <c r="T2052" s="4">
        <f t="shared" ref="T2052:T2115" si="162">IF(ISNA(N2052),NA(),IF(SUM(C2052:L2052)=0,1,0))</f>
        <v>1</v>
      </c>
      <c r="U2052" s="5">
        <f t="shared" ref="U2052:U2115" si="163">IF(ISNA(N2052),NA(),IF(SUM(B2052:K2052)=0,1,0))</f>
        <v>0</v>
      </c>
      <c r="V2052" s="23">
        <f t="shared" ref="V2052:V2115" si="164">IF(ISNA(N2052),NA(),IF(SUM(B2052:L2052)=0,1,0))</f>
        <v>0</v>
      </c>
    </row>
    <row r="2053" spans="2:22" x14ac:dyDescent="0.25">
      <c r="B2053" s="16">
        <v>0</v>
      </c>
      <c r="C2053" s="7">
        <v>1</v>
      </c>
      <c r="D2053" s="8">
        <v>0</v>
      </c>
      <c r="E2053" s="8">
        <v>0</v>
      </c>
      <c r="F2053" s="8">
        <v>0</v>
      </c>
      <c r="G2053" s="8">
        <v>0</v>
      </c>
      <c r="H2053" s="8">
        <v>0</v>
      </c>
      <c r="I2053" s="8">
        <v>0</v>
      </c>
      <c r="J2053" s="8">
        <v>0</v>
      </c>
      <c r="K2053" s="9">
        <v>0</v>
      </c>
      <c r="L2053" s="10">
        <v>0</v>
      </c>
      <c r="M2053" s="6">
        <v>1</v>
      </c>
      <c r="N2053" s="37" cm="1">
        <f t="array" ref="N2053">IF(OR(ISNUMBER(FIND(Aux!$D$3:$D$9,_xlfn.TEXTJOIN(,,C2053:K2053)))),NA(),IF(AND(SUM(C2053:F2053,H2053:K2053)=0,G2053=1),0,INT((SUMPRODUCT(C2053:F2053,COLUMN($A$1:$D$1)-1)+SUMPRODUCT(H2053:K2053,COLUMN($E$1:$H$1)-1))*'Line Follower'!$C$3/SUM(C2053:F2053,H2053:K2053)-'Line Follower'!$C$5)))</f>
        <v>-7</v>
      </c>
      <c r="O2053" s="22">
        <v>1</v>
      </c>
      <c r="P2053" s="4">
        <f t="shared" si="160"/>
        <v>0</v>
      </c>
      <c r="Q2053" s="4">
        <f t="shared" si="161"/>
        <v>0</v>
      </c>
      <c r="R2053" s="4">
        <f>IF(AND(B2053=1,N2053&gt;'Line Follower'!$C$7,SUM(C2053:K2053)&lt;4),1,0)</f>
        <v>0</v>
      </c>
      <c r="S2053" s="4">
        <f>IF(AND(L2053=1,N2053&lt;'Line Follower'!$C$6,SUM(C2053:K2053)&lt;4),1,0)</f>
        <v>0</v>
      </c>
      <c r="T2053" s="4">
        <f t="shared" si="162"/>
        <v>0</v>
      </c>
      <c r="U2053" s="5">
        <f t="shared" si="163"/>
        <v>0</v>
      </c>
      <c r="V2053" s="23">
        <f t="shared" si="164"/>
        <v>0</v>
      </c>
    </row>
    <row r="2054" spans="2:22" x14ac:dyDescent="0.25">
      <c r="B2054" s="16">
        <v>1</v>
      </c>
      <c r="C2054" s="7">
        <v>1</v>
      </c>
      <c r="D2054" s="8">
        <v>0</v>
      </c>
      <c r="E2054" s="8">
        <v>0</v>
      </c>
      <c r="F2054" s="8">
        <v>0</v>
      </c>
      <c r="G2054" s="8">
        <v>0</v>
      </c>
      <c r="H2054" s="8">
        <v>0</v>
      </c>
      <c r="I2054" s="8">
        <v>0</v>
      </c>
      <c r="J2054" s="8">
        <v>0</v>
      </c>
      <c r="K2054" s="9">
        <v>0</v>
      </c>
      <c r="L2054" s="10">
        <v>0</v>
      </c>
      <c r="M2054" s="6">
        <v>1</v>
      </c>
      <c r="N2054" s="37" cm="1">
        <f t="array" ref="N2054">IF(OR(ISNUMBER(FIND(Aux!$D$3:$D$9,_xlfn.TEXTJOIN(,,C2054:K2054)))),NA(),IF(AND(SUM(C2054:F2054,H2054:K2054)=0,G2054=1),0,INT((SUMPRODUCT(C2054:F2054,COLUMN($A$1:$D$1)-1)+SUMPRODUCT(H2054:K2054,COLUMN($E$1:$H$1)-1))*'Line Follower'!$C$3/SUM(C2054:F2054,H2054:K2054)-'Line Follower'!$C$5)))</f>
        <v>-7</v>
      </c>
      <c r="O2054" s="22">
        <v>1</v>
      </c>
      <c r="P2054" s="4">
        <f t="shared" si="160"/>
        <v>0</v>
      </c>
      <c r="Q2054" s="4">
        <f t="shared" si="161"/>
        <v>0</v>
      </c>
      <c r="R2054" s="4">
        <f>IF(AND(B2054=1,N2054&gt;'Line Follower'!$C$7,SUM(C2054:K2054)&lt;4),1,0)</f>
        <v>0</v>
      </c>
      <c r="S2054" s="4">
        <f>IF(AND(L2054=1,N2054&lt;'Line Follower'!$C$6,SUM(C2054:K2054)&lt;4),1,0)</f>
        <v>0</v>
      </c>
      <c r="T2054" s="4">
        <f t="shared" si="162"/>
        <v>0</v>
      </c>
      <c r="U2054" s="5">
        <f t="shared" si="163"/>
        <v>0</v>
      </c>
      <c r="V2054" s="23">
        <f t="shared" si="164"/>
        <v>0</v>
      </c>
    </row>
    <row r="2055" spans="2:22" x14ac:dyDescent="0.25">
      <c r="B2055" s="16">
        <v>0</v>
      </c>
      <c r="C2055" s="7">
        <v>0</v>
      </c>
      <c r="D2055" s="8">
        <v>1</v>
      </c>
      <c r="E2055" s="8">
        <v>0</v>
      </c>
      <c r="F2055" s="8">
        <v>0</v>
      </c>
      <c r="G2055" s="8">
        <v>0</v>
      </c>
      <c r="H2055" s="8">
        <v>0</v>
      </c>
      <c r="I2055" s="8">
        <v>0</v>
      </c>
      <c r="J2055" s="8">
        <v>0</v>
      </c>
      <c r="K2055" s="9">
        <v>0</v>
      </c>
      <c r="L2055" s="10">
        <v>0</v>
      </c>
      <c r="M2055" s="6">
        <v>1</v>
      </c>
      <c r="N2055" s="37" cm="1">
        <f t="array" ref="N2055">IF(OR(ISNUMBER(FIND(Aux!$D$3:$D$9,_xlfn.TEXTJOIN(,,C2055:K2055)))),NA(),IF(AND(SUM(C2055:F2055,H2055:K2055)=0,G2055=1),0,INT((SUMPRODUCT(C2055:F2055,COLUMN($A$1:$D$1)-1)+SUMPRODUCT(H2055:K2055,COLUMN($E$1:$H$1)-1))*'Line Follower'!$C$3/SUM(C2055:F2055,H2055:K2055)-'Line Follower'!$C$5)))</f>
        <v>-5</v>
      </c>
      <c r="O2055" s="22">
        <v>1</v>
      </c>
      <c r="P2055" s="4">
        <f t="shared" si="160"/>
        <v>0</v>
      </c>
      <c r="Q2055" s="4">
        <f t="shared" si="161"/>
        <v>0</v>
      </c>
      <c r="R2055" s="4">
        <f>IF(AND(B2055=1,N2055&gt;'Line Follower'!$C$7,SUM(C2055:K2055)&lt;4),1,0)</f>
        <v>0</v>
      </c>
      <c r="S2055" s="4">
        <f>IF(AND(L2055=1,N2055&lt;'Line Follower'!$C$6,SUM(C2055:K2055)&lt;4),1,0)</f>
        <v>0</v>
      </c>
      <c r="T2055" s="4">
        <f t="shared" si="162"/>
        <v>0</v>
      </c>
      <c r="U2055" s="5">
        <f t="shared" si="163"/>
        <v>0</v>
      </c>
      <c r="V2055" s="23">
        <f t="shared" si="164"/>
        <v>0</v>
      </c>
    </row>
    <row r="2056" spans="2:22" x14ac:dyDescent="0.25">
      <c r="B2056" s="16">
        <v>1</v>
      </c>
      <c r="C2056" s="7">
        <v>0</v>
      </c>
      <c r="D2056" s="8">
        <v>1</v>
      </c>
      <c r="E2056" s="8">
        <v>0</v>
      </c>
      <c r="F2056" s="8">
        <v>0</v>
      </c>
      <c r="G2056" s="8">
        <v>0</v>
      </c>
      <c r="H2056" s="8">
        <v>0</v>
      </c>
      <c r="I2056" s="8">
        <v>0</v>
      </c>
      <c r="J2056" s="8">
        <v>0</v>
      </c>
      <c r="K2056" s="9">
        <v>0</v>
      </c>
      <c r="L2056" s="10">
        <v>0</v>
      </c>
      <c r="M2056" s="6">
        <v>1</v>
      </c>
      <c r="N2056" s="37" cm="1">
        <f t="array" ref="N2056">IF(OR(ISNUMBER(FIND(Aux!$D$3:$D$9,_xlfn.TEXTJOIN(,,C2056:K2056)))),NA(),IF(AND(SUM(C2056:F2056,H2056:K2056)=0,G2056=1),0,INT((SUMPRODUCT(C2056:F2056,COLUMN($A$1:$D$1)-1)+SUMPRODUCT(H2056:K2056,COLUMN($E$1:$H$1)-1))*'Line Follower'!$C$3/SUM(C2056:F2056,H2056:K2056)-'Line Follower'!$C$5)))</f>
        <v>-5</v>
      </c>
      <c r="O2056" s="22">
        <v>1</v>
      </c>
      <c r="P2056" s="4">
        <f t="shared" si="160"/>
        <v>0</v>
      </c>
      <c r="Q2056" s="4">
        <f t="shared" si="161"/>
        <v>0</v>
      </c>
      <c r="R2056" s="4">
        <f>IF(AND(B2056=1,N2056&gt;'Line Follower'!$C$7,SUM(C2056:K2056)&lt;4),1,0)</f>
        <v>1</v>
      </c>
      <c r="S2056" s="4">
        <f>IF(AND(L2056=1,N2056&lt;'Line Follower'!$C$6,SUM(C2056:K2056)&lt;4),1,0)</f>
        <v>0</v>
      </c>
      <c r="T2056" s="4">
        <f t="shared" si="162"/>
        <v>0</v>
      </c>
      <c r="U2056" s="5">
        <f t="shared" si="163"/>
        <v>0</v>
      </c>
      <c r="V2056" s="23">
        <f t="shared" si="164"/>
        <v>0</v>
      </c>
    </row>
    <row r="2057" spans="2:22" x14ac:dyDescent="0.25">
      <c r="B2057" s="16">
        <v>0</v>
      </c>
      <c r="C2057" s="7">
        <v>1</v>
      </c>
      <c r="D2057" s="8">
        <v>1</v>
      </c>
      <c r="E2057" s="8">
        <v>0</v>
      </c>
      <c r="F2057" s="8">
        <v>0</v>
      </c>
      <c r="G2057" s="8">
        <v>0</v>
      </c>
      <c r="H2057" s="8">
        <v>0</v>
      </c>
      <c r="I2057" s="8">
        <v>0</v>
      </c>
      <c r="J2057" s="8">
        <v>0</v>
      </c>
      <c r="K2057" s="9">
        <v>0</v>
      </c>
      <c r="L2057" s="10">
        <v>0</v>
      </c>
      <c r="M2057" s="6">
        <v>1</v>
      </c>
      <c r="N2057" s="37" cm="1">
        <f t="array" ref="N2057">IF(OR(ISNUMBER(FIND(Aux!$D$3:$D$9,_xlfn.TEXTJOIN(,,C2057:K2057)))),NA(),IF(AND(SUM(C2057:F2057,H2057:K2057)=0,G2057=1),0,INT((SUMPRODUCT(C2057:F2057,COLUMN($A$1:$D$1)-1)+SUMPRODUCT(H2057:K2057,COLUMN($E$1:$H$1)-1))*'Line Follower'!$C$3/SUM(C2057:F2057,H2057:K2057)-'Line Follower'!$C$5)))</f>
        <v>-6</v>
      </c>
      <c r="O2057" s="22">
        <v>1</v>
      </c>
      <c r="P2057" s="4">
        <f t="shared" si="160"/>
        <v>0</v>
      </c>
      <c r="Q2057" s="4">
        <f t="shared" si="161"/>
        <v>0</v>
      </c>
      <c r="R2057" s="4">
        <f>IF(AND(B2057=1,N2057&gt;'Line Follower'!$C$7,SUM(C2057:K2057)&lt;4),1,0)</f>
        <v>0</v>
      </c>
      <c r="S2057" s="4">
        <f>IF(AND(L2057=1,N2057&lt;'Line Follower'!$C$6,SUM(C2057:K2057)&lt;4),1,0)</f>
        <v>0</v>
      </c>
      <c r="T2057" s="4">
        <f t="shared" si="162"/>
        <v>0</v>
      </c>
      <c r="U2057" s="5">
        <f t="shared" si="163"/>
        <v>0</v>
      </c>
      <c r="V2057" s="23">
        <f t="shared" si="164"/>
        <v>0</v>
      </c>
    </row>
    <row r="2058" spans="2:22" x14ac:dyDescent="0.25">
      <c r="B2058" s="16">
        <v>1</v>
      </c>
      <c r="C2058" s="7">
        <v>1</v>
      </c>
      <c r="D2058" s="8">
        <v>1</v>
      </c>
      <c r="E2058" s="8">
        <v>0</v>
      </c>
      <c r="F2058" s="8">
        <v>0</v>
      </c>
      <c r="G2058" s="8">
        <v>0</v>
      </c>
      <c r="H2058" s="8">
        <v>0</v>
      </c>
      <c r="I2058" s="8">
        <v>0</v>
      </c>
      <c r="J2058" s="8">
        <v>0</v>
      </c>
      <c r="K2058" s="9">
        <v>0</v>
      </c>
      <c r="L2058" s="10">
        <v>0</v>
      </c>
      <c r="M2058" s="6">
        <v>1</v>
      </c>
      <c r="N2058" s="37" cm="1">
        <f t="array" ref="N2058">IF(OR(ISNUMBER(FIND(Aux!$D$3:$D$9,_xlfn.TEXTJOIN(,,C2058:K2058)))),NA(),IF(AND(SUM(C2058:F2058,H2058:K2058)=0,G2058=1),0,INT((SUMPRODUCT(C2058:F2058,COLUMN($A$1:$D$1)-1)+SUMPRODUCT(H2058:K2058,COLUMN($E$1:$H$1)-1))*'Line Follower'!$C$3/SUM(C2058:F2058,H2058:K2058)-'Line Follower'!$C$5)))</f>
        <v>-6</v>
      </c>
      <c r="O2058" s="22">
        <v>1</v>
      </c>
      <c r="P2058" s="4">
        <f t="shared" si="160"/>
        <v>0</v>
      </c>
      <c r="Q2058" s="4">
        <f t="shared" si="161"/>
        <v>0</v>
      </c>
      <c r="R2058" s="4">
        <f>IF(AND(B2058=1,N2058&gt;'Line Follower'!$C$7,SUM(C2058:K2058)&lt;4),1,0)</f>
        <v>1</v>
      </c>
      <c r="S2058" s="4">
        <f>IF(AND(L2058=1,N2058&lt;'Line Follower'!$C$6,SUM(C2058:K2058)&lt;4),1,0)</f>
        <v>0</v>
      </c>
      <c r="T2058" s="4">
        <f t="shared" si="162"/>
        <v>0</v>
      </c>
      <c r="U2058" s="5">
        <f t="shared" si="163"/>
        <v>0</v>
      </c>
      <c r="V2058" s="23">
        <f t="shared" si="164"/>
        <v>0</v>
      </c>
    </row>
    <row r="2059" spans="2:22" x14ac:dyDescent="0.25">
      <c r="B2059" s="16">
        <v>0</v>
      </c>
      <c r="C2059" s="7">
        <v>0</v>
      </c>
      <c r="D2059" s="8">
        <v>0</v>
      </c>
      <c r="E2059" s="8">
        <v>1</v>
      </c>
      <c r="F2059" s="8">
        <v>0</v>
      </c>
      <c r="G2059" s="8">
        <v>0</v>
      </c>
      <c r="H2059" s="8">
        <v>0</v>
      </c>
      <c r="I2059" s="8">
        <v>0</v>
      </c>
      <c r="J2059" s="8">
        <v>0</v>
      </c>
      <c r="K2059" s="9">
        <v>0</v>
      </c>
      <c r="L2059" s="10">
        <v>0</v>
      </c>
      <c r="M2059" s="6">
        <v>1</v>
      </c>
      <c r="N2059" s="37" cm="1">
        <f t="array" ref="N2059">IF(OR(ISNUMBER(FIND(Aux!$D$3:$D$9,_xlfn.TEXTJOIN(,,C2059:K2059)))),NA(),IF(AND(SUM(C2059:F2059,H2059:K2059)=0,G2059=1),0,INT((SUMPRODUCT(C2059:F2059,COLUMN($A$1:$D$1)-1)+SUMPRODUCT(H2059:K2059,COLUMN($E$1:$H$1)-1))*'Line Follower'!$C$3/SUM(C2059:F2059,H2059:K2059)-'Line Follower'!$C$5)))</f>
        <v>-3</v>
      </c>
      <c r="O2059" s="22">
        <v>1</v>
      </c>
      <c r="P2059" s="4">
        <f t="shared" si="160"/>
        <v>0</v>
      </c>
      <c r="Q2059" s="4">
        <f t="shared" si="161"/>
        <v>0</v>
      </c>
      <c r="R2059" s="4">
        <f>IF(AND(B2059=1,N2059&gt;'Line Follower'!$C$7,SUM(C2059:K2059)&lt;4),1,0)</f>
        <v>0</v>
      </c>
      <c r="S2059" s="4">
        <f>IF(AND(L2059=1,N2059&lt;'Line Follower'!$C$6,SUM(C2059:K2059)&lt;4),1,0)</f>
        <v>0</v>
      </c>
      <c r="T2059" s="4">
        <f t="shared" si="162"/>
        <v>0</v>
      </c>
      <c r="U2059" s="5">
        <f t="shared" si="163"/>
        <v>0</v>
      </c>
      <c r="V2059" s="23">
        <f t="shared" si="164"/>
        <v>0</v>
      </c>
    </row>
    <row r="2060" spans="2:22" x14ac:dyDescent="0.25">
      <c r="B2060" s="16">
        <v>1</v>
      </c>
      <c r="C2060" s="7">
        <v>0</v>
      </c>
      <c r="D2060" s="8">
        <v>0</v>
      </c>
      <c r="E2060" s="8">
        <v>1</v>
      </c>
      <c r="F2060" s="8">
        <v>0</v>
      </c>
      <c r="G2060" s="8">
        <v>0</v>
      </c>
      <c r="H2060" s="8">
        <v>0</v>
      </c>
      <c r="I2060" s="8">
        <v>0</v>
      </c>
      <c r="J2060" s="8">
        <v>0</v>
      </c>
      <c r="K2060" s="9">
        <v>0</v>
      </c>
      <c r="L2060" s="10">
        <v>0</v>
      </c>
      <c r="M2060" s="6">
        <v>1</v>
      </c>
      <c r="N2060" s="37" cm="1">
        <f t="array" ref="N2060">IF(OR(ISNUMBER(FIND(Aux!$D$3:$D$9,_xlfn.TEXTJOIN(,,C2060:K2060)))),NA(),IF(AND(SUM(C2060:F2060,H2060:K2060)=0,G2060=1),0,INT((SUMPRODUCT(C2060:F2060,COLUMN($A$1:$D$1)-1)+SUMPRODUCT(H2060:K2060,COLUMN($E$1:$H$1)-1))*'Line Follower'!$C$3/SUM(C2060:F2060,H2060:K2060)-'Line Follower'!$C$5)))</f>
        <v>-3</v>
      </c>
      <c r="O2060" s="22">
        <v>1</v>
      </c>
      <c r="P2060" s="4">
        <f t="shared" si="160"/>
        <v>0</v>
      </c>
      <c r="Q2060" s="4">
        <f t="shared" si="161"/>
        <v>0</v>
      </c>
      <c r="R2060" s="4">
        <f>IF(AND(B2060=1,N2060&gt;'Line Follower'!$C$7,SUM(C2060:K2060)&lt;4),1,0)</f>
        <v>1</v>
      </c>
      <c r="S2060" s="4">
        <f>IF(AND(L2060=1,N2060&lt;'Line Follower'!$C$6,SUM(C2060:K2060)&lt;4),1,0)</f>
        <v>0</v>
      </c>
      <c r="T2060" s="4">
        <f t="shared" si="162"/>
        <v>0</v>
      </c>
      <c r="U2060" s="5">
        <f t="shared" si="163"/>
        <v>0</v>
      </c>
      <c r="V2060" s="23">
        <f t="shared" si="164"/>
        <v>0</v>
      </c>
    </row>
    <row r="2061" spans="2:22" x14ac:dyDescent="0.25">
      <c r="B2061" s="16">
        <v>0</v>
      </c>
      <c r="C2061" s="7">
        <v>1</v>
      </c>
      <c r="D2061" s="8">
        <v>0</v>
      </c>
      <c r="E2061" s="8">
        <v>1</v>
      </c>
      <c r="F2061" s="8">
        <v>0</v>
      </c>
      <c r="G2061" s="8">
        <v>0</v>
      </c>
      <c r="H2061" s="8">
        <v>0</v>
      </c>
      <c r="I2061" s="8">
        <v>0</v>
      </c>
      <c r="J2061" s="8">
        <v>0</v>
      </c>
      <c r="K2061" s="9">
        <v>0</v>
      </c>
      <c r="L2061" s="10">
        <v>0</v>
      </c>
      <c r="M2061" s="6">
        <v>1</v>
      </c>
      <c r="N2061" s="37" t="e" cm="1">
        <f t="array" ref="N2061">IF(OR(ISNUMBER(FIND(Aux!$D$3:$D$9,_xlfn.TEXTJOIN(,,C2061:K2061)))),NA(),IF(AND(SUM(C2061:F2061,H2061:K2061)=0,G2061=1),0,INT((SUMPRODUCT(C2061:F2061,COLUMN($A$1:$D$1)-1)+SUMPRODUCT(H2061:K2061,COLUMN($E$1:$H$1)-1))*'Line Follower'!$C$3/SUM(C2061:F2061,H2061:K2061)-'Line Follower'!$C$5)))</f>
        <v>#N/A</v>
      </c>
      <c r="O2061" s="22" t="e">
        <v>#N/A</v>
      </c>
      <c r="P2061" s="4" t="e">
        <f t="shared" si="160"/>
        <v>#N/A</v>
      </c>
      <c r="Q2061" s="4" t="e">
        <f t="shared" si="161"/>
        <v>#N/A</v>
      </c>
      <c r="R2061" s="4" t="e">
        <f>IF(AND(B2061=1,N2061&gt;'Line Follower'!$C$7,SUM(C2061:K2061)&lt;4),1,0)</f>
        <v>#N/A</v>
      </c>
      <c r="S2061" s="4" t="e">
        <f>IF(AND(L2061=1,N2061&lt;'Line Follower'!$C$6,SUM(C2061:K2061)&lt;4),1,0)</f>
        <v>#N/A</v>
      </c>
      <c r="T2061" s="4" t="e">
        <f t="shared" si="162"/>
        <v>#N/A</v>
      </c>
      <c r="U2061" s="5" t="e">
        <f t="shared" si="163"/>
        <v>#N/A</v>
      </c>
      <c r="V2061" s="23" t="e">
        <f t="shared" si="164"/>
        <v>#N/A</v>
      </c>
    </row>
    <row r="2062" spans="2:22" x14ac:dyDescent="0.25">
      <c r="B2062" s="16">
        <v>1</v>
      </c>
      <c r="C2062" s="7">
        <v>1</v>
      </c>
      <c r="D2062" s="8">
        <v>0</v>
      </c>
      <c r="E2062" s="8">
        <v>1</v>
      </c>
      <c r="F2062" s="8">
        <v>0</v>
      </c>
      <c r="G2062" s="8">
        <v>0</v>
      </c>
      <c r="H2062" s="8">
        <v>0</v>
      </c>
      <c r="I2062" s="8">
        <v>0</v>
      </c>
      <c r="J2062" s="8">
        <v>0</v>
      </c>
      <c r="K2062" s="9">
        <v>0</v>
      </c>
      <c r="L2062" s="10">
        <v>0</v>
      </c>
      <c r="M2062" s="6">
        <v>1</v>
      </c>
      <c r="N2062" s="37" t="e" cm="1">
        <f t="array" ref="N2062">IF(OR(ISNUMBER(FIND(Aux!$D$3:$D$9,_xlfn.TEXTJOIN(,,C2062:K2062)))),NA(),IF(AND(SUM(C2062:F2062,H2062:K2062)=0,G2062=1),0,INT((SUMPRODUCT(C2062:F2062,COLUMN($A$1:$D$1)-1)+SUMPRODUCT(H2062:K2062,COLUMN($E$1:$H$1)-1))*'Line Follower'!$C$3/SUM(C2062:F2062,H2062:K2062)-'Line Follower'!$C$5)))</f>
        <v>#N/A</v>
      </c>
      <c r="O2062" s="22" t="e">
        <v>#N/A</v>
      </c>
      <c r="P2062" s="4" t="e">
        <f t="shared" si="160"/>
        <v>#N/A</v>
      </c>
      <c r="Q2062" s="4" t="e">
        <f t="shared" si="161"/>
        <v>#N/A</v>
      </c>
      <c r="R2062" s="4" t="e">
        <f>IF(AND(B2062=1,N2062&gt;'Line Follower'!$C$7,SUM(C2062:K2062)&lt;4),1,0)</f>
        <v>#N/A</v>
      </c>
      <c r="S2062" s="4" t="e">
        <f>IF(AND(L2062=1,N2062&lt;'Line Follower'!$C$6,SUM(C2062:K2062)&lt;4),1,0)</f>
        <v>#N/A</v>
      </c>
      <c r="T2062" s="4" t="e">
        <f t="shared" si="162"/>
        <v>#N/A</v>
      </c>
      <c r="U2062" s="5" t="e">
        <f t="shared" si="163"/>
        <v>#N/A</v>
      </c>
      <c r="V2062" s="23" t="e">
        <f t="shared" si="164"/>
        <v>#N/A</v>
      </c>
    </row>
    <row r="2063" spans="2:22" x14ac:dyDescent="0.25">
      <c r="B2063" s="16">
        <v>0</v>
      </c>
      <c r="C2063" s="7">
        <v>0</v>
      </c>
      <c r="D2063" s="8">
        <v>1</v>
      </c>
      <c r="E2063" s="8">
        <v>1</v>
      </c>
      <c r="F2063" s="8">
        <v>0</v>
      </c>
      <c r="G2063" s="8">
        <v>0</v>
      </c>
      <c r="H2063" s="8">
        <v>0</v>
      </c>
      <c r="I2063" s="8">
        <v>0</v>
      </c>
      <c r="J2063" s="8">
        <v>0</v>
      </c>
      <c r="K2063" s="9">
        <v>0</v>
      </c>
      <c r="L2063" s="10">
        <v>0</v>
      </c>
      <c r="M2063" s="6">
        <v>1</v>
      </c>
      <c r="N2063" s="37" cm="1">
        <f t="array" ref="N2063">IF(OR(ISNUMBER(FIND(Aux!$D$3:$D$9,_xlfn.TEXTJOIN(,,C2063:K2063)))),NA(),IF(AND(SUM(C2063:F2063,H2063:K2063)=0,G2063=1),0,INT((SUMPRODUCT(C2063:F2063,COLUMN($A$1:$D$1)-1)+SUMPRODUCT(H2063:K2063,COLUMN($E$1:$H$1)-1))*'Line Follower'!$C$3/SUM(C2063:F2063,H2063:K2063)-'Line Follower'!$C$5)))</f>
        <v>-4</v>
      </c>
      <c r="O2063" s="22">
        <v>1</v>
      </c>
      <c r="P2063" s="4">
        <f t="shared" si="160"/>
        <v>0</v>
      </c>
      <c r="Q2063" s="4">
        <f t="shared" si="161"/>
        <v>0</v>
      </c>
      <c r="R2063" s="4">
        <f>IF(AND(B2063=1,N2063&gt;'Line Follower'!$C$7,SUM(C2063:K2063)&lt;4),1,0)</f>
        <v>0</v>
      </c>
      <c r="S2063" s="4">
        <f>IF(AND(L2063=1,N2063&lt;'Line Follower'!$C$6,SUM(C2063:K2063)&lt;4),1,0)</f>
        <v>0</v>
      </c>
      <c r="T2063" s="4">
        <f t="shared" si="162"/>
        <v>0</v>
      </c>
      <c r="U2063" s="5">
        <f t="shared" si="163"/>
        <v>0</v>
      </c>
      <c r="V2063" s="23">
        <f t="shared" si="164"/>
        <v>0</v>
      </c>
    </row>
    <row r="2064" spans="2:22" x14ac:dyDescent="0.25">
      <c r="B2064" s="16">
        <v>1</v>
      </c>
      <c r="C2064" s="7">
        <v>0</v>
      </c>
      <c r="D2064" s="8">
        <v>1</v>
      </c>
      <c r="E2064" s="8">
        <v>1</v>
      </c>
      <c r="F2064" s="8">
        <v>0</v>
      </c>
      <c r="G2064" s="8">
        <v>0</v>
      </c>
      <c r="H2064" s="8">
        <v>0</v>
      </c>
      <c r="I2064" s="8">
        <v>0</v>
      </c>
      <c r="J2064" s="8">
        <v>0</v>
      </c>
      <c r="K2064" s="9">
        <v>0</v>
      </c>
      <c r="L2064" s="10">
        <v>0</v>
      </c>
      <c r="M2064" s="6">
        <v>1</v>
      </c>
      <c r="N2064" s="37" cm="1">
        <f t="array" ref="N2064">IF(OR(ISNUMBER(FIND(Aux!$D$3:$D$9,_xlfn.TEXTJOIN(,,C2064:K2064)))),NA(),IF(AND(SUM(C2064:F2064,H2064:K2064)=0,G2064=1),0,INT((SUMPRODUCT(C2064:F2064,COLUMN($A$1:$D$1)-1)+SUMPRODUCT(H2064:K2064,COLUMN($E$1:$H$1)-1))*'Line Follower'!$C$3/SUM(C2064:F2064,H2064:K2064)-'Line Follower'!$C$5)))</f>
        <v>-4</v>
      </c>
      <c r="O2064" s="22">
        <v>1</v>
      </c>
      <c r="P2064" s="4">
        <f t="shared" si="160"/>
        <v>0</v>
      </c>
      <c r="Q2064" s="4">
        <f t="shared" si="161"/>
        <v>0</v>
      </c>
      <c r="R2064" s="4">
        <f>IF(AND(B2064=1,N2064&gt;'Line Follower'!$C$7,SUM(C2064:K2064)&lt;4),1,0)</f>
        <v>1</v>
      </c>
      <c r="S2064" s="4">
        <f>IF(AND(L2064=1,N2064&lt;'Line Follower'!$C$6,SUM(C2064:K2064)&lt;4),1,0)</f>
        <v>0</v>
      </c>
      <c r="T2064" s="4">
        <f t="shared" si="162"/>
        <v>0</v>
      </c>
      <c r="U2064" s="5">
        <f t="shared" si="163"/>
        <v>0</v>
      </c>
      <c r="V2064" s="23">
        <f t="shared" si="164"/>
        <v>0</v>
      </c>
    </row>
    <row r="2065" spans="2:22" x14ac:dyDescent="0.25">
      <c r="B2065" s="16">
        <v>0</v>
      </c>
      <c r="C2065" s="7">
        <v>1</v>
      </c>
      <c r="D2065" s="8">
        <v>1</v>
      </c>
      <c r="E2065" s="8">
        <v>1</v>
      </c>
      <c r="F2065" s="8">
        <v>0</v>
      </c>
      <c r="G2065" s="8">
        <v>0</v>
      </c>
      <c r="H2065" s="8">
        <v>0</v>
      </c>
      <c r="I2065" s="8">
        <v>0</v>
      </c>
      <c r="J2065" s="8">
        <v>0</v>
      </c>
      <c r="K2065" s="9">
        <v>0</v>
      </c>
      <c r="L2065" s="10">
        <v>0</v>
      </c>
      <c r="M2065" s="6">
        <v>1</v>
      </c>
      <c r="N2065" s="37" cm="1">
        <f t="array" ref="N2065">IF(OR(ISNUMBER(FIND(Aux!$D$3:$D$9,_xlfn.TEXTJOIN(,,C2065:K2065)))),NA(),IF(AND(SUM(C2065:F2065,H2065:K2065)=0,G2065=1),0,INT((SUMPRODUCT(C2065:F2065,COLUMN($A$1:$D$1)-1)+SUMPRODUCT(H2065:K2065,COLUMN($E$1:$H$1)-1))*'Line Follower'!$C$3/SUM(C2065:F2065,H2065:K2065)-'Line Follower'!$C$5)))</f>
        <v>-5</v>
      </c>
      <c r="O2065" s="22">
        <v>1</v>
      </c>
      <c r="P2065" s="4">
        <f t="shared" si="160"/>
        <v>0</v>
      </c>
      <c r="Q2065" s="4">
        <f t="shared" si="161"/>
        <v>0</v>
      </c>
      <c r="R2065" s="4">
        <f>IF(AND(B2065=1,N2065&gt;'Line Follower'!$C$7,SUM(C2065:K2065)&lt;4),1,0)</f>
        <v>0</v>
      </c>
      <c r="S2065" s="4">
        <f>IF(AND(L2065=1,N2065&lt;'Line Follower'!$C$6,SUM(C2065:K2065)&lt;4),1,0)</f>
        <v>0</v>
      </c>
      <c r="T2065" s="4">
        <f t="shared" si="162"/>
        <v>0</v>
      </c>
      <c r="U2065" s="5">
        <f t="shared" si="163"/>
        <v>0</v>
      </c>
      <c r="V2065" s="23">
        <f t="shared" si="164"/>
        <v>0</v>
      </c>
    </row>
    <row r="2066" spans="2:22" x14ac:dyDescent="0.25">
      <c r="B2066" s="16">
        <v>1</v>
      </c>
      <c r="C2066" s="7">
        <v>1</v>
      </c>
      <c r="D2066" s="8">
        <v>1</v>
      </c>
      <c r="E2066" s="8">
        <v>1</v>
      </c>
      <c r="F2066" s="8">
        <v>0</v>
      </c>
      <c r="G2066" s="8">
        <v>0</v>
      </c>
      <c r="H2066" s="8">
        <v>0</v>
      </c>
      <c r="I2066" s="8">
        <v>0</v>
      </c>
      <c r="J2066" s="8">
        <v>0</v>
      </c>
      <c r="K2066" s="9">
        <v>0</v>
      </c>
      <c r="L2066" s="10">
        <v>0</v>
      </c>
      <c r="M2066" s="6">
        <v>1</v>
      </c>
      <c r="N2066" s="37" cm="1">
        <f t="array" ref="N2066">IF(OR(ISNUMBER(FIND(Aux!$D$3:$D$9,_xlfn.TEXTJOIN(,,C2066:K2066)))),NA(),IF(AND(SUM(C2066:F2066,H2066:K2066)=0,G2066=1),0,INT((SUMPRODUCT(C2066:F2066,COLUMN($A$1:$D$1)-1)+SUMPRODUCT(H2066:K2066,COLUMN($E$1:$H$1)-1))*'Line Follower'!$C$3/SUM(C2066:F2066,H2066:K2066)-'Line Follower'!$C$5)))</f>
        <v>-5</v>
      </c>
      <c r="O2066" s="22">
        <v>1</v>
      </c>
      <c r="P2066" s="4">
        <f t="shared" si="160"/>
        <v>0</v>
      </c>
      <c r="Q2066" s="4">
        <f t="shared" si="161"/>
        <v>0</v>
      </c>
      <c r="R2066" s="4">
        <f>IF(AND(B2066=1,N2066&gt;'Line Follower'!$C$7,SUM(C2066:K2066)&lt;4),1,0)</f>
        <v>1</v>
      </c>
      <c r="S2066" s="4">
        <f>IF(AND(L2066=1,N2066&lt;'Line Follower'!$C$6,SUM(C2066:K2066)&lt;4),1,0)</f>
        <v>0</v>
      </c>
      <c r="T2066" s="4">
        <f t="shared" si="162"/>
        <v>0</v>
      </c>
      <c r="U2066" s="5">
        <f t="shared" si="163"/>
        <v>0</v>
      </c>
      <c r="V2066" s="23">
        <f t="shared" si="164"/>
        <v>0</v>
      </c>
    </row>
    <row r="2067" spans="2:22" x14ac:dyDescent="0.25">
      <c r="B2067" s="16">
        <v>0</v>
      </c>
      <c r="C2067" s="7">
        <v>0</v>
      </c>
      <c r="D2067" s="8">
        <v>0</v>
      </c>
      <c r="E2067" s="8">
        <v>0</v>
      </c>
      <c r="F2067" s="8">
        <v>1</v>
      </c>
      <c r="G2067" s="8">
        <v>0</v>
      </c>
      <c r="H2067" s="8">
        <v>0</v>
      </c>
      <c r="I2067" s="8">
        <v>0</v>
      </c>
      <c r="J2067" s="8">
        <v>0</v>
      </c>
      <c r="K2067" s="9">
        <v>0</v>
      </c>
      <c r="L2067" s="10">
        <v>0</v>
      </c>
      <c r="M2067" s="6">
        <v>1</v>
      </c>
      <c r="N2067" s="37" cm="1">
        <f t="array" ref="N2067">IF(OR(ISNUMBER(FIND(Aux!$D$3:$D$9,_xlfn.TEXTJOIN(,,C2067:K2067)))),NA(),IF(AND(SUM(C2067:F2067,H2067:K2067)=0,G2067=1),0,INT((SUMPRODUCT(C2067:F2067,COLUMN($A$1:$D$1)-1)+SUMPRODUCT(H2067:K2067,COLUMN($E$1:$H$1)-1))*'Line Follower'!$C$3/SUM(C2067:F2067,H2067:K2067)-'Line Follower'!$C$5)))</f>
        <v>-1</v>
      </c>
      <c r="O2067" s="22">
        <v>1</v>
      </c>
      <c r="P2067" s="4">
        <f t="shared" si="160"/>
        <v>0</v>
      </c>
      <c r="Q2067" s="4">
        <f t="shared" si="161"/>
        <v>0</v>
      </c>
      <c r="R2067" s="4">
        <f>IF(AND(B2067=1,N2067&gt;'Line Follower'!$C$7,SUM(C2067:K2067)&lt;4),1,0)</f>
        <v>0</v>
      </c>
      <c r="S2067" s="4">
        <f>IF(AND(L2067=1,N2067&lt;'Line Follower'!$C$6,SUM(C2067:K2067)&lt;4),1,0)</f>
        <v>0</v>
      </c>
      <c r="T2067" s="4">
        <f t="shared" si="162"/>
        <v>0</v>
      </c>
      <c r="U2067" s="5">
        <f t="shared" si="163"/>
        <v>0</v>
      </c>
      <c r="V2067" s="23">
        <f t="shared" si="164"/>
        <v>0</v>
      </c>
    </row>
    <row r="2068" spans="2:22" x14ac:dyDescent="0.25">
      <c r="B2068" s="16">
        <v>1</v>
      </c>
      <c r="C2068" s="7">
        <v>0</v>
      </c>
      <c r="D2068" s="8">
        <v>0</v>
      </c>
      <c r="E2068" s="8">
        <v>0</v>
      </c>
      <c r="F2068" s="8">
        <v>1</v>
      </c>
      <c r="G2068" s="8">
        <v>0</v>
      </c>
      <c r="H2068" s="8">
        <v>0</v>
      </c>
      <c r="I2068" s="8">
        <v>0</v>
      </c>
      <c r="J2068" s="8">
        <v>0</v>
      </c>
      <c r="K2068" s="9">
        <v>0</v>
      </c>
      <c r="L2068" s="10">
        <v>0</v>
      </c>
      <c r="M2068" s="6">
        <v>1</v>
      </c>
      <c r="N2068" s="37" cm="1">
        <f t="array" ref="N2068">IF(OR(ISNUMBER(FIND(Aux!$D$3:$D$9,_xlfn.TEXTJOIN(,,C2068:K2068)))),NA(),IF(AND(SUM(C2068:F2068,H2068:K2068)=0,G2068=1),0,INT((SUMPRODUCT(C2068:F2068,COLUMN($A$1:$D$1)-1)+SUMPRODUCT(H2068:K2068,COLUMN($E$1:$H$1)-1))*'Line Follower'!$C$3/SUM(C2068:F2068,H2068:K2068)-'Line Follower'!$C$5)))</f>
        <v>-1</v>
      </c>
      <c r="O2068" s="22">
        <v>1</v>
      </c>
      <c r="P2068" s="4">
        <f t="shared" si="160"/>
        <v>0</v>
      </c>
      <c r="Q2068" s="4">
        <f t="shared" si="161"/>
        <v>0</v>
      </c>
      <c r="R2068" s="4">
        <f>IF(AND(B2068=1,N2068&gt;'Line Follower'!$C$7,SUM(C2068:K2068)&lt;4),1,0)</f>
        <v>1</v>
      </c>
      <c r="S2068" s="4">
        <f>IF(AND(L2068=1,N2068&lt;'Line Follower'!$C$6,SUM(C2068:K2068)&lt;4),1,0)</f>
        <v>0</v>
      </c>
      <c r="T2068" s="4">
        <f t="shared" si="162"/>
        <v>0</v>
      </c>
      <c r="U2068" s="5">
        <f t="shared" si="163"/>
        <v>0</v>
      </c>
      <c r="V2068" s="23">
        <f t="shared" si="164"/>
        <v>0</v>
      </c>
    </row>
    <row r="2069" spans="2:22" x14ac:dyDescent="0.25">
      <c r="B2069" s="16">
        <v>0</v>
      </c>
      <c r="C2069" s="7">
        <v>1</v>
      </c>
      <c r="D2069" s="8">
        <v>0</v>
      </c>
      <c r="E2069" s="8">
        <v>0</v>
      </c>
      <c r="F2069" s="8">
        <v>1</v>
      </c>
      <c r="G2069" s="8">
        <v>0</v>
      </c>
      <c r="H2069" s="8">
        <v>0</v>
      </c>
      <c r="I2069" s="8">
        <v>0</v>
      </c>
      <c r="J2069" s="8">
        <v>0</v>
      </c>
      <c r="K2069" s="9">
        <v>0</v>
      </c>
      <c r="L2069" s="10">
        <v>0</v>
      </c>
      <c r="M2069" s="6">
        <v>1</v>
      </c>
      <c r="N2069" s="37" t="e" cm="1">
        <f t="array" ref="N2069">IF(OR(ISNUMBER(FIND(Aux!$D$3:$D$9,_xlfn.TEXTJOIN(,,C2069:K2069)))),NA(),IF(AND(SUM(C2069:F2069,H2069:K2069)=0,G2069=1),0,INT((SUMPRODUCT(C2069:F2069,COLUMN($A$1:$D$1)-1)+SUMPRODUCT(H2069:K2069,COLUMN($E$1:$H$1)-1))*'Line Follower'!$C$3/SUM(C2069:F2069,H2069:K2069)-'Line Follower'!$C$5)))</f>
        <v>#N/A</v>
      </c>
      <c r="O2069" s="22" t="e">
        <v>#N/A</v>
      </c>
      <c r="P2069" s="4" t="e">
        <f t="shared" si="160"/>
        <v>#N/A</v>
      </c>
      <c r="Q2069" s="4" t="e">
        <f t="shared" si="161"/>
        <v>#N/A</v>
      </c>
      <c r="R2069" s="4" t="e">
        <f>IF(AND(B2069=1,N2069&gt;'Line Follower'!$C$7,SUM(C2069:K2069)&lt;4),1,0)</f>
        <v>#N/A</v>
      </c>
      <c r="S2069" s="4" t="e">
        <f>IF(AND(L2069=1,N2069&lt;'Line Follower'!$C$6,SUM(C2069:K2069)&lt;4),1,0)</f>
        <v>#N/A</v>
      </c>
      <c r="T2069" s="4" t="e">
        <f t="shared" si="162"/>
        <v>#N/A</v>
      </c>
      <c r="U2069" s="5" t="e">
        <f t="shared" si="163"/>
        <v>#N/A</v>
      </c>
      <c r="V2069" s="23" t="e">
        <f t="shared" si="164"/>
        <v>#N/A</v>
      </c>
    </row>
    <row r="2070" spans="2:22" x14ac:dyDescent="0.25">
      <c r="B2070" s="16">
        <v>1</v>
      </c>
      <c r="C2070" s="7">
        <v>1</v>
      </c>
      <c r="D2070" s="8">
        <v>0</v>
      </c>
      <c r="E2070" s="8">
        <v>0</v>
      </c>
      <c r="F2070" s="8">
        <v>1</v>
      </c>
      <c r="G2070" s="8">
        <v>0</v>
      </c>
      <c r="H2070" s="8">
        <v>0</v>
      </c>
      <c r="I2070" s="8">
        <v>0</v>
      </c>
      <c r="J2070" s="8">
        <v>0</v>
      </c>
      <c r="K2070" s="9">
        <v>0</v>
      </c>
      <c r="L2070" s="10">
        <v>0</v>
      </c>
      <c r="M2070" s="6">
        <v>1</v>
      </c>
      <c r="N2070" s="37" t="e" cm="1">
        <f t="array" ref="N2070">IF(OR(ISNUMBER(FIND(Aux!$D$3:$D$9,_xlfn.TEXTJOIN(,,C2070:K2070)))),NA(),IF(AND(SUM(C2070:F2070,H2070:K2070)=0,G2070=1),0,INT((SUMPRODUCT(C2070:F2070,COLUMN($A$1:$D$1)-1)+SUMPRODUCT(H2070:K2070,COLUMN($E$1:$H$1)-1))*'Line Follower'!$C$3/SUM(C2070:F2070,H2070:K2070)-'Line Follower'!$C$5)))</f>
        <v>#N/A</v>
      </c>
      <c r="O2070" s="22" t="e">
        <v>#N/A</v>
      </c>
      <c r="P2070" s="4" t="e">
        <f t="shared" si="160"/>
        <v>#N/A</v>
      </c>
      <c r="Q2070" s="4" t="e">
        <f t="shared" si="161"/>
        <v>#N/A</v>
      </c>
      <c r="R2070" s="4" t="e">
        <f>IF(AND(B2070=1,N2070&gt;'Line Follower'!$C$7,SUM(C2070:K2070)&lt;4),1,0)</f>
        <v>#N/A</v>
      </c>
      <c r="S2070" s="4" t="e">
        <f>IF(AND(L2070=1,N2070&lt;'Line Follower'!$C$6,SUM(C2070:K2070)&lt;4),1,0)</f>
        <v>#N/A</v>
      </c>
      <c r="T2070" s="4" t="e">
        <f t="shared" si="162"/>
        <v>#N/A</v>
      </c>
      <c r="U2070" s="5" t="e">
        <f t="shared" si="163"/>
        <v>#N/A</v>
      </c>
      <c r="V2070" s="23" t="e">
        <f t="shared" si="164"/>
        <v>#N/A</v>
      </c>
    </row>
    <row r="2071" spans="2:22" x14ac:dyDescent="0.25">
      <c r="B2071" s="16">
        <v>0</v>
      </c>
      <c r="C2071" s="7">
        <v>0</v>
      </c>
      <c r="D2071" s="8">
        <v>1</v>
      </c>
      <c r="E2071" s="8">
        <v>0</v>
      </c>
      <c r="F2071" s="8">
        <v>1</v>
      </c>
      <c r="G2071" s="8">
        <v>0</v>
      </c>
      <c r="H2071" s="8">
        <v>0</v>
      </c>
      <c r="I2071" s="8">
        <v>0</v>
      </c>
      <c r="J2071" s="8">
        <v>0</v>
      </c>
      <c r="K2071" s="9">
        <v>0</v>
      </c>
      <c r="L2071" s="10">
        <v>0</v>
      </c>
      <c r="M2071" s="6">
        <v>1</v>
      </c>
      <c r="N2071" s="37" t="e" cm="1">
        <f t="array" ref="N2071">IF(OR(ISNUMBER(FIND(Aux!$D$3:$D$9,_xlfn.TEXTJOIN(,,C2071:K2071)))),NA(),IF(AND(SUM(C2071:F2071,H2071:K2071)=0,G2071=1),0,INT((SUMPRODUCT(C2071:F2071,COLUMN($A$1:$D$1)-1)+SUMPRODUCT(H2071:K2071,COLUMN($E$1:$H$1)-1))*'Line Follower'!$C$3/SUM(C2071:F2071,H2071:K2071)-'Line Follower'!$C$5)))</f>
        <v>#N/A</v>
      </c>
      <c r="O2071" s="22" t="e">
        <v>#N/A</v>
      </c>
      <c r="P2071" s="4" t="e">
        <f t="shared" si="160"/>
        <v>#N/A</v>
      </c>
      <c r="Q2071" s="4" t="e">
        <f t="shared" si="161"/>
        <v>#N/A</v>
      </c>
      <c r="R2071" s="4" t="e">
        <f>IF(AND(B2071=1,N2071&gt;'Line Follower'!$C$7,SUM(C2071:K2071)&lt;4),1,0)</f>
        <v>#N/A</v>
      </c>
      <c r="S2071" s="4" t="e">
        <f>IF(AND(L2071=1,N2071&lt;'Line Follower'!$C$6,SUM(C2071:K2071)&lt;4),1,0)</f>
        <v>#N/A</v>
      </c>
      <c r="T2071" s="4" t="e">
        <f t="shared" si="162"/>
        <v>#N/A</v>
      </c>
      <c r="U2071" s="5" t="e">
        <f t="shared" si="163"/>
        <v>#N/A</v>
      </c>
      <c r="V2071" s="23" t="e">
        <f t="shared" si="164"/>
        <v>#N/A</v>
      </c>
    </row>
    <row r="2072" spans="2:22" x14ac:dyDescent="0.25">
      <c r="B2072" s="16">
        <v>1</v>
      </c>
      <c r="C2072" s="7">
        <v>0</v>
      </c>
      <c r="D2072" s="8">
        <v>1</v>
      </c>
      <c r="E2072" s="8">
        <v>0</v>
      </c>
      <c r="F2072" s="8">
        <v>1</v>
      </c>
      <c r="G2072" s="8">
        <v>0</v>
      </c>
      <c r="H2072" s="8">
        <v>0</v>
      </c>
      <c r="I2072" s="8">
        <v>0</v>
      </c>
      <c r="J2072" s="8">
        <v>0</v>
      </c>
      <c r="K2072" s="9">
        <v>0</v>
      </c>
      <c r="L2072" s="10">
        <v>0</v>
      </c>
      <c r="M2072" s="6">
        <v>1</v>
      </c>
      <c r="N2072" s="37" t="e" cm="1">
        <f t="array" ref="N2072">IF(OR(ISNUMBER(FIND(Aux!$D$3:$D$9,_xlfn.TEXTJOIN(,,C2072:K2072)))),NA(),IF(AND(SUM(C2072:F2072,H2072:K2072)=0,G2072=1),0,INT((SUMPRODUCT(C2072:F2072,COLUMN($A$1:$D$1)-1)+SUMPRODUCT(H2072:K2072,COLUMN($E$1:$H$1)-1))*'Line Follower'!$C$3/SUM(C2072:F2072,H2072:K2072)-'Line Follower'!$C$5)))</f>
        <v>#N/A</v>
      </c>
      <c r="O2072" s="22" t="e">
        <v>#N/A</v>
      </c>
      <c r="P2072" s="4" t="e">
        <f t="shared" si="160"/>
        <v>#N/A</v>
      </c>
      <c r="Q2072" s="4" t="e">
        <f t="shared" si="161"/>
        <v>#N/A</v>
      </c>
      <c r="R2072" s="4" t="e">
        <f>IF(AND(B2072=1,N2072&gt;'Line Follower'!$C$7,SUM(C2072:K2072)&lt;4),1,0)</f>
        <v>#N/A</v>
      </c>
      <c r="S2072" s="4" t="e">
        <f>IF(AND(L2072=1,N2072&lt;'Line Follower'!$C$6,SUM(C2072:K2072)&lt;4),1,0)</f>
        <v>#N/A</v>
      </c>
      <c r="T2072" s="4" t="e">
        <f t="shared" si="162"/>
        <v>#N/A</v>
      </c>
      <c r="U2072" s="5" t="e">
        <f t="shared" si="163"/>
        <v>#N/A</v>
      </c>
      <c r="V2072" s="23" t="e">
        <f t="shared" si="164"/>
        <v>#N/A</v>
      </c>
    </row>
    <row r="2073" spans="2:22" x14ac:dyDescent="0.25">
      <c r="B2073" s="16">
        <v>0</v>
      </c>
      <c r="C2073" s="7">
        <v>1</v>
      </c>
      <c r="D2073" s="8">
        <v>1</v>
      </c>
      <c r="E2073" s="8">
        <v>0</v>
      </c>
      <c r="F2073" s="8">
        <v>1</v>
      </c>
      <c r="G2073" s="8">
        <v>0</v>
      </c>
      <c r="H2073" s="8">
        <v>0</v>
      </c>
      <c r="I2073" s="8">
        <v>0</v>
      </c>
      <c r="J2073" s="8">
        <v>0</v>
      </c>
      <c r="K2073" s="9">
        <v>0</v>
      </c>
      <c r="L2073" s="10">
        <v>0</v>
      </c>
      <c r="M2073" s="6">
        <v>1</v>
      </c>
      <c r="N2073" s="37" t="e" cm="1">
        <f t="array" ref="N2073">IF(OR(ISNUMBER(FIND(Aux!$D$3:$D$9,_xlfn.TEXTJOIN(,,C2073:K2073)))),NA(),IF(AND(SUM(C2073:F2073,H2073:K2073)=0,G2073=1),0,INT((SUMPRODUCT(C2073:F2073,COLUMN($A$1:$D$1)-1)+SUMPRODUCT(H2073:K2073,COLUMN($E$1:$H$1)-1))*'Line Follower'!$C$3/SUM(C2073:F2073,H2073:K2073)-'Line Follower'!$C$5)))</f>
        <v>#N/A</v>
      </c>
      <c r="O2073" s="22" t="e">
        <v>#N/A</v>
      </c>
      <c r="P2073" s="4" t="e">
        <f t="shared" si="160"/>
        <v>#N/A</v>
      </c>
      <c r="Q2073" s="4" t="e">
        <f t="shared" si="161"/>
        <v>#N/A</v>
      </c>
      <c r="R2073" s="4" t="e">
        <f>IF(AND(B2073=1,N2073&gt;'Line Follower'!$C$7,SUM(C2073:K2073)&lt;4),1,0)</f>
        <v>#N/A</v>
      </c>
      <c r="S2073" s="4" t="e">
        <f>IF(AND(L2073=1,N2073&lt;'Line Follower'!$C$6,SUM(C2073:K2073)&lt;4),1,0)</f>
        <v>#N/A</v>
      </c>
      <c r="T2073" s="4" t="e">
        <f t="shared" si="162"/>
        <v>#N/A</v>
      </c>
      <c r="U2073" s="5" t="e">
        <f t="shared" si="163"/>
        <v>#N/A</v>
      </c>
      <c r="V2073" s="23" t="e">
        <f t="shared" si="164"/>
        <v>#N/A</v>
      </c>
    </row>
    <row r="2074" spans="2:22" x14ac:dyDescent="0.25">
      <c r="B2074" s="16">
        <v>1</v>
      </c>
      <c r="C2074" s="7">
        <v>1</v>
      </c>
      <c r="D2074" s="8">
        <v>1</v>
      </c>
      <c r="E2074" s="8">
        <v>0</v>
      </c>
      <c r="F2074" s="8">
        <v>1</v>
      </c>
      <c r="G2074" s="8">
        <v>0</v>
      </c>
      <c r="H2074" s="8">
        <v>0</v>
      </c>
      <c r="I2074" s="8">
        <v>0</v>
      </c>
      <c r="J2074" s="8">
        <v>0</v>
      </c>
      <c r="K2074" s="9">
        <v>0</v>
      </c>
      <c r="L2074" s="10">
        <v>0</v>
      </c>
      <c r="M2074" s="6">
        <v>1</v>
      </c>
      <c r="N2074" s="37" t="e" cm="1">
        <f t="array" ref="N2074">IF(OR(ISNUMBER(FIND(Aux!$D$3:$D$9,_xlfn.TEXTJOIN(,,C2074:K2074)))),NA(),IF(AND(SUM(C2074:F2074,H2074:K2074)=0,G2074=1),0,INT((SUMPRODUCT(C2074:F2074,COLUMN($A$1:$D$1)-1)+SUMPRODUCT(H2074:K2074,COLUMN($E$1:$H$1)-1))*'Line Follower'!$C$3/SUM(C2074:F2074,H2074:K2074)-'Line Follower'!$C$5)))</f>
        <v>#N/A</v>
      </c>
      <c r="O2074" s="22" t="e">
        <v>#N/A</v>
      </c>
      <c r="P2074" s="4" t="e">
        <f t="shared" si="160"/>
        <v>#N/A</v>
      </c>
      <c r="Q2074" s="4" t="e">
        <f t="shared" si="161"/>
        <v>#N/A</v>
      </c>
      <c r="R2074" s="4" t="e">
        <f>IF(AND(B2074=1,N2074&gt;'Line Follower'!$C$7,SUM(C2074:K2074)&lt;4),1,0)</f>
        <v>#N/A</v>
      </c>
      <c r="S2074" s="4" t="e">
        <f>IF(AND(L2074=1,N2074&lt;'Line Follower'!$C$6,SUM(C2074:K2074)&lt;4),1,0)</f>
        <v>#N/A</v>
      </c>
      <c r="T2074" s="4" t="e">
        <f t="shared" si="162"/>
        <v>#N/A</v>
      </c>
      <c r="U2074" s="5" t="e">
        <f t="shared" si="163"/>
        <v>#N/A</v>
      </c>
      <c r="V2074" s="23" t="e">
        <f t="shared" si="164"/>
        <v>#N/A</v>
      </c>
    </row>
    <row r="2075" spans="2:22" x14ac:dyDescent="0.25">
      <c r="B2075" s="16">
        <v>0</v>
      </c>
      <c r="C2075" s="7">
        <v>0</v>
      </c>
      <c r="D2075" s="8">
        <v>0</v>
      </c>
      <c r="E2075" s="8">
        <v>1</v>
      </c>
      <c r="F2075" s="8">
        <v>1</v>
      </c>
      <c r="G2075" s="8">
        <v>0</v>
      </c>
      <c r="H2075" s="8">
        <v>0</v>
      </c>
      <c r="I2075" s="8">
        <v>0</v>
      </c>
      <c r="J2075" s="8">
        <v>0</v>
      </c>
      <c r="K2075" s="9">
        <v>0</v>
      </c>
      <c r="L2075" s="10">
        <v>0</v>
      </c>
      <c r="M2075" s="6">
        <v>1</v>
      </c>
      <c r="N2075" s="37" cm="1">
        <f t="array" ref="N2075">IF(OR(ISNUMBER(FIND(Aux!$D$3:$D$9,_xlfn.TEXTJOIN(,,C2075:K2075)))),NA(),IF(AND(SUM(C2075:F2075,H2075:K2075)=0,G2075=1),0,INT((SUMPRODUCT(C2075:F2075,COLUMN($A$1:$D$1)-1)+SUMPRODUCT(H2075:K2075,COLUMN($E$1:$H$1)-1))*'Line Follower'!$C$3/SUM(C2075:F2075,H2075:K2075)-'Line Follower'!$C$5)))</f>
        <v>-2</v>
      </c>
      <c r="O2075" s="22">
        <v>1</v>
      </c>
      <c r="P2075" s="4">
        <f t="shared" si="160"/>
        <v>0</v>
      </c>
      <c r="Q2075" s="4">
        <f t="shared" si="161"/>
        <v>0</v>
      </c>
      <c r="R2075" s="4">
        <f>IF(AND(B2075=1,N2075&gt;'Line Follower'!$C$7,SUM(C2075:K2075)&lt;4),1,0)</f>
        <v>0</v>
      </c>
      <c r="S2075" s="4">
        <f>IF(AND(L2075=1,N2075&lt;'Line Follower'!$C$6,SUM(C2075:K2075)&lt;4),1,0)</f>
        <v>0</v>
      </c>
      <c r="T2075" s="4">
        <f t="shared" si="162"/>
        <v>0</v>
      </c>
      <c r="U2075" s="5">
        <f t="shared" si="163"/>
        <v>0</v>
      </c>
      <c r="V2075" s="23">
        <f t="shared" si="164"/>
        <v>0</v>
      </c>
    </row>
    <row r="2076" spans="2:22" x14ac:dyDescent="0.25">
      <c r="B2076" s="16">
        <v>1</v>
      </c>
      <c r="C2076" s="7">
        <v>0</v>
      </c>
      <c r="D2076" s="8">
        <v>0</v>
      </c>
      <c r="E2076" s="8">
        <v>1</v>
      </c>
      <c r="F2076" s="8">
        <v>1</v>
      </c>
      <c r="G2076" s="8">
        <v>0</v>
      </c>
      <c r="H2076" s="8">
        <v>0</v>
      </c>
      <c r="I2076" s="8">
        <v>0</v>
      </c>
      <c r="J2076" s="8">
        <v>0</v>
      </c>
      <c r="K2076" s="9">
        <v>0</v>
      </c>
      <c r="L2076" s="10">
        <v>0</v>
      </c>
      <c r="M2076" s="6">
        <v>1</v>
      </c>
      <c r="N2076" s="37" cm="1">
        <f t="array" ref="N2076">IF(OR(ISNUMBER(FIND(Aux!$D$3:$D$9,_xlfn.TEXTJOIN(,,C2076:K2076)))),NA(),IF(AND(SUM(C2076:F2076,H2076:K2076)=0,G2076=1),0,INT((SUMPRODUCT(C2076:F2076,COLUMN($A$1:$D$1)-1)+SUMPRODUCT(H2076:K2076,COLUMN($E$1:$H$1)-1))*'Line Follower'!$C$3/SUM(C2076:F2076,H2076:K2076)-'Line Follower'!$C$5)))</f>
        <v>-2</v>
      </c>
      <c r="O2076" s="22">
        <v>1</v>
      </c>
      <c r="P2076" s="4">
        <f t="shared" si="160"/>
        <v>0</v>
      </c>
      <c r="Q2076" s="4">
        <f t="shared" si="161"/>
        <v>0</v>
      </c>
      <c r="R2076" s="4">
        <f>IF(AND(B2076=1,N2076&gt;'Line Follower'!$C$7,SUM(C2076:K2076)&lt;4),1,0)</f>
        <v>1</v>
      </c>
      <c r="S2076" s="4">
        <f>IF(AND(L2076=1,N2076&lt;'Line Follower'!$C$6,SUM(C2076:K2076)&lt;4),1,0)</f>
        <v>0</v>
      </c>
      <c r="T2076" s="4">
        <f t="shared" si="162"/>
        <v>0</v>
      </c>
      <c r="U2076" s="5">
        <f t="shared" si="163"/>
        <v>0</v>
      </c>
      <c r="V2076" s="23">
        <f t="shared" si="164"/>
        <v>0</v>
      </c>
    </row>
    <row r="2077" spans="2:22" x14ac:dyDescent="0.25">
      <c r="B2077" s="16">
        <v>0</v>
      </c>
      <c r="C2077" s="7">
        <v>1</v>
      </c>
      <c r="D2077" s="8">
        <v>0</v>
      </c>
      <c r="E2077" s="8">
        <v>1</v>
      </c>
      <c r="F2077" s="8">
        <v>1</v>
      </c>
      <c r="G2077" s="8">
        <v>0</v>
      </c>
      <c r="H2077" s="8">
        <v>0</v>
      </c>
      <c r="I2077" s="8">
        <v>0</v>
      </c>
      <c r="J2077" s="8">
        <v>0</v>
      </c>
      <c r="K2077" s="9">
        <v>0</v>
      </c>
      <c r="L2077" s="10">
        <v>0</v>
      </c>
      <c r="M2077" s="6">
        <v>1</v>
      </c>
      <c r="N2077" s="37" t="e" cm="1">
        <f t="array" ref="N2077">IF(OR(ISNUMBER(FIND(Aux!$D$3:$D$9,_xlfn.TEXTJOIN(,,C2077:K2077)))),NA(),IF(AND(SUM(C2077:F2077,H2077:K2077)=0,G2077=1),0,INT((SUMPRODUCT(C2077:F2077,COLUMN($A$1:$D$1)-1)+SUMPRODUCT(H2077:K2077,COLUMN($E$1:$H$1)-1))*'Line Follower'!$C$3/SUM(C2077:F2077,H2077:K2077)-'Line Follower'!$C$5)))</f>
        <v>#N/A</v>
      </c>
      <c r="O2077" s="22" t="e">
        <v>#N/A</v>
      </c>
      <c r="P2077" s="4" t="e">
        <f t="shared" si="160"/>
        <v>#N/A</v>
      </c>
      <c r="Q2077" s="4" t="e">
        <f t="shared" si="161"/>
        <v>#N/A</v>
      </c>
      <c r="R2077" s="4" t="e">
        <f>IF(AND(B2077=1,N2077&gt;'Line Follower'!$C$7,SUM(C2077:K2077)&lt;4),1,0)</f>
        <v>#N/A</v>
      </c>
      <c r="S2077" s="4" t="e">
        <f>IF(AND(L2077=1,N2077&lt;'Line Follower'!$C$6,SUM(C2077:K2077)&lt;4),1,0)</f>
        <v>#N/A</v>
      </c>
      <c r="T2077" s="4" t="e">
        <f t="shared" si="162"/>
        <v>#N/A</v>
      </c>
      <c r="U2077" s="5" t="e">
        <f t="shared" si="163"/>
        <v>#N/A</v>
      </c>
      <c r="V2077" s="23" t="e">
        <f t="shared" si="164"/>
        <v>#N/A</v>
      </c>
    </row>
    <row r="2078" spans="2:22" x14ac:dyDescent="0.25">
      <c r="B2078" s="16">
        <v>1</v>
      </c>
      <c r="C2078" s="7">
        <v>1</v>
      </c>
      <c r="D2078" s="8">
        <v>0</v>
      </c>
      <c r="E2078" s="8">
        <v>1</v>
      </c>
      <c r="F2078" s="8">
        <v>1</v>
      </c>
      <c r="G2078" s="8">
        <v>0</v>
      </c>
      <c r="H2078" s="8">
        <v>0</v>
      </c>
      <c r="I2078" s="8">
        <v>0</v>
      </c>
      <c r="J2078" s="8">
        <v>0</v>
      </c>
      <c r="K2078" s="9">
        <v>0</v>
      </c>
      <c r="L2078" s="10">
        <v>0</v>
      </c>
      <c r="M2078" s="6">
        <v>1</v>
      </c>
      <c r="N2078" s="37" t="e" cm="1">
        <f t="array" ref="N2078">IF(OR(ISNUMBER(FIND(Aux!$D$3:$D$9,_xlfn.TEXTJOIN(,,C2078:K2078)))),NA(),IF(AND(SUM(C2078:F2078,H2078:K2078)=0,G2078=1),0,INT((SUMPRODUCT(C2078:F2078,COLUMN($A$1:$D$1)-1)+SUMPRODUCT(H2078:K2078,COLUMN($E$1:$H$1)-1))*'Line Follower'!$C$3/SUM(C2078:F2078,H2078:K2078)-'Line Follower'!$C$5)))</f>
        <v>#N/A</v>
      </c>
      <c r="O2078" s="22" t="e">
        <v>#N/A</v>
      </c>
      <c r="P2078" s="4" t="e">
        <f t="shared" si="160"/>
        <v>#N/A</v>
      </c>
      <c r="Q2078" s="4" t="e">
        <f t="shared" si="161"/>
        <v>#N/A</v>
      </c>
      <c r="R2078" s="4" t="e">
        <f>IF(AND(B2078=1,N2078&gt;'Line Follower'!$C$7,SUM(C2078:K2078)&lt;4),1,0)</f>
        <v>#N/A</v>
      </c>
      <c r="S2078" s="4" t="e">
        <f>IF(AND(L2078=1,N2078&lt;'Line Follower'!$C$6,SUM(C2078:K2078)&lt;4),1,0)</f>
        <v>#N/A</v>
      </c>
      <c r="T2078" s="4" t="e">
        <f t="shared" si="162"/>
        <v>#N/A</v>
      </c>
      <c r="U2078" s="5" t="e">
        <f t="shared" si="163"/>
        <v>#N/A</v>
      </c>
      <c r="V2078" s="23" t="e">
        <f t="shared" si="164"/>
        <v>#N/A</v>
      </c>
    </row>
    <row r="2079" spans="2:22" x14ac:dyDescent="0.25">
      <c r="B2079" s="16">
        <v>0</v>
      </c>
      <c r="C2079" s="7">
        <v>0</v>
      </c>
      <c r="D2079" s="8">
        <v>1</v>
      </c>
      <c r="E2079" s="8">
        <v>1</v>
      </c>
      <c r="F2079" s="8">
        <v>1</v>
      </c>
      <c r="G2079" s="8">
        <v>0</v>
      </c>
      <c r="H2079" s="8">
        <v>0</v>
      </c>
      <c r="I2079" s="8">
        <v>0</v>
      </c>
      <c r="J2079" s="8">
        <v>0</v>
      </c>
      <c r="K2079" s="9">
        <v>0</v>
      </c>
      <c r="L2079" s="10">
        <v>0</v>
      </c>
      <c r="M2079" s="6">
        <v>1</v>
      </c>
      <c r="N2079" s="37" cm="1">
        <f t="array" ref="N2079">IF(OR(ISNUMBER(FIND(Aux!$D$3:$D$9,_xlfn.TEXTJOIN(,,C2079:K2079)))),NA(),IF(AND(SUM(C2079:F2079,H2079:K2079)=0,G2079=1),0,INT((SUMPRODUCT(C2079:F2079,COLUMN($A$1:$D$1)-1)+SUMPRODUCT(H2079:K2079,COLUMN($E$1:$H$1)-1))*'Line Follower'!$C$3/SUM(C2079:F2079,H2079:K2079)-'Line Follower'!$C$5)))</f>
        <v>-3</v>
      </c>
      <c r="O2079" s="22">
        <v>1</v>
      </c>
      <c r="P2079" s="4">
        <f t="shared" si="160"/>
        <v>0</v>
      </c>
      <c r="Q2079" s="4">
        <f t="shared" si="161"/>
        <v>0</v>
      </c>
      <c r="R2079" s="4">
        <f>IF(AND(B2079=1,N2079&gt;'Line Follower'!$C$7,SUM(C2079:K2079)&lt;4),1,0)</f>
        <v>0</v>
      </c>
      <c r="S2079" s="4">
        <f>IF(AND(L2079=1,N2079&lt;'Line Follower'!$C$6,SUM(C2079:K2079)&lt;4),1,0)</f>
        <v>0</v>
      </c>
      <c r="T2079" s="4">
        <f t="shared" si="162"/>
        <v>0</v>
      </c>
      <c r="U2079" s="5">
        <f t="shared" si="163"/>
        <v>0</v>
      </c>
      <c r="V2079" s="23">
        <f t="shared" si="164"/>
        <v>0</v>
      </c>
    </row>
    <row r="2080" spans="2:22" x14ac:dyDescent="0.25">
      <c r="B2080" s="16">
        <v>1</v>
      </c>
      <c r="C2080" s="7">
        <v>0</v>
      </c>
      <c r="D2080" s="8">
        <v>1</v>
      </c>
      <c r="E2080" s="8">
        <v>1</v>
      </c>
      <c r="F2080" s="8">
        <v>1</v>
      </c>
      <c r="G2080" s="8">
        <v>0</v>
      </c>
      <c r="H2080" s="8">
        <v>0</v>
      </c>
      <c r="I2080" s="8">
        <v>0</v>
      </c>
      <c r="J2080" s="8">
        <v>0</v>
      </c>
      <c r="K2080" s="9">
        <v>0</v>
      </c>
      <c r="L2080" s="10">
        <v>0</v>
      </c>
      <c r="M2080" s="6">
        <v>1</v>
      </c>
      <c r="N2080" s="37" cm="1">
        <f t="array" ref="N2080">IF(OR(ISNUMBER(FIND(Aux!$D$3:$D$9,_xlfn.TEXTJOIN(,,C2080:K2080)))),NA(),IF(AND(SUM(C2080:F2080,H2080:K2080)=0,G2080=1),0,INT((SUMPRODUCT(C2080:F2080,COLUMN($A$1:$D$1)-1)+SUMPRODUCT(H2080:K2080,COLUMN($E$1:$H$1)-1))*'Line Follower'!$C$3/SUM(C2080:F2080,H2080:K2080)-'Line Follower'!$C$5)))</f>
        <v>-3</v>
      </c>
      <c r="O2080" s="22">
        <v>1</v>
      </c>
      <c r="P2080" s="4">
        <f t="shared" si="160"/>
        <v>0</v>
      </c>
      <c r="Q2080" s="4">
        <f t="shared" si="161"/>
        <v>0</v>
      </c>
      <c r="R2080" s="4">
        <f>IF(AND(B2080=1,N2080&gt;'Line Follower'!$C$7,SUM(C2080:K2080)&lt;4),1,0)</f>
        <v>1</v>
      </c>
      <c r="S2080" s="4">
        <f>IF(AND(L2080=1,N2080&lt;'Line Follower'!$C$6,SUM(C2080:K2080)&lt;4),1,0)</f>
        <v>0</v>
      </c>
      <c r="T2080" s="4">
        <f t="shared" si="162"/>
        <v>0</v>
      </c>
      <c r="U2080" s="5">
        <f t="shared" si="163"/>
        <v>0</v>
      </c>
      <c r="V2080" s="23">
        <f t="shared" si="164"/>
        <v>0</v>
      </c>
    </row>
    <row r="2081" spans="2:22" x14ac:dyDescent="0.25">
      <c r="B2081" s="16">
        <v>0</v>
      </c>
      <c r="C2081" s="7">
        <v>1</v>
      </c>
      <c r="D2081" s="8">
        <v>1</v>
      </c>
      <c r="E2081" s="8">
        <v>1</v>
      </c>
      <c r="F2081" s="8">
        <v>1</v>
      </c>
      <c r="G2081" s="8">
        <v>0</v>
      </c>
      <c r="H2081" s="8">
        <v>0</v>
      </c>
      <c r="I2081" s="8">
        <v>0</v>
      </c>
      <c r="J2081" s="8">
        <v>0</v>
      </c>
      <c r="K2081" s="9">
        <v>0</v>
      </c>
      <c r="L2081" s="10">
        <v>0</v>
      </c>
      <c r="M2081" s="6">
        <v>1</v>
      </c>
      <c r="N2081" s="37" cm="1">
        <f t="array" ref="N2081">IF(OR(ISNUMBER(FIND(Aux!$D$3:$D$9,_xlfn.TEXTJOIN(,,C2081:K2081)))),NA(),IF(AND(SUM(C2081:F2081,H2081:K2081)=0,G2081=1),0,INT((SUMPRODUCT(C2081:F2081,COLUMN($A$1:$D$1)-1)+SUMPRODUCT(H2081:K2081,COLUMN($E$1:$H$1)-1))*'Line Follower'!$C$3/SUM(C2081:F2081,H2081:K2081)-'Line Follower'!$C$5)))</f>
        <v>-4</v>
      </c>
      <c r="O2081" s="22">
        <v>1</v>
      </c>
      <c r="P2081" s="4">
        <f t="shared" si="160"/>
        <v>0</v>
      </c>
      <c r="Q2081" s="4">
        <f t="shared" si="161"/>
        <v>1</v>
      </c>
      <c r="R2081" s="4">
        <f>IF(AND(B2081=1,N2081&gt;'Line Follower'!$C$7,SUM(C2081:K2081)&lt;4),1,0)</f>
        <v>0</v>
      </c>
      <c r="S2081" s="4">
        <f>IF(AND(L2081=1,N2081&lt;'Line Follower'!$C$6,SUM(C2081:K2081)&lt;4),1,0)</f>
        <v>0</v>
      </c>
      <c r="T2081" s="4">
        <f t="shared" si="162"/>
        <v>0</v>
      </c>
      <c r="U2081" s="5">
        <f t="shared" si="163"/>
        <v>0</v>
      </c>
      <c r="V2081" s="23">
        <f t="shared" si="164"/>
        <v>0</v>
      </c>
    </row>
    <row r="2082" spans="2:22" x14ac:dyDescent="0.25">
      <c r="B2082" s="16">
        <v>1</v>
      </c>
      <c r="C2082" s="7">
        <v>1</v>
      </c>
      <c r="D2082" s="8">
        <v>1</v>
      </c>
      <c r="E2082" s="8">
        <v>1</v>
      </c>
      <c r="F2082" s="8">
        <v>1</v>
      </c>
      <c r="G2082" s="8">
        <v>0</v>
      </c>
      <c r="H2082" s="8">
        <v>0</v>
      </c>
      <c r="I2082" s="8">
        <v>0</v>
      </c>
      <c r="J2082" s="8">
        <v>0</v>
      </c>
      <c r="K2082" s="9">
        <v>0</v>
      </c>
      <c r="L2082" s="10">
        <v>0</v>
      </c>
      <c r="M2082" s="6">
        <v>1</v>
      </c>
      <c r="N2082" s="37" cm="1">
        <f t="array" ref="N2082">IF(OR(ISNUMBER(FIND(Aux!$D$3:$D$9,_xlfn.TEXTJOIN(,,C2082:K2082)))),NA(),IF(AND(SUM(C2082:F2082,H2082:K2082)=0,G2082=1),0,INT((SUMPRODUCT(C2082:F2082,COLUMN($A$1:$D$1)-1)+SUMPRODUCT(H2082:K2082,COLUMN($E$1:$H$1)-1))*'Line Follower'!$C$3/SUM(C2082:F2082,H2082:K2082)-'Line Follower'!$C$5)))</f>
        <v>-4</v>
      </c>
      <c r="O2082" s="22">
        <v>1</v>
      </c>
      <c r="P2082" s="4">
        <f t="shared" si="160"/>
        <v>0</v>
      </c>
      <c r="Q2082" s="4">
        <f t="shared" si="161"/>
        <v>1</v>
      </c>
      <c r="R2082" s="4">
        <f>IF(AND(B2082=1,N2082&gt;'Line Follower'!$C$7,SUM(C2082:K2082)&lt;4),1,0)</f>
        <v>0</v>
      </c>
      <c r="S2082" s="4">
        <f>IF(AND(L2082=1,N2082&lt;'Line Follower'!$C$6,SUM(C2082:K2082)&lt;4),1,0)</f>
        <v>0</v>
      </c>
      <c r="T2082" s="4">
        <f t="shared" si="162"/>
        <v>0</v>
      </c>
      <c r="U2082" s="5">
        <f t="shared" si="163"/>
        <v>0</v>
      </c>
      <c r="V2082" s="23">
        <f t="shared" si="164"/>
        <v>0</v>
      </c>
    </row>
    <row r="2083" spans="2:22" x14ac:dyDescent="0.25">
      <c r="B2083" s="16">
        <v>0</v>
      </c>
      <c r="C2083" s="7">
        <v>0</v>
      </c>
      <c r="D2083" s="8">
        <v>0</v>
      </c>
      <c r="E2083" s="8">
        <v>0</v>
      </c>
      <c r="F2083" s="8">
        <v>0</v>
      </c>
      <c r="G2083" s="8">
        <v>1</v>
      </c>
      <c r="H2083" s="8">
        <v>0</v>
      </c>
      <c r="I2083" s="8">
        <v>0</v>
      </c>
      <c r="J2083" s="8">
        <v>0</v>
      </c>
      <c r="K2083" s="9">
        <v>0</v>
      </c>
      <c r="L2083" s="10">
        <v>0</v>
      </c>
      <c r="M2083" s="6">
        <v>1</v>
      </c>
      <c r="N2083" s="37" cm="1">
        <f t="array" ref="N2083">IF(OR(ISNUMBER(FIND(Aux!$D$3:$D$9,_xlfn.TEXTJOIN(,,C2083:K2083)))),NA(),IF(AND(SUM(C2083:F2083,H2083:K2083)=0,G2083=1),0,INT((SUMPRODUCT(C2083:F2083,COLUMN($A$1:$D$1)-1)+SUMPRODUCT(H2083:K2083,COLUMN($E$1:$H$1)-1))*'Line Follower'!$C$3/SUM(C2083:F2083,H2083:K2083)-'Line Follower'!$C$5)))</f>
        <v>0</v>
      </c>
      <c r="O2083" s="22">
        <v>1</v>
      </c>
      <c r="P2083" s="4">
        <f t="shared" si="160"/>
        <v>1</v>
      </c>
      <c r="Q2083" s="4">
        <f t="shared" si="161"/>
        <v>0</v>
      </c>
      <c r="R2083" s="4">
        <f>IF(AND(B2083=1,N2083&gt;'Line Follower'!$C$7,SUM(C2083:K2083)&lt;4),1,0)</f>
        <v>0</v>
      </c>
      <c r="S2083" s="4">
        <f>IF(AND(L2083=1,N2083&lt;'Line Follower'!$C$6,SUM(C2083:K2083)&lt;4),1,0)</f>
        <v>0</v>
      </c>
      <c r="T2083" s="4">
        <f t="shared" si="162"/>
        <v>0</v>
      </c>
      <c r="U2083" s="5">
        <f t="shared" si="163"/>
        <v>0</v>
      </c>
      <c r="V2083" s="23">
        <f t="shared" si="164"/>
        <v>0</v>
      </c>
    </row>
    <row r="2084" spans="2:22" x14ac:dyDescent="0.25">
      <c r="B2084" s="16">
        <v>1</v>
      </c>
      <c r="C2084" s="7">
        <v>0</v>
      </c>
      <c r="D2084" s="8">
        <v>0</v>
      </c>
      <c r="E2084" s="8">
        <v>0</v>
      </c>
      <c r="F2084" s="8">
        <v>0</v>
      </c>
      <c r="G2084" s="8">
        <v>1</v>
      </c>
      <c r="H2084" s="8">
        <v>0</v>
      </c>
      <c r="I2084" s="8">
        <v>0</v>
      </c>
      <c r="J2084" s="8">
        <v>0</v>
      </c>
      <c r="K2084" s="9">
        <v>0</v>
      </c>
      <c r="L2084" s="10">
        <v>0</v>
      </c>
      <c r="M2084" s="6">
        <v>1</v>
      </c>
      <c r="N2084" s="37" cm="1">
        <f t="array" ref="N2084">IF(OR(ISNUMBER(FIND(Aux!$D$3:$D$9,_xlfn.TEXTJOIN(,,C2084:K2084)))),NA(),IF(AND(SUM(C2084:F2084,H2084:K2084)=0,G2084=1),0,INT((SUMPRODUCT(C2084:F2084,COLUMN($A$1:$D$1)-1)+SUMPRODUCT(H2084:K2084,COLUMN($E$1:$H$1)-1))*'Line Follower'!$C$3/SUM(C2084:F2084,H2084:K2084)-'Line Follower'!$C$5)))</f>
        <v>0</v>
      </c>
      <c r="O2084" s="22">
        <v>1</v>
      </c>
      <c r="P2084" s="4">
        <f t="shared" si="160"/>
        <v>1</v>
      </c>
      <c r="Q2084" s="4">
        <f t="shared" si="161"/>
        <v>0</v>
      </c>
      <c r="R2084" s="4">
        <f>IF(AND(B2084=1,N2084&gt;'Line Follower'!$C$7,SUM(C2084:K2084)&lt;4),1,0)</f>
        <v>1</v>
      </c>
      <c r="S2084" s="4">
        <f>IF(AND(L2084=1,N2084&lt;'Line Follower'!$C$6,SUM(C2084:K2084)&lt;4),1,0)</f>
        <v>0</v>
      </c>
      <c r="T2084" s="4">
        <f t="shared" si="162"/>
        <v>0</v>
      </c>
      <c r="U2084" s="5">
        <f t="shared" si="163"/>
        <v>0</v>
      </c>
      <c r="V2084" s="23">
        <f t="shared" si="164"/>
        <v>0</v>
      </c>
    </row>
    <row r="2085" spans="2:22" x14ac:dyDescent="0.25">
      <c r="B2085" s="16">
        <v>0</v>
      </c>
      <c r="C2085" s="7">
        <v>1</v>
      </c>
      <c r="D2085" s="8">
        <v>0</v>
      </c>
      <c r="E2085" s="8">
        <v>0</v>
      </c>
      <c r="F2085" s="8">
        <v>0</v>
      </c>
      <c r="G2085" s="8">
        <v>1</v>
      </c>
      <c r="H2085" s="8">
        <v>0</v>
      </c>
      <c r="I2085" s="8">
        <v>0</v>
      </c>
      <c r="J2085" s="8">
        <v>0</v>
      </c>
      <c r="K2085" s="9">
        <v>0</v>
      </c>
      <c r="L2085" s="10">
        <v>0</v>
      </c>
      <c r="M2085" s="6">
        <v>1</v>
      </c>
      <c r="N2085" s="37" t="e" cm="1">
        <f t="array" ref="N2085">IF(OR(ISNUMBER(FIND(Aux!$D$3:$D$9,_xlfn.TEXTJOIN(,,C2085:K2085)))),NA(),IF(AND(SUM(C2085:F2085,H2085:K2085)=0,G2085=1),0,INT((SUMPRODUCT(C2085:F2085,COLUMN($A$1:$D$1)-1)+SUMPRODUCT(H2085:K2085,COLUMN($E$1:$H$1)-1))*'Line Follower'!$C$3/SUM(C2085:F2085,H2085:K2085)-'Line Follower'!$C$5)))</f>
        <v>#N/A</v>
      </c>
      <c r="O2085" s="22" t="e">
        <v>#N/A</v>
      </c>
      <c r="P2085" s="4" t="e">
        <f t="shared" si="160"/>
        <v>#N/A</v>
      </c>
      <c r="Q2085" s="4" t="e">
        <f t="shared" si="161"/>
        <v>#N/A</v>
      </c>
      <c r="R2085" s="4" t="e">
        <f>IF(AND(B2085=1,N2085&gt;'Line Follower'!$C$7,SUM(C2085:K2085)&lt;4),1,0)</f>
        <v>#N/A</v>
      </c>
      <c r="S2085" s="4" t="e">
        <f>IF(AND(L2085=1,N2085&lt;'Line Follower'!$C$6,SUM(C2085:K2085)&lt;4),1,0)</f>
        <v>#N/A</v>
      </c>
      <c r="T2085" s="4" t="e">
        <f t="shared" si="162"/>
        <v>#N/A</v>
      </c>
      <c r="U2085" s="5" t="e">
        <f t="shared" si="163"/>
        <v>#N/A</v>
      </c>
      <c r="V2085" s="23" t="e">
        <f t="shared" si="164"/>
        <v>#N/A</v>
      </c>
    </row>
    <row r="2086" spans="2:22" x14ac:dyDescent="0.25">
      <c r="B2086" s="16">
        <v>1</v>
      </c>
      <c r="C2086" s="7">
        <v>1</v>
      </c>
      <c r="D2086" s="8">
        <v>0</v>
      </c>
      <c r="E2086" s="8">
        <v>0</v>
      </c>
      <c r="F2086" s="8">
        <v>0</v>
      </c>
      <c r="G2086" s="8">
        <v>1</v>
      </c>
      <c r="H2086" s="8">
        <v>0</v>
      </c>
      <c r="I2086" s="8">
        <v>0</v>
      </c>
      <c r="J2086" s="8">
        <v>0</v>
      </c>
      <c r="K2086" s="9">
        <v>0</v>
      </c>
      <c r="L2086" s="10">
        <v>0</v>
      </c>
      <c r="M2086" s="6">
        <v>1</v>
      </c>
      <c r="N2086" s="37" t="e" cm="1">
        <f t="array" ref="N2086">IF(OR(ISNUMBER(FIND(Aux!$D$3:$D$9,_xlfn.TEXTJOIN(,,C2086:K2086)))),NA(),IF(AND(SUM(C2086:F2086,H2086:K2086)=0,G2086=1),0,INT((SUMPRODUCT(C2086:F2086,COLUMN($A$1:$D$1)-1)+SUMPRODUCT(H2086:K2086,COLUMN($E$1:$H$1)-1))*'Line Follower'!$C$3/SUM(C2086:F2086,H2086:K2086)-'Line Follower'!$C$5)))</f>
        <v>#N/A</v>
      </c>
      <c r="O2086" s="22" t="e">
        <v>#N/A</v>
      </c>
      <c r="P2086" s="4" t="e">
        <f t="shared" si="160"/>
        <v>#N/A</v>
      </c>
      <c r="Q2086" s="4" t="e">
        <f t="shared" si="161"/>
        <v>#N/A</v>
      </c>
      <c r="R2086" s="4" t="e">
        <f>IF(AND(B2086=1,N2086&gt;'Line Follower'!$C$7,SUM(C2086:K2086)&lt;4),1,0)</f>
        <v>#N/A</v>
      </c>
      <c r="S2086" s="4" t="e">
        <f>IF(AND(L2086=1,N2086&lt;'Line Follower'!$C$6,SUM(C2086:K2086)&lt;4),1,0)</f>
        <v>#N/A</v>
      </c>
      <c r="T2086" s="4" t="e">
        <f t="shared" si="162"/>
        <v>#N/A</v>
      </c>
      <c r="U2086" s="5" t="e">
        <f t="shared" si="163"/>
        <v>#N/A</v>
      </c>
      <c r="V2086" s="23" t="e">
        <f t="shared" si="164"/>
        <v>#N/A</v>
      </c>
    </row>
    <row r="2087" spans="2:22" x14ac:dyDescent="0.25">
      <c r="B2087" s="16">
        <v>0</v>
      </c>
      <c r="C2087" s="7">
        <v>0</v>
      </c>
      <c r="D2087" s="8">
        <v>1</v>
      </c>
      <c r="E2087" s="8">
        <v>0</v>
      </c>
      <c r="F2087" s="8">
        <v>0</v>
      </c>
      <c r="G2087" s="8">
        <v>1</v>
      </c>
      <c r="H2087" s="8">
        <v>0</v>
      </c>
      <c r="I2087" s="8">
        <v>0</v>
      </c>
      <c r="J2087" s="8">
        <v>0</v>
      </c>
      <c r="K2087" s="9">
        <v>0</v>
      </c>
      <c r="L2087" s="10">
        <v>0</v>
      </c>
      <c r="M2087" s="6">
        <v>1</v>
      </c>
      <c r="N2087" s="37" t="e" cm="1">
        <f t="array" ref="N2087">IF(OR(ISNUMBER(FIND(Aux!$D$3:$D$9,_xlfn.TEXTJOIN(,,C2087:K2087)))),NA(),IF(AND(SUM(C2087:F2087,H2087:K2087)=0,G2087=1),0,INT((SUMPRODUCT(C2087:F2087,COLUMN($A$1:$D$1)-1)+SUMPRODUCT(H2087:K2087,COLUMN($E$1:$H$1)-1))*'Line Follower'!$C$3/SUM(C2087:F2087,H2087:K2087)-'Line Follower'!$C$5)))</f>
        <v>#N/A</v>
      </c>
      <c r="O2087" s="22" t="e">
        <v>#N/A</v>
      </c>
      <c r="P2087" s="4" t="e">
        <f t="shared" si="160"/>
        <v>#N/A</v>
      </c>
      <c r="Q2087" s="4" t="e">
        <f t="shared" si="161"/>
        <v>#N/A</v>
      </c>
      <c r="R2087" s="4" t="e">
        <f>IF(AND(B2087=1,N2087&gt;'Line Follower'!$C$7,SUM(C2087:K2087)&lt;4),1,0)</f>
        <v>#N/A</v>
      </c>
      <c r="S2087" s="4" t="e">
        <f>IF(AND(L2087=1,N2087&lt;'Line Follower'!$C$6,SUM(C2087:K2087)&lt;4),1,0)</f>
        <v>#N/A</v>
      </c>
      <c r="T2087" s="4" t="e">
        <f t="shared" si="162"/>
        <v>#N/A</v>
      </c>
      <c r="U2087" s="5" t="e">
        <f t="shared" si="163"/>
        <v>#N/A</v>
      </c>
      <c r="V2087" s="23" t="e">
        <f t="shared" si="164"/>
        <v>#N/A</v>
      </c>
    </row>
    <row r="2088" spans="2:22" x14ac:dyDescent="0.25">
      <c r="B2088" s="16">
        <v>1</v>
      </c>
      <c r="C2088" s="7">
        <v>0</v>
      </c>
      <c r="D2088" s="8">
        <v>1</v>
      </c>
      <c r="E2088" s="8">
        <v>0</v>
      </c>
      <c r="F2088" s="8">
        <v>0</v>
      </c>
      <c r="G2088" s="8">
        <v>1</v>
      </c>
      <c r="H2088" s="8">
        <v>0</v>
      </c>
      <c r="I2088" s="8">
        <v>0</v>
      </c>
      <c r="J2088" s="8">
        <v>0</v>
      </c>
      <c r="K2088" s="9">
        <v>0</v>
      </c>
      <c r="L2088" s="10">
        <v>0</v>
      </c>
      <c r="M2088" s="6">
        <v>1</v>
      </c>
      <c r="N2088" s="37" t="e" cm="1">
        <f t="array" ref="N2088">IF(OR(ISNUMBER(FIND(Aux!$D$3:$D$9,_xlfn.TEXTJOIN(,,C2088:K2088)))),NA(),IF(AND(SUM(C2088:F2088,H2088:K2088)=0,G2088=1),0,INT((SUMPRODUCT(C2088:F2088,COLUMN($A$1:$D$1)-1)+SUMPRODUCT(H2088:K2088,COLUMN($E$1:$H$1)-1))*'Line Follower'!$C$3/SUM(C2088:F2088,H2088:K2088)-'Line Follower'!$C$5)))</f>
        <v>#N/A</v>
      </c>
      <c r="O2088" s="22" t="e">
        <v>#N/A</v>
      </c>
      <c r="P2088" s="4" t="e">
        <f t="shared" si="160"/>
        <v>#N/A</v>
      </c>
      <c r="Q2088" s="4" t="e">
        <f t="shared" si="161"/>
        <v>#N/A</v>
      </c>
      <c r="R2088" s="4" t="e">
        <f>IF(AND(B2088=1,N2088&gt;'Line Follower'!$C$7,SUM(C2088:K2088)&lt;4),1,0)</f>
        <v>#N/A</v>
      </c>
      <c r="S2088" s="4" t="e">
        <f>IF(AND(L2088=1,N2088&lt;'Line Follower'!$C$6,SUM(C2088:K2088)&lt;4),1,0)</f>
        <v>#N/A</v>
      </c>
      <c r="T2088" s="4" t="e">
        <f t="shared" si="162"/>
        <v>#N/A</v>
      </c>
      <c r="U2088" s="5" t="e">
        <f t="shared" si="163"/>
        <v>#N/A</v>
      </c>
      <c r="V2088" s="23" t="e">
        <f t="shared" si="164"/>
        <v>#N/A</v>
      </c>
    </row>
    <row r="2089" spans="2:22" x14ac:dyDescent="0.25">
      <c r="B2089" s="16">
        <v>0</v>
      </c>
      <c r="C2089" s="7">
        <v>1</v>
      </c>
      <c r="D2089" s="8">
        <v>1</v>
      </c>
      <c r="E2089" s="8">
        <v>0</v>
      </c>
      <c r="F2089" s="8">
        <v>0</v>
      </c>
      <c r="G2089" s="8">
        <v>1</v>
      </c>
      <c r="H2089" s="8">
        <v>0</v>
      </c>
      <c r="I2089" s="8">
        <v>0</v>
      </c>
      <c r="J2089" s="8">
        <v>0</v>
      </c>
      <c r="K2089" s="9">
        <v>0</v>
      </c>
      <c r="L2089" s="10">
        <v>0</v>
      </c>
      <c r="M2089" s="6">
        <v>1</v>
      </c>
      <c r="N2089" s="37" t="e" cm="1">
        <f t="array" ref="N2089">IF(OR(ISNUMBER(FIND(Aux!$D$3:$D$9,_xlfn.TEXTJOIN(,,C2089:K2089)))),NA(),IF(AND(SUM(C2089:F2089,H2089:K2089)=0,G2089=1),0,INT((SUMPRODUCT(C2089:F2089,COLUMN($A$1:$D$1)-1)+SUMPRODUCT(H2089:K2089,COLUMN($E$1:$H$1)-1))*'Line Follower'!$C$3/SUM(C2089:F2089,H2089:K2089)-'Line Follower'!$C$5)))</f>
        <v>#N/A</v>
      </c>
      <c r="O2089" s="22" t="e">
        <v>#N/A</v>
      </c>
      <c r="P2089" s="4" t="e">
        <f t="shared" si="160"/>
        <v>#N/A</v>
      </c>
      <c r="Q2089" s="4" t="e">
        <f t="shared" si="161"/>
        <v>#N/A</v>
      </c>
      <c r="R2089" s="4" t="e">
        <f>IF(AND(B2089=1,N2089&gt;'Line Follower'!$C$7,SUM(C2089:K2089)&lt;4),1,0)</f>
        <v>#N/A</v>
      </c>
      <c r="S2089" s="4" t="e">
        <f>IF(AND(L2089=1,N2089&lt;'Line Follower'!$C$6,SUM(C2089:K2089)&lt;4),1,0)</f>
        <v>#N/A</v>
      </c>
      <c r="T2089" s="4" t="e">
        <f t="shared" si="162"/>
        <v>#N/A</v>
      </c>
      <c r="U2089" s="5" t="e">
        <f t="shared" si="163"/>
        <v>#N/A</v>
      </c>
      <c r="V2089" s="23" t="e">
        <f t="shared" si="164"/>
        <v>#N/A</v>
      </c>
    </row>
    <row r="2090" spans="2:22" x14ac:dyDescent="0.25">
      <c r="B2090" s="16">
        <v>1</v>
      </c>
      <c r="C2090" s="7">
        <v>1</v>
      </c>
      <c r="D2090" s="8">
        <v>1</v>
      </c>
      <c r="E2090" s="8">
        <v>0</v>
      </c>
      <c r="F2090" s="8">
        <v>0</v>
      </c>
      <c r="G2090" s="8">
        <v>1</v>
      </c>
      <c r="H2090" s="8">
        <v>0</v>
      </c>
      <c r="I2090" s="8">
        <v>0</v>
      </c>
      <c r="J2090" s="8">
        <v>0</v>
      </c>
      <c r="K2090" s="9">
        <v>0</v>
      </c>
      <c r="L2090" s="10">
        <v>0</v>
      </c>
      <c r="M2090" s="6">
        <v>1</v>
      </c>
      <c r="N2090" s="37" t="e" cm="1">
        <f t="array" ref="N2090">IF(OR(ISNUMBER(FIND(Aux!$D$3:$D$9,_xlfn.TEXTJOIN(,,C2090:K2090)))),NA(),IF(AND(SUM(C2090:F2090,H2090:K2090)=0,G2090=1),0,INT((SUMPRODUCT(C2090:F2090,COLUMN($A$1:$D$1)-1)+SUMPRODUCT(H2090:K2090,COLUMN($E$1:$H$1)-1))*'Line Follower'!$C$3/SUM(C2090:F2090,H2090:K2090)-'Line Follower'!$C$5)))</f>
        <v>#N/A</v>
      </c>
      <c r="O2090" s="22" t="e">
        <v>#N/A</v>
      </c>
      <c r="P2090" s="4" t="e">
        <f t="shared" si="160"/>
        <v>#N/A</v>
      </c>
      <c r="Q2090" s="4" t="e">
        <f t="shared" si="161"/>
        <v>#N/A</v>
      </c>
      <c r="R2090" s="4" t="e">
        <f>IF(AND(B2090=1,N2090&gt;'Line Follower'!$C$7,SUM(C2090:K2090)&lt;4),1,0)</f>
        <v>#N/A</v>
      </c>
      <c r="S2090" s="4" t="e">
        <f>IF(AND(L2090=1,N2090&lt;'Line Follower'!$C$6,SUM(C2090:K2090)&lt;4),1,0)</f>
        <v>#N/A</v>
      </c>
      <c r="T2090" s="4" t="e">
        <f t="shared" si="162"/>
        <v>#N/A</v>
      </c>
      <c r="U2090" s="5" t="e">
        <f t="shared" si="163"/>
        <v>#N/A</v>
      </c>
      <c r="V2090" s="23" t="e">
        <f t="shared" si="164"/>
        <v>#N/A</v>
      </c>
    </row>
    <row r="2091" spans="2:22" x14ac:dyDescent="0.25">
      <c r="B2091" s="16">
        <v>0</v>
      </c>
      <c r="C2091" s="7">
        <v>0</v>
      </c>
      <c r="D2091" s="8">
        <v>0</v>
      </c>
      <c r="E2091" s="8">
        <v>1</v>
      </c>
      <c r="F2091" s="8">
        <v>0</v>
      </c>
      <c r="G2091" s="8">
        <v>1</v>
      </c>
      <c r="H2091" s="8">
        <v>0</v>
      </c>
      <c r="I2091" s="8">
        <v>0</v>
      </c>
      <c r="J2091" s="8">
        <v>0</v>
      </c>
      <c r="K2091" s="9">
        <v>0</v>
      </c>
      <c r="L2091" s="10">
        <v>0</v>
      </c>
      <c r="M2091" s="6">
        <v>1</v>
      </c>
      <c r="N2091" s="37" t="e" cm="1">
        <f t="array" ref="N2091">IF(OR(ISNUMBER(FIND(Aux!$D$3:$D$9,_xlfn.TEXTJOIN(,,C2091:K2091)))),NA(),IF(AND(SUM(C2091:F2091,H2091:K2091)=0,G2091=1),0,INT((SUMPRODUCT(C2091:F2091,COLUMN($A$1:$D$1)-1)+SUMPRODUCT(H2091:K2091,COLUMN($E$1:$H$1)-1))*'Line Follower'!$C$3/SUM(C2091:F2091,H2091:K2091)-'Line Follower'!$C$5)))</f>
        <v>#N/A</v>
      </c>
      <c r="O2091" s="22" t="e">
        <v>#N/A</v>
      </c>
      <c r="P2091" s="4" t="e">
        <f t="shared" si="160"/>
        <v>#N/A</v>
      </c>
      <c r="Q2091" s="4" t="e">
        <f t="shared" si="161"/>
        <v>#N/A</v>
      </c>
      <c r="R2091" s="4" t="e">
        <f>IF(AND(B2091=1,N2091&gt;'Line Follower'!$C$7,SUM(C2091:K2091)&lt;4),1,0)</f>
        <v>#N/A</v>
      </c>
      <c r="S2091" s="4" t="e">
        <f>IF(AND(L2091=1,N2091&lt;'Line Follower'!$C$6,SUM(C2091:K2091)&lt;4),1,0)</f>
        <v>#N/A</v>
      </c>
      <c r="T2091" s="4" t="e">
        <f t="shared" si="162"/>
        <v>#N/A</v>
      </c>
      <c r="U2091" s="5" t="e">
        <f t="shared" si="163"/>
        <v>#N/A</v>
      </c>
      <c r="V2091" s="23" t="e">
        <f t="shared" si="164"/>
        <v>#N/A</v>
      </c>
    </row>
    <row r="2092" spans="2:22" x14ac:dyDescent="0.25">
      <c r="B2092" s="16">
        <v>1</v>
      </c>
      <c r="C2092" s="7">
        <v>0</v>
      </c>
      <c r="D2092" s="8">
        <v>0</v>
      </c>
      <c r="E2092" s="8">
        <v>1</v>
      </c>
      <c r="F2092" s="8">
        <v>0</v>
      </c>
      <c r="G2092" s="8">
        <v>1</v>
      </c>
      <c r="H2092" s="8">
        <v>0</v>
      </c>
      <c r="I2092" s="8">
        <v>0</v>
      </c>
      <c r="J2092" s="8">
        <v>0</v>
      </c>
      <c r="K2092" s="9">
        <v>0</v>
      </c>
      <c r="L2092" s="10">
        <v>0</v>
      </c>
      <c r="M2092" s="6">
        <v>1</v>
      </c>
      <c r="N2092" s="37" t="e" cm="1">
        <f t="array" ref="N2092">IF(OR(ISNUMBER(FIND(Aux!$D$3:$D$9,_xlfn.TEXTJOIN(,,C2092:K2092)))),NA(),IF(AND(SUM(C2092:F2092,H2092:K2092)=0,G2092=1),0,INT((SUMPRODUCT(C2092:F2092,COLUMN($A$1:$D$1)-1)+SUMPRODUCT(H2092:K2092,COLUMN($E$1:$H$1)-1))*'Line Follower'!$C$3/SUM(C2092:F2092,H2092:K2092)-'Line Follower'!$C$5)))</f>
        <v>#N/A</v>
      </c>
      <c r="O2092" s="22" t="e">
        <v>#N/A</v>
      </c>
      <c r="P2092" s="4" t="e">
        <f t="shared" si="160"/>
        <v>#N/A</v>
      </c>
      <c r="Q2092" s="4" t="e">
        <f t="shared" si="161"/>
        <v>#N/A</v>
      </c>
      <c r="R2092" s="4" t="e">
        <f>IF(AND(B2092=1,N2092&gt;'Line Follower'!$C$7,SUM(C2092:K2092)&lt;4),1,0)</f>
        <v>#N/A</v>
      </c>
      <c r="S2092" s="4" t="e">
        <f>IF(AND(L2092=1,N2092&lt;'Line Follower'!$C$6,SUM(C2092:K2092)&lt;4),1,0)</f>
        <v>#N/A</v>
      </c>
      <c r="T2092" s="4" t="e">
        <f t="shared" si="162"/>
        <v>#N/A</v>
      </c>
      <c r="U2092" s="5" t="e">
        <f t="shared" si="163"/>
        <v>#N/A</v>
      </c>
      <c r="V2092" s="23" t="e">
        <f t="shared" si="164"/>
        <v>#N/A</v>
      </c>
    </row>
    <row r="2093" spans="2:22" x14ac:dyDescent="0.25">
      <c r="B2093" s="16">
        <v>0</v>
      </c>
      <c r="C2093" s="7">
        <v>1</v>
      </c>
      <c r="D2093" s="8">
        <v>0</v>
      </c>
      <c r="E2093" s="8">
        <v>1</v>
      </c>
      <c r="F2093" s="8">
        <v>0</v>
      </c>
      <c r="G2093" s="8">
        <v>1</v>
      </c>
      <c r="H2093" s="8">
        <v>0</v>
      </c>
      <c r="I2093" s="8">
        <v>0</v>
      </c>
      <c r="J2093" s="8">
        <v>0</v>
      </c>
      <c r="K2093" s="9">
        <v>0</v>
      </c>
      <c r="L2093" s="10">
        <v>0</v>
      </c>
      <c r="M2093" s="6">
        <v>1</v>
      </c>
      <c r="N2093" s="37" t="e" cm="1">
        <f t="array" ref="N2093">IF(OR(ISNUMBER(FIND(Aux!$D$3:$D$9,_xlfn.TEXTJOIN(,,C2093:K2093)))),NA(),IF(AND(SUM(C2093:F2093,H2093:K2093)=0,G2093=1),0,INT((SUMPRODUCT(C2093:F2093,COLUMN($A$1:$D$1)-1)+SUMPRODUCT(H2093:K2093,COLUMN($E$1:$H$1)-1))*'Line Follower'!$C$3/SUM(C2093:F2093,H2093:K2093)-'Line Follower'!$C$5)))</f>
        <v>#N/A</v>
      </c>
      <c r="O2093" s="22" t="e">
        <v>#N/A</v>
      </c>
      <c r="P2093" s="4" t="e">
        <f t="shared" si="160"/>
        <v>#N/A</v>
      </c>
      <c r="Q2093" s="4" t="e">
        <f t="shared" si="161"/>
        <v>#N/A</v>
      </c>
      <c r="R2093" s="4" t="e">
        <f>IF(AND(B2093=1,N2093&gt;'Line Follower'!$C$7,SUM(C2093:K2093)&lt;4),1,0)</f>
        <v>#N/A</v>
      </c>
      <c r="S2093" s="4" t="e">
        <f>IF(AND(L2093=1,N2093&lt;'Line Follower'!$C$6,SUM(C2093:K2093)&lt;4),1,0)</f>
        <v>#N/A</v>
      </c>
      <c r="T2093" s="4" t="e">
        <f t="shared" si="162"/>
        <v>#N/A</v>
      </c>
      <c r="U2093" s="5" t="e">
        <f t="shared" si="163"/>
        <v>#N/A</v>
      </c>
      <c r="V2093" s="23" t="e">
        <f t="shared" si="164"/>
        <v>#N/A</v>
      </c>
    </row>
    <row r="2094" spans="2:22" x14ac:dyDescent="0.25">
      <c r="B2094" s="16">
        <v>1</v>
      </c>
      <c r="C2094" s="7">
        <v>1</v>
      </c>
      <c r="D2094" s="8">
        <v>0</v>
      </c>
      <c r="E2094" s="8">
        <v>1</v>
      </c>
      <c r="F2094" s="8">
        <v>0</v>
      </c>
      <c r="G2094" s="8">
        <v>1</v>
      </c>
      <c r="H2094" s="8">
        <v>0</v>
      </c>
      <c r="I2094" s="8">
        <v>0</v>
      </c>
      <c r="J2094" s="8">
        <v>0</v>
      </c>
      <c r="K2094" s="9">
        <v>0</v>
      </c>
      <c r="L2094" s="10">
        <v>0</v>
      </c>
      <c r="M2094" s="6">
        <v>1</v>
      </c>
      <c r="N2094" s="37" t="e" cm="1">
        <f t="array" ref="N2094">IF(OR(ISNUMBER(FIND(Aux!$D$3:$D$9,_xlfn.TEXTJOIN(,,C2094:K2094)))),NA(),IF(AND(SUM(C2094:F2094,H2094:K2094)=0,G2094=1),0,INT((SUMPRODUCT(C2094:F2094,COLUMN($A$1:$D$1)-1)+SUMPRODUCT(H2094:K2094,COLUMN($E$1:$H$1)-1))*'Line Follower'!$C$3/SUM(C2094:F2094,H2094:K2094)-'Line Follower'!$C$5)))</f>
        <v>#N/A</v>
      </c>
      <c r="O2094" s="22" t="e">
        <v>#N/A</v>
      </c>
      <c r="P2094" s="4" t="e">
        <f t="shared" si="160"/>
        <v>#N/A</v>
      </c>
      <c r="Q2094" s="4" t="e">
        <f t="shared" si="161"/>
        <v>#N/A</v>
      </c>
      <c r="R2094" s="4" t="e">
        <f>IF(AND(B2094=1,N2094&gt;'Line Follower'!$C$7,SUM(C2094:K2094)&lt;4),1,0)</f>
        <v>#N/A</v>
      </c>
      <c r="S2094" s="4" t="e">
        <f>IF(AND(L2094=1,N2094&lt;'Line Follower'!$C$6,SUM(C2094:K2094)&lt;4),1,0)</f>
        <v>#N/A</v>
      </c>
      <c r="T2094" s="4" t="e">
        <f t="shared" si="162"/>
        <v>#N/A</v>
      </c>
      <c r="U2094" s="5" t="e">
        <f t="shared" si="163"/>
        <v>#N/A</v>
      </c>
      <c r="V2094" s="23" t="e">
        <f t="shared" si="164"/>
        <v>#N/A</v>
      </c>
    </row>
    <row r="2095" spans="2:22" x14ac:dyDescent="0.25">
      <c r="B2095" s="16">
        <v>0</v>
      </c>
      <c r="C2095" s="7">
        <v>0</v>
      </c>
      <c r="D2095" s="8">
        <v>1</v>
      </c>
      <c r="E2095" s="8">
        <v>1</v>
      </c>
      <c r="F2095" s="8">
        <v>0</v>
      </c>
      <c r="G2095" s="8">
        <v>1</v>
      </c>
      <c r="H2095" s="8">
        <v>0</v>
      </c>
      <c r="I2095" s="8">
        <v>0</v>
      </c>
      <c r="J2095" s="8">
        <v>0</v>
      </c>
      <c r="K2095" s="9">
        <v>0</v>
      </c>
      <c r="L2095" s="10">
        <v>0</v>
      </c>
      <c r="M2095" s="6">
        <v>1</v>
      </c>
      <c r="N2095" s="37" t="e" cm="1">
        <f t="array" ref="N2095">IF(OR(ISNUMBER(FIND(Aux!$D$3:$D$9,_xlfn.TEXTJOIN(,,C2095:K2095)))),NA(),IF(AND(SUM(C2095:F2095,H2095:K2095)=0,G2095=1),0,INT((SUMPRODUCT(C2095:F2095,COLUMN($A$1:$D$1)-1)+SUMPRODUCT(H2095:K2095,COLUMN($E$1:$H$1)-1))*'Line Follower'!$C$3/SUM(C2095:F2095,H2095:K2095)-'Line Follower'!$C$5)))</f>
        <v>#N/A</v>
      </c>
      <c r="O2095" s="22" t="e">
        <v>#N/A</v>
      </c>
      <c r="P2095" s="4" t="e">
        <f t="shared" si="160"/>
        <v>#N/A</v>
      </c>
      <c r="Q2095" s="4" t="e">
        <f t="shared" si="161"/>
        <v>#N/A</v>
      </c>
      <c r="R2095" s="4" t="e">
        <f>IF(AND(B2095=1,N2095&gt;'Line Follower'!$C$7,SUM(C2095:K2095)&lt;4),1,0)</f>
        <v>#N/A</v>
      </c>
      <c r="S2095" s="4" t="e">
        <f>IF(AND(L2095=1,N2095&lt;'Line Follower'!$C$6,SUM(C2095:K2095)&lt;4),1,0)</f>
        <v>#N/A</v>
      </c>
      <c r="T2095" s="4" t="e">
        <f t="shared" si="162"/>
        <v>#N/A</v>
      </c>
      <c r="U2095" s="5" t="e">
        <f t="shared" si="163"/>
        <v>#N/A</v>
      </c>
      <c r="V2095" s="23" t="e">
        <f t="shared" si="164"/>
        <v>#N/A</v>
      </c>
    </row>
    <row r="2096" spans="2:22" x14ac:dyDescent="0.25">
      <c r="B2096" s="16">
        <v>1</v>
      </c>
      <c r="C2096" s="7">
        <v>0</v>
      </c>
      <c r="D2096" s="8">
        <v>1</v>
      </c>
      <c r="E2096" s="8">
        <v>1</v>
      </c>
      <c r="F2096" s="8">
        <v>0</v>
      </c>
      <c r="G2096" s="8">
        <v>1</v>
      </c>
      <c r="H2096" s="8">
        <v>0</v>
      </c>
      <c r="I2096" s="8">
        <v>0</v>
      </c>
      <c r="J2096" s="8">
        <v>0</v>
      </c>
      <c r="K2096" s="9">
        <v>0</v>
      </c>
      <c r="L2096" s="10">
        <v>0</v>
      </c>
      <c r="M2096" s="6">
        <v>1</v>
      </c>
      <c r="N2096" s="37" t="e" cm="1">
        <f t="array" ref="N2096">IF(OR(ISNUMBER(FIND(Aux!$D$3:$D$9,_xlfn.TEXTJOIN(,,C2096:K2096)))),NA(),IF(AND(SUM(C2096:F2096,H2096:K2096)=0,G2096=1),0,INT((SUMPRODUCT(C2096:F2096,COLUMN($A$1:$D$1)-1)+SUMPRODUCT(H2096:K2096,COLUMN($E$1:$H$1)-1))*'Line Follower'!$C$3/SUM(C2096:F2096,H2096:K2096)-'Line Follower'!$C$5)))</f>
        <v>#N/A</v>
      </c>
      <c r="O2096" s="22" t="e">
        <v>#N/A</v>
      </c>
      <c r="P2096" s="4" t="e">
        <f t="shared" si="160"/>
        <v>#N/A</v>
      </c>
      <c r="Q2096" s="4" t="e">
        <f t="shared" si="161"/>
        <v>#N/A</v>
      </c>
      <c r="R2096" s="4" t="e">
        <f>IF(AND(B2096=1,N2096&gt;'Line Follower'!$C$7,SUM(C2096:K2096)&lt;4),1,0)</f>
        <v>#N/A</v>
      </c>
      <c r="S2096" s="4" t="e">
        <f>IF(AND(L2096=1,N2096&lt;'Line Follower'!$C$6,SUM(C2096:K2096)&lt;4),1,0)</f>
        <v>#N/A</v>
      </c>
      <c r="T2096" s="4" t="e">
        <f t="shared" si="162"/>
        <v>#N/A</v>
      </c>
      <c r="U2096" s="5" t="e">
        <f t="shared" si="163"/>
        <v>#N/A</v>
      </c>
      <c r="V2096" s="23" t="e">
        <f t="shared" si="164"/>
        <v>#N/A</v>
      </c>
    </row>
    <row r="2097" spans="2:22" x14ac:dyDescent="0.25">
      <c r="B2097" s="16">
        <v>0</v>
      </c>
      <c r="C2097" s="7">
        <v>1</v>
      </c>
      <c r="D2097" s="8">
        <v>1</v>
      </c>
      <c r="E2097" s="8">
        <v>1</v>
      </c>
      <c r="F2097" s="8">
        <v>0</v>
      </c>
      <c r="G2097" s="8">
        <v>1</v>
      </c>
      <c r="H2097" s="8">
        <v>0</v>
      </c>
      <c r="I2097" s="8">
        <v>0</v>
      </c>
      <c r="J2097" s="8">
        <v>0</v>
      </c>
      <c r="K2097" s="9">
        <v>0</v>
      </c>
      <c r="L2097" s="10">
        <v>0</v>
      </c>
      <c r="M2097" s="6">
        <v>1</v>
      </c>
      <c r="N2097" s="37" t="e" cm="1">
        <f t="array" ref="N2097">IF(OR(ISNUMBER(FIND(Aux!$D$3:$D$9,_xlfn.TEXTJOIN(,,C2097:K2097)))),NA(),IF(AND(SUM(C2097:F2097,H2097:K2097)=0,G2097=1),0,INT((SUMPRODUCT(C2097:F2097,COLUMN($A$1:$D$1)-1)+SUMPRODUCT(H2097:K2097,COLUMN($E$1:$H$1)-1))*'Line Follower'!$C$3/SUM(C2097:F2097,H2097:K2097)-'Line Follower'!$C$5)))</f>
        <v>#N/A</v>
      </c>
      <c r="O2097" s="22" t="e">
        <v>#N/A</v>
      </c>
      <c r="P2097" s="4" t="e">
        <f t="shared" si="160"/>
        <v>#N/A</v>
      </c>
      <c r="Q2097" s="4" t="e">
        <f t="shared" si="161"/>
        <v>#N/A</v>
      </c>
      <c r="R2097" s="4" t="e">
        <f>IF(AND(B2097=1,N2097&gt;'Line Follower'!$C$7,SUM(C2097:K2097)&lt;4),1,0)</f>
        <v>#N/A</v>
      </c>
      <c r="S2097" s="4" t="e">
        <f>IF(AND(L2097=1,N2097&lt;'Line Follower'!$C$6,SUM(C2097:K2097)&lt;4),1,0)</f>
        <v>#N/A</v>
      </c>
      <c r="T2097" s="4" t="e">
        <f t="shared" si="162"/>
        <v>#N/A</v>
      </c>
      <c r="U2097" s="5" t="e">
        <f t="shared" si="163"/>
        <v>#N/A</v>
      </c>
      <c r="V2097" s="23" t="e">
        <f t="shared" si="164"/>
        <v>#N/A</v>
      </c>
    </row>
    <row r="2098" spans="2:22" x14ac:dyDescent="0.25">
      <c r="B2098" s="16">
        <v>1</v>
      </c>
      <c r="C2098" s="7">
        <v>1</v>
      </c>
      <c r="D2098" s="8">
        <v>1</v>
      </c>
      <c r="E2098" s="8">
        <v>1</v>
      </c>
      <c r="F2098" s="8">
        <v>0</v>
      </c>
      <c r="G2098" s="8">
        <v>1</v>
      </c>
      <c r="H2098" s="8">
        <v>0</v>
      </c>
      <c r="I2098" s="8">
        <v>0</v>
      </c>
      <c r="J2098" s="8">
        <v>0</v>
      </c>
      <c r="K2098" s="9">
        <v>0</v>
      </c>
      <c r="L2098" s="10">
        <v>0</v>
      </c>
      <c r="M2098" s="6">
        <v>1</v>
      </c>
      <c r="N2098" s="37" t="e" cm="1">
        <f t="array" ref="N2098">IF(OR(ISNUMBER(FIND(Aux!$D$3:$D$9,_xlfn.TEXTJOIN(,,C2098:K2098)))),NA(),IF(AND(SUM(C2098:F2098,H2098:K2098)=0,G2098=1),0,INT((SUMPRODUCT(C2098:F2098,COLUMN($A$1:$D$1)-1)+SUMPRODUCT(H2098:K2098,COLUMN($E$1:$H$1)-1))*'Line Follower'!$C$3/SUM(C2098:F2098,H2098:K2098)-'Line Follower'!$C$5)))</f>
        <v>#N/A</v>
      </c>
      <c r="O2098" s="22" t="e">
        <v>#N/A</v>
      </c>
      <c r="P2098" s="4" t="e">
        <f t="shared" si="160"/>
        <v>#N/A</v>
      </c>
      <c r="Q2098" s="4" t="e">
        <f t="shared" si="161"/>
        <v>#N/A</v>
      </c>
      <c r="R2098" s="4" t="e">
        <f>IF(AND(B2098=1,N2098&gt;'Line Follower'!$C$7,SUM(C2098:K2098)&lt;4),1,0)</f>
        <v>#N/A</v>
      </c>
      <c r="S2098" s="4" t="e">
        <f>IF(AND(L2098=1,N2098&lt;'Line Follower'!$C$6,SUM(C2098:K2098)&lt;4),1,0)</f>
        <v>#N/A</v>
      </c>
      <c r="T2098" s="4" t="e">
        <f t="shared" si="162"/>
        <v>#N/A</v>
      </c>
      <c r="U2098" s="5" t="e">
        <f t="shared" si="163"/>
        <v>#N/A</v>
      </c>
      <c r="V2098" s="23" t="e">
        <f t="shared" si="164"/>
        <v>#N/A</v>
      </c>
    </row>
    <row r="2099" spans="2:22" x14ac:dyDescent="0.25">
      <c r="B2099" s="16">
        <v>0</v>
      </c>
      <c r="C2099" s="7">
        <v>0</v>
      </c>
      <c r="D2099" s="8">
        <v>0</v>
      </c>
      <c r="E2099" s="8">
        <v>0</v>
      </c>
      <c r="F2099" s="8">
        <v>1</v>
      </c>
      <c r="G2099" s="8">
        <v>1</v>
      </c>
      <c r="H2099" s="8">
        <v>0</v>
      </c>
      <c r="I2099" s="8">
        <v>0</v>
      </c>
      <c r="J2099" s="8">
        <v>0</v>
      </c>
      <c r="K2099" s="9">
        <v>0</v>
      </c>
      <c r="L2099" s="10">
        <v>0</v>
      </c>
      <c r="M2099" s="6">
        <v>1</v>
      </c>
      <c r="N2099" s="37" cm="1">
        <f t="array" ref="N2099">IF(OR(ISNUMBER(FIND(Aux!$D$3:$D$9,_xlfn.TEXTJOIN(,,C2099:K2099)))),NA(),IF(AND(SUM(C2099:F2099,H2099:K2099)=0,G2099=1),0,INT((SUMPRODUCT(C2099:F2099,COLUMN($A$1:$D$1)-1)+SUMPRODUCT(H2099:K2099,COLUMN($E$1:$H$1)-1))*'Line Follower'!$C$3/SUM(C2099:F2099,H2099:K2099)-'Line Follower'!$C$5)))</f>
        <v>-1</v>
      </c>
      <c r="O2099" s="22">
        <v>1</v>
      </c>
      <c r="P2099" s="4">
        <f t="shared" si="160"/>
        <v>0</v>
      </c>
      <c r="Q2099" s="4">
        <f t="shared" si="161"/>
        <v>0</v>
      </c>
      <c r="R2099" s="4">
        <f>IF(AND(B2099=1,N2099&gt;'Line Follower'!$C$7,SUM(C2099:K2099)&lt;4),1,0)</f>
        <v>0</v>
      </c>
      <c r="S2099" s="4">
        <f>IF(AND(L2099=1,N2099&lt;'Line Follower'!$C$6,SUM(C2099:K2099)&lt;4),1,0)</f>
        <v>0</v>
      </c>
      <c r="T2099" s="4">
        <f t="shared" si="162"/>
        <v>0</v>
      </c>
      <c r="U2099" s="5">
        <f t="shared" si="163"/>
        <v>0</v>
      </c>
      <c r="V2099" s="23">
        <f t="shared" si="164"/>
        <v>0</v>
      </c>
    </row>
    <row r="2100" spans="2:22" x14ac:dyDescent="0.25">
      <c r="B2100" s="16">
        <v>1</v>
      </c>
      <c r="C2100" s="7">
        <v>0</v>
      </c>
      <c r="D2100" s="8">
        <v>0</v>
      </c>
      <c r="E2100" s="8">
        <v>0</v>
      </c>
      <c r="F2100" s="8">
        <v>1</v>
      </c>
      <c r="G2100" s="8">
        <v>1</v>
      </c>
      <c r="H2100" s="8">
        <v>0</v>
      </c>
      <c r="I2100" s="8">
        <v>0</v>
      </c>
      <c r="J2100" s="8">
        <v>0</v>
      </c>
      <c r="K2100" s="9">
        <v>0</v>
      </c>
      <c r="L2100" s="10">
        <v>0</v>
      </c>
      <c r="M2100" s="6">
        <v>1</v>
      </c>
      <c r="N2100" s="37" cm="1">
        <f t="array" ref="N2100">IF(OR(ISNUMBER(FIND(Aux!$D$3:$D$9,_xlfn.TEXTJOIN(,,C2100:K2100)))),NA(),IF(AND(SUM(C2100:F2100,H2100:K2100)=0,G2100=1),0,INT((SUMPRODUCT(C2100:F2100,COLUMN($A$1:$D$1)-1)+SUMPRODUCT(H2100:K2100,COLUMN($E$1:$H$1)-1))*'Line Follower'!$C$3/SUM(C2100:F2100,H2100:K2100)-'Line Follower'!$C$5)))</f>
        <v>-1</v>
      </c>
      <c r="O2100" s="22">
        <v>1</v>
      </c>
      <c r="P2100" s="4">
        <f t="shared" si="160"/>
        <v>0</v>
      </c>
      <c r="Q2100" s="4">
        <f t="shared" si="161"/>
        <v>0</v>
      </c>
      <c r="R2100" s="4">
        <f>IF(AND(B2100=1,N2100&gt;'Line Follower'!$C$7,SUM(C2100:K2100)&lt;4),1,0)</f>
        <v>1</v>
      </c>
      <c r="S2100" s="4">
        <f>IF(AND(L2100=1,N2100&lt;'Line Follower'!$C$6,SUM(C2100:K2100)&lt;4),1,0)</f>
        <v>0</v>
      </c>
      <c r="T2100" s="4">
        <f t="shared" si="162"/>
        <v>0</v>
      </c>
      <c r="U2100" s="5">
        <f t="shared" si="163"/>
        <v>0</v>
      </c>
      <c r="V2100" s="23">
        <f t="shared" si="164"/>
        <v>0</v>
      </c>
    </row>
    <row r="2101" spans="2:22" x14ac:dyDescent="0.25">
      <c r="B2101" s="16">
        <v>0</v>
      </c>
      <c r="C2101" s="7">
        <v>1</v>
      </c>
      <c r="D2101" s="8">
        <v>0</v>
      </c>
      <c r="E2101" s="8">
        <v>0</v>
      </c>
      <c r="F2101" s="8">
        <v>1</v>
      </c>
      <c r="G2101" s="8">
        <v>1</v>
      </c>
      <c r="H2101" s="8">
        <v>0</v>
      </c>
      <c r="I2101" s="8">
        <v>0</v>
      </c>
      <c r="J2101" s="8">
        <v>0</v>
      </c>
      <c r="K2101" s="9">
        <v>0</v>
      </c>
      <c r="L2101" s="10">
        <v>0</v>
      </c>
      <c r="M2101" s="6">
        <v>1</v>
      </c>
      <c r="N2101" s="37" t="e" cm="1">
        <f t="array" ref="N2101">IF(OR(ISNUMBER(FIND(Aux!$D$3:$D$9,_xlfn.TEXTJOIN(,,C2101:K2101)))),NA(),IF(AND(SUM(C2101:F2101,H2101:K2101)=0,G2101=1),0,INT((SUMPRODUCT(C2101:F2101,COLUMN($A$1:$D$1)-1)+SUMPRODUCT(H2101:K2101,COLUMN($E$1:$H$1)-1))*'Line Follower'!$C$3/SUM(C2101:F2101,H2101:K2101)-'Line Follower'!$C$5)))</f>
        <v>#N/A</v>
      </c>
      <c r="O2101" s="22" t="e">
        <v>#N/A</v>
      </c>
      <c r="P2101" s="4" t="e">
        <f t="shared" si="160"/>
        <v>#N/A</v>
      </c>
      <c r="Q2101" s="4" t="e">
        <f t="shared" si="161"/>
        <v>#N/A</v>
      </c>
      <c r="R2101" s="4" t="e">
        <f>IF(AND(B2101=1,N2101&gt;'Line Follower'!$C$7,SUM(C2101:K2101)&lt;4),1,0)</f>
        <v>#N/A</v>
      </c>
      <c r="S2101" s="4" t="e">
        <f>IF(AND(L2101=1,N2101&lt;'Line Follower'!$C$6,SUM(C2101:K2101)&lt;4),1,0)</f>
        <v>#N/A</v>
      </c>
      <c r="T2101" s="4" t="e">
        <f t="shared" si="162"/>
        <v>#N/A</v>
      </c>
      <c r="U2101" s="5" t="e">
        <f t="shared" si="163"/>
        <v>#N/A</v>
      </c>
      <c r="V2101" s="23" t="e">
        <f t="shared" si="164"/>
        <v>#N/A</v>
      </c>
    </row>
    <row r="2102" spans="2:22" x14ac:dyDescent="0.25">
      <c r="B2102" s="16">
        <v>1</v>
      </c>
      <c r="C2102" s="7">
        <v>1</v>
      </c>
      <c r="D2102" s="8">
        <v>0</v>
      </c>
      <c r="E2102" s="8">
        <v>0</v>
      </c>
      <c r="F2102" s="8">
        <v>1</v>
      </c>
      <c r="G2102" s="8">
        <v>1</v>
      </c>
      <c r="H2102" s="8">
        <v>0</v>
      </c>
      <c r="I2102" s="8">
        <v>0</v>
      </c>
      <c r="J2102" s="8">
        <v>0</v>
      </c>
      <c r="K2102" s="9">
        <v>0</v>
      </c>
      <c r="L2102" s="10">
        <v>0</v>
      </c>
      <c r="M2102" s="6">
        <v>1</v>
      </c>
      <c r="N2102" s="37" t="e" cm="1">
        <f t="array" ref="N2102">IF(OR(ISNUMBER(FIND(Aux!$D$3:$D$9,_xlfn.TEXTJOIN(,,C2102:K2102)))),NA(),IF(AND(SUM(C2102:F2102,H2102:K2102)=0,G2102=1),0,INT((SUMPRODUCT(C2102:F2102,COLUMN($A$1:$D$1)-1)+SUMPRODUCT(H2102:K2102,COLUMN($E$1:$H$1)-1))*'Line Follower'!$C$3/SUM(C2102:F2102,H2102:K2102)-'Line Follower'!$C$5)))</f>
        <v>#N/A</v>
      </c>
      <c r="O2102" s="22" t="e">
        <v>#N/A</v>
      </c>
      <c r="P2102" s="4" t="e">
        <f t="shared" si="160"/>
        <v>#N/A</v>
      </c>
      <c r="Q2102" s="4" t="e">
        <f t="shared" si="161"/>
        <v>#N/A</v>
      </c>
      <c r="R2102" s="4" t="e">
        <f>IF(AND(B2102=1,N2102&gt;'Line Follower'!$C$7,SUM(C2102:K2102)&lt;4),1,0)</f>
        <v>#N/A</v>
      </c>
      <c r="S2102" s="4" t="e">
        <f>IF(AND(L2102=1,N2102&lt;'Line Follower'!$C$6,SUM(C2102:K2102)&lt;4),1,0)</f>
        <v>#N/A</v>
      </c>
      <c r="T2102" s="4" t="e">
        <f t="shared" si="162"/>
        <v>#N/A</v>
      </c>
      <c r="U2102" s="5" t="e">
        <f t="shared" si="163"/>
        <v>#N/A</v>
      </c>
      <c r="V2102" s="23" t="e">
        <f t="shared" si="164"/>
        <v>#N/A</v>
      </c>
    </row>
    <row r="2103" spans="2:22" x14ac:dyDescent="0.25">
      <c r="B2103" s="16">
        <v>0</v>
      </c>
      <c r="C2103" s="7">
        <v>0</v>
      </c>
      <c r="D2103" s="8">
        <v>1</v>
      </c>
      <c r="E2103" s="8">
        <v>0</v>
      </c>
      <c r="F2103" s="8">
        <v>1</v>
      </c>
      <c r="G2103" s="8">
        <v>1</v>
      </c>
      <c r="H2103" s="8">
        <v>0</v>
      </c>
      <c r="I2103" s="8">
        <v>0</v>
      </c>
      <c r="J2103" s="8">
        <v>0</v>
      </c>
      <c r="K2103" s="9">
        <v>0</v>
      </c>
      <c r="L2103" s="10">
        <v>0</v>
      </c>
      <c r="M2103" s="6">
        <v>1</v>
      </c>
      <c r="N2103" s="37" t="e" cm="1">
        <f t="array" ref="N2103">IF(OR(ISNUMBER(FIND(Aux!$D$3:$D$9,_xlfn.TEXTJOIN(,,C2103:K2103)))),NA(),IF(AND(SUM(C2103:F2103,H2103:K2103)=0,G2103=1),0,INT((SUMPRODUCT(C2103:F2103,COLUMN($A$1:$D$1)-1)+SUMPRODUCT(H2103:K2103,COLUMN($E$1:$H$1)-1))*'Line Follower'!$C$3/SUM(C2103:F2103,H2103:K2103)-'Line Follower'!$C$5)))</f>
        <v>#N/A</v>
      </c>
      <c r="O2103" s="22" t="e">
        <v>#N/A</v>
      </c>
      <c r="P2103" s="4" t="e">
        <f t="shared" si="160"/>
        <v>#N/A</v>
      </c>
      <c r="Q2103" s="4" t="e">
        <f t="shared" si="161"/>
        <v>#N/A</v>
      </c>
      <c r="R2103" s="4" t="e">
        <f>IF(AND(B2103=1,N2103&gt;'Line Follower'!$C$7,SUM(C2103:K2103)&lt;4),1,0)</f>
        <v>#N/A</v>
      </c>
      <c r="S2103" s="4" t="e">
        <f>IF(AND(L2103=1,N2103&lt;'Line Follower'!$C$6,SUM(C2103:K2103)&lt;4),1,0)</f>
        <v>#N/A</v>
      </c>
      <c r="T2103" s="4" t="e">
        <f t="shared" si="162"/>
        <v>#N/A</v>
      </c>
      <c r="U2103" s="5" t="e">
        <f t="shared" si="163"/>
        <v>#N/A</v>
      </c>
      <c r="V2103" s="23" t="e">
        <f t="shared" si="164"/>
        <v>#N/A</v>
      </c>
    </row>
    <row r="2104" spans="2:22" x14ac:dyDescent="0.25">
      <c r="B2104" s="16">
        <v>1</v>
      </c>
      <c r="C2104" s="7">
        <v>0</v>
      </c>
      <c r="D2104" s="8">
        <v>1</v>
      </c>
      <c r="E2104" s="8">
        <v>0</v>
      </c>
      <c r="F2104" s="8">
        <v>1</v>
      </c>
      <c r="G2104" s="8">
        <v>1</v>
      </c>
      <c r="H2104" s="8">
        <v>0</v>
      </c>
      <c r="I2104" s="8">
        <v>0</v>
      </c>
      <c r="J2104" s="8">
        <v>0</v>
      </c>
      <c r="K2104" s="9">
        <v>0</v>
      </c>
      <c r="L2104" s="10">
        <v>0</v>
      </c>
      <c r="M2104" s="6">
        <v>1</v>
      </c>
      <c r="N2104" s="37" t="e" cm="1">
        <f t="array" ref="N2104">IF(OR(ISNUMBER(FIND(Aux!$D$3:$D$9,_xlfn.TEXTJOIN(,,C2104:K2104)))),NA(),IF(AND(SUM(C2104:F2104,H2104:K2104)=0,G2104=1),0,INT((SUMPRODUCT(C2104:F2104,COLUMN($A$1:$D$1)-1)+SUMPRODUCT(H2104:K2104,COLUMN($E$1:$H$1)-1))*'Line Follower'!$C$3/SUM(C2104:F2104,H2104:K2104)-'Line Follower'!$C$5)))</f>
        <v>#N/A</v>
      </c>
      <c r="O2104" s="22" t="e">
        <v>#N/A</v>
      </c>
      <c r="P2104" s="4" t="e">
        <f t="shared" si="160"/>
        <v>#N/A</v>
      </c>
      <c r="Q2104" s="4" t="e">
        <f t="shared" si="161"/>
        <v>#N/A</v>
      </c>
      <c r="R2104" s="4" t="e">
        <f>IF(AND(B2104=1,N2104&gt;'Line Follower'!$C$7,SUM(C2104:K2104)&lt;4),1,0)</f>
        <v>#N/A</v>
      </c>
      <c r="S2104" s="4" t="e">
        <f>IF(AND(L2104=1,N2104&lt;'Line Follower'!$C$6,SUM(C2104:K2104)&lt;4),1,0)</f>
        <v>#N/A</v>
      </c>
      <c r="T2104" s="4" t="e">
        <f t="shared" si="162"/>
        <v>#N/A</v>
      </c>
      <c r="U2104" s="5" t="e">
        <f t="shared" si="163"/>
        <v>#N/A</v>
      </c>
      <c r="V2104" s="23" t="e">
        <f t="shared" si="164"/>
        <v>#N/A</v>
      </c>
    </row>
    <row r="2105" spans="2:22" x14ac:dyDescent="0.25">
      <c r="B2105" s="16">
        <v>0</v>
      </c>
      <c r="C2105" s="7">
        <v>1</v>
      </c>
      <c r="D2105" s="8">
        <v>1</v>
      </c>
      <c r="E2105" s="8">
        <v>0</v>
      </c>
      <c r="F2105" s="8">
        <v>1</v>
      </c>
      <c r="G2105" s="8">
        <v>1</v>
      </c>
      <c r="H2105" s="8">
        <v>0</v>
      </c>
      <c r="I2105" s="8">
        <v>0</v>
      </c>
      <c r="J2105" s="8">
        <v>0</v>
      </c>
      <c r="K2105" s="9">
        <v>0</v>
      </c>
      <c r="L2105" s="10">
        <v>0</v>
      </c>
      <c r="M2105" s="6">
        <v>1</v>
      </c>
      <c r="N2105" s="37" t="e" cm="1">
        <f t="array" ref="N2105">IF(OR(ISNUMBER(FIND(Aux!$D$3:$D$9,_xlfn.TEXTJOIN(,,C2105:K2105)))),NA(),IF(AND(SUM(C2105:F2105,H2105:K2105)=0,G2105=1),0,INT((SUMPRODUCT(C2105:F2105,COLUMN($A$1:$D$1)-1)+SUMPRODUCT(H2105:K2105,COLUMN($E$1:$H$1)-1))*'Line Follower'!$C$3/SUM(C2105:F2105,H2105:K2105)-'Line Follower'!$C$5)))</f>
        <v>#N/A</v>
      </c>
      <c r="O2105" s="22" t="e">
        <v>#N/A</v>
      </c>
      <c r="P2105" s="4" t="e">
        <f t="shared" si="160"/>
        <v>#N/A</v>
      </c>
      <c r="Q2105" s="4" t="e">
        <f t="shared" si="161"/>
        <v>#N/A</v>
      </c>
      <c r="R2105" s="4" t="e">
        <f>IF(AND(B2105=1,N2105&gt;'Line Follower'!$C$7,SUM(C2105:K2105)&lt;4),1,0)</f>
        <v>#N/A</v>
      </c>
      <c r="S2105" s="4" t="e">
        <f>IF(AND(L2105=1,N2105&lt;'Line Follower'!$C$6,SUM(C2105:K2105)&lt;4),1,0)</f>
        <v>#N/A</v>
      </c>
      <c r="T2105" s="4" t="e">
        <f t="shared" si="162"/>
        <v>#N/A</v>
      </c>
      <c r="U2105" s="5" t="e">
        <f t="shared" si="163"/>
        <v>#N/A</v>
      </c>
      <c r="V2105" s="23" t="e">
        <f t="shared" si="164"/>
        <v>#N/A</v>
      </c>
    </row>
    <row r="2106" spans="2:22" x14ac:dyDescent="0.25">
      <c r="B2106" s="16">
        <v>1</v>
      </c>
      <c r="C2106" s="7">
        <v>1</v>
      </c>
      <c r="D2106" s="8">
        <v>1</v>
      </c>
      <c r="E2106" s="8">
        <v>0</v>
      </c>
      <c r="F2106" s="8">
        <v>1</v>
      </c>
      <c r="G2106" s="8">
        <v>1</v>
      </c>
      <c r="H2106" s="8">
        <v>0</v>
      </c>
      <c r="I2106" s="8">
        <v>0</v>
      </c>
      <c r="J2106" s="8">
        <v>0</v>
      </c>
      <c r="K2106" s="9">
        <v>0</v>
      </c>
      <c r="L2106" s="10">
        <v>0</v>
      </c>
      <c r="M2106" s="6">
        <v>1</v>
      </c>
      <c r="N2106" s="37" t="e" cm="1">
        <f t="array" ref="N2106">IF(OR(ISNUMBER(FIND(Aux!$D$3:$D$9,_xlfn.TEXTJOIN(,,C2106:K2106)))),NA(),IF(AND(SUM(C2106:F2106,H2106:K2106)=0,G2106=1),0,INT((SUMPRODUCT(C2106:F2106,COLUMN($A$1:$D$1)-1)+SUMPRODUCT(H2106:K2106,COLUMN($E$1:$H$1)-1))*'Line Follower'!$C$3/SUM(C2106:F2106,H2106:K2106)-'Line Follower'!$C$5)))</f>
        <v>#N/A</v>
      </c>
      <c r="O2106" s="22" t="e">
        <v>#N/A</v>
      </c>
      <c r="P2106" s="4" t="e">
        <f t="shared" si="160"/>
        <v>#N/A</v>
      </c>
      <c r="Q2106" s="4" t="e">
        <f t="shared" si="161"/>
        <v>#N/A</v>
      </c>
      <c r="R2106" s="4" t="e">
        <f>IF(AND(B2106=1,N2106&gt;'Line Follower'!$C$7,SUM(C2106:K2106)&lt;4),1,0)</f>
        <v>#N/A</v>
      </c>
      <c r="S2106" s="4" t="e">
        <f>IF(AND(L2106=1,N2106&lt;'Line Follower'!$C$6,SUM(C2106:K2106)&lt;4),1,0)</f>
        <v>#N/A</v>
      </c>
      <c r="T2106" s="4" t="e">
        <f t="shared" si="162"/>
        <v>#N/A</v>
      </c>
      <c r="U2106" s="5" t="e">
        <f t="shared" si="163"/>
        <v>#N/A</v>
      </c>
      <c r="V2106" s="23" t="e">
        <f t="shared" si="164"/>
        <v>#N/A</v>
      </c>
    </row>
    <row r="2107" spans="2:22" x14ac:dyDescent="0.25">
      <c r="B2107" s="16">
        <v>0</v>
      </c>
      <c r="C2107" s="7">
        <v>0</v>
      </c>
      <c r="D2107" s="8">
        <v>0</v>
      </c>
      <c r="E2107" s="8">
        <v>1</v>
      </c>
      <c r="F2107" s="8">
        <v>1</v>
      </c>
      <c r="G2107" s="8">
        <v>1</v>
      </c>
      <c r="H2107" s="8">
        <v>0</v>
      </c>
      <c r="I2107" s="8">
        <v>0</v>
      </c>
      <c r="J2107" s="8">
        <v>0</v>
      </c>
      <c r="K2107" s="9">
        <v>0</v>
      </c>
      <c r="L2107" s="10">
        <v>0</v>
      </c>
      <c r="M2107" s="6">
        <v>1</v>
      </c>
      <c r="N2107" s="37" cm="1">
        <f t="array" ref="N2107">IF(OR(ISNUMBER(FIND(Aux!$D$3:$D$9,_xlfn.TEXTJOIN(,,C2107:K2107)))),NA(),IF(AND(SUM(C2107:F2107,H2107:K2107)=0,G2107=1),0,INT((SUMPRODUCT(C2107:F2107,COLUMN($A$1:$D$1)-1)+SUMPRODUCT(H2107:K2107,COLUMN($E$1:$H$1)-1))*'Line Follower'!$C$3/SUM(C2107:F2107,H2107:K2107)-'Line Follower'!$C$5)))</f>
        <v>-2</v>
      </c>
      <c r="O2107" s="22">
        <v>1</v>
      </c>
      <c r="P2107" s="4">
        <f t="shared" si="160"/>
        <v>0</v>
      </c>
      <c r="Q2107" s="4">
        <f t="shared" si="161"/>
        <v>0</v>
      </c>
      <c r="R2107" s="4">
        <f>IF(AND(B2107=1,N2107&gt;'Line Follower'!$C$7,SUM(C2107:K2107)&lt;4),1,0)</f>
        <v>0</v>
      </c>
      <c r="S2107" s="4">
        <f>IF(AND(L2107=1,N2107&lt;'Line Follower'!$C$6,SUM(C2107:K2107)&lt;4),1,0)</f>
        <v>0</v>
      </c>
      <c r="T2107" s="4">
        <f t="shared" si="162"/>
        <v>0</v>
      </c>
      <c r="U2107" s="5">
        <f t="shared" si="163"/>
        <v>0</v>
      </c>
      <c r="V2107" s="23">
        <f t="shared" si="164"/>
        <v>0</v>
      </c>
    </row>
    <row r="2108" spans="2:22" x14ac:dyDescent="0.25">
      <c r="B2108" s="16">
        <v>1</v>
      </c>
      <c r="C2108" s="7">
        <v>0</v>
      </c>
      <c r="D2108" s="8">
        <v>0</v>
      </c>
      <c r="E2108" s="8">
        <v>1</v>
      </c>
      <c r="F2108" s="8">
        <v>1</v>
      </c>
      <c r="G2108" s="8">
        <v>1</v>
      </c>
      <c r="H2108" s="8">
        <v>0</v>
      </c>
      <c r="I2108" s="8">
        <v>0</v>
      </c>
      <c r="J2108" s="8">
        <v>0</v>
      </c>
      <c r="K2108" s="9">
        <v>0</v>
      </c>
      <c r="L2108" s="10">
        <v>0</v>
      </c>
      <c r="M2108" s="6">
        <v>1</v>
      </c>
      <c r="N2108" s="37" cm="1">
        <f t="array" ref="N2108">IF(OR(ISNUMBER(FIND(Aux!$D$3:$D$9,_xlfn.TEXTJOIN(,,C2108:K2108)))),NA(),IF(AND(SUM(C2108:F2108,H2108:K2108)=0,G2108=1),0,INT((SUMPRODUCT(C2108:F2108,COLUMN($A$1:$D$1)-1)+SUMPRODUCT(H2108:K2108,COLUMN($E$1:$H$1)-1))*'Line Follower'!$C$3/SUM(C2108:F2108,H2108:K2108)-'Line Follower'!$C$5)))</f>
        <v>-2</v>
      </c>
      <c r="O2108" s="22">
        <v>1</v>
      </c>
      <c r="P2108" s="4">
        <f t="shared" si="160"/>
        <v>0</v>
      </c>
      <c r="Q2108" s="4">
        <f t="shared" si="161"/>
        <v>0</v>
      </c>
      <c r="R2108" s="4">
        <f>IF(AND(B2108=1,N2108&gt;'Line Follower'!$C$7,SUM(C2108:K2108)&lt;4),1,0)</f>
        <v>1</v>
      </c>
      <c r="S2108" s="4">
        <f>IF(AND(L2108=1,N2108&lt;'Line Follower'!$C$6,SUM(C2108:K2108)&lt;4),1,0)</f>
        <v>0</v>
      </c>
      <c r="T2108" s="4">
        <f t="shared" si="162"/>
        <v>0</v>
      </c>
      <c r="U2108" s="5">
        <f t="shared" si="163"/>
        <v>0</v>
      </c>
      <c r="V2108" s="23">
        <f t="shared" si="164"/>
        <v>0</v>
      </c>
    </row>
    <row r="2109" spans="2:22" x14ac:dyDescent="0.25">
      <c r="B2109" s="16">
        <v>0</v>
      </c>
      <c r="C2109" s="7">
        <v>1</v>
      </c>
      <c r="D2109" s="8">
        <v>0</v>
      </c>
      <c r="E2109" s="8">
        <v>1</v>
      </c>
      <c r="F2109" s="8">
        <v>1</v>
      </c>
      <c r="G2109" s="8">
        <v>1</v>
      </c>
      <c r="H2109" s="8">
        <v>0</v>
      </c>
      <c r="I2109" s="8">
        <v>0</v>
      </c>
      <c r="J2109" s="8">
        <v>0</v>
      </c>
      <c r="K2109" s="9">
        <v>0</v>
      </c>
      <c r="L2109" s="10">
        <v>0</v>
      </c>
      <c r="M2109" s="6">
        <v>1</v>
      </c>
      <c r="N2109" s="37" t="e" cm="1">
        <f t="array" ref="N2109">IF(OR(ISNUMBER(FIND(Aux!$D$3:$D$9,_xlfn.TEXTJOIN(,,C2109:K2109)))),NA(),IF(AND(SUM(C2109:F2109,H2109:K2109)=0,G2109=1),0,INT((SUMPRODUCT(C2109:F2109,COLUMN($A$1:$D$1)-1)+SUMPRODUCT(H2109:K2109,COLUMN($E$1:$H$1)-1))*'Line Follower'!$C$3/SUM(C2109:F2109,H2109:K2109)-'Line Follower'!$C$5)))</f>
        <v>#N/A</v>
      </c>
      <c r="O2109" s="22" t="e">
        <v>#N/A</v>
      </c>
      <c r="P2109" s="4" t="e">
        <f t="shared" si="160"/>
        <v>#N/A</v>
      </c>
      <c r="Q2109" s="4" t="e">
        <f t="shared" si="161"/>
        <v>#N/A</v>
      </c>
      <c r="R2109" s="4" t="e">
        <f>IF(AND(B2109=1,N2109&gt;'Line Follower'!$C$7,SUM(C2109:K2109)&lt;4),1,0)</f>
        <v>#N/A</v>
      </c>
      <c r="S2109" s="4" t="e">
        <f>IF(AND(L2109=1,N2109&lt;'Line Follower'!$C$6,SUM(C2109:K2109)&lt;4),1,0)</f>
        <v>#N/A</v>
      </c>
      <c r="T2109" s="4" t="e">
        <f t="shared" si="162"/>
        <v>#N/A</v>
      </c>
      <c r="U2109" s="5" t="e">
        <f t="shared" si="163"/>
        <v>#N/A</v>
      </c>
      <c r="V2109" s="23" t="e">
        <f t="shared" si="164"/>
        <v>#N/A</v>
      </c>
    </row>
    <row r="2110" spans="2:22" x14ac:dyDescent="0.25">
      <c r="B2110" s="16">
        <v>1</v>
      </c>
      <c r="C2110" s="7">
        <v>1</v>
      </c>
      <c r="D2110" s="8">
        <v>0</v>
      </c>
      <c r="E2110" s="8">
        <v>1</v>
      </c>
      <c r="F2110" s="8">
        <v>1</v>
      </c>
      <c r="G2110" s="8">
        <v>1</v>
      </c>
      <c r="H2110" s="8">
        <v>0</v>
      </c>
      <c r="I2110" s="8">
        <v>0</v>
      </c>
      <c r="J2110" s="8">
        <v>0</v>
      </c>
      <c r="K2110" s="9">
        <v>0</v>
      </c>
      <c r="L2110" s="10">
        <v>0</v>
      </c>
      <c r="M2110" s="6">
        <v>1</v>
      </c>
      <c r="N2110" s="37" t="e" cm="1">
        <f t="array" ref="N2110">IF(OR(ISNUMBER(FIND(Aux!$D$3:$D$9,_xlfn.TEXTJOIN(,,C2110:K2110)))),NA(),IF(AND(SUM(C2110:F2110,H2110:K2110)=0,G2110=1),0,INT((SUMPRODUCT(C2110:F2110,COLUMN($A$1:$D$1)-1)+SUMPRODUCT(H2110:K2110,COLUMN($E$1:$H$1)-1))*'Line Follower'!$C$3/SUM(C2110:F2110,H2110:K2110)-'Line Follower'!$C$5)))</f>
        <v>#N/A</v>
      </c>
      <c r="O2110" s="22" t="e">
        <v>#N/A</v>
      </c>
      <c r="P2110" s="4" t="e">
        <f t="shared" si="160"/>
        <v>#N/A</v>
      </c>
      <c r="Q2110" s="4" t="e">
        <f t="shared" si="161"/>
        <v>#N/A</v>
      </c>
      <c r="R2110" s="4" t="e">
        <f>IF(AND(B2110=1,N2110&gt;'Line Follower'!$C$7,SUM(C2110:K2110)&lt;4),1,0)</f>
        <v>#N/A</v>
      </c>
      <c r="S2110" s="4" t="e">
        <f>IF(AND(L2110=1,N2110&lt;'Line Follower'!$C$6,SUM(C2110:K2110)&lt;4),1,0)</f>
        <v>#N/A</v>
      </c>
      <c r="T2110" s="4" t="e">
        <f t="shared" si="162"/>
        <v>#N/A</v>
      </c>
      <c r="U2110" s="5" t="e">
        <f t="shared" si="163"/>
        <v>#N/A</v>
      </c>
      <c r="V2110" s="23" t="e">
        <f t="shared" si="164"/>
        <v>#N/A</v>
      </c>
    </row>
    <row r="2111" spans="2:22" x14ac:dyDescent="0.25">
      <c r="B2111" s="16">
        <v>0</v>
      </c>
      <c r="C2111" s="7">
        <v>0</v>
      </c>
      <c r="D2111" s="8">
        <v>1</v>
      </c>
      <c r="E2111" s="8">
        <v>1</v>
      </c>
      <c r="F2111" s="8">
        <v>1</v>
      </c>
      <c r="G2111" s="8">
        <v>1</v>
      </c>
      <c r="H2111" s="8">
        <v>0</v>
      </c>
      <c r="I2111" s="8">
        <v>0</v>
      </c>
      <c r="J2111" s="8">
        <v>0</v>
      </c>
      <c r="K2111" s="9">
        <v>0</v>
      </c>
      <c r="L2111" s="10">
        <v>0</v>
      </c>
      <c r="M2111" s="6">
        <v>1</v>
      </c>
      <c r="N2111" s="37" cm="1">
        <f t="array" ref="N2111">IF(OR(ISNUMBER(FIND(Aux!$D$3:$D$9,_xlfn.TEXTJOIN(,,C2111:K2111)))),NA(),IF(AND(SUM(C2111:F2111,H2111:K2111)=0,G2111=1),0,INT((SUMPRODUCT(C2111:F2111,COLUMN($A$1:$D$1)-1)+SUMPRODUCT(H2111:K2111,COLUMN($E$1:$H$1)-1))*'Line Follower'!$C$3/SUM(C2111:F2111,H2111:K2111)-'Line Follower'!$C$5)))</f>
        <v>-3</v>
      </c>
      <c r="O2111" s="22">
        <v>1</v>
      </c>
      <c r="P2111" s="4">
        <f t="shared" si="160"/>
        <v>0</v>
      </c>
      <c r="Q2111" s="4">
        <f t="shared" si="161"/>
        <v>1</v>
      </c>
      <c r="R2111" s="4">
        <f>IF(AND(B2111=1,N2111&gt;'Line Follower'!$C$7,SUM(C2111:K2111)&lt;4),1,0)</f>
        <v>0</v>
      </c>
      <c r="S2111" s="4">
        <f>IF(AND(L2111=1,N2111&lt;'Line Follower'!$C$6,SUM(C2111:K2111)&lt;4),1,0)</f>
        <v>0</v>
      </c>
      <c r="T2111" s="4">
        <f t="shared" si="162"/>
        <v>0</v>
      </c>
      <c r="U2111" s="5">
        <f t="shared" si="163"/>
        <v>0</v>
      </c>
      <c r="V2111" s="23">
        <f t="shared" si="164"/>
        <v>0</v>
      </c>
    </row>
    <row r="2112" spans="2:22" x14ac:dyDescent="0.25">
      <c r="B2112" s="16">
        <v>1</v>
      </c>
      <c r="C2112" s="7">
        <v>0</v>
      </c>
      <c r="D2112" s="8">
        <v>1</v>
      </c>
      <c r="E2112" s="8">
        <v>1</v>
      </c>
      <c r="F2112" s="8">
        <v>1</v>
      </c>
      <c r="G2112" s="8">
        <v>1</v>
      </c>
      <c r="H2112" s="8">
        <v>0</v>
      </c>
      <c r="I2112" s="8">
        <v>0</v>
      </c>
      <c r="J2112" s="8">
        <v>0</v>
      </c>
      <c r="K2112" s="9">
        <v>0</v>
      </c>
      <c r="L2112" s="10">
        <v>0</v>
      </c>
      <c r="M2112" s="6">
        <v>1</v>
      </c>
      <c r="N2112" s="37" cm="1">
        <f t="array" ref="N2112">IF(OR(ISNUMBER(FIND(Aux!$D$3:$D$9,_xlfn.TEXTJOIN(,,C2112:K2112)))),NA(),IF(AND(SUM(C2112:F2112,H2112:K2112)=0,G2112=1),0,INT((SUMPRODUCT(C2112:F2112,COLUMN($A$1:$D$1)-1)+SUMPRODUCT(H2112:K2112,COLUMN($E$1:$H$1)-1))*'Line Follower'!$C$3/SUM(C2112:F2112,H2112:K2112)-'Line Follower'!$C$5)))</f>
        <v>-3</v>
      </c>
      <c r="O2112" s="22">
        <v>1</v>
      </c>
      <c r="P2112" s="4">
        <f t="shared" si="160"/>
        <v>0</v>
      </c>
      <c r="Q2112" s="4">
        <f t="shared" si="161"/>
        <v>1</v>
      </c>
      <c r="R2112" s="4">
        <f>IF(AND(B2112=1,N2112&gt;'Line Follower'!$C$7,SUM(C2112:K2112)&lt;4),1,0)</f>
        <v>0</v>
      </c>
      <c r="S2112" s="4">
        <f>IF(AND(L2112=1,N2112&lt;'Line Follower'!$C$6,SUM(C2112:K2112)&lt;4),1,0)</f>
        <v>0</v>
      </c>
      <c r="T2112" s="4">
        <f t="shared" si="162"/>
        <v>0</v>
      </c>
      <c r="U2112" s="5">
        <f t="shared" si="163"/>
        <v>0</v>
      </c>
      <c r="V2112" s="23">
        <f t="shared" si="164"/>
        <v>0</v>
      </c>
    </row>
    <row r="2113" spans="2:22" x14ac:dyDescent="0.25">
      <c r="B2113" s="16">
        <v>0</v>
      </c>
      <c r="C2113" s="7">
        <v>1</v>
      </c>
      <c r="D2113" s="8">
        <v>1</v>
      </c>
      <c r="E2113" s="8">
        <v>1</v>
      </c>
      <c r="F2113" s="8">
        <v>1</v>
      </c>
      <c r="G2113" s="8">
        <v>1</v>
      </c>
      <c r="H2113" s="8">
        <v>0</v>
      </c>
      <c r="I2113" s="8">
        <v>0</v>
      </c>
      <c r="J2113" s="8">
        <v>0</v>
      </c>
      <c r="K2113" s="9">
        <v>0</v>
      </c>
      <c r="L2113" s="10">
        <v>0</v>
      </c>
      <c r="M2113" s="6">
        <v>1</v>
      </c>
      <c r="N2113" s="37" cm="1">
        <f t="array" ref="N2113">IF(OR(ISNUMBER(FIND(Aux!$D$3:$D$9,_xlfn.TEXTJOIN(,,C2113:K2113)))),NA(),IF(AND(SUM(C2113:F2113,H2113:K2113)=0,G2113=1),0,INT((SUMPRODUCT(C2113:F2113,COLUMN($A$1:$D$1)-1)+SUMPRODUCT(H2113:K2113,COLUMN($E$1:$H$1)-1))*'Line Follower'!$C$3/SUM(C2113:F2113,H2113:K2113)-'Line Follower'!$C$5)))</f>
        <v>-4</v>
      </c>
      <c r="O2113" s="22">
        <v>1</v>
      </c>
      <c r="P2113" s="4">
        <f t="shared" si="160"/>
        <v>0</v>
      </c>
      <c r="Q2113" s="4">
        <f t="shared" si="161"/>
        <v>1</v>
      </c>
      <c r="R2113" s="4">
        <f>IF(AND(B2113=1,N2113&gt;'Line Follower'!$C$7,SUM(C2113:K2113)&lt;4),1,0)</f>
        <v>0</v>
      </c>
      <c r="S2113" s="4">
        <f>IF(AND(L2113=1,N2113&lt;'Line Follower'!$C$6,SUM(C2113:K2113)&lt;4),1,0)</f>
        <v>0</v>
      </c>
      <c r="T2113" s="4">
        <f t="shared" si="162"/>
        <v>0</v>
      </c>
      <c r="U2113" s="5">
        <f t="shared" si="163"/>
        <v>0</v>
      </c>
      <c r="V2113" s="23">
        <f t="shared" si="164"/>
        <v>0</v>
      </c>
    </row>
    <row r="2114" spans="2:22" x14ac:dyDescent="0.25">
      <c r="B2114" s="16">
        <v>1</v>
      </c>
      <c r="C2114" s="7">
        <v>1</v>
      </c>
      <c r="D2114" s="8">
        <v>1</v>
      </c>
      <c r="E2114" s="8">
        <v>1</v>
      </c>
      <c r="F2114" s="8">
        <v>1</v>
      </c>
      <c r="G2114" s="8">
        <v>1</v>
      </c>
      <c r="H2114" s="8">
        <v>0</v>
      </c>
      <c r="I2114" s="8">
        <v>0</v>
      </c>
      <c r="J2114" s="8">
        <v>0</v>
      </c>
      <c r="K2114" s="9">
        <v>0</v>
      </c>
      <c r="L2114" s="10">
        <v>0</v>
      </c>
      <c r="M2114" s="6">
        <v>1</v>
      </c>
      <c r="N2114" s="37" cm="1">
        <f t="array" ref="N2114">IF(OR(ISNUMBER(FIND(Aux!$D$3:$D$9,_xlfn.TEXTJOIN(,,C2114:K2114)))),NA(),IF(AND(SUM(C2114:F2114,H2114:K2114)=0,G2114=1),0,INT((SUMPRODUCT(C2114:F2114,COLUMN($A$1:$D$1)-1)+SUMPRODUCT(H2114:K2114,COLUMN($E$1:$H$1)-1))*'Line Follower'!$C$3/SUM(C2114:F2114,H2114:K2114)-'Line Follower'!$C$5)))</f>
        <v>-4</v>
      </c>
      <c r="O2114" s="22">
        <v>1</v>
      </c>
      <c r="P2114" s="4">
        <f t="shared" si="160"/>
        <v>0</v>
      </c>
      <c r="Q2114" s="4">
        <f t="shared" si="161"/>
        <v>1</v>
      </c>
      <c r="R2114" s="4">
        <f>IF(AND(B2114=1,N2114&gt;'Line Follower'!$C$7,SUM(C2114:K2114)&lt;4),1,0)</f>
        <v>0</v>
      </c>
      <c r="S2114" s="4">
        <f>IF(AND(L2114=1,N2114&lt;'Line Follower'!$C$6,SUM(C2114:K2114)&lt;4),1,0)</f>
        <v>0</v>
      </c>
      <c r="T2114" s="4">
        <f t="shared" si="162"/>
        <v>0</v>
      </c>
      <c r="U2114" s="5">
        <f t="shared" si="163"/>
        <v>0</v>
      </c>
      <c r="V2114" s="23">
        <f t="shared" si="164"/>
        <v>0</v>
      </c>
    </row>
    <row r="2115" spans="2:22" x14ac:dyDescent="0.25">
      <c r="B2115" s="16">
        <v>0</v>
      </c>
      <c r="C2115" s="7">
        <v>0</v>
      </c>
      <c r="D2115" s="8">
        <v>0</v>
      </c>
      <c r="E2115" s="8">
        <v>0</v>
      </c>
      <c r="F2115" s="8">
        <v>0</v>
      </c>
      <c r="G2115" s="8">
        <v>0</v>
      </c>
      <c r="H2115" s="8">
        <v>1</v>
      </c>
      <c r="I2115" s="8">
        <v>0</v>
      </c>
      <c r="J2115" s="8">
        <v>0</v>
      </c>
      <c r="K2115" s="9">
        <v>0</v>
      </c>
      <c r="L2115" s="10">
        <v>0</v>
      </c>
      <c r="M2115" s="6">
        <v>1</v>
      </c>
      <c r="N2115" s="37" cm="1">
        <f t="array" ref="N2115">IF(OR(ISNUMBER(FIND(Aux!$D$3:$D$9,_xlfn.TEXTJOIN(,,C2115:K2115)))),NA(),IF(AND(SUM(C2115:F2115,H2115:K2115)=0,G2115=1),0,INT((SUMPRODUCT(C2115:F2115,COLUMN($A$1:$D$1)-1)+SUMPRODUCT(H2115:K2115,COLUMN($E$1:$H$1)-1))*'Line Follower'!$C$3/SUM(C2115:F2115,H2115:K2115)-'Line Follower'!$C$5)))</f>
        <v>1</v>
      </c>
      <c r="O2115" s="22">
        <v>1</v>
      </c>
      <c r="P2115" s="4">
        <f t="shared" ref="P2115:P2178" si="165">IF(AND(N2115=0,G2115=1,M2115=1),1,0)</f>
        <v>0</v>
      </c>
      <c r="Q2115" s="4">
        <f t="shared" ref="Q2115:Q2178" si="166">IF(ISERROR(N2115),N2115,IF(SUM(C2115:K2115)&gt;=4,1,0))</f>
        <v>0</v>
      </c>
      <c r="R2115" s="4">
        <f>IF(AND(B2115=1,N2115&gt;'Line Follower'!$C$7,SUM(C2115:K2115)&lt;4),1,0)</f>
        <v>0</v>
      </c>
      <c r="S2115" s="4">
        <f>IF(AND(L2115=1,N2115&lt;'Line Follower'!$C$6,SUM(C2115:K2115)&lt;4),1,0)</f>
        <v>0</v>
      </c>
      <c r="T2115" s="4">
        <f t="shared" si="162"/>
        <v>0</v>
      </c>
      <c r="U2115" s="5">
        <f t="shared" si="163"/>
        <v>0</v>
      </c>
      <c r="V2115" s="23">
        <f t="shared" si="164"/>
        <v>0</v>
      </c>
    </row>
    <row r="2116" spans="2:22" x14ac:dyDescent="0.25">
      <c r="B2116" s="16">
        <v>1</v>
      </c>
      <c r="C2116" s="7">
        <v>0</v>
      </c>
      <c r="D2116" s="8">
        <v>0</v>
      </c>
      <c r="E2116" s="8">
        <v>0</v>
      </c>
      <c r="F2116" s="8">
        <v>0</v>
      </c>
      <c r="G2116" s="8">
        <v>0</v>
      </c>
      <c r="H2116" s="8">
        <v>1</v>
      </c>
      <c r="I2116" s="8">
        <v>0</v>
      </c>
      <c r="J2116" s="8">
        <v>0</v>
      </c>
      <c r="K2116" s="9">
        <v>0</v>
      </c>
      <c r="L2116" s="10">
        <v>0</v>
      </c>
      <c r="M2116" s="6">
        <v>1</v>
      </c>
      <c r="N2116" s="37" cm="1">
        <f t="array" ref="N2116">IF(OR(ISNUMBER(FIND(Aux!$D$3:$D$9,_xlfn.TEXTJOIN(,,C2116:K2116)))),NA(),IF(AND(SUM(C2116:F2116,H2116:K2116)=0,G2116=1),0,INT((SUMPRODUCT(C2116:F2116,COLUMN($A$1:$D$1)-1)+SUMPRODUCT(H2116:K2116,COLUMN($E$1:$H$1)-1))*'Line Follower'!$C$3/SUM(C2116:F2116,H2116:K2116)-'Line Follower'!$C$5)))</f>
        <v>1</v>
      </c>
      <c r="O2116" s="22">
        <v>1</v>
      </c>
      <c r="P2116" s="4">
        <f t="shared" si="165"/>
        <v>0</v>
      </c>
      <c r="Q2116" s="4">
        <f t="shared" si="166"/>
        <v>0</v>
      </c>
      <c r="R2116" s="4">
        <f>IF(AND(B2116=1,N2116&gt;'Line Follower'!$C$7,SUM(C2116:K2116)&lt;4),1,0)</f>
        <v>1</v>
      </c>
      <c r="S2116" s="4">
        <f>IF(AND(L2116=1,N2116&lt;'Line Follower'!$C$6,SUM(C2116:K2116)&lt;4),1,0)</f>
        <v>0</v>
      </c>
      <c r="T2116" s="4">
        <f t="shared" ref="T2116:T2179" si="167">IF(ISNA(N2116),NA(),IF(SUM(C2116:L2116)=0,1,0))</f>
        <v>0</v>
      </c>
      <c r="U2116" s="5">
        <f t="shared" ref="U2116:U2179" si="168">IF(ISNA(N2116),NA(),IF(SUM(B2116:K2116)=0,1,0))</f>
        <v>0</v>
      </c>
      <c r="V2116" s="23">
        <f t="shared" ref="V2116:V2179" si="169">IF(ISNA(N2116),NA(),IF(SUM(B2116:L2116)=0,1,0))</f>
        <v>0</v>
      </c>
    </row>
    <row r="2117" spans="2:22" x14ac:dyDescent="0.25">
      <c r="B2117" s="16">
        <v>0</v>
      </c>
      <c r="C2117" s="7">
        <v>1</v>
      </c>
      <c r="D2117" s="8">
        <v>0</v>
      </c>
      <c r="E2117" s="8">
        <v>0</v>
      </c>
      <c r="F2117" s="8">
        <v>0</v>
      </c>
      <c r="G2117" s="8">
        <v>0</v>
      </c>
      <c r="H2117" s="8">
        <v>1</v>
      </c>
      <c r="I2117" s="8">
        <v>0</v>
      </c>
      <c r="J2117" s="8">
        <v>0</v>
      </c>
      <c r="K2117" s="9">
        <v>0</v>
      </c>
      <c r="L2117" s="10">
        <v>0</v>
      </c>
      <c r="M2117" s="6">
        <v>1</v>
      </c>
      <c r="N2117" s="37" t="e" cm="1">
        <f t="array" ref="N2117">IF(OR(ISNUMBER(FIND(Aux!$D$3:$D$9,_xlfn.TEXTJOIN(,,C2117:K2117)))),NA(),IF(AND(SUM(C2117:F2117,H2117:K2117)=0,G2117=1),0,INT((SUMPRODUCT(C2117:F2117,COLUMN($A$1:$D$1)-1)+SUMPRODUCT(H2117:K2117,COLUMN($E$1:$H$1)-1))*'Line Follower'!$C$3/SUM(C2117:F2117,H2117:K2117)-'Line Follower'!$C$5)))</f>
        <v>#N/A</v>
      </c>
      <c r="O2117" s="22" t="e">
        <v>#N/A</v>
      </c>
      <c r="P2117" s="4" t="e">
        <f t="shared" si="165"/>
        <v>#N/A</v>
      </c>
      <c r="Q2117" s="4" t="e">
        <f t="shared" si="166"/>
        <v>#N/A</v>
      </c>
      <c r="R2117" s="4" t="e">
        <f>IF(AND(B2117=1,N2117&gt;'Line Follower'!$C$7,SUM(C2117:K2117)&lt;4),1,0)</f>
        <v>#N/A</v>
      </c>
      <c r="S2117" s="4" t="e">
        <f>IF(AND(L2117=1,N2117&lt;'Line Follower'!$C$6,SUM(C2117:K2117)&lt;4),1,0)</f>
        <v>#N/A</v>
      </c>
      <c r="T2117" s="4" t="e">
        <f t="shared" si="167"/>
        <v>#N/A</v>
      </c>
      <c r="U2117" s="5" t="e">
        <f t="shared" si="168"/>
        <v>#N/A</v>
      </c>
      <c r="V2117" s="23" t="e">
        <f t="shared" si="169"/>
        <v>#N/A</v>
      </c>
    </row>
    <row r="2118" spans="2:22" x14ac:dyDescent="0.25">
      <c r="B2118" s="16">
        <v>1</v>
      </c>
      <c r="C2118" s="7">
        <v>1</v>
      </c>
      <c r="D2118" s="8">
        <v>0</v>
      </c>
      <c r="E2118" s="8">
        <v>0</v>
      </c>
      <c r="F2118" s="8">
        <v>0</v>
      </c>
      <c r="G2118" s="8">
        <v>0</v>
      </c>
      <c r="H2118" s="8">
        <v>1</v>
      </c>
      <c r="I2118" s="8">
        <v>0</v>
      </c>
      <c r="J2118" s="8">
        <v>0</v>
      </c>
      <c r="K2118" s="9">
        <v>0</v>
      </c>
      <c r="L2118" s="10">
        <v>0</v>
      </c>
      <c r="M2118" s="6">
        <v>1</v>
      </c>
      <c r="N2118" s="37" t="e" cm="1">
        <f t="array" ref="N2118">IF(OR(ISNUMBER(FIND(Aux!$D$3:$D$9,_xlfn.TEXTJOIN(,,C2118:K2118)))),NA(),IF(AND(SUM(C2118:F2118,H2118:K2118)=0,G2118=1),0,INT((SUMPRODUCT(C2118:F2118,COLUMN($A$1:$D$1)-1)+SUMPRODUCT(H2118:K2118,COLUMN($E$1:$H$1)-1))*'Line Follower'!$C$3/SUM(C2118:F2118,H2118:K2118)-'Line Follower'!$C$5)))</f>
        <v>#N/A</v>
      </c>
      <c r="O2118" s="22" t="e">
        <v>#N/A</v>
      </c>
      <c r="P2118" s="4" t="e">
        <f t="shared" si="165"/>
        <v>#N/A</v>
      </c>
      <c r="Q2118" s="4" t="e">
        <f t="shared" si="166"/>
        <v>#N/A</v>
      </c>
      <c r="R2118" s="4" t="e">
        <f>IF(AND(B2118=1,N2118&gt;'Line Follower'!$C$7,SUM(C2118:K2118)&lt;4),1,0)</f>
        <v>#N/A</v>
      </c>
      <c r="S2118" s="4" t="e">
        <f>IF(AND(L2118=1,N2118&lt;'Line Follower'!$C$6,SUM(C2118:K2118)&lt;4),1,0)</f>
        <v>#N/A</v>
      </c>
      <c r="T2118" s="4" t="e">
        <f t="shared" si="167"/>
        <v>#N/A</v>
      </c>
      <c r="U2118" s="5" t="e">
        <f t="shared" si="168"/>
        <v>#N/A</v>
      </c>
      <c r="V2118" s="23" t="e">
        <f t="shared" si="169"/>
        <v>#N/A</v>
      </c>
    </row>
    <row r="2119" spans="2:22" x14ac:dyDescent="0.25">
      <c r="B2119" s="16">
        <v>0</v>
      </c>
      <c r="C2119" s="7">
        <v>0</v>
      </c>
      <c r="D2119" s="8">
        <v>1</v>
      </c>
      <c r="E2119" s="8">
        <v>0</v>
      </c>
      <c r="F2119" s="8">
        <v>0</v>
      </c>
      <c r="G2119" s="8">
        <v>0</v>
      </c>
      <c r="H2119" s="8">
        <v>1</v>
      </c>
      <c r="I2119" s="8">
        <v>0</v>
      </c>
      <c r="J2119" s="8">
        <v>0</v>
      </c>
      <c r="K2119" s="9">
        <v>0</v>
      </c>
      <c r="L2119" s="10">
        <v>0</v>
      </c>
      <c r="M2119" s="6">
        <v>1</v>
      </c>
      <c r="N2119" s="37" t="e" cm="1">
        <f t="array" ref="N2119">IF(OR(ISNUMBER(FIND(Aux!$D$3:$D$9,_xlfn.TEXTJOIN(,,C2119:K2119)))),NA(),IF(AND(SUM(C2119:F2119,H2119:K2119)=0,G2119=1),0,INT((SUMPRODUCT(C2119:F2119,COLUMN($A$1:$D$1)-1)+SUMPRODUCT(H2119:K2119,COLUMN($E$1:$H$1)-1))*'Line Follower'!$C$3/SUM(C2119:F2119,H2119:K2119)-'Line Follower'!$C$5)))</f>
        <v>#N/A</v>
      </c>
      <c r="O2119" s="22" t="e">
        <v>#N/A</v>
      </c>
      <c r="P2119" s="4" t="e">
        <f t="shared" si="165"/>
        <v>#N/A</v>
      </c>
      <c r="Q2119" s="4" t="e">
        <f t="shared" si="166"/>
        <v>#N/A</v>
      </c>
      <c r="R2119" s="4" t="e">
        <f>IF(AND(B2119=1,N2119&gt;'Line Follower'!$C$7,SUM(C2119:K2119)&lt;4),1,0)</f>
        <v>#N/A</v>
      </c>
      <c r="S2119" s="4" t="e">
        <f>IF(AND(L2119=1,N2119&lt;'Line Follower'!$C$6,SUM(C2119:K2119)&lt;4),1,0)</f>
        <v>#N/A</v>
      </c>
      <c r="T2119" s="4" t="e">
        <f t="shared" si="167"/>
        <v>#N/A</v>
      </c>
      <c r="U2119" s="5" t="e">
        <f t="shared" si="168"/>
        <v>#N/A</v>
      </c>
      <c r="V2119" s="23" t="e">
        <f t="shared" si="169"/>
        <v>#N/A</v>
      </c>
    </row>
    <row r="2120" spans="2:22" x14ac:dyDescent="0.25">
      <c r="B2120" s="16">
        <v>1</v>
      </c>
      <c r="C2120" s="7">
        <v>0</v>
      </c>
      <c r="D2120" s="8">
        <v>1</v>
      </c>
      <c r="E2120" s="8">
        <v>0</v>
      </c>
      <c r="F2120" s="8">
        <v>0</v>
      </c>
      <c r="G2120" s="8">
        <v>0</v>
      </c>
      <c r="H2120" s="8">
        <v>1</v>
      </c>
      <c r="I2120" s="8">
        <v>0</v>
      </c>
      <c r="J2120" s="8">
        <v>0</v>
      </c>
      <c r="K2120" s="9">
        <v>0</v>
      </c>
      <c r="L2120" s="10">
        <v>0</v>
      </c>
      <c r="M2120" s="6">
        <v>1</v>
      </c>
      <c r="N2120" s="37" t="e" cm="1">
        <f t="array" ref="N2120">IF(OR(ISNUMBER(FIND(Aux!$D$3:$D$9,_xlfn.TEXTJOIN(,,C2120:K2120)))),NA(),IF(AND(SUM(C2120:F2120,H2120:K2120)=0,G2120=1),0,INT((SUMPRODUCT(C2120:F2120,COLUMN($A$1:$D$1)-1)+SUMPRODUCT(H2120:K2120,COLUMN($E$1:$H$1)-1))*'Line Follower'!$C$3/SUM(C2120:F2120,H2120:K2120)-'Line Follower'!$C$5)))</f>
        <v>#N/A</v>
      </c>
      <c r="O2120" s="22" t="e">
        <v>#N/A</v>
      </c>
      <c r="P2120" s="4" t="e">
        <f t="shared" si="165"/>
        <v>#N/A</v>
      </c>
      <c r="Q2120" s="4" t="e">
        <f t="shared" si="166"/>
        <v>#N/A</v>
      </c>
      <c r="R2120" s="4" t="e">
        <f>IF(AND(B2120=1,N2120&gt;'Line Follower'!$C$7,SUM(C2120:K2120)&lt;4),1,0)</f>
        <v>#N/A</v>
      </c>
      <c r="S2120" s="4" t="e">
        <f>IF(AND(L2120=1,N2120&lt;'Line Follower'!$C$6,SUM(C2120:K2120)&lt;4),1,0)</f>
        <v>#N/A</v>
      </c>
      <c r="T2120" s="4" t="e">
        <f t="shared" si="167"/>
        <v>#N/A</v>
      </c>
      <c r="U2120" s="5" t="e">
        <f t="shared" si="168"/>
        <v>#N/A</v>
      </c>
      <c r="V2120" s="23" t="e">
        <f t="shared" si="169"/>
        <v>#N/A</v>
      </c>
    </row>
    <row r="2121" spans="2:22" x14ac:dyDescent="0.25">
      <c r="B2121" s="16">
        <v>0</v>
      </c>
      <c r="C2121" s="7">
        <v>1</v>
      </c>
      <c r="D2121" s="8">
        <v>1</v>
      </c>
      <c r="E2121" s="8">
        <v>0</v>
      </c>
      <c r="F2121" s="8">
        <v>0</v>
      </c>
      <c r="G2121" s="8">
        <v>0</v>
      </c>
      <c r="H2121" s="8">
        <v>1</v>
      </c>
      <c r="I2121" s="8">
        <v>0</v>
      </c>
      <c r="J2121" s="8">
        <v>0</v>
      </c>
      <c r="K2121" s="9">
        <v>0</v>
      </c>
      <c r="L2121" s="10">
        <v>0</v>
      </c>
      <c r="M2121" s="6">
        <v>1</v>
      </c>
      <c r="N2121" s="37" t="e" cm="1">
        <f t="array" ref="N2121">IF(OR(ISNUMBER(FIND(Aux!$D$3:$D$9,_xlfn.TEXTJOIN(,,C2121:K2121)))),NA(),IF(AND(SUM(C2121:F2121,H2121:K2121)=0,G2121=1),0,INT((SUMPRODUCT(C2121:F2121,COLUMN($A$1:$D$1)-1)+SUMPRODUCT(H2121:K2121,COLUMN($E$1:$H$1)-1))*'Line Follower'!$C$3/SUM(C2121:F2121,H2121:K2121)-'Line Follower'!$C$5)))</f>
        <v>#N/A</v>
      </c>
      <c r="O2121" s="22" t="e">
        <v>#N/A</v>
      </c>
      <c r="P2121" s="4" t="e">
        <f t="shared" si="165"/>
        <v>#N/A</v>
      </c>
      <c r="Q2121" s="4" t="e">
        <f t="shared" si="166"/>
        <v>#N/A</v>
      </c>
      <c r="R2121" s="4" t="e">
        <f>IF(AND(B2121=1,N2121&gt;'Line Follower'!$C$7,SUM(C2121:K2121)&lt;4),1,0)</f>
        <v>#N/A</v>
      </c>
      <c r="S2121" s="4" t="e">
        <f>IF(AND(L2121=1,N2121&lt;'Line Follower'!$C$6,SUM(C2121:K2121)&lt;4),1,0)</f>
        <v>#N/A</v>
      </c>
      <c r="T2121" s="4" t="e">
        <f t="shared" si="167"/>
        <v>#N/A</v>
      </c>
      <c r="U2121" s="5" t="e">
        <f t="shared" si="168"/>
        <v>#N/A</v>
      </c>
      <c r="V2121" s="23" t="e">
        <f t="shared" si="169"/>
        <v>#N/A</v>
      </c>
    </row>
    <row r="2122" spans="2:22" x14ac:dyDescent="0.25">
      <c r="B2122" s="16">
        <v>1</v>
      </c>
      <c r="C2122" s="7">
        <v>1</v>
      </c>
      <c r="D2122" s="8">
        <v>1</v>
      </c>
      <c r="E2122" s="8">
        <v>0</v>
      </c>
      <c r="F2122" s="8">
        <v>0</v>
      </c>
      <c r="G2122" s="8">
        <v>0</v>
      </c>
      <c r="H2122" s="8">
        <v>1</v>
      </c>
      <c r="I2122" s="8">
        <v>0</v>
      </c>
      <c r="J2122" s="8">
        <v>0</v>
      </c>
      <c r="K2122" s="9">
        <v>0</v>
      </c>
      <c r="L2122" s="10">
        <v>0</v>
      </c>
      <c r="M2122" s="6">
        <v>1</v>
      </c>
      <c r="N2122" s="37" t="e" cm="1">
        <f t="array" ref="N2122">IF(OR(ISNUMBER(FIND(Aux!$D$3:$D$9,_xlfn.TEXTJOIN(,,C2122:K2122)))),NA(),IF(AND(SUM(C2122:F2122,H2122:K2122)=0,G2122=1),0,INT((SUMPRODUCT(C2122:F2122,COLUMN($A$1:$D$1)-1)+SUMPRODUCT(H2122:K2122,COLUMN($E$1:$H$1)-1))*'Line Follower'!$C$3/SUM(C2122:F2122,H2122:K2122)-'Line Follower'!$C$5)))</f>
        <v>#N/A</v>
      </c>
      <c r="O2122" s="22" t="e">
        <v>#N/A</v>
      </c>
      <c r="P2122" s="4" t="e">
        <f t="shared" si="165"/>
        <v>#N/A</v>
      </c>
      <c r="Q2122" s="4" t="e">
        <f t="shared" si="166"/>
        <v>#N/A</v>
      </c>
      <c r="R2122" s="4" t="e">
        <f>IF(AND(B2122=1,N2122&gt;'Line Follower'!$C$7,SUM(C2122:K2122)&lt;4),1,0)</f>
        <v>#N/A</v>
      </c>
      <c r="S2122" s="4" t="e">
        <f>IF(AND(L2122=1,N2122&lt;'Line Follower'!$C$6,SUM(C2122:K2122)&lt;4),1,0)</f>
        <v>#N/A</v>
      </c>
      <c r="T2122" s="4" t="e">
        <f t="shared" si="167"/>
        <v>#N/A</v>
      </c>
      <c r="U2122" s="5" t="e">
        <f t="shared" si="168"/>
        <v>#N/A</v>
      </c>
      <c r="V2122" s="23" t="e">
        <f t="shared" si="169"/>
        <v>#N/A</v>
      </c>
    </row>
    <row r="2123" spans="2:22" x14ac:dyDescent="0.25">
      <c r="B2123" s="16">
        <v>0</v>
      </c>
      <c r="C2123" s="7">
        <v>0</v>
      </c>
      <c r="D2123" s="8">
        <v>0</v>
      </c>
      <c r="E2123" s="8">
        <v>1</v>
      </c>
      <c r="F2123" s="8">
        <v>0</v>
      </c>
      <c r="G2123" s="8">
        <v>0</v>
      </c>
      <c r="H2123" s="8">
        <v>1</v>
      </c>
      <c r="I2123" s="8">
        <v>0</v>
      </c>
      <c r="J2123" s="8">
        <v>0</v>
      </c>
      <c r="K2123" s="9">
        <v>0</v>
      </c>
      <c r="L2123" s="10">
        <v>0</v>
      </c>
      <c r="M2123" s="6">
        <v>1</v>
      </c>
      <c r="N2123" s="37" t="e" cm="1">
        <f t="array" ref="N2123">IF(OR(ISNUMBER(FIND(Aux!$D$3:$D$9,_xlfn.TEXTJOIN(,,C2123:K2123)))),NA(),IF(AND(SUM(C2123:F2123,H2123:K2123)=0,G2123=1),0,INT((SUMPRODUCT(C2123:F2123,COLUMN($A$1:$D$1)-1)+SUMPRODUCT(H2123:K2123,COLUMN($E$1:$H$1)-1))*'Line Follower'!$C$3/SUM(C2123:F2123,H2123:K2123)-'Line Follower'!$C$5)))</f>
        <v>#N/A</v>
      </c>
      <c r="O2123" s="22" t="e">
        <v>#N/A</v>
      </c>
      <c r="P2123" s="4" t="e">
        <f t="shared" si="165"/>
        <v>#N/A</v>
      </c>
      <c r="Q2123" s="4" t="e">
        <f t="shared" si="166"/>
        <v>#N/A</v>
      </c>
      <c r="R2123" s="4" t="e">
        <f>IF(AND(B2123=1,N2123&gt;'Line Follower'!$C$7,SUM(C2123:K2123)&lt;4),1,0)</f>
        <v>#N/A</v>
      </c>
      <c r="S2123" s="4" t="e">
        <f>IF(AND(L2123=1,N2123&lt;'Line Follower'!$C$6,SUM(C2123:K2123)&lt;4),1,0)</f>
        <v>#N/A</v>
      </c>
      <c r="T2123" s="4" t="e">
        <f t="shared" si="167"/>
        <v>#N/A</v>
      </c>
      <c r="U2123" s="5" t="e">
        <f t="shared" si="168"/>
        <v>#N/A</v>
      </c>
      <c r="V2123" s="23" t="e">
        <f t="shared" si="169"/>
        <v>#N/A</v>
      </c>
    </row>
    <row r="2124" spans="2:22" x14ac:dyDescent="0.25">
      <c r="B2124" s="16">
        <v>1</v>
      </c>
      <c r="C2124" s="7">
        <v>0</v>
      </c>
      <c r="D2124" s="8">
        <v>0</v>
      </c>
      <c r="E2124" s="8">
        <v>1</v>
      </c>
      <c r="F2124" s="8">
        <v>0</v>
      </c>
      <c r="G2124" s="8">
        <v>0</v>
      </c>
      <c r="H2124" s="8">
        <v>1</v>
      </c>
      <c r="I2124" s="8">
        <v>0</v>
      </c>
      <c r="J2124" s="8">
        <v>0</v>
      </c>
      <c r="K2124" s="9">
        <v>0</v>
      </c>
      <c r="L2124" s="10">
        <v>0</v>
      </c>
      <c r="M2124" s="6">
        <v>1</v>
      </c>
      <c r="N2124" s="37" t="e" cm="1">
        <f t="array" ref="N2124">IF(OR(ISNUMBER(FIND(Aux!$D$3:$D$9,_xlfn.TEXTJOIN(,,C2124:K2124)))),NA(),IF(AND(SUM(C2124:F2124,H2124:K2124)=0,G2124=1),0,INT((SUMPRODUCT(C2124:F2124,COLUMN($A$1:$D$1)-1)+SUMPRODUCT(H2124:K2124,COLUMN($E$1:$H$1)-1))*'Line Follower'!$C$3/SUM(C2124:F2124,H2124:K2124)-'Line Follower'!$C$5)))</f>
        <v>#N/A</v>
      </c>
      <c r="O2124" s="22" t="e">
        <v>#N/A</v>
      </c>
      <c r="P2124" s="4" t="e">
        <f t="shared" si="165"/>
        <v>#N/A</v>
      </c>
      <c r="Q2124" s="4" t="e">
        <f t="shared" si="166"/>
        <v>#N/A</v>
      </c>
      <c r="R2124" s="4" t="e">
        <f>IF(AND(B2124=1,N2124&gt;'Line Follower'!$C$7,SUM(C2124:K2124)&lt;4),1,0)</f>
        <v>#N/A</v>
      </c>
      <c r="S2124" s="4" t="e">
        <f>IF(AND(L2124=1,N2124&lt;'Line Follower'!$C$6,SUM(C2124:K2124)&lt;4),1,0)</f>
        <v>#N/A</v>
      </c>
      <c r="T2124" s="4" t="e">
        <f t="shared" si="167"/>
        <v>#N/A</v>
      </c>
      <c r="U2124" s="5" t="e">
        <f t="shared" si="168"/>
        <v>#N/A</v>
      </c>
      <c r="V2124" s="23" t="e">
        <f t="shared" si="169"/>
        <v>#N/A</v>
      </c>
    </row>
    <row r="2125" spans="2:22" x14ac:dyDescent="0.25">
      <c r="B2125" s="16">
        <v>0</v>
      </c>
      <c r="C2125" s="7">
        <v>1</v>
      </c>
      <c r="D2125" s="8">
        <v>0</v>
      </c>
      <c r="E2125" s="8">
        <v>1</v>
      </c>
      <c r="F2125" s="8">
        <v>0</v>
      </c>
      <c r="G2125" s="8">
        <v>0</v>
      </c>
      <c r="H2125" s="8">
        <v>1</v>
      </c>
      <c r="I2125" s="8">
        <v>0</v>
      </c>
      <c r="J2125" s="8">
        <v>0</v>
      </c>
      <c r="K2125" s="9">
        <v>0</v>
      </c>
      <c r="L2125" s="10">
        <v>0</v>
      </c>
      <c r="M2125" s="6">
        <v>1</v>
      </c>
      <c r="N2125" s="37" t="e" cm="1">
        <f t="array" ref="N2125">IF(OR(ISNUMBER(FIND(Aux!$D$3:$D$9,_xlfn.TEXTJOIN(,,C2125:K2125)))),NA(),IF(AND(SUM(C2125:F2125,H2125:K2125)=0,G2125=1),0,INT((SUMPRODUCT(C2125:F2125,COLUMN($A$1:$D$1)-1)+SUMPRODUCT(H2125:K2125,COLUMN($E$1:$H$1)-1))*'Line Follower'!$C$3/SUM(C2125:F2125,H2125:K2125)-'Line Follower'!$C$5)))</f>
        <v>#N/A</v>
      </c>
      <c r="O2125" s="22" t="e">
        <v>#N/A</v>
      </c>
      <c r="P2125" s="4" t="e">
        <f t="shared" si="165"/>
        <v>#N/A</v>
      </c>
      <c r="Q2125" s="4" t="e">
        <f t="shared" si="166"/>
        <v>#N/A</v>
      </c>
      <c r="R2125" s="4" t="e">
        <f>IF(AND(B2125=1,N2125&gt;'Line Follower'!$C$7,SUM(C2125:K2125)&lt;4),1,0)</f>
        <v>#N/A</v>
      </c>
      <c r="S2125" s="4" t="e">
        <f>IF(AND(L2125=1,N2125&lt;'Line Follower'!$C$6,SUM(C2125:K2125)&lt;4),1,0)</f>
        <v>#N/A</v>
      </c>
      <c r="T2125" s="4" t="e">
        <f t="shared" si="167"/>
        <v>#N/A</v>
      </c>
      <c r="U2125" s="5" t="e">
        <f t="shared" si="168"/>
        <v>#N/A</v>
      </c>
      <c r="V2125" s="23" t="e">
        <f t="shared" si="169"/>
        <v>#N/A</v>
      </c>
    </row>
    <row r="2126" spans="2:22" x14ac:dyDescent="0.25">
      <c r="B2126" s="16">
        <v>1</v>
      </c>
      <c r="C2126" s="7">
        <v>1</v>
      </c>
      <c r="D2126" s="8">
        <v>0</v>
      </c>
      <c r="E2126" s="8">
        <v>1</v>
      </c>
      <c r="F2126" s="8">
        <v>0</v>
      </c>
      <c r="G2126" s="8">
        <v>0</v>
      </c>
      <c r="H2126" s="8">
        <v>1</v>
      </c>
      <c r="I2126" s="8">
        <v>0</v>
      </c>
      <c r="J2126" s="8">
        <v>0</v>
      </c>
      <c r="K2126" s="9">
        <v>0</v>
      </c>
      <c r="L2126" s="10">
        <v>0</v>
      </c>
      <c r="M2126" s="6">
        <v>1</v>
      </c>
      <c r="N2126" s="37" t="e" cm="1">
        <f t="array" ref="N2126">IF(OR(ISNUMBER(FIND(Aux!$D$3:$D$9,_xlfn.TEXTJOIN(,,C2126:K2126)))),NA(),IF(AND(SUM(C2126:F2126,H2126:K2126)=0,G2126=1),0,INT((SUMPRODUCT(C2126:F2126,COLUMN($A$1:$D$1)-1)+SUMPRODUCT(H2126:K2126,COLUMN($E$1:$H$1)-1))*'Line Follower'!$C$3/SUM(C2126:F2126,H2126:K2126)-'Line Follower'!$C$5)))</f>
        <v>#N/A</v>
      </c>
      <c r="O2126" s="22" t="e">
        <v>#N/A</v>
      </c>
      <c r="P2126" s="4" t="e">
        <f t="shared" si="165"/>
        <v>#N/A</v>
      </c>
      <c r="Q2126" s="4" t="e">
        <f t="shared" si="166"/>
        <v>#N/A</v>
      </c>
      <c r="R2126" s="4" t="e">
        <f>IF(AND(B2126=1,N2126&gt;'Line Follower'!$C$7,SUM(C2126:K2126)&lt;4),1,0)</f>
        <v>#N/A</v>
      </c>
      <c r="S2126" s="4" t="e">
        <f>IF(AND(L2126=1,N2126&lt;'Line Follower'!$C$6,SUM(C2126:K2126)&lt;4),1,0)</f>
        <v>#N/A</v>
      </c>
      <c r="T2126" s="4" t="e">
        <f t="shared" si="167"/>
        <v>#N/A</v>
      </c>
      <c r="U2126" s="5" t="e">
        <f t="shared" si="168"/>
        <v>#N/A</v>
      </c>
      <c r="V2126" s="23" t="e">
        <f t="shared" si="169"/>
        <v>#N/A</v>
      </c>
    </row>
    <row r="2127" spans="2:22" x14ac:dyDescent="0.25">
      <c r="B2127" s="16">
        <v>0</v>
      </c>
      <c r="C2127" s="7">
        <v>0</v>
      </c>
      <c r="D2127" s="8">
        <v>1</v>
      </c>
      <c r="E2127" s="8">
        <v>1</v>
      </c>
      <c r="F2127" s="8">
        <v>0</v>
      </c>
      <c r="G2127" s="8">
        <v>0</v>
      </c>
      <c r="H2127" s="8">
        <v>1</v>
      </c>
      <c r="I2127" s="8">
        <v>0</v>
      </c>
      <c r="J2127" s="8">
        <v>0</v>
      </c>
      <c r="K2127" s="9">
        <v>0</v>
      </c>
      <c r="L2127" s="10">
        <v>0</v>
      </c>
      <c r="M2127" s="6">
        <v>1</v>
      </c>
      <c r="N2127" s="37" t="e" cm="1">
        <f t="array" ref="N2127">IF(OR(ISNUMBER(FIND(Aux!$D$3:$D$9,_xlfn.TEXTJOIN(,,C2127:K2127)))),NA(),IF(AND(SUM(C2127:F2127,H2127:K2127)=0,G2127=1),0,INT((SUMPRODUCT(C2127:F2127,COLUMN($A$1:$D$1)-1)+SUMPRODUCT(H2127:K2127,COLUMN($E$1:$H$1)-1))*'Line Follower'!$C$3/SUM(C2127:F2127,H2127:K2127)-'Line Follower'!$C$5)))</f>
        <v>#N/A</v>
      </c>
      <c r="O2127" s="22" t="e">
        <v>#N/A</v>
      </c>
      <c r="P2127" s="4" t="e">
        <f t="shared" si="165"/>
        <v>#N/A</v>
      </c>
      <c r="Q2127" s="4" t="e">
        <f t="shared" si="166"/>
        <v>#N/A</v>
      </c>
      <c r="R2127" s="4" t="e">
        <f>IF(AND(B2127=1,N2127&gt;'Line Follower'!$C$7,SUM(C2127:K2127)&lt;4),1,0)</f>
        <v>#N/A</v>
      </c>
      <c r="S2127" s="4" t="e">
        <f>IF(AND(L2127=1,N2127&lt;'Line Follower'!$C$6,SUM(C2127:K2127)&lt;4),1,0)</f>
        <v>#N/A</v>
      </c>
      <c r="T2127" s="4" t="e">
        <f t="shared" si="167"/>
        <v>#N/A</v>
      </c>
      <c r="U2127" s="5" t="e">
        <f t="shared" si="168"/>
        <v>#N/A</v>
      </c>
      <c r="V2127" s="23" t="e">
        <f t="shared" si="169"/>
        <v>#N/A</v>
      </c>
    </row>
    <row r="2128" spans="2:22" x14ac:dyDescent="0.25">
      <c r="B2128" s="16">
        <v>1</v>
      </c>
      <c r="C2128" s="7">
        <v>0</v>
      </c>
      <c r="D2128" s="8">
        <v>1</v>
      </c>
      <c r="E2128" s="8">
        <v>1</v>
      </c>
      <c r="F2128" s="8">
        <v>0</v>
      </c>
      <c r="G2128" s="8">
        <v>0</v>
      </c>
      <c r="H2128" s="8">
        <v>1</v>
      </c>
      <c r="I2128" s="8">
        <v>0</v>
      </c>
      <c r="J2128" s="8">
        <v>0</v>
      </c>
      <c r="K2128" s="9">
        <v>0</v>
      </c>
      <c r="L2128" s="10">
        <v>0</v>
      </c>
      <c r="M2128" s="6">
        <v>1</v>
      </c>
      <c r="N2128" s="37" t="e" cm="1">
        <f t="array" ref="N2128">IF(OR(ISNUMBER(FIND(Aux!$D$3:$D$9,_xlfn.TEXTJOIN(,,C2128:K2128)))),NA(),IF(AND(SUM(C2128:F2128,H2128:K2128)=0,G2128=1),0,INT((SUMPRODUCT(C2128:F2128,COLUMN($A$1:$D$1)-1)+SUMPRODUCT(H2128:K2128,COLUMN($E$1:$H$1)-1))*'Line Follower'!$C$3/SUM(C2128:F2128,H2128:K2128)-'Line Follower'!$C$5)))</f>
        <v>#N/A</v>
      </c>
      <c r="O2128" s="22" t="e">
        <v>#N/A</v>
      </c>
      <c r="P2128" s="4" t="e">
        <f t="shared" si="165"/>
        <v>#N/A</v>
      </c>
      <c r="Q2128" s="4" t="e">
        <f t="shared" si="166"/>
        <v>#N/A</v>
      </c>
      <c r="R2128" s="4" t="e">
        <f>IF(AND(B2128=1,N2128&gt;'Line Follower'!$C$7,SUM(C2128:K2128)&lt;4),1,0)</f>
        <v>#N/A</v>
      </c>
      <c r="S2128" s="4" t="e">
        <f>IF(AND(L2128=1,N2128&lt;'Line Follower'!$C$6,SUM(C2128:K2128)&lt;4),1,0)</f>
        <v>#N/A</v>
      </c>
      <c r="T2128" s="4" t="e">
        <f t="shared" si="167"/>
        <v>#N/A</v>
      </c>
      <c r="U2128" s="5" t="e">
        <f t="shared" si="168"/>
        <v>#N/A</v>
      </c>
      <c r="V2128" s="23" t="e">
        <f t="shared" si="169"/>
        <v>#N/A</v>
      </c>
    </row>
    <row r="2129" spans="2:22" x14ac:dyDescent="0.25">
      <c r="B2129" s="16">
        <v>0</v>
      </c>
      <c r="C2129" s="7">
        <v>1</v>
      </c>
      <c r="D2129" s="8">
        <v>1</v>
      </c>
      <c r="E2129" s="8">
        <v>1</v>
      </c>
      <c r="F2129" s="8">
        <v>0</v>
      </c>
      <c r="G2129" s="8">
        <v>0</v>
      </c>
      <c r="H2129" s="8">
        <v>1</v>
      </c>
      <c r="I2129" s="8">
        <v>0</v>
      </c>
      <c r="J2129" s="8">
        <v>0</v>
      </c>
      <c r="K2129" s="9">
        <v>0</v>
      </c>
      <c r="L2129" s="10">
        <v>0</v>
      </c>
      <c r="M2129" s="6">
        <v>1</v>
      </c>
      <c r="N2129" s="37" t="e" cm="1">
        <f t="array" ref="N2129">IF(OR(ISNUMBER(FIND(Aux!$D$3:$D$9,_xlfn.TEXTJOIN(,,C2129:K2129)))),NA(),IF(AND(SUM(C2129:F2129,H2129:K2129)=0,G2129=1),0,INT((SUMPRODUCT(C2129:F2129,COLUMN($A$1:$D$1)-1)+SUMPRODUCT(H2129:K2129,COLUMN($E$1:$H$1)-1))*'Line Follower'!$C$3/SUM(C2129:F2129,H2129:K2129)-'Line Follower'!$C$5)))</f>
        <v>#N/A</v>
      </c>
      <c r="O2129" s="22" t="e">
        <v>#N/A</v>
      </c>
      <c r="P2129" s="4" t="e">
        <f t="shared" si="165"/>
        <v>#N/A</v>
      </c>
      <c r="Q2129" s="4" t="e">
        <f t="shared" si="166"/>
        <v>#N/A</v>
      </c>
      <c r="R2129" s="4" t="e">
        <f>IF(AND(B2129=1,N2129&gt;'Line Follower'!$C$7,SUM(C2129:K2129)&lt;4),1,0)</f>
        <v>#N/A</v>
      </c>
      <c r="S2129" s="4" t="e">
        <f>IF(AND(L2129=1,N2129&lt;'Line Follower'!$C$6,SUM(C2129:K2129)&lt;4),1,0)</f>
        <v>#N/A</v>
      </c>
      <c r="T2129" s="4" t="e">
        <f t="shared" si="167"/>
        <v>#N/A</v>
      </c>
      <c r="U2129" s="5" t="e">
        <f t="shared" si="168"/>
        <v>#N/A</v>
      </c>
      <c r="V2129" s="23" t="e">
        <f t="shared" si="169"/>
        <v>#N/A</v>
      </c>
    </row>
    <row r="2130" spans="2:22" x14ac:dyDescent="0.25">
      <c r="B2130" s="16">
        <v>1</v>
      </c>
      <c r="C2130" s="7">
        <v>1</v>
      </c>
      <c r="D2130" s="8">
        <v>1</v>
      </c>
      <c r="E2130" s="8">
        <v>1</v>
      </c>
      <c r="F2130" s="8">
        <v>0</v>
      </c>
      <c r="G2130" s="8">
        <v>0</v>
      </c>
      <c r="H2130" s="8">
        <v>1</v>
      </c>
      <c r="I2130" s="8">
        <v>0</v>
      </c>
      <c r="J2130" s="8">
        <v>0</v>
      </c>
      <c r="K2130" s="9">
        <v>0</v>
      </c>
      <c r="L2130" s="10">
        <v>0</v>
      </c>
      <c r="M2130" s="6">
        <v>1</v>
      </c>
      <c r="N2130" s="37" t="e" cm="1">
        <f t="array" ref="N2130">IF(OR(ISNUMBER(FIND(Aux!$D$3:$D$9,_xlfn.TEXTJOIN(,,C2130:K2130)))),NA(),IF(AND(SUM(C2130:F2130,H2130:K2130)=0,G2130=1),0,INT((SUMPRODUCT(C2130:F2130,COLUMN($A$1:$D$1)-1)+SUMPRODUCT(H2130:K2130,COLUMN($E$1:$H$1)-1))*'Line Follower'!$C$3/SUM(C2130:F2130,H2130:K2130)-'Line Follower'!$C$5)))</f>
        <v>#N/A</v>
      </c>
      <c r="O2130" s="22" t="e">
        <v>#N/A</v>
      </c>
      <c r="P2130" s="4" t="e">
        <f t="shared" si="165"/>
        <v>#N/A</v>
      </c>
      <c r="Q2130" s="4" t="e">
        <f t="shared" si="166"/>
        <v>#N/A</v>
      </c>
      <c r="R2130" s="4" t="e">
        <f>IF(AND(B2130=1,N2130&gt;'Line Follower'!$C$7,SUM(C2130:K2130)&lt;4),1,0)</f>
        <v>#N/A</v>
      </c>
      <c r="S2130" s="4" t="e">
        <f>IF(AND(L2130=1,N2130&lt;'Line Follower'!$C$6,SUM(C2130:K2130)&lt;4),1,0)</f>
        <v>#N/A</v>
      </c>
      <c r="T2130" s="4" t="e">
        <f t="shared" si="167"/>
        <v>#N/A</v>
      </c>
      <c r="U2130" s="5" t="e">
        <f t="shared" si="168"/>
        <v>#N/A</v>
      </c>
      <c r="V2130" s="23" t="e">
        <f t="shared" si="169"/>
        <v>#N/A</v>
      </c>
    </row>
    <row r="2131" spans="2:22" x14ac:dyDescent="0.25">
      <c r="B2131" s="16">
        <v>0</v>
      </c>
      <c r="C2131" s="7">
        <v>0</v>
      </c>
      <c r="D2131" s="8">
        <v>0</v>
      </c>
      <c r="E2131" s="8">
        <v>0</v>
      </c>
      <c r="F2131" s="8">
        <v>1</v>
      </c>
      <c r="G2131" s="8">
        <v>0</v>
      </c>
      <c r="H2131" s="8">
        <v>1</v>
      </c>
      <c r="I2131" s="8">
        <v>0</v>
      </c>
      <c r="J2131" s="8">
        <v>0</v>
      </c>
      <c r="K2131" s="9">
        <v>0</v>
      </c>
      <c r="L2131" s="10">
        <v>0</v>
      </c>
      <c r="M2131" s="6">
        <v>1</v>
      </c>
      <c r="N2131" s="37" t="e" cm="1">
        <f t="array" ref="N2131">IF(OR(ISNUMBER(FIND(Aux!$D$3:$D$9,_xlfn.TEXTJOIN(,,C2131:K2131)))),NA(),IF(AND(SUM(C2131:F2131,H2131:K2131)=0,G2131=1),0,INT((SUMPRODUCT(C2131:F2131,COLUMN($A$1:$D$1)-1)+SUMPRODUCT(H2131:K2131,COLUMN($E$1:$H$1)-1))*'Line Follower'!$C$3/SUM(C2131:F2131,H2131:K2131)-'Line Follower'!$C$5)))</f>
        <v>#N/A</v>
      </c>
      <c r="O2131" s="22" t="e">
        <v>#N/A</v>
      </c>
      <c r="P2131" s="4" t="e">
        <f t="shared" si="165"/>
        <v>#N/A</v>
      </c>
      <c r="Q2131" s="4" t="e">
        <f t="shared" si="166"/>
        <v>#N/A</v>
      </c>
      <c r="R2131" s="4" t="e">
        <f>IF(AND(B2131=1,N2131&gt;'Line Follower'!$C$7,SUM(C2131:K2131)&lt;4),1,0)</f>
        <v>#N/A</v>
      </c>
      <c r="S2131" s="4" t="e">
        <f>IF(AND(L2131=1,N2131&lt;'Line Follower'!$C$6,SUM(C2131:K2131)&lt;4),1,0)</f>
        <v>#N/A</v>
      </c>
      <c r="T2131" s="4" t="e">
        <f t="shared" si="167"/>
        <v>#N/A</v>
      </c>
      <c r="U2131" s="5" t="e">
        <f t="shared" si="168"/>
        <v>#N/A</v>
      </c>
      <c r="V2131" s="23" t="e">
        <f t="shared" si="169"/>
        <v>#N/A</v>
      </c>
    </row>
    <row r="2132" spans="2:22" x14ac:dyDescent="0.25">
      <c r="B2132" s="16">
        <v>1</v>
      </c>
      <c r="C2132" s="7">
        <v>0</v>
      </c>
      <c r="D2132" s="8">
        <v>0</v>
      </c>
      <c r="E2132" s="8">
        <v>0</v>
      </c>
      <c r="F2132" s="8">
        <v>1</v>
      </c>
      <c r="G2132" s="8">
        <v>0</v>
      </c>
      <c r="H2132" s="8">
        <v>1</v>
      </c>
      <c r="I2132" s="8">
        <v>0</v>
      </c>
      <c r="J2132" s="8">
        <v>0</v>
      </c>
      <c r="K2132" s="9">
        <v>0</v>
      </c>
      <c r="L2132" s="10">
        <v>0</v>
      </c>
      <c r="M2132" s="6">
        <v>1</v>
      </c>
      <c r="N2132" s="37" t="e" cm="1">
        <f t="array" ref="N2132">IF(OR(ISNUMBER(FIND(Aux!$D$3:$D$9,_xlfn.TEXTJOIN(,,C2132:K2132)))),NA(),IF(AND(SUM(C2132:F2132,H2132:K2132)=0,G2132=1),0,INT((SUMPRODUCT(C2132:F2132,COLUMN($A$1:$D$1)-1)+SUMPRODUCT(H2132:K2132,COLUMN($E$1:$H$1)-1))*'Line Follower'!$C$3/SUM(C2132:F2132,H2132:K2132)-'Line Follower'!$C$5)))</f>
        <v>#N/A</v>
      </c>
      <c r="O2132" s="22" t="e">
        <v>#N/A</v>
      </c>
      <c r="P2132" s="4" t="e">
        <f t="shared" si="165"/>
        <v>#N/A</v>
      </c>
      <c r="Q2132" s="4" t="e">
        <f t="shared" si="166"/>
        <v>#N/A</v>
      </c>
      <c r="R2132" s="4" t="e">
        <f>IF(AND(B2132=1,N2132&gt;'Line Follower'!$C$7,SUM(C2132:K2132)&lt;4),1,0)</f>
        <v>#N/A</v>
      </c>
      <c r="S2132" s="4" t="e">
        <f>IF(AND(L2132=1,N2132&lt;'Line Follower'!$C$6,SUM(C2132:K2132)&lt;4),1,0)</f>
        <v>#N/A</v>
      </c>
      <c r="T2132" s="4" t="e">
        <f t="shared" si="167"/>
        <v>#N/A</v>
      </c>
      <c r="U2132" s="5" t="e">
        <f t="shared" si="168"/>
        <v>#N/A</v>
      </c>
      <c r="V2132" s="23" t="e">
        <f t="shared" si="169"/>
        <v>#N/A</v>
      </c>
    </row>
    <row r="2133" spans="2:22" x14ac:dyDescent="0.25">
      <c r="B2133" s="16">
        <v>0</v>
      </c>
      <c r="C2133" s="7">
        <v>1</v>
      </c>
      <c r="D2133" s="8">
        <v>0</v>
      </c>
      <c r="E2133" s="8">
        <v>0</v>
      </c>
      <c r="F2133" s="8">
        <v>1</v>
      </c>
      <c r="G2133" s="8">
        <v>0</v>
      </c>
      <c r="H2133" s="8">
        <v>1</v>
      </c>
      <c r="I2133" s="8">
        <v>0</v>
      </c>
      <c r="J2133" s="8">
        <v>0</v>
      </c>
      <c r="K2133" s="9">
        <v>0</v>
      </c>
      <c r="L2133" s="10">
        <v>0</v>
      </c>
      <c r="M2133" s="6">
        <v>1</v>
      </c>
      <c r="N2133" s="37" t="e" cm="1">
        <f t="array" ref="N2133">IF(OR(ISNUMBER(FIND(Aux!$D$3:$D$9,_xlfn.TEXTJOIN(,,C2133:K2133)))),NA(),IF(AND(SUM(C2133:F2133,H2133:K2133)=0,G2133=1),0,INT((SUMPRODUCT(C2133:F2133,COLUMN($A$1:$D$1)-1)+SUMPRODUCT(H2133:K2133,COLUMN($E$1:$H$1)-1))*'Line Follower'!$C$3/SUM(C2133:F2133,H2133:K2133)-'Line Follower'!$C$5)))</f>
        <v>#N/A</v>
      </c>
      <c r="O2133" s="22" t="e">
        <v>#N/A</v>
      </c>
      <c r="P2133" s="4" t="e">
        <f t="shared" si="165"/>
        <v>#N/A</v>
      </c>
      <c r="Q2133" s="4" t="e">
        <f t="shared" si="166"/>
        <v>#N/A</v>
      </c>
      <c r="R2133" s="4" t="e">
        <f>IF(AND(B2133=1,N2133&gt;'Line Follower'!$C$7,SUM(C2133:K2133)&lt;4),1,0)</f>
        <v>#N/A</v>
      </c>
      <c r="S2133" s="4" t="e">
        <f>IF(AND(L2133=1,N2133&lt;'Line Follower'!$C$6,SUM(C2133:K2133)&lt;4),1,0)</f>
        <v>#N/A</v>
      </c>
      <c r="T2133" s="4" t="e">
        <f t="shared" si="167"/>
        <v>#N/A</v>
      </c>
      <c r="U2133" s="5" t="e">
        <f t="shared" si="168"/>
        <v>#N/A</v>
      </c>
      <c r="V2133" s="23" t="e">
        <f t="shared" si="169"/>
        <v>#N/A</v>
      </c>
    </row>
    <row r="2134" spans="2:22" x14ac:dyDescent="0.25">
      <c r="B2134" s="16">
        <v>1</v>
      </c>
      <c r="C2134" s="7">
        <v>1</v>
      </c>
      <c r="D2134" s="8">
        <v>0</v>
      </c>
      <c r="E2134" s="8">
        <v>0</v>
      </c>
      <c r="F2134" s="8">
        <v>1</v>
      </c>
      <c r="G2134" s="8">
        <v>0</v>
      </c>
      <c r="H2134" s="8">
        <v>1</v>
      </c>
      <c r="I2134" s="8">
        <v>0</v>
      </c>
      <c r="J2134" s="8">
        <v>0</v>
      </c>
      <c r="K2134" s="9">
        <v>0</v>
      </c>
      <c r="L2134" s="10">
        <v>0</v>
      </c>
      <c r="M2134" s="6">
        <v>1</v>
      </c>
      <c r="N2134" s="37" t="e" cm="1">
        <f t="array" ref="N2134">IF(OR(ISNUMBER(FIND(Aux!$D$3:$D$9,_xlfn.TEXTJOIN(,,C2134:K2134)))),NA(),IF(AND(SUM(C2134:F2134,H2134:K2134)=0,G2134=1),0,INT((SUMPRODUCT(C2134:F2134,COLUMN($A$1:$D$1)-1)+SUMPRODUCT(H2134:K2134,COLUMN($E$1:$H$1)-1))*'Line Follower'!$C$3/SUM(C2134:F2134,H2134:K2134)-'Line Follower'!$C$5)))</f>
        <v>#N/A</v>
      </c>
      <c r="O2134" s="22" t="e">
        <v>#N/A</v>
      </c>
      <c r="P2134" s="4" t="e">
        <f t="shared" si="165"/>
        <v>#N/A</v>
      </c>
      <c r="Q2134" s="4" t="e">
        <f t="shared" si="166"/>
        <v>#N/A</v>
      </c>
      <c r="R2134" s="4" t="e">
        <f>IF(AND(B2134=1,N2134&gt;'Line Follower'!$C$7,SUM(C2134:K2134)&lt;4),1,0)</f>
        <v>#N/A</v>
      </c>
      <c r="S2134" s="4" t="e">
        <f>IF(AND(L2134=1,N2134&lt;'Line Follower'!$C$6,SUM(C2134:K2134)&lt;4),1,0)</f>
        <v>#N/A</v>
      </c>
      <c r="T2134" s="4" t="e">
        <f t="shared" si="167"/>
        <v>#N/A</v>
      </c>
      <c r="U2134" s="5" t="e">
        <f t="shared" si="168"/>
        <v>#N/A</v>
      </c>
      <c r="V2134" s="23" t="e">
        <f t="shared" si="169"/>
        <v>#N/A</v>
      </c>
    </row>
    <row r="2135" spans="2:22" x14ac:dyDescent="0.25">
      <c r="B2135" s="16">
        <v>0</v>
      </c>
      <c r="C2135" s="7">
        <v>0</v>
      </c>
      <c r="D2135" s="8">
        <v>1</v>
      </c>
      <c r="E2135" s="8">
        <v>0</v>
      </c>
      <c r="F2135" s="8">
        <v>1</v>
      </c>
      <c r="G2135" s="8">
        <v>0</v>
      </c>
      <c r="H2135" s="8">
        <v>1</v>
      </c>
      <c r="I2135" s="8">
        <v>0</v>
      </c>
      <c r="J2135" s="8">
        <v>0</v>
      </c>
      <c r="K2135" s="9">
        <v>0</v>
      </c>
      <c r="L2135" s="10">
        <v>0</v>
      </c>
      <c r="M2135" s="6">
        <v>1</v>
      </c>
      <c r="N2135" s="37" t="e" cm="1">
        <f t="array" ref="N2135">IF(OR(ISNUMBER(FIND(Aux!$D$3:$D$9,_xlfn.TEXTJOIN(,,C2135:K2135)))),NA(),IF(AND(SUM(C2135:F2135,H2135:K2135)=0,G2135=1),0,INT((SUMPRODUCT(C2135:F2135,COLUMN($A$1:$D$1)-1)+SUMPRODUCT(H2135:K2135,COLUMN($E$1:$H$1)-1))*'Line Follower'!$C$3/SUM(C2135:F2135,H2135:K2135)-'Line Follower'!$C$5)))</f>
        <v>#N/A</v>
      </c>
      <c r="O2135" s="22" t="e">
        <v>#N/A</v>
      </c>
      <c r="P2135" s="4" t="e">
        <f t="shared" si="165"/>
        <v>#N/A</v>
      </c>
      <c r="Q2135" s="4" t="e">
        <f t="shared" si="166"/>
        <v>#N/A</v>
      </c>
      <c r="R2135" s="4" t="e">
        <f>IF(AND(B2135=1,N2135&gt;'Line Follower'!$C$7,SUM(C2135:K2135)&lt;4),1,0)</f>
        <v>#N/A</v>
      </c>
      <c r="S2135" s="4" t="e">
        <f>IF(AND(L2135=1,N2135&lt;'Line Follower'!$C$6,SUM(C2135:K2135)&lt;4),1,0)</f>
        <v>#N/A</v>
      </c>
      <c r="T2135" s="4" t="e">
        <f t="shared" si="167"/>
        <v>#N/A</v>
      </c>
      <c r="U2135" s="5" t="e">
        <f t="shared" si="168"/>
        <v>#N/A</v>
      </c>
      <c r="V2135" s="23" t="e">
        <f t="shared" si="169"/>
        <v>#N/A</v>
      </c>
    </row>
    <row r="2136" spans="2:22" x14ac:dyDescent="0.25">
      <c r="B2136" s="16">
        <v>1</v>
      </c>
      <c r="C2136" s="7">
        <v>0</v>
      </c>
      <c r="D2136" s="8">
        <v>1</v>
      </c>
      <c r="E2136" s="8">
        <v>0</v>
      </c>
      <c r="F2136" s="8">
        <v>1</v>
      </c>
      <c r="G2136" s="8">
        <v>0</v>
      </c>
      <c r="H2136" s="8">
        <v>1</v>
      </c>
      <c r="I2136" s="8">
        <v>0</v>
      </c>
      <c r="J2136" s="8">
        <v>0</v>
      </c>
      <c r="K2136" s="9">
        <v>0</v>
      </c>
      <c r="L2136" s="10">
        <v>0</v>
      </c>
      <c r="M2136" s="6">
        <v>1</v>
      </c>
      <c r="N2136" s="37" t="e" cm="1">
        <f t="array" ref="N2136">IF(OR(ISNUMBER(FIND(Aux!$D$3:$D$9,_xlfn.TEXTJOIN(,,C2136:K2136)))),NA(),IF(AND(SUM(C2136:F2136,H2136:K2136)=0,G2136=1),0,INT((SUMPRODUCT(C2136:F2136,COLUMN($A$1:$D$1)-1)+SUMPRODUCT(H2136:K2136,COLUMN($E$1:$H$1)-1))*'Line Follower'!$C$3/SUM(C2136:F2136,H2136:K2136)-'Line Follower'!$C$5)))</f>
        <v>#N/A</v>
      </c>
      <c r="O2136" s="22" t="e">
        <v>#N/A</v>
      </c>
      <c r="P2136" s="4" t="e">
        <f t="shared" si="165"/>
        <v>#N/A</v>
      </c>
      <c r="Q2136" s="4" t="e">
        <f t="shared" si="166"/>
        <v>#N/A</v>
      </c>
      <c r="R2136" s="4" t="e">
        <f>IF(AND(B2136=1,N2136&gt;'Line Follower'!$C$7,SUM(C2136:K2136)&lt;4),1,0)</f>
        <v>#N/A</v>
      </c>
      <c r="S2136" s="4" t="e">
        <f>IF(AND(L2136=1,N2136&lt;'Line Follower'!$C$6,SUM(C2136:K2136)&lt;4),1,0)</f>
        <v>#N/A</v>
      </c>
      <c r="T2136" s="4" t="e">
        <f t="shared" si="167"/>
        <v>#N/A</v>
      </c>
      <c r="U2136" s="5" t="e">
        <f t="shared" si="168"/>
        <v>#N/A</v>
      </c>
      <c r="V2136" s="23" t="e">
        <f t="shared" si="169"/>
        <v>#N/A</v>
      </c>
    </row>
    <row r="2137" spans="2:22" x14ac:dyDescent="0.25">
      <c r="B2137" s="16">
        <v>0</v>
      </c>
      <c r="C2137" s="7">
        <v>1</v>
      </c>
      <c r="D2137" s="8">
        <v>1</v>
      </c>
      <c r="E2137" s="8">
        <v>0</v>
      </c>
      <c r="F2137" s="8">
        <v>1</v>
      </c>
      <c r="G2137" s="8">
        <v>0</v>
      </c>
      <c r="H2137" s="8">
        <v>1</v>
      </c>
      <c r="I2137" s="8">
        <v>0</v>
      </c>
      <c r="J2137" s="8">
        <v>0</v>
      </c>
      <c r="K2137" s="9">
        <v>0</v>
      </c>
      <c r="L2137" s="10">
        <v>0</v>
      </c>
      <c r="M2137" s="6">
        <v>1</v>
      </c>
      <c r="N2137" s="37" t="e" cm="1">
        <f t="array" ref="N2137">IF(OR(ISNUMBER(FIND(Aux!$D$3:$D$9,_xlfn.TEXTJOIN(,,C2137:K2137)))),NA(),IF(AND(SUM(C2137:F2137,H2137:K2137)=0,G2137=1),0,INT((SUMPRODUCT(C2137:F2137,COLUMN($A$1:$D$1)-1)+SUMPRODUCT(H2137:K2137,COLUMN($E$1:$H$1)-1))*'Line Follower'!$C$3/SUM(C2137:F2137,H2137:K2137)-'Line Follower'!$C$5)))</f>
        <v>#N/A</v>
      </c>
      <c r="O2137" s="22" t="e">
        <v>#N/A</v>
      </c>
      <c r="P2137" s="4" t="e">
        <f t="shared" si="165"/>
        <v>#N/A</v>
      </c>
      <c r="Q2137" s="4" t="e">
        <f t="shared" si="166"/>
        <v>#N/A</v>
      </c>
      <c r="R2137" s="4" t="e">
        <f>IF(AND(B2137=1,N2137&gt;'Line Follower'!$C$7,SUM(C2137:K2137)&lt;4),1,0)</f>
        <v>#N/A</v>
      </c>
      <c r="S2137" s="4" t="e">
        <f>IF(AND(L2137=1,N2137&lt;'Line Follower'!$C$6,SUM(C2137:K2137)&lt;4),1,0)</f>
        <v>#N/A</v>
      </c>
      <c r="T2137" s="4" t="e">
        <f t="shared" si="167"/>
        <v>#N/A</v>
      </c>
      <c r="U2137" s="5" t="e">
        <f t="shared" si="168"/>
        <v>#N/A</v>
      </c>
      <c r="V2137" s="23" t="e">
        <f t="shared" si="169"/>
        <v>#N/A</v>
      </c>
    </row>
    <row r="2138" spans="2:22" x14ac:dyDescent="0.25">
      <c r="B2138" s="16">
        <v>1</v>
      </c>
      <c r="C2138" s="7">
        <v>1</v>
      </c>
      <c r="D2138" s="8">
        <v>1</v>
      </c>
      <c r="E2138" s="8">
        <v>0</v>
      </c>
      <c r="F2138" s="8">
        <v>1</v>
      </c>
      <c r="G2138" s="8">
        <v>0</v>
      </c>
      <c r="H2138" s="8">
        <v>1</v>
      </c>
      <c r="I2138" s="8">
        <v>0</v>
      </c>
      <c r="J2138" s="8">
        <v>0</v>
      </c>
      <c r="K2138" s="9">
        <v>0</v>
      </c>
      <c r="L2138" s="10">
        <v>0</v>
      </c>
      <c r="M2138" s="6">
        <v>1</v>
      </c>
      <c r="N2138" s="37" t="e" cm="1">
        <f t="array" ref="N2138">IF(OR(ISNUMBER(FIND(Aux!$D$3:$D$9,_xlfn.TEXTJOIN(,,C2138:K2138)))),NA(),IF(AND(SUM(C2138:F2138,H2138:K2138)=0,G2138=1),0,INT((SUMPRODUCT(C2138:F2138,COLUMN($A$1:$D$1)-1)+SUMPRODUCT(H2138:K2138,COLUMN($E$1:$H$1)-1))*'Line Follower'!$C$3/SUM(C2138:F2138,H2138:K2138)-'Line Follower'!$C$5)))</f>
        <v>#N/A</v>
      </c>
      <c r="O2138" s="22" t="e">
        <v>#N/A</v>
      </c>
      <c r="P2138" s="4" t="e">
        <f t="shared" si="165"/>
        <v>#N/A</v>
      </c>
      <c r="Q2138" s="4" t="e">
        <f t="shared" si="166"/>
        <v>#N/A</v>
      </c>
      <c r="R2138" s="4" t="e">
        <f>IF(AND(B2138=1,N2138&gt;'Line Follower'!$C$7,SUM(C2138:K2138)&lt;4),1,0)</f>
        <v>#N/A</v>
      </c>
      <c r="S2138" s="4" t="e">
        <f>IF(AND(L2138=1,N2138&lt;'Line Follower'!$C$6,SUM(C2138:K2138)&lt;4),1,0)</f>
        <v>#N/A</v>
      </c>
      <c r="T2138" s="4" t="e">
        <f t="shared" si="167"/>
        <v>#N/A</v>
      </c>
      <c r="U2138" s="5" t="e">
        <f t="shared" si="168"/>
        <v>#N/A</v>
      </c>
      <c r="V2138" s="23" t="e">
        <f t="shared" si="169"/>
        <v>#N/A</v>
      </c>
    </row>
    <row r="2139" spans="2:22" x14ac:dyDescent="0.25">
      <c r="B2139" s="16">
        <v>0</v>
      </c>
      <c r="C2139" s="7">
        <v>0</v>
      </c>
      <c r="D2139" s="8">
        <v>0</v>
      </c>
      <c r="E2139" s="8">
        <v>1</v>
      </c>
      <c r="F2139" s="8">
        <v>1</v>
      </c>
      <c r="G2139" s="8">
        <v>0</v>
      </c>
      <c r="H2139" s="8">
        <v>1</v>
      </c>
      <c r="I2139" s="8">
        <v>0</v>
      </c>
      <c r="J2139" s="8">
        <v>0</v>
      </c>
      <c r="K2139" s="9">
        <v>0</v>
      </c>
      <c r="L2139" s="10">
        <v>0</v>
      </c>
      <c r="M2139" s="6">
        <v>1</v>
      </c>
      <c r="N2139" s="37" t="e" cm="1">
        <f t="array" ref="N2139">IF(OR(ISNUMBER(FIND(Aux!$D$3:$D$9,_xlfn.TEXTJOIN(,,C2139:K2139)))),NA(),IF(AND(SUM(C2139:F2139,H2139:K2139)=0,G2139=1),0,INT((SUMPRODUCT(C2139:F2139,COLUMN($A$1:$D$1)-1)+SUMPRODUCT(H2139:K2139,COLUMN($E$1:$H$1)-1))*'Line Follower'!$C$3/SUM(C2139:F2139,H2139:K2139)-'Line Follower'!$C$5)))</f>
        <v>#N/A</v>
      </c>
      <c r="O2139" s="22" t="e">
        <v>#N/A</v>
      </c>
      <c r="P2139" s="4" t="e">
        <f t="shared" si="165"/>
        <v>#N/A</v>
      </c>
      <c r="Q2139" s="4" t="e">
        <f t="shared" si="166"/>
        <v>#N/A</v>
      </c>
      <c r="R2139" s="4" t="e">
        <f>IF(AND(B2139=1,N2139&gt;'Line Follower'!$C$7,SUM(C2139:K2139)&lt;4),1,0)</f>
        <v>#N/A</v>
      </c>
      <c r="S2139" s="4" t="e">
        <f>IF(AND(L2139=1,N2139&lt;'Line Follower'!$C$6,SUM(C2139:K2139)&lt;4),1,0)</f>
        <v>#N/A</v>
      </c>
      <c r="T2139" s="4" t="e">
        <f t="shared" si="167"/>
        <v>#N/A</v>
      </c>
      <c r="U2139" s="5" t="e">
        <f t="shared" si="168"/>
        <v>#N/A</v>
      </c>
      <c r="V2139" s="23" t="e">
        <f t="shared" si="169"/>
        <v>#N/A</v>
      </c>
    </row>
    <row r="2140" spans="2:22" x14ac:dyDescent="0.25">
      <c r="B2140" s="16">
        <v>1</v>
      </c>
      <c r="C2140" s="7">
        <v>0</v>
      </c>
      <c r="D2140" s="8">
        <v>0</v>
      </c>
      <c r="E2140" s="8">
        <v>1</v>
      </c>
      <c r="F2140" s="8">
        <v>1</v>
      </c>
      <c r="G2140" s="8">
        <v>0</v>
      </c>
      <c r="H2140" s="8">
        <v>1</v>
      </c>
      <c r="I2140" s="8">
        <v>0</v>
      </c>
      <c r="J2140" s="8">
        <v>0</v>
      </c>
      <c r="K2140" s="9">
        <v>0</v>
      </c>
      <c r="L2140" s="10">
        <v>0</v>
      </c>
      <c r="M2140" s="6">
        <v>1</v>
      </c>
      <c r="N2140" s="37" t="e" cm="1">
        <f t="array" ref="N2140">IF(OR(ISNUMBER(FIND(Aux!$D$3:$D$9,_xlfn.TEXTJOIN(,,C2140:K2140)))),NA(),IF(AND(SUM(C2140:F2140,H2140:K2140)=0,G2140=1),0,INT((SUMPRODUCT(C2140:F2140,COLUMN($A$1:$D$1)-1)+SUMPRODUCT(H2140:K2140,COLUMN($E$1:$H$1)-1))*'Line Follower'!$C$3/SUM(C2140:F2140,H2140:K2140)-'Line Follower'!$C$5)))</f>
        <v>#N/A</v>
      </c>
      <c r="O2140" s="22" t="e">
        <v>#N/A</v>
      </c>
      <c r="P2140" s="4" t="e">
        <f t="shared" si="165"/>
        <v>#N/A</v>
      </c>
      <c r="Q2140" s="4" t="e">
        <f t="shared" si="166"/>
        <v>#N/A</v>
      </c>
      <c r="R2140" s="4" t="e">
        <f>IF(AND(B2140=1,N2140&gt;'Line Follower'!$C$7,SUM(C2140:K2140)&lt;4),1,0)</f>
        <v>#N/A</v>
      </c>
      <c r="S2140" s="4" t="e">
        <f>IF(AND(L2140=1,N2140&lt;'Line Follower'!$C$6,SUM(C2140:K2140)&lt;4),1,0)</f>
        <v>#N/A</v>
      </c>
      <c r="T2140" s="4" t="e">
        <f t="shared" si="167"/>
        <v>#N/A</v>
      </c>
      <c r="U2140" s="5" t="e">
        <f t="shared" si="168"/>
        <v>#N/A</v>
      </c>
      <c r="V2140" s="23" t="e">
        <f t="shared" si="169"/>
        <v>#N/A</v>
      </c>
    </row>
    <row r="2141" spans="2:22" x14ac:dyDescent="0.25">
      <c r="B2141" s="16">
        <v>0</v>
      </c>
      <c r="C2141" s="7">
        <v>1</v>
      </c>
      <c r="D2141" s="8">
        <v>0</v>
      </c>
      <c r="E2141" s="8">
        <v>1</v>
      </c>
      <c r="F2141" s="8">
        <v>1</v>
      </c>
      <c r="G2141" s="8">
        <v>0</v>
      </c>
      <c r="H2141" s="8">
        <v>1</v>
      </c>
      <c r="I2141" s="8">
        <v>0</v>
      </c>
      <c r="J2141" s="8">
        <v>0</v>
      </c>
      <c r="K2141" s="9">
        <v>0</v>
      </c>
      <c r="L2141" s="10">
        <v>0</v>
      </c>
      <c r="M2141" s="6">
        <v>1</v>
      </c>
      <c r="N2141" s="37" t="e" cm="1">
        <f t="array" ref="N2141">IF(OR(ISNUMBER(FIND(Aux!$D$3:$D$9,_xlfn.TEXTJOIN(,,C2141:K2141)))),NA(),IF(AND(SUM(C2141:F2141,H2141:K2141)=0,G2141=1),0,INT((SUMPRODUCT(C2141:F2141,COLUMN($A$1:$D$1)-1)+SUMPRODUCT(H2141:K2141,COLUMN($E$1:$H$1)-1))*'Line Follower'!$C$3/SUM(C2141:F2141,H2141:K2141)-'Line Follower'!$C$5)))</f>
        <v>#N/A</v>
      </c>
      <c r="O2141" s="22" t="e">
        <v>#N/A</v>
      </c>
      <c r="P2141" s="4" t="e">
        <f t="shared" si="165"/>
        <v>#N/A</v>
      </c>
      <c r="Q2141" s="4" t="e">
        <f t="shared" si="166"/>
        <v>#N/A</v>
      </c>
      <c r="R2141" s="4" t="e">
        <f>IF(AND(B2141=1,N2141&gt;'Line Follower'!$C$7,SUM(C2141:K2141)&lt;4),1,0)</f>
        <v>#N/A</v>
      </c>
      <c r="S2141" s="4" t="e">
        <f>IF(AND(L2141=1,N2141&lt;'Line Follower'!$C$6,SUM(C2141:K2141)&lt;4),1,0)</f>
        <v>#N/A</v>
      </c>
      <c r="T2141" s="4" t="e">
        <f t="shared" si="167"/>
        <v>#N/A</v>
      </c>
      <c r="U2141" s="5" t="e">
        <f t="shared" si="168"/>
        <v>#N/A</v>
      </c>
      <c r="V2141" s="23" t="e">
        <f t="shared" si="169"/>
        <v>#N/A</v>
      </c>
    </row>
    <row r="2142" spans="2:22" x14ac:dyDescent="0.25">
      <c r="B2142" s="16">
        <v>1</v>
      </c>
      <c r="C2142" s="7">
        <v>1</v>
      </c>
      <c r="D2142" s="8">
        <v>0</v>
      </c>
      <c r="E2142" s="8">
        <v>1</v>
      </c>
      <c r="F2142" s="8">
        <v>1</v>
      </c>
      <c r="G2142" s="8">
        <v>0</v>
      </c>
      <c r="H2142" s="8">
        <v>1</v>
      </c>
      <c r="I2142" s="8">
        <v>0</v>
      </c>
      <c r="J2142" s="8">
        <v>0</v>
      </c>
      <c r="K2142" s="9">
        <v>0</v>
      </c>
      <c r="L2142" s="10">
        <v>0</v>
      </c>
      <c r="M2142" s="6">
        <v>1</v>
      </c>
      <c r="N2142" s="37" t="e" cm="1">
        <f t="array" ref="N2142">IF(OR(ISNUMBER(FIND(Aux!$D$3:$D$9,_xlfn.TEXTJOIN(,,C2142:K2142)))),NA(),IF(AND(SUM(C2142:F2142,H2142:K2142)=0,G2142=1),0,INT((SUMPRODUCT(C2142:F2142,COLUMN($A$1:$D$1)-1)+SUMPRODUCT(H2142:K2142,COLUMN($E$1:$H$1)-1))*'Line Follower'!$C$3/SUM(C2142:F2142,H2142:K2142)-'Line Follower'!$C$5)))</f>
        <v>#N/A</v>
      </c>
      <c r="O2142" s="22" t="e">
        <v>#N/A</v>
      </c>
      <c r="P2142" s="4" t="e">
        <f t="shared" si="165"/>
        <v>#N/A</v>
      </c>
      <c r="Q2142" s="4" t="e">
        <f t="shared" si="166"/>
        <v>#N/A</v>
      </c>
      <c r="R2142" s="4" t="e">
        <f>IF(AND(B2142=1,N2142&gt;'Line Follower'!$C$7,SUM(C2142:K2142)&lt;4),1,0)</f>
        <v>#N/A</v>
      </c>
      <c r="S2142" s="4" t="e">
        <f>IF(AND(L2142=1,N2142&lt;'Line Follower'!$C$6,SUM(C2142:K2142)&lt;4),1,0)</f>
        <v>#N/A</v>
      </c>
      <c r="T2142" s="4" t="e">
        <f t="shared" si="167"/>
        <v>#N/A</v>
      </c>
      <c r="U2142" s="5" t="e">
        <f t="shared" si="168"/>
        <v>#N/A</v>
      </c>
      <c r="V2142" s="23" t="e">
        <f t="shared" si="169"/>
        <v>#N/A</v>
      </c>
    </row>
    <row r="2143" spans="2:22" x14ac:dyDescent="0.25">
      <c r="B2143" s="16">
        <v>0</v>
      </c>
      <c r="C2143" s="7">
        <v>0</v>
      </c>
      <c r="D2143" s="8">
        <v>1</v>
      </c>
      <c r="E2143" s="8">
        <v>1</v>
      </c>
      <c r="F2143" s="8">
        <v>1</v>
      </c>
      <c r="G2143" s="8">
        <v>0</v>
      </c>
      <c r="H2143" s="8">
        <v>1</v>
      </c>
      <c r="I2143" s="8">
        <v>0</v>
      </c>
      <c r="J2143" s="8">
        <v>0</v>
      </c>
      <c r="K2143" s="9">
        <v>0</v>
      </c>
      <c r="L2143" s="10">
        <v>0</v>
      </c>
      <c r="M2143" s="6">
        <v>1</v>
      </c>
      <c r="N2143" s="37" t="e" cm="1">
        <f t="array" ref="N2143">IF(OR(ISNUMBER(FIND(Aux!$D$3:$D$9,_xlfn.TEXTJOIN(,,C2143:K2143)))),NA(),IF(AND(SUM(C2143:F2143,H2143:K2143)=0,G2143=1),0,INT((SUMPRODUCT(C2143:F2143,COLUMN($A$1:$D$1)-1)+SUMPRODUCT(H2143:K2143,COLUMN($E$1:$H$1)-1))*'Line Follower'!$C$3/SUM(C2143:F2143,H2143:K2143)-'Line Follower'!$C$5)))</f>
        <v>#N/A</v>
      </c>
      <c r="O2143" s="22" t="e">
        <v>#N/A</v>
      </c>
      <c r="P2143" s="4" t="e">
        <f t="shared" si="165"/>
        <v>#N/A</v>
      </c>
      <c r="Q2143" s="4" t="e">
        <f t="shared" si="166"/>
        <v>#N/A</v>
      </c>
      <c r="R2143" s="4" t="e">
        <f>IF(AND(B2143=1,N2143&gt;'Line Follower'!$C$7,SUM(C2143:K2143)&lt;4),1,0)</f>
        <v>#N/A</v>
      </c>
      <c r="S2143" s="4" t="e">
        <f>IF(AND(L2143=1,N2143&lt;'Line Follower'!$C$6,SUM(C2143:K2143)&lt;4),1,0)</f>
        <v>#N/A</v>
      </c>
      <c r="T2143" s="4" t="e">
        <f t="shared" si="167"/>
        <v>#N/A</v>
      </c>
      <c r="U2143" s="5" t="e">
        <f t="shared" si="168"/>
        <v>#N/A</v>
      </c>
      <c r="V2143" s="23" t="e">
        <f t="shared" si="169"/>
        <v>#N/A</v>
      </c>
    </row>
    <row r="2144" spans="2:22" x14ac:dyDescent="0.25">
      <c r="B2144" s="16">
        <v>1</v>
      </c>
      <c r="C2144" s="7">
        <v>0</v>
      </c>
      <c r="D2144" s="8">
        <v>1</v>
      </c>
      <c r="E2144" s="8">
        <v>1</v>
      </c>
      <c r="F2144" s="8">
        <v>1</v>
      </c>
      <c r="G2144" s="8">
        <v>0</v>
      </c>
      <c r="H2144" s="8">
        <v>1</v>
      </c>
      <c r="I2144" s="8">
        <v>0</v>
      </c>
      <c r="J2144" s="8">
        <v>0</v>
      </c>
      <c r="K2144" s="9">
        <v>0</v>
      </c>
      <c r="L2144" s="10">
        <v>0</v>
      </c>
      <c r="M2144" s="6">
        <v>1</v>
      </c>
      <c r="N2144" s="37" t="e" cm="1">
        <f t="array" ref="N2144">IF(OR(ISNUMBER(FIND(Aux!$D$3:$D$9,_xlfn.TEXTJOIN(,,C2144:K2144)))),NA(),IF(AND(SUM(C2144:F2144,H2144:K2144)=0,G2144=1),0,INT((SUMPRODUCT(C2144:F2144,COLUMN($A$1:$D$1)-1)+SUMPRODUCT(H2144:K2144,COLUMN($E$1:$H$1)-1))*'Line Follower'!$C$3/SUM(C2144:F2144,H2144:K2144)-'Line Follower'!$C$5)))</f>
        <v>#N/A</v>
      </c>
      <c r="O2144" s="22" t="e">
        <v>#N/A</v>
      </c>
      <c r="P2144" s="4" t="e">
        <f t="shared" si="165"/>
        <v>#N/A</v>
      </c>
      <c r="Q2144" s="4" t="e">
        <f t="shared" si="166"/>
        <v>#N/A</v>
      </c>
      <c r="R2144" s="4" t="e">
        <f>IF(AND(B2144=1,N2144&gt;'Line Follower'!$C$7,SUM(C2144:K2144)&lt;4),1,0)</f>
        <v>#N/A</v>
      </c>
      <c r="S2144" s="4" t="e">
        <f>IF(AND(L2144=1,N2144&lt;'Line Follower'!$C$6,SUM(C2144:K2144)&lt;4),1,0)</f>
        <v>#N/A</v>
      </c>
      <c r="T2144" s="4" t="e">
        <f t="shared" si="167"/>
        <v>#N/A</v>
      </c>
      <c r="U2144" s="5" t="e">
        <f t="shared" si="168"/>
        <v>#N/A</v>
      </c>
      <c r="V2144" s="23" t="e">
        <f t="shared" si="169"/>
        <v>#N/A</v>
      </c>
    </row>
    <row r="2145" spans="2:22" x14ac:dyDescent="0.25">
      <c r="B2145" s="16">
        <v>0</v>
      </c>
      <c r="C2145" s="7">
        <v>1</v>
      </c>
      <c r="D2145" s="8">
        <v>1</v>
      </c>
      <c r="E2145" s="8">
        <v>1</v>
      </c>
      <c r="F2145" s="8">
        <v>1</v>
      </c>
      <c r="G2145" s="8">
        <v>0</v>
      </c>
      <c r="H2145" s="8">
        <v>1</v>
      </c>
      <c r="I2145" s="8">
        <v>0</v>
      </c>
      <c r="J2145" s="8">
        <v>0</v>
      </c>
      <c r="K2145" s="9">
        <v>0</v>
      </c>
      <c r="L2145" s="10">
        <v>0</v>
      </c>
      <c r="M2145" s="6">
        <v>1</v>
      </c>
      <c r="N2145" s="37" t="e" cm="1">
        <f t="array" ref="N2145">IF(OR(ISNUMBER(FIND(Aux!$D$3:$D$9,_xlfn.TEXTJOIN(,,C2145:K2145)))),NA(),IF(AND(SUM(C2145:F2145,H2145:K2145)=0,G2145=1),0,INT((SUMPRODUCT(C2145:F2145,COLUMN($A$1:$D$1)-1)+SUMPRODUCT(H2145:K2145,COLUMN($E$1:$H$1)-1))*'Line Follower'!$C$3/SUM(C2145:F2145,H2145:K2145)-'Line Follower'!$C$5)))</f>
        <v>#N/A</v>
      </c>
      <c r="O2145" s="22" t="e">
        <v>#N/A</v>
      </c>
      <c r="P2145" s="4" t="e">
        <f t="shared" si="165"/>
        <v>#N/A</v>
      </c>
      <c r="Q2145" s="4" t="e">
        <f t="shared" si="166"/>
        <v>#N/A</v>
      </c>
      <c r="R2145" s="4" t="e">
        <f>IF(AND(B2145=1,N2145&gt;'Line Follower'!$C$7,SUM(C2145:K2145)&lt;4),1,0)</f>
        <v>#N/A</v>
      </c>
      <c r="S2145" s="4" t="e">
        <f>IF(AND(L2145=1,N2145&lt;'Line Follower'!$C$6,SUM(C2145:K2145)&lt;4),1,0)</f>
        <v>#N/A</v>
      </c>
      <c r="T2145" s="4" t="e">
        <f t="shared" si="167"/>
        <v>#N/A</v>
      </c>
      <c r="U2145" s="5" t="e">
        <f t="shared" si="168"/>
        <v>#N/A</v>
      </c>
      <c r="V2145" s="23" t="e">
        <f t="shared" si="169"/>
        <v>#N/A</v>
      </c>
    </row>
    <row r="2146" spans="2:22" x14ac:dyDescent="0.25">
      <c r="B2146" s="16">
        <v>1</v>
      </c>
      <c r="C2146" s="7">
        <v>1</v>
      </c>
      <c r="D2146" s="8">
        <v>1</v>
      </c>
      <c r="E2146" s="8">
        <v>1</v>
      </c>
      <c r="F2146" s="8">
        <v>1</v>
      </c>
      <c r="G2146" s="8">
        <v>0</v>
      </c>
      <c r="H2146" s="8">
        <v>1</v>
      </c>
      <c r="I2146" s="8">
        <v>0</v>
      </c>
      <c r="J2146" s="8">
        <v>0</v>
      </c>
      <c r="K2146" s="9">
        <v>0</v>
      </c>
      <c r="L2146" s="10">
        <v>0</v>
      </c>
      <c r="M2146" s="6">
        <v>1</v>
      </c>
      <c r="N2146" s="37" t="e" cm="1">
        <f t="array" ref="N2146">IF(OR(ISNUMBER(FIND(Aux!$D$3:$D$9,_xlfn.TEXTJOIN(,,C2146:K2146)))),NA(),IF(AND(SUM(C2146:F2146,H2146:K2146)=0,G2146=1),0,INT((SUMPRODUCT(C2146:F2146,COLUMN($A$1:$D$1)-1)+SUMPRODUCT(H2146:K2146,COLUMN($E$1:$H$1)-1))*'Line Follower'!$C$3/SUM(C2146:F2146,H2146:K2146)-'Line Follower'!$C$5)))</f>
        <v>#N/A</v>
      </c>
      <c r="O2146" s="22" t="e">
        <v>#N/A</v>
      </c>
      <c r="P2146" s="4" t="e">
        <f t="shared" si="165"/>
        <v>#N/A</v>
      </c>
      <c r="Q2146" s="4" t="e">
        <f t="shared" si="166"/>
        <v>#N/A</v>
      </c>
      <c r="R2146" s="4" t="e">
        <f>IF(AND(B2146=1,N2146&gt;'Line Follower'!$C$7,SUM(C2146:K2146)&lt;4),1,0)</f>
        <v>#N/A</v>
      </c>
      <c r="S2146" s="4" t="e">
        <f>IF(AND(L2146=1,N2146&lt;'Line Follower'!$C$6,SUM(C2146:K2146)&lt;4),1,0)</f>
        <v>#N/A</v>
      </c>
      <c r="T2146" s="4" t="e">
        <f t="shared" si="167"/>
        <v>#N/A</v>
      </c>
      <c r="U2146" s="5" t="e">
        <f t="shared" si="168"/>
        <v>#N/A</v>
      </c>
      <c r="V2146" s="23" t="e">
        <f t="shared" si="169"/>
        <v>#N/A</v>
      </c>
    </row>
    <row r="2147" spans="2:22" x14ac:dyDescent="0.25">
      <c r="B2147" s="16">
        <v>0</v>
      </c>
      <c r="C2147" s="7">
        <v>0</v>
      </c>
      <c r="D2147" s="8">
        <v>0</v>
      </c>
      <c r="E2147" s="8">
        <v>0</v>
      </c>
      <c r="F2147" s="8">
        <v>0</v>
      </c>
      <c r="G2147" s="8">
        <v>1</v>
      </c>
      <c r="H2147" s="8">
        <v>1</v>
      </c>
      <c r="I2147" s="8">
        <v>0</v>
      </c>
      <c r="J2147" s="8">
        <v>0</v>
      </c>
      <c r="K2147" s="9">
        <v>0</v>
      </c>
      <c r="L2147" s="10">
        <v>0</v>
      </c>
      <c r="M2147" s="6">
        <v>1</v>
      </c>
      <c r="N2147" s="37" cm="1">
        <f t="array" ref="N2147">IF(OR(ISNUMBER(FIND(Aux!$D$3:$D$9,_xlfn.TEXTJOIN(,,C2147:K2147)))),NA(),IF(AND(SUM(C2147:F2147,H2147:K2147)=0,G2147=1),0,INT((SUMPRODUCT(C2147:F2147,COLUMN($A$1:$D$1)-1)+SUMPRODUCT(H2147:K2147,COLUMN($E$1:$H$1)-1))*'Line Follower'!$C$3/SUM(C2147:F2147,H2147:K2147)-'Line Follower'!$C$5)))</f>
        <v>1</v>
      </c>
      <c r="O2147" s="22">
        <v>1</v>
      </c>
      <c r="P2147" s="4">
        <f t="shared" si="165"/>
        <v>0</v>
      </c>
      <c r="Q2147" s="4">
        <f t="shared" si="166"/>
        <v>0</v>
      </c>
      <c r="R2147" s="4">
        <f>IF(AND(B2147=1,N2147&gt;'Line Follower'!$C$7,SUM(C2147:K2147)&lt;4),1,0)</f>
        <v>0</v>
      </c>
      <c r="S2147" s="4">
        <f>IF(AND(L2147=1,N2147&lt;'Line Follower'!$C$6,SUM(C2147:K2147)&lt;4),1,0)</f>
        <v>0</v>
      </c>
      <c r="T2147" s="4">
        <f t="shared" si="167"/>
        <v>0</v>
      </c>
      <c r="U2147" s="5">
        <f t="shared" si="168"/>
        <v>0</v>
      </c>
      <c r="V2147" s="23">
        <f t="shared" si="169"/>
        <v>0</v>
      </c>
    </row>
    <row r="2148" spans="2:22" x14ac:dyDescent="0.25">
      <c r="B2148" s="16">
        <v>1</v>
      </c>
      <c r="C2148" s="7">
        <v>0</v>
      </c>
      <c r="D2148" s="8">
        <v>0</v>
      </c>
      <c r="E2148" s="8">
        <v>0</v>
      </c>
      <c r="F2148" s="8">
        <v>0</v>
      </c>
      <c r="G2148" s="8">
        <v>1</v>
      </c>
      <c r="H2148" s="8">
        <v>1</v>
      </c>
      <c r="I2148" s="8">
        <v>0</v>
      </c>
      <c r="J2148" s="8">
        <v>0</v>
      </c>
      <c r="K2148" s="9">
        <v>0</v>
      </c>
      <c r="L2148" s="10">
        <v>0</v>
      </c>
      <c r="M2148" s="6">
        <v>1</v>
      </c>
      <c r="N2148" s="37" cm="1">
        <f t="array" ref="N2148">IF(OR(ISNUMBER(FIND(Aux!$D$3:$D$9,_xlfn.TEXTJOIN(,,C2148:K2148)))),NA(),IF(AND(SUM(C2148:F2148,H2148:K2148)=0,G2148=1),0,INT((SUMPRODUCT(C2148:F2148,COLUMN($A$1:$D$1)-1)+SUMPRODUCT(H2148:K2148,COLUMN($E$1:$H$1)-1))*'Line Follower'!$C$3/SUM(C2148:F2148,H2148:K2148)-'Line Follower'!$C$5)))</f>
        <v>1</v>
      </c>
      <c r="O2148" s="22">
        <v>1</v>
      </c>
      <c r="P2148" s="4">
        <f t="shared" si="165"/>
        <v>0</v>
      </c>
      <c r="Q2148" s="4">
        <f t="shared" si="166"/>
        <v>0</v>
      </c>
      <c r="R2148" s="4">
        <f>IF(AND(B2148=1,N2148&gt;'Line Follower'!$C$7,SUM(C2148:K2148)&lt;4),1,0)</f>
        <v>1</v>
      </c>
      <c r="S2148" s="4">
        <f>IF(AND(L2148=1,N2148&lt;'Line Follower'!$C$6,SUM(C2148:K2148)&lt;4),1,0)</f>
        <v>0</v>
      </c>
      <c r="T2148" s="4">
        <f t="shared" si="167"/>
        <v>0</v>
      </c>
      <c r="U2148" s="5">
        <f t="shared" si="168"/>
        <v>0</v>
      </c>
      <c r="V2148" s="23">
        <f t="shared" si="169"/>
        <v>0</v>
      </c>
    </row>
    <row r="2149" spans="2:22" x14ac:dyDescent="0.25">
      <c r="B2149" s="16">
        <v>0</v>
      </c>
      <c r="C2149" s="7">
        <v>1</v>
      </c>
      <c r="D2149" s="8">
        <v>0</v>
      </c>
      <c r="E2149" s="8">
        <v>0</v>
      </c>
      <c r="F2149" s="8">
        <v>0</v>
      </c>
      <c r="G2149" s="8">
        <v>1</v>
      </c>
      <c r="H2149" s="8">
        <v>1</v>
      </c>
      <c r="I2149" s="8">
        <v>0</v>
      </c>
      <c r="J2149" s="8">
        <v>0</v>
      </c>
      <c r="K2149" s="9">
        <v>0</v>
      </c>
      <c r="L2149" s="10">
        <v>0</v>
      </c>
      <c r="M2149" s="6">
        <v>1</v>
      </c>
      <c r="N2149" s="37" t="e" cm="1">
        <f t="array" ref="N2149">IF(OR(ISNUMBER(FIND(Aux!$D$3:$D$9,_xlfn.TEXTJOIN(,,C2149:K2149)))),NA(),IF(AND(SUM(C2149:F2149,H2149:K2149)=0,G2149=1),0,INT((SUMPRODUCT(C2149:F2149,COLUMN($A$1:$D$1)-1)+SUMPRODUCT(H2149:K2149,COLUMN($E$1:$H$1)-1))*'Line Follower'!$C$3/SUM(C2149:F2149,H2149:K2149)-'Line Follower'!$C$5)))</f>
        <v>#N/A</v>
      </c>
      <c r="O2149" s="22" t="e">
        <v>#N/A</v>
      </c>
      <c r="P2149" s="4" t="e">
        <f t="shared" si="165"/>
        <v>#N/A</v>
      </c>
      <c r="Q2149" s="4" t="e">
        <f t="shared" si="166"/>
        <v>#N/A</v>
      </c>
      <c r="R2149" s="4" t="e">
        <f>IF(AND(B2149=1,N2149&gt;'Line Follower'!$C$7,SUM(C2149:K2149)&lt;4),1,0)</f>
        <v>#N/A</v>
      </c>
      <c r="S2149" s="4" t="e">
        <f>IF(AND(L2149=1,N2149&lt;'Line Follower'!$C$6,SUM(C2149:K2149)&lt;4),1,0)</f>
        <v>#N/A</v>
      </c>
      <c r="T2149" s="4" t="e">
        <f t="shared" si="167"/>
        <v>#N/A</v>
      </c>
      <c r="U2149" s="5" t="e">
        <f t="shared" si="168"/>
        <v>#N/A</v>
      </c>
      <c r="V2149" s="23" t="e">
        <f t="shared" si="169"/>
        <v>#N/A</v>
      </c>
    </row>
    <row r="2150" spans="2:22" x14ac:dyDescent="0.25">
      <c r="B2150" s="16">
        <v>1</v>
      </c>
      <c r="C2150" s="7">
        <v>1</v>
      </c>
      <c r="D2150" s="8">
        <v>0</v>
      </c>
      <c r="E2150" s="8">
        <v>0</v>
      </c>
      <c r="F2150" s="8">
        <v>0</v>
      </c>
      <c r="G2150" s="8">
        <v>1</v>
      </c>
      <c r="H2150" s="8">
        <v>1</v>
      </c>
      <c r="I2150" s="8">
        <v>0</v>
      </c>
      <c r="J2150" s="8">
        <v>0</v>
      </c>
      <c r="K2150" s="9">
        <v>0</v>
      </c>
      <c r="L2150" s="10">
        <v>0</v>
      </c>
      <c r="M2150" s="6">
        <v>1</v>
      </c>
      <c r="N2150" s="37" t="e" cm="1">
        <f t="array" ref="N2150">IF(OR(ISNUMBER(FIND(Aux!$D$3:$D$9,_xlfn.TEXTJOIN(,,C2150:K2150)))),NA(),IF(AND(SUM(C2150:F2150,H2150:K2150)=0,G2150=1),0,INT((SUMPRODUCT(C2150:F2150,COLUMN($A$1:$D$1)-1)+SUMPRODUCT(H2150:K2150,COLUMN($E$1:$H$1)-1))*'Line Follower'!$C$3/SUM(C2150:F2150,H2150:K2150)-'Line Follower'!$C$5)))</f>
        <v>#N/A</v>
      </c>
      <c r="O2150" s="22" t="e">
        <v>#N/A</v>
      </c>
      <c r="P2150" s="4" t="e">
        <f t="shared" si="165"/>
        <v>#N/A</v>
      </c>
      <c r="Q2150" s="4" t="e">
        <f t="shared" si="166"/>
        <v>#N/A</v>
      </c>
      <c r="R2150" s="4" t="e">
        <f>IF(AND(B2150=1,N2150&gt;'Line Follower'!$C$7,SUM(C2150:K2150)&lt;4),1,0)</f>
        <v>#N/A</v>
      </c>
      <c r="S2150" s="4" t="e">
        <f>IF(AND(L2150=1,N2150&lt;'Line Follower'!$C$6,SUM(C2150:K2150)&lt;4),1,0)</f>
        <v>#N/A</v>
      </c>
      <c r="T2150" s="4" t="e">
        <f t="shared" si="167"/>
        <v>#N/A</v>
      </c>
      <c r="U2150" s="5" t="e">
        <f t="shared" si="168"/>
        <v>#N/A</v>
      </c>
      <c r="V2150" s="23" t="e">
        <f t="shared" si="169"/>
        <v>#N/A</v>
      </c>
    </row>
    <row r="2151" spans="2:22" x14ac:dyDescent="0.25">
      <c r="B2151" s="16">
        <v>0</v>
      </c>
      <c r="C2151" s="7">
        <v>0</v>
      </c>
      <c r="D2151" s="8">
        <v>1</v>
      </c>
      <c r="E2151" s="8">
        <v>0</v>
      </c>
      <c r="F2151" s="8">
        <v>0</v>
      </c>
      <c r="G2151" s="8">
        <v>1</v>
      </c>
      <c r="H2151" s="8">
        <v>1</v>
      </c>
      <c r="I2151" s="8">
        <v>0</v>
      </c>
      <c r="J2151" s="8">
        <v>0</v>
      </c>
      <c r="K2151" s="9">
        <v>0</v>
      </c>
      <c r="L2151" s="10">
        <v>0</v>
      </c>
      <c r="M2151" s="6">
        <v>1</v>
      </c>
      <c r="N2151" s="37" t="e" cm="1">
        <f t="array" ref="N2151">IF(OR(ISNUMBER(FIND(Aux!$D$3:$D$9,_xlfn.TEXTJOIN(,,C2151:K2151)))),NA(),IF(AND(SUM(C2151:F2151,H2151:K2151)=0,G2151=1),0,INT((SUMPRODUCT(C2151:F2151,COLUMN($A$1:$D$1)-1)+SUMPRODUCT(H2151:K2151,COLUMN($E$1:$H$1)-1))*'Line Follower'!$C$3/SUM(C2151:F2151,H2151:K2151)-'Line Follower'!$C$5)))</f>
        <v>#N/A</v>
      </c>
      <c r="O2151" s="22" t="e">
        <v>#N/A</v>
      </c>
      <c r="P2151" s="4" t="e">
        <f t="shared" si="165"/>
        <v>#N/A</v>
      </c>
      <c r="Q2151" s="4" t="e">
        <f t="shared" si="166"/>
        <v>#N/A</v>
      </c>
      <c r="R2151" s="4" t="e">
        <f>IF(AND(B2151=1,N2151&gt;'Line Follower'!$C$7,SUM(C2151:K2151)&lt;4),1,0)</f>
        <v>#N/A</v>
      </c>
      <c r="S2151" s="4" t="e">
        <f>IF(AND(L2151=1,N2151&lt;'Line Follower'!$C$6,SUM(C2151:K2151)&lt;4),1,0)</f>
        <v>#N/A</v>
      </c>
      <c r="T2151" s="4" t="e">
        <f t="shared" si="167"/>
        <v>#N/A</v>
      </c>
      <c r="U2151" s="5" t="e">
        <f t="shared" si="168"/>
        <v>#N/A</v>
      </c>
      <c r="V2151" s="23" t="e">
        <f t="shared" si="169"/>
        <v>#N/A</v>
      </c>
    </row>
    <row r="2152" spans="2:22" x14ac:dyDescent="0.25">
      <c r="B2152" s="16">
        <v>1</v>
      </c>
      <c r="C2152" s="7">
        <v>0</v>
      </c>
      <c r="D2152" s="8">
        <v>1</v>
      </c>
      <c r="E2152" s="8">
        <v>0</v>
      </c>
      <c r="F2152" s="8">
        <v>0</v>
      </c>
      <c r="G2152" s="8">
        <v>1</v>
      </c>
      <c r="H2152" s="8">
        <v>1</v>
      </c>
      <c r="I2152" s="8">
        <v>0</v>
      </c>
      <c r="J2152" s="8">
        <v>0</v>
      </c>
      <c r="K2152" s="9">
        <v>0</v>
      </c>
      <c r="L2152" s="10">
        <v>0</v>
      </c>
      <c r="M2152" s="6">
        <v>1</v>
      </c>
      <c r="N2152" s="37" t="e" cm="1">
        <f t="array" ref="N2152">IF(OR(ISNUMBER(FIND(Aux!$D$3:$D$9,_xlfn.TEXTJOIN(,,C2152:K2152)))),NA(),IF(AND(SUM(C2152:F2152,H2152:K2152)=0,G2152=1),0,INT((SUMPRODUCT(C2152:F2152,COLUMN($A$1:$D$1)-1)+SUMPRODUCT(H2152:K2152,COLUMN($E$1:$H$1)-1))*'Line Follower'!$C$3/SUM(C2152:F2152,H2152:K2152)-'Line Follower'!$C$5)))</f>
        <v>#N/A</v>
      </c>
      <c r="O2152" s="22" t="e">
        <v>#N/A</v>
      </c>
      <c r="P2152" s="4" t="e">
        <f t="shared" si="165"/>
        <v>#N/A</v>
      </c>
      <c r="Q2152" s="4" t="e">
        <f t="shared" si="166"/>
        <v>#N/A</v>
      </c>
      <c r="R2152" s="4" t="e">
        <f>IF(AND(B2152=1,N2152&gt;'Line Follower'!$C$7,SUM(C2152:K2152)&lt;4),1,0)</f>
        <v>#N/A</v>
      </c>
      <c r="S2152" s="4" t="e">
        <f>IF(AND(L2152=1,N2152&lt;'Line Follower'!$C$6,SUM(C2152:K2152)&lt;4),1,0)</f>
        <v>#N/A</v>
      </c>
      <c r="T2152" s="4" t="e">
        <f t="shared" si="167"/>
        <v>#N/A</v>
      </c>
      <c r="U2152" s="5" t="e">
        <f t="shared" si="168"/>
        <v>#N/A</v>
      </c>
      <c r="V2152" s="23" t="e">
        <f t="shared" si="169"/>
        <v>#N/A</v>
      </c>
    </row>
    <row r="2153" spans="2:22" x14ac:dyDescent="0.25">
      <c r="B2153" s="16">
        <v>0</v>
      </c>
      <c r="C2153" s="7">
        <v>1</v>
      </c>
      <c r="D2153" s="8">
        <v>1</v>
      </c>
      <c r="E2153" s="8">
        <v>0</v>
      </c>
      <c r="F2153" s="8">
        <v>0</v>
      </c>
      <c r="G2153" s="8">
        <v>1</v>
      </c>
      <c r="H2153" s="8">
        <v>1</v>
      </c>
      <c r="I2153" s="8">
        <v>0</v>
      </c>
      <c r="J2153" s="8">
        <v>0</v>
      </c>
      <c r="K2153" s="9">
        <v>0</v>
      </c>
      <c r="L2153" s="10">
        <v>0</v>
      </c>
      <c r="M2153" s="6">
        <v>1</v>
      </c>
      <c r="N2153" s="37" t="e" cm="1">
        <f t="array" ref="N2153">IF(OR(ISNUMBER(FIND(Aux!$D$3:$D$9,_xlfn.TEXTJOIN(,,C2153:K2153)))),NA(),IF(AND(SUM(C2153:F2153,H2153:K2153)=0,G2153=1),0,INT((SUMPRODUCT(C2153:F2153,COLUMN($A$1:$D$1)-1)+SUMPRODUCT(H2153:K2153,COLUMN($E$1:$H$1)-1))*'Line Follower'!$C$3/SUM(C2153:F2153,H2153:K2153)-'Line Follower'!$C$5)))</f>
        <v>#N/A</v>
      </c>
      <c r="O2153" s="22" t="e">
        <v>#N/A</v>
      </c>
      <c r="P2153" s="4" t="e">
        <f t="shared" si="165"/>
        <v>#N/A</v>
      </c>
      <c r="Q2153" s="4" t="e">
        <f t="shared" si="166"/>
        <v>#N/A</v>
      </c>
      <c r="R2153" s="4" t="e">
        <f>IF(AND(B2153=1,N2153&gt;'Line Follower'!$C$7,SUM(C2153:K2153)&lt;4),1,0)</f>
        <v>#N/A</v>
      </c>
      <c r="S2153" s="4" t="e">
        <f>IF(AND(L2153=1,N2153&lt;'Line Follower'!$C$6,SUM(C2153:K2153)&lt;4),1,0)</f>
        <v>#N/A</v>
      </c>
      <c r="T2153" s="4" t="e">
        <f t="shared" si="167"/>
        <v>#N/A</v>
      </c>
      <c r="U2153" s="5" t="e">
        <f t="shared" si="168"/>
        <v>#N/A</v>
      </c>
      <c r="V2153" s="23" t="e">
        <f t="shared" si="169"/>
        <v>#N/A</v>
      </c>
    </row>
    <row r="2154" spans="2:22" x14ac:dyDescent="0.25">
      <c r="B2154" s="16">
        <v>1</v>
      </c>
      <c r="C2154" s="7">
        <v>1</v>
      </c>
      <c r="D2154" s="8">
        <v>1</v>
      </c>
      <c r="E2154" s="8">
        <v>0</v>
      </c>
      <c r="F2154" s="8">
        <v>0</v>
      </c>
      <c r="G2154" s="8">
        <v>1</v>
      </c>
      <c r="H2154" s="8">
        <v>1</v>
      </c>
      <c r="I2154" s="8">
        <v>0</v>
      </c>
      <c r="J2154" s="8">
        <v>0</v>
      </c>
      <c r="K2154" s="9">
        <v>0</v>
      </c>
      <c r="L2154" s="10">
        <v>0</v>
      </c>
      <c r="M2154" s="6">
        <v>1</v>
      </c>
      <c r="N2154" s="37" t="e" cm="1">
        <f t="array" ref="N2154">IF(OR(ISNUMBER(FIND(Aux!$D$3:$D$9,_xlfn.TEXTJOIN(,,C2154:K2154)))),NA(),IF(AND(SUM(C2154:F2154,H2154:K2154)=0,G2154=1),0,INT((SUMPRODUCT(C2154:F2154,COLUMN($A$1:$D$1)-1)+SUMPRODUCT(H2154:K2154,COLUMN($E$1:$H$1)-1))*'Line Follower'!$C$3/SUM(C2154:F2154,H2154:K2154)-'Line Follower'!$C$5)))</f>
        <v>#N/A</v>
      </c>
      <c r="O2154" s="22" t="e">
        <v>#N/A</v>
      </c>
      <c r="P2154" s="4" t="e">
        <f t="shared" si="165"/>
        <v>#N/A</v>
      </c>
      <c r="Q2154" s="4" t="e">
        <f t="shared" si="166"/>
        <v>#N/A</v>
      </c>
      <c r="R2154" s="4" t="e">
        <f>IF(AND(B2154=1,N2154&gt;'Line Follower'!$C$7,SUM(C2154:K2154)&lt;4),1,0)</f>
        <v>#N/A</v>
      </c>
      <c r="S2154" s="4" t="e">
        <f>IF(AND(L2154=1,N2154&lt;'Line Follower'!$C$6,SUM(C2154:K2154)&lt;4),1,0)</f>
        <v>#N/A</v>
      </c>
      <c r="T2154" s="4" t="e">
        <f t="shared" si="167"/>
        <v>#N/A</v>
      </c>
      <c r="U2154" s="5" t="e">
        <f t="shared" si="168"/>
        <v>#N/A</v>
      </c>
      <c r="V2154" s="23" t="e">
        <f t="shared" si="169"/>
        <v>#N/A</v>
      </c>
    </row>
    <row r="2155" spans="2:22" x14ac:dyDescent="0.25">
      <c r="B2155" s="16">
        <v>0</v>
      </c>
      <c r="C2155" s="7">
        <v>0</v>
      </c>
      <c r="D2155" s="8">
        <v>0</v>
      </c>
      <c r="E2155" s="8">
        <v>1</v>
      </c>
      <c r="F2155" s="8">
        <v>0</v>
      </c>
      <c r="G2155" s="8">
        <v>1</v>
      </c>
      <c r="H2155" s="8">
        <v>1</v>
      </c>
      <c r="I2155" s="8">
        <v>0</v>
      </c>
      <c r="J2155" s="8">
        <v>0</v>
      </c>
      <c r="K2155" s="9">
        <v>0</v>
      </c>
      <c r="L2155" s="10">
        <v>0</v>
      </c>
      <c r="M2155" s="6">
        <v>1</v>
      </c>
      <c r="N2155" s="37" t="e" cm="1">
        <f t="array" ref="N2155">IF(OR(ISNUMBER(FIND(Aux!$D$3:$D$9,_xlfn.TEXTJOIN(,,C2155:K2155)))),NA(),IF(AND(SUM(C2155:F2155,H2155:K2155)=0,G2155=1),0,INT((SUMPRODUCT(C2155:F2155,COLUMN($A$1:$D$1)-1)+SUMPRODUCT(H2155:K2155,COLUMN($E$1:$H$1)-1))*'Line Follower'!$C$3/SUM(C2155:F2155,H2155:K2155)-'Line Follower'!$C$5)))</f>
        <v>#N/A</v>
      </c>
      <c r="O2155" s="22" t="e">
        <v>#N/A</v>
      </c>
      <c r="P2155" s="4" t="e">
        <f t="shared" si="165"/>
        <v>#N/A</v>
      </c>
      <c r="Q2155" s="4" t="e">
        <f t="shared" si="166"/>
        <v>#N/A</v>
      </c>
      <c r="R2155" s="4" t="e">
        <f>IF(AND(B2155=1,N2155&gt;'Line Follower'!$C$7,SUM(C2155:K2155)&lt;4),1,0)</f>
        <v>#N/A</v>
      </c>
      <c r="S2155" s="4" t="e">
        <f>IF(AND(L2155=1,N2155&lt;'Line Follower'!$C$6,SUM(C2155:K2155)&lt;4),1,0)</f>
        <v>#N/A</v>
      </c>
      <c r="T2155" s="4" t="e">
        <f t="shared" si="167"/>
        <v>#N/A</v>
      </c>
      <c r="U2155" s="5" t="e">
        <f t="shared" si="168"/>
        <v>#N/A</v>
      </c>
      <c r="V2155" s="23" t="e">
        <f t="shared" si="169"/>
        <v>#N/A</v>
      </c>
    </row>
    <row r="2156" spans="2:22" x14ac:dyDescent="0.25">
      <c r="B2156" s="16">
        <v>1</v>
      </c>
      <c r="C2156" s="7">
        <v>0</v>
      </c>
      <c r="D2156" s="8">
        <v>0</v>
      </c>
      <c r="E2156" s="8">
        <v>1</v>
      </c>
      <c r="F2156" s="8">
        <v>0</v>
      </c>
      <c r="G2156" s="8">
        <v>1</v>
      </c>
      <c r="H2156" s="8">
        <v>1</v>
      </c>
      <c r="I2156" s="8">
        <v>0</v>
      </c>
      <c r="J2156" s="8">
        <v>0</v>
      </c>
      <c r="K2156" s="9">
        <v>0</v>
      </c>
      <c r="L2156" s="10">
        <v>0</v>
      </c>
      <c r="M2156" s="6">
        <v>1</v>
      </c>
      <c r="N2156" s="37" t="e" cm="1">
        <f t="array" ref="N2156">IF(OR(ISNUMBER(FIND(Aux!$D$3:$D$9,_xlfn.TEXTJOIN(,,C2156:K2156)))),NA(),IF(AND(SUM(C2156:F2156,H2156:K2156)=0,G2156=1),0,INT((SUMPRODUCT(C2156:F2156,COLUMN($A$1:$D$1)-1)+SUMPRODUCT(H2156:K2156,COLUMN($E$1:$H$1)-1))*'Line Follower'!$C$3/SUM(C2156:F2156,H2156:K2156)-'Line Follower'!$C$5)))</f>
        <v>#N/A</v>
      </c>
      <c r="O2156" s="22" t="e">
        <v>#N/A</v>
      </c>
      <c r="P2156" s="4" t="e">
        <f t="shared" si="165"/>
        <v>#N/A</v>
      </c>
      <c r="Q2156" s="4" t="e">
        <f t="shared" si="166"/>
        <v>#N/A</v>
      </c>
      <c r="R2156" s="4" t="e">
        <f>IF(AND(B2156=1,N2156&gt;'Line Follower'!$C$7,SUM(C2156:K2156)&lt;4),1,0)</f>
        <v>#N/A</v>
      </c>
      <c r="S2156" s="4" t="e">
        <f>IF(AND(L2156=1,N2156&lt;'Line Follower'!$C$6,SUM(C2156:K2156)&lt;4),1,0)</f>
        <v>#N/A</v>
      </c>
      <c r="T2156" s="4" t="e">
        <f t="shared" si="167"/>
        <v>#N/A</v>
      </c>
      <c r="U2156" s="5" t="e">
        <f t="shared" si="168"/>
        <v>#N/A</v>
      </c>
      <c r="V2156" s="23" t="e">
        <f t="shared" si="169"/>
        <v>#N/A</v>
      </c>
    </row>
    <row r="2157" spans="2:22" x14ac:dyDescent="0.25">
      <c r="B2157" s="16">
        <v>0</v>
      </c>
      <c r="C2157" s="7">
        <v>1</v>
      </c>
      <c r="D2157" s="8">
        <v>0</v>
      </c>
      <c r="E2157" s="8">
        <v>1</v>
      </c>
      <c r="F2157" s="8">
        <v>0</v>
      </c>
      <c r="G2157" s="8">
        <v>1</v>
      </c>
      <c r="H2157" s="8">
        <v>1</v>
      </c>
      <c r="I2157" s="8">
        <v>0</v>
      </c>
      <c r="J2157" s="8">
        <v>0</v>
      </c>
      <c r="K2157" s="9">
        <v>0</v>
      </c>
      <c r="L2157" s="10">
        <v>0</v>
      </c>
      <c r="M2157" s="6">
        <v>1</v>
      </c>
      <c r="N2157" s="37" t="e" cm="1">
        <f t="array" ref="N2157">IF(OR(ISNUMBER(FIND(Aux!$D$3:$D$9,_xlfn.TEXTJOIN(,,C2157:K2157)))),NA(),IF(AND(SUM(C2157:F2157,H2157:K2157)=0,G2157=1),0,INT((SUMPRODUCT(C2157:F2157,COLUMN($A$1:$D$1)-1)+SUMPRODUCT(H2157:K2157,COLUMN($E$1:$H$1)-1))*'Line Follower'!$C$3/SUM(C2157:F2157,H2157:K2157)-'Line Follower'!$C$5)))</f>
        <v>#N/A</v>
      </c>
      <c r="O2157" s="22" t="e">
        <v>#N/A</v>
      </c>
      <c r="P2157" s="4" t="e">
        <f t="shared" si="165"/>
        <v>#N/A</v>
      </c>
      <c r="Q2157" s="4" t="e">
        <f t="shared" si="166"/>
        <v>#N/A</v>
      </c>
      <c r="R2157" s="4" t="e">
        <f>IF(AND(B2157=1,N2157&gt;'Line Follower'!$C$7,SUM(C2157:K2157)&lt;4),1,0)</f>
        <v>#N/A</v>
      </c>
      <c r="S2157" s="4" t="e">
        <f>IF(AND(L2157=1,N2157&lt;'Line Follower'!$C$6,SUM(C2157:K2157)&lt;4),1,0)</f>
        <v>#N/A</v>
      </c>
      <c r="T2157" s="4" t="e">
        <f t="shared" si="167"/>
        <v>#N/A</v>
      </c>
      <c r="U2157" s="5" t="e">
        <f t="shared" si="168"/>
        <v>#N/A</v>
      </c>
      <c r="V2157" s="23" t="e">
        <f t="shared" si="169"/>
        <v>#N/A</v>
      </c>
    </row>
    <row r="2158" spans="2:22" x14ac:dyDescent="0.25">
      <c r="B2158" s="16">
        <v>1</v>
      </c>
      <c r="C2158" s="7">
        <v>1</v>
      </c>
      <c r="D2158" s="8">
        <v>0</v>
      </c>
      <c r="E2158" s="8">
        <v>1</v>
      </c>
      <c r="F2158" s="8">
        <v>0</v>
      </c>
      <c r="G2158" s="8">
        <v>1</v>
      </c>
      <c r="H2158" s="8">
        <v>1</v>
      </c>
      <c r="I2158" s="8">
        <v>0</v>
      </c>
      <c r="J2158" s="8">
        <v>0</v>
      </c>
      <c r="K2158" s="9">
        <v>0</v>
      </c>
      <c r="L2158" s="10">
        <v>0</v>
      </c>
      <c r="M2158" s="6">
        <v>1</v>
      </c>
      <c r="N2158" s="37" t="e" cm="1">
        <f t="array" ref="N2158">IF(OR(ISNUMBER(FIND(Aux!$D$3:$D$9,_xlfn.TEXTJOIN(,,C2158:K2158)))),NA(),IF(AND(SUM(C2158:F2158,H2158:K2158)=0,G2158=1),0,INT((SUMPRODUCT(C2158:F2158,COLUMN($A$1:$D$1)-1)+SUMPRODUCT(H2158:K2158,COLUMN($E$1:$H$1)-1))*'Line Follower'!$C$3/SUM(C2158:F2158,H2158:K2158)-'Line Follower'!$C$5)))</f>
        <v>#N/A</v>
      </c>
      <c r="O2158" s="22" t="e">
        <v>#N/A</v>
      </c>
      <c r="P2158" s="4" t="e">
        <f t="shared" si="165"/>
        <v>#N/A</v>
      </c>
      <c r="Q2158" s="4" t="e">
        <f t="shared" si="166"/>
        <v>#N/A</v>
      </c>
      <c r="R2158" s="4" t="e">
        <f>IF(AND(B2158=1,N2158&gt;'Line Follower'!$C$7,SUM(C2158:K2158)&lt;4),1,0)</f>
        <v>#N/A</v>
      </c>
      <c r="S2158" s="4" t="e">
        <f>IF(AND(L2158=1,N2158&lt;'Line Follower'!$C$6,SUM(C2158:K2158)&lt;4),1,0)</f>
        <v>#N/A</v>
      </c>
      <c r="T2158" s="4" t="e">
        <f t="shared" si="167"/>
        <v>#N/A</v>
      </c>
      <c r="U2158" s="5" t="e">
        <f t="shared" si="168"/>
        <v>#N/A</v>
      </c>
      <c r="V2158" s="23" t="e">
        <f t="shared" si="169"/>
        <v>#N/A</v>
      </c>
    </row>
    <row r="2159" spans="2:22" x14ac:dyDescent="0.25">
      <c r="B2159" s="16">
        <v>0</v>
      </c>
      <c r="C2159" s="7">
        <v>0</v>
      </c>
      <c r="D2159" s="8">
        <v>1</v>
      </c>
      <c r="E2159" s="8">
        <v>1</v>
      </c>
      <c r="F2159" s="8">
        <v>0</v>
      </c>
      <c r="G2159" s="8">
        <v>1</v>
      </c>
      <c r="H2159" s="8">
        <v>1</v>
      </c>
      <c r="I2159" s="8">
        <v>0</v>
      </c>
      <c r="J2159" s="8">
        <v>0</v>
      </c>
      <c r="K2159" s="9">
        <v>0</v>
      </c>
      <c r="L2159" s="10">
        <v>0</v>
      </c>
      <c r="M2159" s="6">
        <v>1</v>
      </c>
      <c r="N2159" s="37" t="e" cm="1">
        <f t="array" ref="N2159">IF(OR(ISNUMBER(FIND(Aux!$D$3:$D$9,_xlfn.TEXTJOIN(,,C2159:K2159)))),NA(),IF(AND(SUM(C2159:F2159,H2159:K2159)=0,G2159=1),0,INT((SUMPRODUCT(C2159:F2159,COLUMN($A$1:$D$1)-1)+SUMPRODUCT(H2159:K2159,COLUMN($E$1:$H$1)-1))*'Line Follower'!$C$3/SUM(C2159:F2159,H2159:K2159)-'Line Follower'!$C$5)))</f>
        <v>#N/A</v>
      </c>
      <c r="O2159" s="22" t="e">
        <v>#N/A</v>
      </c>
      <c r="P2159" s="4" t="e">
        <f t="shared" si="165"/>
        <v>#N/A</v>
      </c>
      <c r="Q2159" s="4" t="e">
        <f t="shared" si="166"/>
        <v>#N/A</v>
      </c>
      <c r="R2159" s="4" t="e">
        <f>IF(AND(B2159=1,N2159&gt;'Line Follower'!$C$7,SUM(C2159:K2159)&lt;4),1,0)</f>
        <v>#N/A</v>
      </c>
      <c r="S2159" s="4" t="e">
        <f>IF(AND(L2159=1,N2159&lt;'Line Follower'!$C$6,SUM(C2159:K2159)&lt;4),1,0)</f>
        <v>#N/A</v>
      </c>
      <c r="T2159" s="4" t="e">
        <f t="shared" si="167"/>
        <v>#N/A</v>
      </c>
      <c r="U2159" s="5" t="e">
        <f t="shared" si="168"/>
        <v>#N/A</v>
      </c>
      <c r="V2159" s="23" t="e">
        <f t="shared" si="169"/>
        <v>#N/A</v>
      </c>
    </row>
    <row r="2160" spans="2:22" x14ac:dyDescent="0.25">
      <c r="B2160" s="16">
        <v>1</v>
      </c>
      <c r="C2160" s="7">
        <v>0</v>
      </c>
      <c r="D2160" s="8">
        <v>1</v>
      </c>
      <c r="E2160" s="8">
        <v>1</v>
      </c>
      <c r="F2160" s="8">
        <v>0</v>
      </c>
      <c r="G2160" s="8">
        <v>1</v>
      </c>
      <c r="H2160" s="8">
        <v>1</v>
      </c>
      <c r="I2160" s="8">
        <v>0</v>
      </c>
      <c r="J2160" s="8">
        <v>0</v>
      </c>
      <c r="K2160" s="9">
        <v>0</v>
      </c>
      <c r="L2160" s="10">
        <v>0</v>
      </c>
      <c r="M2160" s="6">
        <v>1</v>
      </c>
      <c r="N2160" s="37" t="e" cm="1">
        <f t="array" ref="N2160">IF(OR(ISNUMBER(FIND(Aux!$D$3:$D$9,_xlfn.TEXTJOIN(,,C2160:K2160)))),NA(),IF(AND(SUM(C2160:F2160,H2160:K2160)=0,G2160=1),0,INT((SUMPRODUCT(C2160:F2160,COLUMN($A$1:$D$1)-1)+SUMPRODUCT(H2160:K2160,COLUMN($E$1:$H$1)-1))*'Line Follower'!$C$3/SUM(C2160:F2160,H2160:K2160)-'Line Follower'!$C$5)))</f>
        <v>#N/A</v>
      </c>
      <c r="O2160" s="22" t="e">
        <v>#N/A</v>
      </c>
      <c r="P2160" s="4" t="e">
        <f t="shared" si="165"/>
        <v>#N/A</v>
      </c>
      <c r="Q2160" s="4" t="e">
        <f t="shared" si="166"/>
        <v>#N/A</v>
      </c>
      <c r="R2160" s="4" t="e">
        <f>IF(AND(B2160=1,N2160&gt;'Line Follower'!$C$7,SUM(C2160:K2160)&lt;4),1,0)</f>
        <v>#N/A</v>
      </c>
      <c r="S2160" s="4" t="e">
        <f>IF(AND(L2160=1,N2160&lt;'Line Follower'!$C$6,SUM(C2160:K2160)&lt;4),1,0)</f>
        <v>#N/A</v>
      </c>
      <c r="T2160" s="4" t="e">
        <f t="shared" si="167"/>
        <v>#N/A</v>
      </c>
      <c r="U2160" s="5" t="e">
        <f t="shared" si="168"/>
        <v>#N/A</v>
      </c>
      <c r="V2160" s="23" t="e">
        <f t="shared" si="169"/>
        <v>#N/A</v>
      </c>
    </row>
    <row r="2161" spans="2:22" x14ac:dyDescent="0.25">
      <c r="B2161" s="16">
        <v>0</v>
      </c>
      <c r="C2161" s="7">
        <v>1</v>
      </c>
      <c r="D2161" s="8">
        <v>1</v>
      </c>
      <c r="E2161" s="8">
        <v>1</v>
      </c>
      <c r="F2161" s="8">
        <v>0</v>
      </c>
      <c r="G2161" s="8">
        <v>1</v>
      </c>
      <c r="H2161" s="8">
        <v>1</v>
      </c>
      <c r="I2161" s="8">
        <v>0</v>
      </c>
      <c r="J2161" s="8">
        <v>0</v>
      </c>
      <c r="K2161" s="9">
        <v>0</v>
      </c>
      <c r="L2161" s="10">
        <v>0</v>
      </c>
      <c r="M2161" s="6">
        <v>1</v>
      </c>
      <c r="N2161" s="37" t="e" cm="1">
        <f t="array" ref="N2161">IF(OR(ISNUMBER(FIND(Aux!$D$3:$D$9,_xlfn.TEXTJOIN(,,C2161:K2161)))),NA(),IF(AND(SUM(C2161:F2161,H2161:K2161)=0,G2161=1),0,INT((SUMPRODUCT(C2161:F2161,COLUMN($A$1:$D$1)-1)+SUMPRODUCT(H2161:K2161,COLUMN($E$1:$H$1)-1))*'Line Follower'!$C$3/SUM(C2161:F2161,H2161:K2161)-'Line Follower'!$C$5)))</f>
        <v>#N/A</v>
      </c>
      <c r="O2161" s="22" t="e">
        <v>#N/A</v>
      </c>
      <c r="P2161" s="4" t="e">
        <f t="shared" si="165"/>
        <v>#N/A</v>
      </c>
      <c r="Q2161" s="4" t="e">
        <f t="shared" si="166"/>
        <v>#N/A</v>
      </c>
      <c r="R2161" s="4" t="e">
        <f>IF(AND(B2161=1,N2161&gt;'Line Follower'!$C$7,SUM(C2161:K2161)&lt;4),1,0)</f>
        <v>#N/A</v>
      </c>
      <c r="S2161" s="4" t="e">
        <f>IF(AND(L2161=1,N2161&lt;'Line Follower'!$C$6,SUM(C2161:K2161)&lt;4),1,0)</f>
        <v>#N/A</v>
      </c>
      <c r="T2161" s="4" t="e">
        <f t="shared" si="167"/>
        <v>#N/A</v>
      </c>
      <c r="U2161" s="5" t="e">
        <f t="shared" si="168"/>
        <v>#N/A</v>
      </c>
      <c r="V2161" s="23" t="e">
        <f t="shared" si="169"/>
        <v>#N/A</v>
      </c>
    </row>
    <row r="2162" spans="2:22" x14ac:dyDescent="0.25">
      <c r="B2162" s="16">
        <v>1</v>
      </c>
      <c r="C2162" s="7">
        <v>1</v>
      </c>
      <c r="D2162" s="8">
        <v>1</v>
      </c>
      <c r="E2162" s="8">
        <v>1</v>
      </c>
      <c r="F2162" s="8">
        <v>0</v>
      </c>
      <c r="G2162" s="8">
        <v>1</v>
      </c>
      <c r="H2162" s="8">
        <v>1</v>
      </c>
      <c r="I2162" s="8">
        <v>0</v>
      </c>
      <c r="J2162" s="8">
        <v>0</v>
      </c>
      <c r="K2162" s="9">
        <v>0</v>
      </c>
      <c r="L2162" s="10">
        <v>0</v>
      </c>
      <c r="M2162" s="6">
        <v>1</v>
      </c>
      <c r="N2162" s="37" t="e" cm="1">
        <f t="array" ref="N2162">IF(OR(ISNUMBER(FIND(Aux!$D$3:$D$9,_xlfn.TEXTJOIN(,,C2162:K2162)))),NA(),IF(AND(SUM(C2162:F2162,H2162:K2162)=0,G2162=1),0,INT((SUMPRODUCT(C2162:F2162,COLUMN($A$1:$D$1)-1)+SUMPRODUCT(H2162:K2162,COLUMN($E$1:$H$1)-1))*'Line Follower'!$C$3/SUM(C2162:F2162,H2162:K2162)-'Line Follower'!$C$5)))</f>
        <v>#N/A</v>
      </c>
      <c r="O2162" s="22" t="e">
        <v>#N/A</v>
      </c>
      <c r="P2162" s="4" t="e">
        <f t="shared" si="165"/>
        <v>#N/A</v>
      </c>
      <c r="Q2162" s="4" t="e">
        <f t="shared" si="166"/>
        <v>#N/A</v>
      </c>
      <c r="R2162" s="4" t="e">
        <f>IF(AND(B2162=1,N2162&gt;'Line Follower'!$C$7,SUM(C2162:K2162)&lt;4),1,0)</f>
        <v>#N/A</v>
      </c>
      <c r="S2162" s="4" t="e">
        <f>IF(AND(L2162=1,N2162&lt;'Line Follower'!$C$6,SUM(C2162:K2162)&lt;4),1,0)</f>
        <v>#N/A</v>
      </c>
      <c r="T2162" s="4" t="e">
        <f t="shared" si="167"/>
        <v>#N/A</v>
      </c>
      <c r="U2162" s="5" t="e">
        <f t="shared" si="168"/>
        <v>#N/A</v>
      </c>
      <c r="V2162" s="23" t="e">
        <f t="shared" si="169"/>
        <v>#N/A</v>
      </c>
    </row>
    <row r="2163" spans="2:22" x14ac:dyDescent="0.25">
      <c r="B2163" s="16">
        <v>0</v>
      </c>
      <c r="C2163" s="7">
        <v>0</v>
      </c>
      <c r="D2163" s="8">
        <v>0</v>
      </c>
      <c r="E2163" s="8">
        <v>0</v>
      </c>
      <c r="F2163" s="8">
        <v>1</v>
      </c>
      <c r="G2163" s="8">
        <v>1</v>
      </c>
      <c r="H2163" s="8">
        <v>1</v>
      </c>
      <c r="I2163" s="8">
        <v>0</v>
      </c>
      <c r="J2163" s="8">
        <v>0</v>
      </c>
      <c r="K2163" s="9">
        <v>0</v>
      </c>
      <c r="L2163" s="10">
        <v>0</v>
      </c>
      <c r="M2163" s="6">
        <v>1</v>
      </c>
      <c r="N2163" s="37" cm="1">
        <f t="array" ref="N2163">IF(OR(ISNUMBER(FIND(Aux!$D$3:$D$9,_xlfn.TEXTJOIN(,,C2163:K2163)))),NA(),IF(AND(SUM(C2163:F2163,H2163:K2163)=0,G2163=1),0,INT((SUMPRODUCT(C2163:F2163,COLUMN($A$1:$D$1)-1)+SUMPRODUCT(H2163:K2163,COLUMN($E$1:$H$1)-1))*'Line Follower'!$C$3/SUM(C2163:F2163,H2163:K2163)-'Line Follower'!$C$5)))</f>
        <v>0</v>
      </c>
      <c r="O2163" s="22">
        <v>1</v>
      </c>
      <c r="P2163" s="4">
        <f t="shared" si="165"/>
        <v>1</v>
      </c>
      <c r="Q2163" s="4">
        <f t="shared" si="166"/>
        <v>0</v>
      </c>
      <c r="R2163" s="4">
        <f>IF(AND(B2163=1,N2163&gt;'Line Follower'!$C$7,SUM(C2163:K2163)&lt;4),1,0)</f>
        <v>0</v>
      </c>
      <c r="S2163" s="4">
        <f>IF(AND(L2163=1,N2163&lt;'Line Follower'!$C$6,SUM(C2163:K2163)&lt;4),1,0)</f>
        <v>0</v>
      </c>
      <c r="T2163" s="4">
        <f t="shared" si="167"/>
        <v>0</v>
      </c>
      <c r="U2163" s="5">
        <f t="shared" si="168"/>
        <v>0</v>
      </c>
      <c r="V2163" s="23">
        <f t="shared" si="169"/>
        <v>0</v>
      </c>
    </row>
    <row r="2164" spans="2:22" x14ac:dyDescent="0.25">
      <c r="B2164" s="16">
        <v>1</v>
      </c>
      <c r="C2164" s="7">
        <v>0</v>
      </c>
      <c r="D2164" s="8">
        <v>0</v>
      </c>
      <c r="E2164" s="8">
        <v>0</v>
      </c>
      <c r="F2164" s="8">
        <v>1</v>
      </c>
      <c r="G2164" s="8">
        <v>1</v>
      </c>
      <c r="H2164" s="8">
        <v>1</v>
      </c>
      <c r="I2164" s="8">
        <v>0</v>
      </c>
      <c r="J2164" s="8">
        <v>0</v>
      </c>
      <c r="K2164" s="9">
        <v>0</v>
      </c>
      <c r="L2164" s="10">
        <v>0</v>
      </c>
      <c r="M2164" s="6">
        <v>1</v>
      </c>
      <c r="N2164" s="37" cm="1">
        <f t="array" ref="N2164">IF(OR(ISNUMBER(FIND(Aux!$D$3:$D$9,_xlfn.TEXTJOIN(,,C2164:K2164)))),NA(),IF(AND(SUM(C2164:F2164,H2164:K2164)=0,G2164=1),0,INT((SUMPRODUCT(C2164:F2164,COLUMN($A$1:$D$1)-1)+SUMPRODUCT(H2164:K2164,COLUMN($E$1:$H$1)-1))*'Line Follower'!$C$3/SUM(C2164:F2164,H2164:K2164)-'Line Follower'!$C$5)))</f>
        <v>0</v>
      </c>
      <c r="O2164" s="22">
        <v>1</v>
      </c>
      <c r="P2164" s="4">
        <f t="shared" si="165"/>
        <v>1</v>
      </c>
      <c r="Q2164" s="4">
        <f t="shared" si="166"/>
        <v>0</v>
      </c>
      <c r="R2164" s="4">
        <f>IF(AND(B2164=1,N2164&gt;'Line Follower'!$C$7,SUM(C2164:K2164)&lt;4),1,0)</f>
        <v>1</v>
      </c>
      <c r="S2164" s="4">
        <f>IF(AND(L2164=1,N2164&lt;'Line Follower'!$C$6,SUM(C2164:K2164)&lt;4),1,0)</f>
        <v>0</v>
      </c>
      <c r="T2164" s="4">
        <f t="shared" si="167"/>
        <v>0</v>
      </c>
      <c r="U2164" s="5">
        <f t="shared" si="168"/>
        <v>0</v>
      </c>
      <c r="V2164" s="23">
        <f t="shared" si="169"/>
        <v>0</v>
      </c>
    </row>
    <row r="2165" spans="2:22" x14ac:dyDescent="0.25">
      <c r="B2165" s="16">
        <v>0</v>
      </c>
      <c r="C2165" s="7">
        <v>1</v>
      </c>
      <c r="D2165" s="8">
        <v>0</v>
      </c>
      <c r="E2165" s="8">
        <v>0</v>
      </c>
      <c r="F2165" s="8">
        <v>1</v>
      </c>
      <c r="G2165" s="8">
        <v>1</v>
      </c>
      <c r="H2165" s="8">
        <v>1</v>
      </c>
      <c r="I2165" s="8">
        <v>0</v>
      </c>
      <c r="J2165" s="8">
        <v>0</v>
      </c>
      <c r="K2165" s="9">
        <v>0</v>
      </c>
      <c r="L2165" s="10">
        <v>0</v>
      </c>
      <c r="M2165" s="6">
        <v>1</v>
      </c>
      <c r="N2165" s="37" t="e" cm="1">
        <f t="array" ref="N2165">IF(OR(ISNUMBER(FIND(Aux!$D$3:$D$9,_xlfn.TEXTJOIN(,,C2165:K2165)))),NA(),IF(AND(SUM(C2165:F2165,H2165:K2165)=0,G2165=1),0,INT((SUMPRODUCT(C2165:F2165,COLUMN($A$1:$D$1)-1)+SUMPRODUCT(H2165:K2165,COLUMN($E$1:$H$1)-1))*'Line Follower'!$C$3/SUM(C2165:F2165,H2165:K2165)-'Line Follower'!$C$5)))</f>
        <v>#N/A</v>
      </c>
      <c r="O2165" s="22" t="e">
        <v>#N/A</v>
      </c>
      <c r="P2165" s="4" t="e">
        <f t="shared" si="165"/>
        <v>#N/A</v>
      </c>
      <c r="Q2165" s="4" t="e">
        <f t="shared" si="166"/>
        <v>#N/A</v>
      </c>
      <c r="R2165" s="4" t="e">
        <f>IF(AND(B2165=1,N2165&gt;'Line Follower'!$C$7,SUM(C2165:K2165)&lt;4),1,0)</f>
        <v>#N/A</v>
      </c>
      <c r="S2165" s="4" t="e">
        <f>IF(AND(L2165=1,N2165&lt;'Line Follower'!$C$6,SUM(C2165:K2165)&lt;4),1,0)</f>
        <v>#N/A</v>
      </c>
      <c r="T2165" s="4" t="e">
        <f t="shared" si="167"/>
        <v>#N/A</v>
      </c>
      <c r="U2165" s="5" t="e">
        <f t="shared" si="168"/>
        <v>#N/A</v>
      </c>
      <c r="V2165" s="23" t="e">
        <f t="shared" si="169"/>
        <v>#N/A</v>
      </c>
    </row>
    <row r="2166" spans="2:22" x14ac:dyDescent="0.25">
      <c r="B2166" s="16">
        <v>1</v>
      </c>
      <c r="C2166" s="7">
        <v>1</v>
      </c>
      <c r="D2166" s="8">
        <v>0</v>
      </c>
      <c r="E2166" s="8">
        <v>0</v>
      </c>
      <c r="F2166" s="8">
        <v>1</v>
      </c>
      <c r="G2166" s="8">
        <v>1</v>
      </c>
      <c r="H2166" s="8">
        <v>1</v>
      </c>
      <c r="I2166" s="8">
        <v>0</v>
      </c>
      <c r="J2166" s="8">
        <v>0</v>
      </c>
      <c r="K2166" s="9">
        <v>0</v>
      </c>
      <c r="L2166" s="10">
        <v>0</v>
      </c>
      <c r="M2166" s="6">
        <v>1</v>
      </c>
      <c r="N2166" s="37" t="e" cm="1">
        <f t="array" ref="N2166">IF(OR(ISNUMBER(FIND(Aux!$D$3:$D$9,_xlfn.TEXTJOIN(,,C2166:K2166)))),NA(),IF(AND(SUM(C2166:F2166,H2166:K2166)=0,G2166=1),0,INT((SUMPRODUCT(C2166:F2166,COLUMN($A$1:$D$1)-1)+SUMPRODUCT(H2166:K2166,COLUMN($E$1:$H$1)-1))*'Line Follower'!$C$3/SUM(C2166:F2166,H2166:K2166)-'Line Follower'!$C$5)))</f>
        <v>#N/A</v>
      </c>
      <c r="O2166" s="22" t="e">
        <v>#N/A</v>
      </c>
      <c r="P2166" s="4" t="e">
        <f t="shared" si="165"/>
        <v>#N/A</v>
      </c>
      <c r="Q2166" s="4" t="e">
        <f t="shared" si="166"/>
        <v>#N/A</v>
      </c>
      <c r="R2166" s="4" t="e">
        <f>IF(AND(B2166=1,N2166&gt;'Line Follower'!$C$7,SUM(C2166:K2166)&lt;4),1,0)</f>
        <v>#N/A</v>
      </c>
      <c r="S2166" s="4" t="e">
        <f>IF(AND(L2166=1,N2166&lt;'Line Follower'!$C$6,SUM(C2166:K2166)&lt;4),1,0)</f>
        <v>#N/A</v>
      </c>
      <c r="T2166" s="4" t="e">
        <f t="shared" si="167"/>
        <v>#N/A</v>
      </c>
      <c r="U2166" s="5" t="e">
        <f t="shared" si="168"/>
        <v>#N/A</v>
      </c>
      <c r="V2166" s="23" t="e">
        <f t="shared" si="169"/>
        <v>#N/A</v>
      </c>
    </row>
    <row r="2167" spans="2:22" x14ac:dyDescent="0.25">
      <c r="B2167" s="16">
        <v>0</v>
      </c>
      <c r="C2167" s="7">
        <v>0</v>
      </c>
      <c r="D2167" s="8">
        <v>1</v>
      </c>
      <c r="E2167" s="8">
        <v>0</v>
      </c>
      <c r="F2167" s="8">
        <v>1</v>
      </c>
      <c r="G2167" s="8">
        <v>1</v>
      </c>
      <c r="H2167" s="8">
        <v>1</v>
      </c>
      <c r="I2167" s="8">
        <v>0</v>
      </c>
      <c r="J2167" s="8">
        <v>0</v>
      </c>
      <c r="K2167" s="9">
        <v>0</v>
      </c>
      <c r="L2167" s="10">
        <v>0</v>
      </c>
      <c r="M2167" s="6">
        <v>1</v>
      </c>
      <c r="N2167" s="37" t="e" cm="1">
        <f t="array" ref="N2167">IF(OR(ISNUMBER(FIND(Aux!$D$3:$D$9,_xlfn.TEXTJOIN(,,C2167:K2167)))),NA(),IF(AND(SUM(C2167:F2167,H2167:K2167)=0,G2167=1),0,INT((SUMPRODUCT(C2167:F2167,COLUMN($A$1:$D$1)-1)+SUMPRODUCT(H2167:K2167,COLUMN($E$1:$H$1)-1))*'Line Follower'!$C$3/SUM(C2167:F2167,H2167:K2167)-'Line Follower'!$C$5)))</f>
        <v>#N/A</v>
      </c>
      <c r="O2167" s="22" t="e">
        <v>#N/A</v>
      </c>
      <c r="P2167" s="4" t="e">
        <f t="shared" si="165"/>
        <v>#N/A</v>
      </c>
      <c r="Q2167" s="4" t="e">
        <f t="shared" si="166"/>
        <v>#N/A</v>
      </c>
      <c r="R2167" s="4" t="e">
        <f>IF(AND(B2167=1,N2167&gt;'Line Follower'!$C$7,SUM(C2167:K2167)&lt;4),1,0)</f>
        <v>#N/A</v>
      </c>
      <c r="S2167" s="4" t="e">
        <f>IF(AND(L2167=1,N2167&lt;'Line Follower'!$C$6,SUM(C2167:K2167)&lt;4),1,0)</f>
        <v>#N/A</v>
      </c>
      <c r="T2167" s="4" t="e">
        <f t="shared" si="167"/>
        <v>#N/A</v>
      </c>
      <c r="U2167" s="5" t="e">
        <f t="shared" si="168"/>
        <v>#N/A</v>
      </c>
      <c r="V2167" s="23" t="e">
        <f t="shared" si="169"/>
        <v>#N/A</v>
      </c>
    </row>
    <row r="2168" spans="2:22" x14ac:dyDescent="0.25">
      <c r="B2168" s="16">
        <v>1</v>
      </c>
      <c r="C2168" s="7">
        <v>0</v>
      </c>
      <c r="D2168" s="8">
        <v>1</v>
      </c>
      <c r="E2168" s="8">
        <v>0</v>
      </c>
      <c r="F2168" s="8">
        <v>1</v>
      </c>
      <c r="G2168" s="8">
        <v>1</v>
      </c>
      <c r="H2168" s="8">
        <v>1</v>
      </c>
      <c r="I2168" s="8">
        <v>0</v>
      </c>
      <c r="J2168" s="8">
        <v>0</v>
      </c>
      <c r="K2168" s="9">
        <v>0</v>
      </c>
      <c r="L2168" s="10">
        <v>0</v>
      </c>
      <c r="M2168" s="6">
        <v>1</v>
      </c>
      <c r="N2168" s="37" t="e" cm="1">
        <f t="array" ref="N2168">IF(OR(ISNUMBER(FIND(Aux!$D$3:$D$9,_xlfn.TEXTJOIN(,,C2168:K2168)))),NA(),IF(AND(SUM(C2168:F2168,H2168:K2168)=0,G2168=1),0,INT((SUMPRODUCT(C2168:F2168,COLUMN($A$1:$D$1)-1)+SUMPRODUCT(H2168:K2168,COLUMN($E$1:$H$1)-1))*'Line Follower'!$C$3/SUM(C2168:F2168,H2168:K2168)-'Line Follower'!$C$5)))</f>
        <v>#N/A</v>
      </c>
      <c r="O2168" s="22" t="e">
        <v>#N/A</v>
      </c>
      <c r="P2168" s="4" t="e">
        <f t="shared" si="165"/>
        <v>#N/A</v>
      </c>
      <c r="Q2168" s="4" t="e">
        <f t="shared" si="166"/>
        <v>#N/A</v>
      </c>
      <c r="R2168" s="4" t="e">
        <f>IF(AND(B2168=1,N2168&gt;'Line Follower'!$C$7,SUM(C2168:K2168)&lt;4),1,0)</f>
        <v>#N/A</v>
      </c>
      <c r="S2168" s="4" t="e">
        <f>IF(AND(L2168=1,N2168&lt;'Line Follower'!$C$6,SUM(C2168:K2168)&lt;4),1,0)</f>
        <v>#N/A</v>
      </c>
      <c r="T2168" s="4" t="e">
        <f t="shared" si="167"/>
        <v>#N/A</v>
      </c>
      <c r="U2168" s="5" t="e">
        <f t="shared" si="168"/>
        <v>#N/A</v>
      </c>
      <c r="V2168" s="23" t="e">
        <f t="shared" si="169"/>
        <v>#N/A</v>
      </c>
    </row>
    <row r="2169" spans="2:22" x14ac:dyDescent="0.25">
      <c r="B2169" s="16">
        <v>0</v>
      </c>
      <c r="C2169" s="7">
        <v>1</v>
      </c>
      <c r="D2169" s="8">
        <v>1</v>
      </c>
      <c r="E2169" s="8">
        <v>0</v>
      </c>
      <c r="F2169" s="8">
        <v>1</v>
      </c>
      <c r="G2169" s="8">
        <v>1</v>
      </c>
      <c r="H2169" s="8">
        <v>1</v>
      </c>
      <c r="I2169" s="8">
        <v>0</v>
      </c>
      <c r="J2169" s="8">
        <v>0</v>
      </c>
      <c r="K2169" s="9">
        <v>0</v>
      </c>
      <c r="L2169" s="10">
        <v>0</v>
      </c>
      <c r="M2169" s="6">
        <v>1</v>
      </c>
      <c r="N2169" s="37" t="e" cm="1">
        <f t="array" ref="N2169">IF(OR(ISNUMBER(FIND(Aux!$D$3:$D$9,_xlfn.TEXTJOIN(,,C2169:K2169)))),NA(),IF(AND(SUM(C2169:F2169,H2169:K2169)=0,G2169=1),0,INT((SUMPRODUCT(C2169:F2169,COLUMN($A$1:$D$1)-1)+SUMPRODUCT(H2169:K2169,COLUMN($E$1:$H$1)-1))*'Line Follower'!$C$3/SUM(C2169:F2169,H2169:K2169)-'Line Follower'!$C$5)))</f>
        <v>#N/A</v>
      </c>
      <c r="O2169" s="22" t="e">
        <v>#N/A</v>
      </c>
      <c r="P2169" s="4" t="e">
        <f t="shared" si="165"/>
        <v>#N/A</v>
      </c>
      <c r="Q2169" s="4" t="e">
        <f t="shared" si="166"/>
        <v>#N/A</v>
      </c>
      <c r="R2169" s="4" t="e">
        <f>IF(AND(B2169=1,N2169&gt;'Line Follower'!$C$7,SUM(C2169:K2169)&lt;4),1,0)</f>
        <v>#N/A</v>
      </c>
      <c r="S2169" s="4" t="e">
        <f>IF(AND(L2169=1,N2169&lt;'Line Follower'!$C$6,SUM(C2169:K2169)&lt;4),1,0)</f>
        <v>#N/A</v>
      </c>
      <c r="T2169" s="4" t="e">
        <f t="shared" si="167"/>
        <v>#N/A</v>
      </c>
      <c r="U2169" s="5" t="e">
        <f t="shared" si="168"/>
        <v>#N/A</v>
      </c>
      <c r="V2169" s="23" t="e">
        <f t="shared" si="169"/>
        <v>#N/A</v>
      </c>
    </row>
    <row r="2170" spans="2:22" x14ac:dyDescent="0.25">
      <c r="B2170" s="16">
        <v>1</v>
      </c>
      <c r="C2170" s="7">
        <v>1</v>
      </c>
      <c r="D2170" s="8">
        <v>1</v>
      </c>
      <c r="E2170" s="8">
        <v>0</v>
      </c>
      <c r="F2170" s="8">
        <v>1</v>
      </c>
      <c r="G2170" s="8">
        <v>1</v>
      </c>
      <c r="H2170" s="8">
        <v>1</v>
      </c>
      <c r="I2170" s="8">
        <v>0</v>
      </c>
      <c r="J2170" s="8">
        <v>0</v>
      </c>
      <c r="K2170" s="9">
        <v>0</v>
      </c>
      <c r="L2170" s="10">
        <v>0</v>
      </c>
      <c r="M2170" s="6">
        <v>1</v>
      </c>
      <c r="N2170" s="37" t="e" cm="1">
        <f t="array" ref="N2170">IF(OR(ISNUMBER(FIND(Aux!$D$3:$D$9,_xlfn.TEXTJOIN(,,C2170:K2170)))),NA(),IF(AND(SUM(C2170:F2170,H2170:K2170)=0,G2170=1),0,INT((SUMPRODUCT(C2170:F2170,COLUMN($A$1:$D$1)-1)+SUMPRODUCT(H2170:K2170,COLUMN($E$1:$H$1)-1))*'Line Follower'!$C$3/SUM(C2170:F2170,H2170:K2170)-'Line Follower'!$C$5)))</f>
        <v>#N/A</v>
      </c>
      <c r="O2170" s="22" t="e">
        <v>#N/A</v>
      </c>
      <c r="P2170" s="4" t="e">
        <f t="shared" si="165"/>
        <v>#N/A</v>
      </c>
      <c r="Q2170" s="4" t="e">
        <f t="shared" si="166"/>
        <v>#N/A</v>
      </c>
      <c r="R2170" s="4" t="e">
        <f>IF(AND(B2170=1,N2170&gt;'Line Follower'!$C$7,SUM(C2170:K2170)&lt;4),1,0)</f>
        <v>#N/A</v>
      </c>
      <c r="S2170" s="4" t="e">
        <f>IF(AND(L2170=1,N2170&lt;'Line Follower'!$C$6,SUM(C2170:K2170)&lt;4),1,0)</f>
        <v>#N/A</v>
      </c>
      <c r="T2170" s="4" t="e">
        <f t="shared" si="167"/>
        <v>#N/A</v>
      </c>
      <c r="U2170" s="5" t="e">
        <f t="shared" si="168"/>
        <v>#N/A</v>
      </c>
      <c r="V2170" s="23" t="e">
        <f t="shared" si="169"/>
        <v>#N/A</v>
      </c>
    </row>
    <row r="2171" spans="2:22" x14ac:dyDescent="0.25">
      <c r="B2171" s="16">
        <v>0</v>
      </c>
      <c r="C2171" s="7">
        <v>0</v>
      </c>
      <c r="D2171" s="8">
        <v>0</v>
      </c>
      <c r="E2171" s="8">
        <v>1</v>
      </c>
      <c r="F2171" s="8">
        <v>1</v>
      </c>
      <c r="G2171" s="8">
        <v>1</v>
      </c>
      <c r="H2171" s="8">
        <v>1</v>
      </c>
      <c r="I2171" s="8">
        <v>0</v>
      </c>
      <c r="J2171" s="8">
        <v>0</v>
      </c>
      <c r="K2171" s="9">
        <v>0</v>
      </c>
      <c r="L2171" s="10">
        <v>0</v>
      </c>
      <c r="M2171" s="6">
        <v>1</v>
      </c>
      <c r="N2171" s="37" cm="1">
        <f t="array" ref="N2171">IF(OR(ISNUMBER(FIND(Aux!$D$3:$D$9,_xlfn.TEXTJOIN(,,C2171:K2171)))),NA(),IF(AND(SUM(C2171:F2171,H2171:K2171)=0,G2171=1),0,INT((SUMPRODUCT(C2171:F2171,COLUMN($A$1:$D$1)-1)+SUMPRODUCT(H2171:K2171,COLUMN($E$1:$H$1)-1))*'Line Follower'!$C$3/SUM(C2171:F2171,H2171:K2171)-'Line Follower'!$C$5)))</f>
        <v>-1</v>
      </c>
      <c r="O2171" s="22">
        <v>1</v>
      </c>
      <c r="P2171" s="4">
        <f t="shared" si="165"/>
        <v>0</v>
      </c>
      <c r="Q2171" s="4">
        <f t="shared" si="166"/>
        <v>1</v>
      </c>
      <c r="R2171" s="4">
        <f>IF(AND(B2171=1,N2171&gt;'Line Follower'!$C$7,SUM(C2171:K2171)&lt;4),1,0)</f>
        <v>0</v>
      </c>
      <c r="S2171" s="4">
        <f>IF(AND(L2171=1,N2171&lt;'Line Follower'!$C$6,SUM(C2171:K2171)&lt;4),1,0)</f>
        <v>0</v>
      </c>
      <c r="T2171" s="4">
        <f t="shared" si="167"/>
        <v>0</v>
      </c>
      <c r="U2171" s="5">
        <f t="shared" si="168"/>
        <v>0</v>
      </c>
      <c r="V2171" s="23">
        <f t="shared" si="169"/>
        <v>0</v>
      </c>
    </row>
    <row r="2172" spans="2:22" x14ac:dyDescent="0.25">
      <c r="B2172" s="16">
        <v>1</v>
      </c>
      <c r="C2172" s="7">
        <v>0</v>
      </c>
      <c r="D2172" s="8">
        <v>0</v>
      </c>
      <c r="E2172" s="8">
        <v>1</v>
      </c>
      <c r="F2172" s="8">
        <v>1</v>
      </c>
      <c r="G2172" s="8">
        <v>1</v>
      </c>
      <c r="H2172" s="8">
        <v>1</v>
      </c>
      <c r="I2172" s="8">
        <v>0</v>
      </c>
      <c r="J2172" s="8">
        <v>0</v>
      </c>
      <c r="K2172" s="9">
        <v>0</v>
      </c>
      <c r="L2172" s="10">
        <v>0</v>
      </c>
      <c r="M2172" s="6">
        <v>1</v>
      </c>
      <c r="N2172" s="37" cm="1">
        <f t="array" ref="N2172">IF(OR(ISNUMBER(FIND(Aux!$D$3:$D$9,_xlfn.TEXTJOIN(,,C2172:K2172)))),NA(),IF(AND(SUM(C2172:F2172,H2172:K2172)=0,G2172=1),0,INT((SUMPRODUCT(C2172:F2172,COLUMN($A$1:$D$1)-1)+SUMPRODUCT(H2172:K2172,COLUMN($E$1:$H$1)-1))*'Line Follower'!$C$3/SUM(C2172:F2172,H2172:K2172)-'Line Follower'!$C$5)))</f>
        <v>-1</v>
      </c>
      <c r="O2172" s="22">
        <v>1</v>
      </c>
      <c r="P2172" s="4">
        <f t="shared" si="165"/>
        <v>0</v>
      </c>
      <c r="Q2172" s="4">
        <f t="shared" si="166"/>
        <v>1</v>
      </c>
      <c r="R2172" s="4">
        <f>IF(AND(B2172=1,N2172&gt;'Line Follower'!$C$7,SUM(C2172:K2172)&lt;4),1,0)</f>
        <v>0</v>
      </c>
      <c r="S2172" s="4">
        <f>IF(AND(L2172=1,N2172&lt;'Line Follower'!$C$6,SUM(C2172:K2172)&lt;4),1,0)</f>
        <v>0</v>
      </c>
      <c r="T2172" s="4">
        <f t="shared" si="167"/>
        <v>0</v>
      </c>
      <c r="U2172" s="5">
        <f t="shared" si="168"/>
        <v>0</v>
      </c>
      <c r="V2172" s="23">
        <f t="shared" si="169"/>
        <v>0</v>
      </c>
    </row>
    <row r="2173" spans="2:22" x14ac:dyDescent="0.25">
      <c r="B2173" s="16">
        <v>0</v>
      </c>
      <c r="C2173" s="7">
        <v>1</v>
      </c>
      <c r="D2173" s="8">
        <v>0</v>
      </c>
      <c r="E2173" s="8">
        <v>1</v>
      </c>
      <c r="F2173" s="8">
        <v>1</v>
      </c>
      <c r="G2173" s="8">
        <v>1</v>
      </c>
      <c r="H2173" s="8">
        <v>1</v>
      </c>
      <c r="I2173" s="8">
        <v>0</v>
      </c>
      <c r="J2173" s="8">
        <v>0</v>
      </c>
      <c r="K2173" s="9">
        <v>0</v>
      </c>
      <c r="L2173" s="10">
        <v>0</v>
      </c>
      <c r="M2173" s="6">
        <v>1</v>
      </c>
      <c r="N2173" s="37" t="e" cm="1">
        <f t="array" ref="N2173">IF(OR(ISNUMBER(FIND(Aux!$D$3:$D$9,_xlfn.TEXTJOIN(,,C2173:K2173)))),NA(),IF(AND(SUM(C2173:F2173,H2173:K2173)=0,G2173=1),0,INT((SUMPRODUCT(C2173:F2173,COLUMN($A$1:$D$1)-1)+SUMPRODUCT(H2173:K2173,COLUMN($E$1:$H$1)-1))*'Line Follower'!$C$3/SUM(C2173:F2173,H2173:K2173)-'Line Follower'!$C$5)))</f>
        <v>#N/A</v>
      </c>
      <c r="O2173" s="22" t="e">
        <v>#N/A</v>
      </c>
      <c r="P2173" s="4" t="e">
        <f t="shared" si="165"/>
        <v>#N/A</v>
      </c>
      <c r="Q2173" s="4" t="e">
        <f t="shared" si="166"/>
        <v>#N/A</v>
      </c>
      <c r="R2173" s="4" t="e">
        <f>IF(AND(B2173=1,N2173&gt;'Line Follower'!$C$7,SUM(C2173:K2173)&lt;4),1,0)</f>
        <v>#N/A</v>
      </c>
      <c r="S2173" s="4" t="e">
        <f>IF(AND(L2173=1,N2173&lt;'Line Follower'!$C$6,SUM(C2173:K2173)&lt;4),1,0)</f>
        <v>#N/A</v>
      </c>
      <c r="T2173" s="4" t="e">
        <f t="shared" si="167"/>
        <v>#N/A</v>
      </c>
      <c r="U2173" s="5" t="e">
        <f t="shared" si="168"/>
        <v>#N/A</v>
      </c>
      <c r="V2173" s="23" t="e">
        <f t="shared" si="169"/>
        <v>#N/A</v>
      </c>
    </row>
    <row r="2174" spans="2:22" x14ac:dyDescent="0.25">
      <c r="B2174" s="16">
        <v>1</v>
      </c>
      <c r="C2174" s="7">
        <v>1</v>
      </c>
      <c r="D2174" s="8">
        <v>0</v>
      </c>
      <c r="E2174" s="8">
        <v>1</v>
      </c>
      <c r="F2174" s="8">
        <v>1</v>
      </c>
      <c r="G2174" s="8">
        <v>1</v>
      </c>
      <c r="H2174" s="8">
        <v>1</v>
      </c>
      <c r="I2174" s="8">
        <v>0</v>
      </c>
      <c r="J2174" s="8">
        <v>0</v>
      </c>
      <c r="K2174" s="9">
        <v>0</v>
      </c>
      <c r="L2174" s="10">
        <v>0</v>
      </c>
      <c r="M2174" s="6">
        <v>1</v>
      </c>
      <c r="N2174" s="37" t="e" cm="1">
        <f t="array" ref="N2174">IF(OR(ISNUMBER(FIND(Aux!$D$3:$D$9,_xlfn.TEXTJOIN(,,C2174:K2174)))),NA(),IF(AND(SUM(C2174:F2174,H2174:K2174)=0,G2174=1),0,INT((SUMPRODUCT(C2174:F2174,COLUMN($A$1:$D$1)-1)+SUMPRODUCT(H2174:K2174,COLUMN($E$1:$H$1)-1))*'Line Follower'!$C$3/SUM(C2174:F2174,H2174:K2174)-'Line Follower'!$C$5)))</f>
        <v>#N/A</v>
      </c>
      <c r="O2174" s="22" t="e">
        <v>#N/A</v>
      </c>
      <c r="P2174" s="4" t="e">
        <f t="shared" si="165"/>
        <v>#N/A</v>
      </c>
      <c r="Q2174" s="4" t="e">
        <f t="shared" si="166"/>
        <v>#N/A</v>
      </c>
      <c r="R2174" s="4" t="e">
        <f>IF(AND(B2174=1,N2174&gt;'Line Follower'!$C$7,SUM(C2174:K2174)&lt;4),1,0)</f>
        <v>#N/A</v>
      </c>
      <c r="S2174" s="4" t="e">
        <f>IF(AND(L2174=1,N2174&lt;'Line Follower'!$C$6,SUM(C2174:K2174)&lt;4),1,0)</f>
        <v>#N/A</v>
      </c>
      <c r="T2174" s="4" t="e">
        <f t="shared" si="167"/>
        <v>#N/A</v>
      </c>
      <c r="U2174" s="5" t="e">
        <f t="shared" si="168"/>
        <v>#N/A</v>
      </c>
      <c r="V2174" s="23" t="e">
        <f t="shared" si="169"/>
        <v>#N/A</v>
      </c>
    </row>
    <row r="2175" spans="2:22" x14ac:dyDescent="0.25">
      <c r="B2175" s="16">
        <v>0</v>
      </c>
      <c r="C2175" s="7">
        <v>0</v>
      </c>
      <c r="D2175" s="8">
        <v>1</v>
      </c>
      <c r="E2175" s="8">
        <v>1</v>
      </c>
      <c r="F2175" s="8">
        <v>1</v>
      </c>
      <c r="G2175" s="8">
        <v>1</v>
      </c>
      <c r="H2175" s="8">
        <v>1</v>
      </c>
      <c r="I2175" s="8">
        <v>0</v>
      </c>
      <c r="J2175" s="8">
        <v>0</v>
      </c>
      <c r="K2175" s="9">
        <v>0</v>
      </c>
      <c r="L2175" s="10">
        <v>0</v>
      </c>
      <c r="M2175" s="6">
        <v>1</v>
      </c>
      <c r="N2175" s="37" cm="1">
        <f t="array" ref="N2175">IF(OR(ISNUMBER(FIND(Aux!$D$3:$D$9,_xlfn.TEXTJOIN(,,C2175:K2175)))),NA(),IF(AND(SUM(C2175:F2175,H2175:K2175)=0,G2175=1),0,INT((SUMPRODUCT(C2175:F2175,COLUMN($A$1:$D$1)-1)+SUMPRODUCT(H2175:K2175,COLUMN($E$1:$H$1)-1))*'Line Follower'!$C$3/SUM(C2175:F2175,H2175:K2175)-'Line Follower'!$C$5)))</f>
        <v>-2</v>
      </c>
      <c r="O2175" s="22">
        <v>1</v>
      </c>
      <c r="P2175" s="4">
        <f t="shared" si="165"/>
        <v>0</v>
      </c>
      <c r="Q2175" s="4">
        <f t="shared" si="166"/>
        <v>1</v>
      </c>
      <c r="R2175" s="4">
        <f>IF(AND(B2175=1,N2175&gt;'Line Follower'!$C$7,SUM(C2175:K2175)&lt;4),1,0)</f>
        <v>0</v>
      </c>
      <c r="S2175" s="4">
        <f>IF(AND(L2175=1,N2175&lt;'Line Follower'!$C$6,SUM(C2175:K2175)&lt;4),1,0)</f>
        <v>0</v>
      </c>
      <c r="T2175" s="4">
        <f t="shared" si="167"/>
        <v>0</v>
      </c>
      <c r="U2175" s="5">
        <f t="shared" si="168"/>
        <v>0</v>
      </c>
      <c r="V2175" s="23">
        <f t="shared" si="169"/>
        <v>0</v>
      </c>
    </row>
    <row r="2176" spans="2:22" x14ac:dyDescent="0.25">
      <c r="B2176" s="16">
        <v>1</v>
      </c>
      <c r="C2176" s="7">
        <v>0</v>
      </c>
      <c r="D2176" s="8">
        <v>1</v>
      </c>
      <c r="E2176" s="8">
        <v>1</v>
      </c>
      <c r="F2176" s="8">
        <v>1</v>
      </c>
      <c r="G2176" s="8">
        <v>1</v>
      </c>
      <c r="H2176" s="8">
        <v>1</v>
      </c>
      <c r="I2176" s="8">
        <v>0</v>
      </c>
      <c r="J2176" s="8">
        <v>0</v>
      </c>
      <c r="K2176" s="9">
        <v>0</v>
      </c>
      <c r="L2176" s="10">
        <v>0</v>
      </c>
      <c r="M2176" s="6">
        <v>1</v>
      </c>
      <c r="N2176" s="37" cm="1">
        <f t="array" ref="N2176">IF(OR(ISNUMBER(FIND(Aux!$D$3:$D$9,_xlfn.TEXTJOIN(,,C2176:K2176)))),NA(),IF(AND(SUM(C2176:F2176,H2176:K2176)=0,G2176=1),0,INT((SUMPRODUCT(C2176:F2176,COLUMN($A$1:$D$1)-1)+SUMPRODUCT(H2176:K2176,COLUMN($E$1:$H$1)-1))*'Line Follower'!$C$3/SUM(C2176:F2176,H2176:K2176)-'Line Follower'!$C$5)))</f>
        <v>-2</v>
      </c>
      <c r="O2176" s="22">
        <v>1</v>
      </c>
      <c r="P2176" s="4">
        <f t="shared" si="165"/>
        <v>0</v>
      </c>
      <c r="Q2176" s="4">
        <f t="shared" si="166"/>
        <v>1</v>
      </c>
      <c r="R2176" s="4">
        <f>IF(AND(B2176=1,N2176&gt;'Line Follower'!$C$7,SUM(C2176:K2176)&lt;4),1,0)</f>
        <v>0</v>
      </c>
      <c r="S2176" s="4">
        <f>IF(AND(L2176=1,N2176&lt;'Line Follower'!$C$6,SUM(C2176:K2176)&lt;4),1,0)</f>
        <v>0</v>
      </c>
      <c r="T2176" s="4">
        <f t="shared" si="167"/>
        <v>0</v>
      </c>
      <c r="U2176" s="5">
        <f t="shared" si="168"/>
        <v>0</v>
      </c>
      <c r="V2176" s="23">
        <f t="shared" si="169"/>
        <v>0</v>
      </c>
    </row>
    <row r="2177" spans="2:22" x14ac:dyDescent="0.25">
      <c r="B2177" s="16">
        <v>0</v>
      </c>
      <c r="C2177" s="7">
        <v>1</v>
      </c>
      <c r="D2177" s="8">
        <v>1</v>
      </c>
      <c r="E2177" s="8">
        <v>1</v>
      </c>
      <c r="F2177" s="8">
        <v>1</v>
      </c>
      <c r="G2177" s="8">
        <v>1</v>
      </c>
      <c r="H2177" s="8">
        <v>1</v>
      </c>
      <c r="I2177" s="8">
        <v>0</v>
      </c>
      <c r="J2177" s="8">
        <v>0</v>
      </c>
      <c r="K2177" s="9">
        <v>0</v>
      </c>
      <c r="L2177" s="10">
        <v>0</v>
      </c>
      <c r="M2177" s="6">
        <v>1</v>
      </c>
      <c r="N2177" s="37" cm="1">
        <f t="array" ref="N2177">IF(OR(ISNUMBER(FIND(Aux!$D$3:$D$9,_xlfn.TEXTJOIN(,,C2177:K2177)))),NA(),IF(AND(SUM(C2177:F2177,H2177:K2177)=0,G2177=1),0,INT((SUMPRODUCT(C2177:F2177,COLUMN($A$1:$D$1)-1)+SUMPRODUCT(H2177:K2177,COLUMN($E$1:$H$1)-1))*'Line Follower'!$C$3/SUM(C2177:F2177,H2177:K2177)-'Line Follower'!$C$5)))</f>
        <v>-3</v>
      </c>
      <c r="O2177" s="22">
        <v>1</v>
      </c>
      <c r="P2177" s="4">
        <f t="shared" si="165"/>
        <v>0</v>
      </c>
      <c r="Q2177" s="4">
        <f t="shared" si="166"/>
        <v>1</v>
      </c>
      <c r="R2177" s="4">
        <f>IF(AND(B2177=1,N2177&gt;'Line Follower'!$C$7,SUM(C2177:K2177)&lt;4),1,0)</f>
        <v>0</v>
      </c>
      <c r="S2177" s="4">
        <f>IF(AND(L2177=1,N2177&lt;'Line Follower'!$C$6,SUM(C2177:K2177)&lt;4),1,0)</f>
        <v>0</v>
      </c>
      <c r="T2177" s="4">
        <f t="shared" si="167"/>
        <v>0</v>
      </c>
      <c r="U2177" s="5">
        <f t="shared" si="168"/>
        <v>0</v>
      </c>
      <c r="V2177" s="23">
        <f t="shared" si="169"/>
        <v>0</v>
      </c>
    </row>
    <row r="2178" spans="2:22" x14ac:dyDescent="0.25">
      <c r="B2178" s="16">
        <v>1</v>
      </c>
      <c r="C2178" s="7">
        <v>1</v>
      </c>
      <c r="D2178" s="8">
        <v>1</v>
      </c>
      <c r="E2178" s="8">
        <v>1</v>
      </c>
      <c r="F2178" s="8">
        <v>1</v>
      </c>
      <c r="G2178" s="8">
        <v>1</v>
      </c>
      <c r="H2178" s="8">
        <v>1</v>
      </c>
      <c r="I2178" s="8">
        <v>0</v>
      </c>
      <c r="J2178" s="8">
        <v>0</v>
      </c>
      <c r="K2178" s="9">
        <v>0</v>
      </c>
      <c r="L2178" s="10">
        <v>0</v>
      </c>
      <c r="M2178" s="6">
        <v>1</v>
      </c>
      <c r="N2178" s="37" cm="1">
        <f t="array" ref="N2178">IF(OR(ISNUMBER(FIND(Aux!$D$3:$D$9,_xlfn.TEXTJOIN(,,C2178:K2178)))),NA(),IF(AND(SUM(C2178:F2178,H2178:K2178)=0,G2178=1),0,INT((SUMPRODUCT(C2178:F2178,COLUMN($A$1:$D$1)-1)+SUMPRODUCT(H2178:K2178,COLUMN($E$1:$H$1)-1))*'Line Follower'!$C$3/SUM(C2178:F2178,H2178:K2178)-'Line Follower'!$C$5)))</f>
        <v>-3</v>
      </c>
      <c r="O2178" s="22">
        <v>1</v>
      </c>
      <c r="P2178" s="4">
        <f t="shared" si="165"/>
        <v>0</v>
      </c>
      <c r="Q2178" s="4">
        <f t="shared" si="166"/>
        <v>1</v>
      </c>
      <c r="R2178" s="4">
        <f>IF(AND(B2178=1,N2178&gt;'Line Follower'!$C$7,SUM(C2178:K2178)&lt;4),1,0)</f>
        <v>0</v>
      </c>
      <c r="S2178" s="4">
        <f>IF(AND(L2178=1,N2178&lt;'Line Follower'!$C$6,SUM(C2178:K2178)&lt;4),1,0)</f>
        <v>0</v>
      </c>
      <c r="T2178" s="4">
        <f t="shared" si="167"/>
        <v>0</v>
      </c>
      <c r="U2178" s="5">
        <f t="shared" si="168"/>
        <v>0</v>
      </c>
      <c r="V2178" s="23">
        <f t="shared" si="169"/>
        <v>0</v>
      </c>
    </row>
    <row r="2179" spans="2:22" x14ac:dyDescent="0.25">
      <c r="B2179" s="16">
        <v>0</v>
      </c>
      <c r="C2179" s="7">
        <v>0</v>
      </c>
      <c r="D2179" s="8">
        <v>0</v>
      </c>
      <c r="E2179" s="8">
        <v>0</v>
      </c>
      <c r="F2179" s="8">
        <v>0</v>
      </c>
      <c r="G2179" s="8">
        <v>0</v>
      </c>
      <c r="H2179" s="8">
        <v>0</v>
      </c>
      <c r="I2179" s="8">
        <v>1</v>
      </c>
      <c r="J2179" s="8">
        <v>0</v>
      </c>
      <c r="K2179" s="9">
        <v>0</v>
      </c>
      <c r="L2179" s="10">
        <v>0</v>
      </c>
      <c r="M2179" s="6">
        <v>1</v>
      </c>
      <c r="N2179" s="37" cm="1">
        <f t="array" ref="N2179">IF(OR(ISNUMBER(FIND(Aux!$D$3:$D$9,_xlfn.TEXTJOIN(,,C2179:K2179)))),NA(),IF(AND(SUM(C2179:F2179,H2179:K2179)=0,G2179=1),0,INT((SUMPRODUCT(C2179:F2179,COLUMN($A$1:$D$1)-1)+SUMPRODUCT(H2179:K2179,COLUMN($E$1:$H$1)-1))*'Line Follower'!$C$3/SUM(C2179:F2179,H2179:K2179)-'Line Follower'!$C$5)))</f>
        <v>3</v>
      </c>
      <c r="O2179" s="22">
        <v>1</v>
      </c>
      <c r="P2179" s="4">
        <f t="shared" ref="P2179:P2242" si="170">IF(AND(N2179=0,G2179=1,M2179=1),1,0)</f>
        <v>0</v>
      </c>
      <c r="Q2179" s="4">
        <f t="shared" ref="Q2179:Q2242" si="171">IF(ISERROR(N2179),N2179,IF(SUM(C2179:K2179)&gt;=4,1,0))</f>
        <v>0</v>
      </c>
      <c r="R2179" s="4">
        <f>IF(AND(B2179=1,N2179&gt;'Line Follower'!$C$7,SUM(C2179:K2179)&lt;4),1,0)</f>
        <v>0</v>
      </c>
      <c r="S2179" s="4">
        <f>IF(AND(L2179=1,N2179&lt;'Line Follower'!$C$6,SUM(C2179:K2179)&lt;4),1,0)</f>
        <v>0</v>
      </c>
      <c r="T2179" s="4">
        <f t="shared" si="167"/>
        <v>0</v>
      </c>
      <c r="U2179" s="5">
        <f t="shared" si="168"/>
        <v>0</v>
      </c>
      <c r="V2179" s="23">
        <f t="shared" si="169"/>
        <v>0</v>
      </c>
    </row>
    <row r="2180" spans="2:22" x14ac:dyDescent="0.25">
      <c r="B2180" s="16">
        <v>1</v>
      </c>
      <c r="C2180" s="7">
        <v>0</v>
      </c>
      <c r="D2180" s="8">
        <v>0</v>
      </c>
      <c r="E2180" s="8">
        <v>0</v>
      </c>
      <c r="F2180" s="8">
        <v>0</v>
      </c>
      <c r="G2180" s="8">
        <v>0</v>
      </c>
      <c r="H2180" s="8">
        <v>0</v>
      </c>
      <c r="I2180" s="8">
        <v>1</v>
      </c>
      <c r="J2180" s="8">
        <v>0</v>
      </c>
      <c r="K2180" s="9">
        <v>0</v>
      </c>
      <c r="L2180" s="10">
        <v>0</v>
      </c>
      <c r="M2180" s="6">
        <v>1</v>
      </c>
      <c r="N2180" s="37" cm="1">
        <f t="array" ref="N2180">IF(OR(ISNUMBER(FIND(Aux!$D$3:$D$9,_xlfn.TEXTJOIN(,,C2180:K2180)))),NA(),IF(AND(SUM(C2180:F2180,H2180:K2180)=0,G2180=1),0,INT((SUMPRODUCT(C2180:F2180,COLUMN($A$1:$D$1)-1)+SUMPRODUCT(H2180:K2180,COLUMN($E$1:$H$1)-1))*'Line Follower'!$C$3/SUM(C2180:F2180,H2180:K2180)-'Line Follower'!$C$5)))</f>
        <v>3</v>
      </c>
      <c r="O2180" s="22">
        <v>1</v>
      </c>
      <c r="P2180" s="4">
        <f t="shared" si="170"/>
        <v>0</v>
      </c>
      <c r="Q2180" s="4">
        <f t="shared" si="171"/>
        <v>0</v>
      </c>
      <c r="R2180" s="4">
        <f>IF(AND(B2180=1,N2180&gt;'Line Follower'!$C$7,SUM(C2180:K2180)&lt;4),1,0)</f>
        <v>1</v>
      </c>
      <c r="S2180" s="4">
        <f>IF(AND(L2180=1,N2180&lt;'Line Follower'!$C$6,SUM(C2180:K2180)&lt;4),1,0)</f>
        <v>0</v>
      </c>
      <c r="T2180" s="4">
        <f t="shared" ref="T2180:T2243" si="172">IF(ISNA(N2180),NA(),IF(SUM(C2180:L2180)=0,1,0))</f>
        <v>0</v>
      </c>
      <c r="U2180" s="5">
        <f t="shared" ref="U2180:U2243" si="173">IF(ISNA(N2180),NA(),IF(SUM(B2180:K2180)=0,1,0))</f>
        <v>0</v>
      </c>
      <c r="V2180" s="23">
        <f t="shared" ref="V2180:V2243" si="174">IF(ISNA(N2180),NA(),IF(SUM(B2180:L2180)=0,1,0))</f>
        <v>0</v>
      </c>
    </row>
    <row r="2181" spans="2:22" x14ac:dyDescent="0.25">
      <c r="B2181" s="16">
        <v>0</v>
      </c>
      <c r="C2181" s="7">
        <v>1</v>
      </c>
      <c r="D2181" s="8">
        <v>0</v>
      </c>
      <c r="E2181" s="8">
        <v>0</v>
      </c>
      <c r="F2181" s="8">
        <v>0</v>
      </c>
      <c r="G2181" s="8">
        <v>0</v>
      </c>
      <c r="H2181" s="8">
        <v>0</v>
      </c>
      <c r="I2181" s="8">
        <v>1</v>
      </c>
      <c r="J2181" s="8">
        <v>0</v>
      </c>
      <c r="K2181" s="9">
        <v>0</v>
      </c>
      <c r="L2181" s="10">
        <v>0</v>
      </c>
      <c r="M2181" s="6">
        <v>1</v>
      </c>
      <c r="N2181" s="37" t="e" cm="1">
        <f t="array" ref="N2181">IF(OR(ISNUMBER(FIND(Aux!$D$3:$D$9,_xlfn.TEXTJOIN(,,C2181:K2181)))),NA(),IF(AND(SUM(C2181:F2181,H2181:K2181)=0,G2181=1),0,INT((SUMPRODUCT(C2181:F2181,COLUMN($A$1:$D$1)-1)+SUMPRODUCT(H2181:K2181,COLUMN($E$1:$H$1)-1))*'Line Follower'!$C$3/SUM(C2181:F2181,H2181:K2181)-'Line Follower'!$C$5)))</f>
        <v>#N/A</v>
      </c>
      <c r="O2181" s="22" t="e">
        <v>#N/A</v>
      </c>
      <c r="P2181" s="4" t="e">
        <f t="shared" si="170"/>
        <v>#N/A</v>
      </c>
      <c r="Q2181" s="4" t="e">
        <f t="shared" si="171"/>
        <v>#N/A</v>
      </c>
      <c r="R2181" s="4" t="e">
        <f>IF(AND(B2181=1,N2181&gt;'Line Follower'!$C$7,SUM(C2181:K2181)&lt;4),1,0)</f>
        <v>#N/A</v>
      </c>
      <c r="S2181" s="4" t="e">
        <f>IF(AND(L2181=1,N2181&lt;'Line Follower'!$C$6,SUM(C2181:K2181)&lt;4),1,0)</f>
        <v>#N/A</v>
      </c>
      <c r="T2181" s="4" t="e">
        <f t="shared" si="172"/>
        <v>#N/A</v>
      </c>
      <c r="U2181" s="5" t="e">
        <f t="shared" si="173"/>
        <v>#N/A</v>
      </c>
      <c r="V2181" s="23" t="e">
        <f t="shared" si="174"/>
        <v>#N/A</v>
      </c>
    </row>
    <row r="2182" spans="2:22" x14ac:dyDescent="0.25">
      <c r="B2182" s="16">
        <v>1</v>
      </c>
      <c r="C2182" s="7">
        <v>1</v>
      </c>
      <c r="D2182" s="8">
        <v>0</v>
      </c>
      <c r="E2182" s="8">
        <v>0</v>
      </c>
      <c r="F2182" s="8">
        <v>0</v>
      </c>
      <c r="G2182" s="8">
        <v>0</v>
      </c>
      <c r="H2182" s="8">
        <v>0</v>
      </c>
      <c r="I2182" s="8">
        <v>1</v>
      </c>
      <c r="J2182" s="8">
        <v>0</v>
      </c>
      <c r="K2182" s="9">
        <v>0</v>
      </c>
      <c r="L2182" s="10">
        <v>0</v>
      </c>
      <c r="M2182" s="6">
        <v>1</v>
      </c>
      <c r="N2182" s="37" t="e" cm="1">
        <f t="array" ref="N2182">IF(OR(ISNUMBER(FIND(Aux!$D$3:$D$9,_xlfn.TEXTJOIN(,,C2182:K2182)))),NA(),IF(AND(SUM(C2182:F2182,H2182:K2182)=0,G2182=1),0,INT((SUMPRODUCT(C2182:F2182,COLUMN($A$1:$D$1)-1)+SUMPRODUCT(H2182:K2182,COLUMN($E$1:$H$1)-1))*'Line Follower'!$C$3/SUM(C2182:F2182,H2182:K2182)-'Line Follower'!$C$5)))</f>
        <v>#N/A</v>
      </c>
      <c r="O2182" s="22" t="e">
        <v>#N/A</v>
      </c>
      <c r="P2182" s="4" t="e">
        <f t="shared" si="170"/>
        <v>#N/A</v>
      </c>
      <c r="Q2182" s="4" t="e">
        <f t="shared" si="171"/>
        <v>#N/A</v>
      </c>
      <c r="R2182" s="4" t="e">
        <f>IF(AND(B2182=1,N2182&gt;'Line Follower'!$C$7,SUM(C2182:K2182)&lt;4),1,0)</f>
        <v>#N/A</v>
      </c>
      <c r="S2182" s="4" t="e">
        <f>IF(AND(L2182=1,N2182&lt;'Line Follower'!$C$6,SUM(C2182:K2182)&lt;4),1,0)</f>
        <v>#N/A</v>
      </c>
      <c r="T2182" s="4" t="e">
        <f t="shared" si="172"/>
        <v>#N/A</v>
      </c>
      <c r="U2182" s="5" t="e">
        <f t="shared" si="173"/>
        <v>#N/A</v>
      </c>
      <c r="V2182" s="23" t="e">
        <f t="shared" si="174"/>
        <v>#N/A</v>
      </c>
    </row>
    <row r="2183" spans="2:22" x14ac:dyDescent="0.25">
      <c r="B2183" s="16">
        <v>0</v>
      </c>
      <c r="C2183" s="7">
        <v>0</v>
      </c>
      <c r="D2183" s="8">
        <v>1</v>
      </c>
      <c r="E2183" s="8">
        <v>0</v>
      </c>
      <c r="F2183" s="8">
        <v>0</v>
      </c>
      <c r="G2183" s="8">
        <v>0</v>
      </c>
      <c r="H2183" s="8">
        <v>0</v>
      </c>
      <c r="I2183" s="8">
        <v>1</v>
      </c>
      <c r="J2183" s="8">
        <v>0</v>
      </c>
      <c r="K2183" s="9">
        <v>0</v>
      </c>
      <c r="L2183" s="10">
        <v>0</v>
      </c>
      <c r="M2183" s="6">
        <v>1</v>
      </c>
      <c r="N2183" s="37" t="e" cm="1">
        <f t="array" ref="N2183">IF(OR(ISNUMBER(FIND(Aux!$D$3:$D$9,_xlfn.TEXTJOIN(,,C2183:K2183)))),NA(),IF(AND(SUM(C2183:F2183,H2183:K2183)=0,G2183=1),0,INT((SUMPRODUCT(C2183:F2183,COLUMN($A$1:$D$1)-1)+SUMPRODUCT(H2183:K2183,COLUMN($E$1:$H$1)-1))*'Line Follower'!$C$3/SUM(C2183:F2183,H2183:K2183)-'Line Follower'!$C$5)))</f>
        <v>#N/A</v>
      </c>
      <c r="O2183" s="22" t="e">
        <v>#N/A</v>
      </c>
      <c r="P2183" s="4" t="e">
        <f t="shared" si="170"/>
        <v>#N/A</v>
      </c>
      <c r="Q2183" s="4" t="e">
        <f t="shared" si="171"/>
        <v>#N/A</v>
      </c>
      <c r="R2183" s="4" t="e">
        <f>IF(AND(B2183=1,N2183&gt;'Line Follower'!$C$7,SUM(C2183:K2183)&lt;4),1,0)</f>
        <v>#N/A</v>
      </c>
      <c r="S2183" s="4" t="e">
        <f>IF(AND(L2183=1,N2183&lt;'Line Follower'!$C$6,SUM(C2183:K2183)&lt;4),1,0)</f>
        <v>#N/A</v>
      </c>
      <c r="T2183" s="4" t="e">
        <f t="shared" si="172"/>
        <v>#N/A</v>
      </c>
      <c r="U2183" s="5" t="e">
        <f t="shared" si="173"/>
        <v>#N/A</v>
      </c>
      <c r="V2183" s="23" t="e">
        <f t="shared" si="174"/>
        <v>#N/A</v>
      </c>
    </row>
    <row r="2184" spans="2:22" x14ac:dyDescent="0.25">
      <c r="B2184" s="16">
        <v>1</v>
      </c>
      <c r="C2184" s="7">
        <v>0</v>
      </c>
      <c r="D2184" s="8">
        <v>1</v>
      </c>
      <c r="E2184" s="8">
        <v>0</v>
      </c>
      <c r="F2184" s="8">
        <v>0</v>
      </c>
      <c r="G2184" s="8">
        <v>0</v>
      </c>
      <c r="H2184" s="8">
        <v>0</v>
      </c>
      <c r="I2184" s="8">
        <v>1</v>
      </c>
      <c r="J2184" s="8">
        <v>0</v>
      </c>
      <c r="K2184" s="9">
        <v>0</v>
      </c>
      <c r="L2184" s="10">
        <v>0</v>
      </c>
      <c r="M2184" s="6">
        <v>1</v>
      </c>
      <c r="N2184" s="37" t="e" cm="1">
        <f t="array" ref="N2184">IF(OR(ISNUMBER(FIND(Aux!$D$3:$D$9,_xlfn.TEXTJOIN(,,C2184:K2184)))),NA(),IF(AND(SUM(C2184:F2184,H2184:K2184)=0,G2184=1),0,INT((SUMPRODUCT(C2184:F2184,COLUMN($A$1:$D$1)-1)+SUMPRODUCT(H2184:K2184,COLUMN($E$1:$H$1)-1))*'Line Follower'!$C$3/SUM(C2184:F2184,H2184:K2184)-'Line Follower'!$C$5)))</f>
        <v>#N/A</v>
      </c>
      <c r="O2184" s="22" t="e">
        <v>#N/A</v>
      </c>
      <c r="P2184" s="4" t="e">
        <f t="shared" si="170"/>
        <v>#N/A</v>
      </c>
      <c r="Q2184" s="4" t="e">
        <f t="shared" si="171"/>
        <v>#N/A</v>
      </c>
      <c r="R2184" s="4" t="e">
        <f>IF(AND(B2184=1,N2184&gt;'Line Follower'!$C$7,SUM(C2184:K2184)&lt;4),1,0)</f>
        <v>#N/A</v>
      </c>
      <c r="S2184" s="4" t="e">
        <f>IF(AND(L2184=1,N2184&lt;'Line Follower'!$C$6,SUM(C2184:K2184)&lt;4),1,0)</f>
        <v>#N/A</v>
      </c>
      <c r="T2184" s="4" t="e">
        <f t="shared" si="172"/>
        <v>#N/A</v>
      </c>
      <c r="U2184" s="5" t="e">
        <f t="shared" si="173"/>
        <v>#N/A</v>
      </c>
      <c r="V2184" s="23" t="e">
        <f t="shared" si="174"/>
        <v>#N/A</v>
      </c>
    </row>
    <row r="2185" spans="2:22" x14ac:dyDescent="0.25">
      <c r="B2185" s="16">
        <v>0</v>
      </c>
      <c r="C2185" s="7">
        <v>1</v>
      </c>
      <c r="D2185" s="8">
        <v>1</v>
      </c>
      <c r="E2185" s="8">
        <v>0</v>
      </c>
      <c r="F2185" s="8">
        <v>0</v>
      </c>
      <c r="G2185" s="8">
        <v>0</v>
      </c>
      <c r="H2185" s="8">
        <v>0</v>
      </c>
      <c r="I2185" s="8">
        <v>1</v>
      </c>
      <c r="J2185" s="8">
        <v>0</v>
      </c>
      <c r="K2185" s="9">
        <v>0</v>
      </c>
      <c r="L2185" s="10">
        <v>0</v>
      </c>
      <c r="M2185" s="6">
        <v>1</v>
      </c>
      <c r="N2185" s="37" t="e" cm="1">
        <f t="array" ref="N2185">IF(OR(ISNUMBER(FIND(Aux!$D$3:$D$9,_xlfn.TEXTJOIN(,,C2185:K2185)))),NA(),IF(AND(SUM(C2185:F2185,H2185:K2185)=0,G2185=1),0,INT((SUMPRODUCT(C2185:F2185,COLUMN($A$1:$D$1)-1)+SUMPRODUCT(H2185:K2185,COLUMN($E$1:$H$1)-1))*'Line Follower'!$C$3/SUM(C2185:F2185,H2185:K2185)-'Line Follower'!$C$5)))</f>
        <v>#N/A</v>
      </c>
      <c r="O2185" s="22" t="e">
        <v>#N/A</v>
      </c>
      <c r="P2185" s="4" t="e">
        <f t="shared" si="170"/>
        <v>#N/A</v>
      </c>
      <c r="Q2185" s="4" t="e">
        <f t="shared" si="171"/>
        <v>#N/A</v>
      </c>
      <c r="R2185" s="4" t="e">
        <f>IF(AND(B2185=1,N2185&gt;'Line Follower'!$C$7,SUM(C2185:K2185)&lt;4),1,0)</f>
        <v>#N/A</v>
      </c>
      <c r="S2185" s="4" t="e">
        <f>IF(AND(L2185=1,N2185&lt;'Line Follower'!$C$6,SUM(C2185:K2185)&lt;4),1,0)</f>
        <v>#N/A</v>
      </c>
      <c r="T2185" s="4" t="e">
        <f t="shared" si="172"/>
        <v>#N/A</v>
      </c>
      <c r="U2185" s="5" t="e">
        <f t="shared" si="173"/>
        <v>#N/A</v>
      </c>
      <c r="V2185" s="23" t="e">
        <f t="shared" si="174"/>
        <v>#N/A</v>
      </c>
    </row>
    <row r="2186" spans="2:22" x14ac:dyDescent="0.25">
      <c r="B2186" s="16">
        <v>1</v>
      </c>
      <c r="C2186" s="7">
        <v>1</v>
      </c>
      <c r="D2186" s="8">
        <v>1</v>
      </c>
      <c r="E2186" s="8">
        <v>0</v>
      </c>
      <c r="F2186" s="8">
        <v>0</v>
      </c>
      <c r="G2186" s="8">
        <v>0</v>
      </c>
      <c r="H2186" s="8">
        <v>0</v>
      </c>
      <c r="I2186" s="8">
        <v>1</v>
      </c>
      <c r="J2186" s="8">
        <v>0</v>
      </c>
      <c r="K2186" s="9">
        <v>0</v>
      </c>
      <c r="L2186" s="10">
        <v>0</v>
      </c>
      <c r="M2186" s="6">
        <v>1</v>
      </c>
      <c r="N2186" s="37" t="e" cm="1">
        <f t="array" ref="N2186">IF(OR(ISNUMBER(FIND(Aux!$D$3:$D$9,_xlfn.TEXTJOIN(,,C2186:K2186)))),NA(),IF(AND(SUM(C2186:F2186,H2186:K2186)=0,G2186=1),0,INT((SUMPRODUCT(C2186:F2186,COLUMN($A$1:$D$1)-1)+SUMPRODUCT(H2186:K2186,COLUMN($E$1:$H$1)-1))*'Line Follower'!$C$3/SUM(C2186:F2186,H2186:K2186)-'Line Follower'!$C$5)))</f>
        <v>#N/A</v>
      </c>
      <c r="O2186" s="22" t="e">
        <v>#N/A</v>
      </c>
      <c r="P2186" s="4" t="e">
        <f t="shared" si="170"/>
        <v>#N/A</v>
      </c>
      <c r="Q2186" s="4" t="e">
        <f t="shared" si="171"/>
        <v>#N/A</v>
      </c>
      <c r="R2186" s="4" t="e">
        <f>IF(AND(B2186=1,N2186&gt;'Line Follower'!$C$7,SUM(C2186:K2186)&lt;4),1,0)</f>
        <v>#N/A</v>
      </c>
      <c r="S2186" s="4" t="e">
        <f>IF(AND(L2186=1,N2186&lt;'Line Follower'!$C$6,SUM(C2186:K2186)&lt;4),1,0)</f>
        <v>#N/A</v>
      </c>
      <c r="T2186" s="4" t="e">
        <f t="shared" si="172"/>
        <v>#N/A</v>
      </c>
      <c r="U2186" s="5" t="e">
        <f t="shared" si="173"/>
        <v>#N/A</v>
      </c>
      <c r="V2186" s="23" t="e">
        <f t="shared" si="174"/>
        <v>#N/A</v>
      </c>
    </row>
    <row r="2187" spans="2:22" x14ac:dyDescent="0.25">
      <c r="B2187" s="16">
        <v>0</v>
      </c>
      <c r="C2187" s="7">
        <v>0</v>
      </c>
      <c r="D2187" s="8">
        <v>0</v>
      </c>
      <c r="E2187" s="8">
        <v>1</v>
      </c>
      <c r="F2187" s="8">
        <v>0</v>
      </c>
      <c r="G2187" s="8">
        <v>0</v>
      </c>
      <c r="H2187" s="8">
        <v>0</v>
      </c>
      <c r="I2187" s="8">
        <v>1</v>
      </c>
      <c r="J2187" s="8">
        <v>0</v>
      </c>
      <c r="K2187" s="9">
        <v>0</v>
      </c>
      <c r="L2187" s="10">
        <v>0</v>
      </c>
      <c r="M2187" s="6">
        <v>1</v>
      </c>
      <c r="N2187" s="37" t="e" cm="1">
        <f t="array" ref="N2187">IF(OR(ISNUMBER(FIND(Aux!$D$3:$D$9,_xlfn.TEXTJOIN(,,C2187:K2187)))),NA(),IF(AND(SUM(C2187:F2187,H2187:K2187)=0,G2187=1),0,INT((SUMPRODUCT(C2187:F2187,COLUMN($A$1:$D$1)-1)+SUMPRODUCT(H2187:K2187,COLUMN($E$1:$H$1)-1))*'Line Follower'!$C$3/SUM(C2187:F2187,H2187:K2187)-'Line Follower'!$C$5)))</f>
        <v>#N/A</v>
      </c>
      <c r="O2187" s="22" t="e">
        <v>#N/A</v>
      </c>
      <c r="P2187" s="4" t="e">
        <f t="shared" si="170"/>
        <v>#N/A</v>
      </c>
      <c r="Q2187" s="4" t="e">
        <f t="shared" si="171"/>
        <v>#N/A</v>
      </c>
      <c r="R2187" s="4" t="e">
        <f>IF(AND(B2187=1,N2187&gt;'Line Follower'!$C$7,SUM(C2187:K2187)&lt;4),1,0)</f>
        <v>#N/A</v>
      </c>
      <c r="S2187" s="4" t="e">
        <f>IF(AND(L2187=1,N2187&lt;'Line Follower'!$C$6,SUM(C2187:K2187)&lt;4),1,0)</f>
        <v>#N/A</v>
      </c>
      <c r="T2187" s="4" t="e">
        <f t="shared" si="172"/>
        <v>#N/A</v>
      </c>
      <c r="U2187" s="5" t="e">
        <f t="shared" si="173"/>
        <v>#N/A</v>
      </c>
      <c r="V2187" s="23" t="e">
        <f t="shared" si="174"/>
        <v>#N/A</v>
      </c>
    </row>
    <row r="2188" spans="2:22" x14ac:dyDescent="0.25">
      <c r="B2188" s="16">
        <v>1</v>
      </c>
      <c r="C2188" s="7">
        <v>0</v>
      </c>
      <c r="D2188" s="8">
        <v>0</v>
      </c>
      <c r="E2188" s="8">
        <v>1</v>
      </c>
      <c r="F2188" s="8">
        <v>0</v>
      </c>
      <c r="G2188" s="8">
        <v>0</v>
      </c>
      <c r="H2188" s="8">
        <v>0</v>
      </c>
      <c r="I2188" s="8">
        <v>1</v>
      </c>
      <c r="J2188" s="8">
        <v>0</v>
      </c>
      <c r="K2188" s="9">
        <v>0</v>
      </c>
      <c r="L2188" s="10">
        <v>0</v>
      </c>
      <c r="M2188" s="6">
        <v>1</v>
      </c>
      <c r="N2188" s="37" t="e" cm="1">
        <f t="array" ref="N2188">IF(OR(ISNUMBER(FIND(Aux!$D$3:$D$9,_xlfn.TEXTJOIN(,,C2188:K2188)))),NA(),IF(AND(SUM(C2188:F2188,H2188:K2188)=0,G2188=1),0,INT((SUMPRODUCT(C2188:F2188,COLUMN($A$1:$D$1)-1)+SUMPRODUCT(H2188:K2188,COLUMN($E$1:$H$1)-1))*'Line Follower'!$C$3/SUM(C2188:F2188,H2188:K2188)-'Line Follower'!$C$5)))</f>
        <v>#N/A</v>
      </c>
      <c r="O2188" s="22" t="e">
        <v>#N/A</v>
      </c>
      <c r="P2188" s="4" t="e">
        <f t="shared" si="170"/>
        <v>#N/A</v>
      </c>
      <c r="Q2188" s="4" t="e">
        <f t="shared" si="171"/>
        <v>#N/A</v>
      </c>
      <c r="R2188" s="4" t="e">
        <f>IF(AND(B2188=1,N2188&gt;'Line Follower'!$C$7,SUM(C2188:K2188)&lt;4),1,0)</f>
        <v>#N/A</v>
      </c>
      <c r="S2188" s="4" t="e">
        <f>IF(AND(L2188=1,N2188&lt;'Line Follower'!$C$6,SUM(C2188:K2188)&lt;4),1,0)</f>
        <v>#N/A</v>
      </c>
      <c r="T2188" s="4" t="e">
        <f t="shared" si="172"/>
        <v>#N/A</v>
      </c>
      <c r="U2188" s="5" t="e">
        <f t="shared" si="173"/>
        <v>#N/A</v>
      </c>
      <c r="V2188" s="23" t="e">
        <f t="shared" si="174"/>
        <v>#N/A</v>
      </c>
    </row>
    <row r="2189" spans="2:22" x14ac:dyDescent="0.25">
      <c r="B2189" s="16">
        <v>0</v>
      </c>
      <c r="C2189" s="7">
        <v>1</v>
      </c>
      <c r="D2189" s="8">
        <v>0</v>
      </c>
      <c r="E2189" s="8">
        <v>1</v>
      </c>
      <c r="F2189" s="8">
        <v>0</v>
      </c>
      <c r="G2189" s="8">
        <v>0</v>
      </c>
      <c r="H2189" s="8">
        <v>0</v>
      </c>
      <c r="I2189" s="8">
        <v>1</v>
      </c>
      <c r="J2189" s="8">
        <v>0</v>
      </c>
      <c r="K2189" s="9">
        <v>0</v>
      </c>
      <c r="L2189" s="10">
        <v>0</v>
      </c>
      <c r="M2189" s="6">
        <v>1</v>
      </c>
      <c r="N2189" s="37" t="e" cm="1">
        <f t="array" ref="N2189">IF(OR(ISNUMBER(FIND(Aux!$D$3:$D$9,_xlfn.TEXTJOIN(,,C2189:K2189)))),NA(),IF(AND(SUM(C2189:F2189,H2189:K2189)=0,G2189=1),0,INT((SUMPRODUCT(C2189:F2189,COLUMN($A$1:$D$1)-1)+SUMPRODUCT(H2189:K2189,COLUMN($E$1:$H$1)-1))*'Line Follower'!$C$3/SUM(C2189:F2189,H2189:K2189)-'Line Follower'!$C$5)))</f>
        <v>#N/A</v>
      </c>
      <c r="O2189" s="22" t="e">
        <v>#N/A</v>
      </c>
      <c r="P2189" s="4" t="e">
        <f t="shared" si="170"/>
        <v>#N/A</v>
      </c>
      <c r="Q2189" s="4" t="e">
        <f t="shared" si="171"/>
        <v>#N/A</v>
      </c>
      <c r="R2189" s="4" t="e">
        <f>IF(AND(B2189=1,N2189&gt;'Line Follower'!$C$7,SUM(C2189:K2189)&lt;4),1,0)</f>
        <v>#N/A</v>
      </c>
      <c r="S2189" s="4" t="e">
        <f>IF(AND(L2189=1,N2189&lt;'Line Follower'!$C$6,SUM(C2189:K2189)&lt;4),1,0)</f>
        <v>#N/A</v>
      </c>
      <c r="T2189" s="4" t="e">
        <f t="shared" si="172"/>
        <v>#N/A</v>
      </c>
      <c r="U2189" s="5" t="e">
        <f t="shared" si="173"/>
        <v>#N/A</v>
      </c>
      <c r="V2189" s="23" t="e">
        <f t="shared" si="174"/>
        <v>#N/A</v>
      </c>
    </row>
    <row r="2190" spans="2:22" x14ac:dyDescent="0.25">
      <c r="B2190" s="16">
        <v>1</v>
      </c>
      <c r="C2190" s="7">
        <v>1</v>
      </c>
      <c r="D2190" s="8">
        <v>0</v>
      </c>
      <c r="E2190" s="8">
        <v>1</v>
      </c>
      <c r="F2190" s="8">
        <v>0</v>
      </c>
      <c r="G2190" s="8">
        <v>0</v>
      </c>
      <c r="H2190" s="8">
        <v>0</v>
      </c>
      <c r="I2190" s="8">
        <v>1</v>
      </c>
      <c r="J2190" s="8">
        <v>0</v>
      </c>
      <c r="K2190" s="9">
        <v>0</v>
      </c>
      <c r="L2190" s="10">
        <v>0</v>
      </c>
      <c r="M2190" s="6">
        <v>1</v>
      </c>
      <c r="N2190" s="37" t="e" cm="1">
        <f t="array" ref="N2190">IF(OR(ISNUMBER(FIND(Aux!$D$3:$D$9,_xlfn.TEXTJOIN(,,C2190:K2190)))),NA(),IF(AND(SUM(C2190:F2190,H2190:K2190)=0,G2190=1),0,INT((SUMPRODUCT(C2190:F2190,COLUMN($A$1:$D$1)-1)+SUMPRODUCT(H2190:K2190,COLUMN($E$1:$H$1)-1))*'Line Follower'!$C$3/SUM(C2190:F2190,H2190:K2190)-'Line Follower'!$C$5)))</f>
        <v>#N/A</v>
      </c>
      <c r="O2190" s="22" t="e">
        <v>#N/A</v>
      </c>
      <c r="P2190" s="4" t="e">
        <f t="shared" si="170"/>
        <v>#N/A</v>
      </c>
      <c r="Q2190" s="4" t="e">
        <f t="shared" si="171"/>
        <v>#N/A</v>
      </c>
      <c r="R2190" s="4" t="e">
        <f>IF(AND(B2190=1,N2190&gt;'Line Follower'!$C$7,SUM(C2190:K2190)&lt;4),1,0)</f>
        <v>#N/A</v>
      </c>
      <c r="S2190" s="4" t="e">
        <f>IF(AND(L2190=1,N2190&lt;'Line Follower'!$C$6,SUM(C2190:K2190)&lt;4),1,0)</f>
        <v>#N/A</v>
      </c>
      <c r="T2190" s="4" t="e">
        <f t="shared" si="172"/>
        <v>#N/A</v>
      </c>
      <c r="U2190" s="5" t="e">
        <f t="shared" si="173"/>
        <v>#N/A</v>
      </c>
      <c r="V2190" s="23" t="e">
        <f t="shared" si="174"/>
        <v>#N/A</v>
      </c>
    </row>
    <row r="2191" spans="2:22" x14ac:dyDescent="0.25">
      <c r="B2191" s="16">
        <v>0</v>
      </c>
      <c r="C2191" s="7">
        <v>0</v>
      </c>
      <c r="D2191" s="8">
        <v>1</v>
      </c>
      <c r="E2191" s="8">
        <v>1</v>
      </c>
      <c r="F2191" s="8">
        <v>0</v>
      </c>
      <c r="G2191" s="8">
        <v>0</v>
      </c>
      <c r="H2191" s="8">
        <v>0</v>
      </c>
      <c r="I2191" s="8">
        <v>1</v>
      </c>
      <c r="J2191" s="8">
        <v>0</v>
      </c>
      <c r="K2191" s="9">
        <v>0</v>
      </c>
      <c r="L2191" s="10">
        <v>0</v>
      </c>
      <c r="M2191" s="6">
        <v>1</v>
      </c>
      <c r="N2191" s="37" t="e" cm="1">
        <f t="array" ref="N2191">IF(OR(ISNUMBER(FIND(Aux!$D$3:$D$9,_xlfn.TEXTJOIN(,,C2191:K2191)))),NA(),IF(AND(SUM(C2191:F2191,H2191:K2191)=0,G2191=1),0,INT((SUMPRODUCT(C2191:F2191,COLUMN($A$1:$D$1)-1)+SUMPRODUCT(H2191:K2191,COLUMN($E$1:$H$1)-1))*'Line Follower'!$C$3/SUM(C2191:F2191,H2191:K2191)-'Line Follower'!$C$5)))</f>
        <v>#N/A</v>
      </c>
      <c r="O2191" s="22" t="e">
        <v>#N/A</v>
      </c>
      <c r="P2191" s="4" t="e">
        <f t="shared" si="170"/>
        <v>#N/A</v>
      </c>
      <c r="Q2191" s="4" t="e">
        <f t="shared" si="171"/>
        <v>#N/A</v>
      </c>
      <c r="R2191" s="4" t="e">
        <f>IF(AND(B2191=1,N2191&gt;'Line Follower'!$C$7,SUM(C2191:K2191)&lt;4),1,0)</f>
        <v>#N/A</v>
      </c>
      <c r="S2191" s="4" t="e">
        <f>IF(AND(L2191=1,N2191&lt;'Line Follower'!$C$6,SUM(C2191:K2191)&lt;4),1,0)</f>
        <v>#N/A</v>
      </c>
      <c r="T2191" s="4" t="e">
        <f t="shared" si="172"/>
        <v>#N/A</v>
      </c>
      <c r="U2191" s="5" t="e">
        <f t="shared" si="173"/>
        <v>#N/A</v>
      </c>
      <c r="V2191" s="23" t="e">
        <f t="shared" si="174"/>
        <v>#N/A</v>
      </c>
    </row>
    <row r="2192" spans="2:22" x14ac:dyDescent="0.25">
      <c r="B2192" s="16">
        <v>1</v>
      </c>
      <c r="C2192" s="7">
        <v>0</v>
      </c>
      <c r="D2192" s="8">
        <v>1</v>
      </c>
      <c r="E2192" s="8">
        <v>1</v>
      </c>
      <c r="F2192" s="8">
        <v>0</v>
      </c>
      <c r="G2192" s="8">
        <v>0</v>
      </c>
      <c r="H2192" s="8">
        <v>0</v>
      </c>
      <c r="I2192" s="8">
        <v>1</v>
      </c>
      <c r="J2192" s="8">
        <v>0</v>
      </c>
      <c r="K2192" s="9">
        <v>0</v>
      </c>
      <c r="L2192" s="10">
        <v>0</v>
      </c>
      <c r="M2192" s="6">
        <v>1</v>
      </c>
      <c r="N2192" s="37" t="e" cm="1">
        <f t="array" ref="N2192">IF(OR(ISNUMBER(FIND(Aux!$D$3:$D$9,_xlfn.TEXTJOIN(,,C2192:K2192)))),NA(),IF(AND(SUM(C2192:F2192,H2192:K2192)=0,G2192=1),0,INT((SUMPRODUCT(C2192:F2192,COLUMN($A$1:$D$1)-1)+SUMPRODUCT(H2192:K2192,COLUMN($E$1:$H$1)-1))*'Line Follower'!$C$3/SUM(C2192:F2192,H2192:K2192)-'Line Follower'!$C$5)))</f>
        <v>#N/A</v>
      </c>
      <c r="O2192" s="22" t="e">
        <v>#N/A</v>
      </c>
      <c r="P2192" s="4" t="e">
        <f t="shared" si="170"/>
        <v>#N/A</v>
      </c>
      <c r="Q2192" s="4" t="e">
        <f t="shared" si="171"/>
        <v>#N/A</v>
      </c>
      <c r="R2192" s="4" t="e">
        <f>IF(AND(B2192=1,N2192&gt;'Line Follower'!$C$7,SUM(C2192:K2192)&lt;4),1,0)</f>
        <v>#N/A</v>
      </c>
      <c r="S2192" s="4" t="e">
        <f>IF(AND(L2192=1,N2192&lt;'Line Follower'!$C$6,SUM(C2192:K2192)&lt;4),1,0)</f>
        <v>#N/A</v>
      </c>
      <c r="T2192" s="4" t="e">
        <f t="shared" si="172"/>
        <v>#N/A</v>
      </c>
      <c r="U2192" s="5" t="e">
        <f t="shared" si="173"/>
        <v>#N/A</v>
      </c>
      <c r="V2192" s="23" t="e">
        <f t="shared" si="174"/>
        <v>#N/A</v>
      </c>
    </row>
    <row r="2193" spans="2:22" x14ac:dyDescent="0.25">
      <c r="B2193" s="16">
        <v>0</v>
      </c>
      <c r="C2193" s="7">
        <v>1</v>
      </c>
      <c r="D2193" s="8">
        <v>1</v>
      </c>
      <c r="E2193" s="8">
        <v>1</v>
      </c>
      <c r="F2193" s="8">
        <v>0</v>
      </c>
      <c r="G2193" s="8">
        <v>0</v>
      </c>
      <c r="H2193" s="8">
        <v>0</v>
      </c>
      <c r="I2193" s="8">
        <v>1</v>
      </c>
      <c r="J2193" s="8">
        <v>0</v>
      </c>
      <c r="K2193" s="9">
        <v>0</v>
      </c>
      <c r="L2193" s="10">
        <v>0</v>
      </c>
      <c r="M2193" s="6">
        <v>1</v>
      </c>
      <c r="N2193" s="37" t="e" cm="1">
        <f t="array" ref="N2193">IF(OR(ISNUMBER(FIND(Aux!$D$3:$D$9,_xlfn.TEXTJOIN(,,C2193:K2193)))),NA(),IF(AND(SUM(C2193:F2193,H2193:K2193)=0,G2193=1),0,INT((SUMPRODUCT(C2193:F2193,COLUMN($A$1:$D$1)-1)+SUMPRODUCT(H2193:K2193,COLUMN($E$1:$H$1)-1))*'Line Follower'!$C$3/SUM(C2193:F2193,H2193:K2193)-'Line Follower'!$C$5)))</f>
        <v>#N/A</v>
      </c>
      <c r="O2193" s="22" t="e">
        <v>#N/A</v>
      </c>
      <c r="P2193" s="4" t="e">
        <f t="shared" si="170"/>
        <v>#N/A</v>
      </c>
      <c r="Q2193" s="4" t="e">
        <f t="shared" si="171"/>
        <v>#N/A</v>
      </c>
      <c r="R2193" s="4" t="e">
        <f>IF(AND(B2193=1,N2193&gt;'Line Follower'!$C$7,SUM(C2193:K2193)&lt;4),1,0)</f>
        <v>#N/A</v>
      </c>
      <c r="S2193" s="4" t="e">
        <f>IF(AND(L2193=1,N2193&lt;'Line Follower'!$C$6,SUM(C2193:K2193)&lt;4),1,0)</f>
        <v>#N/A</v>
      </c>
      <c r="T2193" s="4" t="e">
        <f t="shared" si="172"/>
        <v>#N/A</v>
      </c>
      <c r="U2193" s="5" t="e">
        <f t="shared" si="173"/>
        <v>#N/A</v>
      </c>
      <c r="V2193" s="23" t="e">
        <f t="shared" si="174"/>
        <v>#N/A</v>
      </c>
    </row>
    <row r="2194" spans="2:22" x14ac:dyDescent="0.25">
      <c r="B2194" s="16">
        <v>1</v>
      </c>
      <c r="C2194" s="7">
        <v>1</v>
      </c>
      <c r="D2194" s="8">
        <v>1</v>
      </c>
      <c r="E2194" s="8">
        <v>1</v>
      </c>
      <c r="F2194" s="8">
        <v>0</v>
      </c>
      <c r="G2194" s="8">
        <v>0</v>
      </c>
      <c r="H2194" s="8">
        <v>0</v>
      </c>
      <c r="I2194" s="8">
        <v>1</v>
      </c>
      <c r="J2194" s="8">
        <v>0</v>
      </c>
      <c r="K2194" s="9">
        <v>0</v>
      </c>
      <c r="L2194" s="10">
        <v>0</v>
      </c>
      <c r="M2194" s="6">
        <v>1</v>
      </c>
      <c r="N2194" s="37" t="e" cm="1">
        <f t="array" ref="N2194">IF(OR(ISNUMBER(FIND(Aux!$D$3:$D$9,_xlfn.TEXTJOIN(,,C2194:K2194)))),NA(),IF(AND(SUM(C2194:F2194,H2194:K2194)=0,G2194=1),0,INT((SUMPRODUCT(C2194:F2194,COLUMN($A$1:$D$1)-1)+SUMPRODUCT(H2194:K2194,COLUMN($E$1:$H$1)-1))*'Line Follower'!$C$3/SUM(C2194:F2194,H2194:K2194)-'Line Follower'!$C$5)))</f>
        <v>#N/A</v>
      </c>
      <c r="O2194" s="22" t="e">
        <v>#N/A</v>
      </c>
      <c r="P2194" s="4" t="e">
        <f t="shared" si="170"/>
        <v>#N/A</v>
      </c>
      <c r="Q2194" s="4" t="e">
        <f t="shared" si="171"/>
        <v>#N/A</v>
      </c>
      <c r="R2194" s="4" t="e">
        <f>IF(AND(B2194=1,N2194&gt;'Line Follower'!$C$7,SUM(C2194:K2194)&lt;4),1,0)</f>
        <v>#N/A</v>
      </c>
      <c r="S2194" s="4" t="e">
        <f>IF(AND(L2194=1,N2194&lt;'Line Follower'!$C$6,SUM(C2194:K2194)&lt;4),1,0)</f>
        <v>#N/A</v>
      </c>
      <c r="T2194" s="4" t="e">
        <f t="shared" si="172"/>
        <v>#N/A</v>
      </c>
      <c r="U2194" s="5" t="e">
        <f t="shared" si="173"/>
        <v>#N/A</v>
      </c>
      <c r="V2194" s="23" t="e">
        <f t="shared" si="174"/>
        <v>#N/A</v>
      </c>
    </row>
    <row r="2195" spans="2:22" x14ac:dyDescent="0.25">
      <c r="B2195" s="16">
        <v>0</v>
      </c>
      <c r="C2195" s="7">
        <v>0</v>
      </c>
      <c r="D2195" s="8">
        <v>0</v>
      </c>
      <c r="E2195" s="8">
        <v>0</v>
      </c>
      <c r="F2195" s="8">
        <v>1</v>
      </c>
      <c r="G2195" s="8">
        <v>0</v>
      </c>
      <c r="H2195" s="8">
        <v>0</v>
      </c>
      <c r="I2195" s="8">
        <v>1</v>
      </c>
      <c r="J2195" s="8">
        <v>0</v>
      </c>
      <c r="K2195" s="9">
        <v>0</v>
      </c>
      <c r="L2195" s="10">
        <v>0</v>
      </c>
      <c r="M2195" s="6">
        <v>1</v>
      </c>
      <c r="N2195" s="37" t="e" cm="1">
        <f t="array" ref="N2195">IF(OR(ISNUMBER(FIND(Aux!$D$3:$D$9,_xlfn.TEXTJOIN(,,C2195:K2195)))),NA(),IF(AND(SUM(C2195:F2195,H2195:K2195)=0,G2195=1),0,INT((SUMPRODUCT(C2195:F2195,COLUMN($A$1:$D$1)-1)+SUMPRODUCT(H2195:K2195,COLUMN($E$1:$H$1)-1))*'Line Follower'!$C$3/SUM(C2195:F2195,H2195:K2195)-'Line Follower'!$C$5)))</f>
        <v>#N/A</v>
      </c>
      <c r="O2195" s="22" t="e">
        <v>#N/A</v>
      </c>
      <c r="P2195" s="4" t="e">
        <f t="shared" si="170"/>
        <v>#N/A</v>
      </c>
      <c r="Q2195" s="4" t="e">
        <f t="shared" si="171"/>
        <v>#N/A</v>
      </c>
      <c r="R2195" s="4" t="e">
        <f>IF(AND(B2195=1,N2195&gt;'Line Follower'!$C$7,SUM(C2195:K2195)&lt;4),1,0)</f>
        <v>#N/A</v>
      </c>
      <c r="S2195" s="4" t="e">
        <f>IF(AND(L2195=1,N2195&lt;'Line Follower'!$C$6,SUM(C2195:K2195)&lt;4),1,0)</f>
        <v>#N/A</v>
      </c>
      <c r="T2195" s="4" t="e">
        <f t="shared" si="172"/>
        <v>#N/A</v>
      </c>
      <c r="U2195" s="5" t="e">
        <f t="shared" si="173"/>
        <v>#N/A</v>
      </c>
      <c r="V2195" s="23" t="e">
        <f t="shared" si="174"/>
        <v>#N/A</v>
      </c>
    </row>
    <row r="2196" spans="2:22" x14ac:dyDescent="0.25">
      <c r="B2196" s="16">
        <v>1</v>
      </c>
      <c r="C2196" s="7">
        <v>0</v>
      </c>
      <c r="D2196" s="8">
        <v>0</v>
      </c>
      <c r="E2196" s="8">
        <v>0</v>
      </c>
      <c r="F2196" s="8">
        <v>1</v>
      </c>
      <c r="G2196" s="8">
        <v>0</v>
      </c>
      <c r="H2196" s="8">
        <v>0</v>
      </c>
      <c r="I2196" s="8">
        <v>1</v>
      </c>
      <c r="J2196" s="8">
        <v>0</v>
      </c>
      <c r="K2196" s="9">
        <v>0</v>
      </c>
      <c r="L2196" s="10">
        <v>0</v>
      </c>
      <c r="M2196" s="6">
        <v>1</v>
      </c>
      <c r="N2196" s="37" t="e" cm="1">
        <f t="array" ref="N2196">IF(OR(ISNUMBER(FIND(Aux!$D$3:$D$9,_xlfn.TEXTJOIN(,,C2196:K2196)))),NA(),IF(AND(SUM(C2196:F2196,H2196:K2196)=0,G2196=1),0,INT((SUMPRODUCT(C2196:F2196,COLUMN($A$1:$D$1)-1)+SUMPRODUCT(H2196:K2196,COLUMN($E$1:$H$1)-1))*'Line Follower'!$C$3/SUM(C2196:F2196,H2196:K2196)-'Line Follower'!$C$5)))</f>
        <v>#N/A</v>
      </c>
      <c r="O2196" s="22" t="e">
        <v>#N/A</v>
      </c>
      <c r="P2196" s="4" t="e">
        <f t="shared" si="170"/>
        <v>#N/A</v>
      </c>
      <c r="Q2196" s="4" t="e">
        <f t="shared" si="171"/>
        <v>#N/A</v>
      </c>
      <c r="R2196" s="4" t="e">
        <f>IF(AND(B2196=1,N2196&gt;'Line Follower'!$C$7,SUM(C2196:K2196)&lt;4),1,0)</f>
        <v>#N/A</v>
      </c>
      <c r="S2196" s="4" t="e">
        <f>IF(AND(L2196=1,N2196&lt;'Line Follower'!$C$6,SUM(C2196:K2196)&lt;4),1,0)</f>
        <v>#N/A</v>
      </c>
      <c r="T2196" s="4" t="e">
        <f t="shared" si="172"/>
        <v>#N/A</v>
      </c>
      <c r="U2196" s="5" t="e">
        <f t="shared" si="173"/>
        <v>#N/A</v>
      </c>
      <c r="V2196" s="23" t="e">
        <f t="shared" si="174"/>
        <v>#N/A</v>
      </c>
    </row>
    <row r="2197" spans="2:22" x14ac:dyDescent="0.25">
      <c r="B2197" s="16">
        <v>0</v>
      </c>
      <c r="C2197" s="7">
        <v>1</v>
      </c>
      <c r="D2197" s="8">
        <v>0</v>
      </c>
      <c r="E2197" s="8">
        <v>0</v>
      </c>
      <c r="F2197" s="8">
        <v>1</v>
      </c>
      <c r="G2197" s="8">
        <v>0</v>
      </c>
      <c r="H2197" s="8">
        <v>0</v>
      </c>
      <c r="I2197" s="8">
        <v>1</v>
      </c>
      <c r="J2197" s="8">
        <v>0</v>
      </c>
      <c r="K2197" s="9">
        <v>0</v>
      </c>
      <c r="L2197" s="10">
        <v>0</v>
      </c>
      <c r="M2197" s="6">
        <v>1</v>
      </c>
      <c r="N2197" s="37" t="e" cm="1">
        <f t="array" ref="N2197">IF(OR(ISNUMBER(FIND(Aux!$D$3:$D$9,_xlfn.TEXTJOIN(,,C2197:K2197)))),NA(),IF(AND(SUM(C2197:F2197,H2197:K2197)=0,G2197=1),0,INT((SUMPRODUCT(C2197:F2197,COLUMN($A$1:$D$1)-1)+SUMPRODUCT(H2197:K2197,COLUMN($E$1:$H$1)-1))*'Line Follower'!$C$3/SUM(C2197:F2197,H2197:K2197)-'Line Follower'!$C$5)))</f>
        <v>#N/A</v>
      </c>
      <c r="O2197" s="22" t="e">
        <v>#N/A</v>
      </c>
      <c r="P2197" s="4" t="e">
        <f t="shared" si="170"/>
        <v>#N/A</v>
      </c>
      <c r="Q2197" s="4" t="e">
        <f t="shared" si="171"/>
        <v>#N/A</v>
      </c>
      <c r="R2197" s="4" t="e">
        <f>IF(AND(B2197=1,N2197&gt;'Line Follower'!$C$7,SUM(C2197:K2197)&lt;4),1,0)</f>
        <v>#N/A</v>
      </c>
      <c r="S2197" s="4" t="e">
        <f>IF(AND(L2197=1,N2197&lt;'Line Follower'!$C$6,SUM(C2197:K2197)&lt;4),1,0)</f>
        <v>#N/A</v>
      </c>
      <c r="T2197" s="4" t="e">
        <f t="shared" si="172"/>
        <v>#N/A</v>
      </c>
      <c r="U2197" s="5" t="e">
        <f t="shared" si="173"/>
        <v>#N/A</v>
      </c>
      <c r="V2197" s="23" t="e">
        <f t="shared" si="174"/>
        <v>#N/A</v>
      </c>
    </row>
    <row r="2198" spans="2:22" x14ac:dyDescent="0.25">
      <c r="B2198" s="16">
        <v>1</v>
      </c>
      <c r="C2198" s="7">
        <v>1</v>
      </c>
      <c r="D2198" s="8">
        <v>0</v>
      </c>
      <c r="E2198" s="8">
        <v>0</v>
      </c>
      <c r="F2198" s="8">
        <v>1</v>
      </c>
      <c r="G2198" s="8">
        <v>0</v>
      </c>
      <c r="H2198" s="8">
        <v>0</v>
      </c>
      <c r="I2198" s="8">
        <v>1</v>
      </c>
      <c r="J2198" s="8">
        <v>0</v>
      </c>
      <c r="K2198" s="9">
        <v>0</v>
      </c>
      <c r="L2198" s="10">
        <v>0</v>
      </c>
      <c r="M2198" s="6">
        <v>1</v>
      </c>
      <c r="N2198" s="37" t="e" cm="1">
        <f t="array" ref="N2198">IF(OR(ISNUMBER(FIND(Aux!$D$3:$D$9,_xlfn.TEXTJOIN(,,C2198:K2198)))),NA(),IF(AND(SUM(C2198:F2198,H2198:K2198)=0,G2198=1),0,INT((SUMPRODUCT(C2198:F2198,COLUMN($A$1:$D$1)-1)+SUMPRODUCT(H2198:K2198,COLUMN($E$1:$H$1)-1))*'Line Follower'!$C$3/SUM(C2198:F2198,H2198:K2198)-'Line Follower'!$C$5)))</f>
        <v>#N/A</v>
      </c>
      <c r="O2198" s="22" t="e">
        <v>#N/A</v>
      </c>
      <c r="P2198" s="4" t="e">
        <f t="shared" si="170"/>
        <v>#N/A</v>
      </c>
      <c r="Q2198" s="4" t="e">
        <f t="shared" si="171"/>
        <v>#N/A</v>
      </c>
      <c r="R2198" s="4" t="e">
        <f>IF(AND(B2198=1,N2198&gt;'Line Follower'!$C$7,SUM(C2198:K2198)&lt;4),1,0)</f>
        <v>#N/A</v>
      </c>
      <c r="S2198" s="4" t="e">
        <f>IF(AND(L2198=1,N2198&lt;'Line Follower'!$C$6,SUM(C2198:K2198)&lt;4),1,0)</f>
        <v>#N/A</v>
      </c>
      <c r="T2198" s="4" t="e">
        <f t="shared" si="172"/>
        <v>#N/A</v>
      </c>
      <c r="U2198" s="5" t="e">
        <f t="shared" si="173"/>
        <v>#N/A</v>
      </c>
      <c r="V2198" s="23" t="e">
        <f t="shared" si="174"/>
        <v>#N/A</v>
      </c>
    </row>
    <row r="2199" spans="2:22" x14ac:dyDescent="0.25">
      <c r="B2199" s="16">
        <v>0</v>
      </c>
      <c r="C2199" s="7">
        <v>0</v>
      </c>
      <c r="D2199" s="8">
        <v>1</v>
      </c>
      <c r="E2199" s="8">
        <v>0</v>
      </c>
      <c r="F2199" s="8">
        <v>1</v>
      </c>
      <c r="G2199" s="8">
        <v>0</v>
      </c>
      <c r="H2199" s="8">
        <v>0</v>
      </c>
      <c r="I2199" s="8">
        <v>1</v>
      </c>
      <c r="J2199" s="8">
        <v>0</v>
      </c>
      <c r="K2199" s="9">
        <v>0</v>
      </c>
      <c r="L2199" s="10">
        <v>0</v>
      </c>
      <c r="M2199" s="6">
        <v>1</v>
      </c>
      <c r="N2199" s="37" t="e" cm="1">
        <f t="array" ref="N2199">IF(OR(ISNUMBER(FIND(Aux!$D$3:$D$9,_xlfn.TEXTJOIN(,,C2199:K2199)))),NA(),IF(AND(SUM(C2199:F2199,H2199:K2199)=0,G2199=1),0,INT((SUMPRODUCT(C2199:F2199,COLUMN($A$1:$D$1)-1)+SUMPRODUCT(H2199:K2199,COLUMN($E$1:$H$1)-1))*'Line Follower'!$C$3/SUM(C2199:F2199,H2199:K2199)-'Line Follower'!$C$5)))</f>
        <v>#N/A</v>
      </c>
      <c r="O2199" s="22" t="e">
        <v>#N/A</v>
      </c>
      <c r="P2199" s="4" t="e">
        <f t="shared" si="170"/>
        <v>#N/A</v>
      </c>
      <c r="Q2199" s="4" t="e">
        <f t="shared" si="171"/>
        <v>#N/A</v>
      </c>
      <c r="R2199" s="4" t="e">
        <f>IF(AND(B2199=1,N2199&gt;'Line Follower'!$C$7,SUM(C2199:K2199)&lt;4),1,0)</f>
        <v>#N/A</v>
      </c>
      <c r="S2199" s="4" t="e">
        <f>IF(AND(L2199=1,N2199&lt;'Line Follower'!$C$6,SUM(C2199:K2199)&lt;4),1,0)</f>
        <v>#N/A</v>
      </c>
      <c r="T2199" s="4" t="e">
        <f t="shared" si="172"/>
        <v>#N/A</v>
      </c>
      <c r="U2199" s="5" t="e">
        <f t="shared" si="173"/>
        <v>#N/A</v>
      </c>
      <c r="V2199" s="23" t="e">
        <f t="shared" si="174"/>
        <v>#N/A</v>
      </c>
    </row>
    <row r="2200" spans="2:22" x14ac:dyDescent="0.25">
      <c r="B2200" s="16">
        <v>1</v>
      </c>
      <c r="C2200" s="7">
        <v>0</v>
      </c>
      <c r="D2200" s="8">
        <v>1</v>
      </c>
      <c r="E2200" s="8">
        <v>0</v>
      </c>
      <c r="F2200" s="8">
        <v>1</v>
      </c>
      <c r="G2200" s="8">
        <v>0</v>
      </c>
      <c r="H2200" s="8">
        <v>0</v>
      </c>
      <c r="I2200" s="8">
        <v>1</v>
      </c>
      <c r="J2200" s="8">
        <v>0</v>
      </c>
      <c r="K2200" s="9">
        <v>0</v>
      </c>
      <c r="L2200" s="10">
        <v>0</v>
      </c>
      <c r="M2200" s="6">
        <v>1</v>
      </c>
      <c r="N2200" s="37" t="e" cm="1">
        <f t="array" ref="N2200">IF(OR(ISNUMBER(FIND(Aux!$D$3:$D$9,_xlfn.TEXTJOIN(,,C2200:K2200)))),NA(),IF(AND(SUM(C2200:F2200,H2200:K2200)=0,G2200=1),0,INT((SUMPRODUCT(C2200:F2200,COLUMN($A$1:$D$1)-1)+SUMPRODUCT(H2200:K2200,COLUMN($E$1:$H$1)-1))*'Line Follower'!$C$3/SUM(C2200:F2200,H2200:K2200)-'Line Follower'!$C$5)))</f>
        <v>#N/A</v>
      </c>
      <c r="O2200" s="22" t="e">
        <v>#N/A</v>
      </c>
      <c r="P2200" s="4" t="e">
        <f t="shared" si="170"/>
        <v>#N/A</v>
      </c>
      <c r="Q2200" s="4" t="e">
        <f t="shared" si="171"/>
        <v>#N/A</v>
      </c>
      <c r="R2200" s="4" t="e">
        <f>IF(AND(B2200=1,N2200&gt;'Line Follower'!$C$7,SUM(C2200:K2200)&lt;4),1,0)</f>
        <v>#N/A</v>
      </c>
      <c r="S2200" s="4" t="e">
        <f>IF(AND(L2200=1,N2200&lt;'Line Follower'!$C$6,SUM(C2200:K2200)&lt;4),1,0)</f>
        <v>#N/A</v>
      </c>
      <c r="T2200" s="4" t="e">
        <f t="shared" si="172"/>
        <v>#N/A</v>
      </c>
      <c r="U2200" s="5" t="e">
        <f t="shared" si="173"/>
        <v>#N/A</v>
      </c>
      <c r="V2200" s="23" t="e">
        <f t="shared" si="174"/>
        <v>#N/A</v>
      </c>
    </row>
    <row r="2201" spans="2:22" x14ac:dyDescent="0.25">
      <c r="B2201" s="16">
        <v>0</v>
      </c>
      <c r="C2201" s="7">
        <v>1</v>
      </c>
      <c r="D2201" s="8">
        <v>1</v>
      </c>
      <c r="E2201" s="8">
        <v>0</v>
      </c>
      <c r="F2201" s="8">
        <v>1</v>
      </c>
      <c r="G2201" s="8">
        <v>0</v>
      </c>
      <c r="H2201" s="8">
        <v>0</v>
      </c>
      <c r="I2201" s="8">
        <v>1</v>
      </c>
      <c r="J2201" s="8">
        <v>0</v>
      </c>
      <c r="K2201" s="9">
        <v>0</v>
      </c>
      <c r="L2201" s="10">
        <v>0</v>
      </c>
      <c r="M2201" s="6">
        <v>1</v>
      </c>
      <c r="N2201" s="37" t="e" cm="1">
        <f t="array" ref="N2201">IF(OR(ISNUMBER(FIND(Aux!$D$3:$D$9,_xlfn.TEXTJOIN(,,C2201:K2201)))),NA(),IF(AND(SUM(C2201:F2201,H2201:K2201)=0,G2201=1),0,INT((SUMPRODUCT(C2201:F2201,COLUMN($A$1:$D$1)-1)+SUMPRODUCT(H2201:K2201,COLUMN($E$1:$H$1)-1))*'Line Follower'!$C$3/SUM(C2201:F2201,H2201:K2201)-'Line Follower'!$C$5)))</f>
        <v>#N/A</v>
      </c>
      <c r="O2201" s="22" t="e">
        <v>#N/A</v>
      </c>
      <c r="P2201" s="4" t="e">
        <f t="shared" si="170"/>
        <v>#N/A</v>
      </c>
      <c r="Q2201" s="4" t="e">
        <f t="shared" si="171"/>
        <v>#N/A</v>
      </c>
      <c r="R2201" s="4" t="e">
        <f>IF(AND(B2201=1,N2201&gt;'Line Follower'!$C$7,SUM(C2201:K2201)&lt;4),1,0)</f>
        <v>#N/A</v>
      </c>
      <c r="S2201" s="4" t="e">
        <f>IF(AND(L2201=1,N2201&lt;'Line Follower'!$C$6,SUM(C2201:K2201)&lt;4),1,0)</f>
        <v>#N/A</v>
      </c>
      <c r="T2201" s="4" t="e">
        <f t="shared" si="172"/>
        <v>#N/A</v>
      </c>
      <c r="U2201" s="5" t="e">
        <f t="shared" si="173"/>
        <v>#N/A</v>
      </c>
      <c r="V2201" s="23" t="e">
        <f t="shared" si="174"/>
        <v>#N/A</v>
      </c>
    </row>
    <row r="2202" spans="2:22" x14ac:dyDescent="0.25">
      <c r="B2202" s="16">
        <v>1</v>
      </c>
      <c r="C2202" s="7">
        <v>1</v>
      </c>
      <c r="D2202" s="8">
        <v>1</v>
      </c>
      <c r="E2202" s="8">
        <v>0</v>
      </c>
      <c r="F2202" s="8">
        <v>1</v>
      </c>
      <c r="G2202" s="8">
        <v>0</v>
      </c>
      <c r="H2202" s="8">
        <v>0</v>
      </c>
      <c r="I2202" s="8">
        <v>1</v>
      </c>
      <c r="J2202" s="8">
        <v>0</v>
      </c>
      <c r="K2202" s="9">
        <v>0</v>
      </c>
      <c r="L2202" s="10">
        <v>0</v>
      </c>
      <c r="M2202" s="6">
        <v>1</v>
      </c>
      <c r="N2202" s="37" t="e" cm="1">
        <f t="array" ref="N2202">IF(OR(ISNUMBER(FIND(Aux!$D$3:$D$9,_xlfn.TEXTJOIN(,,C2202:K2202)))),NA(),IF(AND(SUM(C2202:F2202,H2202:K2202)=0,G2202=1),0,INT((SUMPRODUCT(C2202:F2202,COLUMN($A$1:$D$1)-1)+SUMPRODUCT(H2202:K2202,COLUMN($E$1:$H$1)-1))*'Line Follower'!$C$3/SUM(C2202:F2202,H2202:K2202)-'Line Follower'!$C$5)))</f>
        <v>#N/A</v>
      </c>
      <c r="O2202" s="22" t="e">
        <v>#N/A</v>
      </c>
      <c r="P2202" s="4" t="e">
        <f t="shared" si="170"/>
        <v>#N/A</v>
      </c>
      <c r="Q2202" s="4" t="e">
        <f t="shared" si="171"/>
        <v>#N/A</v>
      </c>
      <c r="R2202" s="4" t="e">
        <f>IF(AND(B2202=1,N2202&gt;'Line Follower'!$C$7,SUM(C2202:K2202)&lt;4),1,0)</f>
        <v>#N/A</v>
      </c>
      <c r="S2202" s="4" t="e">
        <f>IF(AND(L2202=1,N2202&lt;'Line Follower'!$C$6,SUM(C2202:K2202)&lt;4),1,0)</f>
        <v>#N/A</v>
      </c>
      <c r="T2202" s="4" t="e">
        <f t="shared" si="172"/>
        <v>#N/A</v>
      </c>
      <c r="U2202" s="5" t="e">
        <f t="shared" si="173"/>
        <v>#N/A</v>
      </c>
      <c r="V2202" s="23" t="e">
        <f t="shared" si="174"/>
        <v>#N/A</v>
      </c>
    </row>
    <row r="2203" spans="2:22" x14ac:dyDescent="0.25">
      <c r="B2203" s="16">
        <v>0</v>
      </c>
      <c r="C2203" s="7">
        <v>0</v>
      </c>
      <c r="D2203" s="8">
        <v>0</v>
      </c>
      <c r="E2203" s="8">
        <v>1</v>
      </c>
      <c r="F2203" s="8">
        <v>1</v>
      </c>
      <c r="G2203" s="8">
        <v>0</v>
      </c>
      <c r="H2203" s="8">
        <v>0</v>
      </c>
      <c r="I2203" s="8">
        <v>1</v>
      </c>
      <c r="J2203" s="8">
        <v>0</v>
      </c>
      <c r="K2203" s="9">
        <v>0</v>
      </c>
      <c r="L2203" s="10">
        <v>0</v>
      </c>
      <c r="M2203" s="6">
        <v>1</v>
      </c>
      <c r="N2203" s="37" t="e" cm="1">
        <f t="array" ref="N2203">IF(OR(ISNUMBER(FIND(Aux!$D$3:$D$9,_xlfn.TEXTJOIN(,,C2203:K2203)))),NA(),IF(AND(SUM(C2203:F2203,H2203:K2203)=0,G2203=1),0,INT((SUMPRODUCT(C2203:F2203,COLUMN($A$1:$D$1)-1)+SUMPRODUCT(H2203:K2203,COLUMN($E$1:$H$1)-1))*'Line Follower'!$C$3/SUM(C2203:F2203,H2203:K2203)-'Line Follower'!$C$5)))</f>
        <v>#N/A</v>
      </c>
      <c r="O2203" s="22" t="e">
        <v>#N/A</v>
      </c>
      <c r="P2203" s="4" t="e">
        <f t="shared" si="170"/>
        <v>#N/A</v>
      </c>
      <c r="Q2203" s="4" t="e">
        <f t="shared" si="171"/>
        <v>#N/A</v>
      </c>
      <c r="R2203" s="4" t="e">
        <f>IF(AND(B2203=1,N2203&gt;'Line Follower'!$C$7,SUM(C2203:K2203)&lt;4),1,0)</f>
        <v>#N/A</v>
      </c>
      <c r="S2203" s="4" t="e">
        <f>IF(AND(L2203=1,N2203&lt;'Line Follower'!$C$6,SUM(C2203:K2203)&lt;4),1,0)</f>
        <v>#N/A</v>
      </c>
      <c r="T2203" s="4" t="e">
        <f t="shared" si="172"/>
        <v>#N/A</v>
      </c>
      <c r="U2203" s="5" t="e">
        <f t="shared" si="173"/>
        <v>#N/A</v>
      </c>
      <c r="V2203" s="23" t="e">
        <f t="shared" si="174"/>
        <v>#N/A</v>
      </c>
    </row>
    <row r="2204" spans="2:22" x14ac:dyDescent="0.25">
      <c r="B2204" s="16">
        <v>1</v>
      </c>
      <c r="C2204" s="7">
        <v>0</v>
      </c>
      <c r="D2204" s="8">
        <v>0</v>
      </c>
      <c r="E2204" s="8">
        <v>1</v>
      </c>
      <c r="F2204" s="8">
        <v>1</v>
      </c>
      <c r="G2204" s="8">
        <v>0</v>
      </c>
      <c r="H2204" s="8">
        <v>0</v>
      </c>
      <c r="I2204" s="8">
        <v>1</v>
      </c>
      <c r="J2204" s="8">
        <v>0</v>
      </c>
      <c r="K2204" s="9">
        <v>0</v>
      </c>
      <c r="L2204" s="10">
        <v>0</v>
      </c>
      <c r="M2204" s="6">
        <v>1</v>
      </c>
      <c r="N2204" s="37" t="e" cm="1">
        <f t="array" ref="N2204">IF(OR(ISNUMBER(FIND(Aux!$D$3:$D$9,_xlfn.TEXTJOIN(,,C2204:K2204)))),NA(),IF(AND(SUM(C2204:F2204,H2204:K2204)=0,G2204=1),0,INT((SUMPRODUCT(C2204:F2204,COLUMN($A$1:$D$1)-1)+SUMPRODUCT(H2204:K2204,COLUMN($E$1:$H$1)-1))*'Line Follower'!$C$3/SUM(C2204:F2204,H2204:K2204)-'Line Follower'!$C$5)))</f>
        <v>#N/A</v>
      </c>
      <c r="O2204" s="22" t="e">
        <v>#N/A</v>
      </c>
      <c r="P2204" s="4" t="e">
        <f t="shared" si="170"/>
        <v>#N/A</v>
      </c>
      <c r="Q2204" s="4" t="e">
        <f t="shared" si="171"/>
        <v>#N/A</v>
      </c>
      <c r="R2204" s="4" t="e">
        <f>IF(AND(B2204=1,N2204&gt;'Line Follower'!$C$7,SUM(C2204:K2204)&lt;4),1,0)</f>
        <v>#N/A</v>
      </c>
      <c r="S2204" s="4" t="e">
        <f>IF(AND(L2204=1,N2204&lt;'Line Follower'!$C$6,SUM(C2204:K2204)&lt;4),1,0)</f>
        <v>#N/A</v>
      </c>
      <c r="T2204" s="4" t="e">
        <f t="shared" si="172"/>
        <v>#N/A</v>
      </c>
      <c r="U2204" s="5" t="e">
        <f t="shared" si="173"/>
        <v>#N/A</v>
      </c>
      <c r="V2204" s="23" t="e">
        <f t="shared" si="174"/>
        <v>#N/A</v>
      </c>
    </row>
    <row r="2205" spans="2:22" x14ac:dyDescent="0.25">
      <c r="B2205" s="16">
        <v>0</v>
      </c>
      <c r="C2205" s="7">
        <v>1</v>
      </c>
      <c r="D2205" s="8">
        <v>0</v>
      </c>
      <c r="E2205" s="8">
        <v>1</v>
      </c>
      <c r="F2205" s="8">
        <v>1</v>
      </c>
      <c r="G2205" s="8">
        <v>0</v>
      </c>
      <c r="H2205" s="8">
        <v>0</v>
      </c>
      <c r="I2205" s="8">
        <v>1</v>
      </c>
      <c r="J2205" s="8">
        <v>0</v>
      </c>
      <c r="K2205" s="9">
        <v>0</v>
      </c>
      <c r="L2205" s="10">
        <v>0</v>
      </c>
      <c r="M2205" s="6">
        <v>1</v>
      </c>
      <c r="N2205" s="37" t="e" cm="1">
        <f t="array" ref="N2205">IF(OR(ISNUMBER(FIND(Aux!$D$3:$D$9,_xlfn.TEXTJOIN(,,C2205:K2205)))),NA(),IF(AND(SUM(C2205:F2205,H2205:K2205)=0,G2205=1),0,INT((SUMPRODUCT(C2205:F2205,COLUMN($A$1:$D$1)-1)+SUMPRODUCT(H2205:K2205,COLUMN($E$1:$H$1)-1))*'Line Follower'!$C$3/SUM(C2205:F2205,H2205:K2205)-'Line Follower'!$C$5)))</f>
        <v>#N/A</v>
      </c>
      <c r="O2205" s="22" t="e">
        <v>#N/A</v>
      </c>
      <c r="P2205" s="4" t="e">
        <f t="shared" si="170"/>
        <v>#N/A</v>
      </c>
      <c r="Q2205" s="4" t="e">
        <f t="shared" si="171"/>
        <v>#N/A</v>
      </c>
      <c r="R2205" s="4" t="e">
        <f>IF(AND(B2205=1,N2205&gt;'Line Follower'!$C$7,SUM(C2205:K2205)&lt;4),1,0)</f>
        <v>#N/A</v>
      </c>
      <c r="S2205" s="4" t="e">
        <f>IF(AND(L2205=1,N2205&lt;'Line Follower'!$C$6,SUM(C2205:K2205)&lt;4),1,0)</f>
        <v>#N/A</v>
      </c>
      <c r="T2205" s="4" t="e">
        <f t="shared" si="172"/>
        <v>#N/A</v>
      </c>
      <c r="U2205" s="5" t="e">
        <f t="shared" si="173"/>
        <v>#N/A</v>
      </c>
      <c r="V2205" s="23" t="e">
        <f t="shared" si="174"/>
        <v>#N/A</v>
      </c>
    </row>
    <row r="2206" spans="2:22" x14ac:dyDescent="0.25">
      <c r="B2206" s="16">
        <v>1</v>
      </c>
      <c r="C2206" s="7">
        <v>1</v>
      </c>
      <c r="D2206" s="8">
        <v>0</v>
      </c>
      <c r="E2206" s="8">
        <v>1</v>
      </c>
      <c r="F2206" s="8">
        <v>1</v>
      </c>
      <c r="G2206" s="8">
        <v>0</v>
      </c>
      <c r="H2206" s="8">
        <v>0</v>
      </c>
      <c r="I2206" s="8">
        <v>1</v>
      </c>
      <c r="J2206" s="8">
        <v>0</v>
      </c>
      <c r="K2206" s="9">
        <v>0</v>
      </c>
      <c r="L2206" s="10">
        <v>0</v>
      </c>
      <c r="M2206" s="6">
        <v>1</v>
      </c>
      <c r="N2206" s="37" t="e" cm="1">
        <f t="array" ref="N2206">IF(OR(ISNUMBER(FIND(Aux!$D$3:$D$9,_xlfn.TEXTJOIN(,,C2206:K2206)))),NA(),IF(AND(SUM(C2206:F2206,H2206:K2206)=0,G2206=1),0,INT((SUMPRODUCT(C2206:F2206,COLUMN($A$1:$D$1)-1)+SUMPRODUCT(H2206:K2206,COLUMN($E$1:$H$1)-1))*'Line Follower'!$C$3/SUM(C2206:F2206,H2206:K2206)-'Line Follower'!$C$5)))</f>
        <v>#N/A</v>
      </c>
      <c r="O2206" s="22" t="e">
        <v>#N/A</v>
      </c>
      <c r="P2206" s="4" t="e">
        <f t="shared" si="170"/>
        <v>#N/A</v>
      </c>
      <c r="Q2206" s="4" t="e">
        <f t="shared" si="171"/>
        <v>#N/A</v>
      </c>
      <c r="R2206" s="4" t="e">
        <f>IF(AND(B2206=1,N2206&gt;'Line Follower'!$C$7,SUM(C2206:K2206)&lt;4),1,0)</f>
        <v>#N/A</v>
      </c>
      <c r="S2206" s="4" t="e">
        <f>IF(AND(L2206=1,N2206&lt;'Line Follower'!$C$6,SUM(C2206:K2206)&lt;4),1,0)</f>
        <v>#N/A</v>
      </c>
      <c r="T2206" s="4" t="e">
        <f t="shared" si="172"/>
        <v>#N/A</v>
      </c>
      <c r="U2206" s="5" t="e">
        <f t="shared" si="173"/>
        <v>#N/A</v>
      </c>
      <c r="V2206" s="23" t="e">
        <f t="shared" si="174"/>
        <v>#N/A</v>
      </c>
    </row>
    <row r="2207" spans="2:22" x14ac:dyDescent="0.25">
      <c r="B2207" s="16">
        <v>0</v>
      </c>
      <c r="C2207" s="7">
        <v>0</v>
      </c>
      <c r="D2207" s="8">
        <v>1</v>
      </c>
      <c r="E2207" s="8">
        <v>1</v>
      </c>
      <c r="F2207" s="8">
        <v>1</v>
      </c>
      <c r="G2207" s="8">
        <v>0</v>
      </c>
      <c r="H2207" s="8">
        <v>0</v>
      </c>
      <c r="I2207" s="8">
        <v>1</v>
      </c>
      <c r="J2207" s="8">
        <v>0</v>
      </c>
      <c r="K2207" s="9">
        <v>0</v>
      </c>
      <c r="L2207" s="10">
        <v>0</v>
      </c>
      <c r="M2207" s="6">
        <v>1</v>
      </c>
      <c r="N2207" s="37" t="e" cm="1">
        <f t="array" ref="N2207">IF(OR(ISNUMBER(FIND(Aux!$D$3:$D$9,_xlfn.TEXTJOIN(,,C2207:K2207)))),NA(),IF(AND(SUM(C2207:F2207,H2207:K2207)=0,G2207=1),0,INT((SUMPRODUCT(C2207:F2207,COLUMN($A$1:$D$1)-1)+SUMPRODUCT(H2207:K2207,COLUMN($E$1:$H$1)-1))*'Line Follower'!$C$3/SUM(C2207:F2207,H2207:K2207)-'Line Follower'!$C$5)))</f>
        <v>#N/A</v>
      </c>
      <c r="O2207" s="22" t="e">
        <v>#N/A</v>
      </c>
      <c r="P2207" s="4" t="e">
        <f t="shared" si="170"/>
        <v>#N/A</v>
      </c>
      <c r="Q2207" s="4" t="e">
        <f t="shared" si="171"/>
        <v>#N/A</v>
      </c>
      <c r="R2207" s="4" t="e">
        <f>IF(AND(B2207=1,N2207&gt;'Line Follower'!$C$7,SUM(C2207:K2207)&lt;4),1,0)</f>
        <v>#N/A</v>
      </c>
      <c r="S2207" s="4" t="e">
        <f>IF(AND(L2207=1,N2207&lt;'Line Follower'!$C$6,SUM(C2207:K2207)&lt;4),1,0)</f>
        <v>#N/A</v>
      </c>
      <c r="T2207" s="4" t="e">
        <f t="shared" si="172"/>
        <v>#N/A</v>
      </c>
      <c r="U2207" s="5" t="e">
        <f t="shared" si="173"/>
        <v>#N/A</v>
      </c>
      <c r="V2207" s="23" t="e">
        <f t="shared" si="174"/>
        <v>#N/A</v>
      </c>
    </row>
    <row r="2208" spans="2:22" x14ac:dyDescent="0.25">
      <c r="B2208" s="16">
        <v>1</v>
      </c>
      <c r="C2208" s="7">
        <v>0</v>
      </c>
      <c r="D2208" s="8">
        <v>1</v>
      </c>
      <c r="E2208" s="8">
        <v>1</v>
      </c>
      <c r="F2208" s="8">
        <v>1</v>
      </c>
      <c r="G2208" s="8">
        <v>0</v>
      </c>
      <c r="H2208" s="8">
        <v>0</v>
      </c>
      <c r="I2208" s="8">
        <v>1</v>
      </c>
      <c r="J2208" s="8">
        <v>0</v>
      </c>
      <c r="K2208" s="9">
        <v>0</v>
      </c>
      <c r="L2208" s="10">
        <v>0</v>
      </c>
      <c r="M2208" s="6">
        <v>1</v>
      </c>
      <c r="N2208" s="37" t="e" cm="1">
        <f t="array" ref="N2208">IF(OR(ISNUMBER(FIND(Aux!$D$3:$D$9,_xlfn.TEXTJOIN(,,C2208:K2208)))),NA(),IF(AND(SUM(C2208:F2208,H2208:K2208)=0,G2208=1),0,INT((SUMPRODUCT(C2208:F2208,COLUMN($A$1:$D$1)-1)+SUMPRODUCT(H2208:K2208,COLUMN($E$1:$H$1)-1))*'Line Follower'!$C$3/SUM(C2208:F2208,H2208:K2208)-'Line Follower'!$C$5)))</f>
        <v>#N/A</v>
      </c>
      <c r="O2208" s="22" t="e">
        <v>#N/A</v>
      </c>
      <c r="P2208" s="4" t="e">
        <f t="shared" si="170"/>
        <v>#N/A</v>
      </c>
      <c r="Q2208" s="4" t="e">
        <f t="shared" si="171"/>
        <v>#N/A</v>
      </c>
      <c r="R2208" s="4" t="e">
        <f>IF(AND(B2208=1,N2208&gt;'Line Follower'!$C$7,SUM(C2208:K2208)&lt;4),1,0)</f>
        <v>#N/A</v>
      </c>
      <c r="S2208" s="4" t="e">
        <f>IF(AND(L2208=1,N2208&lt;'Line Follower'!$C$6,SUM(C2208:K2208)&lt;4),1,0)</f>
        <v>#N/A</v>
      </c>
      <c r="T2208" s="4" t="e">
        <f t="shared" si="172"/>
        <v>#N/A</v>
      </c>
      <c r="U2208" s="5" t="e">
        <f t="shared" si="173"/>
        <v>#N/A</v>
      </c>
      <c r="V2208" s="23" t="e">
        <f t="shared" si="174"/>
        <v>#N/A</v>
      </c>
    </row>
    <row r="2209" spans="2:22" x14ac:dyDescent="0.25">
      <c r="B2209" s="16">
        <v>0</v>
      </c>
      <c r="C2209" s="7">
        <v>1</v>
      </c>
      <c r="D2209" s="8">
        <v>1</v>
      </c>
      <c r="E2209" s="8">
        <v>1</v>
      </c>
      <c r="F2209" s="8">
        <v>1</v>
      </c>
      <c r="G2209" s="8">
        <v>0</v>
      </c>
      <c r="H2209" s="8">
        <v>0</v>
      </c>
      <c r="I2209" s="8">
        <v>1</v>
      </c>
      <c r="J2209" s="8">
        <v>0</v>
      </c>
      <c r="K2209" s="9">
        <v>0</v>
      </c>
      <c r="L2209" s="10">
        <v>0</v>
      </c>
      <c r="M2209" s="6">
        <v>1</v>
      </c>
      <c r="N2209" s="37" t="e" cm="1">
        <f t="array" ref="N2209">IF(OR(ISNUMBER(FIND(Aux!$D$3:$D$9,_xlfn.TEXTJOIN(,,C2209:K2209)))),NA(),IF(AND(SUM(C2209:F2209,H2209:K2209)=0,G2209=1),0,INT((SUMPRODUCT(C2209:F2209,COLUMN($A$1:$D$1)-1)+SUMPRODUCT(H2209:K2209,COLUMN($E$1:$H$1)-1))*'Line Follower'!$C$3/SUM(C2209:F2209,H2209:K2209)-'Line Follower'!$C$5)))</f>
        <v>#N/A</v>
      </c>
      <c r="O2209" s="22" t="e">
        <v>#N/A</v>
      </c>
      <c r="P2209" s="4" t="e">
        <f t="shared" si="170"/>
        <v>#N/A</v>
      </c>
      <c r="Q2209" s="4" t="e">
        <f t="shared" si="171"/>
        <v>#N/A</v>
      </c>
      <c r="R2209" s="4" t="e">
        <f>IF(AND(B2209=1,N2209&gt;'Line Follower'!$C$7,SUM(C2209:K2209)&lt;4),1,0)</f>
        <v>#N/A</v>
      </c>
      <c r="S2209" s="4" t="e">
        <f>IF(AND(L2209=1,N2209&lt;'Line Follower'!$C$6,SUM(C2209:K2209)&lt;4),1,0)</f>
        <v>#N/A</v>
      </c>
      <c r="T2209" s="4" t="e">
        <f t="shared" si="172"/>
        <v>#N/A</v>
      </c>
      <c r="U2209" s="5" t="e">
        <f t="shared" si="173"/>
        <v>#N/A</v>
      </c>
      <c r="V2209" s="23" t="e">
        <f t="shared" si="174"/>
        <v>#N/A</v>
      </c>
    </row>
    <row r="2210" spans="2:22" x14ac:dyDescent="0.25">
      <c r="B2210" s="16">
        <v>1</v>
      </c>
      <c r="C2210" s="7">
        <v>1</v>
      </c>
      <c r="D2210" s="8">
        <v>1</v>
      </c>
      <c r="E2210" s="8">
        <v>1</v>
      </c>
      <c r="F2210" s="8">
        <v>1</v>
      </c>
      <c r="G2210" s="8">
        <v>0</v>
      </c>
      <c r="H2210" s="8">
        <v>0</v>
      </c>
      <c r="I2210" s="8">
        <v>1</v>
      </c>
      <c r="J2210" s="8">
        <v>0</v>
      </c>
      <c r="K2210" s="9">
        <v>0</v>
      </c>
      <c r="L2210" s="10">
        <v>0</v>
      </c>
      <c r="M2210" s="6">
        <v>1</v>
      </c>
      <c r="N2210" s="37" t="e" cm="1">
        <f t="array" ref="N2210">IF(OR(ISNUMBER(FIND(Aux!$D$3:$D$9,_xlfn.TEXTJOIN(,,C2210:K2210)))),NA(),IF(AND(SUM(C2210:F2210,H2210:K2210)=0,G2210=1),0,INT((SUMPRODUCT(C2210:F2210,COLUMN($A$1:$D$1)-1)+SUMPRODUCT(H2210:K2210,COLUMN($E$1:$H$1)-1))*'Line Follower'!$C$3/SUM(C2210:F2210,H2210:K2210)-'Line Follower'!$C$5)))</f>
        <v>#N/A</v>
      </c>
      <c r="O2210" s="22" t="e">
        <v>#N/A</v>
      </c>
      <c r="P2210" s="4" t="e">
        <f t="shared" si="170"/>
        <v>#N/A</v>
      </c>
      <c r="Q2210" s="4" t="e">
        <f t="shared" si="171"/>
        <v>#N/A</v>
      </c>
      <c r="R2210" s="4" t="e">
        <f>IF(AND(B2210=1,N2210&gt;'Line Follower'!$C$7,SUM(C2210:K2210)&lt;4),1,0)</f>
        <v>#N/A</v>
      </c>
      <c r="S2210" s="4" t="e">
        <f>IF(AND(L2210=1,N2210&lt;'Line Follower'!$C$6,SUM(C2210:K2210)&lt;4),1,0)</f>
        <v>#N/A</v>
      </c>
      <c r="T2210" s="4" t="e">
        <f t="shared" si="172"/>
        <v>#N/A</v>
      </c>
      <c r="U2210" s="5" t="e">
        <f t="shared" si="173"/>
        <v>#N/A</v>
      </c>
      <c r="V2210" s="23" t="e">
        <f t="shared" si="174"/>
        <v>#N/A</v>
      </c>
    </row>
    <row r="2211" spans="2:22" x14ac:dyDescent="0.25">
      <c r="B2211" s="16">
        <v>0</v>
      </c>
      <c r="C2211" s="7">
        <v>0</v>
      </c>
      <c r="D2211" s="8">
        <v>0</v>
      </c>
      <c r="E2211" s="8">
        <v>0</v>
      </c>
      <c r="F2211" s="8">
        <v>0</v>
      </c>
      <c r="G2211" s="8">
        <v>1</v>
      </c>
      <c r="H2211" s="8">
        <v>0</v>
      </c>
      <c r="I2211" s="8">
        <v>1</v>
      </c>
      <c r="J2211" s="8">
        <v>0</v>
      </c>
      <c r="K2211" s="9">
        <v>0</v>
      </c>
      <c r="L2211" s="10">
        <v>0</v>
      </c>
      <c r="M2211" s="6">
        <v>1</v>
      </c>
      <c r="N2211" s="37" t="e" cm="1">
        <f t="array" ref="N2211">IF(OR(ISNUMBER(FIND(Aux!$D$3:$D$9,_xlfn.TEXTJOIN(,,C2211:K2211)))),NA(),IF(AND(SUM(C2211:F2211,H2211:K2211)=0,G2211=1),0,INT((SUMPRODUCT(C2211:F2211,COLUMN($A$1:$D$1)-1)+SUMPRODUCT(H2211:K2211,COLUMN($E$1:$H$1)-1))*'Line Follower'!$C$3/SUM(C2211:F2211,H2211:K2211)-'Line Follower'!$C$5)))</f>
        <v>#N/A</v>
      </c>
      <c r="O2211" s="22" t="e">
        <v>#N/A</v>
      </c>
      <c r="P2211" s="4" t="e">
        <f t="shared" si="170"/>
        <v>#N/A</v>
      </c>
      <c r="Q2211" s="4" t="e">
        <f t="shared" si="171"/>
        <v>#N/A</v>
      </c>
      <c r="R2211" s="4" t="e">
        <f>IF(AND(B2211=1,N2211&gt;'Line Follower'!$C$7,SUM(C2211:K2211)&lt;4),1,0)</f>
        <v>#N/A</v>
      </c>
      <c r="S2211" s="4" t="e">
        <f>IF(AND(L2211=1,N2211&lt;'Line Follower'!$C$6,SUM(C2211:K2211)&lt;4),1,0)</f>
        <v>#N/A</v>
      </c>
      <c r="T2211" s="4" t="e">
        <f t="shared" si="172"/>
        <v>#N/A</v>
      </c>
      <c r="U2211" s="5" t="e">
        <f t="shared" si="173"/>
        <v>#N/A</v>
      </c>
      <c r="V2211" s="23" t="e">
        <f t="shared" si="174"/>
        <v>#N/A</v>
      </c>
    </row>
    <row r="2212" spans="2:22" x14ac:dyDescent="0.25">
      <c r="B2212" s="16">
        <v>1</v>
      </c>
      <c r="C2212" s="7">
        <v>0</v>
      </c>
      <c r="D2212" s="8">
        <v>0</v>
      </c>
      <c r="E2212" s="8">
        <v>0</v>
      </c>
      <c r="F2212" s="8">
        <v>0</v>
      </c>
      <c r="G2212" s="8">
        <v>1</v>
      </c>
      <c r="H2212" s="8">
        <v>0</v>
      </c>
      <c r="I2212" s="8">
        <v>1</v>
      </c>
      <c r="J2212" s="8">
        <v>0</v>
      </c>
      <c r="K2212" s="9">
        <v>0</v>
      </c>
      <c r="L2212" s="10">
        <v>0</v>
      </c>
      <c r="M2212" s="6">
        <v>1</v>
      </c>
      <c r="N2212" s="37" t="e" cm="1">
        <f t="array" ref="N2212">IF(OR(ISNUMBER(FIND(Aux!$D$3:$D$9,_xlfn.TEXTJOIN(,,C2212:K2212)))),NA(),IF(AND(SUM(C2212:F2212,H2212:K2212)=0,G2212=1),0,INT((SUMPRODUCT(C2212:F2212,COLUMN($A$1:$D$1)-1)+SUMPRODUCT(H2212:K2212,COLUMN($E$1:$H$1)-1))*'Line Follower'!$C$3/SUM(C2212:F2212,H2212:K2212)-'Line Follower'!$C$5)))</f>
        <v>#N/A</v>
      </c>
      <c r="O2212" s="22" t="e">
        <v>#N/A</v>
      </c>
      <c r="P2212" s="4" t="e">
        <f t="shared" si="170"/>
        <v>#N/A</v>
      </c>
      <c r="Q2212" s="4" t="e">
        <f t="shared" si="171"/>
        <v>#N/A</v>
      </c>
      <c r="R2212" s="4" t="e">
        <f>IF(AND(B2212=1,N2212&gt;'Line Follower'!$C$7,SUM(C2212:K2212)&lt;4),1,0)</f>
        <v>#N/A</v>
      </c>
      <c r="S2212" s="4" t="e">
        <f>IF(AND(L2212=1,N2212&lt;'Line Follower'!$C$6,SUM(C2212:K2212)&lt;4),1,0)</f>
        <v>#N/A</v>
      </c>
      <c r="T2212" s="4" t="e">
        <f t="shared" si="172"/>
        <v>#N/A</v>
      </c>
      <c r="U2212" s="5" t="e">
        <f t="shared" si="173"/>
        <v>#N/A</v>
      </c>
      <c r="V2212" s="23" t="e">
        <f t="shared" si="174"/>
        <v>#N/A</v>
      </c>
    </row>
    <row r="2213" spans="2:22" x14ac:dyDescent="0.25">
      <c r="B2213" s="16">
        <v>0</v>
      </c>
      <c r="C2213" s="7">
        <v>1</v>
      </c>
      <c r="D2213" s="8">
        <v>0</v>
      </c>
      <c r="E2213" s="8">
        <v>0</v>
      </c>
      <c r="F2213" s="8">
        <v>0</v>
      </c>
      <c r="G2213" s="8">
        <v>1</v>
      </c>
      <c r="H2213" s="8">
        <v>0</v>
      </c>
      <c r="I2213" s="8">
        <v>1</v>
      </c>
      <c r="J2213" s="8">
        <v>0</v>
      </c>
      <c r="K2213" s="9">
        <v>0</v>
      </c>
      <c r="L2213" s="10">
        <v>0</v>
      </c>
      <c r="M2213" s="6">
        <v>1</v>
      </c>
      <c r="N2213" s="37" t="e" cm="1">
        <f t="array" ref="N2213">IF(OR(ISNUMBER(FIND(Aux!$D$3:$D$9,_xlfn.TEXTJOIN(,,C2213:K2213)))),NA(),IF(AND(SUM(C2213:F2213,H2213:K2213)=0,G2213=1),0,INT((SUMPRODUCT(C2213:F2213,COLUMN($A$1:$D$1)-1)+SUMPRODUCT(H2213:K2213,COLUMN($E$1:$H$1)-1))*'Line Follower'!$C$3/SUM(C2213:F2213,H2213:K2213)-'Line Follower'!$C$5)))</f>
        <v>#N/A</v>
      </c>
      <c r="O2213" s="22" t="e">
        <v>#N/A</v>
      </c>
      <c r="P2213" s="4" t="e">
        <f t="shared" si="170"/>
        <v>#N/A</v>
      </c>
      <c r="Q2213" s="4" t="e">
        <f t="shared" si="171"/>
        <v>#N/A</v>
      </c>
      <c r="R2213" s="4" t="e">
        <f>IF(AND(B2213=1,N2213&gt;'Line Follower'!$C$7,SUM(C2213:K2213)&lt;4),1,0)</f>
        <v>#N/A</v>
      </c>
      <c r="S2213" s="4" t="e">
        <f>IF(AND(L2213=1,N2213&lt;'Line Follower'!$C$6,SUM(C2213:K2213)&lt;4),1,0)</f>
        <v>#N/A</v>
      </c>
      <c r="T2213" s="4" t="e">
        <f t="shared" si="172"/>
        <v>#N/A</v>
      </c>
      <c r="U2213" s="5" t="e">
        <f t="shared" si="173"/>
        <v>#N/A</v>
      </c>
      <c r="V2213" s="23" t="e">
        <f t="shared" si="174"/>
        <v>#N/A</v>
      </c>
    </row>
    <row r="2214" spans="2:22" x14ac:dyDescent="0.25">
      <c r="B2214" s="16">
        <v>1</v>
      </c>
      <c r="C2214" s="7">
        <v>1</v>
      </c>
      <c r="D2214" s="8">
        <v>0</v>
      </c>
      <c r="E2214" s="8">
        <v>0</v>
      </c>
      <c r="F2214" s="8">
        <v>0</v>
      </c>
      <c r="G2214" s="8">
        <v>1</v>
      </c>
      <c r="H2214" s="8">
        <v>0</v>
      </c>
      <c r="I2214" s="8">
        <v>1</v>
      </c>
      <c r="J2214" s="8">
        <v>0</v>
      </c>
      <c r="K2214" s="9">
        <v>0</v>
      </c>
      <c r="L2214" s="10">
        <v>0</v>
      </c>
      <c r="M2214" s="6">
        <v>1</v>
      </c>
      <c r="N2214" s="37" t="e" cm="1">
        <f t="array" ref="N2214">IF(OR(ISNUMBER(FIND(Aux!$D$3:$D$9,_xlfn.TEXTJOIN(,,C2214:K2214)))),NA(),IF(AND(SUM(C2214:F2214,H2214:K2214)=0,G2214=1),0,INT((SUMPRODUCT(C2214:F2214,COLUMN($A$1:$D$1)-1)+SUMPRODUCT(H2214:K2214,COLUMN($E$1:$H$1)-1))*'Line Follower'!$C$3/SUM(C2214:F2214,H2214:K2214)-'Line Follower'!$C$5)))</f>
        <v>#N/A</v>
      </c>
      <c r="O2214" s="22" t="e">
        <v>#N/A</v>
      </c>
      <c r="P2214" s="4" t="e">
        <f t="shared" si="170"/>
        <v>#N/A</v>
      </c>
      <c r="Q2214" s="4" t="e">
        <f t="shared" si="171"/>
        <v>#N/A</v>
      </c>
      <c r="R2214" s="4" t="e">
        <f>IF(AND(B2214=1,N2214&gt;'Line Follower'!$C$7,SUM(C2214:K2214)&lt;4),1,0)</f>
        <v>#N/A</v>
      </c>
      <c r="S2214" s="4" t="e">
        <f>IF(AND(L2214=1,N2214&lt;'Line Follower'!$C$6,SUM(C2214:K2214)&lt;4),1,0)</f>
        <v>#N/A</v>
      </c>
      <c r="T2214" s="4" t="e">
        <f t="shared" si="172"/>
        <v>#N/A</v>
      </c>
      <c r="U2214" s="5" t="e">
        <f t="shared" si="173"/>
        <v>#N/A</v>
      </c>
      <c r="V2214" s="23" t="e">
        <f t="shared" si="174"/>
        <v>#N/A</v>
      </c>
    </row>
    <row r="2215" spans="2:22" x14ac:dyDescent="0.25">
      <c r="B2215" s="16">
        <v>0</v>
      </c>
      <c r="C2215" s="7">
        <v>0</v>
      </c>
      <c r="D2215" s="8">
        <v>1</v>
      </c>
      <c r="E2215" s="8">
        <v>0</v>
      </c>
      <c r="F2215" s="8">
        <v>0</v>
      </c>
      <c r="G2215" s="8">
        <v>1</v>
      </c>
      <c r="H2215" s="8">
        <v>0</v>
      </c>
      <c r="I2215" s="8">
        <v>1</v>
      </c>
      <c r="J2215" s="8">
        <v>0</v>
      </c>
      <c r="K2215" s="9">
        <v>0</v>
      </c>
      <c r="L2215" s="10">
        <v>0</v>
      </c>
      <c r="M2215" s="6">
        <v>1</v>
      </c>
      <c r="N2215" s="37" t="e" cm="1">
        <f t="array" ref="N2215">IF(OR(ISNUMBER(FIND(Aux!$D$3:$D$9,_xlfn.TEXTJOIN(,,C2215:K2215)))),NA(),IF(AND(SUM(C2215:F2215,H2215:K2215)=0,G2215=1),0,INT((SUMPRODUCT(C2215:F2215,COLUMN($A$1:$D$1)-1)+SUMPRODUCT(H2215:K2215,COLUMN($E$1:$H$1)-1))*'Line Follower'!$C$3/SUM(C2215:F2215,H2215:K2215)-'Line Follower'!$C$5)))</f>
        <v>#N/A</v>
      </c>
      <c r="O2215" s="22" t="e">
        <v>#N/A</v>
      </c>
      <c r="P2215" s="4" t="e">
        <f t="shared" si="170"/>
        <v>#N/A</v>
      </c>
      <c r="Q2215" s="4" t="e">
        <f t="shared" si="171"/>
        <v>#N/A</v>
      </c>
      <c r="R2215" s="4" t="e">
        <f>IF(AND(B2215=1,N2215&gt;'Line Follower'!$C$7,SUM(C2215:K2215)&lt;4),1,0)</f>
        <v>#N/A</v>
      </c>
      <c r="S2215" s="4" t="e">
        <f>IF(AND(L2215=1,N2215&lt;'Line Follower'!$C$6,SUM(C2215:K2215)&lt;4),1,0)</f>
        <v>#N/A</v>
      </c>
      <c r="T2215" s="4" t="e">
        <f t="shared" si="172"/>
        <v>#N/A</v>
      </c>
      <c r="U2215" s="5" t="e">
        <f t="shared" si="173"/>
        <v>#N/A</v>
      </c>
      <c r="V2215" s="23" t="e">
        <f t="shared" si="174"/>
        <v>#N/A</v>
      </c>
    </row>
    <row r="2216" spans="2:22" x14ac:dyDescent="0.25">
      <c r="B2216" s="16">
        <v>1</v>
      </c>
      <c r="C2216" s="7">
        <v>0</v>
      </c>
      <c r="D2216" s="8">
        <v>1</v>
      </c>
      <c r="E2216" s="8">
        <v>0</v>
      </c>
      <c r="F2216" s="8">
        <v>0</v>
      </c>
      <c r="G2216" s="8">
        <v>1</v>
      </c>
      <c r="H2216" s="8">
        <v>0</v>
      </c>
      <c r="I2216" s="8">
        <v>1</v>
      </c>
      <c r="J2216" s="8">
        <v>0</v>
      </c>
      <c r="K2216" s="9">
        <v>0</v>
      </c>
      <c r="L2216" s="10">
        <v>0</v>
      </c>
      <c r="M2216" s="6">
        <v>1</v>
      </c>
      <c r="N2216" s="37" t="e" cm="1">
        <f t="array" ref="N2216">IF(OR(ISNUMBER(FIND(Aux!$D$3:$D$9,_xlfn.TEXTJOIN(,,C2216:K2216)))),NA(),IF(AND(SUM(C2216:F2216,H2216:K2216)=0,G2216=1),0,INT((SUMPRODUCT(C2216:F2216,COLUMN($A$1:$D$1)-1)+SUMPRODUCT(H2216:K2216,COLUMN($E$1:$H$1)-1))*'Line Follower'!$C$3/SUM(C2216:F2216,H2216:K2216)-'Line Follower'!$C$5)))</f>
        <v>#N/A</v>
      </c>
      <c r="O2216" s="22" t="e">
        <v>#N/A</v>
      </c>
      <c r="P2216" s="4" t="e">
        <f t="shared" si="170"/>
        <v>#N/A</v>
      </c>
      <c r="Q2216" s="4" t="e">
        <f t="shared" si="171"/>
        <v>#N/A</v>
      </c>
      <c r="R2216" s="4" t="e">
        <f>IF(AND(B2216=1,N2216&gt;'Line Follower'!$C$7,SUM(C2216:K2216)&lt;4),1,0)</f>
        <v>#N/A</v>
      </c>
      <c r="S2216" s="4" t="e">
        <f>IF(AND(L2216=1,N2216&lt;'Line Follower'!$C$6,SUM(C2216:K2216)&lt;4),1,0)</f>
        <v>#N/A</v>
      </c>
      <c r="T2216" s="4" t="e">
        <f t="shared" si="172"/>
        <v>#N/A</v>
      </c>
      <c r="U2216" s="5" t="e">
        <f t="shared" si="173"/>
        <v>#N/A</v>
      </c>
      <c r="V2216" s="23" t="e">
        <f t="shared" si="174"/>
        <v>#N/A</v>
      </c>
    </row>
    <row r="2217" spans="2:22" x14ac:dyDescent="0.25">
      <c r="B2217" s="16">
        <v>0</v>
      </c>
      <c r="C2217" s="7">
        <v>1</v>
      </c>
      <c r="D2217" s="8">
        <v>1</v>
      </c>
      <c r="E2217" s="8">
        <v>0</v>
      </c>
      <c r="F2217" s="8">
        <v>0</v>
      </c>
      <c r="G2217" s="8">
        <v>1</v>
      </c>
      <c r="H2217" s="8">
        <v>0</v>
      </c>
      <c r="I2217" s="8">
        <v>1</v>
      </c>
      <c r="J2217" s="8">
        <v>0</v>
      </c>
      <c r="K2217" s="9">
        <v>0</v>
      </c>
      <c r="L2217" s="10">
        <v>0</v>
      </c>
      <c r="M2217" s="6">
        <v>1</v>
      </c>
      <c r="N2217" s="37" t="e" cm="1">
        <f t="array" ref="N2217">IF(OR(ISNUMBER(FIND(Aux!$D$3:$D$9,_xlfn.TEXTJOIN(,,C2217:K2217)))),NA(),IF(AND(SUM(C2217:F2217,H2217:K2217)=0,G2217=1),0,INT((SUMPRODUCT(C2217:F2217,COLUMN($A$1:$D$1)-1)+SUMPRODUCT(H2217:K2217,COLUMN($E$1:$H$1)-1))*'Line Follower'!$C$3/SUM(C2217:F2217,H2217:K2217)-'Line Follower'!$C$5)))</f>
        <v>#N/A</v>
      </c>
      <c r="O2217" s="22" t="e">
        <v>#N/A</v>
      </c>
      <c r="P2217" s="4" t="e">
        <f t="shared" si="170"/>
        <v>#N/A</v>
      </c>
      <c r="Q2217" s="4" t="e">
        <f t="shared" si="171"/>
        <v>#N/A</v>
      </c>
      <c r="R2217" s="4" t="e">
        <f>IF(AND(B2217=1,N2217&gt;'Line Follower'!$C$7,SUM(C2217:K2217)&lt;4),1,0)</f>
        <v>#N/A</v>
      </c>
      <c r="S2217" s="4" t="e">
        <f>IF(AND(L2217=1,N2217&lt;'Line Follower'!$C$6,SUM(C2217:K2217)&lt;4),1,0)</f>
        <v>#N/A</v>
      </c>
      <c r="T2217" s="4" t="e">
        <f t="shared" si="172"/>
        <v>#N/A</v>
      </c>
      <c r="U2217" s="5" t="e">
        <f t="shared" si="173"/>
        <v>#N/A</v>
      </c>
      <c r="V2217" s="23" t="e">
        <f t="shared" si="174"/>
        <v>#N/A</v>
      </c>
    </row>
    <row r="2218" spans="2:22" x14ac:dyDescent="0.25">
      <c r="B2218" s="16">
        <v>1</v>
      </c>
      <c r="C2218" s="7">
        <v>1</v>
      </c>
      <c r="D2218" s="8">
        <v>1</v>
      </c>
      <c r="E2218" s="8">
        <v>0</v>
      </c>
      <c r="F2218" s="8">
        <v>0</v>
      </c>
      <c r="G2218" s="8">
        <v>1</v>
      </c>
      <c r="H2218" s="8">
        <v>0</v>
      </c>
      <c r="I2218" s="8">
        <v>1</v>
      </c>
      <c r="J2218" s="8">
        <v>0</v>
      </c>
      <c r="K2218" s="9">
        <v>0</v>
      </c>
      <c r="L2218" s="10">
        <v>0</v>
      </c>
      <c r="M2218" s="6">
        <v>1</v>
      </c>
      <c r="N2218" s="37" t="e" cm="1">
        <f t="array" ref="N2218">IF(OR(ISNUMBER(FIND(Aux!$D$3:$D$9,_xlfn.TEXTJOIN(,,C2218:K2218)))),NA(),IF(AND(SUM(C2218:F2218,H2218:K2218)=0,G2218=1),0,INT((SUMPRODUCT(C2218:F2218,COLUMN($A$1:$D$1)-1)+SUMPRODUCT(H2218:K2218,COLUMN($E$1:$H$1)-1))*'Line Follower'!$C$3/SUM(C2218:F2218,H2218:K2218)-'Line Follower'!$C$5)))</f>
        <v>#N/A</v>
      </c>
      <c r="O2218" s="22" t="e">
        <v>#N/A</v>
      </c>
      <c r="P2218" s="4" t="e">
        <f t="shared" si="170"/>
        <v>#N/A</v>
      </c>
      <c r="Q2218" s="4" t="e">
        <f t="shared" si="171"/>
        <v>#N/A</v>
      </c>
      <c r="R2218" s="4" t="e">
        <f>IF(AND(B2218=1,N2218&gt;'Line Follower'!$C$7,SUM(C2218:K2218)&lt;4),1,0)</f>
        <v>#N/A</v>
      </c>
      <c r="S2218" s="4" t="e">
        <f>IF(AND(L2218=1,N2218&lt;'Line Follower'!$C$6,SUM(C2218:K2218)&lt;4),1,0)</f>
        <v>#N/A</v>
      </c>
      <c r="T2218" s="4" t="e">
        <f t="shared" si="172"/>
        <v>#N/A</v>
      </c>
      <c r="U2218" s="5" t="e">
        <f t="shared" si="173"/>
        <v>#N/A</v>
      </c>
      <c r="V2218" s="23" t="e">
        <f t="shared" si="174"/>
        <v>#N/A</v>
      </c>
    </row>
    <row r="2219" spans="2:22" x14ac:dyDescent="0.25">
      <c r="B2219" s="16">
        <v>0</v>
      </c>
      <c r="C2219" s="7">
        <v>0</v>
      </c>
      <c r="D2219" s="8">
        <v>0</v>
      </c>
      <c r="E2219" s="8">
        <v>1</v>
      </c>
      <c r="F2219" s="8">
        <v>0</v>
      </c>
      <c r="G2219" s="8">
        <v>1</v>
      </c>
      <c r="H2219" s="8">
        <v>0</v>
      </c>
      <c r="I2219" s="8">
        <v>1</v>
      </c>
      <c r="J2219" s="8">
        <v>0</v>
      </c>
      <c r="K2219" s="9">
        <v>0</v>
      </c>
      <c r="L2219" s="10">
        <v>0</v>
      </c>
      <c r="M2219" s="6">
        <v>1</v>
      </c>
      <c r="N2219" s="37" t="e" cm="1">
        <f t="array" ref="N2219">IF(OR(ISNUMBER(FIND(Aux!$D$3:$D$9,_xlfn.TEXTJOIN(,,C2219:K2219)))),NA(),IF(AND(SUM(C2219:F2219,H2219:K2219)=0,G2219=1),0,INT((SUMPRODUCT(C2219:F2219,COLUMN($A$1:$D$1)-1)+SUMPRODUCT(H2219:K2219,COLUMN($E$1:$H$1)-1))*'Line Follower'!$C$3/SUM(C2219:F2219,H2219:K2219)-'Line Follower'!$C$5)))</f>
        <v>#N/A</v>
      </c>
      <c r="O2219" s="22" t="e">
        <v>#N/A</v>
      </c>
      <c r="P2219" s="4" t="e">
        <f t="shared" si="170"/>
        <v>#N/A</v>
      </c>
      <c r="Q2219" s="4" t="e">
        <f t="shared" si="171"/>
        <v>#N/A</v>
      </c>
      <c r="R2219" s="4" t="e">
        <f>IF(AND(B2219=1,N2219&gt;'Line Follower'!$C$7,SUM(C2219:K2219)&lt;4),1,0)</f>
        <v>#N/A</v>
      </c>
      <c r="S2219" s="4" t="e">
        <f>IF(AND(L2219=1,N2219&lt;'Line Follower'!$C$6,SUM(C2219:K2219)&lt;4),1,0)</f>
        <v>#N/A</v>
      </c>
      <c r="T2219" s="4" t="e">
        <f t="shared" si="172"/>
        <v>#N/A</v>
      </c>
      <c r="U2219" s="5" t="e">
        <f t="shared" si="173"/>
        <v>#N/A</v>
      </c>
      <c r="V2219" s="23" t="e">
        <f t="shared" si="174"/>
        <v>#N/A</v>
      </c>
    </row>
    <row r="2220" spans="2:22" x14ac:dyDescent="0.25">
      <c r="B2220" s="16">
        <v>1</v>
      </c>
      <c r="C2220" s="7">
        <v>0</v>
      </c>
      <c r="D2220" s="8">
        <v>0</v>
      </c>
      <c r="E2220" s="8">
        <v>1</v>
      </c>
      <c r="F2220" s="8">
        <v>0</v>
      </c>
      <c r="G2220" s="8">
        <v>1</v>
      </c>
      <c r="H2220" s="8">
        <v>0</v>
      </c>
      <c r="I2220" s="8">
        <v>1</v>
      </c>
      <c r="J2220" s="8">
        <v>0</v>
      </c>
      <c r="K2220" s="9">
        <v>0</v>
      </c>
      <c r="L2220" s="10">
        <v>0</v>
      </c>
      <c r="M2220" s="6">
        <v>1</v>
      </c>
      <c r="N2220" s="37" t="e" cm="1">
        <f t="array" ref="N2220">IF(OR(ISNUMBER(FIND(Aux!$D$3:$D$9,_xlfn.TEXTJOIN(,,C2220:K2220)))),NA(),IF(AND(SUM(C2220:F2220,H2220:K2220)=0,G2220=1),0,INT((SUMPRODUCT(C2220:F2220,COLUMN($A$1:$D$1)-1)+SUMPRODUCT(H2220:K2220,COLUMN($E$1:$H$1)-1))*'Line Follower'!$C$3/SUM(C2220:F2220,H2220:K2220)-'Line Follower'!$C$5)))</f>
        <v>#N/A</v>
      </c>
      <c r="O2220" s="22" t="e">
        <v>#N/A</v>
      </c>
      <c r="P2220" s="4" t="e">
        <f t="shared" si="170"/>
        <v>#N/A</v>
      </c>
      <c r="Q2220" s="4" t="e">
        <f t="shared" si="171"/>
        <v>#N/A</v>
      </c>
      <c r="R2220" s="4" t="e">
        <f>IF(AND(B2220=1,N2220&gt;'Line Follower'!$C$7,SUM(C2220:K2220)&lt;4),1,0)</f>
        <v>#N/A</v>
      </c>
      <c r="S2220" s="4" t="e">
        <f>IF(AND(L2220=1,N2220&lt;'Line Follower'!$C$6,SUM(C2220:K2220)&lt;4),1,0)</f>
        <v>#N/A</v>
      </c>
      <c r="T2220" s="4" t="e">
        <f t="shared" si="172"/>
        <v>#N/A</v>
      </c>
      <c r="U2220" s="5" t="e">
        <f t="shared" si="173"/>
        <v>#N/A</v>
      </c>
      <c r="V2220" s="23" t="e">
        <f t="shared" si="174"/>
        <v>#N/A</v>
      </c>
    </row>
    <row r="2221" spans="2:22" x14ac:dyDescent="0.25">
      <c r="B2221" s="16">
        <v>0</v>
      </c>
      <c r="C2221" s="7">
        <v>1</v>
      </c>
      <c r="D2221" s="8">
        <v>0</v>
      </c>
      <c r="E2221" s="8">
        <v>1</v>
      </c>
      <c r="F2221" s="8">
        <v>0</v>
      </c>
      <c r="G2221" s="8">
        <v>1</v>
      </c>
      <c r="H2221" s="8">
        <v>0</v>
      </c>
      <c r="I2221" s="8">
        <v>1</v>
      </c>
      <c r="J2221" s="8">
        <v>0</v>
      </c>
      <c r="K2221" s="9">
        <v>0</v>
      </c>
      <c r="L2221" s="10">
        <v>0</v>
      </c>
      <c r="M2221" s="6">
        <v>1</v>
      </c>
      <c r="N2221" s="37" t="e" cm="1">
        <f t="array" ref="N2221">IF(OR(ISNUMBER(FIND(Aux!$D$3:$D$9,_xlfn.TEXTJOIN(,,C2221:K2221)))),NA(),IF(AND(SUM(C2221:F2221,H2221:K2221)=0,G2221=1),0,INT((SUMPRODUCT(C2221:F2221,COLUMN($A$1:$D$1)-1)+SUMPRODUCT(H2221:K2221,COLUMN($E$1:$H$1)-1))*'Line Follower'!$C$3/SUM(C2221:F2221,H2221:K2221)-'Line Follower'!$C$5)))</f>
        <v>#N/A</v>
      </c>
      <c r="O2221" s="22" t="e">
        <v>#N/A</v>
      </c>
      <c r="P2221" s="4" t="e">
        <f t="shared" si="170"/>
        <v>#N/A</v>
      </c>
      <c r="Q2221" s="4" t="e">
        <f t="shared" si="171"/>
        <v>#N/A</v>
      </c>
      <c r="R2221" s="4" t="e">
        <f>IF(AND(B2221=1,N2221&gt;'Line Follower'!$C$7,SUM(C2221:K2221)&lt;4),1,0)</f>
        <v>#N/A</v>
      </c>
      <c r="S2221" s="4" t="e">
        <f>IF(AND(L2221=1,N2221&lt;'Line Follower'!$C$6,SUM(C2221:K2221)&lt;4),1,0)</f>
        <v>#N/A</v>
      </c>
      <c r="T2221" s="4" t="e">
        <f t="shared" si="172"/>
        <v>#N/A</v>
      </c>
      <c r="U2221" s="5" t="e">
        <f t="shared" si="173"/>
        <v>#N/A</v>
      </c>
      <c r="V2221" s="23" t="e">
        <f t="shared" si="174"/>
        <v>#N/A</v>
      </c>
    </row>
    <row r="2222" spans="2:22" x14ac:dyDescent="0.25">
      <c r="B2222" s="16">
        <v>1</v>
      </c>
      <c r="C2222" s="7">
        <v>1</v>
      </c>
      <c r="D2222" s="8">
        <v>0</v>
      </c>
      <c r="E2222" s="8">
        <v>1</v>
      </c>
      <c r="F2222" s="8">
        <v>0</v>
      </c>
      <c r="G2222" s="8">
        <v>1</v>
      </c>
      <c r="H2222" s="8">
        <v>0</v>
      </c>
      <c r="I2222" s="8">
        <v>1</v>
      </c>
      <c r="J2222" s="8">
        <v>0</v>
      </c>
      <c r="K2222" s="9">
        <v>0</v>
      </c>
      <c r="L2222" s="10">
        <v>0</v>
      </c>
      <c r="M2222" s="6">
        <v>1</v>
      </c>
      <c r="N2222" s="37" t="e" cm="1">
        <f t="array" ref="N2222">IF(OR(ISNUMBER(FIND(Aux!$D$3:$D$9,_xlfn.TEXTJOIN(,,C2222:K2222)))),NA(),IF(AND(SUM(C2222:F2222,H2222:K2222)=0,G2222=1),0,INT((SUMPRODUCT(C2222:F2222,COLUMN($A$1:$D$1)-1)+SUMPRODUCT(H2222:K2222,COLUMN($E$1:$H$1)-1))*'Line Follower'!$C$3/SUM(C2222:F2222,H2222:K2222)-'Line Follower'!$C$5)))</f>
        <v>#N/A</v>
      </c>
      <c r="O2222" s="22" t="e">
        <v>#N/A</v>
      </c>
      <c r="P2222" s="4" t="e">
        <f t="shared" si="170"/>
        <v>#N/A</v>
      </c>
      <c r="Q2222" s="4" t="e">
        <f t="shared" si="171"/>
        <v>#N/A</v>
      </c>
      <c r="R2222" s="4" t="e">
        <f>IF(AND(B2222=1,N2222&gt;'Line Follower'!$C$7,SUM(C2222:K2222)&lt;4),1,0)</f>
        <v>#N/A</v>
      </c>
      <c r="S2222" s="4" t="e">
        <f>IF(AND(L2222=1,N2222&lt;'Line Follower'!$C$6,SUM(C2222:K2222)&lt;4),1,0)</f>
        <v>#N/A</v>
      </c>
      <c r="T2222" s="4" t="e">
        <f t="shared" si="172"/>
        <v>#N/A</v>
      </c>
      <c r="U2222" s="5" t="e">
        <f t="shared" si="173"/>
        <v>#N/A</v>
      </c>
      <c r="V2222" s="23" t="e">
        <f t="shared" si="174"/>
        <v>#N/A</v>
      </c>
    </row>
    <row r="2223" spans="2:22" x14ac:dyDescent="0.25">
      <c r="B2223" s="16">
        <v>0</v>
      </c>
      <c r="C2223" s="7">
        <v>0</v>
      </c>
      <c r="D2223" s="8">
        <v>1</v>
      </c>
      <c r="E2223" s="8">
        <v>1</v>
      </c>
      <c r="F2223" s="8">
        <v>0</v>
      </c>
      <c r="G2223" s="8">
        <v>1</v>
      </c>
      <c r="H2223" s="8">
        <v>0</v>
      </c>
      <c r="I2223" s="8">
        <v>1</v>
      </c>
      <c r="J2223" s="8">
        <v>0</v>
      </c>
      <c r="K2223" s="9">
        <v>0</v>
      </c>
      <c r="L2223" s="10">
        <v>0</v>
      </c>
      <c r="M2223" s="6">
        <v>1</v>
      </c>
      <c r="N2223" s="37" t="e" cm="1">
        <f t="array" ref="N2223">IF(OR(ISNUMBER(FIND(Aux!$D$3:$D$9,_xlfn.TEXTJOIN(,,C2223:K2223)))),NA(),IF(AND(SUM(C2223:F2223,H2223:K2223)=0,G2223=1),0,INT((SUMPRODUCT(C2223:F2223,COLUMN($A$1:$D$1)-1)+SUMPRODUCT(H2223:K2223,COLUMN($E$1:$H$1)-1))*'Line Follower'!$C$3/SUM(C2223:F2223,H2223:K2223)-'Line Follower'!$C$5)))</f>
        <v>#N/A</v>
      </c>
      <c r="O2223" s="22" t="e">
        <v>#N/A</v>
      </c>
      <c r="P2223" s="4" t="e">
        <f t="shared" si="170"/>
        <v>#N/A</v>
      </c>
      <c r="Q2223" s="4" t="e">
        <f t="shared" si="171"/>
        <v>#N/A</v>
      </c>
      <c r="R2223" s="4" t="e">
        <f>IF(AND(B2223=1,N2223&gt;'Line Follower'!$C$7,SUM(C2223:K2223)&lt;4),1,0)</f>
        <v>#N/A</v>
      </c>
      <c r="S2223" s="4" t="e">
        <f>IF(AND(L2223=1,N2223&lt;'Line Follower'!$C$6,SUM(C2223:K2223)&lt;4),1,0)</f>
        <v>#N/A</v>
      </c>
      <c r="T2223" s="4" t="e">
        <f t="shared" si="172"/>
        <v>#N/A</v>
      </c>
      <c r="U2223" s="5" t="e">
        <f t="shared" si="173"/>
        <v>#N/A</v>
      </c>
      <c r="V2223" s="23" t="e">
        <f t="shared" si="174"/>
        <v>#N/A</v>
      </c>
    </row>
    <row r="2224" spans="2:22" x14ac:dyDescent="0.25">
      <c r="B2224" s="16">
        <v>1</v>
      </c>
      <c r="C2224" s="7">
        <v>0</v>
      </c>
      <c r="D2224" s="8">
        <v>1</v>
      </c>
      <c r="E2224" s="8">
        <v>1</v>
      </c>
      <c r="F2224" s="8">
        <v>0</v>
      </c>
      <c r="G2224" s="8">
        <v>1</v>
      </c>
      <c r="H2224" s="8">
        <v>0</v>
      </c>
      <c r="I2224" s="8">
        <v>1</v>
      </c>
      <c r="J2224" s="8">
        <v>0</v>
      </c>
      <c r="K2224" s="9">
        <v>0</v>
      </c>
      <c r="L2224" s="10">
        <v>0</v>
      </c>
      <c r="M2224" s="6">
        <v>1</v>
      </c>
      <c r="N2224" s="37" t="e" cm="1">
        <f t="array" ref="N2224">IF(OR(ISNUMBER(FIND(Aux!$D$3:$D$9,_xlfn.TEXTJOIN(,,C2224:K2224)))),NA(),IF(AND(SUM(C2224:F2224,H2224:K2224)=0,G2224=1),0,INT((SUMPRODUCT(C2224:F2224,COLUMN($A$1:$D$1)-1)+SUMPRODUCT(H2224:K2224,COLUMN($E$1:$H$1)-1))*'Line Follower'!$C$3/SUM(C2224:F2224,H2224:K2224)-'Line Follower'!$C$5)))</f>
        <v>#N/A</v>
      </c>
      <c r="O2224" s="22" t="e">
        <v>#N/A</v>
      </c>
      <c r="P2224" s="4" t="e">
        <f t="shared" si="170"/>
        <v>#N/A</v>
      </c>
      <c r="Q2224" s="4" t="e">
        <f t="shared" si="171"/>
        <v>#N/A</v>
      </c>
      <c r="R2224" s="4" t="e">
        <f>IF(AND(B2224=1,N2224&gt;'Line Follower'!$C$7,SUM(C2224:K2224)&lt;4),1,0)</f>
        <v>#N/A</v>
      </c>
      <c r="S2224" s="4" t="e">
        <f>IF(AND(L2224=1,N2224&lt;'Line Follower'!$C$6,SUM(C2224:K2224)&lt;4),1,0)</f>
        <v>#N/A</v>
      </c>
      <c r="T2224" s="4" t="e">
        <f t="shared" si="172"/>
        <v>#N/A</v>
      </c>
      <c r="U2224" s="5" t="e">
        <f t="shared" si="173"/>
        <v>#N/A</v>
      </c>
      <c r="V2224" s="23" t="e">
        <f t="shared" si="174"/>
        <v>#N/A</v>
      </c>
    </row>
    <row r="2225" spans="2:22" x14ac:dyDescent="0.25">
      <c r="B2225" s="16">
        <v>0</v>
      </c>
      <c r="C2225" s="7">
        <v>1</v>
      </c>
      <c r="D2225" s="8">
        <v>1</v>
      </c>
      <c r="E2225" s="8">
        <v>1</v>
      </c>
      <c r="F2225" s="8">
        <v>0</v>
      </c>
      <c r="G2225" s="8">
        <v>1</v>
      </c>
      <c r="H2225" s="8">
        <v>0</v>
      </c>
      <c r="I2225" s="8">
        <v>1</v>
      </c>
      <c r="J2225" s="8">
        <v>0</v>
      </c>
      <c r="K2225" s="9">
        <v>0</v>
      </c>
      <c r="L2225" s="10">
        <v>0</v>
      </c>
      <c r="M2225" s="6">
        <v>1</v>
      </c>
      <c r="N2225" s="37" t="e" cm="1">
        <f t="array" ref="N2225">IF(OR(ISNUMBER(FIND(Aux!$D$3:$D$9,_xlfn.TEXTJOIN(,,C2225:K2225)))),NA(),IF(AND(SUM(C2225:F2225,H2225:K2225)=0,G2225=1),0,INT((SUMPRODUCT(C2225:F2225,COLUMN($A$1:$D$1)-1)+SUMPRODUCT(H2225:K2225,COLUMN($E$1:$H$1)-1))*'Line Follower'!$C$3/SUM(C2225:F2225,H2225:K2225)-'Line Follower'!$C$5)))</f>
        <v>#N/A</v>
      </c>
      <c r="O2225" s="22" t="e">
        <v>#N/A</v>
      </c>
      <c r="P2225" s="4" t="e">
        <f t="shared" si="170"/>
        <v>#N/A</v>
      </c>
      <c r="Q2225" s="4" t="e">
        <f t="shared" si="171"/>
        <v>#N/A</v>
      </c>
      <c r="R2225" s="4" t="e">
        <f>IF(AND(B2225=1,N2225&gt;'Line Follower'!$C$7,SUM(C2225:K2225)&lt;4),1,0)</f>
        <v>#N/A</v>
      </c>
      <c r="S2225" s="4" t="e">
        <f>IF(AND(L2225=1,N2225&lt;'Line Follower'!$C$6,SUM(C2225:K2225)&lt;4),1,0)</f>
        <v>#N/A</v>
      </c>
      <c r="T2225" s="4" t="e">
        <f t="shared" si="172"/>
        <v>#N/A</v>
      </c>
      <c r="U2225" s="5" t="e">
        <f t="shared" si="173"/>
        <v>#N/A</v>
      </c>
      <c r="V2225" s="23" t="e">
        <f t="shared" si="174"/>
        <v>#N/A</v>
      </c>
    </row>
    <row r="2226" spans="2:22" x14ac:dyDescent="0.25">
      <c r="B2226" s="16">
        <v>1</v>
      </c>
      <c r="C2226" s="7">
        <v>1</v>
      </c>
      <c r="D2226" s="8">
        <v>1</v>
      </c>
      <c r="E2226" s="8">
        <v>1</v>
      </c>
      <c r="F2226" s="8">
        <v>0</v>
      </c>
      <c r="G2226" s="8">
        <v>1</v>
      </c>
      <c r="H2226" s="8">
        <v>0</v>
      </c>
      <c r="I2226" s="8">
        <v>1</v>
      </c>
      <c r="J2226" s="8">
        <v>0</v>
      </c>
      <c r="K2226" s="9">
        <v>0</v>
      </c>
      <c r="L2226" s="10">
        <v>0</v>
      </c>
      <c r="M2226" s="6">
        <v>1</v>
      </c>
      <c r="N2226" s="37" t="e" cm="1">
        <f t="array" ref="N2226">IF(OR(ISNUMBER(FIND(Aux!$D$3:$D$9,_xlfn.TEXTJOIN(,,C2226:K2226)))),NA(),IF(AND(SUM(C2226:F2226,H2226:K2226)=0,G2226=1),0,INT((SUMPRODUCT(C2226:F2226,COLUMN($A$1:$D$1)-1)+SUMPRODUCT(H2226:K2226,COLUMN($E$1:$H$1)-1))*'Line Follower'!$C$3/SUM(C2226:F2226,H2226:K2226)-'Line Follower'!$C$5)))</f>
        <v>#N/A</v>
      </c>
      <c r="O2226" s="22" t="e">
        <v>#N/A</v>
      </c>
      <c r="P2226" s="4" t="e">
        <f t="shared" si="170"/>
        <v>#N/A</v>
      </c>
      <c r="Q2226" s="4" t="e">
        <f t="shared" si="171"/>
        <v>#N/A</v>
      </c>
      <c r="R2226" s="4" t="e">
        <f>IF(AND(B2226=1,N2226&gt;'Line Follower'!$C$7,SUM(C2226:K2226)&lt;4),1,0)</f>
        <v>#N/A</v>
      </c>
      <c r="S2226" s="4" t="e">
        <f>IF(AND(L2226=1,N2226&lt;'Line Follower'!$C$6,SUM(C2226:K2226)&lt;4),1,0)</f>
        <v>#N/A</v>
      </c>
      <c r="T2226" s="4" t="e">
        <f t="shared" si="172"/>
        <v>#N/A</v>
      </c>
      <c r="U2226" s="5" t="e">
        <f t="shared" si="173"/>
        <v>#N/A</v>
      </c>
      <c r="V2226" s="23" t="e">
        <f t="shared" si="174"/>
        <v>#N/A</v>
      </c>
    </row>
    <row r="2227" spans="2:22" x14ac:dyDescent="0.25">
      <c r="B2227" s="16">
        <v>0</v>
      </c>
      <c r="C2227" s="7">
        <v>0</v>
      </c>
      <c r="D2227" s="8">
        <v>0</v>
      </c>
      <c r="E2227" s="8">
        <v>0</v>
      </c>
      <c r="F2227" s="8">
        <v>1</v>
      </c>
      <c r="G2227" s="8">
        <v>1</v>
      </c>
      <c r="H2227" s="8">
        <v>0</v>
      </c>
      <c r="I2227" s="8">
        <v>1</v>
      </c>
      <c r="J2227" s="8">
        <v>0</v>
      </c>
      <c r="K2227" s="9">
        <v>0</v>
      </c>
      <c r="L2227" s="10">
        <v>0</v>
      </c>
      <c r="M2227" s="6">
        <v>1</v>
      </c>
      <c r="N2227" s="37" t="e" cm="1">
        <f t="array" ref="N2227">IF(OR(ISNUMBER(FIND(Aux!$D$3:$D$9,_xlfn.TEXTJOIN(,,C2227:K2227)))),NA(),IF(AND(SUM(C2227:F2227,H2227:K2227)=0,G2227=1),0,INT((SUMPRODUCT(C2227:F2227,COLUMN($A$1:$D$1)-1)+SUMPRODUCT(H2227:K2227,COLUMN($E$1:$H$1)-1))*'Line Follower'!$C$3/SUM(C2227:F2227,H2227:K2227)-'Line Follower'!$C$5)))</f>
        <v>#N/A</v>
      </c>
      <c r="O2227" s="22" t="e">
        <v>#N/A</v>
      </c>
      <c r="P2227" s="4" t="e">
        <f t="shared" si="170"/>
        <v>#N/A</v>
      </c>
      <c r="Q2227" s="4" t="e">
        <f t="shared" si="171"/>
        <v>#N/A</v>
      </c>
      <c r="R2227" s="4" t="e">
        <f>IF(AND(B2227=1,N2227&gt;'Line Follower'!$C$7,SUM(C2227:K2227)&lt;4),1,0)</f>
        <v>#N/A</v>
      </c>
      <c r="S2227" s="4" t="e">
        <f>IF(AND(L2227=1,N2227&lt;'Line Follower'!$C$6,SUM(C2227:K2227)&lt;4),1,0)</f>
        <v>#N/A</v>
      </c>
      <c r="T2227" s="4" t="e">
        <f t="shared" si="172"/>
        <v>#N/A</v>
      </c>
      <c r="U2227" s="5" t="e">
        <f t="shared" si="173"/>
        <v>#N/A</v>
      </c>
      <c r="V2227" s="23" t="e">
        <f t="shared" si="174"/>
        <v>#N/A</v>
      </c>
    </row>
    <row r="2228" spans="2:22" x14ac:dyDescent="0.25">
      <c r="B2228" s="16">
        <v>1</v>
      </c>
      <c r="C2228" s="7">
        <v>0</v>
      </c>
      <c r="D2228" s="8">
        <v>0</v>
      </c>
      <c r="E2228" s="8">
        <v>0</v>
      </c>
      <c r="F2228" s="8">
        <v>1</v>
      </c>
      <c r="G2228" s="8">
        <v>1</v>
      </c>
      <c r="H2228" s="8">
        <v>0</v>
      </c>
      <c r="I2228" s="8">
        <v>1</v>
      </c>
      <c r="J2228" s="8">
        <v>0</v>
      </c>
      <c r="K2228" s="9">
        <v>0</v>
      </c>
      <c r="L2228" s="10">
        <v>0</v>
      </c>
      <c r="M2228" s="6">
        <v>1</v>
      </c>
      <c r="N2228" s="37" t="e" cm="1">
        <f t="array" ref="N2228">IF(OR(ISNUMBER(FIND(Aux!$D$3:$D$9,_xlfn.TEXTJOIN(,,C2228:K2228)))),NA(),IF(AND(SUM(C2228:F2228,H2228:K2228)=0,G2228=1),0,INT((SUMPRODUCT(C2228:F2228,COLUMN($A$1:$D$1)-1)+SUMPRODUCT(H2228:K2228,COLUMN($E$1:$H$1)-1))*'Line Follower'!$C$3/SUM(C2228:F2228,H2228:K2228)-'Line Follower'!$C$5)))</f>
        <v>#N/A</v>
      </c>
      <c r="O2228" s="22" t="e">
        <v>#N/A</v>
      </c>
      <c r="P2228" s="4" t="e">
        <f t="shared" si="170"/>
        <v>#N/A</v>
      </c>
      <c r="Q2228" s="4" t="e">
        <f t="shared" si="171"/>
        <v>#N/A</v>
      </c>
      <c r="R2228" s="4" t="e">
        <f>IF(AND(B2228=1,N2228&gt;'Line Follower'!$C$7,SUM(C2228:K2228)&lt;4),1,0)</f>
        <v>#N/A</v>
      </c>
      <c r="S2228" s="4" t="e">
        <f>IF(AND(L2228=1,N2228&lt;'Line Follower'!$C$6,SUM(C2228:K2228)&lt;4),1,0)</f>
        <v>#N/A</v>
      </c>
      <c r="T2228" s="4" t="e">
        <f t="shared" si="172"/>
        <v>#N/A</v>
      </c>
      <c r="U2228" s="5" t="e">
        <f t="shared" si="173"/>
        <v>#N/A</v>
      </c>
      <c r="V2228" s="23" t="e">
        <f t="shared" si="174"/>
        <v>#N/A</v>
      </c>
    </row>
    <row r="2229" spans="2:22" x14ac:dyDescent="0.25">
      <c r="B2229" s="16">
        <v>0</v>
      </c>
      <c r="C2229" s="7">
        <v>1</v>
      </c>
      <c r="D2229" s="8">
        <v>0</v>
      </c>
      <c r="E2229" s="8">
        <v>0</v>
      </c>
      <c r="F2229" s="8">
        <v>1</v>
      </c>
      <c r="G2229" s="8">
        <v>1</v>
      </c>
      <c r="H2229" s="8">
        <v>0</v>
      </c>
      <c r="I2229" s="8">
        <v>1</v>
      </c>
      <c r="J2229" s="8">
        <v>0</v>
      </c>
      <c r="K2229" s="9">
        <v>0</v>
      </c>
      <c r="L2229" s="10">
        <v>0</v>
      </c>
      <c r="M2229" s="6">
        <v>1</v>
      </c>
      <c r="N2229" s="37" t="e" cm="1">
        <f t="array" ref="N2229">IF(OR(ISNUMBER(FIND(Aux!$D$3:$D$9,_xlfn.TEXTJOIN(,,C2229:K2229)))),NA(),IF(AND(SUM(C2229:F2229,H2229:K2229)=0,G2229=1),0,INT((SUMPRODUCT(C2229:F2229,COLUMN($A$1:$D$1)-1)+SUMPRODUCT(H2229:K2229,COLUMN($E$1:$H$1)-1))*'Line Follower'!$C$3/SUM(C2229:F2229,H2229:K2229)-'Line Follower'!$C$5)))</f>
        <v>#N/A</v>
      </c>
      <c r="O2229" s="22" t="e">
        <v>#N/A</v>
      </c>
      <c r="P2229" s="4" t="e">
        <f t="shared" si="170"/>
        <v>#N/A</v>
      </c>
      <c r="Q2229" s="4" t="e">
        <f t="shared" si="171"/>
        <v>#N/A</v>
      </c>
      <c r="R2229" s="4" t="e">
        <f>IF(AND(B2229=1,N2229&gt;'Line Follower'!$C$7,SUM(C2229:K2229)&lt;4),1,0)</f>
        <v>#N/A</v>
      </c>
      <c r="S2229" s="4" t="e">
        <f>IF(AND(L2229=1,N2229&lt;'Line Follower'!$C$6,SUM(C2229:K2229)&lt;4),1,0)</f>
        <v>#N/A</v>
      </c>
      <c r="T2229" s="4" t="e">
        <f t="shared" si="172"/>
        <v>#N/A</v>
      </c>
      <c r="U2229" s="5" t="e">
        <f t="shared" si="173"/>
        <v>#N/A</v>
      </c>
      <c r="V2229" s="23" t="e">
        <f t="shared" si="174"/>
        <v>#N/A</v>
      </c>
    </row>
    <row r="2230" spans="2:22" x14ac:dyDescent="0.25">
      <c r="B2230" s="16">
        <v>1</v>
      </c>
      <c r="C2230" s="7">
        <v>1</v>
      </c>
      <c r="D2230" s="8">
        <v>0</v>
      </c>
      <c r="E2230" s="8">
        <v>0</v>
      </c>
      <c r="F2230" s="8">
        <v>1</v>
      </c>
      <c r="G2230" s="8">
        <v>1</v>
      </c>
      <c r="H2230" s="8">
        <v>0</v>
      </c>
      <c r="I2230" s="8">
        <v>1</v>
      </c>
      <c r="J2230" s="8">
        <v>0</v>
      </c>
      <c r="K2230" s="9">
        <v>0</v>
      </c>
      <c r="L2230" s="10">
        <v>0</v>
      </c>
      <c r="M2230" s="6">
        <v>1</v>
      </c>
      <c r="N2230" s="37" t="e" cm="1">
        <f t="array" ref="N2230">IF(OR(ISNUMBER(FIND(Aux!$D$3:$D$9,_xlfn.TEXTJOIN(,,C2230:K2230)))),NA(),IF(AND(SUM(C2230:F2230,H2230:K2230)=0,G2230=1),0,INT((SUMPRODUCT(C2230:F2230,COLUMN($A$1:$D$1)-1)+SUMPRODUCT(H2230:K2230,COLUMN($E$1:$H$1)-1))*'Line Follower'!$C$3/SUM(C2230:F2230,H2230:K2230)-'Line Follower'!$C$5)))</f>
        <v>#N/A</v>
      </c>
      <c r="O2230" s="22" t="e">
        <v>#N/A</v>
      </c>
      <c r="P2230" s="4" t="e">
        <f t="shared" si="170"/>
        <v>#N/A</v>
      </c>
      <c r="Q2230" s="4" t="e">
        <f t="shared" si="171"/>
        <v>#N/A</v>
      </c>
      <c r="R2230" s="4" t="e">
        <f>IF(AND(B2230=1,N2230&gt;'Line Follower'!$C$7,SUM(C2230:K2230)&lt;4),1,0)</f>
        <v>#N/A</v>
      </c>
      <c r="S2230" s="4" t="e">
        <f>IF(AND(L2230=1,N2230&lt;'Line Follower'!$C$6,SUM(C2230:K2230)&lt;4),1,0)</f>
        <v>#N/A</v>
      </c>
      <c r="T2230" s="4" t="e">
        <f t="shared" si="172"/>
        <v>#N/A</v>
      </c>
      <c r="U2230" s="5" t="e">
        <f t="shared" si="173"/>
        <v>#N/A</v>
      </c>
      <c r="V2230" s="23" t="e">
        <f t="shared" si="174"/>
        <v>#N/A</v>
      </c>
    </row>
    <row r="2231" spans="2:22" x14ac:dyDescent="0.25">
      <c r="B2231" s="16">
        <v>0</v>
      </c>
      <c r="C2231" s="7">
        <v>0</v>
      </c>
      <c r="D2231" s="8">
        <v>1</v>
      </c>
      <c r="E2231" s="8">
        <v>0</v>
      </c>
      <c r="F2231" s="8">
        <v>1</v>
      </c>
      <c r="G2231" s="8">
        <v>1</v>
      </c>
      <c r="H2231" s="8">
        <v>0</v>
      </c>
      <c r="I2231" s="8">
        <v>1</v>
      </c>
      <c r="J2231" s="8">
        <v>0</v>
      </c>
      <c r="K2231" s="9">
        <v>0</v>
      </c>
      <c r="L2231" s="10">
        <v>0</v>
      </c>
      <c r="M2231" s="6">
        <v>1</v>
      </c>
      <c r="N2231" s="37" t="e" cm="1">
        <f t="array" ref="N2231">IF(OR(ISNUMBER(FIND(Aux!$D$3:$D$9,_xlfn.TEXTJOIN(,,C2231:K2231)))),NA(),IF(AND(SUM(C2231:F2231,H2231:K2231)=0,G2231=1),0,INT((SUMPRODUCT(C2231:F2231,COLUMN($A$1:$D$1)-1)+SUMPRODUCT(H2231:K2231,COLUMN($E$1:$H$1)-1))*'Line Follower'!$C$3/SUM(C2231:F2231,H2231:K2231)-'Line Follower'!$C$5)))</f>
        <v>#N/A</v>
      </c>
      <c r="O2231" s="22" t="e">
        <v>#N/A</v>
      </c>
      <c r="P2231" s="4" t="e">
        <f t="shared" si="170"/>
        <v>#N/A</v>
      </c>
      <c r="Q2231" s="4" t="e">
        <f t="shared" si="171"/>
        <v>#N/A</v>
      </c>
      <c r="R2231" s="4" t="e">
        <f>IF(AND(B2231=1,N2231&gt;'Line Follower'!$C$7,SUM(C2231:K2231)&lt;4),1,0)</f>
        <v>#N/A</v>
      </c>
      <c r="S2231" s="4" t="e">
        <f>IF(AND(L2231=1,N2231&lt;'Line Follower'!$C$6,SUM(C2231:K2231)&lt;4),1,0)</f>
        <v>#N/A</v>
      </c>
      <c r="T2231" s="4" t="e">
        <f t="shared" si="172"/>
        <v>#N/A</v>
      </c>
      <c r="U2231" s="5" t="e">
        <f t="shared" si="173"/>
        <v>#N/A</v>
      </c>
      <c r="V2231" s="23" t="e">
        <f t="shared" si="174"/>
        <v>#N/A</v>
      </c>
    </row>
    <row r="2232" spans="2:22" x14ac:dyDescent="0.25">
      <c r="B2232" s="16">
        <v>1</v>
      </c>
      <c r="C2232" s="7">
        <v>0</v>
      </c>
      <c r="D2232" s="8">
        <v>1</v>
      </c>
      <c r="E2232" s="8">
        <v>0</v>
      </c>
      <c r="F2232" s="8">
        <v>1</v>
      </c>
      <c r="G2232" s="8">
        <v>1</v>
      </c>
      <c r="H2232" s="8">
        <v>0</v>
      </c>
      <c r="I2232" s="8">
        <v>1</v>
      </c>
      <c r="J2232" s="8">
        <v>0</v>
      </c>
      <c r="K2232" s="9">
        <v>0</v>
      </c>
      <c r="L2232" s="10">
        <v>0</v>
      </c>
      <c r="M2232" s="6">
        <v>1</v>
      </c>
      <c r="N2232" s="37" t="e" cm="1">
        <f t="array" ref="N2232">IF(OR(ISNUMBER(FIND(Aux!$D$3:$D$9,_xlfn.TEXTJOIN(,,C2232:K2232)))),NA(),IF(AND(SUM(C2232:F2232,H2232:K2232)=0,G2232=1),0,INT((SUMPRODUCT(C2232:F2232,COLUMN($A$1:$D$1)-1)+SUMPRODUCT(H2232:K2232,COLUMN($E$1:$H$1)-1))*'Line Follower'!$C$3/SUM(C2232:F2232,H2232:K2232)-'Line Follower'!$C$5)))</f>
        <v>#N/A</v>
      </c>
      <c r="O2232" s="22" t="e">
        <v>#N/A</v>
      </c>
      <c r="P2232" s="4" t="e">
        <f t="shared" si="170"/>
        <v>#N/A</v>
      </c>
      <c r="Q2232" s="4" t="e">
        <f t="shared" si="171"/>
        <v>#N/A</v>
      </c>
      <c r="R2232" s="4" t="e">
        <f>IF(AND(B2232=1,N2232&gt;'Line Follower'!$C$7,SUM(C2232:K2232)&lt;4),1,0)</f>
        <v>#N/A</v>
      </c>
      <c r="S2232" s="4" t="e">
        <f>IF(AND(L2232=1,N2232&lt;'Line Follower'!$C$6,SUM(C2232:K2232)&lt;4),1,0)</f>
        <v>#N/A</v>
      </c>
      <c r="T2232" s="4" t="e">
        <f t="shared" si="172"/>
        <v>#N/A</v>
      </c>
      <c r="U2232" s="5" t="e">
        <f t="shared" si="173"/>
        <v>#N/A</v>
      </c>
      <c r="V2232" s="23" t="e">
        <f t="shared" si="174"/>
        <v>#N/A</v>
      </c>
    </row>
    <row r="2233" spans="2:22" x14ac:dyDescent="0.25">
      <c r="B2233" s="16">
        <v>0</v>
      </c>
      <c r="C2233" s="7">
        <v>1</v>
      </c>
      <c r="D2233" s="8">
        <v>1</v>
      </c>
      <c r="E2233" s="8">
        <v>0</v>
      </c>
      <c r="F2233" s="8">
        <v>1</v>
      </c>
      <c r="G2233" s="8">
        <v>1</v>
      </c>
      <c r="H2233" s="8">
        <v>0</v>
      </c>
      <c r="I2233" s="8">
        <v>1</v>
      </c>
      <c r="J2233" s="8">
        <v>0</v>
      </c>
      <c r="K2233" s="9">
        <v>0</v>
      </c>
      <c r="L2233" s="10">
        <v>0</v>
      </c>
      <c r="M2233" s="6">
        <v>1</v>
      </c>
      <c r="N2233" s="37" t="e" cm="1">
        <f t="array" ref="N2233">IF(OR(ISNUMBER(FIND(Aux!$D$3:$D$9,_xlfn.TEXTJOIN(,,C2233:K2233)))),NA(),IF(AND(SUM(C2233:F2233,H2233:K2233)=0,G2233=1),0,INT((SUMPRODUCT(C2233:F2233,COLUMN($A$1:$D$1)-1)+SUMPRODUCT(H2233:K2233,COLUMN($E$1:$H$1)-1))*'Line Follower'!$C$3/SUM(C2233:F2233,H2233:K2233)-'Line Follower'!$C$5)))</f>
        <v>#N/A</v>
      </c>
      <c r="O2233" s="22" t="e">
        <v>#N/A</v>
      </c>
      <c r="P2233" s="4" t="e">
        <f t="shared" si="170"/>
        <v>#N/A</v>
      </c>
      <c r="Q2233" s="4" t="e">
        <f t="shared" si="171"/>
        <v>#N/A</v>
      </c>
      <c r="R2233" s="4" t="e">
        <f>IF(AND(B2233=1,N2233&gt;'Line Follower'!$C$7,SUM(C2233:K2233)&lt;4),1,0)</f>
        <v>#N/A</v>
      </c>
      <c r="S2233" s="4" t="e">
        <f>IF(AND(L2233=1,N2233&lt;'Line Follower'!$C$6,SUM(C2233:K2233)&lt;4),1,0)</f>
        <v>#N/A</v>
      </c>
      <c r="T2233" s="4" t="e">
        <f t="shared" si="172"/>
        <v>#N/A</v>
      </c>
      <c r="U2233" s="5" t="e">
        <f t="shared" si="173"/>
        <v>#N/A</v>
      </c>
      <c r="V2233" s="23" t="e">
        <f t="shared" si="174"/>
        <v>#N/A</v>
      </c>
    </row>
    <row r="2234" spans="2:22" x14ac:dyDescent="0.25">
      <c r="B2234" s="16">
        <v>1</v>
      </c>
      <c r="C2234" s="7">
        <v>1</v>
      </c>
      <c r="D2234" s="8">
        <v>1</v>
      </c>
      <c r="E2234" s="8">
        <v>0</v>
      </c>
      <c r="F2234" s="8">
        <v>1</v>
      </c>
      <c r="G2234" s="8">
        <v>1</v>
      </c>
      <c r="H2234" s="8">
        <v>0</v>
      </c>
      <c r="I2234" s="8">
        <v>1</v>
      </c>
      <c r="J2234" s="8">
        <v>0</v>
      </c>
      <c r="K2234" s="9">
        <v>0</v>
      </c>
      <c r="L2234" s="10">
        <v>0</v>
      </c>
      <c r="M2234" s="6">
        <v>1</v>
      </c>
      <c r="N2234" s="37" t="e" cm="1">
        <f t="array" ref="N2234">IF(OR(ISNUMBER(FIND(Aux!$D$3:$D$9,_xlfn.TEXTJOIN(,,C2234:K2234)))),NA(),IF(AND(SUM(C2234:F2234,H2234:K2234)=0,G2234=1),0,INT((SUMPRODUCT(C2234:F2234,COLUMN($A$1:$D$1)-1)+SUMPRODUCT(H2234:K2234,COLUMN($E$1:$H$1)-1))*'Line Follower'!$C$3/SUM(C2234:F2234,H2234:K2234)-'Line Follower'!$C$5)))</f>
        <v>#N/A</v>
      </c>
      <c r="O2234" s="22" t="e">
        <v>#N/A</v>
      </c>
      <c r="P2234" s="4" t="e">
        <f t="shared" si="170"/>
        <v>#N/A</v>
      </c>
      <c r="Q2234" s="4" t="e">
        <f t="shared" si="171"/>
        <v>#N/A</v>
      </c>
      <c r="R2234" s="4" t="e">
        <f>IF(AND(B2234=1,N2234&gt;'Line Follower'!$C$7,SUM(C2234:K2234)&lt;4),1,0)</f>
        <v>#N/A</v>
      </c>
      <c r="S2234" s="4" t="e">
        <f>IF(AND(L2234=1,N2234&lt;'Line Follower'!$C$6,SUM(C2234:K2234)&lt;4),1,0)</f>
        <v>#N/A</v>
      </c>
      <c r="T2234" s="4" t="e">
        <f t="shared" si="172"/>
        <v>#N/A</v>
      </c>
      <c r="U2234" s="5" t="e">
        <f t="shared" si="173"/>
        <v>#N/A</v>
      </c>
      <c r="V2234" s="23" t="e">
        <f t="shared" si="174"/>
        <v>#N/A</v>
      </c>
    </row>
    <row r="2235" spans="2:22" x14ac:dyDescent="0.25">
      <c r="B2235" s="16">
        <v>0</v>
      </c>
      <c r="C2235" s="7">
        <v>0</v>
      </c>
      <c r="D2235" s="8">
        <v>0</v>
      </c>
      <c r="E2235" s="8">
        <v>1</v>
      </c>
      <c r="F2235" s="8">
        <v>1</v>
      </c>
      <c r="G2235" s="8">
        <v>1</v>
      </c>
      <c r="H2235" s="8">
        <v>0</v>
      </c>
      <c r="I2235" s="8">
        <v>1</v>
      </c>
      <c r="J2235" s="8">
        <v>0</v>
      </c>
      <c r="K2235" s="9">
        <v>0</v>
      </c>
      <c r="L2235" s="10">
        <v>0</v>
      </c>
      <c r="M2235" s="6">
        <v>1</v>
      </c>
      <c r="N2235" s="37" t="e" cm="1">
        <f t="array" ref="N2235">IF(OR(ISNUMBER(FIND(Aux!$D$3:$D$9,_xlfn.TEXTJOIN(,,C2235:K2235)))),NA(),IF(AND(SUM(C2235:F2235,H2235:K2235)=0,G2235=1),0,INT((SUMPRODUCT(C2235:F2235,COLUMN($A$1:$D$1)-1)+SUMPRODUCT(H2235:K2235,COLUMN($E$1:$H$1)-1))*'Line Follower'!$C$3/SUM(C2235:F2235,H2235:K2235)-'Line Follower'!$C$5)))</f>
        <v>#N/A</v>
      </c>
      <c r="O2235" s="22" t="e">
        <v>#N/A</v>
      </c>
      <c r="P2235" s="4" t="e">
        <f t="shared" si="170"/>
        <v>#N/A</v>
      </c>
      <c r="Q2235" s="4" t="e">
        <f t="shared" si="171"/>
        <v>#N/A</v>
      </c>
      <c r="R2235" s="4" t="e">
        <f>IF(AND(B2235=1,N2235&gt;'Line Follower'!$C$7,SUM(C2235:K2235)&lt;4),1,0)</f>
        <v>#N/A</v>
      </c>
      <c r="S2235" s="4" t="e">
        <f>IF(AND(L2235=1,N2235&lt;'Line Follower'!$C$6,SUM(C2235:K2235)&lt;4),1,0)</f>
        <v>#N/A</v>
      </c>
      <c r="T2235" s="4" t="e">
        <f t="shared" si="172"/>
        <v>#N/A</v>
      </c>
      <c r="U2235" s="5" t="e">
        <f t="shared" si="173"/>
        <v>#N/A</v>
      </c>
      <c r="V2235" s="23" t="e">
        <f t="shared" si="174"/>
        <v>#N/A</v>
      </c>
    </row>
    <row r="2236" spans="2:22" x14ac:dyDescent="0.25">
      <c r="B2236" s="16">
        <v>1</v>
      </c>
      <c r="C2236" s="7">
        <v>0</v>
      </c>
      <c r="D2236" s="8">
        <v>0</v>
      </c>
      <c r="E2236" s="8">
        <v>1</v>
      </c>
      <c r="F2236" s="8">
        <v>1</v>
      </c>
      <c r="G2236" s="8">
        <v>1</v>
      </c>
      <c r="H2236" s="8">
        <v>0</v>
      </c>
      <c r="I2236" s="8">
        <v>1</v>
      </c>
      <c r="J2236" s="8">
        <v>0</v>
      </c>
      <c r="K2236" s="9">
        <v>0</v>
      </c>
      <c r="L2236" s="10">
        <v>0</v>
      </c>
      <c r="M2236" s="6">
        <v>1</v>
      </c>
      <c r="N2236" s="37" t="e" cm="1">
        <f t="array" ref="N2236">IF(OR(ISNUMBER(FIND(Aux!$D$3:$D$9,_xlfn.TEXTJOIN(,,C2236:K2236)))),NA(),IF(AND(SUM(C2236:F2236,H2236:K2236)=0,G2236=1),0,INT((SUMPRODUCT(C2236:F2236,COLUMN($A$1:$D$1)-1)+SUMPRODUCT(H2236:K2236,COLUMN($E$1:$H$1)-1))*'Line Follower'!$C$3/SUM(C2236:F2236,H2236:K2236)-'Line Follower'!$C$5)))</f>
        <v>#N/A</v>
      </c>
      <c r="O2236" s="22" t="e">
        <v>#N/A</v>
      </c>
      <c r="P2236" s="4" t="e">
        <f t="shared" si="170"/>
        <v>#N/A</v>
      </c>
      <c r="Q2236" s="4" t="e">
        <f t="shared" si="171"/>
        <v>#N/A</v>
      </c>
      <c r="R2236" s="4" t="e">
        <f>IF(AND(B2236=1,N2236&gt;'Line Follower'!$C$7,SUM(C2236:K2236)&lt;4),1,0)</f>
        <v>#N/A</v>
      </c>
      <c r="S2236" s="4" t="e">
        <f>IF(AND(L2236=1,N2236&lt;'Line Follower'!$C$6,SUM(C2236:K2236)&lt;4),1,0)</f>
        <v>#N/A</v>
      </c>
      <c r="T2236" s="4" t="e">
        <f t="shared" si="172"/>
        <v>#N/A</v>
      </c>
      <c r="U2236" s="5" t="e">
        <f t="shared" si="173"/>
        <v>#N/A</v>
      </c>
      <c r="V2236" s="23" t="e">
        <f t="shared" si="174"/>
        <v>#N/A</v>
      </c>
    </row>
    <row r="2237" spans="2:22" x14ac:dyDescent="0.25">
      <c r="B2237" s="16">
        <v>0</v>
      </c>
      <c r="C2237" s="7">
        <v>1</v>
      </c>
      <c r="D2237" s="8">
        <v>0</v>
      </c>
      <c r="E2237" s="8">
        <v>1</v>
      </c>
      <c r="F2237" s="8">
        <v>1</v>
      </c>
      <c r="G2237" s="8">
        <v>1</v>
      </c>
      <c r="H2237" s="8">
        <v>0</v>
      </c>
      <c r="I2237" s="8">
        <v>1</v>
      </c>
      <c r="J2237" s="8">
        <v>0</v>
      </c>
      <c r="K2237" s="9">
        <v>0</v>
      </c>
      <c r="L2237" s="10">
        <v>0</v>
      </c>
      <c r="M2237" s="6">
        <v>1</v>
      </c>
      <c r="N2237" s="37" t="e" cm="1">
        <f t="array" ref="N2237">IF(OR(ISNUMBER(FIND(Aux!$D$3:$D$9,_xlfn.TEXTJOIN(,,C2237:K2237)))),NA(),IF(AND(SUM(C2237:F2237,H2237:K2237)=0,G2237=1),0,INT((SUMPRODUCT(C2237:F2237,COLUMN($A$1:$D$1)-1)+SUMPRODUCT(H2237:K2237,COLUMN($E$1:$H$1)-1))*'Line Follower'!$C$3/SUM(C2237:F2237,H2237:K2237)-'Line Follower'!$C$5)))</f>
        <v>#N/A</v>
      </c>
      <c r="O2237" s="22" t="e">
        <v>#N/A</v>
      </c>
      <c r="P2237" s="4" t="e">
        <f t="shared" si="170"/>
        <v>#N/A</v>
      </c>
      <c r="Q2237" s="4" t="e">
        <f t="shared" si="171"/>
        <v>#N/A</v>
      </c>
      <c r="R2237" s="4" t="e">
        <f>IF(AND(B2237=1,N2237&gt;'Line Follower'!$C$7,SUM(C2237:K2237)&lt;4),1,0)</f>
        <v>#N/A</v>
      </c>
      <c r="S2237" s="4" t="e">
        <f>IF(AND(L2237=1,N2237&lt;'Line Follower'!$C$6,SUM(C2237:K2237)&lt;4),1,0)</f>
        <v>#N/A</v>
      </c>
      <c r="T2237" s="4" t="e">
        <f t="shared" si="172"/>
        <v>#N/A</v>
      </c>
      <c r="U2237" s="5" t="e">
        <f t="shared" si="173"/>
        <v>#N/A</v>
      </c>
      <c r="V2237" s="23" t="e">
        <f t="shared" si="174"/>
        <v>#N/A</v>
      </c>
    </row>
    <row r="2238" spans="2:22" x14ac:dyDescent="0.25">
      <c r="B2238" s="16">
        <v>1</v>
      </c>
      <c r="C2238" s="7">
        <v>1</v>
      </c>
      <c r="D2238" s="8">
        <v>0</v>
      </c>
      <c r="E2238" s="8">
        <v>1</v>
      </c>
      <c r="F2238" s="8">
        <v>1</v>
      </c>
      <c r="G2238" s="8">
        <v>1</v>
      </c>
      <c r="H2238" s="8">
        <v>0</v>
      </c>
      <c r="I2238" s="8">
        <v>1</v>
      </c>
      <c r="J2238" s="8">
        <v>0</v>
      </c>
      <c r="K2238" s="9">
        <v>0</v>
      </c>
      <c r="L2238" s="10">
        <v>0</v>
      </c>
      <c r="M2238" s="6">
        <v>1</v>
      </c>
      <c r="N2238" s="37" t="e" cm="1">
        <f t="array" ref="N2238">IF(OR(ISNUMBER(FIND(Aux!$D$3:$D$9,_xlfn.TEXTJOIN(,,C2238:K2238)))),NA(),IF(AND(SUM(C2238:F2238,H2238:K2238)=0,G2238=1),0,INT((SUMPRODUCT(C2238:F2238,COLUMN($A$1:$D$1)-1)+SUMPRODUCT(H2238:K2238,COLUMN($E$1:$H$1)-1))*'Line Follower'!$C$3/SUM(C2238:F2238,H2238:K2238)-'Line Follower'!$C$5)))</f>
        <v>#N/A</v>
      </c>
      <c r="O2238" s="22" t="e">
        <v>#N/A</v>
      </c>
      <c r="P2238" s="4" t="e">
        <f t="shared" si="170"/>
        <v>#N/A</v>
      </c>
      <c r="Q2238" s="4" t="e">
        <f t="shared" si="171"/>
        <v>#N/A</v>
      </c>
      <c r="R2238" s="4" t="e">
        <f>IF(AND(B2238=1,N2238&gt;'Line Follower'!$C$7,SUM(C2238:K2238)&lt;4),1,0)</f>
        <v>#N/A</v>
      </c>
      <c r="S2238" s="4" t="e">
        <f>IF(AND(L2238=1,N2238&lt;'Line Follower'!$C$6,SUM(C2238:K2238)&lt;4),1,0)</f>
        <v>#N/A</v>
      </c>
      <c r="T2238" s="4" t="e">
        <f t="shared" si="172"/>
        <v>#N/A</v>
      </c>
      <c r="U2238" s="5" t="e">
        <f t="shared" si="173"/>
        <v>#N/A</v>
      </c>
      <c r="V2238" s="23" t="e">
        <f t="shared" si="174"/>
        <v>#N/A</v>
      </c>
    </row>
    <row r="2239" spans="2:22" x14ac:dyDescent="0.25">
      <c r="B2239" s="16">
        <v>0</v>
      </c>
      <c r="C2239" s="7">
        <v>0</v>
      </c>
      <c r="D2239" s="8">
        <v>1</v>
      </c>
      <c r="E2239" s="8">
        <v>1</v>
      </c>
      <c r="F2239" s="8">
        <v>1</v>
      </c>
      <c r="G2239" s="8">
        <v>1</v>
      </c>
      <c r="H2239" s="8">
        <v>0</v>
      </c>
      <c r="I2239" s="8">
        <v>1</v>
      </c>
      <c r="J2239" s="8">
        <v>0</v>
      </c>
      <c r="K2239" s="9">
        <v>0</v>
      </c>
      <c r="L2239" s="10">
        <v>0</v>
      </c>
      <c r="M2239" s="6">
        <v>1</v>
      </c>
      <c r="N2239" s="37" t="e" cm="1">
        <f t="array" ref="N2239">IF(OR(ISNUMBER(FIND(Aux!$D$3:$D$9,_xlfn.TEXTJOIN(,,C2239:K2239)))),NA(),IF(AND(SUM(C2239:F2239,H2239:K2239)=0,G2239=1),0,INT((SUMPRODUCT(C2239:F2239,COLUMN($A$1:$D$1)-1)+SUMPRODUCT(H2239:K2239,COLUMN($E$1:$H$1)-1))*'Line Follower'!$C$3/SUM(C2239:F2239,H2239:K2239)-'Line Follower'!$C$5)))</f>
        <v>#N/A</v>
      </c>
      <c r="O2239" s="22" t="e">
        <v>#N/A</v>
      </c>
      <c r="P2239" s="4" t="e">
        <f t="shared" si="170"/>
        <v>#N/A</v>
      </c>
      <c r="Q2239" s="4" t="e">
        <f t="shared" si="171"/>
        <v>#N/A</v>
      </c>
      <c r="R2239" s="4" t="e">
        <f>IF(AND(B2239=1,N2239&gt;'Line Follower'!$C$7,SUM(C2239:K2239)&lt;4),1,0)</f>
        <v>#N/A</v>
      </c>
      <c r="S2239" s="4" t="e">
        <f>IF(AND(L2239=1,N2239&lt;'Line Follower'!$C$6,SUM(C2239:K2239)&lt;4),1,0)</f>
        <v>#N/A</v>
      </c>
      <c r="T2239" s="4" t="e">
        <f t="shared" si="172"/>
        <v>#N/A</v>
      </c>
      <c r="U2239" s="5" t="e">
        <f t="shared" si="173"/>
        <v>#N/A</v>
      </c>
      <c r="V2239" s="23" t="e">
        <f t="shared" si="174"/>
        <v>#N/A</v>
      </c>
    </row>
    <row r="2240" spans="2:22" x14ac:dyDescent="0.25">
      <c r="B2240" s="16">
        <v>1</v>
      </c>
      <c r="C2240" s="7">
        <v>0</v>
      </c>
      <c r="D2240" s="8">
        <v>1</v>
      </c>
      <c r="E2240" s="8">
        <v>1</v>
      </c>
      <c r="F2240" s="8">
        <v>1</v>
      </c>
      <c r="G2240" s="8">
        <v>1</v>
      </c>
      <c r="H2240" s="8">
        <v>0</v>
      </c>
      <c r="I2240" s="8">
        <v>1</v>
      </c>
      <c r="J2240" s="8">
        <v>0</v>
      </c>
      <c r="K2240" s="9">
        <v>0</v>
      </c>
      <c r="L2240" s="10">
        <v>0</v>
      </c>
      <c r="M2240" s="6">
        <v>1</v>
      </c>
      <c r="N2240" s="37" t="e" cm="1">
        <f t="array" ref="N2240">IF(OR(ISNUMBER(FIND(Aux!$D$3:$D$9,_xlfn.TEXTJOIN(,,C2240:K2240)))),NA(),IF(AND(SUM(C2240:F2240,H2240:K2240)=0,G2240=1),0,INT((SUMPRODUCT(C2240:F2240,COLUMN($A$1:$D$1)-1)+SUMPRODUCT(H2240:K2240,COLUMN($E$1:$H$1)-1))*'Line Follower'!$C$3/SUM(C2240:F2240,H2240:K2240)-'Line Follower'!$C$5)))</f>
        <v>#N/A</v>
      </c>
      <c r="O2240" s="22" t="e">
        <v>#N/A</v>
      </c>
      <c r="P2240" s="4" t="e">
        <f t="shared" si="170"/>
        <v>#N/A</v>
      </c>
      <c r="Q2240" s="4" t="e">
        <f t="shared" si="171"/>
        <v>#N/A</v>
      </c>
      <c r="R2240" s="4" t="e">
        <f>IF(AND(B2240=1,N2240&gt;'Line Follower'!$C$7,SUM(C2240:K2240)&lt;4),1,0)</f>
        <v>#N/A</v>
      </c>
      <c r="S2240" s="4" t="e">
        <f>IF(AND(L2240=1,N2240&lt;'Line Follower'!$C$6,SUM(C2240:K2240)&lt;4),1,0)</f>
        <v>#N/A</v>
      </c>
      <c r="T2240" s="4" t="e">
        <f t="shared" si="172"/>
        <v>#N/A</v>
      </c>
      <c r="U2240" s="5" t="e">
        <f t="shared" si="173"/>
        <v>#N/A</v>
      </c>
      <c r="V2240" s="23" t="e">
        <f t="shared" si="174"/>
        <v>#N/A</v>
      </c>
    </row>
    <row r="2241" spans="2:22" x14ac:dyDescent="0.25">
      <c r="B2241" s="16">
        <v>0</v>
      </c>
      <c r="C2241" s="7">
        <v>1</v>
      </c>
      <c r="D2241" s="8">
        <v>1</v>
      </c>
      <c r="E2241" s="8">
        <v>1</v>
      </c>
      <c r="F2241" s="8">
        <v>1</v>
      </c>
      <c r="G2241" s="8">
        <v>1</v>
      </c>
      <c r="H2241" s="8">
        <v>0</v>
      </c>
      <c r="I2241" s="8">
        <v>1</v>
      </c>
      <c r="J2241" s="8">
        <v>0</v>
      </c>
      <c r="K2241" s="9">
        <v>0</v>
      </c>
      <c r="L2241" s="10">
        <v>0</v>
      </c>
      <c r="M2241" s="6">
        <v>1</v>
      </c>
      <c r="N2241" s="37" t="e" cm="1">
        <f t="array" ref="N2241">IF(OR(ISNUMBER(FIND(Aux!$D$3:$D$9,_xlfn.TEXTJOIN(,,C2241:K2241)))),NA(),IF(AND(SUM(C2241:F2241,H2241:K2241)=0,G2241=1),0,INT((SUMPRODUCT(C2241:F2241,COLUMN($A$1:$D$1)-1)+SUMPRODUCT(H2241:K2241,COLUMN($E$1:$H$1)-1))*'Line Follower'!$C$3/SUM(C2241:F2241,H2241:K2241)-'Line Follower'!$C$5)))</f>
        <v>#N/A</v>
      </c>
      <c r="O2241" s="22" t="e">
        <v>#N/A</v>
      </c>
      <c r="P2241" s="4" t="e">
        <f t="shared" si="170"/>
        <v>#N/A</v>
      </c>
      <c r="Q2241" s="4" t="e">
        <f t="shared" si="171"/>
        <v>#N/A</v>
      </c>
      <c r="R2241" s="4" t="e">
        <f>IF(AND(B2241=1,N2241&gt;'Line Follower'!$C$7,SUM(C2241:K2241)&lt;4),1,0)</f>
        <v>#N/A</v>
      </c>
      <c r="S2241" s="4" t="e">
        <f>IF(AND(L2241=1,N2241&lt;'Line Follower'!$C$6,SUM(C2241:K2241)&lt;4),1,0)</f>
        <v>#N/A</v>
      </c>
      <c r="T2241" s="4" t="e">
        <f t="shared" si="172"/>
        <v>#N/A</v>
      </c>
      <c r="U2241" s="5" t="e">
        <f t="shared" si="173"/>
        <v>#N/A</v>
      </c>
      <c r="V2241" s="23" t="e">
        <f t="shared" si="174"/>
        <v>#N/A</v>
      </c>
    </row>
    <row r="2242" spans="2:22" x14ac:dyDescent="0.25">
      <c r="B2242" s="16">
        <v>1</v>
      </c>
      <c r="C2242" s="7">
        <v>1</v>
      </c>
      <c r="D2242" s="8">
        <v>1</v>
      </c>
      <c r="E2242" s="8">
        <v>1</v>
      </c>
      <c r="F2242" s="8">
        <v>1</v>
      </c>
      <c r="G2242" s="8">
        <v>1</v>
      </c>
      <c r="H2242" s="8">
        <v>0</v>
      </c>
      <c r="I2242" s="8">
        <v>1</v>
      </c>
      <c r="J2242" s="8">
        <v>0</v>
      </c>
      <c r="K2242" s="9">
        <v>0</v>
      </c>
      <c r="L2242" s="10">
        <v>0</v>
      </c>
      <c r="M2242" s="6">
        <v>1</v>
      </c>
      <c r="N2242" s="37" t="e" cm="1">
        <f t="array" ref="N2242">IF(OR(ISNUMBER(FIND(Aux!$D$3:$D$9,_xlfn.TEXTJOIN(,,C2242:K2242)))),NA(),IF(AND(SUM(C2242:F2242,H2242:K2242)=0,G2242=1),0,INT((SUMPRODUCT(C2242:F2242,COLUMN($A$1:$D$1)-1)+SUMPRODUCT(H2242:K2242,COLUMN($E$1:$H$1)-1))*'Line Follower'!$C$3/SUM(C2242:F2242,H2242:K2242)-'Line Follower'!$C$5)))</f>
        <v>#N/A</v>
      </c>
      <c r="O2242" s="22" t="e">
        <v>#N/A</v>
      </c>
      <c r="P2242" s="4" t="e">
        <f t="shared" si="170"/>
        <v>#N/A</v>
      </c>
      <c r="Q2242" s="4" t="e">
        <f t="shared" si="171"/>
        <v>#N/A</v>
      </c>
      <c r="R2242" s="4" t="e">
        <f>IF(AND(B2242=1,N2242&gt;'Line Follower'!$C$7,SUM(C2242:K2242)&lt;4),1,0)</f>
        <v>#N/A</v>
      </c>
      <c r="S2242" s="4" t="e">
        <f>IF(AND(L2242=1,N2242&lt;'Line Follower'!$C$6,SUM(C2242:K2242)&lt;4),1,0)</f>
        <v>#N/A</v>
      </c>
      <c r="T2242" s="4" t="e">
        <f t="shared" si="172"/>
        <v>#N/A</v>
      </c>
      <c r="U2242" s="5" t="e">
        <f t="shared" si="173"/>
        <v>#N/A</v>
      </c>
      <c r="V2242" s="23" t="e">
        <f t="shared" si="174"/>
        <v>#N/A</v>
      </c>
    </row>
    <row r="2243" spans="2:22" x14ac:dyDescent="0.25">
      <c r="B2243" s="16">
        <v>0</v>
      </c>
      <c r="C2243" s="7">
        <v>0</v>
      </c>
      <c r="D2243" s="8">
        <v>0</v>
      </c>
      <c r="E2243" s="8">
        <v>0</v>
      </c>
      <c r="F2243" s="8">
        <v>0</v>
      </c>
      <c r="G2243" s="8">
        <v>0</v>
      </c>
      <c r="H2243" s="8">
        <v>1</v>
      </c>
      <c r="I2243" s="8">
        <v>1</v>
      </c>
      <c r="J2243" s="8">
        <v>0</v>
      </c>
      <c r="K2243" s="9">
        <v>0</v>
      </c>
      <c r="L2243" s="10">
        <v>0</v>
      </c>
      <c r="M2243" s="6">
        <v>1</v>
      </c>
      <c r="N2243" s="37" cm="1">
        <f t="array" ref="N2243">IF(OR(ISNUMBER(FIND(Aux!$D$3:$D$9,_xlfn.TEXTJOIN(,,C2243:K2243)))),NA(),IF(AND(SUM(C2243:F2243,H2243:K2243)=0,G2243=1),0,INT((SUMPRODUCT(C2243:F2243,COLUMN($A$1:$D$1)-1)+SUMPRODUCT(H2243:K2243,COLUMN($E$1:$H$1)-1))*'Line Follower'!$C$3/SUM(C2243:F2243,H2243:K2243)-'Line Follower'!$C$5)))</f>
        <v>2</v>
      </c>
      <c r="O2243" s="22">
        <v>1</v>
      </c>
      <c r="P2243" s="4">
        <f t="shared" ref="P2243:P2306" si="175">IF(AND(N2243=0,G2243=1,M2243=1),1,0)</f>
        <v>0</v>
      </c>
      <c r="Q2243" s="4">
        <f t="shared" ref="Q2243:Q2306" si="176">IF(ISERROR(N2243),N2243,IF(SUM(C2243:K2243)&gt;=4,1,0))</f>
        <v>0</v>
      </c>
      <c r="R2243" s="4">
        <f>IF(AND(B2243=1,N2243&gt;'Line Follower'!$C$7,SUM(C2243:K2243)&lt;4),1,0)</f>
        <v>0</v>
      </c>
      <c r="S2243" s="4">
        <f>IF(AND(L2243=1,N2243&lt;'Line Follower'!$C$6,SUM(C2243:K2243)&lt;4),1,0)</f>
        <v>0</v>
      </c>
      <c r="T2243" s="4">
        <f t="shared" si="172"/>
        <v>0</v>
      </c>
      <c r="U2243" s="5">
        <f t="shared" si="173"/>
        <v>0</v>
      </c>
      <c r="V2243" s="23">
        <f t="shared" si="174"/>
        <v>0</v>
      </c>
    </row>
    <row r="2244" spans="2:22" x14ac:dyDescent="0.25">
      <c r="B2244" s="16">
        <v>1</v>
      </c>
      <c r="C2244" s="7">
        <v>0</v>
      </c>
      <c r="D2244" s="8">
        <v>0</v>
      </c>
      <c r="E2244" s="8">
        <v>0</v>
      </c>
      <c r="F2244" s="8">
        <v>0</v>
      </c>
      <c r="G2244" s="8">
        <v>0</v>
      </c>
      <c r="H2244" s="8">
        <v>1</v>
      </c>
      <c r="I2244" s="8">
        <v>1</v>
      </c>
      <c r="J2244" s="8">
        <v>0</v>
      </c>
      <c r="K2244" s="9">
        <v>0</v>
      </c>
      <c r="L2244" s="10">
        <v>0</v>
      </c>
      <c r="M2244" s="6">
        <v>1</v>
      </c>
      <c r="N2244" s="37" cm="1">
        <f t="array" ref="N2244">IF(OR(ISNUMBER(FIND(Aux!$D$3:$D$9,_xlfn.TEXTJOIN(,,C2244:K2244)))),NA(),IF(AND(SUM(C2244:F2244,H2244:K2244)=0,G2244=1),0,INT((SUMPRODUCT(C2244:F2244,COLUMN($A$1:$D$1)-1)+SUMPRODUCT(H2244:K2244,COLUMN($E$1:$H$1)-1))*'Line Follower'!$C$3/SUM(C2244:F2244,H2244:K2244)-'Line Follower'!$C$5)))</f>
        <v>2</v>
      </c>
      <c r="O2244" s="22">
        <v>1</v>
      </c>
      <c r="P2244" s="4">
        <f t="shared" si="175"/>
        <v>0</v>
      </c>
      <c r="Q2244" s="4">
        <f t="shared" si="176"/>
        <v>0</v>
      </c>
      <c r="R2244" s="4">
        <f>IF(AND(B2244=1,N2244&gt;'Line Follower'!$C$7,SUM(C2244:K2244)&lt;4),1,0)</f>
        <v>1</v>
      </c>
      <c r="S2244" s="4">
        <f>IF(AND(L2244=1,N2244&lt;'Line Follower'!$C$6,SUM(C2244:K2244)&lt;4),1,0)</f>
        <v>0</v>
      </c>
      <c r="T2244" s="4">
        <f t="shared" ref="T2244:T2307" si="177">IF(ISNA(N2244),NA(),IF(SUM(C2244:L2244)=0,1,0))</f>
        <v>0</v>
      </c>
      <c r="U2244" s="5">
        <f t="shared" ref="U2244:U2307" si="178">IF(ISNA(N2244),NA(),IF(SUM(B2244:K2244)=0,1,0))</f>
        <v>0</v>
      </c>
      <c r="V2244" s="23">
        <f t="shared" ref="V2244:V2307" si="179">IF(ISNA(N2244),NA(),IF(SUM(B2244:L2244)=0,1,0))</f>
        <v>0</v>
      </c>
    </row>
    <row r="2245" spans="2:22" x14ac:dyDescent="0.25">
      <c r="B2245" s="16">
        <v>0</v>
      </c>
      <c r="C2245" s="7">
        <v>1</v>
      </c>
      <c r="D2245" s="8">
        <v>0</v>
      </c>
      <c r="E2245" s="8">
        <v>0</v>
      </c>
      <c r="F2245" s="8">
        <v>0</v>
      </c>
      <c r="G2245" s="8">
        <v>0</v>
      </c>
      <c r="H2245" s="8">
        <v>1</v>
      </c>
      <c r="I2245" s="8">
        <v>1</v>
      </c>
      <c r="J2245" s="8">
        <v>0</v>
      </c>
      <c r="K2245" s="9">
        <v>0</v>
      </c>
      <c r="L2245" s="10">
        <v>0</v>
      </c>
      <c r="M2245" s="6">
        <v>1</v>
      </c>
      <c r="N2245" s="37" t="e" cm="1">
        <f t="array" ref="N2245">IF(OR(ISNUMBER(FIND(Aux!$D$3:$D$9,_xlfn.TEXTJOIN(,,C2245:K2245)))),NA(),IF(AND(SUM(C2245:F2245,H2245:K2245)=0,G2245=1),0,INT((SUMPRODUCT(C2245:F2245,COLUMN($A$1:$D$1)-1)+SUMPRODUCT(H2245:K2245,COLUMN($E$1:$H$1)-1))*'Line Follower'!$C$3/SUM(C2245:F2245,H2245:K2245)-'Line Follower'!$C$5)))</f>
        <v>#N/A</v>
      </c>
      <c r="O2245" s="22" t="e">
        <v>#N/A</v>
      </c>
      <c r="P2245" s="4" t="e">
        <f t="shared" si="175"/>
        <v>#N/A</v>
      </c>
      <c r="Q2245" s="4" t="e">
        <f t="shared" si="176"/>
        <v>#N/A</v>
      </c>
      <c r="R2245" s="4" t="e">
        <f>IF(AND(B2245=1,N2245&gt;'Line Follower'!$C$7,SUM(C2245:K2245)&lt;4),1,0)</f>
        <v>#N/A</v>
      </c>
      <c r="S2245" s="4" t="e">
        <f>IF(AND(L2245=1,N2245&lt;'Line Follower'!$C$6,SUM(C2245:K2245)&lt;4),1,0)</f>
        <v>#N/A</v>
      </c>
      <c r="T2245" s="4" t="e">
        <f t="shared" si="177"/>
        <v>#N/A</v>
      </c>
      <c r="U2245" s="5" t="e">
        <f t="shared" si="178"/>
        <v>#N/A</v>
      </c>
      <c r="V2245" s="23" t="e">
        <f t="shared" si="179"/>
        <v>#N/A</v>
      </c>
    </row>
    <row r="2246" spans="2:22" x14ac:dyDescent="0.25">
      <c r="B2246" s="16">
        <v>1</v>
      </c>
      <c r="C2246" s="7">
        <v>1</v>
      </c>
      <c r="D2246" s="8">
        <v>0</v>
      </c>
      <c r="E2246" s="8">
        <v>0</v>
      </c>
      <c r="F2246" s="8">
        <v>0</v>
      </c>
      <c r="G2246" s="8">
        <v>0</v>
      </c>
      <c r="H2246" s="8">
        <v>1</v>
      </c>
      <c r="I2246" s="8">
        <v>1</v>
      </c>
      <c r="J2246" s="8">
        <v>0</v>
      </c>
      <c r="K2246" s="9">
        <v>0</v>
      </c>
      <c r="L2246" s="10">
        <v>0</v>
      </c>
      <c r="M2246" s="6">
        <v>1</v>
      </c>
      <c r="N2246" s="37" t="e" cm="1">
        <f t="array" ref="N2246">IF(OR(ISNUMBER(FIND(Aux!$D$3:$D$9,_xlfn.TEXTJOIN(,,C2246:K2246)))),NA(),IF(AND(SUM(C2246:F2246,H2246:K2246)=0,G2246=1),0,INT((SUMPRODUCT(C2246:F2246,COLUMN($A$1:$D$1)-1)+SUMPRODUCT(H2246:K2246,COLUMN($E$1:$H$1)-1))*'Line Follower'!$C$3/SUM(C2246:F2246,H2246:K2246)-'Line Follower'!$C$5)))</f>
        <v>#N/A</v>
      </c>
      <c r="O2246" s="22" t="e">
        <v>#N/A</v>
      </c>
      <c r="P2246" s="4" t="e">
        <f t="shared" si="175"/>
        <v>#N/A</v>
      </c>
      <c r="Q2246" s="4" t="e">
        <f t="shared" si="176"/>
        <v>#N/A</v>
      </c>
      <c r="R2246" s="4" t="e">
        <f>IF(AND(B2246=1,N2246&gt;'Line Follower'!$C$7,SUM(C2246:K2246)&lt;4),1,0)</f>
        <v>#N/A</v>
      </c>
      <c r="S2246" s="4" t="e">
        <f>IF(AND(L2246=1,N2246&lt;'Line Follower'!$C$6,SUM(C2246:K2246)&lt;4),1,0)</f>
        <v>#N/A</v>
      </c>
      <c r="T2246" s="4" t="e">
        <f t="shared" si="177"/>
        <v>#N/A</v>
      </c>
      <c r="U2246" s="5" t="e">
        <f t="shared" si="178"/>
        <v>#N/A</v>
      </c>
      <c r="V2246" s="23" t="e">
        <f t="shared" si="179"/>
        <v>#N/A</v>
      </c>
    </row>
    <row r="2247" spans="2:22" x14ac:dyDescent="0.25">
      <c r="B2247" s="16">
        <v>0</v>
      </c>
      <c r="C2247" s="7">
        <v>0</v>
      </c>
      <c r="D2247" s="8">
        <v>1</v>
      </c>
      <c r="E2247" s="8">
        <v>0</v>
      </c>
      <c r="F2247" s="8">
        <v>0</v>
      </c>
      <c r="G2247" s="8">
        <v>0</v>
      </c>
      <c r="H2247" s="8">
        <v>1</v>
      </c>
      <c r="I2247" s="8">
        <v>1</v>
      </c>
      <c r="J2247" s="8">
        <v>0</v>
      </c>
      <c r="K2247" s="9">
        <v>0</v>
      </c>
      <c r="L2247" s="10">
        <v>0</v>
      </c>
      <c r="M2247" s="6">
        <v>1</v>
      </c>
      <c r="N2247" s="37" t="e" cm="1">
        <f t="array" ref="N2247">IF(OR(ISNUMBER(FIND(Aux!$D$3:$D$9,_xlfn.TEXTJOIN(,,C2247:K2247)))),NA(),IF(AND(SUM(C2247:F2247,H2247:K2247)=0,G2247=1),0,INT((SUMPRODUCT(C2247:F2247,COLUMN($A$1:$D$1)-1)+SUMPRODUCT(H2247:K2247,COLUMN($E$1:$H$1)-1))*'Line Follower'!$C$3/SUM(C2247:F2247,H2247:K2247)-'Line Follower'!$C$5)))</f>
        <v>#N/A</v>
      </c>
      <c r="O2247" s="22" t="e">
        <v>#N/A</v>
      </c>
      <c r="P2247" s="4" t="e">
        <f t="shared" si="175"/>
        <v>#N/A</v>
      </c>
      <c r="Q2247" s="4" t="e">
        <f t="shared" si="176"/>
        <v>#N/A</v>
      </c>
      <c r="R2247" s="4" t="e">
        <f>IF(AND(B2247=1,N2247&gt;'Line Follower'!$C$7,SUM(C2247:K2247)&lt;4),1,0)</f>
        <v>#N/A</v>
      </c>
      <c r="S2247" s="4" t="e">
        <f>IF(AND(L2247=1,N2247&lt;'Line Follower'!$C$6,SUM(C2247:K2247)&lt;4),1,0)</f>
        <v>#N/A</v>
      </c>
      <c r="T2247" s="4" t="e">
        <f t="shared" si="177"/>
        <v>#N/A</v>
      </c>
      <c r="U2247" s="5" t="e">
        <f t="shared" si="178"/>
        <v>#N/A</v>
      </c>
      <c r="V2247" s="23" t="e">
        <f t="shared" si="179"/>
        <v>#N/A</v>
      </c>
    </row>
    <row r="2248" spans="2:22" x14ac:dyDescent="0.25">
      <c r="B2248" s="16">
        <v>1</v>
      </c>
      <c r="C2248" s="7">
        <v>0</v>
      </c>
      <c r="D2248" s="8">
        <v>1</v>
      </c>
      <c r="E2248" s="8">
        <v>0</v>
      </c>
      <c r="F2248" s="8">
        <v>0</v>
      </c>
      <c r="G2248" s="8">
        <v>0</v>
      </c>
      <c r="H2248" s="8">
        <v>1</v>
      </c>
      <c r="I2248" s="8">
        <v>1</v>
      </c>
      <c r="J2248" s="8">
        <v>0</v>
      </c>
      <c r="K2248" s="9">
        <v>0</v>
      </c>
      <c r="L2248" s="10">
        <v>0</v>
      </c>
      <c r="M2248" s="6">
        <v>1</v>
      </c>
      <c r="N2248" s="37" t="e" cm="1">
        <f t="array" ref="N2248">IF(OR(ISNUMBER(FIND(Aux!$D$3:$D$9,_xlfn.TEXTJOIN(,,C2248:K2248)))),NA(),IF(AND(SUM(C2248:F2248,H2248:K2248)=0,G2248=1),0,INT((SUMPRODUCT(C2248:F2248,COLUMN($A$1:$D$1)-1)+SUMPRODUCT(H2248:K2248,COLUMN($E$1:$H$1)-1))*'Line Follower'!$C$3/SUM(C2248:F2248,H2248:K2248)-'Line Follower'!$C$5)))</f>
        <v>#N/A</v>
      </c>
      <c r="O2248" s="22" t="e">
        <v>#N/A</v>
      </c>
      <c r="P2248" s="4" t="e">
        <f t="shared" si="175"/>
        <v>#N/A</v>
      </c>
      <c r="Q2248" s="4" t="e">
        <f t="shared" si="176"/>
        <v>#N/A</v>
      </c>
      <c r="R2248" s="4" t="e">
        <f>IF(AND(B2248=1,N2248&gt;'Line Follower'!$C$7,SUM(C2248:K2248)&lt;4),1,0)</f>
        <v>#N/A</v>
      </c>
      <c r="S2248" s="4" t="e">
        <f>IF(AND(L2248=1,N2248&lt;'Line Follower'!$C$6,SUM(C2248:K2248)&lt;4),1,0)</f>
        <v>#N/A</v>
      </c>
      <c r="T2248" s="4" t="e">
        <f t="shared" si="177"/>
        <v>#N/A</v>
      </c>
      <c r="U2248" s="5" t="e">
        <f t="shared" si="178"/>
        <v>#N/A</v>
      </c>
      <c r="V2248" s="23" t="e">
        <f t="shared" si="179"/>
        <v>#N/A</v>
      </c>
    </row>
    <row r="2249" spans="2:22" x14ac:dyDescent="0.25">
      <c r="B2249" s="16">
        <v>0</v>
      </c>
      <c r="C2249" s="7">
        <v>1</v>
      </c>
      <c r="D2249" s="8">
        <v>1</v>
      </c>
      <c r="E2249" s="8">
        <v>0</v>
      </c>
      <c r="F2249" s="8">
        <v>0</v>
      </c>
      <c r="G2249" s="8">
        <v>0</v>
      </c>
      <c r="H2249" s="8">
        <v>1</v>
      </c>
      <c r="I2249" s="8">
        <v>1</v>
      </c>
      <c r="J2249" s="8">
        <v>0</v>
      </c>
      <c r="K2249" s="9">
        <v>0</v>
      </c>
      <c r="L2249" s="10">
        <v>0</v>
      </c>
      <c r="M2249" s="6">
        <v>1</v>
      </c>
      <c r="N2249" s="37" t="e" cm="1">
        <f t="array" ref="N2249">IF(OR(ISNUMBER(FIND(Aux!$D$3:$D$9,_xlfn.TEXTJOIN(,,C2249:K2249)))),NA(),IF(AND(SUM(C2249:F2249,H2249:K2249)=0,G2249=1),0,INT((SUMPRODUCT(C2249:F2249,COLUMN($A$1:$D$1)-1)+SUMPRODUCT(H2249:K2249,COLUMN($E$1:$H$1)-1))*'Line Follower'!$C$3/SUM(C2249:F2249,H2249:K2249)-'Line Follower'!$C$5)))</f>
        <v>#N/A</v>
      </c>
      <c r="O2249" s="22" t="e">
        <v>#N/A</v>
      </c>
      <c r="P2249" s="4" t="e">
        <f t="shared" si="175"/>
        <v>#N/A</v>
      </c>
      <c r="Q2249" s="4" t="e">
        <f t="shared" si="176"/>
        <v>#N/A</v>
      </c>
      <c r="R2249" s="4" t="e">
        <f>IF(AND(B2249=1,N2249&gt;'Line Follower'!$C$7,SUM(C2249:K2249)&lt;4),1,0)</f>
        <v>#N/A</v>
      </c>
      <c r="S2249" s="4" t="e">
        <f>IF(AND(L2249=1,N2249&lt;'Line Follower'!$C$6,SUM(C2249:K2249)&lt;4),1,0)</f>
        <v>#N/A</v>
      </c>
      <c r="T2249" s="4" t="e">
        <f t="shared" si="177"/>
        <v>#N/A</v>
      </c>
      <c r="U2249" s="5" t="e">
        <f t="shared" si="178"/>
        <v>#N/A</v>
      </c>
      <c r="V2249" s="23" t="e">
        <f t="shared" si="179"/>
        <v>#N/A</v>
      </c>
    </row>
    <row r="2250" spans="2:22" x14ac:dyDescent="0.25">
      <c r="B2250" s="16">
        <v>1</v>
      </c>
      <c r="C2250" s="7">
        <v>1</v>
      </c>
      <c r="D2250" s="8">
        <v>1</v>
      </c>
      <c r="E2250" s="8">
        <v>0</v>
      </c>
      <c r="F2250" s="8">
        <v>0</v>
      </c>
      <c r="G2250" s="8">
        <v>0</v>
      </c>
      <c r="H2250" s="8">
        <v>1</v>
      </c>
      <c r="I2250" s="8">
        <v>1</v>
      </c>
      <c r="J2250" s="8">
        <v>0</v>
      </c>
      <c r="K2250" s="9">
        <v>0</v>
      </c>
      <c r="L2250" s="10">
        <v>0</v>
      </c>
      <c r="M2250" s="6">
        <v>1</v>
      </c>
      <c r="N2250" s="37" t="e" cm="1">
        <f t="array" ref="N2250">IF(OR(ISNUMBER(FIND(Aux!$D$3:$D$9,_xlfn.TEXTJOIN(,,C2250:K2250)))),NA(),IF(AND(SUM(C2250:F2250,H2250:K2250)=0,G2250=1),0,INT((SUMPRODUCT(C2250:F2250,COLUMN($A$1:$D$1)-1)+SUMPRODUCT(H2250:K2250,COLUMN($E$1:$H$1)-1))*'Line Follower'!$C$3/SUM(C2250:F2250,H2250:K2250)-'Line Follower'!$C$5)))</f>
        <v>#N/A</v>
      </c>
      <c r="O2250" s="22" t="e">
        <v>#N/A</v>
      </c>
      <c r="P2250" s="4" t="e">
        <f t="shared" si="175"/>
        <v>#N/A</v>
      </c>
      <c r="Q2250" s="4" t="e">
        <f t="shared" si="176"/>
        <v>#N/A</v>
      </c>
      <c r="R2250" s="4" t="e">
        <f>IF(AND(B2250=1,N2250&gt;'Line Follower'!$C$7,SUM(C2250:K2250)&lt;4),1,0)</f>
        <v>#N/A</v>
      </c>
      <c r="S2250" s="4" t="e">
        <f>IF(AND(L2250=1,N2250&lt;'Line Follower'!$C$6,SUM(C2250:K2250)&lt;4),1,0)</f>
        <v>#N/A</v>
      </c>
      <c r="T2250" s="4" t="e">
        <f t="shared" si="177"/>
        <v>#N/A</v>
      </c>
      <c r="U2250" s="5" t="e">
        <f t="shared" si="178"/>
        <v>#N/A</v>
      </c>
      <c r="V2250" s="23" t="e">
        <f t="shared" si="179"/>
        <v>#N/A</v>
      </c>
    </row>
    <row r="2251" spans="2:22" x14ac:dyDescent="0.25">
      <c r="B2251" s="16">
        <v>0</v>
      </c>
      <c r="C2251" s="7">
        <v>0</v>
      </c>
      <c r="D2251" s="8">
        <v>0</v>
      </c>
      <c r="E2251" s="8">
        <v>1</v>
      </c>
      <c r="F2251" s="8">
        <v>0</v>
      </c>
      <c r="G2251" s="8">
        <v>0</v>
      </c>
      <c r="H2251" s="8">
        <v>1</v>
      </c>
      <c r="I2251" s="8">
        <v>1</v>
      </c>
      <c r="J2251" s="8">
        <v>0</v>
      </c>
      <c r="K2251" s="9">
        <v>0</v>
      </c>
      <c r="L2251" s="10">
        <v>0</v>
      </c>
      <c r="M2251" s="6">
        <v>1</v>
      </c>
      <c r="N2251" s="37" t="e" cm="1">
        <f t="array" ref="N2251">IF(OR(ISNUMBER(FIND(Aux!$D$3:$D$9,_xlfn.TEXTJOIN(,,C2251:K2251)))),NA(),IF(AND(SUM(C2251:F2251,H2251:K2251)=0,G2251=1),0,INT((SUMPRODUCT(C2251:F2251,COLUMN($A$1:$D$1)-1)+SUMPRODUCT(H2251:K2251,COLUMN($E$1:$H$1)-1))*'Line Follower'!$C$3/SUM(C2251:F2251,H2251:K2251)-'Line Follower'!$C$5)))</f>
        <v>#N/A</v>
      </c>
      <c r="O2251" s="22" t="e">
        <v>#N/A</v>
      </c>
      <c r="P2251" s="4" t="e">
        <f t="shared" si="175"/>
        <v>#N/A</v>
      </c>
      <c r="Q2251" s="4" t="e">
        <f t="shared" si="176"/>
        <v>#N/A</v>
      </c>
      <c r="R2251" s="4" t="e">
        <f>IF(AND(B2251=1,N2251&gt;'Line Follower'!$C$7,SUM(C2251:K2251)&lt;4),1,0)</f>
        <v>#N/A</v>
      </c>
      <c r="S2251" s="4" t="e">
        <f>IF(AND(L2251=1,N2251&lt;'Line Follower'!$C$6,SUM(C2251:K2251)&lt;4),1,0)</f>
        <v>#N/A</v>
      </c>
      <c r="T2251" s="4" t="e">
        <f t="shared" si="177"/>
        <v>#N/A</v>
      </c>
      <c r="U2251" s="5" t="e">
        <f t="shared" si="178"/>
        <v>#N/A</v>
      </c>
      <c r="V2251" s="23" t="e">
        <f t="shared" si="179"/>
        <v>#N/A</v>
      </c>
    </row>
    <row r="2252" spans="2:22" x14ac:dyDescent="0.25">
      <c r="B2252" s="16">
        <v>1</v>
      </c>
      <c r="C2252" s="7">
        <v>0</v>
      </c>
      <c r="D2252" s="8">
        <v>0</v>
      </c>
      <c r="E2252" s="8">
        <v>1</v>
      </c>
      <c r="F2252" s="8">
        <v>0</v>
      </c>
      <c r="G2252" s="8">
        <v>0</v>
      </c>
      <c r="H2252" s="8">
        <v>1</v>
      </c>
      <c r="I2252" s="8">
        <v>1</v>
      </c>
      <c r="J2252" s="8">
        <v>0</v>
      </c>
      <c r="K2252" s="9">
        <v>0</v>
      </c>
      <c r="L2252" s="10">
        <v>0</v>
      </c>
      <c r="M2252" s="6">
        <v>1</v>
      </c>
      <c r="N2252" s="37" t="e" cm="1">
        <f t="array" ref="N2252">IF(OR(ISNUMBER(FIND(Aux!$D$3:$D$9,_xlfn.TEXTJOIN(,,C2252:K2252)))),NA(),IF(AND(SUM(C2252:F2252,H2252:K2252)=0,G2252=1),0,INT((SUMPRODUCT(C2252:F2252,COLUMN($A$1:$D$1)-1)+SUMPRODUCT(H2252:K2252,COLUMN($E$1:$H$1)-1))*'Line Follower'!$C$3/SUM(C2252:F2252,H2252:K2252)-'Line Follower'!$C$5)))</f>
        <v>#N/A</v>
      </c>
      <c r="O2252" s="22" t="e">
        <v>#N/A</v>
      </c>
      <c r="P2252" s="4" t="e">
        <f t="shared" si="175"/>
        <v>#N/A</v>
      </c>
      <c r="Q2252" s="4" t="e">
        <f t="shared" si="176"/>
        <v>#N/A</v>
      </c>
      <c r="R2252" s="4" t="e">
        <f>IF(AND(B2252=1,N2252&gt;'Line Follower'!$C$7,SUM(C2252:K2252)&lt;4),1,0)</f>
        <v>#N/A</v>
      </c>
      <c r="S2252" s="4" t="e">
        <f>IF(AND(L2252=1,N2252&lt;'Line Follower'!$C$6,SUM(C2252:K2252)&lt;4),1,0)</f>
        <v>#N/A</v>
      </c>
      <c r="T2252" s="4" t="e">
        <f t="shared" si="177"/>
        <v>#N/A</v>
      </c>
      <c r="U2252" s="5" t="e">
        <f t="shared" si="178"/>
        <v>#N/A</v>
      </c>
      <c r="V2252" s="23" t="e">
        <f t="shared" si="179"/>
        <v>#N/A</v>
      </c>
    </row>
    <row r="2253" spans="2:22" x14ac:dyDescent="0.25">
      <c r="B2253" s="16">
        <v>0</v>
      </c>
      <c r="C2253" s="7">
        <v>1</v>
      </c>
      <c r="D2253" s="8">
        <v>0</v>
      </c>
      <c r="E2253" s="8">
        <v>1</v>
      </c>
      <c r="F2253" s="8">
        <v>0</v>
      </c>
      <c r="G2253" s="8">
        <v>0</v>
      </c>
      <c r="H2253" s="8">
        <v>1</v>
      </c>
      <c r="I2253" s="8">
        <v>1</v>
      </c>
      <c r="J2253" s="8">
        <v>0</v>
      </c>
      <c r="K2253" s="9">
        <v>0</v>
      </c>
      <c r="L2253" s="10">
        <v>0</v>
      </c>
      <c r="M2253" s="6">
        <v>1</v>
      </c>
      <c r="N2253" s="37" t="e" cm="1">
        <f t="array" ref="N2253">IF(OR(ISNUMBER(FIND(Aux!$D$3:$D$9,_xlfn.TEXTJOIN(,,C2253:K2253)))),NA(),IF(AND(SUM(C2253:F2253,H2253:K2253)=0,G2253=1),0,INT((SUMPRODUCT(C2253:F2253,COLUMN($A$1:$D$1)-1)+SUMPRODUCT(H2253:K2253,COLUMN($E$1:$H$1)-1))*'Line Follower'!$C$3/SUM(C2253:F2253,H2253:K2253)-'Line Follower'!$C$5)))</f>
        <v>#N/A</v>
      </c>
      <c r="O2253" s="22" t="e">
        <v>#N/A</v>
      </c>
      <c r="P2253" s="4" t="e">
        <f t="shared" si="175"/>
        <v>#N/A</v>
      </c>
      <c r="Q2253" s="4" t="e">
        <f t="shared" si="176"/>
        <v>#N/A</v>
      </c>
      <c r="R2253" s="4" t="e">
        <f>IF(AND(B2253=1,N2253&gt;'Line Follower'!$C$7,SUM(C2253:K2253)&lt;4),1,0)</f>
        <v>#N/A</v>
      </c>
      <c r="S2253" s="4" t="e">
        <f>IF(AND(L2253=1,N2253&lt;'Line Follower'!$C$6,SUM(C2253:K2253)&lt;4),1,0)</f>
        <v>#N/A</v>
      </c>
      <c r="T2253" s="4" t="e">
        <f t="shared" si="177"/>
        <v>#N/A</v>
      </c>
      <c r="U2253" s="5" t="e">
        <f t="shared" si="178"/>
        <v>#N/A</v>
      </c>
      <c r="V2253" s="23" t="e">
        <f t="shared" si="179"/>
        <v>#N/A</v>
      </c>
    </row>
    <row r="2254" spans="2:22" x14ac:dyDescent="0.25">
      <c r="B2254" s="16">
        <v>1</v>
      </c>
      <c r="C2254" s="7">
        <v>1</v>
      </c>
      <c r="D2254" s="8">
        <v>0</v>
      </c>
      <c r="E2254" s="8">
        <v>1</v>
      </c>
      <c r="F2254" s="8">
        <v>0</v>
      </c>
      <c r="G2254" s="8">
        <v>0</v>
      </c>
      <c r="H2254" s="8">
        <v>1</v>
      </c>
      <c r="I2254" s="8">
        <v>1</v>
      </c>
      <c r="J2254" s="8">
        <v>0</v>
      </c>
      <c r="K2254" s="9">
        <v>0</v>
      </c>
      <c r="L2254" s="10">
        <v>0</v>
      </c>
      <c r="M2254" s="6">
        <v>1</v>
      </c>
      <c r="N2254" s="37" t="e" cm="1">
        <f t="array" ref="N2254">IF(OR(ISNUMBER(FIND(Aux!$D$3:$D$9,_xlfn.TEXTJOIN(,,C2254:K2254)))),NA(),IF(AND(SUM(C2254:F2254,H2254:K2254)=0,G2254=1),0,INT((SUMPRODUCT(C2254:F2254,COLUMN($A$1:$D$1)-1)+SUMPRODUCT(H2254:K2254,COLUMN($E$1:$H$1)-1))*'Line Follower'!$C$3/SUM(C2254:F2254,H2254:K2254)-'Line Follower'!$C$5)))</f>
        <v>#N/A</v>
      </c>
      <c r="O2254" s="22" t="e">
        <v>#N/A</v>
      </c>
      <c r="P2254" s="4" t="e">
        <f t="shared" si="175"/>
        <v>#N/A</v>
      </c>
      <c r="Q2254" s="4" t="e">
        <f t="shared" si="176"/>
        <v>#N/A</v>
      </c>
      <c r="R2254" s="4" t="e">
        <f>IF(AND(B2254=1,N2254&gt;'Line Follower'!$C$7,SUM(C2254:K2254)&lt;4),1,0)</f>
        <v>#N/A</v>
      </c>
      <c r="S2254" s="4" t="e">
        <f>IF(AND(L2254=1,N2254&lt;'Line Follower'!$C$6,SUM(C2254:K2254)&lt;4),1,0)</f>
        <v>#N/A</v>
      </c>
      <c r="T2254" s="4" t="e">
        <f t="shared" si="177"/>
        <v>#N/A</v>
      </c>
      <c r="U2254" s="5" t="e">
        <f t="shared" si="178"/>
        <v>#N/A</v>
      </c>
      <c r="V2254" s="23" t="e">
        <f t="shared" si="179"/>
        <v>#N/A</v>
      </c>
    </row>
    <row r="2255" spans="2:22" x14ac:dyDescent="0.25">
      <c r="B2255" s="16">
        <v>0</v>
      </c>
      <c r="C2255" s="7">
        <v>0</v>
      </c>
      <c r="D2255" s="8">
        <v>1</v>
      </c>
      <c r="E2255" s="8">
        <v>1</v>
      </c>
      <c r="F2255" s="8">
        <v>0</v>
      </c>
      <c r="G2255" s="8">
        <v>0</v>
      </c>
      <c r="H2255" s="8">
        <v>1</v>
      </c>
      <c r="I2255" s="8">
        <v>1</v>
      </c>
      <c r="J2255" s="8">
        <v>0</v>
      </c>
      <c r="K2255" s="9">
        <v>0</v>
      </c>
      <c r="L2255" s="10">
        <v>0</v>
      </c>
      <c r="M2255" s="6">
        <v>1</v>
      </c>
      <c r="N2255" s="37" t="e" cm="1">
        <f t="array" ref="N2255">IF(OR(ISNUMBER(FIND(Aux!$D$3:$D$9,_xlfn.TEXTJOIN(,,C2255:K2255)))),NA(),IF(AND(SUM(C2255:F2255,H2255:K2255)=0,G2255=1),0,INT((SUMPRODUCT(C2255:F2255,COLUMN($A$1:$D$1)-1)+SUMPRODUCT(H2255:K2255,COLUMN($E$1:$H$1)-1))*'Line Follower'!$C$3/SUM(C2255:F2255,H2255:K2255)-'Line Follower'!$C$5)))</f>
        <v>#N/A</v>
      </c>
      <c r="O2255" s="22" t="e">
        <v>#N/A</v>
      </c>
      <c r="P2255" s="4" t="e">
        <f t="shared" si="175"/>
        <v>#N/A</v>
      </c>
      <c r="Q2255" s="4" t="e">
        <f t="shared" si="176"/>
        <v>#N/A</v>
      </c>
      <c r="R2255" s="4" t="e">
        <f>IF(AND(B2255=1,N2255&gt;'Line Follower'!$C$7,SUM(C2255:K2255)&lt;4),1,0)</f>
        <v>#N/A</v>
      </c>
      <c r="S2255" s="4" t="e">
        <f>IF(AND(L2255=1,N2255&lt;'Line Follower'!$C$6,SUM(C2255:K2255)&lt;4),1,0)</f>
        <v>#N/A</v>
      </c>
      <c r="T2255" s="4" t="e">
        <f t="shared" si="177"/>
        <v>#N/A</v>
      </c>
      <c r="U2255" s="5" t="e">
        <f t="shared" si="178"/>
        <v>#N/A</v>
      </c>
      <c r="V2255" s="23" t="e">
        <f t="shared" si="179"/>
        <v>#N/A</v>
      </c>
    </row>
    <row r="2256" spans="2:22" x14ac:dyDescent="0.25">
      <c r="B2256" s="16">
        <v>1</v>
      </c>
      <c r="C2256" s="7">
        <v>0</v>
      </c>
      <c r="D2256" s="8">
        <v>1</v>
      </c>
      <c r="E2256" s="8">
        <v>1</v>
      </c>
      <c r="F2256" s="8">
        <v>0</v>
      </c>
      <c r="G2256" s="8">
        <v>0</v>
      </c>
      <c r="H2256" s="8">
        <v>1</v>
      </c>
      <c r="I2256" s="8">
        <v>1</v>
      </c>
      <c r="J2256" s="8">
        <v>0</v>
      </c>
      <c r="K2256" s="9">
        <v>0</v>
      </c>
      <c r="L2256" s="10">
        <v>0</v>
      </c>
      <c r="M2256" s="6">
        <v>1</v>
      </c>
      <c r="N2256" s="37" t="e" cm="1">
        <f t="array" ref="N2256">IF(OR(ISNUMBER(FIND(Aux!$D$3:$D$9,_xlfn.TEXTJOIN(,,C2256:K2256)))),NA(),IF(AND(SUM(C2256:F2256,H2256:K2256)=0,G2256=1),0,INT((SUMPRODUCT(C2256:F2256,COLUMN($A$1:$D$1)-1)+SUMPRODUCT(H2256:K2256,COLUMN($E$1:$H$1)-1))*'Line Follower'!$C$3/SUM(C2256:F2256,H2256:K2256)-'Line Follower'!$C$5)))</f>
        <v>#N/A</v>
      </c>
      <c r="O2256" s="22" t="e">
        <v>#N/A</v>
      </c>
      <c r="P2256" s="4" t="e">
        <f t="shared" si="175"/>
        <v>#N/A</v>
      </c>
      <c r="Q2256" s="4" t="e">
        <f t="shared" si="176"/>
        <v>#N/A</v>
      </c>
      <c r="R2256" s="4" t="e">
        <f>IF(AND(B2256=1,N2256&gt;'Line Follower'!$C$7,SUM(C2256:K2256)&lt;4),1,0)</f>
        <v>#N/A</v>
      </c>
      <c r="S2256" s="4" t="e">
        <f>IF(AND(L2256=1,N2256&lt;'Line Follower'!$C$6,SUM(C2256:K2256)&lt;4),1,0)</f>
        <v>#N/A</v>
      </c>
      <c r="T2256" s="4" t="e">
        <f t="shared" si="177"/>
        <v>#N/A</v>
      </c>
      <c r="U2256" s="5" t="e">
        <f t="shared" si="178"/>
        <v>#N/A</v>
      </c>
      <c r="V2256" s="23" t="e">
        <f t="shared" si="179"/>
        <v>#N/A</v>
      </c>
    </row>
    <row r="2257" spans="2:22" x14ac:dyDescent="0.25">
      <c r="B2257" s="16">
        <v>0</v>
      </c>
      <c r="C2257" s="7">
        <v>1</v>
      </c>
      <c r="D2257" s="8">
        <v>1</v>
      </c>
      <c r="E2257" s="8">
        <v>1</v>
      </c>
      <c r="F2257" s="8">
        <v>0</v>
      </c>
      <c r="G2257" s="8">
        <v>0</v>
      </c>
      <c r="H2257" s="8">
        <v>1</v>
      </c>
      <c r="I2257" s="8">
        <v>1</v>
      </c>
      <c r="J2257" s="8">
        <v>0</v>
      </c>
      <c r="K2257" s="9">
        <v>0</v>
      </c>
      <c r="L2257" s="10">
        <v>0</v>
      </c>
      <c r="M2257" s="6">
        <v>1</v>
      </c>
      <c r="N2257" s="37" t="e" cm="1">
        <f t="array" ref="N2257">IF(OR(ISNUMBER(FIND(Aux!$D$3:$D$9,_xlfn.TEXTJOIN(,,C2257:K2257)))),NA(),IF(AND(SUM(C2257:F2257,H2257:K2257)=0,G2257=1),0,INT((SUMPRODUCT(C2257:F2257,COLUMN($A$1:$D$1)-1)+SUMPRODUCT(H2257:K2257,COLUMN($E$1:$H$1)-1))*'Line Follower'!$C$3/SUM(C2257:F2257,H2257:K2257)-'Line Follower'!$C$5)))</f>
        <v>#N/A</v>
      </c>
      <c r="O2257" s="22" t="e">
        <v>#N/A</v>
      </c>
      <c r="P2257" s="4" t="e">
        <f t="shared" si="175"/>
        <v>#N/A</v>
      </c>
      <c r="Q2257" s="4" t="e">
        <f t="shared" si="176"/>
        <v>#N/A</v>
      </c>
      <c r="R2257" s="4" t="e">
        <f>IF(AND(B2257=1,N2257&gt;'Line Follower'!$C$7,SUM(C2257:K2257)&lt;4),1,0)</f>
        <v>#N/A</v>
      </c>
      <c r="S2257" s="4" t="e">
        <f>IF(AND(L2257=1,N2257&lt;'Line Follower'!$C$6,SUM(C2257:K2257)&lt;4),1,0)</f>
        <v>#N/A</v>
      </c>
      <c r="T2257" s="4" t="e">
        <f t="shared" si="177"/>
        <v>#N/A</v>
      </c>
      <c r="U2257" s="5" t="e">
        <f t="shared" si="178"/>
        <v>#N/A</v>
      </c>
      <c r="V2257" s="23" t="e">
        <f t="shared" si="179"/>
        <v>#N/A</v>
      </c>
    </row>
    <row r="2258" spans="2:22" x14ac:dyDescent="0.25">
      <c r="B2258" s="16">
        <v>1</v>
      </c>
      <c r="C2258" s="7">
        <v>1</v>
      </c>
      <c r="D2258" s="8">
        <v>1</v>
      </c>
      <c r="E2258" s="8">
        <v>1</v>
      </c>
      <c r="F2258" s="8">
        <v>0</v>
      </c>
      <c r="G2258" s="8">
        <v>0</v>
      </c>
      <c r="H2258" s="8">
        <v>1</v>
      </c>
      <c r="I2258" s="8">
        <v>1</v>
      </c>
      <c r="J2258" s="8">
        <v>0</v>
      </c>
      <c r="K2258" s="9">
        <v>0</v>
      </c>
      <c r="L2258" s="10">
        <v>0</v>
      </c>
      <c r="M2258" s="6">
        <v>1</v>
      </c>
      <c r="N2258" s="37" t="e" cm="1">
        <f t="array" ref="N2258">IF(OR(ISNUMBER(FIND(Aux!$D$3:$D$9,_xlfn.TEXTJOIN(,,C2258:K2258)))),NA(),IF(AND(SUM(C2258:F2258,H2258:K2258)=0,G2258=1),0,INT((SUMPRODUCT(C2258:F2258,COLUMN($A$1:$D$1)-1)+SUMPRODUCT(H2258:K2258,COLUMN($E$1:$H$1)-1))*'Line Follower'!$C$3/SUM(C2258:F2258,H2258:K2258)-'Line Follower'!$C$5)))</f>
        <v>#N/A</v>
      </c>
      <c r="O2258" s="22" t="e">
        <v>#N/A</v>
      </c>
      <c r="P2258" s="4" t="e">
        <f t="shared" si="175"/>
        <v>#N/A</v>
      </c>
      <c r="Q2258" s="4" t="e">
        <f t="shared" si="176"/>
        <v>#N/A</v>
      </c>
      <c r="R2258" s="4" t="e">
        <f>IF(AND(B2258=1,N2258&gt;'Line Follower'!$C$7,SUM(C2258:K2258)&lt;4),1,0)</f>
        <v>#N/A</v>
      </c>
      <c r="S2258" s="4" t="e">
        <f>IF(AND(L2258=1,N2258&lt;'Line Follower'!$C$6,SUM(C2258:K2258)&lt;4),1,0)</f>
        <v>#N/A</v>
      </c>
      <c r="T2258" s="4" t="e">
        <f t="shared" si="177"/>
        <v>#N/A</v>
      </c>
      <c r="U2258" s="5" t="e">
        <f t="shared" si="178"/>
        <v>#N/A</v>
      </c>
      <c r="V2258" s="23" t="e">
        <f t="shared" si="179"/>
        <v>#N/A</v>
      </c>
    </row>
    <row r="2259" spans="2:22" x14ac:dyDescent="0.25">
      <c r="B2259" s="16">
        <v>0</v>
      </c>
      <c r="C2259" s="7">
        <v>0</v>
      </c>
      <c r="D2259" s="8">
        <v>0</v>
      </c>
      <c r="E2259" s="8">
        <v>0</v>
      </c>
      <c r="F2259" s="8">
        <v>1</v>
      </c>
      <c r="G2259" s="8">
        <v>0</v>
      </c>
      <c r="H2259" s="8">
        <v>1</v>
      </c>
      <c r="I2259" s="8">
        <v>1</v>
      </c>
      <c r="J2259" s="8">
        <v>0</v>
      </c>
      <c r="K2259" s="9">
        <v>0</v>
      </c>
      <c r="L2259" s="10">
        <v>0</v>
      </c>
      <c r="M2259" s="6">
        <v>1</v>
      </c>
      <c r="N2259" s="37" t="e" cm="1">
        <f t="array" ref="N2259">IF(OR(ISNUMBER(FIND(Aux!$D$3:$D$9,_xlfn.TEXTJOIN(,,C2259:K2259)))),NA(),IF(AND(SUM(C2259:F2259,H2259:K2259)=0,G2259=1),0,INT((SUMPRODUCT(C2259:F2259,COLUMN($A$1:$D$1)-1)+SUMPRODUCT(H2259:K2259,COLUMN($E$1:$H$1)-1))*'Line Follower'!$C$3/SUM(C2259:F2259,H2259:K2259)-'Line Follower'!$C$5)))</f>
        <v>#N/A</v>
      </c>
      <c r="O2259" s="22" t="e">
        <v>#N/A</v>
      </c>
      <c r="P2259" s="4" t="e">
        <f t="shared" si="175"/>
        <v>#N/A</v>
      </c>
      <c r="Q2259" s="4" t="e">
        <f t="shared" si="176"/>
        <v>#N/A</v>
      </c>
      <c r="R2259" s="4" t="e">
        <f>IF(AND(B2259=1,N2259&gt;'Line Follower'!$C$7,SUM(C2259:K2259)&lt;4),1,0)</f>
        <v>#N/A</v>
      </c>
      <c r="S2259" s="4" t="e">
        <f>IF(AND(L2259=1,N2259&lt;'Line Follower'!$C$6,SUM(C2259:K2259)&lt;4),1,0)</f>
        <v>#N/A</v>
      </c>
      <c r="T2259" s="4" t="e">
        <f t="shared" si="177"/>
        <v>#N/A</v>
      </c>
      <c r="U2259" s="5" t="e">
        <f t="shared" si="178"/>
        <v>#N/A</v>
      </c>
      <c r="V2259" s="23" t="e">
        <f t="shared" si="179"/>
        <v>#N/A</v>
      </c>
    </row>
    <row r="2260" spans="2:22" x14ac:dyDescent="0.25">
      <c r="B2260" s="16">
        <v>1</v>
      </c>
      <c r="C2260" s="7">
        <v>0</v>
      </c>
      <c r="D2260" s="8">
        <v>0</v>
      </c>
      <c r="E2260" s="8">
        <v>0</v>
      </c>
      <c r="F2260" s="8">
        <v>1</v>
      </c>
      <c r="G2260" s="8">
        <v>0</v>
      </c>
      <c r="H2260" s="8">
        <v>1</v>
      </c>
      <c r="I2260" s="8">
        <v>1</v>
      </c>
      <c r="J2260" s="8">
        <v>0</v>
      </c>
      <c r="K2260" s="9">
        <v>0</v>
      </c>
      <c r="L2260" s="10">
        <v>0</v>
      </c>
      <c r="M2260" s="6">
        <v>1</v>
      </c>
      <c r="N2260" s="37" t="e" cm="1">
        <f t="array" ref="N2260">IF(OR(ISNUMBER(FIND(Aux!$D$3:$D$9,_xlfn.TEXTJOIN(,,C2260:K2260)))),NA(),IF(AND(SUM(C2260:F2260,H2260:K2260)=0,G2260=1),0,INT((SUMPRODUCT(C2260:F2260,COLUMN($A$1:$D$1)-1)+SUMPRODUCT(H2260:K2260,COLUMN($E$1:$H$1)-1))*'Line Follower'!$C$3/SUM(C2260:F2260,H2260:K2260)-'Line Follower'!$C$5)))</f>
        <v>#N/A</v>
      </c>
      <c r="O2260" s="22" t="e">
        <v>#N/A</v>
      </c>
      <c r="P2260" s="4" t="e">
        <f t="shared" si="175"/>
        <v>#N/A</v>
      </c>
      <c r="Q2260" s="4" t="e">
        <f t="shared" si="176"/>
        <v>#N/A</v>
      </c>
      <c r="R2260" s="4" t="e">
        <f>IF(AND(B2260=1,N2260&gt;'Line Follower'!$C$7,SUM(C2260:K2260)&lt;4),1,0)</f>
        <v>#N/A</v>
      </c>
      <c r="S2260" s="4" t="e">
        <f>IF(AND(L2260=1,N2260&lt;'Line Follower'!$C$6,SUM(C2260:K2260)&lt;4),1,0)</f>
        <v>#N/A</v>
      </c>
      <c r="T2260" s="4" t="e">
        <f t="shared" si="177"/>
        <v>#N/A</v>
      </c>
      <c r="U2260" s="5" t="e">
        <f t="shared" si="178"/>
        <v>#N/A</v>
      </c>
      <c r="V2260" s="23" t="e">
        <f t="shared" si="179"/>
        <v>#N/A</v>
      </c>
    </row>
    <row r="2261" spans="2:22" x14ac:dyDescent="0.25">
      <c r="B2261" s="16">
        <v>0</v>
      </c>
      <c r="C2261" s="7">
        <v>1</v>
      </c>
      <c r="D2261" s="8">
        <v>0</v>
      </c>
      <c r="E2261" s="8">
        <v>0</v>
      </c>
      <c r="F2261" s="8">
        <v>1</v>
      </c>
      <c r="G2261" s="8">
        <v>0</v>
      </c>
      <c r="H2261" s="8">
        <v>1</v>
      </c>
      <c r="I2261" s="8">
        <v>1</v>
      </c>
      <c r="J2261" s="8">
        <v>0</v>
      </c>
      <c r="K2261" s="9">
        <v>0</v>
      </c>
      <c r="L2261" s="10">
        <v>0</v>
      </c>
      <c r="M2261" s="6">
        <v>1</v>
      </c>
      <c r="N2261" s="37" t="e" cm="1">
        <f t="array" ref="N2261">IF(OR(ISNUMBER(FIND(Aux!$D$3:$D$9,_xlfn.TEXTJOIN(,,C2261:K2261)))),NA(),IF(AND(SUM(C2261:F2261,H2261:K2261)=0,G2261=1),0,INT((SUMPRODUCT(C2261:F2261,COLUMN($A$1:$D$1)-1)+SUMPRODUCT(H2261:K2261,COLUMN($E$1:$H$1)-1))*'Line Follower'!$C$3/SUM(C2261:F2261,H2261:K2261)-'Line Follower'!$C$5)))</f>
        <v>#N/A</v>
      </c>
      <c r="O2261" s="22" t="e">
        <v>#N/A</v>
      </c>
      <c r="P2261" s="4" t="e">
        <f t="shared" si="175"/>
        <v>#N/A</v>
      </c>
      <c r="Q2261" s="4" t="e">
        <f t="shared" si="176"/>
        <v>#N/A</v>
      </c>
      <c r="R2261" s="4" t="e">
        <f>IF(AND(B2261=1,N2261&gt;'Line Follower'!$C$7,SUM(C2261:K2261)&lt;4),1,0)</f>
        <v>#N/A</v>
      </c>
      <c r="S2261" s="4" t="e">
        <f>IF(AND(L2261=1,N2261&lt;'Line Follower'!$C$6,SUM(C2261:K2261)&lt;4),1,0)</f>
        <v>#N/A</v>
      </c>
      <c r="T2261" s="4" t="e">
        <f t="shared" si="177"/>
        <v>#N/A</v>
      </c>
      <c r="U2261" s="5" t="e">
        <f t="shared" si="178"/>
        <v>#N/A</v>
      </c>
      <c r="V2261" s="23" t="e">
        <f t="shared" si="179"/>
        <v>#N/A</v>
      </c>
    </row>
    <row r="2262" spans="2:22" x14ac:dyDescent="0.25">
      <c r="B2262" s="16">
        <v>1</v>
      </c>
      <c r="C2262" s="7">
        <v>1</v>
      </c>
      <c r="D2262" s="8">
        <v>0</v>
      </c>
      <c r="E2262" s="8">
        <v>0</v>
      </c>
      <c r="F2262" s="8">
        <v>1</v>
      </c>
      <c r="G2262" s="8">
        <v>0</v>
      </c>
      <c r="H2262" s="8">
        <v>1</v>
      </c>
      <c r="I2262" s="8">
        <v>1</v>
      </c>
      <c r="J2262" s="8">
        <v>0</v>
      </c>
      <c r="K2262" s="9">
        <v>0</v>
      </c>
      <c r="L2262" s="10">
        <v>0</v>
      </c>
      <c r="M2262" s="6">
        <v>1</v>
      </c>
      <c r="N2262" s="37" t="e" cm="1">
        <f t="array" ref="N2262">IF(OR(ISNUMBER(FIND(Aux!$D$3:$D$9,_xlfn.TEXTJOIN(,,C2262:K2262)))),NA(),IF(AND(SUM(C2262:F2262,H2262:K2262)=0,G2262=1),0,INT((SUMPRODUCT(C2262:F2262,COLUMN($A$1:$D$1)-1)+SUMPRODUCT(H2262:K2262,COLUMN($E$1:$H$1)-1))*'Line Follower'!$C$3/SUM(C2262:F2262,H2262:K2262)-'Line Follower'!$C$5)))</f>
        <v>#N/A</v>
      </c>
      <c r="O2262" s="22" t="e">
        <v>#N/A</v>
      </c>
      <c r="P2262" s="4" t="e">
        <f t="shared" si="175"/>
        <v>#N/A</v>
      </c>
      <c r="Q2262" s="4" t="e">
        <f t="shared" si="176"/>
        <v>#N/A</v>
      </c>
      <c r="R2262" s="4" t="e">
        <f>IF(AND(B2262=1,N2262&gt;'Line Follower'!$C$7,SUM(C2262:K2262)&lt;4),1,0)</f>
        <v>#N/A</v>
      </c>
      <c r="S2262" s="4" t="e">
        <f>IF(AND(L2262=1,N2262&lt;'Line Follower'!$C$6,SUM(C2262:K2262)&lt;4),1,0)</f>
        <v>#N/A</v>
      </c>
      <c r="T2262" s="4" t="e">
        <f t="shared" si="177"/>
        <v>#N/A</v>
      </c>
      <c r="U2262" s="5" t="e">
        <f t="shared" si="178"/>
        <v>#N/A</v>
      </c>
      <c r="V2262" s="23" t="e">
        <f t="shared" si="179"/>
        <v>#N/A</v>
      </c>
    </row>
    <row r="2263" spans="2:22" x14ac:dyDescent="0.25">
      <c r="B2263" s="16">
        <v>0</v>
      </c>
      <c r="C2263" s="7">
        <v>0</v>
      </c>
      <c r="D2263" s="8">
        <v>1</v>
      </c>
      <c r="E2263" s="8">
        <v>0</v>
      </c>
      <c r="F2263" s="8">
        <v>1</v>
      </c>
      <c r="G2263" s="8">
        <v>0</v>
      </c>
      <c r="H2263" s="8">
        <v>1</v>
      </c>
      <c r="I2263" s="8">
        <v>1</v>
      </c>
      <c r="J2263" s="8">
        <v>0</v>
      </c>
      <c r="K2263" s="9">
        <v>0</v>
      </c>
      <c r="L2263" s="10">
        <v>0</v>
      </c>
      <c r="M2263" s="6">
        <v>1</v>
      </c>
      <c r="N2263" s="37" t="e" cm="1">
        <f t="array" ref="N2263">IF(OR(ISNUMBER(FIND(Aux!$D$3:$D$9,_xlfn.TEXTJOIN(,,C2263:K2263)))),NA(),IF(AND(SUM(C2263:F2263,H2263:K2263)=0,G2263=1),0,INT((SUMPRODUCT(C2263:F2263,COLUMN($A$1:$D$1)-1)+SUMPRODUCT(H2263:K2263,COLUMN($E$1:$H$1)-1))*'Line Follower'!$C$3/SUM(C2263:F2263,H2263:K2263)-'Line Follower'!$C$5)))</f>
        <v>#N/A</v>
      </c>
      <c r="O2263" s="22" t="e">
        <v>#N/A</v>
      </c>
      <c r="P2263" s="4" t="e">
        <f t="shared" si="175"/>
        <v>#N/A</v>
      </c>
      <c r="Q2263" s="4" t="e">
        <f t="shared" si="176"/>
        <v>#N/A</v>
      </c>
      <c r="R2263" s="4" t="e">
        <f>IF(AND(B2263=1,N2263&gt;'Line Follower'!$C$7,SUM(C2263:K2263)&lt;4),1,0)</f>
        <v>#N/A</v>
      </c>
      <c r="S2263" s="4" t="e">
        <f>IF(AND(L2263=1,N2263&lt;'Line Follower'!$C$6,SUM(C2263:K2263)&lt;4),1,0)</f>
        <v>#N/A</v>
      </c>
      <c r="T2263" s="4" t="e">
        <f t="shared" si="177"/>
        <v>#N/A</v>
      </c>
      <c r="U2263" s="5" t="e">
        <f t="shared" si="178"/>
        <v>#N/A</v>
      </c>
      <c r="V2263" s="23" t="e">
        <f t="shared" si="179"/>
        <v>#N/A</v>
      </c>
    </row>
    <row r="2264" spans="2:22" x14ac:dyDescent="0.25">
      <c r="B2264" s="16">
        <v>1</v>
      </c>
      <c r="C2264" s="7">
        <v>0</v>
      </c>
      <c r="D2264" s="8">
        <v>1</v>
      </c>
      <c r="E2264" s="8">
        <v>0</v>
      </c>
      <c r="F2264" s="8">
        <v>1</v>
      </c>
      <c r="G2264" s="8">
        <v>0</v>
      </c>
      <c r="H2264" s="8">
        <v>1</v>
      </c>
      <c r="I2264" s="8">
        <v>1</v>
      </c>
      <c r="J2264" s="8">
        <v>0</v>
      </c>
      <c r="K2264" s="9">
        <v>0</v>
      </c>
      <c r="L2264" s="10">
        <v>0</v>
      </c>
      <c r="M2264" s="6">
        <v>1</v>
      </c>
      <c r="N2264" s="37" t="e" cm="1">
        <f t="array" ref="N2264">IF(OR(ISNUMBER(FIND(Aux!$D$3:$D$9,_xlfn.TEXTJOIN(,,C2264:K2264)))),NA(),IF(AND(SUM(C2264:F2264,H2264:K2264)=0,G2264=1),0,INT((SUMPRODUCT(C2264:F2264,COLUMN($A$1:$D$1)-1)+SUMPRODUCT(H2264:K2264,COLUMN($E$1:$H$1)-1))*'Line Follower'!$C$3/SUM(C2264:F2264,H2264:K2264)-'Line Follower'!$C$5)))</f>
        <v>#N/A</v>
      </c>
      <c r="O2264" s="22" t="e">
        <v>#N/A</v>
      </c>
      <c r="P2264" s="4" t="e">
        <f t="shared" si="175"/>
        <v>#N/A</v>
      </c>
      <c r="Q2264" s="4" t="e">
        <f t="shared" si="176"/>
        <v>#N/A</v>
      </c>
      <c r="R2264" s="4" t="e">
        <f>IF(AND(B2264=1,N2264&gt;'Line Follower'!$C$7,SUM(C2264:K2264)&lt;4),1,0)</f>
        <v>#N/A</v>
      </c>
      <c r="S2264" s="4" t="e">
        <f>IF(AND(L2264=1,N2264&lt;'Line Follower'!$C$6,SUM(C2264:K2264)&lt;4),1,0)</f>
        <v>#N/A</v>
      </c>
      <c r="T2264" s="4" t="e">
        <f t="shared" si="177"/>
        <v>#N/A</v>
      </c>
      <c r="U2264" s="5" t="e">
        <f t="shared" si="178"/>
        <v>#N/A</v>
      </c>
      <c r="V2264" s="23" t="e">
        <f t="shared" si="179"/>
        <v>#N/A</v>
      </c>
    </row>
    <row r="2265" spans="2:22" x14ac:dyDescent="0.25">
      <c r="B2265" s="16">
        <v>0</v>
      </c>
      <c r="C2265" s="7">
        <v>1</v>
      </c>
      <c r="D2265" s="8">
        <v>1</v>
      </c>
      <c r="E2265" s="8">
        <v>0</v>
      </c>
      <c r="F2265" s="8">
        <v>1</v>
      </c>
      <c r="G2265" s="8">
        <v>0</v>
      </c>
      <c r="H2265" s="8">
        <v>1</v>
      </c>
      <c r="I2265" s="8">
        <v>1</v>
      </c>
      <c r="J2265" s="8">
        <v>0</v>
      </c>
      <c r="K2265" s="9">
        <v>0</v>
      </c>
      <c r="L2265" s="10">
        <v>0</v>
      </c>
      <c r="M2265" s="6">
        <v>1</v>
      </c>
      <c r="N2265" s="37" t="e" cm="1">
        <f t="array" ref="N2265">IF(OR(ISNUMBER(FIND(Aux!$D$3:$D$9,_xlfn.TEXTJOIN(,,C2265:K2265)))),NA(),IF(AND(SUM(C2265:F2265,H2265:K2265)=0,G2265=1),0,INT((SUMPRODUCT(C2265:F2265,COLUMN($A$1:$D$1)-1)+SUMPRODUCT(H2265:K2265,COLUMN($E$1:$H$1)-1))*'Line Follower'!$C$3/SUM(C2265:F2265,H2265:K2265)-'Line Follower'!$C$5)))</f>
        <v>#N/A</v>
      </c>
      <c r="O2265" s="22" t="e">
        <v>#N/A</v>
      </c>
      <c r="P2265" s="4" t="e">
        <f t="shared" si="175"/>
        <v>#N/A</v>
      </c>
      <c r="Q2265" s="4" t="e">
        <f t="shared" si="176"/>
        <v>#N/A</v>
      </c>
      <c r="R2265" s="4" t="e">
        <f>IF(AND(B2265=1,N2265&gt;'Line Follower'!$C$7,SUM(C2265:K2265)&lt;4),1,0)</f>
        <v>#N/A</v>
      </c>
      <c r="S2265" s="4" t="e">
        <f>IF(AND(L2265=1,N2265&lt;'Line Follower'!$C$6,SUM(C2265:K2265)&lt;4),1,0)</f>
        <v>#N/A</v>
      </c>
      <c r="T2265" s="4" t="e">
        <f t="shared" si="177"/>
        <v>#N/A</v>
      </c>
      <c r="U2265" s="5" t="e">
        <f t="shared" si="178"/>
        <v>#N/A</v>
      </c>
      <c r="V2265" s="23" t="e">
        <f t="shared" si="179"/>
        <v>#N/A</v>
      </c>
    </row>
    <row r="2266" spans="2:22" x14ac:dyDescent="0.25">
      <c r="B2266" s="16">
        <v>1</v>
      </c>
      <c r="C2266" s="7">
        <v>1</v>
      </c>
      <c r="D2266" s="8">
        <v>1</v>
      </c>
      <c r="E2266" s="8">
        <v>0</v>
      </c>
      <c r="F2266" s="8">
        <v>1</v>
      </c>
      <c r="G2266" s="8">
        <v>0</v>
      </c>
      <c r="H2266" s="8">
        <v>1</v>
      </c>
      <c r="I2266" s="8">
        <v>1</v>
      </c>
      <c r="J2266" s="8">
        <v>0</v>
      </c>
      <c r="K2266" s="9">
        <v>0</v>
      </c>
      <c r="L2266" s="10">
        <v>0</v>
      </c>
      <c r="M2266" s="6">
        <v>1</v>
      </c>
      <c r="N2266" s="37" t="e" cm="1">
        <f t="array" ref="N2266">IF(OR(ISNUMBER(FIND(Aux!$D$3:$D$9,_xlfn.TEXTJOIN(,,C2266:K2266)))),NA(),IF(AND(SUM(C2266:F2266,H2266:K2266)=0,G2266=1),0,INT((SUMPRODUCT(C2266:F2266,COLUMN($A$1:$D$1)-1)+SUMPRODUCT(H2266:K2266,COLUMN($E$1:$H$1)-1))*'Line Follower'!$C$3/SUM(C2266:F2266,H2266:K2266)-'Line Follower'!$C$5)))</f>
        <v>#N/A</v>
      </c>
      <c r="O2266" s="22" t="e">
        <v>#N/A</v>
      </c>
      <c r="P2266" s="4" t="e">
        <f t="shared" si="175"/>
        <v>#N/A</v>
      </c>
      <c r="Q2266" s="4" t="e">
        <f t="shared" si="176"/>
        <v>#N/A</v>
      </c>
      <c r="R2266" s="4" t="e">
        <f>IF(AND(B2266=1,N2266&gt;'Line Follower'!$C$7,SUM(C2266:K2266)&lt;4),1,0)</f>
        <v>#N/A</v>
      </c>
      <c r="S2266" s="4" t="e">
        <f>IF(AND(L2266=1,N2266&lt;'Line Follower'!$C$6,SUM(C2266:K2266)&lt;4),1,0)</f>
        <v>#N/A</v>
      </c>
      <c r="T2266" s="4" t="e">
        <f t="shared" si="177"/>
        <v>#N/A</v>
      </c>
      <c r="U2266" s="5" t="e">
        <f t="shared" si="178"/>
        <v>#N/A</v>
      </c>
      <c r="V2266" s="23" t="e">
        <f t="shared" si="179"/>
        <v>#N/A</v>
      </c>
    </row>
    <row r="2267" spans="2:22" x14ac:dyDescent="0.25">
      <c r="B2267" s="16">
        <v>0</v>
      </c>
      <c r="C2267" s="7">
        <v>0</v>
      </c>
      <c r="D2267" s="8">
        <v>0</v>
      </c>
      <c r="E2267" s="8">
        <v>1</v>
      </c>
      <c r="F2267" s="8">
        <v>1</v>
      </c>
      <c r="G2267" s="8">
        <v>0</v>
      </c>
      <c r="H2267" s="8">
        <v>1</v>
      </c>
      <c r="I2267" s="8">
        <v>1</v>
      </c>
      <c r="J2267" s="8">
        <v>0</v>
      </c>
      <c r="K2267" s="9">
        <v>0</v>
      </c>
      <c r="L2267" s="10">
        <v>0</v>
      </c>
      <c r="M2267" s="6">
        <v>1</v>
      </c>
      <c r="N2267" s="37" t="e" cm="1">
        <f t="array" ref="N2267">IF(OR(ISNUMBER(FIND(Aux!$D$3:$D$9,_xlfn.TEXTJOIN(,,C2267:K2267)))),NA(),IF(AND(SUM(C2267:F2267,H2267:K2267)=0,G2267=1),0,INT((SUMPRODUCT(C2267:F2267,COLUMN($A$1:$D$1)-1)+SUMPRODUCT(H2267:K2267,COLUMN($E$1:$H$1)-1))*'Line Follower'!$C$3/SUM(C2267:F2267,H2267:K2267)-'Line Follower'!$C$5)))</f>
        <v>#N/A</v>
      </c>
      <c r="O2267" s="22" t="e">
        <v>#N/A</v>
      </c>
      <c r="P2267" s="4" t="e">
        <f t="shared" si="175"/>
        <v>#N/A</v>
      </c>
      <c r="Q2267" s="4" t="e">
        <f t="shared" si="176"/>
        <v>#N/A</v>
      </c>
      <c r="R2267" s="4" t="e">
        <f>IF(AND(B2267=1,N2267&gt;'Line Follower'!$C$7,SUM(C2267:K2267)&lt;4),1,0)</f>
        <v>#N/A</v>
      </c>
      <c r="S2267" s="4" t="e">
        <f>IF(AND(L2267=1,N2267&lt;'Line Follower'!$C$6,SUM(C2267:K2267)&lt;4),1,0)</f>
        <v>#N/A</v>
      </c>
      <c r="T2267" s="4" t="e">
        <f t="shared" si="177"/>
        <v>#N/A</v>
      </c>
      <c r="U2267" s="5" t="e">
        <f t="shared" si="178"/>
        <v>#N/A</v>
      </c>
      <c r="V2267" s="23" t="e">
        <f t="shared" si="179"/>
        <v>#N/A</v>
      </c>
    </row>
    <row r="2268" spans="2:22" x14ac:dyDescent="0.25">
      <c r="B2268" s="16">
        <v>1</v>
      </c>
      <c r="C2268" s="7">
        <v>0</v>
      </c>
      <c r="D2268" s="8">
        <v>0</v>
      </c>
      <c r="E2268" s="8">
        <v>1</v>
      </c>
      <c r="F2268" s="8">
        <v>1</v>
      </c>
      <c r="G2268" s="8">
        <v>0</v>
      </c>
      <c r="H2268" s="8">
        <v>1</v>
      </c>
      <c r="I2268" s="8">
        <v>1</v>
      </c>
      <c r="J2268" s="8">
        <v>0</v>
      </c>
      <c r="K2268" s="9">
        <v>0</v>
      </c>
      <c r="L2268" s="10">
        <v>0</v>
      </c>
      <c r="M2268" s="6">
        <v>1</v>
      </c>
      <c r="N2268" s="37" t="e" cm="1">
        <f t="array" ref="N2268">IF(OR(ISNUMBER(FIND(Aux!$D$3:$D$9,_xlfn.TEXTJOIN(,,C2268:K2268)))),NA(),IF(AND(SUM(C2268:F2268,H2268:K2268)=0,G2268=1),0,INT((SUMPRODUCT(C2268:F2268,COLUMN($A$1:$D$1)-1)+SUMPRODUCT(H2268:K2268,COLUMN($E$1:$H$1)-1))*'Line Follower'!$C$3/SUM(C2268:F2268,H2268:K2268)-'Line Follower'!$C$5)))</f>
        <v>#N/A</v>
      </c>
      <c r="O2268" s="22" t="e">
        <v>#N/A</v>
      </c>
      <c r="P2268" s="4" t="e">
        <f t="shared" si="175"/>
        <v>#N/A</v>
      </c>
      <c r="Q2268" s="4" t="e">
        <f t="shared" si="176"/>
        <v>#N/A</v>
      </c>
      <c r="R2268" s="4" t="e">
        <f>IF(AND(B2268=1,N2268&gt;'Line Follower'!$C$7,SUM(C2268:K2268)&lt;4),1,0)</f>
        <v>#N/A</v>
      </c>
      <c r="S2268" s="4" t="e">
        <f>IF(AND(L2268=1,N2268&lt;'Line Follower'!$C$6,SUM(C2268:K2268)&lt;4),1,0)</f>
        <v>#N/A</v>
      </c>
      <c r="T2268" s="4" t="e">
        <f t="shared" si="177"/>
        <v>#N/A</v>
      </c>
      <c r="U2268" s="5" t="e">
        <f t="shared" si="178"/>
        <v>#N/A</v>
      </c>
      <c r="V2268" s="23" t="e">
        <f t="shared" si="179"/>
        <v>#N/A</v>
      </c>
    </row>
    <row r="2269" spans="2:22" x14ac:dyDescent="0.25">
      <c r="B2269" s="16">
        <v>0</v>
      </c>
      <c r="C2269" s="7">
        <v>1</v>
      </c>
      <c r="D2269" s="8">
        <v>0</v>
      </c>
      <c r="E2269" s="8">
        <v>1</v>
      </c>
      <c r="F2269" s="8">
        <v>1</v>
      </c>
      <c r="G2269" s="8">
        <v>0</v>
      </c>
      <c r="H2269" s="8">
        <v>1</v>
      </c>
      <c r="I2269" s="8">
        <v>1</v>
      </c>
      <c r="J2269" s="8">
        <v>0</v>
      </c>
      <c r="K2269" s="9">
        <v>0</v>
      </c>
      <c r="L2269" s="10">
        <v>0</v>
      </c>
      <c r="M2269" s="6">
        <v>1</v>
      </c>
      <c r="N2269" s="37" t="e" cm="1">
        <f t="array" ref="N2269">IF(OR(ISNUMBER(FIND(Aux!$D$3:$D$9,_xlfn.TEXTJOIN(,,C2269:K2269)))),NA(),IF(AND(SUM(C2269:F2269,H2269:K2269)=0,G2269=1),0,INT((SUMPRODUCT(C2269:F2269,COLUMN($A$1:$D$1)-1)+SUMPRODUCT(H2269:K2269,COLUMN($E$1:$H$1)-1))*'Line Follower'!$C$3/SUM(C2269:F2269,H2269:K2269)-'Line Follower'!$C$5)))</f>
        <v>#N/A</v>
      </c>
      <c r="O2269" s="22" t="e">
        <v>#N/A</v>
      </c>
      <c r="P2269" s="4" t="e">
        <f t="shared" si="175"/>
        <v>#N/A</v>
      </c>
      <c r="Q2269" s="4" t="e">
        <f t="shared" si="176"/>
        <v>#N/A</v>
      </c>
      <c r="R2269" s="4" t="e">
        <f>IF(AND(B2269=1,N2269&gt;'Line Follower'!$C$7,SUM(C2269:K2269)&lt;4),1,0)</f>
        <v>#N/A</v>
      </c>
      <c r="S2269" s="4" t="e">
        <f>IF(AND(L2269=1,N2269&lt;'Line Follower'!$C$6,SUM(C2269:K2269)&lt;4),1,0)</f>
        <v>#N/A</v>
      </c>
      <c r="T2269" s="4" t="e">
        <f t="shared" si="177"/>
        <v>#N/A</v>
      </c>
      <c r="U2269" s="5" t="e">
        <f t="shared" si="178"/>
        <v>#N/A</v>
      </c>
      <c r="V2269" s="23" t="e">
        <f t="shared" si="179"/>
        <v>#N/A</v>
      </c>
    </row>
    <row r="2270" spans="2:22" x14ac:dyDescent="0.25">
      <c r="B2270" s="16">
        <v>1</v>
      </c>
      <c r="C2270" s="7">
        <v>1</v>
      </c>
      <c r="D2270" s="8">
        <v>0</v>
      </c>
      <c r="E2270" s="8">
        <v>1</v>
      </c>
      <c r="F2270" s="8">
        <v>1</v>
      </c>
      <c r="G2270" s="8">
        <v>0</v>
      </c>
      <c r="H2270" s="8">
        <v>1</v>
      </c>
      <c r="I2270" s="8">
        <v>1</v>
      </c>
      <c r="J2270" s="8">
        <v>0</v>
      </c>
      <c r="K2270" s="9">
        <v>0</v>
      </c>
      <c r="L2270" s="10">
        <v>0</v>
      </c>
      <c r="M2270" s="6">
        <v>1</v>
      </c>
      <c r="N2270" s="37" t="e" cm="1">
        <f t="array" ref="N2270">IF(OR(ISNUMBER(FIND(Aux!$D$3:$D$9,_xlfn.TEXTJOIN(,,C2270:K2270)))),NA(),IF(AND(SUM(C2270:F2270,H2270:K2270)=0,G2270=1),0,INT((SUMPRODUCT(C2270:F2270,COLUMN($A$1:$D$1)-1)+SUMPRODUCT(H2270:K2270,COLUMN($E$1:$H$1)-1))*'Line Follower'!$C$3/SUM(C2270:F2270,H2270:K2270)-'Line Follower'!$C$5)))</f>
        <v>#N/A</v>
      </c>
      <c r="O2270" s="22" t="e">
        <v>#N/A</v>
      </c>
      <c r="P2270" s="4" t="e">
        <f t="shared" si="175"/>
        <v>#N/A</v>
      </c>
      <c r="Q2270" s="4" t="e">
        <f t="shared" si="176"/>
        <v>#N/A</v>
      </c>
      <c r="R2270" s="4" t="e">
        <f>IF(AND(B2270=1,N2270&gt;'Line Follower'!$C$7,SUM(C2270:K2270)&lt;4),1,0)</f>
        <v>#N/A</v>
      </c>
      <c r="S2270" s="4" t="e">
        <f>IF(AND(L2270=1,N2270&lt;'Line Follower'!$C$6,SUM(C2270:K2270)&lt;4),1,0)</f>
        <v>#N/A</v>
      </c>
      <c r="T2270" s="4" t="e">
        <f t="shared" si="177"/>
        <v>#N/A</v>
      </c>
      <c r="U2270" s="5" t="e">
        <f t="shared" si="178"/>
        <v>#N/A</v>
      </c>
      <c r="V2270" s="23" t="e">
        <f t="shared" si="179"/>
        <v>#N/A</v>
      </c>
    </row>
    <row r="2271" spans="2:22" x14ac:dyDescent="0.25">
      <c r="B2271" s="16">
        <v>0</v>
      </c>
      <c r="C2271" s="7">
        <v>0</v>
      </c>
      <c r="D2271" s="8">
        <v>1</v>
      </c>
      <c r="E2271" s="8">
        <v>1</v>
      </c>
      <c r="F2271" s="8">
        <v>1</v>
      </c>
      <c r="G2271" s="8">
        <v>0</v>
      </c>
      <c r="H2271" s="8">
        <v>1</v>
      </c>
      <c r="I2271" s="8">
        <v>1</v>
      </c>
      <c r="J2271" s="8">
        <v>0</v>
      </c>
      <c r="K2271" s="9">
        <v>0</v>
      </c>
      <c r="L2271" s="10">
        <v>0</v>
      </c>
      <c r="M2271" s="6">
        <v>1</v>
      </c>
      <c r="N2271" s="37" t="e" cm="1">
        <f t="array" ref="N2271">IF(OR(ISNUMBER(FIND(Aux!$D$3:$D$9,_xlfn.TEXTJOIN(,,C2271:K2271)))),NA(),IF(AND(SUM(C2271:F2271,H2271:K2271)=0,G2271=1),0,INT((SUMPRODUCT(C2271:F2271,COLUMN($A$1:$D$1)-1)+SUMPRODUCT(H2271:K2271,COLUMN($E$1:$H$1)-1))*'Line Follower'!$C$3/SUM(C2271:F2271,H2271:K2271)-'Line Follower'!$C$5)))</f>
        <v>#N/A</v>
      </c>
      <c r="O2271" s="22" t="e">
        <v>#N/A</v>
      </c>
      <c r="P2271" s="4" t="e">
        <f t="shared" si="175"/>
        <v>#N/A</v>
      </c>
      <c r="Q2271" s="4" t="e">
        <f t="shared" si="176"/>
        <v>#N/A</v>
      </c>
      <c r="R2271" s="4" t="e">
        <f>IF(AND(B2271=1,N2271&gt;'Line Follower'!$C$7,SUM(C2271:K2271)&lt;4),1,0)</f>
        <v>#N/A</v>
      </c>
      <c r="S2271" s="4" t="e">
        <f>IF(AND(L2271=1,N2271&lt;'Line Follower'!$C$6,SUM(C2271:K2271)&lt;4),1,0)</f>
        <v>#N/A</v>
      </c>
      <c r="T2271" s="4" t="e">
        <f t="shared" si="177"/>
        <v>#N/A</v>
      </c>
      <c r="U2271" s="5" t="e">
        <f t="shared" si="178"/>
        <v>#N/A</v>
      </c>
      <c r="V2271" s="23" t="e">
        <f t="shared" si="179"/>
        <v>#N/A</v>
      </c>
    </row>
    <row r="2272" spans="2:22" x14ac:dyDescent="0.25">
      <c r="B2272" s="16">
        <v>1</v>
      </c>
      <c r="C2272" s="7">
        <v>0</v>
      </c>
      <c r="D2272" s="8">
        <v>1</v>
      </c>
      <c r="E2272" s="8">
        <v>1</v>
      </c>
      <c r="F2272" s="8">
        <v>1</v>
      </c>
      <c r="G2272" s="8">
        <v>0</v>
      </c>
      <c r="H2272" s="8">
        <v>1</v>
      </c>
      <c r="I2272" s="8">
        <v>1</v>
      </c>
      <c r="J2272" s="8">
        <v>0</v>
      </c>
      <c r="K2272" s="9">
        <v>0</v>
      </c>
      <c r="L2272" s="10">
        <v>0</v>
      </c>
      <c r="M2272" s="6">
        <v>1</v>
      </c>
      <c r="N2272" s="37" t="e" cm="1">
        <f t="array" ref="N2272">IF(OR(ISNUMBER(FIND(Aux!$D$3:$D$9,_xlfn.TEXTJOIN(,,C2272:K2272)))),NA(),IF(AND(SUM(C2272:F2272,H2272:K2272)=0,G2272=1),0,INT((SUMPRODUCT(C2272:F2272,COLUMN($A$1:$D$1)-1)+SUMPRODUCT(H2272:K2272,COLUMN($E$1:$H$1)-1))*'Line Follower'!$C$3/SUM(C2272:F2272,H2272:K2272)-'Line Follower'!$C$5)))</f>
        <v>#N/A</v>
      </c>
      <c r="O2272" s="22" t="e">
        <v>#N/A</v>
      </c>
      <c r="P2272" s="4" t="e">
        <f t="shared" si="175"/>
        <v>#N/A</v>
      </c>
      <c r="Q2272" s="4" t="e">
        <f t="shared" si="176"/>
        <v>#N/A</v>
      </c>
      <c r="R2272" s="4" t="e">
        <f>IF(AND(B2272=1,N2272&gt;'Line Follower'!$C$7,SUM(C2272:K2272)&lt;4),1,0)</f>
        <v>#N/A</v>
      </c>
      <c r="S2272" s="4" t="e">
        <f>IF(AND(L2272=1,N2272&lt;'Line Follower'!$C$6,SUM(C2272:K2272)&lt;4),1,0)</f>
        <v>#N/A</v>
      </c>
      <c r="T2272" s="4" t="e">
        <f t="shared" si="177"/>
        <v>#N/A</v>
      </c>
      <c r="U2272" s="5" t="e">
        <f t="shared" si="178"/>
        <v>#N/A</v>
      </c>
      <c r="V2272" s="23" t="e">
        <f t="shared" si="179"/>
        <v>#N/A</v>
      </c>
    </row>
    <row r="2273" spans="2:22" x14ac:dyDescent="0.25">
      <c r="B2273" s="16">
        <v>0</v>
      </c>
      <c r="C2273" s="7">
        <v>1</v>
      </c>
      <c r="D2273" s="8">
        <v>1</v>
      </c>
      <c r="E2273" s="8">
        <v>1</v>
      </c>
      <c r="F2273" s="8">
        <v>1</v>
      </c>
      <c r="G2273" s="8">
        <v>0</v>
      </c>
      <c r="H2273" s="8">
        <v>1</v>
      </c>
      <c r="I2273" s="8">
        <v>1</v>
      </c>
      <c r="J2273" s="8">
        <v>0</v>
      </c>
      <c r="K2273" s="9">
        <v>0</v>
      </c>
      <c r="L2273" s="10">
        <v>0</v>
      </c>
      <c r="M2273" s="6">
        <v>1</v>
      </c>
      <c r="N2273" s="37" t="e" cm="1">
        <f t="array" ref="N2273">IF(OR(ISNUMBER(FIND(Aux!$D$3:$D$9,_xlfn.TEXTJOIN(,,C2273:K2273)))),NA(),IF(AND(SUM(C2273:F2273,H2273:K2273)=0,G2273=1),0,INT((SUMPRODUCT(C2273:F2273,COLUMN($A$1:$D$1)-1)+SUMPRODUCT(H2273:K2273,COLUMN($E$1:$H$1)-1))*'Line Follower'!$C$3/SUM(C2273:F2273,H2273:K2273)-'Line Follower'!$C$5)))</f>
        <v>#N/A</v>
      </c>
      <c r="O2273" s="22" t="e">
        <v>#N/A</v>
      </c>
      <c r="P2273" s="4" t="e">
        <f t="shared" si="175"/>
        <v>#N/A</v>
      </c>
      <c r="Q2273" s="4" t="e">
        <f t="shared" si="176"/>
        <v>#N/A</v>
      </c>
      <c r="R2273" s="4" t="e">
        <f>IF(AND(B2273=1,N2273&gt;'Line Follower'!$C$7,SUM(C2273:K2273)&lt;4),1,0)</f>
        <v>#N/A</v>
      </c>
      <c r="S2273" s="4" t="e">
        <f>IF(AND(L2273=1,N2273&lt;'Line Follower'!$C$6,SUM(C2273:K2273)&lt;4),1,0)</f>
        <v>#N/A</v>
      </c>
      <c r="T2273" s="4" t="e">
        <f t="shared" si="177"/>
        <v>#N/A</v>
      </c>
      <c r="U2273" s="5" t="e">
        <f t="shared" si="178"/>
        <v>#N/A</v>
      </c>
      <c r="V2273" s="23" t="e">
        <f t="shared" si="179"/>
        <v>#N/A</v>
      </c>
    </row>
    <row r="2274" spans="2:22" x14ac:dyDescent="0.25">
      <c r="B2274" s="16">
        <v>1</v>
      </c>
      <c r="C2274" s="7">
        <v>1</v>
      </c>
      <c r="D2274" s="8">
        <v>1</v>
      </c>
      <c r="E2274" s="8">
        <v>1</v>
      </c>
      <c r="F2274" s="8">
        <v>1</v>
      </c>
      <c r="G2274" s="8">
        <v>0</v>
      </c>
      <c r="H2274" s="8">
        <v>1</v>
      </c>
      <c r="I2274" s="8">
        <v>1</v>
      </c>
      <c r="J2274" s="8">
        <v>0</v>
      </c>
      <c r="K2274" s="9">
        <v>0</v>
      </c>
      <c r="L2274" s="10">
        <v>0</v>
      </c>
      <c r="M2274" s="6">
        <v>1</v>
      </c>
      <c r="N2274" s="37" t="e" cm="1">
        <f t="array" ref="N2274">IF(OR(ISNUMBER(FIND(Aux!$D$3:$D$9,_xlfn.TEXTJOIN(,,C2274:K2274)))),NA(),IF(AND(SUM(C2274:F2274,H2274:K2274)=0,G2274=1),0,INT((SUMPRODUCT(C2274:F2274,COLUMN($A$1:$D$1)-1)+SUMPRODUCT(H2274:K2274,COLUMN($E$1:$H$1)-1))*'Line Follower'!$C$3/SUM(C2274:F2274,H2274:K2274)-'Line Follower'!$C$5)))</f>
        <v>#N/A</v>
      </c>
      <c r="O2274" s="22" t="e">
        <v>#N/A</v>
      </c>
      <c r="P2274" s="4" t="e">
        <f t="shared" si="175"/>
        <v>#N/A</v>
      </c>
      <c r="Q2274" s="4" t="e">
        <f t="shared" si="176"/>
        <v>#N/A</v>
      </c>
      <c r="R2274" s="4" t="e">
        <f>IF(AND(B2274=1,N2274&gt;'Line Follower'!$C$7,SUM(C2274:K2274)&lt;4),1,0)</f>
        <v>#N/A</v>
      </c>
      <c r="S2274" s="4" t="e">
        <f>IF(AND(L2274=1,N2274&lt;'Line Follower'!$C$6,SUM(C2274:K2274)&lt;4),1,0)</f>
        <v>#N/A</v>
      </c>
      <c r="T2274" s="4" t="e">
        <f t="shared" si="177"/>
        <v>#N/A</v>
      </c>
      <c r="U2274" s="5" t="e">
        <f t="shared" si="178"/>
        <v>#N/A</v>
      </c>
      <c r="V2274" s="23" t="e">
        <f t="shared" si="179"/>
        <v>#N/A</v>
      </c>
    </row>
    <row r="2275" spans="2:22" x14ac:dyDescent="0.25">
      <c r="B2275" s="16">
        <v>0</v>
      </c>
      <c r="C2275" s="7">
        <v>0</v>
      </c>
      <c r="D2275" s="8">
        <v>0</v>
      </c>
      <c r="E2275" s="8">
        <v>0</v>
      </c>
      <c r="F2275" s="8">
        <v>0</v>
      </c>
      <c r="G2275" s="8">
        <v>1</v>
      </c>
      <c r="H2275" s="8">
        <v>1</v>
      </c>
      <c r="I2275" s="8">
        <v>1</v>
      </c>
      <c r="J2275" s="8">
        <v>0</v>
      </c>
      <c r="K2275" s="9">
        <v>0</v>
      </c>
      <c r="L2275" s="10">
        <v>0</v>
      </c>
      <c r="M2275" s="6">
        <v>1</v>
      </c>
      <c r="N2275" s="37" cm="1">
        <f t="array" ref="N2275">IF(OR(ISNUMBER(FIND(Aux!$D$3:$D$9,_xlfn.TEXTJOIN(,,C2275:K2275)))),NA(),IF(AND(SUM(C2275:F2275,H2275:K2275)=0,G2275=1),0,INT((SUMPRODUCT(C2275:F2275,COLUMN($A$1:$D$1)-1)+SUMPRODUCT(H2275:K2275,COLUMN($E$1:$H$1)-1))*'Line Follower'!$C$3/SUM(C2275:F2275,H2275:K2275)-'Line Follower'!$C$5)))</f>
        <v>2</v>
      </c>
      <c r="O2275" s="22">
        <v>1</v>
      </c>
      <c r="P2275" s="4">
        <f t="shared" si="175"/>
        <v>0</v>
      </c>
      <c r="Q2275" s="4">
        <f t="shared" si="176"/>
        <v>0</v>
      </c>
      <c r="R2275" s="4">
        <f>IF(AND(B2275=1,N2275&gt;'Line Follower'!$C$7,SUM(C2275:K2275)&lt;4),1,0)</f>
        <v>0</v>
      </c>
      <c r="S2275" s="4">
        <f>IF(AND(L2275=1,N2275&lt;'Line Follower'!$C$6,SUM(C2275:K2275)&lt;4),1,0)</f>
        <v>0</v>
      </c>
      <c r="T2275" s="4">
        <f t="shared" si="177"/>
        <v>0</v>
      </c>
      <c r="U2275" s="5">
        <f t="shared" si="178"/>
        <v>0</v>
      </c>
      <c r="V2275" s="23">
        <f t="shared" si="179"/>
        <v>0</v>
      </c>
    </row>
    <row r="2276" spans="2:22" x14ac:dyDescent="0.25">
      <c r="B2276" s="16">
        <v>1</v>
      </c>
      <c r="C2276" s="7">
        <v>0</v>
      </c>
      <c r="D2276" s="8">
        <v>0</v>
      </c>
      <c r="E2276" s="8">
        <v>0</v>
      </c>
      <c r="F2276" s="8">
        <v>0</v>
      </c>
      <c r="G2276" s="8">
        <v>1</v>
      </c>
      <c r="H2276" s="8">
        <v>1</v>
      </c>
      <c r="I2276" s="8">
        <v>1</v>
      </c>
      <c r="J2276" s="8">
        <v>0</v>
      </c>
      <c r="K2276" s="9">
        <v>0</v>
      </c>
      <c r="L2276" s="10">
        <v>0</v>
      </c>
      <c r="M2276" s="6">
        <v>1</v>
      </c>
      <c r="N2276" s="37" cm="1">
        <f t="array" ref="N2276">IF(OR(ISNUMBER(FIND(Aux!$D$3:$D$9,_xlfn.TEXTJOIN(,,C2276:K2276)))),NA(),IF(AND(SUM(C2276:F2276,H2276:K2276)=0,G2276=1),0,INT((SUMPRODUCT(C2276:F2276,COLUMN($A$1:$D$1)-1)+SUMPRODUCT(H2276:K2276,COLUMN($E$1:$H$1)-1))*'Line Follower'!$C$3/SUM(C2276:F2276,H2276:K2276)-'Line Follower'!$C$5)))</f>
        <v>2</v>
      </c>
      <c r="O2276" s="22">
        <v>1</v>
      </c>
      <c r="P2276" s="4">
        <f t="shared" si="175"/>
        <v>0</v>
      </c>
      <c r="Q2276" s="4">
        <f t="shared" si="176"/>
        <v>0</v>
      </c>
      <c r="R2276" s="4">
        <f>IF(AND(B2276=1,N2276&gt;'Line Follower'!$C$7,SUM(C2276:K2276)&lt;4),1,0)</f>
        <v>1</v>
      </c>
      <c r="S2276" s="4">
        <f>IF(AND(L2276=1,N2276&lt;'Line Follower'!$C$6,SUM(C2276:K2276)&lt;4),1,0)</f>
        <v>0</v>
      </c>
      <c r="T2276" s="4">
        <f t="shared" si="177"/>
        <v>0</v>
      </c>
      <c r="U2276" s="5">
        <f t="shared" si="178"/>
        <v>0</v>
      </c>
      <c r="V2276" s="23">
        <f t="shared" si="179"/>
        <v>0</v>
      </c>
    </row>
    <row r="2277" spans="2:22" x14ac:dyDescent="0.25">
      <c r="B2277" s="16">
        <v>0</v>
      </c>
      <c r="C2277" s="7">
        <v>1</v>
      </c>
      <c r="D2277" s="8">
        <v>0</v>
      </c>
      <c r="E2277" s="8">
        <v>0</v>
      </c>
      <c r="F2277" s="8">
        <v>0</v>
      </c>
      <c r="G2277" s="8">
        <v>1</v>
      </c>
      <c r="H2277" s="8">
        <v>1</v>
      </c>
      <c r="I2277" s="8">
        <v>1</v>
      </c>
      <c r="J2277" s="8">
        <v>0</v>
      </c>
      <c r="K2277" s="9">
        <v>0</v>
      </c>
      <c r="L2277" s="10">
        <v>0</v>
      </c>
      <c r="M2277" s="6">
        <v>1</v>
      </c>
      <c r="N2277" s="37" t="e" cm="1">
        <f t="array" ref="N2277">IF(OR(ISNUMBER(FIND(Aux!$D$3:$D$9,_xlfn.TEXTJOIN(,,C2277:K2277)))),NA(),IF(AND(SUM(C2277:F2277,H2277:K2277)=0,G2277=1),0,INT((SUMPRODUCT(C2277:F2277,COLUMN($A$1:$D$1)-1)+SUMPRODUCT(H2277:K2277,COLUMN($E$1:$H$1)-1))*'Line Follower'!$C$3/SUM(C2277:F2277,H2277:K2277)-'Line Follower'!$C$5)))</f>
        <v>#N/A</v>
      </c>
      <c r="O2277" s="22" t="e">
        <v>#N/A</v>
      </c>
      <c r="P2277" s="4" t="e">
        <f t="shared" si="175"/>
        <v>#N/A</v>
      </c>
      <c r="Q2277" s="4" t="e">
        <f t="shared" si="176"/>
        <v>#N/A</v>
      </c>
      <c r="R2277" s="4" t="e">
        <f>IF(AND(B2277=1,N2277&gt;'Line Follower'!$C$7,SUM(C2277:K2277)&lt;4),1,0)</f>
        <v>#N/A</v>
      </c>
      <c r="S2277" s="4" t="e">
        <f>IF(AND(L2277=1,N2277&lt;'Line Follower'!$C$6,SUM(C2277:K2277)&lt;4),1,0)</f>
        <v>#N/A</v>
      </c>
      <c r="T2277" s="4" t="e">
        <f t="shared" si="177"/>
        <v>#N/A</v>
      </c>
      <c r="U2277" s="5" t="e">
        <f t="shared" si="178"/>
        <v>#N/A</v>
      </c>
      <c r="V2277" s="23" t="e">
        <f t="shared" si="179"/>
        <v>#N/A</v>
      </c>
    </row>
    <row r="2278" spans="2:22" x14ac:dyDescent="0.25">
      <c r="B2278" s="16">
        <v>1</v>
      </c>
      <c r="C2278" s="7">
        <v>1</v>
      </c>
      <c r="D2278" s="8">
        <v>0</v>
      </c>
      <c r="E2278" s="8">
        <v>0</v>
      </c>
      <c r="F2278" s="8">
        <v>0</v>
      </c>
      <c r="G2278" s="8">
        <v>1</v>
      </c>
      <c r="H2278" s="8">
        <v>1</v>
      </c>
      <c r="I2278" s="8">
        <v>1</v>
      </c>
      <c r="J2278" s="8">
        <v>0</v>
      </c>
      <c r="K2278" s="9">
        <v>0</v>
      </c>
      <c r="L2278" s="10">
        <v>0</v>
      </c>
      <c r="M2278" s="6">
        <v>1</v>
      </c>
      <c r="N2278" s="37" t="e" cm="1">
        <f t="array" ref="N2278">IF(OR(ISNUMBER(FIND(Aux!$D$3:$D$9,_xlfn.TEXTJOIN(,,C2278:K2278)))),NA(),IF(AND(SUM(C2278:F2278,H2278:K2278)=0,G2278=1),0,INT((SUMPRODUCT(C2278:F2278,COLUMN($A$1:$D$1)-1)+SUMPRODUCT(H2278:K2278,COLUMN($E$1:$H$1)-1))*'Line Follower'!$C$3/SUM(C2278:F2278,H2278:K2278)-'Line Follower'!$C$5)))</f>
        <v>#N/A</v>
      </c>
      <c r="O2278" s="22" t="e">
        <v>#N/A</v>
      </c>
      <c r="P2278" s="4" t="e">
        <f t="shared" si="175"/>
        <v>#N/A</v>
      </c>
      <c r="Q2278" s="4" t="e">
        <f t="shared" si="176"/>
        <v>#N/A</v>
      </c>
      <c r="R2278" s="4" t="e">
        <f>IF(AND(B2278=1,N2278&gt;'Line Follower'!$C$7,SUM(C2278:K2278)&lt;4),1,0)</f>
        <v>#N/A</v>
      </c>
      <c r="S2278" s="4" t="e">
        <f>IF(AND(L2278=1,N2278&lt;'Line Follower'!$C$6,SUM(C2278:K2278)&lt;4),1,0)</f>
        <v>#N/A</v>
      </c>
      <c r="T2278" s="4" t="e">
        <f t="shared" si="177"/>
        <v>#N/A</v>
      </c>
      <c r="U2278" s="5" t="e">
        <f t="shared" si="178"/>
        <v>#N/A</v>
      </c>
      <c r="V2278" s="23" t="e">
        <f t="shared" si="179"/>
        <v>#N/A</v>
      </c>
    </row>
    <row r="2279" spans="2:22" x14ac:dyDescent="0.25">
      <c r="B2279" s="16">
        <v>0</v>
      </c>
      <c r="C2279" s="7">
        <v>0</v>
      </c>
      <c r="D2279" s="8">
        <v>1</v>
      </c>
      <c r="E2279" s="8">
        <v>0</v>
      </c>
      <c r="F2279" s="8">
        <v>0</v>
      </c>
      <c r="G2279" s="8">
        <v>1</v>
      </c>
      <c r="H2279" s="8">
        <v>1</v>
      </c>
      <c r="I2279" s="8">
        <v>1</v>
      </c>
      <c r="J2279" s="8">
        <v>0</v>
      </c>
      <c r="K2279" s="9">
        <v>0</v>
      </c>
      <c r="L2279" s="10">
        <v>0</v>
      </c>
      <c r="M2279" s="6">
        <v>1</v>
      </c>
      <c r="N2279" s="37" t="e" cm="1">
        <f t="array" ref="N2279">IF(OR(ISNUMBER(FIND(Aux!$D$3:$D$9,_xlfn.TEXTJOIN(,,C2279:K2279)))),NA(),IF(AND(SUM(C2279:F2279,H2279:K2279)=0,G2279=1),0,INT((SUMPRODUCT(C2279:F2279,COLUMN($A$1:$D$1)-1)+SUMPRODUCT(H2279:K2279,COLUMN($E$1:$H$1)-1))*'Line Follower'!$C$3/SUM(C2279:F2279,H2279:K2279)-'Line Follower'!$C$5)))</f>
        <v>#N/A</v>
      </c>
      <c r="O2279" s="22" t="e">
        <v>#N/A</v>
      </c>
      <c r="P2279" s="4" t="e">
        <f t="shared" si="175"/>
        <v>#N/A</v>
      </c>
      <c r="Q2279" s="4" t="e">
        <f t="shared" si="176"/>
        <v>#N/A</v>
      </c>
      <c r="R2279" s="4" t="e">
        <f>IF(AND(B2279=1,N2279&gt;'Line Follower'!$C$7,SUM(C2279:K2279)&lt;4),1,0)</f>
        <v>#N/A</v>
      </c>
      <c r="S2279" s="4" t="e">
        <f>IF(AND(L2279=1,N2279&lt;'Line Follower'!$C$6,SUM(C2279:K2279)&lt;4),1,0)</f>
        <v>#N/A</v>
      </c>
      <c r="T2279" s="4" t="e">
        <f t="shared" si="177"/>
        <v>#N/A</v>
      </c>
      <c r="U2279" s="5" t="e">
        <f t="shared" si="178"/>
        <v>#N/A</v>
      </c>
      <c r="V2279" s="23" t="e">
        <f t="shared" si="179"/>
        <v>#N/A</v>
      </c>
    </row>
    <row r="2280" spans="2:22" x14ac:dyDescent="0.25">
      <c r="B2280" s="16">
        <v>1</v>
      </c>
      <c r="C2280" s="7">
        <v>0</v>
      </c>
      <c r="D2280" s="8">
        <v>1</v>
      </c>
      <c r="E2280" s="8">
        <v>0</v>
      </c>
      <c r="F2280" s="8">
        <v>0</v>
      </c>
      <c r="G2280" s="8">
        <v>1</v>
      </c>
      <c r="H2280" s="8">
        <v>1</v>
      </c>
      <c r="I2280" s="8">
        <v>1</v>
      </c>
      <c r="J2280" s="8">
        <v>0</v>
      </c>
      <c r="K2280" s="9">
        <v>0</v>
      </c>
      <c r="L2280" s="10">
        <v>0</v>
      </c>
      <c r="M2280" s="6">
        <v>1</v>
      </c>
      <c r="N2280" s="37" t="e" cm="1">
        <f t="array" ref="N2280">IF(OR(ISNUMBER(FIND(Aux!$D$3:$D$9,_xlfn.TEXTJOIN(,,C2280:K2280)))),NA(),IF(AND(SUM(C2280:F2280,H2280:K2280)=0,G2280=1),0,INT((SUMPRODUCT(C2280:F2280,COLUMN($A$1:$D$1)-1)+SUMPRODUCT(H2280:K2280,COLUMN($E$1:$H$1)-1))*'Line Follower'!$C$3/SUM(C2280:F2280,H2280:K2280)-'Line Follower'!$C$5)))</f>
        <v>#N/A</v>
      </c>
      <c r="O2280" s="22" t="e">
        <v>#N/A</v>
      </c>
      <c r="P2280" s="4" t="e">
        <f t="shared" si="175"/>
        <v>#N/A</v>
      </c>
      <c r="Q2280" s="4" t="e">
        <f t="shared" si="176"/>
        <v>#N/A</v>
      </c>
      <c r="R2280" s="4" t="e">
        <f>IF(AND(B2280=1,N2280&gt;'Line Follower'!$C$7,SUM(C2280:K2280)&lt;4),1,0)</f>
        <v>#N/A</v>
      </c>
      <c r="S2280" s="4" t="e">
        <f>IF(AND(L2280=1,N2280&lt;'Line Follower'!$C$6,SUM(C2280:K2280)&lt;4),1,0)</f>
        <v>#N/A</v>
      </c>
      <c r="T2280" s="4" t="e">
        <f t="shared" si="177"/>
        <v>#N/A</v>
      </c>
      <c r="U2280" s="5" t="e">
        <f t="shared" si="178"/>
        <v>#N/A</v>
      </c>
      <c r="V2280" s="23" t="e">
        <f t="shared" si="179"/>
        <v>#N/A</v>
      </c>
    </row>
    <row r="2281" spans="2:22" x14ac:dyDescent="0.25">
      <c r="B2281" s="16">
        <v>0</v>
      </c>
      <c r="C2281" s="7">
        <v>1</v>
      </c>
      <c r="D2281" s="8">
        <v>1</v>
      </c>
      <c r="E2281" s="8">
        <v>0</v>
      </c>
      <c r="F2281" s="8">
        <v>0</v>
      </c>
      <c r="G2281" s="8">
        <v>1</v>
      </c>
      <c r="H2281" s="8">
        <v>1</v>
      </c>
      <c r="I2281" s="8">
        <v>1</v>
      </c>
      <c r="J2281" s="8">
        <v>0</v>
      </c>
      <c r="K2281" s="9">
        <v>0</v>
      </c>
      <c r="L2281" s="10">
        <v>0</v>
      </c>
      <c r="M2281" s="6">
        <v>1</v>
      </c>
      <c r="N2281" s="37" t="e" cm="1">
        <f t="array" ref="N2281">IF(OR(ISNUMBER(FIND(Aux!$D$3:$D$9,_xlfn.TEXTJOIN(,,C2281:K2281)))),NA(),IF(AND(SUM(C2281:F2281,H2281:K2281)=0,G2281=1),0,INT((SUMPRODUCT(C2281:F2281,COLUMN($A$1:$D$1)-1)+SUMPRODUCT(H2281:K2281,COLUMN($E$1:$H$1)-1))*'Line Follower'!$C$3/SUM(C2281:F2281,H2281:K2281)-'Line Follower'!$C$5)))</f>
        <v>#N/A</v>
      </c>
      <c r="O2281" s="22" t="e">
        <v>#N/A</v>
      </c>
      <c r="P2281" s="4" t="e">
        <f t="shared" si="175"/>
        <v>#N/A</v>
      </c>
      <c r="Q2281" s="4" t="e">
        <f t="shared" si="176"/>
        <v>#N/A</v>
      </c>
      <c r="R2281" s="4" t="e">
        <f>IF(AND(B2281=1,N2281&gt;'Line Follower'!$C$7,SUM(C2281:K2281)&lt;4),1,0)</f>
        <v>#N/A</v>
      </c>
      <c r="S2281" s="4" t="e">
        <f>IF(AND(L2281=1,N2281&lt;'Line Follower'!$C$6,SUM(C2281:K2281)&lt;4),1,0)</f>
        <v>#N/A</v>
      </c>
      <c r="T2281" s="4" t="e">
        <f t="shared" si="177"/>
        <v>#N/A</v>
      </c>
      <c r="U2281" s="5" t="e">
        <f t="shared" si="178"/>
        <v>#N/A</v>
      </c>
      <c r="V2281" s="23" t="e">
        <f t="shared" si="179"/>
        <v>#N/A</v>
      </c>
    </row>
    <row r="2282" spans="2:22" x14ac:dyDescent="0.25">
      <c r="B2282" s="16">
        <v>1</v>
      </c>
      <c r="C2282" s="7">
        <v>1</v>
      </c>
      <c r="D2282" s="8">
        <v>1</v>
      </c>
      <c r="E2282" s="8">
        <v>0</v>
      </c>
      <c r="F2282" s="8">
        <v>0</v>
      </c>
      <c r="G2282" s="8">
        <v>1</v>
      </c>
      <c r="H2282" s="8">
        <v>1</v>
      </c>
      <c r="I2282" s="8">
        <v>1</v>
      </c>
      <c r="J2282" s="8">
        <v>0</v>
      </c>
      <c r="K2282" s="9">
        <v>0</v>
      </c>
      <c r="L2282" s="10">
        <v>0</v>
      </c>
      <c r="M2282" s="6">
        <v>1</v>
      </c>
      <c r="N2282" s="37" t="e" cm="1">
        <f t="array" ref="N2282">IF(OR(ISNUMBER(FIND(Aux!$D$3:$D$9,_xlfn.TEXTJOIN(,,C2282:K2282)))),NA(),IF(AND(SUM(C2282:F2282,H2282:K2282)=0,G2282=1),0,INT((SUMPRODUCT(C2282:F2282,COLUMN($A$1:$D$1)-1)+SUMPRODUCT(H2282:K2282,COLUMN($E$1:$H$1)-1))*'Line Follower'!$C$3/SUM(C2282:F2282,H2282:K2282)-'Line Follower'!$C$5)))</f>
        <v>#N/A</v>
      </c>
      <c r="O2282" s="22" t="e">
        <v>#N/A</v>
      </c>
      <c r="P2282" s="4" t="e">
        <f t="shared" si="175"/>
        <v>#N/A</v>
      </c>
      <c r="Q2282" s="4" t="e">
        <f t="shared" si="176"/>
        <v>#N/A</v>
      </c>
      <c r="R2282" s="4" t="e">
        <f>IF(AND(B2282=1,N2282&gt;'Line Follower'!$C$7,SUM(C2282:K2282)&lt;4),1,0)</f>
        <v>#N/A</v>
      </c>
      <c r="S2282" s="4" t="e">
        <f>IF(AND(L2282=1,N2282&lt;'Line Follower'!$C$6,SUM(C2282:K2282)&lt;4),1,0)</f>
        <v>#N/A</v>
      </c>
      <c r="T2282" s="4" t="e">
        <f t="shared" si="177"/>
        <v>#N/A</v>
      </c>
      <c r="U2282" s="5" t="e">
        <f t="shared" si="178"/>
        <v>#N/A</v>
      </c>
      <c r="V2282" s="23" t="e">
        <f t="shared" si="179"/>
        <v>#N/A</v>
      </c>
    </row>
    <row r="2283" spans="2:22" x14ac:dyDescent="0.25">
      <c r="B2283" s="16">
        <v>0</v>
      </c>
      <c r="C2283" s="7">
        <v>0</v>
      </c>
      <c r="D2283" s="8">
        <v>0</v>
      </c>
      <c r="E2283" s="8">
        <v>1</v>
      </c>
      <c r="F2283" s="8">
        <v>0</v>
      </c>
      <c r="G2283" s="8">
        <v>1</v>
      </c>
      <c r="H2283" s="8">
        <v>1</v>
      </c>
      <c r="I2283" s="8">
        <v>1</v>
      </c>
      <c r="J2283" s="8">
        <v>0</v>
      </c>
      <c r="K2283" s="9">
        <v>0</v>
      </c>
      <c r="L2283" s="10">
        <v>0</v>
      </c>
      <c r="M2283" s="6">
        <v>1</v>
      </c>
      <c r="N2283" s="37" t="e" cm="1">
        <f t="array" ref="N2283">IF(OR(ISNUMBER(FIND(Aux!$D$3:$D$9,_xlfn.TEXTJOIN(,,C2283:K2283)))),NA(),IF(AND(SUM(C2283:F2283,H2283:K2283)=0,G2283=1),0,INT((SUMPRODUCT(C2283:F2283,COLUMN($A$1:$D$1)-1)+SUMPRODUCT(H2283:K2283,COLUMN($E$1:$H$1)-1))*'Line Follower'!$C$3/SUM(C2283:F2283,H2283:K2283)-'Line Follower'!$C$5)))</f>
        <v>#N/A</v>
      </c>
      <c r="O2283" s="22" t="e">
        <v>#N/A</v>
      </c>
      <c r="P2283" s="4" t="e">
        <f t="shared" si="175"/>
        <v>#N/A</v>
      </c>
      <c r="Q2283" s="4" t="e">
        <f t="shared" si="176"/>
        <v>#N/A</v>
      </c>
      <c r="R2283" s="4" t="e">
        <f>IF(AND(B2283=1,N2283&gt;'Line Follower'!$C$7,SUM(C2283:K2283)&lt;4),1,0)</f>
        <v>#N/A</v>
      </c>
      <c r="S2283" s="4" t="e">
        <f>IF(AND(L2283=1,N2283&lt;'Line Follower'!$C$6,SUM(C2283:K2283)&lt;4),1,0)</f>
        <v>#N/A</v>
      </c>
      <c r="T2283" s="4" t="e">
        <f t="shared" si="177"/>
        <v>#N/A</v>
      </c>
      <c r="U2283" s="5" t="e">
        <f t="shared" si="178"/>
        <v>#N/A</v>
      </c>
      <c r="V2283" s="23" t="e">
        <f t="shared" si="179"/>
        <v>#N/A</v>
      </c>
    </row>
    <row r="2284" spans="2:22" x14ac:dyDescent="0.25">
      <c r="B2284" s="16">
        <v>1</v>
      </c>
      <c r="C2284" s="7">
        <v>0</v>
      </c>
      <c r="D2284" s="8">
        <v>0</v>
      </c>
      <c r="E2284" s="8">
        <v>1</v>
      </c>
      <c r="F2284" s="8">
        <v>0</v>
      </c>
      <c r="G2284" s="8">
        <v>1</v>
      </c>
      <c r="H2284" s="8">
        <v>1</v>
      </c>
      <c r="I2284" s="8">
        <v>1</v>
      </c>
      <c r="J2284" s="8">
        <v>0</v>
      </c>
      <c r="K2284" s="9">
        <v>0</v>
      </c>
      <c r="L2284" s="10">
        <v>0</v>
      </c>
      <c r="M2284" s="6">
        <v>1</v>
      </c>
      <c r="N2284" s="37" t="e" cm="1">
        <f t="array" ref="N2284">IF(OR(ISNUMBER(FIND(Aux!$D$3:$D$9,_xlfn.TEXTJOIN(,,C2284:K2284)))),NA(),IF(AND(SUM(C2284:F2284,H2284:K2284)=0,G2284=1),0,INT((SUMPRODUCT(C2284:F2284,COLUMN($A$1:$D$1)-1)+SUMPRODUCT(H2284:K2284,COLUMN($E$1:$H$1)-1))*'Line Follower'!$C$3/SUM(C2284:F2284,H2284:K2284)-'Line Follower'!$C$5)))</f>
        <v>#N/A</v>
      </c>
      <c r="O2284" s="22" t="e">
        <v>#N/A</v>
      </c>
      <c r="P2284" s="4" t="e">
        <f t="shared" si="175"/>
        <v>#N/A</v>
      </c>
      <c r="Q2284" s="4" t="e">
        <f t="shared" si="176"/>
        <v>#N/A</v>
      </c>
      <c r="R2284" s="4" t="e">
        <f>IF(AND(B2284=1,N2284&gt;'Line Follower'!$C$7,SUM(C2284:K2284)&lt;4),1,0)</f>
        <v>#N/A</v>
      </c>
      <c r="S2284" s="4" t="e">
        <f>IF(AND(L2284=1,N2284&lt;'Line Follower'!$C$6,SUM(C2284:K2284)&lt;4),1,0)</f>
        <v>#N/A</v>
      </c>
      <c r="T2284" s="4" t="e">
        <f t="shared" si="177"/>
        <v>#N/A</v>
      </c>
      <c r="U2284" s="5" t="e">
        <f t="shared" si="178"/>
        <v>#N/A</v>
      </c>
      <c r="V2284" s="23" t="e">
        <f t="shared" si="179"/>
        <v>#N/A</v>
      </c>
    </row>
    <row r="2285" spans="2:22" x14ac:dyDescent="0.25">
      <c r="B2285" s="16">
        <v>0</v>
      </c>
      <c r="C2285" s="7">
        <v>1</v>
      </c>
      <c r="D2285" s="8">
        <v>0</v>
      </c>
      <c r="E2285" s="8">
        <v>1</v>
      </c>
      <c r="F2285" s="8">
        <v>0</v>
      </c>
      <c r="G2285" s="8">
        <v>1</v>
      </c>
      <c r="H2285" s="8">
        <v>1</v>
      </c>
      <c r="I2285" s="8">
        <v>1</v>
      </c>
      <c r="J2285" s="8">
        <v>0</v>
      </c>
      <c r="K2285" s="9">
        <v>0</v>
      </c>
      <c r="L2285" s="10">
        <v>0</v>
      </c>
      <c r="M2285" s="6">
        <v>1</v>
      </c>
      <c r="N2285" s="37" t="e" cm="1">
        <f t="array" ref="N2285">IF(OR(ISNUMBER(FIND(Aux!$D$3:$D$9,_xlfn.TEXTJOIN(,,C2285:K2285)))),NA(),IF(AND(SUM(C2285:F2285,H2285:K2285)=0,G2285=1),0,INT((SUMPRODUCT(C2285:F2285,COLUMN($A$1:$D$1)-1)+SUMPRODUCT(H2285:K2285,COLUMN($E$1:$H$1)-1))*'Line Follower'!$C$3/SUM(C2285:F2285,H2285:K2285)-'Line Follower'!$C$5)))</f>
        <v>#N/A</v>
      </c>
      <c r="O2285" s="22" t="e">
        <v>#N/A</v>
      </c>
      <c r="P2285" s="4" t="e">
        <f t="shared" si="175"/>
        <v>#N/A</v>
      </c>
      <c r="Q2285" s="4" t="e">
        <f t="shared" si="176"/>
        <v>#N/A</v>
      </c>
      <c r="R2285" s="4" t="e">
        <f>IF(AND(B2285=1,N2285&gt;'Line Follower'!$C$7,SUM(C2285:K2285)&lt;4),1,0)</f>
        <v>#N/A</v>
      </c>
      <c r="S2285" s="4" t="e">
        <f>IF(AND(L2285=1,N2285&lt;'Line Follower'!$C$6,SUM(C2285:K2285)&lt;4),1,0)</f>
        <v>#N/A</v>
      </c>
      <c r="T2285" s="4" t="e">
        <f t="shared" si="177"/>
        <v>#N/A</v>
      </c>
      <c r="U2285" s="5" t="e">
        <f t="shared" si="178"/>
        <v>#N/A</v>
      </c>
      <c r="V2285" s="23" t="e">
        <f t="shared" si="179"/>
        <v>#N/A</v>
      </c>
    </row>
    <row r="2286" spans="2:22" x14ac:dyDescent="0.25">
      <c r="B2286" s="16">
        <v>1</v>
      </c>
      <c r="C2286" s="7">
        <v>1</v>
      </c>
      <c r="D2286" s="8">
        <v>0</v>
      </c>
      <c r="E2286" s="8">
        <v>1</v>
      </c>
      <c r="F2286" s="8">
        <v>0</v>
      </c>
      <c r="G2286" s="8">
        <v>1</v>
      </c>
      <c r="H2286" s="8">
        <v>1</v>
      </c>
      <c r="I2286" s="8">
        <v>1</v>
      </c>
      <c r="J2286" s="8">
        <v>0</v>
      </c>
      <c r="K2286" s="9">
        <v>0</v>
      </c>
      <c r="L2286" s="10">
        <v>0</v>
      </c>
      <c r="M2286" s="6">
        <v>1</v>
      </c>
      <c r="N2286" s="37" t="e" cm="1">
        <f t="array" ref="N2286">IF(OR(ISNUMBER(FIND(Aux!$D$3:$D$9,_xlfn.TEXTJOIN(,,C2286:K2286)))),NA(),IF(AND(SUM(C2286:F2286,H2286:K2286)=0,G2286=1),0,INT((SUMPRODUCT(C2286:F2286,COLUMN($A$1:$D$1)-1)+SUMPRODUCT(H2286:K2286,COLUMN($E$1:$H$1)-1))*'Line Follower'!$C$3/SUM(C2286:F2286,H2286:K2286)-'Line Follower'!$C$5)))</f>
        <v>#N/A</v>
      </c>
      <c r="O2286" s="22" t="e">
        <v>#N/A</v>
      </c>
      <c r="P2286" s="4" t="e">
        <f t="shared" si="175"/>
        <v>#N/A</v>
      </c>
      <c r="Q2286" s="4" t="e">
        <f t="shared" si="176"/>
        <v>#N/A</v>
      </c>
      <c r="R2286" s="4" t="e">
        <f>IF(AND(B2286=1,N2286&gt;'Line Follower'!$C$7,SUM(C2286:K2286)&lt;4),1,0)</f>
        <v>#N/A</v>
      </c>
      <c r="S2286" s="4" t="e">
        <f>IF(AND(L2286=1,N2286&lt;'Line Follower'!$C$6,SUM(C2286:K2286)&lt;4),1,0)</f>
        <v>#N/A</v>
      </c>
      <c r="T2286" s="4" t="e">
        <f t="shared" si="177"/>
        <v>#N/A</v>
      </c>
      <c r="U2286" s="5" t="e">
        <f t="shared" si="178"/>
        <v>#N/A</v>
      </c>
      <c r="V2286" s="23" t="e">
        <f t="shared" si="179"/>
        <v>#N/A</v>
      </c>
    </row>
    <row r="2287" spans="2:22" x14ac:dyDescent="0.25">
      <c r="B2287" s="16">
        <v>0</v>
      </c>
      <c r="C2287" s="7">
        <v>0</v>
      </c>
      <c r="D2287" s="8">
        <v>1</v>
      </c>
      <c r="E2287" s="8">
        <v>1</v>
      </c>
      <c r="F2287" s="8">
        <v>0</v>
      </c>
      <c r="G2287" s="8">
        <v>1</v>
      </c>
      <c r="H2287" s="8">
        <v>1</v>
      </c>
      <c r="I2287" s="8">
        <v>1</v>
      </c>
      <c r="J2287" s="8">
        <v>0</v>
      </c>
      <c r="K2287" s="9">
        <v>0</v>
      </c>
      <c r="L2287" s="10">
        <v>0</v>
      </c>
      <c r="M2287" s="6">
        <v>1</v>
      </c>
      <c r="N2287" s="37" t="e" cm="1">
        <f t="array" ref="N2287">IF(OR(ISNUMBER(FIND(Aux!$D$3:$D$9,_xlfn.TEXTJOIN(,,C2287:K2287)))),NA(),IF(AND(SUM(C2287:F2287,H2287:K2287)=0,G2287=1),0,INT((SUMPRODUCT(C2287:F2287,COLUMN($A$1:$D$1)-1)+SUMPRODUCT(H2287:K2287,COLUMN($E$1:$H$1)-1))*'Line Follower'!$C$3/SUM(C2287:F2287,H2287:K2287)-'Line Follower'!$C$5)))</f>
        <v>#N/A</v>
      </c>
      <c r="O2287" s="22" t="e">
        <v>#N/A</v>
      </c>
      <c r="P2287" s="4" t="e">
        <f t="shared" si="175"/>
        <v>#N/A</v>
      </c>
      <c r="Q2287" s="4" t="e">
        <f t="shared" si="176"/>
        <v>#N/A</v>
      </c>
      <c r="R2287" s="4" t="e">
        <f>IF(AND(B2287=1,N2287&gt;'Line Follower'!$C$7,SUM(C2287:K2287)&lt;4),1,0)</f>
        <v>#N/A</v>
      </c>
      <c r="S2287" s="4" t="e">
        <f>IF(AND(L2287=1,N2287&lt;'Line Follower'!$C$6,SUM(C2287:K2287)&lt;4),1,0)</f>
        <v>#N/A</v>
      </c>
      <c r="T2287" s="4" t="e">
        <f t="shared" si="177"/>
        <v>#N/A</v>
      </c>
      <c r="U2287" s="5" t="e">
        <f t="shared" si="178"/>
        <v>#N/A</v>
      </c>
      <c r="V2287" s="23" t="e">
        <f t="shared" si="179"/>
        <v>#N/A</v>
      </c>
    </row>
    <row r="2288" spans="2:22" x14ac:dyDescent="0.25">
      <c r="B2288" s="16">
        <v>1</v>
      </c>
      <c r="C2288" s="7">
        <v>0</v>
      </c>
      <c r="D2288" s="8">
        <v>1</v>
      </c>
      <c r="E2288" s="8">
        <v>1</v>
      </c>
      <c r="F2288" s="8">
        <v>0</v>
      </c>
      <c r="G2288" s="8">
        <v>1</v>
      </c>
      <c r="H2288" s="8">
        <v>1</v>
      </c>
      <c r="I2288" s="8">
        <v>1</v>
      </c>
      <c r="J2288" s="8">
        <v>0</v>
      </c>
      <c r="K2288" s="9">
        <v>0</v>
      </c>
      <c r="L2288" s="10">
        <v>0</v>
      </c>
      <c r="M2288" s="6">
        <v>1</v>
      </c>
      <c r="N2288" s="37" t="e" cm="1">
        <f t="array" ref="N2288">IF(OR(ISNUMBER(FIND(Aux!$D$3:$D$9,_xlfn.TEXTJOIN(,,C2288:K2288)))),NA(),IF(AND(SUM(C2288:F2288,H2288:K2288)=0,G2288=1),0,INT((SUMPRODUCT(C2288:F2288,COLUMN($A$1:$D$1)-1)+SUMPRODUCT(H2288:K2288,COLUMN($E$1:$H$1)-1))*'Line Follower'!$C$3/SUM(C2288:F2288,H2288:K2288)-'Line Follower'!$C$5)))</f>
        <v>#N/A</v>
      </c>
      <c r="O2288" s="22" t="e">
        <v>#N/A</v>
      </c>
      <c r="P2288" s="4" t="e">
        <f t="shared" si="175"/>
        <v>#N/A</v>
      </c>
      <c r="Q2288" s="4" t="e">
        <f t="shared" si="176"/>
        <v>#N/A</v>
      </c>
      <c r="R2288" s="4" t="e">
        <f>IF(AND(B2288=1,N2288&gt;'Line Follower'!$C$7,SUM(C2288:K2288)&lt;4),1,0)</f>
        <v>#N/A</v>
      </c>
      <c r="S2288" s="4" t="e">
        <f>IF(AND(L2288=1,N2288&lt;'Line Follower'!$C$6,SUM(C2288:K2288)&lt;4),1,0)</f>
        <v>#N/A</v>
      </c>
      <c r="T2288" s="4" t="e">
        <f t="shared" si="177"/>
        <v>#N/A</v>
      </c>
      <c r="U2288" s="5" t="e">
        <f t="shared" si="178"/>
        <v>#N/A</v>
      </c>
      <c r="V2288" s="23" t="e">
        <f t="shared" si="179"/>
        <v>#N/A</v>
      </c>
    </row>
    <row r="2289" spans="2:22" x14ac:dyDescent="0.25">
      <c r="B2289" s="16">
        <v>0</v>
      </c>
      <c r="C2289" s="7">
        <v>1</v>
      </c>
      <c r="D2289" s="8">
        <v>1</v>
      </c>
      <c r="E2289" s="8">
        <v>1</v>
      </c>
      <c r="F2289" s="8">
        <v>0</v>
      </c>
      <c r="G2289" s="8">
        <v>1</v>
      </c>
      <c r="H2289" s="8">
        <v>1</v>
      </c>
      <c r="I2289" s="8">
        <v>1</v>
      </c>
      <c r="J2289" s="8">
        <v>0</v>
      </c>
      <c r="K2289" s="9">
        <v>0</v>
      </c>
      <c r="L2289" s="10">
        <v>0</v>
      </c>
      <c r="M2289" s="6">
        <v>1</v>
      </c>
      <c r="N2289" s="37" t="e" cm="1">
        <f t="array" ref="N2289">IF(OR(ISNUMBER(FIND(Aux!$D$3:$D$9,_xlfn.TEXTJOIN(,,C2289:K2289)))),NA(),IF(AND(SUM(C2289:F2289,H2289:K2289)=0,G2289=1),0,INT((SUMPRODUCT(C2289:F2289,COLUMN($A$1:$D$1)-1)+SUMPRODUCT(H2289:K2289,COLUMN($E$1:$H$1)-1))*'Line Follower'!$C$3/SUM(C2289:F2289,H2289:K2289)-'Line Follower'!$C$5)))</f>
        <v>#N/A</v>
      </c>
      <c r="O2289" s="22" t="e">
        <v>#N/A</v>
      </c>
      <c r="P2289" s="4" t="e">
        <f t="shared" si="175"/>
        <v>#N/A</v>
      </c>
      <c r="Q2289" s="4" t="e">
        <f t="shared" si="176"/>
        <v>#N/A</v>
      </c>
      <c r="R2289" s="4" t="e">
        <f>IF(AND(B2289=1,N2289&gt;'Line Follower'!$C$7,SUM(C2289:K2289)&lt;4),1,0)</f>
        <v>#N/A</v>
      </c>
      <c r="S2289" s="4" t="e">
        <f>IF(AND(L2289=1,N2289&lt;'Line Follower'!$C$6,SUM(C2289:K2289)&lt;4),1,0)</f>
        <v>#N/A</v>
      </c>
      <c r="T2289" s="4" t="e">
        <f t="shared" si="177"/>
        <v>#N/A</v>
      </c>
      <c r="U2289" s="5" t="e">
        <f t="shared" si="178"/>
        <v>#N/A</v>
      </c>
      <c r="V2289" s="23" t="e">
        <f t="shared" si="179"/>
        <v>#N/A</v>
      </c>
    </row>
    <row r="2290" spans="2:22" x14ac:dyDescent="0.25">
      <c r="B2290" s="16">
        <v>1</v>
      </c>
      <c r="C2290" s="7">
        <v>1</v>
      </c>
      <c r="D2290" s="8">
        <v>1</v>
      </c>
      <c r="E2290" s="8">
        <v>1</v>
      </c>
      <c r="F2290" s="8">
        <v>0</v>
      </c>
      <c r="G2290" s="8">
        <v>1</v>
      </c>
      <c r="H2290" s="8">
        <v>1</v>
      </c>
      <c r="I2290" s="8">
        <v>1</v>
      </c>
      <c r="J2290" s="8">
        <v>0</v>
      </c>
      <c r="K2290" s="9">
        <v>0</v>
      </c>
      <c r="L2290" s="10">
        <v>0</v>
      </c>
      <c r="M2290" s="6">
        <v>1</v>
      </c>
      <c r="N2290" s="37" t="e" cm="1">
        <f t="array" ref="N2290">IF(OR(ISNUMBER(FIND(Aux!$D$3:$D$9,_xlfn.TEXTJOIN(,,C2290:K2290)))),NA(),IF(AND(SUM(C2290:F2290,H2290:K2290)=0,G2290=1),0,INT((SUMPRODUCT(C2290:F2290,COLUMN($A$1:$D$1)-1)+SUMPRODUCT(H2290:K2290,COLUMN($E$1:$H$1)-1))*'Line Follower'!$C$3/SUM(C2290:F2290,H2290:K2290)-'Line Follower'!$C$5)))</f>
        <v>#N/A</v>
      </c>
      <c r="O2290" s="22" t="e">
        <v>#N/A</v>
      </c>
      <c r="P2290" s="4" t="e">
        <f t="shared" si="175"/>
        <v>#N/A</v>
      </c>
      <c r="Q2290" s="4" t="e">
        <f t="shared" si="176"/>
        <v>#N/A</v>
      </c>
      <c r="R2290" s="4" t="e">
        <f>IF(AND(B2290=1,N2290&gt;'Line Follower'!$C$7,SUM(C2290:K2290)&lt;4),1,0)</f>
        <v>#N/A</v>
      </c>
      <c r="S2290" s="4" t="e">
        <f>IF(AND(L2290=1,N2290&lt;'Line Follower'!$C$6,SUM(C2290:K2290)&lt;4),1,0)</f>
        <v>#N/A</v>
      </c>
      <c r="T2290" s="4" t="e">
        <f t="shared" si="177"/>
        <v>#N/A</v>
      </c>
      <c r="U2290" s="5" t="e">
        <f t="shared" si="178"/>
        <v>#N/A</v>
      </c>
      <c r="V2290" s="23" t="e">
        <f t="shared" si="179"/>
        <v>#N/A</v>
      </c>
    </row>
    <row r="2291" spans="2:22" x14ac:dyDescent="0.25">
      <c r="B2291" s="16">
        <v>0</v>
      </c>
      <c r="C2291" s="7">
        <v>0</v>
      </c>
      <c r="D2291" s="8">
        <v>0</v>
      </c>
      <c r="E2291" s="8">
        <v>0</v>
      </c>
      <c r="F2291" s="8">
        <v>1</v>
      </c>
      <c r="G2291" s="8">
        <v>1</v>
      </c>
      <c r="H2291" s="8">
        <v>1</v>
      </c>
      <c r="I2291" s="8">
        <v>1</v>
      </c>
      <c r="J2291" s="8">
        <v>0</v>
      </c>
      <c r="K2291" s="9">
        <v>0</v>
      </c>
      <c r="L2291" s="10">
        <v>0</v>
      </c>
      <c r="M2291" s="6">
        <v>1</v>
      </c>
      <c r="N2291" s="37" cm="1">
        <f t="array" ref="N2291">IF(OR(ISNUMBER(FIND(Aux!$D$3:$D$9,_xlfn.TEXTJOIN(,,C2291:K2291)))),NA(),IF(AND(SUM(C2291:F2291,H2291:K2291)=0,G2291=1),0,INT((SUMPRODUCT(C2291:F2291,COLUMN($A$1:$D$1)-1)+SUMPRODUCT(H2291:K2291,COLUMN($E$1:$H$1)-1))*'Line Follower'!$C$3/SUM(C2291:F2291,H2291:K2291)-'Line Follower'!$C$5)))</f>
        <v>1</v>
      </c>
      <c r="O2291" s="22">
        <v>1</v>
      </c>
      <c r="P2291" s="4">
        <f t="shared" si="175"/>
        <v>0</v>
      </c>
      <c r="Q2291" s="4">
        <f t="shared" si="176"/>
        <v>1</v>
      </c>
      <c r="R2291" s="4">
        <f>IF(AND(B2291=1,N2291&gt;'Line Follower'!$C$7,SUM(C2291:K2291)&lt;4),1,0)</f>
        <v>0</v>
      </c>
      <c r="S2291" s="4">
        <f>IF(AND(L2291=1,N2291&lt;'Line Follower'!$C$6,SUM(C2291:K2291)&lt;4),1,0)</f>
        <v>0</v>
      </c>
      <c r="T2291" s="4">
        <f t="shared" si="177"/>
        <v>0</v>
      </c>
      <c r="U2291" s="5">
        <f t="shared" si="178"/>
        <v>0</v>
      </c>
      <c r="V2291" s="23">
        <f t="shared" si="179"/>
        <v>0</v>
      </c>
    </row>
    <row r="2292" spans="2:22" x14ac:dyDescent="0.25">
      <c r="B2292" s="16">
        <v>1</v>
      </c>
      <c r="C2292" s="7">
        <v>0</v>
      </c>
      <c r="D2292" s="8">
        <v>0</v>
      </c>
      <c r="E2292" s="8">
        <v>0</v>
      </c>
      <c r="F2292" s="8">
        <v>1</v>
      </c>
      <c r="G2292" s="8">
        <v>1</v>
      </c>
      <c r="H2292" s="8">
        <v>1</v>
      </c>
      <c r="I2292" s="8">
        <v>1</v>
      </c>
      <c r="J2292" s="8">
        <v>0</v>
      </c>
      <c r="K2292" s="9">
        <v>0</v>
      </c>
      <c r="L2292" s="10">
        <v>0</v>
      </c>
      <c r="M2292" s="6">
        <v>1</v>
      </c>
      <c r="N2292" s="37" cm="1">
        <f t="array" ref="N2292">IF(OR(ISNUMBER(FIND(Aux!$D$3:$D$9,_xlfn.TEXTJOIN(,,C2292:K2292)))),NA(),IF(AND(SUM(C2292:F2292,H2292:K2292)=0,G2292=1),0,INT((SUMPRODUCT(C2292:F2292,COLUMN($A$1:$D$1)-1)+SUMPRODUCT(H2292:K2292,COLUMN($E$1:$H$1)-1))*'Line Follower'!$C$3/SUM(C2292:F2292,H2292:K2292)-'Line Follower'!$C$5)))</f>
        <v>1</v>
      </c>
      <c r="O2292" s="22">
        <v>1</v>
      </c>
      <c r="P2292" s="4">
        <f t="shared" si="175"/>
        <v>0</v>
      </c>
      <c r="Q2292" s="4">
        <f t="shared" si="176"/>
        <v>1</v>
      </c>
      <c r="R2292" s="4">
        <f>IF(AND(B2292=1,N2292&gt;'Line Follower'!$C$7,SUM(C2292:K2292)&lt;4),1,0)</f>
        <v>0</v>
      </c>
      <c r="S2292" s="4">
        <f>IF(AND(L2292=1,N2292&lt;'Line Follower'!$C$6,SUM(C2292:K2292)&lt;4),1,0)</f>
        <v>0</v>
      </c>
      <c r="T2292" s="4">
        <f t="shared" si="177"/>
        <v>0</v>
      </c>
      <c r="U2292" s="5">
        <f t="shared" si="178"/>
        <v>0</v>
      </c>
      <c r="V2292" s="23">
        <f t="shared" si="179"/>
        <v>0</v>
      </c>
    </row>
    <row r="2293" spans="2:22" x14ac:dyDescent="0.25">
      <c r="B2293" s="16">
        <v>0</v>
      </c>
      <c r="C2293" s="7">
        <v>1</v>
      </c>
      <c r="D2293" s="8">
        <v>0</v>
      </c>
      <c r="E2293" s="8">
        <v>0</v>
      </c>
      <c r="F2293" s="8">
        <v>1</v>
      </c>
      <c r="G2293" s="8">
        <v>1</v>
      </c>
      <c r="H2293" s="8">
        <v>1</v>
      </c>
      <c r="I2293" s="8">
        <v>1</v>
      </c>
      <c r="J2293" s="8">
        <v>0</v>
      </c>
      <c r="K2293" s="9">
        <v>0</v>
      </c>
      <c r="L2293" s="10">
        <v>0</v>
      </c>
      <c r="M2293" s="6">
        <v>1</v>
      </c>
      <c r="N2293" s="37" t="e" cm="1">
        <f t="array" ref="N2293">IF(OR(ISNUMBER(FIND(Aux!$D$3:$D$9,_xlfn.TEXTJOIN(,,C2293:K2293)))),NA(),IF(AND(SUM(C2293:F2293,H2293:K2293)=0,G2293=1),0,INT((SUMPRODUCT(C2293:F2293,COLUMN($A$1:$D$1)-1)+SUMPRODUCT(H2293:K2293,COLUMN($E$1:$H$1)-1))*'Line Follower'!$C$3/SUM(C2293:F2293,H2293:K2293)-'Line Follower'!$C$5)))</f>
        <v>#N/A</v>
      </c>
      <c r="O2293" s="22" t="e">
        <v>#N/A</v>
      </c>
      <c r="P2293" s="4" t="e">
        <f t="shared" si="175"/>
        <v>#N/A</v>
      </c>
      <c r="Q2293" s="4" t="e">
        <f t="shared" si="176"/>
        <v>#N/A</v>
      </c>
      <c r="R2293" s="4" t="e">
        <f>IF(AND(B2293=1,N2293&gt;'Line Follower'!$C$7,SUM(C2293:K2293)&lt;4),1,0)</f>
        <v>#N/A</v>
      </c>
      <c r="S2293" s="4" t="e">
        <f>IF(AND(L2293=1,N2293&lt;'Line Follower'!$C$6,SUM(C2293:K2293)&lt;4),1,0)</f>
        <v>#N/A</v>
      </c>
      <c r="T2293" s="4" t="e">
        <f t="shared" si="177"/>
        <v>#N/A</v>
      </c>
      <c r="U2293" s="5" t="e">
        <f t="shared" si="178"/>
        <v>#N/A</v>
      </c>
      <c r="V2293" s="23" t="e">
        <f t="shared" si="179"/>
        <v>#N/A</v>
      </c>
    </row>
    <row r="2294" spans="2:22" x14ac:dyDescent="0.25">
      <c r="B2294" s="16">
        <v>1</v>
      </c>
      <c r="C2294" s="7">
        <v>1</v>
      </c>
      <c r="D2294" s="8">
        <v>0</v>
      </c>
      <c r="E2294" s="8">
        <v>0</v>
      </c>
      <c r="F2294" s="8">
        <v>1</v>
      </c>
      <c r="G2294" s="8">
        <v>1</v>
      </c>
      <c r="H2294" s="8">
        <v>1</v>
      </c>
      <c r="I2294" s="8">
        <v>1</v>
      </c>
      <c r="J2294" s="8">
        <v>0</v>
      </c>
      <c r="K2294" s="9">
        <v>0</v>
      </c>
      <c r="L2294" s="10">
        <v>0</v>
      </c>
      <c r="M2294" s="6">
        <v>1</v>
      </c>
      <c r="N2294" s="37" t="e" cm="1">
        <f t="array" ref="N2294">IF(OR(ISNUMBER(FIND(Aux!$D$3:$D$9,_xlfn.TEXTJOIN(,,C2294:K2294)))),NA(),IF(AND(SUM(C2294:F2294,H2294:K2294)=0,G2294=1),0,INT((SUMPRODUCT(C2294:F2294,COLUMN($A$1:$D$1)-1)+SUMPRODUCT(H2294:K2294,COLUMN($E$1:$H$1)-1))*'Line Follower'!$C$3/SUM(C2294:F2294,H2294:K2294)-'Line Follower'!$C$5)))</f>
        <v>#N/A</v>
      </c>
      <c r="O2294" s="22" t="e">
        <v>#N/A</v>
      </c>
      <c r="P2294" s="4" t="e">
        <f t="shared" si="175"/>
        <v>#N/A</v>
      </c>
      <c r="Q2294" s="4" t="e">
        <f t="shared" si="176"/>
        <v>#N/A</v>
      </c>
      <c r="R2294" s="4" t="e">
        <f>IF(AND(B2294=1,N2294&gt;'Line Follower'!$C$7,SUM(C2294:K2294)&lt;4),1,0)</f>
        <v>#N/A</v>
      </c>
      <c r="S2294" s="4" t="e">
        <f>IF(AND(L2294=1,N2294&lt;'Line Follower'!$C$6,SUM(C2294:K2294)&lt;4),1,0)</f>
        <v>#N/A</v>
      </c>
      <c r="T2294" s="4" t="e">
        <f t="shared" si="177"/>
        <v>#N/A</v>
      </c>
      <c r="U2294" s="5" t="e">
        <f t="shared" si="178"/>
        <v>#N/A</v>
      </c>
      <c r="V2294" s="23" t="e">
        <f t="shared" si="179"/>
        <v>#N/A</v>
      </c>
    </row>
    <row r="2295" spans="2:22" x14ac:dyDescent="0.25">
      <c r="B2295" s="16">
        <v>0</v>
      </c>
      <c r="C2295" s="7">
        <v>0</v>
      </c>
      <c r="D2295" s="8">
        <v>1</v>
      </c>
      <c r="E2295" s="8">
        <v>0</v>
      </c>
      <c r="F2295" s="8">
        <v>1</v>
      </c>
      <c r="G2295" s="8">
        <v>1</v>
      </c>
      <c r="H2295" s="8">
        <v>1</v>
      </c>
      <c r="I2295" s="8">
        <v>1</v>
      </c>
      <c r="J2295" s="8">
        <v>0</v>
      </c>
      <c r="K2295" s="9">
        <v>0</v>
      </c>
      <c r="L2295" s="10">
        <v>0</v>
      </c>
      <c r="M2295" s="6">
        <v>1</v>
      </c>
      <c r="N2295" s="37" t="e" cm="1">
        <f t="array" ref="N2295">IF(OR(ISNUMBER(FIND(Aux!$D$3:$D$9,_xlfn.TEXTJOIN(,,C2295:K2295)))),NA(),IF(AND(SUM(C2295:F2295,H2295:K2295)=0,G2295=1),0,INT((SUMPRODUCT(C2295:F2295,COLUMN($A$1:$D$1)-1)+SUMPRODUCT(H2295:K2295,COLUMN($E$1:$H$1)-1))*'Line Follower'!$C$3/SUM(C2295:F2295,H2295:K2295)-'Line Follower'!$C$5)))</f>
        <v>#N/A</v>
      </c>
      <c r="O2295" s="22" t="e">
        <v>#N/A</v>
      </c>
      <c r="P2295" s="4" t="e">
        <f t="shared" si="175"/>
        <v>#N/A</v>
      </c>
      <c r="Q2295" s="4" t="e">
        <f t="shared" si="176"/>
        <v>#N/A</v>
      </c>
      <c r="R2295" s="4" t="e">
        <f>IF(AND(B2295=1,N2295&gt;'Line Follower'!$C$7,SUM(C2295:K2295)&lt;4),1,0)</f>
        <v>#N/A</v>
      </c>
      <c r="S2295" s="4" t="e">
        <f>IF(AND(L2295=1,N2295&lt;'Line Follower'!$C$6,SUM(C2295:K2295)&lt;4),1,0)</f>
        <v>#N/A</v>
      </c>
      <c r="T2295" s="4" t="e">
        <f t="shared" si="177"/>
        <v>#N/A</v>
      </c>
      <c r="U2295" s="5" t="e">
        <f t="shared" si="178"/>
        <v>#N/A</v>
      </c>
      <c r="V2295" s="23" t="e">
        <f t="shared" si="179"/>
        <v>#N/A</v>
      </c>
    </row>
    <row r="2296" spans="2:22" x14ac:dyDescent="0.25">
      <c r="B2296" s="16">
        <v>1</v>
      </c>
      <c r="C2296" s="7">
        <v>0</v>
      </c>
      <c r="D2296" s="8">
        <v>1</v>
      </c>
      <c r="E2296" s="8">
        <v>0</v>
      </c>
      <c r="F2296" s="8">
        <v>1</v>
      </c>
      <c r="G2296" s="8">
        <v>1</v>
      </c>
      <c r="H2296" s="8">
        <v>1</v>
      </c>
      <c r="I2296" s="8">
        <v>1</v>
      </c>
      <c r="J2296" s="8">
        <v>0</v>
      </c>
      <c r="K2296" s="9">
        <v>0</v>
      </c>
      <c r="L2296" s="10">
        <v>0</v>
      </c>
      <c r="M2296" s="6">
        <v>1</v>
      </c>
      <c r="N2296" s="37" t="e" cm="1">
        <f t="array" ref="N2296">IF(OR(ISNUMBER(FIND(Aux!$D$3:$D$9,_xlfn.TEXTJOIN(,,C2296:K2296)))),NA(),IF(AND(SUM(C2296:F2296,H2296:K2296)=0,G2296=1),0,INT((SUMPRODUCT(C2296:F2296,COLUMN($A$1:$D$1)-1)+SUMPRODUCT(H2296:K2296,COLUMN($E$1:$H$1)-1))*'Line Follower'!$C$3/SUM(C2296:F2296,H2296:K2296)-'Line Follower'!$C$5)))</f>
        <v>#N/A</v>
      </c>
      <c r="O2296" s="22" t="e">
        <v>#N/A</v>
      </c>
      <c r="P2296" s="4" t="e">
        <f t="shared" si="175"/>
        <v>#N/A</v>
      </c>
      <c r="Q2296" s="4" t="e">
        <f t="shared" si="176"/>
        <v>#N/A</v>
      </c>
      <c r="R2296" s="4" t="e">
        <f>IF(AND(B2296=1,N2296&gt;'Line Follower'!$C$7,SUM(C2296:K2296)&lt;4),1,0)</f>
        <v>#N/A</v>
      </c>
      <c r="S2296" s="4" t="e">
        <f>IF(AND(L2296=1,N2296&lt;'Line Follower'!$C$6,SUM(C2296:K2296)&lt;4),1,0)</f>
        <v>#N/A</v>
      </c>
      <c r="T2296" s="4" t="e">
        <f t="shared" si="177"/>
        <v>#N/A</v>
      </c>
      <c r="U2296" s="5" t="e">
        <f t="shared" si="178"/>
        <v>#N/A</v>
      </c>
      <c r="V2296" s="23" t="e">
        <f t="shared" si="179"/>
        <v>#N/A</v>
      </c>
    </row>
    <row r="2297" spans="2:22" x14ac:dyDescent="0.25">
      <c r="B2297" s="16">
        <v>0</v>
      </c>
      <c r="C2297" s="7">
        <v>1</v>
      </c>
      <c r="D2297" s="8">
        <v>1</v>
      </c>
      <c r="E2297" s="8">
        <v>0</v>
      </c>
      <c r="F2297" s="8">
        <v>1</v>
      </c>
      <c r="G2297" s="8">
        <v>1</v>
      </c>
      <c r="H2297" s="8">
        <v>1</v>
      </c>
      <c r="I2297" s="8">
        <v>1</v>
      </c>
      <c r="J2297" s="8">
        <v>0</v>
      </c>
      <c r="K2297" s="9">
        <v>0</v>
      </c>
      <c r="L2297" s="10">
        <v>0</v>
      </c>
      <c r="M2297" s="6">
        <v>1</v>
      </c>
      <c r="N2297" s="37" t="e" cm="1">
        <f t="array" ref="N2297">IF(OR(ISNUMBER(FIND(Aux!$D$3:$D$9,_xlfn.TEXTJOIN(,,C2297:K2297)))),NA(),IF(AND(SUM(C2297:F2297,H2297:K2297)=0,G2297=1),0,INT((SUMPRODUCT(C2297:F2297,COLUMN($A$1:$D$1)-1)+SUMPRODUCT(H2297:K2297,COLUMN($E$1:$H$1)-1))*'Line Follower'!$C$3/SUM(C2297:F2297,H2297:K2297)-'Line Follower'!$C$5)))</f>
        <v>#N/A</v>
      </c>
      <c r="O2297" s="22" t="e">
        <v>#N/A</v>
      </c>
      <c r="P2297" s="4" t="e">
        <f t="shared" si="175"/>
        <v>#N/A</v>
      </c>
      <c r="Q2297" s="4" t="e">
        <f t="shared" si="176"/>
        <v>#N/A</v>
      </c>
      <c r="R2297" s="4" t="e">
        <f>IF(AND(B2297=1,N2297&gt;'Line Follower'!$C$7,SUM(C2297:K2297)&lt;4),1,0)</f>
        <v>#N/A</v>
      </c>
      <c r="S2297" s="4" t="e">
        <f>IF(AND(L2297=1,N2297&lt;'Line Follower'!$C$6,SUM(C2297:K2297)&lt;4),1,0)</f>
        <v>#N/A</v>
      </c>
      <c r="T2297" s="4" t="e">
        <f t="shared" si="177"/>
        <v>#N/A</v>
      </c>
      <c r="U2297" s="5" t="e">
        <f t="shared" si="178"/>
        <v>#N/A</v>
      </c>
      <c r="V2297" s="23" t="e">
        <f t="shared" si="179"/>
        <v>#N/A</v>
      </c>
    </row>
    <row r="2298" spans="2:22" x14ac:dyDescent="0.25">
      <c r="B2298" s="16">
        <v>1</v>
      </c>
      <c r="C2298" s="7">
        <v>1</v>
      </c>
      <c r="D2298" s="8">
        <v>1</v>
      </c>
      <c r="E2298" s="8">
        <v>0</v>
      </c>
      <c r="F2298" s="8">
        <v>1</v>
      </c>
      <c r="G2298" s="8">
        <v>1</v>
      </c>
      <c r="H2298" s="8">
        <v>1</v>
      </c>
      <c r="I2298" s="8">
        <v>1</v>
      </c>
      <c r="J2298" s="8">
        <v>0</v>
      </c>
      <c r="K2298" s="9">
        <v>0</v>
      </c>
      <c r="L2298" s="10">
        <v>0</v>
      </c>
      <c r="M2298" s="6">
        <v>1</v>
      </c>
      <c r="N2298" s="37" t="e" cm="1">
        <f t="array" ref="N2298">IF(OR(ISNUMBER(FIND(Aux!$D$3:$D$9,_xlfn.TEXTJOIN(,,C2298:K2298)))),NA(),IF(AND(SUM(C2298:F2298,H2298:K2298)=0,G2298=1),0,INT((SUMPRODUCT(C2298:F2298,COLUMN($A$1:$D$1)-1)+SUMPRODUCT(H2298:K2298,COLUMN($E$1:$H$1)-1))*'Line Follower'!$C$3/SUM(C2298:F2298,H2298:K2298)-'Line Follower'!$C$5)))</f>
        <v>#N/A</v>
      </c>
      <c r="O2298" s="22" t="e">
        <v>#N/A</v>
      </c>
      <c r="P2298" s="4" t="e">
        <f t="shared" si="175"/>
        <v>#N/A</v>
      </c>
      <c r="Q2298" s="4" t="e">
        <f t="shared" si="176"/>
        <v>#N/A</v>
      </c>
      <c r="R2298" s="4" t="e">
        <f>IF(AND(B2298=1,N2298&gt;'Line Follower'!$C$7,SUM(C2298:K2298)&lt;4),1,0)</f>
        <v>#N/A</v>
      </c>
      <c r="S2298" s="4" t="e">
        <f>IF(AND(L2298=1,N2298&lt;'Line Follower'!$C$6,SUM(C2298:K2298)&lt;4),1,0)</f>
        <v>#N/A</v>
      </c>
      <c r="T2298" s="4" t="e">
        <f t="shared" si="177"/>
        <v>#N/A</v>
      </c>
      <c r="U2298" s="5" t="e">
        <f t="shared" si="178"/>
        <v>#N/A</v>
      </c>
      <c r="V2298" s="23" t="e">
        <f t="shared" si="179"/>
        <v>#N/A</v>
      </c>
    </row>
    <row r="2299" spans="2:22" x14ac:dyDescent="0.25">
      <c r="B2299" s="16">
        <v>0</v>
      </c>
      <c r="C2299" s="7">
        <v>0</v>
      </c>
      <c r="D2299" s="8">
        <v>0</v>
      </c>
      <c r="E2299" s="8">
        <v>1</v>
      </c>
      <c r="F2299" s="8">
        <v>1</v>
      </c>
      <c r="G2299" s="8">
        <v>1</v>
      </c>
      <c r="H2299" s="8">
        <v>1</v>
      </c>
      <c r="I2299" s="8">
        <v>1</v>
      </c>
      <c r="J2299" s="8">
        <v>0</v>
      </c>
      <c r="K2299" s="9">
        <v>0</v>
      </c>
      <c r="L2299" s="10">
        <v>0</v>
      </c>
      <c r="M2299" s="6">
        <v>1</v>
      </c>
      <c r="N2299" s="37" cm="1">
        <f t="array" ref="N2299">IF(OR(ISNUMBER(FIND(Aux!$D$3:$D$9,_xlfn.TEXTJOIN(,,C2299:K2299)))),NA(),IF(AND(SUM(C2299:F2299,H2299:K2299)=0,G2299=1),0,INT((SUMPRODUCT(C2299:F2299,COLUMN($A$1:$D$1)-1)+SUMPRODUCT(H2299:K2299,COLUMN($E$1:$H$1)-1))*'Line Follower'!$C$3/SUM(C2299:F2299,H2299:K2299)-'Line Follower'!$C$5)))</f>
        <v>0</v>
      </c>
      <c r="O2299" s="22">
        <v>1</v>
      </c>
      <c r="P2299" s="4">
        <f t="shared" si="175"/>
        <v>1</v>
      </c>
      <c r="Q2299" s="4">
        <f t="shared" si="176"/>
        <v>1</v>
      </c>
      <c r="R2299" s="4">
        <f>IF(AND(B2299=1,N2299&gt;'Line Follower'!$C$7,SUM(C2299:K2299)&lt;4),1,0)</f>
        <v>0</v>
      </c>
      <c r="S2299" s="4">
        <f>IF(AND(L2299=1,N2299&lt;'Line Follower'!$C$6,SUM(C2299:K2299)&lt;4),1,0)</f>
        <v>0</v>
      </c>
      <c r="T2299" s="4">
        <f t="shared" si="177"/>
        <v>0</v>
      </c>
      <c r="U2299" s="5">
        <f t="shared" si="178"/>
        <v>0</v>
      </c>
      <c r="V2299" s="23">
        <f t="shared" si="179"/>
        <v>0</v>
      </c>
    </row>
    <row r="2300" spans="2:22" x14ac:dyDescent="0.25">
      <c r="B2300" s="16">
        <v>1</v>
      </c>
      <c r="C2300" s="7">
        <v>0</v>
      </c>
      <c r="D2300" s="8">
        <v>0</v>
      </c>
      <c r="E2300" s="8">
        <v>1</v>
      </c>
      <c r="F2300" s="8">
        <v>1</v>
      </c>
      <c r="G2300" s="8">
        <v>1</v>
      </c>
      <c r="H2300" s="8">
        <v>1</v>
      </c>
      <c r="I2300" s="8">
        <v>1</v>
      </c>
      <c r="J2300" s="8">
        <v>0</v>
      </c>
      <c r="K2300" s="9">
        <v>0</v>
      </c>
      <c r="L2300" s="10">
        <v>0</v>
      </c>
      <c r="M2300" s="6">
        <v>1</v>
      </c>
      <c r="N2300" s="37" cm="1">
        <f t="array" ref="N2300">IF(OR(ISNUMBER(FIND(Aux!$D$3:$D$9,_xlfn.TEXTJOIN(,,C2300:K2300)))),NA(),IF(AND(SUM(C2300:F2300,H2300:K2300)=0,G2300=1),0,INT((SUMPRODUCT(C2300:F2300,COLUMN($A$1:$D$1)-1)+SUMPRODUCT(H2300:K2300,COLUMN($E$1:$H$1)-1))*'Line Follower'!$C$3/SUM(C2300:F2300,H2300:K2300)-'Line Follower'!$C$5)))</f>
        <v>0</v>
      </c>
      <c r="O2300" s="22">
        <v>1</v>
      </c>
      <c r="P2300" s="4">
        <f t="shared" si="175"/>
        <v>1</v>
      </c>
      <c r="Q2300" s="4">
        <f t="shared" si="176"/>
        <v>1</v>
      </c>
      <c r="R2300" s="4">
        <f>IF(AND(B2300=1,N2300&gt;'Line Follower'!$C$7,SUM(C2300:K2300)&lt;4),1,0)</f>
        <v>0</v>
      </c>
      <c r="S2300" s="4">
        <f>IF(AND(L2300=1,N2300&lt;'Line Follower'!$C$6,SUM(C2300:K2300)&lt;4),1,0)</f>
        <v>0</v>
      </c>
      <c r="T2300" s="4">
        <f t="shared" si="177"/>
        <v>0</v>
      </c>
      <c r="U2300" s="5">
        <f t="shared" si="178"/>
        <v>0</v>
      </c>
      <c r="V2300" s="23">
        <f t="shared" si="179"/>
        <v>0</v>
      </c>
    </row>
    <row r="2301" spans="2:22" x14ac:dyDescent="0.25">
      <c r="B2301" s="16">
        <v>0</v>
      </c>
      <c r="C2301" s="7">
        <v>1</v>
      </c>
      <c r="D2301" s="8">
        <v>0</v>
      </c>
      <c r="E2301" s="8">
        <v>1</v>
      </c>
      <c r="F2301" s="8">
        <v>1</v>
      </c>
      <c r="G2301" s="8">
        <v>1</v>
      </c>
      <c r="H2301" s="8">
        <v>1</v>
      </c>
      <c r="I2301" s="8">
        <v>1</v>
      </c>
      <c r="J2301" s="8">
        <v>0</v>
      </c>
      <c r="K2301" s="9">
        <v>0</v>
      </c>
      <c r="L2301" s="10">
        <v>0</v>
      </c>
      <c r="M2301" s="6">
        <v>1</v>
      </c>
      <c r="N2301" s="37" t="e" cm="1">
        <f t="array" ref="N2301">IF(OR(ISNUMBER(FIND(Aux!$D$3:$D$9,_xlfn.TEXTJOIN(,,C2301:K2301)))),NA(),IF(AND(SUM(C2301:F2301,H2301:K2301)=0,G2301=1),0,INT((SUMPRODUCT(C2301:F2301,COLUMN($A$1:$D$1)-1)+SUMPRODUCT(H2301:K2301,COLUMN($E$1:$H$1)-1))*'Line Follower'!$C$3/SUM(C2301:F2301,H2301:K2301)-'Line Follower'!$C$5)))</f>
        <v>#N/A</v>
      </c>
      <c r="O2301" s="22" t="e">
        <v>#N/A</v>
      </c>
      <c r="P2301" s="4" t="e">
        <f t="shared" si="175"/>
        <v>#N/A</v>
      </c>
      <c r="Q2301" s="4" t="e">
        <f t="shared" si="176"/>
        <v>#N/A</v>
      </c>
      <c r="R2301" s="4" t="e">
        <f>IF(AND(B2301=1,N2301&gt;'Line Follower'!$C$7,SUM(C2301:K2301)&lt;4),1,0)</f>
        <v>#N/A</v>
      </c>
      <c r="S2301" s="4" t="e">
        <f>IF(AND(L2301=1,N2301&lt;'Line Follower'!$C$6,SUM(C2301:K2301)&lt;4),1,0)</f>
        <v>#N/A</v>
      </c>
      <c r="T2301" s="4" t="e">
        <f t="shared" si="177"/>
        <v>#N/A</v>
      </c>
      <c r="U2301" s="5" t="e">
        <f t="shared" si="178"/>
        <v>#N/A</v>
      </c>
      <c r="V2301" s="23" t="e">
        <f t="shared" si="179"/>
        <v>#N/A</v>
      </c>
    </row>
    <row r="2302" spans="2:22" x14ac:dyDescent="0.25">
      <c r="B2302" s="16">
        <v>1</v>
      </c>
      <c r="C2302" s="7">
        <v>1</v>
      </c>
      <c r="D2302" s="8">
        <v>0</v>
      </c>
      <c r="E2302" s="8">
        <v>1</v>
      </c>
      <c r="F2302" s="8">
        <v>1</v>
      </c>
      <c r="G2302" s="8">
        <v>1</v>
      </c>
      <c r="H2302" s="8">
        <v>1</v>
      </c>
      <c r="I2302" s="8">
        <v>1</v>
      </c>
      <c r="J2302" s="8">
        <v>0</v>
      </c>
      <c r="K2302" s="9">
        <v>0</v>
      </c>
      <c r="L2302" s="10">
        <v>0</v>
      </c>
      <c r="M2302" s="6">
        <v>1</v>
      </c>
      <c r="N2302" s="37" t="e" cm="1">
        <f t="array" ref="N2302">IF(OR(ISNUMBER(FIND(Aux!$D$3:$D$9,_xlfn.TEXTJOIN(,,C2302:K2302)))),NA(),IF(AND(SUM(C2302:F2302,H2302:K2302)=0,G2302=1),0,INT((SUMPRODUCT(C2302:F2302,COLUMN($A$1:$D$1)-1)+SUMPRODUCT(H2302:K2302,COLUMN($E$1:$H$1)-1))*'Line Follower'!$C$3/SUM(C2302:F2302,H2302:K2302)-'Line Follower'!$C$5)))</f>
        <v>#N/A</v>
      </c>
      <c r="O2302" s="22" t="e">
        <v>#N/A</v>
      </c>
      <c r="P2302" s="4" t="e">
        <f t="shared" si="175"/>
        <v>#N/A</v>
      </c>
      <c r="Q2302" s="4" t="e">
        <f t="shared" si="176"/>
        <v>#N/A</v>
      </c>
      <c r="R2302" s="4" t="e">
        <f>IF(AND(B2302=1,N2302&gt;'Line Follower'!$C$7,SUM(C2302:K2302)&lt;4),1,0)</f>
        <v>#N/A</v>
      </c>
      <c r="S2302" s="4" t="e">
        <f>IF(AND(L2302=1,N2302&lt;'Line Follower'!$C$6,SUM(C2302:K2302)&lt;4),1,0)</f>
        <v>#N/A</v>
      </c>
      <c r="T2302" s="4" t="e">
        <f t="shared" si="177"/>
        <v>#N/A</v>
      </c>
      <c r="U2302" s="5" t="e">
        <f t="shared" si="178"/>
        <v>#N/A</v>
      </c>
      <c r="V2302" s="23" t="e">
        <f t="shared" si="179"/>
        <v>#N/A</v>
      </c>
    </row>
    <row r="2303" spans="2:22" x14ac:dyDescent="0.25">
      <c r="B2303" s="16">
        <v>0</v>
      </c>
      <c r="C2303" s="7">
        <v>0</v>
      </c>
      <c r="D2303" s="8">
        <v>1</v>
      </c>
      <c r="E2303" s="8">
        <v>1</v>
      </c>
      <c r="F2303" s="8">
        <v>1</v>
      </c>
      <c r="G2303" s="8">
        <v>1</v>
      </c>
      <c r="H2303" s="8">
        <v>1</v>
      </c>
      <c r="I2303" s="8">
        <v>1</v>
      </c>
      <c r="J2303" s="8">
        <v>0</v>
      </c>
      <c r="K2303" s="9">
        <v>0</v>
      </c>
      <c r="L2303" s="10">
        <v>0</v>
      </c>
      <c r="M2303" s="6">
        <v>1</v>
      </c>
      <c r="N2303" s="37" cm="1">
        <f t="array" ref="N2303">IF(OR(ISNUMBER(FIND(Aux!$D$3:$D$9,_xlfn.TEXTJOIN(,,C2303:K2303)))),NA(),IF(AND(SUM(C2303:F2303,H2303:K2303)=0,G2303=1),0,INT((SUMPRODUCT(C2303:F2303,COLUMN($A$1:$D$1)-1)+SUMPRODUCT(H2303:K2303,COLUMN($E$1:$H$1)-1))*'Line Follower'!$C$3/SUM(C2303:F2303,H2303:K2303)-'Line Follower'!$C$5)))</f>
        <v>-1</v>
      </c>
      <c r="O2303" s="22">
        <v>1</v>
      </c>
      <c r="P2303" s="4">
        <f t="shared" si="175"/>
        <v>0</v>
      </c>
      <c r="Q2303" s="4">
        <f t="shared" si="176"/>
        <v>1</v>
      </c>
      <c r="R2303" s="4">
        <f>IF(AND(B2303=1,N2303&gt;'Line Follower'!$C$7,SUM(C2303:K2303)&lt;4),1,0)</f>
        <v>0</v>
      </c>
      <c r="S2303" s="4">
        <f>IF(AND(L2303=1,N2303&lt;'Line Follower'!$C$6,SUM(C2303:K2303)&lt;4),1,0)</f>
        <v>0</v>
      </c>
      <c r="T2303" s="4">
        <f t="shared" si="177"/>
        <v>0</v>
      </c>
      <c r="U2303" s="5">
        <f t="shared" si="178"/>
        <v>0</v>
      </c>
      <c r="V2303" s="23">
        <f t="shared" si="179"/>
        <v>0</v>
      </c>
    </row>
    <row r="2304" spans="2:22" x14ac:dyDescent="0.25">
      <c r="B2304" s="16">
        <v>1</v>
      </c>
      <c r="C2304" s="7">
        <v>0</v>
      </c>
      <c r="D2304" s="8">
        <v>1</v>
      </c>
      <c r="E2304" s="8">
        <v>1</v>
      </c>
      <c r="F2304" s="8">
        <v>1</v>
      </c>
      <c r="G2304" s="8">
        <v>1</v>
      </c>
      <c r="H2304" s="8">
        <v>1</v>
      </c>
      <c r="I2304" s="8">
        <v>1</v>
      </c>
      <c r="J2304" s="8">
        <v>0</v>
      </c>
      <c r="K2304" s="9">
        <v>0</v>
      </c>
      <c r="L2304" s="10">
        <v>0</v>
      </c>
      <c r="M2304" s="6">
        <v>1</v>
      </c>
      <c r="N2304" s="37" cm="1">
        <f t="array" ref="N2304">IF(OR(ISNUMBER(FIND(Aux!$D$3:$D$9,_xlfn.TEXTJOIN(,,C2304:K2304)))),NA(),IF(AND(SUM(C2304:F2304,H2304:K2304)=0,G2304=1),0,INT((SUMPRODUCT(C2304:F2304,COLUMN($A$1:$D$1)-1)+SUMPRODUCT(H2304:K2304,COLUMN($E$1:$H$1)-1))*'Line Follower'!$C$3/SUM(C2304:F2304,H2304:K2304)-'Line Follower'!$C$5)))</f>
        <v>-1</v>
      </c>
      <c r="O2304" s="22">
        <v>1</v>
      </c>
      <c r="P2304" s="4">
        <f t="shared" si="175"/>
        <v>0</v>
      </c>
      <c r="Q2304" s="4">
        <f t="shared" si="176"/>
        <v>1</v>
      </c>
      <c r="R2304" s="4">
        <f>IF(AND(B2304=1,N2304&gt;'Line Follower'!$C$7,SUM(C2304:K2304)&lt;4),1,0)</f>
        <v>0</v>
      </c>
      <c r="S2304" s="4">
        <f>IF(AND(L2304=1,N2304&lt;'Line Follower'!$C$6,SUM(C2304:K2304)&lt;4),1,0)</f>
        <v>0</v>
      </c>
      <c r="T2304" s="4">
        <f t="shared" si="177"/>
        <v>0</v>
      </c>
      <c r="U2304" s="5">
        <f t="shared" si="178"/>
        <v>0</v>
      </c>
      <c r="V2304" s="23">
        <f t="shared" si="179"/>
        <v>0</v>
      </c>
    </row>
    <row r="2305" spans="2:22" x14ac:dyDescent="0.25">
      <c r="B2305" s="16">
        <v>0</v>
      </c>
      <c r="C2305" s="7">
        <v>1</v>
      </c>
      <c r="D2305" s="8">
        <v>1</v>
      </c>
      <c r="E2305" s="8">
        <v>1</v>
      </c>
      <c r="F2305" s="8">
        <v>1</v>
      </c>
      <c r="G2305" s="8">
        <v>1</v>
      </c>
      <c r="H2305" s="8">
        <v>1</v>
      </c>
      <c r="I2305" s="8">
        <v>1</v>
      </c>
      <c r="J2305" s="8">
        <v>0</v>
      </c>
      <c r="K2305" s="9">
        <v>0</v>
      </c>
      <c r="L2305" s="10">
        <v>0</v>
      </c>
      <c r="M2305" s="6">
        <v>1</v>
      </c>
      <c r="N2305" s="37" cm="1">
        <f t="array" ref="N2305">IF(OR(ISNUMBER(FIND(Aux!$D$3:$D$9,_xlfn.TEXTJOIN(,,C2305:K2305)))),NA(),IF(AND(SUM(C2305:F2305,H2305:K2305)=0,G2305=1),0,INT((SUMPRODUCT(C2305:F2305,COLUMN($A$1:$D$1)-1)+SUMPRODUCT(H2305:K2305,COLUMN($E$1:$H$1)-1))*'Line Follower'!$C$3/SUM(C2305:F2305,H2305:K2305)-'Line Follower'!$C$5)))</f>
        <v>-2</v>
      </c>
      <c r="O2305" s="22">
        <v>1</v>
      </c>
      <c r="P2305" s="4">
        <f t="shared" si="175"/>
        <v>0</v>
      </c>
      <c r="Q2305" s="4">
        <f t="shared" si="176"/>
        <v>1</v>
      </c>
      <c r="R2305" s="4">
        <f>IF(AND(B2305=1,N2305&gt;'Line Follower'!$C$7,SUM(C2305:K2305)&lt;4),1,0)</f>
        <v>0</v>
      </c>
      <c r="S2305" s="4">
        <f>IF(AND(L2305=1,N2305&lt;'Line Follower'!$C$6,SUM(C2305:K2305)&lt;4),1,0)</f>
        <v>0</v>
      </c>
      <c r="T2305" s="4">
        <f t="shared" si="177"/>
        <v>0</v>
      </c>
      <c r="U2305" s="5">
        <f t="shared" si="178"/>
        <v>0</v>
      </c>
      <c r="V2305" s="23">
        <f t="shared" si="179"/>
        <v>0</v>
      </c>
    </row>
    <row r="2306" spans="2:22" x14ac:dyDescent="0.25">
      <c r="B2306" s="16">
        <v>1</v>
      </c>
      <c r="C2306" s="7">
        <v>1</v>
      </c>
      <c r="D2306" s="8">
        <v>1</v>
      </c>
      <c r="E2306" s="8">
        <v>1</v>
      </c>
      <c r="F2306" s="8">
        <v>1</v>
      </c>
      <c r="G2306" s="8">
        <v>1</v>
      </c>
      <c r="H2306" s="8">
        <v>1</v>
      </c>
      <c r="I2306" s="8">
        <v>1</v>
      </c>
      <c r="J2306" s="8">
        <v>0</v>
      </c>
      <c r="K2306" s="9">
        <v>0</v>
      </c>
      <c r="L2306" s="10">
        <v>0</v>
      </c>
      <c r="M2306" s="6">
        <v>1</v>
      </c>
      <c r="N2306" s="37" cm="1">
        <f t="array" ref="N2306">IF(OR(ISNUMBER(FIND(Aux!$D$3:$D$9,_xlfn.TEXTJOIN(,,C2306:K2306)))),NA(),IF(AND(SUM(C2306:F2306,H2306:K2306)=0,G2306=1),0,INT((SUMPRODUCT(C2306:F2306,COLUMN($A$1:$D$1)-1)+SUMPRODUCT(H2306:K2306,COLUMN($E$1:$H$1)-1))*'Line Follower'!$C$3/SUM(C2306:F2306,H2306:K2306)-'Line Follower'!$C$5)))</f>
        <v>-2</v>
      </c>
      <c r="O2306" s="22">
        <v>1</v>
      </c>
      <c r="P2306" s="4">
        <f t="shared" si="175"/>
        <v>0</v>
      </c>
      <c r="Q2306" s="4">
        <f t="shared" si="176"/>
        <v>1</v>
      </c>
      <c r="R2306" s="4">
        <f>IF(AND(B2306=1,N2306&gt;'Line Follower'!$C$7,SUM(C2306:K2306)&lt;4),1,0)</f>
        <v>0</v>
      </c>
      <c r="S2306" s="4">
        <f>IF(AND(L2306=1,N2306&lt;'Line Follower'!$C$6,SUM(C2306:K2306)&lt;4),1,0)</f>
        <v>0</v>
      </c>
      <c r="T2306" s="4">
        <f t="shared" si="177"/>
        <v>0</v>
      </c>
      <c r="U2306" s="5">
        <f t="shared" si="178"/>
        <v>0</v>
      </c>
      <c r="V2306" s="23">
        <f t="shared" si="179"/>
        <v>0</v>
      </c>
    </row>
    <row r="2307" spans="2:22" x14ac:dyDescent="0.25">
      <c r="B2307" s="16">
        <v>0</v>
      </c>
      <c r="C2307" s="7">
        <v>0</v>
      </c>
      <c r="D2307" s="8">
        <v>0</v>
      </c>
      <c r="E2307" s="8">
        <v>0</v>
      </c>
      <c r="F2307" s="8">
        <v>0</v>
      </c>
      <c r="G2307" s="8">
        <v>0</v>
      </c>
      <c r="H2307" s="8">
        <v>0</v>
      </c>
      <c r="I2307" s="8">
        <v>0</v>
      </c>
      <c r="J2307" s="8">
        <v>1</v>
      </c>
      <c r="K2307" s="9">
        <v>0</v>
      </c>
      <c r="L2307" s="10">
        <v>0</v>
      </c>
      <c r="M2307" s="6">
        <v>1</v>
      </c>
      <c r="N2307" s="37" cm="1">
        <f t="array" ref="N2307">IF(OR(ISNUMBER(FIND(Aux!$D$3:$D$9,_xlfn.TEXTJOIN(,,C2307:K2307)))),NA(),IF(AND(SUM(C2307:F2307,H2307:K2307)=0,G2307=1),0,INT((SUMPRODUCT(C2307:F2307,COLUMN($A$1:$D$1)-1)+SUMPRODUCT(H2307:K2307,COLUMN($E$1:$H$1)-1))*'Line Follower'!$C$3/SUM(C2307:F2307,H2307:K2307)-'Line Follower'!$C$5)))</f>
        <v>5</v>
      </c>
      <c r="O2307" s="22">
        <v>1</v>
      </c>
      <c r="P2307" s="4">
        <f t="shared" ref="P2307:P2370" si="180">IF(AND(N2307=0,G2307=1,M2307=1),1,0)</f>
        <v>0</v>
      </c>
      <c r="Q2307" s="4">
        <f t="shared" ref="Q2307:Q2370" si="181">IF(ISERROR(N2307),N2307,IF(SUM(C2307:K2307)&gt;=4,1,0))</f>
        <v>0</v>
      </c>
      <c r="R2307" s="4">
        <f>IF(AND(B2307=1,N2307&gt;'Line Follower'!$C$7,SUM(C2307:K2307)&lt;4),1,0)</f>
        <v>0</v>
      </c>
      <c r="S2307" s="4">
        <f>IF(AND(L2307=1,N2307&lt;'Line Follower'!$C$6,SUM(C2307:K2307)&lt;4),1,0)</f>
        <v>0</v>
      </c>
      <c r="T2307" s="4">
        <f t="shared" si="177"/>
        <v>0</v>
      </c>
      <c r="U2307" s="5">
        <f t="shared" si="178"/>
        <v>0</v>
      </c>
      <c r="V2307" s="23">
        <f t="shared" si="179"/>
        <v>0</v>
      </c>
    </row>
    <row r="2308" spans="2:22" x14ac:dyDescent="0.25">
      <c r="B2308" s="16">
        <v>1</v>
      </c>
      <c r="C2308" s="7">
        <v>0</v>
      </c>
      <c r="D2308" s="8">
        <v>0</v>
      </c>
      <c r="E2308" s="8">
        <v>0</v>
      </c>
      <c r="F2308" s="8">
        <v>0</v>
      </c>
      <c r="G2308" s="8">
        <v>0</v>
      </c>
      <c r="H2308" s="8">
        <v>0</v>
      </c>
      <c r="I2308" s="8">
        <v>0</v>
      </c>
      <c r="J2308" s="8">
        <v>1</v>
      </c>
      <c r="K2308" s="9">
        <v>0</v>
      </c>
      <c r="L2308" s="10">
        <v>0</v>
      </c>
      <c r="M2308" s="6">
        <v>1</v>
      </c>
      <c r="N2308" s="37" cm="1">
        <f t="array" ref="N2308">IF(OR(ISNUMBER(FIND(Aux!$D$3:$D$9,_xlfn.TEXTJOIN(,,C2308:K2308)))),NA(),IF(AND(SUM(C2308:F2308,H2308:K2308)=0,G2308=1),0,INT((SUMPRODUCT(C2308:F2308,COLUMN($A$1:$D$1)-1)+SUMPRODUCT(H2308:K2308,COLUMN($E$1:$H$1)-1))*'Line Follower'!$C$3/SUM(C2308:F2308,H2308:K2308)-'Line Follower'!$C$5)))</f>
        <v>5</v>
      </c>
      <c r="O2308" s="22">
        <v>1</v>
      </c>
      <c r="P2308" s="4">
        <f t="shared" si="180"/>
        <v>0</v>
      </c>
      <c r="Q2308" s="4">
        <f t="shared" si="181"/>
        <v>0</v>
      </c>
      <c r="R2308" s="4">
        <f>IF(AND(B2308=1,N2308&gt;'Line Follower'!$C$7,SUM(C2308:K2308)&lt;4),1,0)</f>
        <v>1</v>
      </c>
      <c r="S2308" s="4">
        <f>IF(AND(L2308=1,N2308&lt;'Line Follower'!$C$6,SUM(C2308:K2308)&lt;4),1,0)</f>
        <v>0</v>
      </c>
      <c r="T2308" s="4">
        <f t="shared" ref="T2308:T2371" si="182">IF(ISNA(N2308),NA(),IF(SUM(C2308:L2308)=0,1,0))</f>
        <v>0</v>
      </c>
      <c r="U2308" s="5">
        <f t="shared" ref="U2308:U2371" si="183">IF(ISNA(N2308),NA(),IF(SUM(B2308:K2308)=0,1,0))</f>
        <v>0</v>
      </c>
      <c r="V2308" s="23">
        <f t="shared" ref="V2308:V2371" si="184">IF(ISNA(N2308),NA(),IF(SUM(B2308:L2308)=0,1,0))</f>
        <v>0</v>
      </c>
    </row>
    <row r="2309" spans="2:22" x14ac:dyDescent="0.25">
      <c r="B2309" s="16">
        <v>0</v>
      </c>
      <c r="C2309" s="7">
        <v>1</v>
      </c>
      <c r="D2309" s="8">
        <v>0</v>
      </c>
      <c r="E2309" s="8">
        <v>0</v>
      </c>
      <c r="F2309" s="8">
        <v>0</v>
      </c>
      <c r="G2309" s="8">
        <v>0</v>
      </c>
      <c r="H2309" s="8">
        <v>0</v>
      </c>
      <c r="I2309" s="8">
        <v>0</v>
      </c>
      <c r="J2309" s="8">
        <v>1</v>
      </c>
      <c r="K2309" s="9">
        <v>0</v>
      </c>
      <c r="L2309" s="10">
        <v>0</v>
      </c>
      <c r="M2309" s="6">
        <v>1</v>
      </c>
      <c r="N2309" s="37" t="e" cm="1">
        <f t="array" ref="N2309">IF(OR(ISNUMBER(FIND(Aux!$D$3:$D$9,_xlfn.TEXTJOIN(,,C2309:K2309)))),NA(),IF(AND(SUM(C2309:F2309,H2309:K2309)=0,G2309=1),0,INT((SUMPRODUCT(C2309:F2309,COLUMN($A$1:$D$1)-1)+SUMPRODUCT(H2309:K2309,COLUMN($E$1:$H$1)-1))*'Line Follower'!$C$3/SUM(C2309:F2309,H2309:K2309)-'Line Follower'!$C$5)))</f>
        <v>#N/A</v>
      </c>
      <c r="O2309" s="22" t="e">
        <v>#N/A</v>
      </c>
      <c r="P2309" s="4" t="e">
        <f t="shared" si="180"/>
        <v>#N/A</v>
      </c>
      <c r="Q2309" s="4" t="e">
        <f t="shared" si="181"/>
        <v>#N/A</v>
      </c>
      <c r="R2309" s="4" t="e">
        <f>IF(AND(B2309=1,N2309&gt;'Line Follower'!$C$7,SUM(C2309:K2309)&lt;4),1,0)</f>
        <v>#N/A</v>
      </c>
      <c r="S2309" s="4" t="e">
        <f>IF(AND(L2309=1,N2309&lt;'Line Follower'!$C$6,SUM(C2309:K2309)&lt;4),1,0)</f>
        <v>#N/A</v>
      </c>
      <c r="T2309" s="4" t="e">
        <f t="shared" si="182"/>
        <v>#N/A</v>
      </c>
      <c r="U2309" s="5" t="e">
        <f t="shared" si="183"/>
        <v>#N/A</v>
      </c>
      <c r="V2309" s="23" t="e">
        <f t="shared" si="184"/>
        <v>#N/A</v>
      </c>
    </row>
    <row r="2310" spans="2:22" x14ac:dyDescent="0.25">
      <c r="B2310" s="16">
        <v>1</v>
      </c>
      <c r="C2310" s="7">
        <v>1</v>
      </c>
      <c r="D2310" s="8">
        <v>0</v>
      </c>
      <c r="E2310" s="8">
        <v>0</v>
      </c>
      <c r="F2310" s="8">
        <v>0</v>
      </c>
      <c r="G2310" s="8">
        <v>0</v>
      </c>
      <c r="H2310" s="8">
        <v>0</v>
      </c>
      <c r="I2310" s="8">
        <v>0</v>
      </c>
      <c r="J2310" s="8">
        <v>1</v>
      </c>
      <c r="K2310" s="9">
        <v>0</v>
      </c>
      <c r="L2310" s="10">
        <v>0</v>
      </c>
      <c r="M2310" s="6">
        <v>1</v>
      </c>
      <c r="N2310" s="37" t="e" cm="1">
        <f t="array" ref="N2310">IF(OR(ISNUMBER(FIND(Aux!$D$3:$D$9,_xlfn.TEXTJOIN(,,C2310:K2310)))),NA(),IF(AND(SUM(C2310:F2310,H2310:K2310)=0,G2310=1),0,INT((SUMPRODUCT(C2310:F2310,COLUMN($A$1:$D$1)-1)+SUMPRODUCT(H2310:K2310,COLUMN($E$1:$H$1)-1))*'Line Follower'!$C$3/SUM(C2310:F2310,H2310:K2310)-'Line Follower'!$C$5)))</f>
        <v>#N/A</v>
      </c>
      <c r="O2310" s="22" t="e">
        <v>#N/A</v>
      </c>
      <c r="P2310" s="4" t="e">
        <f t="shared" si="180"/>
        <v>#N/A</v>
      </c>
      <c r="Q2310" s="4" t="e">
        <f t="shared" si="181"/>
        <v>#N/A</v>
      </c>
      <c r="R2310" s="4" t="e">
        <f>IF(AND(B2310=1,N2310&gt;'Line Follower'!$C$7,SUM(C2310:K2310)&lt;4),1,0)</f>
        <v>#N/A</v>
      </c>
      <c r="S2310" s="4" t="e">
        <f>IF(AND(L2310=1,N2310&lt;'Line Follower'!$C$6,SUM(C2310:K2310)&lt;4),1,0)</f>
        <v>#N/A</v>
      </c>
      <c r="T2310" s="4" t="e">
        <f t="shared" si="182"/>
        <v>#N/A</v>
      </c>
      <c r="U2310" s="5" t="e">
        <f t="shared" si="183"/>
        <v>#N/A</v>
      </c>
      <c r="V2310" s="23" t="e">
        <f t="shared" si="184"/>
        <v>#N/A</v>
      </c>
    </row>
    <row r="2311" spans="2:22" x14ac:dyDescent="0.25">
      <c r="B2311" s="16">
        <v>0</v>
      </c>
      <c r="C2311" s="7">
        <v>0</v>
      </c>
      <c r="D2311" s="8">
        <v>1</v>
      </c>
      <c r="E2311" s="8">
        <v>0</v>
      </c>
      <c r="F2311" s="8">
        <v>0</v>
      </c>
      <c r="G2311" s="8">
        <v>0</v>
      </c>
      <c r="H2311" s="8">
        <v>0</v>
      </c>
      <c r="I2311" s="8">
        <v>0</v>
      </c>
      <c r="J2311" s="8">
        <v>1</v>
      </c>
      <c r="K2311" s="9">
        <v>0</v>
      </c>
      <c r="L2311" s="10">
        <v>0</v>
      </c>
      <c r="M2311" s="6">
        <v>1</v>
      </c>
      <c r="N2311" s="37" t="e" cm="1">
        <f t="array" ref="N2311">IF(OR(ISNUMBER(FIND(Aux!$D$3:$D$9,_xlfn.TEXTJOIN(,,C2311:K2311)))),NA(),IF(AND(SUM(C2311:F2311,H2311:K2311)=0,G2311=1),0,INT((SUMPRODUCT(C2311:F2311,COLUMN($A$1:$D$1)-1)+SUMPRODUCT(H2311:K2311,COLUMN($E$1:$H$1)-1))*'Line Follower'!$C$3/SUM(C2311:F2311,H2311:K2311)-'Line Follower'!$C$5)))</f>
        <v>#N/A</v>
      </c>
      <c r="O2311" s="22" t="e">
        <v>#N/A</v>
      </c>
      <c r="P2311" s="4" t="e">
        <f t="shared" si="180"/>
        <v>#N/A</v>
      </c>
      <c r="Q2311" s="4" t="e">
        <f t="shared" si="181"/>
        <v>#N/A</v>
      </c>
      <c r="R2311" s="4" t="e">
        <f>IF(AND(B2311=1,N2311&gt;'Line Follower'!$C$7,SUM(C2311:K2311)&lt;4),1,0)</f>
        <v>#N/A</v>
      </c>
      <c r="S2311" s="4" t="e">
        <f>IF(AND(L2311=1,N2311&lt;'Line Follower'!$C$6,SUM(C2311:K2311)&lt;4),1,0)</f>
        <v>#N/A</v>
      </c>
      <c r="T2311" s="4" t="e">
        <f t="shared" si="182"/>
        <v>#N/A</v>
      </c>
      <c r="U2311" s="5" t="e">
        <f t="shared" si="183"/>
        <v>#N/A</v>
      </c>
      <c r="V2311" s="23" t="e">
        <f t="shared" si="184"/>
        <v>#N/A</v>
      </c>
    </row>
    <row r="2312" spans="2:22" x14ac:dyDescent="0.25">
      <c r="B2312" s="16">
        <v>1</v>
      </c>
      <c r="C2312" s="7">
        <v>0</v>
      </c>
      <c r="D2312" s="8">
        <v>1</v>
      </c>
      <c r="E2312" s="8">
        <v>0</v>
      </c>
      <c r="F2312" s="8">
        <v>0</v>
      </c>
      <c r="G2312" s="8">
        <v>0</v>
      </c>
      <c r="H2312" s="8">
        <v>0</v>
      </c>
      <c r="I2312" s="8">
        <v>0</v>
      </c>
      <c r="J2312" s="8">
        <v>1</v>
      </c>
      <c r="K2312" s="9">
        <v>0</v>
      </c>
      <c r="L2312" s="10">
        <v>0</v>
      </c>
      <c r="M2312" s="6">
        <v>1</v>
      </c>
      <c r="N2312" s="37" t="e" cm="1">
        <f t="array" ref="N2312">IF(OR(ISNUMBER(FIND(Aux!$D$3:$D$9,_xlfn.TEXTJOIN(,,C2312:K2312)))),NA(),IF(AND(SUM(C2312:F2312,H2312:K2312)=0,G2312=1),0,INT((SUMPRODUCT(C2312:F2312,COLUMN($A$1:$D$1)-1)+SUMPRODUCT(H2312:K2312,COLUMN($E$1:$H$1)-1))*'Line Follower'!$C$3/SUM(C2312:F2312,H2312:K2312)-'Line Follower'!$C$5)))</f>
        <v>#N/A</v>
      </c>
      <c r="O2312" s="22" t="e">
        <v>#N/A</v>
      </c>
      <c r="P2312" s="4" t="e">
        <f t="shared" si="180"/>
        <v>#N/A</v>
      </c>
      <c r="Q2312" s="4" t="e">
        <f t="shared" si="181"/>
        <v>#N/A</v>
      </c>
      <c r="R2312" s="4" t="e">
        <f>IF(AND(B2312=1,N2312&gt;'Line Follower'!$C$7,SUM(C2312:K2312)&lt;4),1,0)</f>
        <v>#N/A</v>
      </c>
      <c r="S2312" s="4" t="e">
        <f>IF(AND(L2312=1,N2312&lt;'Line Follower'!$C$6,SUM(C2312:K2312)&lt;4),1,0)</f>
        <v>#N/A</v>
      </c>
      <c r="T2312" s="4" t="e">
        <f t="shared" si="182"/>
        <v>#N/A</v>
      </c>
      <c r="U2312" s="5" t="e">
        <f t="shared" si="183"/>
        <v>#N/A</v>
      </c>
      <c r="V2312" s="23" t="e">
        <f t="shared" si="184"/>
        <v>#N/A</v>
      </c>
    </row>
    <row r="2313" spans="2:22" x14ac:dyDescent="0.25">
      <c r="B2313" s="16">
        <v>0</v>
      </c>
      <c r="C2313" s="7">
        <v>1</v>
      </c>
      <c r="D2313" s="8">
        <v>1</v>
      </c>
      <c r="E2313" s="8">
        <v>0</v>
      </c>
      <c r="F2313" s="8">
        <v>0</v>
      </c>
      <c r="G2313" s="8">
        <v>0</v>
      </c>
      <c r="H2313" s="8">
        <v>0</v>
      </c>
      <c r="I2313" s="8">
        <v>0</v>
      </c>
      <c r="J2313" s="8">
        <v>1</v>
      </c>
      <c r="K2313" s="9">
        <v>0</v>
      </c>
      <c r="L2313" s="10">
        <v>0</v>
      </c>
      <c r="M2313" s="6">
        <v>1</v>
      </c>
      <c r="N2313" s="37" t="e" cm="1">
        <f t="array" ref="N2313">IF(OR(ISNUMBER(FIND(Aux!$D$3:$D$9,_xlfn.TEXTJOIN(,,C2313:K2313)))),NA(),IF(AND(SUM(C2313:F2313,H2313:K2313)=0,G2313=1),0,INT((SUMPRODUCT(C2313:F2313,COLUMN($A$1:$D$1)-1)+SUMPRODUCT(H2313:K2313,COLUMN($E$1:$H$1)-1))*'Line Follower'!$C$3/SUM(C2313:F2313,H2313:K2313)-'Line Follower'!$C$5)))</f>
        <v>#N/A</v>
      </c>
      <c r="O2313" s="22" t="e">
        <v>#N/A</v>
      </c>
      <c r="P2313" s="4" t="e">
        <f t="shared" si="180"/>
        <v>#N/A</v>
      </c>
      <c r="Q2313" s="4" t="e">
        <f t="shared" si="181"/>
        <v>#N/A</v>
      </c>
      <c r="R2313" s="4" t="e">
        <f>IF(AND(B2313=1,N2313&gt;'Line Follower'!$C$7,SUM(C2313:K2313)&lt;4),1,0)</f>
        <v>#N/A</v>
      </c>
      <c r="S2313" s="4" t="e">
        <f>IF(AND(L2313=1,N2313&lt;'Line Follower'!$C$6,SUM(C2313:K2313)&lt;4),1,0)</f>
        <v>#N/A</v>
      </c>
      <c r="T2313" s="4" t="e">
        <f t="shared" si="182"/>
        <v>#N/A</v>
      </c>
      <c r="U2313" s="5" t="e">
        <f t="shared" si="183"/>
        <v>#N/A</v>
      </c>
      <c r="V2313" s="23" t="e">
        <f t="shared" si="184"/>
        <v>#N/A</v>
      </c>
    </row>
    <row r="2314" spans="2:22" x14ac:dyDescent="0.25">
      <c r="B2314" s="16">
        <v>1</v>
      </c>
      <c r="C2314" s="7">
        <v>1</v>
      </c>
      <c r="D2314" s="8">
        <v>1</v>
      </c>
      <c r="E2314" s="8">
        <v>0</v>
      </c>
      <c r="F2314" s="8">
        <v>0</v>
      </c>
      <c r="G2314" s="8">
        <v>0</v>
      </c>
      <c r="H2314" s="8">
        <v>0</v>
      </c>
      <c r="I2314" s="8">
        <v>0</v>
      </c>
      <c r="J2314" s="8">
        <v>1</v>
      </c>
      <c r="K2314" s="9">
        <v>0</v>
      </c>
      <c r="L2314" s="10">
        <v>0</v>
      </c>
      <c r="M2314" s="6">
        <v>1</v>
      </c>
      <c r="N2314" s="37" t="e" cm="1">
        <f t="array" ref="N2314">IF(OR(ISNUMBER(FIND(Aux!$D$3:$D$9,_xlfn.TEXTJOIN(,,C2314:K2314)))),NA(),IF(AND(SUM(C2314:F2314,H2314:K2314)=0,G2314=1),0,INT((SUMPRODUCT(C2314:F2314,COLUMN($A$1:$D$1)-1)+SUMPRODUCT(H2314:K2314,COLUMN($E$1:$H$1)-1))*'Line Follower'!$C$3/SUM(C2314:F2314,H2314:K2314)-'Line Follower'!$C$5)))</f>
        <v>#N/A</v>
      </c>
      <c r="O2314" s="22" t="e">
        <v>#N/A</v>
      </c>
      <c r="P2314" s="4" t="e">
        <f t="shared" si="180"/>
        <v>#N/A</v>
      </c>
      <c r="Q2314" s="4" t="e">
        <f t="shared" si="181"/>
        <v>#N/A</v>
      </c>
      <c r="R2314" s="4" t="e">
        <f>IF(AND(B2314=1,N2314&gt;'Line Follower'!$C$7,SUM(C2314:K2314)&lt;4),1,0)</f>
        <v>#N/A</v>
      </c>
      <c r="S2314" s="4" t="e">
        <f>IF(AND(L2314=1,N2314&lt;'Line Follower'!$C$6,SUM(C2314:K2314)&lt;4),1,0)</f>
        <v>#N/A</v>
      </c>
      <c r="T2314" s="4" t="e">
        <f t="shared" si="182"/>
        <v>#N/A</v>
      </c>
      <c r="U2314" s="5" t="e">
        <f t="shared" si="183"/>
        <v>#N/A</v>
      </c>
      <c r="V2314" s="23" t="e">
        <f t="shared" si="184"/>
        <v>#N/A</v>
      </c>
    </row>
    <row r="2315" spans="2:22" x14ac:dyDescent="0.25">
      <c r="B2315" s="16">
        <v>0</v>
      </c>
      <c r="C2315" s="7">
        <v>0</v>
      </c>
      <c r="D2315" s="8">
        <v>0</v>
      </c>
      <c r="E2315" s="8">
        <v>1</v>
      </c>
      <c r="F2315" s="8">
        <v>0</v>
      </c>
      <c r="G2315" s="8">
        <v>0</v>
      </c>
      <c r="H2315" s="8">
        <v>0</v>
      </c>
      <c r="I2315" s="8">
        <v>0</v>
      </c>
      <c r="J2315" s="8">
        <v>1</v>
      </c>
      <c r="K2315" s="9">
        <v>0</v>
      </c>
      <c r="L2315" s="10">
        <v>0</v>
      </c>
      <c r="M2315" s="6">
        <v>1</v>
      </c>
      <c r="N2315" s="37" t="e" cm="1">
        <f t="array" ref="N2315">IF(OR(ISNUMBER(FIND(Aux!$D$3:$D$9,_xlfn.TEXTJOIN(,,C2315:K2315)))),NA(),IF(AND(SUM(C2315:F2315,H2315:K2315)=0,G2315=1),0,INT((SUMPRODUCT(C2315:F2315,COLUMN($A$1:$D$1)-1)+SUMPRODUCT(H2315:K2315,COLUMN($E$1:$H$1)-1))*'Line Follower'!$C$3/SUM(C2315:F2315,H2315:K2315)-'Line Follower'!$C$5)))</f>
        <v>#N/A</v>
      </c>
      <c r="O2315" s="22" t="e">
        <v>#N/A</v>
      </c>
      <c r="P2315" s="4" t="e">
        <f t="shared" si="180"/>
        <v>#N/A</v>
      </c>
      <c r="Q2315" s="4" t="e">
        <f t="shared" si="181"/>
        <v>#N/A</v>
      </c>
      <c r="R2315" s="4" t="e">
        <f>IF(AND(B2315=1,N2315&gt;'Line Follower'!$C$7,SUM(C2315:K2315)&lt;4),1,0)</f>
        <v>#N/A</v>
      </c>
      <c r="S2315" s="4" t="e">
        <f>IF(AND(L2315=1,N2315&lt;'Line Follower'!$C$6,SUM(C2315:K2315)&lt;4),1,0)</f>
        <v>#N/A</v>
      </c>
      <c r="T2315" s="4" t="e">
        <f t="shared" si="182"/>
        <v>#N/A</v>
      </c>
      <c r="U2315" s="5" t="e">
        <f t="shared" si="183"/>
        <v>#N/A</v>
      </c>
      <c r="V2315" s="23" t="e">
        <f t="shared" si="184"/>
        <v>#N/A</v>
      </c>
    </row>
    <row r="2316" spans="2:22" x14ac:dyDescent="0.25">
      <c r="B2316" s="16">
        <v>1</v>
      </c>
      <c r="C2316" s="7">
        <v>0</v>
      </c>
      <c r="D2316" s="8">
        <v>0</v>
      </c>
      <c r="E2316" s="8">
        <v>1</v>
      </c>
      <c r="F2316" s="8">
        <v>0</v>
      </c>
      <c r="G2316" s="8">
        <v>0</v>
      </c>
      <c r="H2316" s="8">
        <v>0</v>
      </c>
      <c r="I2316" s="8">
        <v>0</v>
      </c>
      <c r="J2316" s="8">
        <v>1</v>
      </c>
      <c r="K2316" s="9">
        <v>0</v>
      </c>
      <c r="L2316" s="10">
        <v>0</v>
      </c>
      <c r="M2316" s="6">
        <v>1</v>
      </c>
      <c r="N2316" s="37" t="e" cm="1">
        <f t="array" ref="N2316">IF(OR(ISNUMBER(FIND(Aux!$D$3:$D$9,_xlfn.TEXTJOIN(,,C2316:K2316)))),NA(),IF(AND(SUM(C2316:F2316,H2316:K2316)=0,G2316=1),0,INT((SUMPRODUCT(C2316:F2316,COLUMN($A$1:$D$1)-1)+SUMPRODUCT(H2316:K2316,COLUMN($E$1:$H$1)-1))*'Line Follower'!$C$3/SUM(C2316:F2316,H2316:K2316)-'Line Follower'!$C$5)))</f>
        <v>#N/A</v>
      </c>
      <c r="O2316" s="22" t="e">
        <v>#N/A</v>
      </c>
      <c r="P2316" s="4" t="e">
        <f t="shared" si="180"/>
        <v>#N/A</v>
      </c>
      <c r="Q2316" s="4" t="e">
        <f t="shared" si="181"/>
        <v>#N/A</v>
      </c>
      <c r="R2316" s="4" t="e">
        <f>IF(AND(B2316=1,N2316&gt;'Line Follower'!$C$7,SUM(C2316:K2316)&lt;4),1,0)</f>
        <v>#N/A</v>
      </c>
      <c r="S2316" s="4" t="e">
        <f>IF(AND(L2316=1,N2316&lt;'Line Follower'!$C$6,SUM(C2316:K2316)&lt;4),1,0)</f>
        <v>#N/A</v>
      </c>
      <c r="T2316" s="4" t="e">
        <f t="shared" si="182"/>
        <v>#N/A</v>
      </c>
      <c r="U2316" s="5" t="e">
        <f t="shared" si="183"/>
        <v>#N/A</v>
      </c>
      <c r="V2316" s="23" t="e">
        <f t="shared" si="184"/>
        <v>#N/A</v>
      </c>
    </row>
    <row r="2317" spans="2:22" x14ac:dyDescent="0.25">
      <c r="B2317" s="16">
        <v>0</v>
      </c>
      <c r="C2317" s="7">
        <v>1</v>
      </c>
      <c r="D2317" s="8">
        <v>0</v>
      </c>
      <c r="E2317" s="8">
        <v>1</v>
      </c>
      <c r="F2317" s="8">
        <v>0</v>
      </c>
      <c r="G2317" s="8">
        <v>0</v>
      </c>
      <c r="H2317" s="8">
        <v>0</v>
      </c>
      <c r="I2317" s="8">
        <v>0</v>
      </c>
      <c r="J2317" s="8">
        <v>1</v>
      </c>
      <c r="K2317" s="9">
        <v>0</v>
      </c>
      <c r="L2317" s="10">
        <v>0</v>
      </c>
      <c r="M2317" s="6">
        <v>1</v>
      </c>
      <c r="N2317" s="37" t="e" cm="1">
        <f t="array" ref="N2317">IF(OR(ISNUMBER(FIND(Aux!$D$3:$D$9,_xlfn.TEXTJOIN(,,C2317:K2317)))),NA(),IF(AND(SUM(C2317:F2317,H2317:K2317)=0,G2317=1),0,INT((SUMPRODUCT(C2317:F2317,COLUMN($A$1:$D$1)-1)+SUMPRODUCT(H2317:K2317,COLUMN($E$1:$H$1)-1))*'Line Follower'!$C$3/SUM(C2317:F2317,H2317:K2317)-'Line Follower'!$C$5)))</f>
        <v>#N/A</v>
      </c>
      <c r="O2317" s="22" t="e">
        <v>#N/A</v>
      </c>
      <c r="P2317" s="4" t="e">
        <f t="shared" si="180"/>
        <v>#N/A</v>
      </c>
      <c r="Q2317" s="4" t="e">
        <f t="shared" si="181"/>
        <v>#N/A</v>
      </c>
      <c r="R2317" s="4" t="e">
        <f>IF(AND(B2317=1,N2317&gt;'Line Follower'!$C$7,SUM(C2317:K2317)&lt;4),1,0)</f>
        <v>#N/A</v>
      </c>
      <c r="S2317" s="4" t="e">
        <f>IF(AND(L2317=1,N2317&lt;'Line Follower'!$C$6,SUM(C2317:K2317)&lt;4),1,0)</f>
        <v>#N/A</v>
      </c>
      <c r="T2317" s="4" t="e">
        <f t="shared" si="182"/>
        <v>#N/A</v>
      </c>
      <c r="U2317" s="5" t="e">
        <f t="shared" si="183"/>
        <v>#N/A</v>
      </c>
      <c r="V2317" s="23" t="e">
        <f t="shared" si="184"/>
        <v>#N/A</v>
      </c>
    </row>
    <row r="2318" spans="2:22" x14ac:dyDescent="0.25">
      <c r="B2318" s="16">
        <v>1</v>
      </c>
      <c r="C2318" s="7">
        <v>1</v>
      </c>
      <c r="D2318" s="8">
        <v>0</v>
      </c>
      <c r="E2318" s="8">
        <v>1</v>
      </c>
      <c r="F2318" s="8">
        <v>0</v>
      </c>
      <c r="G2318" s="8">
        <v>0</v>
      </c>
      <c r="H2318" s="8">
        <v>0</v>
      </c>
      <c r="I2318" s="8">
        <v>0</v>
      </c>
      <c r="J2318" s="8">
        <v>1</v>
      </c>
      <c r="K2318" s="9">
        <v>0</v>
      </c>
      <c r="L2318" s="10">
        <v>0</v>
      </c>
      <c r="M2318" s="6">
        <v>1</v>
      </c>
      <c r="N2318" s="37" t="e" cm="1">
        <f t="array" ref="N2318">IF(OR(ISNUMBER(FIND(Aux!$D$3:$D$9,_xlfn.TEXTJOIN(,,C2318:K2318)))),NA(),IF(AND(SUM(C2318:F2318,H2318:K2318)=0,G2318=1),0,INT((SUMPRODUCT(C2318:F2318,COLUMN($A$1:$D$1)-1)+SUMPRODUCT(H2318:K2318,COLUMN($E$1:$H$1)-1))*'Line Follower'!$C$3/SUM(C2318:F2318,H2318:K2318)-'Line Follower'!$C$5)))</f>
        <v>#N/A</v>
      </c>
      <c r="O2318" s="22" t="e">
        <v>#N/A</v>
      </c>
      <c r="P2318" s="4" t="e">
        <f t="shared" si="180"/>
        <v>#N/A</v>
      </c>
      <c r="Q2318" s="4" t="e">
        <f t="shared" si="181"/>
        <v>#N/A</v>
      </c>
      <c r="R2318" s="4" t="e">
        <f>IF(AND(B2318=1,N2318&gt;'Line Follower'!$C$7,SUM(C2318:K2318)&lt;4),1,0)</f>
        <v>#N/A</v>
      </c>
      <c r="S2318" s="4" t="e">
        <f>IF(AND(L2318=1,N2318&lt;'Line Follower'!$C$6,SUM(C2318:K2318)&lt;4),1,0)</f>
        <v>#N/A</v>
      </c>
      <c r="T2318" s="4" t="e">
        <f t="shared" si="182"/>
        <v>#N/A</v>
      </c>
      <c r="U2318" s="5" t="e">
        <f t="shared" si="183"/>
        <v>#N/A</v>
      </c>
      <c r="V2318" s="23" t="e">
        <f t="shared" si="184"/>
        <v>#N/A</v>
      </c>
    </row>
    <row r="2319" spans="2:22" x14ac:dyDescent="0.25">
      <c r="B2319" s="16">
        <v>0</v>
      </c>
      <c r="C2319" s="7">
        <v>0</v>
      </c>
      <c r="D2319" s="8">
        <v>1</v>
      </c>
      <c r="E2319" s="8">
        <v>1</v>
      </c>
      <c r="F2319" s="8">
        <v>0</v>
      </c>
      <c r="G2319" s="8">
        <v>0</v>
      </c>
      <c r="H2319" s="8">
        <v>0</v>
      </c>
      <c r="I2319" s="8">
        <v>0</v>
      </c>
      <c r="J2319" s="8">
        <v>1</v>
      </c>
      <c r="K2319" s="9">
        <v>0</v>
      </c>
      <c r="L2319" s="10">
        <v>0</v>
      </c>
      <c r="M2319" s="6">
        <v>1</v>
      </c>
      <c r="N2319" s="37" t="e" cm="1">
        <f t="array" ref="N2319">IF(OR(ISNUMBER(FIND(Aux!$D$3:$D$9,_xlfn.TEXTJOIN(,,C2319:K2319)))),NA(),IF(AND(SUM(C2319:F2319,H2319:K2319)=0,G2319=1),0,INT((SUMPRODUCT(C2319:F2319,COLUMN($A$1:$D$1)-1)+SUMPRODUCT(H2319:K2319,COLUMN($E$1:$H$1)-1))*'Line Follower'!$C$3/SUM(C2319:F2319,H2319:K2319)-'Line Follower'!$C$5)))</f>
        <v>#N/A</v>
      </c>
      <c r="O2319" s="22" t="e">
        <v>#N/A</v>
      </c>
      <c r="P2319" s="4" t="e">
        <f t="shared" si="180"/>
        <v>#N/A</v>
      </c>
      <c r="Q2319" s="4" t="e">
        <f t="shared" si="181"/>
        <v>#N/A</v>
      </c>
      <c r="R2319" s="4" t="e">
        <f>IF(AND(B2319=1,N2319&gt;'Line Follower'!$C$7,SUM(C2319:K2319)&lt;4),1,0)</f>
        <v>#N/A</v>
      </c>
      <c r="S2319" s="4" t="e">
        <f>IF(AND(L2319=1,N2319&lt;'Line Follower'!$C$6,SUM(C2319:K2319)&lt;4),1,0)</f>
        <v>#N/A</v>
      </c>
      <c r="T2319" s="4" t="e">
        <f t="shared" si="182"/>
        <v>#N/A</v>
      </c>
      <c r="U2319" s="5" t="e">
        <f t="shared" si="183"/>
        <v>#N/A</v>
      </c>
      <c r="V2319" s="23" t="e">
        <f t="shared" si="184"/>
        <v>#N/A</v>
      </c>
    </row>
    <row r="2320" spans="2:22" x14ac:dyDescent="0.25">
      <c r="B2320" s="16">
        <v>1</v>
      </c>
      <c r="C2320" s="7">
        <v>0</v>
      </c>
      <c r="D2320" s="8">
        <v>1</v>
      </c>
      <c r="E2320" s="8">
        <v>1</v>
      </c>
      <c r="F2320" s="8">
        <v>0</v>
      </c>
      <c r="G2320" s="8">
        <v>0</v>
      </c>
      <c r="H2320" s="8">
        <v>0</v>
      </c>
      <c r="I2320" s="8">
        <v>0</v>
      </c>
      <c r="J2320" s="8">
        <v>1</v>
      </c>
      <c r="K2320" s="9">
        <v>0</v>
      </c>
      <c r="L2320" s="10">
        <v>0</v>
      </c>
      <c r="M2320" s="6">
        <v>1</v>
      </c>
      <c r="N2320" s="37" t="e" cm="1">
        <f t="array" ref="N2320">IF(OR(ISNUMBER(FIND(Aux!$D$3:$D$9,_xlfn.TEXTJOIN(,,C2320:K2320)))),NA(),IF(AND(SUM(C2320:F2320,H2320:K2320)=0,G2320=1),0,INT((SUMPRODUCT(C2320:F2320,COLUMN($A$1:$D$1)-1)+SUMPRODUCT(H2320:K2320,COLUMN($E$1:$H$1)-1))*'Line Follower'!$C$3/SUM(C2320:F2320,H2320:K2320)-'Line Follower'!$C$5)))</f>
        <v>#N/A</v>
      </c>
      <c r="O2320" s="22" t="e">
        <v>#N/A</v>
      </c>
      <c r="P2320" s="4" t="e">
        <f t="shared" si="180"/>
        <v>#N/A</v>
      </c>
      <c r="Q2320" s="4" t="e">
        <f t="shared" si="181"/>
        <v>#N/A</v>
      </c>
      <c r="R2320" s="4" t="e">
        <f>IF(AND(B2320=1,N2320&gt;'Line Follower'!$C$7,SUM(C2320:K2320)&lt;4),1,0)</f>
        <v>#N/A</v>
      </c>
      <c r="S2320" s="4" t="e">
        <f>IF(AND(L2320=1,N2320&lt;'Line Follower'!$C$6,SUM(C2320:K2320)&lt;4),1,0)</f>
        <v>#N/A</v>
      </c>
      <c r="T2320" s="4" t="e">
        <f t="shared" si="182"/>
        <v>#N/A</v>
      </c>
      <c r="U2320" s="5" t="e">
        <f t="shared" si="183"/>
        <v>#N/A</v>
      </c>
      <c r="V2320" s="23" t="e">
        <f t="shared" si="184"/>
        <v>#N/A</v>
      </c>
    </row>
    <row r="2321" spans="2:22" x14ac:dyDescent="0.25">
      <c r="B2321" s="16">
        <v>0</v>
      </c>
      <c r="C2321" s="7">
        <v>1</v>
      </c>
      <c r="D2321" s="8">
        <v>1</v>
      </c>
      <c r="E2321" s="8">
        <v>1</v>
      </c>
      <c r="F2321" s="8">
        <v>0</v>
      </c>
      <c r="G2321" s="8">
        <v>0</v>
      </c>
      <c r="H2321" s="8">
        <v>0</v>
      </c>
      <c r="I2321" s="8">
        <v>0</v>
      </c>
      <c r="J2321" s="8">
        <v>1</v>
      </c>
      <c r="K2321" s="9">
        <v>0</v>
      </c>
      <c r="L2321" s="10">
        <v>0</v>
      </c>
      <c r="M2321" s="6">
        <v>1</v>
      </c>
      <c r="N2321" s="37" t="e" cm="1">
        <f t="array" ref="N2321">IF(OR(ISNUMBER(FIND(Aux!$D$3:$D$9,_xlfn.TEXTJOIN(,,C2321:K2321)))),NA(),IF(AND(SUM(C2321:F2321,H2321:K2321)=0,G2321=1),0,INT((SUMPRODUCT(C2321:F2321,COLUMN($A$1:$D$1)-1)+SUMPRODUCT(H2321:K2321,COLUMN($E$1:$H$1)-1))*'Line Follower'!$C$3/SUM(C2321:F2321,H2321:K2321)-'Line Follower'!$C$5)))</f>
        <v>#N/A</v>
      </c>
      <c r="O2321" s="22" t="e">
        <v>#N/A</v>
      </c>
      <c r="P2321" s="4" t="e">
        <f t="shared" si="180"/>
        <v>#N/A</v>
      </c>
      <c r="Q2321" s="4" t="e">
        <f t="shared" si="181"/>
        <v>#N/A</v>
      </c>
      <c r="R2321" s="4" t="e">
        <f>IF(AND(B2321=1,N2321&gt;'Line Follower'!$C$7,SUM(C2321:K2321)&lt;4),1,0)</f>
        <v>#N/A</v>
      </c>
      <c r="S2321" s="4" t="e">
        <f>IF(AND(L2321=1,N2321&lt;'Line Follower'!$C$6,SUM(C2321:K2321)&lt;4),1,0)</f>
        <v>#N/A</v>
      </c>
      <c r="T2321" s="4" t="e">
        <f t="shared" si="182"/>
        <v>#N/A</v>
      </c>
      <c r="U2321" s="5" t="e">
        <f t="shared" si="183"/>
        <v>#N/A</v>
      </c>
      <c r="V2321" s="23" t="e">
        <f t="shared" si="184"/>
        <v>#N/A</v>
      </c>
    </row>
    <row r="2322" spans="2:22" x14ac:dyDescent="0.25">
      <c r="B2322" s="16">
        <v>1</v>
      </c>
      <c r="C2322" s="7">
        <v>1</v>
      </c>
      <c r="D2322" s="8">
        <v>1</v>
      </c>
      <c r="E2322" s="8">
        <v>1</v>
      </c>
      <c r="F2322" s="8">
        <v>0</v>
      </c>
      <c r="G2322" s="8">
        <v>0</v>
      </c>
      <c r="H2322" s="8">
        <v>0</v>
      </c>
      <c r="I2322" s="8">
        <v>0</v>
      </c>
      <c r="J2322" s="8">
        <v>1</v>
      </c>
      <c r="K2322" s="9">
        <v>0</v>
      </c>
      <c r="L2322" s="10">
        <v>0</v>
      </c>
      <c r="M2322" s="6">
        <v>1</v>
      </c>
      <c r="N2322" s="37" t="e" cm="1">
        <f t="array" ref="N2322">IF(OR(ISNUMBER(FIND(Aux!$D$3:$D$9,_xlfn.TEXTJOIN(,,C2322:K2322)))),NA(),IF(AND(SUM(C2322:F2322,H2322:K2322)=0,G2322=1),0,INT((SUMPRODUCT(C2322:F2322,COLUMN($A$1:$D$1)-1)+SUMPRODUCT(H2322:K2322,COLUMN($E$1:$H$1)-1))*'Line Follower'!$C$3/SUM(C2322:F2322,H2322:K2322)-'Line Follower'!$C$5)))</f>
        <v>#N/A</v>
      </c>
      <c r="O2322" s="22" t="e">
        <v>#N/A</v>
      </c>
      <c r="P2322" s="4" t="e">
        <f t="shared" si="180"/>
        <v>#N/A</v>
      </c>
      <c r="Q2322" s="4" t="e">
        <f t="shared" si="181"/>
        <v>#N/A</v>
      </c>
      <c r="R2322" s="4" t="e">
        <f>IF(AND(B2322=1,N2322&gt;'Line Follower'!$C$7,SUM(C2322:K2322)&lt;4),1,0)</f>
        <v>#N/A</v>
      </c>
      <c r="S2322" s="4" t="e">
        <f>IF(AND(L2322=1,N2322&lt;'Line Follower'!$C$6,SUM(C2322:K2322)&lt;4),1,0)</f>
        <v>#N/A</v>
      </c>
      <c r="T2322" s="4" t="e">
        <f t="shared" si="182"/>
        <v>#N/A</v>
      </c>
      <c r="U2322" s="5" t="e">
        <f t="shared" si="183"/>
        <v>#N/A</v>
      </c>
      <c r="V2322" s="23" t="e">
        <f t="shared" si="184"/>
        <v>#N/A</v>
      </c>
    </row>
    <row r="2323" spans="2:22" x14ac:dyDescent="0.25">
      <c r="B2323" s="16">
        <v>0</v>
      </c>
      <c r="C2323" s="7">
        <v>0</v>
      </c>
      <c r="D2323" s="8">
        <v>0</v>
      </c>
      <c r="E2323" s="8">
        <v>0</v>
      </c>
      <c r="F2323" s="8">
        <v>1</v>
      </c>
      <c r="G2323" s="8">
        <v>0</v>
      </c>
      <c r="H2323" s="8">
        <v>0</v>
      </c>
      <c r="I2323" s="8">
        <v>0</v>
      </c>
      <c r="J2323" s="8">
        <v>1</v>
      </c>
      <c r="K2323" s="9">
        <v>0</v>
      </c>
      <c r="L2323" s="10">
        <v>0</v>
      </c>
      <c r="M2323" s="6">
        <v>1</v>
      </c>
      <c r="N2323" s="37" t="e" cm="1">
        <f t="array" ref="N2323">IF(OR(ISNUMBER(FIND(Aux!$D$3:$D$9,_xlfn.TEXTJOIN(,,C2323:K2323)))),NA(),IF(AND(SUM(C2323:F2323,H2323:K2323)=0,G2323=1),0,INT((SUMPRODUCT(C2323:F2323,COLUMN($A$1:$D$1)-1)+SUMPRODUCT(H2323:K2323,COLUMN($E$1:$H$1)-1))*'Line Follower'!$C$3/SUM(C2323:F2323,H2323:K2323)-'Line Follower'!$C$5)))</f>
        <v>#N/A</v>
      </c>
      <c r="O2323" s="22" t="e">
        <v>#N/A</v>
      </c>
      <c r="P2323" s="4" t="e">
        <f t="shared" si="180"/>
        <v>#N/A</v>
      </c>
      <c r="Q2323" s="4" t="e">
        <f t="shared" si="181"/>
        <v>#N/A</v>
      </c>
      <c r="R2323" s="4" t="e">
        <f>IF(AND(B2323=1,N2323&gt;'Line Follower'!$C$7,SUM(C2323:K2323)&lt;4),1,0)</f>
        <v>#N/A</v>
      </c>
      <c r="S2323" s="4" t="e">
        <f>IF(AND(L2323=1,N2323&lt;'Line Follower'!$C$6,SUM(C2323:K2323)&lt;4),1,0)</f>
        <v>#N/A</v>
      </c>
      <c r="T2323" s="4" t="e">
        <f t="shared" si="182"/>
        <v>#N/A</v>
      </c>
      <c r="U2323" s="5" t="e">
        <f t="shared" si="183"/>
        <v>#N/A</v>
      </c>
      <c r="V2323" s="23" t="e">
        <f t="shared" si="184"/>
        <v>#N/A</v>
      </c>
    </row>
    <row r="2324" spans="2:22" x14ac:dyDescent="0.25">
      <c r="B2324" s="16">
        <v>1</v>
      </c>
      <c r="C2324" s="7">
        <v>0</v>
      </c>
      <c r="D2324" s="8">
        <v>0</v>
      </c>
      <c r="E2324" s="8">
        <v>0</v>
      </c>
      <c r="F2324" s="8">
        <v>1</v>
      </c>
      <c r="G2324" s="8">
        <v>0</v>
      </c>
      <c r="H2324" s="8">
        <v>0</v>
      </c>
      <c r="I2324" s="8">
        <v>0</v>
      </c>
      <c r="J2324" s="8">
        <v>1</v>
      </c>
      <c r="K2324" s="9">
        <v>0</v>
      </c>
      <c r="L2324" s="10">
        <v>0</v>
      </c>
      <c r="M2324" s="6">
        <v>1</v>
      </c>
      <c r="N2324" s="37" t="e" cm="1">
        <f t="array" ref="N2324">IF(OR(ISNUMBER(FIND(Aux!$D$3:$D$9,_xlfn.TEXTJOIN(,,C2324:K2324)))),NA(),IF(AND(SUM(C2324:F2324,H2324:K2324)=0,G2324=1),0,INT((SUMPRODUCT(C2324:F2324,COLUMN($A$1:$D$1)-1)+SUMPRODUCT(H2324:K2324,COLUMN($E$1:$H$1)-1))*'Line Follower'!$C$3/SUM(C2324:F2324,H2324:K2324)-'Line Follower'!$C$5)))</f>
        <v>#N/A</v>
      </c>
      <c r="O2324" s="22" t="e">
        <v>#N/A</v>
      </c>
      <c r="P2324" s="4" t="e">
        <f t="shared" si="180"/>
        <v>#N/A</v>
      </c>
      <c r="Q2324" s="4" t="e">
        <f t="shared" si="181"/>
        <v>#N/A</v>
      </c>
      <c r="R2324" s="4" t="e">
        <f>IF(AND(B2324=1,N2324&gt;'Line Follower'!$C$7,SUM(C2324:K2324)&lt;4),1,0)</f>
        <v>#N/A</v>
      </c>
      <c r="S2324" s="4" t="e">
        <f>IF(AND(L2324=1,N2324&lt;'Line Follower'!$C$6,SUM(C2324:K2324)&lt;4),1,0)</f>
        <v>#N/A</v>
      </c>
      <c r="T2324" s="4" t="e">
        <f t="shared" si="182"/>
        <v>#N/A</v>
      </c>
      <c r="U2324" s="5" t="e">
        <f t="shared" si="183"/>
        <v>#N/A</v>
      </c>
      <c r="V2324" s="23" t="e">
        <f t="shared" si="184"/>
        <v>#N/A</v>
      </c>
    </row>
    <row r="2325" spans="2:22" x14ac:dyDescent="0.25">
      <c r="B2325" s="16">
        <v>0</v>
      </c>
      <c r="C2325" s="7">
        <v>1</v>
      </c>
      <c r="D2325" s="8">
        <v>0</v>
      </c>
      <c r="E2325" s="8">
        <v>0</v>
      </c>
      <c r="F2325" s="8">
        <v>1</v>
      </c>
      <c r="G2325" s="8">
        <v>0</v>
      </c>
      <c r="H2325" s="8">
        <v>0</v>
      </c>
      <c r="I2325" s="8">
        <v>0</v>
      </c>
      <c r="J2325" s="8">
        <v>1</v>
      </c>
      <c r="K2325" s="9">
        <v>0</v>
      </c>
      <c r="L2325" s="10">
        <v>0</v>
      </c>
      <c r="M2325" s="6">
        <v>1</v>
      </c>
      <c r="N2325" s="37" t="e" cm="1">
        <f t="array" ref="N2325">IF(OR(ISNUMBER(FIND(Aux!$D$3:$D$9,_xlfn.TEXTJOIN(,,C2325:K2325)))),NA(),IF(AND(SUM(C2325:F2325,H2325:K2325)=0,G2325=1),0,INT((SUMPRODUCT(C2325:F2325,COLUMN($A$1:$D$1)-1)+SUMPRODUCT(H2325:K2325,COLUMN($E$1:$H$1)-1))*'Line Follower'!$C$3/SUM(C2325:F2325,H2325:K2325)-'Line Follower'!$C$5)))</f>
        <v>#N/A</v>
      </c>
      <c r="O2325" s="22" t="e">
        <v>#N/A</v>
      </c>
      <c r="P2325" s="4" t="e">
        <f t="shared" si="180"/>
        <v>#N/A</v>
      </c>
      <c r="Q2325" s="4" t="e">
        <f t="shared" si="181"/>
        <v>#N/A</v>
      </c>
      <c r="R2325" s="4" t="e">
        <f>IF(AND(B2325=1,N2325&gt;'Line Follower'!$C$7,SUM(C2325:K2325)&lt;4),1,0)</f>
        <v>#N/A</v>
      </c>
      <c r="S2325" s="4" t="e">
        <f>IF(AND(L2325=1,N2325&lt;'Line Follower'!$C$6,SUM(C2325:K2325)&lt;4),1,0)</f>
        <v>#N/A</v>
      </c>
      <c r="T2325" s="4" t="e">
        <f t="shared" si="182"/>
        <v>#N/A</v>
      </c>
      <c r="U2325" s="5" t="e">
        <f t="shared" si="183"/>
        <v>#N/A</v>
      </c>
      <c r="V2325" s="23" t="e">
        <f t="shared" si="184"/>
        <v>#N/A</v>
      </c>
    </row>
    <row r="2326" spans="2:22" x14ac:dyDescent="0.25">
      <c r="B2326" s="16">
        <v>1</v>
      </c>
      <c r="C2326" s="7">
        <v>1</v>
      </c>
      <c r="D2326" s="8">
        <v>0</v>
      </c>
      <c r="E2326" s="8">
        <v>0</v>
      </c>
      <c r="F2326" s="8">
        <v>1</v>
      </c>
      <c r="G2326" s="8">
        <v>0</v>
      </c>
      <c r="H2326" s="8">
        <v>0</v>
      </c>
      <c r="I2326" s="8">
        <v>0</v>
      </c>
      <c r="J2326" s="8">
        <v>1</v>
      </c>
      <c r="K2326" s="9">
        <v>0</v>
      </c>
      <c r="L2326" s="10">
        <v>0</v>
      </c>
      <c r="M2326" s="6">
        <v>1</v>
      </c>
      <c r="N2326" s="37" t="e" cm="1">
        <f t="array" ref="N2326">IF(OR(ISNUMBER(FIND(Aux!$D$3:$D$9,_xlfn.TEXTJOIN(,,C2326:K2326)))),NA(),IF(AND(SUM(C2326:F2326,H2326:K2326)=0,G2326=1),0,INT((SUMPRODUCT(C2326:F2326,COLUMN($A$1:$D$1)-1)+SUMPRODUCT(H2326:K2326,COLUMN($E$1:$H$1)-1))*'Line Follower'!$C$3/SUM(C2326:F2326,H2326:K2326)-'Line Follower'!$C$5)))</f>
        <v>#N/A</v>
      </c>
      <c r="O2326" s="22" t="e">
        <v>#N/A</v>
      </c>
      <c r="P2326" s="4" t="e">
        <f t="shared" si="180"/>
        <v>#N/A</v>
      </c>
      <c r="Q2326" s="4" t="e">
        <f t="shared" si="181"/>
        <v>#N/A</v>
      </c>
      <c r="R2326" s="4" t="e">
        <f>IF(AND(B2326=1,N2326&gt;'Line Follower'!$C$7,SUM(C2326:K2326)&lt;4),1,0)</f>
        <v>#N/A</v>
      </c>
      <c r="S2326" s="4" t="e">
        <f>IF(AND(L2326=1,N2326&lt;'Line Follower'!$C$6,SUM(C2326:K2326)&lt;4),1,0)</f>
        <v>#N/A</v>
      </c>
      <c r="T2326" s="4" t="e">
        <f t="shared" si="182"/>
        <v>#N/A</v>
      </c>
      <c r="U2326" s="5" t="e">
        <f t="shared" si="183"/>
        <v>#N/A</v>
      </c>
      <c r="V2326" s="23" t="e">
        <f t="shared" si="184"/>
        <v>#N/A</v>
      </c>
    </row>
    <row r="2327" spans="2:22" x14ac:dyDescent="0.25">
      <c r="B2327" s="16">
        <v>0</v>
      </c>
      <c r="C2327" s="7">
        <v>0</v>
      </c>
      <c r="D2327" s="8">
        <v>1</v>
      </c>
      <c r="E2327" s="8">
        <v>0</v>
      </c>
      <c r="F2327" s="8">
        <v>1</v>
      </c>
      <c r="G2327" s="8">
        <v>0</v>
      </c>
      <c r="H2327" s="8">
        <v>0</v>
      </c>
      <c r="I2327" s="8">
        <v>0</v>
      </c>
      <c r="J2327" s="8">
        <v>1</v>
      </c>
      <c r="K2327" s="9">
        <v>0</v>
      </c>
      <c r="L2327" s="10">
        <v>0</v>
      </c>
      <c r="M2327" s="6">
        <v>1</v>
      </c>
      <c r="N2327" s="37" t="e" cm="1">
        <f t="array" ref="N2327">IF(OR(ISNUMBER(FIND(Aux!$D$3:$D$9,_xlfn.TEXTJOIN(,,C2327:K2327)))),NA(),IF(AND(SUM(C2327:F2327,H2327:K2327)=0,G2327=1),0,INT((SUMPRODUCT(C2327:F2327,COLUMN($A$1:$D$1)-1)+SUMPRODUCT(H2327:K2327,COLUMN($E$1:$H$1)-1))*'Line Follower'!$C$3/SUM(C2327:F2327,H2327:K2327)-'Line Follower'!$C$5)))</f>
        <v>#N/A</v>
      </c>
      <c r="O2327" s="22" t="e">
        <v>#N/A</v>
      </c>
      <c r="P2327" s="4" t="e">
        <f t="shared" si="180"/>
        <v>#N/A</v>
      </c>
      <c r="Q2327" s="4" t="e">
        <f t="shared" si="181"/>
        <v>#N/A</v>
      </c>
      <c r="R2327" s="4" t="e">
        <f>IF(AND(B2327=1,N2327&gt;'Line Follower'!$C$7,SUM(C2327:K2327)&lt;4),1,0)</f>
        <v>#N/A</v>
      </c>
      <c r="S2327" s="4" t="e">
        <f>IF(AND(L2327=1,N2327&lt;'Line Follower'!$C$6,SUM(C2327:K2327)&lt;4),1,0)</f>
        <v>#N/A</v>
      </c>
      <c r="T2327" s="4" t="e">
        <f t="shared" si="182"/>
        <v>#N/A</v>
      </c>
      <c r="U2327" s="5" t="e">
        <f t="shared" si="183"/>
        <v>#N/A</v>
      </c>
      <c r="V2327" s="23" t="e">
        <f t="shared" si="184"/>
        <v>#N/A</v>
      </c>
    </row>
    <row r="2328" spans="2:22" x14ac:dyDescent="0.25">
      <c r="B2328" s="16">
        <v>1</v>
      </c>
      <c r="C2328" s="7">
        <v>0</v>
      </c>
      <c r="D2328" s="8">
        <v>1</v>
      </c>
      <c r="E2328" s="8">
        <v>0</v>
      </c>
      <c r="F2328" s="8">
        <v>1</v>
      </c>
      <c r="G2328" s="8">
        <v>0</v>
      </c>
      <c r="H2328" s="8">
        <v>0</v>
      </c>
      <c r="I2328" s="8">
        <v>0</v>
      </c>
      <c r="J2328" s="8">
        <v>1</v>
      </c>
      <c r="K2328" s="9">
        <v>0</v>
      </c>
      <c r="L2328" s="10">
        <v>0</v>
      </c>
      <c r="M2328" s="6">
        <v>1</v>
      </c>
      <c r="N2328" s="37" t="e" cm="1">
        <f t="array" ref="N2328">IF(OR(ISNUMBER(FIND(Aux!$D$3:$D$9,_xlfn.TEXTJOIN(,,C2328:K2328)))),NA(),IF(AND(SUM(C2328:F2328,H2328:K2328)=0,G2328=1),0,INT((SUMPRODUCT(C2328:F2328,COLUMN($A$1:$D$1)-1)+SUMPRODUCT(H2328:K2328,COLUMN($E$1:$H$1)-1))*'Line Follower'!$C$3/SUM(C2328:F2328,H2328:K2328)-'Line Follower'!$C$5)))</f>
        <v>#N/A</v>
      </c>
      <c r="O2328" s="22" t="e">
        <v>#N/A</v>
      </c>
      <c r="P2328" s="4" t="e">
        <f t="shared" si="180"/>
        <v>#N/A</v>
      </c>
      <c r="Q2328" s="4" t="e">
        <f t="shared" si="181"/>
        <v>#N/A</v>
      </c>
      <c r="R2328" s="4" t="e">
        <f>IF(AND(B2328=1,N2328&gt;'Line Follower'!$C$7,SUM(C2328:K2328)&lt;4),1,0)</f>
        <v>#N/A</v>
      </c>
      <c r="S2328" s="4" t="e">
        <f>IF(AND(L2328=1,N2328&lt;'Line Follower'!$C$6,SUM(C2328:K2328)&lt;4),1,0)</f>
        <v>#N/A</v>
      </c>
      <c r="T2328" s="4" t="e">
        <f t="shared" si="182"/>
        <v>#N/A</v>
      </c>
      <c r="U2328" s="5" t="e">
        <f t="shared" si="183"/>
        <v>#N/A</v>
      </c>
      <c r="V2328" s="23" t="e">
        <f t="shared" si="184"/>
        <v>#N/A</v>
      </c>
    </row>
    <row r="2329" spans="2:22" x14ac:dyDescent="0.25">
      <c r="B2329" s="16">
        <v>0</v>
      </c>
      <c r="C2329" s="7">
        <v>1</v>
      </c>
      <c r="D2329" s="8">
        <v>1</v>
      </c>
      <c r="E2329" s="8">
        <v>0</v>
      </c>
      <c r="F2329" s="8">
        <v>1</v>
      </c>
      <c r="G2329" s="8">
        <v>0</v>
      </c>
      <c r="H2329" s="8">
        <v>0</v>
      </c>
      <c r="I2329" s="8">
        <v>0</v>
      </c>
      <c r="J2329" s="8">
        <v>1</v>
      </c>
      <c r="K2329" s="9">
        <v>0</v>
      </c>
      <c r="L2329" s="10">
        <v>0</v>
      </c>
      <c r="M2329" s="6">
        <v>1</v>
      </c>
      <c r="N2329" s="37" t="e" cm="1">
        <f t="array" ref="N2329">IF(OR(ISNUMBER(FIND(Aux!$D$3:$D$9,_xlfn.TEXTJOIN(,,C2329:K2329)))),NA(),IF(AND(SUM(C2329:F2329,H2329:K2329)=0,G2329=1),0,INT((SUMPRODUCT(C2329:F2329,COLUMN($A$1:$D$1)-1)+SUMPRODUCT(H2329:K2329,COLUMN($E$1:$H$1)-1))*'Line Follower'!$C$3/SUM(C2329:F2329,H2329:K2329)-'Line Follower'!$C$5)))</f>
        <v>#N/A</v>
      </c>
      <c r="O2329" s="22" t="e">
        <v>#N/A</v>
      </c>
      <c r="P2329" s="4" t="e">
        <f t="shared" si="180"/>
        <v>#N/A</v>
      </c>
      <c r="Q2329" s="4" t="e">
        <f t="shared" si="181"/>
        <v>#N/A</v>
      </c>
      <c r="R2329" s="4" t="e">
        <f>IF(AND(B2329=1,N2329&gt;'Line Follower'!$C$7,SUM(C2329:K2329)&lt;4),1,0)</f>
        <v>#N/A</v>
      </c>
      <c r="S2329" s="4" t="e">
        <f>IF(AND(L2329=1,N2329&lt;'Line Follower'!$C$6,SUM(C2329:K2329)&lt;4),1,0)</f>
        <v>#N/A</v>
      </c>
      <c r="T2329" s="4" t="e">
        <f t="shared" si="182"/>
        <v>#N/A</v>
      </c>
      <c r="U2329" s="5" t="e">
        <f t="shared" si="183"/>
        <v>#N/A</v>
      </c>
      <c r="V2329" s="23" t="e">
        <f t="shared" si="184"/>
        <v>#N/A</v>
      </c>
    </row>
    <row r="2330" spans="2:22" x14ac:dyDescent="0.25">
      <c r="B2330" s="16">
        <v>1</v>
      </c>
      <c r="C2330" s="7">
        <v>1</v>
      </c>
      <c r="D2330" s="8">
        <v>1</v>
      </c>
      <c r="E2330" s="8">
        <v>0</v>
      </c>
      <c r="F2330" s="8">
        <v>1</v>
      </c>
      <c r="G2330" s="8">
        <v>0</v>
      </c>
      <c r="H2330" s="8">
        <v>0</v>
      </c>
      <c r="I2330" s="8">
        <v>0</v>
      </c>
      <c r="J2330" s="8">
        <v>1</v>
      </c>
      <c r="K2330" s="9">
        <v>0</v>
      </c>
      <c r="L2330" s="10">
        <v>0</v>
      </c>
      <c r="M2330" s="6">
        <v>1</v>
      </c>
      <c r="N2330" s="37" t="e" cm="1">
        <f t="array" ref="N2330">IF(OR(ISNUMBER(FIND(Aux!$D$3:$D$9,_xlfn.TEXTJOIN(,,C2330:K2330)))),NA(),IF(AND(SUM(C2330:F2330,H2330:K2330)=0,G2330=1),0,INT((SUMPRODUCT(C2330:F2330,COLUMN($A$1:$D$1)-1)+SUMPRODUCT(H2330:K2330,COLUMN($E$1:$H$1)-1))*'Line Follower'!$C$3/SUM(C2330:F2330,H2330:K2330)-'Line Follower'!$C$5)))</f>
        <v>#N/A</v>
      </c>
      <c r="O2330" s="22" t="e">
        <v>#N/A</v>
      </c>
      <c r="P2330" s="4" t="e">
        <f t="shared" si="180"/>
        <v>#N/A</v>
      </c>
      <c r="Q2330" s="4" t="e">
        <f t="shared" si="181"/>
        <v>#N/A</v>
      </c>
      <c r="R2330" s="4" t="e">
        <f>IF(AND(B2330=1,N2330&gt;'Line Follower'!$C$7,SUM(C2330:K2330)&lt;4),1,0)</f>
        <v>#N/A</v>
      </c>
      <c r="S2330" s="4" t="e">
        <f>IF(AND(L2330=1,N2330&lt;'Line Follower'!$C$6,SUM(C2330:K2330)&lt;4),1,0)</f>
        <v>#N/A</v>
      </c>
      <c r="T2330" s="4" t="e">
        <f t="shared" si="182"/>
        <v>#N/A</v>
      </c>
      <c r="U2330" s="5" t="e">
        <f t="shared" si="183"/>
        <v>#N/A</v>
      </c>
      <c r="V2330" s="23" t="e">
        <f t="shared" si="184"/>
        <v>#N/A</v>
      </c>
    </row>
    <row r="2331" spans="2:22" x14ac:dyDescent="0.25">
      <c r="B2331" s="16">
        <v>0</v>
      </c>
      <c r="C2331" s="7">
        <v>0</v>
      </c>
      <c r="D2331" s="8">
        <v>0</v>
      </c>
      <c r="E2331" s="8">
        <v>1</v>
      </c>
      <c r="F2331" s="8">
        <v>1</v>
      </c>
      <c r="G2331" s="8">
        <v>0</v>
      </c>
      <c r="H2331" s="8">
        <v>0</v>
      </c>
      <c r="I2331" s="8">
        <v>0</v>
      </c>
      <c r="J2331" s="8">
        <v>1</v>
      </c>
      <c r="K2331" s="9">
        <v>0</v>
      </c>
      <c r="L2331" s="10">
        <v>0</v>
      </c>
      <c r="M2331" s="6">
        <v>1</v>
      </c>
      <c r="N2331" s="37" t="e" cm="1">
        <f t="array" ref="N2331">IF(OR(ISNUMBER(FIND(Aux!$D$3:$D$9,_xlfn.TEXTJOIN(,,C2331:K2331)))),NA(),IF(AND(SUM(C2331:F2331,H2331:K2331)=0,G2331=1),0,INT((SUMPRODUCT(C2331:F2331,COLUMN($A$1:$D$1)-1)+SUMPRODUCT(H2331:K2331,COLUMN($E$1:$H$1)-1))*'Line Follower'!$C$3/SUM(C2331:F2331,H2331:K2331)-'Line Follower'!$C$5)))</f>
        <v>#N/A</v>
      </c>
      <c r="O2331" s="22" t="e">
        <v>#N/A</v>
      </c>
      <c r="P2331" s="4" t="e">
        <f t="shared" si="180"/>
        <v>#N/A</v>
      </c>
      <c r="Q2331" s="4" t="e">
        <f t="shared" si="181"/>
        <v>#N/A</v>
      </c>
      <c r="R2331" s="4" t="e">
        <f>IF(AND(B2331=1,N2331&gt;'Line Follower'!$C$7,SUM(C2331:K2331)&lt;4),1,0)</f>
        <v>#N/A</v>
      </c>
      <c r="S2331" s="4" t="e">
        <f>IF(AND(L2331=1,N2331&lt;'Line Follower'!$C$6,SUM(C2331:K2331)&lt;4),1,0)</f>
        <v>#N/A</v>
      </c>
      <c r="T2331" s="4" t="e">
        <f t="shared" si="182"/>
        <v>#N/A</v>
      </c>
      <c r="U2331" s="5" t="e">
        <f t="shared" si="183"/>
        <v>#N/A</v>
      </c>
      <c r="V2331" s="23" t="e">
        <f t="shared" si="184"/>
        <v>#N/A</v>
      </c>
    </row>
    <row r="2332" spans="2:22" x14ac:dyDescent="0.25">
      <c r="B2332" s="16">
        <v>1</v>
      </c>
      <c r="C2332" s="7">
        <v>0</v>
      </c>
      <c r="D2332" s="8">
        <v>0</v>
      </c>
      <c r="E2332" s="8">
        <v>1</v>
      </c>
      <c r="F2332" s="8">
        <v>1</v>
      </c>
      <c r="G2332" s="8">
        <v>0</v>
      </c>
      <c r="H2332" s="8">
        <v>0</v>
      </c>
      <c r="I2332" s="8">
        <v>0</v>
      </c>
      <c r="J2332" s="8">
        <v>1</v>
      </c>
      <c r="K2332" s="9">
        <v>0</v>
      </c>
      <c r="L2332" s="10">
        <v>0</v>
      </c>
      <c r="M2332" s="6">
        <v>1</v>
      </c>
      <c r="N2332" s="37" t="e" cm="1">
        <f t="array" ref="N2332">IF(OR(ISNUMBER(FIND(Aux!$D$3:$D$9,_xlfn.TEXTJOIN(,,C2332:K2332)))),NA(),IF(AND(SUM(C2332:F2332,H2332:K2332)=0,G2332=1),0,INT((SUMPRODUCT(C2332:F2332,COLUMN($A$1:$D$1)-1)+SUMPRODUCT(H2332:K2332,COLUMN($E$1:$H$1)-1))*'Line Follower'!$C$3/SUM(C2332:F2332,H2332:K2332)-'Line Follower'!$C$5)))</f>
        <v>#N/A</v>
      </c>
      <c r="O2332" s="22" t="e">
        <v>#N/A</v>
      </c>
      <c r="P2332" s="4" t="e">
        <f t="shared" si="180"/>
        <v>#N/A</v>
      </c>
      <c r="Q2332" s="4" t="e">
        <f t="shared" si="181"/>
        <v>#N/A</v>
      </c>
      <c r="R2332" s="4" t="e">
        <f>IF(AND(B2332=1,N2332&gt;'Line Follower'!$C$7,SUM(C2332:K2332)&lt;4),1,0)</f>
        <v>#N/A</v>
      </c>
      <c r="S2332" s="4" t="e">
        <f>IF(AND(L2332=1,N2332&lt;'Line Follower'!$C$6,SUM(C2332:K2332)&lt;4),1,0)</f>
        <v>#N/A</v>
      </c>
      <c r="T2332" s="4" t="e">
        <f t="shared" si="182"/>
        <v>#N/A</v>
      </c>
      <c r="U2332" s="5" t="e">
        <f t="shared" si="183"/>
        <v>#N/A</v>
      </c>
      <c r="V2332" s="23" t="e">
        <f t="shared" si="184"/>
        <v>#N/A</v>
      </c>
    </row>
    <row r="2333" spans="2:22" x14ac:dyDescent="0.25">
      <c r="B2333" s="16">
        <v>0</v>
      </c>
      <c r="C2333" s="7">
        <v>1</v>
      </c>
      <c r="D2333" s="8">
        <v>0</v>
      </c>
      <c r="E2333" s="8">
        <v>1</v>
      </c>
      <c r="F2333" s="8">
        <v>1</v>
      </c>
      <c r="G2333" s="8">
        <v>0</v>
      </c>
      <c r="H2333" s="8">
        <v>0</v>
      </c>
      <c r="I2333" s="8">
        <v>0</v>
      </c>
      <c r="J2333" s="8">
        <v>1</v>
      </c>
      <c r="K2333" s="9">
        <v>0</v>
      </c>
      <c r="L2333" s="10">
        <v>0</v>
      </c>
      <c r="M2333" s="6">
        <v>1</v>
      </c>
      <c r="N2333" s="37" t="e" cm="1">
        <f t="array" ref="N2333">IF(OR(ISNUMBER(FIND(Aux!$D$3:$D$9,_xlfn.TEXTJOIN(,,C2333:K2333)))),NA(),IF(AND(SUM(C2333:F2333,H2333:K2333)=0,G2333=1),0,INT((SUMPRODUCT(C2333:F2333,COLUMN($A$1:$D$1)-1)+SUMPRODUCT(H2333:K2333,COLUMN($E$1:$H$1)-1))*'Line Follower'!$C$3/SUM(C2333:F2333,H2333:K2333)-'Line Follower'!$C$5)))</f>
        <v>#N/A</v>
      </c>
      <c r="O2333" s="22" t="e">
        <v>#N/A</v>
      </c>
      <c r="P2333" s="4" t="e">
        <f t="shared" si="180"/>
        <v>#N/A</v>
      </c>
      <c r="Q2333" s="4" t="e">
        <f t="shared" si="181"/>
        <v>#N/A</v>
      </c>
      <c r="R2333" s="4" t="e">
        <f>IF(AND(B2333=1,N2333&gt;'Line Follower'!$C$7,SUM(C2333:K2333)&lt;4),1,0)</f>
        <v>#N/A</v>
      </c>
      <c r="S2333" s="4" t="e">
        <f>IF(AND(L2333=1,N2333&lt;'Line Follower'!$C$6,SUM(C2333:K2333)&lt;4),1,0)</f>
        <v>#N/A</v>
      </c>
      <c r="T2333" s="4" t="e">
        <f t="shared" si="182"/>
        <v>#N/A</v>
      </c>
      <c r="U2333" s="5" t="e">
        <f t="shared" si="183"/>
        <v>#N/A</v>
      </c>
      <c r="V2333" s="23" t="e">
        <f t="shared" si="184"/>
        <v>#N/A</v>
      </c>
    </row>
    <row r="2334" spans="2:22" x14ac:dyDescent="0.25">
      <c r="B2334" s="16">
        <v>1</v>
      </c>
      <c r="C2334" s="7">
        <v>1</v>
      </c>
      <c r="D2334" s="8">
        <v>0</v>
      </c>
      <c r="E2334" s="8">
        <v>1</v>
      </c>
      <c r="F2334" s="8">
        <v>1</v>
      </c>
      <c r="G2334" s="8">
        <v>0</v>
      </c>
      <c r="H2334" s="8">
        <v>0</v>
      </c>
      <c r="I2334" s="8">
        <v>0</v>
      </c>
      <c r="J2334" s="8">
        <v>1</v>
      </c>
      <c r="K2334" s="9">
        <v>0</v>
      </c>
      <c r="L2334" s="10">
        <v>0</v>
      </c>
      <c r="M2334" s="6">
        <v>1</v>
      </c>
      <c r="N2334" s="37" t="e" cm="1">
        <f t="array" ref="N2334">IF(OR(ISNUMBER(FIND(Aux!$D$3:$D$9,_xlfn.TEXTJOIN(,,C2334:K2334)))),NA(),IF(AND(SUM(C2334:F2334,H2334:K2334)=0,G2334=1),0,INT((SUMPRODUCT(C2334:F2334,COLUMN($A$1:$D$1)-1)+SUMPRODUCT(H2334:K2334,COLUMN($E$1:$H$1)-1))*'Line Follower'!$C$3/SUM(C2334:F2334,H2334:K2334)-'Line Follower'!$C$5)))</f>
        <v>#N/A</v>
      </c>
      <c r="O2334" s="22" t="e">
        <v>#N/A</v>
      </c>
      <c r="P2334" s="4" t="e">
        <f t="shared" si="180"/>
        <v>#N/A</v>
      </c>
      <c r="Q2334" s="4" t="e">
        <f t="shared" si="181"/>
        <v>#N/A</v>
      </c>
      <c r="R2334" s="4" t="e">
        <f>IF(AND(B2334=1,N2334&gt;'Line Follower'!$C$7,SUM(C2334:K2334)&lt;4),1,0)</f>
        <v>#N/A</v>
      </c>
      <c r="S2334" s="4" t="e">
        <f>IF(AND(L2334=1,N2334&lt;'Line Follower'!$C$6,SUM(C2334:K2334)&lt;4),1,0)</f>
        <v>#N/A</v>
      </c>
      <c r="T2334" s="4" t="e">
        <f t="shared" si="182"/>
        <v>#N/A</v>
      </c>
      <c r="U2334" s="5" t="e">
        <f t="shared" si="183"/>
        <v>#N/A</v>
      </c>
      <c r="V2334" s="23" t="e">
        <f t="shared" si="184"/>
        <v>#N/A</v>
      </c>
    </row>
    <row r="2335" spans="2:22" x14ac:dyDescent="0.25">
      <c r="B2335" s="16">
        <v>0</v>
      </c>
      <c r="C2335" s="7">
        <v>0</v>
      </c>
      <c r="D2335" s="8">
        <v>1</v>
      </c>
      <c r="E2335" s="8">
        <v>1</v>
      </c>
      <c r="F2335" s="8">
        <v>1</v>
      </c>
      <c r="G2335" s="8">
        <v>0</v>
      </c>
      <c r="H2335" s="8">
        <v>0</v>
      </c>
      <c r="I2335" s="8">
        <v>0</v>
      </c>
      <c r="J2335" s="8">
        <v>1</v>
      </c>
      <c r="K2335" s="9">
        <v>0</v>
      </c>
      <c r="L2335" s="10">
        <v>0</v>
      </c>
      <c r="M2335" s="6">
        <v>1</v>
      </c>
      <c r="N2335" s="37" t="e" cm="1">
        <f t="array" ref="N2335">IF(OR(ISNUMBER(FIND(Aux!$D$3:$D$9,_xlfn.TEXTJOIN(,,C2335:K2335)))),NA(),IF(AND(SUM(C2335:F2335,H2335:K2335)=0,G2335=1),0,INT((SUMPRODUCT(C2335:F2335,COLUMN($A$1:$D$1)-1)+SUMPRODUCT(H2335:K2335,COLUMN($E$1:$H$1)-1))*'Line Follower'!$C$3/SUM(C2335:F2335,H2335:K2335)-'Line Follower'!$C$5)))</f>
        <v>#N/A</v>
      </c>
      <c r="O2335" s="22" t="e">
        <v>#N/A</v>
      </c>
      <c r="P2335" s="4" t="e">
        <f t="shared" si="180"/>
        <v>#N/A</v>
      </c>
      <c r="Q2335" s="4" t="e">
        <f t="shared" si="181"/>
        <v>#N/A</v>
      </c>
      <c r="R2335" s="4" t="e">
        <f>IF(AND(B2335=1,N2335&gt;'Line Follower'!$C$7,SUM(C2335:K2335)&lt;4),1,0)</f>
        <v>#N/A</v>
      </c>
      <c r="S2335" s="4" t="e">
        <f>IF(AND(L2335=1,N2335&lt;'Line Follower'!$C$6,SUM(C2335:K2335)&lt;4),1,0)</f>
        <v>#N/A</v>
      </c>
      <c r="T2335" s="4" t="e">
        <f t="shared" si="182"/>
        <v>#N/A</v>
      </c>
      <c r="U2335" s="5" t="e">
        <f t="shared" si="183"/>
        <v>#N/A</v>
      </c>
      <c r="V2335" s="23" t="e">
        <f t="shared" si="184"/>
        <v>#N/A</v>
      </c>
    </row>
    <row r="2336" spans="2:22" x14ac:dyDescent="0.25">
      <c r="B2336" s="16">
        <v>1</v>
      </c>
      <c r="C2336" s="7">
        <v>0</v>
      </c>
      <c r="D2336" s="8">
        <v>1</v>
      </c>
      <c r="E2336" s="8">
        <v>1</v>
      </c>
      <c r="F2336" s="8">
        <v>1</v>
      </c>
      <c r="G2336" s="8">
        <v>0</v>
      </c>
      <c r="H2336" s="8">
        <v>0</v>
      </c>
      <c r="I2336" s="8">
        <v>0</v>
      </c>
      <c r="J2336" s="8">
        <v>1</v>
      </c>
      <c r="K2336" s="9">
        <v>0</v>
      </c>
      <c r="L2336" s="10">
        <v>0</v>
      </c>
      <c r="M2336" s="6">
        <v>1</v>
      </c>
      <c r="N2336" s="37" t="e" cm="1">
        <f t="array" ref="N2336">IF(OR(ISNUMBER(FIND(Aux!$D$3:$D$9,_xlfn.TEXTJOIN(,,C2336:K2336)))),NA(),IF(AND(SUM(C2336:F2336,H2336:K2336)=0,G2336=1),0,INT((SUMPRODUCT(C2336:F2336,COLUMN($A$1:$D$1)-1)+SUMPRODUCT(H2336:K2336,COLUMN($E$1:$H$1)-1))*'Line Follower'!$C$3/SUM(C2336:F2336,H2336:K2336)-'Line Follower'!$C$5)))</f>
        <v>#N/A</v>
      </c>
      <c r="O2336" s="22" t="e">
        <v>#N/A</v>
      </c>
      <c r="P2336" s="4" t="e">
        <f t="shared" si="180"/>
        <v>#N/A</v>
      </c>
      <c r="Q2336" s="4" t="e">
        <f t="shared" si="181"/>
        <v>#N/A</v>
      </c>
      <c r="R2336" s="4" t="e">
        <f>IF(AND(B2336=1,N2336&gt;'Line Follower'!$C$7,SUM(C2336:K2336)&lt;4),1,0)</f>
        <v>#N/A</v>
      </c>
      <c r="S2336" s="4" t="e">
        <f>IF(AND(L2336=1,N2336&lt;'Line Follower'!$C$6,SUM(C2336:K2336)&lt;4),1,0)</f>
        <v>#N/A</v>
      </c>
      <c r="T2336" s="4" t="e">
        <f t="shared" si="182"/>
        <v>#N/A</v>
      </c>
      <c r="U2336" s="5" t="e">
        <f t="shared" si="183"/>
        <v>#N/A</v>
      </c>
      <c r="V2336" s="23" t="e">
        <f t="shared" si="184"/>
        <v>#N/A</v>
      </c>
    </row>
    <row r="2337" spans="2:22" x14ac:dyDescent="0.25">
      <c r="B2337" s="16">
        <v>0</v>
      </c>
      <c r="C2337" s="7">
        <v>1</v>
      </c>
      <c r="D2337" s="8">
        <v>1</v>
      </c>
      <c r="E2337" s="8">
        <v>1</v>
      </c>
      <c r="F2337" s="8">
        <v>1</v>
      </c>
      <c r="G2337" s="8">
        <v>0</v>
      </c>
      <c r="H2337" s="8">
        <v>0</v>
      </c>
      <c r="I2337" s="8">
        <v>0</v>
      </c>
      <c r="J2337" s="8">
        <v>1</v>
      </c>
      <c r="K2337" s="9">
        <v>0</v>
      </c>
      <c r="L2337" s="10">
        <v>0</v>
      </c>
      <c r="M2337" s="6">
        <v>1</v>
      </c>
      <c r="N2337" s="37" t="e" cm="1">
        <f t="array" ref="N2337">IF(OR(ISNUMBER(FIND(Aux!$D$3:$D$9,_xlfn.TEXTJOIN(,,C2337:K2337)))),NA(),IF(AND(SUM(C2337:F2337,H2337:K2337)=0,G2337=1),0,INT((SUMPRODUCT(C2337:F2337,COLUMN($A$1:$D$1)-1)+SUMPRODUCT(H2337:K2337,COLUMN($E$1:$H$1)-1))*'Line Follower'!$C$3/SUM(C2337:F2337,H2337:K2337)-'Line Follower'!$C$5)))</f>
        <v>#N/A</v>
      </c>
      <c r="O2337" s="22" t="e">
        <v>#N/A</v>
      </c>
      <c r="P2337" s="4" t="e">
        <f t="shared" si="180"/>
        <v>#N/A</v>
      </c>
      <c r="Q2337" s="4" t="e">
        <f t="shared" si="181"/>
        <v>#N/A</v>
      </c>
      <c r="R2337" s="4" t="e">
        <f>IF(AND(B2337=1,N2337&gt;'Line Follower'!$C$7,SUM(C2337:K2337)&lt;4),1,0)</f>
        <v>#N/A</v>
      </c>
      <c r="S2337" s="4" t="e">
        <f>IF(AND(L2337=1,N2337&lt;'Line Follower'!$C$6,SUM(C2337:K2337)&lt;4),1,0)</f>
        <v>#N/A</v>
      </c>
      <c r="T2337" s="4" t="e">
        <f t="shared" si="182"/>
        <v>#N/A</v>
      </c>
      <c r="U2337" s="5" t="e">
        <f t="shared" si="183"/>
        <v>#N/A</v>
      </c>
      <c r="V2337" s="23" t="e">
        <f t="shared" si="184"/>
        <v>#N/A</v>
      </c>
    </row>
    <row r="2338" spans="2:22" x14ac:dyDescent="0.25">
      <c r="B2338" s="16">
        <v>1</v>
      </c>
      <c r="C2338" s="7">
        <v>1</v>
      </c>
      <c r="D2338" s="8">
        <v>1</v>
      </c>
      <c r="E2338" s="8">
        <v>1</v>
      </c>
      <c r="F2338" s="8">
        <v>1</v>
      </c>
      <c r="G2338" s="8">
        <v>0</v>
      </c>
      <c r="H2338" s="8">
        <v>0</v>
      </c>
      <c r="I2338" s="8">
        <v>0</v>
      </c>
      <c r="J2338" s="8">
        <v>1</v>
      </c>
      <c r="K2338" s="9">
        <v>0</v>
      </c>
      <c r="L2338" s="10">
        <v>0</v>
      </c>
      <c r="M2338" s="6">
        <v>1</v>
      </c>
      <c r="N2338" s="37" t="e" cm="1">
        <f t="array" ref="N2338">IF(OR(ISNUMBER(FIND(Aux!$D$3:$D$9,_xlfn.TEXTJOIN(,,C2338:K2338)))),NA(),IF(AND(SUM(C2338:F2338,H2338:K2338)=0,G2338=1),0,INT((SUMPRODUCT(C2338:F2338,COLUMN($A$1:$D$1)-1)+SUMPRODUCT(H2338:K2338,COLUMN($E$1:$H$1)-1))*'Line Follower'!$C$3/SUM(C2338:F2338,H2338:K2338)-'Line Follower'!$C$5)))</f>
        <v>#N/A</v>
      </c>
      <c r="O2338" s="22" t="e">
        <v>#N/A</v>
      </c>
      <c r="P2338" s="4" t="e">
        <f t="shared" si="180"/>
        <v>#N/A</v>
      </c>
      <c r="Q2338" s="4" t="e">
        <f t="shared" si="181"/>
        <v>#N/A</v>
      </c>
      <c r="R2338" s="4" t="e">
        <f>IF(AND(B2338=1,N2338&gt;'Line Follower'!$C$7,SUM(C2338:K2338)&lt;4),1,0)</f>
        <v>#N/A</v>
      </c>
      <c r="S2338" s="4" t="e">
        <f>IF(AND(L2338=1,N2338&lt;'Line Follower'!$C$6,SUM(C2338:K2338)&lt;4),1,0)</f>
        <v>#N/A</v>
      </c>
      <c r="T2338" s="4" t="e">
        <f t="shared" si="182"/>
        <v>#N/A</v>
      </c>
      <c r="U2338" s="5" t="e">
        <f t="shared" si="183"/>
        <v>#N/A</v>
      </c>
      <c r="V2338" s="23" t="e">
        <f t="shared" si="184"/>
        <v>#N/A</v>
      </c>
    </row>
    <row r="2339" spans="2:22" x14ac:dyDescent="0.25">
      <c r="B2339" s="16">
        <v>0</v>
      </c>
      <c r="C2339" s="7">
        <v>0</v>
      </c>
      <c r="D2339" s="8">
        <v>0</v>
      </c>
      <c r="E2339" s="8">
        <v>0</v>
      </c>
      <c r="F2339" s="8">
        <v>0</v>
      </c>
      <c r="G2339" s="8">
        <v>1</v>
      </c>
      <c r="H2339" s="8">
        <v>0</v>
      </c>
      <c r="I2339" s="8">
        <v>0</v>
      </c>
      <c r="J2339" s="8">
        <v>1</v>
      </c>
      <c r="K2339" s="9">
        <v>0</v>
      </c>
      <c r="L2339" s="10">
        <v>0</v>
      </c>
      <c r="M2339" s="6">
        <v>1</v>
      </c>
      <c r="N2339" s="37" t="e" cm="1">
        <f t="array" ref="N2339">IF(OR(ISNUMBER(FIND(Aux!$D$3:$D$9,_xlfn.TEXTJOIN(,,C2339:K2339)))),NA(),IF(AND(SUM(C2339:F2339,H2339:K2339)=0,G2339=1),0,INT((SUMPRODUCT(C2339:F2339,COLUMN($A$1:$D$1)-1)+SUMPRODUCT(H2339:K2339,COLUMN($E$1:$H$1)-1))*'Line Follower'!$C$3/SUM(C2339:F2339,H2339:K2339)-'Line Follower'!$C$5)))</f>
        <v>#N/A</v>
      </c>
      <c r="O2339" s="22" t="e">
        <v>#N/A</v>
      </c>
      <c r="P2339" s="4" t="e">
        <f t="shared" si="180"/>
        <v>#N/A</v>
      </c>
      <c r="Q2339" s="4" t="e">
        <f t="shared" si="181"/>
        <v>#N/A</v>
      </c>
      <c r="R2339" s="4" t="e">
        <f>IF(AND(B2339=1,N2339&gt;'Line Follower'!$C$7,SUM(C2339:K2339)&lt;4),1,0)</f>
        <v>#N/A</v>
      </c>
      <c r="S2339" s="4" t="e">
        <f>IF(AND(L2339=1,N2339&lt;'Line Follower'!$C$6,SUM(C2339:K2339)&lt;4),1,0)</f>
        <v>#N/A</v>
      </c>
      <c r="T2339" s="4" t="e">
        <f t="shared" si="182"/>
        <v>#N/A</v>
      </c>
      <c r="U2339" s="5" t="e">
        <f t="shared" si="183"/>
        <v>#N/A</v>
      </c>
      <c r="V2339" s="23" t="e">
        <f t="shared" si="184"/>
        <v>#N/A</v>
      </c>
    </row>
    <row r="2340" spans="2:22" x14ac:dyDescent="0.25">
      <c r="B2340" s="16">
        <v>1</v>
      </c>
      <c r="C2340" s="7">
        <v>0</v>
      </c>
      <c r="D2340" s="8">
        <v>0</v>
      </c>
      <c r="E2340" s="8">
        <v>0</v>
      </c>
      <c r="F2340" s="8">
        <v>0</v>
      </c>
      <c r="G2340" s="8">
        <v>1</v>
      </c>
      <c r="H2340" s="8">
        <v>0</v>
      </c>
      <c r="I2340" s="8">
        <v>0</v>
      </c>
      <c r="J2340" s="8">
        <v>1</v>
      </c>
      <c r="K2340" s="9">
        <v>0</v>
      </c>
      <c r="L2340" s="10">
        <v>0</v>
      </c>
      <c r="M2340" s="6">
        <v>1</v>
      </c>
      <c r="N2340" s="37" t="e" cm="1">
        <f t="array" ref="N2340">IF(OR(ISNUMBER(FIND(Aux!$D$3:$D$9,_xlfn.TEXTJOIN(,,C2340:K2340)))),NA(),IF(AND(SUM(C2340:F2340,H2340:K2340)=0,G2340=1),0,INT((SUMPRODUCT(C2340:F2340,COLUMN($A$1:$D$1)-1)+SUMPRODUCT(H2340:K2340,COLUMN($E$1:$H$1)-1))*'Line Follower'!$C$3/SUM(C2340:F2340,H2340:K2340)-'Line Follower'!$C$5)))</f>
        <v>#N/A</v>
      </c>
      <c r="O2340" s="22" t="e">
        <v>#N/A</v>
      </c>
      <c r="P2340" s="4" t="e">
        <f t="shared" si="180"/>
        <v>#N/A</v>
      </c>
      <c r="Q2340" s="4" t="e">
        <f t="shared" si="181"/>
        <v>#N/A</v>
      </c>
      <c r="R2340" s="4" t="e">
        <f>IF(AND(B2340=1,N2340&gt;'Line Follower'!$C$7,SUM(C2340:K2340)&lt;4),1,0)</f>
        <v>#N/A</v>
      </c>
      <c r="S2340" s="4" t="e">
        <f>IF(AND(L2340=1,N2340&lt;'Line Follower'!$C$6,SUM(C2340:K2340)&lt;4),1,0)</f>
        <v>#N/A</v>
      </c>
      <c r="T2340" s="4" t="e">
        <f t="shared" si="182"/>
        <v>#N/A</v>
      </c>
      <c r="U2340" s="5" t="e">
        <f t="shared" si="183"/>
        <v>#N/A</v>
      </c>
      <c r="V2340" s="23" t="e">
        <f t="shared" si="184"/>
        <v>#N/A</v>
      </c>
    </row>
    <row r="2341" spans="2:22" x14ac:dyDescent="0.25">
      <c r="B2341" s="16">
        <v>0</v>
      </c>
      <c r="C2341" s="7">
        <v>1</v>
      </c>
      <c r="D2341" s="8">
        <v>0</v>
      </c>
      <c r="E2341" s="8">
        <v>0</v>
      </c>
      <c r="F2341" s="8">
        <v>0</v>
      </c>
      <c r="G2341" s="8">
        <v>1</v>
      </c>
      <c r="H2341" s="8">
        <v>0</v>
      </c>
      <c r="I2341" s="8">
        <v>0</v>
      </c>
      <c r="J2341" s="8">
        <v>1</v>
      </c>
      <c r="K2341" s="9">
        <v>0</v>
      </c>
      <c r="L2341" s="10">
        <v>0</v>
      </c>
      <c r="M2341" s="6">
        <v>1</v>
      </c>
      <c r="N2341" s="37" t="e" cm="1">
        <f t="array" ref="N2341">IF(OR(ISNUMBER(FIND(Aux!$D$3:$D$9,_xlfn.TEXTJOIN(,,C2341:K2341)))),NA(),IF(AND(SUM(C2341:F2341,H2341:K2341)=0,G2341=1),0,INT((SUMPRODUCT(C2341:F2341,COLUMN($A$1:$D$1)-1)+SUMPRODUCT(H2341:K2341,COLUMN($E$1:$H$1)-1))*'Line Follower'!$C$3/SUM(C2341:F2341,H2341:K2341)-'Line Follower'!$C$5)))</f>
        <v>#N/A</v>
      </c>
      <c r="O2341" s="22" t="e">
        <v>#N/A</v>
      </c>
      <c r="P2341" s="4" t="e">
        <f t="shared" si="180"/>
        <v>#N/A</v>
      </c>
      <c r="Q2341" s="4" t="e">
        <f t="shared" si="181"/>
        <v>#N/A</v>
      </c>
      <c r="R2341" s="4" t="e">
        <f>IF(AND(B2341=1,N2341&gt;'Line Follower'!$C$7,SUM(C2341:K2341)&lt;4),1,0)</f>
        <v>#N/A</v>
      </c>
      <c r="S2341" s="4" t="e">
        <f>IF(AND(L2341=1,N2341&lt;'Line Follower'!$C$6,SUM(C2341:K2341)&lt;4),1,0)</f>
        <v>#N/A</v>
      </c>
      <c r="T2341" s="4" t="e">
        <f t="shared" si="182"/>
        <v>#N/A</v>
      </c>
      <c r="U2341" s="5" t="e">
        <f t="shared" si="183"/>
        <v>#N/A</v>
      </c>
      <c r="V2341" s="23" t="e">
        <f t="shared" si="184"/>
        <v>#N/A</v>
      </c>
    </row>
    <row r="2342" spans="2:22" x14ac:dyDescent="0.25">
      <c r="B2342" s="16">
        <v>1</v>
      </c>
      <c r="C2342" s="7">
        <v>1</v>
      </c>
      <c r="D2342" s="8">
        <v>0</v>
      </c>
      <c r="E2342" s="8">
        <v>0</v>
      </c>
      <c r="F2342" s="8">
        <v>0</v>
      </c>
      <c r="G2342" s="8">
        <v>1</v>
      </c>
      <c r="H2342" s="8">
        <v>0</v>
      </c>
      <c r="I2342" s="8">
        <v>0</v>
      </c>
      <c r="J2342" s="8">
        <v>1</v>
      </c>
      <c r="K2342" s="9">
        <v>0</v>
      </c>
      <c r="L2342" s="10">
        <v>0</v>
      </c>
      <c r="M2342" s="6">
        <v>1</v>
      </c>
      <c r="N2342" s="37" t="e" cm="1">
        <f t="array" ref="N2342">IF(OR(ISNUMBER(FIND(Aux!$D$3:$D$9,_xlfn.TEXTJOIN(,,C2342:K2342)))),NA(),IF(AND(SUM(C2342:F2342,H2342:K2342)=0,G2342=1),0,INT((SUMPRODUCT(C2342:F2342,COLUMN($A$1:$D$1)-1)+SUMPRODUCT(H2342:K2342,COLUMN($E$1:$H$1)-1))*'Line Follower'!$C$3/SUM(C2342:F2342,H2342:K2342)-'Line Follower'!$C$5)))</f>
        <v>#N/A</v>
      </c>
      <c r="O2342" s="22" t="e">
        <v>#N/A</v>
      </c>
      <c r="P2342" s="4" t="e">
        <f t="shared" si="180"/>
        <v>#N/A</v>
      </c>
      <c r="Q2342" s="4" t="e">
        <f t="shared" si="181"/>
        <v>#N/A</v>
      </c>
      <c r="R2342" s="4" t="e">
        <f>IF(AND(B2342=1,N2342&gt;'Line Follower'!$C$7,SUM(C2342:K2342)&lt;4),1,0)</f>
        <v>#N/A</v>
      </c>
      <c r="S2342" s="4" t="e">
        <f>IF(AND(L2342=1,N2342&lt;'Line Follower'!$C$6,SUM(C2342:K2342)&lt;4),1,0)</f>
        <v>#N/A</v>
      </c>
      <c r="T2342" s="4" t="e">
        <f t="shared" si="182"/>
        <v>#N/A</v>
      </c>
      <c r="U2342" s="5" t="e">
        <f t="shared" si="183"/>
        <v>#N/A</v>
      </c>
      <c r="V2342" s="23" t="e">
        <f t="shared" si="184"/>
        <v>#N/A</v>
      </c>
    </row>
    <row r="2343" spans="2:22" x14ac:dyDescent="0.25">
      <c r="B2343" s="16">
        <v>0</v>
      </c>
      <c r="C2343" s="7">
        <v>0</v>
      </c>
      <c r="D2343" s="8">
        <v>1</v>
      </c>
      <c r="E2343" s="8">
        <v>0</v>
      </c>
      <c r="F2343" s="8">
        <v>0</v>
      </c>
      <c r="G2343" s="8">
        <v>1</v>
      </c>
      <c r="H2343" s="8">
        <v>0</v>
      </c>
      <c r="I2343" s="8">
        <v>0</v>
      </c>
      <c r="J2343" s="8">
        <v>1</v>
      </c>
      <c r="K2343" s="9">
        <v>0</v>
      </c>
      <c r="L2343" s="10">
        <v>0</v>
      </c>
      <c r="M2343" s="6">
        <v>1</v>
      </c>
      <c r="N2343" s="37" t="e" cm="1">
        <f t="array" ref="N2343">IF(OR(ISNUMBER(FIND(Aux!$D$3:$D$9,_xlfn.TEXTJOIN(,,C2343:K2343)))),NA(),IF(AND(SUM(C2343:F2343,H2343:K2343)=0,G2343=1),0,INT((SUMPRODUCT(C2343:F2343,COLUMN($A$1:$D$1)-1)+SUMPRODUCT(H2343:K2343,COLUMN($E$1:$H$1)-1))*'Line Follower'!$C$3/SUM(C2343:F2343,H2343:K2343)-'Line Follower'!$C$5)))</f>
        <v>#N/A</v>
      </c>
      <c r="O2343" s="22" t="e">
        <v>#N/A</v>
      </c>
      <c r="P2343" s="4" t="e">
        <f t="shared" si="180"/>
        <v>#N/A</v>
      </c>
      <c r="Q2343" s="4" t="e">
        <f t="shared" si="181"/>
        <v>#N/A</v>
      </c>
      <c r="R2343" s="4" t="e">
        <f>IF(AND(B2343=1,N2343&gt;'Line Follower'!$C$7,SUM(C2343:K2343)&lt;4),1,0)</f>
        <v>#N/A</v>
      </c>
      <c r="S2343" s="4" t="e">
        <f>IF(AND(L2343=1,N2343&lt;'Line Follower'!$C$6,SUM(C2343:K2343)&lt;4),1,0)</f>
        <v>#N/A</v>
      </c>
      <c r="T2343" s="4" t="e">
        <f t="shared" si="182"/>
        <v>#N/A</v>
      </c>
      <c r="U2343" s="5" t="e">
        <f t="shared" si="183"/>
        <v>#N/A</v>
      </c>
      <c r="V2343" s="23" t="e">
        <f t="shared" si="184"/>
        <v>#N/A</v>
      </c>
    </row>
    <row r="2344" spans="2:22" x14ac:dyDescent="0.25">
      <c r="B2344" s="16">
        <v>1</v>
      </c>
      <c r="C2344" s="7">
        <v>0</v>
      </c>
      <c r="D2344" s="8">
        <v>1</v>
      </c>
      <c r="E2344" s="8">
        <v>0</v>
      </c>
      <c r="F2344" s="8">
        <v>0</v>
      </c>
      <c r="G2344" s="8">
        <v>1</v>
      </c>
      <c r="H2344" s="8">
        <v>0</v>
      </c>
      <c r="I2344" s="8">
        <v>0</v>
      </c>
      <c r="J2344" s="8">
        <v>1</v>
      </c>
      <c r="K2344" s="9">
        <v>0</v>
      </c>
      <c r="L2344" s="10">
        <v>0</v>
      </c>
      <c r="M2344" s="6">
        <v>1</v>
      </c>
      <c r="N2344" s="37" t="e" cm="1">
        <f t="array" ref="N2344">IF(OR(ISNUMBER(FIND(Aux!$D$3:$D$9,_xlfn.TEXTJOIN(,,C2344:K2344)))),NA(),IF(AND(SUM(C2344:F2344,H2344:K2344)=0,G2344=1),0,INT((SUMPRODUCT(C2344:F2344,COLUMN($A$1:$D$1)-1)+SUMPRODUCT(H2344:K2344,COLUMN($E$1:$H$1)-1))*'Line Follower'!$C$3/SUM(C2344:F2344,H2344:K2344)-'Line Follower'!$C$5)))</f>
        <v>#N/A</v>
      </c>
      <c r="O2344" s="22" t="e">
        <v>#N/A</v>
      </c>
      <c r="P2344" s="4" t="e">
        <f t="shared" si="180"/>
        <v>#N/A</v>
      </c>
      <c r="Q2344" s="4" t="e">
        <f t="shared" si="181"/>
        <v>#N/A</v>
      </c>
      <c r="R2344" s="4" t="e">
        <f>IF(AND(B2344=1,N2344&gt;'Line Follower'!$C$7,SUM(C2344:K2344)&lt;4),1,0)</f>
        <v>#N/A</v>
      </c>
      <c r="S2344" s="4" t="e">
        <f>IF(AND(L2344=1,N2344&lt;'Line Follower'!$C$6,SUM(C2344:K2344)&lt;4),1,0)</f>
        <v>#N/A</v>
      </c>
      <c r="T2344" s="4" t="e">
        <f t="shared" si="182"/>
        <v>#N/A</v>
      </c>
      <c r="U2344" s="5" t="e">
        <f t="shared" si="183"/>
        <v>#N/A</v>
      </c>
      <c r="V2344" s="23" t="e">
        <f t="shared" si="184"/>
        <v>#N/A</v>
      </c>
    </row>
    <row r="2345" spans="2:22" x14ac:dyDescent="0.25">
      <c r="B2345" s="16">
        <v>0</v>
      </c>
      <c r="C2345" s="7">
        <v>1</v>
      </c>
      <c r="D2345" s="8">
        <v>1</v>
      </c>
      <c r="E2345" s="8">
        <v>0</v>
      </c>
      <c r="F2345" s="8">
        <v>0</v>
      </c>
      <c r="G2345" s="8">
        <v>1</v>
      </c>
      <c r="H2345" s="8">
        <v>0</v>
      </c>
      <c r="I2345" s="8">
        <v>0</v>
      </c>
      <c r="J2345" s="8">
        <v>1</v>
      </c>
      <c r="K2345" s="9">
        <v>0</v>
      </c>
      <c r="L2345" s="10">
        <v>0</v>
      </c>
      <c r="M2345" s="6">
        <v>1</v>
      </c>
      <c r="N2345" s="37" t="e" cm="1">
        <f t="array" ref="N2345">IF(OR(ISNUMBER(FIND(Aux!$D$3:$D$9,_xlfn.TEXTJOIN(,,C2345:K2345)))),NA(),IF(AND(SUM(C2345:F2345,H2345:K2345)=0,G2345=1),0,INT((SUMPRODUCT(C2345:F2345,COLUMN($A$1:$D$1)-1)+SUMPRODUCT(H2345:K2345,COLUMN($E$1:$H$1)-1))*'Line Follower'!$C$3/SUM(C2345:F2345,H2345:K2345)-'Line Follower'!$C$5)))</f>
        <v>#N/A</v>
      </c>
      <c r="O2345" s="22" t="e">
        <v>#N/A</v>
      </c>
      <c r="P2345" s="4" t="e">
        <f t="shared" si="180"/>
        <v>#N/A</v>
      </c>
      <c r="Q2345" s="4" t="e">
        <f t="shared" si="181"/>
        <v>#N/A</v>
      </c>
      <c r="R2345" s="4" t="e">
        <f>IF(AND(B2345=1,N2345&gt;'Line Follower'!$C$7,SUM(C2345:K2345)&lt;4),1,0)</f>
        <v>#N/A</v>
      </c>
      <c r="S2345" s="4" t="e">
        <f>IF(AND(L2345=1,N2345&lt;'Line Follower'!$C$6,SUM(C2345:K2345)&lt;4),1,0)</f>
        <v>#N/A</v>
      </c>
      <c r="T2345" s="4" t="e">
        <f t="shared" si="182"/>
        <v>#N/A</v>
      </c>
      <c r="U2345" s="5" t="e">
        <f t="shared" si="183"/>
        <v>#N/A</v>
      </c>
      <c r="V2345" s="23" t="e">
        <f t="shared" si="184"/>
        <v>#N/A</v>
      </c>
    </row>
    <row r="2346" spans="2:22" x14ac:dyDescent="0.25">
      <c r="B2346" s="16">
        <v>1</v>
      </c>
      <c r="C2346" s="7">
        <v>1</v>
      </c>
      <c r="D2346" s="8">
        <v>1</v>
      </c>
      <c r="E2346" s="8">
        <v>0</v>
      </c>
      <c r="F2346" s="8">
        <v>0</v>
      </c>
      <c r="G2346" s="8">
        <v>1</v>
      </c>
      <c r="H2346" s="8">
        <v>0</v>
      </c>
      <c r="I2346" s="8">
        <v>0</v>
      </c>
      <c r="J2346" s="8">
        <v>1</v>
      </c>
      <c r="K2346" s="9">
        <v>0</v>
      </c>
      <c r="L2346" s="10">
        <v>0</v>
      </c>
      <c r="M2346" s="6">
        <v>1</v>
      </c>
      <c r="N2346" s="37" t="e" cm="1">
        <f t="array" ref="N2346">IF(OR(ISNUMBER(FIND(Aux!$D$3:$D$9,_xlfn.TEXTJOIN(,,C2346:K2346)))),NA(),IF(AND(SUM(C2346:F2346,H2346:K2346)=0,G2346=1),0,INT((SUMPRODUCT(C2346:F2346,COLUMN($A$1:$D$1)-1)+SUMPRODUCT(H2346:K2346,COLUMN($E$1:$H$1)-1))*'Line Follower'!$C$3/SUM(C2346:F2346,H2346:K2346)-'Line Follower'!$C$5)))</f>
        <v>#N/A</v>
      </c>
      <c r="O2346" s="22" t="e">
        <v>#N/A</v>
      </c>
      <c r="P2346" s="4" t="e">
        <f t="shared" si="180"/>
        <v>#N/A</v>
      </c>
      <c r="Q2346" s="4" t="e">
        <f t="shared" si="181"/>
        <v>#N/A</v>
      </c>
      <c r="R2346" s="4" t="e">
        <f>IF(AND(B2346=1,N2346&gt;'Line Follower'!$C$7,SUM(C2346:K2346)&lt;4),1,0)</f>
        <v>#N/A</v>
      </c>
      <c r="S2346" s="4" t="e">
        <f>IF(AND(L2346=1,N2346&lt;'Line Follower'!$C$6,SUM(C2346:K2346)&lt;4),1,0)</f>
        <v>#N/A</v>
      </c>
      <c r="T2346" s="4" t="e">
        <f t="shared" si="182"/>
        <v>#N/A</v>
      </c>
      <c r="U2346" s="5" t="e">
        <f t="shared" si="183"/>
        <v>#N/A</v>
      </c>
      <c r="V2346" s="23" t="e">
        <f t="shared" si="184"/>
        <v>#N/A</v>
      </c>
    </row>
    <row r="2347" spans="2:22" x14ac:dyDescent="0.25">
      <c r="B2347" s="16">
        <v>0</v>
      </c>
      <c r="C2347" s="7">
        <v>0</v>
      </c>
      <c r="D2347" s="8">
        <v>0</v>
      </c>
      <c r="E2347" s="8">
        <v>1</v>
      </c>
      <c r="F2347" s="8">
        <v>0</v>
      </c>
      <c r="G2347" s="8">
        <v>1</v>
      </c>
      <c r="H2347" s="8">
        <v>0</v>
      </c>
      <c r="I2347" s="8">
        <v>0</v>
      </c>
      <c r="J2347" s="8">
        <v>1</v>
      </c>
      <c r="K2347" s="9">
        <v>0</v>
      </c>
      <c r="L2347" s="10">
        <v>0</v>
      </c>
      <c r="M2347" s="6">
        <v>1</v>
      </c>
      <c r="N2347" s="37" t="e" cm="1">
        <f t="array" ref="N2347">IF(OR(ISNUMBER(FIND(Aux!$D$3:$D$9,_xlfn.TEXTJOIN(,,C2347:K2347)))),NA(),IF(AND(SUM(C2347:F2347,H2347:K2347)=0,G2347=1),0,INT((SUMPRODUCT(C2347:F2347,COLUMN($A$1:$D$1)-1)+SUMPRODUCT(H2347:K2347,COLUMN($E$1:$H$1)-1))*'Line Follower'!$C$3/SUM(C2347:F2347,H2347:K2347)-'Line Follower'!$C$5)))</f>
        <v>#N/A</v>
      </c>
      <c r="O2347" s="22" t="e">
        <v>#N/A</v>
      </c>
      <c r="P2347" s="4" t="e">
        <f t="shared" si="180"/>
        <v>#N/A</v>
      </c>
      <c r="Q2347" s="4" t="e">
        <f t="shared" si="181"/>
        <v>#N/A</v>
      </c>
      <c r="R2347" s="4" t="e">
        <f>IF(AND(B2347=1,N2347&gt;'Line Follower'!$C$7,SUM(C2347:K2347)&lt;4),1,0)</f>
        <v>#N/A</v>
      </c>
      <c r="S2347" s="4" t="e">
        <f>IF(AND(L2347=1,N2347&lt;'Line Follower'!$C$6,SUM(C2347:K2347)&lt;4),1,0)</f>
        <v>#N/A</v>
      </c>
      <c r="T2347" s="4" t="e">
        <f t="shared" si="182"/>
        <v>#N/A</v>
      </c>
      <c r="U2347" s="5" t="e">
        <f t="shared" si="183"/>
        <v>#N/A</v>
      </c>
      <c r="V2347" s="23" t="e">
        <f t="shared" si="184"/>
        <v>#N/A</v>
      </c>
    </row>
    <row r="2348" spans="2:22" x14ac:dyDescent="0.25">
      <c r="B2348" s="16">
        <v>1</v>
      </c>
      <c r="C2348" s="7">
        <v>0</v>
      </c>
      <c r="D2348" s="8">
        <v>0</v>
      </c>
      <c r="E2348" s="8">
        <v>1</v>
      </c>
      <c r="F2348" s="8">
        <v>0</v>
      </c>
      <c r="G2348" s="8">
        <v>1</v>
      </c>
      <c r="H2348" s="8">
        <v>0</v>
      </c>
      <c r="I2348" s="8">
        <v>0</v>
      </c>
      <c r="J2348" s="8">
        <v>1</v>
      </c>
      <c r="K2348" s="9">
        <v>0</v>
      </c>
      <c r="L2348" s="10">
        <v>0</v>
      </c>
      <c r="M2348" s="6">
        <v>1</v>
      </c>
      <c r="N2348" s="37" t="e" cm="1">
        <f t="array" ref="N2348">IF(OR(ISNUMBER(FIND(Aux!$D$3:$D$9,_xlfn.TEXTJOIN(,,C2348:K2348)))),NA(),IF(AND(SUM(C2348:F2348,H2348:K2348)=0,G2348=1),0,INT((SUMPRODUCT(C2348:F2348,COLUMN($A$1:$D$1)-1)+SUMPRODUCT(H2348:K2348,COLUMN($E$1:$H$1)-1))*'Line Follower'!$C$3/SUM(C2348:F2348,H2348:K2348)-'Line Follower'!$C$5)))</f>
        <v>#N/A</v>
      </c>
      <c r="O2348" s="22" t="e">
        <v>#N/A</v>
      </c>
      <c r="P2348" s="4" t="e">
        <f t="shared" si="180"/>
        <v>#N/A</v>
      </c>
      <c r="Q2348" s="4" t="e">
        <f t="shared" si="181"/>
        <v>#N/A</v>
      </c>
      <c r="R2348" s="4" t="e">
        <f>IF(AND(B2348=1,N2348&gt;'Line Follower'!$C$7,SUM(C2348:K2348)&lt;4),1,0)</f>
        <v>#N/A</v>
      </c>
      <c r="S2348" s="4" t="e">
        <f>IF(AND(L2348=1,N2348&lt;'Line Follower'!$C$6,SUM(C2348:K2348)&lt;4),1,0)</f>
        <v>#N/A</v>
      </c>
      <c r="T2348" s="4" t="e">
        <f t="shared" si="182"/>
        <v>#N/A</v>
      </c>
      <c r="U2348" s="5" t="e">
        <f t="shared" si="183"/>
        <v>#N/A</v>
      </c>
      <c r="V2348" s="23" t="e">
        <f t="shared" si="184"/>
        <v>#N/A</v>
      </c>
    </row>
    <row r="2349" spans="2:22" x14ac:dyDescent="0.25">
      <c r="B2349" s="16">
        <v>0</v>
      </c>
      <c r="C2349" s="7">
        <v>1</v>
      </c>
      <c r="D2349" s="8">
        <v>0</v>
      </c>
      <c r="E2349" s="8">
        <v>1</v>
      </c>
      <c r="F2349" s="8">
        <v>0</v>
      </c>
      <c r="G2349" s="8">
        <v>1</v>
      </c>
      <c r="H2349" s="8">
        <v>0</v>
      </c>
      <c r="I2349" s="8">
        <v>0</v>
      </c>
      <c r="J2349" s="8">
        <v>1</v>
      </c>
      <c r="K2349" s="9">
        <v>0</v>
      </c>
      <c r="L2349" s="10">
        <v>0</v>
      </c>
      <c r="M2349" s="6">
        <v>1</v>
      </c>
      <c r="N2349" s="37" t="e" cm="1">
        <f t="array" ref="N2349">IF(OR(ISNUMBER(FIND(Aux!$D$3:$D$9,_xlfn.TEXTJOIN(,,C2349:K2349)))),NA(),IF(AND(SUM(C2349:F2349,H2349:K2349)=0,G2349=1),0,INT((SUMPRODUCT(C2349:F2349,COLUMN($A$1:$D$1)-1)+SUMPRODUCT(H2349:K2349,COLUMN($E$1:$H$1)-1))*'Line Follower'!$C$3/SUM(C2349:F2349,H2349:K2349)-'Line Follower'!$C$5)))</f>
        <v>#N/A</v>
      </c>
      <c r="O2349" s="22" t="e">
        <v>#N/A</v>
      </c>
      <c r="P2349" s="4" t="e">
        <f t="shared" si="180"/>
        <v>#N/A</v>
      </c>
      <c r="Q2349" s="4" t="e">
        <f t="shared" si="181"/>
        <v>#N/A</v>
      </c>
      <c r="R2349" s="4" t="e">
        <f>IF(AND(B2349=1,N2349&gt;'Line Follower'!$C$7,SUM(C2349:K2349)&lt;4),1,0)</f>
        <v>#N/A</v>
      </c>
      <c r="S2349" s="4" t="e">
        <f>IF(AND(L2349=1,N2349&lt;'Line Follower'!$C$6,SUM(C2349:K2349)&lt;4),1,0)</f>
        <v>#N/A</v>
      </c>
      <c r="T2349" s="4" t="e">
        <f t="shared" si="182"/>
        <v>#N/A</v>
      </c>
      <c r="U2349" s="5" t="e">
        <f t="shared" si="183"/>
        <v>#N/A</v>
      </c>
      <c r="V2349" s="23" t="e">
        <f t="shared" si="184"/>
        <v>#N/A</v>
      </c>
    </row>
    <row r="2350" spans="2:22" x14ac:dyDescent="0.25">
      <c r="B2350" s="16">
        <v>1</v>
      </c>
      <c r="C2350" s="7">
        <v>1</v>
      </c>
      <c r="D2350" s="8">
        <v>0</v>
      </c>
      <c r="E2350" s="8">
        <v>1</v>
      </c>
      <c r="F2350" s="8">
        <v>0</v>
      </c>
      <c r="G2350" s="8">
        <v>1</v>
      </c>
      <c r="H2350" s="8">
        <v>0</v>
      </c>
      <c r="I2350" s="8">
        <v>0</v>
      </c>
      <c r="J2350" s="8">
        <v>1</v>
      </c>
      <c r="K2350" s="9">
        <v>0</v>
      </c>
      <c r="L2350" s="10">
        <v>0</v>
      </c>
      <c r="M2350" s="6">
        <v>1</v>
      </c>
      <c r="N2350" s="37" t="e" cm="1">
        <f t="array" ref="N2350">IF(OR(ISNUMBER(FIND(Aux!$D$3:$D$9,_xlfn.TEXTJOIN(,,C2350:K2350)))),NA(),IF(AND(SUM(C2350:F2350,H2350:K2350)=0,G2350=1),0,INT((SUMPRODUCT(C2350:F2350,COLUMN($A$1:$D$1)-1)+SUMPRODUCT(H2350:K2350,COLUMN($E$1:$H$1)-1))*'Line Follower'!$C$3/SUM(C2350:F2350,H2350:K2350)-'Line Follower'!$C$5)))</f>
        <v>#N/A</v>
      </c>
      <c r="O2350" s="22" t="e">
        <v>#N/A</v>
      </c>
      <c r="P2350" s="4" t="e">
        <f t="shared" si="180"/>
        <v>#N/A</v>
      </c>
      <c r="Q2350" s="4" t="e">
        <f t="shared" si="181"/>
        <v>#N/A</v>
      </c>
      <c r="R2350" s="4" t="e">
        <f>IF(AND(B2350=1,N2350&gt;'Line Follower'!$C$7,SUM(C2350:K2350)&lt;4),1,0)</f>
        <v>#N/A</v>
      </c>
      <c r="S2350" s="4" t="e">
        <f>IF(AND(L2350=1,N2350&lt;'Line Follower'!$C$6,SUM(C2350:K2350)&lt;4),1,0)</f>
        <v>#N/A</v>
      </c>
      <c r="T2350" s="4" t="e">
        <f t="shared" si="182"/>
        <v>#N/A</v>
      </c>
      <c r="U2350" s="5" t="e">
        <f t="shared" si="183"/>
        <v>#N/A</v>
      </c>
      <c r="V2350" s="23" t="e">
        <f t="shared" si="184"/>
        <v>#N/A</v>
      </c>
    </row>
    <row r="2351" spans="2:22" x14ac:dyDescent="0.25">
      <c r="B2351" s="16">
        <v>0</v>
      </c>
      <c r="C2351" s="7">
        <v>0</v>
      </c>
      <c r="D2351" s="8">
        <v>1</v>
      </c>
      <c r="E2351" s="8">
        <v>1</v>
      </c>
      <c r="F2351" s="8">
        <v>0</v>
      </c>
      <c r="G2351" s="8">
        <v>1</v>
      </c>
      <c r="H2351" s="8">
        <v>0</v>
      </c>
      <c r="I2351" s="8">
        <v>0</v>
      </c>
      <c r="J2351" s="8">
        <v>1</v>
      </c>
      <c r="K2351" s="9">
        <v>0</v>
      </c>
      <c r="L2351" s="10">
        <v>0</v>
      </c>
      <c r="M2351" s="6">
        <v>1</v>
      </c>
      <c r="N2351" s="37" t="e" cm="1">
        <f t="array" ref="N2351">IF(OR(ISNUMBER(FIND(Aux!$D$3:$D$9,_xlfn.TEXTJOIN(,,C2351:K2351)))),NA(),IF(AND(SUM(C2351:F2351,H2351:K2351)=0,G2351=1),0,INT((SUMPRODUCT(C2351:F2351,COLUMN($A$1:$D$1)-1)+SUMPRODUCT(H2351:K2351,COLUMN($E$1:$H$1)-1))*'Line Follower'!$C$3/SUM(C2351:F2351,H2351:K2351)-'Line Follower'!$C$5)))</f>
        <v>#N/A</v>
      </c>
      <c r="O2351" s="22" t="e">
        <v>#N/A</v>
      </c>
      <c r="P2351" s="4" t="e">
        <f t="shared" si="180"/>
        <v>#N/A</v>
      </c>
      <c r="Q2351" s="4" t="e">
        <f t="shared" si="181"/>
        <v>#N/A</v>
      </c>
      <c r="R2351" s="4" t="e">
        <f>IF(AND(B2351=1,N2351&gt;'Line Follower'!$C$7,SUM(C2351:K2351)&lt;4),1,0)</f>
        <v>#N/A</v>
      </c>
      <c r="S2351" s="4" t="e">
        <f>IF(AND(L2351=1,N2351&lt;'Line Follower'!$C$6,SUM(C2351:K2351)&lt;4),1,0)</f>
        <v>#N/A</v>
      </c>
      <c r="T2351" s="4" t="e">
        <f t="shared" si="182"/>
        <v>#N/A</v>
      </c>
      <c r="U2351" s="5" t="e">
        <f t="shared" si="183"/>
        <v>#N/A</v>
      </c>
      <c r="V2351" s="23" t="e">
        <f t="shared" si="184"/>
        <v>#N/A</v>
      </c>
    </row>
    <row r="2352" spans="2:22" x14ac:dyDescent="0.25">
      <c r="B2352" s="16">
        <v>1</v>
      </c>
      <c r="C2352" s="7">
        <v>0</v>
      </c>
      <c r="D2352" s="8">
        <v>1</v>
      </c>
      <c r="E2352" s="8">
        <v>1</v>
      </c>
      <c r="F2352" s="8">
        <v>0</v>
      </c>
      <c r="G2352" s="8">
        <v>1</v>
      </c>
      <c r="H2352" s="8">
        <v>0</v>
      </c>
      <c r="I2352" s="8">
        <v>0</v>
      </c>
      <c r="J2352" s="8">
        <v>1</v>
      </c>
      <c r="K2352" s="9">
        <v>0</v>
      </c>
      <c r="L2352" s="10">
        <v>0</v>
      </c>
      <c r="M2352" s="6">
        <v>1</v>
      </c>
      <c r="N2352" s="37" t="e" cm="1">
        <f t="array" ref="N2352">IF(OR(ISNUMBER(FIND(Aux!$D$3:$D$9,_xlfn.TEXTJOIN(,,C2352:K2352)))),NA(),IF(AND(SUM(C2352:F2352,H2352:K2352)=0,G2352=1),0,INT((SUMPRODUCT(C2352:F2352,COLUMN($A$1:$D$1)-1)+SUMPRODUCT(H2352:K2352,COLUMN($E$1:$H$1)-1))*'Line Follower'!$C$3/SUM(C2352:F2352,H2352:K2352)-'Line Follower'!$C$5)))</f>
        <v>#N/A</v>
      </c>
      <c r="O2352" s="22" t="e">
        <v>#N/A</v>
      </c>
      <c r="P2352" s="4" t="e">
        <f t="shared" si="180"/>
        <v>#N/A</v>
      </c>
      <c r="Q2352" s="4" t="e">
        <f t="shared" si="181"/>
        <v>#N/A</v>
      </c>
      <c r="R2352" s="4" t="e">
        <f>IF(AND(B2352=1,N2352&gt;'Line Follower'!$C$7,SUM(C2352:K2352)&lt;4),1,0)</f>
        <v>#N/A</v>
      </c>
      <c r="S2352" s="4" t="e">
        <f>IF(AND(L2352=1,N2352&lt;'Line Follower'!$C$6,SUM(C2352:K2352)&lt;4),1,0)</f>
        <v>#N/A</v>
      </c>
      <c r="T2352" s="4" t="e">
        <f t="shared" si="182"/>
        <v>#N/A</v>
      </c>
      <c r="U2352" s="5" t="e">
        <f t="shared" si="183"/>
        <v>#N/A</v>
      </c>
      <c r="V2352" s="23" t="e">
        <f t="shared" si="184"/>
        <v>#N/A</v>
      </c>
    </row>
    <row r="2353" spans="2:22" x14ac:dyDescent="0.25">
      <c r="B2353" s="16">
        <v>0</v>
      </c>
      <c r="C2353" s="7">
        <v>1</v>
      </c>
      <c r="D2353" s="8">
        <v>1</v>
      </c>
      <c r="E2353" s="8">
        <v>1</v>
      </c>
      <c r="F2353" s="8">
        <v>0</v>
      </c>
      <c r="G2353" s="8">
        <v>1</v>
      </c>
      <c r="H2353" s="8">
        <v>0</v>
      </c>
      <c r="I2353" s="8">
        <v>0</v>
      </c>
      <c r="J2353" s="8">
        <v>1</v>
      </c>
      <c r="K2353" s="9">
        <v>0</v>
      </c>
      <c r="L2353" s="10">
        <v>0</v>
      </c>
      <c r="M2353" s="6">
        <v>1</v>
      </c>
      <c r="N2353" s="37" t="e" cm="1">
        <f t="array" ref="N2353">IF(OR(ISNUMBER(FIND(Aux!$D$3:$D$9,_xlfn.TEXTJOIN(,,C2353:K2353)))),NA(),IF(AND(SUM(C2353:F2353,H2353:K2353)=0,G2353=1),0,INT((SUMPRODUCT(C2353:F2353,COLUMN($A$1:$D$1)-1)+SUMPRODUCT(H2353:K2353,COLUMN($E$1:$H$1)-1))*'Line Follower'!$C$3/SUM(C2353:F2353,H2353:K2353)-'Line Follower'!$C$5)))</f>
        <v>#N/A</v>
      </c>
      <c r="O2353" s="22" t="e">
        <v>#N/A</v>
      </c>
      <c r="P2353" s="4" t="e">
        <f t="shared" si="180"/>
        <v>#N/A</v>
      </c>
      <c r="Q2353" s="4" t="e">
        <f t="shared" si="181"/>
        <v>#N/A</v>
      </c>
      <c r="R2353" s="4" t="e">
        <f>IF(AND(B2353=1,N2353&gt;'Line Follower'!$C$7,SUM(C2353:K2353)&lt;4),1,0)</f>
        <v>#N/A</v>
      </c>
      <c r="S2353" s="4" t="e">
        <f>IF(AND(L2353=1,N2353&lt;'Line Follower'!$C$6,SUM(C2353:K2353)&lt;4),1,0)</f>
        <v>#N/A</v>
      </c>
      <c r="T2353" s="4" t="e">
        <f t="shared" si="182"/>
        <v>#N/A</v>
      </c>
      <c r="U2353" s="5" t="e">
        <f t="shared" si="183"/>
        <v>#N/A</v>
      </c>
      <c r="V2353" s="23" t="e">
        <f t="shared" si="184"/>
        <v>#N/A</v>
      </c>
    </row>
    <row r="2354" spans="2:22" x14ac:dyDescent="0.25">
      <c r="B2354" s="16">
        <v>1</v>
      </c>
      <c r="C2354" s="7">
        <v>1</v>
      </c>
      <c r="D2354" s="8">
        <v>1</v>
      </c>
      <c r="E2354" s="8">
        <v>1</v>
      </c>
      <c r="F2354" s="8">
        <v>0</v>
      </c>
      <c r="G2354" s="8">
        <v>1</v>
      </c>
      <c r="H2354" s="8">
        <v>0</v>
      </c>
      <c r="I2354" s="8">
        <v>0</v>
      </c>
      <c r="J2354" s="8">
        <v>1</v>
      </c>
      <c r="K2354" s="9">
        <v>0</v>
      </c>
      <c r="L2354" s="10">
        <v>0</v>
      </c>
      <c r="M2354" s="6">
        <v>1</v>
      </c>
      <c r="N2354" s="37" t="e" cm="1">
        <f t="array" ref="N2354">IF(OR(ISNUMBER(FIND(Aux!$D$3:$D$9,_xlfn.TEXTJOIN(,,C2354:K2354)))),NA(),IF(AND(SUM(C2354:F2354,H2354:K2354)=0,G2354=1),0,INT((SUMPRODUCT(C2354:F2354,COLUMN($A$1:$D$1)-1)+SUMPRODUCT(H2354:K2354,COLUMN($E$1:$H$1)-1))*'Line Follower'!$C$3/SUM(C2354:F2354,H2354:K2354)-'Line Follower'!$C$5)))</f>
        <v>#N/A</v>
      </c>
      <c r="O2354" s="22" t="e">
        <v>#N/A</v>
      </c>
      <c r="P2354" s="4" t="e">
        <f t="shared" si="180"/>
        <v>#N/A</v>
      </c>
      <c r="Q2354" s="4" t="e">
        <f t="shared" si="181"/>
        <v>#N/A</v>
      </c>
      <c r="R2354" s="4" t="e">
        <f>IF(AND(B2354=1,N2354&gt;'Line Follower'!$C$7,SUM(C2354:K2354)&lt;4),1,0)</f>
        <v>#N/A</v>
      </c>
      <c r="S2354" s="4" t="e">
        <f>IF(AND(L2354=1,N2354&lt;'Line Follower'!$C$6,SUM(C2354:K2354)&lt;4),1,0)</f>
        <v>#N/A</v>
      </c>
      <c r="T2354" s="4" t="e">
        <f t="shared" si="182"/>
        <v>#N/A</v>
      </c>
      <c r="U2354" s="5" t="e">
        <f t="shared" si="183"/>
        <v>#N/A</v>
      </c>
      <c r="V2354" s="23" t="e">
        <f t="shared" si="184"/>
        <v>#N/A</v>
      </c>
    </row>
    <row r="2355" spans="2:22" x14ac:dyDescent="0.25">
      <c r="B2355" s="16">
        <v>0</v>
      </c>
      <c r="C2355" s="7">
        <v>0</v>
      </c>
      <c r="D2355" s="8">
        <v>0</v>
      </c>
      <c r="E2355" s="8">
        <v>0</v>
      </c>
      <c r="F2355" s="8">
        <v>1</v>
      </c>
      <c r="G2355" s="8">
        <v>1</v>
      </c>
      <c r="H2355" s="8">
        <v>0</v>
      </c>
      <c r="I2355" s="8">
        <v>0</v>
      </c>
      <c r="J2355" s="8">
        <v>1</v>
      </c>
      <c r="K2355" s="9">
        <v>0</v>
      </c>
      <c r="L2355" s="10">
        <v>0</v>
      </c>
      <c r="M2355" s="6">
        <v>1</v>
      </c>
      <c r="N2355" s="37" t="e" cm="1">
        <f t="array" ref="N2355">IF(OR(ISNUMBER(FIND(Aux!$D$3:$D$9,_xlfn.TEXTJOIN(,,C2355:K2355)))),NA(),IF(AND(SUM(C2355:F2355,H2355:K2355)=0,G2355=1),0,INT((SUMPRODUCT(C2355:F2355,COLUMN($A$1:$D$1)-1)+SUMPRODUCT(H2355:K2355,COLUMN($E$1:$H$1)-1))*'Line Follower'!$C$3/SUM(C2355:F2355,H2355:K2355)-'Line Follower'!$C$5)))</f>
        <v>#N/A</v>
      </c>
      <c r="O2355" s="22" t="e">
        <v>#N/A</v>
      </c>
      <c r="P2355" s="4" t="e">
        <f t="shared" si="180"/>
        <v>#N/A</v>
      </c>
      <c r="Q2355" s="4" t="e">
        <f t="shared" si="181"/>
        <v>#N/A</v>
      </c>
      <c r="R2355" s="4" t="e">
        <f>IF(AND(B2355=1,N2355&gt;'Line Follower'!$C$7,SUM(C2355:K2355)&lt;4),1,0)</f>
        <v>#N/A</v>
      </c>
      <c r="S2355" s="4" t="e">
        <f>IF(AND(L2355=1,N2355&lt;'Line Follower'!$C$6,SUM(C2355:K2355)&lt;4),1,0)</f>
        <v>#N/A</v>
      </c>
      <c r="T2355" s="4" t="e">
        <f t="shared" si="182"/>
        <v>#N/A</v>
      </c>
      <c r="U2355" s="5" t="e">
        <f t="shared" si="183"/>
        <v>#N/A</v>
      </c>
      <c r="V2355" s="23" t="e">
        <f t="shared" si="184"/>
        <v>#N/A</v>
      </c>
    </row>
    <row r="2356" spans="2:22" x14ac:dyDescent="0.25">
      <c r="B2356" s="16">
        <v>1</v>
      </c>
      <c r="C2356" s="7">
        <v>0</v>
      </c>
      <c r="D2356" s="8">
        <v>0</v>
      </c>
      <c r="E2356" s="8">
        <v>0</v>
      </c>
      <c r="F2356" s="8">
        <v>1</v>
      </c>
      <c r="G2356" s="8">
        <v>1</v>
      </c>
      <c r="H2356" s="8">
        <v>0</v>
      </c>
      <c r="I2356" s="8">
        <v>0</v>
      </c>
      <c r="J2356" s="8">
        <v>1</v>
      </c>
      <c r="K2356" s="9">
        <v>0</v>
      </c>
      <c r="L2356" s="10">
        <v>0</v>
      </c>
      <c r="M2356" s="6">
        <v>1</v>
      </c>
      <c r="N2356" s="37" t="e" cm="1">
        <f t="array" ref="N2356">IF(OR(ISNUMBER(FIND(Aux!$D$3:$D$9,_xlfn.TEXTJOIN(,,C2356:K2356)))),NA(),IF(AND(SUM(C2356:F2356,H2356:K2356)=0,G2356=1),0,INT((SUMPRODUCT(C2356:F2356,COLUMN($A$1:$D$1)-1)+SUMPRODUCT(H2356:K2356,COLUMN($E$1:$H$1)-1))*'Line Follower'!$C$3/SUM(C2356:F2356,H2356:K2356)-'Line Follower'!$C$5)))</f>
        <v>#N/A</v>
      </c>
      <c r="O2356" s="22" t="e">
        <v>#N/A</v>
      </c>
      <c r="P2356" s="4" t="e">
        <f t="shared" si="180"/>
        <v>#N/A</v>
      </c>
      <c r="Q2356" s="4" t="e">
        <f t="shared" si="181"/>
        <v>#N/A</v>
      </c>
      <c r="R2356" s="4" t="e">
        <f>IF(AND(B2356=1,N2356&gt;'Line Follower'!$C$7,SUM(C2356:K2356)&lt;4),1,0)</f>
        <v>#N/A</v>
      </c>
      <c r="S2356" s="4" t="e">
        <f>IF(AND(L2356=1,N2356&lt;'Line Follower'!$C$6,SUM(C2356:K2356)&lt;4),1,0)</f>
        <v>#N/A</v>
      </c>
      <c r="T2356" s="4" t="e">
        <f t="shared" si="182"/>
        <v>#N/A</v>
      </c>
      <c r="U2356" s="5" t="e">
        <f t="shared" si="183"/>
        <v>#N/A</v>
      </c>
      <c r="V2356" s="23" t="e">
        <f t="shared" si="184"/>
        <v>#N/A</v>
      </c>
    </row>
    <row r="2357" spans="2:22" x14ac:dyDescent="0.25">
      <c r="B2357" s="16">
        <v>0</v>
      </c>
      <c r="C2357" s="7">
        <v>1</v>
      </c>
      <c r="D2357" s="8">
        <v>0</v>
      </c>
      <c r="E2357" s="8">
        <v>0</v>
      </c>
      <c r="F2357" s="8">
        <v>1</v>
      </c>
      <c r="G2357" s="8">
        <v>1</v>
      </c>
      <c r="H2357" s="8">
        <v>0</v>
      </c>
      <c r="I2357" s="8">
        <v>0</v>
      </c>
      <c r="J2357" s="8">
        <v>1</v>
      </c>
      <c r="K2357" s="9">
        <v>0</v>
      </c>
      <c r="L2357" s="10">
        <v>0</v>
      </c>
      <c r="M2357" s="6">
        <v>1</v>
      </c>
      <c r="N2357" s="37" t="e" cm="1">
        <f t="array" ref="N2357">IF(OR(ISNUMBER(FIND(Aux!$D$3:$D$9,_xlfn.TEXTJOIN(,,C2357:K2357)))),NA(),IF(AND(SUM(C2357:F2357,H2357:K2357)=0,G2357=1),0,INT((SUMPRODUCT(C2357:F2357,COLUMN($A$1:$D$1)-1)+SUMPRODUCT(H2357:K2357,COLUMN($E$1:$H$1)-1))*'Line Follower'!$C$3/SUM(C2357:F2357,H2357:K2357)-'Line Follower'!$C$5)))</f>
        <v>#N/A</v>
      </c>
      <c r="O2357" s="22" t="e">
        <v>#N/A</v>
      </c>
      <c r="P2357" s="4" t="e">
        <f t="shared" si="180"/>
        <v>#N/A</v>
      </c>
      <c r="Q2357" s="4" t="e">
        <f t="shared" si="181"/>
        <v>#N/A</v>
      </c>
      <c r="R2357" s="4" t="e">
        <f>IF(AND(B2357=1,N2357&gt;'Line Follower'!$C$7,SUM(C2357:K2357)&lt;4),1,0)</f>
        <v>#N/A</v>
      </c>
      <c r="S2357" s="4" t="e">
        <f>IF(AND(L2357=1,N2357&lt;'Line Follower'!$C$6,SUM(C2357:K2357)&lt;4),1,0)</f>
        <v>#N/A</v>
      </c>
      <c r="T2357" s="4" t="e">
        <f t="shared" si="182"/>
        <v>#N/A</v>
      </c>
      <c r="U2357" s="5" t="e">
        <f t="shared" si="183"/>
        <v>#N/A</v>
      </c>
      <c r="V2357" s="23" t="e">
        <f t="shared" si="184"/>
        <v>#N/A</v>
      </c>
    </row>
    <row r="2358" spans="2:22" x14ac:dyDescent="0.25">
      <c r="B2358" s="16">
        <v>1</v>
      </c>
      <c r="C2358" s="7">
        <v>1</v>
      </c>
      <c r="D2358" s="8">
        <v>0</v>
      </c>
      <c r="E2358" s="8">
        <v>0</v>
      </c>
      <c r="F2358" s="8">
        <v>1</v>
      </c>
      <c r="G2358" s="8">
        <v>1</v>
      </c>
      <c r="H2358" s="8">
        <v>0</v>
      </c>
      <c r="I2358" s="8">
        <v>0</v>
      </c>
      <c r="J2358" s="8">
        <v>1</v>
      </c>
      <c r="K2358" s="9">
        <v>0</v>
      </c>
      <c r="L2358" s="10">
        <v>0</v>
      </c>
      <c r="M2358" s="6">
        <v>1</v>
      </c>
      <c r="N2358" s="37" t="e" cm="1">
        <f t="array" ref="N2358">IF(OR(ISNUMBER(FIND(Aux!$D$3:$D$9,_xlfn.TEXTJOIN(,,C2358:K2358)))),NA(),IF(AND(SUM(C2358:F2358,H2358:K2358)=0,G2358=1),0,INT((SUMPRODUCT(C2358:F2358,COLUMN($A$1:$D$1)-1)+SUMPRODUCT(H2358:K2358,COLUMN($E$1:$H$1)-1))*'Line Follower'!$C$3/SUM(C2358:F2358,H2358:K2358)-'Line Follower'!$C$5)))</f>
        <v>#N/A</v>
      </c>
      <c r="O2358" s="22" t="e">
        <v>#N/A</v>
      </c>
      <c r="P2358" s="4" t="e">
        <f t="shared" si="180"/>
        <v>#N/A</v>
      </c>
      <c r="Q2358" s="4" t="e">
        <f t="shared" si="181"/>
        <v>#N/A</v>
      </c>
      <c r="R2358" s="4" t="e">
        <f>IF(AND(B2358=1,N2358&gt;'Line Follower'!$C$7,SUM(C2358:K2358)&lt;4),1,0)</f>
        <v>#N/A</v>
      </c>
      <c r="S2358" s="4" t="e">
        <f>IF(AND(L2358=1,N2358&lt;'Line Follower'!$C$6,SUM(C2358:K2358)&lt;4),1,0)</f>
        <v>#N/A</v>
      </c>
      <c r="T2358" s="4" t="e">
        <f t="shared" si="182"/>
        <v>#N/A</v>
      </c>
      <c r="U2358" s="5" t="e">
        <f t="shared" si="183"/>
        <v>#N/A</v>
      </c>
      <c r="V2358" s="23" t="e">
        <f t="shared" si="184"/>
        <v>#N/A</v>
      </c>
    </row>
    <row r="2359" spans="2:22" x14ac:dyDescent="0.25">
      <c r="B2359" s="16">
        <v>0</v>
      </c>
      <c r="C2359" s="7">
        <v>0</v>
      </c>
      <c r="D2359" s="8">
        <v>1</v>
      </c>
      <c r="E2359" s="8">
        <v>0</v>
      </c>
      <c r="F2359" s="8">
        <v>1</v>
      </c>
      <c r="G2359" s="8">
        <v>1</v>
      </c>
      <c r="H2359" s="8">
        <v>0</v>
      </c>
      <c r="I2359" s="8">
        <v>0</v>
      </c>
      <c r="J2359" s="8">
        <v>1</v>
      </c>
      <c r="K2359" s="9">
        <v>0</v>
      </c>
      <c r="L2359" s="10">
        <v>0</v>
      </c>
      <c r="M2359" s="6">
        <v>1</v>
      </c>
      <c r="N2359" s="37" t="e" cm="1">
        <f t="array" ref="N2359">IF(OR(ISNUMBER(FIND(Aux!$D$3:$D$9,_xlfn.TEXTJOIN(,,C2359:K2359)))),NA(),IF(AND(SUM(C2359:F2359,H2359:K2359)=0,G2359=1),0,INT((SUMPRODUCT(C2359:F2359,COLUMN($A$1:$D$1)-1)+SUMPRODUCT(H2359:K2359,COLUMN($E$1:$H$1)-1))*'Line Follower'!$C$3/SUM(C2359:F2359,H2359:K2359)-'Line Follower'!$C$5)))</f>
        <v>#N/A</v>
      </c>
      <c r="O2359" s="22" t="e">
        <v>#N/A</v>
      </c>
      <c r="P2359" s="4" t="e">
        <f t="shared" si="180"/>
        <v>#N/A</v>
      </c>
      <c r="Q2359" s="4" t="e">
        <f t="shared" si="181"/>
        <v>#N/A</v>
      </c>
      <c r="R2359" s="4" t="e">
        <f>IF(AND(B2359=1,N2359&gt;'Line Follower'!$C$7,SUM(C2359:K2359)&lt;4),1,0)</f>
        <v>#N/A</v>
      </c>
      <c r="S2359" s="4" t="e">
        <f>IF(AND(L2359=1,N2359&lt;'Line Follower'!$C$6,SUM(C2359:K2359)&lt;4),1,0)</f>
        <v>#N/A</v>
      </c>
      <c r="T2359" s="4" t="e">
        <f t="shared" si="182"/>
        <v>#N/A</v>
      </c>
      <c r="U2359" s="5" t="e">
        <f t="shared" si="183"/>
        <v>#N/A</v>
      </c>
      <c r="V2359" s="23" t="e">
        <f t="shared" si="184"/>
        <v>#N/A</v>
      </c>
    </row>
    <row r="2360" spans="2:22" x14ac:dyDescent="0.25">
      <c r="B2360" s="16">
        <v>1</v>
      </c>
      <c r="C2360" s="7">
        <v>0</v>
      </c>
      <c r="D2360" s="8">
        <v>1</v>
      </c>
      <c r="E2360" s="8">
        <v>0</v>
      </c>
      <c r="F2360" s="8">
        <v>1</v>
      </c>
      <c r="G2360" s="8">
        <v>1</v>
      </c>
      <c r="H2360" s="8">
        <v>0</v>
      </c>
      <c r="I2360" s="8">
        <v>0</v>
      </c>
      <c r="J2360" s="8">
        <v>1</v>
      </c>
      <c r="K2360" s="9">
        <v>0</v>
      </c>
      <c r="L2360" s="10">
        <v>0</v>
      </c>
      <c r="M2360" s="6">
        <v>1</v>
      </c>
      <c r="N2360" s="37" t="e" cm="1">
        <f t="array" ref="N2360">IF(OR(ISNUMBER(FIND(Aux!$D$3:$D$9,_xlfn.TEXTJOIN(,,C2360:K2360)))),NA(),IF(AND(SUM(C2360:F2360,H2360:K2360)=0,G2360=1),0,INT((SUMPRODUCT(C2360:F2360,COLUMN($A$1:$D$1)-1)+SUMPRODUCT(H2360:K2360,COLUMN($E$1:$H$1)-1))*'Line Follower'!$C$3/SUM(C2360:F2360,H2360:K2360)-'Line Follower'!$C$5)))</f>
        <v>#N/A</v>
      </c>
      <c r="O2360" s="22" t="e">
        <v>#N/A</v>
      </c>
      <c r="P2360" s="4" t="e">
        <f t="shared" si="180"/>
        <v>#N/A</v>
      </c>
      <c r="Q2360" s="4" t="e">
        <f t="shared" si="181"/>
        <v>#N/A</v>
      </c>
      <c r="R2360" s="4" t="e">
        <f>IF(AND(B2360=1,N2360&gt;'Line Follower'!$C$7,SUM(C2360:K2360)&lt;4),1,0)</f>
        <v>#N/A</v>
      </c>
      <c r="S2360" s="4" t="e">
        <f>IF(AND(L2360=1,N2360&lt;'Line Follower'!$C$6,SUM(C2360:K2360)&lt;4),1,0)</f>
        <v>#N/A</v>
      </c>
      <c r="T2360" s="4" t="e">
        <f t="shared" si="182"/>
        <v>#N/A</v>
      </c>
      <c r="U2360" s="5" t="e">
        <f t="shared" si="183"/>
        <v>#N/A</v>
      </c>
      <c r="V2360" s="23" t="e">
        <f t="shared" si="184"/>
        <v>#N/A</v>
      </c>
    </row>
    <row r="2361" spans="2:22" x14ac:dyDescent="0.25">
      <c r="B2361" s="16">
        <v>0</v>
      </c>
      <c r="C2361" s="7">
        <v>1</v>
      </c>
      <c r="D2361" s="8">
        <v>1</v>
      </c>
      <c r="E2361" s="8">
        <v>0</v>
      </c>
      <c r="F2361" s="8">
        <v>1</v>
      </c>
      <c r="G2361" s="8">
        <v>1</v>
      </c>
      <c r="H2361" s="8">
        <v>0</v>
      </c>
      <c r="I2361" s="8">
        <v>0</v>
      </c>
      <c r="J2361" s="8">
        <v>1</v>
      </c>
      <c r="K2361" s="9">
        <v>0</v>
      </c>
      <c r="L2361" s="10">
        <v>0</v>
      </c>
      <c r="M2361" s="6">
        <v>1</v>
      </c>
      <c r="N2361" s="37" t="e" cm="1">
        <f t="array" ref="N2361">IF(OR(ISNUMBER(FIND(Aux!$D$3:$D$9,_xlfn.TEXTJOIN(,,C2361:K2361)))),NA(),IF(AND(SUM(C2361:F2361,H2361:K2361)=0,G2361=1),0,INT((SUMPRODUCT(C2361:F2361,COLUMN($A$1:$D$1)-1)+SUMPRODUCT(H2361:K2361,COLUMN($E$1:$H$1)-1))*'Line Follower'!$C$3/SUM(C2361:F2361,H2361:K2361)-'Line Follower'!$C$5)))</f>
        <v>#N/A</v>
      </c>
      <c r="O2361" s="22" t="e">
        <v>#N/A</v>
      </c>
      <c r="P2361" s="4" t="e">
        <f t="shared" si="180"/>
        <v>#N/A</v>
      </c>
      <c r="Q2361" s="4" t="e">
        <f t="shared" si="181"/>
        <v>#N/A</v>
      </c>
      <c r="R2361" s="4" t="e">
        <f>IF(AND(B2361=1,N2361&gt;'Line Follower'!$C$7,SUM(C2361:K2361)&lt;4),1,0)</f>
        <v>#N/A</v>
      </c>
      <c r="S2361" s="4" t="e">
        <f>IF(AND(L2361=1,N2361&lt;'Line Follower'!$C$6,SUM(C2361:K2361)&lt;4),1,0)</f>
        <v>#N/A</v>
      </c>
      <c r="T2361" s="4" t="e">
        <f t="shared" si="182"/>
        <v>#N/A</v>
      </c>
      <c r="U2361" s="5" t="e">
        <f t="shared" si="183"/>
        <v>#N/A</v>
      </c>
      <c r="V2361" s="23" t="e">
        <f t="shared" si="184"/>
        <v>#N/A</v>
      </c>
    </row>
    <row r="2362" spans="2:22" x14ac:dyDescent="0.25">
      <c r="B2362" s="16">
        <v>1</v>
      </c>
      <c r="C2362" s="7">
        <v>1</v>
      </c>
      <c r="D2362" s="8">
        <v>1</v>
      </c>
      <c r="E2362" s="8">
        <v>0</v>
      </c>
      <c r="F2362" s="8">
        <v>1</v>
      </c>
      <c r="G2362" s="8">
        <v>1</v>
      </c>
      <c r="H2362" s="8">
        <v>0</v>
      </c>
      <c r="I2362" s="8">
        <v>0</v>
      </c>
      <c r="J2362" s="8">
        <v>1</v>
      </c>
      <c r="K2362" s="9">
        <v>0</v>
      </c>
      <c r="L2362" s="10">
        <v>0</v>
      </c>
      <c r="M2362" s="6">
        <v>1</v>
      </c>
      <c r="N2362" s="37" t="e" cm="1">
        <f t="array" ref="N2362">IF(OR(ISNUMBER(FIND(Aux!$D$3:$D$9,_xlfn.TEXTJOIN(,,C2362:K2362)))),NA(),IF(AND(SUM(C2362:F2362,H2362:K2362)=0,G2362=1),0,INT((SUMPRODUCT(C2362:F2362,COLUMN($A$1:$D$1)-1)+SUMPRODUCT(H2362:K2362,COLUMN($E$1:$H$1)-1))*'Line Follower'!$C$3/SUM(C2362:F2362,H2362:K2362)-'Line Follower'!$C$5)))</f>
        <v>#N/A</v>
      </c>
      <c r="O2362" s="22" t="e">
        <v>#N/A</v>
      </c>
      <c r="P2362" s="4" t="e">
        <f t="shared" si="180"/>
        <v>#N/A</v>
      </c>
      <c r="Q2362" s="4" t="e">
        <f t="shared" si="181"/>
        <v>#N/A</v>
      </c>
      <c r="R2362" s="4" t="e">
        <f>IF(AND(B2362=1,N2362&gt;'Line Follower'!$C$7,SUM(C2362:K2362)&lt;4),1,0)</f>
        <v>#N/A</v>
      </c>
      <c r="S2362" s="4" t="e">
        <f>IF(AND(L2362=1,N2362&lt;'Line Follower'!$C$6,SUM(C2362:K2362)&lt;4),1,0)</f>
        <v>#N/A</v>
      </c>
      <c r="T2362" s="4" t="e">
        <f t="shared" si="182"/>
        <v>#N/A</v>
      </c>
      <c r="U2362" s="5" t="e">
        <f t="shared" si="183"/>
        <v>#N/A</v>
      </c>
      <c r="V2362" s="23" t="e">
        <f t="shared" si="184"/>
        <v>#N/A</v>
      </c>
    </row>
    <row r="2363" spans="2:22" x14ac:dyDescent="0.25">
      <c r="B2363" s="16">
        <v>0</v>
      </c>
      <c r="C2363" s="7">
        <v>0</v>
      </c>
      <c r="D2363" s="8">
        <v>0</v>
      </c>
      <c r="E2363" s="8">
        <v>1</v>
      </c>
      <c r="F2363" s="8">
        <v>1</v>
      </c>
      <c r="G2363" s="8">
        <v>1</v>
      </c>
      <c r="H2363" s="8">
        <v>0</v>
      </c>
      <c r="I2363" s="8">
        <v>0</v>
      </c>
      <c r="J2363" s="8">
        <v>1</v>
      </c>
      <c r="K2363" s="9">
        <v>0</v>
      </c>
      <c r="L2363" s="10">
        <v>0</v>
      </c>
      <c r="M2363" s="6">
        <v>1</v>
      </c>
      <c r="N2363" s="37" t="e" cm="1">
        <f t="array" ref="N2363">IF(OR(ISNUMBER(FIND(Aux!$D$3:$D$9,_xlfn.TEXTJOIN(,,C2363:K2363)))),NA(),IF(AND(SUM(C2363:F2363,H2363:K2363)=0,G2363=1),0,INT((SUMPRODUCT(C2363:F2363,COLUMN($A$1:$D$1)-1)+SUMPRODUCT(H2363:K2363,COLUMN($E$1:$H$1)-1))*'Line Follower'!$C$3/SUM(C2363:F2363,H2363:K2363)-'Line Follower'!$C$5)))</f>
        <v>#N/A</v>
      </c>
      <c r="O2363" s="22" t="e">
        <v>#N/A</v>
      </c>
      <c r="P2363" s="4" t="e">
        <f t="shared" si="180"/>
        <v>#N/A</v>
      </c>
      <c r="Q2363" s="4" t="e">
        <f t="shared" si="181"/>
        <v>#N/A</v>
      </c>
      <c r="R2363" s="4" t="e">
        <f>IF(AND(B2363=1,N2363&gt;'Line Follower'!$C$7,SUM(C2363:K2363)&lt;4),1,0)</f>
        <v>#N/A</v>
      </c>
      <c r="S2363" s="4" t="e">
        <f>IF(AND(L2363=1,N2363&lt;'Line Follower'!$C$6,SUM(C2363:K2363)&lt;4),1,0)</f>
        <v>#N/A</v>
      </c>
      <c r="T2363" s="4" t="e">
        <f t="shared" si="182"/>
        <v>#N/A</v>
      </c>
      <c r="U2363" s="5" t="e">
        <f t="shared" si="183"/>
        <v>#N/A</v>
      </c>
      <c r="V2363" s="23" t="e">
        <f t="shared" si="184"/>
        <v>#N/A</v>
      </c>
    </row>
    <row r="2364" spans="2:22" x14ac:dyDescent="0.25">
      <c r="B2364" s="16">
        <v>1</v>
      </c>
      <c r="C2364" s="7">
        <v>0</v>
      </c>
      <c r="D2364" s="8">
        <v>0</v>
      </c>
      <c r="E2364" s="8">
        <v>1</v>
      </c>
      <c r="F2364" s="8">
        <v>1</v>
      </c>
      <c r="G2364" s="8">
        <v>1</v>
      </c>
      <c r="H2364" s="8">
        <v>0</v>
      </c>
      <c r="I2364" s="8">
        <v>0</v>
      </c>
      <c r="J2364" s="8">
        <v>1</v>
      </c>
      <c r="K2364" s="9">
        <v>0</v>
      </c>
      <c r="L2364" s="10">
        <v>0</v>
      </c>
      <c r="M2364" s="6">
        <v>1</v>
      </c>
      <c r="N2364" s="37" t="e" cm="1">
        <f t="array" ref="N2364">IF(OR(ISNUMBER(FIND(Aux!$D$3:$D$9,_xlfn.TEXTJOIN(,,C2364:K2364)))),NA(),IF(AND(SUM(C2364:F2364,H2364:K2364)=0,G2364=1),0,INT((SUMPRODUCT(C2364:F2364,COLUMN($A$1:$D$1)-1)+SUMPRODUCT(H2364:K2364,COLUMN($E$1:$H$1)-1))*'Line Follower'!$C$3/SUM(C2364:F2364,H2364:K2364)-'Line Follower'!$C$5)))</f>
        <v>#N/A</v>
      </c>
      <c r="O2364" s="22" t="e">
        <v>#N/A</v>
      </c>
      <c r="P2364" s="4" t="e">
        <f t="shared" si="180"/>
        <v>#N/A</v>
      </c>
      <c r="Q2364" s="4" t="e">
        <f t="shared" si="181"/>
        <v>#N/A</v>
      </c>
      <c r="R2364" s="4" t="e">
        <f>IF(AND(B2364=1,N2364&gt;'Line Follower'!$C$7,SUM(C2364:K2364)&lt;4),1,0)</f>
        <v>#N/A</v>
      </c>
      <c r="S2364" s="4" t="e">
        <f>IF(AND(L2364=1,N2364&lt;'Line Follower'!$C$6,SUM(C2364:K2364)&lt;4),1,0)</f>
        <v>#N/A</v>
      </c>
      <c r="T2364" s="4" t="e">
        <f t="shared" si="182"/>
        <v>#N/A</v>
      </c>
      <c r="U2364" s="5" t="e">
        <f t="shared" si="183"/>
        <v>#N/A</v>
      </c>
      <c r="V2364" s="23" t="e">
        <f t="shared" si="184"/>
        <v>#N/A</v>
      </c>
    </row>
    <row r="2365" spans="2:22" x14ac:dyDescent="0.25">
      <c r="B2365" s="16">
        <v>0</v>
      </c>
      <c r="C2365" s="7">
        <v>1</v>
      </c>
      <c r="D2365" s="8">
        <v>0</v>
      </c>
      <c r="E2365" s="8">
        <v>1</v>
      </c>
      <c r="F2365" s="8">
        <v>1</v>
      </c>
      <c r="G2365" s="8">
        <v>1</v>
      </c>
      <c r="H2365" s="8">
        <v>0</v>
      </c>
      <c r="I2365" s="8">
        <v>0</v>
      </c>
      <c r="J2365" s="8">
        <v>1</v>
      </c>
      <c r="K2365" s="9">
        <v>0</v>
      </c>
      <c r="L2365" s="10">
        <v>0</v>
      </c>
      <c r="M2365" s="6">
        <v>1</v>
      </c>
      <c r="N2365" s="37" t="e" cm="1">
        <f t="array" ref="N2365">IF(OR(ISNUMBER(FIND(Aux!$D$3:$D$9,_xlfn.TEXTJOIN(,,C2365:K2365)))),NA(),IF(AND(SUM(C2365:F2365,H2365:K2365)=0,G2365=1),0,INT((SUMPRODUCT(C2365:F2365,COLUMN($A$1:$D$1)-1)+SUMPRODUCT(H2365:K2365,COLUMN($E$1:$H$1)-1))*'Line Follower'!$C$3/SUM(C2365:F2365,H2365:K2365)-'Line Follower'!$C$5)))</f>
        <v>#N/A</v>
      </c>
      <c r="O2365" s="22" t="e">
        <v>#N/A</v>
      </c>
      <c r="P2365" s="4" t="e">
        <f t="shared" si="180"/>
        <v>#N/A</v>
      </c>
      <c r="Q2365" s="4" t="e">
        <f t="shared" si="181"/>
        <v>#N/A</v>
      </c>
      <c r="R2365" s="4" t="e">
        <f>IF(AND(B2365=1,N2365&gt;'Line Follower'!$C$7,SUM(C2365:K2365)&lt;4),1,0)</f>
        <v>#N/A</v>
      </c>
      <c r="S2365" s="4" t="e">
        <f>IF(AND(L2365=1,N2365&lt;'Line Follower'!$C$6,SUM(C2365:K2365)&lt;4),1,0)</f>
        <v>#N/A</v>
      </c>
      <c r="T2365" s="4" t="e">
        <f t="shared" si="182"/>
        <v>#N/A</v>
      </c>
      <c r="U2365" s="5" t="e">
        <f t="shared" si="183"/>
        <v>#N/A</v>
      </c>
      <c r="V2365" s="23" t="e">
        <f t="shared" si="184"/>
        <v>#N/A</v>
      </c>
    </row>
    <row r="2366" spans="2:22" x14ac:dyDescent="0.25">
      <c r="B2366" s="16">
        <v>1</v>
      </c>
      <c r="C2366" s="7">
        <v>1</v>
      </c>
      <c r="D2366" s="8">
        <v>0</v>
      </c>
      <c r="E2366" s="8">
        <v>1</v>
      </c>
      <c r="F2366" s="8">
        <v>1</v>
      </c>
      <c r="G2366" s="8">
        <v>1</v>
      </c>
      <c r="H2366" s="8">
        <v>0</v>
      </c>
      <c r="I2366" s="8">
        <v>0</v>
      </c>
      <c r="J2366" s="8">
        <v>1</v>
      </c>
      <c r="K2366" s="9">
        <v>0</v>
      </c>
      <c r="L2366" s="10">
        <v>0</v>
      </c>
      <c r="M2366" s="6">
        <v>1</v>
      </c>
      <c r="N2366" s="37" t="e" cm="1">
        <f t="array" ref="N2366">IF(OR(ISNUMBER(FIND(Aux!$D$3:$D$9,_xlfn.TEXTJOIN(,,C2366:K2366)))),NA(),IF(AND(SUM(C2366:F2366,H2366:K2366)=0,G2366=1),0,INT((SUMPRODUCT(C2366:F2366,COLUMN($A$1:$D$1)-1)+SUMPRODUCT(H2366:K2366,COLUMN($E$1:$H$1)-1))*'Line Follower'!$C$3/SUM(C2366:F2366,H2366:K2366)-'Line Follower'!$C$5)))</f>
        <v>#N/A</v>
      </c>
      <c r="O2366" s="22" t="e">
        <v>#N/A</v>
      </c>
      <c r="P2366" s="4" t="e">
        <f t="shared" si="180"/>
        <v>#N/A</v>
      </c>
      <c r="Q2366" s="4" t="e">
        <f t="shared" si="181"/>
        <v>#N/A</v>
      </c>
      <c r="R2366" s="4" t="e">
        <f>IF(AND(B2366=1,N2366&gt;'Line Follower'!$C$7,SUM(C2366:K2366)&lt;4),1,0)</f>
        <v>#N/A</v>
      </c>
      <c r="S2366" s="4" t="e">
        <f>IF(AND(L2366=1,N2366&lt;'Line Follower'!$C$6,SUM(C2366:K2366)&lt;4),1,0)</f>
        <v>#N/A</v>
      </c>
      <c r="T2366" s="4" t="e">
        <f t="shared" si="182"/>
        <v>#N/A</v>
      </c>
      <c r="U2366" s="5" t="e">
        <f t="shared" si="183"/>
        <v>#N/A</v>
      </c>
      <c r="V2366" s="23" t="e">
        <f t="shared" si="184"/>
        <v>#N/A</v>
      </c>
    </row>
    <row r="2367" spans="2:22" x14ac:dyDescent="0.25">
      <c r="B2367" s="16">
        <v>0</v>
      </c>
      <c r="C2367" s="7">
        <v>0</v>
      </c>
      <c r="D2367" s="8">
        <v>1</v>
      </c>
      <c r="E2367" s="8">
        <v>1</v>
      </c>
      <c r="F2367" s="8">
        <v>1</v>
      </c>
      <c r="G2367" s="8">
        <v>1</v>
      </c>
      <c r="H2367" s="8">
        <v>0</v>
      </c>
      <c r="I2367" s="8">
        <v>0</v>
      </c>
      <c r="J2367" s="8">
        <v>1</v>
      </c>
      <c r="K2367" s="9">
        <v>0</v>
      </c>
      <c r="L2367" s="10">
        <v>0</v>
      </c>
      <c r="M2367" s="6">
        <v>1</v>
      </c>
      <c r="N2367" s="37" t="e" cm="1">
        <f t="array" ref="N2367">IF(OR(ISNUMBER(FIND(Aux!$D$3:$D$9,_xlfn.TEXTJOIN(,,C2367:K2367)))),NA(),IF(AND(SUM(C2367:F2367,H2367:K2367)=0,G2367=1),0,INT((SUMPRODUCT(C2367:F2367,COLUMN($A$1:$D$1)-1)+SUMPRODUCT(H2367:K2367,COLUMN($E$1:$H$1)-1))*'Line Follower'!$C$3/SUM(C2367:F2367,H2367:K2367)-'Line Follower'!$C$5)))</f>
        <v>#N/A</v>
      </c>
      <c r="O2367" s="22" t="e">
        <v>#N/A</v>
      </c>
      <c r="P2367" s="4" t="e">
        <f t="shared" si="180"/>
        <v>#N/A</v>
      </c>
      <c r="Q2367" s="4" t="e">
        <f t="shared" si="181"/>
        <v>#N/A</v>
      </c>
      <c r="R2367" s="4" t="e">
        <f>IF(AND(B2367=1,N2367&gt;'Line Follower'!$C$7,SUM(C2367:K2367)&lt;4),1,0)</f>
        <v>#N/A</v>
      </c>
      <c r="S2367" s="4" t="e">
        <f>IF(AND(L2367=1,N2367&lt;'Line Follower'!$C$6,SUM(C2367:K2367)&lt;4),1,0)</f>
        <v>#N/A</v>
      </c>
      <c r="T2367" s="4" t="e">
        <f t="shared" si="182"/>
        <v>#N/A</v>
      </c>
      <c r="U2367" s="5" t="e">
        <f t="shared" si="183"/>
        <v>#N/A</v>
      </c>
      <c r="V2367" s="23" t="e">
        <f t="shared" si="184"/>
        <v>#N/A</v>
      </c>
    </row>
    <row r="2368" spans="2:22" x14ac:dyDescent="0.25">
      <c r="B2368" s="16">
        <v>1</v>
      </c>
      <c r="C2368" s="7">
        <v>0</v>
      </c>
      <c r="D2368" s="8">
        <v>1</v>
      </c>
      <c r="E2368" s="8">
        <v>1</v>
      </c>
      <c r="F2368" s="8">
        <v>1</v>
      </c>
      <c r="G2368" s="8">
        <v>1</v>
      </c>
      <c r="H2368" s="8">
        <v>0</v>
      </c>
      <c r="I2368" s="8">
        <v>0</v>
      </c>
      <c r="J2368" s="8">
        <v>1</v>
      </c>
      <c r="K2368" s="9">
        <v>0</v>
      </c>
      <c r="L2368" s="10">
        <v>0</v>
      </c>
      <c r="M2368" s="6">
        <v>1</v>
      </c>
      <c r="N2368" s="37" t="e" cm="1">
        <f t="array" ref="N2368">IF(OR(ISNUMBER(FIND(Aux!$D$3:$D$9,_xlfn.TEXTJOIN(,,C2368:K2368)))),NA(),IF(AND(SUM(C2368:F2368,H2368:K2368)=0,G2368=1),0,INT((SUMPRODUCT(C2368:F2368,COLUMN($A$1:$D$1)-1)+SUMPRODUCT(H2368:K2368,COLUMN($E$1:$H$1)-1))*'Line Follower'!$C$3/SUM(C2368:F2368,H2368:K2368)-'Line Follower'!$C$5)))</f>
        <v>#N/A</v>
      </c>
      <c r="O2368" s="22" t="e">
        <v>#N/A</v>
      </c>
      <c r="P2368" s="4" t="e">
        <f t="shared" si="180"/>
        <v>#N/A</v>
      </c>
      <c r="Q2368" s="4" t="e">
        <f t="shared" si="181"/>
        <v>#N/A</v>
      </c>
      <c r="R2368" s="4" t="e">
        <f>IF(AND(B2368=1,N2368&gt;'Line Follower'!$C$7,SUM(C2368:K2368)&lt;4),1,0)</f>
        <v>#N/A</v>
      </c>
      <c r="S2368" s="4" t="e">
        <f>IF(AND(L2368=1,N2368&lt;'Line Follower'!$C$6,SUM(C2368:K2368)&lt;4),1,0)</f>
        <v>#N/A</v>
      </c>
      <c r="T2368" s="4" t="e">
        <f t="shared" si="182"/>
        <v>#N/A</v>
      </c>
      <c r="U2368" s="5" t="e">
        <f t="shared" si="183"/>
        <v>#N/A</v>
      </c>
      <c r="V2368" s="23" t="e">
        <f t="shared" si="184"/>
        <v>#N/A</v>
      </c>
    </row>
    <row r="2369" spans="2:22" x14ac:dyDescent="0.25">
      <c r="B2369" s="16">
        <v>0</v>
      </c>
      <c r="C2369" s="7">
        <v>1</v>
      </c>
      <c r="D2369" s="8">
        <v>1</v>
      </c>
      <c r="E2369" s="8">
        <v>1</v>
      </c>
      <c r="F2369" s="8">
        <v>1</v>
      </c>
      <c r="G2369" s="8">
        <v>1</v>
      </c>
      <c r="H2369" s="8">
        <v>0</v>
      </c>
      <c r="I2369" s="8">
        <v>0</v>
      </c>
      <c r="J2369" s="8">
        <v>1</v>
      </c>
      <c r="K2369" s="9">
        <v>0</v>
      </c>
      <c r="L2369" s="10">
        <v>0</v>
      </c>
      <c r="M2369" s="6">
        <v>1</v>
      </c>
      <c r="N2369" s="37" t="e" cm="1">
        <f t="array" ref="N2369">IF(OR(ISNUMBER(FIND(Aux!$D$3:$D$9,_xlfn.TEXTJOIN(,,C2369:K2369)))),NA(),IF(AND(SUM(C2369:F2369,H2369:K2369)=0,G2369=1),0,INT((SUMPRODUCT(C2369:F2369,COLUMN($A$1:$D$1)-1)+SUMPRODUCT(H2369:K2369,COLUMN($E$1:$H$1)-1))*'Line Follower'!$C$3/SUM(C2369:F2369,H2369:K2369)-'Line Follower'!$C$5)))</f>
        <v>#N/A</v>
      </c>
      <c r="O2369" s="22" t="e">
        <v>#N/A</v>
      </c>
      <c r="P2369" s="4" t="e">
        <f t="shared" si="180"/>
        <v>#N/A</v>
      </c>
      <c r="Q2369" s="4" t="e">
        <f t="shared" si="181"/>
        <v>#N/A</v>
      </c>
      <c r="R2369" s="4" t="e">
        <f>IF(AND(B2369=1,N2369&gt;'Line Follower'!$C$7,SUM(C2369:K2369)&lt;4),1,0)</f>
        <v>#N/A</v>
      </c>
      <c r="S2369" s="4" t="e">
        <f>IF(AND(L2369=1,N2369&lt;'Line Follower'!$C$6,SUM(C2369:K2369)&lt;4),1,0)</f>
        <v>#N/A</v>
      </c>
      <c r="T2369" s="4" t="e">
        <f t="shared" si="182"/>
        <v>#N/A</v>
      </c>
      <c r="U2369" s="5" t="e">
        <f t="shared" si="183"/>
        <v>#N/A</v>
      </c>
      <c r="V2369" s="23" t="e">
        <f t="shared" si="184"/>
        <v>#N/A</v>
      </c>
    </row>
    <row r="2370" spans="2:22" x14ac:dyDescent="0.25">
      <c r="B2370" s="16">
        <v>1</v>
      </c>
      <c r="C2370" s="7">
        <v>1</v>
      </c>
      <c r="D2370" s="8">
        <v>1</v>
      </c>
      <c r="E2370" s="8">
        <v>1</v>
      </c>
      <c r="F2370" s="8">
        <v>1</v>
      </c>
      <c r="G2370" s="8">
        <v>1</v>
      </c>
      <c r="H2370" s="8">
        <v>0</v>
      </c>
      <c r="I2370" s="8">
        <v>0</v>
      </c>
      <c r="J2370" s="8">
        <v>1</v>
      </c>
      <c r="K2370" s="9">
        <v>0</v>
      </c>
      <c r="L2370" s="10">
        <v>0</v>
      </c>
      <c r="M2370" s="6">
        <v>1</v>
      </c>
      <c r="N2370" s="37" t="e" cm="1">
        <f t="array" ref="N2370">IF(OR(ISNUMBER(FIND(Aux!$D$3:$D$9,_xlfn.TEXTJOIN(,,C2370:K2370)))),NA(),IF(AND(SUM(C2370:F2370,H2370:K2370)=0,G2370=1),0,INT((SUMPRODUCT(C2370:F2370,COLUMN($A$1:$D$1)-1)+SUMPRODUCT(H2370:K2370,COLUMN($E$1:$H$1)-1))*'Line Follower'!$C$3/SUM(C2370:F2370,H2370:K2370)-'Line Follower'!$C$5)))</f>
        <v>#N/A</v>
      </c>
      <c r="O2370" s="22" t="e">
        <v>#N/A</v>
      </c>
      <c r="P2370" s="4" t="e">
        <f t="shared" si="180"/>
        <v>#N/A</v>
      </c>
      <c r="Q2370" s="4" t="e">
        <f t="shared" si="181"/>
        <v>#N/A</v>
      </c>
      <c r="R2370" s="4" t="e">
        <f>IF(AND(B2370=1,N2370&gt;'Line Follower'!$C$7,SUM(C2370:K2370)&lt;4),1,0)</f>
        <v>#N/A</v>
      </c>
      <c r="S2370" s="4" t="e">
        <f>IF(AND(L2370=1,N2370&lt;'Line Follower'!$C$6,SUM(C2370:K2370)&lt;4),1,0)</f>
        <v>#N/A</v>
      </c>
      <c r="T2370" s="4" t="e">
        <f t="shared" si="182"/>
        <v>#N/A</v>
      </c>
      <c r="U2370" s="5" t="e">
        <f t="shared" si="183"/>
        <v>#N/A</v>
      </c>
      <c r="V2370" s="23" t="e">
        <f t="shared" si="184"/>
        <v>#N/A</v>
      </c>
    </row>
    <row r="2371" spans="2:22" x14ac:dyDescent="0.25">
      <c r="B2371" s="16">
        <v>0</v>
      </c>
      <c r="C2371" s="7">
        <v>0</v>
      </c>
      <c r="D2371" s="8">
        <v>0</v>
      </c>
      <c r="E2371" s="8">
        <v>0</v>
      </c>
      <c r="F2371" s="8">
        <v>0</v>
      </c>
      <c r="G2371" s="8">
        <v>0</v>
      </c>
      <c r="H2371" s="8">
        <v>1</v>
      </c>
      <c r="I2371" s="8">
        <v>0</v>
      </c>
      <c r="J2371" s="8">
        <v>1</v>
      </c>
      <c r="K2371" s="9">
        <v>0</v>
      </c>
      <c r="L2371" s="10">
        <v>0</v>
      </c>
      <c r="M2371" s="6">
        <v>1</v>
      </c>
      <c r="N2371" s="37" t="e" cm="1">
        <f t="array" ref="N2371">IF(OR(ISNUMBER(FIND(Aux!$D$3:$D$9,_xlfn.TEXTJOIN(,,C2371:K2371)))),NA(),IF(AND(SUM(C2371:F2371,H2371:K2371)=0,G2371=1),0,INT((SUMPRODUCT(C2371:F2371,COLUMN($A$1:$D$1)-1)+SUMPRODUCT(H2371:K2371,COLUMN($E$1:$H$1)-1))*'Line Follower'!$C$3/SUM(C2371:F2371,H2371:K2371)-'Line Follower'!$C$5)))</f>
        <v>#N/A</v>
      </c>
      <c r="O2371" s="22" t="e">
        <v>#N/A</v>
      </c>
      <c r="P2371" s="4" t="e">
        <f t="shared" ref="P2371:P2434" si="185">IF(AND(N2371=0,G2371=1,M2371=1),1,0)</f>
        <v>#N/A</v>
      </c>
      <c r="Q2371" s="4" t="e">
        <f t="shared" ref="Q2371:Q2434" si="186">IF(ISERROR(N2371),N2371,IF(SUM(C2371:K2371)&gt;=4,1,0))</f>
        <v>#N/A</v>
      </c>
      <c r="R2371" s="4" t="e">
        <f>IF(AND(B2371=1,N2371&gt;'Line Follower'!$C$7,SUM(C2371:K2371)&lt;4),1,0)</f>
        <v>#N/A</v>
      </c>
      <c r="S2371" s="4" t="e">
        <f>IF(AND(L2371=1,N2371&lt;'Line Follower'!$C$6,SUM(C2371:K2371)&lt;4),1,0)</f>
        <v>#N/A</v>
      </c>
      <c r="T2371" s="4" t="e">
        <f t="shared" si="182"/>
        <v>#N/A</v>
      </c>
      <c r="U2371" s="5" t="e">
        <f t="shared" si="183"/>
        <v>#N/A</v>
      </c>
      <c r="V2371" s="23" t="e">
        <f t="shared" si="184"/>
        <v>#N/A</v>
      </c>
    </row>
    <row r="2372" spans="2:22" x14ac:dyDescent="0.25">
      <c r="B2372" s="16">
        <v>1</v>
      </c>
      <c r="C2372" s="7">
        <v>0</v>
      </c>
      <c r="D2372" s="8">
        <v>0</v>
      </c>
      <c r="E2372" s="8">
        <v>0</v>
      </c>
      <c r="F2372" s="8">
        <v>0</v>
      </c>
      <c r="G2372" s="8">
        <v>0</v>
      </c>
      <c r="H2372" s="8">
        <v>1</v>
      </c>
      <c r="I2372" s="8">
        <v>0</v>
      </c>
      <c r="J2372" s="8">
        <v>1</v>
      </c>
      <c r="K2372" s="9">
        <v>0</v>
      </c>
      <c r="L2372" s="10">
        <v>0</v>
      </c>
      <c r="M2372" s="6">
        <v>1</v>
      </c>
      <c r="N2372" s="37" t="e" cm="1">
        <f t="array" ref="N2372">IF(OR(ISNUMBER(FIND(Aux!$D$3:$D$9,_xlfn.TEXTJOIN(,,C2372:K2372)))),NA(),IF(AND(SUM(C2372:F2372,H2372:K2372)=0,G2372=1),0,INT((SUMPRODUCT(C2372:F2372,COLUMN($A$1:$D$1)-1)+SUMPRODUCT(H2372:K2372,COLUMN($E$1:$H$1)-1))*'Line Follower'!$C$3/SUM(C2372:F2372,H2372:K2372)-'Line Follower'!$C$5)))</f>
        <v>#N/A</v>
      </c>
      <c r="O2372" s="22" t="e">
        <v>#N/A</v>
      </c>
      <c r="P2372" s="4" t="e">
        <f t="shared" si="185"/>
        <v>#N/A</v>
      </c>
      <c r="Q2372" s="4" t="e">
        <f t="shared" si="186"/>
        <v>#N/A</v>
      </c>
      <c r="R2372" s="4" t="e">
        <f>IF(AND(B2372=1,N2372&gt;'Line Follower'!$C$7,SUM(C2372:K2372)&lt;4),1,0)</f>
        <v>#N/A</v>
      </c>
      <c r="S2372" s="4" t="e">
        <f>IF(AND(L2372=1,N2372&lt;'Line Follower'!$C$6,SUM(C2372:K2372)&lt;4),1,0)</f>
        <v>#N/A</v>
      </c>
      <c r="T2372" s="4" t="e">
        <f t="shared" ref="T2372:T2435" si="187">IF(ISNA(N2372),NA(),IF(SUM(C2372:L2372)=0,1,0))</f>
        <v>#N/A</v>
      </c>
      <c r="U2372" s="5" t="e">
        <f t="shared" ref="U2372:U2435" si="188">IF(ISNA(N2372),NA(),IF(SUM(B2372:K2372)=0,1,0))</f>
        <v>#N/A</v>
      </c>
      <c r="V2372" s="23" t="e">
        <f t="shared" ref="V2372:V2435" si="189">IF(ISNA(N2372),NA(),IF(SUM(B2372:L2372)=0,1,0))</f>
        <v>#N/A</v>
      </c>
    </row>
    <row r="2373" spans="2:22" x14ac:dyDescent="0.25">
      <c r="B2373" s="16">
        <v>0</v>
      </c>
      <c r="C2373" s="7">
        <v>1</v>
      </c>
      <c r="D2373" s="8">
        <v>0</v>
      </c>
      <c r="E2373" s="8">
        <v>0</v>
      </c>
      <c r="F2373" s="8">
        <v>0</v>
      </c>
      <c r="G2373" s="8">
        <v>0</v>
      </c>
      <c r="H2373" s="8">
        <v>1</v>
      </c>
      <c r="I2373" s="8">
        <v>0</v>
      </c>
      <c r="J2373" s="8">
        <v>1</v>
      </c>
      <c r="K2373" s="9">
        <v>0</v>
      </c>
      <c r="L2373" s="10">
        <v>0</v>
      </c>
      <c r="M2373" s="6">
        <v>1</v>
      </c>
      <c r="N2373" s="37" t="e" cm="1">
        <f t="array" ref="N2373">IF(OR(ISNUMBER(FIND(Aux!$D$3:$D$9,_xlfn.TEXTJOIN(,,C2373:K2373)))),NA(),IF(AND(SUM(C2373:F2373,H2373:K2373)=0,G2373=1),0,INT((SUMPRODUCT(C2373:F2373,COLUMN($A$1:$D$1)-1)+SUMPRODUCT(H2373:K2373,COLUMN($E$1:$H$1)-1))*'Line Follower'!$C$3/SUM(C2373:F2373,H2373:K2373)-'Line Follower'!$C$5)))</f>
        <v>#N/A</v>
      </c>
      <c r="O2373" s="22" t="e">
        <v>#N/A</v>
      </c>
      <c r="P2373" s="4" t="e">
        <f t="shared" si="185"/>
        <v>#N/A</v>
      </c>
      <c r="Q2373" s="4" t="e">
        <f t="shared" si="186"/>
        <v>#N/A</v>
      </c>
      <c r="R2373" s="4" t="e">
        <f>IF(AND(B2373=1,N2373&gt;'Line Follower'!$C$7,SUM(C2373:K2373)&lt;4),1,0)</f>
        <v>#N/A</v>
      </c>
      <c r="S2373" s="4" t="e">
        <f>IF(AND(L2373=1,N2373&lt;'Line Follower'!$C$6,SUM(C2373:K2373)&lt;4),1,0)</f>
        <v>#N/A</v>
      </c>
      <c r="T2373" s="4" t="e">
        <f t="shared" si="187"/>
        <v>#N/A</v>
      </c>
      <c r="U2373" s="5" t="e">
        <f t="shared" si="188"/>
        <v>#N/A</v>
      </c>
      <c r="V2373" s="23" t="e">
        <f t="shared" si="189"/>
        <v>#N/A</v>
      </c>
    </row>
    <row r="2374" spans="2:22" x14ac:dyDescent="0.25">
      <c r="B2374" s="16">
        <v>1</v>
      </c>
      <c r="C2374" s="7">
        <v>1</v>
      </c>
      <c r="D2374" s="8">
        <v>0</v>
      </c>
      <c r="E2374" s="8">
        <v>0</v>
      </c>
      <c r="F2374" s="8">
        <v>0</v>
      </c>
      <c r="G2374" s="8">
        <v>0</v>
      </c>
      <c r="H2374" s="8">
        <v>1</v>
      </c>
      <c r="I2374" s="8">
        <v>0</v>
      </c>
      <c r="J2374" s="8">
        <v>1</v>
      </c>
      <c r="K2374" s="9">
        <v>0</v>
      </c>
      <c r="L2374" s="10">
        <v>0</v>
      </c>
      <c r="M2374" s="6">
        <v>1</v>
      </c>
      <c r="N2374" s="37" t="e" cm="1">
        <f t="array" ref="N2374">IF(OR(ISNUMBER(FIND(Aux!$D$3:$D$9,_xlfn.TEXTJOIN(,,C2374:K2374)))),NA(),IF(AND(SUM(C2374:F2374,H2374:K2374)=0,G2374=1),0,INT((SUMPRODUCT(C2374:F2374,COLUMN($A$1:$D$1)-1)+SUMPRODUCT(H2374:K2374,COLUMN($E$1:$H$1)-1))*'Line Follower'!$C$3/SUM(C2374:F2374,H2374:K2374)-'Line Follower'!$C$5)))</f>
        <v>#N/A</v>
      </c>
      <c r="O2374" s="22" t="e">
        <v>#N/A</v>
      </c>
      <c r="P2374" s="4" t="e">
        <f t="shared" si="185"/>
        <v>#N/A</v>
      </c>
      <c r="Q2374" s="4" t="e">
        <f t="shared" si="186"/>
        <v>#N/A</v>
      </c>
      <c r="R2374" s="4" t="e">
        <f>IF(AND(B2374=1,N2374&gt;'Line Follower'!$C$7,SUM(C2374:K2374)&lt;4),1,0)</f>
        <v>#N/A</v>
      </c>
      <c r="S2374" s="4" t="e">
        <f>IF(AND(L2374=1,N2374&lt;'Line Follower'!$C$6,SUM(C2374:K2374)&lt;4),1,0)</f>
        <v>#N/A</v>
      </c>
      <c r="T2374" s="4" t="e">
        <f t="shared" si="187"/>
        <v>#N/A</v>
      </c>
      <c r="U2374" s="5" t="e">
        <f t="shared" si="188"/>
        <v>#N/A</v>
      </c>
      <c r="V2374" s="23" t="e">
        <f t="shared" si="189"/>
        <v>#N/A</v>
      </c>
    </row>
    <row r="2375" spans="2:22" x14ac:dyDescent="0.25">
      <c r="B2375" s="16">
        <v>0</v>
      </c>
      <c r="C2375" s="7">
        <v>0</v>
      </c>
      <c r="D2375" s="8">
        <v>1</v>
      </c>
      <c r="E2375" s="8">
        <v>0</v>
      </c>
      <c r="F2375" s="8">
        <v>0</v>
      </c>
      <c r="G2375" s="8">
        <v>0</v>
      </c>
      <c r="H2375" s="8">
        <v>1</v>
      </c>
      <c r="I2375" s="8">
        <v>0</v>
      </c>
      <c r="J2375" s="8">
        <v>1</v>
      </c>
      <c r="K2375" s="9">
        <v>0</v>
      </c>
      <c r="L2375" s="10">
        <v>0</v>
      </c>
      <c r="M2375" s="6">
        <v>1</v>
      </c>
      <c r="N2375" s="37" t="e" cm="1">
        <f t="array" ref="N2375">IF(OR(ISNUMBER(FIND(Aux!$D$3:$D$9,_xlfn.TEXTJOIN(,,C2375:K2375)))),NA(),IF(AND(SUM(C2375:F2375,H2375:K2375)=0,G2375=1),0,INT((SUMPRODUCT(C2375:F2375,COLUMN($A$1:$D$1)-1)+SUMPRODUCT(H2375:K2375,COLUMN($E$1:$H$1)-1))*'Line Follower'!$C$3/SUM(C2375:F2375,H2375:K2375)-'Line Follower'!$C$5)))</f>
        <v>#N/A</v>
      </c>
      <c r="O2375" s="22" t="e">
        <v>#N/A</v>
      </c>
      <c r="P2375" s="4" t="e">
        <f t="shared" si="185"/>
        <v>#N/A</v>
      </c>
      <c r="Q2375" s="4" t="e">
        <f t="shared" si="186"/>
        <v>#N/A</v>
      </c>
      <c r="R2375" s="4" t="e">
        <f>IF(AND(B2375=1,N2375&gt;'Line Follower'!$C$7,SUM(C2375:K2375)&lt;4),1,0)</f>
        <v>#N/A</v>
      </c>
      <c r="S2375" s="4" t="e">
        <f>IF(AND(L2375=1,N2375&lt;'Line Follower'!$C$6,SUM(C2375:K2375)&lt;4),1,0)</f>
        <v>#N/A</v>
      </c>
      <c r="T2375" s="4" t="e">
        <f t="shared" si="187"/>
        <v>#N/A</v>
      </c>
      <c r="U2375" s="5" t="e">
        <f t="shared" si="188"/>
        <v>#N/A</v>
      </c>
      <c r="V2375" s="23" t="e">
        <f t="shared" si="189"/>
        <v>#N/A</v>
      </c>
    </row>
    <row r="2376" spans="2:22" x14ac:dyDescent="0.25">
      <c r="B2376" s="16">
        <v>1</v>
      </c>
      <c r="C2376" s="7">
        <v>0</v>
      </c>
      <c r="D2376" s="8">
        <v>1</v>
      </c>
      <c r="E2376" s="8">
        <v>0</v>
      </c>
      <c r="F2376" s="8">
        <v>0</v>
      </c>
      <c r="G2376" s="8">
        <v>0</v>
      </c>
      <c r="H2376" s="8">
        <v>1</v>
      </c>
      <c r="I2376" s="8">
        <v>0</v>
      </c>
      <c r="J2376" s="8">
        <v>1</v>
      </c>
      <c r="K2376" s="9">
        <v>0</v>
      </c>
      <c r="L2376" s="10">
        <v>0</v>
      </c>
      <c r="M2376" s="6">
        <v>1</v>
      </c>
      <c r="N2376" s="37" t="e" cm="1">
        <f t="array" ref="N2376">IF(OR(ISNUMBER(FIND(Aux!$D$3:$D$9,_xlfn.TEXTJOIN(,,C2376:K2376)))),NA(),IF(AND(SUM(C2376:F2376,H2376:K2376)=0,G2376=1),0,INT((SUMPRODUCT(C2376:F2376,COLUMN($A$1:$D$1)-1)+SUMPRODUCT(H2376:K2376,COLUMN($E$1:$H$1)-1))*'Line Follower'!$C$3/SUM(C2376:F2376,H2376:K2376)-'Line Follower'!$C$5)))</f>
        <v>#N/A</v>
      </c>
      <c r="O2376" s="22" t="e">
        <v>#N/A</v>
      </c>
      <c r="P2376" s="4" t="e">
        <f t="shared" si="185"/>
        <v>#N/A</v>
      </c>
      <c r="Q2376" s="4" t="e">
        <f t="shared" si="186"/>
        <v>#N/A</v>
      </c>
      <c r="R2376" s="4" t="e">
        <f>IF(AND(B2376=1,N2376&gt;'Line Follower'!$C$7,SUM(C2376:K2376)&lt;4),1,0)</f>
        <v>#N/A</v>
      </c>
      <c r="S2376" s="4" t="e">
        <f>IF(AND(L2376=1,N2376&lt;'Line Follower'!$C$6,SUM(C2376:K2376)&lt;4),1,0)</f>
        <v>#N/A</v>
      </c>
      <c r="T2376" s="4" t="e">
        <f t="shared" si="187"/>
        <v>#N/A</v>
      </c>
      <c r="U2376" s="5" t="e">
        <f t="shared" si="188"/>
        <v>#N/A</v>
      </c>
      <c r="V2376" s="23" t="e">
        <f t="shared" si="189"/>
        <v>#N/A</v>
      </c>
    </row>
    <row r="2377" spans="2:22" x14ac:dyDescent="0.25">
      <c r="B2377" s="16">
        <v>0</v>
      </c>
      <c r="C2377" s="7">
        <v>1</v>
      </c>
      <c r="D2377" s="8">
        <v>1</v>
      </c>
      <c r="E2377" s="8">
        <v>0</v>
      </c>
      <c r="F2377" s="8">
        <v>0</v>
      </c>
      <c r="G2377" s="8">
        <v>0</v>
      </c>
      <c r="H2377" s="8">
        <v>1</v>
      </c>
      <c r="I2377" s="8">
        <v>0</v>
      </c>
      <c r="J2377" s="8">
        <v>1</v>
      </c>
      <c r="K2377" s="9">
        <v>0</v>
      </c>
      <c r="L2377" s="10">
        <v>0</v>
      </c>
      <c r="M2377" s="6">
        <v>1</v>
      </c>
      <c r="N2377" s="37" t="e" cm="1">
        <f t="array" ref="N2377">IF(OR(ISNUMBER(FIND(Aux!$D$3:$D$9,_xlfn.TEXTJOIN(,,C2377:K2377)))),NA(),IF(AND(SUM(C2377:F2377,H2377:K2377)=0,G2377=1),0,INT((SUMPRODUCT(C2377:F2377,COLUMN($A$1:$D$1)-1)+SUMPRODUCT(H2377:K2377,COLUMN($E$1:$H$1)-1))*'Line Follower'!$C$3/SUM(C2377:F2377,H2377:K2377)-'Line Follower'!$C$5)))</f>
        <v>#N/A</v>
      </c>
      <c r="O2377" s="22" t="e">
        <v>#N/A</v>
      </c>
      <c r="P2377" s="4" t="e">
        <f t="shared" si="185"/>
        <v>#N/A</v>
      </c>
      <c r="Q2377" s="4" t="e">
        <f t="shared" si="186"/>
        <v>#N/A</v>
      </c>
      <c r="R2377" s="4" t="e">
        <f>IF(AND(B2377=1,N2377&gt;'Line Follower'!$C$7,SUM(C2377:K2377)&lt;4),1,0)</f>
        <v>#N/A</v>
      </c>
      <c r="S2377" s="4" t="e">
        <f>IF(AND(L2377=1,N2377&lt;'Line Follower'!$C$6,SUM(C2377:K2377)&lt;4),1,0)</f>
        <v>#N/A</v>
      </c>
      <c r="T2377" s="4" t="e">
        <f t="shared" si="187"/>
        <v>#N/A</v>
      </c>
      <c r="U2377" s="5" t="e">
        <f t="shared" si="188"/>
        <v>#N/A</v>
      </c>
      <c r="V2377" s="23" t="e">
        <f t="shared" si="189"/>
        <v>#N/A</v>
      </c>
    </row>
    <row r="2378" spans="2:22" x14ac:dyDescent="0.25">
      <c r="B2378" s="16">
        <v>1</v>
      </c>
      <c r="C2378" s="7">
        <v>1</v>
      </c>
      <c r="D2378" s="8">
        <v>1</v>
      </c>
      <c r="E2378" s="8">
        <v>0</v>
      </c>
      <c r="F2378" s="8">
        <v>0</v>
      </c>
      <c r="G2378" s="8">
        <v>0</v>
      </c>
      <c r="H2378" s="8">
        <v>1</v>
      </c>
      <c r="I2378" s="8">
        <v>0</v>
      </c>
      <c r="J2378" s="8">
        <v>1</v>
      </c>
      <c r="K2378" s="9">
        <v>0</v>
      </c>
      <c r="L2378" s="10">
        <v>0</v>
      </c>
      <c r="M2378" s="6">
        <v>1</v>
      </c>
      <c r="N2378" s="37" t="e" cm="1">
        <f t="array" ref="N2378">IF(OR(ISNUMBER(FIND(Aux!$D$3:$D$9,_xlfn.TEXTJOIN(,,C2378:K2378)))),NA(),IF(AND(SUM(C2378:F2378,H2378:K2378)=0,G2378=1),0,INT((SUMPRODUCT(C2378:F2378,COLUMN($A$1:$D$1)-1)+SUMPRODUCT(H2378:K2378,COLUMN($E$1:$H$1)-1))*'Line Follower'!$C$3/SUM(C2378:F2378,H2378:K2378)-'Line Follower'!$C$5)))</f>
        <v>#N/A</v>
      </c>
      <c r="O2378" s="22" t="e">
        <v>#N/A</v>
      </c>
      <c r="P2378" s="4" t="e">
        <f t="shared" si="185"/>
        <v>#N/A</v>
      </c>
      <c r="Q2378" s="4" t="e">
        <f t="shared" si="186"/>
        <v>#N/A</v>
      </c>
      <c r="R2378" s="4" t="e">
        <f>IF(AND(B2378=1,N2378&gt;'Line Follower'!$C$7,SUM(C2378:K2378)&lt;4),1,0)</f>
        <v>#N/A</v>
      </c>
      <c r="S2378" s="4" t="e">
        <f>IF(AND(L2378=1,N2378&lt;'Line Follower'!$C$6,SUM(C2378:K2378)&lt;4),1,0)</f>
        <v>#N/A</v>
      </c>
      <c r="T2378" s="4" t="e">
        <f t="shared" si="187"/>
        <v>#N/A</v>
      </c>
      <c r="U2378" s="5" t="e">
        <f t="shared" si="188"/>
        <v>#N/A</v>
      </c>
      <c r="V2378" s="23" t="e">
        <f t="shared" si="189"/>
        <v>#N/A</v>
      </c>
    </row>
    <row r="2379" spans="2:22" x14ac:dyDescent="0.25">
      <c r="B2379" s="16">
        <v>0</v>
      </c>
      <c r="C2379" s="7">
        <v>0</v>
      </c>
      <c r="D2379" s="8">
        <v>0</v>
      </c>
      <c r="E2379" s="8">
        <v>1</v>
      </c>
      <c r="F2379" s="8">
        <v>0</v>
      </c>
      <c r="G2379" s="8">
        <v>0</v>
      </c>
      <c r="H2379" s="8">
        <v>1</v>
      </c>
      <c r="I2379" s="8">
        <v>0</v>
      </c>
      <c r="J2379" s="8">
        <v>1</v>
      </c>
      <c r="K2379" s="9">
        <v>0</v>
      </c>
      <c r="L2379" s="10">
        <v>0</v>
      </c>
      <c r="M2379" s="6">
        <v>1</v>
      </c>
      <c r="N2379" s="37" t="e" cm="1">
        <f t="array" ref="N2379">IF(OR(ISNUMBER(FIND(Aux!$D$3:$D$9,_xlfn.TEXTJOIN(,,C2379:K2379)))),NA(),IF(AND(SUM(C2379:F2379,H2379:K2379)=0,G2379=1),0,INT((SUMPRODUCT(C2379:F2379,COLUMN($A$1:$D$1)-1)+SUMPRODUCT(H2379:K2379,COLUMN($E$1:$H$1)-1))*'Line Follower'!$C$3/SUM(C2379:F2379,H2379:K2379)-'Line Follower'!$C$5)))</f>
        <v>#N/A</v>
      </c>
      <c r="O2379" s="22" t="e">
        <v>#N/A</v>
      </c>
      <c r="P2379" s="4" t="e">
        <f t="shared" si="185"/>
        <v>#N/A</v>
      </c>
      <c r="Q2379" s="4" t="e">
        <f t="shared" si="186"/>
        <v>#N/A</v>
      </c>
      <c r="R2379" s="4" t="e">
        <f>IF(AND(B2379=1,N2379&gt;'Line Follower'!$C$7,SUM(C2379:K2379)&lt;4),1,0)</f>
        <v>#N/A</v>
      </c>
      <c r="S2379" s="4" t="e">
        <f>IF(AND(L2379=1,N2379&lt;'Line Follower'!$C$6,SUM(C2379:K2379)&lt;4),1,0)</f>
        <v>#N/A</v>
      </c>
      <c r="T2379" s="4" t="e">
        <f t="shared" si="187"/>
        <v>#N/A</v>
      </c>
      <c r="U2379" s="5" t="e">
        <f t="shared" si="188"/>
        <v>#N/A</v>
      </c>
      <c r="V2379" s="23" t="e">
        <f t="shared" si="189"/>
        <v>#N/A</v>
      </c>
    </row>
    <row r="2380" spans="2:22" x14ac:dyDescent="0.25">
      <c r="B2380" s="16">
        <v>1</v>
      </c>
      <c r="C2380" s="7">
        <v>0</v>
      </c>
      <c r="D2380" s="8">
        <v>0</v>
      </c>
      <c r="E2380" s="8">
        <v>1</v>
      </c>
      <c r="F2380" s="8">
        <v>0</v>
      </c>
      <c r="G2380" s="8">
        <v>0</v>
      </c>
      <c r="H2380" s="8">
        <v>1</v>
      </c>
      <c r="I2380" s="8">
        <v>0</v>
      </c>
      <c r="J2380" s="8">
        <v>1</v>
      </c>
      <c r="K2380" s="9">
        <v>0</v>
      </c>
      <c r="L2380" s="10">
        <v>0</v>
      </c>
      <c r="M2380" s="6">
        <v>1</v>
      </c>
      <c r="N2380" s="37" t="e" cm="1">
        <f t="array" ref="N2380">IF(OR(ISNUMBER(FIND(Aux!$D$3:$D$9,_xlfn.TEXTJOIN(,,C2380:K2380)))),NA(),IF(AND(SUM(C2380:F2380,H2380:K2380)=0,G2380=1),0,INT((SUMPRODUCT(C2380:F2380,COLUMN($A$1:$D$1)-1)+SUMPRODUCT(H2380:K2380,COLUMN($E$1:$H$1)-1))*'Line Follower'!$C$3/SUM(C2380:F2380,H2380:K2380)-'Line Follower'!$C$5)))</f>
        <v>#N/A</v>
      </c>
      <c r="O2380" s="22" t="e">
        <v>#N/A</v>
      </c>
      <c r="P2380" s="4" t="e">
        <f t="shared" si="185"/>
        <v>#N/A</v>
      </c>
      <c r="Q2380" s="4" t="e">
        <f t="shared" si="186"/>
        <v>#N/A</v>
      </c>
      <c r="R2380" s="4" t="e">
        <f>IF(AND(B2380=1,N2380&gt;'Line Follower'!$C$7,SUM(C2380:K2380)&lt;4),1,0)</f>
        <v>#N/A</v>
      </c>
      <c r="S2380" s="4" t="e">
        <f>IF(AND(L2380=1,N2380&lt;'Line Follower'!$C$6,SUM(C2380:K2380)&lt;4),1,0)</f>
        <v>#N/A</v>
      </c>
      <c r="T2380" s="4" t="e">
        <f t="shared" si="187"/>
        <v>#N/A</v>
      </c>
      <c r="U2380" s="5" t="e">
        <f t="shared" si="188"/>
        <v>#N/A</v>
      </c>
      <c r="V2380" s="23" t="e">
        <f t="shared" si="189"/>
        <v>#N/A</v>
      </c>
    </row>
    <row r="2381" spans="2:22" x14ac:dyDescent="0.25">
      <c r="B2381" s="16">
        <v>0</v>
      </c>
      <c r="C2381" s="7">
        <v>1</v>
      </c>
      <c r="D2381" s="8">
        <v>0</v>
      </c>
      <c r="E2381" s="8">
        <v>1</v>
      </c>
      <c r="F2381" s="8">
        <v>0</v>
      </c>
      <c r="G2381" s="8">
        <v>0</v>
      </c>
      <c r="H2381" s="8">
        <v>1</v>
      </c>
      <c r="I2381" s="8">
        <v>0</v>
      </c>
      <c r="J2381" s="8">
        <v>1</v>
      </c>
      <c r="K2381" s="9">
        <v>0</v>
      </c>
      <c r="L2381" s="10">
        <v>0</v>
      </c>
      <c r="M2381" s="6">
        <v>1</v>
      </c>
      <c r="N2381" s="37" t="e" cm="1">
        <f t="array" ref="N2381">IF(OR(ISNUMBER(FIND(Aux!$D$3:$D$9,_xlfn.TEXTJOIN(,,C2381:K2381)))),NA(),IF(AND(SUM(C2381:F2381,H2381:K2381)=0,G2381=1),0,INT((SUMPRODUCT(C2381:F2381,COLUMN($A$1:$D$1)-1)+SUMPRODUCT(H2381:K2381,COLUMN($E$1:$H$1)-1))*'Line Follower'!$C$3/SUM(C2381:F2381,H2381:K2381)-'Line Follower'!$C$5)))</f>
        <v>#N/A</v>
      </c>
      <c r="O2381" s="22" t="e">
        <v>#N/A</v>
      </c>
      <c r="P2381" s="4" t="e">
        <f t="shared" si="185"/>
        <v>#N/A</v>
      </c>
      <c r="Q2381" s="4" t="e">
        <f t="shared" si="186"/>
        <v>#N/A</v>
      </c>
      <c r="R2381" s="4" t="e">
        <f>IF(AND(B2381=1,N2381&gt;'Line Follower'!$C$7,SUM(C2381:K2381)&lt;4),1,0)</f>
        <v>#N/A</v>
      </c>
      <c r="S2381" s="4" t="e">
        <f>IF(AND(L2381=1,N2381&lt;'Line Follower'!$C$6,SUM(C2381:K2381)&lt;4),1,0)</f>
        <v>#N/A</v>
      </c>
      <c r="T2381" s="4" t="e">
        <f t="shared" si="187"/>
        <v>#N/A</v>
      </c>
      <c r="U2381" s="5" t="e">
        <f t="shared" si="188"/>
        <v>#N/A</v>
      </c>
      <c r="V2381" s="23" t="e">
        <f t="shared" si="189"/>
        <v>#N/A</v>
      </c>
    </row>
    <row r="2382" spans="2:22" x14ac:dyDescent="0.25">
      <c r="B2382" s="16">
        <v>1</v>
      </c>
      <c r="C2382" s="7">
        <v>1</v>
      </c>
      <c r="D2382" s="8">
        <v>0</v>
      </c>
      <c r="E2382" s="8">
        <v>1</v>
      </c>
      <c r="F2382" s="8">
        <v>0</v>
      </c>
      <c r="G2382" s="8">
        <v>0</v>
      </c>
      <c r="H2382" s="8">
        <v>1</v>
      </c>
      <c r="I2382" s="8">
        <v>0</v>
      </c>
      <c r="J2382" s="8">
        <v>1</v>
      </c>
      <c r="K2382" s="9">
        <v>0</v>
      </c>
      <c r="L2382" s="10">
        <v>0</v>
      </c>
      <c r="M2382" s="6">
        <v>1</v>
      </c>
      <c r="N2382" s="37" t="e" cm="1">
        <f t="array" ref="N2382">IF(OR(ISNUMBER(FIND(Aux!$D$3:$D$9,_xlfn.TEXTJOIN(,,C2382:K2382)))),NA(),IF(AND(SUM(C2382:F2382,H2382:K2382)=0,G2382=1),0,INT((SUMPRODUCT(C2382:F2382,COLUMN($A$1:$D$1)-1)+SUMPRODUCT(H2382:K2382,COLUMN($E$1:$H$1)-1))*'Line Follower'!$C$3/SUM(C2382:F2382,H2382:K2382)-'Line Follower'!$C$5)))</f>
        <v>#N/A</v>
      </c>
      <c r="O2382" s="22" t="e">
        <v>#N/A</v>
      </c>
      <c r="P2382" s="4" t="e">
        <f t="shared" si="185"/>
        <v>#N/A</v>
      </c>
      <c r="Q2382" s="4" t="e">
        <f t="shared" si="186"/>
        <v>#N/A</v>
      </c>
      <c r="R2382" s="4" t="e">
        <f>IF(AND(B2382=1,N2382&gt;'Line Follower'!$C$7,SUM(C2382:K2382)&lt;4),1,0)</f>
        <v>#N/A</v>
      </c>
      <c r="S2382" s="4" t="e">
        <f>IF(AND(L2382=1,N2382&lt;'Line Follower'!$C$6,SUM(C2382:K2382)&lt;4),1,0)</f>
        <v>#N/A</v>
      </c>
      <c r="T2382" s="4" t="e">
        <f t="shared" si="187"/>
        <v>#N/A</v>
      </c>
      <c r="U2382" s="5" t="e">
        <f t="shared" si="188"/>
        <v>#N/A</v>
      </c>
      <c r="V2382" s="23" t="e">
        <f t="shared" si="189"/>
        <v>#N/A</v>
      </c>
    </row>
    <row r="2383" spans="2:22" x14ac:dyDescent="0.25">
      <c r="B2383" s="16">
        <v>0</v>
      </c>
      <c r="C2383" s="7">
        <v>0</v>
      </c>
      <c r="D2383" s="8">
        <v>1</v>
      </c>
      <c r="E2383" s="8">
        <v>1</v>
      </c>
      <c r="F2383" s="8">
        <v>0</v>
      </c>
      <c r="G2383" s="8">
        <v>0</v>
      </c>
      <c r="H2383" s="8">
        <v>1</v>
      </c>
      <c r="I2383" s="8">
        <v>0</v>
      </c>
      <c r="J2383" s="8">
        <v>1</v>
      </c>
      <c r="K2383" s="9">
        <v>0</v>
      </c>
      <c r="L2383" s="10">
        <v>0</v>
      </c>
      <c r="M2383" s="6">
        <v>1</v>
      </c>
      <c r="N2383" s="37" t="e" cm="1">
        <f t="array" ref="N2383">IF(OR(ISNUMBER(FIND(Aux!$D$3:$D$9,_xlfn.TEXTJOIN(,,C2383:K2383)))),NA(),IF(AND(SUM(C2383:F2383,H2383:K2383)=0,G2383=1),0,INT((SUMPRODUCT(C2383:F2383,COLUMN($A$1:$D$1)-1)+SUMPRODUCT(H2383:K2383,COLUMN($E$1:$H$1)-1))*'Line Follower'!$C$3/SUM(C2383:F2383,H2383:K2383)-'Line Follower'!$C$5)))</f>
        <v>#N/A</v>
      </c>
      <c r="O2383" s="22" t="e">
        <v>#N/A</v>
      </c>
      <c r="P2383" s="4" t="e">
        <f t="shared" si="185"/>
        <v>#N/A</v>
      </c>
      <c r="Q2383" s="4" t="e">
        <f t="shared" si="186"/>
        <v>#N/A</v>
      </c>
      <c r="R2383" s="4" t="e">
        <f>IF(AND(B2383=1,N2383&gt;'Line Follower'!$C$7,SUM(C2383:K2383)&lt;4),1,0)</f>
        <v>#N/A</v>
      </c>
      <c r="S2383" s="4" t="e">
        <f>IF(AND(L2383=1,N2383&lt;'Line Follower'!$C$6,SUM(C2383:K2383)&lt;4),1,0)</f>
        <v>#N/A</v>
      </c>
      <c r="T2383" s="4" t="e">
        <f t="shared" si="187"/>
        <v>#N/A</v>
      </c>
      <c r="U2383" s="5" t="e">
        <f t="shared" si="188"/>
        <v>#N/A</v>
      </c>
      <c r="V2383" s="23" t="e">
        <f t="shared" si="189"/>
        <v>#N/A</v>
      </c>
    </row>
    <row r="2384" spans="2:22" x14ac:dyDescent="0.25">
      <c r="B2384" s="16">
        <v>1</v>
      </c>
      <c r="C2384" s="7">
        <v>0</v>
      </c>
      <c r="D2384" s="8">
        <v>1</v>
      </c>
      <c r="E2384" s="8">
        <v>1</v>
      </c>
      <c r="F2384" s="8">
        <v>0</v>
      </c>
      <c r="G2384" s="8">
        <v>0</v>
      </c>
      <c r="H2384" s="8">
        <v>1</v>
      </c>
      <c r="I2384" s="8">
        <v>0</v>
      </c>
      <c r="J2384" s="8">
        <v>1</v>
      </c>
      <c r="K2384" s="9">
        <v>0</v>
      </c>
      <c r="L2384" s="10">
        <v>0</v>
      </c>
      <c r="M2384" s="6">
        <v>1</v>
      </c>
      <c r="N2384" s="37" t="e" cm="1">
        <f t="array" ref="N2384">IF(OR(ISNUMBER(FIND(Aux!$D$3:$D$9,_xlfn.TEXTJOIN(,,C2384:K2384)))),NA(),IF(AND(SUM(C2384:F2384,H2384:K2384)=0,G2384=1),0,INT((SUMPRODUCT(C2384:F2384,COLUMN($A$1:$D$1)-1)+SUMPRODUCT(H2384:K2384,COLUMN($E$1:$H$1)-1))*'Line Follower'!$C$3/SUM(C2384:F2384,H2384:K2384)-'Line Follower'!$C$5)))</f>
        <v>#N/A</v>
      </c>
      <c r="O2384" s="22" t="e">
        <v>#N/A</v>
      </c>
      <c r="P2384" s="4" t="e">
        <f t="shared" si="185"/>
        <v>#N/A</v>
      </c>
      <c r="Q2384" s="4" t="e">
        <f t="shared" si="186"/>
        <v>#N/A</v>
      </c>
      <c r="R2384" s="4" t="e">
        <f>IF(AND(B2384=1,N2384&gt;'Line Follower'!$C$7,SUM(C2384:K2384)&lt;4),1,0)</f>
        <v>#N/A</v>
      </c>
      <c r="S2384" s="4" t="e">
        <f>IF(AND(L2384=1,N2384&lt;'Line Follower'!$C$6,SUM(C2384:K2384)&lt;4),1,0)</f>
        <v>#N/A</v>
      </c>
      <c r="T2384" s="4" t="e">
        <f t="shared" si="187"/>
        <v>#N/A</v>
      </c>
      <c r="U2384" s="5" t="e">
        <f t="shared" si="188"/>
        <v>#N/A</v>
      </c>
      <c r="V2384" s="23" t="e">
        <f t="shared" si="189"/>
        <v>#N/A</v>
      </c>
    </row>
    <row r="2385" spans="2:22" x14ac:dyDescent="0.25">
      <c r="B2385" s="16">
        <v>0</v>
      </c>
      <c r="C2385" s="7">
        <v>1</v>
      </c>
      <c r="D2385" s="8">
        <v>1</v>
      </c>
      <c r="E2385" s="8">
        <v>1</v>
      </c>
      <c r="F2385" s="8">
        <v>0</v>
      </c>
      <c r="G2385" s="8">
        <v>0</v>
      </c>
      <c r="H2385" s="8">
        <v>1</v>
      </c>
      <c r="I2385" s="8">
        <v>0</v>
      </c>
      <c r="J2385" s="8">
        <v>1</v>
      </c>
      <c r="K2385" s="9">
        <v>0</v>
      </c>
      <c r="L2385" s="10">
        <v>0</v>
      </c>
      <c r="M2385" s="6">
        <v>1</v>
      </c>
      <c r="N2385" s="37" t="e" cm="1">
        <f t="array" ref="N2385">IF(OR(ISNUMBER(FIND(Aux!$D$3:$D$9,_xlfn.TEXTJOIN(,,C2385:K2385)))),NA(),IF(AND(SUM(C2385:F2385,H2385:K2385)=0,G2385=1),0,INT((SUMPRODUCT(C2385:F2385,COLUMN($A$1:$D$1)-1)+SUMPRODUCT(H2385:K2385,COLUMN($E$1:$H$1)-1))*'Line Follower'!$C$3/SUM(C2385:F2385,H2385:K2385)-'Line Follower'!$C$5)))</f>
        <v>#N/A</v>
      </c>
      <c r="O2385" s="22" t="e">
        <v>#N/A</v>
      </c>
      <c r="P2385" s="4" t="e">
        <f t="shared" si="185"/>
        <v>#N/A</v>
      </c>
      <c r="Q2385" s="4" t="e">
        <f t="shared" si="186"/>
        <v>#N/A</v>
      </c>
      <c r="R2385" s="4" t="e">
        <f>IF(AND(B2385=1,N2385&gt;'Line Follower'!$C$7,SUM(C2385:K2385)&lt;4),1,0)</f>
        <v>#N/A</v>
      </c>
      <c r="S2385" s="4" t="e">
        <f>IF(AND(L2385=1,N2385&lt;'Line Follower'!$C$6,SUM(C2385:K2385)&lt;4),1,0)</f>
        <v>#N/A</v>
      </c>
      <c r="T2385" s="4" t="e">
        <f t="shared" si="187"/>
        <v>#N/A</v>
      </c>
      <c r="U2385" s="5" t="e">
        <f t="shared" si="188"/>
        <v>#N/A</v>
      </c>
      <c r="V2385" s="23" t="e">
        <f t="shared" si="189"/>
        <v>#N/A</v>
      </c>
    </row>
    <row r="2386" spans="2:22" x14ac:dyDescent="0.25">
      <c r="B2386" s="16">
        <v>1</v>
      </c>
      <c r="C2386" s="7">
        <v>1</v>
      </c>
      <c r="D2386" s="8">
        <v>1</v>
      </c>
      <c r="E2386" s="8">
        <v>1</v>
      </c>
      <c r="F2386" s="8">
        <v>0</v>
      </c>
      <c r="G2386" s="8">
        <v>0</v>
      </c>
      <c r="H2386" s="8">
        <v>1</v>
      </c>
      <c r="I2386" s="8">
        <v>0</v>
      </c>
      <c r="J2386" s="8">
        <v>1</v>
      </c>
      <c r="K2386" s="9">
        <v>0</v>
      </c>
      <c r="L2386" s="10">
        <v>0</v>
      </c>
      <c r="M2386" s="6">
        <v>1</v>
      </c>
      <c r="N2386" s="37" t="e" cm="1">
        <f t="array" ref="N2386">IF(OR(ISNUMBER(FIND(Aux!$D$3:$D$9,_xlfn.TEXTJOIN(,,C2386:K2386)))),NA(),IF(AND(SUM(C2386:F2386,H2386:K2386)=0,G2386=1),0,INT((SUMPRODUCT(C2386:F2386,COLUMN($A$1:$D$1)-1)+SUMPRODUCT(H2386:K2386,COLUMN($E$1:$H$1)-1))*'Line Follower'!$C$3/SUM(C2386:F2386,H2386:K2386)-'Line Follower'!$C$5)))</f>
        <v>#N/A</v>
      </c>
      <c r="O2386" s="22" t="e">
        <v>#N/A</v>
      </c>
      <c r="P2386" s="4" t="e">
        <f t="shared" si="185"/>
        <v>#N/A</v>
      </c>
      <c r="Q2386" s="4" t="e">
        <f t="shared" si="186"/>
        <v>#N/A</v>
      </c>
      <c r="R2386" s="4" t="e">
        <f>IF(AND(B2386=1,N2386&gt;'Line Follower'!$C$7,SUM(C2386:K2386)&lt;4),1,0)</f>
        <v>#N/A</v>
      </c>
      <c r="S2386" s="4" t="e">
        <f>IF(AND(L2386=1,N2386&lt;'Line Follower'!$C$6,SUM(C2386:K2386)&lt;4),1,0)</f>
        <v>#N/A</v>
      </c>
      <c r="T2386" s="4" t="e">
        <f t="shared" si="187"/>
        <v>#N/A</v>
      </c>
      <c r="U2386" s="5" t="e">
        <f t="shared" si="188"/>
        <v>#N/A</v>
      </c>
      <c r="V2386" s="23" t="e">
        <f t="shared" si="189"/>
        <v>#N/A</v>
      </c>
    </row>
    <row r="2387" spans="2:22" x14ac:dyDescent="0.25">
      <c r="B2387" s="16">
        <v>0</v>
      </c>
      <c r="C2387" s="7">
        <v>0</v>
      </c>
      <c r="D2387" s="8">
        <v>0</v>
      </c>
      <c r="E2387" s="8">
        <v>0</v>
      </c>
      <c r="F2387" s="8">
        <v>1</v>
      </c>
      <c r="G2387" s="8">
        <v>0</v>
      </c>
      <c r="H2387" s="8">
        <v>1</v>
      </c>
      <c r="I2387" s="8">
        <v>0</v>
      </c>
      <c r="J2387" s="8">
        <v>1</v>
      </c>
      <c r="K2387" s="9">
        <v>0</v>
      </c>
      <c r="L2387" s="10">
        <v>0</v>
      </c>
      <c r="M2387" s="6">
        <v>1</v>
      </c>
      <c r="N2387" s="37" t="e" cm="1">
        <f t="array" ref="N2387">IF(OR(ISNUMBER(FIND(Aux!$D$3:$D$9,_xlfn.TEXTJOIN(,,C2387:K2387)))),NA(),IF(AND(SUM(C2387:F2387,H2387:K2387)=0,G2387=1),0,INT((SUMPRODUCT(C2387:F2387,COLUMN($A$1:$D$1)-1)+SUMPRODUCT(H2387:K2387,COLUMN($E$1:$H$1)-1))*'Line Follower'!$C$3/SUM(C2387:F2387,H2387:K2387)-'Line Follower'!$C$5)))</f>
        <v>#N/A</v>
      </c>
      <c r="O2387" s="22" t="e">
        <v>#N/A</v>
      </c>
      <c r="P2387" s="4" t="e">
        <f t="shared" si="185"/>
        <v>#N/A</v>
      </c>
      <c r="Q2387" s="4" t="e">
        <f t="shared" si="186"/>
        <v>#N/A</v>
      </c>
      <c r="R2387" s="4" t="e">
        <f>IF(AND(B2387=1,N2387&gt;'Line Follower'!$C$7,SUM(C2387:K2387)&lt;4),1,0)</f>
        <v>#N/A</v>
      </c>
      <c r="S2387" s="4" t="e">
        <f>IF(AND(L2387=1,N2387&lt;'Line Follower'!$C$6,SUM(C2387:K2387)&lt;4),1,0)</f>
        <v>#N/A</v>
      </c>
      <c r="T2387" s="4" t="e">
        <f t="shared" si="187"/>
        <v>#N/A</v>
      </c>
      <c r="U2387" s="5" t="e">
        <f t="shared" si="188"/>
        <v>#N/A</v>
      </c>
      <c r="V2387" s="23" t="e">
        <f t="shared" si="189"/>
        <v>#N/A</v>
      </c>
    </row>
    <row r="2388" spans="2:22" x14ac:dyDescent="0.25">
      <c r="B2388" s="16">
        <v>1</v>
      </c>
      <c r="C2388" s="7">
        <v>0</v>
      </c>
      <c r="D2388" s="8">
        <v>0</v>
      </c>
      <c r="E2388" s="8">
        <v>0</v>
      </c>
      <c r="F2388" s="8">
        <v>1</v>
      </c>
      <c r="G2388" s="8">
        <v>0</v>
      </c>
      <c r="H2388" s="8">
        <v>1</v>
      </c>
      <c r="I2388" s="8">
        <v>0</v>
      </c>
      <c r="J2388" s="8">
        <v>1</v>
      </c>
      <c r="K2388" s="9">
        <v>0</v>
      </c>
      <c r="L2388" s="10">
        <v>0</v>
      </c>
      <c r="M2388" s="6">
        <v>1</v>
      </c>
      <c r="N2388" s="37" t="e" cm="1">
        <f t="array" ref="N2388">IF(OR(ISNUMBER(FIND(Aux!$D$3:$D$9,_xlfn.TEXTJOIN(,,C2388:K2388)))),NA(),IF(AND(SUM(C2388:F2388,H2388:K2388)=0,G2388=1),0,INT((SUMPRODUCT(C2388:F2388,COLUMN($A$1:$D$1)-1)+SUMPRODUCT(H2388:K2388,COLUMN($E$1:$H$1)-1))*'Line Follower'!$C$3/SUM(C2388:F2388,H2388:K2388)-'Line Follower'!$C$5)))</f>
        <v>#N/A</v>
      </c>
      <c r="O2388" s="22" t="e">
        <v>#N/A</v>
      </c>
      <c r="P2388" s="4" t="e">
        <f t="shared" si="185"/>
        <v>#N/A</v>
      </c>
      <c r="Q2388" s="4" t="e">
        <f t="shared" si="186"/>
        <v>#N/A</v>
      </c>
      <c r="R2388" s="4" t="e">
        <f>IF(AND(B2388=1,N2388&gt;'Line Follower'!$C$7,SUM(C2388:K2388)&lt;4),1,0)</f>
        <v>#N/A</v>
      </c>
      <c r="S2388" s="4" t="e">
        <f>IF(AND(L2388=1,N2388&lt;'Line Follower'!$C$6,SUM(C2388:K2388)&lt;4),1,0)</f>
        <v>#N/A</v>
      </c>
      <c r="T2388" s="4" t="e">
        <f t="shared" si="187"/>
        <v>#N/A</v>
      </c>
      <c r="U2388" s="5" t="e">
        <f t="shared" si="188"/>
        <v>#N/A</v>
      </c>
      <c r="V2388" s="23" t="e">
        <f t="shared" si="189"/>
        <v>#N/A</v>
      </c>
    </row>
    <row r="2389" spans="2:22" x14ac:dyDescent="0.25">
      <c r="B2389" s="16">
        <v>0</v>
      </c>
      <c r="C2389" s="7">
        <v>1</v>
      </c>
      <c r="D2389" s="8">
        <v>0</v>
      </c>
      <c r="E2389" s="8">
        <v>0</v>
      </c>
      <c r="F2389" s="8">
        <v>1</v>
      </c>
      <c r="G2389" s="8">
        <v>0</v>
      </c>
      <c r="H2389" s="8">
        <v>1</v>
      </c>
      <c r="I2389" s="8">
        <v>0</v>
      </c>
      <c r="J2389" s="8">
        <v>1</v>
      </c>
      <c r="K2389" s="9">
        <v>0</v>
      </c>
      <c r="L2389" s="10">
        <v>0</v>
      </c>
      <c r="M2389" s="6">
        <v>1</v>
      </c>
      <c r="N2389" s="37" t="e" cm="1">
        <f t="array" ref="N2389">IF(OR(ISNUMBER(FIND(Aux!$D$3:$D$9,_xlfn.TEXTJOIN(,,C2389:K2389)))),NA(),IF(AND(SUM(C2389:F2389,H2389:K2389)=0,G2389=1),0,INT((SUMPRODUCT(C2389:F2389,COLUMN($A$1:$D$1)-1)+SUMPRODUCT(H2389:K2389,COLUMN($E$1:$H$1)-1))*'Line Follower'!$C$3/SUM(C2389:F2389,H2389:K2389)-'Line Follower'!$C$5)))</f>
        <v>#N/A</v>
      </c>
      <c r="O2389" s="22" t="e">
        <v>#N/A</v>
      </c>
      <c r="P2389" s="4" t="e">
        <f t="shared" si="185"/>
        <v>#N/A</v>
      </c>
      <c r="Q2389" s="4" t="e">
        <f t="shared" si="186"/>
        <v>#N/A</v>
      </c>
      <c r="R2389" s="4" t="e">
        <f>IF(AND(B2389=1,N2389&gt;'Line Follower'!$C$7,SUM(C2389:K2389)&lt;4),1,0)</f>
        <v>#N/A</v>
      </c>
      <c r="S2389" s="4" t="e">
        <f>IF(AND(L2389=1,N2389&lt;'Line Follower'!$C$6,SUM(C2389:K2389)&lt;4),1,0)</f>
        <v>#N/A</v>
      </c>
      <c r="T2389" s="4" t="e">
        <f t="shared" si="187"/>
        <v>#N/A</v>
      </c>
      <c r="U2389" s="5" t="e">
        <f t="shared" si="188"/>
        <v>#N/A</v>
      </c>
      <c r="V2389" s="23" t="e">
        <f t="shared" si="189"/>
        <v>#N/A</v>
      </c>
    </row>
    <row r="2390" spans="2:22" x14ac:dyDescent="0.25">
      <c r="B2390" s="16">
        <v>1</v>
      </c>
      <c r="C2390" s="7">
        <v>1</v>
      </c>
      <c r="D2390" s="8">
        <v>0</v>
      </c>
      <c r="E2390" s="8">
        <v>0</v>
      </c>
      <c r="F2390" s="8">
        <v>1</v>
      </c>
      <c r="G2390" s="8">
        <v>0</v>
      </c>
      <c r="H2390" s="8">
        <v>1</v>
      </c>
      <c r="I2390" s="8">
        <v>0</v>
      </c>
      <c r="J2390" s="8">
        <v>1</v>
      </c>
      <c r="K2390" s="9">
        <v>0</v>
      </c>
      <c r="L2390" s="10">
        <v>0</v>
      </c>
      <c r="M2390" s="6">
        <v>1</v>
      </c>
      <c r="N2390" s="37" t="e" cm="1">
        <f t="array" ref="N2390">IF(OR(ISNUMBER(FIND(Aux!$D$3:$D$9,_xlfn.TEXTJOIN(,,C2390:K2390)))),NA(),IF(AND(SUM(C2390:F2390,H2390:K2390)=0,G2390=1),0,INT((SUMPRODUCT(C2390:F2390,COLUMN($A$1:$D$1)-1)+SUMPRODUCT(H2390:K2390,COLUMN($E$1:$H$1)-1))*'Line Follower'!$C$3/SUM(C2390:F2390,H2390:K2390)-'Line Follower'!$C$5)))</f>
        <v>#N/A</v>
      </c>
      <c r="O2390" s="22" t="e">
        <v>#N/A</v>
      </c>
      <c r="P2390" s="4" t="e">
        <f t="shared" si="185"/>
        <v>#N/A</v>
      </c>
      <c r="Q2390" s="4" t="e">
        <f t="shared" si="186"/>
        <v>#N/A</v>
      </c>
      <c r="R2390" s="4" t="e">
        <f>IF(AND(B2390=1,N2390&gt;'Line Follower'!$C$7,SUM(C2390:K2390)&lt;4),1,0)</f>
        <v>#N/A</v>
      </c>
      <c r="S2390" s="4" t="e">
        <f>IF(AND(L2390=1,N2390&lt;'Line Follower'!$C$6,SUM(C2390:K2390)&lt;4),1,0)</f>
        <v>#N/A</v>
      </c>
      <c r="T2390" s="4" t="e">
        <f t="shared" si="187"/>
        <v>#N/A</v>
      </c>
      <c r="U2390" s="5" t="e">
        <f t="shared" si="188"/>
        <v>#N/A</v>
      </c>
      <c r="V2390" s="23" t="e">
        <f t="shared" si="189"/>
        <v>#N/A</v>
      </c>
    </row>
    <row r="2391" spans="2:22" x14ac:dyDescent="0.25">
      <c r="B2391" s="16">
        <v>0</v>
      </c>
      <c r="C2391" s="7">
        <v>0</v>
      </c>
      <c r="D2391" s="8">
        <v>1</v>
      </c>
      <c r="E2391" s="8">
        <v>0</v>
      </c>
      <c r="F2391" s="8">
        <v>1</v>
      </c>
      <c r="G2391" s="8">
        <v>0</v>
      </c>
      <c r="H2391" s="8">
        <v>1</v>
      </c>
      <c r="I2391" s="8">
        <v>0</v>
      </c>
      <c r="J2391" s="8">
        <v>1</v>
      </c>
      <c r="K2391" s="9">
        <v>0</v>
      </c>
      <c r="L2391" s="10">
        <v>0</v>
      </c>
      <c r="M2391" s="6">
        <v>1</v>
      </c>
      <c r="N2391" s="37" t="e" cm="1">
        <f t="array" ref="N2391">IF(OR(ISNUMBER(FIND(Aux!$D$3:$D$9,_xlfn.TEXTJOIN(,,C2391:K2391)))),NA(),IF(AND(SUM(C2391:F2391,H2391:K2391)=0,G2391=1),0,INT((SUMPRODUCT(C2391:F2391,COLUMN($A$1:$D$1)-1)+SUMPRODUCT(H2391:K2391,COLUMN($E$1:$H$1)-1))*'Line Follower'!$C$3/SUM(C2391:F2391,H2391:K2391)-'Line Follower'!$C$5)))</f>
        <v>#N/A</v>
      </c>
      <c r="O2391" s="22" t="e">
        <v>#N/A</v>
      </c>
      <c r="P2391" s="4" t="e">
        <f t="shared" si="185"/>
        <v>#N/A</v>
      </c>
      <c r="Q2391" s="4" t="e">
        <f t="shared" si="186"/>
        <v>#N/A</v>
      </c>
      <c r="R2391" s="4" t="e">
        <f>IF(AND(B2391=1,N2391&gt;'Line Follower'!$C$7,SUM(C2391:K2391)&lt;4),1,0)</f>
        <v>#N/A</v>
      </c>
      <c r="S2391" s="4" t="e">
        <f>IF(AND(L2391=1,N2391&lt;'Line Follower'!$C$6,SUM(C2391:K2391)&lt;4),1,0)</f>
        <v>#N/A</v>
      </c>
      <c r="T2391" s="4" t="e">
        <f t="shared" si="187"/>
        <v>#N/A</v>
      </c>
      <c r="U2391" s="5" t="e">
        <f t="shared" si="188"/>
        <v>#N/A</v>
      </c>
      <c r="V2391" s="23" t="e">
        <f t="shared" si="189"/>
        <v>#N/A</v>
      </c>
    </row>
    <row r="2392" spans="2:22" x14ac:dyDescent="0.25">
      <c r="B2392" s="16">
        <v>1</v>
      </c>
      <c r="C2392" s="7">
        <v>0</v>
      </c>
      <c r="D2392" s="8">
        <v>1</v>
      </c>
      <c r="E2392" s="8">
        <v>0</v>
      </c>
      <c r="F2392" s="8">
        <v>1</v>
      </c>
      <c r="G2392" s="8">
        <v>0</v>
      </c>
      <c r="H2392" s="8">
        <v>1</v>
      </c>
      <c r="I2392" s="8">
        <v>0</v>
      </c>
      <c r="J2392" s="8">
        <v>1</v>
      </c>
      <c r="K2392" s="9">
        <v>0</v>
      </c>
      <c r="L2392" s="10">
        <v>0</v>
      </c>
      <c r="M2392" s="6">
        <v>1</v>
      </c>
      <c r="N2392" s="37" t="e" cm="1">
        <f t="array" ref="N2392">IF(OR(ISNUMBER(FIND(Aux!$D$3:$D$9,_xlfn.TEXTJOIN(,,C2392:K2392)))),NA(),IF(AND(SUM(C2392:F2392,H2392:K2392)=0,G2392=1),0,INT((SUMPRODUCT(C2392:F2392,COLUMN($A$1:$D$1)-1)+SUMPRODUCT(H2392:K2392,COLUMN($E$1:$H$1)-1))*'Line Follower'!$C$3/SUM(C2392:F2392,H2392:K2392)-'Line Follower'!$C$5)))</f>
        <v>#N/A</v>
      </c>
      <c r="O2392" s="22" t="e">
        <v>#N/A</v>
      </c>
      <c r="P2392" s="4" t="e">
        <f t="shared" si="185"/>
        <v>#N/A</v>
      </c>
      <c r="Q2392" s="4" t="e">
        <f t="shared" si="186"/>
        <v>#N/A</v>
      </c>
      <c r="R2392" s="4" t="e">
        <f>IF(AND(B2392=1,N2392&gt;'Line Follower'!$C$7,SUM(C2392:K2392)&lt;4),1,0)</f>
        <v>#N/A</v>
      </c>
      <c r="S2392" s="4" t="e">
        <f>IF(AND(L2392=1,N2392&lt;'Line Follower'!$C$6,SUM(C2392:K2392)&lt;4),1,0)</f>
        <v>#N/A</v>
      </c>
      <c r="T2392" s="4" t="e">
        <f t="shared" si="187"/>
        <v>#N/A</v>
      </c>
      <c r="U2392" s="5" t="e">
        <f t="shared" si="188"/>
        <v>#N/A</v>
      </c>
      <c r="V2392" s="23" t="e">
        <f t="shared" si="189"/>
        <v>#N/A</v>
      </c>
    </row>
    <row r="2393" spans="2:22" x14ac:dyDescent="0.25">
      <c r="B2393" s="16">
        <v>0</v>
      </c>
      <c r="C2393" s="7">
        <v>1</v>
      </c>
      <c r="D2393" s="8">
        <v>1</v>
      </c>
      <c r="E2393" s="8">
        <v>0</v>
      </c>
      <c r="F2393" s="8">
        <v>1</v>
      </c>
      <c r="G2393" s="8">
        <v>0</v>
      </c>
      <c r="H2393" s="8">
        <v>1</v>
      </c>
      <c r="I2393" s="8">
        <v>0</v>
      </c>
      <c r="J2393" s="8">
        <v>1</v>
      </c>
      <c r="K2393" s="9">
        <v>0</v>
      </c>
      <c r="L2393" s="10">
        <v>0</v>
      </c>
      <c r="M2393" s="6">
        <v>1</v>
      </c>
      <c r="N2393" s="37" t="e" cm="1">
        <f t="array" ref="N2393">IF(OR(ISNUMBER(FIND(Aux!$D$3:$D$9,_xlfn.TEXTJOIN(,,C2393:K2393)))),NA(),IF(AND(SUM(C2393:F2393,H2393:K2393)=0,G2393=1),0,INT((SUMPRODUCT(C2393:F2393,COLUMN($A$1:$D$1)-1)+SUMPRODUCT(H2393:K2393,COLUMN($E$1:$H$1)-1))*'Line Follower'!$C$3/SUM(C2393:F2393,H2393:K2393)-'Line Follower'!$C$5)))</f>
        <v>#N/A</v>
      </c>
      <c r="O2393" s="22" t="e">
        <v>#N/A</v>
      </c>
      <c r="P2393" s="4" t="e">
        <f t="shared" si="185"/>
        <v>#N/A</v>
      </c>
      <c r="Q2393" s="4" t="e">
        <f t="shared" si="186"/>
        <v>#N/A</v>
      </c>
      <c r="R2393" s="4" t="e">
        <f>IF(AND(B2393=1,N2393&gt;'Line Follower'!$C$7,SUM(C2393:K2393)&lt;4),1,0)</f>
        <v>#N/A</v>
      </c>
      <c r="S2393" s="4" t="e">
        <f>IF(AND(L2393=1,N2393&lt;'Line Follower'!$C$6,SUM(C2393:K2393)&lt;4),1,0)</f>
        <v>#N/A</v>
      </c>
      <c r="T2393" s="4" t="e">
        <f t="shared" si="187"/>
        <v>#N/A</v>
      </c>
      <c r="U2393" s="5" t="e">
        <f t="shared" si="188"/>
        <v>#N/A</v>
      </c>
      <c r="V2393" s="23" t="e">
        <f t="shared" si="189"/>
        <v>#N/A</v>
      </c>
    </row>
    <row r="2394" spans="2:22" x14ac:dyDescent="0.25">
      <c r="B2394" s="16">
        <v>1</v>
      </c>
      <c r="C2394" s="7">
        <v>1</v>
      </c>
      <c r="D2394" s="8">
        <v>1</v>
      </c>
      <c r="E2394" s="8">
        <v>0</v>
      </c>
      <c r="F2394" s="8">
        <v>1</v>
      </c>
      <c r="G2394" s="8">
        <v>0</v>
      </c>
      <c r="H2394" s="8">
        <v>1</v>
      </c>
      <c r="I2394" s="8">
        <v>0</v>
      </c>
      <c r="J2394" s="8">
        <v>1</v>
      </c>
      <c r="K2394" s="9">
        <v>0</v>
      </c>
      <c r="L2394" s="10">
        <v>0</v>
      </c>
      <c r="M2394" s="6">
        <v>1</v>
      </c>
      <c r="N2394" s="37" t="e" cm="1">
        <f t="array" ref="N2394">IF(OR(ISNUMBER(FIND(Aux!$D$3:$D$9,_xlfn.TEXTJOIN(,,C2394:K2394)))),NA(),IF(AND(SUM(C2394:F2394,H2394:K2394)=0,G2394=1),0,INT((SUMPRODUCT(C2394:F2394,COLUMN($A$1:$D$1)-1)+SUMPRODUCT(H2394:K2394,COLUMN($E$1:$H$1)-1))*'Line Follower'!$C$3/SUM(C2394:F2394,H2394:K2394)-'Line Follower'!$C$5)))</f>
        <v>#N/A</v>
      </c>
      <c r="O2394" s="22" t="e">
        <v>#N/A</v>
      </c>
      <c r="P2394" s="4" t="e">
        <f t="shared" si="185"/>
        <v>#N/A</v>
      </c>
      <c r="Q2394" s="4" t="e">
        <f t="shared" si="186"/>
        <v>#N/A</v>
      </c>
      <c r="R2394" s="4" t="e">
        <f>IF(AND(B2394=1,N2394&gt;'Line Follower'!$C$7,SUM(C2394:K2394)&lt;4),1,0)</f>
        <v>#N/A</v>
      </c>
      <c r="S2394" s="4" t="e">
        <f>IF(AND(L2394=1,N2394&lt;'Line Follower'!$C$6,SUM(C2394:K2394)&lt;4),1,0)</f>
        <v>#N/A</v>
      </c>
      <c r="T2394" s="4" t="e">
        <f t="shared" si="187"/>
        <v>#N/A</v>
      </c>
      <c r="U2394" s="5" t="e">
        <f t="shared" si="188"/>
        <v>#N/A</v>
      </c>
      <c r="V2394" s="23" t="e">
        <f t="shared" si="189"/>
        <v>#N/A</v>
      </c>
    </row>
    <row r="2395" spans="2:22" x14ac:dyDescent="0.25">
      <c r="B2395" s="16">
        <v>0</v>
      </c>
      <c r="C2395" s="7">
        <v>0</v>
      </c>
      <c r="D2395" s="8">
        <v>0</v>
      </c>
      <c r="E2395" s="8">
        <v>1</v>
      </c>
      <c r="F2395" s="8">
        <v>1</v>
      </c>
      <c r="G2395" s="8">
        <v>0</v>
      </c>
      <c r="H2395" s="8">
        <v>1</v>
      </c>
      <c r="I2395" s="8">
        <v>0</v>
      </c>
      <c r="J2395" s="8">
        <v>1</v>
      </c>
      <c r="K2395" s="9">
        <v>0</v>
      </c>
      <c r="L2395" s="10">
        <v>0</v>
      </c>
      <c r="M2395" s="6">
        <v>1</v>
      </c>
      <c r="N2395" s="37" t="e" cm="1">
        <f t="array" ref="N2395">IF(OR(ISNUMBER(FIND(Aux!$D$3:$D$9,_xlfn.TEXTJOIN(,,C2395:K2395)))),NA(),IF(AND(SUM(C2395:F2395,H2395:K2395)=0,G2395=1),0,INT((SUMPRODUCT(C2395:F2395,COLUMN($A$1:$D$1)-1)+SUMPRODUCT(H2395:K2395,COLUMN($E$1:$H$1)-1))*'Line Follower'!$C$3/SUM(C2395:F2395,H2395:K2395)-'Line Follower'!$C$5)))</f>
        <v>#N/A</v>
      </c>
      <c r="O2395" s="22" t="e">
        <v>#N/A</v>
      </c>
      <c r="P2395" s="4" t="e">
        <f t="shared" si="185"/>
        <v>#N/A</v>
      </c>
      <c r="Q2395" s="4" t="e">
        <f t="shared" si="186"/>
        <v>#N/A</v>
      </c>
      <c r="R2395" s="4" t="e">
        <f>IF(AND(B2395=1,N2395&gt;'Line Follower'!$C$7,SUM(C2395:K2395)&lt;4),1,0)</f>
        <v>#N/A</v>
      </c>
      <c r="S2395" s="4" t="e">
        <f>IF(AND(L2395=1,N2395&lt;'Line Follower'!$C$6,SUM(C2395:K2395)&lt;4),1,0)</f>
        <v>#N/A</v>
      </c>
      <c r="T2395" s="4" t="e">
        <f t="shared" si="187"/>
        <v>#N/A</v>
      </c>
      <c r="U2395" s="5" t="e">
        <f t="shared" si="188"/>
        <v>#N/A</v>
      </c>
      <c r="V2395" s="23" t="e">
        <f t="shared" si="189"/>
        <v>#N/A</v>
      </c>
    </row>
    <row r="2396" spans="2:22" x14ac:dyDescent="0.25">
      <c r="B2396" s="16">
        <v>1</v>
      </c>
      <c r="C2396" s="7">
        <v>0</v>
      </c>
      <c r="D2396" s="8">
        <v>0</v>
      </c>
      <c r="E2396" s="8">
        <v>1</v>
      </c>
      <c r="F2396" s="8">
        <v>1</v>
      </c>
      <c r="G2396" s="8">
        <v>0</v>
      </c>
      <c r="H2396" s="8">
        <v>1</v>
      </c>
      <c r="I2396" s="8">
        <v>0</v>
      </c>
      <c r="J2396" s="8">
        <v>1</v>
      </c>
      <c r="K2396" s="9">
        <v>0</v>
      </c>
      <c r="L2396" s="10">
        <v>0</v>
      </c>
      <c r="M2396" s="6">
        <v>1</v>
      </c>
      <c r="N2396" s="37" t="e" cm="1">
        <f t="array" ref="N2396">IF(OR(ISNUMBER(FIND(Aux!$D$3:$D$9,_xlfn.TEXTJOIN(,,C2396:K2396)))),NA(),IF(AND(SUM(C2396:F2396,H2396:K2396)=0,G2396=1),0,INT((SUMPRODUCT(C2396:F2396,COLUMN($A$1:$D$1)-1)+SUMPRODUCT(H2396:K2396,COLUMN($E$1:$H$1)-1))*'Line Follower'!$C$3/SUM(C2396:F2396,H2396:K2396)-'Line Follower'!$C$5)))</f>
        <v>#N/A</v>
      </c>
      <c r="O2396" s="22" t="e">
        <v>#N/A</v>
      </c>
      <c r="P2396" s="4" t="e">
        <f t="shared" si="185"/>
        <v>#N/A</v>
      </c>
      <c r="Q2396" s="4" t="e">
        <f t="shared" si="186"/>
        <v>#N/A</v>
      </c>
      <c r="R2396" s="4" t="e">
        <f>IF(AND(B2396=1,N2396&gt;'Line Follower'!$C$7,SUM(C2396:K2396)&lt;4),1,0)</f>
        <v>#N/A</v>
      </c>
      <c r="S2396" s="4" t="e">
        <f>IF(AND(L2396=1,N2396&lt;'Line Follower'!$C$6,SUM(C2396:K2396)&lt;4),1,0)</f>
        <v>#N/A</v>
      </c>
      <c r="T2396" s="4" t="e">
        <f t="shared" si="187"/>
        <v>#N/A</v>
      </c>
      <c r="U2396" s="5" t="e">
        <f t="shared" si="188"/>
        <v>#N/A</v>
      </c>
      <c r="V2396" s="23" t="e">
        <f t="shared" si="189"/>
        <v>#N/A</v>
      </c>
    </row>
    <row r="2397" spans="2:22" x14ac:dyDescent="0.25">
      <c r="B2397" s="16">
        <v>0</v>
      </c>
      <c r="C2397" s="7">
        <v>1</v>
      </c>
      <c r="D2397" s="8">
        <v>0</v>
      </c>
      <c r="E2397" s="8">
        <v>1</v>
      </c>
      <c r="F2397" s="8">
        <v>1</v>
      </c>
      <c r="G2397" s="8">
        <v>0</v>
      </c>
      <c r="H2397" s="8">
        <v>1</v>
      </c>
      <c r="I2397" s="8">
        <v>0</v>
      </c>
      <c r="J2397" s="8">
        <v>1</v>
      </c>
      <c r="K2397" s="9">
        <v>0</v>
      </c>
      <c r="L2397" s="10">
        <v>0</v>
      </c>
      <c r="M2397" s="6">
        <v>1</v>
      </c>
      <c r="N2397" s="37" t="e" cm="1">
        <f t="array" ref="N2397">IF(OR(ISNUMBER(FIND(Aux!$D$3:$D$9,_xlfn.TEXTJOIN(,,C2397:K2397)))),NA(),IF(AND(SUM(C2397:F2397,H2397:K2397)=0,G2397=1),0,INT((SUMPRODUCT(C2397:F2397,COLUMN($A$1:$D$1)-1)+SUMPRODUCT(H2397:K2397,COLUMN($E$1:$H$1)-1))*'Line Follower'!$C$3/SUM(C2397:F2397,H2397:K2397)-'Line Follower'!$C$5)))</f>
        <v>#N/A</v>
      </c>
      <c r="O2397" s="22" t="e">
        <v>#N/A</v>
      </c>
      <c r="P2397" s="4" t="e">
        <f t="shared" si="185"/>
        <v>#N/A</v>
      </c>
      <c r="Q2397" s="4" t="e">
        <f t="shared" si="186"/>
        <v>#N/A</v>
      </c>
      <c r="R2397" s="4" t="e">
        <f>IF(AND(B2397=1,N2397&gt;'Line Follower'!$C$7,SUM(C2397:K2397)&lt;4),1,0)</f>
        <v>#N/A</v>
      </c>
      <c r="S2397" s="4" t="e">
        <f>IF(AND(L2397=1,N2397&lt;'Line Follower'!$C$6,SUM(C2397:K2397)&lt;4),1,0)</f>
        <v>#N/A</v>
      </c>
      <c r="T2397" s="4" t="e">
        <f t="shared" si="187"/>
        <v>#N/A</v>
      </c>
      <c r="U2397" s="5" t="e">
        <f t="shared" si="188"/>
        <v>#N/A</v>
      </c>
      <c r="V2397" s="23" t="e">
        <f t="shared" si="189"/>
        <v>#N/A</v>
      </c>
    </row>
    <row r="2398" spans="2:22" x14ac:dyDescent="0.25">
      <c r="B2398" s="16">
        <v>1</v>
      </c>
      <c r="C2398" s="7">
        <v>1</v>
      </c>
      <c r="D2398" s="8">
        <v>0</v>
      </c>
      <c r="E2398" s="8">
        <v>1</v>
      </c>
      <c r="F2398" s="8">
        <v>1</v>
      </c>
      <c r="G2398" s="8">
        <v>0</v>
      </c>
      <c r="H2398" s="8">
        <v>1</v>
      </c>
      <c r="I2398" s="8">
        <v>0</v>
      </c>
      <c r="J2398" s="8">
        <v>1</v>
      </c>
      <c r="K2398" s="9">
        <v>0</v>
      </c>
      <c r="L2398" s="10">
        <v>0</v>
      </c>
      <c r="M2398" s="6">
        <v>1</v>
      </c>
      <c r="N2398" s="37" t="e" cm="1">
        <f t="array" ref="N2398">IF(OR(ISNUMBER(FIND(Aux!$D$3:$D$9,_xlfn.TEXTJOIN(,,C2398:K2398)))),NA(),IF(AND(SUM(C2398:F2398,H2398:K2398)=0,G2398=1),0,INT((SUMPRODUCT(C2398:F2398,COLUMN($A$1:$D$1)-1)+SUMPRODUCT(H2398:K2398,COLUMN($E$1:$H$1)-1))*'Line Follower'!$C$3/SUM(C2398:F2398,H2398:K2398)-'Line Follower'!$C$5)))</f>
        <v>#N/A</v>
      </c>
      <c r="O2398" s="22" t="e">
        <v>#N/A</v>
      </c>
      <c r="P2398" s="4" t="e">
        <f t="shared" si="185"/>
        <v>#N/A</v>
      </c>
      <c r="Q2398" s="4" t="e">
        <f t="shared" si="186"/>
        <v>#N/A</v>
      </c>
      <c r="R2398" s="4" t="e">
        <f>IF(AND(B2398=1,N2398&gt;'Line Follower'!$C$7,SUM(C2398:K2398)&lt;4),1,0)</f>
        <v>#N/A</v>
      </c>
      <c r="S2398" s="4" t="e">
        <f>IF(AND(L2398=1,N2398&lt;'Line Follower'!$C$6,SUM(C2398:K2398)&lt;4),1,0)</f>
        <v>#N/A</v>
      </c>
      <c r="T2398" s="4" t="e">
        <f t="shared" si="187"/>
        <v>#N/A</v>
      </c>
      <c r="U2398" s="5" t="e">
        <f t="shared" si="188"/>
        <v>#N/A</v>
      </c>
      <c r="V2398" s="23" t="e">
        <f t="shared" si="189"/>
        <v>#N/A</v>
      </c>
    </row>
    <row r="2399" spans="2:22" x14ac:dyDescent="0.25">
      <c r="B2399" s="16">
        <v>0</v>
      </c>
      <c r="C2399" s="7">
        <v>0</v>
      </c>
      <c r="D2399" s="8">
        <v>1</v>
      </c>
      <c r="E2399" s="8">
        <v>1</v>
      </c>
      <c r="F2399" s="8">
        <v>1</v>
      </c>
      <c r="G2399" s="8">
        <v>0</v>
      </c>
      <c r="H2399" s="8">
        <v>1</v>
      </c>
      <c r="I2399" s="8">
        <v>0</v>
      </c>
      <c r="J2399" s="8">
        <v>1</v>
      </c>
      <c r="K2399" s="9">
        <v>0</v>
      </c>
      <c r="L2399" s="10">
        <v>0</v>
      </c>
      <c r="M2399" s="6">
        <v>1</v>
      </c>
      <c r="N2399" s="37" t="e" cm="1">
        <f t="array" ref="N2399">IF(OR(ISNUMBER(FIND(Aux!$D$3:$D$9,_xlfn.TEXTJOIN(,,C2399:K2399)))),NA(),IF(AND(SUM(C2399:F2399,H2399:K2399)=0,G2399=1),0,INT((SUMPRODUCT(C2399:F2399,COLUMN($A$1:$D$1)-1)+SUMPRODUCT(H2399:K2399,COLUMN($E$1:$H$1)-1))*'Line Follower'!$C$3/SUM(C2399:F2399,H2399:K2399)-'Line Follower'!$C$5)))</f>
        <v>#N/A</v>
      </c>
      <c r="O2399" s="22" t="e">
        <v>#N/A</v>
      </c>
      <c r="P2399" s="4" t="e">
        <f t="shared" si="185"/>
        <v>#N/A</v>
      </c>
      <c r="Q2399" s="4" t="e">
        <f t="shared" si="186"/>
        <v>#N/A</v>
      </c>
      <c r="R2399" s="4" t="e">
        <f>IF(AND(B2399=1,N2399&gt;'Line Follower'!$C$7,SUM(C2399:K2399)&lt;4),1,0)</f>
        <v>#N/A</v>
      </c>
      <c r="S2399" s="4" t="e">
        <f>IF(AND(L2399=1,N2399&lt;'Line Follower'!$C$6,SUM(C2399:K2399)&lt;4),1,0)</f>
        <v>#N/A</v>
      </c>
      <c r="T2399" s="4" t="e">
        <f t="shared" si="187"/>
        <v>#N/A</v>
      </c>
      <c r="U2399" s="5" t="e">
        <f t="shared" si="188"/>
        <v>#N/A</v>
      </c>
      <c r="V2399" s="23" t="e">
        <f t="shared" si="189"/>
        <v>#N/A</v>
      </c>
    </row>
    <row r="2400" spans="2:22" x14ac:dyDescent="0.25">
      <c r="B2400" s="16">
        <v>1</v>
      </c>
      <c r="C2400" s="7">
        <v>0</v>
      </c>
      <c r="D2400" s="8">
        <v>1</v>
      </c>
      <c r="E2400" s="8">
        <v>1</v>
      </c>
      <c r="F2400" s="8">
        <v>1</v>
      </c>
      <c r="G2400" s="8">
        <v>0</v>
      </c>
      <c r="H2400" s="8">
        <v>1</v>
      </c>
      <c r="I2400" s="8">
        <v>0</v>
      </c>
      <c r="J2400" s="8">
        <v>1</v>
      </c>
      <c r="K2400" s="9">
        <v>0</v>
      </c>
      <c r="L2400" s="10">
        <v>0</v>
      </c>
      <c r="M2400" s="6">
        <v>1</v>
      </c>
      <c r="N2400" s="37" t="e" cm="1">
        <f t="array" ref="N2400">IF(OR(ISNUMBER(FIND(Aux!$D$3:$D$9,_xlfn.TEXTJOIN(,,C2400:K2400)))),NA(),IF(AND(SUM(C2400:F2400,H2400:K2400)=0,G2400=1),0,INT((SUMPRODUCT(C2400:F2400,COLUMN($A$1:$D$1)-1)+SUMPRODUCT(H2400:K2400,COLUMN($E$1:$H$1)-1))*'Line Follower'!$C$3/SUM(C2400:F2400,H2400:K2400)-'Line Follower'!$C$5)))</f>
        <v>#N/A</v>
      </c>
      <c r="O2400" s="22" t="e">
        <v>#N/A</v>
      </c>
      <c r="P2400" s="4" t="e">
        <f t="shared" si="185"/>
        <v>#N/A</v>
      </c>
      <c r="Q2400" s="4" t="e">
        <f t="shared" si="186"/>
        <v>#N/A</v>
      </c>
      <c r="R2400" s="4" t="e">
        <f>IF(AND(B2400=1,N2400&gt;'Line Follower'!$C$7,SUM(C2400:K2400)&lt;4),1,0)</f>
        <v>#N/A</v>
      </c>
      <c r="S2400" s="4" t="e">
        <f>IF(AND(L2400=1,N2400&lt;'Line Follower'!$C$6,SUM(C2400:K2400)&lt;4),1,0)</f>
        <v>#N/A</v>
      </c>
      <c r="T2400" s="4" t="e">
        <f t="shared" si="187"/>
        <v>#N/A</v>
      </c>
      <c r="U2400" s="5" t="e">
        <f t="shared" si="188"/>
        <v>#N/A</v>
      </c>
      <c r="V2400" s="23" t="e">
        <f t="shared" si="189"/>
        <v>#N/A</v>
      </c>
    </row>
    <row r="2401" spans="2:22" x14ac:dyDescent="0.25">
      <c r="B2401" s="16">
        <v>0</v>
      </c>
      <c r="C2401" s="7">
        <v>1</v>
      </c>
      <c r="D2401" s="8">
        <v>1</v>
      </c>
      <c r="E2401" s="8">
        <v>1</v>
      </c>
      <c r="F2401" s="8">
        <v>1</v>
      </c>
      <c r="G2401" s="8">
        <v>0</v>
      </c>
      <c r="H2401" s="8">
        <v>1</v>
      </c>
      <c r="I2401" s="8">
        <v>0</v>
      </c>
      <c r="J2401" s="8">
        <v>1</v>
      </c>
      <c r="K2401" s="9">
        <v>0</v>
      </c>
      <c r="L2401" s="10">
        <v>0</v>
      </c>
      <c r="M2401" s="6">
        <v>1</v>
      </c>
      <c r="N2401" s="37" t="e" cm="1">
        <f t="array" ref="N2401">IF(OR(ISNUMBER(FIND(Aux!$D$3:$D$9,_xlfn.TEXTJOIN(,,C2401:K2401)))),NA(),IF(AND(SUM(C2401:F2401,H2401:K2401)=0,G2401=1),0,INT((SUMPRODUCT(C2401:F2401,COLUMN($A$1:$D$1)-1)+SUMPRODUCT(H2401:K2401,COLUMN($E$1:$H$1)-1))*'Line Follower'!$C$3/SUM(C2401:F2401,H2401:K2401)-'Line Follower'!$C$5)))</f>
        <v>#N/A</v>
      </c>
      <c r="O2401" s="22" t="e">
        <v>#N/A</v>
      </c>
      <c r="P2401" s="4" t="e">
        <f t="shared" si="185"/>
        <v>#N/A</v>
      </c>
      <c r="Q2401" s="4" t="e">
        <f t="shared" si="186"/>
        <v>#N/A</v>
      </c>
      <c r="R2401" s="4" t="e">
        <f>IF(AND(B2401=1,N2401&gt;'Line Follower'!$C$7,SUM(C2401:K2401)&lt;4),1,0)</f>
        <v>#N/A</v>
      </c>
      <c r="S2401" s="4" t="e">
        <f>IF(AND(L2401=1,N2401&lt;'Line Follower'!$C$6,SUM(C2401:K2401)&lt;4),1,0)</f>
        <v>#N/A</v>
      </c>
      <c r="T2401" s="4" t="e">
        <f t="shared" si="187"/>
        <v>#N/A</v>
      </c>
      <c r="U2401" s="5" t="e">
        <f t="shared" si="188"/>
        <v>#N/A</v>
      </c>
      <c r="V2401" s="23" t="e">
        <f t="shared" si="189"/>
        <v>#N/A</v>
      </c>
    </row>
    <row r="2402" spans="2:22" x14ac:dyDescent="0.25">
      <c r="B2402" s="16">
        <v>1</v>
      </c>
      <c r="C2402" s="7">
        <v>1</v>
      </c>
      <c r="D2402" s="8">
        <v>1</v>
      </c>
      <c r="E2402" s="8">
        <v>1</v>
      </c>
      <c r="F2402" s="8">
        <v>1</v>
      </c>
      <c r="G2402" s="8">
        <v>0</v>
      </c>
      <c r="H2402" s="8">
        <v>1</v>
      </c>
      <c r="I2402" s="8">
        <v>0</v>
      </c>
      <c r="J2402" s="8">
        <v>1</v>
      </c>
      <c r="K2402" s="9">
        <v>0</v>
      </c>
      <c r="L2402" s="10">
        <v>0</v>
      </c>
      <c r="M2402" s="6">
        <v>1</v>
      </c>
      <c r="N2402" s="37" t="e" cm="1">
        <f t="array" ref="N2402">IF(OR(ISNUMBER(FIND(Aux!$D$3:$D$9,_xlfn.TEXTJOIN(,,C2402:K2402)))),NA(),IF(AND(SUM(C2402:F2402,H2402:K2402)=0,G2402=1),0,INT((SUMPRODUCT(C2402:F2402,COLUMN($A$1:$D$1)-1)+SUMPRODUCT(H2402:K2402,COLUMN($E$1:$H$1)-1))*'Line Follower'!$C$3/SUM(C2402:F2402,H2402:K2402)-'Line Follower'!$C$5)))</f>
        <v>#N/A</v>
      </c>
      <c r="O2402" s="22" t="e">
        <v>#N/A</v>
      </c>
      <c r="P2402" s="4" t="e">
        <f t="shared" si="185"/>
        <v>#N/A</v>
      </c>
      <c r="Q2402" s="4" t="e">
        <f t="shared" si="186"/>
        <v>#N/A</v>
      </c>
      <c r="R2402" s="4" t="e">
        <f>IF(AND(B2402=1,N2402&gt;'Line Follower'!$C$7,SUM(C2402:K2402)&lt;4),1,0)</f>
        <v>#N/A</v>
      </c>
      <c r="S2402" s="4" t="e">
        <f>IF(AND(L2402=1,N2402&lt;'Line Follower'!$C$6,SUM(C2402:K2402)&lt;4),1,0)</f>
        <v>#N/A</v>
      </c>
      <c r="T2402" s="4" t="e">
        <f t="shared" si="187"/>
        <v>#N/A</v>
      </c>
      <c r="U2402" s="5" t="e">
        <f t="shared" si="188"/>
        <v>#N/A</v>
      </c>
      <c r="V2402" s="23" t="e">
        <f t="shared" si="189"/>
        <v>#N/A</v>
      </c>
    </row>
    <row r="2403" spans="2:22" x14ac:dyDescent="0.25">
      <c r="B2403" s="16">
        <v>0</v>
      </c>
      <c r="C2403" s="7">
        <v>0</v>
      </c>
      <c r="D2403" s="8">
        <v>0</v>
      </c>
      <c r="E2403" s="8">
        <v>0</v>
      </c>
      <c r="F2403" s="8">
        <v>0</v>
      </c>
      <c r="G2403" s="8">
        <v>1</v>
      </c>
      <c r="H2403" s="8">
        <v>1</v>
      </c>
      <c r="I2403" s="8">
        <v>0</v>
      </c>
      <c r="J2403" s="8">
        <v>1</v>
      </c>
      <c r="K2403" s="9">
        <v>0</v>
      </c>
      <c r="L2403" s="10">
        <v>0</v>
      </c>
      <c r="M2403" s="6">
        <v>1</v>
      </c>
      <c r="N2403" s="37" t="e" cm="1">
        <f t="array" ref="N2403">IF(OR(ISNUMBER(FIND(Aux!$D$3:$D$9,_xlfn.TEXTJOIN(,,C2403:K2403)))),NA(),IF(AND(SUM(C2403:F2403,H2403:K2403)=0,G2403=1),0,INT((SUMPRODUCT(C2403:F2403,COLUMN($A$1:$D$1)-1)+SUMPRODUCT(H2403:K2403,COLUMN($E$1:$H$1)-1))*'Line Follower'!$C$3/SUM(C2403:F2403,H2403:K2403)-'Line Follower'!$C$5)))</f>
        <v>#N/A</v>
      </c>
      <c r="O2403" s="22" t="e">
        <v>#N/A</v>
      </c>
      <c r="P2403" s="4" t="e">
        <f t="shared" si="185"/>
        <v>#N/A</v>
      </c>
      <c r="Q2403" s="4" t="e">
        <f t="shared" si="186"/>
        <v>#N/A</v>
      </c>
      <c r="R2403" s="4" t="e">
        <f>IF(AND(B2403=1,N2403&gt;'Line Follower'!$C$7,SUM(C2403:K2403)&lt;4),1,0)</f>
        <v>#N/A</v>
      </c>
      <c r="S2403" s="4" t="e">
        <f>IF(AND(L2403=1,N2403&lt;'Line Follower'!$C$6,SUM(C2403:K2403)&lt;4),1,0)</f>
        <v>#N/A</v>
      </c>
      <c r="T2403" s="4" t="e">
        <f t="shared" si="187"/>
        <v>#N/A</v>
      </c>
      <c r="U2403" s="5" t="e">
        <f t="shared" si="188"/>
        <v>#N/A</v>
      </c>
      <c r="V2403" s="23" t="e">
        <f t="shared" si="189"/>
        <v>#N/A</v>
      </c>
    </row>
    <row r="2404" spans="2:22" x14ac:dyDescent="0.25">
      <c r="B2404" s="16">
        <v>1</v>
      </c>
      <c r="C2404" s="7">
        <v>0</v>
      </c>
      <c r="D2404" s="8">
        <v>0</v>
      </c>
      <c r="E2404" s="8">
        <v>0</v>
      </c>
      <c r="F2404" s="8">
        <v>0</v>
      </c>
      <c r="G2404" s="8">
        <v>1</v>
      </c>
      <c r="H2404" s="8">
        <v>1</v>
      </c>
      <c r="I2404" s="8">
        <v>0</v>
      </c>
      <c r="J2404" s="8">
        <v>1</v>
      </c>
      <c r="K2404" s="9">
        <v>0</v>
      </c>
      <c r="L2404" s="10">
        <v>0</v>
      </c>
      <c r="M2404" s="6">
        <v>1</v>
      </c>
      <c r="N2404" s="37" t="e" cm="1">
        <f t="array" ref="N2404">IF(OR(ISNUMBER(FIND(Aux!$D$3:$D$9,_xlfn.TEXTJOIN(,,C2404:K2404)))),NA(),IF(AND(SUM(C2404:F2404,H2404:K2404)=0,G2404=1),0,INT((SUMPRODUCT(C2404:F2404,COLUMN($A$1:$D$1)-1)+SUMPRODUCT(H2404:K2404,COLUMN($E$1:$H$1)-1))*'Line Follower'!$C$3/SUM(C2404:F2404,H2404:K2404)-'Line Follower'!$C$5)))</f>
        <v>#N/A</v>
      </c>
      <c r="O2404" s="22" t="e">
        <v>#N/A</v>
      </c>
      <c r="P2404" s="4" t="e">
        <f t="shared" si="185"/>
        <v>#N/A</v>
      </c>
      <c r="Q2404" s="4" t="e">
        <f t="shared" si="186"/>
        <v>#N/A</v>
      </c>
      <c r="R2404" s="4" t="e">
        <f>IF(AND(B2404=1,N2404&gt;'Line Follower'!$C$7,SUM(C2404:K2404)&lt;4),1,0)</f>
        <v>#N/A</v>
      </c>
      <c r="S2404" s="4" t="e">
        <f>IF(AND(L2404=1,N2404&lt;'Line Follower'!$C$6,SUM(C2404:K2404)&lt;4),1,0)</f>
        <v>#N/A</v>
      </c>
      <c r="T2404" s="4" t="e">
        <f t="shared" si="187"/>
        <v>#N/A</v>
      </c>
      <c r="U2404" s="5" t="e">
        <f t="shared" si="188"/>
        <v>#N/A</v>
      </c>
      <c r="V2404" s="23" t="e">
        <f t="shared" si="189"/>
        <v>#N/A</v>
      </c>
    </row>
    <row r="2405" spans="2:22" x14ac:dyDescent="0.25">
      <c r="B2405" s="16">
        <v>0</v>
      </c>
      <c r="C2405" s="7">
        <v>1</v>
      </c>
      <c r="D2405" s="8">
        <v>0</v>
      </c>
      <c r="E2405" s="8">
        <v>0</v>
      </c>
      <c r="F2405" s="8">
        <v>0</v>
      </c>
      <c r="G2405" s="8">
        <v>1</v>
      </c>
      <c r="H2405" s="8">
        <v>1</v>
      </c>
      <c r="I2405" s="8">
        <v>0</v>
      </c>
      <c r="J2405" s="8">
        <v>1</v>
      </c>
      <c r="K2405" s="9">
        <v>0</v>
      </c>
      <c r="L2405" s="10">
        <v>0</v>
      </c>
      <c r="M2405" s="6">
        <v>1</v>
      </c>
      <c r="N2405" s="37" t="e" cm="1">
        <f t="array" ref="N2405">IF(OR(ISNUMBER(FIND(Aux!$D$3:$D$9,_xlfn.TEXTJOIN(,,C2405:K2405)))),NA(),IF(AND(SUM(C2405:F2405,H2405:K2405)=0,G2405=1),0,INT((SUMPRODUCT(C2405:F2405,COLUMN($A$1:$D$1)-1)+SUMPRODUCT(H2405:K2405,COLUMN($E$1:$H$1)-1))*'Line Follower'!$C$3/SUM(C2405:F2405,H2405:K2405)-'Line Follower'!$C$5)))</f>
        <v>#N/A</v>
      </c>
      <c r="O2405" s="22" t="e">
        <v>#N/A</v>
      </c>
      <c r="P2405" s="4" t="e">
        <f t="shared" si="185"/>
        <v>#N/A</v>
      </c>
      <c r="Q2405" s="4" t="e">
        <f t="shared" si="186"/>
        <v>#N/A</v>
      </c>
      <c r="R2405" s="4" t="e">
        <f>IF(AND(B2405=1,N2405&gt;'Line Follower'!$C$7,SUM(C2405:K2405)&lt;4),1,0)</f>
        <v>#N/A</v>
      </c>
      <c r="S2405" s="4" t="e">
        <f>IF(AND(L2405=1,N2405&lt;'Line Follower'!$C$6,SUM(C2405:K2405)&lt;4),1,0)</f>
        <v>#N/A</v>
      </c>
      <c r="T2405" s="4" t="e">
        <f t="shared" si="187"/>
        <v>#N/A</v>
      </c>
      <c r="U2405" s="5" t="e">
        <f t="shared" si="188"/>
        <v>#N/A</v>
      </c>
      <c r="V2405" s="23" t="e">
        <f t="shared" si="189"/>
        <v>#N/A</v>
      </c>
    </row>
    <row r="2406" spans="2:22" x14ac:dyDescent="0.25">
      <c r="B2406" s="16">
        <v>1</v>
      </c>
      <c r="C2406" s="7">
        <v>1</v>
      </c>
      <c r="D2406" s="8">
        <v>0</v>
      </c>
      <c r="E2406" s="8">
        <v>0</v>
      </c>
      <c r="F2406" s="8">
        <v>0</v>
      </c>
      <c r="G2406" s="8">
        <v>1</v>
      </c>
      <c r="H2406" s="8">
        <v>1</v>
      </c>
      <c r="I2406" s="8">
        <v>0</v>
      </c>
      <c r="J2406" s="8">
        <v>1</v>
      </c>
      <c r="K2406" s="9">
        <v>0</v>
      </c>
      <c r="L2406" s="10">
        <v>0</v>
      </c>
      <c r="M2406" s="6">
        <v>1</v>
      </c>
      <c r="N2406" s="37" t="e" cm="1">
        <f t="array" ref="N2406">IF(OR(ISNUMBER(FIND(Aux!$D$3:$D$9,_xlfn.TEXTJOIN(,,C2406:K2406)))),NA(),IF(AND(SUM(C2406:F2406,H2406:K2406)=0,G2406=1),0,INT((SUMPRODUCT(C2406:F2406,COLUMN($A$1:$D$1)-1)+SUMPRODUCT(H2406:K2406,COLUMN($E$1:$H$1)-1))*'Line Follower'!$C$3/SUM(C2406:F2406,H2406:K2406)-'Line Follower'!$C$5)))</f>
        <v>#N/A</v>
      </c>
      <c r="O2406" s="22" t="e">
        <v>#N/A</v>
      </c>
      <c r="P2406" s="4" t="e">
        <f t="shared" si="185"/>
        <v>#N/A</v>
      </c>
      <c r="Q2406" s="4" t="e">
        <f t="shared" si="186"/>
        <v>#N/A</v>
      </c>
      <c r="R2406" s="4" t="e">
        <f>IF(AND(B2406=1,N2406&gt;'Line Follower'!$C$7,SUM(C2406:K2406)&lt;4),1,0)</f>
        <v>#N/A</v>
      </c>
      <c r="S2406" s="4" t="e">
        <f>IF(AND(L2406=1,N2406&lt;'Line Follower'!$C$6,SUM(C2406:K2406)&lt;4),1,0)</f>
        <v>#N/A</v>
      </c>
      <c r="T2406" s="4" t="e">
        <f t="shared" si="187"/>
        <v>#N/A</v>
      </c>
      <c r="U2406" s="5" t="e">
        <f t="shared" si="188"/>
        <v>#N/A</v>
      </c>
      <c r="V2406" s="23" t="e">
        <f t="shared" si="189"/>
        <v>#N/A</v>
      </c>
    </row>
    <row r="2407" spans="2:22" x14ac:dyDescent="0.25">
      <c r="B2407" s="16">
        <v>0</v>
      </c>
      <c r="C2407" s="7">
        <v>0</v>
      </c>
      <c r="D2407" s="8">
        <v>1</v>
      </c>
      <c r="E2407" s="8">
        <v>0</v>
      </c>
      <c r="F2407" s="8">
        <v>0</v>
      </c>
      <c r="G2407" s="8">
        <v>1</v>
      </c>
      <c r="H2407" s="8">
        <v>1</v>
      </c>
      <c r="I2407" s="8">
        <v>0</v>
      </c>
      <c r="J2407" s="8">
        <v>1</v>
      </c>
      <c r="K2407" s="9">
        <v>0</v>
      </c>
      <c r="L2407" s="10">
        <v>0</v>
      </c>
      <c r="M2407" s="6">
        <v>1</v>
      </c>
      <c r="N2407" s="37" t="e" cm="1">
        <f t="array" ref="N2407">IF(OR(ISNUMBER(FIND(Aux!$D$3:$D$9,_xlfn.TEXTJOIN(,,C2407:K2407)))),NA(),IF(AND(SUM(C2407:F2407,H2407:K2407)=0,G2407=1),0,INT((SUMPRODUCT(C2407:F2407,COLUMN($A$1:$D$1)-1)+SUMPRODUCT(H2407:K2407,COLUMN($E$1:$H$1)-1))*'Line Follower'!$C$3/SUM(C2407:F2407,H2407:K2407)-'Line Follower'!$C$5)))</f>
        <v>#N/A</v>
      </c>
      <c r="O2407" s="22" t="e">
        <v>#N/A</v>
      </c>
      <c r="P2407" s="4" t="e">
        <f t="shared" si="185"/>
        <v>#N/A</v>
      </c>
      <c r="Q2407" s="4" t="e">
        <f t="shared" si="186"/>
        <v>#N/A</v>
      </c>
      <c r="R2407" s="4" t="e">
        <f>IF(AND(B2407=1,N2407&gt;'Line Follower'!$C$7,SUM(C2407:K2407)&lt;4),1,0)</f>
        <v>#N/A</v>
      </c>
      <c r="S2407" s="4" t="e">
        <f>IF(AND(L2407=1,N2407&lt;'Line Follower'!$C$6,SUM(C2407:K2407)&lt;4),1,0)</f>
        <v>#N/A</v>
      </c>
      <c r="T2407" s="4" t="e">
        <f t="shared" si="187"/>
        <v>#N/A</v>
      </c>
      <c r="U2407" s="5" t="e">
        <f t="shared" si="188"/>
        <v>#N/A</v>
      </c>
      <c r="V2407" s="23" t="e">
        <f t="shared" si="189"/>
        <v>#N/A</v>
      </c>
    </row>
    <row r="2408" spans="2:22" x14ac:dyDescent="0.25">
      <c r="B2408" s="16">
        <v>1</v>
      </c>
      <c r="C2408" s="7">
        <v>0</v>
      </c>
      <c r="D2408" s="8">
        <v>1</v>
      </c>
      <c r="E2408" s="8">
        <v>0</v>
      </c>
      <c r="F2408" s="8">
        <v>0</v>
      </c>
      <c r="G2408" s="8">
        <v>1</v>
      </c>
      <c r="H2408" s="8">
        <v>1</v>
      </c>
      <c r="I2408" s="8">
        <v>0</v>
      </c>
      <c r="J2408" s="8">
        <v>1</v>
      </c>
      <c r="K2408" s="9">
        <v>0</v>
      </c>
      <c r="L2408" s="10">
        <v>0</v>
      </c>
      <c r="M2408" s="6">
        <v>1</v>
      </c>
      <c r="N2408" s="37" t="e" cm="1">
        <f t="array" ref="N2408">IF(OR(ISNUMBER(FIND(Aux!$D$3:$D$9,_xlfn.TEXTJOIN(,,C2408:K2408)))),NA(),IF(AND(SUM(C2408:F2408,H2408:K2408)=0,G2408=1),0,INT((SUMPRODUCT(C2408:F2408,COLUMN($A$1:$D$1)-1)+SUMPRODUCT(H2408:K2408,COLUMN($E$1:$H$1)-1))*'Line Follower'!$C$3/SUM(C2408:F2408,H2408:K2408)-'Line Follower'!$C$5)))</f>
        <v>#N/A</v>
      </c>
      <c r="O2408" s="22" t="e">
        <v>#N/A</v>
      </c>
      <c r="P2408" s="4" t="e">
        <f t="shared" si="185"/>
        <v>#N/A</v>
      </c>
      <c r="Q2408" s="4" t="e">
        <f t="shared" si="186"/>
        <v>#N/A</v>
      </c>
      <c r="R2408" s="4" t="e">
        <f>IF(AND(B2408=1,N2408&gt;'Line Follower'!$C$7,SUM(C2408:K2408)&lt;4),1,0)</f>
        <v>#N/A</v>
      </c>
      <c r="S2408" s="4" t="e">
        <f>IF(AND(L2408=1,N2408&lt;'Line Follower'!$C$6,SUM(C2408:K2408)&lt;4),1,0)</f>
        <v>#N/A</v>
      </c>
      <c r="T2408" s="4" t="e">
        <f t="shared" si="187"/>
        <v>#N/A</v>
      </c>
      <c r="U2408" s="5" t="e">
        <f t="shared" si="188"/>
        <v>#N/A</v>
      </c>
      <c r="V2408" s="23" t="e">
        <f t="shared" si="189"/>
        <v>#N/A</v>
      </c>
    </row>
    <row r="2409" spans="2:22" x14ac:dyDescent="0.25">
      <c r="B2409" s="16">
        <v>0</v>
      </c>
      <c r="C2409" s="7">
        <v>1</v>
      </c>
      <c r="D2409" s="8">
        <v>1</v>
      </c>
      <c r="E2409" s="8">
        <v>0</v>
      </c>
      <c r="F2409" s="8">
        <v>0</v>
      </c>
      <c r="G2409" s="8">
        <v>1</v>
      </c>
      <c r="H2409" s="8">
        <v>1</v>
      </c>
      <c r="I2409" s="8">
        <v>0</v>
      </c>
      <c r="J2409" s="8">
        <v>1</v>
      </c>
      <c r="K2409" s="9">
        <v>0</v>
      </c>
      <c r="L2409" s="10">
        <v>0</v>
      </c>
      <c r="M2409" s="6">
        <v>1</v>
      </c>
      <c r="N2409" s="37" t="e" cm="1">
        <f t="array" ref="N2409">IF(OR(ISNUMBER(FIND(Aux!$D$3:$D$9,_xlfn.TEXTJOIN(,,C2409:K2409)))),NA(),IF(AND(SUM(C2409:F2409,H2409:K2409)=0,G2409=1),0,INT((SUMPRODUCT(C2409:F2409,COLUMN($A$1:$D$1)-1)+SUMPRODUCT(H2409:K2409,COLUMN($E$1:$H$1)-1))*'Line Follower'!$C$3/SUM(C2409:F2409,H2409:K2409)-'Line Follower'!$C$5)))</f>
        <v>#N/A</v>
      </c>
      <c r="O2409" s="22" t="e">
        <v>#N/A</v>
      </c>
      <c r="P2409" s="4" t="e">
        <f t="shared" si="185"/>
        <v>#N/A</v>
      </c>
      <c r="Q2409" s="4" t="e">
        <f t="shared" si="186"/>
        <v>#N/A</v>
      </c>
      <c r="R2409" s="4" t="e">
        <f>IF(AND(B2409=1,N2409&gt;'Line Follower'!$C$7,SUM(C2409:K2409)&lt;4),1,0)</f>
        <v>#N/A</v>
      </c>
      <c r="S2409" s="4" t="e">
        <f>IF(AND(L2409=1,N2409&lt;'Line Follower'!$C$6,SUM(C2409:K2409)&lt;4),1,0)</f>
        <v>#N/A</v>
      </c>
      <c r="T2409" s="4" t="e">
        <f t="shared" si="187"/>
        <v>#N/A</v>
      </c>
      <c r="U2409" s="5" t="e">
        <f t="shared" si="188"/>
        <v>#N/A</v>
      </c>
      <c r="V2409" s="23" t="e">
        <f t="shared" si="189"/>
        <v>#N/A</v>
      </c>
    </row>
    <row r="2410" spans="2:22" x14ac:dyDescent="0.25">
      <c r="B2410" s="16">
        <v>1</v>
      </c>
      <c r="C2410" s="7">
        <v>1</v>
      </c>
      <c r="D2410" s="8">
        <v>1</v>
      </c>
      <c r="E2410" s="8">
        <v>0</v>
      </c>
      <c r="F2410" s="8">
        <v>0</v>
      </c>
      <c r="G2410" s="8">
        <v>1</v>
      </c>
      <c r="H2410" s="8">
        <v>1</v>
      </c>
      <c r="I2410" s="8">
        <v>0</v>
      </c>
      <c r="J2410" s="8">
        <v>1</v>
      </c>
      <c r="K2410" s="9">
        <v>0</v>
      </c>
      <c r="L2410" s="10">
        <v>0</v>
      </c>
      <c r="M2410" s="6">
        <v>1</v>
      </c>
      <c r="N2410" s="37" t="e" cm="1">
        <f t="array" ref="N2410">IF(OR(ISNUMBER(FIND(Aux!$D$3:$D$9,_xlfn.TEXTJOIN(,,C2410:K2410)))),NA(),IF(AND(SUM(C2410:F2410,H2410:K2410)=0,G2410=1),0,INT((SUMPRODUCT(C2410:F2410,COLUMN($A$1:$D$1)-1)+SUMPRODUCT(H2410:K2410,COLUMN($E$1:$H$1)-1))*'Line Follower'!$C$3/SUM(C2410:F2410,H2410:K2410)-'Line Follower'!$C$5)))</f>
        <v>#N/A</v>
      </c>
      <c r="O2410" s="22" t="e">
        <v>#N/A</v>
      </c>
      <c r="P2410" s="4" t="e">
        <f t="shared" si="185"/>
        <v>#N/A</v>
      </c>
      <c r="Q2410" s="4" t="e">
        <f t="shared" si="186"/>
        <v>#N/A</v>
      </c>
      <c r="R2410" s="4" t="e">
        <f>IF(AND(B2410=1,N2410&gt;'Line Follower'!$C$7,SUM(C2410:K2410)&lt;4),1,0)</f>
        <v>#N/A</v>
      </c>
      <c r="S2410" s="4" t="e">
        <f>IF(AND(L2410=1,N2410&lt;'Line Follower'!$C$6,SUM(C2410:K2410)&lt;4),1,0)</f>
        <v>#N/A</v>
      </c>
      <c r="T2410" s="4" t="e">
        <f t="shared" si="187"/>
        <v>#N/A</v>
      </c>
      <c r="U2410" s="5" t="e">
        <f t="shared" si="188"/>
        <v>#N/A</v>
      </c>
      <c r="V2410" s="23" t="e">
        <f t="shared" si="189"/>
        <v>#N/A</v>
      </c>
    </row>
    <row r="2411" spans="2:22" x14ac:dyDescent="0.25">
      <c r="B2411" s="16">
        <v>0</v>
      </c>
      <c r="C2411" s="7">
        <v>0</v>
      </c>
      <c r="D2411" s="8">
        <v>0</v>
      </c>
      <c r="E2411" s="8">
        <v>1</v>
      </c>
      <c r="F2411" s="8">
        <v>0</v>
      </c>
      <c r="G2411" s="8">
        <v>1</v>
      </c>
      <c r="H2411" s="8">
        <v>1</v>
      </c>
      <c r="I2411" s="8">
        <v>0</v>
      </c>
      <c r="J2411" s="8">
        <v>1</v>
      </c>
      <c r="K2411" s="9">
        <v>0</v>
      </c>
      <c r="L2411" s="10">
        <v>0</v>
      </c>
      <c r="M2411" s="6">
        <v>1</v>
      </c>
      <c r="N2411" s="37" t="e" cm="1">
        <f t="array" ref="N2411">IF(OR(ISNUMBER(FIND(Aux!$D$3:$D$9,_xlfn.TEXTJOIN(,,C2411:K2411)))),NA(),IF(AND(SUM(C2411:F2411,H2411:K2411)=0,G2411=1),0,INT((SUMPRODUCT(C2411:F2411,COLUMN($A$1:$D$1)-1)+SUMPRODUCT(H2411:K2411,COLUMN($E$1:$H$1)-1))*'Line Follower'!$C$3/SUM(C2411:F2411,H2411:K2411)-'Line Follower'!$C$5)))</f>
        <v>#N/A</v>
      </c>
      <c r="O2411" s="22" t="e">
        <v>#N/A</v>
      </c>
      <c r="P2411" s="4" t="e">
        <f t="shared" si="185"/>
        <v>#N/A</v>
      </c>
      <c r="Q2411" s="4" t="e">
        <f t="shared" si="186"/>
        <v>#N/A</v>
      </c>
      <c r="R2411" s="4" t="e">
        <f>IF(AND(B2411=1,N2411&gt;'Line Follower'!$C$7,SUM(C2411:K2411)&lt;4),1,0)</f>
        <v>#N/A</v>
      </c>
      <c r="S2411" s="4" t="e">
        <f>IF(AND(L2411=1,N2411&lt;'Line Follower'!$C$6,SUM(C2411:K2411)&lt;4),1,0)</f>
        <v>#N/A</v>
      </c>
      <c r="T2411" s="4" t="e">
        <f t="shared" si="187"/>
        <v>#N/A</v>
      </c>
      <c r="U2411" s="5" t="e">
        <f t="shared" si="188"/>
        <v>#N/A</v>
      </c>
      <c r="V2411" s="23" t="e">
        <f t="shared" si="189"/>
        <v>#N/A</v>
      </c>
    </row>
    <row r="2412" spans="2:22" x14ac:dyDescent="0.25">
      <c r="B2412" s="16">
        <v>1</v>
      </c>
      <c r="C2412" s="7">
        <v>0</v>
      </c>
      <c r="D2412" s="8">
        <v>0</v>
      </c>
      <c r="E2412" s="8">
        <v>1</v>
      </c>
      <c r="F2412" s="8">
        <v>0</v>
      </c>
      <c r="G2412" s="8">
        <v>1</v>
      </c>
      <c r="H2412" s="8">
        <v>1</v>
      </c>
      <c r="I2412" s="8">
        <v>0</v>
      </c>
      <c r="J2412" s="8">
        <v>1</v>
      </c>
      <c r="K2412" s="9">
        <v>0</v>
      </c>
      <c r="L2412" s="10">
        <v>0</v>
      </c>
      <c r="M2412" s="6">
        <v>1</v>
      </c>
      <c r="N2412" s="37" t="e" cm="1">
        <f t="array" ref="N2412">IF(OR(ISNUMBER(FIND(Aux!$D$3:$D$9,_xlfn.TEXTJOIN(,,C2412:K2412)))),NA(),IF(AND(SUM(C2412:F2412,H2412:K2412)=0,G2412=1),0,INT((SUMPRODUCT(C2412:F2412,COLUMN($A$1:$D$1)-1)+SUMPRODUCT(H2412:K2412,COLUMN($E$1:$H$1)-1))*'Line Follower'!$C$3/SUM(C2412:F2412,H2412:K2412)-'Line Follower'!$C$5)))</f>
        <v>#N/A</v>
      </c>
      <c r="O2412" s="22" t="e">
        <v>#N/A</v>
      </c>
      <c r="P2412" s="4" t="e">
        <f t="shared" si="185"/>
        <v>#N/A</v>
      </c>
      <c r="Q2412" s="4" t="e">
        <f t="shared" si="186"/>
        <v>#N/A</v>
      </c>
      <c r="R2412" s="4" t="e">
        <f>IF(AND(B2412=1,N2412&gt;'Line Follower'!$C$7,SUM(C2412:K2412)&lt;4),1,0)</f>
        <v>#N/A</v>
      </c>
      <c r="S2412" s="4" t="e">
        <f>IF(AND(L2412=1,N2412&lt;'Line Follower'!$C$6,SUM(C2412:K2412)&lt;4),1,0)</f>
        <v>#N/A</v>
      </c>
      <c r="T2412" s="4" t="e">
        <f t="shared" si="187"/>
        <v>#N/A</v>
      </c>
      <c r="U2412" s="5" t="e">
        <f t="shared" si="188"/>
        <v>#N/A</v>
      </c>
      <c r="V2412" s="23" t="e">
        <f t="shared" si="189"/>
        <v>#N/A</v>
      </c>
    </row>
    <row r="2413" spans="2:22" x14ac:dyDescent="0.25">
      <c r="B2413" s="16">
        <v>0</v>
      </c>
      <c r="C2413" s="7">
        <v>1</v>
      </c>
      <c r="D2413" s="8">
        <v>0</v>
      </c>
      <c r="E2413" s="8">
        <v>1</v>
      </c>
      <c r="F2413" s="8">
        <v>0</v>
      </c>
      <c r="G2413" s="8">
        <v>1</v>
      </c>
      <c r="H2413" s="8">
        <v>1</v>
      </c>
      <c r="I2413" s="8">
        <v>0</v>
      </c>
      <c r="J2413" s="8">
        <v>1</v>
      </c>
      <c r="K2413" s="9">
        <v>0</v>
      </c>
      <c r="L2413" s="10">
        <v>0</v>
      </c>
      <c r="M2413" s="6">
        <v>1</v>
      </c>
      <c r="N2413" s="37" t="e" cm="1">
        <f t="array" ref="N2413">IF(OR(ISNUMBER(FIND(Aux!$D$3:$D$9,_xlfn.TEXTJOIN(,,C2413:K2413)))),NA(),IF(AND(SUM(C2413:F2413,H2413:K2413)=0,G2413=1),0,INT((SUMPRODUCT(C2413:F2413,COLUMN($A$1:$D$1)-1)+SUMPRODUCT(H2413:K2413,COLUMN($E$1:$H$1)-1))*'Line Follower'!$C$3/SUM(C2413:F2413,H2413:K2413)-'Line Follower'!$C$5)))</f>
        <v>#N/A</v>
      </c>
      <c r="O2413" s="22" t="e">
        <v>#N/A</v>
      </c>
      <c r="P2413" s="4" t="e">
        <f t="shared" si="185"/>
        <v>#N/A</v>
      </c>
      <c r="Q2413" s="4" t="e">
        <f t="shared" si="186"/>
        <v>#N/A</v>
      </c>
      <c r="R2413" s="4" t="e">
        <f>IF(AND(B2413=1,N2413&gt;'Line Follower'!$C$7,SUM(C2413:K2413)&lt;4),1,0)</f>
        <v>#N/A</v>
      </c>
      <c r="S2413" s="4" t="e">
        <f>IF(AND(L2413=1,N2413&lt;'Line Follower'!$C$6,SUM(C2413:K2413)&lt;4),1,0)</f>
        <v>#N/A</v>
      </c>
      <c r="T2413" s="4" t="e">
        <f t="shared" si="187"/>
        <v>#N/A</v>
      </c>
      <c r="U2413" s="5" t="e">
        <f t="shared" si="188"/>
        <v>#N/A</v>
      </c>
      <c r="V2413" s="23" t="e">
        <f t="shared" si="189"/>
        <v>#N/A</v>
      </c>
    </row>
    <row r="2414" spans="2:22" x14ac:dyDescent="0.25">
      <c r="B2414" s="16">
        <v>1</v>
      </c>
      <c r="C2414" s="7">
        <v>1</v>
      </c>
      <c r="D2414" s="8">
        <v>0</v>
      </c>
      <c r="E2414" s="8">
        <v>1</v>
      </c>
      <c r="F2414" s="8">
        <v>0</v>
      </c>
      <c r="G2414" s="8">
        <v>1</v>
      </c>
      <c r="H2414" s="8">
        <v>1</v>
      </c>
      <c r="I2414" s="8">
        <v>0</v>
      </c>
      <c r="J2414" s="8">
        <v>1</v>
      </c>
      <c r="K2414" s="9">
        <v>0</v>
      </c>
      <c r="L2414" s="10">
        <v>0</v>
      </c>
      <c r="M2414" s="6">
        <v>1</v>
      </c>
      <c r="N2414" s="37" t="e" cm="1">
        <f t="array" ref="N2414">IF(OR(ISNUMBER(FIND(Aux!$D$3:$D$9,_xlfn.TEXTJOIN(,,C2414:K2414)))),NA(),IF(AND(SUM(C2414:F2414,H2414:K2414)=0,G2414=1),0,INT((SUMPRODUCT(C2414:F2414,COLUMN($A$1:$D$1)-1)+SUMPRODUCT(H2414:K2414,COLUMN($E$1:$H$1)-1))*'Line Follower'!$C$3/SUM(C2414:F2414,H2414:K2414)-'Line Follower'!$C$5)))</f>
        <v>#N/A</v>
      </c>
      <c r="O2414" s="22" t="e">
        <v>#N/A</v>
      </c>
      <c r="P2414" s="4" t="e">
        <f t="shared" si="185"/>
        <v>#N/A</v>
      </c>
      <c r="Q2414" s="4" t="e">
        <f t="shared" si="186"/>
        <v>#N/A</v>
      </c>
      <c r="R2414" s="4" t="e">
        <f>IF(AND(B2414=1,N2414&gt;'Line Follower'!$C$7,SUM(C2414:K2414)&lt;4),1,0)</f>
        <v>#N/A</v>
      </c>
      <c r="S2414" s="4" t="e">
        <f>IF(AND(L2414=1,N2414&lt;'Line Follower'!$C$6,SUM(C2414:K2414)&lt;4),1,0)</f>
        <v>#N/A</v>
      </c>
      <c r="T2414" s="4" t="e">
        <f t="shared" si="187"/>
        <v>#N/A</v>
      </c>
      <c r="U2414" s="5" t="e">
        <f t="shared" si="188"/>
        <v>#N/A</v>
      </c>
      <c r="V2414" s="23" t="e">
        <f t="shared" si="189"/>
        <v>#N/A</v>
      </c>
    </row>
    <row r="2415" spans="2:22" x14ac:dyDescent="0.25">
      <c r="B2415" s="16">
        <v>0</v>
      </c>
      <c r="C2415" s="7">
        <v>0</v>
      </c>
      <c r="D2415" s="8">
        <v>1</v>
      </c>
      <c r="E2415" s="8">
        <v>1</v>
      </c>
      <c r="F2415" s="8">
        <v>0</v>
      </c>
      <c r="G2415" s="8">
        <v>1</v>
      </c>
      <c r="H2415" s="8">
        <v>1</v>
      </c>
      <c r="I2415" s="8">
        <v>0</v>
      </c>
      <c r="J2415" s="8">
        <v>1</v>
      </c>
      <c r="K2415" s="9">
        <v>0</v>
      </c>
      <c r="L2415" s="10">
        <v>0</v>
      </c>
      <c r="M2415" s="6">
        <v>1</v>
      </c>
      <c r="N2415" s="37" t="e" cm="1">
        <f t="array" ref="N2415">IF(OR(ISNUMBER(FIND(Aux!$D$3:$D$9,_xlfn.TEXTJOIN(,,C2415:K2415)))),NA(),IF(AND(SUM(C2415:F2415,H2415:K2415)=0,G2415=1),0,INT((SUMPRODUCT(C2415:F2415,COLUMN($A$1:$D$1)-1)+SUMPRODUCT(H2415:K2415,COLUMN($E$1:$H$1)-1))*'Line Follower'!$C$3/SUM(C2415:F2415,H2415:K2415)-'Line Follower'!$C$5)))</f>
        <v>#N/A</v>
      </c>
      <c r="O2415" s="22" t="e">
        <v>#N/A</v>
      </c>
      <c r="P2415" s="4" t="e">
        <f t="shared" si="185"/>
        <v>#N/A</v>
      </c>
      <c r="Q2415" s="4" t="e">
        <f t="shared" si="186"/>
        <v>#N/A</v>
      </c>
      <c r="R2415" s="4" t="e">
        <f>IF(AND(B2415=1,N2415&gt;'Line Follower'!$C$7,SUM(C2415:K2415)&lt;4),1,0)</f>
        <v>#N/A</v>
      </c>
      <c r="S2415" s="4" t="e">
        <f>IF(AND(L2415=1,N2415&lt;'Line Follower'!$C$6,SUM(C2415:K2415)&lt;4),1,0)</f>
        <v>#N/A</v>
      </c>
      <c r="T2415" s="4" t="e">
        <f t="shared" si="187"/>
        <v>#N/A</v>
      </c>
      <c r="U2415" s="5" t="e">
        <f t="shared" si="188"/>
        <v>#N/A</v>
      </c>
      <c r="V2415" s="23" t="e">
        <f t="shared" si="189"/>
        <v>#N/A</v>
      </c>
    </row>
    <row r="2416" spans="2:22" x14ac:dyDescent="0.25">
      <c r="B2416" s="16">
        <v>1</v>
      </c>
      <c r="C2416" s="7">
        <v>0</v>
      </c>
      <c r="D2416" s="8">
        <v>1</v>
      </c>
      <c r="E2416" s="8">
        <v>1</v>
      </c>
      <c r="F2416" s="8">
        <v>0</v>
      </c>
      <c r="G2416" s="8">
        <v>1</v>
      </c>
      <c r="H2416" s="8">
        <v>1</v>
      </c>
      <c r="I2416" s="8">
        <v>0</v>
      </c>
      <c r="J2416" s="8">
        <v>1</v>
      </c>
      <c r="K2416" s="9">
        <v>0</v>
      </c>
      <c r="L2416" s="10">
        <v>0</v>
      </c>
      <c r="M2416" s="6">
        <v>1</v>
      </c>
      <c r="N2416" s="37" t="e" cm="1">
        <f t="array" ref="N2416">IF(OR(ISNUMBER(FIND(Aux!$D$3:$D$9,_xlfn.TEXTJOIN(,,C2416:K2416)))),NA(),IF(AND(SUM(C2416:F2416,H2416:K2416)=0,G2416=1),0,INT((SUMPRODUCT(C2416:F2416,COLUMN($A$1:$D$1)-1)+SUMPRODUCT(H2416:K2416,COLUMN($E$1:$H$1)-1))*'Line Follower'!$C$3/SUM(C2416:F2416,H2416:K2416)-'Line Follower'!$C$5)))</f>
        <v>#N/A</v>
      </c>
      <c r="O2416" s="22" t="e">
        <v>#N/A</v>
      </c>
      <c r="P2416" s="4" t="e">
        <f t="shared" si="185"/>
        <v>#N/A</v>
      </c>
      <c r="Q2416" s="4" t="e">
        <f t="shared" si="186"/>
        <v>#N/A</v>
      </c>
      <c r="R2416" s="4" t="e">
        <f>IF(AND(B2416=1,N2416&gt;'Line Follower'!$C$7,SUM(C2416:K2416)&lt;4),1,0)</f>
        <v>#N/A</v>
      </c>
      <c r="S2416" s="4" t="e">
        <f>IF(AND(L2416=1,N2416&lt;'Line Follower'!$C$6,SUM(C2416:K2416)&lt;4),1,0)</f>
        <v>#N/A</v>
      </c>
      <c r="T2416" s="4" t="e">
        <f t="shared" si="187"/>
        <v>#N/A</v>
      </c>
      <c r="U2416" s="5" t="e">
        <f t="shared" si="188"/>
        <v>#N/A</v>
      </c>
      <c r="V2416" s="23" t="e">
        <f t="shared" si="189"/>
        <v>#N/A</v>
      </c>
    </row>
    <row r="2417" spans="2:22" x14ac:dyDescent="0.25">
      <c r="B2417" s="16">
        <v>0</v>
      </c>
      <c r="C2417" s="7">
        <v>1</v>
      </c>
      <c r="D2417" s="8">
        <v>1</v>
      </c>
      <c r="E2417" s="8">
        <v>1</v>
      </c>
      <c r="F2417" s="8">
        <v>0</v>
      </c>
      <c r="G2417" s="8">
        <v>1</v>
      </c>
      <c r="H2417" s="8">
        <v>1</v>
      </c>
      <c r="I2417" s="8">
        <v>0</v>
      </c>
      <c r="J2417" s="8">
        <v>1</v>
      </c>
      <c r="K2417" s="9">
        <v>0</v>
      </c>
      <c r="L2417" s="10">
        <v>0</v>
      </c>
      <c r="M2417" s="6">
        <v>1</v>
      </c>
      <c r="N2417" s="37" t="e" cm="1">
        <f t="array" ref="N2417">IF(OR(ISNUMBER(FIND(Aux!$D$3:$D$9,_xlfn.TEXTJOIN(,,C2417:K2417)))),NA(),IF(AND(SUM(C2417:F2417,H2417:K2417)=0,G2417=1),0,INT((SUMPRODUCT(C2417:F2417,COLUMN($A$1:$D$1)-1)+SUMPRODUCT(H2417:K2417,COLUMN($E$1:$H$1)-1))*'Line Follower'!$C$3/SUM(C2417:F2417,H2417:K2417)-'Line Follower'!$C$5)))</f>
        <v>#N/A</v>
      </c>
      <c r="O2417" s="22" t="e">
        <v>#N/A</v>
      </c>
      <c r="P2417" s="4" t="e">
        <f t="shared" si="185"/>
        <v>#N/A</v>
      </c>
      <c r="Q2417" s="4" t="e">
        <f t="shared" si="186"/>
        <v>#N/A</v>
      </c>
      <c r="R2417" s="4" t="e">
        <f>IF(AND(B2417=1,N2417&gt;'Line Follower'!$C$7,SUM(C2417:K2417)&lt;4),1,0)</f>
        <v>#N/A</v>
      </c>
      <c r="S2417" s="4" t="e">
        <f>IF(AND(L2417=1,N2417&lt;'Line Follower'!$C$6,SUM(C2417:K2417)&lt;4),1,0)</f>
        <v>#N/A</v>
      </c>
      <c r="T2417" s="4" t="e">
        <f t="shared" si="187"/>
        <v>#N/A</v>
      </c>
      <c r="U2417" s="5" t="e">
        <f t="shared" si="188"/>
        <v>#N/A</v>
      </c>
      <c r="V2417" s="23" t="e">
        <f t="shared" si="189"/>
        <v>#N/A</v>
      </c>
    </row>
    <row r="2418" spans="2:22" x14ac:dyDescent="0.25">
      <c r="B2418" s="16">
        <v>1</v>
      </c>
      <c r="C2418" s="7">
        <v>1</v>
      </c>
      <c r="D2418" s="8">
        <v>1</v>
      </c>
      <c r="E2418" s="8">
        <v>1</v>
      </c>
      <c r="F2418" s="8">
        <v>0</v>
      </c>
      <c r="G2418" s="8">
        <v>1</v>
      </c>
      <c r="H2418" s="8">
        <v>1</v>
      </c>
      <c r="I2418" s="8">
        <v>0</v>
      </c>
      <c r="J2418" s="8">
        <v>1</v>
      </c>
      <c r="K2418" s="9">
        <v>0</v>
      </c>
      <c r="L2418" s="10">
        <v>0</v>
      </c>
      <c r="M2418" s="6">
        <v>1</v>
      </c>
      <c r="N2418" s="37" t="e" cm="1">
        <f t="array" ref="N2418">IF(OR(ISNUMBER(FIND(Aux!$D$3:$D$9,_xlfn.TEXTJOIN(,,C2418:K2418)))),NA(),IF(AND(SUM(C2418:F2418,H2418:K2418)=0,G2418=1),0,INT((SUMPRODUCT(C2418:F2418,COLUMN($A$1:$D$1)-1)+SUMPRODUCT(H2418:K2418,COLUMN($E$1:$H$1)-1))*'Line Follower'!$C$3/SUM(C2418:F2418,H2418:K2418)-'Line Follower'!$C$5)))</f>
        <v>#N/A</v>
      </c>
      <c r="O2418" s="22" t="e">
        <v>#N/A</v>
      </c>
      <c r="P2418" s="4" t="e">
        <f t="shared" si="185"/>
        <v>#N/A</v>
      </c>
      <c r="Q2418" s="4" t="e">
        <f t="shared" si="186"/>
        <v>#N/A</v>
      </c>
      <c r="R2418" s="4" t="e">
        <f>IF(AND(B2418=1,N2418&gt;'Line Follower'!$C$7,SUM(C2418:K2418)&lt;4),1,0)</f>
        <v>#N/A</v>
      </c>
      <c r="S2418" s="4" t="e">
        <f>IF(AND(L2418=1,N2418&lt;'Line Follower'!$C$6,SUM(C2418:K2418)&lt;4),1,0)</f>
        <v>#N/A</v>
      </c>
      <c r="T2418" s="4" t="e">
        <f t="shared" si="187"/>
        <v>#N/A</v>
      </c>
      <c r="U2418" s="5" t="e">
        <f t="shared" si="188"/>
        <v>#N/A</v>
      </c>
      <c r="V2418" s="23" t="e">
        <f t="shared" si="189"/>
        <v>#N/A</v>
      </c>
    </row>
    <row r="2419" spans="2:22" x14ac:dyDescent="0.25">
      <c r="B2419" s="16">
        <v>0</v>
      </c>
      <c r="C2419" s="7">
        <v>0</v>
      </c>
      <c r="D2419" s="8">
        <v>0</v>
      </c>
      <c r="E2419" s="8">
        <v>0</v>
      </c>
      <c r="F2419" s="8">
        <v>1</v>
      </c>
      <c r="G2419" s="8">
        <v>1</v>
      </c>
      <c r="H2419" s="8">
        <v>1</v>
      </c>
      <c r="I2419" s="8">
        <v>0</v>
      </c>
      <c r="J2419" s="8">
        <v>1</v>
      </c>
      <c r="K2419" s="9">
        <v>0</v>
      </c>
      <c r="L2419" s="10">
        <v>0</v>
      </c>
      <c r="M2419" s="6">
        <v>1</v>
      </c>
      <c r="N2419" s="37" t="e" cm="1">
        <f t="array" ref="N2419">IF(OR(ISNUMBER(FIND(Aux!$D$3:$D$9,_xlfn.TEXTJOIN(,,C2419:K2419)))),NA(),IF(AND(SUM(C2419:F2419,H2419:K2419)=0,G2419=1),0,INT((SUMPRODUCT(C2419:F2419,COLUMN($A$1:$D$1)-1)+SUMPRODUCT(H2419:K2419,COLUMN($E$1:$H$1)-1))*'Line Follower'!$C$3/SUM(C2419:F2419,H2419:K2419)-'Line Follower'!$C$5)))</f>
        <v>#N/A</v>
      </c>
      <c r="O2419" s="22" t="e">
        <v>#N/A</v>
      </c>
      <c r="P2419" s="4" t="e">
        <f t="shared" si="185"/>
        <v>#N/A</v>
      </c>
      <c r="Q2419" s="4" t="e">
        <f t="shared" si="186"/>
        <v>#N/A</v>
      </c>
      <c r="R2419" s="4" t="e">
        <f>IF(AND(B2419=1,N2419&gt;'Line Follower'!$C$7,SUM(C2419:K2419)&lt;4),1,0)</f>
        <v>#N/A</v>
      </c>
      <c r="S2419" s="4" t="e">
        <f>IF(AND(L2419=1,N2419&lt;'Line Follower'!$C$6,SUM(C2419:K2419)&lt;4),1,0)</f>
        <v>#N/A</v>
      </c>
      <c r="T2419" s="4" t="e">
        <f t="shared" si="187"/>
        <v>#N/A</v>
      </c>
      <c r="U2419" s="5" t="e">
        <f t="shared" si="188"/>
        <v>#N/A</v>
      </c>
      <c r="V2419" s="23" t="e">
        <f t="shared" si="189"/>
        <v>#N/A</v>
      </c>
    </row>
    <row r="2420" spans="2:22" x14ac:dyDescent="0.25">
      <c r="B2420" s="16">
        <v>1</v>
      </c>
      <c r="C2420" s="7">
        <v>0</v>
      </c>
      <c r="D2420" s="8">
        <v>0</v>
      </c>
      <c r="E2420" s="8">
        <v>0</v>
      </c>
      <c r="F2420" s="8">
        <v>1</v>
      </c>
      <c r="G2420" s="8">
        <v>1</v>
      </c>
      <c r="H2420" s="8">
        <v>1</v>
      </c>
      <c r="I2420" s="8">
        <v>0</v>
      </c>
      <c r="J2420" s="8">
        <v>1</v>
      </c>
      <c r="K2420" s="9">
        <v>0</v>
      </c>
      <c r="L2420" s="10">
        <v>0</v>
      </c>
      <c r="M2420" s="6">
        <v>1</v>
      </c>
      <c r="N2420" s="37" t="e" cm="1">
        <f t="array" ref="N2420">IF(OR(ISNUMBER(FIND(Aux!$D$3:$D$9,_xlfn.TEXTJOIN(,,C2420:K2420)))),NA(),IF(AND(SUM(C2420:F2420,H2420:K2420)=0,G2420=1),0,INT((SUMPRODUCT(C2420:F2420,COLUMN($A$1:$D$1)-1)+SUMPRODUCT(H2420:K2420,COLUMN($E$1:$H$1)-1))*'Line Follower'!$C$3/SUM(C2420:F2420,H2420:K2420)-'Line Follower'!$C$5)))</f>
        <v>#N/A</v>
      </c>
      <c r="O2420" s="22" t="e">
        <v>#N/A</v>
      </c>
      <c r="P2420" s="4" t="e">
        <f t="shared" si="185"/>
        <v>#N/A</v>
      </c>
      <c r="Q2420" s="4" t="e">
        <f t="shared" si="186"/>
        <v>#N/A</v>
      </c>
      <c r="R2420" s="4" t="e">
        <f>IF(AND(B2420=1,N2420&gt;'Line Follower'!$C$7,SUM(C2420:K2420)&lt;4),1,0)</f>
        <v>#N/A</v>
      </c>
      <c r="S2420" s="4" t="e">
        <f>IF(AND(L2420=1,N2420&lt;'Line Follower'!$C$6,SUM(C2420:K2420)&lt;4),1,0)</f>
        <v>#N/A</v>
      </c>
      <c r="T2420" s="4" t="e">
        <f t="shared" si="187"/>
        <v>#N/A</v>
      </c>
      <c r="U2420" s="5" t="e">
        <f t="shared" si="188"/>
        <v>#N/A</v>
      </c>
      <c r="V2420" s="23" t="e">
        <f t="shared" si="189"/>
        <v>#N/A</v>
      </c>
    </row>
    <row r="2421" spans="2:22" x14ac:dyDescent="0.25">
      <c r="B2421" s="16">
        <v>0</v>
      </c>
      <c r="C2421" s="7">
        <v>1</v>
      </c>
      <c r="D2421" s="8">
        <v>0</v>
      </c>
      <c r="E2421" s="8">
        <v>0</v>
      </c>
      <c r="F2421" s="8">
        <v>1</v>
      </c>
      <c r="G2421" s="8">
        <v>1</v>
      </c>
      <c r="H2421" s="8">
        <v>1</v>
      </c>
      <c r="I2421" s="8">
        <v>0</v>
      </c>
      <c r="J2421" s="8">
        <v>1</v>
      </c>
      <c r="K2421" s="9">
        <v>0</v>
      </c>
      <c r="L2421" s="10">
        <v>0</v>
      </c>
      <c r="M2421" s="6">
        <v>1</v>
      </c>
      <c r="N2421" s="37" t="e" cm="1">
        <f t="array" ref="N2421">IF(OR(ISNUMBER(FIND(Aux!$D$3:$D$9,_xlfn.TEXTJOIN(,,C2421:K2421)))),NA(),IF(AND(SUM(C2421:F2421,H2421:K2421)=0,G2421=1),0,INT((SUMPRODUCT(C2421:F2421,COLUMN($A$1:$D$1)-1)+SUMPRODUCT(H2421:K2421,COLUMN($E$1:$H$1)-1))*'Line Follower'!$C$3/SUM(C2421:F2421,H2421:K2421)-'Line Follower'!$C$5)))</f>
        <v>#N/A</v>
      </c>
      <c r="O2421" s="22" t="e">
        <v>#N/A</v>
      </c>
      <c r="P2421" s="4" t="e">
        <f t="shared" si="185"/>
        <v>#N/A</v>
      </c>
      <c r="Q2421" s="4" t="e">
        <f t="shared" si="186"/>
        <v>#N/A</v>
      </c>
      <c r="R2421" s="4" t="e">
        <f>IF(AND(B2421=1,N2421&gt;'Line Follower'!$C$7,SUM(C2421:K2421)&lt;4),1,0)</f>
        <v>#N/A</v>
      </c>
      <c r="S2421" s="4" t="e">
        <f>IF(AND(L2421=1,N2421&lt;'Line Follower'!$C$6,SUM(C2421:K2421)&lt;4),1,0)</f>
        <v>#N/A</v>
      </c>
      <c r="T2421" s="4" t="e">
        <f t="shared" si="187"/>
        <v>#N/A</v>
      </c>
      <c r="U2421" s="5" t="e">
        <f t="shared" si="188"/>
        <v>#N/A</v>
      </c>
      <c r="V2421" s="23" t="e">
        <f t="shared" si="189"/>
        <v>#N/A</v>
      </c>
    </row>
    <row r="2422" spans="2:22" x14ac:dyDescent="0.25">
      <c r="B2422" s="16">
        <v>1</v>
      </c>
      <c r="C2422" s="7">
        <v>1</v>
      </c>
      <c r="D2422" s="8">
        <v>0</v>
      </c>
      <c r="E2422" s="8">
        <v>0</v>
      </c>
      <c r="F2422" s="8">
        <v>1</v>
      </c>
      <c r="G2422" s="8">
        <v>1</v>
      </c>
      <c r="H2422" s="8">
        <v>1</v>
      </c>
      <c r="I2422" s="8">
        <v>0</v>
      </c>
      <c r="J2422" s="8">
        <v>1</v>
      </c>
      <c r="K2422" s="9">
        <v>0</v>
      </c>
      <c r="L2422" s="10">
        <v>0</v>
      </c>
      <c r="M2422" s="6">
        <v>1</v>
      </c>
      <c r="N2422" s="37" t="e" cm="1">
        <f t="array" ref="N2422">IF(OR(ISNUMBER(FIND(Aux!$D$3:$D$9,_xlfn.TEXTJOIN(,,C2422:K2422)))),NA(),IF(AND(SUM(C2422:F2422,H2422:K2422)=0,G2422=1),0,INT((SUMPRODUCT(C2422:F2422,COLUMN($A$1:$D$1)-1)+SUMPRODUCT(H2422:K2422,COLUMN($E$1:$H$1)-1))*'Line Follower'!$C$3/SUM(C2422:F2422,H2422:K2422)-'Line Follower'!$C$5)))</f>
        <v>#N/A</v>
      </c>
      <c r="O2422" s="22" t="e">
        <v>#N/A</v>
      </c>
      <c r="P2422" s="4" t="e">
        <f t="shared" si="185"/>
        <v>#N/A</v>
      </c>
      <c r="Q2422" s="4" t="e">
        <f t="shared" si="186"/>
        <v>#N/A</v>
      </c>
      <c r="R2422" s="4" t="e">
        <f>IF(AND(B2422=1,N2422&gt;'Line Follower'!$C$7,SUM(C2422:K2422)&lt;4),1,0)</f>
        <v>#N/A</v>
      </c>
      <c r="S2422" s="4" t="e">
        <f>IF(AND(L2422=1,N2422&lt;'Line Follower'!$C$6,SUM(C2422:K2422)&lt;4),1,0)</f>
        <v>#N/A</v>
      </c>
      <c r="T2422" s="4" t="e">
        <f t="shared" si="187"/>
        <v>#N/A</v>
      </c>
      <c r="U2422" s="5" t="e">
        <f t="shared" si="188"/>
        <v>#N/A</v>
      </c>
      <c r="V2422" s="23" t="e">
        <f t="shared" si="189"/>
        <v>#N/A</v>
      </c>
    </row>
    <row r="2423" spans="2:22" x14ac:dyDescent="0.25">
      <c r="B2423" s="16">
        <v>0</v>
      </c>
      <c r="C2423" s="7">
        <v>0</v>
      </c>
      <c r="D2423" s="8">
        <v>1</v>
      </c>
      <c r="E2423" s="8">
        <v>0</v>
      </c>
      <c r="F2423" s="8">
        <v>1</v>
      </c>
      <c r="G2423" s="8">
        <v>1</v>
      </c>
      <c r="H2423" s="8">
        <v>1</v>
      </c>
      <c r="I2423" s="8">
        <v>0</v>
      </c>
      <c r="J2423" s="8">
        <v>1</v>
      </c>
      <c r="K2423" s="9">
        <v>0</v>
      </c>
      <c r="L2423" s="10">
        <v>0</v>
      </c>
      <c r="M2423" s="6">
        <v>1</v>
      </c>
      <c r="N2423" s="37" t="e" cm="1">
        <f t="array" ref="N2423">IF(OR(ISNUMBER(FIND(Aux!$D$3:$D$9,_xlfn.TEXTJOIN(,,C2423:K2423)))),NA(),IF(AND(SUM(C2423:F2423,H2423:K2423)=0,G2423=1),0,INT((SUMPRODUCT(C2423:F2423,COLUMN($A$1:$D$1)-1)+SUMPRODUCT(H2423:K2423,COLUMN($E$1:$H$1)-1))*'Line Follower'!$C$3/SUM(C2423:F2423,H2423:K2423)-'Line Follower'!$C$5)))</f>
        <v>#N/A</v>
      </c>
      <c r="O2423" s="22" t="e">
        <v>#N/A</v>
      </c>
      <c r="P2423" s="4" t="e">
        <f t="shared" si="185"/>
        <v>#N/A</v>
      </c>
      <c r="Q2423" s="4" t="e">
        <f t="shared" si="186"/>
        <v>#N/A</v>
      </c>
      <c r="R2423" s="4" t="e">
        <f>IF(AND(B2423=1,N2423&gt;'Line Follower'!$C$7,SUM(C2423:K2423)&lt;4),1,0)</f>
        <v>#N/A</v>
      </c>
      <c r="S2423" s="4" t="e">
        <f>IF(AND(L2423=1,N2423&lt;'Line Follower'!$C$6,SUM(C2423:K2423)&lt;4),1,0)</f>
        <v>#N/A</v>
      </c>
      <c r="T2423" s="4" t="e">
        <f t="shared" si="187"/>
        <v>#N/A</v>
      </c>
      <c r="U2423" s="5" t="e">
        <f t="shared" si="188"/>
        <v>#N/A</v>
      </c>
      <c r="V2423" s="23" t="e">
        <f t="shared" si="189"/>
        <v>#N/A</v>
      </c>
    </row>
    <row r="2424" spans="2:22" x14ac:dyDescent="0.25">
      <c r="B2424" s="16">
        <v>1</v>
      </c>
      <c r="C2424" s="7">
        <v>0</v>
      </c>
      <c r="D2424" s="8">
        <v>1</v>
      </c>
      <c r="E2424" s="8">
        <v>0</v>
      </c>
      <c r="F2424" s="8">
        <v>1</v>
      </c>
      <c r="G2424" s="8">
        <v>1</v>
      </c>
      <c r="H2424" s="8">
        <v>1</v>
      </c>
      <c r="I2424" s="8">
        <v>0</v>
      </c>
      <c r="J2424" s="8">
        <v>1</v>
      </c>
      <c r="K2424" s="9">
        <v>0</v>
      </c>
      <c r="L2424" s="10">
        <v>0</v>
      </c>
      <c r="M2424" s="6">
        <v>1</v>
      </c>
      <c r="N2424" s="37" t="e" cm="1">
        <f t="array" ref="N2424">IF(OR(ISNUMBER(FIND(Aux!$D$3:$D$9,_xlfn.TEXTJOIN(,,C2424:K2424)))),NA(),IF(AND(SUM(C2424:F2424,H2424:K2424)=0,G2424=1),0,INT((SUMPRODUCT(C2424:F2424,COLUMN($A$1:$D$1)-1)+SUMPRODUCT(H2424:K2424,COLUMN($E$1:$H$1)-1))*'Line Follower'!$C$3/SUM(C2424:F2424,H2424:K2424)-'Line Follower'!$C$5)))</f>
        <v>#N/A</v>
      </c>
      <c r="O2424" s="22" t="e">
        <v>#N/A</v>
      </c>
      <c r="P2424" s="4" t="e">
        <f t="shared" si="185"/>
        <v>#N/A</v>
      </c>
      <c r="Q2424" s="4" t="e">
        <f t="shared" si="186"/>
        <v>#N/A</v>
      </c>
      <c r="R2424" s="4" t="e">
        <f>IF(AND(B2424=1,N2424&gt;'Line Follower'!$C$7,SUM(C2424:K2424)&lt;4),1,0)</f>
        <v>#N/A</v>
      </c>
      <c r="S2424" s="4" t="e">
        <f>IF(AND(L2424=1,N2424&lt;'Line Follower'!$C$6,SUM(C2424:K2424)&lt;4),1,0)</f>
        <v>#N/A</v>
      </c>
      <c r="T2424" s="4" t="e">
        <f t="shared" si="187"/>
        <v>#N/A</v>
      </c>
      <c r="U2424" s="5" t="e">
        <f t="shared" si="188"/>
        <v>#N/A</v>
      </c>
      <c r="V2424" s="23" t="e">
        <f t="shared" si="189"/>
        <v>#N/A</v>
      </c>
    </row>
    <row r="2425" spans="2:22" x14ac:dyDescent="0.25">
      <c r="B2425" s="16">
        <v>0</v>
      </c>
      <c r="C2425" s="7">
        <v>1</v>
      </c>
      <c r="D2425" s="8">
        <v>1</v>
      </c>
      <c r="E2425" s="8">
        <v>0</v>
      </c>
      <c r="F2425" s="8">
        <v>1</v>
      </c>
      <c r="G2425" s="8">
        <v>1</v>
      </c>
      <c r="H2425" s="8">
        <v>1</v>
      </c>
      <c r="I2425" s="8">
        <v>0</v>
      </c>
      <c r="J2425" s="8">
        <v>1</v>
      </c>
      <c r="K2425" s="9">
        <v>0</v>
      </c>
      <c r="L2425" s="10">
        <v>0</v>
      </c>
      <c r="M2425" s="6">
        <v>1</v>
      </c>
      <c r="N2425" s="37" t="e" cm="1">
        <f t="array" ref="N2425">IF(OR(ISNUMBER(FIND(Aux!$D$3:$D$9,_xlfn.TEXTJOIN(,,C2425:K2425)))),NA(),IF(AND(SUM(C2425:F2425,H2425:K2425)=0,G2425=1),0,INT((SUMPRODUCT(C2425:F2425,COLUMN($A$1:$D$1)-1)+SUMPRODUCT(H2425:K2425,COLUMN($E$1:$H$1)-1))*'Line Follower'!$C$3/SUM(C2425:F2425,H2425:K2425)-'Line Follower'!$C$5)))</f>
        <v>#N/A</v>
      </c>
      <c r="O2425" s="22" t="e">
        <v>#N/A</v>
      </c>
      <c r="P2425" s="4" t="e">
        <f t="shared" si="185"/>
        <v>#N/A</v>
      </c>
      <c r="Q2425" s="4" t="e">
        <f t="shared" si="186"/>
        <v>#N/A</v>
      </c>
      <c r="R2425" s="4" t="e">
        <f>IF(AND(B2425=1,N2425&gt;'Line Follower'!$C$7,SUM(C2425:K2425)&lt;4),1,0)</f>
        <v>#N/A</v>
      </c>
      <c r="S2425" s="4" t="e">
        <f>IF(AND(L2425=1,N2425&lt;'Line Follower'!$C$6,SUM(C2425:K2425)&lt;4),1,0)</f>
        <v>#N/A</v>
      </c>
      <c r="T2425" s="4" t="e">
        <f t="shared" si="187"/>
        <v>#N/A</v>
      </c>
      <c r="U2425" s="5" t="e">
        <f t="shared" si="188"/>
        <v>#N/A</v>
      </c>
      <c r="V2425" s="23" t="e">
        <f t="shared" si="189"/>
        <v>#N/A</v>
      </c>
    </row>
    <row r="2426" spans="2:22" x14ac:dyDescent="0.25">
      <c r="B2426" s="16">
        <v>1</v>
      </c>
      <c r="C2426" s="7">
        <v>1</v>
      </c>
      <c r="D2426" s="8">
        <v>1</v>
      </c>
      <c r="E2426" s="8">
        <v>0</v>
      </c>
      <c r="F2426" s="8">
        <v>1</v>
      </c>
      <c r="G2426" s="8">
        <v>1</v>
      </c>
      <c r="H2426" s="8">
        <v>1</v>
      </c>
      <c r="I2426" s="8">
        <v>0</v>
      </c>
      <c r="J2426" s="8">
        <v>1</v>
      </c>
      <c r="K2426" s="9">
        <v>0</v>
      </c>
      <c r="L2426" s="10">
        <v>0</v>
      </c>
      <c r="M2426" s="6">
        <v>1</v>
      </c>
      <c r="N2426" s="37" t="e" cm="1">
        <f t="array" ref="N2426">IF(OR(ISNUMBER(FIND(Aux!$D$3:$D$9,_xlfn.TEXTJOIN(,,C2426:K2426)))),NA(),IF(AND(SUM(C2426:F2426,H2426:K2426)=0,G2426=1),0,INT((SUMPRODUCT(C2426:F2426,COLUMN($A$1:$D$1)-1)+SUMPRODUCT(H2426:K2426,COLUMN($E$1:$H$1)-1))*'Line Follower'!$C$3/SUM(C2426:F2426,H2426:K2426)-'Line Follower'!$C$5)))</f>
        <v>#N/A</v>
      </c>
      <c r="O2426" s="22" t="e">
        <v>#N/A</v>
      </c>
      <c r="P2426" s="4" t="e">
        <f t="shared" si="185"/>
        <v>#N/A</v>
      </c>
      <c r="Q2426" s="4" t="e">
        <f t="shared" si="186"/>
        <v>#N/A</v>
      </c>
      <c r="R2426" s="4" t="e">
        <f>IF(AND(B2426=1,N2426&gt;'Line Follower'!$C$7,SUM(C2426:K2426)&lt;4),1,0)</f>
        <v>#N/A</v>
      </c>
      <c r="S2426" s="4" t="e">
        <f>IF(AND(L2426=1,N2426&lt;'Line Follower'!$C$6,SUM(C2426:K2426)&lt;4),1,0)</f>
        <v>#N/A</v>
      </c>
      <c r="T2426" s="4" t="e">
        <f t="shared" si="187"/>
        <v>#N/A</v>
      </c>
      <c r="U2426" s="5" t="e">
        <f t="shared" si="188"/>
        <v>#N/A</v>
      </c>
      <c r="V2426" s="23" t="e">
        <f t="shared" si="189"/>
        <v>#N/A</v>
      </c>
    </row>
    <row r="2427" spans="2:22" x14ac:dyDescent="0.25">
      <c r="B2427" s="16">
        <v>0</v>
      </c>
      <c r="C2427" s="7">
        <v>0</v>
      </c>
      <c r="D2427" s="8">
        <v>0</v>
      </c>
      <c r="E2427" s="8">
        <v>1</v>
      </c>
      <c r="F2427" s="8">
        <v>1</v>
      </c>
      <c r="G2427" s="8">
        <v>1</v>
      </c>
      <c r="H2427" s="8">
        <v>1</v>
      </c>
      <c r="I2427" s="8">
        <v>0</v>
      </c>
      <c r="J2427" s="8">
        <v>1</v>
      </c>
      <c r="K2427" s="9">
        <v>0</v>
      </c>
      <c r="L2427" s="10">
        <v>0</v>
      </c>
      <c r="M2427" s="6">
        <v>1</v>
      </c>
      <c r="N2427" s="37" t="e" cm="1">
        <f t="array" ref="N2427">IF(OR(ISNUMBER(FIND(Aux!$D$3:$D$9,_xlfn.TEXTJOIN(,,C2427:K2427)))),NA(),IF(AND(SUM(C2427:F2427,H2427:K2427)=0,G2427=1),0,INT((SUMPRODUCT(C2427:F2427,COLUMN($A$1:$D$1)-1)+SUMPRODUCT(H2427:K2427,COLUMN($E$1:$H$1)-1))*'Line Follower'!$C$3/SUM(C2427:F2427,H2427:K2427)-'Line Follower'!$C$5)))</f>
        <v>#N/A</v>
      </c>
      <c r="O2427" s="22" t="e">
        <v>#N/A</v>
      </c>
      <c r="P2427" s="4" t="e">
        <f t="shared" si="185"/>
        <v>#N/A</v>
      </c>
      <c r="Q2427" s="4" t="e">
        <f t="shared" si="186"/>
        <v>#N/A</v>
      </c>
      <c r="R2427" s="4" t="e">
        <f>IF(AND(B2427=1,N2427&gt;'Line Follower'!$C$7,SUM(C2427:K2427)&lt;4),1,0)</f>
        <v>#N/A</v>
      </c>
      <c r="S2427" s="4" t="e">
        <f>IF(AND(L2427=1,N2427&lt;'Line Follower'!$C$6,SUM(C2427:K2427)&lt;4),1,0)</f>
        <v>#N/A</v>
      </c>
      <c r="T2427" s="4" t="e">
        <f t="shared" si="187"/>
        <v>#N/A</v>
      </c>
      <c r="U2427" s="5" t="e">
        <f t="shared" si="188"/>
        <v>#N/A</v>
      </c>
      <c r="V2427" s="23" t="e">
        <f t="shared" si="189"/>
        <v>#N/A</v>
      </c>
    </row>
    <row r="2428" spans="2:22" x14ac:dyDescent="0.25">
      <c r="B2428" s="16">
        <v>1</v>
      </c>
      <c r="C2428" s="7">
        <v>0</v>
      </c>
      <c r="D2428" s="8">
        <v>0</v>
      </c>
      <c r="E2428" s="8">
        <v>1</v>
      </c>
      <c r="F2428" s="8">
        <v>1</v>
      </c>
      <c r="G2428" s="8">
        <v>1</v>
      </c>
      <c r="H2428" s="8">
        <v>1</v>
      </c>
      <c r="I2428" s="8">
        <v>0</v>
      </c>
      <c r="J2428" s="8">
        <v>1</v>
      </c>
      <c r="K2428" s="9">
        <v>0</v>
      </c>
      <c r="L2428" s="10">
        <v>0</v>
      </c>
      <c r="M2428" s="6">
        <v>1</v>
      </c>
      <c r="N2428" s="37" t="e" cm="1">
        <f t="array" ref="N2428">IF(OR(ISNUMBER(FIND(Aux!$D$3:$D$9,_xlfn.TEXTJOIN(,,C2428:K2428)))),NA(),IF(AND(SUM(C2428:F2428,H2428:K2428)=0,G2428=1),0,INT((SUMPRODUCT(C2428:F2428,COLUMN($A$1:$D$1)-1)+SUMPRODUCT(H2428:K2428,COLUMN($E$1:$H$1)-1))*'Line Follower'!$C$3/SUM(C2428:F2428,H2428:K2428)-'Line Follower'!$C$5)))</f>
        <v>#N/A</v>
      </c>
      <c r="O2428" s="22" t="e">
        <v>#N/A</v>
      </c>
      <c r="P2428" s="4" t="e">
        <f t="shared" si="185"/>
        <v>#N/A</v>
      </c>
      <c r="Q2428" s="4" t="e">
        <f t="shared" si="186"/>
        <v>#N/A</v>
      </c>
      <c r="R2428" s="4" t="e">
        <f>IF(AND(B2428=1,N2428&gt;'Line Follower'!$C$7,SUM(C2428:K2428)&lt;4),1,0)</f>
        <v>#N/A</v>
      </c>
      <c r="S2428" s="4" t="e">
        <f>IF(AND(L2428=1,N2428&lt;'Line Follower'!$C$6,SUM(C2428:K2428)&lt;4),1,0)</f>
        <v>#N/A</v>
      </c>
      <c r="T2428" s="4" t="e">
        <f t="shared" si="187"/>
        <v>#N/A</v>
      </c>
      <c r="U2428" s="5" t="e">
        <f t="shared" si="188"/>
        <v>#N/A</v>
      </c>
      <c r="V2428" s="23" t="e">
        <f t="shared" si="189"/>
        <v>#N/A</v>
      </c>
    </row>
    <row r="2429" spans="2:22" x14ac:dyDescent="0.25">
      <c r="B2429" s="16">
        <v>0</v>
      </c>
      <c r="C2429" s="7">
        <v>1</v>
      </c>
      <c r="D2429" s="8">
        <v>0</v>
      </c>
      <c r="E2429" s="8">
        <v>1</v>
      </c>
      <c r="F2429" s="8">
        <v>1</v>
      </c>
      <c r="G2429" s="8">
        <v>1</v>
      </c>
      <c r="H2429" s="8">
        <v>1</v>
      </c>
      <c r="I2429" s="8">
        <v>0</v>
      </c>
      <c r="J2429" s="8">
        <v>1</v>
      </c>
      <c r="K2429" s="9">
        <v>0</v>
      </c>
      <c r="L2429" s="10">
        <v>0</v>
      </c>
      <c r="M2429" s="6">
        <v>1</v>
      </c>
      <c r="N2429" s="37" t="e" cm="1">
        <f t="array" ref="N2429">IF(OR(ISNUMBER(FIND(Aux!$D$3:$D$9,_xlfn.TEXTJOIN(,,C2429:K2429)))),NA(),IF(AND(SUM(C2429:F2429,H2429:K2429)=0,G2429=1),0,INT((SUMPRODUCT(C2429:F2429,COLUMN($A$1:$D$1)-1)+SUMPRODUCT(H2429:K2429,COLUMN($E$1:$H$1)-1))*'Line Follower'!$C$3/SUM(C2429:F2429,H2429:K2429)-'Line Follower'!$C$5)))</f>
        <v>#N/A</v>
      </c>
      <c r="O2429" s="22" t="e">
        <v>#N/A</v>
      </c>
      <c r="P2429" s="4" t="e">
        <f t="shared" si="185"/>
        <v>#N/A</v>
      </c>
      <c r="Q2429" s="4" t="e">
        <f t="shared" si="186"/>
        <v>#N/A</v>
      </c>
      <c r="R2429" s="4" t="e">
        <f>IF(AND(B2429=1,N2429&gt;'Line Follower'!$C$7,SUM(C2429:K2429)&lt;4),1,0)</f>
        <v>#N/A</v>
      </c>
      <c r="S2429" s="4" t="e">
        <f>IF(AND(L2429=1,N2429&lt;'Line Follower'!$C$6,SUM(C2429:K2429)&lt;4),1,0)</f>
        <v>#N/A</v>
      </c>
      <c r="T2429" s="4" t="e">
        <f t="shared" si="187"/>
        <v>#N/A</v>
      </c>
      <c r="U2429" s="5" t="e">
        <f t="shared" si="188"/>
        <v>#N/A</v>
      </c>
      <c r="V2429" s="23" t="e">
        <f t="shared" si="189"/>
        <v>#N/A</v>
      </c>
    </row>
    <row r="2430" spans="2:22" x14ac:dyDescent="0.25">
      <c r="B2430" s="16">
        <v>1</v>
      </c>
      <c r="C2430" s="7">
        <v>1</v>
      </c>
      <c r="D2430" s="8">
        <v>0</v>
      </c>
      <c r="E2430" s="8">
        <v>1</v>
      </c>
      <c r="F2430" s="8">
        <v>1</v>
      </c>
      <c r="G2430" s="8">
        <v>1</v>
      </c>
      <c r="H2430" s="8">
        <v>1</v>
      </c>
      <c r="I2430" s="8">
        <v>0</v>
      </c>
      <c r="J2430" s="8">
        <v>1</v>
      </c>
      <c r="K2430" s="9">
        <v>0</v>
      </c>
      <c r="L2430" s="10">
        <v>0</v>
      </c>
      <c r="M2430" s="6">
        <v>1</v>
      </c>
      <c r="N2430" s="37" t="e" cm="1">
        <f t="array" ref="N2430">IF(OR(ISNUMBER(FIND(Aux!$D$3:$D$9,_xlfn.TEXTJOIN(,,C2430:K2430)))),NA(),IF(AND(SUM(C2430:F2430,H2430:K2430)=0,G2430=1),0,INT((SUMPRODUCT(C2430:F2430,COLUMN($A$1:$D$1)-1)+SUMPRODUCT(H2430:K2430,COLUMN($E$1:$H$1)-1))*'Line Follower'!$C$3/SUM(C2430:F2430,H2430:K2430)-'Line Follower'!$C$5)))</f>
        <v>#N/A</v>
      </c>
      <c r="O2430" s="22" t="e">
        <v>#N/A</v>
      </c>
      <c r="P2430" s="4" t="e">
        <f t="shared" si="185"/>
        <v>#N/A</v>
      </c>
      <c r="Q2430" s="4" t="e">
        <f t="shared" si="186"/>
        <v>#N/A</v>
      </c>
      <c r="R2430" s="4" t="e">
        <f>IF(AND(B2430=1,N2430&gt;'Line Follower'!$C$7,SUM(C2430:K2430)&lt;4),1,0)</f>
        <v>#N/A</v>
      </c>
      <c r="S2430" s="4" t="e">
        <f>IF(AND(L2430=1,N2430&lt;'Line Follower'!$C$6,SUM(C2430:K2430)&lt;4),1,0)</f>
        <v>#N/A</v>
      </c>
      <c r="T2430" s="4" t="e">
        <f t="shared" si="187"/>
        <v>#N/A</v>
      </c>
      <c r="U2430" s="5" t="e">
        <f t="shared" si="188"/>
        <v>#N/A</v>
      </c>
      <c r="V2430" s="23" t="e">
        <f t="shared" si="189"/>
        <v>#N/A</v>
      </c>
    </row>
    <row r="2431" spans="2:22" x14ac:dyDescent="0.25">
      <c r="B2431" s="16">
        <v>0</v>
      </c>
      <c r="C2431" s="7">
        <v>0</v>
      </c>
      <c r="D2431" s="8">
        <v>1</v>
      </c>
      <c r="E2431" s="8">
        <v>1</v>
      </c>
      <c r="F2431" s="8">
        <v>1</v>
      </c>
      <c r="G2431" s="8">
        <v>1</v>
      </c>
      <c r="H2431" s="8">
        <v>1</v>
      </c>
      <c r="I2431" s="8">
        <v>0</v>
      </c>
      <c r="J2431" s="8">
        <v>1</v>
      </c>
      <c r="K2431" s="9">
        <v>0</v>
      </c>
      <c r="L2431" s="10">
        <v>0</v>
      </c>
      <c r="M2431" s="6">
        <v>1</v>
      </c>
      <c r="N2431" s="37" t="e" cm="1">
        <f t="array" ref="N2431">IF(OR(ISNUMBER(FIND(Aux!$D$3:$D$9,_xlfn.TEXTJOIN(,,C2431:K2431)))),NA(),IF(AND(SUM(C2431:F2431,H2431:K2431)=0,G2431=1),0,INT((SUMPRODUCT(C2431:F2431,COLUMN($A$1:$D$1)-1)+SUMPRODUCT(H2431:K2431,COLUMN($E$1:$H$1)-1))*'Line Follower'!$C$3/SUM(C2431:F2431,H2431:K2431)-'Line Follower'!$C$5)))</f>
        <v>#N/A</v>
      </c>
      <c r="O2431" s="22" t="e">
        <v>#N/A</v>
      </c>
      <c r="P2431" s="4" t="e">
        <f t="shared" si="185"/>
        <v>#N/A</v>
      </c>
      <c r="Q2431" s="4" t="e">
        <f t="shared" si="186"/>
        <v>#N/A</v>
      </c>
      <c r="R2431" s="4" t="e">
        <f>IF(AND(B2431=1,N2431&gt;'Line Follower'!$C$7,SUM(C2431:K2431)&lt;4),1,0)</f>
        <v>#N/A</v>
      </c>
      <c r="S2431" s="4" t="e">
        <f>IF(AND(L2431=1,N2431&lt;'Line Follower'!$C$6,SUM(C2431:K2431)&lt;4),1,0)</f>
        <v>#N/A</v>
      </c>
      <c r="T2431" s="4" t="e">
        <f t="shared" si="187"/>
        <v>#N/A</v>
      </c>
      <c r="U2431" s="5" t="e">
        <f t="shared" si="188"/>
        <v>#N/A</v>
      </c>
      <c r="V2431" s="23" t="e">
        <f t="shared" si="189"/>
        <v>#N/A</v>
      </c>
    </row>
    <row r="2432" spans="2:22" x14ac:dyDescent="0.25">
      <c r="B2432" s="16">
        <v>1</v>
      </c>
      <c r="C2432" s="7">
        <v>0</v>
      </c>
      <c r="D2432" s="8">
        <v>1</v>
      </c>
      <c r="E2432" s="8">
        <v>1</v>
      </c>
      <c r="F2432" s="8">
        <v>1</v>
      </c>
      <c r="G2432" s="8">
        <v>1</v>
      </c>
      <c r="H2432" s="8">
        <v>1</v>
      </c>
      <c r="I2432" s="8">
        <v>0</v>
      </c>
      <c r="J2432" s="8">
        <v>1</v>
      </c>
      <c r="K2432" s="9">
        <v>0</v>
      </c>
      <c r="L2432" s="10">
        <v>0</v>
      </c>
      <c r="M2432" s="6">
        <v>1</v>
      </c>
      <c r="N2432" s="37" t="e" cm="1">
        <f t="array" ref="N2432">IF(OR(ISNUMBER(FIND(Aux!$D$3:$D$9,_xlfn.TEXTJOIN(,,C2432:K2432)))),NA(),IF(AND(SUM(C2432:F2432,H2432:K2432)=0,G2432=1),0,INT((SUMPRODUCT(C2432:F2432,COLUMN($A$1:$D$1)-1)+SUMPRODUCT(H2432:K2432,COLUMN($E$1:$H$1)-1))*'Line Follower'!$C$3/SUM(C2432:F2432,H2432:K2432)-'Line Follower'!$C$5)))</f>
        <v>#N/A</v>
      </c>
      <c r="O2432" s="22" t="e">
        <v>#N/A</v>
      </c>
      <c r="P2432" s="4" t="e">
        <f t="shared" si="185"/>
        <v>#N/A</v>
      </c>
      <c r="Q2432" s="4" t="e">
        <f t="shared" si="186"/>
        <v>#N/A</v>
      </c>
      <c r="R2432" s="4" t="e">
        <f>IF(AND(B2432=1,N2432&gt;'Line Follower'!$C$7,SUM(C2432:K2432)&lt;4),1,0)</f>
        <v>#N/A</v>
      </c>
      <c r="S2432" s="4" t="e">
        <f>IF(AND(L2432=1,N2432&lt;'Line Follower'!$C$6,SUM(C2432:K2432)&lt;4),1,0)</f>
        <v>#N/A</v>
      </c>
      <c r="T2432" s="4" t="e">
        <f t="shared" si="187"/>
        <v>#N/A</v>
      </c>
      <c r="U2432" s="5" t="e">
        <f t="shared" si="188"/>
        <v>#N/A</v>
      </c>
      <c r="V2432" s="23" t="e">
        <f t="shared" si="189"/>
        <v>#N/A</v>
      </c>
    </row>
    <row r="2433" spans="2:22" x14ac:dyDescent="0.25">
      <c r="B2433" s="16">
        <v>0</v>
      </c>
      <c r="C2433" s="7">
        <v>1</v>
      </c>
      <c r="D2433" s="8">
        <v>1</v>
      </c>
      <c r="E2433" s="8">
        <v>1</v>
      </c>
      <c r="F2433" s="8">
        <v>1</v>
      </c>
      <c r="G2433" s="8">
        <v>1</v>
      </c>
      <c r="H2433" s="8">
        <v>1</v>
      </c>
      <c r="I2433" s="8">
        <v>0</v>
      </c>
      <c r="J2433" s="8">
        <v>1</v>
      </c>
      <c r="K2433" s="9">
        <v>0</v>
      </c>
      <c r="L2433" s="10">
        <v>0</v>
      </c>
      <c r="M2433" s="6">
        <v>1</v>
      </c>
      <c r="N2433" s="37" t="e" cm="1">
        <f t="array" ref="N2433">IF(OR(ISNUMBER(FIND(Aux!$D$3:$D$9,_xlfn.TEXTJOIN(,,C2433:K2433)))),NA(),IF(AND(SUM(C2433:F2433,H2433:K2433)=0,G2433=1),0,INT((SUMPRODUCT(C2433:F2433,COLUMN($A$1:$D$1)-1)+SUMPRODUCT(H2433:K2433,COLUMN($E$1:$H$1)-1))*'Line Follower'!$C$3/SUM(C2433:F2433,H2433:K2433)-'Line Follower'!$C$5)))</f>
        <v>#N/A</v>
      </c>
      <c r="O2433" s="22" t="e">
        <v>#N/A</v>
      </c>
      <c r="P2433" s="4" t="e">
        <f t="shared" si="185"/>
        <v>#N/A</v>
      </c>
      <c r="Q2433" s="4" t="e">
        <f t="shared" si="186"/>
        <v>#N/A</v>
      </c>
      <c r="R2433" s="4" t="e">
        <f>IF(AND(B2433=1,N2433&gt;'Line Follower'!$C$7,SUM(C2433:K2433)&lt;4),1,0)</f>
        <v>#N/A</v>
      </c>
      <c r="S2433" s="4" t="e">
        <f>IF(AND(L2433=1,N2433&lt;'Line Follower'!$C$6,SUM(C2433:K2433)&lt;4),1,0)</f>
        <v>#N/A</v>
      </c>
      <c r="T2433" s="4" t="e">
        <f t="shared" si="187"/>
        <v>#N/A</v>
      </c>
      <c r="U2433" s="5" t="e">
        <f t="shared" si="188"/>
        <v>#N/A</v>
      </c>
      <c r="V2433" s="23" t="e">
        <f t="shared" si="189"/>
        <v>#N/A</v>
      </c>
    </row>
    <row r="2434" spans="2:22" x14ac:dyDescent="0.25">
      <c r="B2434" s="16">
        <v>1</v>
      </c>
      <c r="C2434" s="7">
        <v>1</v>
      </c>
      <c r="D2434" s="8">
        <v>1</v>
      </c>
      <c r="E2434" s="8">
        <v>1</v>
      </c>
      <c r="F2434" s="8">
        <v>1</v>
      </c>
      <c r="G2434" s="8">
        <v>1</v>
      </c>
      <c r="H2434" s="8">
        <v>1</v>
      </c>
      <c r="I2434" s="8">
        <v>0</v>
      </c>
      <c r="J2434" s="8">
        <v>1</v>
      </c>
      <c r="K2434" s="9">
        <v>0</v>
      </c>
      <c r="L2434" s="10">
        <v>0</v>
      </c>
      <c r="M2434" s="6">
        <v>1</v>
      </c>
      <c r="N2434" s="37" t="e" cm="1">
        <f t="array" ref="N2434">IF(OR(ISNUMBER(FIND(Aux!$D$3:$D$9,_xlfn.TEXTJOIN(,,C2434:K2434)))),NA(),IF(AND(SUM(C2434:F2434,H2434:K2434)=0,G2434=1),0,INT((SUMPRODUCT(C2434:F2434,COLUMN($A$1:$D$1)-1)+SUMPRODUCT(H2434:K2434,COLUMN($E$1:$H$1)-1))*'Line Follower'!$C$3/SUM(C2434:F2434,H2434:K2434)-'Line Follower'!$C$5)))</f>
        <v>#N/A</v>
      </c>
      <c r="O2434" s="22" t="e">
        <v>#N/A</v>
      </c>
      <c r="P2434" s="4" t="e">
        <f t="shared" si="185"/>
        <v>#N/A</v>
      </c>
      <c r="Q2434" s="4" t="e">
        <f t="shared" si="186"/>
        <v>#N/A</v>
      </c>
      <c r="R2434" s="4" t="e">
        <f>IF(AND(B2434=1,N2434&gt;'Line Follower'!$C$7,SUM(C2434:K2434)&lt;4),1,0)</f>
        <v>#N/A</v>
      </c>
      <c r="S2434" s="4" t="e">
        <f>IF(AND(L2434=1,N2434&lt;'Line Follower'!$C$6,SUM(C2434:K2434)&lt;4),1,0)</f>
        <v>#N/A</v>
      </c>
      <c r="T2434" s="4" t="e">
        <f t="shared" si="187"/>
        <v>#N/A</v>
      </c>
      <c r="U2434" s="5" t="e">
        <f t="shared" si="188"/>
        <v>#N/A</v>
      </c>
      <c r="V2434" s="23" t="e">
        <f t="shared" si="189"/>
        <v>#N/A</v>
      </c>
    </row>
    <row r="2435" spans="2:22" x14ac:dyDescent="0.25">
      <c r="B2435" s="16">
        <v>0</v>
      </c>
      <c r="C2435" s="7">
        <v>0</v>
      </c>
      <c r="D2435" s="8">
        <v>0</v>
      </c>
      <c r="E2435" s="8">
        <v>0</v>
      </c>
      <c r="F2435" s="8">
        <v>0</v>
      </c>
      <c r="G2435" s="8">
        <v>0</v>
      </c>
      <c r="H2435" s="8">
        <v>0</v>
      </c>
      <c r="I2435" s="8">
        <v>1</v>
      </c>
      <c r="J2435" s="8">
        <v>1</v>
      </c>
      <c r="K2435" s="9">
        <v>0</v>
      </c>
      <c r="L2435" s="10">
        <v>0</v>
      </c>
      <c r="M2435" s="6">
        <v>1</v>
      </c>
      <c r="N2435" s="37" cm="1">
        <f t="array" ref="N2435">IF(OR(ISNUMBER(FIND(Aux!$D$3:$D$9,_xlfn.TEXTJOIN(,,C2435:K2435)))),NA(),IF(AND(SUM(C2435:F2435,H2435:K2435)=0,G2435=1),0,INT((SUMPRODUCT(C2435:F2435,COLUMN($A$1:$D$1)-1)+SUMPRODUCT(H2435:K2435,COLUMN($E$1:$H$1)-1))*'Line Follower'!$C$3/SUM(C2435:F2435,H2435:K2435)-'Line Follower'!$C$5)))</f>
        <v>4</v>
      </c>
      <c r="O2435" s="22">
        <v>1</v>
      </c>
      <c r="P2435" s="4">
        <f t="shared" ref="P2435:P2498" si="190">IF(AND(N2435=0,G2435=1,M2435=1),1,0)</f>
        <v>0</v>
      </c>
      <c r="Q2435" s="4">
        <f t="shared" ref="Q2435:Q2498" si="191">IF(ISERROR(N2435),N2435,IF(SUM(C2435:K2435)&gt;=4,1,0))</f>
        <v>0</v>
      </c>
      <c r="R2435" s="4">
        <f>IF(AND(B2435=1,N2435&gt;'Line Follower'!$C$7,SUM(C2435:K2435)&lt;4),1,0)</f>
        <v>0</v>
      </c>
      <c r="S2435" s="4">
        <f>IF(AND(L2435=1,N2435&lt;'Line Follower'!$C$6,SUM(C2435:K2435)&lt;4),1,0)</f>
        <v>0</v>
      </c>
      <c r="T2435" s="4">
        <f t="shared" si="187"/>
        <v>0</v>
      </c>
      <c r="U2435" s="5">
        <f t="shared" si="188"/>
        <v>0</v>
      </c>
      <c r="V2435" s="23">
        <f t="shared" si="189"/>
        <v>0</v>
      </c>
    </row>
    <row r="2436" spans="2:22" x14ac:dyDescent="0.25">
      <c r="B2436" s="16">
        <v>1</v>
      </c>
      <c r="C2436" s="7">
        <v>0</v>
      </c>
      <c r="D2436" s="8">
        <v>0</v>
      </c>
      <c r="E2436" s="8">
        <v>0</v>
      </c>
      <c r="F2436" s="8">
        <v>0</v>
      </c>
      <c r="G2436" s="8">
        <v>0</v>
      </c>
      <c r="H2436" s="8">
        <v>0</v>
      </c>
      <c r="I2436" s="8">
        <v>1</v>
      </c>
      <c r="J2436" s="8">
        <v>1</v>
      </c>
      <c r="K2436" s="9">
        <v>0</v>
      </c>
      <c r="L2436" s="10">
        <v>0</v>
      </c>
      <c r="M2436" s="6">
        <v>1</v>
      </c>
      <c r="N2436" s="37" cm="1">
        <f t="array" ref="N2436">IF(OR(ISNUMBER(FIND(Aux!$D$3:$D$9,_xlfn.TEXTJOIN(,,C2436:K2436)))),NA(),IF(AND(SUM(C2436:F2436,H2436:K2436)=0,G2436=1),0,INT((SUMPRODUCT(C2436:F2436,COLUMN($A$1:$D$1)-1)+SUMPRODUCT(H2436:K2436,COLUMN($E$1:$H$1)-1))*'Line Follower'!$C$3/SUM(C2436:F2436,H2436:K2436)-'Line Follower'!$C$5)))</f>
        <v>4</v>
      </c>
      <c r="O2436" s="22">
        <v>1</v>
      </c>
      <c r="P2436" s="4">
        <f t="shared" si="190"/>
        <v>0</v>
      </c>
      <c r="Q2436" s="4">
        <f t="shared" si="191"/>
        <v>0</v>
      </c>
      <c r="R2436" s="4">
        <f>IF(AND(B2436=1,N2436&gt;'Line Follower'!$C$7,SUM(C2436:K2436)&lt;4),1,0)</f>
        <v>1</v>
      </c>
      <c r="S2436" s="4">
        <f>IF(AND(L2436=1,N2436&lt;'Line Follower'!$C$6,SUM(C2436:K2436)&lt;4),1,0)</f>
        <v>0</v>
      </c>
      <c r="T2436" s="4">
        <f t="shared" ref="T2436:T2499" si="192">IF(ISNA(N2436),NA(),IF(SUM(C2436:L2436)=0,1,0))</f>
        <v>0</v>
      </c>
      <c r="U2436" s="5">
        <f t="shared" ref="U2436:U2499" si="193">IF(ISNA(N2436),NA(),IF(SUM(B2436:K2436)=0,1,0))</f>
        <v>0</v>
      </c>
      <c r="V2436" s="23">
        <f t="shared" ref="V2436:V2499" si="194">IF(ISNA(N2436),NA(),IF(SUM(B2436:L2436)=0,1,0))</f>
        <v>0</v>
      </c>
    </row>
    <row r="2437" spans="2:22" x14ac:dyDescent="0.25">
      <c r="B2437" s="16">
        <v>0</v>
      </c>
      <c r="C2437" s="7">
        <v>1</v>
      </c>
      <c r="D2437" s="8">
        <v>0</v>
      </c>
      <c r="E2437" s="8">
        <v>0</v>
      </c>
      <c r="F2437" s="8">
        <v>0</v>
      </c>
      <c r="G2437" s="8">
        <v>0</v>
      </c>
      <c r="H2437" s="8">
        <v>0</v>
      </c>
      <c r="I2437" s="8">
        <v>1</v>
      </c>
      <c r="J2437" s="8">
        <v>1</v>
      </c>
      <c r="K2437" s="9">
        <v>0</v>
      </c>
      <c r="L2437" s="10">
        <v>0</v>
      </c>
      <c r="M2437" s="6">
        <v>1</v>
      </c>
      <c r="N2437" s="37" t="e" cm="1">
        <f t="array" ref="N2437">IF(OR(ISNUMBER(FIND(Aux!$D$3:$D$9,_xlfn.TEXTJOIN(,,C2437:K2437)))),NA(),IF(AND(SUM(C2437:F2437,H2437:K2437)=0,G2437=1),0,INT((SUMPRODUCT(C2437:F2437,COLUMN($A$1:$D$1)-1)+SUMPRODUCT(H2437:K2437,COLUMN($E$1:$H$1)-1))*'Line Follower'!$C$3/SUM(C2437:F2437,H2437:K2437)-'Line Follower'!$C$5)))</f>
        <v>#N/A</v>
      </c>
      <c r="O2437" s="22" t="e">
        <v>#N/A</v>
      </c>
      <c r="P2437" s="4" t="e">
        <f t="shared" si="190"/>
        <v>#N/A</v>
      </c>
      <c r="Q2437" s="4" t="e">
        <f t="shared" si="191"/>
        <v>#N/A</v>
      </c>
      <c r="R2437" s="4" t="e">
        <f>IF(AND(B2437=1,N2437&gt;'Line Follower'!$C$7,SUM(C2437:K2437)&lt;4),1,0)</f>
        <v>#N/A</v>
      </c>
      <c r="S2437" s="4" t="e">
        <f>IF(AND(L2437=1,N2437&lt;'Line Follower'!$C$6,SUM(C2437:K2437)&lt;4),1,0)</f>
        <v>#N/A</v>
      </c>
      <c r="T2437" s="4" t="e">
        <f t="shared" si="192"/>
        <v>#N/A</v>
      </c>
      <c r="U2437" s="5" t="e">
        <f t="shared" si="193"/>
        <v>#N/A</v>
      </c>
      <c r="V2437" s="23" t="e">
        <f t="shared" si="194"/>
        <v>#N/A</v>
      </c>
    </row>
    <row r="2438" spans="2:22" x14ac:dyDescent="0.25">
      <c r="B2438" s="16">
        <v>1</v>
      </c>
      <c r="C2438" s="7">
        <v>1</v>
      </c>
      <c r="D2438" s="8">
        <v>0</v>
      </c>
      <c r="E2438" s="8">
        <v>0</v>
      </c>
      <c r="F2438" s="8">
        <v>0</v>
      </c>
      <c r="G2438" s="8">
        <v>0</v>
      </c>
      <c r="H2438" s="8">
        <v>0</v>
      </c>
      <c r="I2438" s="8">
        <v>1</v>
      </c>
      <c r="J2438" s="8">
        <v>1</v>
      </c>
      <c r="K2438" s="9">
        <v>0</v>
      </c>
      <c r="L2438" s="10">
        <v>0</v>
      </c>
      <c r="M2438" s="6">
        <v>1</v>
      </c>
      <c r="N2438" s="37" t="e" cm="1">
        <f t="array" ref="N2438">IF(OR(ISNUMBER(FIND(Aux!$D$3:$D$9,_xlfn.TEXTJOIN(,,C2438:K2438)))),NA(),IF(AND(SUM(C2438:F2438,H2438:K2438)=0,G2438=1),0,INT((SUMPRODUCT(C2438:F2438,COLUMN($A$1:$D$1)-1)+SUMPRODUCT(H2438:K2438,COLUMN($E$1:$H$1)-1))*'Line Follower'!$C$3/SUM(C2438:F2438,H2438:K2438)-'Line Follower'!$C$5)))</f>
        <v>#N/A</v>
      </c>
      <c r="O2438" s="22" t="e">
        <v>#N/A</v>
      </c>
      <c r="P2438" s="4" t="e">
        <f t="shared" si="190"/>
        <v>#N/A</v>
      </c>
      <c r="Q2438" s="4" t="e">
        <f t="shared" si="191"/>
        <v>#N/A</v>
      </c>
      <c r="R2438" s="4" t="e">
        <f>IF(AND(B2438=1,N2438&gt;'Line Follower'!$C$7,SUM(C2438:K2438)&lt;4),1,0)</f>
        <v>#N/A</v>
      </c>
      <c r="S2438" s="4" t="e">
        <f>IF(AND(L2438=1,N2438&lt;'Line Follower'!$C$6,SUM(C2438:K2438)&lt;4),1,0)</f>
        <v>#N/A</v>
      </c>
      <c r="T2438" s="4" t="e">
        <f t="shared" si="192"/>
        <v>#N/A</v>
      </c>
      <c r="U2438" s="5" t="e">
        <f t="shared" si="193"/>
        <v>#N/A</v>
      </c>
      <c r="V2438" s="23" t="e">
        <f t="shared" si="194"/>
        <v>#N/A</v>
      </c>
    </row>
    <row r="2439" spans="2:22" x14ac:dyDescent="0.25">
      <c r="B2439" s="16">
        <v>0</v>
      </c>
      <c r="C2439" s="7">
        <v>0</v>
      </c>
      <c r="D2439" s="8">
        <v>1</v>
      </c>
      <c r="E2439" s="8">
        <v>0</v>
      </c>
      <c r="F2439" s="8">
        <v>0</v>
      </c>
      <c r="G2439" s="8">
        <v>0</v>
      </c>
      <c r="H2439" s="8">
        <v>0</v>
      </c>
      <c r="I2439" s="8">
        <v>1</v>
      </c>
      <c r="J2439" s="8">
        <v>1</v>
      </c>
      <c r="K2439" s="9">
        <v>0</v>
      </c>
      <c r="L2439" s="10">
        <v>0</v>
      </c>
      <c r="M2439" s="6">
        <v>1</v>
      </c>
      <c r="N2439" s="37" t="e" cm="1">
        <f t="array" ref="N2439">IF(OR(ISNUMBER(FIND(Aux!$D$3:$D$9,_xlfn.TEXTJOIN(,,C2439:K2439)))),NA(),IF(AND(SUM(C2439:F2439,H2439:K2439)=0,G2439=1),0,INT((SUMPRODUCT(C2439:F2439,COLUMN($A$1:$D$1)-1)+SUMPRODUCT(H2439:K2439,COLUMN($E$1:$H$1)-1))*'Line Follower'!$C$3/SUM(C2439:F2439,H2439:K2439)-'Line Follower'!$C$5)))</f>
        <v>#N/A</v>
      </c>
      <c r="O2439" s="22" t="e">
        <v>#N/A</v>
      </c>
      <c r="P2439" s="4" t="e">
        <f t="shared" si="190"/>
        <v>#N/A</v>
      </c>
      <c r="Q2439" s="4" t="e">
        <f t="shared" si="191"/>
        <v>#N/A</v>
      </c>
      <c r="R2439" s="4" t="e">
        <f>IF(AND(B2439=1,N2439&gt;'Line Follower'!$C$7,SUM(C2439:K2439)&lt;4),1,0)</f>
        <v>#N/A</v>
      </c>
      <c r="S2439" s="4" t="e">
        <f>IF(AND(L2439=1,N2439&lt;'Line Follower'!$C$6,SUM(C2439:K2439)&lt;4),1,0)</f>
        <v>#N/A</v>
      </c>
      <c r="T2439" s="4" t="e">
        <f t="shared" si="192"/>
        <v>#N/A</v>
      </c>
      <c r="U2439" s="5" t="e">
        <f t="shared" si="193"/>
        <v>#N/A</v>
      </c>
      <c r="V2439" s="23" t="e">
        <f t="shared" si="194"/>
        <v>#N/A</v>
      </c>
    </row>
    <row r="2440" spans="2:22" x14ac:dyDescent="0.25">
      <c r="B2440" s="16">
        <v>1</v>
      </c>
      <c r="C2440" s="7">
        <v>0</v>
      </c>
      <c r="D2440" s="8">
        <v>1</v>
      </c>
      <c r="E2440" s="8">
        <v>0</v>
      </c>
      <c r="F2440" s="8">
        <v>0</v>
      </c>
      <c r="G2440" s="8">
        <v>0</v>
      </c>
      <c r="H2440" s="8">
        <v>0</v>
      </c>
      <c r="I2440" s="8">
        <v>1</v>
      </c>
      <c r="J2440" s="8">
        <v>1</v>
      </c>
      <c r="K2440" s="9">
        <v>0</v>
      </c>
      <c r="L2440" s="10">
        <v>0</v>
      </c>
      <c r="M2440" s="6">
        <v>1</v>
      </c>
      <c r="N2440" s="37" t="e" cm="1">
        <f t="array" ref="N2440">IF(OR(ISNUMBER(FIND(Aux!$D$3:$D$9,_xlfn.TEXTJOIN(,,C2440:K2440)))),NA(),IF(AND(SUM(C2440:F2440,H2440:K2440)=0,G2440=1),0,INT((SUMPRODUCT(C2440:F2440,COLUMN($A$1:$D$1)-1)+SUMPRODUCT(H2440:K2440,COLUMN($E$1:$H$1)-1))*'Line Follower'!$C$3/SUM(C2440:F2440,H2440:K2440)-'Line Follower'!$C$5)))</f>
        <v>#N/A</v>
      </c>
      <c r="O2440" s="22" t="e">
        <v>#N/A</v>
      </c>
      <c r="P2440" s="4" t="e">
        <f t="shared" si="190"/>
        <v>#N/A</v>
      </c>
      <c r="Q2440" s="4" t="e">
        <f t="shared" si="191"/>
        <v>#N/A</v>
      </c>
      <c r="R2440" s="4" t="e">
        <f>IF(AND(B2440=1,N2440&gt;'Line Follower'!$C$7,SUM(C2440:K2440)&lt;4),1,0)</f>
        <v>#N/A</v>
      </c>
      <c r="S2440" s="4" t="e">
        <f>IF(AND(L2440=1,N2440&lt;'Line Follower'!$C$6,SUM(C2440:K2440)&lt;4),1,0)</f>
        <v>#N/A</v>
      </c>
      <c r="T2440" s="4" t="e">
        <f t="shared" si="192"/>
        <v>#N/A</v>
      </c>
      <c r="U2440" s="5" t="e">
        <f t="shared" si="193"/>
        <v>#N/A</v>
      </c>
      <c r="V2440" s="23" t="e">
        <f t="shared" si="194"/>
        <v>#N/A</v>
      </c>
    </row>
    <row r="2441" spans="2:22" x14ac:dyDescent="0.25">
      <c r="B2441" s="16">
        <v>0</v>
      </c>
      <c r="C2441" s="7">
        <v>1</v>
      </c>
      <c r="D2441" s="8">
        <v>1</v>
      </c>
      <c r="E2441" s="8">
        <v>0</v>
      </c>
      <c r="F2441" s="8">
        <v>0</v>
      </c>
      <c r="G2441" s="8">
        <v>0</v>
      </c>
      <c r="H2441" s="8">
        <v>0</v>
      </c>
      <c r="I2441" s="8">
        <v>1</v>
      </c>
      <c r="J2441" s="8">
        <v>1</v>
      </c>
      <c r="K2441" s="9">
        <v>0</v>
      </c>
      <c r="L2441" s="10">
        <v>0</v>
      </c>
      <c r="M2441" s="6">
        <v>1</v>
      </c>
      <c r="N2441" s="37" t="e" cm="1">
        <f t="array" ref="N2441">IF(OR(ISNUMBER(FIND(Aux!$D$3:$D$9,_xlfn.TEXTJOIN(,,C2441:K2441)))),NA(),IF(AND(SUM(C2441:F2441,H2441:K2441)=0,G2441=1),0,INT((SUMPRODUCT(C2441:F2441,COLUMN($A$1:$D$1)-1)+SUMPRODUCT(H2441:K2441,COLUMN($E$1:$H$1)-1))*'Line Follower'!$C$3/SUM(C2441:F2441,H2441:K2441)-'Line Follower'!$C$5)))</f>
        <v>#N/A</v>
      </c>
      <c r="O2441" s="22" t="e">
        <v>#N/A</v>
      </c>
      <c r="P2441" s="4" t="e">
        <f t="shared" si="190"/>
        <v>#N/A</v>
      </c>
      <c r="Q2441" s="4" t="e">
        <f t="shared" si="191"/>
        <v>#N/A</v>
      </c>
      <c r="R2441" s="4" t="e">
        <f>IF(AND(B2441=1,N2441&gt;'Line Follower'!$C$7,SUM(C2441:K2441)&lt;4),1,0)</f>
        <v>#N/A</v>
      </c>
      <c r="S2441" s="4" t="e">
        <f>IF(AND(L2441=1,N2441&lt;'Line Follower'!$C$6,SUM(C2441:K2441)&lt;4),1,0)</f>
        <v>#N/A</v>
      </c>
      <c r="T2441" s="4" t="e">
        <f t="shared" si="192"/>
        <v>#N/A</v>
      </c>
      <c r="U2441" s="5" t="e">
        <f t="shared" si="193"/>
        <v>#N/A</v>
      </c>
      <c r="V2441" s="23" t="e">
        <f t="shared" si="194"/>
        <v>#N/A</v>
      </c>
    </row>
    <row r="2442" spans="2:22" x14ac:dyDescent="0.25">
      <c r="B2442" s="16">
        <v>1</v>
      </c>
      <c r="C2442" s="7">
        <v>1</v>
      </c>
      <c r="D2442" s="8">
        <v>1</v>
      </c>
      <c r="E2442" s="8">
        <v>0</v>
      </c>
      <c r="F2442" s="8">
        <v>0</v>
      </c>
      <c r="G2442" s="8">
        <v>0</v>
      </c>
      <c r="H2442" s="8">
        <v>0</v>
      </c>
      <c r="I2442" s="8">
        <v>1</v>
      </c>
      <c r="J2442" s="8">
        <v>1</v>
      </c>
      <c r="K2442" s="9">
        <v>0</v>
      </c>
      <c r="L2442" s="10">
        <v>0</v>
      </c>
      <c r="M2442" s="6">
        <v>1</v>
      </c>
      <c r="N2442" s="37" t="e" cm="1">
        <f t="array" ref="N2442">IF(OR(ISNUMBER(FIND(Aux!$D$3:$D$9,_xlfn.TEXTJOIN(,,C2442:K2442)))),NA(),IF(AND(SUM(C2442:F2442,H2442:K2442)=0,G2442=1),0,INT((SUMPRODUCT(C2442:F2442,COLUMN($A$1:$D$1)-1)+SUMPRODUCT(H2442:K2442,COLUMN($E$1:$H$1)-1))*'Line Follower'!$C$3/SUM(C2442:F2442,H2442:K2442)-'Line Follower'!$C$5)))</f>
        <v>#N/A</v>
      </c>
      <c r="O2442" s="22" t="e">
        <v>#N/A</v>
      </c>
      <c r="P2442" s="4" t="e">
        <f t="shared" si="190"/>
        <v>#N/A</v>
      </c>
      <c r="Q2442" s="4" t="e">
        <f t="shared" si="191"/>
        <v>#N/A</v>
      </c>
      <c r="R2442" s="4" t="e">
        <f>IF(AND(B2442=1,N2442&gt;'Line Follower'!$C$7,SUM(C2442:K2442)&lt;4),1,0)</f>
        <v>#N/A</v>
      </c>
      <c r="S2442" s="4" t="e">
        <f>IF(AND(L2442=1,N2442&lt;'Line Follower'!$C$6,SUM(C2442:K2442)&lt;4),1,0)</f>
        <v>#N/A</v>
      </c>
      <c r="T2442" s="4" t="e">
        <f t="shared" si="192"/>
        <v>#N/A</v>
      </c>
      <c r="U2442" s="5" t="e">
        <f t="shared" si="193"/>
        <v>#N/A</v>
      </c>
      <c r="V2442" s="23" t="e">
        <f t="shared" si="194"/>
        <v>#N/A</v>
      </c>
    </row>
    <row r="2443" spans="2:22" x14ac:dyDescent="0.25">
      <c r="B2443" s="16">
        <v>0</v>
      </c>
      <c r="C2443" s="7">
        <v>0</v>
      </c>
      <c r="D2443" s="8">
        <v>0</v>
      </c>
      <c r="E2443" s="8">
        <v>1</v>
      </c>
      <c r="F2443" s="8">
        <v>0</v>
      </c>
      <c r="G2443" s="8">
        <v>0</v>
      </c>
      <c r="H2443" s="8">
        <v>0</v>
      </c>
      <c r="I2443" s="8">
        <v>1</v>
      </c>
      <c r="J2443" s="8">
        <v>1</v>
      </c>
      <c r="K2443" s="9">
        <v>0</v>
      </c>
      <c r="L2443" s="10">
        <v>0</v>
      </c>
      <c r="M2443" s="6">
        <v>1</v>
      </c>
      <c r="N2443" s="37" t="e" cm="1">
        <f t="array" ref="N2443">IF(OR(ISNUMBER(FIND(Aux!$D$3:$D$9,_xlfn.TEXTJOIN(,,C2443:K2443)))),NA(),IF(AND(SUM(C2443:F2443,H2443:K2443)=0,G2443=1),0,INT((SUMPRODUCT(C2443:F2443,COLUMN($A$1:$D$1)-1)+SUMPRODUCT(H2443:K2443,COLUMN($E$1:$H$1)-1))*'Line Follower'!$C$3/SUM(C2443:F2443,H2443:K2443)-'Line Follower'!$C$5)))</f>
        <v>#N/A</v>
      </c>
      <c r="O2443" s="22" t="e">
        <v>#N/A</v>
      </c>
      <c r="P2443" s="4" t="e">
        <f t="shared" si="190"/>
        <v>#N/A</v>
      </c>
      <c r="Q2443" s="4" t="e">
        <f t="shared" si="191"/>
        <v>#N/A</v>
      </c>
      <c r="R2443" s="4" t="e">
        <f>IF(AND(B2443=1,N2443&gt;'Line Follower'!$C$7,SUM(C2443:K2443)&lt;4),1,0)</f>
        <v>#N/A</v>
      </c>
      <c r="S2443" s="4" t="e">
        <f>IF(AND(L2443=1,N2443&lt;'Line Follower'!$C$6,SUM(C2443:K2443)&lt;4),1,0)</f>
        <v>#N/A</v>
      </c>
      <c r="T2443" s="4" t="e">
        <f t="shared" si="192"/>
        <v>#N/A</v>
      </c>
      <c r="U2443" s="5" t="e">
        <f t="shared" si="193"/>
        <v>#N/A</v>
      </c>
      <c r="V2443" s="23" t="e">
        <f t="shared" si="194"/>
        <v>#N/A</v>
      </c>
    </row>
    <row r="2444" spans="2:22" x14ac:dyDescent="0.25">
      <c r="B2444" s="16">
        <v>1</v>
      </c>
      <c r="C2444" s="7">
        <v>0</v>
      </c>
      <c r="D2444" s="8">
        <v>0</v>
      </c>
      <c r="E2444" s="8">
        <v>1</v>
      </c>
      <c r="F2444" s="8">
        <v>0</v>
      </c>
      <c r="G2444" s="8">
        <v>0</v>
      </c>
      <c r="H2444" s="8">
        <v>0</v>
      </c>
      <c r="I2444" s="8">
        <v>1</v>
      </c>
      <c r="J2444" s="8">
        <v>1</v>
      </c>
      <c r="K2444" s="9">
        <v>0</v>
      </c>
      <c r="L2444" s="10">
        <v>0</v>
      </c>
      <c r="M2444" s="6">
        <v>1</v>
      </c>
      <c r="N2444" s="37" t="e" cm="1">
        <f t="array" ref="N2444">IF(OR(ISNUMBER(FIND(Aux!$D$3:$D$9,_xlfn.TEXTJOIN(,,C2444:K2444)))),NA(),IF(AND(SUM(C2444:F2444,H2444:K2444)=0,G2444=1),0,INT((SUMPRODUCT(C2444:F2444,COLUMN($A$1:$D$1)-1)+SUMPRODUCT(H2444:K2444,COLUMN($E$1:$H$1)-1))*'Line Follower'!$C$3/SUM(C2444:F2444,H2444:K2444)-'Line Follower'!$C$5)))</f>
        <v>#N/A</v>
      </c>
      <c r="O2444" s="22" t="e">
        <v>#N/A</v>
      </c>
      <c r="P2444" s="4" t="e">
        <f t="shared" si="190"/>
        <v>#N/A</v>
      </c>
      <c r="Q2444" s="4" t="e">
        <f t="shared" si="191"/>
        <v>#N/A</v>
      </c>
      <c r="R2444" s="4" t="e">
        <f>IF(AND(B2444=1,N2444&gt;'Line Follower'!$C$7,SUM(C2444:K2444)&lt;4),1,0)</f>
        <v>#N/A</v>
      </c>
      <c r="S2444" s="4" t="e">
        <f>IF(AND(L2444=1,N2444&lt;'Line Follower'!$C$6,SUM(C2444:K2444)&lt;4),1,0)</f>
        <v>#N/A</v>
      </c>
      <c r="T2444" s="4" t="e">
        <f t="shared" si="192"/>
        <v>#N/A</v>
      </c>
      <c r="U2444" s="5" t="e">
        <f t="shared" si="193"/>
        <v>#N/A</v>
      </c>
      <c r="V2444" s="23" t="e">
        <f t="shared" si="194"/>
        <v>#N/A</v>
      </c>
    </row>
    <row r="2445" spans="2:22" x14ac:dyDescent="0.25">
      <c r="B2445" s="16">
        <v>0</v>
      </c>
      <c r="C2445" s="7">
        <v>1</v>
      </c>
      <c r="D2445" s="8">
        <v>0</v>
      </c>
      <c r="E2445" s="8">
        <v>1</v>
      </c>
      <c r="F2445" s="8">
        <v>0</v>
      </c>
      <c r="G2445" s="8">
        <v>0</v>
      </c>
      <c r="H2445" s="8">
        <v>0</v>
      </c>
      <c r="I2445" s="8">
        <v>1</v>
      </c>
      <c r="J2445" s="8">
        <v>1</v>
      </c>
      <c r="K2445" s="9">
        <v>0</v>
      </c>
      <c r="L2445" s="10">
        <v>0</v>
      </c>
      <c r="M2445" s="6">
        <v>1</v>
      </c>
      <c r="N2445" s="37" t="e" cm="1">
        <f t="array" ref="N2445">IF(OR(ISNUMBER(FIND(Aux!$D$3:$D$9,_xlfn.TEXTJOIN(,,C2445:K2445)))),NA(),IF(AND(SUM(C2445:F2445,H2445:K2445)=0,G2445=1),0,INT((SUMPRODUCT(C2445:F2445,COLUMN($A$1:$D$1)-1)+SUMPRODUCT(H2445:K2445,COLUMN($E$1:$H$1)-1))*'Line Follower'!$C$3/SUM(C2445:F2445,H2445:K2445)-'Line Follower'!$C$5)))</f>
        <v>#N/A</v>
      </c>
      <c r="O2445" s="22" t="e">
        <v>#N/A</v>
      </c>
      <c r="P2445" s="4" t="e">
        <f t="shared" si="190"/>
        <v>#N/A</v>
      </c>
      <c r="Q2445" s="4" t="e">
        <f t="shared" si="191"/>
        <v>#N/A</v>
      </c>
      <c r="R2445" s="4" t="e">
        <f>IF(AND(B2445=1,N2445&gt;'Line Follower'!$C$7,SUM(C2445:K2445)&lt;4),1,0)</f>
        <v>#N/A</v>
      </c>
      <c r="S2445" s="4" t="e">
        <f>IF(AND(L2445=1,N2445&lt;'Line Follower'!$C$6,SUM(C2445:K2445)&lt;4),1,0)</f>
        <v>#N/A</v>
      </c>
      <c r="T2445" s="4" t="e">
        <f t="shared" si="192"/>
        <v>#N/A</v>
      </c>
      <c r="U2445" s="5" t="e">
        <f t="shared" si="193"/>
        <v>#N/A</v>
      </c>
      <c r="V2445" s="23" t="e">
        <f t="shared" si="194"/>
        <v>#N/A</v>
      </c>
    </row>
    <row r="2446" spans="2:22" x14ac:dyDescent="0.25">
      <c r="B2446" s="16">
        <v>1</v>
      </c>
      <c r="C2446" s="7">
        <v>1</v>
      </c>
      <c r="D2446" s="8">
        <v>0</v>
      </c>
      <c r="E2446" s="8">
        <v>1</v>
      </c>
      <c r="F2446" s="8">
        <v>0</v>
      </c>
      <c r="G2446" s="8">
        <v>0</v>
      </c>
      <c r="H2446" s="8">
        <v>0</v>
      </c>
      <c r="I2446" s="8">
        <v>1</v>
      </c>
      <c r="J2446" s="8">
        <v>1</v>
      </c>
      <c r="K2446" s="9">
        <v>0</v>
      </c>
      <c r="L2446" s="10">
        <v>0</v>
      </c>
      <c r="M2446" s="6">
        <v>1</v>
      </c>
      <c r="N2446" s="37" t="e" cm="1">
        <f t="array" ref="N2446">IF(OR(ISNUMBER(FIND(Aux!$D$3:$D$9,_xlfn.TEXTJOIN(,,C2446:K2446)))),NA(),IF(AND(SUM(C2446:F2446,H2446:K2446)=0,G2446=1),0,INT((SUMPRODUCT(C2446:F2446,COLUMN($A$1:$D$1)-1)+SUMPRODUCT(H2446:K2446,COLUMN($E$1:$H$1)-1))*'Line Follower'!$C$3/SUM(C2446:F2446,H2446:K2446)-'Line Follower'!$C$5)))</f>
        <v>#N/A</v>
      </c>
      <c r="O2446" s="22" t="e">
        <v>#N/A</v>
      </c>
      <c r="P2446" s="4" t="e">
        <f t="shared" si="190"/>
        <v>#N/A</v>
      </c>
      <c r="Q2446" s="4" t="e">
        <f t="shared" si="191"/>
        <v>#N/A</v>
      </c>
      <c r="R2446" s="4" t="e">
        <f>IF(AND(B2446=1,N2446&gt;'Line Follower'!$C$7,SUM(C2446:K2446)&lt;4),1,0)</f>
        <v>#N/A</v>
      </c>
      <c r="S2446" s="4" t="e">
        <f>IF(AND(L2446=1,N2446&lt;'Line Follower'!$C$6,SUM(C2446:K2446)&lt;4),1,0)</f>
        <v>#N/A</v>
      </c>
      <c r="T2446" s="4" t="e">
        <f t="shared" si="192"/>
        <v>#N/A</v>
      </c>
      <c r="U2446" s="5" t="e">
        <f t="shared" si="193"/>
        <v>#N/A</v>
      </c>
      <c r="V2446" s="23" t="e">
        <f t="shared" si="194"/>
        <v>#N/A</v>
      </c>
    </row>
    <row r="2447" spans="2:22" x14ac:dyDescent="0.25">
      <c r="B2447" s="16">
        <v>0</v>
      </c>
      <c r="C2447" s="7">
        <v>0</v>
      </c>
      <c r="D2447" s="8">
        <v>1</v>
      </c>
      <c r="E2447" s="8">
        <v>1</v>
      </c>
      <c r="F2447" s="8">
        <v>0</v>
      </c>
      <c r="G2447" s="8">
        <v>0</v>
      </c>
      <c r="H2447" s="8">
        <v>0</v>
      </c>
      <c r="I2447" s="8">
        <v>1</v>
      </c>
      <c r="J2447" s="8">
        <v>1</v>
      </c>
      <c r="K2447" s="9">
        <v>0</v>
      </c>
      <c r="L2447" s="10">
        <v>0</v>
      </c>
      <c r="M2447" s="6">
        <v>1</v>
      </c>
      <c r="N2447" s="37" t="e" cm="1">
        <f t="array" ref="N2447">IF(OR(ISNUMBER(FIND(Aux!$D$3:$D$9,_xlfn.TEXTJOIN(,,C2447:K2447)))),NA(),IF(AND(SUM(C2447:F2447,H2447:K2447)=0,G2447=1),0,INT((SUMPRODUCT(C2447:F2447,COLUMN($A$1:$D$1)-1)+SUMPRODUCT(H2447:K2447,COLUMN($E$1:$H$1)-1))*'Line Follower'!$C$3/SUM(C2447:F2447,H2447:K2447)-'Line Follower'!$C$5)))</f>
        <v>#N/A</v>
      </c>
      <c r="O2447" s="22" t="e">
        <v>#N/A</v>
      </c>
      <c r="P2447" s="4" t="e">
        <f t="shared" si="190"/>
        <v>#N/A</v>
      </c>
      <c r="Q2447" s="4" t="e">
        <f t="shared" si="191"/>
        <v>#N/A</v>
      </c>
      <c r="R2447" s="4" t="e">
        <f>IF(AND(B2447=1,N2447&gt;'Line Follower'!$C$7,SUM(C2447:K2447)&lt;4),1,0)</f>
        <v>#N/A</v>
      </c>
      <c r="S2447" s="4" t="e">
        <f>IF(AND(L2447=1,N2447&lt;'Line Follower'!$C$6,SUM(C2447:K2447)&lt;4),1,0)</f>
        <v>#N/A</v>
      </c>
      <c r="T2447" s="4" t="e">
        <f t="shared" si="192"/>
        <v>#N/A</v>
      </c>
      <c r="U2447" s="5" t="e">
        <f t="shared" si="193"/>
        <v>#N/A</v>
      </c>
      <c r="V2447" s="23" t="e">
        <f t="shared" si="194"/>
        <v>#N/A</v>
      </c>
    </row>
    <row r="2448" spans="2:22" x14ac:dyDescent="0.25">
      <c r="B2448" s="16">
        <v>1</v>
      </c>
      <c r="C2448" s="7">
        <v>0</v>
      </c>
      <c r="D2448" s="8">
        <v>1</v>
      </c>
      <c r="E2448" s="8">
        <v>1</v>
      </c>
      <c r="F2448" s="8">
        <v>0</v>
      </c>
      <c r="G2448" s="8">
        <v>0</v>
      </c>
      <c r="H2448" s="8">
        <v>0</v>
      </c>
      <c r="I2448" s="8">
        <v>1</v>
      </c>
      <c r="J2448" s="8">
        <v>1</v>
      </c>
      <c r="K2448" s="9">
        <v>0</v>
      </c>
      <c r="L2448" s="10">
        <v>0</v>
      </c>
      <c r="M2448" s="6">
        <v>1</v>
      </c>
      <c r="N2448" s="37" t="e" cm="1">
        <f t="array" ref="N2448">IF(OR(ISNUMBER(FIND(Aux!$D$3:$D$9,_xlfn.TEXTJOIN(,,C2448:K2448)))),NA(),IF(AND(SUM(C2448:F2448,H2448:K2448)=0,G2448=1),0,INT((SUMPRODUCT(C2448:F2448,COLUMN($A$1:$D$1)-1)+SUMPRODUCT(H2448:K2448,COLUMN($E$1:$H$1)-1))*'Line Follower'!$C$3/SUM(C2448:F2448,H2448:K2448)-'Line Follower'!$C$5)))</f>
        <v>#N/A</v>
      </c>
      <c r="O2448" s="22" t="e">
        <v>#N/A</v>
      </c>
      <c r="P2448" s="4" t="e">
        <f t="shared" si="190"/>
        <v>#N/A</v>
      </c>
      <c r="Q2448" s="4" t="e">
        <f t="shared" si="191"/>
        <v>#N/A</v>
      </c>
      <c r="R2448" s="4" t="e">
        <f>IF(AND(B2448=1,N2448&gt;'Line Follower'!$C$7,SUM(C2448:K2448)&lt;4),1,0)</f>
        <v>#N/A</v>
      </c>
      <c r="S2448" s="4" t="e">
        <f>IF(AND(L2448=1,N2448&lt;'Line Follower'!$C$6,SUM(C2448:K2448)&lt;4),1,0)</f>
        <v>#N/A</v>
      </c>
      <c r="T2448" s="4" t="e">
        <f t="shared" si="192"/>
        <v>#N/A</v>
      </c>
      <c r="U2448" s="5" t="e">
        <f t="shared" si="193"/>
        <v>#N/A</v>
      </c>
      <c r="V2448" s="23" t="e">
        <f t="shared" si="194"/>
        <v>#N/A</v>
      </c>
    </row>
    <row r="2449" spans="2:22" x14ac:dyDescent="0.25">
      <c r="B2449" s="16">
        <v>0</v>
      </c>
      <c r="C2449" s="7">
        <v>1</v>
      </c>
      <c r="D2449" s="8">
        <v>1</v>
      </c>
      <c r="E2449" s="8">
        <v>1</v>
      </c>
      <c r="F2449" s="8">
        <v>0</v>
      </c>
      <c r="G2449" s="8">
        <v>0</v>
      </c>
      <c r="H2449" s="8">
        <v>0</v>
      </c>
      <c r="I2449" s="8">
        <v>1</v>
      </c>
      <c r="J2449" s="8">
        <v>1</v>
      </c>
      <c r="K2449" s="9">
        <v>0</v>
      </c>
      <c r="L2449" s="10">
        <v>0</v>
      </c>
      <c r="M2449" s="6">
        <v>1</v>
      </c>
      <c r="N2449" s="37" t="e" cm="1">
        <f t="array" ref="N2449">IF(OR(ISNUMBER(FIND(Aux!$D$3:$D$9,_xlfn.TEXTJOIN(,,C2449:K2449)))),NA(),IF(AND(SUM(C2449:F2449,H2449:K2449)=0,G2449=1),0,INT((SUMPRODUCT(C2449:F2449,COLUMN($A$1:$D$1)-1)+SUMPRODUCT(H2449:K2449,COLUMN($E$1:$H$1)-1))*'Line Follower'!$C$3/SUM(C2449:F2449,H2449:K2449)-'Line Follower'!$C$5)))</f>
        <v>#N/A</v>
      </c>
      <c r="O2449" s="22" t="e">
        <v>#N/A</v>
      </c>
      <c r="P2449" s="4" t="e">
        <f t="shared" si="190"/>
        <v>#N/A</v>
      </c>
      <c r="Q2449" s="4" t="e">
        <f t="shared" si="191"/>
        <v>#N/A</v>
      </c>
      <c r="R2449" s="4" t="e">
        <f>IF(AND(B2449=1,N2449&gt;'Line Follower'!$C$7,SUM(C2449:K2449)&lt;4),1,0)</f>
        <v>#N/A</v>
      </c>
      <c r="S2449" s="4" t="e">
        <f>IF(AND(L2449=1,N2449&lt;'Line Follower'!$C$6,SUM(C2449:K2449)&lt;4),1,0)</f>
        <v>#N/A</v>
      </c>
      <c r="T2449" s="4" t="e">
        <f t="shared" si="192"/>
        <v>#N/A</v>
      </c>
      <c r="U2449" s="5" t="e">
        <f t="shared" si="193"/>
        <v>#N/A</v>
      </c>
      <c r="V2449" s="23" t="e">
        <f t="shared" si="194"/>
        <v>#N/A</v>
      </c>
    </row>
    <row r="2450" spans="2:22" x14ac:dyDescent="0.25">
      <c r="B2450" s="16">
        <v>1</v>
      </c>
      <c r="C2450" s="7">
        <v>1</v>
      </c>
      <c r="D2450" s="8">
        <v>1</v>
      </c>
      <c r="E2450" s="8">
        <v>1</v>
      </c>
      <c r="F2450" s="8">
        <v>0</v>
      </c>
      <c r="G2450" s="8">
        <v>0</v>
      </c>
      <c r="H2450" s="8">
        <v>0</v>
      </c>
      <c r="I2450" s="8">
        <v>1</v>
      </c>
      <c r="J2450" s="8">
        <v>1</v>
      </c>
      <c r="K2450" s="9">
        <v>0</v>
      </c>
      <c r="L2450" s="10">
        <v>0</v>
      </c>
      <c r="M2450" s="6">
        <v>1</v>
      </c>
      <c r="N2450" s="37" t="e" cm="1">
        <f t="array" ref="N2450">IF(OR(ISNUMBER(FIND(Aux!$D$3:$D$9,_xlfn.TEXTJOIN(,,C2450:K2450)))),NA(),IF(AND(SUM(C2450:F2450,H2450:K2450)=0,G2450=1),0,INT((SUMPRODUCT(C2450:F2450,COLUMN($A$1:$D$1)-1)+SUMPRODUCT(H2450:K2450,COLUMN($E$1:$H$1)-1))*'Line Follower'!$C$3/SUM(C2450:F2450,H2450:K2450)-'Line Follower'!$C$5)))</f>
        <v>#N/A</v>
      </c>
      <c r="O2450" s="22" t="e">
        <v>#N/A</v>
      </c>
      <c r="P2450" s="4" t="e">
        <f t="shared" si="190"/>
        <v>#N/A</v>
      </c>
      <c r="Q2450" s="4" t="e">
        <f t="shared" si="191"/>
        <v>#N/A</v>
      </c>
      <c r="R2450" s="4" t="e">
        <f>IF(AND(B2450=1,N2450&gt;'Line Follower'!$C$7,SUM(C2450:K2450)&lt;4),1,0)</f>
        <v>#N/A</v>
      </c>
      <c r="S2450" s="4" t="e">
        <f>IF(AND(L2450=1,N2450&lt;'Line Follower'!$C$6,SUM(C2450:K2450)&lt;4),1,0)</f>
        <v>#N/A</v>
      </c>
      <c r="T2450" s="4" t="e">
        <f t="shared" si="192"/>
        <v>#N/A</v>
      </c>
      <c r="U2450" s="5" t="e">
        <f t="shared" si="193"/>
        <v>#N/A</v>
      </c>
      <c r="V2450" s="23" t="e">
        <f t="shared" si="194"/>
        <v>#N/A</v>
      </c>
    </row>
    <row r="2451" spans="2:22" x14ac:dyDescent="0.25">
      <c r="B2451" s="16">
        <v>0</v>
      </c>
      <c r="C2451" s="7">
        <v>0</v>
      </c>
      <c r="D2451" s="8">
        <v>0</v>
      </c>
      <c r="E2451" s="8">
        <v>0</v>
      </c>
      <c r="F2451" s="8">
        <v>1</v>
      </c>
      <c r="G2451" s="8">
        <v>0</v>
      </c>
      <c r="H2451" s="8">
        <v>0</v>
      </c>
      <c r="I2451" s="8">
        <v>1</v>
      </c>
      <c r="J2451" s="8">
        <v>1</v>
      </c>
      <c r="K2451" s="9">
        <v>0</v>
      </c>
      <c r="L2451" s="10">
        <v>0</v>
      </c>
      <c r="M2451" s="6">
        <v>1</v>
      </c>
      <c r="N2451" s="37" t="e" cm="1">
        <f t="array" ref="N2451">IF(OR(ISNUMBER(FIND(Aux!$D$3:$D$9,_xlfn.TEXTJOIN(,,C2451:K2451)))),NA(),IF(AND(SUM(C2451:F2451,H2451:K2451)=0,G2451=1),0,INT((SUMPRODUCT(C2451:F2451,COLUMN($A$1:$D$1)-1)+SUMPRODUCT(H2451:K2451,COLUMN($E$1:$H$1)-1))*'Line Follower'!$C$3/SUM(C2451:F2451,H2451:K2451)-'Line Follower'!$C$5)))</f>
        <v>#N/A</v>
      </c>
      <c r="O2451" s="22" t="e">
        <v>#N/A</v>
      </c>
      <c r="P2451" s="4" t="e">
        <f t="shared" si="190"/>
        <v>#N/A</v>
      </c>
      <c r="Q2451" s="4" t="e">
        <f t="shared" si="191"/>
        <v>#N/A</v>
      </c>
      <c r="R2451" s="4" t="e">
        <f>IF(AND(B2451=1,N2451&gt;'Line Follower'!$C$7,SUM(C2451:K2451)&lt;4),1,0)</f>
        <v>#N/A</v>
      </c>
      <c r="S2451" s="4" t="e">
        <f>IF(AND(L2451=1,N2451&lt;'Line Follower'!$C$6,SUM(C2451:K2451)&lt;4),1,0)</f>
        <v>#N/A</v>
      </c>
      <c r="T2451" s="4" t="e">
        <f t="shared" si="192"/>
        <v>#N/A</v>
      </c>
      <c r="U2451" s="5" t="e">
        <f t="shared" si="193"/>
        <v>#N/A</v>
      </c>
      <c r="V2451" s="23" t="e">
        <f t="shared" si="194"/>
        <v>#N/A</v>
      </c>
    </row>
    <row r="2452" spans="2:22" x14ac:dyDescent="0.25">
      <c r="B2452" s="16">
        <v>1</v>
      </c>
      <c r="C2452" s="7">
        <v>0</v>
      </c>
      <c r="D2452" s="8">
        <v>0</v>
      </c>
      <c r="E2452" s="8">
        <v>0</v>
      </c>
      <c r="F2452" s="8">
        <v>1</v>
      </c>
      <c r="G2452" s="8">
        <v>0</v>
      </c>
      <c r="H2452" s="8">
        <v>0</v>
      </c>
      <c r="I2452" s="8">
        <v>1</v>
      </c>
      <c r="J2452" s="8">
        <v>1</v>
      </c>
      <c r="K2452" s="9">
        <v>0</v>
      </c>
      <c r="L2452" s="10">
        <v>0</v>
      </c>
      <c r="M2452" s="6">
        <v>1</v>
      </c>
      <c r="N2452" s="37" t="e" cm="1">
        <f t="array" ref="N2452">IF(OR(ISNUMBER(FIND(Aux!$D$3:$D$9,_xlfn.TEXTJOIN(,,C2452:K2452)))),NA(),IF(AND(SUM(C2452:F2452,H2452:K2452)=0,G2452=1),0,INT((SUMPRODUCT(C2452:F2452,COLUMN($A$1:$D$1)-1)+SUMPRODUCT(H2452:K2452,COLUMN($E$1:$H$1)-1))*'Line Follower'!$C$3/SUM(C2452:F2452,H2452:K2452)-'Line Follower'!$C$5)))</f>
        <v>#N/A</v>
      </c>
      <c r="O2452" s="22" t="e">
        <v>#N/A</v>
      </c>
      <c r="P2452" s="4" t="e">
        <f t="shared" si="190"/>
        <v>#N/A</v>
      </c>
      <c r="Q2452" s="4" t="e">
        <f t="shared" si="191"/>
        <v>#N/A</v>
      </c>
      <c r="R2452" s="4" t="e">
        <f>IF(AND(B2452=1,N2452&gt;'Line Follower'!$C$7,SUM(C2452:K2452)&lt;4),1,0)</f>
        <v>#N/A</v>
      </c>
      <c r="S2452" s="4" t="e">
        <f>IF(AND(L2452=1,N2452&lt;'Line Follower'!$C$6,SUM(C2452:K2452)&lt;4),1,0)</f>
        <v>#N/A</v>
      </c>
      <c r="T2452" s="4" t="e">
        <f t="shared" si="192"/>
        <v>#N/A</v>
      </c>
      <c r="U2452" s="5" t="e">
        <f t="shared" si="193"/>
        <v>#N/A</v>
      </c>
      <c r="V2452" s="23" t="e">
        <f t="shared" si="194"/>
        <v>#N/A</v>
      </c>
    </row>
    <row r="2453" spans="2:22" x14ac:dyDescent="0.25">
      <c r="B2453" s="16">
        <v>0</v>
      </c>
      <c r="C2453" s="7">
        <v>1</v>
      </c>
      <c r="D2453" s="8">
        <v>0</v>
      </c>
      <c r="E2453" s="8">
        <v>0</v>
      </c>
      <c r="F2453" s="8">
        <v>1</v>
      </c>
      <c r="G2453" s="8">
        <v>0</v>
      </c>
      <c r="H2453" s="8">
        <v>0</v>
      </c>
      <c r="I2453" s="8">
        <v>1</v>
      </c>
      <c r="J2453" s="8">
        <v>1</v>
      </c>
      <c r="K2453" s="9">
        <v>0</v>
      </c>
      <c r="L2453" s="10">
        <v>0</v>
      </c>
      <c r="M2453" s="6">
        <v>1</v>
      </c>
      <c r="N2453" s="37" t="e" cm="1">
        <f t="array" ref="N2453">IF(OR(ISNUMBER(FIND(Aux!$D$3:$D$9,_xlfn.TEXTJOIN(,,C2453:K2453)))),NA(),IF(AND(SUM(C2453:F2453,H2453:K2453)=0,G2453=1),0,INT((SUMPRODUCT(C2453:F2453,COLUMN($A$1:$D$1)-1)+SUMPRODUCT(H2453:K2453,COLUMN($E$1:$H$1)-1))*'Line Follower'!$C$3/SUM(C2453:F2453,H2453:K2453)-'Line Follower'!$C$5)))</f>
        <v>#N/A</v>
      </c>
      <c r="O2453" s="22" t="e">
        <v>#N/A</v>
      </c>
      <c r="P2453" s="4" t="e">
        <f t="shared" si="190"/>
        <v>#N/A</v>
      </c>
      <c r="Q2453" s="4" t="e">
        <f t="shared" si="191"/>
        <v>#N/A</v>
      </c>
      <c r="R2453" s="4" t="e">
        <f>IF(AND(B2453=1,N2453&gt;'Line Follower'!$C$7,SUM(C2453:K2453)&lt;4),1,0)</f>
        <v>#N/A</v>
      </c>
      <c r="S2453" s="4" t="e">
        <f>IF(AND(L2453=1,N2453&lt;'Line Follower'!$C$6,SUM(C2453:K2453)&lt;4),1,0)</f>
        <v>#N/A</v>
      </c>
      <c r="T2453" s="4" t="e">
        <f t="shared" si="192"/>
        <v>#N/A</v>
      </c>
      <c r="U2453" s="5" t="e">
        <f t="shared" si="193"/>
        <v>#N/A</v>
      </c>
      <c r="V2453" s="23" t="e">
        <f t="shared" si="194"/>
        <v>#N/A</v>
      </c>
    </row>
    <row r="2454" spans="2:22" x14ac:dyDescent="0.25">
      <c r="B2454" s="16">
        <v>1</v>
      </c>
      <c r="C2454" s="7">
        <v>1</v>
      </c>
      <c r="D2454" s="8">
        <v>0</v>
      </c>
      <c r="E2454" s="8">
        <v>0</v>
      </c>
      <c r="F2454" s="8">
        <v>1</v>
      </c>
      <c r="G2454" s="8">
        <v>0</v>
      </c>
      <c r="H2454" s="8">
        <v>0</v>
      </c>
      <c r="I2454" s="8">
        <v>1</v>
      </c>
      <c r="J2454" s="8">
        <v>1</v>
      </c>
      <c r="K2454" s="9">
        <v>0</v>
      </c>
      <c r="L2454" s="10">
        <v>0</v>
      </c>
      <c r="M2454" s="6">
        <v>1</v>
      </c>
      <c r="N2454" s="37" t="e" cm="1">
        <f t="array" ref="N2454">IF(OR(ISNUMBER(FIND(Aux!$D$3:$D$9,_xlfn.TEXTJOIN(,,C2454:K2454)))),NA(),IF(AND(SUM(C2454:F2454,H2454:K2454)=0,G2454=1),0,INT((SUMPRODUCT(C2454:F2454,COLUMN($A$1:$D$1)-1)+SUMPRODUCT(H2454:K2454,COLUMN($E$1:$H$1)-1))*'Line Follower'!$C$3/SUM(C2454:F2454,H2454:K2454)-'Line Follower'!$C$5)))</f>
        <v>#N/A</v>
      </c>
      <c r="O2454" s="22" t="e">
        <v>#N/A</v>
      </c>
      <c r="P2454" s="4" t="e">
        <f t="shared" si="190"/>
        <v>#N/A</v>
      </c>
      <c r="Q2454" s="4" t="e">
        <f t="shared" si="191"/>
        <v>#N/A</v>
      </c>
      <c r="R2454" s="4" t="e">
        <f>IF(AND(B2454=1,N2454&gt;'Line Follower'!$C$7,SUM(C2454:K2454)&lt;4),1,0)</f>
        <v>#N/A</v>
      </c>
      <c r="S2454" s="4" t="e">
        <f>IF(AND(L2454=1,N2454&lt;'Line Follower'!$C$6,SUM(C2454:K2454)&lt;4),1,0)</f>
        <v>#N/A</v>
      </c>
      <c r="T2454" s="4" t="e">
        <f t="shared" si="192"/>
        <v>#N/A</v>
      </c>
      <c r="U2454" s="5" t="e">
        <f t="shared" si="193"/>
        <v>#N/A</v>
      </c>
      <c r="V2454" s="23" t="e">
        <f t="shared" si="194"/>
        <v>#N/A</v>
      </c>
    </row>
    <row r="2455" spans="2:22" x14ac:dyDescent="0.25">
      <c r="B2455" s="16">
        <v>0</v>
      </c>
      <c r="C2455" s="7">
        <v>0</v>
      </c>
      <c r="D2455" s="8">
        <v>1</v>
      </c>
      <c r="E2455" s="8">
        <v>0</v>
      </c>
      <c r="F2455" s="8">
        <v>1</v>
      </c>
      <c r="G2455" s="8">
        <v>0</v>
      </c>
      <c r="H2455" s="8">
        <v>0</v>
      </c>
      <c r="I2455" s="8">
        <v>1</v>
      </c>
      <c r="J2455" s="8">
        <v>1</v>
      </c>
      <c r="K2455" s="9">
        <v>0</v>
      </c>
      <c r="L2455" s="10">
        <v>0</v>
      </c>
      <c r="M2455" s="6">
        <v>1</v>
      </c>
      <c r="N2455" s="37" t="e" cm="1">
        <f t="array" ref="N2455">IF(OR(ISNUMBER(FIND(Aux!$D$3:$D$9,_xlfn.TEXTJOIN(,,C2455:K2455)))),NA(),IF(AND(SUM(C2455:F2455,H2455:K2455)=0,G2455=1),0,INT((SUMPRODUCT(C2455:F2455,COLUMN($A$1:$D$1)-1)+SUMPRODUCT(H2455:K2455,COLUMN($E$1:$H$1)-1))*'Line Follower'!$C$3/SUM(C2455:F2455,H2455:K2455)-'Line Follower'!$C$5)))</f>
        <v>#N/A</v>
      </c>
      <c r="O2455" s="22" t="e">
        <v>#N/A</v>
      </c>
      <c r="P2455" s="4" t="e">
        <f t="shared" si="190"/>
        <v>#N/A</v>
      </c>
      <c r="Q2455" s="4" t="e">
        <f t="shared" si="191"/>
        <v>#N/A</v>
      </c>
      <c r="R2455" s="4" t="e">
        <f>IF(AND(B2455=1,N2455&gt;'Line Follower'!$C$7,SUM(C2455:K2455)&lt;4),1,0)</f>
        <v>#N/A</v>
      </c>
      <c r="S2455" s="4" t="e">
        <f>IF(AND(L2455=1,N2455&lt;'Line Follower'!$C$6,SUM(C2455:K2455)&lt;4),1,0)</f>
        <v>#N/A</v>
      </c>
      <c r="T2455" s="4" t="e">
        <f t="shared" si="192"/>
        <v>#N/A</v>
      </c>
      <c r="U2455" s="5" t="e">
        <f t="shared" si="193"/>
        <v>#N/A</v>
      </c>
      <c r="V2455" s="23" t="e">
        <f t="shared" si="194"/>
        <v>#N/A</v>
      </c>
    </row>
    <row r="2456" spans="2:22" x14ac:dyDescent="0.25">
      <c r="B2456" s="16">
        <v>1</v>
      </c>
      <c r="C2456" s="7">
        <v>0</v>
      </c>
      <c r="D2456" s="8">
        <v>1</v>
      </c>
      <c r="E2456" s="8">
        <v>0</v>
      </c>
      <c r="F2456" s="8">
        <v>1</v>
      </c>
      <c r="G2456" s="8">
        <v>0</v>
      </c>
      <c r="H2456" s="8">
        <v>0</v>
      </c>
      <c r="I2456" s="8">
        <v>1</v>
      </c>
      <c r="J2456" s="8">
        <v>1</v>
      </c>
      <c r="K2456" s="9">
        <v>0</v>
      </c>
      <c r="L2456" s="10">
        <v>0</v>
      </c>
      <c r="M2456" s="6">
        <v>1</v>
      </c>
      <c r="N2456" s="37" t="e" cm="1">
        <f t="array" ref="N2456">IF(OR(ISNUMBER(FIND(Aux!$D$3:$D$9,_xlfn.TEXTJOIN(,,C2456:K2456)))),NA(),IF(AND(SUM(C2456:F2456,H2456:K2456)=0,G2456=1),0,INT((SUMPRODUCT(C2456:F2456,COLUMN($A$1:$D$1)-1)+SUMPRODUCT(H2456:K2456,COLUMN($E$1:$H$1)-1))*'Line Follower'!$C$3/SUM(C2456:F2456,H2456:K2456)-'Line Follower'!$C$5)))</f>
        <v>#N/A</v>
      </c>
      <c r="O2456" s="22" t="e">
        <v>#N/A</v>
      </c>
      <c r="P2456" s="4" t="e">
        <f t="shared" si="190"/>
        <v>#N/A</v>
      </c>
      <c r="Q2456" s="4" t="e">
        <f t="shared" si="191"/>
        <v>#N/A</v>
      </c>
      <c r="R2456" s="4" t="e">
        <f>IF(AND(B2456=1,N2456&gt;'Line Follower'!$C$7,SUM(C2456:K2456)&lt;4),1,0)</f>
        <v>#N/A</v>
      </c>
      <c r="S2456" s="4" t="e">
        <f>IF(AND(L2456=1,N2456&lt;'Line Follower'!$C$6,SUM(C2456:K2456)&lt;4),1,0)</f>
        <v>#N/A</v>
      </c>
      <c r="T2456" s="4" t="e">
        <f t="shared" si="192"/>
        <v>#N/A</v>
      </c>
      <c r="U2456" s="5" t="e">
        <f t="shared" si="193"/>
        <v>#N/A</v>
      </c>
      <c r="V2456" s="23" t="e">
        <f t="shared" si="194"/>
        <v>#N/A</v>
      </c>
    </row>
    <row r="2457" spans="2:22" x14ac:dyDescent="0.25">
      <c r="B2457" s="16">
        <v>0</v>
      </c>
      <c r="C2457" s="7">
        <v>1</v>
      </c>
      <c r="D2457" s="8">
        <v>1</v>
      </c>
      <c r="E2457" s="8">
        <v>0</v>
      </c>
      <c r="F2457" s="8">
        <v>1</v>
      </c>
      <c r="G2457" s="8">
        <v>0</v>
      </c>
      <c r="H2457" s="8">
        <v>0</v>
      </c>
      <c r="I2457" s="8">
        <v>1</v>
      </c>
      <c r="J2457" s="8">
        <v>1</v>
      </c>
      <c r="K2457" s="9">
        <v>0</v>
      </c>
      <c r="L2457" s="10">
        <v>0</v>
      </c>
      <c r="M2457" s="6">
        <v>1</v>
      </c>
      <c r="N2457" s="37" t="e" cm="1">
        <f t="array" ref="N2457">IF(OR(ISNUMBER(FIND(Aux!$D$3:$D$9,_xlfn.TEXTJOIN(,,C2457:K2457)))),NA(),IF(AND(SUM(C2457:F2457,H2457:K2457)=0,G2457=1),0,INT((SUMPRODUCT(C2457:F2457,COLUMN($A$1:$D$1)-1)+SUMPRODUCT(H2457:K2457,COLUMN($E$1:$H$1)-1))*'Line Follower'!$C$3/SUM(C2457:F2457,H2457:K2457)-'Line Follower'!$C$5)))</f>
        <v>#N/A</v>
      </c>
      <c r="O2457" s="22" t="e">
        <v>#N/A</v>
      </c>
      <c r="P2457" s="4" t="e">
        <f t="shared" si="190"/>
        <v>#N/A</v>
      </c>
      <c r="Q2457" s="4" t="e">
        <f t="shared" si="191"/>
        <v>#N/A</v>
      </c>
      <c r="R2457" s="4" t="e">
        <f>IF(AND(B2457=1,N2457&gt;'Line Follower'!$C$7,SUM(C2457:K2457)&lt;4),1,0)</f>
        <v>#N/A</v>
      </c>
      <c r="S2457" s="4" t="e">
        <f>IF(AND(L2457=1,N2457&lt;'Line Follower'!$C$6,SUM(C2457:K2457)&lt;4),1,0)</f>
        <v>#N/A</v>
      </c>
      <c r="T2457" s="4" t="e">
        <f t="shared" si="192"/>
        <v>#N/A</v>
      </c>
      <c r="U2457" s="5" t="e">
        <f t="shared" si="193"/>
        <v>#N/A</v>
      </c>
      <c r="V2457" s="23" t="e">
        <f t="shared" si="194"/>
        <v>#N/A</v>
      </c>
    </row>
    <row r="2458" spans="2:22" x14ac:dyDescent="0.25">
      <c r="B2458" s="16">
        <v>1</v>
      </c>
      <c r="C2458" s="7">
        <v>1</v>
      </c>
      <c r="D2458" s="8">
        <v>1</v>
      </c>
      <c r="E2458" s="8">
        <v>0</v>
      </c>
      <c r="F2458" s="8">
        <v>1</v>
      </c>
      <c r="G2458" s="8">
        <v>0</v>
      </c>
      <c r="H2458" s="8">
        <v>0</v>
      </c>
      <c r="I2458" s="8">
        <v>1</v>
      </c>
      <c r="J2458" s="8">
        <v>1</v>
      </c>
      <c r="K2458" s="9">
        <v>0</v>
      </c>
      <c r="L2458" s="10">
        <v>0</v>
      </c>
      <c r="M2458" s="6">
        <v>1</v>
      </c>
      <c r="N2458" s="37" t="e" cm="1">
        <f t="array" ref="N2458">IF(OR(ISNUMBER(FIND(Aux!$D$3:$D$9,_xlfn.TEXTJOIN(,,C2458:K2458)))),NA(),IF(AND(SUM(C2458:F2458,H2458:K2458)=0,G2458=1),0,INT((SUMPRODUCT(C2458:F2458,COLUMN($A$1:$D$1)-1)+SUMPRODUCT(H2458:K2458,COLUMN($E$1:$H$1)-1))*'Line Follower'!$C$3/SUM(C2458:F2458,H2458:K2458)-'Line Follower'!$C$5)))</f>
        <v>#N/A</v>
      </c>
      <c r="O2458" s="22" t="e">
        <v>#N/A</v>
      </c>
      <c r="P2458" s="4" t="e">
        <f t="shared" si="190"/>
        <v>#N/A</v>
      </c>
      <c r="Q2458" s="4" t="e">
        <f t="shared" si="191"/>
        <v>#N/A</v>
      </c>
      <c r="R2458" s="4" t="e">
        <f>IF(AND(B2458=1,N2458&gt;'Line Follower'!$C$7,SUM(C2458:K2458)&lt;4),1,0)</f>
        <v>#N/A</v>
      </c>
      <c r="S2458" s="4" t="e">
        <f>IF(AND(L2458=1,N2458&lt;'Line Follower'!$C$6,SUM(C2458:K2458)&lt;4),1,0)</f>
        <v>#N/A</v>
      </c>
      <c r="T2458" s="4" t="e">
        <f t="shared" si="192"/>
        <v>#N/A</v>
      </c>
      <c r="U2458" s="5" t="e">
        <f t="shared" si="193"/>
        <v>#N/A</v>
      </c>
      <c r="V2458" s="23" t="e">
        <f t="shared" si="194"/>
        <v>#N/A</v>
      </c>
    </row>
    <row r="2459" spans="2:22" x14ac:dyDescent="0.25">
      <c r="B2459" s="16">
        <v>0</v>
      </c>
      <c r="C2459" s="7">
        <v>0</v>
      </c>
      <c r="D2459" s="8">
        <v>0</v>
      </c>
      <c r="E2459" s="8">
        <v>1</v>
      </c>
      <c r="F2459" s="8">
        <v>1</v>
      </c>
      <c r="G2459" s="8">
        <v>0</v>
      </c>
      <c r="H2459" s="8">
        <v>0</v>
      </c>
      <c r="I2459" s="8">
        <v>1</v>
      </c>
      <c r="J2459" s="8">
        <v>1</v>
      </c>
      <c r="K2459" s="9">
        <v>0</v>
      </c>
      <c r="L2459" s="10">
        <v>0</v>
      </c>
      <c r="M2459" s="6">
        <v>1</v>
      </c>
      <c r="N2459" s="37" t="e" cm="1">
        <f t="array" ref="N2459">IF(OR(ISNUMBER(FIND(Aux!$D$3:$D$9,_xlfn.TEXTJOIN(,,C2459:K2459)))),NA(),IF(AND(SUM(C2459:F2459,H2459:K2459)=0,G2459=1),0,INT((SUMPRODUCT(C2459:F2459,COLUMN($A$1:$D$1)-1)+SUMPRODUCT(H2459:K2459,COLUMN($E$1:$H$1)-1))*'Line Follower'!$C$3/SUM(C2459:F2459,H2459:K2459)-'Line Follower'!$C$5)))</f>
        <v>#N/A</v>
      </c>
      <c r="O2459" s="22" t="e">
        <v>#N/A</v>
      </c>
      <c r="P2459" s="4" t="e">
        <f t="shared" si="190"/>
        <v>#N/A</v>
      </c>
      <c r="Q2459" s="4" t="e">
        <f t="shared" si="191"/>
        <v>#N/A</v>
      </c>
      <c r="R2459" s="4" t="e">
        <f>IF(AND(B2459=1,N2459&gt;'Line Follower'!$C$7,SUM(C2459:K2459)&lt;4),1,0)</f>
        <v>#N/A</v>
      </c>
      <c r="S2459" s="4" t="e">
        <f>IF(AND(L2459=1,N2459&lt;'Line Follower'!$C$6,SUM(C2459:K2459)&lt;4),1,0)</f>
        <v>#N/A</v>
      </c>
      <c r="T2459" s="4" t="e">
        <f t="shared" si="192"/>
        <v>#N/A</v>
      </c>
      <c r="U2459" s="5" t="e">
        <f t="shared" si="193"/>
        <v>#N/A</v>
      </c>
      <c r="V2459" s="23" t="e">
        <f t="shared" si="194"/>
        <v>#N/A</v>
      </c>
    </row>
    <row r="2460" spans="2:22" x14ac:dyDescent="0.25">
      <c r="B2460" s="16">
        <v>1</v>
      </c>
      <c r="C2460" s="7">
        <v>0</v>
      </c>
      <c r="D2460" s="8">
        <v>0</v>
      </c>
      <c r="E2460" s="8">
        <v>1</v>
      </c>
      <c r="F2460" s="8">
        <v>1</v>
      </c>
      <c r="G2460" s="8">
        <v>0</v>
      </c>
      <c r="H2460" s="8">
        <v>0</v>
      </c>
      <c r="I2460" s="8">
        <v>1</v>
      </c>
      <c r="J2460" s="8">
        <v>1</v>
      </c>
      <c r="K2460" s="9">
        <v>0</v>
      </c>
      <c r="L2460" s="10">
        <v>0</v>
      </c>
      <c r="M2460" s="6">
        <v>1</v>
      </c>
      <c r="N2460" s="37" t="e" cm="1">
        <f t="array" ref="N2460">IF(OR(ISNUMBER(FIND(Aux!$D$3:$D$9,_xlfn.TEXTJOIN(,,C2460:K2460)))),NA(),IF(AND(SUM(C2460:F2460,H2460:K2460)=0,G2460=1),0,INT((SUMPRODUCT(C2460:F2460,COLUMN($A$1:$D$1)-1)+SUMPRODUCT(H2460:K2460,COLUMN($E$1:$H$1)-1))*'Line Follower'!$C$3/SUM(C2460:F2460,H2460:K2460)-'Line Follower'!$C$5)))</f>
        <v>#N/A</v>
      </c>
      <c r="O2460" s="22" t="e">
        <v>#N/A</v>
      </c>
      <c r="P2460" s="4" t="e">
        <f t="shared" si="190"/>
        <v>#N/A</v>
      </c>
      <c r="Q2460" s="4" t="e">
        <f t="shared" si="191"/>
        <v>#N/A</v>
      </c>
      <c r="R2460" s="4" t="e">
        <f>IF(AND(B2460=1,N2460&gt;'Line Follower'!$C$7,SUM(C2460:K2460)&lt;4),1,0)</f>
        <v>#N/A</v>
      </c>
      <c r="S2460" s="4" t="e">
        <f>IF(AND(L2460=1,N2460&lt;'Line Follower'!$C$6,SUM(C2460:K2460)&lt;4),1,0)</f>
        <v>#N/A</v>
      </c>
      <c r="T2460" s="4" t="e">
        <f t="shared" si="192"/>
        <v>#N/A</v>
      </c>
      <c r="U2460" s="5" t="e">
        <f t="shared" si="193"/>
        <v>#N/A</v>
      </c>
      <c r="V2460" s="23" t="e">
        <f t="shared" si="194"/>
        <v>#N/A</v>
      </c>
    </row>
    <row r="2461" spans="2:22" x14ac:dyDescent="0.25">
      <c r="B2461" s="16">
        <v>0</v>
      </c>
      <c r="C2461" s="7">
        <v>1</v>
      </c>
      <c r="D2461" s="8">
        <v>0</v>
      </c>
      <c r="E2461" s="8">
        <v>1</v>
      </c>
      <c r="F2461" s="8">
        <v>1</v>
      </c>
      <c r="G2461" s="8">
        <v>0</v>
      </c>
      <c r="H2461" s="8">
        <v>0</v>
      </c>
      <c r="I2461" s="8">
        <v>1</v>
      </c>
      <c r="J2461" s="8">
        <v>1</v>
      </c>
      <c r="K2461" s="9">
        <v>0</v>
      </c>
      <c r="L2461" s="10">
        <v>0</v>
      </c>
      <c r="M2461" s="6">
        <v>1</v>
      </c>
      <c r="N2461" s="37" t="e" cm="1">
        <f t="array" ref="N2461">IF(OR(ISNUMBER(FIND(Aux!$D$3:$D$9,_xlfn.TEXTJOIN(,,C2461:K2461)))),NA(),IF(AND(SUM(C2461:F2461,H2461:K2461)=0,G2461=1),0,INT((SUMPRODUCT(C2461:F2461,COLUMN($A$1:$D$1)-1)+SUMPRODUCT(H2461:K2461,COLUMN($E$1:$H$1)-1))*'Line Follower'!$C$3/SUM(C2461:F2461,H2461:K2461)-'Line Follower'!$C$5)))</f>
        <v>#N/A</v>
      </c>
      <c r="O2461" s="22" t="e">
        <v>#N/A</v>
      </c>
      <c r="P2461" s="4" t="e">
        <f t="shared" si="190"/>
        <v>#N/A</v>
      </c>
      <c r="Q2461" s="4" t="e">
        <f t="shared" si="191"/>
        <v>#N/A</v>
      </c>
      <c r="R2461" s="4" t="e">
        <f>IF(AND(B2461=1,N2461&gt;'Line Follower'!$C$7,SUM(C2461:K2461)&lt;4),1,0)</f>
        <v>#N/A</v>
      </c>
      <c r="S2461" s="4" t="e">
        <f>IF(AND(L2461=1,N2461&lt;'Line Follower'!$C$6,SUM(C2461:K2461)&lt;4),1,0)</f>
        <v>#N/A</v>
      </c>
      <c r="T2461" s="4" t="e">
        <f t="shared" si="192"/>
        <v>#N/A</v>
      </c>
      <c r="U2461" s="5" t="e">
        <f t="shared" si="193"/>
        <v>#N/A</v>
      </c>
      <c r="V2461" s="23" t="e">
        <f t="shared" si="194"/>
        <v>#N/A</v>
      </c>
    </row>
    <row r="2462" spans="2:22" x14ac:dyDescent="0.25">
      <c r="B2462" s="16">
        <v>1</v>
      </c>
      <c r="C2462" s="7">
        <v>1</v>
      </c>
      <c r="D2462" s="8">
        <v>0</v>
      </c>
      <c r="E2462" s="8">
        <v>1</v>
      </c>
      <c r="F2462" s="8">
        <v>1</v>
      </c>
      <c r="G2462" s="8">
        <v>0</v>
      </c>
      <c r="H2462" s="8">
        <v>0</v>
      </c>
      <c r="I2462" s="8">
        <v>1</v>
      </c>
      <c r="J2462" s="8">
        <v>1</v>
      </c>
      <c r="K2462" s="9">
        <v>0</v>
      </c>
      <c r="L2462" s="10">
        <v>0</v>
      </c>
      <c r="M2462" s="6">
        <v>1</v>
      </c>
      <c r="N2462" s="37" t="e" cm="1">
        <f t="array" ref="N2462">IF(OR(ISNUMBER(FIND(Aux!$D$3:$D$9,_xlfn.TEXTJOIN(,,C2462:K2462)))),NA(),IF(AND(SUM(C2462:F2462,H2462:K2462)=0,G2462=1),0,INT((SUMPRODUCT(C2462:F2462,COLUMN($A$1:$D$1)-1)+SUMPRODUCT(H2462:K2462,COLUMN($E$1:$H$1)-1))*'Line Follower'!$C$3/SUM(C2462:F2462,H2462:K2462)-'Line Follower'!$C$5)))</f>
        <v>#N/A</v>
      </c>
      <c r="O2462" s="22" t="e">
        <v>#N/A</v>
      </c>
      <c r="P2462" s="4" t="e">
        <f t="shared" si="190"/>
        <v>#N/A</v>
      </c>
      <c r="Q2462" s="4" t="e">
        <f t="shared" si="191"/>
        <v>#N/A</v>
      </c>
      <c r="R2462" s="4" t="e">
        <f>IF(AND(B2462=1,N2462&gt;'Line Follower'!$C$7,SUM(C2462:K2462)&lt;4),1,0)</f>
        <v>#N/A</v>
      </c>
      <c r="S2462" s="4" t="e">
        <f>IF(AND(L2462=1,N2462&lt;'Line Follower'!$C$6,SUM(C2462:K2462)&lt;4),1,0)</f>
        <v>#N/A</v>
      </c>
      <c r="T2462" s="4" t="e">
        <f t="shared" si="192"/>
        <v>#N/A</v>
      </c>
      <c r="U2462" s="5" t="e">
        <f t="shared" si="193"/>
        <v>#N/A</v>
      </c>
      <c r="V2462" s="23" t="e">
        <f t="shared" si="194"/>
        <v>#N/A</v>
      </c>
    </row>
    <row r="2463" spans="2:22" x14ac:dyDescent="0.25">
      <c r="B2463" s="16">
        <v>0</v>
      </c>
      <c r="C2463" s="7">
        <v>0</v>
      </c>
      <c r="D2463" s="8">
        <v>1</v>
      </c>
      <c r="E2463" s="8">
        <v>1</v>
      </c>
      <c r="F2463" s="8">
        <v>1</v>
      </c>
      <c r="G2463" s="8">
        <v>0</v>
      </c>
      <c r="H2463" s="8">
        <v>0</v>
      </c>
      <c r="I2463" s="8">
        <v>1</v>
      </c>
      <c r="J2463" s="8">
        <v>1</v>
      </c>
      <c r="K2463" s="9">
        <v>0</v>
      </c>
      <c r="L2463" s="10">
        <v>0</v>
      </c>
      <c r="M2463" s="6">
        <v>1</v>
      </c>
      <c r="N2463" s="37" t="e" cm="1">
        <f t="array" ref="N2463">IF(OR(ISNUMBER(FIND(Aux!$D$3:$D$9,_xlfn.TEXTJOIN(,,C2463:K2463)))),NA(),IF(AND(SUM(C2463:F2463,H2463:K2463)=0,G2463=1),0,INT((SUMPRODUCT(C2463:F2463,COLUMN($A$1:$D$1)-1)+SUMPRODUCT(H2463:K2463,COLUMN($E$1:$H$1)-1))*'Line Follower'!$C$3/SUM(C2463:F2463,H2463:K2463)-'Line Follower'!$C$5)))</f>
        <v>#N/A</v>
      </c>
      <c r="O2463" s="22" t="e">
        <v>#N/A</v>
      </c>
      <c r="P2463" s="4" t="e">
        <f t="shared" si="190"/>
        <v>#N/A</v>
      </c>
      <c r="Q2463" s="4" t="e">
        <f t="shared" si="191"/>
        <v>#N/A</v>
      </c>
      <c r="R2463" s="4" t="e">
        <f>IF(AND(B2463=1,N2463&gt;'Line Follower'!$C$7,SUM(C2463:K2463)&lt;4),1,0)</f>
        <v>#N/A</v>
      </c>
      <c r="S2463" s="4" t="e">
        <f>IF(AND(L2463=1,N2463&lt;'Line Follower'!$C$6,SUM(C2463:K2463)&lt;4),1,0)</f>
        <v>#N/A</v>
      </c>
      <c r="T2463" s="4" t="e">
        <f t="shared" si="192"/>
        <v>#N/A</v>
      </c>
      <c r="U2463" s="5" t="e">
        <f t="shared" si="193"/>
        <v>#N/A</v>
      </c>
      <c r="V2463" s="23" t="e">
        <f t="shared" si="194"/>
        <v>#N/A</v>
      </c>
    </row>
    <row r="2464" spans="2:22" x14ac:dyDescent="0.25">
      <c r="B2464" s="16">
        <v>1</v>
      </c>
      <c r="C2464" s="7">
        <v>0</v>
      </c>
      <c r="D2464" s="8">
        <v>1</v>
      </c>
      <c r="E2464" s="8">
        <v>1</v>
      </c>
      <c r="F2464" s="8">
        <v>1</v>
      </c>
      <c r="G2464" s="8">
        <v>0</v>
      </c>
      <c r="H2464" s="8">
        <v>0</v>
      </c>
      <c r="I2464" s="8">
        <v>1</v>
      </c>
      <c r="J2464" s="8">
        <v>1</v>
      </c>
      <c r="K2464" s="9">
        <v>0</v>
      </c>
      <c r="L2464" s="10">
        <v>0</v>
      </c>
      <c r="M2464" s="6">
        <v>1</v>
      </c>
      <c r="N2464" s="37" t="e" cm="1">
        <f t="array" ref="N2464">IF(OR(ISNUMBER(FIND(Aux!$D$3:$D$9,_xlfn.TEXTJOIN(,,C2464:K2464)))),NA(),IF(AND(SUM(C2464:F2464,H2464:K2464)=0,G2464=1),0,INT((SUMPRODUCT(C2464:F2464,COLUMN($A$1:$D$1)-1)+SUMPRODUCT(H2464:K2464,COLUMN($E$1:$H$1)-1))*'Line Follower'!$C$3/SUM(C2464:F2464,H2464:K2464)-'Line Follower'!$C$5)))</f>
        <v>#N/A</v>
      </c>
      <c r="O2464" s="22" t="e">
        <v>#N/A</v>
      </c>
      <c r="P2464" s="4" t="e">
        <f t="shared" si="190"/>
        <v>#N/A</v>
      </c>
      <c r="Q2464" s="4" t="e">
        <f t="shared" si="191"/>
        <v>#N/A</v>
      </c>
      <c r="R2464" s="4" t="e">
        <f>IF(AND(B2464=1,N2464&gt;'Line Follower'!$C$7,SUM(C2464:K2464)&lt;4),1,0)</f>
        <v>#N/A</v>
      </c>
      <c r="S2464" s="4" t="e">
        <f>IF(AND(L2464=1,N2464&lt;'Line Follower'!$C$6,SUM(C2464:K2464)&lt;4),1,0)</f>
        <v>#N/A</v>
      </c>
      <c r="T2464" s="4" t="e">
        <f t="shared" si="192"/>
        <v>#N/A</v>
      </c>
      <c r="U2464" s="5" t="e">
        <f t="shared" si="193"/>
        <v>#N/A</v>
      </c>
      <c r="V2464" s="23" t="e">
        <f t="shared" si="194"/>
        <v>#N/A</v>
      </c>
    </row>
    <row r="2465" spans="2:22" x14ac:dyDescent="0.25">
      <c r="B2465" s="16">
        <v>0</v>
      </c>
      <c r="C2465" s="7">
        <v>1</v>
      </c>
      <c r="D2465" s="8">
        <v>1</v>
      </c>
      <c r="E2465" s="8">
        <v>1</v>
      </c>
      <c r="F2465" s="8">
        <v>1</v>
      </c>
      <c r="G2465" s="8">
        <v>0</v>
      </c>
      <c r="H2465" s="8">
        <v>0</v>
      </c>
      <c r="I2465" s="8">
        <v>1</v>
      </c>
      <c r="J2465" s="8">
        <v>1</v>
      </c>
      <c r="K2465" s="9">
        <v>0</v>
      </c>
      <c r="L2465" s="10">
        <v>0</v>
      </c>
      <c r="M2465" s="6">
        <v>1</v>
      </c>
      <c r="N2465" s="37" t="e" cm="1">
        <f t="array" ref="N2465">IF(OR(ISNUMBER(FIND(Aux!$D$3:$D$9,_xlfn.TEXTJOIN(,,C2465:K2465)))),NA(),IF(AND(SUM(C2465:F2465,H2465:K2465)=0,G2465=1),0,INT((SUMPRODUCT(C2465:F2465,COLUMN($A$1:$D$1)-1)+SUMPRODUCT(H2465:K2465,COLUMN($E$1:$H$1)-1))*'Line Follower'!$C$3/SUM(C2465:F2465,H2465:K2465)-'Line Follower'!$C$5)))</f>
        <v>#N/A</v>
      </c>
      <c r="O2465" s="22" t="e">
        <v>#N/A</v>
      </c>
      <c r="P2465" s="4" t="e">
        <f t="shared" si="190"/>
        <v>#N/A</v>
      </c>
      <c r="Q2465" s="4" t="e">
        <f t="shared" si="191"/>
        <v>#N/A</v>
      </c>
      <c r="R2465" s="4" t="e">
        <f>IF(AND(B2465=1,N2465&gt;'Line Follower'!$C$7,SUM(C2465:K2465)&lt;4),1,0)</f>
        <v>#N/A</v>
      </c>
      <c r="S2465" s="4" t="e">
        <f>IF(AND(L2465=1,N2465&lt;'Line Follower'!$C$6,SUM(C2465:K2465)&lt;4),1,0)</f>
        <v>#N/A</v>
      </c>
      <c r="T2465" s="4" t="e">
        <f t="shared" si="192"/>
        <v>#N/A</v>
      </c>
      <c r="U2465" s="5" t="e">
        <f t="shared" si="193"/>
        <v>#N/A</v>
      </c>
      <c r="V2465" s="23" t="e">
        <f t="shared" si="194"/>
        <v>#N/A</v>
      </c>
    </row>
    <row r="2466" spans="2:22" x14ac:dyDescent="0.25">
      <c r="B2466" s="16">
        <v>1</v>
      </c>
      <c r="C2466" s="7">
        <v>1</v>
      </c>
      <c r="D2466" s="8">
        <v>1</v>
      </c>
      <c r="E2466" s="8">
        <v>1</v>
      </c>
      <c r="F2466" s="8">
        <v>1</v>
      </c>
      <c r="G2466" s="8">
        <v>0</v>
      </c>
      <c r="H2466" s="8">
        <v>0</v>
      </c>
      <c r="I2466" s="8">
        <v>1</v>
      </c>
      <c r="J2466" s="8">
        <v>1</v>
      </c>
      <c r="K2466" s="9">
        <v>0</v>
      </c>
      <c r="L2466" s="10">
        <v>0</v>
      </c>
      <c r="M2466" s="6">
        <v>1</v>
      </c>
      <c r="N2466" s="37" t="e" cm="1">
        <f t="array" ref="N2466">IF(OR(ISNUMBER(FIND(Aux!$D$3:$D$9,_xlfn.TEXTJOIN(,,C2466:K2466)))),NA(),IF(AND(SUM(C2466:F2466,H2466:K2466)=0,G2466=1),0,INT((SUMPRODUCT(C2466:F2466,COLUMN($A$1:$D$1)-1)+SUMPRODUCT(H2466:K2466,COLUMN($E$1:$H$1)-1))*'Line Follower'!$C$3/SUM(C2466:F2466,H2466:K2466)-'Line Follower'!$C$5)))</f>
        <v>#N/A</v>
      </c>
      <c r="O2466" s="22" t="e">
        <v>#N/A</v>
      </c>
      <c r="P2466" s="4" t="e">
        <f t="shared" si="190"/>
        <v>#N/A</v>
      </c>
      <c r="Q2466" s="4" t="e">
        <f t="shared" si="191"/>
        <v>#N/A</v>
      </c>
      <c r="R2466" s="4" t="e">
        <f>IF(AND(B2466=1,N2466&gt;'Line Follower'!$C$7,SUM(C2466:K2466)&lt;4),1,0)</f>
        <v>#N/A</v>
      </c>
      <c r="S2466" s="4" t="e">
        <f>IF(AND(L2466=1,N2466&lt;'Line Follower'!$C$6,SUM(C2466:K2466)&lt;4),1,0)</f>
        <v>#N/A</v>
      </c>
      <c r="T2466" s="4" t="e">
        <f t="shared" si="192"/>
        <v>#N/A</v>
      </c>
      <c r="U2466" s="5" t="e">
        <f t="shared" si="193"/>
        <v>#N/A</v>
      </c>
      <c r="V2466" s="23" t="e">
        <f t="shared" si="194"/>
        <v>#N/A</v>
      </c>
    </row>
    <row r="2467" spans="2:22" x14ac:dyDescent="0.25">
      <c r="B2467" s="16">
        <v>0</v>
      </c>
      <c r="C2467" s="7">
        <v>0</v>
      </c>
      <c r="D2467" s="8">
        <v>0</v>
      </c>
      <c r="E2467" s="8">
        <v>0</v>
      </c>
      <c r="F2467" s="8">
        <v>0</v>
      </c>
      <c r="G2467" s="8">
        <v>1</v>
      </c>
      <c r="H2467" s="8">
        <v>0</v>
      </c>
      <c r="I2467" s="8">
        <v>1</v>
      </c>
      <c r="J2467" s="8">
        <v>1</v>
      </c>
      <c r="K2467" s="9">
        <v>0</v>
      </c>
      <c r="L2467" s="10">
        <v>0</v>
      </c>
      <c r="M2467" s="6">
        <v>1</v>
      </c>
      <c r="N2467" s="37" t="e" cm="1">
        <f t="array" ref="N2467">IF(OR(ISNUMBER(FIND(Aux!$D$3:$D$9,_xlfn.TEXTJOIN(,,C2467:K2467)))),NA(),IF(AND(SUM(C2467:F2467,H2467:K2467)=0,G2467=1),0,INT((SUMPRODUCT(C2467:F2467,COLUMN($A$1:$D$1)-1)+SUMPRODUCT(H2467:K2467,COLUMN($E$1:$H$1)-1))*'Line Follower'!$C$3/SUM(C2467:F2467,H2467:K2467)-'Line Follower'!$C$5)))</f>
        <v>#N/A</v>
      </c>
      <c r="O2467" s="22" t="e">
        <v>#N/A</v>
      </c>
      <c r="P2467" s="4" t="e">
        <f t="shared" si="190"/>
        <v>#N/A</v>
      </c>
      <c r="Q2467" s="4" t="e">
        <f t="shared" si="191"/>
        <v>#N/A</v>
      </c>
      <c r="R2467" s="4" t="e">
        <f>IF(AND(B2467=1,N2467&gt;'Line Follower'!$C$7,SUM(C2467:K2467)&lt;4),1,0)</f>
        <v>#N/A</v>
      </c>
      <c r="S2467" s="4" t="e">
        <f>IF(AND(L2467=1,N2467&lt;'Line Follower'!$C$6,SUM(C2467:K2467)&lt;4),1,0)</f>
        <v>#N/A</v>
      </c>
      <c r="T2467" s="4" t="e">
        <f t="shared" si="192"/>
        <v>#N/A</v>
      </c>
      <c r="U2467" s="5" t="e">
        <f t="shared" si="193"/>
        <v>#N/A</v>
      </c>
      <c r="V2467" s="23" t="e">
        <f t="shared" si="194"/>
        <v>#N/A</v>
      </c>
    </row>
    <row r="2468" spans="2:22" x14ac:dyDescent="0.25">
      <c r="B2468" s="16">
        <v>1</v>
      </c>
      <c r="C2468" s="7">
        <v>0</v>
      </c>
      <c r="D2468" s="8">
        <v>0</v>
      </c>
      <c r="E2468" s="8">
        <v>0</v>
      </c>
      <c r="F2468" s="8">
        <v>0</v>
      </c>
      <c r="G2468" s="8">
        <v>1</v>
      </c>
      <c r="H2468" s="8">
        <v>0</v>
      </c>
      <c r="I2468" s="8">
        <v>1</v>
      </c>
      <c r="J2468" s="8">
        <v>1</v>
      </c>
      <c r="K2468" s="9">
        <v>0</v>
      </c>
      <c r="L2468" s="10">
        <v>0</v>
      </c>
      <c r="M2468" s="6">
        <v>1</v>
      </c>
      <c r="N2468" s="37" t="e" cm="1">
        <f t="array" ref="N2468">IF(OR(ISNUMBER(FIND(Aux!$D$3:$D$9,_xlfn.TEXTJOIN(,,C2468:K2468)))),NA(),IF(AND(SUM(C2468:F2468,H2468:K2468)=0,G2468=1),0,INT((SUMPRODUCT(C2468:F2468,COLUMN($A$1:$D$1)-1)+SUMPRODUCT(H2468:K2468,COLUMN($E$1:$H$1)-1))*'Line Follower'!$C$3/SUM(C2468:F2468,H2468:K2468)-'Line Follower'!$C$5)))</f>
        <v>#N/A</v>
      </c>
      <c r="O2468" s="22" t="e">
        <v>#N/A</v>
      </c>
      <c r="P2468" s="4" t="e">
        <f t="shared" si="190"/>
        <v>#N/A</v>
      </c>
      <c r="Q2468" s="4" t="e">
        <f t="shared" si="191"/>
        <v>#N/A</v>
      </c>
      <c r="R2468" s="4" t="e">
        <f>IF(AND(B2468=1,N2468&gt;'Line Follower'!$C$7,SUM(C2468:K2468)&lt;4),1,0)</f>
        <v>#N/A</v>
      </c>
      <c r="S2468" s="4" t="e">
        <f>IF(AND(L2468=1,N2468&lt;'Line Follower'!$C$6,SUM(C2468:K2468)&lt;4),1,0)</f>
        <v>#N/A</v>
      </c>
      <c r="T2468" s="4" t="e">
        <f t="shared" si="192"/>
        <v>#N/A</v>
      </c>
      <c r="U2468" s="5" t="e">
        <f t="shared" si="193"/>
        <v>#N/A</v>
      </c>
      <c r="V2468" s="23" t="e">
        <f t="shared" si="194"/>
        <v>#N/A</v>
      </c>
    </row>
    <row r="2469" spans="2:22" x14ac:dyDescent="0.25">
      <c r="B2469" s="16">
        <v>0</v>
      </c>
      <c r="C2469" s="7">
        <v>1</v>
      </c>
      <c r="D2469" s="8">
        <v>0</v>
      </c>
      <c r="E2469" s="8">
        <v>0</v>
      </c>
      <c r="F2469" s="8">
        <v>0</v>
      </c>
      <c r="G2469" s="8">
        <v>1</v>
      </c>
      <c r="H2469" s="8">
        <v>0</v>
      </c>
      <c r="I2469" s="8">
        <v>1</v>
      </c>
      <c r="J2469" s="8">
        <v>1</v>
      </c>
      <c r="K2469" s="9">
        <v>0</v>
      </c>
      <c r="L2469" s="10">
        <v>0</v>
      </c>
      <c r="M2469" s="6">
        <v>1</v>
      </c>
      <c r="N2469" s="37" t="e" cm="1">
        <f t="array" ref="N2469">IF(OR(ISNUMBER(FIND(Aux!$D$3:$D$9,_xlfn.TEXTJOIN(,,C2469:K2469)))),NA(),IF(AND(SUM(C2469:F2469,H2469:K2469)=0,G2469=1),0,INT((SUMPRODUCT(C2469:F2469,COLUMN($A$1:$D$1)-1)+SUMPRODUCT(H2469:K2469,COLUMN($E$1:$H$1)-1))*'Line Follower'!$C$3/SUM(C2469:F2469,H2469:K2469)-'Line Follower'!$C$5)))</f>
        <v>#N/A</v>
      </c>
      <c r="O2469" s="22" t="e">
        <v>#N/A</v>
      </c>
      <c r="P2469" s="4" t="e">
        <f t="shared" si="190"/>
        <v>#N/A</v>
      </c>
      <c r="Q2469" s="4" t="e">
        <f t="shared" si="191"/>
        <v>#N/A</v>
      </c>
      <c r="R2469" s="4" t="e">
        <f>IF(AND(B2469=1,N2469&gt;'Line Follower'!$C$7,SUM(C2469:K2469)&lt;4),1,0)</f>
        <v>#N/A</v>
      </c>
      <c r="S2469" s="4" t="e">
        <f>IF(AND(L2469=1,N2469&lt;'Line Follower'!$C$6,SUM(C2469:K2469)&lt;4),1,0)</f>
        <v>#N/A</v>
      </c>
      <c r="T2469" s="4" t="e">
        <f t="shared" si="192"/>
        <v>#N/A</v>
      </c>
      <c r="U2469" s="5" t="e">
        <f t="shared" si="193"/>
        <v>#N/A</v>
      </c>
      <c r="V2469" s="23" t="e">
        <f t="shared" si="194"/>
        <v>#N/A</v>
      </c>
    </row>
    <row r="2470" spans="2:22" x14ac:dyDescent="0.25">
      <c r="B2470" s="16">
        <v>1</v>
      </c>
      <c r="C2470" s="7">
        <v>1</v>
      </c>
      <c r="D2470" s="8">
        <v>0</v>
      </c>
      <c r="E2470" s="8">
        <v>0</v>
      </c>
      <c r="F2470" s="8">
        <v>0</v>
      </c>
      <c r="G2470" s="8">
        <v>1</v>
      </c>
      <c r="H2470" s="8">
        <v>0</v>
      </c>
      <c r="I2470" s="8">
        <v>1</v>
      </c>
      <c r="J2470" s="8">
        <v>1</v>
      </c>
      <c r="K2470" s="9">
        <v>0</v>
      </c>
      <c r="L2470" s="10">
        <v>0</v>
      </c>
      <c r="M2470" s="6">
        <v>1</v>
      </c>
      <c r="N2470" s="37" t="e" cm="1">
        <f t="array" ref="N2470">IF(OR(ISNUMBER(FIND(Aux!$D$3:$D$9,_xlfn.TEXTJOIN(,,C2470:K2470)))),NA(),IF(AND(SUM(C2470:F2470,H2470:K2470)=0,G2470=1),0,INT((SUMPRODUCT(C2470:F2470,COLUMN($A$1:$D$1)-1)+SUMPRODUCT(H2470:K2470,COLUMN($E$1:$H$1)-1))*'Line Follower'!$C$3/SUM(C2470:F2470,H2470:K2470)-'Line Follower'!$C$5)))</f>
        <v>#N/A</v>
      </c>
      <c r="O2470" s="22" t="e">
        <v>#N/A</v>
      </c>
      <c r="P2470" s="4" t="e">
        <f t="shared" si="190"/>
        <v>#N/A</v>
      </c>
      <c r="Q2470" s="4" t="e">
        <f t="shared" si="191"/>
        <v>#N/A</v>
      </c>
      <c r="R2470" s="4" t="e">
        <f>IF(AND(B2470=1,N2470&gt;'Line Follower'!$C$7,SUM(C2470:K2470)&lt;4),1,0)</f>
        <v>#N/A</v>
      </c>
      <c r="S2470" s="4" t="e">
        <f>IF(AND(L2470=1,N2470&lt;'Line Follower'!$C$6,SUM(C2470:K2470)&lt;4),1,0)</f>
        <v>#N/A</v>
      </c>
      <c r="T2470" s="4" t="e">
        <f t="shared" si="192"/>
        <v>#N/A</v>
      </c>
      <c r="U2470" s="5" t="e">
        <f t="shared" si="193"/>
        <v>#N/A</v>
      </c>
      <c r="V2470" s="23" t="e">
        <f t="shared" si="194"/>
        <v>#N/A</v>
      </c>
    </row>
    <row r="2471" spans="2:22" x14ac:dyDescent="0.25">
      <c r="B2471" s="16">
        <v>0</v>
      </c>
      <c r="C2471" s="7">
        <v>0</v>
      </c>
      <c r="D2471" s="8">
        <v>1</v>
      </c>
      <c r="E2471" s="8">
        <v>0</v>
      </c>
      <c r="F2471" s="8">
        <v>0</v>
      </c>
      <c r="G2471" s="8">
        <v>1</v>
      </c>
      <c r="H2471" s="8">
        <v>0</v>
      </c>
      <c r="I2471" s="8">
        <v>1</v>
      </c>
      <c r="J2471" s="8">
        <v>1</v>
      </c>
      <c r="K2471" s="9">
        <v>0</v>
      </c>
      <c r="L2471" s="10">
        <v>0</v>
      </c>
      <c r="M2471" s="6">
        <v>1</v>
      </c>
      <c r="N2471" s="37" t="e" cm="1">
        <f t="array" ref="N2471">IF(OR(ISNUMBER(FIND(Aux!$D$3:$D$9,_xlfn.TEXTJOIN(,,C2471:K2471)))),NA(),IF(AND(SUM(C2471:F2471,H2471:K2471)=0,G2471=1),0,INT((SUMPRODUCT(C2471:F2471,COLUMN($A$1:$D$1)-1)+SUMPRODUCT(H2471:K2471,COLUMN($E$1:$H$1)-1))*'Line Follower'!$C$3/SUM(C2471:F2471,H2471:K2471)-'Line Follower'!$C$5)))</f>
        <v>#N/A</v>
      </c>
      <c r="O2471" s="22" t="e">
        <v>#N/A</v>
      </c>
      <c r="P2471" s="4" t="e">
        <f t="shared" si="190"/>
        <v>#N/A</v>
      </c>
      <c r="Q2471" s="4" t="e">
        <f t="shared" si="191"/>
        <v>#N/A</v>
      </c>
      <c r="R2471" s="4" t="e">
        <f>IF(AND(B2471=1,N2471&gt;'Line Follower'!$C$7,SUM(C2471:K2471)&lt;4),1,0)</f>
        <v>#N/A</v>
      </c>
      <c r="S2471" s="4" t="e">
        <f>IF(AND(L2471=1,N2471&lt;'Line Follower'!$C$6,SUM(C2471:K2471)&lt;4),1,0)</f>
        <v>#N/A</v>
      </c>
      <c r="T2471" s="4" t="e">
        <f t="shared" si="192"/>
        <v>#N/A</v>
      </c>
      <c r="U2471" s="5" t="e">
        <f t="shared" si="193"/>
        <v>#N/A</v>
      </c>
      <c r="V2471" s="23" t="e">
        <f t="shared" si="194"/>
        <v>#N/A</v>
      </c>
    </row>
    <row r="2472" spans="2:22" x14ac:dyDescent="0.25">
      <c r="B2472" s="16">
        <v>1</v>
      </c>
      <c r="C2472" s="7">
        <v>0</v>
      </c>
      <c r="D2472" s="8">
        <v>1</v>
      </c>
      <c r="E2472" s="8">
        <v>0</v>
      </c>
      <c r="F2472" s="8">
        <v>0</v>
      </c>
      <c r="G2472" s="8">
        <v>1</v>
      </c>
      <c r="H2472" s="8">
        <v>0</v>
      </c>
      <c r="I2472" s="8">
        <v>1</v>
      </c>
      <c r="J2472" s="8">
        <v>1</v>
      </c>
      <c r="K2472" s="9">
        <v>0</v>
      </c>
      <c r="L2472" s="10">
        <v>0</v>
      </c>
      <c r="M2472" s="6">
        <v>1</v>
      </c>
      <c r="N2472" s="37" t="e" cm="1">
        <f t="array" ref="N2472">IF(OR(ISNUMBER(FIND(Aux!$D$3:$D$9,_xlfn.TEXTJOIN(,,C2472:K2472)))),NA(),IF(AND(SUM(C2472:F2472,H2472:K2472)=0,G2472=1),0,INT((SUMPRODUCT(C2472:F2472,COLUMN($A$1:$D$1)-1)+SUMPRODUCT(H2472:K2472,COLUMN($E$1:$H$1)-1))*'Line Follower'!$C$3/SUM(C2472:F2472,H2472:K2472)-'Line Follower'!$C$5)))</f>
        <v>#N/A</v>
      </c>
      <c r="O2472" s="22" t="e">
        <v>#N/A</v>
      </c>
      <c r="P2472" s="4" t="e">
        <f t="shared" si="190"/>
        <v>#N/A</v>
      </c>
      <c r="Q2472" s="4" t="e">
        <f t="shared" si="191"/>
        <v>#N/A</v>
      </c>
      <c r="R2472" s="4" t="e">
        <f>IF(AND(B2472=1,N2472&gt;'Line Follower'!$C$7,SUM(C2472:K2472)&lt;4),1,0)</f>
        <v>#N/A</v>
      </c>
      <c r="S2472" s="4" t="e">
        <f>IF(AND(L2472=1,N2472&lt;'Line Follower'!$C$6,SUM(C2472:K2472)&lt;4),1,0)</f>
        <v>#N/A</v>
      </c>
      <c r="T2472" s="4" t="e">
        <f t="shared" si="192"/>
        <v>#N/A</v>
      </c>
      <c r="U2472" s="5" t="e">
        <f t="shared" si="193"/>
        <v>#N/A</v>
      </c>
      <c r="V2472" s="23" t="e">
        <f t="shared" si="194"/>
        <v>#N/A</v>
      </c>
    </row>
    <row r="2473" spans="2:22" x14ac:dyDescent="0.25">
      <c r="B2473" s="16">
        <v>0</v>
      </c>
      <c r="C2473" s="7">
        <v>1</v>
      </c>
      <c r="D2473" s="8">
        <v>1</v>
      </c>
      <c r="E2473" s="8">
        <v>0</v>
      </c>
      <c r="F2473" s="8">
        <v>0</v>
      </c>
      <c r="G2473" s="8">
        <v>1</v>
      </c>
      <c r="H2473" s="8">
        <v>0</v>
      </c>
      <c r="I2473" s="8">
        <v>1</v>
      </c>
      <c r="J2473" s="8">
        <v>1</v>
      </c>
      <c r="K2473" s="9">
        <v>0</v>
      </c>
      <c r="L2473" s="10">
        <v>0</v>
      </c>
      <c r="M2473" s="6">
        <v>1</v>
      </c>
      <c r="N2473" s="37" t="e" cm="1">
        <f t="array" ref="N2473">IF(OR(ISNUMBER(FIND(Aux!$D$3:$D$9,_xlfn.TEXTJOIN(,,C2473:K2473)))),NA(),IF(AND(SUM(C2473:F2473,H2473:K2473)=0,G2473=1),0,INT((SUMPRODUCT(C2473:F2473,COLUMN($A$1:$D$1)-1)+SUMPRODUCT(H2473:K2473,COLUMN($E$1:$H$1)-1))*'Line Follower'!$C$3/SUM(C2473:F2473,H2473:K2473)-'Line Follower'!$C$5)))</f>
        <v>#N/A</v>
      </c>
      <c r="O2473" s="22" t="e">
        <v>#N/A</v>
      </c>
      <c r="P2473" s="4" t="e">
        <f t="shared" si="190"/>
        <v>#N/A</v>
      </c>
      <c r="Q2473" s="4" t="e">
        <f t="shared" si="191"/>
        <v>#N/A</v>
      </c>
      <c r="R2473" s="4" t="e">
        <f>IF(AND(B2473=1,N2473&gt;'Line Follower'!$C$7,SUM(C2473:K2473)&lt;4),1,0)</f>
        <v>#N/A</v>
      </c>
      <c r="S2473" s="4" t="e">
        <f>IF(AND(L2473=1,N2473&lt;'Line Follower'!$C$6,SUM(C2473:K2473)&lt;4),1,0)</f>
        <v>#N/A</v>
      </c>
      <c r="T2473" s="4" t="e">
        <f t="shared" si="192"/>
        <v>#N/A</v>
      </c>
      <c r="U2473" s="5" t="e">
        <f t="shared" si="193"/>
        <v>#N/A</v>
      </c>
      <c r="V2473" s="23" t="e">
        <f t="shared" si="194"/>
        <v>#N/A</v>
      </c>
    </row>
    <row r="2474" spans="2:22" x14ac:dyDescent="0.25">
      <c r="B2474" s="16">
        <v>1</v>
      </c>
      <c r="C2474" s="7">
        <v>1</v>
      </c>
      <c r="D2474" s="8">
        <v>1</v>
      </c>
      <c r="E2474" s="8">
        <v>0</v>
      </c>
      <c r="F2474" s="8">
        <v>0</v>
      </c>
      <c r="G2474" s="8">
        <v>1</v>
      </c>
      <c r="H2474" s="8">
        <v>0</v>
      </c>
      <c r="I2474" s="8">
        <v>1</v>
      </c>
      <c r="J2474" s="8">
        <v>1</v>
      </c>
      <c r="K2474" s="9">
        <v>0</v>
      </c>
      <c r="L2474" s="10">
        <v>0</v>
      </c>
      <c r="M2474" s="6">
        <v>1</v>
      </c>
      <c r="N2474" s="37" t="e" cm="1">
        <f t="array" ref="N2474">IF(OR(ISNUMBER(FIND(Aux!$D$3:$D$9,_xlfn.TEXTJOIN(,,C2474:K2474)))),NA(),IF(AND(SUM(C2474:F2474,H2474:K2474)=0,G2474=1),0,INT((SUMPRODUCT(C2474:F2474,COLUMN($A$1:$D$1)-1)+SUMPRODUCT(H2474:K2474,COLUMN($E$1:$H$1)-1))*'Line Follower'!$C$3/SUM(C2474:F2474,H2474:K2474)-'Line Follower'!$C$5)))</f>
        <v>#N/A</v>
      </c>
      <c r="O2474" s="22" t="e">
        <v>#N/A</v>
      </c>
      <c r="P2474" s="4" t="e">
        <f t="shared" si="190"/>
        <v>#N/A</v>
      </c>
      <c r="Q2474" s="4" t="e">
        <f t="shared" si="191"/>
        <v>#N/A</v>
      </c>
      <c r="R2474" s="4" t="e">
        <f>IF(AND(B2474=1,N2474&gt;'Line Follower'!$C$7,SUM(C2474:K2474)&lt;4),1,0)</f>
        <v>#N/A</v>
      </c>
      <c r="S2474" s="4" t="e">
        <f>IF(AND(L2474=1,N2474&lt;'Line Follower'!$C$6,SUM(C2474:K2474)&lt;4),1,0)</f>
        <v>#N/A</v>
      </c>
      <c r="T2474" s="4" t="e">
        <f t="shared" si="192"/>
        <v>#N/A</v>
      </c>
      <c r="U2474" s="5" t="e">
        <f t="shared" si="193"/>
        <v>#N/A</v>
      </c>
      <c r="V2474" s="23" t="e">
        <f t="shared" si="194"/>
        <v>#N/A</v>
      </c>
    </row>
    <row r="2475" spans="2:22" x14ac:dyDescent="0.25">
      <c r="B2475" s="16">
        <v>0</v>
      </c>
      <c r="C2475" s="7">
        <v>0</v>
      </c>
      <c r="D2475" s="8">
        <v>0</v>
      </c>
      <c r="E2475" s="8">
        <v>1</v>
      </c>
      <c r="F2475" s="8">
        <v>0</v>
      </c>
      <c r="G2475" s="8">
        <v>1</v>
      </c>
      <c r="H2475" s="8">
        <v>0</v>
      </c>
      <c r="I2475" s="8">
        <v>1</v>
      </c>
      <c r="J2475" s="8">
        <v>1</v>
      </c>
      <c r="K2475" s="9">
        <v>0</v>
      </c>
      <c r="L2475" s="10">
        <v>0</v>
      </c>
      <c r="M2475" s="6">
        <v>1</v>
      </c>
      <c r="N2475" s="37" t="e" cm="1">
        <f t="array" ref="N2475">IF(OR(ISNUMBER(FIND(Aux!$D$3:$D$9,_xlfn.TEXTJOIN(,,C2475:K2475)))),NA(),IF(AND(SUM(C2475:F2475,H2475:K2475)=0,G2475=1),0,INT((SUMPRODUCT(C2475:F2475,COLUMN($A$1:$D$1)-1)+SUMPRODUCT(H2475:K2475,COLUMN($E$1:$H$1)-1))*'Line Follower'!$C$3/SUM(C2475:F2475,H2475:K2475)-'Line Follower'!$C$5)))</f>
        <v>#N/A</v>
      </c>
      <c r="O2475" s="22" t="e">
        <v>#N/A</v>
      </c>
      <c r="P2475" s="4" t="e">
        <f t="shared" si="190"/>
        <v>#N/A</v>
      </c>
      <c r="Q2475" s="4" t="e">
        <f t="shared" si="191"/>
        <v>#N/A</v>
      </c>
      <c r="R2475" s="4" t="e">
        <f>IF(AND(B2475=1,N2475&gt;'Line Follower'!$C$7,SUM(C2475:K2475)&lt;4),1,0)</f>
        <v>#N/A</v>
      </c>
      <c r="S2475" s="4" t="e">
        <f>IF(AND(L2475=1,N2475&lt;'Line Follower'!$C$6,SUM(C2475:K2475)&lt;4),1,0)</f>
        <v>#N/A</v>
      </c>
      <c r="T2475" s="4" t="e">
        <f t="shared" si="192"/>
        <v>#N/A</v>
      </c>
      <c r="U2475" s="5" t="e">
        <f t="shared" si="193"/>
        <v>#N/A</v>
      </c>
      <c r="V2475" s="23" t="e">
        <f t="shared" si="194"/>
        <v>#N/A</v>
      </c>
    </row>
    <row r="2476" spans="2:22" x14ac:dyDescent="0.25">
      <c r="B2476" s="16">
        <v>1</v>
      </c>
      <c r="C2476" s="7">
        <v>0</v>
      </c>
      <c r="D2476" s="8">
        <v>0</v>
      </c>
      <c r="E2476" s="8">
        <v>1</v>
      </c>
      <c r="F2476" s="8">
        <v>0</v>
      </c>
      <c r="G2476" s="8">
        <v>1</v>
      </c>
      <c r="H2476" s="8">
        <v>0</v>
      </c>
      <c r="I2476" s="8">
        <v>1</v>
      </c>
      <c r="J2476" s="8">
        <v>1</v>
      </c>
      <c r="K2476" s="9">
        <v>0</v>
      </c>
      <c r="L2476" s="10">
        <v>0</v>
      </c>
      <c r="M2476" s="6">
        <v>1</v>
      </c>
      <c r="N2476" s="37" t="e" cm="1">
        <f t="array" ref="N2476">IF(OR(ISNUMBER(FIND(Aux!$D$3:$D$9,_xlfn.TEXTJOIN(,,C2476:K2476)))),NA(),IF(AND(SUM(C2476:F2476,H2476:K2476)=0,G2476=1),0,INT((SUMPRODUCT(C2476:F2476,COLUMN($A$1:$D$1)-1)+SUMPRODUCT(H2476:K2476,COLUMN($E$1:$H$1)-1))*'Line Follower'!$C$3/SUM(C2476:F2476,H2476:K2476)-'Line Follower'!$C$5)))</f>
        <v>#N/A</v>
      </c>
      <c r="O2476" s="22" t="e">
        <v>#N/A</v>
      </c>
      <c r="P2476" s="4" t="e">
        <f t="shared" si="190"/>
        <v>#N/A</v>
      </c>
      <c r="Q2476" s="4" t="e">
        <f t="shared" si="191"/>
        <v>#N/A</v>
      </c>
      <c r="R2476" s="4" t="e">
        <f>IF(AND(B2476=1,N2476&gt;'Line Follower'!$C$7,SUM(C2476:K2476)&lt;4),1,0)</f>
        <v>#N/A</v>
      </c>
      <c r="S2476" s="4" t="e">
        <f>IF(AND(L2476=1,N2476&lt;'Line Follower'!$C$6,SUM(C2476:K2476)&lt;4),1,0)</f>
        <v>#N/A</v>
      </c>
      <c r="T2476" s="4" t="e">
        <f t="shared" si="192"/>
        <v>#N/A</v>
      </c>
      <c r="U2476" s="5" t="e">
        <f t="shared" si="193"/>
        <v>#N/A</v>
      </c>
      <c r="V2476" s="23" t="e">
        <f t="shared" si="194"/>
        <v>#N/A</v>
      </c>
    </row>
    <row r="2477" spans="2:22" x14ac:dyDescent="0.25">
      <c r="B2477" s="16">
        <v>0</v>
      </c>
      <c r="C2477" s="7">
        <v>1</v>
      </c>
      <c r="D2477" s="8">
        <v>0</v>
      </c>
      <c r="E2477" s="8">
        <v>1</v>
      </c>
      <c r="F2477" s="8">
        <v>0</v>
      </c>
      <c r="G2477" s="8">
        <v>1</v>
      </c>
      <c r="H2477" s="8">
        <v>0</v>
      </c>
      <c r="I2477" s="8">
        <v>1</v>
      </c>
      <c r="J2477" s="8">
        <v>1</v>
      </c>
      <c r="K2477" s="9">
        <v>0</v>
      </c>
      <c r="L2477" s="10">
        <v>0</v>
      </c>
      <c r="M2477" s="6">
        <v>1</v>
      </c>
      <c r="N2477" s="37" t="e" cm="1">
        <f t="array" ref="N2477">IF(OR(ISNUMBER(FIND(Aux!$D$3:$D$9,_xlfn.TEXTJOIN(,,C2477:K2477)))),NA(),IF(AND(SUM(C2477:F2477,H2477:K2477)=0,G2477=1),0,INT((SUMPRODUCT(C2477:F2477,COLUMN($A$1:$D$1)-1)+SUMPRODUCT(H2477:K2477,COLUMN($E$1:$H$1)-1))*'Line Follower'!$C$3/SUM(C2477:F2477,H2477:K2477)-'Line Follower'!$C$5)))</f>
        <v>#N/A</v>
      </c>
      <c r="O2477" s="22" t="e">
        <v>#N/A</v>
      </c>
      <c r="P2477" s="4" t="e">
        <f t="shared" si="190"/>
        <v>#N/A</v>
      </c>
      <c r="Q2477" s="4" t="e">
        <f t="shared" si="191"/>
        <v>#N/A</v>
      </c>
      <c r="R2477" s="4" t="e">
        <f>IF(AND(B2477=1,N2477&gt;'Line Follower'!$C$7,SUM(C2477:K2477)&lt;4),1,0)</f>
        <v>#N/A</v>
      </c>
      <c r="S2477" s="4" t="e">
        <f>IF(AND(L2477=1,N2477&lt;'Line Follower'!$C$6,SUM(C2477:K2477)&lt;4),1,0)</f>
        <v>#N/A</v>
      </c>
      <c r="T2477" s="4" t="e">
        <f t="shared" si="192"/>
        <v>#N/A</v>
      </c>
      <c r="U2477" s="5" t="e">
        <f t="shared" si="193"/>
        <v>#N/A</v>
      </c>
      <c r="V2477" s="23" t="e">
        <f t="shared" si="194"/>
        <v>#N/A</v>
      </c>
    </row>
    <row r="2478" spans="2:22" x14ac:dyDescent="0.25">
      <c r="B2478" s="16">
        <v>1</v>
      </c>
      <c r="C2478" s="7">
        <v>1</v>
      </c>
      <c r="D2478" s="8">
        <v>0</v>
      </c>
      <c r="E2478" s="8">
        <v>1</v>
      </c>
      <c r="F2478" s="8">
        <v>0</v>
      </c>
      <c r="G2478" s="8">
        <v>1</v>
      </c>
      <c r="H2478" s="8">
        <v>0</v>
      </c>
      <c r="I2478" s="8">
        <v>1</v>
      </c>
      <c r="J2478" s="8">
        <v>1</v>
      </c>
      <c r="K2478" s="9">
        <v>0</v>
      </c>
      <c r="L2478" s="10">
        <v>0</v>
      </c>
      <c r="M2478" s="6">
        <v>1</v>
      </c>
      <c r="N2478" s="37" t="e" cm="1">
        <f t="array" ref="N2478">IF(OR(ISNUMBER(FIND(Aux!$D$3:$D$9,_xlfn.TEXTJOIN(,,C2478:K2478)))),NA(),IF(AND(SUM(C2478:F2478,H2478:K2478)=0,G2478=1),0,INT((SUMPRODUCT(C2478:F2478,COLUMN($A$1:$D$1)-1)+SUMPRODUCT(H2478:K2478,COLUMN($E$1:$H$1)-1))*'Line Follower'!$C$3/SUM(C2478:F2478,H2478:K2478)-'Line Follower'!$C$5)))</f>
        <v>#N/A</v>
      </c>
      <c r="O2478" s="22" t="e">
        <v>#N/A</v>
      </c>
      <c r="P2478" s="4" t="e">
        <f t="shared" si="190"/>
        <v>#N/A</v>
      </c>
      <c r="Q2478" s="4" t="e">
        <f t="shared" si="191"/>
        <v>#N/A</v>
      </c>
      <c r="R2478" s="4" t="e">
        <f>IF(AND(B2478=1,N2478&gt;'Line Follower'!$C$7,SUM(C2478:K2478)&lt;4),1,0)</f>
        <v>#N/A</v>
      </c>
      <c r="S2478" s="4" t="e">
        <f>IF(AND(L2478=1,N2478&lt;'Line Follower'!$C$6,SUM(C2478:K2478)&lt;4),1,0)</f>
        <v>#N/A</v>
      </c>
      <c r="T2478" s="4" t="e">
        <f t="shared" si="192"/>
        <v>#N/A</v>
      </c>
      <c r="U2478" s="5" t="e">
        <f t="shared" si="193"/>
        <v>#N/A</v>
      </c>
      <c r="V2478" s="23" t="e">
        <f t="shared" si="194"/>
        <v>#N/A</v>
      </c>
    </row>
    <row r="2479" spans="2:22" x14ac:dyDescent="0.25">
      <c r="B2479" s="16">
        <v>0</v>
      </c>
      <c r="C2479" s="7">
        <v>0</v>
      </c>
      <c r="D2479" s="8">
        <v>1</v>
      </c>
      <c r="E2479" s="8">
        <v>1</v>
      </c>
      <c r="F2479" s="8">
        <v>0</v>
      </c>
      <c r="G2479" s="8">
        <v>1</v>
      </c>
      <c r="H2479" s="8">
        <v>0</v>
      </c>
      <c r="I2479" s="8">
        <v>1</v>
      </c>
      <c r="J2479" s="8">
        <v>1</v>
      </c>
      <c r="K2479" s="9">
        <v>0</v>
      </c>
      <c r="L2479" s="10">
        <v>0</v>
      </c>
      <c r="M2479" s="6">
        <v>1</v>
      </c>
      <c r="N2479" s="37" t="e" cm="1">
        <f t="array" ref="N2479">IF(OR(ISNUMBER(FIND(Aux!$D$3:$D$9,_xlfn.TEXTJOIN(,,C2479:K2479)))),NA(),IF(AND(SUM(C2479:F2479,H2479:K2479)=0,G2479=1),0,INT((SUMPRODUCT(C2479:F2479,COLUMN($A$1:$D$1)-1)+SUMPRODUCT(H2479:K2479,COLUMN($E$1:$H$1)-1))*'Line Follower'!$C$3/SUM(C2479:F2479,H2479:K2479)-'Line Follower'!$C$5)))</f>
        <v>#N/A</v>
      </c>
      <c r="O2479" s="22" t="e">
        <v>#N/A</v>
      </c>
      <c r="P2479" s="4" t="e">
        <f t="shared" si="190"/>
        <v>#N/A</v>
      </c>
      <c r="Q2479" s="4" t="e">
        <f t="shared" si="191"/>
        <v>#N/A</v>
      </c>
      <c r="R2479" s="4" t="e">
        <f>IF(AND(B2479=1,N2479&gt;'Line Follower'!$C$7,SUM(C2479:K2479)&lt;4),1,0)</f>
        <v>#N/A</v>
      </c>
      <c r="S2479" s="4" t="e">
        <f>IF(AND(L2479=1,N2479&lt;'Line Follower'!$C$6,SUM(C2479:K2479)&lt;4),1,0)</f>
        <v>#N/A</v>
      </c>
      <c r="T2479" s="4" t="e">
        <f t="shared" si="192"/>
        <v>#N/A</v>
      </c>
      <c r="U2479" s="5" t="e">
        <f t="shared" si="193"/>
        <v>#N/A</v>
      </c>
      <c r="V2479" s="23" t="e">
        <f t="shared" si="194"/>
        <v>#N/A</v>
      </c>
    </row>
    <row r="2480" spans="2:22" x14ac:dyDescent="0.25">
      <c r="B2480" s="16">
        <v>1</v>
      </c>
      <c r="C2480" s="7">
        <v>0</v>
      </c>
      <c r="D2480" s="8">
        <v>1</v>
      </c>
      <c r="E2480" s="8">
        <v>1</v>
      </c>
      <c r="F2480" s="8">
        <v>0</v>
      </c>
      <c r="G2480" s="8">
        <v>1</v>
      </c>
      <c r="H2480" s="8">
        <v>0</v>
      </c>
      <c r="I2480" s="8">
        <v>1</v>
      </c>
      <c r="J2480" s="8">
        <v>1</v>
      </c>
      <c r="K2480" s="9">
        <v>0</v>
      </c>
      <c r="L2480" s="10">
        <v>0</v>
      </c>
      <c r="M2480" s="6">
        <v>1</v>
      </c>
      <c r="N2480" s="37" t="e" cm="1">
        <f t="array" ref="N2480">IF(OR(ISNUMBER(FIND(Aux!$D$3:$D$9,_xlfn.TEXTJOIN(,,C2480:K2480)))),NA(),IF(AND(SUM(C2480:F2480,H2480:K2480)=0,G2480=1),0,INT((SUMPRODUCT(C2480:F2480,COLUMN($A$1:$D$1)-1)+SUMPRODUCT(H2480:K2480,COLUMN($E$1:$H$1)-1))*'Line Follower'!$C$3/SUM(C2480:F2480,H2480:K2480)-'Line Follower'!$C$5)))</f>
        <v>#N/A</v>
      </c>
      <c r="O2480" s="22" t="e">
        <v>#N/A</v>
      </c>
      <c r="P2480" s="4" t="e">
        <f t="shared" si="190"/>
        <v>#N/A</v>
      </c>
      <c r="Q2480" s="4" t="e">
        <f t="shared" si="191"/>
        <v>#N/A</v>
      </c>
      <c r="R2480" s="4" t="e">
        <f>IF(AND(B2480=1,N2480&gt;'Line Follower'!$C$7,SUM(C2480:K2480)&lt;4),1,0)</f>
        <v>#N/A</v>
      </c>
      <c r="S2480" s="4" t="e">
        <f>IF(AND(L2480=1,N2480&lt;'Line Follower'!$C$6,SUM(C2480:K2480)&lt;4),1,0)</f>
        <v>#N/A</v>
      </c>
      <c r="T2480" s="4" t="e">
        <f t="shared" si="192"/>
        <v>#N/A</v>
      </c>
      <c r="U2480" s="5" t="e">
        <f t="shared" si="193"/>
        <v>#N/A</v>
      </c>
      <c r="V2480" s="23" t="e">
        <f t="shared" si="194"/>
        <v>#N/A</v>
      </c>
    </row>
    <row r="2481" spans="2:22" x14ac:dyDescent="0.25">
      <c r="B2481" s="16">
        <v>0</v>
      </c>
      <c r="C2481" s="7">
        <v>1</v>
      </c>
      <c r="D2481" s="8">
        <v>1</v>
      </c>
      <c r="E2481" s="8">
        <v>1</v>
      </c>
      <c r="F2481" s="8">
        <v>0</v>
      </c>
      <c r="G2481" s="8">
        <v>1</v>
      </c>
      <c r="H2481" s="8">
        <v>0</v>
      </c>
      <c r="I2481" s="8">
        <v>1</v>
      </c>
      <c r="J2481" s="8">
        <v>1</v>
      </c>
      <c r="K2481" s="9">
        <v>0</v>
      </c>
      <c r="L2481" s="10">
        <v>0</v>
      </c>
      <c r="M2481" s="6">
        <v>1</v>
      </c>
      <c r="N2481" s="37" t="e" cm="1">
        <f t="array" ref="N2481">IF(OR(ISNUMBER(FIND(Aux!$D$3:$D$9,_xlfn.TEXTJOIN(,,C2481:K2481)))),NA(),IF(AND(SUM(C2481:F2481,H2481:K2481)=0,G2481=1),0,INT((SUMPRODUCT(C2481:F2481,COLUMN($A$1:$D$1)-1)+SUMPRODUCT(H2481:K2481,COLUMN($E$1:$H$1)-1))*'Line Follower'!$C$3/SUM(C2481:F2481,H2481:K2481)-'Line Follower'!$C$5)))</f>
        <v>#N/A</v>
      </c>
      <c r="O2481" s="22" t="e">
        <v>#N/A</v>
      </c>
      <c r="P2481" s="4" t="e">
        <f t="shared" si="190"/>
        <v>#N/A</v>
      </c>
      <c r="Q2481" s="4" t="e">
        <f t="shared" si="191"/>
        <v>#N/A</v>
      </c>
      <c r="R2481" s="4" t="e">
        <f>IF(AND(B2481=1,N2481&gt;'Line Follower'!$C$7,SUM(C2481:K2481)&lt;4),1,0)</f>
        <v>#N/A</v>
      </c>
      <c r="S2481" s="4" t="e">
        <f>IF(AND(L2481=1,N2481&lt;'Line Follower'!$C$6,SUM(C2481:K2481)&lt;4),1,0)</f>
        <v>#N/A</v>
      </c>
      <c r="T2481" s="4" t="e">
        <f t="shared" si="192"/>
        <v>#N/A</v>
      </c>
      <c r="U2481" s="5" t="e">
        <f t="shared" si="193"/>
        <v>#N/A</v>
      </c>
      <c r="V2481" s="23" t="e">
        <f t="shared" si="194"/>
        <v>#N/A</v>
      </c>
    </row>
    <row r="2482" spans="2:22" x14ac:dyDescent="0.25">
      <c r="B2482" s="16">
        <v>1</v>
      </c>
      <c r="C2482" s="7">
        <v>1</v>
      </c>
      <c r="D2482" s="8">
        <v>1</v>
      </c>
      <c r="E2482" s="8">
        <v>1</v>
      </c>
      <c r="F2482" s="8">
        <v>0</v>
      </c>
      <c r="G2482" s="8">
        <v>1</v>
      </c>
      <c r="H2482" s="8">
        <v>0</v>
      </c>
      <c r="I2482" s="8">
        <v>1</v>
      </c>
      <c r="J2482" s="8">
        <v>1</v>
      </c>
      <c r="K2482" s="9">
        <v>0</v>
      </c>
      <c r="L2482" s="10">
        <v>0</v>
      </c>
      <c r="M2482" s="6">
        <v>1</v>
      </c>
      <c r="N2482" s="37" t="e" cm="1">
        <f t="array" ref="N2482">IF(OR(ISNUMBER(FIND(Aux!$D$3:$D$9,_xlfn.TEXTJOIN(,,C2482:K2482)))),NA(),IF(AND(SUM(C2482:F2482,H2482:K2482)=0,G2482=1),0,INT((SUMPRODUCT(C2482:F2482,COLUMN($A$1:$D$1)-1)+SUMPRODUCT(H2482:K2482,COLUMN($E$1:$H$1)-1))*'Line Follower'!$C$3/SUM(C2482:F2482,H2482:K2482)-'Line Follower'!$C$5)))</f>
        <v>#N/A</v>
      </c>
      <c r="O2482" s="22" t="e">
        <v>#N/A</v>
      </c>
      <c r="P2482" s="4" t="e">
        <f t="shared" si="190"/>
        <v>#N/A</v>
      </c>
      <c r="Q2482" s="4" t="e">
        <f t="shared" si="191"/>
        <v>#N/A</v>
      </c>
      <c r="R2482" s="4" t="e">
        <f>IF(AND(B2482=1,N2482&gt;'Line Follower'!$C$7,SUM(C2482:K2482)&lt;4),1,0)</f>
        <v>#N/A</v>
      </c>
      <c r="S2482" s="4" t="e">
        <f>IF(AND(L2482=1,N2482&lt;'Line Follower'!$C$6,SUM(C2482:K2482)&lt;4),1,0)</f>
        <v>#N/A</v>
      </c>
      <c r="T2482" s="4" t="e">
        <f t="shared" si="192"/>
        <v>#N/A</v>
      </c>
      <c r="U2482" s="5" t="e">
        <f t="shared" si="193"/>
        <v>#N/A</v>
      </c>
      <c r="V2482" s="23" t="e">
        <f t="shared" si="194"/>
        <v>#N/A</v>
      </c>
    </row>
    <row r="2483" spans="2:22" x14ac:dyDescent="0.25">
      <c r="B2483" s="16">
        <v>0</v>
      </c>
      <c r="C2483" s="7">
        <v>0</v>
      </c>
      <c r="D2483" s="8">
        <v>0</v>
      </c>
      <c r="E2483" s="8">
        <v>0</v>
      </c>
      <c r="F2483" s="8">
        <v>1</v>
      </c>
      <c r="G2483" s="8">
        <v>1</v>
      </c>
      <c r="H2483" s="8">
        <v>0</v>
      </c>
      <c r="I2483" s="8">
        <v>1</v>
      </c>
      <c r="J2483" s="8">
        <v>1</v>
      </c>
      <c r="K2483" s="9">
        <v>0</v>
      </c>
      <c r="L2483" s="10">
        <v>0</v>
      </c>
      <c r="M2483" s="6">
        <v>1</v>
      </c>
      <c r="N2483" s="37" t="e" cm="1">
        <f t="array" ref="N2483">IF(OR(ISNUMBER(FIND(Aux!$D$3:$D$9,_xlfn.TEXTJOIN(,,C2483:K2483)))),NA(),IF(AND(SUM(C2483:F2483,H2483:K2483)=0,G2483=1),0,INT((SUMPRODUCT(C2483:F2483,COLUMN($A$1:$D$1)-1)+SUMPRODUCT(H2483:K2483,COLUMN($E$1:$H$1)-1))*'Line Follower'!$C$3/SUM(C2483:F2483,H2483:K2483)-'Line Follower'!$C$5)))</f>
        <v>#N/A</v>
      </c>
      <c r="O2483" s="22" t="e">
        <v>#N/A</v>
      </c>
      <c r="P2483" s="4" t="e">
        <f t="shared" si="190"/>
        <v>#N/A</v>
      </c>
      <c r="Q2483" s="4" t="e">
        <f t="shared" si="191"/>
        <v>#N/A</v>
      </c>
      <c r="R2483" s="4" t="e">
        <f>IF(AND(B2483=1,N2483&gt;'Line Follower'!$C$7,SUM(C2483:K2483)&lt;4),1,0)</f>
        <v>#N/A</v>
      </c>
      <c r="S2483" s="4" t="e">
        <f>IF(AND(L2483=1,N2483&lt;'Line Follower'!$C$6,SUM(C2483:K2483)&lt;4),1,0)</f>
        <v>#N/A</v>
      </c>
      <c r="T2483" s="4" t="e">
        <f t="shared" si="192"/>
        <v>#N/A</v>
      </c>
      <c r="U2483" s="5" t="e">
        <f t="shared" si="193"/>
        <v>#N/A</v>
      </c>
      <c r="V2483" s="23" t="e">
        <f t="shared" si="194"/>
        <v>#N/A</v>
      </c>
    </row>
    <row r="2484" spans="2:22" x14ac:dyDescent="0.25">
      <c r="B2484" s="16">
        <v>1</v>
      </c>
      <c r="C2484" s="7">
        <v>0</v>
      </c>
      <c r="D2484" s="8">
        <v>0</v>
      </c>
      <c r="E2484" s="8">
        <v>0</v>
      </c>
      <c r="F2484" s="8">
        <v>1</v>
      </c>
      <c r="G2484" s="8">
        <v>1</v>
      </c>
      <c r="H2484" s="8">
        <v>0</v>
      </c>
      <c r="I2484" s="8">
        <v>1</v>
      </c>
      <c r="J2484" s="8">
        <v>1</v>
      </c>
      <c r="K2484" s="9">
        <v>0</v>
      </c>
      <c r="L2484" s="10">
        <v>0</v>
      </c>
      <c r="M2484" s="6">
        <v>1</v>
      </c>
      <c r="N2484" s="37" t="e" cm="1">
        <f t="array" ref="N2484">IF(OR(ISNUMBER(FIND(Aux!$D$3:$D$9,_xlfn.TEXTJOIN(,,C2484:K2484)))),NA(),IF(AND(SUM(C2484:F2484,H2484:K2484)=0,G2484=1),0,INT((SUMPRODUCT(C2484:F2484,COLUMN($A$1:$D$1)-1)+SUMPRODUCT(H2484:K2484,COLUMN($E$1:$H$1)-1))*'Line Follower'!$C$3/SUM(C2484:F2484,H2484:K2484)-'Line Follower'!$C$5)))</f>
        <v>#N/A</v>
      </c>
      <c r="O2484" s="22" t="e">
        <v>#N/A</v>
      </c>
      <c r="P2484" s="4" t="e">
        <f t="shared" si="190"/>
        <v>#N/A</v>
      </c>
      <c r="Q2484" s="4" t="e">
        <f t="shared" si="191"/>
        <v>#N/A</v>
      </c>
      <c r="R2484" s="4" t="e">
        <f>IF(AND(B2484=1,N2484&gt;'Line Follower'!$C$7,SUM(C2484:K2484)&lt;4),1,0)</f>
        <v>#N/A</v>
      </c>
      <c r="S2484" s="4" t="e">
        <f>IF(AND(L2484=1,N2484&lt;'Line Follower'!$C$6,SUM(C2484:K2484)&lt;4),1,0)</f>
        <v>#N/A</v>
      </c>
      <c r="T2484" s="4" t="e">
        <f t="shared" si="192"/>
        <v>#N/A</v>
      </c>
      <c r="U2484" s="5" t="e">
        <f t="shared" si="193"/>
        <v>#N/A</v>
      </c>
      <c r="V2484" s="23" t="e">
        <f t="shared" si="194"/>
        <v>#N/A</v>
      </c>
    </row>
    <row r="2485" spans="2:22" x14ac:dyDescent="0.25">
      <c r="B2485" s="16">
        <v>0</v>
      </c>
      <c r="C2485" s="7">
        <v>1</v>
      </c>
      <c r="D2485" s="8">
        <v>0</v>
      </c>
      <c r="E2485" s="8">
        <v>0</v>
      </c>
      <c r="F2485" s="8">
        <v>1</v>
      </c>
      <c r="G2485" s="8">
        <v>1</v>
      </c>
      <c r="H2485" s="8">
        <v>0</v>
      </c>
      <c r="I2485" s="8">
        <v>1</v>
      </c>
      <c r="J2485" s="8">
        <v>1</v>
      </c>
      <c r="K2485" s="9">
        <v>0</v>
      </c>
      <c r="L2485" s="10">
        <v>0</v>
      </c>
      <c r="M2485" s="6">
        <v>1</v>
      </c>
      <c r="N2485" s="37" t="e" cm="1">
        <f t="array" ref="N2485">IF(OR(ISNUMBER(FIND(Aux!$D$3:$D$9,_xlfn.TEXTJOIN(,,C2485:K2485)))),NA(),IF(AND(SUM(C2485:F2485,H2485:K2485)=0,G2485=1),0,INT((SUMPRODUCT(C2485:F2485,COLUMN($A$1:$D$1)-1)+SUMPRODUCT(H2485:K2485,COLUMN($E$1:$H$1)-1))*'Line Follower'!$C$3/SUM(C2485:F2485,H2485:K2485)-'Line Follower'!$C$5)))</f>
        <v>#N/A</v>
      </c>
      <c r="O2485" s="22" t="e">
        <v>#N/A</v>
      </c>
      <c r="P2485" s="4" t="e">
        <f t="shared" si="190"/>
        <v>#N/A</v>
      </c>
      <c r="Q2485" s="4" t="e">
        <f t="shared" si="191"/>
        <v>#N/A</v>
      </c>
      <c r="R2485" s="4" t="e">
        <f>IF(AND(B2485=1,N2485&gt;'Line Follower'!$C$7,SUM(C2485:K2485)&lt;4),1,0)</f>
        <v>#N/A</v>
      </c>
      <c r="S2485" s="4" t="e">
        <f>IF(AND(L2485=1,N2485&lt;'Line Follower'!$C$6,SUM(C2485:K2485)&lt;4),1,0)</f>
        <v>#N/A</v>
      </c>
      <c r="T2485" s="4" t="e">
        <f t="shared" si="192"/>
        <v>#N/A</v>
      </c>
      <c r="U2485" s="5" t="e">
        <f t="shared" si="193"/>
        <v>#N/A</v>
      </c>
      <c r="V2485" s="23" t="e">
        <f t="shared" si="194"/>
        <v>#N/A</v>
      </c>
    </row>
    <row r="2486" spans="2:22" x14ac:dyDescent="0.25">
      <c r="B2486" s="16">
        <v>1</v>
      </c>
      <c r="C2486" s="7">
        <v>1</v>
      </c>
      <c r="D2486" s="8">
        <v>0</v>
      </c>
      <c r="E2486" s="8">
        <v>0</v>
      </c>
      <c r="F2486" s="8">
        <v>1</v>
      </c>
      <c r="G2486" s="8">
        <v>1</v>
      </c>
      <c r="H2486" s="8">
        <v>0</v>
      </c>
      <c r="I2486" s="8">
        <v>1</v>
      </c>
      <c r="J2486" s="8">
        <v>1</v>
      </c>
      <c r="K2486" s="9">
        <v>0</v>
      </c>
      <c r="L2486" s="10">
        <v>0</v>
      </c>
      <c r="M2486" s="6">
        <v>1</v>
      </c>
      <c r="N2486" s="37" t="e" cm="1">
        <f t="array" ref="N2486">IF(OR(ISNUMBER(FIND(Aux!$D$3:$D$9,_xlfn.TEXTJOIN(,,C2486:K2486)))),NA(),IF(AND(SUM(C2486:F2486,H2486:K2486)=0,G2486=1),0,INT((SUMPRODUCT(C2486:F2486,COLUMN($A$1:$D$1)-1)+SUMPRODUCT(H2486:K2486,COLUMN($E$1:$H$1)-1))*'Line Follower'!$C$3/SUM(C2486:F2486,H2486:K2486)-'Line Follower'!$C$5)))</f>
        <v>#N/A</v>
      </c>
      <c r="O2486" s="22" t="e">
        <v>#N/A</v>
      </c>
      <c r="P2486" s="4" t="e">
        <f t="shared" si="190"/>
        <v>#N/A</v>
      </c>
      <c r="Q2486" s="4" t="e">
        <f t="shared" si="191"/>
        <v>#N/A</v>
      </c>
      <c r="R2486" s="4" t="e">
        <f>IF(AND(B2486=1,N2486&gt;'Line Follower'!$C$7,SUM(C2486:K2486)&lt;4),1,0)</f>
        <v>#N/A</v>
      </c>
      <c r="S2486" s="4" t="e">
        <f>IF(AND(L2486=1,N2486&lt;'Line Follower'!$C$6,SUM(C2486:K2486)&lt;4),1,0)</f>
        <v>#N/A</v>
      </c>
      <c r="T2486" s="4" t="e">
        <f t="shared" si="192"/>
        <v>#N/A</v>
      </c>
      <c r="U2486" s="5" t="e">
        <f t="shared" si="193"/>
        <v>#N/A</v>
      </c>
      <c r="V2486" s="23" t="e">
        <f t="shared" si="194"/>
        <v>#N/A</v>
      </c>
    </row>
    <row r="2487" spans="2:22" x14ac:dyDescent="0.25">
      <c r="B2487" s="16">
        <v>0</v>
      </c>
      <c r="C2487" s="7">
        <v>0</v>
      </c>
      <c r="D2487" s="8">
        <v>1</v>
      </c>
      <c r="E2487" s="8">
        <v>0</v>
      </c>
      <c r="F2487" s="8">
        <v>1</v>
      </c>
      <c r="G2487" s="8">
        <v>1</v>
      </c>
      <c r="H2487" s="8">
        <v>0</v>
      </c>
      <c r="I2487" s="8">
        <v>1</v>
      </c>
      <c r="J2487" s="8">
        <v>1</v>
      </c>
      <c r="K2487" s="9">
        <v>0</v>
      </c>
      <c r="L2487" s="10">
        <v>0</v>
      </c>
      <c r="M2487" s="6">
        <v>1</v>
      </c>
      <c r="N2487" s="37" t="e" cm="1">
        <f t="array" ref="N2487">IF(OR(ISNUMBER(FIND(Aux!$D$3:$D$9,_xlfn.TEXTJOIN(,,C2487:K2487)))),NA(),IF(AND(SUM(C2487:F2487,H2487:K2487)=0,G2487=1),0,INT((SUMPRODUCT(C2487:F2487,COLUMN($A$1:$D$1)-1)+SUMPRODUCT(H2487:K2487,COLUMN($E$1:$H$1)-1))*'Line Follower'!$C$3/SUM(C2487:F2487,H2487:K2487)-'Line Follower'!$C$5)))</f>
        <v>#N/A</v>
      </c>
      <c r="O2487" s="22" t="e">
        <v>#N/A</v>
      </c>
      <c r="P2487" s="4" t="e">
        <f t="shared" si="190"/>
        <v>#N/A</v>
      </c>
      <c r="Q2487" s="4" t="e">
        <f t="shared" si="191"/>
        <v>#N/A</v>
      </c>
      <c r="R2487" s="4" t="e">
        <f>IF(AND(B2487=1,N2487&gt;'Line Follower'!$C$7,SUM(C2487:K2487)&lt;4),1,0)</f>
        <v>#N/A</v>
      </c>
      <c r="S2487" s="4" t="e">
        <f>IF(AND(L2487=1,N2487&lt;'Line Follower'!$C$6,SUM(C2487:K2487)&lt;4),1,0)</f>
        <v>#N/A</v>
      </c>
      <c r="T2487" s="4" t="e">
        <f t="shared" si="192"/>
        <v>#N/A</v>
      </c>
      <c r="U2487" s="5" t="e">
        <f t="shared" si="193"/>
        <v>#N/A</v>
      </c>
      <c r="V2487" s="23" t="e">
        <f t="shared" si="194"/>
        <v>#N/A</v>
      </c>
    </row>
    <row r="2488" spans="2:22" x14ac:dyDescent="0.25">
      <c r="B2488" s="16">
        <v>1</v>
      </c>
      <c r="C2488" s="7">
        <v>0</v>
      </c>
      <c r="D2488" s="8">
        <v>1</v>
      </c>
      <c r="E2488" s="8">
        <v>0</v>
      </c>
      <c r="F2488" s="8">
        <v>1</v>
      </c>
      <c r="G2488" s="8">
        <v>1</v>
      </c>
      <c r="H2488" s="8">
        <v>0</v>
      </c>
      <c r="I2488" s="8">
        <v>1</v>
      </c>
      <c r="J2488" s="8">
        <v>1</v>
      </c>
      <c r="K2488" s="9">
        <v>0</v>
      </c>
      <c r="L2488" s="10">
        <v>0</v>
      </c>
      <c r="M2488" s="6">
        <v>1</v>
      </c>
      <c r="N2488" s="37" t="e" cm="1">
        <f t="array" ref="N2488">IF(OR(ISNUMBER(FIND(Aux!$D$3:$D$9,_xlfn.TEXTJOIN(,,C2488:K2488)))),NA(),IF(AND(SUM(C2488:F2488,H2488:K2488)=0,G2488=1),0,INT((SUMPRODUCT(C2488:F2488,COLUMN($A$1:$D$1)-1)+SUMPRODUCT(H2488:K2488,COLUMN($E$1:$H$1)-1))*'Line Follower'!$C$3/SUM(C2488:F2488,H2488:K2488)-'Line Follower'!$C$5)))</f>
        <v>#N/A</v>
      </c>
      <c r="O2488" s="22" t="e">
        <v>#N/A</v>
      </c>
      <c r="P2488" s="4" t="e">
        <f t="shared" si="190"/>
        <v>#N/A</v>
      </c>
      <c r="Q2488" s="4" t="e">
        <f t="shared" si="191"/>
        <v>#N/A</v>
      </c>
      <c r="R2488" s="4" t="e">
        <f>IF(AND(B2488=1,N2488&gt;'Line Follower'!$C$7,SUM(C2488:K2488)&lt;4),1,0)</f>
        <v>#N/A</v>
      </c>
      <c r="S2488" s="4" t="e">
        <f>IF(AND(L2488=1,N2488&lt;'Line Follower'!$C$6,SUM(C2488:K2488)&lt;4),1,0)</f>
        <v>#N/A</v>
      </c>
      <c r="T2488" s="4" t="e">
        <f t="shared" si="192"/>
        <v>#N/A</v>
      </c>
      <c r="U2488" s="5" t="e">
        <f t="shared" si="193"/>
        <v>#N/A</v>
      </c>
      <c r="V2488" s="23" t="e">
        <f t="shared" si="194"/>
        <v>#N/A</v>
      </c>
    </row>
    <row r="2489" spans="2:22" x14ac:dyDescent="0.25">
      <c r="B2489" s="16">
        <v>0</v>
      </c>
      <c r="C2489" s="7">
        <v>1</v>
      </c>
      <c r="D2489" s="8">
        <v>1</v>
      </c>
      <c r="E2489" s="8">
        <v>0</v>
      </c>
      <c r="F2489" s="8">
        <v>1</v>
      </c>
      <c r="G2489" s="8">
        <v>1</v>
      </c>
      <c r="H2489" s="8">
        <v>0</v>
      </c>
      <c r="I2489" s="8">
        <v>1</v>
      </c>
      <c r="J2489" s="8">
        <v>1</v>
      </c>
      <c r="K2489" s="9">
        <v>0</v>
      </c>
      <c r="L2489" s="10">
        <v>0</v>
      </c>
      <c r="M2489" s="6">
        <v>1</v>
      </c>
      <c r="N2489" s="37" t="e" cm="1">
        <f t="array" ref="N2489">IF(OR(ISNUMBER(FIND(Aux!$D$3:$D$9,_xlfn.TEXTJOIN(,,C2489:K2489)))),NA(),IF(AND(SUM(C2489:F2489,H2489:K2489)=0,G2489=1),0,INT((SUMPRODUCT(C2489:F2489,COLUMN($A$1:$D$1)-1)+SUMPRODUCT(H2489:K2489,COLUMN($E$1:$H$1)-1))*'Line Follower'!$C$3/SUM(C2489:F2489,H2489:K2489)-'Line Follower'!$C$5)))</f>
        <v>#N/A</v>
      </c>
      <c r="O2489" s="22" t="e">
        <v>#N/A</v>
      </c>
      <c r="P2489" s="4" t="e">
        <f t="shared" si="190"/>
        <v>#N/A</v>
      </c>
      <c r="Q2489" s="4" t="e">
        <f t="shared" si="191"/>
        <v>#N/A</v>
      </c>
      <c r="R2489" s="4" t="e">
        <f>IF(AND(B2489=1,N2489&gt;'Line Follower'!$C$7,SUM(C2489:K2489)&lt;4),1,0)</f>
        <v>#N/A</v>
      </c>
      <c r="S2489" s="4" t="e">
        <f>IF(AND(L2489=1,N2489&lt;'Line Follower'!$C$6,SUM(C2489:K2489)&lt;4),1,0)</f>
        <v>#N/A</v>
      </c>
      <c r="T2489" s="4" t="e">
        <f t="shared" si="192"/>
        <v>#N/A</v>
      </c>
      <c r="U2489" s="5" t="e">
        <f t="shared" si="193"/>
        <v>#N/A</v>
      </c>
      <c r="V2489" s="23" t="e">
        <f t="shared" si="194"/>
        <v>#N/A</v>
      </c>
    </row>
    <row r="2490" spans="2:22" x14ac:dyDescent="0.25">
      <c r="B2490" s="16">
        <v>1</v>
      </c>
      <c r="C2490" s="7">
        <v>1</v>
      </c>
      <c r="D2490" s="8">
        <v>1</v>
      </c>
      <c r="E2490" s="8">
        <v>0</v>
      </c>
      <c r="F2490" s="8">
        <v>1</v>
      </c>
      <c r="G2490" s="8">
        <v>1</v>
      </c>
      <c r="H2490" s="8">
        <v>0</v>
      </c>
      <c r="I2490" s="8">
        <v>1</v>
      </c>
      <c r="J2490" s="8">
        <v>1</v>
      </c>
      <c r="K2490" s="9">
        <v>0</v>
      </c>
      <c r="L2490" s="10">
        <v>0</v>
      </c>
      <c r="M2490" s="6">
        <v>1</v>
      </c>
      <c r="N2490" s="37" t="e" cm="1">
        <f t="array" ref="N2490">IF(OR(ISNUMBER(FIND(Aux!$D$3:$D$9,_xlfn.TEXTJOIN(,,C2490:K2490)))),NA(),IF(AND(SUM(C2490:F2490,H2490:K2490)=0,G2490=1),0,INT((SUMPRODUCT(C2490:F2490,COLUMN($A$1:$D$1)-1)+SUMPRODUCT(H2490:K2490,COLUMN($E$1:$H$1)-1))*'Line Follower'!$C$3/SUM(C2490:F2490,H2490:K2490)-'Line Follower'!$C$5)))</f>
        <v>#N/A</v>
      </c>
      <c r="O2490" s="22" t="e">
        <v>#N/A</v>
      </c>
      <c r="P2490" s="4" t="e">
        <f t="shared" si="190"/>
        <v>#N/A</v>
      </c>
      <c r="Q2490" s="4" t="e">
        <f t="shared" si="191"/>
        <v>#N/A</v>
      </c>
      <c r="R2490" s="4" t="e">
        <f>IF(AND(B2490=1,N2490&gt;'Line Follower'!$C$7,SUM(C2490:K2490)&lt;4),1,0)</f>
        <v>#N/A</v>
      </c>
      <c r="S2490" s="4" t="e">
        <f>IF(AND(L2490=1,N2490&lt;'Line Follower'!$C$6,SUM(C2490:K2490)&lt;4),1,0)</f>
        <v>#N/A</v>
      </c>
      <c r="T2490" s="4" t="e">
        <f t="shared" si="192"/>
        <v>#N/A</v>
      </c>
      <c r="U2490" s="5" t="e">
        <f t="shared" si="193"/>
        <v>#N/A</v>
      </c>
      <c r="V2490" s="23" t="e">
        <f t="shared" si="194"/>
        <v>#N/A</v>
      </c>
    </row>
    <row r="2491" spans="2:22" x14ac:dyDescent="0.25">
      <c r="B2491" s="16">
        <v>0</v>
      </c>
      <c r="C2491" s="7">
        <v>0</v>
      </c>
      <c r="D2491" s="8">
        <v>0</v>
      </c>
      <c r="E2491" s="8">
        <v>1</v>
      </c>
      <c r="F2491" s="8">
        <v>1</v>
      </c>
      <c r="G2491" s="8">
        <v>1</v>
      </c>
      <c r="H2491" s="8">
        <v>0</v>
      </c>
      <c r="I2491" s="8">
        <v>1</v>
      </c>
      <c r="J2491" s="8">
        <v>1</v>
      </c>
      <c r="K2491" s="9">
        <v>0</v>
      </c>
      <c r="L2491" s="10">
        <v>0</v>
      </c>
      <c r="M2491" s="6">
        <v>1</v>
      </c>
      <c r="N2491" s="37" t="e" cm="1">
        <f t="array" ref="N2491">IF(OR(ISNUMBER(FIND(Aux!$D$3:$D$9,_xlfn.TEXTJOIN(,,C2491:K2491)))),NA(),IF(AND(SUM(C2491:F2491,H2491:K2491)=0,G2491=1),0,INT((SUMPRODUCT(C2491:F2491,COLUMN($A$1:$D$1)-1)+SUMPRODUCT(H2491:K2491,COLUMN($E$1:$H$1)-1))*'Line Follower'!$C$3/SUM(C2491:F2491,H2491:K2491)-'Line Follower'!$C$5)))</f>
        <v>#N/A</v>
      </c>
      <c r="O2491" s="22" t="e">
        <v>#N/A</v>
      </c>
      <c r="P2491" s="4" t="e">
        <f t="shared" si="190"/>
        <v>#N/A</v>
      </c>
      <c r="Q2491" s="4" t="e">
        <f t="shared" si="191"/>
        <v>#N/A</v>
      </c>
      <c r="R2491" s="4" t="e">
        <f>IF(AND(B2491=1,N2491&gt;'Line Follower'!$C$7,SUM(C2491:K2491)&lt;4),1,0)</f>
        <v>#N/A</v>
      </c>
      <c r="S2491" s="4" t="e">
        <f>IF(AND(L2491=1,N2491&lt;'Line Follower'!$C$6,SUM(C2491:K2491)&lt;4),1,0)</f>
        <v>#N/A</v>
      </c>
      <c r="T2491" s="4" t="e">
        <f t="shared" si="192"/>
        <v>#N/A</v>
      </c>
      <c r="U2491" s="5" t="e">
        <f t="shared" si="193"/>
        <v>#N/A</v>
      </c>
      <c r="V2491" s="23" t="e">
        <f t="shared" si="194"/>
        <v>#N/A</v>
      </c>
    </row>
    <row r="2492" spans="2:22" x14ac:dyDescent="0.25">
      <c r="B2492" s="16">
        <v>1</v>
      </c>
      <c r="C2492" s="7">
        <v>0</v>
      </c>
      <c r="D2492" s="8">
        <v>0</v>
      </c>
      <c r="E2492" s="8">
        <v>1</v>
      </c>
      <c r="F2492" s="8">
        <v>1</v>
      </c>
      <c r="G2492" s="8">
        <v>1</v>
      </c>
      <c r="H2492" s="8">
        <v>0</v>
      </c>
      <c r="I2492" s="8">
        <v>1</v>
      </c>
      <c r="J2492" s="8">
        <v>1</v>
      </c>
      <c r="K2492" s="9">
        <v>0</v>
      </c>
      <c r="L2492" s="10">
        <v>0</v>
      </c>
      <c r="M2492" s="6">
        <v>1</v>
      </c>
      <c r="N2492" s="37" t="e" cm="1">
        <f t="array" ref="N2492">IF(OR(ISNUMBER(FIND(Aux!$D$3:$D$9,_xlfn.TEXTJOIN(,,C2492:K2492)))),NA(),IF(AND(SUM(C2492:F2492,H2492:K2492)=0,G2492=1),0,INT((SUMPRODUCT(C2492:F2492,COLUMN($A$1:$D$1)-1)+SUMPRODUCT(H2492:K2492,COLUMN($E$1:$H$1)-1))*'Line Follower'!$C$3/SUM(C2492:F2492,H2492:K2492)-'Line Follower'!$C$5)))</f>
        <v>#N/A</v>
      </c>
      <c r="O2492" s="22" t="e">
        <v>#N/A</v>
      </c>
      <c r="P2492" s="4" t="e">
        <f t="shared" si="190"/>
        <v>#N/A</v>
      </c>
      <c r="Q2492" s="4" t="e">
        <f t="shared" si="191"/>
        <v>#N/A</v>
      </c>
      <c r="R2492" s="4" t="e">
        <f>IF(AND(B2492=1,N2492&gt;'Line Follower'!$C$7,SUM(C2492:K2492)&lt;4),1,0)</f>
        <v>#N/A</v>
      </c>
      <c r="S2492" s="4" t="e">
        <f>IF(AND(L2492=1,N2492&lt;'Line Follower'!$C$6,SUM(C2492:K2492)&lt;4),1,0)</f>
        <v>#N/A</v>
      </c>
      <c r="T2492" s="4" t="e">
        <f t="shared" si="192"/>
        <v>#N/A</v>
      </c>
      <c r="U2492" s="5" t="e">
        <f t="shared" si="193"/>
        <v>#N/A</v>
      </c>
      <c r="V2492" s="23" t="e">
        <f t="shared" si="194"/>
        <v>#N/A</v>
      </c>
    </row>
    <row r="2493" spans="2:22" x14ac:dyDescent="0.25">
      <c r="B2493" s="16">
        <v>0</v>
      </c>
      <c r="C2493" s="7">
        <v>1</v>
      </c>
      <c r="D2493" s="8">
        <v>0</v>
      </c>
      <c r="E2493" s="8">
        <v>1</v>
      </c>
      <c r="F2493" s="8">
        <v>1</v>
      </c>
      <c r="G2493" s="8">
        <v>1</v>
      </c>
      <c r="H2493" s="8">
        <v>0</v>
      </c>
      <c r="I2493" s="8">
        <v>1</v>
      </c>
      <c r="J2493" s="8">
        <v>1</v>
      </c>
      <c r="K2493" s="9">
        <v>0</v>
      </c>
      <c r="L2493" s="10">
        <v>0</v>
      </c>
      <c r="M2493" s="6">
        <v>1</v>
      </c>
      <c r="N2493" s="37" t="e" cm="1">
        <f t="array" ref="N2493">IF(OR(ISNUMBER(FIND(Aux!$D$3:$D$9,_xlfn.TEXTJOIN(,,C2493:K2493)))),NA(),IF(AND(SUM(C2493:F2493,H2493:K2493)=0,G2493=1),0,INT((SUMPRODUCT(C2493:F2493,COLUMN($A$1:$D$1)-1)+SUMPRODUCT(H2493:K2493,COLUMN($E$1:$H$1)-1))*'Line Follower'!$C$3/SUM(C2493:F2493,H2493:K2493)-'Line Follower'!$C$5)))</f>
        <v>#N/A</v>
      </c>
      <c r="O2493" s="22" t="e">
        <v>#N/A</v>
      </c>
      <c r="P2493" s="4" t="e">
        <f t="shared" si="190"/>
        <v>#N/A</v>
      </c>
      <c r="Q2493" s="4" t="e">
        <f t="shared" si="191"/>
        <v>#N/A</v>
      </c>
      <c r="R2493" s="4" t="e">
        <f>IF(AND(B2493=1,N2493&gt;'Line Follower'!$C$7,SUM(C2493:K2493)&lt;4),1,0)</f>
        <v>#N/A</v>
      </c>
      <c r="S2493" s="4" t="e">
        <f>IF(AND(L2493=1,N2493&lt;'Line Follower'!$C$6,SUM(C2493:K2493)&lt;4),1,0)</f>
        <v>#N/A</v>
      </c>
      <c r="T2493" s="4" t="e">
        <f t="shared" si="192"/>
        <v>#N/A</v>
      </c>
      <c r="U2493" s="5" t="e">
        <f t="shared" si="193"/>
        <v>#N/A</v>
      </c>
      <c r="V2493" s="23" t="e">
        <f t="shared" si="194"/>
        <v>#N/A</v>
      </c>
    </row>
    <row r="2494" spans="2:22" x14ac:dyDescent="0.25">
      <c r="B2494" s="16">
        <v>1</v>
      </c>
      <c r="C2494" s="7">
        <v>1</v>
      </c>
      <c r="D2494" s="8">
        <v>0</v>
      </c>
      <c r="E2494" s="8">
        <v>1</v>
      </c>
      <c r="F2494" s="8">
        <v>1</v>
      </c>
      <c r="G2494" s="8">
        <v>1</v>
      </c>
      <c r="H2494" s="8">
        <v>0</v>
      </c>
      <c r="I2494" s="8">
        <v>1</v>
      </c>
      <c r="J2494" s="8">
        <v>1</v>
      </c>
      <c r="K2494" s="9">
        <v>0</v>
      </c>
      <c r="L2494" s="10">
        <v>0</v>
      </c>
      <c r="M2494" s="6">
        <v>1</v>
      </c>
      <c r="N2494" s="37" t="e" cm="1">
        <f t="array" ref="N2494">IF(OR(ISNUMBER(FIND(Aux!$D$3:$D$9,_xlfn.TEXTJOIN(,,C2494:K2494)))),NA(),IF(AND(SUM(C2494:F2494,H2494:K2494)=0,G2494=1),0,INT((SUMPRODUCT(C2494:F2494,COLUMN($A$1:$D$1)-1)+SUMPRODUCT(H2494:K2494,COLUMN($E$1:$H$1)-1))*'Line Follower'!$C$3/SUM(C2494:F2494,H2494:K2494)-'Line Follower'!$C$5)))</f>
        <v>#N/A</v>
      </c>
      <c r="O2494" s="22" t="e">
        <v>#N/A</v>
      </c>
      <c r="P2494" s="4" t="e">
        <f t="shared" si="190"/>
        <v>#N/A</v>
      </c>
      <c r="Q2494" s="4" t="e">
        <f t="shared" si="191"/>
        <v>#N/A</v>
      </c>
      <c r="R2494" s="4" t="e">
        <f>IF(AND(B2494=1,N2494&gt;'Line Follower'!$C$7,SUM(C2494:K2494)&lt;4),1,0)</f>
        <v>#N/A</v>
      </c>
      <c r="S2494" s="4" t="e">
        <f>IF(AND(L2494=1,N2494&lt;'Line Follower'!$C$6,SUM(C2494:K2494)&lt;4),1,0)</f>
        <v>#N/A</v>
      </c>
      <c r="T2494" s="4" t="e">
        <f t="shared" si="192"/>
        <v>#N/A</v>
      </c>
      <c r="U2494" s="5" t="e">
        <f t="shared" si="193"/>
        <v>#N/A</v>
      </c>
      <c r="V2494" s="23" t="e">
        <f t="shared" si="194"/>
        <v>#N/A</v>
      </c>
    </row>
    <row r="2495" spans="2:22" x14ac:dyDescent="0.25">
      <c r="B2495" s="16">
        <v>0</v>
      </c>
      <c r="C2495" s="7">
        <v>0</v>
      </c>
      <c r="D2495" s="8">
        <v>1</v>
      </c>
      <c r="E2495" s="8">
        <v>1</v>
      </c>
      <c r="F2495" s="8">
        <v>1</v>
      </c>
      <c r="G2495" s="8">
        <v>1</v>
      </c>
      <c r="H2495" s="8">
        <v>0</v>
      </c>
      <c r="I2495" s="8">
        <v>1</v>
      </c>
      <c r="J2495" s="8">
        <v>1</v>
      </c>
      <c r="K2495" s="9">
        <v>0</v>
      </c>
      <c r="L2495" s="10">
        <v>0</v>
      </c>
      <c r="M2495" s="6">
        <v>1</v>
      </c>
      <c r="N2495" s="37" t="e" cm="1">
        <f t="array" ref="N2495">IF(OR(ISNUMBER(FIND(Aux!$D$3:$D$9,_xlfn.TEXTJOIN(,,C2495:K2495)))),NA(),IF(AND(SUM(C2495:F2495,H2495:K2495)=0,G2495=1),0,INT((SUMPRODUCT(C2495:F2495,COLUMN($A$1:$D$1)-1)+SUMPRODUCT(H2495:K2495,COLUMN($E$1:$H$1)-1))*'Line Follower'!$C$3/SUM(C2495:F2495,H2495:K2495)-'Line Follower'!$C$5)))</f>
        <v>#N/A</v>
      </c>
      <c r="O2495" s="22" t="e">
        <v>#N/A</v>
      </c>
      <c r="P2495" s="4" t="e">
        <f t="shared" si="190"/>
        <v>#N/A</v>
      </c>
      <c r="Q2495" s="4" t="e">
        <f t="shared" si="191"/>
        <v>#N/A</v>
      </c>
      <c r="R2495" s="4" t="e">
        <f>IF(AND(B2495=1,N2495&gt;'Line Follower'!$C$7,SUM(C2495:K2495)&lt;4),1,0)</f>
        <v>#N/A</v>
      </c>
      <c r="S2495" s="4" t="e">
        <f>IF(AND(L2495=1,N2495&lt;'Line Follower'!$C$6,SUM(C2495:K2495)&lt;4),1,0)</f>
        <v>#N/A</v>
      </c>
      <c r="T2495" s="4" t="e">
        <f t="shared" si="192"/>
        <v>#N/A</v>
      </c>
      <c r="U2495" s="5" t="e">
        <f t="shared" si="193"/>
        <v>#N/A</v>
      </c>
      <c r="V2495" s="23" t="e">
        <f t="shared" si="194"/>
        <v>#N/A</v>
      </c>
    </row>
    <row r="2496" spans="2:22" x14ac:dyDescent="0.25">
      <c r="B2496" s="16">
        <v>1</v>
      </c>
      <c r="C2496" s="7">
        <v>0</v>
      </c>
      <c r="D2496" s="8">
        <v>1</v>
      </c>
      <c r="E2496" s="8">
        <v>1</v>
      </c>
      <c r="F2496" s="8">
        <v>1</v>
      </c>
      <c r="G2496" s="8">
        <v>1</v>
      </c>
      <c r="H2496" s="8">
        <v>0</v>
      </c>
      <c r="I2496" s="8">
        <v>1</v>
      </c>
      <c r="J2496" s="8">
        <v>1</v>
      </c>
      <c r="K2496" s="9">
        <v>0</v>
      </c>
      <c r="L2496" s="10">
        <v>0</v>
      </c>
      <c r="M2496" s="6">
        <v>1</v>
      </c>
      <c r="N2496" s="37" t="e" cm="1">
        <f t="array" ref="N2496">IF(OR(ISNUMBER(FIND(Aux!$D$3:$D$9,_xlfn.TEXTJOIN(,,C2496:K2496)))),NA(),IF(AND(SUM(C2496:F2496,H2496:K2496)=0,G2496=1),0,INT((SUMPRODUCT(C2496:F2496,COLUMN($A$1:$D$1)-1)+SUMPRODUCT(H2496:K2496,COLUMN($E$1:$H$1)-1))*'Line Follower'!$C$3/SUM(C2496:F2496,H2496:K2496)-'Line Follower'!$C$5)))</f>
        <v>#N/A</v>
      </c>
      <c r="O2496" s="22" t="e">
        <v>#N/A</v>
      </c>
      <c r="P2496" s="4" t="e">
        <f t="shared" si="190"/>
        <v>#N/A</v>
      </c>
      <c r="Q2496" s="4" t="e">
        <f t="shared" si="191"/>
        <v>#N/A</v>
      </c>
      <c r="R2496" s="4" t="e">
        <f>IF(AND(B2496=1,N2496&gt;'Line Follower'!$C$7,SUM(C2496:K2496)&lt;4),1,0)</f>
        <v>#N/A</v>
      </c>
      <c r="S2496" s="4" t="e">
        <f>IF(AND(L2496=1,N2496&lt;'Line Follower'!$C$6,SUM(C2496:K2496)&lt;4),1,0)</f>
        <v>#N/A</v>
      </c>
      <c r="T2496" s="4" t="e">
        <f t="shared" si="192"/>
        <v>#N/A</v>
      </c>
      <c r="U2496" s="5" t="e">
        <f t="shared" si="193"/>
        <v>#N/A</v>
      </c>
      <c r="V2496" s="23" t="e">
        <f t="shared" si="194"/>
        <v>#N/A</v>
      </c>
    </row>
    <row r="2497" spans="2:22" x14ac:dyDescent="0.25">
      <c r="B2497" s="16">
        <v>0</v>
      </c>
      <c r="C2497" s="7">
        <v>1</v>
      </c>
      <c r="D2497" s="8">
        <v>1</v>
      </c>
      <c r="E2497" s="8">
        <v>1</v>
      </c>
      <c r="F2497" s="8">
        <v>1</v>
      </c>
      <c r="G2497" s="8">
        <v>1</v>
      </c>
      <c r="H2497" s="8">
        <v>0</v>
      </c>
      <c r="I2497" s="8">
        <v>1</v>
      </c>
      <c r="J2497" s="8">
        <v>1</v>
      </c>
      <c r="K2497" s="9">
        <v>0</v>
      </c>
      <c r="L2497" s="10">
        <v>0</v>
      </c>
      <c r="M2497" s="6">
        <v>1</v>
      </c>
      <c r="N2497" s="37" t="e" cm="1">
        <f t="array" ref="N2497">IF(OR(ISNUMBER(FIND(Aux!$D$3:$D$9,_xlfn.TEXTJOIN(,,C2497:K2497)))),NA(),IF(AND(SUM(C2497:F2497,H2497:K2497)=0,G2497=1),0,INT((SUMPRODUCT(C2497:F2497,COLUMN($A$1:$D$1)-1)+SUMPRODUCT(H2497:K2497,COLUMN($E$1:$H$1)-1))*'Line Follower'!$C$3/SUM(C2497:F2497,H2497:K2497)-'Line Follower'!$C$5)))</f>
        <v>#N/A</v>
      </c>
      <c r="O2497" s="22" t="e">
        <v>#N/A</v>
      </c>
      <c r="P2497" s="4" t="e">
        <f t="shared" si="190"/>
        <v>#N/A</v>
      </c>
      <c r="Q2497" s="4" t="e">
        <f t="shared" si="191"/>
        <v>#N/A</v>
      </c>
      <c r="R2497" s="4" t="e">
        <f>IF(AND(B2497=1,N2497&gt;'Line Follower'!$C$7,SUM(C2497:K2497)&lt;4),1,0)</f>
        <v>#N/A</v>
      </c>
      <c r="S2497" s="4" t="e">
        <f>IF(AND(L2497=1,N2497&lt;'Line Follower'!$C$6,SUM(C2497:K2497)&lt;4),1,0)</f>
        <v>#N/A</v>
      </c>
      <c r="T2497" s="4" t="e">
        <f t="shared" si="192"/>
        <v>#N/A</v>
      </c>
      <c r="U2497" s="5" t="e">
        <f t="shared" si="193"/>
        <v>#N/A</v>
      </c>
      <c r="V2497" s="23" t="e">
        <f t="shared" si="194"/>
        <v>#N/A</v>
      </c>
    </row>
    <row r="2498" spans="2:22" x14ac:dyDescent="0.25">
      <c r="B2498" s="16">
        <v>1</v>
      </c>
      <c r="C2498" s="7">
        <v>1</v>
      </c>
      <c r="D2498" s="8">
        <v>1</v>
      </c>
      <c r="E2498" s="8">
        <v>1</v>
      </c>
      <c r="F2498" s="8">
        <v>1</v>
      </c>
      <c r="G2498" s="8">
        <v>1</v>
      </c>
      <c r="H2498" s="8">
        <v>0</v>
      </c>
      <c r="I2498" s="8">
        <v>1</v>
      </c>
      <c r="J2498" s="8">
        <v>1</v>
      </c>
      <c r="K2498" s="9">
        <v>0</v>
      </c>
      <c r="L2498" s="10">
        <v>0</v>
      </c>
      <c r="M2498" s="6">
        <v>1</v>
      </c>
      <c r="N2498" s="37" t="e" cm="1">
        <f t="array" ref="N2498">IF(OR(ISNUMBER(FIND(Aux!$D$3:$D$9,_xlfn.TEXTJOIN(,,C2498:K2498)))),NA(),IF(AND(SUM(C2498:F2498,H2498:K2498)=0,G2498=1),0,INT((SUMPRODUCT(C2498:F2498,COLUMN($A$1:$D$1)-1)+SUMPRODUCT(H2498:K2498,COLUMN($E$1:$H$1)-1))*'Line Follower'!$C$3/SUM(C2498:F2498,H2498:K2498)-'Line Follower'!$C$5)))</f>
        <v>#N/A</v>
      </c>
      <c r="O2498" s="22" t="e">
        <v>#N/A</v>
      </c>
      <c r="P2498" s="4" t="e">
        <f t="shared" si="190"/>
        <v>#N/A</v>
      </c>
      <c r="Q2498" s="4" t="e">
        <f t="shared" si="191"/>
        <v>#N/A</v>
      </c>
      <c r="R2498" s="4" t="e">
        <f>IF(AND(B2498=1,N2498&gt;'Line Follower'!$C$7,SUM(C2498:K2498)&lt;4),1,0)</f>
        <v>#N/A</v>
      </c>
      <c r="S2498" s="4" t="e">
        <f>IF(AND(L2498=1,N2498&lt;'Line Follower'!$C$6,SUM(C2498:K2498)&lt;4),1,0)</f>
        <v>#N/A</v>
      </c>
      <c r="T2498" s="4" t="e">
        <f t="shared" si="192"/>
        <v>#N/A</v>
      </c>
      <c r="U2498" s="5" t="e">
        <f t="shared" si="193"/>
        <v>#N/A</v>
      </c>
      <c r="V2498" s="23" t="e">
        <f t="shared" si="194"/>
        <v>#N/A</v>
      </c>
    </row>
    <row r="2499" spans="2:22" x14ac:dyDescent="0.25">
      <c r="B2499" s="16">
        <v>0</v>
      </c>
      <c r="C2499" s="7">
        <v>0</v>
      </c>
      <c r="D2499" s="8">
        <v>0</v>
      </c>
      <c r="E2499" s="8">
        <v>0</v>
      </c>
      <c r="F2499" s="8">
        <v>0</v>
      </c>
      <c r="G2499" s="8">
        <v>0</v>
      </c>
      <c r="H2499" s="8">
        <v>1</v>
      </c>
      <c r="I2499" s="8">
        <v>1</v>
      </c>
      <c r="J2499" s="8">
        <v>1</v>
      </c>
      <c r="K2499" s="9">
        <v>0</v>
      </c>
      <c r="L2499" s="10">
        <v>0</v>
      </c>
      <c r="M2499" s="6">
        <v>1</v>
      </c>
      <c r="N2499" s="37" cm="1">
        <f t="array" ref="N2499">IF(OR(ISNUMBER(FIND(Aux!$D$3:$D$9,_xlfn.TEXTJOIN(,,C2499:K2499)))),NA(),IF(AND(SUM(C2499:F2499,H2499:K2499)=0,G2499=1),0,INT((SUMPRODUCT(C2499:F2499,COLUMN($A$1:$D$1)-1)+SUMPRODUCT(H2499:K2499,COLUMN($E$1:$H$1)-1))*'Line Follower'!$C$3/SUM(C2499:F2499,H2499:K2499)-'Line Follower'!$C$5)))</f>
        <v>3</v>
      </c>
      <c r="O2499" s="22">
        <v>1</v>
      </c>
      <c r="P2499" s="4">
        <f t="shared" ref="P2499:P2562" si="195">IF(AND(N2499=0,G2499=1,M2499=1),1,0)</f>
        <v>0</v>
      </c>
      <c r="Q2499" s="4">
        <f t="shared" ref="Q2499:Q2562" si="196">IF(ISERROR(N2499),N2499,IF(SUM(C2499:K2499)&gt;=4,1,0))</f>
        <v>0</v>
      </c>
      <c r="R2499" s="4">
        <f>IF(AND(B2499=1,N2499&gt;'Line Follower'!$C$7,SUM(C2499:K2499)&lt;4),1,0)</f>
        <v>0</v>
      </c>
      <c r="S2499" s="4">
        <f>IF(AND(L2499=1,N2499&lt;'Line Follower'!$C$6,SUM(C2499:K2499)&lt;4),1,0)</f>
        <v>0</v>
      </c>
      <c r="T2499" s="4">
        <f t="shared" si="192"/>
        <v>0</v>
      </c>
      <c r="U2499" s="5">
        <f t="shared" si="193"/>
        <v>0</v>
      </c>
      <c r="V2499" s="23">
        <f t="shared" si="194"/>
        <v>0</v>
      </c>
    </row>
    <row r="2500" spans="2:22" x14ac:dyDescent="0.25">
      <c r="B2500" s="16">
        <v>1</v>
      </c>
      <c r="C2500" s="7">
        <v>0</v>
      </c>
      <c r="D2500" s="8">
        <v>0</v>
      </c>
      <c r="E2500" s="8">
        <v>0</v>
      </c>
      <c r="F2500" s="8">
        <v>0</v>
      </c>
      <c r="G2500" s="8">
        <v>0</v>
      </c>
      <c r="H2500" s="8">
        <v>1</v>
      </c>
      <c r="I2500" s="8">
        <v>1</v>
      </c>
      <c r="J2500" s="8">
        <v>1</v>
      </c>
      <c r="K2500" s="9">
        <v>0</v>
      </c>
      <c r="L2500" s="10">
        <v>0</v>
      </c>
      <c r="M2500" s="6">
        <v>1</v>
      </c>
      <c r="N2500" s="37" cm="1">
        <f t="array" ref="N2500">IF(OR(ISNUMBER(FIND(Aux!$D$3:$D$9,_xlfn.TEXTJOIN(,,C2500:K2500)))),NA(),IF(AND(SUM(C2500:F2500,H2500:K2500)=0,G2500=1),0,INT((SUMPRODUCT(C2500:F2500,COLUMN($A$1:$D$1)-1)+SUMPRODUCT(H2500:K2500,COLUMN($E$1:$H$1)-1))*'Line Follower'!$C$3/SUM(C2500:F2500,H2500:K2500)-'Line Follower'!$C$5)))</f>
        <v>3</v>
      </c>
      <c r="O2500" s="22">
        <v>1</v>
      </c>
      <c r="P2500" s="4">
        <f t="shared" si="195"/>
        <v>0</v>
      </c>
      <c r="Q2500" s="4">
        <f t="shared" si="196"/>
        <v>0</v>
      </c>
      <c r="R2500" s="4">
        <f>IF(AND(B2500=1,N2500&gt;'Line Follower'!$C$7,SUM(C2500:K2500)&lt;4),1,0)</f>
        <v>1</v>
      </c>
      <c r="S2500" s="4">
        <f>IF(AND(L2500=1,N2500&lt;'Line Follower'!$C$6,SUM(C2500:K2500)&lt;4),1,0)</f>
        <v>0</v>
      </c>
      <c r="T2500" s="4">
        <f t="shared" ref="T2500:T2563" si="197">IF(ISNA(N2500),NA(),IF(SUM(C2500:L2500)=0,1,0))</f>
        <v>0</v>
      </c>
      <c r="U2500" s="5">
        <f t="shared" ref="U2500:U2563" si="198">IF(ISNA(N2500),NA(),IF(SUM(B2500:K2500)=0,1,0))</f>
        <v>0</v>
      </c>
      <c r="V2500" s="23">
        <f t="shared" ref="V2500:V2563" si="199">IF(ISNA(N2500),NA(),IF(SUM(B2500:L2500)=0,1,0))</f>
        <v>0</v>
      </c>
    </row>
    <row r="2501" spans="2:22" x14ac:dyDescent="0.25">
      <c r="B2501" s="16">
        <v>0</v>
      </c>
      <c r="C2501" s="7">
        <v>1</v>
      </c>
      <c r="D2501" s="8">
        <v>0</v>
      </c>
      <c r="E2501" s="8">
        <v>0</v>
      </c>
      <c r="F2501" s="8">
        <v>0</v>
      </c>
      <c r="G2501" s="8">
        <v>0</v>
      </c>
      <c r="H2501" s="8">
        <v>1</v>
      </c>
      <c r="I2501" s="8">
        <v>1</v>
      </c>
      <c r="J2501" s="8">
        <v>1</v>
      </c>
      <c r="K2501" s="9">
        <v>0</v>
      </c>
      <c r="L2501" s="10">
        <v>0</v>
      </c>
      <c r="M2501" s="6">
        <v>1</v>
      </c>
      <c r="N2501" s="37" t="e" cm="1">
        <f t="array" ref="N2501">IF(OR(ISNUMBER(FIND(Aux!$D$3:$D$9,_xlfn.TEXTJOIN(,,C2501:K2501)))),NA(),IF(AND(SUM(C2501:F2501,H2501:K2501)=0,G2501=1),0,INT((SUMPRODUCT(C2501:F2501,COLUMN($A$1:$D$1)-1)+SUMPRODUCT(H2501:K2501,COLUMN($E$1:$H$1)-1))*'Line Follower'!$C$3/SUM(C2501:F2501,H2501:K2501)-'Line Follower'!$C$5)))</f>
        <v>#N/A</v>
      </c>
      <c r="O2501" s="22" t="e">
        <v>#N/A</v>
      </c>
      <c r="P2501" s="4" t="e">
        <f t="shared" si="195"/>
        <v>#N/A</v>
      </c>
      <c r="Q2501" s="4" t="e">
        <f t="shared" si="196"/>
        <v>#N/A</v>
      </c>
      <c r="R2501" s="4" t="e">
        <f>IF(AND(B2501=1,N2501&gt;'Line Follower'!$C$7,SUM(C2501:K2501)&lt;4),1,0)</f>
        <v>#N/A</v>
      </c>
      <c r="S2501" s="4" t="e">
        <f>IF(AND(L2501=1,N2501&lt;'Line Follower'!$C$6,SUM(C2501:K2501)&lt;4),1,0)</f>
        <v>#N/A</v>
      </c>
      <c r="T2501" s="4" t="e">
        <f t="shared" si="197"/>
        <v>#N/A</v>
      </c>
      <c r="U2501" s="5" t="e">
        <f t="shared" si="198"/>
        <v>#N/A</v>
      </c>
      <c r="V2501" s="23" t="e">
        <f t="shared" si="199"/>
        <v>#N/A</v>
      </c>
    </row>
    <row r="2502" spans="2:22" x14ac:dyDescent="0.25">
      <c r="B2502" s="16">
        <v>1</v>
      </c>
      <c r="C2502" s="7">
        <v>1</v>
      </c>
      <c r="D2502" s="8">
        <v>0</v>
      </c>
      <c r="E2502" s="8">
        <v>0</v>
      </c>
      <c r="F2502" s="8">
        <v>0</v>
      </c>
      <c r="G2502" s="8">
        <v>0</v>
      </c>
      <c r="H2502" s="8">
        <v>1</v>
      </c>
      <c r="I2502" s="8">
        <v>1</v>
      </c>
      <c r="J2502" s="8">
        <v>1</v>
      </c>
      <c r="K2502" s="9">
        <v>0</v>
      </c>
      <c r="L2502" s="10">
        <v>0</v>
      </c>
      <c r="M2502" s="6">
        <v>1</v>
      </c>
      <c r="N2502" s="37" t="e" cm="1">
        <f t="array" ref="N2502">IF(OR(ISNUMBER(FIND(Aux!$D$3:$D$9,_xlfn.TEXTJOIN(,,C2502:K2502)))),NA(),IF(AND(SUM(C2502:F2502,H2502:K2502)=0,G2502=1),0,INT((SUMPRODUCT(C2502:F2502,COLUMN($A$1:$D$1)-1)+SUMPRODUCT(H2502:K2502,COLUMN($E$1:$H$1)-1))*'Line Follower'!$C$3/SUM(C2502:F2502,H2502:K2502)-'Line Follower'!$C$5)))</f>
        <v>#N/A</v>
      </c>
      <c r="O2502" s="22" t="e">
        <v>#N/A</v>
      </c>
      <c r="P2502" s="4" t="e">
        <f t="shared" si="195"/>
        <v>#N/A</v>
      </c>
      <c r="Q2502" s="4" t="e">
        <f t="shared" si="196"/>
        <v>#N/A</v>
      </c>
      <c r="R2502" s="4" t="e">
        <f>IF(AND(B2502=1,N2502&gt;'Line Follower'!$C$7,SUM(C2502:K2502)&lt;4),1,0)</f>
        <v>#N/A</v>
      </c>
      <c r="S2502" s="4" t="e">
        <f>IF(AND(L2502=1,N2502&lt;'Line Follower'!$C$6,SUM(C2502:K2502)&lt;4),1,0)</f>
        <v>#N/A</v>
      </c>
      <c r="T2502" s="4" t="e">
        <f t="shared" si="197"/>
        <v>#N/A</v>
      </c>
      <c r="U2502" s="5" t="e">
        <f t="shared" si="198"/>
        <v>#N/A</v>
      </c>
      <c r="V2502" s="23" t="e">
        <f t="shared" si="199"/>
        <v>#N/A</v>
      </c>
    </row>
    <row r="2503" spans="2:22" x14ac:dyDescent="0.25">
      <c r="B2503" s="16">
        <v>0</v>
      </c>
      <c r="C2503" s="7">
        <v>0</v>
      </c>
      <c r="D2503" s="8">
        <v>1</v>
      </c>
      <c r="E2503" s="8">
        <v>0</v>
      </c>
      <c r="F2503" s="8">
        <v>0</v>
      </c>
      <c r="G2503" s="8">
        <v>0</v>
      </c>
      <c r="H2503" s="8">
        <v>1</v>
      </c>
      <c r="I2503" s="8">
        <v>1</v>
      </c>
      <c r="J2503" s="8">
        <v>1</v>
      </c>
      <c r="K2503" s="9">
        <v>0</v>
      </c>
      <c r="L2503" s="10">
        <v>0</v>
      </c>
      <c r="M2503" s="6">
        <v>1</v>
      </c>
      <c r="N2503" s="37" t="e" cm="1">
        <f t="array" ref="N2503">IF(OR(ISNUMBER(FIND(Aux!$D$3:$D$9,_xlfn.TEXTJOIN(,,C2503:K2503)))),NA(),IF(AND(SUM(C2503:F2503,H2503:K2503)=0,G2503=1),0,INT((SUMPRODUCT(C2503:F2503,COLUMN($A$1:$D$1)-1)+SUMPRODUCT(H2503:K2503,COLUMN($E$1:$H$1)-1))*'Line Follower'!$C$3/SUM(C2503:F2503,H2503:K2503)-'Line Follower'!$C$5)))</f>
        <v>#N/A</v>
      </c>
      <c r="O2503" s="22" t="e">
        <v>#N/A</v>
      </c>
      <c r="P2503" s="4" t="e">
        <f t="shared" si="195"/>
        <v>#N/A</v>
      </c>
      <c r="Q2503" s="4" t="e">
        <f t="shared" si="196"/>
        <v>#N/A</v>
      </c>
      <c r="R2503" s="4" t="e">
        <f>IF(AND(B2503=1,N2503&gt;'Line Follower'!$C$7,SUM(C2503:K2503)&lt;4),1,0)</f>
        <v>#N/A</v>
      </c>
      <c r="S2503" s="4" t="e">
        <f>IF(AND(L2503=1,N2503&lt;'Line Follower'!$C$6,SUM(C2503:K2503)&lt;4),1,0)</f>
        <v>#N/A</v>
      </c>
      <c r="T2503" s="4" t="e">
        <f t="shared" si="197"/>
        <v>#N/A</v>
      </c>
      <c r="U2503" s="5" t="e">
        <f t="shared" si="198"/>
        <v>#N/A</v>
      </c>
      <c r="V2503" s="23" t="e">
        <f t="shared" si="199"/>
        <v>#N/A</v>
      </c>
    </row>
    <row r="2504" spans="2:22" x14ac:dyDescent="0.25">
      <c r="B2504" s="16">
        <v>1</v>
      </c>
      <c r="C2504" s="7">
        <v>0</v>
      </c>
      <c r="D2504" s="8">
        <v>1</v>
      </c>
      <c r="E2504" s="8">
        <v>0</v>
      </c>
      <c r="F2504" s="8">
        <v>0</v>
      </c>
      <c r="G2504" s="8">
        <v>0</v>
      </c>
      <c r="H2504" s="8">
        <v>1</v>
      </c>
      <c r="I2504" s="8">
        <v>1</v>
      </c>
      <c r="J2504" s="8">
        <v>1</v>
      </c>
      <c r="K2504" s="9">
        <v>0</v>
      </c>
      <c r="L2504" s="10">
        <v>0</v>
      </c>
      <c r="M2504" s="6">
        <v>1</v>
      </c>
      <c r="N2504" s="37" t="e" cm="1">
        <f t="array" ref="N2504">IF(OR(ISNUMBER(FIND(Aux!$D$3:$D$9,_xlfn.TEXTJOIN(,,C2504:K2504)))),NA(),IF(AND(SUM(C2504:F2504,H2504:K2504)=0,G2504=1),0,INT((SUMPRODUCT(C2504:F2504,COLUMN($A$1:$D$1)-1)+SUMPRODUCT(H2504:K2504,COLUMN($E$1:$H$1)-1))*'Line Follower'!$C$3/SUM(C2504:F2504,H2504:K2504)-'Line Follower'!$C$5)))</f>
        <v>#N/A</v>
      </c>
      <c r="O2504" s="22" t="e">
        <v>#N/A</v>
      </c>
      <c r="P2504" s="4" t="e">
        <f t="shared" si="195"/>
        <v>#N/A</v>
      </c>
      <c r="Q2504" s="4" t="e">
        <f t="shared" si="196"/>
        <v>#N/A</v>
      </c>
      <c r="R2504" s="4" t="e">
        <f>IF(AND(B2504=1,N2504&gt;'Line Follower'!$C$7,SUM(C2504:K2504)&lt;4),1,0)</f>
        <v>#N/A</v>
      </c>
      <c r="S2504" s="4" t="e">
        <f>IF(AND(L2504=1,N2504&lt;'Line Follower'!$C$6,SUM(C2504:K2504)&lt;4),1,0)</f>
        <v>#N/A</v>
      </c>
      <c r="T2504" s="4" t="e">
        <f t="shared" si="197"/>
        <v>#N/A</v>
      </c>
      <c r="U2504" s="5" t="e">
        <f t="shared" si="198"/>
        <v>#N/A</v>
      </c>
      <c r="V2504" s="23" t="e">
        <f t="shared" si="199"/>
        <v>#N/A</v>
      </c>
    </row>
    <row r="2505" spans="2:22" x14ac:dyDescent="0.25">
      <c r="B2505" s="16">
        <v>0</v>
      </c>
      <c r="C2505" s="7">
        <v>1</v>
      </c>
      <c r="D2505" s="8">
        <v>1</v>
      </c>
      <c r="E2505" s="8">
        <v>0</v>
      </c>
      <c r="F2505" s="8">
        <v>0</v>
      </c>
      <c r="G2505" s="8">
        <v>0</v>
      </c>
      <c r="H2505" s="8">
        <v>1</v>
      </c>
      <c r="I2505" s="8">
        <v>1</v>
      </c>
      <c r="J2505" s="8">
        <v>1</v>
      </c>
      <c r="K2505" s="9">
        <v>0</v>
      </c>
      <c r="L2505" s="10">
        <v>0</v>
      </c>
      <c r="M2505" s="6">
        <v>1</v>
      </c>
      <c r="N2505" s="37" t="e" cm="1">
        <f t="array" ref="N2505">IF(OR(ISNUMBER(FIND(Aux!$D$3:$D$9,_xlfn.TEXTJOIN(,,C2505:K2505)))),NA(),IF(AND(SUM(C2505:F2505,H2505:K2505)=0,G2505=1),0,INT((SUMPRODUCT(C2505:F2505,COLUMN($A$1:$D$1)-1)+SUMPRODUCT(H2505:K2505,COLUMN($E$1:$H$1)-1))*'Line Follower'!$C$3/SUM(C2505:F2505,H2505:K2505)-'Line Follower'!$C$5)))</f>
        <v>#N/A</v>
      </c>
      <c r="O2505" s="22" t="e">
        <v>#N/A</v>
      </c>
      <c r="P2505" s="4" t="e">
        <f t="shared" si="195"/>
        <v>#N/A</v>
      </c>
      <c r="Q2505" s="4" t="e">
        <f t="shared" si="196"/>
        <v>#N/A</v>
      </c>
      <c r="R2505" s="4" t="e">
        <f>IF(AND(B2505=1,N2505&gt;'Line Follower'!$C$7,SUM(C2505:K2505)&lt;4),1,0)</f>
        <v>#N/A</v>
      </c>
      <c r="S2505" s="4" t="e">
        <f>IF(AND(L2505=1,N2505&lt;'Line Follower'!$C$6,SUM(C2505:K2505)&lt;4),1,0)</f>
        <v>#N/A</v>
      </c>
      <c r="T2505" s="4" t="e">
        <f t="shared" si="197"/>
        <v>#N/A</v>
      </c>
      <c r="U2505" s="5" t="e">
        <f t="shared" si="198"/>
        <v>#N/A</v>
      </c>
      <c r="V2505" s="23" t="e">
        <f t="shared" si="199"/>
        <v>#N/A</v>
      </c>
    </row>
    <row r="2506" spans="2:22" x14ac:dyDescent="0.25">
      <c r="B2506" s="16">
        <v>1</v>
      </c>
      <c r="C2506" s="7">
        <v>1</v>
      </c>
      <c r="D2506" s="8">
        <v>1</v>
      </c>
      <c r="E2506" s="8">
        <v>0</v>
      </c>
      <c r="F2506" s="8">
        <v>0</v>
      </c>
      <c r="G2506" s="8">
        <v>0</v>
      </c>
      <c r="H2506" s="8">
        <v>1</v>
      </c>
      <c r="I2506" s="8">
        <v>1</v>
      </c>
      <c r="J2506" s="8">
        <v>1</v>
      </c>
      <c r="K2506" s="9">
        <v>0</v>
      </c>
      <c r="L2506" s="10">
        <v>0</v>
      </c>
      <c r="M2506" s="6">
        <v>1</v>
      </c>
      <c r="N2506" s="37" t="e" cm="1">
        <f t="array" ref="N2506">IF(OR(ISNUMBER(FIND(Aux!$D$3:$D$9,_xlfn.TEXTJOIN(,,C2506:K2506)))),NA(),IF(AND(SUM(C2506:F2506,H2506:K2506)=0,G2506=1),0,INT((SUMPRODUCT(C2506:F2506,COLUMN($A$1:$D$1)-1)+SUMPRODUCT(H2506:K2506,COLUMN($E$1:$H$1)-1))*'Line Follower'!$C$3/SUM(C2506:F2506,H2506:K2506)-'Line Follower'!$C$5)))</f>
        <v>#N/A</v>
      </c>
      <c r="O2506" s="22" t="e">
        <v>#N/A</v>
      </c>
      <c r="P2506" s="4" t="e">
        <f t="shared" si="195"/>
        <v>#N/A</v>
      </c>
      <c r="Q2506" s="4" t="e">
        <f t="shared" si="196"/>
        <v>#N/A</v>
      </c>
      <c r="R2506" s="4" t="e">
        <f>IF(AND(B2506=1,N2506&gt;'Line Follower'!$C$7,SUM(C2506:K2506)&lt;4),1,0)</f>
        <v>#N/A</v>
      </c>
      <c r="S2506" s="4" t="e">
        <f>IF(AND(L2506=1,N2506&lt;'Line Follower'!$C$6,SUM(C2506:K2506)&lt;4),1,0)</f>
        <v>#N/A</v>
      </c>
      <c r="T2506" s="4" t="e">
        <f t="shared" si="197"/>
        <v>#N/A</v>
      </c>
      <c r="U2506" s="5" t="e">
        <f t="shared" si="198"/>
        <v>#N/A</v>
      </c>
      <c r="V2506" s="23" t="e">
        <f t="shared" si="199"/>
        <v>#N/A</v>
      </c>
    </row>
    <row r="2507" spans="2:22" x14ac:dyDescent="0.25">
      <c r="B2507" s="16">
        <v>0</v>
      </c>
      <c r="C2507" s="7">
        <v>0</v>
      </c>
      <c r="D2507" s="8">
        <v>0</v>
      </c>
      <c r="E2507" s="8">
        <v>1</v>
      </c>
      <c r="F2507" s="8">
        <v>0</v>
      </c>
      <c r="G2507" s="8">
        <v>0</v>
      </c>
      <c r="H2507" s="8">
        <v>1</v>
      </c>
      <c r="I2507" s="8">
        <v>1</v>
      </c>
      <c r="J2507" s="8">
        <v>1</v>
      </c>
      <c r="K2507" s="9">
        <v>0</v>
      </c>
      <c r="L2507" s="10">
        <v>0</v>
      </c>
      <c r="M2507" s="6">
        <v>1</v>
      </c>
      <c r="N2507" s="37" t="e" cm="1">
        <f t="array" ref="N2507">IF(OR(ISNUMBER(FIND(Aux!$D$3:$D$9,_xlfn.TEXTJOIN(,,C2507:K2507)))),NA(),IF(AND(SUM(C2507:F2507,H2507:K2507)=0,G2507=1),0,INT((SUMPRODUCT(C2507:F2507,COLUMN($A$1:$D$1)-1)+SUMPRODUCT(H2507:K2507,COLUMN($E$1:$H$1)-1))*'Line Follower'!$C$3/SUM(C2507:F2507,H2507:K2507)-'Line Follower'!$C$5)))</f>
        <v>#N/A</v>
      </c>
      <c r="O2507" s="22" t="e">
        <v>#N/A</v>
      </c>
      <c r="P2507" s="4" t="e">
        <f t="shared" si="195"/>
        <v>#N/A</v>
      </c>
      <c r="Q2507" s="4" t="e">
        <f t="shared" si="196"/>
        <v>#N/A</v>
      </c>
      <c r="R2507" s="4" t="e">
        <f>IF(AND(B2507=1,N2507&gt;'Line Follower'!$C$7,SUM(C2507:K2507)&lt;4),1,0)</f>
        <v>#N/A</v>
      </c>
      <c r="S2507" s="4" t="e">
        <f>IF(AND(L2507=1,N2507&lt;'Line Follower'!$C$6,SUM(C2507:K2507)&lt;4),1,0)</f>
        <v>#N/A</v>
      </c>
      <c r="T2507" s="4" t="e">
        <f t="shared" si="197"/>
        <v>#N/A</v>
      </c>
      <c r="U2507" s="5" t="e">
        <f t="shared" si="198"/>
        <v>#N/A</v>
      </c>
      <c r="V2507" s="23" t="e">
        <f t="shared" si="199"/>
        <v>#N/A</v>
      </c>
    </row>
    <row r="2508" spans="2:22" x14ac:dyDescent="0.25">
      <c r="B2508" s="16">
        <v>1</v>
      </c>
      <c r="C2508" s="7">
        <v>0</v>
      </c>
      <c r="D2508" s="8">
        <v>0</v>
      </c>
      <c r="E2508" s="8">
        <v>1</v>
      </c>
      <c r="F2508" s="8">
        <v>0</v>
      </c>
      <c r="G2508" s="8">
        <v>0</v>
      </c>
      <c r="H2508" s="8">
        <v>1</v>
      </c>
      <c r="I2508" s="8">
        <v>1</v>
      </c>
      <c r="J2508" s="8">
        <v>1</v>
      </c>
      <c r="K2508" s="9">
        <v>0</v>
      </c>
      <c r="L2508" s="10">
        <v>0</v>
      </c>
      <c r="M2508" s="6">
        <v>1</v>
      </c>
      <c r="N2508" s="37" t="e" cm="1">
        <f t="array" ref="N2508">IF(OR(ISNUMBER(FIND(Aux!$D$3:$D$9,_xlfn.TEXTJOIN(,,C2508:K2508)))),NA(),IF(AND(SUM(C2508:F2508,H2508:K2508)=0,G2508=1),0,INT((SUMPRODUCT(C2508:F2508,COLUMN($A$1:$D$1)-1)+SUMPRODUCT(H2508:K2508,COLUMN($E$1:$H$1)-1))*'Line Follower'!$C$3/SUM(C2508:F2508,H2508:K2508)-'Line Follower'!$C$5)))</f>
        <v>#N/A</v>
      </c>
      <c r="O2508" s="22" t="e">
        <v>#N/A</v>
      </c>
      <c r="P2508" s="4" t="e">
        <f t="shared" si="195"/>
        <v>#N/A</v>
      </c>
      <c r="Q2508" s="4" t="e">
        <f t="shared" si="196"/>
        <v>#N/A</v>
      </c>
      <c r="R2508" s="4" t="e">
        <f>IF(AND(B2508=1,N2508&gt;'Line Follower'!$C$7,SUM(C2508:K2508)&lt;4),1,0)</f>
        <v>#N/A</v>
      </c>
      <c r="S2508" s="4" t="e">
        <f>IF(AND(L2508=1,N2508&lt;'Line Follower'!$C$6,SUM(C2508:K2508)&lt;4),1,0)</f>
        <v>#N/A</v>
      </c>
      <c r="T2508" s="4" t="e">
        <f t="shared" si="197"/>
        <v>#N/A</v>
      </c>
      <c r="U2508" s="5" t="e">
        <f t="shared" si="198"/>
        <v>#N/A</v>
      </c>
      <c r="V2508" s="23" t="e">
        <f t="shared" si="199"/>
        <v>#N/A</v>
      </c>
    </row>
    <row r="2509" spans="2:22" x14ac:dyDescent="0.25">
      <c r="B2509" s="16">
        <v>0</v>
      </c>
      <c r="C2509" s="7">
        <v>1</v>
      </c>
      <c r="D2509" s="8">
        <v>0</v>
      </c>
      <c r="E2509" s="8">
        <v>1</v>
      </c>
      <c r="F2509" s="8">
        <v>0</v>
      </c>
      <c r="G2509" s="8">
        <v>0</v>
      </c>
      <c r="H2509" s="8">
        <v>1</v>
      </c>
      <c r="I2509" s="8">
        <v>1</v>
      </c>
      <c r="J2509" s="8">
        <v>1</v>
      </c>
      <c r="K2509" s="9">
        <v>0</v>
      </c>
      <c r="L2509" s="10">
        <v>0</v>
      </c>
      <c r="M2509" s="6">
        <v>1</v>
      </c>
      <c r="N2509" s="37" t="e" cm="1">
        <f t="array" ref="N2509">IF(OR(ISNUMBER(FIND(Aux!$D$3:$D$9,_xlfn.TEXTJOIN(,,C2509:K2509)))),NA(),IF(AND(SUM(C2509:F2509,H2509:K2509)=0,G2509=1),0,INT((SUMPRODUCT(C2509:F2509,COLUMN($A$1:$D$1)-1)+SUMPRODUCT(H2509:K2509,COLUMN($E$1:$H$1)-1))*'Line Follower'!$C$3/SUM(C2509:F2509,H2509:K2509)-'Line Follower'!$C$5)))</f>
        <v>#N/A</v>
      </c>
      <c r="O2509" s="22" t="e">
        <v>#N/A</v>
      </c>
      <c r="P2509" s="4" t="e">
        <f t="shared" si="195"/>
        <v>#N/A</v>
      </c>
      <c r="Q2509" s="4" t="e">
        <f t="shared" si="196"/>
        <v>#N/A</v>
      </c>
      <c r="R2509" s="4" t="e">
        <f>IF(AND(B2509=1,N2509&gt;'Line Follower'!$C$7,SUM(C2509:K2509)&lt;4),1,0)</f>
        <v>#N/A</v>
      </c>
      <c r="S2509" s="4" t="e">
        <f>IF(AND(L2509=1,N2509&lt;'Line Follower'!$C$6,SUM(C2509:K2509)&lt;4),1,0)</f>
        <v>#N/A</v>
      </c>
      <c r="T2509" s="4" t="e">
        <f t="shared" si="197"/>
        <v>#N/A</v>
      </c>
      <c r="U2509" s="5" t="e">
        <f t="shared" si="198"/>
        <v>#N/A</v>
      </c>
      <c r="V2509" s="23" t="e">
        <f t="shared" si="199"/>
        <v>#N/A</v>
      </c>
    </row>
    <row r="2510" spans="2:22" x14ac:dyDescent="0.25">
      <c r="B2510" s="16">
        <v>1</v>
      </c>
      <c r="C2510" s="7">
        <v>1</v>
      </c>
      <c r="D2510" s="8">
        <v>0</v>
      </c>
      <c r="E2510" s="8">
        <v>1</v>
      </c>
      <c r="F2510" s="8">
        <v>0</v>
      </c>
      <c r="G2510" s="8">
        <v>0</v>
      </c>
      <c r="H2510" s="8">
        <v>1</v>
      </c>
      <c r="I2510" s="8">
        <v>1</v>
      </c>
      <c r="J2510" s="8">
        <v>1</v>
      </c>
      <c r="K2510" s="9">
        <v>0</v>
      </c>
      <c r="L2510" s="10">
        <v>0</v>
      </c>
      <c r="M2510" s="6">
        <v>1</v>
      </c>
      <c r="N2510" s="37" t="e" cm="1">
        <f t="array" ref="N2510">IF(OR(ISNUMBER(FIND(Aux!$D$3:$D$9,_xlfn.TEXTJOIN(,,C2510:K2510)))),NA(),IF(AND(SUM(C2510:F2510,H2510:K2510)=0,G2510=1),0,INT((SUMPRODUCT(C2510:F2510,COLUMN($A$1:$D$1)-1)+SUMPRODUCT(H2510:K2510,COLUMN($E$1:$H$1)-1))*'Line Follower'!$C$3/SUM(C2510:F2510,H2510:K2510)-'Line Follower'!$C$5)))</f>
        <v>#N/A</v>
      </c>
      <c r="O2510" s="22" t="e">
        <v>#N/A</v>
      </c>
      <c r="P2510" s="4" t="e">
        <f t="shared" si="195"/>
        <v>#N/A</v>
      </c>
      <c r="Q2510" s="4" t="e">
        <f t="shared" si="196"/>
        <v>#N/A</v>
      </c>
      <c r="R2510" s="4" t="e">
        <f>IF(AND(B2510=1,N2510&gt;'Line Follower'!$C$7,SUM(C2510:K2510)&lt;4),1,0)</f>
        <v>#N/A</v>
      </c>
      <c r="S2510" s="4" t="e">
        <f>IF(AND(L2510=1,N2510&lt;'Line Follower'!$C$6,SUM(C2510:K2510)&lt;4),1,0)</f>
        <v>#N/A</v>
      </c>
      <c r="T2510" s="4" t="e">
        <f t="shared" si="197"/>
        <v>#N/A</v>
      </c>
      <c r="U2510" s="5" t="e">
        <f t="shared" si="198"/>
        <v>#N/A</v>
      </c>
      <c r="V2510" s="23" t="e">
        <f t="shared" si="199"/>
        <v>#N/A</v>
      </c>
    </row>
    <row r="2511" spans="2:22" x14ac:dyDescent="0.25">
      <c r="B2511" s="16">
        <v>0</v>
      </c>
      <c r="C2511" s="7">
        <v>0</v>
      </c>
      <c r="D2511" s="8">
        <v>1</v>
      </c>
      <c r="E2511" s="8">
        <v>1</v>
      </c>
      <c r="F2511" s="8">
        <v>0</v>
      </c>
      <c r="G2511" s="8">
        <v>0</v>
      </c>
      <c r="H2511" s="8">
        <v>1</v>
      </c>
      <c r="I2511" s="8">
        <v>1</v>
      </c>
      <c r="J2511" s="8">
        <v>1</v>
      </c>
      <c r="K2511" s="9">
        <v>0</v>
      </c>
      <c r="L2511" s="10">
        <v>0</v>
      </c>
      <c r="M2511" s="6">
        <v>1</v>
      </c>
      <c r="N2511" s="37" t="e" cm="1">
        <f t="array" ref="N2511">IF(OR(ISNUMBER(FIND(Aux!$D$3:$D$9,_xlfn.TEXTJOIN(,,C2511:K2511)))),NA(),IF(AND(SUM(C2511:F2511,H2511:K2511)=0,G2511=1),0,INT((SUMPRODUCT(C2511:F2511,COLUMN($A$1:$D$1)-1)+SUMPRODUCT(H2511:K2511,COLUMN($E$1:$H$1)-1))*'Line Follower'!$C$3/SUM(C2511:F2511,H2511:K2511)-'Line Follower'!$C$5)))</f>
        <v>#N/A</v>
      </c>
      <c r="O2511" s="22" t="e">
        <v>#N/A</v>
      </c>
      <c r="P2511" s="4" t="e">
        <f t="shared" si="195"/>
        <v>#N/A</v>
      </c>
      <c r="Q2511" s="4" t="e">
        <f t="shared" si="196"/>
        <v>#N/A</v>
      </c>
      <c r="R2511" s="4" t="e">
        <f>IF(AND(B2511=1,N2511&gt;'Line Follower'!$C$7,SUM(C2511:K2511)&lt;4),1,0)</f>
        <v>#N/A</v>
      </c>
      <c r="S2511" s="4" t="e">
        <f>IF(AND(L2511=1,N2511&lt;'Line Follower'!$C$6,SUM(C2511:K2511)&lt;4),1,0)</f>
        <v>#N/A</v>
      </c>
      <c r="T2511" s="4" t="e">
        <f t="shared" si="197"/>
        <v>#N/A</v>
      </c>
      <c r="U2511" s="5" t="e">
        <f t="shared" si="198"/>
        <v>#N/A</v>
      </c>
      <c r="V2511" s="23" t="e">
        <f t="shared" si="199"/>
        <v>#N/A</v>
      </c>
    </row>
    <row r="2512" spans="2:22" x14ac:dyDescent="0.25">
      <c r="B2512" s="16">
        <v>1</v>
      </c>
      <c r="C2512" s="7">
        <v>0</v>
      </c>
      <c r="D2512" s="8">
        <v>1</v>
      </c>
      <c r="E2512" s="8">
        <v>1</v>
      </c>
      <c r="F2512" s="8">
        <v>0</v>
      </c>
      <c r="G2512" s="8">
        <v>0</v>
      </c>
      <c r="H2512" s="8">
        <v>1</v>
      </c>
      <c r="I2512" s="8">
        <v>1</v>
      </c>
      <c r="J2512" s="8">
        <v>1</v>
      </c>
      <c r="K2512" s="9">
        <v>0</v>
      </c>
      <c r="L2512" s="10">
        <v>0</v>
      </c>
      <c r="M2512" s="6">
        <v>1</v>
      </c>
      <c r="N2512" s="37" t="e" cm="1">
        <f t="array" ref="N2512">IF(OR(ISNUMBER(FIND(Aux!$D$3:$D$9,_xlfn.TEXTJOIN(,,C2512:K2512)))),NA(),IF(AND(SUM(C2512:F2512,H2512:K2512)=0,G2512=1),0,INT((SUMPRODUCT(C2512:F2512,COLUMN($A$1:$D$1)-1)+SUMPRODUCT(H2512:K2512,COLUMN($E$1:$H$1)-1))*'Line Follower'!$C$3/SUM(C2512:F2512,H2512:K2512)-'Line Follower'!$C$5)))</f>
        <v>#N/A</v>
      </c>
      <c r="O2512" s="22" t="e">
        <v>#N/A</v>
      </c>
      <c r="P2512" s="4" t="e">
        <f t="shared" si="195"/>
        <v>#N/A</v>
      </c>
      <c r="Q2512" s="4" t="e">
        <f t="shared" si="196"/>
        <v>#N/A</v>
      </c>
      <c r="R2512" s="4" t="e">
        <f>IF(AND(B2512=1,N2512&gt;'Line Follower'!$C$7,SUM(C2512:K2512)&lt;4),1,0)</f>
        <v>#N/A</v>
      </c>
      <c r="S2512" s="4" t="e">
        <f>IF(AND(L2512=1,N2512&lt;'Line Follower'!$C$6,SUM(C2512:K2512)&lt;4),1,0)</f>
        <v>#N/A</v>
      </c>
      <c r="T2512" s="4" t="e">
        <f t="shared" si="197"/>
        <v>#N/A</v>
      </c>
      <c r="U2512" s="5" t="e">
        <f t="shared" si="198"/>
        <v>#N/A</v>
      </c>
      <c r="V2512" s="23" t="e">
        <f t="shared" si="199"/>
        <v>#N/A</v>
      </c>
    </row>
    <row r="2513" spans="2:22" x14ac:dyDescent="0.25">
      <c r="B2513" s="16">
        <v>0</v>
      </c>
      <c r="C2513" s="7">
        <v>1</v>
      </c>
      <c r="D2513" s="8">
        <v>1</v>
      </c>
      <c r="E2513" s="8">
        <v>1</v>
      </c>
      <c r="F2513" s="8">
        <v>0</v>
      </c>
      <c r="G2513" s="8">
        <v>0</v>
      </c>
      <c r="H2513" s="8">
        <v>1</v>
      </c>
      <c r="I2513" s="8">
        <v>1</v>
      </c>
      <c r="J2513" s="8">
        <v>1</v>
      </c>
      <c r="K2513" s="9">
        <v>0</v>
      </c>
      <c r="L2513" s="10">
        <v>0</v>
      </c>
      <c r="M2513" s="6">
        <v>1</v>
      </c>
      <c r="N2513" s="37" t="e" cm="1">
        <f t="array" ref="N2513">IF(OR(ISNUMBER(FIND(Aux!$D$3:$D$9,_xlfn.TEXTJOIN(,,C2513:K2513)))),NA(),IF(AND(SUM(C2513:F2513,H2513:K2513)=0,G2513=1),0,INT((SUMPRODUCT(C2513:F2513,COLUMN($A$1:$D$1)-1)+SUMPRODUCT(H2513:K2513,COLUMN($E$1:$H$1)-1))*'Line Follower'!$C$3/SUM(C2513:F2513,H2513:K2513)-'Line Follower'!$C$5)))</f>
        <v>#N/A</v>
      </c>
      <c r="O2513" s="22" t="e">
        <v>#N/A</v>
      </c>
      <c r="P2513" s="4" t="e">
        <f t="shared" si="195"/>
        <v>#N/A</v>
      </c>
      <c r="Q2513" s="4" t="e">
        <f t="shared" si="196"/>
        <v>#N/A</v>
      </c>
      <c r="R2513" s="4" t="e">
        <f>IF(AND(B2513=1,N2513&gt;'Line Follower'!$C$7,SUM(C2513:K2513)&lt;4),1,0)</f>
        <v>#N/A</v>
      </c>
      <c r="S2513" s="4" t="e">
        <f>IF(AND(L2513=1,N2513&lt;'Line Follower'!$C$6,SUM(C2513:K2513)&lt;4),1,0)</f>
        <v>#N/A</v>
      </c>
      <c r="T2513" s="4" t="e">
        <f t="shared" si="197"/>
        <v>#N/A</v>
      </c>
      <c r="U2513" s="5" t="e">
        <f t="shared" si="198"/>
        <v>#N/A</v>
      </c>
      <c r="V2513" s="23" t="e">
        <f t="shared" si="199"/>
        <v>#N/A</v>
      </c>
    </row>
    <row r="2514" spans="2:22" x14ac:dyDescent="0.25">
      <c r="B2514" s="16">
        <v>1</v>
      </c>
      <c r="C2514" s="7">
        <v>1</v>
      </c>
      <c r="D2514" s="8">
        <v>1</v>
      </c>
      <c r="E2514" s="8">
        <v>1</v>
      </c>
      <c r="F2514" s="8">
        <v>0</v>
      </c>
      <c r="G2514" s="8">
        <v>0</v>
      </c>
      <c r="H2514" s="8">
        <v>1</v>
      </c>
      <c r="I2514" s="8">
        <v>1</v>
      </c>
      <c r="J2514" s="8">
        <v>1</v>
      </c>
      <c r="K2514" s="9">
        <v>0</v>
      </c>
      <c r="L2514" s="10">
        <v>0</v>
      </c>
      <c r="M2514" s="6">
        <v>1</v>
      </c>
      <c r="N2514" s="37" t="e" cm="1">
        <f t="array" ref="N2514">IF(OR(ISNUMBER(FIND(Aux!$D$3:$D$9,_xlfn.TEXTJOIN(,,C2514:K2514)))),NA(),IF(AND(SUM(C2514:F2514,H2514:K2514)=0,G2514=1),0,INT((SUMPRODUCT(C2514:F2514,COLUMN($A$1:$D$1)-1)+SUMPRODUCT(H2514:K2514,COLUMN($E$1:$H$1)-1))*'Line Follower'!$C$3/SUM(C2514:F2514,H2514:K2514)-'Line Follower'!$C$5)))</f>
        <v>#N/A</v>
      </c>
      <c r="O2514" s="22" t="e">
        <v>#N/A</v>
      </c>
      <c r="P2514" s="4" t="e">
        <f t="shared" si="195"/>
        <v>#N/A</v>
      </c>
      <c r="Q2514" s="4" t="e">
        <f t="shared" si="196"/>
        <v>#N/A</v>
      </c>
      <c r="R2514" s="4" t="e">
        <f>IF(AND(B2514=1,N2514&gt;'Line Follower'!$C$7,SUM(C2514:K2514)&lt;4),1,0)</f>
        <v>#N/A</v>
      </c>
      <c r="S2514" s="4" t="e">
        <f>IF(AND(L2514=1,N2514&lt;'Line Follower'!$C$6,SUM(C2514:K2514)&lt;4),1,0)</f>
        <v>#N/A</v>
      </c>
      <c r="T2514" s="4" t="e">
        <f t="shared" si="197"/>
        <v>#N/A</v>
      </c>
      <c r="U2514" s="5" t="e">
        <f t="shared" si="198"/>
        <v>#N/A</v>
      </c>
      <c r="V2514" s="23" t="e">
        <f t="shared" si="199"/>
        <v>#N/A</v>
      </c>
    </row>
    <row r="2515" spans="2:22" x14ac:dyDescent="0.25">
      <c r="B2515" s="16">
        <v>0</v>
      </c>
      <c r="C2515" s="7">
        <v>0</v>
      </c>
      <c r="D2515" s="8">
        <v>0</v>
      </c>
      <c r="E2515" s="8">
        <v>0</v>
      </c>
      <c r="F2515" s="8">
        <v>1</v>
      </c>
      <c r="G2515" s="8">
        <v>0</v>
      </c>
      <c r="H2515" s="8">
        <v>1</v>
      </c>
      <c r="I2515" s="8">
        <v>1</v>
      </c>
      <c r="J2515" s="8">
        <v>1</v>
      </c>
      <c r="K2515" s="9">
        <v>0</v>
      </c>
      <c r="L2515" s="10">
        <v>0</v>
      </c>
      <c r="M2515" s="6">
        <v>1</v>
      </c>
      <c r="N2515" s="37" t="e" cm="1">
        <f t="array" ref="N2515">IF(OR(ISNUMBER(FIND(Aux!$D$3:$D$9,_xlfn.TEXTJOIN(,,C2515:K2515)))),NA(),IF(AND(SUM(C2515:F2515,H2515:K2515)=0,G2515=1),0,INT((SUMPRODUCT(C2515:F2515,COLUMN($A$1:$D$1)-1)+SUMPRODUCT(H2515:K2515,COLUMN($E$1:$H$1)-1))*'Line Follower'!$C$3/SUM(C2515:F2515,H2515:K2515)-'Line Follower'!$C$5)))</f>
        <v>#N/A</v>
      </c>
      <c r="O2515" s="22" t="e">
        <v>#N/A</v>
      </c>
      <c r="P2515" s="4" t="e">
        <f t="shared" si="195"/>
        <v>#N/A</v>
      </c>
      <c r="Q2515" s="4" t="e">
        <f t="shared" si="196"/>
        <v>#N/A</v>
      </c>
      <c r="R2515" s="4" t="e">
        <f>IF(AND(B2515=1,N2515&gt;'Line Follower'!$C$7,SUM(C2515:K2515)&lt;4),1,0)</f>
        <v>#N/A</v>
      </c>
      <c r="S2515" s="4" t="e">
        <f>IF(AND(L2515=1,N2515&lt;'Line Follower'!$C$6,SUM(C2515:K2515)&lt;4),1,0)</f>
        <v>#N/A</v>
      </c>
      <c r="T2515" s="4" t="e">
        <f t="shared" si="197"/>
        <v>#N/A</v>
      </c>
      <c r="U2515" s="5" t="e">
        <f t="shared" si="198"/>
        <v>#N/A</v>
      </c>
      <c r="V2515" s="23" t="e">
        <f t="shared" si="199"/>
        <v>#N/A</v>
      </c>
    </row>
    <row r="2516" spans="2:22" x14ac:dyDescent="0.25">
      <c r="B2516" s="16">
        <v>1</v>
      </c>
      <c r="C2516" s="7">
        <v>0</v>
      </c>
      <c r="D2516" s="8">
        <v>0</v>
      </c>
      <c r="E2516" s="8">
        <v>0</v>
      </c>
      <c r="F2516" s="8">
        <v>1</v>
      </c>
      <c r="G2516" s="8">
        <v>0</v>
      </c>
      <c r="H2516" s="8">
        <v>1</v>
      </c>
      <c r="I2516" s="8">
        <v>1</v>
      </c>
      <c r="J2516" s="8">
        <v>1</v>
      </c>
      <c r="K2516" s="9">
        <v>0</v>
      </c>
      <c r="L2516" s="10">
        <v>0</v>
      </c>
      <c r="M2516" s="6">
        <v>1</v>
      </c>
      <c r="N2516" s="37" t="e" cm="1">
        <f t="array" ref="N2516">IF(OR(ISNUMBER(FIND(Aux!$D$3:$D$9,_xlfn.TEXTJOIN(,,C2516:K2516)))),NA(),IF(AND(SUM(C2516:F2516,H2516:K2516)=0,G2516=1),0,INT((SUMPRODUCT(C2516:F2516,COLUMN($A$1:$D$1)-1)+SUMPRODUCT(H2516:K2516,COLUMN($E$1:$H$1)-1))*'Line Follower'!$C$3/SUM(C2516:F2516,H2516:K2516)-'Line Follower'!$C$5)))</f>
        <v>#N/A</v>
      </c>
      <c r="O2516" s="22" t="e">
        <v>#N/A</v>
      </c>
      <c r="P2516" s="4" t="e">
        <f t="shared" si="195"/>
        <v>#N/A</v>
      </c>
      <c r="Q2516" s="4" t="e">
        <f t="shared" si="196"/>
        <v>#N/A</v>
      </c>
      <c r="R2516" s="4" t="e">
        <f>IF(AND(B2516=1,N2516&gt;'Line Follower'!$C$7,SUM(C2516:K2516)&lt;4),1,0)</f>
        <v>#N/A</v>
      </c>
      <c r="S2516" s="4" t="e">
        <f>IF(AND(L2516=1,N2516&lt;'Line Follower'!$C$6,SUM(C2516:K2516)&lt;4),1,0)</f>
        <v>#N/A</v>
      </c>
      <c r="T2516" s="4" t="e">
        <f t="shared" si="197"/>
        <v>#N/A</v>
      </c>
      <c r="U2516" s="5" t="e">
        <f t="shared" si="198"/>
        <v>#N/A</v>
      </c>
      <c r="V2516" s="23" t="e">
        <f t="shared" si="199"/>
        <v>#N/A</v>
      </c>
    </row>
    <row r="2517" spans="2:22" x14ac:dyDescent="0.25">
      <c r="B2517" s="16">
        <v>0</v>
      </c>
      <c r="C2517" s="7">
        <v>1</v>
      </c>
      <c r="D2517" s="8">
        <v>0</v>
      </c>
      <c r="E2517" s="8">
        <v>0</v>
      </c>
      <c r="F2517" s="8">
        <v>1</v>
      </c>
      <c r="G2517" s="8">
        <v>0</v>
      </c>
      <c r="H2517" s="8">
        <v>1</v>
      </c>
      <c r="I2517" s="8">
        <v>1</v>
      </c>
      <c r="J2517" s="8">
        <v>1</v>
      </c>
      <c r="K2517" s="9">
        <v>0</v>
      </c>
      <c r="L2517" s="10">
        <v>0</v>
      </c>
      <c r="M2517" s="6">
        <v>1</v>
      </c>
      <c r="N2517" s="37" t="e" cm="1">
        <f t="array" ref="N2517">IF(OR(ISNUMBER(FIND(Aux!$D$3:$D$9,_xlfn.TEXTJOIN(,,C2517:K2517)))),NA(),IF(AND(SUM(C2517:F2517,H2517:K2517)=0,G2517=1),0,INT((SUMPRODUCT(C2517:F2517,COLUMN($A$1:$D$1)-1)+SUMPRODUCT(H2517:K2517,COLUMN($E$1:$H$1)-1))*'Line Follower'!$C$3/SUM(C2517:F2517,H2517:K2517)-'Line Follower'!$C$5)))</f>
        <v>#N/A</v>
      </c>
      <c r="O2517" s="22" t="e">
        <v>#N/A</v>
      </c>
      <c r="P2517" s="4" t="e">
        <f t="shared" si="195"/>
        <v>#N/A</v>
      </c>
      <c r="Q2517" s="4" t="e">
        <f t="shared" si="196"/>
        <v>#N/A</v>
      </c>
      <c r="R2517" s="4" t="e">
        <f>IF(AND(B2517=1,N2517&gt;'Line Follower'!$C$7,SUM(C2517:K2517)&lt;4),1,0)</f>
        <v>#N/A</v>
      </c>
      <c r="S2517" s="4" t="e">
        <f>IF(AND(L2517=1,N2517&lt;'Line Follower'!$C$6,SUM(C2517:K2517)&lt;4),1,0)</f>
        <v>#N/A</v>
      </c>
      <c r="T2517" s="4" t="e">
        <f t="shared" si="197"/>
        <v>#N/A</v>
      </c>
      <c r="U2517" s="5" t="e">
        <f t="shared" si="198"/>
        <v>#N/A</v>
      </c>
      <c r="V2517" s="23" t="e">
        <f t="shared" si="199"/>
        <v>#N/A</v>
      </c>
    </row>
    <row r="2518" spans="2:22" x14ac:dyDescent="0.25">
      <c r="B2518" s="16">
        <v>1</v>
      </c>
      <c r="C2518" s="7">
        <v>1</v>
      </c>
      <c r="D2518" s="8">
        <v>0</v>
      </c>
      <c r="E2518" s="8">
        <v>0</v>
      </c>
      <c r="F2518" s="8">
        <v>1</v>
      </c>
      <c r="G2518" s="8">
        <v>0</v>
      </c>
      <c r="H2518" s="8">
        <v>1</v>
      </c>
      <c r="I2518" s="8">
        <v>1</v>
      </c>
      <c r="J2518" s="8">
        <v>1</v>
      </c>
      <c r="K2518" s="9">
        <v>0</v>
      </c>
      <c r="L2518" s="10">
        <v>0</v>
      </c>
      <c r="M2518" s="6">
        <v>1</v>
      </c>
      <c r="N2518" s="37" t="e" cm="1">
        <f t="array" ref="N2518">IF(OR(ISNUMBER(FIND(Aux!$D$3:$D$9,_xlfn.TEXTJOIN(,,C2518:K2518)))),NA(),IF(AND(SUM(C2518:F2518,H2518:K2518)=0,G2518=1),0,INT((SUMPRODUCT(C2518:F2518,COLUMN($A$1:$D$1)-1)+SUMPRODUCT(H2518:K2518,COLUMN($E$1:$H$1)-1))*'Line Follower'!$C$3/SUM(C2518:F2518,H2518:K2518)-'Line Follower'!$C$5)))</f>
        <v>#N/A</v>
      </c>
      <c r="O2518" s="22" t="e">
        <v>#N/A</v>
      </c>
      <c r="P2518" s="4" t="e">
        <f t="shared" si="195"/>
        <v>#N/A</v>
      </c>
      <c r="Q2518" s="4" t="e">
        <f t="shared" si="196"/>
        <v>#N/A</v>
      </c>
      <c r="R2518" s="4" t="e">
        <f>IF(AND(B2518=1,N2518&gt;'Line Follower'!$C$7,SUM(C2518:K2518)&lt;4),1,0)</f>
        <v>#N/A</v>
      </c>
      <c r="S2518" s="4" t="e">
        <f>IF(AND(L2518=1,N2518&lt;'Line Follower'!$C$6,SUM(C2518:K2518)&lt;4),1,0)</f>
        <v>#N/A</v>
      </c>
      <c r="T2518" s="4" t="e">
        <f t="shared" si="197"/>
        <v>#N/A</v>
      </c>
      <c r="U2518" s="5" t="e">
        <f t="shared" si="198"/>
        <v>#N/A</v>
      </c>
      <c r="V2518" s="23" t="e">
        <f t="shared" si="199"/>
        <v>#N/A</v>
      </c>
    </row>
    <row r="2519" spans="2:22" x14ac:dyDescent="0.25">
      <c r="B2519" s="16">
        <v>0</v>
      </c>
      <c r="C2519" s="7">
        <v>0</v>
      </c>
      <c r="D2519" s="8">
        <v>1</v>
      </c>
      <c r="E2519" s="8">
        <v>0</v>
      </c>
      <c r="F2519" s="8">
        <v>1</v>
      </c>
      <c r="G2519" s="8">
        <v>0</v>
      </c>
      <c r="H2519" s="8">
        <v>1</v>
      </c>
      <c r="I2519" s="8">
        <v>1</v>
      </c>
      <c r="J2519" s="8">
        <v>1</v>
      </c>
      <c r="K2519" s="9">
        <v>0</v>
      </c>
      <c r="L2519" s="10">
        <v>0</v>
      </c>
      <c r="M2519" s="6">
        <v>1</v>
      </c>
      <c r="N2519" s="37" t="e" cm="1">
        <f t="array" ref="N2519">IF(OR(ISNUMBER(FIND(Aux!$D$3:$D$9,_xlfn.TEXTJOIN(,,C2519:K2519)))),NA(),IF(AND(SUM(C2519:F2519,H2519:K2519)=0,G2519=1),0,INT((SUMPRODUCT(C2519:F2519,COLUMN($A$1:$D$1)-1)+SUMPRODUCT(H2519:K2519,COLUMN($E$1:$H$1)-1))*'Line Follower'!$C$3/SUM(C2519:F2519,H2519:K2519)-'Line Follower'!$C$5)))</f>
        <v>#N/A</v>
      </c>
      <c r="O2519" s="22" t="e">
        <v>#N/A</v>
      </c>
      <c r="P2519" s="4" t="e">
        <f t="shared" si="195"/>
        <v>#N/A</v>
      </c>
      <c r="Q2519" s="4" t="e">
        <f t="shared" si="196"/>
        <v>#N/A</v>
      </c>
      <c r="R2519" s="4" t="e">
        <f>IF(AND(B2519=1,N2519&gt;'Line Follower'!$C$7,SUM(C2519:K2519)&lt;4),1,0)</f>
        <v>#N/A</v>
      </c>
      <c r="S2519" s="4" t="e">
        <f>IF(AND(L2519=1,N2519&lt;'Line Follower'!$C$6,SUM(C2519:K2519)&lt;4),1,0)</f>
        <v>#N/A</v>
      </c>
      <c r="T2519" s="4" t="e">
        <f t="shared" si="197"/>
        <v>#N/A</v>
      </c>
      <c r="U2519" s="5" t="e">
        <f t="shared" si="198"/>
        <v>#N/A</v>
      </c>
      <c r="V2519" s="23" t="e">
        <f t="shared" si="199"/>
        <v>#N/A</v>
      </c>
    </row>
    <row r="2520" spans="2:22" x14ac:dyDescent="0.25">
      <c r="B2520" s="16">
        <v>1</v>
      </c>
      <c r="C2520" s="7">
        <v>0</v>
      </c>
      <c r="D2520" s="8">
        <v>1</v>
      </c>
      <c r="E2520" s="8">
        <v>0</v>
      </c>
      <c r="F2520" s="8">
        <v>1</v>
      </c>
      <c r="G2520" s="8">
        <v>0</v>
      </c>
      <c r="H2520" s="8">
        <v>1</v>
      </c>
      <c r="I2520" s="8">
        <v>1</v>
      </c>
      <c r="J2520" s="8">
        <v>1</v>
      </c>
      <c r="K2520" s="9">
        <v>0</v>
      </c>
      <c r="L2520" s="10">
        <v>0</v>
      </c>
      <c r="M2520" s="6">
        <v>1</v>
      </c>
      <c r="N2520" s="37" t="e" cm="1">
        <f t="array" ref="N2520">IF(OR(ISNUMBER(FIND(Aux!$D$3:$D$9,_xlfn.TEXTJOIN(,,C2520:K2520)))),NA(),IF(AND(SUM(C2520:F2520,H2520:K2520)=0,G2520=1),0,INT((SUMPRODUCT(C2520:F2520,COLUMN($A$1:$D$1)-1)+SUMPRODUCT(H2520:K2520,COLUMN($E$1:$H$1)-1))*'Line Follower'!$C$3/SUM(C2520:F2520,H2520:K2520)-'Line Follower'!$C$5)))</f>
        <v>#N/A</v>
      </c>
      <c r="O2520" s="22" t="e">
        <v>#N/A</v>
      </c>
      <c r="P2520" s="4" t="e">
        <f t="shared" si="195"/>
        <v>#N/A</v>
      </c>
      <c r="Q2520" s="4" t="e">
        <f t="shared" si="196"/>
        <v>#N/A</v>
      </c>
      <c r="R2520" s="4" t="e">
        <f>IF(AND(B2520=1,N2520&gt;'Line Follower'!$C$7,SUM(C2520:K2520)&lt;4),1,0)</f>
        <v>#N/A</v>
      </c>
      <c r="S2520" s="4" t="e">
        <f>IF(AND(L2520=1,N2520&lt;'Line Follower'!$C$6,SUM(C2520:K2520)&lt;4),1,0)</f>
        <v>#N/A</v>
      </c>
      <c r="T2520" s="4" t="e">
        <f t="shared" si="197"/>
        <v>#N/A</v>
      </c>
      <c r="U2520" s="5" t="e">
        <f t="shared" si="198"/>
        <v>#N/A</v>
      </c>
      <c r="V2520" s="23" t="e">
        <f t="shared" si="199"/>
        <v>#N/A</v>
      </c>
    </row>
    <row r="2521" spans="2:22" x14ac:dyDescent="0.25">
      <c r="B2521" s="16">
        <v>0</v>
      </c>
      <c r="C2521" s="7">
        <v>1</v>
      </c>
      <c r="D2521" s="8">
        <v>1</v>
      </c>
      <c r="E2521" s="8">
        <v>0</v>
      </c>
      <c r="F2521" s="8">
        <v>1</v>
      </c>
      <c r="G2521" s="8">
        <v>0</v>
      </c>
      <c r="H2521" s="8">
        <v>1</v>
      </c>
      <c r="I2521" s="8">
        <v>1</v>
      </c>
      <c r="J2521" s="8">
        <v>1</v>
      </c>
      <c r="K2521" s="9">
        <v>0</v>
      </c>
      <c r="L2521" s="10">
        <v>0</v>
      </c>
      <c r="M2521" s="6">
        <v>1</v>
      </c>
      <c r="N2521" s="37" t="e" cm="1">
        <f t="array" ref="N2521">IF(OR(ISNUMBER(FIND(Aux!$D$3:$D$9,_xlfn.TEXTJOIN(,,C2521:K2521)))),NA(),IF(AND(SUM(C2521:F2521,H2521:K2521)=0,G2521=1),0,INT((SUMPRODUCT(C2521:F2521,COLUMN($A$1:$D$1)-1)+SUMPRODUCT(H2521:K2521,COLUMN($E$1:$H$1)-1))*'Line Follower'!$C$3/SUM(C2521:F2521,H2521:K2521)-'Line Follower'!$C$5)))</f>
        <v>#N/A</v>
      </c>
      <c r="O2521" s="22" t="e">
        <v>#N/A</v>
      </c>
      <c r="P2521" s="4" t="e">
        <f t="shared" si="195"/>
        <v>#N/A</v>
      </c>
      <c r="Q2521" s="4" t="e">
        <f t="shared" si="196"/>
        <v>#N/A</v>
      </c>
      <c r="R2521" s="4" t="e">
        <f>IF(AND(B2521=1,N2521&gt;'Line Follower'!$C$7,SUM(C2521:K2521)&lt;4),1,0)</f>
        <v>#N/A</v>
      </c>
      <c r="S2521" s="4" t="e">
        <f>IF(AND(L2521=1,N2521&lt;'Line Follower'!$C$6,SUM(C2521:K2521)&lt;4),1,0)</f>
        <v>#N/A</v>
      </c>
      <c r="T2521" s="4" t="e">
        <f t="shared" si="197"/>
        <v>#N/A</v>
      </c>
      <c r="U2521" s="5" t="e">
        <f t="shared" si="198"/>
        <v>#N/A</v>
      </c>
      <c r="V2521" s="23" t="e">
        <f t="shared" si="199"/>
        <v>#N/A</v>
      </c>
    </row>
    <row r="2522" spans="2:22" x14ac:dyDescent="0.25">
      <c r="B2522" s="16">
        <v>1</v>
      </c>
      <c r="C2522" s="7">
        <v>1</v>
      </c>
      <c r="D2522" s="8">
        <v>1</v>
      </c>
      <c r="E2522" s="8">
        <v>0</v>
      </c>
      <c r="F2522" s="8">
        <v>1</v>
      </c>
      <c r="G2522" s="8">
        <v>0</v>
      </c>
      <c r="H2522" s="8">
        <v>1</v>
      </c>
      <c r="I2522" s="8">
        <v>1</v>
      </c>
      <c r="J2522" s="8">
        <v>1</v>
      </c>
      <c r="K2522" s="9">
        <v>0</v>
      </c>
      <c r="L2522" s="10">
        <v>0</v>
      </c>
      <c r="M2522" s="6">
        <v>1</v>
      </c>
      <c r="N2522" s="37" t="e" cm="1">
        <f t="array" ref="N2522">IF(OR(ISNUMBER(FIND(Aux!$D$3:$D$9,_xlfn.TEXTJOIN(,,C2522:K2522)))),NA(),IF(AND(SUM(C2522:F2522,H2522:K2522)=0,G2522=1),0,INT((SUMPRODUCT(C2522:F2522,COLUMN($A$1:$D$1)-1)+SUMPRODUCT(H2522:K2522,COLUMN($E$1:$H$1)-1))*'Line Follower'!$C$3/SUM(C2522:F2522,H2522:K2522)-'Line Follower'!$C$5)))</f>
        <v>#N/A</v>
      </c>
      <c r="O2522" s="22" t="e">
        <v>#N/A</v>
      </c>
      <c r="P2522" s="4" t="e">
        <f t="shared" si="195"/>
        <v>#N/A</v>
      </c>
      <c r="Q2522" s="4" t="e">
        <f t="shared" si="196"/>
        <v>#N/A</v>
      </c>
      <c r="R2522" s="4" t="e">
        <f>IF(AND(B2522=1,N2522&gt;'Line Follower'!$C$7,SUM(C2522:K2522)&lt;4),1,0)</f>
        <v>#N/A</v>
      </c>
      <c r="S2522" s="4" t="e">
        <f>IF(AND(L2522=1,N2522&lt;'Line Follower'!$C$6,SUM(C2522:K2522)&lt;4),1,0)</f>
        <v>#N/A</v>
      </c>
      <c r="T2522" s="4" t="e">
        <f t="shared" si="197"/>
        <v>#N/A</v>
      </c>
      <c r="U2522" s="5" t="e">
        <f t="shared" si="198"/>
        <v>#N/A</v>
      </c>
      <c r="V2522" s="23" t="e">
        <f t="shared" si="199"/>
        <v>#N/A</v>
      </c>
    </row>
    <row r="2523" spans="2:22" x14ac:dyDescent="0.25">
      <c r="B2523" s="16">
        <v>0</v>
      </c>
      <c r="C2523" s="7">
        <v>0</v>
      </c>
      <c r="D2523" s="8">
        <v>0</v>
      </c>
      <c r="E2523" s="8">
        <v>1</v>
      </c>
      <c r="F2523" s="8">
        <v>1</v>
      </c>
      <c r="G2523" s="8">
        <v>0</v>
      </c>
      <c r="H2523" s="8">
        <v>1</v>
      </c>
      <c r="I2523" s="8">
        <v>1</v>
      </c>
      <c r="J2523" s="8">
        <v>1</v>
      </c>
      <c r="K2523" s="9">
        <v>0</v>
      </c>
      <c r="L2523" s="10">
        <v>0</v>
      </c>
      <c r="M2523" s="6">
        <v>1</v>
      </c>
      <c r="N2523" s="37" t="e" cm="1">
        <f t="array" ref="N2523">IF(OR(ISNUMBER(FIND(Aux!$D$3:$D$9,_xlfn.TEXTJOIN(,,C2523:K2523)))),NA(),IF(AND(SUM(C2523:F2523,H2523:K2523)=0,G2523=1),0,INT((SUMPRODUCT(C2523:F2523,COLUMN($A$1:$D$1)-1)+SUMPRODUCT(H2523:K2523,COLUMN($E$1:$H$1)-1))*'Line Follower'!$C$3/SUM(C2523:F2523,H2523:K2523)-'Line Follower'!$C$5)))</f>
        <v>#N/A</v>
      </c>
      <c r="O2523" s="22" t="e">
        <v>#N/A</v>
      </c>
      <c r="P2523" s="4" t="e">
        <f t="shared" si="195"/>
        <v>#N/A</v>
      </c>
      <c r="Q2523" s="4" t="e">
        <f t="shared" si="196"/>
        <v>#N/A</v>
      </c>
      <c r="R2523" s="4" t="e">
        <f>IF(AND(B2523=1,N2523&gt;'Line Follower'!$C$7,SUM(C2523:K2523)&lt;4),1,0)</f>
        <v>#N/A</v>
      </c>
      <c r="S2523" s="4" t="e">
        <f>IF(AND(L2523=1,N2523&lt;'Line Follower'!$C$6,SUM(C2523:K2523)&lt;4),1,0)</f>
        <v>#N/A</v>
      </c>
      <c r="T2523" s="4" t="e">
        <f t="shared" si="197"/>
        <v>#N/A</v>
      </c>
      <c r="U2523" s="5" t="e">
        <f t="shared" si="198"/>
        <v>#N/A</v>
      </c>
      <c r="V2523" s="23" t="e">
        <f t="shared" si="199"/>
        <v>#N/A</v>
      </c>
    </row>
    <row r="2524" spans="2:22" x14ac:dyDescent="0.25">
      <c r="B2524" s="16">
        <v>1</v>
      </c>
      <c r="C2524" s="7">
        <v>0</v>
      </c>
      <c r="D2524" s="8">
        <v>0</v>
      </c>
      <c r="E2524" s="8">
        <v>1</v>
      </c>
      <c r="F2524" s="8">
        <v>1</v>
      </c>
      <c r="G2524" s="8">
        <v>0</v>
      </c>
      <c r="H2524" s="8">
        <v>1</v>
      </c>
      <c r="I2524" s="8">
        <v>1</v>
      </c>
      <c r="J2524" s="8">
        <v>1</v>
      </c>
      <c r="K2524" s="9">
        <v>0</v>
      </c>
      <c r="L2524" s="10">
        <v>0</v>
      </c>
      <c r="M2524" s="6">
        <v>1</v>
      </c>
      <c r="N2524" s="37" t="e" cm="1">
        <f t="array" ref="N2524">IF(OR(ISNUMBER(FIND(Aux!$D$3:$D$9,_xlfn.TEXTJOIN(,,C2524:K2524)))),NA(),IF(AND(SUM(C2524:F2524,H2524:K2524)=0,G2524=1),0,INT((SUMPRODUCT(C2524:F2524,COLUMN($A$1:$D$1)-1)+SUMPRODUCT(H2524:K2524,COLUMN($E$1:$H$1)-1))*'Line Follower'!$C$3/SUM(C2524:F2524,H2524:K2524)-'Line Follower'!$C$5)))</f>
        <v>#N/A</v>
      </c>
      <c r="O2524" s="22" t="e">
        <v>#N/A</v>
      </c>
      <c r="P2524" s="4" t="e">
        <f t="shared" si="195"/>
        <v>#N/A</v>
      </c>
      <c r="Q2524" s="4" t="e">
        <f t="shared" si="196"/>
        <v>#N/A</v>
      </c>
      <c r="R2524" s="4" t="e">
        <f>IF(AND(B2524=1,N2524&gt;'Line Follower'!$C$7,SUM(C2524:K2524)&lt;4),1,0)</f>
        <v>#N/A</v>
      </c>
      <c r="S2524" s="4" t="e">
        <f>IF(AND(L2524=1,N2524&lt;'Line Follower'!$C$6,SUM(C2524:K2524)&lt;4),1,0)</f>
        <v>#N/A</v>
      </c>
      <c r="T2524" s="4" t="e">
        <f t="shared" si="197"/>
        <v>#N/A</v>
      </c>
      <c r="U2524" s="5" t="e">
        <f t="shared" si="198"/>
        <v>#N/A</v>
      </c>
      <c r="V2524" s="23" t="e">
        <f t="shared" si="199"/>
        <v>#N/A</v>
      </c>
    </row>
    <row r="2525" spans="2:22" x14ac:dyDescent="0.25">
      <c r="B2525" s="16">
        <v>0</v>
      </c>
      <c r="C2525" s="7">
        <v>1</v>
      </c>
      <c r="D2525" s="8">
        <v>0</v>
      </c>
      <c r="E2525" s="8">
        <v>1</v>
      </c>
      <c r="F2525" s="8">
        <v>1</v>
      </c>
      <c r="G2525" s="8">
        <v>0</v>
      </c>
      <c r="H2525" s="8">
        <v>1</v>
      </c>
      <c r="I2525" s="8">
        <v>1</v>
      </c>
      <c r="J2525" s="8">
        <v>1</v>
      </c>
      <c r="K2525" s="9">
        <v>0</v>
      </c>
      <c r="L2525" s="10">
        <v>0</v>
      </c>
      <c r="M2525" s="6">
        <v>1</v>
      </c>
      <c r="N2525" s="37" t="e" cm="1">
        <f t="array" ref="N2525">IF(OR(ISNUMBER(FIND(Aux!$D$3:$D$9,_xlfn.TEXTJOIN(,,C2525:K2525)))),NA(),IF(AND(SUM(C2525:F2525,H2525:K2525)=0,G2525=1),0,INT((SUMPRODUCT(C2525:F2525,COLUMN($A$1:$D$1)-1)+SUMPRODUCT(H2525:K2525,COLUMN($E$1:$H$1)-1))*'Line Follower'!$C$3/SUM(C2525:F2525,H2525:K2525)-'Line Follower'!$C$5)))</f>
        <v>#N/A</v>
      </c>
      <c r="O2525" s="22" t="e">
        <v>#N/A</v>
      </c>
      <c r="P2525" s="4" t="e">
        <f t="shared" si="195"/>
        <v>#N/A</v>
      </c>
      <c r="Q2525" s="4" t="e">
        <f t="shared" si="196"/>
        <v>#N/A</v>
      </c>
      <c r="R2525" s="4" t="e">
        <f>IF(AND(B2525=1,N2525&gt;'Line Follower'!$C$7,SUM(C2525:K2525)&lt;4),1,0)</f>
        <v>#N/A</v>
      </c>
      <c r="S2525" s="4" t="e">
        <f>IF(AND(L2525=1,N2525&lt;'Line Follower'!$C$6,SUM(C2525:K2525)&lt;4),1,0)</f>
        <v>#N/A</v>
      </c>
      <c r="T2525" s="4" t="e">
        <f t="shared" si="197"/>
        <v>#N/A</v>
      </c>
      <c r="U2525" s="5" t="e">
        <f t="shared" si="198"/>
        <v>#N/A</v>
      </c>
      <c r="V2525" s="23" t="e">
        <f t="shared" si="199"/>
        <v>#N/A</v>
      </c>
    </row>
    <row r="2526" spans="2:22" x14ac:dyDescent="0.25">
      <c r="B2526" s="16">
        <v>1</v>
      </c>
      <c r="C2526" s="7">
        <v>1</v>
      </c>
      <c r="D2526" s="8">
        <v>0</v>
      </c>
      <c r="E2526" s="8">
        <v>1</v>
      </c>
      <c r="F2526" s="8">
        <v>1</v>
      </c>
      <c r="G2526" s="8">
        <v>0</v>
      </c>
      <c r="H2526" s="8">
        <v>1</v>
      </c>
      <c r="I2526" s="8">
        <v>1</v>
      </c>
      <c r="J2526" s="8">
        <v>1</v>
      </c>
      <c r="K2526" s="9">
        <v>0</v>
      </c>
      <c r="L2526" s="10">
        <v>0</v>
      </c>
      <c r="M2526" s="6">
        <v>1</v>
      </c>
      <c r="N2526" s="37" t="e" cm="1">
        <f t="array" ref="N2526">IF(OR(ISNUMBER(FIND(Aux!$D$3:$D$9,_xlfn.TEXTJOIN(,,C2526:K2526)))),NA(),IF(AND(SUM(C2526:F2526,H2526:K2526)=0,G2526=1),0,INT((SUMPRODUCT(C2526:F2526,COLUMN($A$1:$D$1)-1)+SUMPRODUCT(H2526:K2526,COLUMN($E$1:$H$1)-1))*'Line Follower'!$C$3/SUM(C2526:F2526,H2526:K2526)-'Line Follower'!$C$5)))</f>
        <v>#N/A</v>
      </c>
      <c r="O2526" s="22" t="e">
        <v>#N/A</v>
      </c>
      <c r="P2526" s="4" t="e">
        <f t="shared" si="195"/>
        <v>#N/A</v>
      </c>
      <c r="Q2526" s="4" t="e">
        <f t="shared" si="196"/>
        <v>#N/A</v>
      </c>
      <c r="R2526" s="4" t="e">
        <f>IF(AND(B2526=1,N2526&gt;'Line Follower'!$C$7,SUM(C2526:K2526)&lt;4),1,0)</f>
        <v>#N/A</v>
      </c>
      <c r="S2526" s="4" t="e">
        <f>IF(AND(L2526=1,N2526&lt;'Line Follower'!$C$6,SUM(C2526:K2526)&lt;4),1,0)</f>
        <v>#N/A</v>
      </c>
      <c r="T2526" s="4" t="e">
        <f t="shared" si="197"/>
        <v>#N/A</v>
      </c>
      <c r="U2526" s="5" t="e">
        <f t="shared" si="198"/>
        <v>#N/A</v>
      </c>
      <c r="V2526" s="23" t="e">
        <f t="shared" si="199"/>
        <v>#N/A</v>
      </c>
    </row>
    <row r="2527" spans="2:22" x14ac:dyDescent="0.25">
      <c r="B2527" s="16">
        <v>0</v>
      </c>
      <c r="C2527" s="7">
        <v>0</v>
      </c>
      <c r="D2527" s="8">
        <v>1</v>
      </c>
      <c r="E2527" s="8">
        <v>1</v>
      </c>
      <c r="F2527" s="8">
        <v>1</v>
      </c>
      <c r="G2527" s="8">
        <v>0</v>
      </c>
      <c r="H2527" s="8">
        <v>1</v>
      </c>
      <c r="I2527" s="8">
        <v>1</v>
      </c>
      <c r="J2527" s="8">
        <v>1</v>
      </c>
      <c r="K2527" s="9">
        <v>0</v>
      </c>
      <c r="L2527" s="10">
        <v>0</v>
      </c>
      <c r="M2527" s="6">
        <v>1</v>
      </c>
      <c r="N2527" s="37" t="e" cm="1">
        <f t="array" ref="N2527">IF(OR(ISNUMBER(FIND(Aux!$D$3:$D$9,_xlfn.TEXTJOIN(,,C2527:K2527)))),NA(),IF(AND(SUM(C2527:F2527,H2527:K2527)=0,G2527=1),0,INT((SUMPRODUCT(C2527:F2527,COLUMN($A$1:$D$1)-1)+SUMPRODUCT(H2527:K2527,COLUMN($E$1:$H$1)-1))*'Line Follower'!$C$3/SUM(C2527:F2527,H2527:K2527)-'Line Follower'!$C$5)))</f>
        <v>#N/A</v>
      </c>
      <c r="O2527" s="22" t="e">
        <v>#N/A</v>
      </c>
      <c r="P2527" s="4" t="e">
        <f t="shared" si="195"/>
        <v>#N/A</v>
      </c>
      <c r="Q2527" s="4" t="e">
        <f t="shared" si="196"/>
        <v>#N/A</v>
      </c>
      <c r="R2527" s="4" t="e">
        <f>IF(AND(B2527=1,N2527&gt;'Line Follower'!$C$7,SUM(C2527:K2527)&lt;4),1,0)</f>
        <v>#N/A</v>
      </c>
      <c r="S2527" s="4" t="e">
        <f>IF(AND(L2527=1,N2527&lt;'Line Follower'!$C$6,SUM(C2527:K2527)&lt;4),1,0)</f>
        <v>#N/A</v>
      </c>
      <c r="T2527" s="4" t="e">
        <f t="shared" si="197"/>
        <v>#N/A</v>
      </c>
      <c r="U2527" s="5" t="e">
        <f t="shared" si="198"/>
        <v>#N/A</v>
      </c>
      <c r="V2527" s="23" t="e">
        <f t="shared" si="199"/>
        <v>#N/A</v>
      </c>
    </row>
    <row r="2528" spans="2:22" x14ac:dyDescent="0.25">
      <c r="B2528" s="16">
        <v>1</v>
      </c>
      <c r="C2528" s="7">
        <v>0</v>
      </c>
      <c r="D2528" s="8">
        <v>1</v>
      </c>
      <c r="E2528" s="8">
        <v>1</v>
      </c>
      <c r="F2528" s="8">
        <v>1</v>
      </c>
      <c r="G2528" s="8">
        <v>0</v>
      </c>
      <c r="H2528" s="8">
        <v>1</v>
      </c>
      <c r="I2528" s="8">
        <v>1</v>
      </c>
      <c r="J2528" s="8">
        <v>1</v>
      </c>
      <c r="K2528" s="9">
        <v>0</v>
      </c>
      <c r="L2528" s="10">
        <v>0</v>
      </c>
      <c r="M2528" s="6">
        <v>1</v>
      </c>
      <c r="N2528" s="37" t="e" cm="1">
        <f t="array" ref="N2528">IF(OR(ISNUMBER(FIND(Aux!$D$3:$D$9,_xlfn.TEXTJOIN(,,C2528:K2528)))),NA(),IF(AND(SUM(C2528:F2528,H2528:K2528)=0,G2528=1),0,INT((SUMPRODUCT(C2528:F2528,COLUMN($A$1:$D$1)-1)+SUMPRODUCT(H2528:K2528,COLUMN($E$1:$H$1)-1))*'Line Follower'!$C$3/SUM(C2528:F2528,H2528:K2528)-'Line Follower'!$C$5)))</f>
        <v>#N/A</v>
      </c>
      <c r="O2528" s="22" t="e">
        <v>#N/A</v>
      </c>
      <c r="P2528" s="4" t="e">
        <f t="shared" si="195"/>
        <v>#N/A</v>
      </c>
      <c r="Q2528" s="4" t="e">
        <f t="shared" si="196"/>
        <v>#N/A</v>
      </c>
      <c r="R2528" s="4" t="e">
        <f>IF(AND(B2528=1,N2528&gt;'Line Follower'!$C$7,SUM(C2528:K2528)&lt;4),1,0)</f>
        <v>#N/A</v>
      </c>
      <c r="S2528" s="4" t="e">
        <f>IF(AND(L2528=1,N2528&lt;'Line Follower'!$C$6,SUM(C2528:K2528)&lt;4),1,0)</f>
        <v>#N/A</v>
      </c>
      <c r="T2528" s="4" t="e">
        <f t="shared" si="197"/>
        <v>#N/A</v>
      </c>
      <c r="U2528" s="5" t="e">
        <f t="shared" si="198"/>
        <v>#N/A</v>
      </c>
      <c r="V2528" s="23" t="e">
        <f t="shared" si="199"/>
        <v>#N/A</v>
      </c>
    </row>
    <row r="2529" spans="2:22" x14ac:dyDescent="0.25">
      <c r="B2529" s="16">
        <v>0</v>
      </c>
      <c r="C2529" s="7">
        <v>1</v>
      </c>
      <c r="D2529" s="8">
        <v>1</v>
      </c>
      <c r="E2529" s="8">
        <v>1</v>
      </c>
      <c r="F2529" s="8">
        <v>1</v>
      </c>
      <c r="G2529" s="8">
        <v>0</v>
      </c>
      <c r="H2529" s="8">
        <v>1</v>
      </c>
      <c r="I2529" s="8">
        <v>1</v>
      </c>
      <c r="J2529" s="8">
        <v>1</v>
      </c>
      <c r="K2529" s="9">
        <v>0</v>
      </c>
      <c r="L2529" s="10">
        <v>0</v>
      </c>
      <c r="M2529" s="6">
        <v>1</v>
      </c>
      <c r="N2529" s="37" t="e" cm="1">
        <f t="array" ref="N2529">IF(OR(ISNUMBER(FIND(Aux!$D$3:$D$9,_xlfn.TEXTJOIN(,,C2529:K2529)))),NA(),IF(AND(SUM(C2529:F2529,H2529:K2529)=0,G2529=1),0,INT((SUMPRODUCT(C2529:F2529,COLUMN($A$1:$D$1)-1)+SUMPRODUCT(H2529:K2529,COLUMN($E$1:$H$1)-1))*'Line Follower'!$C$3/SUM(C2529:F2529,H2529:K2529)-'Line Follower'!$C$5)))</f>
        <v>#N/A</v>
      </c>
      <c r="O2529" s="22" t="e">
        <v>#N/A</v>
      </c>
      <c r="P2529" s="4" t="e">
        <f t="shared" si="195"/>
        <v>#N/A</v>
      </c>
      <c r="Q2529" s="4" t="e">
        <f t="shared" si="196"/>
        <v>#N/A</v>
      </c>
      <c r="R2529" s="4" t="e">
        <f>IF(AND(B2529=1,N2529&gt;'Line Follower'!$C$7,SUM(C2529:K2529)&lt;4),1,0)</f>
        <v>#N/A</v>
      </c>
      <c r="S2529" s="4" t="e">
        <f>IF(AND(L2529=1,N2529&lt;'Line Follower'!$C$6,SUM(C2529:K2529)&lt;4),1,0)</f>
        <v>#N/A</v>
      </c>
      <c r="T2529" s="4" t="e">
        <f t="shared" si="197"/>
        <v>#N/A</v>
      </c>
      <c r="U2529" s="5" t="e">
        <f t="shared" si="198"/>
        <v>#N/A</v>
      </c>
      <c r="V2529" s="23" t="e">
        <f t="shared" si="199"/>
        <v>#N/A</v>
      </c>
    </row>
    <row r="2530" spans="2:22" x14ac:dyDescent="0.25">
      <c r="B2530" s="16">
        <v>1</v>
      </c>
      <c r="C2530" s="7">
        <v>1</v>
      </c>
      <c r="D2530" s="8">
        <v>1</v>
      </c>
      <c r="E2530" s="8">
        <v>1</v>
      </c>
      <c r="F2530" s="8">
        <v>1</v>
      </c>
      <c r="G2530" s="8">
        <v>0</v>
      </c>
      <c r="H2530" s="8">
        <v>1</v>
      </c>
      <c r="I2530" s="8">
        <v>1</v>
      </c>
      <c r="J2530" s="8">
        <v>1</v>
      </c>
      <c r="K2530" s="9">
        <v>0</v>
      </c>
      <c r="L2530" s="10">
        <v>0</v>
      </c>
      <c r="M2530" s="6">
        <v>1</v>
      </c>
      <c r="N2530" s="37" t="e" cm="1">
        <f t="array" ref="N2530">IF(OR(ISNUMBER(FIND(Aux!$D$3:$D$9,_xlfn.TEXTJOIN(,,C2530:K2530)))),NA(),IF(AND(SUM(C2530:F2530,H2530:K2530)=0,G2530=1),0,INT((SUMPRODUCT(C2530:F2530,COLUMN($A$1:$D$1)-1)+SUMPRODUCT(H2530:K2530,COLUMN($E$1:$H$1)-1))*'Line Follower'!$C$3/SUM(C2530:F2530,H2530:K2530)-'Line Follower'!$C$5)))</f>
        <v>#N/A</v>
      </c>
      <c r="O2530" s="22" t="e">
        <v>#N/A</v>
      </c>
      <c r="P2530" s="4" t="e">
        <f t="shared" si="195"/>
        <v>#N/A</v>
      </c>
      <c r="Q2530" s="4" t="e">
        <f t="shared" si="196"/>
        <v>#N/A</v>
      </c>
      <c r="R2530" s="4" t="e">
        <f>IF(AND(B2530=1,N2530&gt;'Line Follower'!$C$7,SUM(C2530:K2530)&lt;4),1,0)</f>
        <v>#N/A</v>
      </c>
      <c r="S2530" s="4" t="e">
        <f>IF(AND(L2530=1,N2530&lt;'Line Follower'!$C$6,SUM(C2530:K2530)&lt;4),1,0)</f>
        <v>#N/A</v>
      </c>
      <c r="T2530" s="4" t="e">
        <f t="shared" si="197"/>
        <v>#N/A</v>
      </c>
      <c r="U2530" s="5" t="e">
        <f t="shared" si="198"/>
        <v>#N/A</v>
      </c>
      <c r="V2530" s="23" t="e">
        <f t="shared" si="199"/>
        <v>#N/A</v>
      </c>
    </row>
    <row r="2531" spans="2:22" x14ac:dyDescent="0.25">
      <c r="B2531" s="16">
        <v>0</v>
      </c>
      <c r="C2531" s="7">
        <v>0</v>
      </c>
      <c r="D2531" s="8">
        <v>0</v>
      </c>
      <c r="E2531" s="8">
        <v>0</v>
      </c>
      <c r="F2531" s="8">
        <v>0</v>
      </c>
      <c r="G2531" s="8">
        <v>1</v>
      </c>
      <c r="H2531" s="8">
        <v>1</v>
      </c>
      <c r="I2531" s="8">
        <v>1</v>
      </c>
      <c r="J2531" s="8">
        <v>1</v>
      </c>
      <c r="K2531" s="9">
        <v>0</v>
      </c>
      <c r="L2531" s="10">
        <v>0</v>
      </c>
      <c r="M2531" s="6">
        <v>1</v>
      </c>
      <c r="N2531" s="37" cm="1">
        <f t="array" ref="N2531">IF(OR(ISNUMBER(FIND(Aux!$D$3:$D$9,_xlfn.TEXTJOIN(,,C2531:K2531)))),NA(),IF(AND(SUM(C2531:F2531,H2531:K2531)=0,G2531=1),0,INT((SUMPRODUCT(C2531:F2531,COLUMN($A$1:$D$1)-1)+SUMPRODUCT(H2531:K2531,COLUMN($E$1:$H$1)-1))*'Line Follower'!$C$3/SUM(C2531:F2531,H2531:K2531)-'Line Follower'!$C$5)))</f>
        <v>3</v>
      </c>
      <c r="O2531" s="22">
        <v>1</v>
      </c>
      <c r="P2531" s="4">
        <f t="shared" si="195"/>
        <v>0</v>
      </c>
      <c r="Q2531" s="4">
        <f t="shared" si="196"/>
        <v>1</v>
      </c>
      <c r="R2531" s="4">
        <f>IF(AND(B2531=1,N2531&gt;'Line Follower'!$C$7,SUM(C2531:K2531)&lt;4),1,0)</f>
        <v>0</v>
      </c>
      <c r="S2531" s="4">
        <f>IF(AND(L2531=1,N2531&lt;'Line Follower'!$C$6,SUM(C2531:K2531)&lt;4),1,0)</f>
        <v>0</v>
      </c>
      <c r="T2531" s="4">
        <f t="shared" si="197"/>
        <v>0</v>
      </c>
      <c r="U2531" s="5">
        <f t="shared" si="198"/>
        <v>0</v>
      </c>
      <c r="V2531" s="23">
        <f t="shared" si="199"/>
        <v>0</v>
      </c>
    </row>
    <row r="2532" spans="2:22" x14ac:dyDescent="0.25">
      <c r="B2532" s="16">
        <v>1</v>
      </c>
      <c r="C2532" s="7">
        <v>0</v>
      </c>
      <c r="D2532" s="8">
        <v>0</v>
      </c>
      <c r="E2532" s="8">
        <v>0</v>
      </c>
      <c r="F2532" s="8">
        <v>0</v>
      </c>
      <c r="G2532" s="8">
        <v>1</v>
      </c>
      <c r="H2532" s="8">
        <v>1</v>
      </c>
      <c r="I2532" s="8">
        <v>1</v>
      </c>
      <c r="J2532" s="8">
        <v>1</v>
      </c>
      <c r="K2532" s="9">
        <v>0</v>
      </c>
      <c r="L2532" s="10">
        <v>0</v>
      </c>
      <c r="M2532" s="6">
        <v>1</v>
      </c>
      <c r="N2532" s="37" cm="1">
        <f t="array" ref="N2532">IF(OR(ISNUMBER(FIND(Aux!$D$3:$D$9,_xlfn.TEXTJOIN(,,C2532:K2532)))),NA(),IF(AND(SUM(C2532:F2532,H2532:K2532)=0,G2532=1),0,INT((SUMPRODUCT(C2532:F2532,COLUMN($A$1:$D$1)-1)+SUMPRODUCT(H2532:K2532,COLUMN($E$1:$H$1)-1))*'Line Follower'!$C$3/SUM(C2532:F2532,H2532:K2532)-'Line Follower'!$C$5)))</f>
        <v>3</v>
      </c>
      <c r="O2532" s="22">
        <v>1</v>
      </c>
      <c r="P2532" s="4">
        <f t="shared" si="195"/>
        <v>0</v>
      </c>
      <c r="Q2532" s="4">
        <f t="shared" si="196"/>
        <v>1</v>
      </c>
      <c r="R2532" s="4">
        <f>IF(AND(B2532=1,N2532&gt;'Line Follower'!$C$7,SUM(C2532:K2532)&lt;4),1,0)</f>
        <v>0</v>
      </c>
      <c r="S2532" s="4">
        <f>IF(AND(L2532=1,N2532&lt;'Line Follower'!$C$6,SUM(C2532:K2532)&lt;4),1,0)</f>
        <v>0</v>
      </c>
      <c r="T2532" s="4">
        <f t="shared" si="197"/>
        <v>0</v>
      </c>
      <c r="U2532" s="5">
        <f t="shared" si="198"/>
        <v>0</v>
      </c>
      <c r="V2532" s="23">
        <f t="shared" si="199"/>
        <v>0</v>
      </c>
    </row>
    <row r="2533" spans="2:22" x14ac:dyDescent="0.25">
      <c r="B2533" s="16">
        <v>0</v>
      </c>
      <c r="C2533" s="7">
        <v>1</v>
      </c>
      <c r="D2533" s="8">
        <v>0</v>
      </c>
      <c r="E2533" s="8">
        <v>0</v>
      </c>
      <c r="F2533" s="8">
        <v>0</v>
      </c>
      <c r="G2533" s="8">
        <v>1</v>
      </c>
      <c r="H2533" s="8">
        <v>1</v>
      </c>
      <c r="I2533" s="8">
        <v>1</v>
      </c>
      <c r="J2533" s="8">
        <v>1</v>
      </c>
      <c r="K2533" s="9">
        <v>0</v>
      </c>
      <c r="L2533" s="10">
        <v>0</v>
      </c>
      <c r="M2533" s="6">
        <v>1</v>
      </c>
      <c r="N2533" s="37" t="e" cm="1">
        <f t="array" ref="N2533">IF(OR(ISNUMBER(FIND(Aux!$D$3:$D$9,_xlfn.TEXTJOIN(,,C2533:K2533)))),NA(),IF(AND(SUM(C2533:F2533,H2533:K2533)=0,G2533=1),0,INT((SUMPRODUCT(C2533:F2533,COLUMN($A$1:$D$1)-1)+SUMPRODUCT(H2533:K2533,COLUMN($E$1:$H$1)-1))*'Line Follower'!$C$3/SUM(C2533:F2533,H2533:K2533)-'Line Follower'!$C$5)))</f>
        <v>#N/A</v>
      </c>
      <c r="O2533" s="22" t="e">
        <v>#N/A</v>
      </c>
      <c r="P2533" s="4" t="e">
        <f t="shared" si="195"/>
        <v>#N/A</v>
      </c>
      <c r="Q2533" s="4" t="e">
        <f t="shared" si="196"/>
        <v>#N/A</v>
      </c>
      <c r="R2533" s="4" t="e">
        <f>IF(AND(B2533=1,N2533&gt;'Line Follower'!$C$7,SUM(C2533:K2533)&lt;4),1,0)</f>
        <v>#N/A</v>
      </c>
      <c r="S2533" s="4" t="e">
        <f>IF(AND(L2533=1,N2533&lt;'Line Follower'!$C$6,SUM(C2533:K2533)&lt;4),1,0)</f>
        <v>#N/A</v>
      </c>
      <c r="T2533" s="4" t="e">
        <f t="shared" si="197"/>
        <v>#N/A</v>
      </c>
      <c r="U2533" s="5" t="e">
        <f t="shared" si="198"/>
        <v>#N/A</v>
      </c>
      <c r="V2533" s="23" t="e">
        <f t="shared" si="199"/>
        <v>#N/A</v>
      </c>
    </row>
    <row r="2534" spans="2:22" x14ac:dyDescent="0.25">
      <c r="B2534" s="16">
        <v>1</v>
      </c>
      <c r="C2534" s="7">
        <v>1</v>
      </c>
      <c r="D2534" s="8">
        <v>0</v>
      </c>
      <c r="E2534" s="8">
        <v>0</v>
      </c>
      <c r="F2534" s="8">
        <v>0</v>
      </c>
      <c r="G2534" s="8">
        <v>1</v>
      </c>
      <c r="H2534" s="8">
        <v>1</v>
      </c>
      <c r="I2534" s="8">
        <v>1</v>
      </c>
      <c r="J2534" s="8">
        <v>1</v>
      </c>
      <c r="K2534" s="9">
        <v>0</v>
      </c>
      <c r="L2534" s="10">
        <v>0</v>
      </c>
      <c r="M2534" s="6">
        <v>1</v>
      </c>
      <c r="N2534" s="37" t="e" cm="1">
        <f t="array" ref="N2534">IF(OR(ISNUMBER(FIND(Aux!$D$3:$D$9,_xlfn.TEXTJOIN(,,C2534:K2534)))),NA(),IF(AND(SUM(C2534:F2534,H2534:K2534)=0,G2534=1),0,INT((SUMPRODUCT(C2534:F2534,COLUMN($A$1:$D$1)-1)+SUMPRODUCT(H2534:K2534,COLUMN($E$1:$H$1)-1))*'Line Follower'!$C$3/SUM(C2534:F2534,H2534:K2534)-'Line Follower'!$C$5)))</f>
        <v>#N/A</v>
      </c>
      <c r="O2534" s="22" t="e">
        <v>#N/A</v>
      </c>
      <c r="P2534" s="4" t="e">
        <f t="shared" si="195"/>
        <v>#N/A</v>
      </c>
      <c r="Q2534" s="4" t="e">
        <f t="shared" si="196"/>
        <v>#N/A</v>
      </c>
      <c r="R2534" s="4" t="e">
        <f>IF(AND(B2534=1,N2534&gt;'Line Follower'!$C$7,SUM(C2534:K2534)&lt;4),1,0)</f>
        <v>#N/A</v>
      </c>
      <c r="S2534" s="4" t="e">
        <f>IF(AND(L2534=1,N2534&lt;'Line Follower'!$C$6,SUM(C2534:K2534)&lt;4),1,0)</f>
        <v>#N/A</v>
      </c>
      <c r="T2534" s="4" t="e">
        <f t="shared" si="197"/>
        <v>#N/A</v>
      </c>
      <c r="U2534" s="5" t="e">
        <f t="shared" si="198"/>
        <v>#N/A</v>
      </c>
      <c r="V2534" s="23" t="e">
        <f t="shared" si="199"/>
        <v>#N/A</v>
      </c>
    </row>
    <row r="2535" spans="2:22" x14ac:dyDescent="0.25">
      <c r="B2535" s="16">
        <v>0</v>
      </c>
      <c r="C2535" s="7">
        <v>0</v>
      </c>
      <c r="D2535" s="8">
        <v>1</v>
      </c>
      <c r="E2535" s="8">
        <v>0</v>
      </c>
      <c r="F2535" s="8">
        <v>0</v>
      </c>
      <c r="G2535" s="8">
        <v>1</v>
      </c>
      <c r="H2535" s="8">
        <v>1</v>
      </c>
      <c r="I2535" s="8">
        <v>1</v>
      </c>
      <c r="J2535" s="8">
        <v>1</v>
      </c>
      <c r="K2535" s="9">
        <v>0</v>
      </c>
      <c r="L2535" s="10">
        <v>0</v>
      </c>
      <c r="M2535" s="6">
        <v>1</v>
      </c>
      <c r="N2535" s="37" t="e" cm="1">
        <f t="array" ref="N2535">IF(OR(ISNUMBER(FIND(Aux!$D$3:$D$9,_xlfn.TEXTJOIN(,,C2535:K2535)))),NA(),IF(AND(SUM(C2535:F2535,H2535:K2535)=0,G2535=1),0,INT((SUMPRODUCT(C2535:F2535,COLUMN($A$1:$D$1)-1)+SUMPRODUCT(H2535:K2535,COLUMN($E$1:$H$1)-1))*'Line Follower'!$C$3/SUM(C2535:F2535,H2535:K2535)-'Line Follower'!$C$5)))</f>
        <v>#N/A</v>
      </c>
      <c r="O2535" s="22" t="e">
        <v>#N/A</v>
      </c>
      <c r="P2535" s="4" t="e">
        <f t="shared" si="195"/>
        <v>#N/A</v>
      </c>
      <c r="Q2535" s="4" t="e">
        <f t="shared" si="196"/>
        <v>#N/A</v>
      </c>
      <c r="R2535" s="4" t="e">
        <f>IF(AND(B2535=1,N2535&gt;'Line Follower'!$C$7,SUM(C2535:K2535)&lt;4),1,0)</f>
        <v>#N/A</v>
      </c>
      <c r="S2535" s="4" t="e">
        <f>IF(AND(L2535=1,N2535&lt;'Line Follower'!$C$6,SUM(C2535:K2535)&lt;4),1,0)</f>
        <v>#N/A</v>
      </c>
      <c r="T2535" s="4" t="e">
        <f t="shared" si="197"/>
        <v>#N/A</v>
      </c>
      <c r="U2535" s="5" t="e">
        <f t="shared" si="198"/>
        <v>#N/A</v>
      </c>
      <c r="V2535" s="23" t="e">
        <f t="shared" si="199"/>
        <v>#N/A</v>
      </c>
    </row>
    <row r="2536" spans="2:22" x14ac:dyDescent="0.25">
      <c r="B2536" s="16">
        <v>1</v>
      </c>
      <c r="C2536" s="7">
        <v>0</v>
      </c>
      <c r="D2536" s="8">
        <v>1</v>
      </c>
      <c r="E2536" s="8">
        <v>0</v>
      </c>
      <c r="F2536" s="8">
        <v>0</v>
      </c>
      <c r="G2536" s="8">
        <v>1</v>
      </c>
      <c r="H2536" s="8">
        <v>1</v>
      </c>
      <c r="I2536" s="8">
        <v>1</v>
      </c>
      <c r="J2536" s="8">
        <v>1</v>
      </c>
      <c r="K2536" s="9">
        <v>0</v>
      </c>
      <c r="L2536" s="10">
        <v>0</v>
      </c>
      <c r="M2536" s="6">
        <v>1</v>
      </c>
      <c r="N2536" s="37" t="e" cm="1">
        <f t="array" ref="N2536">IF(OR(ISNUMBER(FIND(Aux!$D$3:$D$9,_xlfn.TEXTJOIN(,,C2536:K2536)))),NA(),IF(AND(SUM(C2536:F2536,H2536:K2536)=0,G2536=1),0,INT((SUMPRODUCT(C2536:F2536,COLUMN($A$1:$D$1)-1)+SUMPRODUCT(H2536:K2536,COLUMN($E$1:$H$1)-1))*'Line Follower'!$C$3/SUM(C2536:F2536,H2536:K2536)-'Line Follower'!$C$5)))</f>
        <v>#N/A</v>
      </c>
      <c r="O2536" s="22" t="e">
        <v>#N/A</v>
      </c>
      <c r="P2536" s="4" t="e">
        <f t="shared" si="195"/>
        <v>#N/A</v>
      </c>
      <c r="Q2536" s="4" t="e">
        <f t="shared" si="196"/>
        <v>#N/A</v>
      </c>
      <c r="R2536" s="4" t="e">
        <f>IF(AND(B2536=1,N2536&gt;'Line Follower'!$C$7,SUM(C2536:K2536)&lt;4),1,0)</f>
        <v>#N/A</v>
      </c>
      <c r="S2536" s="4" t="e">
        <f>IF(AND(L2536=1,N2536&lt;'Line Follower'!$C$6,SUM(C2536:K2536)&lt;4),1,0)</f>
        <v>#N/A</v>
      </c>
      <c r="T2536" s="4" t="e">
        <f t="shared" si="197"/>
        <v>#N/A</v>
      </c>
      <c r="U2536" s="5" t="e">
        <f t="shared" si="198"/>
        <v>#N/A</v>
      </c>
      <c r="V2536" s="23" t="e">
        <f t="shared" si="199"/>
        <v>#N/A</v>
      </c>
    </row>
    <row r="2537" spans="2:22" x14ac:dyDescent="0.25">
      <c r="B2537" s="16">
        <v>0</v>
      </c>
      <c r="C2537" s="7">
        <v>1</v>
      </c>
      <c r="D2537" s="8">
        <v>1</v>
      </c>
      <c r="E2537" s="8">
        <v>0</v>
      </c>
      <c r="F2537" s="8">
        <v>0</v>
      </c>
      <c r="G2537" s="8">
        <v>1</v>
      </c>
      <c r="H2537" s="8">
        <v>1</v>
      </c>
      <c r="I2537" s="8">
        <v>1</v>
      </c>
      <c r="J2537" s="8">
        <v>1</v>
      </c>
      <c r="K2537" s="9">
        <v>0</v>
      </c>
      <c r="L2537" s="10">
        <v>0</v>
      </c>
      <c r="M2537" s="6">
        <v>1</v>
      </c>
      <c r="N2537" s="37" t="e" cm="1">
        <f t="array" ref="N2537">IF(OR(ISNUMBER(FIND(Aux!$D$3:$D$9,_xlfn.TEXTJOIN(,,C2537:K2537)))),NA(),IF(AND(SUM(C2537:F2537,H2537:K2537)=0,G2537=1),0,INT((SUMPRODUCT(C2537:F2537,COLUMN($A$1:$D$1)-1)+SUMPRODUCT(H2537:K2537,COLUMN($E$1:$H$1)-1))*'Line Follower'!$C$3/SUM(C2537:F2537,H2537:K2537)-'Line Follower'!$C$5)))</f>
        <v>#N/A</v>
      </c>
      <c r="O2537" s="22" t="e">
        <v>#N/A</v>
      </c>
      <c r="P2537" s="4" t="e">
        <f t="shared" si="195"/>
        <v>#N/A</v>
      </c>
      <c r="Q2537" s="4" t="e">
        <f t="shared" si="196"/>
        <v>#N/A</v>
      </c>
      <c r="R2537" s="4" t="e">
        <f>IF(AND(B2537=1,N2537&gt;'Line Follower'!$C$7,SUM(C2537:K2537)&lt;4),1,0)</f>
        <v>#N/A</v>
      </c>
      <c r="S2537" s="4" t="e">
        <f>IF(AND(L2537=1,N2537&lt;'Line Follower'!$C$6,SUM(C2537:K2537)&lt;4),1,0)</f>
        <v>#N/A</v>
      </c>
      <c r="T2537" s="4" t="e">
        <f t="shared" si="197"/>
        <v>#N/A</v>
      </c>
      <c r="U2537" s="5" t="e">
        <f t="shared" si="198"/>
        <v>#N/A</v>
      </c>
      <c r="V2537" s="23" t="e">
        <f t="shared" si="199"/>
        <v>#N/A</v>
      </c>
    </row>
    <row r="2538" spans="2:22" x14ac:dyDescent="0.25">
      <c r="B2538" s="16">
        <v>1</v>
      </c>
      <c r="C2538" s="7">
        <v>1</v>
      </c>
      <c r="D2538" s="8">
        <v>1</v>
      </c>
      <c r="E2538" s="8">
        <v>0</v>
      </c>
      <c r="F2538" s="8">
        <v>0</v>
      </c>
      <c r="G2538" s="8">
        <v>1</v>
      </c>
      <c r="H2538" s="8">
        <v>1</v>
      </c>
      <c r="I2538" s="8">
        <v>1</v>
      </c>
      <c r="J2538" s="8">
        <v>1</v>
      </c>
      <c r="K2538" s="9">
        <v>0</v>
      </c>
      <c r="L2538" s="10">
        <v>0</v>
      </c>
      <c r="M2538" s="6">
        <v>1</v>
      </c>
      <c r="N2538" s="37" t="e" cm="1">
        <f t="array" ref="N2538">IF(OR(ISNUMBER(FIND(Aux!$D$3:$D$9,_xlfn.TEXTJOIN(,,C2538:K2538)))),NA(),IF(AND(SUM(C2538:F2538,H2538:K2538)=0,G2538=1),0,INT((SUMPRODUCT(C2538:F2538,COLUMN($A$1:$D$1)-1)+SUMPRODUCT(H2538:K2538,COLUMN($E$1:$H$1)-1))*'Line Follower'!$C$3/SUM(C2538:F2538,H2538:K2538)-'Line Follower'!$C$5)))</f>
        <v>#N/A</v>
      </c>
      <c r="O2538" s="22" t="e">
        <v>#N/A</v>
      </c>
      <c r="P2538" s="4" t="e">
        <f t="shared" si="195"/>
        <v>#N/A</v>
      </c>
      <c r="Q2538" s="4" t="e">
        <f t="shared" si="196"/>
        <v>#N/A</v>
      </c>
      <c r="R2538" s="4" t="e">
        <f>IF(AND(B2538=1,N2538&gt;'Line Follower'!$C$7,SUM(C2538:K2538)&lt;4),1,0)</f>
        <v>#N/A</v>
      </c>
      <c r="S2538" s="4" t="e">
        <f>IF(AND(L2538=1,N2538&lt;'Line Follower'!$C$6,SUM(C2538:K2538)&lt;4),1,0)</f>
        <v>#N/A</v>
      </c>
      <c r="T2538" s="4" t="e">
        <f t="shared" si="197"/>
        <v>#N/A</v>
      </c>
      <c r="U2538" s="5" t="e">
        <f t="shared" si="198"/>
        <v>#N/A</v>
      </c>
      <c r="V2538" s="23" t="e">
        <f t="shared" si="199"/>
        <v>#N/A</v>
      </c>
    </row>
    <row r="2539" spans="2:22" x14ac:dyDescent="0.25">
      <c r="B2539" s="16">
        <v>0</v>
      </c>
      <c r="C2539" s="7">
        <v>0</v>
      </c>
      <c r="D2539" s="8">
        <v>0</v>
      </c>
      <c r="E2539" s="8">
        <v>1</v>
      </c>
      <c r="F2539" s="8">
        <v>0</v>
      </c>
      <c r="G2539" s="8">
        <v>1</v>
      </c>
      <c r="H2539" s="8">
        <v>1</v>
      </c>
      <c r="I2539" s="8">
        <v>1</v>
      </c>
      <c r="J2539" s="8">
        <v>1</v>
      </c>
      <c r="K2539" s="9">
        <v>0</v>
      </c>
      <c r="L2539" s="10">
        <v>0</v>
      </c>
      <c r="M2539" s="6">
        <v>1</v>
      </c>
      <c r="N2539" s="37" t="e" cm="1">
        <f t="array" ref="N2539">IF(OR(ISNUMBER(FIND(Aux!$D$3:$D$9,_xlfn.TEXTJOIN(,,C2539:K2539)))),NA(),IF(AND(SUM(C2539:F2539,H2539:K2539)=0,G2539=1),0,INT((SUMPRODUCT(C2539:F2539,COLUMN($A$1:$D$1)-1)+SUMPRODUCT(H2539:K2539,COLUMN($E$1:$H$1)-1))*'Line Follower'!$C$3/SUM(C2539:F2539,H2539:K2539)-'Line Follower'!$C$5)))</f>
        <v>#N/A</v>
      </c>
      <c r="O2539" s="22" t="e">
        <v>#N/A</v>
      </c>
      <c r="P2539" s="4" t="e">
        <f t="shared" si="195"/>
        <v>#N/A</v>
      </c>
      <c r="Q2539" s="4" t="e">
        <f t="shared" si="196"/>
        <v>#N/A</v>
      </c>
      <c r="R2539" s="4" t="e">
        <f>IF(AND(B2539=1,N2539&gt;'Line Follower'!$C$7,SUM(C2539:K2539)&lt;4),1,0)</f>
        <v>#N/A</v>
      </c>
      <c r="S2539" s="4" t="e">
        <f>IF(AND(L2539=1,N2539&lt;'Line Follower'!$C$6,SUM(C2539:K2539)&lt;4),1,0)</f>
        <v>#N/A</v>
      </c>
      <c r="T2539" s="4" t="e">
        <f t="shared" si="197"/>
        <v>#N/A</v>
      </c>
      <c r="U2539" s="5" t="e">
        <f t="shared" si="198"/>
        <v>#N/A</v>
      </c>
      <c r="V2539" s="23" t="e">
        <f t="shared" si="199"/>
        <v>#N/A</v>
      </c>
    </row>
    <row r="2540" spans="2:22" x14ac:dyDescent="0.25">
      <c r="B2540" s="16">
        <v>1</v>
      </c>
      <c r="C2540" s="7">
        <v>0</v>
      </c>
      <c r="D2540" s="8">
        <v>0</v>
      </c>
      <c r="E2540" s="8">
        <v>1</v>
      </c>
      <c r="F2540" s="8">
        <v>0</v>
      </c>
      <c r="G2540" s="8">
        <v>1</v>
      </c>
      <c r="H2540" s="8">
        <v>1</v>
      </c>
      <c r="I2540" s="8">
        <v>1</v>
      </c>
      <c r="J2540" s="8">
        <v>1</v>
      </c>
      <c r="K2540" s="9">
        <v>0</v>
      </c>
      <c r="L2540" s="10">
        <v>0</v>
      </c>
      <c r="M2540" s="6">
        <v>1</v>
      </c>
      <c r="N2540" s="37" t="e" cm="1">
        <f t="array" ref="N2540">IF(OR(ISNUMBER(FIND(Aux!$D$3:$D$9,_xlfn.TEXTJOIN(,,C2540:K2540)))),NA(),IF(AND(SUM(C2540:F2540,H2540:K2540)=0,G2540=1),0,INT((SUMPRODUCT(C2540:F2540,COLUMN($A$1:$D$1)-1)+SUMPRODUCT(H2540:K2540,COLUMN($E$1:$H$1)-1))*'Line Follower'!$C$3/SUM(C2540:F2540,H2540:K2540)-'Line Follower'!$C$5)))</f>
        <v>#N/A</v>
      </c>
      <c r="O2540" s="22" t="e">
        <v>#N/A</v>
      </c>
      <c r="P2540" s="4" t="e">
        <f t="shared" si="195"/>
        <v>#N/A</v>
      </c>
      <c r="Q2540" s="4" t="e">
        <f t="shared" si="196"/>
        <v>#N/A</v>
      </c>
      <c r="R2540" s="4" t="e">
        <f>IF(AND(B2540=1,N2540&gt;'Line Follower'!$C$7,SUM(C2540:K2540)&lt;4),1,0)</f>
        <v>#N/A</v>
      </c>
      <c r="S2540" s="4" t="e">
        <f>IF(AND(L2540=1,N2540&lt;'Line Follower'!$C$6,SUM(C2540:K2540)&lt;4),1,0)</f>
        <v>#N/A</v>
      </c>
      <c r="T2540" s="4" t="e">
        <f t="shared" si="197"/>
        <v>#N/A</v>
      </c>
      <c r="U2540" s="5" t="e">
        <f t="shared" si="198"/>
        <v>#N/A</v>
      </c>
      <c r="V2540" s="23" t="e">
        <f t="shared" si="199"/>
        <v>#N/A</v>
      </c>
    </row>
    <row r="2541" spans="2:22" x14ac:dyDescent="0.25">
      <c r="B2541" s="16">
        <v>0</v>
      </c>
      <c r="C2541" s="7">
        <v>1</v>
      </c>
      <c r="D2541" s="8">
        <v>0</v>
      </c>
      <c r="E2541" s="8">
        <v>1</v>
      </c>
      <c r="F2541" s="8">
        <v>0</v>
      </c>
      <c r="G2541" s="8">
        <v>1</v>
      </c>
      <c r="H2541" s="8">
        <v>1</v>
      </c>
      <c r="I2541" s="8">
        <v>1</v>
      </c>
      <c r="J2541" s="8">
        <v>1</v>
      </c>
      <c r="K2541" s="9">
        <v>0</v>
      </c>
      <c r="L2541" s="10">
        <v>0</v>
      </c>
      <c r="M2541" s="6">
        <v>1</v>
      </c>
      <c r="N2541" s="37" t="e" cm="1">
        <f t="array" ref="N2541">IF(OR(ISNUMBER(FIND(Aux!$D$3:$D$9,_xlfn.TEXTJOIN(,,C2541:K2541)))),NA(),IF(AND(SUM(C2541:F2541,H2541:K2541)=0,G2541=1),0,INT((SUMPRODUCT(C2541:F2541,COLUMN($A$1:$D$1)-1)+SUMPRODUCT(H2541:K2541,COLUMN($E$1:$H$1)-1))*'Line Follower'!$C$3/SUM(C2541:F2541,H2541:K2541)-'Line Follower'!$C$5)))</f>
        <v>#N/A</v>
      </c>
      <c r="O2541" s="22" t="e">
        <v>#N/A</v>
      </c>
      <c r="P2541" s="4" t="e">
        <f t="shared" si="195"/>
        <v>#N/A</v>
      </c>
      <c r="Q2541" s="4" t="e">
        <f t="shared" si="196"/>
        <v>#N/A</v>
      </c>
      <c r="R2541" s="4" t="e">
        <f>IF(AND(B2541=1,N2541&gt;'Line Follower'!$C$7,SUM(C2541:K2541)&lt;4),1,0)</f>
        <v>#N/A</v>
      </c>
      <c r="S2541" s="4" t="e">
        <f>IF(AND(L2541=1,N2541&lt;'Line Follower'!$C$6,SUM(C2541:K2541)&lt;4),1,0)</f>
        <v>#N/A</v>
      </c>
      <c r="T2541" s="4" t="e">
        <f t="shared" si="197"/>
        <v>#N/A</v>
      </c>
      <c r="U2541" s="5" t="e">
        <f t="shared" si="198"/>
        <v>#N/A</v>
      </c>
      <c r="V2541" s="23" t="e">
        <f t="shared" si="199"/>
        <v>#N/A</v>
      </c>
    </row>
    <row r="2542" spans="2:22" x14ac:dyDescent="0.25">
      <c r="B2542" s="16">
        <v>1</v>
      </c>
      <c r="C2542" s="7">
        <v>1</v>
      </c>
      <c r="D2542" s="8">
        <v>0</v>
      </c>
      <c r="E2542" s="8">
        <v>1</v>
      </c>
      <c r="F2542" s="8">
        <v>0</v>
      </c>
      <c r="G2542" s="8">
        <v>1</v>
      </c>
      <c r="H2542" s="8">
        <v>1</v>
      </c>
      <c r="I2542" s="8">
        <v>1</v>
      </c>
      <c r="J2542" s="8">
        <v>1</v>
      </c>
      <c r="K2542" s="9">
        <v>0</v>
      </c>
      <c r="L2542" s="10">
        <v>0</v>
      </c>
      <c r="M2542" s="6">
        <v>1</v>
      </c>
      <c r="N2542" s="37" t="e" cm="1">
        <f t="array" ref="N2542">IF(OR(ISNUMBER(FIND(Aux!$D$3:$D$9,_xlfn.TEXTJOIN(,,C2542:K2542)))),NA(),IF(AND(SUM(C2542:F2542,H2542:K2542)=0,G2542=1),0,INT((SUMPRODUCT(C2542:F2542,COLUMN($A$1:$D$1)-1)+SUMPRODUCT(H2542:K2542,COLUMN($E$1:$H$1)-1))*'Line Follower'!$C$3/SUM(C2542:F2542,H2542:K2542)-'Line Follower'!$C$5)))</f>
        <v>#N/A</v>
      </c>
      <c r="O2542" s="22" t="e">
        <v>#N/A</v>
      </c>
      <c r="P2542" s="4" t="e">
        <f t="shared" si="195"/>
        <v>#N/A</v>
      </c>
      <c r="Q2542" s="4" t="e">
        <f t="shared" si="196"/>
        <v>#N/A</v>
      </c>
      <c r="R2542" s="4" t="e">
        <f>IF(AND(B2542=1,N2542&gt;'Line Follower'!$C$7,SUM(C2542:K2542)&lt;4),1,0)</f>
        <v>#N/A</v>
      </c>
      <c r="S2542" s="4" t="e">
        <f>IF(AND(L2542=1,N2542&lt;'Line Follower'!$C$6,SUM(C2542:K2542)&lt;4),1,0)</f>
        <v>#N/A</v>
      </c>
      <c r="T2542" s="4" t="e">
        <f t="shared" si="197"/>
        <v>#N/A</v>
      </c>
      <c r="U2542" s="5" t="e">
        <f t="shared" si="198"/>
        <v>#N/A</v>
      </c>
      <c r="V2542" s="23" t="e">
        <f t="shared" si="199"/>
        <v>#N/A</v>
      </c>
    </row>
    <row r="2543" spans="2:22" x14ac:dyDescent="0.25">
      <c r="B2543" s="16">
        <v>0</v>
      </c>
      <c r="C2543" s="7">
        <v>0</v>
      </c>
      <c r="D2543" s="8">
        <v>1</v>
      </c>
      <c r="E2543" s="8">
        <v>1</v>
      </c>
      <c r="F2543" s="8">
        <v>0</v>
      </c>
      <c r="G2543" s="8">
        <v>1</v>
      </c>
      <c r="H2543" s="8">
        <v>1</v>
      </c>
      <c r="I2543" s="8">
        <v>1</v>
      </c>
      <c r="J2543" s="8">
        <v>1</v>
      </c>
      <c r="K2543" s="9">
        <v>0</v>
      </c>
      <c r="L2543" s="10">
        <v>0</v>
      </c>
      <c r="M2543" s="6">
        <v>1</v>
      </c>
      <c r="N2543" s="37" t="e" cm="1">
        <f t="array" ref="N2543">IF(OR(ISNUMBER(FIND(Aux!$D$3:$D$9,_xlfn.TEXTJOIN(,,C2543:K2543)))),NA(),IF(AND(SUM(C2543:F2543,H2543:K2543)=0,G2543=1),0,INT((SUMPRODUCT(C2543:F2543,COLUMN($A$1:$D$1)-1)+SUMPRODUCT(H2543:K2543,COLUMN($E$1:$H$1)-1))*'Line Follower'!$C$3/SUM(C2543:F2543,H2543:K2543)-'Line Follower'!$C$5)))</f>
        <v>#N/A</v>
      </c>
      <c r="O2543" s="22" t="e">
        <v>#N/A</v>
      </c>
      <c r="P2543" s="4" t="e">
        <f t="shared" si="195"/>
        <v>#N/A</v>
      </c>
      <c r="Q2543" s="4" t="e">
        <f t="shared" si="196"/>
        <v>#N/A</v>
      </c>
      <c r="R2543" s="4" t="e">
        <f>IF(AND(B2543=1,N2543&gt;'Line Follower'!$C$7,SUM(C2543:K2543)&lt;4),1,0)</f>
        <v>#N/A</v>
      </c>
      <c r="S2543" s="4" t="e">
        <f>IF(AND(L2543=1,N2543&lt;'Line Follower'!$C$6,SUM(C2543:K2543)&lt;4),1,0)</f>
        <v>#N/A</v>
      </c>
      <c r="T2543" s="4" t="e">
        <f t="shared" si="197"/>
        <v>#N/A</v>
      </c>
      <c r="U2543" s="5" t="e">
        <f t="shared" si="198"/>
        <v>#N/A</v>
      </c>
      <c r="V2543" s="23" t="e">
        <f t="shared" si="199"/>
        <v>#N/A</v>
      </c>
    </row>
    <row r="2544" spans="2:22" x14ac:dyDescent="0.25">
      <c r="B2544" s="16">
        <v>1</v>
      </c>
      <c r="C2544" s="7">
        <v>0</v>
      </c>
      <c r="D2544" s="8">
        <v>1</v>
      </c>
      <c r="E2544" s="8">
        <v>1</v>
      </c>
      <c r="F2544" s="8">
        <v>0</v>
      </c>
      <c r="G2544" s="8">
        <v>1</v>
      </c>
      <c r="H2544" s="8">
        <v>1</v>
      </c>
      <c r="I2544" s="8">
        <v>1</v>
      </c>
      <c r="J2544" s="8">
        <v>1</v>
      </c>
      <c r="K2544" s="9">
        <v>0</v>
      </c>
      <c r="L2544" s="10">
        <v>0</v>
      </c>
      <c r="M2544" s="6">
        <v>1</v>
      </c>
      <c r="N2544" s="37" t="e" cm="1">
        <f t="array" ref="N2544">IF(OR(ISNUMBER(FIND(Aux!$D$3:$D$9,_xlfn.TEXTJOIN(,,C2544:K2544)))),NA(),IF(AND(SUM(C2544:F2544,H2544:K2544)=0,G2544=1),0,INT((SUMPRODUCT(C2544:F2544,COLUMN($A$1:$D$1)-1)+SUMPRODUCT(H2544:K2544,COLUMN($E$1:$H$1)-1))*'Line Follower'!$C$3/SUM(C2544:F2544,H2544:K2544)-'Line Follower'!$C$5)))</f>
        <v>#N/A</v>
      </c>
      <c r="O2544" s="22" t="e">
        <v>#N/A</v>
      </c>
      <c r="P2544" s="4" t="e">
        <f t="shared" si="195"/>
        <v>#N/A</v>
      </c>
      <c r="Q2544" s="4" t="e">
        <f t="shared" si="196"/>
        <v>#N/A</v>
      </c>
      <c r="R2544" s="4" t="e">
        <f>IF(AND(B2544=1,N2544&gt;'Line Follower'!$C$7,SUM(C2544:K2544)&lt;4),1,0)</f>
        <v>#N/A</v>
      </c>
      <c r="S2544" s="4" t="e">
        <f>IF(AND(L2544=1,N2544&lt;'Line Follower'!$C$6,SUM(C2544:K2544)&lt;4),1,0)</f>
        <v>#N/A</v>
      </c>
      <c r="T2544" s="4" t="e">
        <f t="shared" si="197"/>
        <v>#N/A</v>
      </c>
      <c r="U2544" s="5" t="e">
        <f t="shared" si="198"/>
        <v>#N/A</v>
      </c>
      <c r="V2544" s="23" t="e">
        <f t="shared" si="199"/>
        <v>#N/A</v>
      </c>
    </row>
    <row r="2545" spans="2:22" x14ac:dyDescent="0.25">
      <c r="B2545" s="16">
        <v>0</v>
      </c>
      <c r="C2545" s="7">
        <v>1</v>
      </c>
      <c r="D2545" s="8">
        <v>1</v>
      </c>
      <c r="E2545" s="8">
        <v>1</v>
      </c>
      <c r="F2545" s="8">
        <v>0</v>
      </c>
      <c r="G2545" s="8">
        <v>1</v>
      </c>
      <c r="H2545" s="8">
        <v>1</v>
      </c>
      <c r="I2545" s="8">
        <v>1</v>
      </c>
      <c r="J2545" s="8">
        <v>1</v>
      </c>
      <c r="K2545" s="9">
        <v>0</v>
      </c>
      <c r="L2545" s="10">
        <v>0</v>
      </c>
      <c r="M2545" s="6">
        <v>1</v>
      </c>
      <c r="N2545" s="37" t="e" cm="1">
        <f t="array" ref="N2545">IF(OR(ISNUMBER(FIND(Aux!$D$3:$D$9,_xlfn.TEXTJOIN(,,C2545:K2545)))),NA(),IF(AND(SUM(C2545:F2545,H2545:K2545)=0,G2545=1),0,INT((SUMPRODUCT(C2545:F2545,COLUMN($A$1:$D$1)-1)+SUMPRODUCT(H2545:K2545,COLUMN($E$1:$H$1)-1))*'Line Follower'!$C$3/SUM(C2545:F2545,H2545:K2545)-'Line Follower'!$C$5)))</f>
        <v>#N/A</v>
      </c>
      <c r="O2545" s="22" t="e">
        <v>#N/A</v>
      </c>
      <c r="P2545" s="4" t="e">
        <f t="shared" si="195"/>
        <v>#N/A</v>
      </c>
      <c r="Q2545" s="4" t="e">
        <f t="shared" si="196"/>
        <v>#N/A</v>
      </c>
      <c r="R2545" s="4" t="e">
        <f>IF(AND(B2545=1,N2545&gt;'Line Follower'!$C$7,SUM(C2545:K2545)&lt;4),1,0)</f>
        <v>#N/A</v>
      </c>
      <c r="S2545" s="4" t="e">
        <f>IF(AND(L2545=1,N2545&lt;'Line Follower'!$C$6,SUM(C2545:K2545)&lt;4),1,0)</f>
        <v>#N/A</v>
      </c>
      <c r="T2545" s="4" t="e">
        <f t="shared" si="197"/>
        <v>#N/A</v>
      </c>
      <c r="U2545" s="5" t="e">
        <f t="shared" si="198"/>
        <v>#N/A</v>
      </c>
      <c r="V2545" s="23" t="e">
        <f t="shared" si="199"/>
        <v>#N/A</v>
      </c>
    </row>
    <row r="2546" spans="2:22" x14ac:dyDescent="0.25">
      <c r="B2546" s="16">
        <v>1</v>
      </c>
      <c r="C2546" s="7">
        <v>1</v>
      </c>
      <c r="D2546" s="8">
        <v>1</v>
      </c>
      <c r="E2546" s="8">
        <v>1</v>
      </c>
      <c r="F2546" s="8">
        <v>0</v>
      </c>
      <c r="G2546" s="8">
        <v>1</v>
      </c>
      <c r="H2546" s="8">
        <v>1</v>
      </c>
      <c r="I2546" s="8">
        <v>1</v>
      </c>
      <c r="J2546" s="8">
        <v>1</v>
      </c>
      <c r="K2546" s="9">
        <v>0</v>
      </c>
      <c r="L2546" s="10">
        <v>0</v>
      </c>
      <c r="M2546" s="6">
        <v>1</v>
      </c>
      <c r="N2546" s="37" t="e" cm="1">
        <f t="array" ref="N2546">IF(OR(ISNUMBER(FIND(Aux!$D$3:$D$9,_xlfn.TEXTJOIN(,,C2546:K2546)))),NA(),IF(AND(SUM(C2546:F2546,H2546:K2546)=0,G2546=1),0,INT((SUMPRODUCT(C2546:F2546,COLUMN($A$1:$D$1)-1)+SUMPRODUCT(H2546:K2546,COLUMN($E$1:$H$1)-1))*'Line Follower'!$C$3/SUM(C2546:F2546,H2546:K2546)-'Line Follower'!$C$5)))</f>
        <v>#N/A</v>
      </c>
      <c r="O2546" s="22" t="e">
        <v>#N/A</v>
      </c>
      <c r="P2546" s="4" t="e">
        <f t="shared" si="195"/>
        <v>#N/A</v>
      </c>
      <c r="Q2546" s="4" t="e">
        <f t="shared" si="196"/>
        <v>#N/A</v>
      </c>
      <c r="R2546" s="4" t="e">
        <f>IF(AND(B2546=1,N2546&gt;'Line Follower'!$C$7,SUM(C2546:K2546)&lt;4),1,0)</f>
        <v>#N/A</v>
      </c>
      <c r="S2546" s="4" t="e">
        <f>IF(AND(L2546=1,N2546&lt;'Line Follower'!$C$6,SUM(C2546:K2546)&lt;4),1,0)</f>
        <v>#N/A</v>
      </c>
      <c r="T2546" s="4" t="e">
        <f t="shared" si="197"/>
        <v>#N/A</v>
      </c>
      <c r="U2546" s="5" t="e">
        <f t="shared" si="198"/>
        <v>#N/A</v>
      </c>
      <c r="V2546" s="23" t="e">
        <f t="shared" si="199"/>
        <v>#N/A</v>
      </c>
    </row>
    <row r="2547" spans="2:22" x14ac:dyDescent="0.25">
      <c r="B2547" s="16">
        <v>0</v>
      </c>
      <c r="C2547" s="7">
        <v>0</v>
      </c>
      <c r="D2547" s="8">
        <v>0</v>
      </c>
      <c r="E2547" s="8">
        <v>0</v>
      </c>
      <c r="F2547" s="8">
        <v>1</v>
      </c>
      <c r="G2547" s="8">
        <v>1</v>
      </c>
      <c r="H2547" s="8">
        <v>1</v>
      </c>
      <c r="I2547" s="8">
        <v>1</v>
      </c>
      <c r="J2547" s="8">
        <v>1</v>
      </c>
      <c r="K2547" s="9">
        <v>0</v>
      </c>
      <c r="L2547" s="10">
        <v>0</v>
      </c>
      <c r="M2547" s="6">
        <v>1</v>
      </c>
      <c r="N2547" s="37" cm="1">
        <f t="array" ref="N2547">IF(OR(ISNUMBER(FIND(Aux!$D$3:$D$9,_xlfn.TEXTJOIN(,,C2547:K2547)))),NA(),IF(AND(SUM(C2547:F2547,H2547:K2547)=0,G2547=1),0,INT((SUMPRODUCT(C2547:F2547,COLUMN($A$1:$D$1)-1)+SUMPRODUCT(H2547:K2547,COLUMN($E$1:$H$1)-1))*'Line Follower'!$C$3/SUM(C2547:F2547,H2547:K2547)-'Line Follower'!$C$5)))</f>
        <v>2</v>
      </c>
      <c r="O2547" s="22">
        <v>1</v>
      </c>
      <c r="P2547" s="4">
        <f t="shared" si="195"/>
        <v>0</v>
      </c>
      <c r="Q2547" s="4">
        <f t="shared" si="196"/>
        <v>1</v>
      </c>
      <c r="R2547" s="4">
        <f>IF(AND(B2547=1,N2547&gt;'Line Follower'!$C$7,SUM(C2547:K2547)&lt;4),1,0)</f>
        <v>0</v>
      </c>
      <c r="S2547" s="4">
        <f>IF(AND(L2547=1,N2547&lt;'Line Follower'!$C$6,SUM(C2547:K2547)&lt;4),1,0)</f>
        <v>0</v>
      </c>
      <c r="T2547" s="4">
        <f t="shared" si="197"/>
        <v>0</v>
      </c>
      <c r="U2547" s="5">
        <f t="shared" si="198"/>
        <v>0</v>
      </c>
      <c r="V2547" s="23">
        <f t="shared" si="199"/>
        <v>0</v>
      </c>
    </row>
    <row r="2548" spans="2:22" x14ac:dyDescent="0.25">
      <c r="B2548" s="16">
        <v>1</v>
      </c>
      <c r="C2548" s="7">
        <v>0</v>
      </c>
      <c r="D2548" s="8">
        <v>0</v>
      </c>
      <c r="E2548" s="8">
        <v>0</v>
      </c>
      <c r="F2548" s="8">
        <v>1</v>
      </c>
      <c r="G2548" s="8">
        <v>1</v>
      </c>
      <c r="H2548" s="8">
        <v>1</v>
      </c>
      <c r="I2548" s="8">
        <v>1</v>
      </c>
      <c r="J2548" s="8">
        <v>1</v>
      </c>
      <c r="K2548" s="9">
        <v>0</v>
      </c>
      <c r="L2548" s="10">
        <v>0</v>
      </c>
      <c r="M2548" s="6">
        <v>1</v>
      </c>
      <c r="N2548" s="37" cm="1">
        <f t="array" ref="N2548">IF(OR(ISNUMBER(FIND(Aux!$D$3:$D$9,_xlfn.TEXTJOIN(,,C2548:K2548)))),NA(),IF(AND(SUM(C2548:F2548,H2548:K2548)=0,G2548=1),0,INT((SUMPRODUCT(C2548:F2548,COLUMN($A$1:$D$1)-1)+SUMPRODUCT(H2548:K2548,COLUMN($E$1:$H$1)-1))*'Line Follower'!$C$3/SUM(C2548:F2548,H2548:K2548)-'Line Follower'!$C$5)))</f>
        <v>2</v>
      </c>
      <c r="O2548" s="22">
        <v>1</v>
      </c>
      <c r="P2548" s="4">
        <f t="shared" si="195"/>
        <v>0</v>
      </c>
      <c r="Q2548" s="4">
        <f t="shared" si="196"/>
        <v>1</v>
      </c>
      <c r="R2548" s="4">
        <f>IF(AND(B2548=1,N2548&gt;'Line Follower'!$C$7,SUM(C2548:K2548)&lt;4),1,0)</f>
        <v>0</v>
      </c>
      <c r="S2548" s="4">
        <f>IF(AND(L2548=1,N2548&lt;'Line Follower'!$C$6,SUM(C2548:K2548)&lt;4),1,0)</f>
        <v>0</v>
      </c>
      <c r="T2548" s="4">
        <f t="shared" si="197"/>
        <v>0</v>
      </c>
      <c r="U2548" s="5">
        <f t="shared" si="198"/>
        <v>0</v>
      </c>
      <c r="V2548" s="23">
        <f t="shared" si="199"/>
        <v>0</v>
      </c>
    </row>
    <row r="2549" spans="2:22" x14ac:dyDescent="0.25">
      <c r="B2549" s="16">
        <v>0</v>
      </c>
      <c r="C2549" s="7">
        <v>1</v>
      </c>
      <c r="D2549" s="8">
        <v>0</v>
      </c>
      <c r="E2549" s="8">
        <v>0</v>
      </c>
      <c r="F2549" s="8">
        <v>1</v>
      </c>
      <c r="G2549" s="8">
        <v>1</v>
      </c>
      <c r="H2549" s="8">
        <v>1</v>
      </c>
      <c r="I2549" s="8">
        <v>1</v>
      </c>
      <c r="J2549" s="8">
        <v>1</v>
      </c>
      <c r="K2549" s="9">
        <v>0</v>
      </c>
      <c r="L2549" s="10">
        <v>0</v>
      </c>
      <c r="M2549" s="6">
        <v>1</v>
      </c>
      <c r="N2549" s="37" t="e" cm="1">
        <f t="array" ref="N2549">IF(OR(ISNUMBER(FIND(Aux!$D$3:$D$9,_xlfn.TEXTJOIN(,,C2549:K2549)))),NA(),IF(AND(SUM(C2549:F2549,H2549:K2549)=0,G2549=1),0,INT((SUMPRODUCT(C2549:F2549,COLUMN($A$1:$D$1)-1)+SUMPRODUCT(H2549:K2549,COLUMN($E$1:$H$1)-1))*'Line Follower'!$C$3/SUM(C2549:F2549,H2549:K2549)-'Line Follower'!$C$5)))</f>
        <v>#N/A</v>
      </c>
      <c r="O2549" s="22" t="e">
        <v>#N/A</v>
      </c>
      <c r="P2549" s="4" t="e">
        <f t="shared" si="195"/>
        <v>#N/A</v>
      </c>
      <c r="Q2549" s="4" t="e">
        <f t="shared" si="196"/>
        <v>#N/A</v>
      </c>
      <c r="R2549" s="4" t="e">
        <f>IF(AND(B2549=1,N2549&gt;'Line Follower'!$C$7,SUM(C2549:K2549)&lt;4),1,0)</f>
        <v>#N/A</v>
      </c>
      <c r="S2549" s="4" t="e">
        <f>IF(AND(L2549=1,N2549&lt;'Line Follower'!$C$6,SUM(C2549:K2549)&lt;4),1,0)</f>
        <v>#N/A</v>
      </c>
      <c r="T2549" s="4" t="e">
        <f t="shared" si="197"/>
        <v>#N/A</v>
      </c>
      <c r="U2549" s="5" t="e">
        <f t="shared" si="198"/>
        <v>#N/A</v>
      </c>
      <c r="V2549" s="23" t="e">
        <f t="shared" si="199"/>
        <v>#N/A</v>
      </c>
    </row>
    <row r="2550" spans="2:22" x14ac:dyDescent="0.25">
      <c r="B2550" s="16">
        <v>1</v>
      </c>
      <c r="C2550" s="7">
        <v>1</v>
      </c>
      <c r="D2550" s="8">
        <v>0</v>
      </c>
      <c r="E2550" s="8">
        <v>0</v>
      </c>
      <c r="F2550" s="8">
        <v>1</v>
      </c>
      <c r="G2550" s="8">
        <v>1</v>
      </c>
      <c r="H2550" s="8">
        <v>1</v>
      </c>
      <c r="I2550" s="8">
        <v>1</v>
      </c>
      <c r="J2550" s="8">
        <v>1</v>
      </c>
      <c r="K2550" s="9">
        <v>0</v>
      </c>
      <c r="L2550" s="10">
        <v>0</v>
      </c>
      <c r="M2550" s="6">
        <v>1</v>
      </c>
      <c r="N2550" s="37" t="e" cm="1">
        <f t="array" ref="N2550">IF(OR(ISNUMBER(FIND(Aux!$D$3:$D$9,_xlfn.TEXTJOIN(,,C2550:K2550)))),NA(),IF(AND(SUM(C2550:F2550,H2550:K2550)=0,G2550=1),0,INT((SUMPRODUCT(C2550:F2550,COLUMN($A$1:$D$1)-1)+SUMPRODUCT(H2550:K2550,COLUMN($E$1:$H$1)-1))*'Line Follower'!$C$3/SUM(C2550:F2550,H2550:K2550)-'Line Follower'!$C$5)))</f>
        <v>#N/A</v>
      </c>
      <c r="O2550" s="22" t="e">
        <v>#N/A</v>
      </c>
      <c r="P2550" s="4" t="e">
        <f t="shared" si="195"/>
        <v>#N/A</v>
      </c>
      <c r="Q2550" s="4" t="e">
        <f t="shared" si="196"/>
        <v>#N/A</v>
      </c>
      <c r="R2550" s="4" t="e">
        <f>IF(AND(B2550=1,N2550&gt;'Line Follower'!$C$7,SUM(C2550:K2550)&lt;4),1,0)</f>
        <v>#N/A</v>
      </c>
      <c r="S2550" s="4" t="e">
        <f>IF(AND(L2550=1,N2550&lt;'Line Follower'!$C$6,SUM(C2550:K2550)&lt;4),1,0)</f>
        <v>#N/A</v>
      </c>
      <c r="T2550" s="4" t="e">
        <f t="shared" si="197"/>
        <v>#N/A</v>
      </c>
      <c r="U2550" s="5" t="e">
        <f t="shared" si="198"/>
        <v>#N/A</v>
      </c>
      <c r="V2550" s="23" t="e">
        <f t="shared" si="199"/>
        <v>#N/A</v>
      </c>
    </row>
    <row r="2551" spans="2:22" x14ac:dyDescent="0.25">
      <c r="B2551" s="16">
        <v>0</v>
      </c>
      <c r="C2551" s="7">
        <v>0</v>
      </c>
      <c r="D2551" s="8">
        <v>1</v>
      </c>
      <c r="E2551" s="8">
        <v>0</v>
      </c>
      <c r="F2551" s="8">
        <v>1</v>
      </c>
      <c r="G2551" s="8">
        <v>1</v>
      </c>
      <c r="H2551" s="8">
        <v>1</v>
      </c>
      <c r="I2551" s="8">
        <v>1</v>
      </c>
      <c r="J2551" s="8">
        <v>1</v>
      </c>
      <c r="K2551" s="9">
        <v>0</v>
      </c>
      <c r="L2551" s="10">
        <v>0</v>
      </c>
      <c r="M2551" s="6">
        <v>1</v>
      </c>
      <c r="N2551" s="37" t="e" cm="1">
        <f t="array" ref="N2551">IF(OR(ISNUMBER(FIND(Aux!$D$3:$D$9,_xlfn.TEXTJOIN(,,C2551:K2551)))),NA(),IF(AND(SUM(C2551:F2551,H2551:K2551)=0,G2551=1),0,INT((SUMPRODUCT(C2551:F2551,COLUMN($A$1:$D$1)-1)+SUMPRODUCT(H2551:K2551,COLUMN($E$1:$H$1)-1))*'Line Follower'!$C$3/SUM(C2551:F2551,H2551:K2551)-'Line Follower'!$C$5)))</f>
        <v>#N/A</v>
      </c>
      <c r="O2551" s="22" t="e">
        <v>#N/A</v>
      </c>
      <c r="P2551" s="4" t="e">
        <f t="shared" si="195"/>
        <v>#N/A</v>
      </c>
      <c r="Q2551" s="4" t="e">
        <f t="shared" si="196"/>
        <v>#N/A</v>
      </c>
      <c r="R2551" s="4" t="e">
        <f>IF(AND(B2551=1,N2551&gt;'Line Follower'!$C$7,SUM(C2551:K2551)&lt;4),1,0)</f>
        <v>#N/A</v>
      </c>
      <c r="S2551" s="4" t="e">
        <f>IF(AND(L2551=1,N2551&lt;'Line Follower'!$C$6,SUM(C2551:K2551)&lt;4),1,0)</f>
        <v>#N/A</v>
      </c>
      <c r="T2551" s="4" t="e">
        <f t="shared" si="197"/>
        <v>#N/A</v>
      </c>
      <c r="U2551" s="5" t="e">
        <f t="shared" si="198"/>
        <v>#N/A</v>
      </c>
      <c r="V2551" s="23" t="e">
        <f t="shared" si="199"/>
        <v>#N/A</v>
      </c>
    </row>
    <row r="2552" spans="2:22" x14ac:dyDescent="0.25">
      <c r="B2552" s="16">
        <v>1</v>
      </c>
      <c r="C2552" s="7">
        <v>0</v>
      </c>
      <c r="D2552" s="8">
        <v>1</v>
      </c>
      <c r="E2552" s="8">
        <v>0</v>
      </c>
      <c r="F2552" s="8">
        <v>1</v>
      </c>
      <c r="G2552" s="8">
        <v>1</v>
      </c>
      <c r="H2552" s="8">
        <v>1</v>
      </c>
      <c r="I2552" s="8">
        <v>1</v>
      </c>
      <c r="J2552" s="8">
        <v>1</v>
      </c>
      <c r="K2552" s="9">
        <v>0</v>
      </c>
      <c r="L2552" s="10">
        <v>0</v>
      </c>
      <c r="M2552" s="6">
        <v>1</v>
      </c>
      <c r="N2552" s="37" t="e" cm="1">
        <f t="array" ref="N2552">IF(OR(ISNUMBER(FIND(Aux!$D$3:$D$9,_xlfn.TEXTJOIN(,,C2552:K2552)))),NA(),IF(AND(SUM(C2552:F2552,H2552:K2552)=0,G2552=1),0,INT((SUMPRODUCT(C2552:F2552,COLUMN($A$1:$D$1)-1)+SUMPRODUCT(H2552:K2552,COLUMN($E$1:$H$1)-1))*'Line Follower'!$C$3/SUM(C2552:F2552,H2552:K2552)-'Line Follower'!$C$5)))</f>
        <v>#N/A</v>
      </c>
      <c r="O2552" s="22" t="e">
        <v>#N/A</v>
      </c>
      <c r="P2552" s="4" t="e">
        <f t="shared" si="195"/>
        <v>#N/A</v>
      </c>
      <c r="Q2552" s="4" t="e">
        <f t="shared" si="196"/>
        <v>#N/A</v>
      </c>
      <c r="R2552" s="4" t="e">
        <f>IF(AND(B2552=1,N2552&gt;'Line Follower'!$C$7,SUM(C2552:K2552)&lt;4),1,0)</f>
        <v>#N/A</v>
      </c>
      <c r="S2552" s="4" t="e">
        <f>IF(AND(L2552=1,N2552&lt;'Line Follower'!$C$6,SUM(C2552:K2552)&lt;4),1,0)</f>
        <v>#N/A</v>
      </c>
      <c r="T2552" s="4" t="e">
        <f t="shared" si="197"/>
        <v>#N/A</v>
      </c>
      <c r="U2552" s="5" t="e">
        <f t="shared" si="198"/>
        <v>#N/A</v>
      </c>
      <c r="V2552" s="23" t="e">
        <f t="shared" si="199"/>
        <v>#N/A</v>
      </c>
    </row>
    <row r="2553" spans="2:22" x14ac:dyDescent="0.25">
      <c r="B2553" s="16">
        <v>0</v>
      </c>
      <c r="C2553" s="7">
        <v>1</v>
      </c>
      <c r="D2553" s="8">
        <v>1</v>
      </c>
      <c r="E2553" s="8">
        <v>0</v>
      </c>
      <c r="F2553" s="8">
        <v>1</v>
      </c>
      <c r="G2553" s="8">
        <v>1</v>
      </c>
      <c r="H2553" s="8">
        <v>1</v>
      </c>
      <c r="I2553" s="8">
        <v>1</v>
      </c>
      <c r="J2553" s="8">
        <v>1</v>
      </c>
      <c r="K2553" s="9">
        <v>0</v>
      </c>
      <c r="L2553" s="10">
        <v>0</v>
      </c>
      <c r="M2553" s="6">
        <v>1</v>
      </c>
      <c r="N2553" s="37" t="e" cm="1">
        <f t="array" ref="N2553">IF(OR(ISNUMBER(FIND(Aux!$D$3:$D$9,_xlfn.TEXTJOIN(,,C2553:K2553)))),NA(),IF(AND(SUM(C2553:F2553,H2553:K2553)=0,G2553=1),0,INT((SUMPRODUCT(C2553:F2553,COLUMN($A$1:$D$1)-1)+SUMPRODUCT(H2553:K2553,COLUMN($E$1:$H$1)-1))*'Line Follower'!$C$3/SUM(C2553:F2553,H2553:K2553)-'Line Follower'!$C$5)))</f>
        <v>#N/A</v>
      </c>
      <c r="O2553" s="22" t="e">
        <v>#N/A</v>
      </c>
      <c r="P2553" s="4" t="e">
        <f t="shared" si="195"/>
        <v>#N/A</v>
      </c>
      <c r="Q2553" s="4" t="e">
        <f t="shared" si="196"/>
        <v>#N/A</v>
      </c>
      <c r="R2553" s="4" t="e">
        <f>IF(AND(B2553=1,N2553&gt;'Line Follower'!$C$7,SUM(C2553:K2553)&lt;4),1,0)</f>
        <v>#N/A</v>
      </c>
      <c r="S2553" s="4" t="e">
        <f>IF(AND(L2553=1,N2553&lt;'Line Follower'!$C$6,SUM(C2553:K2553)&lt;4),1,0)</f>
        <v>#N/A</v>
      </c>
      <c r="T2553" s="4" t="e">
        <f t="shared" si="197"/>
        <v>#N/A</v>
      </c>
      <c r="U2553" s="5" t="e">
        <f t="shared" si="198"/>
        <v>#N/A</v>
      </c>
      <c r="V2553" s="23" t="e">
        <f t="shared" si="199"/>
        <v>#N/A</v>
      </c>
    </row>
    <row r="2554" spans="2:22" x14ac:dyDescent="0.25">
      <c r="B2554" s="16">
        <v>1</v>
      </c>
      <c r="C2554" s="7">
        <v>1</v>
      </c>
      <c r="D2554" s="8">
        <v>1</v>
      </c>
      <c r="E2554" s="8">
        <v>0</v>
      </c>
      <c r="F2554" s="8">
        <v>1</v>
      </c>
      <c r="G2554" s="8">
        <v>1</v>
      </c>
      <c r="H2554" s="8">
        <v>1</v>
      </c>
      <c r="I2554" s="8">
        <v>1</v>
      </c>
      <c r="J2554" s="8">
        <v>1</v>
      </c>
      <c r="K2554" s="9">
        <v>0</v>
      </c>
      <c r="L2554" s="10">
        <v>0</v>
      </c>
      <c r="M2554" s="6">
        <v>1</v>
      </c>
      <c r="N2554" s="37" t="e" cm="1">
        <f t="array" ref="N2554">IF(OR(ISNUMBER(FIND(Aux!$D$3:$D$9,_xlfn.TEXTJOIN(,,C2554:K2554)))),NA(),IF(AND(SUM(C2554:F2554,H2554:K2554)=0,G2554=1),0,INT((SUMPRODUCT(C2554:F2554,COLUMN($A$1:$D$1)-1)+SUMPRODUCT(H2554:K2554,COLUMN($E$1:$H$1)-1))*'Line Follower'!$C$3/SUM(C2554:F2554,H2554:K2554)-'Line Follower'!$C$5)))</f>
        <v>#N/A</v>
      </c>
      <c r="O2554" s="22" t="e">
        <v>#N/A</v>
      </c>
      <c r="P2554" s="4" t="e">
        <f t="shared" si="195"/>
        <v>#N/A</v>
      </c>
      <c r="Q2554" s="4" t="e">
        <f t="shared" si="196"/>
        <v>#N/A</v>
      </c>
      <c r="R2554" s="4" t="e">
        <f>IF(AND(B2554=1,N2554&gt;'Line Follower'!$C$7,SUM(C2554:K2554)&lt;4),1,0)</f>
        <v>#N/A</v>
      </c>
      <c r="S2554" s="4" t="e">
        <f>IF(AND(L2554=1,N2554&lt;'Line Follower'!$C$6,SUM(C2554:K2554)&lt;4),1,0)</f>
        <v>#N/A</v>
      </c>
      <c r="T2554" s="4" t="e">
        <f t="shared" si="197"/>
        <v>#N/A</v>
      </c>
      <c r="U2554" s="5" t="e">
        <f t="shared" si="198"/>
        <v>#N/A</v>
      </c>
      <c r="V2554" s="23" t="e">
        <f t="shared" si="199"/>
        <v>#N/A</v>
      </c>
    </row>
    <row r="2555" spans="2:22" x14ac:dyDescent="0.25">
      <c r="B2555" s="16">
        <v>0</v>
      </c>
      <c r="C2555" s="7">
        <v>0</v>
      </c>
      <c r="D2555" s="8">
        <v>0</v>
      </c>
      <c r="E2555" s="8">
        <v>1</v>
      </c>
      <c r="F2555" s="8">
        <v>1</v>
      </c>
      <c r="G2555" s="8">
        <v>1</v>
      </c>
      <c r="H2555" s="8">
        <v>1</v>
      </c>
      <c r="I2555" s="8">
        <v>1</v>
      </c>
      <c r="J2555" s="8">
        <v>1</v>
      </c>
      <c r="K2555" s="9">
        <v>0</v>
      </c>
      <c r="L2555" s="10">
        <v>0</v>
      </c>
      <c r="M2555" s="6">
        <v>1</v>
      </c>
      <c r="N2555" s="37" cm="1">
        <f t="array" ref="N2555">IF(OR(ISNUMBER(FIND(Aux!$D$3:$D$9,_xlfn.TEXTJOIN(,,C2555:K2555)))),NA(),IF(AND(SUM(C2555:F2555,H2555:K2555)=0,G2555=1),0,INT((SUMPRODUCT(C2555:F2555,COLUMN($A$1:$D$1)-1)+SUMPRODUCT(H2555:K2555,COLUMN($E$1:$H$1)-1))*'Line Follower'!$C$3/SUM(C2555:F2555,H2555:K2555)-'Line Follower'!$C$5)))</f>
        <v>1</v>
      </c>
      <c r="O2555" s="22">
        <v>1</v>
      </c>
      <c r="P2555" s="4">
        <f t="shared" si="195"/>
        <v>0</v>
      </c>
      <c r="Q2555" s="4">
        <f t="shared" si="196"/>
        <v>1</v>
      </c>
      <c r="R2555" s="4">
        <f>IF(AND(B2555=1,N2555&gt;'Line Follower'!$C$7,SUM(C2555:K2555)&lt;4),1,0)</f>
        <v>0</v>
      </c>
      <c r="S2555" s="4">
        <f>IF(AND(L2555=1,N2555&lt;'Line Follower'!$C$6,SUM(C2555:K2555)&lt;4),1,0)</f>
        <v>0</v>
      </c>
      <c r="T2555" s="4">
        <f t="shared" si="197"/>
        <v>0</v>
      </c>
      <c r="U2555" s="5">
        <f t="shared" si="198"/>
        <v>0</v>
      </c>
      <c r="V2555" s="23">
        <f t="shared" si="199"/>
        <v>0</v>
      </c>
    </row>
    <row r="2556" spans="2:22" x14ac:dyDescent="0.25">
      <c r="B2556" s="16">
        <v>1</v>
      </c>
      <c r="C2556" s="7">
        <v>0</v>
      </c>
      <c r="D2556" s="8">
        <v>0</v>
      </c>
      <c r="E2556" s="8">
        <v>1</v>
      </c>
      <c r="F2556" s="8">
        <v>1</v>
      </c>
      <c r="G2556" s="8">
        <v>1</v>
      </c>
      <c r="H2556" s="8">
        <v>1</v>
      </c>
      <c r="I2556" s="8">
        <v>1</v>
      </c>
      <c r="J2556" s="8">
        <v>1</v>
      </c>
      <c r="K2556" s="9">
        <v>0</v>
      </c>
      <c r="L2556" s="10">
        <v>0</v>
      </c>
      <c r="M2556" s="6">
        <v>1</v>
      </c>
      <c r="N2556" s="37" cm="1">
        <f t="array" ref="N2556">IF(OR(ISNUMBER(FIND(Aux!$D$3:$D$9,_xlfn.TEXTJOIN(,,C2556:K2556)))),NA(),IF(AND(SUM(C2556:F2556,H2556:K2556)=0,G2556=1),0,INT((SUMPRODUCT(C2556:F2556,COLUMN($A$1:$D$1)-1)+SUMPRODUCT(H2556:K2556,COLUMN($E$1:$H$1)-1))*'Line Follower'!$C$3/SUM(C2556:F2556,H2556:K2556)-'Line Follower'!$C$5)))</f>
        <v>1</v>
      </c>
      <c r="O2556" s="22">
        <v>1</v>
      </c>
      <c r="P2556" s="4">
        <f t="shared" si="195"/>
        <v>0</v>
      </c>
      <c r="Q2556" s="4">
        <f t="shared" si="196"/>
        <v>1</v>
      </c>
      <c r="R2556" s="4">
        <f>IF(AND(B2556=1,N2556&gt;'Line Follower'!$C$7,SUM(C2556:K2556)&lt;4),1,0)</f>
        <v>0</v>
      </c>
      <c r="S2556" s="4">
        <f>IF(AND(L2556=1,N2556&lt;'Line Follower'!$C$6,SUM(C2556:K2556)&lt;4),1,0)</f>
        <v>0</v>
      </c>
      <c r="T2556" s="4">
        <f t="shared" si="197"/>
        <v>0</v>
      </c>
      <c r="U2556" s="5">
        <f t="shared" si="198"/>
        <v>0</v>
      </c>
      <c r="V2556" s="23">
        <f t="shared" si="199"/>
        <v>0</v>
      </c>
    </row>
    <row r="2557" spans="2:22" x14ac:dyDescent="0.25">
      <c r="B2557" s="16">
        <v>0</v>
      </c>
      <c r="C2557" s="7">
        <v>1</v>
      </c>
      <c r="D2557" s="8">
        <v>0</v>
      </c>
      <c r="E2557" s="8">
        <v>1</v>
      </c>
      <c r="F2557" s="8">
        <v>1</v>
      </c>
      <c r="G2557" s="8">
        <v>1</v>
      </c>
      <c r="H2557" s="8">
        <v>1</v>
      </c>
      <c r="I2557" s="8">
        <v>1</v>
      </c>
      <c r="J2557" s="8">
        <v>1</v>
      </c>
      <c r="K2557" s="9">
        <v>0</v>
      </c>
      <c r="L2557" s="10">
        <v>0</v>
      </c>
      <c r="M2557" s="6">
        <v>1</v>
      </c>
      <c r="N2557" s="37" t="e" cm="1">
        <f t="array" ref="N2557">IF(OR(ISNUMBER(FIND(Aux!$D$3:$D$9,_xlfn.TEXTJOIN(,,C2557:K2557)))),NA(),IF(AND(SUM(C2557:F2557,H2557:K2557)=0,G2557=1),0,INT((SUMPRODUCT(C2557:F2557,COLUMN($A$1:$D$1)-1)+SUMPRODUCT(H2557:K2557,COLUMN($E$1:$H$1)-1))*'Line Follower'!$C$3/SUM(C2557:F2557,H2557:K2557)-'Line Follower'!$C$5)))</f>
        <v>#N/A</v>
      </c>
      <c r="O2557" s="22" t="e">
        <v>#N/A</v>
      </c>
      <c r="P2557" s="4" t="e">
        <f t="shared" si="195"/>
        <v>#N/A</v>
      </c>
      <c r="Q2557" s="4" t="e">
        <f t="shared" si="196"/>
        <v>#N/A</v>
      </c>
      <c r="R2557" s="4" t="e">
        <f>IF(AND(B2557=1,N2557&gt;'Line Follower'!$C$7,SUM(C2557:K2557)&lt;4),1,0)</f>
        <v>#N/A</v>
      </c>
      <c r="S2557" s="4" t="e">
        <f>IF(AND(L2557=1,N2557&lt;'Line Follower'!$C$6,SUM(C2557:K2557)&lt;4),1,0)</f>
        <v>#N/A</v>
      </c>
      <c r="T2557" s="4" t="e">
        <f t="shared" si="197"/>
        <v>#N/A</v>
      </c>
      <c r="U2557" s="5" t="e">
        <f t="shared" si="198"/>
        <v>#N/A</v>
      </c>
      <c r="V2557" s="23" t="e">
        <f t="shared" si="199"/>
        <v>#N/A</v>
      </c>
    </row>
    <row r="2558" spans="2:22" x14ac:dyDescent="0.25">
      <c r="B2558" s="16">
        <v>1</v>
      </c>
      <c r="C2558" s="7">
        <v>1</v>
      </c>
      <c r="D2558" s="8">
        <v>0</v>
      </c>
      <c r="E2558" s="8">
        <v>1</v>
      </c>
      <c r="F2558" s="8">
        <v>1</v>
      </c>
      <c r="G2558" s="8">
        <v>1</v>
      </c>
      <c r="H2558" s="8">
        <v>1</v>
      </c>
      <c r="I2558" s="8">
        <v>1</v>
      </c>
      <c r="J2558" s="8">
        <v>1</v>
      </c>
      <c r="K2558" s="9">
        <v>0</v>
      </c>
      <c r="L2558" s="10">
        <v>0</v>
      </c>
      <c r="M2558" s="6">
        <v>1</v>
      </c>
      <c r="N2558" s="37" t="e" cm="1">
        <f t="array" ref="N2558">IF(OR(ISNUMBER(FIND(Aux!$D$3:$D$9,_xlfn.TEXTJOIN(,,C2558:K2558)))),NA(),IF(AND(SUM(C2558:F2558,H2558:K2558)=0,G2558=1),0,INT((SUMPRODUCT(C2558:F2558,COLUMN($A$1:$D$1)-1)+SUMPRODUCT(H2558:K2558,COLUMN($E$1:$H$1)-1))*'Line Follower'!$C$3/SUM(C2558:F2558,H2558:K2558)-'Line Follower'!$C$5)))</f>
        <v>#N/A</v>
      </c>
      <c r="O2558" s="22" t="e">
        <v>#N/A</v>
      </c>
      <c r="P2558" s="4" t="e">
        <f t="shared" si="195"/>
        <v>#N/A</v>
      </c>
      <c r="Q2558" s="4" t="e">
        <f t="shared" si="196"/>
        <v>#N/A</v>
      </c>
      <c r="R2558" s="4" t="e">
        <f>IF(AND(B2558=1,N2558&gt;'Line Follower'!$C$7,SUM(C2558:K2558)&lt;4),1,0)</f>
        <v>#N/A</v>
      </c>
      <c r="S2558" s="4" t="e">
        <f>IF(AND(L2558=1,N2558&lt;'Line Follower'!$C$6,SUM(C2558:K2558)&lt;4),1,0)</f>
        <v>#N/A</v>
      </c>
      <c r="T2558" s="4" t="e">
        <f t="shared" si="197"/>
        <v>#N/A</v>
      </c>
      <c r="U2558" s="5" t="e">
        <f t="shared" si="198"/>
        <v>#N/A</v>
      </c>
      <c r="V2558" s="23" t="e">
        <f t="shared" si="199"/>
        <v>#N/A</v>
      </c>
    </row>
    <row r="2559" spans="2:22" x14ac:dyDescent="0.25">
      <c r="B2559" s="16">
        <v>0</v>
      </c>
      <c r="C2559" s="7">
        <v>0</v>
      </c>
      <c r="D2559" s="8">
        <v>1</v>
      </c>
      <c r="E2559" s="8">
        <v>1</v>
      </c>
      <c r="F2559" s="8">
        <v>1</v>
      </c>
      <c r="G2559" s="8">
        <v>1</v>
      </c>
      <c r="H2559" s="8">
        <v>1</v>
      </c>
      <c r="I2559" s="8">
        <v>1</v>
      </c>
      <c r="J2559" s="8">
        <v>1</v>
      </c>
      <c r="K2559" s="9">
        <v>0</v>
      </c>
      <c r="L2559" s="10">
        <v>0</v>
      </c>
      <c r="M2559" s="6">
        <v>1</v>
      </c>
      <c r="N2559" s="37" cm="1">
        <f t="array" ref="N2559">IF(OR(ISNUMBER(FIND(Aux!$D$3:$D$9,_xlfn.TEXTJOIN(,,C2559:K2559)))),NA(),IF(AND(SUM(C2559:F2559,H2559:K2559)=0,G2559=1),0,INT((SUMPRODUCT(C2559:F2559,COLUMN($A$1:$D$1)-1)+SUMPRODUCT(H2559:K2559,COLUMN($E$1:$H$1)-1))*'Line Follower'!$C$3/SUM(C2559:F2559,H2559:K2559)-'Line Follower'!$C$5)))</f>
        <v>0</v>
      </c>
      <c r="O2559" s="22">
        <v>1</v>
      </c>
      <c r="P2559" s="4">
        <f t="shared" si="195"/>
        <v>1</v>
      </c>
      <c r="Q2559" s="4">
        <f t="shared" si="196"/>
        <v>1</v>
      </c>
      <c r="R2559" s="4">
        <f>IF(AND(B2559=1,N2559&gt;'Line Follower'!$C$7,SUM(C2559:K2559)&lt;4),1,0)</f>
        <v>0</v>
      </c>
      <c r="S2559" s="4">
        <f>IF(AND(L2559=1,N2559&lt;'Line Follower'!$C$6,SUM(C2559:K2559)&lt;4),1,0)</f>
        <v>0</v>
      </c>
      <c r="T2559" s="4">
        <f t="shared" si="197"/>
        <v>0</v>
      </c>
      <c r="U2559" s="5">
        <f t="shared" si="198"/>
        <v>0</v>
      </c>
      <c r="V2559" s="23">
        <f t="shared" si="199"/>
        <v>0</v>
      </c>
    </row>
    <row r="2560" spans="2:22" x14ac:dyDescent="0.25">
      <c r="B2560" s="16">
        <v>1</v>
      </c>
      <c r="C2560" s="7">
        <v>0</v>
      </c>
      <c r="D2560" s="8">
        <v>1</v>
      </c>
      <c r="E2560" s="8">
        <v>1</v>
      </c>
      <c r="F2560" s="8">
        <v>1</v>
      </c>
      <c r="G2560" s="8">
        <v>1</v>
      </c>
      <c r="H2560" s="8">
        <v>1</v>
      </c>
      <c r="I2560" s="8">
        <v>1</v>
      </c>
      <c r="J2560" s="8">
        <v>1</v>
      </c>
      <c r="K2560" s="9">
        <v>0</v>
      </c>
      <c r="L2560" s="10">
        <v>0</v>
      </c>
      <c r="M2560" s="6">
        <v>1</v>
      </c>
      <c r="N2560" s="37" cm="1">
        <f t="array" ref="N2560">IF(OR(ISNUMBER(FIND(Aux!$D$3:$D$9,_xlfn.TEXTJOIN(,,C2560:K2560)))),NA(),IF(AND(SUM(C2560:F2560,H2560:K2560)=0,G2560=1),0,INT((SUMPRODUCT(C2560:F2560,COLUMN($A$1:$D$1)-1)+SUMPRODUCT(H2560:K2560,COLUMN($E$1:$H$1)-1))*'Line Follower'!$C$3/SUM(C2560:F2560,H2560:K2560)-'Line Follower'!$C$5)))</f>
        <v>0</v>
      </c>
      <c r="O2560" s="22">
        <v>1</v>
      </c>
      <c r="P2560" s="4">
        <f t="shared" si="195"/>
        <v>1</v>
      </c>
      <c r="Q2560" s="4">
        <f t="shared" si="196"/>
        <v>1</v>
      </c>
      <c r="R2560" s="4">
        <f>IF(AND(B2560=1,N2560&gt;'Line Follower'!$C$7,SUM(C2560:K2560)&lt;4),1,0)</f>
        <v>0</v>
      </c>
      <c r="S2560" s="4">
        <f>IF(AND(L2560=1,N2560&lt;'Line Follower'!$C$6,SUM(C2560:K2560)&lt;4),1,0)</f>
        <v>0</v>
      </c>
      <c r="T2560" s="4">
        <f t="shared" si="197"/>
        <v>0</v>
      </c>
      <c r="U2560" s="5">
        <f t="shared" si="198"/>
        <v>0</v>
      </c>
      <c r="V2560" s="23">
        <f t="shared" si="199"/>
        <v>0</v>
      </c>
    </row>
    <row r="2561" spans="2:22" x14ac:dyDescent="0.25">
      <c r="B2561" s="16">
        <v>0</v>
      </c>
      <c r="C2561" s="7">
        <v>1</v>
      </c>
      <c r="D2561" s="8">
        <v>1</v>
      </c>
      <c r="E2561" s="8">
        <v>1</v>
      </c>
      <c r="F2561" s="8">
        <v>1</v>
      </c>
      <c r="G2561" s="8">
        <v>1</v>
      </c>
      <c r="H2561" s="8">
        <v>1</v>
      </c>
      <c r="I2561" s="8">
        <v>1</v>
      </c>
      <c r="J2561" s="8">
        <v>1</v>
      </c>
      <c r="K2561" s="9">
        <v>0</v>
      </c>
      <c r="L2561" s="10">
        <v>0</v>
      </c>
      <c r="M2561" s="6">
        <v>1</v>
      </c>
      <c r="N2561" s="37" cm="1">
        <f t="array" ref="N2561">IF(OR(ISNUMBER(FIND(Aux!$D$3:$D$9,_xlfn.TEXTJOIN(,,C2561:K2561)))),NA(),IF(AND(SUM(C2561:F2561,H2561:K2561)=0,G2561=1),0,INT((SUMPRODUCT(C2561:F2561,COLUMN($A$1:$D$1)-1)+SUMPRODUCT(H2561:K2561,COLUMN($E$1:$H$1)-1))*'Line Follower'!$C$3/SUM(C2561:F2561,H2561:K2561)-'Line Follower'!$C$5)))</f>
        <v>-1</v>
      </c>
      <c r="O2561" s="22">
        <v>1</v>
      </c>
      <c r="P2561" s="4">
        <f t="shared" si="195"/>
        <v>0</v>
      </c>
      <c r="Q2561" s="4">
        <f t="shared" si="196"/>
        <v>1</v>
      </c>
      <c r="R2561" s="4">
        <f>IF(AND(B2561=1,N2561&gt;'Line Follower'!$C$7,SUM(C2561:K2561)&lt;4),1,0)</f>
        <v>0</v>
      </c>
      <c r="S2561" s="4">
        <f>IF(AND(L2561=1,N2561&lt;'Line Follower'!$C$6,SUM(C2561:K2561)&lt;4),1,0)</f>
        <v>0</v>
      </c>
      <c r="T2561" s="4">
        <f t="shared" si="197"/>
        <v>0</v>
      </c>
      <c r="U2561" s="5">
        <f t="shared" si="198"/>
        <v>0</v>
      </c>
      <c r="V2561" s="23">
        <f t="shared" si="199"/>
        <v>0</v>
      </c>
    </row>
    <row r="2562" spans="2:22" x14ac:dyDescent="0.25">
      <c r="B2562" s="16">
        <v>1</v>
      </c>
      <c r="C2562" s="7">
        <v>1</v>
      </c>
      <c r="D2562" s="8">
        <v>1</v>
      </c>
      <c r="E2562" s="8">
        <v>1</v>
      </c>
      <c r="F2562" s="8">
        <v>1</v>
      </c>
      <c r="G2562" s="8">
        <v>1</v>
      </c>
      <c r="H2562" s="8">
        <v>1</v>
      </c>
      <c r="I2562" s="8">
        <v>1</v>
      </c>
      <c r="J2562" s="8">
        <v>1</v>
      </c>
      <c r="K2562" s="9">
        <v>0</v>
      </c>
      <c r="L2562" s="10">
        <v>0</v>
      </c>
      <c r="M2562" s="6">
        <v>1</v>
      </c>
      <c r="N2562" s="37" cm="1">
        <f t="array" ref="N2562">IF(OR(ISNUMBER(FIND(Aux!$D$3:$D$9,_xlfn.TEXTJOIN(,,C2562:K2562)))),NA(),IF(AND(SUM(C2562:F2562,H2562:K2562)=0,G2562=1),0,INT((SUMPRODUCT(C2562:F2562,COLUMN($A$1:$D$1)-1)+SUMPRODUCT(H2562:K2562,COLUMN($E$1:$H$1)-1))*'Line Follower'!$C$3/SUM(C2562:F2562,H2562:K2562)-'Line Follower'!$C$5)))</f>
        <v>-1</v>
      </c>
      <c r="O2562" s="22">
        <v>1</v>
      </c>
      <c r="P2562" s="4">
        <f t="shared" si="195"/>
        <v>0</v>
      </c>
      <c r="Q2562" s="4">
        <f t="shared" si="196"/>
        <v>1</v>
      </c>
      <c r="R2562" s="4">
        <f>IF(AND(B2562=1,N2562&gt;'Line Follower'!$C$7,SUM(C2562:K2562)&lt;4),1,0)</f>
        <v>0</v>
      </c>
      <c r="S2562" s="4">
        <f>IF(AND(L2562=1,N2562&lt;'Line Follower'!$C$6,SUM(C2562:K2562)&lt;4),1,0)</f>
        <v>0</v>
      </c>
      <c r="T2562" s="4">
        <f t="shared" si="197"/>
        <v>0</v>
      </c>
      <c r="U2562" s="5">
        <f t="shared" si="198"/>
        <v>0</v>
      </c>
      <c r="V2562" s="23">
        <f t="shared" si="199"/>
        <v>0</v>
      </c>
    </row>
    <row r="2563" spans="2:22" x14ac:dyDescent="0.25">
      <c r="B2563" s="16">
        <v>0</v>
      </c>
      <c r="C2563" s="7">
        <v>0</v>
      </c>
      <c r="D2563" s="8">
        <v>0</v>
      </c>
      <c r="E2563" s="8">
        <v>0</v>
      </c>
      <c r="F2563" s="8">
        <v>0</v>
      </c>
      <c r="G2563" s="8">
        <v>0</v>
      </c>
      <c r="H2563" s="8">
        <v>0</v>
      </c>
      <c r="I2563" s="8">
        <v>0</v>
      </c>
      <c r="J2563" s="8">
        <v>0</v>
      </c>
      <c r="K2563" s="9">
        <v>1</v>
      </c>
      <c r="L2563" s="10">
        <v>0</v>
      </c>
      <c r="M2563" s="6">
        <v>1</v>
      </c>
      <c r="N2563" s="37" cm="1">
        <f t="array" ref="N2563">IF(OR(ISNUMBER(FIND(Aux!$D$3:$D$9,_xlfn.TEXTJOIN(,,C2563:K2563)))),NA(),IF(AND(SUM(C2563:F2563,H2563:K2563)=0,G2563=1),0,INT((SUMPRODUCT(C2563:F2563,COLUMN($A$1:$D$1)-1)+SUMPRODUCT(H2563:K2563,COLUMN($E$1:$H$1)-1))*'Line Follower'!$C$3/SUM(C2563:F2563,H2563:K2563)-'Line Follower'!$C$5)))</f>
        <v>7</v>
      </c>
      <c r="O2563" s="22">
        <v>1</v>
      </c>
      <c r="P2563" s="4">
        <f t="shared" ref="P2563:P2626" si="200">IF(AND(N2563=0,G2563=1,M2563=1),1,0)</f>
        <v>0</v>
      </c>
      <c r="Q2563" s="4">
        <f t="shared" ref="Q2563:Q2626" si="201">IF(ISERROR(N2563),N2563,IF(SUM(C2563:K2563)&gt;=4,1,0))</f>
        <v>0</v>
      </c>
      <c r="R2563" s="4">
        <f>IF(AND(B2563=1,N2563&gt;'Line Follower'!$C$7,SUM(C2563:K2563)&lt;4),1,0)</f>
        <v>0</v>
      </c>
      <c r="S2563" s="4">
        <f>IF(AND(L2563=1,N2563&lt;'Line Follower'!$C$6,SUM(C2563:K2563)&lt;4),1,0)</f>
        <v>0</v>
      </c>
      <c r="T2563" s="4">
        <f t="shared" si="197"/>
        <v>0</v>
      </c>
      <c r="U2563" s="5">
        <f t="shared" si="198"/>
        <v>0</v>
      </c>
      <c r="V2563" s="23">
        <f t="shared" si="199"/>
        <v>0</v>
      </c>
    </row>
    <row r="2564" spans="2:22" x14ac:dyDescent="0.25">
      <c r="B2564" s="16">
        <v>1</v>
      </c>
      <c r="C2564" s="7">
        <v>0</v>
      </c>
      <c r="D2564" s="8">
        <v>0</v>
      </c>
      <c r="E2564" s="8">
        <v>0</v>
      </c>
      <c r="F2564" s="8">
        <v>0</v>
      </c>
      <c r="G2564" s="8">
        <v>0</v>
      </c>
      <c r="H2564" s="8">
        <v>0</v>
      </c>
      <c r="I2564" s="8">
        <v>0</v>
      </c>
      <c r="J2564" s="8">
        <v>0</v>
      </c>
      <c r="K2564" s="9">
        <v>1</v>
      </c>
      <c r="L2564" s="10">
        <v>0</v>
      </c>
      <c r="M2564" s="6">
        <v>1</v>
      </c>
      <c r="N2564" s="37" cm="1">
        <f t="array" ref="N2564">IF(OR(ISNUMBER(FIND(Aux!$D$3:$D$9,_xlfn.TEXTJOIN(,,C2564:K2564)))),NA(),IF(AND(SUM(C2564:F2564,H2564:K2564)=0,G2564=1),0,INT((SUMPRODUCT(C2564:F2564,COLUMN($A$1:$D$1)-1)+SUMPRODUCT(H2564:K2564,COLUMN($E$1:$H$1)-1))*'Line Follower'!$C$3/SUM(C2564:F2564,H2564:K2564)-'Line Follower'!$C$5)))</f>
        <v>7</v>
      </c>
      <c r="O2564" s="22">
        <v>1</v>
      </c>
      <c r="P2564" s="4">
        <f t="shared" si="200"/>
        <v>0</v>
      </c>
      <c r="Q2564" s="4">
        <f t="shared" si="201"/>
        <v>0</v>
      </c>
      <c r="R2564" s="4">
        <f>IF(AND(B2564=1,N2564&gt;'Line Follower'!$C$7,SUM(C2564:K2564)&lt;4),1,0)</f>
        <v>1</v>
      </c>
      <c r="S2564" s="4">
        <f>IF(AND(L2564=1,N2564&lt;'Line Follower'!$C$6,SUM(C2564:K2564)&lt;4),1,0)</f>
        <v>0</v>
      </c>
      <c r="T2564" s="4">
        <f t="shared" ref="T2564:T2627" si="202">IF(ISNA(N2564),NA(),IF(SUM(C2564:L2564)=0,1,0))</f>
        <v>0</v>
      </c>
      <c r="U2564" s="5">
        <f t="shared" ref="U2564:U2627" si="203">IF(ISNA(N2564),NA(),IF(SUM(B2564:K2564)=0,1,0))</f>
        <v>0</v>
      </c>
      <c r="V2564" s="23">
        <f t="shared" ref="V2564:V2627" si="204">IF(ISNA(N2564),NA(),IF(SUM(B2564:L2564)=0,1,0))</f>
        <v>0</v>
      </c>
    </row>
    <row r="2565" spans="2:22" x14ac:dyDescent="0.25">
      <c r="B2565" s="16">
        <v>0</v>
      </c>
      <c r="C2565" s="7">
        <v>1</v>
      </c>
      <c r="D2565" s="8">
        <v>0</v>
      </c>
      <c r="E2565" s="8">
        <v>0</v>
      </c>
      <c r="F2565" s="8">
        <v>0</v>
      </c>
      <c r="G2565" s="8">
        <v>0</v>
      </c>
      <c r="H2565" s="8">
        <v>0</v>
      </c>
      <c r="I2565" s="8">
        <v>0</v>
      </c>
      <c r="J2565" s="8">
        <v>0</v>
      </c>
      <c r="K2565" s="9">
        <v>1</v>
      </c>
      <c r="L2565" s="10">
        <v>0</v>
      </c>
      <c r="M2565" s="6">
        <v>1</v>
      </c>
      <c r="N2565" s="37" t="e" cm="1">
        <f t="array" ref="N2565">IF(OR(ISNUMBER(FIND(Aux!$D$3:$D$9,_xlfn.TEXTJOIN(,,C2565:K2565)))),NA(),IF(AND(SUM(C2565:F2565,H2565:K2565)=0,G2565=1),0,INT((SUMPRODUCT(C2565:F2565,COLUMN($A$1:$D$1)-1)+SUMPRODUCT(H2565:K2565,COLUMN($E$1:$H$1)-1))*'Line Follower'!$C$3/SUM(C2565:F2565,H2565:K2565)-'Line Follower'!$C$5)))</f>
        <v>#N/A</v>
      </c>
      <c r="O2565" s="22" t="e">
        <v>#N/A</v>
      </c>
      <c r="P2565" s="4" t="e">
        <f t="shared" si="200"/>
        <v>#N/A</v>
      </c>
      <c r="Q2565" s="4" t="e">
        <f t="shared" si="201"/>
        <v>#N/A</v>
      </c>
      <c r="R2565" s="4" t="e">
        <f>IF(AND(B2565=1,N2565&gt;'Line Follower'!$C$7,SUM(C2565:K2565)&lt;4),1,0)</f>
        <v>#N/A</v>
      </c>
      <c r="S2565" s="4" t="e">
        <f>IF(AND(L2565=1,N2565&lt;'Line Follower'!$C$6,SUM(C2565:K2565)&lt;4),1,0)</f>
        <v>#N/A</v>
      </c>
      <c r="T2565" s="4" t="e">
        <f t="shared" si="202"/>
        <v>#N/A</v>
      </c>
      <c r="U2565" s="5" t="e">
        <f t="shared" si="203"/>
        <v>#N/A</v>
      </c>
      <c r="V2565" s="23" t="e">
        <f t="shared" si="204"/>
        <v>#N/A</v>
      </c>
    </row>
    <row r="2566" spans="2:22" x14ac:dyDescent="0.25">
      <c r="B2566" s="16">
        <v>1</v>
      </c>
      <c r="C2566" s="7">
        <v>1</v>
      </c>
      <c r="D2566" s="8">
        <v>0</v>
      </c>
      <c r="E2566" s="8">
        <v>0</v>
      </c>
      <c r="F2566" s="8">
        <v>0</v>
      </c>
      <c r="G2566" s="8">
        <v>0</v>
      </c>
      <c r="H2566" s="8">
        <v>0</v>
      </c>
      <c r="I2566" s="8">
        <v>0</v>
      </c>
      <c r="J2566" s="8">
        <v>0</v>
      </c>
      <c r="K2566" s="9">
        <v>1</v>
      </c>
      <c r="L2566" s="10">
        <v>0</v>
      </c>
      <c r="M2566" s="6">
        <v>1</v>
      </c>
      <c r="N2566" s="37" t="e" cm="1">
        <f t="array" ref="N2566">IF(OR(ISNUMBER(FIND(Aux!$D$3:$D$9,_xlfn.TEXTJOIN(,,C2566:K2566)))),NA(),IF(AND(SUM(C2566:F2566,H2566:K2566)=0,G2566=1),0,INT((SUMPRODUCT(C2566:F2566,COLUMN($A$1:$D$1)-1)+SUMPRODUCT(H2566:K2566,COLUMN($E$1:$H$1)-1))*'Line Follower'!$C$3/SUM(C2566:F2566,H2566:K2566)-'Line Follower'!$C$5)))</f>
        <v>#N/A</v>
      </c>
      <c r="O2566" s="22" t="e">
        <v>#N/A</v>
      </c>
      <c r="P2566" s="4" t="e">
        <f t="shared" si="200"/>
        <v>#N/A</v>
      </c>
      <c r="Q2566" s="4" t="e">
        <f t="shared" si="201"/>
        <v>#N/A</v>
      </c>
      <c r="R2566" s="4" t="e">
        <f>IF(AND(B2566=1,N2566&gt;'Line Follower'!$C$7,SUM(C2566:K2566)&lt;4),1,0)</f>
        <v>#N/A</v>
      </c>
      <c r="S2566" s="4" t="e">
        <f>IF(AND(L2566=1,N2566&lt;'Line Follower'!$C$6,SUM(C2566:K2566)&lt;4),1,0)</f>
        <v>#N/A</v>
      </c>
      <c r="T2566" s="4" t="e">
        <f t="shared" si="202"/>
        <v>#N/A</v>
      </c>
      <c r="U2566" s="5" t="e">
        <f t="shared" si="203"/>
        <v>#N/A</v>
      </c>
      <c r="V2566" s="23" t="e">
        <f t="shared" si="204"/>
        <v>#N/A</v>
      </c>
    </row>
    <row r="2567" spans="2:22" x14ac:dyDescent="0.25">
      <c r="B2567" s="16">
        <v>0</v>
      </c>
      <c r="C2567" s="7">
        <v>0</v>
      </c>
      <c r="D2567" s="8">
        <v>1</v>
      </c>
      <c r="E2567" s="8">
        <v>0</v>
      </c>
      <c r="F2567" s="8">
        <v>0</v>
      </c>
      <c r="G2567" s="8">
        <v>0</v>
      </c>
      <c r="H2567" s="8">
        <v>0</v>
      </c>
      <c r="I2567" s="8">
        <v>0</v>
      </c>
      <c r="J2567" s="8">
        <v>0</v>
      </c>
      <c r="K2567" s="9">
        <v>1</v>
      </c>
      <c r="L2567" s="10">
        <v>0</v>
      </c>
      <c r="M2567" s="6">
        <v>1</v>
      </c>
      <c r="N2567" s="37" t="e" cm="1">
        <f t="array" ref="N2567">IF(OR(ISNUMBER(FIND(Aux!$D$3:$D$9,_xlfn.TEXTJOIN(,,C2567:K2567)))),NA(),IF(AND(SUM(C2567:F2567,H2567:K2567)=0,G2567=1),0,INT((SUMPRODUCT(C2567:F2567,COLUMN($A$1:$D$1)-1)+SUMPRODUCT(H2567:K2567,COLUMN($E$1:$H$1)-1))*'Line Follower'!$C$3/SUM(C2567:F2567,H2567:K2567)-'Line Follower'!$C$5)))</f>
        <v>#N/A</v>
      </c>
      <c r="O2567" s="22" t="e">
        <v>#N/A</v>
      </c>
      <c r="P2567" s="4" t="e">
        <f t="shared" si="200"/>
        <v>#N/A</v>
      </c>
      <c r="Q2567" s="4" t="e">
        <f t="shared" si="201"/>
        <v>#N/A</v>
      </c>
      <c r="R2567" s="4" t="e">
        <f>IF(AND(B2567=1,N2567&gt;'Line Follower'!$C$7,SUM(C2567:K2567)&lt;4),1,0)</f>
        <v>#N/A</v>
      </c>
      <c r="S2567" s="4" t="e">
        <f>IF(AND(L2567=1,N2567&lt;'Line Follower'!$C$6,SUM(C2567:K2567)&lt;4),1,0)</f>
        <v>#N/A</v>
      </c>
      <c r="T2567" s="4" t="e">
        <f t="shared" si="202"/>
        <v>#N/A</v>
      </c>
      <c r="U2567" s="5" t="e">
        <f t="shared" si="203"/>
        <v>#N/A</v>
      </c>
      <c r="V2567" s="23" t="e">
        <f t="shared" si="204"/>
        <v>#N/A</v>
      </c>
    </row>
    <row r="2568" spans="2:22" x14ac:dyDescent="0.25">
      <c r="B2568" s="16">
        <v>1</v>
      </c>
      <c r="C2568" s="7">
        <v>0</v>
      </c>
      <c r="D2568" s="8">
        <v>1</v>
      </c>
      <c r="E2568" s="8">
        <v>0</v>
      </c>
      <c r="F2568" s="8">
        <v>0</v>
      </c>
      <c r="G2568" s="8">
        <v>0</v>
      </c>
      <c r="H2568" s="8">
        <v>0</v>
      </c>
      <c r="I2568" s="8">
        <v>0</v>
      </c>
      <c r="J2568" s="8">
        <v>0</v>
      </c>
      <c r="K2568" s="9">
        <v>1</v>
      </c>
      <c r="L2568" s="10">
        <v>0</v>
      </c>
      <c r="M2568" s="6">
        <v>1</v>
      </c>
      <c r="N2568" s="37" t="e" cm="1">
        <f t="array" ref="N2568">IF(OR(ISNUMBER(FIND(Aux!$D$3:$D$9,_xlfn.TEXTJOIN(,,C2568:K2568)))),NA(),IF(AND(SUM(C2568:F2568,H2568:K2568)=0,G2568=1),0,INT((SUMPRODUCT(C2568:F2568,COLUMN($A$1:$D$1)-1)+SUMPRODUCT(H2568:K2568,COLUMN($E$1:$H$1)-1))*'Line Follower'!$C$3/SUM(C2568:F2568,H2568:K2568)-'Line Follower'!$C$5)))</f>
        <v>#N/A</v>
      </c>
      <c r="O2568" s="22" t="e">
        <v>#N/A</v>
      </c>
      <c r="P2568" s="4" t="e">
        <f t="shared" si="200"/>
        <v>#N/A</v>
      </c>
      <c r="Q2568" s="4" t="e">
        <f t="shared" si="201"/>
        <v>#N/A</v>
      </c>
      <c r="R2568" s="4" t="e">
        <f>IF(AND(B2568=1,N2568&gt;'Line Follower'!$C$7,SUM(C2568:K2568)&lt;4),1,0)</f>
        <v>#N/A</v>
      </c>
      <c r="S2568" s="4" t="e">
        <f>IF(AND(L2568=1,N2568&lt;'Line Follower'!$C$6,SUM(C2568:K2568)&lt;4),1,0)</f>
        <v>#N/A</v>
      </c>
      <c r="T2568" s="4" t="e">
        <f t="shared" si="202"/>
        <v>#N/A</v>
      </c>
      <c r="U2568" s="5" t="e">
        <f t="shared" si="203"/>
        <v>#N/A</v>
      </c>
      <c r="V2568" s="23" t="e">
        <f t="shared" si="204"/>
        <v>#N/A</v>
      </c>
    </row>
    <row r="2569" spans="2:22" x14ac:dyDescent="0.25">
      <c r="B2569" s="16">
        <v>0</v>
      </c>
      <c r="C2569" s="7">
        <v>1</v>
      </c>
      <c r="D2569" s="8">
        <v>1</v>
      </c>
      <c r="E2569" s="8">
        <v>0</v>
      </c>
      <c r="F2569" s="8">
        <v>0</v>
      </c>
      <c r="G2569" s="8">
        <v>0</v>
      </c>
      <c r="H2569" s="8">
        <v>0</v>
      </c>
      <c r="I2569" s="8">
        <v>0</v>
      </c>
      <c r="J2569" s="8">
        <v>0</v>
      </c>
      <c r="K2569" s="9">
        <v>1</v>
      </c>
      <c r="L2569" s="10">
        <v>0</v>
      </c>
      <c r="M2569" s="6">
        <v>1</v>
      </c>
      <c r="N2569" s="37" t="e" cm="1">
        <f t="array" ref="N2569">IF(OR(ISNUMBER(FIND(Aux!$D$3:$D$9,_xlfn.TEXTJOIN(,,C2569:K2569)))),NA(),IF(AND(SUM(C2569:F2569,H2569:K2569)=0,G2569=1),0,INT((SUMPRODUCT(C2569:F2569,COLUMN($A$1:$D$1)-1)+SUMPRODUCT(H2569:K2569,COLUMN($E$1:$H$1)-1))*'Line Follower'!$C$3/SUM(C2569:F2569,H2569:K2569)-'Line Follower'!$C$5)))</f>
        <v>#N/A</v>
      </c>
      <c r="O2569" s="22" t="e">
        <v>#N/A</v>
      </c>
      <c r="P2569" s="4" t="e">
        <f t="shared" si="200"/>
        <v>#N/A</v>
      </c>
      <c r="Q2569" s="4" t="e">
        <f t="shared" si="201"/>
        <v>#N/A</v>
      </c>
      <c r="R2569" s="4" t="e">
        <f>IF(AND(B2569=1,N2569&gt;'Line Follower'!$C$7,SUM(C2569:K2569)&lt;4),1,0)</f>
        <v>#N/A</v>
      </c>
      <c r="S2569" s="4" t="e">
        <f>IF(AND(L2569=1,N2569&lt;'Line Follower'!$C$6,SUM(C2569:K2569)&lt;4),1,0)</f>
        <v>#N/A</v>
      </c>
      <c r="T2569" s="4" t="e">
        <f t="shared" si="202"/>
        <v>#N/A</v>
      </c>
      <c r="U2569" s="5" t="e">
        <f t="shared" si="203"/>
        <v>#N/A</v>
      </c>
      <c r="V2569" s="23" t="e">
        <f t="shared" si="204"/>
        <v>#N/A</v>
      </c>
    </row>
    <row r="2570" spans="2:22" x14ac:dyDescent="0.25">
      <c r="B2570" s="16">
        <v>1</v>
      </c>
      <c r="C2570" s="7">
        <v>1</v>
      </c>
      <c r="D2570" s="8">
        <v>1</v>
      </c>
      <c r="E2570" s="8">
        <v>0</v>
      </c>
      <c r="F2570" s="8">
        <v>0</v>
      </c>
      <c r="G2570" s="8">
        <v>0</v>
      </c>
      <c r="H2570" s="8">
        <v>0</v>
      </c>
      <c r="I2570" s="8">
        <v>0</v>
      </c>
      <c r="J2570" s="8">
        <v>0</v>
      </c>
      <c r="K2570" s="9">
        <v>1</v>
      </c>
      <c r="L2570" s="10">
        <v>0</v>
      </c>
      <c r="M2570" s="6">
        <v>1</v>
      </c>
      <c r="N2570" s="37" t="e" cm="1">
        <f t="array" ref="N2570">IF(OR(ISNUMBER(FIND(Aux!$D$3:$D$9,_xlfn.TEXTJOIN(,,C2570:K2570)))),NA(),IF(AND(SUM(C2570:F2570,H2570:K2570)=0,G2570=1),0,INT((SUMPRODUCT(C2570:F2570,COLUMN($A$1:$D$1)-1)+SUMPRODUCT(H2570:K2570,COLUMN($E$1:$H$1)-1))*'Line Follower'!$C$3/SUM(C2570:F2570,H2570:K2570)-'Line Follower'!$C$5)))</f>
        <v>#N/A</v>
      </c>
      <c r="O2570" s="22" t="e">
        <v>#N/A</v>
      </c>
      <c r="P2570" s="4" t="e">
        <f t="shared" si="200"/>
        <v>#N/A</v>
      </c>
      <c r="Q2570" s="4" t="e">
        <f t="shared" si="201"/>
        <v>#N/A</v>
      </c>
      <c r="R2570" s="4" t="e">
        <f>IF(AND(B2570=1,N2570&gt;'Line Follower'!$C$7,SUM(C2570:K2570)&lt;4),1,0)</f>
        <v>#N/A</v>
      </c>
      <c r="S2570" s="4" t="e">
        <f>IF(AND(L2570=1,N2570&lt;'Line Follower'!$C$6,SUM(C2570:K2570)&lt;4),1,0)</f>
        <v>#N/A</v>
      </c>
      <c r="T2570" s="4" t="e">
        <f t="shared" si="202"/>
        <v>#N/A</v>
      </c>
      <c r="U2570" s="5" t="e">
        <f t="shared" si="203"/>
        <v>#N/A</v>
      </c>
      <c r="V2570" s="23" t="e">
        <f t="shared" si="204"/>
        <v>#N/A</v>
      </c>
    </row>
    <row r="2571" spans="2:22" x14ac:dyDescent="0.25">
      <c r="B2571" s="16">
        <v>0</v>
      </c>
      <c r="C2571" s="7">
        <v>0</v>
      </c>
      <c r="D2571" s="8">
        <v>0</v>
      </c>
      <c r="E2571" s="8">
        <v>1</v>
      </c>
      <c r="F2571" s="8">
        <v>0</v>
      </c>
      <c r="G2571" s="8">
        <v>0</v>
      </c>
      <c r="H2571" s="8">
        <v>0</v>
      </c>
      <c r="I2571" s="8">
        <v>0</v>
      </c>
      <c r="J2571" s="8">
        <v>0</v>
      </c>
      <c r="K2571" s="9">
        <v>1</v>
      </c>
      <c r="L2571" s="10">
        <v>0</v>
      </c>
      <c r="M2571" s="6">
        <v>1</v>
      </c>
      <c r="N2571" s="37" t="e" cm="1">
        <f t="array" ref="N2571">IF(OR(ISNUMBER(FIND(Aux!$D$3:$D$9,_xlfn.TEXTJOIN(,,C2571:K2571)))),NA(),IF(AND(SUM(C2571:F2571,H2571:K2571)=0,G2571=1),0,INT((SUMPRODUCT(C2571:F2571,COLUMN($A$1:$D$1)-1)+SUMPRODUCT(H2571:K2571,COLUMN($E$1:$H$1)-1))*'Line Follower'!$C$3/SUM(C2571:F2571,H2571:K2571)-'Line Follower'!$C$5)))</f>
        <v>#N/A</v>
      </c>
      <c r="O2571" s="22" t="e">
        <v>#N/A</v>
      </c>
      <c r="P2571" s="4" t="e">
        <f t="shared" si="200"/>
        <v>#N/A</v>
      </c>
      <c r="Q2571" s="4" t="e">
        <f t="shared" si="201"/>
        <v>#N/A</v>
      </c>
      <c r="R2571" s="4" t="e">
        <f>IF(AND(B2571=1,N2571&gt;'Line Follower'!$C$7,SUM(C2571:K2571)&lt;4),1,0)</f>
        <v>#N/A</v>
      </c>
      <c r="S2571" s="4" t="e">
        <f>IF(AND(L2571=1,N2571&lt;'Line Follower'!$C$6,SUM(C2571:K2571)&lt;4),1,0)</f>
        <v>#N/A</v>
      </c>
      <c r="T2571" s="4" t="e">
        <f t="shared" si="202"/>
        <v>#N/A</v>
      </c>
      <c r="U2571" s="5" t="e">
        <f t="shared" si="203"/>
        <v>#N/A</v>
      </c>
      <c r="V2571" s="23" t="e">
        <f t="shared" si="204"/>
        <v>#N/A</v>
      </c>
    </row>
    <row r="2572" spans="2:22" x14ac:dyDescent="0.25">
      <c r="B2572" s="16">
        <v>1</v>
      </c>
      <c r="C2572" s="7">
        <v>0</v>
      </c>
      <c r="D2572" s="8">
        <v>0</v>
      </c>
      <c r="E2572" s="8">
        <v>1</v>
      </c>
      <c r="F2572" s="8">
        <v>0</v>
      </c>
      <c r="G2572" s="8">
        <v>0</v>
      </c>
      <c r="H2572" s="8">
        <v>0</v>
      </c>
      <c r="I2572" s="8">
        <v>0</v>
      </c>
      <c r="J2572" s="8">
        <v>0</v>
      </c>
      <c r="K2572" s="9">
        <v>1</v>
      </c>
      <c r="L2572" s="10">
        <v>0</v>
      </c>
      <c r="M2572" s="6">
        <v>1</v>
      </c>
      <c r="N2572" s="37" t="e" cm="1">
        <f t="array" ref="N2572">IF(OR(ISNUMBER(FIND(Aux!$D$3:$D$9,_xlfn.TEXTJOIN(,,C2572:K2572)))),NA(),IF(AND(SUM(C2572:F2572,H2572:K2572)=0,G2572=1),0,INT((SUMPRODUCT(C2572:F2572,COLUMN($A$1:$D$1)-1)+SUMPRODUCT(H2572:K2572,COLUMN($E$1:$H$1)-1))*'Line Follower'!$C$3/SUM(C2572:F2572,H2572:K2572)-'Line Follower'!$C$5)))</f>
        <v>#N/A</v>
      </c>
      <c r="O2572" s="22" t="e">
        <v>#N/A</v>
      </c>
      <c r="P2572" s="4" t="e">
        <f t="shared" si="200"/>
        <v>#N/A</v>
      </c>
      <c r="Q2572" s="4" t="e">
        <f t="shared" si="201"/>
        <v>#N/A</v>
      </c>
      <c r="R2572" s="4" t="e">
        <f>IF(AND(B2572=1,N2572&gt;'Line Follower'!$C$7,SUM(C2572:K2572)&lt;4),1,0)</f>
        <v>#N/A</v>
      </c>
      <c r="S2572" s="4" t="e">
        <f>IF(AND(L2572=1,N2572&lt;'Line Follower'!$C$6,SUM(C2572:K2572)&lt;4),1,0)</f>
        <v>#N/A</v>
      </c>
      <c r="T2572" s="4" t="e">
        <f t="shared" si="202"/>
        <v>#N/A</v>
      </c>
      <c r="U2572" s="5" t="e">
        <f t="shared" si="203"/>
        <v>#N/A</v>
      </c>
      <c r="V2572" s="23" t="e">
        <f t="shared" si="204"/>
        <v>#N/A</v>
      </c>
    </row>
    <row r="2573" spans="2:22" x14ac:dyDescent="0.25">
      <c r="B2573" s="16">
        <v>0</v>
      </c>
      <c r="C2573" s="7">
        <v>1</v>
      </c>
      <c r="D2573" s="8">
        <v>0</v>
      </c>
      <c r="E2573" s="8">
        <v>1</v>
      </c>
      <c r="F2573" s="8">
        <v>0</v>
      </c>
      <c r="G2573" s="8">
        <v>0</v>
      </c>
      <c r="H2573" s="8">
        <v>0</v>
      </c>
      <c r="I2573" s="8">
        <v>0</v>
      </c>
      <c r="J2573" s="8">
        <v>0</v>
      </c>
      <c r="K2573" s="9">
        <v>1</v>
      </c>
      <c r="L2573" s="10">
        <v>0</v>
      </c>
      <c r="M2573" s="6">
        <v>1</v>
      </c>
      <c r="N2573" s="37" t="e" cm="1">
        <f t="array" ref="N2573">IF(OR(ISNUMBER(FIND(Aux!$D$3:$D$9,_xlfn.TEXTJOIN(,,C2573:K2573)))),NA(),IF(AND(SUM(C2573:F2573,H2573:K2573)=0,G2573=1),0,INT((SUMPRODUCT(C2573:F2573,COLUMN($A$1:$D$1)-1)+SUMPRODUCT(H2573:K2573,COLUMN($E$1:$H$1)-1))*'Line Follower'!$C$3/SUM(C2573:F2573,H2573:K2573)-'Line Follower'!$C$5)))</f>
        <v>#N/A</v>
      </c>
      <c r="O2573" s="22" t="e">
        <v>#N/A</v>
      </c>
      <c r="P2573" s="4" t="e">
        <f t="shared" si="200"/>
        <v>#N/A</v>
      </c>
      <c r="Q2573" s="4" t="e">
        <f t="shared" si="201"/>
        <v>#N/A</v>
      </c>
      <c r="R2573" s="4" t="e">
        <f>IF(AND(B2573=1,N2573&gt;'Line Follower'!$C$7,SUM(C2573:K2573)&lt;4),1,0)</f>
        <v>#N/A</v>
      </c>
      <c r="S2573" s="4" t="e">
        <f>IF(AND(L2573=1,N2573&lt;'Line Follower'!$C$6,SUM(C2573:K2573)&lt;4),1,0)</f>
        <v>#N/A</v>
      </c>
      <c r="T2573" s="4" t="e">
        <f t="shared" si="202"/>
        <v>#N/A</v>
      </c>
      <c r="U2573" s="5" t="e">
        <f t="shared" si="203"/>
        <v>#N/A</v>
      </c>
      <c r="V2573" s="23" t="e">
        <f t="shared" si="204"/>
        <v>#N/A</v>
      </c>
    </row>
    <row r="2574" spans="2:22" x14ac:dyDescent="0.25">
      <c r="B2574" s="16">
        <v>1</v>
      </c>
      <c r="C2574" s="7">
        <v>1</v>
      </c>
      <c r="D2574" s="8">
        <v>0</v>
      </c>
      <c r="E2574" s="8">
        <v>1</v>
      </c>
      <c r="F2574" s="8">
        <v>0</v>
      </c>
      <c r="G2574" s="8">
        <v>0</v>
      </c>
      <c r="H2574" s="8">
        <v>0</v>
      </c>
      <c r="I2574" s="8">
        <v>0</v>
      </c>
      <c r="J2574" s="8">
        <v>0</v>
      </c>
      <c r="K2574" s="9">
        <v>1</v>
      </c>
      <c r="L2574" s="10">
        <v>0</v>
      </c>
      <c r="M2574" s="6">
        <v>1</v>
      </c>
      <c r="N2574" s="37" t="e" cm="1">
        <f t="array" ref="N2574">IF(OR(ISNUMBER(FIND(Aux!$D$3:$D$9,_xlfn.TEXTJOIN(,,C2574:K2574)))),NA(),IF(AND(SUM(C2574:F2574,H2574:K2574)=0,G2574=1),0,INT((SUMPRODUCT(C2574:F2574,COLUMN($A$1:$D$1)-1)+SUMPRODUCT(H2574:K2574,COLUMN($E$1:$H$1)-1))*'Line Follower'!$C$3/SUM(C2574:F2574,H2574:K2574)-'Line Follower'!$C$5)))</f>
        <v>#N/A</v>
      </c>
      <c r="O2574" s="22" t="e">
        <v>#N/A</v>
      </c>
      <c r="P2574" s="4" t="e">
        <f t="shared" si="200"/>
        <v>#N/A</v>
      </c>
      <c r="Q2574" s="4" t="e">
        <f t="shared" si="201"/>
        <v>#N/A</v>
      </c>
      <c r="R2574" s="4" t="e">
        <f>IF(AND(B2574=1,N2574&gt;'Line Follower'!$C$7,SUM(C2574:K2574)&lt;4),1,0)</f>
        <v>#N/A</v>
      </c>
      <c r="S2574" s="4" t="e">
        <f>IF(AND(L2574=1,N2574&lt;'Line Follower'!$C$6,SUM(C2574:K2574)&lt;4),1,0)</f>
        <v>#N/A</v>
      </c>
      <c r="T2574" s="4" t="e">
        <f t="shared" si="202"/>
        <v>#N/A</v>
      </c>
      <c r="U2574" s="5" t="e">
        <f t="shared" si="203"/>
        <v>#N/A</v>
      </c>
      <c r="V2574" s="23" t="e">
        <f t="shared" si="204"/>
        <v>#N/A</v>
      </c>
    </row>
    <row r="2575" spans="2:22" x14ac:dyDescent="0.25">
      <c r="B2575" s="16">
        <v>0</v>
      </c>
      <c r="C2575" s="7">
        <v>0</v>
      </c>
      <c r="D2575" s="8">
        <v>1</v>
      </c>
      <c r="E2575" s="8">
        <v>1</v>
      </c>
      <c r="F2575" s="8">
        <v>0</v>
      </c>
      <c r="G2575" s="8">
        <v>0</v>
      </c>
      <c r="H2575" s="8">
        <v>0</v>
      </c>
      <c r="I2575" s="8">
        <v>0</v>
      </c>
      <c r="J2575" s="8">
        <v>0</v>
      </c>
      <c r="K2575" s="9">
        <v>1</v>
      </c>
      <c r="L2575" s="10">
        <v>0</v>
      </c>
      <c r="M2575" s="6">
        <v>1</v>
      </c>
      <c r="N2575" s="37" t="e" cm="1">
        <f t="array" ref="N2575">IF(OR(ISNUMBER(FIND(Aux!$D$3:$D$9,_xlfn.TEXTJOIN(,,C2575:K2575)))),NA(),IF(AND(SUM(C2575:F2575,H2575:K2575)=0,G2575=1),0,INT((SUMPRODUCT(C2575:F2575,COLUMN($A$1:$D$1)-1)+SUMPRODUCT(H2575:K2575,COLUMN($E$1:$H$1)-1))*'Line Follower'!$C$3/SUM(C2575:F2575,H2575:K2575)-'Line Follower'!$C$5)))</f>
        <v>#N/A</v>
      </c>
      <c r="O2575" s="22" t="e">
        <v>#N/A</v>
      </c>
      <c r="P2575" s="4" t="e">
        <f t="shared" si="200"/>
        <v>#N/A</v>
      </c>
      <c r="Q2575" s="4" t="e">
        <f t="shared" si="201"/>
        <v>#N/A</v>
      </c>
      <c r="R2575" s="4" t="e">
        <f>IF(AND(B2575=1,N2575&gt;'Line Follower'!$C$7,SUM(C2575:K2575)&lt;4),1,0)</f>
        <v>#N/A</v>
      </c>
      <c r="S2575" s="4" t="e">
        <f>IF(AND(L2575=1,N2575&lt;'Line Follower'!$C$6,SUM(C2575:K2575)&lt;4),1,0)</f>
        <v>#N/A</v>
      </c>
      <c r="T2575" s="4" t="e">
        <f t="shared" si="202"/>
        <v>#N/A</v>
      </c>
      <c r="U2575" s="5" t="e">
        <f t="shared" si="203"/>
        <v>#N/A</v>
      </c>
      <c r="V2575" s="23" t="e">
        <f t="shared" si="204"/>
        <v>#N/A</v>
      </c>
    </row>
    <row r="2576" spans="2:22" x14ac:dyDescent="0.25">
      <c r="B2576" s="16">
        <v>1</v>
      </c>
      <c r="C2576" s="7">
        <v>0</v>
      </c>
      <c r="D2576" s="8">
        <v>1</v>
      </c>
      <c r="E2576" s="8">
        <v>1</v>
      </c>
      <c r="F2576" s="8">
        <v>0</v>
      </c>
      <c r="G2576" s="8">
        <v>0</v>
      </c>
      <c r="H2576" s="8">
        <v>0</v>
      </c>
      <c r="I2576" s="8">
        <v>0</v>
      </c>
      <c r="J2576" s="8">
        <v>0</v>
      </c>
      <c r="K2576" s="9">
        <v>1</v>
      </c>
      <c r="L2576" s="10">
        <v>0</v>
      </c>
      <c r="M2576" s="6">
        <v>1</v>
      </c>
      <c r="N2576" s="37" t="e" cm="1">
        <f t="array" ref="N2576">IF(OR(ISNUMBER(FIND(Aux!$D$3:$D$9,_xlfn.TEXTJOIN(,,C2576:K2576)))),NA(),IF(AND(SUM(C2576:F2576,H2576:K2576)=0,G2576=1),0,INT((SUMPRODUCT(C2576:F2576,COLUMN($A$1:$D$1)-1)+SUMPRODUCT(H2576:K2576,COLUMN($E$1:$H$1)-1))*'Line Follower'!$C$3/SUM(C2576:F2576,H2576:K2576)-'Line Follower'!$C$5)))</f>
        <v>#N/A</v>
      </c>
      <c r="O2576" s="22" t="e">
        <v>#N/A</v>
      </c>
      <c r="P2576" s="4" t="e">
        <f t="shared" si="200"/>
        <v>#N/A</v>
      </c>
      <c r="Q2576" s="4" t="e">
        <f t="shared" si="201"/>
        <v>#N/A</v>
      </c>
      <c r="R2576" s="4" t="e">
        <f>IF(AND(B2576=1,N2576&gt;'Line Follower'!$C$7,SUM(C2576:K2576)&lt;4),1,0)</f>
        <v>#N/A</v>
      </c>
      <c r="S2576" s="4" t="e">
        <f>IF(AND(L2576=1,N2576&lt;'Line Follower'!$C$6,SUM(C2576:K2576)&lt;4),1,0)</f>
        <v>#N/A</v>
      </c>
      <c r="T2576" s="4" t="e">
        <f t="shared" si="202"/>
        <v>#N/A</v>
      </c>
      <c r="U2576" s="5" t="e">
        <f t="shared" si="203"/>
        <v>#N/A</v>
      </c>
      <c r="V2576" s="23" t="e">
        <f t="shared" si="204"/>
        <v>#N/A</v>
      </c>
    </row>
    <row r="2577" spans="2:22" x14ac:dyDescent="0.25">
      <c r="B2577" s="16">
        <v>0</v>
      </c>
      <c r="C2577" s="7">
        <v>1</v>
      </c>
      <c r="D2577" s="8">
        <v>1</v>
      </c>
      <c r="E2577" s="8">
        <v>1</v>
      </c>
      <c r="F2577" s="8">
        <v>0</v>
      </c>
      <c r="G2577" s="8">
        <v>0</v>
      </c>
      <c r="H2577" s="8">
        <v>0</v>
      </c>
      <c r="I2577" s="8">
        <v>0</v>
      </c>
      <c r="J2577" s="8">
        <v>0</v>
      </c>
      <c r="K2577" s="9">
        <v>1</v>
      </c>
      <c r="L2577" s="10">
        <v>0</v>
      </c>
      <c r="M2577" s="6">
        <v>1</v>
      </c>
      <c r="N2577" s="37" t="e" cm="1">
        <f t="array" ref="N2577">IF(OR(ISNUMBER(FIND(Aux!$D$3:$D$9,_xlfn.TEXTJOIN(,,C2577:K2577)))),NA(),IF(AND(SUM(C2577:F2577,H2577:K2577)=0,G2577=1),0,INT((SUMPRODUCT(C2577:F2577,COLUMN($A$1:$D$1)-1)+SUMPRODUCT(H2577:K2577,COLUMN($E$1:$H$1)-1))*'Line Follower'!$C$3/SUM(C2577:F2577,H2577:K2577)-'Line Follower'!$C$5)))</f>
        <v>#N/A</v>
      </c>
      <c r="O2577" s="22" t="e">
        <v>#N/A</v>
      </c>
      <c r="P2577" s="4" t="e">
        <f t="shared" si="200"/>
        <v>#N/A</v>
      </c>
      <c r="Q2577" s="4" t="e">
        <f t="shared" si="201"/>
        <v>#N/A</v>
      </c>
      <c r="R2577" s="4" t="e">
        <f>IF(AND(B2577=1,N2577&gt;'Line Follower'!$C$7,SUM(C2577:K2577)&lt;4),1,0)</f>
        <v>#N/A</v>
      </c>
      <c r="S2577" s="4" t="e">
        <f>IF(AND(L2577=1,N2577&lt;'Line Follower'!$C$6,SUM(C2577:K2577)&lt;4),1,0)</f>
        <v>#N/A</v>
      </c>
      <c r="T2577" s="4" t="e">
        <f t="shared" si="202"/>
        <v>#N/A</v>
      </c>
      <c r="U2577" s="5" t="e">
        <f t="shared" si="203"/>
        <v>#N/A</v>
      </c>
      <c r="V2577" s="23" t="e">
        <f t="shared" si="204"/>
        <v>#N/A</v>
      </c>
    </row>
    <row r="2578" spans="2:22" x14ac:dyDescent="0.25">
      <c r="B2578" s="16">
        <v>1</v>
      </c>
      <c r="C2578" s="7">
        <v>1</v>
      </c>
      <c r="D2578" s="8">
        <v>1</v>
      </c>
      <c r="E2578" s="8">
        <v>1</v>
      </c>
      <c r="F2578" s="8">
        <v>0</v>
      </c>
      <c r="G2578" s="8">
        <v>0</v>
      </c>
      <c r="H2578" s="8">
        <v>0</v>
      </c>
      <c r="I2578" s="8">
        <v>0</v>
      </c>
      <c r="J2578" s="8">
        <v>0</v>
      </c>
      <c r="K2578" s="9">
        <v>1</v>
      </c>
      <c r="L2578" s="10">
        <v>0</v>
      </c>
      <c r="M2578" s="6">
        <v>1</v>
      </c>
      <c r="N2578" s="37" t="e" cm="1">
        <f t="array" ref="N2578">IF(OR(ISNUMBER(FIND(Aux!$D$3:$D$9,_xlfn.TEXTJOIN(,,C2578:K2578)))),NA(),IF(AND(SUM(C2578:F2578,H2578:K2578)=0,G2578=1),0,INT((SUMPRODUCT(C2578:F2578,COLUMN($A$1:$D$1)-1)+SUMPRODUCT(H2578:K2578,COLUMN($E$1:$H$1)-1))*'Line Follower'!$C$3/SUM(C2578:F2578,H2578:K2578)-'Line Follower'!$C$5)))</f>
        <v>#N/A</v>
      </c>
      <c r="O2578" s="22" t="e">
        <v>#N/A</v>
      </c>
      <c r="P2578" s="4" t="e">
        <f t="shared" si="200"/>
        <v>#N/A</v>
      </c>
      <c r="Q2578" s="4" t="e">
        <f t="shared" si="201"/>
        <v>#N/A</v>
      </c>
      <c r="R2578" s="4" t="e">
        <f>IF(AND(B2578=1,N2578&gt;'Line Follower'!$C$7,SUM(C2578:K2578)&lt;4),1,0)</f>
        <v>#N/A</v>
      </c>
      <c r="S2578" s="4" t="e">
        <f>IF(AND(L2578=1,N2578&lt;'Line Follower'!$C$6,SUM(C2578:K2578)&lt;4),1,0)</f>
        <v>#N/A</v>
      </c>
      <c r="T2578" s="4" t="e">
        <f t="shared" si="202"/>
        <v>#N/A</v>
      </c>
      <c r="U2578" s="5" t="e">
        <f t="shared" si="203"/>
        <v>#N/A</v>
      </c>
      <c r="V2578" s="23" t="e">
        <f t="shared" si="204"/>
        <v>#N/A</v>
      </c>
    </row>
    <row r="2579" spans="2:22" x14ac:dyDescent="0.25">
      <c r="B2579" s="16">
        <v>0</v>
      </c>
      <c r="C2579" s="7">
        <v>0</v>
      </c>
      <c r="D2579" s="8">
        <v>0</v>
      </c>
      <c r="E2579" s="8">
        <v>0</v>
      </c>
      <c r="F2579" s="8">
        <v>1</v>
      </c>
      <c r="G2579" s="8">
        <v>0</v>
      </c>
      <c r="H2579" s="8">
        <v>0</v>
      </c>
      <c r="I2579" s="8">
        <v>0</v>
      </c>
      <c r="J2579" s="8">
        <v>0</v>
      </c>
      <c r="K2579" s="9">
        <v>1</v>
      </c>
      <c r="L2579" s="10">
        <v>0</v>
      </c>
      <c r="M2579" s="6">
        <v>1</v>
      </c>
      <c r="N2579" s="37" t="e" cm="1">
        <f t="array" ref="N2579">IF(OR(ISNUMBER(FIND(Aux!$D$3:$D$9,_xlfn.TEXTJOIN(,,C2579:K2579)))),NA(),IF(AND(SUM(C2579:F2579,H2579:K2579)=0,G2579=1),0,INT((SUMPRODUCT(C2579:F2579,COLUMN($A$1:$D$1)-1)+SUMPRODUCT(H2579:K2579,COLUMN($E$1:$H$1)-1))*'Line Follower'!$C$3/SUM(C2579:F2579,H2579:K2579)-'Line Follower'!$C$5)))</f>
        <v>#N/A</v>
      </c>
      <c r="O2579" s="22" t="e">
        <v>#N/A</v>
      </c>
      <c r="P2579" s="4" t="e">
        <f t="shared" si="200"/>
        <v>#N/A</v>
      </c>
      <c r="Q2579" s="4" t="e">
        <f t="shared" si="201"/>
        <v>#N/A</v>
      </c>
      <c r="R2579" s="4" t="e">
        <f>IF(AND(B2579=1,N2579&gt;'Line Follower'!$C$7,SUM(C2579:K2579)&lt;4),1,0)</f>
        <v>#N/A</v>
      </c>
      <c r="S2579" s="4" t="e">
        <f>IF(AND(L2579=1,N2579&lt;'Line Follower'!$C$6,SUM(C2579:K2579)&lt;4),1,0)</f>
        <v>#N/A</v>
      </c>
      <c r="T2579" s="4" t="e">
        <f t="shared" si="202"/>
        <v>#N/A</v>
      </c>
      <c r="U2579" s="5" t="e">
        <f t="shared" si="203"/>
        <v>#N/A</v>
      </c>
      <c r="V2579" s="23" t="e">
        <f t="shared" si="204"/>
        <v>#N/A</v>
      </c>
    </row>
    <row r="2580" spans="2:22" x14ac:dyDescent="0.25">
      <c r="B2580" s="16">
        <v>1</v>
      </c>
      <c r="C2580" s="7">
        <v>0</v>
      </c>
      <c r="D2580" s="8">
        <v>0</v>
      </c>
      <c r="E2580" s="8">
        <v>0</v>
      </c>
      <c r="F2580" s="8">
        <v>1</v>
      </c>
      <c r="G2580" s="8">
        <v>0</v>
      </c>
      <c r="H2580" s="8">
        <v>0</v>
      </c>
      <c r="I2580" s="8">
        <v>0</v>
      </c>
      <c r="J2580" s="8">
        <v>0</v>
      </c>
      <c r="K2580" s="9">
        <v>1</v>
      </c>
      <c r="L2580" s="10">
        <v>0</v>
      </c>
      <c r="M2580" s="6">
        <v>1</v>
      </c>
      <c r="N2580" s="37" t="e" cm="1">
        <f t="array" ref="N2580">IF(OR(ISNUMBER(FIND(Aux!$D$3:$D$9,_xlfn.TEXTJOIN(,,C2580:K2580)))),NA(),IF(AND(SUM(C2580:F2580,H2580:K2580)=0,G2580=1),0,INT((SUMPRODUCT(C2580:F2580,COLUMN($A$1:$D$1)-1)+SUMPRODUCT(H2580:K2580,COLUMN($E$1:$H$1)-1))*'Line Follower'!$C$3/SUM(C2580:F2580,H2580:K2580)-'Line Follower'!$C$5)))</f>
        <v>#N/A</v>
      </c>
      <c r="O2580" s="22" t="e">
        <v>#N/A</v>
      </c>
      <c r="P2580" s="4" t="e">
        <f t="shared" si="200"/>
        <v>#N/A</v>
      </c>
      <c r="Q2580" s="4" t="e">
        <f t="shared" si="201"/>
        <v>#N/A</v>
      </c>
      <c r="R2580" s="4" t="e">
        <f>IF(AND(B2580=1,N2580&gt;'Line Follower'!$C$7,SUM(C2580:K2580)&lt;4),1,0)</f>
        <v>#N/A</v>
      </c>
      <c r="S2580" s="4" t="e">
        <f>IF(AND(L2580=1,N2580&lt;'Line Follower'!$C$6,SUM(C2580:K2580)&lt;4),1,0)</f>
        <v>#N/A</v>
      </c>
      <c r="T2580" s="4" t="e">
        <f t="shared" si="202"/>
        <v>#N/A</v>
      </c>
      <c r="U2580" s="5" t="e">
        <f t="shared" si="203"/>
        <v>#N/A</v>
      </c>
      <c r="V2580" s="23" t="e">
        <f t="shared" si="204"/>
        <v>#N/A</v>
      </c>
    </row>
    <row r="2581" spans="2:22" x14ac:dyDescent="0.25">
      <c r="B2581" s="16">
        <v>0</v>
      </c>
      <c r="C2581" s="7">
        <v>1</v>
      </c>
      <c r="D2581" s="8">
        <v>0</v>
      </c>
      <c r="E2581" s="8">
        <v>0</v>
      </c>
      <c r="F2581" s="8">
        <v>1</v>
      </c>
      <c r="G2581" s="8">
        <v>0</v>
      </c>
      <c r="H2581" s="8">
        <v>0</v>
      </c>
      <c r="I2581" s="8">
        <v>0</v>
      </c>
      <c r="J2581" s="8">
        <v>0</v>
      </c>
      <c r="K2581" s="9">
        <v>1</v>
      </c>
      <c r="L2581" s="10">
        <v>0</v>
      </c>
      <c r="M2581" s="6">
        <v>1</v>
      </c>
      <c r="N2581" s="37" t="e" cm="1">
        <f t="array" ref="N2581">IF(OR(ISNUMBER(FIND(Aux!$D$3:$D$9,_xlfn.TEXTJOIN(,,C2581:K2581)))),NA(),IF(AND(SUM(C2581:F2581,H2581:K2581)=0,G2581=1),0,INT((SUMPRODUCT(C2581:F2581,COLUMN($A$1:$D$1)-1)+SUMPRODUCT(H2581:K2581,COLUMN($E$1:$H$1)-1))*'Line Follower'!$C$3/SUM(C2581:F2581,H2581:K2581)-'Line Follower'!$C$5)))</f>
        <v>#N/A</v>
      </c>
      <c r="O2581" s="22" t="e">
        <v>#N/A</v>
      </c>
      <c r="P2581" s="4" t="e">
        <f t="shared" si="200"/>
        <v>#N/A</v>
      </c>
      <c r="Q2581" s="4" t="e">
        <f t="shared" si="201"/>
        <v>#N/A</v>
      </c>
      <c r="R2581" s="4" t="e">
        <f>IF(AND(B2581=1,N2581&gt;'Line Follower'!$C$7,SUM(C2581:K2581)&lt;4),1,0)</f>
        <v>#N/A</v>
      </c>
      <c r="S2581" s="4" t="e">
        <f>IF(AND(L2581=1,N2581&lt;'Line Follower'!$C$6,SUM(C2581:K2581)&lt;4),1,0)</f>
        <v>#N/A</v>
      </c>
      <c r="T2581" s="4" t="e">
        <f t="shared" si="202"/>
        <v>#N/A</v>
      </c>
      <c r="U2581" s="5" t="e">
        <f t="shared" si="203"/>
        <v>#N/A</v>
      </c>
      <c r="V2581" s="23" t="e">
        <f t="shared" si="204"/>
        <v>#N/A</v>
      </c>
    </row>
    <row r="2582" spans="2:22" x14ac:dyDescent="0.25">
      <c r="B2582" s="16">
        <v>1</v>
      </c>
      <c r="C2582" s="7">
        <v>1</v>
      </c>
      <c r="D2582" s="8">
        <v>0</v>
      </c>
      <c r="E2582" s="8">
        <v>0</v>
      </c>
      <c r="F2582" s="8">
        <v>1</v>
      </c>
      <c r="G2582" s="8">
        <v>0</v>
      </c>
      <c r="H2582" s="8">
        <v>0</v>
      </c>
      <c r="I2582" s="8">
        <v>0</v>
      </c>
      <c r="J2582" s="8">
        <v>0</v>
      </c>
      <c r="K2582" s="9">
        <v>1</v>
      </c>
      <c r="L2582" s="10">
        <v>0</v>
      </c>
      <c r="M2582" s="6">
        <v>1</v>
      </c>
      <c r="N2582" s="37" t="e" cm="1">
        <f t="array" ref="N2582">IF(OR(ISNUMBER(FIND(Aux!$D$3:$D$9,_xlfn.TEXTJOIN(,,C2582:K2582)))),NA(),IF(AND(SUM(C2582:F2582,H2582:K2582)=0,G2582=1),0,INT((SUMPRODUCT(C2582:F2582,COLUMN($A$1:$D$1)-1)+SUMPRODUCT(H2582:K2582,COLUMN($E$1:$H$1)-1))*'Line Follower'!$C$3/SUM(C2582:F2582,H2582:K2582)-'Line Follower'!$C$5)))</f>
        <v>#N/A</v>
      </c>
      <c r="O2582" s="22" t="e">
        <v>#N/A</v>
      </c>
      <c r="P2582" s="4" t="e">
        <f t="shared" si="200"/>
        <v>#N/A</v>
      </c>
      <c r="Q2582" s="4" t="e">
        <f t="shared" si="201"/>
        <v>#N/A</v>
      </c>
      <c r="R2582" s="4" t="e">
        <f>IF(AND(B2582=1,N2582&gt;'Line Follower'!$C$7,SUM(C2582:K2582)&lt;4),1,0)</f>
        <v>#N/A</v>
      </c>
      <c r="S2582" s="4" t="e">
        <f>IF(AND(L2582=1,N2582&lt;'Line Follower'!$C$6,SUM(C2582:K2582)&lt;4),1,0)</f>
        <v>#N/A</v>
      </c>
      <c r="T2582" s="4" t="e">
        <f t="shared" si="202"/>
        <v>#N/A</v>
      </c>
      <c r="U2582" s="5" t="e">
        <f t="shared" si="203"/>
        <v>#N/A</v>
      </c>
      <c r="V2582" s="23" t="e">
        <f t="shared" si="204"/>
        <v>#N/A</v>
      </c>
    </row>
    <row r="2583" spans="2:22" x14ac:dyDescent="0.25">
      <c r="B2583" s="16">
        <v>0</v>
      </c>
      <c r="C2583" s="7">
        <v>0</v>
      </c>
      <c r="D2583" s="8">
        <v>1</v>
      </c>
      <c r="E2583" s="8">
        <v>0</v>
      </c>
      <c r="F2583" s="8">
        <v>1</v>
      </c>
      <c r="G2583" s="8">
        <v>0</v>
      </c>
      <c r="H2583" s="8">
        <v>0</v>
      </c>
      <c r="I2583" s="8">
        <v>0</v>
      </c>
      <c r="J2583" s="8">
        <v>0</v>
      </c>
      <c r="K2583" s="9">
        <v>1</v>
      </c>
      <c r="L2583" s="10">
        <v>0</v>
      </c>
      <c r="M2583" s="6">
        <v>1</v>
      </c>
      <c r="N2583" s="37" t="e" cm="1">
        <f t="array" ref="N2583">IF(OR(ISNUMBER(FIND(Aux!$D$3:$D$9,_xlfn.TEXTJOIN(,,C2583:K2583)))),NA(),IF(AND(SUM(C2583:F2583,H2583:K2583)=0,G2583=1),0,INT((SUMPRODUCT(C2583:F2583,COLUMN($A$1:$D$1)-1)+SUMPRODUCT(H2583:K2583,COLUMN($E$1:$H$1)-1))*'Line Follower'!$C$3/SUM(C2583:F2583,H2583:K2583)-'Line Follower'!$C$5)))</f>
        <v>#N/A</v>
      </c>
      <c r="O2583" s="22" t="e">
        <v>#N/A</v>
      </c>
      <c r="P2583" s="4" t="e">
        <f t="shared" si="200"/>
        <v>#N/A</v>
      </c>
      <c r="Q2583" s="4" t="e">
        <f t="shared" si="201"/>
        <v>#N/A</v>
      </c>
      <c r="R2583" s="4" t="e">
        <f>IF(AND(B2583=1,N2583&gt;'Line Follower'!$C$7,SUM(C2583:K2583)&lt;4),1,0)</f>
        <v>#N/A</v>
      </c>
      <c r="S2583" s="4" t="e">
        <f>IF(AND(L2583=1,N2583&lt;'Line Follower'!$C$6,SUM(C2583:K2583)&lt;4),1,0)</f>
        <v>#N/A</v>
      </c>
      <c r="T2583" s="4" t="e">
        <f t="shared" si="202"/>
        <v>#N/A</v>
      </c>
      <c r="U2583" s="5" t="e">
        <f t="shared" si="203"/>
        <v>#N/A</v>
      </c>
      <c r="V2583" s="23" t="e">
        <f t="shared" si="204"/>
        <v>#N/A</v>
      </c>
    </row>
    <row r="2584" spans="2:22" x14ac:dyDescent="0.25">
      <c r="B2584" s="16">
        <v>1</v>
      </c>
      <c r="C2584" s="7">
        <v>0</v>
      </c>
      <c r="D2584" s="8">
        <v>1</v>
      </c>
      <c r="E2584" s="8">
        <v>0</v>
      </c>
      <c r="F2584" s="8">
        <v>1</v>
      </c>
      <c r="G2584" s="8">
        <v>0</v>
      </c>
      <c r="H2584" s="8">
        <v>0</v>
      </c>
      <c r="I2584" s="8">
        <v>0</v>
      </c>
      <c r="J2584" s="8">
        <v>0</v>
      </c>
      <c r="K2584" s="9">
        <v>1</v>
      </c>
      <c r="L2584" s="10">
        <v>0</v>
      </c>
      <c r="M2584" s="6">
        <v>1</v>
      </c>
      <c r="N2584" s="37" t="e" cm="1">
        <f t="array" ref="N2584">IF(OR(ISNUMBER(FIND(Aux!$D$3:$D$9,_xlfn.TEXTJOIN(,,C2584:K2584)))),NA(),IF(AND(SUM(C2584:F2584,H2584:K2584)=0,G2584=1),0,INT((SUMPRODUCT(C2584:F2584,COLUMN($A$1:$D$1)-1)+SUMPRODUCT(H2584:K2584,COLUMN($E$1:$H$1)-1))*'Line Follower'!$C$3/SUM(C2584:F2584,H2584:K2584)-'Line Follower'!$C$5)))</f>
        <v>#N/A</v>
      </c>
      <c r="O2584" s="22" t="e">
        <v>#N/A</v>
      </c>
      <c r="P2584" s="4" t="e">
        <f t="shared" si="200"/>
        <v>#N/A</v>
      </c>
      <c r="Q2584" s="4" t="e">
        <f t="shared" si="201"/>
        <v>#N/A</v>
      </c>
      <c r="R2584" s="4" t="e">
        <f>IF(AND(B2584=1,N2584&gt;'Line Follower'!$C$7,SUM(C2584:K2584)&lt;4),1,0)</f>
        <v>#N/A</v>
      </c>
      <c r="S2584" s="4" t="e">
        <f>IF(AND(L2584=1,N2584&lt;'Line Follower'!$C$6,SUM(C2584:K2584)&lt;4),1,0)</f>
        <v>#N/A</v>
      </c>
      <c r="T2584" s="4" t="e">
        <f t="shared" si="202"/>
        <v>#N/A</v>
      </c>
      <c r="U2584" s="5" t="e">
        <f t="shared" si="203"/>
        <v>#N/A</v>
      </c>
      <c r="V2584" s="23" t="e">
        <f t="shared" si="204"/>
        <v>#N/A</v>
      </c>
    </row>
    <row r="2585" spans="2:22" x14ac:dyDescent="0.25">
      <c r="B2585" s="16">
        <v>0</v>
      </c>
      <c r="C2585" s="7">
        <v>1</v>
      </c>
      <c r="D2585" s="8">
        <v>1</v>
      </c>
      <c r="E2585" s="8">
        <v>0</v>
      </c>
      <c r="F2585" s="8">
        <v>1</v>
      </c>
      <c r="G2585" s="8">
        <v>0</v>
      </c>
      <c r="H2585" s="8">
        <v>0</v>
      </c>
      <c r="I2585" s="8">
        <v>0</v>
      </c>
      <c r="J2585" s="8">
        <v>0</v>
      </c>
      <c r="K2585" s="9">
        <v>1</v>
      </c>
      <c r="L2585" s="10">
        <v>0</v>
      </c>
      <c r="M2585" s="6">
        <v>1</v>
      </c>
      <c r="N2585" s="37" t="e" cm="1">
        <f t="array" ref="N2585">IF(OR(ISNUMBER(FIND(Aux!$D$3:$D$9,_xlfn.TEXTJOIN(,,C2585:K2585)))),NA(),IF(AND(SUM(C2585:F2585,H2585:K2585)=0,G2585=1),0,INT((SUMPRODUCT(C2585:F2585,COLUMN($A$1:$D$1)-1)+SUMPRODUCT(H2585:K2585,COLUMN($E$1:$H$1)-1))*'Line Follower'!$C$3/SUM(C2585:F2585,H2585:K2585)-'Line Follower'!$C$5)))</f>
        <v>#N/A</v>
      </c>
      <c r="O2585" s="22" t="e">
        <v>#N/A</v>
      </c>
      <c r="P2585" s="4" t="e">
        <f t="shared" si="200"/>
        <v>#N/A</v>
      </c>
      <c r="Q2585" s="4" t="e">
        <f t="shared" si="201"/>
        <v>#N/A</v>
      </c>
      <c r="R2585" s="4" t="e">
        <f>IF(AND(B2585=1,N2585&gt;'Line Follower'!$C$7,SUM(C2585:K2585)&lt;4),1,0)</f>
        <v>#N/A</v>
      </c>
      <c r="S2585" s="4" t="e">
        <f>IF(AND(L2585=1,N2585&lt;'Line Follower'!$C$6,SUM(C2585:K2585)&lt;4),1,0)</f>
        <v>#N/A</v>
      </c>
      <c r="T2585" s="4" t="e">
        <f t="shared" si="202"/>
        <v>#N/A</v>
      </c>
      <c r="U2585" s="5" t="e">
        <f t="shared" si="203"/>
        <v>#N/A</v>
      </c>
      <c r="V2585" s="23" t="e">
        <f t="shared" si="204"/>
        <v>#N/A</v>
      </c>
    </row>
    <row r="2586" spans="2:22" x14ac:dyDescent="0.25">
      <c r="B2586" s="16">
        <v>1</v>
      </c>
      <c r="C2586" s="7">
        <v>1</v>
      </c>
      <c r="D2586" s="8">
        <v>1</v>
      </c>
      <c r="E2586" s="8">
        <v>0</v>
      </c>
      <c r="F2586" s="8">
        <v>1</v>
      </c>
      <c r="G2586" s="8">
        <v>0</v>
      </c>
      <c r="H2586" s="8">
        <v>0</v>
      </c>
      <c r="I2586" s="8">
        <v>0</v>
      </c>
      <c r="J2586" s="8">
        <v>0</v>
      </c>
      <c r="K2586" s="9">
        <v>1</v>
      </c>
      <c r="L2586" s="10">
        <v>0</v>
      </c>
      <c r="M2586" s="6">
        <v>1</v>
      </c>
      <c r="N2586" s="37" t="e" cm="1">
        <f t="array" ref="N2586">IF(OR(ISNUMBER(FIND(Aux!$D$3:$D$9,_xlfn.TEXTJOIN(,,C2586:K2586)))),NA(),IF(AND(SUM(C2586:F2586,H2586:K2586)=0,G2586=1),0,INT((SUMPRODUCT(C2586:F2586,COLUMN($A$1:$D$1)-1)+SUMPRODUCT(H2586:K2586,COLUMN($E$1:$H$1)-1))*'Line Follower'!$C$3/SUM(C2586:F2586,H2586:K2586)-'Line Follower'!$C$5)))</f>
        <v>#N/A</v>
      </c>
      <c r="O2586" s="22" t="e">
        <v>#N/A</v>
      </c>
      <c r="P2586" s="4" t="e">
        <f t="shared" si="200"/>
        <v>#N/A</v>
      </c>
      <c r="Q2586" s="4" t="e">
        <f t="shared" si="201"/>
        <v>#N/A</v>
      </c>
      <c r="R2586" s="4" t="e">
        <f>IF(AND(B2586=1,N2586&gt;'Line Follower'!$C$7,SUM(C2586:K2586)&lt;4),1,0)</f>
        <v>#N/A</v>
      </c>
      <c r="S2586" s="4" t="e">
        <f>IF(AND(L2586=1,N2586&lt;'Line Follower'!$C$6,SUM(C2586:K2586)&lt;4),1,0)</f>
        <v>#N/A</v>
      </c>
      <c r="T2586" s="4" t="e">
        <f t="shared" si="202"/>
        <v>#N/A</v>
      </c>
      <c r="U2586" s="5" t="e">
        <f t="shared" si="203"/>
        <v>#N/A</v>
      </c>
      <c r="V2586" s="23" t="e">
        <f t="shared" si="204"/>
        <v>#N/A</v>
      </c>
    </row>
    <row r="2587" spans="2:22" x14ac:dyDescent="0.25">
      <c r="B2587" s="16">
        <v>0</v>
      </c>
      <c r="C2587" s="7">
        <v>0</v>
      </c>
      <c r="D2587" s="8">
        <v>0</v>
      </c>
      <c r="E2587" s="8">
        <v>1</v>
      </c>
      <c r="F2587" s="8">
        <v>1</v>
      </c>
      <c r="G2587" s="8">
        <v>0</v>
      </c>
      <c r="H2587" s="8">
        <v>0</v>
      </c>
      <c r="I2587" s="8">
        <v>0</v>
      </c>
      <c r="J2587" s="8">
        <v>0</v>
      </c>
      <c r="K2587" s="9">
        <v>1</v>
      </c>
      <c r="L2587" s="10">
        <v>0</v>
      </c>
      <c r="M2587" s="6">
        <v>1</v>
      </c>
      <c r="N2587" s="37" t="e" cm="1">
        <f t="array" ref="N2587">IF(OR(ISNUMBER(FIND(Aux!$D$3:$D$9,_xlfn.TEXTJOIN(,,C2587:K2587)))),NA(),IF(AND(SUM(C2587:F2587,H2587:K2587)=0,G2587=1),0,INT((SUMPRODUCT(C2587:F2587,COLUMN($A$1:$D$1)-1)+SUMPRODUCT(H2587:K2587,COLUMN($E$1:$H$1)-1))*'Line Follower'!$C$3/SUM(C2587:F2587,H2587:K2587)-'Line Follower'!$C$5)))</f>
        <v>#N/A</v>
      </c>
      <c r="O2587" s="22" t="e">
        <v>#N/A</v>
      </c>
      <c r="P2587" s="4" t="e">
        <f t="shared" si="200"/>
        <v>#N/A</v>
      </c>
      <c r="Q2587" s="4" t="e">
        <f t="shared" si="201"/>
        <v>#N/A</v>
      </c>
      <c r="R2587" s="4" t="e">
        <f>IF(AND(B2587=1,N2587&gt;'Line Follower'!$C$7,SUM(C2587:K2587)&lt;4),1,0)</f>
        <v>#N/A</v>
      </c>
      <c r="S2587" s="4" t="e">
        <f>IF(AND(L2587=1,N2587&lt;'Line Follower'!$C$6,SUM(C2587:K2587)&lt;4),1,0)</f>
        <v>#N/A</v>
      </c>
      <c r="T2587" s="4" t="e">
        <f t="shared" si="202"/>
        <v>#N/A</v>
      </c>
      <c r="U2587" s="5" t="e">
        <f t="shared" si="203"/>
        <v>#N/A</v>
      </c>
      <c r="V2587" s="23" t="e">
        <f t="shared" si="204"/>
        <v>#N/A</v>
      </c>
    </row>
    <row r="2588" spans="2:22" x14ac:dyDescent="0.25">
      <c r="B2588" s="16">
        <v>1</v>
      </c>
      <c r="C2588" s="7">
        <v>0</v>
      </c>
      <c r="D2588" s="8">
        <v>0</v>
      </c>
      <c r="E2588" s="8">
        <v>1</v>
      </c>
      <c r="F2588" s="8">
        <v>1</v>
      </c>
      <c r="G2588" s="8">
        <v>0</v>
      </c>
      <c r="H2588" s="8">
        <v>0</v>
      </c>
      <c r="I2588" s="8">
        <v>0</v>
      </c>
      <c r="J2588" s="8">
        <v>0</v>
      </c>
      <c r="K2588" s="9">
        <v>1</v>
      </c>
      <c r="L2588" s="10">
        <v>0</v>
      </c>
      <c r="M2588" s="6">
        <v>1</v>
      </c>
      <c r="N2588" s="37" t="e" cm="1">
        <f t="array" ref="N2588">IF(OR(ISNUMBER(FIND(Aux!$D$3:$D$9,_xlfn.TEXTJOIN(,,C2588:K2588)))),NA(),IF(AND(SUM(C2588:F2588,H2588:K2588)=0,G2588=1),0,INT((SUMPRODUCT(C2588:F2588,COLUMN($A$1:$D$1)-1)+SUMPRODUCT(H2588:K2588,COLUMN($E$1:$H$1)-1))*'Line Follower'!$C$3/SUM(C2588:F2588,H2588:K2588)-'Line Follower'!$C$5)))</f>
        <v>#N/A</v>
      </c>
      <c r="O2588" s="22" t="e">
        <v>#N/A</v>
      </c>
      <c r="P2588" s="4" t="e">
        <f t="shared" si="200"/>
        <v>#N/A</v>
      </c>
      <c r="Q2588" s="4" t="e">
        <f t="shared" si="201"/>
        <v>#N/A</v>
      </c>
      <c r="R2588" s="4" t="e">
        <f>IF(AND(B2588=1,N2588&gt;'Line Follower'!$C$7,SUM(C2588:K2588)&lt;4),1,0)</f>
        <v>#N/A</v>
      </c>
      <c r="S2588" s="4" t="e">
        <f>IF(AND(L2588=1,N2588&lt;'Line Follower'!$C$6,SUM(C2588:K2588)&lt;4),1,0)</f>
        <v>#N/A</v>
      </c>
      <c r="T2588" s="4" t="e">
        <f t="shared" si="202"/>
        <v>#N/A</v>
      </c>
      <c r="U2588" s="5" t="e">
        <f t="shared" si="203"/>
        <v>#N/A</v>
      </c>
      <c r="V2588" s="23" t="e">
        <f t="shared" si="204"/>
        <v>#N/A</v>
      </c>
    </row>
    <row r="2589" spans="2:22" x14ac:dyDescent="0.25">
      <c r="B2589" s="16">
        <v>0</v>
      </c>
      <c r="C2589" s="7">
        <v>1</v>
      </c>
      <c r="D2589" s="8">
        <v>0</v>
      </c>
      <c r="E2589" s="8">
        <v>1</v>
      </c>
      <c r="F2589" s="8">
        <v>1</v>
      </c>
      <c r="G2589" s="8">
        <v>0</v>
      </c>
      <c r="H2589" s="8">
        <v>0</v>
      </c>
      <c r="I2589" s="8">
        <v>0</v>
      </c>
      <c r="J2589" s="8">
        <v>0</v>
      </c>
      <c r="K2589" s="9">
        <v>1</v>
      </c>
      <c r="L2589" s="10">
        <v>0</v>
      </c>
      <c r="M2589" s="6">
        <v>1</v>
      </c>
      <c r="N2589" s="37" t="e" cm="1">
        <f t="array" ref="N2589">IF(OR(ISNUMBER(FIND(Aux!$D$3:$D$9,_xlfn.TEXTJOIN(,,C2589:K2589)))),NA(),IF(AND(SUM(C2589:F2589,H2589:K2589)=0,G2589=1),0,INT((SUMPRODUCT(C2589:F2589,COLUMN($A$1:$D$1)-1)+SUMPRODUCT(H2589:K2589,COLUMN($E$1:$H$1)-1))*'Line Follower'!$C$3/SUM(C2589:F2589,H2589:K2589)-'Line Follower'!$C$5)))</f>
        <v>#N/A</v>
      </c>
      <c r="O2589" s="22" t="e">
        <v>#N/A</v>
      </c>
      <c r="P2589" s="4" t="e">
        <f t="shared" si="200"/>
        <v>#N/A</v>
      </c>
      <c r="Q2589" s="4" t="e">
        <f t="shared" si="201"/>
        <v>#N/A</v>
      </c>
      <c r="R2589" s="4" t="e">
        <f>IF(AND(B2589=1,N2589&gt;'Line Follower'!$C$7,SUM(C2589:K2589)&lt;4),1,0)</f>
        <v>#N/A</v>
      </c>
      <c r="S2589" s="4" t="e">
        <f>IF(AND(L2589=1,N2589&lt;'Line Follower'!$C$6,SUM(C2589:K2589)&lt;4),1,0)</f>
        <v>#N/A</v>
      </c>
      <c r="T2589" s="4" t="e">
        <f t="shared" si="202"/>
        <v>#N/A</v>
      </c>
      <c r="U2589" s="5" t="e">
        <f t="shared" si="203"/>
        <v>#N/A</v>
      </c>
      <c r="V2589" s="23" t="e">
        <f t="shared" si="204"/>
        <v>#N/A</v>
      </c>
    </row>
    <row r="2590" spans="2:22" x14ac:dyDescent="0.25">
      <c r="B2590" s="16">
        <v>1</v>
      </c>
      <c r="C2590" s="7">
        <v>1</v>
      </c>
      <c r="D2590" s="8">
        <v>0</v>
      </c>
      <c r="E2590" s="8">
        <v>1</v>
      </c>
      <c r="F2590" s="8">
        <v>1</v>
      </c>
      <c r="G2590" s="8">
        <v>0</v>
      </c>
      <c r="H2590" s="8">
        <v>0</v>
      </c>
      <c r="I2590" s="8">
        <v>0</v>
      </c>
      <c r="J2590" s="8">
        <v>0</v>
      </c>
      <c r="K2590" s="9">
        <v>1</v>
      </c>
      <c r="L2590" s="10">
        <v>0</v>
      </c>
      <c r="M2590" s="6">
        <v>1</v>
      </c>
      <c r="N2590" s="37" t="e" cm="1">
        <f t="array" ref="N2590">IF(OR(ISNUMBER(FIND(Aux!$D$3:$D$9,_xlfn.TEXTJOIN(,,C2590:K2590)))),NA(),IF(AND(SUM(C2590:F2590,H2590:K2590)=0,G2590=1),0,INT((SUMPRODUCT(C2590:F2590,COLUMN($A$1:$D$1)-1)+SUMPRODUCT(H2590:K2590,COLUMN($E$1:$H$1)-1))*'Line Follower'!$C$3/SUM(C2590:F2590,H2590:K2590)-'Line Follower'!$C$5)))</f>
        <v>#N/A</v>
      </c>
      <c r="O2590" s="22" t="e">
        <v>#N/A</v>
      </c>
      <c r="P2590" s="4" t="e">
        <f t="shared" si="200"/>
        <v>#N/A</v>
      </c>
      <c r="Q2590" s="4" t="e">
        <f t="shared" si="201"/>
        <v>#N/A</v>
      </c>
      <c r="R2590" s="4" t="e">
        <f>IF(AND(B2590=1,N2590&gt;'Line Follower'!$C$7,SUM(C2590:K2590)&lt;4),1,0)</f>
        <v>#N/A</v>
      </c>
      <c r="S2590" s="4" t="e">
        <f>IF(AND(L2590=1,N2590&lt;'Line Follower'!$C$6,SUM(C2590:K2590)&lt;4),1,0)</f>
        <v>#N/A</v>
      </c>
      <c r="T2590" s="4" t="e">
        <f t="shared" si="202"/>
        <v>#N/A</v>
      </c>
      <c r="U2590" s="5" t="e">
        <f t="shared" si="203"/>
        <v>#N/A</v>
      </c>
      <c r="V2590" s="23" t="e">
        <f t="shared" si="204"/>
        <v>#N/A</v>
      </c>
    </row>
    <row r="2591" spans="2:22" x14ac:dyDescent="0.25">
      <c r="B2591" s="16">
        <v>0</v>
      </c>
      <c r="C2591" s="7">
        <v>0</v>
      </c>
      <c r="D2591" s="8">
        <v>1</v>
      </c>
      <c r="E2591" s="8">
        <v>1</v>
      </c>
      <c r="F2591" s="8">
        <v>1</v>
      </c>
      <c r="G2591" s="8">
        <v>0</v>
      </c>
      <c r="H2591" s="8">
        <v>0</v>
      </c>
      <c r="I2591" s="8">
        <v>0</v>
      </c>
      <c r="J2591" s="8">
        <v>0</v>
      </c>
      <c r="K2591" s="9">
        <v>1</v>
      </c>
      <c r="L2591" s="10">
        <v>0</v>
      </c>
      <c r="M2591" s="6">
        <v>1</v>
      </c>
      <c r="N2591" s="37" t="e" cm="1">
        <f t="array" ref="N2591">IF(OR(ISNUMBER(FIND(Aux!$D$3:$D$9,_xlfn.TEXTJOIN(,,C2591:K2591)))),NA(),IF(AND(SUM(C2591:F2591,H2591:K2591)=0,G2591=1),0,INT((SUMPRODUCT(C2591:F2591,COLUMN($A$1:$D$1)-1)+SUMPRODUCT(H2591:K2591,COLUMN($E$1:$H$1)-1))*'Line Follower'!$C$3/SUM(C2591:F2591,H2591:K2591)-'Line Follower'!$C$5)))</f>
        <v>#N/A</v>
      </c>
      <c r="O2591" s="22" t="e">
        <v>#N/A</v>
      </c>
      <c r="P2591" s="4" t="e">
        <f t="shared" si="200"/>
        <v>#N/A</v>
      </c>
      <c r="Q2591" s="4" t="e">
        <f t="shared" si="201"/>
        <v>#N/A</v>
      </c>
      <c r="R2591" s="4" t="e">
        <f>IF(AND(B2591=1,N2591&gt;'Line Follower'!$C$7,SUM(C2591:K2591)&lt;4),1,0)</f>
        <v>#N/A</v>
      </c>
      <c r="S2591" s="4" t="e">
        <f>IF(AND(L2591=1,N2591&lt;'Line Follower'!$C$6,SUM(C2591:K2591)&lt;4),1,0)</f>
        <v>#N/A</v>
      </c>
      <c r="T2591" s="4" t="e">
        <f t="shared" si="202"/>
        <v>#N/A</v>
      </c>
      <c r="U2591" s="5" t="e">
        <f t="shared" si="203"/>
        <v>#N/A</v>
      </c>
      <c r="V2591" s="23" t="e">
        <f t="shared" si="204"/>
        <v>#N/A</v>
      </c>
    </row>
    <row r="2592" spans="2:22" x14ac:dyDescent="0.25">
      <c r="B2592" s="16">
        <v>1</v>
      </c>
      <c r="C2592" s="7">
        <v>0</v>
      </c>
      <c r="D2592" s="8">
        <v>1</v>
      </c>
      <c r="E2592" s="8">
        <v>1</v>
      </c>
      <c r="F2592" s="8">
        <v>1</v>
      </c>
      <c r="G2592" s="8">
        <v>0</v>
      </c>
      <c r="H2592" s="8">
        <v>0</v>
      </c>
      <c r="I2592" s="8">
        <v>0</v>
      </c>
      <c r="J2592" s="8">
        <v>0</v>
      </c>
      <c r="K2592" s="9">
        <v>1</v>
      </c>
      <c r="L2592" s="10">
        <v>0</v>
      </c>
      <c r="M2592" s="6">
        <v>1</v>
      </c>
      <c r="N2592" s="37" t="e" cm="1">
        <f t="array" ref="N2592">IF(OR(ISNUMBER(FIND(Aux!$D$3:$D$9,_xlfn.TEXTJOIN(,,C2592:K2592)))),NA(),IF(AND(SUM(C2592:F2592,H2592:K2592)=0,G2592=1),0,INT((SUMPRODUCT(C2592:F2592,COLUMN($A$1:$D$1)-1)+SUMPRODUCT(H2592:K2592,COLUMN($E$1:$H$1)-1))*'Line Follower'!$C$3/SUM(C2592:F2592,H2592:K2592)-'Line Follower'!$C$5)))</f>
        <v>#N/A</v>
      </c>
      <c r="O2592" s="22" t="e">
        <v>#N/A</v>
      </c>
      <c r="P2592" s="4" t="e">
        <f t="shared" si="200"/>
        <v>#N/A</v>
      </c>
      <c r="Q2592" s="4" t="e">
        <f t="shared" si="201"/>
        <v>#N/A</v>
      </c>
      <c r="R2592" s="4" t="e">
        <f>IF(AND(B2592=1,N2592&gt;'Line Follower'!$C$7,SUM(C2592:K2592)&lt;4),1,0)</f>
        <v>#N/A</v>
      </c>
      <c r="S2592" s="4" t="e">
        <f>IF(AND(L2592=1,N2592&lt;'Line Follower'!$C$6,SUM(C2592:K2592)&lt;4),1,0)</f>
        <v>#N/A</v>
      </c>
      <c r="T2592" s="4" t="e">
        <f t="shared" si="202"/>
        <v>#N/A</v>
      </c>
      <c r="U2592" s="5" t="e">
        <f t="shared" si="203"/>
        <v>#N/A</v>
      </c>
      <c r="V2592" s="23" t="e">
        <f t="shared" si="204"/>
        <v>#N/A</v>
      </c>
    </row>
    <row r="2593" spans="2:22" x14ac:dyDescent="0.25">
      <c r="B2593" s="16">
        <v>0</v>
      </c>
      <c r="C2593" s="7">
        <v>1</v>
      </c>
      <c r="D2593" s="8">
        <v>1</v>
      </c>
      <c r="E2593" s="8">
        <v>1</v>
      </c>
      <c r="F2593" s="8">
        <v>1</v>
      </c>
      <c r="G2593" s="8">
        <v>0</v>
      </c>
      <c r="H2593" s="8">
        <v>0</v>
      </c>
      <c r="I2593" s="8">
        <v>0</v>
      </c>
      <c r="J2593" s="8">
        <v>0</v>
      </c>
      <c r="K2593" s="9">
        <v>1</v>
      </c>
      <c r="L2593" s="10">
        <v>0</v>
      </c>
      <c r="M2593" s="6">
        <v>1</v>
      </c>
      <c r="N2593" s="37" t="e" cm="1">
        <f t="array" ref="N2593">IF(OR(ISNUMBER(FIND(Aux!$D$3:$D$9,_xlfn.TEXTJOIN(,,C2593:K2593)))),NA(),IF(AND(SUM(C2593:F2593,H2593:K2593)=0,G2593=1),0,INT((SUMPRODUCT(C2593:F2593,COLUMN($A$1:$D$1)-1)+SUMPRODUCT(H2593:K2593,COLUMN($E$1:$H$1)-1))*'Line Follower'!$C$3/SUM(C2593:F2593,H2593:K2593)-'Line Follower'!$C$5)))</f>
        <v>#N/A</v>
      </c>
      <c r="O2593" s="22" t="e">
        <v>#N/A</v>
      </c>
      <c r="P2593" s="4" t="e">
        <f t="shared" si="200"/>
        <v>#N/A</v>
      </c>
      <c r="Q2593" s="4" t="e">
        <f t="shared" si="201"/>
        <v>#N/A</v>
      </c>
      <c r="R2593" s="4" t="e">
        <f>IF(AND(B2593=1,N2593&gt;'Line Follower'!$C$7,SUM(C2593:K2593)&lt;4),1,0)</f>
        <v>#N/A</v>
      </c>
      <c r="S2593" s="4" t="e">
        <f>IF(AND(L2593=1,N2593&lt;'Line Follower'!$C$6,SUM(C2593:K2593)&lt;4),1,0)</f>
        <v>#N/A</v>
      </c>
      <c r="T2593" s="4" t="e">
        <f t="shared" si="202"/>
        <v>#N/A</v>
      </c>
      <c r="U2593" s="5" t="e">
        <f t="shared" si="203"/>
        <v>#N/A</v>
      </c>
      <c r="V2593" s="23" t="e">
        <f t="shared" si="204"/>
        <v>#N/A</v>
      </c>
    </row>
    <row r="2594" spans="2:22" x14ac:dyDescent="0.25">
      <c r="B2594" s="16">
        <v>1</v>
      </c>
      <c r="C2594" s="7">
        <v>1</v>
      </c>
      <c r="D2594" s="8">
        <v>1</v>
      </c>
      <c r="E2594" s="8">
        <v>1</v>
      </c>
      <c r="F2594" s="8">
        <v>1</v>
      </c>
      <c r="G2594" s="8">
        <v>0</v>
      </c>
      <c r="H2594" s="8">
        <v>0</v>
      </c>
      <c r="I2594" s="8">
        <v>0</v>
      </c>
      <c r="J2594" s="8">
        <v>0</v>
      </c>
      <c r="K2594" s="9">
        <v>1</v>
      </c>
      <c r="L2594" s="10">
        <v>0</v>
      </c>
      <c r="M2594" s="6">
        <v>1</v>
      </c>
      <c r="N2594" s="37" t="e" cm="1">
        <f t="array" ref="N2594">IF(OR(ISNUMBER(FIND(Aux!$D$3:$D$9,_xlfn.TEXTJOIN(,,C2594:K2594)))),NA(),IF(AND(SUM(C2594:F2594,H2594:K2594)=0,G2594=1),0,INT((SUMPRODUCT(C2594:F2594,COLUMN($A$1:$D$1)-1)+SUMPRODUCT(H2594:K2594,COLUMN($E$1:$H$1)-1))*'Line Follower'!$C$3/SUM(C2594:F2594,H2594:K2594)-'Line Follower'!$C$5)))</f>
        <v>#N/A</v>
      </c>
      <c r="O2594" s="22" t="e">
        <v>#N/A</v>
      </c>
      <c r="P2594" s="4" t="e">
        <f t="shared" si="200"/>
        <v>#N/A</v>
      </c>
      <c r="Q2594" s="4" t="e">
        <f t="shared" si="201"/>
        <v>#N/A</v>
      </c>
      <c r="R2594" s="4" t="e">
        <f>IF(AND(B2594=1,N2594&gt;'Line Follower'!$C$7,SUM(C2594:K2594)&lt;4),1,0)</f>
        <v>#N/A</v>
      </c>
      <c r="S2594" s="4" t="e">
        <f>IF(AND(L2594=1,N2594&lt;'Line Follower'!$C$6,SUM(C2594:K2594)&lt;4),1,0)</f>
        <v>#N/A</v>
      </c>
      <c r="T2594" s="4" t="e">
        <f t="shared" si="202"/>
        <v>#N/A</v>
      </c>
      <c r="U2594" s="5" t="e">
        <f t="shared" si="203"/>
        <v>#N/A</v>
      </c>
      <c r="V2594" s="23" t="e">
        <f t="shared" si="204"/>
        <v>#N/A</v>
      </c>
    </row>
    <row r="2595" spans="2:22" x14ac:dyDescent="0.25">
      <c r="B2595" s="16">
        <v>0</v>
      </c>
      <c r="C2595" s="7">
        <v>0</v>
      </c>
      <c r="D2595" s="8">
        <v>0</v>
      </c>
      <c r="E2595" s="8">
        <v>0</v>
      </c>
      <c r="F2595" s="8">
        <v>0</v>
      </c>
      <c r="G2595" s="8">
        <v>1</v>
      </c>
      <c r="H2595" s="8">
        <v>0</v>
      </c>
      <c r="I2595" s="8">
        <v>0</v>
      </c>
      <c r="J2595" s="8">
        <v>0</v>
      </c>
      <c r="K2595" s="9">
        <v>1</v>
      </c>
      <c r="L2595" s="10">
        <v>0</v>
      </c>
      <c r="M2595" s="6">
        <v>1</v>
      </c>
      <c r="N2595" s="37" t="e" cm="1">
        <f t="array" ref="N2595">IF(OR(ISNUMBER(FIND(Aux!$D$3:$D$9,_xlfn.TEXTJOIN(,,C2595:K2595)))),NA(),IF(AND(SUM(C2595:F2595,H2595:K2595)=0,G2595=1),0,INT((SUMPRODUCT(C2595:F2595,COLUMN($A$1:$D$1)-1)+SUMPRODUCT(H2595:K2595,COLUMN($E$1:$H$1)-1))*'Line Follower'!$C$3/SUM(C2595:F2595,H2595:K2595)-'Line Follower'!$C$5)))</f>
        <v>#N/A</v>
      </c>
      <c r="O2595" s="22" t="e">
        <v>#N/A</v>
      </c>
      <c r="P2595" s="4" t="e">
        <f t="shared" si="200"/>
        <v>#N/A</v>
      </c>
      <c r="Q2595" s="4" t="e">
        <f t="shared" si="201"/>
        <v>#N/A</v>
      </c>
      <c r="R2595" s="4" t="e">
        <f>IF(AND(B2595=1,N2595&gt;'Line Follower'!$C$7,SUM(C2595:K2595)&lt;4),1,0)</f>
        <v>#N/A</v>
      </c>
      <c r="S2595" s="4" t="e">
        <f>IF(AND(L2595=1,N2595&lt;'Line Follower'!$C$6,SUM(C2595:K2595)&lt;4),1,0)</f>
        <v>#N/A</v>
      </c>
      <c r="T2595" s="4" t="e">
        <f t="shared" si="202"/>
        <v>#N/A</v>
      </c>
      <c r="U2595" s="5" t="e">
        <f t="shared" si="203"/>
        <v>#N/A</v>
      </c>
      <c r="V2595" s="23" t="e">
        <f t="shared" si="204"/>
        <v>#N/A</v>
      </c>
    </row>
    <row r="2596" spans="2:22" x14ac:dyDescent="0.25">
      <c r="B2596" s="16">
        <v>1</v>
      </c>
      <c r="C2596" s="7">
        <v>0</v>
      </c>
      <c r="D2596" s="8">
        <v>0</v>
      </c>
      <c r="E2596" s="8">
        <v>0</v>
      </c>
      <c r="F2596" s="8">
        <v>0</v>
      </c>
      <c r="G2596" s="8">
        <v>1</v>
      </c>
      <c r="H2596" s="8">
        <v>0</v>
      </c>
      <c r="I2596" s="8">
        <v>0</v>
      </c>
      <c r="J2596" s="8">
        <v>0</v>
      </c>
      <c r="K2596" s="9">
        <v>1</v>
      </c>
      <c r="L2596" s="10">
        <v>0</v>
      </c>
      <c r="M2596" s="6">
        <v>1</v>
      </c>
      <c r="N2596" s="37" t="e" cm="1">
        <f t="array" ref="N2596">IF(OR(ISNUMBER(FIND(Aux!$D$3:$D$9,_xlfn.TEXTJOIN(,,C2596:K2596)))),NA(),IF(AND(SUM(C2596:F2596,H2596:K2596)=0,G2596=1),0,INT((SUMPRODUCT(C2596:F2596,COLUMN($A$1:$D$1)-1)+SUMPRODUCT(H2596:K2596,COLUMN($E$1:$H$1)-1))*'Line Follower'!$C$3/SUM(C2596:F2596,H2596:K2596)-'Line Follower'!$C$5)))</f>
        <v>#N/A</v>
      </c>
      <c r="O2596" s="22" t="e">
        <v>#N/A</v>
      </c>
      <c r="P2596" s="4" t="e">
        <f t="shared" si="200"/>
        <v>#N/A</v>
      </c>
      <c r="Q2596" s="4" t="e">
        <f t="shared" si="201"/>
        <v>#N/A</v>
      </c>
      <c r="R2596" s="4" t="e">
        <f>IF(AND(B2596=1,N2596&gt;'Line Follower'!$C$7,SUM(C2596:K2596)&lt;4),1,0)</f>
        <v>#N/A</v>
      </c>
      <c r="S2596" s="4" t="e">
        <f>IF(AND(L2596=1,N2596&lt;'Line Follower'!$C$6,SUM(C2596:K2596)&lt;4),1,0)</f>
        <v>#N/A</v>
      </c>
      <c r="T2596" s="4" t="e">
        <f t="shared" si="202"/>
        <v>#N/A</v>
      </c>
      <c r="U2596" s="5" t="e">
        <f t="shared" si="203"/>
        <v>#N/A</v>
      </c>
      <c r="V2596" s="23" t="e">
        <f t="shared" si="204"/>
        <v>#N/A</v>
      </c>
    </row>
    <row r="2597" spans="2:22" x14ac:dyDescent="0.25">
      <c r="B2597" s="16">
        <v>0</v>
      </c>
      <c r="C2597" s="7">
        <v>1</v>
      </c>
      <c r="D2597" s="8">
        <v>0</v>
      </c>
      <c r="E2597" s="8">
        <v>0</v>
      </c>
      <c r="F2597" s="8">
        <v>0</v>
      </c>
      <c r="G2597" s="8">
        <v>1</v>
      </c>
      <c r="H2597" s="8">
        <v>0</v>
      </c>
      <c r="I2597" s="8">
        <v>0</v>
      </c>
      <c r="J2597" s="8">
        <v>0</v>
      </c>
      <c r="K2597" s="9">
        <v>1</v>
      </c>
      <c r="L2597" s="10">
        <v>0</v>
      </c>
      <c r="M2597" s="6">
        <v>1</v>
      </c>
      <c r="N2597" s="37" t="e" cm="1">
        <f t="array" ref="N2597">IF(OR(ISNUMBER(FIND(Aux!$D$3:$D$9,_xlfn.TEXTJOIN(,,C2597:K2597)))),NA(),IF(AND(SUM(C2597:F2597,H2597:K2597)=0,G2597=1),0,INT((SUMPRODUCT(C2597:F2597,COLUMN($A$1:$D$1)-1)+SUMPRODUCT(H2597:K2597,COLUMN($E$1:$H$1)-1))*'Line Follower'!$C$3/SUM(C2597:F2597,H2597:K2597)-'Line Follower'!$C$5)))</f>
        <v>#N/A</v>
      </c>
      <c r="O2597" s="22" t="e">
        <v>#N/A</v>
      </c>
      <c r="P2597" s="4" t="e">
        <f t="shared" si="200"/>
        <v>#N/A</v>
      </c>
      <c r="Q2597" s="4" t="e">
        <f t="shared" si="201"/>
        <v>#N/A</v>
      </c>
      <c r="R2597" s="4" t="e">
        <f>IF(AND(B2597=1,N2597&gt;'Line Follower'!$C$7,SUM(C2597:K2597)&lt;4),1,0)</f>
        <v>#N/A</v>
      </c>
      <c r="S2597" s="4" t="e">
        <f>IF(AND(L2597=1,N2597&lt;'Line Follower'!$C$6,SUM(C2597:K2597)&lt;4),1,0)</f>
        <v>#N/A</v>
      </c>
      <c r="T2597" s="4" t="e">
        <f t="shared" si="202"/>
        <v>#N/A</v>
      </c>
      <c r="U2597" s="5" t="e">
        <f t="shared" si="203"/>
        <v>#N/A</v>
      </c>
      <c r="V2597" s="23" t="e">
        <f t="shared" si="204"/>
        <v>#N/A</v>
      </c>
    </row>
    <row r="2598" spans="2:22" x14ac:dyDescent="0.25">
      <c r="B2598" s="16">
        <v>1</v>
      </c>
      <c r="C2598" s="7">
        <v>1</v>
      </c>
      <c r="D2598" s="8">
        <v>0</v>
      </c>
      <c r="E2598" s="8">
        <v>0</v>
      </c>
      <c r="F2598" s="8">
        <v>0</v>
      </c>
      <c r="G2598" s="8">
        <v>1</v>
      </c>
      <c r="H2598" s="8">
        <v>0</v>
      </c>
      <c r="I2598" s="8">
        <v>0</v>
      </c>
      <c r="J2598" s="8">
        <v>0</v>
      </c>
      <c r="K2598" s="9">
        <v>1</v>
      </c>
      <c r="L2598" s="10">
        <v>0</v>
      </c>
      <c r="M2598" s="6">
        <v>1</v>
      </c>
      <c r="N2598" s="37" t="e" cm="1">
        <f t="array" ref="N2598">IF(OR(ISNUMBER(FIND(Aux!$D$3:$D$9,_xlfn.TEXTJOIN(,,C2598:K2598)))),NA(),IF(AND(SUM(C2598:F2598,H2598:K2598)=0,G2598=1),0,INT((SUMPRODUCT(C2598:F2598,COLUMN($A$1:$D$1)-1)+SUMPRODUCT(H2598:K2598,COLUMN($E$1:$H$1)-1))*'Line Follower'!$C$3/SUM(C2598:F2598,H2598:K2598)-'Line Follower'!$C$5)))</f>
        <v>#N/A</v>
      </c>
      <c r="O2598" s="22" t="e">
        <v>#N/A</v>
      </c>
      <c r="P2598" s="4" t="e">
        <f t="shared" si="200"/>
        <v>#N/A</v>
      </c>
      <c r="Q2598" s="4" t="e">
        <f t="shared" si="201"/>
        <v>#N/A</v>
      </c>
      <c r="R2598" s="4" t="e">
        <f>IF(AND(B2598=1,N2598&gt;'Line Follower'!$C$7,SUM(C2598:K2598)&lt;4),1,0)</f>
        <v>#N/A</v>
      </c>
      <c r="S2598" s="4" t="e">
        <f>IF(AND(L2598=1,N2598&lt;'Line Follower'!$C$6,SUM(C2598:K2598)&lt;4),1,0)</f>
        <v>#N/A</v>
      </c>
      <c r="T2598" s="4" t="e">
        <f t="shared" si="202"/>
        <v>#N/A</v>
      </c>
      <c r="U2598" s="5" t="e">
        <f t="shared" si="203"/>
        <v>#N/A</v>
      </c>
      <c r="V2598" s="23" t="e">
        <f t="shared" si="204"/>
        <v>#N/A</v>
      </c>
    </row>
    <row r="2599" spans="2:22" x14ac:dyDescent="0.25">
      <c r="B2599" s="16">
        <v>0</v>
      </c>
      <c r="C2599" s="7">
        <v>0</v>
      </c>
      <c r="D2599" s="8">
        <v>1</v>
      </c>
      <c r="E2599" s="8">
        <v>0</v>
      </c>
      <c r="F2599" s="8">
        <v>0</v>
      </c>
      <c r="G2599" s="8">
        <v>1</v>
      </c>
      <c r="H2599" s="8">
        <v>0</v>
      </c>
      <c r="I2599" s="8">
        <v>0</v>
      </c>
      <c r="J2599" s="8">
        <v>0</v>
      </c>
      <c r="K2599" s="9">
        <v>1</v>
      </c>
      <c r="L2599" s="10">
        <v>0</v>
      </c>
      <c r="M2599" s="6">
        <v>1</v>
      </c>
      <c r="N2599" s="37" t="e" cm="1">
        <f t="array" ref="N2599">IF(OR(ISNUMBER(FIND(Aux!$D$3:$D$9,_xlfn.TEXTJOIN(,,C2599:K2599)))),NA(),IF(AND(SUM(C2599:F2599,H2599:K2599)=0,G2599=1),0,INT((SUMPRODUCT(C2599:F2599,COLUMN($A$1:$D$1)-1)+SUMPRODUCT(H2599:K2599,COLUMN($E$1:$H$1)-1))*'Line Follower'!$C$3/SUM(C2599:F2599,H2599:K2599)-'Line Follower'!$C$5)))</f>
        <v>#N/A</v>
      </c>
      <c r="O2599" s="22" t="e">
        <v>#N/A</v>
      </c>
      <c r="P2599" s="4" t="e">
        <f t="shared" si="200"/>
        <v>#N/A</v>
      </c>
      <c r="Q2599" s="4" t="e">
        <f t="shared" si="201"/>
        <v>#N/A</v>
      </c>
      <c r="R2599" s="4" t="e">
        <f>IF(AND(B2599=1,N2599&gt;'Line Follower'!$C$7,SUM(C2599:K2599)&lt;4),1,0)</f>
        <v>#N/A</v>
      </c>
      <c r="S2599" s="4" t="e">
        <f>IF(AND(L2599=1,N2599&lt;'Line Follower'!$C$6,SUM(C2599:K2599)&lt;4),1,0)</f>
        <v>#N/A</v>
      </c>
      <c r="T2599" s="4" t="e">
        <f t="shared" si="202"/>
        <v>#N/A</v>
      </c>
      <c r="U2599" s="5" t="e">
        <f t="shared" si="203"/>
        <v>#N/A</v>
      </c>
      <c r="V2599" s="23" t="e">
        <f t="shared" si="204"/>
        <v>#N/A</v>
      </c>
    </row>
    <row r="2600" spans="2:22" x14ac:dyDescent="0.25">
      <c r="B2600" s="16">
        <v>1</v>
      </c>
      <c r="C2600" s="7">
        <v>0</v>
      </c>
      <c r="D2600" s="8">
        <v>1</v>
      </c>
      <c r="E2600" s="8">
        <v>0</v>
      </c>
      <c r="F2600" s="8">
        <v>0</v>
      </c>
      <c r="G2600" s="8">
        <v>1</v>
      </c>
      <c r="H2600" s="8">
        <v>0</v>
      </c>
      <c r="I2600" s="8">
        <v>0</v>
      </c>
      <c r="J2600" s="8">
        <v>0</v>
      </c>
      <c r="K2600" s="9">
        <v>1</v>
      </c>
      <c r="L2600" s="10">
        <v>0</v>
      </c>
      <c r="M2600" s="6">
        <v>1</v>
      </c>
      <c r="N2600" s="37" t="e" cm="1">
        <f t="array" ref="N2600">IF(OR(ISNUMBER(FIND(Aux!$D$3:$D$9,_xlfn.TEXTJOIN(,,C2600:K2600)))),NA(),IF(AND(SUM(C2600:F2600,H2600:K2600)=0,G2600=1),0,INT((SUMPRODUCT(C2600:F2600,COLUMN($A$1:$D$1)-1)+SUMPRODUCT(H2600:K2600,COLUMN($E$1:$H$1)-1))*'Line Follower'!$C$3/SUM(C2600:F2600,H2600:K2600)-'Line Follower'!$C$5)))</f>
        <v>#N/A</v>
      </c>
      <c r="O2600" s="22" t="e">
        <v>#N/A</v>
      </c>
      <c r="P2600" s="4" t="e">
        <f t="shared" si="200"/>
        <v>#N/A</v>
      </c>
      <c r="Q2600" s="4" t="e">
        <f t="shared" si="201"/>
        <v>#N/A</v>
      </c>
      <c r="R2600" s="4" t="e">
        <f>IF(AND(B2600=1,N2600&gt;'Line Follower'!$C$7,SUM(C2600:K2600)&lt;4),1,0)</f>
        <v>#N/A</v>
      </c>
      <c r="S2600" s="4" t="e">
        <f>IF(AND(L2600=1,N2600&lt;'Line Follower'!$C$6,SUM(C2600:K2600)&lt;4),1,0)</f>
        <v>#N/A</v>
      </c>
      <c r="T2600" s="4" t="e">
        <f t="shared" si="202"/>
        <v>#N/A</v>
      </c>
      <c r="U2600" s="5" t="e">
        <f t="shared" si="203"/>
        <v>#N/A</v>
      </c>
      <c r="V2600" s="23" t="e">
        <f t="shared" si="204"/>
        <v>#N/A</v>
      </c>
    </row>
    <row r="2601" spans="2:22" x14ac:dyDescent="0.25">
      <c r="B2601" s="16">
        <v>0</v>
      </c>
      <c r="C2601" s="7">
        <v>1</v>
      </c>
      <c r="D2601" s="8">
        <v>1</v>
      </c>
      <c r="E2601" s="8">
        <v>0</v>
      </c>
      <c r="F2601" s="8">
        <v>0</v>
      </c>
      <c r="G2601" s="8">
        <v>1</v>
      </c>
      <c r="H2601" s="8">
        <v>0</v>
      </c>
      <c r="I2601" s="8">
        <v>0</v>
      </c>
      <c r="J2601" s="8">
        <v>0</v>
      </c>
      <c r="K2601" s="9">
        <v>1</v>
      </c>
      <c r="L2601" s="10">
        <v>0</v>
      </c>
      <c r="M2601" s="6">
        <v>1</v>
      </c>
      <c r="N2601" s="37" t="e" cm="1">
        <f t="array" ref="N2601">IF(OR(ISNUMBER(FIND(Aux!$D$3:$D$9,_xlfn.TEXTJOIN(,,C2601:K2601)))),NA(),IF(AND(SUM(C2601:F2601,H2601:K2601)=0,G2601=1),0,INT((SUMPRODUCT(C2601:F2601,COLUMN($A$1:$D$1)-1)+SUMPRODUCT(H2601:K2601,COLUMN($E$1:$H$1)-1))*'Line Follower'!$C$3/SUM(C2601:F2601,H2601:K2601)-'Line Follower'!$C$5)))</f>
        <v>#N/A</v>
      </c>
      <c r="O2601" s="22" t="e">
        <v>#N/A</v>
      </c>
      <c r="P2601" s="4" t="e">
        <f t="shared" si="200"/>
        <v>#N/A</v>
      </c>
      <c r="Q2601" s="4" t="e">
        <f t="shared" si="201"/>
        <v>#N/A</v>
      </c>
      <c r="R2601" s="4" t="e">
        <f>IF(AND(B2601=1,N2601&gt;'Line Follower'!$C$7,SUM(C2601:K2601)&lt;4),1,0)</f>
        <v>#N/A</v>
      </c>
      <c r="S2601" s="4" t="e">
        <f>IF(AND(L2601=1,N2601&lt;'Line Follower'!$C$6,SUM(C2601:K2601)&lt;4),1,0)</f>
        <v>#N/A</v>
      </c>
      <c r="T2601" s="4" t="e">
        <f t="shared" si="202"/>
        <v>#N/A</v>
      </c>
      <c r="U2601" s="5" t="e">
        <f t="shared" si="203"/>
        <v>#N/A</v>
      </c>
      <c r="V2601" s="23" t="e">
        <f t="shared" si="204"/>
        <v>#N/A</v>
      </c>
    </row>
    <row r="2602" spans="2:22" x14ac:dyDescent="0.25">
      <c r="B2602" s="16">
        <v>1</v>
      </c>
      <c r="C2602" s="7">
        <v>1</v>
      </c>
      <c r="D2602" s="8">
        <v>1</v>
      </c>
      <c r="E2602" s="8">
        <v>0</v>
      </c>
      <c r="F2602" s="8">
        <v>0</v>
      </c>
      <c r="G2602" s="8">
        <v>1</v>
      </c>
      <c r="H2602" s="8">
        <v>0</v>
      </c>
      <c r="I2602" s="8">
        <v>0</v>
      </c>
      <c r="J2602" s="8">
        <v>0</v>
      </c>
      <c r="K2602" s="9">
        <v>1</v>
      </c>
      <c r="L2602" s="10">
        <v>0</v>
      </c>
      <c r="M2602" s="6">
        <v>1</v>
      </c>
      <c r="N2602" s="37" t="e" cm="1">
        <f t="array" ref="N2602">IF(OR(ISNUMBER(FIND(Aux!$D$3:$D$9,_xlfn.TEXTJOIN(,,C2602:K2602)))),NA(),IF(AND(SUM(C2602:F2602,H2602:K2602)=0,G2602=1),0,INT((SUMPRODUCT(C2602:F2602,COLUMN($A$1:$D$1)-1)+SUMPRODUCT(H2602:K2602,COLUMN($E$1:$H$1)-1))*'Line Follower'!$C$3/SUM(C2602:F2602,H2602:K2602)-'Line Follower'!$C$5)))</f>
        <v>#N/A</v>
      </c>
      <c r="O2602" s="22" t="e">
        <v>#N/A</v>
      </c>
      <c r="P2602" s="4" t="e">
        <f t="shared" si="200"/>
        <v>#N/A</v>
      </c>
      <c r="Q2602" s="4" t="e">
        <f t="shared" si="201"/>
        <v>#N/A</v>
      </c>
      <c r="R2602" s="4" t="e">
        <f>IF(AND(B2602=1,N2602&gt;'Line Follower'!$C$7,SUM(C2602:K2602)&lt;4),1,0)</f>
        <v>#N/A</v>
      </c>
      <c r="S2602" s="4" t="e">
        <f>IF(AND(L2602=1,N2602&lt;'Line Follower'!$C$6,SUM(C2602:K2602)&lt;4),1,0)</f>
        <v>#N/A</v>
      </c>
      <c r="T2602" s="4" t="e">
        <f t="shared" si="202"/>
        <v>#N/A</v>
      </c>
      <c r="U2602" s="5" t="e">
        <f t="shared" si="203"/>
        <v>#N/A</v>
      </c>
      <c r="V2602" s="23" t="e">
        <f t="shared" si="204"/>
        <v>#N/A</v>
      </c>
    </row>
    <row r="2603" spans="2:22" x14ac:dyDescent="0.25">
      <c r="B2603" s="16">
        <v>0</v>
      </c>
      <c r="C2603" s="7">
        <v>0</v>
      </c>
      <c r="D2603" s="8">
        <v>0</v>
      </c>
      <c r="E2603" s="8">
        <v>1</v>
      </c>
      <c r="F2603" s="8">
        <v>0</v>
      </c>
      <c r="G2603" s="8">
        <v>1</v>
      </c>
      <c r="H2603" s="8">
        <v>0</v>
      </c>
      <c r="I2603" s="8">
        <v>0</v>
      </c>
      <c r="J2603" s="8">
        <v>0</v>
      </c>
      <c r="K2603" s="9">
        <v>1</v>
      </c>
      <c r="L2603" s="10">
        <v>0</v>
      </c>
      <c r="M2603" s="6">
        <v>1</v>
      </c>
      <c r="N2603" s="37" t="e" cm="1">
        <f t="array" ref="N2603">IF(OR(ISNUMBER(FIND(Aux!$D$3:$D$9,_xlfn.TEXTJOIN(,,C2603:K2603)))),NA(),IF(AND(SUM(C2603:F2603,H2603:K2603)=0,G2603=1),0,INT((SUMPRODUCT(C2603:F2603,COLUMN($A$1:$D$1)-1)+SUMPRODUCT(H2603:K2603,COLUMN($E$1:$H$1)-1))*'Line Follower'!$C$3/SUM(C2603:F2603,H2603:K2603)-'Line Follower'!$C$5)))</f>
        <v>#N/A</v>
      </c>
      <c r="O2603" s="22" t="e">
        <v>#N/A</v>
      </c>
      <c r="P2603" s="4" t="e">
        <f t="shared" si="200"/>
        <v>#N/A</v>
      </c>
      <c r="Q2603" s="4" t="e">
        <f t="shared" si="201"/>
        <v>#N/A</v>
      </c>
      <c r="R2603" s="4" t="e">
        <f>IF(AND(B2603=1,N2603&gt;'Line Follower'!$C$7,SUM(C2603:K2603)&lt;4),1,0)</f>
        <v>#N/A</v>
      </c>
      <c r="S2603" s="4" t="e">
        <f>IF(AND(L2603=1,N2603&lt;'Line Follower'!$C$6,SUM(C2603:K2603)&lt;4),1,0)</f>
        <v>#N/A</v>
      </c>
      <c r="T2603" s="4" t="e">
        <f t="shared" si="202"/>
        <v>#N/A</v>
      </c>
      <c r="U2603" s="5" t="e">
        <f t="shared" si="203"/>
        <v>#N/A</v>
      </c>
      <c r="V2603" s="23" t="e">
        <f t="shared" si="204"/>
        <v>#N/A</v>
      </c>
    </row>
    <row r="2604" spans="2:22" x14ac:dyDescent="0.25">
      <c r="B2604" s="16">
        <v>1</v>
      </c>
      <c r="C2604" s="7">
        <v>0</v>
      </c>
      <c r="D2604" s="8">
        <v>0</v>
      </c>
      <c r="E2604" s="8">
        <v>1</v>
      </c>
      <c r="F2604" s="8">
        <v>0</v>
      </c>
      <c r="G2604" s="8">
        <v>1</v>
      </c>
      <c r="H2604" s="8">
        <v>0</v>
      </c>
      <c r="I2604" s="8">
        <v>0</v>
      </c>
      <c r="J2604" s="8">
        <v>0</v>
      </c>
      <c r="K2604" s="9">
        <v>1</v>
      </c>
      <c r="L2604" s="10">
        <v>0</v>
      </c>
      <c r="M2604" s="6">
        <v>1</v>
      </c>
      <c r="N2604" s="37" t="e" cm="1">
        <f t="array" ref="N2604">IF(OR(ISNUMBER(FIND(Aux!$D$3:$D$9,_xlfn.TEXTJOIN(,,C2604:K2604)))),NA(),IF(AND(SUM(C2604:F2604,H2604:K2604)=0,G2604=1),0,INT((SUMPRODUCT(C2604:F2604,COLUMN($A$1:$D$1)-1)+SUMPRODUCT(H2604:K2604,COLUMN($E$1:$H$1)-1))*'Line Follower'!$C$3/SUM(C2604:F2604,H2604:K2604)-'Line Follower'!$C$5)))</f>
        <v>#N/A</v>
      </c>
      <c r="O2604" s="22" t="e">
        <v>#N/A</v>
      </c>
      <c r="P2604" s="4" t="e">
        <f t="shared" si="200"/>
        <v>#N/A</v>
      </c>
      <c r="Q2604" s="4" t="e">
        <f t="shared" si="201"/>
        <v>#N/A</v>
      </c>
      <c r="R2604" s="4" t="e">
        <f>IF(AND(B2604=1,N2604&gt;'Line Follower'!$C$7,SUM(C2604:K2604)&lt;4),1,0)</f>
        <v>#N/A</v>
      </c>
      <c r="S2604" s="4" t="e">
        <f>IF(AND(L2604=1,N2604&lt;'Line Follower'!$C$6,SUM(C2604:K2604)&lt;4),1,0)</f>
        <v>#N/A</v>
      </c>
      <c r="T2604" s="4" t="e">
        <f t="shared" si="202"/>
        <v>#N/A</v>
      </c>
      <c r="U2604" s="5" t="e">
        <f t="shared" si="203"/>
        <v>#N/A</v>
      </c>
      <c r="V2604" s="23" t="e">
        <f t="shared" si="204"/>
        <v>#N/A</v>
      </c>
    </row>
    <row r="2605" spans="2:22" x14ac:dyDescent="0.25">
      <c r="B2605" s="16">
        <v>0</v>
      </c>
      <c r="C2605" s="7">
        <v>1</v>
      </c>
      <c r="D2605" s="8">
        <v>0</v>
      </c>
      <c r="E2605" s="8">
        <v>1</v>
      </c>
      <c r="F2605" s="8">
        <v>0</v>
      </c>
      <c r="G2605" s="8">
        <v>1</v>
      </c>
      <c r="H2605" s="8">
        <v>0</v>
      </c>
      <c r="I2605" s="8">
        <v>0</v>
      </c>
      <c r="J2605" s="8">
        <v>0</v>
      </c>
      <c r="K2605" s="9">
        <v>1</v>
      </c>
      <c r="L2605" s="10">
        <v>0</v>
      </c>
      <c r="M2605" s="6">
        <v>1</v>
      </c>
      <c r="N2605" s="37" t="e" cm="1">
        <f t="array" ref="N2605">IF(OR(ISNUMBER(FIND(Aux!$D$3:$D$9,_xlfn.TEXTJOIN(,,C2605:K2605)))),NA(),IF(AND(SUM(C2605:F2605,H2605:K2605)=0,G2605=1),0,INT((SUMPRODUCT(C2605:F2605,COLUMN($A$1:$D$1)-1)+SUMPRODUCT(H2605:K2605,COLUMN($E$1:$H$1)-1))*'Line Follower'!$C$3/SUM(C2605:F2605,H2605:K2605)-'Line Follower'!$C$5)))</f>
        <v>#N/A</v>
      </c>
      <c r="O2605" s="22" t="e">
        <v>#N/A</v>
      </c>
      <c r="P2605" s="4" t="e">
        <f t="shared" si="200"/>
        <v>#N/A</v>
      </c>
      <c r="Q2605" s="4" t="e">
        <f t="shared" si="201"/>
        <v>#N/A</v>
      </c>
      <c r="R2605" s="4" t="e">
        <f>IF(AND(B2605=1,N2605&gt;'Line Follower'!$C$7,SUM(C2605:K2605)&lt;4),1,0)</f>
        <v>#N/A</v>
      </c>
      <c r="S2605" s="4" t="e">
        <f>IF(AND(L2605=1,N2605&lt;'Line Follower'!$C$6,SUM(C2605:K2605)&lt;4),1,0)</f>
        <v>#N/A</v>
      </c>
      <c r="T2605" s="4" t="e">
        <f t="shared" si="202"/>
        <v>#N/A</v>
      </c>
      <c r="U2605" s="5" t="e">
        <f t="shared" si="203"/>
        <v>#N/A</v>
      </c>
      <c r="V2605" s="23" t="e">
        <f t="shared" si="204"/>
        <v>#N/A</v>
      </c>
    </row>
    <row r="2606" spans="2:22" x14ac:dyDescent="0.25">
      <c r="B2606" s="16">
        <v>1</v>
      </c>
      <c r="C2606" s="7">
        <v>1</v>
      </c>
      <c r="D2606" s="8">
        <v>0</v>
      </c>
      <c r="E2606" s="8">
        <v>1</v>
      </c>
      <c r="F2606" s="8">
        <v>0</v>
      </c>
      <c r="G2606" s="8">
        <v>1</v>
      </c>
      <c r="H2606" s="8">
        <v>0</v>
      </c>
      <c r="I2606" s="8">
        <v>0</v>
      </c>
      <c r="J2606" s="8">
        <v>0</v>
      </c>
      <c r="K2606" s="9">
        <v>1</v>
      </c>
      <c r="L2606" s="10">
        <v>0</v>
      </c>
      <c r="M2606" s="6">
        <v>1</v>
      </c>
      <c r="N2606" s="37" t="e" cm="1">
        <f t="array" ref="N2606">IF(OR(ISNUMBER(FIND(Aux!$D$3:$D$9,_xlfn.TEXTJOIN(,,C2606:K2606)))),NA(),IF(AND(SUM(C2606:F2606,H2606:K2606)=0,G2606=1),0,INT((SUMPRODUCT(C2606:F2606,COLUMN($A$1:$D$1)-1)+SUMPRODUCT(H2606:K2606,COLUMN($E$1:$H$1)-1))*'Line Follower'!$C$3/SUM(C2606:F2606,H2606:K2606)-'Line Follower'!$C$5)))</f>
        <v>#N/A</v>
      </c>
      <c r="O2606" s="22" t="e">
        <v>#N/A</v>
      </c>
      <c r="P2606" s="4" t="e">
        <f t="shared" si="200"/>
        <v>#N/A</v>
      </c>
      <c r="Q2606" s="4" t="e">
        <f t="shared" si="201"/>
        <v>#N/A</v>
      </c>
      <c r="R2606" s="4" t="e">
        <f>IF(AND(B2606=1,N2606&gt;'Line Follower'!$C$7,SUM(C2606:K2606)&lt;4),1,0)</f>
        <v>#N/A</v>
      </c>
      <c r="S2606" s="4" t="e">
        <f>IF(AND(L2606=1,N2606&lt;'Line Follower'!$C$6,SUM(C2606:K2606)&lt;4),1,0)</f>
        <v>#N/A</v>
      </c>
      <c r="T2606" s="4" t="e">
        <f t="shared" si="202"/>
        <v>#N/A</v>
      </c>
      <c r="U2606" s="5" t="e">
        <f t="shared" si="203"/>
        <v>#N/A</v>
      </c>
      <c r="V2606" s="23" t="e">
        <f t="shared" si="204"/>
        <v>#N/A</v>
      </c>
    </row>
    <row r="2607" spans="2:22" x14ac:dyDescent="0.25">
      <c r="B2607" s="16">
        <v>0</v>
      </c>
      <c r="C2607" s="7">
        <v>0</v>
      </c>
      <c r="D2607" s="8">
        <v>1</v>
      </c>
      <c r="E2607" s="8">
        <v>1</v>
      </c>
      <c r="F2607" s="8">
        <v>0</v>
      </c>
      <c r="G2607" s="8">
        <v>1</v>
      </c>
      <c r="H2607" s="8">
        <v>0</v>
      </c>
      <c r="I2607" s="8">
        <v>0</v>
      </c>
      <c r="J2607" s="8">
        <v>0</v>
      </c>
      <c r="K2607" s="9">
        <v>1</v>
      </c>
      <c r="L2607" s="10">
        <v>0</v>
      </c>
      <c r="M2607" s="6">
        <v>1</v>
      </c>
      <c r="N2607" s="37" t="e" cm="1">
        <f t="array" ref="N2607">IF(OR(ISNUMBER(FIND(Aux!$D$3:$D$9,_xlfn.TEXTJOIN(,,C2607:K2607)))),NA(),IF(AND(SUM(C2607:F2607,H2607:K2607)=0,G2607=1),0,INT((SUMPRODUCT(C2607:F2607,COLUMN($A$1:$D$1)-1)+SUMPRODUCT(H2607:K2607,COLUMN($E$1:$H$1)-1))*'Line Follower'!$C$3/SUM(C2607:F2607,H2607:K2607)-'Line Follower'!$C$5)))</f>
        <v>#N/A</v>
      </c>
      <c r="O2607" s="22" t="e">
        <v>#N/A</v>
      </c>
      <c r="P2607" s="4" t="e">
        <f t="shared" si="200"/>
        <v>#N/A</v>
      </c>
      <c r="Q2607" s="4" t="e">
        <f t="shared" si="201"/>
        <v>#N/A</v>
      </c>
      <c r="R2607" s="4" t="e">
        <f>IF(AND(B2607=1,N2607&gt;'Line Follower'!$C$7,SUM(C2607:K2607)&lt;4),1,0)</f>
        <v>#N/A</v>
      </c>
      <c r="S2607" s="4" t="e">
        <f>IF(AND(L2607=1,N2607&lt;'Line Follower'!$C$6,SUM(C2607:K2607)&lt;4),1,0)</f>
        <v>#N/A</v>
      </c>
      <c r="T2607" s="4" t="e">
        <f t="shared" si="202"/>
        <v>#N/A</v>
      </c>
      <c r="U2607" s="5" t="e">
        <f t="shared" si="203"/>
        <v>#N/A</v>
      </c>
      <c r="V2607" s="23" t="e">
        <f t="shared" si="204"/>
        <v>#N/A</v>
      </c>
    </row>
    <row r="2608" spans="2:22" x14ac:dyDescent="0.25">
      <c r="B2608" s="16">
        <v>1</v>
      </c>
      <c r="C2608" s="7">
        <v>0</v>
      </c>
      <c r="D2608" s="8">
        <v>1</v>
      </c>
      <c r="E2608" s="8">
        <v>1</v>
      </c>
      <c r="F2608" s="8">
        <v>0</v>
      </c>
      <c r="G2608" s="8">
        <v>1</v>
      </c>
      <c r="H2608" s="8">
        <v>0</v>
      </c>
      <c r="I2608" s="8">
        <v>0</v>
      </c>
      <c r="J2608" s="8">
        <v>0</v>
      </c>
      <c r="K2608" s="9">
        <v>1</v>
      </c>
      <c r="L2608" s="10">
        <v>0</v>
      </c>
      <c r="M2608" s="6">
        <v>1</v>
      </c>
      <c r="N2608" s="37" t="e" cm="1">
        <f t="array" ref="N2608">IF(OR(ISNUMBER(FIND(Aux!$D$3:$D$9,_xlfn.TEXTJOIN(,,C2608:K2608)))),NA(),IF(AND(SUM(C2608:F2608,H2608:K2608)=0,G2608=1),0,INT((SUMPRODUCT(C2608:F2608,COLUMN($A$1:$D$1)-1)+SUMPRODUCT(H2608:K2608,COLUMN($E$1:$H$1)-1))*'Line Follower'!$C$3/SUM(C2608:F2608,H2608:K2608)-'Line Follower'!$C$5)))</f>
        <v>#N/A</v>
      </c>
      <c r="O2608" s="22" t="e">
        <v>#N/A</v>
      </c>
      <c r="P2608" s="4" t="e">
        <f t="shared" si="200"/>
        <v>#N/A</v>
      </c>
      <c r="Q2608" s="4" t="e">
        <f t="shared" si="201"/>
        <v>#N/A</v>
      </c>
      <c r="R2608" s="4" t="e">
        <f>IF(AND(B2608=1,N2608&gt;'Line Follower'!$C$7,SUM(C2608:K2608)&lt;4),1,0)</f>
        <v>#N/A</v>
      </c>
      <c r="S2608" s="4" t="e">
        <f>IF(AND(L2608=1,N2608&lt;'Line Follower'!$C$6,SUM(C2608:K2608)&lt;4),1,0)</f>
        <v>#N/A</v>
      </c>
      <c r="T2608" s="4" t="e">
        <f t="shared" si="202"/>
        <v>#N/A</v>
      </c>
      <c r="U2608" s="5" t="e">
        <f t="shared" si="203"/>
        <v>#N/A</v>
      </c>
      <c r="V2608" s="23" t="e">
        <f t="shared" si="204"/>
        <v>#N/A</v>
      </c>
    </row>
    <row r="2609" spans="2:22" x14ac:dyDescent="0.25">
      <c r="B2609" s="16">
        <v>0</v>
      </c>
      <c r="C2609" s="7">
        <v>1</v>
      </c>
      <c r="D2609" s="8">
        <v>1</v>
      </c>
      <c r="E2609" s="8">
        <v>1</v>
      </c>
      <c r="F2609" s="8">
        <v>0</v>
      </c>
      <c r="G2609" s="8">
        <v>1</v>
      </c>
      <c r="H2609" s="8">
        <v>0</v>
      </c>
      <c r="I2609" s="8">
        <v>0</v>
      </c>
      <c r="J2609" s="8">
        <v>0</v>
      </c>
      <c r="K2609" s="9">
        <v>1</v>
      </c>
      <c r="L2609" s="10">
        <v>0</v>
      </c>
      <c r="M2609" s="6">
        <v>1</v>
      </c>
      <c r="N2609" s="37" t="e" cm="1">
        <f t="array" ref="N2609">IF(OR(ISNUMBER(FIND(Aux!$D$3:$D$9,_xlfn.TEXTJOIN(,,C2609:K2609)))),NA(),IF(AND(SUM(C2609:F2609,H2609:K2609)=0,G2609=1),0,INT((SUMPRODUCT(C2609:F2609,COLUMN($A$1:$D$1)-1)+SUMPRODUCT(H2609:K2609,COLUMN($E$1:$H$1)-1))*'Line Follower'!$C$3/SUM(C2609:F2609,H2609:K2609)-'Line Follower'!$C$5)))</f>
        <v>#N/A</v>
      </c>
      <c r="O2609" s="22" t="e">
        <v>#N/A</v>
      </c>
      <c r="P2609" s="4" t="e">
        <f t="shared" si="200"/>
        <v>#N/A</v>
      </c>
      <c r="Q2609" s="4" t="e">
        <f t="shared" si="201"/>
        <v>#N/A</v>
      </c>
      <c r="R2609" s="4" t="e">
        <f>IF(AND(B2609=1,N2609&gt;'Line Follower'!$C$7,SUM(C2609:K2609)&lt;4),1,0)</f>
        <v>#N/A</v>
      </c>
      <c r="S2609" s="4" t="e">
        <f>IF(AND(L2609=1,N2609&lt;'Line Follower'!$C$6,SUM(C2609:K2609)&lt;4),1,0)</f>
        <v>#N/A</v>
      </c>
      <c r="T2609" s="4" t="e">
        <f t="shared" si="202"/>
        <v>#N/A</v>
      </c>
      <c r="U2609" s="5" t="e">
        <f t="shared" si="203"/>
        <v>#N/A</v>
      </c>
      <c r="V2609" s="23" t="e">
        <f t="shared" si="204"/>
        <v>#N/A</v>
      </c>
    </row>
    <row r="2610" spans="2:22" x14ac:dyDescent="0.25">
      <c r="B2610" s="16">
        <v>1</v>
      </c>
      <c r="C2610" s="7">
        <v>1</v>
      </c>
      <c r="D2610" s="8">
        <v>1</v>
      </c>
      <c r="E2610" s="8">
        <v>1</v>
      </c>
      <c r="F2610" s="8">
        <v>0</v>
      </c>
      <c r="G2610" s="8">
        <v>1</v>
      </c>
      <c r="H2610" s="8">
        <v>0</v>
      </c>
      <c r="I2610" s="8">
        <v>0</v>
      </c>
      <c r="J2610" s="8">
        <v>0</v>
      </c>
      <c r="K2610" s="9">
        <v>1</v>
      </c>
      <c r="L2610" s="10">
        <v>0</v>
      </c>
      <c r="M2610" s="6">
        <v>1</v>
      </c>
      <c r="N2610" s="37" t="e" cm="1">
        <f t="array" ref="N2610">IF(OR(ISNUMBER(FIND(Aux!$D$3:$D$9,_xlfn.TEXTJOIN(,,C2610:K2610)))),NA(),IF(AND(SUM(C2610:F2610,H2610:K2610)=0,G2610=1),0,INT((SUMPRODUCT(C2610:F2610,COLUMN($A$1:$D$1)-1)+SUMPRODUCT(H2610:K2610,COLUMN($E$1:$H$1)-1))*'Line Follower'!$C$3/SUM(C2610:F2610,H2610:K2610)-'Line Follower'!$C$5)))</f>
        <v>#N/A</v>
      </c>
      <c r="O2610" s="22" t="e">
        <v>#N/A</v>
      </c>
      <c r="P2610" s="4" t="e">
        <f t="shared" si="200"/>
        <v>#N/A</v>
      </c>
      <c r="Q2610" s="4" t="e">
        <f t="shared" si="201"/>
        <v>#N/A</v>
      </c>
      <c r="R2610" s="4" t="e">
        <f>IF(AND(B2610=1,N2610&gt;'Line Follower'!$C$7,SUM(C2610:K2610)&lt;4),1,0)</f>
        <v>#N/A</v>
      </c>
      <c r="S2610" s="4" t="e">
        <f>IF(AND(L2610=1,N2610&lt;'Line Follower'!$C$6,SUM(C2610:K2610)&lt;4),1,0)</f>
        <v>#N/A</v>
      </c>
      <c r="T2610" s="4" t="e">
        <f t="shared" si="202"/>
        <v>#N/A</v>
      </c>
      <c r="U2610" s="5" t="e">
        <f t="shared" si="203"/>
        <v>#N/A</v>
      </c>
      <c r="V2610" s="23" t="e">
        <f t="shared" si="204"/>
        <v>#N/A</v>
      </c>
    </row>
    <row r="2611" spans="2:22" x14ac:dyDescent="0.25">
      <c r="B2611" s="16">
        <v>0</v>
      </c>
      <c r="C2611" s="7">
        <v>0</v>
      </c>
      <c r="D2611" s="8">
        <v>0</v>
      </c>
      <c r="E2611" s="8">
        <v>0</v>
      </c>
      <c r="F2611" s="8">
        <v>1</v>
      </c>
      <c r="G2611" s="8">
        <v>1</v>
      </c>
      <c r="H2611" s="8">
        <v>0</v>
      </c>
      <c r="I2611" s="8">
        <v>0</v>
      </c>
      <c r="J2611" s="8">
        <v>0</v>
      </c>
      <c r="K2611" s="9">
        <v>1</v>
      </c>
      <c r="L2611" s="10">
        <v>0</v>
      </c>
      <c r="M2611" s="6">
        <v>1</v>
      </c>
      <c r="N2611" s="37" t="e" cm="1">
        <f t="array" ref="N2611">IF(OR(ISNUMBER(FIND(Aux!$D$3:$D$9,_xlfn.TEXTJOIN(,,C2611:K2611)))),NA(),IF(AND(SUM(C2611:F2611,H2611:K2611)=0,G2611=1),0,INT((SUMPRODUCT(C2611:F2611,COLUMN($A$1:$D$1)-1)+SUMPRODUCT(H2611:K2611,COLUMN($E$1:$H$1)-1))*'Line Follower'!$C$3/SUM(C2611:F2611,H2611:K2611)-'Line Follower'!$C$5)))</f>
        <v>#N/A</v>
      </c>
      <c r="O2611" s="22" t="e">
        <v>#N/A</v>
      </c>
      <c r="P2611" s="4" t="e">
        <f t="shared" si="200"/>
        <v>#N/A</v>
      </c>
      <c r="Q2611" s="4" t="e">
        <f t="shared" si="201"/>
        <v>#N/A</v>
      </c>
      <c r="R2611" s="4" t="e">
        <f>IF(AND(B2611=1,N2611&gt;'Line Follower'!$C$7,SUM(C2611:K2611)&lt;4),1,0)</f>
        <v>#N/A</v>
      </c>
      <c r="S2611" s="4" t="e">
        <f>IF(AND(L2611=1,N2611&lt;'Line Follower'!$C$6,SUM(C2611:K2611)&lt;4),1,0)</f>
        <v>#N/A</v>
      </c>
      <c r="T2611" s="4" t="e">
        <f t="shared" si="202"/>
        <v>#N/A</v>
      </c>
      <c r="U2611" s="5" t="e">
        <f t="shared" si="203"/>
        <v>#N/A</v>
      </c>
      <c r="V2611" s="23" t="e">
        <f t="shared" si="204"/>
        <v>#N/A</v>
      </c>
    </row>
    <row r="2612" spans="2:22" x14ac:dyDescent="0.25">
      <c r="B2612" s="16">
        <v>1</v>
      </c>
      <c r="C2612" s="7">
        <v>0</v>
      </c>
      <c r="D2612" s="8">
        <v>0</v>
      </c>
      <c r="E2612" s="8">
        <v>0</v>
      </c>
      <c r="F2612" s="8">
        <v>1</v>
      </c>
      <c r="G2612" s="8">
        <v>1</v>
      </c>
      <c r="H2612" s="8">
        <v>0</v>
      </c>
      <c r="I2612" s="8">
        <v>0</v>
      </c>
      <c r="J2612" s="8">
        <v>0</v>
      </c>
      <c r="K2612" s="9">
        <v>1</v>
      </c>
      <c r="L2612" s="10">
        <v>0</v>
      </c>
      <c r="M2612" s="6">
        <v>1</v>
      </c>
      <c r="N2612" s="37" t="e" cm="1">
        <f t="array" ref="N2612">IF(OR(ISNUMBER(FIND(Aux!$D$3:$D$9,_xlfn.TEXTJOIN(,,C2612:K2612)))),NA(),IF(AND(SUM(C2612:F2612,H2612:K2612)=0,G2612=1),0,INT((SUMPRODUCT(C2612:F2612,COLUMN($A$1:$D$1)-1)+SUMPRODUCT(H2612:K2612,COLUMN($E$1:$H$1)-1))*'Line Follower'!$C$3/SUM(C2612:F2612,H2612:K2612)-'Line Follower'!$C$5)))</f>
        <v>#N/A</v>
      </c>
      <c r="O2612" s="22" t="e">
        <v>#N/A</v>
      </c>
      <c r="P2612" s="4" t="e">
        <f t="shared" si="200"/>
        <v>#N/A</v>
      </c>
      <c r="Q2612" s="4" t="e">
        <f t="shared" si="201"/>
        <v>#N/A</v>
      </c>
      <c r="R2612" s="4" t="e">
        <f>IF(AND(B2612=1,N2612&gt;'Line Follower'!$C$7,SUM(C2612:K2612)&lt;4),1,0)</f>
        <v>#N/A</v>
      </c>
      <c r="S2612" s="4" t="e">
        <f>IF(AND(L2612=1,N2612&lt;'Line Follower'!$C$6,SUM(C2612:K2612)&lt;4),1,0)</f>
        <v>#N/A</v>
      </c>
      <c r="T2612" s="4" t="e">
        <f t="shared" si="202"/>
        <v>#N/A</v>
      </c>
      <c r="U2612" s="5" t="e">
        <f t="shared" si="203"/>
        <v>#N/A</v>
      </c>
      <c r="V2612" s="23" t="e">
        <f t="shared" si="204"/>
        <v>#N/A</v>
      </c>
    </row>
    <row r="2613" spans="2:22" x14ac:dyDescent="0.25">
      <c r="B2613" s="16">
        <v>0</v>
      </c>
      <c r="C2613" s="7">
        <v>1</v>
      </c>
      <c r="D2613" s="8">
        <v>0</v>
      </c>
      <c r="E2613" s="8">
        <v>0</v>
      </c>
      <c r="F2613" s="8">
        <v>1</v>
      </c>
      <c r="G2613" s="8">
        <v>1</v>
      </c>
      <c r="H2613" s="8">
        <v>0</v>
      </c>
      <c r="I2613" s="8">
        <v>0</v>
      </c>
      <c r="J2613" s="8">
        <v>0</v>
      </c>
      <c r="K2613" s="9">
        <v>1</v>
      </c>
      <c r="L2613" s="10">
        <v>0</v>
      </c>
      <c r="M2613" s="6">
        <v>1</v>
      </c>
      <c r="N2613" s="37" t="e" cm="1">
        <f t="array" ref="N2613">IF(OR(ISNUMBER(FIND(Aux!$D$3:$D$9,_xlfn.TEXTJOIN(,,C2613:K2613)))),NA(),IF(AND(SUM(C2613:F2613,H2613:K2613)=0,G2613=1),0,INT((SUMPRODUCT(C2613:F2613,COLUMN($A$1:$D$1)-1)+SUMPRODUCT(H2613:K2613,COLUMN($E$1:$H$1)-1))*'Line Follower'!$C$3/SUM(C2613:F2613,H2613:K2613)-'Line Follower'!$C$5)))</f>
        <v>#N/A</v>
      </c>
      <c r="O2613" s="22" t="e">
        <v>#N/A</v>
      </c>
      <c r="P2613" s="4" t="e">
        <f t="shared" si="200"/>
        <v>#N/A</v>
      </c>
      <c r="Q2613" s="4" t="e">
        <f t="shared" si="201"/>
        <v>#N/A</v>
      </c>
      <c r="R2613" s="4" t="e">
        <f>IF(AND(B2613=1,N2613&gt;'Line Follower'!$C$7,SUM(C2613:K2613)&lt;4),1,0)</f>
        <v>#N/A</v>
      </c>
      <c r="S2613" s="4" t="e">
        <f>IF(AND(L2613=1,N2613&lt;'Line Follower'!$C$6,SUM(C2613:K2613)&lt;4),1,0)</f>
        <v>#N/A</v>
      </c>
      <c r="T2613" s="4" t="e">
        <f t="shared" si="202"/>
        <v>#N/A</v>
      </c>
      <c r="U2613" s="5" t="e">
        <f t="shared" si="203"/>
        <v>#N/A</v>
      </c>
      <c r="V2613" s="23" t="e">
        <f t="shared" si="204"/>
        <v>#N/A</v>
      </c>
    </row>
    <row r="2614" spans="2:22" x14ac:dyDescent="0.25">
      <c r="B2614" s="16">
        <v>1</v>
      </c>
      <c r="C2614" s="7">
        <v>1</v>
      </c>
      <c r="D2614" s="8">
        <v>0</v>
      </c>
      <c r="E2614" s="8">
        <v>0</v>
      </c>
      <c r="F2614" s="8">
        <v>1</v>
      </c>
      <c r="G2614" s="8">
        <v>1</v>
      </c>
      <c r="H2614" s="8">
        <v>0</v>
      </c>
      <c r="I2614" s="8">
        <v>0</v>
      </c>
      <c r="J2614" s="8">
        <v>0</v>
      </c>
      <c r="K2614" s="9">
        <v>1</v>
      </c>
      <c r="L2614" s="10">
        <v>0</v>
      </c>
      <c r="M2614" s="6">
        <v>1</v>
      </c>
      <c r="N2614" s="37" t="e" cm="1">
        <f t="array" ref="N2614">IF(OR(ISNUMBER(FIND(Aux!$D$3:$D$9,_xlfn.TEXTJOIN(,,C2614:K2614)))),NA(),IF(AND(SUM(C2614:F2614,H2614:K2614)=0,G2614=1),0,INT((SUMPRODUCT(C2614:F2614,COLUMN($A$1:$D$1)-1)+SUMPRODUCT(H2614:K2614,COLUMN($E$1:$H$1)-1))*'Line Follower'!$C$3/SUM(C2614:F2614,H2614:K2614)-'Line Follower'!$C$5)))</f>
        <v>#N/A</v>
      </c>
      <c r="O2614" s="22" t="e">
        <v>#N/A</v>
      </c>
      <c r="P2614" s="4" t="e">
        <f t="shared" si="200"/>
        <v>#N/A</v>
      </c>
      <c r="Q2614" s="4" t="e">
        <f t="shared" si="201"/>
        <v>#N/A</v>
      </c>
      <c r="R2614" s="4" t="e">
        <f>IF(AND(B2614=1,N2614&gt;'Line Follower'!$C$7,SUM(C2614:K2614)&lt;4),1,0)</f>
        <v>#N/A</v>
      </c>
      <c r="S2614" s="4" t="e">
        <f>IF(AND(L2614=1,N2614&lt;'Line Follower'!$C$6,SUM(C2614:K2614)&lt;4),1,0)</f>
        <v>#N/A</v>
      </c>
      <c r="T2614" s="4" t="e">
        <f t="shared" si="202"/>
        <v>#N/A</v>
      </c>
      <c r="U2614" s="5" t="e">
        <f t="shared" si="203"/>
        <v>#N/A</v>
      </c>
      <c r="V2614" s="23" t="e">
        <f t="shared" si="204"/>
        <v>#N/A</v>
      </c>
    </row>
    <row r="2615" spans="2:22" x14ac:dyDescent="0.25">
      <c r="B2615" s="16">
        <v>0</v>
      </c>
      <c r="C2615" s="7">
        <v>0</v>
      </c>
      <c r="D2615" s="8">
        <v>1</v>
      </c>
      <c r="E2615" s="8">
        <v>0</v>
      </c>
      <c r="F2615" s="8">
        <v>1</v>
      </c>
      <c r="G2615" s="8">
        <v>1</v>
      </c>
      <c r="H2615" s="8">
        <v>0</v>
      </c>
      <c r="I2615" s="8">
        <v>0</v>
      </c>
      <c r="J2615" s="8">
        <v>0</v>
      </c>
      <c r="K2615" s="9">
        <v>1</v>
      </c>
      <c r="L2615" s="10">
        <v>0</v>
      </c>
      <c r="M2615" s="6">
        <v>1</v>
      </c>
      <c r="N2615" s="37" t="e" cm="1">
        <f t="array" ref="N2615">IF(OR(ISNUMBER(FIND(Aux!$D$3:$D$9,_xlfn.TEXTJOIN(,,C2615:K2615)))),NA(),IF(AND(SUM(C2615:F2615,H2615:K2615)=0,G2615=1),0,INT((SUMPRODUCT(C2615:F2615,COLUMN($A$1:$D$1)-1)+SUMPRODUCT(H2615:K2615,COLUMN($E$1:$H$1)-1))*'Line Follower'!$C$3/SUM(C2615:F2615,H2615:K2615)-'Line Follower'!$C$5)))</f>
        <v>#N/A</v>
      </c>
      <c r="O2615" s="22" t="e">
        <v>#N/A</v>
      </c>
      <c r="P2615" s="4" t="e">
        <f t="shared" si="200"/>
        <v>#N/A</v>
      </c>
      <c r="Q2615" s="4" t="e">
        <f t="shared" si="201"/>
        <v>#N/A</v>
      </c>
      <c r="R2615" s="4" t="e">
        <f>IF(AND(B2615=1,N2615&gt;'Line Follower'!$C$7,SUM(C2615:K2615)&lt;4),1,0)</f>
        <v>#N/A</v>
      </c>
      <c r="S2615" s="4" t="e">
        <f>IF(AND(L2615=1,N2615&lt;'Line Follower'!$C$6,SUM(C2615:K2615)&lt;4),1,0)</f>
        <v>#N/A</v>
      </c>
      <c r="T2615" s="4" t="e">
        <f t="shared" si="202"/>
        <v>#N/A</v>
      </c>
      <c r="U2615" s="5" t="e">
        <f t="shared" si="203"/>
        <v>#N/A</v>
      </c>
      <c r="V2615" s="23" t="e">
        <f t="shared" si="204"/>
        <v>#N/A</v>
      </c>
    </row>
    <row r="2616" spans="2:22" x14ac:dyDescent="0.25">
      <c r="B2616" s="16">
        <v>1</v>
      </c>
      <c r="C2616" s="7">
        <v>0</v>
      </c>
      <c r="D2616" s="8">
        <v>1</v>
      </c>
      <c r="E2616" s="8">
        <v>0</v>
      </c>
      <c r="F2616" s="8">
        <v>1</v>
      </c>
      <c r="G2616" s="8">
        <v>1</v>
      </c>
      <c r="H2616" s="8">
        <v>0</v>
      </c>
      <c r="I2616" s="8">
        <v>0</v>
      </c>
      <c r="J2616" s="8">
        <v>0</v>
      </c>
      <c r="K2616" s="9">
        <v>1</v>
      </c>
      <c r="L2616" s="10">
        <v>0</v>
      </c>
      <c r="M2616" s="6">
        <v>1</v>
      </c>
      <c r="N2616" s="37" t="e" cm="1">
        <f t="array" ref="N2616">IF(OR(ISNUMBER(FIND(Aux!$D$3:$D$9,_xlfn.TEXTJOIN(,,C2616:K2616)))),NA(),IF(AND(SUM(C2616:F2616,H2616:K2616)=0,G2616=1),0,INT((SUMPRODUCT(C2616:F2616,COLUMN($A$1:$D$1)-1)+SUMPRODUCT(H2616:K2616,COLUMN($E$1:$H$1)-1))*'Line Follower'!$C$3/SUM(C2616:F2616,H2616:K2616)-'Line Follower'!$C$5)))</f>
        <v>#N/A</v>
      </c>
      <c r="O2616" s="22" t="e">
        <v>#N/A</v>
      </c>
      <c r="P2616" s="4" t="e">
        <f t="shared" si="200"/>
        <v>#N/A</v>
      </c>
      <c r="Q2616" s="4" t="e">
        <f t="shared" si="201"/>
        <v>#N/A</v>
      </c>
      <c r="R2616" s="4" t="e">
        <f>IF(AND(B2616=1,N2616&gt;'Line Follower'!$C$7,SUM(C2616:K2616)&lt;4),1,0)</f>
        <v>#N/A</v>
      </c>
      <c r="S2616" s="4" t="e">
        <f>IF(AND(L2616=1,N2616&lt;'Line Follower'!$C$6,SUM(C2616:K2616)&lt;4),1,0)</f>
        <v>#N/A</v>
      </c>
      <c r="T2616" s="4" t="e">
        <f t="shared" si="202"/>
        <v>#N/A</v>
      </c>
      <c r="U2616" s="5" t="e">
        <f t="shared" si="203"/>
        <v>#N/A</v>
      </c>
      <c r="V2616" s="23" t="e">
        <f t="shared" si="204"/>
        <v>#N/A</v>
      </c>
    </row>
    <row r="2617" spans="2:22" x14ac:dyDescent="0.25">
      <c r="B2617" s="16">
        <v>0</v>
      </c>
      <c r="C2617" s="7">
        <v>1</v>
      </c>
      <c r="D2617" s="8">
        <v>1</v>
      </c>
      <c r="E2617" s="8">
        <v>0</v>
      </c>
      <c r="F2617" s="8">
        <v>1</v>
      </c>
      <c r="G2617" s="8">
        <v>1</v>
      </c>
      <c r="H2617" s="8">
        <v>0</v>
      </c>
      <c r="I2617" s="8">
        <v>0</v>
      </c>
      <c r="J2617" s="8">
        <v>0</v>
      </c>
      <c r="K2617" s="9">
        <v>1</v>
      </c>
      <c r="L2617" s="10">
        <v>0</v>
      </c>
      <c r="M2617" s="6">
        <v>1</v>
      </c>
      <c r="N2617" s="37" t="e" cm="1">
        <f t="array" ref="N2617">IF(OR(ISNUMBER(FIND(Aux!$D$3:$D$9,_xlfn.TEXTJOIN(,,C2617:K2617)))),NA(),IF(AND(SUM(C2617:F2617,H2617:K2617)=0,G2617=1),0,INT((SUMPRODUCT(C2617:F2617,COLUMN($A$1:$D$1)-1)+SUMPRODUCT(H2617:K2617,COLUMN($E$1:$H$1)-1))*'Line Follower'!$C$3/SUM(C2617:F2617,H2617:K2617)-'Line Follower'!$C$5)))</f>
        <v>#N/A</v>
      </c>
      <c r="O2617" s="22" t="e">
        <v>#N/A</v>
      </c>
      <c r="P2617" s="4" t="e">
        <f t="shared" si="200"/>
        <v>#N/A</v>
      </c>
      <c r="Q2617" s="4" t="e">
        <f t="shared" si="201"/>
        <v>#N/A</v>
      </c>
      <c r="R2617" s="4" t="e">
        <f>IF(AND(B2617=1,N2617&gt;'Line Follower'!$C$7,SUM(C2617:K2617)&lt;4),1,0)</f>
        <v>#N/A</v>
      </c>
      <c r="S2617" s="4" t="e">
        <f>IF(AND(L2617=1,N2617&lt;'Line Follower'!$C$6,SUM(C2617:K2617)&lt;4),1,0)</f>
        <v>#N/A</v>
      </c>
      <c r="T2617" s="4" t="e">
        <f t="shared" si="202"/>
        <v>#N/A</v>
      </c>
      <c r="U2617" s="5" t="e">
        <f t="shared" si="203"/>
        <v>#N/A</v>
      </c>
      <c r="V2617" s="23" t="e">
        <f t="shared" si="204"/>
        <v>#N/A</v>
      </c>
    </row>
    <row r="2618" spans="2:22" x14ac:dyDescent="0.25">
      <c r="B2618" s="16">
        <v>1</v>
      </c>
      <c r="C2618" s="7">
        <v>1</v>
      </c>
      <c r="D2618" s="8">
        <v>1</v>
      </c>
      <c r="E2618" s="8">
        <v>0</v>
      </c>
      <c r="F2618" s="8">
        <v>1</v>
      </c>
      <c r="G2618" s="8">
        <v>1</v>
      </c>
      <c r="H2618" s="8">
        <v>0</v>
      </c>
      <c r="I2618" s="8">
        <v>0</v>
      </c>
      <c r="J2618" s="8">
        <v>0</v>
      </c>
      <c r="K2618" s="9">
        <v>1</v>
      </c>
      <c r="L2618" s="10">
        <v>0</v>
      </c>
      <c r="M2618" s="6">
        <v>1</v>
      </c>
      <c r="N2618" s="37" t="e" cm="1">
        <f t="array" ref="N2618">IF(OR(ISNUMBER(FIND(Aux!$D$3:$D$9,_xlfn.TEXTJOIN(,,C2618:K2618)))),NA(),IF(AND(SUM(C2618:F2618,H2618:K2618)=0,G2618=1),0,INT((SUMPRODUCT(C2618:F2618,COLUMN($A$1:$D$1)-1)+SUMPRODUCT(H2618:K2618,COLUMN($E$1:$H$1)-1))*'Line Follower'!$C$3/SUM(C2618:F2618,H2618:K2618)-'Line Follower'!$C$5)))</f>
        <v>#N/A</v>
      </c>
      <c r="O2618" s="22" t="e">
        <v>#N/A</v>
      </c>
      <c r="P2618" s="4" t="e">
        <f t="shared" si="200"/>
        <v>#N/A</v>
      </c>
      <c r="Q2618" s="4" t="e">
        <f t="shared" si="201"/>
        <v>#N/A</v>
      </c>
      <c r="R2618" s="4" t="e">
        <f>IF(AND(B2618=1,N2618&gt;'Line Follower'!$C$7,SUM(C2618:K2618)&lt;4),1,0)</f>
        <v>#N/A</v>
      </c>
      <c r="S2618" s="4" t="e">
        <f>IF(AND(L2618=1,N2618&lt;'Line Follower'!$C$6,SUM(C2618:K2618)&lt;4),1,0)</f>
        <v>#N/A</v>
      </c>
      <c r="T2618" s="4" t="e">
        <f t="shared" si="202"/>
        <v>#N/A</v>
      </c>
      <c r="U2618" s="5" t="e">
        <f t="shared" si="203"/>
        <v>#N/A</v>
      </c>
      <c r="V2618" s="23" t="e">
        <f t="shared" si="204"/>
        <v>#N/A</v>
      </c>
    </row>
    <row r="2619" spans="2:22" x14ac:dyDescent="0.25">
      <c r="B2619" s="16">
        <v>0</v>
      </c>
      <c r="C2619" s="7">
        <v>0</v>
      </c>
      <c r="D2619" s="8">
        <v>0</v>
      </c>
      <c r="E2619" s="8">
        <v>1</v>
      </c>
      <c r="F2619" s="8">
        <v>1</v>
      </c>
      <c r="G2619" s="8">
        <v>1</v>
      </c>
      <c r="H2619" s="8">
        <v>0</v>
      </c>
      <c r="I2619" s="8">
        <v>0</v>
      </c>
      <c r="J2619" s="8">
        <v>0</v>
      </c>
      <c r="K2619" s="9">
        <v>1</v>
      </c>
      <c r="L2619" s="10">
        <v>0</v>
      </c>
      <c r="M2619" s="6">
        <v>1</v>
      </c>
      <c r="N2619" s="37" t="e" cm="1">
        <f t="array" ref="N2619">IF(OR(ISNUMBER(FIND(Aux!$D$3:$D$9,_xlfn.TEXTJOIN(,,C2619:K2619)))),NA(),IF(AND(SUM(C2619:F2619,H2619:K2619)=0,G2619=1),0,INT((SUMPRODUCT(C2619:F2619,COLUMN($A$1:$D$1)-1)+SUMPRODUCT(H2619:K2619,COLUMN($E$1:$H$1)-1))*'Line Follower'!$C$3/SUM(C2619:F2619,H2619:K2619)-'Line Follower'!$C$5)))</f>
        <v>#N/A</v>
      </c>
      <c r="O2619" s="22" t="e">
        <v>#N/A</v>
      </c>
      <c r="P2619" s="4" t="e">
        <f t="shared" si="200"/>
        <v>#N/A</v>
      </c>
      <c r="Q2619" s="4" t="e">
        <f t="shared" si="201"/>
        <v>#N/A</v>
      </c>
      <c r="R2619" s="4" t="e">
        <f>IF(AND(B2619=1,N2619&gt;'Line Follower'!$C$7,SUM(C2619:K2619)&lt;4),1,0)</f>
        <v>#N/A</v>
      </c>
      <c r="S2619" s="4" t="e">
        <f>IF(AND(L2619=1,N2619&lt;'Line Follower'!$C$6,SUM(C2619:K2619)&lt;4),1,0)</f>
        <v>#N/A</v>
      </c>
      <c r="T2619" s="4" t="e">
        <f t="shared" si="202"/>
        <v>#N/A</v>
      </c>
      <c r="U2619" s="5" t="e">
        <f t="shared" si="203"/>
        <v>#N/A</v>
      </c>
      <c r="V2619" s="23" t="e">
        <f t="shared" si="204"/>
        <v>#N/A</v>
      </c>
    </row>
    <row r="2620" spans="2:22" x14ac:dyDescent="0.25">
      <c r="B2620" s="16">
        <v>1</v>
      </c>
      <c r="C2620" s="7">
        <v>0</v>
      </c>
      <c r="D2620" s="8">
        <v>0</v>
      </c>
      <c r="E2620" s="8">
        <v>1</v>
      </c>
      <c r="F2620" s="8">
        <v>1</v>
      </c>
      <c r="G2620" s="8">
        <v>1</v>
      </c>
      <c r="H2620" s="8">
        <v>0</v>
      </c>
      <c r="I2620" s="8">
        <v>0</v>
      </c>
      <c r="J2620" s="8">
        <v>0</v>
      </c>
      <c r="K2620" s="9">
        <v>1</v>
      </c>
      <c r="L2620" s="10">
        <v>0</v>
      </c>
      <c r="M2620" s="6">
        <v>1</v>
      </c>
      <c r="N2620" s="37" t="e" cm="1">
        <f t="array" ref="N2620">IF(OR(ISNUMBER(FIND(Aux!$D$3:$D$9,_xlfn.TEXTJOIN(,,C2620:K2620)))),NA(),IF(AND(SUM(C2620:F2620,H2620:K2620)=0,G2620=1),0,INT((SUMPRODUCT(C2620:F2620,COLUMN($A$1:$D$1)-1)+SUMPRODUCT(H2620:K2620,COLUMN($E$1:$H$1)-1))*'Line Follower'!$C$3/SUM(C2620:F2620,H2620:K2620)-'Line Follower'!$C$5)))</f>
        <v>#N/A</v>
      </c>
      <c r="O2620" s="22" t="e">
        <v>#N/A</v>
      </c>
      <c r="P2620" s="4" t="e">
        <f t="shared" si="200"/>
        <v>#N/A</v>
      </c>
      <c r="Q2620" s="4" t="e">
        <f t="shared" si="201"/>
        <v>#N/A</v>
      </c>
      <c r="R2620" s="4" t="e">
        <f>IF(AND(B2620=1,N2620&gt;'Line Follower'!$C$7,SUM(C2620:K2620)&lt;4),1,0)</f>
        <v>#N/A</v>
      </c>
      <c r="S2620" s="4" t="e">
        <f>IF(AND(L2620=1,N2620&lt;'Line Follower'!$C$6,SUM(C2620:K2620)&lt;4),1,0)</f>
        <v>#N/A</v>
      </c>
      <c r="T2620" s="4" t="e">
        <f t="shared" si="202"/>
        <v>#N/A</v>
      </c>
      <c r="U2620" s="5" t="e">
        <f t="shared" si="203"/>
        <v>#N/A</v>
      </c>
      <c r="V2620" s="23" t="e">
        <f t="shared" si="204"/>
        <v>#N/A</v>
      </c>
    </row>
    <row r="2621" spans="2:22" x14ac:dyDescent="0.25">
      <c r="B2621" s="16">
        <v>0</v>
      </c>
      <c r="C2621" s="7">
        <v>1</v>
      </c>
      <c r="D2621" s="8">
        <v>0</v>
      </c>
      <c r="E2621" s="8">
        <v>1</v>
      </c>
      <c r="F2621" s="8">
        <v>1</v>
      </c>
      <c r="G2621" s="8">
        <v>1</v>
      </c>
      <c r="H2621" s="8">
        <v>0</v>
      </c>
      <c r="I2621" s="8">
        <v>0</v>
      </c>
      <c r="J2621" s="8">
        <v>0</v>
      </c>
      <c r="K2621" s="9">
        <v>1</v>
      </c>
      <c r="L2621" s="10">
        <v>0</v>
      </c>
      <c r="M2621" s="6">
        <v>1</v>
      </c>
      <c r="N2621" s="37" t="e" cm="1">
        <f t="array" ref="N2621">IF(OR(ISNUMBER(FIND(Aux!$D$3:$D$9,_xlfn.TEXTJOIN(,,C2621:K2621)))),NA(),IF(AND(SUM(C2621:F2621,H2621:K2621)=0,G2621=1),0,INT((SUMPRODUCT(C2621:F2621,COLUMN($A$1:$D$1)-1)+SUMPRODUCT(H2621:K2621,COLUMN($E$1:$H$1)-1))*'Line Follower'!$C$3/SUM(C2621:F2621,H2621:K2621)-'Line Follower'!$C$5)))</f>
        <v>#N/A</v>
      </c>
      <c r="O2621" s="22" t="e">
        <v>#N/A</v>
      </c>
      <c r="P2621" s="4" t="e">
        <f t="shared" si="200"/>
        <v>#N/A</v>
      </c>
      <c r="Q2621" s="4" t="e">
        <f t="shared" si="201"/>
        <v>#N/A</v>
      </c>
      <c r="R2621" s="4" t="e">
        <f>IF(AND(B2621=1,N2621&gt;'Line Follower'!$C$7,SUM(C2621:K2621)&lt;4),1,0)</f>
        <v>#N/A</v>
      </c>
      <c r="S2621" s="4" t="e">
        <f>IF(AND(L2621=1,N2621&lt;'Line Follower'!$C$6,SUM(C2621:K2621)&lt;4),1,0)</f>
        <v>#N/A</v>
      </c>
      <c r="T2621" s="4" t="e">
        <f t="shared" si="202"/>
        <v>#N/A</v>
      </c>
      <c r="U2621" s="5" t="e">
        <f t="shared" si="203"/>
        <v>#N/A</v>
      </c>
      <c r="V2621" s="23" t="e">
        <f t="shared" si="204"/>
        <v>#N/A</v>
      </c>
    </row>
    <row r="2622" spans="2:22" x14ac:dyDescent="0.25">
      <c r="B2622" s="16">
        <v>1</v>
      </c>
      <c r="C2622" s="7">
        <v>1</v>
      </c>
      <c r="D2622" s="8">
        <v>0</v>
      </c>
      <c r="E2622" s="8">
        <v>1</v>
      </c>
      <c r="F2622" s="8">
        <v>1</v>
      </c>
      <c r="G2622" s="8">
        <v>1</v>
      </c>
      <c r="H2622" s="8">
        <v>0</v>
      </c>
      <c r="I2622" s="8">
        <v>0</v>
      </c>
      <c r="J2622" s="8">
        <v>0</v>
      </c>
      <c r="K2622" s="9">
        <v>1</v>
      </c>
      <c r="L2622" s="10">
        <v>0</v>
      </c>
      <c r="M2622" s="6">
        <v>1</v>
      </c>
      <c r="N2622" s="37" t="e" cm="1">
        <f t="array" ref="N2622">IF(OR(ISNUMBER(FIND(Aux!$D$3:$D$9,_xlfn.TEXTJOIN(,,C2622:K2622)))),NA(),IF(AND(SUM(C2622:F2622,H2622:K2622)=0,G2622=1),0,INT((SUMPRODUCT(C2622:F2622,COLUMN($A$1:$D$1)-1)+SUMPRODUCT(H2622:K2622,COLUMN($E$1:$H$1)-1))*'Line Follower'!$C$3/SUM(C2622:F2622,H2622:K2622)-'Line Follower'!$C$5)))</f>
        <v>#N/A</v>
      </c>
      <c r="O2622" s="22" t="e">
        <v>#N/A</v>
      </c>
      <c r="P2622" s="4" t="e">
        <f t="shared" si="200"/>
        <v>#N/A</v>
      </c>
      <c r="Q2622" s="4" t="e">
        <f t="shared" si="201"/>
        <v>#N/A</v>
      </c>
      <c r="R2622" s="4" t="e">
        <f>IF(AND(B2622=1,N2622&gt;'Line Follower'!$C$7,SUM(C2622:K2622)&lt;4),1,0)</f>
        <v>#N/A</v>
      </c>
      <c r="S2622" s="4" t="e">
        <f>IF(AND(L2622=1,N2622&lt;'Line Follower'!$C$6,SUM(C2622:K2622)&lt;4),1,0)</f>
        <v>#N/A</v>
      </c>
      <c r="T2622" s="4" t="e">
        <f t="shared" si="202"/>
        <v>#N/A</v>
      </c>
      <c r="U2622" s="5" t="e">
        <f t="shared" si="203"/>
        <v>#N/A</v>
      </c>
      <c r="V2622" s="23" t="e">
        <f t="shared" si="204"/>
        <v>#N/A</v>
      </c>
    </row>
    <row r="2623" spans="2:22" x14ac:dyDescent="0.25">
      <c r="B2623" s="16">
        <v>0</v>
      </c>
      <c r="C2623" s="7">
        <v>0</v>
      </c>
      <c r="D2623" s="8">
        <v>1</v>
      </c>
      <c r="E2623" s="8">
        <v>1</v>
      </c>
      <c r="F2623" s="8">
        <v>1</v>
      </c>
      <c r="G2623" s="8">
        <v>1</v>
      </c>
      <c r="H2623" s="8">
        <v>0</v>
      </c>
      <c r="I2623" s="8">
        <v>0</v>
      </c>
      <c r="J2623" s="8">
        <v>0</v>
      </c>
      <c r="K2623" s="9">
        <v>1</v>
      </c>
      <c r="L2623" s="10">
        <v>0</v>
      </c>
      <c r="M2623" s="6">
        <v>1</v>
      </c>
      <c r="N2623" s="37" t="e" cm="1">
        <f t="array" ref="N2623">IF(OR(ISNUMBER(FIND(Aux!$D$3:$D$9,_xlfn.TEXTJOIN(,,C2623:K2623)))),NA(),IF(AND(SUM(C2623:F2623,H2623:K2623)=0,G2623=1),0,INT((SUMPRODUCT(C2623:F2623,COLUMN($A$1:$D$1)-1)+SUMPRODUCT(H2623:K2623,COLUMN($E$1:$H$1)-1))*'Line Follower'!$C$3/SUM(C2623:F2623,H2623:K2623)-'Line Follower'!$C$5)))</f>
        <v>#N/A</v>
      </c>
      <c r="O2623" s="22" t="e">
        <v>#N/A</v>
      </c>
      <c r="P2623" s="4" t="e">
        <f t="shared" si="200"/>
        <v>#N/A</v>
      </c>
      <c r="Q2623" s="4" t="e">
        <f t="shared" si="201"/>
        <v>#N/A</v>
      </c>
      <c r="R2623" s="4" t="e">
        <f>IF(AND(B2623=1,N2623&gt;'Line Follower'!$C$7,SUM(C2623:K2623)&lt;4),1,0)</f>
        <v>#N/A</v>
      </c>
      <c r="S2623" s="4" t="e">
        <f>IF(AND(L2623=1,N2623&lt;'Line Follower'!$C$6,SUM(C2623:K2623)&lt;4),1,0)</f>
        <v>#N/A</v>
      </c>
      <c r="T2623" s="4" t="e">
        <f t="shared" si="202"/>
        <v>#N/A</v>
      </c>
      <c r="U2623" s="5" t="e">
        <f t="shared" si="203"/>
        <v>#N/A</v>
      </c>
      <c r="V2623" s="23" t="e">
        <f t="shared" si="204"/>
        <v>#N/A</v>
      </c>
    </row>
    <row r="2624" spans="2:22" x14ac:dyDescent="0.25">
      <c r="B2624" s="16">
        <v>1</v>
      </c>
      <c r="C2624" s="7">
        <v>0</v>
      </c>
      <c r="D2624" s="8">
        <v>1</v>
      </c>
      <c r="E2624" s="8">
        <v>1</v>
      </c>
      <c r="F2624" s="8">
        <v>1</v>
      </c>
      <c r="G2624" s="8">
        <v>1</v>
      </c>
      <c r="H2624" s="8">
        <v>0</v>
      </c>
      <c r="I2624" s="8">
        <v>0</v>
      </c>
      <c r="J2624" s="8">
        <v>0</v>
      </c>
      <c r="K2624" s="9">
        <v>1</v>
      </c>
      <c r="L2624" s="10">
        <v>0</v>
      </c>
      <c r="M2624" s="6">
        <v>1</v>
      </c>
      <c r="N2624" s="37" t="e" cm="1">
        <f t="array" ref="N2624">IF(OR(ISNUMBER(FIND(Aux!$D$3:$D$9,_xlfn.TEXTJOIN(,,C2624:K2624)))),NA(),IF(AND(SUM(C2624:F2624,H2624:K2624)=0,G2624=1),0,INT((SUMPRODUCT(C2624:F2624,COLUMN($A$1:$D$1)-1)+SUMPRODUCT(H2624:K2624,COLUMN($E$1:$H$1)-1))*'Line Follower'!$C$3/SUM(C2624:F2624,H2624:K2624)-'Line Follower'!$C$5)))</f>
        <v>#N/A</v>
      </c>
      <c r="O2624" s="22" t="e">
        <v>#N/A</v>
      </c>
      <c r="P2624" s="4" t="e">
        <f t="shared" si="200"/>
        <v>#N/A</v>
      </c>
      <c r="Q2624" s="4" t="e">
        <f t="shared" si="201"/>
        <v>#N/A</v>
      </c>
      <c r="R2624" s="4" t="e">
        <f>IF(AND(B2624=1,N2624&gt;'Line Follower'!$C$7,SUM(C2624:K2624)&lt;4),1,0)</f>
        <v>#N/A</v>
      </c>
      <c r="S2624" s="4" t="e">
        <f>IF(AND(L2624=1,N2624&lt;'Line Follower'!$C$6,SUM(C2624:K2624)&lt;4),1,0)</f>
        <v>#N/A</v>
      </c>
      <c r="T2624" s="4" t="e">
        <f t="shared" si="202"/>
        <v>#N/A</v>
      </c>
      <c r="U2624" s="5" t="e">
        <f t="shared" si="203"/>
        <v>#N/A</v>
      </c>
      <c r="V2624" s="23" t="e">
        <f t="shared" si="204"/>
        <v>#N/A</v>
      </c>
    </row>
    <row r="2625" spans="2:22" x14ac:dyDescent="0.25">
      <c r="B2625" s="16">
        <v>0</v>
      </c>
      <c r="C2625" s="7">
        <v>1</v>
      </c>
      <c r="D2625" s="8">
        <v>1</v>
      </c>
      <c r="E2625" s="8">
        <v>1</v>
      </c>
      <c r="F2625" s="8">
        <v>1</v>
      </c>
      <c r="G2625" s="8">
        <v>1</v>
      </c>
      <c r="H2625" s="8">
        <v>0</v>
      </c>
      <c r="I2625" s="8">
        <v>0</v>
      </c>
      <c r="J2625" s="8">
        <v>0</v>
      </c>
      <c r="K2625" s="9">
        <v>1</v>
      </c>
      <c r="L2625" s="10">
        <v>0</v>
      </c>
      <c r="M2625" s="6">
        <v>1</v>
      </c>
      <c r="N2625" s="37" t="e" cm="1">
        <f t="array" ref="N2625">IF(OR(ISNUMBER(FIND(Aux!$D$3:$D$9,_xlfn.TEXTJOIN(,,C2625:K2625)))),NA(),IF(AND(SUM(C2625:F2625,H2625:K2625)=0,G2625=1),0,INT((SUMPRODUCT(C2625:F2625,COLUMN($A$1:$D$1)-1)+SUMPRODUCT(H2625:K2625,COLUMN($E$1:$H$1)-1))*'Line Follower'!$C$3/SUM(C2625:F2625,H2625:K2625)-'Line Follower'!$C$5)))</f>
        <v>#N/A</v>
      </c>
      <c r="O2625" s="22" t="e">
        <v>#N/A</v>
      </c>
      <c r="P2625" s="4" t="e">
        <f t="shared" si="200"/>
        <v>#N/A</v>
      </c>
      <c r="Q2625" s="4" t="e">
        <f t="shared" si="201"/>
        <v>#N/A</v>
      </c>
      <c r="R2625" s="4" t="e">
        <f>IF(AND(B2625=1,N2625&gt;'Line Follower'!$C$7,SUM(C2625:K2625)&lt;4),1,0)</f>
        <v>#N/A</v>
      </c>
      <c r="S2625" s="4" t="e">
        <f>IF(AND(L2625=1,N2625&lt;'Line Follower'!$C$6,SUM(C2625:K2625)&lt;4),1,0)</f>
        <v>#N/A</v>
      </c>
      <c r="T2625" s="4" t="e">
        <f t="shared" si="202"/>
        <v>#N/A</v>
      </c>
      <c r="U2625" s="5" t="e">
        <f t="shared" si="203"/>
        <v>#N/A</v>
      </c>
      <c r="V2625" s="23" t="e">
        <f t="shared" si="204"/>
        <v>#N/A</v>
      </c>
    </row>
    <row r="2626" spans="2:22" x14ac:dyDescent="0.25">
      <c r="B2626" s="16">
        <v>1</v>
      </c>
      <c r="C2626" s="7">
        <v>1</v>
      </c>
      <c r="D2626" s="8">
        <v>1</v>
      </c>
      <c r="E2626" s="8">
        <v>1</v>
      </c>
      <c r="F2626" s="8">
        <v>1</v>
      </c>
      <c r="G2626" s="8">
        <v>1</v>
      </c>
      <c r="H2626" s="8">
        <v>0</v>
      </c>
      <c r="I2626" s="8">
        <v>0</v>
      </c>
      <c r="J2626" s="8">
        <v>0</v>
      </c>
      <c r="K2626" s="9">
        <v>1</v>
      </c>
      <c r="L2626" s="10">
        <v>0</v>
      </c>
      <c r="M2626" s="6">
        <v>1</v>
      </c>
      <c r="N2626" s="37" t="e" cm="1">
        <f t="array" ref="N2626">IF(OR(ISNUMBER(FIND(Aux!$D$3:$D$9,_xlfn.TEXTJOIN(,,C2626:K2626)))),NA(),IF(AND(SUM(C2626:F2626,H2626:K2626)=0,G2626=1),0,INT((SUMPRODUCT(C2626:F2626,COLUMN($A$1:$D$1)-1)+SUMPRODUCT(H2626:K2626,COLUMN($E$1:$H$1)-1))*'Line Follower'!$C$3/SUM(C2626:F2626,H2626:K2626)-'Line Follower'!$C$5)))</f>
        <v>#N/A</v>
      </c>
      <c r="O2626" s="22" t="e">
        <v>#N/A</v>
      </c>
      <c r="P2626" s="4" t="e">
        <f t="shared" si="200"/>
        <v>#N/A</v>
      </c>
      <c r="Q2626" s="4" t="e">
        <f t="shared" si="201"/>
        <v>#N/A</v>
      </c>
      <c r="R2626" s="4" t="e">
        <f>IF(AND(B2626=1,N2626&gt;'Line Follower'!$C$7,SUM(C2626:K2626)&lt;4),1,0)</f>
        <v>#N/A</v>
      </c>
      <c r="S2626" s="4" t="e">
        <f>IF(AND(L2626=1,N2626&lt;'Line Follower'!$C$6,SUM(C2626:K2626)&lt;4),1,0)</f>
        <v>#N/A</v>
      </c>
      <c r="T2626" s="4" t="e">
        <f t="shared" si="202"/>
        <v>#N/A</v>
      </c>
      <c r="U2626" s="5" t="e">
        <f t="shared" si="203"/>
        <v>#N/A</v>
      </c>
      <c r="V2626" s="23" t="e">
        <f t="shared" si="204"/>
        <v>#N/A</v>
      </c>
    </row>
    <row r="2627" spans="2:22" x14ac:dyDescent="0.25">
      <c r="B2627" s="16">
        <v>0</v>
      </c>
      <c r="C2627" s="7">
        <v>0</v>
      </c>
      <c r="D2627" s="8">
        <v>0</v>
      </c>
      <c r="E2627" s="8">
        <v>0</v>
      </c>
      <c r="F2627" s="8">
        <v>0</v>
      </c>
      <c r="G2627" s="8">
        <v>0</v>
      </c>
      <c r="H2627" s="8">
        <v>1</v>
      </c>
      <c r="I2627" s="8">
        <v>0</v>
      </c>
      <c r="J2627" s="8">
        <v>0</v>
      </c>
      <c r="K2627" s="9">
        <v>1</v>
      </c>
      <c r="L2627" s="10">
        <v>0</v>
      </c>
      <c r="M2627" s="6">
        <v>1</v>
      </c>
      <c r="N2627" s="37" t="e" cm="1">
        <f t="array" ref="N2627">IF(OR(ISNUMBER(FIND(Aux!$D$3:$D$9,_xlfn.TEXTJOIN(,,C2627:K2627)))),NA(),IF(AND(SUM(C2627:F2627,H2627:K2627)=0,G2627=1),0,INT((SUMPRODUCT(C2627:F2627,COLUMN($A$1:$D$1)-1)+SUMPRODUCT(H2627:K2627,COLUMN($E$1:$H$1)-1))*'Line Follower'!$C$3/SUM(C2627:F2627,H2627:K2627)-'Line Follower'!$C$5)))</f>
        <v>#N/A</v>
      </c>
      <c r="O2627" s="22" t="e">
        <v>#N/A</v>
      </c>
      <c r="P2627" s="4" t="e">
        <f t="shared" ref="P2627:P2690" si="205">IF(AND(N2627=0,G2627=1,M2627=1),1,0)</f>
        <v>#N/A</v>
      </c>
      <c r="Q2627" s="4" t="e">
        <f t="shared" ref="Q2627:Q2690" si="206">IF(ISERROR(N2627),N2627,IF(SUM(C2627:K2627)&gt;=4,1,0))</f>
        <v>#N/A</v>
      </c>
      <c r="R2627" s="4" t="e">
        <f>IF(AND(B2627=1,N2627&gt;'Line Follower'!$C$7,SUM(C2627:K2627)&lt;4),1,0)</f>
        <v>#N/A</v>
      </c>
      <c r="S2627" s="4" t="e">
        <f>IF(AND(L2627=1,N2627&lt;'Line Follower'!$C$6,SUM(C2627:K2627)&lt;4),1,0)</f>
        <v>#N/A</v>
      </c>
      <c r="T2627" s="4" t="e">
        <f t="shared" si="202"/>
        <v>#N/A</v>
      </c>
      <c r="U2627" s="5" t="e">
        <f t="shared" si="203"/>
        <v>#N/A</v>
      </c>
      <c r="V2627" s="23" t="e">
        <f t="shared" si="204"/>
        <v>#N/A</v>
      </c>
    </row>
    <row r="2628" spans="2:22" x14ac:dyDescent="0.25">
      <c r="B2628" s="16">
        <v>1</v>
      </c>
      <c r="C2628" s="7">
        <v>0</v>
      </c>
      <c r="D2628" s="8">
        <v>0</v>
      </c>
      <c r="E2628" s="8">
        <v>0</v>
      </c>
      <c r="F2628" s="8">
        <v>0</v>
      </c>
      <c r="G2628" s="8">
        <v>0</v>
      </c>
      <c r="H2628" s="8">
        <v>1</v>
      </c>
      <c r="I2628" s="8">
        <v>0</v>
      </c>
      <c r="J2628" s="8">
        <v>0</v>
      </c>
      <c r="K2628" s="9">
        <v>1</v>
      </c>
      <c r="L2628" s="10">
        <v>0</v>
      </c>
      <c r="M2628" s="6">
        <v>1</v>
      </c>
      <c r="N2628" s="37" t="e" cm="1">
        <f t="array" ref="N2628">IF(OR(ISNUMBER(FIND(Aux!$D$3:$D$9,_xlfn.TEXTJOIN(,,C2628:K2628)))),NA(),IF(AND(SUM(C2628:F2628,H2628:K2628)=0,G2628=1),0,INT((SUMPRODUCT(C2628:F2628,COLUMN($A$1:$D$1)-1)+SUMPRODUCT(H2628:K2628,COLUMN($E$1:$H$1)-1))*'Line Follower'!$C$3/SUM(C2628:F2628,H2628:K2628)-'Line Follower'!$C$5)))</f>
        <v>#N/A</v>
      </c>
      <c r="O2628" s="22" t="e">
        <v>#N/A</v>
      </c>
      <c r="P2628" s="4" t="e">
        <f t="shared" si="205"/>
        <v>#N/A</v>
      </c>
      <c r="Q2628" s="4" t="e">
        <f t="shared" si="206"/>
        <v>#N/A</v>
      </c>
      <c r="R2628" s="4" t="e">
        <f>IF(AND(B2628=1,N2628&gt;'Line Follower'!$C$7,SUM(C2628:K2628)&lt;4),1,0)</f>
        <v>#N/A</v>
      </c>
      <c r="S2628" s="4" t="e">
        <f>IF(AND(L2628=1,N2628&lt;'Line Follower'!$C$6,SUM(C2628:K2628)&lt;4),1,0)</f>
        <v>#N/A</v>
      </c>
      <c r="T2628" s="4" t="e">
        <f t="shared" ref="T2628:T2691" si="207">IF(ISNA(N2628),NA(),IF(SUM(C2628:L2628)=0,1,0))</f>
        <v>#N/A</v>
      </c>
      <c r="U2628" s="5" t="e">
        <f t="shared" ref="U2628:U2691" si="208">IF(ISNA(N2628),NA(),IF(SUM(B2628:K2628)=0,1,0))</f>
        <v>#N/A</v>
      </c>
      <c r="V2628" s="23" t="e">
        <f t="shared" ref="V2628:V2691" si="209">IF(ISNA(N2628),NA(),IF(SUM(B2628:L2628)=0,1,0))</f>
        <v>#N/A</v>
      </c>
    </row>
    <row r="2629" spans="2:22" x14ac:dyDescent="0.25">
      <c r="B2629" s="16">
        <v>0</v>
      </c>
      <c r="C2629" s="7">
        <v>1</v>
      </c>
      <c r="D2629" s="8">
        <v>0</v>
      </c>
      <c r="E2629" s="8">
        <v>0</v>
      </c>
      <c r="F2629" s="8">
        <v>0</v>
      </c>
      <c r="G2629" s="8">
        <v>0</v>
      </c>
      <c r="H2629" s="8">
        <v>1</v>
      </c>
      <c r="I2629" s="8">
        <v>0</v>
      </c>
      <c r="J2629" s="8">
        <v>0</v>
      </c>
      <c r="K2629" s="9">
        <v>1</v>
      </c>
      <c r="L2629" s="10">
        <v>0</v>
      </c>
      <c r="M2629" s="6">
        <v>1</v>
      </c>
      <c r="N2629" s="37" t="e" cm="1">
        <f t="array" ref="N2629">IF(OR(ISNUMBER(FIND(Aux!$D$3:$D$9,_xlfn.TEXTJOIN(,,C2629:K2629)))),NA(),IF(AND(SUM(C2629:F2629,H2629:K2629)=0,G2629=1),0,INT((SUMPRODUCT(C2629:F2629,COLUMN($A$1:$D$1)-1)+SUMPRODUCT(H2629:K2629,COLUMN($E$1:$H$1)-1))*'Line Follower'!$C$3/SUM(C2629:F2629,H2629:K2629)-'Line Follower'!$C$5)))</f>
        <v>#N/A</v>
      </c>
      <c r="O2629" s="22" t="e">
        <v>#N/A</v>
      </c>
      <c r="P2629" s="4" t="e">
        <f t="shared" si="205"/>
        <v>#N/A</v>
      </c>
      <c r="Q2629" s="4" t="e">
        <f t="shared" si="206"/>
        <v>#N/A</v>
      </c>
      <c r="R2629" s="4" t="e">
        <f>IF(AND(B2629=1,N2629&gt;'Line Follower'!$C$7,SUM(C2629:K2629)&lt;4),1,0)</f>
        <v>#N/A</v>
      </c>
      <c r="S2629" s="4" t="e">
        <f>IF(AND(L2629=1,N2629&lt;'Line Follower'!$C$6,SUM(C2629:K2629)&lt;4),1,0)</f>
        <v>#N/A</v>
      </c>
      <c r="T2629" s="4" t="e">
        <f t="shared" si="207"/>
        <v>#N/A</v>
      </c>
      <c r="U2629" s="5" t="e">
        <f t="shared" si="208"/>
        <v>#N/A</v>
      </c>
      <c r="V2629" s="23" t="e">
        <f t="shared" si="209"/>
        <v>#N/A</v>
      </c>
    </row>
    <row r="2630" spans="2:22" x14ac:dyDescent="0.25">
      <c r="B2630" s="16">
        <v>1</v>
      </c>
      <c r="C2630" s="7">
        <v>1</v>
      </c>
      <c r="D2630" s="8">
        <v>0</v>
      </c>
      <c r="E2630" s="8">
        <v>0</v>
      </c>
      <c r="F2630" s="8">
        <v>0</v>
      </c>
      <c r="G2630" s="8">
        <v>0</v>
      </c>
      <c r="H2630" s="8">
        <v>1</v>
      </c>
      <c r="I2630" s="8">
        <v>0</v>
      </c>
      <c r="J2630" s="8">
        <v>0</v>
      </c>
      <c r="K2630" s="9">
        <v>1</v>
      </c>
      <c r="L2630" s="10">
        <v>0</v>
      </c>
      <c r="M2630" s="6">
        <v>1</v>
      </c>
      <c r="N2630" s="37" t="e" cm="1">
        <f t="array" ref="N2630">IF(OR(ISNUMBER(FIND(Aux!$D$3:$D$9,_xlfn.TEXTJOIN(,,C2630:K2630)))),NA(),IF(AND(SUM(C2630:F2630,H2630:K2630)=0,G2630=1),0,INT((SUMPRODUCT(C2630:F2630,COLUMN($A$1:$D$1)-1)+SUMPRODUCT(H2630:K2630,COLUMN($E$1:$H$1)-1))*'Line Follower'!$C$3/SUM(C2630:F2630,H2630:K2630)-'Line Follower'!$C$5)))</f>
        <v>#N/A</v>
      </c>
      <c r="O2630" s="22" t="e">
        <v>#N/A</v>
      </c>
      <c r="P2630" s="4" t="e">
        <f t="shared" si="205"/>
        <v>#N/A</v>
      </c>
      <c r="Q2630" s="4" t="e">
        <f t="shared" si="206"/>
        <v>#N/A</v>
      </c>
      <c r="R2630" s="4" t="e">
        <f>IF(AND(B2630=1,N2630&gt;'Line Follower'!$C$7,SUM(C2630:K2630)&lt;4),1,0)</f>
        <v>#N/A</v>
      </c>
      <c r="S2630" s="4" t="e">
        <f>IF(AND(L2630=1,N2630&lt;'Line Follower'!$C$6,SUM(C2630:K2630)&lt;4),1,0)</f>
        <v>#N/A</v>
      </c>
      <c r="T2630" s="4" t="e">
        <f t="shared" si="207"/>
        <v>#N/A</v>
      </c>
      <c r="U2630" s="5" t="e">
        <f t="shared" si="208"/>
        <v>#N/A</v>
      </c>
      <c r="V2630" s="23" t="e">
        <f t="shared" si="209"/>
        <v>#N/A</v>
      </c>
    </row>
    <row r="2631" spans="2:22" x14ac:dyDescent="0.25">
      <c r="B2631" s="16">
        <v>0</v>
      </c>
      <c r="C2631" s="7">
        <v>0</v>
      </c>
      <c r="D2631" s="8">
        <v>1</v>
      </c>
      <c r="E2631" s="8">
        <v>0</v>
      </c>
      <c r="F2631" s="8">
        <v>0</v>
      </c>
      <c r="G2631" s="8">
        <v>0</v>
      </c>
      <c r="H2631" s="8">
        <v>1</v>
      </c>
      <c r="I2631" s="8">
        <v>0</v>
      </c>
      <c r="J2631" s="8">
        <v>0</v>
      </c>
      <c r="K2631" s="9">
        <v>1</v>
      </c>
      <c r="L2631" s="10">
        <v>0</v>
      </c>
      <c r="M2631" s="6">
        <v>1</v>
      </c>
      <c r="N2631" s="37" t="e" cm="1">
        <f t="array" ref="N2631">IF(OR(ISNUMBER(FIND(Aux!$D$3:$D$9,_xlfn.TEXTJOIN(,,C2631:K2631)))),NA(),IF(AND(SUM(C2631:F2631,H2631:K2631)=0,G2631=1),0,INT((SUMPRODUCT(C2631:F2631,COLUMN($A$1:$D$1)-1)+SUMPRODUCT(H2631:K2631,COLUMN($E$1:$H$1)-1))*'Line Follower'!$C$3/SUM(C2631:F2631,H2631:K2631)-'Line Follower'!$C$5)))</f>
        <v>#N/A</v>
      </c>
      <c r="O2631" s="22" t="e">
        <v>#N/A</v>
      </c>
      <c r="P2631" s="4" t="e">
        <f t="shared" si="205"/>
        <v>#N/A</v>
      </c>
      <c r="Q2631" s="4" t="e">
        <f t="shared" si="206"/>
        <v>#N/A</v>
      </c>
      <c r="R2631" s="4" t="e">
        <f>IF(AND(B2631=1,N2631&gt;'Line Follower'!$C$7,SUM(C2631:K2631)&lt;4),1,0)</f>
        <v>#N/A</v>
      </c>
      <c r="S2631" s="4" t="e">
        <f>IF(AND(L2631=1,N2631&lt;'Line Follower'!$C$6,SUM(C2631:K2631)&lt;4),1,0)</f>
        <v>#N/A</v>
      </c>
      <c r="T2631" s="4" t="e">
        <f t="shared" si="207"/>
        <v>#N/A</v>
      </c>
      <c r="U2631" s="5" t="e">
        <f t="shared" si="208"/>
        <v>#N/A</v>
      </c>
      <c r="V2631" s="23" t="e">
        <f t="shared" si="209"/>
        <v>#N/A</v>
      </c>
    </row>
    <row r="2632" spans="2:22" x14ac:dyDescent="0.25">
      <c r="B2632" s="16">
        <v>1</v>
      </c>
      <c r="C2632" s="7">
        <v>0</v>
      </c>
      <c r="D2632" s="8">
        <v>1</v>
      </c>
      <c r="E2632" s="8">
        <v>0</v>
      </c>
      <c r="F2632" s="8">
        <v>0</v>
      </c>
      <c r="G2632" s="8">
        <v>0</v>
      </c>
      <c r="H2632" s="8">
        <v>1</v>
      </c>
      <c r="I2632" s="8">
        <v>0</v>
      </c>
      <c r="J2632" s="8">
        <v>0</v>
      </c>
      <c r="K2632" s="9">
        <v>1</v>
      </c>
      <c r="L2632" s="10">
        <v>0</v>
      </c>
      <c r="M2632" s="6">
        <v>1</v>
      </c>
      <c r="N2632" s="37" t="e" cm="1">
        <f t="array" ref="N2632">IF(OR(ISNUMBER(FIND(Aux!$D$3:$D$9,_xlfn.TEXTJOIN(,,C2632:K2632)))),NA(),IF(AND(SUM(C2632:F2632,H2632:K2632)=0,G2632=1),0,INT((SUMPRODUCT(C2632:F2632,COLUMN($A$1:$D$1)-1)+SUMPRODUCT(H2632:K2632,COLUMN($E$1:$H$1)-1))*'Line Follower'!$C$3/SUM(C2632:F2632,H2632:K2632)-'Line Follower'!$C$5)))</f>
        <v>#N/A</v>
      </c>
      <c r="O2632" s="22" t="e">
        <v>#N/A</v>
      </c>
      <c r="P2632" s="4" t="e">
        <f t="shared" si="205"/>
        <v>#N/A</v>
      </c>
      <c r="Q2632" s="4" t="e">
        <f t="shared" si="206"/>
        <v>#N/A</v>
      </c>
      <c r="R2632" s="4" t="e">
        <f>IF(AND(B2632=1,N2632&gt;'Line Follower'!$C$7,SUM(C2632:K2632)&lt;4),1,0)</f>
        <v>#N/A</v>
      </c>
      <c r="S2632" s="4" t="e">
        <f>IF(AND(L2632=1,N2632&lt;'Line Follower'!$C$6,SUM(C2632:K2632)&lt;4),1,0)</f>
        <v>#N/A</v>
      </c>
      <c r="T2632" s="4" t="e">
        <f t="shared" si="207"/>
        <v>#N/A</v>
      </c>
      <c r="U2632" s="5" t="e">
        <f t="shared" si="208"/>
        <v>#N/A</v>
      </c>
      <c r="V2632" s="23" t="e">
        <f t="shared" si="209"/>
        <v>#N/A</v>
      </c>
    </row>
    <row r="2633" spans="2:22" x14ac:dyDescent="0.25">
      <c r="B2633" s="16">
        <v>0</v>
      </c>
      <c r="C2633" s="7">
        <v>1</v>
      </c>
      <c r="D2633" s="8">
        <v>1</v>
      </c>
      <c r="E2633" s="8">
        <v>0</v>
      </c>
      <c r="F2633" s="8">
        <v>0</v>
      </c>
      <c r="G2633" s="8">
        <v>0</v>
      </c>
      <c r="H2633" s="8">
        <v>1</v>
      </c>
      <c r="I2633" s="8">
        <v>0</v>
      </c>
      <c r="J2633" s="8">
        <v>0</v>
      </c>
      <c r="K2633" s="9">
        <v>1</v>
      </c>
      <c r="L2633" s="10">
        <v>0</v>
      </c>
      <c r="M2633" s="6">
        <v>1</v>
      </c>
      <c r="N2633" s="37" t="e" cm="1">
        <f t="array" ref="N2633">IF(OR(ISNUMBER(FIND(Aux!$D$3:$D$9,_xlfn.TEXTJOIN(,,C2633:K2633)))),NA(),IF(AND(SUM(C2633:F2633,H2633:K2633)=0,G2633=1),0,INT((SUMPRODUCT(C2633:F2633,COLUMN($A$1:$D$1)-1)+SUMPRODUCT(H2633:K2633,COLUMN($E$1:$H$1)-1))*'Line Follower'!$C$3/SUM(C2633:F2633,H2633:K2633)-'Line Follower'!$C$5)))</f>
        <v>#N/A</v>
      </c>
      <c r="O2633" s="22" t="e">
        <v>#N/A</v>
      </c>
      <c r="P2633" s="4" t="e">
        <f t="shared" si="205"/>
        <v>#N/A</v>
      </c>
      <c r="Q2633" s="4" t="e">
        <f t="shared" si="206"/>
        <v>#N/A</v>
      </c>
      <c r="R2633" s="4" t="e">
        <f>IF(AND(B2633=1,N2633&gt;'Line Follower'!$C$7,SUM(C2633:K2633)&lt;4),1,0)</f>
        <v>#N/A</v>
      </c>
      <c r="S2633" s="4" t="e">
        <f>IF(AND(L2633=1,N2633&lt;'Line Follower'!$C$6,SUM(C2633:K2633)&lt;4),1,0)</f>
        <v>#N/A</v>
      </c>
      <c r="T2633" s="4" t="e">
        <f t="shared" si="207"/>
        <v>#N/A</v>
      </c>
      <c r="U2633" s="5" t="e">
        <f t="shared" si="208"/>
        <v>#N/A</v>
      </c>
      <c r="V2633" s="23" t="e">
        <f t="shared" si="209"/>
        <v>#N/A</v>
      </c>
    </row>
    <row r="2634" spans="2:22" x14ac:dyDescent="0.25">
      <c r="B2634" s="16">
        <v>1</v>
      </c>
      <c r="C2634" s="7">
        <v>1</v>
      </c>
      <c r="D2634" s="8">
        <v>1</v>
      </c>
      <c r="E2634" s="8">
        <v>0</v>
      </c>
      <c r="F2634" s="8">
        <v>0</v>
      </c>
      <c r="G2634" s="8">
        <v>0</v>
      </c>
      <c r="H2634" s="8">
        <v>1</v>
      </c>
      <c r="I2634" s="8">
        <v>0</v>
      </c>
      <c r="J2634" s="8">
        <v>0</v>
      </c>
      <c r="K2634" s="9">
        <v>1</v>
      </c>
      <c r="L2634" s="10">
        <v>0</v>
      </c>
      <c r="M2634" s="6">
        <v>1</v>
      </c>
      <c r="N2634" s="37" t="e" cm="1">
        <f t="array" ref="N2634">IF(OR(ISNUMBER(FIND(Aux!$D$3:$D$9,_xlfn.TEXTJOIN(,,C2634:K2634)))),NA(),IF(AND(SUM(C2634:F2634,H2634:K2634)=0,G2634=1),0,INT((SUMPRODUCT(C2634:F2634,COLUMN($A$1:$D$1)-1)+SUMPRODUCT(H2634:K2634,COLUMN($E$1:$H$1)-1))*'Line Follower'!$C$3/SUM(C2634:F2634,H2634:K2634)-'Line Follower'!$C$5)))</f>
        <v>#N/A</v>
      </c>
      <c r="O2634" s="22" t="e">
        <v>#N/A</v>
      </c>
      <c r="P2634" s="4" t="e">
        <f t="shared" si="205"/>
        <v>#N/A</v>
      </c>
      <c r="Q2634" s="4" t="e">
        <f t="shared" si="206"/>
        <v>#N/A</v>
      </c>
      <c r="R2634" s="4" t="e">
        <f>IF(AND(B2634=1,N2634&gt;'Line Follower'!$C$7,SUM(C2634:K2634)&lt;4),1,0)</f>
        <v>#N/A</v>
      </c>
      <c r="S2634" s="4" t="e">
        <f>IF(AND(L2634=1,N2634&lt;'Line Follower'!$C$6,SUM(C2634:K2634)&lt;4),1,0)</f>
        <v>#N/A</v>
      </c>
      <c r="T2634" s="4" t="e">
        <f t="shared" si="207"/>
        <v>#N/A</v>
      </c>
      <c r="U2634" s="5" t="e">
        <f t="shared" si="208"/>
        <v>#N/A</v>
      </c>
      <c r="V2634" s="23" t="e">
        <f t="shared" si="209"/>
        <v>#N/A</v>
      </c>
    </row>
    <row r="2635" spans="2:22" x14ac:dyDescent="0.25">
      <c r="B2635" s="16">
        <v>0</v>
      </c>
      <c r="C2635" s="7">
        <v>0</v>
      </c>
      <c r="D2635" s="8">
        <v>0</v>
      </c>
      <c r="E2635" s="8">
        <v>1</v>
      </c>
      <c r="F2635" s="8">
        <v>0</v>
      </c>
      <c r="G2635" s="8">
        <v>0</v>
      </c>
      <c r="H2635" s="8">
        <v>1</v>
      </c>
      <c r="I2635" s="8">
        <v>0</v>
      </c>
      <c r="J2635" s="8">
        <v>0</v>
      </c>
      <c r="K2635" s="9">
        <v>1</v>
      </c>
      <c r="L2635" s="10">
        <v>0</v>
      </c>
      <c r="M2635" s="6">
        <v>1</v>
      </c>
      <c r="N2635" s="37" t="e" cm="1">
        <f t="array" ref="N2635">IF(OR(ISNUMBER(FIND(Aux!$D$3:$D$9,_xlfn.TEXTJOIN(,,C2635:K2635)))),NA(),IF(AND(SUM(C2635:F2635,H2635:K2635)=0,G2635=1),0,INT((SUMPRODUCT(C2635:F2635,COLUMN($A$1:$D$1)-1)+SUMPRODUCT(H2635:K2635,COLUMN($E$1:$H$1)-1))*'Line Follower'!$C$3/SUM(C2635:F2635,H2635:K2635)-'Line Follower'!$C$5)))</f>
        <v>#N/A</v>
      </c>
      <c r="O2635" s="22" t="e">
        <v>#N/A</v>
      </c>
      <c r="P2635" s="4" t="e">
        <f t="shared" si="205"/>
        <v>#N/A</v>
      </c>
      <c r="Q2635" s="4" t="e">
        <f t="shared" si="206"/>
        <v>#N/A</v>
      </c>
      <c r="R2635" s="4" t="e">
        <f>IF(AND(B2635=1,N2635&gt;'Line Follower'!$C$7,SUM(C2635:K2635)&lt;4),1,0)</f>
        <v>#N/A</v>
      </c>
      <c r="S2635" s="4" t="e">
        <f>IF(AND(L2635=1,N2635&lt;'Line Follower'!$C$6,SUM(C2635:K2635)&lt;4),1,0)</f>
        <v>#N/A</v>
      </c>
      <c r="T2635" s="4" t="e">
        <f t="shared" si="207"/>
        <v>#N/A</v>
      </c>
      <c r="U2635" s="5" t="e">
        <f t="shared" si="208"/>
        <v>#N/A</v>
      </c>
      <c r="V2635" s="23" t="e">
        <f t="shared" si="209"/>
        <v>#N/A</v>
      </c>
    </row>
    <row r="2636" spans="2:22" x14ac:dyDescent="0.25">
      <c r="B2636" s="16">
        <v>1</v>
      </c>
      <c r="C2636" s="7">
        <v>0</v>
      </c>
      <c r="D2636" s="8">
        <v>0</v>
      </c>
      <c r="E2636" s="8">
        <v>1</v>
      </c>
      <c r="F2636" s="8">
        <v>0</v>
      </c>
      <c r="G2636" s="8">
        <v>0</v>
      </c>
      <c r="H2636" s="8">
        <v>1</v>
      </c>
      <c r="I2636" s="8">
        <v>0</v>
      </c>
      <c r="J2636" s="8">
        <v>0</v>
      </c>
      <c r="K2636" s="9">
        <v>1</v>
      </c>
      <c r="L2636" s="10">
        <v>0</v>
      </c>
      <c r="M2636" s="6">
        <v>1</v>
      </c>
      <c r="N2636" s="37" t="e" cm="1">
        <f t="array" ref="N2636">IF(OR(ISNUMBER(FIND(Aux!$D$3:$D$9,_xlfn.TEXTJOIN(,,C2636:K2636)))),NA(),IF(AND(SUM(C2636:F2636,H2636:K2636)=0,G2636=1),0,INT((SUMPRODUCT(C2636:F2636,COLUMN($A$1:$D$1)-1)+SUMPRODUCT(H2636:K2636,COLUMN($E$1:$H$1)-1))*'Line Follower'!$C$3/SUM(C2636:F2636,H2636:K2636)-'Line Follower'!$C$5)))</f>
        <v>#N/A</v>
      </c>
      <c r="O2636" s="22" t="e">
        <v>#N/A</v>
      </c>
      <c r="P2636" s="4" t="e">
        <f t="shared" si="205"/>
        <v>#N/A</v>
      </c>
      <c r="Q2636" s="4" t="e">
        <f t="shared" si="206"/>
        <v>#N/A</v>
      </c>
      <c r="R2636" s="4" t="e">
        <f>IF(AND(B2636=1,N2636&gt;'Line Follower'!$C$7,SUM(C2636:K2636)&lt;4),1,0)</f>
        <v>#N/A</v>
      </c>
      <c r="S2636" s="4" t="e">
        <f>IF(AND(L2636=1,N2636&lt;'Line Follower'!$C$6,SUM(C2636:K2636)&lt;4),1,0)</f>
        <v>#N/A</v>
      </c>
      <c r="T2636" s="4" t="e">
        <f t="shared" si="207"/>
        <v>#N/A</v>
      </c>
      <c r="U2636" s="5" t="e">
        <f t="shared" si="208"/>
        <v>#N/A</v>
      </c>
      <c r="V2636" s="23" t="e">
        <f t="shared" si="209"/>
        <v>#N/A</v>
      </c>
    </row>
    <row r="2637" spans="2:22" x14ac:dyDescent="0.25">
      <c r="B2637" s="16">
        <v>0</v>
      </c>
      <c r="C2637" s="7">
        <v>1</v>
      </c>
      <c r="D2637" s="8">
        <v>0</v>
      </c>
      <c r="E2637" s="8">
        <v>1</v>
      </c>
      <c r="F2637" s="8">
        <v>0</v>
      </c>
      <c r="G2637" s="8">
        <v>0</v>
      </c>
      <c r="H2637" s="8">
        <v>1</v>
      </c>
      <c r="I2637" s="8">
        <v>0</v>
      </c>
      <c r="J2637" s="8">
        <v>0</v>
      </c>
      <c r="K2637" s="9">
        <v>1</v>
      </c>
      <c r="L2637" s="10">
        <v>0</v>
      </c>
      <c r="M2637" s="6">
        <v>1</v>
      </c>
      <c r="N2637" s="37" t="e" cm="1">
        <f t="array" ref="N2637">IF(OR(ISNUMBER(FIND(Aux!$D$3:$D$9,_xlfn.TEXTJOIN(,,C2637:K2637)))),NA(),IF(AND(SUM(C2637:F2637,H2637:K2637)=0,G2637=1),0,INT((SUMPRODUCT(C2637:F2637,COLUMN($A$1:$D$1)-1)+SUMPRODUCT(H2637:K2637,COLUMN($E$1:$H$1)-1))*'Line Follower'!$C$3/SUM(C2637:F2637,H2637:K2637)-'Line Follower'!$C$5)))</f>
        <v>#N/A</v>
      </c>
      <c r="O2637" s="22" t="e">
        <v>#N/A</v>
      </c>
      <c r="P2637" s="4" t="e">
        <f t="shared" si="205"/>
        <v>#N/A</v>
      </c>
      <c r="Q2637" s="4" t="e">
        <f t="shared" si="206"/>
        <v>#N/A</v>
      </c>
      <c r="R2637" s="4" t="e">
        <f>IF(AND(B2637=1,N2637&gt;'Line Follower'!$C$7,SUM(C2637:K2637)&lt;4),1,0)</f>
        <v>#N/A</v>
      </c>
      <c r="S2637" s="4" t="e">
        <f>IF(AND(L2637=1,N2637&lt;'Line Follower'!$C$6,SUM(C2637:K2637)&lt;4),1,0)</f>
        <v>#N/A</v>
      </c>
      <c r="T2637" s="4" t="e">
        <f t="shared" si="207"/>
        <v>#N/A</v>
      </c>
      <c r="U2637" s="5" t="e">
        <f t="shared" si="208"/>
        <v>#N/A</v>
      </c>
      <c r="V2637" s="23" t="e">
        <f t="shared" si="209"/>
        <v>#N/A</v>
      </c>
    </row>
    <row r="2638" spans="2:22" x14ac:dyDescent="0.25">
      <c r="B2638" s="16">
        <v>1</v>
      </c>
      <c r="C2638" s="7">
        <v>1</v>
      </c>
      <c r="D2638" s="8">
        <v>0</v>
      </c>
      <c r="E2638" s="8">
        <v>1</v>
      </c>
      <c r="F2638" s="8">
        <v>0</v>
      </c>
      <c r="G2638" s="8">
        <v>0</v>
      </c>
      <c r="H2638" s="8">
        <v>1</v>
      </c>
      <c r="I2638" s="8">
        <v>0</v>
      </c>
      <c r="J2638" s="8">
        <v>0</v>
      </c>
      <c r="K2638" s="9">
        <v>1</v>
      </c>
      <c r="L2638" s="10">
        <v>0</v>
      </c>
      <c r="M2638" s="6">
        <v>1</v>
      </c>
      <c r="N2638" s="37" t="e" cm="1">
        <f t="array" ref="N2638">IF(OR(ISNUMBER(FIND(Aux!$D$3:$D$9,_xlfn.TEXTJOIN(,,C2638:K2638)))),NA(),IF(AND(SUM(C2638:F2638,H2638:K2638)=0,G2638=1),0,INT((SUMPRODUCT(C2638:F2638,COLUMN($A$1:$D$1)-1)+SUMPRODUCT(H2638:K2638,COLUMN($E$1:$H$1)-1))*'Line Follower'!$C$3/SUM(C2638:F2638,H2638:K2638)-'Line Follower'!$C$5)))</f>
        <v>#N/A</v>
      </c>
      <c r="O2638" s="22" t="e">
        <v>#N/A</v>
      </c>
      <c r="P2638" s="4" t="e">
        <f t="shared" si="205"/>
        <v>#N/A</v>
      </c>
      <c r="Q2638" s="4" t="e">
        <f t="shared" si="206"/>
        <v>#N/A</v>
      </c>
      <c r="R2638" s="4" t="e">
        <f>IF(AND(B2638=1,N2638&gt;'Line Follower'!$C$7,SUM(C2638:K2638)&lt;4),1,0)</f>
        <v>#N/A</v>
      </c>
      <c r="S2638" s="4" t="e">
        <f>IF(AND(L2638=1,N2638&lt;'Line Follower'!$C$6,SUM(C2638:K2638)&lt;4),1,0)</f>
        <v>#N/A</v>
      </c>
      <c r="T2638" s="4" t="e">
        <f t="shared" si="207"/>
        <v>#N/A</v>
      </c>
      <c r="U2638" s="5" t="e">
        <f t="shared" si="208"/>
        <v>#N/A</v>
      </c>
      <c r="V2638" s="23" t="e">
        <f t="shared" si="209"/>
        <v>#N/A</v>
      </c>
    </row>
    <row r="2639" spans="2:22" x14ac:dyDescent="0.25">
      <c r="B2639" s="16">
        <v>0</v>
      </c>
      <c r="C2639" s="7">
        <v>0</v>
      </c>
      <c r="D2639" s="8">
        <v>1</v>
      </c>
      <c r="E2639" s="8">
        <v>1</v>
      </c>
      <c r="F2639" s="8">
        <v>0</v>
      </c>
      <c r="G2639" s="8">
        <v>0</v>
      </c>
      <c r="H2639" s="8">
        <v>1</v>
      </c>
      <c r="I2639" s="8">
        <v>0</v>
      </c>
      <c r="J2639" s="8">
        <v>0</v>
      </c>
      <c r="K2639" s="9">
        <v>1</v>
      </c>
      <c r="L2639" s="10">
        <v>0</v>
      </c>
      <c r="M2639" s="6">
        <v>1</v>
      </c>
      <c r="N2639" s="37" t="e" cm="1">
        <f t="array" ref="N2639">IF(OR(ISNUMBER(FIND(Aux!$D$3:$D$9,_xlfn.TEXTJOIN(,,C2639:K2639)))),NA(),IF(AND(SUM(C2639:F2639,H2639:K2639)=0,G2639=1),0,INT((SUMPRODUCT(C2639:F2639,COLUMN($A$1:$D$1)-1)+SUMPRODUCT(H2639:K2639,COLUMN($E$1:$H$1)-1))*'Line Follower'!$C$3/SUM(C2639:F2639,H2639:K2639)-'Line Follower'!$C$5)))</f>
        <v>#N/A</v>
      </c>
      <c r="O2639" s="22" t="e">
        <v>#N/A</v>
      </c>
      <c r="P2639" s="4" t="e">
        <f t="shared" si="205"/>
        <v>#N/A</v>
      </c>
      <c r="Q2639" s="4" t="e">
        <f t="shared" si="206"/>
        <v>#N/A</v>
      </c>
      <c r="R2639" s="4" t="e">
        <f>IF(AND(B2639=1,N2639&gt;'Line Follower'!$C$7,SUM(C2639:K2639)&lt;4),1,0)</f>
        <v>#N/A</v>
      </c>
      <c r="S2639" s="4" t="e">
        <f>IF(AND(L2639=1,N2639&lt;'Line Follower'!$C$6,SUM(C2639:K2639)&lt;4),1,0)</f>
        <v>#N/A</v>
      </c>
      <c r="T2639" s="4" t="e">
        <f t="shared" si="207"/>
        <v>#N/A</v>
      </c>
      <c r="U2639" s="5" t="e">
        <f t="shared" si="208"/>
        <v>#N/A</v>
      </c>
      <c r="V2639" s="23" t="e">
        <f t="shared" si="209"/>
        <v>#N/A</v>
      </c>
    </row>
    <row r="2640" spans="2:22" x14ac:dyDescent="0.25">
      <c r="B2640" s="16">
        <v>1</v>
      </c>
      <c r="C2640" s="7">
        <v>0</v>
      </c>
      <c r="D2640" s="8">
        <v>1</v>
      </c>
      <c r="E2640" s="8">
        <v>1</v>
      </c>
      <c r="F2640" s="8">
        <v>0</v>
      </c>
      <c r="G2640" s="8">
        <v>0</v>
      </c>
      <c r="H2640" s="8">
        <v>1</v>
      </c>
      <c r="I2640" s="8">
        <v>0</v>
      </c>
      <c r="J2640" s="8">
        <v>0</v>
      </c>
      <c r="K2640" s="9">
        <v>1</v>
      </c>
      <c r="L2640" s="10">
        <v>0</v>
      </c>
      <c r="M2640" s="6">
        <v>1</v>
      </c>
      <c r="N2640" s="37" t="e" cm="1">
        <f t="array" ref="N2640">IF(OR(ISNUMBER(FIND(Aux!$D$3:$D$9,_xlfn.TEXTJOIN(,,C2640:K2640)))),NA(),IF(AND(SUM(C2640:F2640,H2640:K2640)=0,G2640=1),0,INT((SUMPRODUCT(C2640:F2640,COLUMN($A$1:$D$1)-1)+SUMPRODUCT(H2640:K2640,COLUMN($E$1:$H$1)-1))*'Line Follower'!$C$3/SUM(C2640:F2640,H2640:K2640)-'Line Follower'!$C$5)))</f>
        <v>#N/A</v>
      </c>
      <c r="O2640" s="22" t="e">
        <v>#N/A</v>
      </c>
      <c r="P2640" s="4" t="e">
        <f t="shared" si="205"/>
        <v>#N/A</v>
      </c>
      <c r="Q2640" s="4" t="e">
        <f t="shared" si="206"/>
        <v>#N/A</v>
      </c>
      <c r="R2640" s="4" t="e">
        <f>IF(AND(B2640=1,N2640&gt;'Line Follower'!$C$7,SUM(C2640:K2640)&lt;4),1,0)</f>
        <v>#N/A</v>
      </c>
      <c r="S2640" s="4" t="e">
        <f>IF(AND(L2640=1,N2640&lt;'Line Follower'!$C$6,SUM(C2640:K2640)&lt;4),1,0)</f>
        <v>#N/A</v>
      </c>
      <c r="T2640" s="4" t="e">
        <f t="shared" si="207"/>
        <v>#N/A</v>
      </c>
      <c r="U2640" s="5" t="e">
        <f t="shared" si="208"/>
        <v>#N/A</v>
      </c>
      <c r="V2640" s="23" t="e">
        <f t="shared" si="209"/>
        <v>#N/A</v>
      </c>
    </row>
    <row r="2641" spans="2:22" x14ac:dyDescent="0.25">
      <c r="B2641" s="16">
        <v>0</v>
      </c>
      <c r="C2641" s="7">
        <v>1</v>
      </c>
      <c r="D2641" s="8">
        <v>1</v>
      </c>
      <c r="E2641" s="8">
        <v>1</v>
      </c>
      <c r="F2641" s="8">
        <v>0</v>
      </c>
      <c r="G2641" s="8">
        <v>0</v>
      </c>
      <c r="H2641" s="8">
        <v>1</v>
      </c>
      <c r="I2641" s="8">
        <v>0</v>
      </c>
      <c r="J2641" s="8">
        <v>0</v>
      </c>
      <c r="K2641" s="9">
        <v>1</v>
      </c>
      <c r="L2641" s="10">
        <v>0</v>
      </c>
      <c r="M2641" s="6">
        <v>1</v>
      </c>
      <c r="N2641" s="37" t="e" cm="1">
        <f t="array" ref="N2641">IF(OR(ISNUMBER(FIND(Aux!$D$3:$D$9,_xlfn.TEXTJOIN(,,C2641:K2641)))),NA(),IF(AND(SUM(C2641:F2641,H2641:K2641)=0,G2641=1),0,INT((SUMPRODUCT(C2641:F2641,COLUMN($A$1:$D$1)-1)+SUMPRODUCT(H2641:K2641,COLUMN($E$1:$H$1)-1))*'Line Follower'!$C$3/SUM(C2641:F2641,H2641:K2641)-'Line Follower'!$C$5)))</f>
        <v>#N/A</v>
      </c>
      <c r="O2641" s="22" t="e">
        <v>#N/A</v>
      </c>
      <c r="P2641" s="4" t="e">
        <f t="shared" si="205"/>
        <v>#N/A</v>
      </c>
      <c r="Q2641" s="4" t="e">
        <f t="shared" si="206"/>
        <v>#N/A</v>
      </c>
      <c r="R2641" s="4" t="e">
        <f>IF(AND(B2641=1,N2641&gt;'Line Follower'!$C$7,SUM(C2641:K2641)&lt;4),1,0)</f>
        <v>#N/A</v>
      </c>
      <c r="S2641" s="4" t="e">
        <f>IF(AND(L2641=1,N2641&lt;'Line Follower'!$C$6,SUM(C2641:K2641)&lt;4),1,0)</f>
        <v>#N/A</v>
      </c>
      <c r="T2641" s="4" t="e">
        <f t="shared" si="207"/>
        <v>#N/A</v>
      </c>
      <c r="U2641" s="5" t="e">
        <f t="shared" si="208"/>
        <v>#N/A</v>
      </c>
      <c r="V2641" s="23" t="e">
        <f t="shared" si="209"/>
        <v>#N/A</v>
      </c>
    </row>
    <row r="2642" spans="2:22" x14ac:dyDescent="0.25">
      <c r="B2642" s="16">
        <v>1</v>
      </c>
      <c r="C2642" s="7">
        <v>1</v>
      </c>
      <c r="D2642" s="8">
        <v>1</v>
      </c>
      <c r="E2642" s="8">
        <v>1</v>
      </c>
      <c r="F2642" s="8">
        <v>0</v>
      </c>
      <c r="G2642" s="8">
        <v>0</v>
      </c>
      <c r="H2642" s="8">
        <v>1</v>
      </c>
      <c r="I2642" s="8">
        <v>0</v>
      </c>
      <c r="J2642" s="8">
        <v>0</v>
      </c>
      <c r="K2642" s="9">
        <v>1</v>
      </c>
      <c r="L2642" s="10">
        <v>0</v>
      </c>
      <c r="M2642" s="6">
        <v>1</v>
      </c>
      <c r="N2642" s="37" t="e" cm="1">
        <f t="array" ref="N2642">IF(OR(ISNUMBER(FIND(Aux!$D$3:$D$9,_xlfn.TEXTJOIN(,,C2642:K2642)))),NA(),IF(AND(SUM(C2642:F2642,H2642:K2642)=0,G2642=1),0,INT((SUMPRODUCT(C2642:F2642,COLUMN($A$1:$D$1)-1)+SUMPRODUCT(H2642:K2642,COLUMN($E$1:$H$1)-1))*'Line Follower'!$C$3/SUM(C2642:F2642,H2642:K2642)-'Line Follower'!$C$5)))</f>
        <v>#N/A</v>
      </c>
      <c r="O2642" s="22" t="e">
        <v>#N/A</v>
      </c>
      <c r="P2642" s="4" t="e">
        <f t="shared" si="205"/>
        <v>#N/A</v>
      </c>
      <c r="Q2642" s="4" t="e">
        <f t="shared" si="206"/>
        <v>#N/A</v>
      </c>
      <c r="R2642" s="4" t="e">
        <f>IF(AND(B2642=1,N2642&gt;'Line Follower'!$C$7,SUM(C2642:K2642)&lt;4),1,0)</f>
        <v>#N/A</v>
      </c>
      <c r="S2642" s="4" t="e">
        <f>IF(AND(L2642=1,N2642&lt;'Line Follower'!$C$6,SUM(C2642:K2642)&lt;4),1,0)</f>
        <v>#N/A</v>
      </c>
      <c r="T2642" s="4" t="e">
        <f t="shared" si="207"/>
        <v>#N/A</v>
      </c>
      <c r="U2642" s="5" t="e">
        <f t="shared" si="208"/>
        <v>#N/A</v>
      </c>
      <c r="V2642" s="23" t="e">
        <f t="shared" si="209"/>
        <v>#N/A</v>
      </c>
    </row>
    <row r="2643" spans="2:22" x14ac:dyDescent="0.25">
      <c r="B2643" s="16">
        <v>0</v>
      </c>
      <c r="C2643" s="7">
        <v>0</v>
      </c>
      <c r="D2643" s="8">
        <v>0</v>
      </c>
      <c r="E2643" s="8">
        <v>0</v>
      </c>
      <c r="F2643" s="8">
        <v>1</v>
      </c>
      <c r="G2643" s="8">
        <v>0</v>
      </c>
      <c r="H2643" s="8">
        <v>1</v>
      </c>
      <c r="I2643" s="8">
        <v>0</v>
      </c>
      <c r="J2643" s="8">
        <v>0</v>
      </c>
      <c r="K2643" s="9">
        <v>1</v>
      </c>
      <c r="L2643" s="10">
        <v>0</v>
      </c>
      <c r="M2643" s="6">
        <v>1</v>
      </c>
      <c r="N2643" s="37" t="e" cm="1">
        <f t="array" ref="N2643">IF(OR(ISNUMBER(FIND(Aux!$D$3:$D$9,_xlfn.TEXTJOIN(,,C2643:K2643)))),NA(),IF(AND(SUM(C2643:F2643,H2643:K2643)=0,G2643=1),0,INT((SUMPRODUCT(C2643:F2643,COLUMN($A$1:$D$1)-1)+SUMPRODUCT(H2643:K2643,COLUMN($E$1:$H$1)-1))*'Line Follower'!$C$3/SUM(C2643:F2643,H2643:K2643)-'Line Follower'!$C$5)))</f>
        <v>#N/A</v>
      </c>
      <c r="O2643" s="22" t="e">
        <v>#N/A</v>
      </c>
      <c r="P2643" s="4" t="e">
        <f t="shared" si="205"/>
        <v>#N/A</v>
      </c>
      <c r="Q2643" s="4" t="e">
        <f t="shared" si="206"/>
        <v>#N/A</v>
      </c>
      <c r="R2643" s="4" t="e">
        <f>IF(AND(B2643=1,N2643&gt;'Line Follower'!$C$7,SUM(C2643:K2643)&lt;4),1,0)</f>
        <v>#N/A</v>
      </c>
      <c r="S2643" s="4" t="e">
        <f>IF(AND(L2643=1,N2643&lt;'Line Follower'!$C$6,SUM(C2643:K2643)&lt;4),1,0)</f>
        <v>#N/A</v>
      </c>
      <c r="T2643" s="4" t="e">
        <f t="shared" si="207"/>
        <v>#N/A</v>
      </c>
      <c r="U2643" s="5" t="e">
        <f t="shared" si="208"/>
        <v>#N/A</v>
      </c>
      <c r="V2643" s="23" t="e">
        <f t="shared" si="209"/>
        <v>#N/A</v>
      </c>
    </row>
    <row r="2644" spans="2:22" x14ac:dyDescent="0.25">
      <c r="B2644" s="16">
        <v>1</v>
      </c>
      <c r="C2644" s="7">
        <v>0</v>
      </c>
      <c r="D2644" s="8">
        <v>0</v>
      </c>
      <c r="E2644" s="8">
        <v>0</v>
      </c>
      <c r="F2644" s="8">
        <v>1</v>
      </c>
      <c r="G2644" s="8">
        <v>0</v>
      </c>
      <c r="H2644" s="8">
        <v>1</v>
      </c>
      <c r="I2644" s="8">
        <v>0</v>
      </c>
      <c r="J2644" s="8">
        <v>0</v>
      </c>
      <c r="K2644" s="9">
        <v>1</v>
      </c>
      <c r="L2644" s="10">
        <v>0</v>
      </c>
      <c r="M2644" s="6">
        <v>1</v>
      </c>
      <c r="N2644" s="37" t="e" cm="1">
        <f t="array" ref="N2644">IF(OR(ISNUMBER(FIND(Aux!$D$3:$D$9,_xlfn.TEXTJOIN(,,C2644:K2644)))),NA(),IF(AND(SUM(C2644:F2644,H2644:K2644)=0,G2644=1),0,INT((SUMPRODUCT(C2644:F2644,COLUMN($A$1:$D$1)-1)+SUMPRODUCT(H2644:K2644,COLUMN($E$1:$H$1)-1))*'Line Follower'!$C$3/SUM(C2644:F2644,H2644:K2644)-'Line Follower'!$C$5)))</f>
        <v>#N/A</v>
      </c>
      <c r="O2644" s="22" t="e">
        <v>#N/A</v>
      </c>
      <c r="P2644" s="4" t="e">
        <f t="shared" si="205"/>
        <v>#N/A</v>
      </c>
      <c r="Q2644" s="4" t="e">
        <f t="shared" si="206"/>
        <v>#N/A</v>
      </c>
      <c r="R2644" s="4" t="e">
        <f>IF(AND(B2644=1,N2644&gt;'Line Follower'!$C$7,SUM(C2644:K2644)&lt;4),1,0)</f>
        <v>#N/A</v>
      </c>
      <c r="S2644" s="4" t="e">
        <f>IF(AND(L2644=1,N2644&lt;'Line Follower'!$C$6,SUM(C2644:K2644)&lt;4),1,0)</f>
        <v>#N/A</v>
      </c>
      <c r="T2644" s="4" t="e">
        <f t="shared" si="207"/>
        <v>#N/A</v>
      </c>
      <c r="U2644" s="5" t="e">
        <f t="shared" si="208"/>
        <v>#N/A</v>
      </c>
      <c r="V2644" s="23" t="e">
        <f t="shared" si="209"/>
        <v>#N/A</v>
      </c>
    </row>
    <row r="2645" spans="2:22" x14ac:dyDescent="0.25">
      <c r="B2645" s="16">
        <v>0</v>
      </c>
      <c r="C2645" s="7">
        <v>1</v>
      </c>
      <c r="D2645" s="8">
        <v>0</v>
      </c>
      <c r="E2645" s="8">
        <v>0</v>
      </c>
      <c r="F2645" s="8">
        <v>1</v>
      </c>
      <c r="G2645" s="8">
        <v>0</v>
      </c>
      <c r="H2645" s="8">
        <v>1</v>
      </c>
      <c r="I2645" s="8">
        <v>0</v>
      </c>
      <c r="J2645" s="8">
        <v>0</v>
      </c>
      <c r="K2645" s="9">
        <v>1</v>
      </c>
      <c r="L2645" s="10">
        <v>0</v>
      </c>
      <c r="M2645" s="6">
        <v>1</v>
      </c>
      <c r="N2645" s="37" t="e" cm="1">
        <f t="array" ref="N2645">IF(OR(ISNUMBER(FIND(Aux!$D$3:$D$9,_xlfn.TEXTJOIN(,,C2645:K2645)))),NA(),IF(AND(SUM(C2645:F2645,H2645:K2645)=0,G2645=1),0,INT((SUMPRODUCT(C2645:F2645,COLUMN($A$1:$D$1)-1)+SUMPRODUCT(H2645:K2645,COLUMN($E$1:$H$1)-1))*'Line Follower'!$C$3/SUM(C2645:F2645,H2645:K2645)-'Line Follower'!$C$5)))</f>
        <v>#N/A</v>
      </c>
      <c r="O2645" s="22" t="e">
        <v>#N/A</v>
      </c>
      <c r="P2645" s="4" t="e">
        <f t="shared" si="205"/>
        <v>#N/A</v>
      </c>
      <c r="Q2645" s="4" t="e">
        <f t="shared" si="206"/>
        <v>#N/A</v>
      </c>
      <c r="R2645" s="4" t="e">
        <f>IF(AND(B2645=1,N2645&gt;'Line Follower'!$C$7,SUM(C2645:K2645)&lt;4),1,0)</f>
        <v>#N/A</v>
      </c>
      <c r="S2645" s="4" t="e">
        <f>IF(AND(L2645=1,N2645&lt;'Line Follower'!$C$6,SUM(C2645:K2645)&lt;4),1,0)</f>
        <v>#N/A</v>
      </c>
      <c r="T2645" s="4" t="e">
        <f t="shared" si="207"/>
        <v>#N/A</v>
      </c>
      <c r="U2645" s="5" t="e">
        <f t="shared" si="208"/>
        <v>#N/A</v>
      </c>
      <c r="V2645" s="23" t="e">
        <f t="shared" si="209"/>
        <v>#N/A</v>
      </c>
    </row>
    <row r="2646" spans="2:22" x14ac:dyDescent="0.25">
      <c r="B2646" s="16">
        <v>1</v>
      </c>
      <c r="C2646" s="7">
        <v>1</v>
      </c>
      <c r="D2646" s="8">
        <v>0</v>
      </c>
      <c r="E2646" s="8">
        <v>0</v>
      </c>
      <c r="F2646" s="8">
        <v>1</v>
      </c>
      <c r="G2646" s="8">
        <v>0</v>
      </c>
      <c r="H2646" s="8">
        <v>1</v>
      </c>
      <c r="I2646" s="8">
        <v>0</v>
      </c>
      <c r="J2646" s="8">
        <v>0</v>
      </c>
      <c r="K2646" s="9">
        <v>1</v>
      </c>
      <c r="L2646" s="10">
        <v>0</v>
      </c>
      <c r="M2646" s="6">
        <v>1</v>
      </c>
      <c r="N2646" s="37" t="e" cm="1">
        <f t="array" ref="N2646">IF(OR(ISNUMBER(FIND(Aux!$D$3:$D$9,_xlfn.TEXTJOIN(,,C2646:K2646)))),NA(),IF(AND(SUM(C2646:F2646,H2646:K2646)=0,G2646=1),0,INT((SUMPRODUCT(C2646:F2646,COLUMN($A$1:$D$1)-1)+SUMPRODUCT(H2646:K2646,COLUMN($E$1:$H$1)-1))*'Line Follower'!$C$3/SUM(C2646:F2646,H2646:K2646)-'Line Follower'!$C$5)))</f>
        <v>#N/A</v>
      </c>
      <c r="O2646" s="22" t="e">
        <v>#N/A</v>
      </c>
      <c r="P2646" s="4" t="e">
        <f t="shared" si="205"/>
        <v>#N/A</v>
      </c>
      <c r="Q2646" s="4" t="e">
        <f t="shared" si="206"/>
        <v>#N/A</v>
      </c>
      <c r="R2646" s="4" t="e">
        <f>IF(AND(B2646=1,N2646&gt;'Line Follower'!$C$7,SUM(C2646:K2646)&lt;4),1,0)</f>
        <v>#N/A</v>
      </c>
      <c r="S2646" s="4" t="e">
        <f>IF(AND(L2646=1,N2646&lt;'Line Follower'!$C$6,SUM(C2646:K2646)&lt;4),1,0)</f>
        <v>#N/A</v>
      </c>
      <c r="T2646" s="4" t="e">
        <f t="shared" si="207"/>
        <v>#N/A</v>
      </c>
      <c r="U2646" s="5" t="e">
        <f t="shared" si="208"/>
        <v>#N/A</v>
      </c>
      <c r="V2646" s="23" t="e">
        <f t="shared" si="209"/>
        <v>#N/A</v>
      </c>
    </row>
    <row r="2647" spans="2:22" x14ac:dyDescent="0.25">
      <c r="B2647" s="16">
        <v>0</v>
      </c>
      <c r="C2647" s="7">
        <v>0</v>
      </c>
      <c r="D2647" s="8">
        <v>1</v>
      </c>
      <c r="E2647" s="8">
        <v>0</v>
      </c>
      <c r="F2647" s="8">
        <v>1</v>
      </c>
      <c r="G2647" s="8">
        <v>0</v>
      </c>
      <c r="H2647" s="8">
        <v>1</v>
      </c>
      <c r="I2647" s="8">
        <v>0</v>
      </c>
      <c r="J2647" s="8">
        <v>0</v>
      </c>
      <c r="K2647" s="9">
        <v>1</v>
      </c>
      <c r="L2647" s="10">
        <v>0</v>
      </c>
      <c r="M2647" s="6">
        <v>1</v>
      </c>
      <c r="N2647" s="37" t="e" cm="1">
        <f t="array" ref="N2647">IF(OR(ISNUMBER(FIND(Aux!$D$3:$D$9,_xlfn.TEXTJOIN(,,C2647:K2647)))),NA(),IF(AND(SUM(C2647:F2647,H2647:K2647)=0,G2647=1),0,INT((SUMPRODUCT(C2647:F2647,COLUMN($A$1:$D$1)-1)+SUMPRODUCT(H2647:K2647,COLUMN($E$1:$H$1)-1))*'Line Follower'!$C$3/SUM(C2647:F2647,H2647:K2647)-'Line Follower'!$C$5)))</f>
        <v>#N/A</v>
      </c>
      <c r="O2647" s="22" t="e">
        <v>#N/A</v>
      </c>
      <c r="P2647" s="4" t="e">
        <f t="shared" si="205"/>
        <v>#N/A</v>
      </c>
      <c r="Q2647" s="4" t="e">
        <f t="shared" si="206"/>
        <v>#N/A</v>
      </c>
      <c r="R2647" s="4" t="e">
        <f>IF(AND(B2647=1,N2647&gt;'Line Follower'!$C$7,SUM(C2647:K2647)&lt;4),1,0)</f>
        <v>#N/A</v>
      </c>
      <c r="S2647" s="4" t="e">
        <f>IF(AND(L2647=1,N2647&lt;'Line Follower'!$C$6,SUM(C2647:K2647)&lt;4),1,0)</f>
        <v>#N/A</v>
      </c>
      <c r="T2647" s="4" t="e">
        <f t="shared" si="207"/>
        <v>#N/A</v>
      </c>
      <c r="U2647" s="5" t="e">
        <f t="shared" si="208"/>
        <v>#N/A</v>
      </c>
      <c r="V2647" s="23" t="e">
        <f t="shared" si="209"/>
        <v>#N/A</v>
      </c>
    </row>
    <row r="2648" spans="2:22" x14ac:dyDescent="0.25">
      <c r="B2648" s="16">
        <v>1</v>
      </c>
      <c r="C2648" s="7">
        <v>0</v>
      </c>
      <c r="D2648" s="8">
        <v>1</v>
      </c>
      <c r="E2648" s="8">
        <v>0</v>
      </c>
      <c r="F2648" s="8">
        <v>1</v>
      </c>
      <c r="G2648" s="8">
        <v>0</v>
      </c>
      <c r="H2648" s="8">
        <v>1</v>
      </c>
      <c r="I2648" s="8">
        <v>0</v>
      </c>
      <c r="J2648" s="8">
        <v>0</v>
      </c>
      <c r="K2648" s="9">
        <v>1</v>
      </c>
      <c r="L2648" s="10">
        <v>0</v>
      </c>
      <c r="M2648" s="6">
        <v>1</v>
      </c>
      <c r="N2648" s="37" t="e" cm="1">
        <f t="array" ref="N2648">IF(OR(ISNUMBER(FIND(Aux!$D$3:$D$9,_xlfn.TEXTJOIN(,,C2648:K2648)))),NA(),IF(AND(SUM(C2648:F2648,H2648:K2648)=0,G2648=1),0,INT((SUMPRODUCT(C2648:F2648,COLUMN($A$1:$D$1)-1)+SUMPRODUCT(H2648:K2648,COLUMN($E$1:$H$1)-1))*'Line Follower'!$C$3/SUM(C2648:F2648,H2648:K2648)-'Line Follower'!$C$5)))</f>
        <v>#N/A</v>
      </c>
      <c r="O2648" s="22" t="e">
        <v>#N/A</v>
      </c>
      <c r="P2648" s="4" t="e">
        <f t="shared" si="205"/>
        <v>#N/A</v>
      </c>
      <c r="Q2648" s="4" t="e">
        <f t="shared" si="206"/>
        <v>#N/A</v>
      </c>
      <c r="R2648" s="4" t="e">
        <f>IF(AND(B2648=1,N2648&gt;'Line Follower'!$C$7,SUM(C2648:K2648)&lt;4),1,0)</f>
        <v>#N/A</v>
      </c>
      <c r="S2648" s="4" t="e">
        <f>IF(AND(L2648=1,N2648&lt;'Line Follower'!$C$6,SUM(C2648:K2648)&lt;4),1,0)</f>
        <v>#N/A</v>
      </c>
      <c r="T2648" s="4" t="e">
        <f t="shared" si="207"/>
        <v>#N/A</v>
      </c>
      <c r="U2648" s="5" t="e">
        <f t="shared" si="208"/>
        <v>#N/A</v>
      </c>
      <c r="V2648" s="23" t="e">
        <f t="shared" si="209"/>
        <v>#N/A</v>
      </c>
    </row>
    <row r="2649" spans="2:22" x14ac:dyDescent="0.25">
      <c r="B2649" s="16">
        <v>0</v>
      </c>
      <c r="C2649" s="7">
        <v>1</v>
      </c>
      <c r="D2649" s="8">
        <v>1</v>
      </c>
      <c r="E2649" s="8">
        <v>0</v>
      </c>
      <c r="F2649" s="8">
        <v>1</v>
      </c>
      <c r="G2649" s="8">
        <v>0</v>
      </c>
      <c r="H2649" s="8">
        <v>1</v>
      </c>
      <c r="I2649" s="8">
        <v>0</v>
      </c>
      <c r="J2649" s="8">
        <v>0</v>
      </c>
      <c r="K2649" s="9">
        <v>1</v>
      </c>
      <c r="L2649" s="10">
        <v>0</v>
      </c>
      <c r="M2649" s="6">
        <v>1</v>
      </c>
      <c r="N2649" s="37" t="e" cm="1">
        <f t="array" ref="N2649">IF(OR(ISNUMBER(FIND(Aux!$D$3:$D$9,_xlfn.TEXTJOIN(,,C2649:K2649)))),NA(),IF(AND(SUM(C2649:F2649,H2649:K2649)=0,G2649=1),0,INT((SUMPRODUCT(C2649:F2649,COLUMN($A$1:$D$1)-1)+SUMPRODUCT(H2649:K2649,COLUMN($E$1:$H$1)-1))*'Line Follower'!$C$3/SUM(C2649:F2649,H2649:K2649)-'Line Follower'!$C$5)))</f>
        <v>#N/A</v>
      </c>
      <c r="O2649" s="22" t="e">
        <v>#N/A</v>
      </c>
      <c r="P2649" s="4" t="e">
        <f t="shared" si="205"/>
        <v>#N/A</v>
      </c>
      <c r="Q2649" s="4" t="e">
        <f t="shared" si="206"/>
        <v>#N/A</v>
      </c>
      <c r="R2649" s="4" t="e">
        <f>IF(AND(B2649=1,N2649&gt;'Line Follower'!$C$7,SUM(C2649:K2649)&lt;4),1,0)</f>
        <v>#N/A</v>
      </c>
      <c r="S2649" s="4" t="e">
        <f>IF(AND(L2649=1,N2649&lt;'Line Follower'!$C$6,SUM(C2649:K2649)&lt;4),1,0)</f>
        <v>#N/A</v>
      </c>
      <c r="T2649" s="4" t="e">
        <f t="shared" si="207"/>
        <v>#N/A</v>
      </c>
      <c r="U2649" s="5" t="e">
        <f t="shared" si="208"/>
        <v>#N/A</v>
      </c>
      <c r="V2649" s="23" t="e">
        <f t="shared" si="209"/>
        <v>#N/A</v>
      </c>
    </row>
    <row r="2650" spans="2:22" x14ac:dyDescent="0.25">
      <c r="B2650" s="16">
        <v>1</v>
      </c>
      <c r="C2650" s="7">
        <v>1</v>
      </c>
      <c r="D2650" s="8">
        <v>1</v>
      </c>
      <c r="E2650" s="8">
        <v>0</v>
      </c>
      <c r="F2650" s="8">
        <v>1</v>
      </c>
      <c r="G2650" s="8">
        <v>0</v>
      </c>
      <c r="H2650" s="8">
        <v>1</v>
      </c>
      <c r="I2650" s="8">
        <v>0</v>
      </c>
      <c r="J2650" s="8">
        <v>0</v>
      </c>
      <c r="K2650" s="9">
        <v>1</v>
      </c>
      <c r="L2650" s="10">
        <v>0</v>
      </c>
      <c r="M2650" s="6">
        <v>1</v>
      </c>
      <c r="N2650" s="37" t="e" cm="1">
        <f t="array" ref="N2650">IF(OR(ISNUMBER(FIND(Aux!$D$3:$D$9,_xlfn.TEXTJOIN(,,C2650:K2650)))),NA(),IF(AND(SUM(C2650:F2650,H2650:K2650)=0,G2650=1),0,INT((SUMPRODUCT(C2650:F2650,COLUMN($A$1:$D$1)-1)+SUMPRODUCT(H2650:K2650,COLUMN($E$1:$H$1)-1))*'Line Follower'!$C$3/SUM(C2650:F2650,H2650:K2650)-'Line Follower'!$C$5)))</f>
        <v>#N/A</v>
      </c>
      <c r="O2650" s="22" t="e">
        <v>#N/A</v>
      </c>
      <c r="P2650" s="4" t="e">
        <f t="shared" si="205"/>
        <v>#N/A</v>
      </c>
      <c r="Q2650" s="4" t="e">
        <f t="shared" si="206"/>
        <v>#N/A</v>
      </c>
      <c r="R2650" s="4" t="e">
        <f>IF(AND(B2650=1,N2650&gt;'Line Follower'!$C$7,SUM(C2650:K2650)&lt;4),1,0)</f>
        <v>#N/A</v>
      </c>
      <c r="S2650" s="4" t="e">
        <f>IF(AND(L2650=1,N2650&lt;'Line Follower'!$C$6,SUM(C2650:K2650)&lt;4),1,0)</f>
        <v>#N/A</v>
      </c>
      <c r="T2650" s="4" t="e">
        <f t="shared" si="207"/>
        <v>#N/A</v>
      </c>
      <c r="U2650" s="5" t="e">
        <f t="shared" si="208"/>
        <v>#N/A</v>
      </c>
      <c r="V2650" s="23" t="e">
        <f t="shared" si="209"/>
        <v>#N/A</v>
      </c>
    </row>
    <row r="2651" spans="2:22" x14ac:dyDescent="0.25">
      <c r="B2651" s="16">
        <v>0</v>
      </c>
      <c r="C2651" s="7">
        <v>0</v>
      </c>
      <c r="D2651" s="8">
        <v>0</v>
      </c>
      <c r="E2651" s="8">
        <v>1</v>
      </c>
      <c r="F2651" s="8">
        <v>1</v>
      </c>
      <c r="G2651" s="8">
        <v>0</v>
      </c>
      <c r="H2651" s="8">
        <v>1</v>
      </c>
      <c r="I2651" s="8">
        <v>0</v>
      </c>
      <c r="J2651" s="8">
        <v>0</v>
      </c>
      <c r="K2651" s="9">
        <v>1</v>
      </c>
      <c r="L2651" s="10">
        <v>0</v>
      </c>
      <c r="M2651" s="6">
        <v>1</v>
      </c>
      <c r="N2651" s="37" t="e" cm="1">
        <f t="array" ref="N2651">IF(OR(ISNUMBER(FIND(Aux!$D$3:$D$9,_xlfn.TEXTJOIN(,,C2651:K2651)))),NA(),IF(AND(SUM(C2651:F2651,H2651:K2651)=0,G2651=1),0,INT((SUMPRODUCT(C2651:F2651,COLUMN($A$1:$D$1)-1)+SUMPRODUCT(H2651:K2651,COLUMN($E$1:$H$1)-1))*'Line Follower'!$C$3/SUM(C2651:F2651,H2651:K2651)-'Line Follower'!$C$5)))</f>
        <v>#N/A</v>
      </c>
      <c r="O2651" s="22" t="e">
        <v>#N/A</v>
      </c>
      <c r="P2651" s="4" t="e">
        <f t="shared" si="205"/>
        <v>#N/A</v>
      </c>
      <c r="Q2651" s="4" t="e">
        <f t="shared" si="206"/>
        <v>#N/A</v>
      </c>
      <c r="R2651" s="4" t="e">
        <f>IF(AND(B2651=1,N2651&gt;'Line Follower'!$C$7,SUM(C2651:K2651)&lt;4),1,0)</f>
        <v>#N/A</v>
      </c>
      <c r="S2651" s="4" t="e">
        <f>IF(AND(L2651=1,N2651&lt;'Line Follower'!$C$6,SUM(C2651:K2651)&lt;4),1,0)</f>
        <v>#N/A</v>
      </c>
      <c r="T2651" s="4" t="e">
        <f t="shared" si="207"/>
        <v>#N/A</v>
      </c>
      <c r="U2651" s="5" t="e">
        <f t="shared" si="208"/>
        <v>#N/A</v>
      </c>
      <c r="V2651" s="23" t="e">
        <f t="shared" si="209"/>
        <v>#N/A</v>
      </c>
    </row>
    <row r="2652" spans="2:22" x14ac:dyDescent="0.25">
      <c r="B2652" s="16">
        <v>1</v>
      </c>
      <c r="C2652" s="7">
        <v>0</v>
      </c>
      <c r="D2652" s="8">
        <v>0</v>
      </c>
      <c r="E2652" s="8">
        <v>1</v>
      </c>
      <c r="F2652" s="8">
        <v>1</v>
      </c>
      <c r="G2652" s="8">
        <v>0</v>
      </c>
      <c r="H2652" s="8">
        <v>1</v>
      </c>
      <c r="I2652" s="8">
        <v>0</v>
      </c>
      <c r="J2652" s="8">
        <v>0</v>
      </c>
      <c r="K2652" s="9">
        <v>1</v>
      </c>
      <c r="L2652" s="10">
        <v>0</v>
      </c>
      <c r="M2652" s="6">
        <v>1</v>
      </c>
      <c r="N2652" s="37" t="e" cm="1">
        <f t="array" ref="N2652">IF(OR(ISNUMBER(FIND(Aux!$D$3:$D$9,_xlfn.TEXTJOIN(,,C2652:K2652)))),NA(),IF(AND(SUM(C2652:F2652,H2652:K2652)=0,G2652=1),0,INT((SUMPRODUCT(C2652:F2652,COLUMN($A$1:$D$1)-1)+SUMPRODUCT(H2652:K2652,COLUMN($E$1:$H$1)-1))*'Line Follower'!$C$3/SUM(C2652:F2652,H2652:K2652)-'Line Follower'!$C$5)))</f>
        <v>#N/A</v>
      </c>
      <c r="O2652" s="22" t="e">
        <v>#N/A</v>
      </c>
      <c r="P2652" s="4" t="e">
        <f t="shared" si="205"/>
        <v>#N/A</v>
      </c>
      <c r="Q2652" s="4" t="e">
        <f t="shared" si="206"/>
        <v>#N/A</v>
      </c>
      <c r="R2652" s="4" t="e">
        <f>IF(AND(B2652=1,N2652&gt;'Line Follower'!$C$7,SUM(C2652:K2652)&lt;4),1,0)</f>
        <v>#N/A</v>
      </c>
      <c r="S2652" s="4" t="e">
        <f>IF(AND(L2652=1,N2652&lt;'Line Follower'!$C$6,SUM(C2652:K2652)&lt;4),1,0)</f>
        <v>#N/A</v>
      </c>
      <c r="T2652" s="4" t="e">
        <f t="shared" si="207"/>
        <v>#N/A</v>
      </c>
      <c r="U2652" s="5" t="e">
        <f t="shared" si="208"/>
        <v>#N/A</v>
      </c>
      <c r="V2652" s="23" t="e">
        <f t="shared" si="209"/>
        <v>#N/A</v>
      </c>
    </row>
    <row r="2653" spans="2:22" x14ac:dyDescent="0.25">
      <c r="B2653" s="16">
        <v>0</v>
      </c>
      <c r="C2653" s="7">
        <v>1</v>
      </c>
      <c r="D2653" s="8">
        <v>0</v>
      </c>
      <c r="E2653" s="8">
        <v>1</v>
      </c>
      <c r="F2653" s="8">
        <v>1</v>
      </c>
      <c r="G2653" s="8">
        <v>0</v>
      </c>
      <c r="H2653" s="8">
        <v>1</v>
      </c>
      <c r="I2653" s="8">
        <v>0</v>
      </c>
      <c r="J2653" s="8">
        <v>0</v>
      </c>
      <c r="K2653" s="9">
        <v>1</v>
      </c>
      <c r="L2653" s="10">
        <v>0</v>
      </c>
      <c r="M2653" s="6">
        <v>1</v>
      </c>
      <c r="N2653" s="37" t="e" cm="1">
        <f t="array" ref="N2653">IF(OR(ISNUMBER(FIND(Aux!$D$3:$D$9,_xlfn.TEXTJOIN(,,C2653:K2653)))),NA(),IF(AND(SUM(C2653:F2653,H2653:K2653)=0,G2653=1),0,INT((SUMPRODUCT(C2653:F2653,COLUMN($A$1:$D$1)-1)+SUMPRODUCT(H2653:K2653,COLUMN($E$1:$H$1)-1))*'Line Follower'!$C$3/SUM(C2653:F2653,H2653:K2653)-'Line Follower'!$C$5)))</f>
        <v>#N/A</v>
      </c>
      <c r="O2653" s="22" t="e">
        <v>#N/A</v>
      </c>
      <c r="P2653" s="4" t="e">
        <f t="shared" si="205"/>
        <v>#N/A</v>
      </c>
      <c r="Q2653" s="4" t="e">
        <f t="shared" si="206"/>
        <v>#N/A</v>
      </c>
      <c r="R2653" s="4" t="e">
        <f>IF(AND(B2653=1,N2653&gt;'Line Follower'!$C$7,SUM(C2653:K2653)&lt;4),1,0)</f>
        <v>#N/A</v>
      </c>
      <c r="S2653" s="4" t="e">
        <f>IF(AND(L2653=1,N2653&lt;'Line Follower'!$C$6,SUM(C2653:K2653)&lt;4),1,0)</f>
        <v>#N/A</v>
      </c>
      <c r="T2653" s="4" t="e">
        <f t="shared" si="207"/>
        <v>#N/A</v>
      </c>
      <c r="U2653" s="5" t="e">
        <f t="shared" si="208"/>
        <v>#N/A</v>
      </c>
      <c r="V2653" s="23" t="e">
        <f t="shared" si="209"/>
        <v>#N/A</v>
      </c>
    </row>
    <row r="2654" spans="2:22" x14ac:dyDescent="0.25">
      <c r="B2654" s="16">
        <v>1</v>
      </c>
      <c r="C2654" s="7">
        <v>1</v>
      </c>
      <c r="D2654" s="8">
        <v>0</v>
      </c>
      <c r="E2654" s="8">
        <v>1</v>
      </c>
      <c r="F2654" s="8">
        <v>1</v>
      </c>
      <c r="G2654" s="8">
        <v>0</v>
      </c>
      <c r="H2654" s="8">
        <v>1</v>
      </c>
      <c r="I2654" s="8">
        <v>0</v>
      </c>
      <c r="J2654" s="8">
        <v>0</v>
      </c>
      <c r="K2654" s="9">
        <v>1</v>
      </c>
      <c r="L2654" s="10">
        <v>0</v>
      </c>
      <c r="M2654" s="6">
        <v>1</v>
      </c>
      <c r="N2654" s="37" t="e" cm="1">
        <f t="array" ref="N2654">IF(OR(ISNUMBER(FIND(Aux!$D$3:$D$9,_xlfn.TEXTJOIN(,,C2654:K2654)))),NA(),IF(AND(SUM(C2654:F2654,H2654:K2654)=0,G2654=1),0,INT((SUMPRODUCT(C2654:F2654,COLUMN($A$1:$D$1)-1)+SUMPRODUCT(H2654:K2654,COLUMN($E$1:$H$1)-1))*'Line Follower'!$C$3/SUM(C2654:F2654,H2654:K2654)-'Line Follower'!$C$5)))</f>
        <v>#N/A</v>
      </c>
      <c r="O2654" s="22" t="e">
        <v>#N/A</v>
      </c>
      <c r="P2654" s="4" t="e">
        <f t="shared" si="205"/>
        <v>#N/A</v>
      </c>
      <c r="Q2654" s="4" t="e">
        <f t="shared" si="206"/>
        <v>#N/A</v>
      </c>
      <c r="R2654" s="4" t="e">
        <f>IF(AND(B2654=1,N2654&gt;'Line Follower'!$C$7,SUM(C2654:K2654)&lt;4),1,0)</f>
        <v>#N/A</v>
      </c>
      <c r="S2654" s="4" t="e">
        <f>IF(AND(L2654=1,N2654&lt;'Line Follower'!$C$6,SUM(C2654:K2654)&lt;4),1,0)</f>
        <v>#N/A</v>
      </c>
      <c r="T2654" s="4" t="e">
        <f t="shared" si="207"/>
        <v>#N/A</v>
      </c>
      <c r="U2654" s="5" t="e">
        <f t="shared" si="208"/>
        <v>#N/A</v>
      </c>
      <c r="V2654" s="23" t="e">
        <f t="shared" si="209"/>
        <v>#N/A</v>
      </c>
    </row>
    <row r="2655" spans="2:22" x14ac:dyDescent="0.25">
      <c r="B2655" s="16">
        <v>0</v>
      </c>
      <c r="C2655" s="7">
        <v>0</v>
      </c>
      <c r="D2655" s="8">
        <v>1</v>
      </c>
      <c r="E2655" s="8">
        <v>1</v>
      </c>
      <c r="F2655" s="8">
        <v>1</v>
      </c>
      <c r="G2655" s="8">
        <v>0</v>
      </c>
      <c r="H2655" s="8">
        <v>1</v>
      </c>
      <c r="I2655" s="8">
        <v>0</v>
      </c>
      <c r="J2655" s="8">
        <v>0</v>
      </c>
      <c r="K2655" s="9">
        <v>1</v>
      </c>
      <c r="L2655" s="10">
        <v>0</v>
      </c>
      <c r="M2655" s="6">
        <v>1</v>
      </c>
      <c r="N2655" s="37" t="e" cm="1">
        <f t="array" ref="N2655">IF(OR(ISNUMBER(FIND(Aux!$D$3:$D$9,_xlfn.TEXTJOIN(,,C2655:K2655)))),NA(),IF(AND(SUM(C2655:F2655,H2655:K2655)=0,G2655=1),0,INT((SUMPRODUCT(C2655:F2655,COLUMN($A$1:$D$1)-1)+SUMPRODUCT(H2655:K2655,COLUMN($E$1:$H$1)-1))*'Line Follower'!$C$3/SUM(C2655:F2655,H2655:K2655)-'Line Follower'!$C$5)))</f>
        <v>#N/A</v>
      </c>
      <c r="O2655" s="22" t="e">
        <v>#N/A</v>
      </c>
      <c r="P2655" s="4" t="e">
        <f t="shared" si="205"/>
        <v>#N/A</v>
      </c>
      <c r="Q2655" s="4" t="e">
        <f t="shared" si="206"/>
        <v>#N/A</v>
      </c>
      <c r="R2655" s="4" t="e">
        <f>IF(AND(B2655=1,N2655&gt;'Line Follower'!$C$7,SUM(C2655:K2655)&lt;4),1,0)</f>
        <v>#N/A</v>
      </c>
      <c r="S2655" s="4" t="e">
        <f>IF(AND(L2655=1,N2655&lt;'Line Follower'!$C$6,SUM(C2655:K2655)&lt;4),1,0)</f>
        <v>#N/A</v>
      </c>
      <c r="T2655" s="4" t="e">
        <f t="shared" si="207"/>
        <v>#N/A</v>
      </c>
      <c r="U2655" s="5" t="e">
        <f t="shared" si="208"/>
        <v>#N/A</v>
      </c>
      <c r="V2655" s="23" t="e">
        <f t="shared" si="209"/>
        <v>#N/A</v>
      </c>
    </row>
    <row r="2656" spans="2:22" x14ac:dyDescent="0.25">
      <c r="B2656" s="16">
        <v>1</v>
      </c>
      <c r="C2656" s="7">
        <v>0</v>
      </c>
      <c r="D2656" s="8">
        <v>1</v>
      </c>
      <c r="E2656" s="8">
        <v>1</v>
      </c>
      <c r="F2656" s="8">
        <v>1</v>
      </c>
      <c r="G2656" s="8">
        <v>0</v>
      </c>
      <c r="H2656" s="8">
        <v>1</v>
      </c>
      <c r="I2656" s="8">
        <v>0</v>
      </c>
      <c r="J2656" s="8">
        <v>0</v>
      </c>
      <c r="K2656" s="9">
        <v>1</v>
      </c>
      <c r="L2656" s="10">
        <v>0</v>
      </c>
      <c r="M2656" s="6">
        <v>1</v>
      </c>
      <c r="N2656" s="37" t="e" cm="1">
        <f t="array" ref="N2656">IF(OR(ISNUMBER(FIND(Aux!$D$3:$D$9,_xlfn.TEXTJOIN(,,C2656:K2656)))),NA(),IF(AND(SUM(C2656:F2656,H2656:K2656)=0,G2656=1),0,INT((SUMPRODUCT(C2656:F2656,COLUMN($A$1:$D$1)-1)+SUMPRODUCT(H2656:K2656,COLUMN($E$1:$H$1)-1))*'Line Follower'!$C$3/SUM(C2656:F2656,H2656:K2656)-'Line Follower'!$C$5)))</f>
        <v>#N/A</v>
      </c>
      <c r="O2656" s="22" t="e">
        <v>#N/A</v>
      </c>
      <c r="P2656" s="4" t="e">
        <f t="shared" si="205"/>
        <v>#N/A</v>
      </c>
      <c r="Q2656" s="4" t="e">
        <f t="shared" si="206"/>
        <v>#N/A</v>
      </c>
      <c r="R2656" s="4" t="e">
        <f>IF(AND(B2656=1,N2656&gt;'Line Follower'!$C$7,SUM(C2656:K2656)&lt;4),1,0)</f>
        <v>#N/A</v>
      </c>
      <c r="S2656" s="4" t="e">
        <f>IF(AND(L2656=1,N2656&lt;'Line Follower'!$C$6,SUM(C2656:K2656)&lt;4),1,0)</f>
        <v>#N/A</v>
      </c>
      <c r="T2656" s="4" t="e">
        <f t="shared" si="207"/>
        <v>#N/A</v>
      </c>
      <c r="U2656" s="5" t="e">
        <f t="shared" si="208"/>
        <v>#N/A</v>
      </c>
      <c r="V2656" s="23" t="e">
        <f t="shared" si="209"/>
        <v>#N/A</v>
      </c>
    </row>
    <row r="2657" spans="2:22" x14ac:dyDescent="0.25">
      <c r="B2657" s="16">
        <v>0</v>
      </c>
      <c r="C2657" s="7">
        <v>1</v>
      </c>
      <c r="D2657" s="8">
        <v>1</v>
      </c>
      <c r="E2657" s="8">
        <v>1</v>
      </c>
      <c r="F2657" s="8">
        <v>1</v>
      </c>
      <c r="G2657" s="8">
        <v>0</v>
      </c>
      <c r="H2657" s="8">
        <v>1</v>
      </c>
      <c r="I2657" s="8">
        <v>0</v>
      </c>
      <c r="J2657" s="8">
        <v>0</v>
      </c>
      <c r="K2657" s="9">
        <v>1</v>
      </c>
      <c r="L2657" s="10">
        <v>0</v>
      </c>
      <c r="M2657" s="6">
        <v>1</v>
      </c>
      <c r="N2657" s="37" t="e" cm="1">
        <f t="array" ref="N2657">IF(OR(ISNUMBER(FIND(Aux!$D$3:$D$9,_xlfn.TEXTJOIN(,,C2657:K2657)))),NA(),IF(AND(SUM(C2657:F2657,H2657:K2657)=0,G2657=1),0,INT((SUMPRODUCT(C2657:F2657,COLUMN($A$1:$D$1)-1)+SUMPRODUCT(H2657:K2657,COLUMN($E$1:$H$1)-1))*'Line Follower'!$C$3/SUM(C2657:F2657,H2657:K2657)-'Line Follower'!$C$5)))</f>
        <v>#N/A</v>
      </c>
      <c r="O2657" s="22" t="e">
        <v>#N/A</v>
      </c>
      <c r="P2657" s="4" t="e">
        <f t="shared" si="205"/>
        <v>#N/A</v>
      </c>
      <c r="Q2657" s="4" t="e">
        <f t="shared" si="206"/>
        <v>#N/A</v>
      </c>
      <c r="R2657" s="4" t="e">
        <f>IF(AND(B2657=1,N2657&gt;'Line Follower'!$C$7,SUM(C2657:K2657)&lt;4),1,0)</f>
        <v>#N/A</v>
      </c>
      <c r="S2657" s="4" t="e">
        <f>IF(AND(L2657=1,N2657&lt;'Line Follower'!$C$6,SUM(C2657:K2657)&lt;4),1,0)</f>
        <v>#N/A</v>
      </c>
      <c r="T2657" s="4" t="e">
        <f t="shared" si="207"/>
        <v>#N/A</v>
      </c>
      <c r="U2657" s="5" t="e">
        <f t="shared" si="208"/>
        <v>#N/A</v>
      </c>
      <c r="V2657" s="23" t="e">
        <f t="shared" si="209"/>
        <v>#N/A</v>
      </c>
    </row>
    <row r="2658" spans="2:22" x14ac:dyDescent="0.25">
      <c r="B2658" s="16">
        <v>1</v>
      </c>
      <c r="C2658" s="7">
        <v>1</v>
      </c>
      <c r="D2658" s="8">
        <v>1</v>
      </c>
      <c r="E2658" s="8">
        <v>1</v>
      </c>
      <c r="F2658" s="8">
        <v>1</v>
      </c>
      <c r="G2658" s="8">
        <v>0</v>
      </c>
      <c r="H2658" s="8">
        <v>1</v>
      </c>
      <c r="I2658" s="8">
        <v>0</v>
      </c>
      <c r="J2658" s="8">
        <v>0</v>
      </c>
      <c r="K2658" s="9">
        <v>1</v>
      </c>
      <c r="L2658" s="10">
        <v>0</v>
      </c>
      <c r="M2658" s="6">
        <v>1</v>
      </c>
      <c r="N2658" s="37" t="e" cm="1">
        <f t="array" ref="N2658">IF(OR(ISNUMBER(FIND(Aux!$D$3:$D$9,_xlfn.TEXTJOIN(,,C2658:K2658)))),NA(),IF(AND(SUM(C2658:F2658,H2658:K2658)=0,G2658=1),0,INT((SUMPRODUCT(C2658:F2658,COLUMN($A$1:$D$1)-1)+SUMPRODUCT(H2658:K2658,COLUMN($E$1:$H$1)-1))*'Line Follower'!$C$3/SUM(C2658:F2658,H2658:K2658)-'Line Follower'!$C$5)))</f>
        <v>#N/A</v>
      </c>
      <c r="O2658" s="22" t="e">
        <v>#N/A</v>
      </c>
      <c r="P2658" s="4" t="e">
        <f t="shared" si="205"/>
        <v>#N/A</v>
      </c>
      <c r="Q2658" s="4" t="e">
        <f t="shared" si="206"/>
        <v>#N/A</v>
      </c>
      <c r="R2658" s="4" t="e">
        <f>IF(AND(B2658=1,N2658&gt;'Line Follower'!$C$7,SUM(C2658:K2658)&lt;4),1,0)</f>
        <v>#N/A</v>
      </c>
      <c r="S2658" s="4" t="e">
        <f>IF(AND(L2658=1,N2658&lt;'Line Follower'!$C$6,SUM(C2658:K2658)&lt;4),1,0)</f>
        <v>#N/A</v>
      </c>
      <c r="T2658" s="4" t="e">
        <f t="shared" si="207"/>
        <v>#N/A</v>
      </c>
      <c r="U2658" s="5" t="e">
        <f t="shared" si="208"/>
        <v>#N/A</v>
      </c>
      <c r="V2658" s="23" t="e">
        <f t="shared" si="209"/>
        <v>#N/A</v>
      </c>
    </row>
    <row r="2659" spans="2:22" x14ac:dyDescent="0.25">
      <c r="B2659" s="16">
        <v>0</v>
      </c>
      <c r="C2659" s="7">
        <v>0</v>
      </c>
      <c r="D2659" s="8">
        <v>0</v>
      </c>
      <c r="E2659" s="8">
        <v>0</v>
      </c>
      <c r="F2659" s="8">
        <v>0</v>
      </c>
      <c r="G2659" s="8">
        <v>1</v>
      </c>
      <c r="H2659" s="8">
        <v>1</v>
      </c>
      <c r="I2659" s="8">
        <v>0</v>
      </c>
      <c r="J2659" s="8">
        <v>0</v>
      </c>
      <c r="K2659" s="9">
        <v>1</v>
      </c>
      <c r="L2659" s="10">
        <v>0</v>
      </c>
      <c r="M2659" s="6">
        <v>1</v>
      </c>
      <c r="N2659" s="37" t="e" cm="1">
        <f t="array" ref="N2659">IF(OR(ISNUMBER(FIND(Aux!$D$3:$D$9,_xlfn.TEXTJOIN(,,C2659:K2659)))),NA(),IF(AND(SUM(C2659:F2659,H2659:K2659)=0,G2659=1),0,INT((SUMPRODUCT(C2659:F2659,COLUMN($A$1:$D$1)-1)+SUMPRODUCT(H2659:K2659,COLUMN($E$1:$H$1)-1))*'Line Follower'!$C$3/SUM(C2659:F2659,H2659:K2659)-'Line Follower'!$C$5)))</f>
        <v>#N/A</v>
      </c>
      <c r="O2659" s="22" t="e">
        <v>#N/A</v>
      </c>
      <c r="P2659" s="4" t="e">
        <f t="shared" si="205"/>
        <v>#N/A</v>
      </c>
      <c r="Q2659" s="4" t="e">
        <f t="shared" si="206"/>
        <v>#N/A</v>
      </c>
      <c r="R2659" s="4" t="e">
        <f>IF(AND(B2659=1,N2659&gt;'Line Follower'!$C$7,SUM(C2659:K2659)&lt;4),1,0)</f>
        <v>#N/A</v>
      </c>
      <c r="S2659" s="4" t="e">
        <f>IF(AND(L2659=1,N2659&lt;'Line Follower'!$C$6,SUM(C2659:K2659)&lt;4),1,0)</f>
        <v>#N/A</v>
      </c>
      <c r="T2659" s="4" t="e">
        <f t="shared" si="207"/>
        <v>#N/A</v>
      </c>
      <c r="U2659" s="5" t="e">
        <f t="shared" si="208"/>
        <v>#N/A</v>
      </c>
      <c r="V2659" s="23" t="e">
        <f t="shared" si="209"/>
        <v>#N/A</v>
      </c>
    </row>
    <row r="2660" spans="2:22" x14ac:dyDescent="0.25">
      <c r="B2660" s="16">
        <v>1</v>
      </c>
      <c r="C2660" s="7">
        <v>0</v>
      </c>
      <c r="D2660" s="8">
        <v>0</v>
      </c>
      <c r="E2660" s="8">
        <v>0</v>
      </c>
      <c r="F2660" s="8">
        <v>0</v>
      </c>
      <c r="G2660" s="8">
        <v>1</v>
      </c>
      <c r="H2660" s="8">
        <v>1</v>
      </c>
      <c r="I2660" s="8">
        <v>0</v>
      </c>
      <c r="J2660" s="8">
        <v>0</v>
      </c>
      <c r="K2660" s="9">
        <v>1</v>
      </c>
      <c r="L2660" s="10">
        <v>0</v>
      </c>
      <c r="M2660" s="6">
        <v>1</v>
      </c>
      <c r="N2660" s="37" t="e" cm="1">
        <f t="array" ref="N2660">IF(OR(ISNUMBER(FIND(Aux!$D$3:$D$9,_xlfn.TEXTJOIN(,,C2660:K2660)))),NA(),IF(AND(SUM(C2660:F2660,H2660:K2660)=0,G2660=1),0,INT((SUMPRODUCT(C2660:F2660,COLUMN($A$1:$D$1)-1)+SUMPRODUCT(H2660:K2660,COLUMN($E$1:$H$1)-1))*'Line Follower'!$C$3/SUM(C2660:F2660,H2660:K2660)-'Line Follower'!$C$5)))</f>
        <v>#N/A</v>
      </c>
      <c r="O2660" s="22" t="e">
        <v>#N/A</v>
      </c>
      <c r="P2660" s="4" t="e">
        <f t="shared" si="205"/>
        <v>#N/A</v>
      </c>
      <c r="Q2660" s="4" t="e">
        <f t="shared" si="206"/>
        <v>#N/A</v>
      </c>
      <c r="R2660" s="4" t="e">
        <f>IF(AND(B2660=1,N2660&gt;'Line Follower'!$C$7,SUM(C2660:K2660)&lt;4),1,0)</f>
        <v>#N/A</v>
      </c>
      <c r="S2660" s="4" t="e">
        <f>IF(AND(L2660=1,N2660&lt;'Line Follower'!$C$6,SUM(C2660:K2660)&lt;4),1,0)</f>
        <v>#N/A</v>
      </c>
      <c r="T2660" s="4" t="e">
        <f t="shared" si="207"/>
        <v>#N/A</v>
      </c>
      <c r="U2660" s="5" t="e">
        <f t="shared" si="208"/>
        <v>#N/A</v>
      </c>
      <c r="V2660" s="23" t="e">
        <f t="shared" si="209"/>
        <v>#N/A</v>
      </c>
    </row>
    <row r="2661" spans="2:22" x14ac:dyDescent="0.25">
      <c r="B2661" s="16">
        <v>0</v>
      </c>
      <c r="C2661" s="7">
        <v>1</v>
      </c>
      <c r="D2661" s="8">
        <v>0</v>
      </c>
      <c r="E2661" s="8">
        <v>0</v>
      </c>
      <c r="F2661" s="8">
        <v>0</v>
      </c>
      <c r="G2661" s="8">
        <v>1</v>
      </c>
      <c r="H2661" s="8">
        <v>1</v>
      </c>
      <c r="I2661" s="8">
        <v>0</v>
      </c>
      <c r="J2661" s="8">
        <v>0</v>
      </c>
      <c r="K2661" s="9">
        <v>1</v>
      </c>
      <c r="L2661" s="10">
        <v>0</v>
      </c>
      <c r="M2661" s="6">
        <v>1</v>
      </c>
      <c r="N2661" s="37" t="e" cm="1">
        <f t="array" ref="N2661">IF(OR(ISNUMBER(FIND(Aux!$D$3:$D$9,_xlfn.TEXTJOIN(,,C2661:K2661)))),NA(),IF(AND(SUM(C2661:F2661,H2661:K2661)=0,G2661=1),0,INT((SUMPRODUCT(C2661:F2661,COLUMN($A$1:$D$1)-1)+SUMPRODUCT(H2661:K2661,COLUMN($E$1:$H$1)-1))*'Line Follower'!$C$3/SUM(C2661:F2661,H2661:K2661)-'Line Follower'!$C$5)))</f>
        <v>#N/A</v>
      </c>
      <c r="O2661" s="22" t="e">
        <v>#N/A</v>
      </c>
      <c r="P2661" s="4" t="e">
        <f t="shared" si="205"/>
        <v>#N/A</v>
      </c>
      <c r="Q2661" s="4" t="e">
        <f t="shared" si="206"/>
        <v>#N/A</v>
      </c>
      <c r="R2661" s="4" t="e">
        <f>IF(AND(B2661=1,N2661&gt;'Line Follower'!$C$7,SUM(C2661:K2661)&lt;4),1,0)</f>
        <v>#N/A</v>
      </c>
      <c r="S2661" s="4" t="e">
        <f>IF(AND(L2661=1,N2661&lt;'Line Follower'!$C$6,SUM(C2661:K2661)&lt;4),1,0)</f>
        <v>#N/A</v>
      </c>
      <c r="T2661" s="4" t="e">
        <f t="shared" si="207"/>
        <v>#N/A</v>
      </c>
      <c r="U2661" s="5" t="e">
        <f t="shared" si="208"/>
        <v>#N/A</v>
      </c>
      <c r="V2661" s="23" t="e">
        <f t="shared" si="209"/>
        <v>#N/A</v>
      </c>
    </row>
    <row r="2662" spans="2:22" x14ac:dyDescent="0.25">
      <c r="B2662" s="16">
        <v>1</v>
      </c>
      <c r="C2662" s="7">
        <v>1</v>
      </c>
      <c r="D2662" s="8">
        <v>0</v>
      </c>
      <c r="E2662" s="8">
        <v>0</v>
      </c>
      <c r="F2662" s="8">
        <v>0</v>
      </c>
      <c r="G2662" s="8">
        <v>1</v>
      </c>
      <c r="H2662" s="8">
        <v>1</v>
      </c>
      <c r="I2662" s="8">
        <v>0</v>
      </c>
      <c r="J2662" s="8">
        <v>0</v>
      </c>
      <c r="K2662" s="9">
        <v>1</v>
      </c>
      <c r="L2662" s="10">
        <v>0</v>
      </c>
      <c r="M2662" s="6">
        <v>1</v>
      </c>
      <c r="N2662" s="37" t="e" cm="1">
        <f t="array" ref="N2662">IF(OR(ISNUMBER(FIND(Aux!$D$3:$D$9,_xlfn.TEXTJOIN(,,C2662:K2662)))),NA(),IF(AND(SUM(C2662:F2662,H2662:K2662)=0,G2662=1),0,INT((SUMPRODUCT(C2662:F2662,COLUMN($A$1:$D$1)-1)+SUMPRODUCT(H2662:K2662,COLUMN($E$1:$H$1)-1))*'Line Follower'!$C$3/SUM(C2662:F2662,H2662:K2662)-'Line Follower'!$C$5)))</f>
        <v>#N/A</v>
      </c>
      <c r="O2662" s="22" t="e">
        <v>#N/A</v>
      </c>
      <c r="P2662" s="4" t="e">
        <f t="shared" si="205"/>
        <v>#N/A</v>
      </c>
      <c r="Q2662" s="4" t="e">
        <f t="shared" si="206"/>
        <v>#N/A</v>
      </c>
      <c r="R2662" s="4" t="e">
        <f>IF(AND(B2662=1,N2662&gt;'Line Follower'!$C$7,SUM(C2662:K2662)&lt;4),1,0)</f>
        <v>#N/A</v>
      </c>
      <c r="S2662" s="4" t="e">
        <f>IF(AND(L2662=1,N2662&lt;'Line Follower'!$C$6,SUM(C2662:K2662)&lt;4),1,0)</f>
        <v>#N/A</v>
      </c>
      <c r="T2662" s="4" t="e">
        <f t="shared" si="207"/>
        <v>#N/A</v>
      </c>
      <c r="U2662" s="5" t="e">
        <f t="shared" si="208"/>
        <v>#N/A</v>
      </c>
      <c r="V2662" s="23" t="e">
        <f t="shared" si="209"/>
        <v>#N/A</v>
      </c>
    </row>
    <row r="2663" spans="2:22" x14ac:dyDescent="0.25">
      <c r="B2663" s="16">
        <v>0</v>
      </c>
      <c r="C2663" s="7">
        <v>0</v>
      </c>
      <c r="D2663" s="8">
        <v>1</v>
      </c>
      <c r="E2663" s="8">
        <v>0</v>
      </c>
      <c r="F2663" s="8">
        <v>0</v>
      </c>
      <c r="G2663" s="8">
        <v>1</v>
      </c>
      <c r="H2663" s="8">
        <v>1</v>
      </c>
      <c r="I2663" s="8">
        <v>0</v>
      </c>
      <c r="J2663" s="8">
        <v>0</v>
      </c>
      <c r="K2663" s="9">
        <v>1</v>
      </c>
      <c r="L2663" s="10">
        <v>0</v>
      </c>
      <c r="M2663" s="6">
        <v>1</v>
      </c>
      <c r="N2663" s="37" t="e" cm="1">
        <f t="array" ref="N2663">IF(OR(ISNUMBER(FIND(Aux!$D$3:$D$9,_xlfn.TEXTJOIN(,,C2663:K2663)))),NA(),IF(AND(SUM(C2663:F2663,H2663:K2663)=0,G2663=1),0,INT((SUMPRODUCT(C2663:F2663,COLUMN($A$1:$D$1)-1)+SUMPRODUCT(H2663:K2663,COLUMN($E$1:$H$1)-1))*'Line Follower'!$C$3/SUM(C2663:F2663,H2663:K2663)-'Line Follower'!$C$5)))</f>
        <v>#N/A</v>
      </c>
      <c r="O2663" s="22" t="e">
        <v>#N/A</v>
      </c>
      <c r="P2663" s="4" t="e">
        <f t="shared" si="205"/>
        <v>#N/A</v>
      </c>
      <c r="Q2663" s="4" t="e">
        <f t="shared" si="206"/>
        <v>#N/A</v>
      </c>
      <c r="R2663" s="4" t="e">
        <f>IF(AND(B2663=1,N2663&gt;'Line Follower'!$C$7,SUM(C2663:K2663)&lt;4),1,0)</f>
        <v>#N/A</v>
      </c>
      <c r="S2663" s="4" t="e">
        <f>IF(AND(L2663=1,N2663&lt;'Line Follower'!$C$6,SUM(C2663:K2663)&lt;4),1,0)</f>
        <v>#N/A</v>
      </c>
      <c r="T2663" s="4" t="e">
        <f t="shared" si="207"/>
        <v>#N/A</v>
      </c>
      <c r="U2663" s="5" t="e">
        <f t="shared" si="208"/>
        <v>#N/A</v>
      </c>
      <c r="V2663" s="23" t="e">
        <f t="shared" si="209"/>
        <v>#N/A</v>
      </c>
    </row>
    <row r="2664" spans="2:22" x14ac:dyDescent="0.25">
      <c r="B2664" s="16">
        <v>1</v>
      </c>
      <c r="C2664" s="7">
        <v>0</v>
      </c>
      <c r="D2664" s="8">
        <v>1</v>
      </c>
      <c r="E2664" s="8">
        <v>0</v>
      </c>
      <c r="F2664" s="8">
        <v>0</v>
      </c>
      <c r="G2664" s="8">
        <v>1</v>
      </c>
      <c r="H2664" s="8">
        <v>1</v>
      </c>
      <c r="I2664" s="8">
        <v>0</v>
      </c>
      <c r="J2664" s="8">
        <v>0</v>
      </c>
      <c r="K2664" s="9">
        <v>1</v>
      </c>
      <c r="L2664" s="10">
        <v>0</v>
      </c>
      <c r="M2664" s="6">
        <v>1</v>
      </c>
      <c r="N2664" s="37" t="e" cm="1">
        <f t="array" ref="N2664">IF(OR(ISNUMBER(FIND(Aux!$D$3:$D$9,_xlfn.TEXTJOIN(,,C2664:K2664)))),NA(),IF(AND(SUM(C2664:F2664,H2664:K2664)=0,G2664=1),0,INT((SUMPRODUCT(C2664:F2664,COLUMN($A$1:$D$1)-1)+SUMPRODUCT(H2664:K2664,COLUMN($E$1:$H$1)-1))*'Line Follower'!$C$3/SUM(C2664:F2664,H2664:K2664)-'Line Follower'!$C$5)))</f>
        <v>#N/A</v>
      </c>
      <c r="O2664" s="22" t="e">
        <v>#N/A</v>
      </c>
      <c r="P2664" s="4" t="e">
        <f t="shared" si="205"/>
        <v>#N/A</v>
      </c>
      <c r="Q2664" s="4" t="e">
        <f t="shared" si="206"/>
        <v>#N/A</v>
      </c>
      <c r="R2664" s="4" t="e">
        <f>IF(AND(B2664=1,N2664&gt;'Line Follower'!$C$7,SUM(C2664:K2664)&lt;4),1,0)</f>
        <v>#N/A</v>
      </c>
      <c r="S2664" s="4" t="e">
        <f>IF(AND(L2664=1,N2664&lt;'Line Follower'!$C$6,SUM(C2664:K2664)&lt;4),1,0)</f>
        <v>#N/A</v>
      </c>
      <c r="T2664" s="4" t="e">
        <f t="shared" si="207"/>
        <v>#N/A</v>
      </c>
      <c r="U2664" s="5" t="e">
        <f t="shared" si="208"/>
        <v>#N/A</v>
      </c>
      <c r="V2664" s="23" t="e">
        <f t="shared" si="209"/>
        <v>#N/A</v>
      </c>
    </row>
    <row r="2665" spans="2:22" x14ac:dyDescent="0.25">
      <c r="B2665" s="16">
        <v>0</v>
      </c>
      <c r="C2665" s="7">
        <v>1</v>
      </c>
      <c r="D2665" s="8">
        <v>1</v>
      </c>
      <c r="E2665" s="8">
        <v>0</v>
      </c>
      <c r="F2665" s="8">
        <v>0</v>
      </c>
      <c r="G2665" s="8">
        <v>1</v>
      </c>
      <c r="H2665" s="8">
        <v>1</v>
      </c>
      <c r="I2665" s="8">
        <v>0</v>
      </c>
      <c r="J2665" s="8">
        <v>0</v>
      </c>
      <c r="K2665" s="9">
        <v>1</v>
      </c>
      <c r="L2665" s="10">
        <v>0</v>
      </c>
      <c r="M2665" s="6">
        <v>1</v>
      </c>
      <c r="N2665" s="37" t="e" cm="1">
        <f t="array" ref="N2665">IF(OR(ISNUMBER(FIND(Aux!$D$3:$D$9,_xlfn.TEXTJOIN(,,C2665:K2665)))),NA(),IF(AND(SUM(C2665:F2665,H2665:K2665)=0,G2665=1),0,INT((SUMPRODUCT(C2665:F2665,COLUMN($A$1:$D$1)-1)+SUMPRODUCT(H2665:K2665,COLUMN($E$1:$H$1)-1))*'Line Follower'!$C$3/SUM(C2665:F2665,H2665:K2665)-'Line Follower'!$C$5)))</f>
        <v>#N/A</v>
      </c>
      <c r="O2665" s="22" t="e">
        <v>#N/A</v>
      </c>
      <c r="P2665" s="4" t="e">
        <f t="shared" si="205"/>
        <v>#N/A</v>
      </c>
      <c r="Q2665" s="4" t="e">
        <f t="shared" si="206"/>
        <v>#N/A</v>
      </c>
      <c r="R2665" s="4" t="e">
        <f>IF(AND(B2665=1,N2665&gt;'Line Follower'!$C$7,SUM(C2665:K2665)&lt;4),1,0)</f>
        <v>#N/A</v>
      </c>
      <c r="S2665" s="4" t="e">
        <f>IF(AND(L2665=1,N2665&lt;'Line Follower'!$C$6,SUM(C2665:K2665)&lt;4),1,0)</f>
        <v>#N/A</v>
      </c>
      <c r="T2665" s="4" t="e">
        <f t="shared" si="207"/>
        <v>#N/A</v>
      </c>
      <c r="U2665" s="5" t="e">
        <f t="shared" si="208"/>
        <v>#N/A</v>
      </c>
      <c r="V2665" s="23" t="e">
        <f t="shared" si="209"/>
        <v>#N/A</v>
      </c>
    </row>
    <row r="2666" spans="2:22" x14ac:dyDescent="0.25">
      <c r="B2666" s="16">
        <v>1</v>
      </c>
      <c r="C2666" s="7">
        <v>1</v>
      </c>
      <c r="D2666" s="8">
        <v>1</v>
      </c>
      <c r="E2666" s="8">
        <v>0</v>
      </c>
      <c r="F2666" s="8">
        <v>0</v>
      </c>
      <c r="G2666" s="8">
        <v>1</v>
      </c>
      <c r="H2666" s="8">
        <v>1</v>
      </c>
      <c r="I2666" s="8">
        <v>0</v>
      </c>
      <c r="J2666" s="8">
        <v>0</v>
      </c>
      <c r="K2666" s="9">
        <v>1</v>
      </c>
      <c r="L2666" s="10">
        <v>0</v>
      </c>
      <c r="M2666" s="6">
        <v>1</v>
      </c>
      <c r="N2666" s="37" t="e" cm="1">
        <f t="array" ref="N2666">IF(OR(ISNUMBER(FIND(Aux!$D$3:$D$9,_xlfn.TEXTJOIN(,,C2666:K2666)))),NA(),IF(AND(SUM(C2666:F2666,H2666:K2666)=0,G2666=1),0,INT((SUMPRODUCT(C2666:F2666,COLUMN($A$1:$D$1)-1)+SUMPRODUCT(H2666:K2666,COLUMN($E$1:$H$1)-1))*'Line Follower'!$C$3/SUM(C2666:F2666,H2666:K2666)-'Line Follower'!$C$5)))</f>
        <v>#N/A</v>
      </c>
      <c r="O2666" s="22" t="e">
        <v>#N/A</v>
      </c>
      <c r="P2666" s="4" t="e">
        <f t="shared" si="205"/>
        <v>#N/A</v>
      </c>
      <c r="Q2666" s="4" t="e">
        <f t="shared" si="206"/>
        <v>#N/A</v>
      </c>
      <c r="R2666" s="4" t="e">
        <f>IF(AND(B2666=1,N2666&gt;'Line Follower'!$C$7,SUM(C2666:K2666)&lt;4),1,0)</f>
        <v>#N/A</v>
      </c>
      <c r="S2666" s="4" t="e">
        <f>IF(AND(L2666=1,N2666&lt;'Line Follower'!$C$6,SUM(C2666:K2666)&lt;4),1,0)</f>
        <v>#N/A</v>
      </c>
      <c r="T2666" s="4" t="e">
        <f t="shared" si="207"/>
        <v>#N/A</v>
      </c>
      <c r="U2666" s="5" t="e">
        <f t="shared" si="208"/>
        <v>#N/A</v>
      </c>
      <c r="V2666" s="23" t="e">
        <f t="shared" si="209"/>
        <v>#N/A</v>
      </c>
    </row>
    <row r="2667" spans="2:22" x14ac:dyDescent="0.25">
      <c r="B2667" s="16">
        <v>0</v>
      </c>
      <c r="C2667" s="7">
        <v>0</v>
      </c>
      <c r="D2667" s="8">
        <v>0</v>
      </c>
      <c r="E2667" s="8">
        <v>1</v>
      </c>
      <c r="F2667" s="8">
        <v>0</v>
      </c>
      <c r="G2667" s="8">
        <v>1</v>
      </c>
      <c r="H2667" s="8">
        <v>1</v>
      </c>
      <c r="I2667" s="8">
        <v>0</v>
      </c>
      <c r="J2667" s="8">
        <v>0</v>
      </c>
      <c r="K2667" s="9">
        <v>1</v>
      </c>
      <c r="L2667" s="10">
        <v>0</v>
      </c>
      <c r="M2667" s="6">
        <v>1</v>
      </c>
      <c r="N2667" s="37" t="e" cm="1">
        <f t="array" ref="N2667">IF(OR(ISNUMBER(FIND(Aux!$D$3:$D$9,_xlfn.TEXTJOIN(,,C2667:K2667)))),NA(),IF(AND(SUM(C2667:F2667,H2667:K2667)=0,G2667=1),0,INT((SUMPRODUCT(C2667:F2667,COLUMN($A$1:$D$1)-1)+SUMPRODUCT(H2667:K2667,COLUMN($E$1:$H$1)-1))*'Line Follower'!$C$3/SUM(C2667:F2667,H2667:K2667)-'Line Follower'!$C$5)))</f>
        <v>#N/A</v>
      </c>
      <c r="O2667" s="22" t="e">
        <v>#N/A</v>
      </c>
      <c r="P2667" s="4" t="e">
        <f t="shared" si="205"/>
        <v>#N/A</v>
      </c>
      <c r="Q2667" s="4" t="e">
        <f t="shared" si="206"/>
        <v>#N/A</v>
      </c>
      <c r="R2667" s="4" t="e">
        <f>IF(AND(B2667=1,N2667&gt;'Line Follower'!$C$7,SUM(C2667:K2667)&lt;4),1,0)</f>
        <v>#N/A</v>
      </c>
      <c r="S2667" s="4" t="e">
        <f>IF(AND(L2667=1,N2667&lt;'Line Follower'!$C$6,SUM(C2667:K2667)&lt;4),1,0)</f>
        <v>#N/A</v>
      </c>
      <c r="T2667" s="4" t="e">
        <f t="shared" si="207"/>
        <v>#N/A</v>
      </c>
      <c r="U2667" s="5" t="e">
        <f t="shared" si="208"/>
        <v>#N/A</v>
      </c>
      <c r="V2667" s="23" t="e">
        <f t="shared" si="209"/>
        <v>#N/A</v>
      </c>
    </row>
    <row r="2668" spans="2:22" x14ac:dyDescent="0.25">
      <c r="B2668" s="16">
        <v>1</v>
      </c>
      <c r="C2668" s="7">
        <v>0</v>
      </c>
      <c r="D2668" s="8">
        <v>0</v>
      </c>
      <c r="E2668" s="8">
        <v>1</v>
      </c>
      <c r="F2668" s="8">
        <v>0</v>
      </c>
      <c r="G2668" s="8">
        <v>1</v>
      </c>
      <c r="H2668" s="8">
        <v>1</v>
      </c>
      <c r="I2668" s="8">
        <v>0</v>
      </c>
      <c r="J2668" s="8">
        <v>0</v>
      </c>
      <c r="K2668" s="9">
        <v>1</v>
      </c>
      <c r="L2668" s="10">
        <v>0</v>
      </c>
      <c r="M2668" s="6">
        <v>1</v>
      </c>
      <c r="N2668" s="37" t="e" cm="1">
        <f t="array" ref="N2668">IF(OR(ISNUMBER(FIND(Aux!$D$3:$D$9,_xlfn.TEXTJOIN(,,C2668:K2668)))),NA(),IF(AND(SUM(C2668:F2668,H2668:K2668)=0,G2668=1),0,INT((SUMPRODUCT(C2668:F2668,COLUMN($A$1:$D$1)-1)+SUMPRODUCT(H2668:K2668,COLUMN($E$1:$H$1)-1))*'Line Follower'!$C$3/SUM(C2668:F2668,H2668:K2668)-'Line Follower'!$C$5)))</f>
        <v>#N/A</v>
      </c>
      <c r="O2668" s="22" t="e">
        <v>#N/A</v>
      </c>
      <c r="P2668" s="4" t="e">
        <f t="shared" si="205"/>
        <v>#N/A</v>
      </c>
      <c r="Q2668" s="4" t="e">
        <f t="shared" si="206"/>
        <v>#N/A</v>
      </c>
      <c r="R2668" s="4" t="e">
        <f>IF(AND(B2668=1,N2668&gt;'Line Follower'!$C$7,SUM(C2668:K2668)&lt;4),1,0)</f>
        <v>#N/A</v>
      </c>
      <c r="S2668" s="4" t="e">
        <f>IF(AND(L2668=1,N2668&lt;'Line Follower'!$C$6,SUM(C2668:K2668)&lt;4),1,0)</f>
        <v>#N/A</v>
      </c>
      <c r="T2668" s="4" t="e">
        <f t="shared" si="207"/>
        <v>#N/A</v>
      </c>
      <c r="U2668" s="5" t="e">
        <f t="shared" si="208"/>
        <v>#N/A</v>
      </c>
      <c r="V2668" s="23" t="e">
        <f t="shared" si="209"/>
        <v>#N/A</v>
      </c>
    </row>
    <row r="2669" spans="2:22" x14ac:dyDescent="0.25">
      <c r="B2669" s="16">
        <v>0</v>
      </c>
      <c r="C2669" s="7">
        <v>1</v>
      </c>
      <c r="D2669" s="8">
        <v>0</v>
      </c>
      <c r="E2669" s="8">
        <v>1</v>
      </c>
      <c r="F2669" s="8">
        <v>0</v>
      </c>
      <c r="G2669" s="8">
        <v>1</v>
      </c>
      <c r="H2669" s="8">
        <v>1</v>
      </c>
      <c r="I2669" s="8">
        <v>0</v>
      </c>
      <c r="J2669" s="8">
        <v>0</v>
      </c>
      <c r="K2669" s="9">
        <v>1</v>
      </c>
      <c r="L2669" s="10">
        <v>0</v>
      </c>
      <c r="M2669" s="6">
        <v>1</v>
      </c>
      <c r="N2669" s="37" t="e" cm="1">
        <f t="array" ref="N2669">IF(OR(ISNUMBER(FIND(Aux!$D$3:$D$9,_xlfn.TEXTJOIN(,,C2669:K2669)))),NA(),IF(AND(SUM(C2669:F2669,H2669:K2669)=0,G2669=1),0,INT((SUMPRODUCT(C2669:F2669,COLUMN($A$1:$D$1)-1)+SUMPRODUCT(H2669:K2669,COLUMN($E$1:$H$1)-1))*'Line Follower'!$C$3/SUM(C2669:F2669,H2669:K2669)-'Line Follower'!$C$5)))</f>
        <v>#N/A</v>
      </c>
      <c r="O2669" s="22" t="e">
        <v>#N/A</v>
      </c>
      <c r="P2669" s="4" t="e">
        <f t="shared" si="205"/>
        <v>#N/A</v>
      </c>
      <c r="Q2669" s="4" t="e">
        <f t="shared" si="206"/>
        <v>#N/A</v>
      </c>
      <c r="R2669" s="4" t="e">
        <f>IF(AND(B2669=1,N2669&gt;'Line Follower'!$C$7,SUM(C2669:K2669)&lt;4),1,0)</f>
        <v>#N/A</v>
      </c>
      <c r="S2669" s="4" t="e">
        <f>IF(AND(L2669=1,N2669&lt;'Line Follower'!$C$6,SUM(C2669:K2669)&lt;4),1,0)</f>
        <v>#N/A</v>
      </c>
      <c r="T2669" s="4" t="e">
        <f t="shared" si="207"/>
        <v>#N/A</v>
      </c>
      <c r="U2669" s="5" t="e">
        <f t="shared" si="208"/>
        <v>#N/A</v>
      </c>
      <c r="V2669" s="23" t="e">
        <f t="shared" si="209"/>
        <v>#N/A</v>
      </c>
    </row>
    <row r="2670" spans="2:22" x14ac:dyDescent="0.25">
      <c r="B2670" s="16">
        <v>1</v>
      </c>
      <c r="C2670" s="7">
        <v>1</v>
      </c>
      <c r="D2670" s="8">
        <v>0</v>
      </c>
      <c r="E2670" s="8">
        <v>1</v>
      </c>
      <c r="F2670" s="8">
        <v>0</v>
      </c>
      <c r="G2670" s="8">
        <v>1</v>
      </c>
      <c r="H2670" s="8">
        <v>1</v>
      </c>
      <c r="I2670" s="8">
        <v>0</v>
      </c>
      <c r="J2670" s="8">
        <v>0</v>
      </c>
      <c r="K2670" s="9">
        <v>1</v>
      </c>
      <c r="L2670" s="10">
        <v>0</v>
      </c>
      <c r="M2670" s="6">
        <v>1</v>
      </c>
      <c r="N2670" s="37" t="e" cm="1">
        <f t="array" ref="N2670">IF(OR(ISNUMBER(FIND(Aux!$D$3:$D$9,_xlfn.TEXTJOIN(,,C2670:K2670)))),NA(),IF(AND(SUM(C2670:F2670,H2670:K2670)=0,G2670=1),0,INT((SUMPRODUCT(C2670:F2670,COLUMN($A$1:$D$1)-1)+SUMPRODUCT(H2670:K2670,COLUMN($E$1:$H$1)-1))*'Line Follower'!$C$3/SUM(C2670:F2670,H2670:K2670)-'Line Follower'!$C$5)))</f>
        <v>#N/A</v>
      </c>
      <c r="O2670" s="22" t="e">
        <v>#N/A</v>
      </c>
      <c r="P2670" s="4" t="e">
        <f t="shared" si="205"/>
        <v>#N/A</v>
      </c>
      <c r="Q2670" s="4" t="e">
        <f t="shared" si="206"/>
        <v>#N/A</v>
      </c>
      <c r="R2670" s="4" t="e">
        <f>IF(AND(B2670=1,N2670&gt;'Line Follower'!$C$7,SUM(C2670:K2670)&lt;4),1,0)</f>
        <v>#N/A</v>
      </c>
      <c r="S2670" s="4" t="e">
        <f>IF(AND(L2670=1,N2670&lt;'Line Follower'!$C$6,SUM(C2670:K2670)&lt;4),1,0)</f>
        <v>#N/A</v>
      </c>
      <c r="T2670" s="4" t="e">
        <f t="shared" si="207"/>
        <v>#N/A</v>
      </c>
      <c r="U2670" s="5" t="e">
        <f t="shared" si="208"/>
        <v>#N/A</v>
      </c>
      <c r="V2670" s="23" t="e">
        <f t="shared" si="209"/>
        <v>#N/A</v>
      </c>
    </row>
    <row r="2671" spans="2:22" x14ac:dyDescent="0.25">
      <c r="B2671" s="16">
        <v>0</v>
      </c>
      <c r="C2671" s="7">
        <v>0</v>
      </c>
      <c r="D2671" s="8">
        <v>1</v>
      </c>
      <c r="E2671" s="8">
        <v>1</v>
      </c>
      <c r="F2671" s="8">
        <v>0</v>
      </c>
      <c r="G2671" s="8">
        <v>1</v>
      </c>
      <c r="H2671" s="8">
        <v>1</v>
      </c>
      <c r="I2671" s="8">
        <v>0</v>
      </c>
      <c r="J2671" s="8">
        <v>0</v>
      </c>
      <c r="K2671" s="9">
        <v>1</v>
      </c>
      <c r="L2671" s="10">
        <v>0</v>
      </c>
      <c r="M2671" s="6">
        <v>1</v>
      </c>
      <c r="N2671" s="37" t="e" cm="1">
        <f t="array" ref="N2671">IF(OR(ISNUMBER(FIND(Aux!$D$3:$D$9,_xlfn.TEXTJOIN(,,C2671:K2671)))),NA(),IF(AND(SUM(C2671:F2671,H2671:K2671)=0,G2671=1),0,INT((SUMPRODUCT(C2671:F2671,COLUMN($A$1:$D$1)-1)+SUMPRODUCT(H2671:K2671,COLUMN($E$1:$H$1)-1))*'Line Follower'!$C$3/SUM(C2671:F2671,H2671:K2671)-'Line Follower'!$C$5)))</f>
        <v>#N/A</v>
      </c>
      <c r="O2671" s="22" t="e">
        <v>#N/A</v>
      </c>
      <c r="P2671" s="4" t="e">
        <f t="shared" si="205"/>
        <v>#N/A</v>
      </c>
      <c r="Q2671" s="4" t="e">
        <f t="shared" si="206"/>
        <v>#N/A</v>
      </c>
      <c r="R2671" s="4" t="e">
        <f>IF(AND(B2671=1,N2671&gt;'Line Follower'!$C$7,SUM(C2671:K2671)&lt;4),1,0)</f>
        <v>#N/A</v>
      </c>
      <c r="S2671" s="4" t="e">
        <f>IF(AND(L2671=1,N2671&lt;'Line Follower'!$C$6,SUM(C2671:K2671)&lt;4),1,0)</f>
        <v>#N/A</v>
      </c>
      <c r="T2671" s="4" t="e">
        <f t="shared" si="207"/>
        <v>#N/A</v>
      </c>
      <c r="U2671" s="5" t="e">
        <f t="shared" si="208"/>
        <v>#N/A</v>
      </c>
      <c r="V2671" s="23" t="e">
        <f t="shared" si="209"/>
        <v>#N/A</v>
      </c>
    </row>
    <row r="2672" spans="2:22" x14ac:dyDescent="0.25">
      <c r="B2672" s="16">
        <v>1</v>
      </c>
      <c r="C2672" s="7">
        <v>0</v>
      </c>
      <c r="D2672" s="8">
        <v>1</v>
      </c>
      <c r="E2672" s="8">
        <v>1</v>
      </c>
      <c r="F2672" s="8">
        <v>0</v>
      </c>
      <c r="G2672" s="8">
        <v>1</v>
      </c>
      <c r="H2672" s="8">
        <v>1</v>
      </c>
      <c r="I2672" s="8">
        <v>0</v>
      </c>
      <c r="J2672" s="8">
        <v>0</v>
      </c>
      <c r="K2672" s="9">
        <v>1</v>
      </c>
      <c r="L2672" s="10">
        <v>0</v>
      </c>
      <c r="M2672" s="6">
        <v>1</v>
      </c>
      <c r="N2672" s="37" t="e" cm="1">
        <f t="array" ref="N2672">IF(OR(ISNUMBER(FIND(Aux!$D$3:$D$9,_xlfn.TEXTJOIN(,,C2672:K2672)))),NA(),IF(AND(SUM(C2672:F2672,H2672:K2672)=0,G2672=1),0,INT((SUMPRODUCT(C2672:F2672,COLUMN($A$1:$D$1)-1)+SUMPRODUCT(H2672:K2672,COLUMN($E$1:$H$1)-1))*'Line Follower'!$C$3/SUM(C2672:F2672,H2672:K2672)-'Line Follower'!$C$5)))</f>
        <v>#N/A</v>
      </c>
      <c r="O2672" s="22" t="e">
        <v>#N/A</v>
      </c>
      <c r="P2672" s="4" t="e">
        <f t="shared" si="205"/>
        <v>#N/A</v>
      </c>
      <c r="Q2672" s="4" t="e">
        <f t="shared" si="206"/>
        <v>#N/A</v>
      </c>
      <c r="R2672" s="4" t="e">
        <f>IF(AND(B2672=1,N2672&gt;'Line Follower'!$C$7,SUM(C2672:K2672)&lt;4),1,0)</f>
        <v>#N/A</v>
      </c>
      <c r="S2672" s="4" t="e">
        <f>IF(AND(L2672=1,N2672&lt;'Line Follower'!$C$6,SUM(C2672:K2672)&lt;4),1,0)</f>
        <v>#N/A</v>
      </c>
      <c r="T2672" s="4" t="e">
        <f t="shared" si="207"/>
        <v>#N/A</v>
      </c>
      <c r="U2672" s="5" t="e">
        <f t="shared" si="208"/>
        <v>#N/A</v>
      </c>
      <c r="V2672" s="23" t="e">
        <f t="shared" si="209"/>
        <v>#N/A</v>
      </c>
    </row>
    <row r="2673" spans="2:22" x14ac:dyDescent="0.25">
      <c r="B2673" s="16">
        <v>0</v>
      </c>
      <c r="C2673" s="7">
        <v>1</v>
      </c>
      <c r="D2673" s="8">
        <v>1</v>
      </c>
      <c r="E2673" s="8">
        <v>1</v>
      </c>
      <c r="F2673" s="8">
        <v>0</v>
      </c>
      <c r="G2673" s="8">
        <v>1</v>
      </c>
      <c r="H2673" s="8">
        <v>1</v>
      </c>
      <c r="I2673" s="8">
        <v>0</v>
      </c>
      <c r="J2673" s="8">
        <v>0</v>
      </c>
      <c r="K2673" s="9">
        <v>1</v>
      </c>
      <c r="L2673" s="10">
        <v>0</v>
      </c>
      <c r="M2673" s="6">
        <v>1</v>
      </c>
      <c r="N2673" s="37" t="e" cm="1">
        <f t="array" ref="N2673">IF(OR(ISNUMBER(FIND(Aux!$D$3:$D$9,_xlfn.TEXTJOIN(,,C2673:K2673)))),NA(),IF(AND(SUM(C2673:F2673,H2673:K2673)=0,G2673=1),0,INT((SUMPRODUCT(C2673:F2673,COLUMN($A$1:$D$1)-1)+SUMPRODUCT(H2673:K2673,COLUMN($E$1:$H$1)-1))*'Line Follower'!$C$3/SUM(C2673:F2673,H2673:K2673)-'Line Follower'!$C$5)))</f>
        <v>#N/A</v>
      </c>
      <c r="O2673" s="22" t="e">
        <v>#N/A</v>
      </c>
      <c r="P2673" s="4" t="e">
        <f t="shared" si="205"/>
        <v>#N/A</v>
      </c>
      <c r="Q2673" s="4" t="e">
        <f t="shared" si="206"/>
        <v>#N/A</v>
      </c>
      <c r="R2673" s="4" t="e">
        <f>IF(AND(B2673=1,N2673&gt;'Line Follower'!$C$7,SUM(C2673:K2673)&lt;4),1,0)</f>
        <v>#N/A</v>
      </c>
      <c r="S2673" s="4" t="e">
        <f>IF(AND(L2673=1,N2673&lt;'Line Follower'!$C$6,SUM(C2673:K2673)&lt;4),1,0)</f>
        <v>#N/A</v>
      </c>
      <c r="T2673" s="4" t="e">
        <f t="shared" si="207"/>
        <v>#N/A</v>
      </c>
      <c r="U2673" s="5" t="e">
        <f t="shared" si="208"/>
        <v>#N/A</v>
      </c>
      <c r="V2673" s="23" t="e">
        <f t="shared" si="209"/>
        <v>#N/A</v>
      </c>
    </row>
    <row r="2674" spans="2:22" x14ac:dyDescent="0.25">
      <c r="B2674" s="16">
        <v>1</v>
      </c>
      <c r="C2674" s="7">
        <v>1</v>
      </c>
      <c r="D2674" s="8">
        <v>1</v>
      </c>
      <c r="E2674" s="8">
        <v>1</v>
      </c>
      <c r="F2674" s="8">
        <v>0</v>
      </c>
      <c r="G2674" s="8">
        <v>1</v>
      </c>
      <c r="H2674" s="8">
        <v>1</v>
      </c>
      <c r="I2674" s="8">
        <v>0</v>
      </c>
      <c r="J2674" s="8">
        <v>0</v>
      </c>
      <c r="K2674" s="9">
        <v>1</v>
      </c>
      <c r="L2674" s="10">
        <v>0</v>
      </c>
      <c r="M2674" s="6">
        <v>1</v>
      </c>
      <c r="N2674" s="37" t="e" cm="1">
        <f t="array" ref="N2674">IF(OR(ISNUMBER(FIND(Aux!$D$3:$D$9,_xlfn.TEXTJOIN(,,C2674:K2674)))),NA(),IF(AND(SUM(C2674:F2674,H2674:K2674)=0,G2674=1),0,INT((SUMPRODUCT(C2674:F2674,COLUMN($A$1:$D$1)-1)+SUMPRODUCT(H2674:K2674,COLUMN($E$1:$H$1)-1))*'Line Follower'!$C$3/SUM(C2674:F2674,H2674:K2674)-'Line Follower'!$C$5)))</f>
        <v>#N/A</v>
      </c>
      <c r="O2674" s="22" t="e">
        <v>#N/A</v>
      </c>
      <c r="P2674" s="4" t="e">
        <f t="shared" si="205"/>
        <v>#N/A</v>
      </c>
      <c r="Q2674" s="4" t="e">
        <f t="shared" si="206"/>
        <v>#N/A</v>
      </c>
      <c r="R2674" s="4" t="e">
        <f>IF(AND(B2674=1,N2674&gt;'Line Follower'!$C$7,SUM(C2674:K2674)&lt;4),1,0)</f>
        <v>#N/A</v>
      </c>
      <c r="S2674" s="4" t="e">
        <f>IF(AND(L2674=1,N2674&lt;'Line Follower'!$C$6,SUM(C2674:K2674)&lt;4),1,0)</f>
        <v>#N/A</v>
      </c>
      <c r="T2674" s="4" t="e">
        <f t="shared" si="207"/>
        <v>#N/A</v>
      </c>
      <c r="U2674" s="5" t="e">
        <f t="shared" si="208"/>
        <v>#N/A</v>
      </c>
      <c r="V2674" s="23" t="e">
        <f t="shared" si="209"/>
        <v>#N/A</v>
      </c>
    </row>
    <row r="2675" spans="2:22" x14ac:dyDescent="0.25">
      <c r="B2675" s="16">
        <v>0</v>
      </c>
      <c r="C2675" s="7">
        <v>0</v>
      </c>
      <c r="D2675" s="8">
        <v>0</v>
      </c>
      <c r="E2675" s="8">
        <v>0</v>
      </c>
      <c r="F2675" s="8">
        <v>1</v>
      </c>
      <c r="G2675" s="8">
        <v>1</v>
      </c>
      <c r="H2675" s="8">
        <v>1</v>
      </c>
      <c r="I2675" s="8">
        <v>0</v>
      </c>
      <c r="J2675" s="8">
        <v>0</v>
      </c>
      <c r="K2675" s="9">
        <v>1</v>
      </c>
      <c r="L2675" s="10">
        <v>0</v>
      </c>
      <c r="M2675" s="6">
        <v>1</v>
      </c>
      <c r="N2675" s="37" t="e" cm="1">
        <f t="array" ref="N2675">IF(OR(ISNUMBER(FIND(Aux!$D$3:$D$9,_xlfn.TEXTJOIN(,,C2675:K2675)))),NA(),IF(AND(SUM(C2675:F2675,H2675:K2675)=0,G2675=1),0,INT((SUMPRODUCT(C2675:F2675,COLUMN($A$1:$D$1)-1)+SUMPRODUCT(H2675:K2675,COLUMN($E$1:$H$1)-1))*'Line Follower'!$C$3/SUM(C2675:F2675,H2675:K2675)-'Line Follower'!$C$5)))</f>
        <v>#N/A</v>
      </c>
      <c r="O2675" s="22" t="e">
        <v>#N/A</v>
      </c>
      <c r="P2675" s="4" t="e">
        <f t="shared" si="205"/>
        <v>#N/A</v>
      </c>
      <c r="Q2675" s="4" t="e">
        <f t="shared" si="206"/>
        <v>#N/A</v>
      </c>
      <c r="R2675" s="4" t="e">
        <f>IF(AND(B2675=1,N2675&gt;'Line Follower'!$C$7,SUM(C2675:K2675)&lt;4),1,0)</f>
        <v>#N/A</v>
      </c>
      <c r="S2675" s="4" t="e">
        <f>IF(AND(L2675=1,N2675&lt;'Line Follower'!$C$6,SUM(C2675:K2675)&lt;4),1,0)</f>
        <v>#N/A</v>
      </c>
      <c r="T2675" s="4" t="e">
        <f t="shared" si="207"/>
        <v>#N/A</v>
      </c>
      <c r="U2675" s="5" t="e">
        <f t="shared" si="208"/>
        <v>#N/A</v>
      </c>
      <c r="V2675" s="23" t="e">
        <f t="shared" si="209"/>
        <v>#N/A</v>
      </c>
    </row>
    <row r="2676" spans="2:22" x14ac:dyDescent="0.25">
      <c r="B2676" s="16">
        <v>1</v>
      </c>
      <c r="C2676" s="7">
        <v>0</v>
      </c>
      <c r="D2676" s="8">
        <v>0</v>
      </c>
      <c r="E2676" s="8">
        <v>0</v>
      </c>
      <c r="F2676" s="8">
        <v>1</v>
      </c>
      <c r="G2676" s="8">
        <v>1</v>
      </c>
      <c r="H2676" s="8">
        <v>1</v>
      </c>
      <c r="I2676" s="8">
        <v>0</v>
      </c>
      <c r="J2676" s="8">
        <v>0</v>
      </c>
      <c r="K2676" s="9">
        <v>1</v>
      </c>
      <c r="L2676" s="10">
        <v>0</v>
      </c>
      <c r="M2676" s="6">
        <v>1</v>
      </c>
      <c r="N2676" s="37" t="e" cm="1">
        <f t="array" ref="N2676">IF(OR(ISNUMBER(FIND(Aux!$D$3:$D$9,_xlfn.TEXTJOIN(,,C2676:K2676)))),NA(),IF(AND(SUM(C2676:F2676,H2676:K2676)=0,G2676=1),0,INT((SUMPRODUCT(C2676:F2676,COLUMN($A$1:$D$1)-1)+SUMPRODUCT(H2676:K2676,COLUMN($E$1:$H$1)-1))*'Line Follower'!$C$3/SUM(C2676:F2676,H2676:K2676)-'Line Follower'!$C$5)))</f>
        <v>#N/A</v>
      </c>
      <c r="O2676" s="22" t="e">
        <v>#N/A</v>
      </c>
      <c r="P2676" s="4" t="e">
        <f t="shared" si="205"/>
        <v>#N/A</v>
      </c>
      <c r="Q2676" s="4" t="e">
        <f t="shared" si="206"/>
        <v>#N/A</v>
      </c>
      <c r="R2676" s="4" t="e">
        <f>IF(AND(B2676=1,N2676&gt;'Line Follower'!$C$7,SUM(C2676:K2676)&lt;4),1,0)</f>
        <v>#N/A</v>
      </c>
      <c r="S2676" s="4" t="e">
        <f>IF(AND(L2676=1,N2676&lt;'Line Follower'!$C$6,SUM(C2676:K2676)&lt;4),1,0)</f>
        <v>#N/A</v>
      </c>
      <c r="T2676" s="4" t="e">
        <f t="shared" si="207"/>
        <v>#N/A</v>
      </c>
      <c r="U2676" s="5" t="e">
        <f t="shared" si="208"/>
        <v>#N/A</v>
      </c>
      <c r="V2676" s="23" t="e">
        <f t="shared" si="209"/>
        <v>#N/A</v>
      </c>
    </row>
    <row r="2677" spans="2:22" x14ac:dyDescent="0.25">
      <c r="B2677" s="16">
        <v>0</v>
      </c>
      <c r="C2677" s="7">
        <v>1</v>
      </c>
      <c r="D2677" s="8">
        <v>0</v>
      </c>
      <c r="E2677" s="8">
        <v>0</v>
      </c>
      <c r="F2677" s="8">
        <v>1</v>
      </c>
      <c r="G2677" s="8">
        <v>1</v>
      </c>
      <c r="H2677" s="8">
        <v>1</v>
      </c>
      <c r="I2677" s="8">
        <v>0</v>
      </c>
      <c r="J2677" s="8">
        <v>0</v>
      </c>
      <c r="K2677" s="9">
        <v>1</v>
      </c>
      <c r="L2677" s="10">
        <v>0</v>
      </c>
      <c r="M2677" s="6">
        <v>1</v>
      </c>
      <c r="N2677" s="37" t="e" cm="1">
        <f t="array" ref="N2677">IF(OR(ISNUMBER(FIND(Aux!$D$3:$D$9,_xlfn.TEXTJOIN(,,C2677:K2677)))),NA(),IF(AND(SUM(C2677:F2677,H2677:K2677)=0,G2677=1),0,INT((SUMPRODUCT(C2677:F2677,COLUMN($A$1:$D$1)-1)+SUMPRODUCT(H2677:K2677,COLUMN($E$1:$H$1)-1))*'Line Follower'!$C$3/SUM(C2677:F2677,H2677:K2677)-'Line Follower'!$C$5)))</f>
        <v>#N/A</v>
      </c>
      <c r="O2677" s="22" t="e">
        <v>#N/A</v>
      </c>
      <c r="P2677" s="4" t="e">
        <f t="shared" si="205"/>
        <v>#N/A</v>
      </c>
      <c r="Q2677" s="4" t="e">
        <f t="shared" si="206"/>
        <v>#N/A</v>
      </c>
      <c r="R2677" s="4" t="e">
        <f>IF(AND(B2677=1,N2677&gt;'Line Follower'!$C$7,SUM(C2677:K2677)&lt;4),1,0)</f>
        <v>#N/A</v>
      </c>
      <c r="S2677" s="4" t="e">
        <f>IF(AND(L2677=1,N2677&lt;'Line Follower'!$C$6,SUM(C2677:K2677)&lt;4),1,0)</f>
        <v>#N/A</v>
      </c>
      <c r="T2677" s="4" t="e">
        <f t="shared" si="207"/>
        <v>#N/A</v>
      </c>
      <c r="U2677" s="5" t="e">
        <f t="shared" si="208"/>
        <v>#N/A</v>
      </c>
      <c r="V2677" s="23" t="e">
        <f t="shared" si="209"/>
        <v>#N/A</v>
      </c>
    </row>
    <row r="2678" spans="2:22" x14ac:dyDescent="0.25">
      <c r="B2678" s="16">
        <v>1</v>
      </c>
      <c r="C2678" s="7">
        <v>1</v>
      </c>
      <c r="D2678" s="8">
        <v>0</v>
      </c>
      <c r="E2678" s="8">
        <v>0</v>
      </c>
      <c r="F2678" s="8">
        <v>1</v>
      </c>
      <c r="G2678" s="8">
        <v>1</v>
      </c>
      <c r="H2678" s="8">
        <v>1</v>
      </c>
      <c r="I2678" s="8">
        <v>0</v>
      </c>
      <c r="J2678" s="8">
        <v>0</v>
      </c>
      <c r="K2678" s="9">
        <v>1</v>
      </c>
      <c r="L2678" s="10">
        <v>0</v>
      </c>
      <c r="M2678" s="6">
        <v>1</v>
      </c>
      <c r="N2678" s="37" t="e" cm="1">
        <f t="array" ref="N2678">IF(OR(ISNUMBER(FIND(Aux!$D$3:$D$9,_xlfn.TEXTJOIN(,,C2678:K2678)))),NA(),IF(AND(SUM(C2678:F2678,H2678:K2678)=0,G2678=1),0,INT((SUMPRODUCT(C2678:F2678,COLUMN($A$1:$D$1)-1)+SUMPRODUCT(H2678:K2678,COLUMN($E$1:$H$1)-1))*'Line Follower'!$C$3/SUM(C2678:F2678,H2678:K2678)-'Line Follower'!$C$5)))</f>
        <v>#N/A</v>
      </c>
      <c r="O2678" s="22" t="e">
        <v>#N/A</v>
      </c>
      <c r="P2678" s="4" t="e">
        <f t="shared" si="205"/>
        <v>#N/A</v>
      </c>
      <c r="Q2678" s="4" t="e">
        <f t="shared" si="206"/>
        <v>#N/A</v>
      </c>
      <c r="R2678" s="4" t="e">
        <f>IF(AND(B2678=1,N2678&gt;'Line Follower'!$C$7,SUM(C2678:K2678)&lt;4),1,0)</f>
        <v>#N/A</v>
      </c>
      <c r="S2678" s="4" t="e">
        <f>IF(AND(L2678=1,N2678&lt;'Line Follower'!$C$6,SUM(C2678:K2678)&lt;4),1,0)</f>
        <v>#N/A</v>
      </c>
      <c r="T2678" s="4" t="e">
        <f t="shared" si="207"/>
        <v>#N/A</v>
      </c>
      <c r="U2678" s="5" t="e">
        <f t="shared" si="208"/>
        <v>#N/A</v>
      </c>
      <c r="V2678" s="23" t="e">
        <f t="shared" si="209"/>
        <v>#N/A</v>
      </c>
    </row>
    <row r="2679" spans="2:22" x14ac:dyDescent="0.25">
      <c r="B2679" s="16">
        <v>0</v>
      </c>
      <c r="C2679" s="7">
        <v>0</v>
      </c>
      <c r="D2679" s="8">
        <v>1</v>
      </c>
      <c r="E2679" s="8">
        <v>0</v>
      </c>
      <c r="F2679" s="8">
        <v>1</v>
      </c>
      <c r="G2679" s="8">
        <v>1</v>
      </c>
      <c r="H2679" s="8">
        <v>1</v>
      </c>
      <c r="I2679" s="8">
        <v>0</v>
      </c>
      <c r="J2679" s="8">
        <v>0</v>
      </c>
      <c r="K2679" s="9">
        <v>1</v>
      </c>
      <c r="L2679" s="10">
        <v>0</v>
      </c>
      <c r="M2679" s="6">
        <v>1</v>
      </c>
      <c r="N2679" s="37" t="e" cm="1">
        <f t="array" ref="N2679">IF(OR(ISNUMBER(FIND(Aux!$D$3:$D$9,_xlfn.TEXTJOIN(,,C2679:K2679)))),NA(),IF(AND(SUM(C2679:F2679,H2679:K2679)=0,G2679=1),0,INT((SUMPRODUCT(C2679:F2679,COLUMN($A$1:$D$1)-1)+SUMPRODUCT(H2679:K2679,COLUMN($E$1:$H$1)-1))*'Line Follower'!$C$3/SUM(C2679:F2679,H2679:K2679)-'Line Follower'!$C$5)))</f>
        <v>#N/A</v>
      </c>
      <c r="O2679" s="22" t="e">
        <v>#N/A</v>
      </c>
      <c r="P2679" s="4" t="e">
        <f t="shared" si="205"/>
        <v>#N/A</v>
      </c>
      <c r="Q2679" s="4" t="e">
        <f t="shared" si="206"/>
        <v>#N/A</v>
      </c>
      <c r="R2679" s="4" t="e">
        <f>IF(AND(B2679=1,N2679&gt;'Line Follower'!$C$7,SUM(C2679:K2679)&lt;4),1,0)</f>
        <v>#N/A</v>
      </c>
      <c r="S2679" s="4" t="e">
        <f>IF(AND(L2679=1,N2679&lt;'Line Follower'!$C$6,SUM(C2679:K2679)&lt;4),1,0)</f>
        <v>#N/A</v>
      </c>
      <c r="T2679" s="4" t="e">
        <f t="shared" si="207"/>
        <v>#N/A</v>
      </c>
      <c r="U2679" s="5" t="e">
        <f t="shared" si="208"/>
        <v>#N/A</v>
      </c>
      <c r="V2679" s="23" t="e">
        <f t="shared" si="209"/>
        <v>#N/A</v>
      </c>
    </row>
    <row r="2680" spans="2:22" x14ac:dyDescent="0.25">
      <c r="B2680" s="16">
        <v>1</v>
      </c>
      <c r="C2680" s="7">
        <v>0</v>
      </c>
      <c r="D2680" s="8">
        <v>1</v>
      </c>
      <c r="E2680" s="8">
        <v>0</v>
      </c>
      <c r="F2680" s="8">
        <v>1</v>
      </c>
      <c r="G2680" s="8">
        <v>1</v>
      </c>
      <c r="H2680" s="8">
        <v>1</v>
      </c>
      <c r="I2680" s="8">
        <v>0</v>
      </c>
      <c r="J2680" s="8">
        <v>0</v>
      </c>
      <c r="K2680" s="9">
        <v>1</v>
      </c>
      <c r="L2680" s="10">
        <v>0</v>
      </c>
      <c r="M2680" s="6">
        <v>1</v>
      </c>
      <c r="N2680" s="37" t="e" cm="1">
        <f t="array" ref="N2680">IF(OR(ISNUMBER(FIND(Aux!$D$3:$D$9,_xlfn.TEXTJOIN(,,C2680:K2680)))),NA(),IF(AND(SUM(C2680:F2680,H2680:K2680)=0,G2680=1),0,INT((SUMPRODUCT(C2680:F2680,COLUMN($A$1:$D$1)-1)+SUMPRODUCT(H2680:K2680,COLUMN($E$1:$H$1)-1))*'Line Follower'!$C$3/SUM(C2680:F2680,H2680:K2680)-'Line Follower'!$C$5)))</f>
        <v>#N/A</v>
      </c>
      <c r="O2680" s="22" t="e">
        <v>#N/A</v>
      </c>
      <c r="P2680" s="4" t="e">
        <f t="shared" si="205"/>
        <v>#N/A</v>
      </c>
      <c r="Q2680" s="4" t="e">
        <f t="shared" si="206"/>
        <v>#N/A</v>
      </c>
      <c r="R2680" s="4" t="e">
        <f>IF(AND(B2680=1,N2680&gt;'Line Follower'!$C$7,SUM(C2680:K2680)&lt;4),1,0)</f>
        <v>#N/A</v>
      </c>
      <c r="S2680" s="4" t="e">
        <f>IF(AND(L2680=1,N2680&lt;'Line Follower'!$C$6,SUM(C2680:K2680)&lt;4),1,0)</f>
        <v>#N/A</v>
      </c>
      <c r="T2680" s="4" t="e">
        <f t="shared" si="207"/>
        <v>#N/A</v>
      </c>
      <c r="U2680" s="5" t="e">
        <f t="shared" si="208"/>
        <v>#N/A</v>
      </c>
      <c r="V2680" s="23" t="e">
        <f t="shared" si="209"/>
        <v>#N/A</v>
      </c>
    </row>
    <row r="2681" spans="2:22" x14ac:dyDescent="0.25">
      <c r="B2681" s="16">
        <v>0</v>
      </c>
      <c r="C2681" s="7">
        <v>1</v>
      </c>
      <c r="D2681" s="8">
        <v>1</v>
      </c>
      <c r="E2681" s="8">
        <v>0</v>
      </c>
      <c r="F2681" s="8">
        <v>1</v>
      </c>
      <c r="G2681" s="8">
        <v>1</v>
      </c>
      <c r="H2681" s="8">
        <v>1</v>
      </c>
      <c r="I2681" s="8">
        <v>0</v>
      </c>
      <c r="J2681" s="8">
        <v>0</v>
      </c>
      <c r="K2681" s="9">
        <v>1</v>
      </c>
      <c r="L2681" s="10">
        <v>0</v>
      </c>
      <c r="M2681" s="6">
        <v>1</v>
      </c>
      <c r="N2681" s="37" t="e" cm="1">
        <f t="array" ref="N2681">IF(OR(ISNUMBER(FIND(Aux!$D$3:$D$9,_xlfn.TEXTJOIN(,,C2681:K2681)))),NA(),IF(AND(SUM(C2681:F2681,H2681:K2681)=0,G2681=1),0,INT((SUMPRODUCT(C2681:F2681,COLUMN($A$1:$D$1)-1)+SUMPRODUCT(H2681:K2681,COLUMN($E$1:$H$1)-1))*'Line Follower'!$C$3/SUM(C2681:F2681,H2681:K2681)-'Line Follower'!$C$5)))</f>
        <v>#N/A</v>
      </c>
      <c r="O2681" s="22" t="e">
        <v>#N/A</v>
      </c>
      <c r="P2681" s="4" t="e">
        <f t="shared" si="205"/>
        <v>#N/A</v>
      </c>
      <c r="Q2681" s="4" t="e">
        <f t="shared" si="206"/>
        <v>#N/A</v>
      </c>
      <c r="R2681" s="4" t="e">
        <f>IF(AND(B2681=1,N2681&gt;'Line Follower'!$C$7,SUM(C2681:K2681)&lt;4),1,0)</f>
        <v>#N/A</v>
      </c>
      <c r="S2681" s="4" t="e">
        <f>IF(AND(L2681=1,N2681&lt;'Line Follower'!$C$6,SUM(C2681:K2681)&lt;4),1,0)</f>
        <v>#N/A</v>
      </c>
      <c r="T2681" s="4" t="e">
        <f t="shared" si="207"/>
        <v>#N/A</v>
      </c>
      <c r="U2681" s="5" t="e">
        <f t="shared" si="208"/>
        <v>#N/A</v>
      </c>
      <c r="V2681" s="23" t="e">
        <f t="shared" si="209"/>
        <v>#N/A</v>
      </c>
    </row>
    <row r="2682" spans="2:22" x14ac:dyDescent="0.25">
      <c r="B2682" s="16">
        <v>1</v>
      </c>
      <c r="C2682" s="7">
        <v>1</v>
      </c>
      <c r="D2682" s="8">
        <v>1</v>
      </c>
      <c r="E2682" s="8">
        <v>0</v>
      </c>
      <c r="F2682" s="8">
        <v>1</v>
      </c>
      <c r="G2682" s="8">
        <v>1</v>
      </c>
      <c r="H2682" s="8">
        <v>1</v>
      </c>
      <c r="I2682" s="8">
        <v>0</v>
      </c>
      <c r="J2682" s="8">
        <v>0</v>
      </c>
      <c r="K2682" s="9">
        <v>1</v>
      </c>
      <c r="L2682" s="10">
        <v>0</v>
      </c>
      <c r="M2682" s="6">
        <v>1</v>
      </c>
      <c r="N2682" s="37" t="e" cm="1">
        <f t="array" ref="N2682">IF(OR(ISNUMBER(FIND(Aux!$D$3:$D$9,_xlfn.TEXTJOIN(,,C2682:K2682)))),NA(),IF(AND(SUM(C2682:F2682,H2682:K2682)=0,G2682=1),0,INT((SUMPRODUCT(C2682:F2682,COLUMN($A$1:$D$1)-1)+SUMPRODUCT(H2682:K2682,COLUMN($E$1:$H$1)-1))*'Line Follower'!$C$3/SUM(C2682:F2682,H2682:K2682)-'Line Follower'!$C$5)))</f>
        <v>#N/A</v>
      </c>
      <c r="O2682" s="22" t="e">
        <v>#N/A</v>
      </c>
      <c r="P2682" s="4" t="e">
        <f t="shared" si="205"/>
        <v>#N/A</v>
      </c>
      <c r="Q2682" s="4" t="e">
        <f t="shared" si="206"/>
        <v>#N/A</v>
      </c>
      <c r="R2682" s="4" t="e">
        <f>IF(AND(B2682=1,N2682&gt;'Line Follower'!$C$7,SUM(C2682:K2682)&lt;4),1,0)</f>
        <v>#N/A</v>
      </c>
      <c r="S2682" s="4" t="e">
        <f>IF(AND(L2682=1,N2682&lt;'Line Follower'!$C$6,SUM(C2682:K2682)&lt;4),1,0)</f>
        <v>#N/A</v>
      </c>
      <c r="T2682" s="4" t="e">
        <f t="shared" si="207"/>
        <v>#N/A</v>
      </c>
      <c r="U2682" s="5" t="e">
        <f t="shared" si="208"/>
        <v>#N/A</v>
      </c>
      <c r="V2682" s="23" t="e">
        <f t="shared" si="209"/>
        <v>#N/A</v>
      </c>
    </row>
    <row r="2683" spans="2:22" x14ac:dyDescent="0.25">
      <c r="B2683" s="16">
        <v>0</v>
      </c>
      <c r="C2683" s="7">
        <v>0</v>
      </c>
      <c r="D2683" s="8">
        <v>0</v>
      </c>
      <c r="E2683" s="8">
        <v>1</v>
      </c>
      <c r="F2683" s="8">
        <v>1</v>
      </c>
      <c r="G2683" s="8">
        <v>1</v>
      </c>
      <c r="H2683" s="8">
        <v>1</v>
      </c>
      <c r="I2683" s="8">
        <v>0</v>
      </c>
      <c r="J2683" s="8">
        <v>0</v>
      </c>
      <c r="K2683" s="9">
        <v>1</v>
      </c>
      <c r="L2683" s="10">
        <v>0</v>
      </c>
      <c r="M2683" s="6">
        <v>1</v>
      </c>
      <c r="N2683" s="37" t="e" cm="1">
        <f t="array" ref="N2683">IF(OR(ISNUMBER(FIND(Aux!$D$3:$D$9,_xlfn.TEXTJOIN(,,C2683:K2683)))),NA(),IF(AND(SUM(C2683:F2683,H2683:K2683)=0,G2683=1),0,INT((SUMPRODUCT(C2683:F2683,COLUMN($A$1:$D$1)-1)+SUMPRODUCT(H2683:K2683,COLUMN($E$1:$H$1)-1))*'Line Follower'!$C$3/SUM(C2683:F2683,H2683:K2683)-'Line Follower'!$C$5)))</f>
        <v>#N/A</v>
      </c>
      <c r="O2683" s="22" t="e">
        <v>#N/A</v>
      </c>
      <c r="P2683" s="4" t="e">
        <f t="shared" si="205"/>
        <v>#N/A</v>
      </c>
      <c r="Q2683" s="4" t="e">
        <f t="shared" si="206"/>
        <v>#N/A</v>
      </c>
      <c r="R2683" s="4" t="e">
        <f>IF(AND(B2683=1,N2683&gt;'Line Follower'!$C$7,SUM(C2683:K2683)&lt;4),1,0)</f>
        <v>#N/A</v>
      </c>
      <c r="S2683" s="4" t="e">
        <f>IF(AND(L2683=1,N2683&lt;'Line Follower'!$C$6,SUM(C2683:K2683)&lt;4),1,0)</f>
        <v>#N/A</v>
      </c>
      <c r="T2683" s="4" t="e">
        <f t="shared" si="207"/>
        <v>#N/A</v>
      </c>
      <c r="U2683" s="5" t="e">
        <f t="shared" si="208"/>
        <v>#N/A</v>
      </c>
      <c r="V2683" s="23" t="e">
        <f t="shared" si="209"/>
        <v>#N/A</v>
      </c>
    </row>
    <row r="2684" spans="2:22" x14ac:dyDescent="0.25">
      <c r="B2684" s="16">
        <v>1</v>
      </c>
      <c r="C2684" s="7">
        <v>0</v>
      </c>
      <c r="D2684" s="8">
        <v>0</v>
      </c>
      <c r="E2684" s="8">
        <v>1</v>
      </c>
      <c r="F2684" s="8">
        <v>1</v>
      </c>
      <c r="G2684" s="8">
        <v>1</v>
      </c>
      <c r="H2684" s="8">
        <v>1</v>
      </c>
      <c r="I2684" s="8">
        <v>0</v>
      </c>
      <c r="J2684" s="8">
        <v>0</v>
      </c>
      <c r="K2684" s="9">
        <v>1</v>
      </c>
      <c r="L2684" s="10">
        <v>0</v>
      </c>
      <c r="M2684" s="6">
        <v>1</v>
      </c>
      <c r="N2684" s="37" t="e" cm="1">
        <f t="array" ref="N2684">IF(OR(ISNUMBER(FIND(Aux!$D$3:$D$9,_xlfn.TEXTJOIN(,,C2684:K2684)))),NA(),IF(AND(SUM(C2684:F2684,H2684:K2684)=0,G2684=1),0,INT((SUMPRODUCT(C2684:F2684,COLUMN($A$1:$D$1)-1)+SUMPRODUCT(H2684:K2684,COLUMN($E$1:$H$1)-1))*'Line Follower'!$C$3/SUM(C2684:F2684,H2684:K2684)-'Line Follower'!$C$5)))</f>
        <v>#N/A</v>
      </c>
      <c r="O2684" s="22" t="e">
        <v>#N/A</v>
      </c>
      <c r="P2684" s="4" t="e">
        <f t="shared" si="205"/>
        <v>#N/A</v>
      </c>
      <c r="Q2684" s="4" t="e">
        <f t="shared" si="206"/>
        <v>#N/A</v>
      </c>
      <c r="R2684" s="4" t="e">
        <f>IF(AND(B2684=1,N2684&gt;'Line Follower'!$C$7,SUM(C2684:K2684)&lt;4),1,0)</f>
        <v>#N/A</v>
      </c>
      <c r="S2684" s="4" t="e">
        <f>IF(AND(L2684=1,N2684&lt;'Line Follower'!$C$6,SUM(C2684:K2684)&lt;4),1,0)</f>
        <v>#N/A</v>
      </c>
      <c r="T2684" s="4" t="e">
        <f t="shared" si="207"/>
        <v>#N/A</v>
      </c>
      <c r="U2684" s="5" t="e">
        <f t="shared" si="208"/>
        <v>#N/A</v>
      </c>
      <c r="V2684" s="23" t="e">
        <f t="shared" si="209"/>
        <v>#N/A</v>
      </c>
    </row>
    <row r="2685" spans="2:22" x14ac:dyDescent="0.25">
      <c r="B2685" s="16">
        <v>0</v>
      </c>
      <c r="C2685" s="7">
        <v>1</v>
      </c>
      <c r="D2685" s="8">
        <v>0</v>
      </c>
      <c r="E2685" s="8">
        <v>1</v>
      </c>
      <c r="F2685" s="8">
        <v>1</v>
      </c>
      <c r="G2685" s="8">
        <v>1</v>
      </c>
      <c r="H2685" s="8">
        <v>1</v>
      </c>
      <c r="I2685" s="8">
        <v>0</v>
      </c>
      <c r="J2685" s="8">
        <v>0</v>
      </c>
      <c r="K2685" s="9">
        <v>1</v>
      </c>
      <c r="L2685" s="10">
        <v>0</v>
      </c>
      <c r="M2685" s="6">
        <v>1</v>
      </c>
      <c r="N2685" s="37" t="e" cm="1">
        <f t="array" ref="N2685">IF(OR(ISNUMBER(FIND(Aux!$D$3:$D$9,_xlfn.TEXTJOIN(,,C2685:K2685)))),NA(),IF(AND(SUM(C2685:F2685,H2685:K2685)=0,G2685=1),0,INT((SUMPRODUCT(C2685:F2685,COLUMN($A$1:$D$1)-1)+SUMPRODUCT(H2685:K2685,COLUMN($E$1:$H$1)-1))*'Line Follower'!$C$3/SUM(C2685:F2685,H2685:K2685)-'Line Follower'!$C$5)))</f>
        <v>#N/A</v>
      </c>
      <c r="O2685" s="22" t="e">
        <v>#N/A</v>
      </c>
      <c r="P2685" s="4" t="e">
        <f t="shared" si="205"/>
        <v>#N/A</v>
      </c>
      <c r="Q2685" s="4" t="e">
        <f t="shared" si="206"/>
        <v>#N/A</v>
      </c>
      <c r="R2685" s="4" t="e">
        <f>IF(AND(B2685=1,N2685&gt;'Line Follower'!$C$7,SUM(C2685:K2685)&lt;4),1,0)</f>
        <v>#N/A</v>
      </c>
      <c r="S2685" s="4" t="e">
        <f>IF(AND(L2685=1,N2685&lt;'Line Follower'!$C$6,SUM(C2685:K2685)&lt;4),1,0)</f>
        <v>#N/A</v>
      </c>
      <c r="T2685" s="4" t="e">
        <f t="shared" si="207"/>
        <v>#N/A</v>
      </c>
      <c r="U2685" s="5" t="e">
        <f t="shared" si="208"/>
        <v>#N/A</v>
      </c>
      <c r="V2685" s="23" t="e">
        <f t="shared" si="209"/>
        <v>#N/A</v>
      </c>
    </row>
    <row r="2686" spans="2:22" x14ac:dyDescent="0.25">
      <c r="B2686" s="16">
        <v>1</v>
      </c>
      <c r="C2686" s="7">
        <v>1</v>
      </c>
      <c r="D2686" s="8">
        <v>0</v>
      </c>
      <c r="E2686" s="8">
        <v>1</v>
      </c>
      <c r="F2686" s="8">
        <v>1</v>
      </c>
      <c r="G2686" s="8">
        <v>1</v>
      </c>
      <c r="H2686" s="8">
        <v>1</v>
      </c>
      <c r="I2686" s="8">
        <v>0</v>
      </c>
      <c r="J2686" s="8">
        <v>0</v>
      </c>
      <c r="K2686" s="9">
        <v>1</v>
      </c>
      <c r="L2686" s="10">
        <v>0</v>
      </c>
      <c r="M2686" s="6">
        <v>1</v>
      </c>
      <c r="N2686" s="37" t="e" cm="1">
        <f t="array" ref="N2686">IF(OR(ISNUMBER(FIND(Aux!$D$3:$D$9,_xlfn.TEXTJOIN(,,C2686:K2686)))),NA(),IF(AND(SUM(C2686:F2686,H2686:K2686)=0,G2686=1),0,INT((SUMPRODUCT(C2686:F2686,COLUMN($A$1:$D$1)-1)+SUMPRODUCT(H2686:K2686,COLUMN($E$1:$H$1)-1))*'Line Follower'!$C$3/SUM(C2686:F2686,H2686:K2686)-'Line Follower'!$C$5)))</f>
        <v>#N/A</v>
      </c>
      <c r="O2686" s="22" t="e">
        <v>#N/A</v>
      </c>
      <c r="P2686" s="4" t="e">
        <f t="shared" si="205"/>
        <v>#N/A</v>
      </c>
      <c r="Q2686" s="4" t="e">
        <f t="shared" si="206"/>
        <v>#N/A</v>
      </c>
      <c r="R2686" s="4" t="e">
        <f>IF(AND(B2686=1,N2686&gt;'Line Follower'!$C$7,SUM(C2686:K2686)&lt;4),1,0)</f>
        <v>#N/A</v>
      </c>
      <c r="S2686" s="4" t="e">
        <f>IF(AND(L2686=1,N2686&lt;'Line Follower'!$C$6,SUM(C2686:K2686)&lt;4),1,0)</f>
        <v>#N/A</v>
      </c>
      <c r="T2686" s="4" t="e">
        <f t="shared" si="207"/>
        <v>#N/A</v>
      </c>
      <c r="U2686" s="5" t="e">
        <f t="shared" si="208"/>
        <v>#N/A</v>
      </c>
      <c r="V2686" s="23" t="e">
        <f t="shared" si="209"/>
        <v>#N/A</v>
      </c>
    </row>
    <row r="2687" spans="2:22" x14ac:dyDescent="0.25">
      <c r="B2687" s="16">
        <v>0</v>
      </c>
      <c r="C2687" s="7">
        <v>0</v>
      </c>
      <c r="D2687" s="8">
        <v>1</v>
      </c>
      <c r="E2687" s="8">
        <v>1</v>
      </c>
      <c r="F2687" s="8">
        <v>1</v>
      </c>
      <c r="G2687" s="8">
        <v>1</v>
      </c>
      <c r="H2687" s="8">
        <v>1</v>
      </c>
      <c r="I2687" s="8">
        <v>0</v>
      </c>
      <c r="J2687" s="8">
        <v>0</v>
      </c>
      <c r="K2687" s="9">
        <v>1</v>
      </c>
      <c r="L2687" s="10">
        <v>0</v>
      </c>
      <c r="M2687" s="6">
        <v>1</v>
      </c>
      <c r="N2687" s="37" t="e" cm="1">
        <f t="array" ref="N2687">IF(OR(ISNUMBER(FIND(Aux!$D$3:$D$9,_xlfn.TEXTJOIN(,,C2687:K2687)))),NA(),IF(AND(SUM(C2687:F2687,H2687:K2687)=0,G2687=1),0,INT((SUMPRODUCT(C2687:F2687,COLUMN($A$1:$D$1)-1)+SUMPRODUCT(H2687:K2687,COLUMN($E$1:$H$1)-1))*'Line Follower'!$C$3/SUM(C2687:F2687,H2687:K2687)-'Line Follower'!$C$5)))</f>
        <v>#N/A</v>
      </c>
      <c r="O2687" s="22" t="e">
        <v>#N/A</v>
      </c>
      <c r="P2687" s="4" t="e">
        <f t="shared" si="205"/>
        <v>#N/A</v>
      </c>
      <c r="Q2687" s="4" t="e">
        <f t="shared" si="206"/>
        <v>#N/A</v>
      </c>
      <c r="R2687" s="4" t="e">
        <f>IF(AND(B2687=1,N2687&gt;'Line Follower'!$C$7,SUM(C2687:K2687)&lt;4),1,0)</f>
        <v>#N/A</v>
      </c>
      <c r="S2687" s="4" t="e">
        <f>IF(AND(L2687=1,N2687&lt;'Line Follower'!$C$6,SUM(C2687:K2687)&lt;4),1,0)</f>
        <v>#N/A</v>
      </c>
      <c r="T2687" s="4" t="e">
        <f t="shared" si="207"/>
        <v>#N/A</v>
      </c>
      <c r="U2687" s="5" t="e">
        <f t="shared" si="208"/>
        <v>#N/A</v>
      </c>
      <c r="V2687" s="23" t="e">
        <f t="shared" si="209"/>
        <v>#N/A</v>
      </c>
    </row>
    <row r="2688" spans="2:22" x14ac:dyDescent="0.25">
      <c r="B2688" s="16">
        <v>1</v>
      </c>
      <c r="C2688" s="7">
        <v>0</v>
      </c>
      <c r="D2688" s="8">
        <v>1</v>
      </c>
      <c r="E2688" s="8">
        <v>1</v>
      </c>
      <c r="F2688" s="8">
        <v>1</v>
      </c>
      <c r="G2688" s="8">
        <v>1</v>
      </c>
      <c r="H2688" s="8">
        <v>1</v>
      </c>
      <c r="I2688" s="8">
        <v>0</v>
      </c>
      <c r="J2688" s="8">
        <v>0</v>
      </c>
      <c r="K2688" s="9">
        <v>1</v>
      </c>
      <c r="L2688" s="10">
        <v>0</v>
      </c>
      <c r="M2688" s="6">
        <v>1</v>
      </c>
      <c r="N2688" s="37" t="e" cm="1">
        <f t="array" ref="N2688">IF(OR(ISNUMBER(FIND(Aux!$D$3:$D$9,_xlfn.TEXTJOIN(,,C2688:K2688)))),NA(),IF(AND(SUM(C2688:F2688,H2688:K2688)=0,G2688=1),0,INT((SUMPRODUCT(C2688:F2688,COLUMN($A$1:$D$1)-1)+SUMPRODUCT(H2688:K2688,COLUMN($E$1:$H$1)-1))*'Line Follower'!$C$3/SUM(C2688:F2688,H2688:K2688)-'Line Follower'!$C$5)))</f>
        <v>#N/A</v>
      </c>
      <c r="O2688" s="22" t="e">
        <v>#N/A</v>
      </c>
      <c r="P2688" s="4" t="e">
        <f t="shared" si="205"/>
        <v>#N/A</v>
      </c>
      <c r="Q2688" s="4" t="e">
        <f t="shared" si="206"/>
        <v>#N/A</v>
      </c>
      <c r="R2688" s="4" t="e">
        <f>IF(AND(B2688=1,N2688&gt;'Line Follower'!$C$7,SUM(C2688:K2688)&lt;4),1,0)</f>
        <v>#N/A</v>
      </c>
      <c r="S2688" s="4" t="e">
        <f>IF(AND(L2688=1,N2688&lt;'Line Follower'!$C$6,SUM(C2688:K2688)&lt;4),1,0)</f>
        <v>#N/A</v>
      </c>
      <c r="T2688" s="4" t="e">
        <f t="shared" si="207"/>
        <v>#N/A</v>
      </c>
      <c r="U2688" s="5" t="e">
        <f t="shared" si="208"/>
        <v>#N/A</v>
      </c>
      <c r="V2688" s="23" t="e">
        <f t="shared" si="209"/>
        <v>#N/A</v>
      </c>
    </row>
    <row r="2689" spans="2:22" x14ac:dyDescent="0.25">
      <c r="B2689" s="16">
        <v>0</v>
      </c>
      <c r="C2689" s="7">
        <v>1</v>
      </c>
      <c r="D2689" s="8">
        <v>1</v>
      </c>
      <c r="E2689" s="8">
        <v>1</v>
      </c>
      <c r="F2689" s="8">
        <v>1</v>
      </c>
      <c r="G2689" s="8">
        <v>1</v>
      </c>
      <c r="H2689" s="8">
        <v>1</v>
      </c>
      <c r="I2689" s="8">
        <v>0</v>
      </c>
      <c r="J2689" s="8">
        <v>0</v>
      </c>
      <c r="K2689" s="9">
        <v>1</v>
      </c>
      <c r="L2689" s="10">
        <v>0</v>
      </c>
      <c r="M2689" s="6">
        <v>1</v>
      </c>
      <c r="N2689" s="37" t="e" cm="1">
        <f t="array" ref="N2689">IF(OR(ISNUMBER(FIND(Aux!$D$3:$D$9,_xlfn.TEXTJOIN(,,C2689:K2689)))),NA(),IF(AND(SUM(C2689:F2689,H2689:K2689)=0,G2689=1),0,INT((SUMPRODUCT(C2689:F2689,COLUMN($A$1:$D$1)-1)+SUMPRODUCT(H2689:K2689,COLUMN($E$1:$H$1)-1))*'Line Follower'!$C$3/SUM(C2689:F2689,H2689:K2689)-'Line Follower'!$C$5)))</f>
        <v>#N/A</v>
      </c>
      <c r="O2689" s="22" t="e">
        <v>#N/A</v>
      </c>
      <c r="P2689" s="4" t="e">
        <f t="shared" si="205"/>
        <v>#N/A</v>
      </c>
      <c r="Q2689" s="4" t="e">
        <f t="shared" si="206"/>
        <v>#N/A</v>
      </c>
      <c r="R2689" s="4" t="e">
        <f>IF(AND(B2689=1,N2689&gt;'Line Follower'!$C$7,SUM(C2689:K2689)&lt;4),1,0)</f>
        <v>#N/A</v>
      </c>
      <c r="S2689" s="4" t="e">
        <f>IF(AND(L2689=1,N2689&lt;'Line Follower'!$C$6,SUM(C2689:K2689)&lt;4),1,0)</f>
        <v>#N/A</v>
      </c>
      <c r="T2689" s="4" t="e">
        <f t="shared" si="207"/>
        <v>#N/A</v>
      </c>
      <c r="U2689" s="5" t="e">
        <f t="shared" si="208"/>
        <v>#N/A</v>
      </c>
      <c r="V2689" s="23" t="e">
        <f t="shared" si="209"/>
        <v>#N/A</v>
      </c>
    </row>
    <row r="2690" spans="2:22" x14ac:dyDescent="0.25">
      <c r="B2690" s="16">
        <v>1</v>
      </c>
      <c r="C2690" s="7">
        <v>1</v>
      </c>
      <c r="D2690" s="8">
        <v>1</v>
      </c>
      <c r="E2690" s="8">
        <v>1</v>
      </c>
      <c r="F2690" s="8">
        <v>1</v>
      </c>
      <c r="G2690" s="8">
        <v>1</v>
      </c>
      <c r="H2690" s="8">
        <v>1</v>
      </c>
      <c r="I2690" s="8">
        <v>0</v>
      </c>
      <c r="J2690" s="8">
        <v>0</v>
      </c>
      <c r="K2690" s="9">
        <v>1</v>
      </c>
      <c r="L2690" s="10">
        <v>0</v>
      </c>
      <c r="M2690" s="6">
        <v>1</v>
      </c>
      <c r="N2690" s="37" t="e" cm="1">
        <f t="array" ref="N2690">IF(OR(ISNUMBER(FIND(Aux!$D$3:$D$9,_xlfn.TEXTJOIN(,,C2690:K2690)))),NA(),IF(AND(SUM(C2690:F2690,H2690:K2690)=0,G2690=1),0,INT((SUMPRODUCT(C2690:F2690,COLUMN($A$1:$D$1)-1)+SUMPRODUCT(H2690:K2690,COLUMN($E$1:$H$1)-1))*'Line Follower'!$C$3/SUM(C2690:F2690,H2690:K2690)-'Line Follower'!$C$5)))</f>
        <v>#N/A</v>
      </c>
      <c r="O2690" s="22" t="e">
        <v>#N/A</v>
      </c>
      <c r="P2690" s="4" t="e">
        <f t="shared" si="205"/>
        <v>#N/A</v>
      </c>
      <c r="Q2690" s="4" t="e">
        <f t="shared" si="206"/>
        <v>#N/A</v>
      </c>
      <c r="R2690" s="4" t="e">
        <f>IF(AND(B2690=1,N2690&gt;'Line Follower'!$C$7,SUM(C2690:K2690)&lt;4),1,0)</f>
        <v>#N/A</v>
      </c>
      <c r="S2690" s="4" t="e">
        <f>IF(AND(L2690=1,N2690&lt;'Line Follower'!$C$6,SUM(C2690:K2690)&lt;4),1,0)</f>
        <v>#N/A</v>
      </c>
      <c r="T2690" s="4" t="e">
        <f t="shared" si="207"/>
        <v>#N/A</v>
      </c>
      <c r="U2690" s="5" t="e">
        <f t="shared" si="208"/>
        <v>#N/A</v>
      </c>
      <c r="V2690" s="23" t="e">
        <f t="shared" si="209"/>
        <v>#N/A</v>
      </c>
    </row>
    <row r="2691" spans="2:22" x14ac:dyDescent="0.25">
      <c r="B2691" s="16">
        <v>0</v>
      </c>
      <c r="C2691" s="7">
        <v>0</v>
      </c>
      <c r="D2691" s="8">
        <v>0</v>
      </c>
      <c r="E2691" s="8">
        <v>0</v>
      </c>
      <c r="F2691" s="8">
        <v>0</v>
      </c>
      <c r="G2691" s="8">
        <v>0</v>
      </c>
      <c r="H2691" s="8">
        <v>0</v>
      </c>
      <c r="I2691" s="8">
        <v>1</v>
      </c>
      <c r="J2691" s="8">
        <v>0</v>
      </c>
      <c r="K2691" s="9">
        <v>1</v>
      </c>
      <c r="L2691" s="10">
        <v>0</v>
      </c>
      <c r="M2691" s="6">
        <v>1</v>
      </c>
      <c r="N2691" s="37" t="e" cm="1">
        <f t="array" ref="N2691">IF(OR(ISNUMBER(FIND(Aux!$D$3:$D$9,_xlfn.TEXTJOIN(,,C2691:K2691)))),NA(),IF(AND(SUM(C2691:F2691,H2691:K2691)=0,G2691=1),0,INT((SUMPRODUCT(C2691:F2691,COLUMN($A$1:$D$1)-1)+SUMPRODUCT(H2691:K2691,COLUMN($E$1:$H$1)-1))*'Line Follower'!$C$3/SUM(C2691:F2691,H2691:K2691)-'Line Follower'!$C$5)))</f>
        <v>#N/A</v>
      </c>
      <c r="O2691" s="22" t="e">
        <v>#N/A</v>
      </c>
      <c r="P2691" s="4" t="e">
        <f t="shared" ref="P2691:P2754" si="210">IF(AND(N2691=0,G2691=1,M2691=1),1,0)</f>
        <v>#N/A</v>
      </c>
      <c r="Q2691" s="4" t="e">
        <f t="shared" ref="Q2691:Q2754" si="211">IF(ISERROR(N2691),N2691,IF(SUM(C2691:K2691)&gt;=4,1,0))</f>
        <v>#N/A</v>
      </c>
      <c r="R2691" s="4" t="e">
        <f>IF(AND(B2691=1,N2691&gt;'Line Follower'!$C$7,SUM(C2691:K2691)&lt;4),1,0)</f>
        <v>#N/A</v>
      </c>
      <c r="S2691" s="4" t="e">
        <f>IF(AND(L2691=1,N2691&lt;'Line Follower'!$C$6,SUM(C2691:K2691)&lt;4),1,0)</f>
        <v>#N/A</v>
      </c>
      <c r="T2691" s="4" t="e">
        <f t="shared" si="207"/>
        <v>#N/A</v>
      </c>
      <c r="U2691" s="5" t="e">
        <f t="shared" si="208"/>
        <v>#N/A</v>
      </c>
      <c r="V2691" s="23" t="e">
        <f t="shared" si="209"/>
        <v>#N/A</v>
      </c>
    </row>
    <row r="2692" spans="2:22" x14ac:dyDescent="0.25">
      <c r="B2692" s="16">
        <v>1</v>
      </c>
      <c r="C2692" s="7">
        <v>0</v>
      </c>
      <c r="D2692" s="8">
        <v>0</v>
      </c>
      <c r="E2692" s="8">
        <v>0</v>
      </c>
      <c r="F2692" s="8">
        <v>0</v>
      </c>
      <c r="G2692" s="8">
        <v>0</v>
      </c>
      <c r="H2692" s="8">
        <v>0</v>
      </c>
      <c r="I2692" s="8">
        <v>1</v>
      </c>
      <c r="J2692" s="8">
        <v>0</v>
      </c>
      <c r="K2692" s="9">
        <v>1</v>
      </c>
      <c r="L2692" s="10">
        <v>0</v>
      </c>
      <c r="M2692" s="6">
        <v>1</v>
      </c>
      <c r="N2692" s="37" t="e" cm="1">
        <f t="array" ref="N2692">IF(OR(ISNUMBER(FIND(Aux!$D$3:$D$9,_xlfn.TEXTJOIN(,,C2692:K2692)))),NA(),IF(AND(SUM(C2692:F2692,H2692:K2692)=0,G2692=1),0,INT((SUMPRODUCT(C2692:F2692,COLUMN($A$1:$D$1)-1)+SUMPRODUCT(H2692:K2692,COLUMN($E$1:$H$1)-1))*'Line Follower'!$C$3/SUM(C2692:F2692,H2692:K2692)-'Line Follower'!$C$5)))</f>
        <v>#N/A</v>
      </c>
      <c r="O2692" s="22" t="e">
        <v>#N/A</v>
      </c>
      <c r="P2692" s="4" t="e">
        <f t="shared" si="210"/>
        <v>#N/A</v>
      </c>
      <c r="Q2692" s="4" t="e">
        <f t="shared" si="211"/>
        <v>#N/A</v>
      </c>
      <c r="R2692" s="4" t="e">
        <f>IF(AND(B2692=1,N2692&gt;'Line Follower'!$C$7,SUM(C2692:K2692)&lt;4),1,0)</f>
        <v>#N/A</v>
      </c>
      <c r="S2692" s="4" t="e">
        <f>IF(AND(L2692=1,N2692&lt;'Line Follower'!$C$6,SUM(C2692:K2692)&lt;4),1,0)</f>
        <v>#N/A</v>
      </c>
      <c r="T2692" s="4" t="e">
        <f t="shared" ref="T2692:T2755" si="212">IF(ISNA(N2692),NA(),IF(SUM(C2692:L2692)=0,1,0))</f>
        <v>#N/A</v>
      </c>
      <c r="U2692" s="5" t="e">
        <f t="shared" ref="U2692:U2755" si="213">IF(ISNA(N2692),NA(),IF(SUM(B2692:K2692)=0,1,0))</f>
        <v>#N/A</v>
      </c>
      <c r="V2692" s="23" t="e">
        <f t="shared" ref="V2692:V2755" si="214">IF(ISNA(N2692),NA(),IF(SUM(B2692:L2692)=0,1,0))</f>
        <v>#N/A</v>
      </c>
    </row>
    <row r="2693" spans="2:22" x14ac:dyDescent="0.25">
      <c r="B2693" s="16">
        <v>0</v>
      </c>
      <c r="C2693" s="7">
        <v>1</v>
      </c>
      <c r="D2693" s="8">
        <v>0</v>
      </c>
      <c r="E2693" s="8">
        <v>0</v>
      </c>
      <c r="F2693" s="8">
        <v>0</v>
      </c>
      <c r="G2693" s="8">
        <v>0</v>
      </c>
      <c r="H2693" s="8">
        <v>0</v>
      </c>
      <c r="I2693" s="8">
        <v>1</v>
      </c>
      <c r="J2693" s="8">
        <v>0</v>
      </c>
      <c r="K2693" s="9">
        <v>1</v>
      </c>
      <c r="L2693" s="10">
        <v>0</v>
      </c>
      <c r="M2693" s="6">
        <v>1</v>
      </c>
      <c r="N2693" s="37" t="e" cm="1">
        <f t="array" ref="N2693">IF(OR(ISNUMBER(FIND(Aux!$D$3:$D$9,_xlfn.TEXTJOIN(,,C2693:K2693)))),NA(),IF(AND(SUM(C2693:F2693,H2693:K2693)=0,G2693=1),0,INT((SUMPRODUCT(C2693:F2693,COLUMN($A$1:$D$1)-1)+SUMPRODUCT(H2693:K2693,COLUMN($E$1:$H$1)-1))*'Line Follower'!$C$3/SUM(C2693:F2693,H2693:K2693)-'Line Follower'!$C$5)))</f>
        <v>#N/A</v>
      </c>
      <c r="O2693" s="22" t="e">
        <v>#N/A</v>
      </c>
      <c r="P2693" s="4" t="e">
        <f t="shared" si="210"/>
        <v>#N/A</v>
      </c>
      <c r="Q2693" s="4" t="e">
        <f t="shared" si="211"/>
        <v>#N/A</v>
      </c>
      <c r="R2693" s="4" t="e">
        <f>IF(AND(B2693=1,N2693&gt;'Line Follower'!$C$7,SUM(C2693:K2693)&lt;4),1,0)</f>
        <v>#N/A</v>
      </c>
      <c r="S2693" s="4" t="e">
        <f>IF(AND(L2693=1,N2693&lt;'Line Follower'!$C$6,SUM(C2693:K2693)&lt;4),1,0)</f>
        <v>#N/A</v>
      </c>
      <c r="T2693" s="4" t="e">
        <f t="shared" si="212"/>
        <v>#N/A</v>
      </c>
      <c r="U2693" s="5" t="e">
        <f t="shared" si="213"/>
        <v>#N/A</v>
      </c>
      <c r="V2693" s="23" t="e">
        <f t="shared" si="214"/>
        <v>#N/A</v>
      </c>
    </row>
    <row r="2694" spans="2:22" x14ac:dyDescent="0.25">
      <c r="B2694" s="16">
        <v>1</v>
      </c>
      <c r="C2694" s="7">
        <v>1</v>
      </c>
      <c r="D2694" s="8">
        <v>0</v>
      </c>
      <c r="E2694" s="8">
        <v>0</v>
      </c>
      <c r="F2694" s="8">
        <v>0</v>
      </c>
      <c r="G2694" s="8">
        <v>0</v>
      </c>
      <c r="H2694" s="8">
        <v>0</v>
      </c>
      <c r="I2694" s="8">
        <v>1</v>
      </c>
      <c r="J2694" s="8">
        <v>0</v>
      </c>
      <c r="K2694" s="9">
        <v>1</v>
      </c>
      <c r="L2694" s="10">
        <v>0</v>
      </c>
      <c r="M2694" s="6">
        <v>1</v>
      </c>
      <c r="N2694" s="37" t="e" cm="1">
        <f t="array" ref="N2694">IF(OR(ISNUMBER(FIND(Aux!$D$3:$D$9,_xlfn.TEXTJOIN(,,C2694:K2694)))),NA(),IF(AND(SUM(C2694:F2694,H2694:K2694)=0,G2694=1),0,INT((SUMPRODUCT(C2694:F2694,COLUMN($A$1:$D$1)-1)+SUMPRODUCT(H2694:K2694,COLUMN($E$1:$H$1)-1))*'Line Follower'!$C$3/SUM(C2694:F2694,H2694:K2694)-'Line Follower'!$C$5)))</f>
        <v>#N/A</v>
      </c>
      <c r="O2694" s="22" t="e">
        <v>#N/A</v>
      </c>
      <c r="P2694" s="4" t="e">
        <f t="shared" si="210"/>
        <v>#N/A</v>
      </c>
      <c r="Q2694" s="4" t="e">
        <f t="shared" si="211"/>
        <v>#N/A</v>
      </c>
      <c r="R2694" s="4" t="e">
        <f>IF(AND(B2694=1,N2694&gt;'Line Follower'!$C$7,SUM(C2694:K2694)&lt;4),1,0)</f>
        <v>#N/A</v>
      </c>
      <c r="S2694" s="4" t="e">
        <f>IF(AND(L2694=1,N2694&lt;'Line Follower'!$C$6,SUM(C2694:K2694)&lt;4),1,0)</f>
        <v>#N/A</v>
      </c>
      <c r="T2694" s="4" t="e">
        <f t="shared" si="212"/>
        <v>#N/A</v>
      </c>
      <c r="U2694" s="5" t="e">
        <f t="shared" si="213"/>
        <v>#N/A</v>
      </c>
      <c r="V2694" s="23" t="e">
        <f t="shared" si="214"/>
        <v>#N/A</v>
      </c>
    </row>
    <row r="2695" spans="2:22" x14ac:dyDescent="0.25">
      <c r="B2695" s="16">
        <v>0</v>
      </c>
      <c r="C2695" s="7">
        <v>0</v>
      </c>
      <c r="D2695" s="8">
        <v>1</v>
      </c>
      <c r="E2695" s="8">
        <v>0</v>
      </c>
      <c r="F2695" s="8">
        <v>0</v>
      </c>
      <c r="G2695" s="8">
        <v>0</v>
      </c>
      <c r="H2695" s="8">
        <v>0</v>
      </c>
      <c r="I2695" s="8">
        <v>1</v>
      </c>
      <c r="J2695" s="8">
        <v>0</v>
      </c>
      <c r="K2695" s="9">
        <v>1</v>
      </c>
      <c r="L2695" s="10">
        <v>0</v>
      </c>
      <c r="M2695" s="6">
        <v>1</v>
      </c>
      <c r="N2695" s="37" t="e" cm="1">
        <f t="array" ref="N2695">IF(OR(ISNUMBER(FIND(Aux!$D$3:$D$9,_xlfn.TEXTJOIN(,,C2695:K2695)))),NA(),IF(AND(SUM(C2695:F2695,H2695:K2695)=0,G2695=1),0,INT((SUMPRODUCT(C2695:F2695,COLUMN($A$1:$D$1)-1)+SUMPRODUCT(H2695:K2695,COLUMN($E$1:$H$1)-1))*'Line Follower'!$C$3/SUM(C2695:F2695,H2695:K2695)-'Line Follower'!$C$5)))</f>
        <v>#N/A</v>
      </c>
      <c r="O2695" s="22" t="e">
        <v>#N/A</v>
      </c>
      <c r="P2695" s="4" t="e">
        <f t="shared" si="210"/>
        <v>#N/A</v>
      </c>
      <c r="Q2695" s="4" t="e">
        <f t="shared" si="211"/>
        <v>#N/A</v>
      </c>
      <c r="R2695" s="4" t="e">
        <f>IF(AND(B2695=1,N2695&gt;'Line Follower'!$C$7,SUM(C2695:K2695)&lt;4),1,0)</f>
        <v>#N/A</v>
      </c>
      <c r="S2695" s="4" t="e">
        <f>IF(AND(L2695=1,N2695&lt;'Line Follower'!$C$6,SUM(C2695:K2695)&lt;4),1,0)</f>
        <v>#N/A</v>
      </c>
      <c r="T2695" s="4" t="e">
        <f t="shared" si="212"/>
        <v>#N/A</v>
      </c>
      <c r="U2695" s="5" t="e">
        <f t="shared" si="213"/>
        <v>#N/A</v>
      </c>
      <c r="V2695" s="23" t="e">
        <f t="shared" si="214"/>
        <v>#N/A</v>
      </c>
    </row>
    <row r="2696" spans="2:22" x14ac:dyDescent="0.25">
      <c r="B2696" s="16">
        <v>1</v>
      </c>
      <c r="C2696" s="7">
        <v>0</v>
      </c>
      <c r="D2696" s="8">
        <v>1</v>
      </c>
      <c r="E2696" s="8">
        <v>0</v>
      </c>
      <c r="F2696" s="8">
        <v>0</v>
      </c>
      <c r="G2696" s="8">
        <v>0</v>
      </c>
      <c r="H2696" s="8">
        <v>0</v>
      </c>
      <c r="I2696" s="8">
        <v>1</v>
      </c>
      <c r="J2696" s="8">
        <v>0</v>
      </c>
      <c r="K2696" s="9">
        <v>1</v>
      </c>
      <c r="L2696" s="10">
        <v>0</v>
      </c>
      <c r="M2696" s="6">
        <v>1</v>
      </c>
      <c r="N2696" s="37" t="e" cm="1">
        <f t="array" ref="N2696">IF(OR(ISNUMBER(FIND(Aux!$D$3:$D$9,_xlfn.TEXTJOIN(,,C2696:K2696)))),NA(),IF(AND(SUM(C2696:F2696,H2696:K2696)=0,G2696=1),0,INT((SUMPRODUCT(C2696:F2696,COLUMN($A$1:$D$1)-1)+SUMPRODUCT(H2696:K2696,COLUMN($E$1:$H$1)-1))*'Line Follower'!$C$3/SUM(C2696:F2696,H2696:K2696)-'Line Follower'!$C$5)))</f>
        <v>#N/A</v>
      </c>
      <c r="O2696" s="22" t="e">
        <v>#N/A</v>
      </c>
      <c r="P2696" s="4" t="e">
        <f t="shared" si="210"/>
        <v>#N/A</v>
      </c>
      <c r="Q2696" s="4" t="e">
        <f t="shared" si="211"/>
        <v>#N/A</v>
      </c>
      <c r="R2696" s="4" t="e">
        <f>IF(AND(B2696=1,N2696&gt;'Line Follower'!$C$7,SUM(C2696:K2696)&lt;4),1,0)</f>
        <v>#N/A</v>
      </c>
      <c r="S2696" s="4" t="e">
        <f>IF(AND(L2696=1,N2696&lt;'Line Follower'!$C$6,SUM(C2696:K2696)&lt;4),1,0)</f>
        <v>#N/A</v>
      </c>
      <c r="T2696" s="4" t="e">
        <f t="shared" si="212"/>
        <v>#N/A</v>
      </c>
      <c r="U2696" s="5" t="e">
        <f t="shared" si="213"/>
        <v>#N/A</v>
      </c>
      <c r="V2696" s="23" t="e">
        <f t="shared" si="214"/>
        <v>#N/A</v>
      </c>
    </row>
    <row r="2697" spans="2:22" x14ac:dyDescent="0.25">
      <c r="B2697" s="16">
        <v>0</v>
      </c>
      <c r="C2697" s="7">
        <v>1</v>
      </c>
      <c r="D2697" s="8">
        <v>1</v>
      </c>
      <c r="E2697" s="8">
        <v>0</v>
      </c>
      <c r="F2697" s="8">
        <v>0</v>
      </c>
      <c r="G2697" s="8">
        <v>0</v>
      </c>
      <c r="H2697" s="8">
        <v>0</v>
      </c>
      <c r="I2697" s="8">
        <v>1</v>
      </c>
      <c r="J2697" s="8">
        <v>0</v>
      </c>
      <c r="K2697" s="9">
        <v>1</v>
      </c>
      <c r="L2697" s="10">
        <v>0</v>
      </c>
      <c r="M2697" s="6">
        <v>1</v>
      </c>
      <c r="N2697" s="37" t="e" cm="1">
        <f t="array" ref="N2697">IF(OR(ISNUMBER(FIND(Aux!$D$3:$D$9,_xlfn.TEXTJOIN(,,C2697:K2697)))),NA(),IF(AND(SUM(C2697:F2697,H2697:K2697)=0,G2697=1),0,INT((SUMPRODUCT(C2697:F2697,COLUMN($A$1:$D$1)-1)+SUMPRODUCT(H2697:K2697,COLUMN($E$1:$H$1)-1))*'Line Follower'!$C$3/SUM(C2697:F2697,H2697:K2697)-'Line Follower'!$C$5)))</f>
        <v>#N/A</v>
      </c>
      <c r="O2697" s="22" t="e">
        <v>#N/A</v>
      </c>
      <c r="P2697" s="4" t="e">
        <f t="shared" si="210"/>
        <v>#N/A</v>
      </c>
      <c r="Q2697" s="4" t="e">
        <f t="shared" si="211"/>
        <v>#N/A</v>
      </c>
      <c r="R2697" s="4" t="e">
        <f>IF(AND(B2697=1,N2697&gt;'Line Follower'!$C$7,SUM(C2697:K2697)&lt;4),1,0)</f>
        <v>#N/A</v>
      </c>
      <c r="S2697" s="4" t="e">
        <f>IF(AND(L2697=1,N2697&lt;'Line Follower'!$C$6,SUM(C2697:K2697)&lt;4),1,0)</f>
        <v>#N/A</v>
      </c>
      <c r="T2697" s="4" t="e">
        <f t="shared" si="212"/>
        <v>#N/A</v>
      </c>
      <c r="U2697" s="5" t="e">
        <f t="shared" si="213"/>
        <v>#N/A</v>
      </c>
      <c r="V2697" s="23" t="e">
        <f t="shared" si="214"/>
        <v>#N/A</v>
      </c>
    </row>
    <row r="2698" spans="2:22" x14ac:dyDescent="0.25">
      <c r="B2698" s="16">
        <v>1</v>
      </c>
      <c r="C2698" s="7">
        <v>1</v>
      </c>
      <c r="D2698" s="8">
        <v>1</v>
      </c>
      <c r="E2698" s="8">
        <v>0</v>
      </c>
      <c r="F2698" s="8">
        <v>0</v>
      </c>
      <c r="G2698" s="8">
        <v>0</v>
      </c>
      <c r="H2698" s="8">
        <v>0</v>
      </c>
      <c r="I2698" s="8">
        <v>1</v>
      </c>
      <c r="J2698" s="8">
        <v>0</v>
      </c>
      <c r="K2698" s="9">
        <v>1</v>
      </c>
      <c r="L2698" s="10">
        <v>0</v>
      </c>
      <c r="M2698" s="6">
        <v>1</v>
      </c>
      <c r="N2698" s="37" t="e" cm="1">
        <f t="array" ref="N2698">IF(OR(ISNUMBER(FIND(Aux!$D$3:$D$9,_xlfn.TEXTJOIN(,,C2698:K2698)))),NA(),IF(AND(SUM(C2698:F2698,H2698:K2698)=0,G2698=1),0,INT((SUMPRODUCT(C2698:F2698,COLUMN($A$1:$D$1)-1)+SUMPRODUCT(H2698:K2698,COLUMN($E$1:$H$1)-1))*'Line Follower'!$C$3/SUM(C2698:F2698,H2698:K2698)-'Line Follower'!$C$5)))</f>
        <v>#N/A</v>
      </c>
      <c r="O2698" s="22" t="e">
        <v>#N/A</v>
      </c>
      <c r="P2698" s="4" t="e">
        <f t="shared" si="210"/>
        <v>#N/A</v>
      </c>
      <c r="Q2698" s="4" t="e">
        <f t="shared" si="211"/>
        <v>#N/A</v>
      </c>
      <c r="R2698" s="4" t="e">
        <f>IF(AND(B2698=1,N2698&gt;'Line Follower'!$C$7,SUM(C2698:K2698)&lt;4),1,0)</f>
        <v>#N/A</v>
      </c>
      <c r="S2698" s="4" t="e">
        <f>IF(AND(L2698=1,N2698&lt;'Line Follower'!$C$6,SUM(C2698:K2698)&lt;4),1,0)</f>
        <v>#N/A</v>
      </c>
      <c r="T2698" s="4" t="e">
        <f t="shared" si="212"/>
        <v>#N/A</v>
      </c>
      <c r="U2698" s="5" t="e">
        <f t="shared" si="213"/>
        <v>#N/A</v>
      </c>
      <c r="V2698" s="23" t="e">
        <f t="shared" si="214"/>
        <v>#N/A</v>
      </c>
    </row>
    <row r="2699" spans="2:22" x14ac:dyDescent="0.25">
      <c r="B2699" s="16">
        <v>0</v>
      </c>
      <c r="C2699" s="7">
        <v>0</v>
      </c>
      <c r="D2699" s="8">
        <v>0</v>
      </c>
      <c r="E2699" s="8">
        <v>1</v>
      </c>
      <c r="F2699" s="8">
        <v>0</v>
      </c>
      <c r="G2699" s="8">
        <v>0</v>
      </c>
      <c r="H2699" s="8">
        <v>0</v>
      </c>
      <c r="I2699" s="8">
        <v>1</v>
      </c>
      <c r="J2699" s="8">
        <v>0</v>
      </c>
      <c r="K2699" s="9">
        <v>1</v>
      </c>
      <c r="L2699" s="10">
        <v>0</v>
      </c>
      <c r="M2699" s="6">
        <v>1</v>
      </c>
      <c r="N2699" s="37" t="e" cm="1">
        <f t="array" ref="N2699">IF(OR(ISNUMBER(FIND(Aux!$D$3:$D$9,_xlfn.TEXTJOIN(,,C2699:K2699)))),NA(),IF(AND(SUM(C2699:F2699,H2699:K2699)=0,G2699=1),0,INT((SUMPRODUCT(C2699:F2699,COLUMN($A$1:$D$1)-1)+SUMPRODUCT(H2699:K2699,COLUMN($E$1:$H$1)-1))*'Line Follower'!$C$3/SUM(C2699:F2699,H2699:K2699)-'Line Follower'!$C$5)))</f>
        <v>#N/A</v>
      </c>
      <c r="O2699" s="22" t="e">
        <v>#N/A</v>
      </c>
      <c r="P2699" s="4" t="e">
        <f t="shared" si="210"/>
        <v>#N/A</v>
      </c>
      <c r="Q2699" s="4" t="e">
        <f t="shared" si="211"/>
        <v>#N/A</v>
      </c>
      <c r="R2699" s="4" t="e">
        <f>IF(AND(B2699=1,N2699&gt;'Line Follower'!$C$7,SUM(C2699:K2699)&lt;4),1,0)</f>
        <v>#N/A</v>
      </c>
      <c r="S2699" s="4" t="e">
        <f>IF(AND(L2699=1,N2699&lt;'Line Follower'!$C$6,SUM(C2699:K2699)&lt;4),1,0)</f>
        <v>#N/A</v>
      </c>
      <c r="T2699" s="4" t="e">
        <f t="shared" si="212"/>
        <v>#N/A</v>
      </c>
      <c r="U2699" s="5" t="e">
        <f t="shared" si="213"/>
        <v>#N/A</v>
      </c>
      <c r="V2699" s="23" t="e">
        <f t="shared" si="214"/>
        <v>#N/A</v>
      </c>
    </row>
    <row r="2700" spans="2:22" x14ac:dyDescent="0.25">
      <c r="B2700" s="16">
        <v>1</v>
      </c>
      <c r="C2700" s="7">
        <v>0</v>
      </c>
      <c r="D2700" s="8">
        <v>0</v>
      </c>
      <c r="E2700" s="8">
        <v>1</v>
      </c>
      <c r="F2700" s="8">
        <v>0</v>
      </c>
      <c r="G2700" s="8">
        <v>0</v>
      </c>
      <c r="H2700" s="8">
        <v>0</v>
      </c>
      <c r="I2700" s="8">
        <v>1</v>
      </c>
      <c r="J2700" s="8">
        <v>0</v>
      </c>
      <c r="K2700" s="9">
        <v>1</v>
      </c>
      <c r="L2700" s="10">
        <v>0</v>
      </c>
      <c r="M2700" s="6">
        <v>1</v>
      </c>
      <c r="N2700" s="37" t="e" cm="1">
        <f t="array" ref="N2700">IF(OR(ISNUMBER(FIND(Aux!$D$3:$D$9,_xlfn.TEXTJOIN(,,C2700:K2700)))),NA(),IF(AND(SUM(C2700:F2700,H2700:K2700)=0,G2700=1),0,INT((SUMPRODUCT(C2700:F2700,COLUMN($A$1:$D$1)-1)+SUMPRODUCT(H2700:K2700,COLUMN($E$1:$H$1)-1))*'Line Follower'!$C$3/SUM(C2700:F2700,H2700:K2700)-'Line Follower'!$C$5)))</f>
        <v>#N/A</v>
      </c>
      <c r="O2700" s="22" t="e">
        <v>#N/A</v>
      </c>
      <c r="P2700" s="4" t="e">
        <f t="shared" si="210"/>
        <v>#N/A</v>
      </c>
      <c r="Q2700" s="4" t="e">
        <f t="shared" si="211"/>
        <v>#N/A</v>
      </c>
      <c r="R2700" s="4" t="e">
        <f>IF(AND(B2700=1,N2700&gt;'Line Follower'!$C$7,SUM(C2700:K2700)&lt;4),1,0)</f>
        <v>#N/A</v>
      </c>
      <c r="S2700" s="4" t="e">
        <f>IF(AND(L2700=1,N2700&lt;'Line Follower'!$C$6,SUM(C2700:K2700)&lt;4),1,0)</f>
        <v>#N/A</v>
      </c>
      <c r="T2700" s="4" t="e">
        <f t="shared" si="212"/>
        <v>#N/A</v>
      </c>
      <c r="U2700" s="5" t="e">
        <f t="shared" si="213"/>
        <v>#N/A</v>
      </c>
      <c r="V2700" s="23" t="e">
        <f t="shared" si="214"/>
        <v>#N/A</v>
      </c>
    </row>
    <row r="2701" spans="2:22" x14ac:dyDescent="0.25">
      <c r="B2701" s="16">
        <v>0</v>
      </c>
      <c r="C2701" s="7">
        <v>1</v>
      </c>
      <c r="D2701" s="8">
        <v>0</v>
      </c>
      <c r="E2701" s="8">
        <v>1</v>
      </c>
      <c r="F2701" s="8">
        <v>0</v>
      </c>
      <c r="G2701" s="8">
        <v>0</v>
      </c>
      <c r="H2701" s="8">
        <v>0</v>
      </c>
      <c r="I2701" s="8">
        <v>1</v>
      </c>
      <c r="J2701" s="8">
        <v>0</v>
      </c>
      <c r="K2701" s="9">
        <v>1</v>
      </c>
      <c r="L2701" s="10">
        <v>0</v>
      </c>
      <c r="M2701" s="6">
        <v>1</v>
      </c>
      <c r="N2701" s="37" t="e" cm="1">
        <f t="array" ref="N2701">IF(OR(ISNUMBER(FIND(Aux!$D$3:$D$9,_xlfn.TEXTJOIN(,,C2701:K2701)))),NA(),IF(AND(SUM(C2701:F2701,H2701:K2701)=0,G2701=1),0,INT((SUMPRODUCT(C2701:F2701,COLUMN($A$1:$D$1)-1)+SUMPRODUCT(H2701:K2701,COLUMN($E$1:$H$1)-1))*'Line Follower'!$C$3/SUM(C2701:F2701,H2701:K2701)-'Line Follower'!$C$5)))</f>
        <v>#N/A</v>
      </c>
      <c r="O2701" s="22" t="e">
        <v>#N/A</v>
      </c>
      <c r="P2701" s="4" t="e">
        <f t="shared" si="210"/>
        <v>#N/A</v>
      </c>
      <c r="Q2701" s="4" t="e">
        <f t="shared" si="211"/>
        <v>#N/A</v>
      </c>
      <c r="R2701" s="4" t="e">
        <f>IF(AND(B2701=1,N2701&gt;'Line Follower'!$C$7,SUM(C2701:K2701)&lt;4),1,0)</f>
        <v>#N/A</v>
      </c>
      <c r="S2701" s="4" t="e">
        <f>IF(AND(L2701=1,N2701&lt;'Line Follower'!$C$6,SUM(C2701:K2701)&lt;4),1,0)</f>
        <v>#N/A</v>
      </c>
      <c r="T2701" s="4" t="e">
        <f t="shared" si="212"/>
        <v>#N/A</v>
      </c>
      <c r="U2701" s="5" t="e">
        <f t="shared" si="213"/>
        <v>#N/A</v>
      </c>
      <c r="V2701" s="23" t="e">
        <f t="shared" si="214"/>
        <v>#N/A</v>
      </c>
    </row>
    <row r="2702" spans="2:22" x14ac:dyDescent="0.25">
      <c r="B2702" s="16">
        <v>1</v>
      </c>
      <c r="C2702" s="7">
        <v>1</v>
      </c>
      <c r="D2702" s="8">
        <v>0</v>
      </c>
      <c r="E2702" s="8">
        <v>1</v>
      </c>
      <c r="F2702" s="8">
        <v>0</v>
      </c>
      <c r="G2702" s="8">
        <v>0</v>
      </c>
      <c r="H2702" s="8">
        <v>0</v>
      </c>
      <c r="I2702" s="8">
        <v>1</v>
      </c>
      <c r="J2702" s="8">
        <v>0</v>
      </c>
      <c r="K2702" s="9">
        <v>1</v>
      </c>
      <c r="L2702" s="10">
        <v>0</v>
      </c>
      <c r="M2702" s="6">
        <v>1</v>
      </c>
      <c r="N2702" s="37" t="e" cm="1">
        <f t="array" ref="N2702">IF(OR(ISNUMBER(FIND(Aux!$D$3:$D$9,_xlfn.TEXTJOIN(,,C2702:K2702)))),NA(),IF(AND(SUM(C2702:F2702,H2702:K2702)=0,G2702=1),0,INT((SUMPRODUCT(C2702:F2702,COLUMN($A$1:$D$1)-1)+SUMPRODUCT(H2702:K2702,COLUMN($E$1:$H$1)-1))*'Line Follower'!$C$3/SUM(C2702:F2702,H2702:K2702)-'Line Follower'!$C$5)))</f>
        <v>#N/A</v>
      </c>
      <c r="O2702" s="22" t="e">
        <v>#N/A</v>
      </c>
      <c r="P2702" s="4" t="e">
        <f t="shared" si="210"/>
        <v>#N/A</v>
      </c>
      <c r="Q2702" s="4" t="e">
        <f t="shared" si="211"/>
        <v>#N/A</v>
      </c>
      <c r="R2702" s="4" t="e">
        <f>IF(AND(B2702=1,N2702&gt;'Line Follower'!$C$7,SUM(C2702:K2702)&lt;4),1,0)</f>
        <v>#N/A</v>
      </c>
      <c r="S2702" s="4" t="e">
        <f>IF(AND(L2702=1,N2702&lt;'Line Follower'!$C$6,SUM(C2702:K2702)&lt;4),1,0)</f>
        <v>#N/A</v>
      </c>
      <c r="T2702" s="4" t="e">
        <f t="shared" si="212"/>
        <v>#N/A</v>
      </c>
      <c r="U2702" s="5" t="e">
        <f t="shared" si="213"/>
        <v>#N/A</v>
      </c>
      <c r="V2702" s="23" t="e">
        <f t="shared" si="214"/>
        <v>#N/A</v>
      </c>
    </row>
    <row r="2703" spans="2:22" x14ac:dyDescent="0.25">
      <c r="B2703" s="16">
        <v>0</v>
      </c>
      <c r="C2703" s="7">
        <v>0</v>
      </c>
      <c r="D2703" s="8">
        <v>1</v>
      </c>
      <c r="E2703" s="8">
        <v>1</v>
      </c>
      <c r="F2703" s="8">
        <v>0</v>
      </c>
      <c r="G2703" s="8">
        <v>0</v>
      </c>
      <c r="H2703" s="8">
        <v>0</v>
      </c>
      <c r="I2703" s="8">
        <v>1</v>
      </c>
      <c r="J2703" s="8">
        <v>0</v>
      </c>
      <c r="K2703" s="9">
        <v>1</v>
      </c>
      <c r="L2703" s="10">
        <v>0</v>
      </c>
      <c r="M2703" s="6">
        <v>1</v>
      </c>
      <c r="N2703" s="37" t="e" cm="1">
        <f t="array" ref="N2703">IF(OR(ISNUMBER(FIND(Aux!$D$3:$D$9,_xlfn.TEXTJOIN(,,C2703:K2703)))),NA(),IF(AND(SUM(C2703:F2703,H2703:K2703)=0,G2703=1),0,INT((SUMPRODUCT(C2703:F2703,COLUMN($A$1:$D$1)-1)+SUMPRODUCT(H2703:K2703,COLUMN($E$1:$H$1)-1))*'Line Follower'!$C$3/SUM(C2703:F2703,H2703:K2703)-'Line Follower'!$C$5)))</f>
        <v>#N/A</v>
      </c>
      <c r="O2703" s="22" t="e">
        <v>#N/A</v>
      </c>
      <c r="P2703" s="4" t="e">
        <f t="shared" si="210"/>
        <v>#N/A</v>
      </c>
      <c r="Q2703" s="4" t="e">
        <f t="shared" si="211"/>
        <v>#N/A</v>
      </c>
      <c r="R2703" s="4" t="e">
        <f>IF(AND(B2703=1,N2703&gt;'Line Follower'!$C$7,SUM(C2703:K2703)&lt;4),1,0)</f>
        <v>#N/A</v>
      </c>
      <c r="S2703" s="4" t="e">
        <f>IF(AND(L2703=1,N2703&lt;'Line Follower'!$C$6,SUM(C2703:K2703)&lt;4),1,0)</f>
        <v>#N/A</v>
      </c>
      <c r="T2703" s="4" t="e">
        <f t="shared" si="212"/>
        <v>#N/A</v>
      </c>
      <c r="U2703" s="5" t="e">
        <f t="shared" si="213"/>
        <v>#N/A</v>
      </c>
      <c r="V2703" s="23" t="e">
        <f t="shared" si="214"/>
        <v>#N/A</v>
      </c>
    </row>
    <row r="2704" spans="2:22" x14ac:dyDescent="0.25">
      <c r="B2704" s="16">
        <v>1</v>
      </c>
      <c r="C2704" s="7">
        <v>0</v>
      </c>
      <c r="D2704" s="8">
        <v>1</v>
      </c>
      <c r="E2704" s="8">
        <v>1</v>
      </c>
      <c r="F2704" s="8">
        <v>0</v>
      </c>
      <c r="G2704" s="8">
        <v>0</v>
      </c>
      <c r="H2704" s="8">
        <v>0</v>
      </c>
      <c r="I2704" s="8">
        <v>1</v>
      </c>
      <c r="J2704" s="8">
        <v>0</v>
      </c>
      <c r="K2704" s="9">
        <v>1</v>
      </c>
      <c r="L2704" s="10">
        <v>0</v>
      </c>
      <c r="M2704" s="6">
        <v>1</v>
      </c>
      <c r="N2704" s="37" t="e" cm="1">
        <f t="array" ref="N2704">IF(OR(ISNUMBER(FIND(Aux!$D$3:$D$9,_xlfn.TEXTJOIN(,,C2704:K2704)))),NA(),IF(AND(SUM(C2704:F2704,H2704:K2704)=0,G2704=1),0,INT((SUMPRODUCT(C2704:F2704,COLUMN($A$1:$D$1)-1)+SUMPRODUCT(H2704:K2704,COLUMN($E$1:$H$1)-1))*'Line Follower'!$C$3/SUM(C2704:F2704,H2704:K2704)-'Line Follower'!$C$5)))</f>
        <v>#N/A</v>
      </c>
      <c r="O2704" s="22" t="e">
        <v>#N/A</v>
      </c>
      <c r="P2704" s="4" t="e">
        <f t="shared" si="210"/>
        <v>#N/A</v>
      </c>
      <c r="Q2704" s="4" t="e">
        <f t="shared" si="211"/>
        <v>#N/A</v>
      </c>
      <c r="R2704" s="4" t="e">
        <f>IF(AND(B2704=1,N2704&gt;'Line Follower'!$C$7,SUM(C2704:K2704)&lt;4),1,0)</f>
        <v>#N/A</v>
      </c>
      <c r="S2704" s="4" t="e">
        <f>IF(AND(L2704=1,N2704&lt;'Line Follower'!$C$6,SUM(C2704:K2704)&lt;4),1,0)</f>
        <v>#N/A</v>
      </c>
      <c r="T2704" s="4" t="e">
        <f t="shared" si="212"/>
        <v>#N/A</v>
      </c>
      <c r="U2704" s="5" t="e">
        <f t="shared" si="213"/>
        <v>#N/A</v>
      </c>
      <c r="V2704" s="23" t="e">
        <f t="shared" si="214"/>
        <v>#N/A</v>
      </c>
    </row>
    <row r="2705" spans="2:22" x14ac:dyDescent="0.25">
      <c r="B2705" s="16">
        <v>0</v>
      </c>
      <c r="C2705" s="7">
        <v>1</v>
      </c>
      <c r="D2705" s="8">
        <v>1</v>
      </c>
      <c r="E2705" s="8">
        <v>1</v>
      </c>
      <c r="F2705" s="8">
        <v>0</v>
      </c>
      <c r="G2705" s="8">
        <v>0</v>
      </c>
      <c r="H2705" s="8">
        <v>0</v>
      </c>
      <c r="I2705" s="8">
        <v>1</v>
      </c>
      <c r="J2705" s="8">
        <v>0</v>
      </c>
      <c r="K2705" s="9">
        <v>1</v>
      </c>
      <c r="L2705" s="10">
        <v>0</v>
      </c>
      <c r="M2705" s="6">
        <v>1</v>
      </c>
      <c r="N2705" s="37" t="e" cm="1">
        <f t="array" ref="N2705">IF(OR(ISNUMBER(FIND(Aux!$D$3:$D$9,_xlfn.TEXTJOIN(,,C2705:K2705)))),NA(),IF(AND(SUM(C2705:F2705,H2705:K2705)=0,G2705=1),0,INT((SUMPRODUCT(C2705:F2705,COLUMN($A$1:$D$1)-1)+SUMPRODUCT(H2705:K2705,COLUMN($E$1:$H$1)-1))*'Line Follower'!$C$3/SUM(C2705:F2705,H2705:K2705)-'Line Follower'!$C$5)))</f>
        <v>#N/A</v>
      </c>
      <c r="O2705" s="22" t="e">
        <v>#N/A</v>
      </c>
      <c r="P2705" s="4" t="e">
        <f t="shared" si="210"/>
        <v>#N/A</v>
      </c>
      <c r="Q2705" s="4" t="e">
        <f t="shared" si="211"/>
        <v>#N/A</v>
      </c>
      <c r="R2705" s="4" t="e">
        <f>IF(AND(B2705=1,N2705&gt;'Line Follower'!$C$7,SUM(C2705:K2705)&lt;4),1,0)</f>
        <v>#N/A</v>
      </c>
      <c r="S2705" s="4" t="e">
        <f>IF(AND(L2705=1,N2705&lt;'Line Follower'!$C$6,SUM(C2705:K2705)&lt;4),1,0)</f>
        <v>#N/A</v>
      </c>
      <c r="T2705" s="4" t="e">
        <f t="shared" si="212"/>
        <v>#N/A</v>
      </c>
      <c r="U2705" s="5" t="e">
        <f t="shared" si="213"/>
        <v>#N/A</v>
      </c>
      <c r="V2705" s="23" t="e">
        <f t="shared" si="214"/>
        <v>#N/A</v>
      </c>
    </row>
    <row r="2706" spans="2:22" x14ac:dyDescent="0.25">
      <c r="B2706" s="16">
        <v>1</v>
      </c>
      <c r="C2706" s="7">
        <v>1</v>
      </c>
      <c r="D2706" s="8">
        <v>1</v>
      </c>
      <c r="E2706" s="8">
        <v>1</v>
      </c>
      <c r="F2706" s="8">
        <v>0</v>
      </c>
      <c r="G2706" s="8">
        <v>0</v>
      </c>
      <c r="H2706" s="8">
        <v>0</v>
      </c>
      <c r="I2706" s="8">
        <v>1</v>
      </c>
      <c r="J2706" s="8">
        <v>0</v>
      </c>
      <c r="K2706" s="9">
        <v>1</v>
      </c>
      <c r="L2706" s="10">
        <v>0</v>
      </c>
      <c r="M2706" s="6">
        <v>1</v>
      </c>
      <c r="N2706" s="37" t="e" cm="1">
        <f t="array" ref="N2706">IF(OR(ISNUMBER(FIND(Aux!$D$3:$D$9,_xlfn.TEXTJOIN(,,C2706:K2706)))),NA(),IF(AND(SUM(C2706:F2706,H2706:K2706)=0,G2706=1),0,INT((SUMPRODUCT(C2706:F2706,COLUMN($A$1:$D$1)-1)+SUMPRODUCT(H2706:K2706,COLUMN($E$1:$H$1)-1))*'Line Follower'!$C$3/SUM(C2706:F2706,H2706:K2706)-'Line Follower'!$C$5)))</f>
        <v>#N/A</v>
      </c>
      <c r="O2706" s="22" t="e">
        <v>#N/A</v>
      </c>
      <c r="P2706" s="4" t="e">
        <f t="shared" si="210"/>
        <v>#N/A</v>
      </c>
      <c r="Q2706" s="4" t="e">
        <f t="shared" si="211"/>
        <v>#N/A</v>
      </c>
      <c r="R2706" s="4" t="e">
        <f>IF(AND(B2706=1,N2706&gt;'Line Follower'!$C$7,SUM(C2706:K2706)&lt;4),1,0)</f>
        <v>#N/A</v>
      </c>
      <c r="S2706" s="4" t="e">
        <f>IF(AND(L2706=1,N2706&lt;'Line Follower'!$C$6,SUM(C2706:K2706)&lt;4),1,0)</f>
        <v>#N/A</v>
      </c>
      <c r="T2706" s="4" t="e">
        <f t="shared" si="212"/>
        <v>#N/A</v>
      </c>
      <c r="U2706" s="5" t="e">
        <f t="shared" si="213"/>
        <v>#N/A</v>
      </c>
      <c r="V2706" s="23" t="e">
        <f t="shared" si="214"/>
        <v>#N/A</v>
      </c>
    </row>
    <row r="2707" spans="2:22" x14ac:dyDescent="0.25">
      <c r="B2707" s="16">
        <v>0</v>
      </c>
      <c r="C2707" s="7">
        <v>0</v>
      </c>
      <c r="D2707" s="8">
        <v>0</v>
      </c>
      <c r="E2707" s="8">
        <v>0</v>
      </c>
      <c r="F2707" s="8">
        <v>1</v>
      </c>
      <c r="G2707" s="8">
        <v>0</v>
      </c>
      <c r="H2707" s="8">
        <v>0</v>
      </c>
      <c r="I2707" s="8">
        <v>1</v>
      </c>
      <c r="J2707" s="8">
        <v>0</v>
      </c>
      <c r="K2707" s="9">
        <v>1</v>
      </c>
      <c r="L2707" s="10">
        <v>0</v>
      </c>
      <c r="M2707" s="6">
        <v>1</v>
      </c>
      <c r="N2707" s="37" t="e" cm="1">
        <f t="array" ref="N2707">IF(OR(ISNUMBER(FIND(Aux!$D$3:$D$9,_xlfn.TEXTJOIN(,,C2707:K2707)))),NA(),IF(AND(SUM(C2707:F2707,H2707:K2707)=0,G2707=1),0,INT((SUMPRODUCT(C2707:F2707,COLUMN($A$1:$D$1)-1)+SUMPRODUCT(H2707:K2707,COLUMN($E$1:$H$1)-1))*'Line Follower'!$C$3/SUM(C2707:F2707,H2707:K2707)-'Line Follower'!$C$5)))</f>
        <v>#N/A</v>
      </c>
      <c r="O2707" s="22" t="e">
        <v>#N/A</v>
      </c>
      <c r="P2707" s="4" t="e">
        <f t="shared" si="210"/>
        <v>#N/A</v>
      </c>
      <c r="Q2707" s="4" t="e">
        <f t="shared" si="211"/>
        <v>#N/A</v>
      </c>
      <c r="R2707" s="4" t="e">
        <f>IF(AND(B2707=1,N2707&gt;'Line Follower'!$C$7,SUM(C2707:K2707)&lt;4),1,0)</f>
        <v>#N/A</v>
      </c>
      <c r="S2707" s="4" t="e">
        <f>IF(AND(L2707=1,N2707&lt;'Line Follower'!$C$6,SUM(C2707:K2707)&lt;4),1,0)</f>
        <v>#N/A</v>
      </c>
      <c r="T2707" s="4" t="e">
        <f t="shared" si="212"/>
        <v>#N/A</v>
      </c>
      <c r="U2707" s="5" t="e">
        <f t="shared" si="213"/>
        <v>#N/A</v>
      </c>
      <c r="V2707" s="23" t="e">
        <f t="shared" si="214"/>
        <v>#N/A</v>
      </c>
    </row>
    <row r="2708" spans="2:22" x14ac:dyDescent="0.25">
      <c r="B2708" s="16">
        <v>1</v>
      </c>
      <c r="C2708" s="7">
        <v>0</v>
      </c>
      <c r="D2708" s="8">
        <v>0</v>
      </c>
      <c r="E2708" s="8">
        <v>0</v>
      </c>
      <c r="F2708" s="8">
        <v>1</v>
      </c>
      <c r="G2708" s="8">
        <v>0</v>
      </c>
      <c r="H2708" s="8">
        <v>0</v>
      </c>
      <c r="I2708" s="8">
        <v>1</v>
      </c>
      <c r="J2708" s="8">
        <v>0</v>
      </c>
      <c r="K2708" s="9">
        <v>1</v>
      </c>
      <c r="L2708" s="10">
        <v>0</v>
      </c>
      <c r="M2708" s="6">
        <v>1</v>
      </c>
      <c r="N2708" s="37" t="e" cm="1">
        <f t="array" ref="N2708">IF(OR(ISNUMBER(FIND(Aux!$D$3:$D$9,_xlfn.TEXTJOIN(,,C2708:K2708)))),NA(),IF(AND(SUM(C2708:F2708,H2708:K2708)=0,G2708=1),0,INT((SUMPRODUCT(C2708:F2708,COLUMN($A$1:$D$1)-1)+SUMPRODUCT(H2708:K2708,COLUMN($E$1:$H$1)-1))*'Line Follower'!$C$3/SUM(C2708:F2708,H2708:K2708)-'Line Follower'!$C$5)))</f>
        <v>#N/A</v>
      </c>
      <c r="O2708" s="22" t="e">
        <v>#N/A</v>
      </c>
      <c r="P2708" s="4" t="e">
        <f t="shared" si="210"/>
        <v>#N/A</v>
      </c>
      <c r="Q2708" s="4" t="e">
        <f t="shared" si="211"/>
        <v>#N/A</v>
      </c>
      <c r="R2708" s="4" t="e">
        <f>IF(AND(B2708=1,N2708&gt;'Line Follower'!$C$7,SUM(C2708:K2708)&lt;4),1,0)</f>
        <v>#N/A</v>
      </c>
      <c r="S2708" s="4" t="e">
        <f>IF(AND(L2708=1,N2708&lt;'Line Follower'!$C$6,SUM(C2708:K2708)&lt;4),1,0)</f>
        <v>#N/A</v>
      </c>
      <c r="T2708" s="4" t="e">
        <f t="shared" si="212"/>
        <v>#N/A</v>
      </c>
      <c r="U2708" s="5" t="e">
        <f t="shared" si="213"/>
        <v>#N/A</v>
      </c>
      <c r="V2708" s="23" t="e">
        <f t="shared" si="214"/>
        <v>#N/A</v>
      </c>
    </row>
    <row r="2709" spans="2:22" x14ac:dyDescent="0.25">
      <c r="B2709" s="16">
        <v>0</v>
      </c>
      <c r="C2709" s="7">
        <v>1</v>
      </c>
      <c r="D2709" s="8">
        <v>0</v>
      </c>
      <c r="E2709" s="8">
        <v>0</v>
      </c>
      <c r="F2709" s="8">
        <v>1</v>
      </c>
      <c r="G2709" s="8">
        <v>0</v>
      </c>
      <c r="H2709" s="8">
        <v>0</v>
      </c>
      <c r="I2709" s="8">
        <v>1</v>
      </c>
      <c r="J2709" s="8">
        <v>0</v>
      </c>
      <c r="K2709" s="9">
        <v>1</v>
      </c>
      <c r="L2709" s="10">
        <v>0</v>
      </c>
      <c r="M2709" s="6">
        <v>1</v>
      </c>
      <c r="N2709" s="37" t="e" cm="1">
        <f t="array" ref="N2709">IF(OR(ISNUMBER(FIND(Aux!$D$3:$D$9,_xlfn.TEXTJOIN(,,C2709:K2709)))),NA(),IF(AND(SUM(C2709:F2709,H2709:K2709)=0,G2709=1),0,INT((SUMPRODUCT(C2709:F2709,COLUMN($A$1:$D$1)-1)+SUMPRODUCT(H2709:K2709,COLUMN($E$1:$H$1)-1))*'Line Follower'!$C$3/SUM(C2709:F2709,H2709:K2709)-'Line Follower'!$C$5)))</f>
        <v>#N/A</v>
      </c>
      <c r="O2709" s="22" t="e">
        <v>#N/A</v>
      </c>
      <c r="P2709" s="4" t="e">
        <f t="shared" si="210"/>
        <v>#N/A</v>
      </c>
      <c r="Q2709" s="4" t="e">
        <f t="shared" si="211"/>
        <v>#N/A</v>
      </c>
      <c r="R2709" s="4" t="e">
        <f>IF(AND(B2709=1,N2709&gt;'Line Follower'!$C$7,SUM(C2709:K2709)&lt;4),1,0)</f>
        <v>#N/A</v>
      </c>
      <c r="S2709" s="4" t="e">
        <f>IF(AND(L2709=1,N2709&lt;'Line Follower'!$C$6,SUM(C2709:K2709)&lt;4),1,0)</f>
        <v>#N/A</v>
      </c>
      <c r="T2709" s="4" t="e">
        <f t="shared" si="212"/>
        <v>#N/A</v>
      </c>
      <c r="U2709" s="5" t="e">
        <f t="shared" si="213"/>
        <v>#N/A</v>
      </c>
      <c r="V2709" s="23" t="e">
        <f t="shared" si="214"/>
        <v>#N/A</v>
      </c>
    </row>
    <row r="2710" spans="2:22" x14ac:dyDescent="0.25">
      <c r="B2710" s="16">
        <v>1</v>
      </c>
      <c r="C2710" s="7">
        <v>1</v>
      </c>
      <c r="D2710" s="8">
        <v>0</v>
      </c>
      <c r="E2710" s="8">
        <v>0</v>
      </c>
      <c r="F2710" s="8">
        <v>1</v>
      </c>
      <c r="G2710" s="8">
        <v>0</v>
      </c>
      <c r="H2710" s="8">
        <v>0</v>
      </c>
      <c r="I2710" s="8">
        <v>1</v>
      </c>
      <c r="J2710" s="8">
        <v>0</v>
      </c>
      <c r="K2710" s="9">
        <v>1</v>
      </c>
      <c r="L2710" s="10">
        <v>0</v>
      </c>
      <c r="M2710" s="6">
        <v>1</v>
      </c>
      <c r="N2710" s="37" t="e" cm="1">
        <f t="array" ref="N2710">IF(OR(ISNUMBER(FIND(Aux!$D$3:$D$9,_xlfn.TEXTJOIN(,,C2710:K2710)))),NA(),IF(AND(SUM(C2710:F2710,H2710:K2710)=0,G2710=1),0,INT((SUMPRODUCT(C2710:F2710,COLUMN($A$1:$D$1)-1)+SUMPRODUCT(H2710:K2710,COLUMN($E$1:$H$1)-1))*'Line Follower'!$C$3/SUM(C2710:F2710,H2710:K2710)-'Line Follower'!$C$5)))</f>
        <v>#N/A</v>
      </c>
      <c r="O2710" s="22" t="e">
        <v>#N/A</v>
      </c>
      <c r="P2710" s="4" t="e">
        <f t="shared" si="210"/>
        <v>#N/A</v>
      </c>
      <c r="Q2710" s="4" t="e">
        <f t="shared" si="211"/>
        <v>#N/A</v>
      </c>
      <c r="R2710" s="4" t="e">
        <f>IF(AND(B2710=1,N2710&gt;'Line Follower'!$C$7,SUM(C2710:K2710)&lt;4),1,0)</f>
        <v>#N/A</v>
      </c>
      <c r="S2710" s="4" t="e">
        <f>IF(AND(L2710=1,N2710&lt;'Line Follower'!$C$6,SUM(C2710:K2710)&lt;4),1,0)</f>
        <v>#N/A</v>
      </c>
      <c r="T2710" s="4" t="e">
        <f t="shared" si="212"/>
        <v>#N/A</v>
      </c>
      <c r="U2710" s="5" t="e">
        <f t="shared" si="213"/>
        <v>#N/A</v>
      </c>
      <c r="V2710" s="23" t="e">
        <f t="shared" si="214"/>
        <v>#N/A</v>
      </c>
    </row>
    <row r="2711" spans="2:22" x14ac:dyDescent="0.25">
      <c r="B2711" s="16">
        <v>0</v>
      </c>
      <c r="C2711" s="7">
        <v>0</v>
      </c>
      <c r="D2711" s="8">
        <v>1</v>
      </c>
      <c r="E2711" s="8">
        <v>0</v>
      </c>
      <c r="F2711" s="8">
        <v>1</v>
      </c>
      <c r="G2711" s="8">
        <v>0</v>
      </c>
      <c r="H2711" s="8">
        <v>0</v>
      </c>
      <c r="I2711" s="8">
        <v>1</v>
      </c>
      <c r="J2711" s="8">
        <v>0</v>
      </c>
      <c r="K2711" s="9">
        <v>1</v>
      </c>
      <c r="L2711" s="10">
        <v>0</v>
      </c>
      <c r="M2711" s="6">
        <v>1</v>
      </c>
      <c r="N2711" s="37" t="e" cm="1">
        <f t="array" ref="N2711">IF(OR(ISNUMBER(FIND(Aux!$D$3:$D$9,_xlfn.TEXTJOIN(,,C2711:K2711)))),NA(),IF(AND(SUM(C2711:F2711,H2711:K2711)=0,G2711=1),0,INT((SUMPRODUCT(C2711:F2711,COLUMN($A$1:$D$1)-1)+SUMPRODUCT(H2711:K2711,COLUMN($E$1:$H$1)-1))*'Line Follower'!$C$3/SUM(C2711:F2711,H2711:K2711)-'Line Follower'!$C$5)))</f>
        <v>#N/A</v>
      </c>
      <c r="O2711" s="22" t="e">
        <v>#N/A</v>
      </c>
      <c r="P2711" s="4" t="e">
        <f t="shared" si="210"/>
        <v>#N/A</v>
      </c>
      <c r="Q2711" s="4" t="e">
        <f t="shared" si="211"/>
        <v>#N/A</v>
      </c>
      <c r="R2711" s="4" t="e">
        <f>IF(AND(B2711=1,N2711&gt;'Line Follower'!$C$7,SUM(C2711:K2711)&lt;4),1,0)</f>
        <v>#N/A</v>
      </c>
      <c r="S2711" s="4" t="e">
        <f>IF(AND(L2711=1,N2711&lt;'Line Follower'!$C$6,SUM(C2711:K2711)&lt;4),1,0)</f>
        <v>#N/A</v>
      </c>
      <c r="T2711" s="4" t="e">
        <f t="shared" si="212"/>
        <v>#N/A</v>
      </c>
      <c r="U2711" s="5" t="e">
        <f t="shared" si="213"/>
        <v>#N/A</v>
      </c>
      <c r="V2711" s="23" t="e">
        <f t="shared" si="214"/>
        <v>#N/A</v>
      </c>
    </row>
    <row r="2712" spans="2:22" x14ac:dyDescent="0.25">
      <c r="B2712" s="16">
        <v>1</v>
      </c>
      <c r="C2712" s="7">
        <v>0</v>
      </c>
      <c r="D2712" s="8">
        <v>1</v>
      </c>
      <c r="E2712" s="8">
        <v>0</v>
      </c>
      <c r="F2712" s="8">
        <v>1</v>
      </c>
      <c r="G2712" s="8">
        <v>0</v>
      </c>
      <c r="H2712" s="8">
        <v>0</v>
      </c>
      <c r="I2712" s="8">
        <v>1</v>
      </c>
      <c r="J2712" s="8">
        <v>0</v>
      </c>
      <c r="K2712" s="9">
        <v>1</v>
      </c>
      <c r="L2712" s="10">
        <v>0</v>
      </c>
      <c r="M2712" s="6">
        <v>1</v>
      </c>
      <c r="N2712" s="37" t="e" cm="1">
        <f t="array" ref="N2712">IF(OR(ISNUMBER(FIND(Aux!$D$3:$D$9,_xlfn.TEXTJOIN(,,C2712:K2712)))),NA(),IF(AND(SUM(C2712:F2712,H2712:K2712)=0,G2712=1),0,INT((SUMPRODUCT(C2712:F2712,COLUMN($A$1:$D$1)-1)+SUMPRODUCT(H2712:K2712,COLUMN($E$1:$H$1)-1))*'Line Follower'!$C$3/SUM(C2712:F2712,H2712:K2712)-'Line Follower'!$C$5)))</f>
        <v>#N/A</v>
      </c>
      <c r="O2712" s="22" t="e">
        <v>#N/A</v>
      </c>
      <c r="P2712" s="4" t="e">
        <f t="shared" si="210"/>
        <v>#N/A</v>
      </c>
      <c r="Q2712" s="4" t="e">
        <f t="shared" si="211"/>
        <v>#N/A</v>
      </c>
      <c r="R2712" s="4" t="e">
        <f>IF(AND(B2712=1,N2712&gt;'Line Follower'!$C$7,SUM(C2712:K2712)&lt;4),1,0)</f>
        <v>#N/A</v>
      </c>
      <c r="S2712" s="4" t="e">
        <f>IF(AND(L2712=1,N2712&lt;'Line Follower'!$C$6,SUM(C2712:K2712)&lt;4),1,0)</f>
        <v>#N/A</v>
      </c>
      <c r="T2712" s="4" t="e">
        <f t="shared" si="212"/>
        <v>#N/A</v>
      </c>
      <c r="U2712" s="5" t="e">
        <f t="shared" si="213"/>
        <v>#N/A</v>
      </c>
      <c r="V2712" s="23" t="e">
        <f t="shared" si="214"/>
        <v>#N/A</v>
      </c>
    </row>
    <row r="2713" spans="2:22" x14ac:dyDescent="0.25">
      <c r="B2713" s="16">
        <v>0</v>
      </c>
      <c r="C2713" s="7">
        <v>1</v>
      </c>
      <c r="D2713" s="8">
        <v>1</v>
      </c>
      <c r="E2713" s="8">
        <v>0</v>
      </c>
      <c r="F2713" s="8">
        <v>1</v>
      </c>
      <c r="G2713" s="8">
        <v>0</v>
      </c>
      <c r="H2713" s="8">
        <v>0</v>
      </c>
      <c r="I2713" s="8">
        <v>1</v>
      </c>
      <c r="J2713" s="8">
        <v>0</v>
      </c>
      <c r="K2713" s="9">
        <v>1</v>
      </c>
      <c r="L2713" s="10">
        <v>0</v>
      </c>
      <c r="M2713" s="6">
        <v>1</v>
      </c>
      <c r="N2713" s="37" t="e" cm="1">
        <f t="array" ref="N2713">IF(OR(ISNUMBER(FIND(Aux!$D$3:$D$9,_xlfn.TEXTJOIN(,,C2713:K2713)))),NA(),IF(AND(SUM(C2713:F2713,H2713:K2713)=0,G2713=1),0,INT((SUMPRODUCT(C2713:F2713,COLUMN($A$1:$D$1)-1)+SUMPRODUCT(H2713:K2713,COLUMN($E$1:$H$1)-1))*'Line Follower'!$C$3/SUM(C2713:F2713,H2713:K2713)-'Line Follower'!$C$5)))</f>
        <v>#N/A</v>
      </c>
      <c r="O2713" s="22" t="e">
        <v>#N/A</v>
      </c>
      <c r="P2713" s="4" t="e">
        <f t="shared" si="210"/>
        <v>#N/A</v>
      </c>
      <c r="Q2713" s="4" t="e">
        <f t="shared" si="211"/>
        <v>#N/A</v>
      </c>
      <c r="R2713" s="4" t="e">
        <f>IF(AND(B2713=1,N2713&gt;'Line Follower'!$C$7,SUM(C2713:K2713)&lt;4),1,0)</f>
        <v>#N/A</v>
      </c>
      <c r="S2713" s="4" t="e">
        <f>IF(AND(L2713=1,N2713&lt;'Line Follower'!$C$6,SUM(C2713:K2713)&lt;4),1,0)</f>
        <v>#N/A</v>
      </c>
      <c r="T2713" s="4" t="e">
        <f t="shared" si="212"/>
        <v>#N/A</v>
      </c>
      <c r="U2713" s="5" t="e">
        <f t="shared" si="213"/>
        <v>#N/A</v>
      </c>
      <c r="V2713" s="23" t="e">
        <f t="shared" si="214"/>
        <v>#N/A</v>
      </c>
    </row>
    <row r="2714" spans="2:22" x14ac:dyDescent="0.25">
      <c r="B2714" s="16">
        <v>1</v>
      </c>
      <c r="C2714" s="7">
        <v>1</v>
      </c>
      <c r="D2714" s="8">
        <v>1</v>
      </c>
      <c r="E2714" s="8">
        <v>0</v>
      </c>
      <c r="F2714" s="8">
        <v>1</v>
      </c>
      <c r="G2714" s="8">
        <v>0</v>
      </c>
      <c r="H2714" s="8">
        <v>0</v>
      </c>
      <c r="I2714" s="8">
        <v>1</v>
      </c>
      <c r="J2714" s="8">
        <v>0</v>
      </c>
      <c r="K2714" s="9">
        <v>1</v>
      </c>
      <c r="L2714" s="10">
        <v>0</v>
      </c>
      <c r="M2714" s="6">
        <v>1</v>
      </c>
      <c r="N2714" s="37" t="e" cm="1">
        <f t="array" ref="N2714">IF(OR(ISNUMBER(FIND(Aux!$D$3:$D$9,_xlfn.TEXTJOIN(,,C2714:K2714)))),NA(),IF(AND(SUM(C2714:F2714,H2714:K2714)=0,G2714=1),0,INT((SUMPRODUCT(C2714:F2714,COLUMN($A$1:$D$1)-1)+SUMPRODUCT(H2714:K2714,COLUMN($E$1:$H$1)-1))*'Line Follower'!$C$3/SUM(C2714:F2714,H2714:K2714)-'Line Follower'!$C$5)))</f>
        <v>#N/A</v>
      </c>
      <c r="O2714" s="22" t="e">
        <v>#N/A</v>
      </c>
      <c r="P2714" s="4" t="e">
        <f t="shared" si="210"/>
        <v>#N/A</v>
      </c>
      <c r="Q2714" s="4" t="e">
        <f t="shared" si="211"/>
        <v>#N/A</v>
      </c>
      <c r="R2714" s="4" t="e">
        <f>IF(AND(B2714=1,N2714&gt;'Line Follower'!$C$7,SUM(C2714:K2714)&lt;4),1,0)</f>
        <v>#N/A</v>
      </c>
      <c r="S2714" s="4" t="e">
        <f>IF(AND(L2714=1,N2714&lt;'Line Follower'!$C$6,SUM(C2714:K2714)&lt;4),1,0)</f>
        <v>#N/A</v>
      </c>
      <c r="T2714" s="4" t="e">
        <f t="shared" si="212"/>
        <v>#N/A</v>
      </c>
      <c r="U2714" s="5" t="e">
        <f t="shared" si="213"/>
        <v>#N/A</v>
      </c>
      <c r="V2714" s="23" t="e">
        <f t="shared" si="214"/>
        <v>#N/A</v>
      </c>
    </row>
    <row r="2715" spans="2:22" x14ac:dyDescent="0.25">
      <c r="B2715" s="16">
        <v>0</v>
      </c>
      <c r="C2715" s="7">
        <v>0</v>
      </c>
      <c r="D2715" s="8">
        <v>0</v>
      </c>
      <c r="E2715" s="8">
        <v>1</v>
      </c>
      <c r="F2715" s="8">
        <v>1</v>
      </c>
      <c r="G2715" s="8">
        <v>0</v>
      </c>
      <c r="H2715" s="8">
        <v>0</v>
      </c>
      <c r="I2715" s="8">
        <v>1</v>
      </c>
      <c r="J2715" s="8">
        <v>0</v>
      </c>
      <c r="K2715" s="9">
        <v>1</v>
      </c>
      <c r="L2715" s="10">
        <v>0</v>
      </c>
      <c r="M2715" s="6">
        <v>1</v>
      </c>
      <c r="N2715" s="37" t="e" cm="1">
        <f t="array" ref="N2715">IF(OR(ISNUMBER(FIND(Aux!$D$3:$D$9,_xlfn.TEXTJOIN(,,C2715:K2715)))),NA(),IF(AND(SUM(C2715:F2715,H2715:K2715)=0,G2715=1),0,INT((SUMPRODUCT(C2715:F2715,COLUMN($A$1:$D$1)-1)+SUMPRODUCT(H2715:K2715,COLUMN($E$1:$H$1)-1))*'Line Follower'!$C$3/SUM(C2715:F2715,H2715:K2715)-'Line Follower'!$C$5)))</f>
        <v>#N/A</v>
      </c>
      <c r="O2715" s="22" t="e">
        <v>#N/A</v>
      </c>
      <c r="P2715" s="4" t="e">
        <f t="shared" si="210"/>
        <v>#N/A</v>
      </c>
      <c r="Q2715" s="4" t="e">
        <f t="shared" si="211"/>
        <v>#N/A</v>
      </c>
      <c r="R2715" s="4" t="e">
        <f>IF(AND(B2715=1,N2715&gt;'Line Follower'!$C$7,SUM(C2715:K2715)&lt;4),1,0)</f>
        <v>#N/A</v>
      </c>
      <c r="S2715" s="4" t="e">
        <f>IF(AND(L2715=1,N2715&lt;'Line Follower'!$C$6,SUM(C2715:K2715)&lt;4),1,0)</f>
        <v>#N/A</v>
      </c>
      <c r="T2715" s="4" t="e">
        <f t="shared" si="212"/>
        <v>#N/A</v>
      </c>
      <c r="U2715" s="5" t="e">
        <f t="shared" si="213"/>
        <v>#N/A</v>
      </c>
      <c r="V2715" s="23" t="e">
        <f t="shared" si="214"/>
        <v>#N/A</v>
      </c>
    </row>
    <row r="2716" spans="2:22" x14ac:dyDescent="0.25">
      <c r="B2716" s="16">
        <v>1</v>
      </c>
      <c r="C2716" s="7">
        <v>0</v>
      </c>
      <c r="D2716" s="8">
        <v>0</v>
      </c>
      <c r="E2716" s="8">
        <v>1</v>
      </c>
      <c r="F2716" s="8">
        <v>1</v>
      </c>
      <c r="G2716" s="8">
        <v>0</v>
      </c>
      <c r="H2716" s="8">
        <v>0</v>
      </c>
      <c r="I2716" s="8">
        <v>1</v>
      </c>
      <c r="J2716" s="8">
        <v>0</v>
      </c>
      <c r="K2716" s="9">
        <v>1</v>
      </c>
      <c r="L2716" s="10">
        <v>0</v>
      </c>
      <c r="M2716" s="6">
        <v>1</v>
      </c>
      <c r="N2716" s="37" t="e" cm="1">
        <f t="array" ref="N2716">IF(OR(ISNUMBER(FIND(Aux!$D$3:$D$9,_xlfn.TEXTJOIN(,,C2716:K2716)))),NA(),IF(AND(SUM(C2716:F2716,H2716:K2716)=0,G2716=1),0,INT((SUMPRODUCT(C2716:F2716,COLUMN($A$1:$D$1)-1)+SUMPRODUCT(H2716:K2716,COLUMN($E$1:$H$1)-1))*'Line Follower'!$C$3/SUM(C2716:F2716,H2716:K2716)-'Line Follower'!$C$5)))</f>
        <v>#N/A</v>
      </c>
      <c r="O2716" s="22" t="e">
        <v>#N/A</v>
      </c>
      <c r="P2716" s="4" t="e">
        <f t="shared" si="210"/>
        <v>#N/A</v>
      </c>
      <c r="Q2716" s="4" t="e">
        <f t="shared" si="211"/>
        <v>#N/A</v>
      </c>
      <c r="R2716" s="4" t="e">
        <f>IF(AND(B2716=1,N2716&gt;'Line Follower'!$C$7,SUM(C2716:K2716)&lt;4),1,0)</f>
        <v>#N/A</v>
      </c>
      <c r="S2716" s="4" t="e">
        <f>IF(AND(L2716=1,N2716&lt;'Line Follower'!$C$6,SUM(C2716:K2716)&lt;4),1,0)</f>
        <v>#N/A</v>
      </c>
      <c r="T2716" s="4" t="e">
        <f t="shared" si="212"/>
        <v>#N/A</v>
      </c>
      <c r="U2716" s="5" t="e">
        <f t="shared" si="213"/>
        <v>#N/A</v>
      </c>
      <c r="V2716" s="23" t="e">
        <f t="shared" si="214"/>
        <v>#N/A</v>
      </c>
    </row>
    <row r="2717" spans="2:22" x14ac:dyDescent="0.25">
      <c r="B2717" s="16">
        <v>0</v>
      </c>
      <c r="C2717" s="7">
        <v>1</v>
      </c>
      <c r="D2717" s="8">
        <v>0</v>
      </c>
      <c r="E2717" s="8">
        <v>1</v>
      </c>
      <c r="F2717" s="8">
        <v>1</v>
      </c>
      <c r="G2717" s="8">
        <v>0</v>
      </c>
      <c r="H2717" s="8">
        <v>0</v>
      </c>
      <c r="I2717" s="8">
        <v>1</v>
      </c>
      <c r="J2717" s="8">
        <v>0</v>
      </c>
      <c r="K2717" s="9">
        <v>1</v>
      </c>
      <c r="L2717" s="10">
        <v>0</v>
      </c>
      <c r="M2717" s="6">
        <v>1</v>
      </c>
      <c r="N2717" s="37" t="e" cm="1">
        <f t="array" ref="N2717">IF(OR(ISNUMBER(FIND(Aux!$D$3:$D$9,_xlfn.TEXTJOIN(,,C2717:K2717)))),NA(),IF(AND(SUM(C2717:F2717,H2717:K2717)=0,G2717=1),0,INT((SUMPRODUCT(C2717:F2717,COLUMN($A$1:$D$1)-1)+SUMPRODUCT(H2717:K2717,COLUMN($E$1:$H$1)-1))*'Line Follower'!$C$3/SUM(C2717:F2717,H2717:K2717)-'Line Follower'!$C$5)))</f>
        <v>#N/A</v>
      </c>
      <c r="O2717" s="22" t="e">
        <v>#N/A</v>
      </c>
      <c r="P2717" s="4" t="e">
        <f t="shared" si="210"/>
        <v>#N/A</v>
      </c>
      <c r="Q2717" s="4" t="e">
        <f t="shared" si="211"/>
        <v>#N/A</v>
      </c>
      <c r="R2717" s="4" t="e">
        <f>IF(AND(B2717=1,N2717&gt;'Line Follower'!$C$7,SUM(C2717:K2717)&lt;4),1,0)</f>
        <v>#N/A</v>
      </c>
      <c r="S2717" s="4" t="e">
        <f>IF(AND(L2717=1,N2717&lt;'Line Follower'!$C$6,SUM(C2717:K2717)&lt;4),1,0)</f>
        <v>#N/A</v>
      </c>
      <c r="T2717" s="4" t="e">
        <f t="shared" si="212"/>
        <v>#N/A</v>
      </c>
      <c r="U2717" s="5" t="e">
        <f t="shared" si="213"/>
        <v>#N/A</v>
      </c>
      <c r="V2717" s="23" t="e">
        <f t="shared" si="214"/>
        <v>#N/A</v>
      </c>
    </row>
    <row r="2718" spans="2:22" x14ac:dyDescent="0.25">
      <c r="B2718" s="16">
        <v>1</v>
      </c>
      <c r="C2718" s="7">
        <v>1</v>
      </c>
      <c r="D2718" s="8">
        <v>0</v>
      </c>
      <c r="E2718" s="8">
        <v>1</v>
      </c>
      <c r="F2718" s="8">
        <v>1</v>
      </c>
      <c r="G2718" s="8">
        <v>0</v>
      </c>
      <c r="H2718" s="8">
        <v>0</v>
      </c>
      <c r="I2718" s="8">
        <v>1</v>
      </c>
      <c r="J2718" s="8">
        <v>0</v>
      </c>
      <c r="K2718" s="9">
        <v>1</v>
      </c>
      <c r="L2718" s="10">
        <v>0</v>
      </c>
      <c r="M2718" s="6">
        <v>1</v>
      </c>
      <c r="N2718" s="37" t="e" cm="1">
        <f t="array" ref="N2718">IF(OR(ISNUMBER(FIND(Aux!$D$3:$D$9,_xlfn.TEXTJOIN(,,C2718:K2718)))),NA(),IF(AND(SUM(C2718:F2718,H2718:K2718)=0,G2718=1),0,INT((SUMPRODUCT(C2718:F2718,COLUMN($A$1:$D$1)-1)+SUMPRODUCT(H2718:K2718,COLUMN($E$1:$H$1)-1))*'Line Follower'!$C$3/SUM(C2718:F2718,H2718:K2718)-'Line Follower'!$C$5)))</f>
        <v>#N/A</v>
      </c>
      <c r="O2718" s="22" t="e">
        <v>#N/A</v>
      </c>
      <c r="P2718" s="4" t="e">
        <f t="shared" si="210"/>
        <v>#N/A</v>
      </c>
      <c r="Q2718" s="4" t="e">
        <f t="shared" si="211"/>
        <v>#N/A</v>
      </c>
      <c r="R2718" s="4" t="e">
        <f>IF(AND(B2718=1,N2718&gt;'Line Follower'!$C$7,SUM(C2718:K2718)&lt;4),1,0)</f>
        <v>#N/A</v>
      </c>
      <c r="S2718" s="4" t="e">
        <f>IF(AND(L2718=1,N2718&lt;'Line Follower'!$C$6,SUM(C2718:K2718)&lt;4),1,0)</f>
        <v>#N/A</v>
      </c>
      <c r="T2718" s="4" t="e">
        <f t="shared" si="212"/>
        <v>#N/A</v>
      </c>
      <c r="U2718" s="5" t="e">
        <f t="shared" si="213"/>
        <v>#N/A</v>
      </c>
      <c r="V2718" s="23" t="e">
        <f t="shared" si="214"/>
        <v>#N/A</v>
      </c>
    </row>
    <row r="2719" spans="2:22" x14ac:dyDescent="0.25">
      <c r="B2719" s="16">
        <v>0</v>
      </c>
      <c r="C2719" s="7">
        <v>0</v>
      </c>
      <c r="D2719" s="8">
        <v>1</v>
      </c>
      <c r="E2719" s="8">
        <v>1</v>
      </c>
      <c r="F2719" s="8">
        <v>1</v>
      </c>
      <c r="G2719" s="8">
        <v>0</v>
      </c>
      <c r="H2719" s="8">
        <v>0</v>
      </c>
      <c r="I2719" s="8">
        <v>1</v>
      </c>
      <c r="J2719" s="8">
        <v>0</v>
      </c>
      <c r="K2719" s="9">
        <v>1</v>
      </c>
      <c r="L2719" s="10">
        <v>0</v>
      </c>
      <c r="M2719" s="6">
        <v>1</v>
      </c>
      <c r="N2719" s="37" t="e" cm="1">
        <f t="array" ref="N2719">IF(OR(ISNUMBER(FIND(Aux!$D$3:$D$9,_xlfn.TEXTJOIN(,,C2719:K2719)))),NA(),IF(AND(SUM(C2719:F2719,H2719:K2719)=0,G2719=1),0,INT((SUMPRODUCT(C2719:F2719,COLUMN($A$1:$D$1)-1)+SUMPRODUCT(H2719:K2719,COLUMN($E$1:$H$1)-1))*'Line Follower'!$C$3/SUM(C2719:F2719,H2719:K2719)-'Line Follower'!$C$5)))</f>
        <v>#N/A</v>
      </c>
      <c r="O2719" s="22" t="e">
        <v>#N/A</v>
      </c>
      <c r="P2719" s="4" t="e">
        <f t="shared" si="210"/>
        <v>#N/A</v>
      </c>
      <c r="Q2719" s="4" t="e">
        <f t="shared" si="211"/>
        <v>#N/A</v>
      </c>
      <c r="R2719" s="4" t="e">
        <f>IF(AND(B2719=1,N2719&gt;'Line Follower'!$C$7,SUM(C2719:K2719)&lt;4),1,0)</f>
        <v>#N/A</v>
      </c>
      <c r="S2719" s="4" t="e">
        <f>IF(AND(L2719=1,N2719&lt;'Line Follower'!$C$6,SUM(C2719:K2719)&lt;4),1,0)</f>
        <v>#N/A</v>
      </c>
      <c r="T2719" s="4" t="e">
        <f t="shared" si="212"/>
        <v>#N/A</v>
      </c>
      <c r="U2719" s="5" t="e">
        <f t="shared" si="213"/>
        <v>#N/A</v>
      </c>
      <c r="V2719" s="23" t="e">
        <f t="shared" si="214"/>
        <v>#N/A</v>
      </c>
    </row>
    <row r="2720" spans="2:22" x14ac:dyDescent="0.25">
      <c r="B2720" s="16">
        <v>1</v>
      </c>
      <c r="C2720" s="7">
        <v>0</v>
      </c>
      <c r="D2720" s="8">
        <v>1</v>
      </c>
      <c r="E2720" s="8">
        <v>1</v>
      </c>
      <c r="F2720" s="8">
        <v>1</v>
      </c>
      <c r="G2720" s="8">
        <v>0</v>
      </c>
      <c r="H2720" s="8">
        <v>0</v>
      </c>
      <c r="I2720" s="8">
        <v>1</v>
      </c>
      <c r="J2720" s="8">
        <v>0</v>
      </c>
      <c r="K2720" s="9">
        <v>1</v>
      </c>
      <c r="L2720" s="10">
        <v>0</v>
      </c>
      <c r="M2720" s="6">
        <v>1</v>
      </c>
      <c r="N2720" s="37" t="e" cm="1">
        <f t="array" ref="N2720">IF(OR(ISNUMBER(FIND(Aux!$D$3:$D$9,_xlfn.TEXTJOIN(,,C2720:K2720)))),NA(),IF(AND(SUM(C2720:F2720,H2720:K2720)=0,G2720=1),0,INT((SUMPRODUCT(C2720:F2720,COLUMN($A$1:$D$1)-1)+SUMPRODUCT(H2720:K2720,COLUMN($E$1:$H$1)-1))*'Line Follower'!$C$3/SUM(C2720:F2720,H2720:K2720)-'Line Follower'!$C$5)))</f>
        <v>#N/A</v>
      </c>
      <c r="O2720" s="22" t="e">
        <v>#N/A</v>
      </c>
      <c r="P2720" s="4" t="e">
        <f t="shared" si="210"/>
        <v>#N/A</v>
      </c>
      <c r="Q2720" s="4" t="e">
        <f t="shared" si="211"/>
        <v>#N/A</v>
      </c>
      <c r="R2720" s="4" t="e">
        <f>IF(AND(B2720=1,N2720&gt;'Line Follower'!$C$7,SUM(C2720:K2720)&lt;4),1,0)</f>
        <v>#N/A</v>
      </c>
      <c r="S2720" s="4" t="e">
        <f>IF(AND(L2720=1,N2720&lt;'Line Follower'!$C$6,SUM(C2720:K2720)&lt;4),1,0)</f>
        <v>#N/A</v>
      </c>
      <c r="T2720" s="4" t="e">
        <f t="shared" si="212"/>
        <v>#N/A</v>
      </c>
      <c r="U2720" s="5" t="e">
        <f t="shared" si="213"/>
        <v>#N/A</v>
      </c>
      <c r="V2720" s="23" t="e">
        <f t="shared" si="214"/>
        <v>#N/A</v>
      </c>
    </row>
    <row r="2721" spans="2:22" x14ac:dyDescent="0.25">
      <c r="B2721" s="16">
        <v>0</v>
      </c>
      <c r="C2721" s="7">
        <v>1</v>
      </c>
      <c r="D2721" s="8">
        <v>1</v>
      </c>
      <c r="E2721" s="8">
        <v>1</v>
      </c>
      <c r="F2721" s="8">
        <v>1</v>
      </c>
      <c r="G2721" s="8">
        <v>0</v>
      </c>
      <c r="H2721" s="8">
        <v>0</v>
      </c>
      <c r="I2721" s="8">
        <v>1</v>
      </c>
      <c r="J2721" s="8">
        <v>0</v>
      </c>
      <c r="K2721" s="9">
        <v>1</v>
      </c>
      <c r="L2721" s="10">
        <v>0</v>
      </c>
      <c r="M2721" s="6">
        <v>1</v>
      </c>
      <c r="N2721" s="37" t="e" cm="1">
        <f t="array" ref="N2721">IF(OR(ISNUMBER(FIND(Aux!$D$3:$D$9,_xlfn.TEXTJOIN(,,C2721:K2721)))),NA(),IF(AND(SUM(C2721:F2721,H2721:K2721)=0,G2721=1),0,INT((SUMPRODUCT(C2721:F2721,COLUMN($A$1:$D$1)-1)+SUMPRODUCT(H2721:K2721,COLUMN($E$1:$H$1)-1))*'Line Follower'!$C$3/SUM(C2721:F2721,H2721:K2721)-'Line Follower'!$C$5)))</f>
        <v>#N/A</v>
      </c>
      <c r="O2721" s="22" t="e">
        <v>#N/A</v>
      </c>
      <c r="P2721" s="4" t="e">
        <f t="shared" si="210"/>
        <v>#N/A</v>
      </c>
      <c r="Q2721" s="4" t="e">
        <f t="shared" si="211"/>
        <v>#N/A</v>
      </c>
      <c r="R2721" s="4" t="e">
        <f>IF(AND(B2721=1,N2721&gt;'Line Follower'!$C$7,SUM(C2721:K2721)&lt;4),1,0)</f>
        <v>#N/A</v>
      </c>
      <c r="S2721" s="4" t="e">
        <f>IF(AND(L2721=1,N2721&lt;'Line Follower'!$C$6,SUM(C2721:K2721)&lt;4),1,0)</f>
        <v>#N/A</v>
      </c>
      <c r="T2721" s="4" t="e">
        <f t="shared" si="212"/>
        <v>#N/A</v>
      </c>
      <c r="U2721" s="5" t="e">
        <f t="shared" si="213"/>
        <v>#N/A</v>
      </c>
      <c r="V2721" s="23" t="e">
        <f t="shared" si="214"/>
        <v>#N/A</v>
      </c>
    </row>
    <row r="2722" spans="2:22" x14ac:dyDescent="0.25">
      <c r="B2722" s="16">
        <v>1</v>
      </c>
      <c r="C2722" s="7">
        <v>1</v>
      </c>
      <c r="D2722" s="8">
        <v>1</v>
      </c>
      <c r="E2722" s="8">
        <v>1</v>
      </c>
      <c r="F2722" s="8">
        <v>1</v>
      </c>
      <c r="G2722" s="8">
        <v>0</v>
      </c>
      <c r="H2722" s="8">
        <v>0</v>
      </c>
      <c r="I2722" s="8">
        <v>1</v>
      </c>
      <c r="J2722" s="8">
        <v>0</v>
      </c>
      <c r="K2722" s="9">
        <v>1</v>
      </c>
      <c r="L2722" s="10">
        <v>0</v>
      </c>
      <c r="M2722" s="6">
        <v>1</v>
      </c>
      <c r="N2722" s="37" t="e" cm="1">
        <f t="array" ref="N2722">IF(OR(ISNUMBER(FIND(Aux!$D$3:$D$9,_xlfn.TEXTJOIN(,,C2722:K2722)))),NA(),IF(AND(SUM(C2722:F2722,H2722:K2722)=0,G2722=1),0,INT((SUMPRODUCT(C2722:F2722,COLUMN($A$1:$D$1)-1)+SUMPRODUCT(H2722:K2722,COLUMN($E$1:$H$1)-1))*'Line Follower'!$C$3/SUM(C2722:F2722,H2722:K2722)-'Line Follower'!$C$5)))</f>
        <v>#N/A</v>
      </c>
      <c r="O2722" s="22" t="e">
        <v>#N/A</v>
      </c>
      <c r="P2722" s="4" t="e">
        <f t="shared" si="210"/>
        <v>#N/A</v>
      </c>
      <c r="Q2722" s="4" t="e">
        <f t="shared" si="211"/>
        <v>#N/A</v>
      </c>
      <c r="R2722" s="4" t="e">
        <f>IF(AND(B2722=1,N2722&gt;'Line Follower'!$C$7,SUM(C2722:K2722)&lt;4),1,0)</f>
        <v>#N/A</v>
      </c>
      <c r="S2722" s="4" t="e">
        <f>IF(AND(L2722=1,N2722&lt;'Line Follower'!$C$6,SUM(C2722:K2722)&lt;4),1,0)</f>
        <v>#N/A</v>
      </c>
      <c r="T2722" s="4" t="e">
        <f t="shared" si="212"/>
        <v>#N/A</v>
      </c>
      <c r="U2722" s="5" t="e">
        <f t="shared" si="213"/>
        <v>#N/A</v>
      </c>
      <c r="V2722" s="23" t="e">
        <f t="shared" si="214"/>
        <v>#N/A</v>
      </c>
    </row>
    <row r="2723" spans="2:22" x14ac:dyDescent="0.25">
      <c r="B2723" s="16">
        <v>0</v>
      </c>
      <c r="C2723" s="7">
        <v>0</v>
      </c>
      <c r="D2723" s="8">
        <v>0</v>
      </c>
      <c r="E2723" s="8">
        <v>0</v>
      </c>
      <c r="F2723" s="8">
        <v>0</v>
      </c>
      <c r="G2723" s="8">
        <v>1</v>
      </c>
      <c r="H2723" s="8">
        <v>0</v>
      </c>
      <c r="I2723" s="8">
        <v>1</v>
      </c>
      <c r="J2723" s="8">
        <v>0</v>
      </c>
      <c r="K2723" s="9">
        <v>1</v>
      </c>
      <c r="L2723" s="10">
        <v>0</v>
      </c>
      <c r="M2723" s="6">
        <v>1</v>
      </c>
      <c r="N2723" s="37" t="e" cm="1">
        <f t="array" ref="N2723">IF(OR(ISNUMBER(FIND(Aux!$D$3:$D$9,_xlfn.TEXTJOIN(,,C2723:K2723)))),NA(),IF(AND(SUM(C2723:F2723,H2723:K2723)=0,G2723=1),0,INT((SUMPRODUCT(C2723:F2723,COLUMN($A$1:$D$1)-1)+SUMPRODUCT(H2723:K2723,COLUMN($E$1:$H$1)-1))*'Line Follower'!$C$3/SUM(C2723:F2723,H2723:K2723)-'Line Follower'!$C$5)))</f>
        <v>#N/A</v>
      </c>
      <c r="O2723" s="22" t="e">
        <v>#N/A</v>
      </c>
      <c r="P2723" s="4" t="e">
        <f t="shared" si="210"/>
        <v>#N/A</v>
      </c>
      <c r="Q2723" s="4" t="e">
        <f t="shared" si="211"/>
        <v>#N/A</v>
      </c>
      <c r="R2723" s="4" t="e">
        <f>IF(AND(B2723=1,N2723&gt;'Line Follower'!$C$7,SUM(C2723:K2723)&lt;4),1,0)</f>
        <v>#N/A</v>
      </c>
      <c r="S2723" s="4" t="e">
        <f>IF(AND(L2723=1,N2723&lt;'Line Follower'!$C$6,SUM(C2723:K2723)&lt;4),1,0)</f>
        <v>#N/A</v>
      </c>
      <c r="T2723" s="4" t="e">
        <f t="shared" si="212"/>
        <v>#N/A</v>
      </c>
      <c r="U2723" s="5" t="e">
        <f t="shared" si="213"/>
        <v>#N/A</v>
      </c>
      <c r="V2723" s="23" t="e">
        <f t="shared" si="214"/>
        <v>#N/A</v>
      </c>
    </row>
    <row r="2724" spans="2:22" x14ac:dyDescent="0.25">
      <c r="B2724" s="16">
        <v>1</v>
      </c>
      <c r="C2724" s="7">
        <v>0</v>
      </c>
      <c r="D2724" s="8">
        <v>0</v>
      </c>
      <c r="E2724" s="8">
        <v>0</v>
      </c>
      <c r="F2724" s="8">
        <v>0</v>
      </c>
      <c r="G2724" s="8">
        <v>1</v>
      </c>
      <c r="H2724" s="8">
        <v>0</v>
      </c>
      <c r="I2724" s="8">
        <v>1</v>
      </c>
      <c r="J2724" s="8">
        <v>0</v>
      </c>
      <c r="K2724" s="9">
        <v>1</v>
      </c>
      <c r="L2724" s="10">
        <v>0</v>
      </c>
      <c r="M2724" s="6">
        <v>1</v>
      </c>
      <c r="N2724" s="37" t="e" cm="1">
        <f t="array" ref="N2724">IF(OR(ISNUMBER(FIND(Aux!$D$3:$D$9,_xlfn.TEXTJOIN(,,C2724:K2724)))),NA(),IF(AND(SUM(C2724:F2724,H2724:K2724)=0,G2724=1),0,INT((SUMPRODUCT(C2724:F2724,COLUMN($A$1:$D$1)-1)+SUMPRODUCT(H2724:K2724,COLUMN($E$1:$H$1)-1))*'Line Follower'!$C$3/SUM(C2724:F2724,H2724:K2724)-'Line Follower'!$C$5)))</f>
        <v>#N/A</v>
      </c>
      <c r="O2724" s="22" t="e">
        <v>#N/A</v>
      </c>
      <c r="P2724" s="4" t="e">
        <f t="shared" si="210"/>
        <v>#N/A</v>
      </c>
      <c r="Q2724" s="4" t="e">
        <f t="shared" si="211"/>
        <v>#N/A</v>
      </c>
      <c r="R2724" s="4" t="e">
        <f>IF(AND(B2724=1,N2724&gt;'Line Follower'!$C$7,SUM(C2724:K2724)&lt;4),1,0)</f>
        <v>#N/A</v>
      </c>
      <c r="S2724" s="4" t="e">
        <f>IF(AND(L2724=1,N2724&lt;'Line Follower'!$C$6,SUM(C2724:K2724)&lt;4),1,0)</f>
        <v>#N/A</v>
      </c>
      <c r="T2724" s="4" t="e">
        <f t="shared" si="212"/>
        <v>#N/A</v>
      </c>
      <c r="U2724" s="5" t="e">
        <f t="shared" si="213"/>
        <v>#N/A</v>
      </c>
      <c r="V2724" s="23" t="e">
        <f t="shared" si="214"/>
        <v>#N/A</v>
      </c>
    </row>
    <row r="2725" spans="2:22" x14ac:dyDescent="0.25">
      <c r="B2725" s="16">
        <v>0</v>
      </c>
      <c r="C2725" s="7">
        <v>1</v>
      </c>
      <c r="D2725" s="8">
        <v>0</v>
      </c>
      <c r="E2725" s="8">
        <v>0</v>
      </c>
      <c r="F2725" s="8">
        <v>0</v>
      </c>
      <c r="G2725" s="8">
        <v>1</v>
      </c>
      <c r="H2725" s="8">
        <v>0</v>
      </c>
      <c r="I2725" s="8">
        <v>1</v>
      </c>
      <c r="J2725" s="8">
        <v>0</v>
      </c>
      <c r="K2725" s="9">
        <v>1</v>
      </c>
      <c r="L2725" s="10">
        <v>0</v>
      </c>
      <c r="M2725" s="6">
        <v>1</v>
      </c>
      <c r="N2725" s="37" t="e" cm="1">
        <f t="array" ref="N2725">IF(OR(ISNUMBER(FIND(Aux!$D$3:$D$9,_xlfn.TEXTJOIN(,,C2725:K2725)))),NA(),IF(AND(SUM(C2725:F2725,H2725:K2725)=0,G2725=1),0,INT((SUMPRODUCT(C2725:F2725,COLUMN($A$1:$D$1)-1)+SUMPRODUCT(H2725:K2725,COLUMN($E$1:$H$1)-1))*'Line Follower'!$C$3/SUM(C2725:F2725,H2725:K2725)-'Line Follower'!$C$5)))</f>
        <v>#N/A</v>
      </c>
      <c r="O2725" s="22" t="e">
        <v>#N/A</v>
      </c>
      <c r="P2725" s="4" t="e">
        <f t="shared" si="210"/>
        <v>#N/A</v>
      </c>
      <c r="Q2725" s="4" t="e">
        <f t="shared" si="211"/>
        <v>#N/A</v>
      </c>
      <c r="R2725" s="4" t="e">
        <f>IF(AND(B2725=1,N2725&gt;'Line Follower'!$C$7,SUM(C2725:K2725)&lt;4),1,0)</f>
        <v>#N/A</v>
      </c>
      <c r="S2725" s="4" t="e">
        <f>IF(AND(L2725=1,N2725&lt;'Line Follower'!$C$6,SUM(C2725:K2725)&lt;4),1,0)</f>
        <v>#N/A</v>
      </c>
      <c r="T2725" s="4" t="e">
        <f t="shared" si="212"/>
        <v>#N/A</v>
      </c>
      <c r="U2725" s="5" t="e">
        <f t="shared" si="213"/>
        <v>#N/A</v>
      </c>
      <c r="V2725" s="23" t="e">
        <f t="shared" si="214"/>
        <v>#N/A</v>
      </c>
    </row>
    <row r="2726" spans="2:22" x14ac:dyDescent="0.25">
      <c r="B2726" s="16">
        <v>1</v>
      </c>
      <c r="C2726" s="7">
        <v>1</v>
      </c>
      <c r="D2726" s="8">
        <v>0</v>
      </c>
      <c r="E2726" s="8">
        <v>0</v>
      </c>
      <c r="F2726" s="8">
        <v>0</v>
      </c>
      <c r="G2726" s="8">
        <v>1</v>
      </c>
      <c r="H2726" s="8">
        <v>0</v>
      </c>
      <c r="I2726" s="8">
        <v>1</v>
      </c>
      <c r="J2726" s="8">
        <v>0</v>
      </c>
      <c r="K2726" s="9">
        <v>1</v>
      </c>
      <c r="L2726" s="10">
        <v>0</v>
      </c>
      <c r="M2726" s="6">
        <v>1</v>
      </c>
      <c r="N2726" s="37" t="e" cm="1">
        <f t="array" ref="N2726">IF(OR(ISNUMBER(FIND(Aux!$D$3:$D$9,_xlfn.TEXTJOIN(,,C2726:K2726)))),NA(),IF(AND(SUM(C2726:F2726,H2726:K2726)=0,G2726=1),0,INT((SUMPRODUCT(C2726:F2726,COLUMN($A$1:$D$1)-1)+SUMPRODUCT(H2726:K2726,COLUMN($E$1:$H$1)-1))*'Line Follower'!$C$3/SUM(C2726:F2726,H2726:K2726)-'Line Follower'!$C$5)))</f>
        <v>#N/A</v>
      </c>
      <c r="O2726" s="22" t="e">
        <v>#N/A</v>
      </c>
      <c r="P2726" s="4" t="e">
        <f t="shared" si="210"/>
        <v>#N/A</v>
      </c>
      <c r="Q2726" s="4" t="e">
        <f t="shared" si="211"/>
        <v>#N/A</v>
      </c>
      <c r="R2726" s="4" t="e">
        <f>IF(AND(B2726=1,N2726&gt;'Line Follower'!$C$7,SUM(C2726:K2726)&lt;4),1,0)</f>
        <v>#N/A</v>
      </c>
      <c r="S2726" s="4" t="e">
        <f>IF(AND(L2726=1,N2726&lt;'Line Follower'!$C$6,SUM(C2726:K2726)&lt;4),1,0)</f>
        <v>#N/A</v>
      </c>
      <c r="T2726" s="4" t="e">
        <f t="shared" si="212"/>
        <v>#N/A</v>
      </c>
      <c r="U2726" s="5" t="e">
        <f t="shared" si="213"/>
        <v>#N/A</v>
      </c>
      <c r="V2726" s="23" t="e">
        <f t="shared" si="214"/>
        <v>#N/A</v>
      </c>
    </row>
    <row r="2727" spans="2:22" x14ac:dyDescent="0.25">
      <c r="B2727" s="16">
        <v>0</v>
      </c>
      <c r="C2727" s="7">
        <v>0</v>
      </c>
      <c r="D2727" s="8">
        <v>1</v>
      </c>
      <c r="E2727" s="8">
        <v>0</v>
      </c>
      <c r="F2727" s="8">
        <v>0</v>
      </c>
      <c r="G2727" s="8">
        <v>1</v>
      </c>
      <c r="H2727" s="8">
        <v>0</v>
      </c>
      <c r="I2727" s="8">
        <v>1</v>
      </c>
      <c r="J2727" s="8">
        <v>0</v>
      </c>
      <c r="K2727" s="9">
        <v>1</v>
      </c>
      <c r="L2727" s="10">
        <v>0</v>
      </c>
      <c r="M2727" s="6">
        <v>1</v>
      </c>
      <c r="N2727" s="37" t="e" cm="1">
        <f t="array" ref="N2727">IF(OR(ISNUMBER(FIND(Aux!$D$3:$D$9,_xlfn.TEXTJOIN(,,C2727:K2727)))),NA(),IF(AND(SUM(C2727:F2727,H2727:K2727)=0,G2727=1),0,INT((SUMPRODUCT(C2727:F2727,COLUMN($A$1:$D$1)-1)+SUMPRODUCT(H2727:K2727,COLUMN($E$1:$H$1)-1))*'Line Follower'!$C$3/SUM(C2727:F2727,H2727:K2727)-'Line Follower'!$C$5)))</f>
        <v>#N/A</v>
      </c>
      <c r="O2727" s="22" t="e">
        <v>#N/A</v>
      </c>
      <c r="P2727" s="4" t="e">
        <f t="shared" si="210"/>
        <v>#N/A</v>
      </c>
      <c r="Q2727" s="4" t="e">
        <f t="shared" si="211"/>
        <v>#N/A</v>
      </c>
      <c r="R2727" s="4" t="e">
        <f>IF(AND(B2727=1,N2727&gt;'Line Follower'!$C$7,SUM(C2727:K2727)&lt;4),1,0)</f>
        <v>#N/A</v>
      </c>
      <c r="S2727" s="4" t="e">
        <f>IF(AND(L2727=1,N2727&lt;'Line Follower'!$C$6,SUM(C2727:K2727)&lt;4),1,0)</f>
        <v>#N/A</v>
      </c>
      <c r="T2727" s="4" t="e">
        <f t="shared" si="212"/>
        <v>#N/A</v>
      </c>
      <c r="U2727" s="5" t="e">
        <f t="shared" si="213"/>
        <v>#N/A</v>
      </c>
      <c r="V2727" s="23" t="e">
        <f t="shared" si="214"/>
        <v>#N/A</v>
      </c>
    </row>
    <row r="2728" spans="2:22" x14ac:dyDescent="0.25">
      <c r="B2728" s="16">
        <v>1</v>
      </c>
      <c r="C2728" s="7">
        <v>0</v>
      </c>
      <c r="D2728" s="8">
        <v>1</v>
      </c>
      <c r="E2728" s="8">
        <v>0</v>
      </c>
      <c r="F2728" s="8">
        <v>0</v>
      </c>
      <c r="G2728" s="8">
        <v>1</v>
      </c>
      <c r="H2728" s="8">
        <v>0</v>
      </c>
      <c r="I2728" s="8">
        <v>1</v>
      </c>
      <c r="J2728" s="8">
        <v>0</v>
      </c>
      <c r="K2728" s="9">
        <v>1</v>
      </c>
      <c r="L2728" s="10">
        <v>0</v>
      </c>
      <c r="M2728" s="6">
        <v>1</v>
      </c>
      <c r="N2728" s="37" t="e" cm="1">
        <f t="array" ref="N2728">IF(OR(ISNUMBER(FIND(Aux!$D$3:$D$9,_xlfn.TEXTJOIN(,,C2728:K2728)))),NA(),IF(AND(SUM(C2728:F2728,H2728:K2728)=0,G2728=1),0,INT((SUMPRODUCT(C2728:F2728,COLUMN($A$1:$D$1)-1)+SUMPRODUCT(H2728:K2728,COLUMN($E$1:$H$1)-1))*'Line Follower'!$C$3/SUM(C2728:F2728,H2728:K2728)-'Line Follower'!$C$5)))</f>
        <v>#N/A</v>
      </c>
      <c r="O2728" s="22" t="e">
        <v>#N/A</v>
      </c>
      <c r="P2728" s="4" t="e">
        <f t="shared" si="210"/>
        <v>#N/A</v>
      </c>
      <c r="Q2728" s="4" t="e">
        <f t="shared" si="211"/>
        <v>#N/A</v>
      </c>
      <c r="R2728" s="4" t="e">
        <f>IF(AND(B2728=1,N2728&gt;'Line Follower'!$C$7,SUM(C2728:K2728)&lt;4),1,0)</f>
        <v>#N/A</v>
      </c>
      <c r="S2728" s="4" t="e">
        <f>IF(AND(L2728=1,N2728&lt;'Line Follower'!$C$6,SUM(C2728:K2728)&lt;4),1,0)</f>
        <v>#N/A</v>
      </c>
      <c r="T2728" s="4" t="e">
        <f t="shared" si="212"/>
        <v>#N/A</v>
      </c>
      <c r="U2728" s="5" t="e">
        <f t="shared" si="213"/>
        <v>#N/A</v>
      </c>
      <c r="V2728" s="23" t="e">
        <f t="shared" si="214"/>
        <v>#N/A</v>
      </c>
    </row>
    <row r="2729" spans="2:22" x14ac:dyDescent="0.25">
      <c r="B2729" s="16">
        <v>0</v>
      </c>
      <c r="C2729" s="7">
        <v>1</v>
      </c>
      <c r="D2729" s="8">
        <v>1</v>
      </c>
      <c r="E2729" s="8">
        <v>0</v>
      </c>
      <c r="F2729" s="8">
        <v>0</v>
      </c>
      <c r="G2729" s="8">
        <v>1</v>
      </c>
      <c r="H2729" s="8">
        <v>0</v>
      </c>
      <c r="I2729" s="8">
        <v>1</v>
      </c>
      <c r="J2729" s="8">
        <v>0</v>
      </c>
      <c r="K2729" s="9">
        <v>1</v>
      </c>
      <c r="L2729" s="10">
        <v>0</v>
      </c>
      <c r="M2729" s="6">
        <v>1</v>
      </c>
      <c r="N2729" s="37" t="e" cm="1">
        <f t="array" ref="N2729">IF(OR(ISNUMBER(FIND(Aux!$D$3:$D$9,_xlfn.TEXTJOIN(,,C2729:K2729)))),NA(),IF(AND(SUM(C2729:F2729,H2729:K2729)=0,G2729=1),0,INT((SUMPRODUCT(C2729:F2729,COLUMN($A$1:$D$1)-1)+SUMPRODUCT(H2729:K2729,COLUMN($E$1:$H$1)-1))*'Line Follower'!$C$3/SUM(C2729:F2729,H2729:K2729)-'Line Follower'!$C$5)))</f>
        <v>#N/A</v>
      </c>
      <c r="O2729" s="22" t="e">
        <v>#N/A</v>
      </c>
      <c r="P2729" s="4" t="e">
        <f t="shared" si="210"/>
        <v>#N/A</v>
      </c>
      <c r="Q2729" s="4" t="e">
        <f t="shared" si="211"/>
        <v>#N/A</v>
      </c>
      <c r="R2729" s="4" t="e">
        <f>IF(AND(B2729=1,N2729&gt;'Line Follower'!$C$7,SUM(C2729:K2729)&lt;4),1,0)</f>
        <v>#N/A</v>
      </c>
      <c r="S2729" s="4" t="e">
        <f>IF(AND(L2729=1,N2729&lt;'Line Follower'!$C$6,SUM(C2729:K2729)&lt;4),1,0)</f>
        <v>#N/A</v>
      </c>
      <c r="T2729" s="4" t="e">
        <f t="shared" si="212"/>
        <v>#N/A</v>
      </c>
      <c r="U2729" s="5" t="e">
        <f t="shared" si="213"/>
        <v>#N/A</v>
      </c>
      <c r="V2729" s="23" t="e">
        <f t="shared" si="214"/>
        <v>#N/A</v>
      </c>
    </row>
    <row r="2730" spans="2:22" x14ac:dyDescent="0.25">
      <c r="B2730" s="16">
        <v>1</v>
      </c>
      <c r="C2730" s="7">
        <v>1</v>
      </c>
      <c r="D2730" s="8">
        <v>1</v>
      </c>
      <c r="E2730" s="8">
        <v>0</v>
      </c>
      <c r="F2730" s="8">
        <v>0</v>
      </c>
      <c r="G2730" s="8">
        <v>1</v>
      </c>
      <c r="H2730" s="8">
        <v>0</v>
      </c>
      <c r="I2730" s="8">
        <v>1</v>
      </c>
      <c r="J2730" s="8">
        <v>0</v>
      </c>
      <c r="K2730" s="9">
        <v>1</v>
      </c>
      <c r="L2730" s="10">
        <v>0</v>
      </c>
      <c r="M2730" s="6">
        <v>1</v>
      </c>
      <c r="N2730" s="37" t="e" cm="1">
        <f t="array" ref="N2730">IF(OR(ISNUMBER(FIND(Aux!$D$3:$D$9,_xlfn.TEXTJOIN(,,C2730:K2730)))),NA(),IF(AND(SUM(C2730:F2730,H2730:K2730)=0,G2730=1),0,INT((SUMPRODUCT(C2730:F2730,COLUMN($A$1:$D$1)-1)+SUMPRODUCT(H2730:K2730,COLUMN($E$1:$H$1)-1))*'Line Follower'!$C$3/SUM(C2730:F2730,H2730:K2730)-'Line Follower'!$C$5)))</f>
        <v>#N/A</v>
      </c>
      <c r="O2730" s="22" t="e">
        <v>#N/A</v>
      </c>
      <c r="P2730" s="4" t="e">
        <f t="shared" si="210"/>
        <v>#N/A</v>
      </c>
      <c r="Q2730" s="4" t="e">
        <f t="shared" si="211"/>
        <v>#N/A</v>
      </c>
      <c r="R2730" s="4" t="e">
        <f>IF(AND(B2730=1,N2730&gt;'Line Follower'!$C$7,SUM(C2730:K2730)&lt;4),1,0)</f>
        <v>#N/A</v>
      </c>
      <c r="S2730" s="4" t="e">
        <f>IF(AND(L2730=1,N2730&lt;'Line Follower'!$C$6,SUM(C2730:K2730)&lt;4),1,0)</f>
        <v>#N/A</v>
      </c>
      <c r="T2730" s="4" t="e">
        <f t="shared" si="212"/>
        <v>#N/A</v>
      </c>
      <c r="U2730" s="5" t="e">
        <f t="shared" si="213"/>
        <v>#N/A</v>
      </c>
      <c r="V2730" s="23" t="e">
        <f t="shared" si="214"/>
        <v>#N/A</v>
      </c>
    </row>
    <row r="2731" spans="2:22" x14ac:dyDescent="0.25">
      <c r="B2731" s="16">
        <v>0</v>
      </c>
      <c r="C2731" s="7">
        <v>0</v>
      </c>
      <c r="D2731" s="8">
        <v>0</v>
      </c>
      <c r="E2731" s="8">
        <v>1</v>
      </c>
      <c r="F2731" s="8">
        <v>0</v>
      </c>
      <c r="G2731" s="8">
        <v>1</v>
      </c>
      <c r="H2731" s="8">
        <v>0</v>
      </c>
      <c r="I2731" s="8">
        <v>1</v>
      </c>
      <c r="J2731" s="8">
        <v>0</v>
      </c>
      <c r="K2731" s="9">
        <v>1</v>
      </c>
      <c r="L2731" s="10">
        <v>0</v>
      </c>
      <c r="M2731" s="6">
        <v>1</v>
      </c>
      <c r="N2731" s="37" t="e" cm="1">
        <f t="array" ref="N2731">IF(OR(ISNUMBER(FIND(Aux!$D$3:$D$9,_xlfn.TEXTJOIN(,,C2731:K2731)))),NA(),IF(AND(SUM(C2731:F2731,H2731:K2731)=0,G2731=1),0,INT((SUMPRODUCT(C2731:F2731,COLUMN($A$1:$D$1)-1)+SUMPRODUCT(H2731:K2731,COLUMN($E$1:$H$1)-1))*'Line Follower'!$C$3/SUM(C2731:F2731,H2731:K2731)-'Line Follower'!$C$5)))</f>
        <v>#N/A</v>
      </c>
      <c r="O2731" s="22" t="e">
        <v>#N/A</v>
      </c>
      <c r="P2731" s="4" t="e">
        <f t="shared" si="210"/>
        <v>#N/A</v>
      </c>
      <c r="Q2731" s="4" t="e">
        <f t="shared" si="211"/>
        <v>#N/A</v>
      </c>
      <c r="R2731" s="4" t="e">
        <f>IF(AND(B2731=1,N2731&gt;'Line Follower'!$C$7,SUM(C2731:K2731)&lt;4),1,0)</f>
        <v>#N/A</v>
      </c>
      <c r="S2731" s="4" t="e">
        <f>IF(AND(L2731=1,N2731&lt;'Line Follower'!$C$6,SUM(C2731:K2731)&lt;4),1,0)</f>
        <v>#N/A</v>
      </c>
      <c r="T2731" s="4" t="e">
        <f t="shared" si="212"/>
        <v>#N/A</v>
      </c>
      <c r="U2731" s="5" t="e">
        <f t="shared" si="213"/>
        <v>#N/A</v>
      </c>
      <c r="V2731" s="23" t="e">
        <f t="shared" si="214"/>
        <v>#N/A</v>
      </c>
    </row>
    <row r="2732" spans="2:22" x14ac:dyDescent="0.25">
      <c r="B2732" s="16">
        <v>1</v>
      </c>
      <c r="C2732" s="7">
        <v>0</v>
      </c>
      <c r="D2732" s="8">
        <v>0</v>
      </c>
      <c r="E2732" s="8">
        <v>1</v>
      </c>
      <c r="F2732" s="8">
        <v>0</v>
      </c>
      <c r="G2732" s="8">
        <v>1</v>
      </c>
      <c r="H2732" s="8">
        <v>0</v>
      </c>
      <c r="I2732" s="8">
        <v>1</v>
      </c>
      <c r="J2732" s="8">
        <v>0</v>
      </c>
      <c r="K2732" s="9">
        <v>1</v>
      </c>
      <c r="L2732" s="10">
        <v>0</v>
      </c>
      <c r="M2732" s="6">
        <v>1</v>
      </c>
      <c r="N2732" s="37" t="e" cm="1">
        <f t="array" ref="N2732">IF(OR(ISNUMBER(FIND(Aux!$D$3:$D$9,_xlfn.TEXTJOIN(,,C2732:K2732)))),NA(),IF(AND(SUM(C2732:F2732,H2732:K2732)=0,G2732=1),0,INT((SUMPRODUCT(C2732:F2732,COLUMN($A$1:$D$1)-1)+SUMPRODUCT(H2732:K2732,COLUMN($E$1:$H$1)-1))*'Line Follower'!$C$3/SUM(C2732:F2732,H2732:K2732)-'Line Follower'!$C$5)))</f>
        <v>#N/A</v>
      </c>
      <c r="O2732" s="22" t="e">
        <v>#N/A</v>
      </c>
      <c r="P2732" s="4" t="e">
        <f t="shared" si="210"/>
        <v>#N/A</v>
      </c>
      <c r="Q2732" s="4" t="e">
        <f t="shared" si="211"/>
        <v>#N/A</v>
      </c>
      <c r="R2732" s="4" t="e">
        <f>IF(AND(B2732=1,N2732&gt;'Line Follower'!$C$7,SUM(C2732:K2732)&lt;4),1,0)</f>
        <v>#N/A</v>
      </c>
      <c r="S2732" s="4" t="e">
        <f>IF(AND(L2732=1,N2732&lt;'Line Follower'!$C$6,SUM(C2732:K2732)&lt;4),1,0)</f>
        <v>#N/A</v>
      </c>
      <c r="T2732" s="4" t="e">
        <f t="shared" si="212"/>
        <v>#N/A</v>
      </c>
      <c r="U2732" s="5" t="e">
        <f t="shared" si="213"/>
        <v>#N/A</v>
      </c>
      <c r="V2732" s="23" t="e">
        <f t="shared" si="214"/>
        <v>#N/A</v>
      </c>
    </row>
    <row r="2733" spans="2:22" x14ac:dyDescent="0.25">
      <c r="B2733" s="16">
        <v>0</v>
      </c>
      <c r="C2733" s="7">
        <v>1</v>
      </c>
      <c r="D2733" s="8">
        <v>0</v>
      </c>
      <c r="E2733" s="8">
        <v>1</v>
      </c>
      <c r="F2733" s="8">
        <v>0</v>
      </c>
      <c r="G2733" s="8">
        <v>1</v>
      </c>
      <c r="H2733" s="8">
        <v>0</v>
      </c>
      <c r="I2733" s="8">
        <v>1</v>
      </c>
      <c r="J2733" s="8">
        <v>0</v>
      </c>
      <c r="K2733" s="9">
        <v>1</v>
      </c>
      <c r="L2733" s="10">
        <v>0</v>
      </c>
      <c r="M2733" s="6">
        <v>1</v>
      </c>
      <c r="N2733" s="37" t="e" cm="1">
        <f t="array" ref="N2733">IF(OR(ISNUMBER(FIND(Aux!$D$3:$D$9,_xlfn.TEXTJOIN(,,C2733:K2733)))),NA(),IF(AND(SUM(C2733:F2733,H2733:K2733)=0,G2733=1),0,INT((SUMPRODUCT(C2733:F2733,COLUMN($A$1:$D$1)-1)+SUMPRODUCT(H2733:K2733,COLUMN($E$1:$H$1)-1))*'Line Follower'!$C$3/SUM(C2733:F2733,H2733:K2733)-'Line Follower'!$C$5)))</f>
        <v>#N/A</v>
      </c>
      <c r="O2733" s="22" t="e">
        <v>#N/A</v>
      </c>
      <c r="P2733" s="4" t="e">
        <f t="shared" si="210"/>
        <v>#N/A</v>
      </c>
      <c r="Q2733" s="4" t="e">
        <f t="shared" si="211"/>
        <v>#N/A</v>
      </c>
      <c r="R2733" s="4" t="e">
        <f>IF(AND(B2733=1,N2733&gt;'Line Follower'!$C$7,SUM(C2733:K2733)&lt;4),1,0)</f>
        <v>#N/A</v>
      </c>
      <c r="S2733" s="4" t="e">
        <f>IF(AND(L2733=1,N2733&lt;'Line Follower'!$C$6,SUM(C2733:K2733)&lt;4),1,0)</f>
        <v>#N/A</v>
      </c>
      <c r="T2733" s="4" t="e">
        <f t="shared" si="212"/>
        <v>#N/A</v>
      </c>
      <c r="U2733" s="5" t="e">
        <f t="shared" si="213"/>
        <v>#N/A</v>
      </c>
      <c r="V2733" s="23" t="e">
        <f t="shared" si="214"/>
        <v>#N/A</v>
      </c>
    </row>
    <row r="2734" spans="2:22" x14ac:dyDescent="0.25">
      <c r="B2734" s="16">
        <v>1</v>
      </c>
      <c r="C2734" s="7">
        <v>1</v>
      </c>
      <c r="D2734" s="8">
        <v>0</v>
      </c>
      <c r="E2734" s="8">
        <v>1</v>
      </c>
      <c r="F2734" s="8">
        <v>0</v>
      </c>
      <c r="G2734" s="8">
        <v>1</v>
      </c>
      <c r="H2734" s="8">
        <v>0</v>
      </c>
      <c r="I2734" s="8">
        <v>1</v>
      </c>
      <c r="J2734" s="8">
        <v>0</v>
      </c>
      <c r="K2734" s="9">
        <v>1</v>
      </c>
      <c r="L2734" s="10">
        <v>0</v>
      </c>
      <c r="M2734" s="6">
        <v>1</v>
      </c>
      <c r="N2734" s="37" t="e" cm="1">
        <f t="array" ref="N2734">IF(OR(ISNUMBER(FIND(Aux!$D$3:$D$9,_xlfn.TEXTJOIN(,,C2734:K2734)))),NA(),IF(AND(SUM(C2734:F2734,H2734:K2734)=0,G2734=1),0,INT((SUMPRODUCT(C2734:F2734,COLUMN($A$1:$D$1)-1)+SUMPRODUCT(H2734:K2734,COLUMN($E$1:$H$1)-1))*'Line Follower'!$C$3/SUM(C2734:F2734,H2734:K2734)-'Line Follower'!$C$5)))</f>
        <v>#N/A</v>
      </c>
      <c r="O2734" s="22" t="e">
        <v>#N/A</v>
      </c>
      <c r="P2734" s="4" t="e">
        <f t="shared" si="210"/>
        <v>#N/A</v>
      </c>
      <c r="Q2734" s="4" t="e">
        <f t="shared" si="211"/>
        <v>#N/A</v>
      </c>
      <c r="R2734" s="4" t="e">
        <f>IF(AND(B2734=1,N2734&gt;'Line Follower'!$C$7,SUM(C2734:K2734)&lt;4),1,0)</f>
        <v>#N/A</v>
      </c>
      <c r="S2734" s="4" t="e">
        <f>IF(AND(L2734=1,N2734&lt;'Line Follower'!$C$6,SUM(C2734:K2734)&lt;4),1,0)</f>
        <v>#N/A</v>
      </c>
      <c r="T2734" s="4" t="e">
        <f t="shared" si="212"/>
        <v>#N/A</v>
      </c>
      <c r="U2734" s="5" t="e">
        <f t="shared" si="213"/>
        <v>#N/A</v>
      </c>
      <c r="V2734" s="23" t="e">
        <f t="shared" si="214"/>
        <v>#N/A</v>
      </c>
    </row>
    <row r="2735" spans="2:22" x14ac:dyDescent="0.25">
      <c r="B2735" s="16">
        <v>0</v>
      </c>
      <c r="C2735" s="7">
        <v>0</v>
      </c>
      <c r="D2735" s="8">
        <v>1</v>
      </c>
      <c r="E2735" s="8">
        <v>1</v>
      </c>
      <c r="F2735" s="8">
        <v>0</v>
      </c>
      <c r="G2735" s="8">
        <v>1</v>
      </c>
      <c r="H2735" s="8">
        <v>0</v>
      </c>
      <c r="I2735" s="8">
        <v>1</v>
      </c>
      <c r="J2735" s="8">
        <v>0</v>
      </c>
      <c r="K2735" s="9">
        <v>1</v>
      </c>
      <c r="L2735" s="10">
        <v>0</v>
      </c>
      <c r="M2735" s="6">
        <v>1</v>
      </c>
      <c r="N2735" s="37" t="e" cm="1">
        <f t="array" ref="N2735">IF(OR(ISNUMBER(FIND(Aux!$D$3:$D$9,_xlfn.TEXTJOIN(,,C2735:K2735)))),NA(),IF(AND(SUM(C2735:F2735,H2735:K2735)=0,G2735=1),0,INT((SUMPRODUCT(C2735:F2735,COLUMN($A$1:$D$1)-1)+SUMPRODUCT(H2735:K2735,COLUMN($E$1:$H$1)-1))*'Line Follower'!$C$3/SUM(C2735:F2735,H2735:K2735)-'Line Follower'!$C$5)))</f>
        <v>#N/A</v>
      </c>
      <c r="O2735" s="22" t="e">
        <v>#N/A</v>
      </c>
      <c r="P2735" s="4" t="e">
        <f t="shared" si="210"/>
        <v>#N/A</v>
      </c>
      <c r="Q2735" s="4" t="e">
        <f t="shared" si="211"/>
        <v>#N/A</v>
      </c>
      <c r="R2735" s="4" t="e">
        <f>IF(AND(B2735=1,N2735&gt;'Line Follower'!$C$7,SUM(C2735:K2735)&lt;4),1,0)</f>
        <v>#N/A</v>
      </c>
      <c r="S2735" s="4" t="e">
        <f>IF(AND(L2735=1,N2735&lt;'Line Follower'!$C$6,SUM(C2735:K2735)&lt;4),1,0)</f>
        <v>#N/A</v>
      </c>
      <c r="T2735" s="4" t="e">
        <f t="shared" si="212"/>
        <v>#N/A</v>
      </c>
      <c r="U2735" s="5" t="e">
        <f t="shared" si="213"/>
        <v>#N/A</v>
      </c>
      <c r="V2735" s="23" t="e">
        <f t="shared" si="214"/>
        <v>#N/A</v>
      </c>
    </row>
    <row r="2736" spans="2:22" x14ac:dyDescent="0.25">
      <c r="B2736" s="16">
        <v>1</v>
      </c>
      <c r="C2736" s="7">
        <v>0</v>
      </c>
      <c r="D2736" s="8">
        <v>1</v>
      </c>
      <c r="E2736" s="8">
        <v>1</v>
      </c>
      <c r="F2736" s="8">
        <v>0</v>
      </c>
      <c r="G2736" s="8">
        <v>1</v>
      </c>
      <c r="H2736" s="8">
        <v>0</v>
      </c>
      <c r="I2736" s="8">
        <v>1</v>
      </c>
      <c r="J2736" s="8">
        <v>0</v>
      </c>
      <c r="K2736" s="9">
        <v>1</v>
      </c>
      <c r="L2736" s="10">
        <v>0</v>
      </c>
      <c r="M2736" s="6">
        <v>1</v>
      </c>
      <c r="N2736" s="37" t="e" cm="1">
        <f t="array" ref="N2736">IF(OR(ISNUMBER(FIND(Aux!$D$3:$D$9,_xlfn.TEXTJOIN(,,C2736:K2736)))),NA(),IF(AND(SUM(C2736:F2736,H2736:K2736)=0,G2736=1),0,INT((SUMPRODUCT(C2736:F2736,COLUMN($A$1:$D$1)-1)+SUMPRODUCT(H2736:K2736,COLUMN($E$1:$H$1)-1))*'Line Follower'!$C$3/SUM(C2736:F2736,H2736:K2736)-'Line Follower'!$C$5)))</f>
        <v>#N/A</v>
      </c>
      <c r="O2736" s="22" t="e">
        <v>#N/A</v>
      </c>
      <c r="P2736" s="4" t="e">
        <f t="shared" si="210"/>
        <v>#N/A</v>
      </c>
      <c r="Q2736" s="4" t="e">
        <f t="shared" si="211"/>
        <v>#N/A</v>
      </c>
      <c r="R2736" s="4" t="e">
        <f>IF(AND(B2736=1,N2736&gt;'Line Follower'!$C$7,SUM(C2736:K2736)&lt;4),1,0)</f>
        <v>#N/A</v>
      </c>
      <c r="S2736" s="4" t="e">
        <f>IF(AND(L2736=1,N2736&lt;'Line Follower'!$C$6,SUM(C2736:K2736)&lt;4),1,0)</f>
        <v>#N/A</v>
      </c>
      <c r="T2736" s="4" t="e">
        <f t="shared" si="212"/>
        <v>#N/A</v>
      </c>
      <c r="U2736" s="5" t="e">
        <f t="shared" si="213"/>
        <v>#N/A</v>
      </c>
      <c r="V2736" s="23" t="e">
        <f t="shared" si="214"/>
        <v>#N/A</v>
      </c>
    </row>
    <row r="2737" spans="2:22" x14ac:dyDescent="0.25">
      <c r="B2737" s="16">
        <v>0</v>
      </c>
      <c r="C2737" s="7">
        <v>1</v>
      </c>
      <c r="D2737" s="8">
        <v>1</v>
      </c>
      <c r="E2737" s="8">
        <v>1</v>
      </c>
      <c r="F2737" s="8">
        <v>0</v>
      </c>
      <c r="G2737" s="8">
        <v>1</v>
      </c>
      <c r="H2737" s="8">
        <v>0</v>
      </c>
      <c r="I2737" s="8">
        <v>1</v>
      </c>
      <c r="J2737" s="8">
        <v>0</v>
      </c>
      <c r="K2737" s="9">
        <v>1</v>
      </c>
      <c r="L2737" s="10">
        <v>0</v>
      </c>
      <c r="M2737" s="6">
        <v>1</v>
      </c>
      <c r="N2737" s="37" t="e" cm="1">
        <f t="array" ref="N2737">IF(OR(ISNUMBER(FIND(Aux!$D$3:$D$9,_xlfn.TEXTJOIN(,,C2737:K2737)))),NA(),IF(AND(SUM(C2737:F2737,H2737:K2737)=0,G2737=1),0,INT((SUMPRODUCT(C2737:F2737,COLUMN($A$1:$D$1)-1)+SUMPRODUCT(H2737:K2737,COLUMN($E$1:$H$1)-1))*'Line Follower'!$C$3/SUM(C2737:F2737,H2737:K2737)-'Line Follower'!$C$5)))</f>
        <v>#N/A</v>
      </c>
      <c r="O2737" s="22" t="e">
        <v>#N/A</v>
      </c>
      <c r="P2737" s="4" t="e">
        <f t="shared" si="210"/>
        <v>#N/A</v>
      </c>
      <c r="Q2737" s="4" t="e">
        <f t="shared" si="211"/>
        <v>#N/A</v>
      </c>
      <c r="R2737" s="4" t="e">
        <f>IF(AND(B2737=1,N2737&gt;'Line Follower'!$C$7,SUM(C2737:K2737)&lt;4),1,0)</f>
        <v>#N/A</v>
      </c>
      <c r="S2737" s="4" t="e">
        <f>IF(AND(L2737=1,N2737&lt;'Line Follower'!$C$6,SUM(C2737:K2737)&lt;4),1,0)</f>
        <v>#N/A</v>
      </c>
      <c r="T2737" s="4" t="e">
        <f t="shared" si="212"/>
        <v>#N/A</v>
      </c>
      <c r="U2737" s="5" t="e">
        <f t="shared" si="213"/>
        <v>#N/A</v>
      </c>
      <c r="V2737" s="23" t="e">
        <f t="shared" si="214"/>
        <v>#N/A</v>
      </c>
    </row>
    <row r="2738" spans="2:22" x14ac:dyDescent="0.25">
      <c r="B2738" s="16">
        <v>1</v>
      </c>
      <c r="C2738" s="7">
        <v>1</v>
      </c>
      <c r="D2738" s="8">
        <v>1</v>
      </c>
      <c r="E2738" s="8">
        <v>1</v>
      </c>
      <c r="F2738" s="8">
        <v>0</v>
      </c>
      <c r="G2738" s="8">
        <v>1</v>
      </c>
      <c r="H2738" s="8">
        <v>0</v>
      </c>
      <c r="I2738" s="8">
        <v>1</v>
      </c>
      <c r="J2738" s="8">
        <v>0</v>
      </c>
      <c r="K2738" s="9">
        <v>1</v>
      </c>
      <c r="L2738" s="10">
        <v>0</v>
      </c>
      <c r="M2738" s="6">
        <v>1</v>
      </c>
      <c r="N2738" s="37" t="e" cm="1">
        <f t="array" ref="N2738">IF(OR(ISNUMBER(FIND(Aux!$D$3:$D$9,_xlfn.TEXTJOIN(,,C2738:K2738)))),NA(),IF(AND(SUM(C2738:F2738,H2738:K2738)=0,G2738=1),0,INT((SUMPRODUCT(C2738:F2738,COLUMN($A$1:$D$1)-1)+SUMPRODUCT(H2738:K2738,COLUMN($E$1:$H$1)-1))*'Line Follower'!$C$3/SUM(C2738:F2738,H2738:K2738)-'Line Follower'!$C$5)))</f>
        <v>#N/A</v>
      </c>
      <c r="O2738" s="22" t="e">
        <v>#N/A</v>
      </c>
      <c r="P2738" s="4" t="e">
        <f t="shared" si="210"/>
        <v>#N/A</v>
      </c>
      <c r="Q2738" s="4" t="e">
        <f t="shared" si="211"/>
        <v>#N/A</v>
      </c>
      <c r="R2738" s="4" t="e">
        <f>IF(AND(B2738=1,N2738&gt;'Line Follower'!$C$7,SUM(C2738:K2738)&lt;4),1,0)</f>
        <v>#N/A</v>
      </c>
      <c r="S2738" s="4" t="e">
        <f>IF(AND(L2738=1,N2738&lt;'Line Follower'!$C$6,SUM(C2738:K2738)&lt;4),1,0)</f>
        <v>#N/A</v>
      </c>
      <c r="T2738" s="4" t="e">
        <f t="shared" si="212"/>
        <v>#N/A</v>
      </c>
      <c r="U2738" s="5" t="e">
        <f t="shared" si="213"/>
        <v>#N/A</v>
      </c>
      <c r="V2738" s="23" t="e">
        <f t="shared" si="214"/>
        <v>#N/A</v>
      </c>
    </row>
    <row r="2739" spans="2:22" x14ac:dyDescent="0.25">
      <c r="B2739" s="16">
        <v>0</v>
      </c>
      <c r="C2739" s="7">
        <v>0</v>
      </c>
      <c r="D2739" s="8">
        <v>0</v>
      </c>
      <c r="E2739" s="8">
        <v>0</v>
      </c>
      <c r="F2739" s="8">
        <v>1</v>
      </c>
      <c r="G2739" s="8">
        <v>1</v>
      </c>
      <c r="H2739" s="8">
        <v>0</v>
      </c>
      <c r="I2739" s="8">
        <v>1</v>
      </c>
      <c r="J2739" s="8">
        <v>0</v>
      </c>
      <c r="K2739" s="9">
        <v>1</v>
      </c>
      <c r="L2739" s="10">
        <v>0</v>
      </c>
      <c r="M2739" s="6">
        <v>1</v>
      </c>
      <c r="N2739" s="37" t="e" cm="1">
        <f t="array" ref="N2739">IF(OR(ISNUMBER(FIND(Aux!$D$3:$D$9,_xlfn.TEXTJOIN(,,C2739:K2739)))),NA(),IF(AND(SUM(C2739:F2739,H2739:K2739)=0,G2739=1),0,INT((SUMPRODUCT(C2739:F2739,COLUMN($A$1:$D$1)-1)+SUMPRODUCT(H2739:K2739,COLUMN($E$1:$H$1)-1))*'Line Follower'!$C$3/SUM(C2739:F2739,H2739:K2739)-'Line Follower'!$C$5)))</f>
        <v>#N/A</v>
      </c>
      <c r="O2739" s="22" t="e">
        <v>#N/A</v>
      </c>
      <c r="P2739" s="4" t="e">
        <f t="shared" si="210"/>
        <v>#N/A</v>
      </c>
      <c r="Q2739" s="4" t="e">
        <f t="shared" si="211"/>
        <v>#N/A</v>
      </c>
      <c r="R2739" s="4" t="e">
        <f>IF(AND(B2739=1,N2739&gt;'Line Follower'!$C$7,SUM(C2739:K2739)&lt;4),1,0)</f>
        <v>#N/A</v>
      </c>
      <c r="S2739" s="4" t="e">
        <f>IF(AND(L2739=1,N2739&lt;'Line Follower'!$C$6,SUM(C2739:K2739)&lt;4),1,0)</f>
        <v>#N/A</v>
      </c>
      <c r="T2739" s="4" t="e">
        <f t="shared" si="212"/>
        <v>#N/A</v>
      </c>
      <c r="U2739" s="5" t="e">
        <f t="shared" si="213"/>
        <v>#N/A</v>
      </c>
      <c r="V2739" s="23" t="e">
        <f t="shared" si="214"/>
        <v>#N/A</v>
      </c>
    </row>
    <row r="2740" spans="2:22" x14ac:dyDescent="0.25">
      <c r="B2740" s="16">
        <v>1</v>
      </c>
      <c r="C2740" s="7">
        <v>0</v>
      </c>
      <c r="D2740" s="8">
        <v>0</v>
      </c>
      <c r="E2740" s="8">
        <v>0</v>
      </c>
      <c r="F2740" s="8">
        <v>1</v>
      </c>
      <c r="G2740" s="8">
        <v>1</v>
      </c>
      <c r="H2740" s="8">
        <v>0</v>
      </c>
      <c r="I2740" s="8">
        <v>1</v>
      </c>
      <c r="J2740" s="8">
        <v>0</v>
      </c>
      <c r="K2740" s="9">
        <v>1</v>
      </c>
      <c r="L2740" s="10">
        <v>0</v>
      </c>
      <c r="M2740" s="6">
        <v>1</v>
      </c>
      <c r="N2740" s="37" t="e" cm="1">
        <f t="array" ref="N2740">IF(OR(ISNUMBER(FIND(Aux!$D$3:$D$9,_xlfn.TEXTJOIN(,,C2740:K2740)))),NA(),IF(AND(SUM(C2740:F2740,H2740:K2740)=0,G2740=1),0,INT((SUMPRODUCT(C2740:F2740,COLUMN($A$1:$D$1)-1)+SUMPRODUCT(H2740:K2740,COLUMN($E$1:$H$1)-1))*'Line Follower'!$C$3/SUM(C2740:F2740,H2740:K2740)-'Line Follower'!$C$5)))</f>
        <v>#N/A</v>
      </c>
      <c r="O2740" s="22" t="e">
        <v>#N/A</v>
      </c>
      <c r="P2740" s="4" t="e">
        <f t="shared" si="210"/>
        <v>#N/A</v>
      </c>
      <c r="Q2740" s="4" t="e">
        <f t="shared" si="211"/>
        <v>#N/A</v>
      </c>
      <c r="R2740" s="4" t="e">
        <f>IF(AND(B2740=1,N2740&gt;'Line Follower'!$C$7,SUM(C2740:K2740)&lt;4),1,0)</f>
        <v>#N/A</v>
      </c>
      <c r="S2740" s="4" t="e">
        <f>IF(AND(L2740=1,N2740&lt;'Line Follower'!$C$6,SUM(C2740:K2740)&lt;4),1,0)</f>
        <v>#N/A</v>
      </c>
      <c r="T2740" s="4" t="e">
        <f t="shared" si="212"/>
        <v>#N/A</v>
      </c>
      <c r="U2740" s="5" t="e">
        <f t="shared" si="213"/>
        <v>#N/A</v>
      </c>
      <c r="V2740" s="23" t="e">
        <f t="shared" si="214"/>
        <v>#N/A</v>
      </c>
    </row>
    <row r="2741" spans="2:22" x14ac:dyDescent="0.25">
      <c r="B2741" s="16">
        <v>0</v>
      </c>
      <c r="C2741" s="7">
        <v>1</v>
      </c>
      <c r="D2741" s="8">
        <v>0</v>
      </c>
      <c r="E2741" s="8">
        <v>0</v>
      </c>
      <c r="F2741" s="8">
        <v>1</v>
      </c>
      <c r="G2741" s="8">
        <v>1</v>
      </c>
      <c r="H2741" s="8">
        <v>0</v>
      </c>
      <c r="I2741" s="8">
        <v>1</v>
      </c>
      <c r="J2741" s="8">
        <v>0</v>
      </c>
      <c r="K2741" s="9">
        <v>1</v>
      </c>
      <c r="L2741" s="10">
        <v>0</v>
      </c>
      <c r="M2741" s="6">
        <v>1</v>
      </c>
      <c r="N2741" s="37" t="e" cm="1">
        <f t="array" ref="N2741">IF(OR(ISNUMBER(FIND(Aux!$D$3:$D$9,_xlfn.TEXTJOIN(,,C2741:K2741)))),NA(),IF(AND(SUM(C2741:F2741,H2741:K2741)=0,G2741=1),0,INT((SUMPRODUCT(C2741:F2741,COLUMN($A$1:$D$1)-1)+SUMPRODUCT(H2741:K2741,COLUMN($E$1:$H$1)-1))*'Line Follower'!$C$3/SUM(C2741:F2741,H2741:K2741)-'Line Follower'!$C$5)))</f>
        <v>#N/A</v>
      </c>
      <c r="O2741" s="22" t="e">
        <v>#N/A</v>
      </c>
      <c r="P2741" s="4" t="e">
        <f t="shared" si="210"/>
        <v>#N/A</v>
      </c>
      <c r="Q2741" s="4" t="e">
        <f t="shared" si="211"/>
        <v>#N/A</v>
      </c>
      <c r="R2741" s="4" t="e">
        <f>IF(AND(B2741=1,N2741&gt;'Line Follower'!$C$7,SUM(C2741:K2741)&lt;4),1,0)</f>
        <v>#N/A</v>
      </c>
      <c r="S2741" s="4" t="e">
        <f>IF(AND(L2741=1,N2741&lt;'Line Follower'!$C$6,SUM(C2741:K2741)&lt;4),1,0)</f>
        <v>#N/A</v>
      </c>
      <c r="T2741" s="4" t="e">
        <f t="shared" si="212"/>
        <v>#N/A</v>
      </c>
      <c r="U2741" s="5" t="e">
        <f t="shared" si="213"/>
        <v>#N/A</v>
      </c>
      <c r="V2741" s="23" t="e">
        <f t="shared" si="214"/>
        <v>#N/A</v>
      </c>
    </row>
    <row r="2742" spans="2:22" x14ac:dyDescent="0.25">
      <c r="B2742" s="16">
        <v>1</v>
      </c>
      <c r="C2742" s="7">
        <v>1</v>
      </c>
      <c r="D2742" s="8">
        <v>0</v>
      </c>
      <c r="E2742" s="8">
        <v>0</v>
      </c>
      <c r="F2742" s="8">
        <v>1</v>
      </c>
      <c r="G2742" s="8">
        <v>1</v>
      </c>
      <c r="H2742" s="8">
        <v>0</v>
      </c>
      <c r="I2742" s="8">
        <v>1</v>
      </c>
      <c r="J2742" s="8">
        <v>0</v>
      </c>
      <c r="K2742" s="9">
        <v>1</v>
      </c>
      <c r="L2742" s="10">
        <v>0</v>
      </c>
      <c r="M2742" s="6">
        <v>1</v>
      </c>
      <c r="N2742" s="37" t="e" cm="1">
        <f t="array" ref="N2742">IF(OR(ISNUMBER(FIND(Aux!$D$3:$D$9,_xlfn.TEXTJOIN(,,C2742:K2742)))),NA(),IF(AND(SUM(C2742:F2742,H2742:K2742)=0,G2742=1),0,INT((SUMPRODUCT(C2742:F2742,COLUMN($A$1:$D$1)-1)+SUMPRODUCT(H2742:K2742,COLUMN($E$1:$H$1)-1))*'Line Follower'!$C$3/SUM(C2742:F2742,H2742:K2742)-'Line Follower'!$C$5)))</f>
        <v>#N/A</v>
      </c>
      <c r="O2742" s="22" t="e">
        <v>#N/A</v>
      </c>
      <c r="P2742" s="4" t="e">
        <f t="shared" si="210"/>
        <v>#N/A</v>
      </c>
      <c r="Q2742" s="4" t="e">
        <f t="shared" si="211"/>
        <v>#N/A</v>
      </c>
      <c r="R2742" s="4" t="e">
        <f>IF(AND(B2742=1,N2742&gt;'Line Follower'!$C$7,SUM(C2742:K2742)&lt;4),1,0)</f>
        <v>#N/A</v>
      </c>
      <c r="S2742" s="4" t="e">
        <f>IF(AND(L2742=1,N2742&lt;'Line Follower'!$C$6,SUM(C2742:K2742)&lt;4),1,0)</f>
        <v>#N/A</v>
      </c>
      <c r="T2742" s="4" t="e">
        <f t="shared" si="212"/>
        <v>#N/A</v>
      </c>
      <c r="U2742" s="5" t="e">
        <f t="shared" si="213"/>
        <v>#N/A</v>
      </c>
      <c r="V2742" s="23" t="e">
        <f t="shared" si="214"/>
        <v>#N/A</v>
      </c>
    </row>
    <row r="2743" spans="2:22" x14ac:dyDescent="0.25">
      <c r="B2743" s="16">
        <v>0</v>
      </c>
      <c r="C2743" s="7">
        <v>0</v>
      </c>
      <c r="D2743" s="8">
        <v>1</v>
      </c>
      <c r="E2743" s="8">
        <v>0</v>
      </c>
      <c r="F2743" s="8">
        <v>1</v>
      </c>
      <c r="G2743" s="8">
        <v>1</v>
      </c>
      <c r="H2743" s="8">
        <v>0</v>
      </c>
      <c r="I2743" s="8">
        <v>1</v>
      </c>
      <c r="J2743" s="8">
        <v>0</v>
      </c>
      <c r="K2743" s="9">
        <v>1</v>
      </c>
      <c r="L2743" s="10">
        <v>0</v>
      </c>
      <c r="M2743" s="6">
        <v>1</v>
      </c>
      <c r="N2743" s="37" t="e" cm="1">
        <f t="array" ref="N2743">IF(OR(ISNUMBER(FIND(Aux!$D$3:$D$9,_xlfn.TEXTJOIN(,,C2743:K2743)))),NA(),IF(AND(SUM(C2743:F2743,H2743:K2743)=0,G2743=1),0,INT((SUMPRODUCT(C2743:F2743,COLUMN($A$1:$D$1)-1)+SUMPRODUCT(H2743:K2743,COLUMN($E$1:$H$1)-1))*'Line Follower'!$C$3/SUM(C2743:F2743,H2743:K2743)-'Line Follower'!$C$5)))</f>
        <v>#N/A</v>
      </c>
      <c r="O2743" s="22" t="e">
        <v>#N/A</v>
      </c>
      <c r="P2743" s="4" t="e">
        <f t="shared" si="210"/>
        <v>#N/A</v>
      </c>
      <c r="Q2743" s="4" t="e">
        <f t="shared" si="211"/>
        <v>#N/A</v>
      </c>
      <c r="R2743" s="4" t="e">
        <f>IF(AND(B2743=1,N2743&gt;'Line Follower'!$C$7,SUM(C2743:K2743)&lt;4),1,0)</f>
        <v>#N/A</v>
      </c>
      <c r="S2743" s="4" t="e">
        <f>IF(AND(L2743=1,N2743&lt;'Line Follower'!$C$6,SUM(C2743:K2743)&lt;4),1,0)</f>
        <v>#N/A</v>
      </c>
      <c r="T2743" s="4" t="e">
        <f t="shared" si="212"/>
        <v>#N/A</v>
      </c>
      <c r="U2743" s="5" t="e">
        <f t="shared" si="213"/>
        <v>#N/A</v>
      </c>
      <c r="V2743" s="23" t="e">
        <f t="shared" si="214"/>
        <v>#N/A</v>
      </c>
    </row>
    <row r="2744" spans="2:22" x14ac:dyDescent="0.25">
      <c r="B2744" s="16">
        <v>1</v>
      </c>
      <c r="C2744" s="7">
        <v>0</v>
      </c>
      <c r="D2744" s="8">
        <v>1</v>
      </c>
      <c r="E2744" s="8">
        <v>0</v>
      </c>
      <c r="F2744" s="8">
        <v>1</v>
      </c>
      <c r="G2744" s="8">
        <v>1</v>
      </c>
      <c r="H2744" s="8">
        <v>0</v>
      </c>
      <c r="I2744" s="8">
        <v>1</v>
      </c>
      <c r="J2744" s="8">
        <v>0</v>
      </c>
      <c r="K2744" s="9">
        <v>1</v>
      </c>
      <c r="L2744" s="10">
        <v>0</v>
      </c>
      <c r="M2744" s="6">
        <v>1</v>
      </c>
      <c r="N2744" s="37" t="e" cm="1">
        <f t="array" ref="N2744">IF(OR(ISNUMBER(FIND(Aux!$D$3:$D$9,_xlfn.TEXTJOIN(,,C2744:K2744)))),NA(),IF(AND(SUM(C2744:F2744,H2744:K2744)=0,G2744=1),0,INT((SUMPRODUCT(C2744:F2744,COLUMN($A$1:$D$1)-1)+SUMPRODUCT(H2744:K2744,COLUMN($E$1:$H$1)-1))*'Line Follower'!$C$3/SUM(C2744:F2744,H2744:K2744)-'Line Follower'!$C$5)))</f>
        <v>#N/A</v>
      </c>
      <c r="O2744" s="22" t="e">
        <v>#N/A</v>
      </c>
      <c r="P2744" s="4" t="e">
        <f t="shared" si="210"/>
        <v>#N/A</v>
      </c>
      <c r="Q2744" s="4" t="e">
        <f t="shared" si="211"/>
        <v>#N/A</v>
      </c>
      <c r="R2744" s="4" t="e">
        <f>IF(AND(B2744=1,N2744&gt;'Line Follower'!$C$7,SUM(C2744:K2744)&lt;4),1,0)</f>
        <v>#N/A</v>
      </c>
      <c r="S2744" s="4" t="e">
        <f>IF(AND(L2744=1,N2744&lt;'Line Follower'!$C$6,SUM(C2744:K2744)&lt;4),1,0)</f>
        <v>#N/A</v>
      </c>
      <c r="T2744" s="4" t="e">
        <f t="shared" si="212"/>
        <v>#N/A</v>
      </c>
      <c r="U2744" s="5" t="e">
        <f t="shared" si="213"/>
        <v>#N/A</v>
      </c>
      <c r="V2744" s="23" t="e">
        <f t="shared" si="214"/>
        <v>#N/A</v>
      </c>
    </row>
    <row r="2745" spans="2:22" x14ac:dyDescent="0.25">
      <c r="B2745" s="16">
        <v>0</v>
      </c>
      <c r="C2745" s="7">
        <v>1</v>
      </c>
      <c r="D2745" s="8">
        <v>1</v>
      </c>
      <c r="E2745" s="8">
        <v>0</v>
      </c>
      <c r="F2745" s="8">
        <v>1</v>
      </c>
      <c r="G2745" s="8">
        <v>1</v>
      </c>
      <c r="H2745" s="8">
        <v>0</v>
      </c>
      <c r="I2745" s="8">
        <v>1</v>
      </c>
      <c r="J2745" s="8">
        <v>0</v>
      </c>
      <c r="K2745" s="9">
        <v>1</v>
      </c>
      <c r="L2745" s="10">
        <v>0</v>
      </c>
      <c r="M2745" s="6">
        <v>1</v>
      </c>
      <c r="N2745" s="37" t="e" cm="1">
        <f t="array" ref="N2745">IF(OR(ISNUMBER(FIND(Aux!$D$3:$D$9,_xlfn.TEXTJOIN(,,C2745:K2745)))),NA(),IF(AND(SUM(C2745:F2745,H2745:K2745)=0,G2745=1),0,INT((SUMPRODUCT(C2745:F2745,COLUMN($A$1:$D$1)-1)+SUMPRODUCT(H2745:K2745,COLUMN($E$1:$H$1)-1))*'Line Follower'!$C$3/SUM(C2745:F2745,H2745:K2745)-'Line Follower'!$C$5)))</f>
        <v>#N/A</v>
      </c>
      <c r="O2745" s="22" t="e">
        <v>#N/A</v>
      </c>
      <c r="P2745" s="4" t="e">
        <f t="shared" si="210"/>
        <v>#N/A</v>
      </c>
      <c r="Q2745" s="4" t="e">
        <f t="shared" si="211"/>
        <v>#N/A</v>
      </c>
      <c r="R2745" s="4" t="e">
        <f>IF(AND(B2745=1,N2745&gt;'Line Follower'!$C$7,SUM(C2745:K2745)&lt;4),1,0)</f>
        <v>#N/A</v>
      </c>
      <c r="S2745" s="4" t="e">
        <f>IF(AND(L2745=1,N2745&lt;'Line Follower'!$C$6,SUM(C2745:K2745)&lt;4),1,0)</f>
        <v>#N/A</v>
      </c>
      <c r="T2745" s="4" t="e">
        <f t="shared" si="212"/>
        <v>#N/A</v>
      </c>
      <c r="U2745" s="5" t="e">
        <f t="shared" si="213"/>
        <v>#N/A</v>
      </c>
      <c r="V2745" s="23" t="e">
        <f t="shared" si="214"/>
        <v>#N/A</v>
      </c>
    </row>
    <row r="2746" spans="2:22" x14ac:dyDescent="0.25">
      <c r="B2746" s="16">
        <v>1</v>
      </c>
      <c r="C2746" s="7">
        <v>1</v>
      </c>
      <c r="D2746" s="8">
        <v>1</v>
      </c>
      <c r="E2746" s="8">
        <v>0</v>
      </c>
      <c r="F2746" s="8">
        <v>1</v>
      </c>
      <c r="G2746" s="8">
        <v>1</v>
      </c>
      <c r="H2746" s="8">
        <v>0</v>
      </c>
      <c r="I2746" s="8">
        <v>1</v>
      </c>
      <c r="J2746" s="8">
        <v>0</v>
      </c>
      <c r="K2746" s="9">
        <v>1</v>
      </c>
      <c r="L2746" s="10">
        <v>0</v>
      </c>
      <c r="M2746" s="6">
        <v>1</v>
      </c>
      <c r="N2746" s="37" t="e" cm="1">
        <f t="array" ref="N2746">IF(OR(ISNUMBER(FIND(Aux!$D$3:$D$9,_xlfn.TEXTJOIN(,,C2746:K2746)))),NA(),IF(AND(SUM(C2746:F2746,H2746:K2746)=0,G2746=1),0,INT((SUMPRODUCT(C2746:F2746,COLUMN($A$1:$D$1)-1)+SUMPRODUCT(H2746:K2746,COLUMN($E$1:$H$1)-1))*'Line Follower'!$C$3/SUM(C2746:F2746,H2746:K2746)-'Line Follower'!$C$5)))</f>
        <v>#N/A</v>
      </c>
      <c r="O2746" s="22" t="e">
        <v>#N/A</v>
      </c>
      <c r="P2746" s="4" t="e">
        <f t="shared" si="210"/>
        <v>#N/A</v>
      </c>
      <c r="Q2746" s="4" t="e">
        <f t="shared" si="211"/>
        <v>#N/A</v>
      </c>
      <c r="R2746" s="4" t="e">
        <f>IF(AND(B2746=1,N2746&gt;'Line Follower'!$C$7,SUM(C2746:K2746)&lt;4),1,0)</f>
        <v>#N/A</v>
      </c>
      <c r="S2746" s="4" t="e">
        <f>IF(AND(L2746=1,N2746&lt;'Line Follower'!$C$6,SUM(C2746:K2746)&lt;4),1,0)</f>
        <v>#N/A</v>
      </c>
      <c r="T2746" s="4" t="e">
        <f t="shared" si="212"/>
        <v>#N/A</v>
      </c>
      <c r="U2746" s="5" t="e">
        <f t="shared" si="213"/>
        <v>#N/A</v>
      </c>
      <c r="V2746" s="23" t="e">
        <f t="shared" si="214"/>
        <v>#N/A</v>
      </c>
    </row>
    <row r="2747" spans="2:22" x14ac:dyDescent="0.25">
      <c r="B2747" s="16">
        <v>0</v>
      </c>
      <c r="C2747" s="7">
        <v>0</v>
      </c>
      <c r="D2747" s="8">
        <v>0</v>
      </c>
      <c r="E2747" s="8">
        <v>1</v>
      </c>
      <c r="F2747" s="8">
        <v>1</v>
      </c>
      <c r="G2747" s="8">
        <v>1</v>
      </c>
      <c r="H2747" s="8">
        <v>0</v>
      </c>
      <c r="I2747" s="8">
        <v>1</v>
      </c>
      <c r="J2747" s="8">
        <v>0</v>
      </c>
      <c r="K2747" s="9">
        <v>1</v>
      </c>
      <c r="L2747" s="10">
        <v>0</v>
      </c>
      <c r="M2747" s="6">
        <v>1</v>
      </c>
      <c r="N2747" s="37" t="e" cm="1">
        <f t="array" ref="N2747">IF(OR(ISNUMBER(FIND(Aux!$D$3:$D$9,_xlfn.TEXTJOIN(,,C2747:K2747)))),NA(),IF(AND(SUM(C2747:F2747,H2747:K2747)=0,G2747=1),0,INT((SUMPRODUCT(C2747:F2747,COLUMN($A$1:$D$1)-1)+SUMPRODUCT(H2747:K2747,COLUMN($E$1:$H$1)-1))*'Line Follower'!$C$3/SUM(C2747:F2747,H2747:K2747)-'Line Follower'!$C$5)))</f>
        <v>#N/A</v>
      </c>
      <c r="O2747" s="22" t="e">
        <v>#N/A</v>
      </c>
      <c r="P2747" s="4" t="e">
        <f t="shared" si="210"/>
        <v>#N/A</v>
      </c>
      <c r="Q2747" s="4" t="e">
        <f t="shared" si="211"/>
        <v>#N/A</v>
      </c>
      <c r="R2747" s="4" t="e">
        <f>IF(AND(B2747=1,N2747&gt;'Line Follower'!$C$7,SUM(C2747:K2747)&lt;4),1,0)</f>
        <v>#N/A</v>
      </c>
      <c r="S2747" s="4" t="e">
        <f>IF(AND(L2747=1,N2747&lt;'Line Follower'!$C$6,SUM(C2747:K2747)&lt;4),1,0)</f>
        <v>#N/A</v>
      </c>
      <c r="T2747" s="4" t="e">
        <f t="shared" si="212"/>
        <v>#N/A</v>
      </c>
      <c r="U2747" s="5" t="e">
        <f t="shared" si="213"/>
        <v>#N/A</v>
      </c>
      <c r="V2747" s="23" t="e">
        <f t="shared" si="214"/>
        <v>#N/A</v>
      </c>
    </row>
    <row r="2748" spans="2:22" x14ac:dyDescent="0.25">
      <c r="B2748" s="16">
        <v>1</v>
      </c>
      <c r="C2748" s="7">
        <v>0</v>
      </c>
      <c r="D2748" s="8">
        <v>0</v>
      </c>
      <c r="E2748" s="8">
        <v>1</v>
      </c>
      <c r="F2748" s="8">
        <v>1</v>
      </c>
      <c r="G2748" s="8">
        <v>1</v>
      </c>
      <c r="H2748" s="8">
        <v>0</v>
      </c>
      <c r="I2748" s="8">
        <v>1</v>
      </c>
      <c r="J2748" s="8">
        <v>0</v>
      </c>
      <c r="K2748" s="9">
        <v>1</v>
      </c>
      <c r="L2748" s="10">
        <v>0</v>
      </c>
      <c r="M2748" s="6">
        <v>1</v>
      </c>
      <c r="N2748" s="37" t="e" cm="1">
        <f t="array" ref="N2748">IF(OR(ISNUMBER(FIND(Aux!$D$3:$D$9,_xlfn.TEXTJOIN(,,C2748:K2748)))),NA(),IF(AND(SUM(C2748:F2748,H2748:K2748)=0,G2748=1),0,INT((SUMPRODUCT(C2748:F2748,COLUMN($A$1:$D$1)-1)+SUMPRODUCT(H2748:K2748,COLUMN($E$1:$H$1)-1))*'Line Follower'!$C$3/SUM(C2748:F2748,H2748:K2748)-'Line Follower'!$C$5)))</f>
        <v>#N/A</v>
      </c>
      <c r="O2748" s="22" t="e">
        <v>#N/A</v>
      </c>
      <c r="P2748" s="4" t="e">
        <f t="shared" si="210"/>
        <v>#N/A</v>
      </c>
      <c r="Q2748" s="4" t="e">
        <f t="shared" si="211"/>
        <v>#N/A</v>
      </c>
      <c r="R2748" s="4" t="e">
        <f>IF(AND(B2748=1,N2748&gt;'Line Follower'!$C$7,SUM(C2748:K2748)&lt;4),1,0)</f>
        <v>#N/A</v>
      </c>
      <c r="S2748" s="4" t="e">
        <f>IF(AND(L2748=1,N2748&lt;'Line Follower'!$C$6,SUM(C2748:K2748)&lt;4),1,0)</f>
        <v>#N/A</v>
      </c>
      <c r="T2748" s="4" t="e">
        <f t="shared" si="212"/>
        <v>#N/A</v>
      </c>
      <c r="U2748" s="5" t="e">
        <f t="shared" si="213"/>
        <v>#N/A</v>
      </c>
      <c r="V2748" s="23" t="e">
        <f t="shared" si="214"/>
        <v>#N/A</v>
      </c>
    </row>
    <row r="2749" spans="2:22" x14ac:dyDescent="0.25">
      <c r="B2749" s="16">
        <v>0</v>
      </c>
      <c r="C2749" s="7">
        <v>1</v>
      </c>
      <c r="D2749" s="8">
        <v>0</v>
      </c>
      <c r="E2749" s="8">
        <v>1</v>
      </c>
      <c r="F2749" s="8">
        <v>1</v>
      </c>
      <c r="G2749" s="8">
        <v>1</v>
      </c>
      <c r="H2749" s="8">
        <v>0</v>
      </c>
      <c r="I2749" s="8">
        <v>1</v>
      </c>
      <c r="J2749" s="8">
        <v>0</v>
      </c>
      <c r="K2749" s="9">
        <v>1</v>
      </c>
      <c r="L2749" s="10">
        <v>0</v>
      </c>
      <c r="M2749" s="6">
        <v>1</v>
      </c>
      <c r="N2749" s="37" t="e" cm="1">
        <f t="array" ref="N2749">IF(OR(ISNUMBER(FIND(Aux!$D$3:$D$9,_xlfn.TEXTJOIN(,,C2749:K2749)))),NA(),IF(AND(SUM(C2749:F2749,H2749:K2749)=0,G2749=1),0,INT((SUMPRODUCT(C2749:F2749,COLUMN($A$1:$D$1)-1)+SUMPRODUCT(H2749:K2749,COLUMN($E$1:$H$1)-1))*'Line Follower'!$C$3/SUM(C2749:F2749,H2749:K2749)-'Line Follower'!$C$5)))</f>
        <v>#N/A</v>
      </c>
      <c r="O2749" s="22" t="e">
        <v>#N/A</v>
      </c>
      <c r="P2749" s="4" t="e">
        <f t="shared" si="210"/>
        <v>#N/A</v>
      </c>
      <c r="Q2749" s="4" t="e">
        <f t="shared" si="211"/>
        <v>#N/A</v>
      </c>
      <c r="R2749" s="4" t="e">
        <f>IF(AND(B2749=1,N2749&gt;'Line Follower'!$C$7,SUM(C2749:K2749)&lt;4),1,0)</f>
        <v>#N/A</v>
      </c>
      <c r="S2749" s="4" t="e">
        <f>IF(AND(L2749=1,N2749&lt;'Line Follower'!$C$6,SUM(C2749:K2749)&lt;4),1,0)</f>
        <v>#N/A</v>
      </c>
      <c r="T2749" s="4" t="e">
        <f t="shared" si="212"/>
        <v>#N/A</v>
      </c>
      <c r="U2749" s="5" t="e">
        <f t="shared" si="213"/>
        <v>#N/A</v>
      </c>
      <c r="V2749" s="23" t="e">
        <f t="shared" si="214"/>
        <v>#N/A</v>
      </c>
    </row>
    <row r="2750" spans="2:22" x14ac:dyDescent="0.25">
      <c r="B2750" s="16">
        <v>1</v>
      </c>
      <c r="C2750" s="7">
        <v>1</v>
      </c>
      <c r="D2750" s="8">
        <v>0</v>
      </c>
      <c r="E2750" s="8">
        <v>1</v>
      </c>
      <c r="F2750" s="8">
        <v>1</v>
      </c>
      <c r="G2750" s="8">
        <v>1</v>
      </c>
      <c r="H2750" s="8">
        <v>0</v>
      </c>
      <c r="I2750" s="8">
        <v>1</v>
      </c>
      <c r="J2750" s="8">
        <v>0</v>
      </c>
      <c r="K2750" s="9">
        <v>1</v>
      </c>
      <c r="L2750" s="10">
        <v>0</v>
      </c>
      <c r="M2750" s="6">
        <v>1</v>
      </c>
      <c r="N2750" s="37" t="e" cm="1">
        <f t="array" ref="N2750">IF(OR(ISNUMBER(FIND(Aux!$D$3:$D$9,_xlfn.TEXTJOIN(,,C2750:K2750)))),NA(),IF(AND(SUM(C2750:F2750,H2750:K2750)=0,G2750=1),0,INT((SUMPRODUCT(C2750:F2750,COLUMN($A$1:$D$1)-1)+SUMPRODUCT(H2750:K2750,COLUMN($E$1:$H$1)-1))*'Line Follower'!$C$3/SUM(C2750:F2750,H2750:K2750)-'Line Follower'!$C$5)))</f>
        <v>#N/A</v>
      </c>
      <c r="O2750" s="22" t="e">
        <v>#N/A</v>
      </c>
      <c r="P2750" s="4" t="e">
        <f t="shared" si="210"/>
        <v>#N/A</v>
      </c>
      <c r="Q2750" s="4" t="e">
        <f t="shared" si="211"/>
        <v>#N/A</v>
      </c>
      <c r="R2750" s="4" t="e">
        <f>IF(AND(B2750=1,N2750&gt;'Line Follower'!$C$7,SUM(C2750:K2750)&lt;4),1,0)</f>
        <v>#N/A</v>
      </c>
      <c r="S2750" s="4" t="e">
        <f>IF(AND(L2750=1,N2750&lt;'Line Follower'!$C$6,SUM(C2750:K2750)&lt;4),1,0)</f>
        <v>#N/A</v>
      </c>
      <c r="T2750" s="4" t="e">
        <f t="shared" si="212"/>
        <v>#N/A</v>
      </c>
      <c r="U2750" s="5" t="e">
        <f t="shared" si="213"/>
        <v>#N/A</v>
      </c>
      <c r="V2750" s="23" t="e">
        <f t="shared" si="214"/>
        <v>#N/A</v>
      </c>
    </row>
    <row r="2751" spans="2:22" x14ac:dyDescent="0.25">
      <c r="B2751" s="16">
        <v>0</v>
      </c>
      <c r="C2751" s="7">
        <v>0</v>
      </c>
      <c r="D2751" s="8">
        <v>1</v>
      </c>
      <c r="E2751" s="8">
        <v>1</v>
      </c>
      <c r="F2751" s="8">
        <v>1</v>
      </c>
      <c r="G2751" s="8">
        <v>1</v>
      </c>
      <c r="H2751" s="8">
        <v>0</v>
      </c>
      <c r="I2751" s="8">
        <v>1</v>
      </c>
      <c r="J2751" s="8">
        <v>0</v>
      </c>
      <c r="K2751" s="9">
        <v>1</v>
      </c>
      <c r="L2751" s="10">
        <v>0</v>
      </c>
      <c r="M2751" s="6">
        <v>1</v>
      </c>
      <c r="N2751" s="37" t="e" cm="1">
        <f t="array" ref="N2751">IF(OR(ISNUMBER(FIND(Aux!$D$3:$D$9,_xlfn.TEXTJOIN(,,C2751:K2751)))),NA(),IF(AND(SUM(C2751:F2751,H2751:K2751)=0,G2751=1),0,INT((SUMPRODUCT(C2751:F2751,COLUMN($A$1:$D$1)-1)+SUMPRODUCT(H2751:K2751,COLUMN($E$1:$H$1)-1))*'Line Follower'!$C$3/SUM(C2751:F2751,H2751:K2751)-'Line Follower'!$C$5)))</f>
        <v>#N/A</v>
      </c>
      <c r="O2751" s="22" t="e">
        <v>#N/A</v>
      </c>
      <c r="P2751" s="4" t="e">
        <f t="shared" si="210"/>
        <v>#N/A</v>
      </c>
      <c r="Q2751" s="4" t="e">
        <f t="shared" si="211"/>
        <v>#N/A</v>
      </c>
      <c r="R2751" s="4" t="e">
        <f>IF(AND(B2751=1,N2751&gt;'Line Follower'!$C$7,SUM(C2751:K2751)&lt;4),1,0)</f>
        <v>#N/A</v>
      </c>
      <c r="S2751" s="4" t="e">
        <f>IF(AND(L2751=1,N2751&lt;'Line Follower'!$C$6,SUM(C2751:K2751)&lt;4),1,0)</f>
        <v>#N/A</v>
      </c>
      <c r="T2751" s="4" t="e">
        <f t="shared" si="212"/>
        <v>#N/A</v>
      </c>
      <c r="U2751" s="5" t="e">
        <f t="shared" si="213"/>
        <v>#N/A</v>
      </c>
      <c r="V2751" s="23" t="e">
        <f t="shared" si="214"/>
        <v>#N/A</v>
      </c>
    </row>
    <row r="2752" spans="2:22" x14ac:dyDescent="0.25">
      <c r="B2752" s="16">
        <v>1</v>
      </c>
      <c r="C2752" s="7">
        <v>0</v>
      </c>
      <c r="D2752" s="8">
        <v>1</v>
      </c>
      <c r="E2752" s="8">
        <v>1</v>
      </c>
      <c r="F2752" s="8">
        <v>1</v>
      </c>
      <c r="G2752" s="8">
        <v>1</v>
      </c>
      <c r="H2752" s="8">
        <v>0</v>
      </c>
      <c r="I2752" s="8">
        <v>1</v>
      </c>
      <c r="J2752" s="8">
        <v>0</v>
      </c>
      <c r="K2752" s="9">
        <v>1</v>
      </c>
      <c r="L2752" s="10">
        <v>0</v>
      </c>
      <c r="M2752" s="6">
        <v>1</v>
      </c>
      <c r="N2752" s="37" t="e" cm="1">
        <f t="array" ref="N2752">IF(OR(ISNUMBER(FIND(Aux!$D$3:$D$9,_xlfn.TEXTJOIN(,,C2752:K2752)))),NA(),IF(AND(SUM(C2752:F2752,H2752:K2752)=0,G2752=1),0,INT((SUMPRODUCT(C2752:F2752,COLUMN($A$1:$D$1)-1)+SUMPRODUCT(H2752:K2752,COLUMN($E$1:$H$1)-1))*'Line Follower'!$C$3/SUM(C2752:F2752,H2752:K2752)-'Line Follower'!$C$5)))</f>
        <v>#N/A</v>
      </c>
      <c r="O2752" s="22" t="e">
        <v>#N/A</v>
      </c>
      <c r="P2752" s="4" t="e">
        <f t="shared" si="210"/>
        <v>#N/A</v>
      </c>
      <c r="Q2752" s="4" t="e">
        <f t="shared" si="211"/>
        <v>#N/A</v>
      </c>
      <c r="R2752" s="4" t="e">
        <f>IF(AND(B2752=1,N2752&gt;'Line Follower'!$C$7,SUM(C2752:K2752)&lt;4),1,0)</f>
        <v>#N/A</v>
      </c>
      <c r="S2752" s="4" t="e">
        <f>IF(AND(L2752=1,N2752&lt;'Line Follower'!$C$6,SUM(C2752:K2752)&lt;4),1,0)</f>
        <v>#N/A</v>
      </c>
      <c r="T2752" s="4" t="e">
        <f t="shared" si="212"/>
        <v>#N/A</v>
      </c>
      <c r="U2752" s="5" t="e">
        <f t="shared" si="213"/>
        <v>#N/A</v>
      </c>
      <c r="V2752" s="23" t="e">
        <f t="shared" si="214"/>
        <v>#N/A</v>
      </c>
    </row>
    <row r="2753" spans="2:22" x14ac:dyDescent="0.25">
      <c r="B2753" s="16">
        <v>0</v>
      </c>
      <c r="C2753" s="7">
        <v>1</v>
      </c>
      <c r="D2753" s="8">
        <v>1</v>
      </c>
      <c r="E2753" s="8">
        <v>1</v>
      </c>
      <c r="F2753" s="8">
        <v>1</v>
      </c>
      <c r="G2753" s="8">
        <v>1</v>
      </c>
      <c r="H2753" s="8">
        <v>0</v>
      </c>
      <c r="I2753" s="8">
        <v>1</v>
      </c>
      <c r="J2753" s="8">
        <v>0</v>
      </c>
      <c r="K2753" s="9">
        <v>1</v>
      </c>
      <c r="L2753" s="10">
        <v>0</v>
      </c>
      <c r="M2753" s="6">
        <v>1</v>
      </c>
      <c r="N2753" s="37" t="e" cm="1">
        <f t="array" ref="N2753">IF(OR(ISNUMBER(FIND(Aux!$D$3:$D$9,_xlfn.TEXTJOIN(,,C2753:K2753)))),NA(),IF(AND(SUM(C2753:F2753,H2753:K2753)=0,G2753=1),0,INT((SUMPRODUCT(C2753:F2753,COLUMN($A$1:$D$1)-1)+SUMPRODUCT(H2753:K2753,COLUMN($E$1:$H$1)-1))*'Line Follower'!$C$3/SUM(C2753:F2753,H2753:K2753)-'Line Follower'!$C$5)))</f>
        <v>#N/A</v>
      </c>
      <c r="O2753" s="22" t="e">
        <v>#N/A</v>
      </c>
      <c r="P2753" s="4" t="e">
        <f t="shared" si="210"/>
        <v>#N/A</v>
      </c>
      <c r="Q2753" s="4" t="e">
        <f t="shared" si="211"/>
        <v>#N/A</v>
      </c>
      <c r="R2753" s="4" t="e">
        <f>IF(AND(B2753=1,N2753&gt;'Line Follower'!$C$7,SUM(C2753:K2753)&lt;4),1,0)</f>
        <v>#N/A</v>
      </c>
      <c r="S2753" s="4" t="e">
        <f>IF(AND(L2753=1,N2753&lt;'Line Follower'!$C$6,SUM(C2753:K2753)&lt;4),1,0)</f>
        <v>#N/A</v>
      </c>
      <c r="T2753" s="4" t="e">
        <f t="shared" si="212"/>
        <v>#N/A</v>
      </c>
      <c r="U2753" s="5" t="e">
        <f t="shared" si="213"/>
        <v>#N/A</v>
      </c>
      <c r="V2753" s="23" t="e">
        <f t="shared" si="214"/>
        <v>#N/A</v>
      </c>
    </row>
    <row r="2754" spans="2:22" x14ac:dyDescent="0.25">
      <c r="B2754" s="16">
        <v>1</v>
      </c>
      <c r="C2754" s="7">
        <v>1</v>
      </c>
      <c r="D2754" s="8">
        <v>1</v>
      </c>
      <c r="E2754" s="8">
        <v>1</v>
      </c>
      <c r="F2754" s="8">
        <v>1</v>
      </c>
      <c r="G2754" s="8">
        <v>1</v>
      </c>
      <c r="H2754" s="8">
        <v>0</v>
      </c>
      <c r="I2754" s="8">
        <v>1</v>
      </c>
      <c r="J2754" s="8">
        <v>0</v>
      </c>
      <c r="K2754" s="9">
        <v>1</v>
      </c>
      <c r="L2754" s="10">
        <v>0</v>
      </c>
      <c r="M2754" s="6">
        <v>1</v>
      </c>
      <c r="N2754" s="37" t="e" cm="1">
        <f t="array" ref="N2754">IF(OR(ISNUMBER(FIND(Aux!$D$3:$D$9,_xlfn.TEXTJOIN(,,C2754:K2754)))),NA(),IF(AND(SUM(C2754:F2754,H2754:K2754)=0,G2754=1),0,INT((SUMPRODUCT(C2754:F2754,COLUMN($A$1:$D$1)-1)+SUMPRODUCT(H2754:K2754,COLUMN($E$1:$H$1)-1))*'Line Follower'!$C$3/SUM(C2754:F2754,H2754:K2754)-'Line Follower'!$C$5)))</f>
        <v>#N/A</v>
      </c>
      <c r="O2754" s="22" t="e">
        <v>#N/A</v>
      </c>
      <c r="P2754" s="4" t="e">
        <f t="shared" si="210"/>
        <v>#N/A</v>
      </c>
      <c r="Q2754" s="4" t="e">
        <f t="shared" si="211"/>
        <v>#N/A</v>
      </c>
      <c r="R2754" s="4" t="e">
        <f>IF(AND(B2754=1,N2754&gt;'Line Follower'!$C$7,SUM(C2754:K2754)&lt;4),1,0)</f>
        <v>#N/A</v>
      </c>
      <c r="S2754" s="4" t="e">
        <f>IF(AND(L2754=1,N2754&lt;'Line Follower'!$C$6,SUM(C2754:K2754)&lt;4),1,0)</f>
        <v>#N/A</v>
      </c>
      <c r="T2754" s="4" t="e">
        <f t="shared" si="212"/>
        <v>#N/A</v>
      </c>
      <c r="U2754" s="5" t="e">
        <f t="shared" si="213"/>
        <v>#N/A</v>
      </c>
      <c r="V2754" s="23" t="e">
        <f t="shared" si="214"/>
        <v>#N/A</v>
      </c>
    </row>
    <row r="2755" spans="2:22" x14ac:dyDescent="0.25">
      <c r="B2755" s="16">
        <v>0</v>
      </c>
      <c r="C2755" s="7">
        <v>0</v>
      </c>
      <c r="D2755" s="8">
        <v>0</v>
      </c>
      <c r="E2755" s="8">
        <v>0</v>
      </c>
      <c r="F2755" s="8">
        <v>0</v>
      </c>
      <c r="G2755" s="8">
        <v>0</v>
      </c>
      <c r="H2755" s="8">
        <v>1</v>
      </c>
      <c r="I2755" s="8">
        <v>1</v>
      </c>
      <c r="J2755" s="8">
        <v>0</v>
      </c>
      <c r="K2755" s="9">
        <v>1</v>
      </c>
      <c r="L2755" s="10">
        <v>0</v>
      </c>
      <c r="M2755" s="6">
        <v>1</v>
      </c>
      <c r="N2755" s="37" t="e" cm="1">
        <f t="array" ref="N2755">IF(OR(ISNUMBER(FIND(Aux!$D$3:$D$9,_xlfn.TEXTJOIN(,,C2755:K2755)))),NA(),IF(AND(SUM(C2755:F2755,H2755:K2755)=0,G2755=1),0,INT((SUMPRODUCT(C2755:F2755,COLUMN($A$1:$D$1)-1)+SUMPRODUCT(H2755:K2755,COLUMN($E$1:$H$1)-1))*'Line Follower'!$C$3/SUM(C2755:F2755,H2755:K2755)-'Line Follower'!$C$5)))</f>
        <v>#N/A</v>
      </c>
      <c r="O2755" s="22" t="e">
        <v>#N/A</v>
      </c>
      <c r="P2755" s="4" t="e">
        <f t="shared" ref="P2755:P2818" si="215">IF(AND(N2755=0,G2755=1,M2755=1),1,0)</f>
        <v>#N/A</v>
      </c>
      <c r="Q2755" s="4" t="e">
        <f t="shared" ref="Q2755:Q2818" si="216">IF(ISERROR(N2755),N2755,IF(SUM(C2755:K2755)&gt;=4,1,0))</f>
        <v>#N/A</v>
      </c>
      <c r="R2755" s="4" t="e">
        <f>IF(AND(B2755=1,N2755&gt;'Line Follower'!$C$7,SUM(C2755:K2755)&lt;4),1,0)</f>
        <v>#N/A</v>
      </c>
      <c r="S2755" s="4" t="e">
        <f>IF(AND(L2755=1,N2755&lt;'Line Follower'!$C$6,SUM(C2755:K2755)&lt;4),1,0)</f>
        <v>#N/A</v>
      </c>
      <c r="T2755" s="4" t="e">
        <f t="shared" si="212"/>
        <v>#N/A</v>
      </c>
      <c r="U2755" s="5" t="e">
        <f t="shared" si="213"/>
        <v>#N/A</v>
      </c>
      <c r="V2755" s="23" t="e">
        <f t="shared" si="214"/>
        <v>#N/A</v>
      </c>
    </row>
    <row r="2756" spans="2:22" x14ac:dyDescent="0.25">
      <c r="B2756" s="16">
        <v>1</v>
      </c>
      <c r="C2756" s="7">
        <v>0</v>
      </c>
      <c r="D2756" s="8">
        <v>0</v>
      </c>
      <c r="E2756" s="8">
        <v>0</v>
      </c>
      <c r="F2756" s="8">
        <v>0</v>
      </c>
      <c r="G2756" s="8">
        <v>0</v>
      </c>
      <c r="H2756" s="8">
        <v>1</v>
      </c>
      <c r="I2756" s="8">
        <v>1</v>
      </c>
      <c r="J2756" s="8">
        <v>0</v>
      </c>
      <c r="K2756" s="9">
        <v>1</v>
      </c>
      <c r="L2756" s="10">
        <v>0</v>
      </c>
      <c r="M2756" s="6">
        <v>1</v>
      </c>
      <c r="N2756" s="37" t="e" cm="1">
        <f t="array" ref="N2756">IF(OR(ISNUMBER(FIND(Aux!$D$3:$D$9,_xlfn.TEXTJOIN(,,C2756:K2756)))),NA(),IF(AND(SUM(C2756:F2756,H2756:K2756)=0,G2756=1),0,INT((SUMPRODUCT(C2756:F2756,COLUMN($A$1:$D$1)-1)+SUMPRODUCT(H2756:K2756,COLUMN($E$1:$H$1)-1))*'Line Follower'!$C$3/SUM(C2756:F2756,H2756:K2756)-'Line Follower'!$C$5)))</f>
        <v>#N/A</v>
      </c>
      <c r="O2756" s="22" t="e">
        <v>#N/A</v>
      </c>
      <c r="P2756" s="4" t="e">
        <f t="shared" si="215"/>
        <v>#N/A</v>
      </c>
      <c r="Q2756" s="4" t="e">
        <f t="shared" si="216"/>
        <v>#N/A</v>
      </c>
      <c r="R2756" s="4" t="e">
        <f>IF(AND(B2756=1,N2756&gt;'Line Follower'!$C$7,SUM(C2756:K2756)&lt;4),1,0)</f>
        <v>#N/A</v>
      </c>
      <c r="S2756" s="4" t="e">
        <f>IF(AND(L2756=1,N2756&lt;'Line Follower'!$C$6,SUM(C2756:K2756)&lt;4),1,0)</f>
        <v>#N/A</v>
      </c>
      <c r="T2756" s="4" t="e">
        <f t="shared" ref="T2756:T2819" si="217">IF(ISNA(N2756),NA(),IF(SUM(C2756:L2756)=0,1,0))</f>
        <v>#N/A</v>
      </c>
      <c r="U2756" s="5" t="e">
        <f t="shared" ref="U2756:U2819" si="218">IF(ISNA(N2756),NA(),IF(SUM(B2756:K2756)=0,1,0))</f>
        <v>#N/A</v>
      </c>
      <c r="V2756" s="23" t="e">
        <f t="shared" ref="V2756:V2819" si="219">IF(ISNA(N2756),NA(),IF(SUM(B2756:L2756)=0,1,0))</f>
        <v>#N/A</v>
      </c>
    </row>
    <row r="2757" spans="2:22" x14ac:dyDescent="0.25">
      <c r="B2757" s="16">
        <v>0</v>
      </c>
      <c r="C2757" s="7">
        <v>1</v>
      </c>
      <c r="D2757" s="8">
        <v>0</v>
      </c>
      <c r="E2757" s="8">
        <v>0</v>
      </c>
      <c r="F2757" s="8">
        <v>0</v>
      </c>
      <c r="G2757" s="8">
        <v>0</v>
      </c>
      <c r="H2757" s="8">
        <v>1</v>
      </c>
      <c r="I2757" s="8">
        <v>1</v>
      </c>
      <c r="J2757" s="8">
        <v>0</v>
      </c>
      <c r="K2757" s="9">
        <v>1</v>
      </c>
      <c r="L2757" s="10">
        <v>0</v>
      </c>
      <c r="M2757" s="6">
        <v>1</v>
      </c>
      <c r="N2757" s="37" t="e" cm="1">
        <f t="array" ref="N2757">IF(OR(ISNUMBER(FIND(Aux!$D$3:$D$9,_xlfn.TEXTJOIN(,,C2757:K2757)))),NA(),IF(AND(SUM(C2757:F2757,H2757:K2757)=0,G2757=1),0,INT((SUMPRODUCT(C2757:F2757,COLUMN($A$1:$D$1)-1)+SUMPRODUCT(H2757:K2757,COLUMN($E$1:$H$1)-1))*'Line Follower'!$C$3/SUM(C2757:F2757,H2757:K2757)-'Line Follower'!$C$5)))</f>
        <v>#N/A</v>
      </c>
      <c r="O2757" s="22" t="e">
        <v>#N/A</v>
      </c>
      <c r="P2757" s="4" t="e">
        <f t="shared" si="215"/>
        <v>#N/A</v>
      </c>
      <c r="Q2757" s="4" t="e">
        <f t="shared" si="216"/>
        <v>#N/A</v>
      </c>
      <c r="R2757" s="4" t="e">
        <f>IF(AND(B2757=1,N2757&gt;'Line Follower'!$C$7,SUM(C2757:K2757)&lt;4),1,0)</f>
        <v>#N/A</v>
      </c>
      <c r="S2757" s="4" t="e">
        <f>IF(AND(L2757=1,N2757&lt;'Line Follower'!$C$6,SUM(C2757:K2757)&lt;4),1,0)</f>
        <v>#N/A</v>
      </c>
      <c r="T2757" s="4" t="e">
        <f t="shared" si="217"/>
        <v>#N/A</v>
      </c>
      <c r="U2757" s="5" t="e">
        <f t="shared" si="218"/>
        <v>#N/A</v>
      </c>
      <c r="V2757" s="23" t="e">
        <f t="shared" si="219"/>
        <v>#N/A</v>
      </c>
    </row>
    <row r="2758" spans="2:22" x14ac:dyDescent="0.25">
      <c r="B2758" s="16">
        <v>1</v>
      </c>
      <c r="C2758" s="7">
        <v>1</v>
      </c>
      <c r="D2758" s="8">
        <v>0</v>
      </c>
      <c r="E2758" s="8">
        <v>0</v>
      </c>
      <c r="F2758" s="8">
        <v>0</v>
      </c>
      <c r="G2758" s="8">
        <v>0</v>
      </c>
      <c r="H2758" s="8">
        <v>1</v>
      </c>
      <c r="I2758" s="8">
        <v>1</v>
      </c>
      <c r="J2758" s="8">
        <v>0</v>
      </c>
      <c r="K2758" s="9">
        <v>1</v>
      </c>
      <c r="L2758" s="10">
        <v>0</v>
      </c>
      <c r="M2758" s="6">
        <v>1</v>
      </c>
      <c r="N2758" s="37" t="e" cm="1">
        <f t="array" ref="N2758">IF(OR(ISNUMBER(FIND(Aux!$D$3:$D$9,_xlfn.TEXTJOIN(,,C2758:K2758)))),NA(),IF(AND(SUM(C2758:F2758,H2758:K2758)=0,G2758=1),0,INT((SUMPRODUCT(C2758:F2758,COLUMN($A$1:$D$1)-1)+SUMPRODUCT(H2758:K2758,COLUMN($E$1:$H$1)-1))*'Line Follower'!$C$3/SUM(C2758:F2758,H2758:K2758)-'Line Follower'!$C$5)))</f>
        <v>#N/A</v>
      </c>
      <c r="O2758" s="22" t="e">
        <v>#N/A</v>
      </c>
      <c r="P2758" s="4" t="e">
        <f t="shared" si="215"/>
        <v>#N/A</v>
      </c>
      <c r="Q2758" s="4" t="e">
        <f t="shared" si="216"/>
        <v>#N/A</v>
      </c>
      <c r="R2758" s="4" t="e">
        <f>IF(AND(B2758=1,N2758&gt;'Line Follower'!$C$7,SUM(C2758:K2758)&lt;4),1,0)</f>
        <v>#N/A</v>
      </c>
      <c r="S2758" s="4" t="e">
        <f>IF(AND(L2758=1,N2758&lt;'Line Follower'!$C$6,SUM(C2758:K2758)&lt;4),1,0)</f>
        <v>#N/A</v>
      </c>
      <c r="T2758" s="4" t="e">
        <f t="shared" si="217"/>
        <v>#N/A</v>
      </c>
      <c r="U2758" s="5" t="e">
        <f t="shared" si="218"/>
        <v>#N/A</v>
      </c>
      <c r="V2758" s="23" t="e">
        <f t="shared" si="219"/>
        <v>#N/A</v>
      </c>
    </row>
    <row r="2759" spans="2:22" x14ac:dyDescent="0.25">
      <c r="B2759" s="16">
        <v>0</v>
      </c>
      <c r="C2759" s="7">
        <v>0</v>
      </c>
      <c r="D2759" s="8">
        <v>1</v>
      </c>
      <c r="E2759" s="8">
        <v>0</v>
      </c>
      <c r="F2759" s="8">
        <v>0</v>
      </c>
      <c r="G2759" s="8">
        <v>0</v>
      </c>
      <c r="H2759" s="8">
        <v>1</v>
      </c>
      <c r="I2759" s="8">
        <v>1</v>
      </c>
      <c r="J2759" s="8">
        <v>0</v>
      </c>
      <c r="K2759" s="9">
        <v>1</v>
      </c>
      <c r="L2759" s="10">
        <v>0</v>
      </c>
      <c r="M2759" s="6">
        <v>1</v>
      </c>
      <c r="N2759" s="37" t="e" cm="1">
        <f t="array" ref="N2759">IF(OR(ISNUMBER(FIND(Aux!$D$3:$D$9,_xlfn.TEXTJOIN(,,C2759:K2759)))),NA(),IF(AND(SUM(C2759:F2759,H2759:K2759)=0,G2759=1),0,INT((SUMPRODUCT(C2759:F2759,COLUMN($A$1:$D$1)-1)+SUMPRODUCT(H2759:K2759,COLUMN($E$1:$H$1)-1))*'Line Follower'!$C$3/SUM(C2759:F2759,H2759:K2759)-'Line Follower'!$C$5)))</f>
        <v>#N/A</v>
      </c>
      <c r="O2759" s="22" t="e">
        <v>#N/A</v>
      </c>
      <c r="P2759" s="4" t="e">
        <f t="shared" si="215"/>
        <v>#N/A</v>
      </c>
      <c r="Q2759" s="4" t="e">
        <f t="shared" si="216"/>
        <v>#N/A</v>
      </c>
      <c r="R2759" s="4" t="e">
        <f>IF(AND(B2759=1,N2759&gt;'Line Follower'!$C$7,SUM(C2759:K2759)&lt;4),1,0)</f>
        <v>#N/A</v>
      </c>
      <c r="S2759" s="4" t="e">
        <f>IF(AND(L2759=1,N2759&lt;'Line Follower'!$C$6,SUM(C2759:K2759)&lt;4),1,0)</f>
        <v>#N/A</v>
      </c>
      <c r="T2759" s="4" t="e">
        <f t="shared" si="217"/>
        <v>#N/A</v>
      </c>
      <c r="U2759" s="5" t="e">
        <f t="shared" si="218"/>
        <v>#N/A</v>
      </c>
      <c r="V2759" s="23" t="e">
        <f t="shared" si="219"/>
        <v>#N/A</v>
      </c>
    </row>
    <row r="2760" spans="2:22" x14ac:dyDescent="0.25">
      <c r="B2760" s="16">
        <v>1</v>
      </c>
      <c r="C2760" s="7">
        <v>0</v>
      </c>
      <c r="D2760" s="8">
        <v>1</v>
      </c>
      <c r="E2760" s="8">
        <v>0</v>
      </c>
      <c r="F2760" s="8">
        <v>0</v>
      </c>
      <c r="G2760" s="8">
        <v>0</v>
      </c>
      <c r="H2760" s="8">
        <v>1</v>
      </c>
      <c r="I2760" s="8">
        <v>1</v>
      </c>
      <c r="J2760" s="8">
        <v>0</v>
      </c>
      <c r="K2760" s="9">
        <v>1</v>
      </c>
      <c r="L2760" s="10">
        <v>0</v>
      </c>
      <c r="M2760" s="6">
        <v>1</v>
      </c>
      <c r="N2760" s="37" t="e" cm="1">
        <f t="array" ref="N2760">IF(OR(ISNUMBER(FIND(Aux!$D$3:$D$9,_xlfn.TEXTJOIN(,,C2760:K2760)))),NA(),IF(AND(SUM(C2760:F2760,H2760:K2760)=0,G2760=1),0,INT((SUMPRODUCT(C2760:F2760,COLUMN($A$1:$D$1)-1)+SUMPRODUCT(H2760:K2760,COLUMN($E$1:$H$1)-1))*'Line Follower'!$C$3/SUM(C2760:F2760,H2760:K2760)-'Line Follower'!$C$5)))</f>
        <v>#N/A</v>
      </c>
      <c r="O2760" s="22" t="e">
        <v>#N/A</v>
      </c>
      <c r="P2760" s="4" t="e">
        <f t="shared" si="215"/>
        <v>#N/A</v>
      </c>
      <c r="Q2760" s="4" t="e">
        <f t="shared" si="216"/>
        <v>#N/A</v>
      </c>
      <c r="R2760" s="4" t="e">
        <f>IF(AND(B2760=1,N2760&gt;'Line Follower'!$C$7,SUM(C2760:K2760)&lt;4),1,0)</f>
        <v>#N/A</v>
      </c>
      <c r="S2760" s="4" t="e">
        <f>IF(AND(L2760=1,N2760&lt;'Line Follower'!$C$6,SUM(C2760:K2760)&lt;4),1,0)</f>
        <v>#N/A</v>
      </c>
      <c r="T2760" s="4" t="e">
        <f t="shared" si="217"/>
        <v>#N/A</v>
      </c>
      <c r="U2760" s="5" t="e">
        <f t="shared" si="218"/>
        <v>#N/A</v>
      </c>
      <c r="V2760" s="23" t="e">
        <f t="shared" si="219"/>
        <v>#N/A</v>
      </c>
    </row>
    <row r="2761" spans="2:22" x14ac:dyDescent="0.25">
      <c r="B2761" s="16">
        <v>0</v>
      </c>
      <c r="C2761" s="7">
        <v>1</v>
      </c>
      <c r="D2761" s="8">
        <v>1</v>
      </c>
      <c r="E2761" s="8">
        <v>0</v>
      </c>
      <c r="F2761" s="8">
        <v>0</v>
      </c>
      <c r="G2761" s="8">
        <v>0</v>
      </c>
      <c r="H2761" s="8">
        <v>1</v>
      </c>
      <c r="I2761" s="8">
        <v>1</v>
      </c>
      <c r="J2761" s="8">
        <v>0</v>
      </c>
      <c r="K2761" s="9">
        <v>1</v>
      </c>
      <c r="L2761" s="10">
        <v>0</v>
      </c>
      <c r="M2761" s="6">
        <v>1</v>
      </c>
      <c r="N2761" s="37" t="e" cm="1">
        <f t="array" ref="N2761">IF(OR(ISNUMBER(FIND(Aux!$D$3:$D$9,_xlfn.TEXTJOIN(,,C2761:K2761)))),NA(),IF(AND(SUM(C2761:F2761,H2761:K2761)=0,G2761=1),0,INT((SUMPRODUCT(C2761:F2761,COLUMN($A$1:$D$1)-1)+SUMPRODUCT(H2761:K2761,COLUMN($E$1:$H$1)-1))*'Line Follower'!$C$3/SUM(C2761:F2761,H2761:K2761)-'Line Follower'!$C$5)))</f>
        <v>#N/A</v>
      </c>
      <c r="O2761" s="22" t="e">
        <v>#N/A</v>
      </c>
      <c r="P2761" s="4" t="e">
        <f t="shared" si="215"/>
        <v>#N/A</v>
      </c>
      <c r="Q2761" s="4" t="e">
        <f t="shared" si="216"/>
        <v>#N/A</v>
      </c>
      <c r="R2761" s="4" t="e">
        <f>IF(AND(B2761=1,N2761&gt;'Line Follower'!$C$7,SUM(C2761:K2761)&lt;4),1,0)</f>
        <v>#N/A</v>
      </c>
      <c r="S2761" s="4" t="e">
        <f>IF(AND(L2761=1,N2761&lt;'Line Follower'!$C$6,SUM(C2761:K2761)&lt;4),1,0)</f>
        <v>#N/A</v>
      </c>
      <c r="T2761" s="4" t="e">
        <f t="shared" si="217"/>
        <v>#N/A</v>
      </c>
      <c r="U2761" s="5" t="e">
        <f t="shared" si="218"/>
        <v>#N/A</v>
      </c>
      <c r="V2761" s="23" t="e">
        <f t="shared" si="219"/>
        <v>#N/A</v>
      </c>
    </row>
    <row r="2762" spans="2:22" x14ac:dyDescent="0.25">
      <c r="B2762" s="16">
        <v>1</v>
      </c>
      <c r="C2762" s="7">
        <v>1</v>
      </c>
      <c r="D2762" s="8">
        <v>1</v>
      </c>
      <c r="E2762" s="8">
        <v>0</v>
      </c>
      <c r="F2762" s="8">
        <v>0</v>
      </c>
      <c r="G2762" s="8">
        <v>0</v>
      </c>
      <c r="H2762" s="8">
        <v>1</v>
      </c>
      <c r="I2762" s="8">
        <v>1</v>
      </c>
      <c r="J2762" s="8">
        <v>0</v>
      </c>
      <c r="K2762" s="9">
        <v>1</v>
      </c>
      <c r="L2762" s="10">
        <v>0</v>
      </c>
      <c r="M2762" s="6">
        <v>1</v>
      </c>
      <c r="N2762" s="37" t="e" cm="1">
        <f t="array" ref="N2762">IF(OR(ISNUMBER(FIND(Aux!$D$3:$D$9,_xlfn.TEXTJOIN(,,C2762:K2762)))),NA(),IF(AND(SUM(C2762:F2762,H2762:K2762)=0,G2762=1),0,INT((SUMPRODUCT(C2762:F2762,COLUMN($A$1:$D$1)-1)+SUMPRODUCT(H2762:K2762,COLUMN($E$1:$H$1)-1))*'Line Follower'!$C$3/SUM(C2762:F2762,H2762:K2762)-'Line Follower'!$C$5)))</f>
        <v>#N/A</v>
      </c>
      <c r="O2762" s="22" t="e">
        <v>#N/A</v>
      </c>
      <c r="P2762" s="4" t="e">
        <f t="shared" si="215"/>
        <v>#N/A</v>
      </c>
      <c r="Q2762" s="4" t="e">
        <f t="shared" si="216"/>
        <v>#N/A</v>
      </c>
      <c r="R2762" s="4" t="e">
        <f>IF(AND(B2762=1,N2762&gt;'Line Follower'!$C$7,SUM(C2762:K2762)&lt;4),1,0)</f>
        <v>#N/A</v>
      </c>
      <c r="S2762" s="4" t="e">
        <f>IF(AND(L2762=1,N2762&lt;'Line Follower'!$C$6,SUM(C2762:K2762)&lt;4),1,0)</f>
        <v>#N/A</v>
      </c>
      <c r="T2762" s="4" t="e">
        <f t="shared" si="217"/>
        <v>#N/A</v>
      </c>
      <c r="U2762" s="5" t="e">
        <f t="shared" si="218"/>
        <v>#N/A</v>
      </c>
      <c r="V2762" s="23" t="e">
        <f t="shared" si="219"/>
        <v>#N/A</v>
      </c>
    </row>
    <row r="2763" spans="2:22" x14ac:dyDescent="0.25">
      <c r="B2763" s="16">
        <v>0</v>
      </c>
      <c r="C2763" s="7">
        <v>0</v>
      </c>
      <c r="D2763" s="8">
        <v>0</v>
      </c>
      <c r="E2763" s="8">
        <v>1</v>
      </c>
      <c r="F2763" s="8">
        <v>0</v>
      </c>
      <c r="G2763" s="8">
        <v>0</v>
      </c>
      <c r="H2763" s="8">
        <v>1</v>
      </c>
      <c r="I2763" s="8">
        <v>1</v>
      </c>
      <c r="J2763" s="8">
        <v>0</v>
      </c>
      <c r="K2763" s="9">
        <v>1</v>
      </c>
      <c r="L2763" s="10">
        <v>0</v>
      </c>
      <c r="M2763" s="6">
        <v>1</v>
      </c>
      <c r="N2763" s="37" t="e" cm="1">
        <f t="array" ref="N2763">IF(OR(ISNUMBER(FIND(Aux!$D$3:$D$9,_xlfn.TEXTJOIN(,,C2763:K2763)))),NA(),IF(AND(SUM(C2763:F2763,H2763:K2763)=0,G2763=1),0,INT((SUMPRODUCT(C2763:F2763,COLUMN($A$1:$D$1)-1)+SUMPRODUCT(H2763:K2763,COLUMN($E$1:$H$1)-1))*'Line Follower'!$C$3/SUM(C2763:F2763,H2763:K2763)-'Line Follower'!$C$5)))</f>
        <v>#N/A</v>
      </c>
      <c r="O2763" s="22" t="e">
        <v>#N/A</v>
      </c>
      <c r="P2763" s="4" t="e">
        <f t="shared" si="215"/>
        <v>#N/A</v>
      </c>
      <c r="Q2763" s="4" t="e">
        <f t="shared" si="216"/>
        <v>#N/A</v>
      </c>
      <c r="R2763" s="4" t="e">
        <f>IF(AND(B2763=1,N2763&gt;'Line Follower'!$C$7,SUM(C2763:K2763)&lt;4),1,0)</f>
        <v>#N/A</v>
      </c>
      <c r="S2763" s="4" t="e">
        <f>IF(AND(L2763=1,N2763&lt;'Line Follower'!$C$6,SUM(C2763:K2763)&lt;4),1,0)</f>
        <v>#N/A</v>
      </c>
      <c r="T2763" s="4" t="e">
        <f t="shared" si="217"/>
        <v>#N/A</v>
      </c>
      <c r="U2763" s="5" t="e">
        <f t="shared" si="218"/>
        <v>#N/A</v>
      </c>
      <c r="V2763" s="23" t="e">
        <f t="shared" si="219"/>
        <v>#N/A</v>
      </c>
    </row>
    <row r="2764" spans="2:22" x14ac:dyDescent="0.25">
      <c r="B2764" s="16">
        <v>1</v>
      </c>
      <c r="C2764" s="7">
        <v>0</v>
      </c>
      <c r="D2764" s="8">
        <v>0</v>
      </c>
      <c r="E2764" s="8">
        <v>1</v>
      </c>
      <c r="F2764" s="8">
        <v>0</v>
      </c>
      <c r="G2764" s="8">
        <v>0</v>
      </c>
      <c r="H2764" s="8">
        <v>1</v>
      </c>
      <c r="I2764" s="8">
        <v>1</v>
      </c>
      <c r="J2764" s="8">
        <v>0</v>
      </c>
      <c r="K2764" s="9">
        <v>1</v>
      </c>
      <c r="L2764" s="10">
        <v>0</v>
      </c>
      <c r="M2764" s="6">
        <v>1</v>
      </c>
      <c r="N2764" s="37" t="e" cm="1">
        <f t="array" ref="N2764">IF(OR(ISNUMBER(FIND(Aux!$D$3:$D$9,_xlfn.TEXTJOIN(,,C2764:K2764)))),NA(),IF(AND(SUM(C2764:F2764,H2764:K2764)=0,G2764=1),0,INT((SUMPRODUCT(C2764:F2764,COLUMN($A$1:$D$1)-1)+SUMPRODUCT(H2764:K2764,COLUMN($E$1:$H$1)-1))*'Line Follower'!$C$3/SUM(C2764:F2764,H2764:K2764)-'Line Follower'!$C$5)))</f>
        <v>#N/A</v>
      </c>
      <c r="O2764" s="22" t="e">
        <v>#N/A</v>
      </c>
      <c r="P2764" s="4" t="e">
        <f t="shared" si="215"/>
        <v>#N/A</v>
      </c>
      <c r="Q2764" s="4" t="e">
        <f t="shared" si="216"/>
        <v>#N/A</v>
      </c>
      <c r="R2764" s="4" t="e">
        <f>IF(AND(B2764=1,N2764&gt;'Line Follower'!$C$7,SUM(C2764:K2764)&lt;4),1,0)</f>
        <v>#N/A</v>
      </c>
      <c r="S2764" s="4" t="e">
        <f>IF(AND(L2764=1,N2764&lt;'Line Follower'!$C$6,SUM(C2764:K2764)&lt;4),1,0)</f>
        <v>#N/A</v>
      </c>
      <c r="T2764" s="4" t="e">
        <f t="shared" si="217"/>
        <v>#N/A</v>
      </c>
      <c r="U2764" s="5" t="e">
        <f t="shared" si="218"/>
        <v>#N/A</v>
      </c>
      <c r="V2764" s="23" t="e">
        <f t="shared" si="219"/>
        <v>#N/A</v>
      </c>
    </row>
    <row r="2765" spans="2:22" x14ac:dyDescent="0.25">
      <c r="B2765" s="16">
        <v>0</v>
      </c>
      <c r="C2765" s="7">
        <v>1</v>
      </c>
      <c r="D2765" s="8">
        <v>0</v>
      </c>
      <c r="E2765" s="8">
        <v>1</v>
      </c>
      <c r="F2765" s="8">
        <v>0</v>
      </c>
      <c r="G2765" s="8">
        <v>0</v>
      </c>
      <c r="H2765" s="8">
        <v>1</v>
      </c>
      <c r="I2765" s="8">
        <v>1</v>
      </c>
      <c r="J2765" s="8">
        <v>0</v>
      </c>
      <c r="K2765" s="9">
        <v>1</v>
      </c>
      <c r="L2765" s="10">
        <v>0</v>
      </c>
      <c r="M2765" s="6">
        <v>1</v>
      </c>
      <c r="N2765" s="37" t="e" cm="1">
        <f t="array" ref="N2765">IF(OR(ISNUMBER(FIND(Aux!$D$3:$D$9,_xlfn.TEXTJOIN(,,C2765:K2765)))),NA(),IF(AND(SUM(C2765:F2765,H2765:K2765)=0,G2765=1),0,INT((SUMPRODUCT(C2765:F2765,COLUMN($A$1:$D$1)-1)+SUMPRODUCT(H2765:K2765,COLUMN($E$1:$H$1)-1))*'Line Follower'!$C$3/SUM(C2765:F2765,H2765:K2765)-'Line Follower'!$C$5)))</f>
        <v>#N/A</v>
      </c>
      <c r="O2765" s="22" t="e">
        <v>#N/A</v>
      </c>
      <c r="P2765" s="4" t="e">
        <f t="shared" si="215"/>
        <v>#N/A</v>
      </c>
      <c r="Q2765" s="4" t="e">
        <f t="shared" si="216"/>
        <v>#N/A</v>
      </c>
      <c r="R2765" s="4" t="e">
        <f>IF(AND(B2765=1,N2765&gt;'Line Follower'!$C$7,SUM(C2765:K2765)&lt;4),1,0)</f>
        <v>#N/A</v>
      </c>
      <c r="S2765" s="4" t="e">
        <f>IF(AND(L2765=1,N2765&lt;'Line Follower'!$C$6,SUM(C2765:K2765)&lt;4),1,0)</f>
        <v>#N/A</v>
      </c>
      <c r="T2765" s="4" t="e">
        <f t="shared" si="217"/>
        <v>#N/A</v>
      </c>
      <c r="U2765" s="5" t="e">
        <f t="shared" si="218"/>
        <v>#N/A</v>
      </c>
      <c r="V2765" s="23" t="e">
        <f t="shared" si="219"/>
        <v>#N/A</v>
      </c>
    </row>
    <row r="2766" spans="2:22" x14ac:dyDescent="0.25">
      <c r="B2766" s="16">
        <v>1</v>
      </c>
      <c r="C2766" s="7">
        <v>1</v>
      </c>
      <c r="D2766" s="8">
        <v>0</v>
      </c>
      <c r="E2766" s="8">
        <v>1</v>
      </c>
      <c r="F2766" s="8">
        <v>0</v>
      </c>
      <c r="G2766" s="8">
        <v>0</v>
      </c>
      <c r="H2766" s="8">
        <v>1</v>
      </c>
      <c r="I2766" s="8">
        <v>1</v>
      </c>
      <c r="J2766" s="8">
        <v>0</v>
      </c>
      <c r="K2766" s="9">
        <v>1</v>
      </c>
      <c r="L2766" s="10">
        <v>0</v>
      </c>
      <c r="M2766" s="6">
        <v>1</v>
      </c>
      <c r="N2766" s="37" t="e" cm="1">
        <f t="array" ref="N2766">IF(OR(ISNUMBER(FIND(Aux!$D$3:$D$9,_xlfn.TEXTJOIN(,,C2766:K2766)))),NA(),IF(AND(SUM(C2766:F2766,H2766:K2766)=0,G2766=1),0,INT((SUMPRODUCT(C2766:F2766,COLUMN($A$1:$D$1)-1)+SUMPRODUCT(H2766:K2766,COLUMN($E$1:$H$1)-1))*'Line Follower'!$C$3/SUM(C2766:F2766,H2766:K2766)-'Line Follower'!$C$5)))</f>
        <v>#N/A</v>
      </c>
      <c r="O2766" s="22" t="e">
        <v>#N/A</v>
      </c>
      <c r="P2766" s="4" t="e">
        <f t="shared" si="215"/>
        <v>#N/A</v>
      </c>
      <c r="Q2766" s="4" t="e">
        <f t="shared" si="216"/>
        <v>#N/A</v>
      </c>
      <c r="R2766" s="4" t="e">
        <f>IF(AND(B2766=1,N2766&gt;'Line Follower'!$C$7,SUM(C2766:K2766)&lt;4),1,0)</f>
        <v>#N/A</v>
      </c>
      <c r="S2766" s="4" t="e">
        <f>IF(AND(L2766=1,N2766&lt;'Line Follower'!$C$6,SUM(C2766:K2766)&lt;4),1,0)</f>
        <v>#N/A</v>
      </c>
      <c r="T2766" s="4" t="e">
        <f t="shared" si="217"/>
        <v>#N/A</v>
      </c>
      <c r="U2766" s="5" t="e">
        <f t="shared" si="218"/>
        <v>#N/A</v>
      </c>
      <c r="V2766" s="23" t="e">
        <f t="shared" si="219"/>
        <v>#N/A</v>
      </c>
    </row>
    <row r="2767" spans="2:22" x14ac:dyDescent="0.25">
      <c r="B2767" s="16">
        <v>0</v>
      </c>
      <c r="C2767" s="7">
        <v>0</v>
      </c>
      <c r="D2767" s="8">
        <v>1</v>
      </c>
      <c r="E2767" s="8">
        <v>1</v>
      </c>
      <c r="F2767" s="8">
        <v>0</v>
      </c>
      <c r="G2767" s="8">
        <v>0</v>
      </c>
      <c r="H2767" s="8">
        <v>1</v>
      </c>
      <c r="I2767" s="8">
        <v>1</v>
      </c>
      <c r="J2767" s="8">
        <v>0</v>
      </c>
      <c r="K2767" s="9">
        <v>1</v>
      </c>
      <c r="L2767" s="10">
        <v>0</v>
      </c>
      <c r="M2767" s="6">
        <v>1</v>
      </c>
      <c r="N2767" s="37" t="e" cm="1">
        <f t="array" ref="N2767">IF(OR(ISNUMBER(FIND(Aux!$D$3:$D$9,_xlfn.TEXTJOIN(,,C2767:K2767)))),NA(),IF(AND(SUM(C2767:F2767,H2767:K2767)=0,G2767=1),0,INT((SUMPRODUCT(C2767:F2767,COLUMN($A$1:$D$1)-1)+SUMPRODUCT(H2767:K2767,COLUMN($E$1:$H$1)-1))*'Line Follower'!$C$3/SUM(C2767:F2767,H2767:K2767)-'Line Follower'!$C$5)))</f>
        <v>#N/A</v>
      </c>
      <c r="O2767" s="22" t="e">
        <v>#N/A</v>
      </c>
      <c r="P2767" s="4" t="e">
        <f t="shared" si="215"/>
        <v>#N/A</v>
      </c>
      <c r="Q2767" s="4" t="e">
        <f t="shared" si="216"/>
        <v>#N/A</v>
      </c>
      <c r="R2767" s="4" t="e">
        <f>IF(AND(B2767=1,N2767&gt;'Line Follower'!$C$7,SUM(C2767:K2767)&lt;4),1,0)</f>
        <v>#N/A</v>
      </c>
      <c r="S2767" s="4" t="e">
        <f>IF(AND(L2767=1,N2767&lt;'Line Follower'!$C$6,SUM(C2767:K2767)&lt;4),1,0)</f>
        <v>#N/A</v>
      </c>
      <c r="T2767" s="4" t="e">
        <f t="shared" si="217"/>
        <v>#N/A</v>
      </c>
      <c r="U2767" s="5" t="e">
        <f t="shared" si="218"/>
        <v>#N/A</v>
      </c>
      <c r="V2767" s="23" t="e">
        <f t="shared" si="219"/>
        <v>#N/A</v>
      </c>
    </row>
    <row r="2768" spans="2:22" x14ac:dyDescent="0.25">
      <c r="B2768" s="16">
        <v>1</v>
      </c>
      <c r="C2768" s="7">
        <v>0</v>
      </c>
      <c r="D2768" s="8">
        <v>1</v>
      </c>
      <c r="E2768" s="8">
        <v>1</v>
      </c>
      <c r="F2768" s="8">
        <v>0</v>
      </c>
      <c r="G2768" s="8">
        <v>0</v>
      </c>
      <c r="H2768" s="8">
        <v>1</v>
      </c>
      <c r="I2768" s="8">
        <v>1</v>
      </c>
      <c r="J2768" s="8">
        <v>0</v>
      </c>
      <c r="K2768" s="9">
        <v>1</v>
      </c>
      <c r="L2768" s="10">
        <v>0</v>
      </c>
      <c r="M2768" s="6">
        <v>1</v>
      </c>
      <c r="N2768" s="37" t="e" cm="1">
        <f t="array" ref="N2768">IF(OR(ISNUMBER(FIND(Aux!$D$3:$D$9,_xlfn.TEXTJOIN(,,C2768:K2768)))),NA(),IF(AND(SUM(C2768:F2768,H2768:K2768)=0,G2768=1),0,INT((SUMPRODUCT(C2768:F2768,COLUMN($A$1:$D$1)-1)+SUMPRODUCT(H2768:K2768,COLUMN($E$1:$H$1)-1))*'Line Follower'!$C$3/SUM(C2768:F2768,H2768:K2768)-'Line Follower'!$C$5)))</f>
        <v>#N/A</v>
      </c>
      <c r="O2768" s="22" t="e">
        <v>#N/A</v>
      </c>
      <c r="P2768" s="4" t="e">
        <f t="shared" si="215"/>
        <v>#N/A</v>
      </c>
      <c r="Q2768" s="4" t="e">
        <f t="shared" si="216"/>
        <v>#N/A</v>
      </c>
      <c r="R2768" s="4" t="e">
        <f>IF(AND(B2768=1,N2768&gt;'Line Follower'!$C$7,SUM(C2768:K2768)&lt;4),1,0)</f>
        <v>#N/A</v>
      </c>
      <c r="S2768" s="4" t="e">
        <f>IF(AND(L2768=1,N2768&lt;'Line Follower'!$C$6,SUM(C2768:K2768)&lt;4),1,0)</f>
        <v>#N/A</v>
      </c>
      <c r="T2768" s="4" t="e">
        <f t="shared" si="217"/>
        <v>#N/A</v>
      </c>
      <c r="U2768" s="5" t="e">
        <f t="shared" si="218"/>
        <v>#N/A</v>
      </c>
      <c r="V2768" s="23" t="e">
        <f t="shared" si="219"/>
        <v>#N/A</v>
      </c>
    </row>
    <row r="2769" spans="2:22" x14ac:dyDescent="0.25">
      <c r="B2769" s="16">
        <v>0</v>
      </c>
      <c r="C2769" s="7">
        <v>1</v>
      </c>
      <c r="D2769" s="8">
        <v>1</v>
      </c>
      <c r="E2769" s="8">
        <v>1</v>
      </c>
      <c r="F2769" s="8">
        <v>0</v>
      </c>
      <c r="G2769" s="8">
        <v>0</v>
      </c>
      <c r="H2769" s="8">
        <v>1</v>
      </c>
      <c r="I2769" s="8">
        <v>1</v>
      </c>
      <c r="J2769" s="8">
        <v>0</v>
      </c>
      <c r="K2769" s="9">
        <v>1</v>
      </c>
      <c r="L2769" s="10">
        <v>0</v>
      </c>
      <c r="M2769" s="6">
        <v>1</v>
      </c>
      <c r="N2769" s="37" t="e" cm="1">
        <f t="array" ref="N2769">IF(OR(ISNUMBER(FIND(Aux!$D$3:$D$9,_xlfn.TEXTJOIN(,,C2769:K2769)))),NA(),IF(AND(SUM(C2769:F2769,H2769:K2769)=0,G2769=1),0,INT((SUMPRODUCT(C2769:F2769,COLUMN($A$1:$D$1)-1)+SUMPRODUCT(H2769:K2769,COLUMN($E$1:$H$1)-1))*'Line Follower'!$C$3/SUM(C2769:F2769,H2769:K2769)-'Line Follower'!$C$5)))</f>
        <v>#N/A</v>
      </c>
      <c r="O2769" s="22" t="e">
        <v>#N/A</v>
      </c>
      <c r="P2769" s="4" t="e">
        <f t="shared" si="215"/>
        <v>#N/A</v>
      </c>
      <c r="Q2769" s="4" t="e">
        <f t="shared" si="216"/>
        <v>#N/A</v>
      </c>
      <c r="R2769" s="4" t="e">
        <f>IF(AND(B2769=1,N2769&gt;'Line Follower'!$C$7,SUM(C2769:K2769)&lt;4),1,0)</f>
        <v>#N/A</v>
      </c>
      <c r="S2769" s="4" t="e">
        <f>IF(AND(L2769=1,N2769&lt;'Line Follower'!$C$6,SUM(C2769:K2769)&lt;4),1,0)</f>
        <v>#N/A</v>
      </c>
      <c r="T2769" s="4" t="e">
        <f t="shared" si="217"/>
        <v>#N/A</v>
      </c>
      <c r="U2769" s="5" t="e">
        <f t="shared" si="218"/>
        <v>#N/A</v>
      </c>
      <c r="V2769" s="23" t="e">
        <f t="shared" si="219"/>
        <v>#N/A</v>
      </c>
    </row>
    <row r="2770" spans="2:22" x14ac:dyDescent="0.25">
      <c r="B2770" s="16">
        <v>1</v>
      </c>
      <c r="C2770" s="7">
        <v>1</v>
      </c>
      <c r="D2770" s="8">
        <v>1</v>
      </c>
      <c r="E2770" s="8">
        <v>1</v>
      </c>
      <c r="F2770" s="8">
        <v>0</v>
      </c>
      <c r="G2770" s="8">
        <v>0</v>
      </c>
      <c r="H2770" s="8">
        <v>1</v>
      </c>
      <c r="I2770" s="8">
        <v>1</v>
      </c>
      <c r="J2770" s="8">
        <v>0</v>
      </c>
      <c r="K2770" s="9">
        <v>1</v>
      </c>
      <c r="L2770" s="10">
        <v>0</v>
      </c>
      <c r="M2770" s="6">
        <v>1</v>
      </c>
      <c r="N2770" s="37" t="e" cm="1">
        <f t="array" ref="N2770">IF(OR(ISNUMBER(FIND(Aux!$D$3:$D$9,_xlfn.TEXTJOIN(,,C2770:K2770)))),NA(),IF(AND(SUM(C2770:F2770,H2770:K2770)=0,G2770=1),0,INT((SUMPRODUCT(C2770:F2770,COLUMN($A$1:$D$1)-1)+SUMPRODUCT(H2770:K2770,COLUMN($E$1:$H$1)-1))*'Line Follower'!$C$3/SUM(C2770:F2770,H2770:K2770)-'Line Follower'!$C$5)))</f>
        <v>#N/A</v>
      </c>
      <c r="O2770" s="22" t="e">
        <v>#N/A</v>
      </c>
      <c r="P2770" s="4" t="e">
        <f t="shared" si="215"/>
        <v>#N/A</v>
      </c>
      <c r="Q2770" s="4" t="e">
        <f t="shared" si="216"/>
        <v>#N/A</v>
      </c>
      <c r="R2770" s="4" t="e">
        <f>IF(AND(B2770=1,N2770&gt;'Line Follower'!$C$7,SUM(C2770:K2770)&lt;4),1,0)</f>
        <v>#N/A</v>
      </c>
      <c r="S2770" s="4" t="e">
        <f>IF(AND(L2770=1,N2770&lt;'Line Follower'!$C$6,SUM(C2770:K2770)&lt;4),1,0)</f>
        <v>#N/A</v>
      </c>
      <c r="T2770" s="4" t="e">
        <f t="shared" si="217"/>
        <v>#N/A</v>
      </c>
      <c r="U2770" s="5" t="e">
        <f t="shared" si="218"/>
        <v>#N/A</v>
      </c>
      <c r="V2770" s="23" t="e">
        <f t="shared" si="219"/>
        <v>#N/A</v>
      </c>
    </row>
    <row r="2771" spans="2:22" x14ac:dyDescent="0.25">
      <c r="B2771" s="16">
        <v>0</v>
      </c>
      <c r="C2771" s="7">
        <v>0</v>
      </c>
      <c r="D2771" s="8">
        <v>0</v>
      </c>
      <c r="E2771" s="8">
        <v>0</v>
      </c>
      <c r="F2771" s="8">
        <v>1</v>
      </c>
      <c r="G2771" s="8">
        <v>0</v>
      </c>
      <c r="H2771" s="8">
        <v>1</v>
      </c>
      <c r="I2771" s="8">
        <v>1</v>
      </c>
      <c r="J2771" s="8">
        <v>0</v>
      </c>
      <c r="K2771" s="9">
        <v>1</v>
      </c>
      <c r="L2771" s="10">
        <v>0</v>
      </c>
      <c r="M2771" s="6">
        <v>1</v>
      </c>
      <c r="N2771" s="37" t="e" cm="1">
        <f t="array" ref="N2771">IF(OR(ISNUMBER(FIND(Aux!$D$3:$D$9,_xlfn.TEXTJOIN(,,C2771:K2771)))),NA(),IF(AND(SUM(C2771:F2771,H2771:K2771)=0,G2771=1),0,INT((SUMPRODUCT(C2771:F2771,COLUMN($A$1:$D$1)-1)+SUMPRODUCT(H2771:K2771,COLUMN($E$1:$H$1)-1))*'Line Follower'!$C$3/SUM(C2771:F2771,H2771:K2771)-'Line Follower'!$C$5)))</f>
        <v>#N/A</v>
      </c>
      <c r="O2771" s="22" t="e">
        <v>#N/A</v>
      </c>
      <c r="P2771" s="4" t="e">
        <f t="shared" si="215"/>
        <v>#N/A</v>
      </c>
      <c r="Q2771" s="4" t="e">
        <f t="shared" si="216"/>
        <v>#N/A</v>
      </c>
      <c r="R2771" s="4" t="e">
        <f>IF(AND(B2771=1,N2771&gt;'Line Follower'!$C$7,SUM(C2771:K2771)&lt;4),1,0)</f>
        <v>#N/A</v>
      </c>
      <c r="S2771" s="4" t="e">
        <f>IF(AND(L2771=1,N2771&lt;'Line Follower'!$C$6,SUM(C2771:K2771)&lt;4),1,0)</f>
        <v>#N/A</v>
      </c>
      <c r="T2771" s="4" t="e">
        <f t="shared" si="217"/>
        <v>#N/A</v>
      </c>
      <c r="U2771" s="5" t="e">
        <f t="shared" si="218"/>
        <v>#N/A</v>
      </c>
      <c r="V2771" s="23" t="e">
        <f t="shared" si="219"/>
        <v>#N/A</v>
      </c>
    </row>
    <row r="2772" spans="2:22" x14ac:dyDescent="0.25">
      <c r="B2772" s="16">
        <v>1</v>
      </c>
      <c r="C2772" s="7">
        <v>0</v>
      </c>
      <c r="D2772" s="8">
        <v>0</v>
      </c>
      <c r="E2772" s="8">
        <v>0</v>
      </c>
      <c r="F2772" s="8">
        <v>1</v>
      </c>
      <c r="G2772" s="8">
        <v>0</v>
      </c>
      <c r="H2772" s="8">
        <v>1</v>
      </c>
      <c r="I2772" s="8">
        <v>1</v>
      </c>
      <c r="J2772" s="8">
        <v>0</v>
      </c>
      <c r="K2772" s="9">
        <v>1</v>
      </c>
      <c r="L2772" s="10">
        <v>0</v>
      </c>
      <c r="M2772" s="6">
        <v>1</v>
      </c>
      <c r="N2772" s="37" t="e" cm="1">
        <f t="array" ref="N2772">IF(OR(ISNUMBER(FIND(Aux!$D$3:$D$9,_xlfn.TEXTJOIN(,,C2772:K2772)))),NA(),IF(AND(SUM(C2772:F2772,H2772:K2772)=0,G2772=1),0,INT((SUMPRODUCT(C2772:F2772,COLUMN($A$1:$D$1)-1)+SUMPRODUCT(H2772:K2772,COLUMN($E$1:$H$1)-1))*'Line Follower'!$C$3/SUM(C2772:F2772,H2772:K2772)-'Line Follower'!$C$5)))</f>
        <v>#N/A</v>
      </c>
      <c r="O2772" s="22" t="e">
        <v>#N/A</v>
      </c>
      <c r="P2772" s="4" t="e">
        <f t="shared" si="215"/>
        <v>#N/A</v>
      </c>
      <c r="Q2772" s="4" t="e">
        <f t="shared" si="216"/>
        <v>#N/A</v>
      </c>
      <c r="R2772" s="4" t="e">
        <f>IF(AND(B2772=1,N2772&gt;'Line Follower'!$C$7,SUM(C2772:K2772)&lt;4),1,0)</f>
        <v>#N/A</v>
      </c>
      <c r="S2772" s="4" t="e">
        <f>IF(AND(L2772=1,N2772&lt;'Line Follower'!$C$6,SUM(C2772:K2772)&lt;4),1,0)</f>
        <v>#N/A</v>
      </c>
      <c r="T2772" s="4" t="e">
        <f t="shared" si="217"/>
        <v>#N/A</v>
      </c>
      <c r="U2772" s="5" t="e">
        <f t="shared" si="218"/>
        <v>#N/A</v>
      </c>
      <c r="V2772" s="23" t="e">
        <f t="shared" si="219"/>
        <v>#N/A</v>
      </c>
    </row>
    <row r="2773" spans="2:22" x14ac:dyDescent="0.25">
      <c r="B2773" s="16">
        <v>0</v>
      </c>
      <c r="C2773" s="7">
        <v>1</v>
      </c>
      <c r="D2773" s="8">
        <v>0</v>
      </c>
      <c r="E2773" s="8">
        <v>0</v>
      </c>
      <c r="F2773" s="8">
        <v>1</v>
      </c>
      <c r="G2773" s="8">
        <v>0</v>
      </c>
      <c r="H2773" s="8">
        <v>1</v>
      </c>
      <c r="I2773" s="8">
        <v>1</v>
      </c>
      <c r="J2773" s="8">
        <v>0</v>
      </c>
      <c r="K2773" s="9">
        <v>1</v>
      </c>
      <c r="L2773" s="10">
        <v>0</v>
      </c>
      <c r="M2773" s="6">
        <v>1</v>
      </c>
      <c r="N2773" s="37" t="e" cm="1">
        <f t="array" ref="N2773">IF(OR(ISNUMBER(FIND(Aux!$D$3:$D$9,_xlfn.TEXTJOIN(,,C2773:K2773)))),NA(),IF(AND(SUM(C2773:F2773,H2773:K2773)=0,G2773=1),0,INT((SUMPRODUCT(C2773:F2773,COLUMN($A$1:$D$1)-1)+SUMPRODUCT(H2773:K2773,COLUMN($E$1:$H$1)-1))*'Line Follower'!$C$3/SUM(C2773:F2773,H2773:K2773)-'Line Follower'!$C$5)))</f>
        <v>#N/A</v>
      </c>
      <c r="O2773" s="22" t="e">
        <v>#N/A</v>
      </c>
      <c r="P2773" s="4" t="e">
        <f t="shared" si="215"/>
        <v>#N/A</v>
      </c>
      <c r="Q2773" s="4" t="e">
        <f t="shared" si="216"/>
        <v>#N/A</v>
      </c>
      <c r="R2773" s="4" t="e">
        <f>IF(AND(B2773=1,N2773&gt;'Line Follower'!$C$7,SUM(C2773:K2773)&lt;4),1,0)</f>
        <v>#N/A</v>
      </c>
      <c r="S2773" s="4" t="e">
        <f>IF(AND(L2773=1,N2773&lt;'Line Follower'!$C$6,SUM(C2773:K2773)&lt;4),1,0)</f>
        <v>#N/A</v>
      </c>
      <c r="T2773" s="4" t="e">
        <f t="shared" si="217"/>
        <v>#N/A</v>
      </c>
      <c r="U2773" s="5" t="e">
        <f t="shared" si="218"/>
        <v>#N/A</v>
      </c>
      <c r="V2773" s="23" t="e">
        <f t="shared" si="219"/>
        <v>#N/A</v>
      </c>
    </row>
    <row r="2774" spans="2:22" x14ac:dyDescent="0.25">
      <c r="B2774" s="16">
        <v>1</v>
      </c>
      <c r="C2774" s="7">
        <v>1</v>
      </c>
      <c r="D2774" s="8">
        <v>0</v>
      </c>
      <c r="E2774" s="8">
        <v>0</v>
      </c>
      <c r="F2774" s="8">
        <v>1</v>
      </c>
      <c r="G2774" s="8">
        <v>0</v>
      </c>
      <c r="H2774" s="8">
        <v>1</v>
      </c>
      <c r="I2774" s="8">
        <v>1</v>
      </c>
      <c r="J2774" s="8">
        <v>0</v>
      </c>
      <c r="K2774" s="9">
        <v>1</v>
      </c>
      <c r="L2774" s="10">
        <v>0</v>
      </c>
      <c r="M2774" s="6">
        <v>1</v>
      </c>
      <c r="N2774" s="37" t="e" cm="1">
        <f t="array" ref="N2774">IF(OR(ISNUMBER(FIND(Aux!$D$3:$D$9,_xlfn.TEXTJOIN(,,C2774:K2774)))),NA(),IF(AND(SUM(C2774:F2774,H2774:K2774)=0,G2774=1),0,INT((SUMPRODUCT(C2774:F2774,COLUMN($A$1:$D$1)-1)+SUMPRODUCT(H2774:K2774,COLUMN($E$1:$H$1)-1))*'Line Follower'!$C$3/SUM(C2774:F2774,H2774:K2774)-'Line Follower'!$C$5)))</f>
        <v>#N/A</v>
      </c>
      <c r="O2774" s="22" t="e">
        <v>#N/A</v>
      </c>
      <c r="P2774" s="4" t="e">
        <f t="shared" si="215"/>
        <v>#N/A</v>
      </c>
      <c r="Q2774" s="4" t="e">
        <f t="shared" si="216"/>
        <v>#N/A</v>
      </c>
      <c r="R2774" s="4" t="e">
        <f>IF(AND(B2774=1,N2774&gt;'Line Follower'!$C$7,SUM(C2774:K2774)&lt;4),1,0)</f>
        <v>#N/A</v>
      </c>
      <c r="S2774" s="4" t="e">
        <f>IF(AND(L2774=1,N2774&lt;'Line Follower'!$C$6,SUM(C2774:K2774)&lt;4),1,0)</f>
        <v>#N/A</v>
      </c>
      <c r="T2774" s="4" t="e">
        <f t="shared" si="217"/>
        <v>#N/A</v>
      </c>
      <c r="U2774" s="5" t="e">
        <f t="shared" si="218"/>
        <v>#N/A</v>
      </c>
      <c r="V2774" s="23" t="e">
        <f t="shared" si="219"/>
        <v>#N/A</v>
      </c>
    </row>
    <row r="2775" spans="2:22" x14ac:dyDescent="0.25">
      <c r="B2775" s="16">
        <v>0</v>
      </c>
      <c r="C2775" s="7">
        <v>0</v>
      </c>
      <c r="D2775" s="8">
        <v>1</v>
      </c>
      <c r="E2775" s="8">
        <v>0</v>
      </c>
      <c r="F2775" s="8">
        <v>1</v>
      </c>
      <c r="G2775" s="8">
        <v>0</v>
      </c>
      <c r="H2775" s="8">
        <v>1</v>
      </c>
      <c r="I2775" s="8">
        <v>1</v>
      </c>
      <c r="J2775" s="8">
        <v>0</v>
      </c>
      <c r="K2775" s="9">
        <v>1</v>
      </c>
      <c r="L2775" s="10">
        <v>0</v>
      </c>
      <c r="M2775" s="6">
        <v>1</v>
      </c>
      <c r="N2775" s="37" t="e" cm="1">
        <f t="array" ref="N2775">IF(OR(ISNUMBER(FIND(Aux!$D$3:$D$9,_xlfn.TEXTJOIN(,,C2775:K2775)))),NA(),IF(AND(SUM(C2775:F2775,H2775:K2775)=0,G2775=1),0,INT((SUMPRODUCT(C2775:F2775,COLUMN($A$1:$D$1)-1)+SUMPRODUCT(H2775:K2775,COLUMN($E$1:$H$1)-1))*'Line Follower'!$C$3/SUM(C2775:F2775,H2775:K2775)-'Line Follower'!$C$5)))</f>
        <v>#N/A</v>
      </c>
      <c r="O2775" s="22" t="e">
        <v>#N/A</v>
      </c>
      <c r="P2775" s="4" t="e">
        <f t="shared" si="215"/>
        <v>#N/A</v>
      </c>
      <c r="Q2775" s="4" t="e">
        <f t="shared" si="216"/>
        <v>#N/A</v>
      </c>
      <c r="R2775" s="4" t="e">
        <f>IF(AND(B2775=1,N2775&gt;'Line Follower'!$C$7,SUM(C2775:K2775)&lt;4),1,0)</f>
        <v>#N/A</v>
      </c>
      <c r="S2775" s="4" t="e">
        <f>IF(AND(L2775=1,N2775&lt;'Line Follower'!$C$6,SUM(C2775:K2775)&lt;4),1,0)</f>
        <v>#N/A</v>
      </c>
      <c r="T2775" s="4" t="e">
        <f t="shared" si="217"/>
        <v>#N/A</v>
      </c>
      <c r="U2775" s="5" t="e">
        <f t="shared" si="218"/>
        <v>#N/A</v>
      </c>
      <c r="V2775" s="23" t="e">
        <f t="shared" si="219"/>
        <v>#N/A</v>
      </c>
    </row>
    <row r="2776" spans="2:22" x14ac:dyDescent="0.25">
      <c r="B2776" s="16">
        <v>1</v>
      </c>
      <c r="C2776" s="7">
        <v>0</v>
      </c>
      <c r="D2776" s="8">
        <v>1</v>
      </c>
      <c r="E2776" s="8">
        <v>0</v>
      </c>
      <c r="F2776" s="8">
        <v>1</v>
      </c>
      <c r="G2776" s="8">
        <v>0</v>
      </c>
      <c r="H2776" s="8">
        <v>1</v>
      </c>
      <c r="I2776" s="8">
        <v>1</v>
      </c>
      <c r="J2776" s="8">
        <v>0</v>
      </c>
      <c r="K2776" s="9">
        <v>1</v>
      </c>
      <c r="L2776" s="10">
        <v>0</v>
      </c>
      <c r="M2776" s="6">
        <v>1</v>
      </c>
      <c r="N2776" s="37" t="e" cm="1">
        <f t="array" ref="N2776">IF(OR(ISNUMBER(FIND(Aux!$D$3:$D$9,_xlfn.TEXTJOIN(,,C2776:K2776)))),NA(),IF(AND(SUM(C2776:F2776,H2776:K2776)=0,G2776=1),0,INT((SUMPRODUCT(C2776:F2776,COLUMN($A$1:$D$1)-1)+SUMPRODUCT(H2776:K2776,COLUMN($E$1:$H$1)-1))*'Line Follower'!$C$3/SUM(C2776:F2776,H2776:K2776)-'Line Follower'!$C$5)))</f>
        <v>#N/A</v>
      </c>
      <c r="O2776" s="22" t="e">
        <v>#N/A</v>
      </c>
      <c r="P2776" s="4" t="e">
        <f t="shared" si="215"/>
        <v>#N/A</v>
      </c>
      <c r="Q2776" s="4" t="e">
        <f t="shared" si="216"/>
        <v>#N/A</v>
      </c>
      <c r="R2776" s="4" t="e">
        <f>IF(AND(B2776=1,N2776&gt;'Line Follower'!$C$7,SUM(C2776:K2776)&lt;4),1,0)</f>
        <v>#N/A</v>
      </c>
      <c r="S2776" s="4" t="e">
        <f>IF(AND(L2776=1,N2776&lt;'Line Follower'!$C$6,SUM(C2776:K2776)&lt;4),1,0)</f>
        <v>#N/A</v>
      </c>
      <c r="T2776" s="4" t="e">
        <f t="shared" si="217"/>
        <v>#N/A</v>
      </c>
      <c r="U2776" s="5" t="e">
        <f t="shared" si="218"/>
        <v>#N/A</v>
      </c>
      <c r="V2776" s="23" t="e">
        <f t="shared" si="219"/>
        <v>#N/A</v>
      </c>
    </row>
    <row r="2777" spans="2:22" x14ac:dyDescent="0.25">
      <c r="B2777" s="16">
        <v>0</v>
      </c>
      <c r="C2777" s="7">
        <v>1</v>
      </c>
      <c r="D2777" s="8">
        <v>1</v>
      </c>
      <c r="E2777" s="8">
        <v>0</v>
      </c>
      <c r="F2777" s="8">
        <v>1</v>
      </c>
      <c r="G2777" s="8">
        <v>0</v>
      </c>
      <c r="H2777" s="8">
        <v>1</v>
      </c>
      <c r="I2777" s="8">
        <v>1</v>
      </c>
      <c r="J2777" s="8">
        <v>0</v>
      </c>
      <c r="K2777" s="9">
        <v>1</v>
      </c>
      <c r="L2777" s="10">
        <v>0</v>
      </c>
      <c r="M2777" s="6">
        <v>1</v>
      </c>
      <c r="N2777" s="37" t="e" cm="1">
        <f t="array" ref="N2777">IF(OR(ISNUMBER(FIND(Aux!$D$3:$D$9,_xlfn.TEXTJOIN(,,C2777:K2777)))),NA(),IF(AND(SUM(C2777:F2777,H2777:K2777)=0,G2777=1),0,INT((SUMPRODUCT(C2777:F2777,COLUMN($A$1:$D$1)-1)+SUMPRODUCT(H2777:K2777,COLUMN($E$1:$H$1)-1))*'Line Follower'!$C$3/SUM(C2777:F2777,H2777:K2777)-'Line Follower'!$C$5)))</f>
        <v>#N/A</v>
      </c>
      <c r="O2777" s="22" t="e">
        <v>#N/A</v>
      </c>
      <c r="P2777" s="4" t="e">
        <f t="shared" si="215"/>
        <v>#N/A</v>
      </c>
      <c r="Q2777" s="4" t="e">
        <f t="shared" si="216"/>
        <v>#N/A</v>
      </c>
      <c r="R2777" s="4" t="e">
        <f>IF(AND(B2777=1,N2777&gt;'Line Follower'!$C$7,SUM(C2777:K2777)&lt;4),1,0)</f>
        <v>#N/A</v>
      </c>
      <c r="S2777" s="4" t="e">
        <f>IF(AND(L2777=1,N2777&lt;'Line Follower'!$C$6,SUM(C2777:K2777)&lt;4),1,0)</f>
        <v>#N/A</v>
      </c>
      <c r="T2777" s="4" t="e">
        <f t="shared" si="217"/>
        <v>#N/A</v>
      </c>
      <c r="U2777" s="5" t="e">
        <f t="shared" si="218"/>
        <v>#N/A</v>
      </c>
      <c r="V2777" s="23" t="e">
        <f t="shared" si="219"/>
        <v>#N/A</v>
      </c>
    </row>
    <row r="2778" spans="2:22" x14ac:dyDescent="0.25">
      <c r="B2778" s="16">
        <v>1</v>
      </c>
      <c r="C2778" s="7">
        <v>1</v>
      </c>
      <c r="D2778" s="8">
        <v>1</v>
      </c>
      <c r="E2778" s="8">
        <v>0</v>
      </c>
      <c r="F2778" s="8">
        <v>1</v>
      </c>
      <c r="G2778" s="8">
        <v>0</v>
      </c>
      <c r="H2778" s="8">
        <v>1</v>
      </c>
      <c r="I2778" s="8">
        <v>1</v>
      </c>
      <c r="J2778" s="8">
        <v>0</v>
      </c>
      <c r="K2778" s="9">
        <v>1</v>
      </c>
      <c r="L2778" s="10">
        <v>0</v>
      </c>
      <c r="M2778" s="6">
        <v>1</v>
      </c>
      <c r="N2778" s="37" t="e" cm="1">
        <f t="array" ref="N2778">IF(OR(ISNUMBER(FIND(Aux!$D$3:$D$9,_xlfn.TEXTJOIN(,,C2778:K2778)))),NA(),IF(AND(SUM(C2778:F2778,H2778:K2778)=0,G2778=1),0,INT((SUMPRODUCT(C2778:F2778,COLUMN($A$1:$D$1)-1)+SUMPRODUCT(H2778:K2778,COLUMN($E$1:$H$1)-1))*'Line Follower'!$C$3/SUM(C2778:F2778,H2778:K2778)-'Line Follower'!$C$5)))</f>
        <v>#N/A</v>
      </c>
      <c r="O2778" s="22" t="e">
        <v>#N/A</v>
      </c>
      <c r="P2778" s="4" t="e">
        <f t="shared" si="215"/>
        <v>#N/A</v>
      </c>
      <c r="Q2778" s="4" t="e">
        <f t="shared" si="216"/>
        <v>#N/A</v>
      </c>
      <c r="R2778" s="4" t="e">
        <f>IF(AND(B2778=1,N2778&gt;'Line Follower'!$C$7,SUM(C2778:K2778)&lt;4),1,0)</f>
        <v>#N/A</v>
      </c>
      <c r="S2778" s="4" t="e">
        <f>IF(AND(L2778=1,N2778&lt;'Line Follower'!$C$6,SUM(C2778:K2778)&lt;4),1,0)</f>
        <v>#N/A</v>
      </c>
      <c r="T2778" s="4" t="e">
        <f t="shared" si="217"/>
        <v>#N/A</v>
      </c>
      <c r="U2778" s="5" t="e">
        <f t="shared" si="218"/>
        <v>#N/A</v>
      </c>
      <c r="V2778" s="23" t="e">
        <f t="shared" si="219"/>
        <v>#N/A</v>
      </c>
    </row>
    <row r="2779" spans="2:22" x14ac:dyDescent="0.25">
      <c r="B2779" s="16">
        <v>0</v>
      </c>
      <c r="C2779" s="7">
        <v>0</v>
      </c>
      <c r="D2779" s="8">
        <v>0</v>
      </c>
      <c r="E2779" s="8">
        <v>1</v>
      </c>
      <c r="F2779" s="8">
        <v>1</v>
      </c>
      <c r="G2779" s="8">
        <v>0</v>
      </c>
      <c r="H2779" s="8">
        <v>1</v>
      </c>
      <c r="I2779" s="8">
        <v>1</v>
      </c>
      <c r="J2779" s="8">
        <v>0</v>
      </c>
      <c r="K2779" s="9">
        <v>1</v>
      </c>
      <c r="L2779" s="10">
        <v>0</v>
      </c>
      <c r="M2779" s="6">
        <v>1</v>
      </c>
      <c r="N2779" s="37" t="e" cm="1">
        <f t="array" ref="N2779">IF(OR(ISNUMBER(FIND(Aux!$D$3:$D$9,_xlfn.TEXTJOIN(,,C2779:K2779)))),NA(),IF(AND(SUM(C2779:F2779,H2779:K2779)=0,G2779=1),0,INT((SUMPRODUCT(C2779:F2779,COLUMN($A$1:$D$1)-1)+SUMPRODUCT(H2779:K2779,COLUMN($E$1:$H$1)-1))*'Line Follower'!$C$3/SUM(C2779:F2779,H2779:K2779)-'Line Follower'!$C$5)))</f>
        <v>#N/A</v>
      </c>
      <c r="O2779" s="22" t="e">
        <v>#N/A</v>
      </c>
      <c r="P2779" s="4" t="e">
        <f t="shared" si="215"/>
        <v>#N/A</v>
      </c>
      <c r="Q2779" s="4" t="e">
        <f t="shared" si="216"/>
        <v>#N/A</v>
      </c>
      <c r="R2779" s="4" t="e">
        <f>IF(AND(B2779=1,N2779&gt;'Line Follower'!$C$7,SUM(C2779:K2779)&lt;4),1,0)</f>
        <v>#N/A</v>
      </c>
      <c r="S2779" s="4" t="e">
        <f>IF(AND(L2779=1,N2779&lt;'Line Follower'!$C$6,SUM(C2779:K2779)&lt;4),1,0)</f>
        <v>#N/A</v>
      </c>
      <c r="T2779" s="4" t="e">
        <f t="shared" si="217"/>
        <v>#N/A</v>
      </c>
      <c r="U2779" s="5" t="e">
        <f t="shared" si="218"/>
        <v>#N/A</v>
      </c>
      <c r="V2779" s="23" t="e">
        <f t="shared" si="219"/>
        <v>#N/A</v>
      </c>
    </row>
    <row r="2780" spans="2:22" x14ac:dyDescent="0.25">
      <c r="B2780" s="16">
        <v>1</v>
      </c>
      <c r="C2780" s="7">
        <v>0</v>
      </c>
      <c r="D2780" s="8">
        <v>0</v>
      </c>
      <c r="E2780" s="8">
        <v>1</v>
      </c>
      <c r="F2780" s="8">
        <v>1</v>
      </c>
      <c r="G2780" s="8">
        <v>0</v>
      </c>
      <c r="H2780" s="8">
        <v>1</v>
      </c>
      <c r="I2780" s="8">
        <v>1</v>
      </c>
      <c r="J2780" s="8">
        <v>0</v>
      </c>
      <c r="K2780" s="9">
        <v>1</v>
      </c>
      <c r="L2780" s="10">
        <v>0</v>
      </c>
      <c r="M2780" s="6">
        <v>1</v>
      </c>
      <c r="N2780" s="37" t="e" cm="1">
        <f t="array" ref="N2780">IF(OR(ISNUMBER(FIND(Aux!$D$3:$D$9,_xlfn.TEXTJOIN(,,C2780:K2780)))),NA(),IF(AND(SUM(C2780:F2780,H2780:K2780)=0,G2780=1),0,INT((SUMPRODUCT(C2780:F2780,COLUMN($A$1:$D$1)-1)+SUMPRODUCT(H2780:K2780,COLUMN($E$1:$H$1)-1))*'Line Follower'!$C$3/SUM(C2780:F2780,H2780:K2780)-'Line Follower'!$C$5)))</f>
        <v>#N/A</v>
      </c>
      <c r="O2780" s="22" t="e">
        <v>#N/A</v>
      </c>
      <c r="P2780" s="4" t="e">
        <f t="shared" si="215"/>
        <v>#N/A</v>
      </c>
      <c r="Q2780" s="4" t="e">
        <f t="shared" si="216"/>
        <v>#N/A</v>
      </c>
      <c r="R2780" s="4" t="e">
        <f>IF(AND(B2780=1,N2780&gt;'Line Follower'!$C$7,SUM(C2780:K2780)&lt;4),1,0)</f>
        <v>#N/A</v>
      </c>
      <c r="S2780" s="4" t="e">
        <f>IF(AND(L2780=1,N2780&lt;'Line Follower'!$C$6,SUM(C2780:K2780)&lt;4),1,0)</f>
        <v>#N/A</v>
      </c>
      <c r="T2780" s="4" t="e">
        <f t="shared" si="217"/>
        <v>#N/A</v>
      </c>
      <c r="U2780" s="5" t="e">
        <f t="shared" si="218"/>
        <v>#N/A</v>
      </c>
      <c r="V2780" s="23" t="e">
        <f t="shared" si="219"/>
        <v>#N/A</v>
      </c>
    </row>
    <row r="2781" spans="2:22" x14ac:dyDescent="0.25">
      <c r="B2781" s="16">
        <v>0</v>
      </c>
      <c r="C2781" s="7">
        <v>1</v>
      </c>
      <c r="D2781" s="8">
        <v>0</v>
      </c>
      <c r="E2781" s="8">
        <v>1</v>
      </c>
      <c r="F2781" s="8">
        <v>1</v>
      </c>
      <c r="G2781" s="8">
        <v>0</v>
      </c>
      <c r="H2781" s="8">
        <v>1</v>
      </c>
      <c r="I2781" s="8">
        <v>1</v>
      </c>
      <c r="J2781" s="8">
        <v>0</v>
      </c>
      <c r="K2781" s="9">
        <v>1</v>
      </c>
      <c r="L2781" s="10">
        <v>0</v>
      </c>
      <c r="M2781" s="6">
        <v>1</v>
      </c>
      <c r="N2781" s="37" t="e" cm="1">
        <f t="array" ref="N2781">IF(OR(ISNUMBER(FIND(Aux!$D$3:$D$9,_xlfn.TEXTJOIN(,,C2781:K2781)))),NA(),IF(AND(SUM(C2781:F2781,H2781:K2781)=0,G2781=1),0,INT((SUMPRODUCT(C2781:F2781,COLUMN($A$1:$D$1)-1)+SUMPRODUCT(H2781:K2781,COLUMN($E$1:$H$1)-1))*'Line Follower'!$C$3/SUM(C2781:F2781,H2781:K2781)-'Line Follower'!$C$5)))</f>
        <v>#N/A</v>
      </c>
      <c r="O2781" s="22" t="e">
        <v>#N/A</v>
      </c>
      <c r="P2781" s="4" t="e">
        <f t="shared" si="215"/>
        <v>#N/A</v>
      </c>
      <c r="Q2781" s="4" t="e">
        <f t="shared" si="216"/>
        <v>#N/A</v>
      </c>
      <c r="R2781" s="4" t="e">
        <f>IF(AND(B2781=1,N2781&gt;'Line Follower'!$C$7,SUM(C2781:K2781)&lt;4),1,0)</f>
        <v>#N/A</v>
      </c>
      <c r="S2781" s="4" t="e">
        <f>IF(AND(L2781=1,N2781&lt;'Line Follower'!$C$6,SUM(C2781:K2781)&lt;4),1,0)</f>
        <v>#N/A</v>
      </c>
      <c r="T2781" s="4" t="e">
        <f t="shared" si="217"/>
        <v>#N/A</v>
      </c>
      <c r="U2781" s="5" t="e">
        <f t="shared" si="218"/>
        <v>#N/A</v>
      </c>
      <c r="V2781" s="23" t="e">
        <f t="shared" si="219"/>
        <v>#N/A</v>
      </c>
    </row>
    <row r="2782" spans="2:22" x14ac:dyDescent="0.25">
      <c r="B2782" s="16">
        <v>1</v>
      </c>
      <c r="C2782" s="7">
        <v>1</v>
      </c>
      <c r="D2782" s="8">
        <v>0</v>
      </c>
      <c r="E2782" s="8">
        <v>1</v>
      </c>
      <c r="F2782" s="8">
        <v>1</v>
      </c>
      <c r="G2782" s="8">
        <v>0</v>
      </c>
      <c r="H2782" s="8">
        <v>1</v>
      </c>
      <c r="I2782" s="8">
        <v>1</v>
      </c>
      <c r="J2782" s="8">
        <v>0</v>
      </c>
      <c r="K2782" s="9">
        <v>1</v>
      </c>
      <c r="L2782" s="10">
        <v>0</v>
      </c>
      <c r="M2782" s="6">
        <v>1</v>
      </c>
      <c r="N2782" s="37" t="e" cm="1">
        <f t="array" ref="N2782">IF(OR(ISNUMBER(FIND(Aux!$D$3:$D$9,_xlfn.TEXTJOIN(,,C2782:K2782)))),NA(),IF(AND(SUM(C2782:F2782,H2782:K2782)=0,G2782=1),0,INT((SUMPRODUCT(C2782:F2782,COLUMN($A$1:$D$1)-1)+SUMPRODUCT(H2782:K2782,COLUMN($E$1:$H$1)-1))*'Line Follower'!$C$3/SUM(C2782:F2782,H2782:K2782)-'Line Follower'!$C$5)))</f>
        <v>#N/A</v>
      </c>
      <c r="O2782" s="22" t="e">
        <v>#N/A</v>
      </c>
      <c r="P2782" s="4" t="e">
        <f t="shared" si="215"/>
        <v>#N/A</v>
      </c>
      <c r="Q2782" s="4" t="e">
        <f t="shared" si="216"/>
        <v>#N/A</v>
      </c>
      <c r="R2782" s="4" t="e">
        <f>IF(AND(B2782=1,N2782&gt;'Line Follower'!$C$7,SUM(C2782:K2782)&lt;4),1,0)</f>
        <v>#N/A</v>
      </c>
      <c r="S2782" s="4" t="e">
        <f>IF(AND(L2782=1,N2782&lt;'Line Follower'!$C$6,SUM(C2782:K2782)&lt;4),1,0)</f>
        <v>#N/A</v>
      </c>
      <c r="T2782" s="4" t="e">
        <f t="shared" si="217"/>
        <v>#N/A</v>
      </c>
      <c r="U2782" s="5" t="e">
        <f t="shared" si="218"/>
        <v>#N/A</v>
      </c>
      <c r="V2782" s="23" t="e">
        <f t="shared" si="219"/>
        <v>#N/A</v>
      </c>
    </row>
    <row r="2783" spans="2:22" x14ac:dyDescent="0.25">
      <c r="B2783" s="16">
        <v>0</v>
      </c>
      <c r="C2783" s="7">
        <v>0</v>
      </c>
      <c r="D2783" s="8">
        <v>1</v>
      </c>
      <c r="E2783" s="8">
        <v>1</v>
      </c>
      <c r="F2783" s="8">
        <v>1</v>
      </c>
      <c r="G2783" s="8">
        <v>0</v>
      </c>
      <c r="H2783" s="8">
        <v>1</v>
      </c>
      <c r="I2783" s="8">
        <v>1</v>
      </c>
      <c r="J2783" s="8">
        <v>0</v>
      </c>
      <c r="K2783" s="9">
        <v>1</v>
      </c>
      <c r="L2783" s="10">
        <v>0</v>
      </c>
      <c r="M2783" s="6">
        <v>1</v>
      </c>
      <c r="N2783" s="37" t="e" cm="1">
        <f t="array" ref="N2783">IF(OR(ISNUMBER(FIND(Aux!$D$3:$D$9,_xlfn.TEXTJOIN(,,C2783:K2783)))),NA(),IF(AND(SUM(C2783:F2783,H2783:K2783)=0,G2783=1),0,INT((SUMPRODUCT(C2783:F2783,COLUMN($A$1:$D$1)-1)+SUMPRODUCT(H2783:K2783,COLUMN($E$1:$H$1)-1))*'Line Follower'!$C$3/SUM(C2783:F2783,H2783:K2783)-'Line Follower'!$C$5)))</f>
        <v>#N/A</v>
      </c>
      <c r="O2783" s="22" t="e">
        <v>#N/A</v>
      </c>
      <c r="P2783" s="4" t="e">
        <f t="shared" si="215"/>
        <v>#N/A</v>
      </c>
      <c r="Q2783" s="4" t="e">
        <f t="shared" si="216"/>
        <v>#N/A</v>
      </c>
      <c r="R2783" s="4" t="e">
        <f>IF(AND(B2783=1,N2783&gt;'Line Follower'!$C$7,SUM(C2783:K2783)&lt;4),1,0)</f>
        <v>#N/A</v>
      </c>
      <c r="S2783" s="4" t="e">
        <f>IF(AND(L2783=1,N2783&lt;'Line Follower'!$C$6,SUM(C2783:K2783)&lt;4),1,0)</f>
        <v>#N/A</v>
      </c>
      <c r="T2783" s="4" t="e">
        <f t="shared" si="217"/>
        <v>#N/A</v>
      </c>
      <c r="U2783" s="5" t="e">
        <f t="shared" si="218"/>
        <v>#N/A</v>
      </c>
      <c r="V2783" s="23" t="e">
        <f t="shared" si="219"/>
        <v>#N/A</v>
      </c>
    </row>
    <row r="2784" spans="2:22" x14ac:dyDescent="0.25">
      <c r="B2784" s="16">
        <v>1</v>
      </c>
      <c r="C2784" s="7">
        <v>0</v>
      </c>
      <c r="D2784" s="8">
        <v>1</v>
      </c>
      <c r="E2784" s="8">
        <v>1</v>
      </c>
      <c r="F2784" s="8">
        <v>1</v>
      </c>
      <c r="G2784" s="8">
        <v>0</v>
      </c>
      <c r="H2784" s="8">
        <v>1</v>
      </c>
      <c r="I2784" s="8">
        <v>1</v>
      </c>
      <c r="J2784" s="8">
        <v>0</v>
      </c>
      <c r="K2784" s="9">
        <v>1</v>
      </c>
      <c r="L2784" s="10">
        <v>0</v>
      </c>
      <c r="M2784" s="6">
        <v>1</v>
      </c>
      <c r="N2784" s="37" t="e" cm="1">
        <f t="array" ref="N2784">IF(OR(ISNUMBER(FIND(Aux!$D$3:$D$9,_xlfn.TEXTJOIN(,,C2784:K2784)))),NA(),IF(AND(SUM(C2784:F2784,H2784:K2784)=0,G2784=1),0,INT((SUMPRODUCT(C2784:F2784,COLUMN($A$1:$D$1)-1)+SUMPRODUCT(H2784:K2784,COLUMN($E$1:$H$1)-1))*'Line Follower'!$C$3/SUM(C2784:F2784,H2784:K2784)-'Line Follower'!$C$5)))</f>
        <v>#N/A</v>
      </c>
      <c r="O2784" s="22" t="e">
        <v>#N/A</v>
      </c>
      <c r="P2784" s="4" t="e">
        <f t="shared" si="215"/>
        <v>#N/A</v>
      </c>
      <c r="Q2784" s="4" t="e">
        <f t="shared" si="216"/>
        <v>#N/A</v>
      </c>
      <c r="R2784" s="4" t="e">
        <f>IF(AND(B2784=1,N2784&gt;'Line Follower'!$C$7,SUM(C2784:K2784)&lt;4),1,0)</f>
        <v>#N/A</v>
      </c>
      <c r="S2784" s="4" t="e">
        <f>IF(AND(L2784=1,N2784&lt;'Line Follower'!$C$6,SUM(C2784:K2784)&lt;4),1,0)</f>
        <v>#N/A</v>
      </c>
      <c r="T2784" s="4" t="e">
        <f t="shared" si="217"/>
        <v>#N/A</v>
      </c>
      <c r="U2784" s="5" t="e">
        <f t="shared" si="218"/>
        <v>#N/A</v>
      </c>
      <c r="V2784" s="23" t="e">
        <f t="shared" si="219"/>
        <v>#N/A</v>
      </c>
    </row>
    <row r="2785" spans="2:22" x14ac:dyDescent="0.25">
      <c r="B2785" s="16">
        <v>0</v>
      </c>
      <c r="C2785" s="7">
        <v>1</v>
      </c>
      <c r="D2785" s="8">
        <v>1</v>
      </c>
      <c r="E2785" s="8">
        <v>1</v>
      </c>
      <c r="F2785" s="8">
        <v>1</v>
      </c>
      <c r="G2785" s="8">
        <v>0</v>
      </c>
      <c r="H2785" s="8">
        <v>1</v>
      </c>
      <c r="I2785" s="8">
        <v>1</v>
      </c>
      <c r="J2785" s="8">
        <v>0</v>
      </c>
      <c r="K2785" s="9">
        <v>1</v>
      </c>
      <c r="L2785" s="10">
        <v>0</v>
      </c>
      <c r="M2785" s="6">
        <v>1</v>
      </c>
      <c r="N2785" s="37" t="e" cm="1">
        <f t="array" ref="N2785">IF(OR(ISNUMBER(FIND(Aux!$D$3:$D$9,_xlfn.TEXTJOIN(,,C2785:K2785)))),NA(),IF(AND(SUM(C2785:F2785,H2785:K2785)=0,G2785=1),0,INT((SUMPRODUCT(C2785:F2785,COLUMN($A$1:$D$1)-1)+SUMPRODUCT(H2785:K2785,COLUMN($E$1:$H$1)-1))*'Line Follower'!$C$3/SUM(C2785:F2785,H2785:K2785)-'Line Follower'!$C$5)))</f>
        <v>#N/A</v>
      </c>
      <c r="O2785" s="22" t="e">
        <v>#N/A</v>
      </c>
      <c r="P2785" s="4" t="e">
        <f t="shared" si="215"/>
        <v>#N/A</v>
      </c>
      <c r="Q2785" s="4" t="e">
        <f t="shared" si="216"/>
        <v>#N/A</v>
      </c>
      <c r="R2785" s="4" t="e">
        <f>IF(AND(B2785=1,N2785&gt;'Line Follower'!$C$7,SUM(C2785:K2785)&lt;4),1,0)</f>
        <v>#N/A</v>
      </c>
      <c r="S2785" s="4" t="e">
        <f>IF(AND(L2785=1,N2785&lt;'Line Follower'!$C$6,SUM(C2785:K2785)&lt;4),1,0)</f>
        <v>#N/A</v>
      </c>
      <c r="T2785" s="4" t="e">
        <f t="shared" si="217"/>
        <v>#N/A</v>
      </c>
      <c r="U2785" s="5" t="e">
        <f t="shared" si="218"/>
        <v>#N/A</v>
      </c>
      <c r="V2785" s="23" t="e">
        <f t="shared" si="219"/>
        <v>#N/A</v>
      </c>
    </row>
    <row r="2786" spans="2:22" x14ac:dyDescent="0.25">
      <c r="B2786" s="16">
        <v>1</v>
      </c>
      <c r="C2786" s="7">
        <v>1</v>
      </c>
      <c r="D2786" s="8">
        <v>1</v>
      </c>
      <c r="E2786" s="8">
        <v>1</v>
      </c>
      <c r="F2786" s="8">
        <v>1</v>
      </c>
      <c r="G2786" s="8">
        <v>0</v>
      </c>
      <c r="H2786" s="8">
        <v>1</v>
      </c>
      <c r="I2786" s="8">
        <v>1</v>
      </c>
      <c r="J2786" s="8">
        <v>0</v>
      </c>
      <c r="K2786" s="9">
        <v>1</v>
      </c>
      <c r="L2786" s="10">
        <v>0</v>
      </c>
      <c r="M2786" s="6">
        <v>1</v>
      </c>
      <c r="N2786" s="37" t="e" cm="1">
        <f t="array" ref="N2786">IF(OR(ISNUMBER(FIND(Aux!$D$3:$D$9,_xlfn.TEXTJOIN(,,C2786:K2786)))),NA(),IF(AND(SUM(C2786:F2786,H2786:K2786)=0,G2786=1),0,INT((SUMPRODUCT(C2786:F2786,COLUMN($A$1:$D$1)-1)+SUMPRODUCT(H2786:K2786,COLUMN($E$1:$H$1)-1))*'Line Follower'!$C$3/SUM(C2786:F2786,H2786:K2786)-'Line Follower'!$C$5)))</f>
        <v>#N/A</v>
      </c>
      <c r="O2786" s="22" t="e">
        <v>#N/A</v>
      </c>
      <c r="P2786" s="4" t="e">
        <f t="shared" si="215"/>
        <v>#N/A</v>
      </c>
      <c r="Q2786" s="4" t="e">
        <f t="shared" si="216"/>
        <v>#N/A</v>
      </c>
      <c r="R2786" s="4" t="e">
        <f>IF(AND(B2786=1,N2786&gt;'Line Follower'!$C$7,SUM(C2786:K2786)&lt;4),1,0)</f>
        <v>#N/A</v>
      </c>
      <c r="S2786" s="4" t="e">
        <f>IF(AND(L2786=1,N2786&lt;'Line Follower'!$C$6,SUM(C2786:K2786)&lt;4),1,0)</f>
        <v>#N/A</v>
      </c>
      <c r="T2786" s="4" t="e">
        <f t="shared" si="217"/>
        <v>#N/A</v>
      </c>
      <c r="U2786" s="5" t="e">
        <f t="shared" si="218"/>
        <v>#N/A</v>
      </c>
      <c r="V2786" s="23" t="e">
        <f t="shared" si="219"/>
        <v>#N/A</v>
      </c>
    </row>
    <row r="2787" spans="2:22" x14ac:dyDescent="0.25">
      <c r="B2787" s="16">
        <v>0</v>
      </c>
      <c r="C2787" s="7">
        <v>0</v>
      </c>
      <c r="D2787" s="8">
        <v>0</v>
      </c>
      <c r="E2787" s="8">
        <v>0</v>
      </c>
      <c r="F2787" s="8">
        <v>0</v>
      </c>
      <c r="G2787" s="8">
        <v>1</v>
      </c>
      <c r="H2787" s="8">
        <v>1</v>
      </c>
      <c r="I2787" s="8">
        <v>1</v>
      </c>
      <c r="J2787" s="8">
        <v>0</v>
      </c>
      <c r="K2787" s="9">
        <v>1</v>
      </c>
      <c r="L2787" s="10">
        <v>0</v>
      </c>
      <c r="M2787" s="6">
        <v>1</v>
      </c>
      <c r="N2787" s="37" t="e" cm="1">
        <f t="array" ref="N2787">IF(OR(ISNUMBER(FIND(Aux!$D$3:$D$9,_xlfn.TEXTJOIN(,,C2787:K2787)))),NA(),IF(AND(SUM(C2787:F2787,H2787:K2787)=0,G2787=1),0,INT((SUMPRODUCT(C2787:F2787,COLUMN($A$1:$D$1)-1)+SUMPRODUCT(H2787:K2787,COLUMN($E$1:$H$1)-1))*'Line Follower'!$C$3/SUM(C2787:F2787,H2787:K2787)-'Line Follower'!$C$5)))</f>
        <v>#N/A</v>
      </c>
      <c r="O2787" s="22" t="e">
        <v>#N/A</v>
      </c>
      <c r="P2787" s="4" t="e">
        <f t="shared" si="215"/>
        <v>#N/A</v>
      </c>
      <c r="Q2787" s="4" t="e">
        <f t="shared" si="216"/>
        <v>#N/A</v>
      </c>
      <c r="R2787" s="4" t="e">
        <f>IF(AND(B2787=1,N2787&gt;'Line Follower'!$C$7,SUM(C2787:K2787)&lt;4),1,0)</f>
        <v>#N/A</v>
      </c>
      <c r="S2787" s="4" t="e">
        <f>IF(AND(L2787=1,N2787&lt;'Line Follower'!$C$6,SUM(C2787:K2787)&lt;4),1,0)</f>
        <v>#N/A</v>
      </c>
      <c r="T2787" s="4" t="e">
        <f t="shared" si="217"/>
        <v>#N/A</v>
      </c>
      <c r="U2787" s="5" t="e">
        <f t="shared" si="218"/>
        <v>#N/A</v>
      </c>
      <c r="V2787" s="23" t="e">
        <f t="shared" si="219"/>
        <v>#N/A</v>
      </c>
    </row>
    <row r="2788" spans="2:22" x14ac:dyDescent="0.25">
      <c r="B2788" s="16">
        <v>1</v>
      </c>
      <c r="C2788" s="7">
        <v>0</v>
      </c>
      <c r="D2788" s="8">
        <v>0</v>
      </c>
      <c r="E2788" s="8">
        <v>0</v>
      </c>
      <c r="F2788" s="8">
        <v>0</v>
      </c>
      <c r="G2788" s="8">
        <v>1</v>
      </c>
      <c r="H2788" s="8">
        <v>1</v>
      </c>
      <c r="I2788" s="8">
        <v>1</v>
      </c>
      <c r="J2788" s="8">
        <v>0</v>
      </c>
      <c r="K2788" s="9">
        <v>1</v>
      </c>
      <c r="L2788" s="10">
        <v>0</v>
      </c>
      <c r="M2788" s="6">
        <v>1</v>
      </c>
      <c r="N2788" s="37" t="e" cm="1">
        <f t="array" ref="N2788">IF(OR(ISNUMBER(FIND(Aux!$D$3:$D$9,_xlfn.TEXTJOIN(,,C2788:K2788)))),NA(),IF(AND(SUM(C2788:F2788,H2788:K2788)=0,G2788=1),0,INT((SUMPRODUCT(C2788:F2788,COLUMN($A$1:$D$1)-1)+SUMPRODUCT(H2788:K2788,COLUMN($E$1:$H$1)-1))*'Line Follower'!$C$3/SUM(C2788:F2788,H2788:K2788)-'Line Follower'!$C$5)))</f>
        <v>#N/A</v>
      </c>
      <c r="O2788" s="22" t="e">
        <v>#N/A</v>
      </c>
      <c r="P2788" s="4" t="e">
        <f t="shared" si="215"/>
        <v>#N/A</v>
      </c>
      <c r="Q2788" s="4" t="e">
        <f t="shared" si="216"/>
        <v>#N/A</v>
      </c>
      <c r="R2788" s="4" t="e">
        <f>IF(AND(B2788=1,N2788&gt;'Line Follower'!$C$7,SUM(C2788:K2788)&lt;4),1,0)</f>
        <v>#N/A</v>
      </c>
      <c r="S2788" s="4" t="e">
        <f>IF(AND(L2788=1,N2788&lt;'Line Follower'!$C$6,SUM(C2788:K2788)&lt;4),1,0)</f>
        <v>#N/A</v>
      </c>
      <c r="T2788" s="4" t="e">
        <f t="shared" si="217"/>
        <v>#N/A</v>
      </c>
      <c r="U2788" s="5" t="e">
        <f t="shared" si="218"/>
        <v>#N/A</v>
      </c>
      <c r="V2788" s="23" t="e">
        <f t="shared" si="219"/>
        <v>#N/A</v>
      </c>
    </row>
    <row r="2789" spans="2:22" x14ac:dyDescent="0.25">
      <c r="B2789" s="16">
        <v>0</v>
      </c>
      <c r="C2789" s="7">
        <v>1</v>
      </c>
      <c r="D2789" s="8">
        <v>0</v>
      </c>
      <c r="E2789" s="8">
        <v>0</v>
      </c>
      <c r="F2789" s="8">
        <v>0</v>
      </c>
      <c r="G2789" s="8">
        <v>1</v>
      </c>
      <c r="H2789" s="8">
        <v>1</v>
      </c>
      <c r="I2789" s="8">
        <v>1</v>
      </c>
      <c r="J2789" s="8">
        <v>0</v>
      </c>
      <c r="K2789" s="9">
        <v>1</v>
      </c>
      <c r="L2789" s="10">
        <v>0</v>
      </c>
      <c r="M2789" s="6">
        <v>1</v>
      </c>
      <c r="N2789" s="37" t="e" cm="1">
        <f t="array" ref="N2789">IF(OR(ISNUMBER(FIND(Aux!$D$3:$D$9,_xlfn.TEXTJOIN(,,C2789:K2789)))),NA(),IF(AND(SUM(C2789:F2789,H2789:K2789)=0,G2789=1),0,INT((SUMPRODUCT(C2789:F2789,COLUMN($A$1:$D$1)-1)+SUMPRODUCT(H2789:K2789,COLUMN($E$1:$H$1)-1))*'Line Follower'!$C$3/SUM(C2789:F2789,H2789:K2789)-'Line Follower'!$C$5)))</f>
        <v>#N/A</v>
      </c>
      <c r="O2789" s="22" t="e">
        <v>#N/A</v>
      </c>
      <c r="P2789" s="4" t="e">
        <f t="shared" si="215"/>
        <v>#N/A</v>
      </c>
      <c r="Q2789" s="4" t="e">
        <f t="shared" si="216"/>
        <v>#N/A</v>
      </c>
      <c r="R2789" s="4" t="e">
        <f>IF(AND(B2789=1,N2789&gt;'Line Follower'!$C$7,SUM(C2789:K2789)&lt;4),1,0)</f>
        <v>#N/A</v>
      </c>
      <c r="S2789" s="4" t="e">
        <f>IF(AND(L2789=1,N2789&lt;'Line Follower'!$C$6,SUM(C2789:K2789)&lt;4),1,0)</f>
        <v>#N/A</v>
      </c>
      <c r="T2789" s="4" t="e">
        <f t="shared" si="217"/>
        <v>#N/A</v>
      </c>
      <c r="U2789" s="5" t="e">
        <f t="shared" si="218"/>
        <v>#N/A</v>
      </c>
      <c r="V2789" s="23" t="e">
        <f t="shared" si="219"/>
        <v>#N/A</v>
      </c>
    </row>
    <row r="2790" spans="2:22" x14ac:dyDescent="0.25">
      <c r="B2790" s="16">
        <v>1</v>
      </c>
      <c r="C2790" s="7">
        <v>1</v>
      </c>
      <c r="D2790" s="8">
        <v>0</v>
      </c>
      <c r="E2790" s="8">
        <v>0</v>
      </c>
      <c r="F2790" s="8">
        <v>0</v>
      </c>
      <c r="G2790" s="8">
        <v>1</v>
      </c>
      <c r="H2790" s="8">
        <v>1</v>
      </c>
      <c r="I2790" s="8">
        <v>1</v>
      </c>
      <c r="J2790" s="8">
        <v>0</v>
      </c>
      <c r="K2790" s="9">
        <v>1</v>
      </c>
      <c r="L2790" s="10">
        <v>0</v>
      </c>
      <c r="M2790" s="6">
        <v>1</v>
      </c>
      <c r="N2790" s="37" t="e" cm="1">
        <f t="array" ref="N2790">IF(OR(ISNUMBER(FIND(Aux!$D$3:$D$9,_xlfn.TEXTJOIN(,,C2790:K2790)))),NA(),IF(AND(SUM(C2790:F2790,H2790:K2790)=0,G2790=1),0,INT((SUMPRODUCT(C2790:F2790,COLUMN($A$1:$D$1)-1)+SUMPRODUCT(H2790:K2790,COLUMN($E$1:$H$1)-1))*'Line Follower'!$C$3/SUM(C2790:F2790,H2790:K2790)-'Line Follower'!$C$5)))</f>
        <v>#N/A</v>
      </c>
      <c r="O2790" s="22" t="e">
        <v>#N/A</v>
      </c>
      <c r="P2790" s="4" t="e">
        <f t="shared" si="215"/>
        <v>#N/A</v>
      </c>
      <c r="Q2790" s="4" t="e">
        <f t="shared" si="216"/>
        <v>#N/A</v>
      </c>
      <c r="R2790" s="4" t="e">
        <f>IF(AND(B2790=1,N2790&gt;'Line Follower'!$C$7,SUM(C2790:K2790)&lt;4),1,0)</f>
        <v>#N/A</v>
      </c>
      <c r="S2790" s="4" t="e">
        <f>IF(AND(L2790=1,N2790&lt;'Line Follower'!$C$6,SUM(C2790:K2790)&lt;4),1,0)</f>
        <v>#N/A</v>
      </c>
      <c r="T2790" s="4" t="e">
        <f t="shared" si="217"/>
        <v>#N/A</v>
      </c>
      <c r="U2790" s="5" t="e">
        <f t="shared" si="218"/>
        <v>#N/A</v>
      </c>
      <c r="V2790" s="23" t="e">
        <f t="shared" si="219"/>
        <v>#N/A</v>
      </c>
    </row>
    <row r="2791" spans="2:22" x14ac:dyDescent="0.25">
      <c r="B2791" s="16">
        <v>0</v>
      </c>
      <c r="C2791" s="7">
        <v>0</v>
      </c>
      <c r="D2791" s="8">
        <v>1</v>
      </c>
      <c r="E2791" s="8">
        <v>0</v>
      </c>
      <c r="F2791" s="8">
        <v>0</v>
      </c>
      <c r="G2791" s="8">
        <v>1</v>
      </c>
      <c r="H2791" s="8">
        <v>1</v>
      </c>
      <c r="I2791" s="8">
        <v>1</v>
      </c>
      <c r="J2791" s="8">
        <v>0</v>
      </c>
      <c r="K2791" s="9">
        <v>1</v>
      </c>
      <c r="L2791" s="10">
        <v>0</v>
      </c>
      <c r="M2791" s="6">
        <v>1</v>
      </c>
      <c r="N2791" s="37" t="e" cm="1">
        <f t="array" ref="N2791">IF(OR(ISNUMBER(FIND(Aux!$D$3:$D$9,_xlfn.TEXTJOIN(,,C2791:K2791)))),NA(),IF(AND(SUM(C2791:F2791,H2791:K2791)=0,G2791=1),0,INT((SUMPRODUCT(C2791:F2791,COLUMN($A$1:$D$1)-1)+SUMPRODUCT(H2791:K2791,COLUMN($E$1:$H$1)-1))*'Line Follower'!$C$3/SUM(C2791:F2791,H2791:K2791)-'Line Follower'!$C$5)))</f>
        <v>#N/A</v>
      </c>
      <c r="O2791" s="22" t="e">
        <v>#N/A</v>
      </c>
      <c r="P2791" s="4" t="e">
        <f t="shared" si="215"/>
        <v>#N/A</v>
      </c>
      <c r="Q2791" s="4" t="e">
        <f t="shared" si="216"/>
        <v>#N/A</v>
      </c>
      <c r="R2791" s="4" t="e">
        <f>IF(AND(B2791=1,N2791&gt;'Line Follower'!$C$7,SUM(C2791:K2791)&lt;4),1,0)</f>
        <v>#N/A</v>
      </c>
      <c r="S2791" s="4" t="e">
        <f>IF(AND(L2791=1,N2791&lt;'Line Follower'!$C$6,SUM(C2791:K2791)&lt;4),1,0)</f>
        <v>#N/A</v>
      </c>
      <c r="T2791" s="4" t="e">
        <f t="shared" si="217"/>
        <v>#N/A</v>
      </c>
      <c r="U2791" s="5" t="e">
        <f t="shared" si="218"/>
        <v>#N/A</v>
      </c>
      <c r="V2791" s="23" t="e">
        <f t="shared" si="219"/>
        <v>#N/A</v>
      </c>
    </row>
    <row r="2792" spans="2:22" x14ac:dyDescent="0.25">
      <c r="B2792" s="16">
        <v>1</v>
      </c>
      <c r="C2792" s="7">
        <v>0</v>
      </c>
      <c r="D2792" s="8">
        <v>1</v>
      </c>
      <c r="E2792" s="8">
        <v>0</v>
      </c>
      <c r="F2792" s="8">
        <v>0</v>
      </c>
      <c r="G2792" s="8">
        <v>1</v>
      </c>
      <c r="H2792" s="8">
        <v>1</v>
      </c>
      <c r="I2792" s="8">
        <v>1</v>
      </c>
      <c r="J2792" s="8">
        <v>0</v>
      </c>
      <c r="K2792" s="9">
        <v>1</v>
      </c>
      <c r="L2792" s="10">
        <v>0</v>
      </c>
      <c r="M2792" s="6">
        <v>1</v>
      </c>
      <c r="N2792" s="37" t="e" cm="1">
        <f t="array" ref="N2792">IF(OR(ISNUMBER(FIND(Aux!$D$3:$D$9,_xlfn.TEXTJOIN(,,C2792:K2792)))),NA(),IF(AND(SUM(C2792:F2792,H2792:K2792)=0,G2792=1),0,INT((SUMPRODUCT(C2792:F2792,COLUMN($A$1:$D$1)-1)+SUMPRODUCT(H2792:K2792,COLUMN($E$1:$H$1)-1))*'Line Follower'!$C$3/SUM(C2792:F2792,H2792:K2792)-'Line Follower'!$C$5)))</f>
        <v>#N/A</v>
      </c>
      <c r="O2792" s="22" t="e">
        <v>#N/A</v>
      </c>
      <c r="P2792" s="4" t="e">
        <f t="shared" si="215"/>
        <v>#N/A</v>
      </c>
      <c r="Q2792" s="4" t="e">
        <f t="shared" si="216"/>
        <v>#N/A</v>
      </c>
      <c r="R2792" s="4" t="e">
        <f>IF(AND(B2792=1,N2792&gt;'Line Follower'!$C$7,SUM(C2792:K2792)&lt;4),1,0)</f>
        <v>#N/A</v>
      </c>
      <c r="S2792" s="4" t="e">
        <f>IF(AND(L2792=1,N2792&lt;'Line Follower'!$C$6,SUM(C2792:K2792)&lt;4),1,0)</f>
        <v>#N/A</v>
      </c>
      <c r="T2792" s="4" t="e">
        <f t="shared" si="217"/>
        <v>#N/A</v>
      </c>
      <c r="U2792" s="5" t="e">
        <f t="shared" si="218"/>
        <v>#N/A</v>
      </c>
      <c r="V2792" s="23" t="e">
        <f t="shared" si="219"/>
        <v>#N/A</v>
      </c>
    </row>
    <row r="2793" spans="2:22" x14ac:dyDescent="0.25">
      <c r="B2793" s="16">
        <v>0</v>
      </c>
      <c r="C2793" s="7">
        <v>1</v>
      </c>
      <c r="D2793" s="8">
        <v>1</v>
      </c>
      <c r="E2793" s="8">
        <v>0</v>
      </c>
      <c r="F2793" s="8">
        <v>0</v>
      </c>
      <c r="G2793" s="8">
        <v>1</v>
      </c>
      <c r="H2793" s="8">
        <v>1</v>
      </c>
      <c r="I2793" s="8">
        <v>1</v>
      </c>
      <c r="J2793" s="8">
        <v>0</v>
      </c>
      <c r="K2793" s="9">
        <v>1</v>
      </c>
      <c r="L2793" s="10">
        <v>0</v>
      </c>
      <c r="M2793" s="6">
        <v>1</v>
      </c>
      <c r="N2793" s="37" t="e" cm="1">
        <f t="array" ref="N2793">IF(OR(ISNUMBER(FIND(Aux!$D$3:$D$9,_xlfn.TEXTJOIN(,,C2793:K2793)))),NA(),IF(AND(SUM(C2793:F2793,H2793:K2793)=0,G2793=1),0,INT((SUMPRODUCT(C2793:F2793,COLUMN($A$1:$D$1)-1)+SUMPRODUCT(H2793:K2793,COLUMN($E$1:$H$1)-1))*'Line Follower'!$C$3/SUM(C2793:F2793,H2793:K2793)-'Line Follower'!$C$5)))</f>
        <v>#N/A</v>
      </c>
      <c r="O2793" s="22" t="e">
        <v>#N/A</v>
      </c>
      <c r="P2793" s="4" t="e">
        <f t="shared" si="215"/>
        <v>#N/A</v>
      </c>
      <c r="Q2793" s="4" t="e">
        <f t="shared" si="216"/>
        <v>#N/A</v>
      </c>
      <c r="R2793" s="4" t="e">
        <f>IF(AND(B2793=1,N2793&gt;'Line Follower'!$C$7,SUM(C2793:K2793)&lt;4),1,0)</f>
        <v>#N/A</v>
      </c>
      <c r="S2793" s="4" t="e">
        <f>IF(AND(L2793=1,N2793&lt;'Line Follower'!$C$6,SUM(C2793:K2793)&lt;4),1,0)</f>
        <v>#N/A</v>
      </c>
      <c r="T2793" s="4" t="e">
        <f t="shared" si="217"/>
        <v>#N/A</v>
      </c>
      <c r="U2793" s="5" t="e">
        <f t="shared" si="218"/>
        <v>#N/A</v>
      </c>
      <c r="V2793" s="23" t="e">
        <f t="shared" si="219"/>
        <v>#N/A</v>
      </c>
    </row>
    <row r="2794" spans="2:22" x14ac:dyDescent="0.25">
      <c r="B2794" s="16">
        <v>1</v>
      </c>
      <c r="C2794" s="7">
        <v>1</v>
      </c>
      <c r="D2794" s="8">
        <v>1</v>
      </c>
      <c r="E2794" s="8">
        <v>0</v>
      </c>
      <c r="F2794" s="8">
        <v>0</v>
      </c>
      <c r="G2794" s="8">
        <v>1</v>
      </c>
      <c r="H2794" s="8">
        <v>1</v>
      </c>
      <c r="I2794" s="8">
        <v>1</v>
      </c>
      <c r="J2794" s="8">
        <v>0</v>
      </c>
      <c r="K2794" s="9">
        <v>1</v>
      </c>
      <c r="L2794" s="10">
        <v>0</v>
      </c>
      <c r="M2794" s="6">
        <v>1</v>
      </c>
      <c r="N2794" s="37" t="e" cm="1">
        <f t="array" ref="N2794">IF(OR(ISNUMBER(FIND(Aux!$D$3:$D$9,_xlfn.TEXTJOIN(,,C2794:K2794)))),NA(),IF(AND(SUM(C2794:F2794,H2794:K2794)=0,G2794=1),0,INT((SUMPRODUCT(C2794:F2794,COLUMN($A$1:$D$1)-1)+SUMPRODUCT(H2794:K2794,COLUMN($E$1:$H$1)-1))*'Line Follower'!$C$3/SUM(C2794:F2794,H2794:K2794)-'Line Follower'!$C$5)))</f>
        <v>#N/A</v>
      </c>
      <c r="O2794" s="22" t="e">
        <v>#N/A</v>
      </c>
      <c r="P2794" s="4" t="e">
        <f t="shared" si="215"/>
        <v>#N/A</v>
      </c>
      <c r="Q2794" s="4" t="e">
        <f t="shared" si="216"/>
        <v>#N/A</v>
      </c>
      <c r="R2794" s="4" t="e">
        <f>IF(AND(B2794=1,N2794&gt;'Line Follower'!$C$7,SUM(C2794:K2794)&lt;4),1,0)</f>
        <v>#N/A</v>
      </c>
      <c r="S2794" s="4" t="e">
        <f>IF(AND(L2794=1,N2794&lt;'Line Follower'!$C$6,SUM(C2794:K2794)&lt;4),1,0)</f>
        <v>#N/A</v>
      </c>
      <c r="T2794" s="4" t="e">
        <f t="shared" si="217"/>
        <v>#N/A</v>
      </c>
      <c r="U2794" s="5" t="e">
        <f t="shared" si="218"/>
        <v>#N/A</v>
      </c>
      <c r="V2794" s="23" t="e">
        <f t="shared" si="219"/>
        <v>#N/A</v>
      </c>
    </row>
    <row r="2795" spans="2:22" x14ac:dyDescent="0.25">
      <c r="B2795" s="16">
        <v>0</v>
      </c>
      <c r="C2795" s="7">
        <v>0</v>
      </c>
      <c r="D2795" s="8">
        <v>0</v>
      </c>
      <c r="E2795" s="8">
        <v>1</v>
      </c>
      <c r="F2795" s="8">
        <v>0</v>
      </c>
      <c r="G2795" s="8">
        <v>1</v>
      </c>
      <c r="H2795" s="8">
        <v>1</v>
      </c>
      <c r="I2795" s="8">
        <v>1</v>
      </c>
      <c r="J2795" s="8">
        <v>0</v>
      </c>
      <c r="K2795" s="9">
        <v>1</v>
      </c>
      <c r="L2795" s="10">
        <v>0</v>
      </c>
      <c r="M2795" s="6">
        <v>1</v>
      </c>
      <c r="N2795" s="37" t="e" cm="1">
        <f t="array" ref="N2795">IF(OR(ISNUMBER(FIND(Aux!$D$3:$D$9,_xlfn.TEXTJOIN(,,C2795:K2795)))),NA(),IF(AND(SUM(C2795:F2795,H2795:K2795)=0,G2795=1),0,INT((SUMPRODUCT(C2795:F2795,COLUMN($A$1:$D$1)-1)+SUMPRODUCT(H2795:K2795,COLUMN($E$1:$H$1)-1))*'Line Follower'!$C$3/SUM(C2795:F2795,H2795:K2795)-'Line Follower'!$C$5)))</f>
        <v>#N/A</v>
      </c>
      <c r="O2795" s="22" t="e">
        <v>#N/A</v>
      </c>
      <c r="P2795" s="4" t="e">
        <f t="shared" si="215"/>
        <v>#N/A</v>
      </c>
      <c r="Q2795" s="4" t="e">
        <f t="shared" si="216"/>
        <v>#N/A</v>
      </c>
      <c r="R2795" s="4" t="e">
        <f>IF(AND(B2795=1,N2795&gt;'Line Follower'!$C$7,SUM(C2795:K2795)&lt;4),1,0)</f>
        <v>#N/A</v>
      </c>
      <c r="S2795" s="4" t="e">
        <f>IF(AND(L2795=1,N2795&lt;'Line Follower'!$C$6,SUM(C2795:K2795)&lt;4),1,0)</f>
        <v>#N/A</v>
      </c>
      <c r="T2795" s="4" t="e">
        <f t="shared" si="217"/>
        <v>#N/A</v>
      </c>
      <c r="U2795" s="5" t="e">
        <f t="shared" si="218"/>
        <v>#N/A</v>
      </c>
      <c r="V2795" s="23" t="e">
        <f t="shared" si="219"/>
        <v>#N/A</v>
      </c>
    </row>
    <row r="2796" spans="2:22" x14ac:dyDescent="0.25">
      <c r="B2796" s="16">
        <v>1</v>
      </c>
      <c r="C2796" s="7">
        <v>0</v>
      </c>
      <c r="D2796" s="8">
        <v>0</v>
      </c>
      <c r="E2796" s="8">
        <v>1</v>
      </c>
      <c r="F2796" s="8">
        <v>0</v>
      </c>
      <c r="G2796" s="8">
        <v>1</v>
      </c>
      <c r="H2796" s="8">
        <v>1</v>
      </c>
      <c r="I2796" s="8">
        <v>1</v>
      </c>
      <c r="J2796" s="8">
        <v>0</v>
      </c>
      <c r="K2796" s="9">
        <v>1</v>
      </c>
      <c r="L2796" s="10">
        <v>0</v>
      </c>
      <c r="M2796" s="6">
        <v>1</v>
      </c>
      <c r="N2796" s="37" t="e" cm="1">
        <f t="array" ref="N2796">IF(OR(ISNUMBER(FIND(Aux!$D$3:$D$9,_xlfn.TEXTJOIN(,,C2796:K2796)))),NA(),IF(AND(SUM(C2796:F2796,H2796:K2796)=0,G2796=1),0,INT((SUMPRODUCT(C2796:F2796,COLUMN($A$1:$D$1)-1)+SUMPRODUCT(H2796:K2796,COLUMN($E$1:$H$1)-1))*'Line Follower'!$C$3/SUM(C2796:F2796,H2796:K2796)-'Line Follower'!$C$5)))</f>
        <v>#N/A</v>
      </c>
      <c r="O2796" s="22" t="e">
        <v>#N/A</v>
      </c>
      <c r="P2796" s="4" t="e">
        <f t="shared" si="215"/>
        <v>#N/A</v>
      </c>
      <c r="Q2796" s="4" t="e">
        <f t="shared" si="216"/>
        <v>#N/A</v>
      </c>
      <c r="R2796" s="4" t="e">
        <f>IF(AND(B2796=1,N2796&gt;'Line Follower'!$C$7,SUM(C2796:K2796)&lt;4),1,0)</f>
        <v>#N/A</v>
      </c>
      <c r="S2796" s="4" t="e">
        <f>IF(AND(L2796=1,N2796&lt;'Line Follower'!$C$6,SUM(C2796:K2796)&lt;4),1,0)</f>
        <v>#N/A</v>
      </c>
      <c r="T2796" s="4" t="e">
        <f t="shared" si="217"/>
        <v>#N/A</v>
      </c>
      <c r="U2796" s="5" t="e">
        <f t="shared" si="218"/>
        <v>#N/A</v>
      </c>
      <c r="V2796" s="23" t="e">
        <f t="shared" si="219"/>
        <v>#N/A</v>
      </c>
    </row>
    <row r="2797" spans="2:22" x14ac:dyDescent="0.25">
      <c r="B2797" s="16">
        <v>0</v>
      </c>
      <c r="C2797" s="7">
        <v>1</v>
      </c>
      <c r="D2797" s="8">
        <v>0</v>
      </c>
      <c r="E2797" s="8">
        <v>1</v>
      </c>
      <c r="F2797" s="8">
        <v>0</v>
      </c>
      <c r="G2797" s="8">
        <v>1</v>
      </c>
      <c r="H2797" s="8">
        <v>1</v>
      </c>
      <c r="I2797" s="8">
        <v>1</v>
      </c>
      <c r="J2797" s="8">
        <v>0</v>
      </c>
      <c r="K2797" s="9">
        <v>1</v>
      </c>
      <c r="L2797" s="10">
        <v>0</v>
      </c>
      <c r="M2797" s="6">
        <v>1</v>
      </c>
      <c r="N2797" s="37" t="e" cm="1">
        <f t="array" ref="N2797">IF(OR(ISNUMBER(FIND(Aux!$D$3:$D$9,_xlfn.TEXTJOIN(,,C2797:K2797)))),NA(),IF(AND(SUM(C2797:F2797,H2797:K2797)=0,G2797=1),0,INT((SUMPRODUCT(C2797:F2797,COLUMN($A$1:$D$1)-1)+SUMPRODUCT(H2797:K2797,COLUMN($E$1:$H$1)-1))*'Line Follower'!$C$3/SUM(C2797:F2797,H2797:K2797)-'Line Follower'!$C$5)))</f>
        <v>#N/A</v>
      </c>
      <c r="O2797" s="22" t="e">
        <v>#N/A</v>
      </c>
      <c r="P2797" s="4" t="e">
        <f t="shared" si="215"/>
        <v>#N/A</v>
      </c>
      <c r="Q2797" s="4" t="e">
        <f t="shared" si="216"/>
        <v>#N/A</v>
      </c>
      <c r="R2797" s="4" t="e">
        <f>IF(AND(B2797=1,N2797&gt;'Line Follower'!$C$7,SUM(C2797:K2797)&lt;4),1,0)</f>
        <v>#N/A</v>
      </c>
      <c r="S2797" s="4" t="e">
        <f>IF(AND(L2797=1,N2797&lt;'Line Follower'!$C$6,SUM(C2797:K2797)&lt;4),1,0)</f>
        <v>#N/A</v>
      </c>
      <c r="T2797" s="4" t="e">
        <f t="shared" si="217"/>
        <v>#N/A</v>
      </c>
      <c r="U2797" s="5" t="e">
        <f t="shared" si="218"/>
        <v>#N/A</v>
      </c>
      <c r="V2797" s="23" t="e">
        <f t="shared" si="219"/>
        <v>#N/A</v>
      </c>
    </row>
    <row r="2798" spans="2:22" x14ac:dyDescent="0.25">
      <c r="B2798" s="16">
        <v>1</v>
      </c>
      <c r="C2798" s="7">
        <v>1</v>
      </c>
      <c r="D2798" s="8">
        <v>0</v>
      </c>
      <c r="E2798" s="8">
        <v>1</v>
      </c>
      <c r="F2798" s="8">
        <v>0</v>
      </c>
      <c r="G2798" s="8">
        <v>1</v>
      </c>
      <c r="H2798" s="8">
        <v>1</v>
      </c>
      <c r="I2798" s="8">
        <v>1</v>
      </c>
      <c r="J2798" s="8">
        <v>0</v>
      </c>
      <c r="K2798" s="9">
        <v>1</v>
      </c>
      <c r="L2798" s="10">
        <v>0</v>
      </c>
      <c r="M2798" s="6">
        <v>1</v>
      </c>
      <c r="N2798" s="37" t="e" cm="1">
        <f t="array" ref="N2798">IF(OR(ISNUMBER(FIND(Aux!$D$3:$D$9,_xlfn.TEXTJOIN(,,C2798:K2798)))),NA(),IF(AND(SUM(C2798:F2798,H2798:K2798)=0,G2798=1),0,INT((SUMPRODUCT(C2798:F2798,COLUMN($A$1:$D$1)-1)+SUMPRODUCT(H2798:K2798,COLUMN($E$1:$H$1)-1))*'Line Follower'!$C$3/SUM(C2798:F2798,H2798:K2798)-'Line Follower'!$C$5)))</f>
        <v>#N/A</v>
      </c>
      <c r="O2798" s="22" t="e">
        <v>#N/A</v>
      </c>
      <c r="P2798" s="4" t="e">
        <f t="shared" si="215"/>
        <v>#N/A</v>
      </c>
      <c r="Q2798" s="4" t="e">
        <f t="shared" si="216"/>
        <v>#N/A</v>
      </c>
      <c r="R2798" s="4" t="e">
        <f>IF(AND(B2798=1,N2798&gt;'Line Follower'!$C$7,SUM(C2798:K2798)&lt;4),1,0)</f>
        <v>#N/A</v>
      </c>
      <c r="S2798" s="4" t="e">
        <f>IF(AND(L2798=1,N2798&lt;'Line Follower'!$C$6,SUM(C2798:K2798)&lt;4),1,0)</f>
        <v>#N/A</v>
      </c>
      <c r="T2798" s="4" t="e">
        <f t="shared" si="217"/>
        <v>#N/A</v>
      </c>
      <c r="U2798" s="5" t="e">
        <f t="shared" si="218"/>
        <v>#N/A</v>
      </c>
      <c r="V2798" s="23" t="e">
        <f t="shared" si="219"/>
        <v>#N/A</v>
      </c>
    </row>
    <row r="2799" spans="2:22" x14ac:dyDescent="0.25">
      <c r="B2799" s="16">
        <v>0</v>
      </c>
      <c r="C2799" s="7">
        <v>0</v>
      </c>
      <c r="D2799" s="8">
        <v>1</v>
      </c>
      <c r="E2799" s="8">
        <v>1</v>
      </c>
      <c r="F2799" s="8">
        <v>0</v>
      </c>
      <c r="G2799" s="8">
        <v>1</v>
      </c>
      <c r="H2799" s="8">
        <v>1</v>
      </c>
      <c r="I2799" s="8">
        <v>1</v>
      </c>
      <c r="J2799" s="8">
        <v>0</v>
      </c>
      <c r="K2799" s="9">
        <v>1</v>
      </c>
      <c r="L2799" s="10">
        <v>0</v>
      </c>
      <c r="M2799" s="6">
        <v>1</v>
      </c>
      <c r="N2799" s="37" t="e" cm="1">
        <f t="array" ref="N2799">IF(OR(ISNUMBER(FIND(Aux!$D$3:$D$9,_xlfn.TEXTJOIN(,,C2799:K2799)))),NA(),IF(AND(SUM(C2799:F2799,H2799:K2799)=0,G2799=1),0,INT((SUMPRODUCT(C2799:F2799,COLUMN($A$1:$D$1)-1)+SUMPRODUCT(H2799:K2799,COLUMN($E$1:$H$1)-1))*'Line Follower'!$C$3/SUM(C2799:F2799,H2799:K2799)-'Line Follower'!$C$5)))</f>
        <v>#N/A</v>
      </c>
      <c r="O2799" s="22" t="e">
        <v>#N/A</v>
      </c>
      <c r="P2799" s="4" t="e">
        <f t="shared" si="215"/>
        <v>#N/A</v>
      </c>
      <c r="Q2799" s="4" t="e">
        <f t="shared" si="216"/>
        <v>#N/A</v>
      </c>
      <c r="R2799" s="4" t="e">
        <f>IF(AND(B2799=1,N2799&gt;'Line Follower'!$C$7,SUM(C2799:K2799)&lt;4),1,0)</f>
        <v>#N/A</v>
      </c>
      <c r="S2799" s="4" t="e">
        <f>IF(AND(L2799=1,N2799&lt;'Line Follower'!$C$6,SUM(C2799:K2799)&lt;4),1,0)</f>
        <v>#N/A</v>
      </c>
      <c r="T2799" s="4" t="e">
        <f t="shared" si="217"/>
        <v>#N/A</v>
      </c>
      <c r="U2799" s="5" t="e">
        <f t="shared" si="218"/>
        <v>#N/A</v>
      </c>
      <c r="V2799" s="23" t="e">
        <f t="shared" si="219"/>
        <v>#N/A</v>
      </c>
    </row>
    <row r="2800" spans="2:22" x14ac:dyDescent="0.25">
      <c r="B2800" s="16">
        <v>1</v>
      </c>
      <c r="C2800" s="7">
        <v>0</v>
      </c>
      <c r="D2800" s="8">
        <v>1</v>
      </c>
      <c r="E2800" s="8">
        <v>1</v>
      </c>
      <c r="F2800" s="8">
        <v>0</v>
      </c>
      <c r="G2800" s="8">
        <v>1</v>
      </c>
      <c r="H2800" s="8">
        <v>1</v>
      </c>
      <c r="I2800" s="8">
        <v>1</v>
      </c>
      <c r="J2800" s="8">
        <v>0</v>
      </c>
      <c r="K2800" s="9">
        <v>1</v>
      </c>
      <c r="L2800" s="10">
        <v>0</v>
      </c>
      <c r="M2800" s="6">
        <v>1</v>
      </c>
      <c r="N2800" s="37" t="e" cm="1">
        <f t="array" ref="N2800">IF(OR(ISNUMBER(FIND(Aux!$D$3:$D$9,_xlfn.TEXTJOIN(,,C2800:K2800)))),NA(),IF(AND(SUM(C2800:F2800,H2800:K2800)=0,G2800=1),0,INT((SUMPRODUCT(C2800:F2800,COLUMN($A$1:$D$1)-1)+SUMPRODUCT(H2800:K2800,COLUMN($E$1:$H$1)-1))*'Line Follower'!$C$3/SUM(C2800:F2800,H2800:K2800)-'Line Follower'!$C$5)))</f>
        <v>#N/A</v>
      </c>
      <c r="O2800" s="22" t="e">
        <v>#N/A</v>
      </c>
      <c r="P2800" s="4" t="e">
        <f t="shared" si="215"/>
        <v>#N/A</v>
      </c>
      <c r="Q2800" s="4" t="e">
        <f t="shared" si="216"/>
        <v>#N/A</v>
      </c>
      <c r="R2800" s="4" t="e">
        <f>IF(AND(B2800=1,N2800&gt;'Line Follower'!$C$7,SUM(C2800:K2800)&lt;4),1,0)</f>
        <v>#N/A</v>
      </c>
      <c r="S2800" s="4" t="e">
        <f>IF(AND(L2800=1,N2800&lt;'Line Follower'!$C$6,SUM(C2800:K2800)&lt;4),1,0)</f>
        <v>#N/A</v>
      </c>
      <c r="T2800" s="4" t="e">
        <f t="shared" si="217"/>
        <v>#N/A</v>
      </c>
      <c r="U2800" s="5" t="e">
        <f t="shared" si="218"/>
        <v>#N/A</v>
      </c>
      <c r="V2800" s="23" t="e">
        <f t="shared" si="219"/>
        <v>#N/A</v>
      </c>
    </row>
    <row r="2801" spans="2:22" x14ac:dyDescent="0.25">
      <c r="B2801" s="16">
        <v>0</v>
      </c>
      <c r="C2801" s="7">
        <v>1</v>
      </c>
      <c r="D2801" s="8">
        <v>1</v>
      </c>
      <c r="E2801" s="8">
        <v>1</v>
      </c>
      <c r="F2801" s="8">
        <v>0</v>
      </c>
      <c r="G2801" s="8">
        <v>1</v>
      </c>
      <c r="H2801" s="8">
        <v>1</v>
      </c>
      <c r="I2801" s="8">
        <v>1</v>
      </c>
      <c r="J2801" s="8">
        <v>0</v>
      </c>
      <c r="K2801" s="9">
        <v>1</v>
      </c>
      <c r="L2801" s="10">
        <v>0</v>
      </c>
      <c r="M2801" s="6">
        <v>1</v>
      </c>
      <c r="N2801" s="37" t="e" cm="1">
        <f t="array" ref="N2801">IF(OR(ISNUMBER(FIND(Aux!$D$3:$D$9,_xlfn.TEXTJOIN(,,C2801:K2801)))),NA(),IF(AND(SUM(C2801:F2801,H2801:K2801)=0,G2801=1),0,INT((SUMPRODUCT(C2801:F2801,COLUMN($A$1:$D$1)-1)+SUMPRODUCT(H2801:K2801,COLUMN($E$1:$H$1)-1))*'Line Follower'!$C$3/SUM(C2801:F2801,H2801:K2801)-'Line Follower'!$C$5)))</f>
        <v>#N/A</v>
      </c>
      <c r="O2801" s="22" t="e">
        <v>#N/A</v>
      </c>
      <c r="P2801" s="4" t="e">
        <f t="shared" si="215"/>
        <v>#N/A</v>
      </c>
      <c r="Q2801" s="4" t="e">
        <f t="shared" si="216"/>
        <v>#N/A</v>
      </c>
      <c r="R2801" s="4" t="e">
        <f>IF(AND(B2801=1,N2801&gt;'Line Follower'!$C$7,SUM(C2801:K2801)&lt;4),1,0)</f>
        <v>#N/A</v>
      </c>
      <c r="S2801" s="4" t="e">
        <f>IF(AND(L2801=1,N2801&lt;'Line Follower'!$C$6,SUM(C2801:K2801)&lt;4),1,0)</f>
        <v>#N/A</v>
      </c>
      <c r="T2801" s="4" t="e">
        <f t="shared" si="217"/>
        <v>#N/A</v>
      </c>
      <c r="U2801" s="5" t="e">
        <f t="shared" si="218"/>
        <v>#N/A</v>
      </c>
      <c r="V2801" s="23" t="e">
        <f t="shared" si="219"/>
        <v>#N/A</v>
      </c>
    </row>
    <row r="2802" spans="2:22" x14ac:dyDescent="0.25">
      <c r="B2802" s="16">
        <v>1</v>
      </c>
      <c r="C2802" s="7">
        <v>1</v>
      </c>
      <c r="D2802" s="8">
        <v>1</v>
      </c>
      <c r="E2802" s="8">
        <v>1</v>
      </c>
      <c r="F2802" s="8">
        <v>0</v>
      </c>
      <c r="G2802" s="8">
        <v>1</v>
      </c>
      <c r="H2802" s="8">
        <v>1</v>
      </c>
      <c r="I2802" s="8">
        <v>1</v>
      </c>
      <c r="J2802" s="8">
        <v>0</v>
      </c>
      <c r="K2802" s="9">
        <v>1</v>
      </c>
      <c r="L2802" s="10">
        <v>0</v>
      </c>
      <c r="M2802" s="6">
        <v>1</v>
      </c>
      <c r="N2802" s="37" t="e" cm="1">
        <f t="array" ref="N2802">IF(OR(ISNUMBER(FIND(Aux!$D$3:$D$9,_xlfn.TEXTJOIN(,,C2802:K2802)))),NA(),IF(AND(SUM(C2802:F2802,H2802:K2802)=0,G2802=1),0,INT((SUMPRODUCT(C2802:F2802,COLUMN($A$1:$D$1)-1)+SUMPRODUCT(H2802:K2802,COLUMN($E$1:$H$1)-1))*'Line Follower'!$C$3/SUM(C2802:F2802,H2802:K2802)-'Line Follower'!$C$5)))</f>
        <v>#N/A</v>
      </c>
      <c r="O2802" s="22" t="e">
        <v>#N/A</v>
      </c>
      <c r="P2802" s="4" t="e">
        <f t="shared" si="215"/>
        <v>#N/A</v>
      </c>
      <c r="Q2802" s="4" t="e">
        <f t="shared" si="216"/>
        <v>#N/A</v>
      </c>
      <c r="R2802" s="4" t="e">
        <f>IF(AND(B2802=1,N2802&gt;'Line Follower'!$C$7,SUM(C2802:K2802)&lt;4),1,0)</f>
        <v>#N/A</v>
      </c>
      <c r="S2802" s="4" t="e">
        <f>IF(AND(L2802=1,N2802&lt;'Line Follower'!$C$6,SUM(C2802:K2802)&lt;4),1,0)</f>
        <v>#N/A</v>
      </c>
      <c r="T2802" s="4" t="e">
        <f t="shared" si="217"/>
        <v>#N/A</v>
      </c>
      <c r="U2802" s="5" t="e">
        <f t="shared" si="218"/>
        <v>#N/A</v>
      </c>
      <c r="V2802" s="23" t="e">
        <f t="shared" si="219"/>
        <v>#N/A</v>
      </c>
    </row>
    <row r="2803" spans="2:22" x14ac:dyDescent="0.25">
      <c r="B2803" s="16">
        <v>0</v>
      </c>
      <c r="C2803" s="7">
        <v>0</v>
      </c>
      <c r="D2803" s="8">
        <v>0</v>
      </c>
      <c r="E2803" s="8">
        <v>0</v>
      </c>
      <c r="F2803" s="8">
        <v>1</v>
      </c>
      <c r="G2803" s="8">
        <v>1</v>
      </c>
      <c r="H2803" s="8">
        <v>1</v>
      </c>
      <c r="I2803" s="8">
        <v>1</v>
      </c>
      <c r="J2803" s="8">
        <v>0</v>
      </c>
      <c r="K2803" s="9">
        <v>1</v>
      </c>
      <c r="L2803" s="10">
        <v>0</v>
      </c>
      <c r="M2803" s="6">
        <v>1</v>
      </c>
      <c r="N2803" s="37" t="e" cm="1">
        <f t="array" ref="N2803">IF(OR(ISNUMBER(FIND(Aux!$D$3:$D$9,_xlfn.TEXTJOIN(,,C2803:K2803)))),NA(),IF(AND(SUM(C2803:F2803,H2803:K2803)=0,G2803=1),0,INT((SUMPRODUCT(C2803:F2803,COLUMN($A$1:$D$1)-1)+SUMPRODUCT(H2803:K2803,COLUMN($E$1:$H$1)-1))*'Line Follower'!$C$3/SUM(C2803:F2803,H2803:K2803)-'Line Follower'!$C$5)))</f>
        <v>#N/A</v>
      </c>
      <c r="O2803" s="22" t="e">
        <v>#N/A</v>
      </c>
      <c r="P2803" s="4" t="e">
        <f t="shared" si="215"/>
        <v>#N/A</v>
      </c>
      <c r="Q2803" s="4" t="e">
        <f t="shared" si="216"/>
        <v>#N/A</v>
      </c>
      <c r="R2803" s="4" t="e">
        <f>IF(AND(B2803=1,N2803&gt;'Line Follower'!$C$7,SUM(C2803:K2803)&lt;4),1,0)</f>
        <v>#N/A</v>
      </c>
      <c r="S2803" s="4" t="e">
        <f>IF(AND(L2803=1,N2803&lt;'Line Follower'!$C$6,SUM(C2803:K2803)&lt;4),1,0)</f>
        <v>#N/A</v>
      </c>
      <c r="T2803" s="4" t="e">
        <f t="shared" si="217"/>
        <v>#N/A</v>
      </c>
      <c r="U2803" s="5" t="e">
        <f t="shared" si="218"/>
        <v>#N/A</v>
      </c>
      <c r="V2803" s="23" t="e">
        <f t="shared" si="219"/>
        <v>#N/A</v>
      </c>
    </row>
    <row r="2804" spans="2:22" x14ac:dyDescent="0.25">
      <c r="B2804" s="16">
        <v>1</v>
      </c>
      <c r="C2804" s="7">
        <v>0</v>
      </c>
      <c r="D2804" s="8">
        <v>0</v>
      </c>
      <c r="E2804" s="8">
        <v>0</v>
      </c>
      <c r="F2804" s="8">
        <v>1</v>
      </c>
      <c r="G2804" s="8">
        <v>1</v>
      </c>
      <c r="H2804" s="8">
        <v>1</v>
      </c>
      <c r="I2804" s="8">
        <v>1</v>
      </c>
      <c r="J2804" s="8">
        <v>0</v>
      </c>
      <c r="K2804" s="9">
        <v>1</v>
      </c>
      <c r="L2804" s="10">
        <v>0</v>
      </c>
      <c r="M2804" s="6">
        <v>1</v>
      </c>
      <c r="N2804" s="37" t="e" cm="1">
        <f t="array" ref="N2804">IF(OR(ISNUMBER(FIND(Aux!$D$3:$D$9,_xlfn.TEXTJOIN(,,C2804:K2804)))),NA(),IF(AND(SUM(C2804:F2804,H2804:K2804)=0,G2804=1),0,INT((SUMPRODUCT(C2804:F2804,COLUMN($A$1:$D$1)-1)+SUMPRODUCT(H2804:K2804,COLUMN($E$1:$H$1)-1))*'Line Follower'!$C$3/SUM(C2804:F2804,H2804:K2804)-'Line Follower'!$C$5)))</f>
        <v>#N/A</v>
      </c>
      <c r="O2804" s="22" t="e">
        <v>#N/A</v>
      </c>
      <c r="P2804" s="4" t="e">
        <f t="shared" si="215"/>
        <v>#N/A</v>
      </c>
      <c r="Q2804" s="4" t="e">
        <f t="shared" si="216"/>
        <v>#N/A</v>
      </c>
      <c r="R2804" s="4" t="e">
        <f>IF(AND(B2804=1,N2804&gt;'Line Follower'!$C$7,SUM(C2804:K2804)&lt;4),1,0)</f>
        <v>#N/A</v>
      </c>
      <c r="S2804" s="4" t="e">
        <f>IF(AND(L2804=1,N2804&lt;'Line Follower'!$C$6,SUM(C2804:K2804)&lt;4),1,0)</f>
        <v>#N/A</v>
      </c>
      <c r="T2804" s="4" t="e">
        <f t="shared" si="217"/>
        <v>#N/A</v>
      </c>
      <c r="U2804" s="5" t="e">
        <f t="shared" si="218"/>
        <v>#N/A</v>
      </c>
      <c r="V2804" s="23" t="e">
        <f t="shared" si="219"/>
        <v>#N/A</v>
      </c>
    </row>
    <row r="2805" spans="2:22" x14ac:dyDescent="0.25">
      <c r="B2805" s="16">
        <v>0</v>
      </c>
      <c r="C2805" s="7">
        <v>1</v>
      </c>
      <c r="D2805" s="8">
        <v>0</v>
      </c>
      <c r="E2805" s="8">
        <v>0</v>
      </c>
      <c r="F2805" s="8">
        <v>1</v>
      </c>
      <c r="G2805" s="8">
        <v>1</v>
      </c>
      <c r="H2805" s="8">
        <v>1</v>
      </c>
      <c r="I2805" s="8">
        <v>1</v>
      </c>
      <c r="J2805" s="8">
        <v>0</v>
      </c>
      <c r="K2805" s="9">
        <v>1</v>
      </c>
      <c r="L2805" s="10">
        <v>0</v>
      </c>
      <c r="M2805" s="6">
        <v>1</v>
      </c>
      <c r="N2805" s="37" t="e" cm="1">
        <f t="array" ref="N2805">IF(OR(ISNUMBER(FIND(Aux!$D$3:$D$9,_xlfn.TEXTJOIN(,,C2805:K2805)))),NA(),IF(AND(SUM(C2805:F2805,H2805:K2805)=0,G2805=1),0,INT((SUMPRODUCT(C2805:F2805,COLUMN($A$1:$D$1)-1)+SUMPRODUCT(H2805:K2805,COLUMN($E$1:$H$1)-1))*'Line Follower'!$C$3/SUM(C2805:F2805,H2805:K2805)-'Line Follower'!$C$5)))</f>
        <v>#N/A</v>
      </c>
      <c r="O2805" s="22" t="e">
        <v>#N/A</v>
      </c>
      <c r="P2805" s="4" t="e">
        <f t="shared" si="215"/>
        <v>#N/A</v>
      </c>
      <c r="Q2805" s="4" t="e">
        <f t="shared" si="216"/>
        <v>#N/A</v>
      </c>
      <c r="R2805" s="4" t="e">
        <f>IF(AND(B2805=1,N2805&gt;'Line Follower'!$C$7,SUM(C2805:K2805)&lt;4),1,0)</f>
        <v>#N/A</v>
      </c>
      <c r="S2805" s="4" t="e">
        <f>IF(AND(L2805=1,N2805&lt;'Line Follower'!$C$6,SUM(C2805:K2805)&lt;4),1,0)</f>
        <v>#N/A</v>
      </c>
      <c r="T2805" s="4" t="e">
        <f t="shared" si="217"/>
        <v>#N/A</v>
      </c>
      <c r="U2805" s="5" t="e">
        <f t="shared" si="218"/>
        <v>#N/A</v>
      </c>
      <c r="V2805" s="23" t="e">
        <f t="shared" si="219"/>
        <v>#N/A</v>
      </c>
    </row>
    <row r="2806" spans="2:22" x14ac:dyDescent="0.25">
      <c r="B2806" s="16">
        <v>1</v>
      </c>
      <c r="C2806" s="7">
        <v>1</v>
      </c>
      <c r="D2806" s="8">
        <v>0</v>
      </c>
      <c r="E2806" s="8">
        <v>0</v>
      </c>
      <c r="F2806" s="8">
        <v>1</v>
      </c>
      <c r="G2806" s="8">
        <v>1</v>
      </c>
      <c r="H2806" s="8">
        <v>1</v>
      </c>
      <c r="I2806" s="8">
        <v>1</v>
      </c>
      <c r="J2806" s="8">
        <v>0</v>
      </c>
      <c r="K2806" s="9">
        <v>1</v>
      </c>
      <c r="L2806" s="10">
        <v>0</v>
      </c>
      <c r="M2806" s="6">
        <v>1</v>
      </c>
      <c r="N2806" s="37" t="e" cm="1">
        <f t="array" ref="N2806">IF(OR(ISNUMBER(FIND(Aux!$D$3:$D$9,_xlfn.TEXTJOIN(,,C2806:K2806)))),NA(),IF(AND(SUM(C2806:F2806,H2806:K2806)=0,G2806=1),0,INT((SUMPRODUCT(C2806:F2806,COLUMN($A$1:$D$1)-1)+SUMPRODUCT(H2806:K2806,COLUMN($E$1:$H$1)-1))*'Line Follower'!$C$3/SUM(C2806:F2806,H2806:K2806)-'Line Follower'!$C$5)))</f>
        <v>#N/A</v>
      </c>
      <c r="O2806" s="22" t="e">
        <v>#N/A</v>
      </c>
      <c r="P2806" s="4" t="e">
        <f t="shared" si="215"/>
        <v>#N/A</v>
      </c>
      <c r="Q2806" s="4" t="e">
        <f t="shared" si="216"/>
        <v>#N/A</v>
      </c>
      <c r="R2806" s="4" t="e">
        <f>IF(AND(B2806=1,N2806&gt;'Line Follower'!$C$7,SUM(C2806:K2806)&lt;4),1,0)</f>
        <v>#N/A</v>
      </c>
      <c r="S2806" s="4" t="e">
        <f>IF(AND(L2806=1,N2806&lt;'Line Follower'!$C$6,SUM(C2806:K2806)&lt;4),1,0)</f>
        <v>#N/A</v>
      </c>
      <c r="T2806" s="4" t="e">
        <f t="shared" si="217"/>
        <v>#N/A</v>
      </c>
      <c r="U2806" s="5" t="e">
        <f t="shared" si="218"/>
        <v>#N/A</v>
      </c>
      <c r="V2806" s="23" t="e">
        <f t="shared" si="219"/>
        <v>#N/A</v>
      </c>
    </row>
    <row r="2807" spans="2:22" x14ac:dyDescent="0.25">
      <c r="B2807" s="16">
        <v>0</v>
      </c>
      <c r="C2807" s="7">
        <v>0</v>
      </c>
      <c r="D2807" s="8">
        <v>1</v>
      </c>
      <c r="E2807" s="8">
        <v>0</v>
      </c>
      <c r="F2807" s="8">
        <v>1</v>
      </c>
      <c r="G2807" s="8">
        <v>1</v>
      </c>
      <c r="H2807" s="8">
        <v>1</v>
      </c>
      <c r="I2807" s="8">
        <v>1</v>
      </c>
      <c r="J2807" s="8">
        <v>0</v>
      </c>
      <c r="K2807" s="9">
        <v>1</v>
      </c>
      <c r="L2807" s="10">
        <v>0</v>
      </c>
      <c r="M2807" s="6">
        <v>1</v>
      </c>
      <c r="N2807" s="37" t="e" cm="1">
        <f t="array" ref="N2807">IF(OR(ISNUMBER(FIND(Aux!$D$3:$D$9,_xlfn.TEXTJOIN(,,C2807:K2807)))),NA(),IF(AND(SUM(C2807:F2807,H2807:K2807)=0,G2807=1),0,INT((SUMPRODUCT(C2807:F2807,COLUMN($A$1:$D$1)-1)+SUMPRODUCT(H2807:K2807,COLUMN($E$1:$H$1)-1))*'Line Follower'!$C$3/SUM(C2807:F2807,H2807:K2807)-'Line Follower'!$C$5)))</f>
        <v>#N/A</v>
      </c>
      <c r="O2807" s="22" t="e">
        <v>#N/A</v>
      </c>
      <c r="P2807" s="4" t="e">
        <f t="shared" si="215"/>
        <v>#N/A</v>
      </c>
      <c r="Q2807" s="4" t="e">
        <f t="shared" si="216"/>
        <v>#N/A</v>
      </c>
      <c r="R2807" s="4" t="e">
        <f>IF(AND(B2807=1,N2807&gt;'Line Follower'!$C$7,SUM(C2807:K2807)&lt;4),1,0)</f>
        <v>#N/A</v>
      </c>
      <c r="S2807" s="4" t="e">
        <f>IF(AND(L2807=1,N2807&lt;'Line Follower'!$C$6,SUM(C2807:K2807)&lt;4),1,0)</f>
        <v>#N/A</v>
      </c>
      <c r="T2807" s="4" t="e">
        <f t="shared" si="217"/>
        <v>#N/A</v>
      </c>
      <c r="U2807" s="5" t="e">
        <f t="shared" si="218"/>
        <v>#N/A</v>
      </c>
      <c r="V2807" s="23" t="e">
        <f t="shared" si="219"/>
        <v>#N/A</v>
      </c>
    </row>
    <row r="2808" spans="2:22" x14ac:dyDescent="0.25">
      <c r="B2808" s="16">
        <v>1</v>
      </c>
      <c r="C2808" s="7">
        <v>0</v>
      </c>
      <c r="D2808" s="8">
        <v>1</v>
      </c>
      <c r="E2808" s="8">
        <v>0</v>
      </c>
      <c r="F2808" s="8">
        <v>1</v>
      </c>
      <c r="G2808" s="8">
        <v>1</v>
      </c>
      <c r="H2808" s="8">
        <v>1</v>
      </c>
      <c r="I2808" s="8">
        <v>1</v>
      </c>
      <c r="J2808" s="8">
        <v>0</v>
      </c>
      <c r="K2808" s="9">
        <v>1</v>
      </c>
      <c r="L2808" s="10">
        <v>0</v>
      </c>
      <c r="M2808" s="6">
        <v>1</v>
      </c>
      <c r="N2808" s="37" t="e" cm="1">
        <f t="array" ref="N2808">IF(OR(ISNUMBER(FIND(Aux!$D$3:$D$9,_xlfn.TEXTJOIN(,,C2808:K2808)))),NA(),IF(AND(SUM(C2808:F2808,H2808:K2808)=0,G2808=1),0,INT((SUMPRODUCT(C2808:F2808,COLUMN($A$1:$D$1)-1)+SUMPRODUCT(H2808:K2808,COLUMN($E$1:$H$1)-1))*'Line Follower'!$C$3/SUM(C2808:F2808,H2808:K2808)-'Line Follower'!$C$5)))</f>
        <v>#N/A</v>
      </c>
      <c r="O2808" s="22" t="e">
        <v>#N/A</v>
      </c>
      <c r="P2808" s="4" t="e">
        <f t="shared" si="215"/>
        <v>#N/A</v>
      </c>
      <c r="Q2808" s="4" t="e">
        <f t="shared" si="216"/>
        <v>#N/A</v>
      </c>
      <c r="R2808" s="4" t="e">
        <f>IF(AND(B2808=1,N2808&gt;'Line Follower'!$C$7,SUM(C2808:K2808)&lt;4),1,0)</f>
        <v>#N/A</v>
      </c>
      <c r="S2808" s="4" t="e">
        <f>IF(AND(L2808=1,N2808&lt;'Line Follower'!$C$6,SUM(C2808:K2808)&lt;4),1,0)</f>
        <v>#N/A</v>
      </c>
      <c r="T2808" s="4" t="e">
        <f t="shared" si="217"/>
        <v>#N/A</v>
      </c>
      <c r="U2808" s="5" t="e">
        <f t="shared" si="218"/>
        <v>#N/A</v>
      </c>
      <c r="V2808" s="23" t="e">
        <f t="shared" si="219"/>
        <v>#N/A</v>
      </c>
    </row>
    <row r="2809" spans="2:22" x14ac:dyDescent="0.25">
      <c r="B2809" s="16">
        <v>0</v>
      </c>
      <c r="C2809" s="7">
        <v>1</v>
      </c>
      <c r="D2809" s="8">
        <v>1</v>
      </c>
      <c r="E2809" s="8">
        <v>0</v>
      </c>
      <c r="F2809" s="8">
        <v>1</v>
      </c>
      <c r="G2809" s="8">
        <v>1</v>
      </c>
      <c r="H2809" s="8">
        <v>1</v>
      </c>
      <c r="I2809" s="8">
        <v>1</v>
      </c>
      <c r="J2809" s="8">
        <v>0</v>
      </c>
      <c r="K2809" s="9">
        <v>1</v>
      </c>
      <c r="L2809" s="10">
        <v>0</v>
      </c>
      <c r="M2809" s="6">
        <v>1</v>
      </c>
      <c r="N2809" s="37" t="e" cm="1">
        <f t="array" ref="N2809">IF(OR(ISNUMBER(FIND(Aux!$D$3:$D$9,_xlfn.TEXTJOIN(,,C2809:K2809)))),NA(),IF(AND(SUM(C2809:F2809,H2809:K2809)=0,G2809=1),0,INT((SUMPRODUCT(C2809:F2809,COLUMN($A$1:$D$1)-1)+SUMPRODUCT(H2809:K2809,COLUMN($E$1:$H$1)-1))*'Line Follower'!$C$3/SUM(C2809:F2809,H2809:K2809)-'Line Follower'!$C$5)))</f>
        <v>#N/A</v>
      </c>
      <c r="O2809" s="22" t="e">
        <v>#N/A</v>
      </c>
      <c r="P2809" s="4" t="e">
        <f t="shared" si="215"/>
        <v>#N/A</v>
      </c>
      <c r="Q2809" s="4" t="e">
        <f t="shared" si="216"/>
        <v>#N/A</v>
      </c>
      <c r="R2809" s="4" t="e">
        <f>IF(AND(B2809=1,N2809&gt;'Line Follower'!$C$7,SUM(C2809:K2809)&lt;4),1,0)</f>
        <v>#N/A</v>
      </c>
      <c r="S2809" s="4" t="e">
        <f>IF(AND(L2809=1,N2809&lt;'Line Follower'!$C$6,SUM(C2809:K2809)&lt;4),1,0)</f>
        <v>#N/A</v>
      </c>
      <c r="T2809" s="4" t="e">
        <f t="shared" si="217"/>
        <v>#N/A</v>
      </c>
      <c r="U2809" s="5" t="e">
        <f t="shared" si="218"/>
        <v>#N/A</v>
      </c>
      <c r="V2809" s="23" t="e">
        <f t="shared" si="219"/>
        <v>#N/A</v>
      </c>
    </row>
    <row r="2810" spans="2:22" x14ac:dyDescent="0.25">
      <c r="B2810" s="16">
        <v>1</v>
      </c>
      <c r="C2810" s="7">
        <v>1</v>
      </c>
      <c r="D2810" s="8">
        <v>1</v>
      </c>
      <c r="E2810" s="8">
        <v>0</v>
      </c>
      <c r="F2810" s="8">
        <v>1</v>
      </c>
      <c r="G2810" s="8">
        <v>1</v>
      </c>
      <c r="H2810" s="8">
        <v>1</v>
      </c>
      <c r="I2810" s="8">
        <v>1</v>
      </c>
      <c r="J2810" s="8">
        <v>0</v>
      </c>
      <c r="K2810" s="9">
        <v>1</v>
      </c>
      <c r="L2810" s="10">
        <v>0</v>
      </c>
      <c r="M2810" s="6">
        <v>1</v>
      </c>
      <c r="N2810" s="37" t="e" cm="1">
        <f t="array" ref="N2810">IF(OR(ISNUMBER(FIND(Aux!$D$3:$D$9,_xlfn.TEXTJOIN(,,C2810:K2810)))),NA(),IF(AND(SUM(C2810:F2810,H2810:K2810)=0,G2810=1),0,INT((SUMPRODUCT(C2810:F2810,COLUMN($A$1:$D$1)-1)+SUMPRODUCT(H2810:K2810,COLUMN($E$1:$H$1)-1))*'Line Follower'!$C$3/SUM(C2810:F2810,H2810:K2810)-'Line Follower'!$C$5)))</f>
        <v>#N/A</v>
      </c>
      <c r="O2810" s="22" t="e">
        <v>#N/A</v>
      </c>
      <c r="P2810" s="4" t="e">
        <f t="shared" si="215"/>
        <v>#N/A</v>
      </c>
      <c r="Q2810" s="4" t="e">
        <f t="shared" si="216"/>
        <v>#N/A</v>
      </c>
      <c r="R2810" s="4" t="e">
        <f>IF(AND(B2810=1,N2810&gt;'Line Follower'!$C$7,SUM(C2810:K2810)&lt;4),1,0)</f>
        <v>#N/A</v>
      </c>
      <c r="S2810" s="4" t="e">
        <f>IF(AND(L2810=1,N2810&lt;'Line Follower'!$C$6,SUM(C2810:K2810)&lt;4),1,0)</f>
        <v>#N/A</v>
      </c>
      <c r="T2810" s="4" t="e">
        <f t="shared" si="217"/>
        <v>#N/A</v>
      </c>
      <c r="U2810" s="5" t="e">
        <f t="shared" si="218"/>
        <v>#N/A</v>
      </c>
      <c r="V2810" s="23" t="e">
        <f t="shared" si="219"/>
        <v>#N/A</v>
      </c>
    </row>
    <row r="2811" spans="2:22" x14ac:dyDescent="0.25">
      <c r="B2811" s="16">
        <v>0</v>
      </c>
      <c r="C2811" s="7">
        <v>0</v>
      </c>
      <c r="D2811" s="8">
        <v>0</v>
      </c>
      <c r="E2811" s="8">
        <v>1</v>
      </c>
      <c r="F2811" s="8">
        <v>1</v>
      </c>
      <c r="G2811" s="8">
        <v>1</v>
      </c>
      <c r="H2811" s="8">
        <v>1</v>
      </c>
      <c r="I2811" s="8">
        <v>1</v>
      </c>
      <c r="J2811" s="8">
        <v>0</v>
      </c>
      <c r="K2811" s="9">
        <v>1</v>
      </c>
      <c r="L2811" s="10">
        <v>0</v>
      </c>
      <c r="M2811" s="6">
        <v>1</v>
      </c>
      <c r="N2811" s="37" t="e" cm="1">
        <f t="array" ref="N2811">IF(OR(ISNUMBER(FIND(Aux!$D$3:$D$9,_xlfn.TEXTJOIN(,,C2811:K2811)))),NA(),IF(AND(SUM(C2811:F2811,H2811:K2811)=0,G2811=1),0,INT((SUMPRODUCT(C2811:F2811,COLUMN($A$1:$D$1)-1)+SUMPRODUCT(H2811:K2811,COLUMN($E$1:$H$1)-1))*'Line Follower'!$C$3/SUM(C2811:F2811,H2811:K2811)-'Line Follower'!$C$5)))</f>
        <v>#N/A</v>
      </c>
      <c r="O2811" s="22" t="e">
        <v>#N/A</v>
      </c>
      <c r="P2811" s="4" t="e">
        <f t="shared" si="215"/>
        <v>#N/A</v>
      </c>
      <c r="Q2811" s="4" t="e">
        <f t="shared" si="216"/>
        <v>#N/A</v>
      </c>
      <c r="R2811" s="4" t="e">
        <f>IF(AND(B2811=1,N2811&gt;'Line Follower'!$C$7,SUM(C2811:K2811)&lt;4),1,0)</f>
        <v>#N/A</v>
      </c>
      <c r="S2811" s="4" t="e">
        <f>IF(AND(L2811=1,N2811&lt;'Line Follower'!$C$6,SUM(C2811:K2811)&lt;4),1,0)</f>
        <v>#N/A</v>
      </c>
      <c r="T2811" s="4" t="e">
        <f t="shared" si="217"/>
        <v>#N/A</v>
      </c>
      <c r="U2811" s="5" t="e">
        <f t="shared" si="218"/>
        <v>#N/A</v>
      </c>
      <c r="V2811" s="23" t="e">
        <f t="shared" si="219"/>
        <v>#N/A</v>
      </c>
    </row>
    <row r="2812" spans="2:22" x14ac:dyDescent="0.25">
      <c r="B2812" s="16">
        <v>1</v>
      </c>
      <c r="C2812" s="7">
        <v>0</v>
      </c>
      <c r="D2812" s="8">
        <v>0</v>
      </c>
      <c r="E2812" s="8">
        <v>1</v>
      </c>
      <c r="F2812" s="8">
        <v>1</v>
      </c>
      <c r="G2812" s="8">
        <v>1</v>
      </c>
      <c r="H2812" s="8">
        <v>1</v>
      </c>
      <c r="I2812" s="8">
        <v>1</v>
      </c>
      <c r="J2812" s="8">
        <v>0</v>
      </c>
      <c r="K2812" s="9">
        <v>1</v>
      </c>
      <c r="L2812" s="10">
        <v>0</v>
      </c>
      <c r="M2812" s="6">
        <v>1</v>
      </c>
      <c r="N2812" s="37" t="e" cm="1">
        <f t="array" ref="N2812">IF(OR(ISNUMBER(FIND(Aux!$D$3:$D$9,_xlfn.TEXTJOIN(,,C2812:K2812)))),NA(),IF(AND(SUM(C2812:F2812,H2812:K2812)=0,G2812=1),0,INT((SUMPRODUCT(C2812:F2812,COLUMN($A$1:$D$1)-1)+SUMPRODUCT(H2812:K2812,COLUMN($E$1:$H$1)-1))*'Line Follower'!$C$3/SUM(C2812:F2812,H2812:K2812)-'Line Follower'!$C$5)))</f>
        <v>#N/A</v>
      </c>
      <c r="O2812" s="22" t="e">
        <v>#N/A</v>
      </c>
      <c r="P2812" s="4" t="e">
        <f t="shared" si="215"/>
        <v>#N/A</v>
      </c>
      <c r="Q2812" s="4" t="e">
        <f t="shared" si="216"/>
        <v>#N/A</v>
      </c>
      <c r="R2812" s="4" t="e">
        <f>IF(AND(B2812=1,N2812&gt;'Line Follower'!$C$7,SUM(C2812:K2812)&lt;4),1,0)</f>
        <v>#N/A</v>
      </c>
      <c r="S2812" s="4" t="e">
        <f>IF(AND(L2812=1,N2812&lt;'Line Follower'!$C$6,SUM(C2812:K2812)&lt;4),1,0)</f>
        <v>#N/A</v>
      </c>
      <c r="T2812" s="4" t="e">
        <f t="shared" si="217"/>
        <v>#N/A</v>
      </c>
      <c r="U2812" s="5" t="e">
        <f t="shared" si="218"/>
        <v>#N/A</v>
      </c>
      <c r="V2812" s="23" t="e">
        <f t="shared" si="219"/>
        <v>#N/A</v>
      </c>
    </row>
    <row r="2813" spans="2:22" x14ac:dyDescent="0.25">
      <c r="B2813" s="16">
        <v>0</v>
      </c>
      <c r="C2813" s="7">
        <v>1</v>
      </c>
      <c r="D2813" s="8">
        <v>0</v>
      </c>
      <c r="E2813" s="8">
        <v>1</v>
      </c>
      <c r="F2813" s="8">
        <v>1</v>
      </c>
      <c r="G2813" s="8">
        <v>1</v>
      </c>
      <c r="H2813" s="8">
        <v>1</v>
      </c>
      <c r="I2813" s="8">
        <v>1</v>
      </c>
      <c r="J2813" s="8">
        <v>0</v>
      </c>
      <c r="K2813" s="9">
        <v>1</v>
      </c>
      <c r="L2813" s="10">
        <v>0</v>
      </c>
      <c r="M2813" s="6">
        <v>1</v>
      </c>
      <c r="N2813" s="37" t="e" cm="1">
        <f t="array" ref="N2813">IF(OR(ISNUMBER(FIND(Aux!$D$3:$D$9,_xlfn.TEXTJOIN(,,C2813:K2813)))),NA(),IF(AND(SUM(C2813:F2813,H2813:K2813)=0,G2813=1),0,INT((SUMPRODUCT(C2813:F2813,COLUMN($A$1:$D$1)-1)+SUMPRODUCT(H2813:K2813,COLUMN($E$1:$H$1)-1))*'Line Follower'!$C$3/SUM(C2813:F2813,H2813:K2813)-'Line Follower'!$C$5)))</f>
        <v>#N/A</v>
      </c>
      <c r="O2813" s="22" t="e">
        <v>#N/A</v>
      </c>
      <c r="P2813" s="4" t="e">
        <f t="shared" si="215"/>
        <v>#N/A</v>
      </c>
      <c r="Q2813" s="4" t="e">
        <f t="shared" si="216"/>
        <v>#N/A</v>
      </c>
      <c r="R2813" s="4" t="e">
        <f>IF(AND(B2813=1,N2813&gt;'Line Follower'!$C$7,SUM(C2813:K2813)&lt;4),1,0)</f>
        <v>#N/A</v>
      </c>
      <c r="S2813" s="4" t="e">
        <f>IF(AND(L2813=1,N2813&lt;'Line Follower'!$C$6,SUM(C2813:K2813)&lt;4),1,0)</f>
        <v>#N/A</v>
      </c>
      <c r="T2813" s="4" t="e">
        <f t="shared" si="217"/>
        <v>#N/A</v>
      </c>
      <c r="U2813" s="5" t="e">
        <f t="shared" si="218"/>
        <v>#N/A</v>
      </c>
      <c r="V2813" s="23" t="e">
        <f t="shared" si="219"/>
        <v>#N/A</v>
      </c>
    </row>
    <row r="2814" spans="2:22" x14ac:dyDescent="0.25">
      <c r="B2814" s="16">
        <v>1</v>
      </c>
      <c r="C2814" s="7">
        <v>1</v>
      </c>
      <c r="D2814" s="8">
        <v>0</v>
      </c>
      <c r="E2814" s="8">
        <v>1</v>
      </c>
      <c r="F2814" s="8">
        <v>1</v>
      </c>
      <c r="G2814" s="8">
        <v>1</v>
      </c>
      <c r="H2814" s="8">
        <v>1</v>
      </c>
      <c r="I2814" s="8">
        <v>1</v>
      </c>
      <c r="J2814" s="8">
        <v>0</v>
      </c>
      <c r="K2814" s="9">
        <v>1</v>
      </c>
      <c r="L2814" s="10">
        <v>0</v>
      </c>
      <c r="M2814" s="6">
        <v>1</v>
      </c>
      <c r="N2814" s="37" t="e" cm="1">
        <f t="array" ref="N2814">IF(OR(ISNUMBER(FIND(Aux!$D$3:$D$9,_xlfn.TEXTJOIN(,,C2814:K2814)))),NA(),IF(AND(SUM(C2814:F2814,H2814:K2814)=0,G2814=1),0,INT((SUMPRODUCT(C2814:F2814,COLUMN($A$1:$D$1)-1)+SUMPRODUCT(H2814:K2814,COLUMN($E$1:$H$1)-1))*'Line Follower'!$C$3/SUM(C2814:F2814,H2814:K2814)-'Line Follower'!$C$5)))</f>
        <v>#N/A</v>
      </c>
      <c r="O2814" s="22" t="e">
        <v>#N/A</v>
      </c>
      <c r="P2814" s="4" t="e">
        <f t="shared" si="215"/>
        <v>#N/A</v>
      </c>
      <c r="Q2814" s="4" t="e">
        <f t="shared" si="216"/>
        <v>#N/A</v>
      </c>
      <c r="R2814" s="4" t="e">
        <f>IF(AND(B2814=1,N2814&gt;'Line Follower'!$C$7,SUM(C2814:K2814)&lt;4),1,0)</f>
        <v>#N/A</v>
      </c>
      <c r="S2814" s="4" t="e">
        <f>IF(AND(L2814=1,N2814&lt;'Line Follower'!$C$6,SUM(C2814:K2814)&lt;4),1,0)</f>
        <v>#N/A</v>
      </c>
      <c r="T2814" s="4" t="e">
        <f t="shared" si="217"/>
        <v>#N/A</v>
      </c>
      <c r="U2814" s="5" t="e">
        <f t="shared" si="218"/>
        <v>#N/A</v>
      </c>
      <c r="V2814" s="23" t="e">
        <f t="shared" si="219"/>
        <v>#N/A</v>
      </c>
    </row>
    <row r="2815" spans="2:22" x14ac:dyDescent="0.25">
      <c r="B2815" s="16">
        <v>0</v>
      </c>
      <c r="C2815" s="7">
        <v>0</v>
      </c>
      <c r="D2815" s="8">
        <v>1</v>
      </c>
      <c r="E2815" s="8">
        <v>1</v>
      </c>
      <c r="F2815" s="8">
        <v>1</v>
      </c>
      <c r="G2815" s="8">
        <v>1</v>
      </c>
      <c r="H2815" s="8">
        <v>1</v>
      </c>
      <c r="I2815" s="8">
        <v>1</v>
      </c>
      <c r="J2815" s="8">
        <v>0</v>
      </c>
      <c r="K2815" s="9">
        <v>1</v>
      </c>
      <c r="L2815" s="10">
        <v>0</v>
      </c>
      <c r="M2815" s="6">
        <v>1</v>
      </c>
      <c r="N2815" s="37" t="e" cm="1">
        <f t="array" ref="N2815">IF(OR(ISNUMBER(FIND(Aux!$D$3:$D$9,_xlfn.TEXTJOIN(,,C2815:K2815)))),NA(),IF(AND(SUM(C2815:F2815,H2815:K2815)=0,G2815=1),0,INT((SUMPRODUCT(C2815:F2815,COLUMN($A$1:$D$1)-1)+SUMPRODUCT(H2815:K2815,COLUMN($E$1:$H$1)-1))*'Line Follower'!$C$3/SUM(C2815:F2815,H2815:K2815)-'Line Follower'!$C$5)))</f>
        <v>#N/A</v>
      </c>
      <c r="O2815" s="22" t="e">
        <v>#N/A</v>
      </c>
      <c r="P2815" s="4" t="e">
        <f t="shared" si="215"/>
        <v>#N/A</v>
      </c>
      <c r="Q2815" s="4" t="e">
        <f t="shared" si="216"/>
        <v>#N/A</v>
      </c>
      <c r="R2815" s="4" t="e">
        <f>IF(AND(B2815=1,N2815&gt;'Line Follower'!$C$7,SUM(C2815:K2815)&lt;4),1,0)</f>
        <v>#N/A</v>
      </c>
      <c r="S2815" s="4" t="e">
        <f>IF(AND(L2815=1,N2815&lt;'Line Follower'!$C$6,SUM(C2815:K2815)&lt;4),1,0)</f>
        <v>#N/A</v>
      </c>
      <c r="T2815" s="4" t="e">
        <f t="shared" si="217"/>
        <v>#N/A</v>
      </c>
      <c r="U2815" s="5" t="e">
        <f t="shared" si="218"/>
        <v>#N/A</v>
      </c>
      <c r="V2815" s="23" t="e">
        <f t="shared" si="219"/>
        <v>#N/A</v>
      </c>
    </row>
    <row r="2816" spans="2:22" x14ac:dyDescent="0.25">
      <c r="B2816" s="16">
        <v>1</v>
      </c>
      <c r="C2816" s="7">
        <v>0</v>
      </c>
      <c r="D2816" s="8">
        <v>1</v>
      </c>
      <c r="E2816" s="8">
        <v>1</v>
      </c>
      <c r="F2816" s="8">
        <v>1</v>
      </c>
      <c r="G2816" s="8">
        <v>1</v>
      </c>
      <c r="H2816" s="8">
        <v>1</v>
      </c>
      <c r="I2816" s="8">
        <v>1</v>
      </c>
      <c r="J2816" s="8">
        <v>0</v>
      </c>
      <c r="K2816" s="9">
        <v>1</v>
      </c>
      <c r="L2816" s="10">
        <v>0</v>
      </c>
      <c r="M2816" s="6">
        <v>1</v>
      </c>
      <c r="N2816" s="37" t="e" cm="1">
        <f t="array" ref="N2816">IF(OR(ISNUMBER(FIND(Aux!$D$3:$D$9,_xlfn.TEXTJOIN(,,C2816:K2816)))),NA(),IF(AND(SUM(C2816:F2816,H2816:K2816)=0,G2816=1),0,INT((SUMPRODUCT(C2816:F2816,COLUMN($A$1:$D$1)-1)+SUMPRODUCT(H2816:K2816,COLUMN($E$1:$H$1)-1))*'Line Follower'!$C$3/SUM(C2816:F2816,H2816:K2816)-'Line Follower'!$C$5)))</f>
        <v>#N/A</v>
      </c>
      <c r="O2816" s="22" t="e">
        <v>#N/A</v>
      </c>
      <c r="P2816" s="4" t="e">
        <f t="shared" si="215"/>
        <v>#N/A</v>
      </c>
      <c r="Q2816" s="4" t="e">
        <f t="shared" si="216"/>
        <v>#N/A</v>
      </c>
      <c r="R2816" s="4" t="e">
        <f>IF(AND(B2816=1,N2816&gt;'Line Follower'!$C$7,SUM(C2816:K2816)&lt;4),1,0)</f>
        <v>#N/A</v>
      </c>
      <c r="S2816" s="4" t="e">
        <f>IF(AND(L2816=1,N2816&lt;'Line Follower'!$C$6,SUM(C2816:K2816)&lt;4),1,0)</f>
        <v>#N/A</v>
      </c>
      <c r="T2816" s="4" t="e">
        <f t="shared" si="217"/>
        <v>#N/A</v>
      </c>
      <c r="U2816" s="5" t="e">
        <f t="shared" si="218"/>
        <v>#N/A</v>
      </c>
      <c r="V2816" s="23" t="e">
        <f t="shared" si="219"/>
        <v>#N/A</v>
      </c>
    </row>
    <row r="2817" spans="2:22" x14ac:dyDescent="0.25">
      <c r="B2817" s="16">
        <v>0</v>
      </c>
      <c r="C2817" s="7">
        <v>1</v>
      </c>
      <c r="D2817" s="8">
        <v>1</v>
      </c>
      <c r="E2817" s="8">
        <v>1</v>
      </c>
      <c r="F2817" s="8">
        <v>1</v>
      </c>
      <c r="G2817" s="8">
        <v>1</v>
      </c>
      <c r="H2817" s="8">
        <v>1</v>
      </c>
      <c r="I2817" s="8">
        <v>1</v>
      </c>
      <c r="J2817" s="8">
        <v>0</v>
      </c>
      <c r="K2817" s="9">
        <v>1</v>
      </c>
      <c r="L2817" s="10">
        <v>0</v>
      </c>
      <c r="M2817" s="6">
        <v>1</v>
      </c>
      <c r="N2817" s="37" t="e" cm="1">
        <f t="array" ref="N2817">IF(OR(ISNUMBER(FIND(Aux!$D$3:$D$9,_xlfn.TEXTJOIN(,,C2817:K2817)))),NA(),IF(AND(SUM(C2817:F2817,H2817:K2817)=0,G2817=1),0,INT((SUMPRODUCT(C2817:F2817,COLUMN($A$1:$D$1)-1)+SUMPRODUCT(H2817:K2817,COLUMN($E$1:$H$1)-1))*'Line Follower'!$C$3/SUM(C2817:F2817,H2817:K2817)-'Line Follower'!$C$5)))</f>
        <v>#N/A</v>
      </c>
      <c r="O2817" s="22" t="e">
        <v>#N/A</v>
      </c>
      <c r="P2817" s="4" t="e">
        <f t="shared" si="215"/>
        <v>#N/A</v>
      </c>
      <c r="Q2817" s="4" t="e">
        <f t="shared" si="216"/>
        <v>#N/A</v>
      </c>
      <c r="R2817" s="4" t="e">
        <f>IF(AND(B2817=1,N2817&gt;'Line Follower'!$C$7,SUM(C2817:K2817)&lt;4),1,0)</f>
        <v>#N/A</v>
      </c>
      <c r="S2817" s="4" t="e">
        <f>IF(AND(L2817=1,N2817&lt;'Line Follower'!$C$6,SUM(C2817:K2817)&lt;4),1,0)</f>
        <v>#N/A</v>
      </c>
      <c r="T2817" s="4" t="e">
        <f t="shared" si="217"/>
        <v>#N/A</v>
      </c>
      <c r="U2817" s="5" t="e">
        <f t="shared" si="218"/>
        <v>#N/A</v>
      </c>
      <c r="V2817" s="23" t="e">
        <f t="shared" si="219"/>
        <v>#N/A</v>
      </c>
    </row>
    <row r="2818" spans="2:22" x14ac:dyDescent="0.25">
      <c r="B2818" s="16">
        <v>1</v>
      </c>
      <c r="C2818" s="7">
        <v>1</v>
      </c>
      <c r="D2818" s="8">
        <v>1</v>
      </c>
      <c r="E2818" s="8">
        <v>1</v>
      </c>
      <c r="F2818" s="8">
        <v>1</v>
      </c>
      <c r="G2818" s="8">
        <v>1</v>
      </c>
      <c r="H2818" s="8">
        <v>1</v>
      </c>
      <c r="I2818" s="8">
        <v>1</v>
      </c>
      <c r="J2818" s="8">
        <v>0</v>
      </c>
      <c r="K2818" s="9">
        <v>1</v>
      </c>
      <c r="L2818" s="10">
        <v>0</v>
      </c>
      <c r="M2818" s="6">
        <v>1</v>
      </c>
      <c r="N2818" s="37" t="e" cm="1">
        <f t="array" ref="N2818">IF(OR(ISNUMBER(FIND(Aux!$D$3:$D$9,_xlfn.TEXTJOIN(,,C2818:K2818)))),NA(),IF(AND(SUM(C2818:F2818,H2818:K2818)=0,G2818=1),0,INT((SUMPRODUCT(C2818:F2818,COLUMN($A$1:$D$1)-1)+SUMPRODUCT(H2818:K2818,COLUMN($E$1:$H$1)-1))*'Line Follower'!$C$3/SUM(C2818:F2818,H2818:K2818)-'Line Follower'!$C$5)))</f>
        <v>#N/A</v>
      </c>
      <c r="O2818" s="22" t="e">
        <v>#N/A</v>
      </c>
      <c r="P2818" s="4" t="e">
        <f t="shared" si="215"/>
        <v>#N/A</v>
      </c>
      <c r="Q2818" s="4" t="e">
        <f t="shared" si="216"/>
        <v>#N/A</v>
      </c>
      <c r="R2818" s="4" t="e">
        <f>IF(AND(B2818=1,N2818&gt;'Line Follower'!$C$7,SUM(C2818:K2818)&lt;4),1,0)</f>
        <v>#N/A</v>
      </c>
      <c r="S2818" s="4" t="e">
        <f>IF(AND(L2818=1,N2818&lt;'Line Follower'!$C$6,SUM(C2818:K2818)&lt;4),1,0)</f>
        <v>#N/A</v>
      </c>
      <c r="T2818" s="4" t="e">
        <f t="shared" si="217"/>
        <v>#N/A</v>
      </c>
      <c r="U2818" s="5" t="e">
        <f t="shared" si="218"/>
        <v>#N/A</v>
      </c>
      <c r="V2818" s="23" t="e">
        <f t="shared" si="219"/>
        <v>#N/A</v>
      </c>
    </row>
    <row r="2819" spans="2:22" x14ac:dyDescent="0.25">
      <c r="B2819" s="16">
        <v>0</v>
      </c>
      <c r="C2819" s="7">
        <v>0</v>
      </c>
      <c r="D2819" s="8">
        <v>0</v>
      </c>
      <c r="E2819" s="8">
        <v>0</v>
      </c>
      <c r="F2819" s="8">
        <v>0</v>
      </c>
      <c r="G2819" s="8">
        <v>0</v>
      </c>
      <c r="H2819" s="8">
        <v>0</v>
      </c>
      <c r="I2819" s="8">
        <v>0</v>
      </c>
      <c r="J2819" s="8">
        <v>1</v>
      </c>
      <c r="K2819" s="9">
        <v>1</v>
      </c>
      <c r="L2819" s="10">
        <v>0</v>
      </c>
      <c r="M2819" s="6">
        <v>1</v>
      </c>
      <c r="N2819" s="37" cm="1">
        <f t="array" ref="N2819">IF(OR(ISNUMBER(FIND(Aux!$D$3:$D$9,_xlfn.TEXTJOIN(,,C2819:K2819)))),NA(),IF(AND(SUM(C2819:F2819,H2819:K2819)=0,G2819=1),0,INT((SUMPRODUCT(C2819:F2819,COLUMN($A$1:$D$1)-1)+SUMPRODUCT(H2819:K2819,COLUMN($E$1:$H$1)-1))*'Line Follower'!$C$3/SUM(C2819:F2819,H2819:K2819)-'Line Follower'!$C$5)))</f>
        <v>6</v>
      </c>
      <c r="O2819" s="22">
        <v>1</v>
      </c>
      <c r="P2819" s="4">
        <f t="shared" ref="P2819:P2882" si="220">IF(AND(N2819=0,G2819=1,M2819=1),1,0)</f>
        <v>0</v>
      </c>
      <c r="Q2819" s="4">
        <f t="shared" ref="Q2819:Q2882" si="221">IF(ISERROR(N2819),N2819,IF(SUM(C2819:K2819)&gt;=4,1,0))</f>
        <v>0</v>
      </c>
      <c r="R2819" s="4">
        <f>IF(AND(B2819=1,N2819&gt;'Line Follower'!$C$7,SUM(C2819:K2819)&lt;4),1,0)</f>
        <v>0</v>
      </c>
      <c r="S2819" s="4">
        <f>IF(AND(L2819=1,N2819&lt;'Line Follower'!$C$6,SUM(C2819:K2819)&lt;4),1,0)</f>
        <v>0</v>
      </c>
      <c r="T2819" s="4">
        <f t="shared" si="217"/>
        <v>0</v>
      </c>
      <c r="U2819" s="5">
        <f t="shared" si="218"/>
        <v>0</v>
      </c>
      <c r="V2819" s="23">
        <f t="shared" si="219"/>
        <v>0</v>
      </c>
    </row>
    <row r="2820" spans="2:22" x14ac:dyDescent="0.25">
      <c r="B2820" s="16">
        <v>1</v>
      </c>
      <c r="C2820" s="7">
        <v>0</v>
      </c>
      <c r="D2820" s="8">
        <v>0</v>
      </c>
      <c r="E2820" s="8">
        <v>0</v>
      </c>
      <c r="F2820" s="8">
        <v>0</v>
      </c>
      <c r="G2820" s="8">
        <v>0</v>
      </c>
      <c r="H2820" s="8">
        <v>0</v>
      </c>
      <c r="I2820" s="8">
        <v>0</v>
      </c>
      <c r="J2820" s="8">
        <v>1</v>
      </c>
      <c r="K2820" s="9">
        <v>1</v>
      </c>
      <c r="L2820" s="10">
        <v>0</v>
      </c>
      <c r="M2820" s="6">
        <v>1</v>
      </c>
      <c r="N2820" s="37" cm="1">
        <f t="array" ref="N2820">IF(OR(ISNUMBER(FIND(Aux!$D$3:$D$9,_xlfn.TEXTJOIN(,,C2820:K2820)))),NA(),IF(AND(SUM(C2820:F2820,H2820:K2820)=0,G2820=1),0,INT((SUMPRODUCT(C2820:F2820,COLUMN($A$1:$D$1)-1)+SUMPRODUCT(H2820:K2820,COLUMN($E$1:$H$1)-1))*'Line Follower'!$C$3/SUM(C2820:F2820,H2820:K2820)-'Line Follower'!$C$5)))</f>
        <v>6</v>
      </c>
      <c r="O2820" s="22">
        <v>1</v>
      </c>
      <c r="P2820" s="4">
        <f t="shared" si="220"/>
        <v>0</v>
      </c>
      <c r="Q2820" s="4">
        <f t="shared" si="221"/>
        <v>0</v>
      </c>
      <c r="R2820" s="4">
        <f>IF(AND(B2820=1,N2820&gt;'Line Follower'!$C$7,SUM(C2820:K2820)&lt;4),1,0)</f>
        <v>1</v>
      </c>
      <c r="S2820" s="4">
        <f>IF(AND(L2820=1,N2820&lt;'Line Follower'!$C$6,SUM(C2820:K2820)&lt;4),1,0)</f>
        <v>0</v>
      </c>
      <c r="T2820" s="4">
        <f t="shared" ref="T2820:T2883" si="222">IF(ISNA(N2820),NA(),IF(SUM(C2820:L2820)=0,1,0))</f>
        <v>0</v>
      </c>
      <c r="U2820" s="5">
        <f t="shared" ref="U2820:U2883" si="223">IF(ISNA(N2820),NA(),IF(SUM(B2820:K2820)=0,1,0))</f>
        <v>0</v>
      </c>
      <c r="V2820" s="23">
        <f t="shared" ref="V2820:V2883" si="224">IF(ISNA(N2820),NA(),IF(SUM(B2820:L2820)=0,1,0))</f>
        <v>0</v>
      </c>
    </row>
    <row r="2821" spans="2:22" x14ac:dyDescent="0.25">
      <c r="B2821" s="16">
        <v>0</v>
      </c>
      <c r="C2821" s="7">
        <v>1</v>
      </c>
      <c r="D2821" s="8">
        <v>0</v>
      </c>
      <c r="E2821" s="8">
        <v>0</v>
      </c>
      <c r="F2821" s="8">
        <v>0</v>
      </c>
      <c r="G2821" s="8">
        <v>0</v>
      </c>
      <c r="H2821" s="8">
        <v>0</v>
      </c>
      <c r="I2821" s="8">
        <v>0</v>
      </c>
      <c r="J2821" s="8">
        <v>1</v>
      </c>
      <c r="K2821" s="9">
        <v>1</v>
      </c>
      <c r="L2821" s="10">
        <v>0</v>
      </c>
      <c r="M2821" s="6">
        <v>1</v>
      </c>
      <c r="N2821" s="37" t="e" cm="1">
        <f t="array" ref="N2821">IF(OR(ISNUMBER(FIND(Aux!$D$3:$D$9,_xlfn.TEXTJOIN(,,C2821:K2821)))),NA(),IF(AND(SUM(C2821:F2821,H2821:K2821)=0,G2821=1),0,INT((SUMPRODUCT(C2821:F2821,COLUMN($A$1:$D$1)-1)+SUMPRODUCT(H2821:K2821,COLUMN($E$1:$H$1)-1))*'Line Follower'!$C$3/SUM(C2821:F2821,H2821:K2821)-'Line Follower'!$C$5)))</f>
        <v>#N/A</v>
      </c>
      <c r="O2821" s="22" t="e">
        <v>#N/A</v>
      </c>
      <c r="P2821" s="4" t="e">
        <f t="shared" si="220"/>
        <v>#N/A</v>
      </c>
      <c r="Q2821" s="4" t="e">
        <f t="shared" si="221"/>
        <v>#N/A</v>
      </c>
      <c r="R2821" s="4" t="e">
        <f>IF(AND(B2821=1,N2821&gt;'Line Follower'!$C$7,SUM(C2821:K2821)&lt;4),1,0)</f>
        <v>#N/A</v>
      </c>
      <c r="S2821" s="4" t="e">
        <f>IF(AND(L2821=1,N2821&lt;'Line Follower'!$C$6,SUM(C2821:K2821)&lt;4),1,0)</f>
        <v>#N/A</v>
      </c>
      <c r="T2821" s="4" t="e">
        <f t="shared" si="222"/>
        <v>#N/A</v>
      </c>
      <c r="U2821" s="5" t="e">
        <f t="shared" si="223"/>
        <v>#N/A</v>
      </c>
      <c r="V2821" s="23" t="e">
        <f t="shared" si="224"/>
        <v>#N/A</v>
      </c>
    </row>
    <row r="2822" spans="2:22" x14ac:dyDescent="0.25">
      <c r="B2822" s="16">
        <v>1</v>
      </c>
      <c r="C2822" s="7">
        <v>1</v>
      </c>
      <c r="D2822" s="8">
        <v>0</v>
      </c>
      <c r="E2822" s="8">
        <v>0</v>
      </c>
      <c r="F2822" s="8">
        <v>0</v>
      </c>
      <c r="G2822" s="8">
        <v>0</v>
      </c>
      <c r="H2822" s="8">
        <v>0</v>
      </c>
      <c r="I2822" s="8">
        <v>0</v>
      </c>
      <c r="J2822" s="8">
        <v>1</v>
      </c>
      <c r="K2822" s="9">
        <v>1</v>
      </c>
      <c r="L2822" s="10">
        <v>0</v>
      </c>
      <c r="M2822" s="6">
        <v>1</v>
      </c>
      <c r="N2822" s="37" t="e" cm="1">
        <f t="array" ref="N2822">IF(OR(ISNUMBER(FIND(Aux!$D$3:$D$9,_xlfn.TEXTJOIN(,,C2822:K2822)))),NA(),IF(AND(SUM(C2822:F2822,H2822:K2822)=0,G2822=1),0,INT((SUMPRODUCT(C2822:F2822,COLUMN($A$1:$D$1)-1)+SUMPRODUCT(H2822:K2822,COLUMN($E$1:$H$1)-1))*'Line Follower'!$C$3/SUM(C2822:F2822,H2822:K2822)-'Line Follower'!$C$5)))</f>
        <v>#N/A</v>
      </c>
      <c r="O2822" s="22" t="e">
        <v>#N/A</v>
      </c>
      <c r="P2822" s="4" t="e">
        <f t="shared" si="220"/>
        <v>#N/A</v>
      </c>
      <c r="Q2822" s="4" t="e">
        <f t="shared" si="221"/>
        <v>#N/A</v>
      </c>
      <c r="R2822" s="4" t="e">
        <f>IF(AND(B2822=1,N2822&gt;'Line Follower'!$C$7,SUM(C2822:K2822)&lt;4),1,0)</f>
        <v>#N/A</v>
      </c>
      <c r="S2822" s="4" t="e">
        <f>IF(AND(L2822=1,N2822&lt;'Line Follower'!$C$6,SUM(C2822:K2822)&lt;4),1,0)</f>
        <v>#N/A</v>
      </c>
      <c r="T2822" s="4" t="e">
        <f t="shared" si="222"/>
        <v>#N/A</v>
      </c>
      <c r="U2822" s="5" t="e">
        <f t="shared" si="223"/>
        <v>#N/A</v>
      </c>
      <c r="V2822" s="23" t="e">
        <f t="shared" si="224"/>
        <v>#N/A</v>
      </c>
    </row>
    <row r="2823" spans="2:22" x14ac:dyDescent="0.25">
      <c r="B2823" s="16">
        <v>0</v>
      </c>
      <c r="C2823" s="7">
        <v>0</v>
      </c>
      <c r="D2823" s="8">
        <v>1</v>
      </c>
      <c r="E2823" s="8">
        <v>0</v>
      </c>
      <c r="F2823" s="8">
        <v>0</v>
      </c>
      <c r="G2823" s="8">
        <v>0</v>
      </c>
      <c r="H2823" s="8">
        <v>0</v>
      </c>
      <c r="I2823" s="8">
        <v>0</v>
      </c>
      <c r="J2823" s="8">
        <v>1</v>
      </c>
      <c r="K2823" s="9">
        <v>1</v>
      </c>
      <c r="L2823" s="10">
        <v>0</v>
      </c>
      <c r="M2823" s="6">
        <v>1</v>
      </c>
      <c r="N2823" s="37" t="e" cm="1">
        <f t="array" ref="N2823">IF(OR(ISNUMBER(FIND(Aux!$D$3:$D$9,_xlfn.TEXTJOIN(,,C2823:K2823)))),NA(),IF(AND(SUM(C2823:F2823,H2823:K2823)=0,G2823=1),0,INT((SUMPRODUCT(C2823:F2823,COLUMN($A$1:$D$1)-1)+SUMPRODUCT(H2823:K2823,COLUMN($E$1:$H$1)-1))*'Line Follower'!$C$3/SUM(C2823:F2823,H2823:K2823)-'Line Follower'!$C$5)))</f>
        <v>#N/A</v>
      </c>
      <c r="O2823" s="22" t="e">
        <v>#N/A</v>
      </c>
      <c r="P2823" s="4" t="e">
        <f t="shared" si="220"/>
        <v>#N/A</v>
      </c>
      <c r="Q2823" s="4" t="e">
        <f t="shared" si="221"/>
        <v>#N/A</v>
      </c>
      <c r="R2823" s="4" t="e">
        <f>IF(AND(B2823=1,N2823&gt;'Line Follower'!$C$7,SUM(C2823:K2823)&lt;4),1,0)</f>
        <v>#N/A</v>
      </c>
      <c r="S2823" s="4" t="e">
        <f>IF(AND(L2823=1,N2823&lt;'Line Follower'!$C$6,SUM(C2823:K2823)&lt;4),1,0)</f>
        <v>#N/A</v>
      </c>
      <c r="T2823" s="4" t="e">
        <f t="shared" si="222"/>
        <v>#N/A</v>
      </c>
      <c r="U2823" s="5" t="e">
        <f t="shared" si="223"/>
        <v>#N/A</v>
      </c>
      <c r="V2823" s="23" t="e">
        <f t="shared" si="224"/>
        <v>#N/A</v>
      </c>
    </row>
    <row r="2824" spans="2:22" x14ac:dyDescent="0.25">
      <c r="B2824" s="16">
        <v>1</v>
      </c>
      <c r="C2824" s="7">
        <v>0</v>
      </c>
      <c r="D2824" s="8">
        <v>1</v>
      </c>
      <c r="E2824" s="8">
        <v>0</v>
      </c>
      <c r="F2824" s="8">
        <v>0</v>
      </c>
      <c r="G2824" s="8">
        <v>0</v>
      </c>
      <c r="H2824" s="8">
        <v>0</v>
      </c>
      <c r="I2824" s="8">
        <v>0</v>
      </c>
      <c r="J2824" s="8">
        <v>1</v>
      </c>
      <c r="K2824" s="9">
        <v>1</v>
      </c>
      <c r="L2824" s="10">
        <v>0</v>
      </c>
      <c r="M2824" s="6">
        <v>1</v>
      </c>
      <c r="N2824" s="37" t="e" cm="1">
        <f t="array" ref="N2824">IF(OR(ISNUMBER(FIND(Aux!$D$3:$D$9,_xlfn.TEXTJOIN(,,C2824:K2824)))),NA(),IF(AND(SUM(C2824:F2824,H2824:K2824)=0,G2824=1),0,INT((SUMPRODUCT(C2824:F2824,COLUMN($A$1:$D$1)-1)+SUMPRODUCT(H2824:K2824,COLUMN($E$1:$H$1)-1))*'Line Follower'!$C$3/SUM(C2824:F2824,H2824:K2824)-'Line Follower'!$C$5)))</f>
        <v>#N/A</v>
      </c>
      <c r="O2824" s="22" t="e">
        <v>#N/A</v>
      </c>
      <c r="P2824" s="4" t="e">
        <f t="shared" si="220"/>
        <v>#N/A</v>
      </c>
      <c r="Q2824" s="4" t="e">
        <f t="shared" si="221"/>
        <v>#N/A</v>
      </c>
      <c r="R2824" s="4" t="e">
        <f>IF(AND(B2824=1,N2824&gt;'Line Follower'!$C$7,SUM(C2824:K2824)&lt;4),1,0)</f>
        <v>#N/A</v>
      </c>
      <c r="S2824" s="4" t="e">
        <f>IF(AND(L2824=1,N2824&lt;'Line Follower'!$C$6,SUM(C2824:K2824)&lt;4),1,0)</f>
        <v>#N/A</v>
      </c>
      <c r="T2824" s="4" t="e">
        <f t="shared" si="222"/>
        <v>#N/A</v>
      </c>
      <c r="U2824" s="5" t="e">
        <f t="shared" si="223"/>
        <v>#N/A</v>
      </c>
      <c r="V2824" s="23" t="e">
        <f t="shared" si="224"/>
        <v>#N/A</v>
      </c>
    </row>
    <row r="2825" spans="2:22" x14ac:dyDescent="0.25">
      <c r="B2825" s="16">
        <v>0</v>
      </c>
      <c r="C2825" s="7">
        <v>1</v>
      </c>
      <c r="D2825" s="8">
        <v>1</v>
      </c>
      <c r="E2825" s="8">
        <v>0</v>
      </c>
      <c r="F2825" s="8">
        <v>0</v>
      </c>
      <c r="G2825" s="8">
        <v>0</v>
      </c>
      <c r="H2825" s="8">
        <v>0</v>
      </c>
      <c r="I2825" s="8">
        <v>0</v>
      </c>
      <c r="J2825" s="8">
        <v>1</v>
      </c>
      <c r="K2825" s="9">
        <v>1</v>
      </c>
      <c r="L2825" s="10">
        <v>0</v>
      </c>
      <c r="M2825" s="6">
        <v>1</v>
      </c>
      <c r="N2825" s="37" t="e" cm="1">
        <f t="array" ref="N2825">IF(OR(ISNUMBER(FIND(Aux!$D$3:$D$9,_xlfn.TEXTJOIN(,,C2825:K2825)))),NA(),IF(AND(SUM(C2825:F2825,H2825:K2825)=0,G2825=1),0,INT((SUMPRODUCT(C2825:F2825,COLUMN($A$1:$D$1)-1)+SUMPRODUCT(H2825:K2825,COLUMN($E$1:$H$1)-1))*'Line Follower'!$C$3/SUM(C2825:F2825,H2825:K2825)-'Line Follower'!$C$5)))</f>
        <v>#N/A</v>
      </c>
      <c r="O2825" s="22" t="e">
        <v>#N/A</v>
      </c>
      <c r="P2825" s="4" t="e">
        <f t="shared" si="220"/>
        <v>#N/A</v>
      </c>
      <c r="Q2825" s="4" t="e">
        <f t="shared" si="221"/>
        <v>#N/A</v>
      </c>
      <c r="R2825" s="4" t="e">
        <f>IF(AND(B2825=1,N2825&gt;'Line Follower'!$C$7,SUM(C2825:K2825)&lt;4),1,0)</f>
        <v>#N/A</v>
      </c>
      <c r="S2825" s="4" t="e">
        <f>IF(AND(L2825=1,N2825&lt;'Line Follower'!$C$6,SUM(C2825:K2825)&lt;4),1,0)</f>
        <v>#N/A</v>
      </c>
      <c r="T2825" s="4" t="e">
        <f t="shared" si="222"/>
        <v>#N/A</v>
      </c>
      <c r="U2825" s="5" t="e">
        <f t="shared" si="223"/>
        <v>#N/A</v>
      </c>
      <c r="V2825" s="23" t="e">
        <f t="shared" si="224"/>
        <v>#N/A</v>
      </c>
    </row>
    <row r="2826" spans="2:22" x14ac:dyDescent="0.25">
      <c r="B2826" s="16">
        <v>1</v>
      </c>
      <c r="C2826" s="7">
        <v>1</v>
      </c>
      <c r="D2826" s="8">
        <v>1</v>
      </c>
      <c r="E2826" s="8">
        <v>0</v>
      </c>
      <c r="F2826" s="8">
        <v>0</v>
      </c>
      <c r="G2826" s="8">
        <v>0</v>
      </c>
      <c r="H2826" s="8">
        <v>0</v>
      </c>
      <c r="I2826" s="8">
        <v>0</v>
      </c>
      <c r="J2826" s="8">
        <v>1</v>
      </c>
      <c r="K2826" s="9">
        <v>1</v>
      </c>
      <c r="L2826" s="10">
        <v>0</v>
      </c>
      <c r="M2826" s="6">
        <v>1</v>
      </c>
      <c r="N2826" s="37" t="e" cm="1">
        <f t="array" ref="N2826">IF(OR(ISNUMBER(FIND(Aux!$D$3:$D$9,_xlfn.TEXTJOIN(,,C2826:K2826)))),NA(),IF(AND(SUM(C2826:F2826,H2826:K2826)=0,G2826=1),0,INT((SUMPRODUCT(C2826:F2826,COLUMN($A$1:$D$1)-1)+SUMPRODUCT(H2826:K2826,COLUMN($E$1:$H$1)-1))*'Line Follower'!$C$3/SUM(C2826:F2826,H2826:K2826)-'Line Follower'!$C$5)))</f>
        <v>#N/A</v>
      </c>
      <c r="O2826" s="22" t="e">
        <v>#N/A</v>
      </c>
      <c r="P2826" s="4" t="e">
        <f t="shared" si="220"/>
        <v>#N/A</v>
      </c>
      <c r="Q2826" s="4" t="e">
        <f t="shared" si="221"/>
        <v>#N/A</v>
      </c>
      <c r="R2826" s="4" t="e">
        <f>IF(AND(B2826=1,N2826&gt;'Line Follower'!$C$7,SUM(C2826:K2826)&lt;4),1,0)</f>
        <v>#N/A</v>
      </c>
      <c r="S2826" s="4" t="e">
        <f>IF(AND(L2826=1,N2826&lt;'Line Follower'!$C$6,SUM(C2826:K2826)&lt;4),1,0)</f>
        <v>#N/A</v>
      </c>
      <c r="T2826" s="4" t="e">
        <f t="shared" si="222"/>
        <v>#N/A</v>
      </c>
      <c r="U2826" s="5" t="e">
        <f t="shared" si="223"/>
        <v>#N/A</v>
      </c>
      <c r="V2826" s="23" t="e">
        <f t="shared" si="224"/>
        <v>#N/A</v>
      </c>
    </row>
    <row r="2827" spans="2:22" x14ac:dyDescent="0.25">
      <c r="B2827" s="16">
        <v>0</v>
      </c>
      <c r="C2827" s="7">
        <v>0</v>
      </c>
      <c r="D2827" s="8">
        <v>0</v>
      </c>
      <c r="E2827" s="8">
        <v>1</v>
      </c>
      <c r="F2827" s="8">
        <v>0</v>
      </c>
      <c r="G2827" s="8">
        <v>0</v>
      </c>
      <c r="H2827" s="8">
        <v>0</v>
      </c>
      <c r="I2827" s="8">
        <v>0</v>
      </c>
      <c r="J2827" s="8">
        <v>1</v>
      </c>
      <c r="K2827" s="9">
        <v>1</v>
      </c>
      <c r="L2827" s="10">
        <v>0</v>
      </c>
      <c r="M2827" s="6">
        <v>1</v>
      </c>
      <c r="N2827" s="37" t="e" cm="1">
        <f t="array" ref="N2827">IF(OR(ISNUMBER(FIND(Aux!$D$3:$D$9,_xlfn.TEXTJOIN(,,C2827:K2827)))),NA(),IF(AND(SUM(C2827:F2827,H2827:K2827)=0,G2827=1),0,INT((SUMPRODUCT(C2827:F2827,COLUMN($A$1:$D$1)-1)+SUMPRODUCT(H2827:K2827,COLUMN($E$1:$H$1)-1))*'Line Follower'!$C$3/SUM(C2827:F2827,H2827:K2827)-'Line Follower'!$C$5)))</f>
        <v>#N/A</v>
      </c>
      <c r="O2827" s="22" t="e">
        <v>#N/A</v>
      </c>
      <c r="P2827" s="4" t="e">
        <f t="shared" si="220"/>
        <v>#N/A</v>
      </c>
      <c r="Q2827" s="4" t="e">
        <f t="shared" si="221"/>
        <v>#N/A</v>
      </c>
      <c r="R2827" s="4" t="e">
        <f>IF(AND(B2827=1,N2827&gt;'Line Follower'!$C$7,SUM(C2827:K2827)&lt;4),1,0)</f>
        <v>#N/A</v>
      </c>
      <c r="S2827" s="4" t="e">
        <f>IF(AND(L2827=1,N2827&lt;'Line Follower'!$C$6,SUM(C2827:K2827)&lt;4),1,0)</f>
        <v>#N/A</v>
      </c>
      <c r="T2827" s="4" t="e">
        <f t="shared" si="222"/>
        <v>#N/A</v>
      </c>
      <c r="U2827" s="5" t="e">
        <f t="shared" si="223"/>
        <v>#N/A</v>
      </c>
      <c r="V2827" s="23" t="e">
        <f t="shared" si="224"/>
        <v>#N/A</v>
      </c>
    </row>
    <row r="2828" spans="2:22" x14ac:dyDescent="0.25">
      <c r="B2828" s="16">
        <v>1</v>
      </c>
      <c r="C2828" s="7">
        <v>0</v>
      </c>
      <c r="D2828" s="8">
        <v>0</v>
      </c>
      <c r="E2828" s="8">
        <v>1</v>
      </c>
      <c r="F2828" s="8">
        <v>0</v>
      </c>
      <c r="G2828" s="8">
        <v>0</v>
      </c>
      <c r="H2828" s="8">
        <v>0</v>
      </c>
      <c r="I2828" s="8">
        <v>0</v>
      </c>
      <c r="J2828" s="8">
        <v>1</v>
      </c>
      <c r="K2828" s="9">
        <v>1</v>
      </c>
      <c r="L2828" s="10">
        <v>0</v>
      </c>
      <c r="M2828" s="6">
        <v>1</v>
      </c>
      <c r="N2828" s="37" t="e" cm="1">
        <f t="array" ref="N2828">IF(OR(ISNUMBER(FIND(Aux!$D$3:$D$9,_xlfn.TEXTJOIN(,,C2828:K2828)))),NA(),IF(AND(SUM(C2828:F2828,H2828:K2828)=0,G2828=1),0,INT((SUMPRODUCT(C2828:F2828,COLUMN($A$1:$D$1)-1)+SUMPRODUCT(H2828:K2828,COLUMN($E$1:$H$1)-1))*'Line Follower'!$C$3/SUM(C2828:F2828,H2828:K2828)-'Line Follower'!$C$5)))</f>
        <v>#N/A</v>
      </c>
      <c r="O2828" s="22" t="e">
        <v>#N/A</v>
      </c>
      <c r="P2828" s="4" t="e">
        <f t="shared" si="220"/>
        <v>#N/A</v>
      </c>
      <c r="Q2828" s="4" t="e">
        <f t="shared" si="221"/>
        <v>#N/A</v>
      </c>
      <c r="R2828" s="4" t="e">
        <f>IF(AND(B2828=1,N2828&gt;'Line Follower'!$C$7,SUM(C2828:K2828)&lt;4),1,0)</f>
        <v>#N/A</v>
      </c>
      <c r="S2828" s="4" t="e">
        <f>IF(AND(L2828=1,N2828&lt;'Line Follower'!$C$6,SUM(C2828:K2828)&lt;4),1,0)</f>
        <v>#N/A</v>
      </c>
      <c r="T2828" s="4" t="e">
        <f t="shared" si="222"/>
        <v>#N/A</v>
      </c>
      <c r="U2828" s="5" t="e">
        <f t="shared" si="223"/>
        <v>#N/A</v>
      </c>
      <c r="V2828" s="23" t="e">
        <f t="shared" si="224"/>
        <v>#N/A</v>
      </c>
    </row>
    <row r="2829" spans="2:22" x14ac:dyDescent="0.25">
      <c r="B2829" s="16">
        <v>0</v>
      </c>
      <c r="C2829" s="7">
        <v>1</v>
      </c>
      <c r="D2829" s="8">
        <v>0</v>
      </c>
      <c r="E2829" s="8">
        <v>1</v>
      </c>
      <c r="F2829" s="8">
        <v>0</v>
      </c>
      <c r="G2829" s="8">
        <v>0</v>
      </c>
      <c r="H2829" s="8">
        <v>0</v>
      </c>
      <c r="I2829" s="8">
        <v>0</v>
      </c>
      <c r="J2829" s="8">
        <v>1</v>
      </c>
      <c r="K2829" s="9">
        <v>1</v>
      </c>
      <c r="L2829" s="10">
        <v>0</v>
      </c>
      <c r="M2829" s="6">
        <v>1</v>
      </c>
      <c r="N2829" s="37" t="e" cm="1">
        <f t="array" ref="N2829">IF(OR(ISNUMBER(FIND(Aux!$D$3:$D$9,_xlfn.TEXTJOIN(,,C2829:K2829)))),NA(),IF(AND(SUM(C2829:F2829,H2829:K2829)=0,G2829=1),0,INT((SUMPRODUCT(C2829:F2829,COLUMN($A$1:$D$1)-1)+SUMPRODUCT(H2829:K2829,COLUMN($E$1:$H$1)-1))*'Line Follower'!$C$3/SUM(C2829:F2829,H2829:K2829)-'Line Follower'!$C$5)))</f>
        <v>#N/A</v>
      </c>
      <c r="O2829" s="22" t="e">
        <v>#N/A</v>
      </c>
      <c r="P2829" s="4" t="e">
        <f t="shared" si="220"/>
        <v>#N/A</v>
      </c>
      <c r="Q2829" s="4" t="e">
        <f t="shared" si="221"/>
        <v>#N/A</v>
      </c>
      <c r="R2829" s="4" t="e">
        <f>IF(AND(B2829=1,N2829&gt;'Line Follower'!$C$7,SUM(C2829:K2829)&lt;4),1,0)</f>
        <v>#N/A</v>
      </c>
      <c r="S2829" s="4" t="e">
        <f>IF(AND(L2829=1,N2829&lt;'Line Follower'!$C$6,SUM(C2829:K2829)&lt;4),1,0)</f>
        <v>#N/A</v>
      </c>
      <c r="T2829" s="4" t="e">
        <f t="shared" si="222"/>
        <v>#N/A</v>
      </c>
      <c r="U2829" s="5" t="e">
        <f t="shared" si="223"/>
        <v>#N/A</v>
      </c>
      <c r="V2829" s="23" t="e">
        <f t="shared" si="224"/>
        <v>#N/A</v>
      </c>
    </row>
    <row r="2830" spans="2:22" x14ac:dyDescent="0.25">
      <c r="B2830" s="16">
        <v>1</v>
      </c>
      <c r="C2830" s="7">
        <v>1</v>
      </c>
      <c r="D2830" s="8">
        <v>0</v>
      </c>
      <c r="E2830" s="8">
        <v>1</v>
      </c>
      <c r="F2830" s="8">
        <v>0</v>
      </c>
      <c r="G2830" s="8">
        <v>0</v>
      </c>
      <c r="H2830" s="8">
        <v>0</v>
      </c>
      <c r="I2830" s="8">
        <v>0</v>
      </c>
      <c r="J2830" s="8">
        <v>1</v>
      </c>
      <c r="K2830" s="9">
        <v>1</v>
      </c>
      <c r="L2830" s="10">
        <v>0</v>
      </c>
      <c r="M2830" s="6">
        <v>1</v>
      </c>
      <c r="N2830" s="37" t="e" cm="1">
        <f t="array" ref="N2830">IF(OR(ISNUMBER(FIND(Aux!$D$3:$D$9,_xlfn.TEXTJOIN(,,C2830:K2830)))),NA(),IF(AND(SUM(C2830:F2830,H2830:K2830)=0,G2830=1),0,INT((SUMPRODUCT(C2830:F2830,COLUMN($A$1:$D$1)-1)+SUMPRODUCT(H2830:K2830,COLUMN($E$1:$H$1)-1))*'Line Follower'!$C$3/SUM(C2830:F2830,H2830:K2830)-'Line Follower'!$C$5)))</f>
        <v>#N/A</v>
      </c>
      <c r="O2830" s="22" t="e">
        <v>#N/A</v>
      </c>
      <c r="P2830" s="4" t="e">
        <f t="shared" si="220"/>
        <v>#N/A</v>
      </c>
      <c r="Q2830" s="4" t="e">
        <f t="shared" si="221"/>
        <v>#N/A</v>
      </c>
      <c r="R2830" s="4" t="e">
        <f>IF(AND(B2830=1,N2830&gt;'Line Follower'!$C$7,SUM(C2830:K2830)&lt;4),1,0)</f>
        <v>#N/A</v>
      </c>
      <c r="S2830" s="4" t="e">
        <f>IF(AND(L2830=1,N2830&lt;'Line Follower'!$C$6,SUM(C2830:K2830)&lt;4),1,0)</f>
        <v>#N/A</v>
      </c>
      <c r="T2830" s="4" t="e">
        <f t="shared" si="222"/>
        <v>#N/A</v>
      </c>
      <c r="U2830" s="5" t="e">
        <f t="shared" si="223"/>
        <v>#N/A</v>
      </c>
      <c r="V2830" s="23" t="e">
        <f t="shared" si="224"/>
        <v>#N/A</v>
      </c>
    </row>
    <row r="2831" spans="2:22" x14ac:dyDescent="0.25">
      <c r="B2831" s="16">
        <v>0</v>
      </c>
      <c r="C2831" s="7">
        <v>0</v>
      </c>
      <c r="D2831" s="8">
        <v>1</v>
      </c>
      <c r="E2831" s="8">
        <v>1</v>
      </c>
      <c r="F2831" s="8">
        <v>0</v>
      </c>
      <c r="G2831" s="8">
        <v>0</v>
      </c>
      <c r="H2831" s="8">
        <v>0</v>
      </c>
      <c r="I2831" s="8">
        <v>0</v>
      </c>
      <c r="J2831" s="8">
        <v>1</v>
      </c>
      <c r="K2831" s="9">
        <v>1</v>
      </c>
      <c r="L2831" s="10">
        <v>0</v>
      </c>
      <c r="M2831" s="6">
        <v>1</v>
      </c>
      <c r="N2831" s="37" t="e" cm="1">
        <f t="array" ref="N2831">IF(OR(ISNUMBER(FIND(Aux!$D$3:$D$9,_xlfn.TEXTJOIN(,,C2831:K2831)))),NA(),IF(AND(SUM(C2831:F2831,H2831:K2831)=0,G2831=1),0,INT((SUMPRODUCT(C2831:F2831,COLUMN($A$1:$D$1)-1)+SUMPRODUCT(H2831:K2831,COLUMN($E$1:$H$1)-1))*'Line Follower'!$C$3/SUM(C2831:F2831,H2831:K2831)-'Line Follower'!$C$5)))</f>
        <v>#N/A</v>
      </c>
      <c r="O2831" s="22" t="e">
        <v>#N/A</v>
      </c>
      <c r="P2831" s="4" t="e">
        <f t="shared" si="220"/>
        <v>#N/A</v>
      </c>
      <c r="Q2831" s="4" t="e">
        <f t="shared" si="221"/>
        <v>#N/A</v>
      </c>
      <c r="R2831" s="4" t="e">
        <f>IF(AND(B2831=1,N2831&gt;'Line Follower'!$C$7,SUM(C2831:K2831)&lt;4),1,0)</f>
        <v>#N/A</v>
      </c>
      <c r="S2831" s="4" t="e">
        <f>IF(AND(L2831=1,N2831&lt;'Line Follower'!$C$6,SUM(C2831:K2831)&lt;4),1,0)</f>
        <v>#N/A</v>
      </c>
      <c r="T2831" s="4" t="e">
        <f t="shared" si="222"/>
        <v>#N/A</v>
      </c>
      <c r="U2831" s="5" t="e">
        <f t="shared" si="223"/>
        <v>#N/A</v>
      </c>
      <c r="V2831" s="23" t="e">
        <f t="shared" si="224"/>
        <v>#N/A</v>
      </c>
    </row>
    <row r="2832" spans="2:22" x14ac:dyDescent="0.25">
      <c r="B2832" s="16">
        <v>1</v>
      </c>
      <c r="C2832" s="7">
        <v>0</v>
      </c>
      <c r="D2832" s="8">
        <v>1</v>
      </c>
      <c r="E2832" s="8">
        <v>1</v>
      </c>
      <c r="F2832" s="8">
        <v>0</v>
      </c>
      <c r="G2832" s="8">
        <v>0</v>
      </c>
      <c r="H2832" s="8">
        <v>0</v>
      </c>
      <c r="I2832" s="8">
        <v>0</v>
      </c>
      <c r="J2832" s="8">
        <v>1</v>
      </c>
      <c r="K2832" s="9">
        <v>1</v>
      </c>
      <c r="L2832" s="10">
        <v>0</v>
      </c>
      <c r="M2832" s="6">
        <v>1</v>
      </c>
      <c r="N2832" s="37" t="e" cm="1">
        <f t="array" ref="N2832">IF(OR(ISNUMBER(FIND(Aux!$D$3:$D$9,_xlfn.TEXTJOIN(,,C2832:K2832)))),NA(),IF(AND(SUM(C2832:F2832,H2832:K2832)=0,G2832=1),0,INT((SUMPRODUCT(C2832:F2832,COLUMN($A$1:$D$1)-1)+SUMPRODUCT(H2832:K2832,COLUMN($E$1:$H$1)-1))*'Line Follower'!$C$3/SUM(C2832:F2832,H2832:K2832)-'Line Follower'!$C$5)))</f>
        <v>#N/A</v>
      </c>
      <c r="O2832" s="22" t="e">
        <v>#N/A</v>
      </c>
      <c r="P2832" s="4" t="e">
        <f t="shared" si="220"/>
        <v>#N/A</v>
      </c>
      <c r="Q2832" s="4" t="e">
        <f t="shared" si="221"/>
        <v>#N/A</v>
      </c>
      <c r="R2832" s="4" t="e">
        <f>IF(AND(B2832=1,N2832&gt;'Line Follower'!$C$7,SUM(C2832:K2832)&lt;4),1,0)</f>
        <v>#N/A</v>
      </c>
      <c r="S2832" s="4" t="e">
        <f>IF(AND(L2832=1,N2832&lt;'Line Follower'!$C$6,SUM(C2832:K2832)&lt;4),1,0)</f>
        <v>#N/A</v>
      </c>
      <c r="T2832" s="4" t="e">
        <f t="shared" si="222"/>
        <v>#N/A</v>
      </c>
      <c r="U2832" s="5" t="e">
        <f t="shared" si="223"/>
        <v>#N/A</v>
      </c>
      <c r="V2832" s="23" t="e">
        <f t="shared" si="224"/>
        <v>#N/A</v>
      </c>
    </row>
    <row r="2833" spans="2:22" x14ac:dyDescent="0.25">
      <c r="B2833" s="16">
        <v>0</v>
      </c>
      <c r="C2833" s="7">
        <v>1</v>
      </c>
      <c r="D2833" s="8">
        <v>1</v>
      </c>
      <c r="E2833" s="8">
        <v>1</v>
      </c>
      <c r="F2833" s="8">
        <v>0</v>
      </c>
      <c r="G2833" s="8">
        <v>0</v>
      </c>
      <c r="H2833" s="8">
        <v>0</v>
      </c>
      <c r="I2833" s="8">
        <v>0</v>
      </c>
      <c r="J2833" s="8">
        <v>1</v>
      </c>
      <c r="K2833" s="9">
        <v>1</v>
      </c>
      <c r="L2833" s="10">
        <v>0</v>
      </c>
      <c r="M2833" s="6">
        <v>1</v>
      </c>
      <c r="N2833" s="37" t="e" cm="1">
        <f t="array" ref="N2833">IF(OR(ISNUMBER(FIND(Aux!$D$3:$D$9,_xlfn.TEXTJOIN(,,C2833:K2833)))),NA(),IF(AND(SUM(C2833:F2833,H2833:K2833)=0,G2833=1),0,INT((SUMPRODUCT(C2833:F2833,COLUMN($A$1:$D$1)-1)+SUMPRODUCT(H2833:K2833,COLUMN($E$1:$H$1)-1))*'Line Follower'!$C$3/SUM(C2833:F2833,H2833:K2833)-'Line Follower'!$C$5)))</f>
        <v>#N/A</v>
      </c>
      <c r="O2833" s="22" t="e">
        <v>#N/A</v>
      </c>
      <c r="P2833" s="4" t="e">
        <f t="shared" si="220"/>
        <v>#N/A</v>
      </c>
      <c r="Q2833" s="4" t="e">
        <f t="shared" si="221"/>
        <v>#N/A</v>
      </c>
      <c r="R2833" s="4" t="e">
        <f>IF(AND(B2833=1,N2833&gt;'Line Follower'!$C$7,SUM(C2833:K2833)&lt;4),1,0)</f>
        <v>#N/A</v>
      </c>
      <c r="S2833" s="4" t="e">
        <f>IF(AND(L2833=1,N2833&lt;'Line Follower'!$C$6,SUM(C2833:K2833)&lt;4),1,0)</f>
        <v>#N/A</v>
      </c>
      <c r="T2833" s="4" t="e">
        <f t="shared" si="222"/>
        <v>#N/A</v>
      </c>
      <c r="U2833" s="5" t="e">
        <f t="shared" si="223"/>
        <v>#N/A</v>
      </c>
      <c r="V2833" s="23" t="e">
        <f t="shared" si="224"/>
        <v>#N/A</v>
      </c>
    </row>
    <row r="2834" spans="2:22" x14ac:dyDescent="0.25">
      <c r="B2834" s="16">
        <v>1</v>
      </c>
      <c r="C2834" s="7">
        <v>1</v>
      </c>
      <c r="D2834" s="8">
        <v>1</v>
      </c>
      <c r="E2834" s="8">
        <v>1</v>
      </c>
      <c r="F2834" s="8">
        <v>0</v>
      </c>
      <c r="G2834" s="8">
        <v>0</v>
      </c>
      <c r="H2834" s="8">
        <v>0</v>
      </c>
      <c r="I2834" s="8">
        <v>0</v>
      </c>
      <c r="J2834" s="8">
        <v>1</v>
      </c>
      <c r="K2834" s="9">
        <v>1</v>
      </c>
      <c r="L2834" s="10">
        <v>0</v>
      </c>
      <c r="M2834" s="6">
        <v>1</v>
      </c>
      <c r="N2834" s="37" t="e" cm="1">
        <f t="array" ref="N2834">IF(OR(ISNUMBER(FIND(Aux!$D$3:$D$9,_xlfn.TEXTJOIN(,,C2834:K2834)))),NA(),IF(AND(SUM(C2834:F2834,H2834:K2834)=0,G2834=1),0,INT((SUMPRODUCT(C2834:F2834,COLUMN($A$1:$D$1)-1)+SUMPRODUCT(H2834:K2834,COLUMN($E$1:$H$1)-1))*'Line Follower'!$C$3/SUM(C2834:F2834,H2834:K2834)-'Line Follower'!$C$5)))</f>
        <v>#N/A</v>
      </c>
      <c r="O2834" s="22" t="e">
        <v>#N/A</v>
      </c>
      <c r="P2834" s="4" t="e">
        <f t="shared" si="220"/>
        <v>#N/A</v>
      </c>
      <c r="Q2834" s="4" t="e">
        <f t="shared" si="221"/>
        <v>#N/A</v>
      </c>
      <c r="R2834" s="4" t="e">
        <f>IF(AND(B2834=1,N2834&gt;'Line Follower'!$C$7,SUM(C2834:K2834)&lt;4),1,0)</f>
        <v>#N/A</v>
      </c>
      <c r="S2834" s="4" t="e">
        <f>IF(AND(L2834=1,N2834&lt;'Line Follower'!$C$6,SUM(C2834:K2834)&lt;4),1,0)</f>
        <v>#N/A</v>
      </c>
      <c r="T2834" s="4" t="e">
        <f t="shared" si="222"/>
        <v>#N/A</v>
      </c>
      <c r="U2834" s="5" t="e">
        <f t="shared" si="223"/>
        <v>#N/A</v>
      </c>
      <c r="V2834" s="23" t="e">
        <f t="shared" si="224"/>
        <v>#N/A</v>
      </c>
    </row>
    <row r="2835" spans="2:22" x14ac:dyDescent="0.25">
      <c r="B2835" s="16">
        <v>0</v>
      </c>
      <c r="C2835" s="7">
        <v>0</v>
      </c>
      <c r="D2835" s="8">
        <v>0</v>
      </c>
      <c r="E2835" s="8">
        <v>0</v>
      </c>
      <c r="F2835" s="8">
        <v>1</v>
      </c>
      <c r="G2835" s="8">
        <v>0</v>
      </c>
      <c r="H2835" s="8">
        <v>0</v>
      </c>
      <c r="I2835" s="8">
        <v>0</v>
      </c>
      <c r="J2835" s="8">
        <v>1</v>
      </c>
      <c r="K2835" s="9">
        <v>1</v>
      </c>
      <c r="L2835" s="10">
        <v>0</v>
      </c>
      <c r="M2835" s="6">
        <v>1</v>
      </c>
      <c r="N2835" s="37" t="e" cm="1">
        <f t="array" ref="N2835">IF(OR(ISNUMBER(FIND(Aux!$D$3:$D$9,_xlfn.TEXTJOIN(,,C2835:K2835)))),NA(),IF(AND(SUM(C2835:F2835,H2835:K2835)=0,G2835=1),0,INT((SUMPRODUCT(C2835:F2835,COLUMN($A$1:$D$1)-1)+SUMPRODUCT(H2835:K2835,COLUMN($E$1:$H$1)-1))*'Line Follower'!$C$3/SUM(C2835:F2835,H2835:K2835)-'Line Follower'!$C$5)))</f>
        <v>#N/A</v>
      </c>
      <c r="O2835" s="22" t="e">
        <v>#N/A</v>
      </c>
      <c r="P2835" s="4" t="e">
        <f t="shared" si="220"/>
        <v>#N/A</v>
      </c>
      <c r="Q2835" s="4" t="e">
        <f t="shared" si="221"/>
        <v>#N/A</v>
      </c>
      <c r="R2835" s="4" t="e">
        <f>IF(AND(B2835=1,N2835&gt;'Line Follower'!$C$7,SUM(C2835:K2835)&lt;4),1,0)</f>
        <v>#N/A</v>
      </c>
      <c r="S2835" s="4" t="e">
        <f>IF(AND(L2835=1,N2835&lt;'Line Follower'!$C$6,SUM(C2835:K2835)&lt;4),1,0)</f>
        <v>#N/A</v>
      </c>
      <c r="T2835" s="4" t="e">
        <f t="shared" si="222"/>
        <v>#N/A</v>
      </c>
      <c r="U2835" s="5" t="e">
        <f t="shared" si="223"/>
        <v>#N/A</v>
      </c>
      <c r="V2835" s="23" t="e">
        <f t="shared" si="224"/>
        <v>#N/A</v>
      </c>
    </row>
    <row r="2836" spans="2:22" x14ac:dyDescent="0.25">
      <c r="B2836" s="16">
        <v>1</v>
      </c>
      <c r="C2836" s="7">
        <v>0</v>
      </c>
      <c r="D2836" s="8">
        <v>0</v>
      </c>
      <c r="E2836" s="8">
        <v>0</v>
      </c>
      <c r="F2836" s="8">
        <v>1</v>
      </c>
      <c r="G2836" s="8">
        <v>0</v>
      </c>
      <c r="H2836" s="8">
        <v>0</v>
      </c>
      <c r="I2836" s="8">
        <v>0</v>
      </c>
      <c r="J2836" s="8">
        <v>1</v>
      </c>
      <c r="K2836" s="9">
        <v>1</v>
      </c>
      <c r="L2836" s="10">
        <v>0</v>
      </c>
      <c r="M2836" s="6">
        <v>1</v>
      </c>
      <c r="N2836" s="37" t="e" cm="1">
        <f t="array" ref="N2836">IF(OR(ISNUMBER(FIND(Aux!$D$3:$D$9,_xlfn.TEXTJOIN(,,C2836:K2836)))),NA(),IF(AND(SUM(C2836:F2836,H2836:K2836)=0,G2836=1),0,INT((SUMPRODUCT(C2836:F2836,COLUMN($A$1:$D$1)-1)+SUMPRODUCT(H2836:K2836,COLUMN($E$1:$H$1)-1))*'Line Follower'!$C$3/SUM(C2836:F2836,H2836:K2836)-'Line Follower'!$C$5)))</f>
        <v>#N/A</v>
      </c>
      <c r="O2836" s="22" t="e">
        <v>#N/A</v>
      </c>
      <c r="P2836" s="4" t="e">
        <f t="shared" si="220"/>
        <v>#N/A</v>
      </c>
      <c r="Q2836" s="4" t="e">
        <f t="shared" si="221"/>
        <v>#N/A</v>
      </c>
      <c r="R2836" s="4" t="e">
        <f>IF(AND(B2836=1,N2836&gt;'Line Follower'!$C$7,SUM(C2836:K2836)&lt;4),1,0)</f>
        <v>#N/A</v>
      </c>
      <c r="S2836" s="4" t="e">
        <f>IF(AND(L2836=1,N2836&lt;'Line Follower'!$C$6,SUM(C2836:K2836)&lt;4),1,0)</f>
        <v>#N/A</v>
      </c>
      <c r="T2836" s="4" t="e">
        <f t="shared" si="222"/>
        <v>#N/A</v>
      </c>
      <c r="U2836" s="5" t="e">
        <f t="shared" si="223"/>
        <v>#N/A</v>
      </c>
      <c r="V2836" s="23" t="e">
        <f t="shared" si="224"/>
        <v>#N/A</v>
      </c>
    </row>
    <row r="2837" spans="2:22" x14ac:dyDescent="0.25">
      <c r="B2837" s="16">
        <v>0</v>
      </c>
      <c r="C2837" s="7">
        <v>1</v>
      </c>
      <c r="D2837" s="8">
        <v>0</v>
      </c>
      <c r="E2837" s="8">
        <v>0</v>
      </c>
      <c r="F2837" s="8">
        <v>1</v>
      </c>
      <c r="G2837" s="8">
        <v>0</v>
      </c>
      <c r="H2837" s="8">
        <v>0</v>
      </c>
      <c r="I2837" s="8">
        <v>0</v>
      </c>
      <c r="J2837" s="8">
        <v>1</v>
      </c>
      <c r="K2837" s="9">
        <v>1</v>
      </c>
      <c r="L2837" s="10">
        <v>0</v>
      </c>
      <c r="M2837" s="6">
        <v>1</v>
      </c>
      <c r="N2837" s="37" t="e" cm="1">
        <f t="array" ref="N2837">IF(OR(ISNUMBER(FIND(Aux!$D$3:$D$9,_xlfn.TEXTJOIN(,,C2837:K2837)))),NA(),IF(AND(SUM(C2837:F2837,H2837:K2837)=0,G2837=1),0,INT((SUMPRODUCT(C2837:F2837,COLUMN($A$1:$D$1)-1)+SUMPRODUCT(H2837:K2837,COLUMN($E$1:$H$1)-1))*'Line Follower'!$C$3/SUM(C2837:F2837,H2837:K2837)-'Line Follower'!$C$5)))</f>
        <v>#N/A</v>
      </c>
      <c r="O2837" s="22" t="e">
        <v>#N/A</v>
      </c>
      <c r="P2837" s="4" t="e">
        <f t="shared" si="220"/>
        <v>#N/A</v>
      </c>
      <c r="Q2837" s="4" t="e">
        <f t="shared" si="221"/>
        <v>#N/A</v>
      </c>
      <c r="R2837" s="4" t="e">
        <f>IF(AND(B2837=1,N2837&gt;'Line Follower'!$C$7,SUM(C2837:K2837)&lt;4),1,0)</f>
        <v>#N/A</v>
      </c>
      <c r="S2837" s="4" t="e">
        <f>IF(AND(L2837=1,N2837&lt;'Line Follower'!$C$6,SUM(C2837:K2837)&lt;4),1,0)</f>
        <v>#N/A</v>
      </c>
      <c r="T2837" s="4" t="e">
        <f t="shared" si="222"/>
        <v>#N/A</v>
      </c>
      <c r="U2837" s="5" t="e">
        <f t="shared" si="223"/>
        <v>#N/A</v>
      </c>
      <c r="V2837" s="23" t="e">
        <f t="shared" si="224"/>
        <v>#N/A</v>
      </c>
    </row>
    <row r="2838" spans="2:22" x14ac:dyDescent="0.25">
      <c r="B2838" s="16">
        <v>1</v>
      </c>
      <c r="C2838" s="7">
        <v>1</v>
      </c>
      <c r="D2838" s="8">
        <v>0</v>
      </c>
      <c r="E2838" s="8">
        <v>0</v>
      </c>
      <c r="F2838" s="8">
        <v>1</v>
      </c>
      <c r="G2838" s="8">
        <v>0</v>
      </c>
      <c r="H2838" s="8">
        <v>0</v>
      </c>
      <c r="I2838" s="8">
        <v>0</v>
      </c>
      <c r="J2838" s="8">
        <v>1</v>
      </c>
      <c r="K2838" s="9">
        <v>1</v>
      </c>
      <c r="L2838" s="10">
        <v>0</v>
      </c>
      <c r="M2838" s="6">
        <v>1</v>
      </c>
      <c r="N2838" s="37" t="e" cm="1">
        <f t="array" ref="N2838">IF(OR(ISNUMBER(FIND(Aux!$D$3:$D$9,_xlfn.TEXTJOIN(,,C2838:K2838)))),NA(),IF(AND(SUM(C2838:F2838,H2838:K2838)=0,G2838=1),0,INT((SUMPRODUCT(C2838:F2838,COLUMN($A$1:$D$1)-1)+SUMPRODUCT(H2838:K2838,COLUMN($E$1:$H$1)-1))*'Line Follower'!$C$3/SUM(C2838:F2838,H2838:K2838)-'Line Follower'!$C$5)))</f>
        <v>#N/A</v>
      </c>
      <c r="O2838" s="22" t="e">
        <v>#N/A</v>
      </c>
      <c r="P2838" s="4" t="e">
        <f t="shared" si="220"/>
        <v>#N/A</v>
      </c>
      <c r="Q2838" s="4" t="e">
        <f t="shared" si="221"/>
        <v>#N/A</v>
      </c>
      <c r="R2838" s="4" t="e">
        <f>IF(AND(B2838=1,N2838&gt;'Line Follower'!$C$7,SUM(C2838:K2838)&lt;4),1,0)</f>
        <v>#N/A</v>
      </c>
      <c r="S2838" s="4" t="e">
        <f>IF(AND(L2838=1,N2838&lt;'Line Follower'!$C$6,SUM(C2838:K2838)&lt;4),1,0)</f>
        <v>#N/A</v>
      </c>
      <c r="T2838" s="4" t="e">
        <f t="shared" si="222"/>
        <v>#N/A</v>
      </c>
      <c r="U2838" s="5" t="e">
        <f t="shared" si="223"/>
        <v>#N/A</v>
      </c>
      <c r="V2838" s="23" t="e">
        <f t="shared" si="224"/>
        <v>#N/A</v>
      </c>
    </row>
    <row r="2839" spans="2:22" x14ac:dyDescent="0.25">
      <c r="B2839" s="16">
        <v>0</v>
      </c>
      <c r="C2839" s="7">
        <v>0</v>
      </c>
      <c r="D2839" s="8">
        <v>1</v>
      </c>
      <c r="E2839" s="8">
        <v>0</v>
      </c>
      <c r="F2839" s="8">
        <v>1</v>
      </c>
      <c r="G2839" s="8">
        <v>0</v>
      </c>
      <c r="H2839" s="8">
        <v>0</v>
      </c>
      <c r="I2839" s="8">
        <v>0</v>
      </c>
      <c r="J2839" s="8">
        <v>1</v>
      </c>
      <c r="K2839" s="9">
        <v>1</v>
      </c>
      <c r="L2839" s="10">
        <v>0</v>
      </c>
      <c r="M2839" s="6">
        <v>1</v>
      </c>
      <c r="N2839" s="37" t="e" cm="1">
        <f t="array" ref="N2839">IF(OR(ISNUMBER(FIND(Aux!$D$3:$D$9,_xlfn.TEXTJOIN(,,C2839:K2839)))),NA(),IF(AND(SUM(C2839:F2839,H2839:K2839)=0,G2839=1),0,INT((SUMPRODUCT(C2839:F2839,COLUMN($A$1:$D$1)-1)+SUMPRODUCT(H2839:K2839,COLUMN($E$1:$H$1)-1))*'Line Follower'!$C$3/SUM(C2839:F2839,H2839:K2839)-'Line Follower'!$C$5)))</f>
        <v>#N/A</v>
      </c>
      <c r="O2839" s="22" t="e">
        <v>#N/A</v>
      </c>
      <c r="P2839" s="4" t="e">
        <f t="shared" si="220"/>
        <v>#N/A</v>
      </c>
      <c r="Q2839" s="4" t="e">
        <f t="shared" si="221"/>
        <v>#N/A</v>
      </c>
      <c r="R2839" s="4" t="e">
        <f>IF(AND(B2839=1,N2839&gt;'Line Follower'!$C$7,SUM(C2839:K2839)&lt;4),1,0)</f>
        <v>#N/A</v>
      </c>
      <c r="S2839" s="4" t="e">
        <f>IF(AND(L2839=1,N2839&lt;'Line Follower'!$C$6,SUM(C2839:K2839)&lt;4),1,0)</f>
        <v>#N/A</v>
      </c>
      <c r="T2839" s="4" t="e">
        <f t="shared" si="222"/>
        <v>#N/A</v>
      </c>
      <c r="U2839" s="5" t="e">
        <f t="shared" si="223"/>
        <v>#N/A</v>
      </c>
      <c r="V2839" s="23" t="e">
        <f t="shared" si="224"/>
        <v>#N/A</v>
      </c>
    </row>
    <row r="2840" spans="2:22" x14ac:dyDescent="0.25">
      <c r="B2840" s="16">
        <v>1</v>
      </c>
      <c r="C2840" s="7">
        <v>0</v>
      </c>
      <c r="D2840" s="8">
        <v>1</v>
      </c>
      <c r="E2840" s="8">
        <v>0</v>
      </c>
      <c r="F2840" s="8">
        <v>1</v>
      </c>
      <c r="G2840" s="8">
        <v>0</v>
      </c>
      <c r="H2840" s="8">
        <v>0</v>
      </c>
      <c r="I2840" s="8">
        <v>0</v>
      </c>
      <c r="J2840" s="8">
        <v>1</v>
      </c>
      <c r="K2840" s="9">
        <v>1</v>
      </c>
      <c r="L2840" s="10">
        <v>0</v>
      </c>
      <c r="M2840" s="6">
        <v>1</v>
      </c>
      <c r="N2840" s="37" t="e" cm="1">
        <f t="array" ref="N2840">IF(OR(ISNUMBER(FIND(Aux!$D$3:$D$9,_xlfn.TEXTJOIN(,,C2840:K2840)))),NA(),IF(AND(SUM(C2840:F2840,H2840:K2840)=0,G2840=1),0,INT((SUMPRODUCT(C2840:F2840,COLUMN($A$1:$D$1)-1)+SUMPRODUCT(H2840:K2840,COLUMN($E$1:$H$1)-1))*'Line Follower'!$C$3/SUM(C2840:F2840,H2840:K2840)-'Line Follower'!$C$5)))</f>
        <v>#N/A</v>
      </c>
      <c r="O2840" s="22" t="e">
        <v>#N/A</v>
      </c>
      <c r="P2840" s="4" t="e">
        <f t="shared" si="220"/>
        <v>#N/A</v>
      </c>
      <c r="Q2840" s="4" t="e">
        <f t="shared" si="221"/>
        <v>#N/A</v>
      </c>
      <c r="R2840" s="4" t="e">
        <f>IF(AND(B2840=1,N2840&gt;'Line Follower'!$C$7,SUM(C2840:K2840)&lt;4),1,0)</f>
        <v>#N/A</v>
      </c>
      <c r="S2840" s="4" t="e">
        <f>IF(AND(L2840=1,N2840&lt;'Line Follower'!$C$6,SUM(C2840:K2840)&lt;4),1,0)</f>
        <v>#N/A</v>
      </c>
      <c r="T2840" s="4" t="e">
        <f t="shared" si="222"/>
        <v>#N/A</v>
      </c>
      <c r="U2840" s="5" t="e">
        <f t="shared" si="223"/>
        <v>#N/A</v>
      </c>
      <c r="V2840" s="23" t="e">
        <f t="shared" si="224"/>
        <v>#N/A</v>
      </c>
    </row>
    <row r="2841" spans="2:22" x14ac:dyDescent="0.25">
      <c r="B2841" s="16">
        <v>0</v>
      </c>
      <c r="C2841" s="7">
        <v>1</v>
      </c>
      <c r="D2841" s="8">
        <v>1</v>
      </c>
      <c r="E2841" s="8">
        <v>0</v>
      </c>
      <c r="F2841" s="8">
        <v>1</v>
      </c>
      <c r="G2841" s="8">
        <v>0</v>
      </c>
      <c r="H2841" s="8">
        <v>0</v>
      </c>
      <c r="I2841" s="8">
        <v>0</v>
      </c>
      <c r="J2841" s="8">
        <v>1</v>
      </c>
      <c r="K2841" s="9">
        <v>1</v>
      </c>
      <c r="L2841" s="10">
        <v>0</v>
      </c>
      <c r="M2841" s="6">
        <v>1</v>
      </c>
      <c r="N2841" s="37" t="e" cm="1">
        <f t="array" ref="N2841">IF(OR(ISNUMBER(FIND(Aux!$D$3:$D$9,_xlfn.TEXTJOIN(,,C2841:K2841)))),NA(),IF(AND(SUM(C2841:F2841,H2841:K2841)=0,G2841=1),0,INT((SUMPRODUCT(C2841:F2841,COLUMN($A$1:$D$1)-1)+SUMPRODUCT(H2841:K2841,COLUMN($E$1:$H$1)-1))*'Line Follower'!$C$3/SUM(C2841:F2841,H2841:K2841)-'Line Follower'!$C$5)))</f>
        <v>#N/A</v>
      </c>
      <c r="O2841" s="22" t="e">
        <v>#N/A</v>
      </c>
      <c r="P2841" s="4" t="e">
        <f t="shared" si="220"/>
        <v>#N/A</v>
      </c>
      <c r="Q2841" s="4" t="e">
        <f t="shared" si="221"/>
        <v>#N/A</v>
      </c>
      <c r="R2841" s="4" t="e">
        <f>IF(AND(B2841=1,N2841&gt;'Line Follower'!$C$7,SUM(C2841:K2841)&lt;4),1,0)</f>
        <v>#N/A</v>
      </c>
      <c r="S2841" s="4" t="e">
        <f>IF(AND(L2841=1,N2841&lt;'Line Follower'!$C$6,SUM(C2841:K2841)&lt;4),1,0)</f>
        <v>#N/A</v>
      </c>
      <c r="T2841" s="4" t="e">
        <f t="shared" si="222"/>
        <v>#N/A</v>
      </c>
      <c r="U2841" s="5" t="e">
        <f t="shared" si="223"/>
        <v>#N/A</v>
      </c>
      <c r="V2841" s="23" t="e">
        <f t="shared" si="224"/>
        <v>#N/A</v>
      </c>
    </row>
    <row r="2842" spans="2:22" x14ac:dyDescent="0.25">
      <c r="B2842" s="16">
        <v>1</v>
      </c>
      <c r="C2842" s="7">
        <v>1</v>
      </c>
      <c r="D2842" s="8">
        <v>1</v>
      </c>
      <c r="E2842" s="8">
        <v>0</v>
      </c>
      <c r="F2842" s="8">
        <v>1</v>
      </c>
      <c r="G2842" s="8">
        <v>0</v>
      </c>
      <c r="H2842" s="8">
        <v>0</v>
      </c>
      <c r="I2842" s="8">
        <v>0</v>
      </c>
      <c r="J2842" s="8">
        <v>1</v>
      </c>
      <c r="K2842" s="9">
        <v>1</v>
      </c>
      <c r="L2842" s="10">
        <v>0</v>
      </c>
      <c r="M2842" s="6">
        <v>1</v>
      </c>
      <c r="N2842" s="37" t="e" cm="1">
        <f t="array" ref="N2842">IF(OR(ISNUMBER(FIND(Aux!$D$3:$D$9,_xlfn.TEXTJOIN(,,C2842:K2842)))),NA(),IF(AND(SUM(C2842:F2842,H2842:K2842)=0,G2842=1),0,INT((SUMPRODUCT(C2842:F2842,COLUMN($A$1:$D$1)-1)+SUMPRODUCT(H2842:K2842,COLUMN($E$1:$H$1)-1))*'Line Follower'!$C$3/SUM(C2842:F2842,H2842:K2842)-'Line Follower'!$C$5)))</f>
        <v>#N/A</v>
      </c>
      <c r="O2842" s="22" t="e">
        <v>#N/A</v>
      </c>
      <c r="P2842" s="4" t="e">
        <f t="shared" si="220"/>
        <v>#N/A</v>
      </c>
      <c r="Q2842" s="4" t="e">
        <f t="shared" si="221"/>
        <v>#N/A</v>
      </c>
      <c r="R2842" s="4" t="e">
        <f>IF(AND(B2842=1,N2842&gt;'Line Follower'!$C$7,SUM(C2842:K2842)&lt;4),1,0)</f>
        <v>#N/A</v>
      </c>
      <c r="S2842" s="4" t="e">
        <f>IF(AND(L2842=1,N2842&lt;'Line Follower'!$C$6,SUM(C2842:K2842)&lt;4),1,0)</f>
        <v>#N/A</v>
      </c>
      <c r="T2842" s="4" t="e">
        <f t="shared" si="222"/>
        <v>#N/A</v>
      </c>
      <c r="U2842" s="5" t="e">
        <f t="shared" si="223"/>
        <v>#N/A</v>
      </c>
      <c r="V2842" s="23" t="e">
        <f t="shared" si="224"/>
        <v>#N/A</v>
      </c>
    </row>
    <row r="2843" spans="2:22" x14ac:dyDescent="0.25">
      <c r="B2843" s="16">
        <v>0</v>
      </c>
      <c r="C2843" s="7">
        <v>0</v>
      </c>
      <c r="D2843" s="8">
        <v>0</v>
      </c>
      <c r="E2843" s="8">
        <v>1</v>
      </c>
      <c r="F2843" s="8">
        <v>1</v>
      </c>
      <c r="G2843" s="8">
        <v>0</v>
      </c>
      <c r="H2843" s="8">
        <v>0</v>
      </c>
      <c r="I2843" s="8">
        <v>0</v>
      </c>
      <c r="J2843" s="8">
        <v>1</v>
      </c>
      <c r="K2843" s="9">
        <v>1</v>
      </c>
      <c r="L2843" s="10">
        <v>0</v>
      </c>
      <c r="M2843" s="6">
        <v>1</v>
      </c>
      <c r="N2843" s="37" t="e" cm="1">
        <f t="array" ref="N2843">IF(OR(ISNUMBER(FIND(Aux!$D$3:$D$9,_xlfn.TEXTJOIN(,,C2843:K2843)))),NA(),IF(AND(SUM(C2843:F2843,H2843:K2843)=0,G2843=1),0,INT((SUMPRODUCT(C2843:F2843,COLUMN($A$1:$D$1)-1)+SUMPRODUCT(H2843:K2843,COLUMN($E$1:$H$1)-1))*'Line Follower'!$C$3/SUM(C2843:F2843,H2843:K2843)-'Line Follower'!$C$5)))</f>
        <v>#N/A</v>
      </c>
      <c r="O2843" s="22" t="e">
        <v>#N/A</v>
      </c>
      <c r="P2843" s="4" t="e">
        <f t="shared" si="220"/>
        <v>#N/A</v>
      </c>
      <c r="Q2843" s="4" t="e">
        <f t="shared" si="221"/>
        <v>#N/A</v>
      </c>
      <c r="R2843" s="4" t="e">
        <f>IF(AND(B2843=1,N2843&gt;'Line Follower'!$C$7,SUM(C2843:K2843)&lt;4),1,0)</f>
        <v>#N/A</v>
      </c>
      <c r="S2843" s="4" t="e">
        <f>IF(AND(L2843=1,N2843&lt;'Line Follower'!$C$6,SUM(C2843:K2843)&lt;4),1,0)</f>
        <v>#N/A</v>
      </c>
      <c r="T2843" s="4" t="e">
        <f t="shared" si="222"/>
        <v>#N/A</v>
      </c>
      <c r="U2843" s="5" t="e">
        <f t="shared" si="223"/>
        <v>#N/A</v>
      </c>
      <c r="V2843" s="23" t="e">
        <f t="shared" si="224"/>
        <v>#N/A</v>
      </c>
    </row>
    <row r="2844" spans="2:22" x14ac:dyDescent="0.25">
      <c r="B2844" s="16">
        <v>1</v>
      </c>
      <c r="C2844" s="7">
        <v>0</v>
      </c>
      <c r="D2844" s="8">
        <v>0</v>
      </c>
      <c r="E2844" s="8">
        <v>1</v>
      </c>
      <c r="F2844" s="8">
        <v>1</v>
      </c>
      <c r="G2844" s="8">
        <v>0</v>
      </c>
      <c r="H2844" s="8">
        <v>0</v>
      </c>
      <c r="I2844" s="8">
        <v>0</v>
      </c>
      <c r="J2844" s="8">
        <v>1</v>
      </c>
      <c r="K2844" s="9">
        <v>1</v>
      </c>
      <c r="L2844" s="10">
        <v>0</v>
      </c>
      <c r="M2844" s="6">
        <v>1</v>
      </c>
      <c r="N2844" s="37" t="e" cm="1">
        <f t="array" ref="N2844">IF(OR(ISNUMBER(FIND(Aux!$D$3:$D$9,_xlfn.TEXTJOIN(,,C2844:K2844)))),NA(),IF(AND(SUM(C2844:F2844,H2844:K2844)=0,G2844=1),0,INT((SUMPRODUCT(C2844:F2844,COLUMN($A$1:$D$1)-1)+SUMPRODUCT(H2844:K2844,COLUMN($E$1:$H$1)-1))*'Line Follower'!$C$3/SUM(C2844:F2844,H2844:K2844)-'Line Follower'!$C$5)))</f>
        <v>#N/A</v>
      </c>
      <c r="O2844" s="22" t="e">
        <v>#N/A</v>
      </c>
      <c r="P2844" s="4" t="e">
        <f t="shared" si="220"/>
        <v>#N/A</v>
      </c>
      <c r="Q2844" s="4" t="e">
        <f t="shared" si="221"/>
        <v>#N/A</v>
      </c>
      <c r="R2844" s="4" t="e">
        <f>IF(AND(B2844=1,N2844&gt;'Line Follower'!$C$7,SUM(C2844:K2844)&lt;4),1,0)</f>
        <v>#N/A</v>
      </c>
      <c r="S2844" s="4" t="e">
        <f>IF(AND(L2844=1,N2844&lt;'Line Follower'!$C$6,SUM(C2844:K2844)&lt;4),1,0)</f>
        <v>#N/A</v>
      </c>
      <c r="T2844" s="4" t="e">
        <f t="shared" si="222"/>
        <v>#N/A</v>
      </c>
      <c r="U2844" s="5" t="e">
        <f t="shared" si="223"/>
        <v>#N/A</v>
      </c>
      <c r="V2844" s="23" t="e">
        <f t="shared" si="224"/>
        <v>#N/A</v>
      </c>
    </row>
    <row r="2845" spans="2:22" x14ac:dyDescent="0.25">
      <c r="B2845" s="16">
        <v>0</v>
      </c>
      <c r="C2845" s="7">
        <v>1</v>
      </c>
      <c r="D2845" s="8">
        <v>0</v>
      </c>
      <c r="E2845" s="8">
        <v>1</v>
      </c>
      <c r="F2845" s="8">
        <v>1</v>
      </c>
      <c r="G2845" s="8">
        <v>0</v>
      </c>
      <c r="H2845" s="8">
        <v>0</v>
      </c>
      <c r="I2845" s="8">
        <v>0</v>
      </c>
      <c r="J2845" s="8">
        <v>1</v>
      </c>
      <c r="K2845" s="9">
        <v>1</v>
      </c>
      <c r="L2845" s="10">
        <v>0</v>
      </c>
      <c r="M2845" s="6">
        <v>1</v>
      </c>
      <c r="N2845" s="37" t="e" cm="1">
        <f t="array" ref="N2845">IF(OR(ISNUMBER(FIND(Aux!$D$3:$D$9,_xlfn.TEXTJOIN(,,C2845:K2845)))),NA(),IF(AND(SUM(C2845:F2845,H2845:K2845)=0,G2845=1),0,INT((SUMPRODUCT(C2845:F2845,COLUMN($A$1:$D$1)-1)+SUMPRODUCT(H2845:K2845,COLUMN($E$1:$H$1)-1))*'Line Follower'!$C$3/SUM(C2845:F2845,H2845:K2845)-'Line Follower'!$C$5)))</f>
        <v>#N/A</v>
      </c>
      <c r="O2845" s="22" t="e">
        <v>#N/A</v>
      </c>
      <c r="P2845" s="4" t="e">
        <f t="shared" si="220"/>
        <v>#N/A</v>
      </c>
      <c r="Q2845" s="4" t="e">
        <f t="shared" si="221"/>
        <v>#N/A</v>
      </c>
      <c r="R2845" s="4" t="e">
        <f>IF(AND(B2845=1,N2845&gt;'Line Follower'!$C$7,SUM(C2845:K2845)&lt;4),1,0)</f>
        <v>#N/A</v>
      </c>
      <c r="S2845" s="4" t="e">
        <f>IF(AND(L2845=1,N2845&lt;'Line Follower'!$C$6,SUM(C2845:K2845)&lt;4),1,0)</f>
        <v>#N/A</v>
      </c>
      <c r="T2845" s="4" t="e">
        <f t="shared" si="222"/>
        <v>#N/A</v>
      </c>
      <c r="U2845" s="5" t="e">
        <f t="shared" si="223"/>
        <v>#N/A</v>
      </c>
      <c r="V2845" s="23" t="e">
        <f t="shared" si="224"/>
        <v>#N/A</v>
      </c>
    </row>
    <row r="2846" spans="2:22" x14ac:dyDescent="0.25">
      <c r="B2846" s="16">
        <v>1</v>
      </c>
      <c r="C2846" s="7">
        <v>1</v>
      </c>
      <c r="D2846" s="8">
        <v>0</v>
      </c>
      <c r="E2846" s="8">
        <v>1</v>
      </c>
      <c r="F2846" s="8">
        <v>1</v>
      </c>
      <c r="G2846" s="8">
        <v>0</v>
      </c>
      <c r="H2846" s="8">
        <v>0</v>
      </c>
      <c r="I2846" s="8">
        <v>0</v>
      </c>
      <c r="J2846" s="8">
        <v>1</v>
      </c>
      <c r="K2846" s="9">
        <v>1</v>
      </c>
      <c r="L2846" s="10">
        <v>0</v>
      </c>
      <c r="M2846" s="6">
        <v>1</v>
      </c>
      <c r="N2846" s="37" t="e" cm="1">
        <f t="array" ref="N2846">IF(OR(ISNUMBER(FIND(Aux!$D$3:$D$9,_xlfn.TEXTJOIN(,,C2846:K2846)))),NA(),IF(AND(SUM(C2846:F2846,H2846:K2846)=0,G2846=1),0,INT((SUMPRODUCT(C2846:F2846,COLUMN($A$1:$D$1)-1)+SUMPRODUCT(H2846:K2846,COLUMN($E$1:$H$1)-1))*'Line Follower'!$C$3/SUM(C2846:F2846,H2846:K2846)-'Line Follower'!$C$5)))</f>
        <v>#N/A</v>
      </c>
      <c r="O2846" s="22" t="e">
        <v>#N/A</v>
      </c>
      <c r="P2846" s="4" t="e">
        <f t="shared" si="220"/>
        <v>#N/A</v>
      </c>
      <c r="Q2846" s="4" t="e">
        <f t="shared" si="221"/>
        <v>#N/A</v>
      </c>
      <c r="R2846" s="4" t="e">
        <f>IF(AND(B2846=1,N2846&gt;'Line Follower'!$C$7,SUM(C2846:K2846)&lt;4),1,0)</f>
        <v>#N/A</v>
      </c>
      <c r="S2846" s="4" t="e">
        <f>IF(AND(L2846=1,N2846&lt;'Line Follower'!$C$6,SUM(C2846:K2846)&lt;4),1,0)</f>
        <v>#N/A</v>
      </c>
      <c r="T2846" s="4" t="e">
        <f t="shared" si="222"/>
        <v>#N/A</v>
      </c>
      <c r="U2846" s="5" t="e">
        <f t="shared" si="223"/>
        <v>#N/A</v>
      </c>
      <c r="V2846" s="23" t="e">
        <f t="shared" si="224"/>
        <v>#N/A</v>
      </c>
    </row>
    <row r="2847" spans="2:22" x14ac:dyDescent="0.25">
      <c r="B2847" s="16">
        <v>0</v>
      </c>
      <c r="C2847" s="7">
        <v>0</v>
      </c>
      <c r="D2847" s="8">
        <v>1</v>
      </c>
      <c r="E2847" s="8">
        <v>1</v>
      </c>
      <c r="F2847" s="8">
        <v>1</v>
      </c>
      <c r="G2847" s="8">
        <v>0</v>
      </c>
      <c r="H2847" s="8">
        <v>0</v>
      </c>
      <c r="I2847" s="8">
        <v>0</v>
      </c>
      <c r="J2847" s="8">
        <v>1</v>
      </c>
      <c r="K2847" s="9">
        <v>1</v>
      </c>
      <c r="L2847" s="10">
        <v>0</v>
      </c>
      <c r="M2847" s="6">
        <v>1</v>
      </c>
      <c r="N2847" s="37" t="e" cm="1">
        <f t="array" ref="N2847">IF(OR(ISNUMBER(FIND(Aux!$D$3:$D$9,_xlfn.TEXTJOIN(,,C2847:K2847)))),NA(),IF(AND(SUM(C2847:F2847,H2847:K2847)=0,G2847=1),0,INT((SUMPRODUCT(C2847:F2847,COLUMN($A$1:$D$1)-1)+SUMPRODUCT(H2847:K2847,COLUMN($E$1:$H$1)-1))*'Line Follower'!$C$3/SUM(C2847:F2847,H2847:K2847)-'Line Follower'!$C$5)))</f>
        <v>#N/A</v>
      </c>
      <c r="O2847" s="22" t="e">
        <v>#N/A</v>
      </c>
      <c r="P2847" s="4" t="e">
        <f t="shared" si="220"/>
        <v>#N/A</v>
      </c>
      <c r="Q2847" s="4" t="e">
        <f t="shared" si="221"/>
        <v>#N/A</v>
      </c>
      <c r="R2847" s="4" t="e">
        <f>IF(AND(B2847=1,N2847&gt;'Line Follower'!$C$7,SUM(C2847:K2847)&lt;4),1,0)</f>
        <v>#N/A</v>
      </c>
      <c r="S2847" s="4" t="e">
        <f>IF(AND(L2847=1,N2847&lt;'Line Follower'!$C$6,SUM(C2847:K2847)&lt;4),1,0)</f>
        <v>#N/A</v>
      </c>
      <c r="T2847" s="4" t="e">
        <f t="shared" si="222"/>
        <v>#N/A</v>
      </c>
      <c r="U2847" s="5" t="e">
        <f t="shared" si="223"/>
        <v>#N/A</v>
      </c>
      <c r="V2847" s="23" t="e">
        <f t="shared" si="224"/>
        <v>#N/A</v>
      </c>
    </row>
    <row r="2848" spans="2:22" x14ac:dyDescent="0.25">
      <c r="B2848" s="16">
        <v>1</v>
      </c>
      <c r="C2848" s="7">
        <v>0</v>
      </c>
      <c r="D2848" s="8">
        <v>1</v>
      </c>
      <c r="E2848" s="8">
        <v>1</v>
      </c>
      <c r="F2848" s="8">
        <v>1</v>
      </c>
      <c r="G2848" s="8">
        <v>0</v>
      </c>
      <c r="H2848" s="8">
        <v>0</v>
      </c>
      <c r="I2848" s="8">
        <v>0</v>
      </c>
      <c r="J2848" s="8">
        <v>1</v>
      </c>
      <c r="K2848" s="9">
        <v>1</v>
      </c>
      <c r="L2848" s="10">
        <v>0</v>
      </c>
      <c r="M2848" s="6">
        <v>1</v>
      </c>
      <c r="N2848" s="37" t="e" cm="1">
        <f t="array" ref="N2848">IF(OR(ISNUMBER(FIND(Aux!$D$3:$D$9,_xlfn.TEXTJOIN(,,C2848:K2848)))),NA(),IF(AND(SUM(C2848:F2848,H2848:K2848)=0,G2848=1),0,INT((SUMPRODUCT(C2848:F2848,COLUMN($A$1:$D$1)-1)+SUMPRODUCT(H2848:K2848,COLUMN($E$1:$H$1)-1))*'Line Follower'!$C$3/SUM(C2848:F2848,H2848:K2848)-'Line Follower'!$C$5)))</f>
        <v>#N/A</v>
      </c>
      <c r="O2848" s="22" t="e">
        <v>#N/A</v>
      </c>
      <c r="P2848" s="4" t="e">
        <f t="shared" si="220"/>
        <v>#N/A</v>
      </c>
      <c r="Q2848" s="4" t="e">
        <f t="shared" si="221"/>
        <v>#N/A</v>
      </c>
      <c r="R2848" s="4" t="e">
        <f>IF(AND(B2848=1,N2848&gt;'Line Follower'!$C$7,SUM(C2848:K2848)&lt;4),1,0)</f>
        <v>#N/A</v>
      </c>
      <c r="S2848" s="4" t="e">
        <f>IF(AND(L2848=1,N2848&lt;'Line Follower'!$C$6,SUM(C2848:K2848)&lt;4),1,0)</f>
        <v>#N/A</v>
      </c>
      <c r="T2848" s="4" t="e">
        <f t="shared" si="222"/>
        <v>#N/A</v>
      </c>
      <c r="U2848" s="5" t="e">
        <f t="shared" si="223"/>
        <v>#N/A</v>
      </c>
      <c r="V2848" s="23" t="e">
        <f t="shared" si="224"/>
        <v>#N/A</v>
      </c>
    </row>
    <row r="2849" spans="2:22" x14ac:dyDescent="0.25">
      <c r="B2849" s="16">
        <v>0</v>
      </c>
      <c r="C2849" s="7">
        <v>1</v>
      </c>
      <c r="D2849" s="8">
        <v>1</v>
      </c>
      <c r="E2849" s="8">
        <v>1</v>
      </c>
      <c r="F2849" s="8">
        <v>1</v>
      </c>
      <c r="G2849" s="8">
        <v>0</v>
      </c>
      <c r="H2849" s="8">
        <v>0</v>
      </c>
      <c r="I2849" s="8">
        <v>0</v>
      </c>
      <c r="J2849" s="8">
        <v>1</v>
      </c>
      <c r="K2849" s="9">
        <v>1</v>
      </c>
      <c r="L2849" s="10">
        <v>0</v>
      </c>
      <c r="M2849" s="6">
        <v>1</v>
      </c>
      <c r="N2849" s="37" t="e" cm="1">
        <f t="array" ref="N2849">IF(OR(ISNUMBER(FIND(Aux!$D$3:$D$9,_xlfn.TEXTJOIN(,,C2849:K2849)))),NA(),IF(AND(SUM(C2849:F2849,H2849:K2849)=0,G2849=1),0,INT((SUMPRODUCT(C2849:F2849,COLUMN($A$1:$D$1)-1)+SUMPRODUCT(H2849:K2849,COLUMN($E$1:$H$1)-1))*'Line Follower'!$C$3/SUM(C2849:F2849,H2849:K2849)-'Line Follower'!$C$5)))</f>
        <v>#N/A</v>
      </c>
      <c r="O2849" s="22" t="e">
        <v>#N/A</v>
      </c>
      <c r="P2849" s="4" t="e">
        <f t="shared" si="220"/>
        <v>#N/A</v>
      </c>
      <c r="Q2849" s="4" t="e">
        <f t="shared" si="221"/>
        <v>#N/A</v>
      </c>
      <c r="R2849" s="4" t="e">
        <f>IF(AND(B2849=1,N2849&gt;'Line Follower'!$C$7,SUM(C2849:K2849)&lt;4),1,0)</f>
        <v>#N/A</v>
      </c>
      <c r="S2849" s="4" t="e">
        <f>IF(AND(L2849=1,N2849&lt;'Line Follower'!$C$6,SUM(C2849:K2849)&lt;4),1,0)</f>
        <v>#N/A</v>
      </c>
      <c r="T2849" s="4" t="e">
        <f t="shared" si="222"/>
        <v>#N/A</v>
      </c>
      <c r="U2849" s="5" t="e">
        <f t="shared" si="223"/>
        <v>#N/A</v>
      </c>
      <c r="V2849" s="23" t="e">
        <f t="shared" si="224"/>
        <v>#N/A</v>
      </c>
    </row>
    <row r="2850" spans="2:22" x14ac:dyDescent="0.25">
      <c r="B2850" s="16">
        <v>1</v>
      </c>
      <c r="C2850" s="7">
        <v>1</v>
      </c>
      <c r="D2850" s="8">
        <v>1</v>
      </c>
      <c r="E2850" s="8">
        <v>1</v>
      </c>
      <c r="F2850" s="8">
        <v>1</v>
      </c>
      <c r="G2850" s="8">
        <v>0</v>
      </c>
      <c r="H2850" s="8">
        <v>0</v>
      </c>
      <c r="I2850" s="8">
        <v>0</v>
      </c>
      <c r="J2850" s="8">
        <v>1</v>
      </c>
      <c r="K2850" s="9">
        <v>1</v>
      </c>
      <c r="L2850" s="10">
        <v>0</v>
      </c>
      <c r="M2850" s="6">
        <v>1</v>
      </c>
      <c r="N2850" s="37" t="e" cm="1">
        <f t="array" ref="N2850">IF(OR(ISNUMBER(FIND(Aux!$D$3:$D$9,_xlfn.TEXTJOIN(,,C2850:K2850)))),NA(),IF(AND(SUM(C2850:F2850,H2850:K2850)=0,G2850=1),0,INT((SUMPRODUCT(C2850:F2850,COLUMN($A$1:$D$1)-1)+SUMPRODUCT(H2850:K2850,COLUMN($E$1:$H$1)-1))*'Line Follower'!$C$3/SUM(C2850:F2850,H2850:K2850)-'Line Follower'!$C$5)))</f>
        <v>#N/A</v>
      </c>
      <c r="O2850" s="22" t="e">
        <v>#N/A</v>
      </c>
      <c r="P2850" s="4" t="e">
        <f t="shared" si="220"/>
        <v>#N/A</v>
      </c>
      <c r="Q2850" s="4" t="e">
        <f t="shared" si="221"/>
        <v>#N/A</v>
      </c>
      <c r="R2850" s="4" t="e">
        <f>IF(AND(B2850=1,N2850&gt;'Line Follower'!$C$7,SUM(C2850:K2850)&lt;4),1,0)</f>
        <v>#N/A</v>
      </c>
      <c r="S2850" s="4" t="e">
        <f>IF(AND(L2850=1,N2850&lt;'Line Follower'!$C$6,SUM(C2850:K2850)&lt;4),1,0)</f>
        <v>#N/A</v>
      </c>
      <c r="T2850" s="4" t="e">
        <f t="shared" si="222"/>
        <v>#N/A</v>
      </c>
      <c r="U2850" s="5" t="e">
        <f t="shared" si="223"/>
        <v>#N/A</v>
      </c>
      <c r="V2850" s="23" t="e">
        <f t="shared" si="224"/>
        <v>#N/A</v>
      </c>
    </row>
    <row r="2851" spans="2:22" x14ac:dyDescent="0.25">
      <c r="B2851" s="16">
        <v>0</v>
      </c>
      <c r="C2851" s="7">
        <v>0</v>
      </c>
      <c r="D2851" s="8">
        <v>0</v>
      </c>
      <c r="E2851" s="8">
        <v>0</v>
      </c>
      <c r="F2851" s="8">
        <v>0</v>
      </c>
      <c r="G2851" s="8">
        <v>1</v>
      </c>
      <c r="H2851" s="8">
        <v>0</v>
      </c>
      <c r="I2851" s="8">
        <v>0</v>
      </c>
      <c r="J2851" s="8">
        <v>1</v>
      </c>
      <c r="K2851" s="9">
        <v>1</v>
      </c>
      <c r="L2851" s="10">
        <v>0</v>
      </c>
      <c r="M2851" s="6">
        <v>1</v>
      </c>
      <c r="N2851" s="37" t="e" cm="1">
        <f t="array" ref="N2851">IF(OR(ISNUMBER(FIND(Aux!$D$3:$D$9,_xlfn.TEXTJOIN(,,C2851:K2851)))),NA(),IF(AND(SUM(C2851:F2851,H2851:K2851)=0,G2851=1),0,INT((SUMPRODUCT(C2851:F2851,COLUMN($A$1:$D$1)-1)+SUMPRODUCT(H2851:K2851,COLUMN($E$1:$H$1)-1))*'Line Follower'!$C$3/SUM(C2851:F2851,H2851:K2851)-'Line Follower'!$C$5)))</f>
        <v>#N/A</v>
      </c>
      <c r="O2851" s="22" t="e">
        <v>#N/A</v>
      </c>
      <c r="P2851" s="4" t="e">
        <f t="shared" si="220"/>
        <v>#N/A</v>
      </c>
      <c r="Q2851" s="4" t="e">
        <f t="shared" si="221"/>
        <v>#N/A</v>
      </c>
      <c r="R2851" s="4" t="e">
        <f>IF(AND(B2851=1,N2851&gt;'Line Follower'!$C$7,SUM(C2851:K2851)&lt;4),1,0)</f>
        <v>#N/A</v>
      </c>
      <c r="S2851" s="4" t="e">
        <f>IF(AND(L2851=1,N2851&lt;'Line Follower'!$C$6,SUM(C2851:K2851)&lt;4),1,0)</f>
        <v>#N/A</v>
      </c>
      <c r="T2851" s="4" t="e">
        <f t="shared" si="222"/>
        <v>#N/A</v>
      </c>
      <c r="U2851" s="5" t="e">
        <f t="shared" si="223"/>
        <v>#N/A</v>
      </c>
      <c r="V2851" s="23" t="e">
        <f t="shared" si="224"/>
        <v>#N/A</v>
      </c>
    </row>
    <row r="2852" spans="2:22" x14ac:dyDescent="0.25">
      <c r="B2852" s="16">
        <v>1</v>
      </c>
      <c r="C2852" s="7">
        <v>0</v>
      </c>
      <c r="D2852" s="8">
        <v>0</v>
      </c>
      <c r="E2852" s="8">
        <v>0</v>
      </c>
      <c r="F2852" s="8">
        <v>0</v>
      </c>
      <c r="G2852" s="8">
        <v>1</v>
      </c>
      <c r="H2852" s="8">
        <v>0</v>
      </c>
      <c r="I2852" s="8">
        <v>0</v>
      </c>
      <c r="J2852" s="8">
        <v>1</v>
      </c>
      <c r="K2852" s="9">
        <v>1</v>
      </c>
      <c r="L2852" s="10">
        <v>0</v>
      </c>
      <c r="M2852" s="6">
        <v>1</v>
      </c>
      <c r="N2852" s="37" t="e" cm="1">
        <f t="array" ref="N2852">IF(OR(ISNUMBER(FIND(Aux!$D$3:$D$9,_xlfn.TEXTJOIN(,,C2852:K2852)))),NA(),IF(AND(SUM(C2852:F2852,H2852:K2852)=0,G2852=1),0,INT((SUMPRODUCT(C2852:F2852,COLUMN($A$1:$D$1)-1)+SUMPRODUCT(H2852:K2852,COLUMN($E$1:$H$1)-1))*'Line Follower'!$C$3/SUM(C2852:F2852,H2852:K2852)-'Line Follower'!$C$5)))</f>
        <v>#N/A</v>
      </c>
      <c r="O2852" s="22" t="e">
        <v>#N/A</v>
      </c>
      <c r="P2852" s="4" t="e">
        <f t="shared" si="220"/>
        <v>#N/A</v>
      </c>
      <c r="Q2852" s="4" t="e">
        <f t="shared" si="221"/>
        <v>#N/A</v>
      </c>
      <c r="R2852" s="4" t="e">
        <f>IF(AND(B2852=1,N2852&gt;'Line Follower'!$C$7,SUM(C2852:K2852)&lt;4),1,0)</f>
        <v>#N/A</v>
      </c>
      <c r="S2852" s="4" t="e">
        <f>IF(AND(L2852=1,N2852&lt;'Line Follower'!$C$6,SUM(C2852:K2852)&lt;4),1,0)</f>
        <v>#N/A</v>
      </c>
      <c r="T2852" s="4" t="e">
        <f t="shared" si="222"/>
        <v>#N/A</v>
      </c>
      <c r="U2852" s="5" t="e">
        <f t="shared" si="223"/>
        <v>#N/A</v>
      </c>
      <c r="V2852" s="23" t="e">
        <f t="shared" si="224"/>
        <v>#N/A</v>
      </c>
    </row>
    <row r="2853" spans="2:22" x14ac:dyDescent="0.25">
      <c r="B2853" s="16">
        <v>0</v>
      </c>
      <c r="C2853" s="7">
        <v>1</v>
      </c>
      <c r="D2853" s="8">
        <v>0</v>
      </c>
      <c r="E2853" s="8">
        <v>0</v>
      </c>
      <c r="F2853" s="8">
        <v>0</v>
      </c>
      <c r="G2853" s="8">
        <v>1</v>
      </c>
      <c r="H2853" s="8">
        <v>0</v>
      </c>
      <c r="I2853" s="8">
        <v>0</v>
      </c>
      <c r="J2853" s="8">
        <v>1</v>
      </c>
      <c r="K2853" s="9">
        <v>1</v>
      </c>
      <c r="L2853" s="10">
        <v>0</v>
      </c>
      <c r="M2853" s="6">
        <v>1</v>
      </c>
      <c r="N2853" s="37" t="e" cm="1">
        <f t="array" ref="N2853">IF(OR(ISNUMBER(FIND(Aux!$D$3:$D$9,_xlfn.TEXTJOIN(,,C2853:K2853)))),NA(),IF(AND(SUM(C2853:F2853,H2853:K2853)=0,G2853=1),0,INT((SUMPRODUCT(C2853:F2853,COLUMN($A$1:$D$1)-1)+SUMPRODUCT(H2853:K2853,COLUMN($E$1:$H$1)-1))*'Line Follower'!$C$3/SUM(C2853:F2853,H2853:K2853)-'Line Follower'!$C$5)))</f>
        <v>#N/A</v>
      </c>
      <c r="O2853" s="22" t="e">
        <v>#N/A</v>
      </c>
      <c r="P2853" s="4" t="e">
        <f t="shared" si="220"/>
        <v>#N/A</v>
      </c>
      <c r="Q2853" s="4" t="e">
        <f t="shared" si="221"/>
        <v>#N/A</v>
      </c>
      <c r="R2853" s="4" t="e">
        <f>IF(AND(B2853=1,N2853&gt;'Line Follower'!$C$7,SUM(C2853:K2853)&lt;4),1,0)</f>
        <v>#N/A</v>
      </c>
      <c r="S2853" s="4" t="e">
        <f>IF(AND(L2853=1,N2853&lt;'Line Follower'!$C$6,SUM(C2853:K2853)&lt;4),1,0)</f>
        <v>#N/A</v>
      </c>
      <c r="T2853" s="4" t="e">
        <f t="shared" si="222"/>
        <v>#N/A</v>
      </c>
      <c r="U2853" s="5" t="e">
        <f t="shared" si="223"/>
        <v>#N/A</v>
      </c>
      <c r="V2853" s="23" t="e">
        <f t="shared" si="224"/>
        <v>#N/A</v>
      </c>
    </row>
    <row r="2854" spans="2:22" x14ac:dyDescent="0.25">
      <c r="B2854" s="16">
        <v>1</v>
      </c>
      <c r="C2854" s="7">
        <v>1</v>
      </c>
      <c r="D2854" s="8">
        <v>0</v>
      </c>
      <c r="E2854" s="8">
        <v>0</v>
      </c>
      <c r="F2854" s="8">
        <v>0</v>
      </c>
      <c r="G2854" s="8">
        <v>1</v>
      </c>
      <c r="H2854" s="8">
        <v>0</v>
      </c>
      <c r="I2854" s="8">
        <v>0</v>
      </c>
      <c r="J2854" s="8">
        <v>1</v>
      </c>
      <c r="K2854" s="9">
        <v>1</v>
      </c>
      <c r="L2854" s="10">
        <v>0</v>
      </c>
      <c r="M2854" s="6">
        <v>1</v>
      </c>
      <c r="N2854" s="37" t="e" cm="1">
        <f t="array" ref="N2854">IF(OR(ISNUMBER(FIND(Aux!$D$3:$D$9,_xlfn.TEXTJOIN(,,C2854:K2854)))),NA(),IF(AND(SUM(C2854:F2854,H2854:K2854)=0,G2854=1),0,INT((SUMPRODUCT(C2854:F2854,COLUMN($A$1:$D$1)-1)+SUMPRODUCT(H2854:K2854,COLUMN($E$1:$H$1)-1))*'Line Follower'!$C$3/SUM(C2854:F2854,H2854:K2854)-'Line Follower'!$C$5)))</f>
        <v>#N/A</v>
      </c>
      <c r="O2854" s="22" t="e">
        <v>#N/A</v>
      </c>
      <c r="P2854" s="4" t="e">
        <f t="shared" si="220"/>
        <v>#N/A</v>
      </c>
      <c r="Q2854" s="4" t="e">
        <f t="shared" si="221"/>
        <v>#N/A</v>
      </c>
      <c r="R2854" s="4" t="e">
        <f>IF(AND(B2854=1,N2854&gt;'Line Follower'!$C$7,SUM(C2854:K2854)&lt;4),1,0)</f>
        <v>#N/A</v>
      </c>
      <c r="S2854" s="4" t="e">
        <f>IF(AND(L2854=1,N2854&lt;'Line Follower'!$C$6,SUM(C2854:K2854)&lt;4),1,0)</f>
        <v>#N/A</v>
      </c>
      <c r="T2854" s="4" t="e">
        <f t="shared" si="222"/>
        <v>#N/A</v>
      </c>
      <c r="U2854" s="5" t="e">
        <f t="shared" si="223"/>
        <v>#N/A</v>
      </c>
      <c r="V2854" s="23" t="e">
        <f t="shared" si="224"/>
        <v>#N/A</v>
      </c>
    </row>
    <row r="2855" spans="2:22" x14ac:dyDescent="0.25">
      <c r="B2855" s="16">
        <v>0</v>
      </c>
      <c r="C2855" s="7">
        <v>0</v>
      </c>
      <c r="D2855" s="8">
        <v>1</v>
      </c>
      <c r="E2855" s="8">
        <v>0</v>
      </c>
      <c r="F2855" s="8">
        <v>0</v>
      </c>
      <c r="G2855" s="8">
        <v>1</v>
      </c>
      <c r="H2855" s="8">
        <v>0</v>
      </c>
      <c r="I2855" s="8">
        <v>0</v>
      </c>
      <c r="J2855" s="8">
        <v>1</v>
      </c>
      <c r="K2855" s="9">
        <v>1</v>
      </c>
      <c r="L2855" s="10">
        <v>0</v>
      </c>
      <c r="M2855" s="6">
        <v>1</v>
      </c>
      <c r="N2855" s="37" t="e" cm="1">
        <f t="array" ref="N2855">IF(OR(ISNUMBER(FIND(Aux!$D$3:$D$9,_xlfn.TEXTJOIN(,,C2855:K2855)))),NA(),IF(AND(SUM(C2855:F2855,H2855:K2855)=0,G2855=1),0,INT((SUMPRODUCT(C2855:F2855,COLUMN($A$1:$D$1)-1)+SUMPRODUCT(H2855:K2855,COLUMN($E$1:$H$1)-1))*'Line Follower'!$C$3/SUM(C2855:F2855,H2855:K2855)-'Line Follower'!$C$5)))</f>
        <v>#N/A</v>
      </c>
      <c r="O2855" s="22" t="e">
        <v>#N/A</v>
      </c>
      <c r="P2855" s="4" t="e">
        <f t="shared" si="220"/>
        <v>#N/A</v>
      </c>
      <c r="Q2855" s="4" t="e">
        <f t="shared" si="221"/>
        <v>#N/A</v>
      </c>
      <c r="R2855" s="4" t="e">
        <f>IF(AND(B2855=1,N2855&gt;'Line Follower'!$C$7,SUM(C2855:K2855)&lt;4),1,0)</f>
        <v>#N/A</v>
      </c>
      <c r="S2855" s="4" t="e">
        <f>IF(AND(L2855=1,N2855&lt;'Line Follower'!$C$6,SUM(C2855:K2855)&lt;4),1,0)</f>
        <v>#N/A</v>
      </c>
      <c r="T2855" s="4" t="e">
        <f t="shared" si="222"/>
        <v>#N/A</v>
      </c>
      <c r="U2855" s="5" t="e">
        <f t="shared" si="223"/>
        <v>#N/A</v>
      </c>
      <c r="V2855" s="23" t="e">
        <f t="shared" si="224"/>
        <v>#N/A</v>
      </c>
    </row>
    <row r="2856" spans="2:22" x14ac:dyDescent="0.25">
      <c r="B2856" s="16">
        <v>1</v>
      </c>
      <c r="C2856" s="7">
        <v>0</v>
      </c>
      <c r="D2856" s="8">
        <v>1</v>
      </c>
      <c r="E2856" s="8">
        <v>0</v>
      </c>
      <c r="F2856" s="8">
        <v>0</v>
      </c>
      <c r="G2856" s="8">
        <v>1</v>
      </c>
      <c r="H2856" s="8">
        <v>0</v>
      </c>
      <c r="I2856" s="8">
        <v>0</v>
      </c>
      <c r="J2856" s="8">
        <v>1</v>
      </c>
      <c r="K2856" s="9">
        <v>1</v>
      </c>
      <c r="L2856" s="10">
        <v>0</v>
      </c>
      <c r="M2856" s="6">
        <v>1</v>
      </c>
      <c r="N2856" s="37" t="e" cm="1">
        <f t="array" ref="N2856">IF(OR(ISNUMBER(FIND(Aux!$D$3:$D$9,_xlfn.TEXTJOIN(,,C2856:K2856)))),NA(),IF(AND(SUM(C2856:F2856,H2856:K2856)=0,G2856=1),0,INT((SUMPRODUCT(C2856:F2856,COLUMN($A$1:$D$1)-1)+SUMPRODUCT(H2856:K2856,COLUMN($E$1:$H$1)-1))*'Line Follower'!$C$3/SUM(C2856:F2856,H2856:K2856)-'Line Follower'!$C$5)))</f>
        <v>#N/A</v>
      </c>
      <c r="O2856" s="22" t="e">
        <v>#N/A</v>
      </c>
      <c r="P2856" s="4" t="e">
        <f t="shared" si="220"/>
        <v>#N/A</v>
      </c>
      <c r="Q2856" s="4" t="e">
        <f t="shared" si="221"/>
        <v>#N/A</v>
      </c>
      <c r="R2856" s="4" t="e">
        <f>IF(AND(B2856=1,N2856&gt;'Line Follower'!$C$7,SUM(C2856:K2856)&lt;4),1,0)</f>
        <v>#N/A</v>
      </c>
      <c r="S2856" s="4" t="e">
        <f>IF(AND(L2856=1,N2856&lt;'Line Follower'!$C$6,SUM(C2856:K2856)&lt;4),1,0)</f>
        <v>#N/A</v>
      </c>
      <c r="T2856" s="4" t="e">
        <f t="shared" si="222"/>
        <v>#N/A</v>
      </c>
      <c r="U2856" s="5" t="e">
        <f t="shared" si="223"/>
        <v>#N/A</v>
      </c>
      <c r="V2856" s="23" t="e">
        <f t="shared" si="224"/>
        <v>#N/A</v>
      </c>
    </row>
    <row r="2857" spans="2:22" x14ac:dyDescent="0.25">
      <c r="B2857" s="16">
        <v>0</v>
      </c>
      <c r="C2857" s="7">
        <v>1</v>
      </c>
      <c r="D2857" s="8">
        <v>1</v>
      </c>
      <c r="E2857" s="8">
        <v>0</v>
      </c>
      <c r="F2857" s="8">
        <v>0</v>
      </c>
      <c r="G2857" s="8">
        <v>1</v>
      </c>
      <c r="H2857" s="8">
        <v>0</v>
      </c>
      <c r="I2857" s="8">
        <v>0</v>
      </c>
      <c r="J2857" s="8">
        <v>1</v>
      </c>
      <c r="K2857" s="9">
        <v>1</v>
      </c>
      <c r="L2857" s="10">
        <v>0</v>
      </c>
      <c r="M2857" s="6">
        <v>1</v>
      </c>
      <c r="N2857" s="37" t="e" cm="1">
        <f t="array" ref="N2857">IF(OR(ISNUMBER(FIND(Aux!$D$3:$D$9,_xlfn.TEXTJOIN(,,C2857:K2857)))),NA(),IF(AND(SUM(C2857:F2857,H2857:K2857)=0,G2857=1),0,INT((SUMPRODUCT(C2857:F2857,COLUMN($A$1:$D$1)-1)+SUMPRODUCT(H2857:K2857,COLUMN($E$1:$H$1)-1))*'Line Follower'!$C$3/SUM(C2857:F2857,H2857:K2857)-'Line Follower'!$C$5)))</f>
        <v>#N/A</v>
      </c>
      <c r="O2857" s="22" t="e">
        <v>#N/A</v>
      </c>
      <c r="P2857" s="4" t="e">
        <f t="shared" si="220"/>
        <v>#N/A</v>
      </c>
      <c r="Q2857" s="4" t="e">
        <f t="shared" si="221"/>
        <v>#N/A</v>
      </c>
      <c r="R2857" s="4" t="e">
        <f>IF(AND(B2857=1,N2857&gt;'Line Follower'!$C$7,SUM(C2857:K2857)&lt;4),1,0)</f>
        <v>#N/A</v>
      </c>
      <c r="S2857" s="4" t="e">
        <f>IF(AND(L2857=1,N2857&lt;'Line Follower'!$C$6,SUM(C2857:K2857)&lt;4),1,0)</f>
        <v>#N/A</v>
      </c>
      <c r="T2857" s="4" t="e">
        <f t="shared" si="222"/>
        <v>#N/A</v>
      </c>
      <c r="U2857" s="5" t="e">
        <f t="shared" si="223"/>
        <v>#N/A</v>
      </c>
      <c r="V2857" s="23" t="e">
        <f t="shared" si="224"/>
        <v>#N/A</v>
      </c>
    </row>
    <row r="2858" spans="2:22" x14ac:dyDescent="0.25">
      <c r="B2858" s="16">
        <v>1</v>
      </c>
      <c r="C2858" s="7">
        <v>1</v>
      </c>
      <c r="D2858" s="8">
        <v>1</v>
      </c>
      <c r="E2858" s="8">
        <v>0</v>
      </c>
      <c r="F2858" s="8">
        <v>0</v>
      </c>
      <c r="G2858" s="8">
        <v>1</v>
      </c>
      <c r="H2858" s="8">
        <v>0</v>
      </c>
      <c r="I2858" s="8">
        <v>0</v>
      </c>
      <c r="J2858" s="8">
        <v>1</v>
      </c>
      <c r="K2858" s="9">
        <v>1</v>
      </c>
      <c r="L2858" s="10">
        <v>0</v>
      </c>
      <c r="M2858" s="6">
        <v>1</v>
      </c>
      <c r="N2858" s="37" t="e" cm="1">
        <f t="array" ref="N2858">IF(OR(ISNUMBER(FIND(Aux!$D$3:$D$9,_xlfn.TEXTJOIN(,,C2858:K2858)))),NA(),IF(AND(SUM(C2858:F2858,H2858:K2858)=0,G2858=1),0,INT((SUMPRODUCT(C2858:F2858,COLUMN($A$1:$D$1)-1)+SUMPRODUCT(H2858:K2858,COLUMN($E$1:$H$1)-1))*'Line Follower'!$C$3/SUM(C2858:F2858,H2858:K2858)-'Line Follower'!$C$5)))</f>
        <v>#N/A</v>
      </c>
      <c r="O2858" s="22" t="e">
        <v>#N/A</v>
      </c>
      <c r="P2858" s="4" t="e">
        <f t="shared" si="220"/>
        <v>#N/A</v>
      </c>
      <c r="Q2858" s="4" t="e">
        <f t="shared" si="221"/>
        <v>#N/A</v>
      </c>
      <c r="R2858" s="4" t="e">
        <f>IF(AND(B2858=1,N2858&gt;'Line Follower'!$C$7,SUM(C2858:K2858)&lt;4),1,0)</f>
        <v>#N/A</v>
      </c>
      <c r="S2858" s="4" t="e">
        <f>IF(AND(L2858=1,N2858&lt;'Line Follower'!$C$6,SUM(C2858:K2858)&lt;4),1,0)</f>
        <v>#N/A</v>
      </c>
      <c r="T2858" s="4" t="e">
        <f t="shared" si="222"/>
        <v>#N/A</v>
      </c>
      <c r="U2858" s="5" t="e">
        <f t="shared" si="223"/>
        <v>#N/A</v>
      </c>
      <c r="V2858" s="23" t="e">
        <f t="shared" si="224"/>
        <v>#N/A</v>
      </c>
    </row>
    <row r="2859" spans="2:22" x14ac:dyDescent="0.25">
      <c r="B2859" s="16">
        <v>0</v>
      </c>
      <c r="C2859" s="7">
        <v>0</v>
      </c>
      <c r="D2859" s="8">
        <v>0</v>
      </c>
      <c r="E2859" s="8">
        <v>1</v>
      </c>
      <c r="F2859" s="8">
        <v>0</v>
      </c>
      <c r="G2859" s="8">
        <v>1</v>
      </c>
      <c r="H2859" s="8">
        <v>0</v>
      </c>
      <c r="I2859" s="8">
        <v>0</v>
      </c>
      <c r="J2859" s="8">
        <v>1</v>
      </c>
      <c r="K2859" s="9">
        <v>1</v>
      </c>
      <c r="L2859" s="10">
        <v>0</v>
      </c>
      <c r="M2859" s="6">
        <v>1</v>
      </c>
      <c r="N2859" s="37" t="e" cm="1">
        <f t="array" ref="N2859">IF(OR(ISNUMBER(FIND(Aux!$D$3:$D$9,_xlfn.TEXTJOIN(,,C2859:K2859)))),NA(),IF(AND(SUM(C2859:F2859,H2859:K2859)=0,G2859=1),0,INT((SUMPRODUCT(C2859:F2859,COLUMN($A$1:$D$1)-1)+SUMPRODUCT(H2859:K2859,COLUMN($E$1:$H$1)-1))*'Line Follower'!$C$3/SUM(C2859:F2859,H2859:K2859)-'Line Follower'!$C$5)))</f>
        <v>#N/A</v>
      </c>
      <c r="O2859" s="22" t="e">
        <v>#N/A</v>
      </c>
      <c r="P2859" s="4" t="e">
        <f t="shared" si="220"/>
        <v>#N/A</v>
      </c>
      <c r="Q2859" s="4" t="e">
        <f t="shared" si="221"/>
        <v>#N/A</v>
      </c>
      <c r="R2859" s="4" t="e">
        <f>IF(AND(B2859=1,N2859&gt;'Line Follower'!$C$7,SUM(C2859:K2859)&lt;4),1,0)</f>
        <v>#N/A</v>
      </c>
      <c r="S2859" s="4" t="e">
        <f>IF(AND(L2859=1,N2859&lt;'Line Follower'!$C$6,SUM(C2859:K2859)&lt;4),1,0)</f>
        <v>#N/A</v>
      </c>
      <c r="T2859" s="4" t="e">
        <f t="shared" si="222"/>
        <v>#N/A</v>
      </c>
      <c r="U2859" s="5" t="e">
        <f t="shared" si="223"/>
        <v>#N/A</v>
      </c>
      <c r="V2859" s="23" t="e">
        <f t="shared" si="224"/>
        <v>#N/A</v>
      </c>
    </row>
    <row r="2860" spans="2:22" x14ac:dyDescent="0.25">
      <c r="B2860" s="16">
        <v>1</v>
      </c>
      <c r="C2860" s="7">
        <v>0</v>
      </c>
      <c r="D2860" s="8">
        <v>0</v>
      </c>
      <c r="E2860" s="8">
        <v>1</v>
      </c>
      <c r="F2860" s="8">
        <v>0</v>
      </c>
      <c r="G2860" s="8">
        <v>1</v>
      </c>
      <c r="H2860" s="8">
        <v>0</v>
      </c>
      <c r="I2860" s="8">
        <v>0</v>
      </c>
      <c r="J2860" s="8">
        <v>1</v>
      </c>
      <c r="K2860" s="9">
        <v>1</v>
      </c>
      <c r="L2860" s="10">
        <v>0</v>
      </c>
      <c r="M2860" s="6">
        <v>1</v>
      </c>
      <c r="N2860" s="37" t="e" cm="1">
        <f t="array" ref="N2860">IF(OR(ISNUMBER(FIND(Aux!$D$3:$D$9,_xlfn.TEXTJOIN(,,C2860:K2860)))),NA(),IF(AND(SUM(C2860:F2860,H2860:K2860)=0,G2860=1),0,INT((SUMPRODUCT(C2860:F2860,COLUMN($A$1:$D$1)-1)+SUMPRODUCT(H2860:K2860,COLUMN($E$1:$H$1)-1))*'Line Follower'!$C$3/SUM(C2860:F2860,H2860:K2860)-'Line Follower'!$C$5)))</f>
        <v>#N/A</v>
      </c>
      <c r="O2860" s="22" t="e">
        <v>#N/A</v>
      </c>
      <c r="P2860" s="4" t="e">
        <f t="shared" si="220"/>
        <v>#N/A</v>
      </c>
      <c r="Q2860" s="4" t="e">
        <f t="shared" si="221"/>
        <v>#N/A</v>
      </c>
      <c r="R2860" s="4" t="e">
        <f>IF(AND(B2860=1,N2860&gt;'Line Follower'!$C$7,SUM(C2860:K2860)&lt;4),1,0)</f>
        <v>#N/A</v>
      </c>
      <c r="S2860" s="4" t="e">
        <f>IF(AND(L2860=1,N2860&lt;'Line Follower'!$C$6,SUM(C2860:K2860)&lt;4),1,0)</f>
        <v>#N/A</v>
      </c>
      <c r="T2860" s="4" t="e">
        <f t="shared" si="222"/>
        <v>#N/A</v>
      </c>
      <c r="U2860" s="5" t="e">
        <f t="shared" si="223"/>
        <v>#N/A</v>
      </c>
      <c r="V2860" s="23" t="e">
        <f t="shared" si="224"/>
        <v>#N/A</v>
      </c>
    </row>
    <row r="2861" spans="2:22" x14ac:dyDescent="0.25">
      <c r="B2861" s="16">
        <v>0</v>
      </c>
      <c r="C2861" s="7">
        <v>1</v>
      </c>
      <c r="D2861" s="8">
        <v>0</v>
      </c>
      <c r="E2861" s="8">
        <v>1</v>
      </c>
      <c r="F2861" s="8">
        <v>0</v>
      </c>
      <c r="G2861" s="8">
        <v>1</v>
      </c>
      <c r="H2861" s="8">
        <v>0</v>
      </c>
      <c r="I2861" s="8">
        <v>0</v>
      </c>
      <c r="J2861" s="8">
        <v>1</v>
      </c>
      <c r="K2861" s="9">
        <v>1</v>
      </c>
      <c r="L2861" s="10">
        <v>0</v>
      </c>
      <c r="M2861" s="6">
        <v>1</v>
      </c>
      <c r="N2861" s="37" t="e" cm="1">
        <f t="array" ref="N2861">IF(OR(ISNUMBER(FIND(Aux!$D$3:$D$9,_xlfn.TEXTJOIN(,,C2861:K2861)))),NA(),IF(AND(SUM(C2861:F2861,H2861:K2861)=0,G2861=1),0,INT((SUMPRODUCT(C2861:F2861,COLUMN($A$1:$D$1)-1)+SUMPRODUCT(H2861:K2861,COLUMN($E$1:$H$1)-1))*'Line Follower'!$C$3/SUM(C2861:F2861,H2861:K2861)-'Line Follower'!$C$5)))</f>
        <v>#N/A</v>
      </c>
      <c r="O2861" s="22" t="e">
        <v>#N/A</v>
      </c>
      <c r="P2861" s="4" t="e">
        <f t="shared" si="220"/>
        <v>#N/A</v>
      </c>
      <c r="Q2861" s="4" t="e">
        <f t="shared" si="221"/>
        <v>#N/A</v>
      </c>
      <c r="R2861" s="4" t="e">
        <f>IF(AND(B2861=1,N2861&gt;'Line Follower'!$C$7,SUM(C2861:K2861)&lt;4),1,0)</f>
        <v>#N/A</v>
      </c>
      <c r="S2861" s="4" t="e">
        <f>IF(AND(L2861=1,N2861&lt;'Line Follower'!$C$6,SUM(C2861:K2861)&lt;4),1,0)</f>
        <v>#N/A</v>
      </c>
      <c r="T2861" s="4" t="e">
        <f t="shared" si="222"/>
        <v>#N/A</v>
      </c>
      <c r="U2861" s="5" t="e">
        <f t="shared" si="223"/>
        <v>#N/A</v>
      </c>
      <c r="V2861" s="23" t="e">
        <f t="shared" si="224"/>
        <v>#N/A</v>
      </c>
    </row>
    <row r="2862" spans="2:22" x14ac:dyDescent="0.25">
      <c r="B2862" s="16">
        <v>1</v>
      </c>
      <c r="C2862" s="7">
        <v>1</v>
      </c>
      <c r="D2862" s="8">
        <v>0</v>
      </c>
      <c r="E2862" s="8">
        <v>1</v>
      </c>
      <c r="F2862" s="8">
        <v>0</v>
      </c>
      <c r="G2862" s="8">
        <v>1</v>
      </c>
      <c r="H2862" s="8">
        <v>0</v>
      </c>
      <c r="I2862" s="8">
        <v>0</v>
      </c>
      <c r="J2862" s="8">
        <v>1</v>
      </c>
      <c r="K2862" s="9">
        <v>1</v>
      </c>
      <c r="L2862" s="10">
        <v>0</v>
      </c>
      <c r="M2862" s="6">
        <v>1</v>
      </c>
      <c r="N2862" s="37" t="e" cm="1">
        <f t="array" ref="N2862">IF(OR(ISNUMBER(FIND(Aux!$D$3:$D$9,_xlfn.TEXTJOIN(,,C2862:K2862)))),NA(),IF(AND(SUM(C2862:F2862,H2862:K2862)=0,G2862=1),0,INT((SUMPRODUCT(C2862:F2862,COLUMN($A$1:$D$1)-1)+SUMPRODUCT(H2862:K2862,COLUMN($E$1:$H$1)-1))*'Line Follower'!$C$3/SUM(C2862:F2862,H2862:K2862)-'Line Follower'!$C$5)))</f>
        <v>#N/A</v>
      </c>
      <c r="O2862" s="22" t="e">
        <v>#N/A</v>
      </c>
      <c r="P2862" s="4" t="e">
        <f t="shared" si="220"/>
        <v>#N/A</v>
      </c>
      <c r="Q2862" s="4" t="e">
        <f t="shared" si="221"/>
        <v>#N/A</v>
      </c>
      <c r="R2862" s="4" t="e">
        <f>IF(AND(B2862=1,N2862&gt;'Line Follower'!$C$7,SUM(C2862:K2862)&lt;4),1,0)</f>
        <v>#N/A</v>
      </c>
      <c r="S2862" s="4" t="e">
        <f>IF(AND(L2862=1,N2862&lt;'Line Follower'!$C$6,SUM(C2862:K2862)&lt;4),1,0)</f>
        <v>#N/A</v>
      </c>
      <c r="T2862" s="4" t="e">
        <f t="shared" si="222"/>
        <v>#N/A</v>
      </c>
      <c r="U2862" s="5" t="e">
        <f t="shared" si="223"/>
        <v>#N/A</v>
      </c>
      <c r="V2862" s="23" t="e">
        <f t="shared" si="224"/>
        <v>#N/A</v>
      </c>
    </row>
    <row r="2863" spans="2:22" x14ac:dyDescent="0.25">
      <c r="B2863" s="16">
        <v>0</v>
      </c>
      <c r="C2863" s="7">
        <v>0</v>
      </c>
      <c r="D2863" s="8">
        <v>1</v>
      </c>
      <c r="E2863" s="8">
        <v>1</v>
      </c>
      <c r="F2863" s="8">
        <v>0</v>
      </c>
      <c r="G2863" s="8">
        <v>1</v>
      </c>
      <c r="H2863" s="8">
        <v>0</v>
      </c>
      <c r="I2863" s="8">
        <v>0</v>
      </c>
      <c r="J2863" s="8">
        <v>1</v>
      </c>
      <c r="K2863" s="9">
        <v>1</v>
      </c>
      <c r="L2863" s="10">
        <v>0</v>
      </c>
      <c r="M2863" s="6">
        <v>1</v>
      </c>
      <c r="N2863" s="37" t="e" cm="1">
        <f t="array" ref="N2863">IF(OR(ISNUMBER(FIND(Aux!$D$3:$D$9,_xlfn.TEXTJOIN(,,C2863:K2863)))),NA(),IF(AND(SUM(C2863:F2863,H2863:K2863)=0,G2863=1),0,INT((SUMPRODUCT(C2863:F2863,COLUMN($A$1:$D$1)-1)+SUMPRODUCT(H2863:K2863,COLUMN($E$1:$H$1)-1))*'Line Follower'!$C$3/SUM(C2863:F2863,H2863:K2863)-'Line Follower'!$C$5)))</f>
        <v>#N/A</v>
      </c>
      <c r="O2863" s="22" t="e">
        <v>#N/A</v>
      </c>
      <c r="P2863" s="4" t="e">
        <f t="shared" si="220"/>
        <v>#N/A</v>
      </c>
      <c r="Q2863" s="4" t="e">
        <f t="shared" si="221"/>
        <v>#N/A</v>
      </c>
      <c r="R2863" s="4" t="e">
        <f>IF(AND(B2863=1,N2863&gt;'Line Follower'!$C$7,SUM(C2863:K2863)&lt;4),1,0)</f>
        <v>#N/A</v>
      </c>
      <c r="S2863" s="4" t="e">
        <f>IF(AND(L2863=1,N2863&lt;'Line Follower'!$C$6,SUM(C2863:K2863)&lt;4),1,0)</f>
        <v>#N/A</v>
      </c>
      <c r="T2863" s="4" t="e">
        <f t="shared" si="222"/>
        <v>#N/A</v>
      </c>
      <c r="U2863" s="5" t="e">
        <f t="shared" si="223"/>
        <v>#N/A</v>
      </c>
      <c r="V2863" s="23" t="e">
        <f t="shared" si="224"/>
        <v>#N/A</v>
      </c>
    </row>
    <row r="2864" spans="2:22" x14ac:dyDescent="0.25">
      <c r="B2864" s="16">
        <v>1</v>
      </c>
      <c r="C2864" s="7">
        <v>0</v>
      </c>
      <c r="D2864" s="8">
        <v>1</v>
      </c>
      <c r="E2864" s="8">
        <v>1</v>
      </c>
      <c r="F2864" s="8">
        <v>0</v>
      </c>
      <c r="G2864" s="8">
        <v>1</v>
      </c>
      <c r="H2864" s="8">
        <v>0</v>
      </c>
      <c r="I2864" s="8">
        <v>0</v>
      </c>
      <c r="J2864" s="8">
        <v>1</v>
      </c>
      <c r="K2864" s="9">
        <v>1</v>
      </c>
      <c r="L2864" s="10">
        <v>0</v>
      </c>
      <c r="M2864" s="6">
        <v>1</v>
      </c>
      <c r="N2864" s="37" t="e" cm="1">
        <f t="array" ref="N2864">IF(OR(ISNUMBER(FIND(Aux!$D$3:$D$9,_xlfn.TEXTJOIN(,,C2864:K2864)))),NA(),IF(AND(SUM(C2864:F2864,H2864:K2864)=0,G2864=1),0,INT((SUMPRODUCT(C2864:F2864,COLUMN($A$1:$D$1)-1)+SUMPRODUCT(H2864:K2864,COLUMN($E$1:$H$1)-1))*'Line Follower'!$C$3/SUM(C2864:F2864,H2864:K2864)-'Line Follower'!$C$5)))</f>
        <v>#N/A</v>
      </c>
      <c r="O2864" s="22" t="e">
        <v>#N/A</v>
      </c>
      <c r="P2864" s="4" t="e">
        <f t="shared" si="220"/>
        <v>#N/A</v>
      </c>
      <c r="Q2864" s="4" t="e">
        <f t="shared" si="221"/>
        <v>#N/A</v>
      </c>
      <c r="R2864" s="4" t="e">
        <f>IF(AND(B2864=1,N2864&gt;'Line Follower'!$C$7,SUM(C2864:K2864)&lt;4),1,0)</f>
        <v>#N/A</v>
      </c>
      <c r="S2864" s="4" t="e">
        <f>IF(AND(L2864=1,N2864&lt;'Line Follower'!$C$6,SUM(C2864:K2864)&lt;4),1,0)</f>
        <v>#N/A</v>
      </c>
      <c r="T2864" s="4" t="e">
        <f t="shared" si="222"/>
        <v>#N/A</v>
      </c>
      <c r="U2864" s="5" t="e">
        <f t="shared" si="223"/>
        <v>#N/A</v>
      </c>
      <c r="V2864" s="23" t="e">
        <f t="shared" si="224"/>
        <v>#N/A</v>
      </c>
    </row>
    <row r="2865" spans="2:22" x14ac:dyDescent="0.25">
      <c r="B2865" s="16">
        <v>0</v>
      </c>
      <c r="C2865" s="7">
        <v>1</v>
      </c>
      <c r="D2865" s="8">
        <v>1</v>
      </c>
      <c r="E2865" s="8">
        <v>1</v>
      </c>
      <c r="F2865" s="8">
        <v>0</v>
      </c>
      <c r="G2865" s="8">
        <v>1</v>
      </c>
      <c r="H2865" s="8">
        <v>0</v>
      </c>
      <c r="I2865" s="8">
        <v>0</v>
      </c>
      <c r="J2865" s="8">
        <v>1</v>
      </c>
      <c r="K2865" s="9">
        <v>1</v>
      </c>
      <c r="L2865" s="10">
        <v>0</v>
      </c>
      <c r="M2865" s="6">
        <v>1</v>
      </c>
      <c r="N2865" s="37" t="e" cm="1">
        <f t="array" ref="N2865">IF(OR(ISNUMBER(FIND(Aux!$D$3:$D$9,_xlfn.TEXTJOIN(,,C2865:K2865)))),NA(),IF(AND(SUM(C2865:F2865,H2865:K2865)=0,G2865=1),0,INT((SUMPRODUCT(C2865:F2865,COLUMN($A$1:$D$1)-1)+SUMPRODUCT(H2865:K2865,COLUMN($E$1:$H$1)-1))*'Line Follower'!$C$3/SUM(C2865:F2865,H2865:K2865)-'Line Follower'!$C$5)))</f>
        <v>#N/A</v>
      </c>
      <c r="O2865" s="22" t="e">
        <v>#N/A</v>
      </c>
      <c r="P2865" s="4" t="e">
        <f t="shared" si="220"/>
        <v>#N/A</v>
      </c>
      <c r="Q2865" s="4" t="e">
        <f t="shared" si="221"/>
        <v>#N/A</v>
      </c>
      <c r="R2865" s="4" t="e">
        <f>IF(AND(B2865=1,N2865&gt;'Line Follower'!$C$7,SUM(C2865:K2865)&lt;4),1,0)</f>
        <v>#N/A</v>
      </c>
      <c r="S2865" s="4" t="e">
        <f>IF(AND(L2865=1,N2865&lt;'Line Follower'!$C$6,SUM(C2865:K2865)&lt;4),1,0)</f>
        <v>#N/A</v>
      </c>
      <c r="T2865" s="4" t="e">
        <f t="shared" si="222"/>
        <v>#N/A</v>
      </c>
      <c r="U2865" s="5" t="e">
        <f t="shared" si="223"/>
        <v>#N/A</v>
      </c>
      <c r="V2865" s="23" t="e">
        <f t="shared" si="224"/>
        <v>#N/A</v>
      </c>
    </row>
    <row r="2866" spans="2:22" x14ac:dyDescent="0.25">
      <c r="B2866" s="16">
        <v>1</v>
      </c>
      <c r="C2866" s="7">
        <v>1</v>
      </c>
      <c r="D2866" s="8">
        <v>1</v>
      </c>
      <c r="E2866" s="8">
        <v>1</v>
      </c>
      <c r="F2866" s="8">
        <v>0</v>
      </c>
      <c r="G2866" s="8">
        <v>1</v>
      </c>
      <c r="H2866" s="8">
        <v>0</v>
      </c>
      <c r="I2866" s="8">
        <v>0</v>
      </c>
      <c r="J2866" s="8">
        <v>1</v>
      </c>
      <c r="K2866" s="9">
        <v>1</v>
      </c>
      <c r="L2866" s="10">
        <v>0</v>
      </c>
      <c r="M2866" s="6">
        <v>1</v>
      </c>
      <c r="N2866" s="37" t="e" cm="1">
        <f t="array" ref="N2866">IF(OR(ISNUMBER(FIND(Aux!$D$3:$D$9,_xlfn.TEXTJOIN(,,C2866:K2866)))),NA(),IF(AND(SUM(C2866:F2866,H2866:K2866)=0,G2866=1),0,INT((SUMPRODUCT(C2866:F2866,COLUMN($A$1:$D$1)-1)+SUMPRODUCT(H2866:K2866,COLUMN($E$1:$H$1)-1))*'Line Follower'!$C$3/SUM(C2866:F2866,H2866:K2866)-'Line Follower'!$C$5)))</f>
        <v>#N/A</v>
      </c>
      <c r="O2866" s="22" t="e">
        <v>#N/A</v>
      </c>
      <c r="P2866" s="4" t="e">
        <f t="shared" si="220"/>
        <v>#N/A</v>
      </c>
      <c r="Q2866" s="4" t="e">
        <f t="shared" si="221"/>
        <v>#N/A</v>
      </c>
      <c r="R2866" s="4" t="e">
        <f>IF(AND(B2866=1,N2866&gt;'Line Follower'!$C$7,SUM(C2866:K2866)&lt;4),1,0)</f>
        <v>#N/A</v>
      </c>
      <c r="S2866" s="4" t="e">
        <f>IF(AND(L2866=1,N2866&lt;'Line Follower'!$C$6,SUM(C2866:K2866)&lt;4),1,0)</f>
        <v>#N/A</v>
      </c>
      <c r="T2866" s="4" t="e">
        <f t="shared" si="222"/>
        <v>#N/A</v>
      </c>
      <c r="U2866" s="5" t="e">
        <f t="shared" si="223"/>
        <v>#N/A</v>
      </c>
      <c r="V2866" s="23" t="e">
        <f t="shared" si="224"/>
        <v>#N/A</v>
      </c>
    </row>
    <row r="2867" spans="2:22" x14ac:dyDescent="0.25">
      <c r="B2867" s="16">
        <v>0</v>
      </c>
      <c r="C2867" s="7">
        <v>0</v>
      </c>
      <c r="D2867" s="8">
        <v>0</v>
      </c>
      <c r="E2867" s="8">
        <v>0</v>
      </c>
      <c r="F2867" s="8">
        <v>1</v>
      </c>
      <c r="G2867" s="8">
        <v>1</v>
      </c>
      <c r="H2867" s="8">
        <v>0</v>
      </c>
      <c r="I2867" s="8">
        <v>0</v>
      </c>
      <c r="J2867" s="8">
        <v>1</v>
      </c>
      <c r="K2867" s="9">
        <v>1</v>
      </c>
      <c r="L2867" s="10">
        <v>0</v>
      </c>
      <c r="M2867" s="6">
        <v>1</v>
      </c>
      <c r="N2867" s="37" t="e" cm="1">
        <f t="array" ref="N2867">IF(OR(ISNUMBER(FIND(Aux!$D$3:$D$9,_xlfn.TEXTJOIN(,,C2867:K2867)))),NA(),IF(AND(SUM(C2867:F2867,H2867:K2867)=0,G2867=1),0,INT((SUMPRODUCT(C2867:F2867,COLUMN($A$1:$D$1)-1)+SUMPRODUCT(H2867:K2867,COLUMN($E$1:$H$1)-1))*'Line Follower'!$C$3/SUM(C2867:F2867,H2867:K2867)-'Line Follower'!$C$5)))</f>
        <v>#N/A</v>
      </c>
      <c r="O2867" s="22" t="e">
        <v>#N/A</v>
      </c>
      <c r="P2867" s="4" t="e">
        <f t="shared" si="220"/>
        <v>#N/A</v>
      </c>
      <c r="Q2867" s="4" t="e">
        <f t="shared" si="221"/>
        <v>#N/A</v>
      </c>
      <c r="R2867" s="4" t="e">
        <f>IF(AND(B2867=1,N2867&gt;'Line Follower'!$C$7,SUM(C2867:K2867)&lt;4),1,0)</f>
        <v>#N/A</v>
      </c>
      <c r="S2867" s="4" t="e">
        <f>IF(AND(L2867=1,N2867&lt;'Line Follower'!$C$6,SUM(C2867:K2867)&lt;4),1,0)</f>
        <v>#N/A</v>
      </c>
      <c r="T2867" s="4" t="e">
        <f t="shared" si="222"/>
        <v>#N/A</v>
      </c>
      <c r="U2867" s="5" t="e">
        <f t="shared" si="223"/>
        <v>#N/A</v>
      </c>
      <c r="V2867" s="23" t="e">
        <f t="shared" si="224"/>
        <v>#N/A</v>
      </c>
    </row>
    <row r="2868" spans="2:22" x14ac:dyDescent="0.25">
      <c r="B2868" s="16">
        <v>1</v>
      </c>
      <c r="C2868" s="7">
        <v>0</v>
      </c>
      <c r="D2868" s="8">
        <v>0</v>
      </c>
      <c r="E2868" s="8">
        <v>0</v>
      </c>
      <c r="F2868" s="8">
        <v>1</v>
      </c>
      <c r="G2868" s="8">
        <v>1</v>
      </c>
      <c r="H2868" s="8">
        <v>0</v>
      </c>
      <c r="I2868" s="8">
        <v>0</v>
      </c>
      <c r="J2868" s="8">
        <v>1</v>
      </c>
      <c r="K2868" s="9">
        <v>1</v>
      </c>
      <c r="L2868" s="10">
        <v>0</v>
      </c>
      <c r="M2868" s="6">
        <v>1</v>
      </c>
      <c r="N2868" s="37" t="e" cm="1">
        <f t="array" ref="N2868">IF(OR(ISNUMBER(FIND(Aux!$D$3:$D$9,_xlfn.TEXTJOIN(,,C2868:K2868)))),NA(),IF(AND(SUM(C2868:F2868,H2868:K2868)=0,G2868=1),0,INT((SUMPRODUCT(C2868:F2868,COLUMN($A$1:$D$1)-1)+SUMPRODUCT(H2868:K2868,COLUMN($E$1:$H$1)-1))*'Line Follower'!$C$3/SUM(C2868:F2868,H2868:K2868)-'Line Follower'!$C$5)))</f>
        <v>#N/A</v>
      </c>
      <c r="O2868" s="22" t="e">
        <v>#N/A</v>
      </c>
      <c r="P2868" s="4" t="e">
        <f t="shared" si="220"/>
        <v>#N/A</v>
      </c>
      <c r="Q2868" s="4" t="e">
        <f t="shared" si="221"/>
        <v>#N/A</v>
      </c>
      <c r="R2868" s="4" t="e">
        <f>IF(AND(B2868=1,N2868&gt;'Line Follower'!$C$7,SUM(C2868:K2868)&lt;4),1,0)</f>
        <v>#N/A</v>
      </c>
      <c r="S2868" s="4" t="e">
        <f>IF(AND(L2868=1,N2868&lt;'Line Follower'!$C$6,SUM(C2868:K2868)&lt;4),1,0)</f>
        <v>#N/A</v>
      </c>
      <c r="T2868" s="4" t="e">
        <f t="shared" si="222"/>
        <v>#N/A</v>
      </c>
      <c r="U2868" s="5" t="e">
        <f t="shared" si="223"/>
        <v>#N/A</v>
      </c>
      <c r="V2868" s="23" t="e">
        <f t="shared" si="224"/>
        <v>#N/A</v>
      </c>
    </row>
    <row r="2869" spans="2:22" x14ac:dyDescent="0.25">
      <c r="B2869" s="16">
        <v>0</v>
      </c>
      <c r="C2869" s="7">
        <v>1</v>
      </c>
      <c r="D2869" s="8">
        <v>0</v>
      </c>
      <c r="E2869" s="8">
        <v>0</v>
      </c>
      <c r="F2869" s="8">
        <v>1</v>
      </c>
      <c r="G2869" s="8">
        <v>1</v>
      </c>
      <c r="H2869" s="8">
        <v>0</v>
      </c>
      <c r="I2869" s="8">
        <v>0</v>
      </c>
      <c r="J2869" s="8">
        <v>1</v>
      </c>
      <c r="K2869" s="9">
        <v>1</v>
      </c>
      <c r="L2869" s="10">
        <v>0</v>
      </c>
      <c r="M2869" s="6">
        <v>1</v>
      </c>
      <c r="N2869" s="37" t="e" cm="1">
        <f t="array" ref="N2869">IF(OR(ISNUMBER(FIND(Aux!$D$3:$D$9,_xlfn.TEXTJOIN(,,C2869:K2869)))),NA(),IF(AND(SUM(C2869:F2869,H2869:K2869)=0,G2869=1),0,INT((SUMPRODUCT(C2869:F2869,COLUMN($A$1:$D$1)-1)+SUMPRODUCT(H2869:K2869,COLUMN($E$1:$H$1)-1))*'Line Follower'!$C$3/SUM(C2869:F2869,H2869:K2869)-'Line Follower'!$C$5)))</f>
        <v>#N/A</v>
      </c>
      <c r="O2869" s="22" t="e">
        <v>#N/A</v>
      </c>
      <c r="P2869" s="4" t="e">
        <f t="shared" si="220"/>
        <v>#N/A</v>
      </c>
      <c r="Q2869" s="4" t="e">
        <f t="shared" si="221"/>
        <v>#N/A</v>
      </c>
      <c r="R2869" s="4" t="e">
        <f>IF(AND(B2869=1,N2869&gt;'Line Follower'!$C$7,SUM(C2869:K2869)&lt;4),1,0)</f>
        <v>#N/A</v>
      </c>
      <c r="S2869" s="4" t="e">
        <f>IF(AND(L2869=1,N2869&lt;'Line Follower'!$C$6,SUM(C2869:K2869)&lt;4),1,0)</f>
        <v>#N/A</v>
      </c>
      <c r="T2869" s="4" t="e">
        <f t="shared" si="222"/>
        <v>#N/A</v>
      </c>
      <c r="U2869" s="5" t="e">
        <f t="shared" si="223"/>
        <v>#N/A</v>
      </c>
      <c r="V2869" s="23" t="e">
        <f t="shared" si="224"/>
        <v>#N/A</v>
      </c>
    </row>
    <row r="2870" spans="2:22" x14ac:dyDescent="0.25">
      <c r="B2870" s="16">
        <v>1</v>
      </c>
      <c r="C2870" s="7">
        <v>1</v>
      </c>
      <c r="D2870" s="8">
        <v>0</v>
      </c>
      <c r="E2870" s="8">
        <v>0</v>
      </c>
      <c r="F2870" s="8">
        <v>1</v>
      </c>
      <c r="G2870" s="8">
        <v>1</v>
      </c>
      <c r="H2870" s="8">
        <v>0</v>
      </c>
      <c r="I2870" s="8">
        <v>0</v>
      </c>
      <c r="J2870" s="8">
        <v>1</v>
      </c>
      <c r="K2870" s="9">
        <v>1</v>
      </c>
      <c r="L2870" s="10">
        <v>0</v>
      </c>
      <c r="M2870" s="6">
        <v>1</v>
      </c>
      <c r="N2870" s="37" t="e" cm="1">
        <f t="array" ref="N2870">IF(OR(ISNUMBER(FIND(Aux!$D$3:$D$9,_xlfn.TEXTJOIN(,,C2870:K2870)))),NA(),IF(AND(SUM(C2870:F2870,H2870:K2870)=0,G2870=1),0,INT((SUMPRODUCT(C2870:F2870,COLUMN($A$1:$D$1)-1)+SUMPRODUCT(H2870:K2870,COLUMN($E$1:$H$1)-1))*'Line Follower'!$C$3/SUM(C2870:F2870,H2870:K2870)-'Line Follower'!$C$5)))</f>
        <v>#N/A</v>
      </c>
      <c r="O2870" s="22" t="e">
        <v>#N/A</v>
      </c>
      <c r="P2870" s="4" t="e">
        <f t="shared" si="220"/>
        <v>#N/A</v>
      </c>
      <c r="Q2870" s="4" t="e">
        <f t="shared" si="221"/>
        <v>#N/A</v>
      </c>
      <c r="R2870" s="4" t="e">
        <f>IF(AND(B2870=1,N2870&gt;'Line Follower'!$C$7,SUM(C2870:K2870)&lt;4),1,0)</f>
        <v>#N/A</v>
      </c>
      <c r="S2870" s="4" t="e">
        <f>IF(AND(L2870=1,N2870&lt;'Line Follower'!$C$6,SUM(C2870:K2870)&lt;4),1,0)</f>
        <v>#N/A</v>
      </c>
      <c r="T2870" s="4" t="e">
        <f t="shared" si="222"/>
        <v>#N/A</v>
      </c>
      <c r="U2870" s="5" t="e">
        <f t="shared" si="223"/>
        <v>#N/A</v>
      </c>
      <c r="V2870" s="23" t="e">
        <f t="shared" si="224"/>
        <v>#N/A</v>
      </c>
    </row>
    <row r="2871" spans="2:22" x14ac:dyDescent="0.25">
      <c r="B2871" s="16">
        <v>0</v>
      </c>
      <c r="C2871" s="7">
        <v>0</v>
      </c>
      <c r="D2871" s="8">
        <v>1</v>
      </c>
      <c r="E2871" s="8">
        <v>0</v>
      </c>
      <c r="F2871" s="8">
        <v>1</v>
      </c>
      <c r="G2871" s="8">
        <v>1</v>
      </c>
      <c r="H2871" s="8">
        <v>0</v>
      </c>
      <c r="I2871" s="8">
        <v>0</v>
      </c>
      <c r="J2871" s="8">
        <v>1</v>
      </c>
      <c r="K2871" s="9">
        <v>1</v>
      </c>
      <c r="L2871" s="10">
        <v>0</v>
      </c>
      <c r="M2871" s="6">
        <v>1</v>
      </c>
      <c r="N2871" s="37" t="e" cm="1">
        <f t="array" ref="N2871">IF(OR(ISNUMBER(FIND(Aux!$D$3:$D$9,_xlfn.TEXTJOIN(,,C2871:K2871)))),NA(),IF(AND(SUM(C2871:F2871,H2871:K2871)=0,G2871=1),0,INT((SUMPRODUCT(C2871:F2871,COLUMN($A$1:$D$1)-1)+SUMPRODUCT(H2871:K2871,COLUMN($E$1:$H$1)-1))*'Line Follower'!$C$3/SUM(C2871:F2871,H2871:K2871)-'Line Follower'!$C$5)))</f>
        <v>#N/A</v>
      </c>
      <c r="O2871" s="22" t="e">
        <v>#N/A</v>
      </c>
      <c r="P2871" s="4" t="e">
        <f t="shared" si="220"/>
        <v>#N/A</v>
      </c>
      <c r="Q2871" s="4" t="e">
        <f t="shared" si="221"/>
        <v>#N/A</v>
      </c>
      <c r="R2871" s="4" t="e">
        <f>IF(AND(B2871=1,N2871&gt;'Line Follower'!$C$7,SUM(C2871:K2871)&lt;4),1,0)</f>
        <v>#N/A</v>
      </c>
      <c r="S2871" s="4" t="e">
        <f>IF(AND(L2871=1,N2871&lt;'Line Follower'!$C$6,SUM(C2871:K2871)&lt;4),1,0)</f>
        <v>#N/A</v>
      </c>
      <c r="T2871" s="4" t="e">
        <f t="shared" si="222"/>
        <v>#N/A</v>
      </c>
      <c r="U2871" s="5" t="e">
        <f t="shared" si="223"/>
        <v>#N/A</v>
      </c>
      <c r="V2871" s="23" t="e">
        <f t="shared" si="224"/>
        <v>#N/A</v>
      </c>
    </row>
    <row r="2872" spans="2:22" x14ac:dyDescent="0.25">
      <c r="B2872" s="16">
        <v>1</v>
      </c>
      <c r="C2872" s="7">
        <v>0</v>
      </c>
      <c r="D2872" s="8">
        <v>1</v>
      </c>
      <c r="E2872" s="8">
        <v>0</v>
      </c>
      <c r="F2872" s="8">
        <v>1</v>
      </c>
      <c r="G2872" s="8">
        <v>1</v>
      </c>
      <c r="H2872" s="8">
        <v>0</v>
      </c>
      <c r="I2872" s="8">
        <v>0</v>
      </c>
      <c r="J2872" s="8">
        <v>1</v>
      </c>
      <c r="K2872" s="9">
        <v>1</v>
      </c>
      <c r="L2872" s="10">
        <v>0</v>
      </c>
      <c r="M2872" s="6">
        <v>1</v>
      </c>
      <c r="N2872" s="37" t="e" cm="1">
        <f t="array" ref="N2872">IF(OR(ISNUMBER(FIND(Aux!$D$3:$D$9,_xlfn.TEXTJOIN(,,C2872:K2872)))),NA(),IF(AND(SUM(C2872:F2872,H2872:K2872)=0,G2872=1),0,INT((SUMPRODUCT(C2872:F2872,COLUMN($A$1:$D$1)-1)+SUMPRODUCT(H2872:K2872,COLUMN($E$1:$H$1)-1))*'Line Follower'!$C$3/SUM(C2872:F2872,H2872:K2872)-'Line Follower'!$C$5)))</f>
        <v>#N/A</v>
      </c>
      <c r="O2872" s="22" t="e">
        <v>#N/A</v>
      </c>
      <c r="P2872" s="4" t="e">
        <f t="shared" si="220"/>
        <v>#N/A</v>
      </c>
      <c r="Q2872" s="4" t="e">
        <f t="shared" si="221"/>
        <v>#N/A</v>
      </c>
      <c r="R2872" s="4" t="e">
        <f>IF(AND(B2872=1,N2872&gt;'Line Follower'!$C$7,SUM(C2872:K2872)&lt;4),1,0)</f>
        <v>#N/A</v>
      </c>
      <c r="S2872" s="4" t="e">
        <f>IF(AND(L2872=1,N2872&lt;'Line Follower'!$C$6,SUM(C2872:K2872)&lt;4),1,0)</f>
        <v>#N/A</v>
      </c>
      <c r="T2872" s="4" t="e">
        <f t="shared" si="222"/>
        <v>#N/A</v>
      </c>
      <c r="U2872" s="5" t="e">
        <f t="shared" si="223"/>
        <v>#N/A</v>
      </c>
      <c r="V2872" s="23" t="e">
        <f t="shared" si="224"/>
        <v>#N/A</v>
      </c>
    </row>
    <row r="2873" spans="2:22" x14ac:dyDescent="0.25">
      <c r="B2873" s="16">
        <v>0</v>
      </c>
      <c r="C2873" s="7">
        <v>1</v>
      </c>
      <c r="D2873" s="8">
        <v>1</v>
      </c>
      <c r="E2873" s="8">
        <v>0</v>
      </c>
      <c r="F2873" s="8">
        <v>1</v>
      </c>
      <c r="G2873" s="8">
        <v>1</v>
      </c>
      <c r="H2873" s="8">
        <v>0</v>
      </c>
      <c r="I2873" s="8">
        <v>0</v>
      </c>
      <c r="J2873" s="8">
        <v>1</v>
      </c>
      <c r="K2873" s="9">
        <v>1</v>
      </c>
      <c r="L2873" s="10">
        <v>0</v>
      </c>
      <c r="M2873" s="6">
        <v>1</v>
      </c>
      <c r="N2873" s="37" t="e" cm="1">
        <f t="array" ref="N2873">IF(OR(ISNUMBER(FIND(Aux!$D$3:$D$9,_xlfn.TEXTJOIN(,,C2873:K2873)))),NA(),IF(AND(SUM(C2873:F2873,H2873:K2873)=0,G2873=1),0,INT((SUMPRODUCT(C2873:F2873,COLUMN($A$1:$D$1)-1)+SUMPRODUCT(H2873:K2873,COLUMN($E$1:$H$1)-1))*'Line Follower'!$C$3/SUM(C2873:F2873,H2873:K2873)-'Line Follower'!$C$5)))</f>
        <v>#N/A</v>
      </c>
      <c r="O2873" s="22" t="e">
        <v>#N/A</v>
      </c>
      <c r="P2873" s="4" t="e">
        <f t="shared" si="220"/>
        <v>#N/A</v>
      </c>
      <c r="Q2873" s="4" t="e">
        <f t="shared" si="221"/>
        <v>#N/A</v>
      </c>
      <c r="R2873" s="4" t="e">
        <f>IF(AND(B2873=1,N2873&gt;'Line Follower'!$C$7,SUM(C2873:K2873)&lt;4),1,0)</f>
        <v>#N/A</v>
      </c>
      <c r="S2873" s="4" t="e">
        <f>IF(AND(L2873=1,N2873&lt;'Line Follower'!$C$6,SUM(C2873:K2873)&lt;4),1,0)</f>
        <v>#N/A</v>
      </c>
      <c r="T2873" s="4" t="e">
        <f t="shared" si="222"/>
        <v>#N/A</v>
      </c>
      <c r="U2873" s="5" t="e">
        <f t="shared" si="223"/>
        <v>#N/A</v>
      </c>
      <c r="V2873" s="23" t="e">
        <f t="shared" si="224"/>
        <v>#N/A</v>
      </c>
    </row>
    <row r="2874" spans="2:22" x14ac:dyDescent="0.25">
      <c r="B2874" s="16">
        <v>1</v>
      </c>
      <c r="C2874" s="7">
        <v>1</v>
      </c>
      <c r="D2874" s="8">
        <v>1</v>
      </c>
      <c r="E2874" s="8">
        <v>0</v>
      </c>
      <c r="F2874" s="8">
        <v>1</v>
      </c>
      <c r="G2874" s="8">
        <v>1</v>
      </c>
      <c r="H2874" s="8">
        <v>0</v>
      </c>
      <c r="I2874" s="8">
        <v>0</v>
      </c>
      <c r="J2874" s="8">
        <v>1</v>
      </c>
      <c r="K2874" s="9">
        <v>1</v>
      </c>
      <c r="L2874" s="10">
        <v>0</v>
      </c>
      <c r="M2874" s="6">
        <v>1</v>
      </c>
      <c r="N2874" s="37" t="e" cm="1">
        <f t="array" ref="N2874">IF(OR(ISNUMBER(FIND(Aux!$D$3:$D$9,_xlfn.TEXTJOIN(,,C2874:K2874)))),NA(),IF(AND(SUM(C2874:F2874,H2874:K2874)=0,G2874=1),0,INT((SUMPRODUCT(C2874:F2874,COLUMN($A$1:$D$1)-1)+SUMPRODUCT(H2874:K2874,COLUMN($E$1:$H$1)-1))*'Line Follower'!$C$3/SUM(C2874:F2874,H2874:K2874)-'Line Follower'!$C$5)))</f>
        <v>#N/A</v>
      </c>
      <c r="O2874" s="22" t="e">
        <v>#N/A</v>
      </c>
      <c r="P2874" s="4" t="e">
        <f t="shared" si="220"/>
        <v>#N/A</v>
      </c>
      <c r="Q2874" s="4" t="e">
        <f t="shared" si="221"/>
        <v>#N/A</v>
      </c>
      <c r="R2874" s="4" t="e">
        <f>IF(AND(B2874=1,N2874&gt;'Line Follower'!$C$7,SUM(C2874:K2874)&lt;4),1,0)</f>
        <v>#N/A</v>
      </c>
      <c r="S2874" s="4" t="e">
        <f>IF(AND(L2874=1,N2874&lt;'Line Follower'!$C$6,SUM(C2874:K2874)&lt;4),1,0)</f>
        <v>#N/A</v>
      </c>
      <c r="T2874" s="4" t="e">
        <f t="shared" si="222"/>
        <v>#N/A</v>
      </c>
      <c r="U2874" s="5" t="e">
        <f t="shared" si="223"/>
        <v>#N/A</v>
      </c>
      <c r="V2874" s="23" t="e">
        <f t="shared" si="224"/>
        <v>#N/A</v>
      </c>
    </row>
    <row r="2875" spans="2:22" x14ac:dyDescent="0.25">
      <c r="B2875" s="16">
        <v>0</v>
      </c>
      <c r="C2875" s="7">
        <v>0</v>
      </c>
      <c r="D2875" s="8">
        <v>0</v>
      </c>
      <c r="E2875" s="8">
        <v>1</v>
      </c>
      <c r="F2875" s="8">
        <v>1</v>
      </c>
      <c r="G2875" s="8">
        <v>1</v>
      </c>
      <c r="H2875" s="8">
        <v>0</v>
      </c>
      <c r="I2875" s="8">
        <v>0</v>
      </c>
      <c r="J2875" s="8">
        <v>1</v>
      </c>
      <c r="K2875" s="9">
        <v>1</v>
      </c>
      <c r="L2875" s="10">
        <v>0</v>
      </c>
      <c r="M2875" s="6">
        <v>1</v>
      </c>
      <c r="N2875" s="37" t="e" cm="1">
        <f t="array" ref="N2875">IF(OR(ISNUMBER(FIND(Aux!$D$3:$D$9,_xlfn.TEXTJOIN(,,C2875:K2875)))),NA(),IF(AND(SUM(C2875:F2875,H2875:K2875)=0,G2875=1),0,INT((SUMPRODUCT(C2875:F2875,COLUMN($A$1:$D$1)-1)+SUMPRODUCT(H2875:K2875,COLUMN($E$1:$H$1)-1))*'Line Follower'!$C$3/SUM(C2875:F2875,H2875:K2875)-'Line Follower'!$C$5)))</f>
        <v>#N/A</v>
      </c>
      <c r="O2875" s="22" t="e">
        <v>#N/A</v>
      </c>
      <c r="P2875" s="4" t="e">
        <f t="shared" si="220"/>
        <v>#N/A</v>
      </c>
      <c r="Q2875" s="4" t="e">
        <f t="shared" si="221"/>
        <v>#N/A</v>
      </c>
      <c r="R2875" s="4" t="e">
        <f>IF(AND(B2875=1,N2875&gt;'Line Follower'!$C$7,SUM(C2875:K2875)&lt;4),1,0)</f>
        <v>#N/A</v>
      </c>
      <c r="S2875" s="4" t="e">
        <f>IF(AND(L2875=1,N2875&lt;'Line Follower'!$C$6,SUM(C2875:K2875)&lt;4),1,0)</f>
        <v>#N/A</v>
      </c>
      <c r="T2875" s="4" t="e">
        <f t="shared" si="222"/>
        <v>#N/A</v>
      </c>
      <c r="U2875" s="5" t="e">
        <f t="shared" si="223"/>
        <v>#N/A</v>
      </c>
      <c r="V2875" s="23" t="e">
        <f t="shared" si="224"/>
        <v>#N/A</v>
      </c>
    </row>
    <row r="2876" spans="2:22" x14ac:dyDescent="0.25">
      <c r="B2876" s="16">
        <v>1</v>
      </c>
      <c r="C2876" s="7">
        <v>0</v>
      </c>
      <c r="D2876" s="8">
        <v>0</v>
      </c>
      <c r="E2876" s="8">
        <v>1</v>
      </c>
      <c r="F2876" s="8">
        <v>1</v>
      </c>
      <c r="G2876" s="8">
        <v>1</v>
      </c>
      <c r="H2876" s="8">
        <v>0</v>
      </c>
      <c r="I2876" s="8">
        <v>0</v>
      </c>
      <c r="J2876" s="8">
        <v>1</v>
      </c>
      <c r="K2876" s="9">
        <v>1</v>
      </c>
      <c r="L2876" s="10">
        <v>0</v>
      </c>
      <c r="M2876" s="6">
        <v>1</v>
      </c>
      <c r="N2876" s="37" t="e" cm="1">
        <f t="array" ref="N2876">IF(OR(ISNUMBER(FIND(Aux!$D$3:$D$9,_xlfn.TEXTJOIN(,,C2876:K2876)))),NA(),IF(AND(SUM(C2876:F2876,H2876:K2876)=0,G2876=1),0,INT((SUMPRODUCT(C2876:F2876,COLUMN($A$1:$D$1)-1)+SUMPRODUCT(H2876:K2876,COLUMN($E$1:$H$1)-1))*'Line Follower'!$C$3/SUM(C2876:F2876,H2876:K2876)-'Line Follower'!$C$5)))</f>
        <v>#N/A</v>
      </c>
      <c r="O2876" s="22" t="e">
        <v>#N/A</v>
      </c>
      <c r="P2876" s="4" t="e">
        <f t="shared" si="220"/>
        <v>#N/A</v>
      </c>
      <c r="Q2876" s="4" t="e">
        <f t="shared" si="221"/>
        <v>#N/A</v>
      </c>
      <c r="R2876" s="4" t="e">
        <f>IF(AND(B2876=1,N2876&gt;'Line Follower'!$C$7,SUM(C2876:K2876)&lt;4),1,0)</f>
        <v>#N/A</v>
      </c>
      <c r="S2876" s="4" t="e">
        <f>IF(AND(L2876=1,N2876&lt;'Line Follower'!$C$6,SUM(C2876:K2876)&lt;4),1,0)</f>
        <v>#N/A</v>
      </c>
      <c r="T2876" s="4" t="e">
        <f t="shared" si="222"/>
        <v>#N/A</v>
      </c>
      <c r="U2876" s="5" t="e">
        <f t="shared" si="223"/>
        <v>#N/A</v>
      </c>
      <c r="V2876" s="23" t="e">
        <f t="shared" si="224"/>
        <v>#N/A</v>
      </c>
    </row>
    <row r="2877" spans="2:22" x14ac:dyDescent="0.25">
      <c r="B2877" s="16">
        <v>0</v>
      </c>
      <c r="C2877" s="7">
        <v>1</v>
      </c>
      <c r="D2877" s="8">
        <v>0</v>
      </c>
      <c r="E2877" s="8">
        <v>1</v>
      </c>
      <c r="F2877" s="8">
        <v>1</v>
      </c>
      <c r="G2877" s="8">
        <v>1</v>
      </c>
      <c r="H2877" s="8">
        <v>0</v>
      </c>
      <c r="I2877" s="8">
        <v>0</v>
      </c>
      <c r="J2877" s="8">
        <v>1</v>
      </c>
      <c r="K2877" s="9">
        <v>1</v>
      </c>
      <c r="L2877" s="10">
        <v>0</v>
      </c>
      <c r="M2877" s="6">
        <v>1</v>
      </c>
      <c r="N2877" s="37" t="e" cm="1">
        <f t="array" ref="N2877">IF(OR(ISNUMBER(FIND(Aux!$D$3:$D$9,_xlfn.TEXTJOIN(,,C2877:K2877)))),NA(),IF(AND(SUM(C2877:F2877,H2877:K2877)=0,G2877=1),0,INT((SUMPRODUCT(C2877:F2877,COLUMN($A$1:$D$1)-1)+SUMPRODUCT(H2877:K2877,COLUMN($E$1:$H$1)-1))*'Line Follower'!$C$3/SUM(C2877:F2877,H2877:K2877)-'Line Follower'!$C$5)))</f>
        <v>#N/A</v>
      </c>
      <c r="O2877" s="22" t="e">
        <v>#N/A</v>
      </c>
      <c r="P2877" s="4" t="e">
        <f t="shared" si="220"/>
        <v>#N/A</v>
      </c>
      <c r="Q2877" s="4" t="e">
        <f t="shared" si="221"/>
        <v>#N/A</v>
      </c>
      <c r="R2877" s="4" t="e">
        <f>IF(AND(B2877=1,N2877&gt;'Line Follower'!$C$7,SUM(C2877:K2877)&lt;4),1,0)</f>
        <v>#N/A</v>
      </c>
      <c r="S2877" s="4" t="e">
        <f>IF(AND(L2877=1,N2877&lt;'Line Follower'!$C$6,SUM(C2877:K2877)&lt;4),1,0)</f>
        <v>#N/A</v>
      </c>
      <c r="T2877" s="4" t="e">
        <f t="shared" si="222"/>
        <v>#N/A</v>
      </c>
      <c r="U2877" s="5" t="e">
        <f t="shared" si="223"/>
        <v>#N/A</v>
      </c>
      <c r="V2877" s="23" t="e">
        <f t="shared" si="224"/>
        <v>#N/A</v>
      </c>
    </row>
    <row r="2878" spans="2:22" x14ac:dyDescent="0.25">
      <c r="B2878" s="16">
        <v>1</v>
      </c>
      <c r="C2878" s="7">
        <v>1</v>
      </c>
      <c r="D2878" s="8">
        <v>0</v>
      </c>
      <c r="E2878" s="8">
        <v>1</v>
      </c>
      <c r="F2878" s="8">
        <v>1</v>
      </c>
      <c r="G2878" s="8">
        <v>1</v>
      </c>
      <c r="H2878" s="8">
        <v>0</v>
      </c>
      <c r="I2878" s="8">
        <v>0</v>
      </c>
      <c r="J2878" s="8">
        <v>1</v>
      </c>
      <c r="K2878" s="9">
        <v>1</v>
      </c>
      <c r="L2878" s="10">
        <v>0</v>
      </c>
      <c r="M2878" s="6">
        <v>1</v>
      </c>
      <c r="N2878" s="37" t="e" cm="1">
        <f t="array" ref="N2878">IF(OR(ISNUMBER(FIND(Aux!$D$3:$D$9,_xlfn.TEXTJOIN(,,C2878:K2878)))),NA(),IF(AND(SUM(C2878:F2878,H2878:K2878)=0,G2878=1),0,INT((SUMPRODUCT(C2878:F2878,COLUMN($A$1:$D$1)-1)+SUMPRODUCT(H2878:K2878,COLUMN($E$1:$H$1)-1))*'Line Follower'!$C$3/SUM(C2878:F2878,H2878:K2878)-'Line Follower'!$C$5)))</f>
        <v>#N/A</v>
      </c>
      <c r="O2878" s="22" t="e">
        <v>#N/A</v>
      </c>
      <c r="P2878" s="4" t="e">
        <f t="shared" si="220"/>
        <v>#N/A</v>
      </c>
      <c r="Q2878" s="4" t="e">
        <f t="shared" si="221"/>
        <v>#N/A</v>
      </c>
      <c r="R2878" s="4" t="e">
        <f>IF(AND(B2878=1,N2878&gt;'Line Follower'!$C$7,SUM(C2878:K2878)&lt;4),1,0)</f>
        <v>#N/A</v>
      </c>
      <c r="S2878" s="4" t="e">
        <f>IF(AND(L2878=1,N2878&lt;'Line Follower'!$C$6,SUM(C2878:K2878)&lt;4),1,0)</f>
        <v>#N/A</v>
      </c>
      <c r="T2878" s="4" t="e">
        <f t="shared" si="222"/>
        <v>#N/A</v>
      </c>
      <c r="U2878" s="5" t="e">
        <f t="shared" si="223"/>
        <v>#N/A</v>
      </c>
      <c r="V2878" s="23" t="e">
        <f t="shared" si="224"/>
        <v>#N/A</v>
      </c>
    </row>
    <row r="2879" spans="2:22" x14ac:dyDescent="0.25">
      <c r="B2879" s="16">
        <v>0</v>
      </c>
      <c r="C2879" s="7">
        <v>0</v>
      </c>
      <c r="D2879" s="8">
        <v>1</v>
      </c>
      <c r="E2879" s="8">
        <v>1</v>
      </c>
      <c r="F2879" s="8">
        <v>1</v>
      </c>
      <c r="G2879" s="8">
        <v>1</v>
      </c>
      <c r="H2879" s="8">
        <v>0</v>
      </c>
      <c r="I2879" s="8">
        <v>0</v>
      </c>
      <c r="J2879" s="8">
        <v>1</v>
      </c>
      <c r="K2879" s="9">
        <v>1</v>
      </c>
      <c r="L2879" s="10">
        <v>0</v>
      </c>
      <c r="M2879" s="6">
        <v>1</v>
      </c>
      <c r="N2879" s="37" t="e" cm="1">
        <f t="array" ref="N2879">IF(OR(ISNUMBER(FIND(Aux!$D$3:$D$9,_xlfn.TEXTJOIN(,,C2879:K2879)))),NA(),IF(AND(SUM(C2879:F2879,H2879:K2879)=0,G2879=1),0,INT((SUMPRODUCT(C2879:F2879,COLUMN($A$1:$D$1)-1)+SUMPRODUCT(H2879:K2879,COLUMN($E$1:$H$1)-1))*'Line Follower'!$C$3/SUM(C2879:F2879,H2879:K2879)-'Line Follower'!$C$5)))</f>
        <v>#N/A</v>
      </c>
      <c r="O2879" s="22" t="e">
        <v>#N/A</v>
      </c>
      <c r="P2879" s="4" t="e">
        <f t="shared" si="220"/>
        <v>#N/A</v>
      </c>
      <c r="Q2879" s="4" t="e">
        <f t="shared" si="221"/>
        <v>#N/A</v>
      </c>
      <c r="R2879" s="4" t="e">
        <f>IF(AND(B2879=1,N2879&gt;'Line Follower'!$C$7,SUM(C2879:K2879)&lt;4),1,0)</f>
        <v>#N/A</v>
      </c>
      <c r="S2879" s="4" t="e">
        <f>IF(AND(L2879=1,N2879&lt;'Line Follower'!$C$6,SUM(C2879:K2879)&lt;4),1,0)</f>
        <v>#N/A</v>
      </c>
      <c r="T2879" s="4" t="e">
        <f t="shared" si="222"/>
        <v>#N/A</v>
      </c>
      <c r="U2879" s="5" t="e">
        <f t="shared" si="223"/>
        <v>#N/A</v>
      </c>
      <c r="V2879" s="23" t="e">
        <f t="shared" si="224"/>
        <v>#N/A</v>
      </c>
    </row>
    <row r="2880" spans="2:22" x14ac:dyDescent="0.25">
      <c r="B2880" s="16">
        <v>1</v>
      </c>
      <c r="C2880" s="7">
        <v>0</v>
      </c>
      <c r="D2880" s="8">
        <v>1</v>
      </c>
      <c r="E2880" s="8">
        <v>1</v>
      </c>
      <c r="F2880" s="8">
        <v>1</v>
      </c>
      <c r="G2880" s="8">
        <v>1</v>
      </c>
      <c r="H2880" s="8">
        <v>0</v>
      </c>
      <c r="I2880" s="8">
        <v>0</v>
      </c>
      <c r="J2880" s="8">
        <v>1</v>
      </c>
      <c r="K2880" s="9">
        <v>1</v>
      </c>
      <c r="L2880" s="10">
        <v>0</v>
      </c>
      <c r="M2880" s="6">
        <v>1</v>
      </c>
      <c r="N2880" s="37" t="e" cm="1">
        <f t="array" ref="N2880">IF(OR(ISNUMBER(FIND(Aux!$D$3:$D$9,_xlfn.TEXTJOIN(,,C2880:K2880)))),NA(),IF(AND(SUM(C2880:F2880,H2880:K2880)=0,G2880=1),0,INT((SUMPRODUCT(C2880:F2880,COLUMN($A$1:$D$1)-1)+SUMPRODUCT(H2880:K2880,COLUMN($E$1:$H$1)-1))*'Line Follower'!$C$3/SUM(C2880:F2880,H2880:K2880)-'Line Follower'!$C$5)))</f>
        <v>#N/A</v>
      </c>
      <c r="O2880" s="22" t="e">
        <v>#N/A</v>
      </c>
      <c r="P2880" s="4" t="e">
        <f t="shared" si="220"/>
        <v>#N/A</v>
      </c>
      <c r="Q2880" s="4" t="e">
        <f t="shared" si="221"/>
        <v>#N/A</v>
      </c>
      <c r="R2880" s="4" t="e">
        <f>IF(AND(B2880=1,N2880&gt;'Line Follower'!$C$7,SUM(C2880:K2880)&lt;4),1,0)</f>
        <v>#N/A</v>
      </c>
      <c r="S2880" s="4" t="e">
        <f>IF(AND(L2880=1,N2880&lt;'Line Follower'!$C$6,SUM(C2880:K2880)&lt;4),1,0)</f>
        <v>#N/A</v>
      </c>
      <c r="T2880" s="4" t="e">
        <f t="shared" si="222"/>
        <v>#N/A</v>
      </c>
      <c r="U2880" s="5" t="e">
        <f t="shared" si="223"/>
        <v>#N/A</v>
      </c>
      <c r="V2880" s="23" t="e">
        <f t="shared" si="224"/>
        <v>#N/A</v>
      </c>
    </row>
    <row r="2881" spans="2:22" x14ac:dyDescent="0.25">
      <c r="B2881" s="16">
        <v>0</v>
      </c>
      <c r="C2881" s="7">
        <v>1</v>
      </c>
      <c r="D2881" s="8">
        <v>1</v>
      </c>
      <c r="E2881" s="8">
        <v>1</v>
      </c>
      <c r="F2881" s="8">
        <v>1</v>
      </c>
      <c r="G2881" s="8">
        <v>1</v>
      </c>
      <c r="H2881" s="8">
        <v>0</v>
      </c>
      <c r="I2881" s="8">
        <v>0</v>
      </c>
      <c r="J2881" s="8">
        <v>1</v>
      </c>
      <c r="K2881" s="9">
        <v>1</v>
      </c>
      <c r="L2881" s="10">
        <v>0</v>
      </c>
      <c r="M2881" s="6">
        <v>1</v>
      </c>
      <c r="N2881" s="37" t="e" cm="1">
        <f t="array" ref="N2881">IF(OR(ISNUMBER(FIND(Aux!$D$3:$D$9,_xlfn.TEXTJOIN(,,C2881:K2881)))),NA(),IF(AND(SUM(C2881:F2881,H2881:K2881)=0,G2881=1),0,INT((SUMPRODUCT(C2881:F2881,COLUMN($A$1:$D$1)-1)+SUMPRODUCT(H2881:K2881,COLUMN($E$1:$H$1)-1))*'Line Follower'!$C$3/SUM(C2881:F2881,H2881:K2881)-'Line Follower'!$C$5)))</f>
        <v>#N/A</v>
      </c>
      <c r="O2881" s="22" t="e">
        <v>#N/A</v>
      </c>
      <c r="P2881" s="4" t="e">
        <f t="shared" si="220"/>
        <v>#N/A</v>
      </c>
      <c r="Q2881" s="4" t="e">
        <f t="shared" si="221"/>
        <v>#N/A</v>
      </c>
      <c r="R2881" s="4" t="e">
        <f>IF(AND(B2881=1,N2881&gt;'Line Follower'!$C$7,SUM(C2881:K2881)&lt;4),1,0)</f>
        <v>#N/A</v>
      </c>
      <c r="S2881" s="4" t="e">
        <f>IF(AND(L2881=1,N2881&lt;'Line Follower'!$C$6,SUM(C2881:K2881)&lt;4),1,0)</f>
        <v>#N/A</v>
      </c>
      <c r="T2881" s="4" t="e">
        <f t="shared" si="222"/>
        <v>#N/A</v>
      </c>
      <c r="U2881" s="5" t="e">
        <f t="shared" si="223"/>
        <v>#N/A</v>
      </c>
      <c r="V2881" s="23" t="e">
        <f t="shared" si="224"/>
        <v>#N/A</v>
      </c>
    </row>
    <row r="2882" spans="2:22" x14ac:dyDescent="0.25">
      <c r="B2882" s="16">
        <v>1</v>
      </c>
      <c r="C2882" s="7">
        <v>1</v>
      </c>
      <c r="D2882" s="8">
        <v>1</v>
      </c>
      <c r="E2882" s="8">
        <v>1</v>
      </c>
      <c r="F2882" s="8">
        <v>1</v>
      </c>
      <c r="G2882" s="8">
        <v>1</v>
      </c>
      <c r="H2882" s="8">
        <v>0</v>
      </c>
      <c r="I2882" s="8">
        <v>0</v>
      </c>
      <c r="J2882" s="8">
        <v>1</v>
      </c>
      <c r="K2882" s="9">
        <v>1</v>
      </c>
      <c r="L2882" s="10">
        <v>0</v>
      </c>
      <c r="M2882" s="6">
        <v>1</v>
      </c>
      <c r="N2882" s="37" t="e" cm="1">
        <f t="array" ref="N2882">IF(OR(ISNUMBER(FIND(Aux!$D$3:$D$9,_xlfn.TEXTJOIN(,,C2882:K2882)))),NA(),IF(AND(SUM(C2882:F2882,H2882:K2882)=0,G2882=1),0,INT((SUMPRODUCT(C2882:F2882,COLUMN($A$1:$D$1)-1)+SUMPRODUCT(H2882:K2882,COLUMN($E$1:$H$1)-1))*'Line Follower'!$C$3/SUM(C2882:F2882,H2882:K2882)-'Line Follower'!$C$5)))</f>
        <v>#N/A</v>
      </c>
      <c r="O2882" s="22" t="e">
        <v>#N/A</v>
      </c>
      <c r="P2882" s="4" t="e">
        <f t="shared" si="220"/>
        <v>#N/A</v>
      </c>
      <c r="Q2882" s="4" t="e">
        <f t="shared" si="221"/>
        <v>#N/A</v>
      </c>
      <c r="R2882" s="4" t="e">
        <f>IF(AND(B2882=1,N2882&gt;'Line Follower'!$C$7,SUM(C2882:K2882)&lt;4),1,0)</f>
        <v>#N/A</v>
      </c>
      <c r="S2882" s="4" t="e">
        <f>IF(AND(L2882=1,N2882&lt;'Line Follower'!$C$6,SUM(C2882:K2882)&lt;4),1,0)</f>
        <v>#N/A</v>
      </c>
      <c r="T2882" s="4" t="e">
        <f t="shared" si="222"/>
        <v>#N/A</v>
      </c>
      <c r="U2882" s="5" t="e">
        <f t="shared" si="223"/>
        <v>#N/A</v>
      </c>
      <c r="V2882" s="23" t="e">
        <f t="shared" si="224"/>
        <v>#N/A</v>
      </c>
    </row>
    <row r="2883" spans="2:22" x14ac:dyDescent="0.25">
      <c r="B2883" s="16">
        <v>0</v>
      </c>
      <c r="C2883" s="7">
        <v>0</v>
      </c>
      <c r="D2883" s="8">
        <v>0</v>
      </c>
      <c r="E2883" s="8">
        <v>0</v>
      </c>
      <c r="F2883" s="8">
        <v>0</v>
      </c>
      <c r="G2883" s="8">
        <v>0</v>
      </c>
      <c r="H2883" s="8">
        <v>1</v>
      </c>
      <c r="I2883" s="8">
        <v>0</v>
      </c>
      <c r="J2883" s="8">
        <v>1</v>
      </c>
      <c r="K2883" s="9">
        <v>1</v>
      </c>
      <c r="L2883" s="10">
        <v>0</v>
      </c>
      <c r="M2883" s="6">
        <v>1</v>
      </c>
      <c r="N2883" s="37" t="e" cm="1">
        <f t="array" ref="N2883">IF(OR(ISNUMBER(FIND(Aux!$D$3:$D$9,_xlfn.TEXTJOIN(,,C2883:K2883)))),NA(),IF(AND(SUM(C2883:F2883,H2883:K2883)=0,G2883=1),0,INT((SUMPRODUCT(C2883:F2883,COLUMN($A$1:$D$1)-1)+SUMPRODUCT(H2883:K2883,COLUMN($E$1:$H$1)-1))*'Line Follower'!$C$3/SUM(C2883:F2883,H2883:K2883)-'Line Follower'!$C$5)))</f>
        <v>#N/A</v>
      </c>
      <c r="O2883" s="22" t="e">
        <v>#N/A</v>
      </c>
      <c r="P2883" s="4" t="e">
        <f t="shared" ref="P2883:P2946" si="225">IF(AND(N2883=0,G2883=1,M2883=1),1,0)</f>
        <v>#N/A</v>
      </c>
      <c r="Q2883" s="4" t="e">
        <f t="shared" ref="Q2883:Q2946" si="226">IF(ISERROR(N2883),N2883,IF(SUM(C2883:K2883)&gt;=4,1,0))</f>
        <v>#N/A</v>
      </c>
      <c r="R2883" s="4" t="e">
        <f>IF(AND(B2883=1,N2883&gt;'Line Follower'!$C$7,SUM(C2883:K2883)&lt;4),1,0)</f>
        <v>#N/A</v>
      </c>
      <c r="S2883" s="4" t="e">
        <f>IF(AND(L2883=1,N2883&lt;'Line Follower'!$C$6,SUM(C2883:K2883)&lt;4),1,0)</f>
        <v>#N/A</v>
      </c>
      <c r="T2883" s="4" t="e">
        <f t="shared" si="222"/>
        <v>#N/A</v>
      </c>
      <c r="U2883" s="5" t="e">
        <f t="shared" si="223"/>
        <v>#N/A</v>
      </c>
      <c r="V2883" s="23" t="e">
        <f t="shared" si="224"/>
        <v>#N/A</v>
      </c>
    </row>
    <row r="2884" spans="2:22" x14ac:dyDescent="0.25">
      <c r="B2884" s="16">
        <v>1</v>
      </c>
      <c r="C2884" s="7">
        <v>0</v>
      </c>
      <c r="D2884" s="8">
        <v>0</v>
      </c>
      <c r="E2884" s="8">
        <v>0</v>
      </c>
      <c r="F2884" s="8">
        <v>0</v>
      </c>
      <c r="G2884" s="8">
        <v>0</v>
      </c>
      <c r="H2884" s="8">
        <v>1</v>
      </c>
      <c r="I2884" s="8">
        <v>0</v>
      </c>
      <c r="J2884" s="8">
        <v>1</v>
      </c>
      <c r="K2884" s="9">
        <v>1</v>
      </c>
      <c r="L2884" s="10">
        <v>0</v>
      </c>
      <c r="M2884" s="6">
        <v>1</v>
      </c>
      <c r="N2884" s="37" t="e" cm="1">
        <f t="array" ref="N2884">IF(OR(ISNUMBER(FIND(Aux!$D$3:$D$9,_xlfn.TEXTJOIN(,,C2884:K2884)))),NA(),IF(AND(SUM(C2884:F2884,H2884:K2884)=0,G2884=1),0,INT((SUMPRODUCT(C2884:F2884,COLUMN($A$1:$D$1)-1)+SUMPRODUCT(H2884:K2884,COLUMN($E$1:$H$1)-1))*'Line Follower'!$C$3/SUM(C2884:F2884,H2884:K2884)-'Line Follower'!$C$5)))</f>
        <v>#N/A</v>
      </c>
      <c r="O2884" s="22" t="e">
        <v>#N/A</v>
      </c>
      <c r="P2884" s="4" t="e">
        <f t="shared" si="225"/>
        <v>#N/A</v>
      </c>
      <c r="Q2884" s="4" t="e">
        <f t="shared" si="226"/>
        <v>#N/A</v>
      </c>
      <c r="R2884" s="4" t="e">
        <f>IF(AND(B2884=1,N2884&gt;'Line Follower'!$C$7,SUM(C2884:K2884)&lt;4),1,0)</f>
        <v>#N/A</v>
      </c>
      <c r="S2884" s="4" t="e">
        <f>IF(AND(L2884=1,N2884&lt;'Line Follower'!$C$6,SUM(C2884:K2884)&lt;4),1,0)</f>
        <v>#N/A</v>
      </c>
      <c r="T2884" s="4" t="e">
        <f t="shared" ref="T2884:T2947" si="227">IF(ISNA(N2884),NA(),IF(SUM(C2884:L2884)=0,1,0))</f>
        <v>#N/A</v>
      </c>
      <c r="U2884" s="5" t="e">
        <f t="shared" ref="U2884:U2947" si="228">IF(ISNA(N2884),NA(),IF(SUM(B2884:K2884)=0,1,0))</f>
        <v>#N/A</v>
      </c>
      <c r="V2884" s="23" t="e">
        <f t="shared" ref="V2884:V2947" si="229">IF(ISNA(N2884),NA(),IF(SUM(B2884:L2884)=0,1,0))</f>
        <v>#N/A</v>
      </c>
    </row>
    <row r="2885" spans="2:22" x14ac:dyDescent="0.25">
      <c r="B2885" s="16">
        <v>0</v>
      </c>
      <c r="C2885" s="7">
        <v>1</v>
      </c>
      <c r="D2885" s="8">
        <v>0</v>
      </c>
      <c r="E2885" s="8">
        <v>0</v>
      </c>
      <c r="F2885" s="8">
        <v>0</v>
      </c>
      <c r="G2885" s="8">
        <v>0</v>
      </c>
      <c r="H2885" s="8">
        <v>1</v>
      </c>
      <c r="I2885" s="8">
        <v>0</v>
      </c>
      <c r="J2885" s="8">
        <v>1</v>
      </c>
      <c r="K2885" s="9">
        <v>1</v>
      </c>
      <c r="L2885" s="10">
        <v>0</v>
      </c>
      <c r="M2885" s="6">
        <v>1</v>
      </c>
      <c r="N2885" s="37" t="e" cm="1">
        <f t="array" ref="N2885">IF(OR(ISNUMBER(FIND(Aux!$D$3:$D$9,_xlfn.TEXTJOIN(,,C2885:K2885)))),NA(),IF(AND(SUM(C2885:F2885,H2885:K2885)=0,G2885=1),0,INT((SUMPRODUCT(C2885:F2885,COLUMN($A$1:$D$1)-1)+SUMPRODUCT(H2885:K2885,COLUMN($E$1:$H$1)-1))*'Line Follower'!$C$3/SUM(C2885:F2885,H2885:K2885)-'Line Follower'!$C$5)))</f>
        <v>#N/A</v>
      </c>
      <c r="O2885" s="22" t="e">
        <v>#N/A</v>
      </c>
      <c r="P2885" s="4" t="e">
        <f t="shared" si="225"/>
        <v>#N/A</v>
      </c>
      <c r="Q2885" s="4" t="e">
        <f t="shared" si="226"/>
        <v>#N/A</v>
      </c>
      <c r="R2885" s="4" t="e">
        <f>IF(AND(B2885=1,N2885&gt;'Line Follower'!$C$7,SUM(C2885:K2885)&lt;4),1,0)</f>
        <v>#N/A</v>
      </c>
      <c r="S2885" s="4" t="e">
        <f>IF(AND(L2885=1,N2885&lt;'Line Follower'!$C$6,SUM(C2885:K2885)&lt;4),1,0)</f>
        <v>#N/A</v>
      </c>
      <c r="T2885" s="4" t="e">
        <f t="shared" si="227"/>
        <v>#N/A</v>
      </c>
      <c r="U2885" s="5" t="e">
        <f t="shared" si="228"/>
        <v>#N/A</v>
      </c>
      <c r="V2885" s="23" t="e">
        <f t="shared" si="229"/>
        <v>#N/A</v>
      </c>
    </row>
    <row r="2886" spans="2:22" x14ac:dyDescent="0.25">
      <c r="B2886" s="16">
        <v>1</v>
      </c>
      <c r="C2886" s="7">
        <v>1</v>
      </c>
      <c r="D2886" s="8">
        <v>0</v>
      </c>
      <c r="E2886" s="8">
        <v>0</v>
      </c>
      <c r="F2886" s="8">
        <v>0</v>
      </c>
      <c r="G2886" s="8">
        <v>0</v>
      </c>
      <c r="H2886" s="8">
        <v>1</v>
      </c>
      <c r="I2886" s="8">
        <v>0</v>
      </c>
      <c r="J2886" s="8">
        <v>1</v>
      </c>
      <c r="K2886" s="9">
        <v>1</v>
      </c>
      <c r="L2886" s="10">
        <v>0</v>
      </c>
      <c r="M2886" s="6">
        <v>1</v>
      </c>
      <c r="N2886" s="37" t="e" cm="1">
        <f t="array" ref="N2886">IF(OR(ISNUMBER(FIND(Aux!$D$3:$D$9,_xlfn.TEXTJOIN(,,C2886:K2886)))),NA(),IF(AND(SUM(C2886:F2886,H2886:K2886)=0,G2886=1),0,INT((SUMPRODUCT(C2886:F2886,COLUMN($A$1:$D$1)-1)+SUMPRODUCT(H2886:K2886,COLUMN($E$1:$H$1)-1))*'Line Follower'!$C$3/SUM(C2886:F2886,H2886:K2886)-'Line Follower'!$C$5)))</f>
        <v>#N/A</v>
      </c>
      <c r="O2886" s="22" t="e">
        <v>#N/A</v>
      </c>
      <c r="P2886" s="4" t="e">
        <f t="shared" si="225"/>
        <v>#N/A</v>
      </c>
      <c r="Q2886" s="4" t="e">
        <f t="shared" si="226"/>
        <v>#N/A</v>
      </c>
      <c r="R2886" s="4" t="e">
        <f>IF(AND(B2886=1,N2886&gt;'Line Follower'!$C$7,SUM(C2886:K2886)&lt;4),1,0)</f>
        <v>#N/A</v>
      </c>
      <c r="S2886" s="4" t="e">
        <f>IF(AND(L2886=1,N2886&lt;'Line Follower'!$C$6,SUM(C2886:K2886)&lt;4),1,0)</f>
        <v>#N/A</v>
      </c>
      <c r="T2886" s="4" t="e">
        <f t="shared" si="227"/>
        <v>#N/A</v>
      </c>
      <c r="U2886" s="5" t="e">
        <f t="shared" si="228"/>
        <v>#N/A</v>
      </c>
      <c r="V2886" s="23" t="e">
        <f t="shared" si="229"/>
        <v>#N/A</v>
      </c>
    </row>
    <row r="2887" spans="2:22" x14ac:dyDescent="0.25">
      <c r="B2887" s="16">
        <v>0</v>
      </c>
      <c r="C2887" s="7">
        <v>0</v>
      </c>
      <c r="D2887" s="8">
        <v>1</v>
      </c>
      <c r="E2887" s="8">
        <v>0</v>
      </c>
      <c r="F2887" s="8">
        <v>0</v>
      </c>
      <c r="G2887" s="8">
        <v>0</v>
      </c>
      <c r="H2887" s="8">
        <v>1</v>
      </c>
      <c r="I2887" s="8">
        <v>0</v>
      </c>
      <c r="J2887" s="8">
        <v>1</v>
      </c>
      <c r="K2887" s="9">
        <v>1</v>
      </c>
      <c r="L2887" s="10">
        <v>0</v>
      </c>
      <c r="M2887" s="6">
        <v>1</v>
      </c>
      <c r="N2887" s="37" t="e" cm="1">
        <f t="array" ref="N2887">IF(OR(ISNUMBER(FIND(Aux!$D$3:$D$9,_xlfn.TEXTJOIN(,,C2887:K2887)))),NA(),IF(AND(SUM(C2887:F2887,H2887:K2887)=0,G2887=1),0,INT((SUMPRODUCT(C2887:F2887,COLUMN($A$1:$D$1)-1)+SUMPRODUCT(H2887:K2887,COLUMN($E$1:$H$1)-1))*'Line Follower'!$C$3/SUM(C2887:F2887,H2887:K2887)-'Line Follower'!$C$5)))</f>
        <v>#N/A</v>
      </c>
      <c r="O2887" s="22" t="e">
        <v>#N/A</v>
      </c>
      <c r="P2887" s="4" t="e">
        <f t="shared" si="225"/>
        <v>#N/A</v>
      </c>
      <c r="Q2887" s="4" t="e">
        <f t="shared" si="226"/>
        <v>#N/A</v>
      </c>
      <c r="R2887" s="4" t="e">
        <f>IF(AND(B2887=1,N2887&gt;'Line Follower'!$C$7,SUM(C2887:K2887)&lt;4),1,0)</f>
        <v>#N/A</v>
      </c>
      <c r="S2887" s="4" t="e">
        <f>IF(AND(L2887=1,N2887&lt;'Line Follower'!$C$6,SUM(C2887:K2887)&lt;4),1,0)</f>
        <v>#N/A</v>
      </c>
      <c r="T2887" s="4" t="e">
        <f t="shared" si="227"/>
        <v>#N/A</v>
      </c>
      <c r="U2887" s="5" t="e">
        <f t="shared" si="228"/>
        <v>#N/A</v>
      </c>
      <c r="V2887" s="23" t="e">
        <f t="shared" si="229"/>
        <v>#N/A</v>
      </c>
    </row>
    <row r="2888" spans="2:22" x14ac:dyDescent="0.25">
      <c r="B2888" s="16">
        <v>1</v>
      </c>
      <c r="C2888" s="7">
        <v>0</v>
      </c>
      <c r="D2888" s="8">
        <v>1</v>
      </c>
      <c r="E2888" s="8">
        <v>0</v>
      </c>
      <c r="F2888" s="8">
        <v>0</v>
      </c>
      <c r="G2888" s="8">
        <v>0</v>
      </c>
      <c r="H2888" s="8">
        <v>1</v>
      </c>
      <c r="I2888" s="8">
        <v>0</v>
      </c>
      <c r="J2888" s="8">
        <v>1</v>
      </c>
      <c r="K2888" s="9">
        <v>1</v>
      </c>
      <c r="L2888" s="10">
        <v>0</v>
      </c>
      <c r="M2888" s="6">
        <v>1</v>
      </c>
      <c r="N2888" s="37" t="e" cm="1">
        <f t="array" ref="N2888">IF(OR(ISNUMBER(FIND(Aux!$D$3:$D$9,_xlfn.TEXTJOIN(,,C2888:K2888)))),NA(),IF(AND(SUM(C2888:F2888,H2888:K2888)=0,G2888=1),0,INT((SUMPRODUCT(C2888:F2888,COLUMN($A$1:$D$1)-1)+SUMPRODUCT(H2888:K2888,COLUMN($E$1:$H$1)-1))*'Line Follower'!$C$3/SUM(C2888:F2888,H2888:K2888)-'Line Follower'!$C$5)))</f>
        <v>#N/A</v>
      </c>
      <c r="O2888" s="22" t="e">
        <v>#N/A</v>
      </c>
      <c r="P2888" s="4" t="e">
        <f t="shared" si="225"/>
        <v>#N/A</v>
      </c>
      <c r="Q2888" s="4" t="e">
        <f t="shared" si="226"/>
        <v>#N/A</v>
      </c>
      <c r="R2888" s="4" t="e">
        <f>IF(AND(B2888=1,N2888&gt;'Line Follower'!$C$7,SUM(C2888:K2888)&lt;4),1,0)</f>
        <v>#N/A</v>
      </c>
      <c r="S2888" s="4" t="e">
        <f>IF(AND(L2888=1,N2888&lt;'Line Follower'!$C$6,SUM(C2888:K2888)&lt;4),1,0)</f>
        <v>#N/A</v>
      </c>
      <c r="T2888" s="4" t="e">
        <f t="shared" si="227"/>
        <v>#N/A</v>
      </c>
      <c r="U2888" s="5" t="e">
        <f t="shared" si="228"/>
        <v>#N/A</v>
      </c>
      <c r="V2888" s="23" t="e">
        <f t="shared" si="229"/>
        <v>#N/A</v>
      </c>
    </row>
    <row r="2889" spans="2:22" x14ac:dyDescent="0.25">
      <c r="B2889" s="16">
        <v>0</v>
      </c>
      <c r="C2889" s="7">
        <v>1</v>
      </c>
      <c r="D2889" s="8">
        <v>1</v>
      </c>
      <c r="E2889" s="8">
        <v>0</v>
      </c>
      <c r="F2889" s="8">
        <v>0</v>
      </c>
      <c r="G2889" s="8">
        <v>0</v>
      </c>
      <c r="H2889" s="8">
        <v>1</v>
      </c>
      <c r="I2889" s="8">
        <v>0</v>
      </c>
      <c r="J2889" s="8">
        <v>1</v>
      </c>
      <c r="K2889" s="9">
        <v>1</v>
      </c>
      <c r="L2889" s="10">
        <v>0</v>
      </c>
      <c r="M2889" s="6">
        <v>1</v>
      </c>
      <c r="N2889" s="37" t="e" cm="1">
        <f t="array" ref="N2889">IF(OR(ISNUMBER(FIND(Aux!$D$3:$D$9,_xlfn.TEXTJOIN(,,C2889:K2889)))),NA(),IF(AND(SUM(C2889:F2889,H2889:K2889)=0,G2889=1),0,INT((SUMPRODUCT(C2889:F2889,COLUMN($A$1:$D$1)-1)+SUMPRODUCT(H2889:K2889,COLUMN($E$1:$H$1)-1))*'Line Follower'!$C$3/SUM(C2889:F2889,H2889:K2889)-'Line Follower'!$C$5)))</f>
        <v>#N/A</v>
      </c>
      <c r="O2889" s="22" t="e">
        <v>#N/A</v>
      </c>
      <c r="P2889" s="4" t="e">
        <f t="shared" si="225"/>
        <v>#N/A</v>
      </c>
      <c r="Q2889" s="4" t="e">
        <f t="shared" si="226"/>
        <v>#N/A</v>
      </c>
      <c r="R2889" s="4" t="e">
        <f>IF(AND(B2889=1,N2889&gt;'Line Follower'!$C$7,SUM(C2889:K2889)&lt;4),1,0)</f>
        <v>#N/A</v>
      </c>
      <c r="S2889" s="4" t="e">
        <f>IF(AND(L2889=1,N2889&lt;'Line Follower'!$C$6,SUM(C2889:K2889)&lt;4),1,0)</f>
        <v>#N/A</v>
      </c>
      <c r="T2889" s="4" t="e">
        <f t="shared" si="227"/>
        <v>#N/A</v>
      </c>
      <c r="U2889" s="5" t="e">
        <f t="shared" si="228"/>
        <v>#N/A</v>
      </c>
      <c r="V2889" s="23" t="e">
        <f t="shared" si="229"/>
        <v>#N/A</v>
      </c>
    </row>
    <row r="2890" spans="2:22" x14ac:dyDescent="0.25">
      <c r="B2890" s="16">
        <v>1</v>
      </c>
      <c r="C2890" s="7">
        <v>1</v>
      </c>
      <c r="D2890" s="8">
        <v>1</v>
      </c>
      <c r="E2890" s="8">
        <v>0</v>
      </c>
      <c r="F2890" s="8">
        <v>0</v>
      </c>
      <c r="G2890" s="8">
        <v>0</v>
      </c>
      <c r="H2890" s="8">
        <v>1</v>
      </c>
      <c r="I2890" s="8">
        <v>0</v>
      </c>
      <c r="J2890" s="8">
        <v>1</v>
      </c>
      <c r="K2890" s="9">
        <v>1</v>
      </c>
      <c r="L2890" s="10">
        <v>0</v>
      </c>
      <c r="M2890" s="6">
        <v>1</v>
      </c>
      <c r="N2890" s="37" t="e" cm="1">
        <f t="array" ref="N2890">IF(OR(ISNUMBER(FIND(Aux!$D$3:$D$9,_xlfn.TEXTJOIN(,,C2890:K2890)))),NA(),IF(AND(SUM(C2890:F2890,H2890:K2890)=0,G2890=1),0,INT((SUMPRODUCT(C2890:F2890,COLUMN($A$1:$D$1)-1)+SUMPRODUCT(H2890:K2890,COLUMN($E$1:$H$1)-1))*'Line Follower'!$C$3/SUM(C2890:F2890,H2890:K2890)-'Line Follower'!$C$5)))</f>
        <v>#N/A</v>
      </c>
      <c r="O2890" s="22" t="e">
        <v>#N/A</v>
      </c>
      <c r="P2890" s="4" t="e">
        <f t="shared" si="225"/>
        <v>#N/A</v>
      </c>
      <c r="Q2890" s="4" t="e">
        <f t="shared" si="226"/>
        <v>#N/A</v>
      </c>
      <c r="R2890" s="4" t="e">
        <f>IF(AND(B2890=1,N2890&gt;'Line Follower'!$C$7,SUM(C2890:K2890)&lt;4),1,0)</f>
        <v>#N/A</v>
      </c>
      <c r="S2890" s="4" t="e">
        <f>IF(AND(L2890=1,N2890&lt;'Line Follower'!$C$6,SUM(C2890:K2890)&lt;4),1,0)</f>
        <v>#N/A</v>
      </c>
      <c r="T2890" s="4" t="e">
        <f t="shared" si="227"/>
        <v>#N/A</v>
      </c>
      <c r="U2890" s="5" t="e">
        <f t="shared" si="228"/>
        <v>#N/A</v>
      </c>
      <c r="V2890" s="23" t="e">
        <f t="shared" si="229"/>
        <v>#N/A</v>
      </c>
    </row>
    <row r="2891" spans="2:22" x14ac:dyDescent="0.25">
      <c r="B2891" s="16">
        <v>0</v>
      </c>
      <c r="C2891" s="7">
        <v>0</v>
      </c>
      <c r="D2891" s="8">
        <v>0</v>
      </c>
      <c r="E2891" s="8">
        <v>1</v>
      </c>
      <c r="F2891" s="8">
        <v>0</v>
      </c>
      <c r="G2891" s="8">
        <v>0</v>
      </c>
      <c r="H2891" s="8">
        <v>1</v>
      </c>
      <c r="I2891" s="8">
        <v>0</v>
      </c>
      <c r="J2891" s="8">
        <v>1</v>
      </c>
      <c r="K2891" s="9">
        <v>1</v>
      </c>
      <c r="L2891" s="10">
        <v>0</v>
      </c>
      <c r="M2891" s="6">
        <v>1</v>
      </c>
      <c r="N2891" s="37" t="e" cm="1">
        <f t="array" ref="N2891">IF(OR(ISNUMBER(FIND(Aux!$D$3:$D$9,_xlfn.TEXTJOIN(,,C2891:K2891)))),NA(),IF(AND(SUM(C2891:F2891,H2891:K2891)=0,G2891=1),0,INT((SUMPRODUCT(C2891:F2891,COLUMN($A$1:$D$1)-1)+SUMPRODUCT(H2891:K2891,COLUMN($E$1:$H$1)-1))*'Line Follower'!$C$3/SUM(C2891:F2891,H2891:K2891)-'Line Follower'!$C$5)))</f>
        <v>#N/A</v>
      </c>
      <c r="O2891" s="22" t="e">
        <v>#N/A</v>
      </c>
      <c r="P2891" s="4" t="e">
        <f t="shared" si="225"/>
        <v>#N/A</v>
      </c>
      <c r="Q2891" s="4" t="e">
        <f t="shared" si="226"/>
        <v>#N/A</v>
      </c>
      <c r="R2891" s="4" t="e">
        <f>IF(AND(B2891=1,N2891&gt;'Line Follower'!$C$7,SUM(C2891:K2891)&lt;4),1,0)</f>
        <v>#N/A</v>
      </c>
      <c r="S2891" s="4" t="e">
        <f>IF(AND(L2891=1,N2891&lt;'Line Follower'!$C$6,SUM(C2891:K2891)&lt;4),1,0)</f>
        <v>#N/A</v>
      </c>
      <c r="T2891" s="4" t="e">
        <f t="shared" si="227"/>
        <v>#N/A</v>
      </c>
      <c r="U2891" s="5" t="e">
        <f t="shared" si="228"/>
        <v>#N/A</v>
      </c>
      <c r="V2891" s="23" t="e">
        <f t="shared" si="229"/>
        <v>#N/A</v>
      </c>
    </row>
    <row r="2892" spans="2:22" x14ac:dyDescent="0.25">
      <c r="B2892" s="16">
        <v>1</v>
      </c>
      <c r="C2892" s="7">
        <v>0</v>
      </c>
      <c r="D2892" s="8">
        <v>0</v>
      </c>
      <c r="E2892" s="8">
        <v>1</v>
      </c>
      <c r="F2892" s="8">
        <v>0</v>
      </c>
      <c r="G2892" s="8">
        <v>0</v>
      </c>
      <c r="H2892" s="8">
        <v>1</v>
      </c>
      <c r="I2892" s="8">
        <v>0</v>
      </c>
      <c r="J2892" s="8">
        <v>1</v>
      </c>
      <c r="K2892" s="9">
        <v>1</v>
      </c>
      <c r="L2892" s="10">
        <v>0</v>
      </c>
      <c r="M2892" s="6">
        <v>1</v>
      </c>
      <c r="N2892" s="37" t="e" cm="1">
        <f t="array" ref="N2892">IF(OR(ISNUMBER(FIND(Aux!$D$3:$D$9,_xlfn.TEXTJOIN(,,C2892:K2892)))),NA(),IF(AND(SUM(C2892:F2892,H2892:K2892)=0,G2892=1),0,INT((SUMPRODUCT(C2892:F2892,COLUMN($A$1:$D$1)-1)+SUMPRODUCT(H2892:K2892,COLUMN($E$1:$H$1)-1))*'Line Follower'!$C$3/SUM(C2892:F2892,H2892:K2892)-'Line Follower'!$C$5)))</f>
        <v>#N/A</v>
      </c>
      <c r="O2892" s="22" t="e">
        <v>#N/A</v>
      </c>
      <c r="P2892" s="4" t="e">
        <f t="shared" si="225"/>
        <v>#N/A</v>
      </c>
      <c r="Q2892" s="4" t="e">
        <f t="shared" si="226"/>
        <v>#N/A</v>
      </c>
      <c r="R2892" s="4" t="e">
        <f>IF(AND(B2892=1,N2892&gt;'Line Follower'!$C$7,SUM(C2892:K2892)&lt;4),1,0)</f>
        <v>#N/A</v>
      </c>
      <c r="S2892" s="4" t="e">
        <f>IF(AND(L2892=1,N2892&lt;'Line Follower'!$C$6,SUM(C2892:K2892)&lt;4),1,0)</f>
        <v>#N/A</v>
      </c>
      <c r="T2892" s="4" t="e">
        <f t="shared" si="227"/>
        <v>#N/A</v>
      </c>
      <c r="U2892" s="5" t="e">
        <f t="shared" si="228"/>
        <v>#N/A</v>
      </c>
      <c r="V2892" s="23" t="e">
        <f t="shared" si="229"/>
        <v>#N/A</v>
      </c>
    </row>
    <row r="2893" spans="2:22" x14ac:dyDescent="0.25">
      <c r="B2893" s="16">
        <v>0</v>
      </c>
      <c r="C2893" s="7">
        <v>1</v>
      </c>
      <c r="D2893" s="8">
        <v>0</v>
      </c>
      <c r="E2893" s="8">
        <v>1</v>
      </c>
      <c r="F2893" s="8">
        <v>0</v>
      </c>
      <c r="G2893" s="8">
        <v>0</v>
      </c>
      <c r="H2893" s="8">
        <v>1</v>
      </c>
      <c r="I2893" s="8">
        <v>0</v>
      </c>
      <c r="J2893" s="8">
        <v>1</v>
      </c>
      <c r="K2893" s="9">
        <v>1</v>
      </c>
      <c r="L2893" s="10">
        <v>0</v>
      </c>
      <c r="M2893" s="6">
        <v>1</v>
      </c>
      <c r="N2893" s="37" t="e" cm="1">
        <f t="array" ref="N2893">IF(OR(ISNUMBER(FIND(Aux!$D$3:$D$9,_xlfn.TEXTJOIN(,,C2893:K2893)))),NA(),IF(AND(SUM(C2893:F2893,H2893:K2893)=0,G2893=1),0,INT((SUMPRODUCT(C2893:F2893,COLUMN($A$1:$D$1)-1)+SUMPRODUCT(H2893:K2893,COLUMN($E$1:$H$1)-1))*'Line Follower'!$C$3/SUM(C2893:F2893,H2893:K2893)-'Line Follower'!$C$5)))</f>
        <v>#N/A</v>
      </c>
      <c r="O2893" s="22" t="e">
        <v>#N/A</v>
      </c>
      <c r="P2893" s="4" t="e">
        <f t="shared" si="225"/>
        <v>#N/A</v>
      </c>
      <c r="Q2893" s="4" t="e">
        <f t="shared" si="226"/>
        <v>#N/A</v>
      </c>
      <c r="R2893" s="4" t="e">
        <f>IF(AND(B2893=1,N2893&gt;'Line Follower'!$C$7,SUM(C2893:K2893)&lt;4),1,0)</f>
        <v>#N/A</v>
      </c>
      <c r="S2893" s="4" t="e">
        <f>IF(AND(L2893=1,N2893&lt;'Line Follower'!$C$6,SUM(C2893:K2893)&lt;4),1,0)</f>
        <v>#N/A</v>
      </c>
      <c r="T2893" s="4" t="e">
        <f t="shared" si="227"/>
        <v>#N/A</v>
      </c>
      <c r="U2893" s="5" t="e">
        <f t="shared" si="228"/>
        <v>#N/A</v>
      </c>
      <c r="V2893" s="23" t="e">
        <f t="shared" si="229"/>
        <v>#N/A</v>
      </c>
    </row>
    <row r="2894" spans="2:22" x14ac:dyDescent="0.25">
      <c r="B2894" s="16">
        <v>1</v>
      </c>
      <c r="C2894" s="7">
        <v>1</v>
      </c>
      <c r="D2894" s="8">
        <v>0</v>
      </c>
      <c r="E2894" s="8">
        <v>1</v>
      </c>
      <c r="F2894" s="8">
        <v>0</v>
      </c>
      <c r="G2894" s="8">
        <v>0</v>
      </c>
      <c r="H2894" s="8">
        <v>1</v>
      </c>
      <c r="I2894" s="8">
        <v>0</v>
      </c>
      <c r="J2894" s="8">
        <v>1</v>
      </c>
      <c r="K2894" s="9">
        <v>1</v>
      </c>
      <c r="L2894" s="10">
        <v>0</v>
      </c>
      <c r="M2894" s="6">
        <v>1</v>
      </c>
      <c r="N2894" s="37" t="e" cm="1">
        <f t="array" ref="N2894">IF(OR(ISNUMBER(FIND(Aux!$D$3:$D$9,_xlfn.TEXTJOIN(,,C2894:K2894)))),NA(),IF(AND(SUM(C2894:F2894,H2894:K2894)=0,G2894=1),0,INT((SUMPRODUCT(C2894:F2894,COLUMN($A$1:$D$1)-1)+SUMPRODUCT(H2894:K2894,COLUMN($E$1:$H$1)-1))*'Line Follower'!$C$3/SUM(C2894:F2894,H2894:K2894)-'Line Follower'!$C$5)))</f>
        <v>#N/A</v>
      </c>
      <c r="O2894" s="22" t="e">
        <v>#N/A</v>
      </c>
      <c r="P2894" s="4" t="e">
        <f t="shared" si="225"/>
        <v>#N/A</v>
      </c>
      <c r="Q2894" s="4" t="e">
        <f t="shared" si="226"/>
        <v>#N/A</v>
      </c>
      <c r="R2894" s="4" t="e">
        <f>IF(AND(B2894=1,N2894&gt;'Line Follower'!$C$7,SUM(C2894:K2894)&lt;4),1,0)</f>
        <v>#N/A</v>
      </c>
      <c r="S2894" s="4" t="e">
        <f>IF(AND(L2894=1,N2894&lt;'Line Follower'!$C$6,SUM(C2894:K2894)&lt;4),1,0)</f>
        <v>#N/A</v>
      </c>
      <c r="T2894" s="4" t="e">
        <f t="shared" si="227"/>
        <v>#N/A</v>
      </c>
      <c r="U2894" s="5" t="e">
        <f t="shared" si="228"/>
        <v>#N/A</v>
      </c>
      <c r="V2894" s="23" t="e">
        <f t="shared" si="229"/>
        <v>#N/A</v>
      </c>
    </row>
    <row r="2895" spans="2:22" x14ac:dyDescent="0.25">
      <c r="B2895" s="16">
        <v>0</v>
      </c>
      <c r="C2895" s="7">
        <v>0</v>
      </c>
      <c r="D2895" s="8">
        <v>1</v>
      </c>
      <c r="E2895" s="8">
        <v>1</v>
      </c>
      <c r="F2895" s="8">
        <v>0</v>
      </c>
      <c r="G2895" s="8">
        <v>0</v>
      </c>
      <c r="H2895" s="8">
        <v>1</v>
      </c>
      <c r="I2895" s="8">
        <v>0</v>
      </c>
      <c r="J2895" s="8">
        <v>1</v>
      </c>
      <c r="K2895" s="9">
        <v>1</v>
      </c>
      <c r="L2895" s="10">
        <v>0</v>
      </c>
      <c r="M2895" s="6">
        <v>1</v>
      </c>
      <c r="N2895" s="37" t="e" cm="1">
        <f t="array" ref="N2895">IF(OR(ISNUMBER(FIND(Aux!$D$3:$D$9,_xlfn.TEXTJOIN(,,C2895:K2895)))),NA(),IF(AND(SUM(C2895:F2895,H2895:K2895)=0,G2895=1),0,INT((SUMPRODUCT(C2895:F2895,COLUMN($A$1:$D$1)-1)+SUMPRODUCT(H2895:K2895,COLUMN($E$1:$H$1)-1))*'Line Follower'!$C$3/SUM(C2895:F2895,H2895:K2895)-'Line Follower'!$C$5)))</f>
        <v>#N/A</v>
      </c>
      <c r="O2895" s="22" t="e">
        <v>#N/A</v>
      </c>
      <c r="P2895" s="4" t="e">
        <f t="shared" si="225"/>
        <v>#N/A</v>
      </c>
      <c r="Q2895" s="4" t="e">
        <f t="shared" si="226"/>
        <v>#N/A</v>
      </c>
      <c r="R2895" s="4" t="e">
        <f>IF(AND(B2895=1,N2895&gt;'Line Follower'!$C$7,SUM(C2895:K2895)&lt;4),1,0)</f>
        <v>#N/A</v>
      </c>
      <c r="S2895" s="4" t="e">
        <f>IF(AND(L2895=1,N2895&lt;'Line Follower'!$C$6,SUM(C2895:K2895)&lt;4),1,0)</f>
        <v>#N/A</v>
      </c>
      <c r="T2895" s="4" t="e">
        <f t="shared" si="227"/>
        <v>#N/A</v>
      </c>
      <c r="U2895" s="5" t="e">
        <f t="shared" si="228"/>
        <v>#N/A</v>
      </c>
      <c r="V2895" s="23" t="e">
        <f t="shared" si="229"/>
        <v>#N/A</v>
      </c>
    </row>
    <row r="2896" spans="2:22" x14ac:dyDescent="0.25">
      <c r="B2896" s="16">
        <v>1</v>
      </c>
      <c r="C2896" s="7">
        <v>0</v>
      </c>
      <c r="D2896" s="8">
        <v>1</v>
      </c>
      <c r="E2896" s="8">
        <v>1</v>
      </c>
      <c r="F2896" s="8">
        <v>0</v>
      </c>
      <c r="G2896" s="8">
        <v>0</v>
      </c>
      <c r="H2896" s="8">
        <v>1</v>
      </c>
      <c r="I2896" s="8">
        <v>0</v>
      </c>
      <c r="J2896" s="8">
        <v>1</v>
      </c>
      <c r="K2896" s="9">
        <v>1</v>
      </c>
      <c r="L2896" s="10">
        <v>0</v>
      </c>
      <c r="M2896" s="6">
        <v>1</v>
      </c>
      <c r="N2896" s="37" t="e" cm="1">
        <f t="array" ref="N2896">IF(OR(ISNUMBER(FIND(Aux!$D$3:$D$9,_xlfn.TEXTJOIN(,,C2896:K2896)))),NA(),IF(AND(SUM(C2896:F2896,H2896:K2896)=0,G2896=1),0,INT((SUMPRODUCT(C2896:F2896,COLUMN($A$1:$D$1)-1)+SUMPRODUCT(H2896:K2896,COLUMN($E$1:$H$1)-1))*'Line Follower'!$C$3/SUM(C2896:F2896,H2896:K2896)-'Line Follower'!$C$5)))</f>
        <v>#N/A</v>
      </c>
      <c r="O2896" s="22" t="e">
        <v>#N/A</v>
      </c>
      <c r="P2896" s="4" t="e">
        <f t="shared" si="225"/>
        <v>#N/A</v>
      </c>
      <c r="Q2896" s="4" t="e">
        <f t="shared" si="226"/>
        <v>#N/A</v>
      </c>
      <c r="R2896" s="4" t="e">
        <f>IF(AND(B2896=1,N2896&gt;'Line Follower'!$C$7,SUM(C2896:K2896)&lt;4),1,0)</f>
        <v>#N/A</v>
      </c>
      <c r="S2896" s="4" t="e">
        <f>IF(AND(L2896=1,N2896&lt;'Line Follower'!$C$6,SUM(C2896:K2896)&lt;4),1,0)</f>
        <v>#N/A</v>
      </c>
      <c r="T2896" s="4" t="e">
        <f t="shared" si="227"/>
        <v>#N/A</v>
      </c>
      <c r="U2896" s="5" t="e">
        <f t="shared" si="228"/>
        <v>#N/A</v>
      </c>
      <c r="V2896" s="23" t="e">
        <f t="shared" si="229"/>
        <v>#N/A</v>
      </c>
    </row>
    <row r="2897" spans="2:22" x14ac:dyDescent="0.25">
      <c r="B2897" s="16">
        <v>0</v>
      </c>
      <c r="C2897" s="7">
        <v>1</v>
      </c>
      <c r="D2897" s="8">
        <v>1</v>
      </c>
      <c r="E2897" s="8">
        <v>1</v>
      </c>
      <c r="F2897" s="8">
        <v>0</v>
      </c>
      <c r="G2897" s="8">
        <v>0</v>
      </c>
      <c r="H2897" s="8">
        <v>1</v>
      </c>
      <c r="I2897" s="8">
        <v>0</v>
      </c>
      <c r="J2897" s="8">
        <v>1</v>
      </c>
      <c r="K2897" s="9">
        <v>1</v>
      </c>
      <c r="L2897" s="10">
        <v>0</v>
      </c>
      <c r="M2897" s="6">
        <v>1</v>
      </c>
      <c r="N2897" s="37" t="e" cm="1">
        <f t="array" ref="N2897">IF(OR(ISNUMBER(FIND(Aux!$D$3:$D$9,_xlfn.TEXTJOIN(,,C2897:K2897)))),NA(),IF(AND(SUM(C2897:F2897,H2897:K2897)=0,G2897=1),0,INT((SUMPRODUCT(C2897:F2897,COLUMN($A$1:$D$1)-1)+SUMPRODUCT(H2897:K2897,COLUMN($E$1:$H$1)-1))*'Line Follower'!$C$3/SUM(C2897:F2897,H2897:K2897)-'Line Follower'!$C$5)))</f>
        <v>#N/A</v>
      </c>
      <c r="O2897" s="22" t="e">
        <v>#N/A</v>
      </c>
      <c r="P2897" s="4" t="e">
        <f t="shared" si="225"/>
        <v>#N/A</v>
      </c>
      <c r="Q2897" s="4" t="e">
        <f t="shared" si="226"/>
        <v>#N/A</v>
      </c>
      <c r="R2897" s="4" t="e">
        <f>IF(AND(B2897=1,N2897&gt;'Line Follower'!$C$7,SUM(C2897:K2897)&lt;4),1,0)</f>
        <v>#N/A</v>
      </c>
      <c r="S2897" s="4" t="e">
        <f>IF(AND(L2897=1,N2897&lt;'Line Follower'!$C$6,SUM(C2897:K2897)&lt;4),1,0)</f>
        <v>#N/A</v>
      </c>
      <c r="T2897" s="4" t="e">
        <f t="shared" si="227"/>
        <v>#N/A</v>
      </c>
      <c r="U2897" s="5" t="e">
        <f t="shared" si="228"/>
        <v>#N/A</v>
      </c>
      <c r="V2897" s="23" t="e">
        <f t="shared" si="229"/>
        <v>#N/A</v>
      </c>
    </row>
    <row r="2898" spans="2:22" x14ac:dyDescent="0.25">
      <c r="B2898" s="16">
        <v>1</v>
      </c>
      <c r="C2898" s="7">
        <v>1</v>
      </c>
      <c r="D2898" s="8">
        <v>1</v>
      </c>
      <c r="E2898" s="8">
        <v>1</v>
      </c>
      <c r="F2898" s="8">
        <v>0</v>
      </c>
      <c r="G2898" s="8">
        <v>0</v>
      </c>
      <c r="H2898" s="8">
        <v>1</v>
      </c>
      <c r="I2898" s="8">
        <v>0</v>
      </c>
      <c r="J2898" s="8">
        <v>1</v>
      </c>
      <c r="K2898" s="9">
        <v>1</v>
      </c>
      <c r="L2898" s="10">
        <v>0</v>
      </c>
      <c r="M2898" s="6">
        <v>1</v>
      </c>
      <c r="N2898" s="37" t="e" cm="1">
        <f t="array" ref="N2898">IF(OR(ISNUMBER(FIND(Aux!$D$3:$D$9,_xlfn.TEXTJOIN(,,C2898:K2898)))),NA(),IF(AND(SUM(C2898:F2898,H2898:K2898)=0,G2898=1),0,INT((SUMPRODUCT(C2898:F2898,COLUMN($A$1:$D$1)-1)+SUMPRODUCT(H2898:K2898,COLUMN($E$1:$H$1)-1))*'Line Follower'!$C$3/SUM(C2898:F2898,H2898:K2898)-'Line Follower'!$C$5)))</f>
        <v>#N/A</v>
      </c>
      <c r="O2898" s="22" t="e">
        <v>#N/A</v>
      </c>
      <c r="P2898" s="4" t="e">
        <f t="shared" si="225"/>
        <v>#N/A</v>
      </c>
      <c r="Q2898" s="4" t="e">
        <f t="shared" si="226"/>
        <v>#N/A</v>
      </c>
      <c r="R2898" s="4" t="e">
        <f>IF(AND(B2898=1,N2898&gt;'Line Follower'!$C$7,SUM(C2898:K2898)&lt;4),1,0)</f>
        <v>#N/A</v>
      </c>
      <c r="S2898" s="4" t="e">
        <f>IF(AND(L2898=1,N2898&lt;'Line Follower'!$C$6,SUM(C2898:K2898)&lt;4),1,0)</f>
        <v>#N/A</v>
      </c>
      <c r="T2898" s="4" t="e">
        <f t="shared" si="227"/>
        <v>#N/A</v>
      </c>
      <c r="U2898" s="5" t="e">
        <f t="shared" si="228"/>
        <v>#N/A</v>
      </c>
      <c r="V2898" s="23" t="e">
        <f t="shared" si="229"/>
        <v>#N/A</v>
      </c>
    </row>
    <row r="2899" spans="2:22" x14ac:dyDescent="0.25">
      <c r="B2899" s="16">
        <v>0</v>
      </c>
      <c r="C2899" s="7">
        <v>0</v>
      </c>
      <c r="D2899" s="8">
        <v>0</v>
      </c>
      <c r="E2899" s="8">
        <v>0</v>
      </c>
      <c r="F2899" s="8">
        <v>1</v>
      </c>
      <c r="G2899" s="8">
        <v>0</v>
      </c>
      <c r="H2899" s="8">
        <v>1</v>
      </c>
      <c r="I2899" s="8">
        <v>0</v>
      </c>
      <c r="J2899" s="8">
        <v>1</v>
      </c>
      <c r="K2899" s="9">
        <v>1</v>
      </c>
      <c r="L2899" s="10">
        <v>0</v>
      </c>
      <c r="M2899" s="6">
        <v>1</v>
      </c>
      <c r="N2899" s="37" t="e" cm="1">
        <f t="array" ref="N2899">IF(OR(ISNUMBER(FIND(Aux!$D$3:$D$9,_xlfn.TEXTJOIN(,,C2899:K2899)))),NA(),IF(AND(SUM(C2899:F2899,H2899:K2899)=0,G2899=1),0,INT((SUMPRODUCT(C2899:F2899,COLUMN($A$1:$D$1)-1)+SUMPRODUCT(H2899:K2899,COLUMN($E$1:$H$1)-1))*'Line Follower'!$C$3/SUM(C2899:F2899,H2899:K2899)-'Line Follower'!$C$5)))</f>
        <v>#N/A</v>
      </c>
      <c r="O2899" s="22" t="e">
        <v>#N/A</v>
      </c>
      <c r="P2899" s="4" t="e">
        <f t="shared" si="225"/>
        <v>#N/A</v>
      </c>
      <c r="Q2899" s="4" t="e">
        <f t="shared" si="226"/>
        <v>#N/A</v>
      </c>
      <c r="R2899" s="4" t="e">
        <f>IF(AND(B2899=1,N2899&gt;'Line Follower'!$C$7,SUM(C2899:K2899)&lt;4),1,0)</f>
        <v>#N/A</v>
      </c>
      <c r="S2899" s="4" t="e">
        <f>IF(AND(L2899=1,N2899&lt;'Line Follower'!$C$6,SUM(C2899:K2899)&lt;4),1,0)</f>
        <v>#N/A</v>
      </c>
      <c r="T2899" s="4" t="e">
        <f t="shared" si="227"/>
        <v>#N/A</v>
      </c>
      <c r="U2899" s="5" t="e">
        <f t="shared" si="228"/>
        <v>#N/A</v>
      </c>
      <c r="V2899" s="23" t="e">
        <f t="shared" si="229"/>
        <v>#N/A</v>
      </c>
    </row>
    <row r="2900" spans="2:22" x14ac:dyDescent="0.25">
      <c r="B2900" s="16">
        <v>1</v>
      </c>
      <c r="C2900" s="7">
        <v>0</v>
      </c>
      <c r="D2900" s="8">
        <v>0</v>
      </c>
      <c r="E2900" s="8">
        <v>0</v>
      </c>
      <c r="F2900" s="8">
        <v>1</v>
      </c>
      <c r="G2900" s="8">
        <v>0</v>
      </c>
      <c r="H2900" s="8">
        <v>1</v>
      </c>
      <c r="I2900" s="8">
        <v>0</v>
      </c>
      <c r="J2900" s="8">
        <v>1</v>
      </c>
      <c r="K2900" s="9">
        <v>1</v>
      </c>
      <c r="L2900" s="10">
        <v>0</v>
      </c>
      <c r="M2900" s="6">
        <v>1</v>
      </c>
      <c r="N2900" s="37" t="e" cm="1">
        <f t="array" ref="N2900">IF(OR(ISNUMBER(FIND(Aux!$D$3:$D$9,_xlfn.TEXTJOIN(,,C2900:K2900)))),NA(),IF(AND(SUM(C2900:F2900,H2900:K2900)=0,G2900=1),0,INT((SUMPRODUCT(C2900:F2900,COLUMN($A$1:$D$1)-1)+SUMPRODUCT(H2900:K2900,COLUMN($E$1:$H$1)-1))*'Line Follower'!$C$3/SUM(C2900:F2900,H2900:K2900)-'Line Follower'!$C$5)))</f>
        <v>#N/A</v>
      </c>
      <c r="O2900" s="22" t="e">
        <v>#N/A</v>
      </c>
      <c r="P2900" s="4" t="e">
        <f t="shared" si="225"/>
        <v>#N/A</v>
      </c>
      <c r="Q2900" s="4" t="e">
        <f t="shared" si="226"/>
        <v>#N/A</v>
      </c>
      <c r="R2900" s="4" t="e">
        <f>IF(AND(B2900=1,N2900&gt;'Line Follower'!$C$7,SUM(C2900:K2900)&lt;4),1,0)</f>
        <v>#N/A</v>
      </c>
      <c r="S2900" s="4" t="e">
        <f>IF(AND(L2900=1,N2900&lt;'Line Follower'!$C$6,SUM(C2900:K2900)&lt;4),1,0)</f>
        <v>#N/A</v>
      </c>
      <c r="T2900" s="4" t="e">
        <f t="shared" si="227"/>
        <v>#N/A</v>
      </c>
      <c r="U2900" s="5" t="e">
        <f t="shared" si="228"/>
        <v>#N/A</v>
      </c>
      <c r="V2900" s="23" t="e">
        <f t="shared" si="229"/>
        <v>#N/A</v>
      </c>
    </row>
    <row r="2901" spans="2:22" x14ac:dyDescent="0.25">
      <c r="B2901" s="16">
        <v>0</v>
      </c>
      <c r="C2901" s="7">
        <v>1</v>
      </c>
      <c r="D2901" s="8">
        <v>0</v>
      </c>
      <c r="E2901" s="8">
        <v>0</v>
      </c>
      <c r="F2901" s="8">
        <v>1</v>
      </c>
      <c r="G2901" s="8">
        <v>0</v>
      </c>
      <c r="H2901" s="8">
        <v>1</v>
      </c>
      <c r="I2901" s="8">
        <v>0</v>
      </c>
      <c r="J2901" s="8">
        <v>1</v>
      </c>
      <c r="K2901" s="9">
        <v>1</v>
      </c>
      <c r="L2901" s="10">
        <v>0</v>
      </c>
      <c r="M2901" s="6">
        <v>1</v>
      </c>
      <c r="N2901" s="37" t="e" cm="1">
        <f t="array" ref="N2901">IF(OR(ISNUMBER(FIND(Aux!$D$3:$D$9,_xlfn.TEXTJOIN(,,C2901:K2901)))),NA(),IF(AND(SUM(C2901:F2901,H2901:K2901)=0,G2901=1),0,INT((SUMPRODUCT(C2901:F2901,COLUMN($A$1:$D$1)-1)+SUMPRODUCT(H2901:K2901,COLUMN($E$1:$H$1)-1))*'Line Follower'!$C$3/SUM(C2901:F2901,H2901:K2901)-'Line Follower'!$C$5)))</f>
        <v>#N/A</v>
      </c>
      <c r="O2901" s="22" t="e">
        <v>#N/A</v>
      </c>
      <c r="P2901" s="4" t="e">
        <f t="shared" si="225"/>
        <v>#N/A</v>
      </c>
      <c r="Q2901" s="4" t="e">
        <f t="shared" si="226"/>
        <v>#N/A</v>
      </c>
      <c r="R2901" s="4" t="e">
        <f>IF(AND(B2901=1,N2901&gt;'Line Follower'!$C$7,SUM(C2901:K2901)&lt;4),1,0)</f>
        <v>#N/A</v>
      </c>
      <c r="S2901" s="4" t="e">
        <f>IF(AND(L2901=1,N2901&lt;'Line Follower'!$C$6,SUM(C2901:K2901)&lt;4),1,0)</f>
        <v>#N/A</v>
      </c>
      <c r="T2901" s="4" t="e">
        <f t="shared" si="227"/>
        <v>#N/A</v>
      </c>
      <c r="U2901" s="5" t="e">
        <f t="shared" si="228"/>
        <v>#N/A</v>
      </c>
      <c r="V2901" s="23" t="e">
        <f t="shared" si="229"/>
        <v>#N/A</v>
      </c>
    </row>
    <row r="2902" spans="2:22" x14ac:dyDescent="0.25">
      <c r="B2902" s="16">
        <v>1</v>
      </c>
      <c r="C2902" s="7">
        <v>1</v>
      </c>
      <c r="D2902" s="8">
        <v>0</v>
      </c>
      <c r="E2902" s="8">
        <v>0</v>
      </c>
      <c r="F2902" s="8">
        <v>1</v>
      </c>
      <c r="G2902" s="8">
        <v>0</v>
      </c>
      <c r="H2902" s="8">
        <v>1</v>
      </c>
      <c r="I2902" s="8">
        <v>0</v>
      </c>
      <c r="J2902" s="8">
        <v>1</v>
      </c>
      <c r="K2902" s="9">
        <v>1</v>
      </c>
      <c r="L2902" s="10">
        <v>0</v>
      </c>
      <c r="M2902" s="6">
        <v>1</v>
      </c>
      <c r="N2902" s="37" t="e" cm="1">
        <f t="array" ref="N2902">IF(OR(ISNUMBER(FIND(Aux!$D$3:$D$9,_xlfn.TEXTJOIN(,,C2902:K2902)))),NA(),IF(AND(SUM(C2902:F2902,H2902:K2902)=0,G2902=1),0,INT((SUMPRODUCT(C2902:F2902,COLUMN($A$1:$D$1)-1)+SUMPRODUCT(H2902:K2902,COLUMN($E$1:$H$1)-1))*'Line Follower'!$C$3/SUM(C2902:F2902,H2902:K2902)-'Line Follower'!$C$5)))</f>
        <v>#N/A</v>
      </c>
      <c r="O2902" s="22" t="e">
        <v>#N/A</v>
      </c>
      <c r="P2902" s="4" t="e">
        <f t="shared" si="225"/>
        <v>#N/A</v>
      </c>
      <c r="Q2902" s="4" t="e">
        <f t="shared" si="226"/>
        <v>#N/A</v>
      </c>
      <c r="R2902" s="4" t="e">
        <f>IF(AND(B2902=1,N2902&gt;'Line Follower'!$C$7,SUM(C2902:K2902)&lt;4),1,0)</f>
        <v>#N/A</v>
      </c>
      <c r="S2902" s="4" t="e">
        <f>IF(AND(L2902=1,N2902&lt;'Line Follower'!$C$6,SUM(C2902:K2902)&lt;4),1,0)</f>
        <v>#N/A</v>
      </c>
      <c r="T2902" s="4" t="e">
        <f t="shared" si="227"/>
        <v>#N/A</v>
      </c>
      <c r="U2902" s="5" t="e">
        <f t="shared" si="228"/>
        <v>#N/A</v>
      </c>
      <c r="V2902" s="23" t="e">
        <f t="shared" si="229"/>
        <v>#N/A</v>
      </c>
    </row>
    <row r="2903" spans="2:22" x14ac:dyDescent="0.25">
      <c r="B2903" s="16">
        <v>0</v>
      </c>
      <c r="C2903" s="7">
        <v>0</v>
      </c>
      <c r="D2903" s="8">
        <v>1</v>
      </c>
      <c r="E2903" s="8">
        <v>0</v>
      </c>
      <c r="F2903" s="8">
        <v>1</v>
      </c>
      <c r="G2903" s="8">
        <v>0</v>
      </c>
      <c r="H2903" s="8">
        <v>1</v>
      </c>
      <c r="I2903" s="8">
        <v>0</v>
      </c>
      <c r="J2903" s="8">
        <v>1</v>
      </c>
      <c r="K2903" s="9">
        <v>1</v>
      </c>
      <c r="L2903" s="10">
        <v>0</v>
      </c>
      <c r="M2903" s="6">
        <v>1</v>
      </c>
      <c r="N2903" s="37" t="e" cm="1">
        <f t="array" ref="N2903">IF(OR(ISNUMBER(FIND(Aux!$D$3:$D$9,_xlfn.TEXTJOIN(,,C2903:K2903)))),NA(),IF(AND(SUM(C2903:F2903,H2903:K2903)=0,G2903=1),0,INT((SUMPRODUCT(C2903:F2903,COLUMN($A$1:$D$1)-1)+SUMPRODUCT(H2903:K2903,COLUMN($E$1:$H$1)-1))*'Line Follower'!$C$3/SUM(C2903:F2903,H2903:K2903)-'Line Follower'!$C$5)))</f>
        <v>#N/A</v>
      </c>
      <c r="O2903" s="22" t="e">
        <v>#N/A</v>
      </c>
      <c r="P2903" s="4" t="e">
        <f t="shared" si="225"/>
        <v>#N/A</v>
      </c>
      <c r="Q2903" s="4" t="e">
        <f t="shared" si="226"/>
        <v>#N/A</v>
      </c>
      <c r="R2903" s="4" t="e">
        <f>IF(AND(B2903=1,N2903&gt;'Line Follower'!$C$7,SUM(C2903:K2903)&lt;4),1,0)</f>
        <v>#N/A</v>
      </c>
      <c r="S2903" s="4" t="e">
        <f>IF(AND(L2903=1,N2903&lt;'Line Follower'!$C$6,SUM(C2903:K2903)&lt;4),1,0)</f>
        <v>#N/A</v>
      </c>
      <c r="T2903" s="4" t="e">
        <f t="shared" si="227"/>
        <v>#N/A</v>
      </c>
      <c r="U2903" s="5" t="e">
        <f t="shared" si="228"/>
        <v>#N/A</v>
      </c>
      <c r="V2903" s="23" t="e">
        <f t="shared" si="229"/>
        <v>#N/A</v>
      </c>
    </row>
    <row r="2904" spans="2:22" x14ac:dyDescent="0.25">
      <c r="B2904" s="16">
        <v>1</v>
      </c>
      <c r="C2904" s="7">
        <v>0</v>
      </c>
      <c r="D2904" s="8">
        <v>1</v>
      </c>
      <c r="E2904" s="8">
        <v>0</v>
      </c>
      <c r="F2904" s="8">
        <v>1</v>
      </c>
      <c r="G2904" s="8">
        <v>0</v>
      </c>
      <c r="H2904" s="8">
        <v>1</v>
      </c>
      <c r="I2904" s="8">
        <v>0</v>
      </c>
      <c r="J2904" s="8">
        <v>1</v>
      </c>
      <c r="K2904" s="9">
        <v>1</v>
      </c>
      <c r="L2904" s="10">
        <v>0</v>
      </c>
      <c r="M2904" s="6">
        <v>1</v>
      </c>
      <c r="N2904" s="37" t="e" cm="1">
        <f t="array" ref="N2904">IF(OR(ISNUMBER(FIND(Aux!$D$3:$D$9,_xlfn.TEXTJOIN(,,C2904:K2904)))),NA(),IF(AND(SUM(C2904:F2904,H2904:K2904)=0,G2904=1),0,INT((SUMPRODUCT(C2904:F2904,COLUMN($A$1:$D$1)-1)+SUMPRODUCT(H2904:K2904,COLUMN($E$1:$H$1)-1))*'Line Follower'!$C$3/SUM(C2904:F2904,H2904:K2904)-'Line Follower'!$C$5)))</f>
        <v>#N/A</v>
      </c>
      <c r="O2904" s="22" t="e">
        <v>#N/A</v>
      </c>
      <c r="P2904" s="4" t="e">
        <f t="shared" si="225"/>
        <v>#N/A</v>
      </c>
      <c r="Q2904" s="4" t="e">
        <f t="shared" si="226"/>
        <v>#N/A</v>
      </c>
      <c r="R2904" s="4" t="e">
        <f>IF(AND(B2904=1,N2904&gt;'Line Follower'!$C$7,SUM(C2904:K2904)&lt;4),1,0)</f>
        <v>#N/A</v>
      </c>
      <c r="S2904" s="4" t="e">
        <f>IF(AND(L2904=1,N2904&lt;'Line Follower'!$C$6,SUM(C2904:K2904)&lt;4),1,0)</f>
        <v>#N/A</v>
      </c>
      <c r="T2904" s="4" t="e">
        <f t="shared" si="227"/>
        <v>#N/A</v>
      </c>
      <c r="U2904" s="5" t="e">
        <f t="shared" si="228"/>
        <v>#N/A</v>
      </c>
      <c r="V2904" s="23" t="e">
        <f t="shared" si="229"/>
        <v>#N/A</v>
      </c>
    </row>
    <row r="2905" spans="2:22" x14ac:dyDescent="0.25">
      <c r="B2905" s="16">
        <v>0</v>
      </c>
      <c r="C2905" s="7">
        <v>1</v>
      </c>
      <c r="D2905" s="8">
        <v>1</v>
      </c>
      <c r="E2905" s="8">
        <v>0</v>
      </c>
      <c r="F2905" s="8">
        <v>1</v>
      </c>
      <c r="G2905" s="8">
        <v>0</v>
      </c>
      <c r="H2905" s="8">
        <v>1</v>
      </c>
      <c r="I2905" s="8">
        <v>0</v>
      </c>
      <c r="J2905" s="8">
        <v>1</v>
      </c>
      <c r="K2905" s="9">
        <v>1</v>
      </c>
      <c r="L2905" s="10">
        <v>0</v>
      </c>
      <c r="M2905" s="6">
        <v>1</v>
      </c>
      <c r="N2905" s="37" t="e" cm="1">
        <f t="array" ref="N2905">IF(OR(ISNUMBER(FIND(Aux!$D$3:$D$9,_xlfn.TEXTJOIN(,,C2905:K2905)))),NA(),IF(AND(SUM(C2905:F2905,H2905:K2905)=0,G2905=1),0,INT((SUMPRODUCT(C2905:F2905,COLUMN($A$1:$D$1)-1)+SUMPRODUCT(H2905:K2905,COLUMN($E$1:$H$1)-1))*'Line Follower'!$C$3/SUM(C2905:F2905,H2905:K2905)-'Line Follower'!$C$5)))</f>
        <v>#N/A</v>
      </c>
      <c r="O2905" s="22" t="e">
        <v>#N/A</v>
      </c>
      <c r="P2905" s="4" t="e">
        <f t="shared" si="225"/>
        <v>#N/A</v>
      </c>
      <c r="Q2905" s="4" t="e">
        <f t="shared" si="226"/>
        <v>#N/A</v>
      </c>
      <c r="R2905" s="4" t="e">
        <f>IF(AND(B2905=1,N2905&gt;'Line Follower'!$C$7,SUM(C2905:K2905)&lt;4),1,0)</f>
        <v>#N/A</v>
      </c>
      <c r="S2905" s="4" t="e">
        <f>IF(AND(L2905=1,N2905&lt;'Line Follower'!$C$6,SUM(C2905:K2905)&lt;4),1,0)</f>
        <v>#N/A</v>
      </c>
      <c r="T2905" s="4" t="e">
        <f t="shared" si="227"/>
        <v>#N/A</v>
      </c>
      <c r="U2905" s="5" t="e">
        <f t="shared" si="228"/>
        <v>#N/A</v>
      </c>
      <c r="V2905" s="23" t="e">
        <f t="shared" si="229"/>
        <v>#N/A</v>
      </c>
    </row>
    <row r="2906" spans="2:22" x14ac:dyDescent="0.25">
      <c r="B2906" s="16">
        <v>1</v>
      </c>
      <c r="C2906" s="7">
        <v>1</v>
      </c>
      <c r="D2906" s="8">
        <v>1</v>
      </c>
      <c r="E2906" s="8">
        <v>0</v>
      </c>
      <c r="F2906" s="8">
        <v>1</v>
      </c>
      <c r="G2906" s="8">
        <v>0</v>
      </c>
      <c r="H2906" s="8">
        <v>1</v>
      </c>
      <c r="I2906" s="8">
        <v>0</v>
      </c>
      <c r="J2906" s="8">
        <v>1</v>
      </c>
      <c r="K2906" s="9">
        <v>1</v>
      </c>
      <c r="L2906" s="10">
        <v>0</v>
      </c>
      <c r="M2906" s="6">
        <v>1</v>
      </c>
      <c r="N2906" s="37" t="e" cm="1">
        <f t="array" ref="N2906">IF(OR(ISNUMBER(FIND(Aux!$D$3:$D$9,_xlfn.TEXTJOIN(,,C2906:K2906)))),NA(),IF(AND(SUM(C2906:F2906,H2906:K2906)=0,G2906=1),0,INT((SUMPRODUCT(C2906:F2906,COLUMN($A$1:$D$1)-1)+SUMPRODUCT(H2906:K2906,COLUMN($E$1:$H$1)-1))*'Line Follower'!$C$3/SUM(C2906:F2906,H2906:K2906)-'Line Follower'!$C$5)))</f>
        <v>#N/A</v>
      </c>
      <c r="O2906" s="22" t="e">
        <v>#N/A</v>
      </c>
      <c r="P2906" s="4" t="e">
        <f t="shared" si="225"/>
        <v>#N/A</v>
      </c>
      <c r="Q2906" s="4" t="e">
        <f t="shared" si="226"/>
        <v>#N/A</v>
      </c>
      <c r="R2906" s="4" t="e">
        <f>IF(AND(B2906=1,N2906&gt;'Line Follower'!$C$7,SUM(C2906:K2906)&lt;4),1,0)</f>
        <v>#N/A</v>
      </c>
      <c r="S2906" s="4" t="e">
        <f>IF(AND(L2906=1,N2906&lt;'Line Follower'!$C$6,SUM(C2906:K2906)&lt;4),1,0)</f>
        <v>#N/A</v>
      </c>
      <c r="T2906" s="4" t="e">
        <f t="shared" si="227"/>
        <v>#N/A</v>
      </c>
      <c r="U2906" s="5" t="e">
        <f t="shared" si="228"/>
        <v>#N/A</v>
      </c>
      <c r="V2906" s="23" t="e">
        <f t="shared" si="229"/>
        <v>#N/A</v>
      </c>
    </row>
    <row r="2907" spans="2:22" x14ac:dyDescent="0.25">
      <c r="B2907" s="16">
        <v>0</v>
      </c>
      <c r="C2907" s="7">
        <v>0</v>
      </c>
      <c r="D2907" s="8">
        <v>0</v>
      </c>
      <c r="E2907" s="8">
        <v>1</v>
      </c>
      <c r="F2907" s="8">
        <v>1</v>
      </c>
      <c r="G2907" s="8">
        <v>0</v>
      </c>
      <c r="H2907" s="8">
        <v>1</v>
      </c>
      <c r="I2907" s="8">
        <v>0</v>
      </c>
      <c r="J2907" s="8">
        <v>1</v>
      </c>
      <c r="K2907" s="9">
        <v>1</v>
      </c>
      <c r="L2907" s="10">
        <v>0</v>
      </c>
      <c r="M2907" s="6">
        <v>1</v>
      </c>
      <c r="N2907" s="37" t="e" cm="1">
        <f t="array" ref="N2907">IF(OR(ISNUMBER(FIND(Aux!$D$3:$D$9,_xlfn.TEXTJOIN(,,C2907:K2907)))),NA(),IF(AND(SUM(C2907:F2907,H2907:K2907)=0,G2907=1),0,INT((SUMPRODUCT(C2907:F2907,COLUMN($A$1:$D$1)-1)+SUMPRODUCT(H2907:K2907,COLUMN($E$1:$H$1)-1))*'Line Follower'!$C$3/SUM(C2907:F2907,H2907:K2907)-'Line Follower'!$C$5)))</f>
        <v>#N/A</v>
      </c>
      <c r="O2907" s="22" t="e">
        <v>#N/A</v>
      </c>
      <c r="P2907" s="4" t="e">
        <f t="shared" si="225"/>
        <v>#N/A</v>
      </c>
      <c r="Q2907" s="4" t="e">
        <f t="shared" si="226"/>
        <v>#N/A</v>
      </c>
      <c r="R2907" s="4" t="e">
        <f>IF(AND(B2907=1,N2907&gt;'Line Follower'!$C$7,SUM(C2907:K2907)&lt;4),1,0)</f>
        <v>#N/A</v>
      </c>
      <c r="S2907" s="4" t="e">
        <f>IF(AND(L2907=1,N2907&lt;'Line Follower'!$C$6,SUM(C2907:K2907)&lt;4),1,0)</f>
        <v>#N/A</v>
      </c>
      <c r="T2907" s="4" t="e">
        <f t="shared" si="227"/>
        <v>#N/A</v>
      </c>
      <c r="U2907" s="5" t="e">
        <f t="shared" si="228"/>
        <v>#N/A</v>
      </c>
      <c r="V2907" s="23" t="e">
        <f t="shared" si="229"/>
        <v>#N/A</v>
      </c>
    </row>
    <row r="2908" spans="2:22" x14ac:dyDescent="0.25">
      <c r="B2908" s="16">
        <v>1</v>
      </c>
      <c r="C2908" s="7">
        <v>0</v>
      </c>
      <c r="D2908" s="8">
        <v>0</v>
      </c>
      <c r="E2908" s="8">
        <v>1</v>
      </c>
      <c r="F2908" s="8">
        <v>1</v>
      </c>
      <c r="G2908" s="8">
        <v>0</v>
      </c>
      <c r="H2908" s="8">
        <v>1</v>
      </c>
      <c r="I2908" s="8">
        <v>0</v>
      </c>
      <c r="J2908" s="8">
        <v>1</v>
      </c>
      <c r="K2908" s="9">
        <v>1</v>
      </c>
      <c r="L2908" s="10">
        <v>0</v>
      </c>
      <c r="M2908" s="6">
        <v>1</v>
      </c>
      <c r="N2908" s="37" t="e" cm="1">
        <f t="array" ref="N2908">IF(OR(ISNUMBER(FIND(Aux!$D$3:$D$9,_xlfn.TEXTJOIN(,,C2908:K2908)))),NA(),IF(AND(SUM(C2908:F2908,H2908:K2908)=0,G2908=1),0,INT((SUMPRODUCT(C2908:F2908,COLUMN($A$1:$D$1)-1)+SUMPRODUCT(H2908:K2908,COLUMN($E$1:$H$1)-1))*'Line Follower'!$C$3/SUM(C2908:F2908,H2908:K2908)-'Line Follower'!$C$5)))</f>
        <v>#N/A</v>
      </c>
      <c r="O2908" s="22" t="e">
        <v>#N/A</v>
      </c>
      <c r="P2908" s="4" t="e">
        <f t="shared" si="225"/>
        <v>#N/A</v>
      </c>
      <c r="Q2908" s="4" t="e">
        <f t="shared" si="226"/>
        <v>#N/A</v>
      </c>
      <c r="R2908" s="4" t="e">
        <f>IF(AND(B2908=1,N2908&gt;'Line Follower'!$C$7,SUM(C2908:K2908)&lt;4),1,0)</f>
        <v>#N/A</v>
      </c>
      <c r="S2908" s="4" t="e">
        <f>IF(AND(L2908=1,N2908&lt;'Line Follower'!$C$6,SUM(C2908:K2908)&lt;4),1,0)</f>
        <v>#N/A</v>
      </c>
      <c r="T2908" s="4" t="e">
        <f t="shared" si="227"/>
        <v>#N/A</v>
      </c>
      <c r="U2908" s="5" t="e">
        <f t="shared" si="228"/>
        <v>#N/A</v>
      </c>
      <c r="V2908" s="23" t="e">
        <f t="shared" si="229"/>
        <v>#N/A</v>
      </c>
    </row>
    <row r="2909" spans="2:22" x14ac:dyDescent="0.25">
      <c r="B2909" s="16">
        <v>0</v>
      </c>
      <c r="C2909" s="7">
        <v>1</v>
      </c>
      <c r="D2909" s="8">
        <v>0</v>
      </c>
      <c r="E2909" s="8">
        <v>1</v>
      </c>
      <c r="F2909" s="8">
        <v>1</v>
      </c>
      <c r="G2909" s="8">
        <v>0</v>
      </c>
      <c r="H2909" s="8">
        <v>1</v>
      </c>
      <c r="I2909" s="8">
        <v>0</v>
      </c>
      <c r="J2909" s="8">
        <v>1</v>
      </c>
      <c r="K2909" s="9">
        <v>1</v>
      </c>
      <c r="L2909" s="10">
        <v>0</v>
      </c>
      <c r="M2909" s="6">
        <v>1</v>
      </c>
      <c r="N2909" s="37" t="e" cm="1">
        <f t="array" ref="N2909">IF(OR(ISNUMBER(FIND(Aux!$D$3:$D$9,_xlfn.TEXTJOIN(,,C2909:K2909)))),NA(),IF(AND(SUM(C2909:F2909,H2909:K2909)=0,G2909=1),0,INT((SUMPRODUCT(C2909:F2909,COLUMN($A$1:$D$1)-1)+SUMPRODUCT(H2909:K2909,COLUMN($E$1:$H$1)-1))*'Line Follower'!$C$3/SUM(C2909:F2909,H2909:K2909)-'Line Follower'!$C$5)))</f>
        <v>#N/A</v>
      </c>
      <c r="O2909" s="22" t="e">
        <v>#N/A</v>
      </c>
      <c r="P2909" s="4" t="e">
        <f t="shared" si="225"/>
        <v>#N/A</v>
      </c>
      <c r="Q2909" s="4" t="e">
        <f t="shared" si="226"/>
        <v>#N/A</v>
      </c>
      <c r="R2909" s="4" t="e">
        <f>IF(AND(B2909=1,N2909&gt;'Line Follower'!$C$7,SUM(C2909:K2909)&lt;4),1,0)</f>
        <v>#N/A</v>
      </c>
      <c r="S2909" s="4" t="e">
        <f>IF(AND(L2909=1,N2909&lt;'Line Follower'!$C$6,SUM(C2909:K2909)&lt;4),1,0)</f>
        <v>#N/A</v>
      </c>
      <c r="T2909" s="4" t="e">
        <f t="shared" si="227"/>
        <v>#N/A</v>
      </c>
      <c r="U2909" s="5" t="e">
        <f t="shared" si="228"/>
        <v>#N/A</v>
      </c>
      <c r="V2909" s="23" t="e">
        <f t="shared" si="229"/>
        <v>#N/A</v>
      </c>
    </row>
    <row r="2910" spans="2:22" x14ac:dyDescent="0.25">
      <c r="B2910" s="16">
        <v>1</v>
      </c>
      <c r="C2910" s="7">
        <v>1</v>
      </c>
      <c r="D2910" s="8">
        <v>0</v>
      </c>
      <c r="E2910" s="8">
        <v>1</v>
      </c>
      <c r="F2910" s="8">
        <v>1</v>
      </c>
      <c r="G2910" s="8">
        <v>0</v>
      </c>
      <c r="H2910" s="8">
        <v>1</v>
      </c>
      <c r="I2910" s="8">
        <v>0</v>
      </c>
      <c r="J2910" s="8">
        <v>1</v>
      </c>
      <c r="K2910" s="9">
        <v>1</v>
      </c>
      <c r="L2910" s="10">
        <v>0</v>
      </c>
      <c r="M2910" s="6">
        <v>1</v>
      </c>
      <c r="N2910" s="37" t="e" cm="1">
        <f t="array" ref="N2910">IF(OR(ISNUMBER(FIND(Aux!$D$3:$D$9,_xlfn.TEXTJOIN(,,C2910:K2910)))),NA(),IF(AND(SUM(C2910:F2910,H2910:K2910)=0,G2910=1),0,INT((SUMPRODUCT(C2910:F2910,COLUMN($A$1:$D$1)-1)+SUMPRODUCT(H2910:K2910,COLUMN($E$1:$H$1)-1))*'Line Follower'!$C$3/SUM(C2910:F2910,H2910:K2910)-'Line Follower'!$C$5)))</f>
        <v>#N/A</v>
      </c>
      <c r="O2910" s="22" t="e">
        <v>#N/A</v>
      </c>
      <c r="P2910" s="4" t="e">
        <f t="shared" si="225"/>
        <v>#N/A</v>
      </c>
      <c r="Q2910" s="4" t="e">
        <f t="shared" si="226"/>
        <v>#N/A</v>
      </c>
      <c r="R2910" s="4" t="e">
        <f>IF(AND(B2910=1,N2910&gt;'Line Follower'!$C$7,SUM(C2910:K2910)&lt;4),1,0)</f>
        <v>#N/A</v>
      </c>
      <c r="S2910" s="4" t="e">
        <f>IF(AND(L2910=1,N2910&lt;'Line Follower'!$C$6,SUM(C2910:K2910)&lt;4),1,0)</f>
        <v>#N/A</v>
      </c>
      <c r="T2910" s="4" t="e">
        <f t="shared" si="227"/>
        <v>#N/A</v>
      </c>
      <c r="U2910" s="5" t="e">
        <f t="shared" si="228"/>
        <v>#N/A</v>
      </c>
      <c r="V2910" s="23" t="e">
        <f t="shared" si="229"/>
        <v>#N/A</v>
      </c>
    </row>
    <row r="2911" spans="2:22" x14ac:dyDescent="0.25">
      <c r="B2911" s="16">
        <v>0</v>
      </c>
      <c r="C2911" s="7">
        <v>0</v>
      </c>
      <c r="D2911" s="8">
        <v>1</v>
      </c>
      <c r="E2911" s="8">
        <v>1</v>
      </c>
      <c r="F2911" s="8">
        <v>1</v>
      </c>
      <c r="G2911" s="8">
        <v>0</v>
      </c>
      <c r="H2911" s="8">
        <v>1</v>
      </c>
      <c r="I2911" s="8">
        <v>0</v>
      </c>
      <c r="J2911" s="8">
        <v>1</v>
      </c>
      <c r="K2911" s="9">
        <v>1</v>
      </c>
      <c r="L2911" s="10">
        <v>0</v>
      </c>
      <c r="M2911" s="6">
        <v>1</v>
      </c>
      <c r="N2911" s="37" t="e" cm="1">
        <f t="array" ref="N2911">IF(OR(ISNUMBER(FIND(Aux!$D$3:$D$9,_xlfn.TEXTJOIN(,,C2911:K2911)))),NA(),IF(AND(SUM(C2911:F2911,H2911:K2911)=0,G2911=1),0,INT((SUMPRODUCT(C2911:F2911,COLUMN($A$1:$D$1)-1)+SUMPRODUCT(H2911:K2911,COLUMN($E$1:$H$1)-1))*'Line Follower'!$C$3/SUM(C2911:F2911,H2911:K2911)-'Line Follower'!$C$5)))</f>
        <v>#N/A</v>
      </c>
      <c r="O2911" s="22" t="e">
        <v>#N/A</v>
      </c>
      <c r="P2911" s="4" t="e">
        <f t="shared" si="225"/>
        <v>#N/A</v>
      </c>
      <c r="Q2911" s="4" t="e">
        <f t="shared" si="226"/>
        <v>#N/A</v>
      </c>
      <c r="R2911" s="4" t="e">
        <f>IF(AND(B2911=1,N2911&gt;'Line Follower'!$C$7,SUM(C2911:K2911)&lt;4),1,0)</f>
        <v>#N/A</v>
      </c>
      <c r="S2911" s="4" t="e">
        <f>IF(AND(L2911=1,N2911&lt;'Line Follower'!$C$6,SUM(C2911:K2911)&lt;4),1,0)</f>
        <v>#N/A</v>
      </c>
      <c r="T2911" s="4" t="e">
        <f t="shared" si="227"/>
        <v>#N/A</v>
      </c>
      <c r="U2911" s="5" t="e">
        <f t="shared" si="228"/>
        <v>#N/A</v>
      </c>
      <c r="V2911" s="23" t="e">
        <f t="shared" si="229"/>
        <v>#N/A</v>
      </c>
    </row>
    <row r="2912" spans="2:22" x14ac:dyDescent="0.25">
      <c r="B2912" s="16">
        <v>1</v>
      </c>
      <c r="C2912" s="7">
        <v>0</v>
      </c>
      <c r="D2912" s="8">
        <v>1</v>
      </c>
      <c r="E2912" s="8">
        <v>1</v>
      </c>
      <c r="F2912" s="8">
        <v>1</v>
      </c>
      <c r="G2912" s="8">
        <v>0</v>
      </c>
      <c r="H2912" s="8">
        <v>1</v>
      </c>
      <c r="I2912" s="8">
        <v>0</v>
      </c>
      <c r="J2912" s="8">
        <v>1</v>
      </c>
      <c r="K2912" s="9">
        <v>1</v>
      </c>
      <c r="L2912" s="10">
        <v>0</v>
      </c>
      <c r="M2912" s="6">
        <v>1</v>
      </c>
      <c r="N2912" s="37" t="e" cm="1">
        <f t="array" ref="N2912">IF(OR(ISNUMBER(FIND(Aux!$D$3:$D$9,_xlfn.TEXTJOIN(,,C2912:K2912)))),NA(),IF(AND(SUM(C2912:F2912,H2912:K2912)=0,G2912=1),0,INT((SUMPRODUCT(C2912:F2912,COLUMN($A$1:$D$1)-1)+SUMPRODUCT(H2912:K2912,COLUMN($E$1:$H$1)-1))*'Line Follower'!$C$3/SUM(C2912:F2912,H2912:K2912)-'Line Follower'!$C$5)))</f>
        <v>#N/A</v>
      </c>
      <c r="O2912" s="22" t="e">
        <v>#N/A</v>
      </c>
      <c r="P2912" s="4" t="e">
        <f t="shared" si="225"/>
        <v>#N/A</v>
      </c>
      <c r="Q2912" s="4" t="e">
        <f t="shared" si="226"/>
        <v>#N/A</v>
      </c>
      <c r="R2912" s="4" t="e">
        <f>IF(AND(B2912=1,N2912&gt;'Line Follower'!$C$7,SUM(C2912:K2912)&lt;4),1,0)</f>
        <v>#N/A</v>
      </c>
      <c r="S2912" s="4" t="e">
        <f>IF(AND(L2912=1,N2912&lt;'Line Follower'!$C$6,SUM(C2912:K2912)&lt;4),1,0)</f>
        <v>#N/A</v>
      </c>
      <c r="T2912" s="4" t="e">
        <f t="shared" si="227"/>
        <v>#N/A</v>
      </c>
      <c r="U2912" s="5" t="e">
        <f t="shared" si="228"/>
        <v>#N/A</v>
      </c>
      <c r="V2912" s="23" t="e">
        <f t="shared" si="229"/>
        <v>#N/A</v>
      </c>
    </row>
    <row r="2913" spans="2:22" x14ac:dyDescent="0.25">
      <c r="B2913" s="16">
        <v>0</v>
      </c>
      <c r="C2913" s="7">
        <v>1</v>
      </c>
      <c r="D2913" s="8">
        <v>1</v>
      </c>
      <c r="E2913" s="8">
        <v>1</v>
      </c>
      <c r="F2913" s="8">
        <v>1</v>
      </c>
      <c r="G2913" s="8">
        <v>0</v>
      </c>
      <c r="H2913" s="8">
        <v>1</v>
      </c>
      <c r="I2913" s="8">
        <v>0</v>
      </c>
      <c r="J2913" s="8">
        <v>1</v>
      </c>
      <c r="K2913" s="9">
        <v>1</v>
      </c>
      <c r="L2913" s="10">
        <v>0</v>
      </c>
      <c r="M2913" s="6">
        <v>1</v>
      </c>
      <c r="N2913" s="37" t="e" cm="1">
        <f t="array" ref="N2913">IF(OR(ISNUMBER(FIND(Aux!$D$3:$D$9,_xlfn.TEXTJOIN(,,C2913:K2913)))),NA(),IF(AND(SUM(C2913:F2913,H2913:K2913)=0,G2913=1),0,INT((SUMPRODUCT(C2913:F2913,COLUMN($A$1:$D$1)-1)+SUMPRODUCT(H2913:K2913,COLUMN($E$1:$H$1)-1))*'Line Follower'!$C$3/SUM(C2913:F2913,H2913:K2913)-'Line Follower'!$C$5)))</f>
        <v>#N/A</v>
      </c>
      <c r="O2913" s="22" t="e">
        <v>#N/A</v>
      </c>
      <c r="P2913" s="4" t="e">
        <f t="shared" si="225"/>
        <v>#N/A</v>
      </c>
      <c r="Q2913" s="4" t="e">
        <f t="shared" si="226"/>
        <v>#N/A</v>
      </c>
      <c r="R2913" s="4" t="e">
        <f>IF(AND(B2913=1,N2913&gt;'Line Follower'!$C$7,SUM(C2913:K2913)&lt;4),1,0)</f>
        <v>#N/A</v>
      </c>
      <c r="S2913" s="4" t="e">
        <f>IF(AND(L2913=1,N2913&lt;'Line Follower'!$C$6,SUM(C2913:K2913)&lt;4),1,0)</f>
        <v>#N/A</v>
      </c>
      <c r="T2913" s="4" t="e">
        <f t="shared" si="227"/>
        <v>#N/A</v>
      </c>
      <c r="U2913" s="5" t="e">
        <f t="shared" si="228"/>
        <v>#N/A</v>
      </c>
      <c r="V2913" s="23" t="e">
        <f t="shared" si="229"/>
        <v>#N/A</v>
      </c>
    </row>
    <row r="2914" spans="2:22" x14ac:dyDescent="0.25">
      <c r="B2914" s="16">
        <v>1</v>
      </c>
      <c r="C2914" s="7">
        <v>1</v>
      </c>
      <c r="D2914" s="8">
        <v>1</v>
      </c>
      <c r="E2914" s="8">
        <v>1</v>
      </c>
      <c r="F2914" s="8">
        <v>1</v>
      </c>
      <c r="G2914" s="8">
        <v>0</v>
      </c>
      <c r="H2914" s="8">
        <v>1</v>
      </c>
      <c r="I2914" s="8">
        <v>0</v>
      </c>
      <c r="J2914" s="8">
        <v>1</v>
      </c>
      <c r="K2914" s="9">
        <v>1</v>
      </c>
      <c r="L2914" s="10">
        <v>0</v>
      </c>
      <c r="M2914" s="6">
        <v>1</v>
      </c>
      <c r="N2914" s="37" t="e" cm="1">
        <f t="array" ref="N2914">IF(OR(ISNUMBER(FIND(Aux!$D$3:$D$9,_xlfn.TEXTJOIN(,,C2914:K2914)))),NA(),IF(AND(SUM(C2914:F2914,H2914:K2914)=0,G2914=1),0,INT((SUMPRODUCT(C2914:F2914,COLUMN($A$1:$D$1)-1)+SUMPRODUCT(H2914:K2914,COLUMN($E$1:$H$1)-1))*'Line Follower'!$C$3/SUM(C2914:F2914,H2914:K2914)-'Line Follower'!$C$5)))</f>
        <v>#N/A</v>
      </c>
      <c r="O2914" s="22" t="e">
        <v>#N/A</v>
      </c>
      <c r="P2914" s="4" t="e">
        <f t="shared" si="225"/>
        <v>#N/A</v>
      </c>
      <c r="Q2914" s="4" t="e">
        <f t="shared" si="226"/>
        <v>#N/A</v>
      </c>
      <c r="R2914" s="4" t="e">
        <f>IF(AND(B2914=1,N2914&gt;'Line Follower'!$C$7,SUM(C2914:K2914)&lt;4),1,0)</f>
        <v>#N/A</v>
      </c>
      <c r="S2914" s="4" t="e">
        <f>IF(AND(L2914=1,N2914&lt;'Line Follower'!$C$6,SUM(C2914:K2914)&lt;4),1,0)</f>
        <v>#N/A</v>
      </c>
      <c r="T2914" s="4" t="e">
        <f t="shared" si="227"/>
        <v>#N/A</v>
      </c>
      <c r="U2914" s="5" t="e">
        <f t="shared" si="228"/>
        <v>#N/A</v>
      </c>
      <c r="V2914" s="23" t="e">
        <f t="shared" si="229"/>
        <v>#N/A</v>
      </c>
    </row>
    <row r="2915" spans="2:22" x14ac:dyDescent="0.25">
      <c r="B2915" s="16">
        <v>0</v>
      </c>
      <c r="C2915" s="7">
        <v>0</v>
      </c>
      <c r="D2915" s="8">
        <v>0</v>
      </c>
      <c r="E2915" s="8">
        <v>0</v>
      </c>
      <c r="F2915" s="8">
        <v>0</v>
      </c>
      <c r="G2915" s="8">
        <v>1</v>
      </c>
      <c r="H2915" s="8">
        <v>1</v>
      </c>
      <c r="I2915" s="8">
        <v>0</v>
      </c>
      <c r="J2915" s="8">
        <v>1</v>
      </c>
      <c r="K2915" s="9">
        <v>1</v>
      </c>
      <c r="L2915" s="10">
        <v>0</v>
      </c>
      <c r="M2915" s="6">
        <v>1</v>
      </c>
      <c r="N2915" s="37" t="e" cm="1">
        <f t="array" ref="N2915">IF(OR(ISNUMBER(FIND(Aux!$D$3:$D$9,_xlfn.TEXTJOIN(,,C2915:K2915)))),NA(),IF(AND(SUM(C2915:F2915,H2915:K2915)=0,G2915=1),0,INT((SUMPRODUCT(C2915:F2915,COLUMN($A$1:$D$1)-1)+SUMPRODUCT(H2915:K2915,COLUMN($E$1:$H$1)-1))*'Line Follower'!$C$3/SUM(C2915:F2915,H2915:K2915)-'Line Follower'!$C$5)))</f>
        <v>#N/A</v>
      </c>
      <c r="O2915" s="22" t="e">
        <v>#N/A</v>
      </c>
      <c r="P2915" s="4" t="e">
        <f t="shared" si="225"/>
        <v>#N/A</v>
      </c>
      <c r="Q2915" s="4" t="e">
        <f t="shared" si="226"/>
        <v>#N/A</v>
      </c>
      <c r="R2915" s="4" t="e">
        <f>IF(AND(B2915=1,N2915&gt;'Line Follower'!$C$7,SUM(C2915:K2915)&lt;4),1,0)</f>
        <v>#N/A</v>
      </c>
      <c r="S2915" s="4" t="e">
        <f>IF(AND(L2915=1,N2915&lt;'Line Follower'!$C$6,SUM(C2915:K2915)&lt;4),1,0)</f>
        <v>#N/A</v>
      </c>
      <c r="T2915" s="4" t="e">
        <f t="shared" si="227"/>
        <v>#N/A</v>
      </c>
      <c r="U2915" s="5" t="e">
        <f t="shared" si="228"/>
        <v>#N/A</v>
      </c>
      <c r="V2915" s="23" t="e">
        <f t="shared" si="229"/>
        <v>#N/A</v>
      </c>
    </row>
    <row r="2916" spans="2:22" x14ac:dyDescent="0.25">
      <c r="B2916" s="16">
        <v>1</v>
      </c>
      <c r="C2916" s="7">
        <v>0</v>
      </c>
      <c r="D2916" s="8">
        <v>0</v>
      </c>
      <c r="E2916" s="8">
        <v>0</v>
      </c>
      <c r="F2916" s="8">
        <v>0</v>
      </c>
      <c r="G2916" s="8">
        <v>1</v>
      </c>
      <c r="H2916" s="8">
        <v>1</v>
      </c>
      <c r="I2916" s="8">
        <v>0</v>
      </c>
      <c r="J2916" s="8">
        <v>1</v>
      </c>
      <c r="K2916" s="9">
        <v>1</v>
      </c>
      <c r="L2916" s="10">
        <v>0</v>
      </c>
      <c r="M2916" s="6">
        <v>1</v>
      </c>
      <c r="N2916" s="37" t="e" cm="1">
        <f t="array" ref="N2916">IF(OR(ISNUMBER(FIND(Aux!$D$3:$D$9,_xlfn.TEXTJOIN(,,C2916:K2916)))),NA(),IF(AND(SUM(C2916:F2916,H2916:K2916)=0,G2916=1),0,INT((SUMPRODUCT(C2916:F2916,COLUMN($A$1:$D$1)-1)+SUMPRODUCT(H2916:K2916,COLUMN($E$1:$H$1)-1))*'Line Follower'!$C$3/SUM(C2916:F2916,H2916:K2916)-'Line Follower'!$C$5)))</f>
        <v>#N/A</v>
      </c>
      <c r="O2916" s="22" t="e">
        <v>#N/A</v>
      </c>
      <c r="P2916" s="4" t="e">
        <f t="shared" si="225"/>
        <v>#N/A</v>
      </c>
      <c r="Q2916" s="4" t="e">
        <f t="shared" si="226"/>
        <v>#N/A</v>
      </c>
      <c r="R2916" s="4" t="e">
        <f>IF(AND(B2916=1,N2916&gt;'Line Follower'!$C$7,SUM(C2916:K2916)&lt;4),1,0)</f>
        <v>#N/A</v>
      </c>
      <c r="S2916" s="4" t="e">
        <f>IF(AND(L2916=1,N2916&lt;'Line Follower'!$C$6,SUM(C2916:K2916)&lt;4),1,0)</f>
        <v>#N/A</v>
      </c>
      <c r="T2916" s="4" t="e">
        <f t="shared" si="227"/>
        <v>#N/A</v>
      </c>
      <c r="U2916" s="5" t="e">
        <f t="shared" si="228"/>
        <v>#N/A</v>
      </c>
      <c r="V2916" s="23" t="e">
        <f t="shared" si="229"/>
        <v>#N/A</v>
      </c>
    </row>
    <row r="2917" spans="2:22" x14ac:dyDescent="0.25">
      <c r="B2917" s="16">
        <v>0</v>
      </c>
      <c r="C2917" s="7">
        <v>1</v>
      </c>
      <c r="D2917" s="8">
        <v>0</v>
      </c>
      <c r="E2917" s="8">
        <v>0</v>
      </c>
      <c r="F2917" s="8">
        <v>0</v>
      </c>
      <c r="G2917" s="8">
        <v>1</v>
      </c>
      <c r="H2917" s="8">
        <v>1</v>
      </c>
      <c r="I2917" s="8">
        <v>0</v>
      </c>
      <c r="J2917" s="8">
        <v>1</v>
      </c>
      <c r="K2917" s="9">
        <v>1</v>
      </c>
      <c r="L2917" s="10">
        <v>0</v>
      </c>
      <c r="M2917" s="6">
        <v>1</v>
      </c>
      <c r="N2917" s="37" t="e" cm="1">
        <f t="array" ref="N2917">IF(OR(ISNUMBER(FIND(Aux!$D$3:$D$9,_xlfn.TEXTJOIN(,,C2917:K2917)))),NA(),IF(AND(SUM(C2917:F2917,H2917:K2917)=0,G2917=1),0,INT((SUMPRODUCT(C2917:F2917,COLUMN($A$1:$D$1)-1)+SUMPRODUCT(H2917:K2917,COLUMN($E$1:$H$1)-1))*'Line Follower'!$C$3/SUM(C2917:F2917,H2917:K2917)-'Line Follower'!$C$5)))</f>
        <v>#N/A</v>
      </c>
      <c r="O2917" s="22" t="e">
        <v>#N/A</v>
      </c>
      <c r="P2917" s="4" t="e">
        <f t="shared" si="225"/>
        <v>#N/A</v>
      </c>
      <c r="Q2917" s="4" t="e">
        <f t="shared" si="226"/>
        <v>#N/A</v>
      </c>
      <c r="R2917" s="4" t="e">
        <f>IF(AND(B2917=1,N2917&gt;'Line Follower'!$C$7,SUM(C2917:K2917)&lt;4),1,0)</f>
        <v>#N/A</v>
      </c>
      <c r="S2917" s="4" t="e">
        <f>IF(AND(L2917=1,N2917&lt;'Line Follower'!$C$6,SUM(C2917:K2917)&lt;4),1,0)</f>
        <v>#N/A</v>
      </c>
      <c r="T2917" s="4" t="e">
        <f t="shared" si="227"/>
        <v>#N/A</v>
      </c>
      <c r="U2917" s="5" t="e">
        <f t="shared" si="228"/>
        <v>#N/A</v>
      </c>
      <c r="V2917" s="23" t="e">
        <f t="shared" si="229"/>
        <v>#N/A</v>
      </c>
    </row>
    <row r="2918" spans="2:22" x14ac:dyDescent="0.25">
      <c r="B2918" s="16">
        <v>1</v>
      </c>
      <c r="C2918" s="7">
        <v>1</v>
      </c>
      <c r="D2918" s="8">
        <v>0</v>
      </c>
      <c r="E2918" s="8">
        <v>0</v>
      </c>
      <c r="F2918" s="8">
        <v>0</v>
      </c>
      <c r="G2918" s="8">
        <v>1</v>
      </c>
      <c r="H2918" s="8">
        <v>1</v>
      </c>
      <c r="I2918" s="8">
        <v>0</v>
      </c>
      <c r="J2918" s="8">
        <v>1</v>
      </c>
      <c r="K2918" s="9">
        <v>1</v>
      </c>
      <c r="L2918" s="10">
        <v>0</v>
      </c>
      <c r="M2918" s="6">
        <v>1</v>
      </c>
      <c r="N2918" s="37" t="e" cm="1">
        <f t="array" ref="N2918">IF(OR(ISNUMBER(FIND(Aux!$D$3:$D$9,_xlfn.TEXTJOIN(,,C2918:K2918)))),NA(),IF(AND(SUM(C2918:F2918,H2918:K2918)=0,G2918=1),0,INT((SUMPRODUCT(C2918:F2918,COLUMN($A$1:$D$1)-1)+SUMPRODUCT(H2918:K2918,COLUMN($E$1:$H$1)-1))*'Line Follower'!$C$3/SUM(C2918:F2918,H2918:K2918)-'Line Follower'!$C$5)))</f>
        <v>#N/A</v>
      </c>
      <c r="O2918" s="22" t="e">
        <v>#N/A</v>
      </c>
      <c r="P2918" s="4" t="e">
        <f t="shared" si="225"/>
        <v>#N/A</v>
      </c>
      <c r="Q2918" s="4" t="e">
        <f t="shared" si="226"/>
        <v>#N/A</v>
      </c>
      <c r="R2918" s="4" t="e">
        <f>IF(AND(B2918=1,N2918&gt;'Line Follower'!$C$7,SUM(C2918:K2918)&lt;4),1,0)</f>
        <v>#N/A</v>
      </c>
      <c r="S2918" s="4" t="e">
        <f>IF(AND(L2918=1,N2918&lt;'Line Follower'!$C$6,SUM(C2918:K2918)&lt;4),1,0)</f>
        <v>#N/A</v>
      </c>
      <c r="T2918" s="4" t="e">
        <f t="shared" si="227"/>
        <v>#N/A</v>
      </c>
      <c r="U2918" s="5" t="e">
        <f t="shared" si="228"/>
        <v>#N/A</v>
      </c>
      <c r="V2918" s="23" t="e">
        <f t="shared" si="229"/>
        <v>#N/A</v>
      </c>
    </row>
    <row r="2919" spans="2:22" x14ac:dyDescent="0.25">
      <c r="B2919" s="16">
        <v>0</v>
      </c>
      <c r="C2919" s="7">
        <v>0</v>
      </c>
      <c r="D2919" s="8">
        <v>1</v>
      </c>
      <c r="E2919" s="8">
        <v>0</v>
      </c>
      <c r="F2919" s="8">
        <v>0</v>
      </c>
      <c r="G2919" s="8">
        <v>1</v>
      </c>
      <c r="H2919" s="8">
        <v>1</v>
      </c>
      <c r="I2919" s="8">
        <v>0</v>
      </c>
      <c r="J2919" s="8">
        <v>1</v>
      </c>
      <c r="K2919" s="9">
        <v>1</v>
      </c>
      <c r="L2919" s="10">
        <v>0</v>
      </c>
      <c r="M2919" s="6">
        <v>1</v>
      </c>
      <c r="N2919" s="37" t="e" cm="1">
        <f t="array" ref="N2919">IF(OR(ISNUMBER(FIND(Aux!$D$3:$D$9,_xlfn.TEXTJOIN(,,C2919:K2919)))),NA(),IF(AND(SUM(C2919:F2919,H2919:K2919)=0,G2919=1),0,INT((SUMPRODUCT(C2919:F2919,COLUMN($A$1:$D$1)-1)+SUMPRODUCT(H2919:K2919,COLUMN($E$1:$H$1)-1))*'Line Follower'!$C$3/SUM(C2919:F2919,H2919:K2919)-'Line Follower'!$C$5)))</f>
        <v>#N/A</v>
      </c>
      <c r="O2919" s="22" t="e">
        <v>#N/A</v>
      </c>
      <c r="P2919" s="4" t="e">
        <f t="shared" si="225"/>
        <v>#N/A</v>
      </c>
      <c r="Q2919" s="4" t="e">
        <f t="shared" si="226"/>
        <v>#N/A</v>
      </c>
      <c r="R2919" s="4" t="e">
        <f>IF(AND(B2919=1,N2919&gt;'Line Follower'!$C$7,SUM(C2919:K2919)&lt;4),1,0)</f>
        <v>#N/A</v>
      </c>
      <c r="S2919" s="4" t="e">
        <f>IF(AND(L2919=1,N2919&lt;'Line Follower'!$C$6,SUM(C2919:K2919)&lt;4),1,0)</f>
        <v>#N/A</v>
      </c>
      <c r="T2919" s="4" t="e">
        <f t="shared" si="227"/>
        <v>#N/A</v>
      </c>
      <c r="U2919" s="5" t="e">
        <f t="shared" si="228"/>
        <v>#N/A</v>
      </c>
      <c r="V2919" s="23" t="e">
        <f t="shared" si="229"/>
        <v>#N/A</v>
      </c>
    </row>
    <row r="2920" spans="2:22" x14ac:dyDescent="0.25">
      <c r="B2920" s="16">
        <v>1</v>
      </c>
      <c r="C2920" s="7">
        <v>0</v>
      </c>
      <c r="D2920" s="8">
        <v>1</v>
      </c>
      <c r="E2920" s="8">
        <v>0</v>
      </c>
      <c r="F2920" s="8">
        <v>0</v>
      </c>
      <c r="G2920" s="8">
        <v>1</v>
      </c>
      <c r="H2920" s="8">
        <v>1</v>
      </c>
      <c r="I2920" s="8">
        <v>0</v>
      </c>
      <c r="J2920" s="8">
        <v>1</v>
      </c>
      <c r="K2920" s="9">
        <v>1</v>
      </c>
      <c r="L2920" s="10">
        <v>0</v>
      </c>
      <c r="M2920" s="6">
        <v>1</v>
      </c>
      <c r="N2920" s="37" t="e" cm="1">
        <f t="array" ref="N2920">IF(OR(ISNUMBER(FIND(Aux!$D$3:$D$9,_xlfn.TEXTJOIN(,,C2920:K2920)))),NA(),IF(AND(SUM(C2920:F2920,H2920:K2920)=0,G2920=1),0,INT((SUMPRODUCT(C2920:F2920,COLUMN($A$1:$D$1)-1)+SUMPRODUCT(H2920:K2920,COLUMN($E$1:$H$1)-1))*'Line Follower'!$C$3/SUM(C2920:F2920,H2920:K2920)-'Line Follower'!$C$5)))</f>
        <v>#N/A</v>
      </c>
      <c r="O2920" s="22" t="e">
        <v>#N/A</v>
      </c>
      <c r="P2920" s="4" t="e">
        <f t="shared" si="225"/>
        <v>#N/A</v>
      </c>
      <c r="Q2920" s="4" t="e">
        <f t="shared" si="226"/>
        <v>#N/A</v>
      </c>
      <c r="R2920" s="4" t="e">
        <f>IF(AND(B2920=1,N2920&gt;'Line Follower'!$C$7,SUM(C2920:K2920)&lt;4),1,0)</f>
        <v>#N/A</v>
      </c>
      <c r="S2920" s="4" t="e">
        <f>IF(AND(L2920=1,N2920&lt;'Line Follower'!$C$6,SUM(C2920:K2920)&lt;4),1,0)</f>
        <v>#N/A</v>
      </c>
      <c r="T2920" s="4" t="e">
        <f t="shared" si="227"/>
        <v>#N/A</v>
      </c>
      <c r="U2920" s="5" t="e">
        <f t="shared" si="228"/>
        <v>#N/A</v>
      </c>
      <c r="V2920" s="23" t="e">
        <f t="shared" si="229"/>
        <v>#N/A</v>
      </c>
    </row>
    <row r="2921" spans="2:22" x14ac:dyDescent="0.25">
      <c r="B2921" s="16">
        <v>0</v>
      </c>
      <c r="C2921" s="7">
        <v>1</v>
      </c>
      <c r="D2921" s="8">
        <v>1</v>
      </c>
      <c r="E2921" s="8">
        <v>0</v>
      </c>
      <c r="F2921" s="8">
        <v>0</v>
      </c>
      <c r="G2921" s="8">
        <v>1</v>
      </c>
      <c r="H2921" s="8">
        <v>1</v>
      </c>
      <c r="I2921" s="8">
        <v>0</v>
      </c>
      <c r="J2921" s="8">
        <v>1</v>
      </c>
      <c r="K2921" s="9">
        <v>1</v>
      </c>
      <c r="L2921" s="10">
        <v>0</v>
      </c>
      <c r="M2921" s="6">
        <v>1</v>
      </c>
      <c r="N2921" s="37" t="e" cm="1">
        <f t="array" ref="N2921">IF(OR(ISNUMBER(FIND(Aux!$D$3:$D$9,_xlfn.TEXTJOIN(,,C2921:K2921)))),NA(),IF(AND(SUM(C2921:F2921,H2921:K2921)=0,G2921=1),0,INT((SUMPRODUCT(C2921:F2921,COLUMN($A$1:$D$1)-1)+SUMPRODUCT(H2921:K2921,COLUMN($E$1:$H$1)-1))*'Line Follower'!$C$3/SUM(C2921:F2921,H2921:K2921)-'Line Follower'!$C$5)))</f>
        <v>#N/A</v>
      </c>
      <c r="O2921" s="22" t="e">
        <v>#N/A</v>
      </c>
      <c r="P2921" s="4" t="e">
        <f t="shared" si="225"/>
        <v>#N/A</v>
      </c>
      <c r="Q2921" s="4" t="e">
        <f t="shared" si="226"/>
        <v>#N/A</v>
      </c>
      <c r="R2921" s="4" t="e">
        <f>IF(AND(B2921=1,N2921&gt;'Line Follower'!$C$7,SUM(C2921:K2921)&lt;4),1,0)</f>
        <v>#N/A</v>
      </c>
      <c r="S2921" s="4" t="e">
        <f>IF(AND(L2921=1,N2921&lt;'Line Follower'!$C$6,SUM(C2921:K2921)&lt;4),1,0)</f>
        <v>#N/A</v>
      </c>
      <c r="T2921" s="4" t="e">
        <f t="shared" si="227"/>
        <v>#N/A</v>
      </c>
      <c r="U2921" s="5" t="e">
        <f t="shared" si="228"/>
        <v>#N/A</v>
      </c>
      <c r="V2921" s="23" t="e">
        <f t="shared" si="229"/>
        <v>#N/A</v>
      </c>
    </row>
    <row r="2922" spans="2:22" x14ac:dyDescent="0.25">
      <c r="B2922" s="16">
        <v>1</v>
      </c>
      <c r="C2922" s="7">
        <v>1</v>
      </c>
      <c r="D2922" s="8">
        <v>1</v>
      </c>
      <c r="E2922" s="8">
        <v>0</v>
      </c>
      <c r="F2922" s="8">
        <v>0</v>
      </c>
      <c r="G2922" s="8">
        <v>1</v>
      </c>
      <c r="H2922" s="8">
        <v>1</v>
      </c>
      <c r="I2922" s="8">
        <v>0</v>
      </c>
      <c r="J2922" s="8">
        <v>1</v>
      </c>
      <c r="K2922" s="9">
        <v>1</v>
      </c>
      <c r="L2922" s="10">
        <v>0</v>
      </c>
      <c r="M2922" s="6">
        <v>1</v>
      </c>
      <c r="N2922" s="37" t="e" cm="1">
        <f t="array" ref="N2922">IF(OR(ISNUMBER(FIND(Aux!$D$3:$D$9,_xlfn.TEXTJOIN(,,C2922:K2922)))),NA(),IF(AND(SUM(C2922:F2922,H2922:K2922)=0,G2922=1),0,INT((SUMPRODUCT(C2922:F2922,COLUMN($A$1:$D$1)-1)+SUMPRODUCT(H2922:K2922,COLUMN($E$1:$H$1)-1))*'Line Follower'!$C$3/SUM(C2922:F2922,H2922:K2922)-'Line Follower'!$C$5)))</f>
        <v>#N/A</v>
      </c>
      <c r="O2922" s="22" t="e">
        <v>#N/A</v>
      </c>
      <c r="P2922" s="4" t="e">
        <f t="shared" si="225"/>
        <v>#N/A</v>
      </c>
      <c r="Q2922" s="4" t="e">
        <f t="shared" si="226"/>
        <v>#N/A</v>
      </c>
      <c r="R2922" s="4" t="e">
        <f>IF(AND(B2922=1,N2922&gt;'Line Follower'!$C$7,SUM(C2922:K2922)&lt;4),1,0)</f>
        <v>#N/A</v>
      </c>
      <c r="S2922" s="4" t="e">
        <f>IF(AND(L2922=1,N2922&lt;'Line Follower'!$C$6,SUM(C2922:K2922)&lt;4),1,0)</f>
        <v>#N/A</v>
      </c>
      <c r="T2922" s="4" t="e">
        <f t="shared" si="227"/>
        <v>#N/A</v>
      </c>
      <c r="U2922" s="5" t="e">
        <f t="shared" si="228"/>
        <v>#N/A</v>
      </c>
      <c r="V2922" s="23" t="e">
        <f t="shared" si="229"/>
        <v>#N/A</v>
      </c>
    </row>
    <row r="2923" spans="2:22" x14ac:dyDescent="0.25">
      <c r="B2923" s="16">
        <v>0</v>
      </c>
      <c r="C2923" s="7">
        <v>0</v>
      </c>
      <c r="D2923" s="8">
        <v>0</v>
      </c>
      <c r="E2923" s="8">
        <v>1</v>
      </c>
      <c r="F2923" s="8">
        <v>0</v>
      </c>
      <c r="G2923" s="8">
        <v>1</v>
      </c>
      <c r="H2923" s="8">
        <v>1</v>
      </c>
      <c r="I2923" s="8">
        <v>0</v>
      </c>
      <c r="J2923" s="8">
        <v>1</v>
      </c>
      <c r="K2923" s="9">
        <v>1</v>
      </c>
      <c r="L2923" s="10">
        <v>0</v>
      </c>
      <c r="M2923" s="6">
        <v>1</v>
      </c>
      <c r="N2923" s="37" t="e" cm="1">
        <f t="array" ref="N2923">IF(OR(ISNUMBER(FIND(Aux!$D$3:$D$9,_xlfn.TEXTJOIN(,,C2923:K2923)))),NA(),IF(AND(SUM(C2923:F2923,H2923:K2923)=0,G2923=1),0,INT((SUMPRODUCT(C2923:F2923,COLUMN($A$1:$D$1)-1)+SUMPRODUCT(H2923:K2923,COLUMN($E$1:$H$1)-1))*'Line Follower'!$C$3/SUM(C2923:F2923,H2923:K2923)-'Line Follower'!$C$5)))</f>
        <v>#N/A</v>
      </c>
      <c r="O2923" s="22" t="e">
        <v>#N/A</v>
      </c>
      <c r="P2923" s="4" t="e">
        <f t="shared" si="225"/>
        <v>#N/A</v>
      </c>
      <c r="Q2923" s="4" t="e">
        <f t="shared" si="226"/>
        <v>#N/A</v>
      </c>
      <c r="R2923" s="4" t="e">
        <f>IF(AND(B2923=1,N2923&gt;'Line Follower'!$C$7,SUM(C2923:K2923)&lt;4),1,0)</f>
        <v>#N/A</v>
      </c>
      <c r="S2923" s="4" t="e">
        <f>IF(AND(L2923=1,N2923&lt;'Line Follower'!$C$6,SUM(C2923:K2923)&lt;4),1,0)</f>
        <v>#N/A</v>
      </c>
      <c r="T2923" s="4" t="e">
        <f t="shared" si="227"/>
        <v>#N/A</v>
      </c>
      <c r="U2923" s="5" t="e">
        <f t="shared" si="228"/>
        <v>#N/A</v>
      </c>
      <c r="V2923" s="23" t="e">
        <f t="shared" si="229"/>
        <v>#N/A</v>
      </c>
    </row>
    <row r="2924" spans="2:22" x14ac:dyDescent="0.25">
      <c r="B2924" s="16">
        <v>1</v>
      </c>
      <c r="C2924" s="7">
        <v>0</v>
      </c>
      <c r="D2924" s="8">
        <v>0</v>
      </c>
      <c r="E2924" s="8">
        <v>1</v>
      </c>
      <c r="F2924" s="8">
        <v>0</v>
      </c>
      <c r="G2924" s="8">
        <v>1</v>
      </c>
      <c r="H2924" s="8">
        <v>1</v>
      </c>
      <c r="I2924" s="8">
        <v>0</v>
      </c>
      <c r="J2924" s="8">
        <v>1</v>
      </c>
      <c r="K2924" s="9">
        <v>1</v>
      </c>
      <c r="L2924" s="10">
        <v>0</v>
      </c>
      <c r="M2924" s="6">
        <v>1</v>
      </c>
      <c r="N2924" s="37" t="e" cm="1">
        <f t="array" ref="N2924">IF(OR(ISNUMBER(FIND(Aux!$D$3:$D$9,_xlfn.TEXTJOIN(,,C2924:K2924)))),NA(),IF(AND(SUM(C2924:F2924,H2924:K2924)=0,G2924=1),0,INT((SUMPRODUCT(C2924:F2924,COLUMN($A$1:$D$1)-1)+SUMPRODUCT(H2924:K2924,COLUMN($E$1:$H$1)-1))*'Line Follower'!$C$3/SUM(C2924:F2924,H2924:K2924)-'Line Follower'!$C$5)))</f>
        <v>#N/A</v>
      </c>
      <c r="O2924" s="22" t="e">
        <v>#N/A</v>
      </c>
      <c r="P2924" s="4" t="e">
        <f t="shared" si="225"/>
        <v>#N/A</v>
      </c>
      <c r="Q2924" s="4" t="e">
        <f t="shared" si="226"/>
        <v>#N/A</v>
      </c>
      <c r="R2924" s="4" t="e">
        <f>IF(AND(B2924=1,N2924&gt;'Line Follower'!$C$7,SUM(C2924:K2924)&lt;4),1,0)</f>
        <v>#N/A</v>
      </c>
      <c r="S2924" s="4" t="e">
        <f>IF(AND(L2924=1,N2924&lt;'Line Follower'!$C$6,SUM(C2924:K2924)&lt;4),1,0)</f>
        <v>#N/A</v>
      </c>
      <c r="T2924" s="4" t="e">
        <f t="shared" si="227"/>
        <v>#N/A</v>
      </c>
      <c r="U2924" s="5" t="e">
        <f t="shared" si="228"/>
        <v>#N/A</v>
      </c>
      <c r="V2924" s="23" t="e">
        <f t="shared" si="229"/>
        <v>#N/A</v>
      </c>
    </row>
    <row r="2925" spans="2:22" x14ac:dyDescent="0.25">
      <c r="B2925" s="16">
        <v>0</v>
      </c>
      <c r="C2925" s="7">
        <v>1</v>
      </c>
      <c r="D2925" s="8">
        <v>0</v>
      </c>
      <c r="E2925" s="8">
        <v>1</v>
      </c>
      <c r="F2925" s="8">
        <v>0</v>
      </c>
      <c r="G2925" s="8">
        <v>1</v>
      </c>
      <c r="H2925" s="8">
        <v>1</v>
      </c>
      <c r="I2925" s="8">
        <v>0</v>
      </c>
      <c r="J2925" s="8">
        <v>1</v>
      </c>
      <c r="K2925" s="9">
        <v>1</v>
      </c>
      <c r="L2925" s="10">
        <v>0</v>
      </c>
      <c r="M2925" s="6">
        <v>1</v>
      </c>
      <c r="N2925" s="37" t="e" cm="1">
        <f t="array" ref="N2925">IF(OR(ISNUMBER(FIND(Aux!$D$3:$D$9,_xlfn.TEXTJOIN(,,C2925:K2925)))),NA(),IF(AND(SUM(C2925:F2925,H2925:K2925)=0,G2925=1),0,INT((SUMPRODUCT(C2925:F2925,COLUMN($A$1:$D$1)-1)+SUMPRODUCT(H2925:K2925,COLUMN($E$1:$H$1)-1))*'Line Follower'!$C$3/SUM(C2925:F2925,H2925:K2925)-'Line Follower'!$C$5)))</f>
        <v>#N/A</v>
      </c>
      <c r="O2925" s="22" t="e">
        <v>#N/A</v>
      </c>
      <c r="P2925" s="4" t="e">
        <f t="shared" si="225"/>
        <v>#N/A</v>
      </c>
      <c r="Q2925" s="4" t="e">
        <f t="shared" si="226"/>
        <v>#N/A</v>
      </c>
      <c r="R2925" s="4" t="e">
        <f>IF(AND(B2925=1,N2925&gt;'Line Follower'!$C$7,SUM(C2925:K2925)&lt;4),1,0)</f>
        <v>#N/A</v>
      </c>
      <c r="S2925" s="4" t="e">
        <f>IF(AND(L2925=1,N2925&lt;'Line Follower'!$C$6,SUM(C2925:K2925)&lt;4),1,0)</f>
        <v>#N/A</v>
      </c>
      <c r="T2925" s="4" t="e">
        <f t="shared" si="227"/>
        <v>#N/A</v>
      </c>
      <c r="U2925" s="5" t="e">
        <f t="shared" si="228"/>
        <v>#N/A</v>
      </c>
      <c r="V2925" s="23" t="e">
        <f t="shared" si="229"/>
        <v>#N/A</v>
      </c>
    </row>
    <row r="2926" spans="2:22" x14ac:dyDescent="0.25">
      <c r="B2926" s="16">
        <v>1</v>
      </c>
      <c r="C2926" s="7">
        <v>1</v>
      </c>
      <c r="D2926" s="8">
        <v>0</v>
      </c>
      <c r="E2926" s="8">
        <v>1</v>
      </c>
      <c r="F2926" s="8">
        <v>0</v>
      </c>
      <c r="G2926" s="8">
        <v>1</v>
      </c>
      <c r="H2926" s="8">
        <v>1</v>
      </c>
      <c r="I2926" s="8">
        <v>0</v>
      </c>
      <c r="J2926" s="8">
        <v>1</v>
      </c>
      <c r="K2926" s="9">
        <v>1</v>
      </c>
      <c r="L2926" s="10">
        <v>0</v>
      </c>
      <c r="M2926" s="6">
        <v>1</v>
      </c>
      <c r="N2926" s="37" t="e" cm="1">
        <f t="array" ref="N2926">IF(OR(ISNUMBER(FIND(Aux!$D$3:$D$9,_xlfn.TEXTJOIN(,,C2926:K2926)))),NA(),IF(AND(SUM(C2926:F2926,H2926:K2926)=0,G2926=1),0,INT((SUMPRODUCT(C2926:F2926,COLUMN($A$1:$D$1)-1)+SUMPRODUCT(H2926:K2926,COLUMN($E$1:$H$1)-1))*'Line Follower'!$C$3/SUM(C2926:F2926,H2926:K2926)-'Line Follower'!$C$5)))</f>
        <v>#N/A</v>
      </c>
      <c r="O2926" s="22" t="e">
        <v>#N/A</v>
      </c>
      <c r="P2926" s="4" t="e">
        <f t="shared" si="225"/>
        <v>#N/A</v>
      </c>
      <c r="Q2926" s="4" t="e">
        <f t="shared" si="226"/>
        <v>#N/A</v>
      </c>
      <c r="R2926" s="4" t="e">
        <f>IF(AND(B2926=1,N2926&gt;'Line Follower'!$C$7,SUM(C2926:K2926)&lt;4),1,0)</f>
        <v>#N/A</v>
      </c>
      <c r="S2926" s="4" t="e">
        <f>IF(AND(L2926=1,N2926&lt;'Line Follower'!$C$6,SUM(C2926:K2926)&lt;4),1,0)</f>
        <v>#N/A</v>
      </c>
      <c r="T2926" s="4" t="e">
        <f t="shared" si="227"/>
        <v>#N/A</v>
      </c>
      <c r="U2926" s="5" t="e">
        <f t="shared" si="228"/>
        <v>#N/A</v>
      </c>
      <c r="V2926" s="23" t="e">
        <f t="shared" si="229"/>
        <v>#N/A</v>
      </c>
    </row>
    <row r="2927" spans="2:22" x14ac:dyDescent="0.25">
      <c r="B2927" s="16">
        <v>0</v>
      </c>
      <c r="C2927" s="7">
        <v>0</v>
      </c>
      <c r="D2927" s="8">
        <v>1</v>
      </c>
      <c r="E2927" s="8">
        <v>1</v>
      </c>
      <c r="F2927" s="8">
        <v>0</v>
      </c>
      <c r="G2927" s="8">
        <v>1</v>
      </c>
      <c r="H2927" s="8">
        <v>1</v>
      </c>
      <c r="I2927" s="8">
        <v>0</v>
      </c>
      <c r="J2927" s="8">
        <v>1</v>
      </c>
      <c r="K2927" s="9">
        <v>1</v>
      </c>
      <c r="L2927" s="10">
        <v>0</v>
      </c>
      <c r="M2927" s="6">
        <v>1</v>
      </c>
      <c r="N2927" s="37" t="e" cm="1">
        <f t="array" ref="N2927">IF(OR(ISNUMBER(FIND(Aux!$D$3:$D$9,_xlfn.TEXTJOIN(,,C2927:K2927)))),NA(),IF(AND(SUM(C2927:F2927,H2927:K2927)=0,G2927=1),0,INT((SUMPRODUCT(C2927:F2927,COLUMN($A$1:$D$1)-1)+SUMPRODUCT(H2927:K2927,COLUMN($E$1:$H$1)-1))*'Line Follower'!$C$3/SUM(C2927:F2927,H2927:K2927)-'Line Follower'!$C$5)))</f>
        <v>#N/A</v>
      </c>
      <c r="O2927" s="22" t="e">
        <v>#N/A</v>
      </c>
      <c r="P2927" s="4" t="e">
        <f t="shared" si="225"/>
        <v>#N/A</v>
      </c>
      <c r="Q2927" s="4" t="e">
        <f t="shared" si="226"/>
        <v>#N/A</v>
      </c>
      <c r="R2927" s="4" t="e">
        <f>IF(AND(B2927=1,N2927&gt;'Line Follower'!$C$7,SUM(C2927:K2927)&lt;4),1,0)</f>
        <v>#N/A</v>
      </c>
      <c r="S2927" s="4" t="e">
        <f>IF(AND(L2927=1,N2927&lt;'Line Follower'!$C$6,SUM(C2927:K2927)&lt;4),1,0)</f>
        <v>#N/A</v>
      </c>
      <c r="T2927" s="4" t="e">
        <f t="shared" si="227"/>
        <v>#N/A</v>
      </c>
      <c r="U2927" s="5" t="e">
        <f t="shared" si="228"/>
        <v>#N/A</v>
      </c>
      <c r="V2927" s="23" t="e">
        <f t="shared" si="229"/>
        <v>#N/A</v>
      </c>
    </row>
    <row r="2928" spans="2:22" x14ac:dyDescent="0.25">
      <c r="B2928" s="16">
        <v>1</v>
      </c>
      <c r="C2928" s="7">
        <v>0</v>
      </c>
      <c r="D2928" s="8">
        <v>1</v>
      </c>
      <c r="E2928" s="8">
        <v>1</v>
      </c>
      <c r="F2928" s="8">
        <v>0</v>
      </c>
      <c r="G2928" s="8">
        <v>1</v>
      </c>
      <c r="H2928" s="8">
        <v>1</v>
      </c>
      <c r="I2928" s="8">
        <v>0</v>
      </c>
      <c r="J2928" s="8">
        <v>1</v>
      </c>
      <c r="K2928" s="9">
        <v>1</v>
      </c>
      <c r="L2928" s="10">
        <v>0</v>
      </c>
      <c r="M2928" s="6">
        <v>1</v>
      </c>
      <c r="N2928" s="37" t="e" cm="1">
        <f t="array" ref="N2928">IF(OR(ISNUMBER(FIND(Aux!$D$3:$D$9,_xlfn.TEXTJOIN(,,C2928:K2928)))),NA(),IF(AND(SUM(C2928:F2928,H2928:K2928)=0,G2928=1),0,INT((SUMPRODUCT(C2928:F2928,COLUMN($A$1:$D$1)-1)+SUMPRODUCT(H2928:K2928,COLUMN($E$1:$H$1)-1))*'Line Follower'!$C$3/SUM(C2928:F2928,H2928:K2928)-'Line Follower'!$C$5)))</f>
        <v>#N/A</v>
      </c>
      <c r="O2928" s="22" t="e">
        <v>#N/A</v>
      </c>
      <c r="P2928" s="4" t="e">
        <f t="shared" si="225"/>
        <v>#N/A</v>
      </c>
      <c r="Q2928" s="4" t="e">
        <f t="shared" si="226"/>
        <v>#N/A</v>
      </c>
      <c r="R2928" s="4" t="e">
        <f>IF(AND(B2928=1,N2928&gt;'Line Follower'!$C$7,SUM(C2928:K2928)&lt;4),1,0)</f>
        <v>#N/A</v>
      </c>
      <c r="S2928" s="4" t="e">
        <f>IF(AND(L2928=1,N2928&lt;'Line Follower'!$C$6,SUM(C2928:K2928)&lt;4),1,0)</f>
        <v>#N/A</v>
      </c>
      <c r="T2928" s="4" t="e">
        <f t="shared" si="227"/>
        <v>#N/A</v>
      </c>
      <c r="U2928" s="5" t="e">
        <f t="shared" si="228"/>
        <v>#N/A</v>
      </c>
      <c r="V2928" s="23" t="e">
        <f t="shared" si="229"/>
        <v>#N/A</v>
      </c>
    </row>
    <row r="2929" spans="2:22" x14ac:dyDescent="0.25">
      <c r="B2929" s="16">
        <v>0</v>
      </c>
      <c r="C2929" s="7">
        <v>1</v>
      </c>
      <c r="D2929" s="8">
        <v>1</v>
      </c>
      <c r="E2929" s="8">
        <v>1</v>
      </c>
      <c r="F2929" s="8">
        <v>0</v>
      </c>
      <c r="G2929" s="8">
        <v>1</v>
      </c>
      <c r="H2929" s="8">
        <v>1</v>
      </c>
      <c r="I2929" s="8">
        <v>0</v>
      </c>
      <c r="J2929" s="8">
        <v>1</v>
      </c>
      <c r="K2929" s="9">
        <v>1</v>
      </c>
      <c r="L2929" s="10">
        <v>0</v>
      </c>
      <c r="M2929" s="6">
        <v>1</v>
      </c>
      <c r="N2929" s="37" t="e" cm="1">
        <f t="array" ref="N2929">IF(OR(ISNUMBER(FIND(Aux!$D$3:$D$9,_xlfn.TEXTJOIN(,,C2929:K2929)))),NA(),IF(AND(SUM(C2929:F2929,H2929:K2929)=0,G2929=1),0,INT((SUMPRODUCT(C2929:F2929,COLUMN($A$1:$D$1)-1)+SUMPRODUCT(H2929:K2929,COLUMN($E$1:$H$1)-1))*'Line Follower'!$C$3/SUM(C2929:F2929,H2929:K2929)-'Line Follower'!$C$5)))</f>
        <v>#N/A</v>
      </c>
      <c r="O2929" s="22" t="e">
        <v>#N/A</v>
      </c>
      <c r="P2929" s="4" t="e">
        <f t="shared" si="225"/>
        <v>#N/A</v>
      </c>
      <c r="Q2929" s="4" t="e">
        <f t="shared" si="226"/>
        <v>#N/A</v>
      </c>
      <c r="R2929" s="4" t="e">
        <f>IF(AND(B2929=1,N2929&gt;'Line Follower'!$C$7,SUM(C2929:K2929)&lt;4),1,0)</f>
        <v>#N/A</v>
      </c>
      <c r="S2929" s="4" t="e">
        <f>IF(AND(L2929=1,N2929&lt;'Line Follower'!$C$6,SUM(C2929:K2929)&lt;4),1,0)</f>
        <v>#N/A</v>
      </c>
      <c r="T2929" s="4" t="e">
        <f t="shared" si="227"/>
        <v>#N/A</v>
      </c>
      <c r="U2929" s="5" t="e">
        <f t="shared" si="228"/>
        <v>#N/A</v>
      </c>
      <c r="V2929" s="23" t="e">
        <f t="shared" si="229"/>
        <v>#N/A</v>
      </c>
    </row>
    <row r="2930" spans="2:22" x14ac:dyDescent="0.25">
      <c r="B2930" s="16">
        <v>1</v>
      </c>
      <c r="C2930" s="7">
        <v>1</v>
      </c>
      <c r="D2930" s="8">
        <v>1</v>
      </c>
      <c r="E2930" s="8">
        <v>1</v>
      </c>
      <c r="F2930" s="8">
        <v>0</v>
      </c>
      <c r="G2930" s="8">
        <v>1</v>
      </c>
      <c r="H2930" s="8">
        <v>1</v>
      </c>
      <c r="I2930" s="8">
        <v>0</v>
      </c>
      <c r="J2930" s="8">
        <v>1</v>
      </c>
      <c r="K2930" s="9">
        <v>1</v>
      </c>
      <c r="L2930" s="10">
        <v>0</v>
      </c>
      <c r="M2930" s="6">
        <v>1</v>
      </c>
      <c r="N2930" s="37" t="e" cm="1">
        <f t="array" ref="N2930">IF(OR(ISNUMBER(FIND(Aux!$D$3:$D$9,_xlfn.TEXTJOIN(,,C2930:K2930)))),NA(),IF(AND(SUM(C2930:F2930,H2930:K2930)=0,G2930=1),0,INT((SUMPRODUCT(C2930:F2930,COLUMN($A$1:$D$1)-1)+SUMPRODUCT(H2930:K2930,COLUMN($E$1:$H$1)-1))*'Line Follower'!$C$3/SUM(C2930:F2930,H2930:K2930)-'Line Follower'!$C$5)))</f>
        <v>#N/A</v>
      </c>
      <c r="O2930" s="22" t="e">
        <v>#N/A</v>
      </c>
      <c r="P2930" s="4" t="e">
        <f t="shared" si="225"/>
        <v>#N/A</v>
      </c>
      <c r="Q2930" s="4" t="e">
        <f t="shared" si="226"/>
        <v>#N/A</v>
      </c>
      <c r="R2930" s="4" t="e">
        <f>IF(AND(B2930=1,N2930&gt;'Line Follower'!$C$7,SUM(C2930:K2930)&lt;4),1,0)</f>
        <v>#N/A</v>
      </c>
      <c r="S2930" s="4" t="e">
        <f>IF(AND(L2930=1,N2930&lt;'Line Follower'!$C$6,SUM(C2930:K2930)&lt;4),1,0)</f>
        <v>#N/A</v>
      </c>
      <c r="T2930" s="4" t="e">
        <f t="shared" si="227"/>
        <v>#N/A</v>
      </c>
      <c r="U2930" s="5" t="e">
        <f t="shared" si="228"/>
        <v>#N/A</v>
      </c>
      <c r="V2930" s="23" t="e">
        <f t="shared" si="229"/>
        <v>#N/A</v>
      </c>
    </row>
    <row r="2931" spans="2:22" x14ac:dyDescent="0.25">
      <c r="B2931" s="16">
        <v>0</v>
      </c>
      <c r="C2931" s="7">
        <v>0</v>
      </c>
      <c r="D2931" s="8">
        <v>0</v>
      </c>
      <c r="E2931" s="8">
        <v>0</v>
      </c>
      <c r="F2931" s="8">
        <v>1</v>
      </c>
      <c r="G2931" s="8">
        <v>1</v>
      </c>
      <c r="H2931" s="8">
        <v>1</v>
      </c>
      <c r="I2931" s="8">
        <v>0</v>
      </c>
      <c r="J2931" s="8">
        <v>1</v>
      </c>
      <c r="K2931" s="9">
        <v>1</v>
      </c>
      <c r="L2931" s="10">
        <v>0</v>
      </c>
      <c r="M2931" s="6">
        <v>1</v>
      </c>
      <c r="N2931" s="37" t="e" cm="1">
        <f t="array" ref="N2931">IF(OR(ISNUMBER(FIND(Aux!$D$3:$D$9,_xlfn.TEXTJOIN(,,C2931:K2931)))),NA(),IF(AND(SUM(C2931:F2931,H2931:K2931)=0,G2931=1),0,INT((SUMPRODUCT(C2931:F2931,COLUMN($A$1:$D$1)-1)+SUMPRODUCT(H2931:K2931,COLUMN($E$1:$H$1)-1))*'Line Follower'!$C$3/SUM(C2931:F2931,H2931:K2931)-'Line Follower'!$C$5)))</f>
        <v>#N/A</v>
      </c>
      <c r="O2931" s="22" t="e">
        <v>#N/A</v>
      </c>
      <c r="P2931" s="4" t="e">
        <f t="shared" si="225"/>
        <v>#N/A</v>
      </c>
      <c r="Q2931" s="4" t="e">
        <f t="shared" si="226"/>
        <v>#N/A</v>
      </c>
      <c r="R2931" s="4" t="e">
        <f>IF(AND(B2931=1,N2931&gt;'Line Follower'!$C$7,SUM(C2931:K2931)&lt;4),1,0)</f>
        <v>#N/A</v>
      </c>
      <c r="S2931" s="4" t="e">
        <f>IF(AND(L2931=1,N2931&lt;'Line Follower'!$C$6,SUM(C2931:K2931)&lt;4),1,0)</f>
        <v>#N/A</v>
      </c>
      <c r="T2931" s="4" t="e">
        <f t="shared" si="227"/>
        <v>#N/A</v>
      </c>
      <c r="U2931" s="5" t="e">
        <f t="shared" si="228"/>
        <v>#N/A</v>
      </c>
      <c r="V2931" s="23" t="e">
        <f t="shared" si="229"/>
        <v>#N/A</v>
      </c>
    </row>
    <row r="2932" spans="2:22" x14ac:dyDescent="0.25">
      <c r="B2932" s="16">
        <v>1</v>
      </c>
      <c r="C2932" s="7">
        <v>0</v>
      </c>
      <c r="D2932" s="8">
        <v>0</v>
      </c>
      <c r="E2932" s="8">
        <v>0</v>
      </c>
      <c r="F2932" s="8">
        <v>1</v>
      </c>
      <c r="G2932" s="8">
        <v>1</v>
      </c>
      <c r="H2932" s="8">
        <v>1</v>
      </c>
      <c r="I2932" s="8">
        <v>0</v>
      </c>
      <c r="J2932" s="8">
        <v>1</v>
      </c>
      <c r="K2932" s="9">
        <v>1</v>
      </c>
      <c r="L2932" s="10">
        <v>0</v>
      </c>
      <c r="M2932" s="6">
        <v>1</v>
      </c>
      <c r="N2932" s="37" t="e" cm="1">
        <f t="array" ref="N2932">IF(OR(ISNUMBER(FIND(Aux!$D$3:$D$9,_xlfn.TEXTJOIN(,,C2932:K2932)))),NA(),IF(AND(SUM(C2932:F2932,H2932:K2932)=0,G2932=1),0,INT((SUMPRODUCT(C2932:F2932,COLUMN($A$1:$D$1)-1)+SUMPRODUCT(H2932:K2932,COLUMN($E$1:$H$1)-1))*'Line Follower'!$C$3/SUM(C2932:F2932,H2932:K2932)-'Line Follower'!$C$5)))</f>
        <v>#N/A</v>
      </c>
      <c r="O2932" s="22" t="e">
        <v>#N/A</v>
      </c>
      <c r="P2932" s="4" t="e">
        <f t="shared" si="225"/>
        <v>#N/A</v>
      </c>
      <c r="Q2932" s="4" t="e">
        <f t="shared" si="226"/>
        <v>#N/A</v>
      </c>
      <c r="R2932" s="4" t="e">
        <f>IF(AND(B2932=1,N2932&gt;'Line Follower'!$C$7,SUM(C2932:K2932)&lt;4),1,0)</f>
        <v>#N/A</v>
      </c>
      <c r="S2932" s="4" t="e">
        <f>IF(AND(L2932=1,N2932&lt;'Line Follower'!$C$6,SUM(C2932:K2932)&lt;4),1,0)</f>
        <v>#N/A</v>
      </c>
      <c r="T2932" s="4" t="e">
        <f t="shared" si="227"/>
        <v>#N/A</v>
      </c>
      <c r="U2932" s="5" t="e">
        <f t="shared" si="228"/>
        <v>#N/A</v>
      </c>
      <c r="V2932" s="23" t="e">
        <f t="shared" si="229"/>
        <v>#N/A</v>
      </c>
    </row>
    <row r="2933" spans="2:22" x14ac:dyDescent="0.25">
      <c r="B2933" s="16">
        <v>0</v>
      </c>
      <c r="C2933" s="7">
        <v>1</v>
      </c>
      <c r="D2933" s="8">
        <v>0</v>
      </c>
      <c r="E2933" s="8">
        <v>0</v>
      </c>
      <c r="F2933" s="8">
        <v>1</v>
      </c>
      <c r="G2933" s="8">
        <v>1</v>
      </c>
      <c r="H2933" s="8">
        <v>1</v>
      </c>
      <c r="I2933" s="8">
        <v>0</v>
      </c>
      <c r="J2933" s="8">
        <v>1</v>
      </c>
      <c r="K2933" s="9">
        <v>1</v>
      </c>
      <c r="L2933" s="10">
        <v>0</v>
      </c>
      <c r="M2933" s="6">
        <v>1</v>
      </c>
      <c r="N2933" s="37" t="e" cm="1">
        <f t="array" ref="N2933">IF(OR(ISNUMBER(FIND(Aux!$D$3:$D$9,_xlfn.TEXTJOIN(,,C2933:K2933)))),NA(),IF(AND(SUM(C2933:F2933,H2933:K2933)=0,G2933=1),0,INT((SUMPRODUCT(C2933:F2933,COLUMN($A$1:$D$1)-1)+SUMPRODUCT(H2933:K2933,COLUMN($E$1:$H$1)-1))*'Line Follower'!$C$3/SUM(C2933:F2933,H2933:K2933)-'Line Follower'!$C$5)))</f>
        <v>#N/A</v>
      </c>
      <c r="O2933" s="22" t="e">
        <v>#N/A</v>
      </c>
      <c r="P2933" s="4" t="e">
        <f t="shared" si="225"/>
        <v>#N/A</v>
      </c>
      <c r="Q2933" s="4" t="e">
        <f t="shared" si="226"/>
        <v>#N/A</v>
      </c>
      <c r="R2933" s="4" t="e">
        <f>IF(AND(B2933=1,N2933&gt;'Line Follower'!$C$7,SUM(C2933:K2933)&lt;4),1,0)</f>
        <v>#N/A</v>
      </c>
      <c r="S2933" s="4" t="e">
        <f>IF(AND(L2933=1,N2933&lt;'Line Follower'!$C$6,SUM(C2933:K2933)&lt;4),1,0)</f>
        <v>#N/A</v>
      </c>
      <c r="T2933" s="4" t="e">
        <f t="shared" si="227"/>
        <v>#N/A</v>
      </c>
      <c r="U2933" s="5" t="e">
        <f t="shared" si="228"/>
        <v>#N/A</v>
      </c>
      <c r="V2933" s="23" t="e">
        <f t="shared" si="229"/>
        <v>#N/A</v>
      </c>
    </row>
    <row r="2934" spans="2:22" x14ac:dyDescent="0.25">
      <c r="B2934" s="16">
        <v>1</v>
      </c>
      <c r="C2934" s="7">
        <v>1</v>
      </c>
      <c r="D2934" s="8">
        <v>0</v>
      </c>
      <c r="E2934" s="8">
        <v>0</v>
      </c>
      <c r="F2934" s="8">
        <v>1</v>
      </c>
      <c r="G2934" s="8">
        <v>1</v>
      </c>
      <c r="H2934" s="8">
        <v>1</v>
      </c>
      <c r="I2934" s="8">
        <v>0</v>
      </c>
      <c r="J2934" s="8">
        <v>1</v>
      </c>
      <c r="K2934" s="9">
        <v>1</v>
      </c>
      <c r="L2934" s="10">
        <v>0</v>
      </c>
      <c r="M2934" s="6">
        <v>1</v>
      </c>
      <c r="N2934" s="37" t="e" cm="1">
        <f t="array" ref="N2934">IF(OR(ISNUMBER(FIND(Aux!$D$3:$D$9,_xlfn.TEXTJOIN(,,C2934:K2934)))),NA(),IF(AND(SUM(C2934:F2934,H2934:K2934)=0,G2934=1),0,INT((SUMPRODUCT(C2934:F2934,COLUMN($A$1:$D$1)-1)+SUMPRODUCT(H2934:K2934,COLUMN($E$1:$H$1)-1))*'Line Follower'!$C$3/SUM(C2934:F2934,H2934:K2934)-'Line Follower'!$C$5)))</f>
        <v>#N/A</v>
      </c>
      <c r="O2934" s="22" t="e">
        <v>#N/A</v>
      </c>
      <c r="P2934" s="4" t="e">
        <f t="shared" si="225"/>
        <v>#N/A</v>
      </c>
      <c r="Q2934" s="4" t="e">
        <f t="shared" si="226"/>
        <v>#N/A</v>
      </c>
      <c r="R2934" s="4" t="e">
        <f>IF(AND(B2934=1,N2934&gt;'Line Follower'!$C$7,SUM(C2934:K2934)&lt;4),1,0)</f>
        <v>#N/A</v>
      </c>
      <c r="S2934" s="4" t="e">
        <f>IF(AND(L2934=1,N2934&lt;'Line Follower'!$C$6,SUM(C2934:K2934)&lt;4),1,0)</f>
        <v>#N/A</v>
      </c>
      <c r="T2934" s="4" t="e">
        <f t="shared" si="227"/>
        <v>#N/A</v>
      </c>
      <c r="U2934" s="5" t="e">
        <f t="shared" si="228"/>
        <v>#N/A</v>
      </c>
      <c r="V2934" s="23" t="e">
        <f t="shared" si="229"/>
        <v>#N/A</v>
      </c>
    </row>
    <row r="2935" spans="2:22" x14ac:dyDescent="0.25">
      <c r="B2935" s="16">
        <v>0</v>
      </c>
      <c r="C2935" s="7">
        <v>0</v>
      </c>
      <c r="D2935" s="8">
        <v>1</v>
      </c>
      <c r="E2935" s="8">
        <v>0</v>
      </c>
      <c r="F2935" s="8">
        <v>1</v>
      </c>
      <c r="G2935" s="8">
        <v>1</v>
      </c>
      <c r="H2935" s="8">
        <v>1</v>
      </c>
      <c r="I2935" s="8">
        <v>0</v>
      </c>
      <c r="J2935" s="8">
        <v>1</v>
      </c>
      <c r="K2935" s="9">
        <v>1</v>
      </c>
      <c r="L2935" s="10">
        <v>0</v>
      </c>
      <c r="M2935" s="6">
        <v>1</v>
      </c>
      <c r="N2935" s="37" t="e" cm="1">
        <f t="array" ref="N2935">IF(OR(ISNUMBER(FIND(Aux!$D$3:$D$9,_xlfn.TEXTJOIN(,,C2935:K2935)))),NA(),IF(AND(SUM(C2935:F2935,H2935:K2935)=0,G2935=1),0,INT((SUMPRODUCT(C2935:F2935,COLUMN($A$1:$D$1)-1)+SUMPRODUCT(H2935:K2935,COLUMN($E$1:$H$1)-1))*'Line Follower'!$C$3/SUM(C2935:F2935,H2935:K2935)-'Line Follower'!$C$5)))</f>
        <v>#N/A</v>
      </c>
      <c r="O2935" s="22" t="e">
        <v>#N/A</v>
      </c>
      <c r="P2935" s="4" t="e">
        <f t="shared" si="225"/>
        <v>#N/A</v>
      </c>
      <c r="Q2935" s="4" t="e">
        <f t="shared" si="226"/>
        <v>#N/A</v>
      </c>
      <c r="R2935" s="4" t="e">
        <f>IF(AND(B2935=1,N2935&gt;'Line Follower'!$C$7,SUM(C2935:K2935)&lt;4),1,0)</f>
        <v>#N/A</v>
      </c>
      <c r="S2935" s="4" t="e">
        <f>IF(AND(L2935=1,N2935&lt;'Line Follower'!$C$6,SUM(C2935:K2935)&lt;4),1,0)</f>
        <v>#N/A</v>
      </c>
      <c r="T2935" s="4" t="e">
        <f t="shared" si="227"/>
        <v>#N/A</v>
      </c>
      <c r="U2935" s="5" t="e">
        <f t="shared" si="228"/>
        <v>#N/A</v>
      </c>
      <c r="V2935" s="23" t="e">
        <f t="shared" si="229"/>
        <v>#N/A</v>
      </c>
    </row>
    <row r="2936" spans="2:22" x14ac:dyDescent="0.25">
      <c r="B2936" s="16">
        <v>1</v>
      </c>
      <c r="C2936" s="7">
        <v>0</v>
      </c>
      <c r="D2936" s="8">
        <v>1</v>
      </c>
      <c r="E2936" s="8">
        <v>0</v>
      </c>
      <c r="F2936" s="8">
        <v>1</v>
      </c>
      <c r="G2936" s="8">
        <v>1</v>
      </c>
      <c r="H2936" s="8">
        <v>1</v>
      </c>
      <c r="I2936" s="8">
        <v>0</v>
      </c>
      <c r="J2936" s="8">
        <v>1</v>
      </c>
      <c r="K2936" s="9">
        <v>1</v>
      </c>
      <c r="L2936" s="10">
        <v>0</v>
      </c>
      <c r="M2936" s="6">
        <v>1</v>
      </c>
      <c r="N2936" s="37" t="e" cm="1">
        <f t="array" ref="N2936">IF(OR(ISNUMBER(FIND(Aux!$D$3:$D$9,_xlfn.TEXTJOIN(,,C2936:K2936)))),NA(),IF(AND(SUM(C2936:F2936,H2936:K2936)=0,G2936=1),0,INT((SUMPRODUCT(C2936:F2936,COLUMN($A$1:$D$1)-1)+SUMPRODUCT(H2936:K2936,COLUMN($E$1:$H$1)-1))*'Line Follower'!$C$3/SUM(C2936:F2936,H2936:K2936)-'Line Follower'!$C$5)))</f>
        <v>#N/A</v>
      </c>
      <c r="O2936" s="22" t="e">
        <v>#N/A</v>
      </c>
      <c r="P2936" s="4" t="e">
        <f t="shared" si="225"/>
        <v>#N/A</v>
      </c>
      <c r="Q2936" s="4" t="e">
        <f t="shared" si="226"/>
        <v>#N/A</v>
      </c>
      <c r="R2936" s="4" t="e">
        <f>IF(AND(B2936=1,N2936&gt;'Line Follower'!$C$7,SUM(C2936:K2936)&lt;4),1,0)</f>
        <v>#N/A</v>
      </c>
      <c r="S2936" s="4" t="e">
        <f>IF(AND(L2936=1,N2936&lt;'Line Follower'!$C$6,SUM(C2936:K2936)&lt;4),1,0)</f>
        <v>#N/A</v>
      </c>
      <c r="T2936" s="4" t="e">
        <f t="shared" si="227"/>
        <v>#N/A</v>
      </c>
      <c r="U2936" s="5" t="e">
        <f t="shared" si="228"/>
        <v>#N/A</v>
      </c>
      <c r="V2936" s="23" t="e">
        <f t="shared" si="229"/>
        <v>#N/A</v>
      </c>
    </row>
    <row r="2937" spans="2:22" x14ac:dyDescent="0.25">
      <c r="B2937" s="16">
        <v>0</v>
      </c>
      <c r="C2937" s="7">
        <v>1</v>
      </c>
      <c r="D2937" s="8">
        <v>1</v>
      </c>
      <c r="E2937" s="8">
        <v>0</v>
      </c>
      <c r="F2937" s="8">
        <v>1</v>
      </c>
      <c r="G2937" s="8">
        <v>1</v>
      </c>
      <c r="H2937" s="8">
        <v>1</v>
      </c>
      <c r="I2937" s="8">
        <v>0</v>
      </c>
      <c r="J2937" s="8">
        <v>1</v>
      </c>
      <c r="K2937" s="9">
        <v>1</v>
      </c>
      <c r="L2937" s="10">
        <v>0</v>
      </c>
      <c r="M2937" s="6">
        <v>1</v>
      </c>
      <c r="N2937" s="37" t="e" cm="1">
        <f t="array" ref="N2937">IF(OR(ISNUMBER(FIND(Aux!$D$3:$D$9,_xlfn.TEXTJOIN(,,C2937:K2937)))),NA(),IF(AND(SUM(C2937:F2937,H2937:K2937)=0,G2937=1),0,INT((SUMPRODUCT(C2937:F2937,COLUMN($A$1:$D$1)-1)+SUMPRODUCT(H2937:K2937,COLUMN($E$1:$H$1)-1))*'Line Follower'!$C$3/SUM(C2937:F2937,H2937:K2937)-'Line Follower'!$C$5)))</f>
        <v>#N/A</v>
      </c>
      <c r="O2937" s="22" t="e">
        <v>#N/A</v>
      </c>
      <c r="P2937" s="4" t="e">
        <f t="shared" si="225"/>
        <v>#N/A</v>
      </c>
      <c r="Q2937" s="4" t="e">
        <f t="shared" si="226"/>
        <v>#N/A</v>
      </c>
      <c r="R2937" s="4" t="e">
        <f>IF(AND(B2937=1,N2937&gt;'Line Follower'!$C$7,SUM(C2937:K2937)&lt;4),1,0)</f>
        <v>#N/A</v>
      </c>
      <c r="S2937" s="4" t="e">
        <f>IF(AND(L2937=1,N2937&lt;'Line Follower'!$C$6,SUM(C2937:K2937)&lt;4),1,0)</f>
        <v>#N/A</v>
      </c>
      <c r="T2937" s="4" t="e">
        <f t="shared" si="227"/>
        <v>#N/A</v>
      </c>
      <c r="U2937" s="5" t="e">
        <f t="shared" si="228"/>
        <v>#N/A</v>
      </c>
      <c r="V2937" s="23" t="e">
        <f t="shared" si="229"/>
        <v>#N/A</v>
      </c>
    </row>
    <row r="2938" spans="2:22" x14ac:dyDescent="0.25">
      <c r="B2938" s="16">
        <v>1</v>
      </c>
      <c r="C2938" s="7">
        <v>1</v>
      </c>
      <c r="D2938" s="8">
        <v>1</v>
      </c>
      <c r="E2938" s="8">
        <v>0</v>
      </c>
      <c r="F2938" s="8">
        <v>1</v>
      </c>
      <c r="G2938" s="8">
        <v>1</v>
      </c>
      <c r="H2938" s="8">
        <v>1</v>
      </c>
      <c r="I2938" s="8">
        <v>0</v>
      </c>
      <c r="J2938" s="8">
        <v>1</v>
      </c>
      <c r="K2938" s="9">
        <v>1</v>
      </c>
      <c r="L2938" s="10">
        <v>0</v>
      </c>
      <c r="M2938" s="6">
        <v>1</v>
      </c>
      <c r="N2938" s="37" t="e" cm="1">
        <f t="array" ref="N2938">IF(OR(ISNUMBER(FIND(Aux!$D$3:$D$9,_xlfn.TEXTJOIN(,,C2938:K2938)))),NA(),IF(AND(SUM(C2938:F2938,H2938:K2938)=0,G2938=1),0,INT((SUMPRODUCT(C2938:F2938,COLUMN($A$1:$D$1)-1)+SUMPRODUCT(H2938:K2938,COLUMN($E$1:$H$1)-1))*'Line Follower'!$C$3/SUM(C2938:F2938,H2938:K2938)-'Line Follower'!$C$5)))</f>
        <v>#N/A</v>
      </c>
      <c r="O2938" s="22" t="e">
        <v>#N/A</v>
      </c>
      <c r="P2938" s="4" t="e">
        <f t="shared" si="225"/>
        <v>#N/A</v>
      </c>
      <c r="Q2938" s="4" t="e">
        <f t="shared" si="226"/>
        <v>#N/A</v>
      </c>
      <c r="R2938" s="4" t="e">
        <f>IF(AND(B2938=1,N2938&gt;'Line Follower'!$C$7,SUM(C2938:K2938)&lt;4),1,0)</f>
        <v>#N/A</v>
      </c>
      <c r="S2938" s="4" t="e">
        <f>IF(AND(L2938=1,N2938&lt;'Line Follower'!$C$6,SUM(C2938:K2938)&lt;4),1,0)</f>
        <v>#N/A</v>
      </c>
      <c r="T2938" s="4" t="e">
        <f t="shared" si="227"/>
        <v>#N/A</v>
      </c>
      <c r="U2938" s="5" t="e">
        <f t="shared" si="228"/>
        <v>#N/A</v>
      </c>
      <c r="V2938" s="23" t="e">
        <f t="shared" si="229"/>
        <v>#N/A</v>
      </c>
    </row>
    <row r="2939" spans="2:22" x14ac:dyDescent="0.25">
      <c r="B2939" s="16">
        <v>0</v>
      </c>
      <c r="C2939" s="7">
        <v>0</v>
      </c>
      <c r="D2939" s="8">
        <v>0</v>
      </c>
      <c r="E2939" s="8">
        <v>1</v>
      </c>
      <c r="F2939" s="8">
        <v>1</v>
      </c>
      <c r="G2939" s="8">
        <v>1</v>
      </c>
      <c r="H2939" s="8">
        <v>1</v>
      </c>
      <c r="I2939" s="8">
        <v>0</v>
      </c>
      <c r="J2939" s="8">
        <v>1</v>
      </c>
      <c r="K2939" s="9">
        <v>1</v>
      </c>
      <c r="L2939" s="10">
        <v>0</v>
      </c>
      <c r="M2939" s="6">
        <v>1</v>
      </c>
      <c r="N2939" s="37" t="e" cm="1">
        <f t="array" ref="N2939">IF(OR(ISNUMBER(FIND(Aux!$D$3:$D$9,_xlfn.TEXTJOIN(,,C2939:K2939)))),NA(),IF(AND(SUM(C2939:F2939,H2939:K2939)=0,G2939=1),0,INT((SUMPRODUCT(C2939:F2939,COLUMN($A$1:$D$1)-1)+SUMPRODUCT(H2939:K2939,COLUMN($E$1:$H$1)-1))*'Line Follower'!$C$3/SUM(C2939:F2939,H2939:K2939)-'Line Follower'!$C$5)))</f>
        <v>#N/A</v>
      </c>
      <c r="O2939" s="22" t="e">
        <v>#N/A</v>
      </c>
      <c r="P2939" s="4" t="e">
        <f t="shared" si="225"/>
        <v>#N/A</v>
      </c>
      <c r="Q2939" s="4" t="e">
        <f t="shared" si="226"/>
        <v>#N/A</v>
      </c>
      <c r="R2939" s="4" t="e">
        <f>IF(AND(B2939=1,N2939&gt;'Line Follower'!$C$7,SUM(C2939:K2939)&lt;4),1,0)</f>
        <v>#N/A</v>
      </c>
      <c r="S2939" s="4" t="e">
        <f>IF(AND(L2939=1,N2939&lt;'Line Follower'!$C$6,SUM(C2939:K2939)&lt;4),1,0)</f>
        <v>#N/A</v>
      </c>
      <c r="T2939" s="4" t="e">
        <f t="shared" si="227"/>
        <v>#N/A</v>
      </c>
      <c r="U2939" s="5" t="e">
        <f t="shared" si="228"/>
        <v>#N/A</v>
      </c>
      <c r="V2939" s="23" t="e">
        <f t="shared" si="229"/>
        <v>#N/A</v>
      </c>
    </row>
    <row r="2940" spans="2:22" x14ac:dyDescent="0.25">
      <c r="B2940" s="16">
        <v>1</v>
      </c>
      <c r="C2940" s="7">
        <v>0</v>
      </c>
      <c r="D2940" s="8">
        <v>0</v>
      </c>
      <c r="E2940" s="8">
        <v>1</v>
      </c>
      <c r="F2940" s="8">
        <v>1</v>
      </c>
      <c r="G2940" s="8">
        <v>1</v>
      </c>
      <c r="H2940" s="8">
        <v>1</v>
      </c>
      <c r="I2940" s="8">
        <v>0</v>
      </c>
      <c r="J2940" s="8">
        <v>1</v>
      </c>
      <c r="K2940" s="9">
        <v>1</v>
      </c>
      <c r="L2940" s="10">
        <v>0</v>
      </c>
      <c r="M2940" s="6">
        <v>1</v>
      </c>
      <c r="N2940" s="37" t="e" cm="1">
        <f t="array" ref="N2940">IF(OR(ISNUMBER(FIND(Aux!$D$3:$D$9,_xlfn.TEXTJOIN(,,C2940:K2940)))),NA(),IF(AND(SUM(C2940:F2940,H2940:K2940)=0,G2940=1),0,INT((SUMPRODUCT(C2940:F2940,COLUMN($A$1:$D$1)-1)+SUMPRODUCT(H2940:K2940,COLUMN($E$1:$H$1)-1))*'Line Follower'!$C$3/SUM(C2940:F2940,H2940:K2940)-'Line Follower'!$C$5)))</f>
        <v>#N/A</v>
      </c>
      <c r="O2940" s="22" t="e">
        <v>#N/A</v>
      </c>
      <c r="P2940" s="4" t="e">
        <f t="shared" si="225"/>
        <v>#N/A</v>
      </c>
      <c r="Q2940" s="4" t="e">
        <f t="shared" si="226"/>
        <v>#N/A</v>
      </c>
      <c r="R2940" s="4" t="e">
        <f>IF(AND(B2940=1,N2940&gt;'Line Follower'!$C$7,SUM(C2940:K2940)&lt;4),1,0)</f>
        <v>#N/A</v>
      </c>
      <c r="S2940" s="4" t="e">
        <f>IF(AND(L2940=1,N2940&lt;'Line Follower'!$C$6,SUM(C2940:K2940)&lt;4),1,0)</f>
        <v>#N/A</v>
      </c>
      <c r="T2940" s="4" t="e">
        <f t="shared" si="227"/>
        <v>#N/A</v>
      </c>
      <c r="U2940" s="5" t="e">
        <f t="shared" si="228"/>
        <v>#N/A</v>
      </c>
      <c r="V2940" s="23" t="e">
        <f t="shared" si="229"/>
        <v>#N/A</v>
      </c>
    </row>
    <row r="2941" spans="2:22" x14ac:dyDescent="0.25">
      <c r="B2941" s="16">
        <v>0</v>
      </c>
      <c r="C2941" s="7">
        <v>1</v>
      </c>
      <c r="D2941" s="8">
        <v>0</v>
      </c>
      <c r="E2941" s="8">
        <v>1</v>
      </c>
      <c r="F2941" s="8">
        <v>1</v>
      </c>
      <c r="G2941" s="8">
        <v>1</v>
      </c>
      <c r="H2941" s="8">
        <v>1</v>
      </c>
      <c r="I2941" s="8">
        <v>0</v>
      </c>
      <c r="J2941" s="8">
        <v>1</v>
      </c>
      <c r="K2941" s="9">
        <v>1</v>
      </c>
      <c r="L2941" s="10">
        <v>0</v>
      </c>
      <c r="M2941" s="6">
        <v>1</v>
      </c>
      <c r="N2941" s="37" t="e" cm="1">
        <f t="array" ref="N2941">IF(OR(ISNUMBER(FIND(Aux!$D$3:$D$9,_xlfn.TEXTJOIN(,,C2941:K2941)))),NA(),IF(AND(SUM(C2941:F2941,H2941:K2941)=0,G2941=1),0,INT((SUMPRODUCT(C2941:F2941,COLUMN($A$1:$D$1)-1)+SUMPRODUCT(H2941:K2941,COLUMN($E$1:$H$1)-1))*'Line Follower'!$C$3/SUM(C2941:F2941,H2941:K2941)-'Line Follower'!$C$5)))</f>
        <v>#N/A</v>
      </c>
      <c r="O2941" s="22" t="e">
        <v>#N/A</v>
      </c>
      <c r="P2941" s="4" t="e">
        <f t="shared" si="225"/>
        <v>#N/A</v>
      </c>
      <c r="Q2941" s="4" t="e">
        <f t="shared" si="226"/>
        <v>#N/A</v>
      </c>
      <c r="R2941" s="4" t="e">
        <f>IF(AND(B2941=1,N2941&gt;'Line Follower'!$C$7,SUM(C2941:K2941)&lt;4),1,0)</f>
        <v>#N/A</v>
      </c>
      <c r="S2941" s="4" t="e">
        <f>IF(AND(L2941=1,N2941&lt;'Line Follower'!$C$6,SUM(C2941:K2941)&lt;4),1,0)</f>
        <v>#N/A</v>
      </c>
      <c r="T2941" s="4" t="e">
        <f t="shared" si="227"/>
        <v>#N/A</v>
      </c>
      <c r="U2941" s="5" t="e">
        <f t="shared" si="228"/>
        <v>#N/A</v>
      </c>
      <c r="V2941" s="23" t="e">
        <f t="shared" si="229"/>
        <v>#N/A</v>
      </c>
    </row>
    <row r="2942" spans="2:22" x14ac:dyDescent="0.25">
      <c r="B2942" s="16">
        <v>1</v>
      </c>
      <c r="C2942" s="7">
        <v>1</v>
      </c>
      <c r="D2942" s="8">
        <v>0</v>
      </c>
      <c r="E2942" s="8">
        <v>1</v>
      </c>
      <c r="F2942" s="8">
        <v>1</v>
      </c>
      <c r="G2942" s="8">
        <v>1</v>
      </c>
      <c r="H2942" s="8">
        <v>1</v>
      </c>
      <c r="I2942" s="8">
        <v>0</v>
      </c>
      <c r="J2942" s="8">
        <v>1</v>
      </c>
      <c r="K2942" s="9">
        <v>1</v>
      </c>
      <c r="L2942" s="10">
        <v>0</v>
      </c>
      <c r="M2942" s="6">
        <v>1</v>
      </c>
      <c r="N2942" s="37" t="e" cm="1">
        <f t="array" ref="N2942">IF(OR(ISNUMBER(FIND(Aux!$D$3:$D$9,_xlfn.TEXTJOIN(,,C2942:K2942)))),NA(),IF(AND(SUM(C2942:F2942,H2942:K2942)=0,G2942=1),0,INT((SUMPRODUCT(C2942:F2942,COLUMN($A$1:$D$1)-1)+SUMPRODUCT(H2942:K2942,COLUMN($E$1:$H$1)-1))*'Line Follower'!$C$3/SUM(C2942:F2942,H2942:K2942)-'Line Follower'!$C$5)))</f>
        <v>#N/A</v>
      </c>
      <c r="O2942" s="22" t="e">
        <v>#N/A</v>
      </c>
      <c r="P2942" s="4" t="e">
        <f t="shared" si="225"/>
        <v>#N/A</v>
      </c>
      <c r="Q2942" s="4" t="e">
        <f t="shared" si="226"/>
        <v>#N/A</v>
      </c>
      <c r="R2942" s="4" t="e">
        <f>IF(AND(B2942=1,N2942&gt;'Line Follower'!$C$7,SUM(C2942:K2942)&lt;4),1,0)</f>
        <v>#N/A</v>
      </c>
      <c r="S2942" s="4" t="e">
        <f>IF(AND(L2942=1,N2942&lt;'Line Follower'!$C$6,SUM(C2942:K2942)&lt;4),1,0)</f>
        <v>#N/A</v>
      </c>
      <c r="T2942" s="4" t="e">
        <f t="shared" si="227"/>
        <v>#N/A</v>
      </c>
      <c r="U2942" s="5" t="e">
        <f t="shared" si="228"/>
        <v>#N/A</v>
      </c>
      <c r="V2942" s="23" t="e">
        <f t="shared" si="229"/>
        <v>#N/A</v>
      </c>
    </row>
    <row r="2943" spans="2:22" x14ac:dyDescent="0.25">
      <c r="B2943" s="16">
        <v>0</v>
      </c>
      <c r="C2943" s="7">
        <v>0</v>
      </c>
      <c r="D2943" s="8">
        <v>1</v>
      </c>
      <c r="E2943" s="8">
        <v>1</v>
      </c>
      <c r="F2943" s="8">
        <v>1</v>
      </c>
      <c r="G2943" s="8">
        <v>1</v>
      </c>
      <c r="H2943" s="8">
        <v>1</v>
      </c>
      <c r="I2943" s="8">
        <v>0</v>
      </c>
      <c r="J2943" s="8">
        <v>1</v>
      </c>
      <c r="K2943" s="9">
        <v>1</v>
      </c>
      <c r="L2943" s="10">
        <v>0</v>
      </c>
      <c r="M2943" s="6">
        <v>1</v>
      </c>
      <c r="N2943" s="37" t="e" cm="1">
        <f t="array" ref="N2943">IF(OR(ISNUMBER(FIND(Aux!$D$3:$D$9,_xlfn.TEXTJOIN(,,C2943:K2943)))),NA(),IF(AND(SUM(C2943:F2943,H2943:K2943)=0,G2943=1),0,INT((SUMPRODUCT(C2943:F2943,COLUMN($A$1:$D$1)-1)+SUMPRODUCT(H2943:K2943,COLUMN($E$1:$H$1)-1))*'Line Follower'!$C$3/SUM(C2943:F2943,H2943:K2943)-'Line Follower'!$C$5)))</f>
        <v>#N/A</v>
      </c>
      <c r="O2943" s="22" t="e">
        <v>#N/A</v>
      </c>
      <c r="P2943" s="4" t="e">
        <f t="shared" si="225"/>
        <v>#N/A</v>
      </c>
      <c r="Q2943" s="4" t="e">
        <f t="shared" si="226"/>
        <v>#N/A</v>
      </c>
      <c r="R2943" s="4" t="e">
        <f>IF(AND(B2943=1,N2943&gt;'Line Follower'!$C$7,SUM(C2943:K2943)&lt;4),1,0)</f>
        <v>#N/A</v>
      </c>
      <c r="S2943" s="4" t="e">
        <f>IF(AND(L2943=1,N2943&lt;'Line Follower'!$C$6,SUM(C2943:K2943)&lt;4),1,0)</f>
        <v>#N/A</v>
      </c>
      <c r="T2943" s="4" t="e">
        <f t="shared" si="227"/>
        <v>#N/A</v>
      </c>
      <c r="U2943" s="5" t="e">
        <f t="shared" si="228"/>
        <v>#N/A</v>
      </c>
      <c r="V2943" s="23" t="e">
        <f t="shared" si="229"/>
        <v>#N/A</v>
      </c>
    </row>
    <row r="2944" spans="2:22" x14ac:dyDescent="0.25">
      <c r="B2944" s="16">
        <v>1</v>
      </c>
      <c r="C2944" s="7">
        <v>0</v>
      </c>
      <c r="D2944" s="8">
        <v>1</v>
      </c>
      <c r="E2944" s="8">
        <v>1</v>
      </c>
      <c r="F2944" s="8">
        <v>1</v>
      </c>
      <c r="G2944" s="8">
        <v>1</v>
      </c>
      <c r="H2944" s="8">
        <v>1</v>
      </c>
      <c r="I2944" s="8">
        <v>0</v>
      </c>
      <c r="J2944" s="8">
        <v>1</v>
      </c>
      <c r="K2944" s="9">
        <v>1</v>
      </c>
      <c r="L2944" s="10">
        <v>0</v>
      </c>
      <c r="M2944" s="6">
        <v>1</v>
      </c>
      <c r="N2944" s="37" t="e" cm="1">
        <f t="array" ref="N2944">IF(OR(ISNUMBER(FIND(Aux!$D$3:$D$9,_xlfn.TEXTJOIN(,,C2944:K2944)))),NA(),IF(AND(SUM(C2944:F2944,H2944:K2944)=0,G2944=1),0,INT((SUMPRODUCT(C2944:F2944,COLUMN($A$1:$D$1)-1)+SUMPRODUCT(H2944:K2944,COLUMN($E$1:$H$1)-1))*'Line Follower'!$C$3/SUM(C2944:F2944,H2944:K2944)-'Line Follower'!$C$5)))</f>
        <v>#N/A</v>
      </c>
      <c r="O2944" s="22" t="e">
        <v>#N/A</v>
      </c>
      <c r="P2944" s="4" t="e">
        <f t="shared" si="225"/>
        <v>#N/A</v>
      </c>
      <c r="Q2944" s="4" t="e">
        <f t="shared" si="226"/>
        <v>#N/A</v>
      </c>
      <c r="R2944" s="4" t="e">
        <f>IF(AND(B2944=1,N2944&gt;'Line Follower'!$C$7,SUM(C2944:K2944)&lt;4),1,0)</f>
        <v>#N/A</v>
      </c>
      <c r="S2944" s="4" t="e">
        <f>IF(AND(L2944=1,N2944&lt;'Line Follower'!$C$6,SUM(C2944:K2944)&lt;4),1,0)</f>
        <v>#N/A</v>
      </c>
      <c r="T2944" s="4" t="e">
        <f t="shared" si="227"/>
        <v>#N/A</v>
      </c>
      <c r="U2944" s="5" t="e">
        <f t="shared" si="228"/>
        <v>#N/A</v>
      </c>
      <c r="V2944" s="23" t="e">
        <f t="shared" si="229"/>
        <v>#N/A</v>
      </c>
    </row>
    <row r="2945" spans="2:22" x14ac:dyDescent="0.25">
      <c r="B2945" s="16">
        <v>0</v>
      </c>
      <c r="C2945" s="7">
        <v>1</v>
      </c>
      <c r="D2945" s="8">
        <v>1</v>
      </c>
      <c r="E2945" s="8">
        <v>1</v>
      </c>
      <c r="F2945" s="8">
        <v>1</v>
      </c>
      <c r="G2945" s="8">
        <v>1</v>
      </c>
      <c r="H2945" s="8">
        <v>1</v>
      </c>
      <c r="I2945" s="8">
        <v>0</v>
      </c>
      <c r="J2945" s="8">
        <v>1</v>
      </c>
      <c r="K2945" s="9">
        <v>1</v>
      </c>
      <c r="L2945" s="10">
        <v>0</v>
      </c>
      <c r="M2945" s="6">
        <v>1</v>
      </c>
      <c r="N2945" s="37" t="e" cm="1">
        <f t="array" ref="N2945">IF(OR(ISNUMBER(FIND(Aux!$D$3:$D$9,_xlfn.TEXTJOIN(,,C2945:K2945)))),NA(),IF(AND(SUM(C2945:F2945,H2945:K2945)=0,G2945=1),0,INT((SUMPRODUCT(C2945:F2945,COLUMN($A$1:$D$1)-1)+SUMPRODUCT(H2945:K2945,COLUMN($E$1:$H$1)-1))*'Line Follower'!$C$3/SUM(C2945:F2945,H2945:K2945)-'Line Follower'!$C$5)))</f>
        <v>#N/A</v>
      </c>
      <c r="O2945" s="22" t="e">
        <v>#N/A</v>
      </c>
      <c r="P2945" s="4" t="e">
        <f t="shared" si="225"/>
        <v>#N/A</v>
      </c>
      <c r="Q2945" s="4" t="e">
        <f t="shared" si="226"/>
        <v>#N/A</v>
      </c>
      <c r="R2945" s="4" t="e">
        <f>IF(AND(B2945=1,N2945&gt;'Line Follower'!$C$7,SUM(C2945:K2945)&lt;4),1,0)</f>
        <v>#N/A</v>
      </c>
      <c r="S2945" s="4" t="e">
        <f>IF(AND(L2945=1,N2945&lt;'Line Follower'!$C$6,SUM(C2945:K2945)&lt;4),1,0)</f>
        <v>#N/A</v>
      </c>
      <c r="T2945" s="4" t="e">
        <f t="shared" si="227"/>
        <v>#N/A</v>
      </c>
      <c r="U2945" s="5" t="e">
        <f t="shared" si="228"/>
        <v>#N/A</v>
      </c>
      <c r="V2945" s="23" t="e">
        <f t="shared" si="229"/>
        <v>#N/A</v>
      </c>
    </row>
    <row r="2946" spans="2:22" x14ac:dyDescent="0.25">
      <c r="B2946" s="16">
        <v>1</v>
      </c>
      <c r="C2946" s="7">
        <v>1</v>
      </c>
      <c r="D2946" s="8">
        <v>1</v>
      </c>
      <c r="E2946" s="8">
        <v>1</v>
      </c>
      <c r="F2946" s="8">
        <v>1</v>
      </c>
      <c r="G2946" s="8">
        <v>1</v>
      </c>
      <c r="H2946" s="8">
        <v>1</v>
      </c>
      <c r="I2946" s="8">
        <v>0</v>
      </c>
      <c r="J2946" s="8">
        <v>1</v>
      </c>
      <c r="K2946" s="9">
        <v>1</v>
      </c>
      <c r="L2946" s="10">
        <v>0</v>
      </c>
      <c r="M2946" s="6">
        <v>1</v>
      </c>
      <c r="N2946" s="37" t="e" cm="1">
        <f t="array" ref="N2946">IF(OR(ISNUMBER(FIND(Aux!$D$3:$D$9,_xlfn.TEXTJOIN(,,C2946:K2946)))),NA(),IF(AND(SUM(C2946:F2946,H2946:K2946)=0,G2946=1),0,INT((SUMPRODUCT(C2946:F2946,COLUMN($A$1:$D$1)-1)+SUMPRODUCT(H2946:K2946,COLUMN($E$1:$H$1)-1))*'Line Follower'!$C$3/SUM(C2946:F2946,H2946:K2946)-'Line Follower'!$C$5)))</f>
        <v>#N/A</v>
      </c>
      <c r="O2946" s="22" t="e">
        <v>#N/A</v>
      </c>
      <c r="P2946" s="4" t="e">
        <f t="shared" si="225"/>
        <v>#N/A</v>
      </c>
      <c r="Q2946" s="4" t="e">
        <f t="shared" si="226"/>
        <v>#N/A</v>
      </c>
      <c r="R2946" s="4" t="e">
        <f>IF(AND(B2946=1,N2946&gt;'Line Follower'!$C$7,SUM(C2946:K2946)&lt;4),1,0)</f>
        <v>#N/A</v>
      </c>
      <c r="S2946" s="4" t="e">
        <f>IF(AND(L2946=1,N2946&lt;'Line Follower'!$C$6,SUM(C2946:K2946)&lt;4),1,0)</f>
        <v>#N/A</v>
      </c>
      <c r="T2946" s="4" t="e">
        <f t="shared" si="227"/>
        <v>#N/A</v>
      </c>
      <c r="U2946" s="5" t="e">
        <f t="shared" si="228"/>
        <v>#N/A</v>
      </c>
      <c r="V2946" s="23" t="e">
        <f t="shared" si="229"/>
        <v>#N/A</v>
      </c>
    </row>
    <row r="2947" spans="2:22" x14ac:dyDescent="0.25">
      <c r="B2947" s="16">
        <v>0</v>
      </c>
      <c r="C2947" s="7">
        <v>0</v>
      </c>
      <c r="D2947" s="8">
        <v>0</v>
      </c>
      <c r="E2947" s="8">
        <v>0</v>
      </c>
      <c r="F2947" s="8">
        <v>0</v>
      </c>
      <c r="G2947" s="8">
        <v>0</v>
      </c>
      <c r="H2947" s="8">
        <v>0</v>
      </c>
      <c r="I2947" s="8">
        <v>1</v>
      </c>
      <c r="J2947" s="8">
        <v>1</v>
      </c>
      <c r="K2947" s="9">
        <v>1</v>
      </c>
      <c r="L2947" s="10">
        <v>0</v>
      </c>
      <c r="M2947" s="6">
        <v>1</v>
      </c>
      <c r="N2947" s="37" cm="1">
        <f t="array" ref="N2947">IF(OR(ISNUMBER(FIND(Aux!$D$3:$D$9,_xlfn.TEXTJOIN(,,C2947:K2947)))),NA(),IF(AND(SUM(C2947:F2947,H2947:K2947)=0,G2947=1),0,INT((SUMPRODUCT(C2947:F2947,COLUMN($A$1:$D$1)-1)+SUMPRODUCT(H2947:K2947,COLUMN($E$1:$H$1)-1))*'Line Follower'!$C$3/SUM(C2947:F2947,H2947:K2947)-'Line Follower'!$C$5)))</f>
        <v>5</v>
      </c>
      <c r="O2947" s="22">
        <v>1</v>
      </c>
      <c r="P2947" s="4">
        <f t="shared" ref="P2947:P3010" si="230">IF(AND(N2947=0,G2947=1,M2947=1),1,0)</f>
        <v>0</v>
      </c>
      <c r="Q2947" s="4">
        <f t="shared" ref="Q2947:Q3010" si="231">IF(ISERROR(N2947),N2947,IF(SUM(C2947:K2947)&gt;=4,1,0))</f>
        <v>0</v>
      </c>
      <c r="R2947" s="4">
        <f>IF(AND(B2947=1,N2947&gt;'Line Follower'!$C$7,SUM(C2947:K2947)&lt;4),1,0)</f>
        <v>0</v>
      </c>
      <c r="S2947" s="4">
        <f>IF(AND(L2947=1,N2947&lt;'Line Follower'!$C$6,SUM(C2947:K2947)&lt;4),1,0)</f>
        <v>0</v>
      </c>
      <c r="T2947" s="4">
        <f t="shared" si="227"/>
        <v>0</v>
      </c>
      <c r="U2947" s="5">
        <f t="shared" si="228"/>
        <v>0</v>
      </c>
      <c r="V2947" s="23">
        <f t="shared" si="229"/>
        <v>0</v>
      </c>
    </row>
    <row r="2948" spans="2:22" x14ac:dyDescent="0.25">
      <c r="B2948" s="16">
        <v>1</v>
      </c>
      <c r="C2948" s="7">
        <v>0</v>
      </c>
      <c r="D2948" s="8">
        <v>0</v>
      </c>
      <c r="E2948" s="8">
        <v>0</v>
      </c>
      <c r="F2948" s="8">
        <v>0</v>
      </c>
      <c r="G2948" s="8">
        <v>0</v>
      </c>
      <c r="H2948" s="8">
        <v>0</v>
      </c>
      <c r="I2948" s="8">
        <v>1</v>
      </c>
      <c r="J2948" s="8">
        <v>1</v>
      </c>
      <c r="K2948" s="9">
        <v>1</v>
      </c>
      <c r="L2948" s="10">
        <v>0</v>
      </c>
      <c r="M2948" s="6">
        <v>1</v>
      </c>
      <c r="N2948" s="37" cm="1">
        <f t="array" ref="N2948">IF(OR(ISNUMBER(FIND(Aux!$D$3:$D$9,_xlfn.TEXTJOIN(,,C2948:K2948)))),NA(),IF(AND(SUM(C2948:F2948,H2948:K2948)=0,G2948=1),0,INT((SUMPRODUCT(C2948:F2948,COLUMN($A$1:$D$1)-1)+SUMPRODUCT(H2948:K2948,COLUMN($E$1:$H$1)-1))*'Line Follower'!$C$3/SUM(C2948:F2948,H2948:K2948)-'Line Follower'!$C$5)))</f>
        <v>5</v>
      </c>
      <c r="O2948" s="22">
        <v>1</v>
      </c>
      <c r="P2948" s="4">
        <f t="shared" si="230"/>
        <v>0</v>
      </c>
      <c r="Q2948" s="4">
        <f t="shared" si="231"/>
        <v>0</v>
      </c>
      <c r="R2948" s="4">
        <f>IF(AND(B2948=1,N2948&gt;'Line Follower'!$C$7,SUM(C2948:K2948)&lt;4),1,0)</f>
        <v>1</v>
      </c>
      <c r="S2948" s="4">
        <f>IF(AND(L2948=1,N2948&lt;'Line Follower'!$C$6,SUM(C2948:K2948)&lt;4),1,0)</f>
        <v>0</v>
      </c>
      <c r="T2948" s="4">
        <f t="shared" ref="T2948:T3011" si="232">IF(ISNA(N2948),NA(),IF(SUM(C2948:L2948)=0,1,0))</f>
        <v>0</v>
      </c>
      <c r="U2948" s="5">
        <f t="shared" ref="U2948:U3011" si="233">IF(ISNA(N2948),NA(),IF(SUM(B2948:K2948)=0,1,0))</f>
        <v>0</v>
      </c>
      <c r="V2948" s="23">
        <f t="shared" ref="V2948:V3011" si="234">IF(ISNA(N2948),NA(),IF(SUM(B2948:L2948)=0,1,0))</f>
        <v>0</v>
      </c>
    </row>
    <row r="2949" spans="2:22" x14ac:dyDescent="0.25">
      <c r="B2949" s="16">
        <v>0</v>
      </c>
      <c r="C2949" s="7">
        <v>1</v>
      </c>
      <c r="D2949" s="8">
        <v>0</v>
      </c>
      <c r="E2949" s="8">
        <v>0</v>
      </c>
      <c r="F2949" s="8">
        <v>0</v>
      </c>
      <c r="G2949" s="8">
        <v>0</v>
      </c>
      <c r="H2949" s="8">
        <v>0</v>
      </c>
      <c r="I2949" s="8">
        <v>1</v>
      </c>
      <c r="J2949" s="8">
        <v>1</v>
      </c>
      <c r="K2949" s="9">
        <v>1</v>
      </c>
      <c r="L2949" s="10">
        <v>0</v>
      </c>
      <c r="M2949" s="6">
        <v>1</v>
      </c>
      <c r="N2949" s="37" t="e" cm="1">
        <f t="array" ref="N2949">IF(OR(ISNUMBER(FIND(Aux!$D$3:$D$9,_xlfn.TEXTJOIN(,,C2949:K2949)))),NA(),IF(AND(SUM(C2949:F2949,H2949:K2949)=0,G2949=1),0,INT((SUMPRODUCT(C2949:F2949,COLUMN($A$1:$D$1)-1)+SUMPRODUCT(H2949:K2949,COLUMN($E$1:$H$1)-1))*'Line Follower'!$C$3/SUM(C2949:F2949,H2949:K2949)-'Line Follower'!$C$5)))</f>
        <v>#N/A</v>
      </c>
      <c r="O2949" s="22" t="e">
        <v>#N/A</v>
      </c>
      <c r="P2949" s="4" t="e">
        <f t="shared" si="230"/>
        <v>#N/A</v>
      </c>
      <c r="Q2949" s="4" t="e">
        <f t="shared" si="231"/>
        <v>#N/A</v>
      </c>
      <c r="R2949" s="4" t="e">
        <f>IF(AND(B2949=1,N2949&gt;'Line Follower'!$C$7,SUM(C2949:K2949)&lt;4),1,0)</f>
        <v>#N/A</v>
      </c>
      <c r="S2949" s="4" t="e">
        <f>IF(AND(L2949=1,N2949&lt;'Line Follower'!$C$6,SUM(C2949:K2949)&lt;4),1,0)</f>
        <v>#N/A</v>
      </c>
      <c r="T2949" s="4" t="e">
        <f t="shared" si="232"/>
        <v>#N/A</v>
      </c>
      <c r="U2949" s="5" t="e">
        <f t="shared" si="233"/>
        <v>#N/A</v>
      </c>
      <c r="V2949" s="23" t="e">
        <f t="shared" si="234"/>
        <v>#N/A</v>
      </c>
    </row>
    <row r="2950" spans="2:22" x14ac:dyDescent="0.25">
      <c r="B2950" s="16">
        <v>1</v>
      </c>
      <c r="C2950" s="7">
        <v>1</v>
      </c>
      <c r="D2950" s="8">
        <v>0</v>
      </c>
      <c r="E2950" s="8">
        <v>0</v>
      </c>
      <c r="F2950" s="8">
        <v>0</v>
      </c>
      <c r="G2950" s="8">
        <v>0</v>
      </c>
      <c r="H2950" s="8">
        <v>0</v>
      </c>
      <c r="I2950" s="8">
        <v>1</v>
      </c>
      <c r="J2950" s="8">
        <v>1</v>
      </c>
      <c r="K2950" s="9">
        <v>1</v>
      </c>
      <c r="L2950" s="10">
        <v>0</v>
      </c>
      <c r="M2950" s="6">
        <v>1</v>
      </c>
      <c r="N2950" s="37" t="e" cm="1">
        <f t="array" ref="N2950">IF(OR(ISNUMBER(FIND(Aux!$D$3:$D$9,_xlfn.TEXTJOIN(,,C2950:K2950)))),NA(),IF(AND(SUM(C2950:F2950,H2950:K2950)=0,G2950=1),0,INT((SUMPRODUCT(C2950:F2950,COLUMN($A$1:$D$1)-1)+SUMPRODUCT(H2950:K2950,COLUMN($E$1:$H$1)-1))*'Line Follower'!$C$3/SUM(C2950:F2950,H2950:K2950)-'Line Follower'!$C$5)))</f>
        <v>#N/A</v>
      </c>
      <c r="O2950" s="22" t="e">
        <v>#N/A</v>
      </c>
      <c r="P2950" s="4" t="e">
        <f t="shared" si="230"/>
        <v>#N/A</v>
      </c>
      <c r="Q2950" s="4" t="e">
        <f t="shared" si="231"/>
        <v>#N/A</v>
      </c>
      <c r="R2950" s="4" t="e">
        <f>IF(AND(B2950=1,N2950&gt;'Line Follower'!$C$7,SUM(C2950:K2950)&lt;4),1,0)</f>
        <v>#N/A</v>
      </c>
      <c r="S2950" s="4" t="e">
        <f>IF(AND(L2950=1,N2950&lt;'Line Follower'!$C$6,SUM(C2950:K2950)&lt;4),1,0)</f>
        <v>#N/A</v>
      </c>
      <c r="T2950" s="4" t="e">
        <f t="shared" si="232"/>
        <v>#N/A</v>
      </c>
      <c r="U2950" s="5" t="e">
        <f t="shared" si="233"/>
        <v>#N/A</v>
      </c>
      <c r="V2950" s="23" t="e">
        <f t="shared" si="234"/>
        <v>#N/A</v>
      </c>
    </row>
    <row r="2951" spans="2:22" x14ac:dyDescent="0.25">
      <c r="B2951" s="16">
        <v>0</v>
      </c>
      <c r="C2951" s="7">
        <v>0</v>
      </c>
      <c r="D2951" s="8">
        <v>1</v>
      </c>
      <c r="E2951" s="8">
        <v>0</v>
      </c>
      <c r="F2951" s="8">
        <v>0</v>
      </c>
      <c r="G2951" s="8">
        <v>0</v>
      </c>
      <c r="H2951" s="8">
        <v>0</v>
      </c>
      <c r="I2951" s="8">
        <v>1</v>
      </c>
      <c r="J2951" s="8">
        <v>1</v>
      </c>
      <c r="K2951" s="9">
        <v>1</v>
      </c>
      <c r="L2951" s="10">
        <v>0</v>
      </c>
      <c r="M2951" s="6">
        <v>1</v>
      </c>
      <c r="N2951" s="37" t="e" cm="1">
        <f t="array" ref="N2951">IF(OR(ISNUMBER(FIND(Aux!$D$3:$D$9,_xlfn.TEXTJOIN(,,C2951:K2951)))),NA(),IF(AND(SUM(C2951:F2951,H2951:K2951)=0,G2951=1),0,INT((SUMPRODUCT(C2951:F2951,COLUMN($A$1:$D$1)-1)+SUMPRODUCT(H2951:K2951,COLUMN($E$1:$H$1)-1))*'Line Follower'!$C$3/SUM(C2951:F2951,H2951:K2951)-'Line Follower'!$C$5)))</f>
        <v>#N/A</v>
      </c>
      <c r="O2951" s="22" t="e">
        <v>#N/A</v>
      </c>
      <c r="P2951" s="4" t="e">
        <f t="shared" si="230"/>
        <v>#N/A</v>
      </c>
      <c r="Q2951" s="4" t="e">
        <f t="shared" si="231"/>
        <v>#N/A</v>
      </c>
      <c r="R2951" s="4" t="e">
        <f>IF(AND(B2951=1,N2951&gt;'Line Follower'!$C$7,SUM(C2951:K2951)&lt;4),1,0)</f>
        <v>#N/A</v>
      </c>
      <c r="S2951" s="4" t="e">
        <f>IF(AND(L2951=1,N2951&lt;'Line Follower'!$C$6,SUM(C2951:K2951)&lt;4),1,0)</f>
        <v>#N/A</v>
      </c>
      <c r="T2951" s="4" t="e">
        <f t="shared" si="232"/>
        <v>#N/A</v>
      </c>
      <c r="U2951" s="5" t="e">
        <f t="shared" si="233"/>
        <v>#N/A</v>
      </c>
      <c r="V2951" s="23" t="e">
        <f t="shared" si="234"/>
        <v>#N/A</v>
      </c>
    </row>
    <row r="2952" spans="2:22" x14ac:dyDescent="0.25">
      <c r="B2952" s="16">
        <v>1</v>
      </c>
      <c r="C2952" s="7">
        <v>0</v>
      </c>
      <c r="D2952" s="8">
        <v>1</v>
      </c>
      <c r="E2952" s="8">
        <v>0</v>
      </c>
      <c r="F2952" s="8">
        <v>0</v>
      </c>
      <c r="G2952" s="8">
        <v>0</v>
      </c>
      <c r="H2952" s="8">
        <v>0</v>
      </c>
      <c r="I2952" s="8">
        <v>1</v>
      </c>
      <c r="J2952" s="8">
        <v>1</v>
      </c>
      <c r="K2952" s="9">
        <v>1</v>
      </c>
      <c r="L2952" s="10">
        <v>0</v>
      </c>
      <c r="M2952" s="6">
        <v>1</v>
      </c>
      <c r="N2952" s="37" t="e" cm="1">
        <f t="array" ref="N2952">IF(OR(ISNUMBER(FIND(Aux!$D$3:$D$9,_xlfn.TEXTJOIN(,,C2952:K2952)))),NA(),IF(AND(SUM(C2952:F2952,H2952:K2952)=0,G2952=1),0,INT((SUMPRODUCT(C2952:F2952,COLUMN($A$1:$D$1)-1)+SUMPRODUCT(H2952:K2952,COLUMN($E$1:$H$1)-1))*'Line Follower'!$C$3/SUM(C2952:F2952,H2952:K2952)-'Line Follower'!$C$5)))</f>
        <v>#N/A</v>
      </c>
      <c r="O2952" s="22" t="e">
        <v>#N/A</v>
      </c>
      <c r="P2952" s="4" t="e">
        <f t="shared" si="230"/>
        <v>#N/A</v>
      </c>
      <c r="Q2952" s="4" t="e">
        <f t="shared" si="231"/>
        <v>#N/A</v>
      </c>
      <c r="R2952" s="4" t="e">
        <f>IF(AND(B2952=1,N2952&gt;'Line Follower'!$C$7,SUM(C2952:K2952)&lt;4),1,0)</f>
        <v>#N/A</v>
      </c>
      <c r="S2952" s="4" t="e">
        <f>IF(AND(L2952=1,N2952&lt;'Line Follower'!$C$6,SUM(C2952:K2952)&lt;4),1,0)</f>
        <v>#N/A</v>
      </c>
      <c r="T2952" s="4" t="e">
        <f t="shared" si="232"/>
        <v>#N/A</v>
      </c>
      <c r="U2952" s="5" t="e">
        <f t="shared" si="233"/>
        <v>#N/A</v>
      </c>
      <c r="V2952" s="23" t="e">
        <f t="shared" si="234"/>
        <v>#N/A</v>
      </c>
    </row>
    <row r="2953" spans="2:22" x14ac:dyDescent="0.25">
      <c r="B2953" s="16">
        <v>0</v>
      </c>
      <c r="C2953" s="7">
        <v>1</v>
      </c>
      <c r="D2953" s="8">
        <v>1</v>
      </c>
      <c r="E2953" s="8">
        <v>0</v>
      </c>
      <c r="F2953" s="8">
        <v>0</v>
      </c>
      <c r="G2953" s="8">
        <v>0</v>
      </c>
      <c r="H2953" s="8">
        <v>0</v>
      </c>
      <c r="I2953" s="8">
        <v>1</v>
      </c>
      <c r="J2953" s="8">
        <v>1</v>
      </c>
      <c r="K2953" s="9">
        <v>1</v>
      </c>
      <c r="L2953" s="10">
        <v>0</v>
      </c>
      <c r="M2953" s="6">
        <v>1</v>
      </c>
      <c r="N2953" s="37" t="e" cm="1">
        <f t="array" ref="N2953">IF(OR(ISNUMBER(FIND(Aux!$D$3:$D$9,_xlfn.TEXTJOIN(,,C2953:K2953)))),NA(),IF(AND(SUM(C2953:F2953,H2953:K2953)=0,G2953=1),0,INT((SUMPRODUCT(C2953:F2953,COLUMN($A$1:$D$1)-1)+SUMPRODUCT(H2953:K2953,COLUMN($E$1:$H$1)-1))*'Line Follower'!$C$3/SUM(C2953:F2953,H2953:K2953)-'Line Follower'!$C$5)))</f>
        <v>#N/A</v>
      </c>
      <c r="O2953" s="22" t="e">
        <v>#N/A</v>
      </c>
      <c r="P2953" s="4" t="e">
        <f t="shared" si="230"/>
        <v>#N/A</v>
      </c>
      <c r="Q2953" s="4" t="e">
        <f t="shared" si="231"/>
        <v>#N/A</v>
      </c>
      <c r="R2953" s="4" t="e">
        <f>IF(AND(B2953=1,N2953&gt;'Line Follower'!$C$7,SUM(C2953:K2953)&lt;4),1,0)</f>
        <v>#N/A</v>
      </c>
      <c r="S2953" s="4" t="e">
        <f>IF(AND(L2953=1,N2953&lt;'Line Follower'!$C$6,SUM(C2953:K2953)&lt;4),1,0)</f>
        <v>#N/A</v>
      </c>
      <c r="T2953" s="4" t="e">
        <f t="shared" si="232"/>
        <v>#N/A</v>
      </c>
      <c r="U2953" s="5" t="e">
        <f t="shared" si="233"/>
        <v>#N/A</v>
      </c>
      <c r="V2953" s="23" t="e">
        <f t="shared" si="234"/>
        <v>#N/A</v>
      </c>
    </row>
    <row r="2954" spans="2:22" x14ac:dyDescent="0.25">
      <c r="B2954" s="16">
        <v>1</v>
      </c>
      <c r="C2954" s="7">
        <v>1</v>
      </c>
      <c r="D2954" s="8">
        <v>1</v>
      </c>
      <c r="E2954" s="8">
        <v>0</v>
      </c>
      <c r="F2954" s="8">
        <v>0</v>
      </c>
      <c r="G2954" s="8">
        <v>0</v>
      </c>
      <c r="H2954" s="8">
        <v>0</v>
      </c>
      <c r="I2954" s="8">
        <v>1</v>
      </c>
      <c r="J2954" s="8">
        <v>1</v>
      </c>
      <c r="K2954" s="9">
        <v>1</v>
      </c>
      <c r="L2954" s="10">
        <v>0</v>
      </c>
      <c r="M2954" s="6">
        <v>1</v>
      </c>
      <c r="N2954" s="37" t="e" cm="1">
        <f t="array" ref="N2954">IF(OR(ISNUMBER(FIND(Aux!$D$3:$D$9,_xlfn.TEXTJOIN(,,C2954:K2954)))),NA(),IF(AND(SUM(C2954:F2954,H2954:K2954)=0,G2954=1),0,INT((SUMPRODUCT(C2954:F2954,COLUMN($A$1:$D$1)-1)+SUMPRODUCT(H2954:K2954,COLUMN($E$1:$H$1)-1))*'Line Follower'!$C$3/SUM(C2954:F2954,H2954:K2954)-'Line Follower'!$C$5)))</f>
        <v>#N/A</v>
      </c>
      <c r="O2954" s="22" t="e">
        <v>#N/A</v>
      </c>
      <c r="P2954" s="4" t="e">
        <f t="shared" si="230"/>
        <v>#N/A</v>
      </c>
      <c r="Q2954" s="4" t="e">
        <f t="shared" si="231"/>
        <v>#N/A</v>
      </c>
      <c r="R2954" s="4" t="e">
        <f>IF(AND(B2954=1,N2954&gt;'Line Follower'!$C$7,SUM(C2954:K2954)&lt;4),1,0)</f>
        <v>#N/A</v>
      </c>
      <c r="S2954" s="4" t="e">
        <f>IF(AND(L2954=1,N2954&lt;'Line Follower'!$C$6,SUM(C2954:K2954)&lt;4),1,0)</f>
        <v>#N/A</v>
      </c>
      <c r="T2954" s="4" t="e">
        <f t="shared" si="232"/>
        <v>#N/A</v>
      </c>
      <c r="U2954" s="5" t="e">
        <f t="shared" si="233"/>
        <v>#N/A</v>
      </c>
      <c r="V2954" s="23" t="e">
        <f t="shared" si="234"/>
        <v>#N/A</v>
      </c>
    </row>
    <row r="2955" spans="2:22" x14ac:dyDescent="0.25">
      <c r="B2955" s="16">
        <v>0</v>
      </c>
      <c r="C2955" s="7">
        <v>0</v>
      </c>
      <c r="D2955" s="8">
        <v>0</v>
      </c>
      <c r="E2955" s="8">
        <v>1</v>
      </c>
      <c r="F2955" s="8">
        <v>0</v>
      </c>
      <c r="G2955" s="8">
        <v>0</v>
      </c>
      <c r="H2955" s="8">
        <v>0</v>
      </c>
      <c r="I2955" s="8">
        <v>1</v>
      </c>
      <c r="J2955" s="8">
        <v>1</v>
      </c>
      <c r="K2955" s="9">
        <v>1</v>
      </c>
      <c r="L2955" s="10">
        <v>0</v>
      </c>
      <c r="M2955" s="6">
        <v>1</v>
      </c>
      <c r="N2955" s="37" t="e" cm="1">
        <f t="array" ref="N2955">IF(OR(ISNUMBER(FIND(Aux!$D$3:$D$9,_xlfn.TEXTJOIN(,,C2955:K2955)))),NA(),IF(AND(SUM(C2955:F2955,H2955:K2955)=0,G2955=1),0,INT((SUMPRODUCT(C2955:F2955,COLUMN($A$1:$D$1)-1)+SUMPRODUCT(H2955:K2955,COLUMN($E$1:$H$1)-1))*'Line Follower'!$C$3/SUM(C2955:F2955,H2955:K2955)-'Line Follower'!$C$5)))</f>
        <v>#N/A</v>
      </c>
      <c r="O2955" s="22" t="e">
        <v>#N/A</v>
      </c>
      <c r="P2955" s="4" t="e">
        <f t="shared" si="230"/>
        <v>#N/A</v>
      </c>
      <c r="Q2955" s="4" t="e">
        <f t="shared" si="231"/>
        <v>#N/A</v>
      </c>
      <c r="R2955" s="4" t="e">
        <f>IF(AND(B2955=1,N2955&gt;'Line Follower'!$C$7,SUM(C2955:K2955)&lt;4),1,0)</f>
        <v>#N/A</v>
      </c>
      <c r="S2955" s="4" t="e">
        <f>IF(AND(L2955=1,N2955&lt;'Line Follower'!$C$6,SUM(C2955:K2955)&lt;4),1,0)</f>
        <v>#N/A</v>
      </c>
      <c r="T2955" s="4" t="e">
        <f t="shared" si="232"/>
        <v>#N/A</v>
      </c>
      <c r="U2955" s="5" t="e">
        <f t="shared" si="233"/>
        <v>#N/A</v>
      </c>
      <c r="V2955" s="23" t="e">
        <f t="shared" si="234"/>
        <v>#N/A</v>
      </c>
    </row>
    <row r="2956" spans="2:22" x14ac:dyDescent="0.25">
      <c r="B2956" s="16">
        <v>1</v>
      </c>
      <c r="C2956" s="7">
        <v>0</v>
      </c>
      <c r="D2956" s="8">
        <v>0</v>
      </c>
      <c r="E2956" s="8">
        <v>1</v>
      </c>
      <c r="F2956" s="8">
        <v>0</v>
      </c>
      <c r="G2956" s="8">
        <v>0</v>
      </c>
      <c r="H2956" s="8">
        <v>0</v>
      </c>
      <c r="I2956" s="8">
        <v>1</v>
      </c>
      <c r="J2956" s="8">
        <v>1</v>
      </c>
      <c r="K2956" s="9">
        <v>1</v>
      </c>
      <c r="L2956" s="10">
        <v>0</v>
      </c>
      <c r="M2956" s="6">
        <v>1</v>
      </c>
      <c r="N2956" s="37" t="e" cm="1">
        <f t="array" ref="N2956">IF(OR(ISNUMBER(FIND(Aux!$D$3:$D$9,_xlfn.TEXTJOIN(,,C2956:K2956)))),NA(),IF(AND(SUM(C2956:F2956,H2956:K2956)=0,G2956=1),0,INT((SUMPRODUCT(C2956:F2956,COLUMN($A$1:$D$1)-1)+SUMPRODUCT(H2956:K2956,COLUMN($E$1:$H$1)-1))*'Line Follower'!$C$3/SUM(C2956:F2956,H2956:K2956)-'Line Follower'!$C$5)))</f>
        <v>#N/A</v>
      </c>
      <c r="O2956" s="22" t="e">
        <v>#N/A</v>
      </c>
      <c r="P2956" s="4" t="e">
        <f t="shared" si="230"/>
        <v>#N/A</v>
      </c>
      <c r="Q2956" s="4" t="e">
        <f t="shared" si="231"/>
        <v>#N/A</v>
      </c>
      <c r="R2956" s="4" t="e">
        <f>IF(AND(B2956=1,N2956&gt;'Line Follower'!$C$7,SUM(C2956:K2956)&lt;4),1,0)</f>
        <v>#N/A</v>
      </c>
      <c r="S2956" s="4" t="e">
        <f>IF(AND(L2956=1,N2956&lt;'Line Follower'!$C$6,SUM(C2956:K2956)&lt;4),1,0)</f>
        <v>#N/A</v>
      </c>
      <c r="T2956" s="4" t="e">
        <f t="shared" si="232"/>
        <v>#N/A</v>
      </c>
      <c r="U2956" s="5" t="e">
        <f t="shared" si="233"/>
        <v>#N/A</v>
      </c>
      <c r="V2956" s="23" t="e">
        <f t="shared" si="234"/>
        <v>#N/A</v>
      </c>
    </row>
    <row r="2957" spans="2:22" x14ac:dyDescent="0.25">
      <c r="B2957" s="16">
        <v>0</v>
      </c>
      <c r="C2957" s="7">
        <v>1</v>
      </c>
      <c r="D2957" s="8">
        <v>0</v>
      </c>
      <c r="E2957" s="8">
        <v>1</v>
      </c>
      <c r="F2957" s="8">
        <v>0</v>
      </c>
      <c r="G2957" s="8">
        <v>0</v>
      </c>
      <c r="H2957" s="8">
        <v>0</v>
      </c>
      <c r="I2957" s="8">
        <v>1</v>
      </c>
      <c r="J2957" s="8">
        <v>1</v>
      </c>
      <c r="K2957" s="9">
        <v>1</v>
      </c>
      <c r="L2957" s="10">
        <v>0</v>
      </c>
      <c r="M2957" s="6">
        <v>1</v>
      </c>
      <c r="N2957" s="37" t="e" cm="1">
        <f t="array" ref="N2957">IF(OR(ISNUMBER(FIND(Aux!$D$3:$D$9,_xlfn.TEXTJOIN(,,C2957:K2957)))),NA(),IF(AND(SUM(C2957:F2957,H2957:K2957)=0,G2957=1),0,INT((SUMPRODUCT(C2957:F2957,COLUMN($A$1:$D$1)-1)+SUMPRODUCT(H2957:K2957,COLUMN($E$1:$H$1)-1))*'Line Follower'!$C$3/SUM(C2957:F2957,H2957:K2957)-'Line Follower'!$C$5)))</f>
        <v>#N/A</v>
      </c>
      <c r="O2957" s="22" t="e">
        <v>#N/A</v>
      </c>
      <c r="P2957" s="4" t="e">
        <f t="shared" si="230"/>
        <v>#N/A</v>
      </c>
      <c r="Q2957" s="4" t="e">
        <f t="shared" si="231"/>
        <v>#N/A</v>
      </c>
      <c r="R2957" s="4" t="e">
        <f>IF(AND(B2957=1,N2957&gt;'Line Follower'!$C$7,SUM(C2957:K2957)&lt;4),1,0)</f>
        <v>#N/A</v>
      </c>
      <c r="S2957" s="4" t="e">
        <f>IF(AND(L2957=1,N2957&lt;'Line Follower'!$C$6,SUM(C2957:K2957)&lt;4),1,0)</f>
        <v>#N/A</v>
      </c>
      <c r="T2957" s="4" t="e">
        <f t="shared" si="232"/>
        <v>#N/A</v>
      </c>
      <c r="U2957" s="5" t="e">
        <f t="shared" si="233"/>
        <v>#N/A</v>
      </c>
      <c r="V2957" s="23" t="e">
        <f t="shared" si="234"/>
        <v>#N/A</v>
      </c>
    </row>
    <row r="2958" spans="2:22" x14ac:dyDescent="0.25">
      <c r="B2958" s="16">
        <v>1</v>
      </c>
      <c r="C2958" s="7">
        <v>1</v>
      </c>
      <c r="D2958" s="8">
        <v>0</v>
      </c>
      <c r="E2958" s="8">
        <v>1</v>
      </c>
      <c r="F2958" s="8">
        <v>0</v>
      </c>
      <c r="G2958" s="8">
        <v>0</v>
      </c>
      <c r="H2958" s="8">
        <v>0</v>
      </c>
      <c r="I2958" s="8">
        <v>1</v>
      </c>
      <c r="J2958" s="8">
        <v>1</v>
      </c>
      <c r="K2958" s="9">
        <v>1</v>
      </c>
      <c r="L2958" s="10">
        <v>0</v>
      </c>
      <c r="M2958" s="6">
        <v>1</v>
      </c>
      <c r="N2958" s="37" t="e" cm="1">
        <f t="array" ref="N2958">IF(OR(ISNUMBER(FIND(Aux!$D$3:$D$9,_xlfn.TEXTJOIN(,,C2958:K2958)))),NA(),IF(AND(SUM(C2958:F2958,H2958:K2958)=0,G2958=1),0,INT((SUMPRODUCT(C2958:F2958,COLUMN($A$1:$D$1)-1)+SUMPRODUCT(H2958:K2958,COLUMN($E$1:$H$1)-1))*'Line Follower'!$C$3/SUM(C2958:F2958,H2958:K2958)-'Line Follower'!$C$5)))</f>
        <v>#N/A</v>
      </c>
      <c r="O2958" s="22" t="e">
        <v>#N/A</v>
      </c>
      <c r="P2958" s="4" t="e">
        <f t="shared" si="230"/>
        <v>#N/A</v>
      </c>
      <c r="Q2958" s="4" t="e">
        <f t="shared" si="231"/>
        <v>#N/A</v>
      </c>
      <c r="R2958" s="4" t="e">
        <f>IF(AND(B2958=1,N2958&gt;'Line Follower'!$C$7,SUM(C2958:K2958)&lt;4),1,0)</f>
        <v>#N/A</v>
      </c>
      <c r="S2958" s="4" t="e">
        <f>IF(AND(L2958=1,N2958&lt;'Line Follower'!$C$6,SUM(C2958:K2958)&lt;4),1,0)</f>
        <v>#N/A</v>
      </c>
      <c r="T2958" s="4" t="e">
        <f t="shared" si="232"/>
        <v>#N/A</v>
      </c>
      <c r="U2958" s="5" t="e">
        <f t="shared" si="233"/>
        <v>#N/A</v>
      </c>
      <c r="V2958" s="23" t="e">
        <f t="shared" si="234"/>
        <v>#N/A</v>
      </c>
    </row>
    <row r="2959" spans="2:22" x14ac:dyDescent="0.25">
      <c r="B2959" s="16">
        <v>0</v>
      </c>
      <c r="C2959" s="7">
        <v>0</v>
      </c>
      <c r="D2959" s="8">
        <v>1</v>
      </c>
      <c r="E2959" s="8">
        <v>1</v>
      </c>
      <c r="F2959" s="8">
        <v>0</v>
      </c>
      <c r="G2959" s="8">
        <v>0</v>
      </c>
      <c r="H2959" s="8">
        <v>0</v>
      </c>
      <c r="I2959" s="8">
        <v>1</v>
      </c>
      <c r="J2959" s="8">
        <v>1</v>
      </c>
      <c r="K2959" s="9">
        <v>1</v>
      </c>
      <c r="L2959" s="10">
        <v>0</v>
      </c>
      <c r="M2959" s="6">
        <v>1</v>
      </c>
      <c r="N2959" s="37" t="e" cm="1">
        <f t="array" ref="N2959">IF(OR(ISNUMBER(FIND(Aux!$D$3:$D$9,_xlfn.TEXTJOIN(,,C2959:K2959)))),NA(),IF(AND(SUM(C2959:F2959,H2959:K2959)=0,G2959=1),0,INT((SUMPRODUCT(C2959:F2959,COLUMN($A$1:$D$1)-1)+SUMPRODUCT(H2959:K2959,COLUMN($E$1:$H$1)-1))*'Line Follower'!$C$3/SUM(C2959:F2959,H2959:K2959)-'Line Follower'!$C$5)))</f>
        <v>#N/A</v>
      </c>
      <c r="O2959" s="22" t="e">
        <v>#N/A</v>
      </c>
      <c r="P2959" s="4" t="e">
        <f t="shared" si="230"/>
        <v>#N/A</v>
      </c>
      <c r="Q2959" s="4" t="e">
        <f t="shared" si="231"/>
        <v>#N/A</v>
      </c>
      <c r="R2959" s="4" t="e">
        <f>IF(AND(B2959=1,N2959&gt;'Line Follower'!$C$7,SUM(C2959:K2959)&lt;4),1,0)</f>
        <v>#N/A</v>
      </c>
      <c r="S2959" s="4" t="e">
        <f>IF(AND(L2959=1,N2959&lt;'Line Follower'!$C$6,SUM(C2959:K2959)&lt;4),1,0)</f>
        <v>#N/A</v>
      </c>
      <c r="T2959" s="4" t="e">
        <f t="shared" si="232"/>
        <v>#N/A</v>
      </c>
      <c r="U2959" s="5" t="e">
        <f t="shared" si="233"/>
        <v>#N/A</v>
      </c>
      <c r="V2959" s="23" t="e">
        <f t="shared" si="234"/>
        <v>#N/A</v>
      </c>
    </row>
    <row r="2960" spans="2:22" x14ac:dyDescent="0.25">
      <c r="B2960" s="16">
        <v>1</v>
      </c>
      <c r="C2960" s="7">
        <v>0</v>
      </c>
      <c r="D2960" s="8">
        <v>1</v>
      </c>
      <c r="E2960" s="8">
        <v>1</v>
      </c>
      <c r="F2960" s="8">
        <v>0</v>
      </c>
      <c r="G2960" s="8">
        <v>0</v>
      </c>
      <c r="H2960" s="8">
        <v>0</v>
      </c>
      <c r="I2960" s="8">
        <v>1</v>
      </c>
      <c r="J2960" s="8">
        <v>1</v>
      </c>
      <c r="K2960" s="9">
        <v>1</v>
      </c>
      <c r="L2960" s="10">
        <v>0</v>
      </c>
      <c r="M2960" s="6">
        <v>1</v>
      </c>
      <c r="N2960" s="37" t="e" cm="1">
        <f t="array" ref="N2960">IF(OR(ISNUMBER(FIND(Aux!$D$3:$D$9,_xlfn.TEXTJOIN(,,C2960:K2960)))),NA(),IF(AND(SUM(C2960:F2960,H2960:K2960)=0,G2960=1),0,INT((SUMPRODUCT(C2960:F2960,COLUMN($A$1:$D$1)-1)+SUMPRODUCT(H2960:K2960,COLUMN($E$1:$H$1)-1))*'Line Follower'!$C$3/SUM(C2960:F2960,H2960:K2960)-'Line Follower'!$C$5)))</f>
        <v>#N/A</v>
      </c>
      <c r="O2960" s="22" t="e">
        <v>#N/A</v>
      </c>
      <c r="P2960" s="4" t="e">
        <f t="shared" si="230"/>
        <v>#N/A</v>
      </c>
      <c r="Q2960" s="4" t="e">
        <f t="shared" si="231"/>
        <v>#N/A</v>
      </c>
      <c r="R2960" s="4" t="e">
        <f>IF(AND(B2960=1,N2960&gt;'Line Follower'!$C$7,SUM(C2960:K2960)&lt;4),1,0)</f>
        <v>#N/A</v>
      </c>
      <c r="S2960" s="4" t="e">
        <f>IF(AND(L2960=1,N2960&lt;'Line Follower'!$C$6,SUM(C2960:K2960)&lt;4),1,0)</f>
        <v>#N/A</v>
      </c>
      <c r="T2960" s="4" t="e">
        <f t="shared" si="232"/>
        <v>#N/A</v>
      </c>
      <c r="U2960" s="5" t="e">
        <f t="shared" si="233"/>
        <v>#N/A</v>
      </c>
      <c r="V2960" s="23" t="e">
        <f t="shared" si="234"/>
        <v>#N/A</v>
      </c>
    </row>
    <row r="2961" spans="2:22" x14ac:dyDescent="0.25">
      <c r="B2961" s="16">
        <v>0</v>
      </c>
      <c r="C2961" s="7">
        <v>1</v>
      </c>
      <c r="D2961" s="8">
        <v>1</v>
      </c>
      <c r="E2961" s="8">
        <v>1</v>
      </c>
      <c r="F2961" s="8">
        <v>0</v>
      </c>
      <c r="G2961" s="8">
        <v>0</v>
      </c>
      <c r="H2961" s="8">
        <v>0</v>
      </c>
      <c r="I2961" s="8">
        <v>1</v>
      </c>
      <c r="J2961" s="8">
        <v>1</v>
      </c>
      <c r="K2961" s="9">
        <v>1</v>
      </c>
      <c r="L2961" s="10">
        <v>0</v>
      </c>
      <c r="M2961" s="6">
        <v>1</v>
      </c>
      <c r="N2961" s="37" t="e" cm="1">
        <f t="array" ref="N2961">IF(OR(ISNUMBER(FIND(Aux!$D$3:$D$9,_xlfn.TEXTJOIN(,,C2961:K2961)))),NA(),IF(AND(SUM(C2961:F2961,H2961:K2961)=0,G2961=1),0,INT((SUMPRODUCT(C2961:F2961,COLUMN($A$1:$D$1)-1)+SUMPRODUCT(H2961:K2961,COLUMN($E$1:$H$1)-1))*'Line Follower'!$C$3/SUM(C2961:F2961,H2961:K2961)-'Line Follower'!$C$5)))</f>
        <v>#N/A</v>
      </c>
      <c r="O2961" s="22" t="e">
        <v>#N/A</v>
      </c>
      <c r="P2961" s="4" t="e">
        <f t="shared" si="230"/>
        <v>#N/A</v>
      </c>
      <c r="Q2961" s="4" t="e">
        <f t="shared" si="231"/>
        <v>#N/A</v>
      </c>
      <c r="R2961" s="4" t="e">
        <f>IF(AND(B2961=1,N2961&gt;'Line Follower'!$C$7,SUM(C2961:K2961)&lt;4),1,0)</f>
        <v>#N/A</v>
      </c>
      <c r="S2961" s="4" t="e">
        <f>IF(AND(L2961=1,N2961&lt;'Line Follower'!$C$6,SUM(C2961:K2961)&lt;4),1,0)</f>
        <v>#N/A</v>
      </c>
      <c r="T2961" s="4" t="e">
        <f t="shared" si="232"/>
        <v>#N/A</v>
      </c>
      <c r="U2961" s="5" t="e">
        <f t="shared" si="233"/>
        <v>#N/A</v>
      </c>
      <c r="V2961" s="23" t="e">
        <f t="shared" si="234"/>
        <v>#N/A</v>
      </c>
    </row>
    <row r="2962" spans="2:22" x14ac:dyDescent="0.25">
      <c r="B2962" s="16">
        <v>1</v>
      </c>
      <c r="C2962" s="7">
        <v>1</v>
      </c>
      <c r="D2962" s="8">
        <v>1</v>
      </c>
      <c r="E2962" s="8">
        <v>1</v>
      </c>
      <c r="F2962" s="8">
        <v>0</v>
      </c>
      <c r="G2962" s="8">
        <v>0</v>
      </c>
      <c r="H2962" s="8">
        <v>0</v>
      </c>
      <c r="I2962" s="8">
        <v>1</v>
      </c>
      <c r="J2962" s="8">
        <v>1</v>
      </c>
      <c r="K2962" s="9">
        <v>1</v>
      </c>
      <c r="L2962" s="10">
        <v>0</v>
      </c>
      <c r="M2962" s="6">
        <v>1</v>
      </c>
      <c r="N2962" s="37" t="e" cm="1">
        <f t="array" ref="N2962">IF(OR(ISNUMBER(FIND(Aux!$D$3:$D$9,_xlfn.TEXTJOIN(,,C2962:K2962)))),NA(),IF(AND(SUM(C2962:F2962,H2962:K2962)=0,G2962=1),0,INT((SUMPRODUCT(C2962:F2962,COLUMN($A$1:$D$1)-1)+SUMPRODUCT(H2962:K2962,COLUMN($E$1:$H$1)-1))*'Line Follower'!$C$3/SUM(C2962:F2962,H2962:K2962)-'Line Follower'!$C$5)))</f>
        <v>#N/A</v>
      </c>
      <c r="O2962" s="22" t="e">
        <v>#N/A</v>
      </c>
      <c r="P2962" s="4" t="e">
        <f t="shared" si="230"/>
        <v>#N/A</v>
      </c>
      <c r="Q2962" s="4" t="e">
        <f t="shared" si="231"/>
        <v>#N/A</v>
      </c>
      <c r="R2962" s="4" t="e">
        <f>IF(AND(B2962=1,N2962&gt;'Line Follower'!$C$7,SUM(C2962:K2962)&lt;4),1,0)</f>
        <v>#N/A</v>
      </c>
      <c r="S2962" s="4" t="e">
        <f>IF(AND(L2962=1,N2962&lt;'Line Follower'!$C$6,SUM(C2962:K2962)&lt;4),1,0)</f>
        <v>#N/A</v>
      </c>
      <c r="T2962" s="4" t="e">
        <f t="shared" si="232"/>
        <v>#N/A</v>
      </c>
      <c r="U2962" s="5" t="e">
        <f t="shared" si="233"/>
        <v>#N/A</v>
      </c>
      <c r="V2962" s="23" t="e">
        <f t="shared" si="234"/>
        <v>#N/A</v>
      </c>
    </row>
    <row r="2963" spans="2:22" x14ac:dyDescent="0.25">
      <c r="B2963" s="16">
        <v>0</v>
      </c>
      <c r="C2963" s="7">
        <v>0</v>
      </c>
      <c r="D2963" s="8">
        <v>0</v>
      </c>
      <c r="E2963" s="8">
        <v>0</v>
      </c>
      <c r="F2963" s="8">
        <v>1</v>
      </c>
      <c r="G2963" s="8">
        <v>0</v>
      </c>
      <c r="H2963" s="8">
        <v>0</v>
      </c>
      <c r="I2963" s="8">
        <v>1</v>
      </c>
      <c r="J2963" s="8">
        <v>1</v>
      </c>
      <c r="K2963" s="9">
        <v>1</v>
      </c>
      <c r="L2963" s="10">
        <v>0</v>
      </c>
      <c r="M2963" s="6">
        <v>1</v>
      </c>
      <c r="N2963" s="37" t="e" cm="1">
        <f t="array" ref="N2963">IF(OR(ISNUMBER(FIND(Aux!$D$3:$D$9,_xlfn.TEXTJOIN(,,C2963:K2963)))),NA(),IF(AND(SUM(C2963:F2963,H2963:K2963)=0,G2963=1),0,INT((SUMPRODUCT(C2963:F2963,COLUMN($A$1:$D$1)-1)+SUMPRODUCT(H2963:K2963,COLUMN($E$1:$H$1)-1))*'Line Follower'!$C$3/SUM(C2963:F2963,H2963:K2963)-'Line Follower'!$C$5)))</f>
        <v>#N/A</v>
      </c>
      <c r="O2963" s="22" t="e">
        <v>#N/A</v>
      </c>
      <c r="P2963" s="4" t="e">
        <f t="shared" si="230"/>
        <v>#N/A</v>
      </c>
      <c r="Q2963" s="4" t="e">
        <f t="shared" si="231"/>
        <v>#N/A</v>
      </c>
      <c r="R2963" s="4" t="e">
        <f>IF(AND(B2963=1,N2963&gt;'Line Follower'!$C$7,SUM(C2963:K2963)&lt;4),1,0)</f>
        <v>#N/A</v>
      </c>
      <c r="S2963" s="4" t="e">
        <f>IF(AND(L2963=1,N2963&lt;'Line Follower'!$C$6,SUM(C2963:K2963)&lt;4),1,0)</f>
        <v>#N/A</v>
      </c>
      <c r="T2963" s="4" t="e">
        <f t="shared" si="232"/>
        <v>#N/A</v>
      </c>
      <c r="U2963" s="5" t="e">
        <f t="shared" si="233"/>
        <v>#N/A</v>
      </c>
      <c r="V2963" s="23" t="e">
        <f t="shared" si="234"/>
        <v>#N/A</v>
      </c>
    </row>
    <row r="2964" spans="2:22" x14ac:dyDescent="0.25">
      <c r="B2964" s="16">
        <v>1</v>
      </c>
      <c r="C2964" s="7">
        <v>0</v>
      </c>
      <c r="D2964" s="8">
        <v>0</v>
      </c>
      <c r="E2964" s="8">
        <v>0</v>
      </c>
      <c r="F2964" s="8">
        <v>1</v>
      </c>
      <c r="G2964" s="8">
        <v>0</v>
      </c>
      <c r="H2964" s="8">
        <v>0</v>
      </c>
      <c r="I2964" s="8">
        <v>1</v>
      </c>
      <c r="J2964" s="8">
        <v>1</v>
      </c>
      <c r="K2964" s="9">
        <v>1</v>
      </c>
      <c r="L2964" s="10">
        <v>0</v>
      </c>
      <c r="M2964" s="6">
        <v>1</v>
      </c>
      <c r="N2964" s="37" t="e" cm="1">
        <f t="array" ref="N2964">IF(OR(ISNUMBER(FIND(Aux!$D$3:$D$9,_xlfn.TEXTJOIN(,,C2964:K2964)))),NA(),IF(AND(SUM(C2964:F2964,H2964:K2964)=0,G2964=1),0,INT((SUMPRODUCT(C2964:F2964,COLUMN($A$1:$D$1)-1)+SUMPRODUCT(H2964:K2964,COLUMN($E$1:$H$1)-1))*'Line Follower'!$C$3/SUM(C2964:F2964,H2964:K2964)-'Line Follower'!$C$5)))</f>
        <v>#N/A</v>
      </c>
      <c r="O2964" s="22" t="e">
        <v>#N/A</v>
      </c>
      <c r="P2964" s="4" t="e">
        <f t="shared" si="230"/>
        <v>#N/A</v>
      </c>
      <c r="Q2964" s="4" t="e">
        <f t="shared" si="231"/>
        <v>#N/A</v>
      </c>
      <c r="R2964" s="4" t="e">
        <f>IF(AND(B2964=1,N2964&gt;'Line Follower'!$C$7,SUM(C2964:K2964)&lt;4),1,0)</f>
        <v>#N/A</v>
      </c>
      <c r="S2964" s="4" t="e">
        <f>IF(AND(L2964=1,N2964&lt;'Line Follower'!$C$6,SUM(C2964:K2964)&lt;4),1,0)</f>
        <v>#N/A</v>
      </c>
      <c r="T2964" s="4" t="e">
        <f t="shared" si="232"/>
        <v>#N/A</v>
      </c>
      <c r="U2964" s="5" t="e">
        <f t="shared" si="233"/>
        <v>#N/A</v>
      </c>
      <c r="V2964" s="23" t="e">
        <f t="shared" si="234"/>
        <v>#N/A</v>
      </c>
    </row>
    <row r="2965" spans="2:22" x14ac:dyDescent="0.25">
      <c r="B2965" s="16">
        <v>0</v>
      </c>
      <c r="C2965" s="7">
        <v>1</v>
      </c>
      <c r="D2965" s="8">
        <v>0</v>
      </c>
      <c r="E2965" s="8">
        <v>0</v>
      </c>
      <c r="F2965" s="8">
        <v>1</v>
      </c>
      <c r="G2965" s="8">
        <v>0</v>
      </c>
      <c r="H2965" s="8">
        <v>0</v>
      </c>
      <c r="I2965" s="8">
        <v>1</v>
      </c>
      <c r="J2965" s="8">
        <v>1</v>
      </c>
      <c r="K2965" s="9">
        <v>1</v>
      </c>
      <c r="L2965" s="10">
        <v>0</v>
      </c>
      <c r="M2965" s="6">
        <v>1</v>
      </c>
      <c r="N2965" s="37" t="e" cm="1">
        <f t="array" ref="N2965">IF(OR(ISNUMBER(FIND(Aux!$D$3:$D$9,_xlfn.TEXTJOIN(,,C2965:K2965)))),NA(),IF(AND(SUM(C2965:F2965,H2965:K2965)=0,G2965=1),0,INT((SUMPRODUCT(C2965:F2965,COLUMN($A$1:$D$1)-1)+SUMPRODUCT(H2965:K2965,COLUMN($E$1:$H$1)-1))*'Line Follower'!$C$3/SUM(C2965:F2965,H2965:K2965)-'Line Follower'!$C$5)))</f>
        <v>#N/A</v>
      </c>
      <c r="O2965" s="22" t="e">
        <v>#N/A</v>
      </c>
      <c r="P2965" s="4" t="e">
        <f t="shared" si="230"/>
        <v>#N/A</v>
      </c>
      <c r="Q2965" s="4" t="e">
        <f t="shared" si="231"/>
        <v>#N/A</v>
      </c>
      <c r="R2965" s="4" t="e">
        <f>IF(AND(B2965=1,N2965&gt;'Line Follower'!$C$7,SUM(C2965:K2965)&lt;4),1,0)</f>
        <v>#N/A</v>
      </c>
      <c r="S2965" s="4" t="e">
        <f>IF(AND(L2965=1,N2965&lt;'Line Follower'!$C$6,SUM(C2965:K2965)&lt;4),1,0)</f>
        <v>#N/A</v>
      </c>
      <c r="T2965" s="4" t="e">
        <f t="shared" si="232"/>
        <v>#N/A</v>
      </c>
      <c r="U2965" s="5" t="e">
        <f t="shared" si="233"/>
        <v>#N/A</v>
      </c>
      <c r="V2965" s="23" t="e">
        <f t="shared" si="234"/>
        <v>#N/A</v>
      </c>
    </row>
    <row r="2966" spans="2:22" x14ac:dyDescent="0.25">
      <c r="B2966" s="16">
        <v>1</v>
      </c>
      <c r="C2966" s="7">
        <v>1</v>
      </c>
      <c r="D2966" s="8">
        <v>0</v>
      </c>
      <c r="E2966" s="8">
        <v>0</v>
      </c>
      <c r="F2966" s="8">
        <v>1</v>
      </c>
      <c r="G2966" s="8">
        <v>0</v>
      </c>
      <c r="H2966" s="8">
        <v>0</v>
      </c>
      <c r="I2966" s="8">
        <v>1</v>
      </c>
      <c r="J2966" s="8">
        <v>1</v>
      </c>
      <c r="K2966" s="9">
        <v>1</v>
      </c>
      <c r="L2966" s="10">
        <v>0</v>
      </c>
      <c r="M2966" s="6">
        <v>1</v>
      </c>
      <c r="N2966" s="37" t="e" cm="1">
        <f t="array" ref="N2966">IF(OR(ISNUMBER(FIND(Aux!$D$3:$D$9,_xlfn.TEXTJOIN(,,C2966:K2966)))),NA(),IF(AND(SUM(C2966:F2966,H2966:K2966)=0,G2966=1),0,INT((SUMPRODUCT(C2966:F2966,COLUMN($A$1:$D$1)-1)+SUMPRODUCT(H2966:K2966,COLUMN($E$1:$H$1)-1))*'Line Follower'!$C$3/SUM(C2966:F2966,H2966:K2966)-'Line Follower'!$C$5)))</f>
        <v>#N/A</v>
      </c>
      <c r="O2966" s="22" t="e">
        <v>#N/A</v>
      </c>
      <c r="P2966" s="4" t="e">
        <f t="shared" si="230"/>
        <v>#N/A</v>
      </c>
      <c r="Q2966" s="4" t="e">
        <f t="shared" si="231"/>
        <v>#N/A</v>
      </c>
      <c r="R2966" s="4" t="e">
        <f>IF(AND(B2966=1,N2966&gt;'Line Follower'!$C$7,SUM(C2966:K2966)&lt;4),1,0)</f>
        <v>#N/A</v>
      </c>
      <c r="S2966" s="4" t="e">
        <f>IF(AND(L2966=1,N2966&lt;'Line Follower'!$C$6,SUM(C2966:K2966)&lt;4),1,0)</f>
        <v>#N/A</v>
      </c>
      <c r="T2966" s="4" t="e">
        <f t="shared" si="232"/>
        <v>#N/A</v>
      </c>
      <c r="U2966" s="5" t="e">
        <f t="shared" si="233"/>
        <v>#N/A</v>
      </c>
      <c r="V2966" s="23" t="e">
        <f t="shared" si="234"/>
        <v>#N/A</v>
      </c>
    </row>
    <row r="2967" spans="2:22" x14ac:dyDescent="0.25">
      <c r="B2967" s="16">
        <v>0</v>
      </c>
      <c r="C2967" s="7">
        <v>0</v>
      </c>
      <c r="D2967" s="8">
        <v>1</v>
      </c>
      <c r="E2967" s="8">
        <v>0</v>
      </c>
      <c r="F2967" s="8">
        <v>1</v>
      </c>
      <c r="G2967" s="8">
        <v>0</v>
      </c>
      <c r="H2967" s="8">
        <v>0</v>
      </c>
      <c r="I2967" s="8">
        <v>1</v>
      </c>
      <c r="J2967" s="8">
        <v>1</v>
      </c>
      <c r="K2967" s="9">
        <v>1</v>
      </c>
      <c r="L2967" s="10">
        <v>0</v>
      </c>
      <c r="M2967" s="6">
        <v>1</v>
      </c>
      <c r="N2967" s="37" t="e" cm="1">
        <f t="array" ref="N2967">IF(OR(ISNUMBER(FIND(Aux!$D$3:$D$9,_xlfn.TEXTJOIN(,,C2967:K2967)))),NA(),IF(AND(SUM(C2967:F2967,H2967:K2967)=0,G2967=1),0,INT((SUMPRODUCT(C2967:F2967,COLUMN($A$1:$D$1)-1)+SUMPRODUCT(H2967:K2967,COLUMN($E$1:$H$1)-1))*'Line Follower'!$C$3/SUM(C2967:F2967,H2967:K2967)-'Line Follower'!$C$5)))</f>
        <v>#N/A</v>
      </c>
      <c r="O2967" s="22" t="e">
        <v>#N/A</v>
      </c>
      <c r="P2967" s="4" t="e">
        <f t="shared" si="230"/>
        <v>#N/A</v>
      </c>
      <c r="Q2967" s="4" t="e">
        <f t="shared" si="231"/>
        <v>#N/A</v>
      </c>
      <c r="R2967" s="4" t="e">
        <f>IF(AND(B2967=1,N2967&gt;'Line Follower'!$C$7,SUM(C2967:K2967)&lt;4),1,0)</f>
        <v>#N/A</v>
      </c>
      <c r="S2967" s="4" t="e">
        <f>IF(AND(L2967=1,N2967&lt;'Line Follower'!$C$6,SUM(C2967:K2967)&lt;4),1,0)</f>
        <v>#N/A</v>
      </c>
      <c r="T2967" s="4" t="e">
        <f t="shared" si="232"/>
        <v>#N/A</v>
      </c>
      <c r="U2967" s="5" t="e">
        <f t="shared" si="233"/>
        <v>#N/A</v>
      </c>
      <c r="V2967" s="23" t="e">
        <f t="shared" si="234"/>
        <v>#N/A</v>
      </c>
    </row>
    <row r="2968" spans="2:22" x14ac:dyDescent="0.25">
      <c r="B2968" s="16">
        <v>1</v>
      </c>
      <c r="C2968" s="7">
        <v>0</v>
      </c>
      <c r="D2968" s="8">
        <v>1</v>
      </c>
      <c r="E2968" s="8">
        <v>0</v>
      </c>
      <c r="F2968" s="8">
        <v>1</v>
      </c>
      <c r="G2968" s="8">
        <v>0</v>
      </c>
      <c r="H2968" s="8">
        <v>0</v>
      </c>
      <c r="I2968" s="8">
        <v>1</v>
      </c>
      <c r="J2968" s="8">
        <v>1</v>
      </c>
      <c r="K2968" s="9">
        <v>1</v>
      </c>
      <c r="L2968" s="10">
        <v>0</v>
      </c>
      <c r="M2968" s="6">
        <v>1</v>
      </c>
      <c r="N2968" s="37" t="e" cm="1">
        <f t="array" ref="N2968">IF(OR(ISNUMBER(FIND(Aux!$D$3:$D$9,_xlfn.TEXTJOIN(,,C2968:K2968)))),NA(),IF(AND(SUM(C2968:F2968,H2968:K2968)=0,G2968=1),0,INT((SUMPRODUCT(C2968:F2968,COLUMN($A$1:$D$1)-1)+SUMPRODUCT(H2968:K2968,COLUMN($E$1:$H$1)-1))*'Line Follower'!$C$3/SUM(C2968:F2968,H2968:K2968)-'Line Follower'!$C$5)))</f>
        <v>#N/A</v>
      </c>
      <c r="O2968" s="22" t="e">
        <v>#N/A</v>
      </c>
      <c r="P2968" s="4" t="e">
        <f t="shared" si="230"/>
        <v>#N/A</v>
      </c>
      <c r="Q2968" s="4" t="e">
        <f t="shared" si="231"/>
        <v>#N/A</v>
      </c>
      <c r="R2968" s="4" t="e">
        <f>IF(AND(B2968=1,N2968&gt;'Line Follower'!$C$7,SUM(C2968:K2968)&lt;4),1,0)</f>
        <v>#N/A</v>
      </c>
      <c r="S2968" s="4" t="e">
        <f>IF(AND(L2968=1,N2968&lt;'Line Follower'!$C$6,SUM(C2968:K2968)&lt;4),1,0)</f>
        <v>#N/A</v>
      </c>
      <c r="T2968" s="4" t="e">
        <f t="shared" si="232"/>
        <v>#N/A</v>
      </c>
      <c r="U2968" s="5" t="e">
        <f t="shared" si="233"/>
        <v>#N/A</v>
      </c>
      <c r="V2968" s="23" t="e">
        <f t="shared" si="234"/>
        <v>#N/A</v>
      </c>
    </row>
    <row r="2969" spans="2:22" x14ac:dyDescent="0.25">
      <c r="B2969" s="16">
        <v>0</v>
      </c>
      <c r="C2969" s="7">
        <v>1</v>
      </c>
      <c r="D2969" s="8">
        <v>1</v>
      </c>
      <c r="E2969" s="8">
        <v>0</v>
      </c>
      <c r="F2969" s="8">
        <v>1</v>
      </c>
      <c r="G2969" s="8">
        <v>0</v>
      </c>
      <c r="H2969" s="8">
        <v>0</v>
      </c>
      <c r="I2969" s="8">
        <v>1</v>
      </c>
      <c r="J2969" s="8">
        <v>1</v>
      </c>
      <c r="K2969" s="9">
        <v>1</v>
      </c>
      <c r="L2969" s="10">
        <v>0</v>
      </c>
      <c r="M2969" s="6">
        <v>1</v>
      </c>
      <c r="N2969" s="37" t="e" cm="1">
        <f t="array" ref="N2969">IF(OR(ISNUMBER(FIND(Aux!$D$3:$D$9,_xlfn.TEXTJOIN(,,C2969:K2969)))),NA(),IF(AND(SUM(C2969:F2969,H2969:K2969)=0,G2969=1),0,INT((SUMPRODUCT(C2969:F2969,COLUMN($A$1:$D$1)-1)+SUMPRODUCT(H2969:K2969,COLUMN($E$1:$H$1)-1))*'Line Follower'!$C$3/SUM(C2969:F2969,H2969:K2969)-'Line Follower'!$C$5)))</f>
        <v>#N/A</v>
      </c>
      <c r="O2969" s="22" t="e">
        <v>#N/A</v>
      </c>
      <c r="P2969" s="4" t="e">
        <f t="shared" si="230"/>
        <v>#N/A</v>
      </c>
      <c r="Q2969" s="4" t="e">
        <f t="shared" si="231"/>
        <v>#N/A</v>
      </c>
      <c r="R2969" s="4" t="e">
        <f>IF(AND(B2969=1,N2969&gt;'Line Follower'!$C$7,SUM(C2969:K2969)&lt;4),1,0)</f>
        <v>#N/A</v>
      </c>
      <c r="S2969" s="4" t="e">
        <f>IF(AND(L2969=1,N2969&lt;'Line Follower'!$C$6,SUM(C2969:K2969)&lt;4),1,0)</f>
        <v>#N/A</v>
      </c>
      <c r="T2969" s="4" t="e">
        <f t="shared" si="232"/>
        <v>#N/A</v>
      </c>
      <c r="U2969" s="5" t="e">
        <f t="shared" si="233"/>
        <v>#N/A</v>
      </c>
      <c r="V2969" s="23" t="e">
        <f t="shared" si="234"/>
        <v>#N/A</v>
      </c>
    </row>
    <row r="2970" spans="2:22" x14ac:dyDescent="0.25">
      <c r="B2970" s="16">
        <v>1</v>
      </c>
      <c r="C2970" s="7">
        <v>1</v>
      </c>
      <c r="D2970" s="8">
        <v>1</v>
      </c>
      <c r="E2970" s="8">
        <v>0</v>
      </c>
      <c r="F2970" s="8">
        <v>1</v>
      </c>
      <c r="G2970" s="8">
        <v>0</v>
      </c>
      <c r="H2970" s="8">
        <v>0</v>
      </c>
      <c r="I2970" s="8">
        <v>1</v>
      </c>
      <c r="J2970" s="8">
        <v>1</v>
      </c>
      <c r="K2970" s="9">
        <v>1</v>
      </c>
      <c r="L2970" s="10">
        <v>0</v>
      </c>
      <c r="M2970" s="6">
        <v>1</v>
      </c>
      <c r="N2970" s="37" t="e" cm="1">
        <f t="array" ref="N2970">IF(OR(ISNUMBER(FIND(Aux!$D$3:$D$9,_xlfn.TEXTJOIN(,,C2970:K2970)))),NA(),IF(AND(SUM(C2970:F2970,H2970:K2970)=0,G2970=1),0,INT((SUMPRODUCT(C2970:F2970,COLUMN($A$1:$D$1)-1)+SUMPRODUCT(H2970:K2970,COLUMN($E$1:$H$1)-1))*'Line Follower'!$C$3/SUM(C2970:F2970,H2970:K2970)-'Line Follower'!$C$5)))</f>
        <v>#N/A</v>
      </c>
      <c r="O2970" s="22" t="e">
        <v>#N/A</v>
      </c>
      <c r="P2970" s="4" t="e">
        <f t="shared" si="230"/>
        <v>#N/A</v>
      </c>
      <c r="Q2970" s="4" t="e">
        <f t="shared" si="231"/>
        <v>#N/A</v>
      </c>
      <c r="R2970" s="4" t="e">
        <f>IF(AND(B2970=1,N2970&gt;'Line Follower'!$C$7,SUM(C2970:K2970)&lt;4),1,0)</f>
        <v>#N/A</v>
      </c>
      <c r="S2970" s="4" t="e">
        <f>IF(AND(L2970=1,N2970&lt;'Line Follower'!$C$6,SUM(C2970:K2970)&lt;4),1,0)</f>
        <v>#N/A</v>
      </c>
      <c r="T2970" s="4" t="e">
        <f t="shared" si="232"/>
        <v>#N/A</v>
      </c>
      <c r="U2970" s="5" t="e">
        <f t="shared" si="233"/>
        <v>#N/A</v>
      </c>
      <c r="V2970" s="23" t="e">
        <f t="shared" si="234"/>
        <v>#N/A</v>
      </c>
    </row>
    <row r="2971" spans="2:22" x14ac:dyDescent="0.25">
      <c r="B2971" s="16">
        <v>0</v>
      </c>
      <c r="C2971" s="7">
        <v>0</v>
      </c>
      <c r="D2971" s="8">
        <v>0</v>
      </c>
      <c r="E2971" s="8">
        <v>1</v>
      </c>
      <c r="F2971" s="8">
        <v>1</v>
      </c>
      <c r="G2971" s="8">
        <v>0</v>
      </c>
      <c r="H2971" s="8">
        <v>0</v>
      </c>
      <c r="I2971" s="8">
        <v>1</v>
      </c>
      <c r="J2971" s="8">
        <v>1</v>
      </c>
      <c r="K2971" s="9">
        <v>1</v>
      </c>
      <c r="L2971" s="10">
        <v>0</v>
      </c>
      <c r="M2971" s="6">
        <v>1</v>
      </c>
      <c r="N2971" s="37" t="e" cm="1">
        <f t="array" ref="N2971">IF(OR(ISNUMBER(FIND(Aux!$D$3:$D$9,_xlfn.TEXTJOIN(,,C2971:K2971)))),NA(),IF(AND(SUM(C2971:F2971,H2971:K2971)=0,G2971=1),0,INT((SUMPRODUCT(C2971:F2971,COLUMN($A$1:$D$1)-1)+SUMPRODUCT(H2971:K2971,COLUMN($E$1:$H$1)-1))*'Line Follower'!$C$3/SUM(C2971:F2971,H2971:K2971)-'Line Follower'!$C$5)))</f>
        <v>#N/A</v>
      </c>
      <c r="O2971" s="22" t="e">
        <v>#N/A</v>
      </c>
      <c r="P2971" s="4" t="e">
        <f t="shared" si="230"/>
        <v>#N/A</v>
      </c>
      <c r="Q2971" s="4" t="e">
        <f t="shared" si="231"/>
        <v>#N/A</v>
      </c>
      <c r="R2971" s="4" t="e">
        <f>IF(AND(B2971=1,N2971&gt;'Line Follower'!$C$7,SUM(C2971:K2971)&lt;4),1,0)</f>
        <v>#N/A</v>
      </c>
      <c r="S2971" s="4" t="e">
        <f>IF(AND(L2971=1,N2971&lt;'Line Follower'!$C$6,SUM(C2971:K2971)&lt;4),1,0)</f>
        <v>#N/A</v>
      </c>
      <c r="T2971" s="4" t="e">
        <f t="shared" si="232"/>
        <v>#N/A</v>
      </c>
      <c r="U2971" s="5" t="e">
        <f t="shared" si="233"/>
        <v>#N/A</v>
      </c>
      <c r="V2971" s="23" t="e">
        <f t="shared" si="234"/>
        <v>#N/A</v>
      </c>
    </row>
    <row r="2972" spans="2:22" x14ac:dyDescent="0.25">
      <c r="B2972" s="16">
        <v>1</v>
      </c>
      <c r="C2972" s="7">
        <v>0</v>
      </c>
      <c r="D2972" s="8">
        <v>0</v>
      </c>
      <c r="E2972" s="8">
        <v>1</v>
      </c>
      <c r="F2972" s="8">
        <v>1</v>
      </c>
      <c r="G2972" s="8">
        <v>0</v>
      </c>
      <c r="H2972" s="8">
        <v>0</v>
      </c>
      <c r="I2972" s="8">
        <v>1</v>
      </c>
      <c r="J2972" s="8">
        <v>1</v>
      </c>
      <c r="K2972" s="9">
        <v>1</v>
      </c>
      <c r="L2972" s="10">
        <v>0</v>
      </c>
      <c r="M2972" s="6">
        <v>1</v>
      </c>
      <c r="N2972" s="37" t="e" cm="1">
        <f t="array" ref="N2972">IF(OR(ISNUMBER(FIND(Aux!$D$3:$D$9,_xlfn.TEXTJOIN(,,C2972:K2972)))),NA(),IF(AND(SUM(C2972:F2972,H2972:K2972)=0,G2972=1),0,INT((SUMPRODUCT(C2972:F2972,COLUMN($A$1:$D$1)-1)+SUMPRODUCT(H2972:K2972,COLUMN($E$1:$H$1)-1))*'Line Follower'!$C$3/SUM(C2972:F2972,H2972:K2972)-'Line Follower'!$C$5)))</f>
        <v>#N/A</v>
      </c>
      <c r="O2972" s="22" t="e">
        <v>#N/A</v>
      </c>
      <c r="P2972" s="4" t="e">
        <f t="shared" si="230"/>
        <v>#N/A</v>
      </c>
      <c r="Q2972" s="4" t="e">
        <f t="shared" si="231"/>
        <v>#N/A</v>
      </c>
      <c r="R2972" s="4" t="e">
        <f>IF(AND(B2972=1,N2972&gt;'Line Follower'!$C$7,SUM(C2972:K2972)&lt;4),1,0)</f>
        <v>#N/A</v>
      </c>
      <c r="S2972" s="4" t="e">
        <f>IF(AND(L2972=1,N2972&lt;'Line Follower'!$C$6,SUM(C2972:K2972)&lt;4),1,0)</f>
        <v>#N/A</v>
      </c>
      <c r="T2972" s="4" t="e">
        <f t="shared" si="232"/>
        <v>#N/A</v>
      </c>
      <c r="U2972" s="5" t="e">
        <f t="shared" si="233"/>
        <v>#N/A</v>
      </c>
      <c r="V2972" s="23" t="e">
        <f t="shared" si="234"/>
        <v>#N/A</v>
      </c>
    </row>
    <row r="2973" spans="2:22" x14ac:dyDescent="0.25">
      <c r="B2973" s="16">
        <v>0</v>
      </c>
      <c r="C2973" s="7">
        <v>1</v>
      </c>
      <c r="D2973" s="8">
        <v>0</v>
      </c>
      <c r="E2973" s="8">
        <v>1</v>
      </c>
      <c r="F2973" s="8">
        <v>1</v>
      </c>
      <c r="G2973" s="8">
        <v>0</v>
      </c>
      <c r="H2973" s="8">
        <v>0</v>
      </c>
      <c r="I2973" s="8">
        <v>1</v>
      </c>
      <c r="J2973" s="8">
        <v>1</v>
      </c>
      <c r="K2973" s="9">
        <v>1</v>
      </c>
      <c r="L2973" s="10">
        <v>0</v>
      </c>
      <c r="M2973" s="6">
        <v>1</v>
      </c>
      <c r="N2973" s="37" t="e" cm="1">
        <f t="array" ref="N2973">IF(OR(ISNUMBER(FIND(Aux!$D$3:$D$9,_xlfn.TEXTJOIN(,,C2973:K2973)))),NA(),IF(AND(SUM(C2973:F2973,H2973:K2973)=0,G2973=1),0,INT((SUMPRODUCT(C2973:F2973,COLUMN($A$1:$D$1)-1)+SUMPRODUCT(H2973:K2973,COLUMN($E$1:$H$1)-1))*'Line Follower'!$C$3/SUM(C2973:F2973,H2973:K2973)-'Line Follower'!$C$5)))</f>
        <v>#N/A</v>
      </c>
      <c r="O2973" s="22" t="e">
        <v>#N/A</v>
      </c>
      <c r="P2973" s="4" t="e">
        <f t="shared" si="230"/>
        <v>#N/A</v>
      </c>
      <c r="Q2973" s="4" t="e">
        <f t="shared" si="231"/>
        <v>#N/A</v>
      </c>
      <c r="R2973" s="4" t="e">
        <f>IF(AND(B2973=1,N2973&gt;'Line Follower'!$C$7,SUM(C2973:K2973)&lt;4),1,0)</f>
        <v>#N/A</v>
      </c>
      <c r="S2973" s="4" t="e">
        <f>IF(AND(L2973=1,N2973&lt;'Line Follower'!$C$6,SUM(C2973:K2973)&lt;4),1,0)</f>
        <v>#N/A</v>
      </c>
      <c r="T2973" s="4" t="e">
        <f t="shared" si="232"/>
        <v>#N/A</v>
      </c>
      <c r="U2973" s="5" t="e">
        <f t="shared" si="233"/>
        <v>#N/A</v>
      </c>
      <c r="V2973" s="23" t="e">
        <f t="shared" si="234"/>
        <v>#N/A</v>
      </c>
    </row>
    <row r="2974" spans="2:22" x14ac:dyDescent="0.25">
      <c r="B2974" s="16">
        <v>1</v>
      </c>
      <c r="C2974" s="7">
        <v>1</v>
      </c>
      <c r="D2974" s="8">
        <v>0</v>
      </c>
      <c r="E2974" s="8">
        <v>1</v>
      </c>
      <c r="F2974" s="8">
        <v>1</v>
      </c>
      <c r="G2974" s="8">
        <v>0</v>
      </c>
      <c r="H2974" s="8">
        <v>0</v>
      </c>
      <c r="I2974" s="8">
        <v>1</v>
      </c>
      <c r="J2974" s="8">
        <v>1</v>
      </c>
      <c r="K2974" s="9">
        <v>1</v>
      </c>
      <c r="L2974" s="10">
        <v>0</v>
      </c>
      <c r="M2974" s="6">
        <v>1</v>
      </c>
      <c r="N2974" s="37" t="e" cm="1">
        <f t="array" ref="N2974">IF(OR(ISNUMBER(FIND(Aux!$D$3:$D$9,_xlfn.TEXTJOIN(,,C2974:K2974)))),NA(),IF(AND(SUM(C2974:F2974,H2974:K2974)=0,G2974=1),0,INT((SUMPRODUCT(C2974:F2974,COLUMN($A$1:$D$1)-1)+SUMPRODUCT(H2974:K2974,COLUMN($E$1:$H$1)-1))*'Line Follower'!$C$3/SUM(C2974:F2974,H2974:K2974)-'Line Follower'!$C$5)))</f>
        <v>#N/A</v>
      </c>
      <c r="O2974" s="22" t="e">
        <v>#N/A</v>
      </c>
      <c r="P2974" s="4" t="e">
        <f t="shared" si="230"/>
        <v>#N/A</v>
      </c>
      <c r="Q2974" s="4" t="e">
        <f t="shared" si="231"/>
        <v>#N/A</v>
      </c>
      <c r="R2974" s="4" t="e">
        <f>IF(AND(B2974=1,N2974&gt;'Line Follower'!$C$7,SUM(C2974:K2974)&lt;4),1,0)</f>
        <v>#N/A</v>
      </c>
      <c r="S2974" s="4" t="e">
        <f>IF(AND(L2974=1,N2974&lt;'Line Follower'!$C$6,SUM(C2974:K2974)&lt;4),1,0)</f>
        <v>#N/A</v>
      </c>
      <c r="T2974" s="4" t="e">
        <f t="shared" si="232"/>
        <v>#N/A</v>
      </c>
      <c r="U2974" s="5" t="e">
        <f t="shared" si="233"/>
        <v>#N/A</v>
      </c>
      <c r="V2974" s="23" t="e">
        <f t="shared" si="234"/>
        <v>#N/A</v>
      </c>
    </row>
    <row r="2975" spans="2:22" x14ac:dyDescent="0.25">
      <c r="B2975" s="16">
        <v>0</v>
      </c>
      <c r="C2975" s="7">
        <v>0</v>
      </c>
      <c r="D2975" s="8">
        <v>1</v>
      </c>
      <c r="E2975" s="8">
        <v>1</v>
      </c>
      <c r="F2975" s="8">
        <v>1</v>
      </c>
      <c r="G2975" s="8">
        <v>0</v>
      </c>
      <c r="H2975" s="8">
        <v>0</v>
      </c>
      <c r="I2975" s="8">
        <v>1</v>
      </c>
      <c r="J2975" s="8">
        <v>1</v>
      </c>
      <c r="K2975" s="9">
        <v>1</v>
      </c>
      <c r="L2975" s="10">
        <v>0</v>
      </c>
      <c r="M2975" s="6">
        <v>1</v>
      </c>
      <c r="N2975" s="37" t="e" cm="1">
        <f t="array" ref="N2975">IF(OR(ISNUMBER(FIND(Aux!$D$3:$D$9,_xlfn.TEXTJOIN(,,C2975:K2975)))),NA(),IF(AND(SUM(C2975:F2975,H2975:K2975)=0,G2975=1),0,INT((SUMPRODUCT(C2975:F2975,COLUMN($A$1:$D$1)-1)+SUMPRODUCT(H2975:K2975,COLUMN($E$1:$H$1)-1))*'Line Follower'!$C$3/SUM(C2975:F2975,H2975:K2975)-'Line Follower'!$C$5)))</f>
        <v>#N/A</v>
      </c>
      <c r="O2975" s="22" t="e">
        <v>#N/A</v>
      </c>
      <c r="P2975" s="4" t="e">
        <f t="shared" si="230"/>
        <v>#N/A</v>
      </c>
      <c r="Q2975" s="4" t="e">
        <f t="shared" si="231"/>
        <v>#N/A</v>
      </c>
      <c r="R2975" s="4" t="e">
        <f>IF(AND(B2975=1,N2975&gt;'Line Follower'!$C$7,SUM(C2975:K2975)&lt;4),1,0)</f>
        <v>#N/A</v>
      </c>
      <c r="S2975" s="4" t="e">
        <f>IF(AND(L2975=1,N2975&lt;'Line Follower'!$C$6,SUM(C2975:K2975)&lt;4),1,0)</f>
        <v>#N/A</v>
      </c>
      <c r="T2975" s="4" t="e">
        <f t="shared" si="232"/>
        <v>#N/A</v>
      </c>
      <c r="U2975" s="5" t="e">
        <f t="shared" si="233"/>
        <v>#N/A</v>
      </c>
      <c r="V2975" s="23" t="e">
        <f t="shared" si="234"/>
        <v>#N/A</v>
      </c>
    </row>
    <row r="2976" spans="2:22" x14ac:dyDescent="0.25">
      <c r="B2976" s="16">
        <v>1</v>
      </c>
      <c r="C2976" s="7">
        <v>0</v>
      </c>
      <c r="D2976" s="8">
        <v>1</v>
      </c>
      <c r="E2976" s="8">
        <v>1</v>
      </c>
      <c r="F2976" s="8">
        <v>1</v>
      </c>
      <c r="G2976" s="8">
        <v>0</v>
      </c>
      <c r="H2976" s="8">
        <v>0</v>
      </c>
      <c r="I2976" s="8">
        <v>1</v>
      </c>
      <c r="J2976" s="8">
        <v>1</v>
      </c>
      <c r="K2976" s="9">
        <v>1</v>
      </c>
      <c r="L2976" s="10">
        <v>0</v>
      </c>
      <c r="M2976" s="6">
        <v>1</v>
      </c>
      <c r="N2976" s="37" t="e" cm="1">
        <f t="array" ref="N2976">IF(OR(ISNUMBER(FIND(Aux!$D$3:$D$9,_xlfn.TEXTJOIN(,,C2976:K2976)))),NA(),IF(AND(SUM(C2976:F2976,H2976:K2976)=0,G2976=1),0,INT((SUMPRODUCT(C2976:F2976,COLUMN($A$1:$D$1)-1)+SUMPRODUCT(H2976:K2976,COLUMN($E$1:$H$1)-1))*'Line Follower'!$C$3/SUM(C2976:F2976,H2976:K2976)-'Line Follower'!$C$5)))</f>
        <v>#N/A</v>
      </c>
      <c r="O2976" s="22" t="e">
        <v>#N/A</v>
      </c>
      <c r="P2976" s="4" t="e">
        <f t="shared" si="230"/>
        <v>#N/A</v>
      </c>
      <c r="Q2976" s="4" t="e">
        <f t="shared" si="231"/>
        <v>#N/A</v>
      </c>
      <c r="R2976" s="4" t="e">
        <f>IF(AND(B2976=1,N2976&gt;'Line Follower'!$C$7,SUM(C2976:K2976)&lt;4),1,0)</f>
        <v>#N/A</v>
      </c>
      <c r="S2976" s="4" t="e">
        <f>IF(AND(L2976=1,N2976&lt;'Line Follower'!$C$6,SUM(C2976:K2976)&lt;4),1,0)</f>
        <v>#N/A</v>
      </c>
      <c r="T2976" s="4" t="e">
        <f t="shared" si="232"/>
        <v>#N/A</v>
      </c>
      <c r="U2976" s="5" t="e">
        <f t="shared" si="233"/>
        <v>#N/A</v>
      </c>
      <c r="V2976" s="23" t="e">
        <f t="shared" si="234"/>
        <v>#N/A</v>
      </c>
    </row>
    <row r="2977" spans="2:22" x14ac:dyDescent="0.25">
      <c r="B2977" s="16">
        <v>0</v>
      </c>
      <c r="C2977" s="7">
        <v>1</v>
      </c>
      <c r="D2977" s="8">
        <v>1</v>
      </c>
      <c r="E2977" s="8">
        <v>1</v>
      </c>
      <c r="F2977" s="8">
        <v>1</v>
      </c>
      <c r="G2977" s="8">
        <v>0</v>
      </c>
      <c r="H2977" s="8">
        <v>0</v>
      </c>
      <c r="I2977" s="8">
        <v>1</v>
      </c>
      <c r="J2977" s="8">
        <v>1</v>
      </c>
      <c r="K2977" s="9">
        <v>1</v>
      </c>
      <c r="L2977" s="10">
        <v>0</v>
      </c>
      <c r="M2977" s="6">
        <v>1</v>
      </c>
      <c r="N2977" s="37" t="e" cm="1">
        <f t="array" ref="N2977">IF(OR(ISNUMBER(FIND(Aux!$D$3:$D$9,_xlfn.TEXTJOIN(,,C2977:K2977)))),NA(),IF(AND(SUM(C2977:F2977,H2977:K2977)=0,G2977=1),0,INT((SUMPRODUCT(C2977:F2977,COLUMN($A$1:$D$1)-1)+SUMPRODUCT(H2977:K2977,COLUMN($E$1:$H$1)-1))*'Line Follower'!$C$3/SUM(C2977:F2977,H2977:K2977)-'Line Follower'!$C$5)))</f>
        <v>#N/A</v>
      </c>
      <c r="O2977" s="22" t="e">
        <v>#N/A</v>
      </c>
      <c r="P2977" s="4" t="e">
        <f t="shared" si="230"/>
        <v>#N/A</v>
      </c>
      <c r="Q2977" s="4" t="e">
        <f t="shared" si="231"/>
        <v>#N/A</v>
      </c>
      <c r="R2977" s="4" t="e">
        <f>IF(AND(B2977=1,N2977&gt;'Line Follower'!$C$7,SUM(C2977:K2977)&lt;4),1,0)</f>
        <v>#N/A</v>
      </c>
      <c r="S2977" s="4" t="e">
        <f>IF(AND(L2977=1,N2977&lt;'Line Follower'!$C$6,SUM(C2977:K2977)&lt;4),1,0)</f>
        <v>#N/A</v>
      </c>
      <c r="T2977" s="4" t="e">
        <f t="shared" si="232"/>
        <v>#N/A</v>
      </c>
      <c r="U2977" s="5" t="e">
        <f t="shared" si="233"/>
        <v>#N/A</v>
      </c>
      <c r="V2977" s="23" t="e">
        <f t="shared" si="234"/>
        <v>#N/A</v>
      </c>
    </row>
    <row r="2978" spans="2:22" x14ac:dyDescent="0.25">
      <c r="B2978" s="16">
        <v>1</v>
      </c>
      <c r="C2978" s="7">
        <v>1</v>
      </c>
      <c r="D2978" s="8">
        <v>1</v>
      </c>
      <c r="E2978" s="8">
        <v>1</v>
      </c>
      <c r="F2978" s="8">
        <v>1</v>
      </c>
      <c r="G2978" s="8">
        <v>0</v>
      </c>
      <c r="H2978" s="8">
        <v>0</v>
      </c>
      <c r="I2978" s="8">
        <v>1</v>
      </c>
      <c r="J2978" s="8">
        <v>1</v>
      </c>
      <c r="K2978" s="9">
        <v>1</v>
      </c>
      <c r="L2978" s="10">
        <v>0</v>
      </c>
      <c r="M2978" s="6">
        <v>1</v>
      </c>
      <c r="N2978" s="37" t="e" cm="1">
        <f t="array" ref="N2978">IF(OR(ISNUMBER(FIND(Aux!$D$3:$D$9,_xlfn.TEXTJOIN(,,C2978:K2978)))),NA(),IF(AND(SUM(C2978:F2978,H2978:K2978)=0,G2978=1),0,INT((SUMPRODUCT(C2978:F2978,COLUMN($A$1:$D$1)-1)+SUMPRODUCT(H2978:K2978,COLUMN($E$1:$H$1)-1))*'Line Follower'!$C$3/SUM(C2978:F2978,H2978:K2978)-'Line Follower'!$C$5)))</f>
        <v>#N/A</v>
      </c>
      <c r="O2978" s="22" t="e">
        <v>#N/A</v>
      </c>
      <c r="P2978" s="4" t="e">
        <f t="shared" si="230"/>
        <v>#N/A</v>
      </c>
      <c r="Q2978" s="4" t="e">
        <f t="shared" si="231"/>
        <v>#N/A</v>
      </c>
      <c r="R2978" s="4" t="e">
        <f>IF(AND(B2978=1,N2978&gt;'Line Follower'!$C$7,SUM(C2978:K2978)&lt;4),1,0)</f>
        <v>#N/A</v>
      </c>
      <c r="S2978" s="4" t="e">
        <f>IF(AND(L2978=1,N2978&lt;'Line Follower'!$C$6,SUM(C2978:K2978)&lt;4),1,0)</f>
        <v>#N/A</v>
      </c>
      <c r="T2978" s="4" t="e">
        <f t="shared" si="232"/>
        <v>#N/A</v>
      </c>
      <c r="U2978" s="5" t="e">
        <f t="shared" si="233"/>
        <v>#N/A</v>
      </c>
      <c r="V2978" s="23" t="e">
        <f t="shared" si="234"/>
        <v>#N/A</v>
      </c>
    </row>
    <row r="2979" spans="2:22" x14ac:dyDescent="0.25">
      <c r="B2979" s="16">
        <v>0</v>
      </c>
      <c r="C2979" s="7">
        <v>0</v>
      </c>
      <c r="D2979" s="8">
        <v>0</v>
      </c>
      <c r="E2979" s="8">
        <v>0</v>
      </c>
      <c r="F2979" s="8">
        <v>0</v>
      </c>
      <c r="G2979" s="8">
        <v>1</v>
      </c>
      <c r="H2979" s="8">
        <v>0</v>
      </c>
      <c r="I2979" s="8">
        <v>1</v>
      </c>
      <c r="J2979" s="8">
        <v>1</v>
      </c>
      <c r="K2979" s="9">
        <v>1</v>
      </c>
      <c r="L2979" s="10">
        <v>0</v>
      </c>
      <c r="M2979" s="6">
        <v>1</v>
      </c>
      <c r="N2979" s="37" t="e" cm="1">
        <f t="array" ref="N2979">IF(OR(ISNUMBER(FIND(Aux!$D$3:$D$9,_xlfn.TEXTJOIN(,,C2979:K2979)))),NA(),IF(AND(SUM(C2979:F2979,H2979:K2979)=0,G2979=1),0,INT((SUMPRODUCT(C2979:F2979,COLUMN($A$1:$D$1)-1)+SUMPRODUCT(H2979:K2979,COLUMN($E$1:$H$1)-1))*'Line Follower'!$C$3/SUM(C2979:F2979,H2979:K2979)-'Line Follower'!$C$5)))</f>
        <v>#N/A</v>
      </c>
      <c r="O2979" s="22" t="e">
        <v>#N/A</v>
      </c>
      <c r="P2979" s="4" t="e">
        <f t="shared" si="230"/>
        <v>#N/A</v>
      </c>
      <c r="Q2979" s="4" t="e">
        <f t="shared" si="231"/>
        <v>#N/A</v>
      </c>
      <c r="R2979" s="4" t="e">
        <f>IF(AND(B2979=1,N2979&gt;'Line Follower'!$C$7,SUM(C2979:K2979)&lt;4),1,0)</f>
        <v>#N/A</v>
      </c>
      <c r="S2979" s="4" t="e">
        <f>IF(AND(L2979=1,N2979&lt;'Line Follower'!$C$6,SUM(C2979:K2979)&lt;4),1,0)</f>
        <v>#N/A</v>
      </c>
      <c r="T2979" s="4" t="e">
        <f t="shared" si="232"/>
        <v>#N/A</v>
      </c>
      <c r="U2979" s="5" t="e">
        <f t="shared" si="233"/>
        <v>#N/A</v>
      </c>
      <c r="V2979" s="23" t="e">
        <f t="shared" si="234"/>
        <v>#N/A</v>
      </c>
    </row>
    <row r="2980" spans="2:22" x14ac:dyDescent="0.25">
      <c r="B2980" s="16">
        <v>1</v>
      </c>
      <c r="C2980" s="7">
        <v>0</v>
      </c>
      <c r="D2980" s="8">
        <v>0</v>
      </c>
      <c r="E2980" s="8">
        <v>0</v>
      </c>
      <c r="F2980" s="8">
        <v>0</v>
      </c>
      <c r="G2980" s="8">
        <v>1</v>
      </c>
      <c r="H2980" s="8">
        <v>0</v>
      </c>
      <c r="I2980" s="8">
        <v>1</v>
      </c>
      <c r="J2980" s="8">
        <v>1</v>
      </c>
      <c r="K2980" s="9">
        <v>1</v>
      </c>
      <c r="L2980" s="10">
        <v>0</v>
      </c>
      <c r="M2980" s="6">
        <v>1</v>
      </c>
      <c r="N2980" s="37" t="e" cm="1">
        <f t="array" ref="N2980">IF(OR(ISNUMBER(FIND(Aux!$D$3:$D$9,_xlfn.TEXTJOIN(,,C2980:K2980)))),NA(),IF(AND(SUM(C2980:F2980,H2980:K2980)=0,G2980=1),0,INT((SUMPRODUCT(C2980:F2980,COLUMN($A$1:$D$1)-1)+SUMPRODUCT(H2980:K2980,COLUMN($E$1:$H$1)-1))*'Line Follower'!$C$3/SUM(C2980:F2980,H2980:K2980)-'Line Follower'!$C$5)))</f>
        <v>#N/A</v>
      </c>
      <c r="O2980" s="22" t="e">
        <v>#N/A</v>
      </c>
      <c r="P2980" s="4" t="e">
        <f t="shared" si="230"/>
        <v>#N/A</v>
      </c>
      <c r="Q2980" s="4" t="e">
        <f t="shared" si="231"/>
        <v>#N/A</v>
      </c>
      <c r="R2980" s="4" t="e">
        <f>IF(AND(B2980=1,N2980&gt;'Line Follower'!$C$7,SUM(C2980:K2980)&lt;4),1,0)</f>
        <v>#N/A</v>
      </c>
      <c r="S2980" s="4" t="e">
        <f>IF(AND(L2980=1,N2980&lt;'Line Follower'!$C$6,SUM(C2980:K2980)&lt;4),1,0)</f>
        <v>#N/A</v>
      </c>
      <c r="T2980" s="4" t="e">
        <f t="shared" si="232"/>
        <v>#N/A</v>
      </c>
      <c r="U2980" s="5" t="e">
        <f t="shared" si="233"/>
        <v>#N/A</v>
      </c>
      <c r="V2980" s="23" t="e">
        <f t="shared" si="234"/>
        <v>#N/A</v>
      </c>
    </row>
    <row r="2981" spans="2:22" x14ac:dyDescent="0.25">
      <c r="B2981" s="16">
        <v>0</v>
      </c>
      <c r="C2981" s="7">
        <v>1</v>
      </c>
      <c r="D2981" s="8">
        <v>0</v>
      </c>
      <c r="E2981" s="8">
        <v>0</v>
      </c>
      <c r="F2981" s="8">
        <v>0</v>
      </c>
      <c r="G2981" s="8">
        <v>1</v>
      </c>
      <c r="H2981" s="8">
        <v>0</v>
      </c>
      <c r="I2981" s="8">
        <v>1</v>
      </c>
      <c r="J2981" s="8">
        <v>1</v>
      </c>
      <c r="K2981" s="9">
        <v>1</v>
      </c>
      <c r="L2981" s="10">
        <v>0</v>
      </c>
      <c r="M2981" s="6">
        <v>1</v>
      </c>
      <c r="N2981" s="37" t="e" cm="1">
        <f t="array" ref="N2981">IF(OR(ISNUMBER(FIND(Aux!$D$3:$D$9,_xlfn.TEXTJOIN(,,C2981:K2981)))),NA(),IF(AND(SUM(C2981:F2981,H2981:K2981)=0,G2981=1),0,INT((SUMPRODUCT(C2981:F2981,COLUMN($A$1:$D$1)-1)+SUMPRODUCT(H2981:K2981,COLUMN($E$1:$H$1)-1))*'Line Follower'!$C$3/SUM(C2981:F2981,H2981:K2981)-'Line Follower'!$C$5)))</f>
        <v>#N/A</v>
      </c>
      <c r="O2981" s="22" t="e">
        <v>#N/A</v>
      </c>
      <c r="P2981" s="4" t="e">
        <f t="shared" si="230"/>
        <v>#N/A</v>
      </c>
      <c r="Q2981" s="4" t="e">
        <f t="shared" si="231"/>
        <v>#N/A</v>
      </c>
      <c r="R2981" s="4" t="e">
        <f>IF(AND(B2981=1,N2981&gt;'Line Follower'!$C$7,SUM(C2981:K2981)&lt;4),1,0)</f>
        <v>#N/A</v>
      </c>
      <c r="S2981" s="4" t="e">
        <f>IF(AND(L2981=1,N2981&lt;'Line Follower'!$C$6,SUM(C2981:K2981)&lt;4),1,0)</f>
        <v>#N/A</v>
      </c>
      <c r="T2981" s="4" t="e">
        <f t="shared" si="232"/>
        <v>#N/A</v>
      </c>
      <c r="U2981" s="5" t="e">
        <f t="shared" si="233"/>
        <v>#N/A</v>
      </c>
      <c r="V2981" s="23" t="e">
        <f t="shared" si="234"/>
        <v>#N/A</v>
      </c>
    </row>
    <row r="2982" spans="2:22" x14ac:dyDescent="0.25">
      <c r="B2982" s="16">
        <v>1</v>
      </c>
      <c r="C2982" s="7">
        <v>1</v>
      </c>
      <c r="D2982" s="8">
        <v>0</v>
      </c>
      <c r="E2982" s="8">
        <v>0</v>
      </c>
      <c r="F2982" s="8">
        <v>0</v>
      </c>
      <c r="G2982" s="8">
        <v>1</v>
      </c>
      <c r="H2982" s="8">
        <v>0</v>
      </c>
      <c r="I2982" s="8">
        <v>1</v>
      </c>
      <c r="J2982" s="8">
        <v>1</v>
      </c>
      <c r="K2982" s="9">
        <v>1</v>
      </c>
      <c r="L2982" s="10">
        <v>0</v>
      </c>
      <c r="M2982" s="6">
        <v>1</v>
      </c>
      <c r="N2982" s="37" t="e" cm="1">
        <f t="array" ref="N2982">IF(OR(ISNUMBER(FIND(Aux!$D$3:$D$9,_xlfn.TEXTJOIN(,,C2982:K2982)))),NA(),IF(AND(SUM(C2982:F2982,H2982:K2982)=0,G2982=1),0,INT((SUMPRODUCT(C2982:F2982,COLUMN($A$1:$D$1)-1)+SUMPRODUCT(H2982:K2982,COLUMN($E$1:$H$1)-1))*'Line Follower'!$C$3/SUM(C2982:F2982,H2982:K2982)-'Line Follower'!$C$5)))</f>
        <v>#N/A</v>
      </c>
      <c r="O2982" s="22" t="e">
        <v>#N/A</v>
      </c>
      <c r="P2982" s="4" t="e">
        <f t="shared" si="230"/>
        <v>#N/A</v>
      </c>
      <c r="Q2982" s="4" t="e">
        <f t="shared" si="231"/>
        <v>#N/A</v>
      </c>
      <c r="R2982" s="4" t="e">
        <f>IF(AND(B2982=1,N2982&gt;'Line Follower'!$C$7,SUM(C2982:K2982)&lt;4),1,0)</f>
        <v>#N/A</v>
      </c>
      <c r="S2982" s="4" t="e">
        <f>IF(AND(L2982=1,N2982&lt;'Line Follower'!$C$6,SUM(C2982:K2982)&lt;4),1,0)</f>
        <v>#N/A</v>
      </c>
      <c r="T2982" s="4" t="e">
        <f t="shared" si="232"/>
        <v>#N/A</v>
      </c>
      <c r="U2982" s="5" t="e">
        <f t="shared" si="233"/>
        <v>#N/A</v>
      </c>
      <c r="V2982" s="23" t="e">
        <f t="shared" si="234"/>
        <v>#N/A</v>
      </c>
    </row>
    <row r="2983" spans="2:22" x14ac:dyDescent="0.25">
      <c r="B2983" s="16">
        <v>0</v>
      </c>
      <c r="C2983" s="7">
        <v>0</v>
      </c>
      <c r="D2983" s="8">
        <v>1</v>
      </c>
      <c r="E2983" s="8">
        <v>0</v>
      </c>
      <c r="F2983" s="8">
        <v>0</v>
      </c>
      <c r="G2983" s="8">
        <v>1</v>
      </c>
      <c r="H2983" s="8">
        <v>0</v>
      </c>
      <c r="I2983" s="8">
        <v>1</v>
      </c>
      <c r="J2983" s="8">
        <v>1</v>
      </c>
      <c r="K2983" s="9">
        <v>1</v>
      </c>
      <c r="L2983" s="10">
        <v>0</v>
      </c>
      <c r="M2983" s="6">
        <v>1</v>
      </c>
      <c r="N2983" s="37" t="e" cm="1">
        <f t="array" ref="N2983">IF(OR(ISNUMBER(FIND(Aux!$D$3:$D$9,_xlfn.TEXTJOIN(,,C2983:K2983)))),NA(),IF(AND(SUM(C2983:F2983,H2983:K2983)=0,G2983=1),0,INT((SUMPRODUCT(C2983:F2983,COLUMN($A$1:$D$1)-1)+SUMPRODUCT(H2983:K2983,COLUMN($E$1:$H$1)-1))*'Line Follower'!$C$3/SUM(C2983:F2983,H2983:K2983)-'Line Follower'!$C$5)))</f>
        <v>#N/A</v>
      </c>
      <c r="O2983" s="22" t="e">
        <v>#N/A</v>
      </c>
      <c r="P2983" s="4" t="e">
        <f t="shared" si="230"/>
        <v>#N/A</v>
      </c>
      <c r="Q2983" s="4" t="e">
        <f t="shared" si="231"/>
        <v>#N/A</v>
      </c>
      <c r="R2983" s="4" t="e">
        <f>IF(AND(B2983=1,N2983&gt;'Line Follower'!$C$7,SUM(C2983:K2983)&lt;4),1,0)</f>
        <v>#N/A</v>
      </c>
      <c r="S2983" s="4" t="e">
        <f>IF(AND(L2983=1,N2983&lt;'Line Follower'!$C$6,SUM(C2983:K2983)&lt;4),1,0)</f>
        <v>#N/A</v>
      </c>
      <c r="T2983" s="4" t="e">
        <f t="shared" si="232"/>
        <v>#N/A</v>
      </c>
      <c r="U2983" s="5" t="e">
        <f t="shared" si="233"/>
        <v>#N/A</v>
      </c>
      <c r="V2983" s="23" t="e">
        <f t="shared" si="234"/>
        <v>#N/A</v>
      </c>
    </row>
    <row r="2984" spans="2:22" x14ac:dyDescent="0.25">
      <c r="B2984" s="16">
        <v>1</v>
      </c>
      <c r="C2984" s="7">
        <v>0</v>
      </c>
      <c r="D2984" s="8">
        <v>1</v>
      </c>
      <c r="E2984" s="8">
        <v>0</v>
      </c>
      <c r="F2984" s="8">
        <v>0</v>
      </c>
      <c r="G2984" s="8">
        <v>1</v>
      </c>
      <c r="H2984" s="8">
        <v>0</v>
      </c>
      <c r="I2984" s="8">
        <v>1</v>
      </c>
      <c r="J2984" s="8">
        <v>1</v>
      </c>
      <c r="K2984" s="9">
        <v>1</v>
      </c>
      <c r="L2984" s="10">
        <v>0</v>
      </c>
      <c r="M2984" s="6">
        <v>1</v>
      </c>
      <c r="N2984" s="37" t="e" cm="1">
        <f t="array" ref="N2984">IF(OR(ISNUMBER(FIND(Aux!$D$3:$D$9,_xlfn.TEXTJOIN(,,C2984:K2984)))),NA(),IF(AND(SUM(C2984:F2984,H2984:K2984)=0,G2984=1),0,INT((SUMPRODUCT(C2984:F2984,COLUMN($A$1:$D$1)-1)+SUMPRODUCT(H2984:K2984,COLUMN($E$1:$H$1)-1))*'Line Follower'!$C$3/SUM(C2984:F2984,H2984:K2984)-'Line Follower'!$C$5)))</f>
        <v>#N/A</v>
      </c>
      <c r="O2984" s="22" t="e">
        <v>#N/A</v>
      </c>
      <c r="P2984" s="4" t="e">
        <f t="shared" si="230"/>
        <v>#N/A</v>
      </c>
      <c r="Q2984" s="4" t="e">
        <f t="shared" si="231"/>
        <v>#N/A</v>
      </c>
      <c r="R2984" s="4" t="e">
        <f>IF(AND(B2984=1,N2984&gt;'Line Follower'!$C$7,SUM(C2984:K2984)&lt;4),1,0)</f>
        <v>#N/A</v>
      </c>
      <c r="S2984" s="4" t="e">
        <f>IF(AND(L2984=1,N2984&lt;'Line Follower'!$C$6,SUM(C2984:K2984)&lt;4),1,0)</f>
        <v>#N/A</v>
      </c>
      <c r="T2984" s="4" t="e">
        <f t="shared" si="232"/>
        <v>#N/A</v>
      </c>
      <c r="U2984" s="5" t="e">
        <f t="shared" si="233"/>
        <v>#N/A</v>
      </c>
      <c r="V2984" s="23" t="e">
        <f t="shared" si="234"/>
        <v>#N/A</v>
      </c>
    </row>
    <row r="2985" spans="2:22" x14ac:dyDescent="0.25">
      <c r="B2985" s="16">
        <v>0</v>
      </c>
      <c r="C2985" s="7">
        <v>1</v>
      </c>
      <c r="D2985" s="8">
        <v>1</v>
      </c>
      <c r="E2985" s="8">
        <v>0</v>
      </c>
      <c r="F2985" s="8">
        <v>0</v>
      </c>
      <c r="G2985" s="8">
        <v>1</v>
      </c>
      <c r="H2985" s="8">
        <v>0</v>
      </c>
      <c r="I2985" s="8">
        <v>1</v>
      </c>
      <c r="J2985" s="8">
        <v>1</v>
      </c>
      <c r="K2985" s="9">
        <v>1</v>
      </c>
      <c r="L2985" s="10">
        <v>0</v>
      </c>
      <c r="M2985" s="6">
        <v>1</v>
      </c>
      <c r="N2985" s="37" t="e" cm="1">
        <f t="array" ref="N2985">IF(OR(ISNUMBER(FIND(Aux!$D$3:$D$9,_xlfn.TEXTJOIN(,,C2985:K2985)))),NA(),IF(AND(SUM(C2985:F2985,H2985:K2985)=0,G2985=1),0,INT((SUMPRODUCT(C2985:F2985,COLUMN($A$1:$D$1)-1)+SUMPRODUCT(H2985:K2985,COLUMN($E$1:$H$1)-1))*'Line Follower'!$C$3/SUM(C2985:F2985,H2985:K2985)-'Line Follower'!$C$5)))</f>
        <v>#N/A</v>
      </c>
      <c r="O2985" s="22" t="e">
        <v>#N/A</v>
      </c>
      <c r="P2985" s="4" t="e">
        <f t="shared" si="230"/>
        <v>#N/A</v>
      </c>
      <c r="Q2985" s="4" t="e">
        <f t="shared" si="231"/>
        <v>#N/A</v>
      </c>
      <c r="R2985" s="4" t="e">
        <f>IF(AND(B2985=1,N2985&gt;'Line Follower'!$C$7,SUM(C2985:K2985)&lt;4),1,0)</f>
        <v>#N/A</v>
      </c>
      <c r="S2985" s="4" t="e">
        <f>IF(AND(L2985=1,N2985&lt;'Line Follower'!$C$6,SUM(C2985:K2985)&lt;4),1,0)</f>
        <v>#N/A</v>
      </c>
      <c r="T2985" s="4" t="e">
        <f t="shared" si="232"/>
        <v>#N/A</v>
      </c>
      <c r="U2985" s="5" t="e">
        <f t="shared" si="233"/>
        <v>#N/A</v>
      </c>
      <c r="V2985" s="23" t="e">
        <f t="shared" si="234"/>
        <v>#N/A</v>
      </c>
    </row>
    <row r="2986" spans="2:22" x14ac:dyDescent="0.25">
      <c r="B2986" s="16">
        <v>1</v>
      </c>
      <c r="C2986" s="7">
        <v>1</v>
      </c>
      <c r="D2986" s="8">
        <v>1</v>
      </c>
      <c r="E2986" s="8">
        <v>0</v>
      </c>
      <c r="F2986" s="8">
        <v>0</v>
      </c>
      <c r="G2986" s="8">
        <v>1</v>
      </c>
      <c r="H2986" s="8">
        <v>0</v>
      </c>
      <c r="I2986" s="8">
        <v>1</v>
      </c>
      <c r="J2986" s="8">
        <v>1</v>
      </c>
      <c r="K2986" s="9">
        <v>1</v>
      </c>
      <c r="L2986" s="10">
        <v>0</v>
      </c>
      <c r="M2986" s="6">
        <v>1</v>
      </c>
      <c r="N2986" s="37" t="e" cm="1">
        <f t="array" ref="N2986">IF(OR(ISNUMBER(FIND(Aux!$D$3:$D$9,_xlfn.TEXTJOIN(,,C2986:K2986)))),NA(),IF(AND(SUM(C2986:F2986,H2986:K2986)=0,G2986=1),0,INT((SUMPRODUCT(C2986:F2986,COLUMN($A$1:$D$1)-1)+SUMPRODUCT(H2986:K2986,COLUMN($E$1:$H$1)-1))*'Line Follower'!$C$3/SUM(C2986:F2986,H2986:K2986)-'Line Follower'!$C$5)))</f>
        <v>#N/A</v>
      </c>
      <c r="O2986" s="22" t="e">
        <v>#N/A</v>
      </c>
      <c r="P2986" s="4" t="e">
        <f t="shared" si="230"/>
        <v>#N/A</v>
      </c>
      <c r="Q2986" s="4" t="e">
        <f t="shared" si="231"/>
        <v>#N/A</v>
      </c>
      <c r="R2986" s="4" t="e">
        <f>IF(AND(B2986=1,N2986&gt;'Line Follower'!$C$7,SUM(C2986:K2986)&lt;4),1,0)</f>
        <v>#N/A</v>
      </c>
      <c r="S2986" s="4" t="e">
        <f>IF(AND(L2986=1,N2986&lt;'Line Follower'!$C$6,SUM(C2986:K2986)&lt;4),1,0)</f>
        <v>#N/A</v>
      </c>
      <c r="T2986" s="4" t="e">
        <f t="shared" si="232"/>
        <v>#N/A</v>
      </c>
      <c r="U2986" s="5" t="e">
        <f t="shared" si="233"/>
        <v>#N/A</v>
      </c>
      <c r="V2986" s="23" t="e">
        <f t="shared" si="234"/>
        <v>#N/A</v>
      </c>
    </row>
    <row r="2987" spans="2:22" x14ac:dyDescent="0.25">
      <c r="B2987" s="16">
        <v>0</v>
      </c>
      <c r="C2987" s="7">
        <v>0</v>
      </c>
      <c r="D2987" s="8">
        <v>0</v>
      </c>
      <c r="E2987" s="8">
        <v>1</v>
      </c>
      <c r="F2987" s="8">
        <v>0</v>
      </c>
      <c r="G2987" s="8">
        <v>1</v>
      </c>
      <c r="H2987" s="8">
        <v>0</v>
      </c>
      <c r="I2987" s="8">
        <v>1</v>
      </c>
      <c r="J2987" s="8">
        <v>1</v>
      </c>
      <c r="K2987" s="9">
        <v>1</v>
      </c>
      <c r="L2987" s="10">
        <v>0</v>
      </c>
      <c r="M2987" s="6">
        <v>1</v>
      </c>
      <c r="N2987" s="37" t="e" cm="1">
        <f t="array" ref="N2987">IF(OR(ISNUMBER(FIND(Aux!$D$3:$D$9,_xlfn.TEXTJOIN(,,C2987:K2987)))),NA(),IF(AND(SUM(C2987:F2987,H2987:K2987)=0,G2987=1),0,INT((SUMPRODUCT(C2987:F2987,COLUMN($A$1:$D$1)-1)+SUMPRODUCT(H2987:K2987,COLUMN($E$1:$H$1)-1))*'Line Follower'!$C$3/SUM(C2987:F2987,H2987:K2987)-'Line Follower'!$C$5)))</f>
        <v>#N/A</v>
      </c>
      <c r="O2987" s="22" t="e">
        <v>#N/A</v>
      </c>
      <c r="P2987" s="4" t="e">
        <f t="shared" si="230"/>
        <v>#N/A</v>
      </c>
      <c r="Q2987" s="4" t="e">
        <f t="shared" si="231"/>
        <v>#N/A</v>
      </c>
      <c r="R2987" s="4" t="e">
        <f>IF(AND(B2987=1,N2987&gt;'Line Follower'!$C$7,SUM(C2987:K2987)&lt;4),1,0)</f>
        <v>#N/A</v>
      </c>
      <c r="S2987" s="4" t="e">
        <f>IF(AND(L2987=1,N2987&lt;'Line Follower'!$C$6,SUM(C2987:K2987)&lt;4),1,0)</f>
        <v>#N/A</v>
      </c>
      <c r="T2987" s="4" t="e">
        <f t="shared" si="232"/>
        <v>#N/A</v>
      </c>
      <c r="U2987" s="5" t="e">
        <f t="shared" si="233"/>
        <v>#N/A</v>
      </c>
      <c r="V2987" s="23" t="e">
        <f t="shared" si="234"/>
        <v>#N/A</v>
      </c>
    </row>
    <row r="2988" spans="2:22" x14ac:dyDescent="0.25">
      <c r="B2988" s="16">
        <v>1</v>
      </c>
      <c r="C2988" s="7">
        <v>0</v>
      </c>
      <c r="D2988" s="8">
        <v>0</v>
      </c>
      <c r="E2988" s="8">
        <v>1</v>
      </c>
      <c r="F2988" s="8">
        <v>0</v>
      </c>
      <c r="G2988" s="8">
        <v>1</v>
      </c>
      <c r="H2988" s="8">
        <v>0</v>
      </c>
      <c r="I2988" s="8">
        <v>1</v>
      </c>
      <c r="J2988" s="8">
        <v>1</v>
      </c>
      <c r="K2988" s="9">
        <v>1</v>
      </c>
      <c r="L2988" s="10">
        <v>0</v>
      </c>
      <c r="M2988" s="6">
        <v>1</v>
      </c>
      <c r="N2988" s="37" t="e" cm="1">
        <f t="array" ref="N2988">IF(OR(ISNUMBER(FIND(Aux!$D$3:$D$9,_xlfn.TEXTJOIN(,,C2988:K2988)))),NA(),IF(AND(SUM(C2988:F2988,H2988:K2988)=0,G2988=1),0,INT((SUMPRODUCT(C2988:F2988,COLUMN($A$1:$D$1)-1)+SUMPRODUCT(H2988:K2988,COLUMN($E$1:$H$1)-1))*'Line Follower'!$C$3/SUM(C2988:F2988,H2988:K2988)-'Line Follower'!$C$5)))</f>
        <v>#N/A</v>
      </c>
      <c r="O2988" s="22" t="e">
        <v>#N/A</v>
      </c>
      <c r="P2988" s="4" t="e">
        <f t="shared" si="230"/>
        <v>#N/A</v>
      </c>
      <c r="Q2988" s="4" t="e">
        <f t="shared" si="231"/>
        <v>#N/A</v>
      </c>
      <c r="R2988" s="4" t="e">
        <f>IF(AND(B2988=1,N2988&gt;'Line Follower'!$C$7,SUM(C2988:K2988)&lt;4),1,0)</f>
        <v>#N/A</v>
      </c>
      <c r="S2988" s="4" t="e">
        <f>IF(AND(L2988=1,N2988&lt;'Line Follower'!$C$6,SUM(C2988:K2988)&lt;4),1,0)</f>
        <v>#N/A</v>
      </c>
      <c r="T2988" s="4" t="e">
        <f t="shared" si="232"/>
        <v>#N/A</v>
      </c>
      <c r="U2988" s="5" t="e">
        <f t="shared" si="233"/>
        <v>#N/A</v>
      </c>
      <c r="V2988" s="23" t="e">
        <f t="shared" si="234"/>
        <v>#N/A</v>
      </c>
    </row>
    <row r="2989" spans="2:22" x14ac:dyDescent="0.25">
      <c r="B2989" s="16">
        <v>0</v>
      </c>
      <c r="C2989" s="7">
        <v>1</v>
      </c>
      <c r="D2989" s="8">
        <v>0</v>
      </c>
      <c r="E2989" s="8">
        <v>1</v>
      </c>
      <c r="F2989" s="8">
        <v>0</v>
      </c>
      <c r="G2989" s="8">
        <v>1</v>
      </c>
      <c r="H2989" s="8">
        <v>0</v>
      </c>
      <c r="I2989" s="8">
        <v>1</v>
      </c>
      <c r="J2989" s="8">
        <v>1</v>
      </c>
      <c r="K2989" s="9">
        <v>1</v>
      </c>
      <c r="L2989" s="10">
        <v>0</v>
      </c>
      <c r="M2989" s="6">
        <v>1</v>
      </c>
      <c r="N2989" s="37" t="e" cm="1">
        <f t="array" ref="N2989">IF(OR(ISNUMBER(FIND(Aux!$D$3:$D$9,_xlfn.TEXTJOIN(,,C2989:K2989)))),NA(),IF(AND(SUM(C2989:F2989,H2989:K2989)=0,G2989=1),0,INT((SUMPRODUCT(C2989:F2989,COLUMN($A$1:$D$1)-1)+SUMPRODUCT(H2989:K2989,COLUMN($E$1:$H$1)-1))*'Line Follower'!$C$3/SUM(C2989:F2989,H2989:K2989)-'Line Follower'!$C$5)))</f>
        <v>#N/A</v>
      </c>
      <c r="O2989" s="22" t="e">
        <v>#N/A</v>
      </c>
      <c r="P2989" s="4" t="e">
        <f t="shared" si="230"/>
        <v>#N/A</v>
      </c>
      <c r="Q2989" s="4" t="e">
        <f t="shared" si="231"/>
        <v>#N/A</v>
      </c>
      <c r="R2989" s="4" t="e">
        <f>IF(AND(B2989=1,N2989&gt;'Line Follower'!$C$7,SUM(C2989:K2989)&lt;4),1,0)</f>
        <v>#N/A</v>
      </c>
      <c r="S2989" s="4" t="e">
        <f>IF(AND(L2989=1,N2989&lt;'Line Follower'!$C$6,SUM(C2989:K2989)&lt;4),1,0)</f>
        <v>#N/A</v>
      </c>
      <c r="T2989" s="4" t="e">
        <f t="shared" si="232"/>
        <v>#N/A</v>
      </c>
      <c r="U2989" s="5" t="e">
        <f t="shared" si="233"/>
        <v>#N/A</v>
      </c>
      <c r="V2989" s="23" t="e">
        <f t="shared" si="234"/>
        <v>#N/A</v>
      </c>
    </row>
    <row r="2990" spans="2:22" x14ac:dyDescent="0.25">
      <c r="B2990" s="16">
        <v>1</v>
      </c>
      <c r="C2990" s="7">
        <v>1</v>
      </c>
      <c r="D2990" s="8">
        <v>0</v>
      </c>
      <c r="E2990" s="8">
        <v>1</v>
      </c>
      <c r="F2990" s="8">
        <v>0</v>
      </c>
      <c r="G2990" s="8">
        <v>1</v>
      </c>
      <c r="H2990" s="8">
        <v>0</v>
      </c>
      <c r="I2990" s="8">
        <v>1</v>
      </c>
      <c r="J2990" s="8">
        <v>1</v>
      </c>
      <c r="K2990" s="9">
        <v>1</v>
      </c>
      <c r="L2990" s="10">
        <v>0</v>
      </c>
      <c r="M2990" s="6">
        <v>1</v>
      </c>
      <c r="N2990" s="37" t="e" cm="1">
        <f t="array" ref="N2990">IF(OR(ISNUMBER(FIND(Aux!$D$3:$D$9,_xlfn.TEXTJOIN(,,C2990:K2990)))),NA(),IF(AND(SUM(C2990:F2990,H2990:K2990)=0,G2990=1),0,INT((SUMPRODUCT(C2990:F2990,COLUMN($A$1:$D$1)-1)+SUMPRODUCT(H2990:K2990,COLUMN($E$1:$H$1)-1))*'Line Follower'!$C$3/SUM(C2990:F2990,H2990:K2990)-'Line Follower'!$C$5)))</f>
        <v>#N/A</v>
      </c>
      <c r="O2990" s="22" t="e">
        <v>#N/A</v>
      </c>
      <c r="P2990" s="4" t="e">
        <f t="shared" si="230"/>
        <v>#N/A</v>
      </c>
      <c r="Q2990" s="4" t="e">
        <f t="shared" si="231"/>
        <v>#N/A</v>
      </c>
      <c r="R2990" s="4" t="e">
        <f>IF(AND(B2990=1,N2990&gt;'Line Follower'!$C$7,SUM(C2990:K2990)&lt;4),1,0)</f>
        <v>#N/A</v>
      </c>
      <c r="S2990" s="4" t="e">
        <f>IF(AND(L2990=1,N2990&lt;'Line Follower'!$C$6,SUM(C2990:K2990)&lt;4),1,0)</f>
        <v>#N/A</v>
      </c>
      <c r="T2990" s="4" t="e">
        <f t="shared" si="232"/>
        <v>#N/A</v>
      </c>
      <c r="U2990" s="5" t="e">
        <f t="shared" si="233"/>
        <v>#N/A</v>
      </c>
      <c r="V2990" s="23" t="e">
        <f t="shared" si="234"/>
        <v>#N/A</v>
      </c>
    </row>
    <row r="2991" spans="2:22" x14ac:dyDescent="0.25">
      <c r="B2991" s="16">
        <v>0</v>
      </c>
      <c r="C2991" s="7">
        <v>0</v>
      </c>
      <c r="D2991" s="8">
        <v>1</v>
      </c>
      <c r="E2991" s="8">
        <v>1</v>
      </c>
      <c r="F2991" s="8">
        <v>0</v>
      </c>
      <c r="G2991" s="8">
        <v>1</v>
      </c>
      <c r="H2991" s="8">
        <v>0</v>
      </c>
      <c r="I2991" s="8">
        <v>1</v>
      </c>
      <c r="J2991" s="8">
        <v>1</v>
      </c>
      <c r="K2991" s="9">
        <v>1</v>
      </c>
      <c r="L2991" s="10">
        <v>0</v>
      </c>
      <c r="M2991" s="6">
        <v>1</v>
      </c>
      <c r="N2991" s="37" t="e" cm="1">
        <f t="array" ref="N2991">IF(OR(ISNUMBER(FIND(Aux!$D$3:$D$9,_xlfn.TEXTJOIN(,,C2991:K2991)))),NA(),IF(AND(SUM(C2991:F2991,H2991:K2991)=0,G2991=1),0,INT((SUMPRODUCT(C2991:F2991,COLUMN($A$1:$D$1)-1)+SUMPRODUCT(H2991:K2991,COLUMN($E$1:$H$1)-1))*'Line Follower'!$C$3/SUM(C2991:F2991,H2991:K2991)-'Line Follower'!$C$5)))</f>
        <v>#N/A</v>
      </c>
      <c r="O2991" s="22" t="e">
        <v>#N/A</v>
      </c>
      <c r="P2991" s="4" t="e">
        <f t="shared" si="230"/>
        <v>#N/A</v>
      </c>
      <c r="Q2991" s="4" t="e">
        <f t="shared" si="231"/>
        <v>#N/A</v>
      </c>
      <c r="R2991" s="4" t="e">
        <f>IF(AND(B2991=1,N2991&gt;'Line Follower'!$C$7,SUM(C2991:K2991)&lt;4),1,0)</f>
        <v>#N/A</v>
      </c>
      <c r="S2991" s="4" t="e">
        <f>IF(AND(L2991=1,N2991&lt;'Line Follower'!$C$6,SUM(C2991:K2991)&lt;4),1,0)</f>
        <v>#N/A</v>
      </c>
      <c r="T2991" s="4" t="e">
        <f t="shared" si="232"/>
        <v>#N/A</v>
      </c>
      <c r="U2991" s="5" t="e">
        <f t="shared" si="233"/>
        <v>#N/A</v>
      </c>
      <c r="V2991" s="23" t="e">
        <f t="shared" si="234"/>
        <v>#N/A</v>
      </c>
    </row>
    <row r="2992" spans="2:22" x14ac:dyDescent="0.25">
      <c r="B2992" s="16">
        <v>1</v>
      </c>
      <c r="C2992" s="7">
        <v>0</v>
      </c>
      <c r="D2992" s="8">
        <v>1</v>
      </c>
      <c r="E2992" s="8">
        <v>1</v>
      </c>
      <c r="F2992" s="8">
        <v>0</v>
      </c>
      <c r="G2992" s="8">
        <v>1</v>
      </c>
      <c r="H2992" s="8">
        <v>0</v>
      </c>
      <c r="I2992" s="8">
        <v>1</v>
      </c>
      <c r="J2992" s="8">
        <v>1</v>
      </c>
      <c r="K2992" s="9">
        <v>1</v>
      </c>
      <c r="L2992" s="10">
        <v>0</v>
      </c>
      <c r="M2992" s="6">
        <v>1</v>
      </c>
      <c r="N2992" s="37" t="e" cm="1">
        <f t="array" ref="N2992">IF(OR(ISNUMBER(FIND(Aux!$D$3:$D$9,_xlfn.TEXTJOIN(,,C2992:K2992)))),NA(),IF(AND(SUM(C2992:F2992,H2992:K2992)=0,G2992=1),0,INT((SUMPRODUCT(C2992:F2992,COLUMN($A$1:$D$1)-1)+SUMPRODUCT(H2992:K2992,COLUMN($E$1:$H$1)-1))*'Line Follower'!$C$3/SUM(C2992:F2992,H2992:K2992)-'Line Follower'!$C$5)))</f>
        <v>#N/A</v>
      </c>
      <c r="O2992" s="22" t="e">
        <v>#N/A</v>
      </c>
      <c r="P2992" s="4" t="e">
        <f t="shared" si="230"/>
        <v>#N/A</v>
      </c>
      <c r="Q2992" s="4" t="e">
        <f t="shared" si="231"/>
        <v>#N/A</v>
      </c>
      <c r="R2992" s="4" t="e">
        <f>IF(AND(B2992=1,N2992&gt;'Line Follower'!$C$7,SUM(C2992:K2992)&lt;4),1,0)</f>
        <v>#N/A</v>
      </c>
      <c r="S2992" s="4" t="e">
        <f>IF(AND(L2992=1,N2992&lt;'Line Follower'!$C$6,SUM(C2992:K2992)&lt;4),1,0)</f>
        <v>#N/A</v>
      </c>
      <c r="T2992" s="4" t="e">
        <f t="shared" si="232"/>
        <v>#N/A</v>
      </c>
      <c r="U2992" s="5" t="e">
        <f t="shared" si="233"/>
        <v>#N/A</v>
      </c>
      <c r="V2992" s="23" t="e">
        <f t="shared" si="234"/>
        <v>#N/A</v>
      </c>
    </row>
    <row r="2993" spans="2:22" x14ac:dyDescent="0.25">
      <c r="B2993" s="16">
        <v>0</v>
      </c>
      <c r="C2993" s="7">
        <v>1</v>
      </c>
      <c r="D2993" s="8">
        <v>1</v>
      </c>
      <c r="E2993" s="8">
        <v>1</v>
      </c>
      <c r="F2993" s="8">
        <v>0</v>
      </c>
      <c r="G2993" s="8">
        <v>1</v>
      </c>
      <c r="H2993" s="8">
        <v>0</v>
      </c>
      <c r="I2993" s="8">
        <v>1</v>
      </c>
      <c r="J2993" s="8">
        <v>1</v>
      </c>
      <c r="K2993" s="9">
        <v>1</v>
      </c>
      <c r="L2993" s="10">
        <v>0</v>
      </c>
      <c r="M2993" s="6">
        <v>1</v>
      </c>
      <c r="N2993" s="37" t="e" cm="1">
        <f t="array" ref="N2993">IF(OR(ISNUMBER(FIND(Aux!$D$3:$D$9,_xlfn.TEXTJOIN(,,C2993:K2993)))),NA(),IF(AND(SUM(C2993:F2993,H2993:K2993)=0,G2993=1),0,INT((SUMPRODUCT(C2993:F2993,COLUMN($A$1:$D$1)-1)+SUMPRODUCT(H2993:K2993,COLUMN($E$1:$H$1)-1))*'Line Follower'!$C$3/SUM(C2993:F2993,H2993:K2993)-'Line Follower'!$C$5)))</f>
        <v>#N/A</v>
      </c>
      <c r="O2993" s="22" t="e">
        <v>#N/A</v>
      </c>
      <c r="P2993" s="4" t="e">
        <f t="shared" si="230"/>
        <v>#N/A</v>
      </c>
      <c r="Q2993" s="4" t="e">
        <f t="shared" si="231"/>
        <v>#N/A</v>
      </c>
      <c r="R2993" s="4" t="e">
        <f>IF(AND(B2993=1,N2993&gt;'Line Follower'!$C$7,SUM(C2993:K2993)&lt;4),1,0)</f>
        <v>#N/A</v>
      </c>
      <c r="S2993" s="4" t="e">
        <f>IF(AND(L2993=1,N2993&lt;'Line Follower'!$C$6,SUM(C2993:K2993)&lt;4),1,0)</f>
        <v>#N/A</v>
      </c>
      <c r="T2993" s="4" t="e">
        <f t="shared" si="232"/>
        <v>#N/A</v>
      </c>
      <c r="U2993" s="5" t="e">
        <f t="shared" si="233"/>
        <v>#N/A</v>
      </c>
      <c r="V2993" s="23" t="e">
        <f t="shared" si="234"/>
        <v>#N/A</v>
      </c>
    </row>
    <row r="2994" spans="2:22" x14ac:dyDescent="0.25">
      <c r="B2994" s="16">
        <v>1</v>
      </c>
      <c r="C2994" s="7">
        <v>1</v>
      </c>
      <c r="D2994" s="8">
        <v>1</v>
      </c>
      <c r="E2994" s="8">
        <v>1</v>
      </c>
      <c r="F2994" s="8">
        <v>0</v>
      </c>
      <c r="G2994" s="8">
        <v>1</v>
      </c>
      <c r="H2994" s="8">
        <v>0</v>
      </c>
      <c r="I2994" s="8">
        <v>1</v>
      </c>
      <c r="J2994" s="8">
        <v>1</v>
      </c>
      <c r="K2994" s="9">
        <v>1</v>
      </c>
      <c r="L2994" s="10">
        <v>0</v>
      </c>
      <c r="M2994" s="6">
        <v>1</v>
      </c>
      <c r="N2994" s="37" t="e" cm="1">
        <f t="array" ref="N2994">IF(OR(ISNUMBER(FIND(Aux!$D$3:$D$9,_xlfn.TEXTJOIN(,,C2994:K2994)))),NA(),IF(AND(SUM(C2994:F2994,H2994:K2994)=0,G2994=1),0,INT((SUMPRODUCT(C2994:F2994,COLUMN($A$1:$D$1)-1)+SUMPRODUCT(H2994:K2994,COLUMN($E$1:$H$1)-1))*'Line Follower'!$C$3/SUM(C2994:F2994,H2994:K2994)-'Line Follower'!$C$5)))</f>
        <v>#N/A</v>
      </c>
      <c r="O2994" s="22" t="e">
        <v>#N/A</v>
      </c>
      <c r="P2994" s="4" t="e">
        <f t="shared" si="230"/>
        <v>#N/A</v>
      </c>
      <c r="Q2994" s="4" t="e">
        <f t="shared" si="231"/>
        <v>#N/A</v>
      </c>
      <c r="R2994" s="4" t="e">
        <f>IF(AND(B2994=1,N2994&gt;'Line Follower'!$C$7,SUM(C2994:K2994)&lt;4),1,0)</f>
        <v>#N/A</v>
      </c>
      <c r="S2994" s="4" t="e">
        <f>IF(AND(L2994=1,N2994&lt;'Line Follower'!$C$6,SUM(C2994:K2994)&lt;4),1,0)</f>
        <v>#N/A</v>
      </c>
      <c r="T2994" s="4" t="e">
        <f t="shared" si="232"/>
        <v>#N/A</v>
      </c>
      <c r="U2994" s="5" t="e">
        <f t="shared" si="233"/>
        <v>#N/A</v>
      </c>
      <c r="V2994" s="23" t="e">
        <f t="shared" si="234"/>
        <v>#N/A</v>
      </c>
    </row>
    <row r="2995" spans="2:22" x14ac:dyDescent="0.25">
      <c r="B2995" s="16">
        <v>0</v>
      </c>
      <c r="C2995" s="7">
        <v>0</v>
      </c>
      <c r="D2995" s="8">
        <v>0</v>
      </c>
      <c r="E2995" s="8">
        <v>0</v>
      </c>
      <c r="F2995" s="8">
        <v>1</v>
      </c>
      <c r="G2995" s="8">
        <v>1</v>
      </c>
      <c r="H2995" s="8">
        <v>0</v>
      </c>
      <c r="I2995" s="8">
        <v>1</v>
      </c>
      <c r="J2995" s="8">
        <v>1</v>
      </c>
      <c r="K2995" s="9">
        <v>1</v>
      </c>
      <c r="L2995" s="10">
        <v>0</v>
      </c>
      <c r="M2995" s="6">
        <v>1</v>
      </c>
      <c r="N2995" s="37" t="e" cm="1">
        <f t="array" ref="N2995">IF(OR(ISNUMBER(FIND(Aux!$D$3:$D$9,_xlfn.TEXTJOIN(,,C2995:K2995)))),NA(),IF(AND(SUM(C2995:F2995,H2995:K2995)=0,G2995=1),0,INT((SUMPRODUCT(C2995:F2995,COLUMN($A$1:$D$1)-1)+SUMPRODUCT(H2995:K2995,COLUMN($E$1:$H$1)-1))*'Line Follower'!$C$3/SUM(C2995:F2995,H2995:K2995)-'Line Follower'!$C$5)))</f>
        <v>#N/A</v>
      </c>
      <c r="O2995" s="22" t="e">
        <v>#N/A</v>
      </c>
      <c r="P2995" s="4" t="e">
        <f t="shared" si="230"/>
        <v>#N/A</v>
      </c>
      <c r="Q2995" s="4" t="e">
        <f t="shared" si="231"/>
        <v>#N/A</v>
      </c>
      <c r="R2995" s="4" t="e">
        <f>IF(AND(B2995=1,N2995&gt;'Line Follower'!$C$7,SUM(C2995:K2995)&lt;4),1,0)</f>
        <v>#N/A</v>
      </c>
      <c r="S2995" s="4" t="e">
        <f>IF(AND(L2995=1,N2995&lt;'Line Follower'!$C$6,SUM(C2995:K2995)&lt;4),1,0)</f>
        <v>#N/A</v>
      </c>
      <c r="T2995" s="4" t="e">
        <f t="shared" si="232"/>
        <v>#N/A</v>
      </c>
      <c r="U2995" s="5" t="e">
        <f t="shared" si="233"/>
        <v>#N/A</v>
      </c>
      <c r="V2995" s="23" t="e">
        <f t="shared" si="234"/>
        <v>#N/A</v>
      </c>
    </row>
    <row r="2996" spans="2:22" x14ac:dyDescent="0.25">
      <c r="B2996" s="16">
        <v>1</v>
      </c>
      <c r="C2996" s="7">
        <v>0</v>
      </c>
      <c r="D2996" s="8">
        <v>0</v>
      </c>
      <c r="E2996" s="8">
        <v>0</v>
      </c>
      <c r="F2996" s="8">
        <v>1</v>
      </c>
      <c r="G2996" s="8">
        <v>1</v>
      </c>
      <c r="H2996" s="8">
        <v>0</v>
      </c>
      <c r="I2996" s="8">
        <v>1</v>
      </c>
      <c r="J2996" s="8">
        <v>1</v>
      </c>
      <c r="K2996" s="9">
        <v>1</v>
      </c>
      <c r="L2996" s="10">
        <v>0</v>
      </c>
      <c r="M2996" s="6">
        <v>1</v>
      </c>
      <c r="N2996" s="37" t="e" cm="1">
        <f t="array" ref="N2996">IF(OR(ISNUMBER(FIND(Aux!$D$3:$D$9,_xlfn.TEXTJOIN(,,C2996:K2996)))),NA(),IF(AND(SUM(C2996:F2996,H2996:K2996)=0,G2996=1),0,INT((SUMPRODUCT(C2996:F2996,COLUMN($A$1:$D$1)-1)+SUMPRODUCT(H2996:K2996,COLUMN($E$1:$H$1)-1))*'Line Follower'!$C$3/SUM(C2996:F2996,H2996:K2996)-'Line Follower'!$C$5)))</f>
        <v>#N/A</v>
      </c>
      <c r="O2996" s="22" t="e">
        <v>#N/A</v>
      </c>
      <c r="P2996" s="4" t="e">
        <f t="shared" si="230"/>
        <v>#N/A</v>
      </c>
      <c r="Q2996" s="4" t="e">
        <f t="shared" si="231"/>
        <v>#N/A</v>
      </c>
      <c r="R2996" s="4" t="e">
        <f>IF(AND(B2996=1,N2996&gt;'Line Follower'!$C$7,SUM(C2996:K2996)&lt;4),1,0)</f>
        <v>#N/A</v>
      </c>
      <c r="S2996" s="4" t="e">
        <f>IF(AND(L2996=1,N2996&lt;'Line Follower'!$C$6,SUM(C2996:K2996)&lt;4),1,0)</f>
        <v>#N/A</v>
      </c>
      <c r="T2996" s="4" t="e">
        <f t="shared" si="232"/>
        <v>#N/A</v>
      </c>
      <c r="U2996" s="5" t="e">
        <f t="shared" si="233"/>
        <v>#N/A</v>
      </c>
      <c r="V2996" s="23" t="e">
        <f t="shared" si="234"/>
        <v>#N/A</v>
      </c>
    </row>
    <row r="2997" spans="2:22" x14ac:dyDescent="0.25">
      <c r="B2997" s="16">
        <v>0</v>
      </c>
      <c r="C2997" s="7">
        <v>1</v>
      </c>
      <c r="D2997" s="8">
        <v>0</v>
      </c>
      <c r="E2997" s="8">
        <v>0</v>
      </c>
      <c r="F2997" s="8">
        <v>1</v>
      </c>
      <c r="G2997" s="8">
        <v>1</v>
      </c>
      <c r="H2997" s="8">
        <v>0</v>
      </c>
      <c r="I2997" s="8">
        <v>1</v>
      </c>
      <c r="J2997" s="8">
        <v>1</v>
      </c>
      <c r="K2997" s="9">
        <v>1</v>
      </c>
      <c r="L2997" s="10">
        <v>0</v>
      </c>
      <c r="M2997" s="6">
        <v>1</v>
      </c>
      <c r="N2997" s="37" t="e" cm="1">
        <f t="array" ref="N2997">IF(OR(ISNUMBER(FIND(Aux!$D$3:$D$9,_xlfn.TEXTJOIN(,,C2997:K2997)))),NA(),IF(AND(SUM(C2997:F2997,H2997:K2997)=0,G2997=1),0,INT((SUMPRODUCT(C2997:F2997,COLUMN($A$1:$D$1)-1)+SUMPRODUCT(H2997:K2997,COLUMN($E$1:$H$1)-1))*'Line Follower'!$C$3/SUM(C2997:F2997,H2997:K2997)-'Line Follower'!$C$5)))</f>
        <v>#N/A</v>
      </c>
      <c r="O2997" s="22" t="e">
        <v>#N/A</v>
      </c>
      <c r="P2997" s="4" t="e">
        <f t="shared" si="230"/>
        <v>#N/A</v>
      </c>
      <c r="Q2997" s="4" t="e">
        <f t="shared" si="231"/>
        <v>#N/A</v>
      </c>
      <c r="R2997" s="4" t="e">
        <f>IF(AND(B2997=1,N2997&gt;'Line Follower'!$C$7,SUM(C2997:K2997)&lt;4),1,0)</f>
        <v>#N/A</v>
      </c>
      <c r="S2997" s="4" t="e">
        <f>IF(AND(L2997=1,N2997&lt;'Line Follower'!$C$6,SUM(C2997:K2997)&lt;4),1,0)</f>
        <v>#N/A</v>
      </c>
      <c r="T2997" s="4" t="e">
        <f t="shared" si="232"/>
        <v>#N/A</v>
      </c>
      <c r="U2997" s="5" t="e">
        <f t="shared" si="233"/>
        <v>#N/A</v>
      </c>
      <c r="V2997" s="23" t="e">
        <f t="shared" si="234"/>
        <v>#N/A</v>
      </c>
    </row>
    <row r="2998" spans="2:22" x14ac:dyDescent="0.25">
      <c r="B2998" s="16">
        <v>1</v>
      </c>
      <c r="C2998" s="7">
        <v>1</v>
      </c>
      <c r="D2998" s="8">
        <v>0</v>
      </c>
      <c r="E2998" s="8">
        <v>0</v>
      </c>
      <c r="F2998" s="8">
        <v>1</v>
      </c>
      <c r="G2998" s="8">
        <v>1</v>
      </c>
      <c r="H2998" s="8">
        <v>0</v>
      </c>
      <c r="I2998" s="8">
        <v>1</v>
      </c>
      <c r="J2998" s="8">
        <v>1</v>
      </c>
      <c r="K2998" s="9">
        <v>1</v>
      </c>
      <c r="L2998" s="10">
        <v>0</v>
      </c>
      <c r="M2998" s="6">
        <v>1</v>
      </c>
      <c r="N2998" s="37" t="e" cm="1">
        <f t="array" ref="N2998">IF(OR(ISNUMBER(FIND(Aux!$D$3:$D$9,_xlfn.TEXTJOIN(,,C2998:K2998)))),NA(),IF(AND(SUM(C2998:F2998,H2998:K2998)=0,G2998=1),0,INT((SUMPRODUCT(C2998:F2998,COLUMN($A$1:$D$1)-1)+SUMPRODUCT(H2998:K2998,COLUMN($E$1:$H$1)-1))*'Line Follower'!$C$3/SUM(C2998:F2998,H2998:K2998)-'Line Follower'!$C$5)))</f>
        <v>#N/A</v>
      </c>
      <c r="O2998" s="22" t="e">
        <v>#N/A</v>
      </c>
      <c r="P2998" s="4" t="e">
        <f t="shared" si="230"/>
        <v>#N/A</v>
      </c>
      <c r="Q2998" s="4" t="e">
        <f t="shared" si="231"/>
        <v>#N/A</v>
      </c>
      <c r="R2998" s="4" t="e">
        <f>IF(AND(B2998=1,N2998&gt;'Line Follower'!$C$7,SUM(C2998:K2998)&lt;4),1,0)</f>
        <v>#N/A</v>
      </c>
      <c r="S2998" s="4" t="e">
        <f>IF(AND(L2998=1,N2998&lt;'Line Follower'!$C$6,SUM(C2998:K2998)&lt;4),1,0)</f>
        <v>#N/A</v>
      </c>
      <c r="T2998" s="4" t="e">
        <f t="shared" si="232"/>
        <v>#N/A</v>
      </c>
      <c r="U2998" s="5" t="e">
        <f t="shared" si="233"/>
        <v>#N/A</v>
      </c>
      <c r="V2998" s="23" t="e">
        <f t="shared" si="234"/>
        <v>#N/A</v>
      </c>
    </row>
    <row r="2999" spans="2:22" x14ac:dyDescent="0.25">
      <c r="B2999" s="16">
        <v>0</v>
      </c>
      <c r="C2999" s="7">
        <v>0</v>
      </c>
      <c r="D2999" s="8">
        <v>1</v>
      </c>
      <c r="E2999" s="8">
        <v>0</v>
      </c>
      <c r="F2999" s="8">
        <v>1</v>
      </c>
      <c r="G2999" s="8">
        <v>1</v>
      </c>
      <c r="H2999" s="8">
        <v>0</v>
      </c>
      <c r="I2999" s="8">
        <v>1</v>
      </c>
      <c r="J2999" s="8">
        <v>1</v>
      </c>
      <c r="K2999" s="9">
        <v>1</v>
      </c>
      <c r="L2999" s="10">
        <v>0</v>
      </c>
      <c r="M2999" s="6">
        <v>1</v>
      </c>
      <c r="N2999" s="37" t="e" cm="1">
        <f t="array" ref="N2999">IF(OR(ISNUMBER(FIND(Aux!$D$3:$D$9,_xlfn.TEXTJOIN(,,C2999:K2999)))),NA(),IF(AND(SUM(C2999:F2999,H2999:K2999)=0,G2999=1),0,INT((SUMPRODUCT(C2999:F2999,COLUMN($A$1:$D$1)-1)+SUMPRODUCT(H2999:K2999,COLUMN($E$1:$H$1)-1))*'Line Follower'!$C$3/SUM(C2999:F2999,H2999:K2999)-'Line Follower'!$C$5)))</f>
        <v>#N/A</v>
      </c>
      <c r="O2999" s="22" t="e">
        <v>#N/A</v>
      </c>
      <c r="P2999" s="4" t="e">
        <f t="shared" si="230"/>
        <v>#N/A</v>
      </c>
      <c r="Q2999" s="4" t="e">
        <f t="shared" si="231"/>
        <v>#N/A</v>
      </c>
      <c r="R2999" s="4" t="e">
        <f>IF(AND(B2999=1,N2999&gt;'Line Follower'!$C$7,SUM(C2999:K2999)&lt;4),1,0)</f>
        <v>#N/A</v>
      </c>
      <c r="S2999" s="4" t="e">
        <f>IF(AND(L2999=1,N2999&lt;'Line Follower'!$C$6,SUM(C2999:K2999)&lt;4),1,0)</f>
        <v>#N/A</v>
      </c>
      <c r="T2999" s="4" t="e">
        <f t="shared" si="232"/>
        <v>#N/A</v>
      </c>
      <c r="U2999" s="5" t="e">
        <f t="shared" si="233"/>
        <v>#N/A</v>
      </c>
      <c r="V2999" s="23" t="e">
        <f t="shared" si="234"/>
        <v>#N/A</v>
      </c>
    </row>
    <row r="3000" spans="2:22" x14ac:dyDescent="0.25">
      <c r="B3000" s="16">
        <v>1</v>
      </c>
      <c r="C3000" s="7">
        <v>0</v>
      </c>
      <c r="D3000" s="8">
        <v>1</v>
      </c>
      <c r="E3000" s="8">
        <v>0</v>
      </c>
      <c r="F3000" s="8">
        <v>1</v>
      </c>
      <c r="G3000" s="8">
        <v>1</v>
      </c>
      <c r="H3000" s="8">
        <v>0</v>
      </c>
      <c r="I3000" s="8">
        <v>1</v>
      </c>
      <c r="J3000" s="8">
        <v>1</v>
      </c>
      <c r="K3000" s="9">
        <v>1</v>
      </c>
      <c r="L3000" s="10">
        <v>0</v>
      </c>
      <c r="M3000" s="6">
        <v>1</v>
      </c>
      <c r="N3000" s="37" t="e" cm="1">
        <f t="array" ref="N3000">IF(OR(ISNUMBER(FIND(Aux!$D$3:$D$9,_xlfn.TEXTJOIN(,,C3000:K3000)))),NA(),IF(AND(SUM(C3000:F3000,H3000:K3000)=0,G3000=1),0,INT((SUMPRODUCT(C3000:F3000,COLUMN($A$1:$D$1)-1)+SUMPRODUCT(H3000:K3000,COLUMN($E$1:$H$1)-1))*'Line Follower'!$C$3/SUM(C3000:F3000,H3000:K3000)-'Line Follower'!$C$5)))</f>
        <v>#N/A</v>
      </c>
      <c r="O3000" s="22" t="e">
        <v>#N/A</v>
      </c>
      <c r="P3000" s="4" t="e">
        <f t="shared" si="230"/>
        <v>#N/A</v>
      </c>
      <c r="Q3000" s="4" t="e">
        <f t="shared" si="231"/>
        <v>#N/A</v>
      </c>
      <c r="R3000" s="4" t="e">
        <f>IF(AND(B3000=1,N3000&gt;'Line Follower'!$C$7,SUM(C3000:K3000)&lt;4),1,0)</f>
        <v>#N/A</v>
      </c>
      <c r="S3000" s="4" t="e">
        <f>IF(AND(L3000=1,N3000&lt;'Line Follower'!$C$6,SUM(C3000:K3000)&lt;4),1,0)</f>
        <v>#N/A</v>
      </c>
      <c r="T3000" s="4" t="e">
        <f t="shared" si="232"/>
        <v>#N/A</v>
      </c>
      <c r="U3000" s="5" t="e">
        <f t="shared" si="233"/>
        <v>#N/A</v>
      </c>
      <c r="V3000" s="23" t="e">
        <f t="shared" si="234"/>
        <v>#N/A</v>
      </c>
    </row>
    <row r="3001" spans="2:22" x14ac:dyDescent="0.25">
      <c r="B3001" s="16">
        <v>0</v>
      </c>
      <c r="C3001" s="7">
        <v>1</v>
      </c>
      <c r="D3001" s="8">
        <v>1</v>
      </c>
      <c r="E3001" s="8">
        <v>0</v>
      </c>
      <c r="F3001" s="8">
        <v>1</v>
      </c>
      <c r="G3001" s="8">
        <v>1</v>
      </c>
      <c r="H3001" s="8">
        <v>0</v>
      </c>
      <c r="I3001" s="8">
        <v>1</v>
      </c>
      <c r="J3001" s="8">
        <v>1</v>
      </c>
      <c r="K3001" s="9">
        <v>1</v>
      </c>
      <c r="L3001" s="10">
        <v>0</v>
      </c>
      <c r="M3001" s="6">
        <v>1</v>
      </c>
      <c r="N3001" s="37" t="e" cm="1">
        <f t="array" ref="N3001">IF(OR(ISNUMBER(FIND(Aux!$D$3:$D$9,_xlfn.TEXTJOIN(,,C3001:K3001)))),NA(),IF(AND(SUM(C3001:F3001,H3001:K3001)=0,G3001=1),0,INT((SUMPRODUCT(C3001:F3001,COLUMN($A$1:$D$1)-1)+SUMPRODUCT(H3001:K3001,COLUMN($E$1:$H$1)-1))*'Line Follower'!$C$3/SUM(C3001:F3001,H3001:K3001)-'Line Follower'!$C$5)))</f>
        <v>#N/A</v>
      </c>
      <c r="O3001" s="22" t="e">
        <v>#N/A</v>
      </c>
      <c r="P3001" s="4" t="e">
        <f t="shared" si="230"/>
        <v>#N/A</v>
      </c>
      <c r="Q3001" s="4" t="e">
        <f t="shared" si="231"/>
        <v>#N/A</v>
      </c>
      <c r="R3001" s="4" t="e">
        <f>IF(AND(B3001=1,N3001&gt;'Line Follower'!$C$7,SUM(C3001:K3001)&lt;4),1,0)</f>
        <v>#N/A</v>
      </c>
      <c r="S3001" s="4" t="e">
        <f>IF(AND(L3001=1,N3001&lt;'Line Follower'!$C$6,SUM(C3001:K3001)&lt;4),1,0)</f>
        <v>#N/A</v>
      </c>
      <c r="T3001" s="4" t="e">
        <f t="shared" si="232"/>
        <v>#N/A</v>
      </c>
      <c r="U3001" s="5" t="e">
        <f t="shared" si="233"/>
        <v>#N/A</v>
      </c>
      <c r="V3001" s="23" t="e">
        <f t="shared" si="234"/>
        <v>#N/A</v>
      </c>
    </row>
    <row r="3002" spans="2:22" x14ac:dyDescent="0.25">
      <c r="B3002" s="16">
        <v>1</v>
      </c>
      <c r="C3002" s="7">
        <v>1</v>
      </c>
      <c r="D3002" s="8">
        <v>1</v>
      </c>
      <c r="E3002" s="8">
        <v>0</v>
      </c>
      <c r="F3002" s="8">
        <v>1</v>
      </c>
      <c r="G3002" s="8">
        <v>1</v>
      </c>
      <c r="H3002" s="8">
        <v>0</v>
      </c>
      <c r="I3002" s="8">
        <v>1</v>
      </c>
      <c r="J3002" s="8">
        <v>1</v>
      </c>
      <c r="K3002" s="9">
        <v>1</v>
      </c>
      <c r="L3002" s="10">
        <v>0</v>
      </c>
      <c r="M3002" s="6">
        <v>1</v>
      </c>
      <c r="N3002" s="37" t="e" cm="1">
        <f t="array" ref="N3002">IF(OR(ISNUMBER(FIND(Aux!$D$3:$D$9,_xlfn.TEXTJOIN(,,C3002:K3002)))),NA(),IF(AND(SUM(C3002:F3002,H3002:K3002)=0,G3002=1),0,INT((SUMPRODUCT(C3002:F3002,COLUMN($A$1:$D$1)-1)+SUMPRODUCT(H3002:K3002,COLUMN($E$1:$H$1)-1))*'Line Follower'!$C$3/SUM(C3002:F3002,H3002:K3002)-'Line Follower'!$C$5)))</f>
        <v>#N/A</v>
      </c>
      <c r="O3002" s="22" t="e">
        <v>#N/A</v>
      </c>
      <c r="P3002" s="4" t="e">
        <f t="shared" si="230"/>
        <v>#N/A</v>
      </c>
      <c r="Q3002" s="4" t="e">
        <f t="shared" si="231"/>
        <v>#N/A</v>
      </c>
      <c r="R3002" s="4" t="e">
        <f>IF(AND(B3002=1,N3002&gt;'Line Follower'!$C$7,SUM(C3002:K3002)&lt;4),1,0)</f>
        <v>#N/A</v>
      </c>
      <c r="S3002" s="4" t="e">
        <f>IF(AND(L3002=1,N3002&lt;'Line Follower'!$C$6,SUM(C3002:K3002)&lt;4),1,0)</f>
        <v>#N/A</v>
      </c>
      <c r="T3002" s="4" t="e">
        <f t="shared" si="232"/>
        <v>#N/A</v>
      </c>
      <c r="U3002" s="5" t="e">
        <f t="shared" si="233"/>
        <v>#N/A</v>
      </c>
      <c r="V3002" s="23" t="e">
        <f t="shared" si="234"/>
        <v>#N/A</v>
      </c>
    </row>
    <row r="3003" spans="2:22" x14ac:dyDescent="0.25">
      <c r="B3003" s="16">
        <v>0</v>
      </c>
      <c r="C3003" s="7">
        <v>0</v>
      </c>
      <c r="D3003" s="8">
        <v>0</v>
      </c>
      <c r="E3003" s="8">
        <v>1</v>
      </c>
      <c r="F3003" s="8">
        <v>1</v>
      </c>
      <c r="G3003" s="8">
        <v>1</v>
      </c>
      <c r="H3003" s="8">
        <v>0</v>
      </c>
      <c r="I3003" s="8">
        <v>1</v>
      </c>
      <c r="J3003" s="8">
        <v>1</v>
      </c>
      <c r="K3003" s="9">
        <v>1</v>
      </c>
      <c r="L3003" s="10">
        <v>0</v>
      </c>
      <c r="M3003" s="6">
        <v>1</v>
      </c>
      <c r="N3003" s="37" t="e" cm="1">
        <f t="array" ref="N3003">IF(OR(ISNUMBER(FIND(Aux!$D$3:$D$9,_xlfn.TEXTJOIN(,,C3003:K3003)))),NA(),IF(AND(SUM(C3003:F3003,H3003:K3003)=0,G3003=1),0,INT((SUMPRODUCT(C3003:F3003,COLUMN($A$1:$D$1)-1)+SUMPRODUCT(H3003:K3003,COLUMN($E$1:$H$1)-1))*'Line Follower'!$C$3/SUM(C3003:F3003,H3003:K3003)-'Line Follower'!$C$5)))</f>
        <v>#N/A</v>
      </c>
      <c r="O3003" s="22" t="e">
        <v>#N/A</v>
      </c>
      <c r="P3003" s="4" t="e">
        <f t="shared" si="230"/>
        <v>#N/A</v>
      </c>
      <c r="Q3003" s="4" t="e">
        <f t="shared" si="231"/>
        <v>#N/A</v>
      </c>
      <c r="R3003" s="4" t="e">
        <f>IF(AND(B3003=1,N3003&gt;'Line Follower'!$C$7,SUM(C3003:K3003)&lt;4),1,0)</f>
        <v>#N/A</v>
      </c>
      <c r="S3003" s="4" t="e">
        <f>IF(AND(L3003=1,N3003&lt;'Line Follower'!$C$6,SUM(C3003:K3003)&lt;4),1,0)</f>
        <v>#N/A</v>
      </c>
      <c r="T3003" s="4" t="e">
        <f t="shared" si="232"/>
        <v>#N/A</v>
      </c>
      <c r="U3003" s="5" t="e">
        <f t="shared" si="233"/>
        <v>#N/A</v>
      </c>
      <c r="V3003" s="23" t="e">
        <f t="shared" si="234"/>
        <v>#N/A</v>
      </c>
    </row>
    <row r="3004" spans="2:22" x14ac:dyDescent="0.25">
      <c r="B3004" s="16">
        <v>1</v>
      </c>
      <c r="C3004" s="7">
        <v>0</v>
      </c>
      <c r="D3004" s="8">
        <v>0</v>
      </c>
      <c r="E3004" s="8">
        <v>1</v>
      </c>
      <c r="F3004" s="8">
        <v>1</v>
      </c>
      <c r="G3004" s="8">
        <v>1</v>
      </c>
      <c r="H3004" s="8">
        <v>0</v>
      </c>
      <c r="I3004" s="8">
        <v>1</v>
      </c>
      <c r="J3004" s="8">
        <v>1</v>
      </c>
      <c r="K3004" s="9">
        <v>1</v>
      </c>
      <c r="L3004" s="10">
        <v>0</v>
      </c>
      <c r="M3004" s="6">
        <v>1</v>
      </c>
      <c r="N3004" s="37" t="e" cm="1">
        <f t="array" ref="N3004">IF(OR(ISNUMBER(FIND(Aux!$D$3:$D$9,_xlfn.TEXTJOIN(,,C3004:K3004)))),NA(),IF(AND(SUM(C3004:F3004,H3004:K3004)=0,G3004=1),0,INT((SUMPRODUCT(C3004:F3004,COLUMN($A$1:$D$1)-1)+SUMPRODUCT(H3004:K3004,COLUMN($E$1:$H$1)-1))*'Line Follower'!$C$3/SUM(C3004:F3004,H3004:K3004)-'Line Follower'!$C$5)))</f>
        <v>#N/A</v>
      </c>
      <c r="O3004" s="22" t="e">
        <v>#N/A</v>
      </c>
      <c r="P3004" s="4" t="e">
        <f t="shared" si="230"/>
        <v>#N/A</v>
      </c>
      <c r="Q3004" s="4" t="e">
        <f t="shared" si="231"/>
        <v>#N/A</v>
      </c>
      <c r="R3004" s="4" t="e">
        <f>IF(AND(B3004=1,N3004&gt;'Line Follower'!$C$7,SUM(C3004:K3004)&lt;4),1,0)</f>
        <v>#N/A</v>
      </c>
      <c r="S3004" s="4" t="e">
        <f>IF(AND(L3004=1,N3004&lt;'Line Follower'!$C$6,SUM(C3004:K3004)&lt;4),1,0)</f>
        <v>#N/A</v>
      </c>
      <c r="T3004" s="4" t="e">
        <f t="shared" si="232"/>
        <v>#N/A</v>
      </c>
      <c r="U3004" s="5" t="e">
        <f t="shared" si="233"/>
        <v>#N/A</v>
      </c>
      <c r="V3004" s="23" t="e">
        <f t="shared" si="234"/>
        <v>#N/A</v>
      </c>
    </row>
    <row r="3005" spans="2:22" x14ac:dyDescent="0.25">
      <c r="B3005" s="16">
        <v>0</v>
      </c>
      <c r="C3005" s="7">
        <v>1</v>
      </c>
      <c r="D3005" s="8">
        <v>0</v>
      </c>
      <c r="E3005" s="8">
        <v>1</v>
      </c>
      <c r="F3005" s="8">
        <v>1</v>
      </c>
      <c r="G3005" s="8">
        <v>1</v>
      </c>
      <c r="H3005" s="8">
        <v>0</v>
      </c>
      <c r="I3005" s="8">
        <v>1</v>
      </c>
      <c r="J3005" s="8">
        <v>1</v>
      </c>
      <c r="K3005" s="9">
        <v>1</v>
      </c>
      <c r="L3005" s="10">
        <v>0</v>
      </c>
      <c r="M3005" s="6">
        <v>1</v>
      </c>
      <c r="N3005" s="37" t="e" cm="1">
        <f t="array" ref="N3005">IF(OR(ISNUMBER(FIND(Aux!$D$3:$D$9,_xlfn.TEXTJOIN(,,C3005:K3005)))),NA(),IF(AND(SUM(C3005:F3005,H3005:K3005)=0,G3005=1),0,INT((SUMPRODUCT(C3005:F3005,COLUMN($A$1:$D$1)-1)+SUMPRODUCT(H3005:K3005,COLUMN($E$1:$H$1)-1))*'Line Follower'!$C$3/SUM(C3005:F3005,H3005:K3005)-'Line Follower'!$C$5)))</f>
        <v>#N/A</v>
      </c>
      <c r="O3005" s="22" t="e">
        <v>#N/A</v>
      </c>
      <c r="P3005" s="4" t="e">
        <f t="shared" si="230"/>
        <v>#N/A</v>
      </c>
      <c r="Q3005" s="4" t="e">
        <f t="shared" si="231"/>
        <v>#N/A</v>
      </c>
      <c r="R3005" s="4" t="e">
        <f>IF(AND(B3005=1,N3005&gt;'Line Follower'!$C$7,SUM(C3005:K3005)&lt;4),1,0)</f>
        <v>#N/A</v>
      </c>
      <c r="S3005" s="4" t="e">
        <f>IF(AND(L3005=1,N3005&lt;'Line Follower'!$C$6,SUM(C3005:K3005)&lt;4),1,0)</f>
        <v>#N/A</v>
      </c>
      <c r="T3005" s="4" t="e">
        <f t="shared" si="232"/>
        <v>#N/A</v>
      </c>
      <c r="U3005" s="5" t="e">
        <f t="shared" si="233"/>
        <v>#N/A</v>
      </c>
      <c r="V3005" s="23" t="e">
        <f t="shared" si="234"/>
        <v>#N/A</v>
      </c>
    </row>
    <row r="3006" spans="2:22" x14ac:dyDescent="0.25">
      <c r="B3006" s="16">
        <v>1</v>
      </c>
      <c r="C3006" s="7">
        <v>1</v>
      </c>
      <c r="D3006" s="8">
        <v>0</v>
      </c>
      <c r="E3006" s="8">
        <v>1</v>
      </c>
      <c r="F3006" s="8">
        <v>1</v>
      </c>
      <c r="G3006" s="8">
        <v>1</v>
      </c>
      <c r="H3006" s="8">
        <v>0</v>
      </c>
      <c r="I3006" s="8">
        <v>1</v>
      </c>
      <c r="J3006" s="8">
        <v>1</v>
      </c>
      <c r="K3006" s="9">
        <v>1</v>
      </c>
      <c r="L3006" s="10">
        <v>0</v>
      </c>
      <c r="M3006" s="6">
        <v>1</v>
      </c>
      <c r="N3006" s="37" t="e" cm="1">
        <f t="array" ref="N3006">IF(OR(ISNUMBER(FIND(Aux!$D$3:$D$9,_xlfn.TEXTJOIN(,,C3006:K3006)))),NA(),IF(AND(SUM(C3006:F3006,H3006:K3006)=0,G3006=1),0,INT((SUMPRODUCT(C3006:F3006,COLUMN($A$1:$D$1)-1)+SUMPRODUCT(H3006:K3006,COLUMN($E$1:$H$1)-1))*'Line Follower'!$C$3/SUM(C3006:F3006,H3006:K3006)-'Line Follower'!$C$5)))</f>
        <v>#N/A</v>
      </c>
      <c r="O3006" s="22" t="e">
        <v>#N/A</v>
      </c>
      <c r="P3006" s="4" t="e">
        <f t="shared" si="230"/>
        <v>#N/A</v>
      </c>
      <c r="Q3006" s="4" t="e">
        <f t="shared" si="231"/>
        <v>#N/A</v>
      </c>
      <c r="R3006" s="4" t="e">
        <f>IF(AND(B3006=1,N3006&gt;'Line Follower'!$C$7,SUM(C3006:K3006)&lt;4),1,0)</f>
        <v>#N/A</v>
      </c>
      <c r="S3006" s="4" t="e">
        <f>IF(AND(L3006=1,N3006&lt;'Line Follower'!$C$6,SUM(C3006:K3006)&lt;4),1,0)</f>
        <v>#N/A</v>
      </c>
      <c r="T3006" s="4" t="e">
        <f t="shared" si="232"/>
        <v>#N/A</v>
      </c>
      <c r="U3006" s="5" t="e">
        <f t="shared" si="233"/>
        <v>#N/A</v>
      </c>
      <c r="V3006" s="23" t="e">
        <f t="shared" si="234"/>
        <v>#N/A</v>
      </c>
    </row>
    <row r="3007" spans="2:22" x14ac:dyDescent="0.25">
      <c r="B3007" s="16">
        <v>0</v>
      </c>
      <c r="C3007" s="7">
        <v>0</v>
      </c>
      <c r="D3007" s="8">
        <v>1</v>
      </c>
      <c r="E3007" s="8">
        <v>1</v>
      </c>
      <c r="F3007" s="8">
        <v>1</v>
      </c>
      <c r="G3007" s="8">
        <v>1</v>
      </c>
      <c r="H3007" s="8">
        <v>0</v>
      </c>
      <c r="I3007" s="8">
        <v>1</v>
      </c>
      <c r="J3007" s="8">
        <v>1</v>
      </c>
      <c r="K3007" s="9">
        <v>1</v>
      </c>
      <c r="L3007" s="10">
        <v>0</v>
      </c>
      <c r="M3007" s="6">
        <v>1</v>
      </c>
      <c r="N3007" s="37" t="e" cm="1">
        <f t="array" ref="N3007">IF(OR(ISNUMBER(FIND(Aux!$D$3:$D$9,_xlfn.TEXTJOIN(,,C3007:K3007)))),NA(),IF(AND(SUM(C3007:F3007,H3007:K3007)=0,G3007=1),0,INT((SUMPRODUCT(C3007:F3007,COLUMN($A$1:$D$1)-1)+SUMPRODUCT(H3007:K3007,COLUMN($E$1:$H$1)-1))*'Line Follower'!$C$3/SUM(C3007:F3007,H3007:K3007)-'Line Follower'!$C$5)))</f>
        <v>#N/A</v>
      </c>
      <c r="O3007" s="22" t="e">
        <v>#N/A</v>
      </c>
      <c r="P3007" s="4" t="e">
        <f t="shared" si="230"/>
        <v>#N/A</v>
      </c>
      <c r="Q3007" s="4" t="e">
        <f t="shared" si="231"/>
        <v>#N/A</v>
      </c>
      <c r="R3007" s="4" t="e">
        <f>IF(AND(B3007=1,N3007&gt;'Line Follower'!$C$7,SUM(C3007:K3007)&lt;4),1,0)</f>
        <v>#N/A</v>
      </c>
      <c r="S3007" s="4" t="e">
        <f>IF(AND(L3007=1,N3007&lt;'Line Follower'!$C$6,SUM(C3007:K3007)&lt;4),1,0)</f>
        <v>#N/A</v>
      </c>
      <c r="T3007" s="4" t="e">
        <f t="shared" si="232"/>
        <v>#N/A</v>
      </c>
      <c r="U3007" s="5" t="e">
        <f t="shared" si="233"/>
        <v>#N/A</v>
      </c>
      <c r="V3007" s="23" t="e">
        <f t="shared" si="234"/>
        <v>#N/A</v>
      </c>
    </row>
    <row r="3008" spans="2:22" x14ac:dyDescent="0.25">
      <c r="B3008" s="16">
        <v>1</v>
      </c>
      <c r="C3008" s="7">
        <v>0</v>
      </c>
      <c r="D3008" s="8">
        <v>1</v>
      </c>
      <c r="E3008" s="8">
        <v>1</v>
      </c>
      <c r="F3008" s="8">
        <v>1</v>
      </c>
      <c r="G3008" s="8">
        <v>1</v>
      </c>
      <c r="H3008" s="8">
        <v>0</v>
      </c>
      <c r="I3008" s="8">
        <v>1</v>
      </c>
      <c r="J3008" s="8">
        <v>1</v>
      </c>
      <c r="K3008" s="9">
        <v>1</v>
      </c>
      <c r="L3008" s="10">
        <v>0</v>
      </c>
      <c r="M3008" s="6">
        <v>1</v>
      </c>
      <c r="N3008" s="37" t="e" cm="1">
        <f t="array" ref="N3008">IF(OR(ISNUMBER(FIND(Aux!$D$3:$D$9,_xlfn.TEXTJOIN(,,C3008:K3008)))),NA(),IF(AND(SUM(C3008:F3008,H3008:K3008)=0,G3008=1),0,INT((SUMPRODUCT(C3008:F3008,COLUMN($A$1:$D$1)-1)+SUMPRODUCT(H3008:K3008,COLUMN($E$1:$H$1)-1))*'Line Follower'!$C$3/SUM(C3008:F3008,H3008:K3008)-'Line Follower'!$C$5)))</f>
        <v>#N/A</v>
      </c>
      <c r="O3008" s="22" t="e">
        <v>#N/A</v>
      </c>
      <c r="P3008" s="4" t="e">
        <f t="shared" si="230"/>
        <v>#N/A</v>
      </c>
      <c r="Q3008" s="4" t="e">
        <f t="shared" si="231"/>
        <v>#N/A</v>
      </c>
      <c r="R3008" s="4" t="e">
        <f>IF(AND(B3008=1,N3008&gt;'Line Follower'!$C$7,SUM(C3008:K3008)&lt;4),1,0)</f>
        <v>#N/A</v>
      </c>
      <c r="S3008" s="4" t="e">
        <f>IF(AND(L3008=1,N3008&lt;'Line Follower'!$C$6,SUM(C3008:K3008)&lt;4),1,0)</f>
        <v>#N/A</v>
      </c>
      <c r="T3008" s="4" t="e">
        <f t="shared" si="232"/>
        <v>#N/A</v>
      </c>
      <c r="U3008" s="5" t="e">
        <f t="shared" si="233"/>
        <v>#N/A</v>
      </c>
      <c r="V3008" s="23" t="e">
        <f t="shared" si="234"/>
        <v>#N/A</v>
      </c>
    </row>
    <row r="3009" spans="2:22" x14ac:dyDescent="0.25">
      <c r="B3009" s="16">
        <v>0</v>
      </c>
      <c r="C3009" s="7">
        <v>1</v>
      </c>
      <c r="D3009" s="8">
        <v>1</v>
      </c>
      <c r="E3009" s="8">
        <v>1</v>
      </c>
      <c r="F3009" s="8">
        <v>1</v>
      </c>
      <c r="G3009" s="8">
        <v>1</v>
      </c>
      <c r="H3009" s="8">
        <v>0</v>
      </c>
      <c r="I3009" s="8">
        <v>1</v>
      </c>
      <c r="J3009" s="8">
        <v>1</v>
      </c>
      <c r="K3009" s="9">
        <v>1</v>
      </c>
      <c r="L3009" s="10">
        <v>0</v>
      </c>
      <c r="M3009" s="6">
        <v>1</v>
      </c>
      <c r="N3009" s="37" t="e" cm="1">
        <f t="array" ref="N3009">IF(OR(ISNUMBER(FIND(Aux!$D$3:$D$9,_xlfn.TEXTJOIN(,,C3009:K3009)))),NA(),IF(AND(SUM(C3009:F3009,H3009:K3009)=0,G3009=1),0,INT((SUMPRODUCT(C3009:F3009,COLUMN($A$1:$D$1)-1)+SUMPRODUCT(H3009:K3009,COLUMN($E$1:$H$1)-1))*'Line Follower'!$C$3/SUM(C3009:F3009,H3009:K3009)-'Line Follower'!$C$5)))</f>
        <v>#N/A</v>
      </c>
      <c r="O3009" s="22" t="e">
        <v>#N/A</v>
      </c>
      <c r="P3009" s="4" t="e">
        <f t="shared" si="230"/>
        <v>#N/A</v>
      </c>
      <c r="Q3009" s="4" t="e">
        <f t="shared" si="231"/>
        <v>#N/A</v>
      </c>
      <c r="R3009" s="4" t="e">
        <f>IF(AND(B3009=1,N3009&gt;'Line Follower'!$C$7,SUM(C3009:K3009)&lt;4),1,0)</f>
        <v>#N/A</v>
      </c>
      <c r="S3009" s="4" t="e">
        <f>IF(AND(L3009=1,N3009&lt;'Line Follower'!$C$6,SUM(C3009:K3009)&lt;4),1,0)</f>
        <v>#N/A</v>
      </c>
      <c r="T3009" s="4" t="e">
        <f t="shared" si="232"/>
        <v>#N/A</v>
      </c>
      <c r="U3009" s="5" t="e">
        <f t="shared" si="233"/>
        <v>#N/A</v>
      </c>
      <c r="V3009" s="23" t="e">
        <f t="shared" si="234"/>
        <v>#N/A</v>
      </c>
    </row>
    <row r="3010" spans="2:22" x14ac:dyDescent="0.25">
      <c r="B3010" s="16">
        <v>1</v>
      </c>
      <c r="C3010" s="7">
        <v>1</v>
      </c>
      <c r="D3010" s="8">
        <v>1</v>
      </c>
      <c r="E3010" s="8">
        <v>1</v>
      </c>
      <c r="F3010" s="8">
        <v>1</v>
      </c>
      <c r="G3010" s="8">
        <v>1</v>
      </c>
      <c r="H3010" s="8">
        <v>0</v>
      </c>
      <c r="I3010" s="8">
        <v>1</v>
      </c>
      <c r="J3010" s="8">
        <v>1</v>
      </c>
      <c r="K3010" s="9">
        <v>1</v>
      </c>
      <c r="L3010" s="10">
        <v>0</v>
      </c>
      <c r="M3010" s="6">
        <v>1</v>
      </c>
      <c r="N3010" s="37" t="e" cm="1">
        <f t="array" ref="N3010">IF(OR(ISNUMBER(FIND(Aux!$D$3:$D$9,_xlfn.TEXTJOIN(,,C3010:K3010)))),NA(),IF(AND(SUM(C3010:F3010,H3010:K3010)=0,G3010=1),0,INT((SUMPRODUCT(C3010:F3010,COLUMN($A$1:$D$1)-1)+SUMPRODUCT(H3010:K3010,COLUMN($E$1:$H$1)-1))*'Line Follower'!$C$3/SUM(C3010:F3010,H3010:K3010)-'Line Follower'!$C$5)))</f>
        <v>#N/A</v>
      </c>
      <c r="O3010" s="22" t="e">
        <v>#N/A</v>
      </c>
      <c r="P3010" s="4" t="e">
        <f t="shared" si="230"/>
        <v>#N/A</v>
      </c>
      <c r="Q3010" s="4" t="e">
        <f t="shared" si="231"/>
        <v>#N/A</v>
      </c>
      <c r="R3010" s="4" t="e">
        <f>IF(AND(B3010=1,N3010&gt;'Line Follower'!$C$7,SUM(C3010:K3010)&lt;4),1,0)</f>
        <v>#N/A</v>
      </c>
      <c r="S3010" s="4" t="e">
        <f>IF(AND(L3010=1,N3010&lt;'Line Follower'!$C$6,SUM(C3010:K3010)&lt;4),1,0)</f>
        <v>#N/A</v>
      </c>
      <c r="T3010" s="4" t="e">
        <f t="shared" si="232"/>
        <v>#N/A</v>
      </c>
      <c r="U3010" s="5" t="e">
        <f t="shared" si="233"/>
        <v>#N/A</v>
      </c>
      <c r="V3010" s="23" t="e">
        <f t="shared" si="234"/>
        <v>#N/A</v>
      </c>
    </row>
    <row r="3011" spans="2:22" x14ac:dyDescent="0.25">
      <c r="B3011" s="16">
        <v>0</v>
      </c>
      <c r="C3011" s="7">
        <v>0</v>
      </c>
      <c r="D3011" s="8">
        <v>0</v>
      </c>
      <c r="E3011" s="8">
        <v>0</v>
      </c>
      <c r="F3011" s="8">
        <v>0</v>
      </c>
      <c r="G3011" s="8">
        <v>0</v>
      </c>
      <c r="H3011" s="8">
        <v>1</v>
      </c>
      <c r="I3011" s="8">
        <v>1</v>
      </c>
      <c r="J3011" s="8">
        <v>1</v>
      </c>
      <c r="K3011" s="9">
        <v>1</v>
      </c>
      <c r="L3011" s="10">
        <v>0</v>
      </c>
      <c r="M3011" s="6">
        <v>1</v>
      </c>
      <c r="N3011" s="37" cm="1">
        <f t="array" ref="N3011">IF(OR(ISNUMBER(FIND(Aux!$D$3:$D$9,_xlfn.TEXTJOIN(,,C3011:K3011)))),NA(),IF(AND(SUM(C3011:F3011,H3011:K3011)=0,G3011=1),0,INT((SUMPRODUCT(C3011:F3011,COLUMN($A$1:$D$1)-1)+SUMPRODUCT(H3011:K3011,COLUMN($E$1:$H$1)-1))*'Line Follower'!$C$3/SUM(C3011:F3011,H3011:K3011)-'Line Follower'!$C$5)))</f>
        <v>4</v>
      </c>
      <c r="O3011" s="22">
        <v>1</v>
      </c>
      <c r="P3011" s="4">
        <f t="shared" ref="P3011:P3074" si="235">IF(AND(N3011=0,G3011=1,M3011=1),1,0)</f>
        <v>0</v>
      </c>
      <c r="Q3011" s="4">
        <f t="shared" ref="Q3011:Q3074" si="236">IF(ISERROR(N3011),N3011,IF(SUM(C3011:K3011)&gt;=4,1,0))</f>
        <v>1</v>
      </c>
      <c r="R3011" s="4">
        <f>IF(AND(B3011=1,N3011&gt;'Line Follower'!$C$7,SUM(C3011:K3011)&lt;4),1,0)</f>
        <v>0</v>
      </c>
      <c r="S3011" s="4">
        <f>IF(AND(L3011=1,N3011&lt;'Line Follower'!$C$6,SUM(C3011:K3011)&lt;4),1,0)</f>
        <v>0</v>
      </c>
      <c r="T3011" s="4">
        <f t="shared" si="232"/>
        <v>0</v>
      </c>
      <c r="U3011" s="5">
        <f t="shared" si="233"/>
        <v>0</v>
      </c>
      <c r="V3011" s="23">
        <f t="shared" si="234"/>
        <v>0</v>
      </c>
    </row>
    <row r="3012" spans="2:22" x14ac:dyDescent="0.25">
      <c r="B3012" s="16">
        <v>1</v>
      </c>
      <c r="C3012" s="7">
        <v>0</v>
      </c>
      <c r="D3012" s="8">
        <v>0</v>
      </c>
      <c r="E3012" s="8">
        <v>0</v>
      </c>
      <c r="F3012" s="8">
        <v>0</v>
      </c>
      <c r="G3012" s="8">
        <v>0</v>
      </c>
      <c r="H3012" s="8">
        <v>1</v>
      </c>
      <c r="I3012" s="8">
        <v>1</v>
      </c>
      <c r="J3012" s="8">
        <v>1</v>
      </c>
      <c r="K3012" s="9">
        <v>1</v>
      </c>
      <c r="L3012" s="10">
        <v>0</v>
      </c>
      <c r="M3012" s="6">
        <v>1</v>
      </c>
      <c r="N3012" s="37" cm="1">
        <f t="array" ref="N3012">IF(OR(ISNUMBER(FIND(Aux!$D$3:$D$9,_xlfn.TEXTJOIN(,,C3012:K3012)))),NA(),IF(AND(SUM(C3012:F3012,H3012:K3012)=0,G3012=1),0,INT((SUMPRODUCT(C3012:F3012,COLUMN($A$1:$D$1)-1)+SUMPRODUCT(H3012:K3012,COLUMN($E$1:$H$1)-1))*'Line Follower'!$C$3/SUM(C3012:F3012,H3012:K3012)-'Line Follower'!$C$5)))</f>
        <v>4</v>
      </c>
      <c r="O3012" s="22">
        <v>1</v>
      </c>
      <c r="P3012" s="4">
        <f t="shared" si="235"/>
        <v>0</v>
      </c>
      <c r="Q3012" s="4">
        <f t="shared" si="236"/>
        <v>1</v>
      </c>
      <c r="R3012" s="4">
        <f>IF(AND(B3012=1,N3012&gt;'Line Follower'!$C$7,SUM(C3012:K3012)&lt;4),1,0)</f>
        <v>0</v>
      </c>
      <c r="S3012" s="4">
        <f>IF(AND(L3012=1,N3012&lt;'Line Follower'!$C$6,SUM(C3012:K3012)&lt;4),1,0)</f>
        <v>0</v>
      </c>
      <c r="T3012" s="4">
        <f t="shared" ref="T3012:T3075" si="237">IF(ISNA(N3012),NA(),IF(SUM(C3012:L3012)=0,1,0))</f>
        <v>0</v>
      </c>
      <c r="U3012" s="5">
        <f t="shared" ref="U3012:U3075" si="238">IF(ISNA(N3012),NA(),IF(SUM(B3012:K3012)=0,1,0))</f>
        <v>0</v>
      </c>
      <c r="V3012" s="23">
        <f t="shared" ref="V3012:V3075" si="239">IF(ISNA(N3012),NA(),IF(SUM(B3012:L3012)=0,1,0))</f>
        <v>0</v>
      </c>
    </row>
    <row r="3013" spans="2:22" x14ac:dyDescent="0.25">
      <c r="B3013" s="16">
        <v>0</v>
      </c>
      <c r="C3013" s="7">
        <v>1</v>
      </c>
      <c r="D3013" s="8">
        <v>0</v>
      </c>
      <c r="E3013" s="8">
        <v>0</v>
      </c>
      <c r="F3013" s="8">
        <v>0</v>
      </c>
      <c r="G3013" s="8">
        <v>0</v>
      </c>
      <c r="H3013" s="8">
        <v>1</v>
      </c>
      <c r="I3013" s="8">
        <v>1</v>
      </c>
      <c r="J3013" s="8">
        <v>1</v>
      </c>
      <c r="K3013" s="9">
        <v>1</v>
      </c>
      <c r="L3013" s="10">
        <v>0</v>
      </c>
      <c r="M3013" s="6">
        <v>1</v>
      </c>
      <c r="N3013" s="37" t="e" cm="1">
        <f t="array" ref="N3013">IF(OR(ISNUMBER(FIND(Aux!$D$3:$D$9,_xlfn.TEXTJOIN(,,C3013:K3013)))),NA(),IF(AND(SUM(C3013:F3013,H3013:K3013)=0,G3013=1),0,INT((SUMPRODUCT(C3013:F3013,COLUMN($A$1:$D$1)-1)+SUMPRODUCT(H3013:K3013,COLUMN($E$1:$H$1)-1))*'Line Follower'!$C$3/SUM(C3013:F3013,H3013:K3013)-'Line Follower'!$C$5)))</f>
        <v>#N/A</v>
      </c>
      <c r="O3013" s="22" t="e">
        <v>#N/A</v>
      </c>
      <c r="P3013" s="4" t="e">
        <f t="shared" si="235"/>
        <v>#N/A</v>
      </c>
      <c r="Q3013" s="4" t="e">
        <f t="shared" si="236"/>
        <v>#N/A</v>
      </c>
      <c r="R3013" s="4" t="e">
        <f>IF(AND(B3013=1,N3013&gt;'Line Follower'!$C$7,SUM(C3013:K3013)&lt;4),1,0)</f>
        <v>#N/A</v>
      </c>
      <c r="S3013" s="4" t="e">
        <f>IF(AND(L3013=1,N3013&lt;'Line Follower'!$C$6,SUM(C3013:K3013)&lt;4),1,0)</f>
        <v>#N/A</v>
      </c>
      <c r="T3013" s="4" t="e">
        <f t="shared" si="237"/>
        <v>#N/A</v>
      </c>
      <c r="U3013" s="5" t="e">
        <f t="shared" si="238"/>
        <v>#N/A</v>
      </c>
      <c r="V3013" s="23" t="e">
        <f t="shared" si="239"/>
        <v>#N/A</v>
      </c>
    </row>
    <row r="3014" spans="2:22" x14ac:dyDescent="0.25">
      <c r="B3014" s="16">
        <v>1</v>
      </c>
      <c r="C3014" s="7">
        <v>1</v>
      </c>
      <c r="D3014" s="8">
        <v>0</v>
      </c>
      <c r="E3014" s="8">
        <v>0</v>
      </c>
      <c r="F3014" s="8">
        <v>0</v>
      </c>
      <c r="G3014" s="8">
        <v>0</v>
      </c>
      <c r="H3014" s="8">
        <v>1</v>
      </c>
      <c r="I3014" s="8">
        <v>1</v>
      </c>
      <c r="J3014" s="8">
        <v>1</v>
      </c>
      <c r="K3014" s="9">
        <v>1</v>
      </c>
      <c r="L3014" s="10">
        <v>0</v>
      </c>
      <c r="M3014" s="6">
        <v>1</v>
      </c>
      <c r="N3014" s="37" t="e" cm="1">
        <f t="array" ref="N3014">IF(OR(ISNUMBER(FIND(Aux!$D$3:$D$9,_xlfn.TEXTJOIN(,,C3014:K3014)))),NA(),IF(AND(SUM(C3014:F3014,H3014:K3014)=0,G3014=1),0,INT((SUMPRODUCT(C3014:F3014,COLUMN($A$1:$D$1)-1)+SUMPRODUCT(H3014:K3014,COLUMN($E$1:$H$1)-1))*'Line Follower'!$C$3/SUM(C3014:F3014,H3014:K3014)-'Line Follower'!$C$5)))</f>
        <v>#N/A</v>
      </c>
      <c r="O3014" s="22" t="e">
        <v>#N/A</v>
      </c>
      <c r="P3014" s="4" t="e">
        <f t="shared" si="235"/>
        <v>#N/A</v>
      </c>
      <c r="Q3014" s="4" t="e">
        <f t="shared" si="236"/>
        <v>#N/A</v>
      </c>
      <c r="R3014" s="4" t="e">
        <f>IF(AND(B3014=1,N3014&gt;'Line Follower'!$C$7,SUM(C3014:K3014)&lt;4),1,0)</f>
        <v>#N/A</v>
      </c>
      <c r="S3014" s="4" t="e">
        <f>IF(AND(L3014=1,N3014&lt;'Line Follower'!$C$6,SUM(C3014:K3014)&lt;4),1,0)</f>
        <v>#N/A</v>
      </c>
      <c r="T3014" s="4" t="e">
        <f t="shared" si="237"/>
        <v>#N/A</v>
      </c>
      <c r="U3014" s="5" t="e">
        <f t="shared" si="238"/>
        <v>#N/A</v>
      </c>
      <c r="V3014" s="23" t="e">
        <f t="shared" si="239"/>
        <v>#N/A</v>
      </c>
    </row>
    <row r="3015" spans="2:22" x14ac:dyDescent="0.25">
      <c r="B3015" s="16">
        <v>0</v>
      </c>
      <c r="C3015" s="7">
        <v>0</v>
      </c>
      <c r="D3015" s="8">
        <v>1</v>
      </c>
      <c r="E3015" s="8">
        <v>0</v>
      </c>
      <c r="F3015" s="8">
        <v>0</v>
      </c>
      <c r="G3015" s="8">
        <v>0</v>
      </c>
      <c r="H3015" s="8">
        <v>1</v>
      </c>
      <c r="I3015" s="8">
        <v>1</v>
      </c>
      <c r="J3015" s="8">
        <v>1</v>
      </c>
      <c r="K3015" s="9">
        <v>1</v>
      </c>
      <c r="L3015" s="10">
        <v>0</v>
      </c>
      <c r="M3015" s="6">
        <v>1</v>
      </c>
      <c r="N3015" s="37" t="e" cm="1">
        <f t="array" ref="N3015">IF(OR(ISNUMBER(FIND(Aux!$D$3:$D$9,_xlfn.TEXTJOIN(,,C3015:K3015)))),NA(),IF(AND(SUM(C3015:F3015,H3015:K3015)=0,G3015=1),0,INT((SUMPRODUCT(C3015:F3015,COLUMN($A$1:$D$1)-1)+SUMPRODUCT(H3015:K3015,COLUMN($E$1:$H$1)-1))*'Line Follower'!$C$3/SUM(C3015:F3015,H3015:K3015)-'Line Follower'!$C$5)))</f>
        <v>#N/A</v>
      </c>
      <c r="O3015" s="22" t="e">
        <v>#N/A</v>
      </c>
      <c r="P3015" s="4" t="e">
        <f t="shared" si="235"/>
        <v>#N/A</v>
      </c>
      <c r="Q3015" s="4" t="e">
        <f t="shared" si="236"/>
        <v>#N/A</v>
      </c>
      <c r="R3015" s="4" t="e">
        <f>IF(AND(B3015=1,N3015&gt;'Line Follower'!$C$7,SUM(C3015:K3015)&lt;4),1,0)</f>
        <v>#N/A</v>
      </c>
      <c r="S3015" s="4" t="e">
        <f>IF(AND(L3015=1,N3015&lt;'Line Follower'!$C$6,SUM(C3015:K3015)&lt;4),1,0)</f>
        <v>#N/A</v>
      </c>
      <c r="T3015" s="4" t="e">
        <f t="shared" si="237"/>
        <v>#N/A</v>
      </c>
      <c r="U3015" s="5" t="e">
        <f t="shared" si="238"/>
        <v>#N/A</v>
      </c>
      <c r="V3015" s="23" t="e">
        <f t="shared" si="239"/>
        <v>#N/A</v>
      </c>
    </row>
    <row r="3016" spans="2:22" x14ac:dyDescent="0.25">
      <c r="B3016" s="16">
        <v>1</v>
      </c>
      <c r="C3016" s="7">
        <v>0</v>
      </c>
      <c r="D3016" s="8">
        <v>1</v>
      </c>
      <c r="E3016" s="8">
        <v>0</v>
      </c>
      <c r="F3016" s="8">
        <v>0</v>
      </c>
      <c r="G3016" s="8">
        <v>0</v>
      </c>
      <c r="H3016" s="8">
        <v>1</v>
      </c>
      <c r="I3016" s="8">
        <v>1</v>
      </c>
      <c r="J3016" s="8">
        <v>1</v>
      </c>
      <c r="K3016" s="9">
        <v>1</v>
      </c>
      <c r="L3016" s="10">
        <v>0</v>
      </c>
      <c r="M3016" s="6">
        <v>1</v>
      </c>
      <c r="N3016" s="37" t="e" cm="1">
        <f t="array" ref="N3016">IF(OR(ISNUMBER(FIND(Aux!$D$3:$D$9,_xlfn.TEXTJOIN(,,C3016:K3016)))),NA(),IF(AND(SUM(C3016:F3016,H3016:K3016)=0,G3016=1),0,INT((SUMPRODUCT(C3016:F3016,COLUMN($A$1:$D$1)-1)+SUMPRODUCT(H3016:K3016,COLUMN($E$1:$H$1)-1))*'Line Follower'!$C$3/SUM(C3016:F3016,H3016:K3016)-'Line Follower'!$C$5)))</f>
        <v>#N/A</v>
      </c>
      <c r="O3016" s="22" t="e">
        <v>#N/A</v>
      </c>
      <c r="P3016" s="4" t="e">
        <f t="shared" si="235"/>
        <v>#N/A</v>
      </c>
      <c r="Q3016" s="4" t="e">
        <f t="shared" si="236"/>
        <v>#N/A</v>
      </c>
      <c r="R3016" s="4" t="e">
        <f>IF(AND(B3016=1,N3016&gt;'Line Follower'!$C$7,SUM(C3016:K3016)&lt;4),1,0)</f>
        <v>#N/A</v>
      </c>
      <c r="S3016" s="4" t="e">
        <f>IF(AND(L3016=1,N3016&lt;'Line Follower'!$C$6,SUM(C3016:K3016)&lt;4),1,0)</f>
        <v>#N/A</v>
      </c>
      <c r="T3016" s="4" t="e">
        <f t="shared" si="237"/>
        <v>#N/A</v>
      </c>
      <c r="U3016" s="5" t="e">
        <f t="shared" si="238"/>
        <v>#N/A</v>
      </c>
      <c r="V3016" s="23" t="e">
        <f t="shared" si="239"/>
        <v>#N/A</v>
      </c>
    </row>
    <row r="3017" spans="2:22" x14ac:dyDescent="0.25">
      <c r="B3017" s="16">
        <v>0</v>
      </c>
      <c r="C3017" s="7">
        <v>1</v>
      </c>
      <c r="D3017" s="8">
        <v>1</v>
      </c>
      <c r="E3017" s="8">
        <v>0</v>
      </c>
      <c r="F3017" s="8">
        <v>0</v>
      </c>
      <c r="G3017" s="8">
        <v>0</v>
      </c>
      <c r="H3017" s="8">
        <v>1</v>
      </c>
      <c r="I3017" s="8">
        <v>1</v>
      </c>
      <c r="J3017" s="8">
        <v>1</v>
      </c>
      <c r="K3017" s="9">
        <v>1</v>
      </c>
      <c r="L3017" s="10">
        <v>0</v>
      </c>
      <c r="M3017" s="6">
        <v>1</v>
      </c>
      <c r="N3017" s="37" t="e" cm="1">
        <f t="array" ref="N3017">IF(OR(ISNUMBER(FIND(Aux!$D$3:$D$9,_xlfn.TEXTJOIN(,,C3017:K3017)))),NA(),IF(AND(SUM(C3017:F3017,H3017:K3017)=0,G3017=1),0,INT((SUMPRODUCT(C3017:F3017,COLUMN($A$1:$D$1)-1)+SUMPRODUCT(H3017:K3017,COLUMN($E$1:$H$1)-1))*'Line Follower'!$C$3/SUM(C3017:F3017,H3017:K3017)-'Line Follower'!$C$5)))</f>
        <v>#N/A</v>
      </c>
      <c r="O3017" s="22" t="e">
        <v>#N/A</v>
      </c>
      <c r="P3017" s="4" t="e">
        <f t="shared" si="235"/>
        <v>#N/A</v>
      </c>
      <c r="Q3017" s="4" t="e">
        <f t="shared" si="236"/>
        <v>#N/A</v>
      </c>
      <c r="R3017" s="4" t="e">
        <f>IF(AND(B3017=1,N3017&gt;'Line Follower'!$C$7,SUM(C3017:K3017)&lt;4),1,0)</f>
        <v>#N/A</v>
      </c>
      <c r="S3017" s="4" t="e">
        <f>IF(AND(L3017=1,N3017&lt;'Line Follower'!$C$6,SUM(C3017:K3017)&lt;4),1,0)</f>
        <v>#N/A</v>
      </c>
      <c r="T3017" s="4" t="e">
        <f t="shared" si="237"/>
        <v>#N/A</v>
      </c>
      <c r="U3017" s="5" t="e">
        <f t="shared" si="238"/>
        <v>#N/A</v>
      </c>
      <c r="V3017" s="23" t="e">
        <f t="shared" si="239"/>
        <v>#N/A</v>
      </c>
    </row>
    <row r="3018" spans="2:22" x14ac:dyDescent="0.25">
      <c r="B3018" s="16">
        <v>1</v>
      </c>
      <c r="C3018" s="7">
        <v>1</v>
      </c>
      <c r="D3018" s="8">
        <v>1</v>
      </c>
      <c r="E3018" s="8">
        <v>0</v>
      </c>
      <c r="F3018" s="8">
        <v>0</v>
      </c>
      <c r="G3018" s="8">
        <v>0</v>
      </c>
      <c r="H3018" s="8">
        <v>1</v>
      </c>
      <c r="I3018" s="8">
        <v>1</v>
      </c>
      <c r="J3018" s="8">
        <v>1</v>
      </c>
      <c r="K3018" s="9">
        <v>1</v>
      </c>
      <c r="L3018" s="10">
        <v>0</v>
      </c>
      <c r="M3018" s="6">
        <v>1</v>
      </c>
      <c r="N3018" s="37" t="e" cm="1">
        <f t="array" ref="N3018">IF(OR(ISNUMBER(FIND(Aux!$D$3:$D$9,_xlfn.TEXTJOIN(,,C3018:K3018)))),NA(),IF(AND(SUM(C3018:F3018,H3018:K3018)=0,G3018=1),0,INT((SUMPRODUCT(C3018:F3018,COLUMN($A$1:$D$1)-1)+SUMPRODUCT(H3018:K3018,COLUMN($E$1:$H$1)-1))*'Line Follower'!$C$3/SUM(C3018:F3018,H3018:K3018)-'Line Follower'!$C$5)))</f>
        <v>#N/A</v>
      </c>
      <c r="O3018" s="22" t="e">
        <v>#N/A</v>
      </c>
      <c r="P3018" s="4" t="e">
        <f t="shared" si="235"/>
        <v>#N/A</v>
      </c>
      <c r="Q3018" s="4" t="e">
        <f t="shared" si="236"/>
        <v>#N/A</v>
      </c>
      <c r="R3018" s="4" t="e">
        <f>IF(AND(B3018=1,N3018&gt;'Line Follower'!$C$7,SUM(C3018:K3018)&lt;4),1,0)</f>
        <v>#N/A</v>
      </c>
      <c r="S3018" s="4" t="e">
        <f>IF(AND(L3018=1,N3018&lt;'Line Follower'!$C$6,SUM(C3018:K3018)&lt;4),1,0)</f>
        <v>#N/A</v>
      </c>
      <c r="T3018" s="4" t="e">
        <f t="shared" si="237"/>
        <v>#N/A</v>
      </c>
      <c r="U3018" s="5" t="e">
        <f t="shared" si="238"/>
        <v>#N/A</v>
      </c>
      <c r="V3018" s="23" t="e">
        <f t="shared" si="239"/>
        <v>#N/A</v>
      </c>
    </row>
    <row r="3019" spans="2:22" x14ac:dyDescent="0.25">
      <c r="B3019" s="16">
        <v>0</v>
      </c>
      <c r="C3019" s="7">
        <v>0</v>
      </c>
      <c r="D3019" s="8">
        <v>0</v>
      </c>
      <c r="E3019" s="8">
        <v>1</v>
      </c>
      <c r="F3019" s="8">
        <v>0</v>
      </c>
      <c r="G3019" s="8">
        <v>0</v>
      </c>
      <c r="H3019" s="8">
        <v>1</v>
      </c>
      <c r="I3019" s="8">
        <v>1</v>
      </c>
      <c r="J3019" s="8">
        <v>1</v>
      </c>
      <c r="K3019" s="9">
        <v>1</v>
      </c>
      <c r="L3019" s="10">
        <v>0</v>
      </c>
      <c r="M3019" s="6">
        <v>1</v>
      </c>
      <c r="N3019" s="37" t="e" cm="1">
        <f t="array" ref="N3019">IF(OR(ISNUMBER(FIND(Aux!$D$3:$D$9,_xlfn.TEXTJOIN(,,C3019:K3019)))),NA(),IF(AND(SUM(C3019:F3019,H3019:K3019)=0,G3019=1),0,INT((SUMPRODUCT(C3019:F3019,COLUMN($A$1:$D$1)-1)+SUMPRODUCT(H3019:K3019,COLUMN($E$1:$H$1)-1))*'Line Follower'!$C$3/SUM(C3019:F3019,H3019:K3019)-'Line Follower'!$C$5)))</f>
        <v>#N/A</v>
      </c>
      <c r="O3019" s="22" t="e">
        <v>#N/A</v>
      </c>
      <c r="P3019" s="4" t="e">
        <f t="shared" si="235"/>
        <v>#N/A</v>
      </c>
      <c r="Q3019" s="4" t="e">
        <f t="shared" si="236"/>
        <v>#N/A</v>
      </c>
      <c r="R3019" s="4" t="e">
        <f>IF(AND(B3019=1,N3019&gt;'Line Follower'!$C$7,SUM(C3019:K3019)&lt;4),1,0)</f>
        <v>#N/A</v>
      </c>
      <c r="S3019" s="4" t="e">
        <f>IF(AND(L3019=1,N3019&lt;'Line Follower'!$C$6,SUM(C3019:K3019)&lt;4),1,0)</f>
        <v>#N/A</v>
      </c>
      <c r="T3019" s="4" t="e">
        <f t="shared" si="237"/>
        <v>#N/A</v>
      </c>
      <c r="U3019" s="5" t="e">
        <f t="shared" si="238"/>
        <v>#N/A</v>
      </c>
      <c r="V3019" s="23" t="e">
        <f t="shared" si="239"/>
        <v>#N/A</v>
      </c>
    </row>
    <row r="3020" spans="2:22" x14ac:dyDescent="0.25">
      <c r="B3020" s="16">
        <v>1</v>
      </c>
      <c r="C3020" s="7">
        <v>0</v>
      </c>
      <c r="D3020" s="8">
        <v>0</v>
      </c>
      <c r="E3020" s="8">
        <v>1</v>
      </c>
      <c r="F3020" s="8">
        <v>0</v>
      </c>
      <c r="G3020" s="8">
        <v>0</v>
      </c>
      <c r="H3020" s="8">
        <v>1</v>
      </c>
      <c r="I3020" s="8">
        <v>1</v>
      </c>
      <c r="J3020" s="8">
        <v>1</v>
      </c>
      <c r="K3020" s="9">
        <v>1</v>
      </c>
      <c r="L3020" s="10">
        <v>0</v>
      </c>
      <c r="M3020" s="6">
        <v>1</v>
      </c>
      <c r="N3020" s="37" t="e" cm="1">
        <f t="array" ref="N3020">IF(OR(ISNUMBER(FIND(Aux!$D$3:$D$9,_xlfn.TEXTJOIN(,,C3020:K3020)))),NA(),IF(AND(SUM(C3020:F3020,H3020:K3020)=0,G3020=1),0,INT((SUMPRODUCT(C3020:F3020,COLUMN($A$1:$D$1)-1)+SUMPRODUCT(H3020:K3020,COLUMN($E$1:$H$1)-1))*'Line Follower'!$C$3/SUM(C3020:F3020,H3020:K3020)-'Line Follower'!$C$5)))</f>
        <v>#N/A</v>
      </c>
      <c r="O3020" s="22" t="e">
        <v>#N/A</v>
      </c>
      <c r="P3020" s="4" t="e">
        <f t="shared" si="235"/>
        <v>#N/A</v>
      </c>
      <c r="Q3020" s="4" t="e">
        <f t="shared" si="236"/>
        <v>#N/A</v>
      </c>
      <c r="R3020" s="4" t="e">
        <f>IF(AND(B3020=1,N3020&gt;'Line Follower'!$C$7,SUM(C3020:K3020)&lt;4),1,0)</f>
        <v>#N/A</v>
      </c>
      <c r="S3020" s="4" t="e">
        <f>IF(AND(L3020=1,N3020&lt;'Line Follower'!$C$6,SUM(C3020:K3020)&lt;4),1,0)</f>
        <v>#N/A</v>
      </c>
      <c r="T3020" s="4" t="e">
        <f t="shared" si="237"/>
        <v>#N/A</v>
      </c>
      <c r="U3020" s="5" t="e">
        <f t="shared" si="238"/>
        <v>#N/A</v>
      </c>
      <c r="V3020" s="23" t="e">
        <f t="shared" si="239"/>
        <v>#N/A</v>
      </c>
    </row>
    <row r="3021" spans="2:22" x14ac:dyDescent="0.25">
      <c r="B3021" s="16">
        <v>0</v>
      </c>
      <c r="C3021" s="7">
        <v>1</v>
      </c>
      <c r="D3021" s="8">
        <v>0</v>
      </c>
      <c r="E3021" s="8">
        <v>1</v>
      </c>
      <c r="F3021" s="8">
        <v>0</v>
      </c>
      <c r="G3021" s="8">
        <v>0</v>
      </c>
      <c r="H3021" s="8">
        <v>1</v>
      </c>
      <c r="I3021" s="8">
        <v>1</v>
      </c>
      <c r="J3021" s="8">
        <v>1</v>
      </c>
      <c r="K3021" s="9">
        <v>1</v>
      </c>
      <c r="L3021" s="10">
        <v>0</v>
      </c>
      <c r="M3021" s="6">
        <v>1</v>
      </c>
      <c r="N3021" s="37" t="e" cm="1">
        <f t="array" ref="N3021">IF(OR(ISNUMBER(FIND(Aux!$D$3:$D$9,_xlfn.TEXTJOIN(,,C3021:K3021)))),NA(),IF(AND(SUM(C3021:F3021,H3021:K3021)=0,G3021=1),0,INT((SUMPRODUCT(C3021:F3021,COLUMN($A$1:$D$1)-1)+SUMPRODUCT(H3021:K3021,COLUMN($E$1:$H$1)-1))*'Line Follower'!$C$3/SUM(C3021:F3021,H3021:K3021)-'Line Follower'!$C$5)))</f>
        <v>#N/A</v>
      </c>
      <c r="O3021" s="22" t="e">
        <v>#N/A</v>
      </c>
      <c r="P3021" s="4" t="e">
        <f t="shared" si="235"/>
        <v>#N/A</v>
      </c>
      <c r="Q3021" s="4" t="e">
        <f t="shared" si="236"/>
        <v>#N/A</v>
      </c>
      <c r="R3021" s="4" t="e">
        <f>IF(AND(B3021=1,N3021&gt;'Line Follower'!$C$7,SUM(C3021:K3021)&lt;4),1,0)</f>
        <v>#N/A</v>
      </c>
      <c r="S3021" s="4" t="e">
        <f>IF(AND(L3021=1,N3021&lt;'Line Follower'!$C$6,SUM(C3021:K3021)&lt;4),1,0)</f>
        <v>#N/A</v>
      </c>
      <c r="T3021" s="4" t="e">
        <f t="shared" si="237"/>
        <v>#N/A</v>
      </c>
      <c r="U3021" s="5" t="e">
        <f t="shared" si="238"/>
        <v>#N/A</v>
      </c>
      <c r="V3021" s="23" t="e">
        <f t="shared" si="239"/>
        <v>#N/A</v>
      </c>
    </row>
    <row r="3022" spans="2:22" x14ac:dyDescent="0.25">
      <c r="B3022" s="16">
        <v>1</v>
      </c>
      <c r="C3022" s="7">
        <v>1</v>
      </c>
      <c r="D3022" s="8">
        <v>0</v>
      </c>
      <c r="E3022" s="8">
        <v>1</v>
      </c>
      <c r="F3022" s="8">
        <v>0</v>
      </c>
      <c r="G3022" s="8">
        <v>0</v>
      </c>
      <c r="H3022" s="8">
        <v>1</v>
      </c>
      <c r="I3022" s="8">
        <v>1</v>
      </c>
      <c r="J3022" s="8">
        <v>1</v>
      </c>
      <c r="K3022" s="9">
        <v>1</v>
      </c>
      <c r="L3022" s="10">
        <v>0</v>
      </c>
      <c r="M3022" s="6">
        <v>1</v>
      </c>
      <c r="N3022" s="37" t="e" cm="1">
        <f t="array" ref="N3022">IF(OR(ISNUMBER(FIND(Aux!$D$3:$D$9,_xlfn.TEXTJOIN(,,C3022:K3022)))),NA(),IF(AND(SUM(C3022:F3022,H3022:K3022)=0,G3022=1),0,INT((SUMPRODUCT(C3022:F3022,COLUMN($A$1:$D$1)-1)+SUMPRODUCT(H3022:K3022,COLUMN($E$1:$H$1)-1))*'Line Follower'!$C$3/SUM(C3022:F3022,H3022:K3022)-'Line Follower'!$C$5)))</f>
        <v>#N/A</v>
      </c>
      <c r="O3022" s="22" t="e">
        <v>#N/A</v>
      </c>
      <c r="P3022" s="4" t="e">
        <f t="shared" si="235"/>
        <v>#N/A</v>
      </c>
      <c r="Q3022" s="4" t="e">
        <f t="shared" si="236"/>
        <v>#N/A</v>
      </c>
      <c r="R3022" s="4" t="e">
        <f>IF(AND(B3022=1,N3022&gt;'Line Follower'!$C$7,SUM(C3022:K3022)&lt;4),1,0)</f>
        <v>#N/A</v>
      </c>
      <c r="S3022" s="4" t="e">
        <f>IF(AND(L3022=1,N3022&lt;'Line Follower'!$C$6,SUM(C3022:K3022)&lt;4),1,0)</f>
        <v>#N/A</v>
      </c>
      <c r="T3022" s="4" t="e">
        <f t="shared" si="237"/>
        <v>#N/A</v>
      </c>
      <c r="U3022" s="5" t="e">
        <f t="shared" si="238"/>
        <v>#N/A</v>
      </c>
      <c r="V3022" s="23" t="e">
        <f t="shared" si="239"/>
        <v>#N/A</v>
      </c>
    </row>
    <row r="3023" spans="2:22" x14ac:dyDescent="0.25">
      <c r="B3023" s="16">
        <v>0</v>
      </c>
      <c r="C3023" s="7">
        <v>0</v>
      </c>
      <c r="D3023" s="8">
        <v>1</v>
      </c>
      <c r="E3023" s="8">
        <v>1</v>
      </c>
      <c r="F3023" s="8">
        <v>0</v>
      </c>
      <c r="G3023" s="8">
        <v>0</v>
      </c>
      <c r="H3023" s="8">
        <v>1</v>
      </c>
      <c r="I3023" s="8">
        <v>1</v>
      </c>
      <c r="J3023" s="8">
        <v>1</v>
      </c>
      <c r="K3023" s="9">
        <v>1</v>
      </c>
      <c r="L3023" s="10">
        <v>0</v>
      </c>
      <c r="M3023" s="6">
        <v>1</v>
      </c>
      <c r="N3023" s="37" t="e" cm="1">
        <f t="array" ref="N3023">IF(OR(ISNUMBER(FIND(Aux!$D$3:$D$9,_xlfn.TEXTJOIN(,,C3023:K3023)))),NA(),IF(AND(SUM(C3023:F3023,H3023:K3023)=0,G3023=1),0,INT((SUMPRODUCT(C3023:F3023,COLUMN($A$1:$D$1)-1)+SUMPRODUCT(H3023:K3023,COLUMN($E$1:$H$1)-1))*'Line Follower'!$C$3/SUM(C3023:F3023,H3023:K3023)-'Line Follower'!$C$5)))</f>
        <v>#N/A</v>
      </c>
      <c r="O3023" s="22" t="e">
        <v>#N/A</v>
      </c>
      <c r="P3023" s="4" t="e">
        <f t="shared" si="235"/>
        <v>#N/A</v>
      </c>
      <c r="Q3023" s="4" t="e">
        <f t="shared" si="236"/>
        <v>#N/A</v>
      </c>
      <c r="R3023" s="4" t="e">
        <f>IF(AND(B3023=1,N3023&gt;'Line Follower'!$C$7,SUM(C3023:K3023)&lt;4),1,0)</f>
        <v>#N/A</v>
      </c>
      <c r="S3023" s="4" t="e">
        <f>IF(AND(L3023=1,N3023&lt;'Line Follower'!$C$6,SUM(C3023:K3023)&lt;4),1,0)</f>
        <v>#N/A</v>
      </c>
      <c r="T3023" s="4" t="e">
        <f t="shared" si="237"/>
        <v>#N/A</v>
      </c>
      <c r="U3023" s="5" t="e">
        <f t="shared" si="238"/>
        <v>#N/A</v>
      </c>
      <c r="V3023" s="23" t="e">
        <f t="shared" si="239"/>
        <v>#N/A</v>
      </c>
    </row>
    <row r="3024" spans="2:22" x14ac:dyDescent="0.25">
      <c r="B3024" s="16">
        <v>1</v>
      </c>
      <c r="C3024" s="7">
        <v>0</v>
      </c>
      <c r="D3024" s="8">
        <v>1</v>
      </c>
      <c r="E3024" s="8">
        <v>1</v>
      </c>
      <c r="F3024" s="8">
        <v>0</v>
      </c>
      <c r="G3024" s="8">
        <v>0</v>
      </c>
      <c r="H3024" s="8">
        <v>1</v>
      </c>
      <c r="I3024" s="8">
        <v>1</v>
      </c>
      <c r="J3024" s="8">
        <v>1</v>
      </c>
      <c r="K3024" s="9">
        <v>1</v>
      </c>
      <c r="L3024" s="10">
        <v>0</v>
      </c>
      <c r="M3024" s="6">
        <v>1</v>
      </c>
      <c r="N3024" s="37" t="e" cm="1">
        <f t="array" ref="N3024">IF(OR(ISNUMBER(FIND(Aux!$D$3:$D$9,_xlfn.TEXTJOIN(,,C3024:K3024)))),NA(),IF(AND(SUM(C3024:F3024,H3024:K3024)=0,G3024=1),0,INT((SUMPRODUCT(C3024:F3024,COLUMN($A$1:$D$1)-1)+SUMPRODUCT(H3024:K3024,COLUMN($E$1:$H$1)-1))*'Line Follower'!$C$3/SUM(C3024:F3024,H3024:K3024)-'Line Follower'!$C$5)))</f>
        <v>#N/A</v>
      </c>
      <c r="O3024" s="22" t="e">
        <v>#N/A</v>
      </c>
      <c r="P3024" s="4" t="e">
        <f t="shared" si="235"/>
        <v>#N/A</v>
      </c>
      <c r="Q3024" s="4" t="e">
        <f t="shared" si="236"/>
        <v>#N/A</v>
      </c>
      <c r="R3024" s="4" t="e">
        <f>IF(AND(B3024=1,N3024&gt;'Line Follower'!$C$7,SUM(C3024:K3024)&lt;4),1,0)</f>
        <v>#N/A</v>
      </c>
      <c r="S3024" s="4" t="e">
        <f>IF(AND(L3024=1,N3024&lt;'Line Follower'!$C$6,SUM(C3024:K3024)&lt;4),1,0)</f>
        <v>#N/A</v>
      </c>
      <c r="T3024" s="4" t="e">
        <f t="shared" si="237"/>
        <v>#N/A</v>
      </c>
      <c r="U3024" s="5" t="e">
        <f t="shared" si="238"/>
        <v>#N/A</v>
      </c>
      <c r="V3024" s="23" t="e">
        <f t="shared" si="239"/>
        <v>#N/A</v>
      </c>
    </row>
    <row r="3025" spans="2:22" x14ac:dyDescent="0.25">
      <c r="B3025" s="16">
        <v>0</v>
      </c>
      <c r="C3025" s="7">
        <v>1</v>
      </c>
      <c r="D3025" s="8">
        <v>1</v>
      </c>
      <c r="E3025" s="8">
        <v>1</v>
      </c>
      <c r="F3025" s="8">
        <v>0</v>
      </c>
      <c r="G3025" s="8">
        <v>0</v>
      </c>
      <c r="H3025" s="8">
        <v>1</v>
      </c>
      <c r="I3025" s="8">
        <v>1</v>
      </c>
      <c r="J3025" s="8">
        <v>1</v>
      </c>
      <c r="K3025" s="9">
        <v>1</v>
      </c>
      <c r="L3025" s="10">
        <v>0</v>
      </c>
      <c r="M3025" s="6">
        <v>1</v>
      </c>
      <c r="N3025" s="37" t="e" cm="1">
        <f t="array" ref="N3025">IF(OR(ISNUMBER(FIND(Aux!$D$3:$D$9,_xlfn.TEXTJOIN(,,C3025:K3025)))),NA(),IF(AND(SUM(C3025:F3025,H3025:K3025)=0,G3025=1),0,INT((SUMPRODUCT(C3025:F3025,COLUMN($A$1:$D$1)-1)+SUMPRODUCT(H3025:K3025,COLUMN($E$1:$H$1)-1))*'Line Follower'!$C$3/SUM(C3025:F3025,H3025:K3025)-'Line Follower'!$C$5)))</f>
        <v>#N/A</v>
      </c>
      <c r="O3025" s="22" t="e">
        <v>#N/A</v>
      </c>
      <c r="P3025" s="4" t="e">
        <f t="shared" si="235"/>
        <v>#N/A</v>
      </c>
      <c r="Q3025" s="4" t="e">
        <f t="shared" si="236"/>
        <v>#N/A</v>
      </c>
      <c r="R3025" s="4" t="e">
        <f>IF(AND(B3025=1,N3025&gt;'Line Follower'!$C$7,SUM(C3025:K3025)&lt;4),1,0)</f>
        <v>#N/A</v>
      </c>
      <c r="S3025" s="4" t="e">
        <f>IF(AND(L3025=1,N3025&lt;'Line Follower'!$C$6,SUM(C3025:K3025)&lt;4),1,0)</f>
        <v>#N/A</v>
      </c>
      <c r="T3025" s="4" t="e">
        <f t="shared" si="237"/>
        <v>#N/A</v>
      </c>
      <c r="U3025" s="5" t="e">
        <f t="shared" si="238"/>
        <v>#N/A</v>
      </c>
      <c r="V3025" s="23" t="e">
        <f t="shared" si="239"/>
        <v>#N/A</v>
      </c>
    </row>
    <row r="3026" spans="2:22" x14ac:dyDescent="0.25">
      <c r="B3026" s="16">
        <v>1</v>
      </c>
      <c r="C3026" s="7">
        <v>1</v>
      </c>
      <c r="D3026" s="8">
        <v>1</v>
      </c>
      <c r="E3026" s="8">
        <v>1</v>
      </c>
      <c r="F3026" s="8">
        <v>0</v>
      </c>
      <c r="G3026" s="8">
        <v>0</v>
      </c>
      <c r="H3026" s="8">
        <v>1</v>
      </c>
      <c r="I3026" s="8">
        <v>1</v>
      </c>
      <c r="J3026" s="8">
        <v>1</v>
      </c>
      <c r="K3026" s="9">
        <v>1</v>
      </c>
      <c r="L3026" s="10">
        <v>0</v>
      </c>
      <c r="M3026" s="6">
        <v>1</v>
      </c>
      <c r="N3026" s="37" t="e" cm="1">
        <f t="array" ref="N3026">IF(OR(ISNUMBER(FIND(Aux!$D$3:$D$9,_xlfn.TEXTJOIN(,,C3026:K3026)))),NA(),IF(AND(SUM(C3026:F3026,H3026:K3026)=0,G3026=1),0,INT((SUMPRODUCT(C3026:F3026,COLUMN($A$1:$D$1)-1)+SUMPRODUCT(H3026:K3026,COLUMN($E$1:$H$1)-1))*'Line Follower'!$C$3/SUM(C3026:F3026,H3026:K3026)-'Line Follower'!$C$5)))</f>
        <v>#N/A</v>
      </c>
      <c r="O3026" s="22" t="e">
        <v>#N/A</v>
      </c>
      <c r="P3026" s="4" t="e">
        <f t="shared" si="235"/>
        <v>#N/A</v>
      </c>
      <c r="Q3026" s="4" t="e">
        <f t="shared" si="236"/>
        <v>#N/A</v>
      </c>
      <c r="R3026" s="4" t="e">
        <f>IF(AND(B3026=1,N3026&gt;'Line Follower'!$C$7,SUM(C3026:K3026)&lt;4),1,0)</f>
        <v>#N/A</v>
      </c>
      <c r="S3026" s="4" t="e">
        <f>IF(AND(L3026=1,N3026&lt;'Line Follower'!$C$6,SUM(C3026:K3026)&lt;4),1,0)</f>
        <v>#N/A</v>
      </c>
      <c r="T3026" s="4" t="e">
        <f t="shared" si="237"/>
        <v>#N/A</v>
      </c>
      <c r="U3026" s="5" t="e">
        <f t="shared" si="238"/>
        <v>#N/A</v>
      </c>
      <c r="V3026" s="23" t="e">
        <f t="shared" si="239"/>
        <v>#N/A</v>
      </c>
    </row>
    <row r="3027" spans="2:22" x14ac:dyDescent="0.25">
      <c r="B3027" s="16">
        <v>0</v>
      </c>
      <c r="C3027" s="7">
        <v>0</v>
      </c>
      <c r="D3027" s="8">
        <v>0</v>
      </c>
      <c r="E3027" s="8">
        <v>0</v>
      </c>
      <c r="F3027" s="8">
        <v>1</v>
      </c>
      <c r="G3027" s="8">
        <v>0</v>
      </c>
      <c r="H3027" s="8">
        <v>1</v>
      </c>
      <c r="I3027" s="8">
        <v>1</v>
      </c>
      <c r="J3027" s="8">
        <v>1</v>
      </c>
      <c r="K3027" s="9">
        <v>1</v>
      </c>
      <c r="L3027" s="10">
        <v>0</v>
      </c>
      <c r="M3027" s="6">
        <v>1</v>
      </c>
      <c r="N3027" s="37" t="e" cm="1">
        <f t="array" ref="N3027">IF(OR(ISNUMBER(FIND(Aux!$D$3:$D$9,_xlfn.TEXTJOIN(,,C3027:K3027)))),NA(),IF(AND(SUM(C3027:F3027,H3027:K3027)=0,G3027=1),0,INT((SUMPRODUCT(C3027:F3027,COLUMN($A$1:$D$1)-1)+SUMPRODUCT(H3027:K3027,COLUMN($E$1:$H$1)-1))*'Line Follower'!$C$3/SUM(C3027:F3027,H3027:K3027)-'Line Follower'!$C$5)))</f>
        <v>#N/A</v>
      </c>
      <c r="O3027" s="22" t="e">
        <v>#N/A</v>
      </c>
      <c r="P3027" s="4" t="e">
        <f t="shared" si="235"/>
        <v>#N/A</v>
      </c>
      <c r="Q3027" s="4" t="e">
        <f t="shared" si="236"/>
        <v>#N/A</v>
      </c>
      <c r="R3027" s="4" t="e">
        <f>IF(AND(B3027=1,N3027&gt;'Line Follower'!$C$7,SUM(C3027:K3027)&lt;4),1,0)</f>
        <v>#N/A</v>
      </c>
      <c r="S3027" s="4" t="e">
        <f>IF(AND(L3027=1,N3027&lt;'Line Follower'!$C$6,SUM(C3027:K3027)&lt;4),1,0)</f>
        <v>#N/A</v>
      </c>
      <c r="T3027" s="4" t="e">
        <f t="shared" si="237"/>
        <v>#N/A</v>
      </c>
      <c r="U3027" s="5" t="e">
        <f t="shared" si="238"/>
        <v>#N/A</v>
      </c>
      <c r="V3027" s="23" t="e">
        <f t="shared" si="239"/>
        <v>#N/A</v>
      </c>
    </row>
    <row r="3028" spans="2:22" x14ac:dyDescent="0.25">
      <c r="B3028" s="16">
        <v>1</v>
      </c>
      <c r="C3028" s="7">
        <v>0</v>
      </c>
      <c r="D3028" s="8">
        <v>0</v>
      </c>
      <c r="E3028" s="8">
        <v>0</v>
      </c>
      <c r="F3028" s="8">
        <v>1</v>
      </c>
      <c r="G3028" s="8">
        <v>0</v>
      </c>
      <c r="H3028" s="8">
        <v>1</v>
      </c>
      <c r="I3028" s="8">
        <v>1</v>
      </c>
      <c r="J3028" s="8">
        <v>1</v>
      </c>
      <c r="K3028" s="9">
        <v>1</v>
      </c>
      <c r="L3028" s="10">
        <v>0</v>
      </c>
      <c r="M3028" s="6">
        <v>1</v>
      </c>
      <c r="N3028" s="37" t="e" cm="1">
        <f t="array" ref="N3028">IF(OR(ISNUMBER(FIND(Aux!$D$3:$D$9,_xlfn.TEXTJOIN(,,C3028:K3028)))),NA(),IF(AND(SUM(C3028:F3028,H3028:K3028)=0,G3028=1),0,INT((SUMPRODUCT(C3028:F3028,COLUMN($A$1:$D$1)-1)+SUMPRODUCT(H3028:K3028,COLUMN($E$1:$H$1)-1))*'Line Follower'!$C$3/SUM(C3028:F3028,H3028:K3028)-'Line Follower'!$C$5)))</f>
        <v>#N/A</v>
      </c>
      <c r="O3028" s="22" t="e">
        <v>#N/A</v>
      </c>
      <c r="P3028" s="4" t="e">
        <f t="shared" si="235"/>
        <v>#N/A</v>
      </c>
      <c r="Q3028" s="4" t="e">
        <f t="shared" si="236"/>
        <v>#N/A</v>
      </c>
      <c r="R3028" s="4" t="e">
        <f>IF(AND(B3028=1,N3028&gt;'Line Follower'!$C$7,SUM(C3028:K3028)&lt;4),1,0)</f>
        <v>#N/A</v>
      </c>
      <c r="S3028" s="4" t="e">
        <f>IF(AND(L3028=1,N3028&lt;'Line Follower'!$C$6,SUM(C3028:K3028)&lt;4),1,0)</f>
        <v>#N/A</v>
      </c>
      <c r="T3028" s="4" t="e">
        <f t="shared" si="237"/>
        <v>#N/A</v>
      </c>
      <c r="U3028" s="5" t="e">
        <f t="shared" si="238"/>
        <v>#N/A</v>
      </c>
      <c r="V3028" s="23" t="e">
        <f t="shared" si="239"/>
        <v>#N/A</v>
      </c>
    </row>
    <row r="3029" spans="2:22" x14ac:dyDescent="0.25">
      <c r="B3029" s="16">
        <v>0</v>
      </c>
      <c r="C3029" s="7">
        <v>1</v>
      </c>
      <c r="D3029" s="8">
        <v>0</v>
      </c>
      <c r="E3029" s="8">
        <v>0</v>
      </c>
      <c r="F3029" s="8">
        <v>1</v>
      </c>
      <c r="G3029" s="8">
        <v>0</v>
      </c>
      <c r="H3029" s="8">
        <v>1</v>
      </c>
      <c r="I3029" s="8">
        <v>1</v>
      </c>
      <c r="J3029" s="8">
        <v>1</v>
      </c>
      <c r="K3029" s="9">
        <v>1</v>
      </c>
      <c r="L3029" s="10">
        <v>0</v>
      </c>
      <c r="M3029" s="6">
        <v>1</v>
      </c>
      <c r="N3029" s="37" t="e" cm="1">
        <f t="array" ref="N3029">IF(OR(ISNUMBER(FIND(Aux!$D$3:$D$9,_xlfn.TEXTJOIN(,,C3029:K3029)))),NA(),IF(AND(SUM(C3029:F3029,H3029:K3029)=0,G3029=1),0,INT((SUMPRODUCT(C3029:F3029,COLUMN($A$1:$D$1)-1)+SUMPRODUCT(H3029:K3029,COLUMN($E$1:$H$1)-1))*'Line Follower'!$C$3/SUM(C3029:F3029,H3029:K3029)-'Line Follower'!$C$5)))</f>
        <v>#N/A</v>
      </c>
      <c r="O3029" s="22" t="e">
        <v>#N/A</v>
      </c>
      <c r="P3029" s="4" t="e">
        <f t="shared" si="235"/>
        <v>#N/A</v>
      </c>
      <c r="Q3029" s="4" t="e">
        <f t="shared" si="236"/>
        <v>#N/A</v>
      </c>
      <c r="R3029" s="4" t="e">
        <f>IF(AND(B3029=1,N3029&gt;'Line Follower'!$C$7,SUM(C3029:K3029)&lt;4),1,0)</f>
        <v>#N/A</v>
      </c>
      <c r="S3029" s="4" t="e">
        <f>IF(AND(L3029=1,N3029&lt;'Line Follower'!$C$6,SUM(C3029:K3029)&lt;4),1,0)</f>
        <v>#N/A</v>
      </c>
      <c r="T3029" s="4" t="e">
        <f t="shared" si="237"/>
        <v>#N/A</v>
      </c>
      <c r="U3029" s="5" t="e">
        <f t="shared" si="238"/>
        <v>#N/A</v>
      </c>
      <c r="V3029" s="23" t="e">
        <f t="shared" si="239"/>
        <v>#N/A</v>
      </c>
    </row>
    <row r="3030" spans="2:22" x14ac:dyDescent="0.25">
      <c r="B3030" s="16">
        <v>1</v>
      </c>
      <c r="C3030" s="7">
        <v>1</v>
      </c>
      <c r="D3030" s="8">
        <v>0</v>
      </c>
      <c r="E3030" s="8">
        <v>0</v>
      </c>
      <c r="F3030" s="8">
        <v>1</v>
      </c>
      <c r="G3030" s="8">
        <v>0</v>
      </c>
      <c r="H3030" s="8">
        <v>1</v>
      </c>
      <c r="I3030" s="8">
        <v>1</v>
      </c>
      <c r="J3030" s="8">
        <v>1</v>
      </c>
      <c r="K3030" s="9">
        <v>1</v>
      </c>
      <c r="L3030" s="10">
        <v>0</v>
      </c>
      <c r="M3030" s="6">
        <v>1</v>
      </c>
      <c r="N3030" s="37" t="e" cm="1">
        <f t="array" ref="N3030">IF(OR(ISNUMBER(FIND(Aux!$D$3:$D$9,_xlfn.TEXTJOIN(,,C3030:K3030)))),NA(),IF(AND(SUM(C3030:F3030,H3030:K3030)=0,G3030=1),0,INT((SUMPRODUCT(C3030:F3030,COLUMN($A$1:$D$1)-1)+SUMPRODUCT(H3030:K3030,COLUMN($E$1:$H$1)-1))*'Line Follower'!$C$3/SUM(C3030:F3030,H3030:K3030)-'Line Follower'!$C$5)))</f>
        <v>#N/A</v>
      </c>
      <c r="O3030" s="22" t="e">
        <v>#N/A</v>
      </c>
      <c r="P3030" s="4" t="e">
        <f t="shared" si="235"/>
        <v>#N/A</v>
      </c>
      <c r="Q3030" s="4" t="e">
        <f t="shared" si="236"/>
        <v>#N/A</v>
      </c>
      <c r="R3030" s="4" t="e">
        <f>IF(AND(B3030=1,N3030&gt;'Line Follower'!$C$7,SUM(C3030:K3030)&lt;4),1,0)</f>
        <v>#N/A</v>
      </c>
      <c r="S3030" s="4" t="e">
        <f>IF(AND(L3030=1,N3030&lt;'Line Follower'!$C$6,SUM(C3030:K3030)&lt;4),1,0)</f>
        <v>#N/A</v>
      </c>
      <c r="T3030" s="4" t="e">
        <f t="shared" si="237"/>
        <v>#N/A</v>
      </c>
      <c r="U3030" s="5" t="e">
        <f t="shared" si="238"/>
        <v>#N/A</v>
      </c>
      <c r="V3030" s="23" t="e">
        <f t="shared" si="239"/>
        <v>#N/A</v>
      </c>
    </row>
    <row r="3031" spans="2:22" x14ac:dyDescent="0.25">
      <c r="B3031" s="16">
        <v>0</v>
      </c>
      <c r="C3031" s="7">
        <v>0</v>
      </c>
      <c r="D3031" s="8">
        <v>1</v>
      </c>
      <c r="E3031" s="8">
        <v>0</v>
      </c>
      <c r="F3031" s="8">
        <v>1</v>
      </c>
      <c r="G3031" s="8">
        <v>0</v>
      </c>
      <c r="H3031" s="8">
        <v>1</v>
      </c>
      <c r="I3031" s="8">
        <v>1</v>
      </c>
      <c r="J3031" s="8">
        <v>1</v>
      </c>
      <c r="K3031" s="9">
        <v>1</v>
      </c>
      <c r="L3031" s="10">
        <v>0</v>
      </c>
      <c r="M3031" s="6">
        <v>1</v>
      </c>
      <c r="N3031" s="37" t="e" cm="1">
        <f t="array" ref="N3031">IF(OR(ISNUMBER(FIND(Aux!$D$3:$D$9,_xlfn.TEXTJOIN(,,C3031:K3031)))),NA(),IF(AND(SUM(C3031:F3031,H3031:K3031)=0,G3031=1),0,INT((SUMPRODUCT(C3031:F3031,COLUMN($A$1:$D$1)-1)+SUMPRODUCT(H3031:K3031,COLUMN($E$1:$H$1)-1))*'Line Follower'!$C$3/SUM(C3031:F3031,H3031:K3031)-'Line Follower'!$C$5)))</f>
        <v>#N/A</v>
      </c>
      <c r="O3031" s="22" t="e">
        <v>#N/A</v>
      </c>
      <c r="P3031" s="4" t="e">
        <f t="shared" si="235"/>
        <v>#N/A</v>
      </c>
      <c r="Q3031" s="4" t="e">
        <f t="shared" si="236"/>
        <v>#N/A</v>
      </c>
      <c r="R3031" s="4" t="e">
        <f>IF(AND(B3031=1,N3031&gt;'Line Follower'!$C$7,SUM(C3031:K3031)&lt;4),1,0)</f>
        <v>#N/A</v>
      </c>
      <c r="S3031" s="4" t="e">
        <f>IF(AND(L3031=1,N3031&lt;'Line Follower'!$C$6,SUM(C3031:K3031)&lt;4),1,0)</f>
        <v>#N/A</v>
      </c>
      <c r="T3031" s="4" t="e">
        <f t="shared" si="237"/>
        <v>#N/A</v>
      </c>
      <c r="U3031" s="5" t="e">
        <f t="shared" si="238"/>
        <v>#N/A</v>
      </c>
      <c r="V3031" s="23" t="e">
        <f t="shared" si="239"/>
        <v>#N/A</v>
      </c>
    </row>
    <row r="3032" spans="2:22" x14ac:dyDescent="0.25">
      <c r="B3032" s="16">
        <v>1</v>
      </c>
      <c r="C3032" s="7">
        <v>0</v>
      </c>
      <c r="D3032" s="8">
        <v>1</v>
      </c>
      <c r="E3032" s="8">
        <v>0</v>
      </c>
      <c r="F3032" s="8">
        <v>1</v>
      </c>
      <c r="G3032" s="8">
        <v>0</v>
      </c>
      <c r="H3032" s="8">
        <v>1</v>
      </c>
      <c r="I3032" s="8">
        <v>1</v>
      </c>
      <c r="J3032" s="8">
        <v>1</v>
      </c>
      <c r="K3032" s="9">
        <v>1</v>
      </c>
      <c r="L3032" s="10">
        <v>0</v>
      </c>
      <c r="M3032" s="6">
        <v>1</v>
      </c>
      <c r="N3032" s="37" t="e" cm="1">
        <f t="array" ref="N3032">IF(OR(ISNUMBER(FIND(Aux!$D$3:$D$9,_xlfn.TEXTJOIN(,,C3032:K3032)))),NA(),IF(AND(SUM(C3032:F3032,H3032:K3032)=0,G3032=1),0,INT((SUMPRODUCT(C3032:F3032,COLUMN($A$1:$D$1)-1)+SUMPRODUCT(H3032:K3032,COLUMN($E$1:$H$1)-1))*'Line Follower'!$C$3/SUM(C3032:F3032,H3032:K3032)-'Line Follower'!$C$5)))</f>
        <v>#N/A</v>
      </c>
      <c r="O3032" s="22" t="e">
        <v>#N/A</v>
      </c>
      <c r="P3032" s="4" t="e">
        <f t="shared" si="235"/>
        <v>#N/A</v>
      </c>
      <c r="Q3032" s="4" t="e">
        <f t="shared" si="236"/>
        <v>#N/A</v>
      </c>
      <c r="R3032" s="4" t="e">
        <f>IF(AND(B3032=1,N3032&gt;'Line Follower'!$C$7,SUM(C3032:K3032)&lt;4),1,0)</f>
        <v>#N/A</v>
      </c>
      <c r="S3032" s="4" t="e">
        <f>IF(AND(L3032=1,N3032&lt;'Line Follower'!$C$6,SUM(C3032:K3032)&lt;4),1,0)</f>
        <v>#N/A</v>
      </c>
      <c r="T3032" s="4" t="e">
        <f t="shared" si="237"/>
        <v>#N/A</v>
      </c>
      <c r="U3032" s="5" t="e">
        <f t="shared" si="238"/>
        <v>#N/A</v>
      </c>
      <c r="V3032" s="23" t="e">
        <f t="shared" si="239"/>
        <v>#N/A</v>
      </c>
    </row>
    <row r="3033" spans="2:22" x14ac:dyDescent="0.25">
      <c r="B3033" s="16">
        <v>0</v>
      </c>
      <c r="C3033" s="7">
        <v>1</v>
      </c>
      <c r="D3033" s="8">
        <v>1</v>
      </c>
      <c r="E3033" s="8">
        <v>0</v>
      </c>
      <c r="F3033" s="8">
        <v>1</v>
      </c>
      <c r="G3033" s="8">
        <v>0</v>
      </c>
      <c r="H3033" s="8">
        <v>1</v>
      </c>
      <c r="I3033" s="8">
        <v>1</v>
      </c>
      <c r="J3033" s="8">
        <v>1</v>
      </c>
      <c r="K3033" s="9">
        <v>1</v>
      </c>
      <c r="L3033" s="10">
        <v>0</v>
      </c>
      <c r="M3033" s="6">
        <v>1</v>
      </c>
      <c r="N3033" s="37" t="e" cm="1">
        <f t="array" ref="N3033">IF(OR(ISNUMBER(FIND(Aux!$D$3:$D$9,_xlfn.TEXTJOIN(,,C3033:K3033)))),NA(),IF(AND(SUM(C3033:F3033,H3033:K3033)=0,G3033=1),0,INT((SUMPRODUCT(C3033:F3033,COLUMN($A$1:$D$1)-1)+SUMPRODUCT(H3033:K3033,COLUMN($E$1:$H$1)-1))*'Line Follower'!$C$3/SUM(C3033:F3033,H3033:K3033)-'Line Follower'!$C$5)))</f>
        <v>#N/A</v>
      </c>
      <c r="O3033" s="22" t="e">
        <v>#N/A</v>
      </c>
      <c r="P3033" s="4" t="e">
        <f t="shared" si="235"/>
        <v>#N/A</v>
      </c>
      <c r="Q3033" s="4" t="e">
        <f t="shared" si="236"/>
        <v>#N/A</v>
      </c>
      <c r="R3033" s="4" t="e">
        <f>IF(AND(B3033=1,N3033&gt;'Line Follower'!$C$7,SUM(C3033:K3033)&lt;4),1,0)</f>
        <v>#N/A</v>
      </c>
      <c r="S3033" s="4" t="e">
        <f>IF(AND(L3033=1,N3033&lt;'Line Follower'!$C$6,SUM(C3033:K3033)&lt;4),1,0)</f>
        <v>#N/A</v>
      </c>
      <c r="T3033" s="4" t="e">
        <f t="shared" si="237"/>
        <v>#N/A</v>
      </c>
      <c r="U3033" s="5" t="e">
        <f t="shared" si="238"/>
        <v>#N/A</v>
      </c>
      <c r="V3033" s="23" t="e">
        <f t="shared" si="239"/>
        <v>#N/A</v>
      </c>
    </row>
    <row r="3034" spans="2:22" x14ac:dyDescent="0.25">
      <c r="B3034" s="16">
        <v>1</v>
      </c>
      <c r="C3034" s="7">
        <v>1</v>
      </c>
      <c r="D3034" s="8">
        <v>1</v>
      </c>
      <c r="E3034" s="8">
        <v>0</v>
      </c>
      <c r="F3034" s="8">
        <v>1</v>
      </c>
      <c r="G3034" s="8">
        <v>0</v>
      </c>
      <c r="H3034" s="8">
        <v>1</v>
      </c>
      <c r="I3034" s="8">
        <v>1</v>
      </c>
      <c r="J3034" s="8">
        <v>1</v>
      </c>
      <c r="K3034" s="9">
        <v>1</v>
      </c>
      <c r="L3034" s="10">
        <v>0</v>
      </c>
      <c r="M3034" s="6">
        <v>1</v>
      </c>
      <c r="N3034" s="37" t="e" cm="1">
        <f t="array" ref="N3034">IF(OR(ISNUMBER(FIND(Aux!$D$3:$D$9,_xlfn.TEXTJOIN(,,C3034:K3034)))),NA(),IF(AND(SUM(C3034:F3034,H3034:K3034)=0,G3034=1),0,INT((SUMPRODUCT(C3034:F3034,COLUMN($A$1:$D$1)-1)+SUMPRODUCT(H3034:K3034,COLUMN($E$1:$H$1)-1))*'Line Follower'!$C$3/SUM(C3034:F3034,H3034:K3034)-'Line Follower'!$C$5)))</f>
        <v>#N/A</v>
      </c>
      <c r="O3034" s="22" t="e">
        <v>#N/A</v>
      </c>
      <c r="P3034" s="4" t="e">
        <f t="shared" si="235"/>
        <v>#N/A</v>
      </c>
      <c r="Q3034" s="4" t="e">
        <f t="shared" si="236"/>
        <v>#N/A</v>
      </c>
      <c r="R3034" s="4" t="e">
        <f>IF(AND(B3034=1,N3034&gt;'Line Follower'!$C$7,SUM(C3034:K3034)&lt;4),1,0)</f>
        <v>#N/A</v>
      </c>
      <c r="S3034" s="4" t="e">
        <f>IF(AND(L3034=1,N3034&lt;'Line Follower'!$C$6,SUM(C3034:K3034)&lt;4),1,0)</f>
        <v>#N/A</v>
      </c>
      <c r="T3034" s="4" t="e">
        <f t="shared" si="237"/>
        <v>#N/A</v>
      </c>
      <c r="U3034" s="5" t="e">
        <f t="shared" si="238"/>
        <v>#N/A</v>
      </c>
      <c r="V3034" s="23" t="e">
        <f t="shared" si="239"/>
        <v>#N/A</v>
      </c>
    </row>
    <row r="3035" spans="2:22" x14ac:dyDescent="0.25">
      <c r="B3035" s="16">
        <v>0</v>
      </c>
      <c r="C3035" s="7">
        <v>0</v>
      </c>
      <c r="D3035" s="8">
        <v>0</v>
      </c>
      <c r="E3035" s="8">
        <v>1</v>
      </c>
      <c r="F3035" s="8">
        <v>1</v>
      </c>
      <c r="G3035" s="8">
        <v>0</v>
      </c>
      <c r="H3035" s="8">
        <v>1</v>
      </c>
      <c r="I3035" s="8">
        <v>1</v>
      </c>
      <c r="J3035" s="8">
        <v>1</v>
      </c>
      <c r="K3035" s="9">
        <v>1</v>
      </c>
      <c r="L3035" s="10">
        <v>0</v>
      </c>
      <c r="M3035" s="6">
        <v>1</v>
      </c>
      <c r="N3035" s="37" t="e" cm="1">
        <f t="array" ref="N3035">IF(OR(ISNUMBER(FIND(Aux!$D$3:$D$9,_xlfn.TEXTJOIN(,,C3035:K3035)))),NA(),IF(AND(SUM(C3035:F3035,H3035:K3035)=0,G3035=1),0,INT((SUMPRODUCT(C3035:F3035,COLUMN($A$1:$D$1)-1)+SUMPRODUCT(H3035:K3035,COLUMN($E$1:$H$1)-1))*'Line Follower'!$C$3/SUM(C3035:F3035,H3035:K3035)-'Line Follower'!$C$5)))</f>
        <v>#N/A</v>
      </c>
      <c r="O3035" s="22" t="e">
        <v>#N/A</v>
      </c>
      <c r="P3035" s="4" t="e">
        <f t="shared" si="235"/>
        <v>#N/A</v>
      </c>
      <c r="Q3035" s="4" t="e">
        <f t="shared" si="236"/>
        <v>#N/A</v>
      </c>
      <c r="R3035" s="4" t="e">
        <f>IF(AND(B3035=1,N3035&gt;'Line Follower'!$C$7,SUM(C3035:K3035)&lt;4),1,0)</f>
        <v>#N/A</v>
      </c>
      <c r="S3035" s="4" t="e">
        <f>IF(AND(L3035=1,N3035&lt;'Line Follower'!$C$6,SUM(C3035:K3035)&lt;4),1,0)</f>
        <v>#N/A</v>
      </c>
      <c r="T3035" s="4" t="e">
        <f t="shared" si="237"/>
        <v>#N/A</v>
      </c>
      <c r="U3035" s="5" t="e">
        <f t="shared" si="238"/>
        <v>#N/A</v>
      </c>
      <c r="V3035" s="23" t="e">
        <f t="shared" si="239"/>
        <v>#N/A</v>
      </c>
    </row>
    <row r="3036" spans="2:22" x14ac:dyDescent="0.25">
      <c r="B3036" s="16">
        <v>1</v>
      </c>
      <c r="C3036" s="7">
        <v>0</v>
      </c>
      <c r="D3036" s="8">
        <v>0</v>
      </c>
      <c r="E3036" s="8">
        <v>1</v>
      </c>
      <c r="F3036" s="8">
        <v>1</v>
      </c>
      <c r="G3036" s="8">
        <v>0</v>
      </c>
      <c r="H3036" s="8">
        <v>1</v>
      </c>
      <c r="I3036" s="8">
        <v>1</v>
      </c>
      <c r="J3036" s="8">
        <v>1</v>
      </c>
      <c r="K3036" s="9">
        <v>1</v>
      </c>
      <c r="L3036" s="10">
        <v>0</v>
      </c>
      <c r="M3036" s="6">
        <v>1</v>
      </c>
      <c r="N3036" s="37" t="e" cm="1">
        <f t="array" ref="N3036">IF(OR(ISNUMBER(FIND(Aux!$D$3:$D$9,_xlfn.TEXTJOIN(,,C3036:K3036)))),NA(),IF(AND(SUM(C3036:F3036,H3036:K3036)=0,G3036=1),0,INT((SUMPRODUCT(C3036:F3036,COLUMN($A$1:$D$1)-1)+SUMPRODUCT(H3036:K3036,COLUMN($E$1:$H$1)-1))*'Line Follower'!$C$3/SUM(C3036:F3036,H3036:K3036)-'Line Follower'!$C$5)))</f>
        <v>#N/A</v>
      </c>
      <c r="O3036" s="22" t="e">
        <v>#N/A</v>
      </c>
      <c r="P3036" s="4" t="e">
        <f t="shared" si="235"/>
        <v>#N/A</v>
      </c>
      <c r="Q3036" s="4" t="e">
        <f t="shared" si="236"/>
        <v>#N/A</v>
      </c>
      <c r="R3036" s="4" t="e">
        <f>IF(AND(B3036=1,N3036&gt;'Line Follower'!$C$7,SUM(C3036:K3036)&lt;4),1,0)</f>
        <v>#N/A</v>
      </c>
      <c r="S3036" s="4" t="e">
        <f>IF(AND(L3036=1,N3036&lt;'Line Follower'!$C$6,SUM(C3036:K3036)&lt;4),1,0)</f>
        <v>#N/A</v>
      </c>
      <c r="T3036" s="4" t="e">
        <f t="shared" si="237"/>
        <v>#N/A</v>
      </c>
      <c r="U3036" s="5" t="e">
        <f t="shared" si="238"/>
        <v>#N/A</v>
      </c>
      <c r="V3036" s="23" t="e">
        <f t="shared" si="239"/>
        <v>#N/A</v>
      </c>
    </row>
    <row r="3037" spans="2:22" x14ac:dyDescent="0.25">
      <c r="B3037" s="16">
        <v>0</v>
      </c>
      <c r="C3037" s="7">
        <v>1</v>
      </c>
      <c r="D3037" s="8">
        <v>0</v>
      </c>
      <c r="E3037" s="8">
        <v>1</v>
      </c>
      <c r="F3037" s="8">
        <v>1</v>
      </c>
      <c r="G3037" s="8">
        <v>0</v>
      </c>
      <c r="H3037" s="8">
        <v>1</v>
      </c>
      <c r="I3037" s="8">
        <v>1</v>
      </c>
      <c r="J3037" s="8">
        <v>1</v>
      </c>
      <c r="K3037" s="9">
        <v>1</v>
      </c>
      <c r="L3037" s="10">
        <v>0</v>
      </c>
      <c r="M3037" s="6">
        <v>1</v>
      </c>
      <c r="N3037" s="37" t="e" cm="1">
        <f t="array" ref="N3037">IF(OR(ISNUMBER(FIND(Aux!$D$3:$D$9,_xlfn.TEXTJOIN(,,C3037:K3037)))),NA(),IF(AND(SUM(C3037:F3037,H3037:K3037)=0,G3037=1),0,INT((SUMPRODUCT(C3037:F3037,COLUMN($A$1:$D$1)-1)+SUMPRODUCT(H3037:K3037,COLUMN($E$1:$H$1)-1))*'Line Follower'!$C$3/SUM(C3037:F3037,H3037:K3037)-'Line Follower'!$C$5)))</f>
        <v>#N/A</v>
      </c>
      <c r="O3037" s="22" t="e">
        <v>#N/A</v>
      </c>
      <c r="P3037" s="4" t="e">
        <f t="shared" si="235"/>
        <v>#N/A</v>
      </c>
      <c r="Q3037" s="4" t="e">
        <f t="shared" si="236"/>
        <v>#N/A</v>
      </c>
      <c r="R3037" s="4" t="e">
        <f>IF(AND(B3037=1,N3037&gt;'Line Follower'!$C$7,SUM(C3037:K3037)&lt;4),1,0)</f>
        <v>#N/A</v>
      </c>
      <c r="S3037" s="4" t="e">
        <f>IF(AND(L3037=1,N3037&lt;'Line Follower'!$C$6,SUM(C3037:K3037)&lt;4),1,0)</f>
        <v>#N/A</v>
      </c>
      <c r="T3037" s="4" t="e">
        <f t="shared" si="237"/>
        <v>#N/A</v>
      </c>
      <c r="U3037" s="5" t="e">
        <f t="shared" si="238"/>
        <v>#N/A</v>
      </c>
      <c r="V3037" s="23" t="e">
        <f t="shared" si="239"/>
        <v>#N/A</v>
      </c>
    </row>
    <row r="3038" spans="2:22" x14ac:dyDescent="0.25">
      <c r="B3038" s="16">
        <v>1</v>
      </c>
      <c r="C3038" s="7">
        <v>1</v>
      </c>
      <c r="D3038" s="8">
        <v>0</v>
      </c>
      <c r="E3038" s="8">
        <v>1</v>
      </c>
      <c r="F3038" s="8">
        <v>1</v>
      </c>
      <c r="G3038" s="8">
        <v>0</v>
      </c>
      <c r="H3038" s="8">
        <v>1</v>
      </c>
      <c r="I3038" s="8">
        <v>1</v>
      </c>
      <c r="J3038" s="8">
        <v>1</v>
      </c>
      <c r="K3038" s="9">
        <v>1</v>
      </c>
      <c r="L3038" s="10">
        <v>0</v>
      </c>
      <c r="M3038" s="6">
        <v>1</v>
      </c>
      <c r="N3038" s="37" t="e" cm="1">
        <f t="array" ref="N3038">IF(OR(ISNUMBER(FIND(Aux!$D$3:$D$9,_xlfn.TEXTJOIN(,,C3038:K3038)))),NA(),IF(AND(SUM(C3038:F3038,H3038:K3038)=0,G3038=1),0,INT((SUMPRODUCT(C3038:F3038,COLUMN($A$1:$D$1)-1)+SUMPRODUCT(H3038:K3038,COLUMN($E$1:$H$1)-1))*'Line Follower'!$C$3/SUM(C3038:F3038,H3038:K3038)-'Line Follower'!$C$5)))</f>
        <v>#N/A</v>
      </c>
      <c r="O3038" s="22" t="e">
        <v>#N/A</v>
      </c>
      <c r="P3038" s="4" t="e">
        <f t="shared" si="235"/>
        <v>#N/A</v>
      </c>
      <c r="Q3038" s="4" t="e">
        <f t="shared" si="236"/>
        <v>#N/A</v>
      </c>
      <c r="R3038" s="4" t="e">
        <f>IF(AND(B3038=1,N3038&gt;'Line Follower'!$C$7,SUM(C3038:K3038)&lt;4),1,0)</f>
        <v>#N/A</v>
      </c>
      <c r="S3038" s="4" t="e">
        <f>IF(AND(L3038=1,N3038&lt;'Line Follower'!$C$6,SUM(C3038:K3038)&lt;4),1,0)</f>
        <v>#N/A</v>
      </c>
      <c r="T3038" s="4" t="e">
        <f t="shared" si="237"/>
        <v>#N/A</v>
      </c>
      <c r="U3038" s="5" t="e">
        <f t="shared" si="238"/>
        <v>#N/A</v>
      </c>
      <c r="V3038" s="23" t="e">
        <f t="shared" si="239"/>
        <v>#N/A</v>
      </c>
    </row>
    <row r="3039" spans="2:22" x14ac:dyDescent="0.25">
      <c r="B3039" s="16">
        <v>0</v>
      </c>
      <c r="C3039" s="7">
        <v>0</v>
      </c>
      <c r="D3039" s="8">
        <v>1</v>
      </c>
      <c r="E3039" s="8">
        <v>1</v>
      </c>
      <c r="F3039" s="8">
        <v>1</v>
      </c>
      <c r="G3039" s="8">
        <v>0</v>
      </c>
      <c r="H3039" s="8">
        <v>1</v>
      </c>
      <c r="I3039" s="8">
        <v>1</v>
      </c>
      <c r="J3039" s="8">
        <v>1</v>
      </c>
      <c r="K3039" s="9">
        <v>1</v>
      </c>
      <c r="L3039" s="10">
        <v>0</v>
      </c>
      <c r="M3039" s="6">
        <v>1</v>
      </c>
      <c r="N3039" s="37" t="e" cm="1">
        <f t="array" ref="N3039">IF(OR(ISNUMBER(FIND(Aux!$D$3:$D$9,_xlfn.TEXTJOIN(,,C3039:K3039)))),NA(),IF(AND(SUM(C3039:F3039,H3039:K3039)=0,G3039=1),0,INT((SUMPRODUCT(C3039:F3039,COLUMN($A$1:$D$1)-1)+SUMPRODUCT(H3039:K3039,COLUMN($E$1:$H$1)-1))*'Line Follower'!$C$3/SUM(C3039:F3039,H3039:K3039)-'Line Follower'!$C$5)))</f>
        <v>#N/A</v>
      </c>
      <c r="O3039" s="22" t="e">
        <v>#N/A</v>
      </c>
      <c r="P3039" s="4" t="e">
        <f t="shared" si="235"/>
        <v>#N/A</v>
      </c>
      <c r="Q3039" s="4" t="e">
        <f t="shared" si="236"/>
        <v>#N/A</v>
      </c>
      <c r="R3039" s="4" t="e">
        <f>IF(AND(B3039=1,N3039&gt;'Line Follower'!$C$7,SUM(C3039:K3039)&lt;4),1,0)</f>
        <v>#N/A</v>
      </c>
      <c r="S3039" s="4" t="e">
        <f>IF(AND(L3039=1,N3039&lt;'Line Follower'!$C$6,SUM(C3039:K3039)&lt;4),1,0)</f>
        <v>#N/A</v>
      </c>
      <c r="T3039" s="4" t="e">
        <f t="shared" si="237"/>
        <v>#N/A</v>
      </c>
      <c r="U3039" s="5" t="e">
        <f t="shared" si="238"/>
        <v>#N/A</v>
      </c>
      <c r="V3039" s="23" t="e">
        <f t="shared" si="239"/>
        <v>#N/A</v>
      </c>
    </row>
    <row r="3040" spans="2:22" x14ac:dyDescent="0.25">
      <c r="B3040" s="16">
        <v>1</v>
      </c>
      <c r="C3040" s="7">
        <v>0</v>
      </c>
      <c r="D3040" s="8">
        <v>1</v>
      </c>
      <c r="E3040" s="8">
        <v>1</v>
      </c>
      <c r="F3040" s="8">
        <v>1</v>
      </c>
      <c r="G3040" s="8">
        <v>0</v>
      </c>
      <c r="H3040" s="8">
        <v>1</v>
      </c>
      <c r="I3040" s="8">
        <v>1</v>
      </c>
      <c r="J3040" s="8">
        <v>1</v>
      </c>
      <c r="K3040" s="9">
        <v>1</v>
      </c>
      <c r="L3040" s="10">
        <v>0</v>
      </c>
      <c r="M3040" s="6">
        <v>1</v>
      </c>
      <c r="N3040" s="37" t="e" cm="1">
        <f t="array" ref="N3040">IF(OR(ISNUMBER(FIND(Aux!$D$3:$D$9,_xlfn.TEXTJOIN(,,C3040:K3040)))),NA(),IF(AND(SUM(C3040:F3040,H3040:K3040)=0,G3040=1),0,INT((SUMPRODUCT(C3040:F3040,COLUMN($A$1:$D$1)-1)+SUMPRODUCT(H3040:K3040,COLUMN($E$1:$H$1)-1))*'Line Follower'!$C$3/SUM(C3040:F3040,H3040:K3040)-'Line Follower'!$C$5)))</f>
        <v>#N/A</v>
      </c>
      <c r="O3040" s="22" t="e">
        <v>#N/A</v>
      </c>
      <c r="P3040" s="4" t="e">
        <f t="shared" si="235"/>
        <v>#N/A</v>
      </c>
      <c r="Q3040" s="4" t="e">
        <f t="shared" si="236"/>
        <v>#N/A</v>
      </c>
      <c r="R3040" s="4" t="e">
        <f>IF(AND(B3040=1,N3040&gt;'Line Follower'!$C$7,SUM(C3040:K3040)&lt;4),1,0)</f>
        <v>#N/A</v>
      </c>
      <c r="S3040" s="4" t="e">
        <f>IF(AND(L3040=1,N3040&lt;'Line Follower'!$C$6,SUM(C3040:K3040)&lt;4),1,0)</f>
        <v>#N/A</v>
      </c>
      <c r="T3040" s="4" t="e">
        <f t="shared" si="237"/>
        <v>#N/A</v>
      </c>
      <c r="U3040" s="5" t="e">
        <f t="shared" si="238"/>
        <v>#N/A</v>
      </c>
      <c r="V3040" s="23" t="e">
        <f t="shared" si="239"/>
        <v>#N/A</v>
      </c>
    </row>
    <row r="3041" spans="2:22" x14ac:dyDescent="0.25">
      <c r="B3041" s="16">
        <v>0</v>
      </c>
      <c r="C3041" s="7">
        <v>1</v>
      </c>
      <c r="D3041" s="8">
        <v>1</v>
      </c>
      <c r="E3041" s="8">
        <v>1</v>
      </c>
      <c r="F3041" s="8">
        <v>1</v>
      </c>
      <c r="G3041" s="8">
        <v>0</v>
      </c>
      <c r="H3041" s="8">
        <v>1</v>
      </c>
      <c r="I3041" s="8">
        <v>1</v>
      </c>
      <c r="J3041" s="8">
        <v>1</v>
      </c>
      <c r="K3041" s="9">
        <v>1</v>
      </c>
      <c r="L3041" s="10">
        <v>0</v>
      </c>
      <c r="M3041" s="6">
        <v>1</v>
      </c>
      <c r="N3041" s="37" t="e" cm="1">
        <f t="array" ref="N3041">IF(OR(ISNUMBER(FIND(Aux!$D$3:$D$9,_xlfn.TEXTJOIN(,,C3041:K3041)))),NA(),IF(AND(SUM(C3041:F3041,H3041:K3041)=0,G3041=1),0,INT((SUMPRODUCT(C3041:F3041,COLUMN($A$1:$D$1)-1)+SUMPRODUCT(H3041:K3041,COLUMN($E$1:$H$1)-1))*'Line Follower'!$C$3/SUM(C3041:F3041,H3041:K3041)-'Line Follower'!$C$5)))</f>
        <v>#N/A</v>
      </c>
      <c r="O3041" s="22" t="e">
        <v>#N/A</v>
      </c>
      <c r="P3041" s="4" t="e">
        <f t="shared" si="235"/>
        <v>#N/A</v>
      </c>
      <c r="Q3041" s="4" t="e">
        <f t="shared" si="236"/>
        <v>#N/A</v>
      </c>
      <c r="R3041" s="4" t="e">
        <f>IF(AND(B3041=1,N3041&gt;'Line Follower'!$C$7,SUM(C3041:K3041)&lt;4),1,0)</f>
        <v>#N/A</v>
      </c>
      <c r="S3041" s="4" t="e">
        <f>IF(AND(L3041=1,N3041&lt;'Line Follower'!$C$6,SUM(C3041:K3041)&lt;4),1,0)</f>
        <v>#N/A</v>
      </c>
      <c r="T3041" s="4" t="e">
        <f t="shared" si="237"/>
        <v>#N/A</v>
      </c>
      <c r="U3041" s="5" t="e">
        <f t="shared" si="238"/>
        <v>#N/A</v>
      </c>
      <c r="V3041" s="23" t="e">
        <f t="shared" si="239"/>
        <v>#N/A</v>
      </c>
    </row>
    <row r="3042" spans="2:22" x14ac:dyDescent="0.25">
      <c r="B3042" s="16">
        <v>1</v>
      </c>
      <c r="C3042" s="7">
        <v>1</v>
      </c>
      <c r="D3042" s="8">
        <v>1</v>
      </c>
      <c r="E3042" s="8">
        <v>1</v>
      </c>
      <c r="F3042" s="8">
        <v>1</v>
      </c>
      <c r="G3042" s="8">
        <v>0</v>
      </c>
      <c r="H3042" s="8">
        <v>1</v>
      </c>
      <c r="I3042" s="8">
        <v>1</v>
      </c>
      <c r="J3042" s="8">
        <v>1</v>
      </c>
      <c r="K3042" s="9">
        <v>1</v>
      </c>
      <c r="L3042" s="10">
        <v>0</v>
      </c>
      <c r="M3042" s="6">
        <v>1</v>
      </c>
      <c r="N3042" s="37" t="e" cm="1">
        <f t="array" ref="N3042">IF(OR(ISNUMBER(FIND(Aux!$D$3:$D$9,_xlfn.TEXTJOIN(,,C3042:K3042)))),NA(),IF(AND(SUM(C3042:F3042,H3042:K3042)=0,G3042=1),0,INT((SUMPRODUCT(C3042:F3042,COLUMN($A$1:$D$1)-1)+SUMPRODUCT(H3042:K3042,COLUMN($E$1:$H$1)-1))*'Line Follower'!$C$3/SUM(C3042:F3042,H3042:K3042)-'Line Follower'!$C$5)))</f>
        <v>#N/A</v>
      </c>
      <c r="O3042" s="22" t="e">
        <v>#N/A</v>
      </c>
      <c r="P3042" s="4" t="e">
        <f t="shared" si="235"/>
        <v>#N/A</v>
      </c>
      <c r="Q3042" s="4" t="e">
        <f t="shared" si="236"/>
        <v>#N/A</v>
      </c>
      <c r="R3042" s="4" t="e">
        <f>IF(AND(B3042=1,N3042&gt;'Line Follower'!$C$7,SUM(C3042:K3042)&lt;4),1,0)</f>
        <v>#N/A</v>
      </c>
      <c r="S3042" s="4" t="e">
        <f>IF(AND(L3042=1,N3042&lt;'Line Follower'!$C$6,SUM(C3042:K3042)&lt;4),1,0)</f>
        <v>#N/A</v>
      </c>
      <c r="T3042" s="4" t="e">
        <f t="shared" si="237"/>
        <v>#N/A</v>
      </c>
      <c r="U3042" s="5" t="e">
        <f t="shared" si="238"/>
        <v>#N/A</v>
      </c>
      <c r="V3042" s="23" t="e">
        <f t="shared" si="239"/>
        <v>#N/A</v>
      </c>
    </row>
    <row r="3043" spans="2:22" x14ac:dyDescent="0.25">
      <c r="B3043" s="16">
        <v>0</v>
      </c>
      <c r="C3043" s="7">
        <v>0</v>
      </c>
      <c r="D3043" s="8">
        <v>0</v>
      </c>
      <c r="E3043" s="8">
        <v>0</v>
      </c>
      <c r="F3043" s="8">
        <v>0</v>
      </c>
      <c r="G3043" s="8">
        <v>1</v>
      </c>
      <c r="H3043" s="8">
        <v>1</v>
      </c>
      <c r="I3043" s="8">
        <v>1</v>
      </c>
      <c r="J3043" s="8">
        <v>1</v>
      </c>
      <c r="K3043" s="9">
        <v>1</v>
      </c>
      <c r="L3043" s="10">
        <v>0</v>
      </c>
      <c r="M3043" s="6">
        <v>1</v>
      </c>
      <c r="N3043" s="37" cm="1">
        <f t="array" ref="N3043">IF(OR(ISNUMBER(FIND(Aux!$D$3:$D$9,_xlfn.TEXTJOIN(,,C3043:K3043)))),NA(),IF(AND(SUM(C3043:F3043,H3043:K3043)=0,G3043=1),0,INT((SUMPRODUCT(C3043:F3043,COLUMN($A$1:$D$1)-1)+SUMPRODUCT(H3043:K3043,COLUMN($E$1:$H$1)-1))*'Line Follower'!$C$3/SUM(C3043:F3043,H3043:K3043)-'Line Follower'!$C$5)))</f>
        <v>4</v>
      </c>
      <c r="O3043" s="22">
        <v>1</v>
      </c>
      <c r="P3043" s="4">
        <f t="shared" si="235"/>
        <v>0</v>
      </c>
      <c r="Q3043" s="4">
        <f t="shared" si="236"/>
        <v>1</v>
      </c>
      <c r="R3043" s="4">
        <f>IF(AND(B3043=1,N3043&gt;'Line Follower'!$C$7,SUM(C3043:K3043)&lt;4),1,0)</f>
        <v>0</v>
      </c>
      <c r="S3043" s="4">
        <f>IF(AND(L3043=1,N3043&lt;'Line Follower'!$C$6,SUM(C3043:K3043)&lt;4),1,0)</f>
        <v>0</v>
      </c>
      <c r="T3043" s="4">
        <f t="shared" si="237"/>
        <v>0</v>
      </c>
      <c r="U3043" s="5">
        <f t="shared" si="238"/>
        <v>0</v>
      </c>
      <c r="V3043" s="23">
        <f t="shared" si="239"/>
        <v>0</v>
      </c>
    </row>
    <row r="3044" spans="2:22" x14ac:dyDescent="0.25">
      <c r="B3044" s="16">
        <v>1</v>
      </c>
      <c r="C3044" s="7">
        <v>0</v>
      </c>
      <c r="D3044" s="8">
        <v>0</v>
      </c>
      <c r="E3044" s="8">
        <v>0</v>
      </c>
      <c r="F3044" s="8">
        <v>0</v>
      </c>
      <c r="G3044" s="8">
        <v>1</v>
      </c>
      <c r="H3044" s="8">
        <v>1</v>
      </c>
      <c r="I3044" s="8">
        <v>1</v>
      </c>
      <c r="J3044" s="8">
        <v>1</v>
      </c>
      <c r="K3044" s="9">
        <v>1</v>
      </c>
      <c r="L3044" s="10">
        <v>0</v>
      </c>
      <c r="M3044" s="6">
        <v>1</v>
      </c>
      <c r="N3044" s="37" cm="1">
        <f t="array" ref="N3044">IF(OR(ISNUMBER(FIND(Aux!$D$3:$D$9,_xlfn.TEXTJOIN(,,C3044:K3044)))),NA(),IF(AND(SUM(C3044:F3044,H3044:K3044)=0,G3044=1),0,INT((SUMPRODUCT(C3044:F3044,COLUMN($A$1:$D$1)-1)+SUMPRODUCT(H3044:K3044,COLUMN($E$1:$H$1)-1))*'Line Follower'!$C$3/SUM(C3044:F3044,H3044:K3044)-'Line Follower'!$C$5)))</f>
        <v>4</v>
      </c>
      <c r="O3044" s="22">
        <v>1</v>
      </c>
      <c r="P3044" s="4">
        <f t="shared" si="235"/>
        <v>0</v>
      </c>
      <c r="Q3044" s="4">
        <f t="shared" si="236"/>
        <v>1</v>
      </c>
      <c r="R3044" s="4">
        <f>IF(AND(B3044=1,N3044&gt;'Line Follower'!$C$7,SUM(C3044:K3044)&lt;4),1,0)</f>
        <v>0</v>
      </c>
      <c r="S3044" s="4">
        <f>IF(AND(L3044=1,N3044&lt;'Line Follower'!$C$6,SUM(C3044:K3044)&lt;4),1,0)</f>
        <v>0</v>
      </c>
      <c r="T3044" s="4">
        <f t="shared" si="237"/>
        <v>0</v>
      </c>
      <c r="U3044" s="5">
        <f t="shared" si="238"/>
        <v>0</v>
      </c>
      <c r="V3044" s="23">
        <f t="shared" si="239"/>
        <v>0</v>
      </c>
    </row>
    <row r="3045" spans="2:22" x14ac:dyDescent="0.25">
      <c r="B3045" s="16">
        <v>0</v>
      </c>
      <c r="C3045" s="7">
        <v>1</v>
      </c>
      <c r="D3045" s="8">
        <v>0</v>
      </c>
      <c r="E3045" s="8">
        <v>0</v>
      </c>
      <c r="F3045" s="8">
        <v>0</v>
      </c>
      <c r="G3045" s="8">
        <v>1</v>
      </c>
      <c r="H3045" s="8">
        <v>1</v>
      </c>
      <c r="I3045" s="8">
        <v>1</v>
      </c>
      <c r="J3045" s="8">
        <v>1</v>
      </c>
      <c r="K3045" s="9">
        <v>1</v>
      </c>
      <c r="L3045" s="10">
        <v>0</v>
      </c>
      <c r="M3045" s="6">
        <v>1</v>
      </c>
      <c r="N3045" s="37" t="e" cm="1">
        <f t="array" ref="N3045">IF(OR(ISNUMBER(FIND(Aux!$D$3:$D$9,_xlfn.TEXTJOIN(,,C3045:K3045)))),NA(),IF(AND(SUM(C3045:F3045,H3045:K3045)=0,G3045=1),0,INT((SUMPRODUCT(C3045:F3045,COLUMN($A$1:$D$1)-1)+SUMPRODUCT(H3045:K3045,COLUMN($E$1:$H$1)-1))*'Line Follower'!$C$3/SUM(C3045:F3045,H3045:K3045)-'Line Follower'!$C$5)))</f>
        <v>#N/A</v>
      </c>
      <c r="O3045" s="22" t="e">
        <v>#N/A</v>
      </c>
      <c r="P3045" s="4" t="e">
        <f t="shared" si="235"/>
        <v>#N/A</v>
      </c>
      <c r="Q3045" s="4" t="e">
        <f t="shared" si="236"/>
        <v>#N/A</v>
      </c>
      <c r="R3045" s="4" t="e">
        <f>IF(AND(B3045=1,N3045&gt;'Line Follower'!$C$7,SUM(C3045:K3045)&lt;4),1,0)</f>
        <v>#N/A</v>
      </c>
      <c r="S3045" s="4" t="e">
        <f>IF(AND(L3045=1,N3045&lt;'Line Follower'!$C$6,SUM(C3045:K3045)&lt;4),1,0)</f>
        <v>#N/A</v>
      </c>
      <c r="T3045" s="4" t="e">
        <f t="shared" si="237"/>
        <v>#N/A</v>
      </c>
      <c r="U3045" s="5" t="e">
        <f t="shared" si="238"/>
        <v>#N/A</v>
      </c>
      <c r="V3045" s="23" t="e">
        <f t="shared" si="239"/>
        <v>#N/A</v>
      </c>
    </row>
    <row r="3046" spans="2:22" x14ac:dyDescent="0.25">
      <c r="B3046" s="16">
        <v>1</v>
      </c>
      <c r="C3046" s="7">
        <v>1</v>
      </c>
      <c r="D3046" s="8">
        <v>0</v>
      </c>
      <c r="E3046" s="8">
        <v>0</v>
      </c>
      <c r="F3046" s="8">
        <v>0</v>
      </c>
      <c r="G3046" s="8">
        <v>1</v>
      </c>
      <c r="H3046" s="8">
        <v>1</v>
      </c>
      <c r="I3046" s="8">
        <v>1</v>
      </c>
      <c r="J3046" s="8">
        <v>1</v>
      </c>
      <c r="K3046" s="9">
        <v>1</v>
      </c>
      <c r="L3046" s="10">
        <v>0</v>
      </c>
      <c r="M3046" s="6">
        <v>1</v>
      </c>
      <c r="N3046" s="37" t="e" cm="1">
        <f t="array" ref="N3046">IF(OR(ISNUMBER(FIND(Aux!$D$3:$D$9,_xlfn.TEXTJOIN(,,C3046:K3046)))),NA(),IF(AND(SUM(C3046:F3046,H3046:K3046)=0,G3046=1),0,INT((SUMPRODUCT(C3046:F3046,COLUMN($A$1:$D$1)-1)+SUMPRODUCT(H3046:K3046,COLUMN($E$1:$H$1)-1))*'Line Follower'!$C$3/SUM(C3046:F3046,H3046:K3046)-'Line Follower'!$C$5)))</f>
        <v>#N/A</v>
      </c>
      <c r="O3046" s="22" t="e">
        <v>#N/A</v>
      </c>
      <c r="P3046" s="4" t="e">
        <f t="shared" si="235"/>
        <v>#N/A</v>
      </c>
      <c r="Q3046" s="4" t="e">
        <f t="shared" si="236"/>
        <v>#N/A</v>
      </c>
      <c r="R3046" s="4" t="e">
        <f>IF(AND(B3046=1,N3046&gt;'Line Follower'!$C$7,SUM(C3046:K3046)&lt;4),1,0)</f>
        <v>#N/A</v>
      </c>
      <c r="S3046" s="4" t="e">
        <f>IF(AND(L3046=1,N3046&lt;'Line Follower'!$C$6,SUM(C3046:K3046)&lt;4),1,0)</f>
        <v>#N/A</v>
      </c>
      <c r="T3046" s="4" t="e">
        <f t="shared" si="237"/>
        <v>#N/A</v>
      </c>
      <c r="U3046" s="5" t="e">
        <f t="shared" si="238"/>
        <v>#N/A</v>
      </c>
      <c r="V3046" s="23" t="e">
        <f t="shared" si="239"/>
        <v>#N/A</v>
      </c>
    </row>
    <row r="3047" spans="2:22" x14ac:dyDescent="0.25">
      <c r="B3047" s="16">
        <v>0</v>
      </c>
      <c r="C3047" s="7">
        <v>0</v>
      </c>
      <c r="D3047" s="8">
        <v>1</v>
      </c>
      <c r="E3047" s="8">
        <v>0</v>
      </c>
      <c r="F3047" s="8">
        <v>0</v>
      </c>
      <c r="G3047" s="8">
        <v>1</v>
      </c>
      <c r="H3047" s="8">
        <v>1</v>
      </c>
      <c r="I3047" s="8">
        <v>1</v>
      </c>
      <c r="J3047" s="8">
        <v>1</v>
      </c>
      <c r="K3047" s="9">
        <v>1</v>
      </c>
      <c r="L3047" s="10">
        <v>0</v>
      </c>
      <c r="M3047" s="6">
        <v>1</v>
      </c>
      <c r="N3047" s="37" t="e" cm="1">
        <f t="array" ref="N3047">IF(OR(ISNUMBER(FIND(Aux!$D$3:$D$9,_xlfn.TEXTJOIN(,,C3047:K3047)))),NA(),IF(AND(SUM(C3047:F3047,H3047:K3047)=0,G3047=1),0,INT((SUMPRODUCT(C3047:F3047,COLUMN($A$1:$D$1)-1)+SUMPRODUCT(H3047:K3047,COLUMN($E$1:$H$1)-1))*'Line Follower'!$C$3/SUM(C3047:F3047,H3047:K3047)-'Line Follower'!$C$5)))</f>
        <v>#N/A</v>
      </c>
      <c r="O3047" s="22" t="e">
        <v>#N/A</v>
      </c>
      <c r="P3047" s="4" t="e">
        <f t="shared" si="235"/>
        <v>#N/A</v>
      </c>
      <c r="Q3047" s="4" t="e">
        <f t="shared" si="236"/>
        <v>#N/A</v>
      </c>
      <c r="R3047" s="4" t="e">
        <f>IF(AND(B3047=1,N3047&gt;'Line Follower'!$C$7,SUM(C3047:K3047)&lt;4),1,0)</f>
        <v>#N/A</v>
      </c>
      <c r="S3047" s="4" t="e">
        <f>IF(AND(L3047=1,N3047&lt;'Line Follower'!$C$6,SUM(C3047:K3047)&lt;4),1,0)</f>
        <v>#N/A</v>
      </c>
      <c r="T3047" s="4" t="e">
        <f t="shared" si="237"/>
        <v>#N/A</v>
      </c>
      <c r="U3047" s="5" t="e">
        <f t="shared" si="238"/>
        <v>#N/A</v>
      </c>
      <c r="V3047" s="23" t="e">
        <f t="shared" si="239"/>
        <v>#N/A</v>
      </c>
    </row>
    <row r="3048" spans="2:22" x14ac:dyDescent="0.25">
      <c r="B3048" s="16">
        <v>1</v>
      </c>
      <c r="C3048" s="7">
        <v>0</v>
      </c>
      <c r="D3048" s="8">
        <v>1</v>
      </c>
      <c r="E3048" s="8">
        <v>0</v>
      </c>
      <c r="F3048" s="8">
        <v>0</v>
      </c>
      <c r="G3048" s="8">
        <v>1</v>
      </c>
      <c r="H3048" s="8">
        <v>1</v>
      </c>
      <c r="I3048" s="8">
        <v>1</v>
      </c>
      <c r="J3048" s="8">
        <v>1</v>
      </c>
      <c r="K3048" s="9">
        <v>1</v>
      </c>
      <c r="L3048" s="10">
        <v>0</v>
      </c>
      <c r="M3048" s="6">
        <v>1</v>
      </c>
      <c r="N3048" s="37" t="e" cm="1">
        <f t="array" ref="N3048">IF(OR(ISNUMBER(FIND(Aux!$D$3:$D$9,_xlfn.TEXTJOIN(,,C3048:K3048)))),NA(),IF(AND(SUM(C3048:F3048,H3048:K3048)=0,G3048=1),0,INT((SUMPRODUCT(C3048:F3048,COLUMN($A$1:$D$1)-1)+SUMPRODUCT(H3048:K3048,COLUMN($E$1:$H$1)-1))*'Line Follower'!$C$3/SUM(C3048:F3048,H3048:K3048)-'Line Follower'!$C$5)))</f>
        <v>#N/A</v>
      </c>
      <c r="O3048" s="22" t="e">
        <v>#N/A</v>
      </c>
      <c r="P3048" s="4" t="e">
        <f t="shared" si="235"/>
        <v>#N/A</v>
      </c>
      <c r="Q3048" s="4" t="e">
        <f t="shared" si="236"/>
        <v>#N/A</v>
      </c>
      <c r="R3048" s="4" t="e">
        <f>IF(AND(B3048=1,N3048&gt;'Line Follower'!$C$7,SUM(C3048:K3048)&lt;4),1,0)</f>
        <v>#N/A</v>
      </c>
      <c r="S3048" s="4" t="e">
        <f>IF(AND(L3048=1,N3048&lt;'Line Follower'!$C$6,SUM(C3048:K3048)&lt;4),1,0)</f>
        <v>#N/A</v>
      </c>
      <c r="T3048" s="4" t="e">
        <f t="shared" si="237"/>
        <v>#N/A</v>
      </c>
      <c r="U3048" s="5" t="e">
        <f t="shared" si="238"/>
        <v>#N/A</v>
      </c>
      <c r="V3048" s="23" t="e">
        <f t="shared" si="239"/>
        <v>#N/A</v>
      </c>
    </row>
    <row r="3049" spans="2:22" x14ac:dyDescent="0.25">
      <c r="B3049" s="16">
        <v>0</v>
      </c>
      <c r="C3049" s="7">
        <v>1</v>
      </c>
      <c r="D3049" s="8">
        <v>1</v>
      </c>
      <c r="E3049" s="8">
        <v>0</v>
      </c>
      <c r="F3049" s="8">
        <v>0</v>
      </c>
      <c r="G3049" s="8">
        <v>1</v>
      </c>
      <c r="H3049" s="8">
        <v>1</v>
      </c>
      <c r="I3049" s="8">
        <v>1</v>
      </c>
      <c r="J3049" s="8">
        <v>1</v>
      </c>
      <c r="K3049" s="9">
        <v>1</v>
      </c>
      <c r="L3049" s="10">
        <v>0</v>
      </c>
      <c r="M3049" s="6">
        <v>1</v>
      </c>
      <c r="N3049" s="37" t="e" cm="1">
        <f t="array" ref="N3049">IF(OR(ISNUMBER(FIND(Aux!$D$3:$D$9,_xlfn.TEXTJOIN(,,C3049:K3049)))),NA(),IF(AND(SUM(C3049:F3049,H3049:K3049)=0,G3049=1),0,INT((SUMPRODUCT(C3049:F3049,COLUMN($A$1:$D$1)-1)+SUMPRODUCT(H3049:K3049,COLUMN($E$1:$H$1)-1))*'Line Follower'!$C$3/SUM(C3049:F3049,H3049:K3049)-'Line Follower'!$C$5)))</f>
        <v>#N/A</v>
      </c>
      <c r="O3049" s="22" t="e">
        <v>#N/A</v>
      </c>
      <c r="P3049" s="4" t="e">
        <f t="shared" si="235"/>
        <v>#N/A</v>
      </c>
      <c r="Q3049" s="4" t="e">
        <f t="shared" si="236"/>
        <v>#N/A</v>
      </c>
      <c r="R3049" s="4" t="e">
        <f>IF(AND(B3049=1,N3049&gt;'Line Follower'!$C$7,SUM(C3049:K3049)&lt;4),1,0)</f>
        <v>#N/A</v>
      </c>
      <c r="S3049" s="4" t="e">
        <f>IF(AND(L3049=1,N3049&lt;'Line Follower'!$C$6,SUM(C3049:K3049)&lt;4),1,0)</f>
        <v>#N/A</v>
      </c>
      <c r="T3049" s="4" t="e">
        <f t="shared" si="237"/>
        <v>#N/A</v>
      </c>
      <c r="U3049" s="5" t="e">
        <f t="shared" si="238"/>
        <v>#N/A</v>
      </c>
      <c r="V3049" s="23" t="e">
        <f t="shared" si="239"/>
        <v>#N/A</v>
      </c>
    </row>
    <row r="3050" spans="2:22" x14ac:dyDescent="0.25">
      <c r="B3050" s="16">
        <v>1</v>
      </c>
      <c r="C3050" s="7">
        <v>1</v>
      </c>
      <c r="D3050" s="8">
        <v>1</v>
      </c>
      <c r="E3050" s="8">
        <v>0</v>
      </c>
      <c r="F3050" s="8">
        <v>0</v>
      </c>
      <c r="G3050" s="8">
        <v>1</v>
      </c>
      <c r="H3050" s="8">
        <v>1</v>
      </c>
      <c r="I3050" s="8">
        <v>1</v>
      </c>
      <c r="J3050" s="8">
        <v>1</v>
      </c>
      <c r="K3050" s="9">
        <v>1</v>
      </c>
      <c r="L3050" s="10">
        <v>0</v>
      </c>
      <c r="M3050" s="6">
        <v>1</v>
      </c>
      <c r="N3050" s="37" t="e" cm="1">
        <f t="array" ref="N3050">IF(OR(ISNUMBER(FIND(Aux!$D$3:$D$9,_xlfn.TEXTJOIN(,,C3050:K3050)))),NA(),IF(AND(SUM(C3050:F3050,H3050:K3050)=0,G3050=1),0,INT((SUMPRODUCT(C3050:F3050,COLUMN($A$1:$D$1)-1)+SUMPRODUCT(H3050:K3050,COLUMN($E$1:$H$1)-1))*'Line Follower'!$C$3/SUM(C3050:F3050,H3050:K3050)-'Line Follower'!$C$5)))</f>
        <v>#N/A</v>
      </c>
      <c r="O3050" s="22" t="e">
        <v>#N/A</v>
      </c>
      <c r="P3050" s="4" t="e">
        <f t="shared" si="235"/>
        <v>#N/A</v>
      </c>
      <c r="Q3050" s="4" t="e">
        <f t="shared" si="236"/>
        <v>#N/A</v>
      </c>
      <c r="R3050" s="4" t="e">
        <f>IF(AND(B3050=1,N3050&gt;'Line Follower'!$C$7,SUM(C3050:K3050)&lt;4),1,0)</f>
        <v>#N/A</v>
      </c>
      <c r="S3050" s="4" t="e">
        <f>IF(AND(L3050=1,N3050&lt;'Line Follower'!$C$6,SUM(C3050:K3050)&lt;4),1,0)</f>
        <v>#N/A</v>
      </c>
      <c r="T3050" s="4" t="e">
        <f t="shared" si="237"/>
        <v>#N/A</v>
      </c>
      <c r="U3050" s="5" t="e">
        <f t="shared" si="238"/>
        <v>#N/A</v>
      </c>
      <c r="V3050" s="23" t="e">
        <f t="shared" si="239"/>
        <v>#N/A</v>
      </c>
    </row>
    <row r="3051" spans="2:22" x14ac:dyDescent="0.25">
      <c r="B3051" s="16">
        <v>0</v>
      </c>
      <c r="C3051" s="7">
        <v>0</v>
      </c>
      <c r="D3051" s="8">
        <v>0</v>
      </c>
      <c r="E3051" s="8">
        <v>1</v>
      </c>
      <c r="F3051" s="8">
        <v>0</v>
      </c>
      <c r="G3051" s="8">
        <v>1</v>
      </c>
      <c r="H3051" s="8">
        <v>1</v>
      </c>
      <c r="I3051" s="8">
        <v>1</v>
      </c>
      <c r="J3051" s="8">
        <v>1</v>
      </c>
      <c r="K3051" s="9">
        <v>1</v>
      </c>
      <c r="L3051" s="10">
        <v>0</v>
      </c>
      <c r="M3051" s="6">
        <v>1</v>
      </c>
      <c r="N3051" s="37" t="e" cm="1">
        <f t="array" ref="N3051">IF(OR(ISNUMBER(FIND(Aux!$D$3:$D$9,_xlfn.TEXTJOIN(,,C3051:K3051)))),NA(),IF(AND(SUM(C3051:F3051,H3051:K3051)=0,G3051=1),0,INT((SUMPRODUCT(C3051:F3051,COLUMN($A$1:$D$1)-1)+SUMPRODUCT(H3051:K3051,COLUMN($E$1:$H$1)-1))*'Line Follower'!$C$3/SUM(C3051:F3051,H3051:K3051)-'Line Follower'!$C$5)))</f>
        <v>#N/A</v>
      </c>
      <c r="O3051" s="22" t="e">
        <v>#N/A</v>
      </c>
      <c r="P3051" s="4" t="e">
        <f t="shared" si="235"/>
        <v>#N/A</v>
      </c>
      <c r="Q3051" s="4" t="e">
        <f t="shared" si="236"/>
        <v>#N/A</v>
      </c>
      <c r="R3051" s="4" t="e">
        <f>IF(AND(B3051=1,N3051&gt;'Line Follower'!$C$7,SUM(C3051:K3051)&lt;4),1,0)</f>
        <v>#N/A</v>
      </c>
      <c r="S3051" s="4" t="e">
        <f>IF(AND(L3051=1,N3051&lt;'Line Follower'!$C$6,SUM(C3051:K3051)&lt;4),1,0)</f>
        <v>#N/A</v>
      </c>
      <c r="T3051" s="4" t="e">
        <f t="shared" si="237"/>
        <v>#N/A</v>
      </c>
      <c r="U3051" s="5" t="e">
        <f t="shared" si="238"/>
        <v>#N/A</v>
      </c>
      <c r="V3051" s="23" t="e">
        <f t="shared" si="239"/>
        <v>#N/A</v>
      </c>
    </row>
    <row r="3052" spans="2:22" x14ac:dyDescent="0.25">
      <c r="B3052" s="16">
        <v>1</v>
      </c>
      <c r="C3052" s="7">
        <v>0</v>
      </c>
      <c r="D3052" s="8">
        <v>0</v>
      </c>
      <c r="E3052" s="8">
        <v>1</v>
      </c>
      <c r="F3052" s="8">
        <v>0</v>
      </c>
      <c r="G3052" s="8">
        <v>1</v>
      </c>
      <c r="H3052" s="8">
        <v>1</v>
      </c>
      <c r="I3052" s="8">
        <v>1</v>
      </c>
      <c r="J3052" s="8">
        <v>1</v>
      </c>
      <c r="K3052" s="9">
        <v>1</v>
      </c>
      <c r="L3052" s="10">
        <v>0</v>
      </c>
      <c r="M3052" s="6">
        <v>1</v>
      </c>
      <c r="N3052" s="37" t="e" cm="1">
        <f t="array" ref="N3052">IF(OR(ISNUMBER(FIND(Aux!$D$3:$D$9,_xlfn.TEXTJOIN(,,C3052:K3052)))),NA(),IF(AND(SUM(C3052:F3052,H3052:K3052)=0,G3052=1),0,INT((SUMPRODUCT(C3052:F3052,COLUMN($A$1:$D$1)-1)+SUMPRODUCT(H3052:K3052,COLUMN($E$1:$H$1)-1))*'Line Follower'!$C$3/SUM(C3052:F3052,H3052:K3052)-'Line Follower'!$C$5)))</f>
        <v>#N/A</v>
      </c>
      <c r="O3052" s="22" t="e">
        <v>#N/A</v>
      </c>
      <c r="P3052" s="4" t="e">
        <f t="shared" si="235"/>
        <v>#N/A</v>
      </c>
      <c r="Q3052" s="4" t="e">
        <f t="shared" si="236"/>
        <v>#N/A</v>
      </c>
      <c r="R3052" s="4" t="e">
        <f>IF(AND(B3052=1,N3052&gt;'Line Follower'!$C$7,SUM(C3052:K3052)&lt;4),1,0)</f>
        <v>#N/A</v>
      </c>
      <c r="S3052" s="4" t="e">
        <f>IF(AND(L3052=1,N3052&lt;'Line Follower'!$C$6,SUM(C3052:K3052)&lt;4),1,0)</f>
        <v>#N/A</v>
      </c>
      <c r="T3052" s="4" t="e">
        <f t="shared" si="237"/>
        <v>#N/A</v>
      </c>
      <c r="U3052" s="5" t="e">
        <f t="shared" si="238"/>
        <v>#N/A</v>
      </c>
      <c r="V3052" s="23" t="e">
        <f t="shared" si="239"/>
        <v>#N/A</v>
      </c>
    </row>
    <row r="3053" spans="2:22" x14ac:dyDescent="0.25">
      <c r="B3053" s="16">
        <v>0</v>
      </c>
      <c r="C3053" s="7">
        <v>1</v>
      </c>
      <c r="D3053" s="8">
        <v>0</v>
      </c>
      <c r="E3053" s="8">
        <v>1</v>
      </c>
      <c r="F3053" s="8">
        <v>0</v>
      </c>
      <c r="G3053" s="8">
        <v>1</v>
      </c>
      <c r="H3053" s="8">
        <v>1</v>
      </c>
      <c r="I3053" s="8">
        <v>1</v>
      </c>
      <c r="J3053" s="8">
        <v>1</v>
      </c>
      <c r="K3053" s="9">
        <v>1</v>
      </c>
      <c r="L3053" s="10">
        <v>0</v>
      </c>
      <c r="M3053" s="6">
        <v>1</v>
      </c>
      <c r="N3053" s="37" t="e" cm="1">
        <f t="array" ref="N3053">IF(OR(ISNUMBER(FIND(Aux!$D$3:$D$9,_xlfn.TEXTJOIN(,,C3053:K3053)))),NA(),IF(AND(SUM(C3053:F3053,H3053:K3053)=0,G3053=1),0,INT((SUMPRODUCT(C3053:F3053,COLUMN($A$1:$D$1)-1)+SUMPRODUCT(H3053:K3053,COLUMN($E$1:$H$1)-1))*'Line Follower'!$C$3/SUM(C3053:F3053,H3053:K3053)-'Line Follower'!$C$5)))</f>
        <v>#N/A</v>
      </c>
      <c r="O3053" s="22" t="e">
        <v>#N/A</v>
      </c>
      <c r="P3053" s="4" t="e">
        <f t="shared" si="235"/>
        <v>#N/A</v>
      </c>
      <c r="Q3053" s="4" t="e">
        <f t="shared" si="236"/>
        <v>#N/A</v>
      </c>
      <c r="R3053" s="4" t="e">
        <f>IF(AND(B3053=1,N3053&gt;'Line Follower'!$C$7,SUM(C3053:K3053)&lt;4),1,0)</f>
        <v>#N/A</v>
      </c>
      <c r="S3053" s="4" t="e">
        <f>IF(AND(L3053=1,N3053&lt;'Line Follower'!$C$6,SUM(C3053:K3053)&lt;4),1,0)</f>
        <v>#N/A</v>
      </c>
      <c r="T3053" s="4" t="e">
        <f t="shared" si="237"/>
        <v>#N/A</v>
      </c>
      <c r="U3053" s="5" t="e">
        <f t="shared" si="238"/>
        <v>#N/A</v>
      </c>
      <c r="V3053" s="23" t="e">
        <f t="shared" si="239"/>
        <v>#N/A</v>
      </c>
    </row>
    <row r="3054" spans="2:22" x14ac:dyDescent="0.25">
      <c r="B3054" s="16">
        <v>1</v>
      </c>
      <c r="C3054" s="7">
        <v>1</v>
      </c>
      <c r="D3054" s="8">
        <v>0</v>
      </c>
      <c r="E3054" s="8">
        <v>1</v>
      </c>
      <c r="F3054" s="8">
        <v>0</v>
      </c>
      <c r="G3054" s="8">
        <v>1</v>
      </c>
      <c r="H3054" s="8">
        <v>1</v>
      </c>
      <c r="I3054" s="8">
        <v>1</v>
      </c>
      <c r="J3054" s="8">
        <v>1</v>
      </c>
      <c r="K3054" s="9">
        <v>1</v>
      </c>
      <c r="L3054" s="10">
        <v>0</v>
      </c>
      <c r="M3054" s="6">
        <v>1</v>
      </c>
      <c r="N3054" s="37" t="e" cm="1">
        <f t="array" ref="N3054">IF(OR(ISNUMBER(FIND(Aux!$D$3:$D$9,_xlfn.TEXTJOIN(,,C3054:K3054)))),NA(),IF(AND(SUM(C3054:F3054,H3054:K3054)=0,G3054=1),0,INT((SUMPRODUCT(C3054:F3054,COLUMN($A$1:$D$1)-1)+SUMPRODUCT(H3054:K3054,COLUMN($E$1:$H$1)-1))*'Line Follower'!$C$3/SUM(C3054:F3054,H3054:K3054)-'Line Follower'!$C$5)))</f>
        <v>#N/A</v>
      </c>
      <c r="O3054" s="22" t="e">
        <v>#N/A</v>
      </c>
      <c r="P3054" s="4" t="e">
        <f t="shared" si="235"/>
        <v>#N/A</v>
      </c>
      <c r="Q3054" s="4" t="e">
        <f t="shared" si="236"/>
        <v>#N/A</v>
      </c>
      <c r="R3054" s="4" t="e">
        <f>IF(AND(B3054=1,N3054&gt;'Line Follower'!$C$7,SUM(C3054:K3054)&lt;4),1,0)</f>
        <v>#N/A</v>
      </c>
      <c r="S3054" s="4" t="e">
        <f>IF(AND(L3054=1,N3054&lt;'Line Follower'!$C$6,SUM(C3054:K3054)&lt;4),1,0)</f>
        <v>#N/A</v>
      </c>
      <c r="T3054" s="4" t="e">
        <f t="shared" si="237"/>
        <v>#N/A</v>
      </c>
      <c r="U3054" s="5" t="e">
        <f t="shared" si="238"/>
        <v>#N/A</v>
      </c>
      <c r="V3054" s="23" t="e">
        <f t="shared" si="239"/>
        <v>#N/A</v>
      </c>
    </row>
    <row r="3055" spans="2:22" x14ac:dyDescent="0.25">
      <c r="B3055" s="16">
        <v>0</v>
      </c>
      <c r="C3055" s="7">
        <v>0</v>
      </c>
      <c r="D3055" s="8">
        <v>1</v>
      </c>
      <c r="E3055" s="8">
        <v>1</v>
      </c>
      <c r="F3055" s="8">
        <v>0</v>
      </c>
      <c r="G3055" s="8">
        <v>1</v>
      </c>
      <c r="H3055" s="8">
        <v>1</v>
      </c>
      <c r="I3055" s="8">
        <v>1</v>
      </c>
      <c r="J3055" s="8">
        <v>1</v>
      </c>
      <c r="K3055" s="9">
        <v>1</v>
      </c>
      <c r="L3055" s="10">
        <v>0</v>
      </c>
      <c r="M3055" s="6">
        <v>1</v>
      </c>
      <c r="N3055" s="37" t="e" cm="1">
        <f t="array" ref="N3055">IF(OR(ISNUMBER(FIND(Aux!$D$3:$D$9,_xlfn.TEXTJOIN(,,C3055:K3055)))),NA(),IF(AND(SUM(C3055:F3055,H3055:K3055)=0,G3055=1),0,INT((SUMPRODUCT(C3055:F3055,COLUMN($A$1:$D$1)-1)+SUMPRODUCT(H3055:K3055,COLUMN($E$1:$H$1)-1))*'Line Follower'!$C$3/SUM(C3055:F3055,H3055:K3055)-'Line Follower'!$C$5)))</f>
        <v>#N/A</v>
      </c>
      <c r="O3055" s="22" t="e">
        <v>#N/A</v>
      </c>
      <c r="P3055" s="4" t="e">
        <f t="shared" si="235"/>
        <v>#N/A</v>
      </c>
      <c r="Q3055" s="4" t="e">
        <f t="shared" si="236"/>
        <v>#N/A</v>
      </c>
      <c r="R3055" s="4" t="e">
        <f>IF(AND(B3055=1,N3055&gt;'Line Follower'!$C$7,SUM(C3055:K3055)&lt;4),1,0)</f>
        <v>#N/A</v>
      </c>
      <c r="S3055" s="4" t="e">
        <f>IF(AND(L3055=1,N3055&lt;'Line Follower'!$C$6,SUM(C3055:K3055)&lt;4),1,0)</f>
        <v>#N/A</v>
      </c>
      <c r="T3055" s="4" t="e">
        <f t="shared" si="237"/>
        <v>#N/A</v>
      </c>
      <c r="U3055" s="5" t="e">
        <f t="shared" si="238"/>
        <v>#N/A</v>
      </c>
      <c r="V3055" s="23" t="e">
        <f t="shared" si="239"/>
        <v>#N/A</v>
      </c>
    </row>
    <row r="3056" spans="2:22" x14ac:dyDescent="0.25">
      <c r="B3056" s="16">
        <v>1</v>
      </c>
      <c r="C3056" s="7">
        <v>0</v>
      </c>
      <c r="D3056" s="8">
        <v>1</v>
      </c>
      <c r="E3056" s="8">
        <v>1</v>
      </c>
      <c r="F3056" s="8">
        <v>0</v>
      </c>
      <c r="G3056" s="8">
        <v>1</v>
      </c>
      <c r="H3056" s="8">
        <v>1</v>
      </c>
      <c r="I3056" s="8">
        <v>1</v>
      </c>
      <c r="J3056" s="8">
        <v>1</v>
      </c>
      <c r="K3056" s="9">
        <v>1</v>
      </c>
      <c r="L3056" s="10">
        <v>0</v>
      </c>
      <c r="M3056" s="6">
        <v>1</v>
      </c>
      <c r="N3056" s="37" t="e" cm="1">
        <f t="array" ref="N3056">IF(OR(ISNUMBER(FIND(Aux!$D$3:$D$9,_xlfn.TEXTJOIN(,,C3056:K3056)))),NA(),IF(AND(SUM(C3056:F3056,H3056:K3056)=0,G3056=1),0,INT((SUMPRODUCT(C3056:F3056,COLUMN($A$1:$D$1)-1)+SUMPRODUCT(H3056:K3056,COLUMN($E$1:$H$1)-1))*'Line Follower'!$C$3/SUM(C3056:F3056,H3056:K3056)-'Line Follower'!$C$5)))</f>
        <v>#N/A</v>
      </c>
      <c r="O3056" s="22" t="e">
        <v>#N/A</v>
      </c>
      <c r="P3056" s="4" t="e">
        <f t="shared" si="235"/>
        <v>#N/A</v>
      </c>
      <c r="Q3056" s="4" t="e">
        <f t="shared" si="236"/>
        <v>#N/A</v>
      </c>
      <c r="R3056" s="4" t="e">
        <f>IF(AND(B3056=1,N3056&gt;'Line Follower'!$C$7,SUM(C3056:K3056)&lt;4),1,0)</f>
        <v>#N/A</v>
      </c>
      <c r="S3056" s="4" t="e">
        <f>IF(AND(L3056=1,N3056&lt;'Line Follower'!$C$6,SUM(C3056:K3056)&lt;4),1,0)</f>
        <v>#N/A</v>
      </c>
      <c r="T3056" s="4" t="e">
        <f t="shared" si="237"/>
        <v>#N/A</v>
      </c>
      <c r="U3056" s="5" t="e">
        <f t="shared" si="238"/>
        <v>#N/A</v>
      </c>
      <c r="V3056" s="23" t="e">
        <f t="shared" si="239"/>
        <v>#N/A</v>
      </c>
    </row>
    <row r="3057" spans="2:22" x14ac:dyDescent="0.25">
      <c r="B3057" s="16">
        <v>0</v>
      </c>
      <c r="C3057" s="7">
        <v>1</v>
      </c>
      <c r="D3057" s="8">
        <v>1</v>
      </c>
      <c r="E3057" s="8">
        <v>1</v>
      </c>
      <c r="F3057" s="8">
        <v>0</v>
      </c>
      <c r="G3057" s="8">
        <v>1</v>
      </c>
      <c r="H3057" s="8">
        <v>1</v>
      </c>
      <c r="I3057" s="8">
        <v>1</v>
      </c>
      <c r="J3057" s="8">
        <v>1</v>
      </c>
      <c r="K3057" s="9">
        <v>1</v>
      </c>
      <c r="L3057" s="10">
        <v>0</v>
      </c>
      <c r="M3057" s="6">
        <v>1</v>
      </c>
      <c r="N3057" s="37" t="e" cm="1">
        <f t="array" ref="N3057">IF(OR(ISNUMBER(FIND(Aux!$D$3:$D$9,_xlfn.TEXTJOIN(,,C3057:K3057)))),NA(),IF(AND(SUM(C3057:F3057,H3057:K3057)=0,G3057=1),0,INT((SUMPRODUCT(C3057:F3057,COLUMN($A$1:$D$1)-1)+SUMPRODUCT(H3057:K3057,COLUMN($E$1:$H$1)-1))*'Line Follower'!$C$3/SUM(C3057:F3057,H3057:K3057)-'Line Follower'!$C$5)))</f>
        <v>#N/A</v>
      </c>
      <c r="O3057" s="22" t="e">
        <v>#N/A</v>
      </c>
      <c r="P3057" s="4" t="e">
        <f t="shared" si="235"/>
        <v>#N/A</v>
      </c>
      <c r="Q3057" s="4" t="e">
        <f t="shared" si="236"/>
        <v>#N/A</v>
      </c>
      <c r="R3057" s="4" t="e">
        <f>IF(AND(B3057=1,N3057&gt;'Line Follower'!$C$7,SUM(C3057:K3057)&lt;4),1,0)</f>
        <v>#N/A</v>
      </c>
      <c r="S3057" s="4" t="e">
        <f>IF(AND(L3057=1,N3057&lt;'Line Follower'!$C$6,SUM(C3057:K3057)&lt;4),1,0)</f>
        <v>#N/A</v>
      </c>
      <c r="T3057" s="4" t="e">
        <f t="shared" si="237"/>
        <v>#N/A</v>
      </c>
      <c r="U3057" s="5" t="e">
        <f t="shared" si="238"/>
        <v>#N/A</v>
      </c>
      <c r="V3057" s="23" t="e">
        <f t="shared" si="239"/>
        <v>#N/A</v>
      </c>
    </row>
    <row r="3058" spans="2:22" x14ac:dyDescent="0.25">
      <c r="B3058" s="16">
        <v>1</v>
      </c>
      <c r="C3058" s="7">
        <v>1</v>
      </c>
      <c r="D3058" s="8">
        <v>1</v>
      </c>
      <c r="E3058" s="8">
        <v>1</v>
      </c>
      <c r="F3058" s="8">
        <v>0</v>
      </c>
      <c r="G3058" s="8">
        <v>1</v>
      </c>
      <c r="H3058" s="8">
        <v>1</v>
      </c>
      <c r="I3058" s="8">
        <v>1</v>
      </c>
      <c r="J3058" s="8">
        <v>1</v>
      </c>
      <c r="K3058" s="9">
        <v>1</v>
      </c>
      <c r="L3058" s="10">
        <v>0</v>
      </c>
      <c r="M3058" s="6">
        <v>1</v>
      </c>
      <c r="N3058" s="37" t="e" cm="1">
        <f t="array" ref="N3058">IF(OR(ISNUMBER(FIND(Aux!$D$3:$D$9,_xlfn.TEXTJOIN(,,C3058:K3058)))),NA(),IF(AND(SUM(C3058:F3058,H3058:K3058)=0,G3058=1),0,INT((SUMPRODUCT(C3058:F3058,COLUMN($A$1:$D$1)-1)+SUMPRODUCT(H3058:K3058,COLUMN($E$1:$H$1)-1))*'Line Follower'!$C$3/SUM(C3058:F3058,H3058:K3058)-'Line Follower'!$C$5)))</f>
        <v>#N/A</v>
      </c>
      <c r="O3058" s="22" t="e">
        <v>#N/A</v>
      </c>
      <c r="P3058" s="4" t="e">
        <f t="shared" si="235"/>
        <v>#N/A</v>
      </c>
      <c r="Q3058" s="4" t="e">
        <f t="shared" si="236"/>
        <v>#N/A</v>
      </c>
      <c r="R3058" s="4" t="e">
        <f>IF(AND(B3058=1,N3058&gt;'Line Follower'!$C$7,SUM(C3058:K3058)&lt;4),1,0)</f>
        <v>#N/A</v>
      </c>
      <c r="S3058" s="4" t="e">
        <f>IF(AND(L3058=1,N3058&lt;'Line Follower'!$C$6,SUM(C3058:K3058)&lt;4),1,0)</f>
        <v>#N/A</v>
      </c>
      <c r="T3058" s="4" t="e">
        <f t="shared" si="237"/>
        <v>#N/A</v>
      </c>
      <c r="U3058" s="5" t="e">
        <f t="shared" si="238"/>
        <v>#N/A</v>
      </c>
      <c r="V3058" s="23" t="e">
        <f t="shared" si="239"/>
        <v>#N/A</v>
      </c>
    </row>
    <row r="3059" spans="2:22" x14ac:dyDescent="0.25">
      <c r="B3059" s="16">
        <v>0</v>
      </c>
      <c r="C3059" s="7">
        <v>0</v>
      </c>
      <c r="D3059" s="8">
        <v>0</v>
      </c>
      <c r="E3059" s="8">
        <v>0</v>
      </c>
      <c r="F3059" s="8">
        <v>1</v>
      </c>
      <c r="G3059" s="8">
        <v>1</v>
      </c>
      <c r="H3059" s="8">
        <v>1</v>
      </c>
      <c r="I3059" s="8">
        <v>1</v>
      </c>
      <c r="J3059" s="8">
        <v>1</v>
      </c>
      <c r="K3059" s="9">
        <v>1</v>
      </c>
      <c r="L3059" s="10">
        <v>0</v>
      </c>
      <c r="M3059" s="6">
        <v>1</v>
      </c>
      <c r="N3059" s="37" cm="1">
        <f t="array" ref="N3059">IF(OR(ISNUMBER(FIND(Aux!$D$3:$D$9,_xlfn.TEXTJOIN(,,C3059:K3059)))),NA(),IF(AND(SUM(C3059:F3059,H3059:K3059)=0,G3059=1),0,INT((SUMPRODUCT(C3059:F3059,COLUMN($A$1:$D$1)-1)+SUMPRODUCT(H3059:K3059,COLUMN($E$1:$H$1)-1))*'Line Follower'!$C$3/SUM(C3059:F3059,H3059:K3059)-'Line Follower'!$C$5)))</f>
        <v>3</v>
      </c>
      <c r="O3059" s="22">
        <v>1</v>
      </c>
      <c r="P3059" s="4">
        <f t="shared" si="235"/>
        <v>0</v>
      </c>
      <c r="Q3059" s="4">
        <f t="shared" si="236"/>
        <v>1</v>
      </c>
      <c r="R3059" s="4">
        <f>IF(AND(B3059=1,N3059&gt;'Line Follower'!$C$7,SUM(C3059:K3059)&lt;4),1,0)</f>
        <v>0</v>
      </c>
      <c r="S3059" s="4">
        <f>IF(AND(L3059=1,N3059&lt;'Line Follower'!$C$6,SUM(C3059:K3059)&lt;4),1,0)</f>
        <v>0</v>
      </c>
      <c r="T3059" s="4">
        <f t="shared" si="237"/>
        <v>0</v>
      </c>
      <c r="U3059" s="5">
        <f t="shared" si="238"/>
        <v>0</v>
      </c>
      <c r="V3059" s="23">
        <f t="shared" si="239"/>
        <v>0</v>
      </c>
    </row>
    <row r="3060" spans="2:22" x14ac:dyDescent="0.25">
      <c r="B3060" s="16">
        <v>1</v>
      </c>
      <c r="C3060" s="7">
        <v>0</v>
      </c>
      <c r="D3060" s="8">
        <v>0</v>
      </c>
      <c r="E3060" s="8">
        <v>0</v>
      </c>
      <c r="F3060" s="8">
        <v>1</v>
      </c>
      <c r="G3060" s="8">
        <v>1</v>
      </c>
      <c r="H3060" s="8">
        <v>1</v>
      </c>
      <c r="I3060" s="8">
        <v>1</v>
      </c>
      <c r="J3060" s="8">
        <v>1</v>
      </c>
      <c r="K3060" s="9">
        <v>1</v>
      </c>
      <c r="L3060" s="10">
        <v>0</v>
      </c>
      <c r="M3060" s="6">
        <v>1</v>
      </c>
      <c r="N3060" s="37" cm="1">
        <f t="array" ref="N3060">IF(OR(ISNUMBER(FIND(Aux!$D$3:$D$9,_xlfn.TEXTJOIN(,,C3060:K3060)))),NA(),IF(AND(SUM(C3060:F3060,H3060:K3060)=0,G3060=1),0,INT((SUMPRODUCT(C3060:F3060,COLUMN($A$1:$D$1)-1)+SUMPRODUCT(H3060:K3060,COLUMN($E$1:$H$1)-1))*'Line Follower'!$C$3/SUM(C3060:F3060,H3060:K3060)-'Line Follower'!$C$5)))</f>
        <v>3</v>
      </c>
      <c r="O3060" s="22">
        <v>1</v>
      </c>
      <c r="P3060" s="4">
        <f t="shared" si="235"/>
        <v>0</v>
      </c>
      <c r="Q3060" s="4">
        <f t="shared" si="236"/>
        <v>1</v>
      </c>
      <c r="R3060" s="4">
        <f>IF(AND(B3060=1,N3060&gt;'Line Follower'!$C$7,SUM(C3060:K3060)&lt;4),1,0)</f>
        <v>0</v>
      </c>
      <c r="S3060" s="4">
        <f>IF(AND(L3060=1,N3060&lt;'Line Follower'!$C$6,SUM(C3060:K3060)&lt;4),1,0)</f>
        <v>0</v>
      </c>
      <c r="T3060" s="4">
        <f t="shared" si="237"/>
        <v>0</v>
      </c>
      <c r="U3060" s="5">
        <f t="shared" si="238"/>
        <v>0</v>
      </c>
      <c r="V3060" s="23">
        <f t="shared" si="239"/>
        <v>0</v>
      </c>
    </row>
    <row r="3061" spans="2:22" x14ac:dyDescent="0.25">
      <c r="B3061" s="16">
        <v>0</v>
      </c>
      <c r="C3061" s="7">
        <v>1</v>
      </c>
      <c r="D3061" s="8">
        <v>0</v>
      </c>
      <c r="E3061" s="8">
        <v>0</v>
      </c>
      <c r="F3061" s="8">
        <v>1</v>
      </c>
      <c r="G3061" s="8">
        <v>1</v>
      </c>
      <c r="H3061" s="8">
        <v>1</v>
      </c>
      <c r="I3061" s="8">
        <v>1</v>
      </c>
      <c r="J3061" s="8">
        <v>1</v>
      </c>
      <c r="K3061" s="9">
        <v>1</v>
      </c>
      <c r="L3061" s="10">
        <v>0</v>
      </c>
      <c r="M3061" s="6">
        <v>1</v>
      </c>
      <c r="N3061" s="37" t="e" cm="1">
        <f t="array" ref="N3061">IF(OR(ISNUMBER(FIND(Aux!$D$3:$D$9,_xlfn.TEXTJOIN(,,C3061:K3061)))),NA(),IF(AND(SUM(C3061:F3061,H3061:K3061)=0,G3061=1),0,INT((SUMPRODUCT(C3061:F3061,COLUMN($A$1:$D$1)-1)+SUMPRODUCT(H3061:K3061,COLUMN($E$1:$H$1)-1))*'Line Follower'!$C$3/SUM(C3061:F3061,H3061:K3061)-'Line Follower'!$C$5)))</f>
        <v>#N/A</v>
      </c>
      <c r="O3061" s="22" t="e">
        <v>#N/A</v>
      </c>
      <c r="P3061" s="4" t="e">
        <f t="shared" si="235"/>
        <v>#N/A</v>
      </c>
      <c r="Q3061" s="4" t="e">
        <f t="shared" si="236"/>
        <v>#N/A</v>
      </c>
      <c r="R3061" s="4" t="e">
        <f>IF(AND(B3061=1,N3061&gt;'Line Follower'!$C$7,SUM(C3061:K3061)&lt;4),1,0)</f>
        <v>#N/A</v>
      </c>
      <c r="S3061" s="4" t="e">
        <f>IF(AND(L3061=1,N3061&lt;'Line Follower'!$C$6,SUM(C3061:K3061)&lt;4),1,0)</f>
        <v>#N/A</v>
      </c>
      <c r="T3061" s="4" t="e">
        <f t="shared" si="237"/>
        <v>#N/A</v>
      </c>
      <c r="U3061" s="5" t="e">
        <f t="shared" si="238"/>
        <v>#N/A</v>
      </c>
      <c r="V3061" s="23" t="e">
        <f t="shared" si="239"/>
        <v>#N/A</v>
      </c>
    </row>
    <row r="3062" spans="2:22" x14ac:dyDescent="0.25">
      <c r="B3062" s="16">
        <v>1</v>
      </c>
      <c r="C3062" s="7">
        <v>1</v>
      </c>
      <c r="D3062" s="8">
        <v>0</v>
      </c>
      <c r="E3062" s="8">
        <v>0</v>
      </c>
      <c r="F3062" s="8">
        <v>1</v>
      </c>
      <c r="G3062" s="8">
        <v>1</v>
      </c>
      <c r="H3062" s="8">
        <v>1</v>
      </c>
      <c r="I3062" s="8">
        <v>1</v>
      </c>
      <c r="J3062" s="8">
        <v>1</v>
      </c>
      <c r="K3062" s="9">
        <v>1</v>
      </c>
      <c r="L3062" s="10">
        <v>0</v>
      </c>
      <c r="M3062" s="6">
        <v>1</v>
      </c>
      <c r="N3062" s="37" t="e" cm="1">
        <f t="array" ref="N3062">IF(OR(ISNUMBER(FIND(Aux!$D$3:$D$9,_xlfn.TEXTJOIN(,,C3062:K3062)))),NA(),IF(AND(SUM(C3062:F3062,H3062:K3062)=0,G3062=1),0,INT((SUMPRODUCT(C3062:F3062,COLUMN($A$1:$D$1)-1)+SUMPRODUCT(H3062:K3062,COLUMN($E$1:$H$1)-1))*'Line Follower'!$C$3/SUM(C3062:F3062,H3062:K3062)-'Line Follower'!$C$5)))</f>
        <v>#N/A</v>
      </c>
      <c r="O3062" s="22" t="e">
        <v>#N/A</v>
      </c>
      <c r="P3062" s="4" t="e">
        <f t="shared" si="235"/>
        <v>#N/A</v>
      </c>
      <c r="Q3062" s="4" t="e">
        <f t="shared" si="236"/>
        <v>#N/A</v>
      </c>
      <c r="R3062" s="4" t="e">
        <f>IF(AND(B3062=1,N3062&gt;'Line Follower'!$C$7,SUM(C3062:K3062)&lt;4),1,0)</f>
        <v>#N/A</v>
      </c>
      <c r="S3062" s="4" t="e">
        <f>IF(AND(L3062=1,N3062&lt;'Line Follower'!$C$6,SUM(C3062:K3062)&lt;4),1,0)</f>
        <v>#N/A</v>
      </c>
      <c r="T3062" s="4" t="e">
        <f t="shared" si="237"/>
        <v>#N/A</v>
      </c>
      <c r="U3062" s="5" t="e">
        <f t="shared" si="238"/>
        <v>#N/A</v>
      </c>
      <c r="V3062" s="23" t="e">
        <f t="shared" si="239"/>
        <v>#N/A</v>
      </c>
    </row>
    <row r="3063" spans="2:22" x14ac:dyDescent="0.25">
      <c r="B3063" s="16">
        <v>0</v>
      </c>
      <c r="C3063" s="7">
        <v>0</v>
      </c>
      <c r="D3063" s="8">
        <v>1</v>
      </c>
      <c r="E3063" s="8">
        <v>0</v>
      </c>
      <c r="F3063" s="8">
        <v>1</v>
      </c>
      <c r="G3063" s="8">
        <v>1</v>
      </c>
      <c r="H3063" s="8">
        <v>1</v>
      </c>
      <c r="I3063" s="8">
        <v>1</v>
      </c>
      <c r="J3063" s="8">
        <v>1</v>
      </c>
      <c r="K3063" s="9">
        <v>1</v>
      </c>
      <c r="L3063" s="10">
        <v>0</v>
      </c>
      <c r="M3063" s="6">
        <v>1</v>
      </c>
      <c r="N3063" s="37" t="e" cm="1">
        <f t="array" ref="N3063">IF(OR(ISNUMBER(FIND(Aux!$D$3:$D$9,_xlfn.TEXTJOIN(,,C3063:K3063)))),NA(),IF(AND(SUM(C3063:F3063,H3063:K3063)=0,G3063=1),0,INT((SUMPRODUCT(C3063:F3063,COLUMN($A$1:$D$1)-1)+SUMPRODUCT(H3063:K3063,COLUMN($E$1:$H$1)-1))*'Line Follower'!$C$3/SUM(C3063:F3063,H3063:K3063)-'Line Follower'!$C$5)))</f>
        <v>#N/A</v>
      </c>
      <c r="O3063" s="22" t="e">
        <v>#N/A</v>
      </c>
      <c r="P3063" s="4" t="e">
        <f t="shared" si="235"/>
        <v>#N/A</v>
      </c>
      <c r="Q3063" s="4" t="e">
        <f t="shared" si="236"/>
        <v>#N/A</v>
      </c>
      <c r="R3063" s="4" t="e">
        <f>IF(AND(B3063=1,N3063&gt;'Line Follower'!$C$7,SUM(C3063:K3063)&lt;4),1,0)</f>
        <v>#N/A</v>
      </c>
      <c r="S3063" s="4" t="e">
        <f>IF(AND(L3063=1,N3063&lt;'Line Follower'!$C$6,SUM(C3063:K3063)&lt;4),1,0)</f>
        <v>#N/A</v>
      </c>
      <c r="T3063" s="4" t="e">
        <f t="shared" si="237"/>
        <v>#N/A</v>
      </c>
      <c r="U3063" s="5" t="e">
        <f t="shared" si="238"/>
        <v>#N/A</v>
      </c>
      <c r="V3063" s="23" t="e">
        <f t="shared" si="239"/>
        <v>#N/A</v>
      </c>
    </row>
    <row r="3064" spans="2:22" x14ac:dyDescent="0.25">
      <c r="B3064" s="16">
        <v>1</v>
      </c>
      <c r="C3064" s="7">
        <v>0</v>
      </c>
      <c r="D3064" s="8">
        <v>1</v>
      </c>
      <c r="E3064" s="8">
        <v>0</v>
      </c>
      <c r="F3064" s="8">
        <v>1</v>
      </c>
      <c r="G3064" s="8">
        <v>1</v>
      </c>
      <c r="H3064" s="8">
        <v>1</v>
      </c>
      <c r="I3064" s="8">
        <v>1</v>
      </c>
      <c r="J3064" s="8">
        <v>1</v>
      </c>
      <c r="K3064" s="9">
        <v>1</v>
      </c>
      <c r="L3064" s="10">
        <v>0</v>
      </c>
      <c r="M3064" s="6">
        <v>1</v>
      </c>
      <c r="N3064" s="37" t="e" cm="1">
        <f t="array" ref="N3064">IF(OR(ISNUMBER(FIND(Aux!$D$3:$D$9,_xlfn.TEXTJOIN(,,C3064:K3064)))),NA(),IF(AND(SUM(C3064:F3064,H3064:K3064)=0,G3064=1),0,INT((SUMPRODUCT(C3064:F3064,COLUMN($A$1:$D$1)-1)+SUMPRODUCT(H3064:K3064,COLUMN($E$1:$H$1)-1))*'Line Follower'!$C$3/SUM(C3064:F3064,H3064:K3064)-'Line Follower'!$C$5)))</f>
        <v>#N/A</v>
      </c>
      <c r="O3064" s="22" t="e">
        <v>#N/A</v>
      </c>
      <c r="P3064" s="4" t="e">
        <f t="shared" si="235"/>
        <v>#N/A</v>
      </c>
      <c r="Q3064" s="4" t="e">
        <f t="shared" si="236"/>
        <v>#N/A</v>
      </c>
      <c r="R3064" s="4" t="e">
        <f>IF(AND(B3064=1,N3064&gt;'Line Follower'!$C$7,SUM(C3064:K3064)&lt;4),1,0)</f>
        <v>#N/A</v>
      </c>
      <c r="S3064" s="4" t="e">
        <f>IF(AND(L3064=1,N3064&lt;'Line Follower'!$C$6,SUM(C3064:K3064)&lt;4),1,0)</f>
        <v>#N/A</v>
      </c>
      <c r="T3064" s="4" t="e">
        <f t="shared" si="237"/>
        <v>#N/A</v>
      </c>
      <c r="U3064" s="5" t="e">
        <f t="shared" si="238"/>
        <v>#N/A</v>
      </c>
      <c r="V3064" s="23" t="e">
        <f t="shared" si="239"/>
        <v>#N/A</v>
      </c>
    </row>
    <row r="3065" spans="2:22" x14ac:dyDescent="0.25">
      <c r="B3065" s="16">
        <v>0</v>
      </c>
      <c r="C3065" s="7">
        <v>1</v>
      </c>
      <c r="D3065" s="8">
        <v>1</v>
      </c>
      <c r="E3065" s="8">
        <v>0</v>
      </c>
      <c r="F3065" s="8">
        <v>1</v>
      </c>
      <c r="G3065" s="8">
        <v>1</v>
      </c>
      <c r="H3065" s="8">
        <v>1</v>
      </c>
      <c r="I3065" s="8">
        <v>1</v>
      </c>
      <c r="J3065" s="8">
        <v>1</v>
      </c>
      <c r="K3065" s="9">
        <v>1</v>
      </c>
      <c r="L3065" s="10">
        <v>0</v>
      </c>
      <c r="M3065" s="6">
        <v>1</v>
      </c>
      <c r="N3065" s="37" t="e" cm="1">
        <f t="array" ref="N3065">IF(OR(ISNUMBER(FIND(Aux!$D$3:$D$9,_xlfn.TEXTJOIN(,,C3065:K3065)))),NA(),IF(AND(SUM(C3065:F3065,H3065:K3065)=0,G3065=1),0,INT((SUMPRODUCT(C3065:F3065,COLUMN($A$1:$D$1)-1)+SUMPRODUCT(H3065:K3065,COLUMN($E$1:$H$1)-1))*'Line Follower'!$C$3/SUM(C3065:F3065,H3065:K3065)-'Line Follower'!$C$5)))</f>
        <v>#N/A</v>
      </c>
      <c r="O3065" s="22" t="e">
        <v>#N/A</v>
      </c>
      <c r="P3065" s="4" t="e">
        <f t="shared" si="235"/>
        <v>#N/A</v>
      </c>
      <c r="Q3065" s="4" t="e">
        <f t="shared" si="236"/>
        <v>#N/A</v>
      </c>
      <c r="R3065" s="4" t="e">
        <f>IF(AND(B3065=1,N3065&gt;'Line Follower'!$C$7,SUM(C3065:K3065)&lt;4),1,0)</f>
        <v>#N/A</v>
      </c>
      <c r="S3065" s="4" t="e">
        <f>IF(AND(L3065=1,N3065&lt;'Line Follower'!$C$6,SUM(C3065:K3065)&lt;4),1,0)</f>
        <v>#N/A</v>
      </c>
      <c r="T3065" s="4" t="e">
        <f t="shared" si="237"/>
        <v>#N/A</v>
      </c>
      <c r="U3065" s="5" t="e">
        <f t="shared" si="238"/>
        <v>#N/A</v>
      </c>
      <c r="V3065" s="23" t="e">
        <f t="shared" si="239"/>
        <v>#N/A</v>
      </c>
    </row>
    <row r="3066" spans="2:22" x14ac:dyDescent="0.25">
      <c r="B3066" s="16">
        <v>1</v>
      </c>
      <c r="C3066" s="7">
        <v>1</v>
      </c>
      <c r="D3066" s="8">
        <v>1</v>
      </c>
      <c r="E3066" s="8">
        <v>0</v>
      </c>
      <c r="F3066" s="8">
        <v>1</v>
      </c>
      <c r="G3066" s="8">
        <v>1</v>
      </c>
      <c r="H3066" s="8">
        <v>1</v>
      </c>
      <c r="I3066" s="8">
        <v>1</v>
      </c>
      <c r="J3066" s="8">
        <v>1</v>
      </c>
      <c r="K3066" s="9">
        <v>1</v>
      </c>
      <c r="L3066" s="10">
        <v>0</v>
      </c>
      <c r="M3066" s="6">
        <v>1</v>
      </c>
      <c r="N3066" s="37" t="e" cm="1">
        <f t="array" ref="N3066">IF(OR(ISNUMBER(FIND(Aux!$D$3:$D$9,_xlfn.TEXTJOIN(,,C3066:K3066)))),NA(),IF(AND(SUM(C3066:F3066,H3066:K3066)=0,G3066=1),0,INT((SUMPRODUCT(C3066:F3066,COLUMN($A$1:$D$1)-1)+SUMPRODUCT(H3066:K3066,COLUMN($E$1:$H$1)-1))*'Line Follower'!$C$3/SUM(C3066:F3066,H3066:K3066)-'Line Follower'!$C$5)))</f>
        <v>#N/A</v>
      </c>
      <c r="O3066" s="22" t="e">
        <v>#N/A</v>
      </c>
      <c r="P3066" s="4" t="e">
        <f t="shared" si="235"/>
        <v>#N/A</v>
      </c>
      <c r="Q3066" s="4" t="e">
        <f t="shared" si="236"/>
        <v>#N/A</v>
      </c>
      <c r="R3066" s="4" t="e">
        <f>IF(AND(B3066=1,N3066&gt;'Line Follower'!$C$7,SUM(C3066:K3066)&lt;4),1,0)</f>
        <v>#N/A</v>
      </c>
      <c r="S3066" s="4" t="e">
        <f>IF(AND(L3066=1,N3066&lt;'Line Follower'!$C$6,SUM(C3066:K3066)&lt;4),1,0)</f>
        <v>#N/A</v>
      </c>
      <c r="T3066" s="4" t="e">
        <f t="shared" si="237"/>
        <v>#N/A</v>
      </c>
      <c r="U3066" s="5" t="e">
        <f t="shared" si="238"/>
        <v>#N/A</v>
      </c>
      <c r="V3066" s="23" t="e">
        <f t="shared" si="239"/>
        <v>#N/A</v>
      </c>
    </row>
    <row r="3067" spans="2:22" x14ac:dyDescent="0.25">
      <c r="B3067" s="16">
        <v>0</v>
      </c>
      <c r="C3067" s="7">
        <v>0</v>
      </c>
      <c r="D3067" s="8">
        <v>0</v>
      </c>
      <c r="E3067" s="8">
        <v>1</v>
      </c>
      <c r="F3067" s="8">
        <v>1</v>
      </c>
      <c r="G3067" s="8">
        <v>1</v>
      </c>
      <c r="H3067" s="8">
        <v>1</v>
      </c>
      <c r="I3067" s="8">
        <v>1</v>
      </c>
      <c r="J3067" s="8">
        <v>1</v>
      </c>
      <c r="K3067" s="9">
        <v>1</v>
      </c>
      <c r="L3067" s="10">
        <v>0</v>
      </c>
      <c r="M3067" s="6">
        <v>1</v>
      </c>
      <c r="N3067" s="37" cm="1">
        <f t="array" ref="N3067">IF(OR(ISNUMBER(FIND(Aux!$D$3:$D$9,_xlfn.TEXTJOIN(,,C3067:K3067)))),NA(),IF(AND(SUM(C3067:F3067,H3067:K3067)=0,G3067=1),0,INT((SUMPRODUCT(C3067:F3067,COLUMN($A$1:$D$1)-1)+SUMPRODUCT(H3067:K3067,COLUMN($E$1:$H$1)-1))*'Line Follower'!$C$3/SUM(C3067:F3067,H3067:K3067)-'Line Follower'!$C$5)))</f>
        <v>2</v>
      </c>
      <c r="O3067" s="22">
        <v>1</v>
      </c>
      <c r="P3067" s="4">
        <f t="shared" si="235"/>
        <v>0</v>
      </c>
      <c r="Q3067" s="4">
        <f t="shared" si="236"/>
        <v>1</v>
      </c>
      <c r="R3067" s="4">
        <f>IF(AND(B3067=1,N3067&gt;'Line Follower'!$C$7,SUM(C3067:K3067)&lt;4),1,0)</f>
        <v>0</v>
      </c>
      <c r="S3067" s="4">
        <f>IF(AND(L3067=1,N3067&lt;'Line Follower'!$C$6,SUM(C3067:K3067)&lt;4),1,0)</f>
        <v>0</v>
      </c>
      <c r="T3067" s="4">
        <f t="shared" si="237"/>
        <v>0</v>
      </c>
      <c r="U3067" s="5">
        <f t="shared" si="238"/>
        <v>0</v>
      </c>
      <c r="V3067" s="23">
        <f t="shared" si="239"/>
        <v>0</v>
      </c>
    </row>
    <row r="3068" spans="2:22" x14ac:dyDescent="0.25">
      <c r="B3068" s="16">
        <v>1</v>
      </c>
      <c r="C3068" s="7">
        <v>0</v>
      </c>
      <c r="D3068" s="8">
        <v>0</v>
      </c>
      <c r="E3068" s="8">
        <v>1</v>
      </c>
      <c r="F3068" s="8">
        <v>1</v>
      </c>
      <c r="G3068" s="8">
        <v>1</v>
      </c>
      <c r="H3068" s="8">
        <v>1</v>
      </c>
      <c r="I3068" s="8">
        <v>1</v>
      </c>
      <c r="J3068" s="8">
        <v>1</v>
      </c>
      <c r="K3068" s="9">
        <v>1</v>
      </c>
      <c r="L3068" s="10">
        <v>0</v>
      </c>
      <c r="M3068" s="6">
        <v>1</v>
      </c>
      <c r="N3068" s="37" cm="1">
        <f t="array" ref="N3068">IF(OR(ISNUMBER(FIND(Aux!$D$3:$D$9,_xlfn.TEXTJOIN(,,C3068:K3068)))),NA(),IF(AND(SUM(C3068:F3068,H3068:K3068)=0,G3068=1),0,INT((SUMPRODUCT(C3068:F3068,COLUMN($A$1:$D$1)-1)+SUMPRODUCT(H3068:K3068,COLUMN($E$1:$H$1)-1))*'Line Follower'!$C$3/SUM(C3068:F3068,H3068:K3068)-'Line Follower'!$C$5)))</f>
        <v>2</v>
      </c>
      <c r="O3068" s="22">
        <v>1</v>
      </c>
      <c r="P3068" s="4">
        <f t="shared" si="235"/>
        <v>0</v>
      </c>
      <c r="Q3068" s="4">
        <f t="shared" si="236"/>
        <v>1</v>
      </c>
      <c r="R3068" s="4">
        <f>IF(AND(B3068=1,N3068&gt;'Line Follower'!$C$7,SUM(C3068:K3068)&lt;4),1,0)</f>
        <v>0</v>
      </c>
      <c r="S3068" s="4">
        <f>IF(AND(L3068=1,N3068&lt;'Line Follower'!$C$6,SUM(C3068:K3068)&lt;4),1,0)</f>
        <v>0</v>
      </c>
      <c r="T3068" s="4">
        <f t="shared" si="237"/>
        <v>0</v>
      </c>
      <c r="U3068" s="5">
        <f t="shared" si="238"/>
        <v>0</v>
      </c>
      <c r="V3068" s="23">
        <f t="shared" si="239"/>
        <v>0</v>
      </c>
    </row>
    <row r="3069" spans="2:22" x14ac:dyDescent="0.25">
      <c r="B3069" s="16">
        <v>0</v>
      </c>
      <c r="C3069" s="7">
        <v>1</v>
      </c>
      <c r="D3069" s="8">
        <v>0</v>
      </c>
      <c r="E3069" s="8">
        <v>1</v>
      </c>
      <c r="F3069" s="8">
        <v>1</v>
      </c>
      <c r="G3069" s="8">
        <v>1</v>
      </c>
      <c r="H3069" s="8">
        <v>1</v>
      </c>
      <c r="I3069" s="8">
        <v>1</v>
      </c>
      <c r="J3069" s="8">
        <v>1</v>
      </c>
      <c r="K3069" s="9">
        <v>1</v>
      </c>
      <c r="L3069" s="10">
        <v>0</v>
      </c>
      <c r="M3069" s="6">
        <v>1</v>
      </c>
      <c r="N3069" s="37" t="e" cm="1">
        <f t="array" ref="N3069">IF(OR(ISNUMBER(FIND(Aux!$D$3:$D$9,_xlfn.TEXTJOIN(,,C3069:K3069)))),NA(),IF(AND(SUM(C3069:F3069,H3069:K3069)=0,G3069=1),0,INT((SUMPRODUCT(C3069:F3069,COLUMN($A$1:$D$1)-1)+SUMPRODUCT(H3069:K3069,COLUMN($E$1:$H$1)-1))*'Line Follower'!$C$3/SUM(C3069:F3069,H3069:K3069)-'Line Follower'!$C$5)))</f>
        <v>#N/A</v>
      </c>
      <c r="O3069" s="22" t="e">
        <v>#N/A</v>
      </c>
      <c r="P3069" s="4" t="e">
        <f t="shared" si="235"/>
        <v>#N/A</v>
      </c>
      <c r="Q3069" s="4" t="e">
        <f t="shared" si="236"/>
        <v>#N/A</v>
      </c>
      <c r="R3069" s="4" t="e">
        <f>IF(AND(B3069=1,N3069&gt;'Line Follower'!$C$7,SUM(C3069:K3069)&lt;4),1,0)</f>
        <v>#N/A</v>
      </c>
      <c r="S3069" s="4" t="e">
        <f>IF(AND(L3069=1,N3069&lt;'Line Follower'!$C$6,SUM(C3069:K3069)&lt;4),1,0)</f>
        <v>#N/A</v>
      </c>
      <c r="T3069" s="4" t="e">
        <f t="shared" si="237"/>
        <v>#N/A</v>
      </c>
      <c r="U3069" s="5" t="e">
        <f t="shared" si="238"/>
        <v>#N/A</v>
      </c>
      <c r="V3069" s="23" t="e">
        <f t="shared" si="239"/>
        <v>#N/A</v>
      </c>
    </row>
    <row r="3070" spans="2:22" x14ac:dyDescent="0.25">
      <c r="B3070" s="16">
        <v>1</v>
      </c>
      <c r="C3070" s="7">
        <v>1</v>
      </c>
      <c r="D3070" s="8">
        <v>0</v>
      </c>
      <c r="E3070" s="8">
        <v>1</v>
      </c>
      <c r="F3070" s="8">
        <v>1</v>
      </c>
      <c r="G3070" s="8">
        <v>1</v>
      </c>
      <c r="H3070" s="8">
        <v>1</v>
      </c>
      <c r="I3070" s="8">
        <v>1</v>
      </c>
      <c r="J3070" s="8">
        <v>1</v>
      </c>
      <c r="K3070" s="9">
        <v>1</v>
      </c>
      <c r="L3070" s="10">
        <v>0</v>
      </c>
      <c r="M3070" s="6">
        <v>1</v>
      </c>
      <c r="N3070" s="37" t="e" cm="1">
        <f t="array" ref="N3070">IF(OR(ISNUMBER(FIND(Aux!$D$3:$D$9,_xlfn.TEXTJOIN(,,C3070:K3070)))),NA(),IF(AND(SUM(C3070:F3070,H3070:K3070)=0,G3070=1),0,INT((SUMPRODUCT(C3070:F3070,COLUMN($A$1:$D$1)-1)+SUMPRODUCT(H3070:K3070,COLUMN($E$1:$H$1)-1))*'Line Follower'!$C$3/SUM(C3070:F3070,H3070:K3070)-'Line Follower'!$C$5)))</f>
        <v>#N/A</v>
      </c>
      <c r="O3070" s="22" t="e">
        <v>#N/A</v>
      </c>
      <c r="P3070" s="4" t="e">
        <f t="shared" si="235"/>
        <v>#N/A</v>
      </c>
      <c r="Q3070" s="4" t="e">
        <f t="shared" si="236"/>
        <v>#N/A</v>
      </c>
      <c r="R3070" s="4" t="e">
        <f>IF(AND(B3070=1,N3070&gt;'Line Follower'!$C$7,SUM(C3070:K3070)&lt;4),1,0)</f>
        <v>#N/A</v>
      </c>
      <c r="S3070" s="4" t="e">
        <f>IF(AND(L3070=1,N3070&lt;'Line Follower'!$C$6,SUM(C3070:K3070)&lt;4),1,0)</f>
        <v>#N/A</v>
      </c>
      <c r="T3070" s="4" t="e">
        <f t="shared" si="237"/>
        <v>#N/A</v>
      </c>
      <c r="U3070" s="5" t="e">
        <f t="shared" si="238"/>
        <v>#N/A</v>
      </c>
      <c r="V3070" s="23" t="e">
        <f t="shared" si="239"/>
        <v>#N/A</v>
      </c>
    </row>
    <row r="3071" spans="2:22" x14ac:dyDescent="0.25">
      <c r="B3071" s="16">
        <v>0</v>
      </c>
      <c r="C3071" s="7">
        <v>0</v>
      </c>
      <c r="D3071" s="8">
        <v>1</v>
      </c>
      <c r="E3071" s="8">
        <v>1</v>
      </c>
      <c r="F3071" s="8">
        <v>1</v>
      </c>
      <c r="G3071" s="8">
        <v>1</v>
      </c>
      <c r="H3071" s="8">
        <v>1</v>
      </c>
      <c r="I3071" s="8">
        <v>1</v>
      </c>
      <c r="J3071" s="8">
        <v>1</v>
      </c>
      <c r="K3071" s="9">
        <v>1</v>
      </c>
      <c r="L3071" s="10">
        <v>0</v>
      </c>
      <c r="M3071" s="6">
        <v>1</v>
      </c>
      <c r="N3071" s="37" cm="1">
        <f t="array" ref="N3071">IF(OR(ISNUMBER(FIND(Aux!$D$3:$D$9,_xlfn.TEXTJOIN(,,C3071:K3071)))),NA(),IF(AND(SUM(C3071:F3071,H3071:K3071)=0,G3071=1),0,INT((SUMPRODUCT(C3071:F3071,COLUMN($A$1:$D$1)-1)+SUMPRODUCT(H3071:K3071,COLUMN($E$1:$H$1)-1))*'Line Follower'!$C$3/SUM(C3071:F3071,H3071:K3071)-'Line Follower'!$C$5)))</f>
        <v>1</v>
      </c>
      <c r="O3071" s="22">
        <v>1</v>
      </c>
      <c r="P3071" s="4">
        <f t="shared" si="235"/>
        <v>0</v>
      </c>
      <c r="Q3071" s="4">
        <f t="shared" si="236"/>
        <v>1</v>
      </c>
      <c r="R3071" s="4">
        <f>IF(AND(B3071=1,N3071&gt;'Line Follower'!$C$7,SUM(C3071:K3071)&lt;4),1,0)</f>
        <v>0</v>
      </c>
      <c r="S3071" s="4">
        <f>IF(AND(L3071=1,N3071&lt;'Line Follower'!$C$6,SUM(C3071:K3071)&lt;4),1,0)</f>
        <v>0</v>
      </c>
      <c r="T3071" s="4">
        <f t="shared" si="237"/>
        <v>0</v>
      </c>
      <c r="U3071" s="5">
        <f t="shared" si="238"/>
        <v>0</v>
      </c>
      <c r="V3071" s="23">
        <f t="shared" si="239"/>
        <v>0</v>
      </c>
    </row>
    <row r="3072" spans="2:22" x14ac:dyDescent="0.25">
      <c r="B3072" s="16">
        <v>1</v>
      </c>
      <c r="C3072" s="7">
        <v>0</v>
      </c>
      <c r="D3072" s="8">
        <v>1</v>
      </c>
      <c r="E3072" s="8">
        <v>1</v>
      </c>
      <c r="F3072" s="8">
        <v>1</v>
      </c>
      <c r="G3072" s="8">
        <v>1</v>
      </c>
      <c r="H3072" s="8">
        <v>1</v>
      </c>
      <c r="I3072" s="8">
        <v>1</v>
      </c>
      <c r="J3072" s="8">
        <v>1</v>
      </c>
      <c r="K3072" s="9">
        <v>1</v>
      </c>
      <c r="L3072" s="10">
        <v>0</v>
      </c>
      <c r="M3072" s="6">
        <v>1</v>
      </c>
      <c r="N3072" s="37" cm="1">
        <f t="array" ref="N3072">IF(OR(ISNUMBER(FIND(Aux!$D$3:$D$9,_xlfn.TEXTJOIN(,,C3072:K3072)))),NA(),IF(AND(SUM(C3072:F3072,H3072:K3072)=0,G3072=1),0,INT((SUMPRODUCT(C3072:F3072,COLUMN($A$1:$D$1)-1)+SUMPRODUCT(H3072:K3072,COLUMN($E$1:$H$1)-1))*'Line Follower'!$C$3/SUM(C3072:F3072,H3072:K3072)-'Line Follower'!$C$5)))</f>
        <v>1</v>
      </c>
      <c r="O3072" s="22">
        <v>1</v>
      </c>
      <c r="P3072" s="4">
        <f t="shared" si="235"/>
        <v>0</v>
      </c>
      <c r="Q3072" s="4">
        <f t="shared" si="236"/>
        <v>1</v>
      </c>
      <c r="R3072" s="4">
        <f>IF(AND(B3072=1,N3072&gt;'Line Follower'!$C$7,SUM(C3072:K3072)&lt;4),1,0)</f>
        <v>0</v>
      </c>
      <c r="S3072" s="4">
        <f>IF(AND(L3072=1,N3072&lt;'Line Follower'!$C$6,SUM(C3072:K3072)&lt;4),1,0)</f>
        <v>0</v>
      </c>
      <c r="T3072" s="4">
        <f t="shared" si="237"/>
        <v>0</v>
      </c>
      <c r="U3072" s="5">
        <f t="shared" si="238"/>
        <v>0</v>
      </c>
      <c r="V3072" s="23">
        <f t="shared" si="239"/>
        <v>0</v>
      </c>
    </row>
    <row r="3073" spans="2:22" x14ac:dyDescent="0.25">
      <c r="B3073" s="16">
        <v>0</v>
      </c>
      <c r="C3073" s="7">
        <v>1</v>
      </c>
      <c r="D3073" s="8">
        <v>1</v>
      </c>
      <c r="E3073" s="8">
        <v>1</v>
      </c>
      <c r="F3073" s="8">
        <v>1</v>
      </c>
      <c r="G3073" s="8">
        <v>1</v>
      </c>
      <c r="H3073" s="8">
        <v>1</v>
      </c>
      <c r="I3073" s="8">
        <v>1</v>
      </c>
      <c r="J3073" s="8">
        <v>1</v>
      </c>
      <c r="K3073" s="9">
        <v>1</v>
      </c>
      <c r="L3073" s="10">
        <v>0</v>
      </c>
      <c r="M3073" s="6">
        <v>1</v>
      </c>
      <c r="N3073" s="37" cm="1">
        <f t="array" ref="N3073">IF(OR(ISNUMBER(FIND(Aux!$D$3:$D$9,_xlfn.TEXTJOIN(,,C3073:K3073)))),NA(),IF(AND(SUM(C3073:F3073,H3073:K3073)=0,G3073=1),0,INT((SUMPRODUCT(C3073:F3073,COLUMN($A$1:$D$1)-1)+SUMPRODUCT(H3073:K3073,COLUMN($E$1:$H$1)-1))*'Line Follower'!$C$3/SUM(C3073:F3073,H3073:K3073)-'Line Follower'!$C$5)))</f>
        <v>0</v>
      </c>
      <c r="O3073" s="22">
        <v>1</v>
      </c>
      <c r="P3073" s="4">
        <f t="shared" si="235"/>
        <v>1</v>
      </c>
      <c r="Q3073" s="4">
        <f t="shared" si="236"/>
        <v>1</v>
      </c>
      <c r="R3073" s="4">
        <f>IF(AND(B3073=1,N3073&gt;'Line Follower'!$C$7,SUM(C3073:K3073)&lt;4),1,0)</f>
        <v>0</v>
      </c>
      <c r="S3073" s="4">
        <f>IF(AND(L3073=1,N3073&lt;'Line Follower'!$C$6,SUM(C3073:K3073)&lt;4),1,0)</f>
        <v>0</v>
      </c>
      <c r="T3073" s="4">
        <f t="shared" si="237"/>
        <v>0</v>
      </c>
      <c r="U3073" s="5">
        <f t="shared" si="238"/>
        <v>0</v>
      </c>
      <c r="V3073" s="23">
        <f t="shared" si="239"/>
        <v>0</v>
      </c>
    </row>
    <row r="3074" spans="2:22" x14ac:dyDescent="0.25">
      <c r="B3074" s="16">
        <v>1</v>
      </c>
      <c r="C3074" s="7">
        <v>1</v>
      </c>
      <c r="D3074" s="8">
        <v>1</v>
      </c>
      <c r="E3074" s="8">
        <v>1</v>
      </c>
      <c r="F3074" s="8">
        <v>1</v>
      </c>
      <c r="G3074" s="8">
        <v>1</v>
      </c>
      <c r="H3074" s="8">
        <v>1</v>
      </c>
      <c r="I3074" s="8">
        <v>1</v>
      </c>
      <c r="J3074" s="8">
        <v>1</v>
      </c>
      <c r="K3074" s="9">
        <v>1</v>
      </c>
      <c r="L3074" s="10">
        <v>0</v>
      </c>
      <c r="M3074" s="6">
        <v>1</v>
      </c>
      <c r="N3074" s="37" cm="1">
        <f t="array" ref="N3074">IF(OR(ISNUMBER(FIND(Aux!$D$3:$D$9,_xlfn.TEXTJOIN(,,C3074:K3074)))),NA(),IF(AND(SUM(C3074:F3074,H3074:K3074)=0,G3074=1),0,INT((SUMPRODUCT(C3074:F3074,COLUMN($A$1:$D$1)-1)+SUMPRODUCT(H3074:K3074,COLUMN($E$1:$H$1)-1))*'Line Follower'!$C$3/SUM(C3074:F3074,H3074:K3074)-'Line Follower'!$C$5)))</f>
        <v>0</v>
      </c>
      <c r="O3074" s="22">
        <v>1</v>
      </c>
      <c r="P3074" s="4">
        <f t="shared" si="235"/>
        <v>1</v>
      </c>
      <c r="Q3074" s="4">
        <f t="shared" si="236"/>
        <v>1</v>
      </c>
      <c r="R3074" s="4">
        <f>IF(AND(B3074=1,N3074&gt;'Line Follower'!$C$7,SUM(C3074:K3074)&lt;4),1,0)</f>
        <v>0</v>
      </c>
      <c r="S3074" s="4">
        <f>IF(AND(L3074=1,N3074&lt;'Line Follower'!$C$6,SUM(C3074:K3074)&lt;4),1,0)</f>
        <v>0</v>
      </c>
      <c r="T3074" s="4">
        <f t="shared" si="237"/>
        <v>0</v>
      </c>
      <c r="U3074" s="5">
        <f t="shared" si="238"/>
        <v>0</v>
      </c>
      <c r="V3074" s="23">
        <f t="shared" si="239"/>
        <v>0</v>
      </c>
    </row>
    <row r="3075" spans="2:22" x14ac:dyDescent="0.25">
      <c r="B3075" s="16">
        <v>0</v>
      </c>
      <c r="C3075" s="7">
        <v>0</v>
      </c>
      <c r="D3075" s="8">
        <v>0</v>
      </c>
      <c r="E3075" s="8">
        <v>0</v>
      </c>
      <c r="F3075" s="8">
        <v>0</v>
      </c>
      <c r="G3075" s="8">
        <v>0</v>
      </c>
      <c r="H3075" s="8">
        <v>0</v>
      </c>
      <c r="I3075" s="8">
        <v>0</v>
      </c>
      <c r="J3075" s="8">
        <v>0</v>
      </c>
      <c r="K3075" s="9">
        <v>0</v>
      </c>
      <c r="L3075" s="10">
        <v>1</v>
      </c>
      <c r="M3075" s="6">
        <v>1</v>
      </c>
      <c r="N3075" s="37" t="e" cm="1">
        <f t="array" ref="N3075">IF(OR(ISNUMBER(FIND(Aux!$D$3:$D$9,_xlfn.TEXTJOIN(,,C3075:K3075)))),NA(),IF(AND(SUM(C3075:F3075,H3075:K3075)=0,G3075=1),0,INT((SUMPRODUCT(C3075:F3075,COLUMN($A$1:$D$1)-1)+SUMPRODUCT(H3075:K3075,COLUMN($E$1:$H$1)-1))*'Line Follower'!$C$3/SUM(C3075:F3075,H3075:K3075)-'Line Follower'!$C$5)))</f>
        <v>#DIV/0!</v>
      </c>
      <c r="O3075" s="22" t="e">
        <v>#DIV/0!</v>
      </c>
      <c r="P3075" s="4" t="e">
        <f t="shared" ref="P3075:P3138" si="240">IF(AND(N3075=0,G3075=1,M3075=1),1,0)</f>
        <v>#DIV/0!</v>
      </c>
      <c r="Q3075" s="4" t="e">
        <f t="shared" ref="Q3075:Q3138" si="241">IF(ISERROR(N3075),N3075,IF(SUM(C3075:K3075)&gt;=4,1,0))</f>
        <v>#DIV/0!</v>
      </c>
      <c r="R3075" s="4" t="e">
        <f>IF(AND(B3075=1,N3075&gt;'Line Follower'!$C$7,SUM(C3075:K3075)&lt;4),1,0)</f>
        <v>#DIV/0!</v>
      </c>
      <c r="S3075" s="4" t="e">
        <f>IF(AND(L3075=1,N3075&lt;'Line Follower'!$C$6,SUM(C3075:K3075)&lt;4),1,0)</f>
        <v>#DIV/0!</v>
      </c>
      <c r="T3075" s="4">
        <f t="shared" si="237"/>
        <v>0</v>
      </c>
      <c r="U3075" s="5">
        <f t="shared" si="238"/>
        <v>1</v>
      </c>
      <c r="V3075" s="23">
        <f t="shared" si="239"/>
        <v>0</v>
      </c>
    </row>
    <row r="3076" spans="2:22" x14ac:dyDescent="0.25">
      <c r="B3076" s="16">
        <v>1</v>
      </c>
      <c r="C3076" s="7">
        <v>0</v>
      </c>
      <c r="D3076" s="8">
        <v>0</v>
      </c>
      <c r="E3076" s="8">
        <v>0</v>
      </c>
      <c r="F3076" s="8">
        <v>0</v>
      </c>
      <c r="G3076" s="8">
        <v>0</v>
      </c>
      <c r="H3076" s="8">
        <v>0</v>
      </c>
      <c r="I3076" s="8">
        <v>0</v>
      </c>
      <c r="J3076" s="8">
        <v>0</v>
      </c>
      <c r="K3076" s="9">
        <v>0</v>
      </c>
      <c r="L3076" s="10">
        <v>1</v>
      </c>
      <c r="M3076" s="6">
        <v>1</v>
      </c>
      <c r="N3076" s="37" t="e" cm="1">
        <f t="array" ref="N3076">IF(OR(ISNUMBER(FIND(Aux!$D$3:$D$9,_xlfn.TEXTJOIN(,,C3076:K3076)))),NA(),IF(AND(SUM(C3076:F3076,H3076:K3076)=0,G3076=1),0,INT((SUMPRODUCT(C3076:F3076,COLUMN($A$1:$D$1)-1)+SUMPRODUCT(H3076:K3076,COLUMN($E$1:$H$1)-1))*'Line Follower'!$C$3/SUM(C3076:F3076,H3076:K3076)-'Line Follower'!$C$5)))</f>
        <v>#DIV/0!</v>
      </c>
      <c r="O3076" s="22" t="e">
        <v>#DIV/0!</v>
      </c>
      <c r="P3076" s="4" t="e">
        <f t="shared" si="240"/>
        <v>#DIV/0!</v>
      </c>
      <c r="Q3076" s="4" t="e">
        <f t="shared" si="241"/>
        <v>#DIV/0!</v>
      </c>
      <c r="R3076" s="4" t="e">
        <f>IF(AND(B3076=1,N3076&gt;'Line Follower'!$C$7,SUM(C3076:K3076)&lt;4),1,0)</f>
        <v>#DIV/0!</v>
      </c>
      <c r="S3076" s="4" t="e">
        <f>IF(AND(L3076=1,N3076&lt;'Line Follower'!$C$6,SUM(C3076:K3076)&lt;4),1,0)</f>
        <v>#DIV/0!</v>
      </c>
      <c r="T3076" s="4">
        <f t="shared" ref="T3076:T3139" si="242">IF(ISNA(N3076),NA(),IF(SUM(C3076:L3076)=0,1,0))</f>
        <v>0</v>
      </c>
      <c r="U3076" s="5">
        <f t="shared" ref="U3076:U3139" si="243">IF(ISNA(N3076),NA(),IF(SUM(B3076:K3076)=0,1,0))</f>
        <v>0</v>
      </c>
      <c r="V3076" s="23">
        <f t="shared" ref="V3076:V3139" si="244">IF(ISNA(N3076),NA(),IF(SUM(B3076:L3076)=0,1,0))</f>
        <v>0</v>
      </c>
    </row>
    <row r="3077" spans="2:22" x14ac:dyDescent="0.25">
      <c r="B3077" s="16">
        <v>0</v>
      </c>
      <c r="C3077" s="7">
        <v>1</v>
      </c>
      <c r="D3077" s="8">
        <v>0</v>
      </c>
      <c r="E3077" s="8">
        <v>0</v>
      </c>
      <c r="F3077" s="8">
        <v>0</v>
      </c>
      <c r="G3077" s="8">
        <v>0</v>
      </c>
      <c r="H3077" s="8">
        <v>0</v>
      </c>
      <c r="I3077" s="8">
        <v>0</v>
      </c>
      <c r="J3077" s="8">
        <v>0</v>
      </c>
      <c r="K3077" s="9">
        <v>0</v>
      </c>
      <c r="L3077" s="10">
        <v>1</v>
      </c>
      <c r="M3077" s="6">
        <v>1</v>
      </c>
      <c r="N3077" s="37" cm="1">
        <f t="array" ref="N3077">IF(OR(ISNUMBER(FIND(Aux!$D$3:$D$9,_xlfn.TEXTJOIN(,,C3077:K3077)))),NA(),IF(AND(SUM(C3077:F3077,H3077:K3077)=0,G3077=1),0,INT((SUMPRODUCT(C3077:F3077,COLUMN($A$1:$D$1)-1)+SUMPRODUCT(H3077:K3077,COLUMN($E$1:$H$1)-1))*'Line Follower'!$C$3/SUM(C3077:F3077,H3077:K3077)-'Line Follower'!$C$5)))</f>
        <v>-7</v>
      </c>
      <c r="O3077" s="22">
        <v>1</v>
      </c>
      <c r="P3077" s="4">
        <f t="shared" si="240"/>
        <v>0</v>
      </c>
      <c r="Q3077" s="4">
        <f t="shared" si="241"/>
        <v>0</v>
      </c>
      <c r="R3077" s="4">
        <f>IF(AND(B3077=1,N3077&gt;'Line Follower'!$C$7,SUM(C3077:K3077)&lt;4),1,0)</f>
        <v>0</v>
      </c>
      <c r="S3077" s="4">
        <f>IF(AND(L3077=1,N3077&lt;'Line Follower'!$C$6,SUM(C3077:K3077)&lt;4),1,0)</f>
        <v>1</v>
      </c>
      <c r="T3077" s="4">
        <f t="shared" si="242"/>
        <v>0</v>
      </c>
      <c r="U3077" s="5">
        <f t="shared" si="243"/>
        <v>0</v>
      </c>
      <c r="V3077" s="23">
        <f t="shared" si="244"/>
        <v>0</v>
      </c>
    </row>
    <row r="3078" spans="2:22" x14ac:dyDescent="0.25">
      <c r="B3078" s="16">
        <v>1</v>
      </c>
      <c r="C3078" s="7">
        <v>1</v>
      </c>
      <c r="D3078" s="8">
        <v>0</v>
      </c>
      <c r="E3078" s="8">
        <v>0</v>
      </c>
      <c r="F3078" s="8">
        <v>0</v>
      </c>
      <c r="G3078" s="8">
        <v>0</v>
      </c>
      <c r="H3078" s="8">
        <v>0</v>
      </c>
      <c r="I3078" s="8">
        <v>0</v>
      </c>
      <c r="J3078" s="8">
        <v>0</v>
      </c>
      <c r="K3078" s="9">
        <v>0</v>
      </c>
      <c r="L3078" s="10">
        <v>1</v>
      </c>
      <c r="M3078" s="6">
        <v>1</v>
      </c>
      <c r="N3078" s="37" cm="1">
        <f t="array" ref="N3078">IF(OR(ISNUMBER(FIND(Aux!$D$3:$D$9,_xlfn.TEXTJOIN(,,C3078:K3078)))),NA(),IF(AND(SUM(C3078:F3078,H3078:K3078)=0,G3078=1),0,INT((SUMPRODUCT(C3078:F3078,COLUMN($A$1:$D$1)-1)+SUMPRODUCT(H3078:K3078,COLUMN($E$1:$H$1)-1))*'Line Follower'!$C$3/SUM(C3078:F3078,H3078:K3078)-'Line Follower'!$C$5)))</f>
        <v>-7</v>
      </c>
      <c r="O3078" s="22">
        <v>1</v>
      </c>
      <c r="P3078" s="4">
        <f t="shared" si="240"/>
        <v>0</v>
      </c>
      <c r="Q3078" s="4">
        <f t="shared" si="241"/>
        <v>0</v>
      </c>
      <c r="R3078" s="4">
        <f>IF(AND(B3078=1,N3078&gt;'Line Follower'!$C$7,SUM(C3078:K3078)&lt;4),1,0)</f>
        <v>0</v>
      </c>
      <c r="S3078" s="4">
        <f>IF(AND(L3078=1,N3078&lt;'Line Follower'!$C$6,SUM(C3078:K3078)&lt;4),1,0)</f>
        <v>1</v>
      </c>
      <c r="T3078" s="4">
        <f t="shared" si="242"/>
        <v>0</v>
      </c>
      <c r="U3078" s="5">
        <f t="shared" si="243"/>
        <v>0</v>
      </c>
      <c r="V3078" s="23">
        <f t="shared" si="244"/>
        <v>0</v>
      </c>
    </row>
    <row r="3079" spans="2:22" x14ac:dyDescent="0.25">
      <c r="B3079" s="16">
        <v>0</v>
      </c>
      <c r="C3079" s="7">
        <v>0</v>
      </c>
      <c r="D3079" s="8">
        <v>1</v>
      </c>
      <c r="E3079" s="8">
        <v>0</v>
      </c>
      <c r="F3079" s="8">
        <v>0</v>
      </c>
      <c r="G3079" s="8">
        <v>0</v>
      </c>
      <c r="H3079" s="8">
        <v>0</v>
      </c>
      <c r="I3079" s="8">
        <v>0</v>
      </c>
      <c r="J3079" s="8">
        <v>0</v>
      </c>
      <c r="K3079" s="9">
        <v>0</v>
      </c>
      <c r="L3079" s="10">
        <v>1</v>
      </c>
      <c r="M3079" s="6">
        <v>1</v>
      </c>
      <c r="N3079" s="37" cm="1">
        <f t="array" ref="N3079">IF(OR(ISNUMBER(FIND(Aux!$D$3:$D$9,_xlfn.TEXTJOIN(,,C3079:K3079)))),NA(),IF(AND(SUM(C3079:F3079,H3079:K3079)=0,G3079=1),0,INT((SUMPRODUCT(C3079:F3079,COLUMN($A$1:$D$1)-1)+SUMPRODUCT(H3079:K3079,COLUMN($E$1:$H$1)-1))*'Line Follower'!$C$3/SUM(C3079:F3079,H3079:K3079)-'Line Follower'!$C$5)))</f>
        <v>-5</v>
      </c>
      <c r="O3079" s="22">
        <v>1</v>
      </c>
      <c r="P3079" s="4">
        <f t="shared" si="240"/>
        <v>0</v>
      </c>
      <c r="Q3079" s="4">
        <f t="shared" si="241"/>
        <v>0</v>
      </c>
      <c r="R3079" s="4">
        <f>IF(AND(B3079=1,N3079&gt;'Line Follower'!$C$7,SUM(C3079:K3079)&lt;4),1,0)</f>
        <v>0</v>
      </c>
      <c r="S3079" s="4">
        <f>IF(AND(L3079=1,N3079&lt;'Line Follower'!$C$6,SUM(C3079:K3079)&lt;4),1,0)</f>
        <v>1</v>
      </c>
      <c r="T3079" s="4">
        <f t="shared" si="242"/>
        <v>0</v>
      </c>
      <c r="U3079" s="5">
        <f t="shared" si="243"/>
        <v>0</v>
      </c>
      <c r="V3079" s="23">
        <f t="shared" si="244"/>
        <v>0</v>
      </c>
    </row>
    <row r="3080" spans="2:22" x14ac:dyDescent="0.25">
      <c r="B3080" s="16">
        <v>1</v>
      </c>
      <c r="C3080" s="7">
        <v>0</v>
      </c>
      <c r="D3080" s="8">
        <v>1</v>
      </c>
      <c r="E3080" s="8">
        <v>0</v>
      </c>
      <c r="F3080" s="8">
        <v>0</v>
      </c>
      <c r="G3080" s="8">
        <v>0</v>
      </c>
      <c r="H3080" s="8">
        <v>0</v>
      </c>
      <c r="I3080" s="8">
        <v>0</v>
      </c>
      <c r="J3080" s="8">
        <v>0</v>
      </c>
      <c r="K3080" s="9">
        <v>0</v>
      </c>
      <c r="L3080" s="10">
        <v>1</v>
      </c>
      <c r="M3080" s="6">
        <v>1</v>
      </c>
      <c r="N3080" s="37" cm="1">
        <f t="array" ref="N3080">IF(OR(ISNUMBER(FIND(Aux!$D$3:$D$9,_xlfn.TEXTJOIN(,,C3080:K3080)))),NA(),IF(AND(SUM(C3080:F3080,H3080:K3080)=0,G3080=1),0,INT((SUMPRODUCT(C3080:F3080,COLUMN($A$1:$D$1)-1)+SUMPRODUCT(H3080:K3080,COLUMN($E$1:$H$1)-1))*'Line Follower'!$C$3/SUM(C3080:F3080,H3080:K3080)-'Line Follower'!$C$5)))</f>
        <v>-5</v>
      </c>
      <c r="O3080" s="22">
        <v>1</v>
      </c>
      <c r="P3080" s="4">
        <f t="shared" si="240"/>
        <v>0</v>
      </c>
      <c r="Q3080" s="4">
        <f t="shared" si="241"/>
        <v>0</v>
      </c>
      <c r="R3080" s="4">
        <f>IF(AND(B3080=1,N3080&gt;'Line Follower'!$C$7,SUM(C3080:K3080)&lt;4),1,0)</f>
        <v>1</v>
      </c>
      <c r="S3080" s="4">
        <f>IF(AND(L3080=1,N3080&lt;'Line Follower'!$C$6,SUM(C3080:K3080)&lt;4),1,0)</f>
        <v>1</v>
      </c>
      <c r="T3080" s="4">
        <f t="shared" si="242"/>
        <v>0</v>
      </c>
      <c r="U3080" s="5">
        <f t="shared" si="243"/>
        <v>0</v>
      </c>
      <c r="V3080" s="23">
        <f t="shared" si="244"/>
        <v>0</v>
      </c>
    </row>
    <row r="3081" spans="2:22" x14ac:dyDescent="0.25">
      <c r="B3081" s="16">
        <v>0</v>
      </c>
      <c r="C3081" s="7">
        <v>1</v>
      </c>
      <c r="D3081" s="8">
        <v>1</v>
      </c>
      <c r="E3081" s="8">
        <v>0</v>
      </c>
      <c r="F3081" s="8">
        <v>0</v>
      </c>
      <c r="G3081" s="8">
        <v>0</v>
      </c>
      <c r="H3081" s="8">
        <v>0</v>
      </c>
      <c r="I3081" s="8">
        <v>0</v>
      </c>
      <c r="J3081" s="8">
        <v>0</v>
      </c>
      <c r="K3081" s="9">
        <v>0</v>
      </c>
      <c r="L3081" s="10">
        <v>1</v>
      </c>
      <c r="M3081" s="6">
        <v>1</v>
      </c>
      <c r="N3081" s="37" cm="1">
        <f t="array" ref="N3081">IF(OR(ISNUMBER(FIND(Aux!$D$3:$D$9,_xlfn.TEXTJOIN(,,C3081:K3081)))),NA(),IF(AND(SUM(C3081:F3081,H3081:K3081)=0,G3081=1),0,INT((SUMPRODUCT(C3081:F3081,COLUMN($A$1:$D$1)-1)+SUMPRODUCT(H3081:K3081,COLUMN($E$1:$H$1)-1))*'Line Follower'!$C$3/SUM(C3081:F3081,H3081:K3081)-'Line Follower'!$C$5)))</f>
        <v>-6</v>
      </c>
      <c r="O3081" s="22">
        <v>1</v>
      </c>
      <c r="P3081" s="4">
        <f t="shared" si="240"/>
        <v>0</v>
      </c>
      <c r="Q3081" s="4">
        <f t="shared" si="241"/>
        <v>0</v>
      </c>
      <c r="R3081" s="4">
        <f>IF(AND(B3081=1,N3081&gt;'Line Follower'!$C$7,SUM(C3081:K3081)&lt;4),1,0)</f>
        <v>0</v>
      </c>
      <c r="S3081" s="4">
        <f>IF(AND(L3081=1,N3081&lt;'Line Follower'!$C$6,SUM(C3081:K3081)&lt;4),1,0)</f>
        <v>1</v>
      </c>
      <c r="T3081" s="4">
        <f t="shared" si="242"/>
        <v>0</v>
      </c>
      <c r="U3081" s="5">
        <f t="shared" si="243"/>
        <v>0</v>
      </c>
      <c r="V3081" s="23">
        <f t="shared" si="244"/>
        <v>0</v>
      </c>
    </row>
    <row r="3082" spans="2:22" x14ac:dyDescent="0.25">
      <c r="B3082" s="16">
        <v>1</v>
      </c>
      <c r="C3082" s="7">
        <v>1</v>
      </c>
      <c r="D3082" s="8">
        <v>1</v>
      </c>
      <c r="E3082" s="8">
        <v>0</v>
      </c>
      <c r="F3082" s="8">
        <v>0</v>
      </c>
      <c r="G3082" s="8">
        <v>0</v>
      </c>
      <c r="H3082" s="8">
        <v>0</v>
      </c>
      <c r="I3082" s="8">
        <v>0</v>
      </c>
      <c r="J3082" s="8">
        <v>0</v>
      </c>
      <c r="K3082" s="9">
        <v>0</v>
      </c>
      <c r="L3082" s="10">
        <v>1</v>
      </c>
      <c r="M3082" s="6">
        <v>1</v>
      </c>
      <c r="N3082" s="37" cm="1">
        <f t="array" ref="N3082">IF(OR(ISNUMBER(FIND(Aux!$D$3:$D$9,_xlfn.TEXTJOIN(,,C3082:K3082)))),NA(),IF(AND(SUM(C3082:F3082,H3082:K3082)=0,G3082=1),0,INT((SUMPRODUCT(C3082:F3082,COLUMN($A$1:$D$1)-1)+SUMPRODUCT(H3082:K3082,COLUMN($E$1:$H$1)-1))*'Line Follower'!$C$3/SUM(C3082:F3082,H3082:K3082)-'Line Follower'!$C$5)))</f>
        <v>-6</v>
      </c>
      <c r="O3082" s="22">
        <v>1</v>
      </c>
      <c r="P3082" s="4">
        <f t="shared" si="240"/>
        <v>0</v>
      </c>
      <c r="Q3082" s="4">
        <f t="shared" si="241"/>
        <v>0</v>
      </c>
      <c r="R3082" s="4">
        <f>IF(AND(B3082=1,N3082&gt;'Line Follower'!$C$7,SUM(C3082:K3082)&lt;4),1,0)</f>
        <v>1</v>
      </c>
      <c r="S3082" s="4">
        <f>IF(AND(L3082=1,N3082&lt;'Line Follower'!$C$6,SUM(C3082:K3082)&lt;4),1,0)</f>
        <v>1</v>
      </c>
      <c r="T3082" s="4">
        <f t="shared" si="242"/>
        <v>0</v>
      </c>
      <c r="U3082" s="5">
        <f t="shared" si="243"/>
        <v>0</v>
      </c>
      <c r="V3082" s="23">
        <f t="shared" si="244"/>
        <v>0</v>
      </c>
    </row>
    <row r="3083" spans="2:22" x14ac:dyDescent="0.25">
      <c r="B3083" s="16">
        <v>0</v>
      </c>
      <c r="C3083" s="7">
        <v>0</v>
      </c>
      <c r="D3083" s="8">
        <v>0</v>
      </c>
      <c r="E3083" s="8">
        <v>1</v>
      </c>
      <c r="F3083" s="8">
        <v>0</v>
      </c>
      <c r="G3083" s="8">
        <v>0</v>
      </c>
      <c r="H3083" s="8">
        <v>0</v>
      </c>
      <c r="I3083" s="8">
        <v>0</v>
      </c>
      <c r="J3083" s="8">
        <v>0</v>
      </c>
      <c r="K3083" s="9">
        <v>0</v>
      </c>
      <c r="L3083" s="10">
        <v>1</v>
      </c>
      <c r="M3083" s="6">
        <v>1</v>
      </c>
      <c r="N3083" s="37" cm="1">
        <f t="array" ref="N3083">IF(OR(ISNUMBER(FIND(Aux!$D$3:$D$9,_xlfn.TEXTJOIN(,,C3083:K3083)))),NA(),IF(AND(SUM(C3083:F3083,H3083:K3083)=0,G3083=1),0,INT((SUMPRODUCT(C3083:F3083,COLUMN($A$1:$D$1)-1)+SUMPRODUCT(H3083:K3083,COLUMN($E$1:$H$1)-1))*'Line Follower'!$C$3/SUM(C3083:F3083,H3083:K3083)-'Line Follower'!$C$5)))</f>
        <v>-3</v>
      </c>
      <c r="O3083" s="22">
        <v>1</v>
      </c>
      <c r="P3083" s="4">
        <f t="shared" si="240"/>
        <v>0</v>
      </c>
      <c r="Q3083" s="4">
        <f t="shared" si="241"/>
        <v>0</v>
      </c>
      <c r="R3083" s="4">
        <f>IF(AND(B3083=1,N3083&gt;'Line Follower'!$C$7,SUM(C3083:K3083)&lt;4),1,0)</f>
        <v>0</v>
      </c>
      <c r="S3083" s="4">
        <f>IF(AND(L3083=1,N3083&lt;'Line Follower'!$C$6,SUM(C3083:K3083)&lt;4),1,0)</f>
        <v>1</v>
      </c>
      <c r="T3083" s="4">
        <f t="shared" si="242"/>
        <v>0</v>
      </c>
      <c r="U3083" s="5">
        <f t="shared" si="243"/>
        <v>0</v>
      </c>
      <c r="V3083" s="23">
        <f t="shared" si="244"/>
        <v>0</v>
      </c>
    </row>
    <row r="3084" spans="2:22" x14ac:dyDescent="0.25">
      <c r="B3084" s="16">
        <v>1</v>
      </c>
      <c r="C3084" s="7">
        <v>0</v>
      </c>
      <c r="D3084" s="8">
        <v>0</v>
      </c>
      <c r="E3084" s="8">
        <v>1</v>
      </c>
      <c r="F3084" s="8">
        <v>0</v>
      </c>
      <c r="G3084" s="8">
        <v>0</v>
      </c>
      <c r="H3084" s="8">
        <v>0</v>
      </c>
      <c r="I3084" s="8">
        <v>0</v>
      </c>
      <c r="J3084" s="8">
        <v>0</v>
      </c>
      <c r="K3084" s="9">
        <v>0</v>
      </c>
      <c r="L3084" s="10">
        <v>1</v>
      </c>
      <c r="M3084" s="6">
        <v>1</v>
      </c>
      <c r="N3084" s="37" cm="1">
        <f t="array" ref="N3084">IF(OR(ISNUMBER(FIND(Aux!$D$3:$D$9,_xlfn.TEXTJOIN(,,C3084:K3084)))),NA(),IF(AND(SUM(C3084:F3084,H3084:K3084)=0,G3084=1),0,INT((SUMPRODUCT(C3084:F3084,COLUMN($A$1:$D$1)-1)+SUMPRODUCT(H3084:K3084,COLUMN($E$1:$H$1)-1))*'Line Follower'!$C$3/SUM(C3084:F3084,H3084:K3084)-'Line Follower'!$C$5)))</f>
        <v>-3</v>
      </c>
      <c r="O3084" s="22">
        <v>1</v>
      </c>
      <c r="P3084" s="4">
        <f t="shared" si="240"/>
        <v>0</v>
      </c>
      <c r="Q3084" s="4">
        <f t="shared" si="241"/>
        <v>0</v>
      </c>
      <c r="R3084" s="4">
        <f>IF(AND(B3084=1,N3084&gt;'Line Follower'!$C$7,SUM(C3084:K3084)&lt;4),1,0)</f>
        <v>1</v>
      </c>
      <c r="S3084" s="4">
        <f>IF(AND(L3084=1,N3084&lt;'Line Follower'!$C$6,SUM(C3084:K3084)&lt;4),1,0)</f>
        <v>1</v>
      </c>
      <c r="T3084" s="4">
        <f t="shared" si="242"/>
        <v>0</v>
      </c>
      <c r="U3084" s="5">
        <f t="shared" si="243"/>
        <v>0</v>
      </c>
      <c r="V3084" s="23">
        <f t="shared" si="244"/>
        <v>0</v>
      </c>
    </row>
    <row r="3085" spans="2:22" x14ac:dyDescent="0.25">
      <c r="B3085" s="16">
        <v>0</v>
      </c>
      <c r="C3085" s="7">
        <v>1</v>
      </c>
      <c r="D3085" s="8">
        <v>0</v>
      </c>
      <c r="E3085" s="8">
        <v>1</v>
      </c>
      <c r="F3085" s="8">
        <v>0</v>
      </c>
      <c r="G3085" s="8">
        <v>0</v>
      </c>
      <c r="H3085" s="8">
        <v>0</v>
      </c>
      <c r="I3085" s="8">
        <v>0</v>
      </c>
      <c r="J3085" s="8">
        <v>0</v>
      </c>
      <c r="K3085" s="9">
        <v>0</v>
      </c>
      <c r="L3085" s="10">
        <v>1</v>
      </c>
      <c r="M3085" s="6">
        <v>1</v>
      </c>
      <c r="N3085" s="37" t="e" cm="1">
        <f t="array" ref="N3085">IF(OR(ISNUMBER(FIND(Aux!$D$3:$D$9,_xlfn.TEXTJOIN(,,C3085:K3085)))),NA(),IF(AND(SUM(C3085:F3085,H3085:K3085)=0,G3085=1),0,INT((SUMPRODUCT(C3085:F3085,COLUMN($A$1:$D$1)-1)+SUMPRODUCT(H3085:K3085,COLUMN($E$1:$H$1)-1))*'Line Follower'!$C$3/SUM(C3085:F3085,H3085:K3085)-'Line Follower'!$C$5)))</f>
        <v>#N/A</v>
      </c>
      <c r="O3085" s="22" t="e">
        <v>#N/A</v>
      </c>
      <c r="P3085" s="4" t="e">
        <f t="shared" si="240"/>
        <v>#N/A</v>
      </c>
      <c r="Q3085" s="4" t="e">
        <f t="shared" si="241"/>
        <v>#N/A</v>
      </c>
      <c r="R3085" s="4" t="e">
        <f>IF(AND(B3085=1,N3085&gt;'Line Follower'!$C$7,SUM(C3085:K3085)&lt;4),1,0)</f>
        <v>#N/A</v>
      </c>
      <c r="S3085" s="4" t="e">
        <f>IF(AND(L3085=1,N3085&lt;'Line Follower'!$C$6,SUM(C3085:K3085)&lt;4),1,0)</f>
        <v>#N/A</v>
      </c>
      <c r="T3085" s="4" t="e">
        <f t="shared" si="242"/>
        <v>#N/A</v>
      </c>
      <c r="U3085" s="5" t="e">
        <f t="shared" si="243"/>
        <v>#N/A</v>
      </c>
      <c r="V3085" s="23" t="e">
        <f t="shared" si="244"/>
        <v>#N/A</v>
      </c>
    </row>
    <row r="3086" spans="2:22" x14ac:dyDescent="0.25">
      <c r="B3086" s="16">
        <v>1</v>
      </c>
      <c r="C3086" s="7">
        <v>1</v>
      </c>
      <c r="D3086" s="8">
        <v>0</v>
      </c>
      <c r="E3086" s="8">
        <v>1</v>
      </c>
      <c r="F3086" s="8">
        <v>0</v>
      </c>
      <c r="G3086" s="8">
        <v>0</v>
      </c>
      <c r="H3086" s="8">
        <v>0</v>
      </c>
      <c r="I3086" s="8">
        <v>0</v>
      </c>
      <c r="J3086" s="8">
        <v>0</v>
      </c>
      <c r="K3086" s="9">
        <v>0</v>
      </c>
      <c r="L3086" s="10">
        <v>1</v>
      </c>
      <c r="M3086" s="6">
        <v>1</v>
      </c>
      <c r="N3086" s="37" t="e" cm="1">
        <f t="array" ref="N3086">IF(OR(ISNUMBER(FIND(Aux!$D$3:$D$9,_xlfn.TEXTJOIN(,,C3086:K3086)))),NA(),IF(AND(SUM(C3086:F3086,H3086:K3086)=0,G3086=1),0,INT((SUMPRODUCT(C3086:F3086,COLUMN($A$1:$D$1)-1)+SUMPRODUCT(H3086:K3086,COLUMN($E$1:$H$1)-1))*'Line Follower'!$C$3/SUM(C3086:F3086,H3086:K3086)-'Line Follower'!$C$5)))</f>
        <v>#N/A</v>
      </c>
      <c r="O3086" s="22" t="e">
        <v>#N/A</v>
      </c>
      <c r="P3086" s="4" t="e">
        <f t="shared" si="240"/>
        <v>#N/A</v>
      </c>
      <c r="Q3086" s="4" t="e">
        <f t="shared" si="241"/>
        <v>#N/A</v>
      </c>
      <c r="R3086" s="4" t="e">
        <f>IF(AND(B3086=1,N3086&gt;'Line Follower'!$C$7,SUM(C3086:K3086)&lt;4),1,0)</f>
        <v>#N/A</v>
      </c>
      <c r="S3086" s="4" t="e">
        <f>IF(AND(L3086=1,N3086&lt;'Line Follower'!$C$6,SUM(C3086:K3086)&lt;4),1,0)</f>
        <v>#N/A</v>
      </c>
      <c r="T3086" s="4" t="e">
        <f t="shared" si="242"/>
        <v>#N/A</v>
      </c>
      <c r="U3086" s="5" t="e">
        <f t="shared" si="243"/>
        <v>#N/A</v>
      </c>
      <c r="V3086" s="23" t="e">
        <f t="shared" si="244"/>
        <v>#N/A</v>
      </c>
    </row>
    <row r="3087" spans="2:22" x14ac:dyDescent="0.25">
      <c r="B3087" s="16">
        <v>0</v>
      </c>
      <c r="C3087" s="7">
        <v>0</v>
      </c>
      <c r="D3087" s="8">
        <v>1</v>
      </c>
      <c r="E3087" s="8">
        <v>1</v>
      </c>
      <c r="F3087" s="8">
        <v>0</v>
      </c>
      <c r="G3087" s="8">
        <v>0</v>
      </c>
      <c r="H3087" s="8">
        <v>0</v>
      </c>
      <c r="I3087" s="8">
        <v>0</v>
      </c>
      <c r="J3087" s="8">
        <v>0</v>
      </c>
      <c r="K3087" s="9">
        <v>0</v>
      </c>
      <c r="L3087" s="10">
        <v>1</v>
      </c>
      <c r="M3087" s="6">
        <v>1</v>
      </c>
      <c r="N3087" s="37" cm="1">
        <f t="array" ref="N3087">IF(OR(ISNUMBER(FIND(Aux!$D$3:$D$9,_xlfn.TEXTJOIN(,,C3087:K3087)))),NA(),IF(AND(SUM(C3087:F3087,H3087:K3087)=0,G3087=1),0,INT((SUMPRODUCT(C3087:F3087,COLUMN($A$1:$D$1)-1)+SUMPRODUCT(H3087:K3087,COLUMN($E$1:$H$1)-1))*'Line Follower'!$C$3/SUM(C3087:F3087,H3087:K3087)-'Line Follower'!$C$5)))</f>
        <v>-4</v>
      </c>
      <c r="O3087" s="22">
        <v>1</v>
      </c>
      <c r="P3087" s="4">
        <f t="shared" si="240"/>
        <v>0</v>
      </c>
      <c r="Q3087" s="4">
        <f t="shared" si="241"/>
        <v>0</v>
      </c>
      <c r="R3087" s="4">
        <f>IF(AND(B3087=1,N3087&gt;'Line Follower'!$C$7,SUM(C3087:K3087)&lt;4),1,0)</f>
        <v>0</v>
      </c>
      <c r="S3087" s="4">
        <f>IF(AND(L3087=1,N3087&lt;'Line Follower'!$C$6,SUM(C3087:K3087)&lt;4),1,0)</f>
        <v>1</v>
      </c>
      <c r="T3087" s="4">
        <f t="shared" si="242"/>
        <v>0</v>
      </c>
      <c r="U3087" s="5">
        <f t="shared" si="243"/>
        <v>0</v>
      </c>
      <c r="V3087" s="23">
        <f t="shared" si="244"/>
        <v>0</v>
      </c>
    </row>
    <row r="3088" spans="2:22" x14ac:dyDescent="0.25">
      <c r="B3088" s="16">
        <v>1</v>
      </c>
      <c r="C3088" s="7">
        <v>0</v>
      </c>
      <c r="D3088" s="8">
        <v>1</v>
      </c>
      <c r="E3088" s="8">
        <v>1</v>
      </c>
      <c r="F3088" s="8">
        <v>0</v>
      </c>
      <c r="G3088" s="8">
        <v>0</v>
      </c>
      <c r="H3088" s="8">
        <v>0</v>
      </c>
      <c r="I3088" s="8">
        <v>0</v>
      </c>
      <c r="J3088" s="8">
        <v>0</v>
      </c>
      <c r="K3088" s="9">
        <v>0</v>
      </c>
      <c r="L3088" s="10">
        <v>1</v>
      </c>
      <c r="M3088" s="6">
        <v>1</v>
      </c>
      <c r="N3088" s="37" cm="1">
        <f t="array" ref="N3088">IF(OR(ISNUMBER(FIND(Aux!$D$3:$D$9,_xlfn.TEXTJOIN(,,C3088:K3088)))),NA(),IF(AND(SUM(C3088:F3088,H3088:K3088)=0,G3088=1),0,INT((SUMPRODUCT(C3088:F3088,COLUMN($A$1:$D$1)-1)+SUMPRODUCT(H3088:K3088,COLUMN($E$1:$H$1)-1))*'Line Follower'!$C$3/SUM(C3088:F3088,H3088:K3088)-'Line Follower'!$C$5)))</f>
        <v>-4</v>
      </c>
      <c r="O3088" s="22">
        <v>1</v>
      </c>
      <c r="P3088" s="4">
        <f t="shared" si="240"/>
        <v>0</v>
      </c>
      <c r="Q3088" s="4">
        <f t="shared" si="241"/>
        <v>0</v>
      </c>
      <c r="R3088" s="4">
        <f>IF(AND(B3088=1,N3088&gt;'Line Follower'!$C$7,SUM(C3088:K3088)&lt;4),1,0)</f>
        <v>1</v>
      </c>
      <c r="S3088" s="4">
        <f>IF(AND(L3088=1,N3088&lt;'Line Follower'!$C$6,SUM(C3088:K3088)&lt;4),1,0)</f>
        <v>1</v>
      </c>
      <c r="T3088" s="4">
        <f t="shared" si="242"/>
        <v>0</v>
      </c>
      <c r="U3088" s="5">
        <f t="shared" si="243"/>
        <v>0</v>
      </c>
      <c r="V3088" s="23">
        <f t="shared" si="244"/>
        <v>0</v>
      </c>
    </row>
    <row r="3089" spans="2:22" x14ac:dyDescent="0.25">
      <c r="B3089" s="16">
        <v>0</v>
      </c>
      <c r="C3089" s="7">
        <v>1</v>
      </c>
      <c r="D3089" s="8">
        <v>1</v>
      </c>
      <c r="E3089" s="8">
        <v>1</v>
      </c>
      <c r="F3089" s="8">
        <v>0</v>
      </c>
      <c r="G3089" s="8">
        <v>0</v>
      </c>
      <c r="H3089" s="8">
        <v>0</v>
      </c>
      <c r="I3089" s="8">
        <v>0</v>
      </c>
      <c r="J3089" s="8">
        <v>0</v>
      </c>
      <c r="K3089" s="9">
        <v>0</v>
      </c>
      <c r="L3089" s="10">
        <v>1</v>
      </c>
      <c r="M3089" s="6">
        <v>1</v>
      </c>
      <c r="N3089" s="37" cm="1">
        <f t="array" ref="N3089">IF(OR(ISNUMBER(FIND(Aux!$D$3:$D$9,_xlfn.TEXTJOIN(,,C3089:K3089)))),NA(),IF(AND(SUM(C3089:F3089,H3089:K3089)=0,G3089=1),0,INT((SUMPRODUCT(C3089:F3089,COLUMN($A$1:$D$1)-1)+SUMPRODUCT(H3089:K3089,COLUMN($E$1:$H$1)-1))*'Line Follower'!$C$3/SUM(C3089:F3089,H3089:K3089)-'Line Follower'!$C$5)))</f>
        <v>-5</v>
      </c>
      <c r="O3089" s="22">
        <v>1</v>
      </c>
      <c r="P3089" s="4">
        <f t="shared" si="240"/>
        <v>0</v>
      </c>
      <c r="Q3089" s="4">
        <f t="shared" si="241"/>
        <v>0</v>
      </c>
      <c r="R3089" s="4">
        <f>IF(AND(B3089=1,N3089&gt;'Line Follower'!$C$7,SUM(C3089:K3089)&lt;4),1,0)</f>
        <v>0</v>
      </c>
      <c r="S3089" s="4">
        <f>IF(AND(L3089=1,N3089&lt;'Line Follower'!$C$6,SUM(C3089:K3089)&lt;4),1,0)</f>
        <v>1</v>
      </c>
      <c r="T3089" s="4">
        <f t="shared" si="242"/>
        <v>0</v>
      </c>
      <c r="U3089" s="5">
        <f t="shared" si="243"/>
        <v>0</v>
      </c>
      <c r="V3089" s="23">
        <f t="shared" si="244"/>
        <v>0</v>
      </c>
    </row>
    <row r="3090" spans="2:22" x14ac:dyDescent="0.25">
      <c r="B3090" s="16">
        <v>1</v>
      </c>
      <c r="C3090" s="7">
        <v>1</v>
      </c>
      <c r="D3090" s="8">
        <v>1</v>
      </c>
      <c r="E3090" s="8">
        <v>1</v>
      </c>
      <c r="F3090" s="8">
        <v>0</v>
      </c>
      <c r="G3090" s="8">
        <v>0</v>
      </c>
      <c r="H3090" s="8">
        <v>0</v>
      </c>
      <c r="I3090" s="8">
        <v>0</v>
      </c>
      <c r="J3090" s="8">
        <v>0</v>
      </c>
      <c r="K3090" s="9">
        <v>0</v>
      </c>
      <c r="L3090" s="10">
        <v>1</v>
      </c>
      <c r="M3090" s="6">
        <v>1</v>
      </c>
      <c r="N3090" s="37" cm="1">
        <f t="array" ref="N3090">IF(OR(ISNUMBER(FIND(Aux!$D$3:$D$9,_xlfn.TEXTJOIN(,,C3090:K3090)))),NA(),IF(AND(SUM(C3090:F3090,H3090:K3090)=0,G3090=1),0,INT((SUMPRODUCT(C3090:F3090,COLUMN($A$1:$D$1)-1)+SUMPRODUCT(H3090:K3090,COLUMN($E$1:$H$1)-1))*'Line Follower'!$C$3/SUM(C3090:F3090,H3090:K3090)-'Line Follower'!$C$5)))</f>
        <v>-5</v>
      </c>
      <c r="O3090" s="22">
        <v>1</v>
      </c>
      <c r="P3090" s="4">
        <f t="shared" si="240"/>
        <v>0</v>
      </c>
      <c r="Q3090" s="4">
        <f t="shared" si="241"/>
        <v>0</v>
      </c>
      <c r="R3090" s="4">
        <f>IF(AND(B3090=1,N3090&gt;'Line Follower'!$C$7,SUM(C3090:K3090)&lt;4),1,0)</f>
        <v>1</v>
      </c>
      <c r="S3090" s="4">
        <f>IF(AND(L3090=1,N3090&lt;'Line Follower'!$C$6,SUM(C3090:K3090)&lt;4),1,0)</f>
        <v>1</v>
      </c>
      <c r="T3090" s="4">
        <f t="shared" si="242"/>
        <v>0</v>
      </c>
      <c r="U3090" s="5">
        <f t="shared" si="243"/>
        <v>0</v>
      </c>
      <c r="V3090" s="23">
        <f t="shared" si="244"/>
        <v>0</v>
      </c>
    </row>
    <row r="3091" spans="2:22" x14ac:dyDescent="0.25">
      <c r="B3091" s="16">
        <v>0</v>
      </c>
      <c r="C3091" s="7">
        <v>0</v>
      </c>
      <c r="D3091" s="8">
        <v>0</v>
      </c>
      <c r="E3091" s="8">
        <v>0</v>
      </c>
      <c r="F3091" s="8">
        <v>1</v>
      </c>
      <c r="G3091" s="8">
        <v>0</v>
      </c>
      <c r="H3091" s="8">
        <v>0</v>
      </c>
      <c r="I3091" s="8">
        <v>0</v>
      </c>
      <c r="J3091" s="8">
        <v>0</v>
      </c>
      <c r="K3091" s="9">
        <v>0</v>
      </c>
      <c r="L3091" s="10">
        <v>1</v>
      </c>
      <c r="M3091" s="6">
        <v>1</v>
      </c>
      <c r="N3091" s="37" cm="1">
        <f t="array" ref="N3091">IF(OR(ISNUMBER(FIND(Aux!$D$3:$D$9,_xlfn.TEXTJOIN(,,C3091:K3091)))),NA(),IF(AND(SUM(C3091:F3091,H3091:K3091)=0,G3091=1),0,INT((SUMPRODUCT(C3091:F3091,COLUMN($A$1:$D$1)-1)+SUMPRODUCT(H3091:K3091,COLUMN($E$1:$H$1)-1))*'Line Follower'!$C$3/SUM(C3091:F3091,H3091:K3091)-'Line Follower'!$C$5)))</f>
        <v>-1</v>
      </c>
      <c r="O3091" s="22">
        <v>1</v>
      </c>
      <c r="P3091" s="4">
        <f t="shared" si="240"/>
        <v>0</v>
      </c>
      <c r="Q3091" s="4">
        <f t="shared" si="241"/>
        <v>0</v>
      </c>
      <c r="R3091" s="4">
        <f>IF(AND(B3091=1,N3091&gt;'Line Follower'!$C$7,SUM(C3091:K3091)&lt;4),1,0)</f>
        <v>0</v>
      </c>
      <c r="S3091" s="4">
        <f>IF(AND(L3091=1,N3091&lt;'Line Follower'!$C$6,SUM(C3091:K3091)&lt;4),1,0)</f>
        <v>1</v>
      </c>
      <c r="T3091" s="4">
        <f t="shared" si="242"/>
        <v>0</v>
      </c>
      <c r="U3091" s="5">
        <f t="shared" si="243"/>
        <v>0</v>
      </c>
      <c r="V3091" s="23">
        <f t="shared" si="244"/>
        <v>0</v>
      </c>
    </row>
    <row r="3092" spans="2:22" x14ac:dyDescent="0.25">
      <c r="B3092" s="16">
        <v>1</v>
      </c>
      <c r="C3092" s="7">
        <v>0</v>
      </c>
      <c r="D3092" s="8">
        <v>0</v>
      </c>
      <c r="E3092" s="8">
        <v>0</v>
      </c>
      <c r="F3092" s="8">
        <v>1</v>
      </c>
      <c r="G3092" s="8">
        <v>0</v>
      </c>
      <c r="H3092" s="8">
        <v>0</v>
      </c>
      <c r="I3092" s="8">
        <v>0</v>
      </c>
      <c r="J3092" s="8">
        <v>0</v>
      </c>
      <c r="K3092" s="9">
        <v>0</v>
      </c>
      <c r="L3092" s="10">
        <v>1</v>
      </c>
      <c r="M3092" s="6">
        <v>1</v>
      </c>
      <c r="N3092" s="37" cm="1">
        <f t="array" ref="N3092">IF(OR(ISNUMBER(FIND(Aux!$D$3:$D$9,_xlfn.TEXTJOIN(,,C3092:K3092)))),NA(),IF(AND(SUM(C3092:F3092,H3092:K3092)=0,G3092=1),0,INT((SUMPRODUCT(C3092:F3092,COLUMN($A$1:$D$1)-1)+SUMPRODUCT(H3092:K3092,COLUMN($E$1:$H$1)-1))*'Line Follower'!$C$3/SUM(C3092:F3092,H3092:K3092)-'Line Follower'!$C$5)))</f>
        <v>-1</v>
      </c>
      <c r="O3092" s="22">
        <v>1</v>
      </c>
      <c r="P3092" s="4">
        <f t="shared" si="240"/>
        <v>0</v>
      </c>
      <c r="Q3092" s="4">
        <f t="shared" si="241"/>
        <v>0</v>
      </c>
      <c r="R3092" s="4">
        <f>IF(AND(B3092=1,N3092&gt;'Line Follower'!$C$7,SUM(C3092:K3092)&lt;4),1,0)</f>
        <v>1</v>
      </c>
      <c r="S3092" s="4">
        <f>IF(AND(L3092=1,N3092&lt;'Line Follower'!$C$6,SUM(C3092:K3092)&lt;4),1,0)</f>
        <v>1</v>
      </c>
      <c r="T3092" s="4">
        <f t="shared" si="242"/>
        <v>0</v>
      </c>
      <c r="U3092" s="5">
        <f t="shared" si="243"/>
        <v>0</v>
      </c>
      <c r="V3092" s="23">
        <f t="shared" si="244"/>
        <v>0</v>
      </c>
    </row>
    <row r="3093" spans="2:22" x14ac:dyDescent="0.25">
      <c r="B3093" s="16">
        <v>0</v>
      </c>
      <c r="C3093" s="7">
        <v>1</v>
      </c>
      <c r="D3093" s="8">
        <v>0</v>
      </c>
      <c r="E3093" s="8">
        <v>0</v>
      </c>
      <c r="F3093" s="8">
        <v>1</v>
      </c>
      <c r="G3093" s="8">
        <v>0</v>
      </c>
      <c r="H3093" s="8">
        <v>0</v>
      </c>
      <c r="I3093" s="8">
        <v>0</v>
      </c>
      <c r="J3093" s="8">
        <v>0</v>
      </c>
      <c r="K3093" s="9">
        <v>0</v>
      </c>
      <c r="L3093" s="10">
        <v>1</v>
      </c>
      <c r="M3093" s="6">
        <v>1</v>
      </c>
      <c r="N3093" s="37" t="e" cm="1">
        <f t="array" ref="N3093">IF(OR(ISNUMBER(FIND(Aux!$D$3:$D$9,_xlfn.TEXTJOIN(,,C3093:K3093)))),NA(),IF(AND(SUM(C3093:F3093,H3093:K3093)=0,G3093=1),0,INT((SUMPRODUCT(C3093:F3093,COLUMN($A$1:$D$1)-1)+SUMPRODUCT(H3093:K3093,COLUMN($E$1:$H$1)-1))*'Line Follower'!$C$3/SUM(C3093:F3093,H3093:K3093)-'Line Follower'!$C$5)))</f>
        <v>#N/A</v>
      </c>
      <c r="O3093" s="22" t="e">
        <v>#N/A</v>
      </c>
      <c r="P3093" s="4" t="e">
        <f t="shared" si="240"/>
        <v>#N/A</v>
      </c>
      <c r="Q3093" s="4" t="e">
        <f t="shared" si="241"/>
        <v>#N/A</v>
      </c>
      <c r="R3093" s="4" t="e">
        <f>IF(AND(B3093=1,N3093&gt;'Line Follower'!$C$7,SUM(C3093:K3093)&lt;4),1,0)</f>
        <v>#N/A</v>
      </c>
      <c r="S3093" s="4" t="e">
        <f>IF(AND(L3093=1,N3093&lt;'Line Follower'!$C$6,SUM(C3093:K3093)&lt;4),1,0)</f>
        <v>#N/A</v>
      </c>
      <c r="T3093" s="4" t="e">
        <f t="shared" si="242"/>
        <v>#N/A</v>
      </c>
      <c r="U3093" s="5" t="e">
        <f t="shared" si="243"/>
        <v>#N/A</v>
      </c>
      <c r="V3093" s="23" t="e">
        <f t="shared" si="244"/>
        <v>#N/A</v>
      </c>
    </row>
    <row r="3094" spans="2:22" x14ac:dyDescent="0.25">
      <c r="B3094" s="16">
        <v>1</v>
      </c>
      <c r="C3094" s="7">
        <v>1</v>
      </c>
      <c r="D3094" s="8">
        <v>0</v>
      </c>
      <c r="E3094" s="8">
        <v>0</v>
      </c>
      <c r="F3094" s="8">
        <v>1</v>
      </c>
      <c r="G3094" s="8">
        <v>0</v>
      </c>
      <c r="H3094" s="8">
        <v>0</v>
      </c>
      <c r="I3094" s="8">
        <v>0</v>
      </c>
      <c r="J3094" s="8">
        <v>0</v>
      </c>
      <c r="K3094" s="9">
        <v>0</v>
      </c>
      <c r="L3094" s="10">
        <v>1</v>
      </c>
      <c r="M3094" s="6">
        <v>1</v>
      </c>
      <c r="N3094" s="37" t="e" cm="1">
        <f t="array" ref="N3094">IF(OR(ISNUMBER(FIND(Aux!$D$3:$D$9,_xlfn.TEXTJOIN(,,C3094:K3094)))),NA(),IF(AND(SUM(C3094:F3094,H3094:K3094)=0,G3094=1),0,INT((SUMPRODUCT(C3094:F3094,COLUMN($A$1:$D$1)-1)+SUMPRODUCT(H3094:K3094,COLUMN($E$1:$H$1)-1))*'Line Follower'!$C$3/SUM(C3094:F3094,H3094:K3094)-'Line Follower'!$C$5)))</f>
        <v>#N/A</v>
      </c>
      <c r="O3094" s="22" t="e">
        <v>#N/A</v>
      </c>
      <c r="P3094" s="4" t="e">
        <f t="shared" si="240"/>
        <v>#N/A</v>
      </c>
      <c r="Q3094" s="4" t="e">
        <f t="shared" si="241"/>
        <v>#N/A</v>
      </c>
      <c r="R3094" s="4" t="e">
        <f>IF(AND(B3094=1,N3094&gt;'Line Follower'!$C$7,SUM(C3094:K3094)&lt;4),1,0)</f>
        <v>#N/A</v>
      </c>
      <c r="S3094" s="4" t="e">
        <f>IF(AND(L3094=1,N3094&lt;'Line Follower'!$C$6,SUM(C3094:K3094)&lt;4),1,0)</f>
        <v>#N/A</v>
      </c>
      <c r="T3094" s="4" t="e">
        <f t="shared" si="242"/>
        <v>#N/A</v>
      </c>
      <c r="U3094" s="5" t="e">
        <f t="shared" si="243"/>
        <v>#N/A</v>
      </c>
      <c r="V3094" s="23" t="e">
        <f t="shared" si="244"/>
        <v>#N/A</v>
      </c>
    </row>
    <row r="3095" spans="2:22" x14ac:dyDescent="0.25">
      <c r="B3095" s="16">
        <v>0</v>
      </c>
      <c r="C3095" s="7">
        <v>0</v>
      </c>
      <c r="D3095" s="8">
        <v>1</v>
      </c>
      <c r="E3095" s="8">
        <v>0</v>
      </c>
      <c r="F3095" s="8">
        <v>1</v>
      </c>
      <c r="G3095" s="8">
        <v>0</v>
      </c>
      <c r="H3095" s="8">
        <v>0</v>
      </c>
      <c r="I3095" s="8">
        <v>0</v>
      </c>
      <c r="J3095" s="8">
        <v>0</v>
      </c>
      <c r="K3095" s="9">
        <v>0</v>
      </c>
      <c r="L3095" s="10">
        <v>1</v>
      </c>
      <c r="M3095" s="6">
        <v>1</v>
      </c>
      <c r="N3095" s="37" t="e" cm="1">
        <f t="array" ref="N3095">IF(OR(ISNUMBER(FIND(Aux!$D$3:$D$9,_xlfn.TEXTJOIN(,,C3095:K3095)))),NA(),IF(AND(SUM(C3095:F3095,H3095:K3095)=0,G3095=1),0,INT((SUMPRODUCT(C3095:F3095,COLUMN($A$1:$D$1)-1)+SUMPRODUCT(H3095:K3095,COLUMN($E$1:$H$1)-1))*'Line Follower'!$C$3/SUM(C3095:F3095,H3095:K3095)-'Line Follower'!$C$5)))</f>
        <v>#N/A</v>
      </c>
      <c r="O3095" s="22" t="e">
        <v>#N/A</v>
      </c>
      <c r="P3095" s="4" t="e">
        <f t="shared" si="240"/>
        <v>#N/A</v>
      </c>
      <c r="Q3095" s="4" t="e">
        <f t="shared" si="241"/>
        <v>#N/A</v>
      </c>
      <c r="R3095" s="4" t="e">
        <f>IF(AND(B3095=1,N3095&gt;'Line Follower'!$C$7,SUM(C3095:K3095)&lt;4),1,0)</f>
        <v>#N/A</v>
      </c>
      <c r="S3095" s="4" t="e">
        <f>IF(AND(L3095=1,N3095&lt;'Line Follower'!$C$6,SUM(C3095:K3095)&lt;4),1,0)</f>
        <v>#N/A</v>
      </c>
      <c r="T3095" s="4" t="e">
        <f t="shared" si="242"/>
        <v>#N/A</v>
      </c>
      <c r="U3095" s="5" t="e">
        <f t="shared" si="243"/>
        <v>#N/A</v>
      </c>
      <c r="V3095" s="23" t="e">
        <f t="shared" si="244"/>
        <v>#N/A</v>
      </c>
    </row>
    <row r="3096" spans="2:22" x14ac:dyDescent="0.25">
      <c r="B3096" s="16">
        <v>1</v>
      </c>
      <c r="C3096" s="7">
        <v>0</v>
      </c>
      <c r="D3096" s="8">
        <v>1</v>
      </c>
      <c r="E3096" s="8">
        <v>0</v>
      </c>
      <c r="F3096" s="8">
        <v>1</v>
      </c>
      <c r="G3096" s="8">
        <v>0</v>
      </c>
      <c r="H3096" s="8">
        <v>0</v>
      </c>
      <c r="I3096" s="8">
        <v>0</v>
      </c>
      <c r="J3096" s="8">
        <v>0</v>
      </c>
      <c r="K3096" s="9">
        <v>0</v>
      </c>
      <c r="L3096" s="10">
        <v>1</v>
      </c>
      <c r="M3096" s="6">
        <v>1</v>
      </c>
      <c r="N3096" s="37" t="e" cm="1">
        <f t="array" ref="N3096">IF(OR(ISNUMBER(FIND(Aux!$D$3:$D$9,_xlfn.TEXTJOIN(,,C3096:K3096)))),NA(),IF(AND(SUM(C3096:F3096,H3096:K3096)=0,G3096=1),0,INT((SUMPRODUCT(C3096:F3096,COLUMN($A$1:$D$1)-1)+SUMPRODUCT(H3096:K3096,COLUMN($E$1:$H$1)-1))*'Line Follower'!$C$3/SUM(C3096:F3096,H3096:K3096)-'Line Follower'!$C$5)))</f>
        <v>#N/A</v>
      </c>
      <c r="O3096" s="22" t="e">
        <v>#N/A</v>
      </c>
      <c r="P3096" s="4" t="e">
        <f t="shared" si="240"/>
        <v>#N/A</v>
      </c>
      <c r="Q3096" s="4" t="e">
        <f t="shared" si="241"/>
        <v>#N/A</v>
      </c>
      <c r="R3096" s="4" t="e">
        <f>IF(AND(B3096=1,N3096&gt;'Line Follower'!$C$7,SUM(C3096:K3096)&lt;4),1,0)</f>
        <v>#N/A</v>
      </c>
      <c r="S3096" s="4" t="e">
        <f>IF(AND(L3096=1,N3096&lt;'Line Follower'!$C$6,SUM(C3096:K3096)&lt;4),1,0)</f>
        <v>#N/A</v>
      </c>
      <c r="T3096" s="4" t="e">
        <f t="shared" si="242"/>
        <v>#N/A</v>
      </c>
      <c r="U3096" s="5" t="e">
        <f t="shared" si="243"/>
        <v>#N/A</v>
      </c>
      <c r="V3096" s="23" t="e">
        <f t="shared" si="244"/>
        <v>#N/A</v>
      </c>
    </row>
    <row r="3097" spans="2:22" x14ac:dyDescent="0.25">
      <c r="B3097" s="16">
        <v>0</v>
      </c>
      <c r="C3097" s="7">
        <v>1</v>
      </c>
      <c r="D3097" s="8">
        <v>1</v>
      </c>
      <c r="E3097" s="8">
        <v>0</v>
      </c>
      <c r="F3097" s="8">
        <v>1</v>
      </c>
      <c r="G3097" s="8">
        <v>0</v>
      </c>
      <c r="H3097" s="8">
        <v>0</v>
      </c>
      <c r="I3097" s="8">
        <v>0</v>
      </c>
      <c r="J3097" s="8">
        <v>0</v>
      </c>
      <c r="K3097" s="9">
        <v>0</v>
      </c>
      <c r="L3097" s="10">
        <v>1</v>
      </c>
      <c r="M3097" s="6">
        <v>1</v>
      </c>
      <c r="N3097" s="37" t="e" cm="1">
        <f t="array" ref="N3097">IF(OR(ISNUMBER(FIND(Aux!$D$3:$D$9,_xlfn.TEXTJOIN(,,C3097:K3097)))),NA(),IF(AND(SUM(C3097:F3097,H3097:K3097)=0,G3097=1),0,INT((SUMPRODUCT(C3097:F3097,COLUMN($A$1:$D$1)-1)+SUMPRODUCT(H3097:K3097,COLUMN($E$1:$H$1)-1))*'Line Follower'!$C$3/SUM(C3097:F3097,H3097:K3097)-'Line Follower'!$C$5)))</f>
        <v>#N/A</v>
      </c>
      <c r="O3097" s="22" t="e">
        <v>#N/A</v>
      </c>
      <c r="P3097" s="4" t="e">
        <f t="shared" si="240"/>
        <v>#N/A</v>
      </c>
      <c r="Q3097" s="4" t="e">
        <f t="shared" si="241"/>
        <v>#N/A</v>
      </c>
      <c r="R3097" s="4" t="e">
        <f>IF(AND(B3097=1,N3097&gt;'Line Follower'!$C$7,SUM(C3097:K3097)&lt;4),1,0)</f>
        <v>#N/A</v>
      </c>
      <c r="S3097" s="4" t="e">
        <f>IF(AND(L3097=1,N3097&lt;'Line Follower'!$C$6,SUM(C3097:K3097)&lt;4),1,0)</f>
        <v>#N/A</v>
      </c>
      <c r="T3097" s="4" t="e">
        <f t="shared" si="242"/>
        <v>#N/A</v>
      </c>
      <c r="U3097" s="5" t="e">
        <f t="shared" si="243"/>
        <v>#N/A</v>
      </c>
      <c r="V3097" s="23" t="e">
        <f t="shared" si="244"/>
        <v>#N/A</v>
      </c>
    </row>
    <row r="3098" spans="2:22" x14ac:dyDescent="0.25">
      <c r="B3098" s="16">
        <v>1</v>
      </c>
      <c r="C3098" s="7">
        <v>1</v>
      </c>
      <c r="D3098" s="8">
        <v>1</v>
      </c>
      <c r="E3098" s="8">
        <v>0</v>
      </c>
      <c r="F3098" s="8">
        <v>1</v>
      </c>
      <c r="G3098" s="8">
        <v>0</v>
      </c>
      <c r="H3098" s="8">
        <v>0</v>
      </c>
      <c r="I3098" s="8">
        <v>0</v>
      </c>
      <c r="J3098" s="8">
        <v>0</v>
      </c>
      <c r="K3098" s="9">
        <v>0</v>
      </c>
      <c r="L3098" s="10">
        <v>1</v>
      </c>
      <c r="M3098" s="6">
        <v>1</v>
      </c>
      <c r="N3098" s="37" t="e" cm="1">
        <f t="array" ref="N3098">IF(OR(ISNUMBER(FIND(Aux!$D$3:$D$9,_xlfn.TEXTJOIN(,,C3098:K3098)))),NA(),IF(AND(SUM(C3098:F3098,H3098:K3098)=0,G3098=1),0,INT((SUMPRODUCT(C3098:F3098,COLUMN($A$1:$D$1)-1)+SUMPRODUCT(H3098:K3098,COLUMN($E$1:$H$1)-1))*'Line Follower'!$C$3/SUM(C3098:F3098,H3098:K3098)-'Line Follower'!$C$5)))</f>
        <v>#N/A</v>
      </c>
      <c r="O3098" s="22" t="e">
        <v>#N/A</v>
      </c>
      <c r="P3098" s="4" t="e">
        <f t="shared" si="240"/>
        <v>#N/A</v>
      </c>
      <c r="Q3098" s="4" t="e">
        <f t="shared" si="241"/>
        <v>#N/A</v>
      </c>
      <c r="R3098" s="4" t="e">
        <f>IF(AND(B3098=1,N3098&gt;'Line Follower'!$C$7,SUM(C3098:K3098)&lt;4),1,0)</f>
        <v>#N/A</v>
      </c>
      <c r="S3098" s="4" t="e">
        <f>IF(AND(L3098=1,N3098&lt;'Line Follower'!$C$6,SUM(C3098:K3098)&lt;4),1,0)</f>
        <v>#N/A</v>
      </c>
      <c r="T3098" s="4" t="e">
        <f t="shared" si="242"/>
        <v>#N/A</v>
      </c>
      <c r="U3098" s="5" t="e">
        <f t="shared" si="243"/>
        <v>#N/A</v>
      </c>
      <c r="V3098" s="23" t="e">
        <f t="shared" si="244"/>
        <v>#N/A</v>
      </c>
    </row>
    <row r="3099" spans="2:22" x14ac:dyDescent="0.25">
      <c r="B3099" s="16">
        <v>0</v>
      </c>
      <c r="C3099" s="7">
        <v>0</v>
      </c>
      <c r="D3099" s="8">
        <v>0</v>
      </c>
      <c r="E3099" s="8">
        <v>1</v>
      </c>
      <c r="F3099" s="8">
        <v>1</v>
      </c>
      <c r="G3099" s="8">
        <v>0</v>
      </c>
      <c r="H3099" s="8">
        <v>0</v>
      </c>
      <c r="I3099" s="8">
        <v>0</v>
      </c>
      <c r="J3099" s="8">
        <v>0</v>
      </c>
      <c r="K3099" s="9">
        <v>0</v>
      </c>
      <c r="L3099" s="10">
        <v>1</v>
      </c>
      <c r="M3099" s="6">
        <v>1</v>
      </c>
      <c r="N3099" s="37" cm="1">
        <f t="array" ref="N3099">IF(OR(ISNUMBER(FIND(Aux!$D$3:$D$9,_xlfn.TEXTJOIN(,,C3099:K3099)))),NA(),IF(AND(SUM(C3099:F3099,H3099:K3099)=0,G3099=1),0,INT((SUMPRODUCT(C3099:F3099,COLUMN($A$1:$D$1)-1)+SUMPRODUCT(H3099:K3099,COLUMN($E$1:$H$1)-1))*'Line Follower'!$C$3/SUM(C3099:F3099,H3099:K3099)-'Line Follower'!$C$5)))</f>
        <v>-2</v>
      </c>
      <c r="O3099" s="22">
        <v>1</v>
      </c>
      <c r="P3099" s="4">
        <f t="shared" si="240"/>
        <v>0</v>
      </c>
      <c r="Q3099" s="4">
        <f t="shared" si="241"/>
        <v>0</v>
      </c>
      <c r="R3099" s="4">
        <f>IF(AND(B3099=1,N3099&gt;'Line Follower'!$C$7,SUM(C3099:K3099)&lt;4),1,0)</f>
        <v>0</v>
      </c>
      <c r="S3099" s="4">
        <f>IF(AND(L3099=1,N3099&lt;'Line Follower'!$C$6,SUM(C3099:K3099)&lt;4),1,0)</f>
        <v>1</v>
      </c>
      <c r="T3099" s="4">
        <f t="shared" si="242"/>
        <v>0</v>
      </c>
      <c r="U3099" s="5">
        <f t="shared" si="243"/>
        <v>0</v>
      </c>
      <c r="V3099" s="23">
        <f t="shared" si="244"/>
        <v>0</v>
      </c>
    </row>
    <row r="3100" spans="2:22" x14ac:dyDescent="0.25">
      <c r="B3100" s="16">
        <v>1</v>
      </c>
      <c r="C3100" s="7">
        <v>0</v>
      </c>
      <c r="D3100" s="8">
        <v>0</v>
      </c>
      <c r="E3100" s="8">
        <v>1</v>
      </c>
      <c r="F3100" s="8">
        <v>1</v>
      </c>
      <c r="G3100" s="8">
        <v>0</v>
      </c>
      <c r="H3100" s="8">
        <v>0</v>
      </c>
      <c r="I3100" s="8">
        <v>0</v>
      </c>
      <c r="J3100" s="8">
        <v>0</v>
      </c>
      <c r="K3100" s="9">
        <v>0</v>
      </c>
      <c r="L3100" s="10">
        <v>1</v>
      </c>
      <c r="M3100" s="6">
        <v>1</v>
      </c>
      <c r="N3100" s="37" cm="1">
        <f t="array" ref="N3100">IF(OR(ISNUMBER(FIND(Aux!$D$3:$D$9,_xlfn.TEXTJOIN(,,C3100:K3100)))),NA(),IF(AND(SUM(C3100:F3100,H3100:K3100)=0,G3100=1),0,INT((SUMPRODUCT(C3100:F3100,COLUMN($A$1:$D$1)-1)+SUMPRODUCT(H3100:K3100,COLUMN($E$1:$H$1)-1))*'Line Follower'!$C$3/SUM(C3100:F3100,H3100:K3100)-'Line Follower'!$C$5)))</f>
        <v>-2</v>
      </c>
      <c r="O3100" s="22">
        <v>1</v>
      </c>
      <c r="P3100" s="4">
        <f t="shared" si="240"/>
        <v>0</v>
      </c>
      <c r="Q3100" s="4">
        <f t="shared" si="241"/>
        <v>0</v>
      </c>
      <c r="R3100" s="4">
        <f>IF(AND(B3100=1,N3100&gt;'Line Follower'!$C$7,SUM(C3100:K3100)&lt;4),1,0)</f>
        <v>1</v>
      </c>
      <c r="S3100" s="4">
        <f>IF(AND(L3100=1,N3100&lt;'Line Follower'!$C$6,SUM(C3100:K3100)&lt;4),1,0)</f>
        <v>1</v>
      </c>
      <c r="T3100" s="4">
        <f t="shared" si="242"/>
        <v>0</v>
      </c>
      <c r="U3100" s="5">
        <f t="shared" si="243"/>
        <v>0</v>
      </c>
      <c r="V3100" s="23">
        <f t="shared" si="244"/>
        <v>0</v>
      </c>
    </row>
    <row r="3101" spans="2:22" x14ac:dyDescent="0.25">
      <c r="B3101" s="16">
        <v>0</v>
      </c>
      <c r="C3101" s="7">
        <v>1</v>
      </c>
      <c r="D3101" s="8">
        <v>0</v>
      </c>
      <c r="E3101" s="8">
        <v>1</v>
      </c>
      <c r="F3101" s="8">
        <v>1</v>
      </c>
      <c r="G3101" s="8">
        <v>0</v>
      </c>
      <c r="H3101" s="8">
        <v>0</v>
      </c>
      <c r="I3101" s="8">
        <v>0</v>
      </c>
      <c r="J3101" s="8">
        <v>0</v>
      </c>
      <c r="K3101" s="9">
        <v>0</v>
      </c>
      <c r="L3101" s="10">
        <v>1</v>
      </c>
      <c r="M3101" s="6">
        <v>1</v>
      </c>
      <c r="N3101" s="37" t="e" cm="1">
        <f t="array" ref="N3101">IF(OR(ISNUMBER(FIND(Aux!$D$3:$D$9,_xlfn.TEXTJOIN(,,C3101:K3101)))),NA(),IF(AND(SUM(C3101:F3101,H3101:K3101)=0,G3101=1),0,INT((SUMPRODUCT(C3101:F3101,COLUMN($A$1:$D$1)-1)+SUMPRODUCT(H3101:K3101,COLUMN($E$1:$H$1)-1))*'Line Follower'!$C$3/SUM(C3101:F3101,H3101:K3101)-'Line Follower'!$C$5)))</f>
        <v>#N/A</v>
      </c>
      <c r="O3101" s="22" t="e">
        <v>#N/A</v>
      </c>
      <c r="P3101" s="4" t="e">
        <f t="shared" si="240"/>
        <v>#N/A</v>
      </c>
      <c r="Q3101" s="4" t="e">
        <f t="shared" si="241"/>
        <v>#N/A</v>
      </c>
      <c r="R3101" s="4" t="e">
        <f>IF(AND(B3101=1,N3101&gt;'Line Follower'!$C$7,SUM(C3101:K3101)&lt;4),1,0)</f>
        <v>#N/A</v>
      </c>
      <c r="S3101" s="4" t="e">
        <f>IF(AND(L3101=1,N3101&lt;'Line Follower'!$C$6,SUM(C3101:K3101)&lt;4),1,0)</f>
        <v>#N/A</v>
      </c>
      <c r="T3101" s="4" t="e">
        <f t="shared" si="242"/>
        <v>#N/A</v>
      </c>
      <c r="U3101" s="5" t="e">
        <f t="shared" si="243"/>
        <v>#N/A</v>
      </c>
      <c r="V3101" s="23" t="e">
        <f t="shared" si="244"/>
        <v>#N/A</v>
      </c>
    </row>
    <row r="3102" spans="2:22" x14ac:dyDescent="0.25">
      <c r="B3102" s="16">
        <v>1</v>
      </c>
      <c r="C3102" s="7">
        <v>1</v>
      </c>
      <c r="D3102" s="8">
        <v>0</v>
      </c>
      <c r="E3102" s="8">
        <v>1</v>
      </c>
      <c r="F3102" s="8">
        <v>1</v>
      </c>
      <c r="G3102" s="8">
        <v>0</v>
      </c>
      <c r="H3102" s="8">
        <v>0</v>
      </c>
      <c r="I3102" s="8">
        <v>0</v>
      </c>
      <c r="J3102" s="8">
        <v>0</v>
      </c>
      <c r="K3102" s="9">
        <v>0</v>
      </c>
      <c r="L3102" s="10">
        <v>1</v>
      </c>
      <c r="M3102" s="6">
        <v>1</v>
      </c>
      <c r="N3102" s="37" t="e" cm="1">
        <f t="array" ref="N3102">IF(OR(ISNUMBER(FIND(Aux!$D$3:$D$9,_xlfn.TEXTJOIN(,,C3102:K3102)))),NA(),IF(AND(SUM(C3102:F3102,H3102:K3102)=0,G3102=1),0,INT((SUMPRODUCT(C3102:F3102,COLUMN($A$1:$D$1)-1)+SUMPRODUCT(H3102:K3102,COLUMN($E$1:$H$1)-1))*'Line Follower'!$C$3/SUM(C3102:F3102,H3102:K3102)-'Line Follower'!$C$5)))</f>
        <v>#N/A</v>
      </c>
      <c r="O3102" s="22" t="e">
        <v>#N/A</v>
      </c>
      <c r="P3102" s="4" t="e">
        <f t="shared" si="240"/>
        <v>#N/A</v>
      </c>
      <c r="Q3102" s="4" t="e">
        <f t="shared" si="241"/>
        <v>#N/A</v>
      </c>
      <c r="R3102" s="4" t="e">
        <f>IF(AND(B3102=1,N3102&gt;'Line Follower'!$C$7,SUM(C3102:K3102)&lt;4),1,0)</f>
        <v>#N/A</v>
      </c>
      <c r="S3102" s="4" t="e">
        <f>IF(AND(L3102=1,N3102&lt;'Line Follower'!$C$6,SUM(C3102:K3102)&lt;4),1,0)</f>
        <v>#N/A</v>
      </c>
      <c r="T3102" s="4" t="e">
        <f t="shared" si="242"/>
        <v>#N/A</v>
      </c>
      <c r="U3102" s="5" t="e">
        <f t="shared" si="243"/>
        <v>#N/A</v>
      </c>
      <c r="V3102" s="23" t="e">
        <f t="shared" si="244"/>
        <v>#N/A</v>
      </c>
    </row>
    <row r="3103" spans="2:22" x14ac:dyDescent="0.25">
      <c r="B3103" s="16">
        <v>0</v>
      </c>
      <c r="C3103" s="7">
        <v>0</v>
      </c>
      <c r="D3103" s="8">
        <v>1</v>
      </c>
      <c r="E3103" s="8">
        <v>1</v>
      </c>
      <c r="F3103" s="8">
        <v>1</v>
      </c>
      <c r="G3103" s="8">
        <v>0</v>
      </c>
      <c r="H3103" s="8">
        <v>0</v>
      </c>
      <c r="I3103" s="8">
        <v>0</v>
      </c>
      <c r="J3103" s="8">
        <v>0</v>
      </c>
      <c r="K3103" s="9">
        <v>0</v>
      </c>
      <c r="L3103" s="10">
        <v>1</v>
      </c>
      <c r="M3103" s="6">
        <v>1</v>
      </c>
      <c r="N3103" s="37" cm="1">
        <f t="array" ref="N3103">IF(OR(ISNUMBER(FIND(Aux!$D$3:$D$9,_xlfn.TEXTJOIN(,,C3103:K3103)))),NA(),IF(AND(SUM(C3103:F3103,H3103:K3103)=0,G3103=1),0,INT((SUMPRODUCT(C3103:F3103,COLUMN($A$1:$D$1)-1)+SUMPRODUCT(H3103:K3103,COLUMN($E$1:$H$1)-1))*'Line Follower'!$C$3/SUM(C3103:F3103,H3103:K3103)-'Line Follower'!$C$5)))</f>
        <v>-3</v>
      </c>
      <c r="O3103" s="22">
        <v>1</v>
      </c>
      <c r="P3103" s="4">
        <f t="shared" si="240"/>
        <v>0</v>
      </c>
      <c r="Q3103" s="4">
        <f t="shared" si="241"/>
        <v>0</v>
      </c>
      <c r="R3103" s="4">
        <f>IF(AND(B3103=1,N3103&gt;'Line Follower'!$C$7,SUM(C3103:K3103)&lt;4),1,0)</f>
        <v>0</v>
      </c>
      <c r="S3103" s="4">
        <f>IF(AND(L3103=1,N3103&lt;'Line Follower'!$C$6,SUM(C3103:K3103)&lt;4),1,0)</f>
        <v>1</v>
      </c>
      <c r="T3103" s="4">
        <f t="shared" si="242"/>
        <v>0</v>
      </c>
      <c r="U3103" s="5">
        <f t="shared" si="243"/>
        <v>0</v>
      </c>
      <c r="V3103" s="23">
        <f t="shared" si="244"/>
        <v>0</v>
      </c>
    </row>
    <row r="3104" spans="2:22" x14ac:dyDescent="0.25">
      <c r="B3104" s="16">
        <v>1</v>
      </c>
      <c r="C3104" s="7">
        <v>0</v>
      </c>
      <c r="D3104" s="8">
        <v>1</v>
      </c>
      <c r="E3104" s="8">
        <v>1</v>
      </c>
      <c r="F3104" s="8">
        <v>1</v>
      </c>
      <c r="G3104" s="8">
        <v>0</v>
      </c>
      <c r="H3104" s="8">
        <v>0</v>
      </c>
      <c r="I3104" s="8">
        <v>0</v>
      </c>
      <c r="J3104" s="8">
        <v>0</v>
      </c>
      <c r="K3104" s="9">
        <v>0</v>
      </c>
      <c r="L3104" s="10">
        <v>1</v>
      </c>
      <c r="M3104" s="6">
        <v>1</v>
      </c>
      <c r="N3104" s="37" cm="1">
        <f t="array" ref="N3104">IF(OR(ISNUMBER(FIND(Aux!$D$3:$D$9,_xlfn.TEXTJOIN(,,C3104:K3104)))),NA(),IF(AND(SUM(C3104:F3104,H3104:K3104)=0,G3104=1),0,INT((SUMPRODUCT(C3104:F3104,COLUMN($A$1:$D$1)-1)+SUMPRODUCT(H3104:K3104,COLUMN($E$1:$H$1)-1))*'Line Follower'!$C$3/SUM(C3104:F3104,H3104:K3104)-'Line Follower'!$C$5)))</f>
        <v>-3</v>
      </c>
      <c r="O3104" s="22">
        <v>1</v>
      </c>
      <c r="P3104" s="4">
        <f t="shared" si="240"/>
        <v>0</v>
      </c>
      <c r="Q3104" s="4">
        <f t="shared" si="241"/>
        <v>0</v>
      </c>
      <c r="R3104" s="4">
        <f>IF(AND(B3104=1,N3104&gt;'Line Follower'!$C$7,SUM(C3104:K3104)&lt;4),1,0)</f>
        <v>1</v>
      </c>
      <c r="S3104" s="4">
        <f>IF(AND(L3104=1,N3104&lt;'Line Follower'!$C$6,SUM(C3104:K3104)&lt;4),1,0)</f>
        <v>1</v>
      </c>
      <c r="T3104" s="4">
        <f t="shared" si="242"/>
        <v>0</v>
      </c>
      <c r="U3104" s="5">
        <f t="shared" si="243"/>
        <v>0</v>
      </c>
      <c r="V3104" s="23">
        <f t="shared" si="244"/>
        <v>0</v>
      </c>
    </row>
    <row r="3105" spans="2:22" x14ac:dyDescent="0.25">
      <c r="B3105" s="16">
        <v>0</v>
      </c>
      <c r="C3105" s="7">
        <v>1</v>
      </c>
      <c r="D3105" s="8">
        <v>1</v>
      </c>
      <c r="E3105" s="8">
        <v>1</v>
      </c>
      <c r="F3105" s="8">
        <v>1</v>
      </c>
      <c r="G3105" s="8">
        <v>0</v>
      </c>
      <c r="H3105" s="8">
        <v>0</v>
      </c>
      <c r="I3105" s="8">
        <v>0</v>
      </c>
      <c r="J3105" s="8">
        <v>0</v>
      </c>
      <c r="K3105" s="9">
        <v>0</v>
      </c>
      <c r="L3105" s="10">
        <v>1</v>
      </c>
      <c r="M3105" s="6">
        <v>1</v>
      </c>
      <c r="N3105" s="37" cm="1">
        <f t="array" ref="N3105">IF(OR(ISNUMBER(FIND(Aux!$D$3:$D$9,_xlfn.TEXTJOIN(,,C3105:K3105)))),NA(),IF(AND(SUM(C3105:F3105,H3105:K3105)=0,G3105=1),0,INT((SUMPRODUCT(C3105:F3105,COLUMN($A$1:$D$1)-1)+SUMPRODUCT(H3105:K3105,COLUMN($E$1:$H$1)-1))*'Line Follower'!$C$3/SUM(C3105:F3105,H3105:K3105)-'Line Follower'!$C$5)))</f>
        <v>-4</v>
      </c>
      <c r="O3105" s="22">
        <v>1</v>
      </c>
      <c r="P3105" s="4">
        <f t="shared" si="240"/>
        <v>0</v>
      </c>
      <c r="Q3105" s="4">
        <f t="shared" si="241"/>
        <v>1</v>
      </c>
      <c r="R3105" s="4">
        <f>IF(AND(B3105=1,N3105&gt;'Line Follower'!$C$7,SUM(C3105:K3105)&lt;4),1,0)</f>
        <v>0</v>
      </c>
      <c r="S3105" s="4">
        <f>IF(AND(L3105=1,N3105&lt;'Line Follower'!$C$6,SUM(C3105:K3105)&lt;4),1,0)</f>
        <v>0</v>
      </c>
      <c r="T3105" s="4">
        <f t="shared" si="242"/>
        <v>0</v>
      </c>
      <c r="U3105" s="5">
        <f t="shared" si="243"/>
        <v>0</v>
      </c>
      <c r="V3105" s="23">
        <f t="shared" si="244"/>
        <v>0</v>
      </c>
    </row>
    <row r="3106" spans="2:22" x14ac:dyDescent="0.25">
      <c r="B3106" s="16">
        <v>1</v>
      </c>
      <c r="C3106" s="7">
        <v>1</v>
      </c>
      <c r="D3106" s="8">
        <v>1</v>
      </c>
      <c r="E3106" s="8">
        <v>1</v>
      </c>
      <c r="F3106" s="8">
        <v>1</v>
      </c>
      <c r="G3106" s="8">
        <v>0</v>
      </c>
      <c r="H3106" s="8">
        <v>0</v>
      </c>
      <c r="I3106" s="8">
        <v>0</v>
      </c>
      <c r="J3106" s="8">
        <v>0</v>
      </c>
      <c r="K3106" s="9">
        <v>0</v>
      </c>
      <c r="L3106" s="10">
        <v>1</v>
      </c>
      <c r="M3106" s="6">
        <v>1</v>
      </c>
      <c r="N3106" s="37" cm="1">
        <f t="array" ref="N3106">IF(OR(ISNUMBER(FIND(Aux!$D$3:$D$9,_xlfn.TEXTJOIN(,,C3106:K3106)))),NA(),IF(AND(SUM(C3106:F3106,H3106:K3106)=0,G3106=1),0,INT((SUMPRODUCT(C3106:F3106,COLUMN($A$1:$D$1)-1)+SUMPRODUCT(H3106:K3106,COLUMN($E$1:$H$1)-1))*'Line Follower'!$C$3/SUM(C3106:F3106,H3106:K3106)-'Line Follower'!$C$5)))</f>
        <v>-4</v>
      </c>
      <c r="O3106" s="22">
        <v>1</v>
      </c>
      <c r="P3106" s="4">
        <f t="shared" si="240"/>
        <v>0</v>
      </c>
      <c r="Q3106" s="4">
        <f t="shared" si="241"/>
        <v>1</v>
      </c>
      <c r="R3106" s="4">
        <f>IF(AND(B3106=1,N3106&gt;'Line Follower'!$C$7,SUM(C3106:K3106)&lt;4),1,0)</f>
        <v>0</v>
      </c>
      <c r="S3106" s="4">
        <f>IF(AND(L3106=1,N3106&lt;'Line Follower'!$C$6,SUM(C3106:K3106)&lt;4),1,0)</f>
        <v>0</v>
      </c>
      <c r="T3106" s="4">
        <f t="shared" si="242"/>
        <v>0</v>
      </c>
      <c r="U3106" s="5">
        <f t="shared" si="243"/>
        <v>0</v>
      </c>
      <c r="V3106" s="23">
        <f t="shared" si="244"/>
        <v>0</v>
      </c>
    </row>
    <row r="3107" spans="2:22" x14ac:dyDescent="0.25">
      <c r="B3107" s="16">
        <v>0</v>
      </c>
      <c r="C3107" s="7">
        <v>0</v>
      </c>
      <c r="D3107" s="8">
        <v>0</v>
      </c>
      <c r="E3107" s="8">
        <v>0</v>
      </c>
      <c r="F3107" s="8">
        <v>0</v>
      </c>
      <c r="G3107" s="8">
        <v>1</v>
      </c>
      <c r="H3107" s="8">
        <v>0</v>
      </c>
      <c r="I3107" s="8">
        <v>0</v>
      </c>
      <c r="J3107" s="8">
        <v>0</v>
      </c>
      <c r="K3107" s="9">
        <v>0</v>
      </c>
      <c r="L3107" s="10">
        <v>1</v>
      </c>
      <c r="M3107" s="6">
        <v>1</v>
      </c>
      <c r="N3107" s="37" cm="1">
        <f t="array" ref="N3107">IF(OR(ISNUMBER(FIND(Aux!$D$3:$D$9,_xlfn.TEXTJOIN(,,C3107:K3107)))),NA(),IF(AND(SUM(C3107:F3107,H3107:K3107)=0,G3107=1),0,INT((SUMPRODUCT(C3107:F3107,COLUMN($A$1:$D$1)-1)+SUMPRODUCT(H3107:K3107,COLUMN($E$1:$H$1)-1))*'Line Follower'!$C$3/SUM(C3107:F3107,H3107:K3107)-'Line Follower'!$C$5)))</f>
        <v>0</v>
      </c>
      <c r="O3107" s="22">
        <v>1</v>
      </c>
      <c r="P3107" s="4">
        <f t="shared" si="240"/>
        <v>1</v>
      </c>
      <c r="Q3107" s="4">
        <f t="shared" si="241"/>
        <v>0</v>
      </c>
      <c r="R3107" s="4">
        <f>IF(AND(B3107=1,N3107&gt;'Line Follower'!$C$7,SUM(C3107:K3107)&lt;4),1,0)</f>
        <v>0</v>
      </c>
      <c r="S3107" s="4">
        <f>IF(AND(L3107=1,N3107&lt;'Line Follower'!$C$6,SUM(C3107:K3107)&lt;4),1,0)</f>
        <v>1</v>
      </c>
      <c r="T3107" s="4">
        <f t="shared" si="242"/>
        <v>0</v>
      </c>
      <c r="U3107" s="5">
        <f t="shared" si="243"/>
        <v>0</v>
      </c>
      <c r="V3107" s="23">
        <f t="shared" si="244"/>
        <v>0</v>
      </c>
    </row>
    <row r="3108" spans="2:22" x14ac:dyDescent="0.25">
      <c r="B3108" s="16">
        <v>1</v>
      </c>
      <c r="C3108" s="7">
        <v>0</v>
      </c>
      <c r="D3108" s="8">
        <v>0</v>
      </c>
      <c r="E3108" s="8">
        <v>0</v>
      </c>
      <c r="F3108" s="8">
        <v>0</v>
      </c>
      <c r="G3108" s="8">
        <v>1</v>
      </c>
      <c r="H3108" s="8">
        <v>0</v>
      </c>
      <c r="I3108" s="8">
        <v>0</v>
      </c>
      <c r="J3108" s="8">
        <v>0</v>
      </c>
      <c r="K3108" s="9">
        <v>0</v>
      </c>
      <c r="L3108" s="10">
        <v>1</v>
      </c>
      <c r="M3108" s="6">
        <v>1</v>
      </c>
      <c r="N3108" s="37" cm="1">
        <f t="array" ref="N3108">IF(OR(ISNUMBER(FIND(Aux!$D$3:$D$9,_xlfn.TEXTJOIN(,,C3108:K3108)))),NA(),IF(AND(SUM(C3108:F3108,H3108:K3108)=0,G3108=1),0,INT((SUMPRODUCT(C3108:F3108,COLUMN($A$1:$D$1)-1)+SUMPRODUCT(H3108:K3108,COLUMN($E$1:$H$1)-1))*'Line Follower'!$C$3/SUM(C3108:F3108,H3108:K3108)-'Line Follower'!$C$5)))</f>
        <v>0</v>
      </c>
      <c r="O3108" s="22">
        <v>1</v>
      </c>
      <c r="P3108" s="4">
        <f t="shared" si="240"/>
        <v>1</v>
      </c>
      <c r="Q3108" s="4">
        <f t="shared" si="241"/>
        <v>0</v>
      </c>
      <c r="R3108" s="4">
        <f>IF(AND(B3108=1,N3108&gt;'Line Follower'!$C$7,SUM(C3108:K3108)&lt;4),1,0)</f>
        <v>1</v>
      </c>
      <c r="S3108" s="4">
        <f>IF(AND(L3108=1,N3108&lt;'Line Follower'!$C$6,SUM(C3108:K3108)&lt;4),1,0)</f>
        <v>1</v>
      </c>
      <c r="T3108" s="4">
        <f t="shared" si="242"/>
        <v>0</v>
      </c>
      <c r="U3108" s="5">
        <f t="shared" si="243"/>
        <v>0</v>
      </c>
      <c r="V3108" s="23">
        <f t="shared" si="244"/>
        <v>0</v>
      </c>
    </row>
    <row r="3109" spans="2:22" x14ac:dyDescent="0.25">
      <c r="B3109" s="16">
        <v>0</v>
      </c>
      <c r="C3109" s="7">
        <v>1</v>
      </c>
      <c r="D3109" s="8">
        <v>0</v>
      </c>
      <c r="E3109" s="8">
        <v>0</v>
      </c>
      <c r="F3109" s="8">
        <v>0</v>
      </c>
      <c r="G3109" s="8">
        <v>1</v>
      </c>
      <c r="H3109" s="8">
        <v>0</v>
      </c>
      <c r="I3109" s="8">
        <v>0</v>
      </c>
      <c r="J3109" s="8">
        <v>0</v>
      </c>
      <c r="K3109" s="9">
        <v>0</v>
      </c>
      <c r="L3109" s="10">
        <v>1</v>
      </c>
      <c r="M3109" s="6">
        <v>1</v>
      </c>
      <c r="N3109" s="37" t="e" cm="1">
        <f t="array" ref="N3109">IF(OR(ISNUMBER(FIND(Aux!$D$3:$D$9,_xlfn.TEXTJOIN(,,C3109:K3109)))),NA(),IF(AND(SUM(C3109:F3109,H3109:K3109)=0,G3109=1),0,INT((SUMPRODUCT(C3109:F3109,COLUMN($A$1:$D$1)-1)+SUMPRODUCT(H3109:K3109,COLUMN($E$1:$H$1)-1))*'Line Follower'!$C$3/SUM(C3109:F3109,H3109:K3109)-'Line Follower'!$C$5)))</f>
        <v>#N/A</v>
      </c>
      <c r="O3109" s="22" t="e">
        <v>#N/A</v>
      </c>
      <c r="P3109" s="4" t="e">
        <f t="shared" si="240"/>
        <v>#N/A</v>
      </c>
      <c r="Q3109" s="4" t="e">
        <f t="shared" si="241"/>
        <v>#N/A</v>
      </c>
      <c r="R3109" s="4" t="e">
        <f>IF(AND(B3109=1,N3109&gt;'Line Follower'!$C$7,SUM(C3109:K3109)&lt;4),1,0)</f>
        <v>#N/A</v>
      </c>
      <c r="S3109" s="4" t="e">
        <f>IF(AND(L3109=1,N3109&lt;'Line Follower'!$C$6,SUM(C3109:K3109)&lt;4),1,0)</f>
        <v>#N/A</v>
      </c>
      <c r="T3109" s="4" t="e">
        <f t="shared" si="242"/>
        <v>#N/A</v>
      </c>
      <c r="U3109" s="5" t="e">
        <f t="shared" si="243"/>
        <v>#N/A</v>
      </c>
      <c r="V3109" s="23" t="e">
        <f t="shared" si="244"/>
        <v>#N/A</v>
      </c>
    </row>
    <row r="3110" spans="2:22" x14ac:dyDescent="0.25">
      <c r="B3110" s="16">
        <v>1</v>
      </c>
      <c r="C3110" s="7">
        <v>1</v>
      </c>
      <c r="D3110" s="8">
        <v>0</v>
      </c>
      <c r="E3110" s="8">
        <v>0</v>
      </c>
      <c r="F3110" s="8">
        <v>0</v>
      </c>
      <c r="G3110" s="8">
        <v>1</v>
      </c>
      <c r="H3110" s="8">
        <v>0</v>
      </c>
      <c r="I3110" s="8">
        <v>0</v>
      </c>
      <c r="J3110" s="8">
        <v>0</v>
      </c>
      <c r="K3110" s="9">
        <v>0</v>
      </c>
      <c r="L3110" s="10">
        <v>1</v>
      </c>
      <c r="M3110" s="6">
        <v>1</v>
      </c>
      <c r="N3110" s="37" t="e" cm="1">
        <f t="array" ref="N3110">IF(OR(ISNUMBER(FIND(Aux!$D$3:$D$9,_xlfn.TEXTJOIN(,,C3110:K3110)))),NA(),IF(AND(SUM(C3110:F3110,H3110:K3110)=0,G3110=1),0,INT((SUMPRODUCT(C3110:F3110,COLUMN($A$1:$D$1)-1)+SUMPRODUCT(H3110:K3110,COLUMN($E$1:$H$1)-1))*'Line Follower'!$C$3/SUM(C3110:F3110,H3110:K3110)-'Line Follower'!$C$5)))</f>
        <v>#N/A</v>
      </c>
      <c r="O3110" s="22" t="e">
        <v>#N/A</v>
      </c>
      <c r="P3110" s="4" t="e">
        <f t="shared" si="240"/>
        <v>#N/A</v>
      </c>
      <c r="Q3110" s="4" t="e">
        <f t="shared" si="241"/>
        <v>#N/A</v>
      </c>
      <c r="R3110" s="4" t="e">
        <f>IF(AND(B3110=1,N3110&gt;'Line Follower'!$C$7,SUM(C3110:K3110)&lt;4),1,0)</f>
        <v>#N/A</v>
      </c>
      <c r="S3110" s="4" t="e">
        <f>IF(AND(L3110=1,N3110&lt;'Line Follower'!$C$6,SUM(C3110:K3110)&lt;4),1,0)</f>
        <v>#N/A</v>
      </c>
      <c r="T3110" s="4" t="e">
        <f t="shared" si="242"/>
        <v>#N/A</v>
      </c>
      <c r="U3110" s="5" t="e">
        <f t="shared" si="243"/>
        <v>#N/A</v>
      </c>
      <c r="V3110" s="23" t="e">
        <f t="shared" si="244"/>
        <v>#N/A</v>
      </c>
    </row>
    <row r="3111" spans="2:22" x14ac:dyDescent="0.25">
      <c r="B3111" s="16">
        <v>0</v>
      </c>
      <c r="C3111" s="7">
        <v>0</v>
      </c>
      <c r="D3111" s="8">
        <v>1</v>
      </c>
      <c r="E3111" s="8">
        <v>0</v>
      </c>
      <c r="F3111" s="8">
        <v>0</v>
      </c>
      <c r="G3111" s="8">
        <v>1</v>
      </c>
      <c r="H3111" s="8">
        <v>0</v>
      </c>
      <c r="I3111" s="8">
        <v>0</v>
      </c>
      <c r="J3111" s="8">
        <v>0</v>
      </c>
      <c r="K3111" s="9">
        <v>0</v>
      </c>
      <c r="L3111" s="10">
        <v>1</v>
      </c>
      <c r="M3111" s="6">
        <v>1</v>
      </c>
      <c r="N3111" s="37" t="e" cm="1">
        <f t="array" ref="N3111">IF(OR(ISNUMBER(FIND(Aux!$D$3:$D$9,_xlfn.TEXTJOIN(,,C3111:K3111)))),NA(),IF(AND(SUM(C3111:F3111,H3111:K3111)=0,G3111=1),0,INT((SUMPRODUCT(C3111:F3111,COLUMN($A$1:$D$1)-1)+SUMPRODUCT(H3111:K3111,COLUMN($E$1:$H$1)-1))*'Line Follower'!$C$3/SUM(C3111:F3111,H3111:K3111)-'Line Follower'!$C$5)))</f>
        <v>#N/A</v>
      </c>
      <c r="O3111" s="22" t="e">
        <v>#N/A</v>
      </c>
      <c r="P3111" s="4" t="e">
        <f t="shared" si="240"/>
        <v>#N/A</v>
      </c>
      <c r="Q3111" s="4" t="e">
        <f t="shared" si="241"/>
        <v>#N/A</v>
      </c>
      <c r="R3111" s="4" t="e">
        <f>IF(AND(B3111=1,N3111&gt;'Line Follower'!$C$7,SUM(C3111:K3111)&lt;4),1,0)</f>
        <v>#N/A</v>
      </c>
      <c r="S3111" s="4" t="e">
        <f>IF(AND(L3111=1,N3111&lt;'Line Follower'!$C$6,SUM(C3111:K3111)&lt;4),1,0)</f>
        <v>#N/A</v>
      </c>
      <c r="T3111" s="4" t="e">
        <f t="shared" si="242"/>
        <v>#N/A</v>
      </c>
      <c r="U3111" s="5" t="e">
        <f t="shared" si="243"/>
        <v>#N/A</v>
      </c>
      <c r="V3111" s="23" t="e">
        <f t="shared" si="244"/>
        <v>#N/A</v>
      </c>
    </row>
    <row r="3112" spans="2:22" x14ac:dyDescent="0.25">
      <c r="B3112" s="16">
        <v>1</v>
      </c>
      <c r="C3112" s="7">
        <v>0</v>
      </c>
      <c r="D3112" s="8">
        <v>1</v>
      </c>
      <c r="E3112" s="8">
        <v>0</v>
      </c>
      <c r="F3112" s="8">
        <v>0</v>
      </c>
      <c r="G3112" s="8">
        <v>1</v>
      </c>
      <c r="H3112" s="8">
        <v>0</v>
      </c>
      <c r="I3112" s="8">
        <v>0</v>
      </c>
      <c r="J3112" s="8">
        <v>0</v>
      </c>
      <c r="K3112" s="9">
        <v>0</v>
      </c>
      <c r="L3112" s="10">
        <v>1</v>
      </c>
      <c r="M3112" s="6">
        <v>1</v>
      </c>
      <c r="N3112" s="37" t="e" cm="1">
        <f t="array" ref="N3112">IF(OR(ISNUMBER(FIND(Aux!$D$3:$D$9,_xlfn.TEXTJOIN(,,C3112:K3112)))),NA(),IF(AND(SUM(C3112:F3112,H3112:K3112)=0,G3112=1),0,INT((SUMPRODUCT(C3112:F3112,COLUMN($A$1:$D$1)-1)+SUMPRODUCT(H3112:K3112,COLUMN($E$1:$H$1)-1))*'Line Follower'!$C$3/SUM(C3112:F3112,H3112:K3112)-'Line Follower'!$C$5)))</f>
        <v>#N/A</v>
      </c>
      <c r="O3112" s="22" t="e">
        <v>#N/A</v>
      </c>
      <c r="P3112" s="4" t="e">
        <f t="shared" si="240"/>
        <v>#N/A</v>
      </c>
      <c r="Q3112" s="4" t="e">
        <f t="shared" si="241"/>
        <v>#N/A</v>
      </c>
      <c r="R3112" s="4" t="e">
        <f>IF(AND(B3112=1,N3112&gt;'Line Follower'!$C$7,SUM(C3112:K3112)&lt;4),1,0)</f>
        <v>#N/A</v>
      </c>
      <c r="S3112" s="4" t="e">
        <f>IF(AND(L3112=1,N3112&lt;'Line Follower'!$C$6,SUM(C3112:K3112)&lt;4),1,0)</f>
        <v>#N/A</v>
      </c>
      <c r="T3112" s="4" t="e">
        <f t="shared" si="242"/>
        <v>#N/A</v>
      </c>
      <c r="U3112" s="5" t="e">
        <f t="shared" si="243"/>
        <v>#N/A</v>
      </c>
      <c r="V3112" s="23" t="e">
        <f t="shared" si="244"/>
        <v>#N/A</v>
      </c>
    </row>
    <row r="3113" spans="2:22" x14ac:dyDescent="0.25">
      <c r="B3113" s="16">
        <v>0</v>
      </c>
      <c r="C3113" s="7">
        <v>1</v>
      </c>
      <c r="D3113" s="8">
        <v>1</v>
      </c>
      <c r="E3113" s="8">
        <v>0</v>
      </c>
      <c r="F3113" s="8">
        <v>0</v>
      </c>
      <c r="G3113" s="8">
        <v>1</v>
      </c>
      <c r="H3113" s="8">
        <v>0</v>
      </c>
      <c r="I3113" s="8">
        <v>0</v>
      </c>
      <c r="J3113" s="8">
        <v>0</v>
      </c>
      <c r="K3113" s="9">
        <v>0</v>
      </c>
      <c r="L3113" s="10">
        <v>1</v>
      </c>
      <c r="M3113" s="6">
        <v>1</v>
      </c>
      <c r="N3113" s="37" t="e" cm="1">
        <f t="array" ref="N3113">IF(OR(ISNUMBER(FIND(Aux!$D$3:$D$9,_xlfn.TEXTJOIN(,,C3113:K3113)))),NA(),IF(AND(SUM(C3113:F3113,H3113:K3113)=0,G3113=1),0,INT((SUMPRODUCT(C3113:F3113,COLUMN($A$1:$D$1)-1)+SUMPRODUCT(H3113:K3113,COLUMN($E$1:$H$1)-1))*'Line Follower'!$C$3/SUM(C3113:F3113,H3113:K3113)-'Line Follower'!$C$5)))</f>
        <v>#N/A</v>
      </c>
      <c r="O3113" s="22" t="e">
        <v>#N/A</v>
      </c>
      <c r="P3113" s="4" t="e">
        <f t="shared" si="240"/>
        <v>#N/A</v>
      </c>
      <c r="Q3113" s="4" t="e">
        <f t="shared" si="241"/>
        <v>#N/A</v>
      </c>
      <c r="R3113" s="4" t="e">
        <f>IF(AND(B3113=1,N3113&gt;'Line Follower'!$C$7,SUM(C3113:K3113)&lt;4),1,0)</f>
        <v>#N/A</v>
      </c>
      <c r="S3113" s="4" t="e">
        <f>IF(AND(L3113=1,N3113&lt;'Line Follower'!$C$6,SUM(C3113:K3113)&lt;4),1,0)</f>
        <v>#N/A</v>
      </c>
      <c r="T3113" s="4" t="e">
        <f t="shared" si="242"/>
        <v>#N/A</v>
      </c>
      <c r="U3113" s="5" t="e">
        <f t="shared" si="243"/>
        <v>#N/A</v>
      </c>
      <c r="V3113" s="23" t="e">
        <f t="shared" si="244"/>
        <v>#N/A</v>
      </c>
    </row>
    <row r="3114" spans="2:22" x14ac:dyDescent="0.25">
      <c r="B3114" s="16">
        <v>1</v>
      </c>
      <c r="C3114" s="7">
        <v>1</v>
      </c>
      <c r="D3114" s="8">
        <v>1</v>
      </c>
      <c r="E3114" s="8">
        <v>0</v>
      </c>
      <c r="F3114" s="8">
        <v>0</v>
      </c>
      <c r="G3114" s="8">
        <v>1</v>
      </c>
      <c r="H3114" s="8">
        <v>0</v>
      </c>
      <c r="I3114" s="8">
        <v>0</v>
      </c>
      <c r="J3114" s="8">
        <v>0</v>
      </c>
      <c r="K3114" s="9">
        <v>0</v>
      </c>
      <c r="L3114" s="10">
        <v>1</v>
      </c>
      <c r="M3114" s="6">
        <v>1</v>
      </c>
      <c r="N3114" s="37" t="e" cm="1">
        <f t="array" ref="N3114">IF(OR(ISNUMBER(FIND(Aux!$D$3:$D$9,_xlfn.TEXTJOIN(,,C3114:K3114)))),NA(),IF(AND(SUM(C3114:F3114,H3114:K3114)=0,G3114=1),0,INT((SUMPRODUCT(C3114:F3114,COLUMN($A$1:$D$1)-1)+SUMPRODUCT(H3114:K3114,COLUMN($E$1:$H$1)-1))*'Line Follower'!$C$3/SUM(C3114:F3114,H3114:K3114)-'Line Follower'!$C$5)))</f>
        <v>#N/A</v>
      </c>
      <c r="O3114" s="22" t="e">
        <v>#N/A</v>
      </c>
      <c r="P3114" s="4" t="e">
        <f t="shared" si="240"/>
        <v>#N/A</v>
      </c>
      <c r="Q3114" s="4" t="e">
        <f t="shared" si="241"/>
        <v>#N/A</v>
      </c>
      <c r="R3114" s="4" t="e">
        <f>IF(AND(B3114=1,N3114&gt;'Line Follower'!$C$7,SUM(C3114:K3114)&lt;4),1,0)</f>
        <v>#N/A</v>
      </c>
      <c r="S3114" s="4" t="e">
        <f>IF(AND(L3114=1,N3114&lt;'Line Follower'!$C$6,SUM(C3114:K3114)&lt;4),1,0)</f>
        <v>#N/A</v>
      </c>
      <c r="T3114" s="4" t="e">
        <f t="shared" si="242"/>
        <v>#N/A</v>
      </c>
      <c r="U3114" s="5" t="e">
        <f t="shared" si="243"/>
        <v>#N/A</v>
      </c>
      <c r="V3114" s="23" t="e">
        <f t="shared" si="244"/>
        <v>#N/A</v>
      </c>
    </row>
    <row r="3115" spans="2:22" x14ac:dyDescent="0.25">
      <c r="B3115" s="16">
        <v>0</v>
      </c>
      <c r="C3115" s="7">
        <v>0</v>
      </c>
      <c r="D3115" s="8">
        <v>0</v>
      </c>
      <c r="E3115" s="8">
        <v>1</v>
      </c>
      <c r="F3115" s="8">
        <v>0</v>
      </c>
      <c r="G3115" s="8">
        <v>1</v>
      </c>
      <c r="H3115" s="8">
        <v>0</v>
      </c>
      <c r="I3115" s="8">
        <v>0</v>
      </c>
      <c r="J3115" s="8">
        <v>0</v>
      </c>
      <c r="K3115" s="9">
        <v>0</v>
      </c>
      <c r="L3115" s="10">
        <v>1</v>
      </c>
      <c r="M3115" s="6">
        <v>1</v>
      </c>
      <c r="N3115" s="37" t="e" cm="1">
        <f t="array" ref="N3115">IF(OR(ISNUMBER(FIND(Aux!$D$3:$D$9,_xlfn.TEXTJOIN(,,C3115:K3115)))),NA(),IF(AND(SUM(C3115:F3115,H3115:K3115)=0,G3115=1),0,INT((SUMPRODUCT(C3115:F3115,COLUMN($A$1:$D$1)-1)+SUMPRODUCT(H3115:K3115,COLUMN($E$1:$H$1)-1))*'Line Follower'!$C$3/SUM(C3115:F3115,H3115:K3115)-'Line Follower'!$C$5)))</f>
        <v>#N/A</v>
      </c>
      <c r="O3115" s="22" t="e">
        <v>#N/A</v>
      </c>
      <c r="P3115" s="4" t="e">
        <f t="shared" si="240"/>
        <v>#N/A</v>
      </c>
      <c r="Q3115" s="4" t="e">
        <f t="shared" si="241"/>
        <v>#N/A</v>
      </c>
      <c r="R3115" s="4" t="e">
        <f>IF(AND(B3115=1,N3115&gt;'Line Follower'!$C$7,SUM(C3115:K3115)&lt;4),1,0)</f>
        <v>#N/A</v>
      </c>
      <c r="S3115" s="4" t="e">
        <f>IF(AND(L3115=1,N3115&lt;'Line Follower'!$C$6,SUM(C3115:K3115)&lt;4),1,0)</f>
        <v>#N/A</v>
      </c>
      <c r="T3115" s="4" t="e">
        <f t="shared" si="242"/>
        <v>#N/A</v>
      </c>
      <c r="U3115" s="5" t="e">
        <f t="shared" si="243"/>
        <v>#N/A</v>
      </c>
      <c r="V3115" s="23" t="e">
        <f t="shared" si="244"/>
        <v>#N/A</v>
      </c>
    </row>
    <row r="3116" spans="2:22" x14ac:dyDescent="0.25">
      <c r="B3116" s="16">
        <v>1</v>
      </c>
      <c r="C3116" s="7">
        <v>0</v>
      </c>
      <c r="D3116" s="8">
        <v>0</v>
      </c>
      <c r="E3116" s="8">
        <v>1</v>
      </c>
      <c r="F3116" s="8">
        <v>0</v>
      </c>
      <c r="G3116" s="8">
        <v>1</v>
      </c>
      <c r="H3116" s="8">
        <v>0</v>
      </c>
      <c r="I3116" s="8">
        <v>0</v>
      </c>
      <c r="J3116" s="8">
        <v>0</v>
      </c>
      <c r="K3116" s="9">
        <v>0</v>
      </c>
      <c r="L3116" s="10">
        <v>1</v>
      </c>
      <c r="M3116" s="6">
        <v>1</v>
      </c>
      <c r="N3116" s="37" t="e" cm="1">
        <f t="array" ref="N3116">IF(OR(ISNUMBER(FIND(Aux!$D$3:$D$9,_xlfn.TEXTJOIN(,,C3116:K3116)))),NA(),IF(AND(SUM(C3116:F3116,H3116:K3116)=0,G3116=1),0,INT((SUMPRODUCT(C3116:F3116,COLUMN($A$1:$D$1)-1)+SUMPRODUCT(H3116:K3116,COLUMN($E$1:$H$1)-1))*'Line Follower'!$C$3/SUM(C3116:F3116,H3116:K3116)-'Line Follower'!$C$5)))</f>
        <v>#N/A</v>
      </c>
      <c r="O3116" s="22" t="e">
        <v>#N/A</v>
      </c>
      <c r="P3116" s="4" t="e">
        <f t="shared" si="240"/>
        <v>#N/A</v>
      </c>
      <c r="Q3116" s="4" t="e">
        <f t="shared" si="241"/>
        <v>#N/A</v>
      </c>
      <c r="R3116" s="4" t="e">
        <f>IF(AND(B3116=1,N3116&gt;'Line Follower'!$C$7,SUM(C3116:K3116)&lt;4),1,0)</f>
        <v>#N/A</v>
      </c>
      <c r="S3116" s="4" t="e">
        <f>IF(AND(L3116=1,N3116&lt;'Line Follower'!$C$6,SUM(C3116:K3116)&lt;4),1,0)</f>
        <v>#N/A</v>
      </c>
      <c r="T3116" s="4" t="e">
        <f t="shared" si="242"/>
        <v>#N/A</v>
      </c>
      <c r="U3116" s="5" t="e">
        <f t="shared" si="243"/>
        <v>#N/A</v>
      </c>
      <c r="V3116" s="23" t="e">
        <f t="shared" si="244"/>
        <v>#N/A</v>
      </c>
    </row>
    <row r="3117" spans="2:22" x14ac:dyDescent="0.25">
      <c r="B3117" s="16">
        <v>0</v>
      </c>
      <c r="C3117" s="7">
        <v>1</v>
      </c>
      <c r="D3117" s="8">
        <v>0</v>
      </c>
      <c r="E3117" s="8">
        <v>1</v>
      </c>
      <c r="F3117" s="8">
        <v>0</v>
      </c>
      <c r="G3117" s="8">
        <v>1</v>
      </c>
      <c r="H3117" s="8">
        <v>0</v>
      </c>
      <c r="I3117" s="8">
        <v>0</v>
      </c>
      <c r="J3117" s="8">
        <v>0</v>
      </c>
      <c r="K3117" s="9">
        <v>0</v>
      </c>
      <c r="L3117" s="10">
        <v>1</v>
      </c>
      <c r="M3117" s="6">
        <v>1</v>
      </c>
      <c r="N3117" s="37" t="e" cm="1">
        <f t="array" ref="N3117">IF(OR(ISNUMBER(FIND(Aux!$D$3:$D$9,_xlfn.TEXTJOIN(,,C3117:K3117)))),NA(),IF(AND(SUM(C3117:F3117,H3117:K3117)=0,G3117=1),0,INT((SUMPRODUCT(C3117:F3117,COLUMN($A$1:$D$1)-1)+SUMPRODUCT(H3117:K3117,COLUMN($E$1:$H$1)-1))*'Line Follower'!$C$3/SUM(C3117:F3117,H3117:K3117)-'Line Follower'!$C$5)))</f>
        <v>#N/A</v>
      </c>
      <c r="O3117" s="22" t="e">
        <v>#N/A</v>
      </c>
      <c r="P3117" s="4" t="e">
        <f t="shared" si="240"/>
        <v>#N/A</v>
      </c>
      <c r="Q3117" s="4" t="e">
        <f t="shared" si="241"/>
        <v>#N/A</v>
      </c>
      <c r="R3117" s="4" t="e">
        <f>IF(AND(B3117=1,N3117&gt;'Line Follower'!$C$7,SUM(C3117:K3117)&lt;4),1,0)</f>
        <v>#N/A</v>
      </c>
      <c r="S3117" s="4" t="e">
        <f>IF(AND(L3117=1,N3117&lt;'Line Follower'!$C$6,SUM(C3117:K3117)&lt;4),1,0)</f>
        <v>#N/A</v>
      </c>
      <c r="T3117" s="4" t="e">
        <f t="shared" si="242"/>
        <v>#N/A</v>
      </c>
      <c r="U3117" s="5" t="e">
        <f t="shared" si="243"/>
        <v>#N/A</v>
      </c>
      <c r="V3117" s="23" t="e">
        <f t="shared" si="244"/>
        <v>#N/A</v>
      </c>
    </row>
    <row r="3118" spans="2:22" x14ac:dyDescent="0.25">
      <c r="B3118" s="16">
        <v>1</v>
      </c>
      <c r="C3118" s="7">
        <v>1</v>
      </c>
      <c r="D3118" s="8">
        <v>0</v>
      </c>
      <c r="E3118" s="8">
        <v>1</v>
      </c>
      <c r="F3118" s="8">
        <v>0</v>
      </c>
      <c r="G3118" s="8">
        <v>1</v>
      </c>
      <c r="H3118" s="8">
        <v>0</v>
      </c>
      <c r="I3118" s="8">
        <v>0</v>
      </c>
      <c r="J3118" s="8">
        <v>0</v>
      </c>
      <c r="K3118" s="9">
        <v>0</v>
      </c>
      <c r="L3118" s="10">
        <v>1</v>
      </c>
      <c r="M3118" s="6">
        <v>1</v>
      </c>
      <c r="N3118" s="37" t="e" cm="1">
        <f t="array" ref="N3118">IF(OR(ISNUMBER(FIND(Aux!$D$3:$D$9,_xlfn.TEXTJOIN(,,C3118:K3118)))),NA(),IF(AND(SUM(C3118:F3118,H3118:K3118)=0,G3118=1),0,INT((SUMPRODUCT(C3118:F3118,COLUMN($A$1:$D$1)-1)+SUMPRODUCT(H3118:K3118,COLUMN($E$1:$H$1)-1))*'Line Follower'!$C$3/SUM(C3118:F3118,H3118:K3118)-'Line Follower'!$C$5)))</f>
        <v>#N/A</v>
      </c>
      <c r="O3118" s="22" t="e">
        <v>#N/A</v>
      </c>
      <c r="P3118" s="4" t="e">
        <f t="shared" si="240"/>
        <v>#N/A</v>
      </c>
      <c r="Q3118" s="4" t="e">
        <f t="shared" si="241"/>
        <v>#N/A</v>
      </c>
      <c r="R3118" s="4" t="e">
        <f>IF(AND(B3118=1,N3118&gt;'Line Follower'!$C$7,SUM(C3118:K3118)&lt;4),1,0)</f>
        <v>#N/A</v>
      </c>
      <c r="S3118" s="4" t="e">
        <f>IF(AND(L3118=1,N3118&lt;'Line Follower'!$C$6,SUM(C3118:K3118)&lt;4),1,0)</f>
        <v>#N/A</v>
      </c>
      <c r="T3118" s="4" t="e">
        <f t="shared" si="242"/>
        <v>#N/A</v>
      </c>
      <c r="U3118" s="5" t="e">
        <f t="shared" si="243"/>
        <v>#N/A</v>
      </c>
      <c r="V3118" s="23" t="e">
        <f t="shared" si="244"/>
        <v>#N/A</v>
      </c>
    </row>
    <row r="3119" spans="2:22" x14ac:dyDescent="0.25">
      <c r="B3119" s="16">
        <v>0</v>
      </c>
      <c r="C3119" s="7">
        <v>0</v>
      </c>
      <c r="D3119" s="8">
        <v>1</v>
      </c>
      <c r="E3119" s="8">
        <v>1</v>
      </c>
      <c r="F3119" s="8">
        <v>0</v>
      </c>
      <c r="G3119" s="8">
        <v>1</v>
      </c>
      <c r="H3119" s="8">
        <v>0</v>
      </c>
      <c r="I3119" s="8">
        <v>0</v>
      </c>
      <c r="J3119" s="8">
        <v>0</v>
      </c>
      <c r="K3119" s="9">
        <v>0</v>
      </c>
      <c r="L3119" s="10">
        <v>1</v>
      </c>
      <c r="M3119" s="6">
        <v>1</v>
      </c>
      <c r="N3119" s="37" t="e" cm="1">
        <f t="array" ref="N3119">IF(OR(ISNUMBER(FIND(Aux!$D$3:$D$9,_xlfn.TEXTJOIN(,,C3119:K3119)))),NA(),IF(AND(SUM(C3119:F3119,H3119:K3119)=0,G3119=1),0,INT((SUMPRODUCT(C3119:F3119,COLUMN($A$1:$D$1)-1)+SUMPRODUCT(H3119:K3119,COLUMN($E$1:$H$1)-1))*'Line Follower'!$C$3/SUM(C3119:F3119,H3119:K3119)-'Line Follower'!$C$5)))</f>
        <v>#N/A</v>
      </c>
      <c r="O3119" s="22" t="e">
        <v>#N/A</v>
      </c>
      <c r="P3119" s="4" t="e">
        <f t="shared" si="240"/>
        <v>#N/A</v>
      </c>
      <c r="Q3119" s="4" t="e">
        <f t="shared" si="241"/>
        <v>#N/A</v>
      </c>
      <c r="R3119" s="4" t="e">
        <f>IF(AND(B3119=1,N3119&gt;'Line Follower'!$C$7,SUM(C3119:K3119)&lt;4),1,0)</f>
        <v>#N/A</v>
      </c>
      <c r="S3119" s="4" t="e">
        <f>IF(AND(L3119=1,N3119&lt;'Line Follower'!$C$6,SUM(C3119:K3119)&lt;4),1,0)</f>
        <v>#N/A</v>
      </c>
      <c r="T3119" s="4" t="e">
        <f t="shared" si="242"/>
        <v>#N/A</v>
      </c>
      <c r="U3119" s="5" t="e">
        <f t="shared" si="243"/>
        <v>#N/A</v>
      </c>
      <c r="V3119" s="23" t="e">
        <f t="shared" si="244"/>
        <v>#N/A</v>
      </c>
    </row>
    <row r="3120" spans="2:22" x14ac:dyDescent="0.25">
      <c r="B3120" s="16">
        <v>1</v>
      </c>
      <c r="C3120" s="7">
        <v>0</v>
      </c>
      <c r="D3120" s="8">
        <v>1</v>
      </c>
      <c r="E3120" s="8">
        <v>1</v>
      </c>
      <c r="F3120" s="8">
        <v>0</v>
      </c>
      <c r="G3120" s="8">
        <v>1</v>
      </c>
      <c r="H3120" s="8">
        <v>0</v>
      </c>
      <c r="I3120" s="8">
        <v>0</v>
      </c>
      <c r="J3120" s="8">
        <v>0</v>
      </c>
      <c r="K3120" s="9">
        <v>0</v>
      </c>
      <c r="L3120" s="10">
        <v>1</v>
      </c>
      <c r="M3120" s="6">
        <v>1</v>
      </c>
      <c r="N3120" s="37" t="e" cm="1">
        <f t="array" ref="N3120">IF(OR(ISNUMBER(FIND(Aux!$D$3:$D$9,_xlfn.TEXTJOIN(,,C3120:K3120)))),NA(),IF(AND(SUM(C3120:F3120,H3120:K3120)=0,G3120=1),0,INT((SUMPRODUCT(C3120:F3120,COLUMN($A$1:$D$1)-1)+SUMPRODUCT(H3120:K3120,COLUMN($E$1:$H$1)-1))*'Line Follower'!$C$3/SUM(C3120:F3120,H3120:K3120)-'Line Follower'!$C$5)))</f>
        <v>#N/A</v>
      </c>
      <c r="O3120" s="22" t="e">
        <v>#N/A</v>
      </c>
      <c r="P3120" s="4" t="e">
        <f t="shared" si="240"/>
        <v>#N/A</v>
      </c>
      <c r="Q3120" s="4" t="e">
        <f t="shared" si="241"/>
        <v>#N/A</v>
      </c>
      <c r="R3120" s="4" t="e">
        <f>IF(AND(B3120=1,N3120&gt;'Line Follower'!$C$7,SUM(C3120:K3120)&lt;4),1,0)</f>
        <v>#N/A</v>
      </c>
      <c r="S3120" s="4" t="e">
        <f>IF(AND(L3120=1,N3120&lt;'Line Follower'!$C$6,SUM(C3120:K3120)&lt;4),1,0)</f>
        <v>#N/A</v>
      </c>
      <c r="T3120" s="4" t="e">
        <f t="shared" si="242"/>
        <v>#N/A</v>
      </c>
      <c r="U3120" s="5" t="e">
        <f t="shared" si="243"/>
        <v>#N/A</v>
      </c>
      <c r="V3120" s="23" t="e">
        <f t="shared" si="244"/>
        <v>#N/A</v>
      </c>
    </row>
    <row r="3121" spans="2:22" x14ac:dyDescent="0.25">
      <c r="B3121" s="16">
        <v>0</v>
      </c>
      <c r="C3121" s="7">
        <v>1</v>
      </c>
      <c r="D3121" s="8">
        <v>1</v>
      </c>
      <c r="E3121" s="8">
        <v>1</v>
      </c>
      <c r="F3121" s="8">
        <v>0</v>
      </c>
      <c r="G3121" s="8">
        <v>1</v>
      </c>
      <c r="H3121" s="8">
        <v>0</v>
      </c>
      <c r="I3121" s="8">
        <v>0</v>
      </c>
      <c r="J3121" s="8">
        <v>0</v>
      </c>
      <c r="K3121" s="9">
        <v>0</v>
      </c>
      <c r="L3121" s="10">
        <v>1</v>
      </c>
      <c r="M3121" s="6">
        <v>1</v>
      </c>
      <c r="N3121" s="37" t="e" cm="1">
        <f t="array" ref="N3121">IF(OR(ISNUMBER(FIND(Aux!$D$3:$D$9,_xlfn.TEXTJOIN(,,C3121:K3121)))),NA(),IF(AND(SUM(C3121:F3121,H3121:K3121)=0,G3121=1),0,INT((SUMPRODUCT(C3121:F3121,COLUMN($A$1:$D$1)-1)+SUMPRODUCT(H3121:K3121,COLUMN($E$1:$H$1)-1))*'Line Follower'!$C$3/SUM(C3121:F3121,H3121:K3121)-'Line Follower'!$C$5)))</f>
        <v>#N/A</v>
      </c>
      <c r="O3121" s="22" t="e">
        <v>#N/A</v>
      </c>
      <c r="P3121" s="4" t="e">
        <f t="shared" si="240"/>
        <v>#N/A</v>
      </c>
      <c r="Q3121" s="4" t="e">
        <f t="shared" si="241"/>
        <v>#N/A</v>
      </c>
      <c r="R3121" s="4" t="e">
        <f>IF(AND(B3121=1,N3121&gt;'Line Follower'!$C$7,SUM(C3121:K3121)&lt;4),1,0)</f>
        <v>#N/A</v>
      </c>
      <c r="S3121" s="4" t="e">
        <f>IF(AND(L3121=1,N3121&lt;'Line Follower'!$C$6,SUM(C3121:K3121)&lt;4),1,0)</f>
        <v>#N/A</v>
      </c>
      <c r="T3121" s="4" t="e">
        <f t="shared" si="242"/>
        <v>#N/A</v>
      </c>
      <c r="U3121" s="5" t="e">
        <f t="shared" si="243"/>
        <v>#N/A</v>
      </c>
      <c r="V3121" s="23" t="e">
        <f t="shared" si="244"/>
        <v>#N/A</v>
      </c>
    </row>
    <row r="3122" spans="2:22" x14ac:dyDescent="0.25">
      <c r="B3122" s="16">
        <v>1</v>
      </c>
      <c r="C3122" s="7">
        <v>1</v>
      </c>
      <c r="D3122" s="8">
        <v>1</v>
      </c>
      <c r="E3122" s="8">
        <v>1</v>
      </c>
      <c r="F3122" s="8">
        <v>0</v>
      </c>
      <c r="G3122" s="8">
        <v>1</v>
      </c>
      <c r="H3122" s="8">
        <v>0</v>
      </c>
      <c r="I3122" s="8">
        <v>0</v>
      </c>
      <c r="J3122" s="8">
        <v>0</v>
      </c>
      <c r="K3122" s="9">
        <v>0</v>
      </c>
      <c r="L3122" s="10">
        <v>1</v>
      </c>
      <c r="M3122" s="6">
        <v>1</v>
      </c>
      <c r="N3122" s="37" t="e" cm="1">
        <f t="array" ref="N3122">IF(OR(ISNUMBER(FIND(Aux!$D$3:$D$9,_xlfn.TEXTJOIN(,,C3122:K3122)))),NA(),IF(AND(SUM(C3122:F3122,H3122:K3122)=0,G3122=1),0,INT((SUMPRODUCT(C3122:F3122,COLUMN($A$1:$D$1)-1)+SUMPRODUCT(H3122:K3122,COLUMN($E$1:$H$1)-1))*'Line Follower'!$C$3/SUM(C3122:F3122,H3122:K3122)-'Line Follower'!$C$5)))</f>
        <v>#N/A</v>
      </c>
      <c r="O3122" s="22" t="e">
        <v>#N/A</v>
      </c>
      <c r="P3122" s="4" t="e">
        <f t="shared" si="240"/>
        <v>#N/A</v>
      </c>
      <c r="Q3122" s="4" t="e">
        <f t="shared" si="241"/>
        <v>#N/A</v>
      </c>
      <c r="R3122" s="4" t="e">
        <f>IF(AND(B3122=1,N3122&gt;'Line Follower'!$C$7,SUM(C3122:K3122)&lt;4),1,0)</f>
        <v>#N/A</v>
      </c>
      <c r="S3122" s="4" t="e">
        <f>IF(AND(L3122=1,N3122&lt;'Line Follower'!$C$6,SUM(C3122:K3122)&lt;4),1,0)</f>
        <v>#N/A</v>
      </c>
      <c r="T3122" s="4" t="e">
        <f t="shared" si="242"/>
        <v>#N/A</v>
      </c>
      <c r="U3122" s="5" t="e">
        <f t="shared" si="243"/>
        <v>#N/A</v>
      </c>
      <c r="V3122" s="23" t="e">
        <f t="shared" si="244"/>
        <v>#N/A</v>
      </c>
    </row>
    <row r="3123" spans="2:22" x14ac:dyDescent="0.25">
      <c r="B3123" s="16">
        <v>0</v>
      </c>
      <c r="C3123" s="7">
        <v>0</v>
      </c>
      <c r="D3123" s="8">
        <v>0</v>
      </c>
      <c r="E3123" s="8">
        <v>0</v>
      </c>
      <c r="F3123" s="8">
        <v>1</v>
      </c>
      <c r="G3123" s="8">
        <v>1</v>
      </c>
      <c r="H3123" s="8">
        <v>0</v>
      </c>
      <c r="I3123" s="8">
        <v>0</v>
      </c>
      <c r="J3123" s="8">
        <v>0</v>
      </c>
      <c r="K3123" s="9">
        <v>0</v>
      </c>
      <c r="L3123" s="10">
        <v>1</v>
      </c>
      <c r="M3123" s="6">
        <v>1</v>
      </c>
      <c r="N3123" s="37" cm="1">
        <f t="array" ref="N3123">IF(OR(ISNUMBER(FIND(Aux!$D$3:$D$9,_xlfn.TEXTJOIN(,,C3123:K3123)))),NA(),IF(AND(SUM(C3123:F3123,H3123:K3123)=0,G3123=1),0,INT((SUMPRODUCT(C3123:F3123,COLUMN($A$1:$D$1)-1)+SUMPRODUCT(H3123:K3123,COLUMN($E$1:$H$1)-1))*'Line Follower'!$C$3/SUM(C3123:F3123,H3123:K3123)-'Line Follower'!$C$5)))</f>
        <v>-1</v>
      </c>
      <c r="O3123" s="22">
        <v>1</v>
      </c>
      <c r="P3123" s="4">
        <f t="shared" si="240"/>
        <v>0</v>
      </c>
      <c r="Q3123" s="4">
        <f t="shared" si="241"/>
        <v>0</v>
      </c>
      <c r="R3123" s="4">
        <f>IF(AND(B3123=1,N3123&gt;'Line Follower'!$C$7,SUM(C3123:K3123)&lt;4),1,0)</f>
        <v>0</v>
      </c>
      <c r="S3123" s="4">
        <f>IF(AND(L3123=1,N3123&lt;'Line Follower'!$C$6,SUM(C3123:K3123)&lt;4),1,0)</f>
        <v>1</v>
      </c>
      <c r="T3123" s="4">
        <f t="shared" si="242"/>
        <v>0</v>
      </c>
      <c r="U3123" s="5">
        <f t="shared" si="243"/>
        <v>0</v>
      </c>
      <c r="V3123" s="23">
        <f t="shared" si="244"/>
        <v>0</v>
      </c>
    </row>
    <row r="3124" spans="2:22" x14ac:dyDescent="0.25">
      <c r="B3124" s="16">
        <v>1</v>
      </c>
      <c r="C3124" s="7">
        <v>0</v>
      </c>
      <c r="D3124" s="8">
        <v>0</v>
      </c>
      <c r="E3124" s="8">
        <v>0</v>
      </c>
      <c r="F3124" s="8">
        <v>1</v>
      </c>
      <c r="G3124" s="8">
        <v>1</v>
      </c>
      <c r="H3124" s="8">
        <v>0</v>
      </c>
      <c r="I3124" s="8">
        <v>0</v>
      </c>
      <c r="J3124" s="8">
        <v>0</v>
      </c>
      <c r="K3124" s="9">
        <v>0</v>
      </c>
      <c r="L3124" s="10">
        <v>1</v>
      </c>
      <c r="M3124" s="6">
        <v>1</v>
      </c>
      <c r="N3124" s="37" cm="1">
        <f t="array" ref="N3124">IF(OR(ISNUMBER(FIND(Aux!$D$3:$D$9,_xlfn.TEXTJOIN(,,C3124:K3124)))),NA(),IF(AND(SUM(C3124:F3124,H3124:K3124)=0,G3124=1),0,INT((SUMPRODUCT(C3124:F3124,COLUMN($A$1:$D$1)-1)+SUMPRODUCT(H3124:K3124,COLUMN($E$1:$H$1)-1))*'Line Follower'!$C$3/SUM(C3124:F3124,H3124:K3124)-'Line Follower'!$C$5)))</f>
        <v>-1</v>
      </c>
      <c r="O3124" s="22">
        <v>1</v>
      </c>
      <c r="P3124" s="4">
        <f t="shared" si="240"/>
        <v>0</v>
      </c>
      <c r="Q3124" s="4">
        <f t="shared" si="241"/>
        <v>0</v>
      </c>
      <c r="R3124" s="4">
        <f>IF(AND(B3124=1,N3124&gt;'Line Follower'!$C$7,SUM(C3124:K3124)&lt;4),1,0)</f>
        <v>1</v>
      </c>
      <c r="S3124" s="4">
        <f>IF(AND(L3124=1,N3124&lt;'Line Follower'!$C$6,SUM(C3124:K3124)&lt;4),1,0)</f>
        <v>1</v>
      </c>
      <c r="T3124" s="4">
        <f t="shared" si="242"/>
        <v>0</v>
      </c>
      <c r="U3124" s="5">
        <f t="shared" si="243"/>
        <v>0</v>
      </c>
      <c r="V3124" s="23">
        <f t="shared" si="244"/>
        <v>0</v>
      </c>
    </row>
    <row r="3125" spans="2:22" x14ac:dyDescent="0.25">
      <c r="B3125" s="16">
        <v>0</v>
      </c>
      <c r="C3125" s="7">
        <v>1</v>
      </c>
      <c r="D3125" s="8">
        <v>0</v>
      </c>
      <c r="E3125" s="8">
        <v>0</v>
      </c>
      <c r="F3125" s="8">
        <v>1</v>
      </c>
      <c r="G3125" s="8">
        <v>1</v>
      </c>
      <c r="H3125" s="8">
        <v>0</v>
      </c>
      <c r="I3125" s="8">
        <v>0</v>
      </c>
      <c r="J3125" s="8">
        <v>0</v>
      </c>
      <c r="K3125" s="9">
        <v>0</v>
      </c>
      <c r="L3125" s="10">
        <v>1</v>
      </c>
      <c r="M3125" s="6">
        <v>1</v>
      </c>
      <c r="N3125" s="37" t="e" cm="1">
        <f t="array" ref="N3125">IF(OR(ISNUMBER(FIND(Aux!$D$3:$D$9,_xlfn.TEXTJOIN(,,C3125:K3125)))),NA(),IF(AND(SUM(C3125:F3125,H3125:K3125)=0,G3125=1),0,INT((SUMPRODUCT(C3125:F3125,COLUMN($A$1:$D$1)-1)+SUMPRODUCT(H3125:K3125,COLUMN($E$1:$H$1)-1))*'Line Follower'!$C$3/SUM(C3125:F3125,H3125:K3125)-'Line Follower'!$C$5)))</f>
        <v>#N/A</v>
      </c>
      <c r="O3125" s="22" t="e">
        <v>#N/A</v>
      </c>
      <c r="P3125" s="4" t="e">
        <f t="shared" si="240"/>
        <v>#N/A</v>
      </c>
      <c r="Q3125" s="4" t="e">
        <f t="shared" si="241"/>
        <v>#N/A</v>
      </c>
      <c r="R3125" s="4" t="e">
        <f>IF(AND(B3125=1,N3125&gt;'Line Follower'!$C$7,SUM(C3125:K3125)&lt;4),1,0)</f>
        <v>#N/A</v>
      </c>
      <c r="S3125" s="4" t="e">
        <f>IF(AND(L3125=1,N3125&lt;'Line Follower'!$C$6,SUM(C3125:K3125)&lt;4),1,0)</f>
        <v>#N/A</v>
      </c>
      <c r="T3125" s="4" t="e">
        <f t="shared" si="242"/>
        <v>#N/A</v>
      </c>
      <c r="U3125" s="5" t="e">
        <f t="shared" si="243"/>
        <v>#N/A</v>
      </c>
      <c r="V3125" s="23" t="e">
        <f t="shared" si="244"/>
        <v>#N/A</v>
      </c>
    </row>
    <row r="3126" spans="2:22" x14ac:dyDescent="0.25">
      <c r="B3126" s="16">
        <v>1</v>
      </c>
      <c r="C3126" s="7">
        <v>1</v>
      </c>
      <c r="D3126" s="8">
        <v>0</v>
      </c>
      <c r="E3126" s="8">
        <v>0</v>
      </c>
      <c r="F3126" s="8">
        <v>1</v>
      </c>
      <c r="G3126" s="8">
        <v>1</v>
      </c>
      <c r="H3126" s="8">
        <v>0</v>
      </c>
      <c r="I3126" s="8">
        <v>0</v>
      </c>
      <c r="J3126" s="8">
        <v>0</v>
      </c>
      <c r="K3126" s="9">
        <v>0</v>
      </c>
      <c r="L3126" s="10">
        <v>1</v>
      </c>
      <c r="M3126" s="6">
        <v>1</v>
      </c>
      <c r="N3126" s="37" t="e" cm="1">
        <f t="array" ref="N3126">IF(OR(ISNUMBER(FIND(Aux!$D$3:$D$9,_xlfn.TEXTJOIN(,,C3126:K3126)))),NA(),IF(AND(SUM(C3126:F3126,H3126:K3126)=0,G3126=1),0,INT((SUMPRODUCT(C3126:F3126,COLUMN($A$1:$D$1)-1)+SUMPRODUCT(H3126:K3126,COLUMN($E$1:$H$1)-1))*'Line Follower'!$C$3/SUM(C3126:F3126,H3126:K3126)-'Line Follower'!$C$5)))</f>
        <v>#N/A</v>
      </c>
      <c r="O3126" s="22" t="e">
        <v>#N/A</v>
      </c>
      <c r="P3126" s="4" t="e">
        <f t="shared" si="240"/>
        <v>#N/A</v>
      </c>
      <c r="Q3126" s="4" t="e">
        <f t="shared" si="241"/>
        <v>#N/A</v>
      </c>
      <c r="R3126" s="4" t="e">
        <f>IF(AND(B3126=1,N3126&gt;'Line Follower'!$C$7,SUM(C3126:K3126)&lt;4),1,0)</f>
        <v>#N/A</v>
      </c>
      <c r="S3126" s="4" t="e">
        <f>IF(AND(L3126=1,N3126&lt;'Line Follower'!$C$6,SUM(C3126:K3126)&lt;4),1,0)</f>
        <v>#N/A</v>
      </c>
      <c r="T3126" s="4" t="e">
        <f t="shared" si="242"/>
        <v>#N/A</v>
      </c>
      <c r="U3126" s="5" t="e">
        <f t="shared" si="243"/>
        <v>#N/A</v>
      </c>
      <c r="V3126" s="23" t="e">
        <f t="shared" si="244"/>
        <v>#N/A</v>
      </c>
    </row>
    <row r="3127" spans="2:22" x14ac:dyDescent="0.25">
      <c r="B3127" s="16">
        <v>0</v>
      </c>
      <c r="C3127" s="7">
        <v>0</v>
      </c>
      <c r="D3127" s="8">
        <v>1</v>
      </c>
      <c r="E3127" s="8">
        <v>0</v>
      </c>
      <c r="F3127" s="8">
        <v>1</v>
      </c>
      <c r="G3127" s="8">
        <v>1</v>
      </c>
      <c r="H3127" s="8">
        <v>0</v>
      </c>
      <c r="I3127" s="8">
        <v>0</v>
      </c>
      <c r="J3127" s="8">
        <v>0</v>
      </c>
      <c r="K3127" s="9">
        <v>0</v>
      </c>
      <c r="L3127" s="10">
        <v>1</v>
      </c>
      <c r="M3127" s="6">
        <v>1</v>
      </c>
      <c r="N3127" s="37" t="e" cm="1">
        <f t="array" ref="N3127">IF(OR(ISNUMBER(FIND(Aux!$D$3:$D$9,_xlfn.TEXTJOIN(,,C3127:K3127)))),NA(),IF(AND(SUM(C3127:F3127,H3127:K3127)=0,G3127=1),0,INT((SUMPRODUCT(C3127:F3127,COLUMN($A$1:$D$1)-1)+SUMPRODUCT(H3127:K3127,COLUMN($E$1:$H$1)-1))*'Line Follower'!$C$3/SUM(C3127:F3127,H3127:K3127)-'Line Follower'!$C$5)))</f>
        <v>#N/A</v>
      </c>
      <c r="O3127" s="22" t="e">
        <v>#N/A</v>
      </c>
      <c r="P3127" s="4" t="e">
        <f t="shared" si="240"/>
        <v>#N/A</v>
      </c>
      <c r="Q3127" s="4" t="e">
        <f t="shared" si="241"/>
        <v>#N/A</v>
      </c>
      <c r="R3127" s="4" t="e">
        <f>IF(AND(B3127=1,N3127&gt;'Line Follower'!$C$7,SUM(C3127:K3127)&lt;4),1,0)</f>
        <v>#N/A</v>
      </c>
      <c r="S3127" s="4" t="e">
        <f>IF(AND(L3127=1,N3127&lt;'Line Follower'!$C$6,SUM(C3127:K3127)&lt;4),1,0)</f>
        <v>#N/A</v>
      </c>
      <c r="T3127" s="4" t="e">
        <f t="shared" si="242"/>
        <v>#N/A</v>
      </c>
      <c r="U3127" s="5" t="e">
        <f t="shared" si="243"/>
        <v>#N/A</v>
      </c>
      <c r="V3127" s="23" t="e">
        <f t="shared" si="244"/>
        <v>#N/A</v>
      </c>
    </row>
    <row r="3128" spans="2:22" x14ac:dyDescent="0.25">
      <c r="B3128" s="16">
        <v>1</v>
      </c>
      <c r="C3128" s="7">
        <v>0</v>
      </c>
      <c r="D3128" s="8">
        <v>1</v>
      </c>
      <c r="E3128" s="8">
        <v>0</v>
      </c>
      <c r="F3128" s="8">
        <v>1</v>
      </c>
      <c r="G3128" s="8">
        <v>1</v>
      </c>
      <c r="H3128" s="8">
        <v>0</v>
      </c>
      <c r="I3128" s="8">
        <v>0</v>
      </c>
      <c r="J3128" s="8">
        <v>0</v>
      </c>
      <c r="K3128" s="9">
        <v>0</v>
      </c>
      <c r="L3128" s="10">
        <v>1</v>
      </c>
      <c r="M3128" s="6">
        <v>1</v>
      </c>
      <c r="N3128" s="37" t="e" cm="1">
        <f t="array" ref="N3128">IF(OR(ISNUMBER(FIND(Aux!$D$3:$D$9,_xlfn.TEXTJOIN(,,C3128:K3128)))),NA(),IF(AND(SUM(C3128:F3128,H3128:K3128)=0,G3128=1),0,INT((SUMPRODUCT(C3128:F3128,COLUMN($A$1:$D$1)-1)+SUMPRODUCT(H3128:K3128,COLUMN($E$1:$H$1)-1))*'Line Follower'!$C$3/SUM(C3128:F3128,H3128:K3128)-'Line Follower'!$C$5)))</f>
        <v>#N/A</v>
      </c>
      <c r="O3128" s="22" t="e">
        <v>#N/A</v>
      </c>
      <c r="P3128" s="4" t="e">
        <f t="shared" si="240"/>
        <v>#N/A</v>
      </c>
      <c r="Q3128" s="4" t="e">
        <f t="shared" si="241"/>
        <v>#N/A</v>
      </c>
      <c r="R3128" s="4" t="e">
        <f>IF(AND(B3128=1,N3128&gt;'Line Follower'!$C$7,SUM(C3128:K3128)&lt;4),1,0)</f>
        <v>#N/A</v>
      </c>
      <c r="S3128" s="4" t="e">
        <f>IF(AND(L3128=1,N3128&lt;'Line Follower'!$C$6,SUM(C3128:K3128)&lt;4),1,0)</f>
        <v>#N/A</v>
      </c>
      <c r="T3128" s="4" t="e">
        <f t="shared" si="242"/>
        <v>#N/A</v>
      </c>
      <c r="U3128" s="5" t="e">
        <f t="shared" si="243"/>
        <v>#N/A</v>
      </c>
      <c r="V3128" s="23" t="e">
        <f t="shared" si="244"/>
        <v>#N/A</v>
      </c>
    </row>
    <row r="3129" spans="2:22" x14ac:dyDescent="0.25">
      <c r="B3129" s="16">
        <v>0</v>
      </c>
      <c r="C3129" s="7">
        <v>1</v>
      </c>
      <c r="D3129" s="8">
        <v>1</v>
      </c>
      <c r="E3129" s="8">
        <v>0</v>
      </c>
      <c r="F3129" s="8">
        <v>1</v>
      </c>
      <c r="G3129" s="8">
        <v>1</v>
      </c>
      <c r="H3129" s="8">
        <v>0</v>
      </c>
      <c r="I3129" s="8">
        <v>0</v>
      </c>
      <c r="J3129" s="8">
        <v>0</v>
      </c>
      <c r="K3129" s="9">
        <v>0</v>
      </c>
      <c r="L3129" s="10">
        <v>1</v>
      </c>
      <c r="M3129" s="6">
        <v>1</v>
      </c>
      <c r="N3129" s="37" t="e" cm="1">
        <f t="array" ref="N3129">IF(OR(ISNUMBER(FIND(Aux!$D$3:$D$9,_xlfn.TEXTJOIN(,,C3129:K3129)))),NA(),IF(AND(SUM(C3129:F3129,H3129:K3129)=0,G3129=1),0,INT((SUMPRODUCT(C3129:F3129,COLUMN($A$1:$D$1)-1)+SUMPRODUCT(H3129:K3129,COLUMN($E$1:$H$1)-1))*'Line Follower'!$C$3/SUM(C3129:F3129,H3129:K3129)-'Line Follower'!$C$5)))</f>
        <v>#N/A</v>
      </c>
      <c r="O3129" s="22" t="e">
        <v>#N/A</v>
      </c>
      <c r="P3129" s="4" t="e">
        <f t="shared" si="240"/>
        <v>#N/A</v>
      </c>
      <c r="Q3129" s="4" t="e">
        <f t="shared" si="241"/>
        <v>#N/A</v>
      </c>
      <c r="R3129" s="4" t="e">
        <f>IF(AND(B3129=1,N3129&gt;'Line Follower'!$C$7,SUM(C3129:K3129)&lt;4),1,0)</f>
        <v>#N/A</v>
      </c>
      <c r="S3129" s="4" t="e">
        <f>IF(AND(L3129=1,N3129&lt;'Line Follower'!$C$6,SUM(C3129:K3129)&lt;4),1,0)</f>
        <v>#N/A</v>
      </c>
      <c r="T3129" s="4" t="e">
        <f t="shared" si="242"/>
        <v>#N/A</v>
      </c>
      <c r="U3129" s="5" t="e">
        <f t="shared" si="243"/>
        <v>#N/A</v>
      </c>
      <c r="V3129" s="23" t="e">
        <f t="shared" si="244"/>
        <v>#N/A</v>
      </c>
    </row>
    <row r="3130" spans="2:22" x14ac:dyDescent="0.25">
      <c r="B3130" s="16">
        <v>1</v>
      </c>
      <c r="C3130" s="7">
        <v>1</v>
      </c>
      <c r="D3130" s="8">
        <v>1</v>
      </c>
      <c r="E3130" s="8">
        <v>0</v>
      </c>
      <c r="F3130" s="8">
        <v>1</v>
      </c>
      <c r="G3130" s="8">
        <v>1</v>
      </c>
      <c r="H3130" s="8">
        <v>0</v>
      </c>
      <c r="I3130" s="8">
        <v>0</v>
      </c>
      <c r="J3130" s="8">
        <v>0</v>
      </c>
      <c r="K3130" s="9">
        <v>0</v>
      </c>
      <c r="L3130" s="10">
        <v>1</v>
      </c>
      <c r="M3130" s="6">
        <v>1</v>
      </c>
      <c r="N3130" s="37" t="e" cm="1">
        <f t="array" ref="N3130">IF(OR(ISNUMBER(FIND(Aux!$D$3:$D$9,_xlfn.TEXTJOIN(,,C3130:K3130)))),NA(),IF(AND(SUM(C3130:F3130,H3130:K3130)=0,G3130=1),0,INT((SUMPRODUCT(C3130:F3130,COLUMN($A$1:$D$1)-1)+SUMPRODUCT(H3130:K3130,COLUMN($E$1:$H$1)-1))*'Line Follower'!$C$3/SUM(C3130:F3130,H3130:K3130)-'Line Follower'!$C$5)))</f>
        <v>#N/A</v>
      </c>
      <c r="O3130" s="22" t="e">
        <v>#N/A</v>
      </c>
      <c r="P3130" s="4" t="e">
        <f t="shared" si="240"/>
        <v>#N/A</v>
      </c>
      <c r="Q3130" s="4" t="e">
        <f t="shared" si="241"/>
        <v>#N/A</v>
      </c>
      <c r="R3130" s="4" t="e">
        <f>IF(AND(B3130=1,N3130&gt;'Line Follower'!$C$7,SUM(C3130:K3130)&lt;4),1,0)</f>
        <v>#N/A</v>
      </c>
      <c r="S3130" s="4" t="e">
        <f>IF(AND(L3130=1,N3130&lt;'Line Follower'!$C$6,SUM(C3130:K3130)&lt;4),1,0)</f>
        <v>#N/A</v>
      </c>
      <c r="T3130" s="4" t="e">
        <f t="shared" si="242"/>
        <v>#N/A</v>
      </c>
      <c r="U3130" s="5" t="e">
        <f t="shared" si="243"/>
        <v>#N/A</v>
      </c>
      <c r="V3130" s="23" t="e">
        <f t="shared" si="244"/>
        <v>#N/A</v>
      </c>
    </row>
    <row r="3131" spans="2:22" x14ac:dyDescent="0.25">
      <c r="B3131" s="16">
        <v>0</v>
      </c>
      <c r="C3131" s="7">
        <v>0</v>
      </c>
      <c r="D3131" s="8">
        <v>0</v>
      </c>
      <c r="E3131" s="8">
        <v>1</v>
      </c>
      <c r="F3131" s="8">
        <v>1</v>
      </c>
      <c r="G3131" s="8">
        <v>1</v>
      </c>
      <c r="H3131" s="8">
        <v>0</v>
      </c>
      <c r="I3131" s="8">
        <v>0</v>
      </c>
      <c r="J3131" s="8">
        <v>0</v>
      </c>
      <c r="K3131" s="9">
        <v>0</v>
      </c>
      <c r="L3131" s="10">
        <v>1</v>
      </c>
      <c r="M3131" s="6">
        <v>1</v>
      </c>
      <c r="N3131" s="37" cm="1">
        <f t="array" ref="N3131">IF(OR(ISNUMBER(FIND(Aux!$D$3:$D$9,_xlfn.TEXTJOIN(,,C3131:K3131)))),NA(),IF(AND(SUM(C3131:F3131,H3131:K3131)=0,G3131=1),0,INT((SUMPRODUCT(C3131:F3131,COLUMN($A$1:$D$1)-1)+SUMPRODUCT(H3131:K3131,COLUMN($E$1:$H$1)-1))*'Line Follower'!$C$3/SUM(C3131:F3131,H3131:K3131)-'Line Follower'!$C$5)))</f>
        <v>-2</v>
      </c>
      <c r="O3131" s="22">
        <v>1</v>
      </c>
      <c r="P3131" s="4">
        <f t="shared" si="240"/>
        <v>0</v>
      </c>
      <c r="Q3131" s="4">
        <f t="shared" si="241"/>
        <v>0</v>
      </c>
      <c r="R3131" s="4">
        <f>IF(AND(B3131=1,N3131&gt;'Line Follower'!$C$7,SUM(C3131:K3131)&lt;4),1,0)</f>
        <v>0</v>
      </c>
      <c r="S3131" s="4">
        <f>IF(AND(L3131=1,N3131&lt;'Line Follower'!$C$6,SUM(C3131:K3131)&lt;4),1,0)</f>
        <v>1</v>
      </c>
      <c r="T3131" s="4">
        <f t="shared" si="242"/>
        <v>0</v>
      </c>
      <c r="U3131" s="5">
        <f t="shared" si="243"/>
        <v>0</v>
      </c>
      <c r="V3131" s="23">
        <f t="shared" si="244"/>
        <v>0</v>
      </c>
    </row>
    <row r="3132" spans="2:22" x14ac:dyDescent="0.25">
      <c r="B3132" s="16">
        <v>1</v>
      </c>
      <c r="C3132" s="7">
        <v>0</v>
      </c>
      <c r="D3132" s="8">
        <v>0</v>
      </c>
      <c r="E3132" s="8">
        <v>1</v>
      </c>
      <c r="F3132" s="8">
        <v>1</v>
      </c>
      <c r="G3132" s="8">
        <v>1</v>
      </c>
      <c r="H3132" s="8">
        <v>0</v>
      </c>
      <c r="I3132" s="8">
        <v>0</v>
      </c>
      <c r="J3132" s="8">
        <v>0</v>
      </c>
      <c r="K3132" s="9">
        <v>0</v>
      </c>
      <c r="L3132" s="10">
        <v>1</v>
      </c>
      <c r="M3132" s="6">
        <v>1</v>
      </c>
      <c r="N3132" s="37" cm="1">
        <f t="array" ref="N3132">IF(OR(ISNUMBER(FIND(Aux!$D$3:$D$9,_xlfn.TEXTJOIN(,,C3132:K3132)))),NA(),IF(AND(SUM(C3132:F3132,H3132:K3132)=0,G3132=1),0,INT((SUMPRODUCT(C3132:F3132,COLUMN($A$1:$D$1)-1)+SUMPRODUCT(H3132:K3132,COLUMN($E$1:$H$1)-1))*'Line Follower'!$C$3/SUM(C3132:F3132,H3132:K3132)-'Line Follower'!$C$5)))</f>
        <v>-2</v>
      </c>
      <c r="O3132" s="22">
        <v>1</v>
      </c>
      <c r="P3132" s="4">
        <f t="shared" si="240"/>
        <v>0</v>
      </c>
      <c r="Q3132" s="4">
        <f t="shared" si="241"/>
        <v>0</v>
      </c>
      <c r="R3132" s="4">
        <f>IF(AND(B3132=1,N3132&gt;'Line Follower'!$C$7,SUM(C3132:K3132)&lt;4),1,0)</f>
        <v>1</v>
      </c>
      <c r="S3132" s="4">
        <f>IF(AND(L3132=1,N3132&lt;'Line Follower'!$C$6,SUM(C3132:K3132)&lt;4),1,0)</f>
        <v>1</v>
      </c>
      <c r="T3132" s="4">
        <f t="shared" si="242"/>
        <v>0</v>
      </c>
      <c r="U3132" s="5">
        <f t="shared" si="243"/>
        <v>0</v>
      </c>
      <c r="V3132" s="23">
        <f t="shared" si="244"/>
        <v>0</v>
      </c>
    </row>
    <row r="3133" spans="2:22" x14ac:dyDescent="0.25">
      <c r="B3133" s="16">
        <v>0</v>
      </c>
      <c r="C3133" s="7">
        <v>1</v>
      </c>
      <c r="D3133" s="8">
        <v>0</v>
      </c>
      <c r="E3133" s="8">
        <v>1</v>
      </c>
      <c r="F3133" s="8">
        <v>1</v>
      </c>
      <c r="G3133" s="8">
        <v>1</v>
      </c>
      <c r="H3133" s="8">
        <v>0</v>
      </c>
      <c r="I3133" s="8">
        <v>0</v>
      </c>
      <c r="J3133" s="8">
        <v>0</v>
      </c>
      <c r="K3133" s="9">
        <v>0</v>
      </c>
      <c r="L3133" s="10">
        <v>1</v>
      </c>
      <c r="M3133" s="6">
        <v>1</v>
      </c>
      <c r="N3133" s="37" t="e" cm="1">
        <f t="array" ref="N3133">IF(OR(ISNUMBER(FIND(Aux!$D$3:$D$9,_xlfn.TEXTJOIN(,,C3133:K3133)))),NA(),IF(AND(SUM(C3133:F3133,H3133:K3133)=0,G3133=1),0,INT((SUMPRODUCT(C3133:F3133,COLUMN($A$1:$D$1)-1)+SUMPRODUCT(H3133:K3133,COLUMN($E$1:$H$1)-1))*'Line Follower'!$C$3/SUM(C3133:F3133,H3133:K3133)-'Line Follower'!$C$5)))</f>
        <v>#N/A</v>
      </c>
      <c r="O3133" s="22" t="e">
        <v>#N/A</v>
      </c>
      <c r="P3133" s="4" t="e">
        <f t="shared" si="240"/>
        <v>#N/A</v>
      </c>
      <c r="Q3133" s="4" t="e">
        <f t="shared" si="241"/>
        <v>#N/A</v>
      </c>
      <c r="R3133" s="4" t="e">
        <f>IF(AND(B3133=1,N3133&gt;'Line Follower'!$C$7,SUM(C3133:K3133)&lt;4),1,0)</f>
        <v>#N/A</v>
      </c>
      <c r="S3133" s="4" t="e">
        <f>IF(AND(L3133=1,N3133&lt;'Line Follower'!$C$6,SUM(C3133:K3133)&lt;4),1,0)</f>
        <v>#N/A</v>
      </c>
      <c r="T3133" s="4" t="e">
        <f t="shared" si="242"/>
        <v>#N/A</v>
      </c>
      <c r="U3133" s="5" t="e">
        <f t="shared" si="243"/>
        <v>#N/A</v>
      </c>
      <c r="V3133" s="23" t="e">
        <f t="shared" si="244"/>
        <v>#N/A</v>
      </c>
    </row>
    <row r="3134" spans="2:22" x14ac:dyDescent="0.25">
      <c r="B3134" s="16">
        <v>1</v>
      </c>
      <c r="C3134" s="7">
        <v>1</v>
      </c>
      <c r="D3134" s="8">
        <v>0</v>
      </c>
      <c r="E3134" s="8">
        <v>1</v>
      </c>
      <c r="F3134" s="8">
        <v>1</v>
      </c>
      <c r="G3134" s="8">
        <v>1</v>
      </c>
      <c r="H3134" s="8">
        <v>0</v>
      </c>
      <c r="I3134" s="8">
        <v>0</v>
      </c>
      <c r="J3134" s="8">
        <v>0</v>
      </c>
      <c r="K3134" s="9">
        <v>0</v>
      </c>
      <c r="L3134" s="10">
        <v>1</v>
      </c>
      <c r="M3134" s="6">
        <v>1</v>
      </c>
      <c r="N3134" s="37" t="e" cm="1">
        <f t="array" ref="N3134">IF(OR(ISNUMBER(FIND(Aux!$D$3:$D$9,_xlfn.TEXTJOIN(,,C3134:K3134)))),NA(),IF(AND(SUM(C3134:F3134,H3134:K3134)=0,G3134=1),0,INT((SUMPRODUCT(C3134:F3134,COLUMN($A$1:$D$1)-1)+SUMPRODUCT(H3134:K3134,COLUMN($E$1:$H$1)-1))*'Line Follower'!$C$3/SUM(C3134:F3134,H3134:K3134)-'Line Follower'!$C$5)))</f>
        <v>#N/A</v>
      </c>
      <c r="O3134" s="22" t="e">
        <v>#N/A</v>
      </c>
      <c r="P3134" s="4" t="e">
        <f t="shared" si="240"/>
        <v>#N/A</v>
      </c>
      <c r="Q3134" s="4" t="e">
        <f t="shared" si="241"/>
        <v>#N/A</v>
      </c>
      <c r="R3134" s="4" t="e">
        <f>IF(AND(B3134=1,N3134&gt;'Line Follower'!$C$7,SUM(C3134:K3134)&lt;4),1,0)</f>
        <v>#N/A</v>
      </c>
      <c r="S3134" s="4" t="e">
        <f>IF(AND(L3134=1,N3134&lt;'Line Follower'!$C$6,SUM(C3134:K3134)&lt;4),1,0)</f>
        <v>#N/A</v>
      </c>
      <c r="T3134" s="4" t="e">
        <f t="shared" si="242"/>
        <v>#N/A</v>
      </c>
      <c r="U3134" s="5" t="e">
        <f t="shared" si="243"/>
        <v>#N/A</v>
      </c>
      <c r="V3134" s="23" t="e">
        <f t="shared" si="244"/>
        <v>#N/A</v>
      </c>
    </row>
    <row r="3135" spans="2:22" x14ac:dyDescent="0.25">
      <c r="B3135" s="16">
        <v>0</v>
      </c>
      <c r="C3135" s="7">
        <v>0</v>
      </c>
      <c r="D3135" s="8">
        <v>1</v>
      </c>
      <c r="E3135" s="8">
        <v>1</v>
      </c>
      <c r="F3135" s="8">
        <v>1</v>
      </c>
      <c r="G3135" s="8">
        <v>1</v>
      </c>
      <c r="H3135" s="8">
        <v>0</v>
      </c>
      <c r="I3135" s="8">
        <v>0</v>
      </c>
      <c r="J3135" s="8">
        <v>0</v>
      </c>
      <c r="K3135" s="9">
        <v>0</v>
      </c>
      <c r="L3135" s="10">
        <v>1</v>
      </c>
      <c r="M3135" s="6">
        <v>1</v>
      </c>
      <c r="N3135" s="37" cm="1">
        <f t="array" ref="N3135">IF(OR(ISNUMBER(FIND(Aux!$D$3:$D$9,_xlfn.TEXTJOIN(,,C3135:K3135)))),NA(),IF(AND(SUM(C3135:F3135,H3135:K3135)=0,G3135=1),0,INT((SUMPRODUCT(C3135:F3135,COLUMN($A$1:$D$1)-1)+SUMPRODUCT(H3135:K3135,COLUMN($E$1:$H$1)-1))*'Line Follower'!$C$3/SUM(C3135:F3135,H3135:K3135)-'Line Follower'!$C$5)))</f>
        <v>-3</v>
      </c>
      <c r="O3135" s="22">
        <v>1</v>
      </c>
      <c r="P3135" s="4">
        <f t="shared" si="240"/>
        <v>0</v>
      </c>
      <c r="Q3135" s="4">
        <f t="shared" si="241"/>
        <v>1</v>
      </c>
      <c r="R3135" s="4">
        <f>IF(AND(B3135=1,N3135&gt;'Line Follower'!$C$7,SUM(C3135:K3135)&lt;4),1,0)</f>
        <v>0</v>
      </c>
      <c r="S3135" s="4">
        <f>IF(AND(L3135=1,N3135&lt;'Line Follower'!$C$6,SUM(C3135:K3135)&lt;4),1,0)</f>
        <v>0</v>
      </c>
      <c r="T3135" s="4">
        <f t="shared" si="242"/>
        <v>0</v>
      </c>
      <c r="U3135" s="5">
        <f t="shared" si="243"/>
        <v>0</v>
      </c>
      <c r="V3135" s="23">
        <f t="shared" si="244"/>
        <v>0</v>
      </c>
    </row>
    <row r="3136" spans="2:22" x14ac:dyDescent="0.25">
      <c r="B3136" s="16">
        <v>1</v>
      </c>
      <c r="C3136" s="7">
        <v>0</v>
      </c>
      <c r="D3136" s="8">
        <v>1</v>
      </c>
      <c r="E3136" s="8">
        <v>1</v>
      </c>
      <c r="F3136" s="8">
        <v>1</v>
      </c>
      <c r="G3136" s="8">
        <v>1</v>
      </c>
      <c r="H3136" s="8">
        <v>0</v>
      </c>
      <c r="I3136" s="8">
        <v>0</v>
      </c>
      <c r="J3136" s="8">
        <v>0</v>
      </c>
      <c r="K3136" s="9">
        <v>0</v>
      </c>
      <c r="L3136" s="10">
        <v>1</v>
      </c>
      <c r="M3136" s="6">
        <v>1</v>
      </c>
      <c r="N3136" s="37" cm="1">
        <f t="array" ref="N3136">IF(OR(ISNUMBER(FIND(Aux!$D$3:$D$9,_xlfn.TEXTJOIN(,,C3136:K3136)))),NA(),IF(AND(SUM(C3136:F3136,H3136:K3136)=0,G3136=1),0,INT((SUMPRODUCT(C3136:F3136,COLUMN($A$1:$D$1)-1)+SUMPRODUCT(H3136:K3136,COLUMN($E$1:$H$1)-1))*'Line Follower'!$C$3/SUM(C3136:F3136,H3136:K3136)-'Line Follower'!$C$5)))</f>
        <v>-3</v>
      </c>
      <c r="O3136" s="22">
        <v>1</v>
      </c>
      <c r="P3136" s="4">
        <f t="shared" si="240"/>
        <v>0</v>
      </c>
      <c r="Q3136" s="4">
        <f t="shared" si="241"/>
        <v>1</v>
      </c>
      <c r="R3136" s="4">
        <f>IF(AND(B3136=1,N3136&gt;'Line Follower'!$C$7,SUM(C3136:K3136)&lt;4),1,0)</f>
        <v>0</v>
      </c>
      <c r="S3136" s="4">
        <f>IF(AND(L3136=1,N3136&lt;'Line Follower'!$C$6,SUM(C3136:K3136)&lt;4),1,0)</f>
        <v>0</v>
      </c>
      <c r="T3136" s="4">
        <f t="shared" si="242"/>
        <v>0</v>
      </c>
      <c r="U3136" s="5">
        <f t="shared" si="243"/>
        <v>0</v>
      </c>
      <c r="V3136" s="23">
        <f t="shared" si="244"/>
        <v>0</v>
      </c>
    </row>
    <row r="3137" spans="2:22" x14ac:dyDescent="0.25">
      <c r="B3137" s="16">
        <v>0</v>
      </c>
      <c r="C3137" s="7">
        <v>1</v>
      </c>
      <c r="D3137" s="8">
        <v>1</v>
      </c>
      <c r="E3137" s="8">
        <v>1</v>
      </c>
      <c r="F3137" s="8">
        <v>1</v>
      </c>
      <c r="G3137" s="8">
        <v>1</v>
      </c>
      <c r="H3137" s="8">
        <v>0</v>
      </c>
      <c r="I3137" s="8">
        <v>0</v>
      </c>
      <c r="J3137" s="8">
        <v>0</v>
      </c>
      <c r="K3137" s="9">
        <v>0</v>
      </c>
      <c r="L3137" s="10">
        <v>1</v>
      </c>
      <c r="M3137" s="6">
        <v>1</v>
      </c>
      <c r="N3137" s="37" cm="1">
        <f t="array" ref="N3137">IF(OR(ISNUMBER(FIND(Aux!$D$3:$D$9,_xlfn.TEXTJOIN(,,C3137:K3137)))),NA(),IF(AND(SUM(C3137:F3137,H3137:K3137)=0,G3137=1),0,INT((SUMPRODUCT(C3137:F3137,COLUMN($A$1:$D$1)-1)+SUMPRODUCT(H3137:K3137,COLUMN($E$1:$H$1)-1))*'Line Follower'!$C$3/SUM(C3137:F3137,H3137:K3137)-'Line Follower'!$C$5)))</f>
        <v>-4</v>
      </c>
      <c r="O3137" s="22">
        <v>1</v>
      </c>
      <c r="P3137" s="4">
        <f t="shared" si="240"/>
        <v>0</v>
      </c>
      <c r="Q3137" s="4">
        <f t="shared" si="241"/>
        <v>1</v>
      </c>
      <c r="R3137" s="4">
        <f>IF(AND(B3137=1,N3137&gt;'Line Follower'!$C$7,SUM(C3137:K3137)&lt;4),1,0)</f>
        <v>0</v>
      </c>
      <c r="S3137" s="4">
        <f>IF(AND(L3137=1,N3137&lt;'Line Follower'!$C$6,SUM(C3137:K3137)&lt;4),1,0)</f>
        <v>0</v>
      </c>
      <c r="T3137" s="4">
        <f t="shared" si="242"/>
        <v>0</v>
      </c>
      <c r="U3137" s="5">
        <f t="shared" si="243"/>
        <v>0</v>
      </c>
      <c r="V3137" s="23">
        <f t="shared" si="244"/>
        <v>0</v>
      </c>
    </row>
    <row r="3138" spans="2:22" x14ac:dyDescent="0.25">
      <c r="B3138" s="16">
        <v>1</v>
      </c>
      <c r="C3138" s="7">
        <v>1</v>
      </c>
      <c r="D3138" s="8">
        <v>1</v>
      </c>
      <c r="E3138" s="8">
        <v>1</v>
      </c>
      <c r="F3138" s="8">
        <v>1</v>
      </c>
      <c r="G3138" s="8">
        <v>1</v>
      </c>
      <c r="H3138" s="8">
        <v>0</v>
      </c>
      <c r="I3138" s="8">
        <v>0</v>
      </c>
      <c r="J3138" s="8">
        <v>0</v>
      </c>
      <c r="K3138" s="9">
        <v>0</v>
      </c>
      <c r="L3138" s="10">
        <v>1</v>
      </c>
      <c r="M3138" s="6">
        <v>1</v>
      </c>
      <c r="N3138" s="37" cm="1">
        <f t="array" ref="N3138">IF(OR(ISNUMBER(FIND(Aux!$D$3:$D$9,_xlfn.TEXTJOIN(,,C3138:K3138)))),NA(),IF(AND(SUM(C3138:F3138,H3138:K3138)=0,G3138=1),0,INT((SUMPRODUCT(C3138:F3138,COLUMN($A$1:$D$1)-1)+SUMPRODUCT(H3138:K3138,COLUMN($E$1:$H$1)-1))*'Line Follower'!$C$3/SUM(C3138:F3138,H3138:K3138)-'Line Follower'!$C$5)))</f>
        <v>-4</v>
      </c>
      <c r="O3138" s="22">
        <v>1</v>
      </c>
      <c r="P3138" s="4">
        <f t="shared" si="240"/>
        <v>0</v>
      </c>
      <c r="Q3138" s="4">
        <f t="shared" si="241"/>
        <v>1</v>
      </c>
      <c r="R3138" s="4">
        <f>IF(AND(B3138=1,N3138&gt;'Line Follower'!$C$7,SUM(C3138:K3138)&lt;4),1,0)</f>
        <v>0</v>
      </c>
      <c r="S3138" s="4">
        <f>IF(AND(L3138=1,N3138&lt;'Line Follower'!$C$6,SUM(C3138:K3138)&lt;4),1,0)</f>
        <v>0</v>
      </c>
      <c r="T3138" s="4">
        <f t="shared" si="242"/>
        <v>0</v>
      </c>
      <c r="U3138" s="5">
        <f t="shared" si="243"/>
        <v>0</v>
      </c>
      <c r="V3138" s="23">
        <f t="shared" si="244"/>
        <v>0</v>
      </c>
    </row>
    <row r="3139" spans="2:22" x14ac:dyDescent="0.25">
      <c r="B3139" s="16">
        <v>0</v>
      </c>
      <c r="C3139" s="7">
        <v>0</v>
      </c>
      <c r="D3139" s="8">
        <v>0</v>
      </c>
      <c r="E3139" s="8">
        <v>0</v>
      </c>
      <c r="F3139" s="8">
        <v>0</v>
      </c>
      <c r="G3139" s="8">
        <v>0</v>
      </c>
      <c r="H3139" s="8">
        <v>1</v>
      </c>
      <c r="I3139" s="8">
        <v>0</v>
      </c>
      <c r="J3139" s="8">
        <v>0</v>
      </c>
      <c r="K3139" s="9">
        <v>0</v>
      </c>
      <c r="L3139" s="10">
        <v>1</v>
      </c>
      <c r="M3139" s="6">
        <v>1</v>
      </c>
      <c r="N3139" s="37" cm="1">
        <f t="array" ref="N3139">IF(OR(ISNUMBER(FIND(Aux!$D$3:$D$9,_xlfn.TEXTJOIN(,,C3139:K3139)))),NA(),IF(AND(SUM(C3139:F3139,H3139:K3139)=0,G3139=1),0,INT((SUMPRODUCT(C3139:F3139,COLUMN($A$1:$D$1)-1)+SUMPRODUCT(H3139:K3139,COLUMN($E$1:$H$1)-1))*'Line Follower'!$C$3/SUM(C3139:F3139,H3139:K3139)-'Line Follower'!$C$5)))</f>
        <v>1</v>
      </c>
      <c r="O3139" s="22">
        <v>1</v>
      </c>
      <c r="P3139" s="4">
        <f t="shared" ref="P3139:P3202" si="245">IF(AND(N3139=0,G3139=1,M3139=1),1,0)</f>
        <v>0</v>
      </c>
      <c r="Q3139" s="4">
        <f t="shared" ref="Q3139:Q3202" si="246">IF(ISERROR(N3139),N3139,IF(SUM(C3139:K3139)&gt;=4,1,0))</f>
        <v>0</v>
      </c>
      <c r="R3139" s="4">
        <f>IF(AND(B3139=1,N3139&gt;'Line Follower'!$C$7,SUM(C3139:K3139)&lt;4),1,0)</f>
        <v>0</v>
      </c>
      <c r="S3139" s="4">
        <f>IF(AND(L3139=1,N3139&lt;'Line Follower'!$C$6,SUM(C3139:K3139)&lt;4),1,0)</f>
        <v>1</v>
      </c>
      <c r="T3139" s="4">
        <f t="shared" si="242"/>
        <v>0</v>
      </c>
      <c r="U3139" s="5">
        <f t="shared" si="243"/>
        <v>0</v>
      </c>
      <c r="V3139" s="23">
        <f t="shared" si="244"/>
        <v>0</v>
      </c>
    </row>
    <row r="3140" spans="2:22" x14ac:dyDescent="0.25">
      <c r="B3140" s="16">
        <v>1</v>
      </c>
      <c r="C3140" s="7">
        <v>0</v>
      </c>
      <c r="D3140" s="8">
        <v>0</v>
      </c>
      <c r="E3140" s="8">
        <v>0</v>
      </c>
      <c r="F3140" s="8">
        <v>0</v>
      </c>
      <c r="G3140" s="8">
        <v>0</v>
      </c>
      <c r="H3140" s="8">
        <v>1</v>
      </c>
      <c r="I3140" s="8">
        <v>0</v>
      </c>
      <c r="J3140" s="8">
        <v>0</v>
      </c>
      <c r="K3140" s="9">
        <v>0</v>
      </c>
      <c r="L3140" s="10">
        <v>1</v>
      </c>
      <c r="M3140" s="6">
        <v>1</v>
      </c>
      <c r="N3140" s="37" cm="1">
        <f t="array" ref="N3140">IF(OR(ISNUMBER(FIND(Aux!$D$3:$D$9,_xlfn.TEXTJOIN(,,C3140:K3140)))),NA(),IF(AND(SUM(C3140:F3140,H3140:K3140)=0,G3140=1),0,INT((SUMPRODUCT(C3140:F3140,COLUMN($A$1:$D$1)-1)+SUMPRODUCT(H3140:K3140,COLUMN($E$1:$H$1)-1))*'Line Follower'!$C$3/SUM(C3140:F3140,H3140:K3140)-'Line Follower'!$C$5)))</f>
        <v>1</v>
      </c>
      <c r="O3140" s="22">
        <v>1</v>
      </c>
      <c r="P3140" s="4">
        <f t="shared" si="245"/>
        <v>0</v>
      </c>
      <c r="Q3140" s="4">
        <f t="shared" si="246"/>
        <v>0</v>
      </c>
      <c r="R3140" s="4">
        <f>IF(AND(B3140=1,N3140&gt;'Line Follower'!$C$7,SUM(C3140:K3140)&lt;4),1,0)</f>
        <v>1</v>
      </c>
      <c r="S3140" s="4">
        <f>IF(AND(L3140=1,N3140&lt;'Line Follower'!$C$6,SUM(C3140:K3140)&lt;4),1,0)</f>
        <v>1</v>
      </c>
      <c r="T3140" s="4">
        <f t="shared" ref="T3140:T3203" si="247">IF(ISNA(N3140),NA(),IF(SUM(C3140:L3140)=0,1,0))</f>
        <v>0</v>
      </c>
      <c r="U3140" s="5">
        <f t="shared" ref="U3140:U3203" si="248">IF(ISNA(N3140),NA(),IF(SUM(B3140:K3140)=0,1,0))</f>
        <v>0</v>
      </c>
      <c r="V3140" s="23">
        <f t="shared" ref="V3140:V3203" si="249">IF(ISNA(N3140),NA(),IF(SUM(B3140:L3140)=0,1,0))</f>
        <v>0</v>
      </c>
    </row>
    <row r="3141" spans="2:22" x14ac:dyDescent="0.25">
      <c r="B3141" s="16">
        <v>0</v>
      </c>
      <c r="C3141" s="7">
        <v>1</v>
      </c>
      <c r="D3141" s="8">
        <v>0</v>
      </c>
      <c r="E3141" s="8">
        <v>0</v>
      </c>
      <c r="F3141" s="8">
        <v>0</v>
      </c>
      <c r="G3141" s="8">
        <v>0</v>
      </c>
      <c r="H3141" s="8">
        <v>1</v>
      </c>
      <c r="I3141" s="8">
        <v>0</v>
      </c>
      <c r="J3141" s="8">
        <v>0</v>
      </c>
      <c r="K3141" s="9">
        <v>0</v>
      </c>
      <c r="L3141" s="10">
        <v>1</v>
      </c>
      <c r="M3141" s="6">
        <v>1</v>
      </c>
      <c r="N3141" s="37" t="e" cm="1">
        <f t="array" ref="N3141">IF(OR(ISNUMBER(FIND(Aux!$D$3:$D$9,_xlfn.TEXTJOIN(,,C3141:K3141)))),NA(),IF(AND(SUM(C3141:F3141,H3141:K3141)=0,G3141=1),0,INT((SUMPRODUCT(C3141:F3141,COLUMN($A$1:$D$1)-1)+SUMPRODUCT(H3141:K3141,COLUMN($E$1:$H$1)-1))*'Line Follower'!$C$3/SUM(C3141:F3141,H3141:K3141)-'Line Follower'!$C$5)))</f>
        <v>#N/A</v>
      </c>
      <c r="O3141" s="22" t="e">
        <v>#N/A</v>
      </c>
      <c r="P3141" s="4" t="e">
        <f t="shared" si="245"/>
        <v>#N/A</v>
      </c>
      <c r="Q3141" s="4" t="e">
        <f t="shared" si="246"/>
        <v>#N/A</v>
      </c>
      <c r="R3141" s="4" t="e">
        <f>IF(AND(B3141=1,N3141&gt;'Line Follower'!$C$7,SUM(C3141:K3141)&lt;4),1,0)</f>
        <v>#N/A</v>
      </c>
      <c r="S3141" s="4" t="e">
        <f>IF(AND(L3141=1,N3141&lt;'Line Follower'!$C$6,SUM(C3141:K3141)&lt;4),1,0)</f>
        <v>#N/A</v>
      </c>
      <c r="T3141" s="4" t="e">
        <f t="shared" si="247"/>
        <v>#N/A</v>
      </c>
      <c r="U3141" s="5" t="e">
        <f t="shared" si="248"/>
        <v>#N/A</v>
      </c>
      <c r="V3141" s="23" t="e">
        <f t="shared" si="249"/>
        <v>#N/A</v>
      </c>
    </row>
    <row r="3142" spans="2:22" x14ac:dyDescent="0.25">
      <c r="B3142" s="16">
        <v>1</v>
      </c>
      <c r="C3142" s="7">
        <v>1</v>
      </c>
      <c r="D3142" s="8">
        <v>0</v>
      </c>
      <c r="E3142" s="8">
        <v>0</v>
      </c>
      <c r="F3142" s="8">
        <v>0</v>
      </c>
      <c r="G3142" s="8">
        <v>0</v>
      </c>
      <c r="H3142" s="8">
        <v>1</v>
      </c>
      <c r="I3142" s="8">
        <v>0</v>
      </c>
      <c r="J3142" s="8">
        <v>0</v>
      </c>
      <c r="K3142" s="9">
        <v>0</v>
      </c>
      <c r="L3142" s="10">
        <v>1</v>
      </c>
      <c r="M3142" s="6">
        <v>1</v>
      </c>
      <c r="N3142" s="37" t="e" cm="1">
        <f t="array" ref="N3142">IF(OR(ISNUMBER(FIND(Aux!$D$3:$D$9,_xlfn.TEXTJOIN(,,C3142:K3142)))),NA(),IF(AND(SUM(C3142:F3142,H3142:K3142)=0,G3142=1),0,INT((SUMPRODUCT(C3142:F3142,COLUMN($A$1:$D$1)-1)+SUMPRODUCT(H3142:K3142,COLUMN($E$1:$H$1)-1))*'Line Follower'!$C$3/SUM(C3142:F3142,H3142:K3142)-'Line Follower'!$C$5)))</f>
        <v>#N/A</v>
      </c>
      <c r="O3142" s="22" t="e">
        <v>#N/A</v>
      </c>
      <c r="P3142" s="4" t="e">
        <f t="shared" si="245"/>
        <v>#N/A</v>
      </c>
      <c r="Q3142" s="4" t="e">
        <f t="shared" si="246"/>
        <v>#N/A</v>
      </c>
      <c r="R3142" s="4" t="e">
        <f>IF(AND(B3142=1,N3142&gt;'Line Follower'!$C$7,SUM(C3142:K3142)&lt;4),1,0)</f>
        <v>#N/A</v>
      </c>
      <c r="S3142" s="4" t="e">
        <f>IF(AND(L3142=1,N3142&lt;'Line Follower'!$C$6,SUM(C3142:K3142)&lt;4),1,0)</f>
        <v>#N/A</v>
      </c>
      <c r="T3142" s="4" t="e">
        <f t="shared" si="247"/>
        <v>#N/A</v>
      </c>
      <c r="U3142" s="5" t="e">
        <f t="shared" si="248"/>
        <v>#N/A</v>
      </c>
      <c r="V3142" s="23" t="e">
        <f t="shared" si="249"/>
        <v>#N/A</v>
      </c>
    </row>
    <row r="3143" spans="2:22" x14ac:dyDescent="0.25">
      <c r="B3143" s="16">
        <v>0</v>
      </c>
      <c r="C3143" s="7">
        <v>0</v>
      </c>
      <c r="D3143" s="8">
        <v>1</v>
      </c>
      <c r="E3143" s="8">
        <v>0</v>
      </c>
      <c r="F3143" s="8">
        <v>0</v>
      </c>
      <c r="G3143" s="8">
        <v>0</v>
      </c>
      <c r="H3143" s="8">
        <v>1</v>
      </c>
      <c r="I3143" s="8">
        <v>0</v>
      </c>
      <c r="J3143" s="8">
        <v>0</v>
      </c>
      <c r="K3143" s="9">
        <v>0</v>
      </c>
      <c r="L3143" s="10">
        <v>1</v>
      </c>
      <c r="M3143" s="6">
        <v>1</v>
      </c>
      <c r="N3143" s="37" t="e" cm="1">
        <f t="array" ref="N3143">IF(OR(ISNUMBER(FIND(Aux!$D$3:$D$9,_xlfn.TEXTJOIN(,,C3143:K3143)))),NA(),IF(AND(SUM(C3143:F3143,H3143:K3143)=0,G3143=1),0,INT((SUMPRODUCT(C3143:F3143,COLUMN($A$1:$D$1)-1)+SUMPRODUCT(H3143:K3143,COLUMN($E$1:$H$1)-1))*'Line Follower'!$C$3/SUM(C3143:F3143,H3143:K3143)-'Line Follower'!$C$5)))</f>
        <v>#N/A</v>
      </c>
      <c r="O3143" s="22" t="e">
        <v>#N/A</v>
      </c>
      <c r="P3143" s="4" t="e">
        <f t="shared" si="245"/>
        <v>#N/A</v>
      </c>
      <c r="Q3143" s="4" t="e">
        <f t="shared" si="246"/>
        <v>#N/A</v>
      </c>
      <c r="R3143" s="4" t="e">
        <f>IF(AND(B3143=1,N3143&gt;'Line Follower'!$C$7,SUM(C3143:K3143)&lt;4),1,0)</f>
        <v>#N/A</v>
      </c>
      <c r="S3143" s="4" t="e">
        <f>IF(AND(L3143=1,N3143&lt;'Line Follower'!$C$6,SUM(C3143:K3143)&lt;4),1,0)</f>
        <v>#N/A</v>
      </c>
      <c r="T3143" s="4" t="e">
        <f t="shared" si="247"/>
        <v>#N/A</v>
      </c>
      <c r="U3143" s="5" t="e">
        <f t="shared" si="248"/>
        <v>#N/A</v>
      </c>
      <c r="V3143" s="23" t="e">
        <f t="shared" si="249"/>
        <v>#N/A</v>
      </c>
    </row>
    <row r="3144" spans="2:22" x14ac:dyDescent="0.25">
      <c r="B3144" s="16">
        <v>1</v>
      </c>
      <c r="C3144" s="7">
        <v>0</v>
      </c>
      <c r="D3144" s="8">
        <v>1</v>
      </c>
      <c r="E3144" s="8">
        <v>0</v>
      </c>
      <c r="F3144" s="8">
        <v>0</v>
      </c>
      <c r="G3144" s="8">
        <v>0</v>
      </c>
      <c r="H3144" s="8">
        <v>1</v>
      </c>
      <c r="I3144" s="8">
        <v>0</v>
      </c>
      <c r="J3144" s="8">
        <v>0</v>
      </c>
      <c r="K3144" s="9">
        <v>0</v>
      </c>
      <c r="L3144" s="10">
        <v>1</v>
      </c>
      <c r="M3144" s="6">
        <v>1</v>
      </c>
      <c r="N3144" s="37" t="e" cm="1">
        <f t="array" ref="N3144">IF(OR(ISNUMBER(FIND(Aux!$D$3:$D$9,_xlfn.TEXTJOIN(,,C3144:K3144)))),NA(),IF(AND(SUM(C3144:F3144,H3144:K3144)=0,G3144=1),0,INT((SUMPRODUCT(C3144:F3144,COLUMN($A$1:$D$1)-1)+SUMPRODUCT(H3144:K3144,COLUMN($E$1:$H$1)-1))*'Line Follower'!$C$3/SUM(C3144:F3144,H3144:K3144)-'Line Follower'!$C$5)))</f>
        <v>#N/A</v>
      </c>
      <c r="O3144" s="22" t="e">
        <v>#N/A</v>
      </c>
      <c r="P3144" s="4" t="e">
        <f t="shared" si="245"/>
        <v>#N/A</v>
      </c>
      <c r="Q3144" s="4" t="e">
        <f t="shared" si="246"/>
        <v>#N/A</v>
      </c>
      <c r="R3144" s="4" t="e">
        <f>IF(AND(B3144=1,N3144&gt;'Line Follower'!$C$7,SUM(C3144:K3144)&lt;4),1,0)</f>
        <v>#N/A</v>
      </c>
      <c r="S3144" s="4" t="e">
        <f>IF(AND(L3144=1,N3144&lt;'Line Follower'!$C$6,SUM(C3144:K3144)&lt;4),1,0)</f>
        <v>#N/A</v>
      </c>
      <c r="T3144" s="4" t="e">
        <f t="shared" si="247"/>
        <v>#N/A</v>
      </c>
      <c r="U3144" s="5" t="e">
        <f t="shared" si="248"/>
        <v>#N/A</v>
      </c>
      <c r="V3144" s="23" t="e">
        <f t="shared" si="249"/>
        <v>#N/A</v>
      </c>
    </row>
    <row r="3145" spans="2:22" x14ac:dyDescent="0.25">
      <c r="B3145" s="16">
        <v>0</v>
      </c>
      <c r="C3145" s="7">
        <v>1</v>
      </c>
      <c r="D3145" s="8">
        <v>1</v>
      </c>
      <c r="E3145" s="8">
        <v>0</v>
      </c>
      <c r="F3145" s="8">
        <v>0</v>
      </c>
      <c r="G3145" s="8">
        <v>0</v>
      </c>
      <c r="H3145" s="8">
        <v>1</v>
      </c>
      <c r="I3145" s="8">
        <v>0</v>
      </c>
      <c r="J3145" s="8">
        <v>0</v>
      </c>
      <c r="K3145" s="9">
        <v>0</v>
      </c>
      <c r="L3145" s="10">
        <v>1</v>
      </c>
      <c r="M3145" s="6">
        <v>1</v>
      </c>
      <c r="N3145" s="37" t="e" cm="1">
        <f t="array" ref="N3145">IF(OR(ISNUMBER(FIND(Aux!$D$3:$D$9,_xlfn.TEXTJOIN(,,C3145:K3145)))),NA(),IF(AND(SUM(C3145:F3145,H3145:K3145)=0,G3145=1),0,INT((SUMPRODUCT(C3145:F3145,COLUMN($A$1:$D$1)-1)+SUMPRODUCT(H3145:K3145,COLUMN($E$1:$H$1)-1))*'Line Follower'!$C$3/SUM(C3145:F3145,H3145:K3145)-'Line Follower'!$C$5)))</f>
        <v>#N/A</v>
      </c>
      <c r="O3145" s="22" t="e">
        <v>#N/A</v>
      </c>
      <c r="P3145" s="4" t="e">
        <f t="shared" si="245"/>
        <v>#N/A</v>
      </c>
      <c r="Q3145" s="4" t="e">
        <f t="shared" si="246"/>
        <v>#N/A</v>
      </c>
      <c r="R3145" s="4" t="e">
        <f>IF(AND(B3145=1,N3145&gt;'Line Follower'!$C$7,SUM(C3145:K3145)&lt;4),1,0)</f>
        <v>#N/A</v>
      </c>
      <c r="S3145" s="4" t="e">
        <f>IF(AND(L3145=1,N3145&lt;'Line Follower'!$C$6,SUM(C3145:K3145)&lt;4),1,0)</f>
        <v>#N/A</v>
      </c>
      <c r="T3145" s="4" t="e">
        <f t="shared" si="247"/>
        <v>#N/A</v>
      </c>
      <c r="U3145" s="5" t="e">
        <f t="shared" si="248"/>
        <v>#N/A</v>
      </c>
      <c r="V3145" s="23" t="e">
        <f t="shared" si="249"/>
        <v>#N/A</v>
      </c>
    </row>
    <row r="3146" spans="2:22" x14ac:dyDescent="0.25">
      <c r="B3146" s="16">
        <v>1</v>
      </c>
      <c r="C3146" s="7">
        <v>1</v>
      </c>
      <c r="D3146" s="8">
        <v>1</v>
      </c>
      <c r="E3146" s="8">
        <v>0</v>
      </c>
      <c r="F3146" s="8">
        <v>0</v>
      </c>
      <c r="G3146" s="8">
        <v>0</v>
      </c>
      <c r="H3146" s="8">
        <v>1</v>
      </c>
      <c r="I3146" s="8">
        <v>0</v>
      </c>
      <c r="J3146" s="8">
        <v>0</v>
      </c>
      <c r="K3146" s="9">
        <v>0</v>
      </c>
      <c r="L3146" s="10">
        <v>1</v>
      </c>
      <c r="M3146" s="6">
        <v>1</v>
      </c>
      <c r="N3146" s="37" t="e" cm="1">
        <f t="array" ref="N3146">IF(OR(ISNUMBER(FIND(Aux!$D$3:$D$9,_xlfn.TEXTJOIN(,,C3146:K3146)))),NA(),IF(AND(SUM(C3146:F3146,H3146:K3146)=0,G3146=1),0,INT((SUMPRODUCT(C3146:F3146,COLUMN($A$1:$D$1)-1)+SUMPRODUCT(H3146:K3146,COLUMN($E$1:$H$1)-1))*'Line Follower'!$C$3/SUM(C3146:F3146,H3146:K3146)-'Line Follower'!$C$5)))</f>
        <v>#N/A</v>
      </c>
      <c r="O3146" s="22" t="e">
        <v>#N/A</v>
      </c>
      <c r="P3146" s="4" t="e">
        <f t="shared" si="245"/>
        <v>#N/A</v>
      </c>
      <c r="Q3146" s="4" t="e">
        <f t="shared" si="246"/>
        <v>#N/A</v>
      </c>
      <c r="R3146" s="4" t="e">
        <f>IF(AND(B3146=1,N3146&gt;'Line Follower'!$C$7,SUM(C3146:K3146)&lt;4),1,0)</f>
        <v>#N/A</v>
      </c>
      <c r="S3146" s="4" t="e">
        <f>IF(AND(L3146=1,N3146&lt;'Line Follower'!$C$6,SUM(C3146:K3146)&lt;4),1,0)</f>
        <v>#N/A</v>
      </c>
      <c r="T3146" s="4" t="e">
        <f t="shared" si="247"/>
        <v>#N/A</v>
      </c>
      <c r="U3146" s="5" t="e">
        <f t="shared" si="248"/>
        <v>#N/A</v>
      </c>
      <c r="V3146" s="23" t="e">
        <f t="shared" si="249"/>
        <v>#N/A</v>
      </c>
    </row>
    <row r="3147" spans="2:22" x14ac:dyDescent="0.25">
      <c r="B3147" s="16">
        <v>0</v>
      </c>
      <c r="C3147" s="7">
        <v>0</v>
      </c>
      <c r="D3147" s="8">
        <v>0</v>
      </c>
      <c r="E3147" s="8">
        <v>1</v>
      </c>
      <c r="F3147" s="8">
        <v>0</v>
      </c>
      <c r="G3147" s="8">
        <v>0</v>
      </c>
      <c r="H3147" s="8">
        <v>1</v>
      </c>
      <c r="I3147" s="8">
        <v>0</v>
      </c>
      <c r="J3147" s="8">
        <v>0</v>
      </c>
      <c r="K3147" s="9">
        <v>0</v>
      </c>
      <c r="L3147" s="10">
        <v>1</v>
      </c>
      <c r="M3147" s="6">
        <v>1</v>
      </c>
      <c r="N3147" s="37" t="e" cm="1">
        <f t="array" ref="N3147">IF(OR(ISNUMBER(FIND(Aux!$D$3:$D$9,_xlfn.TEXTJOIN(,,C3147:K3147)))),NA(),IF(AND(SUM(C3147:F3147,H3147:K3147)=0,G3147=1),0,INT((SUMPRODUCT(C3147:F3147,COLUMN($A$1:$D$1)-1)+SUMPRODUCT(H3147:K3147,COLUMN($E$1:$H$1)-1))*'Line Follower'!$C$3/SUM(C3147:F3147,H3147:K3147)-'Line Follower'!$C$5)))</f>
        <v>#N/A</v>
      </c>
      <c r="O3147" s="22" t="e">
        <v>#N/A</v>
      </c>
      <c r="P3147" s="4" t="e">
        <f t="shared" si="245"/>
        <v>#N/A</v>
      </c>
      <c r="Q3147" s="4" t="e">
        <f t="shared" si="246"/>
        <v>#N/A</v>
      </c>
      <c r="R3147" s="4" t="e">
        <f>IF(AND(B3147=1,N3147&gt;'Line Follower'!$C$7,SUM(C3147:K3147)&lt;4),1,0)</f>
        <v>#N/A</v>
      </c>
      <c r="S3147" s="4" t="e">
        <f>IF(AND(L3147=1,N3147&lt;'Line Follower'!$C$6,SUM(C3147:K3147)&lt;4),1,0)</f>
        <v>#N/A</v>
      </c>
      <c r="T3147" s="4" t="e">
        <f t="shared" si="247"/>
        <v>#N/A</v>
      </c>
      <c r="U3147" s="5" t="e">
        <f t="shared" si="248"/>
        <v>#N/A</v>
      </c>
      <c r="V3147" s="23" t="e">
        <f t="shared" si="249"/>
        <v>#N/A</v>
      </c>
    </row>
    <row r="3148" spans="2:22" x14ac:dyDescent="0.25">
      <c r="B3148" s="16">
        <v>1</v>
      </c>
      <c r="C3148" s="7">
        <v>0</v>
      </c>
      <c r="D3148" s="8">
        <v>0</v>
      </c>
      <c r="E3148" s="8">
        <v>1</v>
      </c>
      <c r="F3148" s="8">
        <v>0</v>
      </c>
      <c r="G3148" s="8">
        <v>0</v>
      </c>
      <c r="H3148" s="8">
        <v>1</v>
      </c>
      <c r="I3148" s="8">
        <v>0</v>
      </c>
      <c r="J3148" s="8">
        <v>0</v>
      </c>
      <c r="K3148" s="9">
        <v>0</v>
      </c>
      <c r="L3148" s="10">
        <v>1</v>
      </c>
      <c r="M3148" s="6">
        <v>1</v>
      </c>
      <c r="N3148" s="37" t="e" cm="1">
        <f t="array" ref="N3148">IF(OR(ISNUMBER(FIND(Aux!$D$3:$D$9,_xlfn.TEXTJOIN(,,C3148:K3148)))),NA(),IF(AND(SUM(C3148:F3148,H3148:K3148)=0,G3148=1),0,INT((SUMPRODUCT(C3148:F3148,COLUMN($A$1:$D$1)-1)+SUMPRODUCT(H3148:K3148,COLUMN($E$1:$H$1)-1))*'Line Follower'!$C$3/SUM(C3148:F3148,H3148:K3148)-'Line Follower'!$C$5)))</f>
        <v>#N/A</v>
      </c>
      <c r="O3148" s="22" t="e">
        <v>#N/A</v>
      </c>
      <c r="P3148" s="4" t="e">
        <f t="shared" si="245"/>
        <v>#N/A</v>
      </c>
      <c r="Q3148" s="4" t="e">
        <f t="shared" si="246"/>
        <v>#N/A</v>
      </c>
      <c r="R3148" s="4" t="e">
        <f>IF(AND(B3148=1,N3148&gt;'Line Follower'!$C$7,SUM(C3148:K3148)&lt;4),1,0)</f>
        <v>#N/A</v>
      </c>
      <c r="S3148" s="4" t="e">
        <f>IF(AND(L3148=1,N3148&lt;'Line Follower'!$C$6,SUM(C3148:K3148)&lt;4),1,0)</f>
        <v>#N/A</v>
      </c>
      <c r="T3148" s="4" t="e">
        <f t="shared" si="247"/>
        <v>#N/A</v>
      </c>
      <c r="U3148" s="5" t="e">
        <f t="shared" si="248"/>
        <v>#N/A</v>
      </c>
      <c r="V3148" s="23" t="e">
        <f t="shared" si="249"/>
        <v>#N/A</v>
      </c>
    </row>
    <row r="3149" spans="2:22" x14ac:dyDescent="0.25">
      <c r="B3149" s="16">
        <v>0</v>
      </c>
      <c r="C3149" s="7">
        <v>1</v>
      </c>
      <c r="D3149" s="8">
        <v>0</v>
      </c>
      <c r="E3149" s="8">
        <v>1</v>
      </c>
      <c r="F3149" s="8">
        <v>0</v>
      </c>
      <c r="G3149" s="8">
        <v>0</v>
      </c>
      <c r="H3149" s="8">
        <v>1</v>
      </c>
      <c r="I3149" s="8">
        <v>0</v>
      </c>
      <c r="J3149" s="8">
        <v>0</v>
      </c>
      <c r="K3149" s="9">
        <v>0</v>
      </c>
      <c r="L3149" s="10">
        <v>1</v>
      </c>
      <c r="M3149" s="6">
        <v>1</v>
      </c>
      <c r="N3149" s="37" t="e" cm="1">
        <f t="array" ref="N3149">IF(OR(ISNUMBER(FIND(Aux!$D$3:$D$9,_xlfn.TEXTJOIN(,,C3149:K3149)))),NA(),IF(AND(SUM(C3149:F3149,H3149:K3149)=0,G3149=1),0,INT((SUMPRODUCT(C3149:F3149,COLUMN($A$1:$D$1)-1)+SUMPRODUCT(H3149:K3149,COLUMN($E$1:$H$1)-1))*'Line Follower'!$C$3/SUM(C3149:F3149,H3149:K3149)-'Line Follower'!$C$5)))</f>
        <v>#N/A</v>
      </c>
      <c r="O3149" s="22" t="e">
        <v>#N/A</v>
      </c>
      <c r="P3149" s="4" t="e">
        <f t="shared" si="245"/>
        <v>#N/A</v>
      </c>
      <c r="Q3149" s="4" t="e">
        <f t="shared" si="246"/>
        <v>#N/A</v>
      </c>
      <c r="R3149" s="4" t="e">
        <f>IF(AND(B3149=1,N3149&gt;'Line Follower'!$C$7,SUM(C3149:K3149)&lt;4),1,0)</f>
        <v>#N/A</v>
      </c>
      <c r="S3149" s="4" t="e">
        <f>IF(AND(L3149=1,N3149&lt;'Line Follower'!$C$6,SUM(C3149:K3149)&lt;4),1,0)</f>
        <v>#N/A</v>
      </c>
      <c r="T3149" s="4" t="e">
        <f t="shared" si="247"/>
        <v>#N/A</v>
      </c>
      <c r="U3149" s="5" t="e">
        <f t="shared" si="248"/>
        <v>#N/A</v>
      </c>
      <c r="V3149" s="23" t="e">
        <f t="shared" si="249"/>
        <v>#N/A</v>
      </c>
    </row>
    <row r="3150" spans="2:22" x14ac:dyDescent="0.25">
      <c r="B3150" s="16">
        <v>1</v>
      </c>
      <c r="C3150" s="7">
        <v>1</v>
      </c>
      <c r="D3150" s="8">
        <v>0</v>
      </c>
      <c r="E3150" s="8">
        <v>1</v>
      </c>
      <c r="F3150" s="8">
        <v>0</v>
      </c>
      <c r="G3150" s="8">
        <v>0</v>
      </c>
      <c r="H3150" s="8">
        <v>1</v>
      </c>
      <c r="I3150" s="8">
        <v>0</v>
      </c>
      <c r="J3150" s="8">
        <v>0</v>
      </c>
      <c r="K3150" s="9">
        <v>0</v>
      </c>
      <c r="L3150" s="10">
        <v>1</v>
      </c>
      <c r="M3150" s="6">
        <v>1</v>
      </c>
      <c r="N3150" s="37" t="e" cm="1">
        <f t="array" ref="N3150">IF(OR(ISNUMBER(FIND(Aux!$D$3:$D$9,_xlfn.TEXTJOIN(,,C3150:K3150)))),NA(),IF(AND(SUM(C3150:F3150,H3150:K3150)=0,G3150=1),0,INT((SUMPRODUCT(C3150:F3150,COLUMN($A$1:$D$1)-1)+SUMPRODUCT(H3150:K3150,COLUMN($E$1:$H$1)-1))*'Line Follower'!$C$3/SUM(C3150:F3150,H3150:K3150)-'Line Follower'!$C$5)))</f>
        <v>#N/A</v>
      </c>
      <c r="O3150" s="22" t="e">
        <v>#N/A</v>
      </c>
      <c r="P3150" s="4" t="e">
        <f t="shared" si="245"/>
        <v>#N/A</v>
      </c>
      <c r="Q3150" s="4" t="e">
        <f t="shared" si="246"/>
        <v>#N/A</v>
      </c>
      <c r="R3150" s="4" t="e">
        <f>IF(AND(B3150=1,N3150&gt;'Line Follower'!$C$7,SUM(C3150:K3150)&lt;4),1,0)</f>
        <v>#N/A</v>
      </c>
      <c r="S3150" s="4" t="e">
        <f>IF(AND(L3150=1,N3150&lt;'Line Follower'!$C$6,SUM(C3150:K3150)&lt;4),1,0)</f>
        <v>#N/A</v>
      </c>
      <c r="T3150" s="4" t="e">
        <f t="shared" si="247"/>
        <v>#N/A</v>
      </c>
      <c r="U3150" s="5" t="e">
        <f t="shared" si="248"/>
        <v>#N/A</v>
      </c>
      <c r="V3150" s="23" t="e">
        <f t="shared" si="249"/>
        <v>#N/A</v>
      </c>
    </row>
    <row r="3151" spans="2:22" x14ac:dyDescent="0.25">
      <c r="B3151" s="16">
        <v>0</v>
      </c>
      <c r="C3151" s="7">
        <v>0</v>
      </c>
      <c r="D3151" s="8">
        <v>1</v>
      </c>
      <c r="E3151" s="8">
        <v>1</v>
      </c>
      <c r="F3151" s="8">
        <v>0</v>
      </c>
      <c r="G3151" s="8">
        <v>0</v>
      </c>
      <c r="H3151" s="8">
        <v>1</v>
      </c>
      <c r="I3151" s="8">
        <v>0</v>
      </c>
      <c r="J3151" s="8">
        <v>0</v>
      </c>
      <c r="K3151" s="9">
        <v>0</v>
      </c>
      <c r="L3151" s="10">
        <v>1</v>
      </c>
      <c r="M3151" s="6">
        <v>1</v>
      </c>
      <c r="N3151" s="37" t="e" cm="1">
        <f t="array" ref="N3151">IF(OR(ISNUMBER(FIND(Aux!$D$3:$D$9,_xlfn.TEXTJOIN(,,C3151:K3151)))),NA(),IF(AND(SUM(C3151:F3151,H3151:K3151)=0,G3151=1),0,INT((SUMPRODUCT(C3151:F3151,COLUMN($A$1:$D$1)-1)+SUMPRODUCT(H3151:K3151,COLUMN($E$1:$H$1)-1))*'Line Follower'!$C$3/SUM(C3151:F3151,H3151:K3151)-'Line Follower'!$C$5)))</f>
        <v>#N/A</v>
      </c>
      <c r="O3151" s="22" t="e">
        <v>#N/A</v>
      </c>
      <c r="P3151" s="4" t="e">
        <f t="shared" si="245"/>
        <v>#N/A</v>
      </c>
      <c r="Q3151" s="4" t="e">
        <f t="shared" si="246"/>
        <v>#N/A</v>
      </c>
      <c r="R3151" s="4" t="e">
        <f>IF(AND(B3151=1,N3151&gt;'Line Follower'!$C$7,SUM(C3151:K3151)&lt;4),1,0)</f>
        <v>#N/A</v>
      </c>
      <c r="S3151" s="4" t="e">
        <f>IF(AND(L3151=1,N3151&lt;'Line Follower'!$C$6,SUM(C3151:K3151)&lt;4),1,0)</f>
        <v>#N/A</v>
      </c>
      <c r="T3151" s="4" t="e">
        <f t="shared" si="247"/>
        <v>#N/A</v>
      </c>
      <c r="U3151" s="5" t="e">
        <f t="shared" si="248"/>
        <v>#N/A</v>
      </c>
      <c r="V3151" s="23" t="e">
        <f t="shared" si="249"/>
        <v>#N/A</v>
      </c>
    </row>
    <row r="3152" spans="2:22" x14ac:dyDescent="0.25">
      <c r="B3152" s="16">
        <v>1</v>
      </c>
      <c r="C3152" s="7">
        <v>0</v>
      </c>
      <c r="D3152" s="8">
        <v>1</v>
      </c>
      <c r="E3152" s="8">
        <v>1</v>
      </c>
      <c r="F3152" s="8">
        <v>0</v>
      </c>
      <c r="G3152" s="8">
        <v>0</v>
      </c>
      <c r="H3152" s="8">
        <v>1</v>
      </c>
      <c r="I3152" s="8">
        <v>0</v>
      </c>
      <c r="J3152" s="8">
        <v>0</v>
      </c>
      <c r="K3152" s="9">
        <v>0</v>
      </c>
      <c r="L3152" s="10">
        <v>1</v>
      </c>
      <c r="M3152" s="6">
        <v>1</v>
      </c>
      <c r="N3152" s="37" t="e" cm="1">
        <f t="array" ref="N3152">IF(OR(ISNUMBER(FIND(Aux!$D$3:$D$9,_xlfn.TEXTJOIN(,,C3152:K3152)))),NA(),IF(AND(SUM(C3152:F3152,H3152:K3152)=0,G3152=1),0,INT((SUMPRODUCT(C3152:F3152,COLUMN($A$1:$D$1)-1)+SUMPRODUCT(H3152:K3152,COLUMN($E$1:$H$1)-1))*'Line Follower'!$C$3/SUM(C3152:F3152,H3152:K3152)-'Line Follower'!$C$5)))</f>
        <v>#N/A</v>
      </c>
      <c r="O3152" s="22" t="e">
        <v>#N/A</v>
      </c>
      <c r="P3152" s="4" t="e">
        <f t="shared" si="245"/>
        <v>#N/A</v>
      </c>
      <c r="Q3152" s="4" t="e">
        <f t="shared" si="246"/>
        <v>#N/A</v>
      </c>
      <c r="R3152" s="4" t="e">
        <f>IF(AND(B3152=1,N3152&gt;'Line Follower'!$C$7,SUM(C3152:K3152)&lt;4),1,0)</f>
        <v>#N/A</v>
      </c>
      <c r="S3152" s="4" t="e">
        <f>IF(AND(L3152=1,N3152&lt;'Line Follower'!$C$6,SUM(C3152:K3152)&lt;4),1,0)</f>
        <v>#N/A</v>
      </c>
      <c r="T3152" s="4" t="e">
        <f t="shared" si="247"/>
        <v>#N/A</v>
      </c>
      <c r="U3152" s="5" t="e">
        <f t="shared" si="248"/>
        <v>#N/A</v>
      </c>
      <c r="V3152" s="23" t="e">
        <f t="shared" si="249"/>
        <v>#N/A</v>
      </c>
    </row>
    <row r="3153" spans="2:22" x14ac:dyDescent="0.25">
      <c r="B3153" s="16">
        <v>0</v>
      </c>
      <c r="C3153" s="7">
        <v>1</v>
      </c>
      <c r="D3153" s="8">
        <v>1</v>
      </c>
      <c r="E3153" s="8">
        <v>1</v>
      </c>
      <c r="F3153" s="8">
        <v>0</v>
      </c>
      <c r="G3153" s="8">
        <v>0</v>
      </c>
      <c r="H3153" s="8">
        <v>1</v>
      </c>
      <c r="I3153" s="8">
        <v>0</v>
      </c>
      <c r="J3153" s="8">
        <v>0</v>
      </c>
      <c r="K3153" s="9">
        <v>0</v>
      </c>
      <c r="L3153" s="10">
        <v>1</v>
      </c>
      <c r="M3153" s="6">
        <v>1</v>
      </c>
      <c r="N3153" s="37" t="e" cm="1">
        <f t="array" ref="N3153">IF(OR(ISNUMBER(FIND(Aux!$D$3:$D$9,_xlfn.TEXTJOIN(,,C3153:K3153)))),NA(),IF(AND(SUM(C3153:F3153,H3153:K3153)=0,G3153=1),0,INT((SUMPRODUCT(C3153:F3153,COLUMN($A$1:$D$1)-1)+SUMPRODUCT(H3153:K3153,COLUMN($E$1:$H$1)-1))*'Line Follower'!$C$3/SUM(C3153:F3153,H3153:K3153)-'Line Follower'!$C$5)))</f>
        <v>#N/A</v>
      </c>
      <c r="O3153" s="22" t="e">
        <v>#N/A</v>
      </c>
      <c r="P3153" s="4" t="e">
        <f t="shared" si="245"/>
        <v>#N/A</v>
      </c>
      <c r="Q3153" s="4" t="e">
        <f t="shared" si="246"/>
        <v>#N/A</v>
      </c>
      <c r="R3153" s="4" t="e">
        <f>IF(AND(B3153=1,N3153&gt;'Line Follower'!$C$7,SUM(C3153:K3153)&lt;4),1,0)</f>
        <v>#N/A</v>
      </c>
      <c r="S3153" s="4" t="e">
        <f>IF(AND(L3153=1,N3153&lt;'Line Follower'!$C$6,SUM(C3153:K3153)&lt;4),1,0)</f>
        <v>#N/A</v>
      </c>
      <c r="T3153" s="4" t="e">
        <f t="shared" si="247"/>
        <v>#N/A</v>
      </c>
      <c r="U3153" s="5" t="e">
        <f t="shared" si="248"/>
        <v>#N/A</v>
      </c>
      <c r="V3153" s="23" t="e">
        <f t="shared" si="249"/>
        <v>#N/A</v>
      </c>
    </row>
    <row r="3154" spans="2:22" x14ac:dyDescent="0.25">
      <c r="B3154" s="16">
        <v>1</v>
      </c>
      <c r="C3154" s="7">
        <v>1</v>
      </c>
      <c r="D3154" s="8">
        <v>1</v>
      </c>
      <c r="E3154" s="8">
        <v>1</v>
      </c>
      <c r="F3154" s="8">
        <v>0</v>
      </c>
      <c r="G3154" s="8">
        <v>0</v>
      </c>
      <c r="H3154" s="8">
        <v>1</v>
      </c>
      <c r="I3154" s="8">
        <v>0</v>
      </c>
      <c r="J3154" s="8">
        <v>0</v>
      </c>
      <c r="K3154" s="9">
        <v>0</v>
      </c>
      <c r="L3154" s="10">
        <v>1</v>
      </c>
      <c r="M3154" s="6">
        <v>1</v>
      </c>
      <c r="N3154" s="37" t="e" cm="1">
        <f t="array" ref="N3154">IF(OR(ISNUMBER(FIND(Aux!$D$3:$D$9,_xlfn.TEXTJOIN(,,C3154:K3154)))),NA(),IF(AND(SUM(C3154:F3154,H3154:K3154)=0,G3154=1),0,INT((SUMPRODUCT(C3154:F3154,COLUMN($A$1:$D$1)-1)+SUMPRODUCT(H3154:K3154,COLUMN($E$1:$H$1)-1))*'Line Follower'!$C$3/SUM(C3154:F3154,H3154:K3154)-'Line Follower'!$C$5)))</f>
        <v>#N/A</v>
      </c>
      <c r="O3154" s="22" t="e">
        <v>#N/A</v>
      </c>
      <c r="P3154" s="4" t="e">
        <f t="shared" si="245"/>
        <v>#N/A</v>
      </c>
      <c r="Q3154" s="4" t="e">
        <f t="shared" si="246"/>
        <v>#N/A</v>
      </c>
      <c r="R3154" s="4" t="e">
        <f>IF(AND(B3154=1,N3154&gt;'Line Follower'!$C$7,SUM(C3154:K3154)&lt;4),1,0)</f>
        <v>#N/A</v>
      </c>
      <c r="S3154" s="4" t="e">
        <f>IF(AND(L3154=1,N3154&lt;'Line Follower'!$C$6,SUM(C3154:K3154)&lt;4),1,0)</f>
        <v>#N/A</v>
      </c>
      <c r="T3154" s="4" t="e">
        <f t="shared" si="247"/>
        <v>#N/A</v>
      </c>
      <c r="U3154" s="5" t="e">
        <f t="shared" si="248"/>
        <v>#N/A</v>
      </c>
      <c r="V3154" s="23" t="e">
        <f t="shared" si="249"/>
        <v>#N/A</v>
      </c>
    </row>
    <row r="3155" spans="2:22" x14ac:dyDescent="0.25">
      <c r="B3155" s="16">
        <v>0</v>
      </c>
      <c r="C3155" s="7">
        <v>0</v>
      </c>
      <c r="D3155" s="8">
        <v>0</v>
      </c>
      <c r="E3155" s="8">
        <v>0</v>
      </c>
      <c r="F3155" s="8">
        <v>1</v>
      </c>
      <c r="G3155" s="8">
        <v>0</v>
      </c>
      <c r="H3155" s="8">
        <v>1</v>
      </c>
      <c r="I3155" s="8">
        <v>0</v>
      </c>
      <c r="J3155" s="8">
        <v>0</v>
      </c>
      <c r="K3155" s="9">
        <v>0</v>
      </c>
      <c r="L3155" s="10">
        <v>1</v>
      </c>
      <c r="M3155" s="6">
        <v>1</v>
      </c>
      <c r="N3155" s="37" t="e" cm="1">
        <f t="array" ref="N3155">IF(OR(ISNUMBER(FIND(Aux!$D$3:$D$9,_xlfn.TEXTJOIN(,,C3155:K3155)))),NA(),IF(AND(SUM(C3155:F3155,H3155:K3155)=0,G3155=1),0,INT((SUMPRODUCT(C3155:F3155,COLUMN($A$1:$D$1)-1)+SUMPRODUCT(H3155:K3155,COLUMN($E$1:$H$1)-1))*'Line Follower'!$C$3/SUM(C3155:F3155,H3155:K3155)-'Line Follower'!$C$5)))</f>
        <v>#N/A</v>
      </c>
      <c r="O3155" s="22" t="e">
        <v>#N/A</v>
      </c>
      <c r="P3155" s="4" t="e">
        <f t="shared" si="245"/>
        <v>#N/A</v>
      </c>
      <c r="Q3155" s="4" t="e">
        <f t="shared" si="246"/>
        <v>#N/A</v>
      </c>
      <c r="R3155" s="4" t="e">
        <f>IF(AND(B3155=1,N3155&gt;'Line Follower'!$C$7,SUM(C3155:K3155)&lt;4),1,0)</f>
        <v>#N/A</v>
      </c>
      <c r="S3155" s="4" t="e">
        <f>IF(AND(L3155=1,N3155&lt;'Line Follower'!$C$6,SUM(C3155:K3155)&lt;4),1,0)</f>
        <v>#N/A</v>
      </c>
      <c r="T3155" s="4" t="e">
        <f t="shared" si="247"/>
        <v>#N/A</v>
      </c>
      <c r="U3155" s="5" t="e">
        <f t="shared" si="248"/>
        <v>#N/A</v>
      </c>
      <c r="V3155" s="23" t="e">
        <f t="shared" si="249"/>
        <v>#N/A</v>
      </c>
    </row>
    <row r="3156" spans="2:22" x14ac:dyDescent="0.25">
      <c r="B3156" s="16">
        <v>1</v>
      </c>
      <c r="C3156" s="7">
        <v>0</v>
      </c>
      <c r="D3156" s="8">
        <v>0</v>
      </c>
      <c r="E3156" s="8">
        <v>0</v>
      </c>
      <c r="F3156" s="8">
        <v>1</v>
      </c>
      <c r="G3156" s="8">
        <v>0</v>
      </c>
      <c r="H3156" s="8">
        <v>1</v>
      </c>
      <c r="I3156" s="8">
        <v>0</v>
      </c>
      <c r="J3156" s="8">
        <v>0</v>
      </c>
      <c r="K3156" s="9">
        <v>0</v>
      </c>
      <c r="L3156" s="10">
        <v>1</v>
      </c>
      <c r="M3156" s="6">
        <v>1</v>
      </c>
      <c r="N3156" s="37" t="e" cm="1">
        <f t="array" ref="N3156">IF(OR(ISNUMBER(FIND(Aux!$D$3:$D$9,_xlfn.TEXTJOIN(,,C3156:K3156)))),NA(),IF(AND(SUM(C3156:F3156,H3156:K3156)=0,G3156=1),0,INT((SUMPRODUCT(C3156:F3156,COLUMN($A$1:$D$1)-1)+SUMPRODUCT(H3156:K3156,COLUMN($E$1:$H$1)-1))*'Line Follower'!$C$3/SUM(C3156:F3156,H3156:K3156)-'Line Follower'!$C$5)))</f>
        <v>#N/A</v>
      </c>
      <c r="O3156" s="22" t="e">
        <v>#N/A</v>
      </c>
      <c r="P3156" s="4" t="e">
        <f t="shared" si="245"/>
        <v>#N/A</v>
      </c>
      <c r="Q3156" s="4" t="e">
        <f t="shared" si="246"/>
        <v>#N/A</v>
      </c>
      <c r="R3156" s="4" t="e">
        <f>IF(AND(B3156=1,N3156&gt;'Line Follower'!$C$7,SUM(C3156:K3156)&lt;4),1,0)</f>
        <v>#N/A</v>
      </c>
      <c r="S3156" s="4" t="e">
        <f>IF(AND(L3156=1,N3156&lt;'Line Follower'!$C$6,SUM(C3156:K3156)&lt;4),1,0)</f>
        <v>#N/A</v>
      </c>
      <c r="T3156" s="4" t="e">
        <f t="shared" si="247"/>
        <v>#N/A</v>
      </c>
      <c r="U3156" s="5" t="e">
        <f t="shared" si="248"/>
        <v>#N/A</v>
      </c>
      <c r="V3156" s="23" t="e">
        <f t="shared" si="249"/>
        <v>#N/A</v>
      </c>
    </row>
    <row r="3157" spans="2:22" x14ac:dyDescent="0.25">
      <c r="B3157" s="16">
        <v>0</v>
      </c>
      <c r="C3157" s="7">
        <v>1</v>
      </c>
      <c r="D3157" s="8">
        <v>0</v>
      </c>
      <c r="E3157" s="8">
        <v>0</v>
      </c>
      <c r="F3157" s="8">
        <v>1</v>
      </c>
      <c r="G3157" s="8">
        <v>0</v>
      </c>
      <c r="H3157" s="8">
        <v>1</v>
      </c>
      <c r="I3157" s="8">
        <v>0</v>
      </c>
      <c r="J3157" s="8">
        <v>0</v>
      </c>
      <c r="K3157" s="9">
        <v>0</v>
      </c>
      <c r="L3157" s="10">
        <v>1</v>
      </c>
      <c r="M3157" s="6">
        <v>1</v>
      </c>
      <c r="N3157" s="37" t="e" cm="1">
        <f t="array" ref="N3157">IF(OR(ISNUMBER(FIND(Aux!$D$3:$D$9,_xlfn.TEXTJOIN(,,C3157:K3157)))),NA(),IF(AND(SUM(C3157:F3157,H3157:K3157)=0,G3157=1),0,INT((SUMPRODUCT(C3157:F3157,COLUMN($A$1:$D$1)-1)+SUMPRODUCT(H3157:K3157,COLUMN($E$1:$H$1)-1))*'Line Follower'!$C$3/SUM(C3157:F3157,H3157:K3157)-'Line Follower'!$C$5)))</f>
        <v>#N/A</v>
      </c>
      <c r="O3157" s="22" t="e">
        <v>#N/A</v>
      </c>
      <c r="P3157" s="4" t="e">
        <f t="shared" si="245"/>
        <v>#N/A</v>
      </c>
      <c r="Q3157" s="4" t="e">
        <f t="shared" si="246"/>
        <v>#N/A</v>
      </c>
      <c r="R3157" s="4" t="e">
        <f>IF(AND(B3157=1,N3157&gt;'Line Follower'!$C$7,SUM(C3157:K3157)&lt;4),1,0)</f>
        <v>#N/A</v>
      </c>
      <c r="S3157" s="4" t="e">
        <f>IF(AND(L3157=1,N3157&lt;'Line Follower'!$C$6,SUM(C3157:K3157)&lt;4),1,0)</f>
        <v>#N/A</v>
      </c>
      <c r="T3157" s="4" t="e">
        <f t="shared" si="247"/>
        <v>#N/A</v>
      </c>
      <c r="U3157" s="5" t="e">
        <f t="shared" si="248"/>
        <v>#N/A</v>
      </c>
      <c r="V3157" s="23" t="e">
        <f t="shared" si="249"/>
        <v>#N/A</v>
      </c>
    </row>
    <row r="3158" spans="2:22" x14ac:dyDescent="0.25">
      <c r="B3158" s="16">
        <v>1</v>
      </c>
      <c r="C3158" s="7">
        <v>1</v>
      </c>
      <c r="D3158" s="8">
        <v>0</v>
      </c>
      <c r="E3158" s="8">
        <v>0</v>
      </c>
      <c r="F3158" s="8">
        <v>1</v>
      </c>
      <c r="G3158" s="8">
        <v>0</v>
      </c>
      <c r="H3158" s="8">
        <v>1</v>
      </c>
      <c r="I3158" s="8">
        <v>0</v>
      </c>
      <c r="J3158" s="8">
        <v>0</v>
      </c>
      <c r="K3158" s="9">
        <v>0</v>
      </c>
      <c r="L3158" s="10">
        <v>1</v>
      </c>
      <c r="M3158" s="6">
        <v>1</v>
      </c>
      <c r="N3158" s="37" t="e" cm="1">
        <f t="array" ref="N3158">IF(OR(ISNUMBER(FIND(Aux!$D$3:$D$9,_xlfn.TEXTJOIN(,,C3158:K3158)))),NA(),IF(AND(SUM(C3158:F3158,H3158:K3158)=0,G3158=1),0,INT((SUMPRODUCT(C3158:F3158,COLUMN($A$1:$D$1)-1)+SUMPRODUCT(H3158:K3158,COLUMN($E$1:$H$1)-1))*'Line Follower'!$C$3/SUM(C3158:F3158,H3158:K3158)-'Line Follower'!$C$5)))</f>
        <v>#N/A</v>
      </c>
      <c r="O3158" s="22" t="e">
        <v>#N/A</v>
      </c>
      <c r="P3158" s="4" t="e">
        <f t="shared" si="245"/>
        <v>#N/A</v>
      </c>
      <c r="Q3158" s="4" t="e">
        <f t="shared" si="246"/>
        <v>#N/A</v>
      </c>
      <c r="R3158" s="4" t="e">
        <f>IF(AND(B3158=1,N3158&gt;'Line Follower'!$C$7,SUM(C3158:K3158)&lt;4),1,0)</f>
        <v>#N/A</v>
      </c>
      <c r="S3158" s="4" t="e">
        <f>IF(AND(L3158=1,N3158&lt;'Line Follower'!$C$6,SUM(C3158:K3158)&lt;4),1,0)</f>
        <v>#N/A</v>
      </c>
      <c r="T3158" s="4" t="e">
        <f t="shared" si="247"/>
        <v>#N/A</v>
      </c>
      <c r="U3158" s="5" t="e">
        <f t="shared" si="248"/>
        <v>#N/A</v>
      </c>
      <c r="V3158" s="23" t="e">
        <f t="shared" si="249"/>
        <v>#N/A</v>
      </c>
    </row>
    <row r="3159" spans="2:22" x14ac:dyDescent="0.25">
      <c r="B3159" s="16">
        <v>0</v>
      </c>
      <c r="C3159" s="7">
        <v>0</v>
      </c>
      <c r="D3159" s="8">
        <v>1</v>
      </c>
      <c r="E3159" s="8">
        <v>0</v>
      </c>
      <c r="F3159" s="8">
        <v>1</v>
      </c>
      <c r="G3159" s="8">
        <v>0</v>
      </c>
      <c r="H3159" s="8">
        <v>1</v>
      </c>
      <c r="I3159" s="8">
        <v>0</v>
      </c>
      <c r="J3159" s="8">
        <v>0</v>
      </c>
      <c r="K3159" s="9">
        <v>0</v>
      </c>
      <c r="L3159" s="10">
        <v>1</v>
      </c>
      <c r="M3159" s="6">
        <v>1</v>
      </c>
      <c r="N3159" s="37" t="e" cm="1">
        <f t="array" ref="N3159">IF(OR(ISNUMBER(FIND(Aux!$D$3:$D$9,_xlfn.TEXTJOIN(,,C3159:K3159)))),NA(),IF(AND(SUM(C3159:F3159,H3159:K3159)=0,G3159=1),0,INT((SUMPRODUCT(C3159:F3159,COLUMN($A$1:$D$1)-1)+SUMPRODUCT(H3159:K3159,COLUMN($E$1:$H$1)-1))*'Line Follower'!$C$3/SUM(C3159:F3159,H3159:K3159)-'Line Follower'!$C$5)))</f>
        <v>#N/A</v>
      </c>
      <c r="O3159" s="22" t="e">
        <v>#N/A</v>
      </c>
      <c r="P3159" s="4" t="e">
        <f t="shared" si="245"/>
        <v>#N/A</v>
      </c>
      <c r="Q3159" s="4" t="e">
        <f t="shared" si="246"/>
        <v>#N/A</v>
      </c>
      <c r="R3159" s="4" t="e">
        <f>IF(AND(B3159=1,N3159&gt;'Line Follower'!$C$7,SUM(C3159:K3159)&lt;4),1,0)</f>
        <v>#N/A</v>
      </c>
      <c r="S3159" s="4" t="e">
        <f>IF(AND(L3159=1,N3159&lt;'Line Follower'!$C$6,SUM(C3159:K3159)&lt;4),1,0)</f>
        <v>#N/A</v>
      </c>
      <c r="T3159" s="4" t="e">
        <f t="shared" si="247"/>
        <v>#N/A</v>
      </c>
      <c r="U3159" s="5" t="e">
        <f t="shared" si="248"/>
        <v>#N/A</v>
      </c>
      <c r="V3159" s="23" t="e">
        <f t="shared" si="249"/>
        <v>#N/A</v>
      </c>
    </row>
    <row r="3160" spans="2:22" x14ac:dyDescent="0.25">
      <c r="B3160" s="16">
        <v>1</v>
      </c>
      <c r="C3160" s="7">
        <v>0</v>
      </c>
      <c r="D3160" s="8">
        <v>1</v>
      </c>
      <c r="E3160" s="8">
        <v>0</v>
      </c>
      <c r="F3160" s="8">
        <v>1</v>
      </c>
      <c r="G3160" s="8">
        <v>0</v>
      </c>
      <c r="H3160" s="8">
        <v>1</v>
      </c>
      <c r="I3160" s="8">
        <v>0</v>
      </c>
      <c r="J3160" s="8">
        <v>0</v>
      </c>
      <c r="K3160" s="9">
        <v>0</v>
      </c>
      <c r="L3160" s="10">
        <v>1</v>
      </c>
      <c r="M3160" s="6">
        <v>1</v>
      </c>
      <c r="N3160" s="37" t="e" cm="1">
        <f t="array" ref="N3160">IF(OR(ISNUMBER(FIND(Aux!$D$3:$D$9,_xlfn.TEXTJOIN(,,C3160:K3160)))),NA(),IF(AND(SUM(C3160:F3160,H3160:K3160)=0,G3160=1),0,INT((SUMPRODUCT(C3160:F3160,COLUMN($A$1:$D$1)-1)+SUMPRODUCT(H3160:K3160,COLUMN($E$1:$H$1)-1))*'Line Follower'!$C$3/SUM(C3160:F3160,H3160:K3160)-'Line Follower'!$C$5)))</f>
        <v>#N/A</v>
      </c>
      <c r="O3160" s="22" t="e">
        <v>#N/A</v>
      </c>
      <c r="P3160" s="4" t="e">
        <f t="shared" si="245"/>
        <v>#N/A</v>
      </c>
      <c r="Q3160" s="4" t="e">
        <f t="shared" si="246"/>
        <v>#N/A</v>
      </c>
      <c r="R3160" s="4" t="e">
        <f>IF(AND(B3160=1,N3160&gt;'Line Follower'!$C$7,SUM(C3160:K3160)&lt;4),1,0)</f>
        <v>#N/A</v>
      </c>
      <c r="S3160" s="4" t="e">
        <f>IF(AND(L3160=1,N3160&lt;'Line Follower'!$C$6,SUM(C3160:K3160)&lt;4),1,0)</f>
        <v>#N/A</v>
      </c>
      <c r="T3160" s="4" t="e">
        <f t="shared" si="247"/>
        <v>#N/A</v>
      </c>
      <c r="U3160" s="5" t="e">
        <f t="shared" si="248"/>
        <v>#N/A</v>
      </c>
      <c r="V3160" s="23" t="e">
        <f t="shared" si="249"/>
        <v>#N/A</v>
      </c>
    </row>
    <row r="3161" spans="2:22" x14ac:dyDescent="0.25">
      <c r="B3161" s="16">
        <v>0</v>
      </c>
      <c r="C3161" s="7">
        <v>1</v>
      </c>
      <c r="D3161" s="8">
        <v>1</v>
      </c>
      <c r="E3161" s="8">
        <v>0</v>
      </c>
      <c r="F3161" s="8">
        <v>1</v>
      </c>
      <c r="G3161" s="8">
        <v>0</v>
      </c>
      <c r="H3161" s="8">
        <v>1</v>
      </c>
      <c r="I3161" s="8">
        <v>0</v>
      </c>
      <c r="J3161" s="8">
        <v>0</v>
      </c>
      <c r="K3161" s="9">
        <v>0</v>
      </c>
      <c r="L3161" s="10">
        <v>1</v>
      </c>
      <c r="M3161" s="6">
        <v>1</v>
      </c>
      <c r="N3161" s="37" t="e" cm="1">
        <f t="array" ref="N3161">IF(OR(ISNUMBER(FIND(Aux!$D$3:$D$9,_xlfn.TEXTJOIN(,,C3161:K3161)))),NA(),IF(AND(SUM(C3161:F3161,H3161:K3161)=0,G3161=1),0,INT((SUMPRODUCT(C3161:F3161,COLUMN($A$1:$D$1)-1)+SUMPRODUCT(H3161:K3161,COLUMN($E$1:$H$1)-1))*'Line Follower'!$C$3/SUM(C3161:F3161,H3161:K3161)-'Line Follower'!$C$5)))</f>
        <v>#N/A</v>
      </c>
      <c r="O3161" s="22" t="e">
        <v>#N/A</v>
      </c>
      <c r="P3161" s="4" t="e">
        <f t="shared" si="245"/>
        <v>#N/A</v>
      </c>
      <c r="Q3161" s="4" t="e">
        <f t="shared" si="246"/>
        <v>#N/A</v>
      </c>
      <c r="R3161" s="4" t="e">
        <f>IF(AND(B3161=1,N3161&gt;'Line Follower'!$C$7,SUM(C3161:K3161)&lt;4),1,0)</f>
        <v>#N/A</v>
      </c>
      <c r="S3161" s="4" t="e">
        <f>IF(AND(L3161=1,N3161&lt;'Line Follower'!$C$6,SUM(C3161:K3161)&lt;4),1,0)</f>
        <v>#N/A</v>
      </c>
      <c r="T3161" s="4" t="e">
        <f t="shared" si="247"/>
        <v>#N/A</v>
      </c>
      <c r="U3161" s="5" t="e">
        <f t="shared" si="248"/>
        <v>#N/A</v>
      </c>
      <c r="V3161" s="23" t="e">
        <f t="shared" si="249"/>
        <v>#N/A</v>
      </c>
    </row>
    <row r="3162" spans="2:22" x14ac:dyDescent="0.25">
      <c r="B3162" s="16">
        <v>1</v>
      </c>
      <c r="C3162" s="7">
        <v>1</v>
      </c>
      <c r="D3162" s="8">
        <v>1</v>
      </c>
      <c r="E3162" s="8">
        <v>0</v>
      </c>
      <c r="F3162" s="8">
        <v>1</v>
      </c>
      <c r="G3162" s="8">
        <v>0</v>
      </c>
      <c r="H3162" s="8">
        <v>1</v>
      </c>
      <c r="I3162" s="8">
        <v>0</v>
      </c>
      <c r="J3162" s="8">
        <v>0</v>
      </c>
      <c r="K3162" s="9">
        <v>0</v>
      </c>
      <c r="L3162" s="10">
        <v>1</v>
      </c>
      <c r="M3162" s="6">
        <v>1</v>
      </c>
      <c r="N3162" s="37" t="e" cm="1">
        <f t="array" ref="N3162">IF(OR(ISNUMBER(FIND(Aux!$D$3:$D$9,_xlfn.TEXTJOIN(,,C3162:K3162)))),NA(),IF(AND(SUM(C3162:F3162,H3162:K3162)=0,G3162=1),0,INT((SUMPRODUCT(C3162:F3162,COLUMN($A$1:$D$1)-1)+SUMPRODUCT(H3162:K3162,COLUMN($E$1:$H$1)-1))*'Line Follower'!$C$3/SUM(C3162:F3162,H3162:K3162)-'Line Follower'!$C$5)))</f>
        <v>#N/A</v>
      </c>
      <c r="O3162" s="22" t="e">
        <v>#N/A</v>
      </c>
      <c r="P3162" s="4" t="e">
        <f t="shared" si="245"/>
        <v>#N/A</v>
      </c>
      <c r="Q3162" s="4" t="e">
        <f t="shared" si="246"/>
        <v>#N/A</v>
      </c>
      <c r="R3162" s="4" t="e">
        <f>IF(AND(B3162=1,N3162&gt;'Line Follower'!$C$7,SUM(C3162:K3162)&lt;4),1,0)</f>
        <v>#N/A</v>
      </c>
      <c r="S3162" s="4" t="e">
        <f>IF(AND(L3162=1,N3162&lt;'Line Follower'!$C$6,SUM(C3162:K3162)&lt;4),1,0)</f>
        <v>#N/A</v>
      </c>
      <c r="T3162" s="4" t="e">
        <f t="shared" si="247"/>
        <v>#N/A</v>
      </c>
      <c r="U3162" s="5" t="e">
        <f t="shared" si="248"/>
        <v>#N/A</v>
      </c>
      <c r="V3162" s="23" t="e">
        <f t="shared" si="249"/>
        <v>#N/A</v>
      </c>
    </row>
    <row r="3163" spans="2:22" x14ac:dyDescent="0.25">
      <c r="B3163" s="16">
        <v>0</v>
      </c>
      <c r="C3163" s="7">
        <v>0</v>
      </c>
      <c r="D3163" s="8">
        <v>0</v>
      </c>
      <c r="E3163" s="8">
        <v>1</v>
      </c>
      <c r="F3163" s="8">
        <v>1</v>
      </c>
      <c r="G3163" s="8">
        <v>0</v>
      </c>
      <c r="H3163" s="8">
        <v>1</v>
      </c>
      <c r="I3163" s="8">
        <v>0</v>
      </c>
      <c r="J3163" s="8">
        <v>0</v>
      </c>
      <c r="K3163" s="9">
        <v>0</v>
      </c>
      <c r="L3163" s="10">
        <v>1</v>
      </c>
      <c r="M3163" s="6">
        <v>1</v>
      </c>
      <c r="N3163" s="37" t="e" cm="1">
        <f t="array" ref="N3163">IF(OR(ISNUMBER(FIND(Aux!$D$3:$D$9,_xlfn.TEXTJOIN(,,C3163:K3163)))),NA(),IF(AND(SUM(C3163:F3163,H3163:K3163)=0,G3163=1),0,INT((SUMPRODUCT(C3163:F3163,COLUMN($A$1:$D$1)-1)+SUMPRODUCT(H3163:K3163,COLUMN($E$1:$H$1)-1))*'Line Follower'!$C$3/SUM(C3163:F3163,H3163:K3163)-'Line Follower'!$C$5)))</f>
        <v>#N/A</v>
      </c>
      <c r="O3163" s="22" t="e">
        <v>#N/A</v>
      </c>
      <c r="P3163" s="4" t="e">
        <f t="shared" si="245"/>
        <v>#N/A</v>
      </c>
      <c r="Q3163" s="4" t="e">
        <f t="shared" si="246"/>
        <v>#N/A</v>
      </c>
      <c r="R3163" s="4" t="e">
        <f>IF(AND(B3163=1,N3163&gt;'Line Follower'!$C$7,SUM(C3163:K3163)&lt;4),1,0)</f>
        <v>#N/A</v>
      </c>
      <c r="S3163" s="4" t="e">
        <f>IF(AND(L3163=1,N3163&lt;'Line Follower'!$C$6,SUM(C3163:K3163)&lt;4),1,0)</f>
        <v>#N/A</v>
      </c>
      <c r="T3163" s="4" t="e">
        <f t="shared" si="247"/>
        <v>#N/A</v>
      </c>
      <c r="U3163" s="5" t="e">
        <f t="shared" si="248"/>
        <v>#N/A</v>
      </c>
      <c r="V3163" s="23" t="e">
        <f t="shared" si="249"/>
        <v>#N/A</v>
      </c>
    </row>
    <row r="3164" spans="2:22" x14ac:dyDescent="0.25">
      <c r="B3164" s="16">
        <v>1</v>
      </c>
      <c r="C3164" s="7">
        <v>0</v>
      </c>
      <c r="D3164" s="8">
        <v>0</v>
      </c>
      <c r="E3164" s="8">
        <v>1</v>
      </c>
      <c r="F3164" s="8">
        <v>1</v>
      </c>
      <c r="G3164" s="8">
        <v>0</v>
      </c>
      <c r="H3164" s="8">
        <v>1</v>
      </c>
      <c r="I3164" s="8">
        <v>0</v>
      </c>
      <c r="J3164" s="8">
        <v>0</v>
      </c>
      <c r="K3164" s="9">
        <v>0</v>
      </c>
      <c r="L3164" s="10">
        <v>1</v>
      </c>
      <c r="M3164" s="6">
        <v>1</v>
      </c>
      <c r="N3164" s="37" t="e" cm="1">
        <f t="array" ref="N3164">IF(OR(ISNUMBER(FIND(Aux!$D$3:$D$9,_xlfn.TEXTJOIN(,,C3164:K3164)))),NA(),IF(AND(SUM(C3164:F3164,H3164:K3164)=0,G3164=1),0,INT((SUMPRODUCT(C3164:F3164,COLUMN($A$1:$D$1)-1)+SUMPRODUCT(H3164:K3164,COLUMN($E$1:$H$1)-1))*'Line Follower'!$C$3/SUM(C3164:F3164,H3164:K3164)-'Line Follower'!$C$5)))</f>
        <v>#N/A</v>
      </c>
      <c r="O3164" s="22" t="e">
        <v>#N/A</v>
      </c>
      <c r="P3164" s="4" t="e">
        <f t="shared" si="245"/>
        <v>#N/A</v>
      </c>
      <c r="Q3164" s="4" t="e">
        <f t="shared" si="246"/>
        <v>#N/A</v>
      </c>
      <c r="R3164" s="4" t="e">
        <f>IF(AND(B3164=1,N3164&gt;'Line Follower'!$C$7,SUM(C3164:K3164)&lt;4),1,0)</f>
        <v>#N/A</v>
      </c>
      <c r="S3164" s="4" t="e">
        <f>IF(AND(L3164=1,N3164&lt;'Line Follower'!$C$6,SUM(C3164:K3164)&lt;4),1,0)</f>
        <v>#N/A</v>
      </c>
      <c r="T3164" s="4" t="e">
        <f t="shared" si="247"/>
        <v>#N/A</v>
      </c>
      <c r="U3164" s="5" t="e">
        <f t="shared" si="248"/>
        <v>#N/A</v>
      </c>
      <c r="V3164" s="23" t="e">
        <f t="shared" si="249"/>
        <v>#N/A</v>
      </c>
    </row>
    <row r="3165" spans="2:22" x14ac:dyDescent="0.25">
      <c r="B3165" s="16">
        <v>0</v>
      </c>
      <c r="C3165" s="7">
        <v>1</v>
      </c>
      <c r="D3165" s="8">
        <v>0</v>
      </c>
      <c r="E3165" s="8">
        <v>1</v>
      </c>
      <c r="F3165" s="8">
        <v>1</v>
      </c>
      <c r="G3165" s="8">
        <v>0</v>
      </c>
      <c r="H3165" s="8">
        <v>1</v>
      </c>
      <c r="I3165" s="8">
        <v>0</v>
      </c>
      <c r="J3165" s="8">
        <v>0</v>
      </c>
      <c r="K3165" s="9">
        <v>0</v>
      </c>
      <c r="L3165" s="10">
        <v>1</v>
      </c>
      <c r="M3165" s="6">
        <v>1</v>
      </c>
      <c r="N3165" s="37" t="e" cm="1">
        <f t="array" ref="N3165">IF(OR(ISNUMBER(FIND(Aux!$D$3:$D$9,_xlfn.TEXTJOIN(,,C3165:K3165)))),NA(),IF(AND(SUM(C3165:F3165,H3165:K3165)=0,G3165=1),0,INT((SUMPRODUCT(C3165:F3165,COLUMN($A$1:$D$1)-1)+SUMPRODUCT(H3165:K3165,COLUMN($E$1:$H$1)-1))*'Line Follower'!$C$3/SUM(C3165:F3165,H3165:K3165)-'Line Follower'!$C$5)))</f>
        <v>#N/A</v>
      </c>
      <c r="O3165" s="22" t="e">
        <v>#N/A</v>
      </c>
      <c r="P3165" s="4" t="e">
        <f t="shared" si="245"/>
        <v>#N/A</v>
      </c>
      <c r="Q3165" s="4" t="e">
        <f t="shared" si="246"/>
        <v>#N/A</v>
      </c>
      <c r="R3165" s="4" t="e">
        <f>IF(AND(B3165=1,N3165&gt;'Line Follower'!$C$7,SUM(C3165:K3165)&lt;4),1,0)</f>
        <v>#N/A</v>
      </c>
      <c r="S3165" s="4" t="e">
        <f>IF(AND(L3165=1,N3165&lt;'Line Follower'!$C$6,SUM(C3165:K3165)&lt;4),1,0)</f>
        <v>#N/A</v>
      </c>
      <c r="T3165" s="4" t="e">
        <f t="shared" si="247"/>
        <v>#N/A</v>
      </c>
      <c r="U3165" s="5" t="e">
        <f t="shared" si="248"/>
        <v>#N/A</v>
      </c>
      <c r="V3165" s="23" t="e">
        <f t="shared" si="249"/>
        <v>#N/A</v>
      </c>
    </row>
    <row r="3166" spans="2:22" x14ac:dyDescent="0.25">
      <c r="B3166" s="16">
        <v>1</v>
      </c>
      <c r="C3166" s="7">
        <v>1</v>
      </c>
      <c r="D3166" s="8">
        <v>0</v>
      </c>
      <c r="E3166" s="8">
        <v>1</v>
      </c>
      <c r="F3166" s="8">
        <v>1</v>
      </c>
      <c r="G3166" s="8">
        <v>0</v>
      </c>
      <c r="H3166" s="8">
        <v>1</v>
      </c>
      <c r="I3166" s="8">
        <v>0</v>
      </c>
      <c r="J3166" s="8">
        <v>0</v>
      </c>
      <c r="K3166" s="9">
        <v>0</v>
      </c>
      <c r="L3166" s="10">
        <v>1</v>
      </c>
      <c r="M3166" s="6">
        <v>1</v>
      </c>
      <c r="N3166" s="37" t="e" cm="1">
        <f t="array" ref="N3166">IF(OR(ISNUMBER(FIND(Aux!$D$3:$D$9,_xlfn.TEXTJOIN(,,C3166:K3166)))),NA(),IF(AND(SUM(C3166:F3166,H3166:K3166)=0,G3166=1),0,INT((SUMPRODUCT(C3166:F3166,COLUMN($A$1:$D$1)-1)+SUMPRODUCT(H3166:K3166,COLUMN($E$1:$H$1)-1))*'Line Follower'!$C$3/SUM(C3166:F3166,H3166:K3166)-'Line Follower'!$C$5)))</f>
        <v>#N/A</v>
      </c>
      <c r="O3166" s="22" t="e">
        <v>#N/A</v>
      </c>
      <c r="P3166" s="4" t="e">
        <f t="shared" si="245"/>
        <v>#N/A</v>
      </c>
      <c r="Q3166" s="4" t="e">
        <f t="shared" si="246"/>
        <v>#N/A</v>
      </c>
      <c r="R3166" s="4" t="e">
        <f>IF(AND(B3166=1,N3166&gt;'Line Follower'!$C$7,SUM(C3166:K3166)&lt;4),1,0)</f>
        <v>#N/A</v>
      </c>
      <c r="S3166" s="4" t="e">
        <f>IF(AND(L3166=1,N3166&lt;'Line Follower'!$C$6,SUM(C3166:K3166)&lt;4),1,0)</f>
        <v>#N/A</v>
      </c>
      <c r="T3166" s="4" t="e">
        <f t="shared" si="247"/>
        <v>#N/A</v>
      </c>
      <c r="U3166" s="5" t="e">
        <f t="shared" si="248"/>
        <v>#N/A</v>
      </c>
      <c r="V3166" s="23" t="e">
        <f t="shared" si="249"/>
        <v>#N/A</v>
      </c>
    </row>
    <row r="3167" spans="2:22" x14ac:dyDescent="0.25">
      <c r="B3167" s="16">
        <v>0</v>
      </c>
      <c r="C3167" s="7">
        <v>0</v>
      </c>
      <c r="D3167" s="8">
        <v>1</v>
      </c>
      <c r="E3167" s="8">
        <v>1</v>
      </c>
      <c r="F3167" s="8">
        <v>1</v>
      </c>
      <c r="G3167" s="8">
        <v>0</v>
      </c>
      <c r="H3167" s="8">
        <v>1</v>
      </c>
      <c r="I3167" s="8">
        <v>0</v>
      </c>
      <c r="J3167" s="8">
        <v>0</v>
      </c>
      <c r="K3167" s="9">
        <v>0</v>
      </c>
      <c r="L3167" s="10">
        <v>1</v>
      </c>
      <c r="M3167" s="6">
        <v>1</v>
      </c>
      <c r="N3167" s="37" t="e" cm="1">
        <f t="array" ref="N3167">IF(OR(ISNUMBER(FIND(Aux!$D$3:$D$9,_xlfn.TEXTJOIN(,,C3167:K3167)))),NA(),IF(AND(SUM(C3167:F3167,H3167:K3167)=0,G3167=1),0,INT((SUMPRODUCT(C3167:F3167,COLUMN($A$1:$D$1)-1)+SUMPRODUCT(H3167:K3167,COLUMN($E$1:$H$1)-1))*'Line Follower'!$C$3/SUM(C3167:F3167,H3167:K3167)-'Line Follower'!$C$5)))</f>
        <v>#N/A</v>
      </c>
      <c r="O3167" s="22" t="e">
        <v>#N/A</v>
      </c>
      <c r="P3167" s="4" t="e">
        <f t="shared" si="245"/>
        <v>#N/A</v>
      </c>
      <c r="Q3167" s="4" t="e">
        <f t="shared" si="246"/>
        <v>#N/A</v>
      </c>
      <c r="R3167" s="4" t="e">
        <f>IF(AND(B3167=1,N3167&gt;'Line Follower'!$C$7,SUM(C3167:K3167)&lt;4),1,0)</f>
        <v>#N/A</v>
      </c>
      <c r="S3167" s="4" t="e">
        <f>IF(AND(L3167=1,N3167&lt;'Line Follower'!$C$6,SUM(C3167:K3167)&lt;4),1,0)</f>
        <v>#N/A</v>
      </c>
      <c r="T3167" s="4" t="e">
        <f t="shared" si="247"/>
        <v>#N/A</v>
      </c>
      <c r="U3167" s="5" t="e">
        <f t="shared" si="248"/>
        <v>#N/A</v>
      </c>
      <c r="V3167" s="23" t="e">
        <f t="shared" si="249"/>
        <v>#N/A</v>
      </c>
    </row>
    <row r="3168" spans="2:22" x14ac:dyDescent="0.25">
      <c r="B3168" s="16">
        <v>1</v>
      </c>
      <c r="C3168" s="7">
        <v>0</v>
      </c>
      <c r="D3168" s="8">
        <v>1</v>
      </c>
      <c r="E3168" s="8">
        <v>1</v>
      </c>
      <c r="F3168" s="8">
        <v>1</v>
      </c>
      <c r="G3168" s="8">
        <v>0</v>
      </c>
      <c r="H3168" s="8">
        <v>1</v>
      </c>
      <c r="I3168" s="8">
        <v>0</v>
      </c>
      <c r="J3168" s="8">
        <v>0</v>
      </c>
      <c r="K3168" s="9">
        <v>0</v>
      </c>
      <c r="L3168" s="10">
        <v>1</v>
      </c>
      <c r="M3168" s="6">
        <v>1</v>
      </c>
      <c r="N3168" s="37" t="e" cm="1">
        <f t="array" ref="N3168">IF(OR(ISNUMBER(FIND(Aux!$D$3:$D$9,_xlfn.TEXTJOIN(,,C3168:K3168)))),NA(),IF(AND(SUM(C3168:F3168,H3168:K3168)=0,G3168=1),0,INT((SUMPRODUCT(C3168:F3168,COLUMN($A$1:$D$1)-1)+SUMPRODUCT(H3168:K3168,COLUMN($E$1:$H$1)-1))*'Line Follower'!$C$3/SUM(C3168:F3168,H3168:K3168)-'Line Follower'!$C$5)))</f>
        <v>#N/A</v>
      </c>
      <c r="O3168" s="22" t="e">
        <v>#N/A</v>
      </c>
      <c r="P3168" s="4" t="e">
        <f t="shared" si="245"/>
        <v>#N/A</v>
      </c>
      <c r="Q3168" s="4" t="e">
        <f t="shared" si="246"/>
        <v>#N/A</v>
      </c>
      <c r="R3168" s="4" t="e">
        <f>IF(AND(B3168=1,N3168&gt;'Line Follower'!$C$7,SUM(C3168:K3168)&lt;4),1,0)</f>
        <v>#N/A</v>
      </c>
      <c r="S3168" s="4" t="e">
        <f>IF(AND(L3168=1,N3168&lt;'Line Follower'!$C$6,SUM(C3168:K3168)&lt;4),1,0)</f>
        <v>#N/A</v>
      </c>
      <c r="T3168" s="4" t="e">
        <f t="shared" si="247"/>
        <v>#N/A</v>
      </c>
      <c r="U3168" s="5" t="e">
        <f t="shared" si="248"/>
        <v>#N/A</v>
      </c>
      <c r="V3168" s="23" t="e">
        <f t="shared" si="249"/>
        <v>#N/A</v>
      </c>
    </row>
    <row r="3169" spans="2:22" x14ac:dyDescent="0.25">
      <c r="B3169" s="16">
        <v>0</v>
      </c>
      <c r="C3169" s="7">
        <v>1</v>
      </c>
      <c r="D3169" s="8">
        <v>1</v>
      </c>
      <c r="E3169" s="8">
        <v>1</v>
      </c>
      <c r="F3169" s="8">
        <v>1</v>
      </c>
      <c r="G3169" s="8">
        <v>0</v>
      </c>
      <c r="H3169" s="8">
        <v>1</v>
      </c>
      <c r="I3169" s="8">
        <v>0</v>
      </c>
      <c r="J3169" s="8">
        <v>0</v>
      </c>
      <c r="K3169" s="9">
        <v>0</v>
      </c>
      <c r="L3169" s="10">
        <v>1</v>
      </c>
      <c r="M3169" s="6">
        <v>1</v>
      </c>
      <c r="N3169" s="37" t="e" cm="1">
        <f t="array" ref="N3169">IF(OR(ISNUMBER(FIND(Aux!$D$3:$D$9,_xlfn.TEXTJOIN(,,C3169:K3169)))),NA(),IF(AND(SUM(C3169:F3169,H3169:K3169)=0,G3169=1),0,INT((SUMPRODUCT(C3169:F3169,COLUMN($A$1:$D$1)-1)+SUMPRODUCT(H3169:K3169,COLUMN($E$1:$H$1)-1))*'Line Follower'!$C$3/SUM(C3169:F3169,H3169:K3169)-'Line Follower'!$C$5)))</f>
        <v>#N/A</v>
      </c>
      <c r="O3169" s="22" t="e">
        <v>#N/A</v>
      </c>
      <c r="P3169" s="4" t="e">
        <f t="shared" si="245"/>
        <v>#N/A</v>
      </c>
      <c r="Q3169" s="4" t="e">
        <f t="shared" si="246"/>
        <v>#N/A</v>
      </c>
      <c r="R3169" s="4" t="e">
        <f>IF(AND(B3169=1,N3169&gt;'Line Follower'!$C$7,SUM(C3169:K3169)&lt;4),1,0)</f>
        <v>#N/A</v>
      </c>
      <c r="S3169" s="4" t="e">
        <f>IF(AND(L3169=1,N3169&lt;'Line Follower'!$C$6,SUM(C3169:K3169)&lt;4),1,0)</f>
        <v>#N/A</v>
      </c>
      <c r="T3169" s="4" t="e">
        <f t="shared" si="247"/>
        <v>#N/A</v>
      </c>
      <c r="U3169" s="5" t="e">
        <f t="shared" si="248"/>
        <v>#N/A</v>
      </c>
      <c r="V3169" s="23" t="e">
        <f t="shared" si="249"/>
        <v>#N/A</v>
      </c>
    </row>
    <row r="3170" spans="2:22" x14ac:dyDescent="0.25">
      <c r="B3170" s="16">
        <v>1</v>
      </c>
      <c r="C3170" s="7">
        <v>1</v>
      </c>
      <c r="D3170" s="8">
        <v>1</v>
      </c>
      <c r="E3170" s="8">
        <v>1</v>
      </c>
      <c r="F3170" s="8">
        <v>1</v>
      </c>
      <c r="G3170" s="8">
        <v>0</v>
      </c>
      <c r="H3170" s="8">
        <v>1</v>
      </c>
      <c r="I3170" s="8">
        <v>0</v>
      </c>
      <c r="J3170" s="8">
        <v>0</v>
      </c>
      <c r="K3170" s="9">
        <v>0</v>
      </c>
      <c r="L3170" s="10">
        <v>1</v>
      </c>
      <c r="M3170" s="6">
        <v>1</v>
      </c>
      <c r="N3170" s="37" t="e" cm="1">
        <f t="array" ref="N3170">IF(OR(ISNUMBER(FIND(Aux!$D$3:$D$9,_xlfn.TEXTJOIN(,,C3170:K3170)))),NA(),IF(AND(SUM(C3170:F3170,H3170:K3170)=0,G3170=1),0,INT((SUMPRODUCT(C3170:F3170,COLUMN($A$1:$D$1)-1)+SUMPRODUCT(H3170:K3170,COLUMN($E$1:$H$1)-1))*'Line Follower'!$C$3/SUM(C3170:F3170,H3170:K3170)-'Line Follower'!$C$5)))</f>
        <v>#N/A</v>
      </c>
      <c r="O3170" s="22" t="e">
        <v>#N/A</v>
      </c>
      <c r="P3170" s="4" t="e">
        <f t="shared" si="245"/>
        <v>#N/A</v>
      </c>
      <c r="Q3170" s="4" t="e">
        <f t="shared" si="246"/>
        <v>#N/A</v>
      </c>
      <c r="R3170" s="4" t="e">
        <f>IF(AND(B3170=1,N3170&gt;'Line Follower'!$C$7,SUM(C3170:K3170)&lt;4),1,0)</f>
        <v>#N/A</v>
      </c>
      <c r="S3170" s="4" t="e">
        <f>IF(AND(L3170=1,N3170&lt;'Line Follower'!$C$6,SUM(C3170:K3170)&lt;4),1,0)</f>
        <v>#N/A</v>
      </c>
      <c r="T3170" s="4" t="e">
        <f t="shared" si="247"/>
        <v>#N/A</v>
      </c>
      <c r="U3170" s="5" t="e">
        <f t="shared" si="248"/>
        <v>#N/A</v>
      </c>
      <c r="V3170" s="23" t="e">
        <f t="shared" si="249"/>
        <v>#N/A</v>
      </c>
    </row>
    <row r="3171" spans="2:22" x14ac:dyDescent="0.25">
      <c r="B3171" s="16">
        <v>0</v>
      </c>
      <c r="C3171" s="7">
        <v>0</v>
      </c>
      <c r="D3171" s="8">
        <v>0</v>
      </c>
      <c r="E3171" s="8">
        <v>0</v>
      </c>
      <c r="F3171" s="8">
        <v>0</v>
      </c>
      <c r="G3171" s="8">
        <v>1</v>
      </c>
      <c r="H3171" s="8">
        <v>1</v>
      </c>
      <c r="I3171" s="8">
        <v>0</v>
      </c>
      <c r="J3171" s="8">
        <v>0</v>
      </c>
      <c r="K3171" s="9">
        <v>0</v>
      </c>
      <c r="L3171" s="10">
        <v>1</v>
      </c>
      <c r="M3171" s="6">
        <v>1</v>
      </c>
      <c r="N3171" s="37" cm="1">
        <f t="array" ref="N3171">IF(OR(ISNUMBER(FIND(Aux!$D$3:$D$9,_xlfn.TEXTJOIN(,,C3171:K3171)))),NA(),IF(AND(SUM(C3171:F3171,H3171:K3171)=0,G3171=1),0,INT((SUMPRODUCT(C3171:F3171,COLUMN($A$1:$D$1)-1)+SUMPRODUCT(H3171:K3171,COLUMN($E$1:$H$1)-1))*'Line Follower'!$C$3/SUM(C3171:F3171,H3171:K3171)-'Line Follower'!$C$5)))</f>
        <v>1</v>
      </c>
      <c r="O3171" s="22">
        <v>1</v>
      </c>
      <c r="P3171" s="4">
        <f t="shared" si="245"/>
        <v>0</v>
      </c>
      <c r="Q3171" s="4">
        <f t="shared" si="246"/>
        <v>0</v>
      </c>
      <c r="R3171" s="4">
        <f>IF(AND(B3171=1,N3171&gt;'Line Follower'!$C$7,SUM(C3171:K3171)&lt;4),1,0)</f>
        <v>0</v>
      </c>
      <c r="S3171" s="4">
        <f>IF(AND(L3171=1,N3171&lt;'Line Follower'!$C$6,SUM(C3171:K3171)&lt;4),1,0)</f>
        <v>1</v>
      </c>
      <c r="T3171" s="4">
        <f t="shared" si="247"/>
        <v>0</v>
      </c>
      <c r="U3171" s="5">
        <f t="shared" si="248"/>
        <v>0</v>
      </c>
      <c r="V3171" s="23">
        <f t="shared" si="249"/>
        <v>0</v>
      </c>
    </row>
    <row r="3172" spans="2:22" x14ac:dyDescent="0.25">
      <c r="B3172" s="16">
        <v>1</v>
      </c>
      <c r="C3172" s="7">
        <v>0</v>
      </c>
      <c r="D3172" s="8">
        <v>0</v>
      </c>
      <c r="E3172" s="8">
        <v>0</v>
      </c>
      <c r="F3172" s="8">
        <v>0</v>
      </c>
      <c r="G3172" s="8">
        <v>1</v>
      </c>
      <c r="H3172" s="8">
        <v>1</v>
      </c>
      <c r="I3172" s="8">
        <v>0</v>
      </c>
      <c r="J3172" s="8">
        <v>0</v>
      </c>
      <c r="K3172" s="9">
        <v>0</v>
      </c>
      <c r="L3172" s="10">
        <v>1</v>
      </c>
      <c r="M3172" s="6">
        <v>1</v>
      </c>
      <c r="N3172" s="37" cm="1">
        <f t="array" ref="N3172">IF(OR(ISNUMBER(FIND(Aux!$D$3:$D$9,_xlfn.TEXTJOIN(,,C3172:K3172)))),NA(),IF(AND(SUM(C3172:F3172,H3172:K3172)=0,G3172=1),0,INT((SUMPRODUCT(C3172:F3172,COLUMN($A$1:$D$1)-1)+SUMPRODUCT(H3172:K3172,COLUMN($E$1:$H$1)-1))*'Line Follower'!$C$3/SUM(C3172:F3172,H3172:K3172)-'Line Follower'!$C$5)))</f>
        <v>1</v>
      </c>
      <c r="O3172" s="22">
        <v>1</v>
      </c>
      <c r="P3172" s="4">
        <f t="shared" si="245"/>
        <v>0</v>
      </c>
      <c r="Q3172" s="4">
        <f t="shared" si="246"/>
        <v>0</v>
      </c>
      <c r="R3172" s="4">
        <f>IF(AND(B3172=1,N3172&gt;'Line Follower'!$C$7,SUM(C3172:K3172)&lt;4),1,0)</f>
        <v>1</v>
      </c>
      <c r="S3172" s="4">
        <f>IF(AND(L3172=1,N3172&lt;'Line Follower'!$C$6,SUM(C3172:K3172)&lt;4),1,0)</f>
        <v>1</v>
      </c>
      <c r="T3172" s="4">
        <f t="shared" si="247"/>
        <v>0</v>
      </c>
      <c r="U3172" s="5">
        <f t="shared" si="248"/>
        <v>0</v>
      </c>
      <c r="V3172" s="23">
        <f t="shared" si="249"/>
        <v>0</v>
      </c>
    </row>
    <row r="3173" spans="2:22" x14ac:dyDescent="0.25">
      <c r="B3173" s="16">
        <v>0</v>
      </c>
      <c r="C3173" s="7">
        <v>1</v>
      </c>
      <c r="D3173" s="8">
        <v>0</v>
      </c>
      <c r="E3173" s="8">
        <v>0</v>
      </c>
      <c r="F3173" s="8">
        <v>0</v>
      </c>
      <c r="G3173" s="8">
        <v>1</v>
      </c>
      <c r="H3173" s="8">
        <v>1</v>
      </c>
      <c r="I3173" s="8">
        <v>0</v>
      </c>
      <c r="J3173" s="8">
        <v>0</v>
      </c>
      <c r="K3173" s="9">
        <v>0</v>
      </c>
      <c r="L3173" s="10">
        <v>1</v>
      </c>
      <c r="M3173" s="6">
        <v>1</v>
      </c>
      <c r="N3173" s="37" t="e" cm="1">
        <f t="array" ref="N3173">IF(OR(ISNUMBER(FIND(Aux!$D$3:$D$9,_xlfn.TEXTJOIN(,,C3173:K3173)))),NA(),IF(AND(SUM(C3173:F3173,H3173:K3173)=0,G3173=1),0,INT((SUMPRODUCT(C3173:F3173,COLUMN($A$1:$D$1)-1)+SUMPRODUCT(H3173:K3173,COLUMN($E$1:$H$1)-1))*'Line Follower'!$C$3/SUM(C3173:F3173,H3173:K3173)-'Line Follower'!$C$5)))</f>
        <v>#N/A</v>
      </c>
      <c r="O3173" s="22" t="e">
        <v>#N/A</v>
      </c>
      <c r="P3173" s="4" t="e">
        <f t="shared" si="245"/>
        <v>#N/A</v>
      </c>
      <c r="Q3173" s="4" t="e">
        <f t="shared" si="246"/>
        <v>#N/A</v>
      </c>
      <c r="R3173" s="4" t="e">
        <f>IF(AND(B3173=1,N3173&gt;'Line Follower'!$C$7,SUM(C3173:K3173)&lt;4),1,0)</f>
        <v>#N/A</v>
      </c>
      <c r="S3173" s="4" t="e">
        <f>IF(AND(L3173=1,N3173&lt;'Line Follower'!$C$6,SUM(C3173:K3173)&lt;4),1,0)</f>
        <v>#N/A</v>
      </c>
      <c r="T3173" s="4" t="e">
        <f t="shared" si="247"/>
        <v>#N/A</v>
      </c>
      <c r="U3173" s="5" t="e">
        <f t="shared" si="248"/>
        <v>#N/A</v>
      </c>
      <c r="V3173" s="23" t="e">
        <f t="shared" si="249"/>
        <v>#N/A</v>
      </c>
    </row>
    <row r="3174" spans="2:22" x14ac:dyDescent="0.25">
      <c r="B3174" s="16">
        <v>1</v>
      </c>
      <c r="C3174" s="7">
        <v>1</v>
      </c>
      <c r="D3174" s="8">
        <v>0</v>
      </c>
      <c r="E3174" s="8">
        <v>0</v>
      </c>
      <c r="F3174" s="8">
        <v>0</v>
      </c>
      <c r="G3174" s="8">
        <v>1</v>
      </c>
      <c r="H3174" s="8">
        <v>1</v>
      </c>
      <c r="I3174" s="8">
        <v>0</v>
      </c>
      <c r="J3174" s="8">
        <v>0</v>
      </c>
      <c r="K3174" s="9">
        <v>0</v>
      </c>
      <c r="L3174" s="10">
        <v>1</v>
      </c>
      <c r="M3174" s="6">
        <v>1</v>
      </c>
      <c r="N3174" s="37" t="e" cm="1">
        <f t="array" ref="N3174">IF(OR(ISNUMBER(FIND(Aux!$D$3:$D$9,_xlfn.TEXTJOIN(,,C3174:K3174)))),NA(),IF(AND(SUM(C3174:F3174,H3174:K3174)=0,G3174=1),0,INT((SUMPRODUCT(C3174:F3174,COLUMN($A$1:$D$1)-1)+SUMPRODUCT(H3174:K3174,COLUMN($E$1:$H$1)-1))*'Line Follower'!$C$3/SUM(C3174:F3174,H3174:K3174)-'Line Follower'!$C$5)))</f>
        <v>#N/A</v>
      </c>
      <c r="O3174" s="22" t="e">
        <v>#N/A</v>
      </c>
      <c r="P3174" s="4" t="e">
        <f t="shared" si="245"/>
        <v>#N/A</v>
      </c>
      <c r="Q3174" s="4" t="e">
        <f t="shared" si="246"/>
        <v>#N/A</v>
      </c>
      <c r="R3174" s="4" t="e">
        <f>IF(AND(B3174=1,N3174&gt;'Line Follower'!$C$7,SUM(C3174:K3174)&lt;4),1,0)</f>
        <v>#N/A</v>
      </c>
      <c r="S3174" s="4" t="e">
        <f>IF(AND(L3174=1,N3174&lt;'Line Follower'!$C$6,SUM(C3174:K3174)&lt;4),1,0)</f>
        <v>#N/A</v>
      </c>
      <c r="T3174" s="4" t="e">
        <f t="shared" si="247"/>
        <v>#N/A</v>
      </c>
      <c r="U3174" s="5" t="e">
        <f t="shared" si="248"/>
        <v>#N/A</v>
      </c>
      <c r="V3174" s="23" t="e">
        <f t="shared" si="249"/>
        <v>#N/A</v>
      </c>
    </row>
    <row r="3175" spans="2:22" x14ac:dyDescent="0.25">
      <c r="B3175" s="16">
        <v>0</v>
      </c>
      <c r="C3175" s="7">
        <v>0</v>
      </c>
      <c r="D3175" s="8">
        <v>1</v>
      </c>
      <c r="E3175" s="8">
        <v>0</v>
      </c>
      <c r="F3175" s="8">
        <v>0</v>
      </c>
      <c r="G3175" s="8">
        <v>1</v>
      </c>
      <c r="H3175" s="8">
        <v>1</v>
      </c>
      <c r="I3175" s="8">
        <v>0</v>
      </c>
      <c r="J3175" s="8">
        <v>0</v>
      </c>
      <c r="K3175" s="9">
        <v>0</v>
      </c>
      <c r="L3175" s="10">
        <v>1</v>
      </c>
      <c r="M3175" s="6">
        <v>1</v>
      </c>
      <c r="N3175" s="37" t="e" cm="1">
        <f t="array" ref="N3175">IF(OR(ISNUMBER(FIND(Aux!$D$3:$D$9,_xlfn.TEXTJOIN(,,C3175:K3175)))),NA(),IF(AND(SUM(C3175:F3175,H3175:K3175)=0,G3175=1),0,INT((SUMPRODUCT(C3175:F3175,COLUMN($A$1:$D$1)-1)+SUMPRODUCT(H3175:K3175,COLUMN($E$1:$H$1)-1))*'Line Follower'!$C$3/SUM(C3175:F3175,H3175:K3175)-'Line Follower'!$C$5)))</f>
        <v>#N/A</v>
      </c>
      <c r="O3175" s="22" t="e">
        <v>#N/A</v>
      </c>
      <c r="P3175" s="4" t="e">
        <f t="shared" si="245"/>
        <v>#N/A</v>
      </c>
      <c r="Q3175" s="4" t="e">
        <f t="shared" si="246"/>
        <v>#N/A</v>
      </c>
      <c r="R3175" s="4" t="e">
        <f>IF(AND(B3175=1,N3175&gt;'Line Follower'!$C$7,SUM(C3175:K3175)&lt;4),1,0)</f>
        <v>#N/A</v>
      </c>
      <c r="S3175" s="4" t="e">
        <f>IF(AND(L3175=1,N3175&lt;'Line Follower'!$C$6,SUM(C3175:K3175)&lt;4),1,0)</f>
        <v>#N/A</v>
      </c>
      <c r="T3175" s="4" t="e">
        <f t="shared" si="247"/>
        <v>#N/A</v>
      </c>
      <c r="U3175" s="5" t="e">
        <f t="shared" si="248"/>
        <v>#N/A</v>
      </c>
      <c r="V3175" s="23" t="e">
        <f t="shared" si="249"/>
        <v>#N/A</v>
      </c>
    </row>
    <row r="3176" spans="2:22" x14ac:dyDescent="0.25">
      <c r="B3176" s="16">
        <v>1</v>
      </c>
      <c r="C3176" s="7">
        <v>0</v>
      </c>
      <c r="D3176" s="8">
        <v>1</v>
      </c>
      <c r="E3176" s="8">
        <v>0</v>
      </c>
      <c r="F3176" s="8">
        <v>0</v>
      </c>
      <c r="G3176" s="8">
        <v>1</v>
      </c>
      <c r="H3176" s="8">
        <v>1</v>
      </c>
      <c r="I3176" s="8">
        <v>0</v>
      </c>
      <c r="J3176" s="8">
        <v>0</v>
      </c>
      <c r="K3176" s="9">
        <v>0</v>
      </c>
      <c r="L3176" s="10">
        <v>1</v>
      </c>
      <c r="M3176" s="6">
        <v>1</v>
      </c>
      <c r="N3176" s="37" t="e" cm="1">
        <f t="array" ref="N3176">IF(OR(ISNUMBER(FIND(Aux!$D$3:$D$9,_xlfn.TEXTJOIN(,,C3176:K3176)))),NA(),IF(AND(SUM(C3176:F3176,H3176:K3176)=0,G3176=1),0,INT((SUMPRODUCT(C3176:F3176,COLUMN($A$1:$D$1)-1)+SUMPRODUCT(H3176:K3176,COLUMN($E$1:$H$1)-1))*'Line Follower'!$C$3/SUM(C3176:F3176,H3176:K3176)-'Line Follower'!$C$5)))</f>
        <v>#N/A</v>
      </c>
      <c r="O3176" s="22" t="e">
        <v>#N/A</v>
      </c>
      <c r="P3176" s="4" t="e">
        <f t="shared" si="245"/>
        <v>#N/A</v>
      </c>
      <c r="Q3176" s="4" t="e">
        <f t="shared" si="246"/>
        <v>#N/A</v>
      </c>
      <c r="R3176" s="4" t="e">
        <f>IF(AND(B3176=1,N3176&gt;'Line Follower'!$C$7,SUM(C3176:K3176)&lt;4),1,0)</f>
        <v>#N/A</v>
      </c>
      <c r="S3176" s="4" t="e">
        <f>IF(AND(L3176=1,N3176&lt;'Line Follower'!$C$6,SUM(C3176:K3176)&lt;4),1,0)</f>
        <v>#N/A</v>
      </c>
      <c r="T3176" s="4" t="e">
        <f t="shared" si="247"/>
        <v>#N/A</v>
      </c>
      <c r="U3176" s="5" t="e">
        <f t="shared" si="248"/>
        <v>#N/A</v>
      </c>
      <c r="V3176" s="23" t="e">
        <f t="shared" si="249"/>
        <v>#N/A</v>
      </c>
    </row>
    <row r="3177" spans="2:22" x14ac:dyDescent="0.25">
      <c r="B3177" s="16">
        <v>0</v>
      </c>
      <c r="C3177" s="7">
        <v>1</v>
      </c>
      <c r="D3177" s="8">
        <v>1</v>
      </c>
      <c r="E3177" s="8">
        <v>0</v>
      </c>
      <c r="F3177" s="8">
        <v>0</v>
      </c>
      <c r="G3177" s="8">
        <v>1</v>
      </c>
      <c r="H3177" s="8">
        <v>1</v>
      </c>
      <c r="I3177" s="8">
        <v>0</v>
      </c>
      <c r="J3177" s="8">
        <v>0</v>
      </c>
      <c r="K3177" s="9">
        <v>0</v>
      </c>
      <c r="L3177" s="10">
        <v>1</v>
      </c>
      <c r="M3177" s="6">
        <v>1</v>
      </c>
      <c r="N3177" s="37" t="e" cm="1">
        <f t="array" ref="N3177">IF(OR(ISNUMBER(FIND(Aux!$D$3:$D$9,_xlfn.TEXTJOIN(,,C3177:K3177)))),NA(),IF(AND(SUM(C3177:F3177,H3177:K3177)=0,G3177=1),0,INT((SUMPRODUCT(C3177:F3177,COLUMN($A$1:$D$1)-1)+SUMPRODUCT(H3177:K3177,COLUMN($E$1:$H$1)-1))*'Line Follower'!$C$3/SUM(C3177:F3177,H3177:K3177)-'Line Follower'!$C$5)))</f>
        <v>#N/A</v>
      </c>
      <c r="O3177" s="22" t="e">
        <v>#N/A</v>
      </c>
      <c r="P3177" s="4" t="e">
        <f t="shared" si="245"/>
        <v>#N/A</v>
      </c>
      <c r="Q3177" s="4" t="e">
        <f t="shared" si="246"/>
        <v>#N/A</v>
      </c>
      <c r="R3177" s="4" t="e">
        <f>IF(AND(B3177=1,N3177&gt;'Line Follower'!$C$7,SUM(C3177:K3177)&lt;4),1,0)</f>
        <v>#N/A</v>
      </c>
      <c r="S3177" s="4" t="e">
        <f>IF(AND(L3177=1,N3177&lt;'Line Follower'!$C$6,SUM(C3177:K3177)&lt;4),1,0)</f>
        <v>#N/A</v>
      </c>
      <c r="T3177" s="4" t="e">
        <f t="shared" si="247"/>
        <v>#N/A</v>
      </c>
      <c r="U3177" s="5" t="e">
        <f t="shared" si="248"/>
        <v>#N/A</v>
      </c>
      <c r="V3177" s="23" t="e">
        <f t="shared" si="249"/>
        <v>#N/A</v>
      </c>
    </row>
    <row r="3178" spans="2:22" x14ac:dyDescent="0.25">
      <c r="B3178" s="16">
        <v>1</v>
      </c>
      <c r="C3178" s="7">
        <v>1</v>
      </c>
      <c r="D3178" s="8">
        <v>1</v>
      </c>
      <c r="E3178" s="8">
        <v>0</v>
      </c>
      <c r="F3178" s="8">
        <v>0</v>
      </c>
      <c r="G3178" s="8">
        <v>1</v>
      </c>
      <c r="H3178" s="8">
        <v>1</v>
      </c>
      <c r="I3178" s="8">
        <v>0</v>
      </c>
      <c r="J3178" s="8">
        <v>0</v>
      </c>
      <c r="K3178" s="9">
        <v>0</v>
      </c>
      <c r="L3178" s="10">
        <v>1</v>
      </c>
      <c r="M3178" s="6">
        <v>1</v>
      </c>
      <c r="N3178" s="37" t="e" cm="1">
        <f t="array" ref="N3178">IF(OR(ISNUMBER(FIND(Aux!$D$3:$D$9,_xlfn.TEXTJOIN(,,C3178:K3178)))),NA(),IF(AND(SUM(C3178:F3178,H3178:K3178)=0,G3178=1),0,INT((SUMPRODUCT(C3178:F3178,COLUMN($A$1:$D$1)-1)+SUMPRODUCT(H3178:K3178,COLUMN($E$1:$H$1)-1))*'Line Follower'!$C$3/SUM(C3178:F3178,H3178:K3178)-'Line Follower'!$C$5)))</f>
        <v>#N/A</v>
      </c>
      <c r="O3178" s="22" t="e">
        <v>#N/A</v>
      </c>
      <c r="P3178" s="4" t="e">
        <f t="shared" si="245"/>
        <v>#N/A</v>
      </c>
      <c r="Q3178" s="4" t="e">
        <f t="shared" si="246"/>
        <v>#N/A</v>
      </c>
      <c r="R3178" s="4" t="e">
        <f>IF(AND(B3178=1,N3178&gt;'Line Follower'!$C$7,SUM(C3178:K3178)&lt;4),1,0)</f>
        <v>#N/A</v>
      </c>
      <c r="S3178" s="4" t="e">
        <f>IF(AND(L3178=1,N3178&lt;'Line Follower'!$C$6,SUM(C3178:K3178)&lt;4),1,0)</f>
        <v>#N/A</v>
      </c>
      <c r="T3178" s="4" t="e">
        <f t="shared" si="247"/>
        <v>#N/A</v>
      </c>
      <c r="U3178" s="5" t="e">
        <f t="shared" si="248"/>
        <v>#N/A</v>
      </c>
      <c r="V3178" s="23" t="e">
        <f t="shared" si="249"/>
        <v>#N/A</v>
      </c>
    </row>
    <row r="3179" spans="2:22" x14ac:dyDescent="0.25">
      <c r="B3179" s="16">
        <v>0</v>
      </c>
      <c r="C3179" s="7">
        <v>0</v>
      </c>
      <c r="D3179" s="8">
        <v>0</v>
      </c>
      <c r="E3179" s="8">
        <v>1</v>
      </c>
      <c r="F3179" s="8">
        <v>0</v>
      </c>
      <c r="G3179" s="8">
        <v>1</v>
      </c>
      <c r="H3179" s="8">
        <v>1</v>
      </c>
      <c r="I3179" s="8">
        <v>0</v>
      </c>
      <c r="J3179" s="8">
        <v>0</v>
      </c>
      <c r="K3179" s="9">
        <v>0</v>
      </c>
      <c r="L3179" s="10">
        <v>1</v>
      </c>
      <c r="M3179" s="6">
        <v>1</v>
      </c>
      <c r="N3179" s="37" t="e" cm="1">
        <f t="array" ref="N3179">IF(OR(ISNUMBER(FIND(Aux!$D$3:$D$9,_xlfn.TEXTJOIN(,,C3179:K3179)))),NA(),IF(AND(SUM(C3179:F3179,H3179:K3179)=0,G3179=1),0,INT((SUMPRODUCT(C3179:F3179,COLUMN($A$1:$D$1)-1)+SUMPRODUCT(H3179:K3179,COLUMN($E$1:$H$1)-1))*'Line Follower'!$C$3/SUM(C3179:F3179,H3179:K3179)-'Line Follower'!$C$5)))</f>
        <v>#N/A</v>
      </c>
      <c r="O3179" s="22" t="e">
        <v>#N/A</v>
      </c>
      <c r="P3179" s="4" t="e">
        <f t="shared" si="245"/>
        <v>#N/A</v>
      </c>
      <c r="Q3179" s="4" t="e">
        <f t="shared" si="246"/>
        <v>#N/A</v>
      </c>
      <c r="R3179" s="4" t="e">
        <f>IF(AND(B3179=1,N3179&gt;'Line Follower'!$C$7,SUM(C3179:K3179)&lt;4),1,0)</f>
        <v>#N/A</v>
      </c>
      <c r="S3179" s="4" t="e">
        <f>IF(AND(L3179=1,N3179&lt;'Line Follower'!$C$6,SUM(C3179:K3179)&lt;4),1,0)</f>
        <v>#N/A</v>
      </c>
      <c r="T3179" s="4" t="e">
        <f t="shared" si="247"/>
        <v>#N/A</v>
      </c>
      <c r="U3179" s="5" t="e">
        <f t="shared" si="248"/>
        <v>#N/A</v>
      </c>
      <c r="V3179" s="23" t="e">
        <f t="shared" si="249"/>
        <v>#N/A</v>
      </c>
    </row>
    <row r="3180" spans="2:22" x14ac:dyDescent="0.25">
      <c r="B3180" s="16">
        <v>1</v>
      </c>
      <c r="C3180" s="7">
        <v>0</v>
      </c>
      <c r="D3180" s="8">
        <v>0</v>
      </c>
      <c r="E3180" s="8">
        <v>1</v>
      </c>
      <c r="F3180" s="8">
        <v>0</v>
      </c>
      <c r="G3180" s="8">
        <v>1</v>
      </c>
      <c r="H3180" s="8">
        <v>1</v>
      </c>
      <c r="I3180" s="8">
        <v>0</v>
      </c>
      <c r="J3180" s="8">
        <v>0</v>
      </c>
      <c r="K3180" s="9">
        <v>0</v>
      </c>
      <c r="L3180" s="10">
        <v>1</v>
      </c>
      <c r="M3180" s="6">
        <v>1</v>
      </c>
      <c r="N3180" s="37" t="e" cm="1">
        <f t="array" ref="N3180">IF(OR(ISNUMBER(FIND(Aux!$D$3:$D$9,_xlfn.TEXTJOIN(,,C3180:K3180)))),NA(),IF(AND(SUM(C3180:F3180,H3180:K3180)=0,G3180=1),0,INT((SUMPRODUCT(C3180:F3180,COLUMN($A$1:$D$1)-1)+SUMPRODUCT(H3180:K3180,COLUMN($E$1:$H$1)-1))*'Line Follower'!$C$3/SUM(C3180:F3180,H3180:K3180)-'Line Follower'!$C$5)))</f>
        <v>#N/A</v>
      </c>
      <c r="O3180" s="22" t="e">
        <v>#N/A</v>
      </c>
      <c r="P3180" s="4" t="e">
        <f t="shared" si="245"/>
        <v>#N/A</v>
      </c>
      <c r="Q3180" s="4" t="e">
        <f t="shared" si="246"/>
        <v>#N/A</v>
      </c>
      <c r="R3180" s="4" t="e">
        <f>IF(AND(B3180=1,N3180&gt;'Line Follower'!$C$7,SUM(C3180:K3180)&lt;4),1,0)</f>
        <v>#N/A</v>
      </c>
      <c r="S3180" s="4" t="e">
        <f>IF(AND(L3180=1,N3180&lt;'Line Follower'!$C$6,SUM(C3180:K3180)&lt;4),1,0)</f>
        <v>#N/A</v>
      </c>
      <c r="T3180" s="4" t="e">
        <f t="shared" si="247"/>
        <v>#N/A</v>
      </c>
      <c r="U3180" s="5" t="e">
        <f t="shared" si="248"/>
        <v>#N/A</v>
      </c>
      <c r="V3180" s="23" t="e">
        <f t="shared" si="249"/>
        <v>#N/A</v>
      </c>
    </row>
    <row r="3181" spans="2:22" x14ac:dyDescent="0.25">
      <c r="B3181" s="16">
        <v>0</v>
      </c>
      <c r="C3181" s="7">
        <v>1</v>
      </c>
      <c r="D3181" s="8">
        <v>0</v>
      </c>
      <c r="E3181" s="8">
        <v>1</v>
      </c>
      <c r="F3181" s="8">
        <v>0</v>
      </c>
      <c r="G3181" s="8">
        <v>1</v>
      </c>
      <c r="H3181" s="8">
        <v>1</v>
      </c>
      <c r="I3181" s="8">
        <v>0</v>
      </c>
      <c r="J3181" s="8">
        <v>0</v>
      </c>
      <c r="K3181" s="9">
        <v>0</v>
      </c>
      <c r="L3181" s="10">
        <v>1</v>
      </c>
      <c r="M3181" s="6">
        <v>1</v>
      </c>
      <c r="N3181" s="37" t="e" cm="1">
        <f t="array" ref="N3181">IF(OR(ISNUMBER(FIND(Aux!$D$3:$D$9,_xlfn.TEXTJOIN(,,C3181:K3181)))),NA(),IF(AND(SUM(C3181:F3181,H3181:K3181)=0,G3181=1),0,INT((SUMPRODUCT(C3181:F3181,COLUMN($A$1:$D$1)-1)+SUMPRODUCT(H3181:K3181,COLUMN($E$1:$H$1)-1))*'Line Follower'!$C$3/SUM(C3181:F3181,H3181:K3181)-'Line Follower'!$C$5)))</f>
        <v>#N/A</v>
      </c>
      <c r="O3181" s="22" t="e">
        <v>#N/A</v>
      </c>
      <c r="P3181" s="4" t="e">
        <f t="shared" si="245"/>
        <v>#N/A</v>
      </c>
      <c r="Q3181" s="4" t="e">
        <f t="shared" si="246"/>
        <v>#N/A</v>
      </c>
      <c r="R3181" s="4" t="e">
        <f>IF(AND(B3181=1,N3181&gt;'Line Follower'!$C$7,SUM(C3181:K3181)&lt;4),1,0)</f>
        <v>#N/A</v>
      </c>
      <c r="S3181" s="4" t="e">
        <f>IF(AND(L3181=1,N3181&lt;'Line Follower'!$C$6,SUM(C3181:K3181)&lt;4),1,0)</f>
        <v>#N/A</v>
      </c>
      <c r="T3181" s="4" t="e">
        <f t="shared" si="247"/>
        <v>#N/A</v>
      </c>
      <c r="U3181" s="5" t="e">
        <f t="shared" si="248"/>
        <v>#N/A</v>
      </c>
      <c r="V3181" s="23" t="e">
        <f t="shared" si="249"/>
        <v>#N/A</v>
      </c>
    </row>
    <row r="3182" spans="2:22" x14ac:dyDescent="0.25">
      <c r="B3182" s="16">
        <v>1</v>
      </c>
      <c r="C3182" s="7">
        <v>1</v>
      </c>
      <c r="D3182" s="8">
        <v>0</v>
      </c>
      <c r="E3182" s="8">
        <v>1</v>
      </c>
      <c r="F3182" s="8">
        <v>0</v>
      </c>
      <c r="G3182" s="8">
        <v>1</v>
      </c>
      <c r="H3182" s="8">
        <v>1</v>
      </c>
      <c r="I3182" s="8">
        <v>0</v>
      </c>
      <c r="J3182" s="8">
        <v>0</v>
      </c>
      <c r="K3182" s="9">
        <v>0</v>
      </c>
      <c r="L3182" s="10">
        <v>1</v>
      </c>
      <c r="M3182" s="6">
        <v>1</v>
      </c>
      <c r="N3182" s="37" t="e" cm="1">
        <f t="array" ref="N3182">IF(OR(ISNUMBER(FIND(Aux!$D$3:$D$9,_xlfn.TEXTJOIN(,,C3182:K3182)))),NA(),IF(AND(SUM(C3182:F3182,H3182:K3182)=0,G3182=1),0,INT((SUMPRODUCT(C3182:F3182,COLUMN($A$1:$D$1)-1)+SUMPRODUCT(H3182:K3182,COLUMN($E$1:$H$1)-1))*'Line Follower'!$C$3/SUM(C3182:F3182,H3182:K3182)-'Line Follower'!$C$5)))</f>
        <v>#N/A</v>
      </c>
      <c r="O3182" s="22" t="e">
        <v>#N/A</v>
      </c>
      <c r="P3182" s="4" t="e">
        <f t="shared" si="245"/>
        <v>#N/A</v>
      </c>
      <c r="Q3182" s="4" t="e">
        <f t="shared" si="246"/>
        <v>#N/A</v>
      </c>
      <c r="R3182" s="4" t="e">
        <f>IF(AND(B3182=1,N3182&gt;'Line Follower'!$C$7,SUM(C3182:K3182)&lt;4),1,0)</f>
        <v>#N/A</v>
      </c>
      <c r="S3182" s="4" t="e">
        <f>IF(AND(L3182=1,N3182&lt;'Line Follower'!$C$6,SUM(C3182:K3182)&lt;4),1,0)</f>
        <v>#N/A</v>
      </c>
      <c r="T3182" s="4" t="e">
        <f t="shared" si="247"/>
        <v>#N/A</v>
      </c>
      <c r="U3182" s="5" t="e">
        <f t="shared" si="248"/>
        <v>#N/A</v>
      </c>
      <c r="V3182" s="23" t="e">
        <f t="shared" si="249"/>
        <v>#N/A</v>
      </c>
    </row>
    <row r="3183" spans="2:22" x14ac:dyDescent="0.25">
      <c r="B3183" s="16">
        <v>0</v>
      </c>
      <c r="C3183" s="7">
        <v>0</v>
      </c>
      <c r="D3183" s="8">
        <v>1</v>
      </c>
      <c r="E3183" s="8">
        <v>1</v>
      </c>
      <c r="F3183" s="8">
        <v>0</v>
      </c>
      <c r="G3183" s="8">
        <v>1</v>
      </c>
      <c r="H3183" s="8">
        <v>1</v>
      </c>
      <c r="I3183" s="8">
        <v>0</v>
      </c>
      <c r="J3183" s="8">
        <v>0</v>
      </c>
      <c r="K3183" s="9">
        <v>0</v>
      </c>
      <c r="L3183" s="10">
        <v>1</v>
      </c>
      <c r="M3183" s="6">
        <v>1</v>
      </c>
      <c r="N3183" s="37" t="e" cm="1">
        <f t="array" ref="N3183">IF(OR(ISNUMBER(FIND(Aux!$D$3:$D$9,_xlfn.TEXTJOIN(,,C3183:K3183)))),NA(),IF(AND(SUM(C3183:F3183,H3183:K3183)=0,G3183=1),0,INT((SUMPRODUCT(C3183:F3183,COLUMN($A$1:$D$1)-1)+SUMPRODUCT(H3183:K3183,COLUMN($E$1:$H$1)-1))*'Line Follower'!$C$3/SUM(C3183:F3183,H3183:K3183)-'Line Follower'!$C$5)))</f>
        <v>#N/A</v>
      </c>
      <c r="O3183" s="22" t="e">
        <v>#N/A</v>
      </c>
      <c r="P3183" s="4" t="e">
        <f t="shared" si="245"/>
        <v>#N/A</v>
      </c>
      <c r="Q3183" s="4" t="e">
        <f t="shared" si="246"/>
        <v>#N/A</v>
      </c>
      <c r="R3183" s="4" t="e">
        <f>IF(AND(B3183=1,N3183&gt;'Line Follower'!$C$7,SUM(C3183:K3183)&lt;4),1,0)</f>
        <v>#N/A</v>
      </c>
      <c r="S3183" s="4" t="e">
        <f>IF(AND(L3183=1,N3183&lt;'Line Follower'!$C$6,SUM(C3183:K3183)&lt;4),1,0)</f>
        <v>#N/A</v>
      </c>
      <c r="T3183" s="4" t="e">
        <f t="shared" si="247"/>
        <v>#N/A</v>
      </c>
      <c r="U3183" s="5" t="e">
        <f t="shared" si="248"/>
        <v>#N/A</v>
      </c>
      <c r="V3183" s="23" t="e">
        <f t="shared" si="249"/>
        <v>#N/A</v>
      </c>
    </row>
    <row r="3184" spans="2:22" x14ac:dyDescent="0.25">
      <c r="B3184" s="16">
        <v>1</v>
      </c>
      <c r="C3184" s="7">
        <v>0</v>
      </c>
      <c r="D3184" s="8">
        <v>1</v>
      </c>
      <c r="E3184" s="8">
        <v>1</v>
      </c>
      <c r="F3184" s="8">
        <v>0</v>
      </c>
      <c r="G3184" s="8">
        <v>1</v>
      </c>
      <c r="H3184" s="8">
        <v>1</v>
      </c>
      <c r="I3184" s="8">
        <v>0</v>
      </c>
      <c r="J3184" s="8">
        <v>0</v>
      </c>
      <c r="K3184" s="9">
        <v>0</v>
      </c>
      <c r="L3184" s="10">
        <v>1</v>
      </c>
      <c r="M3184" s="6">
        <v>1</v>
      </c>
      <c r="N3184" s="37" t="e" cm="1">
        <f t="array" ref="N3184">IF(OR(ISNUMBER(FIND(Aux!$D$3:$D$9,_xlfn.TEXTJOIN(,,C3184:K3184)))),NA(),IF(AND(SUM(C3184:F3184,H3184:K3184)=0,G3184=1),0,INT((SUMPRODUCT(C3184:F3184,COLUMN($A$1:$D$1)-1)+SUMPRODUCT(H3184:K3184,COLUMN($E$1:$H$1)-1))*'Line Follower'!$C$3/SUM(C3184:F3184,H3184:K3184)-'Line Follower'!$C$5)))</f>
        <v>#N/A</v>
      </c>
      <c r="O3184" s="22" t="e">
        <v>#N/A</v>
      </c>
      <c r="P3184" s="4" t="e">
        <f t="shared" si="245"/>
        <v>#N/A</v>
      </c>
      <c r="Q3184" s="4" t="e">
        <f t="shared" si="246"/>
        <v>#N/A</v>
      </c>
      <c r="R3184" s="4" t="e">
        <f>IF(AND(B3184=1,N3184&gt;'Line Follower'!$C$7,SUM(C3184:K3184)&lt;4),1,0)</f>
        <v>#N/A</v>
      </c>
      <c r="S3184" s="4" t="e">
        <f>IF(AND(L3184=1,N3184&lt;'Line Follower'!$C$6,SUM(C3184:K3184)&lt;4),1,0)</f>
        <v>#N/A</v>
      </c>
      <c r="T3184" s="4" t="e">
        <f t="shared" si="247"/>
        <v>#N/A</v>
      </c>
      <c r="U3184" s="5" t="e">
        <f t="shared" si="248"/>
        <v>#N/A</v>
      </c>
      <c r="V3184" s="23" t="e">
        <f t="shared" si="249"/>
        <v>#N/A</v>
      </c>
    </row>
    <row r="3185" spans="2:22" x14ac:dyDescent="0.25">
      <c r="B3185" s="16">
        <v>0</v>
      </c>
      <c r="C3185" s="7">
        <v>1</v>
      </c>
      <c r="D3185" s="8">
        <v>1</v>
      </c>
      <c r="E3185" s="8">
        <v>1</v>
      </c>
      <c r="F3185" s="8">
        <v>0</v>
      </c>
      <c r="G3185" s="8">
        <v>1</v>
      </c>
      <c r="H3185" s="8">
        <v>1</v>
      </c>
      <c r="I3185" s="8">
        <v>0</v>
      </c>
      <c r="J3185" s="8">
        <v>0</v>
      </c>
      <c r="K3185" s="9">
        <v>0</v>
      </c>
      <c r="L3185" s="10">
        <v>1</v>
      </c>
      <c r="M3185" s="6">
        <v>1</v>
      </c>
      <c r="N3185" s="37" t="e" cm="1">
        <f t="array" ref="N3185">IF(OR(ISNUMBER(FIND(Aux!$D$3:$D$9,_xlfn.TEXTJOIN(,,C3185:K3185)))),NA(),IF(AND(SUM(C3185:F3185,H3185:K3185)=0,G3185=1),0,INT((SUMPRODUCT(C3185:F3185,COLUMN($A$1:$D$1)-1)+SUMPRODUCT(H3185:K3185,COLUMN($E$1:$H$1)-1))*'Line Follower'!$C$3/SUM(C3185:F3185,H3185:K3185)-'Line Follower'!$C$5)))</f>
        <v>#N/A</v>
      </c>
      <c r="O3185" s="22" t="e">
        <v>#N/A</v>
      </c>
      <c r="P3185" s="4" t="e">
        <f t="shared" si="245"/>
        <v>#N/A</v>
      </c>
      <c r="Q3185" s="4" t="e">
        <f t="shared" si="246"/>
        <v>#N/A</v>
      </c>
      <c r="R3185" s="4" t="e">
        <f>IF(AND(B3185=1,N3185&gt;'Line Follower'!$C$7,SUM(C3185:K3185)&lt;4),1,0)</f>
        <v>#N/A</v>
      </c>
      <c r="S3185" s="4" t="e">
        <f>IF(AND(L3185=1,N3185&lt;'Line Follower'!$C$6,SUM(C3185:K3185)&lt;4),1,0)</f>
        <v>#N/A</v>
      </c>
      <c r="T3185" s="4" t="e">
        <f t="shared" si="247"/>
        <v>#N/A</v>
      </c>
      <c r="U3185" s="5" t="e">
        <f t="shared" si="248"/>
        <v>#N/A</v>
      </c>
      <c r="V3185" s="23" t="e">
        <f t="shared" si="249"/>
        <v>#N/A</v>
      </c>
    </row>
    <row r="3186" spans="2:22" x14ac:dyDescent="0.25">
      <c r="B3186" s="16">
        <v>1</v>
      </c>
      <c r="C3186" s="7">
        <v>1</v>
      </c>
      <c r="D3186" s="8">
        <v>1</v>
      </c>
      <c r="E3186" s="8">
        <v>1</v>
      </c>
      <c r="F3186" s="8">
        <v>0</v>
      </c>
      <c r="G3186" s="8">
        <v>1</v>
      </c>
      <c r="H3186" s="8">
        <v>1</v>
      </c>
      <c r="I3186" s="8">
        <v>0</v>
      </c>
      <c r="J3186" s="8">
        <v>0</v>
      </c>
      <c r="K3186" s="9">
        <v>0</v>
      </c>
      <c r="L3186" s="10">
        <v>1</v>
      </c>
      <c r="M3186" s="6">
        <v>1</v>
      </c>
      <c r="N3186" s="37" t="e" cm="1">
        <f t="array" ref="N3186">IF(OR(ISNUMBER(FIND(Aux!$D$3:$D$9,_xlfn.TEXTJOIN(,,C3186:K3186)))),NA(),IF(AND(SUM(C3186:F3186,H3186:K3186)=0,G3186=1),0,INT((SUMPRODUCT(C3186:F3186,COLUMN($A$1:$D$1)-1)+SUMPRODUCT(H3186:K3186,COLUMN($E$1:$H$1)-1))*'Line Follower'!$C$3/SUM(C3186:F3186,H3186:K3186)-'Line Follower'!$C$5)))</f>
        <v>#N/A</v>
      </c>
      <c r="O3186" s="22" t="e">
        <v>#N/A</v>
      </c>
      <c r="P3186" s="4" t="e">
        <f t="shared" si="245"/>
        <v>#N/A</v>
      </c>
      <c r="Q3186" s="4" t="e">
        <f t="shared" si="246"/>
        <v>#N/A</v>
      </c>
      <c r="R3186" s="4" t="e">
        <f>IF(AND(B3186=1,N3186&gt;'Line Follower'!$C$7,SUM(C3186:K3186)&lt;4),1,0)</f>
        <v>#N/A</v>
      </c>
      <c r="S3186" s="4" t="e">
        <f>IF(AND(L3186=1,N3186&lt;'Line Follower'!$C$6,SUM(C3186:K3186)&lt;4),1,0)</f>
        <v>#N/A</v>
      </c>
      <c r="T3186" s="4" t="e">
        <f t="shared" si="247"/>
        <v>#N/A</v>
      </c>
      <c r="U3186" s="5" t="e">
        <f t="shared" si="248"/>
        <v>#N/A</v>
      </c>
      <c r="V3186" s="23" t="e">
        <f t="shared" si="249"/>
        <v>#N/A</v>
      </c>
    </row>
    <row r="3187" spans="2:22" x14ac:dyDescent="0.25">
      <c r="B3187" s="16">
        <v>0</v>
      </c>
      <c r="C3187" s="7">
        <v>0</v>
      </c>
      <c r="D3187" s="8">
        <v>0</v>
      </c>
      <c r="E3187" s="8">
        <v>0</v>
      </c>
      <c r="F3187" s="8">
        <v>1</v>
      </c>
      <c r="G3187" s="8">
        <v>1</v>
      </c>
      <c r="H3187" s="8">
        <v>1</v>
      </c>
      <c r="I3187" s="8">
        <v>0</v>
      </c>
      <c r="J3187" s="8">
        <v>0</v>
      </c>
      <c r="K3187" s="9">
        <v>0</v>
      </c>
      <c r="L3187" s="10">
        <v>1</v>
      </c>
      <c r="M3187" s="6">
        <v>1</v>
      </c>
      <c r="N3187" s="37" cm="1">
        <f t="array" ref="N3187">IF(OR(ISNUMBER(FIND(Aux!$D$3:$D$9,_xlfn.TEXTJOIN(,,C3187:K3187)))),NA(),IF(AND(SUM(C3187:F3187,H3187:K3187)=0,G3187=1),0,INT((SUMPRODUCT(C3187:F3187,COLUMN($A$1:$D$1)-1)+SUMPRODUCT(H3187:K3187,COLUMN($E$1:$H$1)-1))*'Line Follower'!$C$3/SUM(C3187:F3187,H3187:K3187)-'Line Follower'!$C$5)))</f>
        <v>0</v>
      </c>
      <c r="O3187" s="22">
        <v>1</v>
      </c>
      <c r="P3187" s="4">
        <f t="shared" si="245"/>
        <v>1</v>
      </c>
      <c r="Q3187" s="4">
        <f t="shared" si="246"/>
        <v>0</v>
      </c>
      <c r="R3187" s="4">
        <f>IF(AND(B3187=1,N3187&gt;'Line Follower'!$C$7,SUM(C3187:K3187)&lt;4),1,0)</f>
        <v>0</v>
      </c>
      <c r="S3187" s="4">
        <f>IF(AND(L3187=1,N3187&lt;'Line Follower'!$C$6,SUM(C3187:K3187)&lt;4),1,0)</f>
        <v>1</v>
      </c>
      <c r="T3187" s="4">
        <f t="shared" si="247"/>
        <v>0</v>
      </c>
      <c r="U3187" s="5">
        <f t="shared" si="248"/>
        <v>0</v>
      </c>
      <c r="V3187" s="23">
        <f t="shared" si="249"/>
        <v>0</v>
      </c>
    </row>
    <row r="3188" spans="2:22" x14ac:dyDescent="0.25">
      <c r="B3188" s="16">
        <v>1</v>
      </c>
      <c r="C3188" s="7">
        <v>0</v>
      </c>
      <c r="D3188" s="8">
        <v>0</v>
      </c>
      <c r="E3188" s="8">
        <v>0</v>
      </c>
      <c r="F3188" s="8">
        <v>1</v>
      </c>
      <c r="G3188" s="8">
        <v>1</v>
      </c>
      <c r="H3188" s="8">
        <v>1</v>
      </c>
      <c r="I3188" s="8">
        <v>0</v>
      </c>
      <c r="J3188" s="8">
        <v>0</v>
      </c>
      <c r="K3188" s="9">
        <v>0</v>
      </c>
      <c r="L3188" s="10">
        <v>1</v>
      </c>
      <c r="M3188" s="6">
        <v>1</v>
      </c>
      <c r="N3188" s="37" cm="1">
        <f t="array" ref="N3188">IF(OR(ISNUMBER(FIND(Aux!$D$3:$D$9,_xlfn.TEXTJOIN(,,C3188:K3188)))),NA(),IF(AND(SUM(C3188:F3188,H3188:K3188)=0,G3188=1),0,INT((SUMPRODUCT(C3188:F3188,COLUMN($A$1:$D$1)-1)+SUMPRODUCT(H3188:K3188,COLUMN($E$1:$H$1)-1))*'Line Follower'!$C$3/SUM(C3188:F3188,H3188:K3188)-'Line Follower'!$C$5)))</f>
        <v>0</v>
      </c>
      <c r="O3188" s="22">
        <v>1</v>
      </c>
      <c r="P3188" s="4">
        <f t="shared" si="245"/>
        <v>1</v>
      </c>
      <c r="Q3188" s="4">
        <f t="shared" si="246"/>
        <v>0</v>
      </c>
      <c r="R3188" s="4">
        <f>IF(AND(B3188=1,N3188&gt;'Line Follower'!$C$7,SUM(C3188:K3188)&lt;4),1,0)</f>
        <v>1</v>
      </c>
      <c r="S3188" s="4">
        <f>IF(AND(L3188=1,N3188&lt;'Line Follower'!$C$6,SUM(C3188:K3188)&lt;4),1,0)</f>
        <v>1</v>
      </c>
      <c r="T3188" s="4">
        <f t="shared" si="247"/>
        <v>0</v>
      </c>
      <c r="U3188" s="5">
        <f t="shared" si="248"/>
        <v>0</v>
      </c>
      <c r="V3188" s="23">
        <f t="shared" si="249"/>
        <v>0</v>
      </c>
    </row>
    <row r="3189" spans="2:22" x14ac:dyDescent="0.25">
      <c r="B3189" s="16">
        <v>0</v>
      </c>
      <c r="C3189" s="7">
        <v>1</v>
      </c>
      <c r="D3189" s="8">
        <v>0</v>
      </c>
      <c r="E3189" s="8">
        <v>0</v>
      </c>
      <c r="F3189" s="8">
        <v>1</v>
      </c>
      <c r="G3189" s="8">
        <v>1</v>
      </c>
      <c r="H3189" s="8">
        <v>1</v>
      </c>
      <c r="I3189" s="8">
        <v>0</v>
      </c>
      <c r="J3189" s="8">
        <v>0</v>
      </c>
      <c r="K3189" s="9">
        <v>0</v>
      </c>
      <c r="L3189" s="10">
        <v>1</v>
      </c>
      <c r="M3189" s="6">
        <v>1</v>
      </c>
      <c r="N3189" s="37" t="e" cm="1">
        <f t="array" ref="N3189">IF(OR(ISNUMBER(FIND(Aux!$D$3:$D$9,_xlfn.TEXTJOIN(,,C3189:K3189)))),NA(),IF(AND(SUM(C3189:F3189,H3189:K3189)=0,G3189=1),0,INT((SUMPRODUCT(C3189:F3189,COLUMN($A$1:$D$1)-1)+SUMPRODUCT(H3189:K3189,COLUMN($E$1:$H$1)-1))*'Line Follower'!$C$3/SUM(C3189:F3189,H3189:K3189)-'Line Follower'!$C$5)))</f>
        <v>#N/A</v>
      </c>
      <c r="O3189" s="22" t="e">
        <v>#N/A</v>
      </c>
      <c r="P3189" s="4" t="e">
        <f t="shared" si="245"/>
        <v>#N/A</v>
      </c>
      <c r="Q3189" s="4" t="e">
        <f t="shared" si="246"/>
        <v>#N/A</v>
      </c>
      <c r="R3189" s="4" t="e">
        <f>IF(AND(B3189=1,N3189&gt;'Line Follower'!$C$7,SUM(C3189:K3189)&lt;4),1,0)</f>
        <v>#N/A</v>
      </c>
      <c r="S3189" s="4" t="e">
        <f>IF(AND(L3189=1,N3189&lt;'Line Follower'!$C$6,SUM(C3189:K3189)&lt;4),1,0)</f>
        <v>#N/A</v>
      </c>
      <c r="T3189" s="4" t="e">
        <f t="shared" si="247"/>
        <v>#N/A</v>
      </c>
      <c r="U3189" s="5" t="e">
        <f t="shared" si="248"/>
        <v>#N/A</v>
      </c>
      <c r="V3189" s="23" t="e">
        <f t="shared" si="249"/>
        <v>#N/A</v>
      </c>
    </row>
    <row r="3190" spans="2:22" x14ac:dyDescent="0.25">
      <c r="B3190" s="16">
        <v>1</v>
      </c>
      <c r="C3190" s="7">
        <v>1</v>
      </c>
      <c r="D3190" s="8">
        <v>0</v>
      </c>
      <c r="E3190" s="8">
        <v>0</v>
      </c>
      <c r="F3190" s="8">
        <v>1</v>
      </c>
      <c r="G3190" s="8">
        <v>1</v>
      </c>
      <c r="H3190" s="8">
        <v>1</v>
      </c>
      <c r="I3190" s="8">
        <v>0</v>
      </c>
      <c r="J3190" s="8">
        <v>0</v>
      </c>
      <c r="K3190" s="9">
        <v>0</v>
      </c>
      <c r="L3190" s="10">
        <v>1</v>
      </c>
      <c r="M3190" s="6">
        <v>1</v>
      </c>
      <c r="N3190" s="37" t="e" cm="1">
        <f t="array" ref="N3190">IF(OR(ISNUMBER(FIND(Aux!$D$3:$D$9,_xlfn.TEXTJOIN(,,C3190:K3190)))),NA(),IF(AND(SUM(C3190:F3190,H3190:K3190)=0,G3190=1),0,INT((SUMPRODUCT(C3190:F3190,COLUMN($A$1:$D$1)-1)+SUMPRODUCT(H3190:K3190,COLUMN($E$1:$H$1)-1))*'Line Follower'!$C$3/SUM(C3190:F3190,H3190:K3190)-'Line Follower'!$C$5)))</f>
        <v>#N/A</v>
      </c>
      <c r="O3190" s="22" t="e">
        <v>#N/A</v>
      </c>
      <c r="P3190" s="4" t="e">
        <f t="shared" si="245"/>
        <v>#N/A</v>
      </c>
      <c r="Q3190" s="4" t="e">
        <f t="shared" si="246"/>
        <v>#N/A</v>
      </c>
      <c r="R3190" s="4" t="e">
        <f>IF(AND(B3190=1,N3190&gt;'Line Follower'!$C$7,SUM(C3190:K3190)&lt;4),1,0)</f>
        <v>#N/A</v>
      </c>
      <c r="S3190" s="4" t="e">
        <f>IF(AND(L3190=1,N3190&lt;'Line Follower'!$C$6,SUM(C3190:K3190)&lt;4),1,0)</f>
        <v>#N/A</v>
      </c>
      <c r="T3190" s="4" t="e">
        <f t="shared" si="247"/>
        <v>#N/A</v>
      </c>
      <c r="U3190" s="5" t="e">
        <f t="shared" si="248"/>
        <v>#N/A</v>
      </c>
      <c r="V3190" s="23" t="e">
        <f t="shared" si="249"/>
        <v>#N/A</v>
      </c>
    </row>
    <row r="3191" spans="2:22" x14ac:dyDescent="0.25">
      <c r="B3191" s="16">
        <v>0</v>
      </c>
      <c r="C3191" s="7">
        <v>0</v>
      </c>
      <c r="D3191" s="8">
        <v>1</v>
      </c>
      <c r="E3191" s="8">
        <v>0</v>
      </c>
      <c r="F3191" s="8">
        <v>1</v>
      </c>
      <c r="G3191" s="8">
        <v>1</v>
      </c>
      <c r="H3191" s="8">
        <v>1</v>
      </c>
      <c r="I3191" s="8">
        <v>0</v>
      </c>
      <c r="J3191" s="8">
        <v>0</v>
      </c>
      <c r="K3191" s="9">
        <v>0</v>
      </c>
      <c r="L3191" s="10">
        <v>1</v>
      </c>
      <c r="M3191" s="6">
        <v>1</v>
      </c>
      <c r="N3191" s="37" t="e" cm="1">
        <f t="array" ref="N3191">IF(OR(ISNUMBER(FIND(Aux!$D$3:$D$9,_xlfn.TEXTJOIN(,,C3191:K3191)))),NA(),IF(AND(SUM(C3191:F3191,H3191:K3191)=0,G3191=1),0,INT((SUMPRODUCT(C3191:F3191,COLUMN($A$1:$D$1)-1)+SUMPRODUCT(H3191:K3191,COLUMN($E$1:$H$1)-1))*'Line Follower'!$C$3/SUM(C3191:F3191,H3191:K3191)-'Line Follower'!$C$5)))</f>
        <v>#N/A</v>
      </c>
      <c r="O3191" s="22" t="e">
        <v>#N/A</v>
      </c>
      <c r="P3191" s="4" t="e">
        <f t="shared" si="245"/>
        <v>#N/A</v>
      </c>
      <c r="Q3191" s="4" t="e">
        <f t="shared" si="246"/>
        <v>#N/A</v>
      </c>
      <c r="R3191" s="4" t="e">
        <f>IF(AND(B3191=1,N3191&gt;'Line Follower'!$C$7,SUM(C3191:K3191)&lt;4),1,0)</f>
        <v>#N/A</v>
      </c>
      <c r="S3191" s="4" t="e">
        <f>IF(AND(L3191=1,N3191&lt;'Line Follower'!$C$6,SUM(C3191:K3191)&lt;4),1,0)</f>
        <v>#N/A</v>
      </c>
      <c r="T3191" s="4" t="e">
        <f t="shared" si="247"/>
        <v>#N/A</v>
      </c>
      <c r="U3191" s="5" t="e">
        <f t="shared" si="248"/>
        <v>#N/A</v>
      </c>
      <c r="V3191" s="23" t="e">
        <f t="shared" si="249"/>
        <v>#N/A</v>
      </c>
    </row>
    <row r="3192" spans="2:22" x14ac:dyDescent="0.25">
      <c r="B3192" s="16">
        <v>1</v>
      </c>
      <c r="C3192" s="7">
        <v>0</v>
      </c>
      <c r="D3192" s="8">
        <v>1</v>
      </c>
      <c r="E3192" s="8">
        <v>0</v>
      </c>
      <c r="F3192" s="8">
        <v>1</v>
      </c>
      <c r="G3192" s="8">
        <v>1</v>
      </c>
      <c r="H3192" s="8">
        <v>1</v>
      </c>
      <c r="I3192" s="8">
        <v>0</v>
      </c>
      <c r="J3192" s="8">
        <v>0</v>
      </c>
      <c r="K3192" s="9">
        <v>0</v>
      </c>
      <c r="L3192" s="10">
        <v>1</v>
      </c>
      <c r="M3192" s="6">
        <v>1</v>
      </c>
      <c r="N3192" s="37" t="e" cm="1">
        <f t="array" ref="N3192">IF(OR(ISNUMBER(FIND(Aux!$D$3:$D$9,_xlfn.TEXTJOIN(,,C3192:K3192)))),NA(),IF(AND(SUM(C3192:F3192,H3192:K3192)=0,G3192=1),0,INT((SUMPRODUCT(C3192:F3192,COLUMN($A$1:$D$1)-1)+SUMPRODUCT(H3192:K3192,COLUMN($E$1:$H$1)-1))*'Line Follower'!$C$3/SUM(C3192:F3192,H3192:K3192)-'Line Follower'!$C$5)))</f>
        <v>#N/A</v>
      </c>
      <c r="O3192" s="22" t="e">
        <v>#N/A</v>
      </c>
      <c r="P3192" s="4" t="e">
        <f t="shared" si="245"/>
        <v>#N/A</v>
      </c>
      <c r="Q3192" s="4" t="e">
        <f t="shared" si="246"/>
        <v>#N/A</v>
      </c>
      <c r="R3192" s="4" t="e">
        <f>IF(AND(B3192=1,N3192&gt;'Line Follower'!$C$7,SUM(C3192:K3192)&lt;4),1,0)</f>
        <v>#N/A</v>
      </c>
      <c r="S3192" s="4" t="e">
        <f>IF(AND(L3192=1,N3192&lt;'Line Follower'!$C$6,SUM(C3192:K3192)&lt;4),1,0)</f>
        <v>#N/A</v>
      </c>
      <c r="T3192" s="4" t="e">
        <f t="shared" si="247"/>
        <v>#N/A</v>
      </c>
      <c r="U3192" s="5" t="e">
        <f t="shared" si="248"/>
        <v>#N/A</v>
      </c>
      <c r="V3192" s="23" t="e">
        <f t="shared" si="249"/>
        <v>#N/A</v>
      </c>
    </row>
    <row r="3193" spans="2:22" x14ac:dyDescent="0.25">
      <c r="B3193" s="16">
        <v>0</v>
      </c>
      <c r="C3193" s="7">
        <v>1</v>
      </c>
      <c r="D3193" s="8">
        <v>1</v>
      </c>
      <c r="E3193" s="8">
        <v>0</v>
      </c>
      <c r="F3193" s="8">
        <v>1</v>
      </c>
      <c r="G3193" s="8">
        <v>1</v>
      </c>
      <c r="H3193" s="8">
        <v>1</v>
      </c>
      <c r="I3193" s="8">
        <v>0</v>
      </c>
      <c r="J3193" s="8">
        <v>0</v>
      </c>
      <c r="K3193" s="9">
        <v>0</v>
      </c>
      <c r="L3193" s="10">
        <v>1</v>
      </c>
      <c r="M3193" s="6">
        <v>1</v>
      </c>
      <c r="N3193" s="37" t="e" cm="1">
        <f t="array" ref="N3193">IF(OR(ISNUMBER(FIND(Aux!$D$3:$D$9,_xlfn.TEXTJOIN(,,C3193:K3193)))),NA(),IF(AND(SUM(C3193:F3193,H3193:K3193)=0,G3193=1),0,INT((SUMPRODUCT(C3193:F3193,COLUMN($A$1:$D$1)-1)+SUMPRODUCT(H3193:K3193,COLUMN($E$1:$H$1)-1))*'Line Follower'!$C$3/SUM(C3193:F3193,H3193:K3193)-'Line Follower'!$C$5)))</f>
        <v>#N/A</v>
      </c>
      <c r="O3193" s="22" t="e">
        <v>#N/A</v>
      </c>
      <c r="P3193" s="4" t="e">
        <f t="shared" si="245"/>
        <v>#N/A</v>
      </c>
      <c r="Q3193" s="4" t="e">
        <f t="shared" si="246"/>
        <v>#N/A</v>
      </c>
      <c r="R3193" s="4" t="e">
        <f>IF(AND(B3193=1,N3193&gt;'Line Follower'!$C$7,SUM(C3193:K3193)&lt;4),1,0)</f>
        <v>#N/A</v>
      </c>
      <c r="S3193" s="4" t="e">
        <f>IF(AND(L3193=1,N3193&lt;'Line Follower'!$C$6,SUM(C3193:K3193)&lt;4),1,0)</f>
        <v>#N/A</v>
      </c>
      <c r="T3193" s="4" t="e">
        <f t="shared" si="247"/>
        <v>#N/A</v>
      </c>
      <c r="U3193" s="5" t="e">
        <f t="shared" si="248"/>
        <v>#N/A</v>
      </c>
      <c r="V3193" s="23" t="e">
        <f t="shared" si="249"/>
        <v>#N/A</v>
      </c>
    </row>
    <row r="3194" spans="2:22" x14ac:dyDescent="0.25">
      <c r="B3194" s="16">
        <v>1</v>
      </c>
      <c r="C3194" s="7">
        <v>1</v>
      </c>
      <c r="D3194" s="8">
        <v>1</v>
      </c>
      <c r="E3194" s="8">
        <v>0</v>
      </c>
      <c r="F3194" s="8">
        <v>1</v>
      </c>
      <c r="G3194" s="8">
        <v>1</v>
      </c>
      <c r="H3194" s="8">
        <v>1</v>
      </c>
      <c r="I3194" s="8">
        <v>0</v>
      </c>
      <c r="J3194" s="8">
        <v>0</v>
      </c>
      <c r="K3194" s="9">
        <v>0</v>
      </c>
      <c r="L3194" s="10">
        <v>1</v>
      </c>
      <c r="M3194" s="6">
        <v>1</v>
      </c>
      <c r="N3194" s="37" t="e" cm="1">
        <f t="array" ref="N3194">IF(OR(ISNUMBER(FIND(Aux!$D$3:$D$9,_xlfn.TEXTJOIN(,,C3194:K3194)))),NA(),IF(AND(SUM(C3194:F3194,H3194:K3194)=0,G3194=1),0,INT((SUMPRODUCT(C3194:F3194,COLUMN($A$1:$D$1)-1)+SUMPRODUCT(H3194:K3194,COLUMN($E$1:$H$1)-1))*'Line Follower'!$C$3/SUM(C3194:F3194,H3194:K3194)-'Line Follower'!$C$5)))</f>
        <v>#N/A</v>
      </c>
      <c r="O3194" s="22" t="e">
        <v>#N/A</v>
      </c>
      <c r="P3194" s="4" t="e">
        <f t="shared" si="245"/>
        <v>#N/A</v>
      </c>
      <c r="Q3194" s="4" t="e">
        <f t="shared" si="246"/>
        <v>#N/A</v>
      </c>
      <c r="R3194" s="4" t="e">
        <f>IF(AND(B3194=1,N3194&gt;'Line Follower'!$C$7,SUM(C3194:K3194)&lt;4),1,0)</f>
        <v>#N/A</v>
      </c>
      <c r="S3194" s="4" t="e">
        <f>IF(AND(L3194=1,N3194&lt;'Line Follower'!$C$6,SUM(C3194:K3194)&lt;4),1,0)</f>
        <v>#N/A</v>
      </c>
      <c r="T3194" s="4" t="e">
        <f t="shared" si="247"/>
        <v>#N/A</v>
      </c>
      <c r="U3194" s="5" t="e">
        <f t="shared" si="248"/>
        <v>#N/A</v>
      </c>
      <c r="V3194" s="23" t="e">
        <f t="shared" si="249"/>
        <v>#N/A</v>
      </c>
    </row>
    <row r="3195" spans="2:22" x14ac:dyDescent="0.25">
      <c r="B3195" s="16">
        <v>0</v>
      </c>
      <c r="C3195" s="7">
        <v>0</v>
      </c>
      <c r="D3195" s="8">
        <v>0</v>
      </c>
      <c r="E3195" s="8">
        <v>1</v>
      </c>
      <c r="F3195" s="8">
        <v>1</v>
      </c>
      <c r="G3195" s="8">
        <v>1</v>
      </c>
      <c r="H3195" s="8">
        <v>1</v>
      </c>
      <c r="I3195" s="8">
        <v>0</v>
      </c>
      <c r="J3195" s="8">
        <v>0</v>
      </c>
      <c r="K3195" s="9">
        <v>0</v>
      </c>
      <c r="L3195" s="10">
        <v>1</v>
      </c>
      <c r="M3195" s="6">
        <v>1</v>
      </c>
      <c r="N3195" s="37" cm="1">
        <f t="array" ref="N3195">IF(OR(ISNUMBER(FIND(Aux!$D$3:$D$9,_xlfn.TEXTJOIN(,,C3195:K3195)))),NA(),IF(AND(SUM(C3195:F3195,H3195:K3195)=0,G3195=1),0,INT((SUMPRODUCT(C3195:F3195,COLUMN($A$1:$D$1)-1)+SUMPRODUCT(H3195:K3195,COLUMN($E$1:$H$1)-1))*'Line Follower'!$C$3/SUM(C3195:F3195,H3195:K3195)-'Line Follower'!$C$5)))</f>
        <v>-1</v>
      </c>
      <c r="O3195" s="22">
        <v>1</v>
      </c>
      <c r="P3195" s="4">
        <f t="shared" si="245"/>
        <v>0</v>
      </c>
      <c r="Q3195" s="4">
        <f t="shared" si="246"/>
        <v>1</v>
      </c>
      <c r="R3195" s="4">
        <f>IF(AND(B3195=1,N3195&gt;'Line Follower'!$C$7,SUM(C3195:K3195)&lt;4),1,0)</f>
        <v>0</v>
      </c>
      <c r="S3195" s="4">
        <f>IF(AND(L3195=1,N3195&lt;'Line Follower'!$C$6,SUM(C3195:K3195)&lt;4),1,0)</f>
        <v>0</v>
      </c>
      <c r="T3195" s="4">
        <f t="shared" si="247"/>
        <v>0</v>
      </c>
      <c r="U3195" s="5">
        <f t="shared" si="248"/>
        <v>0</v>
      </c>
      <c r="V3195" s="23">
        <f t="shared" si="249"/>
        <v>0</v>
      </c>
    </row>
    <row r="3196" spans="2:22" x14ac:dyDescent="0.25">
      <c r="B3196" s="16">
        <v>1</v>
      </c>
      <c r="C3196" s="7">
        <v>0</v>
      </c>
      <c r="D3196" s="8">
        <v>0</v>
      </c>
      <c r="E3196" s="8">
        <v>1</v>
      </c>
      <c r="F3196" s="8">
        <v>1</v>
      </c>
      <c r="G3196" s="8">
        <v>1</v>
      </c>
      <c r="H3196" s="8">
        <v>1</v>
      </c>
      <c r="I3196" s="8">
        <v>0</v>
      </c>
      <c r="J3196" s="8">
        <v>0</v>
      </c>
      <c r="K3196" s="9">
        <v>0</v>
      </c>
      <c r="L3196" s="10">
        <v>1</v>
      </c>
      <c r="M3196" s="6">
        <v>1</v>
      </c>
      <c r="N3196" s="37" cm="1">
        <f t="array" ref="N3196">IF(OR(ISNUMBER(FIND(Aux!$D$3:$D$9,_xlfn.TEXTJOIN(,,C3196:K3196)))),NA(),IF(AND(SUM(C3196:F3196,H3196:K3196)=0,G3196=1),0,INT((SUMPRODUCT(C3196:F3196,COLUMN($A$1:$D$1)-1)+SUMPRODUCT(H3196:K3196,COLUMN($E$1:$H$1)-1))*'Line Follower'!$C$3/SUM(C3196:F3196,H3196:K3196)-'Line Follower'!$C$5)))</f>
        <v>-1</v>
      </c>
      <c r="O3196" s="22">
        <v>1</v>
      </c>
      <c r="P3196" s="4">
        <f t="shared" si="245"/>
        <v>0</v>
      </c>
      <c r="Q3196" s="4">
        <f t="shared" si="246"/>
        <v>1</v>
      </c>
      <c r="R3196" s="4">
        <f>IF(AND(B3196=1,N3196&gt;'Line Follower'!$C$7,SUM(C3196:K3196)&lt;4),1,0)</f>
        <v>0</v>
      </c>
      <c r="S3196" s="4">
        <f>IF(AND(L3196=1,N3196&lt;'Line Follower'!$C$6,SUM(C3196:K3196)&lt;4),1,0)</f>
        <v>0</v>
      </c>
      <c r="T3196" s="4">
        <f t="shared" si="247"/>
        <v>0</v>
      </c>
      <c r="U3196" s="5">
        <f t="shared" si="248"/>
        <v>0</v>
      </c>
      <c r="V3196" s="23">
        <f t="shared" si="249"/>
        <v>0</v>
      </c>
    </row>
    <row r="3197" spans="2:22" x14ac:dyDescent="0.25">
      <c r="B3197" s="16">
        <v>0</v>
      </c>
      <c r="C3197" s="7">
        <v>1</v>
      </c>
      <c r="D3197" s="8">
        <v>0</v>
      </c>
      <c r="E3197" s="8">
        <v>1</v>
      </c>
      <c r="F3197" s="8">
        <v>1</v>
      </c>
      <c r="G3197" s="8">
        <v>1</v>
      </c>
      <c r="H3197" s="8">
        <v>1</v>
      </c>
      <c r="I3197" s="8">
        <v>0</v>
      </c>
      <c r="J3197" s="8">
        <v>0</v>
      </c>
      <c r="K3197" s="9">
        <v>0</v>
      </c>
      <c r="L3197" s="10">
        <v>1</v>
      </c>
      <c r="M3197" s="6">
        <v>1</v>
      </c>
      <c r="N3197" s="37" t="e" cm="1">
        <f t="array" ref="N3197">IF(OR(ISNUMBER(FIND(Aux!$D$3:$D$9,_xlfn.TEXTJOIN(,,C3197:K3197)))),NA(),IF(AND(SUM(C3197:F3197,H3197:K3197)=0,G3197=1),0,INT((SUMPRODUCT(C3197:F3197,COLUMN($A$1:$D$1)-1)+SUMPRODUCT(H3197:K3197,COLUMN($E$1:$H$1)-1))*'Line Follower'!$C$3/SUM(C3197:F3197,H3197:K3197)-'Line Follower'!$C$5)))</f>
        <v>#N/A</v>
      </c>
      <c r="O3197" s="22" t="e">
        <v>#N/A</v>
      </c>
      <c r="P3197" s="4" t="e">
        <f t="shared" si="245"/>
        <v>#N/A</v>
      </c>
      <c r="Q3197" s="4" t="e">
        <f t="shared" si="246"/>
        <v>#N/A</v>
      </c>
      <c r="R3197" s="4" t="e">
        <f>IF(AND(B3197=1,N3197&gt;'Line Follower'!$C$7,SUM(C3197:K3197)&lt;4),1,0)</f>
        <v>#N/A</v>
      </c>
      <c r="S3197" s="4" t="e">
        <f>IF(AND(L3197=1,N3197&lt;'Line Follower'!$C$6,SUM(C3197:K3197)&lt;4),1,0)</f>
        <v>#N/A</v>
      </c>
      <c r="T3197" s="4" t="e">
        <f t="shared" si="247"/>
        <v>#N/A</v>
      </c>
      <c r="U3197" s="5" t="e">
        <f t="shared" si="248"/>
        <v>#N/A</v>
      </c>
      <c r="V3197" s="23" t="e">
        <f t="shared" si="249"/>
        <v>#N/A</v>
      </c>
    </row>
    <row r="3198" spans="2:22" x14ac:dyDescent="0.25">
      <c r="B3198" s="16">
        <v>1</v>
      </c>
      <c r="C3198" s="7">
        <v>1</v>
      </c>
      <c r="D3198" s="8">
        <v>0</v>
      </c>
      <c r="E3198" s="8">
        <v>1</v>
      </c>
      <c r="F3198" s="8">
        <v>1</v>
      </c>
      <c r="G3198" s="8">
        <v>1</v>
      </c>
      <c r="H3198" s="8">
        <v>1</v>
      </c>
      <c r="I3198" s="8">
        <v>0</v>
      </c>
      <c r="J3198" s="8">
        <v>0</v>
      </c>
      <c r="K3198" s="9">
        <v>0</v>
      </c>
      <c r="L3198" s="10">
        <v>1</v>
      </c>
      <c r="M3198" s="6">
        <v>1</v>
      </c>
      <c r="N3198" s="37" t="e" cm="1">
        <f t="array" ref="N3198">IF(OR(ISNUMBER(FIND(Aux!$D$3:$D$9,_xlfn.TEXTJOIN(,,C3198:K3198)))),NA(),IF(AND(SUM(C3198:F3198,H3198:K3198)=0,G3198=1),0,INT((SUMPRODUCT(C3198:F3198,COLUMN($A$1:$D$1)-1)+SUMPRODUCT(H3198:K3198,COLUMN($E$1:$H$1)-1))*'Line Follower'!$C$3/SUM(C3198:F3198,H3198:K3198)-'Line Follower'!$C$5)))</f>
        <v>#N/A</v>
      </c>
      <c r="O3198" s="22" t="e">
        <v>#N/A</v>
      </c>
      <c r="P3198" s="4" t="e">
        <f t="shared" si="245"/>
        <v>#N/A</v>
      </c>
      <c r="Q3198" s="4" t="e">
        <f t="shared" si="246"/>
        <v>#N/A</v>
      </c>
      <c r="R3198" s="4" t="e">
        <f>IF(AND(B3198=1,N3198&gt;'Line Follower'!$C$7,SUM(C3198:K3198)&lt;4),1,0)</f>
        <v>#N/A</v>
      </c>
      <c r="S3198" s="4" t="e">
        <f>IF(AND(L3198=1,N3198&lt;'Line Follower'!$C$6,SUM(C3198:K3198)&lt;4),1,0)</f>
        <v>#N/A</v>
      </c>
      <c r="T3198" s="4" t="e">
        <f t="shared" si="247"/>
        <v>#N/A</v>
      </c>
      <c r="U3198" s="5" t="e">
        <f t="shared" si="248"/>
        <v>#N/A</v>
      </c>
      <c r="V3198" s="23" t="e">
        <f t="shared" si="249"/>
        <v>#N/A</v>
      </c>
    </row>
    <row r="3199" spans="2:22" x14ac:dyDescent="0.25">
      <c r="B3199" s="16">
        <v>0</v>
      </c>
      <c r="C3199" s="7">
        <v>0</v>
      </c>
      <c r="D3199" s="8">
        <v>1</v>
      </c>
      <c r="E3199" s="8">
        <v>1</v>
      </c>
      <c r="F3199" s="8">
        <v>1</v>
      </c>
      <c r="G3199" s="8">
        <v>1</v>
      </c>
      <c r="H3199" s="8">
        <v>1</v>
      </c>
      <c r="I3199" s="8">
        <v>0</v>
      </c>
      <c r="J3199" s="8">
        <v>0</v>
      </c>
      <c r="K3199" s="9">
        <v>0</v>
      </c>
      <c r="L3199" s="10">
        <v>1</v>
      </c>
      <c r="M3199" s="6">
        <v>1</v>
      </c>
      <c r="N3199" s="37" cm="1">
        <f t="array" ref="N3199">IF(OR(ISNUMBER(FIND(Aux!$D$3:$D$9,_xlfn.TEXTJOIN(,,C3199:K3199)))),NA(),IF(AND(SUM(C3199:F3199,H3199:K3199)=0,G3199=1),0,INT((SUMPRODUCT(C3199:F3199,COLUMN($A$1:$D$1)-1)+SUMPRODUCT(H3199:K3199,COLUMN($E$1:$H$1)-1))*'Line Follower'!$C$3/SUM(C3199:F3199,H3199:K3199)-'Line Follower'!$C$5)))</f>
        <v>-2</v>
      </c>
      <c r="O3199" s="22">
        <v>1</v>
      </c>
      <c r="P3199" s="4">
        <f t="shared" si="245"/>
        <v>0</v>
      </c>
      <c r="Q3199" s="4">
        <f t="shared" si="246"/>
        <v>1</v>
      </c>
      <c r="R3199" s="4">
        <f>IF(AND(B3199=1,N3199&gt;'Line Follower'!$C$7,SUM(C3199:K3199)&lt;4),1,0)</f>
        <v>0</v>
      </c>
      <c r="S3199" s="4">
        <f>IF(AND(L3199=1,N3199&lt;'Line Follower'!$C$6,SUM(C3199:K3199)&lt;4),1,0)</f>
        <v>0</v>
      </c>
      <c r="T3199" s="4">
        <f t="shared" si="247"/>
        <v>0</v>
      </c>
      <c r="U3199" s="5">
        <f t="shared" si="248"/>
        <v>0</v>
      </c>
      <c r="V3199" s="23">
        <f t="shared" si="249"/>
        <v>0</v>
      </c>
    </row>
    <row r="3200" spans="2:22" x14ac:dyDescent="0.25">
      <c r="B3200" s="16">
        <v>1</v>
      </c>
      <c r="C3200" s="7">
        <v>0</v>
      </c>
      <c r="D3200" s="8">
        <v>1</v>
      </c>
      <c r="E3200" s="8">
        <v>1</v>
      </c>
      <c r="F3200" s="8">
        <v>1</v>
      </c>
      <c r="G3200" s="8">
        <v>1</v>
      </c>
      <c r="H3200" s="8">
        <v>1</v>
      </c>
      <c r="I3200" s="8">
        <v>0</v>
      </c>
      <c r="J3200" s="8">
        <v>0</v>
      </c>
      <c r="K3200" s="9">
        <v>0</v>
      </c>
      <c r="L3200" s="10">
        <v>1</v>
      </c>
      <c r="M3200" s="6">
        <v>1</v>
      </c>
      <c r="N3200" s="37" cm="1">
        <f t="array" ref="N3200">IF(OR(ISNUMBER(FIND(Aux!$D$3:$D$9,_xlfn.TEXTJOIN(,,C3200:K3200)))),NA(),IF(AND(SUM(C3200:F3200,H3200:K3200)=0,G3200=1),0,INT((SUMPRODUCT(C3200:F3200,COLUMN($A$1:$D$1)-1)+SUMPRODUCT(H3200:K3200,COLUMN($E$1:$H$1)-1))*'Line Follower'!$C$3/SUM(C3200:F3200,H3200:K3200)-'Line Follower'!$C$5)))</f>
        <v>-2</v>
      </c>
      <c r="O3200" s="22">
        <v>1</v>
      </c>
      <c r="P3200" s="4">
        <f t="shared" si="245"/>
        <v>0</v>
      </c>
      <c r="Q3200" s="4">
        <f t="shared" si="246"/>
        <v>1</v>
      </c>
      <c r="R3200" s="4">
        <f>IF(AND(B3200=1,N3200&gt;'Line Follower'!$C$7,SUM(C3200:K3200)&lt;4),1,0)</f>
        <v>0</v>
      </c>
      <c r="S3200" s="4">
        <f>IF(AND(L3200=1,N3200&lt;'Line Follower'!$C$6,SUM(C3200:K3200)&lt;4),1,0)</f>
        <v>0</v>
      </c>
      <c r="T3200" s="4">
        <f t="shared" si="247"/>
        <v>0</v>
      </c>
      <c r="U3200" s="5">
        <f t="shared" si="248"/>
        <v>0</v>
      </c>
      <c r="V3200" s="23">
        <f t="shared" si="249"/>
        <v>0</v>
      </c>
    </row>
    <row r="3201" spans="2:22" x14ac:dyDescent="0.25">
      <c r="B3201" s="16">
        <v>0</v>
      </c>
      <c r="C3201" s="7">
        <v>1</v>
      </c>
      <c r="D3201" s="8">
        <v>1</v>
      </c>
      <c r="E3201" s="8">
        <v>1</v>
      </c>
      <c r="F3201" s="8">
        <v>1</v>
      </c>
      <c r="G3201" s="8">
        <v>1</v>
      </c>
      <c r="H3201" s="8">
        <v>1</v>
      </c>
      <c r="I3201" s="8">
        <v>0</v>
      </c>
      <c r="J3201" s="8">
        <v>0</v>
      </c>
      <c r="K3201" s="9">
        <v>0</v>
      </c>
      <c r="L3201" s="10">
        <v>1</v>
      </c>
      <c r="M3201" s="6">
        <v>1</v>
      </c>
      <c r="N3201" s="37" cm="1">
        <f t="array" ref="N3201">IF(OR(ISNUMBER(FIND(Aux!$D$3:$D$9,_xlfn.TEXTJOIN(,,C3201:K3201)))),NA(),IF(AND(SUM(C3201:F3201,H3201:K3201)=0,G3201=1),0,INT((SUMPRODUCT(C3201:F3201,COLUMN($A$1:$D$1)-1)+SUMPRODUCT(H3201:K3201,COLUMN($E$1:$H$1)-1))*'Line Follower'!$C$3/SUM(C3201:F3201,H3201:K3201)-'Line Follower'!$C$5)))</f>
        <v>-3</v>
      </c>
      <c r="O3201" s="22">
        <v>1</v>
      </c>
      <c r="P3201" s="4">
        <f t="shared" si="245"/>
        <v>0</v>
      </c>
      <c r="Q3201" s="4">
        <f t="shared" si="246"/>
        <v>1</v>
      </c>
      <c r="R3201" s="4">
        <f>IF(AND(B3201=1,N3201&gt;'Line Follower'!$C$7,SUM(C3201:K3201)&lt;4),1,0)</f>
        <v>0</v>
      </c>
      <c r="S3201" s="4">
        <f>IF(AND(L3201=1,N3201&lt;'Line Follower'!$C$6,SUM(C3201:K3201)&lt;4),1,0)</f>
        <v>0</v>
      </c>
      <c r="T3201" s="4">
        <f t="shared" si="247"/>
        <v>0</v>
      </c>
      <c r="U3201" s="5">
        <f t="shared" si="248"/>
        <v>0</v>
      </c>
      <c r="V3201" s="23">
        <f t="shared" si="249"/>
        <v>0</v>
      </c>
    </row>
    <row r="3202" spans="2:22" x14ac:dyDescent="0.25">
      <c r="B3202" s="16">
        <v>1</v>
      </c>
      <c r="C3202" s="7">
        <v>1</v>
      </c>
      <c r="D3202" s="8">
        <v>1</v>
      </c>
      <c r="E3202" s="8">
        <v>1</v>
      </c>
      <c r="F3202" s="8">
        <v>1</v>
      </c>
      <c r="G3202" s="8">
        <v>1</v>
      </c>
      <c r="H3202" s="8">
        <v>1</v>
      </c>
      <c r="I3202" s="8">
        <v>0</v>
      </c>
      <c r="J3202" s="8">
        <v>0</v>
      </c>
      <c r="K3202" s="9">
        <v>0</v>
      </c>
      <c r="L3202" s="10">
        <v>1</v>
      </c>
      <c r="M3202" s="6">
        <v>1</v>
      </c>
      <c r="N3202" s="37" cm="1">
        <f t="array" ref="N3202">IF(OR(ISNUMBER(FIND(Aux!$D$3:$D$9,_xlfn.TEXTJOIN(,,C3202:K3202)))),NA(),IF(AND(SUM(C3202:F3202,H3202:K3202)=0,G3202=1),0,INT((SUMPRODUCT(C3202:F3202,COLUMN($A$1:$D$1)-1)+SUMPRODUCT(H3202:K3202,COLUMN($E$1:$H$1)-1))*'Line Follower'!$C$3/SUM(C3202:F3202,H3202:K3202)-'Line Follower'!$C$5)))</f>
        <v>-3</v>
      </c>
      <c r="O3202" s="22">
        <v>1</v>
      </c>
      <c r="P3202" s="4">
        <f t="shared" si="245"/>
        <v>0</v>
      </c>
      <c r="Q3202" s="4">
        <f t="shared" si="246"/>
        <v>1</v>
      </c>
      <c r="R3202" s="4">
        <f>IF(AND(B3202=1,N3202&gt;'Line Follower'!$C$7,SUM(C3202:K3202)&lt;4),1,0)</f>
        <v>0</v>
      </c>
      <c r="S3202" s="4">
        <f>IF(AND(L3202=1,N3202&lt;'Line Follower'!$C$6,SUM(C3202:K3202)&lt;4),1,0)</f>
        <v>0</v>
      </c>
      <c r="T3202" s="4">
        <f t="shared" si="247"/>
        <v>0</v>
      </c>
      <c r="U3202" s="5">
        <f t="shared" si="248"/>
        <v>0</v>
      </c>
      <c r="V3202" s="23">
        <f t="shared" si="249"/>
        <v>0</v>
      </c>
    </row>
    <row r="3203" spans="2:22" x14ac:dyDescent="0.25">
      <c r="B3203" s="16">
        <v>0</v>
      </c>
      <c r="C3203" s="7">
        <v>0</v>
      </c>
      <c r="D3203" s="8">
        <v>0</v>
      </c>
      <c r="E3203" s="8">
        <v>0</v>
      </c>
      <c r="F3203" s="8">
        <v>0</v>
      </c>
      <c r="G3203" s="8">
        <v>0</v>
      </c>
      <c r="H3203" s="8">
        <v>0</v>
      </c>
      <c r="I3203" s="8">
        <v>1</v>
      </c>
      <c r="J3203" s="8">
        <v>0</v>
      </c>
      <c r="K3203" s="9">
        <v>0</v>
      </c>
      <c r="L3203" s="10">
        <v>1</v>
      </c>
      <c r="M3203" s="6">
        <v>1</v>
      </c>
      <c r="N3203" s="37" cm="1">
        <f t="array" ref="N3203">IF(OR(ISNUMBER(FIND(Aux!$D$3:$D$9,_xlfn.TEXTJOIN(,,C3203:K3203)))),NA(),IF(AND(SUM(C3203:F3203,H3203:K3203)=0,G3203=1),0,INT((SUMPRODUCT(C3203:F3203,COLUMN($A$1:$D$1)-1)+SUMPRODUCT(H3203:K3203,COLUMN($E$1:$H$1)-1))*'Line Follower'!$C$3/SUM(C3203:F3203,H3203:K3203)-'Line Follower'!$C$5)))</f>
        <v>3</v>
      </c>
      <c r="O3203" s="22">
        <v>1</v>
      </c>
      <c r="P3203" s="4">
        <f t="shared" ref="P3203:P3266" si="250">IF(AND(N3203=0,G3203=1,M3203=1),1,0)</f>
        <v>0</v>
      </c>
      <c r="Q3203" s="4">
        <f t="shared" ref="Q3203:Q3266" si="251">IF(ISERROR(N3203),N3203,IF(SUM(C3203:K3203)&gt;=4,1,0))</f>
        <v>0</v>
      </c>
      <c r="R3203" s="4">
        <f>IF(AND(B3203=1,N3203&gt;'Line Follower'!$C$7,SUM(C3203:K3203)&lt;4),1,0)</f>
        <v>0</v>
      </c>
      <c r="S3203" s="4">
        <f>IF(AND(L3203=1,N3203&lt;'Line Follower'!$C$6,SUM(C3203:K3203)&lt;4),1,0)</f>
        <v>1</v>
      </c>
      <c r="T3203" s="4">
        <f t="shared" si="247"/>
        <v>0</v>
      </c>
      <c r="U3203" s="5">
        <f t="shared" si="248"/>
        <v>0</v>
      </c>
      <c r="V3203" s="23">
        <f t="shared" si="249"/>
        <v>0</v>
      </c>
    </row>
    <row r="3204" spans="2:22" x14ac:dyDescent="0.25">
      <c r="B3204" s="16">
        <v>1</v>
      </c>
      <c r="C3204" s="7">
        <v>0</v>
      </c>
      <c r="D3204" s="8">
        <v>0</v>
      </c>
      <c r="E3204" s="8">
        <v>0</v>
      </c>
      <c r="F3204" s="8">
        <v>0</v>
      </c>
      <c r="G3204" s="8">
        <v>0</v>
      </c>
      <c r="H3204" s="8">
        <v>0</v>
      </c>
      <c r="I3204" s="8">
        <v>1</v>
      </c>
      <c r="J3204" s="8">
        <v>0</v>
      </c>
      <c r="K3204" s="9">
        <v>0</v>
      </c>
      <c r="L3204" s="10">
        <v>1</v>
      </c>
      <c r="M3204" s="6">
        <v>1</v>
      </c>
      <c r="N3204" s="37" cm="1">
        <f t="array" ref="N3204">IF(OR(ISNUMBER(FIND(Aux!$D$3:$D$9,_xlfn.TEXTJOIN(,,C3204:K3204)))),NA(),IF(AND(SUM(C3204:F3204,H3204:K3204)=0,G3204=1),0,INT((SUMPRODUCT(C3204:F3204,COLUMN($A$1:$D$1)-1)+SUMPRODUCT(H3204:K3204,COLUMN($E$1:$H$1)-1))*'Line Follower'!$C$3/SUM(C3204:F3204,H3204:K3204)-'Line Follower'!$C$5)))</f>
        <v>3</v>
      </c>
      <c r="O3204" s="22">
        <v>1</v>
      </c>
      <c r="P3204" s="4">
        <f t="shared" si="250"/>
        <v>0</v>
      </c>
      <c r="Q3204" s="4">
        <f t="shared" si="251"/>
        <v>0</v>
      </c>
      <c r="R3204" s="4">
        <f>IF(AND(B3204=1,N3204&gt;'Line Follower'!$C$7,SUM(C3204:K3204)&lt;4),1,0)</f>
        <v>1</v>
      </c>
      <c r="S3204" s="4">
        <f>IF(AND(L3204=1,N3204&lt;'Line Follower'!$C$6,SUM(C3204:K3204)&lt;4),1,0)</f>
        <v>1</v>
      </c>
      <c r="T3204" s="4">
        <f t="shared" ref="T3204:T3267" si="252">IF(ISNA(N3204),NA(),IF(SUM(C3204:L3204)=0,1,0))</f>
        <v>0</v>
      </c>
      <c r="U3204" s="5">
        <f t="shared" ref="U3204:U3267" si="253">IF(ISNA(N3204),NA(),IF(SUM(B3204:K3204)=0,1,0))</f>
        <v>0</v>
      </c>
      <c r="V3204" s="23">
        <f t="shared" ref="V3204:V3267" si="254">IF(ISNA(N3204),NA(),IF(SUM(B3204:L3204)=0,1,0))</f>
        <v>0</v>
      </c>
    </row>
    <row r="3205" spans="2:22" x14ac:dyDescent="0.25">
      <c r="B3205" s="16">
        <v>0</v>
      </c>
      <c r="C3205" s="7">
        <v>1</v>
      </c>
      <c r="D3205" s="8">
        <v>0</v>
      </c>
      <c r="E3205" s="8">
        <v>0</v>
      </c>
      <c r="F3205" s="8">
        <v>0</v>
      </c>
      <c r="G3205" s="8">
        <v>0</v>
      </c>
      <c r="H3205" s="8">
        <v>0</v>
      </c>
      <c r="I3205" s="8">
        <v>1</v>
      </c>
      <c r="J3205" s="8">
        <v>0</v>
      </c>
      <c r="K3205" s="9">
        <v>0</v>
      </c>
      <c r="L3205" s="10">
        <v>1</v>
      </c>
      <c r="M3205" s="6">
        <v>1</v>
      </c>
      <c r="N3205" s="37" t="e" cm="1">
        <f t="array" ref="N3205">IF(OR(ISNUMBER(FIND(Aux!$D$3:$D$9,_xlfn.TEXTJOIN(,,C3205:K3205)))),NA(),IF(AND(SUM(C3205:F3205,H3205:K3205)=0,G3205=1),0,INT((SUMPRODUCT(C3205:F3205,COLUMN($A$1:$D$1)-1)+SUMPRODUCT(H3205:K3205,COLUMN($E$1:$H$1)-1))*'Line Follower'!$C$3/SUM(C3205:F3205,H3205:K3205)-'Line Follower'!$C$5)))</f>
        <v>#N/A</v>
      </c>
      <c r="O3205" s="22" t="e">
        <v>#N/A</v>
      </c>
      <c r="P3205" s="4" t="e">
        <f t="shared" si="250"/>
        <v>#N/A</v>
      </c>
      <c r="Q3205" s="4" t="e">
        <f t="shared" si="251"/>
        <v>#N/A</v>
      </c>
      <c r="R3205" s="4" t="e">
        <f>IF(AND(B3205=1,N3205&gt;'Line Follower'!$C$7,SUM(C3205:K3205)&lt;4),1,0)</f>
        <v>#N/A</v>
      </c>
      <c r="S3205" s="4" t="e">
        <f>IF(AND(L3205=1,N3205&lt;'Line Follower'!$C$6,SUM(C3205:K3205)&lt;4),1,0)</f>
        <v>#N/A</v>
      </c>
      <c r="T3205" s="4" t="e">
        <f t="shared" si="252"/>
        <v>#N/A</v>
      </c>
      <c r="U3205" s="5" t="e">
        <f t="shared" si="253"/>
        <v>#N/A</v>
      </c>
      <c r="V3205" s="23" t="e">
        <f t="shared" si="254"/>
        <v>#N/A</v>
      </c>
    </row>
    <row r="3206" spans="2:22" x14ac:dyDescent="0.25">
      <c r="B3206" s="16">
        <v>1</v>
      </c>
      <c r="C3206" s="7">
        <v>1</v>
      </c>
      <c r="D3206" s="8">
        <v>0</v>
      </c>
      <c r="E3206" s="8">
        <v>0</v>
      </c>
      <c r="F3206" s="8">
        <v>0</v>
      </c>
      <c r="G3206" s="8">
        <v>0</v>
      </c>
      <c r="H3206" s="8">
        <v>0</v>
      </c>
      <c r="I3206" s="8">
        <v>1</v>
      </c>
      <c r="J3206" s="8">
        <v>0</v>
      </c>
      <c r="K3206" s="9">
        <v>0</v>
      </c>
      <c r="L3206" s="10">
        <v>1</v>
      </c>
      <c r="M3206" s="6">
        <v>1</v>
      </c>
      <c r="N3206" s="37" t="e" cm="1">
        <f t="array" ref="N3206">IF(OR(ISNUMBER(FIND(Aux!$D$3:$D$9,_xlfn.TEXTJOIN(,,C3206:K3206)))),NA(),IF(AND(SUM(C3206:F3206,H3206:K3206)=0,G3206=1),0,INT((SUMPRODUCT(C3206:F3206,COLUMN($A$1:$D$1)-1)+SUMPRODUCT(H3206:K3206,COLUMN($E$1:$H$1)-1))*'Line Follower'!$C$3/SUM(C3206:F3206,H3206:K3206)-'Line Follower'!$C$5)))</f>
        <v>#N/A</v>
      </c>
      <c r="O3206" s="22" t="e">
        <v>#N/A</v>
      </c>
      <c r="P3206" s="4" t="e">
        <f t="shared" si="250"/>
        <v>#N/A</v>
      </c>
      <c r="Q3206" s="4" t="e">
        <f t="shared" si="251"/>
        <v>#N/A</v>
      </c>
      <c r="R3206" s="4" t="e">
        <f>IF(AND(B3206=1,N3206&gt;'Line Follower'!$C$7,SUM(C3206:K3206)&lt;4),1,0)</f>
        <v>#N/A</v>
      </c>
      <c r="S3206" s="4" t="e">
        <f>IF(AND(L3206=1,N3206&lt;'Line Follower'!$C$6,SUM(C3206:K3206)&lt;4),1,0)</f>
        <v>#N/A</v>
      </c>
      <c r="T3206" s="4" t="e">
        <f t="shared" si="252"/>
        <v>#N/A</v>
      </c>
      <c r="U3206" s="5" t="e">
        <f t="shared" si="253"/>
        <v>#N/A</v>
      </c>
      <c r="V3206" s="23" t="e">
        <f t="shared" si="254"/>
        <v>#N/A</v>
      </c>
    </row>
    <row r="3207" spans="2:22" x14ac:dyDescent="0.25">
      <c r="B3207" s="16">
        <v>0</v>
      </c>
      <c r="C3207" s="7">
        <v>0</v>
      </c>
      <c r="D3207" s="8">
        <v>1</v>
      </c>
      <c r="E3207" s="8">
        <v>0</v>
      </c>
      <c r="F3207" s="8">
        <v>0</v>
      </c>
      <c r="G3207" s="8">
        <v>0</v>
      </c>
      <c r="H3207" s="8">
        <v>0</v>
      </c>
      <c r="I3207" s="8">
        <v>1</v>
      </c>
      <c r="J3207" s="8">
        <v>0</v>
      </c>
      <c r="K3207" s="9">
        <v>0</v>
      </c>
      <c r="L3207" s="10">
        <v>1</v>
      </c>
      <c r="M3207" s="6">
        <v>1</v>
      </c>
      <c r="N3207" s="37" t="e" cm="1">
        <f t="array" ref="N3207">IF(OR(ISNUMBER(FIND(Aux!$D$3:$D$9,_xlfn.TEXTJOIN(,,C3207:K3207)))),NA(),IF(AND(SUM(C3207:F3207,H3207:K3207)=0,G3207=1),0,INT((SUMPRODUCT(C3207:F3207,COLUMN($A$1:$D$1)-1)+SUMPRODUCT(H3207:K3207,COLUMN($E$1:$H$1)-1))*'Line Follower'!$C$3/SUM(C3207:F3207,H3207:K3207)-'Line Follower'!$C$5)))</f>
        <v>#N/A</v>
      </c>
      <c r="O3207" s="22" t="e">
        <v>#N/A</v>
      </c>
      <c r="P3207" s="4" t="e">
        <f t="shared" si="250"/>
        <v>#N/A</v>
      </c>
      <c r="Q3207" s="4" t="e">
        <f t="shared" si="251"/>
        <v>#N/A</v>
      </c>
      <c r="R3207" s="4" t="e">
        <f>IF(AND(B3207=1,N3207&gt;'Line Follower'!$C$7,SUM(C3207:K3207)&lt;4),1,0)</f>
        <v>#N/A</v>
      </c>
      <c r="S3207" s="4" t="e">
        <f>IF(AND(L3207=1,N3207&lt;'Line Follower'!$C$6,SUM(C3207:K3207)&lt;4),1,0)</f>
        <v>#N/A</v>
      </c>
      <c r="T3207" s="4" t="e">
        <f t="shared" si="252"/>
        <v>#N/A</v>
      </c>
      <c r="U3207" s="5" t="e">
        <f t="shared" si="253"/>
        <v>#N/A</v>
      </c>
      <c r="V3207" s="23" t="e">
        <f t="shared" si="254"/>
        <v>#N/A</v>
      </c>
    </row>
    <row r="3208" spans="2:22" x14ac:dyDescent="0.25">
      <c r="B3208" s="16">
        <v>1</v>
      </c>
      <c r="C3208" s="7">
        <v>0</v>
      </c>
      <c r="D3208" s="8">
        <v>1</v>
      </c>
      <c r="E3208" s="8">
        <v>0</v>
      </c>
      <c r="F3208" s="8">
        <v>0</v>
      </c>
      <c r="G3208" s="8">
        <v>0</v>
      </c>
      <c r="H3208" s="8">
        <v>0</v>
      </c>
      <c r="I3208" s="8">
        <v>1</v>
      </c>
      <c r="J3208" s="8">
        <v>0</v>
      </c>
      <c r="K3208" s="9">
        <v>0</v>
      </c>
      <c r="L3208" s="10">
        <v>1</v>
      </c>
      <c r="M3208" s="6">
        <v>1</v>
      </c>
      <c r="N3208" s="37" t="e" cm="1">
        <f t="array" ref="N3208">IF(OR(ISNUMBER(FIND(Aux!$D$3:$D$9,_xlfn.TEXTJOIN(,,C3208:K3208)))),NA(),IF(AND(SUM(C3208:F3208,H3208:K3208)=0,G3208=1),0,INT((SUMPRODUCT(C3208:F3208,COLUMN($A$1:$D$1)-1)+SUMPRODUCT(H3208:K3208,COLUMN($E$1:$H$1)-1))*'Line Follower'!$C$3/SUM(C3208:F3208,H3208:K3208)-'Line Follower'!$C$5)))</f>
        <v>#N/A</v>
      </c>
      <c r="O3208" s="22" t="e">
        <v>#N/A</v>
      </c>
      <c r="P3208" s="4" t="e">
        <f t="shared" si="250"/>
        <v>#N/A</v>
      </c>
      <c r="Q3208" s="4" t="e">
        <f t="shared" si="251"/>
        <v>#N/A</v>
      </c>
      <c r="R3208" s="4" t="e">
        <f>IF(AND(B3208=1,N3208&gt;'Line Follower'!$C$7,SUM(C3208:K3208)&lt;4),1,0)</f>
        <v>#N/A</v>
      </c>
      <c r="S3208" s="4" t="e">
        <f>IF(AND(L3208=1,N3208&lt;'Line Follower'!$C$6,SUM(C3208:K3208)&lt;4),1,0)</f>
        <v>#N/A</v>
      </c>
      <c r="T3208" s="4" t="e">
        <f t="shared" si="252"/>
        <v>#N/A</v>
      </c>
      <c r="U3208" s="5" t="e">
        <f t="shared" si="253"/>
        <v>#N/A</v>
      </c>
      <c r="V3208" s="23" t="e">
        <f t="shared" si="254"/>
        <v>#N/A</v>
      </c>
    </row>
    <row r="3209" spans="2:22" x14ac:dyDescent="0.25">
      <c r="B3209" s="16">
        <v>0</v>
      </c>
      <c r="C3209" s="7">
        <v>1</v>
      </c>
      <c r="D3209" s="8">
        <v>1</v>
      </c>
      <c r="E3209" s="8">
        <v>0</v>
      </c>
      <c r="F3209" s="8">
        <v>0</v>
      </c>
      <c r="G3209" s="8">
        <v>0</v>
      </c>
      <c r="H3209" s="8">
        <v>0</v>
      </c>
      <c r="I3209" s="8">
        <v>1</v>
      </c>
      <c r="J3209" s="8">
        <v>0</v>
      </c>
      <c r="K3209" s="9">
        <v>0</v>
      </c>
      <c r="L3209" s="10">
        <v>1</v>
      </c>
      <c r="M3209" s="6">
        <v>1</v>
      </c>
      <c r="N3209" s="37" t="e" cm="1">
        <f t="array" ref="N3209">IF(OR(ISNUMBER(FIND(Aux!$D$3:$D$9,_xlfn.TEXTJOIN(,,C3209:K3209)))),NA(),IF(AND(SUM(C3209:F3209,H3209:K3209)=0,G3209=1),0,INT((SUMPRODUCT(C3209:F3209,COLUMN($A$1:$D$1)-1)+SUMPRODUCT(H3209:K3209,COLUMN($E$1:$H$1)-1))*'Line Follower'!$C$3/SUM(C3209:F3209,H3209:K3209)-'Line Follower'!$C$5)))</f>
        <v>#N/A</v>
      </c>
      <c r="O3209" s="22" t="e">
        <v>#N/A</v>
      </c>
      <c r="P3209" s="4" t="e">
        <f t="shared" si="250"/>
        <v>#N/A</v>
      </c>
      <c r="Q3209" s="4" t="e">
        <f t="shared" si="251"/>
        <v>#N/A</v>
      </c>
      <c r="R3209" s="4" t="e">
        <f>IF(AND(B3209=1,N3209&gt;'Line Follower'!$C$7,SUM(C3209:K3209)&lt;4),1,0)</f>
        <v>#N/A</v>
      </c>
      <c r="S3209" s="4" t="e">
        <f>IF(AND(L3209=1,N3209&lt;'Line Follower'!$C$6,SUM(C3209:K3209)&lt;4),1,0)</f>
        <v>#N/A</v>
      </c>
      <c r="T3209" s="4" t="e">
        <f t="shared" si="252"/>
        <v>#N/A</v>
      </c>
      <c r="U3209" s="5" t="e">
        <f t="shared" si="253"/>
        <v>#N/A</v>
      </c>
      <c r="V3209" s="23" t="e">
        <f t="shared" si="254"/>
        <v>#N/A</v>
      </c>
    </row>
    <row r="3210" spans="2:22" x14ac:dyDescent="0.25">
      <c r="B3210" s="16">
        <v>1</v>
      </c>
      <c r="C3210" s="7">
        <v>1</v>
      </c>
      <c r="D3210" s="8">
        <v>1</v>
      </c>
      <c r="E3210" s="8">
        <v>0</v>
      </c>
      <c r="F3210" s="8">
        <v>0</v>
      </c>
      <c r="G3210" s="8">
        <v>0</v>
      </c>
      <c r="H3210" s="8">
        <v>0</v>
      </c>
      <c r="I3210" s="8">
        <v>1</v>
      </c>
      <c r="J3210" s="8">
        <v>0</v>
      </c>
      <c r="K3210" s="9">
        <v>0</v>
      </c>
      <c r="L3210" s="10">
        <v>1</v>
      </c>
      <c r="M3210" s="6">
        <v>1</v>
      </c>
      <c r="N3210" s="37" t="e" cm="1">
        <f t="array" ref="N3210">IF(OR(ISNUMBER(FIND(Aux!$D$3:$D$9,_xlfn.TEXTJOIN(,,C3210:K3210)))),NA(),IF(AND(SUM(C3210:F3210,H3210:K3210)=0,G3210=1),0,INT((SUMPRODUCT(C3210:F3210,COLUMN($A$1:$D$1)-1)+SUMPRODUCT(H3210:K3210,COLUMN($E$1:$H$1)-1))*'Line Follower'!$C$3/SUM(C3210:F3210,H3210:K3210)-'Line Follower'!$C$5)))</f>
        <v>#N/A</v>
      </c>
      <c r="O3210" s="22" t="e">
        <v>#N/A</v>
      </c>
      <c r="P3210" s="4" t="e">
        <f t="shared" si="250"/>
        <v>#N/A</v>
      </c>
      <c r="Q3210" s="4" t="e">
        <f t="shared" si="251"/>
        <v>#N/A</v>
      </c>
      <c r="R3210" s="4" t="e">
        <f>IF(AND(B3210=1,N3210&gt;'Line Follower'!$C$7,SUM(C3210:K3210)&lt;4),1,0)</f>
        <v>#N/A</v>
      </c>
      <c r="S3210" s="4" t="e">
        <f>IF(AND(L3210=1,N3210&lt;'Line Follower'!$C$6,SUM(C3210:K3210)&lt;4),1,0)</f>
        <v>#N/A</v>
      </c>
      <c r="T3210" s="4" t="e">
        <f t="shared" si="252"/>
        <v>#N/A</v>
      </c>
      <c r="U3210" s="5" t="e">
        <f t="shared" si="253"/>
        <v>#N/A</v>
      </c>
      <c r="V3210" s="23" t="e">
        <f t="shared" si="254"/>
        <v>#N/A</v>
      </c>
    </row>
    <row r="3211" spans="2:22" x14ac:dyDescent="0.25">
      <c r="B3211" s="16">
        <v>0</v>
      </c>
      <c r="C3211" s="7">
        <v>0</v>
      </c>
      <c r="D3211" s="8">
        <v>0</v>
      </c>
      <c r="E3211" s="8">
        <v>1</v>
      </c>
      <c r="F3211" s="8">
        <v>0</v>
      </c>
      <c r="G3211" s="8">
        <v>0</v>
      </c>
      <c r="H3211" s="8">
        <v>0</v>
      </c>
      <c r="I3211" s="8">
        <v>1</v>
      </c>
      <c r="J3211" s="8">
        <v>0</v>
      </c>
      <c r="K3211" s="9">
        <v>0</v>
      </c>
      <c r="L3211" s="10">
        <v>1</v>
      </c>
      <c r="M3211" s="6">
        <v>1</v>
      </c>
      <c r="N3211" s="37" t="e" cm="1">
        <f t="array" ref="N3211">IF(OR(ISNUMBER(FIND(Aux!$D$3:$D$9,_xlfn.TEXTJOIN(,,C3211:K3211)))),NA(),IF(AND(SUM(C3211:F3211,H3211:K3211)=0,G3211=1),0,INT((SUMPRODUCT(C3211:F3211,COLUMN($A$1:$D$1)-1)+SUMPRODUCT(H3211:K3211,COLUMN($E$1:$H$1)-1))*'Line Follower'!$C$3/SUM(C3211:F3211,H3211:K3211)-'Line Follower'!$C$5)))</f>
        <v>#N/A</v>
      </c>
      <c r="O3211" s="22" t="e">
        <v>#N/A</v>
      </c>
      <c r="P3211" s="4" t="e">
        <f t="shared" si="250"/>
        <v>#N/A</v>
      </c>
      <c r="Q3211" s="4" t="e">
        <f t="shared" si="251"/>
        <v>#N/A</v>
      </c>
      <c r="R3211" s="4" t="e">
        <f>IF(AND(B3211=1,N3211&gt;'Line Follower'!$C$7,SUM(C3211:K3211)&lt;4),1,0)</f>
        <v>#N/A</v>
      </c>
      <c r="S3211" s="4" t="e">
        <f>IF(AND(L3211=1,N3211&lt;'Line Follower'!$C$6,SUM(C3211:K3211)&lt;4),1,0)</f>
        <v>#N/A</v>
      </c>
      <c r="T3211" s="4" t="e">
        <f t="shared" si="252"/>
        <v>#N/A</v>
      </c>
      <c r="U3211" s="5" t="e">
        <f t="shared" si="253"/>
        <v>#N/A</v>
      </c>
      <c r="V3211" s="23" t="e">
        <f t="shared" si="254"/>
        <v>#N/A</v>
      </c>
    </row>
    <row r="3212" spans="2:22" x14ac:dyDescent="0.25">
      <c r="B3212" s="16">
        <v>1</v>
      </c>
      <c r="C3212" s="7">
        <v>0</v>
      </c>
      <c r="D3212" s="8">
        <v>0</v>
      </c>
      <c r="E3212" s="8">
        <v>1</v>
      </c>
      <c r="F3212" s="8">
        <v>0</v>
      </c>
      <c r="G3212" s="8">
        <v>0</v>
      </c>
      <c r="H3212" s="8">
        <v>0</v>
      </c>
      <c r="I3212" s="8">
        <v>1</v>
      </c>
      <c r="J3212" s="8">
        <v>0</v>
      </c>
      <c r="K3212" s="9">
        <v>0</v>
      </c>
      <c r="L3212" s="10">
        <v>1</v>
      </c>
      <c r="M3212" s="6">
        <v>1</v>
      </c>
      <c r="N3212" s="37" t="e" cm="1">
        <f t="array" ref="N3212">IF(OR(ISNUMBER(FIND(Aux!$D$3:$D$9,_xlfn.TEXTJOIN(,,C3212:K3212)))),NA(),IF(AND(SUM(C3212:F3212,H3212:K3212)=0,G3212=1),0,INT((SUMPRODUCT(C3212:F3212,COLUMN($A$1:$D$1)-1)+SUMPRODUCT(H3212:K3212,COLUMN($E$1:$H$1)-1))*'Line Follower'!$C$3/SUM(C3212:F3212,H3212:K3212)-'Line Follower'!$C$5)))</f>
        <v>#N/A</v>
      </c>
      <c r="O3212" s="22" t="e">
        <v>#N/A</v>
      </c>
      <c r="P3212" s="4" t="e">
        <f t="shared" si="250"/>
        <v>#N/A</v>
      </c>
      <c r="Q3212" s="4" t="e">
        <f t="shared" si="251"/>
        <v>#N/A</v>
      </c>
      <c r="R3212" s="4" t="e">
        <f>IF(AND(B3212=1,N3212&gt;'Line Follower'!$C$7,SUM(C3212:K3212)&lt;4),1,0)</f>
        <v>#N/A</v>
      </c>
      <c r="S3212" s="4" t="e">
        <f>IF(AND(L3212=1,N3212&lt;'Line Follower'!$C$6,SUM(C3212:K3212)&lt;4),1,0)</f>
        <v>#N/A</v>
      </c>
      <c r="T3212" s="4" t="e">
        <f t="shared" si="252"/>
        <v>#N/A</v>
      </c>
      <c r="U3212" s="5" t="e">
        <f t="shared" si="253"/>
        <v>#N/A</v>
      </c>
      <c r="V3212" s="23" t="e">
        <f t="shared" si="254"/>
        <v>#N/A</v>
      </c>
    </row>
    <row r="3213" spans="2:22" x14ac:dyDescent="0.25">
      <c r="B3213" s="16">
        <v>0</v>
      </c>
      <c r="C3213" s="7">
        <v>1</v>
      </c>
      <c r="D3213" s="8">
        <v>0</v>
      </c>
      <c r="E3213" s="8">
        <v>1</v>
      </c>
      <c r="F3213" s="8">
        <v>0</v>
      </c>
      <c r="G3213" s="8">
        <v>0</v>
      </c>
      <c r="H3213" s="8">
        <v>0</v>
      </c>
      <c r="I3213" s="8">
        <v>1</v>
      </c>
      <c r="J3213" s="8">
        <v>0</v>
      </c>
      <c r="K3213" s="9">
        <v>0</v>
      </c>
      <c r="L3213" s="10">
        <v>1</v>
      </c>
      <c r="M3213" s="6">
        <v>1</v>
      </c>
      <c r="N3213" s="37" t="e" cm="1">
        <f t="array" ref="N3213">IF(OR(ISNUMBER(FIND(Aux!$D$3:$D$9,_xlfn.TEXTJOIN(,,C3213:K3213)))),NA(),IF(AND(SUM(C3213:F3213,H3213:K3213)=0,G3213=1),0,INT((SUMPRODUCT(C3213:F3213,COLUMN($A$1:$D$1)-1)+SUMPRODUCT(H3213:K3213,COLUMN($E$1:$H$1)-1))*'Line Follower'!$C$3/SUM(C3213:F3213,H3213:K3213)-'Line Follower'!$C$5)))</f>
        <v>#N/A</v>
      </c>
      <c r="O3213" s="22" t="e">
        <v>#N/A</v>
      </c>
      <c r="P3213" s="4" t="e">
        <f t="shared" si="250"/>
        <v>#N/A</v>
      </c>
      <c r="Q3213" s="4" t="e">
        <f t="shared" si="251"/>
        <v>#N/A</v>
      </c>
      <c r="R3213" s="4" t="e">
        <f>IF(AND(B3213=1,N3213&gt;'Line Follower'!$C$7,SUM(C3213:K3213)&lt;4),1,0)</f>
        <v>#N/A</v>
      </c>
      <c r="S3213" s="4" t="e">
        <f>IF(AND(L3213=1,N3213&lt;'Line Follower'!$C$6,SUM(C3213:K3213)&lt;4),1,0)</f>
        <v>#N/A</v>
      </c>
      <c r="T3213" s="4" t="e">
        <f t="shared" si="252"/>
        <v>#N/A</v>
      </c>
      <c r="U3213" s="5" t="e">
        <f t="shared" si="253"/>
        <v>#N/A</v>
      </c>
      <c r="V3213" s="23" t="e">
        <f t="shared" si="254"/>
        <v>#N/A</v>
      </c>
    </row>
    <row r="3214" spans="2:22" x14ac:dyDescent="0.25">
      <c r="B3214" s="16">
        <v>1</v>
      </c>
      <c r="C3214" s="7">
        <v>1</v>
      </c>
      <c r="D3214" s="8">
        <v>0</v>
      </c>
      <c r="E3214" s="8">
        <v>1</v>
      </c>
      <c r="F3214" s="8">
        <v>0</v>
      </c>
      <c r="G3214" s="8">
        <v>0</v>
      </c>
      <c r="H3214" s="8">
        <v>0</v>
      </c>
      <c r="I3214" s="8">
        <v>1</v>
      </c>
      <c r="J3214" s="8">
        <v>0</v>
      </c>
      <c r="K3214" s="9">
        <v>0</v>
      </c>
      <c r="L3214" s="10">
        <v>1</v>
      </c>
      <c r="M3214" s="6">
        <v>1</v>
      </c>
      <c r="N3214" s="37" t="e" cm="1">
        <f t="array" ref="N3214">IF(OR(ISNUMBER(FIND(Aux!$D$3:$D$9,_xlfn.TEXTJOIN(,,C3214:K3214)))),NA(),IF(AND(SUM(C3214:F3214,H3214:K3214)=0,G3214=1),0,INT((SUMPRODUCT(C3214:F3214,COLUMN($A$1:$D$1)-1)+SUMPRODUCT(H3214:K3214,COLUMN($E$1:$H$1)-1))*'Line Follower'!$C$3/SUM(C3214:F3214,H3214:K3214)-'Line Follower'!$C$5)))</f>
        <v>#N/A</v>
      </c>
      <c r="O3214" s="22" t="e">
        <v>#N/A</v>
      </c>
      <c r="P3214" s="4" t="e">
        <f t="shared" si="250"/>
        <v>#N/A</v>
      </c>
      <c r="Q3214" s="4" t="e">
        <f t="shared" si="251"/>
        <v>#N/A</v>
      </c>
      <c r="R3214" s="4" t="e">
        <f>IF(AND(B3214=1,N3214&gt;'Line Follower'!$C$7,SUM(C3214:K3214)&lt;4),1,0)</f>
        <v>#N/A</v>
      </c>
      <c r="S3214" s="4" t="e">
        <f>IF(AND(L3214=1,N3214&lt;'Line Follower'!$C$6,SUM(C3214:K3214)&lt;4),1,0)</f>
        <v>#N/A</v>
      </c>
      <c r="T3214" s="4" t="e">
        <f t="shared" si="252"/>
        <v>#N/A</v>
      </c>
      <c r="U3214" s="5" t="e">
        <f t="shared" si="253"/>
        <v>#N/A</v>
      </c>
      <c r="V3214" s="23" t="e">
        <f t="shared" si="254"/>
        <v>#N/A</v>
      </c>
    </row>
    <row r="3215" spans="2:22" x14ac:dyDescent="0.25">
      <c r="B3215" s="16">
        <v>0</v>
      </c>
      <c r="C3215" s="7">
        <v>0</v>
      </c>
      <c r="D3215" s="8">
        <v>1</v>
      </c>
      <c r="E3215" s="8">
        <v>1</v>
      </c>
      <c r="F3215" s="8">
        <v>0</v>
      </c>
      <c r="G3215" s="8">
        <v>0</v>
      </c>
      <c r="H3215" s="8">
        <v>0</v>
      </c>
      <c r="I3215" s="8">
        <v>1</v>
      </c>
      <c r="J3215" s="8">
        <v>0</v>
      </c>
      <c r="K3215" s="9">
        <v>0</v>
      </c>
      <c r="L3215" s="10">
        <v>1</v>
      </c>
      <c r="M3215" s="6">
        <v>1</v>
      </c>
      <c r="N3215" s="37" t="e" cm="1">
        <f t="array" ref="N3215">IF(OR(ISNUMBER(FIND(Aux!$D$3:$D$9,_xlfn.TEXTJOIN(,,C3215:K3215)))),NA(),IF(AND(SUM(C3215:F3215,H3215:K3215)=0,G3215=1),0,INT((SUMPRODUCT(C3215:F3215,COLUMN($A$1:$D$1)-1)+SUMPRODUCT(H3215:K3215,COLUMN($E$1:$H$1)-1))*'Line Follower'!$C$3/SUM(C3215:F3215,H3215:K3215)-'Line Follower'!$C$5)))</f>
        <v>#N/A</v>
      </c>
      <c r="O3215" s="22" t="e">
        <v>#N/A</v>
      </c>
      <c r="P3215" s="4" t="e">
        <f t="shared" si="250"/>
        <v>#N/A</v>
      </c>
      <c r="Q3215" s="4" t="e">
        <f t="shared" si="251"/>
        <v>#N/A</v>
      </c>
      <c r="R3215" s="4" t="e">
        <f>IF(AND(B3215=1,N3215&gt;'Line Follower'!$C$7,SUM(C3215:K3215)&lt;4),1,0)</f>
        <v>#N/A</v>
      </c>
      <c r="S3215" s="4" t="e">
        <f>IF(AND(L3215=1,N3215&lt;'Line Follower'!$C$6,SUM(C3215:K3215)&lt;4),1,0)</f>
        <v>#N/A</v>
      </c>
      <c r="T3215" s="4" t="e">
        <f t="shared" si="252"/>
        <v>#N/A</v>
      </c>
      <c r="U3215" s="5" t="e">
        <f t="shared" si="253"/>
        <v>#N/A</v>
      </c>
      <c r="V3215" s="23" t="e">
        <f t="shared" si="254"/>
        <v>#N/A</v>
      </c>
    </row>
    <row r="3216" spans="2:22" x14ac:dyDescent="0.25">
      <c r="B3216" s="16">
        <v>1</v>
      </c>
      <c r="C3216" s="7">
        <v>0</v>
      </c>
      <c r="D3216" s="8">
        <v>1</v>
      </c>
      <c r="E3216" s="8">
        <v>1</v>
      </c>
      <c r="F3216" s="8">
        <v>0</v>
      </c>
      <c r="G3216" s="8">
        <v>0</v>
      </c>
      <c r="H3216" s="8">
        <v>0</v>
      </c>
      <c r="I3216" s="8">
        <v>1</v>
      </c>
      <c r="J3216" s="8">
        <v>0</v>
      </c>
      <c r="K3216" s="9">
        <v>0</v>
      </c>
      <c r="L3216" s="10">
        <v>1</v>
      </c>
      <c r="M3216" s="6">
        <v>1</v>
      </c>
      <c r="N3216" s="37" t="e" cm="1">
        <f t="array" ref="N3216">IF(OR(ISNUMBER(FIND(Aux!$D$3:$D$9,_xlfn.TEXTJOIN(,,C3216:K3216)))),NA(),IF(AND(SUM(C3216:F3216,H3216:K3216)=0,G3216=1),0,INT((SUMPRODUCT(C3216:F3216,COLUMN($A$1:$D$1)-1)+SUMPRODUCT(H3216:K3216,COLUMN($E$1:$H$1)-1))*'Line Follower'!$C$3/SUM(C3216:F3216,H3216:K3216)-'Line Follower'!$C$5)))</f>
        <v>#N/A</v>
      </c>
      <c r="O3216" s="22" t="e">
        <v>#N/A</v>
      </c>
      <c r="P3216" s="4" t="e">
        <f t="shared" si="250"/>
        <v>#N/A</v>
      </c>
      <c r="Q3216" s="4" t="e">
        <f t="shared" si="251"/>
        <v>#N/A</v>
      </c>
      <c r="R3216" s="4" t="e">
        <f>IF(AND(B3216=1,N3216&gt;'Line Follower'!$C$7,SUM(C3216:K3216)&lt;4),1,0)</f>
        <v>#N/A</v>
      </c>
      <c r="S3216" s="4" t="e">
        <f>IF(AND(L3216=1,N3216&lt;'Line Follower'!$C$6,SUM(C3216:K3216)&lt;4),1,0)</f>
        <v>#N/A</v>
      </c>
      <c r="T3216" s="4" t="e">
        <f t="shared" si="252"/>
        <v>#N/A</v>
      </c>
      <c r="U3216" s="5" t="e">
        <f t="shared" si="253"/>
        <v>#N/A</v>
      </c>
      <c r="V3216" s="23" t="e">
        <f t="shared" si="254"/>
        <v>#N/A</v>
      </c>
    </row>
    <row r="3217" spans="2:22" x14ac:dyDescent="0.25">
      <c r="B3217" s="16">
        <v>0</v>
      </c>
      <c r="C3217" s="7">
        <v>1</v>
      </c>
      <c r="D3217" s="8">
        <v>1</v>
      </c>
      <c r="E3217" s="8">
        <v>1</v>
      </c>
      <c r="F3217" s="8">
        <v>0</v>
      </c>
      <c r="G3217" s="8">
        <v>0</v>
      </c>
      <c r="H3217" s="8">
        <v>0</v>
      </c>
      <c r="I3217" s="8">
        <v>1</v>
      </c>
      <c r="J3217" s="8">
        <v>0</v>
      </c>
      <c r="K3217" s="9">
        <v>0</v>
      </c>
      <c r="L3217" s="10">
        <v>1</v>
      </c>
      <c r="M3217" s="6">
        <v>1</v>
      </c>
      <c r="N3217" s="37" t="e" cm="1">
        <f t="array" ref="N3217">IF(OR(ISNUMBER(FIND(Aux!$D$3:$D$9,_xlfn.TEXTJOIN(,,C3217:K3217)))),NA(),IF(AND(SUM(C3217:F3217,H3217:K3217)=0,G3217=1),0,INT((SUMPRODUCT(C3217:F3217,COLUMN($A$1:$D$1)-1)+SUMPRODUCT(H3217:K3217,COLUMN($E$1:$H$1)-1))*'Line Follower'!$C$3/SUM(C3217:F3217,H3217:K3217)-'Line Follower'!$C$5)))</f>
        <v>#N/A</v>
      </c>
      <c r="O3217" s="22" t="e">
        <v>#N/A</v>
      </c>
      <c r="P3217" s="4" t="e">
        <f t="shared" si="250"/>
        <v>#N/A</v>
      </c>
      <c r="Q3217" s="4" t="e">
        <f t="shared" si="251"/>
        <v>#N/A</v>
      </c>
      <c r="R3217" s="4" t="e">
        <f>IF(AND(B3217=1,N3217&gt;'Line Follower'!$C$7,SUM(C3217:K3217)&lt;4),1,0)</f>
        <v>#N/A</v>
      </c>
      <c r="S3217" s="4" t="e">
        <f>IF(AND(L3217=1,N3217&lt;'Line Follower'!$C$6,SUM(C3217:K3217)&lt;4),1,0)</f>
        <v>#N/A</v>
      </c>
      <c r="T3217" s="4" t="e">
        <f t="shared" si="252"/>
        <v>#N/A</v>
      </c>
      <c r="U3217" s="5" t="e">
        <f t="shared" si="253"/>
        <v>#N/A</v>
      </c>
      <c r="V3217" s="23" t="e">
        <f t="shared" si="254"/>
        <v>#N/A</v>
      </c>
    </row>
    <row r="3218" spans="2:22" x14ac:dyDescent="0.25">
      <c r="B3218" s="16">
        <v>1</v>
      </c>
      <c r="C3218" s="7">
        <v>1</v>
      </c>
      <c r="D3218" s="8">
        <v>1</v>
      </c>
      <c r="E3218" s="8">
        <v>1</v>
      </c>
      <c r="F3218" s="8">
        <v>0</v>
      </c>
      <c r="G3218" s="8">
        <v>0</v>
      </c>
      <c r="H3218" s="8">
        <v>0</v>
      </c>
      <c r="I3218" s="8">
        <v>1</v>
      </c>
      <c r="J3218" s="8">
        <v>0</v>
      </c>
      <c r="K3218" s="9">
        <v>0</v>
      </c>
      <c r="L3218" s="10">
        <v>1</v>
      </c>
      <c r="M3218" s="6">
        <v>1</v>
      </c>
      <c r="N3218" s="37" t="e" cm="1">
        <f t="array" ref="N3218">IF(OR(ISNUMBER(FIND(Aux!$D$3:$D$9,_xlfn.TEXTJOIN(,,C3218:K3218)))),NA(),IF(AND(SUM(C3218:F3218,H3218:K3218)=0,G3218=1),0,INT((SUMPRODUCT(C3218:F3218,COLUMN($A$1:$D$1)-1)+SUMPRODUCT(H3218:K3218,COLUMN($E$1:$H$1)-1))*'Line Follower'!$C$3/SUM(C3218:F3218,H3218:K3218)-'Line Follower'!$C$5)))</f>
        <v>#N/A</v>
      </c>
      <c r="O3218" s="22" t="e">
        <v>#N/A</v>
      </c>
      <c r="P3218" s="4" t="e">
        <f t="shared" si="250"/>
        <v>#N/A</v>
      </c>
      <c r="Q3218" s="4" t="e">
        <f t="shared" si="251"/>
        <v>#N/A</v>
      </c>
      <c r="R3218" s="4" t="e">
        <f>IF(AND(B3218=1,N3218&gt;'Line Follower'!$C$7,SUM(C3218:K3218)&lt;4),1,0)</f>
        <v>#N/A</v>
      </c>
      <c r="S3218" s="4" t="e">
        <f>IF(AND(L3218=1,N3218&lt;'Line Follower'!$C$6,SUM(C3218:K3218)&lt;4),1,0)</f>
        <v>#N/A</v>
      </c>
      <c r="T3218" s="4" t="e">
        <f t="shared" si="252"/>
        <v>#N/A</v>
      </c>
      <c r="U3218" s="5" t="e">
        <f t="shared" si="253"/>
        <v>#N/A</v>
      </c>
      <c r="V3218" s="23" t="e">
        <f t="shared" si="254"/>
        <v>#N/A</v>
      </c>
    </row>
    <row r="3219" spans="2:22" x14ac:dyDescent="0.25">
      <c r="B3219" s="16">
        <v>0</v>
      </c>
      <c r="C3219" s="7">
        <v>0</v>
      </c>
      <c r="D3219" s="8">
        <v>0</v>
      </c>
      <c r="E3219" s="8">
        <v>0</v>
      </c>
      <c r="F3219" s="8">
        <v>1</v>
      </c>
      <c r="G3219" s="8">
        <v>0</v>
      </c>
      <c r="H3219" s="8">
        <v>0</v>
      </c>
      <c r="I3219" s="8">
        <v>1</v>
      </c>
      <c r="J3219" s="8">
        <v>0</v>
      </c>
      <c r="K3219" s="9">
        <v>0</v>
      </c>
      <c r="L3219" s="10">
        <v>1</v>
      </c>
      <c r="M3219" s="6">
        <v>1</v>
      </c>
      <c r="N3219" s="37" t="e" cm="1">
        <f t="array" ref="N3219">IF(OR(ISNUMBER(FIND(Aux!$D$3:$D$9,_xlfn.TEXTJOIN(,,C3219:K3219)))),NA(),IF(AND(SUM(C3219:F3219,H3219:K3219)=0,G3219=1),0,INT((SUMPRODUCT(C3219:F3219,COLUMN($A$1:$D$1)-1)+SUMPRODUCT(H3219:K3219,COLUMN($E$1:$H$1)-1))*'Line Follower'!$C$3/SUM(C3219:F3219,H3219:K3219)-'Line Follower'!$C$5)))</f>
        <v>#N/A</v>
      </c>
      <c r="O3219" s="22" t="e">
        <v>#N/A</v>
      </c>
      <c r="P3219" s="4" t="e">
        <f t="shared" si="250"/>
        <v>#N/A</v>
      </c>
      <c r="Q3219" s="4" t="e">
        <f t="shared" si="251"/>
        <v>#N/A</v>
      </c>
      <c r="R3219" s="4" t="e">
        <f>IF(AND(B3219=1,N3219&gt;'Line Follower'!$C$7,SUM(C3219:K3219)&lt;4),1,0)</f>
        <v>#N/A</v>
      </c>
      <c r="S3219" s="4" t="e">
        <f>IF(AND(L3219=1,N3219&lt;'Line Follower'!$C$6,SUM(C3219:K3219)&lt;4),1,0)</f>
        <v>#N/A</v>
      </c>
      <c r="T3219" s="4" t="e">
        <f t="shared" si="252"/>
        <v>#N/A</v>
      </c>
      <c r="U3219" s="5" t="e">
        <f t="shared" si="253"/>
        <v>#N/A</v>
      </c>
      <c r="V3219" s="23" t="e">
        <f t="shared" si="254"/>
        <v>#N/A</v>
      </c>
    </row>
    <row r="3220" spans="2:22" x14ac:dyDescent="0.25">
      <c r="B3220" s="16">
        <v>1</v>
      </c>
      <c r="C3220" s="7">
        <v>0</v>
      </c>
      <c r="D3220" s="8">
        <v>0</v>
      </c>
      <c r="E3220" s="8">
        <v>0</v>
      </c>
      <c r="F3220" s="8">
        <v>1</v>
      </c>
      <c r="G3220" s="8">
        <v>0</v>
      </c>
      <c r="H3220" s="8">
        <v>0</v>
      </c>
      <c r="I3220" s="8">
        <v>1</v>
      </c>
      <c r="J3220" s="8">
        <v>0</v>
      </c>
      <c r="K3220" s="9">
        <v>0</v>
      </c>
      <c r="L3220" s="10">
        <v>1</v>
      </c>
      <c r="M3220" s="6">
        <v>1</v>
      </c>
      <c r="N3220" s="37" t="e" cm="1">
        <f t="array" ref="N3220">IF(OR(ISNUMBER(FIND(Aux!$D$3:$D$9,_xlfn.TEXTJOIN(,,C3220:K3220)))),NA(),IF(AND(SUM(C3220:F3220,H3220:K3220)=0,G3220=1),0,INT((SUMPRODUCT(C3220:F3220,COLUMN($A$1:$D$1)-1)+SUMPRODUCT(H3220:K3220,COLUMN($E$1:$H$1)-1))*'Line Follower'!$C$3/SUM(C3220:F3220,H3220:K3220)-'Line Follower'!$C$5)))</f>
        <v>#N/A</v>
      </c>
      <c r="O3220" s="22" t="e">
        <v>#N/A</v>
      </c>
      <c r="P3220" s="4" t="e">
        <f t="shared" si="250"/>
        <v>#N/A</v>
      </c>
      <c r="Q3220" s="4" t="e">
        <f t="shared" si="251"/>
        <v>#N/A</v>
      </c>
      <c r="R3220" s="4" t="e">
        <f>IF(AND(B3220=1,N3220&gt;'Line Follower'!$C$7,SUM(C3220:K3220)&lt;4),1,0)</f>
        <v>#N/A</v>
      </c>
      <c r="S3220" s="4" t="e">
        <f>IF(AND(L3220=1,N3220&lt;'Line Follower'!$C$6,SUM(C3220:K3220)&lt;4),1,0)</f>
        <v>#N/A</v>
      </c>
      <c r="T3220" s="4" t="e">
        <f t="shared" si="252"/>
        <v>#N/A</v>
      </c>
      <c r="U3220" s="5" t="e">
        <f t="shared" si="253"/>
        <v>#N/A</v>
      </c>
      <c r="V3220" s="23" t="e">
        <f t="shared" si="254"/>
        <v>#N/A</v>
      </c>
    </row>
    <row r="3221" spans="2:22" x14ac:dyDescent="0.25">
      <c r="B3221" s="16">
        <v>0</v>
      </c>
      <c r="C3221" s="7">
        <v>1</v>
      </c>
      <c r="D3221" s="8">
        <v>0</v>
      </c>
      <c r="E3221" s="8">
        <v>0</v>
      </c>
      <c r="F3221" s="8">
        <v>1</v>
      </c>
      <c r="G3221" s="8">
        <v>0</v>
      </c>
      <c r="H3221" s="8">
        <v>0</v>
      </c>
      <c r="I3221" s="8">
        <v>1</v>
      </c>
      <c r="J3221" s="8">
        <v>0</v>
      </c>
      <c r="K3221" s="9">
        <v>0</v>
      </c>
      <c r="L3221" s="10">
        <v>1</v>
      </c>
      <c r="M3221" s="6">
        <v>1</v>
      </c>
      <c r="N3221" s="37" t="e" cm="1">
        <f t="array" ref="N3221">IF(OR(ISNUMBER(FIND(Aux!$D$3:$D$9,_xlfn.TEXTJOIN(,,C3221:K3221)))),NA(),IF(AND(SUM(C3221:F3221,H3221:K3221)=0,G3221=1),0,INT((SUMPRODUCT(C3221:F3221,COLUMN($A$1:$D$1)-1)+SUMPRODUCT(H3221:K3221,COLUMN($E$1:$H$1)-1))*'Line Follower'!$C$3/SUM(C3221:F3221,H3221:K3221)-'Line Follower'!$C$5)))</f>
        <v>#N/A</v>
      </c>
      <c r="O3221" s="22" t="e">
        <v>#N/A</v>
      </c>
      <c r="P3221" s="4" t="e">
        <f t="shared" si="250"/>
        <v>#N/A</v>
      </c>
      <c r="Q3221" s="4" t="e">
        <f t="shared" si="251"/>
        <v>#N/A</v>
      </c>
      <c r="R3221" s="4" t="e">
        <f>IF(AND(B3221=1,N3221&gt;'Line Follower'!$C$7,SUM(C3221:K3221)&lt;4),1,0)</f>
        <v>#N/A</v>
      </c>
      <c r="S3221" s="4" t="e">
        <f>IF(AND(L3221=1,N3221&lt;'Line Follower'!$C$6,SUM(C3221:K3221)&lt;4),1,0)</f>
        <v>#N/A</v>
      </c>
      <c r="T3221" s="4" t="e">
        <f t="shared" si="252"/>
        <v>#N/A</v>
      </c>
      <c r="U3221" s="5" t="e">
        <f t="shared" si="253"/>
        <v>#N/A</v>
      </c>
      <c r="V3221" s="23" t="e">
        <f t="shared" si="254"/>
        <v>#N/A</v>
      </c>
    </row>
    <row r="3222" spans="2:22" x14ac:dyDescent="0.25">
      <c r="B3222" s="16">
        <v>1</v>
      </c>
      <c r="C3222" s="7">
        <v>1</v>
      </c>
      <c r="D3222" s="8">
        <v>0</v>
      </c>
      <c r="E3222" s="8">
        <v>0</v>
      </c>
      <c r="F3222" s="8">
        <v>1</v>
      </c>
      <c r="G3222" s="8">
        <v>0</v>
      </c>
      <c r="H3222" s="8">
        <v>0</v>
      </c>
      <c r="I3222" s="8">
        <v>1</v>
      </c>
      <c r="J3222" s="8">
        <v>0</v>
      </c>
      <c r="K3222" s="9">
        <v>0</v>
      </c>
      <c r="L3222" s="10">
        <v>1</v>
      </c>
      <c r="M3222" s="6">
        <v>1</v>
      </c>
      <c r="N3222" s="37" t="e" cm="1">
        <f t="array" ref="N3222">IF(OR(ISNUMBER(FIND(Aux!$D$3:$D$9,_xlfn.TEXTJOIN(,,C3222:K3222)))),NA(),IF(AND(SUM(C3222:F3222,H3222:K3222)=0,G3222=1),0,INT((SUMPRODUCT(C3222:F3222,COLUMN($A$1:$D$1)-1)+SUMPRODUCT(H3222:K3222,COLUMN($E$1:$H$1)-1))*'Line Follower'!$C$3/SUM(C3222:F3222,H3222:K3222)-'Line Follower'!$C$5)))</f>
        <v>#N/A</v>
      </c>
      <c r="O3222" s="22" t="e">
        <v>#N/A</v>
      </c>
      <c r="P3222" s="4" t="e">
        <f t="shared" si="250"/>
        <v>#N/A</v>
      </c>
      <c r="Q3222" s="4" t="e">
        <f t="shared" si="251"/>
        <v>#N/A</v>
      </c>
      <c r="R3222" s="4" t="e">
        <f>IF(AND(B3222=1,N3222&gt;'Line Follower'!$C$7,SUM(C3222:K3222)&lt;4),1,0)</f>
        <v>#N/A</v>
      </c>
      <c r="S3222" s="4" t="e">
        <f>IF(AND(L3222=1,N3222&lt;'Line Follower'!$C$6,SUM(C3222:K3222)&lt;4),1,0)</f>
        <v>#N/A</v>
      </c>
      <c r="T3222" s="4" t="e">
        <f t="shared" si="252"/>
        <v>#N/A</v>
      </c>
      <c r="U3222" s="5" t="e">
        <f t="shared" si="253"/>
        <v>#N/A</v>
      </c>
      <c r="V3222" s="23" t="e">
        <f t="shared" si="254"/>
        <v>#N/A</v>
      </c>
    </row>
    <row r="3223" spans="2:22" x14ac:dyDescent="0.25">
      <c r="B3223" s="16">
        <v>0</v>
      </c>
      <c r="C3223" s="7">
        <v>0</v>
      </c>
      <c r="D3223" s="8">
        <v>1</v>
      </c>
      <c r="E3223" s="8">
        <v>0</v>
      </c>
      <c r="F3223" s="8">
        <v>1</v>
      </c>
      <c r="G3223" s="8">
        <v>0</v>
      </c>
      <c r="H3223" s="8">
        <v>0</v>
      </c>
      <c r="I3223" s="8">
        <v>1</v>
      </c>
      <c r="J3223" s="8">
        <v>0</v>
      </c>
      <c r="K3223" s="9">
        <v>0</v>
      </c>
      <c r="L3223" s="10">
        <v>1</v>
      </c>
      <c r="M3223" s="6">
        <v>1</v>
      </c>
      <c r="N3223" s="37" t="e" cm="1">
        <f t="array" ref="N3223">IF(OR(ISNUMBER(FIND(Aux!$D$3:$D$9,_xlfn.TEXTJOIN(,,C3223:K3223)))),NA(),IF(AND(SUM(C3223:F3223,H3223:K3223)=0,G3223=1),0,INT((SUMPRODUCT(C3223:F3223,COLUMN($A$1:$D$1)-1)+SUMPRODUCT(H3223:K3223,COLUMN($E$1:$H$1)-1))*'Line Follower'!$C$3/SUM(C3223:F3223,H3223:K3223)-'Line Follower'!$C$5)))</f>
        <v>#N/A</v>
      </c>
      <c r="O3223" s="22" t="e">
        <v>#N/A</v>
      </c>
      <c r="P3223" s="4" t="e">
        <f t="shared" si="250"/>
        <v>#N/A</v>
      </c>
      <c r="Q3223" s="4" t="e">
        <f t="shared" si="251"/>
        <v>#N/A</v>
      </c>
      <c r="R3223" s="4" t="e">
        <f>IF(AND(B3223=1,N3223&gt;'Line Follower'!$C$7,SUM(C3223:K3223)&lt;4),1,0)</f>
        <v>#N/A</v>
      </c>
      <c r="S3223" s="4" t="e">
        <f>IF(AND(L3223=1,N3223&lt;'Line Follower'!$C$6,SUM(C3223:K3223)&lt;4),1,0)</f>
        <v>#N/A</v>
      </c>
      <c r="T3223" s="4" t="e">
        <f t="shared" si="252"/>
        <v>#N/A</v>
      </c>
      <c r="U3223" s="5" t="e">
        <f t="shared" si="253"/>
        <v>#N/A</v>
      </c>
      <c r="V3223" s="23" t="e">
        <f t="shared" si="254"/>
        <v>#N/A</v>
      </c>
    </row>
    <row r="3224" spans="2:22" x14ac:dyDescent="0.25">
      <c r="B3224" s="16">
        <v>1</v>
      </c>
      <c r="C3224" s="7">
        <v>0</v>
      </c>
      <c r="D3224" s="8">
        <v>1</v>
      </c>
      <c r="E3224" s="8">
        <v>0</v>
      </c>
      <c r="F3224" s="8">
        <v>1</v>
      </c>
      <c r="G3224" s="8">
        <v>0</v>
      </c>
      <c r="H3224" s="8">
        <v>0</v>
      </c>
      <c r="I3224" s="8">
        <v>1</v>
      </c>
      <c r="J3224" s="8">
        <v>0</v>
      </c>
      <c r="K3224" s="9">
        <v>0</v>
      </c>
      <c r="L3224" s="10">
        <v>1</v>
      </c>
      <c r="M3224" s="6">
        <v>1</v>
      </c>
      <c r="N3224" s="37" t="e" cm="1">
        <f t="array" ref="N3224">IF(OR(ISNUMBER(FIND(Aux!$D$3:$D$9,_xlfn.TEXTJOIN(,,C3224:K3224)))),NA(),IF(AND(SUM(C3224:F3224,H3224:K3224)=0,G3224=1),0,INT((SUMPRODUCT(C3224:F3224,COLUMN($A$1:$D$1)-1)+SUMPRODUCT(H3224:K3224,COLUMN($E$1:$H$1)-1))*'Line Follower'!$C$3/SUM(C3224:F3224,H3224:K3224)-'Line Follower'!$C$5)))</f>
        <v>#N/A</v>
      </c>
      <c r="O3224" s="22" t="e">
        <v>#N/A</v>
      </c>
      <c r="P3224" s="4" t="e">
        <f t="shared" si="250"/>
        <v>#N/A</v>
      </c>
      <c r="Q3224" s="4" t="e">
        <f t="shared" si="251"/>
        <v>#N/A</v>
      </c>
      <c r="R3224" s="4" t="e">
        <f>IF(AND(B3224=1,N3224&gt;'Line Follower'!$C$7,SUM(C3224:K3224)&lt;4),1,0)</f>
        <v>#N/A</v>
      </c>
      <c r="S3224" s="4" t="e">
        <f>IF(AND(L3224=1,N3224&lt;'Line Follower'!$C$6,SUM(C3224:K3224)&lt;4),1,0)</f>
        <v>#N/A</v>
      </c>
      <c r="T3224" s="4" t="e">
        <f t="shared" si="252"/>
        <v>#N/A</v>
      </c>
      <c r="U3224" s="5" t="e">
        <f t="shared" si="253"/>
        <v>#N/A</v>
      </c>
      <c r="V3224" s="23" t="e">
        <f t="shared" si="254"/>
        <v>#N/A</v>
      </c>
    </row>
    <row r="3225" spans="2:22" x14ac:dyDescent="0.25">
      <c r="B3225" s="16">
        <v>0</v>
      </c>
      <c r="C3225" s="7">
        <v>1</v>
      </c>
      <c r="D3225" s="8">
        <v>1</v>
      </c>
      <c r="E3225" s="8">
        <v>0</v>
      </c>
      <c r="F3225" s="8">
        <v>1</v>
      </c>
      <c r="G3225" s="8">
        <v>0</v>
      </c>
      <c r="H3225" s="8">
        <v>0</v>
      </c>
      <c r="I3225" s="8">
        <v>1</v>
      </c>
      <c r="J3225" s="8">
        <v>0</v>
      </c>
      <c r="K3225" s="9">
        <v>0</v>
      </c>
      <c r="L3225" s="10">
        <v>1</v>
      </c>
      <c r="M3225" s="6">
        <v>1</v>
      </c>
      <c r="N3225" s="37" t="e" cm="1">
        <f t="array" ref="N3225">IF(OR(ISNUMBER(FIND(Aux!$D$3:$D$9,_xlfn.TEXTJOIN(,,C3225:K3225)))),NA(),IF(AND(SUM(C3225:F3225,H3225:K3225)=0,G3225=1),0,INT((SUMPRODUCT(C3225:F3225,COLUMN($A$1:$D$1)-1)+SUMPRODUCT(H3225:K3225,COLUMN($E$1:$H$1)-1))*'Line Follower'!$C$3/SUM(C3225:F3225,H3225:K3225)-'Line Follower'!$C$5)))</f>
        <v>#N/A</v>
      </c>
      <c r="O3225" s="22" t="e">
        <v>#N/A</v>
      </c>
      <c r="P3225" s="4" t="e">
        <f t="shared" si="250"/>
        <v>#N/A</v>
      </c>
      <c r="Q3225" s="4" t="e">
        <f t="shared" si="251"/>
        <v>#N/A</v>
      </c>
      <c r="R3225" s="4" t="e">
        <f>IF(AND(B3225=1,N3225&gt;'Line Follower'!$C$7,SUM(C3225:K3225)&lt;4),1,0)</f>
        <v>#N/A</v>
      </c>
      <c r="S3225" s="4" t="e">
        <f>IF(AND(L3225=1,N3225&lt;'Line Follower'!$C$6,SUM(C3225:K3225)&lt;4),1,0)</f>
        <v>#N/A</v>
      </c>
      <c r="T3225" s="4" t="e">
        <f t="shared" si="252"/>
        <v>#N/A</v>
      </c>
      <c r="U3225" s="5" t="e">
        <f t="shared" si="253"/>
        <v>#N/A</v>
      </c>
      <c r="V3225" s="23" t="e">
        <f t="shared" si="254"/>
        <v>#N/A</v>
      </c>
    </row>
    <row r="3226" spans="2:22" x14ac:dyDescent="0.25">
      <c r="B3226" s="16">
        <v>1</v>
      </c>
      <c r="C3226" s="7">
        <v>1</v>
      </c>
      <c r="D3226" s="8">
        <v>1</v>
      </c>
      <c r="E3226" s="8">
        <v>0</v>
      </c>
      <c r="F3226" s="8">
        <v>1</v>
      </c>
      <c r="G3226" s="8">
        <v>0</v>
      </c>
      <c r="H3226" s="8">
        <v>0</v>
      </c>
      <c r="I3226" s="8">
        <v>1</v>
      </c>
      <c r="J3226" s="8">
        <v>0</v>
      </c>
      <c r="K3226" s="9">
        <v>0</v>
      </c>
      <c r="L3226" s="10">
        <v>1</v>
      </c>
      <c r="M3226" s="6">
        <v>1</v>
      </c>
      <c r="N3226" s="37" t="e" cm="1">
        <f t="array" ref="N3226">IF(OR(ISNUMBER(FIND(Aux!$D$3:$D$9,_xlfn.TEXTJOIN(,,C3226:K3226)))),NA(),IF(AND(SUM(C3226:F3226,H3226:K3226)=0,G3226=1),0,INT((SUMPRODUCT(C3226:F3226,COLUMN($A$1:$D$1)-1)+SUMPRODUCT(H3226:K3226,COLUMN($E$1:$H$1)-1))*'Line Follower'!$C$3/SUM(C3226:F3226,H3226:K3226)-'Line Follower'!$C$5)))</f>
        <v>#N/A</v>
      </c>
      <c r="O3226" s="22" t="e">
        <v>#N/A</v>
      </c>
      <c r="P3226" s="4" t="e">
        <f t="shared" si="250"/>
        <v>#N/A</v>
      </c>
      <c r="Q3226" s="4" t="e">
        <f t="shared" si="251"/>
        <v>#N/A</v>
      </c>
      <c r="R3226" s="4" t="e">
        <f>IF(AND(B3226=1,N3226&gt;'Line Follower'!$C$7,SUM(C3226:K3226)&lt;4),1,0)</f>
        <v>#N/A</v>
      </c>
      <c r="S3226" s="4" t="e">
        <f>IF(AND(L3226=1,N3226&lt;'Line Follower'!$C$6,SUM(C3226:K3226)&lt;4),1,0)</f>
        <v>#N/A</v>
      </c>
      <c r="T3226" s="4" t="e">
        <f t="shared" si="252"/>
        <v>#N/A</v>
      </c>
      <c r="U3226" s="5" t="e">
        <f t="shared" si="253"/>
        <v>#N/A</v>
      </c>
      <c r="V3226" s="23" t="e">
        <f t="shared" si="254"/>
        <v>#N/A</v>
      </c>
    </row>
    <row r="3227" spans="2:22" x14ac:dyDescent="0.25">
      <c r="B3227" s="16">
        <v>0</v>
      </c>
      <c r="C3227" s="7">
        <v>0</v>
      </c>
      <c r="D3227" s="8">
        <v>0</v>
      </c>
      <c r="E3227" s="8">
        <v>1</v>
      </c>
      <c r="F3227" s="8">
        <v>1</v>
      </c>
      <c r="G3227" s="8">
        <v>0</v>
      </c>
      <c r="H3227" s="8">
        <v>0</v>
      </c>
      <c r="I3227" s="8">
        <v>1</v>
      </c>
      <c r="J3227" s="8">
        <v>0</v>
      </c>
      <c r="K3227" s="9">
        <v>0</v>
      </c>
      <c r="L3227" s="10">
        <v>1</v>
      </c>
      <c r="M3227" s="6">
        <v>1</v>
      </c>
      <c r="N3227" s="37" t="e" cm="1">
        <f t="array" ref="N3227">IF(OR(ISNUMBER(FIND(Aux!$D$3:$D$9,_xlfn.TEXTJOIN(,,C3227:K3227)))),NA(),IF(AND(SUM(C3227:F3227,H3227:K3227)=0,G3227=1),0,INT((SUMPRODUCT(C3227:F3227,COLUMN($A$1:$D$1)-1)+SUMPRODUCT(H3227:K3227,COLUMN($E$1:$H$1)-1))*'Line Follower'!$C$3/SUM(C3227:F3227,H3227:K3227)-'Line Follower'!$C$5)))</f>
        <v>#N/A</v>
      </c>
      <c r="O3227" s="22" t="e">
        <v>#N/A</v>
      </c>
      <c r="P3227" s="4" t="e">
        <f t="shared" si="250"/>
        <v>#N/A</v>
      </c>
      <c r="Q3227" s="4" t="e">
        <f t="shared" si="251"/>
        <v>#N/A</v>
      </c>
      <c r="R3227" s="4" t="e">
        <f>IF(AND(B3227=1,N3227&gt;'Line Follower'!$C$7,SUM(C3227:K3227)&lt;4),1,0)</f>
        <v>#N/A</v>
      </c>
      <c r="S3227" s="4" t="e">
        <f>IF(AND(L3227=1,N3227&lt;'Line Follower'!$C$6,SUM(C3227:K3227)&lt;4),1,0)</f>
        <v>#N/A</v>
      </c>
      <c r="T3227" s="4" t="e">
        <f t="shared" si="252"/>
        <v>#N/A</v>
      </c>
      <c r="U3227" s="5" t="e">
        <f t="shared" si="253"/>
        <v>#N/A</v>
      </c>
      <c r="V3227" s="23" t="e">
        <f t="shared" si="254"/>
        <v>#N/A</v>
      </c>
    </row>
    <row r="3228" spans="2:22" x14ac:dyDescent="0.25">
      <c r="B3228" s="16">
        <v>1</v>
      </c>
      <c r="C3228" s="7">
        <v>0</v>
      </c>
      <c r="D3228" s="8">
        <v>0</v>
      </c>
      <c r="E3228" s="8">
        <v>1</v>
      </c>
      <c r="F3228" s="8">
        <v>1</v>
      </c>
      <c r="G3228" s="8">
        <v>0</v>
      </c>
      <c r="H3228" s="8">
        <v>0</v>
      </c>
      <c r="I3228" s="8">
        <v>1</v>
      </c>
      <c r="J3228" s="8">
        <v>0</v>
      </c>
      <c r="K3228" s="9">
        <v>0</v>
      </c>
      <c r="L3228" s="10">
        <v>1</v>
      </c>
      <c r="M3228" s="6">
        <v>1</v>
      </c>
      <c r="N3228" s="37" t="e" cm="1">
        <f t="array" ref="N3228">IF(OR(ISNUMBER(FIND(Aux!$D$3:$D$9,_xlfn.TEXTJOIN(,,C3228:K3228)))),NA(),IF(AND(SUM(C3228:F3228,H3228:K3228)=0,G3228=1),0,INT((SUMPRODUCT(C3228:F3228,COLUMN($A$1:$D$1)-1)+SUMPRODUCT(H3228:K3228,COLUMN($E$1:$H$1)-1))*'Line Follower'!$C$3/SUM(C3228:F3228,H3228:K3228)-'Line Follower'!$C$5)))</f>
        <v>#N/A</v>
      </c>
      <c r="O3228" s="22" t="e">
        <v>#N/A</v>
      </c>
      <c r="P3228" s="4" t="e">
        <f t="shared" si="250"/>
        <v>#N/A</v>
      </c>
      <c r="Q3228" s="4" t="e">
        <f t="shared" si="251"/>
        <v>#N/A</v>
      </c>
      <c r="R3228" s="4" t="e">
        <f>IF(AND(B3228=1,N3228&gt;'Line Follower'!$C$7,SUM(C3228:K3228)&lt;4),1,0)</f>
        <v>#N/A</v>
      </c>
      <c r="S3228" s="4" t="e">
        <f>IF(AND(L3228=1,N3228&lt;'Line Follower'!$C$6,SUM(C3228:K3228)&lt;4),1,0)</f>
        <v>#N/A</v>
      </c>
      <c r="T3228" s="4" t="e">
        <f t="shared" si="252"/>
        <v>#N/A</v>
      </c>
      <c r="U3228" s="5" t="e">
        <f t="shared" si="253"/>
        <v>#N/A</v>
      </c>
      <c r="V3228" s="23" t="e">
        <f t="shared" si="254"/>
        <v>#N/A</v>
      </c>
    </row>
    <row r="3229" spans="2:22" x14ac:dyDescent="0.25">
      <c r="B3229" s="16">
        <v>0</v>
      </c>
      <c r="C3229" s="7">
        <v>1</v>
      </c>
      <c r="D3229" s="8">
        <v>0</v>
      </c>
      <c r="E3229" s="8">
        <v>1</v>
      </c>
      <c r="F3229" s="8">
        <v>1</v>
      </c>
      <c r="G3229" s="8">
        <v>0</v>
      </c>
      <c r="H3229" s="8">
        <v>0</v>
      </c>
      <c r="I3229" s="8">
        <v>1</v>
      </c>
      <c r="J3229" s="8">
        <v>0</v>
      </c>
      <c r="K3229" s="9">
        <v>0</v>
      </c>
      <c r="L3229" s="10">
        <v>1</v>
      </c>
      <c r="M3229" s="6">
        <v>1</v>
      </c>
      <c r="N3229" s="37" t="e" cm="1">
        <f t="array" ref="N3229">IF(OR(ISNUMBER(FIND(Aux!$D$3:$D$9,_xlfn.TEXTJOIN(,,C3229:K3229)))),NA(),IF(AND(SUM(C3229:F3229,H3229:K3229)=0,G3229=1),0,INT((SUMPRODUCT(C3229:F3229,COLUMN($A$1:$D$1)-1)+SUMPRODUCT(H3229:K3229,COLUMN($E$1:$H$1)-1))*'Line Follower'!$C$3/SUM(C3229:F3229,H3229:K3229)-'Line Follower'!$C$5)))</f>
        <v>#N/A</v>
      </c>
      <c r="O3229" s="22" t="e">
        <v>#N/A</v>
      </c>
      <c r="P3229" s="4" t="e">
        <f t="shared" si="250"/>
        <v>#N/A</v>
      </c>
      <c r="Q3229" s="4" t="e">
        <f t="shared" si="251"/>
        <v>#N/A</v>
      </c>
      <c r="R3229" s="4" t="e">
        <f>IF(AND(B3229=1,N3229&gt;'Line Follower'!$C$7,SUM(C3229:K3229)&lt;4),1,0)</f>
        <v>#N/A</v>
      </c>
      <c r="S3229" s="4" t="e">
        <f>IF(AND(L3229=1,N3229&lt;'Line Follower'!$C$6,SUM(C3229:K3229)&lt;4),1,0)</f>
        <v>#N/A</v>
      </c>
      <c r="T3229" s="4" t="e">
        <f t="shared" si="252"/>
        <v>#N/A</v>
      </c>
      <c r="U3229" s="5" t="e">
        <f t="shared" si="253"/>
        <v>#N/A</v>
      </c>
      <c r="V3229" s="23" t="e">
        <f t="shared" si="254"/>
        <v>#N/A</v>
      </c>
    </row>
    <row r="3230" spans="2:22" x14ac:dyDescent="0.25">
      <c r="B3230" s="16">
        <v>1</v>
      </c>
      <c r="C3230" s="7">
        <v>1</v>
      </c>
      <c r="D3230" s="8">
        <v>0</v>
      </c>
      <c r="E3230" s="8">
        <v>1</v>
      </c>
      <c r="F3230" s="8">
        <v>1</v>
      </c>
      <c r="G3230" s="8">
        <v>0</v>
      </c>
      <c r="H3230" s="8">
        <v>0</v>
      </c>
      <c r="I3230" s="8">
        <v>1</v>
      </c>
      <c r="J3230" s="8">
        <v>0</v>
      </c>
      <c r="K3230" s="9">
        <v>0</v>
      </c>
      <c r="L3230" s="10">
        <v>1</v>
      </c>
      <c r="M3230" s="6">
        <v>1</v>
      </c>
      <c r="N3230" s="37" t="e" cm="1">
        <f t="array" ref="N3230">IF(OR(ISNUMBER(FIND(Aux!$D$3:$D$9,_xlfn.TEXTJOIN(,,C3230:K3230)))),NA(),IF(AND(SUM(C3230:F3230,H3230:K3230)=0,G3230=1),0,INT((SUMPRODUCT(C3230:F3230,COLUMN($A$1:$D$1)-1)+SUMPRODUCT(H3230:K3230,COLUMN($E$1:$H$1)-1))*'Line Follower'!$C$3/SUM(C3230:F3230,H3230:K3230)-'Line Follower'!$C$5)))</f>
        <v>#N/A</v>
      </c>
      <c r="O3230" s="22" t="e">
        <v>#N/A</v>
      </c>
      <c r="P3230" s="4" t="e">
        <f t="shared" si="250"/>
        <v>#N/A</v>
      </c>
      <c r="Q3230" s="4" t="e">
        <f t="shared" si="251"/>
        <v>#N/A</v>
      </c>
      <c r="R3230" s="4" t="e">
        <f>IF(AND(B3230=1,N3230&gt;'Line Follower'!$C$7,SUM(C3230:K3230)&lt;4),1,0)</f>
        <v>#N/A</v>
      </c>
      <c r="S3230" s="4" t="e">
        <f>IF(AND(L3230=1,N3230&lt;'Line Follower'!$C$6,SUM(C3230:K3230)&lt;4),1,0)</f>
        <v>#N/A</v>
      </c>
      <c r="T3230" s="4" t="e">
        <f t="shared" si="252"/>
        <v>#N/A</v>
      </c>
      <c r="U3230" s="5" t="e">
        <f t="shared" si="253"/>
        <v>#N/A</v>
      </c>
      <c r="V3230" s="23" t="e">
        <f t="shared" si="254"/>
        <v>#N/A</v>
      </c>
    </row>
    <row r="3231" spans="2:22" x14ac:dyDescent="0.25">
      <c r="B3231" s="16">
        <v>0</v>
      </c>
      <c r="C3231" s="7">
        <v>0</v>
      </c>
      <c r="D3231" s="8">
        <v>1</v>
      </c>
      <c r="E3231" s="8">
        <v>1</v>
      </c>
      <c r="F3231" s="8">
        <v>1</v>
      </c>
      <c r="G3231" s="8">
        <v>0</v>
      </c>
      <c r="H3231" s="8">
        <v>0</v>
      </c>
      <c r="I3231" s="8">
        <v>1</v>
      </c>
      <c r="J3231" s="8">
        <v>0</v>
      </c>
      <c r="K3231" s="9">
        <v>0</v>
      </c>
      <c r="L3231" s="10">
        <v>1</v>
      </c>
      <c r="M3231" s="6">
        <v>1</v>
      </c>
      <c r="N3231" s="37" t="e" cm="1">
        <f t="array" ref="N3231">IF(OR(ISNUMBER(FIND(Aux!$D$3:$D$9,_xlfn.TEXTJOIN(,,C3231:K3231)))),NA(),IF(AND(SUM(C3231:F3231,H3231:K3231)=0,G3231=1),0,INT((SUMPRODUCT(C3231:F3231,COLUMN($A$1:$D$1)-1)+SUMPRODUCT(H3231:K3231,COLUMN($E$1:$H$1)-1))*'Line Follower'!$C$3/SUM(C3231:F3231,H3231:K3231)-'Line Follower'!$C$5)))</f>
        <v>#N/A</v>
      </c>
      <c r="O3231" s="22" t="e">
        <v>#N/A</v>
      </c>
      <c r="P3231" s="4" t="e">
        <f t="shared" si="250"/>
        <v>#N/A</v>
      </c>
      <c r="Q3231" s="4" t="e">
        <f t="shared" si="251"/>
        <v>#N/A</v>
      </c>
      <c r="R3231" s="4" t="e">
        <f>IF(AND(B3231=1,N3231&gt;'Line Follower'!$C$7,SUM(C3231:K3231)&lt;4),1,0)</f>
        <v>#N/A</v>
      </c>
      <c r="S3231" s="4" t="e">
        <f>IF(AND(L3231=1,N3231&lt;'Line Follower'!$C$6,SUM(C3231:K3231)&lt;4),1,0)</f>
        <v>#N/A</v>
      </c>
      <c r="T3231" s="4" t="e">
        <f t="shared" si="252"/>
        <v>#N/A</v>
      </c>
      <c r="U3231" s="5" t="e">
        <f t="shared" si="253"/>
        <v>#N/A</v>
      </c>
      <c r="V3231" s="23" t="e">
        <f t="shared" si="254"/>
        <v>#N/A</v>
      </c>
    </row>
    <row r="3232" spans="2:22" x14ac:dyDescent="0.25">
      <c r="B3232" s="16">
        <v>1</v>
      </c>
      <c r="C3232" s="7">
        <v>0</v>
      </c>
      <c r="D3232" s="8">
        <v>1</v>
      </c>
      <c r="E3232" s="8">
        <v>1</v>
      </c>
      <c r="F3232" s="8">
        <v>1</v>
      </c>
      <c r="G3232" s="8">
        <v>0</v>
      </c>
      <c r="H3232" s="8">
        <v>0</v>
      </c>
      <c r="I3232" s="8">
        <v>1</v>
      </c>
      <c r="J3232" s="8">
        <v>0</v>
      </c>
      <c r="K3232" s="9">
        <v>0</v>
      </c>
      <c r="L3232" s="10">
        <v>1</v>
      </c>
      <c r="M3232" s="6">
        <v>1</v>
      </c>
      <c r="N3232" s="37" t="e" cm="1">
        <f t="array" ref="N3232">IF(OR(ISNUMBER(FIND(Aux!$D$3:$D$9,_xlfn.TEXTJOIN(,,C3232:K3232)))),NA(),IF(AND(SUM(C3232:F3232,H3232:K3232)=0,G3232=1),0,INT((SUMPRODUCT(C3232:F3232,COLUMN($A$1:$D$1)-1)+SUMPRODUCT(H3232:K3232,COLUMN($E$1:$H$1)-1))*'Line Follower'!$C$3/SUM(C3232:F3232,H3232:K3232)-'Line Follower'!$C$5)))</f>
        <v>#N/A</v>
      </c>
      <c r="O3232" s="22" t="e">
        <v>#N/A</v>
      </c>
      <c r="P3232" s="4" t="e">
        <f t="shared" si="250"/>
        <v>#N/A</v>
      </c>
      <c r="Q3232" s="4" t="e">
        <f t="shared" si="251"/>
        <v>#N/A</v>
      </c>
      <c r="R3232" s="4" t="e">
        <f>IF(AND(B3232=1,N3232&gt;'Line Follower'!$C$7,SUM(C3232:K3232)&lt;4),1,0)</f>
        <v>#N/A</v>
      </c>
      <c r="S3232" s="4" t="e">
        <f>IF(AND(L3232=1,N3232&lt;'Line Follower'!$C$6,SUM(C3232:K3232)&lt;4),1,0)</f>
        <v>#N/A</v>
      </c>
      <c r="T3232" s="4" t="e">
        <f t="shared" si="252"/>
        <v>#N/A</v>
      </c>
      <c r="U3232" s="5" t="e">
        <f t="shared" si="253"/>
        <v>#N/A</v>
      </c>
      <c r="V3232" s="23" t="e">
        <f t="shared" si="254"/>
        <v>#N/A</v>
      </c>
    </row>
    <row r="3233" spans="2:22" x14ac:dyDescent="0.25">
      <c r="B3233" s="16">
        <v>0</v>
      </c>
      <c r="C3233" s="7">
        <v>1</v>
      </c>
      <c r="D3233" s="8">
        <v>1</v>
      </c>
      <c r="E3233" s="8">
        <v>1</v>
      </c>
      <c r="F3233" s="8">
        <v>1</v>
      </c>
      <c r="G3233" s="8">
        <v>0</v>
      </c>
      <c r="H3233" s="8">
        <v>0</v>
      </c>
      <c r="I3233" s="8">
        <v>1</v>
      </c>
      <c r="J3233" s="8">
        <v>0</v>
      </c>
      <c r="K3233" s="9">
        <v>0</v>
      </c>
      <c r="L3233" s="10">
        <v>1</v>
      </c>
      <c r="M3233" s="6">
        <v>1</v>
      </c>
      <c r="N3233" s="37" t="e" cm="1">
        <f t="array" ref="N3233">IF(OR(ISNUMBER(FIND(Aux!$D$3:$D$9,_xlfn.TEXTJOIN(,,C3233:K3233)))),NA(),IF(AND(SUM(C3233:F3233,H3233:K3233)=0,G3233=1),0,INT((SUMPRODUCT(C3233:F3233,COLUMN($A$1:$D$1)-1)+SUMPRODUCT(H3233:K3233,COLUMN($E$1:$H$1)-1))*'Line Follower'!$C$3/SUM(C3233:F3233,H3233:K3233)-'Line Follower'!$C$5)))</f>
        <v>#N/A</v>
      </c>
      <c r="O3233" s="22" t="e">
        <v>#N/A</v>
      </c>
      <c r="P3233" s="4" t="e">
        <f t="shared" si="250"/>
        <v>#N/A</v>
      </c>
      <c r="Q3233" s="4" t="e">
        <f t="shared" si="251"/>
        <v>#N/A</v>
      </c>
      <c r="R3233" s="4" t="e">
        <f>IF(AND(B3233=1,N3233&gt;'Line Follower'!$C$7,SUM(C3233:K3233)&lt;4),1,0)</f>
        <v>#N/A</v>
      </c>
      <c r="S3233" s="4" t="e">
        <f>IF(AND(L3233=1,N3233&lt;'Line Follower'!$C$6,SUM(C3233:K3233)&lt;4),1,0)</f>
        <v>#N/A</v>
      </c>
      <c r="T3233" s="4" t="e">
        <f t="shared" si="252"/>
        <v>#N/A</v>
      </c>
      <c r="U3233" s="5" t="e">
        <f t="shared" si="253"/>
        <v>#N/A</v>
      </c>
      <c r="V3233" s="23" t="e">
        <f t="shared" si="254"/>
        <v>#N/A</v>
      </c>
    </row>
    <row r="3234" spans="2:22" x14ac:dyDescent="0.25">
      <c r="B3234" s="16">
        <v>1</v>
      </c>
      <c r="C3234" s="7">
        <v>1</v>
      </c>
      <c r="D3234" s="8">
        <v>1</v>
      </c>
      <c r="E3234" s="8">
        <v>1</v>
      </c>
      <c r="F3234" s="8">
        <v>1</v>
      </c>
      <c r="G3234" s="8">
        <v>0</v>
      </c>
      <c r="H3234" s="8">
        <v>0</v>
      </c>
      <c r="I3234" s="8">
        <v>1</v>
      </c>
      <c r="J3234" s="8">
        <v>0</v>
      </c>
      <c r="K3234" s="9">
        <v>0</v>
      </c>
      <c r="L3234" s="10">
        <v>1</v>
      </c>
      <c r="M3234" s="6">
        <v>1</v>
      </c>
      <c r="N3234" s="37" t="e" cm="1">
        <f t="array" ref="N3234">IF(OR(ISNUMBER(FIND(Aux!$D$3:$D$9,_xlfn.TEXTJOIN(,,C3234:K3234)))),NA(),IF(AND(SUM(C3234:F3234,H3234:K3234)=0,G3234=1),0,INT((SUMPRODUCT(C3234:F3234,COLUMN($A$1:$D$1)-1)+SUMPRODUCT(H3234:K3234,COLUMN($E$1:$H$1)-1))*'Line Follower'!$C$3/SUM(C3234:F3234,H3234:K3234)-'Line Follower'!$C$5)))</f>
        <v>#N/A</v>
      </c>
      <c r="O3234" s="22" t="e">
        <v>#N/A</v>
      </c>
      <c r="P3234" s="4" t="e">
        <f t="shared" si="250"/>
        <v>#N/A</v>
      </c>
      <c r="Q3234" s="4" t="e">
        <f t="shared" si="251"/>
        <v>#N/A</v>
      </c>
      <c r="R3234" s="4" t="e">
        <f>IF(AND(B3234=1,N3234&gt;'Line Follower'!$C$7,SUM(C3234:K3234)&lt;4),1,0)</f>
        <v>#N/A</v>
      </c>
      <c r="S3234" s="4" t="e">
        <f>IF(AND(L3234=1,N3234&lt;'Line Follower'!$C$6,SUM(C3234:K3234)&lt;4),1,0)</f>
        <v>#N/A</v>
      </c>
      <c r="T3234" s="4" t="e">
        <f t="shared" si="252"/>
        <v>#N/A</v>
      </c>
      <c r="U3234" s="5" t="e">
        <f t="shared" si="253"/>
        <v>#N/A</v>
      </c>
      <c r="V3234" s="23" t="e">
        <f t="shared" si="254"/>
        <v>#N/A</v>
      </c>
    </row>
    <row r="3235" spans="2:22" x14ac:dyDescent="0.25">
      <c r="B3235" s="16">
        <v>0</v>
      </c>
      <c r="C3235" s="7">
        <v>0</v>
      </c>
      <c r="D3235" s="8">
        <v>0</v>
      </c>
      <c r="E3235" s="8">
        <v>0</v>
      </c>
      <c r="F3235" s="8">
        <v>0</v>
      </c>
      <c r="G3235" s="8">
        <v>1</v>
      </c>
      <c r="H3235" s="8">
        <v>0</v>
      </c>
      <c r="I3235" s="8">
        <v>1</v>
      </c>
      <c r="J3235" s="8">
        <v>0</v>
      </c>
      <c r="K3235" s="9">
        <v>0</v>
      </c>
      <c r="L3235" s="10">
        <v>1</v>
      </c>
      <c r="M3235" s="6">
        <v>1</v>
      </c>
      <c r="N3235" s="37" t="e" cm="1">
        <f t="array" ref="N3235">IF(OR(ISNUMBER(FIND(Aux!$D$3:$D$9,_xlfn.TEXTJOIN(,,C3235:K3235)))),NA(),IF(AND(SUM(C3235:F3235,H3235:K3235)=0,G3235=1),0,INT((SUMPRODUCT(C3235:F3235,COLUMN($A$1:$D$1)-1)+SUMPRODUCT(H3235:K3235,COLUMN($E$1:$H$1)-1))*'Line Follower'!$C$3/SUM(C3235:F3235,H3235:K3235)-'Line Follower'!$C$5)))</f>
        <v>#N/A</v>
      </c>
      <c r="O3235" s="22" t="e">
        <v>#N/A</v>
      </c>
      <c r="P3235" s="4" t="e">
        <f t="shared" si="250"/>
        <v>#N/A</v>
      </c>
      <c r="Q3235" s="4" t="e">
        <f t="shared" si="251"/>
        <v>#N/A</v>
      </c>
      <c r="R3235" s="4" t="e">
        <f>IF(AND(B3235=1,N3235&gt;'Line Follower'!$C$7,SUM(C3235:K3235)&lt;4),1,0)</f>
        <v>#N/A</v>
      </c>
      <c r="S3235" s="4" t="e">
        <f>IF(AND(L3235=1,N3235&lt;'Line Follower'!$C$6,SUM(C3235:K3235)&lt;4),1,0)</f>
        <v>#N/A</v>
      </c>
      <c r="T3235" s="4" t="e">
        <f t="shared" si="252"/>
        <v>#N/A</v>
      </c>
      <c r="U3235" s="5" t="e">
        <f t="shared" si="253"/>
        <v>#N/A</v>
      </c>
      <c r="V3235" s="23" t="e">
        <f t="shared" si="254"/>
        <v>#N/A</v>
      </c>
    </row>
    <row r="3236" spans="2:22" x14ac:dyDescent="0.25">
      <c r="B3236" s="16">
        <v>1</v>
      </c>
      <c r="C3236" s="7">
        <v>0</v>
      </c>
      <c r="D3236" s="8">
        <v>0</v>
      </c>
      <c r="E3236" s="8">
        <v>0</v>
      </c>
      <c r="F3236" s="8">
        <v>0</v>
      </c>
      <c r="G3236" s="8">
        <v>1</v>
      </c>
      <c r="H3236" s="8">
        <v>0</v>
      </c>
      <c r="I3236" s="8">
        <v>1</v>
      </c>
      <c r="J3236" s="8">
        <v>0</v>
      </c>
      <c r="K3236" s="9">
        <v>0</v>
      </c>
      <c r="L3236" s="10">
        <v>1</v>
      </c>
      <c r="M3236" s="6">
        <v>1</v>
      </c>
      <c r="N3236" s="37" t="e" cm="1">
        <f t="array" ref="N3236">IF(OR(ISNUMBER(FIND(Aux!$D$3:$D$9,_xlfn.TEXTJOIN(,,C3236:K3236)))),NA(),IF(AND(SUM(C3236:F3236,H3236:K3236)=0,G3236=1),0,INT((SUMPRODUCT(C3236:F3236,COLUMN($A$1:$D$1)-1)+SUMPRODUCT(H3236:K3236,COLUMN($E$1:$H$1)-1))*'Line Follower'!$C$3/SUM(C3236:F3236,H3236:K3236)-'Line Follower'!$C$5)))</f>
        <v>#N/A</v>
      </c>
      <c r="O3236" s="22" t="e">
        <v>#N/A</v>
      </c>
      <c r="P3236" s="4" t="e">
        <f t="shared" si="250"/>
        <v>#N/A</v>
      </c>
      <c r="Q3236" s="4" t="e">
        <f t="shared" si="251"/>
        <v>#N/A</v>
      </c>
      <c r="R3236" s="4" t="e">
        <f>IF(AND(B3236=1,N3236&gt;'Line Follower'!$C$7,SUM(C3236:K3236)&lt;4),1,0)</f>
        <v>#N/A</v>
      </c>
      <c r="S3236" s="4" t="e">
        <f>IF(AND(L3236=1,N3236&lt;'Line Follower'!$C$6,SUM(C3236:K3236)&lt;4),1,0)</f>
        <v>#N/A</v>
      </c>
      <c r="T3236" s="4" t="e">
        <f t="shared" si="252"/>
        <v>#N/A</v>
      </c>
      <c r="U3236" s="5" t="e">
        <f t="shared" si="253"/>
        <v>#N/A</v>
      </c>
      <c r="V3236" s="23" t="e">
        <f t="shared" si="254"/>
        <v>#N/A</v>
      </c>
    </row>
    <row r="3237" spans="2:22" x14ac:dyDescent="0.25">
      <c r="B3237" s="16">
        <v>0</v>
      </c>
      <c r="C3237" s="7">
        <v>1</v>
      </c>
      <c r="D3237" s="8">
        <v>0</v>
      </c>
      <c r="E3237" s="8">
        <v>0</v>
      </c>
      <c r="F3237" s="8">
        <v>0</v>
      </c>
      <c r="G3237" s="8">
        <v>1</v>
      </c>
      <c r="H3237" s="8">
        <v>0</v>
      </c>
      <c r="I3237" s="8">
        <v>1</v>
      </c>
      <c r="J3237" s="8">
        <v>0</v>
      </c>
      <c r="K3237" s="9">
        <v>0</v>
      </c>
      <c r="L3237" s="10">
        <v>1</v>
      </c>
      <c r="M3237" s="6">
        <v>1</v>
      </c>
      <c r="N3237" s="37" t="e" cm="1">
        <f t="array" ref="N3237">IF(OR(ISNUMBER(FIND(Aux!$D$3:$D$9,_xlfn.TEXTJOIN(,,C3237:K3237)))),NA(),IF(AND(SUM(C3237:F3237,H3237:K3237)=0,G3237=1),0,INT((SUMPRODUCT(C3237:F3237,COLUMN($A$1:$D$1)-1)+SUMPRODUCT(H3237:K3237,COLUMN($E$1:$H$1)-1))*'Line Follower'!$C$3/SUM(C3237:F3237,H3237:K3237)-'Line Follower'!$C$5)))</f>
        <v>#N/A</v>
      </c>
      <c r="O3237" s="22" t="e">
        <v>#N/A</v>
      </c>
      <c r="P3237" s="4" t="e">
        <f t="shared" si="250"/>
        <v>#N/A</v>
      </c>
      <c r="Q3237" s="4" t="e">
        <f t="shared" si="251"/>
        <v>#N/A</v>
      </c>
      <c r="R3237" s="4" t="e">
        <f>IF(AND(B3237=1,N3237&gt;'Line Follower'!$C$7,SUM(C3237:K3237)&lt;4),1,0)</f>
        <v>#N/A</v>
      </c>
      <c r="S3237" s="4" t="e">
        <f>IF(AND(L3237=1,N3237&lt;'Line Follower'!$C$6,SUM(C3237:K3237)&lt;4),1,0)</f>
        <v>#N/A</v>
      </c>
      <c r="T3237" s="4" t="e">
        <f t="shared" si="252"/>
        <v>#N/A</v>
      </c>
      <c r="U3237" s="5" t="e">
        <f t="shared" si="253"/>
        <v>#N/A</v>
      </c>
      <c r="V3237" s="23" t="e">
        <f t="shared" si="254"/>
        <v>#N/A</v>
      </c>
    </row>
    <row r="3238" spans="2:22" x14ac:dyDescent="0.25">
      <c r="B3238" s="16">
        <v>1</v>
      </c>
      <c r="C3238" s="7">
        <v>1</v>
      </c>
      <c r="D3238" s="8">
        <v>0</v>
      </c>
      <c r="E3238" s="8">
        <v>0</v>
      </c>
      <c r="F3238" s="8">
        <v>0</v>
      </c>
      <c r="G3238" s="8">
        <v>1</v>
      </c>
      <c r="H3238" s="8">
        <v>0</v>
      </c>
      <c r="I3238" s="8">
        <v>1</v>
      </c>
      <c r="J3238" s="8">
        <v>0</v>
      </c>
      <c r="K3238" s="9">
        <v>0</v>
      </c>
      <c r="L3238" s="10">
        <v>1</v>
      </c>
      <c r="M3238" s="6">
        <v>1</v>
      </c>
      <c r="N3238" s="37" t="e" cm="1">
        <f t="array" ref="N3238">IF(OR(ISNUMBER(FIND(Aux!$D$3:$D$9,_xlfn.TEXTJOIN(,,C3238:K3238)))),NA(),IF(AND(SUM(C3238:F3238,H3238:K3238)=0,G3238=1),0,INT((SUMPRODUCT(C3238:F3238,COLUMN($A$1:$D$1)-1)+SUMPRODUCT(H3238:K3238,COLUMN($E$1:$H$1)-1))*'Line Follower'!$C$3/SUM(C3238:F3238,H3238:K3238)-'Line Follower'!$C$5)))</f>
        <v>#N/A</v>
      </c>
      <c r="O3238" s="22" t="e">
        <v>#N/A</v>
      </c>
      <c r="P3238" s="4" t="e">
        <f t="shared" si="250"/>
        <v>#N/A</v>
      </c>
      <c r="Q3238" s="4" t="e">
        <f t="shared" si="251"/>
        <v>#N/A</v>
      </c>
      <c r="R3238" s="4" t="e">
        <f>IF(AND(B3238=1,N3238&gt;'Line Follower'!$C$7,SUM(C3238:K3238)&lt;4),1,0)</f>
        <v>#N/A</v>
      </c>
      <c r="S3238" s="4" t="e">
        <f>IF(AND(L3238=1,N3238&lt;'Line Follower'!$C$6,SUM(C3238:K3238)&lt;4),1,0)</f>
        <v>#N/A</v>
      </c>
      <c r="T3238" s="4" t="e">
        <f t="shared" si="252"/>
        <v>#N/A</v>
      </c>
      <c r="U3238" s="5" t="e">
        <f t="shared" si="253"/>
        <v>#N/A</v>
      </c>
      <c r="V3238" s="23" t="e">
        <f t="shared" si="254"/>
        <v>#N/A</v>
      </c>
    </row>
    <row r="3239" spans="2:22" x14ac:dyDescent="0.25">
      <c r="B3239" s="16">
        <v>0</v>
      </c>
      <c r="C3239" s="7">
        <v>0</v>
      </c>
      <c r="D3239" s="8">
        <v>1</v>
      </c>
      <c r="E3239" s="8">
        <v>0</v>
      </c>
      <c r="F3239" s="8">
        <v>0</v>
      </c>
      <c r="G3239" s="8">
        <v>1</v>
      </c>
      <c r="H3239" s="8">
        <v>0</v>
      </c>
      <c r="I3239" s="8">
        <v>1</v>
      </c>
      <c r="J3239" s="8">
        <v>0</v>
      </c>
      <c r="K3239" s="9">
        <v>0</v>
      </c>
      <c r="L3239" s="10">
        <v>1</v>
      </c>
      <c r="M3239" s="6">
        <v>1</v>
      </c>
      <c r="N3239" s="37" t="e" cm="1">
        <f t="array" ref="N3239">IF(OR(ISNUMBER(FIND(Aux!$D$3:$D$9,_xlfn.TEXTJOIN(,,C3239:K3239)))),NA(),IF(AND(SUM(C3239:F3239,H3239:K3239)=0,G3239=1),0,INT((SUMPRODUCT(C3239:F3239,COLUMN($A$1:$D$1)-1)+SUMPRODUCT(H3239:K3239,COLUMN($E$1:$H$1)-1))*'Line Follower'!$C$3/SUM(C3239:F3239,H3239:K3239)-'Line Follower'!$C$5)))</f>
        <v>#N/A</v>
      </c>
      <c r="O3239" s="22" t="e">
        <v>#N/A</v>
      </c>
      <c r="P3239" s="4" t="e">
        <f t="shared" si="250"/>
        <v>#N/A</v>
      </c>
      <c r="Q3239" s="4" t="e">
        <f t="shared" si="251"/>
        <v>#N/A</v>
      </c>
      <c r="R3239" s="4" t="e">
        <f>IF(AND(B3239=1,N3239&gt;'Line Follower'!$C$7,SUM(C3239:K3239)&lt;4),1,0)</f>
        <v>#N/A</v>
      </c>
      <c r="S3239" s="4" t="e">
        <f>IF(AND(L3239=1,N3239&lt;'Line Follower'!$C$6,SUM(C3239:K3239)&lt;4),1,0)</f>
        <v>#N/A</v>
      </c>
      <c r="T3239" s="4" t="e">
        <f t="shared" si="252"/>
        <v>#N/A</v>
      </c>
      <c r="U3239" s="5" t="e">
        <f t="shared" si="253"/>
        <v>#N/A</v>
      </c>
      <c r="V3239" s="23" t="e">
        <f t="shared" si="254"/>
        <v>#N/A</v>
      </c>
    </row>
    <row r="3240" spans="2:22" x14ac:dyDescent="0.25">
      <c r="B3240" s="16">
        <v>1</v>
      </c>
      <c r="C3240" s="7">
        <v>0</v>
      </c>
      <c r="D3240" s="8">
        <v>1</v>
      </c>
      <c r="E3240" s="8">
        <v>0</v>
      </c>
      <c r="F3240" s="8">
        <v>0</v>
      </c>
      <c r="G3240" s="8">
        <v>1</v>
      </c>
      <c r="H3240" s="8">
        <v>0</v>
      </c>
      <c r="I3240" s="8">
        <v>1</v>
      </c>
      <c r="J3240" s="8">
        <v>0</v>
      </c>
      <c r="K3240" s="9">
        <v>0</v>
      </c>
      <c r="L3240" s="10">
        <v>1</v>
      </c>
      <c r="M3240" s="6">
        <v>1</v>
      </c>
      <c r="N3240" s="37" t="e" cm="1">
        <f t="array" ref="N3240">IF(OR(ISNUMBER(FIND(Aux!$D$3:$D$9,_xlfn.TEXTJOIN(,,C3240:K3240)))),NA(),IF(AND(SUM(C3240:F3240,H3240:K3240)=0,G3240=1),0,INT((SUMPRODUCT(C3240:F3240,COLUMN($A$1:$D$1)-1)+SUMPRODUCT(H3240:K3240,COLUMN($E$1:$H$1)-1))*'Line Follower'!$C$3/SUM(C3240:F3240,H3240:K3240)-'Line Follower'!$C$5)))</f>
        <v>#N/A</v>
      </c>
      <c r="O3240" s="22" t="e">
        <v>#N/A</v>
      </c>
      <c r="P3240" s="4" t="e">
        <f t="shared" si="250"/>
        <v>#N/A</v>
      </c>
      <c r="Q3240" s="4" t="e">
        <f t="shared" si="251"/>
        <v>#N/A</v>
      </c>
      <c r="R3240" s="4" t="e">
        <f>IF(AND(B3240=1,N3240&gt;'Line Follower'!$C$7,SUM(C3240:K3240)&lt;4),1,0)</f>
        <v>#N/A</v>
      </c>
      <c r="S3240" s="4" t="e">
        <f>IF(AND(L3240=1,N3240&lt;'Line Follower'!$C$6,SUM(C3240:K3240)&lt;4),1,0)</f>
        <v>#N/A</v>
      </c>
      <c r="T3240" s="4" t="e">
        <f t="shared" si="252"/>
        <v>#N/A</v>
      </c>
      <c r="U3240" s="5" t="e">
        <f t="shared" si="253"/>
        <v>#N/A</v>
      </c>
      <c r="V3240" s="23" t="e">
        <f t="shared" si="254"/>
        <v>#N/A</v>
      </c>
    </row>
    <row r="3241" spans="2:22" x14ac:dyDescent="0.25">
      <c r="B3241" s="16">
        <v>0</v>
      </c>
      <c r="C3241" s="7">
        <v>1</v>
      </c>
      <c r="D3241" s="8">
        <v>1</v>
      </c>
      <c r="E3241" s="8">
        <v>0</v>
      </c>
      <c r="F3241" s="8">
        <v>0</v>
      </c>
      <c r="G3241" s="8">
        <v>1</v>
      </c>
      <c r="H3241" s="8">
        <v>0</v>
      </c>
      <c r="I3241" s="8">
        <v>1</v>
      </c>
      <c r="J3241" s="8">
        <v>0</v>
      </c>
      <c r="K3241" s="9">
        <v>0</v>
      </c>
      <c r="L3241" s="10">
        <v>1</v>
      </c>
      <c r="M3241" s="6">
        <v>1</v>
      </c>
      <c r="N3241" s="37" t="e" cm="1">
        <f t="array" ref="N3241">IF(OR(ISNUMBER(FIND(Aux!$D$3:$D$9,_xlfn.TEXTJOIN(,,C3241:K3241)))),NA(),IF(AND(SUM(C3241:F3241,H3241:K3241)=0,G3241=1),0,INT((SUMPRODUCT(C3241:F3241,COLUMN($A$1:$D$1)-1)+SUMPRODUCT(H3241:K3241,COLUMN($E$1:$H$1)-1))*'Line Follower'!$C$3/SUM(C3241:F3241,H3241:K3241)-'Line Follower'!$C$5)))</f>
        <v>#N/A</v>
      </c>
      <c r="O3241" s="22" t="e">
        <v>#N/A</v>
      </c>
      <c r="P3241" s="4" t="e">
        <f t="shared" si="250"/>
        <v>#N/A</v>
      </c>
      <c r="Q3241" s="4" t="e">
        <f t="shared" si="251"/>
        <v>#N/A</v>
      </c>
      <c r="R3241" s="4" t="e">
        <f>IF(AND(B3241=1,N3241&gt;'Line Follower'!$C$7,SUM(C3241:K3241)&lt;4),1,0)</f>
        <v>#N/A</v>
      </c>
      <c r="S3241" s="4" t="e">
        <f>IF(AND(L3241=1,N3241&lt;'Line Follower'!$C$6,SUM(C3241:K3241)&lt;4),1,0)</f>
        <v>#N/A</v>
      </c>
      <c r="T3241" s="4" t="e">
        <f t="shared" si="252"/>
        <v>#N/A</v>
      </c>
      <c r="U3241" s="5" t="e">
        <f t="shared" si="253"/>
        <v>#N/A</v>
      </c>
      <c r="V3241" s="23" t="e">
        <f t="shared" si="254"/>
        <v>#N/A</v>
      </c>
    </row>
    <row r="3242" spans="2:22" x14ac:dyDescent="0.25">
      <c r="B3242" s="16">
        <v>1</v>
      </c>
      <c r="C3242" s="7">
        <v>1</v>
      </c>
      <c r="D3242" s="8">
        <v>1</v>
      </c>
      <c r="E3242" s="8">
        <v>0</v>
      </c>
      <c r="F3242" s="8">
        <v>0</v>
      </c>
      <c r="G3242" s="8">
        <v>1</v>
      </c>
      <c r="H3242" s="8">
        <v>0</v>
      </c>
      <c r="I3242" s="8">
        <v>1</v>
      </c>
      <c r="J3242" s="8">
        <v>0</v>
      </c>
      <c r="K3242" s="9">
        <v>0</v>
      </c>
      <c r="L3242" s="10">
        <v>1</v>
      </c>
      <c r="M3242" s="6">
        <v>1</v>
      </c>
      <c r="N3242" s="37" t="e" cm="1">
        <f t="array" ref="N3242">IF(OR(ISNUMBER(FIND(Aux!$D$3:$D$9,_xlfn.TEXTJOIN(,,C3242:K3242)))),NA(),IF(AND(SUM(C3242:F3242,H3242:K3242)=0,G3242=1),0,INT((SUMPRODUCT(C3242:F3242,COLUMN($A$1:$D$1)-1)+SUMPRODUCT(H3242:K3242,COLUMN($E$1:$H$1)-1))*'Line Follower'!$C$3/SUM(C3242:F3242,H3242:K3242)-'Line Follower'!$C$5)))</f>
        <v>#N/A</v>
      </c>
      <c r="O3242" s="22" t="e">
        <v>#N/A</v>
      </c>
      <c r="P3242" s="4" t="e">
        <f t="shared" si="250"/>
        <v>#N/A</v>
      </c>
      <c r="Q3242" s="4" t="e">
        <f t="shared" si="251"/>
        <v>#N/A</v>
      </c>
      <c r="R3242" s="4" t="e">
        <f>IF(AND(B3242=1,N3242&gt;'Line Follower'!$C$7,SUM(C3242:K3242)&lt;4),1,0)</f>
        <v>#N/A</v>
      </c>
      <c r="S3242" s="4" t="e">
        <f>IF(AND(L3242=1,N3242&lt;'Line Follower'!$C$6,SUM(C3242:K3242)&lt;4),1,0)</f>
        <v>#N/A</v>
      </c>
      <c r="T3242" s="4" t="e">
        <f t="shared" si="252"/>
        <v>#N/A</v>
      </c>
      <c r="U3242" s="5" t="e">
        <f t="shared" si="253"/>
        <v>#N/A</v>
      </c>
      <c r="V3242" s="23" t="e">
        <f t="shared" si="254"/>
        <v>#N/A</v>
      </c>
    </row>
    <row r="3243" spans="2:22" x14ac:dyDescent="0.25">
      <c r="B3243" s="16">
        <v>0</v>
      </c>
      <c r="C3243" s="7">
        <v>0</v>
      </c>
      <c r="D3243" s="8">
        <v>0</v>
      </c>
      <c r="E3243" s="8">
        <v>1</v>
      </c>
      <c r="F3243" s="8">
        <v>0</v>
      </c>
      <c r="G3243" s="8">
        <v>1</v>
      </c>
      <c r="H3243" s="8">
        <v>0</v>
      </c>
      <c r="I3243" s="8">
        <v>1</v>
      </c>
      <c r="J3243" s="8">
        <v>0</v>
      </c>
      <c r="K3243" s="9">
        <v>0</v>
      </c>
      <c r="L3243" s="10">
        <v>1</v>
      </c>
      <c r="M3243" s="6">
        <v>1</v>
      </c>
      <c r="N3243" s="37" t="e" cm="1">
        <f t="array" ref="N3243">IF(OR(ISNUMBER(FIND(Aux!$D$3:$D$9,_xlfn.TEXTJOIN(,,C3243:K3243)))),NA(),IF(AND(SUM(C3243:F3243,H3243:K3243)=0,G3243=1),0,INT((SUMPRODUCT(C3243:F3243,COLUMN($A$1:$D$1)-1)+SUMPRODUCT(H3243:K3243,COLUMN($E$1:$H$1)-1))*'Line Follower'!$C$3/SUM(C3243:F3243,H3243:K3243)-'Line Follower'!$C$5)))</f>
        <v>#N/A</v>
      </c>
      <c r="O3243" s="22" t="e">
        <v>#N/A</v>
      </c>
      <c r="P3243" s="4" t="e">
        <f t="shared" si="250"/>
        <v>#N/A</v>
      </c>
      <c r="Q3243" s="4" t="e">
        <f t="shared" si="251"/>
        <v>#N/A</v>
      </c>
      <c r="R3243" s="4" t="e">
        <f>IF(AND(B3243=1,N3243&gt;'Line Follower'!$C$7,SUM(C3243:K3243)&lt;4),1,0)</f>
        <v>#N/A</v>
      </c>
      <c r="S3243" s="4" t="e">
        <f>IF(AND(L3243=1,N3243&lt;'Line Follower'!$C$6,SUM(C3243:K3243)&lt;4),1,0)</f>
        <v>#N/A</v>
      </c>
      <c r="T3243" s="4" t="e">
        <f t="shared" si="252"/>
        <v>#N/A</v>
      </c>
      <c r="U3243" s="5" t="e">
        <f t="shared" si="253"/>
        <v>#N/A</v>
      </c>
      <c r="V3243" s="23" t="e">
        <f t="shared" si="254"/>
        <v>#N/A</v>
      </c>
    </row>
    <row r="3244" spans="2:22" x14ac:dyDescent="0.25">
      <c r="B3244" s="16">
        <v>1</v>
      </c>
      <c r="C3244" s="7">
        <v>0</v>
      </c>
      <c r="D3244" s="8">
        <v>0</v>
      </c>
      <c r="E3244" s="8">
        <v>1</v>
      </c>
      <c r="F3244" s="8">
        <v>0</v>
      </c>
      <c r="G3244" s="8">
        <v>1</v>
      </c>
      <c r="H3244" s="8">
        <v>0</v>
      </c>
      <c r="I3244" s="8">
        <v>1</v>
      </c>
      <c r="J3244" s="8">
        <v>0</v>
      </c>
      <c r="K3244" s="9">
        <v>0</v>
      </c>
      <c r="L3244" s="10">
        <v>1</v>
      </c>
      <c r="M3244" s="6">
        <v>1</v>
      </c>
      <c r="N3244" s="37" t="e" cm="1">
        <f t="array" ref="N3244">IF(OR(ISNUMBER(FIND(Aux!$D$3:$D$9,_xlfn.TEXTJOIN(,,C3244:K3244)))),NA(),IF(AND(SUM(C3244:F3244,H3244:K3244)=0,G3244=1),0,INT((SUMPRODUCT(C3244:F3244,COLUMN($A$1:$D$1)-1)+SUMPRODUCT(H3244:K3244,COLUMN($E$1:$H$1)-1))*'Line Follower'!$C$3/SUM(C3244:F3244,H3244:K3244)-'Line Follower'!$C$5)))</f>
        <v>#N/A</v>
      </c>
      <c r="O3244" s="22" t="e">
        <v>#N/A</v>
      </c>
      <c r="P3244" s="4" t="e">
        <f t="shared" si="250"/>
        <v>#N/A</v>
      </c>
      <c r="Q3244" s="4" t="e">
        <f t="shared" si="251"/>
        <v>#N/A</v>
      </c>
      <c r="R3244" s="4" t="e">
        <f>IF(AND(B3244=1,N3244&gt;'Line Follower'!$C$7,SUM(C3244:K3244)&lt;4),1,0)</f>
        <v>#N/A</v>
      </c>
      <c r="S3244" s="4" t="e">
        <f>IF(AND(L3244=1,N3244&lt;'Line Follower'!$C$6,SUM(C3244:K3244)&lt;4),1,0)</f>
        <v>#N/A</v>
      </c>
      <c r="T3244" s="4" t="e">
        <f t="shared" si="252"/>
        <v>#N/A</v>
      </c>
      <c r="U3244" s="5" t="e">
        <f t="shared" si="253"/>
        <v>#N/A</v>
      </c>
      <c r="V3244" s="23" t="e">
        <f t="shared" si="254"/>
        <v>#N/A</v>
      </c>
    </row>
    <row r="3245" spans="2:22" x14ac:dyDescent="0.25">
      <c r="B3245" s="16">
        <v>0</v>
      </c>
      <c r="C3245" s="7">
        <v>1</v>
      </c>
      <c r="D3245" s="8">
        <v>0</v>
      </c>
      <c r="E3245" s="8">
        <v>1</v>
      </c>
      <c r="F3245" s="8">
        <v>0</v>
      </c>
      <c r="G3245" s="8">
        <v>1</v>
      </c>
      <c r="H3245" s="8">
        <v>0</v>
      </c>
      <c r="I3245" s="8">
        <v>1</v>
      </c>
      <c r="J3245" s="8">
        <v>0</v>
      </c>
      <c r="K3245" s="9">
        <v>0</v>
      </c>
      <c r="L3245" s="10">
        <v>1</v>
      </c>
      <c r="M3245" s="6">
        <v>1</v>
      </c>
      <c r="N3245" s="37" t="e" cm="1">
        <f t="array" ref="N3245">IF(OR(ISNUMBER(FIND(Aux!$D$3:$D$9,_xlfn.TEXTJOIN(,,C3245:K3245)))),NA(),IF(AND(SUM(C3245:F3245,H3245:K3245)=0,G3245=1),0,INT((SUMPRODUCT(C3245:F3245,COLUMN($A$1:$D$1)-1)+SUMPRODUCT(H3245:K3245,COLUMN($E$1:$H$1)-1))*'Line Follower'!$C$3/SUM(C3245:F3245,H3245:K3245)-'Line Follower'!$C$5)))</f>
        <v>#N/A</v>
      </c>
      <c r="O3245" s="22" t="e">
        <v>#N/A</v>
      </c>
      <c r="P3245" s="4" t="e">
        <f t="shared" si="250"/>
        <v>#N/A</v>
      </c>
      <c r="Q3245" s="4" t="e">
        <f t="shared" si="251"/>
        <v>#N/A</v>
      </c>
      <c r="R3245" s="4" t="e">
        <f>IF(AND(B3245=1,N3245&gt;'Line Follower'!$C$7,SUM(C3245:K3245)&lt;4),1,0)</f>
        <v>#N/A</v>
      </c>
      <c r="S3245" s="4" t="e">
        <f>IF(AND(L3245=1,N3245&lt;'Line Follower'!$C$6,SUM(C3245:K3245)&lt;4),1,0)</f>
        <v>#N/A</v>
      </c>
      <c r="T3245" s="4" t="e">
        <f t="shared" si="252"/>
        <v>#N/A</v>
      </c>
      <c r="U3245" s="5" t="e">
        <f t="shared" si="253"/>
        <v>#N/A</v>
      </c>
      <c r="V3245" s="23" t="e">
        <f t="shared" si="254"/>
        <v>#N/A</v>
      </c>
    </row>
    <row r="3246" spans="2:22" x14ac:dyDescent="0.25">
      <c r="B3246" s="16">
        <v>1</v>
      </c>
      <c r="C3246" s="7">
        <v>1</v>
      </c>
      <c r="D3246" s="8">
        <v>0</v>
      </c>
      <c r="E3246" s="8">
        <v>1</v>
      </c>
      <c r="F3246" s="8">
        <v>0</v>
      </c>
      <c r="G3246" s="8">
        <v>1</v>
      </c>
      <c r="H3246" s="8">
        <v>0</v>
      </c>
      <c r="I3246" s="8">
        <v>1</v>
      </c>
      <c r="J3246" s="8">
        <v>0</v>
      </c>
      <c r="K3246" s="9">
        <v>0</v>
      </c>
      <c r="L3246" s="10">
        <v>1</v>
      </c>
      <c r="M3246" s="6">
        <v>1</v>
      </c>
      <c r="N3246" s="37" t="e" cm="1">
        <f t="array" ref="N3246">IF(OR(ISNUMBER(FIND(Aux!$D$3:$D$9,_xlfn.TEXTJOIN(,,C3246:K3246)))),NA(),IF(AND(SUM(C3246:F3246,H3246:K3246)=0,G3246=1),0,INT((SUMPRODUCT(C3246:F3246,COLUMN($A$1:$D$1)-1)+SUMPRODUCT(H3246:K3246,COLUMN($E$1:$H$1)-1))*'Line Follower'!$C$3/SUM(C3246:F3246,H3246:K3246)-'Line Follower'!$C$5)))</f>
        <v>#N/A</v>
      </c>
      <c r="O3246" s="22" t="e">
        <v>#N/A</v>
      </c>
      <c r="P3246" s="4" t="e">
        <f t="shared" si="250"/>
        <v>#N/A</v>
      </c>
      <c r="Q3246" s="4" t="e">
        <f t="shared" si="251"/>
        <v>#N/A</v>
      </c>
      <c r="R3246" s="4" t="e">
        <f>IF(AND(B3246=1,N3246&gt;'Line Follower'!$C$7,SUM(C3246:K3246)&lt;4),1,0)</f>
        <v>#N/A</v>
      </c>
      <c r="S3246" s="4" t="e">
        <f>IF(AND(L3246=1,N3246&lt;'Line Follower'!$C$6,SUM(C3246:K3246)&lt;4),1,0)</f>
        <v>#N/A</v>
      </c>
      <c r="T3246" s="4" t="e">
        <f t="shared" si="252"/>
        <v>#N/A</v>
      </c>
      <c r="U3246" s="5" t="e">
        <f t="shared" si="253"/>
        <v>#N/A</v>
      </c>
      <c r="V3246" s="23" t="e">
        <f t="shared" si="254"/>
        <v>#N/A</v>
      </c>
    </row>
    <row r="3247" spans="2:22" x14ac:dyDescent="0.25">
      <c r="B3247" s="16">
        <v>0</v>
      </c>
      <c r="C3247" s="7">
        <v>0</v>
      </c>
      <c r="D3247" s="8">
        <v>1</v>
      </c>
      <c r="E3247" s="8">
        <v>1</v>
      </c>
      <c r="F3247" s="8">
        <v>0</v>
      </c>
      <c r="G3247" s="8">
        <v>1</v>
      </c>
      <c r="H3247" s="8">
        <v>0</v>
      </c>
      <c r="I3247" s="8">
        <v>1</v>
      </c>
      <c r="J3247" s="8">
        <v>0</v>
      </c>
      <c r="K3247" s="9">
        <v>0</v>
      </c>
      <c r="L3247" s="10">
        <v>1</v>
      </c>
      <c r="M3247" s="6">
        <v>1</v>
      </c>
      <c r="N3247" s="37" t="e" cm="1">
        <f t="array" ref="N3247">IF(OR(ISNUMBER(FIND(Aux!$D$3:$D$9,_xlfn.TEXTJOIN(,,C3247:K3247)))),NA(),IF(AND(SUM(C3247:F3247,H3247:K3247)=0,G3247=1),0,INT((SUMPRODUCT(C3247:F3247,COLUMN($A$1:$D$1)-1)+SUMPRODUCT(H3247:K3247,COLUMN($E$1:$H$1)-1))*'Line Follower'!$C$3/SUM(C3247:F3247,H3247:K3247)-'Line Follower'!$C$5)))</f>
        <v>#N/A</v>
      </c>
      <c r="O3247" s="22" t="e">
        <v>#N/A</v>
      </c>
      <c r="P3247" s="4" t="e">
        <f t="shared" si="250"/>
        <v>#N/A</v>
      </c>
      <c r="Q3247" s="4" t="e">
        <f t="shared" si="251"/>
        <v>#N/A</v>
      </c>
      <c r="R3247" s="4" t="e">
        <f>IF(AND(B3247=1,N3247&gt;'Line Follower'!$C$7,SUM(C3247:K3247)&lt;4),1,0)</f>
        <v>#N/A</v>
      </c>
      <c r="S3247" s="4" t="e">
        <f>IF(AND(L3247=1,N3247&lt;'Line Follower'!$C$6,SUM(C3247:K3247)&lt;4),1,0)</f>
        <v>#N/A</v>
      </c>
      <c r="T3247" s="4" t="e">
        <f t="shared" si="252"/>
        <v>#N/A</v>
      </c>
      <c r="U3247" s="5" t="e">
        <f t="shared" si="253"/>
        <v>#N/A</v>
      </c>
      <c r="V3247" s="23" t="e">
        <f t="shared" si="254"/>
        <v>#N/A</v>
      </c>
    </row>
    <row r="3248" spans="2:22" x14ac:dyDescent="0.25">
      <c r="B3248" s="16">
        <v>1</v>
      </c>
      <c r="C3248" s="7">
        <v>0</v>
      </c>
      <c r="D3248" s="8">
        <v>1</v>
      </c>
      <c r="E3248" s="8">
        <v>1</v>
      </c>
      <c r="F3248" s="8">
        <v>0</v>
      </c>
      <c r="G3248" s="8">
        <v>1</v>
      </c>
      <c r="H3248" s="8">
        <v>0</v>
      </c>
      <c r="I3248" s="8">
        <v>1</v>
      </c>
      <c r="J3248" s="8">
        <v>0</v>
      </c>
      <c r="K3248" s="9">
        <v>0</v>
      </c>
      <c r="L3248" s="10">
        <v>1</v>
      </c>
      <c r="M3248" s="6">
        <v>1</v>
      </c>
      <c r="N3248" s="37" t="e" cm="1">
        <f t="array" ref="N3248">IF(OR(ISNUMBER(FIND(Aux!$D$3:$D$9,_xlfn.TEXTJOIN(,,C3248:K3248)))),NA(),IF(AND(SUM(C3248:F3248,H3248:K3248)=0,G3248=1),0,INT((SUMPRODUCT(C3248:F3248,COLUMN($A$1:$D$1)-1)+SUMPRODUCT(H3248:K3248,COLUMN($E$1:$H$1)-1))*'Line Follower'!$C$3/SUM(C3248:F3248,H3248:K3248)-'Line Follower'!$C$5)))</f>
        <v>#N/A</v>
      </c>
      <c r="O3248" s="22" t="e">
        <v>#N/A</v>
      </c>
      <c r="P3248" s="4" t="e">
        <f t="shared" si="250"/>
        <v>#N/A</v>
      </c>
      <c r="Q3248" s="4" t="e">
        <f t="shared" si="251"/>
        <v>#N/A</v>
      </c>
      <c r="R3248" s="4" t="e">
        <f>IF(AND(B3248=1,N3248&gt;'Line Follower'!$C$7,SUM(C3248:K3248)&lt;4),1,0)</f>
        <v>#N/A</v>
      </c>
      <c r="S3248" s="4" t="e">
        <f>IF(AND(L3248=1,N3248&lt;'Line Follower'!$C$6,SUM(C3248:K3248)&lt;4),1,0)</f>
        <v>#N/A</v>
      </c>
      <c r="T3248" s="4" t="e">
        <f t="shared" si="252"/>
        <v>#N/A</v>
      </c>
      <c r="U3248" s="5" t="e">
        <f t="shared" si="253"/>
        <v>#N/A</v>
      </c>
      <c r="V3248" s="23" t="e">
        <f t="shared" si="254"/>
        <v>#N/A</v>
      </c>
    </row>
    <row r="3249" spans="2:22" x14ac:dyDescent="0.25">
      <c r="B3249" s="16">
        <v>0</v>
      </c>
      <c r="C3249" s="7">
        <v>1</v>
      </c>
      <c r="D3249" s="8">
        <v>1</v>
      </c>
      <c r="E3249" s="8">
        <v>1</v>
      </c>
      <c r="F3249" s="8">
        <v>0</v>
      </c>
      <c r="G3249" s="8">
        <v>1</v>
      </c>
      <c r="H3249" s="8">
        <v>0</v>
      </c>
      <c r="I3249" s="8">
        <v>1</v>
      </c>
      <c r="J3249" s="8">
        <v>0</v>
      </c>
      <c r="K3249" s="9">
        <v>0</v>
      </c>
      <c r="L3249" s="10">
        <v>1</v>
      </c>
      <c r="M3249" s="6">
        <v>1</v>
      </c>
      <c r="N3249" s="37" t="e" cm="1">
        <f t="array" ref="N3249">IF(OR(ISNUMBER(FIND(Aux!$D$3:$D$9,_xlfn.TEXTJOIN(,,C3249:K3249)))),NA(),IF(AND(SUM(C3249:F3249,H3249:K3249)=0,G3249=1),0,INT((SUMPRODUCT(C3249:F3249,COLUMN($A$1:$D$1)-1)+SUMPRODUCT(H3249:K3249,COLUMN($E$1:$H$1)-1))*'Line Follower'!$C$3/SUM(C3249:F3249,H3249:K3249)-'Line Follower'!$C$5)))</f>
        <v>#N/A</v>
      </c>
      <c r="O3249" s="22" t="e">
        <v>#N/A</v>
      </c>
      <c r="P3249" s="4" t="e">
        <f t="shared" si="250"/>
        <v>#N/A</v>
      </c>
      <c r="Q3249" s="4" t="e">
        <f t="shared" si="251"/>
        <v>#N/A</v>
      </c>
      <c r="R3249" s="4" t="e">
        <f>IF(AND(B3249=1,N3249&gt;'Line Follower'!$C$7,SUM(C3249:K3249)&lt;4),1,0)</f>
        <v>#N/A</v>
      </c>
      <c r="S3249" s="4" t="e">
        <f>IF(AND(L3249=1,N3249&lt;'Line Follower'!$C$6,SUM(C3249:K3249)&lt;4),1,0)</f>
        <v>#N/A</v>
      </c>
      <c r="T3249" s="4" t="e">
        <f t="shared" si="252"/>
        <v>#N/A</v>
      </c>
      <c r="U3249" s="5" t="e">
        <f t="shared" si="253"/>
        <v>#N/A</v>
      </c>
      <c r="V3249" s="23" t="e">
        <f t="shared" si="254"/>
        <v>#N/A</v>
      </c>
    </row>
    <row r="3250" spans="2:22" x14ac:dyDescent="0.25">
      <c r="B3250" s="16">
        <v>1</v>
      </c>
      <c r="C3250" s="7">
        <v>1</v>
      </c>
      <c r="D3250" s="8">
        <v>1</v>
      </c>
      <c r="E3250" s="8">
        <v>1</v>
      </c>
      <c r="F3250" s="8">
        <v>0</v>
      </c>
      <c r="G3250" s="8">
        <v>1</v>
      </c>
      <c r="H3250" s="8">
        <v>0</v>
      </c>
      <c r="I3250" s="8">
        <v>1</v>
      </c>
      <c r="J3250" s="8">
        <v>0</v>
      </c>
      <c r="K3250" s="9">
        <v>0</v>
      </c>
      <c r="L3250" s="10">
        <v>1</v>
      </c>
      <c r="M3250" s="6">
        <v>1</v>
      </c>
      <c r="N3250" s="37" t="e" cm="1">
        <f t="array" ref="N3250">IF(OR(ISNUMBER(FIND(Aux!$D$3:$D$9,_xlfn.TEXTJOIN(,,C3250:K3250)))),NA(),IF(AND(SUM(C3250:F3250,H3250:K3250)=0,G3250=1),0,INT((SUMPRODUCT(C3250:F3250,COLUMN($A$1:$D$1)-1)+SUMPRODUCT(H3250:K3250,COLUMN($E$1:$H$1)-1))*'Line Follower'!$C$3/SUM(C3250:F3250,H3250:K3250)-'Line Follower'!$C$5)))</f>
        <v>#N/A</v>
      </c>
      <c r="O3250" s="22" t="e">
        <v>#N/A</v>
      </c>
      <c r="P3250" s="4" t="e">
        <f t="shared" si="250"/>
        <v>#N/A</v>
      </c>
      <c r="Q3250" s="4" t="e">
        <f t="shared" si="251"/>
        <v>#N/A</v>
      </c>
      <c r="R3250" s="4" t="e">
        <f>IF(AND(B3250=1,N3250&gt;'Line Follower'!$C$7,SUM(C3250:K3250)&lt;4),1,0)</f>
        <v>#N/A</v>
      </c>
      <c r="S3250" s="4" t="e">
        <f>IF(AND(L3250=1,N3250&lt;'Line Follower'!$C$6,SUM(C3250:K3250)&lt;4),1,0)</f>
        <v>#N/A</v>
      </c>
      <c r="T3250" s="4" t="e">
        <f t="shared" si="252"/>
        <v>#N/A</v>
      </c>
      <c r="U3250" s="5" t="e">
        <f t="shared" si="253"/>
        <v>#N/A</v>
      </c>
      <c r="V3250" s="23" t="e">
        <f t="shared" si="254"/>
        <v>#N/A</v>
      </c>
    </row>
    <row r="3251" spans="2:22" x14ac:dyDescent="0.25">
      <c r="B3251" s="16">
        <v>0</v>
      </c>
      <c r="C3251" s="7">
        <v>0</v>
      </c>
      <c r="D3251" s="8">
        <v>0</v>
      </c>
      <c r="E3251" s="8">
        <v>0</v>
      </c>
      <c r="F3251" s="8">
        <v>1</v>
      </c>
      <c r="G3251" s="8">
        <v>1</v>
      </c>
      <c r="H3251" s="8">
        <v>0</v>
      </c>
      <c r="I3251" s="8">
        <v>1</v>
      </c>
      <c r="J3251" s="8">
        <v>0</v>
      </c>
      <c r="K3251" s="9">
        <v>0</v>
      </c>
      <c r="L3251" s="10">
        <v>1</v>
      </c>
      <c r="M3251" s="6">
        <v>1</v>
      </c>
      <c r="N3251" s="37" t="e" cm="1">
        <f t="array" ref="N3251">IF(OR(ISNUMBER(FIND(Aux!$D$3:$D$9,_xlfn.TEXTJOIN(,,C3251:K3251)))),NA(),IF(AND(SUM(C3251:F3251,H3251:K3251)=0,G3251=1),0,INT((SUMPRODUCT(C3251:F3251,COLUMN($A$1:$D$1)-1)+SUMPRODUCT(H3251:K3251,COLUMN($E$1:$H$1)-1))*'Line Follower'!$C$3/SUM(C3251:F3251,H3251:K3251)-'Line Follower'!$C$5)))</f>
        <v>#N/A</v>
      </c>
      <c r="O3251" s="22" t="e">
        <v>#N/A</v>
      </c>
      <c r="P3251" s="4" t="e">
        <f t="shared" si="250"/>
        <v>#N/A</v>
      </c>
      <c r="Q3251" s="4" t="e">
        <f t="shared" si="251"/>
        <v>#N/A</v>
      </c>
      <c r="R3251" s="4" t="e">
        <f>IF(AND(B3251=1,N3251&gt;'Line Follower'!$C$7,SUM(C3251:K3251)&lt;4),1,0)</f>
        <v>#N/A</v>
      </c>
      <c r="S3251" s="4" t="e">
        <f>IF(AND(L3251=1,N3251&lt;'Line Follower'!$C$6,SUM(C3251:K3251)&lt;4),1,0)</f>
        <v>#N/A</v>
      </c>
      <c r="T3251" s="4" t="e">
        <f t="shared" si="252"/>
        <v>#N/A</v>
      </c>
      <c r="U3251" s="5" t="e">
        <f t="shared" si="253"/>
        <v>#N/A</v>
      </c>
      <c r="V3251" s="23" t="e">
        <f t="shared" si="254"/>
        <v>#N/A</v>
      </c>
    </row>
    <row r="3252" spans="2:22" x14ac:dyDescent="0.25">
      <c r="B3252" s="16">
        <v>1</v>
      </c>
      <c r="C3252" s="7">
        <v>0</v>
      </c>
      <c r="D3252" s="8">
        <v>0</v>
      </c>
      <c r="E3252" s="8">
        <v>0</v>
      </c>
      <c r="F3252" s="8">
        <v>1</v>
      </c>
      <c r="G3252" s="8">
        <v>1</v>
      </c>
      <c r="H3252" s="8">
        <v>0</v>
      </c>
      <c r="I3252" s="8">
        <v>1</v>
      </c>
      <c r="J3252" s="8">
        <v>0</v>
      </c>
      <c r="K3252" s="9">
        <v>0</v>
      </c>
      <c r="L3252" s="10">
        <v>1</v>
      </c>
      <c r="M3252" s="6">
        <v>1</v>
      </c>
      <c r="N3252" s="37" t="e" cm="1">
        <f t="array" ref="N3252">IF(OR(ISNUMBER(FIND(Aux!$D$3:$D$9,_xlfn.TEXTJOIN(,,C3252:K3252)))),NA(),IF(AND(SUM(C3252:F3252,H3252:K3252)=0,G3252=1),0,INT((SUMPRODUCT(C3252:F3252,COLUMN($A$1:$D$1)-1)+SUMPRODUCT(H3252:K3252,COLUMN($E$1:$H$1)-1))*'Line Follower'!$C$3/SUM(C3252:F3252,H3252:K3252)-'Line Follower'!$C$5)))</f>
        <v>#N/A</v>
      </c>
      <c r="O3252" s="22" t="e">
        <v>#N/A</v>
      </c>
      <c r="P3252" s="4" t="e">
        <f t="shared" si="250"/>
        <v>#N/A</v>
      </c>
      <c r="Q3252" s="4" t="e">
        <f t="shared" si="251"/>
        <v>#N/A</v>
      </c>
      <c r="R3252" s="4" t="e">
        <f>IF(AND(B3252=1,N3252&gt;'Line Follower'!$C$7,SUM(C3252:K3252)&lt;4),1,0)</f>
        <v>#N/A</v>
      </c>
      <c r="S3252" s="4" t="e">
        <f>IF(AND(L3252=1,N3252&lt;'Line Follower'!$C$6,SUM(C3252:K3252)&lt;4),1,0)</f>
        <v>#N/A</v>
      </c>
      <c r="T3252" s="4" t="e">
        <f t="shared" si="252"/>
        <v>#N/A</v>
      </c>
      <c r="U3252" s="5" t="e">
        <f t="shared" si="253"/>
        <v>#N/A</v>
      </c>
      <c r="V3252" s="23" t="e">
        <f t="shared" si="254"/>
        <v>#N/A</v>
      </c>
    </row>
    <row r="3253" spans="2:22" x14ac:dyDescent="0.25">
      <c r="B3253" s="16">
        <v>0</v>
      </c>
      <c r="C3253" s="7">
        <v>1</v>
      </c>
      <c r="D3253" s="8">
        <v>0</v>
      </c>
      <c r="E3253" s="8">
        <v>0</v>
      </c>
      <c r="F3253" s="8">
        <v>1</v>
      </c>
      <c r="G3253" s="8">
        <v>1</v>
      </c>
      <c r="H3253" s="8">
        <v>0</v>
      </c>
      <c r="I3253" s="8">
        <v>1</v>
      </c>
      <c r="J3253" s="8">
        <v>0</v>
      </c>
      <c r="K3253" s="9">
        <v>0</v>
      </c>
      <c r="L3253" s="10">
        <v>1</v>
      </c>
      <c r="M3253" s="6">
        <v>1</v>
      </c>
      <c r="N3253" s="37" t="e" cm="1">
        <f t="array" ref="N3253">IF(OR(ISNUMBER(FIND(Aux!$D$3:$D$9,_xlfn.TEXTJOIN(,,C3253:K3253)))),NA(),IF(AND(SUM(C3253:F3253,H3253:K3253)=0,G3253=1),0,INT((SUMPRODUCT(C3253:F3253,COLUMN($A$1:$D$1)-1)+SUMPRODUCT(H3253:K3253,COLUMN($E$1:$H$1)-1))*'Line Follower'!$C$3/SUM(C3253:F3253,H3253:K3253)-'Line Follower'!$C$5)))</f>
        <v>#N/A</v>
      </c>
      <c r="O3253" s="22" t="e">
        <v>#N/A</v>
      </c>
      <c r="P3253" s="4" t="e">
        <f t="shared" si="250"/>
        <v>#N/A</v>
      </c>
      <c r="Q3253" s="4" t="e">
        <f t="shared" si="251"/>
        <v>#N/A</v>
      </c>
      <c r="R3253" s="4" t="e">
        <f>IF(AND(B3253=1,N3253&gt;'Line Follower'!$C$7,SUM(C3253:K3253)&lt;4),1,0)</f>
        <v>#N/A</v>
      </c>
      <c r="S3253" s="4" t="e">
        <f>IF(AND(L3253=1,N3253&lt;'Line Follower'!$C$6,SUM(C3253:K3253)&lt;4),1,0)</f>
        <v>#N/A</v>
      </c>
      <c r="T3253" s="4" t="e">
        <f t="shared" si="252"/>
        <v>#N/A</v>
      </c>
      <c r="U3253" s="5" t="e">
        <f t="shared" si="253"/>
        <v>#N/A</v>
      </c>
      <c r="V3253" s="23" t="e">
        <f t="shared" si="254"/>
        <v>#N/A</v>
      </c>
    </row>
    <row r="3254" spans="2:22" x14ac:dyDescent="0.25">
      <c r="B3254" s="16">
        <v>1</v>
      </c>
      <c r="C3254" s="7">
        <v>1</v>
      </c>
      <c r="D3254" s="8">
        <v>0</v>
      </c>
      <c r="E3254" s="8">
        <v>0</v>
      </c>
      <c r="F3254" s="8">
        <v>1</v>
      </c>
      <c r="G3254" s="8">
        <v>1</v>
      </c>
      <c r="H3254" s="8">
        <v>0</v>
      </c>
      <c r="I3254" s="8">
        <v>1</v>
      </c>
      <c r="J3254" s="8">
        <v>0</v>
      </c>
      <c r="K3254" s="9">
        <v>0</v>
      </c>
      <c r="L3254" s="10">
        <v>1</v>
      </c>
      <c r="M3254" s="6">
        <v>1</v>
      </c>
      <c r="N3254" s="37" t="e" cm="1">
        <f t="array" ref="N3254">IF(OR(ISNUMBER(FIND(Aux!$D$3:$D$9,_xlfn.TEXTJOIN(,,C3254:K3254)))),NA(),IF(AND(SUM(C3254:F3254,H3254:K3254)=0,G3254=1),0,INT((SUMPRODUCT(C3254:F3254,COLUMN($A$1:$D$1)-1)+SUMPRODUCT(H3254:K3254,COLUMN($E$1:$H$1)-1))*'Line Follower'!$C$3/SUM(C3254:F3254,H3254:K3254)-'Line Follower'!$C$5)))</f>
        <v>#N/A</v>
      </c>
      <c r="O3254" s="22" t="e">
        <v>#N/A</v>
      </c>
      <c r="P3254" s="4" t="e">
        <f t="shared" si="250"/>
        <v>#N/A</v>
      </c>
      <c r="Q3254" s="4" t="e">
        <f t="shared" si="251"/>
        <v>#N/A</v>
      </c>
      <c r="R3254" s="4" t="e">
        <f>IF(AND(B3254=1,N3254&gt;'Line Follower'!$C$7,SUM(C3254:K3254)&lt;4),1,0)</f>
        <v>#N/A</v>
      </c>
      <c r="S3254" s="4" t="e">
        <f>IF(AND(L3254=1,N3254&lt;'Line Follower'!$C$6,SUM(C3254:K3254)&lt;4),1,0)</f>
        <v>#N/A</v>
      </c>
      <c r="T3254" s="4" t="e">
        <f t="shared" si="252"/>
        <v>#N/A</v>
      </c>
      <c r="U3254" s="5" t="e">
        <f t="shared" si="253"/>
        <v>#N/A</v>
      </c>
      <c r="V3254" s="23" t="e">
        <f t="shared" si="254"/>
        <v>#N/A</v>
      </c>
    </row>
    <row r="3255" spans="2:22" x14ac:dyDescent="0.25">
      <c r="B3255" s="16">
        <v>0</v>
      </c>
      <c r="C3255" s="7">
        <v>0</v>
      </c>
      <c r="D3255" s="8">
        <v>1</v>
      </c>
      <c r="E3255" s="8">
        <v>0</v>
      </c>
      <c r="F3255" s="8">
        <v>1</v>
      </c>
      <c r="G3255" s="8">
        <v>1</v>
      </c>
      <c r="H3255" s="8">
        <v>0</v>
      </c>
      <c r="I3255" s="8">
        <v>1</v>
      </c>
      <c r="J3255" s="8">
        <v>0</v>
      </c>
      <c r="K3255" s="9">
        <v>0</v>
      </c>
      <c r="L3255" s="10">
        <v>1</v>
      </c>
      <c r="M3255" s="6">
        <v>1</v>
      </c>
      <c r="N3255" s="37" t="e" cm="1">
        <f t="array" ref="N3255">IF(OR(ISNUMBER(FIND(Aux!$D$3:$D$9,_xlfn.TEXTJOIN(,,C3255:K3255)))),NA(),IF(AND(SUM(C3255:F3255,H3255:K3255)=0,G3255=1),0,INT((SUMPRODUCT(C3255:F3255,COLUMN($A$1:$D$1)-1)+SUMPRODUCT(H3255:K3255,COLUMN($E$1:$H$1)-1))*'Line Follower'!$C$3/SUM(C3255:F3255,H3255:K3255)-'Line Follower'!$C$5)))</f>
        <v>#N/A</v>
      </c>
      <c r="O3255" s="22" t="e">
        <v>#N/A</v>
      </c>
      <c r="P3255" s="4" t="e">
        <f t="shared" si="250"/>
        <v>#N/A</v>
      </c>
      <c r="Q3255" s="4" t="e">
        <f t="shared" si="251"/>
        <v>#N/A</v>
      </c>
      <c r="R3255" s="4" t="e">
        <f>IF(AND(B3255=1,N3255&gt;'Line Follower'!$C$7,SUM(C3255:K3255)&lt;4),1,0)</f>
        <v>#N/A</v>
      </c>
      <c r="S3255" s="4" t="e">
        <f>IF(AND(L3255=1,N3255&lt;'Line Follower'!$C$6,SUM(C3255:K3255)&lt;4),1,0)</f>
        <v>#N/A</v>
      </c>
      <c r="T3255" s="4" t="e">
        <f t="shared" si="252"/>
        <v>#N/A</v>
      </c>
      <c r="U3255" s="5" t="e">
        <f t="shared" si="253"/>
        <v>#N/A</v>
      </c>
      <c r="V3255" s="23" t="e">
        <f t="shared" si="254"/>
        <v>#N/A</v>
      </c>
    </row>
    <row r="3256" spans="2:22" x14ac:dyDescent="0.25">
      <c r="B3256" s="16">
        <v>1</v>
      </c>
      <c r="C3256" s="7">
        <v>0</v>
      </c>
      <c r="D3256" s="8">
        <v>1</v>
      </c>
      <c r="E3256" s="8">
        <v>0</v>
      </c>
      <c r="F3256" s="8">
        <v>1</v>
      </c>
      <c r="G3256" s="8">
        <v>1</v>
      </c>
      <c r="H3256" s="8">
        <v>0</v>
      </c>
      <c r="I3256" s="8">
        <v>1</v>
      </c>
      <c r="J3256" s="8">
        <v>0</v>
      </c>
      <c r="K3256" s="9">
        <v>0</v>
      </c>
      <c r="L3256" s="10">
        <v>1</v>
      </c>
      <c r="M3256" s="6">
        <v>1</v>
      </c>
      <c r="N3256" s="37" t="e" cm="1">
        <f t="array" ref="N3256">IF(OR(ISNUMBER(FIND(Aux!$D$3:$D$9,_xlfn.TEXTJOIN(,,C3256:K3256)))),NA(),IF(AND(SUM(C3256:F3256,H3256:K3256)=0,G3256=1),0,INT((SUMPRODUCT(C3256:F3256,COLUMN($A$1:$D$1)-1)+SUMPRODUCT(H3256:K3256,COLUMN($E$1:$H$1)-1))*'Line Follower'!$C$3/SUM(C3256:F3256,H3256:K3256)-'Line Follower'!$C$5)))</f>
        <v>#N/A</v>
      </c>
      <c r="O3256" s="22" t="e">
        <v>#N/A</v>
      </c>
      <c r="P3256" s="4" t="e">
        <f t="shared" si="250"/>
        <v>#N/A</v>
      </c>
      <c r="Q3256" s="4" t="e">
        <f t="shared" si="251"/>
        <v>#N/A</v>
      </c>
      <c r="R3256" s="4" t="e">
        <f>IF(AND(B3256=1,N3256&gt;'Line Follower'!$C$7,SUM(C3256:K3256)&lt;4),1,0)</f>
        <v>#N/A</v>
      </c>
      <c r="S3256" s="4" t="e">
        <f>IF(AND(L3256=1,N3256&lt;'Line Follower'!$C$6,SUM(C3256:K3256)&lt;4),1,0)</f>
        <v>#N/A</v>
      </c>
      <c r="T3256" s="4" t="e">
        <f t="shared" si="252"/>
        <v>#N/A</v>
      </c>
      <c r="U3256" s="5" t="e">
        <f t="shared" si="253"/>
        <v>#N/A</v>
      </c>
      <c r="V3256" s="23" t="e">
        <f t="shared" si="254"/>
        <v>#N/A</v>
      </c>
    </row>
    <row r="3257" spans="2:22" x14ac:dyDescent="0.25">
      <c r="B3257" s="16">
        <v>0</v>
      </c>
      <c r="C3257" s="7">
        <v>1</v>
      </c>
      <c r="D3257" s="8">
        <v>1</v>
      </c>
      <c r="E3257" s="8">
        <v>0</v>
      </c>
      <c r="F3257" s="8">
        <v>1</v>
      </c>
      <c r="G3257" s="8">
        <v>1</v>
      </c>
      <c r="H3257" s="8">
        <v>0</v>
      </c>
      <c r="I3257" s="8">
        <v>1</v>
      </c>
      <c r="J3257" s="8">
        <v>0</v>
      </c>
      <c r="K3257" s="9">
        <v>0</v>
      </c>
      <c r="L3257" s="10">
        <v>1</v>
      </c>
      <c r="M3257" s="6">
        <v>1</v>
      </c>
      <c r="N3257" s="37" t="e" cm="1">
        <f t="array" ref="N3257">IF(OR(ISNUMBER(FIND(Aux!$D$3:$D$9,_xlfn.TEXTJOIN(,,C3257:K3257)))),NA(),IF(AND(SUM(C3257:F3257,H3257:K3257)=0,G3257=1),0,INT((SUMPRODUCT(C3257:F3257,COLUMN($A$1:$D$1)-1)+SUMPRODUCT(H3257:K3257,COLUMN($E$1:$H$1)-1))*'Line Follower'!$C$3/SUM(C3257:F3257,H3257:K3257)-'Line Follower'!$C$5)))</f>
        <v>#N/A</v>
      </c>
      <c r="O3257" s="22" t="e">
        <v>#N/A</v>
      </c>
      <c r="P3257" s="4" t="e">
        <f t="shared" si="250"/>
        <v>#N/A</v>
      </c>
      <c r="Q3257" s="4" t="e">
        <f t="shared" si="251"/>
        <v>#N/A</v>
      </c>
      <c r="R3257" s="4" t="e">
        <f>IF(AND(B3257=1,N3257&gt;'Line Follower'!$C$7,SUM(C3257:K3257)&lt;4),1,0)</f>
        <v>#N/A</v>
      </c>
      <c r="S3257" s="4" t="e">
        <f>IF(AND(L3257=1,N3257&lt;'Line Follower'!$C$6,SUM(C3257:K3257)&lt;4),1,0)</f>
        <v>#N/A</v>
      </c>
      <c r="T3257" s="4" t="e">
        <f t="shared" si="252"/>
        <v>#N/A</v>
      </c>
      <c r="U3257" s="5" t="e">
        <f t="shared" si="253"/>
        <v>#N/A</v>
      </c>
      <c r="V3257" s="23" t="e">
        <f t="shared" si="254"/>
        <v>#N/A</v>
      </c>
    </row>
    <row r="3258" spans="2:22" x14ac:dyDescent="0.25">
      <c r="B3258" s="16">
        <v>1</v>
      </c>
      <c r="C3258" s="7">
        <v>1</v>
      </c>
      <c r="D3258" s="8">
        <v>1</v>
      </c>
      <c r="E3258" s="8">
        <v>0</v>
      </c>
      <c r="F3258" s="8">
        <v>1</v>
      </c>
      <c r="G3258" s="8">
        <v>1</v>
      </c>
      <c r="H3258" s="8">
        <v>0</v>
      </c>
      <c r="I3258" s="8">
        <v>1</v>
      </c>
      <c r="J3258" s="8">
        <v>0</v>
      </c>
      <c r="K3258" s="9">
        <v>0</v>
      </c>
      <c r="L3258" s="10">
        <v>1</v>
      </c>
      <c r="M3258" s="6">
        <v>1</v>
      </c>
      <c r="N3258" s="37" t="e" cm="1">
        <f t="array" ref="N3258">IF(OR(ISNUMBER(FIND(Aux!$D$3:$D$9,_xlfn.TEXTJOIN(,,C3258:K3258)))),NA(),IF(AND(SUM(C3258:F3258,H3258:K3258)=0,G3258=1),0,INT((SUMPRODUCT(C3258:F3258,COLUMN($A$1:$D$1)-1)+SUMPRODUCT(H3258:K3258,COLUMN($E$1:$H$1)-1))*'Line Follower'!$C$3/SUM(C3258:F3258,H3258:K3258)-'Line Follower'!$C$5)))</f>
        <v>#N/A</v>
      </c>
      <c r="O3258" s="22" t="e">
        <v>#N/A</v>
      </c>
      <c r="P3258" s="4" t="e">
        <f t="shared" si="250"/>
        <v>#N/A</v>
      </c>
      <c r="Q3258" s="4" t="e">
        <f t="shared" si="251"/>
        <v>#N/A</v>
      </c>
      <c r="R3258" s="4" t="e">
        <f>IF(AND(B3258=1,N3258&gt;'Line Follower'!$C$7,SUM(C3258:K3258)&lt;4),1,0)</f>
        <v>#N/A</v>
      </c>
      <c r="S3258" s="4" t="e">
        <f>IF(AND(L3258=1,N3258&lt;'Line Follower'!$C$6,SUM(C3258:K3258)&lt;4),1,0)</f>
        <v>#N/A</v>
      </c>
      <c r="T3258" s="4" t="e">
        <f t="shared" si="252"/>
        <v>#N/A</v>
      </c>
      <c r="U3258" s="5" t="e">
        <f t="shared" si="253"/>
        <v>#N/A</v>
      </c>
      <c r="V3258" s="23" t="e">
        <f t="shared" si="254"/>
        <v>#N/A</v>
      </c>
    </row>
    <row r="3259" spans="2:22" x14ac:dyDescent="0.25">
      <c r="B3259" s="16">
        <v>0</v>
      </c>
      <c r="C3259" s="7">
        <v>0</v>
      </c>
      <c r="D3259" s="8">
        <v>0</v>
      </c>
      <c r="E3259" s="8">
        <v>1</v>
      </c>
      <c r="F3259" s="8">
        <v>1</v>
      </c>
      <c r="G3259" s="8">
        <v>1</v>
      </c>
      <c r="H3259" s="8">
        <v>0</v>
      </c>
      <c r="I3259" s="8">
        <v>1</v>
      </c>
      <c r="J3259" s="8">
        <v>0</v>
      </c>
      <c r="K3259" s="9">
        <v>0</v>
      </c>
      <c r="L3259" s="10">
        <v>1</v>
      </c>
      <c r="M3259" s="6">
        <v>1</v>
      </c>
      <c r="N3259" s="37" t="e" cm="1">
        <f t="array" ref="N3259">IF(OR(ISNUMBER(FIND(Aux!$D$3:$D$9,_xlfn.TEXTJOIN(,,C3259:K3259)))),NA(),IF(AND(SUM(C3259:F3259,H3259:K3259)=0,G3259=1),0,INT((SUMPRODUCT(C3259:F3259,COLUMN($A$1:$D$1)-1)+SUMPRODUCT(H3259:K3259,COLUMN($E$1:$H$1)-1))*'Line Follower'!$C$3/SUM(C3259:F3259,H3259:K3259)-'Line Follower'!$C$5)))</f>
        <v>#N/A</v>
      </c>
      <c r="O3259" s="22" t="e">
        <v>#N/A</v>
      </c>
      <c r="P3259" s="4" t="e">
        <f t="shared" si="250"/>
        <v>#N/A</v>
      </c>
      <c r="Q3259" s="4" t="e">
        <f t="shared" si="251"/>
        <v>#N/A</v>
      </c>
      <c r="R3259" s="4" t="e">
        <f>IF(AND(B3259=1,N3259&gt;'Line Follower'!$C$7,SUM(C3259:K3259)&lt;4),1,0)</f>
        <v>#N/A</v>
      </c>
      <c r="S3259" s="4" t="e">
        <f>IF(AND(L3259=1,N3259&lt;'Line Follower'!$C$6,SUM(C3259:K3259)&lt;4),1,0)</f>
        <v>#N/A</v>
      </c>
      <c r="T3259" s="4" t="e">
        <f t="shared" si="252"/>
        <v>#N/A</v>
      </c>
      <c r="U3259" s="5" t="e">
        <f t="shared" si="253"/>
        <v>#N/A</v>
      </c>
      <c r="V3259" s="23" t="e">
        <f t="shared" si="254"/>
        <v>#N/A</v>
      </c>
    </row>
    <row r="3260" spans="2:22" x14ac:dyDescent="0.25">
      <c r="B3260" s="16">
        <v>1</v>
      </c>
      <c r="C3260" s="7">
        <v>0</v>
      </c>
      <c r="D3260" s="8">
        <v>0</v>
      </c>
      <c r="E3260" s="8">
        <v>1</v>
      </c>
      <c r="F3260" s="8">
        <v>1</v>
      </c>
      <c r="G3260" s="8">
        <v>1</v>
      </c>
      <c r="H3260" s="8">
        <v>0</v>
      </c>
      <c r="I3260" s="8">
        <v>1</v>
      </c>
      <c r="J3260" s="8">
        <v>0</v>
      </c>
      <c r="K3260" s="9">
        <v>0</v>
      </c>
      <c r="L3260" s="10">
        <v>1</v>
      </c>
      <c r="M3260" s="6">
        <v>1</v>
      </c>
      <c r="N3260" s="37" t="e" cm="1">
        <f t="array" ref="N3260">IF(OR(ISNUMBER(FIND(Aux!$D$3:$D$9,_xlfn.TEXTJOIN(,,C3260:K3260)))),NA(),IF(AND(SUM(C3260:F3260,H3260:K3260)=0,G3260=1),0,INT((SUMPRODUCT(C3260:F3260,COLUMN($A$1:$D$1)-1)+SUMPRODUCT(H3260:K3260,COLUMN($E$1:$H$1)-1))*'Line Follower'!$C$3/SUM(C3260:F3260,H3260:K3260)-'Line Follower'!$C$5)))</f>
        <v>#N/A</v>
      </c>
      <c r="O3260" s="22" t="e">
        <v>#N/A</v>
      </c>
      <c r="P3260" s="4" t="e">
        <f t="shared" si="250"/>
        <v>#N/A</v>
      </c>
      <c r="Q3260" s="4" t="e">
        <f t="shared" si="251"/>
        <v>#N/A</v>
      </c>
      <c r="R3260" s="4" t="e">
        <f>IF(AND(B3260=1,N3260&gt;'Line Follower'!$C$7,SUM(C3260:K3260)&lt;4),1,0)</f>
        <v>#N/A</v>
      </c>
      <c r="S3260" s="4" t="e">
        <f>IF(AND(L3260=1,N3260&lt;'Line Follower'!$C$6,SUM(C3260:K3260)&lt;4),1,0)</f>
        <v>#N/A</v>
      </c>
      <c r="T3260" s="4" t="e">
        <f t="shared" si="252"/>
        <v>#N/A</v>
      </c>
      <c r="U3260" s="5" t="e">
        <f t="shared" si="253"/>
        <v>#N/A</v>
      </c>
      <c r="V3260" s="23" t="e">
        <f t="shared" si="254"/>
        <v>#N/A</v>
      </c>
    </row>
    <row r="3261" spans="2:22" x14ac:dyDescent="0.25">
      <c r="B3261" s="16">
        <v>0</v>
      </c>
      <c r="C3261" s="7">
        <v>1</v>
      </c>
      <c r="D3261" s="8">
        <v>0</v>
      </c>
      <c r="E3261" s="8">
        <v>1</v>
      </c>
      <c r="F3261" s="8">
        <v>1</v>
      </c>
      <c r="G3261" s="8">
        <v>1</v>
      </c>
      <c r="H3261" s="8">
        <v>0</v>
      </c>
      <c r="I3261" s="8">
        <v>1</v>
      </c>
      <c r="J3261" s="8">
        <v>0</v>
      </c>
      <c r="K3261" s="9">
        <v>0</v>
      </c>
      <c r="L3261" s="10">
        <v>1</v>
      </c>
      <c r="M3261" s="6">
        <v>1</v>
      </c>
      <c r="N3261" s="37" t="e" cm="1">
        <f t="array" ref="N3261">IF(OR(ISNUMBER(FIND(Aux!$D$3:$D$9,_xlfn.TEXTJOIN(,,C3261:K3261)))),NA(),IF(AND(SUM(C3261:F3261,H3261:K3261)=0,G3261=1),0,INT((SUMPRODUCT(C3261:F3261,COLUMN($A$1:$D$1)-1)+SUMPRODUCT(H3261:K3261,COLUMN($E$1:$H$1)-1))*'Line Follower'!$C$3/SUM(C3261:F3261,H3261:K3261)-'Line Follower'!$C$5)))</f>
        <v>#N/A</v>
      </c>
      <c r="O3261" s="22" t="e">
        <v>#N/A</v>
      </c>
      <c r="P3261" s="4" t="e">
        <f t="shared" si="250"/>
        <v>#N/A</v>
      </c>
      <c r="Q3261" s="4" t="e">
        <f t="shared" si="251"/>
        <v>#N/A</v>
      </c>
      <c r="R3261" s="4" t="e">
        <f>IF(AND(B3261=1,N3261&gt;'Line Follower'!$C$7,SUM(C3261:K3261)&lt;4),1,0)</f>
        <v>#N/A</v>
      </c>
      <c r="S3261" s="4" t="e">
        <f>IF(AND(L3261=1,N3261&lt;'Line Follower'!$C$6,SUM(C3261:K3261)&lt;4),1,0)</f>
        <v>#N/A</v>
      </c>
      <c r="T3261" s="4" t="e">
        <f t="shared" si="252"/>
        <v>#N/A</v>
      </c>
      <c r="U3261" s="5" t="e">
        <f t="shared" si="253"/>
        <v>#N/A</v>
      </c>
      <c r="V3261" s="23" t="e">
        <f t="shared" si="254"/>
        <v>#N/A</v>
      </c>
    </row>
    <row r="3262" spans="2:22" x14ac:dyDescent="0.25">
      <c r="B3262" s="16">
        <v>1</v>
      </c>
      <c r="C3262" s="7">
        <v>1</v>
      </c>
      <c r="D3262" s="8">
        <v>0</v>
      </c>
      <c r="E3262" s="8">
        <v>1</v>
      </c>
      <c r="F3262" s="8">
        <v>1</v>
      </c>
      <c r="G3262" s="8">
        <v>1</v>
      </c>
      <c r="H3262" s="8">
        <v>0</v>
      </c>
      <c r="I3262" s="8">
        <v>1</v>
      </c>
      <c r="J3262" s="8">
        <v>0</v>
      </c>
      <c r="K3262" s="9">
        <v>0</v>
      </c>
      <c r="L3262" s="10">
        <v>1</v>
      </c>
      <c r="M3262" s="6">
        <v>1</v>
      </c>
      <c r="N3262" s="37" t="e" cm="1">
        <f t="array" ref="N3262">IF(OR(ISNUMBER(FIND(Aux!$D$3:$D$9,_xlfn.TEXTJOIN(,,C3262:K3262)))),NA(),IF(AND(SUM(C3262:F3262,H3262:K3262)=0,G3262=1),0,INT((SUMPRODUCT(C3262:F3262,COLUMN($A$1:$D$1)-1)+SUMPRODUCT(H3262:K3262,COLUMN($E$1:$H$1)-1))*'Line Follower'!$C$3/SUM(C3262:F3262,H3262:K3262)-'Line Follower'!$C$5)))</f>
        <v>#N/A</v>
      </c>
      <c r="O3262" s="22" t="e">
        <v>#N/A</v>
      </c>
      <c r="P3262" s="4" t="e">
        <f t="shared" si="250"/>
        <v>#N/A</v>
      </c>
      <c r="Q3262" s="4" t="e">
        <f t="shared" si="251"/>
        <v>#N/A</v>
      </c>
      <c r="R3262" s="4" t="e">
        <f>IF(AND(B3262=1,N3262&gt;'Line Follower'!$C$7,SUM(C3262:K3262)&lt;4),1,0)</f>
        <v>#N/A</v>
      </c>
      <c r="S3262" s="4" t="e">
        <f>IF(AND(L3262=1,N3262&lt;'Line Follower'!$C$6,SUM(C3262:K3262)&lt;4),1,0)</f>
        <v>#N/A</v>
      </c>
      <c r="T3262" s="4" t="e">
        <f t="shared" si="252"/>
        <v>#N/A</v>
      </c>
      <c r="U3262" s="5" t="e">
        <f t="shared" si="253"/>
        <v>#N/A</v>
      </c>
      <c r="V3262" s="23" t="e">
        <f t="shared" si="254"/>
        <v>#N/A</v>
      </c>
    </row>
    <row r="3263" spans="2:22" x14ac:dyDescent="0.25">
      <c r="B3263" s="16">
        <v>0</v>
      </c>
      <c r="C3263" s="7">
        <v>0</v>
      </c>
      <c r="D3263" s="8">
        <v>1</v>
      </c>
      <c r="E3263" s="8">
        <v>1</v>
      </c>
      <c r="F3263" s="8">
        <v>1</v>
      </c>
      <c r="G3263" s="8">
        <v>1</v>
      </c>
      <c r="H3263" s="8">
        <v>0</v>
      </c>
      <c r="I3263" s="8">
        <v>1</v>
      </c>
      <c r="J3263" s="8">
        <v>0</v>
      </c>
      <c r="K3263" s="9">
        <v>0</v>
      </c>
      <c r="L3263" s="10">
        <v>1</v>
      </c>
      <c r="M3263" s="6">
        <v>1</v>
      </c>
      <c r="N3263" s="37" t="e" cm="1">
        <f t="array" ref="N3263">IF(OR(ISNUMBER(FIND(Aux!$D$3:$D$9,_xlfn.TEXTJOIN(,,C3263:K3263)))),NA(),IF(AND(SUM(C3263:F3263,H3263:K3263)=0,G3263=1),0,INT((SUMPRODUCT(C3263:F3263,COLUMN($A$1:$D$1)-1)+SUMPRODUCT(H3263:K3263,COLUMN($E$1:$H$1)-1))*'Line Follower'!$C$3/SUM(C3263:F3263,H3263:K3263)-'Line Follower'!$C$5)))</f>
        <v>#N/A</v>
      </c>
      <c r="O3263" s="22" t="e">
        <v>#N/A</v>
      </c>
      <c r="P3263" s="4" t="e">
        <f t="shared" si="250"/>
        <v>#N/A</v>
      </c>
      <c r="Q3263" s="4" t="e">
        <f t="shared" si="251"/>
        <v>#N/A</v>
      </c>
      <c r="R3263" s="4" t="e">
        <f>IF(AND(B3263=1,N3263&gt;'Line Follower'!$C$7,SUM(C3263:K3263)&lt;4),1,0)</f>
        <v>#N/A</v>
      </c>
      <c r="S3263" s="4" t="e">
        <f>IF(AND(L3263=1,N3263&lt;'Line Follower'!$C$6,SUM(C3263:K3263)&lt;4),1,0)</f>
        <v>#N/A</v>
      </c>
      <c r="T3263" s="4" t="e">
        <f t="shared" si="252"/>
        <v>#N/A</v>
      </c>
      <c r="U3263" s="5" t="e">
        <f t="shared" si="253"/>
        <v>#N/A</v>
      </c>
      <c r="V3263" s="23" t="e">
        <f t="shared" si="254"/>
        <v>#N/A</v>
      </c>
    </row>
    <row r="3264" spans="2:22" x14ac:dyDescent="0.25">
      <c r="B3264" s="16">
        <v>1</v>
      </c>
      <c r="C3264" s="7">
        <v>0</v>
      </c>
      <c r="D3264" s="8">
        <v>1</v>
      </c>
      <c r="E3264" s="8">
        <v>1</v>
      </c>
      <c r="F3264" s="8">
        <v>1</v>
      </c>
      <c r="G3264" s="8">
        <v>1</v>
      </c>
      <c r="H3264" s="8">
        <v>0</v>
      </c>
      <c r="I3264" s="8">
        <v>1</v>
      </c>
      <c r="J3264" s="8">
        <v>0</v>
      </c>
      <c r="K3264" s="9">
        <v>0</v>
      </c>
      <c r="L3264" s="10">
        <v>1</v>
      </c>
      <c r="M3264" s="6">
        <v>1</v>
      </c>
      <c r="N3264" s="37" t="e" cm="1">
        <f t="array" ref="N3264">IF(OR(ISNUMBER(FIND(Aux!$D$3:$D$9,_xlfn.TEXTJOIN(,,C3264:K3264)))),NA(),IF(AND(SUM(C3264:F3264,H3264:K3264)=0,G3264=1),0,INT((SUMPRODUCT(C3264:F3264,COLUMN($A$1:$D$1)-1)+SUMPRODUCT(H3264:K3264,COLUMN($E$1:$H$1)-1))*'Line Follower'!$C$3/SUM(C3264:F3264,H3264:K3264)-'Line Follower'!$C$5)))</f>
        <v>#N/A</v>
      </c>
      <c r="O3264" s="22" t="e">
        <v>#N/A</v>
      </c>
      <c r="P3264" s="4" t="e">
        <f t="shared" si="250"/>
        <v>#N/A</v>
      </c>
      <c r="Q3264" s="4" t="e">
        <f t="shared" si="251"/>
        <v>#N/A</v>
      </c>
      <c r="R3264" s="4" t="e">
        <f>IF(AND(B3264=1,N3264&gt;'Line Follower'!$C$7,SUM(C3264:K3264)&lt;4),1,0)</f>
        <v>#N/A</v>
      </c>
      <c r="S3264" s="4" t="e">
        <f>IF(AND(L3264=1,N3264&lt;'Line Follower'!$C$6,SUM(C3264:K3264)&lt;4),1,0)</f>
        <v>#N/A</v>
      </c>
      <c r="T3264" s="4" t="e">
        <f t="shared" si="252"/>
        <v>#N/A</v>
      </c>
      <c r="U3264" s="5" t="e">
        <f t="shared" si="253"/>
        <v>#N/A</v>
      </c>
      <c r="V3264" s="23" t="e">
        <f t="shared" si="254"/>
        <v>#N/A</v>
      </c>
    </row>
    <row r="3265" spans="2:22" x14ac:dyDescent="0.25">
      <c r="B3265" s="16">
        <v>0</v>
      </c>
      <c r="C3265" s="7">
        <v>1</v>
      </c>
      <c r="D3265" s="8">
        <v>1</v>
      </c>
      <c r="E3265" s="8">
        <v>1</v>
      </c>
      <c r="F3265" s="8">
        <v>1</v>
      </c>
      <c r="G3265" s="8">
        <v>1</v>
      </c>
      <c r="H3265" s="8">
        <v>0</v>
      </c>
      <c r="I3265" s="8">
        <v>1</v>
      </c>
      <c r="J3265" s="8">
        <v>0</v>
      </c>
      <c r="K3265" s="9">
        <v>0</v>
      </c>
      <c r="L3265" s="10">
        <v>1</v>
      </c>
      <c r="M3265" s="6">
        <v>1</v>
      </c>
      <c r="N3265" s="37" t="e" cm="1">
        <f t="array" ref="N3265">IF(OR(ISNUMBER(FIND(Aux!$D$3:$D$9,_xlfn.TEXTJOIN(,,C3265:K3265)))),NA(),IF(AND(SUM(C3265:F3265,H3265:K3265)=0,G3265=1),0,INT((SUMPRODUCT(C3265:F3265,COLUMN($A$1:$D$1)-1)+SUMPRODUCT(H3265:K3265,COLUMN($E$1:$H$1)-1))*'Line Follower'!$C$3/SUM(C3265:F3265,H3265:K3265)-'Line Follower'!$C$5)))</f>
        <v>#N/A</v>
      </c>
      <c r="O3265" s="22" t="e">
        <v>#N/A</v>
      </c>
      <c r="P3265" s="4" t="e">
        <f t="shared" si="250"/>
        <v>#N/A</v>
      </c>
      <c r="Q3265" s="4" t="e">
        <f t="shared" si="251"/>
        <v>#N/A</v>
      </c>
      <c r="R3265" s="4" t="e">
        <f>IF(AND(B3265=1,N3265&gt;'Line Follower'!$C$7,SUM(C3265:K3265)&lt;4),1,0)</f>
        <v>#N/A</v>
      </c>
      <c r="S3265" s="4" t="e">
        <f>IF(AND(L3265=1,N3265&lt;'Line Follower'!$C$6,SUM(C3265:K3265)&lt;4),1,0)</f>
        <v>#N/A</v>
      </c>
      <c r="T3265" s="4" t="e">
        <f t="shared" si="252"/>
        <v>#N/A</v>
      </c>
      <c r="U3265" s="5" t="e">
        <f t="shared" si="253"/>
        <v>#N/A</v>
      </c>
      <c r="V3265" s="23" t="e">
        <f t="shared" si="254"/>
        <v>#N/A</v>
      </c>
    </row>
    <row r="3266" spans="2:22" x14ac:dyDescent="0.25">
      <c r="B3266" s="16">
        <v>1</v>
      </c>
      <c r="C3266" s="7">
        <v>1</v>
      </c>
      <c r="D3266" s="8">
        <v>1</v>
      </c>
      <c r="E3266" s="8">
        <v>1</v>
      </c>
      <c r="F3266" s="8">
        <v>1</v>
      </c>
      <c r="G3266" s="8">
        <v>1</v>
      </c>
      <c r="H3266" s="8">
        <v>0</v>
      </c>
      <c r="I3266" s="8">
        <v>1</v>
      </c>
      <c r="J3266" s="8">
        <v>0</v>
      </c>
      <c r="K3266" s="9">
        <v>0</v>
      </c>
      <c r="L3266" s="10">
        <v>1</v>
      </c>
      <c r="M3266" s="6">
        <v>1</v>
      </c>
      <c r="N3266" s="37" t="e" cm="1">
        <f t="array" ref="N3266">IF(OR(ISNUMBER(FIND(Aux!$D$3:$D$9,_xlfn.TEXTJOIN(,,C3266:K3266)))),NA(),IF(AND(SUM(C3266:F3266,H3266:K3266)=0,G3266=1),0,INT((SUMPRODUCT(C3266:F3266,COLUMN($A$1:$D$1)-1)+SUMPRODUCT(H3266:K3266,COLUMN($E$1:$H$1)-1))*'Line Follower'!$C$3/SUM(C3266:F3266,H3266:K3266)-'Line Follower'!$C$5)))</f>
        <v>#N/A</v>
      </c>
      <c r="O3266" s="22" t="e">
        <v>#N/A</v>
      </c>
      <c r="P3266" s="4" t="e">
        <f t="shared" si="250"/>
        <v>#N/A</v>
      </c>
      <c r="Q3266" s="4" t="e">
        <f t="shared" si="251"/>
        <v>#N/A</v>
      </c>
      <c r="R3266" s="4" t="e">
        <f>IF(AND(B3266=1,N3266&gt;'Line Follower'!$C$7,SUM(C3266:K3266)&lt;4),1,0)</f>
        <v>#N/A</v>
      </c>
      <c r="S3266" s="4" t="e">
        <f>IF(AND(L3266=1,N3266&lt;'Line Follower'!$C$6,SUM(C3266:K3266)&lt;4),1,0)</f>
        <v>#N/A</v>
      </c>
      <c r="T3266" s="4" t="e">
        <f t="shared" si="252"/>
        <v>#N/A</v>
      </c>
      <c r="U3266" s="5" t="e">
        <f t="shared" si="253"/>
        <v>#N/A</v>
      </c>
      <c r="V3266" s="23" t="e">
        <f t="shared" si="254"/>
        <v>#N/A</v>
      </c>
    </row>
    <row r="3267" spans="2:22" x14ac:dyDescent="0.25">
      <c r="B3267" s="16">
        <v>0</v>
      </c>
      <c r="C3267" s="7">
        <v>0</v>
      </c>
      <c r="D3267" s="8">
        <v>0</v>
      </c>
      <c r="E3267" s="8">
        <v>0</v>
      </c>
      <c r="F3267" s="8">
        <v>0</v>
      </c>
      <c r="G3267" s="8">
        <v>0</v>
      </c>
      <c r="H3267" s="8">
        <v>1</v>
      </c>
      <c r="I3267" s="8">
        <v>1</v>
      </c>
      <c r="J3267" s="8">
        <v>0</v>
      </c>
      <c r="K3267" s="9">
        <v>0</v>
      </c>
      <c r="L3267" s="10">
        <v>1</v>
      </c>
      <c r="M3267" s="6">
        <v>1</v>
      </c>
      <c r="N3267" s="37" cm="1">
        <f t="array" ref="N3267">IF(OR(ISNUMBER(FIND(Aux!$D$3:$D$9,_xlfn.TEXTJOIN(,,C3267:K3267)))),NA(),IF(AND(SUM(C3267:F3267,H3267:K3267)=0,G3267=1),0,INT((SUMPRODUCT(C3267:F3267,COLUMN($A$1:$D$1)-1)+SUMPRODUCT(H3267:K3267,COLUMN($E$1:$H$1)-1))*'Line Follower'!$C$3/SUM(C3267:F3267,H3267:K3267)-'Line Follower'!$C$5)))</f>
        <v>2</v>
      </c>
      <c r="O3267" s="22">
        <v>1</v>
      </c>
      <c r="P3267" s="4">
        <f t="shared" ref="P3267:P3330" si="255">IF(AND(N3267=0,G3267=1,M3267=1),1,0)</f>
        <v>0</v>
      </c>
      <c r="Q3267" s="4">
        <f t="shared" ref="Q3267:Q3330" si="256">IF(ISERROR(N3267),N3267,IF(SUM(C3267:K3267)&gt;=4,1,0))</f>
        <v>0</v>
      </c>
      <c r="R3267" s="4">
        <f>IF(AND(B3267=1,N3267&gt;'Line Follower'!$C$7,SUM(C3267:K3267)&lt;4),1,0)</f>
        <v>0</v>
      </c>
      <c r="S3267" s="4">
        <f>IF(AND(L3267=1,N3267&lt;'Line Follower'!$C$6,SUM(C3267:K3267)&lt;4),1,0)</f>
        <v>1</v>
      </c>
      <c r="T3267" s="4">
        <f t="shared" si="252"/>
        <v>0</v>
      </c>
      <c r="U3267" s="5">
        <f t="shared" si="253"/>
        <v>0</v>
      </c>
      <c r="V3267" s="23">
        <f t="shared" si="254"/>
        <v>0</v>
      </c>
    </row>
    <row r="3268" spans="2:22" x14ac:dyDescent="0.25">
      <c r="B3268" s="16">
        <v>1</v>
      </c>
      <c r="C3268" s="7">
        <v>0</v>
      </c>
      <c r="D3268" s="8">
        <v>0</v>
      </c>
      <c r="E3268" s="8">
        <v>0</v>
      </c>
      <c r="F3268" s="8">
        <v>0</v>
      </c>
      <c r="G3268" s="8">
        <v>0</v>
      </c>
      <c r="H3268" s="8">
        <v>1</v>
      </c>
      <c r="I3268" s="8">
        <v>1</v>
      </c>
      <c r="J3268" s="8">
        <v>0</v>
      </c>
      <c r="K3268" s="9">
        <v>0</v>
      </c>
      <c r="L3268" s="10">
        <v>1</v>
      </c>
      <c r="M3268" s="6">
        <v>1</v>
      </c>
      <c r="N3268" s="37" cm="1">
        <f t="array" ref="N3268">IF(OR(ISNUMBER(FIND(Aux!$D$3:$D$9,_xlfn.TEXTJOIN(,,C3268:K3268)))),NA(),IF(AND(SUM(C3268:F3268,H3268:K3268)=0,G3268=1),0,INT((SUMPRODUCT(C3268:F3268,COLUMN($A$1:$D$1)-1)+SUMPRODUCT(H3268:K3268,COLUMN($E$1:$H$1)-1))*'Line Follower'!$C$3/SUM(C3268:F3268,H3268:K3268)-'Line Follower'!$C$5)))</f>
        <v>2</v>
      </c>
      <c r="O3268" s="22">
        <v>1</v>
      </c>
      <c r="P3268" s="4">
        <f t="shared" si="255"/>
        <v>0</v>
      </c>
      <c r="Q3268" s="4">
        <f t="shared" si="256"/>
        <v>0</v>
      </c>
      <c r="R3268" s="4">
        <f>IF(AND(B3268=1,N3268&gt;'Line Follower'!$C$7,SUM(C3268:K3268)&lt;4),1,0)</f>
        <v>1</v>
      </c>
      <c r="S3268" s="4">
        <f>IF(AND(L3268=1,N3268&lt;'Line Follower'!$C$6,SUM(C3268:K3268)&lt;4),1,0)</f>
        <v>1</v>
      </c>
      <c r="T3268" s="4">
        <f t="shared" ref="T3268:T3331" si="257">IF(ISNA(N3268),NA(),IF(SUM(C3268:L3268)=0,1,0))</f>
        <v>0</v>
      </c>
      <c r="U3268" s="5">
        <f t="shared" ref="U3268:U3331" si="258">IF(ISNA(N3268),NA(),IF(SUM(B3268:K3268)=0,1,0))</f>
        <v>0</v>
      </c>
      <c r="V3268" s="23">
        <f t="shared" ref="V3268:V3331" si="259">IF(ISNA(N3268),NA(),IF(SUM(B3268:L3268)=0,1,0))</f>
        <v>0</v>
      </c>
    </row>
    <row r="3269" spans="2:22" x14ac:dyDescent="0.25">
      <c r="B3269" s="16">
        <v>0</v>
      </c>
      <c r="C3269" s="7">
        <v>1</v>
      </c>
      <c r="D3269" s="8">
        <v>0</v>
      </c>
      <c r="E3269" s="8">
        <v>0</v>
      </c>
      <c r="F3269" s="8">
        <v>0</v>
      </c>
      <c r="G3269" s="8">
        <v>0</v>
      </c>
      <c r="H3269" s="8">
        <v>1</v>
      </c>
      <c r="I3269" s="8">
        <v>1</v>
      </c>
      <c r="J3269" s="8">
        <v>0</v>
      </c>
      <c r="K3269" s="9">
        <v>0</v>
      </c>
      <c r="L3269" s="10">
        <v>1</v>
      </c>
      <c r="M3269" s="6">
        <v>1</v>
      </c>
      <c r="N3269" s="37" t="e" cm="1">
        <f t="array" ref="N3269">IF(OR(ISNUMBER(FIND(Aux!$D$3:$D$9,_xlfn.TEXTJOIN(,,C3269:K3269)))),NA(),IF(AND(SUM(C3269:F3269,H3269:K3269)=0,G3269=1),0,INT((SUMPRODUCT(C3269:F3269,COLUMN($A$1:$D$1)-1)+SUMPRODUCT(H3269:K3269,COLUMN($E$1:$H$1)-1))*'Line Follower'!$C$3/SUM(C3269:F3269,H3269:K3269)-'Line Follower'!$C$5)))</f>
        <v>#N/A</v>
      </c>
      <c r="O3269" s="22" t="e">
        <v>#N/A</v>
      </c>
      <c r="P3269" s="4" t="e">
        <f t="shared" si="255"/>
        <v>#N/A</v>
      </c>
      <c r="Q3269" s="4" t="e">
        <f t="shared" si="256"/>
        <v>#N/A</v>
      </c>
      <c r="R3269" s="4" t="e">
        <f>IF(AND(B3269=1,N3269&gt;'Line Follower'!$C$7,SUM(C3269:K3269)&lt;4),1,0)</f>
        <v>#N/A</v>
      </c>
      <c r="S3269" s="4" t="e">
        <f>IF(AND(L3269=1,N3269&lt;'Line Follower'!$C$6,SUM(C3269:K3269)&lt;4),1,0)</f>
        <v>#N/A</v>
      </c>
      <c r="T3269" s="4" t="e">
        <f t="shared" si="257"/>
        <v>#N/A</v>
      </c>
      <c r="U3269" s="5" t="e">
        <f t="shared" si="258"/>
        <v>#N/A</v>
      </c>
      <c r="V3269" s="23" t="e">
        <f t="shared" si="259"/>
        <v>#N/A</v>
      </c>
    </row>
    <row r="3270" spans="2:22" x14ac:dyDescent="0.25">
      <c r="B3270" s="16">
        <v>1</v>
      </c>
      <c r="C3270" s="7">
        <v>1</v>
      </c>
      <c r="D3270" s="8">
        <v>0</v>
      </c>
      <c r="E3270" s="8">
        <v>0</v>
      </c>
      <c r="F3270" s="8">
        <v>0</v>
      </c>
      <c r="G3270" s="8">
        <v>0</v>
      </c>
      <c r="H3270" s="8">
        <v>1</v>
      </c>
      <c r="I3270" s="8">
        <v>1</v>
      </c>
      <c r="J3270" s="8">
        <v>0</v>
      </c>
      <c r="K3270" s="9">
        <v>0</v>
      </c>
      <c r="L3270" s="10">
        <v>1</v>
      </c>
      <c r="M3270" s="6">
        <v>1</v>
      </c>
      <c r="N3270" s="37" t="e" cm="1">
        <f t="array" ref="N3270">IF(OR(ISNUMBER(FIND(Aux!$D$3:$D$9,_xlfn.TEXTJOIN(,,C3270:K3270)))),NA(),IF(AND(SUM(C3270:F3270,H3270:K3270)=0,G3270=1),0,INT((SUMPRODUCT(C3270:F3270,COLUMN($A$1:$D$1)-1)+SUMPRODUCT(H3270:K3270,COLUMN($E$1:$H$1)-1))*'Line Follower'!$C$3/SUM(C3270:F3270,H3270:K3270)-'Line Follower'!$C$5)))</f>
        <v>#N/A</v>
      </c>
      <c r="O3270" s="22" t="e">
        <v>#N/A</v>
      </c>
      <c r="P3270" s="4" t="e">
        <f t="shared" si="255"/>
        <v>#N/A</v>
      </c>
      <c r="Q3270" s="4" t="e">
        <f t="shared" si="256"/>
        <v>#N/A</v>
      </c>
      <c r="R3270" s="4" t="e">
        <f>IF(AND(B3270=1,N3270&gt;'Line Follower'!$C$7,SUM(C3270:K3270)&lt;4),1,0)</f>
        <v>#N/A</v>
      </c>
      <c r="S3270" s="4" t="e">
        <f>IF(AND(L3270=1,N3270&lt;'Line Follower'!$C$6,SUM(C3270:K3270)&lt;4),1,0)</f>
        <v>#N/A</v>
      </c>
      <c r="T3270" s="4" t="e">
        <f t="shared" si="257"/>
        <v>#N/A</v>
      </c>
      <c r="U3270" s="5" t="e">
        <f t="shared" si="258"/>
        <v>#N/A</v>
      </c>
      <c r="V3270" s="23" t="e">
        <f t="shared" si="259"/>
        <v>#N/A</v>
      </c>
    </row>
    <row r="3271" spans="2:22" x14ac:dyDescent="0.25">
      <c r="B3271" s="16">
        <v>0</v>
      </c>
      <c r="C3271" s="7">
        <v>0</v>
      </c>
      <c r="D3271" s="8">
        <v>1</v>
      </c>
      <c r="E3271" s="8">
        <v>0</v>
      </c>
      <c r="F3271" s="8">
        <v>0</v>
      </c>
      <c r="G3271" s="8">
        <v>0</v>
      </c>
      <c r="H3271" s="8">
        <v>1</v>
      </c>
      <c r="I3271" s="8">
        <v>1</v>
      </c>
      <c r="J3271" s="8">
        <v>0</v>
      </c>
      <c r="K3271" s="9">
        <v>0</v>
      </c>
      <c r="L3271" s="10">
        <v>1</v>
      </c>
      <c r="M3271" s="6">
        <v>1</v>
      </c>
      <c r="N3271" s="37" t="e" cm="1">
        <f t="array" ref="N3271">IF(OR(ISNUMBER(FIND(Aux!$D$3:$D$9,_xlfn.TEXTJOIN(,,C3271:K3271)))),NA(),IF(AND(SUM(C3271:F3271,H3271:K3271)=0,G3271=1),0,INT((SUMPRODUCT(C3271:F3271,COLUMN($A$1:$D$1)-1)+SUMPRODUCT(H3271:K3271,COLUMN($E$1:$H$1)-1))*'Line Follower'!$C$3/SUM(C3271:F3271,H3271:K3271)-'Line Follower'!$C$5)))</f>
        <v>#N/A</v>
      </c>
      <c r="O3271" s="22" t="e">
        <v>#N/A</v>
      </c>
      <c r="P3271" s="4" t="e">
        <f t="shared" si="255"/>
        <v>#N/A</v>
      </c>
      <c r="Q3271" s="4" t="e">
        <f t="shared" si="256"/>
        <v>#N/A</v>
      </c>
      <c r="R3271" s="4" t="e">
        <f>IF(AND(B3271=1,N3271&gt;'Line Follower'!$C$7,SUM(C3271:K3271)&lt;4),1,0)</f>
        <v>#N/A</v>
      </c>
      <c r="S3271" s="4" t="e">
        <f>IF(AND(L3271=1,N3271&lt;'Line Follower'!$C$6,SUM(C3271:K3271)&lt;4),1,0)</f>
        <v>#N/A</v>
      </c>
      <c r="T3271" s="4" t="e">
        <f t="shared" si="257"/>
        <v>#N/A</v>
      </c>
      <c r="U3271" s="5" t="e">
        <f t="shared" si="258"/>
        <v>#N/A</v>
      </c>
      <c r="V3271" s="23" t="e">
        <f t="shared" si="259"/>
        <v>#N/A</v>
      </c>
    </row>
    <row r="3272" spans="2:22" x14ac:dyDescent="0.25">
      <c r="B3272" s="16">
        <v>1</v>
      </c>
      <c r="C3272" s="7">
        <v>0</v>
      </c>
      <c r="D3272" s="8">
        <v>1</v>
      </c>
      <c r="E3272" s="8">
        <v>0</v>
      </c>
      <c r="F3272" s="8">
        <v>0</v>
      </c>
      <c r="G3272" s="8">
        <v>0</v>
      </c>
      <c r="H3272" s="8">
        <v>1</v>
      </c>
      <c r="I3272" s="8">
        <v>1</v>
      </c>
      <c r="J3272" s="8">
        <v>0</v>
      </c>
      <c r="K3272" s="9">
        <v>0</v>
      </c>
      <c r="L3272" s="10">
        <v>1</v>
      </c>
      <c r="M3272" s="6">
        <v>1</v>
      </c>
      <c r="N3272" s="37" t="e" cm="1">
        <f t="array" ref="N3272">IF(OR(ISNUMBER(FIND(Aux!$D$3:$D$9,_xlfn.TEXTJOIN(,,C3272:K3272)))),NA(),IF(AND(SUM(C3272:F3272,H3272:K3272)=0,G3272=1),0,INT((SUMPRODUCT(C3272:F3272,COLUMN($A$1:$D$1)-1)+SUMPRODUCT(H3272:K3272,COLUMN($E$1:$H$1)-1))*'Line Follower'!$C$3/SUM(C3272:F3272,H3272:K3272)-'Line Follower'!$C$5)))</f>
        <v>#N/A</v>
      </c>
      <c r="O3272" s="22" t="e">
        <v>#N/A</v>
      </c>
      <c r="P3272" s="4" t="e">
        <f t="shared" si="255"/>
        <v>#N/A</v>
      </c>
      <c r="Q3272" s="4" t="e">
        <f t="shared" si="256"/>
        <v>#N/A</v>
      </c>
      <c r="R3272" s="4" t="e">
        <f>IF(AND(B3272=1,N3272&gt;'Line Follower'!$C$7,SUM(C3272:K3272)&lt;4),1,0)</f>
        <v>#N/A</v>
      </c>
      <c r="S3272" s="4" t="e">
        <f>IF(AND(L3272=1,N3272&lt;'Line Follower'!$C$6,SUM(C3272:K3272)&lt;4),1,0)</f>
        <v>#N/A</v>
      </c>
      <c r="T3272" s="4" t="e">
        <f t="shared" si="257"/>
        <v>#N/A</v>
      </c>
      <c r="U3272" s="5" t="e">
        <f t="shared" si="258"/>
        <v>#N/A</v>
      </c>
      <c r="V3272" s="23" t="e">
        <f t="shared" si="259"/>
        <v>#N/A</v>
      </c>
    </row>
    <row r="3273" spans="2:22" x14ac:dyDescent="0.25">
      <c r="B3273" s="16">
        <v>0</v>
      </c>
      <c r="C3273" s="7">
        <v>1</v>
      </c>
      <c r="D3273" s="8">
        <v>1</v>
      </c>
      <c r="E3273" s="8">
        <v>0</v>
      </c>
      <c r="F3273" s="8">
        <v>0</v>
      </c>
      <c r="G3273" s="8">
        <v>0</v>
      </c>
      <c r="H3273" s="8">
        <v>1</v>
      </c>
      <c r="I3273" s="8">
        <v>1</v>
      </c>
      <c r="J3273" s="8">
        <v>0</v>
      </c>
      <c r="K3273" s="9">
        <v>0</v>
      </c>
      <c r="L3273" s="10">
        <v>1</v>
      </c>
      <c r="M3273" s="6">
        <v>1</v>
      </c>
      <c r="N3273" s="37" t="e" cm="1">
        <f t="array" ref="N3273">IF(OR(ISNUMBER(FIND(Aux!$D$3:$D$9,_xlfn.TEXTJOIN(,,C3273:K3273)))),NA(),IF(AND(SUM(C3273:F3273,H3273:K3273)=0,G3273=1),0,INT((SUMPRODUCT(C3273:F3273,COLUMN($A$1:$D$1)-1)+SUMPRODUCT(H3273:K3273,COLUMN($E$1:$H$1)-1))*'Line Follower'!$C$3/SUM(C3273:F3273,H3273:K3273)-'Line Follower'!$C$5)))</f>
        <v>#N/A</v>
      </c>
      <c r="O3273" s="22" t="e">
        <v>#N/A</v>
      </c>
      <c r="P3273" s="4" t="e">
        <f t="shared" si="255"/>
        <v>#N/A</v>
      </c>
      <c r="Q3273" s="4" t="e">
        <f t="shared" si="256"/>
        <v>#N/A</v>
      </c>
      <c r="R3273" s="4" t="e">
        <f>IF(AND(B3273=1,N3273&gt;'Line Follower'!$C$7,SUM(C3273:K3273)&lt;4),1,0)</f>
        <v>#N/A</v>
      </c>
      <c r="S3273" s="4" t="e">
        <f>IF(AND(L3273=1,N3273&lt;'Line Follower'!$C$6,SUM(C3273:K3273)&lt;4),1,0)</f>
        <v>#N/A</v>
      </c>
      <c r="T3273" s="4" t="e">
        <f t="shared" si="257"/>
        <v>#N/A</v>
      </c>
      <c r="U3273" s="5" t="e">
        <f t="shared" si="258"/>
        <v>#N/A</v>
      </c>
      <c r="V3273" s="23" t="e">
        <f t="shared" si="259"/>
        <v>#N/A</v>
      </c>
    </row>
    <row r="3274" spans="2:22" x14ac:dyDescent="0.25">
      <c r="B3274" s="16">
        <v>1</v>
      </c>
      <c r="C3274" s="7">
        <v>1</v>
      </c>
      <c r="D3274" s="8">
        <v>1</v>
      </c>
      <c r="E3274" s="8">
        <v>0</v>
      </c>
      <c r="F3274" s="8">
        <v>0</v>
      </c>
      <c r="G3274" s="8">
        <v>0</v>
      </c>
      <c r="H3274" s="8">
        <v>1</v>
      </c>
      <c r="I3274" s="8">
        <v>1</v>
      </c>
      <c r="J3274" s="8">
        <v>0</v>
      </c>
      <c r="K3274" s="9">
        <v>0</v>
      </c>
      <c r="L3274" s="10">
        <v>1</v>
      </c>
      <c r="M3274" s="6">
        <v>1</v>
      </c>
      <c r="N3274" s="37" t="e" cm="1">
        <f t="array" ref="N3274">IF(OR(ISNUMBER(FIND(Aux!$D$3:$D$9,_xlfn.TEXTJOIN(,,C3274:K3274)))),NA(),IF(AND(SUM(C3274:F3274,H3274:K3274)=0,G3274=1),0,INT((SUMPRODUCT(C3274:F3274,COLUMN($A$1:$D$1)-1)+SUMPRODUCT(H3274:K3274,COLUMN($E$1:$H$1)-1))*'Line Follower'!$C$3/SUM(C3274:F3274,H3274:K3274)-'Line Follower'!$C$5)))</f>
        <v>#N/A</v>
      </c>
      <c r="O3274" s="22" t="e">
        <v>#N/A</v>
      </c>
      <c r="P3274" s="4" t="e">
        <f t="shared" si="255"/>
        <v>#N/A</v>
      </c>
      <c r="Q3274" s="4" t="e">
        <f t="shared" si="256"/>
        <v>#N/A</v>
      </c>
      <c r="R3274" s="4" t="e">
        <f>IF(AND(B3274=1,N3274&gt;'Line Follower'!$C$7,SUM(C3274:K3274)&lt;4),1,0)</f>
        <v>#N/A</v>
      </c>
      <c r="S3274" s="4" t="e">
        <f>IF(AND(L3274=1,N3274&lt;'Line Follower'!$C$6,SUM(C3274:K3274)&lt;4),1,0)</f>
        <v>#N/A</v>
      </c>
      <c r="T3274" s="4" t="e">
        <f t="shared" si="257"/>
        <v>#N/A</v>
      </c>
      <c r="U3274" s="5" t="e">
        <f t="shared" si="258"/>
        <v>#N/A</v>
      </c>
      <c r="V3274" s="23" t="e">
        <f t="shared" si="259"/>
        <v>#N/A</v>
      </c>
    </row>
    <row r="3275" spans="2:22" x14ac:dyDescent="0.25">
      <c r="B3275" s="16">
        <v>0</v>
      </c>
      <c r="C3275" s="7">
        <v>0</v>
      </c>
      <c r="D3275" s="8">
        <v>0</v>
      </c>
      <c r="E3275" s="8">
        <v>1</v>
      </c>
      <c r="F3275" s="8">
        <v>0</v>
      </c>
      <c r="G3275" s="8">
        <v>0</v>
      </c>
      <c r="H3275" s="8">
        <v>1</v>
      </c>
      <c r="I3275" s="8">
        <v>1</v>
      </c>
      <c r="J3275" s="8">
        <v>0</v>
      </c>
      <c r="K3275" s="9">
        <v>0</v>
      </c>
      <c r="L3275" s="10">
        <v>1</v>
      </c>
      <c r="M3275" s="6">
        <v>1</v>
      </c>
      <c r="N3275" s="37" t="e" cm="1">
        <f t="array" ref="N3275">IF(OR(ISNUMBER(FIND(Aux!$D$3:$D$9,_xlfn.TEXTJOIN(,,C3275:K3275)))),NA(),IF(AND(SUM(C3275:F3275,H3275:K3275)=0,G3275=1),0,INT((SUMPRODUCT(C3275:F3275,COLUMN($A$1:$D$1)-1)+SUMPRODUCT(H3275:K3275,COLUMN($E$1:$H$1)-1))*'Line Follower'!$C$3/SUM(C3275:F3275,H3275:K3275)-'Line Follower'!$C$5)))</f>
        <v>#N/A</v>
      </c>
      <c r="O3275" s="22" t="e">
        <v>#N/A</v>
      </c>
      <c r="P3275" s="4" t="e">
        <f t="shared" si="255"/>
        <v>#N/A</v>
      </c>
      <c r="Q3275" s="4" t="e">
        <f t="shared" si="256"/>
        <v>#N/A</v>
      </c>
      <c r="R3275" s="4" t="e">
        <f>IF(AND(B3275=1,N3275&gt;'Line Follower'!$C$7,SUM(C3275:K3275)&lt;4),1,0)</f>
        <v>#N/A</v>
      </c>
      <c r="S3275" s="4" t="e">
        <f>IF(AND(L3275=1,N3275&lt;'Line Follower'!$C$6,SUM(C3275:K3275)&lt;4),1,0)</f>
        <v>#N/A</v>
      </c>
      <c r="T3275" s="4" t="e">
        <f t="shared" si="257"/>
        <v>#N/A</v>
      </c>
      <c r="U3275" s="5" t="e">
        <f t="shared" si="258"/>
        <v>#N/A</v>
      </c>
      <c r="V3275" s="23" t="e">
        <f t="shared" si="259"/>
        <v>#N/A</v>
      </c>
    </row>
    <row r="3276" spans="2:22" x14ac:dyDescent="0.25">
      <c r="B3276" s="16">
        <v>1</v>
      </c>
      <c r="C3276" s="7">
        <v>0</v>
      </c>
      <c r="D3276" s="8">
        <v>0</v>
      </c>
      <c r="E3276" s="8">
        <v>1</v>
      </c>
      <c r="F3276" s="8">
        <v>0</v>
      </c>
      <c r="G3276" s="8">
        <v>0</v>
      </c>
      <c r="H3276" s="8">
        <v>1</v>
      </c>
      <c r="I3276" s="8">
        <v>1</v>
      </c>
      <c r="J3276" s="8">
        <v>0</v>
      </c>
      <c r="K3276" s="9">
        <v>0</v>
      </c>
      <c r="L3276" s="10">
        <v>1</v>
      </c>
      <c r="M3276" s="6">
        <v>1</v>
      </c>
      <c r="N3276" s="37" t="e" cm="1">
        <f t="array" ref="N3276">IF(OR(ISNUMBER(FIND(Aux!$D$3:$D$9,_xlfn.TEXTJOIN(,,C3276:K3276)))),NA(),IF(AND(SUM(C3276:F3276,H3276:K3276)=0,G3276=1),0,INT((SUMPRODUCT(C3276:F3276,COLUMN($A$1:$D$1)-1)+SUMPRODUCT(H3276:K3276,COLUMN($E$1:$H$1)-1))*'Line Follower'!$C$3/SUM(C3276:F3276,H3276:K3276)-'Line Follower'!$C$5)))</f>
        <v>#N/A</v>
      </c>
      <c r="O3276" s="22" t="e">
        <v>#N/A</v>
      </c>
      <c r="P3276" s="4" t="e">
        <f t="shared" si="255"/>
        <v>#N/A</v>
      </c>
      <c r="Q3276" s="4" t="e">
        <f t="shared" si="256"/>
        <v>#N/A</v>
      </c>
      <c r="R3276" s="4" t="e">
        <f>IF(AND(B3276=1,N3276&gt;'Line Follower'!$C$7,SUM(C3276:K3276)&lt;4),1,0)</f>
        <v>#N/A</v>
      </c>
      <c r="S3276" s="4" t="e">
        <f>IF(AND(L3276=1,N3276&lt;'Line Follower'!$C$6,SUM(C3276:K3276)&lt;4),1,0)</f>
        <v>#N/A</v>
      </c>
      <c r="T3276" s="4" t="e">
        <f t="shared" si="257"/>
        <v>#N/A</v>
      </c>
      <c r="U3276" s="5" t="e">
        <f t="shared" si="258"/>
        <v>#N/A</v>
      </c>
      <c r="V3276" s="23" t="e">
        <f t="shared" si="259"/>
        <v>#N/A</v>
      </c>
    </row>
    <row r="3277" spans="2:22" x14ac:dyDescent="0.25">
      <c r="B3277" s="16">
        <v>0</v>
      </c>
      <c r="C3277" s="7">
        <v>1</v>
      </c>
      <c r="D3277" s="8">
        <v>0</v>
      </c>
      <c r="E3277" s="8">
        <v>1</v>
      </c>
      <c r="F3277" s="8">
        <v>0</v>
      </c>
      <c r="G3277" s="8">
        <v>0</v>
      </c>
      <c r="H3277" s="8">
        <v>1</v>
      </c>
      <c r="I3277" s="8">
        <v>1</v>
      </c>
      <c r="J3277" s="8">
        <v>0</v>
      </c>
      <c r="K3277" s="9">
        <v>0</v>
      </c>
      <c r="L3277" s="10">
        <v>1</v>
      </c>
      <c r="M3277" s="6">
        <v>1</v>
      </c>
      <c r="N3277" s="37" t="e" cm="1">
        <f t="array" ref="N3277">IF(OR(ISNUMBER(FIND(Aux!$D$3:$D$9,_xlfn.TEXTJOIN(,,C3277:K3277)))),NA(),IF(AND(SUM(C3277:F3277,H3277:K3277)=0,G3277=1),0,INT((SUMPRODUCT(C3277:F3277,COLUMN($A$1:$D$1)-1)+SUMPRODUCT(H3277:K3277,COLUMN($E$1:$H$1)-1))*'Line Follower'!$C$3/SUM(C3277:F3277,H3277:K3277)-'Line Follower'!$C$5)))</f>
        <v>#N/A</v>
      </c>
      <c r="O3277" s="22" t="e">
        <v>#N/A</v>
      </c>
      <c r="P3277" s="4" t="e">
        <f t="shared" si="255"/>
        <v>#N/A</v>
      </c>
      <c r="Q3277" s="4" t="e">
        <f t="shared" si="256"/>
        <v>#N/A</v>
      </c>
      <c r="R3277" s="4" t="e">
        <f>IF(AND(B3277=1,N3277&gt;'Line Follower'!$C$7,SUM(C3277:K3277)&lt;4),1,0)</f>
        <v>#N/A</v>
      </c>
      <c r="S3277" s="4" t="e">
        <f>IF(AND(L3277=1,N3277&lt;'Line Follower'!$C$6,SUM(C3277:K3277)&lt;4),1,0)</f>
        <v>#N/A</v>
      </c>
      <c r="T3277" s="4" t="e">
        <f t="shared" si="257"/>
        <v>#N/A</v>
      </c>
      <c r="U3277" s="5" t="e">
        <f t="shared" si="258"/>
        <v>#N/A</v>
      </c>
      <c r="V3277" s="23" t="e">
        <f t="shared" si="259"/>
        <v>#N/A</v>
      </c>
    </row>
    <row r="3278" spans="2:22" x14ac:dyDescent="0.25">
      <c r="B3278" s="16">
        <v>1</v>
      </c>
      <c r="C3278" s="7">
        <v>1</v>
      </c>
      <c r="D3278" s="8">
        <v>0</v>
      </c>
      <c r="E3278" s="8">
        <v>1</v>
      </c>
      <c r="F3278" s="8">
        <v>0</v>
      </c>
      <c r="G3278" s="8">
        <v>0</v>
      </c>
      <c r="H3278" s="8">
        <v>1</v>
      </c>
      <c r="I3278" s="8">
        <v>1</v>
      </c>
      <c r="J3278" s="8">
        <v>0</v>
      </c>
      <c r="K3278" s="9">
        <v>0</v>
      </c>
      <c r="L3278" s="10">
        <v>1</v>
      </c>
      <c r="M3278" s="6">
        <v>1</v>
      </c>
      <c r="N3278" s="37" t="e" cm="1">
        <f t="array" ref="N3278">IF(OR(ISNUMBER(FIND(Aux!$D$3:$D$9,_xlfn.TEXTJOIN(,,C3278:K3278)))),NA(),IF(AND(SUM(C3278:F3278,H3278:K3278)=0,G3278=1),0,INT((SUMPRODUCT(C3278:F3278,COLUMN($A$1:$D$1)-1)+SUMPRODUCT(H3278:K3278,COLUMN($E$1:$H$1)-1))*'Line Follower'!$C$3/SUM(C3278:F3278,H3278:K3278)-'Line Follower'!$C$5)))</f>
        <v>#N/A</v>
      </c>
      <c r="O3278" s="22" t="e">
        <v>#N/A</v>
      </c>
      <c r="P3278" s="4" t="e">
        <f t="shared" si="255"/>
        <v>#N/A</v>
      </c>
      <c r="Q3278" s="4" t="e">
        <f t="shared" si="256"/>
        <v>#N/A</v>
      </c>
      <c r="R3278" s="4" t="e">
        <f>IF(AND(B3278=1,N3278&gt;'Line Follower'!$C$7,SUM(C3278:K3278)&lt;4),1,0)</f>
        <v>#N/A</v>
      </c>
      <c r="S3278" s="4" t="e">
        <f>IF(AND(L3278=1,N3278&lt;'Line Follower'!$C$6,SUM(C3278:K3278)&lt;4),1,0)</f>
        <v>#N/A</v>
      </c>
      <c r="T3278" s="4" t="e">
        <f t="shared" si="257"/>
        <v>#N/A</v>
      </c>
      <c r="U3278" s="5" t="e">
        <f t="shared" si="258"/>
        <v>#N/A</v>
      </c>
      <c r="V3278" s="23" t="e">
        <f t="shared" si="259"/>
        <v>#N/A</v>
      </c>
    </row>
    <row r="3279" spans="2:22" x14ac:dyDescent="0.25">
      <c r="B3279" s="16">
        <v>0</v>
      </c>
      <c r="C3279" s="7">
        <v>0</v>
      </c>
      <c r="D3279" s="8">
        <v>1</v>
      </c>
      <c r="E3279" s="8">
        <v>1</v>
      </c>
      <c r="F3279" s="8">
        <v>0</v>
      </c>
      <c r="G3279" s="8">
        <v>0</v>
      </c>
      <c r="H3279" s="8">
        <v>1</v>
      </c>
      <c r="I3279" s="8">
        <v>1</v>
      </c>
      <c r="J3279" s="8">
        <v>0</v>
      </c>
      <c r="K3279" s="9">
        <v>0</v>
      </c>
      <c r="L3279" s="10">
        <v>1</v>
      </c>
      <c r="M3279" s="6">
        <v>1</v>
      </c>
      <c r="N3279" s="37" t="e" cm="1">
        <f t="array" ref="N3279">IF(OR(ISNUMBER(FIND(Aux!$D$3:$D$9,_xlfn.TEXTJOIN(,,C3279:K3279)))),NA(),IF(AND(SUM(C3279:F3279,H3279:K3279)=0,G3279=1),0,INT((SUMPRODUCT(C3279:F3279,COLUMN($A$1:$D$1)-1)+SUMPRODUCT(H3279:K3279,COLUMN($E$1:$H$1)-1))*'Line Follower'!$C$3/SUM(C3279:F3279,H3279:K3279)-'Line Follower'!$C$5)))</f>
        <v>#N/A</v>
      </c>
      <c r="O3279" s="22" t="e">
        <v>#N/A</v>
      </c>
      <c r="P3279" s="4" t="e">
        <f t="shared" si="255"/>
        <v>#N/A</v>
      </c>
      <c r="Q3279" s="4" t="e">
        <f t="shared" si="256"/>
        <v>#N/A</v>
      </c>
      <c r="R3279" s="4" t="e">
        <f>IF(AND(B3279=1,N3279&gt;'Line Follower'!$C$7,SUM(C3279:K3279)&lt;4),1,0)</f>
        <v>#N/A</v>
      </c>
      <c r="S3279" s="4" t="e">
        <f>IF(AND(L3279=1,N3279&lt;'Line Follower'!$C$6,SUM(C3279:K3279)&lt;4),1,0)</f>
        <v>#N/A</v>
      </c>
      <c r="T3279" s="4" t="e">
        <f t="shared" si="257"/>
        <v>#N/A</v>
      </c>
      <c r="U3279" s="5" t="e">
        <f t="shared" si="258"/>
        <v>#N/A</v>
      </c>
      <c r="V3279" s="23" t="e">
        <f t="shared" si="259"/>
        <v>#N/A</v>
      </c>
    </row>
    <row r="3280" spans="2:22" x14ac:dyDescent="0.25">
      <c r="B3280" s="16">
        <v>1</v>
      </c>
      <c r="C3280" s="7">
        <v>0</v>
      </c>
      <c r="D3280" s="8">
        <v>1</v>
      </c>
      <c r="E3280" s="8">
        <v>1</v>
      </c>
      <c r="F3280" s="8">
        <v>0</v>
      </c>
      <c r="G3280" s="8">
        <v>0</v>
      </c>
      <c r="H3280" s="8">
        <v>1</v>
      </c>
      <c r="I3280" s="8">
        <v>1</v>
      </c>
      <c r="J3280" s="8">
        <v>0</v>
      </c>
      <c r="K3280" s="9">
        <v>0</v>
      </c>
      <c r="L3280" s="10">
        <v>1</v>
      </c>
      <c r="M3280" s="6">
        <v>1</v>
      </c>
      <c r="N3280" s="37" t="e" cm="1">
        <f t="array" ref="N3280">IF(OR(ISNUMBER(FIND(Aux!$D$3:$D$9,_xlfn.TEXTJOIN(,,C3280:K3280)))),NA(),IF(AND(SUM(C3280:F3280,H3280:K3280)=0,G3280=1),0,INT((SUMPRODUCT(C3280:F3280,COLUMN($A$1:$D$1)-1)+SUMPRODUCT(H3280:K3280,COLUMN($E$1:$H$1)-1))*'Line Follower'!$C$3/SUM(C3280:F3280,H3280:K3280)-'Line Follower'!$C$5)))</f>
        <v>#N/A</v>
      </c>
      <c r="O3280" s="22" t="e">
        <v>#N/A</v>
      </c>
      <c r="P3280" s="4" t="e">
        <f t="shared" si="255"/>
        <v>#N/A</v>
      </c>
      <c r="Q3280" s="4" t="e">
        <f t="shared" si="256"/>
        <v>#N/A</v>
      </c>
      <c r="R3280" s="4" t="e">
        <f>IF(AND(B3280=1,N3280&gt;'Line Follower'!$C$7,SUM(C3280:K3280)&lt;4),1,0)</f>
        <v>#N/A</v>
      </c>
      <c r="S3280" s="4" t="e">
        <f>IF(AND(L3280=1,N3280&lt;'Line Follower'!$C$6,SUM(C3280:K3280)&lt;4),1,0)</f>
        <v>#N/A</v>
      </c>
      <c r="T3280" s="4" t="e">
        <f t="shared" si="257"/>
        <v>#N/A</v>
      </c>
      <c r="U3280" s="5" t="e">
        <f t="shared" si="258"/>
        <v>#N/A</v>
      </c>
      <c r="V3280" s="23" t="e">
        <f t="shared" si="259"/>
        <v>#N/A</v>
      </c>
    </row>
    <row r="3281" spans="2:22" x14ac:dyDescent="0.25">
      <c r="B3281" s="16">
        <v>0</v>
      </c>
      <c r="C3281" s="7">
        <v>1</v>
      </c>
      <c r="D3281" s="8">
        <v>1</v>
      </c>
      <c r="E3281" s="8">
        <v>1</v>
      </c>
      <c r="F3281" s="8">
        <v>0</v>
      </c>
      <c r="G3281" s="8">
        <v>0</v>
      </c>
      <c r="H3281" s="8">
        <v>1</v>
      </c>
      <c r="I3281" s="8">
        <v>1</v>
      </c>
      <c r="J3281" s="8">
        <v>0</v>
      </c>
      <c r="K3281" s="9">
        <v>0</v>
      </c>
      <c r="L3281" s="10">
        <v>1</v>
      </c>
      <c r="M3281" s="6">
        <v>1</v>
      </c>
      <c r="N3281" s="37" t="e" cm="1">
        <f t="array" ref="N3281">IF(OR(ISNUMBER(FIND(Aux!$D$3:$D$9,_xlfn.TEXTJOIN(,,C3281:K3281)))),NA(),IF(AND(SUM(C3281:F3281,H3281:K3281)=0,G3281=1),0,INT((SUMPRODUCT(C3281:F3281,COLUMN($A$1:$D$1)-1)+SUMPRODUCT(H3281:K3281,COLUMN($E$1:$H$1)-1))*'Line Follower'!$C$3/SUM(C3281:F3281,H3281:K3281)-'Line Follower'!$C$5)))</f>
        <v>#N/A</v>
      </c>
      <c r="O3281" s="22" t="e">
        <v>#N/A</v>
      </c>
      <c r="P3281" s="4" t="e">
        <f t="shared" si="255"/>
        <v>#N/A</v>
      </c>
      <c r="Q3281" s="4" t="e">
        <f t="shared" si="256"/>
        <v>#N/A</v>
      </c>
      <c r="R3281" s="4" t="e">
        <f>IF(AND(B3281=1,N3281&gt;'Line Follower'!$C$7,SUM(C3281:K3281)&lt;4),1,0)</f>
        <v>#N/A</v>
      </c>
      <c r="S3281" s="4" t="e">
        <f>IF(AND(L3281=1,N3281&lt;'Line Follower'!$C$6,SUM(C3281:K3281)&lt;4),1,0)</f>
        <v>#N/A</v>
      </c>
      <c r="T3281" s="4" t="e">
        <f t="shared" si="257"/>
        <v>#N/A</v>
      </c>
      <c r="U3281" s="5" t="e">
        <f t="shared" si="258"/>
        <v>#N/A</v>
      </c>
      <c r="V3281" s="23" t="e">
        <f t="shared" si="259"/>
        <v>#N/A</v>
      </c>
    </row>
    <row r="3282" spans="2:22" x14ac:dyDescent="0.25">
      <c r="B3282" s="16">
        <v>1</v>
      </c>
      <c r="C3282" s="7">
        <v>1</v>
      </c>
      <c r="D3282" s="8">
        <v>1</v>
      </c>
      <c r="E3282" s="8">
        <v>1</v>
      </c>
      <c r="F3282" s="8">
        <v>0</v>
      </c>
      <c r="G3282" s="8">
        <v>0</v>
      </c>
      <c r="H3282" s="8">
        <v>1</v>
      </c>
      <c r="I3282" s="8">
        <v>1</v>
      </c>
      <c r="J3282" s="8">
        <v>0</v>
      </c>
      <c r="K3282" s="9">
        <v>0</v>
      </c>
      <c r="L3282" s="10">
        <v>1</v>
      </c>
      <c r="M3282" s="6">
        <v>1</v>
      </c>
      <c r="N3282" s="37" t="e" cm="1">
        <f t="array" ref="N3282">IF(OR(ISNUMBER(FIND(Aux!$D$3:$D$9,_xlfn.TEXTJOIN(,,C3282:K3282)))),NA(),IF(AND(SUM(C3282:F3282,H3282:K3282)=0,G3282=1),0,INT((SUMPRODUCT(C3282:F3282,COLUMN($A$1:$D$1)-1)+SUMPRODUCT(H3282:K3282,COLUMN($E$1:$H$1)-1))*'Line Follower'!$C$3/SUM(C3282:F3282,H3282:K3282)-'Line Follower'!$C$5)))</f>
        <v>#N/A</v>
      </c>
      <c r="O3282" s="22" t="e">
        <v>#N/A</v>
      </c>
      <c r="P3282" s="4" t="e">
        <f t="shared" si="255"/>
        <v>#N/A</v>
      </c>
      <c r="Q3282" s="4" t="e">
        <f t="shared" si="256"/>
        <v>#N/A</v>
      </c>
      <c r="R3282" s="4" t="e">
        <f>IF(AND(B3282=1,N3282&gt;'Line Follower'!$C$7,SUM(C3282:K3282)&lt;4),1,0)</f>
        <v>#N/A</v>
      </c>
      <c r="S3282" s="4" t="e">
        <f>IF(AND(L3282=1,N3282&lt;'Line Follower'!$C$6,SUM(C3282:K3282)&lt;4),1,0)</f>
        <v>#N/A</v>
      </c>
      <c r="T3282" s="4" t="e">
        <f t="shared" si="257"/>
        <v>#N/A</v>
      </c>
      <c r="U3282" s="5" t="e">
        <f t="shared" si="258"/>
        <v>#N/A</v>
      </c>
      <c r="V3282" s="23" t="e">
        <f t="shared" si="259"/>
        <v>#N/A</v>
      </c>
    </row>
    <row r="3283" spans="2:22" x14ac:dyDescent="0.25">
      <c r="B3283" s="16">
        <v>0</v>
      </c>
      <c r="C3283" s="7">
        <v>0</v>
      </c>
      <c r="D3283" s="8">
        <v>0</v>
      </c>
      <c r="E3283" s="8">
        <v>0</v>
      </c>
      <c r="F3283" s="8">
        <v>1</v>
      </c>
      <c r="G3283" s="8">
        <v>0</v>
      </c>
      <c r="H3283" s="8">
        <v>1</v>
      </c>
      <c r="I3283" s="8">
        <v>1</v>
      </c>
      <c r="J3283" s="8">
        <v>0</v>
      </c>
      <c r="K3283" s="9">
        <v>0</v>
      </c>
      <c r="L3283" s="10">
        <v>1</v>
      </c>
      <c r="M3283" s="6">
        <v>1</v>
      </c>
      <c r="N3283" s="37" t="e" cm="1">
        <f t="array" ref="N3283">IF(OR(ISNUMBER(FIND(Aux!$D$3:$D$9,_xlfn.TEXTJOIN(,,C3283:K3283)))),NA(),IF(AND(SUM(C3283:F3283,H3283:K3283)=0,G3283=1),0,INT((SUMPRODUCT(C3283:F3283,COLUMN($A$1:$D$1)-1)+SUMPRODUCT(H3283:K3283,COLUMN($E$1:$H$1)-1))*'Line Follower'!$C$3/SUM(C3283:F3283,H3283:K3283)-'Line Follower'!$C$5)))</f>
        <v>#N/A</v>
      </c>
      <c r="O3283" s="22" t="e">
        <v>#N/A</v>
      </c>
      <c r="P3283" s="4" t="e">
        <f t="shared" si="255"/>
        <v>#N/A</v>
      </c>
      <c r="Q3283" s="4" t="e">
        <f t="shared" si="256"/>
        <v>#N/A</v>
      </c>
      <c r="R3283" s="4" t="e">
        <f>IF(AND(B3283=1,N3283&gt;'Line Follower'!$C$7,SUM(C3283:K3283)&lt;4),1,0)</f>
        <v>#N/A</v>
      </c>
      <c r="S3283" s="4" t="e">
        <f>IF(AND(L3283=1,N3283&lt;'Line Follower'!$C$6,SUM(C3283:K3283)&lt;4),1,0)</f>
        <v>#N/A</v>
      </c>
      <c r="T3283" s="4" t="e">
        <f t="shared" si="257"/>
        <v>#N/A</v>
      </c>
      <c r="U3283" s="5" t="e">
        <f t="shared" si="258"/>
        <v>#N/A</v>
      </c>
      <c r="V3283" s="23" t="e">
        <f t="shared" si="259"/>
        <v>#N/A</v>
      </c>
    </row>
    <row r="3284" spans="2:22" x14ac:dyDescent="0.25">
      <c r="B3284" s="16">
        <v>1</v>
      </c>
      <c r="C3284" s="7">
        <v>0</v>
      </c>
      <c r="D3284" s="8">
        <v>0</v>
      </c>
      <c r="E3284" s="8">
        <v>0</v>
      </c>
      <c r="F3284" s="8">
        <v>1</v>
      </c>
      <c r="G3284" s="8">
        <v>0</v>
      </c>
      <c r="H3284" s="8">
        <v>1</v>
      </c>
      <c r="I3284" s="8">
        <v>1</v>
      </c>
      <c r="J3284" s="8">
        <v>0</v>
      </c>
      <c r="K3284" s="9">
        <v>0</v>
      </c>
      <c r="L3284" s="10">
        <v>1</v>
      </c>
      <c r="M3284" s="6">
        <v>1</v>
      </c>
      <c r="N3284" s="37" t="e" cm="1">
        <f t="array" ref="N3284">IF(OR(ISNUMBER(FIND(Aux!$D$3:$D$9,_xlfn.TEXTJOIN(,,C3284:K3284)))),NA(),IF(AND(SUM(C3284:F3284,H3284:K3284)=0,G3284=1),0,INT((SUMPRODUCT(C3284:F3284,COLUMN($A$1:$D$1)-1)+SUMPRODUCT(H3284:K3284,COLUMN($E$1:$H$1)-1))*'Line Follower'!$C$3/SUM(C3284:F3284,H3284:K3284)-'Line Follower'!$C$5)))</f>
        <v>#N/A</v>
      </c>
      <c r="O3284" s="22" t="e">
        <v>#N/A</v>
      </c>
      <c r="P3284" s="4" t="e">
        <f t="shared" si="255"/>
        <v>#N/A</v>
      </c>
      <c r="Q3284" s="4" t="e">
        <f t="shared" si="256"/>
        <v>#N/A</v>
      </c>
      <c r="R3284" s="4" t="e">
        <f>IF(AND(B3284=1,N3284&gt;'Line Follower'!$C$7,SUM(C3284:K3284)&lt;4),1,0)</f>
        <v>#N/A</v>
      </c>
      <c r="S3284" s="4" t="e">
        <f>IF(AND(L3284=1,N3284&lt;'Line Follower'!$C$6,SUM(C3284:K3284)&lt;4),1,0)</f>
        <v>#N/A</v>
      </c>
      <c r="T3284" s="4" t="e">
        <f t="shared" si="257"/>
        <v>#N/A</v>
      </c>
      <c r="U3284" s="5" t="e">
        <f t="shared" si="258"/>
        <v>#N/A</v>
      </c>
      <c r="V3284" s="23" t="e">
        <f t="shared" si="259"/>
        <v>#N/A</v>
      </c>
    </row>
    <row r="3285" spans="2:22" x14ac:dyDescent="0.25">
      <c r="B3285" s="16">
        <v>0</v>
      </c>
      <c r="C3285" s="7">
        <v>1</v>
      </c>
      <c r="D3285" s="8">
        <v>0</v>
      </c>
      <c r="E3285" s="8">
        <v>0</v>
      </c>
      <c r="F3285" s="8">
        <v>1</v>
      </c>
      <c r="G3285" s="8">
        <v>0</v>
      </c>
      <c r="H3285" s="8">
        <v>1</v>
      </c>
      <c r="I3285" s="8">
        <v>1</v>
      </c>
      <c r="J3285" s="8">
        <v>0</v>
      </c>
      <c r="K3285" s="9">
        <v>0</v>
      </c>
      <c r="L3285" s="10">
        <v>1</v>
      </c>
      <c r="M3285" s="6">
        <v>1</v>
      </c>
      <c r="N3285" s="37" t="e" cm="1">
        <f t="array" ref="N3285">IF(OR(ISNUMBER(FIND(Aux!$D$3:$D$9,_xlfn.TEXTJOIN(,,C3285:K3285)))),NA(),IF(AND(SUM(C3285:F3285,H3285:K3285)=0,G3285=1),0,INT((SUMPRODUCT(C3285:F3285,COLUMN($A$1:$D$1)-1)+SUMPRODUCT(H3285:K3285,COLUMN($E$1:$H$1)-1))*'Line Follower'!$C$3/SUM(C3285:F3285,H3285:K3285)-'Line Follower'!$C$5)))</f>
        <v>#N/A</v>
      </c>
      <c r="O3285" s="22" t="e">
        <v>#N/A</v>
      </c>
      <c r="P3285" s="4" t="e">
        <f t="shared" si="255"/>
        <v>#N/A</v>
      </c>
      <c r="Q3285" s="4" t="e">
        <f t="shared" si="256"/>
        <v>#N/A</v>
      </c>
      <c r="R3285" s="4" t="e">
        <f>IF(AND(B3285=1,N3285&gt;'Line Follower'!$C$7,SUM(C3285:K3285)&lt;4),1,0)</f>
        <v>#N/A</v>
      </c>
      <c r="S3285" s="4" t="e">
        <f>IF(AND(L3285=1,N3285&lt;'Line Follower'!$C$6,SUM(C3285:K3285)&lt;4),1,0)</f>
        <v>#N/A</v>
      </c>
      <c r="T3285" s="4" t="e">
        <f t="shared" si="257"/>
        <v>#N/A</v>
      </c>
      <c r="U3285" s="5" t="e">
        <f t="shared" si="258"/>
        <v>#N/A</v>
      </c>
      <c r="V3285" s="23" t="e">
        <f t="shared" si="259"/>
        <v>#N/A</v>
      </c>
    </row>
    <row r="3286" spans="2:22" x14ac:dyDescent="0.25">
      <c r="B3286" s="16">
        <v>1</v>
      </c>
      <c r="C3286" s="7">
        <v>1</v>
      </c>
      <c r="D3286" s="8">
        <v>0</v>
      </c>
      <c r="E3286" s="8">
        <v>0</v>
      </c>
      <c r="F3286" s="8">
        <v>1</v>
      </c>
      <c r="G3286" s="8">
        <v>0</v>
      </c>
      <c r="H3286" s="8">
        <v>1</v>
      </c>
      <c r="I3286" s="8">
        <v>1</v>
      </c>
      <c r="J3286" s="8">
        <v>0</v>
      </c>
      <c r="K3286" s="9">
        <v>0</v>
      </c>
      <c r="L3286" s="10">
        <v>1</v>
      </c>
      <c r="M3286" s="6">
        <v>1</v>
      </c>
      <c r="N3286" s="37" t="e" cm="1">
        <f t="array" ref="N3286">IF(OR(ISNUMBER(FIND(Aux!$D$3:$D$9,_xlfn.TEXTJOIN(,,C3286:K3286)))),NA(),IF(AND(SUM(C3286:F3286,H3286:K3286)=0,G3286=1),0,INT((SUMPRODUCT(C3286:F3286,COLUMN($A$1:$D$1)-1)+SUMPRODUCT(H3286:K3286,COLUMN($E$1:$H$1)-1))*'Line Follower'!$C$3/SUM(C3286:F3286,H3286:K3286)-'Line Follower'!$C$5)))</f>
        <v>#N/A</v>
      </c>
      <c r="O3286" s="22" t="e">
        <v>#N/A</v>
      </c>
      <c r="P3286" s="4" t="e">
        <f t="shared" si="255"/>
        <v>#N/A</v>
      </c>
      <c r="Q3286" s="4" t="e">
        <f t="shared" si="256"/>
        <v>#N/A</v>
      </c>
      <c r="R3286" s="4" t="e">
        <f>IF(AND(B3286=1,N3286&gt;'Line Follower'!$C$7,SUM(C3286:K3286)&lt;4),1,0)</f>
        <v>#N/A</v>
      </c>
      <c r="S3286" s="4" t="e">
        <f>IF(AND(L3286=1,N3286&lt;'Line Follower'!$C$6,SUM(C3286:K3286)&lt;4),1,0)</f>
        <v>#N/A</v>
      </c>
      <c r="T3286" s="4" t="e">
        <f t="shared" si="257"/>
        <v>#N/A</v>
      </c>
      <c r="U3286" s="5" t="e">
        <f t="shared" si="258"/>
        <v>#N/A</v>
      </c>
      <c r="V3286" s="23" t="e">
        <f t="shared" si="259"/>
        <v>#N/A</v>
      </c>
    </row>
    <row r="3287" spans="2:22" x14ac:dyDescent="0.25">
      <c r="B3287" s="16">
        <v>0</v>
      </c>
      <c r="C3287" s="7">
        <v>0</v>
      </c>
      <c r="D3287" s="8">
        <v>1</v>
      </c>
      <c r="E3287" s="8">
        <v>0</v>
      </c>
      <c r="F3287" s="8">
        <v>1</v>
      </c>
      <c r="G3287" s="8">
        <v>0</v>
      </c>
      <c r="H3287" s="8">
        <v>1</v>
      </c>
      <c r="I3287" s="8">
        <v>1</v>
      </c>
      <c r="J3287" s="8">
        <v>0</v>
      </c>
      <c r="K3287" s="9">
        <v>0</v>
      </c>
      <c r="L3287" s="10">
        <v>1</v>
      </c>
      <c r="M3287" s="6">
        <v>1</v>
      </c>
      <c r="N3287" s="37" t="e" cm="1">
        <f t="array" ref="N3287">IF(OR(ISNUMBER(FIND(Aux!$D$3:$D$9,_xlfn.TEXTJOIN(,,C3287:K3287)))),NA(),IF(AND(SUM(C3287:F3287,H3287:K3287)=0,G3287=1),0,INT((SUMPRODUCT(C3287:F3287,COLUMN($A$1:$D$1)-1)+SUMPRODUCT(H3287:K3287,COLUMN($E$1:$H$1)-1))*'Line Follower'!$C$3/SUM(C3287:F3287,H3287:K3287)-'Line Follower'!$C$5)))</f>
        <v>#N/A</v>
      </c>
      <c r="O3287" s="22" t="e">
        <v>#N/A</v>
      </c>
      <c r="P3287" s="4" t="e">
        <f t="shared" si="255"/>
        <v>#N/A</v>
      </c>
      <c r="Q3287" s="4" t="e">
        <f t="shared" si="256"/>
        <v>#N/A</v>
      </c>
      <c r="R3287" s="4" t="e">
        <f>IF(AND(B3287=1,N3287&gt;'Line Follower'!$C$7,SUM(C3287:K3287)&lt;4),1,0)</f>
        <v>#N/A</v>
      </c>
      <c r="S3287" s="4" t="e">
        <f>IF(AND(L3287=1,N3287&lt;'Line Follower'!$C$6,SUM(C3287:K3287)&lt;4),1,0)</f>
        <v>#N/A</v>
      </c>
      <c r="T3287" s="4" t="e">
        <f t="shared" si="257"/>
        <v>#N/A</v>
      </c>
      <c r="U3287" s="5" t="e">
        <f t="shared" si="258"/>
        <v>#N/A</v>
      </c>
      <c r="V3287" s="23" t="e">
        <f t="shared" si="259"/>
        <v>#N/A</v>
      </c>
    </row>
    <row r="3288" spans="2:22" x14ac:dyDescent="0.25">
      <c r="B3288" s="16">
        <v>1</v>
      </c>
      <c r="C3288" s="7">
        <v>0</v>
      </c>
      <c r="D3288" s="8">
        <v>1</v>
      </c>
      <c r="E3288" s="8">
        <v>0</v>
      </c>
      <c r="F3288" s="8">
        <v>1</v>
      </c>
      <c r="G3288" s="8">
        <v>0</v>
      </c>
      <c r="H3288" s="8">
        <v>1</v>
      </c>
      <c r="I3288" s="8">
        <v>1</v>
      </c>
      <c r="J3288" s="8">
        <v>0</v>
      </c>
      <c r="K3288" s="9">
        <v>0</v>
      </c>
      <c r="L3288" s="10">
        <v>1</v>
      </c>
      <c r="M3288" s="6">
        <v>1</v>
      </c>
      <c r="N3288" s="37" t="e" cm="1">
        <f t="array" ref="N3288">IF(OR(ISNUMBER(FIND(Aux!$D$3:$D$9,_xlfn.TEXTJOIN(,,C3288:K3288)))),NA(),IF(AND(SUM(C3288:F3288,H3288:K3288)=0,G3288=1),0,INT((SUMPRODUCT(C3288:F3288,COLUMN($A$1:$D$1)-1)+SUMPRODUCT(H3288:K3288,COLUMN($E$1:$H$1)-1))*'Line Follower'!$C$3/SUM(C3288:F3288,H3288:K3288)-'Line Follower'!$C$5)))</f>
        <v>#N/A</v>
      </c>
      <c r="O3288" s="22" t="e">
        <v>#N/A</v>
      </c>
      <c r="P3288" s="4" t="e">
        <f t="shared" si="255"/>
        <v>#N/A</v>
      </c>
      <c r="Q3288" s="4" t="e">
        <f t="shared" si="256"/>
        <v>#N/A</v>
      </c>
      <c r="R3288" s="4" t="e">
        <f>IF(AND(B3288=1,N3288&gt;'Line Follower'!$C$7,SUM(C3288:K3288)&lt;4),1,0)</f>
        <v>#N/A</v>
      </c>
      <c r="S3288" s="4" t="e">
        <f>IF(AND(L3288=1,N3288&lt;'Line Follower'!$C$6,SUM(C3288:K3288)&lt;4),1,0)</f>
        <v>#N/A</v>
      </c>
      <c r="T3288" s="4" t="e">
        <f t="shared" si="257"/>
        <v>#N/A</v>
      </c>
      <c r="U3288" s="5" t="e">
        <f t="shared" si="258"/>
        <v>#N/A</v>
      </c>
      <c r="V3288" s="23" t="e">
        <f t="shared" si="259"/>
        <v>#N/A</v>
      </c>
    </row>
    <row r="3289" spans="2:22" x14ac:dyDescent="0.25">
      <c r="B3289" s="16">
        <v>0</v>
      </c>
      <c r="C3289" s="7">
        <v>1</v>
      </c>
      <c r="D3289" s="8">
        <v>1</v>
      </c>
      <c r="E3289" s="8">
        <v>0</v>
      </c>
      <c r="F3289" s="8">
        <v>1</v>
      </c>
      <c r="G3289" s="8">
        <v>0</v>
      </c>
      <c r="H3289" s="8">
        <v>1</v>
      </c>
      <c r="I3289" s="8">
        <v>1</v>
      </c>
      <c r="J3289" s="8">
        <v>0</v>
      </c>
      <c r="K3289" s="9">
        <v>0</v>
      </c>
      <c r="L3289" s="10">
        <v>1</v>
      </c>
      <c r="M3289" s="6">
        <v>1</v>
      </c>
      <c r="N3289" s="37" t="e" cm="1">
        <f t="array" ref="N3289">IF(OR(ISNUMBER(FIND(Aux!$D$3:$D$9,_xlfn.TEXTJOIN(,,C3289:K3289)))),NA(),IF(AND(SUM(C3289:F3289,H3289:K3289)=0,G3289=1),0,INT((SUMPRODUCT(C3289:F3289,COLUMN($A$1:$D$1)-1)+SUMPRODUCT(H3289:K3289,COLUMN($E$1:$H$1)-1))*'Line Follower'!$C$3/SUM(C3289:F3289,H3289:K3289)-'Line Follower'!$C$5)))</f>
        <v>#N/A</v>
      </c>
      <c r="O3289" s="22" t="e">
        <v>#N/A</v>
      </c>
      <c r="P3289" s="4" t="e">
        <f t="shared" si="255"/>
        <v>#N/A</v>
      </c>
      <c r="Q3289" s="4" t="e">
        <f t="shared" si="256"/>
        <v>#N/A</v>
      </c>
      <c r="R3289" s="4" t="e">
        <f>IF(AND(B3289=1,N3289&gt;'Line Follower'!$C$7,SUM(C3289:K3289)&lt;4),1,0)</f>
        <v>#N/A</v>
      </c>
      <c r="S3289" s="4" t="e">
        <f>IF(AND(L3289=1,N3289&lt;'Line Follower'!$C$6,SUM(C3289:K3289)&lt;4),1,0)</f>
        <v>#N/A</v>
      </c>
      <c r="T3289" s="4" t="e">
        <f t="shared" si="257"/>
        <v>#N/A</v>
      </c>
      <c r="U3289" s="5" t="e">
        <f t="shared" si="258"/>
        <v>#N/A</v>
      </c>
      <c r="V3289" s="23" t="e">
        <f t="shared" si="259"/>
        <v>#N/A</v>
      </c>
    </row>
    <row r="3290" spans="2:22" x14ac:dyDescent="0.25">
      <c r="B3290" s="16">
        <v>1</v>
      </c>
      <c r="C3290" s="7">
        <v>1</v>
      </c>
      <c r="D3290" s="8">
        <v>1</v>
      </c>
      <c r="E3290" s="8">
        <v>0</v>
      </c>
      <c r="F3290" s="8">
        <v>1</v>
      </c>
      <c r="G3290" s="8">
        <v>0</v>
      </c>
      <c r="H3290" s="8">
        <v>1</v>
      </c>
      <c r="I3290" s="8">
        <v>1</v>
      </c>
      <c r="J3290" s="8">
        <v>0</v>
      </c>
      <c r="K3290" s="9">
        <v>0</v>
      </c>
      <c r="L3290" s="10">
        <v>1</v>
      </c>
      <c r="M3290" s="6">
        <v>1</v>
      </c>
      <c r="N3290" s="37" t="e" cm="1">
        <f t="array" ref="N3290">IF(OR(ISNUMBER(FIND(Aux!$D$3:$D$9,_xlfn.TEXTJOIN(,,C3290:K3290)))),NA(),IF(AND(SUM(C3290:F3290,H3290:K3290)=0,G3290=1),0,INT((SUMPRODUCT(C3290:F3290,COLUMN($A$1:$D$1)-1)+SUMPRODUCT(H3290:K3290,COLUMN($E$1:$H$1)-1))*'Line Follower'!$C$3/SUM(C3290:F3290,H3290:K3290)-'Line Follower'!$C$5)))</f>
        <v>#N/A</v>
      </c>
      <c r="O3290" s="22" t="e">
        <v>#N/A</v>
      </c>
      <c r="P3290" s="4" t="e">
        <f t="shared" si="255"/>
        <v>#N/A</v>
      </c>
      <c r="Q3290" s="4" t="e">
        <f t="shared" si="256"/>
        <v>#N/A</v>
      </c>
      <c r="R3290" s="4" t="e">
        <f>IF(AND(B3290=1,N3290&gt;'Line Follower'!$C$7,SUM(C3290:K3290)&lt;4),1,0)</f>
        <v>#N/A</v>
      </c>
      <c r="S3290" s="4" t="e">
        <f>IF(AND(L3290=1,N3290&lt;'Line Follower'!$C$6,SUM(C3290:K3290)&lt;4),1,0)</f>
        <v>#N/A</v>
      </c>
      <c r="T3290" s="4" t="e">
        <f t="shared" si="257"/>
        <v>#N/A</v>
      </c>
      <c r="U3290" s="5" t="e">
        <f t="shared" si="258"/>
        <v>#N/A</v>
      </c>
      <c r="V3290" s="23" t="e">
        <f t="shared" si="259"/>
        <v>#N/A</v>
      </c>
    </row>
    <row r="3291" spans="2:22" x14ac:dyDescent="0.25">
      <c r="B3291" s="16">
        <v>0</v>
      </c>
      <c r="C3291" s="7">
        <v>0</v>
      </c>
      <c r="D3291" s="8">
        <v>0</v>
      </c>
      <c r="E3291" s="8">
        <v>1</v>
      </c>
      <c r="F3291" s="8">
        <v>1</v>
      </c>
      <c r="G3291" s="8">
        <v>0</v>
      </c>
      <c r="H3291" s="8">
        <v>1</v>
      </c>
      <c r="I3291" s="8">
        <v>1</v>
      </c>
      <c r="J3291" s="8">
        <v>0</v>
      </c>
      <c r="K3291" s="9">
        <v>0</v>
      </c>
      <c r="L3291" s="10">
        <v>1</v>
      </c>
      <c r="M3291" s="6">
        <v>1</v>
      </c>
      <c r="N3291" s="37" t="e" cm="1">
        <f t="array" ref="N3291">IF(OR(ISNUMBER(FIND(Aux!$D$3:$D$9,_xlfn.TEXTJOIN(,,C3291:K3291)))),NA(),IF(AND(SUM(C3291:F3291,H3291:K3291)=0,G3291=1),0,INT((SUMPRODUCT(C3291:F3291,COLUMN($A$1:$D$1)-1)+SUMPRODUCT(H3291:K3291,COLUMN($E$1:$H$1)-1))*'Line Follower'!$C$3/SUM(C3291:F3291,H3291:K3291)-'Line Follower'!$C$5)))</f>
        <v>#N/A</v>
      </c>
      <c r="O3291" s="22" t="e">
        <v>#N/A</v>
      </c>
      <c r="P3291" s="4" t="e">
        <f t="shared" si="255"/>
        <v>#N/A</v>
      </c>
      <c r="Q3291" s="4" t="e">
        <f t="shared" si="256"/>
        <v>#N/A</v>
      </c>
      <c r="R3291" s="4" t="e">
        <f>IF(AND(B3291=1,N3291&gt;'Line Follower'!$C$7,SUM(C3291:K3291)&lt;4),1,0)</f>
        <v>#N/A</v>
      </c>
      <c r="S3291" s="4" t="e">
        <f>IF(AND(L3291=1,N3291&lt;'Line Follower'!$C$6,SUM(C3291:K3291)&lt;4),1,0)</f>
        <v>#N/A</v>
      </c>
      <c r="T3291" s="4" t="e">
        <f t="shared" si="257"/>
        <v>#N/A</v>
      </c>
      <c r="U3291" s="5" t="e">
        <f t="shared" si="258"/>
        <v>#N/A</v>
      </c>
      <c r="V3291" s="23" t="e">
        <f t="shared" si="259"/>
        <v>#N/A</v>
      </c>
    </row>
    <row r="3292" spans="2:22" x14ac:dyDescent="0.25">
      <c r="B3292" s="16">
        <v>1</v>
      </c>
      <c r="C3292" s="7">
        <v>0</v>
      </c>
      <c r="D3292" s="8">
        <v>0</v>
      </c>
      <c r="E3292" s="8">
        <v>1</v>
      </c>
      <c r="F3292" s="8">
        <v>1</v>
      </c>
      <c r="G3292" s="8">
        <v>0</v>
      </c>
      <c r="H3292" s="8">
        <v>1</v>
      </c>
      <c r="I3292" s="8">
        <v>1</v>
      </c>
      <c r="J3292" s="8">
        <v>0</v>
      </c>
      <c r="K3292" s="9">
        <v>0</v>
      </c>
      <c r="L3292" s="10">
        <v>1</v>
      </c>
      <c r="M3292" s="6">
        <v>1</v>
      </c>
      <c r="N3292" s="37" t="e" cm="1">
        <f t="array" ref="N3292">IF(OR(ISNUMBER(FIND(Aux!$D$3:$D$9,_xlfn.TEXTJOIN(,,C3292:K3292)))),NA(),IF(AND(SUM(C3292:F3292,H3292:K3292)=0,G3292=1),0,INT((SUMPRODUCT(C3292:F3292,COLUMN($A$1:$D$1)-1)+SUMPRODUCT(H3292:K3292,COLUMN($E$1:$H$1)-1))*'Line Follower'!$C$3/SUM(C3292:F3292,H3292:K3292)-'Line Follower'!$C$5)))</f>
        <v>#N/A</v>
      </c>
      <c r="O3292" s="22" t="e">
        <v>#N/A</v>
      </c>
      <c r="P3292" s="4" t="e">
        <f t="shared" si="255"/>
        <v>#N/A</v>
      </c>
      <c r="Q3292" s="4" t="e">
        <f t="shared" si="256"/>
        <v>#N/A</v>
      </c>
      <c r="R3292" s="4" t="e">
        <f>IF(AND(B3292=1,N3292&gt;'Line Follower'!$C$7,SUM(C3292:K3292)&lt;4),1,0)</f>
        <v>#N/A</v>
      </c>
      <c r="S3292" s="4" t="e">
        <f>IF(AND(L3292=1,N3292&lt;'Line Follower'!$C$6,SUM(C3292:K3292)&lt;4),1,0)</f>
        <v>#N/A</v>
      </c>
      <c r="T3292" s="4" t="e">
        <f t="shared" si="257"/>
        <v>#N/A</v>
      </c>
      <c r="U3292" s="5" t="e">
        <f t="shared" si="258"/>
        <v>#N/A</v>
      </c>
      <c r="V3292" s="23" t="e">
        <f t="shared" si="259"/>
        <v>#N/A</v>
      </c>
    </row>
    <row r="3293" spans="2:22" x14ac:dyDescent="0.25">
      <c r="B3293" s="16">
        <v>0</v>
      </c>
      <c r="C3293" s="7">
        <v>1</v>
      </c>
      <c r="D3293" s="8">
        <v>0</v>
      </c>
      <c r="E3293" s="8">
        <v>1</v>
      </c>
      <c r="F3293" s="8">
        <v>1</v>
      </c>
      <c r="G3293" s="8">
        <v>0</v>
      </c>
      <c r="H3293" s="8">
        <v>1</v>
      </c>
      <c r="I3293" s="8">
        <v>1</v>
      </c>
      <c r="J3293" s="8">
        <v>0</v>
      </c>
      <c r="K3293" s="9">
        <v>0</v>
      </c>
      <c r="L3293" s="10">
        <v>1</v>
      </c>
      <c r="M3293" s="6">
        <v>1</v>
      </c>
      <c r="N3293" s="37" t="e" cm="1">
        <f t="array" ref="N3293">IF(OR(ISNUMBER(FIND(Aux!$D$3:$D$9,_xlfn.TEXTJOIN(,,C3293:K3293)))),NA(),IF(AND(SUM(C3293:F3293,H3293:K3293)=0,G3293=1),0,INT((SUMPRODUCT(C3293:F3293,COLUMN($A$1:$D$1)-1)+SUMPRODUCT(H3293:K3293,COLUMN($E$1:$H$1)-1))*'Line Follower'!$C$3/SUM(C3293:F3293,H3293:K3293)-'Line Follower'!$C$5)))</f>
        <v>#N/A</v>
      </c>
      <c r="O3293" s="22" t="e">
        <v>#N/A</v>
      </c>
      <c r="P3293" s="4" t="e">
        <f t="shared" si="255"/>
        <v>#N/A</v>
      </c>
      <c r="Q3293" s="4" t="e">
        <f t="shared" si="256"/>
        <v>#N/A</v>
      </c>
      <c r="R3293" s="4" t="e">
        <f>IF(AND(B3293=1,N3293&gt;'Line Follower'!$C$7,SUM(C3293:K3293)&lt;4),1,0)</f>
        <v>#N/A</v>
      </c>
      <c r="S3293" s="4" t="e">
        <f>IF(AND(L3293=1,N3293&lt;'Line Follower'!$C$6,SUM(C3293:K3293)&lt;4),1,0)</f>
        <v>#N/A</v>
      </c>
      <c r="T3293" s="4" t="e">
        <f t="shared" si="257"/>
        <v>#N/A</v>
      </c>
      <c r="U3293" s="5" t="e">
        <f t="shared" si="258"/>
        <v>#N/A</v>
      </c>
      <c r="V3293" s="23" t="e">
        <f t="shared" si="259"/>
        <v>#N/A</v>
      </c>
    </row>
    <row r="3294" spans="2:22" x14ac:dyDescent="0.25">
      <c r="B3294" s="16">
        <v>1</v>
      </c>
      <c r="C3294" s="7">
        <v>1</v>
      </c>
      <c r="D3294" s="8">
        <v>0</v>
      </c>
      <c r="E3294" s="8">
        <v>1</v>
      </c>
      <c r="F3294" s="8">
        <v>1</v>
      </c>
      <c r="G3294" s="8">
        <v>0</v>
      </c>
      <c r="H3294" s="8">
        <v>1</v>
      </c>
      <c r="I3294" s="8">
        <v>1</v>
      </c>
      <c r="J3294" s="8">
        <v>0</v>
      </c>
      <c r="K3294" s="9">
        <v>0</v>
      </c>
      <c r="L3294" s="10">
        <v>1</v>
      </c>
      <c r="M3294" s="6">
        <v>1</v>
      </c>
      <c r="N3294" s="37" t="e" cm="1">
        <f t="array" ref="N3294">IF(OR(ISNUMBER(FIND(Aux!$D$3:$D$9,_xlfn.TEXTJOIN(,,C3294:K3294)))),NA(),IF(AND(SUM(C3294:F3294,H3294:K3294)=0,G3294=1),0,INT((SUMPRODUCT(C3294:F3294,COLUMN($A$1:$D$1)-1)+SUMPRODUCT(H3294:K3294,COLUMN($E$1:$H$1)-1))*'Line Follower'!$C$3/SUM(C3294:F3294,H3294:K3294)-'Line Follower'!$C$5)))</f>
        <v>#N/A</v>
      </c>
      <c r="O3294" s="22" t="e">
        <v>#N/A</v>
      </c>
      <c r="P3294" s="4" t="e">
        <f t="shared" si="255"/>
        <v>#N/A</v>
      </c>
      <c r="Q3294" s="4" t="e">
        <f t="shared" si="256"/>
        <v>#N/A</v>
      </c>
      <c r="R3294" s="4" t="e">
        <f>IF(AND(B3294=1,N3294&gt;'Line Follower'!$C$7,SUM(C3294:K3294)&lt;4),1,0)</f>
        <v>#N/A</v>
      </c>
      <c r="S3294" s="4" t="e">
        <f>IF(AND(L3294=1,N3294&lt;'Line Follower'!$C$6,SUM(C3294:K3294)&lt;4),1,0)</f>
        <v>#N/A</v>
      </c>
      <c r="T3294" s="4" t="e">
        <f t="shared" si="257"/>
        <v>#N/A</v>
      </c>
      <c r="U3294" s="5" t="e">
        <f t="shared" si="258"/>
        <v>#N/A</v>
      </c>
      <c r="V3294" s="23" t="e">
        <f t="shared" si="259"/>
        <v>#N/A</v>
      </c>
    </row>
    <row r="3295" spans="2:22" x14ac:dyDescent="0.25">
      <c r="B3295" s="16">
        <v>0</v>
      </c>
      <c r="C3295" s="7">
        <v>0</v>
      </c>
      <c r="D3295" s="8">
        <v>1</v>
      </c>
      <c r="E3295" s="8">
        <v>1</v>
      </c>
      <c r="F3295" s="8">
        <v>1</v>
      </c>
      <c r="G3295" s="8">
        <v>0</v>
      </c>
      <c r="H3295" s="8">
        <v>1</v>
      </c>
      <c r="I3295" s="8">
        <v>1</v>
      </c>
      <c r="J3295" s="8">
        <v>0</v>
      </c>
      <c r="K3295" s="9">
        <v>0</v>
      </c>
      <c r="L3295" s="10">
        <v>1</v>
      </c>
      <c r="M3295" s="6">
        <v>1</v>
      </c>
      <c r="N3295" s="37" t="e" cm="1">
        <f t="array" ref="N3295">IF(OR(ISNUMBER(FIND(Aux!$D$3:$D$9,_xlfn.TEXTJOIN(,,C3295:K3295)))),NA(),IF(AND(SUM(C3295:F3295,H3295:K3295)=0,G3295=1),0,INT((SUMPRODUCT(C3295:F3295,COLUMN($A$1:$D$1)-1)+SUMPRODUCT(H3295:K3295,COLUMN($E$1:$H$1)-1))*'Line Follower'!$C$3/SUM(C3295:F3295,H3295:K3295)-'Line Follower'!$C$5)))</f>
        <v>#N/A</v>
      </c>
      <c r="O3295" s="22" t="e">
        <v>#N/A</v>
      </c>
      <c r="P3295" s="4" t="e">
        <f t="shared" si="255"/>
        <v>#N/A</v>
      </c>
      <c r="Q3295" s="4" t="e">
        <f t="shared" si="256"/>
        <v>#N/A</v>
      </c>
      <c r="R3295" s="4" t="e">
        <f>IF(AND(B3295=1,N3295&gt;'Line Follower'!$C$7,SUM(C3295:K3295)&lt;4),1,0)</f>
        <v>#N/A</v>
      </c>
      <c r="S3295" s="4" t="e">
        <f>IF(AND(L3295=1,N3295&lt;'Line Follower'!$C$6,SUM(C3295:K3295)&lt;4),1,0)</f>
        <v>#N/A</v>
      </c>
      <c r="T3295" s="4" t="e">
        <f t="shared" si="257"/>
        <v>#N/A</v>
      </c>
      <c r="U3295" s="5" t="e">
        <f t="shared" si="258"/>
        <v>#N/A</v>
      </c>
      <c r="V3295" s="23" t="e">
        <f t="shared" si="259"/>
        <v>#N/A</v>
      </c>
    </row>
    <row r="3296" spans="2:22" x14ac:dyDescent="0.25">
      <c r="B3296" s="16">
        <v>1</v>
      </c>
      <c r="C3296" s="7">
        <v>0</v>
      </c>
      <c r="D3296" s="8">
        <v>1</v>
      </c>
      <c r="E3296" s="8">
        <v>1</v>
      </c>
      <c r="F3296" s="8">
        <v>1</v>
      </c>
      <c r="G3296" s="8">
        <v>0</v>
      </c>
      <c r="H3296" s="8">
        <v>1</v>
      </c>
      <c r="I3296" s="8">
        <v>1</v>
      </c>
      <c r="J3296" s="8">
        <v>0</v>
      </c>
      <c r="K3296" s="9">
        <v>0</v>
      </c>
      <c r="L3296" s="10">
        <v>1</v>
      </c>
      <c r="M3296" s="6">
        <v>1</v>
      </c>
      <c r="N3296" s="37" t="e" cm="1">
        <f t="array" ref="N3296">IF(OR(ISNUMBER(FIND(Aux!$D$3:$D$9,_xlfn.TEXTJOIN(,,C3296:K3296)))),NA(),IF(AND(SUM(C3296:F3296,H3296:K3296)=0,G3296=1),0,INT((SUMPRODUCT(C3296:F3296,COLUMN($A$1:$D$1)-1)+SUMPRODUCT(H3296:K3296,COLUMN($E$1:$H$1)-1))*'Line Follower'!$C$3/SUM(C3296:F3296,H3296:K3296)-'Line Follower'!$C$5)))</f>
        <v>#N/A</v>
      </c>
      <c r="O3296" s="22" t="e">
        <v>#N/A</v>
      </c>
      <c r="P3296" s="4" t="e">
        <f t="shared" si="255"/>
        <v>#N/A</v>
      </c>
      <c r="Q3296" s="4" t="e">
        <f t="shared" si="256"/>
        <v>#N/A</v>
      </c>
      <c r="R3296" s="4" t="e">
        <f>IF(AND(B3296=1,N3296&gt;'Line Follower'!$C$7,SUM(C3296:K3296)&lt;4),1,0)</f>
        <v>#N/A</v>
      </c>
      <c r="S3296" s="4" t="e">
        <f>IF(AND(L3296=1,N3296&lt;'Line Follower'!$C$6,SUM(C3296:K3296)&lt;4),1,0)</f>
        <v>#N/A</v>
      </c>
      <c r="T3296" s="4" t="e">
        <f t="shared" si="257"/>
        <v>#N/A</v>
      </c>
      <c r="U3296" s="5" t="e">
        <f t="shared" si="258"/>
        <v>#N/A</v>
      </c>
      <c r="V3296" s="23" t="e">
        <f t="shared" si="259"/>
        <v>#N/A</v>
      </c>
    </row>
    <row r="3297" spans="2:22" x14ac:dyDescent="0.25">
      <c r="B3297" s="16">
        <v>0</v>
      </c>
      <c r="C3297" s="7">
        <v>1</v>
      </c>
      <c r="D3297" s="8">
        <v>1</v>
      </c>
      <c r="E3297" s="8">
        <v>1</v>
      </c>
      <c r="F3297" s="8">
        <v>1</v>
      </c>
      <c r="G3297" s="8">
        <v>0</v>
      </c>
      <c r="H3297" s="8">
        <v>1</v>
      </c>
      <c r="I3297" s="8">
        <v>1</v>
      </c>
      <c r="J3297" s="8">
        <v>0</v>
      </c>
      <c r="K3297" s="9">
        <v>0</v>
      </c>
      <c r="L3297" s="10">
        <v>1</v>
      </c>
      <c r="M3297" s="6">
        <v>1</v>
      </c>
      <c r="N3297" s="37" t="e" cm="1">
        <f t="array" ref="N3297">IF(OR(ISNUMBER(FIND(Aux!$D$3:$D$9,_xlfn.TEXTJOIN(,,C3297:K3297)))),NA(),IF(AND(SUM(C3297:F3297,H3297:K3297)=0,G3297=1),0,INT((SUMPRODUCT(C3297:F3297,COLUMN($A$1:$D$1)-1)+SUMPRODUCT(H3297:K3297,COLUMN($E$1:$H$1)-1))*'Line Follower'!$C$3/SUM(C3297:F3297,H3297:K3297)-'Line Follower'!$C$5)))</f>
        <v>#N/A</v>
      </c>
      <c r="O3297" s="22" t="e">
        <v>#N/A</v>
      </c>
      <c r="P3297" s="4" t="e">
        <f t="shared" si="255"/>
        <v>#N/A</v>
      </c>
      <c r="Q3297" s="4" t="e">
        <f t="shared" si="256"/>
        <v>#N/A</v>
      </c>
      <c r="R3297" s="4" t="e">
        <f>IF(AND(B3297=1,N3297&gt;'Line Follower'!$C$7,SUM(C3297:K3297)&lt;4),1,0)</f>
        <v>#N/A</v>
      </c>
      <c r="S3297" s="4" t="e">
        <f>IF(AND(L3297=1,N3297&lt;'Line Follower'!$C$6,SUM(C3297:K3297)&lt;4),1,0)</f>
        <v>#N/A</v>
      </c>
      <c r="T3297" s="4" t="e">
        <f t="shared" si="257"/>
        <v>#N/A</v>
      </c>
      <c r="U3297" s="5" t="e">
        <f t="shared" si="258"/>
        <v>#N/A</v>
      </c>
      <c r="V3297" s="23" t="e">
        <f t="shared" si="259"/>
        <v>#N/A</v>
      </c>
    </row>
    <row r="3298" spans="2:22" x14ac:dyDescent="0.25">
      <c r="B3298" s="16">
        <v>1</v>
      </c>
      <c r="C3298" s="7">
        <v>1</v>
      </c>
      <c r="D3298" s="8">
        <v>1</v>
      </c>
      <c r="E3298" s="8">
        <v>1</v>
      </c>
      <c r="F3298" s="8">
        <v>1</v>
      </c>
      <c r="G3298" s="8">
        <v>0</v>
      </c>
      <c r="H3298" s="8">
        <v>1</v>
      </c>
      <c r="I3298" s="8">
        <v>1</v>
      </c>
      <c r="J3298" s="8">
        <v>0</v>
      </c>
      <c r="K3298" s="9">
        <v>0</v>
      </c>
      <c r="L3298" s="10">
        <v>1</v>
      </c>
      <c r="M3298" s="6">
        <v>1</v>
      </c>
      <c r="N3298" s="37" t="e" cm="1">
        <f t="array" ref="N3298">IF(OR(ISNUMBER(FIND(Aux!$D$3:$D$9,_xlfn.TEXTJOIN(,,C3298:K3298)))),NA(),IF(AND(SUM(C3298:F3298,H3298:K3298)=0,G3298=1),0,INT((SUMPRODUCT(C3298:F3298,COLUMN($A$1:$D$1)-1)+SUMPRODUCT(H3298:K3298,COLUMN($E$1:$H$1)-1))*'Line Follower'!$C$3/SUM(C3298:F3298,H3298:K3298)-'Line Follower'!$C$5)))</f>
        <v>#N/A</v>
      </c>
      <c r="O3298" s="22" t="e">
        <v>#N/A</v>
      </c>
      <c r="P3298" s="4" t="e">
        <f t="shared" si="255"/>
        <v>#N/A</v>
      </c>
      <c r="Q3298" s="4" t="e">
        <f t="shared" si="256"/>
        <v>#N/A</v>
      </c>
      <c r="R3298" s="4" t="e">
        <f>IF(AND(B3298=1,N3298&gt;'Line Follower'!$C$7,SUM(C3298:K3298)&lt;4),1,0)</f>
        <v>#N/A</v>
      </c>
      <c r="S3298" s="4" t="e">
        <f>IF(AND(L3298=1,N3298&lt;'Line Follower'!$C$6,SUM(C3298:K3298)&lt;4),1,0)</f>
        <v>#N/A</v>
      </c>
      <c r="T3298" s="4" t="e">
        <f t="shared" si="257"/>
        <v>#N/A</v>
      </c>
      <c r="U3298" s="5" t="e">
        <f t="shared" si="258"/>
        <v>#N/A</v>
      </c>
      <c r="V3298" s="23" t="e">
        <f t="shared" si="259"/>
        <v>#N/A</v>
      </c>
    </row>
    <row r="3299" spans="2:22" x14ac:dyDescent="0.25">
      <c r="B3299" s="16">
        <v>0</v>
      </c>
      <c r="C3299" s="7">
        <v>0</v>
      </c>
      <c r="D3299" s="8">
        <v>0</v>
      </c>
      <c r="E3299" s="8">
        <v>0</v>
      </c>
      <c r="F3299" s="8">
        <v>0</v>
      </c>
      <c r="G3299" s="8">
        <v>1</v>
      </c>
      <c r="H3299" s="8">
        <v>1</v>
      </c>
      <c r="I3299" s="8">
        <v>1</v>
      </c>
      <c r="J3299" s="8">
        <v>0</v>
      </c>
      <c r="K3299" s="9">
        <v>0</v>
      </c>
      <c r="L3299" s="10">
        <v>1</v>
      </c>
      <c r="M3299" s="6">
        <v>1</v>
      </c>
      <c r="N3299" s="37" cm="1">
        <f t="array" ref="N3299">IF(OR(ISNUMBER(FIND(Aux!$D$3:$D$9,_xlfn.TEXTJOIN(,,C3299:K3299)))),NA(),IF(AND(SUM(C3299:F3299,H3299:K3299)=0,G3299=1),0,INT((SUMPRODUCT(C3299:F3299,COLUMN($A$1:$D$1)-1)+SUMPRODUCT(H3299:K3299,COLUMN($E$1:$H$1)-1))*'Line Follower'!$C$3/SUM(C3299:F3299,H3299:K3299)-'Line Follower'!$C$5)))</f>
        <v>2</v>
      </c>
      <c r="O3299" s="22">
        <v>1</v>
      </c>
      <c r="P3299" s="4">
        <f t="shared" si="255"/>
        <v>0</v>
      </c>
      <c r="Q3299" s="4">
        <f t="shared" si="256"/>
        <v>0</v>
      </c>
      <c r="R3299" s="4">
        <f>IF(AND(B3299=1,N3299&gt;'Line Follower'!$C$7,SUM(C3299:K3299)&lt;4),1,0)</f>
        <v>0</v>
      </c>
      <c r="S3299" s="4">
        <f>IF(AND(L3299=1,N3299&lt;'Line Follower'!$C$6,SUM(C3299:K3299)&lt;4),1,0)</f>
        <v>1</v>
      </c>
      <c r="T3299" s="4">
        <f t="shared" si="257"/>
        <v>0</v>
      </c>
      <c r="U3299" s="5">
        <f t="shared" si="258"/>
        <v>0</v>
      </c>
      <c r="V3299" s="23">
        <f t="shared" si="259"/>
        <v>0</v>
      </c>
    </row>
    <row r="3300" spans="2:22" x14ac:dyDescent="0.25">
      <c r="B3300" s="16">
        <v>1</v>
      </c>
      <c r="C3300" s="7">
        <v>0</v>
      </c>
      <c r="D3300" s="8">
        <v>0</v>
      </c>
      <c r="E3300" s="8">
        <v>0</v>
      </c>
      <c r="F3300" s="8">
        <v>0</v>
      </c>
      <c r="G3300" s="8">
        <v>1</v>
      </c>
      <c r="H3300" s="8">
        <v>1</v>
      </c>
      <c r="I3300" s="8">
        <v>1</v>
      </c>
      <c r="J3300" s="8">
        <v>0</v>
      </c>
      <c r="K3300" s="9">
        <v>0</v>
      </c>
      <c r="L3300" s="10">
        <v>1</v>
      </c>
      <c r="M3300" s="6">
        <v>1</v>
      </c>
      <c r="N3300" s="37" cm="1">
        <f t="array" ref="N3300">IF(OR(ISNUMBER(FIND(Aux!$D$3:$D$9,_xlfn.TEXTJOIN(,,C3300:K3300)))),NA(),IF(AND(SUM(C3300:F3300,H3300:K3300)=0,G3300=1),0,INT((SUMPRODUCT(C3300:F3300,COLUMN($A$1:$D$1)-1)+SUMPRODUCT(H3300:K3300,COLUMN($E$1:$H$1)-1))*'Line Follower'!$C$3/SUM(C3300:F3300,H3300:K3300)-'Line Follower'!$C$5)))</f>
        <v>2</v>
      </c>
      <c r="O3300" s="22">
        <v>1</v>
      </c>
      <c r="P3300" s="4">
        <f t="shared" si="255"/>
        <v>0</v>
      </c>
      <c r="Q3300" s="4">
        <f t="shared" si="256"/>
        <v>0</v>
      </c>
      <c r="R3300" s="4">
        <f>IF(AND(B3300=1,N3300&gt;'Line Follower'!$C$7,SUM(C3300:K3300)&lt;4),1,0)</f>
        <v>1</v>
      </c>
      <c r="S3300" s="4">
        <f>IF(AND(L3300=1,N3300&lt;'Line Follower'!$C$6,SUM(C3300:K3300)&lt;4),1,0)</f>
        <v>1</v>
      </c>
      <c r="T3300" s="4">
        <f t="shared" si="257"/>
        <v>0</v>
      </c>
      <c r="U3300" s="5">
        <f t="shared" si="258"/>
        <v>0</v>
      </c>
      <c r="V3300" s="23">
        <f t="shared" si="259"/>
        <v>0</v>
      </c>
    </row>
    <row r="3301" spans="2:22" x14ac:dyDescent="0.25">
      <c r="B3301" s="16">
        <v>0</v>
      </c>
      <c r="C3301" s="7">
        <v>1</v>
      </c>
      <c r="D3301" s="8">
        <v>0</v>
      </c>
      <c r="E3301" s="8">
        <v>0</v>
      </c>
      <c r="F3301" s="8">
        <v>0</v>
      </c>
      <c r="G3301" s="8">
        <v>1</v>
      </c>
      <c r="H3301" s="8">
        <v>1</v>
      </c>
      <c r="I3301" s="8">
        <v>1</v>
      </c>
      <c r="J3301" s="8">
        <v>0</v>
      </c>
      <c r="K3301" s="9">
        <v>0</v>
      </c>
      <c r="L3301" s="10">
        <v>1</v>
      </c>
      <c r="M3301" s="6">
        <v>1</v>
      </c>
      <c r="N3301" s="37" t="e" cm="1">
        <f t="array" ref="N3301">IF(OR(ISNUMBER(FIND(Aux!$D$3:$D$9,_xlfn.TEXTJOIN(,,C3301:K3301)))),NA(),IF(AND(SUM(C3301:F3301,H3301:K3301)=0,G3301=1),0,INT((SUMPRODUCT(C3301:F3301,COLUMN($A$1:$D$1)-1)+SUMPRODUCT(H3301:K3301,COLUMN($E$1:$H$1)-1))*'Line Follower'!$C$3/SUM(C3301:F3301,H3301:K3301)-'Line Follower'!$C$5)))</f>
        <v>#N/A</v>
      </c>
      <c r="O3301" s="22" t="e">
        <v>#N/A</v>
      </c>
      <c r="P3301" s="4" t="e">
        <f t="shared" si="255"/>
        <v>#N/A</v>
      </c>
      <c r="Q3301" s="4" t="e">
        <f t="shared" si="256"/>
        <v>#N/A</v>
      </c>
      <c r="R3301" s="4" t="e">
        <f>IF(AND(B3301=1,N3301&gt;'Line Follower'!$C$7,SUM(C3301:K3301)&lt;4),1,0)</f>
        <v>#N/A</v>
      </c>
      <c r="S3301" s="4" t="e">
        <f>IF(AND(L3301=1,N3301&lt;'Line Follower'!$C$6,SUM(C3301:K3301)&lt;4),1,0)</f>
        <v>#N/A</v>
      </c>
      <c r="T3301" s="4" t="e">
        <f t="shared" si="257"/>
        <v>#N/A</v>
      </c>
      <c r="U3301" s="5" t="e">
        <f t="shared" si="258"/>
        <v>#N/A</v>
      </c>
      <c r="V3301" s="23" t="e">
        <f t="shared" si="259"/>
        <v>#N/A</v>
      </c>
    </row>
    <row r="3302" spans="2:22" x14ac:dyDescent="0.25">
      <c r="B3302" s="16">
        <v>1</v>
      </c>
      <c r="C3302" s="7">
        <v>1</v>
      </c>
      <c r="D3302" s="8">
        <v>0</v>
      </c>
      <c r="E3302" s="8">
        <v>0</v>
      </c>
      <c r="F3302" s="8">
        <v>0</v>
      </c>
      <c r="G3302" s="8">
        <v>1</v>
      </c>
      <c r="H3302" s="8">
        <v>1</v>
      </c>
      <c r="I3302" s="8">
        <v>1</v>
      </c>
      <c r="J3302" s="8">
        <v>0</v>
      </c>
      <c r="K3302" s="9">
        <v>0</v>
      </c>
      <c r="L3302" s="10">
        <v>1</v>
      </c>
      <c r="M3302" s="6">
        <v>1</v>
      </c>
      <c r="N3302" s="37" t="e" cm="1">
        <f t="array" ref="N3302">IF(OR(ISNUMBER(FIND(Aux!$D$3:$D$9,_xlfn.TEXTJOIN(,,C3302:K3302)))),NA(),IF(AND(SUM(C3302:F3302,H3302:K3302)=0,G3302=1),0,INT((SUMPRODUCT(C3302:F3302,COLUMN($A$1:$D$1)-1)+SUMPRODUCT(H3302:K3302,COLUMN($E$1:$H$1)-1))*'Line Follower'!$C$3/SUM(C3302:F3302,H3302:K3302)-'Line Follower'!$C$5)))</f>
        <v>#N/A</v>
      </c>
      <c r="O3302" s="22" t="e">
        <v>#N/A</v>
      </c>
      <c r="P3302" s="4" t="e">
        <f t="shared" si="255"/>
        <v>#N/A</v>
      </c>
      <c r="Q3302" s="4" t="e">
        <f t="shared" si="256"/>
        <v>#N/A</v>
      </c>
      <c r="R3302" s="4" t="e">
        <f>IF(AND(B3302=1,N3302&gt;'Line Follower'!$C$7,SUM(C3302:K3302)&lt;4),1,0)</f>
        <v>#N/A</v>
      </c>
      <c r="S3302" s="4" t="e">
        <f>IF(AND(L3302=1,N3302&lt;'Line Follower'!$C$6,SUM(C3302:K3302)&lt;4),1,0)</f>
        <v>#N/A</v>
      </c>
      <c r="T3302" s="4" t="e">
        <f t="shared" si="257"/>
        <v>#N/A</v>
      </c>
      <c r="U3302" s="5" t="e">
        <f t="shared" si="258"/>
        <v>#N/A</v>
      </c>
      <c r="V3302" s="23" t="e">
        <f t="shared" si="259"/>
        <v>#N/A</v>
      </c>
    </row>
    <row r="3303" spans="2:22" x14ac:dyDescent="0.25">
      <c r="B3303" s="16">
        <v>0</v>
      </c>
      <c r="C3303" s="7">
        <v>0</v>
      </c>
      <c r="D3303" s="8">
        <v>1</v>
      </c>
      <c r="E3303" s="8">
        <v>0</v>
      </c>
      <c r="F3303" s="8">
        <v>0</v>
      </c>
      <c r="G3303" s="8">
        <v>1</v>
      </c>
      <c r="H3303" s="8">
        <v>1</v>
      </c>
      <c r="I3303" s="8">
        <v>1</v>
      </c>
      <c r="J3303" s="8">
        <v>0</v>
      </c>
      <c r="K3303" s="9">
        <v>0</v>
      </c>
      <c r="L3303" s="10">
        <v>1</v>
      </c>
      <c r="M3303" s="6">
        <v>1</v>
      </c>
      <c r="N3303" s="37" t="e" cm="1">
        <f t="array" ref="N3303">IF(OR(ISNUMBER(FIND(Aux!$D$3:$D$9,_xlfn.TEXTJOIN(,,C3303:K3303)))),NA(),IF(AND(SUM(C3303:F3303,H3303:K3303)=0,G3303=1),0,INT((SUMPRODUCT(C3303:F3303,COLUMN($A$1:$D$1)-1)+SUMPRODUCT(H3303:K3303,COLUMN($E$1:$H$1)-1))*'Line Follower'!$C$3/SUM(C3303:F3303,H3303:K3303)-'Line Follower'!$C$5)))</f>
        <v>#N/A</v>
      </c>
      <c r="O3303" s="22" t="e">
        <v>#N/A</v>
      </c>
      <c r="P3303" s="4" t="e">
        <f t="shared" si="255"/>
        <v>#N/A</v>
      </c>
      <c r="Q3303" s="4" t="e">
        <f t="shared" si="256"/>
        <v>#N/A</v>
      </c>
      <c r="R3303" s="4" t="e">
        <f>IF(AND(B3303=1,N3303&gt;'Line Follower'!$C$7,SUM(C3303:K3303)&lt;4),1,0)</f>
        <v>#N/A</v>
      </c>
      <c r="S3303" s="4" t="e">
        <f>IF(AND(L3303=1,N3303&lt;'Line Follower'!$C$6,SUM(C3303:K3303)&lt;4),1,0)</f>
        <v>#N/A</v>
      </c>
      <c r="T3303" s="4" t="e">
        <f t="shared" si="257"/>
        <v>#N/A</v>
      </c>
      <c r="U3303" s="5" t="e">
        <f t="shared" si="258"/>
        <v>#N/A</v>
      </c>
      <c r="V3303" s="23" t="e">
        <f t="shared" si="259"/>
        <v>#N/A</v>
      </c>
    </row>
    <row r="3304" spans="2:22" x14ac:dyDescent="0.25">
      <c r="B3304" s="16">
        <v>1</v>
      </c>
      <c r="C3304" s="7">
        <v>0</v>
      </c>
      <c r="D3304" s="8">
        <v>1</v>
      </c>
      <c r="E3304" s="8">
        <v>0</v>
      </c>
      <c r="F3304" s="8">
        <v>0</v>
      </c>
      <c r="G3304" s="8">
        <v>1</v>
      </c>
      <c r="H3304" s="8">
        <v>1</v>
      </c>
      <c r="I3304" s="8">
        <v>1</v>
      </c>
      <c r="J3304" s="8">
        <v>0</v>
      </c>
      <c r="K3304" s="9">
        <v>0</v>
      </c>
      <c r="L3304" s="10">
        <v>1</v>
      </c>
      <c r="M3304" s="6">
        <v>1</v>
      </c>
      <c r="N3304" s="37" t="e" cm="1">
        <f t="array" ref="N3304">IF(OR(ISNUMBER(FIND(Aux!$D$3:$D$9,_xlfn.TEXTJOIN(,,C3304:K3304)))),NA(),IF(AND(SUM(C3304:F3304,H3304:K3304)=0,G3304=1),0,INT((SUMPRODUCT(C3304:F3304,COLUMN($A$1:$D$1)-1)+SUMPRODUCT(H3304:K3304,COLUMN($E$1:$H$1)-1))*'Line Follower'!$C$3/SUM(C3304:F3304,H3304:K3304)-'Line Follower'!$C$5)))</f>
        <v>#N/A</v>
      </c>
      <c r="O3304" s="22" t="e">
        <v>#N/A</v>
      </c>
      <c r="P3304" s="4" t="e">
        <f t="shared" si="255"/>
        <v>#N/A</v>
      </c>
      <c r="Q3304" s="4" t="e">
        <f t="shared" si="256"/>
        <v>#N/A</v>
      </c>
      <c r="R3304" s="4" t="e">
        <f>IF(AND(B3304=1,N3304&gt;'Line Follower'!$C$7,SUM(C3304:K3304)&lt;4),1,0)</f>
        <v>#N/A</v>
      </c>
      <c r="S3304" s="4" t="e">
        <f>IF(AND(L3304=1,N3304&lt;'Line Follower'!$C$6,SUM(C3304:K3304)&lt;4),1,0)</f>
        <v>#N/A</v>
      </c>
      <c r="T3304" s="4" t="e">
        <f t="shared" si="257"/>
        <v>#N/A</v>
      </c>
      <c r="U3304" s="5" t="e">
        <f t="shared" si="258"/>
        <v>#N/A</v>
      </c>
      <c r="V3304" s="23" t="e">
        <f t="shared" si="259"/>
        <v>#N/A</v>
      </c>
    </row>
    <row r="3305" spans="2:22" x14ac:dyDescent="0.25">
      <c r="B3305" s="16">
        <v>0</v>
      </c>
      <c r="C3305" s="7">
        <v>1</v>
      </c>
      <c r="D3305" s="8">
        <v>1</v>
      </c>
      <c r="E3305" s="8">
        <v>0</v>
      </c>
      <c r="F3305" s="8">
        <v>0</v>
      </c>
      <c r="G3305" s="8">
        <v>1</v>
      </c>
      <c r="H3305" s="8">
        <v>1</v>
      </c>
      <c r="I3305" s="8">
        <v>1</v>
      </c>
      <c r="J3305" s="8">
        <v>0</v>
      </c>
      <c r="K3305" s="9">
        <v>0</v>
      </c>
      <c r="L3305" s="10">
        <v>1</v>
      </c>
      <c r="M3305" s="6">
        <v>1</v>
      </c>
      <c r="N3305" s="37" t="e" cm="1">
        <f t="array" ref="N3305">IF(OR(ISNUMBER(FIND(Aux!$D$3:$D$9,_xlfn.TEXTJOIN(,,C3305:K3305)))),NA(),IF(AND(SUM(C3305:F3305,H3305:K3305)=0,G3305=1),0,INT((SUMPRODUCT(C3305:F3305,COLUMN($A$1:$D$1)-1)+SUMPRODUCT(H3305:K3305,COLUMN($E$1:$H$1)-1))*'Line Follower'!$C$3/SUM(C3305:F3305,H3305:K3305)-'Line Follower'!$C$5)))</f>
        <v>#N/A</v>
      </c>
      <c r="O3305" s="22" t="e">
        <v>#N/A</v>
      </c>
      <c r="P3305" s="4" t="e">
        <f t="shared" si="255"/>
        <v>#N/A</v>
      </c>
      <c r="Q3305" s="4" t="e">
        <f t="shared" si="256"/>
        <v>#N/A</v>
      </c>
      <c r="R3305" s="4" t="e">
        <f>IF(AND(B3305=1,N3305&gt;'Line Follower'!$C$7,SUM(C3305:K3305)&lt;4),1,0)</f>
        <v>#N/A</v>
      </c>
      <c r="S3305" s="4" t="e">
        <f>IF(AND(L3305=1,N3305&lt;'Line Follower'!$C$6,SUM(C3305:K3305)&lt;4),1,0)</f>
        <v>#N/A</v>
      </c>
      <c r="T3305" s="4" t="e">
        <f t="shared" si="257"/>
        <v>#N/A</v>
      </c>
      <c r="U3305" s="5" t="e">
        <f t="shared" si="258"/>
        <v>#N/A</v>
      </c>
      <c r="V3305" s="23" t="e">
        <f t="shared" si="259"/>
        <v>#N/A</v>
      </c>
    </row>
    <row r="3306" spans="2:22" x14ac:dyDescent="0.25">
      <c r="B3306" s="16">
        <v>1</v>
      </c>
      <c r="C3306" s="7">
        <v>1</v>
      </c>
      <c r="D3306" s="8">
        <v>1</v>
      </c>
      <c r="E3306" s="8">
        <v>0</v>
      </c>
      <c r="F3306" s="8">
        <v>0</v>
      </c>
      <c r="G3306" s="8">
        <v>1</v>
      </c>
      <c r="H3306" s="8">
        <v>1</v>
      </c>
      <c r="I3306" s="8">
        <v>1</v>
      </c>
      <c r="J3306" s="8">
        <v>0</v>
      </c>
      <c r="K3306" s="9">
        <v>0</v>
      </c>
      <c r="L3306" s="10">
        <v>1</v>
      </c>
      <c r="M3306" s="6">
        <v>1</v>
      </c>
      <c r="N3306" s="37" t="e" cm="1">
        <f t="array" ref="N3306">IF(OR(ISNUMBER(FIND(Aux!$D$3:$D$9,_xlfn.TEXTJOIN(,,C3306:K3306)))),NA(),IF(AND(SUM(C3306:F3306,H3306:K3306)=0,G3306=1),0,INT((SUMPRODUCT(C3306:F3306,COLUMN($A$1:$D$1)-1)+SUMPRODUCT(H3306:K3306,COLUMN($E$1:$H$1)-1))*'Line Follower'!$C$3/SUM(C3306:F3306,H3306:K3306)-'Line Follower'!$C$5)))</f>
        <v>#N/A</v>
      </c>
      <c r="O3306" s="22" t="e">
        <v>#N/A</v>
      </c>
      <c r="P3306" s="4" t="e">
        <f t="shared" si="255"/>
        <v>#N/A</v>
      </c>
      <c r="Q3306" s="4" t="e">
        <f t="shared" si="256"/>
        <v>#N/A</v>
      </c>
      <c r="R3306" s="4" t="e">
        <f>IF(AND(B3306=1,N3306&gt;'Line Follower'!$C$7,SUM(C3306:K3306)&lt;4),1,0)</f>
        <v>#N/A</v>
      </c>
      <c r="S3306" s="4" t="e">
        <f>IF(AND(L3306=1,N3306&lt;'Line Follower'!$C$6,SUM(C3306:K3306)&lt;4),1,0)</f>
        <v>#N/A</v>
      </c>
      <c r="T3306" s="4" t="e">
        <f t="shared" si="257"/>
        <v>#N/A</v>
      </c>
      <c r="U3306" s="5" t="e">
        <f t="shared" si="258"/>
        <v>#N/A</v>
      </c>
      <c r="V3306" s="23" t="e">
        <f t="shared" si="259"/>
        <v>#N/A</v>
      </c>
    </row>
    <row r="3307" spans="2:22" x14ac:dyDescent="0.25">
      <c r="B3307" s="16">
        <v>0</v>
      </c>
      <c r="C3307" s="7">
        <v>0</v>
      </c>
      <c r="D3307" s="8">
        <v>0</v>
      </c>
      <c r="E3307" s="8">
        <v>1</v>
      </c>
      <c r="F3307" s="8">
        <v>0</v>
      </c>
      <c r="G3307" s="8">
        <v>1</v>
      </c>
      <c r="H3307" s="8">
        <v>1</v>
      </c>
      <c r="I3307" s="8">
        <v>1</v>
      </c>
      <c r="J3307" s="8">
        <v>0</v>
      </c>
      <c r="K3307" s="9">
        <v>0</v>
      </c>
      <c r="L3307" s="10">
        <v>1</v>
      </c>
      <c r="M3307" s="6">
        <v>1</v>
      </c>
      <c r="N3307" s="37" t="e" cm="1">
        <f t="array" ref="N3307">IF(OR(ISNUMBER(FIND(Aux!$D$3:$D$9,_xlfn.TEXTJOIN(,,C3307:K3307)))),NA(),IF(AND(SUM(C3307:F3307,H3307:K3307)=0,G3307=1),0,INT((SUMPRODUCT(C3307:F3307,COLUMN($A$1:$D$1)-1)+SUMPRODUCT(H3307:K3307,COLUMN($E$1:$H$1)-1))*'Line Follower'!$C$3/SUM(C3307:F3307,H3307:K3307)-'Line Follower'!$C$5)))</f>
        <v>#N/A</v>
      </c>
      <c r="O3307" s="22" t="e">
        <v>#N/A</v>
      </c>
      <c r="P3307" s="4" t="e">
        <f t="shared" si="255"/>
        <v>#N/A</v>
      </c>
      <c r="Q3307" s="4" t="e">
        <f t="shared" si="256"/>
        <v>#N/A</v>
      </c>
      <c r="R3307" s="4" t="e">
        <f>IF(AND(B3307=1,N3307&gt;'Line Follower'!$C$7,SUM(C3307:K3307)&lt;4),1,0)</f>
        <v>#N/A</v>
      </c>
      <c r="S3307" s="4" t="e">
        <f>IF(AND(L3307=1,N3307&lt;'Line Follower'!$C$6,SUM(C3307:K3307)&lt;4),1,0)</f>
        <v>#N/A</v>
      </c>
      <c r="T3307" s="4" t="e">
        <f t="shared" si="257"/>
        <v>#N/A</v>
      </c>
      <c r="U3307" s="5" t="e">
        <f t="shared" si="258"/>
        <v>#N/A</v>
      </c>
      <c r="V3307" s="23" t="e">
        <f t="shared" si="259"/>
        <v>#N/A</v>
      </c>
    </row>
    <row r="3308" spans="2:22" x14ac:dyDescent="0.25">
      <c r="B3308" s="16">
        <v>1</v>
      </c>
      <c r="C3308" s="7">
        <v>0</v>
      </c>
      <c r="D3308" s="8">
        <v>0</v>
      </c>
      <c r="E3308" s="8">
        <v>1</v>
      </c>
      <c r="F3308" s="8">
        <v>0</v>
      </c>
      <c r="G3308" s="8">
        <v>1</v>
      </c>
      <c r="H3308" s="8">
        <v>1</v>
      </c>
      <c r="I3308" s="8">
        <v>1</v>
      </c>
      <c r="J3308" s="8">
        <v>0</v>
      </c>
      <c r="K3308" s="9">
        <v>0</v>
      </c>
      <c r="L3308" s="10">
        <v>1</v>
      </c>
      <c r="M3308" s="6">
        <v>1</v>
      </c>
      <c r="N3308" s="37" t="e" cm="1">
        <f t="array" ref="N3308">IF(OR(ISNUMBER(FIND(Aux!$D$3:$D$9,_xlfn.TEXTJOIN(,,C3308:K3308)))),NA(),IF(AND(SUM(C3308:F3308,H3308:K3308)=0,G3308=1),0,INT((SUMPRODUCT(C3308:F3308,COLUMN($A$1:$D$1)-1)+SUMPRODUCT(H3308:K3308,COLUMN($E$1:$H$1)-1))*'Line Follower'!$C$3/SUM(C3308:F3308,H3308:K3308)-'Line Follower'!$C$5)))</f>
        <v>#N/A</v>
      </c>
      <c r="O3308" s="22" t="e">
        <v>#N/A</v>
      </c>
      <c r="P3308" s="4" t="e">
        <f t="shared" si="255"/>
        <v>#N/A</v>
      </c>
      <c r="Q3308" s="4" t="e">
        <f t="shared" si="256"/>
        <v>#N/A</v>
      </c>
      <c r="R3308" s="4" t="e">
        <f>IF(AND(B3308=1,N3308&gt;'Line Follower'!$C$7,SUM(C3308:K3308)&lt;4),1,0)</f>
        <v>#N/A</v>
      </c>
      <c r="S3308" s="4" t="e">
        <f>IF(AND(L3308=1,N3308&lt;'Line Follower'!$C$6,SUM(C3308:K3308)&lt;4),1,0)</f>
        <v>#N/A</v>
      </c>
      <c r="T3308" s="4" t="e">
        <f t="shared" si="257"/>
        <v>#N/A</v>
      </c>
      <c r="U3308" s="5" t="e">
        <f t="shared" si="258"/>
        <v>#N/A</v>
      </c>
      <c r="V3308" s="23" t="e">
        <f t="shared" si="259"/>
        <v>#N/A</v>
      </c>
    </row>
    <row r="3309" spans="2:22" x14ac:dyDescent="0.25">
      <c r="B3309" s="16">
        <v>0</v>
      </c>
      <c r="C3309" s="7">
        <v>1</v>
      </c>
      <c r="D3309" s="8">
        <v>0</v>
      </c>
      <c r="E3309" s="8">
        <v>1</v>
      </c>
      <c r="F3309" s="8">
        <v>0</v>
      </c>
      <c r="G3309" s="8">
        <v>1</v>
      </c>
      <c r="H3309" s="8">
        <v>1</v>
      </c>
      <c r="I3309" s="8">
        <v>1</v>
      </c>
      <c r="J3309" s="8">
        <v>0</v>
      </c>
      <c r="K3309" s="9">
        <v>0</v>
      </c>
      <c r="L3309" s="10">
        <v>1</v>
      </c>
      <c r="M3309" s="6">
        <v>1</v>
      </c>
      <c r="N3309" s="37" t="e" cm="1">
        <f t="array" ref="N3309">IF(OR(ISNUMBER(FIND(Aux!$D$3:$D$9,_xlfn.TEXTJOIN(,,C3309:K3309)))),NA(),IF(AND(SUM(C3309:F3309,H3309:K3309)=0,G3309=1),0,INT((SUMPRODUCT(C3309:F3309,COLUMN($A$1:$D$1)-1)+SUMPRODUCT(H3309:K3309,COLUMN($E$1:$H$1)-1))*'Line Follower'!$C$3/SUM(C3309:F3309,H3309:K3309)-'Line Follower'!$C$5)))</f>
        <v>#N/A</v>
      </c>
      <c r="O3309" s="22" t="e">
        <v>#N/A</v>
      </c>
      <c r="P3309" s="4" t="e">
        <f t="shared" si="255"/>
        <v>#N/A</v>
      </c>
      <c r="Q3309" s="4" t="e">
        <f t="shared" si="256"/>
        <v>#N/A</v>
      </c>
      <c r="R3309" s="4" t="e">
        <f>IF(AND(B3309=1,N3309&gt;'Line Follower'!$C$7,SUM(C3309:K3309)&lt;4),1,0)</f>
        <v>#N/A</v>
      </c>
      <c r="S3309" s="4" t="e">
        <f>IF(AND(L3309=1,N3309&lt;'Line Follower'!$C$6,SUM(C3309:K3309)&lt;4),1,0)</f>
        <v>#N/A</v>
      </c>
      <c r="T3309" s="4" t="e">
        <f t="shared" si="257"/>
        <v>#N/A</v>
      </c>
      <c r="U3309" s="5" t="e">
        <f t="shared" si="258"/>
        <v>#N/A</v>
      </c>
      <c r="V3309" s="23" t="e">
        <f t="shared" si="259"/>
        <v>#N/A</v>
      </c>
    </row>
    <row r="3310" spans="2:22" x14ac:dyDescent="0.25">
      <c r="B3310" s="16">
        <v>1</v>
      </c>
      <c r="C3310" s="7">
        <v>1</v>
      </c>
      <c r="D3310" s="8">
        <v>0</v>
      </c>
      <c r="E3310" s="8">
        <v>1</v>
      </c>
      <c r="F3310" s="8">
        <v>0</v>
      </c>
      <c r="G3310" s="8">
        <v>1</v>
      </c>
      <c r="H3310" s="8">
        <v>1</v>
      </c>
      <c r="I3310" s="8">
        <v>1</v>
      </c>
      <c r="J3310" s="8">
        <v>0</v>
      </c>
      <c r="K3310" s="9">
        <v>0</v>
      </c>
      <c r="L3310" s="10">
        <v>1</v>
      </c>
      <c r="M3310" s="6">
        <v>1</v>
      </c>
      <c r="N3310" s="37" t="e" cm="1">
        <f t="array" ref="N3310">IF(OR(ISNUMBER(FIND(Aux!$D$3:$D$9,_xlfn.TEXTJOIN(,,C3310:K3310)))),NA(),IF(AND(SUM(C3310:F3310,H3310:K3310)=0,G3310=1),0,INT((SUMPRODUCT(C3310:F3310,COLUMN($A$1:$D$1)-1)+SUMPRODUCT(H3310:K3310,COLUMN($E$1:$H$1)-1))*'Line Follower'!$C$3/SUM(C3310:F3310,H3310:K3310)-'Line Follower'!$C$5)))</f>
        <v>#N/A</v>
      </c>
      <c r="O3310" s="22" t="e">
        <v>#N/A</v>
      </c>
      <c r="P3310" s="4" t="e">
        <f t="shared" si="255"/>
        <v>#N/A</v>
      </c>
      <c r="Q3310" s="4" t="e">
        <f t="shared" si="256"/>
        <v>#N/A</v>
      </c>
      <c r="R3310" s="4" t="e">
        <f>IF(AND(B3310=1,N3310&gt;'Line Follower'!$C$7,SUM(C3310:K3310)&lt;4),1,0)</f>
        <v>#N/A</v>
      </c>
      <c r="S3310" s="4" t="e">
        <f>IF(AND(L3310=1,N3310&lt;'Line Follower'!$C$6,SUM(C3310:K3310)&lt;4),1,0)</f>
        <v>#N/A</v>
      </c>
      <c r="T3310" s="4" t="e">
        <f t="shared" si="257"/>
        <v>#N/A</v>
      </c>
      <c r="U3310" s="5" t="e">
        <f t="shared" si="258"/>
        <v>#N/A</v>
      </c>
      <c r="V3310" s="23" t="e">
        <f t="shared" si="259"/>
        <v>#N/A</v>
      </c>
    </row>
    <row r="3311" spans="2:22" x14ac:dyDescent="0.25">
      <c r="B3311" s="16">
        <v>0</v>
      </c>
      <c r="C3311" s="7">
        <v>0</v>
      </c>
      <c r="D3311" s="8">
        <v>1</v>
      </c>
      <c r="E3311" s="8">
        <v>1</v>
      </c>
      <c r="F3311" s="8">
        <v>0</v>
      </c>
      <c r="G3311" s="8">
        <v>1</v>
      </c>
      <c r="H3311" s="8">
        <v>1</v>
      </c>
      <c r="I3311" s="8">
        <v>1</v>
      </c>
      <c r="J3311" s="8">
        <v>0</v>
      </c>
      <c r="K3311" s="9">
        <v>0</v>
      </c>
      <c r="L3311" s="10">
        <v>1</v>
      </c>
      <c r="M3311" s="6">
        <v>1</v>
      </c>
      <c r="N3311" s="37" t="e" cm="1">
        <f t="array" ref="N3311">IF(OR(ISNUMBER(FIND(Aux!$D$3:$D$9,_xlfn.TEXTJOIN(,,C3311:K3311)))),NA(),IF(AND(SUM(C3311:F3311,H3311:K3311)=0,G3311=1),0,INT((SUMPRODUCT(C3311:F3311,COLUMN($A$1:$D$1)-1)+SUMPRODUCT(H3311:K3311,COLUMN($E$1:$H$1)-1))*'Line Follower'!$C$3/SUM(C3311:F3311,H3311:K3311)-'Line Follower'!$C$5)))</f>
        <v>#N/A</v>
      </c>
      <c r="O3311" s="22" t="e">
        <v>#N/A</v>
      </c>
      <c r="P3311" s="4" t="e">
        <f t="shared" si="255"/>
        <v>#N/A</v>
      </c>
      <c r="Q3311" s="4" t="e">
        <f t="shared" si="256"/>
        <v>#N/A</v>
      </c>
      <c r="R3311" s="4" t="e">
        <f>IF(AND(B3311=1,N3311&gt;'Line Follower'!$C$7,SUM(C3311:K3311)&lt;4),1,0)</f>
        <v>#N/A</v>
      </c>
      <c r="S3311" s="4" t="e">
        <f>IF(AND(L3311=1,N3311&lt;'Line Follower'!$C$6,SUM(C3311:K3311)&lt;4),1,0)</f>
        <v>#N/A</v>
      </c>
      <c r="T3311" s="4" t="e">
        <f t="shared" si="257"/>
        <v>#N/A</v>
      </c>
      <c r="U3311" s="5" t="e">
        <f t="shared" si="258"/>
        <v>#N/A</v>
      </c>
      <c r="V3311" s="23" t="e">
        <f t="shared" si="259"/>
        <v>#N/A</v>
      </c>
    </row>
    <row r="3312" spans="2:22" x14ac:dyDescent="0.25">
      <c r="B3312" s="16">
        <v>1</v>
      </c>
      <c r="C3312" s="7">
        <v>0</v>
      </c>
      <c r="D3312" s="8">
        <v>1</v>
      </c>
      <c r="E3312" s="8">
        <v>1</v>
      </c>
      <c r="F3312" s="8">
        <v>0</v>
      </c>
      <c r="G3312" s="8">
        <v>1</v>
      </c>
      <c r="H3312" s="8">
        <v>1</v>
      </c>
      <c r="I3312" s="8">
        <v>1</v>
      </c>
      <c r="J3312" s="8">
        <v>0</v>
      </c>
      <c r="K3312" s="9">
        <v>0</v>
      </c>
      <c r="L3312" s="10">
        <v>1</v>
      </c>
      <c r="M3312" s="6">
        <v>1</v>
      </c>
      <c r="N3312" s="37" t="e" cm="1">
        <f t="array" ref="N3312">IF(OR(ISNUMBER(FIND(Aux!$D$3:$D$9,_xlfn.TEXTJOIN(,,C3312:K3312)))),NA(),IF(AND(SUM(C3312:F3312,H3312:K3312)=0,G3312=1),0,INT((SUMPRODUCT(C3312:F3312,COLUMN($A$1:$D$1)-1)+SUMPRODUCT(H3312:K3312,COLUMN($E$1:$H$1)-1))*'Line Follower'!$C$3/SUM(C3312:F3312,H3312:K3312)-'Line Follower'!$C$5)))</f>
        <v>#N/A</v>
      </c>
      <c r="O3312" s="22" t="e">
        <v>#N/A</v>
      </c>
      <c r="P3312" s="4" t="e">
        <f t="shared" si="255"/>
        <v>#N/A</v>
      </c>
      <c r="Q3312" s="4" t="e">
        <f t="shared" si="256"/>
        <v>#N/A</v>
      </c>
      <c r="R3312" s="4" t="e">
        <f>IF(AND(B3312=1,N3312&gt;'Line Follower'!$C$7,SUM(C3312:K3312)&lt;4),1,0)</f>
        <v>#N/A</v>
      </c>
      <c r="S3312" s="4" t="e">
        <f>IF(AND(L3312=1,N3312&lt;'Line Follower'!$C$6,SUM(C3312:K3312)&lt;4),1,0)</f>
        <v>#N/A</v>
      </c>
      <c r="T3312" s="4" t="e">
        <f t="shared" si="257"/>
        <v>#N/A</v>
      </c>
      <c r="U3312" s="5" t="e">
        <f t="shared" si="258"/>
        <v>#N/A</v>
      </c>
      <c r="V3312" s="23" t="e">
        <f t="shared" si="259"/>
        <v>#N/A</v>
      </c>
    </row>
    <row r="3313" spans="2:22" x14ac:dyDescent="0.25">
      <c r="B3313" s="16">
        <v>0</v>
      </c>
      <c r="C3313" s="7">
        <v>1</v>
      </c>
      <c r="D3313" s="8">
        <v>1</v>
      </c>
      <c r="E3313" s="8">
        <v>1</v>
      </c>
      <c r="F3313" s="8">
        <v>0</v>
      </c>
      <c r="G3313" s="8">
        <v>1</v>
      </c>
      <c r="H3313" s="8">
        <v>1</v>
      </c>
      <c r="I3313" s="8">
        <v>1</v>
      </c>
      <c r="J3313" s="8">
        <v>0</v>
      </c>
      <c r="K3313" s="9">
        <v>0</v>
      </c>
      <c r="L3313" s="10">
        <v>1</v>
      </c>
      <c r="M3313" s="6">
        <v>1</v>
      </c>
      <c r="N3313" s="37" t="e" cm="1">
        <f t="array" ref="N3313">IF(OR(ISNUMBER(FIND(Aux!$D$3:$D$9,_xlfn.TEXTJOIN(,,C3313:K3313)))),NA(),IF(AND(SUM(C3313:F3313,H3313:K3313)=0,G3313=1),0,INT((SUMPRODUCT(C3313:F3313,COLUMN($A$1:$D$1)-1)+SUMPRODUCT(H3313:K3313,COLUMN($E$1:$H$1)-1))*'Line Follower'!$C$3/SUM(C3313:F3313,H3313:K3313)-'Line Follower'!$C$5)))</f>
        <v>#N/A</v>
      </c>
      <c r="O3313" s="22" t="e">
        <v>#N/A</v>
      </c>
      <c r="P3313" s="4" t="e">
        <f t="shared" si="255"/>
        <v>#N/A</v>
      </c>
      <c r="Q3313" s="4" t="e">
        <f t="shared" si="256"/>
        <v>#N/A</v>
      </c>
      <c r="R3313" s="4" t="e">
        <f>IF(AND(B3313=1,N3313&gt;'Line Follower'!$C$7,SUM(C3313:K3313)&lt;4),1,0)</f>
        <v>#N/A</v>
      </c>
      <c r="S3313" s="4" t="e">
        <f>IF(AND(L3313=1,N3313&lt;'Line Follower'!$C$6,SUM(C3313:K3313)&lt;4),1,0)</f>
        <v>#N/A</v>
      </c>
      <c r="T3313" s="4" t="e">
        <f t="shared" si="257"/>
        <v>#N/A</v>
      </c>
      <c r="U3313" s="5" t="e">
        <f t="shared" si="258"/>
        <v>#N/A</v>
      </c>
      <c r="V3313" s="23" t="e">
        <f t="shared" si="259"/>
        <v>#N/A</v>
      </c>
    </row>
    <row r="3314" spans="2:22" x14ac:dyDescent="0.25">
      <c r="B3314" s="16">
        <v>1</v>
      </c>
      <c r="C3314" s="7">
        <v>1</v>
      </c>
      <c r="D3314" s="8">
        <v>1</v>
      </c>
      <c r="E3314" s="8">
        <v>1</v>
      </c>
      <c r="F3314" s="8">
        <v>0</v>
      </c>
      <c r="G3314" s="8">
        <v>1</v>
      </c>
      <c r="H3314" s="8">
        <v>1</v>
      </c>
      <c r="I3314" s="8">
        <v>1</v>
      </c>
      <c r="J3314" s="8">
        <v>0</v>
      </c>
      <c r="K3314" s="9">
        <v>0</v>
      </c>
      <c r="L3314" s="10">
        <v>1</v>
      </c>
      <c r="M3314" s="6">
        <v>1</v>
      </c>
      <c r="N3314" s="37" t="e" cm="1">
        <f t="array" ref="N3314">IF(OR(ISNUMBER(FIND(Aux!$D$3:$D$9,_xlfn.TEXTJOIN(,,C3314:K3314)))),NA(),IF(AND(SUM(C3314:F3314,H3314:K3314)=0,G3314=1),0,INT((SUMPRODUCT(C3314:F3314,COLUMN($A$1:$D$1)-1)+SUMPRODUCT(H3314:K3314,COLUMN($E$1:$H$1)-1))*'Line Follower'!$C$3/SUM(C3314:F3314,H3314:K3314)-'Line Follower'!$C$5)))</f>
        <v>#N/A</v>
      </c>
      <c r="O3314" s="22" t="e">
        <v>#N/A</v>
      </c>
      <c r="P3314" s="4" t="e">
        <f t="shared" si="255"/>
        <v>#N/A</v>
      </c>
      <c r="Q3314" s="4" t="e">
        <f t="shared" si="256"/>
        <v>#N/A</v>
      </c>
      <c r="R3314" s="4" t="e">
        <f>IF(AND(B3314=1,N3314&gt;'Line Follower'!$C$7,SUM(C3314:K3314)&lt;4),1,0)</f>
        <v>#N/A</v>
      </c>
      <c r="S3314" s="4" t="e">
        <f>IF(AND(L3314=1,N3314&lt;'Line Follower'!$C$6,SUM(C3314:K3314)&lt;4),1,0)</f>
        <v>#N/A</v>
      </c>
      <c r="T3314" s="4" t="e">
        <f t="shared" si="257"/>
        <v>#N/A</v>
      </c>
      <c r="U3314" s="5" t="e">
        <f t="shared" si="258"/>
        <v>#N/A</v>
      </c>
      <c r="V3314" s="23" t="e">
        <f t="shared" si="259"/>
        <v>#N/A</v>
      </c>
    </row>
    <row r="3315" spans="2:22" x14ac:dyDescent="0.25">
      <c r="B3315" s="16">
        <v>0</v>
      </c>
      <c r="C3315" s="7">
        <v>0</v>
      </c>
      <c r="D3315" s="8">
        <v>0</v>
      </c>
      <c r="E3315" s="8">
        <v>0</v>
      </c>
      <c r="F3315" s="8">
        <v>1</v>
      </c>
      <c r="G3315" s="8">
        <v>1</v>
      </c>
      <c r="H3315" s="8">
        <v>1</v>
      </c>
      <c r="I3315" s="8">
        <v>1</v>
      </c>
      <c r="J3315" s="8">
        <v>0</v>
      </c>
      <c r="K3315" s="9">
        <v>0</v>
      </c>
      <c r="L3315" s="10">
        <v>1</v>
      </c>
      <c r="M3315" s="6">
        <v>1</v>
      </c>
      <c r="N3315" s="37" cm="1">
        <f t="array" ref="N3315">IF(OR(ISNUMBER(FIND(Aux!$D$3:$D$9,_xlfn.TEXTJOIN(,,C3315:K3315)))),NA(),IF(AND(SUM(C3315:F3315,H3315:K3315)=0,G3315=1),0,INT((SUMPRODUCT(C3315:F3315,COLUMN($A$1:$D$1)-1)+SUMPRODUCT(H3315:K3315,COLUMN($E$1:$H$1)-1))*'Line Follower'!$C$3/SUM(C3315:F3315,H3315:K3315)-'Line Follower'!$C$5)))</f>
        <v>1</v>
      </c>
      <c r="O3315" s="22">
        <v>1</v>
      </c>
      <c r="P3315" s="4">
        <f t="shared" si="255"/>
        <v>0</v>
      </c>
      <c r="Q3315" s="4">
        <f t="shared" si="256"/>
        <v>1</v>
      </c>
      <c r="R3315" s="4">
        <f>IF(AND(B3315=1,N3315&gt;'Line Follower'!$C$7,SUM(C3315:K3315)&lt;4),1,0)</f>
        <v>0</v>
      </c>
      <c r="S3315" s="4">
        <f>IF(AND(L3315=1,N3315&lt;'Line Follower'!$C$6,SUM(C3315:K3315)&lt;4),1,0)</f>
        <v>0</v>
      </c>
      <c r="T3315" s="4">
        <f t="shared" si="257"/>
        <v>0</v>
      </c>
      <c r="U3315" s="5">
        <f t="shared" si="258"/>
        <v>0</v>
      </c>
      <c r="V3315" s="23">
        <f t="shared" si="259"/>
        <v>0</v>
      </c>
    </row>
    <row r="3316" spans="2:22" x14ac:dyDescent="0.25">
      <c r="B3316" s="16">
        <v>1</v>
      </c>
      <c r="C3316" s="7">
        <v>0</v>
      </c>
      <c r="D3316" s="8">
        <v>0</v>
      </c>
      <c r="E3316" s="8">
        <v>0</v>
      </c>
      <c r="F3316" s="8">
        <v>1</v>
      </c>
      <c r="G3316" s="8">
        <v>1</v>
      </c>
      <c r="H3316" s="8">
        <v>1</v>
      </c>
      <c r="I3316" s="8">
        <v>1</v>
      </c>
      <c r="J3316" s="8">
        <v>0</v>
      </c>
      <c r="K3316" s="9">
        <v>0</v>
      </c>
      <c r="L3316" s="10">
        <v>1</v>
      </c>
      <c r="M3316" s="6">
        <v>1</v>
      </c>
      <c r="N3316" s="37" cm="1">
        <f t="array" ref="N3316">IF(OR(ISNUMBER(FIND(Aux!$D$3:$D$9,_xlfn.TEXTJOIN(,,C3316:K3316)))),NA(),IF(AND(SUM(C3316:F3316,H3316:K3316)=0,G3316=1),0,INT((SUMPRODUCT(C3316:F3316,COLUMN($A$1:$D$1)-1)+SUMPRODUCT(H3316:K3316,COLUMN($E$1:$H$1)-1))*'Line Follower'!$C$3/SUM(C3316:F3316,H3316:K3316)-'Line Follower'!$C$5)))</f>
        <v>1</v>
      </c>
      <c r="O3316" s="22">
        <v>1</v>
      </c>
      <c r="P3316" s="4">
        <f t="shared" si="255"/>
        <v>0</v>
      </c>
      <c r="Q3316" s="4">
        <f t="shared" si="256"/>
        <v>1</v>
      </c>
      <c r="R3316" s="4">
        <f>IF(AND(B3316=1,N3316&gt;'Line Follower'!$C$7,SUM(C3316:K3316)&lt;4),1,0)</f>
        <v>0</v>
      </c>
      <c r="S3316" s="4">
        <f>IF(AND(L3316=1,N3316&lt;'Line Follower'!$C$6,SUM(C3316:K3316)&lt;4),1,0)</f>
        <v>0</v>
      </c>
      <c r="T3316" s="4">
        <f t="shared" si="257"/>
        <v>0</v>
      </c>
      <c r="U3316" s="5">
        <f t="shared" si="258"/>
        <v>0</v>
      </c>
      <c r="V3316" s="23">
        <f t="shared" si="259"/>
        <v>0</v>
      </c>
    </row>
    <row r="3317" spans="2:22" x14ac:dyDescent="0.25">
      <c r="B3317" s="16">
        <v>0</v>
      </c>
      <c r="C3317" s="7">
        <v>1</v>
      </c>
      <c r="D3317" s="8">
        <v>0</v>
      </c>
      <c r="E3317" s="8">
        <v>0</v>
      </c>
      <c r="F3317" s="8">
        <v>1</v>
      </c>
      <c r="G3317" s="8">
        <v>1</v>
      </c>
      <c r="H3317" s="8">
        <v>1</v>
      </c>
      <c r="I3317" s="8">
        <v>1</v>
      </c>
      <c r="J3317" s="8">
        <v>0</v>
      </c>
      <c r="K3317" s="9">
        <v>0</v>
      </c>
      <c r="L3317" s="10">
        <v>1</v>
      </c>
      <c r="M3317" s="6">
        <v>1</v>
      </c>
      <c r="N3317" s="37" t="e" cm="1">
        <f t="array" ref="N3317">IF(OR(ISNUMBER(FIND(Aux!$D$3:$D$9,_xlfn.TEXTJOIN(,,C3317:K3317)))),NA(),IF(AND(SUM(C3317:F3317,H3317:K3317)=0,G3317=1),0,INT((SUMPRODUCT(C3317:F3317,COLUMN($A$1:$D$1)-1)+SUMPRODUCT(H3317:K3317,COLUMN($E$1:$H$1)-1))*'Line Follower'!$C$3/SUM(C3317:F3317,H3317:K3317)-'Line Follower'!$C$5)))</f>
        <v>#N/A</v>
      </c>
      <c r="O3317" s="22" t="e">
        <v>#N/A</v>
      </c>
      <c r="P3317" s="4" t="e">
        <f t="shared" si="255"/>
        <v>#N/A</v>
      </c>
      <c r="Q3317" s="4" t="e">
        <f t="shared" si="256"/>
        <v>#N/A</v>
      </c>
      <c r="R3317" s="4" t="e">
        <f>IF(AND(B3317=1,N3317&gt;'Line Follower'!$C$7,SUM(C3317:K3317)&lt;4),1,0)</f>
        <v>#N/A</v>
      </c>
      <c r="S3317" s="4" t="e">
        <f>IF(AND(L3317=1,N3317&lt;'Line Follower'!$C$6,SUM(C3317:K3317)&lt;4),1,0)</f>
        <v>#N/A</v>
      </c>
      <c r="T3317" s="4" t="e">
        <f t="shared" si="257"/>
        <v>#N/A</v>
      </c>
      <c r="U3317" s="5" t="e">
        <f t="shared" si="258"/>
        <v>#N/A</v>
      </c>
      <c r="V3317" s="23" t="e">
        <f t="shared" si="259"/>
        <v>#N/A</v>
      </c>
    </row>
    <row r="3318" spans="2:22" x14ac:dyDescent="0.25">
      <c r="B3318" s="16">
        <v>1</v>
      </c>
      <c r="C3318" s="7">
        <v>1</v>
      </c>
      <c r="D3318" s="8">
        <v>0</v>
      </c>
      <c r="E3318" s="8">
        <v>0</v>
      </c>
      <c r="F3318" s="8">
        <v>1</v>
      </c>
      <c r="G3318" s="8">
        <v>1</v>
      </c>
      <c r="H3318" s="8">
        <v>1</v>
      </c>
      <c r="I3318" s="8">
        <v>1</v>
      </c>
      <c r="J3318" s="8">
        <v>0</v>
      </c>
      <c r="K3318" s="9">
        <v>0</v>
      </c>
      <c r="L3318" s="10">
        <v>1</v>
      </c>
      <c r="M3318" s="6">
        <v>1</v>
      </c>
      <c r="N3318" s="37" t="e" cm="1">
        <f t="array" ref="N3318">IF(OR(ISNUMBER(FIND(Aux!$D$3:$D$9,_xlfn.TEXTJOIN(,,C3318:K3318)))),NA(),IF(AND(SUM(C3318:F3318,H3318:K3318)=0,G3318=1),0,INT((SUMPRODUCT(C3318:F3318,COLUMN($A$1:$D$1)-1)+SUMPRODUCT(H3318:K3318,COLUMN($E$1:$H$1)-1))*'Line Follower'!$C$3/SUM(C3318:F3318,H3318:K3318)-'Line Follower'!$C$5)))</f>
        <v>#N/A</v>
      </c>
      <c r="O3318" s="22" t="e">
        <v>#N/A</v>
      </c>
      <c r="P3318" s="4" t="e">
        <f t="shared" si="255"/>
        <v>#N/A</v>
      </c>
      <c r="Q3318" s="4" t="e">
        <f t="shared" si="256"/>
        <v>#N/A</v>
      </c>
      <c r="R3318" s="4" t="e">
        <f>IF(AND(B3318=1,N3318&gt;'Line Follower'!$C$7,SUM(C3318:K3318)&lt;4),1,0)</f>
        <v>#N/A</v>
      </c>
      <c r="S3318" s="4" t="e">
        <f>IF(AND(L3318=1,N3318&lt;'Line Follower'!$C$6,SUM(C3318:K3318)&lt;4),1,0)</f>
        <v>#N/A</v>
      </c>
      <c r="T3318" s="4" t="e">
        <f t="shared" si="257"/>
        <v>#N/A</v>
      </c>
      <c r="U3318" s="5" t="e">
        <f t="shared" si="258"/>
        <v>#N/A</v>
      </c>
      <c r="V3318" s="23" t="e">
        <f t="shared" si="259"/>
        <v>#N/A</v>
      </c>
    </row>
    <row r="3319" spans="2:22" x14ac:dyDescent="0.25">
      <c r="B3319" s="16">
        <v>0</v>
      </c>
      <c r="C3319" s="7">
        <v>0</v>
      </c>
      <c r="D3319" s="8">
        <v>1</v>
      </c>
      <c r="E3319" s="8">
        <v>0</v>
      </c>
      <c r="F3319" s="8">
        <v>1</v>
      </c>
      <c r="G3319" s="8">
        <v>1</v>
      </c>
      <c r="H3319" s="8">
        <v>1</v>
      </c>
      <c r="I3319" s="8">
        <v>1</v>
      </c>
      <c r="J3319" s="8">
        <v>0</v>
      </c>
      <c r="K3319" s="9">
        <v>0</v>
      </c>
      <c r="L3319" s="10">
        <v>1</v>
      </c>
      <c r="M3319" s="6">
        <v>1</v>
      </c>
      <c r="N3319" s="37" t="e" cm="1">
        <f t="array" ref="N3319">IF(OR(ISNUMBER(FIND(Aux!$D$3:$D$9,_xlfn.TEXTJOIN(,,C3319:K3319)))),NA(),IF(AND(SUM(C3319:F3319,H3319:K3319)=0,G3319=1),0,INT((SUMPRODUCT(C3319:F3319,COLUMN($A$1:$D$1)-1)+SUMPRODUCT(H3319:K3319,COLUMN($E$1:$H$1)-1))*'Line Follower'!$C$3/SUM(C3319:F3319,H3319:K3319)-'Line Follower'!$C$5)))</f>
        <v>#N/A</v>
      </c>
      <c r="O3319" s="22" t="e">
        <v>#N/A</v>
      </c>
      <c r="P3319" s="4" t="e">
        <f t="shared" si="255"/>
        <v>#N/A</v>
      </c>
      <c r="Q3319" s="4" t="e">
        <f t="shared" si="256"/>
        <v>#N/A</v>
      </c>
      <c r="R3319" s="4" t="e">
        <f>IF(AND(B3319=1,N3319&gt;'Line Follower'!$C$7,SUM(C3319:K3319)&lt;4),1,0)</f>
        <v>#N/A</v>
      </c>
      <c r="S3319" s="4" t="e">
        <f>IF(AND(L3319=1,N3319&lt;'Line Follower'!$C$6,SUM(C3319:K3319)&lt;4),1,0)</f>
        <v>#N/A</v>
      </c>
      <c r="T3319" s="4" t="e">
        <f t="shared" si="257"/>
        <v>#N/A</v>
      </c>
      <c r="U3319" s="5" t="e">
        <f t="shared" si="258"/>
        <v>#N/A</v>
      </c>
      <c r="V3319" s="23" t="e">
        <f t="shared" si="259"/>
        <v>#N/A</v>
      </c>
    </row>
    <row r="3320" spans="2:22" x14ac:dyDescent="0.25">
      <c r="B3320" s="16">
        <v>1</v>
      </c>
      <c r="C3320" s="7">
        <v>0</v>
      </c>
      <c r="D3320" s="8">
        <v>1</v>
      </c>
      <c r="E3320" s="8">
        <v>0</v>
      </c>
      <c r="F3320" s="8">
        <v>1</v>
      </c>
      <c r="G3320" s="8">
        <v>1</v>
      </c>
      <c r="H3320" s="8">
        <v>1</v>
      </c>
      <c r="I3320" s="8">
        <v>1</v>
      </c>
      <c r="J3320" s="8">
        <v>0</v>
      </c>
      <c r="K3320" s="9">
        <v>0</v>
      </c>
      <c r="L3320" s="10">
        <v>1</v>
      </c>
      <c r="M3320" s="6">
        <v>1</v>
      </c>
      <c r="N3320" s="37" t="e" cm="1">
        <f t="array" ref="N3320">IF(OR(ISNUMBER(FIND(Aux!$D$3:$D$9,_xlfn.TEXTJOIN(,,C3320:K3320)))),NA(),IF(AND(SUM(C3320:F3320,H3320:K3320)=0,G3320=1),0,INT((SUMPRODUCT(C3320:F3320,COLUMN($A$1:$D$1)-1)+SUMPRODUCT(H3320:K3320,COLUMN($E$1:$H$1)-1))*'Line Follower'!$C$3/SUM(C3320:F3320,H3320:K3320)-'Line Follower'!$C$5)))</f>
        <v>#N/A</v>
      </c>
      <c r="O3320" s="22" t="e">
        <v>#N/A</v>
      </c>
      <c r="P3320" s="4" t="e">
        <f t="shared" si="255"/>
        <v>#N/A</v>
      </c>
      <c r="Q3320" s="4" t="e">
        <f t="shared" si="256"/>
        <v>#N/A</v>
      </c>
      <c r="R3320" s="4" t="e">
        <f>IF(AND(B3320=1,N3320&gt;'Line Follower'!$C$7,SUM(C3320:K3320)&lt;4),1,0)</f>
        <v>#N/A</v>
      </c>
      <c r="S3320" s="4" t="e">
        <f>IF(AND(L3320=1,N3320&lt;'Line Follower'!$C$6,SUM(C3320:K3320)&lt;4),1,0)</f>
        <v>#N/A</v>
      </c>
      <c r="T3320" s="4" t="e">
        <f t="shared" si="257"/>
        <v>#N/A</v>
      </c>
      <c r="U3320" s="5" t="e">
        <f t="shared" si="258"/>
        <v>#N/A</v>
      </c>
      <c r="V3320" s="23" t="e">
        <f t="shared" si="259"/>
        <v>#N/A</v>
      </c>
    </row>
    <row r="3321" spans="2:22" x14ac:dyDescent="0.25">
      <c r="B3321" s="16">
        <v>0</v>
      </c>
      <c r="C3321" s="7">
        <v>1</v>
      </c>
      <c r="D3321" s="8">
        <v>1</v>
      </c>
      <c r="E3321" s="8">
        <v>0</v>
      </c>
      <c r="F3321" s="8">
        <v>1</v>
      </c>
      <c r="G3321" s="8">
        <v>1</v>
      </c>
      <c r="H3321" s="8">
        <v>1</v>
      </c>
      <c r="I3321" s="8">
        <v>1</v>
      </c>
      <c r="J3321" s="8">
        <v>0</v>
      </c>
      <c r="K3321" s="9">
        <v>0</v>
      </c>
      <c r="L3321" s="10">
        <v>1</v>
      </c>
      <c r="M3321" s="6">
        <v>1</v>
      </c>
      <c r="N3321" s="37" t="e" cm="1">
        <f t="array" ref="N3321">IF(OR(ISNUMBER(FIND(Aux!$D$3:$D$9,_xlfn.TEXTJOIN(,,C3321:K3321)))),NA(),IF(AND(SUM(C3321:F3321,H3321:K3321)=0,G3321=1),0,INT((SUMPRODUCT(C3321:F3321,COLUMN($A$1:$D$1)-1)+SUMPRODUCT(H3321:K3321,COLUMN($E$1:$H$1)-1))*'Line Follower'!$C$3/SUM(C3321:F3321,H3321:K3321)-'Line Follower'!$C$5)))</f>
        <v>#N/A</v>
      </c>
      <c r="O3321" s="22" t="e">
        <v>#N/A</v>
      </c>
      <c r="P3321" s="4" t="e">
        <f t="shared" si="255"/>
        <v>#N/A</v>
      </c>
      <c r="Q3321" s="4" t="e">
        <f t="shared" si="256"/>
        <v>#N/A</v>
      </c>
      <c r="R3321" s="4" t="e">
        <f>IF(AND(B3321=1,N3321&gt;'Line Follower'!$C$7,SUM(C3321:K3321)&lt;4),1,0)</f>
        <v>#N/A</v>
      </c>
      <c r="S3321" s="4" t="e">
        <f>IF(AND(L3321=1,N3321&lt;'Line Follower'!$C$6,SUM(C3321:K3321)&lt;4),1,0)</f>
        <v>#N/A</v>
      </c>
      <c r="T3321" s="4" t="e">
        <f t="shared" si="257"/>
        <v>#N/A</v>
      </c>
      <c r="U3321" s="5" t="e">
        <f t="shared" si="258"/>
        <v>#N/A</v>
      </c>
      <c r="V3321" s="23" t="e">
        <f t="shared" si="259"/>
        <v>#N/A</v>
      </c>
    </row>
    <row r="3322" spans="2:22" x14ac:dyDescent="0.25">
      <c r="B3322" s="16">
        <v>1</v>
      </c>
      <c r="C3322" s="7">
        <v>1</v>
      </c>
      <c r="D3322" s="8">
        <v>1</v>
      </c>
      <c r="E3322" s="8">
        <v>0</v>
      </c>
      <c r="F3322" s="8">
        <v>1</v>
      </c>
      <c r="G3322" s="8">
        <v>1</v>
      </c>
      <c r="H3322" s="8">
        <v>1</v>
      </c>
      <c r="I3322" s="8">
        <v>1</v>
      </c>
      <c r="J3322" s="8">
        <v>0</v>
      </c>
      <c r="K3322" s="9">
        <v>0</v>
      </c>
      <c r="L3322" s="10">
        <v>1</v>
      </c>
      <c r="M3322" s="6">
        <v>1</v>
      </c>
      <c r="N3322" s="37" t="e" cm="1">
        <f t="array" ref="N3322">IF(OR(ISNUMBER(FIND(Aux!$D$3:$D$9,_xlfn.TEXTJOIN(,,C3322:K3322)))),NA(),IF(AND(SUM(C3322:F3322,H3322:K3322)=0,G3322=1),0,INT((SUMPRODUCT(C3322:F3322,COLUMN($A$1:$D$1)-1)+SUMPRODUCT(H3322:K3322,COLUMN($E$1:$H$1)-1))*'Line Follower'!$C$3/SUM(C3322:F3322,H3322:K3322)-'Line Follower'!$C$5)))</f>
        <v>#N/A</v>
      </c>
      <c r="O3322" s="22" t="e">
        <v>#N/A</v>
      </c>
      <c r="P3322" s="4" t="e">
        <f t="shared" si="255"/>
        <v>#N/A</v>
      </c>
      <c r="Q3322" s="4" t="e">
        <f t="shared" si="256"/>
        <v>#N/A</v>
      </c>
      <c r="R3322" s="4" t="e">
        <f>IF(AND(B3322=1,N3322&gt;'Line Follower'!$C$7,SUM(C3322:K3322)&lt;4),1,0)</f>
        <v>#N/A</v>
      </c>
      <c r="S3322" s="4" t="e">
        <f>IF(AND(L3322=1,N3322&lt;'Line Follower'!$C$6,SUM(C3322:K3322)&lt;4),1,0)</f>
        <v>#N/A</v>
      </c>
      <c r="T3322" s="4" t="e">
        <f t="shared" si="257"/>
        <v>#N/A</v>
      </c>
      <c r="U3322" s="5" t="e">
        <f t="shared" si="258"/>
        <v>#N/A</v>
      </c>
      <c r="V3322" s="23" t="e">
        <f t="shared" si="259"/>
        <v>#N/A</v>
      </c>
    </row>
    <row r="3323" spans="2:22" x14ac:dyDescent="0.25">
      <c r="B3323" s="16">
        <v>0</v>
      </c>
      <c r="C3323" s="7">
        <v>0</v>
      </c>
      <c r="D3323" s="8">
        <v>0</v>
      </c>
      <c r="E3323" s="8">
        <v>1</v>
      </c>
      <c r="F3323" s="8">
        <v>1</v>
      </c>
      <c r="G3323" s="8">
        <v>1</v>
      </c>
      <c r="H3323" s="8">
        <v>1</v>
      </c>
      <c r="I3323" s="8">
        <v>1</v>
      </c>
      <c r="J3323" s="8">
        <v>0</v>
      </c>
      <c r="K3323" s="9">
        <v>0</v>
      </c>
      <c r="L3323" s="10">
        <v>1</v>
      </c>
      <c r="M3323" s="6">
        <v>1</v>
      </c>
      <c r="N3323" s="37" cm="1">
        <f t="array" ref="N3323">IF(OR(ISNUMBER(FIND(Aux!$D$3:$D$9,_xlfn.TEXTJOIN(,,C3323:K3323)))),NA(),IF(AND(SUM(C3323:F3323,H3323:K3323)=0,G3323=1),0,INT((SUMPRODUCT(C3323:F3323,COLUMN($A$1:$D$1)-1)+SUMPRODUCT(H3323:K3323,COLUMN($E$1:$H$1)-1))*'Line Follower'!$C$3/SUM(C3323:F3323,H3323:K3323)-'Line Follower'!$C$5)))</f>
        <v>0</v>
      </c>
      <c r="O3323" s="22">
        <v>1</v>
      </c>
      <c r="P3323" s="4">
        <f t="shared" si="255"/>
        <v>1</v>
      </c>
      <c r="Q3323" s="4">
        <f t="shared" si="256"/>
        <v>1</v>
      </c>
      <c r="R3323" s="4">
        <f>IF(AND(B3323=1,N3323&gt;'Line Follower'!$C$7,SUM(C3323:K3323)&lt;4),1,0)</f>
        <v>0</v>
      </c>
      <c r="S3323" s="4">
        <f>IF(AND(L3323=1,N3323&lt;'Line Follower'!$C$6,SUM(C3323:K3323)&lt;4),1,0)</f>
        <v>0</v>
      </c>
      <c r="T3323" s="4">
        <f t="shared" si="257"/>
        <v>0</v>
      </c>
      <c r="U3323" s="5">
        <f t="shared" si="258"/>
        <v>0</v>
      </c>
      <c r="V3323" s="23">
        <f t="shared" si="259"/>
        <v>0</v>
      </c>
    </row>
    <row r="3324" spans="2:22" x14ac:dyDescent="0.25">
      <c r="B3324" s="16">
        <v>1</v>
      </c>
      <c r="C3324" s="7">
        <v>0</v>
      </c>
      <c r="D3324" s="8">
        <v>0</v>
      </c>
      <c r="E3324" s="8">
        <v>1</v>
      </c>
      <c r="F3324" s="8">
        <v>1</v>
      </c>
      <c r="G3324" s="8">
        <v>1</v>
      </c>
      <c r="H3324" s="8">
        <v>1</v>
      </c>
      <c r="I3324" s="8">
        <v>1</v>
      </c>
      <c r="J3324" s="8">
        <v>0</v>
      </c>
      <c r="K3324" s="9">
        <v>0</v>
      </c>
      <c r="L3324" s="10">
        <v>1</v>
      </c>
      <c r="M3324" s="6">
        <v>1</v>
      </c>
      <c r="N3324" s="37" cm="1">
        <f t="array" ref="N3324">IF(OR(ISNUMBER(FIND(Aux!$D$3:$D$9,_xlfn.TEXTJOIN(,,C3324:K3324)))),NA(),IF(AND(SUM(C3324:F3324,H3324:K3324)=0,G3324=1),0,INT((SUMPRODUCT(C3324:F3324,COLUMN($A$1:$D$1)-1)+SUMPRODUCT(H3324:K3324,COLUMN($E$1:$H$1)-1))*'Line Follower'!$C$3/SUM(C3324:F3324,H3324:K3324)-'Line Follower'!$C$5)))</f>
        <v>0</v>
      </c>
      <c r="O3324" s="22">
        <v>1</v>
      </c>
      <c r="P3324" s="4">
        <f t="shared" si="255"/>
        <v>1</v>
      </c>
      <c r="Q3324" s="4">
        <f t="shared" si="256"/>
        <v>1</v>
      </c>
      <c r="R3324" s="4">
        <f>IF(AND(B3324=1,N3324&gt;'Line Follower'!$C$7,SUM(C3324:K3324)&lt;4),1,0)</f>
        <v>0</v>
      </c>
      <c r="S3324" s="4">
        <f>IF(AND(L3324=1,N3324&lt;'Line Follower'!$C$6,SUM(C3324:K3324)&lt;4),1,0)</f>
        <v>0</v>
      </c>
      <c r="T3324" s="4">
        <f t="shared" si="257"/>
        <v>0</v>
      </c>
      <c r="U3324" s="5">
        <f t="shared" si="258"/>
        <v>0</v>
      </c>
      <c r="V3324" s="23">
        <f t="shared" si="259"/>
        <v>0</v>
      </c>
    </row>
    <row r="3325" spans="2:22" x14ac:dyDescent="0.25">
      <c r="B3325" s="16">
        <v>0</v>
      </c>
      <c r="C3325" s="7">
        <v>1</v>
      </c>
      <c r="D3325" s="8">
        <v>0</v>
      </c>
      <c r="E3325" s="8">
        <v>1</v>
      </c>
      <c r="F3325" s="8">
        <v>1</v>
      </c>
      <c r="G3325" s="8">
        <v>1</v>
      </c>
      <c r="H3325" s="8">
        <v>1</v>
      </c>
      <c r="I3325" s="8">
        <v>1</v>
      </c>
      <c r="J3325" s="8">
        <v>0</v>
      </c>
      <c r="K3325" s="9">
        <v>0</v>
      </c>
      <c r="L3325" s="10">
        <v>1</v>
      </c>
      <c r="M3325" s="6">
        <v>1</v>
      </c>
      <c r="N3325" s="37" t="e" cm="1">
        <f t="array" ref="N3325">IF(OR(ISNUMBER(FIND(Aux!$D$3:$D$9,_xlfn.TEXTJOIN(,,C3325:K3325)))),NA(),IF(AND(SUM(C3325:F3325,H3325:K3325)=0,G3325=1),0,INT((SUMPRODUCT(C3325:F3325,COLUMN($A$1:$D$1)-1)+SUMPRODUCT(H3325:K3325,COLUMN($E$1:$H$1)-1))*'Line Follower'!$C$3/SUM(C3325:F3325,H3325:K3325)-'Line Follower'!$C$5)))</f>
        <v>#N/A</v>
      </c>
      <c r="O3325" s="22" t="e">
        <v>#N/A</v>
      </c>
      <c r="P3325" s="4" t="e">
        <f t="shared" si="255"/>
        <v>#N/A</v>
      </c>
      <c r="Q3325" s="4" t="e">
        <f t="shared" si="256"/>
        <v>#N/A</v>
      </c>
      <c r="R3325" s="4" t="e">
        <f>IF(AND(B3325=1,N3325&gt;'Line Follower'!$C$7,SUM(C3325:K3325)&lt;4),1,0)</f>
        <v>#N/A</v>
      </c>
      <c r="S3325" s="4" t="e">
        <f>IF(AND(L3325=1,N3325&lt;'Line Follower'!$C$6,SUM(C3325:K3325)&lt;4),1,0)</f>
        <v>#N/A</v>
      </c>
      <c r="T3325" s="4" t="e">
        <f t="shared" si="257"/>
        <v>#N/A</v>
      </c>
      <c r="U3325" s="5" t="e">
        <f t="shared" si="258"/>
        <v>#N/A</v>
      </c>
      <c r="V3325" s="23" t="e">
        <f t="shared" si="259"/>
        <v>#N/A</v>
      </c>
    </row>
    <row r="3326" spans="2:22" x14ac:dyDescent="0.25">
      <c r="B3326" s="16">
        <v>1</v>
      </c>
      <c r="C3326" s="7">
        <v>1</v>
      </c>
      <c r="D3326" s="8">
        <v>0</v>
      </c>
      <c r="E3326" s="8">
        <v>1</v>
      </c>
      <c r="F3326" s="8">
        <v>1</v>
      </c>
      <c r="G3326" s="8">
        <v>1</v>
      </c>
      <c r="H3326" s="8">
        <v>1</v>
      </c>
      <c r="I3326" s="8">
        <v>1</v>
      </c>
      <c r="J3326" s="8">
        <v>0</v>
      </c>
      <c r="K3326" s="9">
        <v>0</v>
      </c>
      <c r="L3326" s="10">
        <v>1</v>
      </c>
      <c r="M3326" s="6">
        <v>1</v>
      </c>
      <c r="N3326" s="37" t="e" cm="1">
        <f t="array" ref="N3326">IF(OR(ISNUMBER(FIND(Aux!$D$3:$D$9,_xlfn.TEXTJOIN(,,C3326:K3326)))),NA(),IF(AND(SUM(C3326:F3326,H3326:K3326)=0,G3326=1),0,INT((SUMPRODUCT(C3326:F3326,COLUMN($A$1:$D$1)-1)+SUMPRODUCT(H3326:K3326,COLUMN($E$1:$H$1)-1))*'Line Follower'!$C$3/SUM(C3326:F3326,H3326:K3326)-'Line Follower'!$C$5)))</f>
        <v>#N/A</v>
      </c>
      <c r="O3326" s="22" t="e">
        <v>#N/A</v>
      </c>
      <c r="P3326" s="4" t="e">
        <f t="shared" si="255"/>
        <v>#N/A</v>
      </c>
      <c r="Q3326" s="4" t="e">
        <f t="shared" si="256"/>
        <v>#N/A</v>
      </c>
      <c r="R3326" s="4" t="e">
        <f>IF(AND(B3326=1,N3326&gt;'Line Follower'!$C$7,SUM(C3326:K3326)&lt;4),1,0)</f>
        <v>#N/A</v>
      </c>
      <c r="S3326" s="4" t="e">
        <f>IF(AND(L3326=1,N3326&lt;'Line Follower'!$C$6,SUM(C3326:K3326)&lt;4),1,0)</f>
        <v>#N/A</v>
      </c>
      <c r="T3326" s="4" t="e">
        <f t="shared" si="257"/>
        <v>#N/A</v>
      </c>
      <c r="U3326" s="5" t="e">
        <f t="shared" si="258"/>
        <v>#N/A</v>
      </c>
      <c r="V3326" s="23" t="e">
        <f t="shared" si="259"/>
        <v>#N/A</v>
      </c>
    </row>
    <row r="3327" spans="2:22" x14ac:dyDescent="0.25">
      <c r="B3327" s="16">
        <v>0</v>
      </c>
      <c r="C3327" s="7">
        <v>0</v>
      </c>
      <c r="D3327" s="8">
        <v>1</v>
      </c>
      <c r="E3327" s="8">
        <v>1</v>
      </c>
      <c r="F3327" s="8">
        <v>1</v>
      </c>
      <c r="G3327" s="8">
        <v>1</v>
      </c>
      <c r="H3327" s="8">
        <v>1</v>
      </c>
      <c r="I3327" s="8">
        <v>1</v>
      </c>
      <c r="J3327" s="8">
        <v>0</v>
      </c>
      <c r="K3327" s="9">
        <v>0</v>
      </c>
      <c r="L3327" s="10">
        <v>1</v>
      </c>
      <c r="M3327" s="6">
        <v>1</v>
      </c>
      <c r="N3327" s="37" cm="1">
        <f t="array" ref="N3327">IF(OR(ISNUMBER(FIND(Aux!$D$3:$D$9,_xlfn.TEXTJOIN(,,C3327:K3327)))),NA(),IF(AND(SUM(C3327:F3327,H3327:K3327)=0,G3327=1),0,INT((SUMPRODUCT(C3327:F3327,COLUMN($A$1:$D$1)-1)+SUMPRODUCT(H3327:K3327,COLUMN($E$1:$H$1)-1))*'Line Follower'!$C$3/SUM(C3327:F3327,H3327:K3327)-'Line Follower'!$C$5)))</f>
        <v>-1</v>
      </c>
      <c r="O3327" s="22">
        <v>1</v>
      </c>
      <c r="P3327" s="4">
        <f t="shared" si="255"/>
        <v>0</v>
      </c>
      <c r="Q3327" s="4">
        <f t="shared" si="256"/>
        <v>1</v>
      </c>
      <c r="R3327" s="4">
        <f>IF(AND(B3327=1,N3327&gt;'Line Follower'!$C$7,SUM(C3327:K3327)&lt;4),1,0)</f>
        <v>0</v>
      </c>
      <c r="S3327" s="4">
        <f>IF(AND(L3327=1,N3327&lt;'Line Follower'!$C$6,SUM(C3327:K3327)&lt;4),1,0)</f>
        <v>0</v>
      </c>
      <c r="T3327" s="4">
        <f t="shared" si="257"/>
        <v>0</v>
      </c>
      <c r="U3327" s="5">
        <f t="shared" si="258"/>
        <v>0</v>
      </c>
      <c r="V3327" s="23">
        <f t="shared" si="259"/>
        <v>0</v>
      </c>
    </row>
    <row r="3328" spans="2:22" x14ac:dyDescent="0.25">
      <c r="B3328" s="16">
        <v>1</v>
      </c>
      <c r="C3328" s="7">
        <v>0</v>
      </c>
      <c r="D3328" s="8">
        <v>1</v>
      </c>
      <c r="E3328" s="8">
        <v>1</v>
      </c>
      <c r="F3328" s="8">
        <v>1</v>
      </c>
      <c r="G3328" s="8">
        <v>1</v>
      </c>
      <c r="H3328" s="8">
        <v>1</v>
      </c>
      <c r="I3328" s="8">
        <v>1</v>
      </c>
      <c r="J3328" s="8">
        <v>0</v>
      </c>
      <c r="K3328" s="9">
        <v>0</v>
      </c>
      <c r="L3328" s="10">
        <v>1</v>
      </c>
      <c r="M3328" s="6">
        <v>1</v>
      </c>
      <c r="N3328" s="37" cm="1">
        <f t="array" ref="N3328">IF(OR(ISNUMBER(FIND(Aux!$D$3:$D$9,_xlfn.TEXTJOIN(,,C3328:K3328)))),NA(),IF(AND(SUM(C3328:F3328,H3328:K3328)=0,G3328=1),0,INT((SUMPRODUCT(C3328:F3328,COLUMN($A$1:$D$1)-1)+SUMPRODUCT(H3328:K3328,COLUMN($E$1:$H$1)-1))*'Line Follower'!$C$3/SUM(C3328:F3328,H3328:K3328)-'Line Follower'!$C$5)))</f>
        <v>-1</v>
      </c>
      <c r="O3328" s="22">
        <v>1</v>
      </c>
      <c r="P3328" s="4">
        <f t="shared" si="255"/>
        <v>0</v>
      </c>
      <c r="Q3328" s="4">
        <f t="shared" si="256"/>
        <v>1</v>
      </c>
      <c r="R3328" s="4">
        <f>IF(AND(B3328=1,N3328&gt;'Line Follower'!$C$7,SUM(C3328:K3328)&lt;4),1,0)</f>
        <v>0</v>
      </c>
      <c r="S3328" s="4">
        <f>IF(AND(L3328=1,N3328&lt;'Line Follower'!$C$6,SUM(C3328:K3328)&lt;4),1,0)</f>
        <v>0</v>
      </c>
      <c r="T3328" s="4">
        <f t="shared" si="257"/>
        <v>0</v>
      </c>
      <c r="U3328" s="5">
        <f t="shared" si="258"/>
        <v>0</v>
      </c>
      <c r="V3328" s="23">
        <f t="shared" si="259"/>
        <v>0</v>
      </c>
    </row>
    <row r="3329" spans="2:22" x14ac:dyDescent="0.25">
      <c r="B3329" s="16">
        <v>0</v>
      </c>
      <c r="C3329" s="7">
        <v>1</v>
      </c>
      <c r="D3329" s="8">
        <v>1</v>
      </c>
      <c r="E3329" s="8">
        <v>1</v>
      </c>
      <c r="F3329" s="8">
        <v>1</v>
      </c>
      <c r="G3329" s="8">
        <v>1</v>
      </c>
      <c r="H3329" s="8">
        <v>1</v>
      </c>
      <c r="I3329" s="8">
        <v>1</v>
      </c>
      <c r="J3329" s="8">
        <v>0</v>
      </c>
      <c r="K3329" s="9">
        <v>0</v>
      </c>
      <c r="L3329" s="10">
        <v>1</v>
      </c>
      <c r="M3329" s="6">
        <v>1</v>
      </c>
      <c r="N3329" s="37" cm="1">
        <f t="array" ref="N3329">IF(OR(ISNUMBER(FIND(Aux!$D$3:$D$9,_xlfn.TEXTJOIN(,,C3329:K3329)))),NA(),IF(AND(SUM(C3329:F3329,H3329:K3329)=0,G3329=1),0,INT((SUMPRODUCT(C3329:F3329,COLUMN($A$1:$D$1)-1)+SUMPRODUCT(H3329:K3329,COLUMN($E$1:$H$1)-1))*'Line Follower'!$C$3/SUM(C3329:F3329,H3329:K3329)-'Line Follower'!$C$5)))</f>
        <v>-2</v>
      </c>
      <c r="O3329" s="22">
        <v>1</v>
      </c>
      <c r="P3329" s="4">
        <f t="shared" si="255"/>
        <v>0</v>
      </c>
      <c r="Q3329" s="4">
        <f t="shared" si="256"/>
        <v>1</v>
      </c>
      <c r="R3329" s="4">
        <f>IF(AND(B3329=1,N3329&gt;'Line Follower'!$C$7,SUM(C3329:K3329)&lt;4),1,0)</f>
        <v>0</v>
      </c>
      <c r="S3329" s="4">
        <f>IF(AND(L3329=1,N3329&lt;'Line Follower'!$C$6,SUM(C3329:K3329)&lt;4),1,0)</f>
        <v>0</v>
      </c>
      <c r="T3329" s="4">
        <f t="shared" si="257"/>
        <v>0</v>
      </c>
      <c r="U3329" s="5">
        <f t="shared" si="258"/>
        <v>0</v>
      </c>
      <c r="V3329" s="23">
        <f t="shared" si="259"/>
        <v>0</v>
      </c>
    </row>
    <row r="3330" spans="2:22" x14ac:dyDescent="0.25">
      <c r="B3330" s="16">
        <v>1</v>
      </c>
      <c r="C3330" s="7">
        <v>1</v>
      </c>
      <c r="D3330" s="8">
        <v>1</v>
      </c>
      <c r="E3330" s="8">
        <v>1</v>
      </c>
      <c r="F3330" s="8">
        <v>1</v>
      </c>
      <c r="G3330" s="8">
        <v>1</v>
      </c>
      <c r="H3330" s="8">
        <v>1</v>
      </c>
      <c r="I3330" s="8">
        <v>1</v>
      </c>
      <c r="J3330" s="8">
        <v>0</v>
      </c>
      <c r="K3330" s="9">
        <v>0</v>
      </c>
      <c r="L3330" s="10">
        <v>1</v>
      </c>
      <c r="M3330" s="6">
        <v>1</v>
      </c>
      <c r="N3330" s="37" cm="1">
        <f t="array" ref="N3330">IF(OR(ISNUMBER(FIND(Aux!$D$3:$D$9,_xlfn.TEXTJOIN(,,C3330:K3330)))),NA(),IF(AND(SUM(C3330:F3330,H3330:K3330)=0,G3330=1),0,INT((SUMPRODUCT(C3330:F3330,COLUMN($A$1:$D$1)-1)+SUMPRODUCT(H3330:K3330,COLUMN($E$1:$H$1)-1))*'Line Follower'!$C$3/SUM(C3330:F3330,H3330:K3330)-'Line Follower'!$C$5)))</f>
        <v>-2</v>
      </c>
      <c r="O3330" s="22">
        <v>1</v>
      </c>
      <c r="P3330" s="4">
        <f t="shared" si="255"/>
        <v>0</v>
      </c>
      <c r="Q3330" s="4">
        <f t="shared" si="256"/>
        <v>1</v>
      </c>
      <c r="R3330" s="4">
        <f>IF(AND(B3330=1,N3330&gt;'Line Follower'!$C$7,SUM(C3330:K3330)&lt;4),1,0)</f>
        <v>0</v>
      </c>
      <c r="S3330" s="4">
        <f>IF(AND(L3330=1,N3330&lt;'Line Follower'!$C$6,SUM(C3330:K3330)&lt;4),1,0)</f>
        <v>0</v>
      </c>
      <c r="T3330" s="4">
        <f t="shared" si="257"/>
        <v>0</v>
      </c>
      <c r="U3330" s="5">
        <f t="shared" si="258"/>
        <v>0</v>
      </c>
      <c r="V3330" s="23">
        <f t="shared" si="259"/>
        <v>0</v>
      </c>
    </row>
    <row r="3331" spans="2:22" x14ac:dyDescent="0.25">
      <c r="B3331" s="16">
        <v>0</v>
      </c>
      <c r="C3331" s="7">
        <v>0</v>
      </c>
      <c r="D3331" s="8">
        <v>0</v>
      </c>
      <c r="E3331" s="8">
        <v>0</v>
      </c>
      <c r="F3331" s="8">
        <v>0</v>
      </c>
      <c r="G3331" s="8">
        <v>0</v>
      </c>
      <c r="H3331" s="8">
        <v>0</v>
      </c>
      <c r="I3331" s="8">
        <v>0</v>
      </c>
      <c r="J3331" s="8">
        <v>1</v>
      </c>
      <c r="K3331" s="9">
        <v>0</v>
      </c>
      <c r="L3331" s="10">
        <v>1</v>
      </c>
      <c r="M3331" s="6">
        <v>1</v>
      </c>
      <c r="N3331" s="37" cm="1">
        <f t="array" ref="N3331">IF(OR(ISNUMBER(FIND(Aux!$D$3:$D$9,_xlfn.TEXTJOIN(,,C3331:K3331)))),NA(),IF(AND(SUM(C3331:F3331,H3331:K3331)=0,G3331=1),0,INT((SUMPRODUCT(C3331:F3331,COLUMN($A$1:$D$1)-1)+SUMPRODUCT(H3331:K3331,COLUMN($E$1:$H$1)-1))*'Line Follower'!$C$3/SUM(C3331:F3331,H3331:K3331)-'Line Follower'!$C$5)))</f>
        <v>5</v>
      </c>
      <c r="O3331" s="22">
        <v>1</v>
      </c>
      <c r="P3331" s="4">
        <f t="shared" ref="P3331:P3394" si="260">IF(AND(N3331=0,G3331=1,M3331=1),1,0)</f>
        <v>0</v>
      </c>
      <c r="Q3331" s="4">
        <f t="shared" ref="Q3331:Q3394" si="261">IF(ISERROR(N3331),N3331,IF(SUM(C3331:K3331)&gt;=4,1,0))</f>
        <v>0</v>
      </c>
      <c r="R3331" s="4">
        <f>IF(AND(B3331=1,N3331&gt;'Line Follower'!$C$7,SUM(C3331:K3331)&lt;4),1,0)</f>
        <v>0</v>
      </c>
      <c r="S3331" s="4">
        <f>IF(AND(L3331=1,N3331&lt;'Line Follower'!$C$6,SUM(C3331:K3331)&lt;4),1,0)</f>
        <v>1</v>
      </c>
      <c r="T3331" s="4">
        <f t="shared" si="257"/>
        <v>0</v>
      </c>
      <c r="U3331" s="5">
        <f t="shared" si="258"/>
        <v>0</v>
      </c>
      <c r="V3331" s="23">
        <f t="shared" si="259"/>
        <v>0</v>
      </c>
    </row>
    <row r="3332" spans="2:22" x14ac:dyDescent="0.25">
      <c r="B3332" s="16">
        <v>1</v>
      </c>
      <c r="C3332" s="7">
        <v>0</v>
      </c>
      <c r="D3332" s="8">
        <v>0</v>
      </c>
      <c r="E3332" s="8">
        <v>0</v>
      </c>
      <c r="F3332" s="8">
        <v>0</v>
      </c>
      <c r="G3332" s="8">
        <v>0</v>
      </c>
      <c r="H3332" s="8">
        <v>0</v>
      </c>
      <c r="I3332" s="8">
        <v>0</v>
      </c>
      <c r="J3332" s="8">
        <v>1</v>
      </c>
      <c r="K3332" s="9">
        <v>0</v>
      </c>
      <c r="L3332" s="10">
        <v>1</v>
      </c>
      <c r="M3332" s="6">
        <v>1</v>
      </c>
      <c r="N3332" s="37" cm="1">
        <f t="array" ref="N3332">IF(OR(ISNUMBER(FIND(Aux!$D$3:$D$9,_xlfn.TEXTJOIN(,,C3332:K3332)))),NA(),IF(AND(SUM(C3332:F3332,H3332:K3332)=0,G3332=1),0,INT((SUMPRODUCT(C3332:F3332,COLUMN($A$1:$D$1)-1)+SUMPRODUCT(H3332:K3332,COLUMN($E$1:$H$1)-1))*'Line Follower'!$C$3/SUM(C3332:F3332,H3332:K3332)-'Line Follower'!$C$5)))</f>
        <v>5</v>
      </c>
      <c r="O3332" s="22">
        <v>1</v>
      </c>
      <c r="P3332" s="4">
        <f t="shared" si="260"/>
        <v>0</v>
      </c>
      <c r="Q3332" s="4">
        <f t="shared" si="261"/>
        <v>0</v>
      </c>
      <c r="R3332" s="4">
        <f>IF(AND(B3332=1,N3332&gt;'Line Follower'!$C$7,SUM(C3332:K3332)&lt;4),1,0)</f>
        <v>1</v>
      </c>
      <c r="S3332" s="4">
        <f>IF(AND(L3332=1,N3332&lt;'Line Follower'!$C$6,SUM(C3332:K3332)&lt;4),1,0)</f>
        <v>1</v>
      </c>
      <c r="T3332" s="4">
        <f t="shared" ref="T3332:T3395" si="262">IF(ISNA(N3332),NA(),IF(SUM(C3332:L3332)=0,1,0))</f>
        <v>0</v>
      </c>
      <c r="U3332" s="5">
        <f t="shared" ref="U3332:U3395" si="263">IF(ISNA(N3332),NA(),IF(SUM(B3332:K3332)=0,1,0))</f>
        <v>0</v>
      </c>
      <c r="V3332" s="23">
        <f t="shared" ref="V3332:V3395" si="264">IF(ISNA(N3332),NA(),IF(SUM(B3332:L3332)=0,1,0))</f>
        <v>0</v>
      </c>
    </row>
    <row r="3333" spans="2:22" x14ac:dyDescent="0.25">
      <c r="B3333" s="16">
        <v>0</v>
      </c>
      <c r="C3333" s="7">
        <v>1</v>
      </c>
      <c r="D3333" s="8">
        <v>0</v>
      </c>
      <c r="E3333" s="8">
        <v>0</v>
      </c>
      <c r="F3333" s="8">
        <v>0</v>
      </c>
      <c r="G3333" s="8">
        <v>0</v>
      </c>
      <c r="H3333" s="8">
        <v>0</v>
      </c>
      <c r="I3333" s="8">
        <v>0</v>
      </c>
      <c r="J3333" s="8">
        <v>1</v>
      </c>
      <c r="K3333" s="9">
        <v>0</v>
      </c>
      <c r="L3333" s="10">
        <v>1</v>
      </c>
      <c r="M3333" s="6">
        <v>1</v>
      </c>
      <c r="N3333" s="37" t="e" cm="1">
        <f t="array" ref="N3333">IF(OR(ISNUMBER(FIND(Aux!$D$3:$D$9,_xlfn.TEXTJOIN(,,C3333:K3333)))),NA(),IF(AND(SUM(C3333:F3333,H3333:K3333)=0,G3333=1),0,INT((SUMPRODUCT(C3333:F3333,COLUMN($A$1:$D$1)-1)+SUMPRODUCT(H3333:K3333,COLUMN($E$1:$H$1)-1))*'Line Follower'!$C$3/SUM(C3333:F3333,H3333:K3333)-'Line Follower'!$C$5)))</f>
        <v>#N/A</v>
      </c>
      <c r="O3333" s="22" t="e">
        <v>#N/A</v>
      </c>
      <c r="P3333" s="4" t="e">
        <f t="shared" si="260"/>
        <v>#N/A</v>
      </c>
      <c r="Q3333" s="4" t="e">
        <f t="shared" si="261"/>
        <v>#N/A</v>
      </c>
      <c r="R3333" s="4" t="e">
        <f>IF(AND(B3333=1,N3333&gt;'Line Follower'!$C$7,SUM(C3333:K3333)&lt;4),1,0)</f>
        <v>#N/A</v>
      </c>
      <c r="S3333" s="4" t="e">
        <f>IF(AND(L3333=1,N3333&lt;'Line Follower'!$C$6,SUM(C3333:K3333)&lt;4),1,0)</f>
        <v>#N/A</v>
      </c>
      <c r="T3333" s="4" t="e">
        <f t="shared" si="262"/>
        <v>#N/A</v>
      </c>
      <c r="U3333" s="5" t="e">
        <f t="shared" si="263"/>
        <v>#N/A</v>
      </c>
      <c r="V3333" s="23" t="e">
        <f t="shared" si="264"/>
        <v>#N/A</v>
      </c>
    </row>
    <row r="3334" spans="2:22" x14ac:dyDescent="0.25">
      <c r="B3334" s="16">
        <v>1</v>
      </c>
      <c r="C3334" s="7">
        <v>1</v>
      </c>
      <c r="D3334" s="8">
        <v>0</v>
      </c>
      <c r="E3334" s="8">
        <v>0</v>
      </c>
      <c r="F3334" s="8">
        <v>0</v>
      </c>
      <c r="G3334" s="8">
        <v>0</v>
      </c>
      <c r="H3334" s="8">
        <v>0</v>
      </c>
      <c r="I3334" s="8">
        <v>0</v>
      </c>
      <c r="J3334" s="8">
        <v>1</v>
      </c>
      <c r="K3334" s="9">
        <v>0</v>
      </c>
      <c r="L3334" s="10">
        <v>1</v>
      </c>
      <c r="M3334" s="6">
        <v>1</v>
      </c>
      <c r="N3334" s="37" t="e" cm="1">
        <f t="array" ref="N3334">IF(OR(ISNUMBER(FIND(Aux!$D$3:$D$9,_xlfn.TEXTJOIN(,,C3334:K3334)))),NA(),IF(AND(SUM(C3334:F3334,H3334:K3334)=0,G3334=1),0,INT((SUMPRODUCT(C3334:F3334,COLUMN($A$1:$D$1)-1)+SUMPRODUCT(H3334:K3334,COLUMN($E$1:$H$1)-1))*'Line Follower'!$C$3/SUM(C3334:F3334,H3334:K3334)-'Line Follower'!$C$5)))</f>
        <v>#N/A</v>
      </c>
      <c r="O3334" s="22" t="e">
        <v>#N/A</v>
      </c>
      <c r="P3334" s="4" t="e">
        <f t="shared" si="260"/>
        <v>#N/A</v>
      </c>
      <c r="Q3334" s="4" t="e">
        <f t="shared" si="261"/>
        <v>#N/A</v>
      </c>
      <c r="R3334" s="4" t="e">
        <f>IF(AND(B3334=1,N3334&gt;'Line Follower'!$C$7,SUM(C3334:K3334)&lt;4),1,0)</f>
        <v>#N/A</v>
      </c>
      <c r="S3334" s="4" t="e">
        <f>IF(AND(L3334=1,N3334&lt;'Line Follower'!$C$6,SUM(C3334:K3334)&lt;4),1,0)</f>
        <v>#N/A</v>
      </c>
      <c r="T3334" s="4" t="e">
        <f t="shared" si="262"/>
        <v>#N/A</v>
      </c>
      <c r="U3334" s="5" t="e">
        <f t="shared" si="263"/>
        <v>#N/A</v>
      </c>
      <c r="V3334" s="23" t="e">
        <f t="shared" si="264"/>
        <v>#N/A</v>
      </c>
    </row>
    <row r="3335" spans="2:22" x14ac:dyDescent="0.25">
      <c r="B3335" s="16">
        <v>0</v>
      </c>
      <c r="C3335" s="7">
        <v>0</v>
      </c>
      <c r="D3335" s="8">
        <v>1</v>
      </c>
      <c r="E3335" s="8">
        <v>0</v>
      </c>
      <c r="F3335" s="8">
        <v>0</v>
      </c>
      <c r="G3335" s="8">
        <v>0</v>
      </c>
      <c r="H3335" s="8">
        <v>0</v>
      </c>
      <c r="I3335" s="8">
        <v>0</v>
      </c>
      <c r="J3335" s="8">
        <v>1</v>
      </c>
      <c r="K3335" s="9">
        <v>0</v>
      </c>
      <c r="L3335" s="10">
        <v>1</v>
      </c>
      <c r="M3335" s="6">
        <v>1</v>
      </c>
      <c r="N3335" s="37" t="e" cm="1">
        <f t="array" ref="N3335">IF(OR(ISNUMBER(FIND(Aux!$D$3:$D$9,_xlfn.TEXTJOIN(,,C3335:K3335)))),NA(),IF(AND(SUM(C3335:F3335,H3335:K3335)=0,G3335=1),0,INT((SUMPRODUCT(C3335:F3335,COLUMN($A$1:$D$1)-1)+SUMPRODUCT(H3335:K3335,COLUMN($E$1:$H$1)-1))*'Line Follower'!$C$3/SUM(C3335:F3335,H3335:K3335)-'Line Follower'!$C$5)))</f>
        <v>#N/A</v>
      </c>
      <c r="O3335" s="22" t="e">
        <v>#N/A</v>
      </c>
      <c r="P3335" s="4" t="e">
        <f t="shared" si="260"/>
        <v>#N/A</v>
      </c>
      <c r="Q3335" s="4" t="e">
        <f t="shared" si="261"/>
        <v>#N/A</v>
      </c>
      <c r="R3335" s="4" t="e">
        <f>IF(AND(B3335=1,N3335&gt;'Line Follower'!$C$7,SUM(C3335:K3335)&lt;4),1,0)</f>
        <v>#N/A</v>
      </c>
      <c r="S3335" s="4" t="e">
        <f>IF(AND(L3335=1,N3335&lt;'Line Follower'!$C$6,SUM(C3335:K3335)&lt;4),1,0)</f>
        <v>#N/A</v>
      </c>
      <c r="T3335" s="4" t="e">
        <f t="shared" si="262"/>
        <v>#N/A</v>
      </c>
      <c r="U3335" s="5" t="e">
        <f t="shared" si="263"/>
        <v>#N/A</v>
      </c>
      <c r="V3335" s="23" t="e">
        <f t="shared" si="264"/>
        <v>#N/A</v>
      </c>
    </row>
    <row r="3336" spans="2:22" x14ac:dyDescent="0.25">
      <c r="B3336" s="16">
        <v>1</v>
      </c>
      <c r="C3336" s="7">
        <v>0</v>
      </c>
      <c r="D3336" s="8">
        <v>1</v>
      </c>
      <c r="E3336" s="8">
        <v>0</v>
      </c>
      <c r="F3336" s="8">
        <v>0</v>
      </c>
      <c r="G3336" s="8">
        <v>0</v>
      </c>
      <c r="H3336" s="8">
        <v>0</v>
      </c>
      <c r="I3336" s="8">
        <v>0</v>
      </c>
      <c r="J3336" s="8">
        <v>1</v>
      </c>
      <c r="K3336" s="9">
        <v>0</v>
      </c>
      <c r="L3336" s="10">
        <v>1</v>
      </c>
      <c r="M3336" s="6">
        <v>1</v>
      </c>
      <c r="N3336" s="37" t="e" cm="1">
        <f t="array" ref="N3336">IF(OR(ISNUMBER(FIND(Aux!$D$3:$D$9,_xlfn.TEXTJOIN(,,C3336:K3336)))),NA(),IF(AND(SUM(C3336:F3336,H3336:K3336)=0,G3336=1),0,INT((SUMPRODUCT(C3336:F3336,COLUMN($A$1:$D$1)-1)+SUMPRODUCT(H3336:K3336,COLUMN($E$1:$H$1)-1))*'Line Follower'!$C$3/SUM(C3336:F3336,H3336:K3336)-'Line Follower'!$C$5)))</f>
        <v>#N/A</v>
      </c>
      <c r="O3336" s="22" t="e">
        <v>#N/A</v>
      </c>
      <c r="P3336" s="4" t="e">
        <f t="shared" si="260"/>
        <v>#N/A</v>
      </c>
      <c r="Q3336" s="4" t="e">
        <f t="shared" si="261"/>
        <v>#N/A</v>
      </c>
      <c r="R3336" s="4" t="e">
        <f>IF(AND(B3336=1,N3336&gt;'Line Follower'!$C$7,SUM(C3336:K3336)&lt;4),1,0)</f>
        <v>#N/A</v>
      </c>
      <c r="S3336" s="4" t="e">
        <f>IF(AND(L3336=1,N3336&lt;'Line Follower'!$C$6,SUM(C3336:K3336)&lt;4),1,0)</f>
        <v>#N/A</v>
      </c>
      <c r="T3336" s="4" t="e">
        <f t="shared" si="262"/>
        <v>#N/A</v>
      </c>
      <c r="U3336" s="5" t="e">
        <f t="shared" si="263"/>
        <v>#N/A</v>
      </c>
      <c r="V3336" s="23" t="e">
        <f t="shared" si="264"/>
        <v>#N/A</v>
      </c>
    </row>
    <row r="3337" spans="2:22" x14ac:dyDescent="0.25">
      <c r="B3337" s="16">
        <v>0</v>
      </c>
      <c r="C3337" s="7">
        <v>1</v>
      </c>
      <c r="D3337" s="8">
        <v>1</v>
      </c>
      <c r="E3337" s="8">
        <v>0</v>
      </c>
      <c r="F3337" s="8">
        <v>0</v>
      </c>
      <c r="G3337" s="8">
        <v>0</v>
      </c>
      <c r="H3337" s="8">
        <v>0</v>
      </c>
      <c r="I3337" s="8">
        <v>0</v>
      </c>
      <c r="J3337" s="8">
        <v>1</v>
      </c>
      <c r="K3337" s="9">
        <v>0</v>
      </c>
      <c r="L3337" s="10">
        <v>1</v>
      </c>
      <c r="M3337" s="6">
        <v>1</v>
      </c>
      <c r="N3337" s="37" t="e" cm="1">
        <f t="array" ref="N3337">IF(OR(ISNUMBER(FIND(Aux!$D$3:$D$9,_xlfn.TEXTJOIN(,,C3337:K3337)))),NA(),IF(AND(SUM(C3337:F3337,H3337:K3337)=0,G3337=1),0,INT((SUMPRODUCT(C3337:F3337,COLUMN($A$1:$D$1)-1)+SUMPRODUCT(H3337:K3337,COLUMN($E$1:$H$1)-1))*'Line Follower'!$C$3/SUM(C3337:F3337,H3337:K3337)-'Line Follower'!$C$5)))</f>
        <v>#N/A</v>
      </c>
      <c r="O3337" s="22" t="e">
        <v>#N/A</v>
      </c>
      <c r="P3337" s="4" t="e">
        <f t="shared" si="260"/>
        <v>#N/A</v>
      </c>
      <c r="Q3337" s="4" t="e">
        <f t="shared" si="261"/>
        <v>#N/A</v>
      </c>
      <c r="R3337" s="4" t="e">
        <f>IF(AND(B3337=1,N3337&gt;'Line Follower'!$C$7,SUM(C3337:K3337)&lt;4),1,0)</f>
        <v>#N/A</v>
      </c>
      <c r="S3337" s="4" t="e">
        <f>IF(AND(L3337=1,N3337&lt;'Line Follower'!$C$6,SUM(C3337:K3337)&lt;4),1,0)</f>
        <v>#N/A</v>
      </c>
      <c r="T3337" s="4" t="e">
        <f t="shared" si="262"/>
        <v>#N/A</v>
      </c>
      <c r="U3337" s="5" t="e">
        <f t="shared" si="263"/>
        <v>#N/A</v>
      </c>
      <c r="V3337" s="23" t="e">
        <f t="shared" si="264"/>
        <v>#N/A</v>
      </c>
    </row>
    <row r="3338" spans="2:22" x14ac:dyDescent="0.25">
      <c r="B3338" s="16">
        <v>1</v>
      </c>
      <c r="C3338" s="7">
        <v>1</v>
      </c>
      <c r="D3338" s="8">
        <v>1</v>
      </c>
      <c r="E3338" s="8">
        <v>0</v>
      </c>
      <c r="F3338" s="8">
        <v>0</v>
      </c>
      <c r="G3338" s="8">
        <v>0</v>
      </c>
      <c r="H3338" s="8">
        <v>0</v>
      </c>
      <c r="I3338" s="8">
        <v>0</v>
      </c>
      <c r="J3338" s="8">
        <v>1</v>
      </c>
      <c r="K3338" s="9">
        <v>0</v>
      </c>
      <c r="L3338" s="10">
        <v>1</v>
      </c>
      <c r="M3338" s="6">
        <v>1</v>
      </c>
      <c r="N3338" s="37" t="e" cm="1">
        <f t="array" ref="N3338">IF(OR(ISNUMBER(FIND(Aux!$D$3:$D$9,_xlfn.TEXTJOIN(,,C3338:K3338)))),NA(),IF(AND(SUM(C3338:F3338,H3338:K3338)=0,G3338=1),0,INT((SUMPRODUCT(C3338:F3338,COLUMN($A$1:$D$1)-1)+SUMPRODUCT(H3338:K3338,COLUMN($E$1:$H$1)-1))*'Line Follower'!$C$3/SUM(C3338:F3338,H3338:K3338)-'Line Follower'!$C$5)))</f>
        <v>#N/A</v>
      </c>
      <c r="O3338" s="22" t="e">
        <v>#N/A</v>
      </c>
      <c r="P3338" s="4" t="e">
        <f t="shared" si="260"/>
        <v>#N/A</v>
      </c>
      <c r="Q3338" s="4" t="e">
        <f t="shared" si="261"/>
        <v>#N/A</v>
      </c>
      <c r="R3338" s="4" t="e">
        <f>IF(AND(B3338=1,N3338&gt;'Line Follower'!$C$7,SUM(C3338:K3338)&lt;4),1,0)</f>
        <v>#N/A</v>
      </c>
      <c r="S3338" s="4" t="e">
        <f>IF(AND(L3338=1,N3338&lt;'Line Follower'!$C$6,SUM(C3338:K3338)&lt;4),1,0)</f>
        <v>#N/A</v>
      </c>
      <c r="T3338" s="4" t="e">
        <f t="shared" si="262"/>
        <v>#N/A</v>
      </c>
      <c r="U3338" s="5" t="e">
        <f t="shared" si="263"/>
        <v>#N/A</v>
      </c>
      <c r="V3338" s="23" t="e">
        <f t="shared" si="264"/>
        <v>#N/A</v>
      </c>
    </row>
    <row r="3339" spans="2:22" x14ac:dyDescent="0.25">
      <c r="B3339" s="16">
        <v>0</v>
      </c>
      <c r="C3339" s="7">
        <v>0</v>
      </c>
      <c r="D3339" s="8">
        <v>0</v>
      </c>
      <c r="E3339" s="8">
        <v>1</v>
      </c>
      <c r="F3339" s="8">
        <v>0</v>
      </c>
      <c r="G3339" s="8">
        <v>0</v>
      </c>
      <c r="H3339" s="8">
        <v>0</v>
      </c>
      <c r="I3339" s="8">
        <v>0</v>
      </c>
      <c r="J3339" s="8">
        <v>1</v>
      </c>
      <c r="K3339" s="9">
        <v>0</v>
      </c>
      <c r="L3339" s="10">
        <v>1</v>
      </c>
      <c r="M3339" s="6">
        <v>1</v>
      </c>
      <c r="N3339" s="37" t="e" cm="1">
        <f t="array" ref="N3339">IF(OR(ISNUMBER(FIND(Aux!$D$3:$D$9,_xlfn.TEXTJOIN(,,C3339:K3339)))),NA(),IF(AND(SUM(C3339:F3339,H3339:K3339)=0,G3339=1),0,INT((SUMPRODUCT(C3339:F3339,COLUMN($A$1:$D$1)-1)+SUMPRODUCT(H3339:K3339,COLUMN($E$1:$H$1)-1))*'Line Follower'!$C$3/SUM(C3339:F3339,H3339:K3339)-'Line Follower'!$C$5)))</f>
        <v>#N/A</v>
      </c>
      <c r="O3339" s="22" t="e">
        <v>#N/A</v>
      </c>
      <c r="P3339" s="4" t="e">
        <f t="shared" si="260"/>
        <v>#N/A</v>
      </c>
      <c r="Q3339" s="4" t="e">
        <f t="shared" si="261"/>
        <v>#N/A</v>
      </c>
      <c r="R3339" s="4" t="e">
        <f>IF(AND(B3339=1,N3339&gt;'Line Follower'!$C$7,SUM(C3339:K3339)&lt;4),1,0)</f>
        <v>#N/A</v>
      </c>
      <c r="S3339" s="4" t="e">
        <f>IF(AND(L3339=1,N3339&lt;'Line Follower'!$C$6,SUM(C3339:K3339)&lt;4),1,0)</f>
        <v>#N/A</v>
      </c>
      <c r="T3339" s="4" t="e">
        <f t="shared" si="262"/>
        <v>#N/A</v>
      </c>
      <c r="U3339" s="5" t="e">
        <f t="shared" si="263"/>
        <v>#N/A</v>
      </c>
      <c r="V3339" s="23" t="e">
        <f t="shared" si="264"/>
        <v>#N/A</v>
      </c>
    </row>
    <row r="3340" spans="2:22" x14ac:dyDescent="0.25">
      <c r="B3340" s="16">
        <v>1</v>
      </c>
      <c r="C3340" s="7">
        <v>0</v>
      </c>
      <c r="D3340" s="8">
        <v>0</v>
      </c>
      <c r="E3340" s="8">
        <v>1</v>
      </c>
      <c r="F3340" s="8">
        <v>0</v>
      </c>
      <c r="G3340" s="8">
        <v>0</v>
      </c>
      <c r="H3340" s="8">
        <v>0</v>
      </c>
      <c r="I3340" s="8">
        <v>0</v>
      </c>
      <c r="J3340" s="8">
        <v>1</v>
      </c>
      <c r="K3340" s="9">
        <v>0</v>
      </c>
      <c r="L3340" s="10">
        <v>1</v>
      </c>
      <c r="M3340" s="6">
        <v>1</v>
      </c>
      <c r="N3340" s="37" t="e" cm="1">
        <f t="array" ref="N3340">IF(OR(ISNUMBER(FIND(Aux!$D$3:$D$9,_xlfn.TEXTJOIN(,,C3340:K3340)))),NA(),IF(AND(SUM(C3340:F3340,H3340:K3340)=0,G3340=1),0,INT((SUMPRODUCT(C3340:F3340,COLUMN($A$1:$D$1)-1)+SUMPRODUCT(H3340:K3340,COLUMN($E$1:$H$1)-1))*'Line Follower'!$C$3/SUM(C3340:F3340,H3340:K3340)-'Line Follower'!$C$5)))</f>
        <v>#N/A</v>
      </c>
      <c r="O3340" s="22" t="e">
        <v>#N/A</v>
      </c>
      <c r="P3340" s="4" t="e">
        <f t="shared" si="260"/>
        <v>#N/A</v>
      </c>
      <c r="Q3340" s="4" t="e">
        <f t="shared" si="261"/>
        <v>#N/A</v>
      </c>
      <c r="R3340" s="4" t="e">
        <f>IF(AND(B3340=1,N3340&gt;'Line Follower'!$C$7,SUM(C3340:K3340)&lt;4),1,0)</f>
        <v>#N/A</v>
      </c>
      <c r="S3340" s="4" t="e">
        <f>IF(AND(L3340=1,N3340&lt;'Line Follower'!$C$6,SUM(C3340:K3340)&lt;4),1,0)</f>
        <v>#N/A</v>
      </c>
      <c r="T3340" s="4" t="e">
        <f t="shared" si="262"/>
        <v>#N/A</v>
      </c>
      <c r="U3340" s="5" t="e">
        <f t="shared" si="263"/>
        <v>#N/A</v>
      </c>
      <c r="V3340" s="23" t="e">
        <f t="shared" si="264"/>
        <v>#N/A</v>
      </c>
    </row>
    <row r="3341" spans="2:22" x14ac:dyDescent="0.25">
      <c r="B3341" s="16">
        <v>0</v>
      </c>
      <c r="C3341" s="7">
        <v>1</v>
      </c>
      <c r="D3341" s="8">
        <v>0</v>
      </c>
      <c r="E3341" s="8">
        <v>1</v>
      </c>
      <c r="F3341" s="8">
        <v>0</v>
      </c>
      <c r="G3341" s="8">
        <v>0</v>
      </c>
      <c r="H3341" s="8">
        <v>0</v>
      </c>
      <c r="I3341" s="8">
        <v>0</v>
      </c>
      <c r="J3341" s="8">
        <v>1</v>
      </c>
      <c r="K3341" s="9">
        <v>0</v>
      </c>
      <c r="L3341" s="10">
        <v>1</v>
      </c>
      <c r="M3341" s="6">
        <v>1</v>
      </c>
      <c r="N3341" s="37" t="e" cm="1">
        <f t="array" ref="N3341">IF(OR(ISNUMBER(FIND(Aux!$D$3:$D$9,_xlfn.TEXTJOIN(,,C3341:K3341)))),NA(),IF(AND(SUM(C3341:F3341,H3341:K3341)=0,G3341=1),0,INT((SUMPRODUCT(C3341:F3341,COLUMN($A$1:$D$1)-1)+SUMPRODUCT(H3341:K3341,COLUMN($E$1:$H$1)-1))*'Line Follower'!$C$3/SUM(C3341:F3341,H3341:K3341)-'Line Follower'!$C$5)))</f>
        <v>#N/A</v>
      </c>
      <c r="O3341" s="22" t="e">
        <v>#N/A</v>
      </c>
      <c r="P3341" s="4" t="e">
        <f t="shared" si="260"/>
        <v>#N/A</v>
      </c>
      <c r="Q3341" s="4" t="e">
        <f t="shared" si="261"/>
        <v>#N/A</v>
      </c>
      <c r="R3341" s="4" t="e">
        <f>IF(AND(B3341=1,N3341&gt;'Line Follower'!$C$7,SUM(C3341:K3341)&lt;4),1,0)</f>
        <v>#N/A</v>
      </c>
      <c r="S3341" s="4" t="e">
        <f>IF(AND(L3341=1,N3341&lt;'Line Follower'!$C$6,SUM(C3341:K3341)&lt;4),1,0)</f>
        <v>#N/A</v>
      </c>
      <c r="T3341" s="4" t="e">
        <f t="shared" si="262"/>
        <v>#N/A</v>
      </c>
      <c r="U3341" s="5" t="e">
        <f t="shared" si="263"/>
        <v>#N/A</v>
      </c>
      <c r="V3341" s="23" t="e">
        <f t="shared" si="264"/>
        <v>#N/A</v>
      </c>
    </row>
    <row r="3342" spans="2:22" x14ac:dyDescent="0.25">
      <c r="B3342" s="16">
        <v>1</v>
      </c>
      <c r="C3342" s="7">
        <v>1</v>
      </c>
      <c r="D3342" s="8">
        <v>0</v>
      </c>
      <c r="E3342" s="8">
        <v>1</v>
      </c>
      <c r="F3342" s="8">
        <v>0</v>
      </c>
      <c r="G3342" s="8">
        <v>0</v>
      </c>
      <c r="H3342" s="8">
        <v>0</v>
      </c>
      <c r="I3342" s="8">
        <v>0</v>
      </c>
      <c r="J3342" s="8">
        <v>1</v>
      </c>
      <c r="K3342" s="9">
        <v>0</v>
      </c>
      <c r="L3342" s="10">
        <v>1</v>
      </c>
      <c r="M3342" s="6">
        <v>1</v>
      </c>
      <c r="N3342" s="37" t="e" cm="1">
        <f t="array" ref="N3342">IF(OR(ISNUMBER(FIND(Aux!$D$3:$D$9,_xlfn.TEXTJOIN(,,C3342:K3342)))),NA(),IF(AND(SUM(C3342:F3342,H3342:K3342)=0,G3342=1),0,INT((SUMPRODUCT(C3342:F3342,COLUMN($A$1:$D$1)-1)+SUMPRODUCT(H3342:K3342,COLUMN($E$1:$H$1)-1))*'Line Follower'!$C$3/SUM(C3342:F3342,H3342:K3342)-'Line Follower'!$C$5)))</f>
        <v>#N/A</v>
      </c>
      <c r="O3342" s="22" t="e">
        <v>#N/A</v>
      </c>
      <c r="P3342" s="4" t="e">
        <f t="shared" si="260"/>
        <v>#N/A</v>
      </c>
      <c r="Q3342" s="4" t="e">
        <f t="shared" si="261"/>
        <v>#N/A</v>
      </c>
      <c r="R3342" s="4" t="e">
        <f>IF(AND(B3342=1,N3342&gt;'Line Follower'!$C$7,SUM(C3342:K3342)&lt;4),1,0)</f>
        <v>#N/A</v>
      </c>
      <c r="S3342" s="4" t="e">
        <f>IF(AND(L3342=1,N3342&lt;'Line Follower'!$C$6,SUM(C3342:K3342)&lt;4),1,0)</f>
        <v>#N/A</v>
      </c>
      <c r="T3342" s="4" t="e">
        <f t="shared" si="262"/>
        <v>#N/A</v>
      </c>
      <c r="U3342" s="5" t="e">
        <f t="shared" si="263"/>
        <v>#N/A</v>
      </c>
      <c r="V3342" s="23" t="e">
        <f t="shared" si="264"/>
        <v>#N/A</v>
      </c>
    </row>
    <row r="3343" spans="2:22" x14ac:dyDescent="0.25">
      <c r="B3343" s="16">
        <v>0</v>
      </c>
      <c r="C3343" s="7">
        <v>0</v>
      </c>
      <c r="D3343" s="8">
        <v>1</v>
      </c>
      <c r="E3343" s="8">
        <v>1</v>
      </c>
      <c r="F3343" s="8">
        <v>0</v>
      </c>
      <c r="G3343" s="8">
        <v>0</v>
      </c>
      <c r="H3343" s="8">
        <v>0</v>
      </c>
      <c r="I3343" s="8">
        <v>0</v>
      </c>
      <c r="J3343" s="8">
        <v>1</v>
      </c>
      <c r="K3343" s="9">
        <v>0</v>
      </c>
      <c r="L3343" s="10">
        <v>1</v>
      </c>
      <c r="M3343" s="6">
        <v>1</v>
      </c>
      <c r="N3343" s="37" t="e" cm="1">
        <f t="array" ref="N3343">IF(OR(ISNUMBER(FIND(Aux!$D$3:$D$9,_xlfn.TEXTJOIN(,,C3343:K3343)))),NA(),IF(AND(SUM(C3343:F3343,H3343:K3343)=0,G3343=1),0,INT((SUMPRODUCT(C3343:F3343,COLUMN($A$1:$D$1)-1)+SUMPRODUCT(H3343:K3343,COLUMN($E$1:$H$1)-1))*'Line Follower'!$C$3/SUM(C3343:F3343,H3343:K3343)-'Line Follower'!$C$5)))</f>
        <v>#N/A</v>
      </c>
      <c r="O3343" s="22" t="e">
        <v>#N/A</v>
      </c>
      <c r="P3343" s="4" t="e">
        <f t="shared" si="260"/>
        <v>#N/A</v>
      </c>
      <c r="Q3343" s="4" t="e">
        <f t="shared" si="261"/>
        <v>#N/A</v>
      </c>
      <c r="R3343" s="4" t="e">
        <f>IF(AND(B3343=1,N3343&gt;'Line Follower'!$C$7,SUM(C3343:K3343)&lt;4),1,0)</f>
        <v>#N/A</v>
      </c>
      <c r="S3343" s="4" t="e">
        <f>IF(AND(L3343=1,N3343&lt;'Line Follower'!$C$6,SUM(C3343:K3343)&lt;4),1,0)</f>
        <v>#N/A</v>
      </c>
      <c r="T3343" s="4" t="e">
        <f t="shared" si="262"/>
        <v>#N/A</v>
      </c>
      <c r="U3343" s="5" t="e">
        <f t="shared" si="263"/>
        <v>#N/A</v>
      </c>
      <c r="V3343" s="23" t="e">
        <f t="shared" si="264"/>
        <v>#N/A</v>
      </c>
    </row>
    <row r="3344" spans="2:22" x14ac:dyDescent="0.25">
      <c r="B3344" s="16">
        <v>1</v>
      </c>
      <c r="C3344" s="7">
        <v>0</v>
      </c>
      <c r="D3344" s="8">
        <v>1</v>
      </c>
      <c r="E3344" s="8">
        <v>1</v>
      </c>
      <c r="F3344" s="8">
        <v>0</v>
      </c>
      <c r="G3344" s="8">
        <v>0</v>
      </c>
      <c r="H3344" s="8">
        <v>0</v>
      </c>
      <c r="I3344" s="8">
        <v>0</v>
      </c>
      <c r="J3344" s="8">
        <v>1</v>
      </c>
      <c r="K3344" s="9">
        <v>0</v>
      </c>
      <c r="L3344" s="10">
        <v>1</v>
      </c>
      <c r="M3344" s="6">
        <v>1</v>
      </c>
      <c r="N3344" s="37" t="e" cm="1">
        <f t="array" ref="N3344">IF(OR(ISNUMBER(FIND(Aux!$D$3:$D$9,_xlfn.TEXTJOIN(,,C3344:K3344)))),NA(),IF(AND(SUM(C3344:F3344,H3344:K3344)=0,G3344=1),0,INT((SUMPRODUCT(C3344:F3344,COLUMN($A$1:$D$1)-1)+SUMPRODUCT(H3344:K3344,COLUMN($E$1:$H$1)-1))*'Line Follower'!$C$3/SUM(C3344:F3344,H3344:K3344)-'Line Follower'!$C$5)))</f>
        <v>#N/A</v>
      </c>
      <c r="O3344" s="22" t="e">
        <v>#N/A</v>
      </c>
      <c r="P3344" s="4" t="e">
        <f t="shared" si="260"/>
        <v>#N/A</v>
      </c>
      <c r="Q3344" s="4" t="e">
        <f t="shared" si="261"/>
        <v>#N/A</v>
      </c>
      <c r="R3344" s="4" t="e">
        <f>IF(AND(B3344=1,N3344&gt;'Line Follower'!$C$7,SUM(C3344:K3344)&lt;4),1,0)</f>
        <v>#N/A</v>
      </c>
      <c r="S3344" s="4" t="e">
        <f>IF(AND(L3344=1,N3344&lt;'Line Follower'!$C$6,SUM(C3344:K3344)&lt;4),1,0)</f>
        <v>#N/A</v>
      </c>
      <c r="T3344" s="4" t="e">
        <f t="shared" si="262"/>
        <v>#N/A</v>
      </c>
      <c r="U3344" s="5" t="e">
        <f t="shared" si="263"/>
        <v>#N/A</v>
      </c>
      <c r="V3344" s="23" t="e">
        <f t="shared" si="264"/>
        <v>#N/A</v>
      </c>
    </row>
    <row r="3345" spans="2:22" x14ac:dyDescent="0.25">
      <c r="B3345" s="16">
        <v>0</v>
      </c>
      <c r="C3345" s="7">
        <v>1</v>
      </c>
      <c r="D3345" s="8">
        <v>1</v>
      </c>
      <c r="E3345" s="8">
        <v>1</v>
      </c>
      <c r="F3345" s="8">
        <v>0</v>
      </c>
      <c r="G3345" s="8">
        <v>0</v>
      </c>
      <c r="H3345" s="8">
        <v>0</v>
      </c>
      <c r="I3345" s="8">
        <v>0</v>
      </c>
      <c r="J3345" s="8">
        <v>1</v>
      </c>
      <c r="K3345" s="9">
        <v>0</v>
      </c>
      <c r="L3345" s="10">
        <v>1</v>
      </c>
      <c r="M3345" s="6">
        <v>1</v>
      </c>
      <c r="N3345" s="37" t="e" cm="1">
        <f t="array" ref="N3345">IF(OR(ISNUMBER(FIND(Aux!$D$3:$D$9,_xlfn.TEXTJOIN(,,C3345:K3345)))),NA(),IF(AND(SUM(C3345:F3345,H3345:K3345)=0,G3345=1),0,INT((SUMPRODUCT(C3345:F3345,COLUMN($A$1:$D$1)-1)+SUMPRODUCT(H3345:K3345,COLUMN($E$1:$H$1)-1))*'Line Follower'!$C$3/SUM(C3345:F3345,H3345:K3345)-'Line Follower'!$C$5)))</f>
        <v>#N/A</v>
      </c>
      <c r="O3345" s="22" t="e">
        <v>#N/A</v>
      </c>
      <c r="P3345" s="4" t="e">
        <f t="shared" si="260"/>
        <v>#N/A</v>
      </c>
      <c r="Q3345" s="4" t="e">
        <f t="shared" si="261"/>
        <v>#N/A</v>
      </c>
      <c r="R3345" s="4" t="e">
        <f>IF(AND(B3345=1,N3345&gt;'Line Follower'!$C$7,SUM(C3345:K3345)&lt;4),1,0)</f>
        <v>#N/A</v>
      </c>
      <c r="S3345" s="4" t="e">
        <f>IF(AND(L3345=1,N3345&lt;'Line Follower'!$C$6,SUM(C3345:K3345)&lt;4),1,0)</f>
        <v>#N/A</v>
      </c>
      <c r="T3345" s="4" t="e">
        <f t="shared" si="262"/>
        <v>#N/A</v>
      </c>
      <c r="U3345" s="5" t="e">
        <f t="shared" si="263"/>
        <v>#N/A</v>
      </c>
      <c r="V3345" s="23" t="e">
        <f t="shared" si="264"/>
        <v>#N/A</v>
      </c>
    </row>
    <row r="3346" spans="2:22" x14ac:dyDescent="0.25">
      <c r="B3346" s="16">
        <v>1</v>
      </c>
      <c r="C3346" s="7">
        <v>1</v>
      </c>
      <c r="D3346" s="8">
        <v>1</v>
      </c>
      <c r="E3346" s="8">
        <v>1</v>
      </c>
      <c r="F3346" s="8">
        <v>0</v>
      </c>
      <c r="G3346" s="8">
        <v>0</v>
      </c>
      <c r="H3346" s="8">
        <v>0</v>
      </c>
      <c r="I3346" s="8">
        <v>0</v>
      </c>
      <c r="J3346" s="8">
        <v>1</v>
      </c>
      <c r="K3346" s="9">
        <v>0</v>
      </c>
      <c r="L3346" s="10">
        <v>1</v>
      </c>
      <c r="M3346" s="6">
        <v>1</v>
      </c>
      <c r="N3346" s="37" t="e" cm="1">
        <f t="array" ref="N3346">IF(OR(ISNUMBER(FIND(Aux!$D$3:$D$9,_xlfn.TEXTJOIN(,,C3346:K3346)))),NA(),IF(AND(SUM(C3346:F3346,H3346:K3346)=0,G3346=1),0,INT((SUMPRODUCT(C3346:F3346,COLUMN($A$1:$D$1)-1)+SUMPRODUCT(H3346:K3346,COLUMN($E$1:$H$1)-1))*'Line Follower'!$C$3/SUM(C3346:F3346,H3346:K3346)-'Line Follower'!$C$5)))</f>
        <v>#N/A</v>
      </c>
      <c r="O3346" s="22" t="e">
        <v>#N/A</v>
      </c>
      <c r="P3346" s="4" t="e">
        <f t="shared" si="260"/>
        <v>#N/A</v>
      </c>
      <c r="Q3346" s="4" t="e">
        <f t="shared" si="261"/>
        <v>#N/A</v>
      </c>
      <c r="R3346" s="4" t="e">
        <f>IF(AND(B3346=1,N3346&gt;'Line Follower'!$C$7,SUM(C3346:K3346)&lt;4),1,0)</f>
        <v>#N/A</v>
      </c>
      <c r="S3346" s="4" t="e">
        <f>IF(AND(L3346=1,N3346&lt;'Line Follower'!$C$6,SUM(C3346:K3346)&lt;4),1,0)</f>
        <v>#N/A</v>
      </c>
      <c r="T3346" s="4" t="e">
        <f t="shared" si="262"/>
        <v>#N/A</v>
      </c>
      <c r="U3346" s="5" t="e">
        <f t="shared" si="263"/>
        <v>#N/A</v>
      </c>
      <c r="V3346" s="23" t="e">
        <f t="shared" si="264"/>
        <v>#N/A</v>
      </c>
    </row>
    <row r="3347" spans="2:22" x14ac:dyDescent="0.25">
      <c r="B3347" s="16">
        <v>0</v>
      </c>
      <c r="C3347" s="7">
        <v>0</v>
      </c>
      <c r="D3347" s="8">
        <v>0</v>
      </c>
      <c r="E3347" s="8">
        <v>0</v>
      </c>
      <c r="F3347" s="8">
        <v>1</v>
      </c>
      <c r="G3347" s="8">
        <v>0</v>
      </c>
      <c r="H3347" s="8">
        <v>0</v>
      </c>
      <c r="I3347" s="8">
        <v>0</v>
      </c>
      <c r="J3347" s="8">
        <v>1</v>
      </c>
      <c r="K3347" s="9">
        <v>0</v>
      </c>
      <c r="L3347" s="10">
        <v>1</v>
      </c>
      <c r="M3347" s="6">
        <v>1</v>
      </c>
      <c r="N3347" s="37" t="e" cm="1">
        <f t="array" ref="N3347">IF(OR(ISNUMBER(FIND(Aux!$D$3:$D$9,_xlfn.TEXTJOIN(,,C3347:K3347)))),NA(),IF(AND(SUM(C3347:F3347,H3347:K3347)=0,G3347=1),0,INT((SUMPRODUCT(C3347:F3347,COLUMN($A$1:$D$1)-1)+SUMPRODUCT(H3347:K3347,COLUMN($E$1:$H$1)-1))*'Line Follower'!$C$3/SUM(C3347:F3347,H3347:K3347)-'Line Follower'!$C$5)))</f>
        <v>#N/A</v>
      </c>
      <c r="O3347" s="22" t="e">
        <v>#N/A</v>
      </c>
      <c r="P3347" s="4" t="e">
        <f t="shared" si="260"/>
        <v>#N/A</v>
      </c>
      <c r="Q3347" s="4" t="e">
        <f t="shared" si="261"/>
        <v>#N/A</v>
      </c>
      <c r="R3347" s="4" t="e">
        <f>IF(AND(B3347=1,N3347&gt;'Line Follower'!$C$7,SUM(C3347:K3347)&lt;4),1,0)</f>
        <v>#N/A</v>
      </c>
      <c r="S3347" s="4" t="e">
        <f>IF(AND(L3347=1,N3347&lt;'Line Follower'!$C$6,SUM(C3347:K3347)&lt;4),1,0)</f>
        <v>#N/A</v>
      </c>
      <c r="T3347" s="4" t="e">
        <f t="shared" si="262"/>
        <v>#N/A</v>
      </c>
      <c r="U3347" s="5" t="e">
        <f t="shared" si="263"/>
        <v>#N/A</v>
      </c>
      <c r="V3347" s="23" t="e">
        <f t="shared" si="264"/>
        <v>#N/A</v>
      </c>
    </row>
    <row r="3348" spans="2:22" x14ac:dyDescent="0.25">
      <c r="B3348" s="16">
        <v>1</v>
      </c>
      <c r="C3348" s="7">
        <v>0</v>
      </c>
      <c r="D3348" s="8">
        <v>0</v>
      </c>
      <c r="E3348" s="8">
        <v>0</v>
      </c>
      <c r="F3348" s="8">
        <v>1</v>
      </c>
      <c r="G3348" s="8">
        <v>0</v>
      </c>
      <c r="H3348" s="8">
        <v>0</v>
      </c>
      <c r="I3348" s="8">
        <v>0</v>
      </c>
      <c r="J3348" s="8">
        <v>1</v>
      </c>
      <c r="K3348" s="9">
        <v>0</v>
      </c>
      <c r="L3348" s="10">
        <v>1</v>
      </c>
      <c r="M3348" s="6">
        <v>1</v>
      </c>
      <c r="N3348" s="37" t="e" cm="1">
        <f t="array" ref="N3348">IF(OR(ISNUMBER(FIND(Aux!$D$3:$D$9,_xlfn.TEXTJOIN(,,C3348:K3348)))),NA(),IF(AND(SUM(C3348:F3348,H3348:K3348)=0,G3348=1),0,INT((SUMPRODUCT(C3348:F3348,COLUMN($A$1:$D$1)-1)+SUMPRODUCT(H3348:K3348,COLUMN($E$1:$H$1)-1))*'Line Follower'!$C$3/SUM(C3348:F3348,H3348:K3348)-'Line Follower'!$C$5)))</f>
        <v>#N/A</v>
      </c>
      <c r="O3348" s="22" t="e">
        <v>#N/A</v>
      </c>
      <c r="P3348" s="4" t="e">
        <f t="shared" si="260"/>
        <v>#N/A</v>
      </c>
      <c r="Q3348" s="4" t="e">
        <f t="shared" si="261"/>
        <v>#N/A</v>
      </c>
      <c r="R3348" s="4" t="e">
        <f>IF(AND(B3348=1,N3348&gt;'Line Follower'!$C$7,SUM(C3348:K3348)&lt;4),1,0)</f>
        <v>#N/A</v>
      </c>
      <c r="S3348" s="4" t="e">
        <f>IF(AND(L3348=1,N3348&lt;'Line Follower'!$C$6,SUM(C3348:K3348)&lt;4),1,0)</f>
        <v>#N/A</v>
      </c>
      <c r="T3348" s="4" t="e">
        <f t="shared" si="262"/>
        <v>#N/A</v>
      </c>
      <c r="U3348" s="5" t="e">
        <f t="shared" si="263"/>
        <v>#N/A</v>
      </c>
      <c r="V3348" s="23" t="e">
        <f t="shared" si="264"/>
        <v>#N/A</v>
      </c>
    </row>
    <row r="3349" spans="2:22" x14ac:dyDescent="0.25">
      <c r="B3349" s="16">
        <v>0</v>
      </c>
      <c r="C3349" s="7">
        <v>1</v>
      </c>
      <c r="D3349" s="8">
        <v>0</v>
      </c>
      <c r="E3349" s="8">
        <v>0</v>
      </c>
      <c r="F3349" s="8">
        <v>1</v>
      </c>
      <c r="G3349" s="8">
        <v>0</v>
      </c>
      <c r="H3349" s="8">
        <v>0</v>
      </c>
      <c r="I3349" s="8">
        <v>0</v>
      </c>
      <c r="J3349" s="8">
        <v>1</v>
      </c>
      <c r="K3349" s="9">
        <v>0</v>
      </c>
      <c r="L3349" s="10">
        <v>1</v>
      </c>
      <c r="M3349" s="6">
        <v>1</v>
      </c>
      <c r="N3349" s="37" t="e" cm="1">
        <f t="array" ref="N3349">IF(OR(ISNUMBER(FIND(Aux!$D$3:$D$9,_xlfn.TEXTJOIN(,,C3349:K3349)))),NA(),IF(AND(SUM(C3349:F3349,H3349:K3349)=0,G3349=1),0,INT((SUMPRODUCT(C3349:F3349,COLUMN($A$1:$D$1)-1)+SUMPRODUCT(H3349:K3349,COLUMN($E$1:$H$1)-1))*'Line Follower'!$C$3/SUM(C3349:F3349,H3349:K3349)-'Line Follower'!$C$5)))</f>
        <v>#N/A</v>
      </c>
      <c r="O3349" s="22" t="e">
        <v>#N/A</v>
      </c>
      <c r="P3349" s="4" t="e">
        <f t="shared" si="260"/>
        <v>#N/A</v>
      </c>
      <c r="Q3349" s="4" t="e">
        <f t="shared" si="261"/>
        <v>#N/A</v>
      </c>
      <c r="R3349" s="4" t="e">
        <f>IF(AND(B3349=1,N3349&gt;'Line Follower'!$C$7,SUM(C3349:K3349)&lt;4),1,0)</f>
        <v>#N/A</v>
      </c>
      <c r="S3349" s="4" t="e">
        <f>IF(AND(L3349=1,N3349&lt;'Line Follower'!$C$6,SUM(C3349:K3349)&lt;4),1,0)</f>
        <v>#N/A</v>
      </c>
      <c r="T3349" s="4" t="e">
        <f t="shared" si="262"/>
        <v>#N/A</v>
      </c>
      <c r="U3349" s="5" t="e">
        <f t="shared" si="263"/>
        <v>#N/A</v>
      </c>
      <c r="V3349" s="23" t="e">
        <f t="shared" si="264"/>
        <v>#N/A</v>
      </c>
    </row>
    <row r="3350" spans="2:22" x14ac:dyDescent="0.25">
      <c r="B3350" s="16">
        <v>1</v>
      </c>
      <c r="C3350" s="7">
        <v>1</v>
      </c>
      <c r="D3350" s="8">
        <v>0</v>
      </c>
      <c r="E3350" s="8">
        <v>0</v>
      </c>
      <c r="F3350" s="8">
        <v>1</v>
      </c>
      <c r="G3350" s="8">
        <v>0</v>
      </c>
      <c r="H3350" s="8">
        <v>0</v>
      </c>
      <c r="I3350" s="8">
        <v>0</v>
      </c>
      <c r="J3350" s="8">
        <v>1</v>
      </c>
      <c r="K3350" s="9">
        <v>0</v>
      </c>
      <c r="L3350" s="10">
        <v>1</v>
      </c>
      <c r="M3350" s="6">
        <v>1</v>
      </c>
      <c r="N3350" s="37" t="e" cm="1">
        <f t="array" ref="N3350">IF(OR(ISNUMBER(FIND(Aux!$D$3:$D$9,_xlfn.TEXTJOIN(,,C3350:K3350)))),NA(),IF(AND(SUM(C3350:F3350,H3350:K3350)=0,G3350=1),0,INT((SUMPRODUCT(C3350:F3350,COLUMN($A$1:$D$1)-1)+SUMPRODUCT(H3350:K3350,COLUMN($E$1:$H$1)-1))*'Line Follower'!$C$3/SUM(C3350:F3350,H3350:K3350)-'Line Follower'!$C$5)))</f>
        <v>#N/A</v>
      </c>
      <c r="O3350" s="22" t="e">
        <v>#N/A</v>
      </c>
      <c r="P3350" s="4" t="e">
        <f t="shared" si="260"/>
        <v>#N/A</v>
      </c>
      <c r="Q3350" s="4" t="e">
        <f t="shared" si="261"/>
        <v>#N/A</v>
      </c>
      <c r="R3350" s="4" t="e">
        <f>IF(AND(B3350=1,N3350&gt;'Line Follower'!$C$7,SUM(C3350:K3350)&lt;4),1,0)</f>
        <v>#N/A</v>
      </c>
      <c r="S3350" s="4" t="e">
        <f>IF(AND(L3350=1,N3350&lt;'Line Follower'!$C$6,SUM(C3350:K3350)&lt;4),1,0)</f>
        <v>#N/A</v>
      </c>
      <c r="T3350" s="4" t="e">
        <f t="shared" si="262"/>
        <v>#N/A</v>
      </c>
      <c r="U3350" s="5" t="e">
        <f t="shared" si="263"/>
        <v>#N/A</v>
      </c>
      <c r="V3350" s="23" t="e">
        <f t="shared" si="264"/>
        <v>#N/A</v>
      </c>
    </row>
    <row r="3351" spans="2:22" x14ac:dyDescent="0.25">
      <c r="B3351" s="16">
        <v>0</v>
      </c>
      <c r="C3351" s="7">
        <v>0</v>
      </c>
      <c r="D3351" s="8">
        <v>1</v>
      </c>
      <c r="E3351" s="8">
        <v>0</v>
      </c>
      <c r="F3351" s="8">
        <v>1</v>
      </c>
      <c r="G3351" s="8">
        <v>0</v>
      </c>
      <c r="H3351" s="8">
        <v>0</v>
      </c>
      <c r="I3351" s="8">
        <v>0</v>
      </c>
      <c r="J3351" s="8">
        <v>1</v>
      </c>
      <c r="K3351" s="9">
        <v>0</v>
      </c>
      <c r="L3351" s="10">
        <v>1</v>
      </c>
      <c r="M3351" s="6">
        <v>1</v>
      </c>
      <c r="N3351" s="37" t="e" cm="1">
        <f t="array" ref="N3351">IF(OR(ISNUMBER(FIND(Aux!$D$3:$D$9,_xlfn.TEXTJOIN(,,C3351:K3351)))),NA(),IF(AND(SUM(C3351:F3351,H3351:K3351)=0,G3351=1),0,INT((SUMPRODUCT(C3351:F3351,COLUMN($A$1:$D$1)-1)+SUMPRODUCT(H3351:K3351,COLUMN($E$1:$H$1)-1))*'Line Follower'!$C$3/SUM(C3351:F3351,H3351:K3351)-'Line Follower'!$C$5)))</f>
        <v>#N/A</v>
      </c>
      <c r="O3351" s="22" t="e">
        <v>#N/A</v>
      </c>
      <c r="P3351" s="4" t="e">
        <f t="shared" si="260"/>
        <v>#N/A</v>
      </c>
      <c r="Q3351" s="4" t="e">
        <f t="shared" si="261"/>
        <v>#N/A</v>
      </c>
      <c r="R3351" s="4" t="e">
        <f>IF(AND(B3351=1,N3351&gt;'Line Follower'!$C$7,SUM(C3351:K3351)&lt;4),1,0)</f>
        <v>#N/A</v>
      </c>
      <c r="S3351" s="4" t="e">
        <f>IF(AND(L3351=1,N3351&lt;'Line Follower'!$C$6,SUM(C3351:K3351)&lt;4),1,0)</f>
        <v>#N/A</v>
      </c>
      <c r="T3351" s="4" t="e">
        <f t="shared" si="262"/>
        <v>#N/A</v>
      </c>
      <c r="U3351" s="5" t="e">
        <f t="shared" si="263"/>
        <v>#N/A</v>
      </c>
      <c r="V3351" s="23" t="e">
        <f t="shared" si="264"/>
        <v>#N/A</v>
      </c>
    </row>
    <row r="3352" spans="2:22" x14ac:dyDescent="0.25">
      <c r="B3352" s="16">
        <v>1</v>
      </c>
      <c r="C3352" s="7">
        <v>0</v>
      </c>
      <c r="D3352" s="8">
        <v>1</v>
      </c>
      <c r="E3352" s="8">
        <v>0</v>
      </c>
      <c r="F3352" s="8">
        <v>1</v>
      </c>
      <c r="G3352" s="8">
        <v>0</v>
      </c>
      <c r="H3352" s="8">
        <v>0</v>
      </c>
      <c r="I3352" s="8">
        <v>0</v>
      </c>
      <c r="J3352" s="8">
        <v>1</v>
      </c>
      <c r="K3352" s="9">
        <v>0</v>
      </c>
      <c r="L3352" s="10">
        <v>1</v>
      </c>
      <c r="M3352" s="6">
        <v>1</v>
      </c>
      <c r="N3352" s="37" t="e" cm="1">
        <f t="array" ref="N3352">IF(OR(ISNUMBER(FIND(Aux!$D$3:$D$9,_xlfn.TEXTJOIN(,,C3352:K3352)))),NA(),IF(AND(SUM(C3352:F3352,H3352:K3352)=0,G3352=1),0,INT((SUMPRODUCT(C3352:F3352,COLUMN($A$1:$D$1)-1)+SUMPRODUCT(H3352:K3352,COLUMN($E$1:$H$1)-1))*'Line Follower'!$C$3/SUM(C3352:F3352,H3352:K3352)-'Line Follower'!$C$5)))</f>
        <v>#N/A</v>
      </c>
      <c r="O3352" s="22" t="e">
        <v>#N/A</v>
      </c>
      <c r="P3352" s="4" t="e">
        <f t="shared" si="260"/>
        <v>#N/A</v>
      </c>
      <c r="Q3352" s="4" t="e">
        <f t="shared" si="261"/>
        <v>#N/A</v>
      </c>
      <c r="R3352" s="4" t="e">
        <f>IF(AND(B3352=1,N3352&gt;'Line Follower'!$C$7,SUM(C3352:K3352)&lt;4),1,0)</f>
        <v>#N/A</v>
      </c>
      <c r="S3352" s="4" t="e">
        <f>IF(AND(L3352=1,N3352&lt;'Line Follower'!$C$6,SUM(C3352:K3352)&lt;4),1,0)</f>
        <v>#N/A</v>
      </c>
      <c r="T3352" s="4" t="e">
        <f t="shared" si="262"/>
        <v>#N/A</v>
      </c>
      <c r="U3352" s="5" t="e">
        <f t="shared" si="263"/>
        <v>#N/A</v>
      </c>
      <c r="V3352" s="23" t="e">
        <f t="shared" si="264"/>
        <v>#N/A</v>
      </c>
    </row>
    <row r="3353" spans="2:22" x14ac:dyDescent="0.25">
      <c r="B3353" s="16">
        <v>0</v>
      </c>
      <c r="C3353" s="7">
        <v>1</v>
      </c>
      <c r="D3353" s="8">
        <v>1</v>
      </c>
      <c r="E3353" s="8">
        <v>0</v>
      </c>
      <c r="F3353" s="8">
        <v>1</v>
      </c>
      <c r="G3353" s="8">
        <v>0</v>
      </c>
      <c r="H3353" s="8">
        <v>0</v>
      </c>
      <c r="I3353" s="8">
        <v>0</v>
      </c>
      <c r="J3353" s="8">
        <v>1</v>
      </c>
      <c r="K3353" s="9">
        <v>0</v>
      </c>
      <c r="L3353" s="10">
        <v>1</v>
      </c>
      <c r="M3353" s="6">
        <v>1</v>
      </c>
      <c r="N3353" s="37" t="e" cm="1">
        <f t="array" ref="N3353">IF(OR(ISNUMBER(FIND(Aux!$D$3:$D$9,_xlfn.TEXTJOIN(,,C3353:K3353)))),NA(),IF(AND(SUM(C3353:F3353,H3353:K3353)=0,G3353=1),0,INT((SUMPRODUCT(C3353:F3353,COLUMN($A$1:$D$1)-1)+SUMPRODUCT(H3353:K3353,COLUMN($E$1:$H$1)-1))*'Line Follower'!$C$3/SUM(C3353:F3353,H3353:K3353)-'Line Follower'!$C$5)))</f>
        <v>#N/A</v>
      </c>
      <c r="O3353" s="22" t="e">
        <v>#N/A</v>
      </c>
      <c r="P3353" s="4" t="e">
        <f t="shared" si="260"/>
        <v>#N/A</v>
      </c>
      <c r="Q3353" s="4" t="e">
        <f t="shared" si="261"/>
        <v>#N/A</v>
      </c>
      <c r="R3353" s="4" t="e">
        <f>IF(AND(B3353=1,N3353&gt;'Line Follower'!$C$7,SUM(C3353:K3353)&lt;4),1,0)</f>
        <v>#N/A</v>
      </c>
      <c r="S3353" s="4" t="e">
        <f>IF(AND(L3353=1,N3353&lt;'Line Follower'!$C$6,SUM(C3353:K3353)&lt;4),1,0)</f>
        <v>#N/A</v>
      </c>
      <c r="T3353" s="4" t="e">
        <f t="shared" si="262"/>
        <v>#N/A</v>
      </c>
      <c r="U3353" s="5" t="e">
        <f t="shared" si="263"/>
        <v>#N/A</v>
      </c>
      <c r="V3353" s="23" t="e">
        <f t="shared" si="264"/>
        <v>#N/A</v>
      </c>
    </row>
    <row r="3354" spans="2:22" x14ac:dyDescent="0.25">
      <c r="B3354" s="16">
        <v>1</v>
      </c>
      <c r="C3354" s="7">
        <v>1</v>
      </c>
      <c r="D3354" s="8">
        <v>1</v>
      </c>
      <c r="E3354" s="8">
        <v>0</v>
      </c>
      <c r="F3354" s="8">
        <v>1</v>
      </c>
      <c r="G3354" s="8">
        <v>0</v>
      </c>
      <c r="H3354" s="8">
        <v>0</v>
      </c>
      <c r="I3354" s="8">
        <v>0</v>
      </c>
      <c r="J3354" s="8">
        <v>1</v>
      </c>
      <c r="K3354" s="9">
        <v>0</v>
      </c>
      <c r="L3354" s="10">
        <v>1</v>
      </c>
      <c r="M3354" s="6">
        <v>1</v>
      </c>
      <c r="N3354" s="37" t="e" cm="1">
        <f t="array" ref="N3354">IF(OR(ISNUMBER(FIND(Aux!$D$3:$D$9,_xlfn.TEXTJOIN(,,C3354:K3354)))),NA(),IF(AND(SUM(C3354:F3354,H3354:K3354)=0,G3354=1),0,INT((SUMPRODUCT(C3354:F3354,COLUMN($A$1:$D$1)-1)+SUMPRODUCT(H3354:K3354,COLUMN($E$1:$H$1)-1))*'Line Follower'!$C$3/SUM(C3354:F3354,H3354:K3354)-'Line Follower'!$C$5)))</f>
        <v>#N/A</v>
      </c>
      <c r="O3354" s="22" t="e">
        <v>#N/A</v>
      </c>
      <c r="P3354" s="4" t="e">
        <f t="shared" si="260"/>
        <v>#N/A</v>
      </c>
      <c r="Q3354" s="4" t="e">
        <f t="shared" si="261"/>
        <v>#N/A</v>
      </c>
      <c r="R3354" s="4" t="e">
        <f>IF(AND(B3354=1,N3354&gt;'Line Follower'!$C$7,SUM(C3354:K3354)&lt;4),1,0)</f>
        <v>#N/A</v>
      </c>
      <c r="S3354" s="4" t="e">
        <f>IF(AND(L3354=1,N3354&lt;'Line Follower'!$C$6,SUM(C3354:K3354)&lt;4),1,0)</f>
        <v>#N/A</v>
      </c>
      <c r="T3354" s="4" t="e">
        <f t="shared" si="262"/>
        <v>#N/A</v>
      </c>
      <c r="U3354" s="5" t="e">
        <f t="shared" si="263"/>
        <v>#N/A</v>
      </c>
      <c r="V3354" s="23" t="e">
        <f t="shared" si="264"/>
        <v>#N/A</v>
      </c>
    </row>
    <row r="3355" spans="2:22" x14ac:dyDescent="0.25">
      <c r="B3355" s="16">
        <v>0</v>
      </c>
      <c r="C3355" s="7">
        <v>0</v>
      </c>
      <c r="D3355" s="8">
        <v>0</v>
      </c>
      <c r="E3355" s="8">
        <v>1</v>
      </c>
      <c r="F3355" s="8">
        <v>1</v>
      </c>
      <c r="G3355" s="8">
        <v>0</v>
      </c>
      <c r="H3355" s="8">
        <v>0</v>
      </c>
      <c r="I3355" s="8">
        <v>0</v>
      </c>
      <c r="J3355" s="8">
        <v>1</v>
      </c>
      <c r="K3355" s="9">
        <v>0</v>
      </c>
      <c r="L3355" s="10">
        <v>1</v>
      </c>
      <c r="M3355" s="6">
        <v>1</v>
      </c>
      <c r="N3355" s="37" t="e" cm="1">
        <f t="array" ref="N3355">IF(OR(ISNUMBER(FIND(Aux!$D$3:$D$9,_xlfn.TEXTJOIN(,,C3355:K3355)))),NA(),IF(AND(SUM(C3355:F3355,H3355:K3355)=0,G3355=1),0,INT((SUMPRODUCT(C3355:F3355,COLUMN($A$1:$D$1)-1)+SUMPRODUCT(H3355:K3355,COLUMN($E$1:$H$1)-1))*'Line Follower'!$C$3/SUM(C3355:F3355,H3355:K3355)-'Line Follower'!$C$5)))</f>
        <v>#N/A</v>
      </c>
      <c r="O3355" s="22" t="e">
        <v>#N/A</v>
      </c>
      <c r="P3355" s="4" t="e">
        <f t="shared" si="260"/>
        <v>#N/A</v>
      </c>
      <c r="Q3355" s="4" t="e">
        <f t="shared" si="261"/>
        <v>#N/A</v>
      </c>
      <c r="R3355" s="4" t="e">
        <f>IF(AND(B3355=1,N3355&gt;'Line Follower'!$C$7,SUM(C3355:K3355)&lt;4),1,0)</f>
        <v>#N/A</v>
      </c>
      <c r="S3355" s="4" t="e">
        <f>IF(AND(L3355=1,N3355&lt;'Line Follower'!$C$6,SUM(C3355:K3355)&lt;4),1,0)</f>
        <v>#N/A</v>
      </c>
      <c r="T3355" s="4" t="e">
        <f t="shared" si="262"/>
        <v>#N/A</v>
      </c>
      <c r="U3355" s="5" t="e">
        <f t="shared" si="263"/>
        <v>#N/A</v>
      </c>
      <c r="V3355" s="23" t="e">
        <f t="shared" si="264"/>
        <v>#N/A</v>
      </c>
    </row>
    <row r="3356" spans="2:22" x14ac:dyDescent="0.25">
      <c r="B3356" s="16">
        <v>1</v>
      </c>
      <c r="C3356" s="7">
        <v>0</v>
      </c>
      <c r="D3356" s="8">
        <v>0</v>
      </c>
      <c r="E3356" s="8">
        <v>1</v>
      </c>
      <c r="F3356" s="8">
        <v>1</v>
      </c>
      <c r="G3356" s="8">
        <v>0</v>
      </c>
      <c r="H3356" s="8">
        <v>0</v>
      </c>
      <c r="I3356" s="8">
        <v>0</v>
      </c>
      <c r="J3356" s="8">
        <v>1</v>
      </c>
      <c r="K3356" s="9">
        <v>0</v>
      </c>
      <c r="L3356" s="10">
        <v>1</v>
      </c>
      <c r="M3356" s="6">
        <v>1</v>
      </c>
      <c r="N3356" s="37" t="e" cm="1">
        <f t="array" ref="N3356">IF(OR(ISNUMBER(FIND(Aux!$D$3:$D$9,_xlfn.TEXTJOIN(,,C3356:K3356)))),NA(),IF(AND(SUM(C3356:F3356,H3356:K3356)=0,G3356=1),0,INT((SUMPRODUCT(C3356:F3356,COLUMN($A$1:$D$1)-1)+SUMPRODUCT(H3356:K3356,COLUMN($E$1:$H$1)-1))*'Line Follower'!$C$3/SUM(C3356:F3356,H3356:K3356)-'Line Follower'!$C$5)))</f>
        <v>#N/A</v>
      </c>
      <c r="O3356" s="22" t="e">
        <v>#N/A</v>
      </c>
      <c r="P3356" s="4" t="e">
        <f t="shared" si="260"/>
        <v>#N/A</v>
      </c>
      <c r="Q3356" s="4" t="e">
        <f t="shared" si="261"/>
        <v>#N/A</v>
      </c>
      <c r="R3356" s="4" t="e">
        <f>IF(AND(B3356=1,N3356&gt;'Line Follower'!$C$7,SUM(C3356:K3356)&lt;4),1,0)</f>
        <v>#N/A</v>
      </c>
      <c r="S3356" s="4" t="e">
        <f>IF(AND(L3356=1,N3356&lt;'Line Follower'!$C$6,SUM(C3356:K3356)&lt;4),1,0)</f>
        <v>#N/A</v>
      </c>
      <c r="T3356" s="4" t="e">
        <f t="shared" si="262"/>
        <v>#N/A</v>
      </c>
      <c r="U3356" s="5" t="e">
        <f t="shared" si="263"/>
        <v>#N/A</v>
      </c>
      <c r="V3356" s="23" t="e">
        <f t="shared" si="264"/>
        <v>#N/A</v>
      </c>
    </row>
    <row r="3357" spans="2:22" x14ac:dyDescent="0.25">
      <c r="B3357" s="16">
        <v>0</v>
      </c>
      <c r="C3357" s="7">
        <v>1</v>
      </c>
      <c r="D3357" s="8">
        <v>0</v>
      </c>
      <c r="E3357" s="8">
        <v>1</v>
      </c>
      <c r="F3357" s="8">
        <v>1</v>
      </c>
      <c r="G3357" s="8">
        <v>0</v>
      </c>
      <c r="H3357" s="8">
        <v>0</v>
      </c>
      <c r="I3357" s="8">
        <v>0</v>
      </c>
      <c r="J3357" s="8">
        <v>1</v>
      </c>
      <c r="K3357" s="9">
        <v>0</v>
      </c>
      <c r="L3357" s="10">
        <v>1</v>
      </c>
      <c r="M3357" s="6">
        <v>1</v>
      </c>
      <c r="N3357" s="37" t="e" cm="1">
        <f t="array" ref="N3357">IF(OR(ISNUMBER(FIND(Aux!$D$3:$D$9,_xlfn.TEXTJOIN(,,C3357:K3357)))),NA(),IF(AND(SUM(C3357:F3357,H3357:K3357)=0,G3357=1),0,INT((SUMPRODUCT(C3357:F3357,COLUMN($A$1:$D$1)-1)+SUMPRODUCT(H3357:K3357,COLUMN($E$1:$H$1)-1))*'Line Follower'!$C$3/SUM(C3357:F3357,H3357:K3357)-'Line Follower'!$C$5)))</f>
        <v>#N/A</v>
      </c>
      <c r="O3357" s="22" t="e">
        <v>#N/A</v>
      </c>
      <c r="P3357" s="4" t="e">
        <f t="shared" si="260"/>
        <v>#N/A</v>
      </c>
      <c r="Q3357" s="4" t="e">
        <f t="shared" si="261"/>
        <v>#N/A</v>
      </c>
      <c r="R3357" s="4" t="e">
        <f>IF(AND(B3357=1,N3357&gt;'Line Follower'!$C$7,SUM(C3357:K3357)&lt;4),1,0)</f>
        <v>#N/A</v>
      </c>
      <c r="S3357" s="4" t="e">
        <f>IF(AND(L3357=1,N3357&lt;'Line Follower'!$C$6,SUM(C3357:K3357)&lt;4),1,0)</f>
        <v>#N/A</v>
      </c>
      <c r="T3357" s="4" t="e">
        <f t="shared" si="262"/>
        <v>#N/A</v>
      </c>
      <c r="U3357" s="5" t="e">
        <f t="shared" si="263"/>
        <v>#N/A</v>
      </c>
      <c r="V3357" s="23" t="e">
        <f t="shared" si="264"/>
        <v>#N/A</v>
      </c>
    </row>
    <row r="3358" spans="2:22" x14ac:dyDescent="0.25">
      <c r="B3358" s="16">
        <v>1</v>
      </c>
      <c r="C3358" s="7">
        <v>1</v>
      </c>
      <c r="D3358" s="8">
        <v>0</v>
      </c>
      <c r="E3358" s="8">
        <v>1</v>
      </c>
      <c r="F3358" s="8">
        <v>1</v>
      </c>
      <c r="G3358" s="8">
        <v>0</v>
      </c>
      <c r="H3358" s="8">
        <v>0</v>
      </c>
      <c r="I3358" s="8">
        <v>0</v>
      </c>
      <c r="J3358" s="8">
        <v>1</v>
      </c>
      <c r="K3358" s="9">
        <v>0</v>
      </c>
      <c r="L3358" s="10">
        <v>1</v>
      </c>
      <c r="M3358" s="6">
        <v>1</v>
      </c>
      <c r="N3358" s="37" t="e" cm="1">
        <f t="array" ref="N3358">IF(OR(ISNUMBER(FIND(Aux!$D$3:$D$9,_xlfn.TEXTJOIN(,,C3358:K3358)))),NA(),IF(AND(SUM(C3358:F3358,H3358:K3358)=0,G3358=1),0,INT((SUMPRODUCT(C3358:F3358,COLUMN($A$1:$D$1)-1)+SUMPRODUCT(H3358:K3358,COLUMN($E$1:$H$1)-1))*'Line Follower'!$C$3/SUM(C3358:F3358,H3358:K3358)-'Line Follower'!$C$5)))</f>
        <v>#N/A</v>
      </c>
      <c r="O3358" s="22" t="e">
        <v>#N/A</v>
      </c>
      <c r="P3358" s="4" t="e">
        <f t="shared" si="260"/>
        <v>#N/A</v>
      </c>
      <c r="Q3358" s="4" t="e">
        <f t="shared" si="261"/>
        <v>#N/A</v>
      </c>
      <c r="R3358" s="4" t="e">
        <f>IF(AND(B3358=1,N3358&gt;'Line Follower'!$C$7,SUM(C3358:K3358)&lt;4),1,0)</f>
        <v>#N/A</v>
      </c>
      <c r="S3358" s="4" t="e">
        <f>IF(AND(L3358=1,N3358&lt;'Line Follower'!$C$6,SUM(C3358:K3358)&lt;4),1,0)</f>
        <v>#N/A</v>
      </c>
      <c r="T3358" s="4" t="e">
        <f t="shared" si="262"/>
        <v>#N/A</v>
      </c>
      <c r="U3358" s="5" t="e">
        <f t="shared" si="263"/>
        <v>#N/A</v>
      </c>
      <c r="V3358" s="23" t="e">
        <f t="shared" si="264"/>
        <v>#N/A</v>
      </c>
    </row>
    <row r="3359" spans="2:22" x14ac:dyDescent="0.25">
      <c r="B3359" s="16">
        <v>0</v>
      </c>
      <c r="C3359" s="7">
        <v>0</v>
      </c>
      <c r="D3359" s="8">
        <v>1</v>
      </c>
      <c r="E3359" s="8">
        <v>1</v>
      </c>
      <c r="F3359" s="8">
        <v>1</v>
      </c>
      <c r="G3359" s="8">
        <v>0</v>
      </c>
      <c r="H3359" s="8">
        <v>0</v>
      </c>
      <c r="I3359" s="8">
        <v>0</v>
      </c>
      <c r="J3359" s="8">
        <v>1</v>
      </c>
      <c r="K3359" s="9">
        <v>0</v>
      </c>
      <c r="L3359" s="10">
        <v>1</v>
      </c>
      <c r="M3359" s="6">
        <v>1</v>
      </c>
      <c r="N3359" s="37" t="e" cm="1">
        <f t="array" ref="N3359">IF(OR(ISNUMBER(FIND(Aux!$D$3:$D$9,_xlfn.TEXTJOIN(,,C3359:K3359)))),NA(),IF(AND(SUM(C3359:F3359,H3359:K3359)=0,G3359=1),0,INT((SUMPRODUCT(C3359:F3359,COLUMN($A$1:$D$1)-1)+SUMPRODUCT(H3359:K3359,COLUMN($E$1:$H$1)-1))*'Line Follower'!$C$3/SUM(C3359:F3359,H3359:K3359)-'Line Follower'!$C$5)))</f>
        <v>#N/A</v>
      </c>
      <c r="O3359" s="22" t="e">
        <v>#N/A</v>
      </c>
      <c r="P3359" s="4" t="e">
        <f t="shared" si="260"/>
        <v>#N/A</v>
      </c>
      <c r="Q3359" s="4" t="e">
        <f t="shared" si="261"/>
        <v>#N/A</v>
      </c>
      <c r="R3359" s="4" t="e">
        <f>IF(AND(B3359=1,N3359&gt;'Line Follower'!$C$7,SUM(C3359:K3359)&lt;4),1,0)</f>
        <v>#N/A</v>
      </c>
      <c r="S3359" s="4" t="e">
        <f>IF(AND(L3359=1,N3359&lt;'Line Follower'!$C$6,SUM(C3359:K3359)&lt;4),1,0)</f>
        <v>#N/A</v>
      </c>
      <c r="T3359" s="4" t="e">
        <f t="shared" si="262"/>
        <v>#N/A</v>
      </c>
      <c r="U3359" s="5" t="e">
        <f t="shared" si="263"/>
        <v>#N/A</v>
      </c>
      <c r="V3359" s="23" t="e">
        <f t="shared" si="264"/>
        <v>#N/A</v>
      </c>
    </row>
    <row r="3360" spans="2:22" x14ac:dyDescent="0.25">
      <c r="B3360" s="16">
        <v>1</v>
      </c>
      <c r="C3360" s="7">
        <v>0</v>
      </c>
      <c r="D3360" s="8">
        <v>1</v>
      </c>
      <c r="E3360" s="8">
        <v>1</v>
      </c>
      <c r="F3360" s="8">
        <v>1</v>
      </c>
      <c r="G3360" s="8">
        <v>0</v>
      </c>
      <c r="H3360" s="8">
        <v>0</v>
      </c>
      <c r="I3360" s="8">
        <v>0</v>
      </c>
      <c r="J3360" s="8">
        <v>1</v>
      </c>
      <c r="K3360" s="9">
        <v>0</v>
      </c>
      <c r="L3360" s="10">
        <v>1</v>
      </c>
      <c r="M3360" s="6">
        <v>1</v>
      </c>
      <c r="N3360" s="37" t="e" cm="1">
        <f t="array" ref="N3360">IF(OR(ISNUMBER(FIND(Aux!$D$3:$D$9,_xlfn.TEXTJOIN(,,C3360:K3360)))),NA(),IF(AND(SUM(C3360:F3360,H3360:K3360)=0,G3360=1),0,INT((SUMPRODUCT(C3360:F3360,COLUMN($A$1:$D$1)-1)+SUMPRODUCT(H3360:K3360,COLUMN($E$1:$H$1)-1))*'Line Follower'!$C$3/SUM(C3360:F3360,H3360:K3360)-'Line Follower'!$C$5)))</f>
        <v>#N/A</v>
      </c>
      <c r="O3360" s="22" t="e">
        <v>#N/A</v>
      </c>
      <c r="P3360" s="4" t="e">
        <f t="shared" si="260"/>
        <v>#N/A</v>
      </c>
      <c r="Q3360" s="4" t="e">
        <f t="shared" si="261"/>
        <v>#N/A</v>
      </c>
      <c r="R3360" s="4" t="e">
        <f>IF(AND(B3360=1,N3360&gt;'Line Follower'!$C$7,SUM(C3360:K3360)&lt;4),1,0)</f>
        <v>#N/A</v>
      </c>
      <c r="S3360" s="4" t="e">
        <f>IF(AND(L3360=1,N3360&lt;'Line Follower'!$C$6,SUM(C3360:K3360)&lt;4),1,0)</f>
        <v>#N/A</v>
      </c>
      <c r="T3360" s="4" t="e">
        <f t="shared" si="262"/>
        <v>#N/A</v>
      </c>
      <c r="U3360" s="5" t="e">
        <f t="shared" si="263"/>
        <v>#N/A</v>
      </c>
      <c r="V3360" s="23" t="e">
        <f t="shared" si="264"/>
        <v>#N/A</v>
      </c>
    </row>
    <row r="3361" spans="2:22" x14ac:dyDescent="0.25">
      <c r="B3361" s="16">
        <v>0</v>
      </c>
      <c r="C3361" s="7">
        <v>1</v>
      </c>
      <c r="D3361" s="8">
        <v>1</v>
      </c>
      <c r="E3361" s="8">
        <v>1</v>
      </c>
      <c r="F3361" s="8">
        <v>1</v>
      </c>
      <c r="G3361" s="8">
        <v>0</v>
      </c>
      <c r="H3361" s="8">
        <v>0</v>
      </c>
      <c r="I3361" s="8">
        <v>0</v>
      </c>
      <c r="J3361" s="8">
        <v>1</v>
      </c>
      <c r="K3361" s="9">
        <v>0</v>
      </c>
      <c r="L3361" s="10">
        <v>1</v>
      </c>
      <c r="M3361" s="6">
        <v>1</v>
      </c>
      <c r="N3361" s="37" t="e" cm="1">
        <f t="array" ref="N3361">IF(OR(ISNUMBER(FIND(Aux!$D$3:$D$9,_xlfn.TEXTJOIN(,,C3361:K3361)))),NA(),IF(AND(SUM(C3361:F3361,H3361:K3361)=0,G3361=1),0,INT((SUMPRODUCT(C3361:F3361,COLUMN($A$1:$D$1)-1)+SUMPRODUCT(H3361:K3361,COLUMN($E$1:$H$1)-1))*'Line Follower'!$C$3/SUM(C3361:F3361,H3361:K3361)-'Line Follower'!$C$5)))</f>
        <v>#N/A</v>
      </c>
      <c r="O3361" s="22" t="e">
        <v>#N/A</v>
      </c>
      <c r="P3361" s="4" t="e">
        <f t="shared" si="260"/>
        <v>#N/A</v>
      </c>
      <c r="Q3361" s="4" t="e">
        <f t="shared" si="261"/>
        <v>#N/A</v>
      </c>
      <c r="R3361" s="4" t="e">
        <f>IF(AND(B3361=1,N3361&gt;'Line Follower'!$C$7,SUM(C3361:K3361)&lt;4),1,0)</f>
        <v>#N/A</v>
      </c>
      <c r="S3361" s="4" t="e">
        <f>IF(AND(L3361=1,N3361&lt;'Line Follower'!$C$6,SUM(C3361:K3361)&lt;4),1,0)</f>
        <v>#N/A</v>
      </c>
      <c r="T3361" s="4" t="e">
        <f t="shared" si="262"/>
        <v>#N/A</v>
      </c>
      <c r="U3361" s="5" t="e">
        <f t="shared" si="263"/>
        <v>#N/A</v>
      </c>
      <c r="V3361" s="23" t="e">
        <f t="shared" si="264"/>
        <v>#N/A</v>
      </c>
    </row>
    <row r="3362" spans="2:22" x14ac:dyDescent="0.25">
      <c r="B3362" s="16">
        <v>1</v>
      </c>
      <c r="C3362" s="7">
        <v>1</v>
      </c>
      <c r="D3362" s="8">
        <v>1</v>
      </c>
      <c r="E3362" s="8">
        <v>1</v>
      </c>
      <c r="F3362" s="8">
        <v>1</v>
      </c>
      <c r="G3362" s="8">
        <v>0</v>
      </c>
      <c r="H3362" s="8">
        <v>0</v>
      </c>
      <c r="I3362" s="8">
        <v>0</v>
      </c>
      <c r="J3362" s="8">
        <v>1</v>
      </c>
      <c r="K3362" s="9">
        <v>0</v>
      </c>
      <c r="L3362" s="10">
        <v>1</v>
      </c>
      <c r="M3362" s="6">
        <v>1</v>
      </c>
      <c r="N3362" s="37" t="e" cm="1">
        <f t="array" ref="N3362">IF(OR(ISNUMBER(FIND(Aux!$D$3:$D$9,_xlfn.TEXTJOIN(,,C3362:K3362)))),NA(),IF(AND(SUM(C3362:F3362,H3362:K3362)=0,G3362=1),0,INT((SUMPRODUCT(C3362:F3362,COLUMN($A$1:$D$1)-1)+SUMPRODUCT(H3362:K3362,COLUMN($E$1:$H$1)-1))*'Line Follower'!$C$3/SUM(C3362:F3362,H3362:K3362)-'Line Follower'!$C$5)))</f>
        <v>#N/A</v>
      </c>
      <c r="O3362" s="22" t="e">
        <v>#N/A</v>
      </c>
      <c r="P3362" s="4" t="e">
        <f t="shared" si="260"/>
        <v>#N/A</v>
      </c>
      <c r="Q3362" s="4" t="e">
        <f t="shared" si="261"/>
        <v>#N/A</v>
      </c>
      <c r="R3362" s="4" t="e">
        <f>IF(AND(B3362=1,N3362&gt;'Line Follower'!$C$7,SUM(C3362:K3362)&lt;4),1,0)</f>
        <v>#N/A</v>
      </c>
      <c r="S3362" s="4" t="e">
        <f>IF(AND(L3362=1,N3362&lt;'Line Follower'!$C$6,SUM(C3362:K3362)&lt;4),1,0)</f>
        <v>#N/A</v>
      </c>
      <c r="T3362" s="4" t="e">
        <f t="shared" si="262"/>
        <v>#N/A</v>
      </c>
      <c r="U3362" s="5" t="e">
        <f t="shared" si="263"/>
        <v>#N/A</v>
      </c>
      <c r="V3362" s="23" t="e">
        <f t="shared" si="264"/>
        <v>#N/A</v>
      </c>
    </row>
    <row r="3363" spans="2:22" x14ac:dyDescent="0.25">
      <c r="B3363" s="16">
        <v>0</v>
      </c>
      <c r="C3363" s="7">
        <v>0</v>
      </c>
      <c r="D3363" s="8">
        <v>0</v>
      </c>
      <c r="E3363" s="8">
        <v>0</v>
      </c>
      <c r="F3363" s="8">
        <v>0</v>
      </c>
      <c r="G3363" s="8">
        <v>1</v>
      </c>
      <c r="H3363" s="8">
        <v>0</v>
      </c>
      <c r="I3363" s="8">
        <v>0</v>
      </c>
      <c r="J3363" s="8">
        <v>1</v>
      </c>
      <c r="K3363" s="9">
        <v>0</v>
      </c>
      <c r="L3363" s="10">
        <v>1</v>
      </c>
      <c r="M3363" s="6">
        <v>1</v>
      </c>
      <c r="N3363" s="37" t="e" cm="1">
        <f t="array" ref="N3363">IF(OR(ISNUMBER(FIND(Aux!$D$3:$D$9,_xlfn.TEXTJOIN(,,C3363:K3363)))),NA(),IF(AND(SUM(C3363:F3363,H3363:K3363)=0,G3363=1),0,INT((SUMPRODUCT(C3363:F3363,COLUMN($A$1:$D$1)-1)+SUMPRODUCT(H3363:K3363,COLUMN($E$1:$H$1)-1))*'Line Follower'!$C$3/SUM(C3363:F3363,H3363:K3363)-'Line Follower'!$C$5)))</f>
        <v>#N/A</v>
      </c>
      <c r="O3363" s="22" t="e">
        <v>#N/A</v>
      </c>
      <c r="P3363" s="4" t="e">
        <f t="shared" si="260"/>
        <v>#N/A</v>
      </c>
      <c r="Q3363" s="4" t="e">
        <f t="shared" si="261"/>
        <v>#N/A</v>
      </c>
      <c r="R3363" s="4" t="e">
        <f>IF(AND(B3363=1,N3363&gt;'Line Follower'!$C$7,SUM(C3363:K3363)&lt;4),1,0)</f>
        <v>#N/A</v>
      </c>
      <c r="S3363" s="4" t="e">
        <f>IF(AND(L3363=1,N3363&lt;'Line Follower'!$C$6,SUM(C3363:K3363)&lt;4),1,0)</f>
        <v>#N/A</v>
      </c>
      <c r="T3363" s="4" t="e">
        <f t="shared" si="262"/>
        <v>#N/A</v>
      </c>
      <c r="U3363" s="5" t="e">
        <f t="shared" si="263"/>
        <v>#N/A</v>
      </c>
      <c r="V3363" s="23" t="e">
        <f t="shared" si="264"/>
        <v>#N/A</v>
      </c>
    </row>
    <row r="3364" spans="2:22" x14ac:dyDescent="0.25">
      <c r="B3364" s="16">
        <v>1</v>
      </c>
      <c r="C3364" s="7">
        <v>0</v>
      </c>
      <c r="D3364" s="8">
        <v>0</v>
      </c>
      <c r="E3364" s="8">
        <v>0</v>
      </c>
      <c r="F3364" s="8">
        <v>0</v>
      </c>
      <c r="G3364" s="8">
        <v>1</v>
      </c>
      <c r="H3364" s="8">
        <v>0</v>
      </c>
      <c r="I3364" s="8">
        <v>0</v>
      </c>
      <c r="J3364" s="8">
        <v>1</v>
      </c>
      <c r="K3364" s="9">
        <v>0</v>
      </c>
      <c r="L3364" s="10">
        <v>1</v>
      </c>
      <c r="M3364" s="6">
        <v>1</v>
      </c>
      <c r="N3364" s="37" t="e" cm="1">
        <f t="array" ref="N3364">IF(OR(ISNUMBER(FIND(Aux!$D$3:$D$9,_xlfn.TEXTJOIN(,,C3364:K3364)))),NA(),IF(AND(SUM(C3364:F3364,H3364:K3364)=0,G3364=1),0,INT((SUMPRODUCT(C3364:F3364,COLUMN($A$1:$D$1)-1)+SUMPRODUCT(H3364:K3364,COLUMN($E$1:$H$1)-1))*'Line Follower'!$C$3/SUM(C3364:F3364,H3364:K3364)-'Line Follower'!$C$5)))</f>
        <v>#N/A</v>
      </c>
      <c r="O3364" s="22" t="e">
        <v>#N/A</v>
      </c>
      <c r="P3364" s="4" t="e">
        <f t="shared" si="260"/>
        <v>#N/A</v>
      </c>
      <c r="Q3364" s="4" t="e">
        <f t="shared" si="261"/>
        <v>#N/A</v>
      </c>
      <c r="R3364" s="4" t="e">
        <f>IF(AND(B3364=1,N3364&gt;'Line Follower'!$C$7,SUM(C3364:K3364)&lt;4),1,0)</f>
        <v>#N/A</v>
      </c>
      <c r="S3364" s="4" t="e">
        <f>IF(AND(L3364=1,N3364&lt;'Line Follower'!$C$6,SUM(C3364:K3364)&lt;4),1,0)</f>
        <v>#N/A</v>
      </c>
      <c r="T3364" s="4" t="e">
        <f t="shared" si="262"/>
        <v>#N/A</v>
      </c>
      <c r="U3364" s="5" t="e">
        <f t="shared" si="263"/>
        <v>#N/A</v>
      </c>
      <c r="V3364" s="23" t="e">
        <f t="shared" si="264"/>
        <v>#N/A</v>
      </c>
    </row>
    <row r="3365" spans="2:22" x14ac:dyDescent="0.25">
      <c r="B3365" s="16">
        <v>0</v>
      </c>
      <c r="C3365" s="7">
        <v>1</v>
      </c>
      <c r="D3365" s="8">
        <v>0</v>
      </c>
      <c r="E3365" s="8">
        <v>0</v>
      </c>
      <c r="F3365" s="8">
        <v>0</v>
      </c>
      <c r="G3365" s="8">
        <v>1</v>
      </c>
      <c r="H3365" s="8">
        <v>0</v>
      </c>
      <c r="I3365" s="8">
        <v>0</v>
      </c>
      <c r="J3365" s="8">
        <v>1</v>
      </c>
      <c r="K3365" s="9">
        <v>0</v>
      </c>
      <c r="L3365" s="10">
        <v>1</v>
      </c>
      <c r="M3365" s="6">
        <v>1</v>
      </c>
      <c r="N3365" s="37" t="e" cm="1">
        <f t="array" ref="N3365">IF(OR(ISNUMBER(FIND(Aux!$D$3:$D$9,_xlfn.TEXTJOIN(,,C3365:K3365)))),NA(),IF(AND(SUM(C3365:F3365,H3365:K3365)=0,G3365=1),0,INT((SUMPRODUCT(C3365:F3365,COLUMN($A$1:$D$1)-1)+SUMPRODUCT(H3365:K3365,COLUMN($E$1:$H$1)-1))*'Line Follower'!$C$3/SUM(C3365:F3365,H3365:K3365)-'Line Follower'!$C$5)))</f>
        <v>#N/A</v>
      </c>
      <c r="O3365" s="22" t="e">
        <v>#N/A</v>
      </c>
      <c r="P3365" s="4" t="e">
        <f t="shared" si="260"/>
        <v>#N/A</v>
      </c>
      <c r="Q3365" s="4" t="e">
        <f t="shared" si="261"/>
        <v>#N/A</v>
      </c>
      <c r="R3365" s="4" t="e">
        <f>IF(AND(B3365=1,N3365&gt;'Line Follower'!$C$7,SUM(C3365:K3365)&lt;4),1,0)</f>
        <v>#N/A</v>
      </c>
      <c r="S3365" s="4" t="e">
        <f>IF(AND(L3365=1,N3365&lt;'Line Follower'!$C$6,SUM(C3365:K3365)&lt;4),1,0)</f>
        <v>#N/A</v>
      </c>
      <c r="T3365" s="4" t="e">
        <f t="shared" si="262"/>
        <v>#N/A</v>
      </c>
      <c r="U3365" s="5" t="e">
        <f t="shared" si="263"/>
        <v>#N/A</v>
      </c>
      <c r="V3365" s="23" t="e">
        <f t="shared" si="264"/>
        <v>#N/A</v>
      </c>
    </row>
    <row r="3366" spans="2:22" x14ac:dyDescent="0.25">
      <c r="B3366" s="16">
        <v>1</v>
      </c>
      <c r="C3366" s="7">
        <v>1</v>
      </c>
      <c r="D3366" s="8">
        <v>0</v>
      </c>
      <c r="E3366" s="8">
        <v>0</v>
      </c>
      <c r="F3366" s="8">
        <v>0</v>
      </c>
      <c r="G3366" s="8">
        <v>1</v>
      </c>
      <c r="H3366" s="8">
        <v>0</v>
      </c>
      <c r="I3366" s="8">
        <v>0</v>
      </c>
      <c r="J3366" s="8">
        <v>1</v>
      </c>
      <c r="K3366" s="9">
        <v>0</v>
      </c>
      <c r="L3366" s="10">
        <v>1</v>
      </c>
      <c r="M3366" s="6">
        <v>1</v>
      </c>
      <c r="N3366" s="37" t="e" cm="1">
        <f t="array" ref="N3366">IF(OR(ISNUMBER(FIND(Aux!$D$3:$D$9,_xlfn.TEXTJOIN(,,C3366:K3366)))),NA(),IF(AND(SUM(C3366:F3366,H3366:K3366)=0,G3366=1),0,INT((SUMPRODUCT(C3366:F3366,COLUMN($A$1:$D$1)-1)+SUMPRODUCT(H3366:K3366,COLUMN($E$1:$H$1)-1))*'Line Follower'!$C$3/SUM(C3366:F3366,H3366:K3366)-'Line Follower'!$C$5)))</f>
        <v>#N/A</v>
      </c>
      <c r="O3366" s="22" t="e">
        <v>#N/A</v>
      </c>
      <c r="P3366" s="4" t="e">
        <f t="shared" si="260"/>
        <v>#N/A</v>
      </c>
      <c r="Q3366" s="4" t="e">
        <f t="shared" si="261"/>
        <v>#N/A</v>
      </c>
      <c r="R3366" s="4" t="e">
        <f>IF(AND(B3366=1,N3366&gt;'Line Follower'!$C$7,SUM(C3366:K3366)&lt;4),1,0)</f>
        <v>#N/A</v>
      </c>
      <c r="S3366" s="4" t="e">
        <f>IF(AND(L3366=1,N3366&lt;'Line Follower'!$C$6,SUM(C3366:K3366)&lt;4),1,0)</f>
        <v>#N/A</v>
      </c>
      <c r="T3366" s="4" t="e">
        <f t="shared" si="262"/>
        <v>#N/A</v>
      </c>
      <c r="U3366" s="5" t="e">
        <f t="shared" si="263"/>
        <v>#N/A</v>
      </c>
      <c r="V3366" s="23" t="e">
        <f t="shared" si="264"/>
        <v>#N/A</v>
      </c>
    </row>
    <row r="3367" spans="2:22" x14ac:dyDescent="0.25">
      <c r="B3367" s="16">
        <v>0</v>
      </c>
      <c r="C3367" s="7">
        <v>0</v>
      </c>
      <c r="D3367" s="8">
        <v>1</v>
      </c>
      <c r="E3367" s="8">
        <v>0</v>
      </c>
      <c r="F3367" s="8">
        <v>0</v>
      </c>
      <c r="G3367" s="8">
        <v>1</v>
      </c>
      <c r="H3367" s="8">
        <v>0</v>
      </c>
      <c r="I3367" s="8">
        <v>0</v>
      </c>
      <c r="J3367" s="8">
        <v>1</v>
      </c>
      <c r="K3367" s="9">
        <v>0</v>
      </c>
      <c r="L3367" s="10">
        <v>1</v>
      </c>
      <c r="M3367" s="6">
        <v>1</v>
      </c>
      <c r="N3367" s="37" t="e" cm="1">
        <f t="array" ref="N3367">IF(OR(ISNUMBER(FIND(Aux!$D$3:$D$9,_xlfn.TEXTJOIN(,,C3367:K3367)))),NA(),IF(AND(SUM(C3367:F3367,H3367:K3367)=0,G3367=1),0,INT((SUMPRODUCT(C3367:F3367,COLUMN($A$1:$D$1)-1)+SUMPRODUCT(H3367:K3367,COLUMN($E$1:$H$1)-1))*'Line Follower'!$C$3/SUM(C3367:F3367,H3367:K3367)-'Line Follower'!$C$5)))</f>
        <v>#N/A</v>
      </c>
      <c r="O3367" s="22" t="e">
        <v>#N/A</v>
      </c>
      <c r="P3367" s="4" t="e">
        <f t="shared" si="260"/>
        <v>#N/A</v>
      </c>
      <c r="Q3367" s="4" t="e">
        <f t="shared" si="261"/>
        <v>#N/A</v>
      </c>
      <c r="R3367" s="4" t="e">
        <f>IF(AND(B3367=1,N3367&gt;'Line Follower'!$C$7,SUM(C3367:K3367)&lt;4),1,0)</f>
        <v>#N/A</v>
      </c>
      <c r="S3367" s="4" t="e">
        <f>IF(AND(L3367=1,N3367&lt;'Line Follower'!$C$6,SUM(C3367:K3367)&lt;4),1,0)</f>
        <v>#N/A</v>
      </c>
      <c r="T3367" s="4" t="e">
        <f t="shared" si="262"/>
        <v>#N/A</v>
      </c>
      <c r="U3367" s="5" t="e">
        <f t="shared" si="263"/>
        <v>#N/A</v>
      </c>
      <c r="V3367" s="23" t="e">
        <f t="shared" si="264"/>
        <v>#N/A</v>
      </c>
    </row>
    <row r="3368" spans="2:22" x14ac:dyDescent="0.25">
      <c r="B3368" s="16">
        <v>1</v>
      </c>
      <c r="C3368" s="7">
        <v>0</v>
      </c>
      <c r="D3368" s="8">
        <v>1</v>
      </c>
      <c r="E3368" s="8">
        <v>0</v>
      </c>
      <c r="F3368" s="8">
        <v>0</v>
      </c>
      <c r="G3368" s="8">
        <v>1</v>
      </c>
      <c r="H3368" s="8">
        <v>0</v>
      </c>
      <c r="I3368" s="8">
        <v>0</v>
      </c>
      <c r="J3368" s="8">
        <v>1</v>
      </c>
      <c r="K3368" s="9">
        <v>0</v>
      </c>
      <c r="L3368" s="10">
        <v>1</v>
      </c>
      <c r="M3368" s="6">
        <v>1</v>
      </c>
      <c r="N3368" s="37" t="e" cm="1">
        <f t="array" ref="N3368">IF(OR(ISNUMBER(FIND(Aux!$D$3:$D$9,_xlfn.TEXTJOIN(,,C3368:K3368)))),NA(),IF(AND(SUM(C3368:F3368,H3368:K3368)=0,G3368=1),0,INT((SUMPRODUCT(C3368:F3368,COLUMN($A$1:$D$1)-1)+SUMPRODUCT(H3368:K3368,COLUMN($E$1:$H$1)-1))*'Line Follower'!$C$3/SUM(C3368:F3368,H3368:K3368)-'Line Follower'!$C$5)))</f>
        <v>#N/A</v>
      </c>
      <c r="O3368" s="22" t="e">
        <v>#N/A</v>
      </c>
      <c r="P3368" s="4" t="e">
        <f t="shared" si="260"/>
        <v>#N/A</v>
      </c>
      <c r="Q3368" s="4" t="e">
        <f t="shared" si="261"/>
        <v>#N/A</v>
      </c>
      <c r="R3368" s="4" t="e">
        <f>IF(AND(B3368=1,N3368&gt;'Line Follower'!$C$7,SUM(C3368:K3368)&lt;4),1,0)</f>
        <v>#N/A</v>
      </c>
      <c r="S3368" s="4" t="e">
        <f>IF(AND(L3368=1,N3368&lt;'Line Follower'!$C$6,SUM(C3368:K3368)&lt;4),1,0)</f>
        <v>#N/A</v>
      </c>
      <c r="T3368" s="4" t="e">
        <f t="shared" si="262"/>
        <v>#N/A</v>
      </c>
      <c r="U3368" s="5" t="e">
        <f t="shared" si="263"/>
        <v>#N/A</v>
      </c>
      <c r="V3368" s="23" t="e">
        <f t="shared" si="264"/>
        <v>#N/A</v>
      </c>
    </row>
    <row r="3369" spans="2:22" x14ac:dyDescent="0.25">
      <c r="B3369" s="16">
        <v>0</v>
      </c>
      <c r="C3369" s="7">
        <v>1</v>
      </c>
      <c r="D3369" s="8">
        <v>1</v>
      </c>
      <c r="E3369" s="8">
        <v>0</v>
      </c>
      <c r="F3369" s="8">
        <v>0</v>
      </c>
      <c r="G3369" s="8">
        <v>1</v>
      </c>
      <c r="H3369" s="8">
        <v>0</v>
      </c>
      <c r="I3369" s="8">
        <v>0</v>
      </c>
      <c r="J3369" s="8">
        <v>1</v>
      </c>
      <c r="K3369" s="9">
        <v>0</v>
      </c>
      <c r="L3369" s="10">
        <v>1</v>
      </c>
      <c r="M3369" s="6">
        <v>1</v>
      </c>
      <c r="N3369" s="37" t="e" cm="1">
        <f t="array" ref="N3369">IF(OR(ISNUMBER(FIND(Aux!$D$3:$D$9,_xlfn.TEXTJOIN(,,C3369:K3369)))),NA(),IF(AND(SUM(C3369:F3369,H3369:K3369)=0,G3369=1),0,INT((SUMPRODUCT(C3369:F3369,COLUMN($A$1:$D$1)-1)+SUMPRODUCT(H3369:K3369,COLUMN($E$1:$H$1)-1))*'Line Follower'!$C$3/SUM(C3369:F3369,H3369:K3369)-'Line Follower'!$C$5)))</f>
        <v>#N/A</v>
      </c>
      <c r="O3369" s="22" t="e">
        <v>#N/A</v>
      </c>
      <c r="P3369" s="4" t="e">
        <f t="shared" si="260"/>
        <v>#N/A</v>
      </c>
      <c r="Q3369" s="4" t="e">
        <f t="shared" si="261"/>
        <v>#N/A</v>
      </c>
      <c r="R3369" s="4" t="e">
        <f>IF(AND(B3369=1,N3369&gt;'Line Follower'!$C$7,SUM(C3369:K3369)&lt;4),1,0)</f>
        <v>#N/A</v>
      </c>
      <c r="S3369" s="4" t="e">
        <f>IF(AND(L3369=1,N3369&lt;'Line Follower'!$C$6,SUM(C3369:K3369)&lt;4),1,0)</f>
        <v>#N/A</v>
      </c>
      <c r="T3369" s="4" t="e">
        <f t="shared" si="262"/>
        <v>#N/A</v>
      </c>
      <c r="U3369" s="5" t="e">
        <f t="shared" si="263"/>
        <v>#N/A</v>
      </c>
      <c r="V3369" s="23" t="e">
        <f t="shared" si="264"/>
        <v>#N/A</v>
      </c>
    </row>
    <row r="3370" spans="2:22" x14ac:dyDescent="0.25">
      <c r="B3370" s="16">
        <v>1</v>
      </c>
      <c r="C3370" s="7">
        <v>1</v>
      </c>
      <c r="D3370" s="8">
        <v>1</v>
      </c>
      <c r="E3370" s="8">
        <v>0</v>
      </c>
      <c r="F3370" s="8">
        <v>0</v>
      </c>
      <c r="G3370" s="8">
        <v>1</v>
      </c>
      <c r="H3370" s="8">
        <v>0</v>
      </c>
      <c r="I3370" s="8">
        <v>0</v>
      </c>
      <c r="J3370" s="8">
        <v>1</v>
      </c>
      <c r="K3370" s="9">
        <v>0</v>
      </c>
      <c r="L3370" s="10">
        <v>1</v>
      </c>
      <c r="M3370" s="6">
        <v>1</v>
      </c>
      <c r="N3370" s="37" t="e" cm="1">
        <f t="array" ref="N3370">IF(OR(ISNUMBER(FIND(Aux!$D$3:$D$9,_xlfn.TEXTJOIN(,,C3370:K3370)))),NA(),IF(AND(SUM(C3370:F3370,H3370:K3370)=0,G3370=1),0,INT((SUMPRODUCT(C3370:F3370,COLUMN($A$1:$D$1)-1)+SUMPRODUCT(H3370:K3370,COLUMN($E$1:$H$1)-1))*'Line Follower'!$C$3/SUM(C3370:F3370,H3370:K3370)-'Line Follower'!$C$5)))</f>
        <v>#N/A</v>
      </c>
      <c r="O3370" s="22" t="e">
        <v>#N/A</v>
      </c>
      <c r="P3370" s="4" t="e">
        <f t="shared" si="260"/>
        <v>#N/A</v>
      </c>
      <c r="Q3370" s="4" t="e">
        <f t="shared" si="261"/>
        <v>#N/A</v>
      </c>
      <c r="R3370" s="4" t="e">
        <f>IF(AND(B3370=1,N3370&gt;'Line Follower'!$C$7,SUM(C3370:K3370)&lt;4),1,0)</f>
        <v>#N/A</v>
      </c>
      <c r="S3370" s="4" t="e">
        <f>IF(AND(L3370=1,N3370&lt;'Line Follower'!$C$6,SUM(C3370:K3370)&lt;4),1,0)</f>
        <v>#N/A</v>
      </c>
      <c r="T3370" s="4" t="e">
        <f t="shared" si="262"/>
        <v>#N/A</v>
      </c>
      <c r="U3370" s="5" t="e">
        <f t="shared" si="263"/>
        <v>#N/A</v>
      </c>
      <c r="V3370" s="23" t="e">
        <f t="shared" si="264"/>
        <v>#N/A</v>
      </c>
    </row>
    <row r="3371" spans="2:22" x14ac:dyDescent="0.25">
      <c r="B3371" s="16">
        <v>0</v>
      </c>
      <c r="C3371" s="7">
        <v>0</v>
      </c>
      <c r="D3371" s="8">
        <v>0</v>
      </c>
      <c r="E3371" s="8">
        <v>1</v>
      </c>
      <c r="F3371" s="8">
        <v>0</v>
      </c>
      <c r="G3371" s="8">
        <v>1</v>
      </c>
      <c r="H3371" s="8">
        <v>0</v>
      </c>
      <c r="I3371" s="8">
        <v>0</v>
      </c>
      <c r="J3371" s="8">
        <v>1</v>
      </c>
      <c r="K3371" s="9">
        <v>0</v>
      </c>
      <c r="L3371" s="10">
        <v>1</v>
      </c>
      <c r="M3371" s="6">
        <v>1</v>
      </c>
      <c r="N3371" s="37" t="e" cm="1">
        <f t="array" ref="N3371">IF(OR(ISNUMBER(FIND(Aux!$D$3:$D$9,_xlfn.TEXTJOIN(,,C3371:K3371)))),NA(),IF(AND(SUM(C3371:F3371,H3371:K3371)=0,G3371=1),0,INT((SUMPRODUCT(C3371:F3371,COLUMN($A$1:$D$1)-1)+SUMPRODUCT(H3371:K3371,COLUMN($E$1:$H$1)-1))*'Line Follower'!$C$3/SUM(C3371:F3371,H3371:K3371)-'Line Follower'!$C$5)))</f>
        <v>#N/A</v>
      </c>
      <c r="O3371" s="22" t="e">
        <v>#N/A</v>
      </c>
      <c r="P3371" s="4" t="e">
        <f t="shared" si="260"/>
        <v>#N/A</v>
      </c>
      <c r="Q3371" s="4" t="e">
        <f t="shared" si="261"/>
        <v>#N/A</v>
      </c>
      <c r="R3371" s="4" t="e">
        <f>IF(AND(B3371=1,N3371&gt;'Line Follower'!$C$7,SUM(C3371:K3371)&lt;4),1,0)</f>
        <v>#N/A</v>
      </c>
      <c r="S3371" s="4" t="e">
        <f>IF(AND(L3371=1,N3371&lt;'Line Follower'!$C$6,SUM(C3371:K3371)&lt;4),1,0)</f>
        <v>#N/A</v>
      </c>
      <c r="T3371" s="4" t="e">
        <f t="shared" si="262"/>
        <v>#N/A</v>
      </c>
      <c r="U3371" s="5" t="e">
        <f t="shared" si="263"/>
        <v>#N/A</v>
      </c>
      <c r="V3371" s="23" t="e">
        <f t="shared" si="264"/>
        <v>#N/A</v>
      </c>
    </row>
    <row r="3372" spans="2:22" x14ac:dyDescent="0.25">
      <c r="B3372" s="16">
        <v>1</v>
      </c>
      <c r="C3372" s="7">
        <v>0</v>
      </c>
      <c r="D3372" s="8">
        <v>0</v>
      </c>
      <c r="E3372" s="8">
        <v>1</v>
      </c>
      <c r="F3372" s="8">
        <v>0</v>
      </c>
      <c r="G3372" s="8">
        <v>1</v>
      </c>
      <c r="H3372" s="8">
        <v>0</v>
      </c>
      <c r="I3372" s="8">
        <v>0</v>
      </c>
      <c r="J3372" s="8">
        <v>1</v>
      </c>
      <c r="K3372" s="9">
        <v>0</v>
      </c>
      <c r="L3372" s="10">
        <v>1</v>
      </c>
      <c r="M3372" s="6">
        <v>1</v>
      </c>
      <c r="N3372" s="37" t="e" cm="1">
        <f t="array" ref="N3372">IF(OR(ISNUMBER(FIND(Aux!$D$3:$D$9,_xlfn.TEXTJOIN(,,C3372:K3372)))),NA(),IF(AND(SUM(C3372:F3372,H3372:K3372)=0,G3372=1),0,INT((SUMPRODUCT(C3372:F3372,COLUMN($A$1:$D$1)-1)+SUMPRODUCT(H3372:K3372,COLUMN($E$1:$H$1)-1))*'Line Follower'!$C$3/SUM(C3372:F3372,H3372:K3372)-'Line Follower'!$C$5)))</f>
        <v>#N/A</v>
      </c>
      <c r="O3372" s="22" t="e">
        <v>#N/A</v>
      </c>
      <c r="P3372" s="4" t="e">
        <f t="shared" si="260"/>
        <v>#N/A</v>
      </c>
      <c r="Q3372" s="4" t="e">
        <f t="shared" si="261"/>
        <v>#N/A</v>
      </c>
      <c r="R3372" s="4" t="e">
        <f>IF(AND(B3372=1,N3372&gt;'Line Follower'!$C$7,SUM(C3372:K3372)&lt;4),1,0)</f>
        <v>#N/A</v>
      </c>
      <c r="S3372" s="4" t="e">
        <f>IF(AND(L3372=1,N3372&lt;'Line Follower'!$C$6,SUM(C3372:K3372)&lt;4),1,0)</f>
        <v>#N/A</v>
      </c>
      <c r="T3372" s="4" t="e">
        <f t="shared" si="262"/>
        <v>#N/A</v>
      </c>
      <c r="U3372" s="5" t="e">
        <f t="shared" si="263"/>
        <v>#N/A</v>
      </c>
      <c r="V3372" s="23" t="e">
        <f t="shared" si="264"/>
        <v>#N/A</v>
      </c>
    </row>
    <row r="3373" spans="2:22" x14ac:dyDescent="0.25">
      <c r="B3373" s="16">
        <v>0</v>
      </c>
      <c r="C3373" s="7">
        <v>1</v>
      </c>
      <c r="D3373" s="8">
        <v>0</v>
      </c>
      <c r="E3373" s="8">
        <v>1</v>
      </c>
      <c r="F3373" s="8">
        <v>0</v>
      </c>
      <c r="G3373" s="8">
        <v>1</v>
      </c>
      <c r="H3373" s="8">
        <v>0</v>
      </c>
      <c r="I3373" s="8">
        <v>0</v>
      </c>
      <c r="J3373" s="8">
        <v>1</v>
      </c>
      <c r="K3373" s="9">
        <v>0</v>
      </c>
      <c r="L3373" s="10">
        <v>1</v>
      </c>
      <c r="M3373" s="6">
        <v>1</v>
      </c>
      <c r="N3373" s="37" t="e" cm="1">
        <f t="array" ref="N3373">IF(OR(ISNUMBER(FIND(Aux!$D$3:$D$9,_xlfn.TEXTJOIN(,,C3373:K3373)))),NA(),IF(AND(SUM(C3373:F3373,H3373:K3373)=0,G3373=1),0,INT((SUMPRODUCT(C3373:F3373,COLUMN($A$1:$D$1)-1)+SUMPRODUCT(H3373:K3373,COLUMN($E$1:$H$1)-1))*'Line Follower'!$C$3/SUM(C3373:F3373,H3373:K3373)-'Line Follower'!$C$5)))</f>
        <v>#N/A</v>
      </c>
      <c r="O3373" s="22" t="e">
        <v>#N/A</v>
      </c>
      <c r="P3373" s="4" t="e">
        <f t="shared" si="260"/>
        <v>#N/A</v>
      </c>
      <c r="Q3373" s="4" t="e">
        <f t="shared" si="261"/>
        <v>#N/A</v>
      </c>
      <c r="R3373" s="4" t="e">
        <f>IF(AND(B3373=1,N3373&gt;'Line Follower'!$C$7,SUM(C3373:K3373)&lt;4),1,0)</f>
        <v>#N/A</v>
      </c>
      <c r="S3373" s="4" t="e">
        <f>IF(AND(L3373=1,N3373&lt;'Line Follower'!$C$6,SUM(C3373:K3373)&lt;4),1,0)</f>
        <v>#N/A</v>
      </c>
      <c r="T3373" s="4" t="e">
        <f t="shared" si="262"/>
        <v>#N/A</v>
      </c>
      <c r="U3373" s="5" t="e">
        <f t="shared" si="263"/>
        <v>#N/A</v>
      </c>
      <c r="V3373" s="23" t="e">
        <f t="shared" si="264"/>
        <v>#N/A</v>
      </c>
    </row>
    <row r="3374" spans="2:22" x14ac:dyDescent="0.25">
      <c r="B3374" s="16">
        <v>1</v>
      </c>
      <c r="C3374" s="7">
        <v>1</v>
      </c>
      <c r="D3374" s="8">
        <v>0</v>
      </c>
      <c r="E3374" s="8">
        <v>1</v>
      </c>
      <c r="F3374" s="8">
        <v>0</v>
      </c>
      <c r="G3374" s="8">
        <v>1</v>
      </c>
      <c r="H3374" s="8">
        <v>0</v>
      </c>
      <c r="I3374" s="8">
        <v>0</v>
      </c>
      <c r="J3374" s="8">
        <v>1</v>
      </c>
      <c r="K3374" s="9">
        <v>0</v>
      </c>
      <c r="L3374" s="10">
        <v>1</v>
      </c>
      <c r="M3374" s="6">
        <v>1</v>
      </c>
      <c r="N3374" s="37" t="e" cm="1">
        <f t="array" ref="N3374">IF(OR(ISNUMBER(FIND(Aux!$D$3:$D$9,_xlfn.TEXTJOIN(,,C3374:K3374)))),NA(),IF(AND(SUM(C3374:F3374,H3374:K3374)=0,G3374=1),0,INT((SUMPRODUCT(C3374:F3374,COLUMN($A$1:$D$1)-1)+SUMPRODUCT(H3374:K3374,COLUMN($E$1:$H$1)-1))*'Line Follower'!$C$3/SUM(C3374:F3374,H3374:K3374)-'Line Follower'!$C$5)))</f>
        <v>#N/A</v>
      </c>
      <c r="O3374" s="22" t="e">
        <v>#N/A</v>
      </c>
      <c r="P3374" s="4" t="e">
        <f t="shared" si="260"/>
        <v>#N/A</v>
      </c>
      <c r="Q3374" s="4" t="e">
        <f t="shared" si="261"/>
        <v>#N/A</v>
      </c>
      <c r="R3374" s="4" t="e">
        <f>IF(AND(B3374=1,N3374&gt;'Line Follower'!$C$7,SUM(C3374:K3374)&lt;4),1,0)</f>
        <v>#N/A</v>
      </c>
      <c r="S3374" s="4" t="e">
        <f>IF(AND(L3374=1,N3374&lt;'Line Follower'!$C$6,SUM(C3374:K3374)&lt;4),1,0)</f>
        <v>#N/A</v>
      </c>
      <c r="T3374" s="4" t="e">
        <f t="shared" si="262"/>
        <v>#N/A</v>
      </c>
      <c r="U3374" s="5" t="e">
        <f t="shared" si="263"/>
        <v>#N/A</v>
      </c>
      <c r="V3374" s="23" t="e">
        <f t="shared" si="264"/>
        <v>#N/A</v>
      </c>
    </row>
    <row r="3375" spans="2:22" x14ac:dyDescent="0.25">
      <c r="B3375" s="16">
        <v>0</v>
      </c>
      <c r="C3375" s="7">
        <v>0</v>
      </c>
      <c r="D3375" s="8">
        <v>1</v>
      </c>
      <c r="E3375" s="8">
        <v>1</v>
      </c>
      <c r="F3375" s="8">
        <v>0</v>
      </c>
      <c r="G3375" s="8">
        <v>1</v>
      </c>
      <c r="H3375" s="8">
        <v>0</v>
      </c>
      <c r="I3375" s="8">
        <v>0</v>
      </c>
      <c r="J3375" s="8">
        <v>1</v>
      </c>
      <c r="K3375" s="9">
        <v>0</v>
      </c>
      <c r="L3375" s="10">
        <v>1</v>
      </c>
      <c r="M3375" s="6">
        <v>1</v>
      </c>
      <c r="N3375" s="37" t="e" cm="1">
        <f t="array" ref="N3375">IF(OR(ISNUMBER(FIND(Aux!$D$3:$D$9,_xlfn.TEXTJOIN(,,C3375:K3375)))),NA(),IF(AND(SUM(C3375:F3375,H3375:K3375)=0,G3375=1),0,INT((SUMPRODUCT(C3375:F3375,COLUMN($A$1:$D$1)-1)+SUMPRODUCT(H3375:K3375,COLUMN($E$1:$H$1)-1))*'Line Follower'!$C$3/SUM(C3375:F3375,H3375:K3375)-'Line Follower'!$C$5)))</f>
        <v>#N/A</v>
      </c>
      <c r="O3375" s="22" t="e">
        <v>#N/A</v>
      </c>
      <c r="P3375" s="4" t="e">
        <f t="shared" si="260"/>
        <v>#N/A</v>
      </c>
      <c r="Q3375" s="4" t="e">
        <f t="shared" si="261"/>
        <v>#N/A</v>
      </c>
      <c r="R3375" s="4" t="e">
        <f>IF(AND(B3375=1,N3375&gt;'Line Follower'!$C$7,SUM(C3375:K3375)&lt;4),1,0)</f>
        <v>#N/A</v>
      </c>
      <c r="S3375" s="4" t="e">
        <f>IF(AND(L3375=1,N3375&lt;'Line Follower'!$C$6,SUM(C3375:K3375)&lt;4),1,0)</f>
        <v>#N/A</v>
      </c>
      <c r="T3375" s="4" t="e">
        <f t="shared" si="262"/>
        <v>#N/A</v>
      </c>
      <c r="U3375" s="5" t="e">
        <f t="shared" si="263"/>
        <v>#N/A</v>
      </c>
      <c r="V3375" s="23" t="e">
        <f t="shared" si="264"/>
        <v>#N/A</v>
      </c>
    </row>
    <row r="3376" spans="2:22" x14ac:dyDescent="0.25">
      <c r="B3376" s="16">
        <v>1</v>
      </c>
      <c r="C3376" s="7">
        <v>0</v>
      </c>
      <c r="D3376" s="8">
        <v>1</v>
      </c>
      <c r="E3376" s="8">
        <v>1</v>
      </c>
      <c r="F3376" s="8">
        <v>0</v>
      </c>
      <c r="G3376" s="8">
        <v>1</v>
      </c>
      <c r="H3376" s="8">
        <v>0</v>
      </c>
      <c r="I3376" s="8">
        <v>0</v>
      </c>
      <c r="J3376" s="8">
        <v>1</v>
      </c>
      <c r="K3376" s="9">
        <v>0</v>
      </c>
      <c r="L3376" s="10">
        <v>1</v>
      </c>
      <c r="M3376" s="6">
        <v>1</v>
      </c>
      <c r="N3376" s="37" t="e" cm="1">
        <f t="array" ref="N3376">IF(OR(ISNUMBER(FIND(Aux!$D$3:$D$9,_xlfn.TEXTJOIN(,,C3376:K3376)))),NA(),IF(AND(SUM(C3376:F3376,H3376:K3376)=0,G3376=1),0,INT((SUMPRODUCT(C3376:F3376,COLUMN($A$1:$D$1)-1)+SUMPRODUCT(H3376:K3376,COLUMN($E$1:$H$1)-1))*'Line Follower'!$C$3/SUM(C3376:F3376,H3376:K3376)-'Line Follower'!$C$5)))</f>
        <v>#N/A</v>
      </c>
      <c r="O3376" s="22" t="e">
        <v>#N/A</v>
      </c>
      <c r="P3376" s="4" t="e">
        <f t="shared" si="260"/>
        <v>#N/A</v>
      </c>
      <c r="Q3376" s="4" t="e">
        <f t="shared" si="261"/>
        <v>#N/A</v>
      </c>
      <c r="R3376" s="4" t="e">
        <f>IF(AND(B3376=1,N3376&gt;'Line Follower'!$C$7,SUM(C3376:K3376)&lt;4),1,0)</f>
        <v>#N/A</v>
      </c>
      <c r="S3376" s="4" t="e">
        <f>IF(AND(L3376=1,N3376&lt;'Line Follower'!$C$6,SUM(C3376:K3376)&lt;4),1,0)</f>
        <v>#N/A</v>
      </c>
      <c r="T3376" s="4" t="e">
        <f t="shared" si="262"/>
        <v>#N/A</v>
      </c>
      <c r="U3376" s="5" t="e">
        <f t="shared" si="263"/>
        <v>#N/A</v>
      </c>
      <c r="V3376" s="23" t="e">
        <f t="shared" si="264"/>
        <v>#N/A</v>
      </c>
    </row>
    <row r="3377" spans="2:22" x14ac:dyDescent="0.25">
      <c r="B3377" s="16">
        <v>0</v>
      </c>
      <c r="C3377" s="7">
        <v>1</v>
      </c>
      <c r="D3377" s="8">
        <v>1</v>
      </c>
      <c r="E3377" s="8">
        <v>1</v>
      </c>
      <c r="F3377" s="8">
        <v>0</v>
      </c>
      <c r="G3377" s="8">
        <v>1</v>
      </c>
      <c r="H3377" s="8">
        <v>0</v>
      </c>
      <c r="I3377" s="8">
        <v>0</v>
      </c>
      <c r="J3377" s="8">
        <v>1</v>
      </c>
      <c r="K3377" s="9">
        <v>0</v>
      </c>
      <c r="L3377" s="10">
        <v>1</v>
      </c>
      <c r="M3377" s="6">
        <v>1</v>
      </c>
      <c r="N3377" s="37" t="e" cm="1">
        <f t="array" ref="N3377">IF(OR(ISNUMBER(FIND(Aux!$D$3:$D$9,_xlfn.TEXTJOIN(,,C3377:K3377)))),NA(),IF(AND(SUM(C3377:F3377,H3377:K3377)=0,G3377=1),0,INT((SUMPRODUCT(C3377:F3377,COLUMN($A$1:$D$1)-1)+SUMPRODUCT(H3377:K3377,COLUMN($E$1:$H$1)-1))*'Line Follower'!$C$3/SUM(C3377:F3377,H3377:K3377)-'Line Follower'!$C$5)))</f>
        <v>#N/A</v>
      </c>
      <c r="O3377" s="22" t="e">
        <v>#N/A</v>
      </c>
      <c r="P3377" s="4" t="e">
        <f t="shared" si="260"/>
        <v>#N/A</v>
      </c>
      <c r="Q3377" s="4" t="e">
        <f t="shared" si="261"/>
        <v>#N/A</v>
      </c>
      <c r="R3377" s="4" t="e">
        <f>IF(AND(B3377=1,N3377&gt;'Line Follower'!$C$7,SUM(C3377:K3377)&lt;4),1,0)</f>
        <v>#N/A</v>
      </c>
      <c r="S3377" s="4" t="e">
        <f>IF(AND(L3377=1,N3377&lt;'Line Follower'!$C$6,SUM(C3377:K3377)&lt;4),1,0)</f>
        <v>#N/A</v>
      </c>
      <c r="T3377" s="4" t="e">
        <f t="shared" si="262"/>
        <v>#N/A</v>
      </c>
      <c r="U3377" s="5" t="e">
        <f t="shared" si="263"/>
        <v>#N/A</v>
      </c>
      <c r="V3377" s="23" t="e">
        <f t="shared" si="264"/>
        <v>#N/A</v>
      </c>
    </row>
    <row r="3378" spans="2:22" x14ac:dyDescent="0.25">
      <c r="B3378" s="16">
        <v>1</v>
      </c>
      <c r="C3378" s="7">
        <v>1</v>
      </c>
      <c r="D3378" s="8">
        <v>1</v>
      </c>
      <c r="E3378" s="8">
        <v>1</v>
      </c>
      <c r="F3378" s="8">
        <v>0</v>
      </c>
      <c r="G3378" s="8">
        <v>1</v>
      </c>
      <c r="H3378" s="8">
        <v>0</v>
      </c>
      <c r="I3378" s="8">
        <v>0</v>
      </c>
      <c r="J3378" s="8">
        <v>1</v>
      </c>
      <c r="K3378" s="9">
        <v>0</v>
      </c>
      <c r="L3378" s="10">
        <v>1</v>
      </c>
      <c r="M3378" s="6">
        <v>1</v>
      </c>
      <c r="N3378" s="37" t="e" cm="1">
        <f t="array" ref="N3378">IF(OR(ISNUMBER(FIND(Aux!$D$3:$D$9,_xlfn.TEXTJOIN(,,C3378:K3378)))),NA(),IF(AND(SUM(C3378:F3378,H3378:K3378)=0,G3378=1),0,INT((SUMPRODUCT(C3378:F3378,COLUMN($A$1:$D$1)-1)+SUMPRODUCT(H3378:K3378,COLUMN($E$1:$H$1)-1))*'Line Follower'!$C$3/SUM(C3378:F3378,H3378:K3378)-'Line Follower'!$C$5)))</f>
        <v>#N/A</v>
      </c>
      <c r="O3378" s="22" t="e">
        <v>#N/A</v>
      </c>
      <c r="P3378" s="4" t="e">
        <f t="shared" si="260"/>
        <v>#N/A</v>
      </c>
      <c r="Q3378" s="4" t="e">
        <f t="shared" si="261"/>
        <v>#N/A</v>
      </c>
      <c r="R3378" s="4" t="e">
        <f>IF(AND(B3378=1,N3378&gt;'Line Follower'!$C$7,SUM(C3378:K3378)&lt;4),1,0)</f>
        <v>#N/A</v>
      </c>
      <c r="S3378" s="4" t="e">
        <f>IF(AND(L3378=1,N3378&lt;'Line Follower'!$C$6,SUM(C3378:K3378)&lt;4),1,0)</f>
        <v>#N/A</v>
      </c>
      <c r="T3378" s="4" t="e">
        <f t="shared" si="262"/>
        <v>#N/A</v>
      </c>
      <c r="U3378" s="5" t="e">
        <f t="shared" si="263"/>
        <v>#N/A</v>
      </c>
      <c r="V3378" s="23" t="e">
        <f t="shared" si="264"/>
        <v>#N/A</v>
      </c>
    </row>
    <row r="3379" spans="2:22" x14ac:dyDescent="0.25">
      <c r="B3379" s="16">
        <v>0</v>
      </c>
      <c r="C3379" s="7">
        <v>0</v>
      </c>
      <c r="D3379" s="8">
        <v>0</v>
      </c>
      <c r="E3379" s="8">
        <v>0</v>
      </c>
      <c r="F3379" s="8">
        <v>1</v>
      </c>
      <c r="G3379" s="8">
        <v>1</v>
      </c>
      <c r="H3379" s="8">
        <v>0</v>
      </c>
      <c r="I3379" s="8">
        <v>0</v>
      </c>
      <c r="J3379" s="8">
        <v>1</v>
      </c>
      <c r="K3379" s="9">
        <v>0</v>
      </c>
      <c r="L3379" s="10">
        <v>1</v>
      </c>
      <c r="M3379" s="6">
        <v>1</v>
      </c>
      <c r="N3379" s="37" t="e" cm="1">
        <f t="array" ref="N3379">IF(OR(ISNUMBER(FIND(Aux!$D$3:$D$9,_xlfn.TEXTJOIN(,,C3379:K3379)))),NA(),IF(AND(SUM(C3379:F3379,H3379:K3379)=0,G3379=1),0,INT((SUMPRODUCT(C3379:F3379,COLUMN($A$1:$D$1)-1)+SUMPRODUCT(H3379:K3379,COLUMN($E$1:$H$1)-1))*'Line Follower'!$C$3/SUM(C3379:F3379,H3379:K3379)-'Line Follower'!$C$5)))</f>
        <v>#N/A</v>
      </c>
      <c r="O3379" s="22" t="e">
        <v>#N/A</v>
      </c>
      <c r="P3379" s="4" t="e">
        <f t="shared" si="260"/>
        <v>#N/A</v>
      </c>
      <c r="Q3379" s="4" t="e">
        <f t="shared" si="261"/>
        <v>#N/A</v>
      </c>
      <c r="R3379" s="4" t="e">
        <f>IF(AND(B3379=1,N3379&gt;'Line Follower'!$C$7,SUM(C3379:K3379)&lt;4),1,0)</f>
        <v>#N/A</v>
      </c>
      <c r="S3379" s="4" t="e">
        <f>IF(AND(L3379=1,N3379&lt;'Line Follower'!$C$6,SUM(C3379:K3379)&lt;4),1,0)</f>
        <v>#N/A</v>
      </c>
      <c r="T3379" s="4" t="e">
        <f t="shared" si="262"/>
        <v>#N/A</v>
      </c>
      <c r="U3379" s="5" t="e">
        <f t="shared" si="263"/>
        <v>#N/A</v>
      </c>
      <c r="V3379" s="23" t="e">
        <f t="shared" si="264"/>
        <v>#N/A</v>
      </c>
    </row>
    <row r="3380" spans="2:22" x14ac:dyDescent="0.25">
      <c r="B3380" s="16">
        <v>1</v>
      </c>
      <c r="C3380" s="7">
        <v>0</v>
      </c>
      <c r="D3380" s="8">
        <v>0</v>
      </c>
      <c r="E3380" s="8">
        <v>0</v>
      </c>
      <c r="F3380" s="8">
        <v>1</v>
      </c>
      <c r="G3380" s="8">
        <v>1</v>
      </c>
      <c r="H3380" s="8">
        <v>0</v>
      </c>
      <c r="I3380" s="8">
        <v>0</v>
      </c>
      <c r="J3380" s="8">
        <v>1</v>
      </c>
      <c r="K3380" s="9">
        <v>0</v>
      </c>
      <c r="L3380" s="10">
        <v>1</v>
      </c>
      <c r="M3380" s="6">
        <v>1</v>
      </c>
      <c r="N3380" s="37" t="e" cm="1">
        <f t="array" ref="N3380">IF(OR(ISNUMBER(FIND(Aux!$D$3:$D$9,_xlfn.TEXTJOIN(,,C3380:K3380)))),NA(),IF(AND(SUM(C3380:F3380,H3380:K3380)=0,G3380=1),0,INT((SUMPRODUCT(C3380:F3380,COLUMN($A$1:$D$1)-1)+SUMPRODUCT(H3380:K3380,COLUMN($E$1:$H$1)-1))*'Line Follower'!$C$3/SUM(C3380:F3380,H3380:K3380)-'Line Follower'!$C$5)))</f>
        <v>#N/A</v>
      </c>
      <c r="O3380" s="22" t="e">
        <v>#N/A</v>
      </c>
      <c r="P3380" s="4" t="e">
        <f t="shared" si="260"/>
        <v>#N/A</v>
      </c>
      <c r="Q3380" s="4" t="e">
        <f t="shared" si="261"/>
        <v>#N/A</v>
      </c>
      <c r="R3380" s="4" t="e">
        <f>IF(AND(B3380=1,N3380&gt;'Line Follower'!$C$7,SUM(C3380:K3380)&lt;4),1,0)</f>
        <v>#N/A</v>
      </c>
      <c r="S3380" s="4" t="e">
        <f>IF(AND(L3380=1,N3380&lt;'Line Follower'!$C$6,SUM(C3380:K3380)&lt;4),1,0)</f>
        <v>#N/A</v>
      </c>
      <c r="T3380" s="4" t="e">
        <f t="shared" si="262"/>
        <v>#N/A</v>
      </c>
      <c r="U3380" s="5" t="e">
        <f t="shared" si="263"/>
        <v>#N/A</v>
      </c>
      <c r="V3380" s="23" t="e">
        <f t="shared" si="264"/>
        <v>#N/A</v>
      </c>
    </row>
    <row r="3381" spans="2:22" x14ac:dyDescent="0.25">
      <c r="B3381" s="16">
        <v>0</v>
      </c>
      <c r="C3381" s="7">
        <v>1</v>
      </c>
      <c r="D3381" s="8">
        <v>0</v>
      </c>
      <c r="E3381" s="8">
        <v>0</v>
      </c>
      <c r="F3381" s="8">
        <v>1</v>
      </c>
      <c r="G3381" s="8">
        <v>1</v>
      </c>
      <c r="H3381" s="8">
        <v>0</v>
      </c>
      <c r="I3381" s="8">
        <v>0</v>
      </c>
      <c r="J3381" s="8">
        <v>1</v>
      </c>
      <c r="K3381" s="9">
        <v>0</v>
      </c>
      <c r="L3381" s="10">
        <v>1</v>
      </c>
      <c r="M3381" s="6">
        <v>1</v>
      </c>
      <c r="N3381" s="37" t="e" cm="1">
        <f t="array" ref="N3381">IF(OR(ISNUMBER(FIND(Aux!$D$3:$D$9,_xlfn.TEXTJOIN(,,C3381:K3381)))),NA(),IF(AND(SUM(C3381:F3381,H3381:K3381)=0,G3381=1),0,INT((SUMPRODUCT(C3381:F3381,COLUMN($A$1:$D$1)-1)+SUMPRODUCT(H3381:K3381,COLUMN($E$1:$H$1)-1))*'Line Follower'!$C$3/SUM(C3381:F3381,H3381:K3381)-'Line Follower'!$C$5)))</f>
        <v>#N/A</v>
      </c>
      <c r="O3381" s="22" t="e">
        <v>#N/A</v>
      </c>
      <c r="P3381" s="4" t="e">
        <f t="shared" si="260"/>
        <v>#N/A</v>
      </c>
      <c r="Q3381" s="4" t="e">
        <f t="shared" si="261"/>
        <v>#N/A</v>
      </c>
      <c r="R3381" s="4" t="e">
        <f>IF(AND(B3381=1,N3381&gt;'Line Follower'!$C$7,SUM(C3381:K3381)&lt;4),1,0)</f>
        <v>#N/A</v>
      </c>
      <c r="S3381" s="4" t="e">
        <f>IF(AND(L3381=1,N3381&lt;'Line Follower'!$C$6,SUM(C3381:K3381)&lt;4),1,0)</f>
        <v>#N/A</v>
      </c>
      <c r="T3381" s="4" t="e">
        <f t="shared" si="262"/>
        <v>#N/A</v>
      </c>
      <c r="U3381" s="5" t="e">
        <f t="shared" si="263"/>
        <v>#N/A</v>
      </c>
      <c r="V3381" s="23" t="e">
        <f t="shared" si="264"/>
        <v>#N/A</v>
      </c>
    </row>
    <row r="3382" spans="2:22" x14ac:dyDescent="0.25">
      <c r="B3382" s="16">
        <v>1</v>
      </c>
      <c r="C3382" s="7">
        <v>1</v>
      </c>
      <c r="D3382" s="8">
        <v>0</v>
      </c>
      <c r="E3382" s="8">
        <v>0</v>
      </c>
      <c r="F3382" s="8">
        <v>1</v>
      </c>
      <c r="G3382" s="8">
        <v>1</v>
      </c>
      <c r="H3382" s="8">
        <v>0</v>
      </c>
      <c r="I3382" s="8">
        <v>0</v>
      </c>
      <c r="J3382" s="8">
        <v>1</v>
      </c>
      <c r="K3382" s="9">
        <v>0</v>
      </c>
      <c r="L3382" s="10">
        <v>1</v>
      </c>
      <c r="M3382" s="6">
        <v>1</v>
      </c>
      <c r="N3382" s="37" t="e" cm="1">
        <f t="array" ref="N3382">IF(OR(ISNUMBER(FIND(Aux!$D$3:$D$9,_xlfn.TEXTJOIN(,,C3382:K3382)))),NA(),IF(AND(SUM(C3382:F3382,H3382:K3382)=0,G3382=1),0,INT((SUMPRODUCT(C3382:F3382,COLUMN($A$1:$D$1)-1)+SUMPRODUCT(H3382:K3382,COLUMN($E$1:$H$1)-1))*'Line Follower'!$C$3/SUM(C3382:F3382,H3382:K3382)-'Line Follower'!$C$5)))</f>
        <v>#N/A</v>
      </c>
      <c r="O3382" s="22" t="e">
        <v>#N/A</v>
      </c>
      <c r="P3382" s="4" t="e">
        <f t="shared" si="260"/>
        <v>#N/A</v>
      </c>
      <c r="Q3382" s="4" t="e">
        <f t="shared" si="261"/>
        <v>#N/A</v>
      </c>
      <c r="R3382" s="4" t="e">
        <f>IF(AND(B3382=1,N3382&gt;'Line Follower'!$C$7,SUM(C3382:K3382)&lt;4),1,0)</f>
        <v>#N/A</v>
      </c>
      <c r="S3382" s="4" t="e">
        <f>IF(AND(L3382=1,N3382&lt;'Line Follower'!$C$6,SUM(C3382:K3382)&lt;4),1,0)</f>
        <v>#N/A</v>
      </c>
      <c r="T3382" s="4" t="e">
        <f t="shared" si="262"/>
        <v>#N/A</v>
      </c>
      <c r="U3382" s="5" t="e">
        <f t="shared" si="263"/>
        <v>#N/A</v>
      </c>
      <c r="V3382" s="23" t="e">
        <f t="shared" si="264"/>
        <v>#N/A</v>
      </c>
    </row>
    <row r="3383" spans="2:22" x14ac:dyDescent="0.25">
      <c r="B3383" s="16">
        <v>0</v>
      </c>
      <c r="C3383" s="7">
        <v>0</v>
      </c>
      <c r="D3383" s="8">
        <v>1</v>
      </c>
      <c r="E3383" s="8">
        <v>0</v>
      </c>
      <c r="F3383" s="8">
        <v>1</v>
      </c>
      <c r="G3383" s="8">
        <v>1</v>
      </c>
      <c r="H3383" s="8">
        <v>0</v>
      </c>
      <c r="I3383" s="8">
        <v>0</v>
      </c>
      <c r="J3383" s="8">
        <v>1</v>
      </c>
      <c r="K3383" s="9">
        <v>0</v>
      </c>
      <c r="L3383" s="10">
        <v>1</v>
      </c>
      <c r="M3383" s="6">
        <v>1</v>
      </c>
      <c r="N3383" s="37" t="e" cm="1">
        <f t="array" ref="N3383">IF(OR(ISNUMBER(FIND(Aux!$D$3:$D$9,_xlfn.TEXTJOIN(,,C3383:K3383)))),NA(),IF(AND(SUM(C3383:F3383,H3383:K3383)=0,G3383=1),0,INT((SUMPRODUCT(C3383:F3383,COLUMN($A$1:$D$1)-1)+SUMPRODUCT(H3383:K3383,COLUMN($E$1:$H$1)-1))*'Line Follower'!$C$3/SUM(C3383:F3383,H3383:K3383)-'Line Follower'!$C$5)))</f>
        <v>#N/A</v>
      </c>
      <c r="O3383" s="22" t="e">
        <v>#N/A</v>
      </c>
      <c r="P3383" s="4" t="e">
        <f t="shared" si="260"/>
        <v>#N/A</v>
      </c>
      <c r="Q3383" s="4" t="e">
        <f t="shared" si="261"/>
        <v>#N/A</v>
      </c>
      <c r="R3383" s="4" t="e">
        <f>IF(AND(B3383=1,N3383&gt;'Line Follower'!$C$7,SUM(C3383:K3383)&lt;4),1,0)</f>
        <v>#N/A</v>
      </c>
      <c r="S3383" s="4" t="e">
        <f>IF(AND(L3383=1,N3383&lt;'Line Follower'!$C$6,SUM(C3383:K3383)&lt;4),1,0)</f>
        <v>#N/A</v>
      </c>
      <c r="T3383" s="4" t="e">
        <f t="shared" si="262"/>
        <v>#N/A</v>
      </c>
      <c r="U3383" s="5" t="e">
        <f t="shared" si="263"/>
        <v>#N/A</v>
      </c>
      <c r="V3383" s="23" t="e">
        <f t="shared" si="264"/>
        <v>#N/A</v>
      </c>
    </row>
    <row r="3384" spans="2:22" x14ac:dyDescent="0.25">
      <c r="B3384" s="16">
        <v>1</v>
      </c>
      <c r="C3384" s="7">
        <v>0</v>
      </c>
      <c r="D3384" s="8">
        <v>1</v>
      </c>
      <c r="E3384" s="8">
        <v>0</v>
      </c>
      <c r="F3384" s="8">
        <v>1</v>
      </c>
      <c r="G3384" s="8">
        <v>1</v>
      </c>
      <c r="H3384" s="8">
        <v>0</v>
      </c>
      <c r="I3384" s="8">
        <v>0</v>
      </c>
      <c r="J3384" s="8">
        <v>1</v>
      </c>
      <c r="K3384" s="9">
        <v>0</v>
      </c>
      <c r="L3384" s="10">
        <v>1</v>
      </c>
      <c r="M3384" s="6">
        <v>1</v>
      </c>
      <c r="N3384" s="37" t="e" cm="1">
        <f t="array" ref="N3384">IF(OR(ISNUMBER(FIND(Aux!$D$3:$D$9,_xlfn.TEXTJOIN(,,C3384:K3384)))),NA(),IF(AND(SUM(C3384:F3384,H3384:K3384)=0,G3384=1),0,INT((SUMPRODUCT(C3384:F3384,COLUMN($A$1:$D$1)-1)+SUMPRODUCT(H3384:K3384,COLUMN($E$1:$H$1)-1))*'Line Follower'!$C$3/SUM(C3384:F3384,H3384:K3384)-'Line Follower'!$C$5)))</f>
        <v>#N/A</v>
      </c>
      <c r="O3384" s="22" t="e">
        <v>#N/A</v>
      </c>
      <c r="P3384" s="4" t="e">
        <f t="shared" si="260"/>
        <v>#N/A</v>
      </c>
      <c r="Q3384" s="4" t="e">
        <f t="shared" si="261"/>
        <v>#N/A</v>
      </c>
      <c r="R3384" s="4" t="e">
        <f>IF(AND(B3384=1,N3384&gt;'Line Follower'!$C$7,SUM(C3384:K3384)&lt;4),1,0)</f>
        <v>#N/A</v>
      </c>
      <c r="S3384" s="4" t="e">
        <f>IF(AND(L3384=1,N3384&lt;'Line Follower'!$C$6,SUM(C3384:K3384)&lt;4),1,0)</f>
        <v>#N/A</v>
      </c>
      <c r="T3384" s="4" t="e">
        <f t="shared" si="262"/>
        <v>#N/A</v>
      </c>
      <c r="U3384" s="5" t="e">
        <f t="shared" si="263"/>
        <v>#N/A</v>
      </c>
      <c r="V3384" s="23" t="e">
        <f t="shared" si="264"/>
        <v>#N/A</v>
      </c>
    </row>
    <row r="3385" spans="2:22" x14ac:dyDescent="0.25">
      <c r="B3385" s="16">
        <v>0</v>
      </c>
      <c r="C3385" s="7">
        <v>1</v>
      </c>
      <c r="D3385" s="8">
        <v>1</v>
      </c>
      <c r="E3385" s="8">
        <v>0</v>
      </c>
      <c r="F3385" s="8">
        <v>1</v>
      </c>
      <c r="G3385" s="8">
        <v>1</v>
      </c>
      <c r="H3385" s="8">
        <v>0</v>
      </c>
      <c r="I3385" s="8">
        <v>0</v>
      </c>
      <c r="J3385" s="8">
        <v>1</v>
      </c>
      <c r="K3385" s="9">
        <v>0</v>
      </c>
      <c r="L3385" s="10">
        <v>1</v>
      </c>
      <c r="M3385" s="6">
        <v>1</v>
      </c>
      <c r="N3385" s="37" t="e" cm="1">
        <f t="array" ref="N3385">IF(OR(ISNUMBER(FIND(Aux!$D$3:$D$9,_xlfn.TEXTJOIN(,,C3385:K3385)))),NA(),IF(AND(SUM(C3385:F3385,H3385:K3385)=0,G3385=1),0,INT((SUMPRODUCT(C3385:F3385,COLUMN($A$1:$D$1)-1)+SUMPRODUCT(H3385:K3385,COLUMN($E$1:$H$1)-1))*'Line Follower'!$C$3/SUM(C3385:F3385,H3385:K3385)-'Line Follower'!$C$5)))</f>
        <v>#N/A</v>
      </c>
      <c r="O3385" s="22" t="e">
        <v>#N/A</v>
      </c>
      <c r="P3385" s="4" t="e">
        <f t="shared" si="260"/>
        <v>#N/A</v>
      </c>
      <c r="Q3385" s="4" t="e">
        <f t="shared" si="261"/>
        <v>#N/A</v>
      </c>
      <c r="R3385" s="4" t="e">
        <f>IF(AND(B3385=1,N3385&gt;'Line Follower'!$C$7,SUM(C3385:K3385)&lt;4),1,0)</f>
        <v>#N/A</v>
      </c>
      <c r="S3385" s="4" t="e">
        <f>IF(AND(L3385=1,N3385&lt;'Line Follower'!$C$6,SUM(C3385:K3385)&lt;4),1,0)</f>
        <v>#N/A</v>
      </c>
      <c r="T3385" s="4" t="e">
        <f t="shared" si="262"/>
        <v>#N/A</v>
      </c>
      <c r="U3385" s="5" t="e">
        <f t="shared" si="263"/>
        <v>#N/A</v>
      </c>
      <c r="V3385" s="23" t="e">
        <f t="shared" si="264"/>
        <v>#N/A</v>
      </c>
    </row>
    <row r="3386" spans="2:22" x14ac:dyDescent="0.25">
      <c r="B3386" s="16">
        <v>1</v>
      </c>
      <c r="C3386" s="7">
        <v>1</v>
      </c>
      <c r="D3386" s="8">
        <v>1</v>
      </c>
      <c r="E3386" s="8">
        <v>0</v>
      </c>
      <c r="F3386" s="8">
        <v>1</v>
      </c>
      <c r="G3386" s="8">
        <v>1</v>
      </c>
      <c r="H3386" s="8">
        <v>0</v>
      </c>
      <c r="I3386" s="8">
        <v>0</v>
      </c>
      <c r="J3386" s="8">
        <v>1</v>
      </c>
      <c r="K3386" s="9">
        <v>0</v>
      </c>
      <c r="L3386" s="10">
        <v>1</v>
      </c>
      <c r="M3386" s="6">
        <v>1</v>
      </c>
      <c r="N3386" s="37" t="e" cm="1">
        <f t="array" ref="N3386">IF(OR(ISNUMBER(FIND(Aux!$D$3:$D$9,_xlfn.TEXTJOIN(,,C3386:K3386)))),NA(),IF(AND(SUM(C3386:F3386,H3386:K3386)=0,G3386=1),0,INT((SUMPRODUCT(C3386:F3386,COLUMN($A$1:$D$1)-1)+SUMPRODUCT(H3386:K3386,COLUMN($E$1:$H$1)-1))*'Line Follower'!$C$3/SUM(C3386:F3386,H3386:K3386)-'Line Follower'!$C$5)))</f>
        <v>#N/A</v>
      </c>
      <c r="O3386" s="22" t="e">
        <v>#N/A</v>
      </c>
      <c r="P3386" s="4" t="e">
        <f t="shared" si="260"/>
        <v>#N/A</v>
      </c>
      <c r="Q3386" s="4" t="e">
        <f t="shared" si="261"/>
        <v>#N/A</v>
      </c>
      <c r="R3386" s="4" t="e">
        <f>IF(AND(B3386=1,N3386&gt;'Line Follower'!$C$7,SUM(C3386:K3386)&lt;4),1,0)</f>
        <v>#N/A</v>
      </c>
      <c r="S3386" s="4" t="e">
        <f>IF(AND(L3386=1,N3386&lt;'Line Follower'!$C$6,SUM(C3386:K3386)&lt;4),1,0)</f>
        <v>#N/A</v>
      </c>
      <c r="T3386" s="4" t="e">
        <f t="shared" si="262"/>
        <v>#N/A</v>
      </c>
      <c r="U3386" s="5" t="e">
        <f t="shared" si="263"/>
        <v>#N/A</v>
      </c>
      <c r="V3386" s="23" t="e">
        <f t="shared" si="264"/>
        <v>#N/A</v>
      </c>
    </row>
    <row r="3387" spans="2:22" x14ac:dyDescent="0.25">
      <c r="B3387" s="16">
        <v>0</v>
      </c>
      <c r="C3387" s="7">
        <v>0</v>
      </c>
      <c r="D3387" s="8">
        <v>0</v>
      </c>
      <c r="E3387" s="8">
        <v>1</v>
      </c>
      <c r="F3387" s="8">
        <v>1</v>
      </c>
      <c r="G3387" s="8">
        <v>1</v>
      </c>
      <c r="H3387" s="8">
        <v>0</v>
      </c>
      <c r="I3387" s="8">
        <v>0</v>
      </c>
      <c r="J3387" s="8">
        <v>1</v>
      </c>
      <c r="K3387" s="9">
        <v>0</v>
      </c>
      <c r="L3387" s="10">
        <v>1</v>
      </c>
      <c r="M3387" s="6">
        <v>1</v>
      </c>
      <c r="N3387" s="37" t="e" cm="1">
        <f t="array" ref="N3387">IF(OR(ISNUMBER(FIND(Aux!$D$3:$D$9,_xlfn.TEXTJOIN(,,C3387:K3387)))),NA(),IF(AND(SUM(C3387:F3387,H3387:K3387)=0,G3387=1),0,INT((SUMPRODUCT(C3387:F3387,COLUMN($A$1:$D$1)-1)+SUMPRODUCT(H3387:K3387,COLUMN($E$1:$H$1)-1))*'Line Follower'!$C$3/SUM(C3387:F3387,H3387:K3387)-'Line Follower'!$C$5)))</f>
        <v>#N/A</v>
      </c>
      <c r="O3387" s="22" t="e">
        <v>#N/A</v>
      </c>
      <c r="P3387" s="4" t="e">
        <f t="shared" si="260"/>
        <v>#N/A</v>
      </c>
      <c r="Q3387" s="4" t="e">
        <f t="shared" si="261"/>
        <v>#N/A</v>
      </c>
      <c r="R3387" s="4" t="e">
        <f>IF(AND(B3387=1,N3387&gt;'Line Follower'!$C$7,SUM(C3387:K3387)&lt;4),1,0)</f>
        <v>#N/A</v>
      </c>
      <c r="S3387" s="4" t="e">
        <f>IF(AND(L3387=1,N3387&lt;'Line Follower'!$C$6,SUM(C3387:K3387)&lt;4),1,0)</f>
        <v>#N/A</v>
      </c>
      <c r="T3387" s="4" t="e">
        <f t="shared" si="262"/>
        <v>#N/A</v>
      </c>
      <c r="U3387" s="5" t="e">
        <f t="shared" si="263"/>
        <v>#N/A</v>
      </c>
      <c r="V3387" s="23" t="e">
        <f t="shared" si="264"/>
        <v>#N/A</v>
      </c>
    </row>
    <row r="3388" spans="2:22" x14ac:dyDescent="0.25">
      <c r="B3388" s="16">
        <v>1</v>
      </c>
      <c r="C3388" s="7">
        <v>0</v>
      </c>
      <c r="D3388" s="8">
        <v>0</v>
      </c>
      <c r="E3388" s="8">
        <v>1</v>
      </c>
      <c r="F3388" s="8">
        <v>1</v>
      </c>
      <c r="G3388" s="8">
        <v>1</v>
      </c>
      <c r="H3388" s="8">
        <v>0</v>
      </c>
      <c r="I3388" s="8">
        <v>0</v>
      </c>
      <c r="J3388" s="8">
        <v>1</v>
      </c>
      <c r="K3388" s="9">
        <v>0</v>
      </c>
      <c r="L3388" s="10">
        <v>1</v>
      </c>
      <c r="M3388" s="6">
        <v>1</v>
      </c>
      <c r="N3388" s="37" t="e" cm="1">
        <f t="array" ref="N3388">IF(OR(ISNUMBER(FIND(Aux!$D$3:$D$9,_xlfn.TEXTJOIN(,,C3388:K3388)))),NA(),IF(AND(SUM(C3388:F3388,H3388:K3388)=0,G3388=1),0,INT((SUMPRODUCT(C3388:F3388,COLUMN($A$1:$D$1)-1)+SUMPRODUCT(H3388:K3388,COLUMN($E$1:$H$1)-1))*'Line Follower'!$C$3/SUM(C3388:F3388,H3388:K3388)-'Line Follower'!$C$5)))</f>
        <v>#N/A</v>
      </c>
      <c r="O3388" s="22" t="e">
        <v>#N/A</v>
      </c>
      <c r="P3388" s="4" t="e">
        <f t="shared" si="260"/>
        <v>#N/A</v>
      </c>
      <c r="Q3388" s="4" t="e">
        <f t="shared" si="261"/>
        <v>#N/A</v>
      </c>
      <c r="R3388" s="4" t="e">
        <f>IF(AND(B3388=1,N3388&gt;'Line Follower'!$C$7,SUM(C3388:K3388)&lt;4),1,0)</f>
        <v>#N/A</v>
      </c>
      <c r="S3388" s="4" t="e">
        <f>IF(AND(L3388=1,N3388&lt;'Line Follower'!$C$6,SUM(C3388:K3388)&lt;4),1,0)</f>
        <v>#N/A</v>
      </c>
      <c r="T3388" s="4" t="e">
        <f t="shared" si="262"/>
        <v>#N/A</v>
      </c>
      <c r="U3388" s="5" t="e">
        <f t="shared" si="263"/>
        <v>#N/A</v>
      </c>
      <c r="V3388" s="23" t="e">
        <f t="shared" si="264"/>
        <v>#N/A</v>
      </c>
    </row>
    <row r="3389" spans="2:22" x14ac:dyDescent="0.25">
      <c r="B3389" s="16">
        <v>0</v>
      </c>
      <c r="C3389" s="7">
        <v>1</v>
      </c>
      <c r="D3389" s="8">
        <v>0</v>
      </c>
      <c r="E3389" s="8">
        <v>1</v>
      </c>
      <c r="F3389" s="8">
        <v>1</v>
      </c>
      <c r="G3389" s="8">
        <v>1</v>
      </c>
      <c r="H3389" s="8">
        <v>0</v>
      </c>
      <c r="I3389" s="8">
        <v>0</v>
      </c>
      <c r="J3389" s="8">
        <v>1</v>
      </c>
      <c r="K3389" s="9">
        <v>0</v>
      </c>
      <c r="L3389" s="10">
        <v>1</v>
      </c>
      <c r="M3389" s="6">
        <v>1</v>
      </c>
      <c r="N3389" s="37" t="e" cm="1">
        <f t="array" ref="N3389">IF(OR(ISNUMBER(FIND(Aux!$D$3:$D$9,_xlfn.TEXTJOIN(,,C3389:K3389)))),NA(),IF(AND(SUM(C3389:F3389,H3389:K3389)=0,G3389=1),0,INT((SUMPRODUCT(C3389:F3389,COLUMN($A$1:$D$1)-1)+SUMPRODUCT(H3389:K3389,COLUMN($E$1:$H$1)-1))*'Line Follower'!$C$3/SUM(C3389:F3389,H3389:K3389)-'Line Follower'!$C$5)))</f>
        <v>#N/A</v>
      </c>
      <c r="O3389" s="22" t="e">
        <v>#N/A</v>
      </c>
      <c r="P3389" s="4" t="e">
        <f t="shared" si="260"/>
        <v>#N/A</v>
      </c>
      <c r="Q3389" s="4" t="e">
        <f t="shared" si="261"/>
        <v>#N/A</v>
      </c>
      <c r="R3389" s="4" t="e">
        <f>IF(AND(B3389=1,N3389&gt;'Line Follower'!$C$7,SUM(C3389:K3389)&lt;4),1,0)</f>
        <v>#N/A</v>
      </c>
      <c r="S3389" s="4" t="e">
        <f>IF(AND(L3389=1,N3389&lt;'Line Follower'!$C$6,SUM(C3389:K3389)&lt;4),1,0)</f>
        <v>#N/A</v>
      </c>
      <c r="T3389" s="4" t="e">
        <f t="shared" si="262"/>
        <v>#N/A</v>
      </c>
      <c r="U3389" s="5" t="e">
        <f t="shared" si="263"/>
        <v>#N/A</v>
      </c>
      <c r="V3389" s="23" t="e">
        <f t="shared" si="264"/>
        <v>#N/A</v>
      </c>
    </row>
    <row r="3390" spans="2:22" x14ac:dyDescent="0.25">
      <c r="B3390" s="16">
        <v>1</v>
      </c>
      <c r="C3390" s="7">
        <v>1</v>
      </c>
      <c r="D3390" s="8">
        <v>0</v>
      </c>
      <c r="E3390" s="8">
        <v>1</v>
      </c>
      <c r="F3390" s="8">
        <v>1</v>
      </c>
      <c r="G3390" s="8">
        <v>1</v>
      </c>
      <c r="H3390" s="8">
        <v>0</v>
      </c>
      <c r="I3390" s="8">
        <v>0</v>
      </c>
      <c r="J3390" s="8">
        <v>1</v>
      </c>
      <c r="K3390" s="9">
        <v>0</v>
      </c>
      <c r="L3390" s="10">
        <v>1</v>
      </c>
      <c r="M3390" s="6">
        <v>1</v>
      </c>
      <c r="N3390" s="37" t="e" cm="1">
        <f t="array" ref="N3390">IF(OR(ISNUMBER(FIND(Aux!$D$3:$D$9,_xlfn.TEXTJOIN(,,C3390:K3390)))),NA(),IF(AND(SUM(C3390:F3390,H3390:K3390)=0,G3390=1),0,INT((SUMPRODUCT(C3390:F3390,COLUMN($A$1:$D$1)-1)+SUMPRODUCT(H3390:K3390,COLUMN($E$1:$H$1)-1))*'Line Follower'!$C$3/SUM(C3390:F3390,H3390:K3390)-'Line Follower'!$C$5)))</f>
        <v>#N/A</v>
      </c>
      <c r="O3390" s="22" t="e">
        <v>#N/A</v>
      </c>
      <c r="P3390" s="4" t="e">
        <f t="shared" si="260"/>
        <v>#N/A</v>
      </c>
      <c r="Q3390" s="4" t="e">
        <f t="shared" si="261"/>
        <v>#N/A</v>
      </c>
      <c r="R3390" s="4" t="e">
        <f>IF(AND(B3390=1,N3390&gt;'Line Follower'!$C$7,SUM(C3390:K3390)&lt;4),1,0)</f>
        <v>#N/A</v>
      </c>
      <c r="S3390" s="4" t="e">
        <f>IF(AND(L3390=1,N3390&lt;'Line Follower'!$C$6,SUM(C3390:K3390)&lt;4),1,0)</f>
        <v>#N/A</v>
      </c>
      <c r="T3390" s="4" t="e">
        <f t="shared" si="262"/>
        <v>#N/A</v>
      </c>
      <c r="U3390" s="5" t="e">
        <f t="shared" si="263"/>
        <v>#N/A</v>
      </c>
      <c r="V3390" s="23" t="e">
        <f t="shared" si="264"/>
        <v>#N/A</v>
      </c>
    </row>
    <row r="3391" spans="2:22" x14ac:dyDescent="0.25">
      <c r="B3391" s="16">
        <v>0</v>
      </c>
      <c r="C3391" s="7">
        <v>0</v>
      </c>
      <c r="D3391" s="8">
        <v>1</v>
      </c>
      <c r="E3391" s="8">
        <v>1</v>
      </c>
      <c r="F3391" s="8">
        <v>1</v>
      </c>
      <c r="G3391" s="8">
        <v>1</v>
      </c>
      <c r="H3391" s="8">
        <v>0</v>
      </c>
      <c r="I3391" s="8">
        <v>0</v>
      </c>
      <c r="J3391" s="8">
        <v>1</v>
      </c>
      <c r="K3391" s="9">
        <v>0</v>
      </c>
      <c r="L3391" s="10">
        <v>1</v>
      </c>
      <c r="M3391" s="6">
        <v>1</v>
      </c>
      <c r="N3391" s="37" t="e" cm="1">
        <f t="array" ref="N3391">IF(OR(ISNUMBER(FIND(Aux!$D$3:$D$9,_xlfn.TEXTJOIN(,,C3391:K3391)))),NA(),IF(AND(SUM(C3391:F3391,H3391:K3391)=0,G3391=1),0,INT((SUMPRODUCT(C3391:F3391,COLUMN($A$1:$D$1)-1)+SUMPRODUCT(H3391:K3391,COLUMN($E$1:$H$1)-1))*'Line Follower'!$C$3/SUM(C3391:F3391,H3391:K3391)-'Line Follower'!$C$5)))</f>
        <v>#N/A</v>
      </c>
      <c r="O3391" s="22" t="e">
        <v>#N/A</v>
      </c>
      <c r="P3391" s="4" t="e">
        <f t="shared" si="260"/>
        <v>#N/A</v>
      </c>
      <c r="Q3391" s="4" t="e">
        <f t="shared" si="261"/>
        <v>#N/A</v>
      </c>
      <c r="R3391" s="4" t="e">
        <f>IF(AND(B3391=1,N3391&gt;'Line Follower'!$C$7,SUM(C3391:K3391)&lt;4),1,0)</f>
        <v>#N/A</v>
      </c>
      <c r="S3391" s="4" t="e">
        <f>IF(AND(L3391=1,N3391&lt;'Line Follower'!$C$6,SUM(C3391:K3391)&lt;4),1,0)</f>
        <v>#N/A</v>
      </c>
      <c r="T3391" s="4" t="e">
        <f t="shared" si="262"/>
        <v>#N/A</v>
      </c>
      <c r="U3391" s="5" t="e">
        <f t="shared" si="263"/>
        <v>#N/A</v>
      </c>
      <c r="V3391" s="23" t="e">
        <f t="shared" si="264"/>
        <v>#N/A</v>
      </c>
    </row>
    <row r="3392" spans="2:22" x14ac:dyDescent="0.25">
      <c r="B3392" s="16">
        <v>1</v>
      </c>
      <c r="C3392" s="7">
        <v>0</v>
      </c>
      <c r="D3392" s="8">
        <v>1</v>
      </c>
      <c r="E3392" s="8">
        <v>1</v>
      </c>
      <c r="F3392" s="8">
        <v>1</v>
      </c>
      <c r="G3392" s="8">
        <v>1</v>
      </c>
      <c r="H3392" s="8">
        <v>0</v>
      </c>
      <c r="I3392" s="8">
        <v>0</v>
      </c>
      <c r="J3392" s="8">
        <v>1</v>
      </c>
      <c r="K3392" s="9">
        <v>0</v>
      </c>
      <c r="L3392" s="10">
        <v>1</v>
      </c>
      <c r="M3392" s="6">
        <v>1</v>
      </c>
      <c r="N3392" s="37" t="e" cm="1">
        <f t="array" ref="N3392">IF(OR(ISNUMBER(FIND(Aux!$D$3:$D$9,_xlfn.TEXTJOIN(,,C3392:K3392)))),NA(),IF(AND(SUM(C3392:F3392,H3392:K3392)=0,G3392=1),0,INT((SUMPRODUCT(C3392:F3392,COLUMN($A$1:$D$1)-1)+SUMPRODUCT(H3392:K3392,COLUMN($E$1:$H$1)-1))*'Line Follower'!$C$3/SUM(C3392:F3392,H3392:K3392)-'Line Follower'!$C$5)))</f>
        <v>#N/A</v>
      </c>
      <c r="O3392" s="22" t="e">
        <v>#N/A</v>
      </c>
      <c r="P3392" s="4" t="e">
        <f t="shared" si="260"/>
        <v>#N/A</v>
      </c>
      <c r="Q3392" s="4" t="e">
        <f t="shared" si="261"/>
        <v>#N/A</v>
      </c>
      <c r="R3392" s="4" t="e">
        <f>IF(AND(B3392=1,N3392&gt;'Line Follower'!$C$7,SUM(C3392:K3392)&lt;4),1,0)</f>
        <v>#N/A</v>
      </c>
      <c r="S3392" s="4" t="e">
        <f>IF(AND(L3392=1,N3392&lt;'Line Follower'!$C$6,SUM(C3392:K3392)&lt;4),1,0)</f>
        <v>#N/A</v>
      </c>
      <c r="T3392" s="4" t="e">
        <f t="shared" si="262"/>
        <v>#N/A</v>
      </c>
      <c r="U3392" s="5" t="e">
        <f t="shared" si="263"/>
        <v>#N/A</v>
      </c>
      <c r="V3392" s="23" t="e">
        <f t="shared" si="264"/>
        <v>#N/A</v>
      </c>
    </row>
    <row r="3393" spans="2:22" x14ac:dyDescent="0.25">
      <c r="B3393" s="16">
        <v>0</v>
      </c>
      <c r="C3393" s="7">
        <v>1</v>
      </c>
      <c r="D3393" s="8">
        <v>1</v>
      </c>
      <c r="E3393" s="8">
        <v>1</v>
      </c>
      <c r="F3393" s="8">
        <v>1</v>
      </c>
      <c r="G3393" s="8">
        <v>1</v>
      </c>
      <c r="H3393" s="8">
        <v>0</v>
      </c>
      <c r="I3393" s="8">
        <v>0</v>
      </c>
      <c r="J3393" s="8">
        <v>1</v>
      </c>
      <c r="K3393" s="9">
        <v>0</v>
      </c>
      <c r="L3393" s="10">
        <v>1</v>
      </c>
      <c r="M3393" s="6">
        <v>1</v>
      </c>
      <c r="N3393" s="37" t="e" cm="1">
        <f t="array" ref="N3393">IF(OR(ISNUMBER(FIND(Aux!$D$3:$D$9,_xlfn.TEXTJOIN(,,C3393:K3393)))),NA(),IF(AND(SUM(C3393:F3393,H3393:K3393)=0,G3393=1),0,INT((SUMPRODUCT(C3393:F3393,COLUMN($A$1:$D$1)-1)+SUMPRODUCT(H3393:K3393,COLUMN($E$1:$H$1)-1))*'Line Follower'!$C$3/SUM(C3393:F3393,H3393:K3393)-'Line Follower'!$C$5)))</f>
        <v>#N/A</v>
      </c>
      <c r="O3393" s="22" t="e">
        <v>#N/A</v>
      </c>
      <c r="P3393" s="4" t="e">
        <f t="shared" si="260"/>
        <v>#N/A</v>
      </c>
      <c r="Q3393" s="4" t="e">
        <f t="shared" si="261"/>
        <v>#N/A</v>
      </c>
      <c r="R3393" s="4" t="e">
        <f>IF(AND(B3393=1,N3393&gt;'Line Follower'!$C$7,SUM(C3393:K3393)&lt;4),1,0)</f>
        <v>#N/A</v>
      </c>
      <c r="S3393" s="4" t="e">
        <f>IF(AND(L3393=1,N3393&lt;'Line Follower'!$C$6,SUM(C3393:K3393)&lt;4),1,0)</f>
        <v>#N/A</v>
      </c>
      <c r="T3393" s="4" t="e">
        <f t="shared" si="262"/>
        <v>#N/A</v>
      </c>
      <c r="U3393" s="5" t="e">
        <f t="shared" si="263"/>
        <v>#N/A</v>
      </c>
      <c r="V3393" s="23" t="e">
        <f t="shared" si="264"/>
        <v>#N/A</v>
      </c>
    </row>
    <row r="3394" spans="2:22" x14ac:dyDescent="0.25">
      <c r="B3394" s="16">
        <v>1</v>
      </c>
      <c r="C3394" s="7">
        <v>1</v>
      </c>
      <c r="D3394" s="8">
        <v>1</v>
      </c>
      <c r="E3394" s="8">
        <v>1</v>
      </c>
      <c r="F3394" s="8">
        <v>1</v>
      </c>
      <c r="G3394" s="8">
        <v>1</v>
      </c>
      <c r="H3394" s="8">
        <v>0</v>
      </c>
      <c r="I3394" s="8">
        <v>0</v>
      </c>
      <c r="J3394" s="8">
        <v>1</v>
      </c>
      <c r="K3394" s="9">
        <v>0</v>
      </c>
      <c r="L3394" s="10">
        <v>1</v>
      </c>
      <c r="M3394" s="6">
        <v>1</v>
      </c>
      <c r="N3394" s="37" t="e" cm="1">
        <f t="array" ref="N3394">IF(OR(ISNUMBER(FIND(Aux!$D$3:$D$9,_xlfn.TEXTJOIN(,,C3394:K3394)))),NA(),IF(AND(SUM(C3394:F3394,H3394:K3394)=0,G3394=1),0,INT((SUMPRODUCT(C3394:F3394,COLUMN($A$1:$D$1)-1)+SUMPRODUCT(H3394:K3394,COLUMN($E$1:$H$1)-1))*'Line Follower'!$C$3/SUM(C3394:F3394,H3394:K3394)-'Line Follower'!$C$5)))</f>
        <v>#N/A</v>
      </c>
      <c r="O3394" s="22" t="e">
        <v>#N/A</v>
      </c>
      <c r="P3394" s="4" t="e">
        <f t="shared" si="260"/>
        <v>#N/A</v>
      </c>
      <c r="Q3394" s="4" t="e">
        <f t="shared" si="261"/>
        <v>#N/A</v>
      </c>
      <c r="R3394" s="4" t="e">
        <f>IF(AND(B3394=1,N3394&gt;'Line Follower'!$C$7,SUM(C3394:K3394)&lt;4),1,0)</f>
        <v>#N/A</v>
      </c>
      <c r="S3394" s="4" t="e">
        <f>IF(AND(L3394=1,N3394&lt;'Line Follower'!$C$6,SUM(C3394:K3394)&lt;4),1,0)</f>
        <v>#N/A</v>
      </c>
      <c r="T3394" s="4" t="e">
        <f t="shared" si="262"/>
        <v>#N/A</v>
      </c>
      <c r="U3394" s="5" t="e">
        <f t="shared" si="263"/>
        <v>#N/A</v>
      </c>
      <c r="V3394" s="23" t="e">
        <f t="shared" si="264"/>
        <v>#N/A</v>
      </c>
    </row>
    <row r="3395" spans="2:22" x14ac:dyDescent="0.25">
      <c r="B3395" s="16">
        <v>0</v>
      </c>
      <c r="C3395" s="7">
        <v>0</v>
      </c>
      <c r="D3395" s="8">
        <v>0</v>
      </c>
      <c r="E3395" s="8">
        <v>0</v>
      </c>
      <c r="F3395" s="8">
        <v>0</v>
      </c>
      <c r="G3395" s="8">
        <v>0</v>
      </c>
      <c r="H3395" s="8">
        <v>1</v>
      </c>
      <c r="I3395" s="8">
        <v>0</v>
      </c>
      <c r="J3395" s="8">
        <v>1</v>
      </c>
      <c r="K3395" s="9">
        <v>0</v>
      </c>
      <c r="L3395" s="10">
        <v>1</v>
      </c>
      <c r="M3395" s="6">
        <v>1</v>
      </c>
      <c r="N3395" s="37" t="e" cm="1">
        <f t="array" ref="N3395">IF(OR(ISNUMBER(FIND(Aux!$D$3:$D$9,_xlfn.TEXTJOIN(,,C3395:K3395)))),NA(),IF(AND(SUM(C3395:F3395,H3395:K3395)=0,G3395=1),0,INT((SUMPRODUCT(C3395:F3395,COLUMN($A$1:$D$1)-1)+SUMPRODUCT(H3395:K3395,COLUMN($E$1:$H$1)-1))*'Line Follower'!$C$3/SUM(C3395:F3395,H3395:K3395)-'Line Follower'!$C$5)))</f>
        <v>#N/A</v>
      </c>
      <c r="O3395" s="22" t="e">
        <v>#N/A</v>
      </c>
      <c r="P3395" s="4" t="e">
        <f t="shared" ref="P3395:P3458" si="265">IF(AND(N3395=0,G3395=1,M3395=1),1,0)</f>
        <v>#N/A</v>
      </c>
      <c r="Q3395" s="4" t="e">
        <f t="shared" ref="Q3395:Q3458" si="266">IF(ISERROR(N3395),N3395,IF(SUM(C3395:K3395)&gt;=4,1,0))</f>
        <v>#N/A</v>
      </c>
      <c r="R3395" s="4" t="e">
        <f>IF(AND(B3395=1,N3395&gt;'Line Follower'!$C$7,SUM(C3395:K3395)&lt;4),1,0)</f>
        <v>#N/A</v>
      </c>
      <c r="S3395" s="4" t="e">
        <f>IF(AND(L3395=1,N3395&lt;'Line Follower'!$C$6,SUM(C3395:K3395)&lt;4),1,0)</f>
        <v>#N/A</v>
      </c>
      <c r="T3395" s="4" t="e">
        <f t="shared" si="262"/>
        <v>#N/A</v>
      </c>
      <c r="U3395" s="5" t="e">
        <f t="shared" si="263"/>
        <v>#N/A</v>
      </c>
      <c r="V3395" s="23" t="e">
        <f t="shared" si="264"/>
        <v>#N/A</v>
      </c>
    </row>
    <row r="3396" spans="2:22" x14ac:dyDescent="0.25">
      <c r="B3396" s="16">
        <v>1</v>
      </c>
      <c r="C3396" s="7">
        <v>0</v>
      </c>
      <c r="D3396" s="8">
        <v>0</v>
      </c>
      <c r="E3396" s="8">
        <v>0</v>
      </c>
      <c r="F3396" s="8">
        <v>0</v>
      </c>
      <c r="G3396" s="8">
        <v>0</v>
      </c>
      <c r="H3396" s="8">
        <v>1</v>
      </c>
      <c r="I3396" s="8">
        <v>0</v>
      </c>
      <c r="J3396" s="8">
        <v>1</v>
      </c>
      <c r="K3396" s="9">
        <v>0</v>
      </c>
      <c r="L3396" s="10">
        <v>1</v>
      </c>
      <c r="M3396" s="6">
        <v>1</v>
      </c>
      <c r="N3396" s="37" t="e" cm="1">
        <f t="array" ref="N3396">IF(OR(ISNUMBER(FIND(Aux!$D$3:$D$9,_xlfn.TEXTJOIN(,,C3396:K3396)))),NA(),IF(AND(SUM(C3396:F3396,H3396:K3396)=0,G3396=1),0,INT((SUMPRODUCT(C3396:F3396,COLUMN($A$1:$D$1)-1)+SUMPRODUCT(H3396:K3396,COLUMN($E$1:$H$1)-1))*'Line Follower'!$C$3/SUM(C3396:F3396,H3396:K3396)-'Line Follower'!$C$5)))</f>
        <v>#N/A</v>
      </c>
      <c r="O3396" s="22" t="e">
        <v>#N/A</v>
      </c>
      <c r="P3396" s="4" t="e">
        <f t="shared" si="265"/>
        <v>#N/A</v>
      </c>
      <c r="Q3396" s="4" t="e">
        <f t="shared" si="266"/>
        <v>#N/A</v>
      </c>
      <c r="R3396" s="4" t="e">
        <f>IF(AND(B3396=1,N3396&gt;'Line Follower'!$C$7,SUM(C3396:K3396)&lt;4),1,0)</f>
        <v>#N/A</v>
      </c>
      <c r="S3396" s="4" t="e">
        <f>IF(AND(L3396=1,N3396&lt;'Line Follower'!$C$6,SUM(C3396:K3396)&lt;4),1,0)</f>
        <v>#N/A</v>
      </c>
      <c r="T3396" s="4" t="e">
        <f t="shared" ref="T3396:T3459" si="267">IF(ISNA(N3396),NA(),IF(SUM(C3396:L3396)=0,1,0))</f>
        <v>#N/A</v>
      </c>
      <c r="U3396" s="5" t="e">
        <f t="shared" ref="U3396:U3459" si="268">IF(ISNA(N3396),NA(),IF(SUM(B3396:K3396)=0,1,0))</f>
        <v>#N/A</v>
      </c>
      <c r="V3396" s="23" t="e">
        <f t="shared" ref="V3396:V3459" si="269">IF(ISNA(N3396),NA(),IF(SUM(B3396:L3396)=0,1,0))</f>
        <v>#N/A</v>
      </c>
    </row>
    <row r="3397" spans="2:22" x14ac:dyDescent="0.25">
      <c r="B3397" s="16">
        <v>0</v>
      </c>
      <c r="C3397" s="7">
        <v>1</v>
      </c>
      <c r="D3397" s="8">
        <v>0</v>
      </c>
      <c r="E3397" s="8">
        <v>0</v>
      </c>
      <c r="F3397" s="8">
        <v>0</v>
      </c>
      <c r="G3397" s="8">
        <v>0</v>
      </c>
      <c r="H3397" s="8">
        <v>1</v>
      </c>
      <c r="I3397" s="8">
        <v>0</v>
      </c>
      <c r="J3397" s="8">
        <v>1</v>
      </c>
      <c r="K3397" s="9">
        <v>0</v>
      </c>
      <c r="L3397" s="10">
        <v>1</v>
      </c>
      <c r="M3397" s="6">
        <v>1</v>
      </c>
      <c r="N3397" s="37" t="e" cm="1">
        <f t="array" ref="N3397">IF(OR(ISNUMBER(FIND(Aux!$D$3:$D$9,_xlfn.TEXTJOIN(,,C3397:K3397)))),NA(),IF(AND(SUM(C3397:F3397,H3397:K3397)=0,G3397=1),0,INT((SUMPRODUCT(C3397:F3397,COLUMN($A$1:$D$1)-1)+SUMPRODUCT(H3397:K3397,COLUMN($E$1:$H$1)-1))*'Line Follower'!$C$3/SUM(C3397:F3397,H3397:K3397)-'Line Follower'!$C$5)))</f>
        <v>#N/A</v>
      </c>
      <c r="O3397" s="22" t="e">
        <v>#N/A</v>
      </c>
      <c r="P3397" s="4" t="e">
        <f t="shared" si="265"/>
        <v>#N/A</v>
      </c>
      <c r="Q3397" s="4" t="e">
        <f t="shared" si="266"/>
        <v>#N/A</v>
      </c>
      <c r="R3397" s="4" t="e">
        <f>IF(AND(B3397=1,N3397&gt;'Line Follower'!$C$7,SUM(C3397:K3397)&lt;4),1,0)</f>
        <v>#N/A</v>
      </c>
      <c r="S3397" s="4" t="e">
        <f>IF(AND(L3397=1,N3397&lt;'Line Follower'!$C$6,SUM(C3397:K3397)&lt;4),1,0)</f>
        <v>#N/A</v>
      </c>
      <c r="T3397" s="4" t="e">
        <f t="shared" si="267"/>
        <v>#N/A</v>
      </c>
      <c r="U3397" s="5" t="e">
        <f t="shared" si="268"/>
        <v>#N/A</v>
      </c>
      <c r="V3397" s="23" t="e">
        <f t="shared" si="269"/>
        <v>#N/A</v>
      </c>
    </row>
    <row r="3398" spans="2:22" x14ac:dyDescent="0.25">
      <c r="B3398" s="16">
        <v>1</v>
      </c>
      <c r="C3398" s="7">
        <v>1</v>
      </c>
      <c r="D3398" s="8">
        <v>0</v>
      </c>
      <c r="E3398" s="8">
        <v>0</v>
      </c>
      <c r="F3398" s="8">
        <v>0</v>
      </c>
      <c r="G3398" s="8">
        <v>0</v>
      </c>
      <c r="H3398" s="8">
        <v>1</v>
      </c>
      <c r="I3398" s="8">
        <v>0</v>
      </c>
      <c r="J3398" s="8">
        <v>1</v>
      </c>
      <c r="K3398" s="9">
        <v>0</v>
      </c>
      <c r="L3398" s="10">
        <v>1</v>
      </c>
      <c r="M3398" s="6">
        <v>1</v>
      </c>
      <c r="N3398" s="37" t="e" cm="1">
        <f t="array" ref="N3398">IF(OR(ISNUMBER(FIND(Aux!$D$3:$D$9,_xlfn.TEXTJOIN(,,C3398:K3398)))),NA(),IF(AND(SUM(C3398:F3398,H3398:K3398)=0,G3398=1),0,INT((SUMPRODUCT(C3398:F3398,COLUMN($A$1:$D$1)-1)+SUMPRODUCT(H3398:K3398,COLUMN($E$1:$H$1)-1))*'Line Follower'!$C$3/SUM(C3398:F3398,H3398:K3398)-'Line Follower'!$C$5)))</f>
        <v>#N/A</v>
      </c>
      <c r="O3398" s="22" t="e">
        <v>#N/A</v>
      </c>
      <c r="P3398" s="4" t="e">
        <f t="shared" si="265"/>
        <v>#N/A</v>
      </c>
      <c r="Q3398" s="4" t="e">
        <f t="shared" si="266"/>
        <v>#N/A</v>
      </c>
      <c r="R3398" s="4" t="e">
        <f>IF(AND(B3398=1,N3398&gt;'Line Follower'!$C$7,SUM(C3398:K3398)&lt;4),1,0)</f>
        <v>#N/A</v>
      </c>
      <c r="S3398" s="4" t="e">
        <f>IF(AND(L3398=1,N3398&lt;'Line Follower'!$C$6,SUM(C3398:K3398)&lt;4),1,0)</f>
        <v>#N/A</v>
      </c>
      <c r="T3398" s="4" t="e">
        <f t="shared" si="267"/>
        <v>#N/A</v>
      </c>
      <c r="U3398" s="5" t="e">
        <f t="shared" si="268"/>
        <v>#N/A</v>
      </c>
      <c r="V3398" s="23" t="e">
        <f t="shared" si="269"/>
        <v>#N/A</v>
      </c>
    </row>
    <row r="3399" spans="2:22" x14ac:dyDescent="0.25">
      <c r="B3399" s="16">
        <v>0</v>
      </c>
      <c r="C3399" s="7">
        <v>0</v>
      </c>
      <c r="D3399" s="8">
        <v>1</v>
      </c>
      <c r="E3399" s="8">
        <v>0</v>
      </c>
      <c r="F3399" s="8">
        <v>0</v>
      </c>
      <c r="G3399" s="8">
        <v>0</v>
      </c>
      <c r="H3399" s="8">
        <v>1</v>
      </c>
      <c r="I3399" s="8">
        <v>0</v>
      </c>
      <c r="J3399" s="8">
        <v>1</v>
      </c>
      <c r="K3399" s="9">
        <v>0</v>
      </c>
      <c r="L3399" s="10">
        <v>1</v>
      </c>
      <c r="M3399" s="6">
        <v>1</v>
      </c>
      <c r="N3399" s="37" t="e" cm="1">
        <f t="array" ref="N3399">IF(OR(ISNUMBER(FIND(Aux!$D$3:$D$9,_xlfn.TEXTJOIN(,,C3399:K3399)))),NA(),IF(AND(SUM(C3399:F3399,H3399:K3399)=0,G3399=1),0,INT((SUMPRODUCT(C3399:F3399,COLUMN($A$1:$D$1)-1)+SUMPRODUCT(H3399:K3399,COLUMN($E$1:$H$1)-1))*'Line Follower'!$C$3/SUM(C3399:F3399,H3399:K3399)-'Line Follower'!$C$5)))</f>
        <v>#N/A</v>
      </c>
      <c r="O3399" s="22" t="e">
        <v>#N/A</v>
      </c>
      <c r="P3399" s="4" t="e">
        <f t="shared" si="265"/>
        <v>#N/A</v>
      </c>
      <c r="Q3399" s="4" t="e">
        <f t="shared" si="266"/>
        <v>#N/A</v>
      </c>
      <c r="R3399" s="4" t="e">
        <f>IF(AND(B3399=1,N3399&gt;'Line Follower'!$C$7,SUM(C3399:K3399)&lt;4),1,0)</f>
        <v>#N/A</v>
      </c>
      <c r="S3399" s="4" t="e">
        <f>IF(AND(L3399=1,N3399&lt;'Line Follower'!$C$6,SUM(C3399:K3399)&lt;4),1,0)</f>
        <v>#N/A</v>
      </c>
      <c r="T3399" s="4" t="e">
        <f t="shared" si="267"/>
        <v>#N/A</v>
      </c>
      <c r="U3399" s="5" t="e">
        <f t="shared" si="268"/>
        <v>#N/A</v>
      </c>
      <c r="V3399" s="23" t="e">
        <f t="shared" si="269"/>
        <v>#N/A</v>
      </c>
    </row>
    <row r="3400" spans="2:22" x14ac:dyDescent="0.25">
      <c r="B3400" s="16">
        <v>1</v>
      </c>
      <c r="C3400" s="7">
        <v>0</v>
      </c>
      <c r="D3400" s="8">
        <v>1</v>
      </c>
      <c r="E3400" s="8">
        <v>0</v>
      </c>
      <c r="F3400" s="8">
        <v>0</v>
      </c>
      <c r="G3400" s="8">
        <v>0</v>
      </c>
      <c r="H3400" s="8">
        <v>1</v>
      </c>
      <c r="I3400" s="8">
        <v>0</v>
      </c>
      <c r="J3400" s="8">
        <v>1</v>
      </c>
      <c r="K3400" s="9">
        <v>0</v>
      </c>
      <c r="L3400" s="10">
        <v>1</v>
      </c>
      <c r="M3400" s="6">
        <v>1</v>
      </c>
      <c r="N3400" s="37" t="e" cm="1">
        <f t="array" ref="N3400">IF(OR(ISNUMBER(FIND(Aux!$D$3:$D$9,_xlfn.TEXTJOIN(,,C3400:K3400)))),NA(),IF(AND(SUM(C3400:F3400,H3400:K3400)=0,G3400=1),0,INT((SUMPRODUCT(C3400:F3400,COLUMN($A$1:$D$1)-1)+SUMPRODUCT(H3400:K3400,COLUMN($E$1:$H$1)-1))*'Line Follower'!$C$3/SUM(C3400:F3400,H3400:K3400)-'Line Follower'!$C$5)))</f>
        <v>#N/A</v>
      </c>
      <c r="O3400" s="22" t="e">
        <v>#N/A</v>
      </c>
      <c r="P3400" s="4" t="e">
        <f t="shared" si="265"/>
        <v>#N/A</v>
      </c>
      <c r="Q3400" s="4" t="e">
        <f t="shared" si="266"/>
        <v>#N/A</v>
      </c>
      <c r="R3400" s="4" t="e">
        <f>IF(AND(B3400=1,N3400&gt;'Line Follower'!$C$7,SUM(C3400:K3400)&lt;4),1,0)</f>
        <v>#N/A</v>
      </c>
      <c r="S3400" s="4" t="e">
        <f>IF(AND(L3400=1,N3400&lt;'Line Follower'!$C$6,SUM(C3400:K3400)&lt;4),1,0)</f>
        <v>#N/A</v>
      </c>
      <c r="T3400" s="4" t="e">
        <f t="shared" si="267"/>
        <v>#N/A</v>
      </c>
      <c r="U3400" s="5" t="e">
        <f t="shared" si="268"/>
        <v>#N/A</v>
      </c>
      <c r="V3400" s="23" t="e">
        <f t="shared" si="269"/>
        <v>#N/A</v>
      </c>
    </row>
    <row r="3401" spans="2:22" x14ac:dyDescent="0.25">
      <c r="B3401" s="16">
        <v>0</v>
      </c>
      <c r="C3401" s="7">
        <v>1</v>
      </c>
      <c r="D3401" s="8">
        <v>1</v>
      </c>
      <c r="E3401" s="8">
        <v>0</v>
      </c>
      <c r="F3401" s="8">
        <v>0</v>
      </c>
      <c r="G3401" s="8">
        <v>0</v>
      </c>
      <c r="H3401" s="8">
        <v>1</v>
      </c>
      <c r="I3401" s="8">
        <v>0</v>
      </c>
      <c r="J3401" s="8">
        <v>1</v>
      </c>
      <c r="K3401" s="9">
        <v>0</v>
      </c>
      <c r="L3401" s="10">
        <v>1</v>
      </c>
      <c r="M3401" s="6">
        <v>1</v>
      </c>
      <c r="N3401" s="37" t="e" cm="1">
        <f t="array" ref="N3401">IF(OR(ISNUMBER(FIND(Aux!$D$3:$D$9,_xlfn.TEXTJOIN(,,C3401:K3401)))),NA(),IF(AND(SUM(C3401:F3401,H3401:K3401)=0,G3401=1),0,INT((SUMPRODUCT(C3401:F3401,COLUMN($A$1:$D$1)-1)+SUMPRODUCT(H3401:K3401,COLUMN($E$1:$H$1)-1))*'Line Follower'!$C$3/SUM(C3401:F3401,H3401:K3401)-'Line Follower'!$C$5)))</f>
        <v>#N/A</v>
      </c>
      <c r="O3401" s="22" t="e">
        <v>#N/A</v>
      </c>
      <c r="P3401" s="4" t="e">
        <f t="shared" si="265"/>
        <v>#N/A</v>
      </c>
      <c r="Q3401" s="4" t="e">
        <f t="shared" si="266"/>
        <v>#N/A</v>
      </c>
      <c r="R3401" s="4" t="e">
        <f>IF(AND(B3401=1,N3401&gt;'Line Follower'!$C$7,SUM(C3401:K3401)&lt;4),1,0)</f>
        <v>#N/A</v>
      </c>
      <c r="S3401" s="4" t="e">
        <f>IF(AND(L3401=1,N3401&lt;'Line Follower'!$C$6,SUM(C3401:K3401)&lt;4),1,0)</f>
        <v>#N/A</v>
      </c>
      <c r="T3401" s="4" t="e">
        <f t="shared" si="267"/>
        <v>#N/A</v>
      </c>
      <c r="U3401" s="5" t="e">
        <f t="shared" si="268"/>
        <v>#N/A</v>
      </c>
      <c r="V3401" s="23" t="e">
        <f t="shared" si="269"/>
        <v>#N/A</v>
      </c>
    </row>
    <row r="3402" spans="2:22" x14ac:dyDescent="0.25">
      <c r="B3402" s="16">
        <v>1</v>
      </c>
      <c r="C3402" s="7">
        <v>1</v>
      </c>
      <c r="D3402" s="8">
        <v>1</v>
      </c>
      <c r="E3402" s="8">
        <v>0</v>
      </c>
      <c r="F3402" s="8">
        <v>0</v>
      </c>
      <c r="G3402" s="8">
        <v>0</v>
      </c>
      <c r="H3402" s="8">
        <v>1</v>
      </c>
      <c r="I3402" s="8">
        <v>0</v>
      </c>
      <c r="J3402" s="8">
        <v>1</v>
      </c>
      <c r="K3402" s="9">
        <v>0</v>
      </c>
      <c r="L3402" s="10">
        <v>1</v>
      </c>
      <c r="M3402" s="6">
        <v>1</v>
      </c>
      <c r="N3402" s="37" t="e" cm="1">
        <f t="array" ref="N3402">IF(OR(ISNUMBER(FIND(Aux!$D$3:$D$9,_xlfn.TEXTJOIN(,,C3402:K3402)))),NA(),IF(AND(SUM(C3402:F3402,H3402:K3402)=0,G3402=1),0,INT((SUMPRODUCT(C3402:F3402,COLUMN($A$1:$D$1)-1)+SUMPRODUCT(H3402:K3402,COLUMN($E$1:$H$1)-1))*'Line Follower'!$C$3/SUM(C3402:F3402,H3402:K3402)-'Line Follower'!$C$5)))</f>
        <v>#N/A</v>
      </c>
      <c r="O3402" s="22" t="e">
        <v>#N/A</v>
      </c>
      <c r="P3402" s="4" t="e">
        <f t="shared" si="265"/>
        <v>#N/A</v>
      </c>
      <c r="Q3402" s="4" t="e">
        <f t="shared" si="266"/>
        <v>#N/A</v>
      </c>
      <c r="R3402" s="4" t="e">
        <f>IF(AND(B3402=1,N3402&gt;'Line Follower'!$C$7,SUM(C3402:K3402)&lt;4),1,0)</f>
        <v>#N/A</v>
      </c>
      <c r="S3402" s="4" t="e">
        <f>IF(AND(L3402=1,N3402&lt;'Line Follower'!$C$6,SUM(C3402:K3402)&lt;4),1,0)</f>
        <v>#N/A</v>
      </c>
      <c r="T3402" s="4" t="e">
        <f t="shared" si="267"/>
        <v>#N/A</v>
      </c>
      <c r="U3402" s="5" t="e">
        <f t="shared" si="268"/>
        <v>#N/A</v>
      </c>
      <c r="V3402" s="23" t="e">
        <f t="shared" si="269"/>
        <v>#N/A</v>
      </c>
    </row>
    <row r="3403" spans="2:22" x14ac:dyDescent="0.25">
      <c r="B3403" s="16">
        <v>0</v>
      </c>
      <c r="C3403" s="7">
        <v>0</v>
      </c>
      <c r="D3403" s="8">
        <v>0</v>
      </c>
      <c r="E3403" s="8">
        <v>1</v>
      </c>
      <c r="F3403" s="8">
        <v>0</v>
      </c>
      <c r="G3403" s="8">
        <v>0</v>
      </c>
      <c r="H3403" s="8">
        <v>1</v>
      </c>
      <c r="I3403" s="8">
        <v>0</v>
      </c>
      <c r="J3403" s="8">
        <v>1</v>
      </c>
      <c r="K3403" s="9">
        <v>0</v>
      </c>
      <c r="L3403" s="10">
        <v>1</v>
      </c>
      <c r="M3403" s="6">
        <v>1</v>
      </c>
      <c r="N3403" s="37" t="e" cm="1">
        <f t="array" ref="N3403">IF(OR(ISNUMBER(FIND(Aux!$D$3:$D$9,_xlfn.TEXTJOIN(,,C3403:K3403)))),NA(),IF(AND(SUM(C3403:F3403,H3403:K3403)=0,G3403=1),0,INT((SUMPRODUCT(C3403:F3403,COLUMN($A$1:$D$1)-1)+SUMPRODUCT(H3403:K3403,COLUMN($E$1:$H$1)-1))*'Line Follower'!$C$3/SUM(C3403:F3403,H3403:K3403)-'Line Follower'!$C$5)))</f>
        <v>#N/A</v>
      </c>
      <c r="O3403" s="22" t="e">
        <v>#N/A</v>
      </c>
      <c r="P3403" s="4" t="e">
        <f t="shared" si="265"/>
        <v>#N/A</v>
      </c>
      <c r="Q3403" s="4" t="e">
        <f t="shared" si="266"/>
        <v>#N/A</v>
      </c>
      <c r="R3403" s="4" t="e">
        <f>IF(AND(B3403=1,N3403&gt;'Line Follower'!$C$7,SUM(C3403:K3403)&lt;4),1,0)</f>
        <v>#N/A</v>
      </c>
      <c r="S3403" s="4" t="e">
        <f>IF(AND(L3403=1,N3403&lt;'Line Follower'!$C$6,SUM(C3403:K3403)&lt;4),1,0)</f>
        <v>#N/A</v>
      </c>
      <c r="T3403" s="4" t="e">
        <f t="shared" si="267"/>
        <v>#N/A</v>
      </c>
      <c r="U3403" s="5" t="e">
        <f t="shared" si="268"/>
        <v>#N/A</v>
      </c>
      <c r="V3403" s="23" t="e">
        <f t="shared" si="269"/>
        <v>#N/A</v>
      </c>
    </row>
    <row r="3404" spans="2:22" x14ac:dyDescent="0.25">
      <c r="B3404" s="16">
        <v>1</v>
      </c>
      <c r="C3404" s="7">
        <v>0</v>
      </c>
      <c r="D3404" s="8">
        <v>0</v>
      </c>
      <c r="E3404" s="8">
        <v>1</v>
      </c>
      <c r="F3404" s="8">
        <v>0</v>
      </c>
      <c r="G3404" s="8">
        <v>0</v>
      </c>
      <c r="H3404" s="8">
        <v>1</v>
      </c>
      <c r="I3404" s="8">
        <v>0</v>
      </c>
      <c r="J3404" s="8">
        <v>1</v>
      </c>
      <c r="K3404" s="9">
        <v>0</v>
      </c>
      <c r="L3404" s="10">
        <v>1</v>
      </c>
      <c r="M3404" s="6">
        <v>1</v>
      </c>
      <c r="N3404" s="37" t="e" cm="1">
        <f t="array" ref="N3404">IF(OR(ISNUMBER(FIND(Aux!$D$3:$D$9,_xlfn.TEXTJOIN(,,C3404:K3404)))),NA(),IF(AND(SUM(C3404:F3404,H3404:K3404)=0,G3404=1),0,INT((SUMPRODUCT(C3404:F3404,COLUMN($A$1:$D$1)-1)+SUMPRODUCT(H3404:K3404,COLUMN($E$1:$H$1)-1))*'Line Follower'!$C$3/SUM(C3404:F3404,H3404:K3404)-'Line Follower'!$C$5)))</f>
        <v>#N/A</v>
      </c>
      <c r="O3404" s="22" t="e">
        <v>#N/A</v>
      </c>
      <c r="P3404" s="4" t="e">
        <f t="shared" si="265"/>
        <v>#N/A</v>
      </c>
      <c r="Q3404" s="4" t="e">
        <f t="shared" si="266"/>
        <v>#N/A</v>
      </c>
      <c r="R3404" s="4" t="e">
        <f>IF(AND(B3404=1,N3404&gt;'Line Follower'!$C$7,SUM(C3404:K3404)&lt;4),1,0)</f>
        <v>#N/A</v>
      </c>
      <c r="S3404" s="4" t="e">
        <f>IF(AND(L3404=1,N3404&lt;'Line Follower'!$C$6,SUM(C3404:K3404)&lt;4),1,0)</f>
        <v>#N/A</v>
      </c>
      <c r="T3404" s="4" t="e">
        <f t="shared" si="267"/>
        <v>#N/A</v>
      </c>
      <c r="U3404" s="5" t="e">
        <f t="shared" si="268"/>
        <v>#N/A</v>
      </c>
      <c r="V3404" s="23" t="e">
        <f t="shared" si="269"/>
        <v>#N/A</v>
      </c>
    </row>
    <row r="3405" spans="2:22" x14ac:dyDescent="0.25">
      <c r="B3405" s="16">
        <v>0</v>
      </c>
      <c r="C3405" s="7">
        <v>1</v>
      </c>
      <c r="D3405" s="8">
        <v>0</v>
      </c>
      <c r="E3405" s="8">
        <v>1</v>
      </c>
      <c r="F3405" s="8">
        <v>0</v>
      </c>
      <c r="G3405" s="8">
        <v>0</v>
      </c>
      <c r="H3405" s="8">
        <v>1</v>
      </c>
      <c r="I3405" s="8">
        <v>0</v>
      </c>
      <c r="J3405" s="8">
        <v>1</v>
      </c>
      <c r="K3405" s="9">
        <v>0</v>
      </c>
      <c r="L3405" s="10">
        <v>1</v>
      </c>
      <c r="M3405" s="6">
        <v>1</v>
      </c>
      <c r="N3405" s="37" t="e" cm="1">
        <f t="array" ref="N3405">IF(OR(ISNUMBER(FIND(Aux!$D$3:$D$9,_xlfn.TEXTJOIN(,,C3405:K3405)))),NA(),IF(AND(SUM(C3405:F3405,H3405:K3405)=0,G3405=1),0,INT((SUMPRODUCT(C3405:F3405,COLUMN($A$1:$D$1)-1)+SUMPRODUCT(H3405:K3405,COLUMN($E$1:$H$1)-1))*'Line Follower'!$C$3/SUM(C3405:F3405,H3405:K3405)-'Line Follower'!$C$5)))</f>
        <v>#N/A</v>
      </c>
      <c r="O3405" s="22" t="e">
        <v>#N/A</v>
      </c>
      <c r="P3405" s="4" t="e">
        <f t="shared" si="265"/>
        <v>#N/A</v>
      </c>
      <c r="Q3405" s="4" t="e">
        <f t="shared" si="266"/>
        <v>#N/A</v>
      </c>
      <c r="R3405" s="4" t="e">
        <f>IF(AND(B3405=1,N3405&gt;'Line Follower'!$C$7,SUM(C3405:K3405)&lt;4),1,0)</f>
        <v>#N/A</v>
      </c>
      <c r="S3405" s="4" t="e">
        <f>IF(AND(L3405=1,N3405&lt;'Line Follower'!$C$6,SUM(C3405:K3405)&lt;4),1,0)</f>
        <v>#N/A</v>
      </c>
      <c r="T3405" s="4" t="e">
        <f t="shared" si="267"/>
        <v>#N/A</v>
      </c>
      <c r="U3405" s="5" t="e">
        <f t="shared" si="268"/>
        <v>#N/A</v>
      </c>
      <c r="V3405" s="23" t="e">
        <f t="shared" si="269"/>
        <v>#N/A</v>
      </c>
    </row>
    <row r="3406" spans="2:22" x14ac:dyDescent="0.25">
      <c r="B3406" s="16">
        <v>1</v>
      </c>
      <c r="C3406" s="7">
        <v>1</v>
      </c>
      <c r="D3406" s="8">
        <v>0</v>
      </c>
      <c r="E3406" s="8">
        <v>1</v>
      </c>
      <c r="F3406" s="8">
        <v>0</v>
      </c>
      <c r="G3406" s="8">
        <v>0</v>
      </c>
      <c r="H3406" s="8">
        <v>1</v>
      </c>
      <c r="I3406" s="8">
        <v>0</v>
      </c>
      <c r="J3406" s="8">
        <v>1</v>
      </c>
      <c r="K3406" s="9">
        <v>0</v>
      </c>
      <c r="L3406" s="10">
        <v>1</v>
      </c>
      <c r="M3406" s="6">
        <v>1</v>
      </c>
      <c r="N3406" s="37" t="e" cm="1">
        <f t="array" ref="N3406">IF(OR(ISNUMBER(FIND(Aux!$D$3:$D$9,_xlfn.TEXTJOIN(,,C3406:K3406)))),NA(),IF(AND(SUM(C3406:F3406,H3406:K3406)=0,G3406=1),0,INT((SUMPRODUCT(C3406:F3406,COLUMN($A$1:$D$1)-1)+SUMPRODUCT(H3406:K3406,COLUMN($E$1:$H$1)-1))*'Line Follower'!$C$3/SUM(C3406:F3406,H3406:K3406)-'Line Follower'!$C$5)))</f>
        <v>#N/A</v>
      </c>
      <c r="O3406" s="22" t="e">
        <v>#N/A</v>
      </c>
      <c r="P3406" s="4" t="e">
        <f t="shared" si="265"/>
        <v>#N/A</v>
      </c>
      <c r="Q3406" s="4" t="e">
        <f t="shared" si="266"/>
        <v>#N/A</v>
      </c>
      <c r="R3406" s="4" t="e">
        <f>IF(AND(B3406=1,N3406&gt;'Line Follower'!$C$7,SUM(C3406:K3406)&lt;4),1,0)</f>
        <v>#N/A</v>
      </c>
      <c r="S3406" s="4" t="e">
        <f>IF(AND(L3406=1,N3406&lt;'Line Follower'!$C$6,SUM(C3406:K3406)&lt;4),1,0)</f>
        <v>#N/A</v>
      </c>
      <c r="T3406" s="4" t="e">
        <f t="shared" si="267"/>
        <v>#N/A</v>
      </c>
      <c r="U3406" s="5" t="e">
        <f t="shared" si="268"/>
        <v>#N/A</v>
      </c>
      <c r="V3406" s="23" t="e">
        <f t="shared" si="269"/>
        <v>#N/A</v>
      </c>
    </row>
    <row r="3407" spans="2:22" x14ac:dyDescent="0.25">
      <c r="B3407" s="16">
        <v>0</v>
      </c>
      <c r="C3407" s="7">
        <v>0</v>
      </c>
      <c r="D3407" s="8">
        <v>1</v>
      </c>
      <c r="E3407" s="8">
        <v>1</v>
      </c>
      <c r="F3407" s="8">
        <v>0</v>
      </c>
      <c r="G3407" s="8">
        <v>0</v>
      </c>
      <c r="H3407" s="8">
        <v>1</v>
      </c>
      <c r="I3407" s="8">
        <v>0</v>
      </c>
      <c r="J3407" s="8">
        <v>1</v>
      </c>
      <c r="K3407" s="9">
        <v>0</v>
      </c>
      <c r="L3407" s="10">
        <v>1</v>
      </c>
      <c r="M3407" s="6">
        <v>1</v>
      </c>
      <c r="N3407" s="37" t="e" cm="1">
        <f t="array" ref="N3407">IF(OR(ISNUMBER(FIND(Aux!$D$3:$D$9,_xlfn.TEXTJOIN(,,C3407:K3407)))),NA(),IF(AND(SUM(C3407:F3407,H3407:K3407)=0,G3407=1),0,INT((SUMPRODUCT(C3407:F3407,COLUMN($A$1:$D$1)-1)+SUMPRODUCT(H3407:K3407,COLUMN($E$1:$H$1)-1))*'Line Follower'!$C$3/SUM(C3407:F3407,H3407:K3407)-'Line Follower'!$C$5)))</f>
        <v>#N/A</v>
      </c>
      <c r="O3407" s="22" t="e">
        <v>#N/A</v>
      </c>
      <c r="P3407" s="4" t="e">
        <f t="shared" si="265"/>
        <v>#N/A</v>
      </c>
      <c r="Q3407" s="4" t="e">
        <f t="shared" si="266"/>
        <v>#N/A</v>
      </c>
      <c r="R3407" s="4" t="e">
        <f>IF(AND(B3407=1,N3407&gt;'Line Follower'!$C$7,SUM(C3407:K3407)&lt;4),1,0)</f>
        <v>#N/A</v>
      </c>
      <c r="S3407" s="4" t="e">
        <f>IF(AND(L3407=1,N3407&lt;'Line Follower'!$C$6,SUM(C3407:K3407)&lt;4),1,0)</f>
        <v>#N/A</v>
      </c>
      <c r="T3407" s="4" t="e">
        <f t="shared" si="267"/>
        <v>#N/A</v>
      </c>
      <c r="U3407" s="5" t="e">
        <f t="shared" si="268"/>
        <v>#N/A</v>
      </c>
      <c r="V3407" s="23" t="e">
        <f t="shared" si="269"/>
        <v>#N/A</v>
      </c>
    </row>
    <row r="3408" spans="2:22" x14ac:dyDescent="0.25">
      <c r="B3408" s="16">
        <v>1</v>
      </c>
      <c r="C3408" s="7">
        <v>0</v>
      </c>
      <c r="D3408" s="8">
        <v>1</v>
      </c>
      <c r="E3408" s="8">
        <v>1</v>
      </c>
      <c r="F3408" s="8">
        <v>0</v>
      </c>
      <c r="G3408" s="8">
        <v>0</v>
      </c>
      <c r="H3408" s="8">
        <v>1</v>
      </c>
      <c r="I3408" s="8">
        <v>0</v>
      </c>
      <c r="J3408" s="8">
        <v>1</v>
      </c>
      <c r="K3408" s="9">
        <v>0</v>
      </c>
      <c r="L3408" s="10">
        <v>1</v>
      </c>
      <c r="M3408" s="6">
        <v>1</v>
      </c>
      <c r="N3408" s="37" t="e" cm="1">
        <f t="array" ref="N3408">IF(OR(ISNUMBER(FIND(Aux!$D$3:$D$9,_xlfn.TEXTJOIN(,,C3408:K3408)))),NA(),IF(AND(SUM(C3408:F3408,H3408:K3408)=0,G3408=1),0,INT((SUMPRODUCT(C3408:F3408,COLUMN($A$1:$D$1)-1)+SUMPRODUCT(H3408:K3408,COLUMN($E$1:$H$1)-1))*'Line Follower'!$C$3/SUM(C3408:F3408,H3408:K3408)-'Line Follower'!$C$5)))</f>
        <v>#N/A</v>
      </c>
      <c r="O3408" s="22" t="e">
        <v>#N/A</v>
      </c>
      <c r="P3408" s="4" t="e">
        <f t="shared" si="265"/>
        <v>#N/A</v>
      </c>
      <c r="Q3408" s="4" t="e">
        <f t="shared" si="266"/>
        <v>#N/A</v>
      </c>
      <c r="R3408" s="4" t="e">
        <f>IF(AND(B3408=1,N3408&gt;'Line Follower'!$C$7,SUM(C3408:K3408)&lt;4),1,0)</f>
        <v>#N/A</v>
      </c>
      <c r="S3408" s="4" t="e">
        <f>IF(AND(L3408=1,N3408&lt;'Line Follower'!$C$6,SUM(C3408:K3408)&lt;4),1,0)</f>
        <v>#N/A</v>
      </c>
      <c r="T3408" s="4" t="e">
        <f t="shared" si="267"/>
        <v>#N/A</v>
      </c>
      <c r="U3408" s="5" t="e">
        <f t="shared" si="268"/>
        <v>#N/A</v>
      </c>
      <c r="V3408" s="23" t="e">
        <f t="shared" si="269"/>
        <v>#N/A</v>
      </c>
    </row>
    <row r="3409" spans="2:22" x14ac:dyDescent="0.25">
      <c r="B3409" s="16">
        <v>0</v>
      </c>
      <c r="C3409" s="7">
        <v>1</v>
      </c>
      <c r="D3409" s="8">
        <v>1</v>
      </c>
      <c r="E3409" s="8">
        <v>1</v>
      </c>
      <c r="F3409" s="8">
        <v>0</v>
      </c>
      <c r="G3409" s="8">
        <v>0</v>
      </c>
      <c r="H3409" s="8">
        <v>1</v>
      </c>
      <c r="I3409" s="8">
        <v>0</v>
      </c>
      <c r="J3409" s="8">
        <v>1</v>
      </c>
      <c r="K3409" s="9">
        <v>0</v>
      </c>
      <c r="L3409" s="10">
        <v>1</v>
      </c>
      <c r="M3409" s="6">
        <v>1</v>
      </c>
      <c r="N3409" s="37" t="e" cm="1">
        <f t="array" ref="N3409">IF(OR(ISNUMBER(FIND(Aux!$D$3:$D$9,_xlfn.TEXTJOIN(,,C3409:K3409)))),NA(),IF(AND(SUM(C3409:F3409,H3409:K3409)=0,G3409=1),0,INT((SUMPRODUCT(C3409:F3409,COLUMN($A$1:$D$1)-1)+SUMPRODUCT(H3409:K3409,COLUMN($E$1:$H$1)-1))*'Line Follower'!$C$3/SUM(C3409:F3409,H3409:K3409)-'Line Follower'!$C$5)))</f>
        <v>#N/A</v>
      </c>
      <c r="O3409" s="22" t="e">
        <v>#N/A</v>
      </c>
      <c r="P3409" s="4" t="e">
        <f t="shared" si="265"/>
        <v>#N/A</v>
      </c>
      <c r="Q3409" s="4" t="e">
        <f t="shared" si="266"/>
        <v>#N/A</v>
      </c>
      <c r="R3409" s="4" t="e">
        <f>IF(AND(B3409=1,N3409&gt;'Line Follower'!$C$7,SUM(C3409:K3409)&lt;4),1,0)</f>
        <v>#N/A</v>
      </c>
      <c r="S3409" s="4" t="e">
        <f>IF(AND(L3409=1,N3409&lt;'Line Follower'!$C$6,SUM(C3409:K3409)&lt;4),1,0)</f>
        <v>#N/A</v>
      </c>
      <c r="T3409" s="4" t="e">
        <f t="shared" si="267"/>
        <v>#N/A</v>
      </c>
      <c r="U3409" s="5" t="e">
        <f t="shared" si="268"/>
        <v>#N/A</v>
      </c>
      <c r="V3409" s="23" t="e">
        <f t="shared" si="269"/>
        <v>#N/A</v>
      </c>
    </row>
    <row r="3410" spans="2:22" x14ac:dyDescent="0.25">
      <c r="B3410" s="16">
        <v>1</v>
      </c>
      <c r="C3410" s="7">
        <v>1</v>
      </c>
      <c r="D3410" s="8">
        <v>1</v>
      </c>
      <c r="E3410" s="8">
        <v>1</v>
      </c>
      <c r="F3410" s="8">
        <v>0</v>
      </c>
      <c r="G3410" s="8">
        <v>0</v>
      </c>
      <c r="H3410" s="8">
        <v>1</v>
      </c>
      <c r="I3410" s="8">
        <v>0</v>
      </c>
      <c r="J3410" s="8">
        <v>1</v>
      </c>
      <c r="K3410" s="9">
        <v>0</v>
      </c>
      <c r="L3410" s="10">
        <v>1</v>
      </c>
      <c r="M3410" s="6">
        <v>1</v>
      </c>
      <c r="N3410" s="37" t="e" cm="1">
        <f t="array" ref="N3410">IF(OR(ISNUMBER(FIND(Aux!$D$3:$D$9,_xlfn.TEXTJOIN(,,C3410:K3410)))),NA(),IF(AND(SUM(C3410:F3410,H3410:K3410)=0,G3410=1),0,INT((SUMPRODUCT(C3410:F3410,COLUMN($A$1:$D$1)-1)+SUMPRODUCT(H3410:K3410,COLUMN($E$1:$H$1)-1))*'Line Follower'!$C$3/SUM(C3410:F3410,H3410:K3410)-'Line Follower'!$C$5)))</f>
        <v>#N/A</v>
      </c>
      <c r="O3410" s="22" t="e">
        <v>#N/A</v>
      </c>
      <c r="P3410" s="4" t="e">
        <f t="shared" si="265"/>
        <v>#N/A</v>
      </c>
      <c r="Q3410" s="4" t="e">
        <f t="shared" si="266"/>
        <v>#N/A</v>
      </c>
      <c r="R3410" s="4" t="e">
        <f>IF(AND(B3410=1,N3410&gt;'Line Follower'!$C$7,SUM(C3410:K3410)&lt;4),1,0)</f>
        <v>#N/A</v>
      </c>
      <c r="S3410" s="4" t="e">
        <f>IF(AND(L3410=1,N3410&lt;'Line Follower'!$C$6,SUM(C3410:K3410)&lt;4),1,0)</f>
        <v>#N/A</v>
      </c>
      <c r="T3410" s="4" t="e">
        <f t="shared" si="267"/>
        <v>#N/A</v>
      </c>
      <c r="U3410" s="5" t="e">
        <f t="shared" si="268"/>
        <v>#N/A</v>
      </c>
      <c r="V3410" s="23" t="e">
        <f t="shared" si="269"/>
        <v>#N/A</v>
      </c>
    </row>
    <row r="3411" spans="2:22" x14ac:dyDescent="0.25">
      <c r="B3411" s="16">
        <v>0</v>
      </c>
      <c r="C3411" s="7">
        <v>0</v>
      </c>
      <c r="D3411" s="8">
        <v>0</v>
      </c>
      <c r="E3411" s="8">
        <v>0</v>
      </c>
      <c r="F3411" s="8">
        <v>1</v>
      </c>
      <c r="G3411" s="8">
        <v>0</v>
      </c>
      <c r="H3411" s="8">
        <v>1</v>
      </c>
      <c r="I3411" s="8">
        <v>0</v>
      </c>
      <c r="J3411" s="8">
        <v>1</v>
      </c>
      <c r="K3411" s="9">
        <v>0</v>
      </c>
      <c r="L3411" s="10">
        <v>1</v>
      </c>
      <c r="M3411" s="6">
        <v>1</v>
      </c>
      <c r="N3411" s="37" t="e" cm="1">
        <f t="array" ref="N3411">IF(OR(ISNUMBER(FIND(Aux!$D$3:$D$9,_xlfn.TEXTJOIN(,,C3411:K3411)))),NA(),IF(AND(SUM(C3411:F3411,H3411:K3411)=0,G3411=1),0,INT((SUMPRODUCT(C3411:F3411,COLUMN($A$1:$D$1)-1)+SUMPRODUCT(H3411:K3411,COLUMN($E$1:$H$1)-1))*'Line Follower'!$C$3/SUM(C3411:F3411,H3411:K3411)-'Line Follower'!$C$5)))</f>
        <v>#N/A</v>
      </c>
      <c r="O3411" s="22" t="e">
        <v>#N/A</v>
      </c>
      <c r="P3411" s="4" t="e">
        <f t="shared" si="265"/>
        <v>#N/A</v>
      </c>
      <c r="Q3411" s="4" t="e">
        <f t="shared" si="266"/>
        <v>#N/A</v>
      </c>
      <c r="R3411" s="4" t="e">
        <f>IF(AND(B3411=1,N3411&gt;'Line Follower'!$C$7,SUM(C3411:K3411)&lt;4),1,0)</f>
        <v>#N/A</v>
      </c>
      <c r="S3411" s="4" t="e">
        <f>IF(AND(L3411=1,N3411&lt;'Line Follower'!$C$6,SUM(C3411:K3411)&lt;4),1,0)</f>
        <v>#N/A</v>
      </c>
      <c r="T3411" s="4" t="e">
        <f t="shared" si="267"/>
        <v>#N/A</v>
      </c>
      <c r="U3411" s="5" t="e">
        <f t="shared" si="268"/>
        <v>#N/A</v>
      </c>
      <c r="V3411" s="23" t="e">
        <f t="shared" si="269"/>
        <v>#N/A</v>
      </c>
    </row>
    <row r="3412" spans="2:22" x14ac:dyDescent="0.25">
      <c r="B3412" s="16">
        <v>1</v>
      </c>
      <c r="C3412" s="7">
        <v>0</v>
      </c>
      <c r="D3412" s="8">
        <v>0</v>
      </c>
      <c r="E3412" s="8">
        <v>0</v>
      </c>
      <c r="F3412" s="8">
        <v>1</v>
      </c>
      <c r="G3412" s="8">
        <v>0</v>
      </c>
      <c r="H3412" s="8">
        <v>1</v>
      </c>
      <c r="I3412" s="8">
        <v>0</v>
      </c>
      <c r="J3412" s="8">
        <v>1</v>
      </c>
      <c r="K3412" s="9">
        <v>0</v>
      </c>
      <c r="L3412" s="10">
        <v>1</v>
      </c>
      <c r="M3412" s="6">
        <v>1</v>
      </c>
      <c r="N3412" s="37" t="e" cm="1">
        <f t="array" ref="N3412">IF(OR(ISNUMBER(FIND(Aux!$D$3:$D$9,_xlfn.TEXTJOIN(,,C3412:K3412)))),NA(),IF(AND(SUM(C3412:F3412,H3412:K3412)=0,G3412=1),0,INT((SUMPRODUCT(C3412:F3412,COLUMN($A$1:$D$1)-1)+SUMPRODUCT(H3412:K3412,COLUMN($E$1:$H$1)-1))*'Line Follower'!$C$3/SUM(C3412:F3412,H3412:K3412)-'Line Follower'!$C$5)))</f>
        <v>#N/A</v>
      </c>
      <c r="O3412" s="22" t="e">
        <v>#N/A</v>
      </c>
      <c r="P3412" s="4" t="e">
        <f t="shared" si="265"/>
        <v>#N/A</v>
      </c>
      <c r="Q3412" s="4" t="e">
        <f t="shared" si="266"/>
        <v>#N/A</v>
      </c>
      <c r="R3412" s="4" t="e">
        <f>IF(AND(B3412=1,N3412&gt;'Line Follower'!$C$7,SUM(C3412:K3412)&lt;4),1,0)</f>
        <v>#N/A</v>
      </c>
      <c r="S3412" s="4" t="e">
        <f>IF(AND(L3412=1,N3412&lt;'Line Follower'!$C$6,SUM(C3412:K3412)&lt;4),1,0)</f>
        <v>#N/A</v>
      </c>
      <c r="T3412" s="4" t="e">
        <f t="shared" si="267"/>
        <v>#N/A</v>
      </c>
      <c r="U3412" s="5" t="e">
        <f t="shared" si="268"/>
        <v>#N/A</v>
      </c>
      <c r="V3412" s="23" t="e">
        <f t="shared" si="269"/>
        <v>#N/A</v>
      </c>
    </row>
    <row r="3413" spans="2:22" x14ac:dyDescent="0.25">
      <c r="B3413" s="16">
        <v>0</v>
      </c>
      <c r="C3413" s="7">
        <v>1</v>
      </c>
      <c r="D3413" s="8">
        <v>0</v>
      </c>
      <c r="E3413" s="8">
        <v>0</v>
      </c>
      <c r="F3413" s="8">
        <v>1</v>
      </c>
      <c r="G3413" s="8">
        <v>0</v>
      </c>
      <c r="H3413" s="8">
        <v>1</v>
      </c>
      <c r="I3413" s="8">
        <v>0</v>
      </c>
      <c r="J3413" s="8">
        <v>1</v>
      </c>
      <c r="K3413" s="9">
        <v>0</v>
      </c>
      <c r="L3413" s="10">
        <v>1</v>
      </c>
      <c r="M3413" s="6">
        <v>1</v>
      </c>
      <c r="N3413" s="37" t="e" cm="1">
        <f t="array" ref="N3413">IF(OR(ISNUMBER(FIND(Aux!$D$3:$D$9,_xlfn.TEXTJOIN(,,C3413:K3413)))),NA(),IF(AND(SUM(C3413:F3413,H3413:K3413)=0,G3413=1),0,INT((SUMPRODUCT(C3413:F3413,COLUMN($A$1:$D$1)-1)+SUMPRODUCT(H3413:K3413,COLUMN($E$1:$H$1)-1))*'Line Follower'!$C$3/SUM(C3413:F3413,H3413:K3413)-'Line Follower'!$C$5)))</f>
        <v>#N/A</v>
      </c>
      <c r="O3413" s="22" t="e">
        <v>#N/A</v>
      </c>
      <c r="P3413" s="4" t="e">
        <f t="shared" si="265"/>
        <v>#N/A</v>
      </c>
      <c r="Q3413" s="4" t="e">
        <f t="shared" si="266"/>
        <v>#N/A</v>
      </c>
      <c r="R3413" s="4" t="e">
        <f>IF(AND(B3413=1,N3413&gt;'Line Follower'!$C$7,SUM(C3413:K3413)&lt;4),1,0)</f>
        <v>#N/A</v>
      </c>
      <c r="S3413" s="4" t="e">
        <f>IF(AND(L3413=1,N3413&lt;'Line Follower'!$C$6,SUM(C3413:K3413)&lt;4),1,0)</f>
        <v>#N/A</v>
      </c>
      <c r="T3413" s="4" t="e">
        <f t="shared" si="267"/>
        <v>#N/A</v>
      </c>
      <c r="U3413" s="5" t="e">
        <f t="shared" si="268"/>
        <v>#N/A</v>
      </c>
      <c r="V3413" s="23" t="e">
        <f t="shared" si="269"/>
        <v>#N/A</v>
      </c>
    </row>
    <row r="3414" spans="2:22" x14ac:dyDescent="0.25">
      <c r="B3414" s="16">
        <v>1</v>
      </c>
      <c r="C3414" s="7">
        <v>1</v>
      </c>
      <c r="D3414" s="8">
        <v>0</v>
      </c>
      <c r="E3414" s="8">
        <v>0</v>
      </c>
      <c r="F3414" s="8">
        <v>1</v>
      </c>
      <c r="G3414" s="8">
        <v>0</v>
      </c>
      <c r="H3414" s="8">
        <v>1</v>
      </c>
      <c r="I3414" s="8">
        <v>0</v>
      </c>
      <c r="J3414" s="8">
        <v>1</v>
      </c>
      <c r="K3414" s="9">
        <v>0</v>
      </c>
      <c r="L3414" s="10">
        <v>1</v>
      </c>
      <c r="M3414" s="6">
        <v>1</v>
      </c>
      <c r="N3414" s="37" t="e" cm="1">
        <f t="array" ref="N3414">IF(OR(ISNUMBER(FIND(Aux!$D$3:$D$9,_xlfn.TEXTJOIN(,,C3414:K3414)))),NA(),IF(AND(SUM(C3414:F3414,H3414:K3414)=0,G3414=1),0,INT((SUMPRODUCT(C3414:F3414,COLUMN($A$1:$D$1)-1)+SUMPRODUCT(H3414:K3414,COLUMN($E$1:$H$1)-1))*'Line Follower'!$C$3/SUM(C3414:F3414,H3414:K3414)-'Line Follower'!$C$5)))</f>
        <v>#N/A</v>
      </c>
      <c r="O3414" s="22" t="e">
        <v>#N/A</v>
      </c>
      <c r="P3414" s="4" t="e">
        <f t="shared" si="265"/>
        <v>#N/A</v>
      </c>
      <c r="Q3414" s="4" t="e">
        <f t="shared" si="266"/>
        <v>#N/A</v>
      </c>
      <c r="R3414" s="4" t="e">
        <f>IF(AND(B3414=1,N3414&gt;'Line Follower'!$C$7,SUM(C3414:K3414)&lt;4),1,0)</f>
        <v>#N/A</v>
      </c>
      <c r="S3414" s="4" t="e">
        <f>IF(AND(L3414=1,N3414&lt;'Line Follower'!$C$6,SUM(C3414:K3414)&lt;4),1,0)</f>
        <v>#N/A</v>
      </c>
      <c r="T3414" s="4" t="e">
        <f t="shared" si="267"/>
        <v>#N/A</v>
      </c>
      <c r="U3414" s="5" t="e">
        <f t="shared" si="268"/>
        <v>#N/A</v>
      </c>
      <c r="V3414" s="23" t="e">
        <f t="shared" si="269"/>
        <v>#N/A</v>
      </c>
    </row>
    <row r="3415" spans="2:22" x14ac:dyDescent="0.25">
      <c r="B3415" s="16">
        <v>0</v>
      </c>
      <c r="C3415" s="7">
        <v>0</v>
      </c>
      <c r="D3415" s="8">
        <v>1</v>
      </c>
      <c r="E3415" s="8">
        <v>0</v>
      </c>
      <c r="F3415" s="8">
        <v>1</v>
      </c>
      <c r="G3415" s="8">
        <v>0</v>
      </c>
      <c r="H3415" s="8">
        <v>1</v>
      </c>
      <c r="I3415" s="8">
        <v>0</v>
      </c>
      <c r="J3415" s="8">
        <v>1</v>
      </c>
      <c r="K3415" s="9">
        <v>0</v>
      </c>
      <c r="L3415" s="10">
        <v>1</v>
      </c>
      <c r="M3415" s="6">
        <v>1</v>
      </c>
      <c r="N3415" s="37" t="e" cm="1">
        <f t="array" ref="N3415">IF(OR(ISNUMBER(FIND(Aux!$D$3:$D$9,_xlfn.TEXTJOIN(,,C3415:K3415)))),NA(),IF(AND(SUM(C3415:F3415,H3415:K3415)=0,G3415=1),0,INT((SUMPRODUCT(C3415:F3415,COLUMN($A$1:$D$1)-1)+SUMPRODUCT(H3415:K3415,COLUMN($E$1:$H$1)-1))*'Line Follower'!$C$3/SUM(C3415:F3415,H3415:K3415)-'Line Follower'!$C$5)))</f>
        <v>#N/A</v>
      </c>
      <c r="O3415" s="22" t="e">
        <v>#N/A</v>
      </c>
      <c r="P3415" s="4" t="e">
        <f t="shared" si="265"/>
        <v>#N/A</v>
      </c>
      <c r="Q3415" s="4" t="e">
        <f t="shared" si="266"/>
        <v>#N/A</v>
      </c>
      <c r="R3415" s="4" t="e">
        <f>IF(AND(B3415=1,N3415&gt;'Line Follower'!$C$7,SUM(C3415:K3415)&lt;4),1,0)</f>
        <v>#N/A</v>
      </c>
      <c r="S3415" s="4" t="e">
        <f>IF(AND(L3415=1,N3415&lt;'Line Follower'!$C$6,SUM(C3415:K3415)&lt;4),1,0)</f>
        <v>#N/A</v>
      </c>
      <c r="T3415" s="4" t="e">
        <f t="shared" si="267"/>
        <v>#N/A</v>
      </c>
      <c r="U3415" s="5" t="e">
        <f t="shared" si="268"/>
        <v>#N/A</v>
      </c>
      <c r="V3415" s="23" t="e">
        <f t="shared" si="269"/>
        <v>#N/A</v>
      </c>
    </row>
    <row r="3416" spans="2:22" x14ac:dyDescent="0.25">
      <c r="B3416" s="16">
        <v>1</v>
      </c>
      <c r="C3416" s="7">
        <v>0</v>
      </c>
      <c r="D3416" s="8">
        <v>1</v>
      </c>
      <c r="E3416" s="8">
        <v>0</v>
      </c>
      <c r="F3416" s="8">
        <v>1</v>
      </c>
      <c r="G3416" s="8">
        <v>0</v>
      </c>
      <c r="H3416" s="8">
        <v>1</v>
      </c>
      <c r="I3416" s="8">
        <v>0</v>
      </c>
      <c r="J3416" s="8">
        <v>1</v>
      </c>
      <c r="K3416" s="9">
        <v>0</v>
      </c>
      <c r="L3416" s="10">
        <v>1</v>
      </c>
      <c r="M3416" s="6">
        <v>1</v>
      </c>
      <c r="N3416" s="37" t="e" cm="1">
        <f t="array" ref="N3416">IF(OR(ISNUMBER(FIND(Aux!$D$3:$D$9,_xlfn.TEXTJOIN(,,C3416:K3416)))),NA(),IF(AND(SUM(C3416:F3416,H3416:K3416)=0,G3416=1),0,INT((SUMPRODUCT(C3416:F3416,COLUMN($A$1:$D$1)-1)+SUMPRODUCT(H3416:K3416,COLUMN($E$1:$H$1)-1))*'Line Follower'!$C$3/SUM(C3416:F3416,H3416:K3416)-'Line Follower'!$C$5)))</f>
        <v>#N/A</v>
      </c>
      <c r="O3416" s="22" t="e">
        <v>#N/A</v>
      </c>
      <c r="P3416" s="4" t="e">
        <f t="shared" si="265"/>
        <v>#N/A</v>
      </c>
      <c r="Q3416" s="4" t="e">
        <f t="shared" si="266"/>
        <v>#N/A</v>
      </c>
      <c r="R3416" s="4" t="e">
        <f>IF(AND(B3416=1,N3416&gt;'Line Follower'!$C$7,SUM(C3416:K3416)&lt;4),1,0)</f>
        <v>#N/A</v>
      </c>
      <c r="S3416" s="4" t="e">
        <f>IF(AND(L3416=1,N3416&lt;'Line Follower'!$C$6,SUM(C3416:K3416)&lt;4),1,0)</f>
        <v>#N/A</v>
      </c>
      <c r="T3416" s="4" t="e">
        <f t="shared" si="267"/>
        <v>#N/A</v>
      </c>
      <c r="U3416" s="5" t="e">
        <f t="shared" si="268"/>
        <v>#N/A</v>
      </c>
      <c r="V3416" s="23" t="e">
        <f t="shared" si="269"/>
        <v>#N/A</v>
      </c>
    </row>
    <row r="3417" spans="2:22" x14ac:dyDescent="0.25">
      <c r="B3417" s="16">
        <v>0</v>
      </c>
      <c r="C3417" s="7">
        <v>1</v>
      </c>
      <c r="D3417" s="8">
        <v>1</v>
      </c>
      <c r="E3417" s="8">
        <v>0</v>
      </c>
      <c r="F3417" s="8">
        <v>1</v>
      </c>
      <c r="G3417" s="8">
        <v>0</v>
      </c>
      <c r="H3417" s="8">
        <v>1</v>
      </c>
      <c r="I3417" s="8">
        <v>0</v>
      </c>
      <c r="J3417" s="8">
        <v>1</v>
      </c>
      <c r="K3417" s="9">
        <v>0</v>
      </c>
      <c r="L3417" s="10">
        <v>1</v>
      </c>
      <c r="M3417" s="6">
        <v>1</v>
      </c>
      <c r="N3417" s="37" t="e" cm="1">
        <f t="array" ref="N3417">IF(OR(ISNUMBER(FIND(Aux!$D$3:$D$9,_xlfn.TEXTJOIN(,,C3417:K3417)))),NA(),IF(AND(SUM(C3417:F3417,H3417:K3417)=0,G3417=1),0,INT((SUMPRODUCT(C3417:F3417,COLUMN($A$1:$D$1)-1)+SUMPRODUCT(H3417:K3417,COLUMN($E$1:$H$1)-1))*'Line Follower'!$C$3/SUM(C3417:F3417,H3417:K3417)-'Line Follower'!$C$5)))</f>
        <v>#N/A</v>
      </c>
      <c r="O3417" s="22" t="e">
        <v>#N/A</v>
      </c>
      <c r="P3417" s="4" t="e">
        <f t="shared" si="265"/>
        <v>#N/A</v>
      </c>
      <c r="Q3417" s="4" t="e">
        <f t="shared" si="266"/>
        <v>#N/A</v>
      </c>
      <c r="R3417" s="4" t="e">
        <f>IF(AND(B3417=1,N3417&gt;'Line Follower'!$C$7,SUM(C3417:K3417)&lt;4),1,0)</f>
        <v>#N/A</v>
      </c>
      <c r="S3417" s="4" t="e">
        <f>IF(AND(L3417=1,N3417&lt;'Line Follower'!$C$6,SUM(C3417:K3417)&lt;4),1,0)</f>
        <v>#N/A</v>
      </c>
      <c r="T3417" s="4" t="e">
        <f t="shared" si="267"/>
        <v>#N/A</v>
      </c>
      <c r="U3417" s="5" t="e">
        <f t="shared" si="268"/>
        <v>#N/A</v>
      </c>
      <c r="V3417" s="23" t="e">
        <f t="shared" si="269"/>
        <v>#N/A</v>
      </c>
    </row>
    <row r="3418" spans="2:22" x14ac:dyDescent="0.25">
      <c r="B3418" s="16">
        <v>1</v>
      </c>
      <c r="C3418" s="7">
        <v>1</v>
      </c>
      <c r="D3418" s="8">
        <v>1</v>
      </c>
      <c r="E3418" s="8">
        <v>0</v>
      </c>
      <c r="F3418" s="8">
        <v>1</v>
      </c>
      <c r="G3418" s="8">
        <v>0</v>
      </c>
      <c r="H3418" s="8">
        <v>1</v>
      </c>
      <c r="I3418" s="8">
        <v>0</v>
      </c>
      <c r="J3418" s="8">
        <v>1</v>
      </c>
      <c r="K3418" s="9">
        <v>0</v>
      </c>
      <c r="L3418" s="10">
        <v>1</v>
      </c>
      <c r="M3418" s="6">
        <v>1</v>
      </c>
      <c r="N3418" s="37" t="e" cm="1">
        <f t="array" ref="N3418">IF(OR(ISNUMBER(FIND(Aux!$D$3:$D$9,_xlfn.TEXTJOIN(,,C3418:K3418)))),NA(),IF(AND(SUM(C3418:F3418,H3418:K3418)=0,G3418=1),0,INT((SUMPRODUCT(C3418:F3418,COLUMN($A$1:$D$1)-1)+SUMPRODUCT(H3418:K3418,COLUMN($E$1:$H$1)-1))*'Line Follower'!$C$3/SUM(C3418:F3418,H3418:K3418)-'Line Follower'!$C$5)))</f>
        <v>#N/A</v>
      </c>
      <c r="O3418" s="22" t="e">
        <v>#N/A</v>
      </c>
      <c r="P3418" s="4" t="e">
        <f t="shared" si="265"/>
        <v>#N/A</v>
      </c>
      <c r="Q3418" s="4" t="e">
        <f t="shared" si="266"/>
        <v>#N/A</v>
      </c>
      <c r="R3418" s="4" t="e">
        <f>IF(AND(B3418=1,N3418&gt;'Line Follower'!$C$7,SUM(C3418:K3418)&lt;4),1,0)</f>
        <v>#N/A</v>
      </c>
      <c r="S3418" s="4" t="e">
        <f>IF(AND(L3418=1,N3418&lt;'Line Follower'!$C$6,SUM(C3418:K3418)&lt;4),1,0)</f>
        <v>#N/A</v>
      </c>
      <c r="T3418" s="4" t="e">
        <f t="shared" si="267"/>
        <v>#N/A</v>
      </c>
      <c r="U3418" s="5" t="e">
        <f t="shared" si="268"/>
        <v>#N/A</v>
      </c>
      <c r="V3418" s="23" t="e">
        <f t="shared" si="269"/>
        <v>#N/A</v>
      </c>
    </row>
    <row r="3419" spans="2:22" x14ac:dyDescent="0.25">
      <c r="B3419" s="16">
        <v>0</v>
      </c>
      <c r="C3419" s="7">
        <v>0</v>
      </c>
      <c r="D3419" s="8">
        <v>0</v>
      </c>
      <c r="E3419" s="8">
        <v>1</v>
      </c>
      <c r="F3419" s="8">
        <v>1</v>
      </c>
      <c r="G3419" s="8">
        <v>0</v>
      </c>
      <c r="H3419" s="8">
        <v>1</v>
      </c>
      <c r="I3419" s="8">
        <v>0</v>
      </c>
      <c r="J3419" s="8">
        <v>1</v>
      </c>
      <c r="K3419" s="9">
        <v>0</v>
      </c>
      <c r="L3419" s="10">
        <v>1</v>
      </c>
      <c r="M3419" s="6">
        <v>1</v>
      </c>
      <c r="N3419" s="37" t="e" cm="1">
        <f t="array" ref="N3419">IF(OR(ISNUMBER(FIND(Aux!$D$3:$D$9,_xlfn.TEXTJOIN(,,C3419:K3419)))),NA(),IF(AND(SUM(C3419:F3419,H3419:K3419)=0,G3419=1),0,INT((SUMPRODUCT(C3419:F3419,COLUMN($A$1:$D$1)-1)+SUMPRODUCT(H3419:K3419,COLUMN($E$1:$H$1)-1))*'Line Follower'!$C$3/SUM(C3419:F3419,H3419:K3419)-'Line Follower'!$C$5)))</f>
        <v>#N/A</v>
      </c>
      <c r="O3419" s="22" t="e">
        <v>#N/A</v>
      </c>
      <c r="P3419" s="4" t="e">
        <f t="shared" si="265"/>
        <v>#N/A</v>
      </c>
      <c r="Q3419" s="4" t="e">
        <f t="shared" si="266"/>
        <v>#N/A</v>
      </c>
      <c r="R3419" s="4" t="e">
        <f>IF(AND(B3419=1,N3419&gt;'Line Follower'!$C$7,SUM(C3419:K3419)&lt;4),1,0)</f>
        <v>#N/A</v>
      </c>
      <c r="S3419" s="4" t="e">
        <f>IF(AND(L3419=1,N3419&lt;'Line Follower'!$C$6,SUM(C3419:K3419)&lt;4),1,0)</f>
        <v>#N/A</v>
      </c>
      <c r="T3419" s="4" t="e">
        <f t="shared" si="267"/>
        <v>#N/A</v>
      </c>
      <c r="U3419" s="5" t="e">
        <f t="shared" si="268"/>
        <v>#N/A</v>
      </c>
      <c r="V3419" s="23" t="e">
        <f t="shared" si="269"/>
        <v>#N/A</v>
      </c>
    </row>
    <row r="3420" spans="2:22" x14ac:dyDescent="0.25">
      <c r="B3420" s="16">
        <v>1</v>
      </c>
      <c r="C3420" s="7">
        <v>0</v>
      </c>
      <c r="D3420" s="8">
        <v>0</v>
      </c>
      <c r="E3420" s="8">
        <v>1</v>
      </c>
      <c r="F3420" s="8">
        <v>1</v>
      </c>
      <c r="G3420" s="8">
        <v>0</v>
      </c>
      <c r="H3420" s="8">
        <v>1</v>
      </c>
      <c r="I3420" s="8">
        <v>0</v>
      </c>
      <c r="J3420" s="8">
        <v>1</v>
      </c>
      <c r="K3420" s="9">
        <v>0</v>
      </c>
      <c r="L3420" s="10">
        <v>1</v>
      </c>
      <c r="M3420" s="6">
        <v>1</v>
      </c>
      <c r="N3420" s="37" t="e" cm="1">
        <f t="array" ref="N3420">IF(OR(ISNUMBER(FIND(Aux!$D$3:$D$9,_xlfn.TEXTJOIN(,,C3420:K3420)))),NA(),IF(AND(SUM(C3420:F3420,H3420:K3420)=0,G3420=1),0,INT((SUMPRODUCT(C3420:F3420,COLUMN($A$1:$D$1)-1)+SUMPRODUCT(H3420:K3420,COLUMN($E$1:$H$1)-1))*'Line Follower'!$C$3/SUM(C3420:F3420,H3420:K3420)-'Line Follower'!$C$5)))</f>
        <v>#N/A</v>
      </c>
      <c r="O3420" s="22" t="e">
        <v>#N/A</v>
      </c>
      <c r="P3420" s="4" t="e">
        <f t="shared" si="265"/>
        <v>#N/A</v>
      </c>
      <c r="Q3420" s="4" t="e">
        <f t="shared" si="266"/>
        <v>#N/A</v>
      </c>
      <c r="R3420" s="4" t="e">
        <f>IF(AND(B3420=1,N3420&gt;'Line Follower'!$C$7,SUM(C3420:K3420)&lt;4),1,0)</f>
        <v>#N/A</v>
      </c>
      <c r="S3420" s="4" t="e">
        <f>IF(AND(L3420=1,N3420&lt;'Line Follower'!$C$6,SUM(C3420:K3420)&lt;4),1,0)</f>
        <v>#N/A</v>
      </c>
      <c r="T3420" s="4" t="e">
        <f t="shared" si="267"/>
        <v>#N/A</v>
      </c>
      <c r="U3420" s="5" t="e">
        <f t="shared" si="268"/>
        <v>#N/A</v>
      </c>
      <c r="V3420" s="23" t="e">
        <f t="shared" si="269"/>
        <v>#N/A</v>
      </c>
    </row>
    <row r="3421" spans="2:22" x14ac:dyDescent="0.25">
      <c r="B3421" s="16">
        <v>0</v>
      </c>
      <c r="C3421" s="7">
        <v>1</v>
      </c>
      <c r="D3421" s="8">
        <v>0</v>
      </c>
      <c r="E3421" s="8">
        <v>1</v>
      </c>
      <c r="F3421" s="8">
        <v>1</v>
      </c>
      <c r="G3421" s="8">
        <v>0</v>
      </c>
      <c r="H3421" s="8">
        <v>1</v>
      </c>
      <c r="I3421" s="8">
        <v>0</v>
      </c>
      <c r="J3421" s="8">
        <v>1</v>
      </c>
      <c r="K3421" s="9">
        <v>0</v>
      </c>
      <c r="L3421" s="10">
        <v>1</v>
      </c>
      <c r="M3421" s="6">
        <v>1</v>
      </c>
      <c r="N3421" s="37" t="e" cm="1">
        <f t="array" ref="N3421">IF(OR(ISNUMBER(FIND(Aux!$D$3:$D$9,_xlfn.TEXTJOIN(,,C3421:K3421)))),NA(),IF(AND(SUM(C3421:F3421,H3421:K3421)=0,G3421=1),0,INT((SUMPRODUCT(C3421:F3421,COLUMN($A$1:$D$1)-1)+SUMPRODUCT(H3421:K3421,COLUMN($E$1:$H$1)-1))*'Line Follower'!$C$3/SUM(C3421:F3421,H3421:K3421)-'Line Follower'!$C$5)))</f>
        <v>#N/A</v>
      </c>
      <c r="O3421" s="22" t="e">
        <v>#N/A</v>
      </c>
      <c r="P3421" s="4" t="e">
        <f t="shared" si="265"/>
        <v>#N/A</v>
      </c>
      <c r="Q3421" s="4" t="e">
        <f t="shared" si="266"/>
        <v>#N/A</v>
      </c>
      <c r="R3421" s="4" t="e">
        <f>IF(AND(B3421=1,N3421&gt;'Line Follower'!$C$7,SUM(C3421:K3421)&lt;4),1,0)</f>
        <v>#N/A</v>
      </c>
      <c r="S3421" s="4" t="e">
        <f>IF(AND(L3421=1,N3421&lt;'Line Follower'!$C$6,SUM(C3421:K3421)&lt;4),1,0)</f>
        <v>#N/A</v>
      </c>
      <c r="T3421" s="4" t="e">
        <f t="shared" si="267"/>
        <v>#N/A</v>
      </c>
      <c r="U3421" s="5" t="e">
        <f t="shared" si="268"/>
        <v>#N/A</v>
      </c>
      <c r="V3421" s="23" t="e">
        <f t="shared" si="269"/>
        <v>#N/A</v>
      </c>
    </row>
    <row r="3422" spans="2:22" x14ac:dyDescent="0.25">
      <c r="B3422" s="16">
        <v>1</v>
      </c>
      <c r="C3422" s="7">
        <v>1</v>
      </c>
      <c r="D3422" s="8">
        <v>0</v>
      </c>
      <c r="E3422" s="8">
        <v>1</v>
      </c>
      <c r="F3422" s="8">
        <v>1</v>
      </c>
      <c r="G3422" s="8">
        <v>0</v>
      </c>
      <c r="H3422" s="8">
        <v>1</v>
      </c>
      <c r="I3422" s="8">
        <v>0</v>
      </c>
      <c r="J3422" s="8">
        <v>1</v>
      </c>
      <c r="K3422" s="9">
        <v>0</v>
      </c>
      <c r="L3422" s="10">
        <v>1</v>
      </c>
      <c r="M3422" s="6">
        <v>1</v>
      </c>
      <c r="N3422" s="37" t="e" cm="1">
        <f t="array" ref="N3422">IF(OR(ISNUMBER(FIND(Aux!$D$3:$D$9,_xlfn.TEXTJOIN(,,C3422:K3422)))),NA(),IF(AND(SUM(C3422:F3422,H3422:K3422)=0,G3422=1),0,INT((SUMPRODUCT(C3422:F3422,COLUMN($A$1:$D$1)-1)+SUMPRODUCT(H3422:K3422,COLUMN($E$1:$H$1)-1))*'Line Follower'!$C$3/SUM(C3422:F3422,H3422:K3422)-'Line Follower'!$C$5)))</f>
        <v>#N/A</v>
      </c>
      <c r="O3422" s="22" t="e">
        <v>#N/A</v>
      </c>
      <c r="P3422" s="4" t="e">
        <f t="shared" si="265"/>
        <v>#N/A</v>
      </c>
      <c r="Q3422" s="4" t="e">
        <f t="shared" si="266"/>
        <v>#N/A</v>
      </c>
      <c r="R3422" s="4" t="e">
        <f>IF(AND(B3422=1,N3422&gt;'Line Follower'!$C$7,SUM(C3422:K3422)&lt;4),1,0)</f>
        <v>#N/A</v>
      </c>
      <c r="S3422" s="4" t="e">
        <f>IF(AND(L3422=1,N3422&lt;'Line Follower'!$C$6,SUM(C3422:K3422)&lt;4),1,0)</f>
        <v>#N/A</v>
      </c>
      <c r="T3422" s="4" t="e">
        <f t="shared" si="267"/>
        <v>#N/A</v>
      </c>
      <c r="U3422" s="5" t="e">
        <f t="shared" si="268"/>
        <v>#N/A</v>
      </c>
      <c r="V3422" s="23" t="e">
        <f t="shared" si="269"/>
        <v>#N/A</v>
      </c>
    </row>
    <row r="3423" spans="2:22" x14ac:dyDescent="0.25">
      <c r="B3423" s="16">
        <v>0</v>
      </c>
      <c r="C3423" s="7">
        <v>0</v>
      </c>
      <c r="D3423" s="8">
        <v>1</v>
      </c>
      <c r="E3423" s="8">
        <v>1</v>
      </c>
      <c r="F3423" s="8">
        <v>1</v>
      </c>
      <c r="G3423" s="8">
        <v>0</v>
      </c>
      <c r="H3423" s="8">
        <v>1</v>
      </c>
      <c r="I3423" s="8">
        <v>0</v>
      </c>
      <c r="J3423" s="8">
        <v>1</v>
      </c>
      <c r="K3423" s="9">
        <v>0</v>
      </c>
      <c r="L3423" s="10">
        <v>1</v>
      </c>
      <c r="M3423" s="6">
        <v>1</v>
      </c>
      <c r="N3423" s="37" t="e" cm="1">
        <f t="array" ref="N3423">IF(OR(ISNUMBER(FIND(Aux!$D$3:$D$9,_xlfn.TEXTJOIN(,,C3423:K3423)))),NA(),IF(AND(SUM(C3423:F3423,H3423:K3423)=0,G3423=1),0,INT((SUMPRODUCT(C3423:F3423,COLUMN($A$1:$D$1)-1)+SUMPRODUCT(H3423:K3423,COLUMN($E$1:$H$1)-1))*'Line Follower'!$C$3/SUM(C3423:F3423,H3423:K3423)-'Line Follower'!$C$5)))</f>
        <v>#N/A</v>
      </c>
      <c r="O3423" s="22" t="e">
        <v>#N/A</v>
      </c>
      <c r="P3423" s="4" t="e">
        <f t="shared" si="265"/>
        <v>#N/A</v>
      </c>
      <c r="Q3423" s="4" t="e">
        <f t="shared" si="266"/>
        <v>#N/A</v>
      </c>
      <c r="R3423" s="4" t="e">
        <f>IF(AND(B3423=1,N3423&gt;'Line Follower'!$C$7,SUM(C3423:K3423)&lt;4),1,0)</f>
        <v>#N/A</v>
      </c>
      <c r="S3423" s="4" t="e">
        <f>IF(AND(L3423=1,N3423&lt;'Line Follower'!$C$6,SUM(C3423:K3423)&lt;4),1,0)</f>
        <v>#N/A</v>
      </c>
      <c r="T3423" s="4" t="e">
        <f t="shared" si="267"/>
        <v>#N/A</v>
      </c>
      <c r="U3423" s="5" t="e">
        <f t="shared" si="268"/>
        <v>#N/A</v>
      </c>
      <c r="V3423" s="23" t="e">
        <f t="shared" si="269"/>
        <v>#N/A</v>
      </c>
    </row>
    <row r="3424" spans="2:22" x14ac:dyDescent="0.25">
      <c r="B3424" s="16">
        <v>1</v>
      </c>
      <c r="C3424" s="7">
        <v>0</v>
      </c>
      <c r="D3424" s="8">
        <v>1</v>
      </c>
      <c r="E3424" s="8">
        <v>1</v>
      </c>
      <c r="F3424" s="8">
        <v>1</v>
      </c>
      <c r="G3424" s="8">
        <v>0</v>
      </c>
      <c r="H3424" s="8">
        <v>1</v>
      </c>
      <c r="I3424" s="8">
        <v>0</v>
      </c>
      <c r="J3424" s="8">
        <v>1</v>
      </c>
      <c r="K3424" s="9">
        <v>0</v>
      </c>
      <c r="L3424" s="10">
        <v>1</v>
      </c>
      <c r="M3424" s="6">
        <v>1</v>
      </c>
      <c r="N3424" s="37" t="e" cm="1">
        <f t="array" ref="N3424">IF(OR(ISNUMBER(FIND(Aux!$D$3:$D$9,_xlfn.TEXTJOIN(,,C3424:K3424)))),NA(),IF(AND(SUM(C3424:F3424,H3424:K3424)=0,G3424=1),0,INT((SUMPRODUCT(C3424:F3424,COLUMN($A$1:$D$1)-1)+SUMPRODUCT(H3424:K3424,COLUMN($E$1:$H$1)-1))*'Line Follower'!$C$3/SUM(C3424:F3424,H3424:K3424)-'Line Follower'!$C$5)))</f>
        <v>#N/A</v>
      </c>
      <c r="O3424" s="22" t="e">
        <v>#N/A</v>
      </c>
      <c r="P3424" s="4" t="e">
        <f t="shared" si="265"/>
        <v>#N/A</v>
      </c>
      <c r="Q3424" s="4" t="e">
        <f t="shared" si="266"/>
        <v>#N/A</v>
      </c>
      <c r="R3424" s="4" t="e">
        <f>IF(AND(B3424=1,N3424&gt;'Line Follower'!$C$7,SUM(C3424:K3424)&lt;4),1,0)</f>
        <v>#N/A</v>
      </c>
      <c r="S3424" s="4" t="e">
        <f>IF(AND(L3424=1,N3424&lt;'Line Follower'!$C$6,SUM(C3424:K3424)&lt;4),1,0)</f>
        <v>#N/A</v>
      </c>
      <c r="T3424" s="4" t="e">
        <f t="shared" si="267"/>
        <v>#N/A</v>
      </c>
      <c r="U3424" s="5" t="e">
        <f t="shared" si="268"/>
        <v>#N/A</v>
      </c>
      <c r="V3424" s="23" t="e">
        <f t="shared" si="269"/>
        <v>#N/A</v>
      </c>
    </row>
    <row r="3425" spans="2:22" x14ac:dyDescent="0.25">
      <c r="B3425" s="16">
        <v>0</v>
      </c>
      <c r="C3425" s="7">
        <v>1</v>
      </c>
      <c r="D3425" s="8">
        <v>1</v>
      </c>
      <c r="E3425" s="8">
        <v>1</v>
      </c>
      <c r="F3425" s="8">
        <v>1</v>
      </c>
      <c r="G3425" s="8">
        <v>0</v>
      </c>
      <c r="H3425" s="8">
        <v>1</v>
      </c>
      <c r="I3425" s="8">
        <v>0</v>
      </c>
      <c r="J3425" s="8">
        <v>1</v>
      </c>
      <c r="K3425" s="9">
        <v>0</v>
      </c>
      <c r="L3425" s="10">
        <v>1</v>
      </c>
      <c r="M3425" s="6">
        <v>1</v>
      </c>
      <c r="N3425" s="37" t="e" cm="1">
        <f t="array" ref="N3425">IF(OR(ISNUMBER(FIND(Aux!$D$3:$D$9,_xlfn.TEXTJOIN(,,C3425:K3425)))),NA(),IF(AND(SUM(C3425:F3425,H3425:K3425)=0,G3425=1),0,INT((SUMPRODUCT(C3425:F3425,COLUMN($A$1:$D$1)-1)+SUMPRODUCT(H3425:K3425,COLUMN($E$1:$H$1)-1))*'Line Follower'!$C$3/SUM(C3425:F3425,H3425:K3425)-'Line Follower'!$C$5)))</f>
        <v>#N/A</v>
      </c>
      <c r="O3425" s="22" t="e">
        <v>#N/A</v>
      </c>
      <c r="P3425" s="4" t="e">
        <f t="shared" si="265"/>
        <v>#N/A</v>
      </c>
      <c r="Q3425" s="4" t="e">
        <f t="shared" si="266"/>
        <v>#N/A</v>
      </c>
      <c r="R3425" s="4" t="e">
        <f>IF(AND(B3425=1,N3425&gt;'Line Follower'!$C$7,SUM(C3425:K3425)&lt;4),1,0)</f>
        <v>#N/A</v>
      </c>
      <c r="S3425" s="4" t="e">
        <f>IF(AND(L3425=1,N3425&lt;'Line Follower'!$C$6,SUM(C3425:K3425)&lt;4),1,0)</f>
        <v>#N/A</v>
      </c>
      <c r="T3425" s="4" t="e">
        <f t="shared" si="267"/>
        <v>#N/A</v>
      </c>
      <c r="U3425" s="5" t="e">
        <f t="shared" si="268"/>
        <v>#N/A</v>
      </c>
      <c r="V3425" s="23" t="e">
        <f t="shared" si="269"/>
        <v>#N/A</v>
      </c>
    </row>
    <row r="3426" spans="2:22" x14ac:dyDescent="0.25">
      <c r="B3426" s="16">
        <v>1</v>
      </c>
      <c r="C3426" s="7">
        <v>1</v>
      </c>
      <c r="D3426" s="8">
        <v>1</v>
      </c>
      <c r="E3426" s="8">
        <v>1</v>
      </c>
      <c r="F3426" s="8">
        <v>1</v>
      </c>
      <c r="G3426" s="8">
        <v>0</v>
      </c>
      <c r="H3426" s="8">
        <v>1</v>
      </c>
      <c r="I3426" s="8">
        <v>0</v>
      </c>
      <c r="J3426" s="8">
        <v>1</v>
      </c>
      <c r="K3426" s="9">
        <v>0</v>
      </c>
      <c r="L3426" s="10">
        <v>1</v>
      </c>
      <c r="M3426" s="6">
        <v>1</v>
      </c>
      <c r="N3426" s="37" t="e" cm="1">
        <f t="array" ref="N3426">IF(OR(ISNUMBER(FIND(Aux!$D$3:$D$9,_xlfn.TEXTJOIN(,,C3426:K3426)))),NA(),IF(AND(SUM(C3426:F3426,H3426:K3426)=0,G3426=1),0,INT((SUMPRODUCT(C3426:F3426,COLUMN($A$1:$D$1)-1)+SUMPRODUCT(H3426:K3426,COLUMN($E$1:$H$1)-1))*'Line Follower'!$C$3/SUM(C3426:F3426,H3426:K3426)-'Line Follower'!$C$5)))</f>
        <v>#N/A</v>
      </c>
      <c r="O3426" s="22" t="e">
        <v>#N/A</v>
      </c>
      <c r="P3426" s="4" t="e">
        <f t="shared" si="265"/>
        <v>#N/A</v>
      </c>
      <c r="Q3426" s="4" t="e">
        <f t="shared" si="266"/>
        <v>#N/A</v>
      </c>
      <c r="R3426" s="4" t="e">
        <f>IF(AND(B3426=1,N3426&gt;'Line Follower'!$C$7,SUM(C3426:K3426)&lt;4),1,0)</f>
        <v>#N/A</v>
      </c>
      <c r="S3426" s="4" t="e">
        <f>IF(AND(L3426=1,N3426&lt;'Line Follower'!$C$6,SUM(C3426:K3426)&lt;4),1,0)</f>
        <v>#N/A</v>
      </c>
      <c r="T3426" s="4" t="e">
        <f t="shared" si="267"/>
        <v>#N/A</v>
      </c>
      <c r="U3426" s="5" t="e">
        <f t="shared" si="268"/>
        <v>#N/A</v>
      </c>
      <c r="V3426" s="23" t="e">
        <f t="shared" si="269"/>
        <v>#N/A</v>
      </c>
    </row>
    <row r="3427" spans="2:22" x14ac:dyDescent="0.25">
      <c r="B3427" s="16">
        <v>0</v>
      </c>
      <c r="C3427" s="7">
        <v>0</v>
      </c>
      <c r="D3427" s="8">
        <v>0</v>
      </c>
      <c r="E3427" s="8">
        <v>0</v>
      </c>
      <c r="F3427" s="8">
        <v>0</v>
      </c>
      <c r="G3427" s="8">
        <v>1</v>
      </c>
      <c r="H3427" s="8">
        <v>1</v>
      </c>
      <c r="I3427" s="8">
        <v>0</v>
      </c>
      <c r="J3427" s="8">
        <v>1</v>
      </c>
      <c r="K3427" s="9">
        <v>0</v>
      </c>
      <c r="L3427" s="10">
        <v>1</v>
      </c>
      <c r="M3427" s="6">
        <v>1</v>
      </c>
      <c r="N3427" s="37" t="e" cm="1">
        <f t="array" ref="N3427">IF(OR(ISNUMBER(FIND(Aux!$D$3:$D$9,_xlfn.TEXTJOIN(,,C3427:K3427)))),NA(),IF(AND(SUM(C3427:F3427,H3427:K3427)=0,G3427=1),0,INT((SUMPRODUCT(C3427:F3427,COLUMN($A$1:$D$1)-1)+SUMPRODUCT(H3427:K3427,COLUMN($E$1:$H$1)-1))*'Line Follower'!$C$3/SUM(C3427:F3427,H3427:K3427)-'Line Follower'!$C$5)))</f>
        <v>#N/A</v>
      </c>
      <c r="O3427" s="22" t="e">
        <v>#N/A</v>
      </c>
      <c r="P3427" s="4" t="e">
        <f t="shared" si="265"/>
        <v>#N/A</v>
      </c>
      <c r="Q3427" s="4" t="e">
        <f t="shared" si="266"/>
        <v>#N/A</v>
      </c>
      <c r="R3427" s="4" t="e">
        <f>IF(AND(B3427=1,N3427&gt;'Line Follower'!$C$7,SUM(C3427:K3427)&lt;4),1,0)</f>
        <v>#N/A</v>
      </c>
      <c r="S3427" s="4" t="e">
        <f>IF(AND(L3427=1,N3427&lt;'Line Follower'!$C$6,SUM(C3427:K3427)&lt;4),1,0)</f>
        <v>#N/A</v>
      </c>
      <c r="T3427" s="4" t="e">
        <f t="shared" si="267"/>
        <v>#N/A</v>
      </c>
      <c r="U3427" s="5" t="e">
        <f t="shared" si="268"/>
        <v>#N/A</v>
      </c>
      <c r="V3427" s="23" t="e">
        <f t="shared" si="269"/>
        <v>#N/A</v>
      </c>
    </row>
    <row r="3428" spans="2:22" x14ac:dyDescent="0.25">
      <c r="B3428" s="16">
        <v>1</v>
      </c>
      <c r="C3428" s="7">
        <v>0</v>
      </c>
      <c r="D3428" s="8">
        <v>0</v>
      </c>
      <c r="E3428" s="8">
        <v>0</v>
      </c>
      <c r="F3428" s="8">
        <v>0</v>
      </c>
      <c r="G3428" s="8">
        <v>1</v>
      </c>
      <c r="H3428" s="8">
        <v>1</v>
      </c>
      <c r="I3428" s="8">
        <v>0</v>
      </c>
      <c r="J3428" s="8">
        <v>1</v>
      </c>
      <c r="K3428" s="9">
        <v>0</v>
      </c>
      <c r="L3428" s="10">
        <v>1</v>
      </c>
      <c r="M3428" s="6">
        <v>1</v>
      </c>
      <c r="N3428" s="37" t="e" cm="1">
        <f t="array" ref="N3428">IF(OR(ISNUMBER(FIND(Aux!$D$3:$D$9,_xlfn.TEXTJOIN(,,C3428:K3428)))),NA(),IF(AND(SUM(C3428:F3428,H3428:K3428)=0,G3428=1),0,INT((SUMPRODUCT(C3428:F3428,COLUMN($A$1:$D$1)-1)+SUMPRODUCT(H3428:K3428,COLUMN($E$1:$H$1)-1))*'Line Follower'!$C$3/SUM(C3428:F3428,H3428:K3428)-'Line Follower'!$C$5)))</f>
        <v>#N/A</v>
      </c>
      <c r="O3428" s="22" t="e">
        <v>#N/A</v>
      </c>
      <c r="P3428" s="4" t="e">
        <f t="shared" si="265"/>
        <v>#N/A</v>
      </c>
      <c r="Q3428" s="4" t="e">
        <f t="shared" si="266"/>
        <v>#N/A</v>
      </c>
      <c r="R3428" s="4" t="e">
        <f>IF(AND(B3428=1,N3428&gt;'Line Follower'!$C$7,SUM(C3428:K3428)&lt;4),1,0)</f>
        <v>#N/A</v>
      </c>
      <c r="S3428" s="4" t="e">
        <f>IF(AND(L3428=1,N3428&lt;'Line Follower'!$C$6,SUM(C3428:K3428)&lt;4),1,0)</f>
        <v>#N/A</v>
      </c>
      <c r="T3428" s="4" t="e">
        <f t="shared" si="267"/>
        <v>#N/A</v>
      </c>
      <c r="U3428" s="5" t="e">
        <f t="shared" si="268"/>
        <v>#N/A</v>
      </c>
      <c r="V3428" s="23" t="e">
        <f t="shared" si="269"/>
        <v>#N/A</v>
      </c>
    </row>
    <row r="3429" spans="2:22" x14ac:dyDescent="0.25">
      <c r="B3429" s="16">
        <v>0</v>
      </c>
      <c r="C3429" s="7">
        <v>1</v>
      </c>
      <c r="D3429" s="8">
        <v>0</v>
      </c>
      <c r="E3429" s="8">
        <v>0</v>
      </c>
      <c r="F3429" s="8">
        <v>0</v>
      </c>
      <c r="G3429" s="8">
        <v>1</v>
      </c>
      <c r="H3429" s="8">
        <v>1</v>
      </c>
      <c r="I3429" s="8">
        <v>0</v>
      </c>
      <c r="J3429" s="8">
        <v>1</v>
      </c>
      <c r="K3429" s="9">
        <v>0</v>
      </c>
      <c r="L3429" s="10">
        <v>1</v>
      </c>
      <c r="M3429" s="6">
        <v>1</v>
      </c>
      <c r="N3429" s="37" t="e" cm="1">
        <f t="array" ref="N3429">IF(OR(ISNUMBER(FIND(Aux!$D$3:$D$9,_xlfn.TEXTJOIN(,,C3429:K3429)))),NA(),IF(AND(SUM(C3429:F3429,H3429:K3429)=0,G3429=1),0,INT((SUMPRODUCT(C3429:F3429,COLUMN($A$1:$D$1)-1)+SUMPRODUCT(H3429:K3429,COLUMN($E$1:$H$1)-1))*'Line Follower'!$C$3/SUM(C3429:F3429,H3429:K3429)-'Line Follower'!$C$5)))</f>
        <v>#N/A</v>
      </c>
      <c r="O3429" s="22" t="e">
        <v>#N/A</v>
      </c>
      <c r="P3429" s="4" t="e">
        <f t="shared" si="265"/>
        <v>#N/A</v>
      </c>
      <c r="Q3429" s="4" t="e">
        <f t="shared" si="266"/>
        <v>#N/A</v>
      </c>
      <c r="R3429" s="4" t="e">
        <f>IF(AND(B3429=1,N3429&gt;'Line Follower'!$C$7,SUM(C3429:K3429)&lt;4),1,0)</f>
        <v>#N/A</v>
      </c>
      <c r="S3429" s="4" t="e">
        <f>IF(AND(L3429=1,N3429&lt;'Line Follower'!$C$6,SUM(C3429:K3429)&lt;4),1,0)</f>
        <v>#N/A</v>
      </c>
      <c r="T3429" s="4" t="e">
        <f t="shared" si="267"/>
        <v>#N/A</v>
      </c>
      <c r="U3429" s="5" t="e">
        <f t="shared" si="268"/>
        <v>#N/A</v>
      </c>
      <c r="V3429" s="23" t="e">
        <f t="shared" si="269"/>
        <v>#N/A</v>
      </c>
    </row>
    <row r="3430" spans="2:22" x14ac:dyDescent="0.25">
      <c r="B3430" s="16">
        <v>1</v>
      </c>
      <c r="C3430" s="7">
        <v>1</v>
      </c>
      <c r="D3430" s="8">
        <v>0</v>
      </c>
      <c r="E3430" s="8">
        <v>0</v>
      </c>
      <c r="F3430" s="8">
        <v>0</v>
      </c>
      <c r="G3430" s="8">
        <v>1</v>
      </c>
      <c r="H3430" s="8">
        <v>1</v>
      </c>
      <c r="I3430" s="8">
        <v>0</v>
      </c>
      <c r="J3430" s="8">
        <v>1</v>
      </c>
      <c r="K3430" s="9">
        <v>0</v>
      </c>
      <c r="L3430" s="10">
        <v>1</v>
      </c>
      <c r="M3430" s="6">
        <v>1</v>
      </c>
      <c r="N3430" s="37" t="e" cm="1">
        <f t="array" ref="N3430">IF(OR(ISNUMBER(FIND(Aux!$D$3:$D$9,_xlfn.TEXTJOIN(,,C3430:K3430)))),NA(),IF(AND(SUM(C3430:F3430,H3430:K3430)=0,G3430=1),0,INT((SUMPRODUCT(C3430:F3430,COLUMN($A$1:$D$1)-1)+SUMPRODUCT(H3430:K3430,COLUMN($E$1:$H$1)-1))*'Line Follower'!$C$3/SUM(C3430:F3430,H3430:K3430)-'Line Follower'!$C$5)))</f>
        <v>#N/A</v>
      </c>
      <c r="O3430" s="22" t="e">
        <v>#N/A</v>
      </c>
      <c r="P3430" s="4" t="e">
        <f t="shared" si="265"/>
        <v>#N/A</v>
      </c>
      <c r="Q3430" s="4" t="e">
        <f t="shared" si="266"/>
        <v>#N/A</v>
      </c>
      <c r="R3430" s="4" t="e">
        <f>IF(AND(B3430=1,N3430&gt;'Line Follower'!$C$7,SUM(C3430:K3430)&lt;4),1,0)</f>
        <v>#N/A</v>
      </c>
      <c r="S3430" s="4" t="e">
        <f>IF(AND(L3430=1,N3430&lt;'Line Follower'!$C$6,SUM(C3430:K3430)&lt;4),1,0)</f>
        <v>#N/A</v>
      </c>
      <c r="T3430" s="4" t="e">
        <f t="shared" si="267"/>
        <v>#N/A</v>
      </c>
      <c r="U3430" s="5" t="e">
        <f t="shared" si="268"/>
        <v>#N/A</v>
      </c>
      <c r="V3430" s="23" t="e">
        <f t="shared" si="269"/>
        <v>#N/A</v>
      </c>
    </row>
    <row r="3431" spans="2:22" x14ac:dyDescent="0.25">
      <c r="B3431" s="16">
        <v>0</v>
      </c>
      <c r="C3431" s="7">
        <v>0</v>
      </c>
      <c r="D3431" s="8">
        <v>1</v>
      </c>
      <c r="E3431" s="8">
        <v>0</v>
      </c>
      <c r="F3431" s="8">
        <v>0</v>
      </c>
      <c r="G3431" s="8">
        <v>1</v>
      </c>
      <c r="H3431" s="8">
        <v>1</v>
      </c>
      <c r="I3431" s="8">
        <v>0</v>
      </c>
      <c r="J3431" s="8">
        <v>1</v>
      </c>
      <c r="K3431" s="9">
        <v>0</v>
      </c>
      <c r="L3431" s="10">
        <v>1</v>
      </c>
      <c r="M3431" s="6">
        <v>1</v>
      </c>
      <c r="N3431" s="37" t="e" cm="1">
        <f t="array" ref="N3431">IF(OR(ISNUMBER(FIND(Aux!$D$3:$D$9,_xlfn.TEXTJOIN(,,C3431:K3431)))),NA(),IF(AND(SUM(C3431:F3431,H3431:K3431)=0,G3431=1),0,INT((SUMPRODUCT(C3431:F3431,COLUMN($A$1:$D$1)-1)+SUMPRODUCT(H3431:K3431,COLUMN($E$1:$H$1)-1))*'Line Follower'!$C$3/SUM(C3431:F3431,H3431:K3431)-'Line Follower'!$C$5)))</f>
        <v>#N/A</v>
      </c>
      <c r="O3431" s="22" t="e">
        <v>#N/A</v>
      </c>
      <c r="P3431" s="4" t="e">
        <f t="shared" si="265"/>
        <v>#N/A</v>
      </c>
      <c r="Q3431" s="4" t="e">
        <f t="shared" si="266"/>
        <v>#N/A</v>
      </c>
      <c r="R3431" s="4" t="e">
        <f>IF(AND(B3431=1,N3431&gt;'Line Follower'!$C$7,SUM(C3431:K3431)&lt;4),1,0)</f>
        <v>#N/A</v>
      </c>
      <c r="S3431" s="4" t="e">
        <f>IF(AND(L3431=1,N3431&lt;'Line Follower'!$C$6,SUM(C3431:K3431)&lt;4),1,0)</f>
        <v>#N/A</v>
      </c>
      <c r="T3431" s="4" t="e">
        <f t="shared" si="267"/>
        <v>#N/A</v>
      </c>
      <c r="U3431" s="5" t="e">
        <f t="shared" si="268"/>
        <v>#N/A</v>
      </c>
      <c r="V3431" s="23" t="e">
        <f t="shared" si="269"/>
        <v>#N/A</v>
      </c>
    </row>
    <row r="3432" spans="2:22" x14ac:dyDescent="0.25">
      <c r="B3432" s="16">
        <v>1</v>
      </c>
      <c r="C3432" s="7">
        <v>0</v>
      </c>
      <c r="D3432" s="8">
        <v>1</v>
      </c>
      <c r="E3432" s="8">
        <v>0</v>
      </c>
      <c r="F3432" s="8">
        <v>0</v>
      </c>
      <c r="G3432" s="8">
        <v>1</v>
      </c>
      <c r="H3432" s="8">
        <v>1</v>
      </c>
      <c r="I3432" s="8">
        <v>0</v>
      </c>
      <c r="J3432" s="8">
        <v>1</v>
      </c>
      <c r="K3432" s="9">
        <v>0</v>
      </c>
      <c r="L3432" s="10">
        <v>1</v>
      </c>
      <c r="M3432" s="6">
        <v>1</v>
      </c>
      <c r="N3432" s="37" t="e" cm="1">
        <f t="array" ref="N3432">IF(OR(ISNUMBER(FIND(Aux!$D$3:$D$9,_xlfn.TEXTJOIN(,,C3432:K3432)))),NA(),IF(AND(SUM(C3432:F3432,H3432:K3432)=0,G3432=1),0,INT((SUMPRODUCT(C3432:F3432,COLUMN($A$1:$D$1)-1)+SUMPRODUCT(H3432:K3432,COLUMN($E$1:$H$1)-1))*'Line Follower'!$C$3/SUM(C3432:F3432,H3432:K3432)-'Line Follower'!$C$5)))</f>
        <v>#N/A</v>
      </c>
      <c r="O3432" s="22" t="e">
        <v>#N/A</v>
      </c>
      <c r="P3432" s="4" t="e">
        <f t="shared" si="265"/>
        <v>#N/A</v>
      </c>
      <c r="Q3432" s="4" t="e">
        <f t="shared" si="266"/>
        <v>#N/A</v>
      </c>
      <c r="R3432" s="4" t="e">
        <f>IF(AND(B3432=1,N3432&gt;'Line Follower'!$C$7,SUM(C3432:K3432)&lt;4),1,0)</f>
        <v>#N/A</v>
      </c>
      <c r="S3432" s="4" t="e">
        <f>IF(AND(L3432=1,N3432&lt;'Line Follower'!$C$6,SUM(C3432:K3432)&lt;4),1,0)</f>
        <v>#N/A</v>
      </c>
      <c r="T3432" s="4" t="e">
        <f t="shared" si="267"/>
        <v>#N/A</v>
      </c>
      <c r="U3432" s="5" t="e">
        <f t="shared" si="268"/>
        <v>#N/A</v>
      </c>
      <c r="V3432" s="23" t="e">
        <f t="shared" si="269"/>
        <v>#N/A</v>
      </c>
    </row>
    <row r="3433" spans="2:22" x14ac:dyDescent="0.25">
      <c r="B3433" s="16">
        <v>0</v>
      </c>
      <c r="C3433" s="7">
        <v>1</v>
      </c>
      <c r="D3433" s="8">
        <v>1</v>
      </c>
      <c r="E3433" s="8">
        <v>0</v>
      </c>
      <c r="F3433" s="8">
        <v>0</v>
      </c>
      <c r="G3433" s="8">
        <v>1</v>
      </c>
      <c r="H3433" s="8">
        <v>1</v>
      </c>
      <c r="I3433" s="8">
        <v>0</v>
      </c>
      <c r="J3433" s="8">
        <v>1</v>
      </c>
      <c r="K3433" s="9">
        <v>0</v>
      </c>
      <c r="L3433" s="10">
        <v>1</v>
      </c>
      <c r="M3433" s="6">
        <v>1</v>
      </c>
      <c r="N3433" s="37" t="e" cm="1">
        <f t="array" ref="N3433">IF(OR(ISNUMBER(FIND(Aux!$D$3:$D$9,_xlfn.TEXTJOIN(,,C3433:K3433)))),NA(),IF(AND(SUM(C3433:F3433,H3433:K3433)=0,G3433=1),0,INT((SUMPRODUCT(C3433:F3433,COLUMN($A$1:$D$1)-1)+SUMPRODUCT(H3433:K3433,COLUMN($E$1:$H$1)-1))*'Line Follower'!$C$3/SUM(C3433:F3433,H3433:K3433)-'Line Follower'!$C$5)))</f>
        <v>#N/A</v>
      </c>
      <c r="O3433" s="22" t="e">
        <v>#N/A</v>
      </c>
      <c r="P3433" s="4" t="e">
        <f t="shared" si="265"/>
        <v>#N/A</v>
      </c>
      <c r="Q3433" s="4" t="e">
        <f t="shared" si="266"/>
        <v>#N/A</v>
      </c>
      <c r="R3433" s="4" t="e">
        <f>IF(AND(B3433=1,N3433&gt;'Line Follower'!$C$7,SUM(C3433:K3433)&lt;4),1,0)</f>
        <v>#N/A</v>
      </c>
      <c r="S3433" s="4" t="e">
        <f>IF(AND(L3433=1,N3433&lt;'Line Follower'!$C$6,SUM(C3433:K3433)&lt;4),1,0)</f>
        <v>#N/A</v>
      </c>
      <c r="T3433" s="4" t="e">
        <f t="shared" si="267"/>
        <v>#N/A</v>
      </c>
      <c r="U3433" s="5" t="e">
        <f t="shared" si="268"/>
        <v>#N/A</v>
      </c>
      <c r="V3433" s="23" t="e">
        <f t="shared" si="269"/>
        <v>#N/A</v>
      </c>
    </row>
    <row r="3434" spans="2:22" x14ac:dyDescent="0.25">
      <c r="B3434" s="16">
        <v>1</v>
      </c>
      <c r="C3434" s="7">
        <v>1</v>
      </c>
      <c r="D3434" s="8">
        <v>1</v>
      </c>
      <c r="E3434" s="8">
        <v>0</v>
      </c>
      <c r="F3434" s="8">
        <v>0</v>
      </c>
      <c r="G3434" s="8">
        <v>1</v>
      </c>
      <c r="H3434" s="8">
        <v>1</v>
      </c>
      <c r="I3434" s="8">
        <v>0</v>
      </c>
      <c r="J3434" s="8">
        <v>1</v>
      </c>
      <c r="K3434" s="9">
        <v>0</v>
      </c>
      <c r="L3434" s="10">
        <v>1</v>
      </c>
      <c r="M3434" s="6">
        <v>1</v>
      </c>
      <c r="N3434" s="37" t="e" cm="1">
        <f t="array" ref="N3434">IF(OR(ISNUMBER(FIND(Aux!$D$3:$D$9,_xlfn.TEXTJOIN(,,C3434:K3434)))),NA(),IF(AND(SUM(C3434:F3434,H3434:K3434)=0,G3434=1),0,INT((SUMPRODUCT(C3434:F3434,COLUMN($A$1:$D$1)-1)+SUMPRODUCT(H3434:K3434,COLUMN($E$1:$H$1)-1))*'Line Follower'!$C$3/SUM(C3434:F3434,H3434:K3434)-'Line Follower'!$C$5)))</f>
        <v>#N/A</v>
      </c>
      <c r="O3434" s="22" t="e">
        <v>#N/A</v>
      </c>
      <c r="P3434" s="4" t="e">
        <f t="shared" si="265"/>
        <v>#N/A</v>
      </c>
      <c r="Q3434" s="4" t="e">
        <f t="shared" si="266"/>
        <v>#N/A</v>
      </c>
      <c r="R3434" s="4" t="e">
        <f>IF(AND(B3434=1,N3434&gt;'Line Follower'!$C$7,SUM(C3434:K3434)&lt;4),1,0)</f>
        <v>#N/A</v>
      </c>
      <c r="S3434" s="4" t="e">
        <f>IF(AND(L3434=1,N3434&lt;'Line Follower'!$C$6,SUM(C3434:K3434)&lt;4),1,0)</f>
        <v>#N/A</v>
      </c>
      <c r="T3434" s="4" t="e">
        <f t="shared" si="267"/>
        <v>#N/A</v>
      </c>
      <c r="U3434" s="5" t="e">
        <f t="shared" si="268"/>
        <v>#N/A</v>
      </c>
      <c r="V3434" s="23" t="e">
        <f t="shared" si="269"/>
        <v>#N/A</v>
      </c>
    </row>
    <row r="3435" spans="2:22" x14ac:dyDescent="0.25">
      <c r="B3435" s="16">
        <v>0</v>
      </c>
      <c r="C3435" s="7">
        <v>0</v>
      </c>
      <c r="D3435" s="8">
        <v>0</v>
      </c>
      <c r="E3435" s="8">
        <v>1</v>
      </c>
      <c r="F3435" s="8">
        <v>0</v>
      </c>
      <c r="G3435" s="8">
        <v>1</v>
      </c>
      <c r="H3435" s="8">
        <v>1</v>
      </c>
      <c r="I3435" s="8">
        <v>0</v>
      </c>
      <c r="J3435" s="8">
        <v>1</v>
      </c>
      <c r="K3435" s="9">
        <v>0</v>
      </c>
      <c r="L3435" s="10">
        <v>1</v>
      </c>
      <c r="M3435" s="6">
        <v>1</v>
      </c>
      <c r="N3435" s="37" t="e" cm="1">
        <f t="array" ref="N3435">IF(OR(ISNUMBER(FIND(Aux!$D$3:$D$9,_xlfn.TEXTJOIN(,,C3435:K3435)))),NA(),IF(AND(SUM(C3435:F3435,H3435:K3435)=0,G3435=1),0,INT((SUMPRODUCT(C3435:F3435,COLUMN($A$1:$D$1)-1)+SUMPRODUCT(H3435:K3435,COLUMN($E$1:$H$1)-1))*'Line Follower'!$C$3/SUM(C3435:F3435,H3435:K3435)-'Line Follower'!$C$5)))</f>
        <v>#N/A</v>
      </c>
      <c r="O3435" s="22" t="e">
        <v>#N/A</v>
      </c>
      <c r="P3435" s="4" t="e">
        <f t="shared" si="265"/>
        <v>#N/A</v>
      </c>
      <c r="Q3435" s="4" t="e">
        <f t="shared" si="266"/>
        <v>#N/A</v>
      </c>
      <c r="R3435" s="4" t="e">
        <f>IF(AND(B3435=1,N3435&gt;'Line Follower'!$C$7,SUM(C3435:K3435)&lt;4),1,0)</f>
        <v>#N/A</v>
      </c>
      <c r="S3435" s="4" t="e">
        <f>IF(AND(L3435=1,N3435&lt;'Line Follower'!$C$6,SUM(C3435:K3435)&lt;4),1,0)</f>
        <v>#N/A</v>
      </c>
      <c r="T3435" s="4" t="e">
        <f t="shared" si="267"/>
        <v>#N/A</v>
      </c>
      <c r="U3435" s="5" t="e">
        <f t="shared" si="268"/>
        <v>#N/A</v>
      </c>
      <c r="V3435" s="23" t="e">
        <f t="shared" si="269"/>
        <v>#N/A</v>
      </c>
    </row>
    <row r="3436" spans="2:22" x14ac:dyDescent="0.25">
      <c r="B3436" s="16">
        <v>1</v>
      </c>
      <c r="C3436" s="7">
        <v>0</v>
      </c>
      <c r="D3436" s="8">
        <v>0</v>
      </c>
      <c r="E3436" s="8">
        <v>1</v>
      </c>
      <c r="F3436" s="8">
        <v>0</v>
      </c>
      <c r="G3436" s="8">
        <v>1</v>
      </c>
      <c r="H3436" s="8">
        <v>1</v>
      </c>
      <c r="I3436" s="8">
        <v>0</v>
      </c>
      <c r="J3436" s="8">
        <v>1</v>
      </c>
      <c r="K3436" s="9">
        <v>0</v>
      </c>
      <c r="L3436" s="10">
        <v>1</v>
      </c>
      <c r="M3436" s="6">
        <v>1</v>
      </c>
      <c r="N3436" s="37" t="e" cm="1">
        <f t="array" ref="N3436">IF(OR(ISNUMBER(FIND(Aux!$D$3:$D$9,_xlfn.TEXTJOIN(,,C3436:K3436)))),NA(),IF(AND(SUM(C3436:F3436,H3436:K3436)=0,G3436=1),0,INT((SUMPRODUCT(C3436:F3436,COLUMN($A$1:$D$1)-1)+SUMPRODUCT(H3436:K3436,COLUMN($E$1:$H$1)-1))*'Line Follower'!$C$3/SUM(C3436:F3436,H3436:K3436)-'Line Follower'!$C$5)))</f>
        <v>#N/A</v>
      </c>
      <c r="O3436" s="22" t="e">
        <v>#N/A</v>
      </c>
      <c r="P3436" s="4" t="e">
        <f t="shared" si="265"/>
        <v>#N/A</v>
      </c>
      <c r="Q3436" s="4" t="e">
        <f t="shared" si="266"/>
        <v>#N/A</v>
      </c>
      <c r="R3436" s="4" t="e">
        <f>IF(AND(B3436=1,N3436&gt;'Line Follower'!$C$7,SUM(C3436:K3436)&lt;4),1,0)</f>
        <v>#N/A</v>
      </c>
      <c r="S3436" s="4" t="e">
        <f>IF(AND(L3436=1,N3436&lt;'Line Follower'!$C$6,SUM(C3436:K3436)&lt;4),1,0)</f>
        <v>#N/A</v>
      </c>
      <c r="T3436" s="4" t="e">
        <f t="shared" si="267"/>
        <v>#N/A</v>
      </c>
      <c r="U3436" s="5" t="e">
        <f t="shared" si="268"/>
        <v>#N/A</v>
      </c>
      <c r="V3436" s="23" t="e">
        <f t="shared" si="269"/>
        <v>#N/A</v>
      </c>
    </row>
    <row r="3437" spans="2:22" x14ac:dyDescent="0.25">
      <c r="B3437" s="16">
        <v>0</v>
      </c>
      <c r="C3437" s="7">
        <v>1</v>
      </c>
      <c r="D3437" s="8">
        <v>0</v>
      </c>
      <c r="E3437" s="8">
        <v>1</v>
      </c>
      <c r="F3437" s="8">
        <v>0</v>
      </c>
      <c r="G3437" s="8">
        <v>1</v>
      </c>
      <c r="H3437" s="8">
        <v>1</v>
      </c>
      <c r="I3437" s="8">
        <v>0</v>
      </c>
      <c r="J3437" s="8">
        <v>1</v>
      </c>
      <c r="K3437" s="9">
        <v>0</v>
      </c>
      <c r="L3437" s="10">
        <v>1</v>
      </c>
      <c r="M3437" s="6">
        <v>1</v>
      </c>
      <c r="N3437" s="37" t="e" cm="1">
        <f t="array" ref="N3437">IF(OR(ISNUMBER(FIND(Aux!$D$3:$D$9,_xlfn.TEXTJOIN(,,C3437:K3437)))),NA(),IF(AND(SUM(C3437:F3437,H3437:K3437)=0,G3437=1),0,INT((SUMPRODUCT(C3437:F3437,COLUMN($A$1:$D$1)-1)+SUMPRODUCT(H3437:K3437,COLUMN($E$1:$H$1)-1))*'Line Follower'!$C$3/SUM(C3437:F3437,H3437:K3437)-'Line Follower'!$C$5)))</f>
        <v>#N/A</v>
      </c>
      <c r="O3437" s="22" t="e">
        <v>#N/A</v>
      </c>
      <c r="P3437" s="4" t="e">
        <f t="shared" si="265"/>
        <v>#N/A</v>
      </c>
      <c r="Q3437" s="4" t="e">
        <f t="shared" si="266"/>
        <v>#N/A</v>
      </c>
      <c r="R3437" s="4" t="e">
        <f>IF(AND(B3437=1,N3437&gt;'Line Follower'!$C$7,SUM(C3437:K3437)&lt;4),1,0)</f>
        <v>#N/A</v>
      </c>
      <c r="S3437" s="4" t="e">
        <f>IF(AND(L3437=1,N3437&lt;'Line Follower'!$C$6,SUM(C3437:K3437)&lt;4),1,0)</f>
        <v>#N/A</v>
      </c>
      <c r="T3437" s="4" t="e">
        <f t="shared" si="267"/>
        <v>#N/A</v>
      </c>
      <c r="U3437" s="5" t="e">
        <f t="shared" si="268"/>
        <v>#N/A</v>
      </c>
      <c r="V3437" s="23" t="e">
        <f t="shared" si="269"/>
        <v>#N/A</v>
      </c>
    </row>
    <row r="3438" spans="2:22" x14ac:dyDescent="0.25">
      <c r="B3438" s="16">
        <v>1</v>
      </c>
      <c r="C3438" s="7">
        <v>1</v>
      </c>
      <c r="D3438" s="8">
        <v>0</v>
      </c>
      <c r="E3438" s="8">
        <v>1</v>
      </c>
      <c r="F3438" s="8">
        <v>0</v>
      </c>
      <c r="G3438" s="8">
        <v>1</v>
      </c>
      <c r="H3438" s="8">
        <v>1</v>
      </c>
      <c r="I3438" s="8">
        <v>0</v>
      </c>
      <c r="J3438" s="8">
        <v>1</v>
      </c>
      <c r="K3438" s="9">
        <v>0</v>
      </c>
      <c r="L3438" s="10">
        <v>1</v>
      </c>
      <c r="M3438" s="6">
        <v>1</v>
      </c>
      <c r="N3438" s="37" t="e" cm="1">
        <f t="array" ref="N3438">IF(OR(ISNUMBER(FIND(Aux!$D$3:$D$9,_xlfn.TEXTJOIN(,,C3438:K3438)))),NA(),IF(AND(SUM(C3438:F3438,H3438:K3438)=0,G3438=1),0,INT((SUMPRODUCT(C3438:F3438,COLUMN($A$1:$D$1)-1)+SUMPRODUCT(H3438:K3438,COLUMN($E$1:$H$1)-1))*'Line Follower'!$C$3/SUM(C3438:F3438,H3438:K3438)-'Line Follower'!$C$5)))</f>
        <v>#N/A</v>
      </c>
      <c r="O3438" s="22" t="e">
        <v>#N/A</v>
      </c>
      <c r="P3438" s="4" t="e">
        <f t="shared" si="265"/>
        <v>#N/A</v>
      </c>
      <c r="Q3438" s="4" t="e">
        <f t="shared" si="266"/>
        <v>#N/A</v>
      </c>
      <c r="R3438" s="4" t="e">
        <f>IF(AND(B3438=1,N3438&gt;'Line Follower'!$C$7,SUM(C3438:K3438)&lt;4),1,0)</f>
        <v>#N/A</v>
      </c>
      <c r="S3438" s="4" t="e">
        <f>IF(AND(L3438=1,N3438&lt;'Line Follower'!$C$6,SUM(C3438:K3438)&lt;4),1,0)</f>
        <v>#N/A</v>
      </c>
      <c r="T3438" s="4" t="e">
        <f t="shared" si="267"/>
        <v>#N/A</v>
      </c>
      <c r="U3438" s="5" t="e">
        <f t="shared" si="268"/>
        <v>#N/A</v>
      </c>
      <c r="V3438" s="23" t="e">
        <f t="shared" si="269"/>
        <v>#N/A</v>
      </c>
    </row>
    <row r="3439" spans="2:22" x14ac:dyDescent="0.25">
      <c r="B3439" s="16">
        <v>0</v>
      </c>
      <c r="C3439" s="7">
        <v>0</v>
      </c>
      <c r="D3439" s="8">
        <v>1</v>
      </c>
      <c r="E3439" s="8">
        <v>1</v>
      </c>
      <c r="F3439" s="8">
        <v>0</v>
      </c>
      <c r="G3439" s="8">
        <v>1</v>
      </c>
      <c r="H3439" s="8">
        <v>1</v>
      </c>
      <c r="I3439" s="8">
        <v>0</v>
      </c>
      <c r="J3439" s="8">
        <v>1</v>
      </c>
      <c r="K3439" s="9">
        <v>0</v>
      </c>
      <c r="L3439" s="10">
        <v>1</v>
      </c>
      <c r="M3439" s="6">
        <v>1</v>
      </c>
      <c r="N3439" s="37" t="e" cm="1">
        <f t="array" ref="N3439">IF(OR(ISNUMBER(FIND(Aux!$D$3:$D$9,_xlfn.TEXTJOIN(,,C3439:K3439)))),NA(),IF(AND(SUM(C3439:F3439,H3439:K3439)=0,G3439=1),0,INT((SUMPRODUCT(C3439:F3439,COLUMN($A$1:$D$1)-1)+SUMPRODUCT(H3439:K3439,COLUMN($E$1:$H$1)-1))*'Line Follower'!$C$3/SUM(C3439:F3439,H3439:K3439)-'Line Follower'!$C$5)))</f>
        <v>#N/A</v>
      </c>
      <c r="O3439" s="22" t="e">
        <v>#N/A</v>
      </c>
      <c r="P3439" s="4" t="e">
        <f t="shared" si="265"/>
        <v>#N/A</v>
      </c>
      <c r="Q3439" s="4" t="e">
        <f t="shared" si="266"/>
        <v>#N/A</v>
      </c>
      <c r="R3439" s="4" t="e">
        <f>IF(AND(B3439=1,N3439&gt;'Line Follower'!$C$7,SUM(C3439:K3439)&lt;4),1,0)</f>
        <v>#N/A</v>
      </c>
      <c r="S3439" s="4" t="e">
        <f>IF(AND(L3439=1,N3439&lt;'Line Follower'!$C$6,SUM(C3439:K3439)&lt;4),1,0)</f>
        <v>#N/A</v>
      </c>
      <c r="T3439" s="4" t="e">
        <f t="shared" si="267"/>
        <v>#N/A</v>
      </c>
      <c r="U3439" s="5" t="e">
        <f t="shared" si="268"/>
        <v>#N/A</v>
      </c>
      <c r="V3439" s="23" t="e">
        <f t="shared" si="269"/>
        <v>#N/A</v>
      </c>
    </row>
    <row r="3440" spans="2:22" x14ac:dyDescent="0.25">
      <c r="B3440" s="16">
        <v>1</v>
      </c>
      <c r="C3440" s="7">
        <v>0</v>
      </c>
      <c r="D3440" s="8">
        <v>1</v>
      </c>
      <c r="E3440" s="8">
        <v>1</v>
      </c>
      <c r="F3440" s="8">
        <v>0</v>
      </c>
      <c r="G3440" s="8">
        <v>1</v>
      </c>
      <c r="H3440" s="8">
        <v>1</v>
      </c>
      <c r="I3440" s="8">
        <v>0</v>
      </c>
      <c r="J3440" s="8">
        <v>1</v>
      </c>
      <c r="K3440" s="9">
        <v>0</v>
      </c>
      <c r="L3440" s="10">
        <v>1</v>
      </c>
      <c r="M3440" s="6">
        <v>1</v>
      </c>
      <c r="N3440" s="37" t="e" cm="1">
        <f t="array" ref="N3440">IF(OR(ISNUMBER(FIND(Aux!$D$3:$D$9,_xlfn.TEXTJOIN(,,C3440:K3440)))),NA(),IF(AND(SUM(C3440:F3440,H3440:K3440)=0,G3440=1),0,INT((SUMPRODUCT(C3440:F3440,COLUMN($A$1:$D$1)-1)+SUMPRODUCT(H3440:K3440,COLUMN($E$1:$H$1)-1))*'Line Follower'!$C$3/SUM(C3440:F3440,H3440:K3440)-'Line Follower'!$C$5)))</f>
        <v>#N/A</v>
      </c>
      <c r="O3440" s="22" t="e">
        <v>#N/A</v>
      </c>
      <c r="P3440" s="4" t="e">
        <f t="shared" si="265"/>
        <v>#N/A</v>
      </c>
      <c r="Q3440" s="4" t="e">
        <f t="shared" si="266"/>
        <v>#N/A</v>
      </c>
      <c r="R3440" s="4" t="e">
        <f>IF(AND(B3440=1,N3440&gt;'Line Follower'!$C$7,SUM(C3440:K3440)&lt;4),1,0)</f>
        <v>#N/A</v>
      </c>
      <c r="S3440" s="4" t="e">
        <f>IF(AND(L3440=1,N3440&lt;'Line Follower'!$C$6,SUM(C3440:K3440)&lt;4),1,0)</f>
        <v>#N/A</v>
      </c>
      <c r="T3440" s="4" t="e">
        <f t="shared" si="267"/>
        <v>#N/A</v>
      </c>
      <c r="U3440" s="5" t="e">
        <f t="shared" si="268"/>
        <v>#N/A</v>
      </c>
      <c r="V3440" s="23" t="e">
        <f t="shared" si="269"/>
        <v>#N/A</v>
      </c>
    </row>
    <row r="3441" spans="2:22" x14ac:dyDescent="0.25">
      <c r="B3441" s="16">
        <v>0</v>
      </c>
      <c r="C3441" s="7">
        <v>1</v>
      </c>
      <c r="D3441" s="8">
        <v>1</v>
      </c>
      <c r="E3441" s="8">
        <v>1</v>
      </c>
      <c r="F3441" s="8">
        <v>0</v>
      </c>
      <c r="G3441" s="8">
        <v>1</v>
      </c>
      <c r="H3441" s="8">
        <v>1</v>
      </c>
      <c r="I3441" s="8">
        <v>0</v>
      </c>
      <c r="J3441" s="8">
        <v>1</v>
      </c>
      <c r="K3441" s="9">
        <v>0</v>
      </c>
      <c r="L3441" s="10">
        <v>1</v>
      </c>
      <c r="M3441" s="6">
        <v>1</v>
      </c>
      <c r="N3441" s="37" t="e" cm="1">
        <f t="array" ref="N3441">IF(OR(ISNUMBER(FIND(Aux!$D$3:$D$9,_xlfn.TEXTJOIN(,,C3441:K3441)))),NA(),IF(AND(SUM(C3441:F3441,H3441:K3441)=0,G3441=1),0,INT((SUMPRODUCT(C3441:F3441,COLUMN($A$1:$D$1)-1)+SUMPRODUCT(H3441:K3441,COLUMN($E$1:$H$1)-1))*'Line Follower'!$C$3/SUM(C3441:F3441,H3441:K3441)-'Line Follower'!$C$5)))</f>
        <v>#N/A</v>
      </c>
      <c r="O3441" s="22" t="e">
        <v>#N/A</v>
      </c>
      <c r="P3441" s="4" t="e">
        <f t="shared" si="265"/>
        <v>#N/A</v>
      </c>
      <c r="Q3441" s="4" t="e">
        <f t="shared" si="266"/>
        <v>#N/A</v>
      </c>
      <c r="R3441" s="4" t="e">
        <f>IF(AND(B3441=1,N3441&gt;'Line Follower'!$C$7,SUM(C3441:K3441)&lt;4),1,0)</f>
        <v>#N/A</v>
      </c>
      <c r="S3441" s="4" t="e">
        <f>IF(AND(L3441=1,N3441&lt;'Line Follower'!$C$6,SUM(C3441:K3441)&lt;4),1,0)</f>
        <v>#N/A</v>
      </c>
      <c r="T3441" s="4" t="e">
        <f t="shared" si="267"/>
        <v>#N/A</v>
      </c>
      <c r="U3441" s="5" t="e">
        <f t="shared" si="268"/>
        <v>#N/A</v>
      </c>
      <c r="V3441" s="23" t="e">
        <f t="shared" si="269"/>
        <v>#N/A</v>
      </c>
    </row>
    <row r="3442" spans="2:22" x14ac:dyDescent="0.25">
      <c r="B3442" s="16">
        <v>1</v>
      </c>
      <c r="C3442" s="7">
        <v>1</v>
      </c>
      <c r="D3442" s="8">
        <v>1</v>
      </c>
      <c r="E3442" s="8">
        <v>1</v>
      </c>
      <c r="F3442" s="8">
        <v>0</v>
      </c>
      <c r="G3442" s="8">
        <v>1</v>
      </c>
      <c r="H3442" s="8">
        <v>1</v>
      </c>
      <c r="I3442" s="8">
        <v>0</v>
      </c>
      <c r="J3442" s="8">
        <v>1</v>
      </c>
      <c r="K3442" s="9">
        <v>0</v>
      </c>
      <c r="L3442" s="10">
        <v>1</v>
      </c>
      <c r="M3442" s="6">
        <v>1</v>
      </c>
      <c r="N3442" s="37" t="e" cm="1">
        <f t="array" ref="N3442">IF(OR(ISNUMBER(FIND(Aux!$D$3:$D$9,_xlfn.TEXTJOIN(,,C3442:K3442)))),NA(),IF(AND(SUM(C3442:F3442,H3442:K3442)=0,G3442=1),0,INT((SUMPRODUCT(C3442:F3442,COLUMN($A$1:$D$1)-1)+SUMPRODUCT(H3442:K3442,COLUMN($E$1:$H$1)-1))*'Line Follower'!$C$3/SUM(C3442:F3442,H3442:K3442)-'Line Follower'!$C$5)))</f>
        <v>#N/A</v>
      </c>
      <c r="O3442" s="22" t="e">
        <v>#N/A</v>
      </c>
      <c r="P3442" s="4" t="e">
        <f t="shared" si="265"/>
        <v>#N/A</v>
      </c>
      <c r="Q3442" s="4" t="e">
        <f t="shared" si="266"/>
        <v>#N/A</v>
      </c>
      <c r="R3442" s="4" t="e">
        <f>IF(AND(B3442=1,N3442&gt;'Line Follower'!$C$7,SUM(C3442:K3442)&lt;4),1,0)</f>
        <v>#N/A</v>
      </c>
      <c r="S3442" s="4" t="e">
        <f>IF(AND(L3442=1,N3442&lt;'Line Follower'!$C$6,SUM(C3442:K3442)&lt;4),1,0)</f>
        <v>#N/A</v>
      </c>
      <c r="T3442" s="4" t="e">
        <f t="shared" si="267"/>
        <v>#N/A</v>
      </c>
      <c r="U3442" s="5" t="e">
        <f t="shared" si="268"/>
        <v>#N/A</v>
      </c>
      <c r="V3442" s="23" t="e">
        <f t="shared" si="269"/>
        <v>#N/A</v>
      </c>
    </row>
    <row r="3443" spans="2:22" x14ac:dyDescent="0.25">
      <c r="B3443" s="16">
        <v>0</v>
      </c>
      <c r="C3443" s="7">
        <v>0</v>
      </c>
      <c r="D3443" s="8">
        <v>0</v>
      </c>
      <c r="E3443" s="8">
        <v>0</v>
      </c>
      <c r="F3443" s="8">
        <v>1</v>
      </c>
      <c r="G3443" s="8">
        <v>1</v>
      </c>
      <c r="H3443" s="8">
        <v>1</v>
      </c>
      <c r="I3443" s="8">
        <v>0</v>
      </c>
      <c r="J3443" s="8">
        <v>1</v>
      </c>
      <c r="K3443" s="9">
        <v>0</v>
      </c>
      <c r="L3443" s="10">
        <v>1</v>
      </c>
      <c r="M3443" s="6">
        <v>1</v>
      </c>
      <c r="N3443" s="37" t="e" cm="1">
        <f t="array" ref="N3443">IF(OR(ISNUMBER(FIND(Aux!$D$3:$D$9,_xlfn.TEXTJOIN(,,C3443:K3443)))),NA(),IF(AND(SUM(C3443:F3443,H3443:K3443)=0,G3443=1),0,INT((SUMPRODUCT(C3443:F3443,COLUMN($A$1:$D$1)-1)+SUMPRODUCT(H3443:K3443,COLUMN($E$1:$H$1)-1))*'Line Follower'!$C$3/SUM(C3443:F3443,H3443:K3443)-'Line Follower'!$C$5)))</f>
        <v>#N/A</v>
      </c>
      <c r="O3443" s="22" t="e">
        <v>#N/A</v>
      </c>
      <c r="P3443" s="4" t="e">
        <f t="shared" si="265"/>
        <v>#N/A</v>
      </c>
      <c r="Q3443" s="4" t="e">
        <f t="shared" si="266"/>
        <v>#N/A</v>
      </c>
      <c r="R3443" s="4" t="e">
        <f>IF(AND(B3443=1,N3443&gt;'Line Follower'!$C$7,SUM(C3443:K3443)&lt;4),1,0)</f>
        <v>#N/A</v>
      </c>
      <c r="S3443" s="4" t="e">
        <f>IF(AND(L3443=1,N3443&lt;'Line Follower'!$C$6,SUM(C3443:K3443)&lt;4),1,0)</f>
        <v>#N/A</v>
      </c>
      <c r="T3443" s="4" t="e">
        <f t="shared" si="267"/>
        <v>#N/A</v>
      </c>
      <c r="U3443" s="5" t="e">
        <f t="shared" si="268"/>
        <v>#N/A</v>
      </c>
      <c r="V3443" s="23" t="e">
        <f t="shared" si="269"/>
        <v>#N/A</v>
      </c>
    </row>
    <row r="3444" spans="2:22" x14ac:dyDescent="0.25">
      <c r="B3444" s="16">
        <v>1</v>
      </c>
      <c r="C3444" s="7">
        <v>0</v>
      </c>
      <c r="D3444" s="8">
        <v>0</v>
      </c>
      <c r="E3444" s="8">
        <v>0</v>
      </c>
      <c r="F3444" s="8">
        <v>1</v>
      </c>
      <c r="G3444" s="8">
        <v>1</v>
      </c>
      <c r="H3444" s="8">
        <v>1</v>
      </c>
      <c r="I3444" s="8">
        <v>0</v>
      </c>
      <c r="J3444" s="8">
        <v>1</v>
      </c>
      <c r="K3444" s="9">
        <v>0</v>
      </c>
      <c r="L3444" s="10">
        <v>1</v>
      </c>
      <c r="M3444" s="6">
        <v>1</v>
      </c>
      <c r="N3444" s="37" t="e" cm="1">
        <f t="array" ref="N3444">IF(OR(ISNUMBER(FIND(Aux!$D$3:$D$9,_xlfn.TEXTJOIN(,,C3444:K3444)))),NA(),IF(AND(SUM(C3444:F3444,H3444:K3444)=0,G3444=1),0,INT((SUMPRODUCT(C3444:F3444,COLUMN($A$1:$D$1)-1)+SUMPRODUCT(H3444:K3444,COLUMN($E$1:$H$1)-1))*'Line Follower'!$C$3/SUM(C3444:F3444,H3444:K3444)-'Line Follower'!$C$5)))</f>
        <v>#N/A</v>
      </c>
      <c r="O3444" s="22" t="e">
        <v>#N/A</v>
      </c>
      <c r="P3444" s="4" t="e">
        <f t="shared" si="265"/>
        <v>#N/A</v>
      </c>
      <c r="Q3444" s="4" t="e">
        <f t="shared" si="266"/>
        <v>#N/A</v>
      </c>
      <c r="R3444" s="4" t="e">
        <f>IF(AND(B3444=1,N3444&gt;'Line Follower'!$C$7,SUM(C3444:K3444)&lt;4),1,0)</f>
        <v>#N/A</v>
      </c>
      <c r="S3444" s="4" t="e">
        <f>IF(AND(L3444=1,N3444&lt;'Line Follower'!$C$6,SUM(C3444:K3444)&lt;4),1,0)</f>
        <v>#N/A</v>
      </c>
      <c r="T3444" s="4" t="e">
        <f t="shared" si="267"/>
        <v>#N/A</v>
      </c>
      <c r="U3444" s="5" t="e">
        <f t="shared" si="268"/>
        <v>#N/A</v>
      </c>
      <c r="V3444" s="23" t="e">
        <f t="shared" si="269"/>
        <v>#N/A</v>
      </c>
    </row>
    <row r="3445" spans="2:22" x14ac:dyDescent="0.25">
      <c r="B3445" s="16">
        <v>0</v>
      </c>
      <c r="C3445" s="7">
        <v>1</v>
      </c>
      <c r="D3445" s="8">
        <v>0</v>
      </c>
      <c r="E3445" s="8">
        <v>0</v>
      </c>
      <c r="F3445" s="8">
        <v>1</v>
      </c>
      <c r="G3445" s="8">
        <v>1</v>
      </c>
      <c r="H3445" s="8">
        <v>1</v>
      </c>
      <c r="I3445" s="8">
        <v>0</v>
      </c>
      <c r="J3445" s="8">
        <v>1</v>
      </c>
      <c r="K3445" s="9">
        <v>0</v>
      </c>
      <c r="L3445" s="10">
        <v>1</v>
      </c>
      <c r="M3445" s="6">
        <v>1</v>
      </c>
      <c r="N3445" s="37" t="e" cm="1">
        <f t="array" ref="N3445">IF(OR(ISNUMBER(FIND(Aux!$D$3:$D$9,_xlfn.TEXTJOIN(,,C3445:K3445)))),NA(),IF(AND(SUM(C3445:F3445,H3445:K3445)=0,G3445=1),0,INT((SUMPRODUCT(C3445:F3445,COLUMN($A$1:$D$1)-1)+SUMPRODUCT(H3445:K3445,COLUMN($E$1:$H$1)-1))*'Line Follower'!$C$3/SUM(C3445:F3445,H3445:K3445)-'Line Follower'!$C$5)))</f>
        <v>#N/A</v>
      </c>
      <c r="O3445" s="22" t="e">
        <v>#N/A</v>
      </c>
      <c r="P3445" s="4" t="e">
        <f t="shared" si="265"/>
        <v>#N/A</v>
      </c>
      <c r="Q3445" s="4" t="e">
        <f t="shared" si="266"/>
        <v>#N/A</v>
      </c>
      <c r="R3445" s="4" t="e">
        <f>IF(AND(B3445=1,N3445&gt;'Line Follower'!$C$7,SUM(C3445:K3445)&lt;4),1,0)</f>
        <v>#N/A</v>
      </c>
      <c r="S3445" s="4" t="e">
        <f>IF(AND(L3445=1,N3445&lt;'Line Follower'!$C$6,SUM(C3445:K3445)&lt;4),1,0)</f>
        <v>#N/A</v>
      </c>
      <c r="T3445" s="4" t="e">
        <f t="shared" si="267"/>
        <v>#N/A</v>
      </c>
      <c r="U3445" s="5" t="e">
        <f t="shared" si="268"/>
        <v>#N/A</v>
      </c>
      <c r="V3445" s="23" t="e">
        <f t="shared" si="269"/>
        <v>#N/A</v>
      </c>
    </row>
    <row r="3446" spans="2:22" x14ac:dyDescent="0.25">
      <c r="B3446" s="16">
        <v>1</v>
      </c>
      <c r="C3446" s="7">
        <v>1</v>
      </c>
      <c r="D3446" s="8">
        <v>0</v>
      </c>
      <c r="E3446" s="8">
        <v>0</v>
      </c>
      <c r="F3446" s="8">
        <v>1</v>
      </c>
      <c r="G3446" s="8">
        <v>1</v>
      </c>
      <c r="H3446" s="8">
        <v>1</v>
      </c>
      <c r="I3446" s="8">
        <v>0</v>
      </c>
      <c r="J3446" s="8">
        <v>1</v>
      </c>
      <c r="K3446" s="9">
        <v>0</v>
      </c>
      <c r="L3446" s="10">
        <v>1</v>
      </c>
      <c r="M3446" s="6">
        <v>1</v>
      </c>
      <c r="N3446" s="37" t="e" cm="1">
        <f t="array" ref="N3446">IF(OR(ISNUMBER(FIND(Aux!$D$3:$D$9,_xlfn.TEXTJOIN(,,C3446:K3446)))),NA(),IF(AND(SUM(C3446:F3446,H3446:K3446)=0,G3446=1),0,INT((SUMPRODUCT(C3446:F3446,COLUMN($A$1:$D$1)-1)+SUMPRODUCT(H3446:K3446,COLUMN($E$1:$H$1)-1))*'Line Follower'!$C$3/SUM(C3446:F3446,H3446:K3446)-'Line Follower'!$C$5)))</f>
        <v>#N/A</v>
      </c>
      <c r="O3446" s="22" t="e">
        <v>#N/A</v>
      </c>
      <c r="P3446" s="4" t="e">
        <f t="shared" si="265"/>
        <v>#N/A</v>
      </c>
      <c r="Q3446" s="4" t="e">
        <f t="shared" si="266"/>
        <v>#N/A</v>
      </c>
      <c r="R3446" s="4" t="e">
        <f>IF(AND(B3446=1,N3446&gt;'Line Follower'!$C$7,SUM(C3446:K3446)&lt;4),1,0)</f>
        <v>#N/A</v>
      </c>
      <c r="S3446" s="4" t="e">
        <f>IF(AND(L3446=1,N3446&lt;'Line Follower'!$C$6,SUM(C3446:K3446)&lt;4),1,0)</f>
        <v>#N/A</v>
      </c>
      <c r="T3446" s="4" t="e">
        <f t="shared" si="267"/>
        <v>#N/A</v>
      </c>
      <c r="U3446" s="5" t="e">
        <f t="shared" si="268"/>
        <v>#N/A</v>
      </c>
      <c r="V3446" s="23" t="e">
        <f t="shared" si="269"/>
        <v>#N/A</v>
      </c>
    </row>
    <row r="3447" spans="2:22" x14ac:dyDescent="0.25">
      <c r="B3447" s="16">
        <v>0</v>
      </c>
      <c r="C3447" s="7">
        <v>0</v>
      </c>
      <c r="D3447" s="8">
        <v>1</v>
      </c>
      <c r="E3447" s="8">
        <v>0</v>
      </c>
      <c r="F3447" s="8">
        <v>1</v>
      </c>
      <c r="G3447" s="8">
        <v>1</v>
      </c>
      <c r="H3447" s="8">
        <v>1</v>
      </c>
      <c r="I3447" s="8">
        <v>0</v>
      </c>
      <c r="J3447" s="8">
        <v>1</v>
      </c>
      <c r="K3447" s="9">
        <v>0</v>
      </c>
      <c r="L3447" s="10">
        <v>1</v>
      </c>
      <c r="M3447" s="6">
        <v>1</v>
      </c>
      <c r="N3447" s="37" t="e" cm="1">
        <f t="array" ref="N3447">IF(OR(ISNUMBER(FIND(Aux!$D$3:$D$9,_xlfn.TEXTJOIN(,,C3447:K3447)))),NA(),IF(AND(SUM(C3447:F3447,H3447:K3447)=0,G3447=1),0,INT((SUMPRODUCT(C3447:F3447,COLUMN($A$1:$D$1)-1)+SUMPRODUCT(H3447:K3447,COLUMN($E$1:$H$1)-1))*'Line Follower'!$C$3/SUM(C3447:F3447,H3447:K3447)-'Line Follower'!$C$5)))</f>
        <v>#N/A</v>
      </c>
      <c r="O3447" s="22" t="e">
        <v>#N/A</v>
      </c>
      <c r="P3447" s="4" t="e">
        <f t="shared" si="265"/>
        <v>#N/A</v>
      </c>
      <c r="Q3447" s="4" t="e">
        <f t="shared" si="266"/>
        <v>#N/A</v>
      </c>
      <c r="R3447" s="4" t="e">
        <f>IF(AND(B3447=1,N3447&gt;'Line Follower'!$C$7,SUM(C3447:K3447)&lt;4),1,0)</f>
        <v>#N/A</v>
      </c>
      <c r="S3447" s="4" t="e">
        <f>IF(AND(L3447=1,N3447&lt;'Line Follower'!$C$6,SUM(C3447:K3447)&lt;4),1,0)</f>
        <v>#N/A</v>
      </c>
      <c r="T3447" s="4" t="e">
        <f t="shared" si="267"/>
        <v>#N/A</v>
      </c>
      <c r="U3447" s="5" t="e">
        <f t="shared" si="268"/>
        <v>#N/A</v>
      </c>
      <c r="V3447" s="23" t="e">
        <f t="shared" si="269"/>
        <v>#N/A</v>
      </c>
    </row>
    <row r="3448" spans="2:22" x14ac:dyDescent="0.25">
      <c r="B3448" s="16">
        <v>1</v>
      </c>
      <c r="C3448" s="7">
        <v>0</v>
      </c>
      <c r="D3448" s="8">
        <v>1</v>
      </c>
      <c r="E3448" s="8">
        <v>0</v>
      </c>
      <c r="F3448" s="8">
        <v>1</v>
      </c>
      <c r="G3448" s="8">
        <v>1</v>
      </c>
      <c r="H3448" s="8">
        <v>1</v>
      </c>
      <c r="I3448" s="8">
        <v>0</v>
      </c>
      <c r="J3448" s="8">
        <v>1</v>
      </c>
      <c r="K3448" s="9">
        <v>0</v>
      </c>
      <c r="L3448" s="10">
        <v>1</v>
      </c>
      <c r="M3448" s="6">
        <v>1</v>
      </c>
      <c r="N3448" s="37" t="e" cm="1">
        <f t="array" ref="N3448">IF(OR(ISNUMBER(FIND(Aux!$D$3:$D$9,_xlfn.TEXTJOIN(,,C3448:K3448)))),NA(),IF(AND(SUM(C3448:F3448,H3448:K3448)=0,G3448=1),0,INT((SUMPRODUCT(C3448:F3448,COLUMN($A$1:$D$1)-1)+SUMPRODUCT(H3448:K3448,COLUMN($E$1:$H$1)-1))*'Line Follower'!$C$3/SUM(C3448:F3448,H3448:K3448)-'Line Follower'!$C$5)))</f>
        <v>#N/A</v>
      </c>
      <c r="O3448" s="22" t="e">
        <v>#N/A</v>
      </c>
      <c r="P3448" s="4" t="e">
        <f t="shared" si="265"/>
        <v>#N/A</v>
      </c>
      <c r="Q3448" s="4" t="e">
        <f t="shared" si="266"/>
        <v>#N/A</v>
      </c>
      <c r="R3448" s="4" t="e">
        <f>IF(AND(B3448=1,N3448&gt;'Line Follower'!$C$7,SUM(C3448:K3448)&lt;4),1,0)</f>
        <v>#N/A</v>
      </c>
      <c r="S3448" s="4" t="e">
        <f>IF(AND(L3448=1,N3448&lt;'Line Follower'!$C$6,SUM(C3448:K3448)&lt;4),1,0)</f>
        <v>#N/A</v>
      </c>
      <c r="T3448" s="4" t="e">
        <f t="shared" si="267"/>
        <v>#N/A</v>
      </c>
      <c r="U3448" s="5" t="e">
        <f t="shared" si="268"/>
        <v>#N/A</v>
      </c>
      <c r="V3448" s="23" t="e">
        <f t="shared" si="269"/>
        <v>#N/A</v>
      </c>
    </row>
    <row r="3449" spans="2:22" x14ac:dyDescent="0.25">
      <c r="B3449" s="16">
        <v>0</v>
      </c>
      <c r="C3449" s="7">
        <v>1</v>
      </c>
      <c r="D3449" s="8">
        <v>1</v>
      </c>
      <c r="E3449" s="8">
        <v>0</v>
      </c>
      <c r="F3449" s="8">
        <v>1</v>
      </c>
      <c r="G3449" s="8">
        <v>1</v>
      </c>
      <c r="H3449" s="8">
        <v>1</v>
      </c>
      <c r="I3449" s="8">
        <v>0</v>
      </c>
      <c r="J3449" s="8">
        <v>1</v>
      </c>
      <c r="K3449" s="9">
        <v>0</v>
      </c>
      <c r="L3449" s="10">
        <v>1</v>
      </c>
      <c r="M3449" s="6">
        <v>1</v>
      </c>
      <c r="N3449" s="37" t="e" cm="1">
        <f t="array" ref="N3449">IF(OR(ISNUMBER(FIND(Aux!$D$3:$D$9,_xlfn.TEXTJOIN(,,C3449:K3449)))),NA(),IF(AND(SUM(C3449:F3449,H3449:K3449)=0,G3449=1),0,INT((SUMPRODUCT(C3449:F3449,COLUMN($A$1:$D$1)-1)+SUMPRODUCT(H3449:K3449,COLUMN($E$1:$H$1)-1))*'Line Follower'!$C$3/SUM(C3449:F3449,H3449:K3449)-'Line Follower'!$C$5)))</f>
        <v>#N/A</v>
      </c>
      <c r="O3449" s="22" t="e">
        <v>#N/A</v>
      </c>
      <c r="P3449" s="4" t="e">
        <f t="shared" si="265"/>
        <v>#N/A</v>
      </c>
      <c r="Q3449" s="4" t="e">
        <f t="shared" si="266"/>
        <v>#N/A</v>
      </c>
      <c r="R3449" s="4" t="e">
        <f>IF(AND(B3449=1,N3449&gt;'Line Follower'!$C$7,SUM(C3449:K3449)&lt;4),1,0)</f>
        <v>#N/A</v>
      </c>
      <c r="S3449" s="4" t="e">
        <f>IF(AND(L3449=1,N3449&lt;'Line Follower'!$C$6,SUM(C3449:K3449)&lt;4),1,0)</f>
        <v>#N/A</v>
      </c>
      <c r="T3449" s="4" t="e">
        <f t="shared" si="267"/>
        <v>#N/A</v>
      </c>
      <c r="U3449" s="5" t="e">
        <f t="shared" si="268"/>
        <v>#N/A</v>
      </c>
      <c r="V3449" s="23" t="e">
        <f t="shared" si="269"/>
        <v>#N/A</v>
      </c>
    </row>
    <row r="3450" spans="2:22" x14ac:dyDescent="0.25">
      <c r="B3450" s="16">
        <v>1</v>
      </c>
      <c r="C3450" s="7">
        <v>1</v>
      </c>
      <c r="D3450" s="8">
        <v>1</v>
      </c>
      <c r="E3450" s="8">
        <v>0</v>
      </c>
      <c r="F3450" s="8">
        <v>1</v>
      </c>
      <c r="G3450" s="8">
        <v>1</v>
      </c>
      <c r="H3450" s="8">
        <v>1</v>
      </c>
      <c r="I3450" s="8">
        <v>0</v>
      </c>
      <c r="J3450" s="8">
        <v>1</v>
      </c>
      <c r="K3450" s="9">
        <v>0</v>
      </c>
      <c r="L3450" s="10">
        <v>1</v>
      </c>
      <c r="M3450" s="6">
        <v>1</v>
      </c>
      <c r="N3450" s="37" t="e" cm="1">
        <f t="array" ref="N3450">IF(OR(ISNUMBER(FIND(Aux!$D$3:$D$9,_xlfn.TEXTJOIN(,,C3450:K3450)))),NA(),IF(AND(SUM(C3450:F3450,H3450:K3450)=0,G3450=1),0,INT((SUMPRODUCT(C3450:F3450,COLUMN($A$1:$D$1)-1)+SUMPRODUCT(H3450:K3450,COLUMN($E$1:$H$1)-1))*'Line Follower'!$C$3/SUM(C3450:F3450,H3450:K3450)-'Line Follower'!$C$5)))</f>
        <v>#N/A</v>
      </c>
      <c r="O3450" s="22" t="e">
        <v>#N/A</v>
      </c>
      <c r="P3450" s="4" t="e">
        <f t="shared" si="265"/>
        <v>#N/A</v>
      </c>
      <c r="Q3450" s="4" t="e">
        <f t="shared" si="266"/>
        <v>#N/A</v>
      </c>
      <c r="R3450" s="4" t="e">
        <f>IF(AND(B3450=1,N3450&gt;'Line Follower'!$C$7,SUM(C3450:K3450)&lt;4),1,0)</f>
        <v>#N/A</v>
      </c>
      <c r="S3450" s="4" t="e">
        <f>IF(AND(L3450=1,N3450&lt;'Line Follower'!$C$6,SUM(C3450:K3450)&lt;4),1,0)</f>
        <v>#N/A</v>
      </c>
      <c r="T3450" s="4" t="e">
        <f t="shared" si="267"/>
        <v>#N/A</v>
      </c>
      <c r="U3450" s="5" t="e">
        <f t="shared" si="268"/>
        <v>#N/A</v>
      </c>
      <c r="V3450" s="23" t="e">
        <f t="shared" si="269"/>
        <v>#N/A</v>
      </c>
    </row>
    <row r="3451" spans="2:22" x14ac:dyDescent="0.25">
      <c r="B3451" s="16">
        <v>0</v>
      </c>
      <c r="C3451" s="7">
        <v>0</v>
      </c>
      <c r="D3451" s="8">
        <v>0</v>
      </c>
      <c r="E3451" s="8">
        <v>1</v>
      </c>
      <c r="F3451" s="8">
        <v>1</v>
      </c>
      <c r="G3451" s="8">
        <v>1</v>
      </c>
      <c r="H3451" s="8">
        <v>1</v>
      </c>
      <c r="I3451" s="8">
        <v>0</v>
      </c>
      <c r="J3451" s="8">
        <v>1</v>
      </c>
      <c r="K3451" s="9">
        <v>0</v>
      </c>
      <c r="L3451" s="10">
        <v>1</v>
      </c>
      <c r="M3451" s="6">
        <v>1</v>
      </c>
      <c r="N3451" s="37" t="e" cm="1">
        <f t="array" ref="N3451">IF(OR(ISNUMBER(FIND(Aux!$D$3:$D$9,_xlfn.TEXTJOIN(,,C3451:K3451)))),NA(),IF(AND(SUM(C3451:F3451,H3451:K3451)=0,G3451=1),0,INT((SUMPRODUCT(C3451:F3451,COLUMN($A$1:$D$1)-1)+SUMPRODUCT(H3451:K3451,COLUMN($E$1:$H$1)-1))*'Line Follower'!$C$3/SUM(C3451:F3451,H3451:K3451)-'Line Follower'!$C$5)))</f>
        <v>#N/A</v>
      </c>
      <c r="O3451" s="22" t="e">
        <v>#N/A</v>
      </c>
      <c r="P3451" s="4" t="e">
        <f t="shared" si="265"/>
        <v>#N/A</v>
      </c>
      <c r="Q3451" s="4" t="e">
        <f t="shared" si="266"/>
        <v>#N/A</v>
      </c>
      <c r="R3451" s="4" t="e">
        <f>IF(AND(B3451=1,N3451&gt;'Line Follower'!$C$7,SUM(C3451:K3451)&lt;4),1,0)</f>
        <v>#N/A</v>
      </c>
      <c r="S3451" s="4" t="e">
        <f>IF(AND(L3451=1,N3451&lt;'Line Follower'!$C$6,SUM(C3451:K3451)&lt;4),1,0)</f>
        <v>#N/A</v>
      </c>
      <c r="T3451" s="4" t="e">
        <f t="shared" si="267"/>
        <v>#N/A</v>
      </c>
      <c r="U3451" s="5" t="e">
        <f t="shared" si="268"/>
        <v>#N/A</v>
      </c>
      <c r="V3451" s="23" t="e">
        <f t="shared" si="269"/>
        <v>#N/A</v>
      </c>
    </row>
    <row r="3452" spans="2:22" x14ac:dyDescent="0.25">
      <c r="B3452" s="16">
        <v>1</v>
      </c>
      <c r="C3452" s="7">
        <v>0</v>
      </c>
      <c r="D3452" s="8">
        <v>0</v>
      </c>
      <c r="E3452" s="8">
        <v>1</v>
      </c>
      <c r="F3452" s="8">
        <v>1</v>
      </c>
      <c r="G3452" s="8">
        <v>1</v>
      </c>
      <c r="H3452" s="8">
        <v>1</v>
      </c>
      <c r="I3452" s="8">
        <v>0</v>
      </c>
      <c r="J3452" s="8">
        <v>1</v>
      </c>
      <c r="K3452" s="9">
        <v>0</v>
      </c>
      <c r="L3452" s="10">
        <v>1</v>
      </c>
      <c r="M3452" s="6">
        <v>1</v>
      </c>
      <c r="N3452" s="37" t="e" cm="1">
        <f t="array" ref="N3452">IF(OR(ISNUMBER(FIND(Aux!$D$3:$D$9,_xlfn.TEXTJOIN(,,C3452:K3452)))),NA(),IF(AND(SUM(C3452:F3452,H3452:K3452)=0,G3452=1),0,INT((SUMPRODUCT(C3452:F3452,COLUMN($A$1:$D$1)-1)+SUMPRODUCT(H3452:K3452,COLUMN($E$1:$H$1)-1))*'Line Follower'!$C$3/SUM(C3452:F3452,H3452:K3452)-'Line Follower'!$C$5)))</f>
        <v>#N/A</v>
      </c>
      <c r="O3452" s="22" t="e">
        <v>#N/A</v>
      </c>
      <c r="P3452" s="4" t="e">
        <f t="shared" si="265"/>
        <v>#N/A</v>
      </c>
      <c r="Q3452" s="4" t="e">
        <f t="shared" si="266"/>
        <v>#N/A</v>
      </c>
      <c r="R3452" s="4" t="e">
        <f>IF(AND(B3452=1,N3452&gt;'Line Follower'!$C$7,SUM(C3452:K3452)&lt;4),1,0)</f>
        <v>#N/A</v>
      </c>
      <c r="S3452" s="4" t="e">
        <f>IF(AND(L3452=1,N3452&lt;'Line Follower'!$C$6,SUM(C3452:K3452)&lt;4),1,0)</f>
        <v>#N/A</v>
      </c>
      <c r="T3452" s="4" t="e">
        <f t="shared" si="267"/>
        <v>#N/A</v>
      </c>
      <c r="U3452" s="5" t="e">
        <f t="shared" si="268"/>
        <v>#N/A</v>
      </c>
      <c r="V3452" s="23" t="e">
        <f t="shared" si="269"/>
        <v>#N/A</v>
      </c>
    </row>
    <row r="3453" spans="2:22" x14ac:dyDescent="0.25">
      <c r="B3453" s="16">
        <v>0</v>
      </c>
      <c r="C3453" s="7">
        <v>1</v>
      </c>
      <c r="D3453" s="8">
        <v>0</v>
      </c>
      <c r="E3453" s="8">
        <v>1</v>
      </c>
      <c r="F3453" s="8">
        <v>1</v>
      </c>
      <c r="G3453" s="8">
        <v>1</v>
      </c>
      <c r="H3453" s="8">
        <v>1</v>
      </c>
      <c r="I3453" s="8">
        <v>0</v>
      </c>
      <c r="J3453" s="8">
        <v>1</v>
      </c>
      <c r="K3453" s="9">
        <v>0</v>
      </c>
      <c r="L3453" s="10">
        <v>1</v>
      </c>
      <c r="M3453" s="6">
        <v>1</v>
      </c>
      <c r="N3453" s="37" t="e" cm="1">
        <f t="array" ref="N3453">IF(OR(ISNUMBER(FIND(Aux!$D$3:$D$9,_xlfn.TEXTJOIN(,,C3453:K3453)))),NA(),IF(AND(SUM(C3453:F3453,H3453:K3453)=0,G3453=1),0,INT((SUMPRODUCT(C3453:F3453,COLUMN($A$1:$D$1)-1)+SUMPRODUCT(H3453:K3453,COLUMN($E$1:$H$1)-1))*'Line Follower'!$C$3/SUM(C3453:F3453,H3453:K3453)-'Line Follower'!$C$5)))</f>
        <v>#N/A</v>
      </c>
      <c r="O3453" s="22" t="e">
        <v>#N/A</v>
      </c>
      <c r="P3453" s="4" t="e">
        <f t="shared" si="265"/>
        <v>#N/A</v>
      </c>
      <c r="Q3453" s="4" t="e">
        <f t="shared" si="266"/>
        <v>#N/A</v>
      </c>
      <c r="R3453" s="4" t="e">
        <f>IF(AND(B3453=1,N3453&gt;'Line Follower'!$C$7,SUM(C3453:K3453)&lt;4),1,0)</f>
        <v>#N/A</v>
      </c>
      <c r="S3453" s="4" t="e">
        <f>IF(AND(L3453=1,N3453&lt;'Line Follower'!$C$6,SUM(C3453:K3453)&lt;4),1,0)</f>
        <v>#N/A</v>
      </c>
      <c r="T3453" s="4" t="e">
        <f t="shared" si="267"/>
        <v>#N/A</v>
      </c>
      <c r="U3453" s="5" t="e">
        <f t="shared" si="268"/>
        <v>#N/A</v>
      </c>
      <c r="V3453" s="23" t="e">
        <f t="shared" si="269"/>
        <v>#N/A</v>
      </c>
    </row>
    <row r="3454" spans="2:22" x14ac:dyDescent="0.25">
      <c r="B3454" s="16">
        <v>1</v>
      </c>
      <c r="C3454" s="7">
        <v>1</v>
      </c>
      <c r="D3454" s="8">
        <v>0</v>
      </c>
      <c r="E3454" s="8">
        <v>1</v>
      </c>
      <c r="F3454" s="8">
        <v>1</v>
      </c>
      <c r="G3454" s="8">
        <v>1</v>
      </c>
      <c r="H3454" s="8">
        <v>1</v>
      </c>
      <c r="I3454" s="8">
        <v>0</v>
      </c>
      <c r="J3454" s="8">
        <v>1</v>
      </c>
      <c r="K3454" s="9">
        <v>0</v>
      </c>
      <c r="L3454" s="10">
        <v>1</v>
      </c>
      <c r="M3454" s="6">
        <v>1</v>
      </c>
      <c r="N3454" s="37" t="e" cm="1">
        <f t="array" ref="N3454">IF(OR(ISNUMBER(FIND(Aux!$D$3:$D$9,_xlfn.TEXTJOIN(,,C3454:K3454)))),NA(),IF(AND(SUM(C3454:F3454,H3454:K3454)=0,G3454=1),0,INT((SUMPRODUCT(C3454:F3454,COLUMN($A$1:$D$1)-1)+SUMPRODUCT(H3454:K3454,COLUMN($E$1:$H$1)-1))*'Line Follower'!$C$3/SUM(C3454:F3454,H3454:K3454)-'Line Follower'!$C$5)))</f>
        <v>#N/A</v>
      </c>
      <c r="O3454" s="22" t="e">
        <v>#N/A</v>
      </c>
      <c r="P3454" s="4" t="e">
        <f t="shared" si="265"/>
        <v>#N/A</v>
      </c>
      <c r="Q3454" s="4" t="e">
        <f t="shared" si="266"/>
        <v>#N/A</v>
      </c>
      <c r="R3454" s="4" t="e">
        <f>IF(AND(B3454=1,N3454&gt;'Line Follower'!$C$7,SUM(C3454:K3454)&lt;4),1,0)</f>
        <v>#N/A</v>
      </c>
      <c r="S3454" s="4" t="e">
        <f>IF(AND(L3454=1,N3454&lt;'Line Follower'!$C$6,SUM(C3454:K3454)&lt;4),1,0)</f>
        <v>#N/A</v>
      </c>
      <c r="T3454" s="4" t="e">
        <f t="shared" si="267"/>
        <v>#N/A</v>
      </c>
      <c r="U3454" s="5" t="e">
        <f t="shared" si="268"/>
        <v>#N/A</v>
      </c>
      <c r="V3454" s="23" t="e">
        <f t="shared" si="269"/>
        <v>#N/A</v>
      </c>
    </row>
    <row r="3455" spans="2:22" x14ac:dyDescent="0.25">
      <c r="B3455" s="16">
        <v>0</v>
      </c>
      <c r="C3455" s="7">
        <v>0</v>
      </c>
      <c r="D3455" s="8">
        <v>1</v>
      </c>
      <c r="E3455" s="8">
        <v>1</v>
      </c>
      <c r="F3455" s="8">
        <v>1</v>
      </c>
      <c r="G3455" s="8">
        <v>1</v>
      </c>
      <c r="H3455" s="8">
        <v>1</v>
      </c>
      <c r="I3455" s="8">
        <v>0</v>
      </c>
      <c r="J3455" s="8">
        <v>1</v>
      </c>
      <c r="K3455" s="9">
        <v>0</v>
      </c>
      <c r="L3455" s="10">
        <v>1</v>
      </c>
      <c r="M3455" s="6">
        <v>1</v>
      </c>
      <c r="N3455" s="37" t="e" cm="1">
        <f t="array" ref="N3455">IF(OR(ISNUMBER(FIND(Aux!$D$3:$D$9,_xlfn.TEXTJOIN(,,C3455:K3455)))),NA(),IF(AND(SUM(C3455:F3455,H3455:K3455)=0,G3455=1),0,INT((SUMPRODUCT(C3455:F3455,COLUMN($A$1:$D$1)-1)+SUMPRODUCT(H3455:K3455,COLUMN($E$1:$H$1)-1))*'Line Follower'!$C$3/SUM(C3455:F3455,H3455:K3455)-'Line Follower'!$C$5)))</f>
        <v>#N/A</v>
      </c>
      <c r="O3455" s="22" t="e">
        <v>#N/A</v>
      </c>
      <c r="P3455" s="4" t="e">
        <f t="shared" si="265"/>
        <v>#N/A</v>
      </c>
      <c r="Q3455" s="4" t="e">
        <f t="shared" si="266"/>
        <v>#N/A</v>
      </c>
      <c r="R3455" s="4" t="e">
        <f>IF(AND(B3455=1,N3455&gt;'Line Follower'!$C$7,SUM(C3455:K3455)&lt;4),1,0)</f>
        <v>#N/A</v>
      </c>
      <c r="S3455" s="4" t="e">
        <f>IF(AND(L3455=1,N3455&lt;'Line Follower'!$C$6,SUM(C3455:K3455)&lt;4),1,0)</f>
        <v>#N/A</v>
      </c>
      <c r="T3455" s="4" t="e">
        <f t="shared" si="267"/>
        <v>#N/A</v>
      </c>
      <c r="U3455" s="5" t="e">
        <f t="shared" si="268"/>
        <v>#N/A</v>
      </c>
      <c r="V3455" s="23" t="e">
        <f t="shared" si="269"/>
        <v>#N/A</v>
      </c>
    </row>
    <row r="3456" spans="2:22" x14ac:dyDescent="0.25">
      <c r="B3456" s="16">
        <v>1</v>
      </c>
      <c r="C3456" s="7">
        <v>0</v>
      </c>
      <c r="D3456" s="8">
        <v>1</v>
      </c>
      <c r="E3456" s="8">
        <v>1</v>
      </c>
      <c r="F3456" s="8">
        <v>1</v>
      </c>
      <c r="G3456" s="8">
        <v>1</v>
      </c>
      <c r="H3456" s="8">
        <v>1</v>
      </c>
      <c r="I3456" s="8">
        <v>0</v>
      </c>
      <c r="J3456" s="8">
        <v>1</v>
      </c>
      <c r="K3456" s="9">
        <v>0</v>
      </c>
      <c r="L3456" s="10">
        <v>1</v>
      </c>
      <c r="M3456" s="6">
        <v>1</v>
      </c>
      <c r="N3456" s="37" t="e" cm="1">
        <f t="array" ref="N3456">IF(OR(ISNUMBER(FIND(Aux!$D$3:$D$9,_xlfn.TEXTJOIN(,,C3456:K3456)))),NA(),IF(AND(SUM(C3456:F3456,H3456:K3456)=0,G3456=1),0,INT((SUMPRODUCT(C3456:F3456,COLUMN($A$1:$D$1)-1)+SUMPRODUCT(H3456:K3456,COLUMN($E$1:$H$1)-1))*'Line Follower'!$C$3/SUM(C3456:F3456,H3456:K3456)-'Line Follower'!$C$5)))</f>
        <v>#N/A</v>
      </c>
      <c r="O3456" s="22" t="e">
        <v>#N/A</v>
      </c>
      <c r="P3456" s="4" t="e">
        <f t="shared" si="265"/>
        <v>#N/A</v>
      </c>
      <c r="Q3456" s="4" t="e">
        <f t="shared" si="266"/>
        <v>#N/A</v>
      </c>
      <c r="R3456" s="4" t="e">
        <f>IF(AND(B3456=1,N3456&gt;'Line Follower'!$C$7,SUM(C3456:K3456)&lt;4),1,0)</f>
        <v>#N/A</v>
      </c>
      <c r="S3456" s="4" t="e">
        <f>IF(AND(L3456=1,N3456&lt;'Line Follower'!$C$6,SUM(C3456:K3456)&lt;4),1,0)</f>
        <v>#N/A</v>
      </c>
      <c r="T3456" s="4" t="e">
        <f t="shared" si="267"/>
        <v>#N/A</v>
      </c>
      <c r="U3456" s="5" t="e">
        <f t="shared" si="268"/>
        <v>#N/A</v>
      </c>
      <c r="V3456" s="23" t="e">
        <f t="shared" si="269"/>
        <v>#N/A</v>
      </c>
    </row>
    <row r="3457" spans="2:22" x14ac:dyDescent="0.25">
      <c r="B3457" s="16">
        <v>0</v>
      </c>
      <c r="C3457" s="7">
        <v>1</v>
      </c>
      <c r="D3457" s="8">
        <v>1</v>
      </c>
      <c r="E3457" s="8">
        <v>1</v>
      </c>
      <c r="F3457" s="8">
        <v>1</v>
      </c>
      <c r="G3457" s="8">
        <v>1</v>
      </c>
      <c r="H3457" s="8">
        <v>1</v>
      </c>
      <c r="I3457" s="8">
        <v>0</v>
      </c>
      <c r="J3457" s="8">
        <v>1</v>
      </c>
      <c r="K3457" s="9">
        <v>0</v>
      </c>
      <c r="L3457" s="10">
        <v>1</v>
      </c>
      <c r="M3457" s="6">
        <v>1</v>
      </c>
      <c r="N3457" s="37" t="e" cm="1">
        <f t="array" ref="N3457">IF(OR(ISNUMBER(FIND(Aux!$D$3:$D$9,_xlfn.TEXTJOIN(,,C3457:K3457)))),NA(),IF(AND(SUM(C3457:F3457,H3457:K3457)=0,G3457=1),0,INT((SUMPRODUCT(C3457:F3457,COLUMN($A$1:$D$1)-1)+SUMPRODUCT(H3457:K3457,COLUMN($E$1:$H$1)-1))*'Line Follower'!$C$3/SUM(C3457:F3457,H3457:K3457)-'Line Follower'!$C$5)))</f>
        <v>#N/A</v>
      </c>
      <c r="O3457" s="22" t="e">
        <v>#N/A</v>
      </c>
      <c r="P3457" s="4" t="e">
        <f t="shared" si="265"/>
        <v>#N/A</v>
      </c>
      <c r="Q3457" s="4" t="e">
        <f t="shared" si="266"/>
        <v>#N/A</v>
      </c>
      <c r="R3457" s="4" t="e">
        <f>IF(AND(B3457=1,N3457&gt;'Line Follower'!$C$7,SUM(C3457:K3457)&lt;4),1,0)</f>
        <v>#N/A</v>
      </c>
      <c r="S3457" s="4" t="e">
        <f>IF(AND(L3457=1,N3457&lt;'Line Follower'!$C$6,SUM(C3457:K3457)&lt;4),1,0)</f>
        <v>#N/A</v>
      </c>
      <c r="T3457" s="4" t="e">
        <f t="shared" si="267"/>
        <v>#N/A</v>
      </c>
      <c r="U3457" s="5" t="e">
        <f t="shared" si="268"/>
        <v>#N/A</v>
      </c>
      <c r="V3457" s="23" t="e">
        <f t="shared" si="269"/>
        <v>#N/A</v>
      </c>
    </row>
    <row r="3458" spans="2:22" x14ac:dyDescent="0.25">
      <c r="B3458" s="16">
        <v>1</v>
      </c>
      <c r="C3458" s="7">
        <v>1</v>
      </c>
      <c r="D3458" s="8">
        <v>1</v>
      </c>
      <c r="E3458" s="8">
        <v>1</v>
      </c>
      <c r="F3458" s="8">
        <v>1</v>
      </c>
      <c r="G3458" s="8">
        <v>1</v>
      </c>
      <c r="H3458" s="8">
        <v>1</v>
      </c>
      <c r="I3458" s="8">
        <v>0</v>
      </c>
      <c r="J3458" s="8">
        <v>1</v>
      </c>
      <c r="K3458" s="9">
        <v>0</v>
      </c>
      <c r="L3458" s="10">
        <v>1</v>
      </c>
      <c r="M3458" s="6">
        <v>1</v>
      </c>
      <c r="N3458" s="37" t="e" cm="1">
        <f t="array" ref="N3458">IF(OR(ISNUMBER(FIND(Aux!$D$3:$D$9,_xlfn.TEXTJOIN(,,C3458:K3458)))),NA(),IF(AND(SUM(C3458:F3458,H3458:K3458)=0,G3458=1),0,INT((SUMPRODUCT(C3458:F3458,COLUMN($A$1:$D$1)-1)+SUMPRODUCT(H3458:K3458,COLUMN($E$1:$H$1)-1))*'Line Follower'!$C$3/SUM(C3458:F3458,H3458:K3458)-'Line Follower'!$C$5)))</f>
        <v>#N/A</v>
      </c>
      <c r="O3458" s="22" t="e">
        <v>#N/A</v>
      </c>
      <c r="P3458" s="4" t="e">
        <f t="shared" si="265"/>
        <v>#N/A</v>
      </c>
      <c r="Q3458" s="4" t="e">
        <f t="shared" si="266"/>
        <v>#N/A</v>
      </c>
      <c r="R3458" s="4" t="e">
        <f>IF(AND(B3458=1,N3458&gt;'Line Follower'!$C$7,SUM(C3458:K3458)&lt;4),1,0)</f>
        <v>#N/A</v>
      </c>
      <c r="S3458" s="4" t="e">
        <f>IF(AND(L3458=1,N3458&lt;'Line Follower'!$C$6,SUM(C3458:K3458)&lt;4),1,0)</f>
        <v>#N/A</v>
      </c>
      <c r="T3458" s="4" t="e">
        <f t="shared" si="267"/>
        <v>#N/A</v>
      </c>
      <c r="U3458" s="5" t="e">
        <f t="shared" si="268"/>
        <v>#N/A</v>
      </c>
      <c r="V3458" s="23" t="e">
        <f t="shared" si="269"/>
        <v>#N/A</v>
      </c>
    </row>
    <row r="3459" spans="2:22" x14ac:dyDescent="0.25">
      <c r="B3459" s="16">
        <v>0</v>
      </c>
      <c r="C3459" s="7">
        <v>0</v>
      </c>
      <c r="D3459" s="8">
        <v>0</v>
      </c>
      <c r="E3459" s="8">
        <v>0</v>
      </c>
      <c r="F3459" s="8">
        <v>0</v>
      </c>
      <c r="G3459" s="8">
        <v>0</v>
      </c>
      <c r="H3459" s="8">
        <v>0</v>
      </c>
      <c r="I3459" s="8">
        <v>1</v>
      </c>
      <c r="J3459" s="8">
        <v>1</v>
      </c>
      <c r="K3459" s="9">
        <v>0</v>
      </c>
      <c r="L3459" s="10">
        <v>1</v>
      </c>
      <c r="M3459" s="6">
        <v>1</v>
      </c>
      <c r="N3459" s="37" cm="1">
        <f t="array" ref="N3459">IF(OR(ISNUMBER(FIND(Aux!$D$3:$D$9,_xlfn.TEXTJOIN(,,C3459:K3459)))),NA(),IF(AND(SUM(C3459:F3459,H3459:K3459)=0,G3459=1),0,INT((SUMPRODUCT(C3459:F3459,COLUMN($A$1:$D$1)-1)+SUMPRODUCT(H3459:K3459,COLUMN($E$1:$H$1)-1))*'Line Follower'!$C$3/SUM(C3459:F3459,H3459:K3459)-'Line Follower'!$C$5)))</f>
        <v>4</v>
      </c>
      <c r="O3459" s="22">
        <v>1</v>
      </c>
      <c r="P3459" s="4">
        <f t="shared" ref="P3459:P3522" si="270">IF(AND(N3459=0,G3459=1,M3459=1),1,0)</f>
        <v>0</v>
      </c>
      <c r="Q3459" s="4">
        <f t="shared" ref="Q3459:Q3522" si="271">IF(ISERROR(N3459),N3459,IF(SUM(C3459:K3459)&gt;=4,1,0))</f>
        <v>0</v>
      </c>
      <c r="R3459" s="4">
        <f>IF(AND(B3459=1,N3459&gt;'Line Follower'!$C$7,SUM(C3459:K3459)&lt;4),1,0)</f>
        <v>0</v>
      </c>
      <c r="S3459" s="4">
        <f>IF(AND(L3459=1,N3459&lt;'Line Follower'!$C$6,SUM(C3459:K3459)&lt;4),1,0)</f>
        <v>1</v>
      </c>
      <c r="T3459" s="4">
        <f t="shared" si="267"/>
        <v>0</v>
      </c>
      <c r="U3459" s="5">
        <f t="shared" si="268"/>
        <v>0</v>
      </c>
      <c r="V3459" s="23">
        <f t="shared" si="269"/>
        <v>0</v>
      </c>
    </row>
    <row r="3460" spans="2:22" x14ac:dyDescent="0.25">
      <c r="B3460" s="16">
        <v>1</v>
      </c>
      <c r="C3460" s="7">
        <v>0</v>
      </c>
      <c r="D3460" s="8">
        <v>0</v>
      </c>
      <c r="E3460" s="8">
        <v>0</v>
      </c>
      <c r="F3460" s="8">
        <v>0</v>
      </c>
      <c r="G3460" s="8">
        <v>0</v>
      </c>
      <c r="H3460" s="8">
        <v>0</v>
      </c>
      <c r="I3460" s="8">
        <v>1</v>
      </c>
      <c r="J3460" s="8">
        <v>1</v>
      </c>
      <c r="K3460" s="9">
        <v>0</v>
      </c>
      <c r="L3460" s="10">
        <v>1</v>
      </c>
      <c r="M3460" s="6">
        <v>1</v>
      </c>
      <c r="N3460" s="37" cm="1">
        <f t="array" ref="N3460">IF(OR(ISNUMBER(FIND(Aux!$D$3:$D$9,_xlfn.TEXTJOIN(,,C3460:K3460)))),NA(),IF(AND(SUM(C3460:F3460,H3460:K3460)=0,G3460=1),0,INT((SUMPRODUCT(C3460:F3460,COLUMN($A$1:$D$1)-1)+SUMPRODUCT(H3460:K3460,COLUMN($E$1:$H$1)-1))*'Line Follower'!$C$3/SUM(C3460:F3460,H3460:K3460)-'Line Follower'!$C$5)))</f>
        <v>4</v>
      </c>
      <c r="O3460" s="22">
        <v>1</v>
      </c>
      <c r="P3460" s="4">
        <f t="shared" si="270"/>
        <v>0</v>
      </c>
      <c r="Q3460" s="4">
        <f t="shared" si="271"/>
        <v>0</v>
      </c>
      <c r="R3460" s="4">
        <f>IF(AND(B3460=1,N3460&gt;'Line Follower'!$C$7,SUM(C3460:K3460)&lt;4),1,0)</f>
        <v>1</v>
      </c>
      <c r="S3460" s="4">
        <f>IF(AND(L3460=1,N3460&lt;'Line Follower'!$C$6,SUM(C3460:K3460)&lt;4),1,0)</f>
        <v>1</v>
      </c>
      <c r="T3460" s="4">
        <f t="shared" ref="T3460:T3523" si="272">IF(ISNA(N3460),NA(),IF(SUM(C3460:L3460)=0,1,0))</f>
        <v>0</v>
      </c>
      <c r="U3460" s="5">
        <f t="shared" ref="U3460:U3523" si="273">IF(ISNA(N3460),NA(),IF(SUM(B3460:K3460)=0,1,0))</f>
        <v>0</v>
      </c>
      <c r="V3460" s="23">
        <f t="shared" ref="V3460:V3523" si="274">IF(ISNA(N3460),NA(),IF(SUM(B3460:L3460)=0,1,0))</f>
        <v>0</v>
      </c>
    </row>
    <row r="3461" spans="2:22" x14ac:dyDescent="0.25">
      <c r="B3461" s="16">
        <v>0</v>
      </c>
      <c r="C3461" s="7">
        <v>1</v>
      </c>
      <c r="D3461" s="8">
        <v>0</v>
      </c>
      <c r="E3461" s="8">
        <v>0</v>
      </c>
      <c r="F3461" s="8">
        <v>0</v>
      </c>
      <c r="G3461" s="8">
        <v>0</v>
      </c>
      <c r="H3461" s="8">
        <v>0</v>
      </c>
      <c r="I3461" s="8">
        <v>1</v>
      </c>
      <c r="J3461" s="8">
        <v>1</v>
      </c>
      <c r="K3461" s="9">
        <v>0</v>
      </c>
      <c r="L3461" s="10">
        <v>1</v>
      </c>
      <c r="M3461" s="6">
        <v>1</v>
      </c>
      <c r="N3461" s="37" t="e" cm="1">
        <f t="array" ref="N3461">IF(OR(ISNUMBER(FIND(Aux!$D$3:$D$9,_xlfn.TEXTJOIN(,,C3461:K3461)))),NA(),IF(AND(SUM(C3461:F3461,H3461:K3461)=0,G3461=1),0,INT((SUMPRODUCT(C3461:F3461,COLUMN($A$1:$D$1)-1)+SUMPRODUCT(H3461:K3461,COLUMN($E$1:$H$1)-1))*'Line Follower'!$C$3/SUM(C3461:F3461,H3461:K3461)-'Line Follower'!$C$5)))</f>
        <v>#N/A</v>
      </c>
      <c r="O3461" s="22" t="e">
        <v>#N/A</v>
      </c>
      <c r="P3461" s="4" t="e">
        <f t="shared" si="270"/>
        <v>#N/A</v>
      </c>
      <c r="Q3461" s="4" t="e">
        <f t="shared" si="271"/>
        <v>#N/A</v>
      </c>
      <c r="R3461" s="4" t="e">
        <f>IF(AND(B3461=1,N3461&gt;'Line Follower'!$C$7,SUM(C3461:K3461)&lt;4),1,0)</f>
        <v>#N/A</v>
      </c>
      <c r="S3461" s="4" t="e">
        <f>IF(AND(L3461=1,N3461&lt;'Line Follower'!$C$6,SUM(C3461:K3461)&lt;4),1,0)</f>
        <v>#N/A</v>
      </c>
      <c r="T3461" s="4" t="e">
        <f t="shared" si="272"/>
        <v>#N/A</v>
      </c>
      <c r="U3461" s="5" t="e">
        <f t="shared" si="273"/>
        <v>#N/A</v>
      </c>
      <c r="V3461" s="23" t="e">
        <f t="shared" si="274"/>
        <v>#N/A</v>
      </c>
    </row>
    <row r="3462" spans="2:22" x14ac:dyDescent="0.25">
      <c r="B3462" s="16">
        <v>1</v>
      </c>
      <c r="C3462" s="7">
        <v>1</v>
      </c>
      <c r="D3462" s="8">
        <v>0</v>
      </c>
      <c r="E3462" s="8">
        <v>0</v>
      </c>
      <c r="F3462" s="8">
        <v>0</v>
      </c>
      <c r="G3462" s="8">
        <v>0</v>
      </c>
      <c r="H3462" s="8">
        <v>0</v>
      </c>
      <c r="I3462" s="8">
        <v>1</v>
      </c>
      <c r="J3462" s="8">
        <v>1</v>
      </c>
      <c r="K3462" s="9">
        <v>0</v>
      </c>
      <c r="L3462" s="10">
        <v>1</v>
      </c>
      <c r="M3462" s="6">
        <v>1</v>
      </c>
      <c r="N3462" s="37" t="e" cm="1">
        <f t="array" ref="N3462">IF(OR(ISNUMBER(FIND(Aux!$D$3:$D$9,_xlfn.TEXTJOIN(,,C3462:K3462)))),NA(),IF(AND(SUM(C3462:F3462,H3462:K3462)=0,G3462=1),0,INT((SUMPRODUCT(C3462:F3462,COLUMN($A$1:$D$1)-1)+SUMPRODUCT(H3462:K3462,COLUMN($E$1:$H$1)-1))*'Line Follower'!$C$3/SUM(C3462:F3462,H3462:K3462)-'Line Follower'!$C$5)))</f>
        <v>#N/A</v>
      </c>
      <c r="O3462" s="22" t="e">
        <v>#N/A</v>
      </c>
      <c r="P3462" s="4" t="e">
        <f t="shared" si="270"/>
        <v>#N/A</v>
      </c>
      <c r="Q3462" s="4" t="e">
        <f t="shared" si="271"/>
        <v>#N/A</v>
      </c>
      <c r="R3462" s="4" t="e">
        <f>IF(AND(B3462=1,N3462&gt;'Line Follower'!$C$7,SUM(C3462:K3462)&lt;4),1,0)</f>
        <v>#N/A</v>
      </c>
      <c r="S3462" s="4" t="e">
        <f>IF(AND(L3462=1,N3462&lt;'Line Follower'!$C$6,SUM(C3462:K3462)&lt;4),1,0)</f>
        <v>#N/A</v>
      </c>
      <c r="T3462" s="4" t="e">
        <f t="shared" si="272"/>
        <v>#N/A</v>
      </c>
      <c r="U3462" s="5" t="e">
        <f t="shared" si="273"/>
        <v>#N/A</v>
      </c>
      <c r="V3462" s="23" t="e">
        <f t="shared" si="274"/>
        <v>#N/A</v>
      </c>
    </row>
    <row r="3463" spans="2:22" x14ac:dyDescent="0.25">
      <c r="B3463" s="16">
        <v>0</v>
      </c>
      <c r="C3463" s="7">
        <v>0</v>
      </c>
      <c r="D3463" s="8">
        <v>1</v>
      </c>
      <c r="E3463" s="8">
        <v>0</v>
      </c>
      <c r="F3463" s="8">
        <v>0</v>
      </c>
      <c r="G3463" s="8">
        <v>0</v>
      </c>
      <c r="H3463" s="8">
        <v>0</v>
      </c>
      <c r="I3463" s="8">
        <v>1</v>
      </c>
      <c r="J3463" s="8">
        <v>1</v>
      </c>
      <c r="K3463" s="9">
        <v>0</v>
      </c>
      <c r="L3463" s="10">
        <v>1</v>
      </c>
      <c r="M3463" s="6">
        <v>1</v>
      </c>
      <c r="N3463" s="37" t="e" cm="1">
        <f t="array" ref="N3463">IF(OR(ISNUMBER(FIND(Aux!$D$3:$D$9,_xlfn.TEXTJOIN(,,C3463:K3463)))),NA(),IF(AND(SUM(C3463:F3463,H3463:K3463)=0,G3463=1),0,INT((SUMPRODUCT(C3463:F3463,COLUMN($A$1:$D$1)-1)+SUMPRODUCT(H3463:K3463,COLUMN($E$1:$H$1)-1))*'Line Follower'!$C$3/SUM(C3463:F3463,H3463:K3463)-'Line Follower'!$C$5)))</f>
        <v>#N/A</v>
      </c>
      <c r="O3463" s="22" t="e">
        <v>#N/A</v>
      </c>
      <c r="P3463" s="4" t="e">
        <f t="shared" si="270"/>
        <v>#N/A</v>
      </c>
      <c r="Q3463" s="4" t="e">
        <f t="shared" si="271"/>
        <v>#N/A</v>
      </c>
      <c r="R3463" s="4" t="e">
        <f>IF(AND(B3463=1,N3463&gt;'Line Follower'!$C$7,SUM(C3463:K3463)&lt;4),1,0)</f>
        <v>#N/A</v>
      </c>
      <c r="S3463" s="4" t="e">
        <f>IF(AND(L3463=1,N3463&lt;'Line Follower'!$C$6,SUM(C3463:K3463)&lt;4),1,0)</f>
        <v>#N/A</v>
      </c>
      <c r="T3463" s="4" t="e">
        <f t="shared" si="272"/>
        <v>#N/A</v>
      </c>
      <c r="U3463" s="5" t="e">
        <f t="shared" si="273"/>
        <v>#N/A</v>
      </c>
      <c r="V3463" s="23" t="e">
        <f t="shared" si="274"/>
        <v>#N/A</v>
      </c>
    </row>
    <row r="3464" spans="2:22" x14ac:dyDescent="0.25">
      <c r="B3464" s="16">
        <v>1</v>
      </c>
      <c r="C3464" s="7">
        <v>0</v>
      </c>
      <c r="D3464" s="8">
        <v>1</v>
      </c>
      <c r="E3464" s="8">
        <v>0</v>
      </c>
      <c r="F3464" s="8">
        <v>0</v>
      </c>
      <c r="G3464" s="8">
        <v>0</v>
      </c>
      <c r="H3464" s="8">
        <v>0</v>
      </c>
      <c r="I3464" s="8">
        <v>1</v>
      </c>
      <c r="J3464" s="8">
        <v>1</v>
      </c>
      <c r="K3464" s="9">
        <v>0</v>
      </c>
      <c r="L3464" s="10">
        <v>1</v>
      </c>
      <c r="M3464" s="6">
        <v>1</v>
      </c>
      <c r="N3464" s="37" t="e" cm="1">
        <f t="array" ref="N3464">IF(OR(ISNUMBER(FIND(Aux!$D$3:$D$9,_xlfn.TEXTJOIN(,,C3464:K3464)))),NA(),IF(AND(SUM(C3464:F3464,H3464:K3464)=0,G3464=1),0,INT((SUMPRODUCT(C3464:F3464,COLUMN($A$1:$D$1)-1)+SUMPRODUCT(H3464:K3464,COLUMN($E$1:$H$1)-1))*'Line Follower'!$C$3/SUM(C3464:F3464,H3464:K3464)-'Line Follower'!$C$5)))</f>
        <v>#N/A</v>
      </c>
      <c r="O3464" s="22" t="e">
        <v>#N/A</v>
      </c>
      <c r="P3464" s="4" t="e">
        <f t="shared" si="270"/>
        <v>#N/A</v>
      </c>
      <c r="Q3464" s="4" t="e">
        <f t="shared" si="271"/>
        <v>#N/A</v>
      </c>
      <c r="R3464" s="4" t="e">
        <f>IF(AND(B3464=1,N3464&gt;'Line Follower'!$C$7,SUM(C3464:K3464)&lt;4),1,0)</f>
        <v>#N/A</v>
      </c>
      <c r="S3464" s="4" t="e">
        <f>IF(AND(L3464=1,N3464&lt;'Line Follower'!$C$6,SUM(C3464:K3464)&lt;4),1,0)</f>
        <v>#N/A</v>
      </c>
      <c r="T3464" s="4" t="e">
        <f t="shared" si="272"/>
        <v>#N/A</v>
      </c>
      <c r="U3464" s="5" t="e">
        <f t="shared" si="273"/>
        <v>#N/A</v>
      </c>
      <c r="V3464" s="23" t="e">
        <f t="shared" si="274"/>
        <v>#N/A</v>
      </c>
    </row>
    <row r="3465" spans="2:22" x14ac:dyDescent="0.25">
      <c r="B3465" s="16">
        <v>0</v>
      </c>
      <c r="C3465" s="7">
        <v>1</v>
      </c>
      <c r="D3465" s="8">
        <v>1</v>
      </c>
      <c r="E3465" s="8">
        <v>0</v>
      </c>
      <c r="F3465" s="8">
        <v>0</v>
      </c>
      <c r="G3465" s="8">
        <v>0</v>
      </c>
      <c r="H3465" s="8">
        <v>0</v>
      </c>
      <c r="I3465" s="8">
        <v>1</v>
      </c>
      <c r="J3465" s="8">
        <v>1</v>
      </c>
      <c r="K3465" s="9">
        <v>0</v>
      </c>
      <c r="L3465" s="10">
        <v>1</v>
      </c>
      <c r="M3465" s="6">
        <v>1</v>
      </c>
      <c r="N3465" s="37" t="e" cm="1">
        <f t="array" ref="N3465">IF(OR(ISNUMBER(FIND(Aux!$D$3:$D$9,_xlfn.TEXTJOIN(,,C3465:K3465)))),NA(),IF(AND(SUM(C3465:F3465,H3465:K3465)=0,G3465=1),0,INT((SUMPRODUCT(C3465:F3465,COLUMN($A$1:$D$1)-1)+SUMPRODUCT(H3465:K3465,COLUMN($E$1:$H$1)-1))*'Line Follower'!$C$3/SUM(C3465:F3465,H3465:K3465)-'Line Follower'!$C$5)))</f>
        <v>#N/A</v>
      </c>
      <c r="O3465" s="22" t="e">
        <v>#N/A</v>
      </c>
      <c r="P3465" s="4" t="e">
        <f t="shared" si="270"/>
        <v>#N/A</v>
      </c>
      <c r="Q3465" s="4" t="e">
        <f t="shared" si="271"/>
        <v>#N/A</v>
      </c>
      <c r="R3465" s="4" t="e">
        <f>IF(AND(B3465=1,N3465&gt;'Line Follower'!$C$7,SUM(C3465:K3465)&lt;4),1,0)</f>
        <v>#N/A</v>
      </c>
      <c r="S3465" s="4" t="e">
        <f>IF(AND(L3465=1,N3465&lt;'Line Follower'!$C$6,SUM(C3465:K3465)&lt;4),1,0)</f>
        <v>#N/A</v>
      </c>
      <c r="T3465" s="4" t="e">
        <f t="shared" si="272"/>
        <v>#N/A</v>
      </c>
      <c r="U3465" s="5" t="e">
        <f t="shared" si="273"/>
        <v>#N/A</v>
      </c>
      <c r="V3465" s="23" t="e">
        <f t="shared" si="274"/>
        <v>#N/A</v>
      </c>
    </row>
    <row r="3466" spans="2:22" x14ac:dyDescent="0.25">
      <c r="B3466" s="16">
        <v>1</v>
      </c>
      <c r="C3466" s="7">
        <v>1</v>
      </c>
      <c r="D3466" s="8">
        <v>1</v>
      </c>
      <c r="E3466" s="8">
        <v>0</v>
      </c>
      <c r="F3466" s="8">
        <v>0</v>
      </c>
      <c r="G3466" s="8">
        <v>0</v>
      </c>
      <c r="H3466" s="8">
        <v>0</v>
      </c>
      <c r="I3466" s="8">
        <v>1</v>
      </c>
      <c r="J3466" s="8">
        <v>1</v>
      </c>
      <c r="K3466" s="9">
        <v>0</v>
      </c>
      <c r="L3466" s="10">
        <v>1</v>
      </c>
      <c r="M3466" s="6">
        <v>1</v>
      </c>
      <c r="N3466" s="37" t="e" cm="1">
        <f t="array" ref="N3466">IF(OR(ISNUMBER(FIND(Aux!$D$3:$D$9,_xlfn.TEXTJOIN(,,C3466:K3466)))),NA(),IF(AND(SUM(C3466:F3466,H3466:K3466)=0,G3466=1),0,INT((SUMPRODUCT(C3466:F3466,COLUMN($A$1:$D$1)-1)+SUMPRODUCT(H3466:K3466,COLUMN($E$1:$H$1)-1))*'Line Follower'!$C$3/SUM(C3466:F3466,H3466:K3466)-'Line Follower'!$C$5)))</f>
        <v>#N/A</v>
      </c>
      <c r="O3466" s="22" t="e">
        <v>#N/A</v>
      </c>
      <c r="P3466" s="4" t="e">
        <f t="shared" si="270"/>
        <v>#N/A</v>
      </c>
      <c r="Q3466" s="4" t="e">
        <f t="shared" si="271"/>
        <v>#N/A</v>
      </c>
      <c r="R3466" s="4" t="e">
        <f>IF(AND(B3466=1,N3466&gt;'Line Follower'!$C$7,SUM(C3466:K3466)&lt;4),1,0)</f>
        <v>#N/A</v>
      </c>
      <c r="S3466" s="4" t="e">
        <f>IF(AND(L3466=1,N3466&lt;'Line Follower'!$C$6,SUM(C3466:K3466)&lt;4),1,0)</f>
        <v>#N/A</v>
      </c>
      <c r="T3466" s="4" t="e">
        <f t="shared" si="272"/>
        <v>#N/A</v>
      </c>
      <c r="U3466" s="5" t="e">
        <f t="shared" si="273"/>
        <v>#N/A</v>
      </c>
      <c r="V3466" s="23" t="e">
        <f t="shared" si="274"/>
        <v>#N/A</v>
      </c>
    </row>
    <row r="3467" spans="2:22" x14ac:dyDescent="0.25">
      <c r="B3467" s="16">
        <v>0</v>
      </c>
      <c r="C3467" s="7">
        <v>0</v>
      </c>
      <c r="D3467" s="8">
        <v>0</v>
      </c>
      <c r="E3467" s="8">
        <v>1</v>
      </c>
      <c r="F3467" s="8">
        <v>0</v>
      </c>
      <c r="G3467" s="8">
        <v>0</v>
      </c>
      <c r="H3467" s="8">
        <v>0</v>
      </c>
      <c r="I3467" s="8">
        <v>1</v>
      </c>
      <c r="J3467" s="8">
        <v>1</v>
      </c>
      <c r="K3467" s="9">
        <v>0</v>
      </c>
      <c r="L3467" s="10">
        <v>1</v>
      </c>
      <c r="M3467" s="6">
        <v>1</v>
      </c>
      <c r="N3467" s="37" t="e" cm="1">
        <f t="array" ref="N3467">IF(OR(ISNUMBER(FIND(Aux!$D$3:$D$9,_xlfn.TEXTJOIN(,,C3467:K3467)))),NA(),IF(AND(SUM(C3467:F3467,H3467:K3467)=0,G3467=1),0,INT((SUMPRODUCT(C3467:F3467,COLUMN($A$1:$D$1)-1)+SUMPRODUCT(H3467:K3467,COLUMN($E$1:$H$1)-1))*'Line Follower'!$C$3/SUM(C3467:F3467,H3467:K3467)-'Line Follower'!$C$5)))</f>
        <v>#N/A</v>
      </c>
      <c r="O3467" s="22" t="e">
        <v>#N/A</v>
      </c>
      <c r="P3467" s="4" t="e">
        <f t="shared" si="270"/>
        <v>#N/A</v>
      </c>
      <c r="Q3467" s="4" t="e">
        <f t="shared" si="271"/>
        <v>#N/A</v>
      </c>
      <c r="R3467" s="4" t="e">
        <f>IF(AND(B3467=1,N3467&gt;'Line Follower'!$C$7,SUM(C3467:K3467)&lt;4),1,0)</f>
        <v>#N/A</v>
      </c>
      <c r="S3467" s="4" t="e">
        <f>IF(AND(L3467=1,N3467&lt;'Line Follower'!$C$6,SUM(C3467:K3467)&lt;4),1,0)</f>
        <v>#N/A</v>
      </c>
      <c r="T3467" s="4" t="e">
        <f t="shared" si="272"/>
        <v>#N/A</v>
      </c>
      <c r="U3467" s="5" t="e">
        <f t="shared" si="273"/>
        <v>#N/A</v>
      </c>
      <c r="V3467" s="23" t="e">
        <f t="shared" si="274"/>
        <v>#N/A</v>
      </c>
    </row>
    <row r="3468" spans="2:22" x14ac:dyDescent="0.25">
      <c r="B3468" s="16">
        <v>1</v>
      </c>
      <c r="C3468" s="7">
        <v>0</v>
      </c>
      <c r="D3468" s="8">
        <v>0</v>
      </c>
      <c r="E3468" s="8">
        <v>1</v>
      </c>
      <c r="F3468" s="8">
        <v>0</v>
      </c>
      <c r="G3468" s="8">
        <v>0</v>
      </c>
      <c r="H3468" s="8">
        <v>0</v>
      </c>
      <c r="I3468" s="8">
        <v>1</v>
      </c>
      <c r="J3468" s="8">
        <v>1</v>
      </c>
      <c r="K3468" s="9">
        <v>0</v>
      </c>
      <c r="L3468" s="10">
        <v>1</v>
      </c>
      <c r="M3468" s="6">
        <v>1</v>
      </c>
      <c r="N3468" s="37" t="e" cm="1">
        <f t="array" ref="N3468">IF(OR(ISNUMBER(FIND(Aux!$D$3:$D$9,_xlfn.TEXTJOIN(,,C3468:K3468)))),NA(),IF(AND(SUM(C3468:F3468,H3468:K3468)=0,G3468=1),0,INT((SUMPRODUCT(C3468:F3468,COLUMN($A$1:$D$1)-1)+SUMPRODUCT(H3468:K3468,COLUMN($E$1:$H$1)-1))*'Line Follower'!$C$3/SUM(C3468:F3468,H3468:K3468)-'Line Follower'!$C$5)))</f>
        <v>#N/A</v>
      </c>
      <c r="O3468" s="22" t="e">
        <v>#N/A</v>
      </c>
      <c r="P3468" s="4" t="e">
        <f t="shared" si="270"/>
        <v>#N/A</v>
      </c>
      <c r="Q3468" s="4" t="e">
        <f t="shared" si="271"/>
        <v>#N/A</v>
      </c>
      <c r="R3468" s="4" t="e">
        <f>IF(AND(B3468=1,N3468&gt;'Line Follower'!$C$7,SUM(C3468:K3468)&lt;4),1,0)</f>
        <v>#N/A</v>
      </c>
      <c r="S3468" s="4" t="e">
        <f>IF(AND(L3468=1,N3468&lt;'Line Follower'!$C$6,SUM(C3468:K3468)&lt;4),1,0)</f>
        <v>#N/A</v>
      </c>
      <c r="T3468" s="4" t="e">
        <f t="shared" si="272"/>
        <v>#N/A</v>
      </c>
      <c r="U3468" s="5" t="e">
        <f t="shared" si="273"/>
        <v>#N/A</v>
      </c>
      <c r="V3468" s="23" t="e">
        <f t="shared" si="274"/>
        <v>#N/A</v>
      </c>
    </row>
    <row r="3469" spans="2:22" x14ac:dyDescent="0.25">
      <c r="B3469" s="16">
        <v>0</v>
      </c>
      <c r="C3469" s="7">
        <v>1</v>
      </c>
      <c r="D3469" s="8">
        <v>0</v>
      </c>
      <c r="E3469" s="8">
        <v>1</v>
      </c>
      <c r="F3469" s="8">
        <v>0</v>
      </c>
      <c r="G3469" s="8">
        <v>0</v>
      </c>
      <c r="H3469" s="8">
        <v>0</v>
      </c>
      <c r="I3469" s="8">
        <v>1</v>
      </c>
      <c r="J3469" s="8">
        <v>1</v>
      </c>
      <c r="K3469" s="9">
        <v>0</v>
      </c>
      <c r="L3469" s="10">
        <v>1</v>
      </c>
      <c r="M3469" s="6">
        <v>1</v>
      </c>
      <c r="N3469" s="37" t="e" cm="1">
        <f t="array" ref="N3469">IF(OR(ISNUMBER(FIND(Aux!$D$3:$D$9,_xlfn.TEXTJOIN(,,C3469:K3469)))),NA(),IF(AND(SUM(C3469:F3469,H3469:K3469)=0,G3469=1),0,INT((SUMPRODUCT(C3469:F3469,COLUMN($A$1:$D$1)-1)+SUMPRODUCT(H3469:K3469,COLUMN($E$1:$H$1)-1))*'Line Follower'!$C$3/SUM(C3469:F3469,H3469:K3469)-'Line Follower'!$C$5)))</f>
        <v>#N/A</v>
      </c>
      <c r="O3469" s="22" t="e">
        <v>#N/A</v>
      </c>
      <c r="P3469" s="4" t="e">
        <f t="shared" si="270"/>
        <v>#N/A</v>
      </c>
      <c r="Q3469" s="4" t="e">
        <f t="shared" si="271"/>
        <v>#N/A</v>
      </c>
      <c r="R3469" s="4" t="e">
        <f>IF(AND(B3469=1,N3469&gt;'Line Follower'!$C$7,SUM(C3469:K3469)&lt;4),1,0)</f>
        <v>#N/A</v>
      </c>
      <c r="S3469" s="4" t="e">
        <f>IF(AND(L3469=1,N3469&lt;'Line Follower'!$C$6,SUM(C3469:K3469)&lt;4),1,0)</f>
        <v>#N/A</v>
      </c>
      <c r="T3469" s="4" t="e">
        <f t="shared" si="272"/>
        <v>#N/A</v>
      </c>
      <c r="U3469" s="5" t="e">
        <f t="shared" si="273"/>
        <v>#N/A</v>
      </c>
      <c r="V3469" s="23" t="e">
        <f t="shared" si="274"/>
        <v>#N/A</v>
      </c>
    </row>
    <row r="3470" spans="2:22" x14ac:dyDescent="0.25">
      <c r="B3470" s="16">
        <v>1</v>
      </c>
      <c r="C3470" s="7">
        <v>1</v>
      </c>
      <c r="D3470" s="8">
        <v>0</v>
      </c>
      <c r="E3470" s="8">
        <v>1</v>
      </c>
      <c r="F3470" s="8">
        <v>0</v>
      </c>
      <c r="G3470" s="8">
        <v>0</v>
      </c>
      <c r="H3470" s="8">
        <v>0</v>
      </c>
      <c r="I3470" s="8">
        <v>1</v>
      </c>
      <c r="J3470" s="8">
        <v>1</v>
      </c>
      <c r="K3470" s="9">
        <v>0</v>
      </c>
      <c r="L3470" s="10">
        <v>1</v>
      </c>
      <c r="M3470" s="6">
        <v>1</v>
      </c>
      <c r="N3470" s="37" t="e" cm="1">
        <f t="array" ref="N3470">IF(OR(ISNUMBER(FIND(Aux!$D$3:$D$9,_xlfn.TEXTJOIN(,,C3470:K3470)))),NA(),IF(AND(SUM(C3470:F3470,H3470:K3470)=0,G3470=1),0,INT((SUMPRODUCT(C3470:F3470,COLUMN($A$1:$D$1)-1)+SUMPRODUCT(H3470:K3470,COLUMN($E$1:$H$1)-1))*'Line Follower'!$C$3/SUM(C3470:F3470,H3470:K3470)-'Line Follower'!$C$5)))</f>
        <v>#N/A</v>
      </c>
      <c r="O3470" s="22" t="e">
        <v>#N/A</v>
      </c>
      <c r="P3470" s="4" t="e">
        <f t="shared" si="270"/>
        <v>#N/A</v>
      </c>
      <c r="Q3470" s="4" t="e">
        <f t="shared" si="271"/>
        <v>#N/A</v>
      </c>
      <c r="R3470" s="4" t="e">
        <f>IF(AND(B3470=1,N3470&gt;'Line Follower'!$C$7,SUM(C3470:K3470)&lt;4),1,0)</f>
        <v>#N/A</v>
      </c>
      <c r="S3470" s="4" t="e">
        <f>IF(AND(L3470=1,N3470&lt;'Line Follower'!$C$6,SUM(C3470:K3470)&lt;4),1,0)</f>
        <v>#N/A</v>
      </c>
      <c r="T3470" s="4" t="e">
        <f t="shared" si="272"/>
        <v>#N/A</v>
      </c>
      <c r="U3470" s="5" t="e">
        <f t="shared" si="273"/>
        <v>#N/A</v>
      </c>
      <c r="V3470" s="23" t="e">
        <f t="shared" si="274"/>
        <v>#N/A</v>
      </c>
    </row>
    <row r="3471" spans="2:22" x14ac:dyDescent="0.25">
      <c r="B3471" s="16">
        <v>0</v>
      </c>
      <c r="C3471" s="7">
        <v>0</v>
      </c>
      <c r="D3471" s="8">
        <v>1</v>
      </c>
      <c r="E3471" s="8">
        <v>1</v>
      </c>
      <c r="F3471" s="8">
        <v>0</v>
      </c>
      <c r="G3471" s="8">
        <v>0</v>
      </c>
      <c r="H3471" s="8">
        <v>0</v>
      </c>
      <c r="I3471" s="8">
        <v>1</v>
      </c>
      <c r="J3471" s="8">
        <v>1</v>
      </c>
      <c r="K3471" s="9">
        <v>0</v>
      </c>
      <c r="L3471" s="10">
        <v>1</v>
      </c>
      <c r="M3471" s="6">
        <v>1</v>
      </c>
      <c r="N3471" s="37" t="e" cm="1">
        <f t="array" ref="N3471">IF(OR(ISNUMBER(FIND(Aux!$D$3:$D$9,_xlfn.TEXTJOIN(,,C3471:K3471)))),NA(),IF(AND(SUM(C3471:F3471,H3471:K3471)=0,G3471=1),0,INT((SUMPRODUCT(C3471:F3471,COLUMN($A$1:$D$1)-1)+SUMPRODUCT(H3471:K3471,COLUMN($E$1:$H$1)-1))*'Line Follower'!$C$3/SUM(C3471:F3471,H3471:K3471)-'Line Follower'!$C$5)))</f>
        <v>#N/A</v>
      </c>
      <c r="O3471" s="22" t="e">
        <v>#N/A</v>
      </c>
      <c r="P3471" s="4" t="e">
        <f t="shared" si="270"/>
        <v>#N/A</v>
      </c>
      <c r="Q3471" s="4" t="e">
        <f t="shared" si="271"/>
        <v>#N/A</v>
      </c>
      <c r="R3471" s="4" t="e">
        <f>IF(AND(B3471=1,N3471&gt;'Line Follower'!$C$7,SUM(C3471:K3471)&lt;4),1,0)</f>
        <v>#N/A</v>
      </c>
      <c r="S3471" s="4" t="e">
        <f>IF(AND(L3471=1,N3471&lt;'Line Follower'!$C$6,SUM(C3471:K3471)&lt;4),1,0)</f>
        <v>#N/A</v>
      </c>
      <c r="T3471" s="4" t="e">
        <f t="shared" si="272"/>
        <v>#N/A</v>
      </c>
      <c r="U3471" s="5" t="e">
        <f t="shared" si="273"/>
        <v>#N/A</v>
      </c>
      <c r="V3471" s="23" t="e">
        <f t="shared" si="274"/>
        <v>#N/A</v>
      </c>
    </row>
    <row r="3472" spans="2:22" x14ac:dyDescent="0.25">
      <c r="B3472" s="16">
        <v>1</v>
      </c>
      <c r="C3472" s="7">
        <v>0</v>
      </c>
      <c r="D3472" s="8">
        <v>1</v>
      </c>
      <c r="E3472" s="8">
        <v>1</v>
      </c>
      <c r="F3472" s="8">
        <v>0</v>
      </c>
      <c r="G3472" s="8">
        <v>0</v>
      </c>
      <c r="H3472" s="8">
        <v>0</v>
      </c>
      <c r="I3472" s="8">
        <v>1</v>
      </c>
      <c r="J3472" s="8">
        <v>1</v>
      </c>
      <c r="K3472" s="9">
        <v>0</v>
      </c>
      <c r="L3472" s="10">
        <v>1</v>
      </c>
      <c r="M3472" s="6">
        <v>1</v>
      </c>
      <c r="N3472" s="37" t="e" cm="1">
        <f t="array" ref="N3472">IF(OR(ISNUMBER(FIND(Aux!$D$3:$D$9,_xlfn.TEXTJOIN(,,C3472:K3472)))),NA(),IF(AND(SUM(C3472:F3472,H3472:K3472)=0,G3472=1),0,INT((SUMPRODUCT(C3472:F3472,COLUMN($A$1:$D$1)-1)+SUMPRODUCT(H3472:K3472,COLUMN($E$1:$H$1)-1))*'Line Follower'!$C$3/SUM(C3472:F3472,H3472:K3472)-'Line Follower'!$C$5)))</f>
        <v>#N/A</v>
      </c>
      <c r="O3472" s="22" t="e">
        <v>#N/A</v>
      </c>
      <c r="P3472" s="4" t="e">
        <f t="shared" si="270"/>
        <v>#N/A</v>
      </c>
      <c r="Q3472" s="4" t="e">
        <f t="shared" si="271"/>
        <v>#N/A</v>
      </c>
      <c r="R3472" s="4" t="e">
        <f>IF(AND(B3472=1,N3472&gt;'Line Follower'!$C$7,SUM(C3472:K3472)&lt;4),1,0)</f>
        <v>#N/A</v>
      </c>
      <c r="S3472" s="4" t="e">
        <f>IF(AND(L3472=1,N3472&lt;'Line Follower'!$C$6,SUM(C3472:K3472)&lt;4),1,0)</f>
        <v>#N/A</v>
      </c>
      <c r="T3472" s="4" t="e">
        <f t="shared" si="272"/>
        <v>#N/A</v>
      </c>
      <c r="U3472" s="5" t="e">
        <f t="shared" si="273"/>
        <v>#N/A</v>
      </c>
      <c r="V3472" s="23" t="e">
        <f t="shared" si="274"/>
        <v>#N/A</v>
      </c>
    </row>
    <row r="3473" spans="2:22" x14ac:dyDescent="0.25">
      <c r="B3473" s="16">
        <v>0</v>
      </c>
      <c r="C3473" s="7">
        <v>1</v>
      </c>
      <c r="D3473" s="8">
        <v>1</v>
      </c>
      <c r="E3473" s="8">
        <v>1</v>
      </c>
      <c r="F3473" s="8">
        <v>0</v>
      </c>
      <c r="G3473" s="8">
        <v>0</v>
      </c>
      <c r="H3473" s="8">
        <v>0</v>
      </c>
      <c r="I3473" s="8">
        <v>1</v>
      </c>
      <c r="J3473" s="8">
        <v>1</v>
      </c>
      <c r="K3473" s="9">
        <v>0</v>
      </c>
      <c r="L3473" s="10">
        <v>1</v>
      </c>
      <c r="M3473" s="6">
        <v>1</v>
      </c>
      <c r="N3473" s="37" t="e" cm="1">
        <f t="array" ref="N3473">IF(OR(ISNUMBER(FIND(Aux!$D$3:$D$9,_xlfn.TEXTJOIN(,,C3473:K3473)))),NA(),IF(AND(SUM(C3473:F3473,H3473:K3473)=0,G3473=1),0,INT((SUMPRODUCT(C3473:F3473,COLUMN($A$1:$D$1)-1)+SUMPRODUCT(H3473:K3473,COLUMN($E$1:$H$1)-1))*'Line Follower'!$C$3/SUM(C3473:F3473,H3473:K3473)-'Line Follower'!$C$5)))</f>
        <v>#N/A</v>
      </c>
      <c r="O3473" s="22" t="e">
        <v>#N/A</v>
      </c>
      <c r="P3473" s="4" t="e">
        <f t="shared" si="270"/>
        <v>#N/A</v>
      </c>
      <c r="Q3473" s="4" t="e">
        <f t="shared" si="271"/>
        <v>#N/A</v>
      </c>
      <c r="R3473" s="4" t="e">
        <f>IF(AND(B3473=1,N3473&gt;'Line Follower'!$C$7,SUM(C3473:K3473)&lt;4),1,0)</f>
        <v>#N/A</v>
      </c>
      <c r="S3473" s="4" t="e">
        <f>IF(AND(L3473=1,N3473&lt;'Line Follower'!$C$6,SUM(C3473:K3473)&lt;4),1,0)</f>
        <v>#N/A</v>
      </c>
      <c r="T3473" s="4" t="e">
        <f t="shared" si="272"/>
        <v>#N/A</v>
      </c>
      <c r="U3473" s="5" t="e">
        <f t="shared" si="273"/>
        <v>#N/A</v>
      </c>
      <c r="V3473" s="23" t="e">
        <f t="shared" si="274"/>
        <v>#N/A</v>
      </c>
    </row>
    <row r="3474" spans="2:22" x14ac:dyDescent="0.25">
      <c r="B3474" s="16">
        <v>1</v>
      </c>
      <c r="C3474" s="7">
        <v>1</v>
      </c>
      <c r="D3474" s="8">
        <v>1</v>
      </c>
      <c r="E3474" s="8">
        <v>1</v>
      </c>
      <c r="F3474" s="8">
        <v>0</v>
      </c>
      <c r="G3474" s="8">
        <v>0</v>
      </c>
      <c r="H3474" s="8">
        <v>0</v>
      </c>
      <c r="I3474" s="8">
        <v>1</v>
      </c>
      <c r="J3474" s="8">
        <v>1</v>
      </c>
      <c r="K3474" s="9">
        <v>0</v>
      </c>
      <c r="L3474" s="10">
        <v>1</v>
      </c>
      <c r="M3474" s="6">
        <v>1</v>
      </c>
      <c r="N3474" s="37" t="e" cm="1">
        <f t="array" ref="N3474">IF(OR(ISNUMBER(FIND(Aux!$D$3:$D$9,_xlfn.TEXTJOIN(,,C3474:K3474)))),NA(),IF(AND(SUM(C3474:F3474,H3474:K3474)=0,G3474=1),0,INT((SUMPRODUCT(C3474:F3474,COLUMN($A$1:$D$1)-1)+SUMPRODUCT(H3474:K3474,COLUMN($E$1:$H$1)-1))*'Line Follower'!$C$3/SUM(C3474:F3474,H3474:K3474)-'Line Follower'!$C$5)))</f>
        <v>#N/A</v>
      </c>
      <c r="O3474" s="22" t="e">
        <v>#N/A</v>
      </c>
      <c r="P3474" s="4" t="e">
        <f t="shared" si="270"/>
        <v>#N/A</v>
      </c>
      <c r="Q3474" s="4" t="e">
        <f t="shared" si="271"/>
        <v>#N/A</v>
      </c>
      <c r="R3474" s="4" t="e">
        <f>IF(AND(B3474=1,N3474&gt;'Line Follower'!$C$7,SUM(C3474:K3474)&lt;4),1,0)</f>
        <v>#N/A</v>
      </c>
      <c r="S3474" s="4" t="e">
        <f>IF(AND(L3474=1,N3474&lt;'Line Follower'!$C$6,SUM(C3474:K3474)&lt;4),1,0)</f>
        <v>#N/A</v>
      </c>
      <c r="T3474" s="4" t="e">
        <f t="shared" si="272"/>
        <v>#N/A</v>
      </c>
      <c r="U3474" s="5" t="e">
        <f t="shared" si="273"/>
        <v>#N/A</v>
      </c>
      <c r="V3474" s="23" t="e">
        <f t="shared" si="274"/>
        <v>#N/A</v>
      </c>
    </row>
    <row r="3475" spans="2:22" x14ac:dyDescent="0.25">
      <c r="B3475" s="16">
        <v>0</v>
      </c>
      <c r="C3475" s="7">
        <v>0</v>
      </c>
      <c r="D3475" s="8">
        <v>0</v>
      </c>
      <c r="E3475" s="8">
        <v>0</v>
      </c>
      <c r="F3475" s="8">
        <v>1</v>
      </c>
      <c r="G3475" s="8">
        <v>0</v>
      </c>
      <c r="H3475" s="8">
        <v>0</v>
      </c>
      <c r="I3475" s="8">
        <v>1</v>
      </c>
      <c r="J3475" s="8">
        <v>1</v>
      </c>
      <c r="K3475" s="9">
        <v>0</v>
      </c>
      <c r="L3475" s="10">
        <v>1</v>
      </c>
      <c r="M3475" s="6">
        <v>1</v>
      </c>
      <c r="N3475" s="37" t="e" cm="1">
        <f t="array" ref="N3475">IF(OR(ISNUMBER(FIND(Aux!$D$3:$D$9,_xlfn.TEXTJOIN(,,C3475:K3475)))),NA(),IF(AND(SUM(C3475:F3475,H3475:K3475)=0,G3475=1),0,INT((SUMPRODUCT(C3475:F3475,COLUMN($A$1:$D$1)-1)+SUMPRODUCT(H3475:K3475,COLUMN($E$1:$H$1)-1))*'Line Follower'!$C$3/SUM(C3475:F3475,H3475:K3475)-'Line Follower'!$C$5)))</f>
        <v>#N/A</v>
      </c>
      <c r="O3475" s="22" t="e">
        <v>#N/A</v>
      </c>
      <c r="P3475" s="4" t="e">
        <f t="shared" si="270"/>
        <v>#N/A</v>
      </c>
      <c r="Q3475" s="4" t="e">
        <f t="shared" si="271"/>
        <v>#N/A</v>
      </c>
      <c r="R3475" s="4" t="e">
        <f>IF(AND(B3475=1,N3475&gt;'Line Follower'!$C$7,SUM(C3475:K3475)&lt;4),1,0)</f>
        <v>#N/A</v>
      </c>
      <c r="S3475" s="4" t="e">
        <f>IF(AND(L3475=1,N3475&lt;'Line Follower'!$C$6,SUM(C3475:K3475)&lt;4),1,0)</f>
        <v>#N/A</v>
      </c>
      <c r="T3475" s="4" t="e">
        <f t="shared" si="272"/>
        <v>#N/A</v>
      </c>
      <c r="U3475" s="5" t="e">
        <f t="shared" si="273"/>
        <v>#N/A</v>
      </c>
      <c r="V3475" s="23" t="e">
        <f t="shared" si="274"/>
        <v>#N/A</v>
      </c>
    </row>
    <row r="3476" spans="2:22" x14ac:dyDescent="0.25">
      <c r="B3476" s="16">
        <v>1</v>
      </c>
      <c r="C3476" s="7">
        <v>0</v>
      </c>
      <c r="D3476" s="8">
        <v>0</v>
      </c>
      <c r="E3476" s="8">
        <v>0</v>
      </c>
      <c r="F3476" s="8">
        <v>1</v>
      </c>
      <c r="G3476" s="8">
        <v>0</v>
      </c>
      <c r="H3476" s="8">
        <v>0</v>
      </c>
      <c r="I3476" s="8">
        <v>1</v>
      </c>
      <c r="J3476" s="8">
        <v>1</v>
      </c>
      <c r="K3476" s="9">
        <v>0</v>
      </c>
      <c r="L3476" s="10">
        <v>1</v>
      </c>
      <c r="M3476" s="6">
        <v>1</v>
      </c>
      <c r="N3476" s="37" t="e" cm="1">
        <f t="array" ref="N3476">IF(OR(ISNUMBER(FIND(Aux!$D$3:$D$9,_xlfn.TEXTJOIN(,,C3476:K3476)))),NA(),IF(AND(SUM(C3476:F3476,H3476:K3476)=0,G3476=1),0,INT((SUMPRODUCT(C3476:F3476,COLUMN($A$1:$D$1)-1)+SUMPRODUCT(H3476:K3476,COLUMN($E$1:$H$1)-1))*'Line Follower'!$C$3/SUM(C3476:F3476,H3476:K3476)-'Line Follower'!$C$5)))</f>
        <v>#N/A</v>
      </c>
      <c r="O3476" s="22" t="e">
        <v>#N/A</v>
      </c>
      <c r="P3476" s="4" t="e">
        <f t="shared" si="270"/>
        <v>#N/A</v>
      </c>
      <c r="Q3476" s="4" t="e">
        <f t="shared" si="271"/>
        <v>#N/A</v>
      </c>
      <c r="R3476" s="4" t="e">
        <f>IF(AND(B3476=1,N3476&gt;'Line Follower'!$C$7,SUM(C3476:K3476)&lt;4),1,0)</f>
        <v>#N/A</v>
      </c>
      <c r="S3476" s="4" t="e">
        <f>IF(AND(L3476=1,N3476&lt;'Line Follower'!$C$6,SUM(C3476:K3476)&lt;4),1,0)</f>
        <v>#N/A</v>
      </c>
      <c r="T3476" s="4" t="e">
        <f t="shared" si="272"/>
        <v>#N/A</v>
      </c>
      <c r="U3476" s="5" t="e">
        <f t="shared" si="273"/>
        <v>#N/A</v>
      </c>
      <c r="V3476" s="23" t="e">
        <f t="shared" si="274"/>
        <v>#N/A</v>
      </c>
    </row>
    <row r="3477" spans="2:22" x14ac:dyDescent="0.25">
      <c r="B3477" s="16">
        <v>0</v>
      </c>
      <c r="C3477" s="7">
        <v>1</v>
      </c>
      <c r="D3477" s="8">
        <v>0</v>
      </c>
      <c r="E3477" s="8">
        <v>0</v>
      </c>
      <c r="F3477" s="8">
        <v>1</v>
      </c>
      <c r="G3477" s="8">
        <v>0</v>
      </c>
      <c r="H3477" s="8">
        <v>0</v>
      </c>
      <c r="I3477" s="8">
        <v>1</v>
      </c>
      <c r="J3477" s="8">
        <v>1</v>
      </c>
      <c r="K3477" s="9">
        <v>0</v>
      </c>
      <c r="L3477" s="10">
        <v>1</v>
      </c>
      <c r="M3477" s="6">
        <v>1</v>
      </c>
      <c r="N3477" s="37" t="e" cm="1">
        <f t="array" ref="N3477">IF(OR(ISNUMBER(FIND(Aux!$D$3:$D$9,_xlfn.TEXTJOIN(,,C3477:K3477)))),NA(),IF(AND(SUM(C3477:F3477,H3477:K3477)=0,G3477=1),0,INT((SUMPRODUCT(C3477:F3477,COLUMN($A$1:$D$1)-1)+SUMPRODUCT(H3477:K3477,COLUMN($E$1:$H$1)-1))*'Line Follower'!$C$3/SUM(C3477:F3477,H3477:K3477)-'Line Follower'!$C$5)))</f>
        <v>#N/A</v>
      </c>
      <c r="O3477" s="22" t="e">
        <v>#N/A</v>
      </c>
      <c r="P3477" s="4" t="e">
        <f t="shared" si="270"/>
        <v>#N/A</v>
      </c>
      <c r="Q3477" s="4" t="e">
        <f t="shared" si="271"/>
        <v>#N/A</v>
      </c>
      <c r="R3477" s="4" t="e">
        <f>IF(AND(B3477=1,N3477&gt;'Line Follower'!$C$7,SUM(C3477:K3477)&lt;4),1,0)</f>
        <v>#N/A</v>
      </c>
      <c r="S3477" s="4" t="e">
        <f>IF(AND(L3477=1,N3477&lt;'Line Follower'!$C$6,SUM(C3477:K3477)&lt;4),1,0)</f>
        <v>#N/A</v>
      </c>
      <c r="T3477" s="4" t="e">
        <f t="shared" si="272"/>
        <v>#N/A</v>
      </c>
      <c r="U3477" s="5" t="e">
        <f t="shared" si="273"/>
        <v>#N/A</v>
      </c>
      <c r="V3477" s="23" t="e">
        <f t="shared" si="274"/>
        <v>#N/A</v>
      </c>
    </row>
    <row r="3478" spans="2:22" x14ac:dyDescent="0.25">
      <c r="B3478" s="16">
        <v>1</v>
      </c>
      <c r="C3478" s="7">
        <v>1</v>
      </c>
      <c r="D3478" s="8">
        <v>0</v>
      </c>
      <c r="E3478" s="8">
        <v>0</v>
      </c>
      <c r="F3478" s="8">
        <v>1</v>
      </c>
      <c r="G3478" s="8">
        <v>0</v>
      </c>
      <c r="H3478" s="8">
        <v>0</v>
      </c>
      <c r="I3478" s="8">
        <v>1</v>
      </c>
      <c r="J3478" s="8">
        <v>1</v>
      </c>
      <c r="K3478" s="9">
        <v>0</v>
      </c>
      <c r="L3478" s="10">
        <v>1</v>
      </c>
      <c r="M3478" s="6">
        <v>1</v>
      </c>
      <c r="N3478" s="37" t="e" cm="1">
        <f t="array" ref="N3478">IF(OR(ISNUMBER(FIND(Aux!$D$3:$D$9,_xlfn.TEXTJOIN(,,C3478:K3478)))),NA(),IF(AND(SUM(C3478:F3478,H3478:K3478)=0,G3478=1),0,INT((SUMPRODUCT(C3478:F3478,COLUMN($A$1:$D$1)-1)+SUMPRODUCT(H3478:K3478,COLUMN($E$1:$H$1)-1))*'Line Follower'!$C$3/SUM(C3478:F3478,H3478:K3478)-'Line Follower'!$C$5)))</f>
        <v>#N/A</v>
      </c>
      <c r="O3478" s="22" t="e">
        <v>#N/A</v>
      </c>
      <c r="P3478" s="4" t="e">
        <f t="shared" si="270"/>
        <v>#N/A</v>
      </c>
      <c r="Q3478" s="4" t="e">
        <f t="shared" si="271"/>
        <v>#N/A</v>
      </c>
      <c r="R3478" s="4" t="e">
        <f>IF(AND(B3478=1,N3478&gt;'Line Follower'!$C$7,SUM(C3478:K3478)&lt;4),1,0)</f>
        <v>#N/A</v>
      </c>
      <c r="S3478" s="4" t="e">
        <f>IF(AND(L3478=1,N3478&lt;'Line Follower'!$C$6,SUM(C3478:K3478)&lt;4),1,0)</f>
        <v>#N/A</v>
      </c>
      <c r="T3478" s="4" t="e">
        <f t="shared" si="272"/>
        <v>#N/A</v>
      </c>
      <c r="U3478" s="5" t="e">
        <f t="shared" si="273"/>
        <v>#N/A</v>
      </c>
      <c r="V3478" s="23" t="e">
        <f t="shared" si="274"/>
        <v>#N/A</v>
      </c>
    </row>
    <row r="3479" spans="2:22" x14ac:dyDescent="0.25">
      <c r="B3479" s="16">
        <v>0</v>
      </c>
      <c r="C3479" s="7">
        <v>0</v>
      </c>
      <c r="D3479" s="8">
        <v>1</v>
      </c>
      <c r="E3479" s="8">
        <v>0</v>
      </c>
      <c r="F3479" s="8">
        <v>1</v>
      </c>
      <c r="G3479" s="8">
        <v>0</v>
      </c>
      <c r="H3479" s="8">
        <v>0</v>
      </c>
      <c r="I3479" s="8">
        <v>1</v>
      </c>
      <c r="J3479" s="8">
        <v>1</v>
      </c>
      <c r="K3479" s="9">
        <v>0</v>
      </c>
      <c r="L3479" s="10">
        <v>1</v>
      </c>
      <c r="M3479" s="6">
        <v>1</v>
      </c>
      <c r="N3479" s="37" t="e" cm="1">
        <f t="array" ref="N3479">IF(OR(ISNUMBER(FIND(Aux!$D$3:$D$9,_xlfn.TEXTJOIN(,,C3479:K3479)))),NA(),IF(AND(SUM(C3479:F3479,H3479:K3479)=0,G3479=1),0,INT((SUMPRODUCT(C3479:F3479,COLUMN($A$1:$D$1)-1)+SUMPRODUCT(H3479:K3479,COLUMN($E$1:$H$1)-1))*'Line Follower'!$C$3/SUM(C3479:F3479,H3479:K3479)-'Line Follower'!$C$5)))</f>
        <v>#N/A</v>
      </c>
      <c r="O3479" s="22" t="e">
        <v>#N/A</v>
      </c>
      <c r="P3479" s="4" t="e">
        <f t="shared" si="270"/>
        <v>#N/A</v>
      </c>
      <c r="Q3479" s="4" t="e">
        <f t="shared" si="271"/>
        <v>#N/A</v>
      </c>
      <c r="R3479" s="4" t="e">
        <f>IF(AND(B3479=1,N3479&gt;'Line Follower'!$C$7,SUM(C3479:K3479)&lt;4),1,0)</f>
        <v>#N/A</v>
      </c>
      <c r="S3479" s="4" t="e">
        <f>IF(AND(L3479=1,N3479&lt;'Line Follower'!$C$6,SUM(C3479:K3479)&lt;4),1,0)</f>
        <v>#N/A</v>
      </c>
      <c r="T3479" s="4" t="e">
        <f t="shared" si="272"/>
        <v>#N/A</v>
      </c>
      <c r="U3479" s="5" t="e">
        <f t="shared" si="273"/>
        <v>#N/A</v>
      </c>
      <c r="V3479" s="23" t="e">
        <f t="shared" si="274"/>
        <v>#N/A</v>
      </c>
    </row>
    <row r="3480" spans="2:22" x14ac:dyDescent="0.25">
      <c r="B3480" s="16">
        <v>1</v>
      </c>
      <c r="C3480" s="7">
        <v>0</v>
      </c>
      <c r="D3480" s="8">
        <v>1</v>
      </c>
      <c r="E3480" s="8">
        <v>0</v>
      </c>
      <c r="F3480" s="8">
        <v>1</v>
      </c>
      <c r="G3480" s="8">
        <v>0</v>
      </c>
      <c r="H3480" s="8">
        <v>0</v>
      </c>
      <c r="I3480" s="8">
        <v>1</v>
      </c>
      <c r="J3480" s="8">
        <v>1</v>
      </c>
      <c r="K3480" s="9">
        <v>0</v>
      </c>
      <c r="L3480" s="10">
        <v>1</v>
      </c>
      <c r="M3480" s="6">
        <v>1</v>
      </c>
      <c r="N3480" s="37" t="e" cm="1">
        <f t="array" ref="N3480">IF(OR(ISNUMBER(FIND(Aux!$D$3:$D$9,_xlfn.TEXTJOIN(,,C3480:K3480)))),NA(),IF(AND(SUM(C3480:F3480,H3480:K3480)=0,G3480=1),0,INT((SUMPRODUCT(C3480:F3480,COLUMN($A$1:$D$1)-1)+SUMPRODUCT(H3480:K3480,COLUMN($E$1:$H$1)-1))*'Line Follower'!$C$3/SUM(C3480:F3480,H3480:K3480)-'Line Follower'!$C$5)))</f>
        <v>#N/A</v>
      </c>
      <c r="O3480" s="22" t="e">
        <v>#N/A</v>
      </c>
      <c r="P3480" s="4" t="e">
        <f t="shared" si="270"/>
        <v>#N/A</v>
      </c>
      <c r="Q3480" s="4" t="e">
        <f t="shared" si="271"/>
        <v>#N/A</v>
      </c>
      <c r="R3480" s="4" t="e">
        <f>IF(AND(B3480=1,N3480&gt;'Line Follower'!$C$7,SUM(C3480:K3480)&lt;4),1,0)</f>
        <v>#N/A</v>
      </c>
      <c r="S3480" s="4" t="e">
        <f>IF(AND(L3480=1,N3480&lt;'Line Follower'!$C$6,SUM(C3480:K3480)&lt;4),1,0)</f>
        <v>#N/A</v>
      </c>
      <c r="T3480" s="4" t="e">
        <f t="shared" si="272"/>
        <v>#N/A</v>
      </c>
      <c r="U3480" s="5" t="e">
        <f t="shared" si="273"/>
        <v>#N/A</v>
      </c>
      <c r="V3480" s="23" t="e">
        <f t="shared" si="274"/>
        <v>#N/A</v>
      </c>
    </row>
    <row r="3481" spans="2:22" x14ac:dyDescent="0.25">
      <c r="B3481" s="16">
        <v>0</v>
      </c>
      <c r="C3481" s="7">
        <v>1</v>
      </c>
      <c r="D3481" s="8">
        <v>1</v>
      </c>
      <c r="E3481" s="8">
        <v>0</v>
      </c>
      <c r="F3481" s="8">
        <v>1</v>
      </c>
      <c r="G3481" s="8">
        <v>0</v>
      </c>
      <c r="H3481" s="8">
        <v>0</v>
      </c>
      <c r="I3481" s="8">
        <v>1</v>
      </c>
      <c r="J3481" s="8">
        <v>1</v>
      </c>
      <c r="K3481" s="9">
        <v>0</v>
      </c>
      <c r="L3481" s="10">
        <v>1</v>
      </c>
      <c r="M3481" s="6">
        <v>1</v>
      </c>
      <c r="N3481" s="37" t="e" cm="1">
        <f t="array" ref="N3481">IF(OR(ISNUMBER(FIND(Aux!$D$3:$D$9,_xlfn.TEXTJOIN(,,C3481:K3481)))),NA(),IF(AND(SUM(C3481:F3481,H3481:K3481)=0,G3481=1),0,INT((SUMPRODUCT(C3481:F3481,COLUMN($A$1:$D$1)-1)+SUMPRODUCT(H3481:K3481,COLUMN($E$1:$H$1)-1))*'Line Follower'!$C$3/SUM(C3481:F3481,H3481:K3481)-'Line Follower'!$C$5)))</f>
        <v>#N/A</v>
      </c>
      <c r="O3481" s="22" t="e">
        <v>#N/A</v>
      </c>
      <c r="P3481" s="4" t="e">
        <f t="shared" si="270"/>
        <v>#N/A</v>
      </c>
      <c r="Q3481" s="4" t="e">
        <f t="shared" si="271"/>
        <v>#N/A</v>
      </c>
      <c r="R3481" s="4" t="e">
        <f>IF(AND(B3481=1,N3481&gt;'Line Follower'!$C$7,SUM(C3481:K3481)&lt;4),1,0)</f>
        <v>#N/A</v>
      </c>
      <c r="S3481" s="4" t="e">
        <f>IF(AND(L3481=1,N3481&lt;'Line Follower'!$C$6,SUM(C3481:K3481)&lt;4),1,0)</f>
        <v>#N/A</v>
      </c>
      <c r="T3481" s="4" t="e">
        <f t="shared" si="272"/>
        <v>#N/A</v>
      </c>
      <c r="U3481" s="5" t="e">
        <f t="shared" si="273"/>
        <v>#N/A</v>
      </c>
      <c r="V3481" s="23" t="e">
        <f t="shared" si="274"/>
        <v>#N/A</v>
      </c>
    </row>
    <row r="3482" spans="2:22" x14ac:dyDescent="0.25">
      <c r="B3482" s="16">
        <v>1</v>
      </c>
      <c r="C3482" s="7">
        <v>1</v>
      </c>
      <c r="D3482" s="8">
        <v>1</v>
      </c>
      <c r="E3482" s="8">
        <v>0</v>
      </c>
      <c r="F3482" s="8">
        <v>1</v>
      </c>
      <c r="G3482" s="8">
        <v>0</v>
      </c>
      <c r="H3482" s="8">
        <v>0</v>
      </c>
      <c r="I3482" s="8">
        <v>1</v>
      </c>
      <c r="J3482" s="8">
        <v>1</v>
      </c>
      <c r="K3482" s="9">
        <v>0</v>
      </c>
      <c r="L3482" s="10">
        <v>1</v>
      </c>
      <c r="M3482" s="6">
        <v>1</v>
      </c>
      <c r="N3482" s="37" t="e" cm="1">
        <f t="array" ref="N3482">IF(OR(ISNUMBER(FIND(Aux!$D$3:$D$9,_xlfn.TEXTJOIN(,,C3482:K3482)))),NA(),IF(AND(SUM(C3482:F3482,H3482:K3482)=0,G3482=1),0,INT((SUMPRODUCT(C3482:F3482,COLUMN($A$1:$D$1)-1)+SUMPRODUCT(H3482:K3482,COLUMN($E$1:$H$1)-1))*'Line Follower'!$C$3/SUM(C3482:F3482,H3482:K3482)-'Line Follower'!$C$5)))</f>
        <v>#N/A</v>
      </c>
      <c r="O3482" s="22" t="e">
        <v>#N/A</v>
      </c>
      <c r="P3482" s="4" t="e">
        <f t="shared" si="270"/>
        <v>#N/A</v>
      </c>
      <c r="Q3482" s="4" t="e">
        <f t="shared" si="271"/>
        <v>#N/A</v>
      </c>
      <c r="R3482" s="4" t="e">
        <f>IF(AND(B3482=1,N3482&gt;'Line Follower'!$C$7,SUM(C3482:K3482)&lt;4),1,0)</f>
        <v>#N/A</v>
      </c>
      <c r="S3482" s="4" t="e">
        <f>IF(AND(L3482=1,N3482&lt;'Line Follower'!$C$6,SUM(C3482:K3482)&lt;4),1,0)</f>
        <v>#N/A</v>
      </c>
      <c r="T3482" s="4" t="e">
        <f t="shared" si="272"/>
        <v>#N/A</v>
      </c>
      <c r="U3482" s="5" t="e">
        <f t="shared" si="273"/>
        <v>#N/A</v>
      </c>
      <c r="V3482" s="23" t="e">
        <f t="shared" si="274"/>
        <v>#N/A</v>
      </c>
    </row>
    <row r="3483" spans="2:22" x14ac:dyDescent="0.25">
      <c r="B3483" s="16">
        <v>0</v>
      </c>
      <c r="C3483" s="7">
        <v>0</v>
      </c>
      <c r="D3483" s="8">
        <v>0</v>
      </c>
      <c r="E3483" s="8">
        <v>1</v>
      </c>
      <c r="F3483" s="8">
        <v>1</v>
      </c>
      <c r="G3483" s="8">
        <v>0</v>
      </c>
      <c r="H3483" s="8">
        <v>0</v>
      </c>
      <c r="I3483" s="8">
        <v>1</v>
      </c>
      <c r="J3483" s="8">
        <v>1</v>
      </c>
      <c r="K3483" s="9">
        <v>0</v>
      </c>
      <c r="L3483" s="10">
        <v>1</v>
      </c>
      <c r="M3483" s="6">
        <v>1</v>
      </c>
      <c r="N3483" s="37" t="e" cm="1">
        <f t="array" ref="N3483">IF(OR(ISNUMBER(FIND(Aux!$D$3:$D$9,_xlfn.TEXTJOIN(,,C3483:K3483)))),NA(),IF(AND(SUM(C3483:F3483,H3483:K3483)=0,G3483=1),0,INT((SUMPRODUCT(C3483:F3483,COLUMN($A$1:$D$1)-1)+SUMPRODUCT(H3483:K3483,COLUMN($E$1:$H$1)-1))*'Line Follower'!$C$3/SUM(C3483:F3483,H3483:K3483)-'Line Follower'!$C$5)))</f>
        <v>#N/A</v>
      </c>
      <c r="O3483" s="22" t="e">
        <v>#N/A</v>
      </c>
      <c r="P3483" s="4" t="e">
        <f t="shared" si="270"/>
        <v>#N/A</v>
      </c>
      <c r="Q3483" s="4" t="e">
        <f t="shared" si="271"/>
        <v>#N/A</v>
      </c>
      <c r="R3483" s="4" t="e">
        <f>IF(AND(B3483=1,N3483&gt;'Line Follower'!$C$7,SUM(C3483:K3483)&lt;4),1,0)</f>
        <v>#N/A</v>
      </c>
      <c r="S3483" s="4" t="e">
        <f>IF(AND(L3483=1,N3483&lt;'Line Follower'!$C$6,SUM(C3483:K3483)&lt;4),1,0)</f>
        <v>#N/A</v>
      </c>
      <c r="T3483" s="4" t="e">
        <f t="shared" si="272"/>
        <v>#N/A</v>
      </c>
      <c r="U3483" s="5" t="e">
        <f t="shared" si="273"/>
        <v>#N/A</v>
      </c>
      <c r="V3483" s="23" t="e">
        <f t="shared" si="274"/>
        <v>#N/A</v>
      </c>
    </row>
    <row r="3484" spans="2:22" x14ac:dyDescent="0.25">
      <c r="B3484" s="16">
        <v>1</v>
      </c>
      <c r="C3484" s="7">
        <v>0</v>
      </c>
      <c r="D3484" s="8">
        <v>0</v>
      </c>
      <c r="E3484" s="8">
        <v>1</v>
      </c>
      <c r="F3484" s="8">
        <v>1</v>
      </c>
      <c r="G3484" s="8">
        <v>0</v>
      </c>
      <c r="H3484" s="8">
        <v>0</v>
      </c>
      <c r="I3484" s="8">
        <v>1</v>
      </c>
      <c r="J3484" s="8">
        <v>1</v>
      </c>
      <c r="K3484" s="9">
        <v>0</v>
      </c>
      <c r="L3484" s="10">
        <v>1</v>
      </c>
      <c r="M3484" s="6">
        <v>1</v>
      </c>
      <c r="N3484" s="37" t="e" cm="1">
        <f t="array" ref="N3484">IF(OR(ISNUMBER(FIND(Aux!$D$3:$D$9,_xlfn.TEXTJOIN(,,C3484:K3484)))),NA(),IF(AND(SUM(C3484:F3484,H3484:K3484)=0,G3484=1),0,INT((SUMPRODUCT(C3484:F3484,COLUMN($A$1:$D$1)-1)+SUMPRODUCT(H3484:K3484,COLUMN($E$1:$H$1)-1))*'Line Follower'!$C$3/SUM(C3484:F3484,H3484:K3484)-'Line Follower'!$C$5)))</f>
        <v>#N/A</v>
      </c>
      <c r="O3484" s="22" t="e">
        <v>#N/A</v>
      </c>
      <c r="P3484" s="4" t="e">
        <f t="shared" si="270"/>
        <v>#N/A</v>
      </c>
      <c r="Q3484" s="4" t="e">
        <f t="shared" si="271"/>
        <v>#N/A</v>
      </c>
      <c r="R3484" s="4" t="e">
        <f>IF(AND(B3484=1,N3484&gt;'Line Follower'!$C$7,SUM(C3484:K3484)&lt;4),1,0)</f>
        <v>#N/A</v>
      </c>
      <c r="S3484" s="4" t="e">
        <f>IF(AND(L3484=1,N3484&lt;'Line Follower'!$C$6,SUM(C3484:K3484)&lt;4),1,0)</f>
        <v>#N/A</v>
      </c>
      <c r="T3484" s="4" t="e">
        <f t="shared" si="272"/>
        <v>#N/A</v>
      </c>
      <c r="U3484" s="5" t="e">
        <f t="shared" si="273"/>
        <v>#N/A</v>
      </c>
      <c r="V3484" s="23" t="e">
        <f t="shared" si="274"/>
        <v>#N/A</v>
      </c>
    </row>
    <row r="3485" spans="2:22" x14ac:dyDescent="0.25">
      <c r="B3485" s="16">
        <v>0</v>
      </c>
      <c r="C3485" s="7">
        <v>1</v>
      </c>
      <c r="D3485" s="8">
        <v>0</v>
      </c>
      <c r="E3485" s="8">
        <v>1</v>
      </c>
      <c r="F3485" s="8">
        <v>1</v>
      </c>
      <c r="G3485" s="8">
        <v>0</v>
      </c>
      <c r="H3485" s="8">
        <v>0</v>
      </c>
      <c r="I3485" s="8">
        <v>1</v>
      </c>
      <c r="J3485" s="8">
        <v>1</v>
      </c>
      <c r="K3485" s="9">
        <v>0</v>
      </c>
      <c r="L3485" s="10">
        <v>1</v>
      </c>
      <c r="M3485" s="6">
        <v>1</v>
      </c>
      <c r="N3485" s="37" t="e" cm="1">
        <f t="array" ref="N3485">IF(OR(ISNUMBER(FIND(Aux!$D$3:$D$9,_xlfn.TEXTJOIN(,,C3485:K3485)))),NA(),IF(AND(SUM(C3485:F3485,H3485:K3485)=0,G3485=1),0,INT((SUMPRODUCT(C3485:F3485,COLUMN($A$1:$D$1)-1)+SUMPRODUCT(H3485:K3485,COLUMN($E$1:$H$1)-1))*'Line Follower'!$C$3/SUM(C3485:F3485,H3485:K3485)-'Line Follower'!$C$5)))</f>
        <v>#N/A</v>
      </c>
      <c r="O3485" s="22" t="e">
        <v>#N/A</v>
      </c>
      <c r="P3485" s="4" t="e">
        <f t="shared" si="270"/>
        <v>#N/A</v>
      </c>
      <c r="Q3485" s="4" t="e">
        <f t="shared" si="271"/>
        <v>#N/A</v>
      </c>
      <c r="R3485" s="4" t="e">
        <f>IF(AND(B3485=1,N3485&gt;'Line Follower'!$C$7,SUM(C3485:K3485)&lt;4),1,0)</f>
        <v>#N/A</v>
      </c>
      <c r="S3485" s="4" t="e">
        <f>IF(AND(L3485=1,N3485&lt;'Line Follower'!$C$6,SUM(C3485:K3485)&lt;4),1,0)</f>
        <v>#N/A</v>
      </c>
      <c r="T3485" s="4" t="e">
        <f t="shared" si="272"/>
        <v>#N/A</v>
      </c>
      <c r="U3485" s="5" t="e">
        <f t="shared" si="273"/>
        <v>#N/A</v>
      </c>
      <c r="V3485" s="23" t="e">
        <f t="shared" si="274"/>
        <v>#N/A</v>
      </c>
    </row>
    <row r="3486" spans="2:22" x14ac:dyDescent="0.25">
      <c r="B3486" s="16">
        <v>1</v>
      </c>
      <c r="C3486" s="7">
        <v>1</v>
      </c>
      <c r="D3486" s="8">
        <v>0</v>
      </c>
      <c r="E3486" s="8">
        <v>1</v>
      </c>
      <c r="F3486" s="8">
        <v>1</v>
      </c>
      <c r="G3486" s="8">
        <v>0</v>
      </c>
      <c r="H3486" s="8">
        <v>0</v>
      </c>
      <c r="I3486" s="8">
        <v>1</v>
      </c>
      <c r="J3486" s="8">
        <v>1</v>
      </c>
      <c r="K3486" s="9">
        <v>0</v>
      </c>
      <c r="L3486" s="10">
        <v>1</v>
      </c>
      <c r="M3486" s="6">
        <v>1</v>
      </c>
      <c r="N3486" s="37" t="e" cm="1">
        <f t="array" ref="N3486">IF(OR(ISNUMBER(FIND(Aux!$D$3:$D$9,_xlfn.TEXTJOIN(,,C3486:K3486)))),NA(),IF(AND(SUM(C3486:F3486,H3486:K3486)=0,G3486=1),0,INT((SUMPRODUCT(C3486:F3486,COLUMN($A$1:$D$1)-1)+SUMPRODUCT(H3486:K3486,COLUMN($E$1:$H$1)-1))*'Line Follower'!$C$3/SUM(C3486:F3486,H3486:K3486)-'Line Follower'!$C$5)))</f>
        <v>#N/A</v>
      </c>
      <c r="O3486" s="22" t="e">
        <v>#N/A</v>
      </c>
      <c r="P3486" s="4" t="e">
        <f t="shared" si="270"/>
        <v>#N/A</v>
      </c>
      <c r="Q3486" s="4" t="e">
        <f t="shared" si="271"/>
        <v>#N/A</v>
      </c>
      <c r="R3486" s="4" t="e">
        <f>IF(AND(B3486=1,N3486&gt;'Line Follower'!$C$7,SUM(C3486:K3486)&lt;4),1,0)</f>
        <v>#N/A</v>
      </c>
      <c r="S3486" s="4" t="e">
        <f>IF(AND(L3486=1,N3486&lt;'Line Follower'!$C$6,SUM(C3486:K3486)&lt;4),1,0)</f>
        <v>#N/A</v>
      </c>
      <c r="T3486" s="4" t="e">
        <f t="shared" si="272"/>
        <v>#N/A</v>
      </c>
      <c r="U3486" s="5" t="e">
        <f t="shared" si="273"/>
        <v>#N/A</v>
      </c>
      <c r="V3486" s="23" t="e">
        <f t="shared" si="274"/>
        <v>#N/A</v>
      </c>
    </row>
    <row r="3487" spans="2:22" x14ac:dyDescent="0.25">
      <c r="B3487" s="16">
        <v>0</v>
      </c>
      <c r="C3487" s="7">
        <v>0</v>
      </c>
      <c r="D3487" s="8">
        <v>1</v>
      </c>
      <c r="E3487" s="8">
        <v>1</v>
      </c>
      <c r="F3487" s="8">
        <v>1</v>
      </c>
      <c r="G3487" s="8">
        <v>0</v>
      </c>
      <c r="H3487" s="8">
        <v>0</v>
      </c>
      <c r="I3487" s="8">
        <v>1</v>
      </c>
      <c r="J3487" s="8">
        <v>1</v>
      </c>
      <c r="K3487" s="9">
        <v>0</v>
      </c>
      <c r="L3487" s="10">
        <v>1</v>
      </c>
      <c r="M3487" s="6">
        <v>1</v>
      </c>
      <c r="N3487" s="37" t="e" cm="1">
        <f t="array" ref="N3487">IF(OR(ISNUMBER(FIND(Aux!$D$3:$D$9,_xlfn.TEXTJOIN(,,C3487:K3487)))),NA(),IF(AND(SUM(C3487:F3487,H3487:K3487)=0,G3487=1),0,INT((SUMPRODUCT(C3487:F3487,COLUMN($A$1:$D$1)-1)+SUMPRODUCT(H3487:K3487,COLUMN($E$1:$H$1)-1))*'Line Follower'!$C$3/SUM(C3487:F3487,H3487:K3487)-'Line Follower'!$C$5)))</f>
        <v>#N/A</v>
      </c>
      <c r="O3487" s="22" t="e">
        <v>#N/A</v>
      </c>
      <c r="P3487" s="4" t="e">
        <f t="shared" si="270"/>
        <v>#N/A</v>
      </c>
      <c r="Q3487" s="4" t="e">
        <f t="shared" si="271"/>
        <v>#N/A</v>
      </c>
      <c r="R3487" s="4" t="e">
        <f>IF(AND(B3487=1,N3487&gt;'Line Follower'!$C$7,SUM(C3487:K3487)&lt;4),1,0)</f>
        <v>#N/A</v>
      </c>
      <c r="S3487" s="4" t="e">
        <f>IF(AND(L3487=1,N3487&lt;'Line Follower'!$C$6,SUM(C3487:K3487)&lt;4),1,0)</f>
        <v>#N/A</v>
      </c>
      <c r="T3487" s="4" t="e">
        <f t="shared" si="272"/>
        <v>#N/A</v>
      </c>
      <c r="U3487" s="5" t="e">
        <f t="shared" si="273"/>
        <v>#N/A</v>
      </c>
      <c r="V3487" s="23" t="e">
        <f t="shared" si="274"/>
        <v>#N/A</v>
      </c>
    </row>
    <row r="3488" spans="2:22" x14ac:dyDescent="0.25">
      <c r="B3488" s="16">
        <v>1</v>
      </c>
      <c r="C3488" s="7">
        <v>0</v>
      </c>
      <c r="D3488" s="8">
        <v>1</v>
      </c>
      <c r="E3488" s="8">
        <v>1</v>
      </c>
      <c r="F3488" s="8">
        <v>1</v>
      </c>
      <c r="G3488" s="8">
        <v>0</v>
      </c>
      <c r="H3488" s="8">
        <v>0</v>
      </c>
      <c r="I3488" s="8">
        <v>1</v>
      </c>
      <c r="J3488" s="8">
        <v>1</v>
      </c>
      <c r="K3488" s="9">
        <v>0</v>
      </c>
      <c r="L3488" s="10">
        <v>1</v>
      </c>
      <c r="M3488" s="6">
        <v>1</v>
      </c>
      <c r="N3488" s="37" t="e" cm="1">
        <f t="array" ref="N3488">IF(OR(ISNUMBER(FIND(Aux!$D$3:$D$9,_xlfn.TEXTJOIN(,,C3488:K3488)))),NA(),IF(AND(SUM(C3488:F3488,H3488:K3488)=0,G3488=1),0,INT((SUMPRODUCT(C3488:F3488,COLUMN($A$1:$D$1)-1)+SUMPRODUCT(H3488:K3488,COLUMN($E$1:$H$1)-1))*'Line Follower'!$C$3/SUM(C3488:F3488,H3488:K3488)-'Line Follower'!$C$5)))</f>
        <v>#N/A</v>
      </c>
      <c r="O3488" s="22" t="e">
        <v>#N/A</v>
      </c>
      <c r="P3488" s="4" t="e">
        <f t="shared" si="270"/>
        <v>#N/A</v>
      </c>
      <c r="Q3488" s="4" t="e">
        <f t="shared" si="271"/>
        <v>#N/A</v>
      </c>
      <c r="R3488" s="4" t="e">
        <f>IF(AND(B3488=1,N3488&gt;'Line Follower'!$C$7,SUM(C3488:K3488)&lt;4),1,0)</f>
        <v>#N/A</v>
      </c>
      <c r="S3488" s="4" t="e">
        <f>IF(AND(L3488=1,N3488&lt;'Line Follower'!$C$6,SUM(C3488:K3488)&lt;4),1,0)</f>
        <v>#N/A</v>
      </c>
      <c r="T3488" s="4" t="e">
        <f t="shared" si="272"/>
        <v>#N/A</v>
      </c>
      <c r="U3488" s="5" t="e">
        <f t="shared" si="273"/>
        <v>#N/A</v>
      </c>
      <c r="V3488" s="23" t="e">
        <f t="shared" si="274"/>
        <v>#N/A</v>
      </c>
    </row>
    <row r="3489" spans="2:22" x14ac:dyDescent="0.25">
      <c r="B3489" s="16">
        <v>0</v>
      </c>
      <c r="C3489" s="7">
        <v>1</v>
      </c>
      <c r="D3489" s="8">
        <v>1</v>
      </c>
      <c r="E3489" s="8">
        <v>1</v>
      </c>
      <c r="F3489" s="8">
        <v>1</v>
      </c>
      <c r="G3489" s="8">
        <v>0</v>
      </c>
      <c r="H3489" s="8">
        <v>0</v>
      </c>
      <c r="I3489" s="8">
        <v>1</v>
      </c>
      <c r="J3489" s="8">
        <v>1</v>
      </c>
      <c r="K3489" s="9">
        <v>0</v>
      </c>
      <c r="L3489" s="10">
        <v>1</v>
      </c>
      <c r="M3489" s="6">
        <v>1</v>
      </c>
      <c r="N3489" s="37" t="e" cm="1">
        <f t="array" ref="N3489">IF(OR(ISNUMBER(FIND(Aux!$D$3:$D$9,_xlfn.TEXTJOIN(,,C3489:K3489)))),NA(),IF(AND(SUM(C3489:F3489,H3489:K3489)=0,G3489=1),0,INT((SUMPRODUCT(C3489:F3489,COLUMN($A$1:$D$1)-1)+SUMPRODUCT(H3489:K3489,COLUMN($E$1:$H$1)-1))*'Line Follower'!$C$3/SUM(C3489:F3489,H3489:K3489)-'Line Follower'!$C$5)))</f>
        <v>#N/A</v>
      </c>
      <c r="O3489" s="22" t="e">
        <v>#N/A</v>
      </c>
      <c r="P3489" s="4" t="e">
        <f t="shared" si="270"/>
        <v>#N/A</v>
      </c>
      <c r="Q3489" s="4" t="e">
        <f t="shared" si="271"/>
        <v>#N/A</v>
      </c>
      <c r="R3489" s="4" t="e">
        <f>IF(AND(B3489=1,N3489&gt;'Line Follower'!$C$7,SUM(C3489:K3489)&lt;4),1,0)</f>
        <v>#N/A</v>
      </c>
      <c r="S3489" s="4" t="e">
        <f>IF(AND(L3489=1,N3489&lt;'Line Follower'!$C$6,SUM(C3489:K3489)&lt;4),1,0)</f>
        <v>#N/A</v>
      </c>
      <c r="T3489" s="4" t="e">
        <f t="shared" si="272"/>
        <v>#N/A</v>
      </c>
      <c r="U3489" s="5" t="e">
        <f t="shared" si="273"/>
        <v>#N/A</v>
      </c>
      <c r="V3489" s="23" t="e">
        <f t="shared" si="274"/>
        <v>#N/A</v>
      </c>
    </row>
    <row r="3490" spans="2:22" x14ac:dyDescent="0.25">
      <c r="B3490" s="16">
        <v>1</v>
      </c>
      <c r="C3490" s="7">
        <v>1</v>
      </c>
      <c r="D3490" s="8">
        <v>1</v>
      </c>
      <c r="E3490" s="8">
        <v>1</v>
      </c>
      <c r="F3490" s="8">
        <v>1</v>
      </c>
      <c r="G3490" s="8">
        <v>0</v>
      </c>
      <c r="H3490" s="8">
        <v>0</v>
      </c>
      <c r="I3490" s="8">
        <v>1</v>
      </c>
      <c r="J3490" s="8">
        <v>1</v>
      </c>
      <c r="K3490" s="9">
        <v>0</v>
      </c>
      <c r="L3490" s="10">
        <v>1</v>
      </c>
      <c r="M3490" s="6">
        <v>1</v>
      </c>
      <c r="N3490" s="37" t="e" cm="1">
        <f t="array" ref="N3490">IF(OR(ISNUMBER(FIND(Aux!$D$3:$D$9,_xlfn.TEXTJOIN(,,C3490:K3490)))),NA(),IF(AND(SUM(C3490:F3490,H3490:K3490)=0,G3490=1),0,INT((SUMPRODUCT(C3490:F3490,COLUMN($A$1:$D$1)-1)+SUMPRODUCT(H3490:K3490,COLUMN($E$1:$H$1)-1))*'Line Follower'!$C$3/SUM(C3490:F3490,H3490:K3490)-'Line Follower'!$C$5)))</f>
        <v>#N/A</v>
      </c>
      <c r="O3490" s="22" t="e">
        <v>#N/A</v>
      </c>
      <c r="P3490" s="4" t="e">
        <f t="shared" si="270"/>
        <v>#N/A</v>
      </c>
      <c r="Q3490" s="4" t="e">
        <f t="shared" si="271"/>
        <v>#N/A</v>
      </c>
      <c r="R3490" s="4" t="e">
        <f>IF(AND(B3490=1,N3490&gt;'Line Follower'!$C$7,SUM(C3490:K3490)&lt;4),1,0)</f>
        <v>#N/A</v>
      </c>
      <c r="S3490" s="4" t="e">
        <f>IF(AND(L3490=1,N3490&lt;'Line Follower'!$C$6,SUM(C3490:K3490)&lt;4),1,0)</f>
        <v>#N/A</v>
      </c>
      <c r="T3490" s="4" t="e">
        <f t="shared" si="272"/>
        <v>#N/A</v>
      </c>
      <c r="U3490" s="5" t="e">
        <f t="shared" si="273"/>
        <v>#N/A</v>
      </c>
      <c r="V3490" s="23" t="e">
        <f t="shared" si="274"/>
        <v>#N/A</v>
      </c>
    </row>
    <row r="3491" spans="2:22" x14ac:dyDescent="0.25">
      <c r="B3491" s="16">
        <v>0</v>
      </c>
      <c r="C3491" s="7">
        <v>0</v>
      </c>
      <c r="D3491" s="8">
        <v>0</v>
      </c>
      <c r="E3491" s="8">
        <v>0</v>
      </c>
      <c r="F3491" s="8">
        <v>0</v>
      </c>
      <c r="G3491" s="8">
        <v>1</v>
      </c>
      <c r="H3491" s="8">
        <v>0</v>
      </c>
      <c r="I3491" s="8">
        <v>1</v>
      </c>
      <c r="J3491" s="8">
        <v>1</v>
      </c>
      <c r="K3491" s="9">
        <v>0</v>
      </c>
      <c r="L3491" s="10">
        <v>1</v>
      </c>
      <c r="M3491" s="6">
        <v>1</v>
      </c>
      <c r="N3491" s="37" t="e" cm="1">
        <f t="array" ref="N3491">IF(OR(ISNUMBER(FIND(Aux!$D$3:$D$9,_xlfn.TEXTJOIN(,,C3491:K3491)))),NA(),IF(AND(SUM(C3491:F3491,H3491:K3491)=0,G3491=1),0,INT((SUMPRODUCT(C3491:F3491,COLUMN($A$1:$D$1)-1)+SUMPRODUCT(H3491:K3491,COLUMN($E$1:$H$1)-1))*'Line Follower'!$C$3/SUM(C3491:F3491,H3491:K3491)-'Line Follower'!$C$5)))</f>
        <v>#N/A</v>
      </c>
      <c r="O3491" s="22" t="e">
        <v>#N/A</v>
      </c>
      <c r="P3491" s="4" t="e">
        <f t="shared" si="270"/>
        <v>#N/A</v>
      </c>
      <c r="Q3491" s="4" t="e">
        <f t="shared" si="271"/>
        <v>#N/A</v>
      </c>
      <c r="R3491" s="4" t="e">
        <f>IF(AND(B3491=1,N3491&gt;'Line Follower'!$C$7,SUM(C3491:K3491)&lt;4),1,0)</f>
        <v>#N/A</v>
      </c>
      <c r="S3491" s="4" t="e">
        <f>IF(AND(L3491=1,N3491&lt;'Line Follower'!$C$6,SUM(C3491:K3491)&lt;4),1,0)</f>
        <v>#N/A</v>
      </c>
      <c r="T3491" s="4" t="e">
        <f t="shared" si="272"/>
        <v>#N/A</v>
      </c>
      <c r="U3491" s="5" t="e">
        <f t="shared" si="273"/>
        <v>#N/A</v>
      </c>
      <c r="V3491" s="23" t="e">
        <f t="shared" si="274"/>
        <v>#N/A</v>
      </c>
    </row>
    <row r="3492" spans="2:22" x14ac:dyDescent="0.25">
      <c r="B3492" s="16">
        <v>1</v>
      </c>
      <c r="C3492" s="7">
        <v>0</v>
      </c>
      <c r="D3492" s="8">
        <v>0</v>
      </c>
      <c r="E3492" s="8">
        <v>0</v>
      </c>
      <c r="F3492" s="8">
        <v>0</v>
      </c>
      <c r="G3492" s="8">
        <v>1</v>
      </c>
      <c r="H3492" s="8">
        <v>0</v>
      </c>
      <c r="I3492" s="8">
        <v>1</v>
      </c>
      <c r="J3492" s="8">
        <v>1</v>
      </c>
      <c r="K3492" s="9">
        <v>0</v>
      </c>
      <c r="L3492" s="10">
        <v>1</v>
      </c>
      <c r="M3492" s="6">
        <v>1</v>
      </c>
      <c r="N3492" s="37" t="e" cm="1">
        <f t="array" ref="N3492">IF(OR(ISNUMBER(FIND(Aux!$D$3:$D$9,_xlfn.TEXTJOIN(,,C3492:K3492)))),NA(),IF(AND(SUM(C3492:F3492,H3492:K3492)=0,G3492=1),0,INT((SUMPRODUCT(C3492:F3492,COLUMN($A$1:$D$1)-1)+SUMPRODUCT(H3492:K3492,COLUMN($E$1:$H$1)-1))*'Line Follower'!$C$3/SUM(C3492:F3492,H3492:K3492)-'Line Follower'!$C$5)))</f>
        <v>#N/A</v>
      </c>
      <c r="O3492" s="22" t="e">
        <v>#N/A</v>
      </c>
      <c r="P3492" s="4" t="e">
        <f t="shared" si="270"/>
        <v>#N/A</v>
      </c>
      <c r="Q3492" s="4" t="e">
        <f t="shared" si="271"/>
        <v>#N/A</v>
      </c>
      <c r="R3492" s="4" t="e">
        <f>IF(AND(B3492=1,N3492&gt;'Line Follower'!$C$7,SUM(C3492:K3492)&lt;4),1,0)</f>
        <v>#N/A</v>
      </c>
      <c r="S3492" s="4" t="e">
        <f>IF(AND(L3492=1,N3492&lt;'Line Follower'!$C$6,SUM(C3492:K3492)&lt;4),1,0)</f>
        <v>#N/A</v>
      </c>
      <c r="T3492" s="4" t="e">
        <f t="shared" si="272"/>
        <v>#N/A</v>
      </c>
      <c r="U3492" s="5" t="e">
        <f t="shared" si="273"/>
        <v>#N/A</v>
      </c>
      <c r="V3492" s="23" t="e">
        <f t="shared" si="274"/>
        <v>#N/A</v>
      </c>
    </row>
    <row r="3493" spans="2:22" x14ac:dyDescent="0.25">
      <c r="B3493" s="16">
        <v>0</v>
      </c>
      <c r="C3493" s="7">
        <v>1</v>
      </c>
      <c r="D3493" s="8">
        <v>0</v>
      </c>
      <c r="E3493" s="8">
        <v>0</v>
      </c>
      <c r="F3493" s="8">
        <v>0</v>
      </c>
      <c r="G3493" s="8">
        <v>1</v>
      </c>
      <c r="H3493" s="8">
        <v>0</v>
      </c>
      <c r="I3493" s="8">
        <v>1</v>
      </c>
      <c r="J3493" s="8">
        <v>1</v>
      </c>
      <c r="K3493" s="9">
        <v>0</v>
      </c>
      <c r="L3493" s="10">
        <v>1</v>
      </c>
      <c r="M3493" s="6">
        <v>1</v>
      </c>
      <c r="N3493" s="37" t="e" cm="1">
        <f t="array" ref="N3493">IF(OR(ISNUMBER(FIND(Aux!$D$3:$D$9,_xlfn.TEXTJOIN(,,C3493:K3493)))),NA(),IF(AND(SUM(C3493:F3493,H3493:K3493)=0,G3493=1),0,INT((SUMPRODUCT(C3493:F3493,COLUMN($A$1:$D$1)-1)+SUMPRODUCT(H3493:K3493,COLUMN($E$1:$H$1)-1))*'Line Follower'!$C$3/SUM(C3493:F3493,H3493:K3493)-'Line Follower'!$C$5)))</f>
        <v>#N/A</v>
      </c>
      <c r="O3493" s="22" t="e">
        <v>#N/A</v>
      </c>
      <c r="P3493" s="4" t="e">
        <f t="shared" si="270"/>
        <v>#N/A</v>
      </c>
      <c r="Q3493" s="4" t="e">
        <f t="shared" si="271"/>
        <v>#N/A</v>
      </c>
      <c r="R3493" s="4" t="e">
        <f>IF(AND(B3493=1,N3493&gt;'Line Follower'!$C$7,SUM(C3493:K3493)&lt;4),1,0)</f>
        <v>#N/A</v>
      </c>
      <c r="S3493" s="4" t="e">
        <f>IF(AND(L3493=1,N3493&lt;'Line Follower'!$C$6,SUM(C3493:K3493)&lt;4),1,0)</f>
        <v>#N/A</v>
      </c>
      <c r="T3493" s="4" t="e">
        <f t="shared" si="272"/>
        <v>#N/A</v>
      </c>
      <c r="U3493" s="5" t="e">
        <f t="shared" si="273"/>
        <v>#N/A</v>
      </c>
      <c r="V3493" s="23" t="e">
        <f t="shared" si="274"/>
        <v>#N/A</v>
      </c>
    </row>
    <row r="3494" spans="2:22" x14ac:dyDescent="0.25">
      <c r="B3494" s="16">
        <v>1</v>
      </c>
      <c r="C3494" s="7">
        <v>1</v>
      </c>
      <c r="D3494" s="8">
        <v>0</v>
      </c>
      <c r="E3494" s="8">
        <v>0</v>
      </c>
      <c r="F3494" s="8">
        <v>0</v>
      </c>
      <c r="G3494" s="8">
        <v>1</v>
      </c>
      <c r="H3494" s="8">
        <v>0</v>
      </c>
      <c r="I3494" s="8">
        <v>1</v>
      </c>
      <c r="J3494" s="8">
        <v>1</v>
      </c>
      <c r="K3494" s="9">
        <v>0</v>
      </c>
      <c r="L3494" s="10">
        <v>1</v>
      </c>
      <c r="M3494" s="6">
        <v>1</v>
      </c>
      <c r="N3494" s="37" t="e" cm="1">
        <f t="array" ref="N3494">IF(OR(ISNUMBER(FIND(Aux!$D$3:$D$9,_xlfn.TEXTJOIN(,,C3494:K3494)))),NA(),IF(AND(SUM(C3494:F3494,H3494:K3494)=0,G3494=1),0,INT((SUMPRODUCT(C3494:F3494,COLUMN($A$1:$D$1)-1)+SUMPRODUCT(H3494:K3494,COLUMN($E$1:$H$1)-1))*'Line Follower'!$C$3/SUM(C3494:F3494,H3494:K3494)-'Line Follower'!$C$5)))</f>
        <v>#N/A</v>
      </c>
      <c r="O3494" s="22" t="e">
        <v>#N/A</v>
      </c>
      <c r="P3494" s="4" t="e">
        <f t="shared" si="270"/>
        <v>#N/A</v>
      </c>
      <c r="Q3494" s="4" t="e">
        <f t="shared" si="271"/>
        <v>#N/A</v>
      </c>
      <c r="R3494" s="4" t="e">
        <f>IF(AND(B3494=1,N3494&gt;'Line Follower'!$C$7,SUM(C3494:K3494)&lt;4),1,0)</f>
        <v>#N/A</v>
      </c>
      <c r="S3494" s="4" t="e">
        <f>IF(AND(L3494=1,N3494&lt;'Line Follower'!$C$6,SUM(C3494:K3494)&lt;4),1,0)</f>
        <v>#N/A</v>
      </c>
      <c r="T3494" s="4" t="e">
        <f t="shared" si="272"/>
        <v>#N/A</v>
      </c>
      <c r="U3494" s="5" t="e">
        <f t="shared" si="273"/>
        <v>#N/A</v>
      </c>
      <c r="V3494" s="23" t="e">
        <f t="shared" si="274"/>
        <v>#N/A</v>
      </c>
    </row>
    <row r="3495" spans="2:22" x14ac:dyDescent="0.25">
      <c r="B3495" s="16">
        <v>0</v>
      </c>
      <c r="C3495" s="7">
        <v>0</v>
      </c>
      <c r="D3495" s="8">
        <v>1</v>
      </c>
      <c r="E3495" s="8">
        <v>0</v>
      </c>
      <c r="F3495" s="8">
        <v>0</v>
      </c>
      <c r="G3495" s="8">
        <v>1</v>
      </c>
      <c r="H3495" s="8">
        <v>0</v>
      </c>
      <c r="I3495" s="8">
        <v>1</v>
      </c>
      <c r="J3495" s="8">
        <v>1</v>
      </c>
      <c r="K3495" s="9">
        <v>0</v>
      </c>
      <c r="L3495" s="10">
        <v>1</v>
      </c>
      <c r="M3495" s="6">
        <v>1</v>
      </c>
      <c r="N3495" s="37" t="e" cm="1">
        <f t="array" ref="N3495">IF(OR(ISNUMBER(FIND(Aux!$D$3:$D$9,_xlfn.TEXTJOIN(,,C3495:K3495)))),NA(),IF(AND(SUM(C3495:F3495,H3495:K3495)=0,G3495=1),0,INT((SUMPRODUCT(C3495:F3495,COLUMN($A$1:$D$1)-1)+SUMPRODUCT(H3495:K3495,COLUMN($E$1:$H$1)-1))*'Line Follower'!$C$3/SUM(C3495:F3495,H3495:K3495)-'Line Follower'!$C$5)))</f>
        <v>#N/A</v>
      </c>
      <c r="O3495" s="22" t="e">
        <v>#N/A</v>
      </c>
      <c r="P3495" s="4" t="e">
        <f t="shared" si="270"/>
        <v>#N/A</v>
      </c>
      <c r="Q3495" s="4" t="e">
        <f t="shared" si="271"/>
        <v>#N/A</v>
      </c>
      <c r="R3495" s="4" t="e">
        <f>IF(AND(B3495=1,N3495&gt;'Line Follower'!$C$7,SUM(C3495:K3495)&lt;4),1,0)</f>
        <v>#N/A</v>
      </c>
      <c r="S3495" s="4" t="e">
        <f>IF(AND(L3495=1,N3495&lt;'Line Follower'!$C$6,SUM(C3495:K3495)&lt;4),1,0)</f>
        <v>#N/A</v>
      </c>
      <c r="T3495" s="4" t="e">
        <f t="shared" si="272"/>
        <v>#N/A</v>
      </c>
      <c r="U3495" s="5" t="e">
        <f t="shared" si="273"/>
        <v>#N/A</v>
      </c>
      <c r="V3495" s="23" t="e">
        <f t="shared" si="274"/>
        <v>#N/A</v>
      </c>
    </row>
    <row r="3496" spans="2:22" x14ac:dyDescent="0.25">
      <c r="B3496" s="16">
        <v>1</v>
      </c>
      <c r="C3496" s="7">
        <v>0</v>
      </c>
      <c r="D3496" s="8">
        <v>1</v>
      </c>
      <c r="E3496" s="8">
        <v>0</v>
      </c>
      <c r="F3496" s="8">
        <v>0</v>
      </c>
      <c r="G3496" s="8">
        <v>1</v>
      </c>
      <c r="H3496" s="8">
        <v>0</v>
      </c>
      <c r="I3496" s="8">
        <v>1</v>
      </c>
      <c r="J3496" s="8">
        <v>1</v>
      </c>
      <c r="K3496" s="9">
        <v>0</v>
      </c>
      <c r="L3496" s="10">
        <v>1</v>
      </c>
      <c r="M3496" s="6">
        <v>1</v>
      </c>
      <c r="N3496" s="37" t="e" cm="1">
        <f t="array" ref="N3496">IF(OR(ISNUMBER(FIND(Aux!$D$3:$D$9,_xlfn.TEXTJOIN(,,C3496:K3496)))),NA(),IF(AND(SUM(C3496:F3496,H3496:K3496)=0,G3496=1),0,INT((SUMPRODUCT(C3496:F3496,COLUMN($A$1:$D$1)-1)+SUMPRODUCT(H3496:K3496,COLUMN($E$1:$H$1)-1))*'Line Follower'!$C$3/SUM(C3496:F3496,H3496:K3496)-'Line Follower'!$C$5)))</f>
        <v>#N/A</v>
      </c>
      <c r="O3496" s="22" t="e">
        <v>#N/A</v>
      </c>
      <c r="P3496" s="4" t="e">
        <f t="shared" si="270"/>
        <v>#N/A</v>
      </c>
      <c r="Q3496" s="4" t="e">
        <f t="shared" si="271"/>
        <v>#N/A</v>
      </c>
      <c r="R3496" s="4" t="e">
        <f>IF(AND(B3496=1,N3496&gt;'Line Follower'!$C$7,SUM(C3496:K3496)&lt;4),1,0)</f>
        <v>#N/A</v>
      </c>
      <c r="S3496" s="4" t="e">
        <f>IF(AND(L3496=1,N3496&lt;'Line Follower'!$C$6,SUM(C3496:K3496)&lt;4),1,0)</f>
        <v>#N/A</v>
      </c>
      <c r="T3496" s="4" t="e">
        <f t="shared" si="272"/>
        <v>#N/A</v>
      </c>
      <c r="U3496" s="5" t="e">
        <f t="shared" si="273"/>
        <v>#N/A</v>
      </c>
      <c r="V3496" s="23" t="e">
        <f t="shared" si="274"/>
        <v>#N/A</v>
      </c>
    </row>
    <row r="3497" spans="2:22" x14ac:dyDescent="0.25">
      <c r="B3497" s="16">
        <v>0</v>
      </c>
      <c r="C3497" s="7">
        <v>1</v>
      </c>
      <c r="D3497" s="8">
        <v>1</v>
      </c>
      <c r="E3497" s="8">
        <v>0</v>
      </c>
      <c r="F3497" s="8">
        <v>0</v>
      </c>
      <c r="G3497" s="8">
        <v>1</v>
      </c>
      <c r="H3497" s="8">
        <v>0</v>
      </c>
      <c r="I3497" s="8">
        <v>1</v>
      </c>
      <c r="J3497" s="8">
        <v>1</v>
      </c>
      <c r="K3497" s="9">
        <v>0</v>
      </c>
      <c r="L3497" s="10">
        <v>1</v>
      </c>
      <c r="M3497" s="6">
        <v>1</v>
      </c>
      <c r="N3497" s="37" t="e" cm="1">
        <f t="array" ref="N3497">IF(OR(ISNUMBER(FIND(Aux!$D$3:$D$9,_xlfn.TEXTJOIN(,,C3497:K3497)))),NA(),IF(AND(SUM(C3497:F3497,H3497:K3497)=0,G3497=1),0,INT((SUMPRODUCT(C3497:F3497,COLUMN($A$1:$D$1)-1)+SUMPRODUCT(H3497:K3497,COLUMN($E$1:$H$1)-1))*'Line Follower'!$C$3/SUM(C3497:F3497,H3497:K3497)-'Line Follower'!$C$5)))</f>
        <v>#N/A</v>
      </c>
      <c r="O3497" s="22" t="e">
        <v>#N/A</v>
      </c>
      <c r="P3497" s="4" t="e">
        <f t="shared" si="270"/>
        <v>#N/A</v>
      </c>
      <c r="Q3497" s="4" t="e">
        <f t="shared" si="271"/>
        <v>#N/A</v>
      </c>
      <c r="R3497" s="4" t="e">
        <f>IF(AND(B3497=1,N3497&gt;'Line Follower'!$C$7,SUM(C3497:K3497)&lt;4),1,0)</f>
        <v>#N/A</v>
      </c>
      <c r="S3497" s="4" t="e">
        <f>IF(AND(L3497=1,N3497&lt;'Line Follower'!$C$6,SUM(C3497:K3497)&lt;4),1,0)</f>
        <v>#N/A</v>
      </c>
      <c r="T3497" s="4" t="e">
        <f t="shared" si="272"/>
        <v>#N/A</v>
      </c>
      <c r="U3497" s="5" t="e">
        <f t="shared" si="273"/>
        <v>#N/A</v>
      </c>
      <c r="V3497" s="23" t="e">
        <f t="shared" si="274"/>
        <v>#N/A</v>
      </c>
    </row>
    <row r="3498" spans="2:22" x14ac:dyDescent="0.25">
      <c r="B3498" s="16">
        <v>1</v>
      </c>
      <c r="C3498" s="7">
        <v>1</v>
      </c>
      <c r="D3498" s="8">
        <v>1</v>
      </c>
      <c r="E3498" s="8">
        <v>0</v>
      </c>
      <c r="F3498" s="8">
        <v>0</v>
      </c>
      <c r="G3498" s="8">
        <v>1</v>
      </c>
      <c r="H3498" s="8">
        <v>0</v>
      </c>
      <c r="I3498" s="8">
        <v>1</v>
      </c>
      <c r="J3498" s="8">
        <v>1</v>
      </c>
      <c r="K3498" s="9">
        <v>0</v>
      </c>
      <c r="L3498" s="10">
        <v>1</v>
      </c>
      <c r="M3498" s="6">
        <v>1</v>
      </c>
      <c r="N3498" s="37" t="e" cm="1">
        <f t="array" ref="N3498">IF(OR(ISNUMBER(FIND(Aux!$D$3:$D$9,_xlfn.TEXTJOIN(,,C3498:K3498)))),NA(),IF(AND(SUM(C3498:F3498,H3498:K3498)=0,G3498=1),0,INT((SUMPRODUCT(C3498:F3498,COLUMN($A$1:$D$1)-1)+SUMPRODUCT(H3498:K3498,COLUMN($E$1:$H$1)-1))*'Line Follower'!$C$3/SUM(C3498:F3498,H3498:K3498)-'Line Follower'!$C$5)))</f>
        <v>#N/A</v>
      </c>
      <c r="O3498" s="22" t="e">
        <v>#N/A</v>
      </c>
      <c r="P3498" s="4" t="e">
        <f t="shared" si="270"/>
        <v>#N/A</v>
      </c>
      <c r="Q3498" s="4" t="e">
        <f t="shared" si="271"/>
        <v>#N/A</v>
      </c>
      <c r="R3498" s="4" t="e">
        <f>IF(AND(B3498=1,N3498&gt;'Line Follower'!$C$7,SUM(C3498:K3498)&lt;4),1,0)</f>
        <v>#N/A</v>
      </c>
      <c r="S3498" s="4" t="e">
        <f>IF(AND(L3498=1,N3498&lt;'Line Follower'!$C$6,SUM(C3498:K3498)&lt;4),1,0)</f>
        <v>#N/A</v>
      </c>
      <c r="T3498" s="4" t="e">
        <f t="shared" si="272"/>
        <v>#N/A</v>
      </c>
      <c r="U3498" s="5" t="e">
        <f t="shared" si="273"/>
        <v>#N/A</v>
      </c>
      <c r="V3498" s="23" t="e">
        <f t="shared" si="274"/>
        <v>#N/A</v>
      </c>
    </row>
    <row r="3499" spans="2:22" x14ac:dyDescent="0.25">
      <c r="B3499" s="16">
        <v>0</v>
      </c>
      <c r="C3499" s="7">
        <v>0</v>
      </c>
      <c r="D3499" s="8">
        <v>0</v>
      </c>
      <c r="E3499" s="8">
        <v>1</v>
      </c>
      <c r="F3499" s="8">
        <v>0</v>
      </c>
      <c r="G3499" s="8">
        <v>1</v>
      </c>
      <c r="H3499" s="8">
        <v>0</v>
      </c>
      <c r="I3499" s="8">
        <v>1</v>
      </c>
      <c r="J3499" s="8">
        <v>1</v>
      </c>
      <c r="K3499" s="9">
        <v>0</v>
      </c>
      <c r="L3499" s="10">
        <v>1</v>
      </c>
      <c r="M3499" s="6">
        <v>1</v>
      </c>
      <c r="N3499" s="37" t="e" cm="1">
        <f t="array" ref="N3499">IF(OR(ISNUMBER(FIND(Aux!$D$3:$D$9,_xlfn.TEXTJOIN(,,C3499:K3499)))),NA(),IF(AND(SUM(C3499:F3499,H3499:K3499)=0,G3499=1),0,INT((SUMPRODUCT(C3499:F3499,COLUMN($A$1:$D$1)-1)+SUMPRODUCT(H3499:K3499,COLUMN($E$1:$H$1)-1))*'Line Follower'!$C$3/SUM(C3499:F3499,H3499:K3499)-'Line Follower'!$C$5)))</f>
        <v>#N/A</v>
      </c>
      <c r="O3499" s="22" t="e">
        <v>#N/A</v>
      </c>
      <c r="P3499" s="4" t="e">
        <f t="shared" si="270"/>
        <v>#N/A</v>
      </c>
      <c r="Q3499" s="4" t="e">
        <f t="shared" si="271"/>
        <v>#N/A</v>
      </c>
      <c r="R3499" s="4" t="e">
        <f>IF(AND(B3499=1,N3499&gt;'Line Follower'!$C$7,SUM(C3499:K3499)&lt;4),1,0)</f>
        <v>#N/A</v>
      </c>
      <c r="S3499" s="4" t="e">
        <f>IF(AND(L3499=1,N3499&lt;'Line Follower'!$C$6,SUM(C3499:K3499)&lt;4),1,0)</f>
        <v>#N/A</v>
      </c>
      <c r="T3499" s="4" t="e">
        <f t="shared" si="272"/>
        <v>#N/A</v>
      </c>
      <c r="U3499" s="5" t="e">
        <f t="shared" si="273"/>
        <v>#N/A</v>
      </c>
      <c r="V3499" s="23" t="e">
        <f t="shared" si="274"/>
        <v>#N/A</v>
      </c>
    </row>
    <row r="3500" spans="2:22" x14ac:dyDescent="0.25">
      <c r="B3500" s="16">
        <v>1</v>
      </c>
      <c r="C3500" s="7">
        <v>0</v>
      </c>
      <c r="D3500" s="8">
        <v>0</v>
      </c>
      <c r="E3500" s="8">
        <v>1</v>
      </c>
      <c r="F3500" s="8">
        <v>0</v>
      </c>
      <c r="G3500" s="8">
        <v>1</v>
      </c>
      <c r="H3500" s="8">
        <v>0</v>
      </c>
      <c r="I3500" s="8">
        <v>1</v>
      </c>
      <c r="J3500" s="8">
        <v>1</v>
      </c>
      <c r="K3500" s="9">
        <v>0</v>
      </c>
      <c r="L3500" s="10">
        <v>1</v>
      </c>
      <c r="M3500" s="6">
        <v>1</v>
      </c>
      <c r="N3500" s="37" t="e" cm="1">
        <f t="array" ref="N3500">IF(OR(ISNUMBER(FIND(Aux!$D$3:$D$9,_xlfn.TEXTJOIN(,,C3500:K3500)))),NA(),IF(AND(SUM(C3500:F3500,H3500:K3500)=0,G3500=1),0,INT((SUMPRODUCT(C3500:F3500,COLUMN($A$1:$D$1)-1)+SUMPRODUCT(H3500:K3500,COLUMN($E$1:$H$1)-1))*'Line Follower'!$C$3/SUM(C3500:F3500,H3500:K3500)-'Line Follower'!$C$5)))</f>
        <v>#N/A</v>
      </c>
      <c r="O3500" s="22" t="e">
        <v>#N/A</v>
      </c>
      <c r="P3500" s="4" t="e">
        <f t="shared" si="270"/>
        <v>#N/A</v>
      </c>
      <c r="Q3500" s="4" t="e">
        <f t="shared" si="271"/>
        <v>#N/A</v>
      </c>
      <c r="R3500" s="4" t="e">
        <f>IF(AND(B3500=1,N3500&gt;'Line Follower'!$C$7,SUM(C3500:K3500)&lt;4),1,0)</f>
        <v>#N/A</v>
      </c>
      <c r="S3500" s="4" t="e">
        <f>IF(AND(L3500=1,N3500&lt;'Line Follower'!$C$6,SUM(C3500:K3500)&lt;4),1,0)</f>
        <v>#N/A</v>
      </c>
      <c r="T3500" s="4" t="e">
        <f t="shared" si="272"/>
        <v>#N/A</v>
      </c>
      <c r="U3500" s="5" t="e">
        <f t="shared" si="273"/>
        <v>#N/A</v>
      </c>
      <c r="V3500" s="23" t="e">
        <f t="shared" si="274"/>
        <v>#N/A</v>
      </c>
    </row>
    <row r="3501" spans="2:22" x14ac:dyDescent="0.25">
      <c r="B3501" s="16">
        <v>0</v>
      </c>
      <c r="C3501" s="7">
        <v>1</v>
      </c>
      <c r="D3501" s="8">
        <v>0</v>
      </c>
      <c r="E3501" s="8">
        <v>1</v>
      </c>
      <c r="F3501" s="8">
        <v>0</v>
      </c>
      <c r="G3501" s="8">
        <v>1</v>
      </c>
      <c r="H3501" s="8">
        <v>0</v>
      </c>
      <c r="I3501" s="8">
        <v>1</v>
      </c>
      <c r="J3501" s="8">
        <v>1</v>
      </c>
      <c r="K3501" s="9">
        <v>0</v>
      </c>
      <c r="L3501" s="10">
        <v>1</v>
      </c>
      <c r="M3501" s="6">
        <v>1</v>
      </c>
      <c r="N3501" s="37" t="e" cm="1">
        <f t="array" ref="N3501">IF(OR(ISNUMBER(FIND(Aux!$D$3:$D$9,_xlfn.TEXTJOIN(,,C3501:K3501)))),NA(),IF(AND(SUM(C3501:F3501,H3501:K3501)=0,G3501=1),0,INT((SUMPRODUCT(C3501:F3501,COLUMN($A$1:$D$1)-1)+SUMPRODUCT(H3501:K3501,COLUMN($E$1:$H$1)-1))*'Line Follower'!$C$3/SUM(C3501:F3501,H3501:K3501)-'Line Follower'!$C$5)))</f>
        <v>#N/A</v>
      </c>
      <c r="O3501" s="22" t="e">
        <v>#N/A</v>
      </c>
      <c r="P3501" s="4" t="e">
        <f t="shared" si="270"/>
        <v>#N/A</v>
      </c>
      <c r="Q3501" s="4" t="e">
        <f t="shared" si="271"/>
        <v>#N/A</v>
      </c>
      <c r="R3501" s="4" t="e">
        <f>IF(AND(B3501=1,N3501&gt;'Line Follower'!$C$7,SUM(C3501:K3501)&lt;4),1,0)</f>
        <v>#N/A</v>
      </c>
      <c r="S3501" s="4" t="e">
        <f>IF(AND(L3501=1,N3501&lt;'Line Follower'!$C$6,SUM(C3501:K3501)&lt;4),1,0)</f>
        <v>#N/A</v>
      </c>
      <c r="T3501" s="4" t="e">
        <f t="shared" si="272"/>
        <v>#N/A</v>
      </c>
      <c r="U3501" s="5" t="e">
        <f t="shared" si="273"/>
        <v>#N/A</v>
      </c>
      <c r="V3501" s="23" t="e">
        <f t="shared" si="274"/>
        <v>#N/A</v>
      </c>
    </row>
    <row r="3502" spans="2:22" x14ac:dyDescent="0.25">
      <c r="B3502" s="16">
        <v>1</v>
      </c>
      <c r="C3502" s="7">
        <v>1</v>
      </c>
      <c r="D3502" s="8">
        <v>0</v>
      </c>
      <c r="E3502" s="8">
        <v>1</v>
      </c>
      <c r="F3502" s="8">
        <v>0</v>
      </c>
      <c r="G3502" s="8">
        <v>1</v>
      </c>
      <c r="H3502" s="8">
        <v>0</v>
      </c>
      <c r="I3502" s="8">
        <v>1</v>
      </c>
      <c r="J3502" s="8">
        <v>1</v>
      </c>
      <c r="K3502" s="9">
        <v>0</v>
      </c>
      <c r="L3502" s="10">
        <v>1</v>
      </c>
      <c r="M3502" s="6">
        <v>1</v>
      </c>
      <c r="N3502" s="37" t="e" cm="1">
        <f t="array" ref="N3502">IF(OR(ISNUMBER(FIND(Aux!$D$3:$D$9,_xlfn.TEXTJOIN(,,C3502:K3502)))),NA(),IF(AND(SUM(C3502:F3502,H3502:K3502)=0,G3502=1),0,INT((SUMPRODUCT(C3502:F3502,COLUMN($A$1:$D$1)-1)+SUMPRODUCT(H3502:K3502,COLUMN($E$1:$H$1)-1))*'Line Follower'!$C$3/SUM(C3502:F3502,H3502:K3502)-'Line Follower'!$C$5)))</f>
        <v>#N/A</v>
      </c>
      <c r="O3502" s="22" t="e">
        <v>#N/A</v>
      </c>
      <c r="P3502" s="4" t="e">
        <f t="shared" si="270"/>
        <v>#N/A</v>
      </c>
      <c r="Q3502" s="4" t="e">
        <f t="shared" si="271"/>
        <v>#N/A</v>
      </c>
      <c r="R3502" s="4" t="e">
        <f>IF(AND(B3502=1,N3502&gt;'Line Follower'!$C$7,SUM(C3502:K3502)&lt;4),1,0)</f>
        <v>#N/A</v>
      </c>
      <c r="S3502" s="4" t="e">
        <f>IF(AND(L3502=1,N3502&lt;'Line Follower'!$C$6,SUM(C3502:K3502)&lt;4),1,0)</f>
        <v>#N/A</v>
      </c>
      <c r="T3502" s="4" t="e">
        <f t="shared" si="272"/>
        <v>#N/A</v>
      </c>
      <c r="U3502" s="5" t="e">
        <f t="shared" si="273"/>
        <v>#N/A</v>
      </c>
      <c r="V3502" s="23" t="e">
        <f t="shared" si="274"/>
        <v>#N/A</v>
      </c>
    </row>
    <row r="3503" spans="2:22" x14ac:dyDescent="0.25">
      <c r="B3503" s="16">
        <v>0</v>
      </c>
      <c r="C3503" s="7">
        <v>0</v>
      </c>
      <c r="D3503" s="8">
        <v>1</v>
      </c>
      <c r="E3503" s="8">
        <v>1</v>
      </c>
      <c r="F3503" s="8">
        <v>0</v>
      </c>
      <c r="G3503" s="8">
        <v>1</v>
      </c>
      <c r="H3503" s="8">
        <v>0</v>
      </c>
      <c r="I3503" s="8">
        <v>1</v>
      </c>
      <c r="J3503" s="8">
        <v>1</v>
      </c>
      <c r="K3503" s="9">
        <v>0</v>
      </c>
      <c r="L3503" s="10">
        <v>1</v>
      </c>
      <c r="M3503" s="6">
        <v>1</v>
      </c>
      <c r="N3503" s="37" t="e" cm="1">
        <f t="array" ref="N3503">IF(OR(ISNUMBER(FIND(Aux!$D$3:$D$9,_xlfn.TEXTJOIN(,,C3503:K3503)))),NA(),IF(AND(SUM(C3503:F3503,H3503:K3503)=0,G3503=1),0,INT((SUMPRODUCT(C3503:F3503,COLUMN($A$1:$D$1)-1)+SUMPRODUCT(H3503:K3503,COLUMN($E$1:$H$1)-1))*'Line Follower'!$C$3/SUM(C3503:F3503,H3503:K3503)-'Line Follower'!$C$5)))</f>
        <v>#N/A</v>
      </c>
      <c r="O3503" s="22" t="e">
        <v>#N/A</v>
      </c>
      <c r="P3503" s="4" t="e">
        <f t="shared" si="270"/>
        <v>#N/A</v>
      </c>
      <c r="Q3503" s="4" t="e">
        <f t="shared" si="271"/>
        <v>#N/A</v>
      </c>
      <c r="R3503" s="4" t="e">
        <f>IF(AND(B3503=1,N3503&gt;'Line Follower'!$C$7,SUM(C3503:K3503)&lt;4),1,0)</f>
        <v>#N/A</v>
      </c>
      <c r="S3503" s="4" t="e">
        <f>IF(AND(L3503=1,N3503&lt;'Line Follower'!$C$6,SUM(C3503:K3503)&lt;4),1,0)</f>
        <v>#N/A</v>
      </c>
      <c r="T3503" s="4" t="e">
        <f t="shared" si="272"/>
        <v>#N/A</v>
      </c>
      <c r="U3503" s="5" t="e">
        <f t="shared" si="273"/>
        <v>#N/A</v>
      </c>
      <c r="V3503" s="23" t="e">
        <f t="shared" si="274"/>
        <v>#N/A</v>
      </c>
    </row>
    <row r="3504" spans="2:22" x14ac:dyDescent="0.25">
      <c r="B3504" s="16">
        <v>1</v>
      </c>
      <c r="C3504" s="7">
        <v>0</v>
      </c>
      <c r="D3504" s="8">
        <v>1</v>
      </c>
      <c r="E3504" s="8">
        <v>1</v>
      </c>
      <c r="F3504" s="8">
        <v>0</v>
      </c>
      <c r="G3504" s="8">
        <v>1</v>
      </c>
      <c r="H3504" s="8">
        <v>0</v>
      </c>
      <c r="I3504" s="8">
        <v>1</v>
      </c>
      <c r="J3504" s="8">
        <v>1</v>
      </c>
      <c r="K3504" s="9">
        <v>0</v>
      </c>
      <c r="L3504" s="10">
        <v>1</v>
      </c>
      <c r="M3504" s="6">
        <v>1</v>
      </c>
      <c r="N3504" s="37" t="e" cm="1">
        <f t="array" ref="N3504">IF(OR(ISNUMBER(FIND(Aux!$D$3:$D$9,_xlfn.TEXTJOIN(,,C3504:K3504)))),NA(),IF(AND(SUM(C3504:F3504,H3504:K3504)=0,G3504=1),0,INT((SUMPRODUCT(C3504:F3504,COLUMN($A$1:$D$1)-1)+SUMPRODUCT(H3504:K3504,COLUMN($E$1:$H$1)-1))*'Line Follower'!$C$3/SUM(C3504:F3504,H3504:K3504)-'Line Follower'!$C$5)))</f>
        <v>#N/A</v>
      </c>
      <c r="O3504" s="22" t="e">
        <v>#N/A</v>
      </c>
      <c r="P3504" s="4" t="e">
        <f t="shared" si="270"/>
        <v>#N/A</v>
      </c>
      <c r="Q3504" s="4" t="e">
        <f t="shared" si="271"/>
        <v>#N/A</v>
      </c>
      <c r="R3504" s="4" t="e">
        <f>IF(AND(B3504=1,N3504&gt;'Line Follower'!$C$7,SUM(C3504:K3504)&lt;4),1,0)</f>
        <v>#N/A</v>
      </c>
      <c r="S3504" s="4" t="e">
        <f>IF(AND(L3504=1,N3504&lt;'Line Follower'!$C$6,SUM(C3504:K3504)&lt;4),1,0)</f>
        <v>#N/A</v>
      </c>
      <c r="T3504" s="4" t="e">
        <f t="shared" si="272"/>
        <v>#N/A</v>
      </c>
      <c r="U3504" s="5" t="e">
        <f t="shared" si="273"/>
        <v>#N/A</v>
      </c>
      <c r="V3504" s="23" t="e">
        <f t="shared" si="274"/>
        <v>#N/A</v>
      </c>
    </row>
    <row r="3505" spans="2:22" x14ac:dyDescent="0.25">
      <c r="B3505" s="16">
        <v>0</v>
      </c>
      <c r="C3505" s="7">
        <v>1</v>
      </c>
      <c r="D3505" s="8">
        <v>1</v>
      </c>
      <c r="E3505" s="8">
        <v>1</v>
      </c>
      <c r="F3505" s="8">
        <v>0</v>
      </c>
      <c r="G3505" s="8">
        <v>1</v>
      </c>
      <c r="H3505" s="8">
        <v>0</v>
      </c>
      <c r="I3505" s="8">
        <v>1</v>
      </c>
      <c r="J3505" s="8">
        <v>1</v>
      </c>
      <c r="K3505" s="9">
        <v>0</v>
      </c>
      <c r="L3505" s="10">
        <v>1</v>
      </c>
      <c r="M3505" s="6">
        <v>1</v>
      </c>
      <c r="N3505" s="37" t="e" cm="1">
        <f t="array" ref="N3505">IF(OR(ISNUMBER(FIND(Aux!$D$3:$D$9,_xlfn.TEXTJOIN(,,C3505:K3505)))),NA(),IF(AND(SUM(C3505:F3505,H3505:K3505)=0,G3505=1),0,INT((SUMPRODUCT(C3505:F3505,COLUMN($A$1:$D$1)-1)+SUMPRODUCT(H3505:K3505,COLUMN($E$1:$H$1)-1))*'Line Follower'!$C$3/SUM(C3505:F3505,H3505:K3505)-'Line Follower'!$C$5)))</f>
        <v>#N/A</v>
      </c>
      <c r="O3505" s="22" t="e">
        <v>#N/A</v>
      </c>
      <c r="P3505" s="4" t="e">
        <f t="shared" si="270"/>
        <v>#N/A</v>
      </c>
      <c r="Q3505" s="4" t="e">
        <f t="shared" si="271"/>
        <v>#N/A</v>
      </c>
      <c r="R3505" s="4" t="e">
        <f>IF(AND(B3505=1,N3505&gt;'Line Follower'!$C$7,SUM(C3505:K3505)&lt;4),1,0)</f>
        <v>#N/A</v>
      </c>
      <c r="S3505" s="4" t="e">
        <f>IF(AND(L3505=1,N3505&lt;'Line Follower'!$C$6,SUM(C3505:K3505)&lt;4),1,0)</f>
        <v>#N/A</v>
      </c>
      <c r="T3505" s="4" t="e">
        <f t="shared" si="272"/>
        <v>#N/A</v>
      </c>
      <c r="U3505" s="5" t="e">
        <f t="shared" si="273"/>
        <v>#N/A</v>
      </c>
      <c r="V3505" s="23" t="e">
        <f t="shared" si="274"/>
        <v>#N/A</v>
      </c>
    </row>
    <row r="3506" spans="2:22" x14ac:dyDescent="0.25">
      <c r="B3506" s="16">
        <v>1</v>
      </c>
      <c r="C3506" s="7">
        <v>1</v>
      </c>
      <c r="D3506" s="8">
        <v>1</v>
      </c>
      <c r="E3506" s="8">
        <v>1</v>
      </c>
      <c r="F3506" s="8">
        <v>0</v>
      </c>
      <c r="G3506" s="8">
        <v>1</v>
      </c>
      <c r="H3506" s="8">
        <v>0</v>
      </c>
      <c r="I3506" s="8">
        <v>1</v>
      </c>
      <c r="J3506" s="8">
        <v>1</v>
      </c>
      <c r="K3506" s="9">
        <v>0</v>
      </c>
      <c r="L3506" s="10">
        <v>1</v>
      </c>
      <c r="M3506" s="6">
        <v>1</v>
      </c>
      <c r="N3506" s="37" t="e" cm="1">
        <f t="array" ref="N3506">IF(OR(ISNUMBER(FIND(Aux!$D$3:$D$9,_xlfn.TEXTJOIN(,,C3506:K3506)))),NA(),IF(AND(SUM(C3506:F3506,H3506:K3506)=0,G3506=1),0,INT((SUMPRODUCT(C3506:F3506,COLUMN($A$1:$D$1)-1)+SUMPRODUCT(H3506:K3506,COLUMN($E$1:$H$1)-1))*'Line Follower'!$C$3/SUM(C3506:F3506,H3506:K3506)-'Line Follower'!$C$5)))</f>
        <v>#N/A</v>
      </c>
      <c r="O3506" s="22" t="e">
        <v>#N/A</v>
      </c>
      <c r="P3506" s="4" t="e">
        <f t="shared" si="270"/>
        <v>#N/A</v>
      </c>
      <c r="Q3506" s="4" t="e">
        <f t="shared" si="271"/>
        <v>#N/A</v>
      </c>
      <c r="R3506" s="4" t="e">
        <f>IF(AND(B3506=1,N3506&gt;'Line Follower'!$C$7,SUM(C3506:K3506)&lt;4),1,0)</f>
        <v>#N/A</v>
      </c>
      <c r="S3506" s="4" t="e">
        <f>IF(AND(L3506=1,N3506&lt;'Line Follower'!$C$6,SUM(C3506:K3506)&lt;4),1,0)</f>
        <v>#N/A</v>
      </c>
      <c r="T3506" s="4" t="e">
        <f t="shared" si="272"/>
        <v>#N/A</v>
      </c>
      <c r="U3506" s="5" t="e">
        <f t="shared" si="273"/>
        <v>#N/A</v>
      </c>
      <c r="V3506" s="23" t="e">
        <f t="shared" si="274"/>
        <v>#N/A</v>
      </c>
    </row>
    <row r="3507" spans="2:22" x14ac:dyDescent="0.25">
      <c r="B3507" s="16">
        <v>0</v>
      </c>
      <c r="C3507" s="7">
        <v>0</v>
      </c>
      <c r="D3507" s="8">
        <v>0</v>
      </c>
      <c r="E3507" s="8">
        <v>0</v>
      </c>
      <c r="F3507" s="8">
        <v>1</v>
      </c>
      <c r="G3507" s="8">
        <v>1</v>
      </c>
      <c r="H3507" s="8">
        <v>0</v>
      </c>
      <c r="I3507" s="8">
        <v>1</v>
      </c>
      <c r="J3507" s="8">
        <v>1</v>
      </c>
      <c r="K3507" s="9">
        <v>0</v>
      </c>
      <c r="L3507" s="10">
        <v>1</v>
      </c>
      <c r="M3507" s="6">
        <v>1</v>
      </c>
      <c r="N3507" s="37" t="e" cm="1">
        <f t="array" ref="N3507">IF(OR(ISNUMBER(FIND(Aux!$D$3:$D$9,_xlfn.TEXTJOIN(,,C3507:K3507)))),NA(),IF(AND(SUM(C3507:F3507,H3507:K3507)=0,G3507=1),0,INT((SUMPRODUCT(C3507:F3507,COLUMN($A$1:$D$1)-1)+SUMPRODUCT(H3507:K3507,COLUMN($E$1:$H$1)-1))*'Line Follower'!$C$3/SUM(C3507:F3507,H3507:K3507)-'Line Follower'!$C$5)))</f>
        <v>#N/A</v>
      </c>
      <c r="O3507" s="22" t="e">
        <v>#N/A</v>
      </c>
      <c r="P3507" s="4" t="e">
        <f t="shared" si="270"/>
        <v>#N/A</v>
      </c>
      <c r="Q3507" s="4" t="e">
        <f t="shared" si="271"/>
        <v>#N/A</v>
      </c>
      <c r="R3507" s="4" t="e">
        <f>IF(AND(B3507=1,N3507&gt;'Line Follower'!$C$7,SUM(C3507:K3507)&lt;4),1,0)</f>
        <v>#N/A</v>
      </c>
      <c r="S3507" s="4" t="e">
        <f>IF(AND(L3507=1,N3507&lt;'Line Follower'!$C$6,SUM(C3507:K3507)&lt;4),1,0)</f>
        <v>#N/A</v>
      </c>
      <c r="T3507" s="4" t="e">
        <f t="shared" si="272"/>
        <v>#N/A</v>
      </c>
      <c r="U3507" s="5" t="e">
        <f t="shared" si="273"/>
        <v>#N/A</v>
      </c>
      <c r="V3507" s="23" t="e">
        <f t="shared" si="274"/>
        <v>#N/A</v>
      </c>
    </row>
    <row r="3508" spans="2:22" x14ac:dyDescent="0.25">
      <c r="B3508" s="16">
        <v>1</v>
      </c>
      <c r="C3508" s="7">
        <v>0</v>
      </c>
      <c r="D3508" s="8">
        <v>0</v>
      </c>
      <c r="E3508" s="8">
        <v>0</v>
      </c>
      <c r="F3508" s="8">
        <v>1</v>
      </c>
      <c r="G3508" s="8">
        <v>1</v>
      </c>
      <c r="H3508" s="8">
        <v>0</v>
      </c>
      <c r="I3508" s="8">
        <v>1</v>
      </c>
      <c r="J3508" s="8">
        <v>1</v>
      </c>
      <c r="K3508" s="9">
        <v>0</v>
      </c>
      <c r="L3508" s="10">
        <v>1</v>
      </c>
      <c r="M3508" s="6">
        <v>1</v>
      </c>
      <c r="N3508" s="37" t="e" cm="1">
        <f t="array" ref="N3508">IF(OR(ISNUMBER(FIND(Aux!$D$3:$D$9,_xlfn.TEXTJOIN(,,C3508:K3508)))),NA(),IF(AND(SUM(C3508:F3508,H3508:K3508)=0,G3508=1),0,INT((SUMPRODUCT(C3508:F3508,COLUMN($A$1:$D$1)-1)+SUMPRODUCT(H3508:K3508,COLUMN($E$1:$H$1)-1))*'Line Follower'!$C$3/SUM(C3508:F3508,H3508:K3508)-'Line Follower'!$C$5)))</f>
        <v>#N/A</v>
      </c>
      <c r="O3508" s="22" t="e">
        <v>#N/A</v>
      </c>
      <c r="P3508" s="4" t="e">
        <f t="shared" si="270"/>
        <v>#N/A</v>
      </c>
      <c r="Q3508" s="4" t="e">
        <f t="shared" si="271"/>
        <v>#N/A</v>
      </c>
      <c r="R3508" s="4" t="e">
        <f>IF(AND(B3508=1,N3508&gt;'Line Follower'!$C$7,SUM(C3508:K3508)&lt;4),1,0)</f>
        <v>#N/A</v>
      </c>
      <c r="S3508" s="4" t="e">
        <f>IF(AND(L3508=1,N3508&lt;'Line Follower'!$C$6,SUM(C3508:K3508)&lt;4),1,0)</f>
        <v>#N/A</v>
      </c>
      <c r="T3508" s="4" t="e">
        <f t="shared" si="272"/>
        <v>#N/A</v>
      </c>
      <c r="U3508" s="5" t="e">
        <f t="shared" si="273"/>
        <v>#N/A</v>
      </c>
      <c r="V3508" s="23" t="e">
        <f t="shared" si="274"/>
        <v>#N/A</v>
      </c>
    </row>
    <row r="3509" spans="2:22" x14ac:dyDescent="0.25">
      <c r="B3509" s="16">
        <v>0</v>
      </c>
      <c r="C3509" s="7">
        <v>1</v>
      </c>
      <c r="D3509" s="8">
        <v>0</v>
      </c>
      <c r="E3509" s="8">
        <v>0</v>
      </c>
      <c r="F3509" s="8">
        <v>1</v>
      </c>
      <c r="G3509" s="8">
        <v>1</v>
      </c>
      <c r="H3509" s="8">
        <v>0</v>
      </c>
      <c r="I3509" s="8">
        <v>1</v>
      </c>
      <c r="J3509" s="8">
        <v>1</v>
      </c>
      <c r="K3509" s="9">
        <v>0</v>
      </c>
      <c r="L3509" s="10">
        <v>1</v>
      </c>
      <c r="M3509" s="6">
        <v>1</v>
      </c>
      <c r="N3509" s="37" t="e" cm="1">
        <f t="array" ref="N3509">IF(OR(ISNUMBER(FIND(Aux!$D$3:$D$9,_xlfn.TEXTJOIN(,,C3509:K3509)))),NA(),IF(AND(SUM(C3509:F3509,H3509:K3509)=0,G3509=1),0,INT((SUMPRODUCT(C3509:F3509,COLUMN($A$1:$D$1)-1)+SUMPRODUCT(H3509:K3509,COLUMN($E$1:$H$1)-1))*'Line Follower'!$C$3/SUM(C3509:F3509,H3509:K3509)-'Line Follower'!$C$5)))</f>
        <v>#N/A</v>
      </c>
      <c r="O3509" s="22" t="e">
        <v>#N/A</v>
      </c>
      <c r="P3509" s="4" t="e">
        <f t="shared" si="270"/>
        <v>#N/A</v>
      </c>
      <c r="Q3509" s="4" t="e">
        <f t="shared" si="271"/>
        <v>#N/A</v>
      </c>
      <c r="R3509" s="4" t="e">
        <f>IF(AND(B3509=1,N3509&gt;'Line Follower'!$C$7,SUM(C3509:K3509)&lt;4),1,0)</f>
        <v>#N/A</v>
      </c>
      <c r="S3509" s="4" t="e">
        <f>IF(AND(L3509=1,N3509&lt;'Line Follower'!$C$6,SUM(C3509:K3509)&lt;4),1,0)</f>
        <v>#N/A</v>
      </c>
      <c r="T3509" s="4" t="e">
        <f t="shared" si="272"/>
        <v>#N/A</v>
      </c>
      <c r="U3509" s="5" t="e">
        <f t="shared" si="273"/>
        <v>#N/A</v>
      </c>
      <c r="V3509" s="23" t="e">
        <f t="shared" si="274"/>
        <v>#N/A</v>
      </c>
    </row>
    <row r="3510" spans="2:22" x14ac:dyDescent="0.25">
      <c r="B3510" s="16">
        <v>1</v>
      </c>
      <c r="C3510" s="7">
        <v>1</v>
      </c>
      <c r="D3510" s="8">
        <v>0</v>
      </c>
      <c r="E3510" s="8">
        <v>0</v>
      </c>
      <c r="F3510" s="8">
        <v>1</v>
      </c>
      <c r="G3510" s="8">
        <v>1</v>
      </c>
      <c r="H3510" s="8">
        <v>0</v>
      </c>
      <c r="I3510" s="8">
        <v>1</v>
      </c>
      <c r="J3510" s="8">
        <v>1</v>
      </c>
      <c r="K3510" s="9">
        <v>0</v>
      </c>
      <c r="L3510" s="10">
        <v>1</v>
      </c>
      <c r="M3510" s="6">
        <v>1</v>
      </c>
      <c r="N3510" s="37" t="e" cm="1">
        <f t="array" ref="N3510">IF(OR(ISNUMBER(FIND(Aux!$D$3:$D$9,_xlfn.TEXTJOIN(,,C3510:K3510)))),NA(),IF(AND(SUM(C3510:F3510,H3510:K3510)=0,G3510=1),0,INT((SUMPRODUCT(C3510:F3510,COLUMN($A$1:$D$1)-1)+SUMPRODUCT(H3510:K3510,COLUMN($E$1:$H$1)-1))*'Line Follower'!$C$3/SUM(C3510:F3510,H3510:K3510)-'Line Follower'!$C$5)))</f>
        <v>#N/A</v>
      </c>
      <c r="O3510" s="22" t="e">
        <v>#N/A</v>
      </c>
      <c r="P3510" s="4" t="e">
        <f t="shared" si="270"/>
        <v>#N/A</v>
      </c>
      <c r="Q3510" s="4" t="e">
        <f t="shared" si="271"/>
        <v>#N/A</v>
      </c>
      <c r="R3510" s="4" t="e">
        <f>IF(AND(B3510=1,N3510&gt;'Line Follower'!$C$7,SUM(C3510:K3510)&lt;4),1,0)</f>
        <v>#N/A</v>
      </c>
      <c r="S3510" s="4" t="e">
        <f>IF(AND(L3510=1,N3510&lt;'Line Follower'!$C$6,SUM(C3510:K3510)&lt;4),1,0)</f>
        <v>#N/A</v>
      </c>
      <c r="T3510" s="4" t="e">
        <f t="shared" si="272"/>
        <v>#N/A</v>
      </c>
      <c r="U3510" s="5" t="e">
        <f t="shared" si="273"/>
        <v>#N/A</v>
      </c>
      <c r="V3510" s="23" t="e">
        <f t="shared" si="274"/>
        <v>#N/A</v>
      </c>
    </row>
    <row r="3511" spans="2:22" x14ac:dyDescent="0.25">
      <c r="B3511" s="16">
        <v>0</v>
      </c>
      <c r="C3511" s="7">
        <v>0</v>
      </c>
      <c r="D3511" s="8">
        <v>1</v>
      </c>
      <c r="E3511" s="8">
        <v>0</v>
      </c>
      <c r="F3511" s="8">
        <v>1</v>
      </c>
      <c r="G3511" s="8">
        <v>1</v>
      </c>
      <c r="H3511" s="8">
        <v>0</v>
      </c>
      <c r="I3511" s="8">
        <v>1</v>
      </c>
      <c r="J3511" s="8">
        <v>1</v>
      </c>
      <c r="K3511" s="9">
        <v>0</v>
      </c>
      <c r="L3511" s="10">
        <v>1</v>
      </c>
      <c r="M3511" s="6">
        <v>1</v>
      </c>
      <c r="N3511" s="37" t="e" cm="1">
        <f t="array" ref="N3511">IF(OR(ISNUMBER(FIND(Aux!$D$3:$D$9,_xlfn.TEXTJOIN(,,C3511:K3511)))),NA(),IF(AND(SUM(C3511:F3511,H3511:K3511)=0,G3511=1),0,INT((SUMPRODUCT(C3511:F3511,COLUMN($A$1:$D$1)-1)+SUMPRODUCT(H3511:K3511,COLUMN($E$1:$H$1)-1))*'Line Follower'!$C$3/SUM(C3511:F3511,H3511:K3511)-'Line Follower'!$C$5)))</f>
        <v>#N/A</v>
      </c>
      <c r="O3511" s="22" t="e">
        <v>#N/A</v>
      </c>
      <c r="P3511" s="4" t="e">
        <f t="shared" si="270"/>
        <v>#N/A</v>
      </c>
      <c r="Q3511" s="4" t="e">
        <f t="shared" si="271"/>
        <v>#N/A</v>
      </c>
      <c r="R3511" s="4" t="e">
        <f>IF(AND(B3511=1,N3511&gt;'Line Follower'!$C$7,SUM(C3511:K3511)&lt;4),1,0)</f>
        <v>#N/A</v>
      </c>
      <c r="S3511" s="4" t="e">
        <f>IF(AND(L3511=1,N3511&lt;'Line Follower'!$C$6,SUM(C3511:K3511)&lt;4),1,0)</f>
        <v>#N/A</v>
      </c>
      <c r="T3511" s="4" t="e">
        <f t="shared" si="272"/>
        <v>#N/A</v>
      </c>
      <c r="U3511" s="5" t="e">
        <f t="shared" si="273"/>
        <v>#N/A</v>
      </c>
      <c r="V3511" s="23" t="e">
        <f t="shared" si="274"/>
        <v>#N/A</v>
      </c>
    </row>
    <row r="3512" spans="2:22" x14ac:dyDescent="0.25">
      <c r="B3512" s="16">
        <v>1</v>
      </c>
      <c r="C3512" s="7">
        <v>0</v>
      </c>
      <c r="D3512" s="8">
        <v>1</v>
      </c>
      <c r="E3512" s="8">
        <v>0</v>
      </c>
      <c r="F3512" s="8">
        <v>1</v>
      </c>
      <c r="G3512" s="8">
        <v>1</v>
      </c>
      <c r="H3512" s="8">
        <v>0</v>
      </c>
      <c r="I3512" s="8">
        <v>1</v>
      </c>
      <c r="J3512" s="8">
        <v>1</v>
      </c>
      <c r="K3512" s="9">
        <v>0</v>
      </c>
      <c r="L3512" s="10">
        <v>1</v>
      </c>
      <c r="M3512" s="6">
        <v>1</v>
      </c>
      <c r="N3512" s="37" t="e" cm="1">
        <f t="array" ref="N3512">IF(OR(ISNUMBER(FIND(Aux!$D$3:$D$9,_xlfn.TEXTJOIN(,,C3512:K3512)))),NA(),IF(AND(SUM(C3512:F3512,H3512:K3512)=0,G3512=1),0,INT((SUMPRODUCT(C3512:F3512,COLUMN($A$1:$D$1)-1)+SUMPRODUCT(H3512:K3512,COLUMN($E$1:$H$1)-1))*'Line Follower'!$C$3/SUM(C3512:F3512,H3512:K3512)-'Line Follower'!$C$5)))</f>
        <v>#N/A</v>
      </c>
      <c r="O3512" s="22" t="e">
        <v>#N/A</v>
      </c>
      <c r="P3512" s="4" t="e">
        <f t="shared" si="270"/>
        <v>#N/A</v>
      </c>
      <c r="Q3512" s="4" t="e">
        <f t="shared" si="271"/>
        <v>#N/A</v>
      </c>
      <c r="R3512" s="4" t="e">
        <f>IF(AND(B3512=1,N3512&gt;'Line Follower'!$C$7,SUM(C3512:K3512)&lt;4),1,0)</f>
        <v>#N/A</v>
      </c>
      <c r="S3512" s="4" t="e">
        <f>IF(AND(L3512=1,N3512&lt;'Line Follower'!$C$6,SUM(C3512:K3512)&lt;4),1,0)</f>
        <v>#N/A</v>
      </c>
      <c r="T3512" s="4" t="e">
        <f t="shared" si="272"/>
        <v>#N/A</v>
      </c>
      <c r="U3512" s="5" t="e">
        <f t="shared" si="273"/>
        <v>#N/A</v>
      </c>
      <c r="V3512" s="23" t="e">
        <f t="shared" si="274"/>
        <v>#N/A</v>
      </c>
    </row>
    <row r="3513" spans="2:22" x14ac:dyDescent="0.25">
      <c r="B3513" s="16">
        <v>0</v>
      </c>
      <c r="C3513" s="7">
        <v>1</v>
      </c>
      <c r="D3513" s="8">
        <v>1</v>
      </c>
      <c r="E3513" s="8">
        <v>0</v>
      </c>
      <c r="F3513" s="8">
        <v>1</v>
      </c>
      <c r="G3513" s="8">
        <v>1</v>
      </c>
      <c r="H3513" s="8">
        <v>0</v>
      </c>
      <c r="I3513" s="8">
        <v>1</v>
      </c>
      <c r="J3513" s="8">
        <v>1</v>
      </c>
      <c r="K3513" s="9">
        <v>0</v>
      </c>
      <c r="L3513" s="10">
        <v>1</v>
      </c>
      <c r="M3513" s="6">
        <v>1</v>
      </c>
      <c r="N3513" s="37" t="e" cm="1">
        <f t="array" ref="N3513">IF(OR(ISNUMBER(FIND(Aux!$D$3:$D$9,_xlfn.TEXTJOIN(,,C3513:K3513)))),NA(),IF(AND(SUM(C3513:F3513,H3513:K3513)=0,G3513=1),0,INT((SUMPRODUCT(C3513:F3513,COLUMN($A$1:$D$1)-1)+SUMPRODUCT(H3513:K3513,COLUMN($E$1:$H$1)-1))*'Line Follower'!$C$3/SUM(C3513:F3513,H3513:K3513)-'Line Follower'!$C$5)))</f>
        <v>#N/A</v>
      </c>
      <c r="O3513" s="22" t="e">
        <v>#N/A</v>
      </c>
      <c r="P3513" s="4" t="e">
        <f t="shared" si="270"/>
        <v>#N/A</v>
      </c>
      <c r="Q3513" s="4" t="e">
        <f t="shared" si="271"/>
        <v>#N/A</v>
      </c>
      <c r="R3513" s="4" t="e">
        <f>IF(AND(B3513=1,N3513&gt;'Line Follower'!$C$7,SUM(C3513:K3513)&lt;4),1,0)</f>
        <v>#N/A</v>
      </c>
      <c r="S3513" s="4" t="e">
        <f>IF(AND(L3513=1,N3513&lt;'Line Follower'!$C$6,SUM(C3513:K3513)&lt;4),1,0)</f>
        <v>#N/A</v>
      </c>
      <c r="T3513" s="4" t="e">
        <f t="shared" si="272"/>
        <v>#N/A</v>
      </c>
      <c r="U3513" s="5" t="e">
        <f t="shared" si="273"/>
        <v>#N/A</v>
      </c>
      <c r="V3513" s="23" t="e">
        <f t="shared" si="274"/>
        <v>#N/A</v>
      </c>
    </row>
    <row r="3514" spans="2:22" x14ac:dyDescent="0.25">
      <c r="B3514" s="16">
        <v>1</v>
      </c>
      <c r="C3514" s="7">
        <v>1</v>
      </c>
      <c r="D3514" s="8">
        <v>1</v>
      </c>
      <c r="E3514" s="8">
        <v>0</v>
      </c>
      <c r="F3514" s="8">
        <v>1</v>
      </c>
      <c r="G3514" s="8">
        <v>1</v>
      </c>
      <c r="H3514" s="8">
        <v>0</v>
      </c>
      <c r="I3514" s="8">
        <v>1</v>
      </c>
      <c r="J3514" s="8">
        <v>1</v>
      </c>
      <c r="K3514" s="9">
        <v>0</v>
      </c>
      <c r="L3514" s="10">
        <v>1</v>
      </c>
      <c r="M3514" s="6">
        <v>1</v>
      </c>
      <c r="N3514" s="37" t="e" cm="1">
        <f t="array" ref="N3514">IF(OR(ISNUMBER(FIND(Aux!$D$3:$D$9,_xlfn.TEXTJOIN(,,C3514:K3514)))),NA(),IF(AND(SUM(C3514:F3514,H3514:K3514)=0,G3514=1),0,INT((SUMPRODUCT(C3514:F3514,COLUMN($A$1:$D$1)-1)+SUMPRODUCT(H3514:K3514,COLUMN($E$1:$H$1)-1))*'Line Follower'!$C$3/SUM(C3514:F3514,H3514:K3514)-'Line Follower'!$C$5)))</f>
        <v>#N/A</v>
      </c>
      <c r="O3514" s="22" t="e">
        <v>#N/A</v>
      </c>
      <c r="P3514" s="4" t="e">
        <f t="shared" si="270"/>
        <v>#N/A</v>
      </c>
      <c r="Q3514" s="4" t="e">
        <f t="shared" si="271"/>
        <v>#N/A</v>
      </c>
      <c r="R3514" s="4" t="e">
        <f>IF(AND(B3514=1,N3514&gt;'Line Follower'!$C$7,SUM(C3514:K3514)&lt;4),1,0)</f>
        <v>#N/A</v>
      </c>
      <c r="S3514" s="4" t="e">
        <f>IF(AND(L3514=1,N3514&lt;'Line Follower'!$C$6,SUM(C3514:K3514)&lt;4),1,0)</f>
        <v>#N/A</v>
      </c>
      <c r="T3514" s="4" t="e">
        <f t="shared" si="272"/>
        <v>#N/A</v>
      </c>
      <c r="U3514" s="5" t="e">
        <f t="shared" si="273"/>
        <v>#N/A</v>
      </c>
      <c r="V3514" s="23" t="e">
        <f t="shared" si="274"/>
        <v>#N/A</v>
      </c>
    </row>
    <row r="3515" spans="2:22" x14ac:dyDescent="0.25">
      <c r="B3515" s="16">
        <v>0</v>
      </c>
      <c r="C3515" s="7">
        <v>0</v>
      </c>
      <c r="D3515" s="8">
        <v>0</v>
      </c>
      <c r="E3515" s="8">
        <v>1</v>
      </c>
      <c r="F3515" s="8">
        <v>1</v>
      </c>
      <c r="G3515" s="8">
        <v>1</v>
      </c>
      <c r="H3515" s="8">
        <v>0</v>
      </c>
      <c r="I3515" s="8">
        <v>1</v>
      </c>
      <c r="J3515" s="8">
        <v>1</v>
      </c>
      <c r="K3515" s="9">
        <v>0</v>
      </c>
      <c r="L3515" s="10">
        <v>1</v>
      </c>
      <c r="M3515" s="6">
        <v>1</v>
      </c>
      <c r="N3515" s="37" t="e" cm="1">
        <f t="array" ref="N3515">IF(OR(ISNUMBER(FIND(Aux!$D$3:$D$9,_xlfn.TEXTJOIN(,,C3515:K3515)))),NA(),IF(AND(SUM(C3515:F3515,H3515:K3515)=0,G3515=1),0,INT((SUMPRODUCT(C3515:F3515,COLUMN($A$1:$D$1)-1)+SUMPRODUCT(H3515:K3515,COLUMN($E$1:$H$1)-1))*'Line Follower'!$C$3/SUM(C3515:F3515,H3515:K3515)-'Line Follower'!$C$5)))</f>
        <v>#N/A</v>
      </c>
      <c r="O3515" s="22" t="e">
        <v>#N/A</v>
      </c>
      <c r="P3515" s="4" t="e">
        <f t="shared" si="270"/>
        <v>#N/A</v>
      </c>
      <c r="Q3515" s="4" t="e">
        <f t="shared" si="271"/>
        <v>#N/A</v>
      </c>
      <c r="R3515" s="4" t="e">
        <f>IF(AND(B3515=1,N3515&gt;'Line Follower'!$C$7,SUM(C3515:K3515)&lt;4),1,0)</f>
        <v>#N/A</v>
      </c>
      <c r="S3515" s="4" t="e">
        <f>IF(AND(L3515=1,N3515&lt;'Line Follower'!$C$6,SUM(C3515:K3515)&lt;4),1,0)</f>
        <v>#N/A</v>
      </c>
      <c r="T3515" s="4" t="e">
        <f t="shared" si="272"/>
        <v>#N/A</v>
      </c>
      <c r="U3515" s="5" t="e">
        <f t="shared" si="273"/>
        <v>#N/A</v>
      </c>
      <c r="V3515" s="23" t="e">
        <f t="shared" si="274"/>
        <v>#N/A</v>
      </c>
    </row>
    <row r="3516" spans="2:22" x14ac:dyDescent="0.25">
      <c r="B3516" s="16">
        <v>1</v>
      </c>
      <c r="C3516" s="7">
        <v>0</v>
      </c>
      <c r="D3516" s="8">
        <v>0</v>
      </c>
      <c r="E3516" s="8">
        <v>1</v>
      </c>
      <c r="F3516" s="8">
        <v>1</v>
      </c>
      <c r="G3516" s="8">
        <v>1</v>
      </c>
      <c r="H3516" s="8">
        <v>0</v>
      </c>
      <c r="I3516" s="8">
        <v>1</v>
      </c>
      <c r="J3516" s="8">
        <v>1</v>
      </c>
      <c r="K3516" s="9">
        <v>0</v>
      </c>
      <c r="L3516" s="10">
        <v>1</v>
      </c>
      <c r="M3516" s="6">
        <v>1</v>
      </c>
      <c r="N3516" s="37" t="e" cm="1">
        <f t="array" ref="N3516">IF(OR(ISNUMBER(FIND(Aux!$D$3:$D$9,_xlfn.TEXTJOIN(,,C3516:K3516)))),NA(),IF(AND(SUM(C3516:F3516,H3516:K3516)=0,G3516=1),0,INT((SUMPRODUCT(C3516:F3516,COLUMN($A$1:$D$1)-1)+SUMPRODUCT(H3516:K3516,COLUMN($E$1:$H$1)-1))*'Line Follower'!$C$3/SUM(C3516:F3516,H3516:K3516)-'Line Follower'!$C$5)))</f>
        <v>#N/A</v>
      </c>
      <c r="O3516" s="22" t="e">
        <v>#N/A</v>
      </c>
      <c r="P3516" s="4" t="e">
        <f t="shared" si="270"/>
        <v>#N/A</v>
      </c>
      <c r="Q3516" s="4" t="e">
        <f t="shared" si="271"/>
        <v>#N/A</v>
      </c>
      <c r="R3516" s="4" t="e">
        <f>IF(AND(B3516=1,N3516&gt;'Line Follower'!$C$7,SUM(C3516:K3516)&lt;4),1,0)</f>
        <v>#N/A</v>
      </c>
      <c r="S3516" s="4" t="e">
        <f>IF(AND(L3516=1,N3516&lt;'Line Follower'!$C$6,SUM(C3516:K3516)&lt;4),1,0)</f>
        <v>#N/A</v>
      </c>
      <c r="T3516" s="4" t="e">
        <f t="shared" si="272"/>
        <v>#N/A</v>
      </c>
      <c r="U3516" s="5" t="e">
        <f t="shared" si="273"/>
        <v>#N/A</v>
      </c>
      <c r="V3516" s="23" t="e">
        <f t="shared" si="274"/>
        <v>#N/A</v>
      </c>
    </row>
    <row r="3517" spans="2:22" x14ac:dyDescent="0.25">
      <c r="B3517" s="16">
        <v>0</v>
      </c>
      <c r="C3517" s="7">
        <v>1</v>
      </c>
      <c r="D3517" s="8">
        <v>0</v>
      </c>
      <c r="E3517" s="8">
        <v>1</v>
      </c>
      <c r="F3517" s="8">
        <v>1</v>
      </c>
      <c r="G3517" s="8">
        <v>1</v>
      </c>
      <c r="H3517" s="8">
        <v>0</v>
      </c>
      <c r="I3517" s="8">
        <v>1</v>
      </c>
      <c r="J3517" s="8">
        <v>1</v>
      </c>
      <c r="K3517" s="9">
        <v>0</v>
      </c>
      <c r="L3517" s="10">
        <v>1</v>
      </c>
      <c r="M3517" s="6">
        <v>1</v>
      </c>
      <c r="N3517" s="37" t="e" cm="1">
        <f t="array" ref="N3517">IF(OR(ISNUMBER(FIND(Aux!$D$3:$D$9,_xlfn.TEXTJOIN(,,C3517:K3517)))),NA(),IF(AND(SUM(C3517:F3517,H3517:K3517)=0,G3517=1),0,INT((SUMPRODUCT(C3517:F3517,COLUMN($A$1:$D$1)-1)+SUMPRODUCT(H3517:K3517,COLUMN($E$1:$H$1)-1))*'Line Follower'!$C$3/SUM(C3517:F3517,H3517:K3517)-'Line Follower'!$C$5)))</f>
        <v>#N/A</v>
      </c>
      <c r="O3517" s="22" t="e">
        <v>#N/A</v>
      </c>
      <c r="P3517" s="4" t="e">
        <f t="shared" si="270"/>
        <v>#N/A</v>
      </c>
      <c r="Q3517" s="4" t="e">
        <f t="shared" si="271"/>
        <v>#N/A</v>
      </c>
      <c r="R3517" s="4" t="e">
        <f>IF(AND(B3517=1,N3517&gt;'Line Follower'!$C$7,SUM(C3517:K3517)&lt;4),1,0)</f>
        <v>#N/A</v>
      </c>
      <c r="S3517" s="4" t="e">
        <f>IF(AND(L3517=1,N3517&lt;'Line Follower'!$C$6,SUM(C3517:K3517)&lt;4),1,0)</f>
        <v>#N/A</v>
      </c>
      <c r="T3517" s="4" t="e">
        <f t="shared" si="272"/>
        <v>#N/A</v>
      </c>
      <c r="U3517" s="5" t="e">
        <f t="shared" si="273"/>
        <v>#N/A</v>
      </c>
      <c r="V3517" s="23" t="e">
        <f t="shared" si="274"/>
        <v>#N/A</v>
      </c>
    </row>
    <row r="3518" spans="2:22" x14ac:dyDescent="0.25">
      <c r="B3518" s="16">
        <v>1</v>
      </c>
      <c r="C3518" s="7">
        <v>1</v>
      </c>
      <c r="D3518" s="8">
        <v>0</v>
      </c>
      <c r="E3518" s="8">
        <v>1</v>
      </c>
      <c r="F3518" s="8">
        <v>1</v>
      </c>
      <c r="G3518" s="8">
        <v>1</v>
      </c>
      <c r="H3518" s="8">
        <v>0</v>
      </c>
      <c r="I3518" s="8">
        <v>1</v>
      </c>
      <c r="J3518" s="8">
        <v>1</v>
      </c>
      <c r="K3518" s="9">
        <v>0</v>
      </c>
      <c r="L3518" s="10">
        <v>1</v>
      </c>
      <c r="M3518" s="6">
        <v>1</v>
      </c>
      <c r="N3518" s="37" t="e" cm="1">
        <f t="array" ref="N3518">IF(OR(ISNUMBER(FIND(Aux!$D$3:$D$9,_xlfn.TEXTJOIN(,,C3518:K3518)))),NA(),IF(AND(SUM(C3518:F3518,H3518:K3518)=0,G3518=1),0,INT((SUMPRODUCT(C3518:F3518,COLUMN($A$1:$D$1)-1)+SUMPRODUCT(H3518:K3518,COLUMN($E$1:$H$1)-1))*'Line Follower'!$C$3/SUM(C3518:F3518,H3518:K3518)-'Line Follower'!$C$5)))</f>
        <v>#N/A</v>
      </c>
      <c r="O3518" s="22" t="e">
        <v>#N/A</v>
      </c>
      <c r="P3518" s="4" t="e">
        <f t="shared" si="270"/>
        <v>#N/A</v>
      </c>
      <c r="Q3518" s="4" t="e">
        <f t="shared" si="271"/>
        <v>#N/A</v>
      </c>
      <c r="R3518" s="4" t="e">
        <f>IF(AND(B3518=1,N3518&gt;'Line Follower'!$C$7,SUM(C3518:K3518)&lt;4),1,0)</f>
        <v>#N/A</v>
      </c>
      <c r="S3518" s="4" t="e">
        <f>IF(AND(L3518=1,N3518&lt;'Line Follower'!$C$6,SUM(C3518:K3518)&lt;4),1,0)</f>
        <v>#N/A</v>
      </c>
      <c r="T3518" s="4" t="e">
        <f t="shared" si="272"/>
        <v>#N/A</v>
      </c>
      <c r="U3518" s="5" t="e">
        <f t="shared" si="273"/>
        <v>#N/A</v>
      </c>
      <c r="V3518" s="23" t="e">
        <f t="shared" si="274"/>
        <v>#N/A</v>
      </c>
    </row>
    <row r="3519" spans="2:22" x14ac:dyDescent="0.25">
      <c r="B3519" s="16">
        <v>0</v>
      </c>
      <c r="C3519" s="7">
        <v>0</v>
      </c>
      <c r="D3519" s="8">
        <v>1</v>
      </c>
      <c r="E3519" s="8">
        <v>1</v>
      </c>
      <c r="F3519" s="8">
        <v>1</v>
      </c>
      <c r="G3519" s="8">
        <v>1</v>
      </c>
      <c r="H3519" s="8">
        <v>0</v>
      </c>
      <c r="I3519" s="8">
        <v>1</v>
      </c>
      <c r="J3519" s="8">
        <v>1</v>
      </c>
      <c r="K3519" s="9">
        <v>0</v>
      </c>
      <c r="L3519" s="10">
        <v>1</v>
      </c>
      <c r="M3519" s="6">
        <v>1</v>
      </c>
      <c r="N3519" s="37" t="e" cm="1">
        <f t="array" ref="N3519">IF(OR(ISNUMBER(FIND(Aux!$D$3:$D$9,_xlfn.TEXTJOIN(,,C3519:K3519)))),NA(),IF(AND(SUM(C3519:F3519,H3519:K3519)=0,G3519=1),0,INT((SUMPRODUCT(C3519:F3519,COLUMN($A$1:$D$1)-1)+SUMPRODUCT(H3519:K3519,COLUMN($E$1:$H$1)-1))*'Line Follower'!$C$3/SUM(C3519:F3519,H3519:K3519)-'Line Follower'!$C$5)))</f>
        <v>#N/A</v>
      </c>
      <c r="O3519" s="22" t="e">
        <v>#N/A</v>
      </c>
      <c r="P3519" s="4" t="e">
        <f t="shared" si="270"/>
        <v>#N/A</v>
      </c>
      <c r="Q3519" s="4" t="e">
        <f t="shared" si="271"/>
        <v>#N/A</v>
      </c>
      <c r="R3519" s="4" t="e">
        <f>IF(AND(B3519=1,N3519&gt;'Line Follower'!$C$7,SUM(C3519:K3519)&lt;4),1,0)</f>
        <v>#N/A</v>
      </c>
      <c r="S3519" s="4" t="e">
        <f>IF(AND(L3519=1,N3519&lt;'Line Follower'!$C$6,SUM(C3519:K3519)&lt;4),1,0)</f>
        <v>#N/A</v>
      </c>
      <c r="T3519" s="4" t="e">
        <f t="shared" si="272"/>
        <v>#N/A</v>
      </c>
      <c r="U3519" s="5" t="e">
        <f t="shared" si="273"/>
        <v>#N/A</v>
      </c>
      <c r="V3519" s="23" t="e">
        <f t="shared" si="274"/>
        <v>#N/A</v>
      </c>
    </row>
    <row r="3520" spans="2:22" x14ac:dyDescent="0.25">
      <c r="B3520" s="16">
        <v>1</v>
      </c>
      <c r="C3520" s="7">
        <v>0</v>
      </c>
      <c r="D3520" s="8">
        <v>1</v>
      </c>
      <c r="E3520" s="8">
        <v>1</v>
      </c>
      <c r="F3520" s="8">
        <v>1</v>
      </c>
      <c r="G3520" s="8">
        <v>1</v>
      </c>
      <c r="H3520" s="8">
        <v>0</v>
      </c>
      <c r="I3520" s="8">
        <v>1</v>
      </c>
      <c r="J3520" s="8">
        <v>1</v>
      </c>
      <c r="K3520" s="9">
        <v>0</v>
      </c>
      <c r="L3520" s="10">
        <v>1</v>
      </c>
      <c r="M3520" s="6">
        <v>1</v>
      </c>
      <c r="N3520" s="37" t="e" cm="1">
        <f t="array" ref="N3520">IF(OR(ISNUMBER(FIND(Aux!$D$3:$D$9,_xlfn.TEXTJOIN(,,C3520:K3520)))),NA(),IF(AND(SUM(C3520:F3520,H3520:K3520)=0,G3520=1),0,INT((SUMPRODUCT(C3520:F3520,COLUMN($A$1:$D$1)-1)+SUMPRODUCT(H3520:K3520,COLUMN($E$1:$H$1)-1))*'Line Follower'!$C$3/SUM(C3520:F3520,H3520:K3520)-'Line Follower'!$C$5)))</f>
        <v>#N/A</v>
      </c>
      <c r="O3520" s="22" t="e">
        <v>#N/A</v>
      </c>
      <c r="P3520" s="4" t="e">
        <f t="shared" si="270"/>
        <v>#N/A</v>
      </c>
      <c r="Q3520" s="4" t="e">
        <f t="shared" si="271"/>
        <v>#N/A</v>
      </c>
      <c r="R3520" s="4" t="e">
        <f>IF(AND(B3520=1,N3520&gt;'Line Follower'!$C$7,SUM(C3520:K3520)&lt;4),1,0)</f>
        <v>#N/A</v>
      </c>
      <c r="S3520" s="4" t="e">
        <f>IF(AND(L3520=1,N3520&lt;'Line Follower'!$C$6,SUM(C3520:K3520)&lt;4),1,0)</f>
        <v>#N/A</v>
      </c>
      <c r="T3520" s="4" t="e">
        <f t="shared" si="272"/>
        <v>#N/A</v>
      </c>
      <c r="U3520" s="5" t="e">
        <f t="shared" si="273"/>
        <v>#N/A</v>
      </c>
      <c r="V3520" s="23" t="e">
        <f t="shared" si="274"/>
        <v>#N/A</v>
      </c>
    </row>
    <row r="3521" spans="2:22" x14ac:dyDescent="0.25">
      <c r="B3521" s="16">
        <v>0</v>
      </c>
      <c r="C3521" s="7">
        <v>1</v>
      </c>
      <c r="D3521" s="8">
        <v>1</v>
      </c>
      <c r="E3521" s="8">
        <v>1</v>
      </c>
      <c r="F3521" s="8">
        <v>1</v>
      </c>
      <c r="G3521" s="8">
        <v>1</v>
      </c>
      <c r="H3521" s="8">
        <v>0</v>
      </c>
      <c r="I3521" s="8">
        <v>1</v>
      </c>
      <c r="J3521" s="8">
        <v>1</v>
      </c>
      <c r="K3521" s="9">
        <v>0</v>
      </c>
      <c r="L3521" s="10">
        <v>1</v>
      </c>
      <c r="M3521" s="6">
        <v>1</v>
      </c>
      <c r="N3521" s="37" t="e" cm="1">
        <f t="array" ref="N3521">IF(OR(ISNUMBER(FIND(Aux!$D$3:$D$9,_xlfn.TEXTJOIN(,,C3521:K3521)))),NA(),IF(AND(SUM(C3521:F3521,H3521:K3521)=0,G3521=1),0,INT((SUMPRODUCT(C3521:F3521,COLUMN($A$1:$D$1)-1)+SUMPRODUCT(H3521:K3521,COLUMN($E$1:$H$1)-1))*'Line Follower'!$C$3/SUM(C3521:F3521,H3521:K3521)-'Line Follower'!$C$5)))</f>
        <v>#N/A</v>
      </c>
      <c r="O3521" s="22" t="e">
        <v>#N/A</v>
      </c>
      <c r="P3521" s="4" t="e">
        <f t="shared" si="270"/>
        <v>#N/A</v>
      </c>
      <c r="Q3521" s="4" t="e">
        <f t="shared" si="271"/>
        <v>#N/A</v>
      </c>
      <c r="R3521" s="4" t="e">
        <f>IF(AND(B3521=1,N3521&gt;'Line Follower'!$C$7,SUM(C3521:K3521)&lt;4),1,0)</f>
        <v>#N/A</v>
      </c>
      <c r="S3521" s="4" t="e">
        <f>IF(AND(L3521=1,N3521&lt;'Line Follower'!$C$6,SUM(C3521:K3521)&lt;4),1,0)</f>
        <v>#N/A</v>
      </c>
      <c r="T3521" s="4" t="e">
        <f t="shared" si="272"/>
        <v>#N/A</v>
      </c>
      <c r="U3521" s="5" t="e">
        <f t="shared" si="273"/>
        <v>#N/A</v>
      </c>
      <c r="V3521" s="23" t="e">
        <f t="shared" si="274"/>
        <v>#N/A</v>
      </c>
    </row>
    <row r="3522" spans="2:22" x14ac:dyDescent="0.25">
      <c r="B3522" s="16">
        <v>1</v>
      </c>
      <c r="C3522" s="7">
        <v>1</v>
      </c>
      <c r="D3522" s="8">
        <v>1</v>
      </c>
      <c r="E3522" s="8">
        <v>1</v>
      </c>
      <c r="F3522" s="8">
        <v>1</v>
      </c>
      <c r="G3522" s="8">
        <v>1</v>
      </c>
      <c r="H3522" s="8">
        <v>0</v>
      </c>
      <c r="I3522" s="8">
        <v>1</v>
      </c>
      <c r="J3522" s="8">
        <v>1</v>
      </c>
      <c r="K3522" s="9">
        <v>0</v>
      </c>
      <c r="L3522" s="10">
        <v>1</v>
      </c>
      <c r="M3522" s="6">
        <v>1</v>
      </c>
      <c r="N3522" s="37" t="e" cm="1">
        <f t="array" ref="N3522">IF(OR(ISNUMBER(FIND(Aux!$D$3:$D$9,_xlfn.TEXTJOIN(,,C3522:K3522)))),NA(),IF(AND(SUM(C3522:F3522,H3522:K3522)=0,G3522=1),0,INT((SUMPRODUCT(C3522:F3522,COLUMN($A$1:$D$1)-1)+SUMPRODUCT(H3522:K3522,COLUMN($E$1:$H$1)-1))*'Line Follower'!$C$3/SUM(C3522:F3522,H3522:K3522)-'Line Follower'!$C$5)))</f>
        <v>#N/A</v>
      </c>
      <c r="O3522" s="22" t="e">
        <v>#N/A</v>
      </c>
      <c r="P3522" s="4" t="e">
        <f t="shared" si="270"/>
        <v>#N/A</v>
      </c>
      <c r="Q3522" s="4" t="e">
        <f t="shared" si="271"/>
        <v>#N/A</v>
      </c>
      <c r="R3522" s="4" t="e">
        <f>IF(AND(B3522=1,N3522&gt;'Line Follower'!$C$7,SUM(C3522:K3522)&lt;4),1,0)</f>
        <v>#N/A</v>
      </c>
      <c r="S3522" s="4" t="e">
        <f>IF(AND(L3522=1,N3522&lt;'Line Follower'!$C$6,SUM(C3522:K3522)&lt;4),1,0)</f>
        <v>#N/A</v>
      </c>
      <c r="T3522" s="4" t="e">
        <f t="shared" si="272"/>
        <v>#N/A</v>
      </c>
      <c r="U3522" s="5" t="e">
        <f t="shared" si="273"/>
        <v>#N/A</v>
      </c>
      <c r="V3522" s="23" t="e">
        <f t="shared" si="274"/>
        <v>#N/A</v>
      </c>
    </row>
    <row r="3523" spans="2:22" x14ac:dyDescent="0.25">
      <c r="B3523" s="16">
        <v>0</v>
      </c>
      <c r="C3523" s="7">
        <v>0</v>
      </c>
      <c r="D3523" s="8">
        <v>0</v>
      </c>
      <c r="E3523" s="8">
        <v>0</v>
      </c>
      <c r="F3523" s="8">
        <v>0</v>
      </c>
      <c r="G3523" s="8">
        <v>0</v>
      </c>
      <c r="H3523" s="8">
        <v>1</v>
      </c>
      <c r="I3523" s="8">
        <v>1</v>
      </c>
      <c r="J3523" s="8">
        <v>1</v>
      </c>
      <c r="K3523" s="9">
        <v>0</v>
      </c>
      <c r="L3523" s="10">
        <v>1</v>
      </c>
      <c r="M3523" s="6">
        <v>1</v>
      </c>
      <c r="N3523" s="37" cm="1">
        <f t="array" ref="N3523">IF(OR(ISNUMBER(FIND(Aux!$D$3:$D$9,_xlfn.TEXTJOIN(,,C3523:K3523)))),NA(),IF(AND(SUM(C3523:F3523,H3523:K3523)=0,G3523=1),0,INT((SUMPRODUCT(C3523:F3523,COLUMN($A$1:$D$1)-1)+SUMPRODUCT(H3523:K3523,COLUMN($E$1:$H$1)-1))*'Line Follower'!$C$3/SUM(C3523:F3523,H3523:K3523)-'Line Follower'!$C$5)))</f>
        <v>3</v>
      </c>
      <c r="O3523" s="22">
        <v>1</v>
      </c>
      <c r="P3523" s="4">
        <f t="shared" ref="P3523:P3586" si="275">IF(AND(N3523=0,G3523=1,M3523=1),1,0)</f>
        <v>0</v>
      </c>
      <c r="Q3523" s="4">
        <f t="shared" ref="Q3523:Q3586" si="276">IF(ISERROR(N3523),N3523,IF(SUM(C3523:K3523)&gt;=4,1,0))</f>
        <v>0</v>
      </c>
      <c r="R3523" s="4">
        <f>IF(AND(B3523=1,N3523&gt;'Line Follower'!$C$7,SUM(C3523:K3523)&lt;4),1,0)</f>
        <v>0</v>
      </c>
      <c r="S3523" s="4">
        <f>IF(AND(L3523=1,N3523&lt;'Line Follower'!$C$6,SUM(C3523:K3523)&lt;4),1,0)</f>
        <v>1</v>
      </c>
      <c r="T3523" s="4">
        <f t="shared" si="272"/>
        <v>0</v>
      </c>
      <c r="U3523" s="5">
        <f t="shared" si="273"/>
        <v>0</v>
      </c>
      <c r="V3523" s="23">
        <f t="shared" si="274"/>
        <v>0</v>
      </c>
    </row>
    <row r="3524" spans="2:22" x14ac:dyDescent="0.25">
      <c r="B3524" s="16">
        <v>1</v>
      </c>
      <c r="C3524" s="7">
        <v>0</v>
      </c>
      <c r="D3524" s="8">
        <v>0</v>
      </c>
      <c r="E3524" s="8">
        <v>0</v>
      </c>
      <c r="F3524" s="8">
        <v>0</v>
      </c>
      <c r="G3524" s="8">
        <v>0</v>
      </c>
      <c r="H3524" s="8">
        <v>1</v>
      </c>
      <c r="I3524" s="8">
        <v>1</v>
      </c>
      <c r="J3524" s="8">
        <v>1</v>
      </c>
      <c r="K3524" s="9">
        <v>0</v>
      </c>
      <c r="L3524" s="10">
        <v>1</v>
      </c>
      <c r="M3524" s="6">
        <v>1</v>
      </c>
      <c r="N3524" s="37" cm="1">
        <f t="array" ref="N3524">IF(OR(ISNUMBER(FIND(Aux!$D$3:$D$9,_xlfn.TEXTJOIN(,,C3524:K3524)))),NA(),IF(AND(SUM(C3524:F3524,H3524:K3524)=0,G3524=1),0,INT((SUMPRODUCT(C3524:F3524,COLUMN($A$1:$D$1)-1)+SUMPRODUCT(H3524:K3524,COLUMN($E$1:$H$1)-1))*'Line Follower'!$C$3/SUM(C3524:F3524,H3524:K3524)-'Line Follower'!$C$5)))</f>
        <v>3</v>
      </c>
      <c r="O3524" s="22">
        <v>1</v>
      </c>
      <c r="P3524" s="4">
        <f t="shared" si="275"/>
        <v>0</v>
      </c>
      <c r="Q3524" s="4">
        <f t="shared" si="276"/>
        <v>0</v>
      </c>
      <c r="R3524" s="4">
        <f>IF(AND(B3524=1,N3524&gt;'Line Follower'!$C$7,SUM(C3524:K3524)&lt;4),1,0)</f>
        <v>1</v>
      </c>
      <c r="S3524" s="4">
        <f>IF(AND(L3524=1,N3524&lt;'Line Follower'!$C$6,SUM(C3524:K3524)&lt;4),1,0)</f>
        <v>1</v>
      </c>
      <c r="T3524" s="4">
        <f t="shared" ref="T3524:T3587" si="277">IF(ISNA(N3524),NA(),IF(SUM(C3524:L3524)=0,1,0))</f>
        <v>0</v>
      </c>
      <c r="U3524" s="5">
        <f t="shared" ref="U3524:U3587" si="278">IF(ISNA(N3524),NA(),IF(SUM(B3524:K3524)=0,1,0))</f>
        <v>0</v>
      </c>
      <c r="V3524" s="23">
        <f t="shared" ref="V3524:V3587" si="279">IF(ISNA(N3524),NA(),IF(SUM(B3524:L3524)=0,1,0))</f>
        <v>0</v>
      </c>
    </row>
    <row r="3525" spans="2:22" x14ac:dyDescent="0.25">
      <c r="B3525" s="16">
        <v>0</v>
      </c>
      <c r="C3525" s="7">
        <v>1</v>
      </c>
      <c r="D3525" s="8">
        <v>0</v>
      </c>
      <c r="E3525" s="8">
        <v>0</v>
      </c>
      <c r="F3525" s="8">
        <v>0</v>
      </c>
      <c r="G3525" s="8">
        <v>0</v>
      </c>
      <c r="H3525" s="8">
        <v>1</v>
      </c>
      <c r="I3525" s="8">
        <v>1</v>
      </c>
      <c r="J3525" s="8">
        <v>1</v>
      </c>
      <c r="K3525" s="9">
        <v>0</v>
      </c>
      <c r="L3525" s="10">
        <v>1</v>
      </c>
      <c r="M3525" s="6">
        <v>1</v>
      </c>
      <c r="N3525" s="37" t="e" cm="1">
        <f t="array" ref="N3525">IF(OR(ISNUMBER(FIND(Aux!$D$3:$D$9,_xlfn.TEXTJOIN(,,C3525:K3525)))),NA(),IF(AND(SUM(C3525:F3525,H3525:K3525)=0,G3525=1),0,INT((SUMPRODUCT(C3525:F3525,COLUMN($A$1:$D$1)-1)+SUMPRODUCT(H3525:K3525,COLUMN($E$1:$H$1)-1))*'Line Follower'!$C$3/SUM(C3525:F3525,H3525:K3525)-'Line Follower'!$C$5)))</f>
        <v>#N/A</v>
      </c>
      <c r="O3525" s="22" t="e">
        <v>#N/A</v>
      </c>
      <c r="P3525" s="4" t="e">
        <f t="shared" si="275"/>
        <v>#N/A</v>
      </c>
      <c r="Q3525" s="4" t="e">
        <f t="shared" si="276"/>
        <v>#N/A</v>
      </c>
      <c r="R3525" s="4" t="e">
        <f>IF(AND(B3525=1,N3525&gt;'Line Follower'!$C$7,SUM(C3525:K3525)&lt;4),1,0)</f>
        <v>#N/A</v>
      </c>
      <c r="S3525" s="4" t="e">
        <f>IF(AND(L3525=1,N3525&lt;'Line Follower'!$C$6,SUM(C3525:K3525)&lt;4),1,0)</f>
        <v>#N/A</v>
      </c>
      <c r="T3525" s="4" t="e">
        <f t="shared" si="277"/>
        <v>#N/A</v>
      </c>
      <c r="U3525" s="5" t="e">
        <f t="shared" si="278"/>
        <v>#N/A</v>
      </c>
      <c r="V3525" s="23" t="e">
        <f t="shared" si="279"/>
        <v>#N/A</v>
      </c>
    </row>
    <row r="3526" spans="2:22" x14ac:dyDescent="0.25">
      <c r="B3526" s="16">
        <v>1</v>
      </c>
      <c r="C3526" s="7">
        <v>1</v>
      </c>
      <c r="D3526" s="8">
        <v>0</v>
      </c>
      <c r="E3526" s="8">
        <v>0</v>
      </c>
      <c r="F3526" s="8">
        <v>0</v>
      </c>
      <c r="G3526" s="8">
        <v>0</v>
      </c>
      <c r="H3526" s="8">
        <v>1</v>
      </c>
      <c r="I3526" s="8">
        <v>1</v>
      </c>
      <c r="J3526" s="8">
        <v>1</v>
      </c>
      <c r="K3526" s="9">
        <v>0</v>
      </c>
      <c r="L3526" s="10">
        <v>1</v>
      </c>
      <c r="M3526" s="6">
        <v>1</v>
      </c>
      <c r="N3526" s="37" t="e" cm="1">
        <f t="array" ref="N3526">IF(OR(ISNUMBER(FIND(Aux!$D$3:$D$9,_xlfn.TEXTJOIN(,,C3526:K3526)))),NA(),IF(AND(SUM(C3526:F3526,H3526:K3526)=0,G3526=1),0,INT((SUMPRODUCT(C3526:F3526,COLUMN($A$1:$D$1)-1)+SUMPRODUCT(H3526:K3526,COLUMN($E$1:$H$1)-1))*'Line Follower'!$C$3/SUM(C3526:F3526,H3526:K3526)-'Line Follower'!$C$5)))</f>
        <v>#N/A</v>
      </c>
      <c r="O3526" s="22" t="e">
        <v>#N/A</v>
      </c>
      <c r="P3526" s="4" t="e">
        <f t="shared" si="275"/>
        <v>#N/A</v>
      </c>
      <c r="Q3526" s="4" t="e">
        <f t="shared" si="276"/>
        <v>#N/A</v>
      </c>
      <c r="R3526" s="4" t="e">
        <f>IF(AND(B3526=1,N3526&gt;'Line Follower'!$C$7,SUM(C3526:K3526)&lt;4),1,0)</f>
        <v>#N/A</v>
      </c>
      <c r="S3526" s="4" t="e">
        <f>IF(AND(L3526=1,N3526&lt;'Line Follower'!$C$6,SUM(C3526:K3526)&lt;4),1,0)</f>
        <v>#N/A</v>
      </c>
      <c r="T3526" s="4" t="e">
        <f t="shared" si="277"/>
        <v>#N/A</v>
      </c>
      <c r="U3526" s="5" t="e">
        <f t="shared" si="278"/>
        <v>#N/A</v>
      </c>
      <c r="V3526" s="23" t="e">
        <f t="shared" si="279"/>
        <v>#N/A</v>
      </c>
    </row>
    <row r="3527" spans="2:22" x14ac:dyDescent="0.25">
      <c r="B3527" s="16">
        <v>0</v>
      </c>
      <c r="C3527" s="7">
        <v>0</v>
      </c>
      <c r="D3527" s="8">
        <v>1</v>
      </c>
      <c r="E3527" s="8">
        <v>0</v>
      </c>
      <c r="F3527" s="8">
        <v>0</v>
      </c>
      <c r="G3527" s="8">
        <v>0</v>
      </c>
      <c r="H3527" s="8">
        <v>1</v>
      </c>
      <c r="I3527" s="8">
        <v>1</v>
      </c>
      <c r="J3527" s="8">
        <v>1</v>
      </c>
      <c r="K3527" s="9">
        <v>0</v>
      </c>
      <c r="L3527" s="10">
        <v>1</v>
      </c>
      <c r="M3527" s="6">
        <v>1</v>
      </c>
      <c r="N3527" s="37" t="e" cm="1">
        <f t="array" ref="N3527">IF(OR(ISNUMBER(FIND(Aux!$D$3:$D$9,_xlfn.TEXTJOIN(,,C3527:K3527)))),NA(),IF(AND(SUM(C3527:F3527,H3527:K3527)=0,G3527=1),0,INT((SUMPRODUCT(C3527:F3527,COLUMN($A$1:$D$1)-1)+SUMPRODUCT(H3527:K3527,COLUMN($E$1:$H$1)-1))*'Line Follower'!$C$3/SUM(C3527:F3527,H3527:K3527)-'Line Follower'!$C$5)))</f>
        <v>#N/A</v>
      </c>
      <c r="O3527" s="22" t="e">
        <v>#N/A</v>
      </c>
      <c r="P3527" s="4" t="e">
        <f t="shared" si="275"/>
        <v>#N/A</v>
      </c>
      <c r="Q3527" s="4" t="e">
        <f t="shared" si="276"/>
        <v>#N/A</v>
      </c>
      <c r="R3527" s="4" t="e">
        <f>IF(AND(B3527=1,N3527&gt;'Line Follower'!$C$7,SUM(C3527:K3527)&lt;4),1,0)</f>
        <v>#N/A</v>
      </c>
      <c r="S3527" s="4" t="e">
        <f>IF(AND(L3527=1,N3527&lt;'Line Follower'!$C$6,SUM(C3527:K3527)&lt;4),1,0)</f>
        <v>#N/A</v>
      </c>
      <c r="T3527" s="4" t="e">
        <f t="shared" si="277"/>
        <v>#N/A</v>
      </c>
      <c r="U3527" s="5" t="e">
        <f t="shared" si="278"/>
        <v>#N/A</v>
      </c>
      <c r="V3527" s="23" t="e">
        <f t="shared" si="279"/>
        <v>#N/A</v>
      </c>
    </row>
    <row r="3528" spans="2:22" x14ac:dyDescent="0.25">
      <c r="B3528" s="16">
        <v>1</v>
      </c>
      <c r="C3528" s="7">
        <v>0</v>
      </c>
      <c r="D3528" s="8">
        <v>1</v>
      </c>
      <c r="E3528" s="8">
        <v>0</v>
      </c>
      <c r="F3528" s="8">
        <v>0</v>
      </c>
      <c r="G3528" s="8">
        <v>0</v>
      </c>
      <c r="H3528" s="8">
        <v>1</v>
      </c>
      <c r="I3528" s="8">
        <v>1</v>
      </c>
      <c r="J3528" s="8">
        <v>1</v>
      </c>
      <c r="K3528" s="9">
        <v>0</v>
      </c>
      <c r="L3528" s="10">
        <v>1</v>
      </c>
      <c r="M3528" s="6">
        <v>1</v>
      </c>
      <c r="N3528" s="37" t="e" cm="1">
        <f t="array" ref="N3528">IF(OR(ISNUMBER(FIND(Aux!$D$3:$D$9,_xlfn.TEXTJOIN(,,C3528:K3528)))),NA(),IF(AND(SUM(C3528:F3528,H3528:K3528)=0,G3528=1),0,INT((SUMPRODUCT(C3528:F3528,COLUMN($A$1:$D$1)-1)+SUMPRODUCT(H3528:K3528,COLUMN($E$1:$H$1)-1))*'Line Follower'!$C$3/SUM(C3528:F3528,H3528:K3528)-'Line Follower'!$C$5)))</f>
        <v>#N/A</v>
      </c>
      <c r="O3528" s="22" t="e">
        <v>#N/A</v>
      </c>
      <c r="P3528" s="4" t="e">
        <f t="shared" si="275"/>
        <v>#N/A</v>
      </c>
      <c r="Q3528" s="4" t="e">
        <f t="shared" si="276"/>
        <v>#N/A</v>
      </c>
      <c r="R3528" s="4" t="e">
        <f>IF(AND(B3528=1,N3528&gt;'Line Follower'!$C$7,SUM(C3528:K3528)&lt;4),1,0)</f>
        <v>#N/A</v>
      </c>
      <c r="S3528" s="4" t="e">
        <f>IF(AND(L3528=1,N3528&lt;'Line Follower'!$C$6,SUM(C3528:K3528)&lt;4),1,0)</f>
        <v>#N/A</v>
      </c>
      <c r="T3528" s="4" t="e">
        <f t="shared" si="277"/>
        <v>#N/A</v>
      </c>
      <c r="U3528" s="5" t="e">
        <f t="shared" si="278"/>
        <v>#N/A</v>
      </c>
      <c r="V3528" s="23" t="e">
        <f t="shared" si="279"/>
        <v>#N/A</v>
      </c>
    </row>
    <row r="3529" spans="2:22" x14ac:dyDescent="0.25">
      <c r="B3529" s="16">
        <v>0</v>
      </c>
      <c r="C3529" s="7">
        <v>1</v>
      </c>
      <c r="D3529" s="8">
        <v>1</v>
      </c>
      <c r="E3529" s="8">
        <v>0</v>
      </c>
      <c r="F3529" s="8">
        <v>0</v>
      </c>
      <c r="G3529" s="8">
        <v>0</v>
      </c>
      <c r="H3529" s="8">
        <v>1</v>
      </c>
      <c r="I3529" s="8">
        <v>1</v>
      </c>
      <c r="J3529" s="8">
        <v>1</v>
      </c>
      <c r="K3529" s="9">
        <v>0</v>
      </c>
      <c r="L3529" s="10">
        <v>1</v>
      </c>
      <c r="M3529" s="6">
        <v>1</v>
      </c>
      <c r="N3529" s="37" t="e" cm="1">
        <f t="array" ref="N3529">IF(OR(ISNUMBER(FIND(Aux!$D$3:$D$9,_xlfn.TEXTJOIN(,,C3529:K3529)))),NA(),IF(AND(SUM(C3529:F3529,H3529:K3529)=0,G3529=1),0,INT((SUMPRODUCT(C3529:F3529,COLUMN($A$1:$D$1)-1)+SUMPRODUCT(H3529:K3529,COLUMN($E$1:$H$1)-1))*'Line Follower'!$C$3/SUM(C3529:F3529,H3529:K3529)-'Line Follower'!$C$5)))</f>
        <v>#N/A</v>
      </c>
      <c r="O3529" s="22" t="e">
        <v>#N/A</v>
      </c>
      <c r="P3529" s="4" t="e">
        <f t="shared" si="275"/>
        <v>#N/A</v>
      </c>
      <c r="Q3529" s="4" t="e">
        <f t="shared" si="276"/>
        <v>#N/A</v>
      </c>
      <c r="R3529" s="4" t="e">
        <f>IF(AND(B3529=1,N3529&gt;'Line Follower'!$C$7,SUM(C3529:K3529)&lt;4),1,0)</f>
        <v>#N/A</v>
      </c>
      <c r="S3529" s="4" t="e">
        <f>IF(AND(L3529=1,N3529&lt;'Line Follower'!$C$6,SUM(C3529:K3529)&lt;4),1,0)</f>
        <v>#N/A</v>
      </c>
      <c r="T3529" s="4" t="e">
        <f t="shared" si="277"/>
        <v>#N/A</v>
      </c>
      <c r="U3529" s="5" t="e">
        <f t="shared" si="278"/>
        <v>#N/A</v>
      </c>
      <c r="V3529" s="23" t="e">
        <f t="shared" si="279"/>
        <v>#N/A</v>
      </c>
    </row>
    <row r="3530" spans="2:22" x14ac:dyDescent="0.25">
      <c r="B3530" s="16">
        <v>1</v>
      </c>
      <c r="C3530" s="7">
        <v>1</v>
      </c>
      <c r="D3530" s="8">
        <v>1</v>
      </c>
      <c r="E3530" s="8">
        <v>0</v>
      </c>
      <c r="F3530" s="8">
        <v>0</v>
      </c>
      <c r="G3530" s="8">
        <v>0</v>
      </c>
      <c r="H3530" s="8">
        <v>1</v>
      </c>
      <c r="I3530" s="8">
        <v>1</v>
      </c>
      <c r="J3530" s="8">
        <v>1</v>
      </c>
      <c r="K3530" s="9">
        <v>0</v>
      </c>
      <c r="L3530" s="10">
        <v>1</v>
      </c>
      <c r="M3530" s="6">
        <v>1</v>
      </c>
      <c r="N3530" s="37" t="e" cm="1">
        <f t="array" ref="N3530">IF(OR(ISNUMBER(FIND(Aux!$D$3:$D$9,_xlfn.TEXTJOIN(,,C3530:K3530)))),NA(),IF(AND(SUM(C3530:F3530,H3530:K3530)=0,G3530=1),0,INT((SUMPRODUCT(C3530:F3530,COLUMN($A$1:$D$1)-1)+SUMPRODUCT(H3530:K3530,COLUMN($E$1:$H$1)-1))*'Line Follower'!$C$3/SUM(C3530:F3530,H3530:K3530)-'Line Follower'!$C$5)))</f>
        <v>#N/A</v>
      </c>
      <c r="O3530" s="22" t="e">
        <v>#N/A</v>
      </c>
      <c r="P3530" s="4" t="e">
        <f t="shared" si="275"/>
        <v>#N/A</v>
      </c>
      <c r="Q3530" s="4" t="e">
        <f t="shared" si="276"/>
        <v>#N/A</v>
      </c>
      <c r="R3530" s="4" t="e">
        <f>IF(AND(B3530=1,N3530&gt;'Line Follower'!$C$7,SUM(C3530:K3530)&lt;4),1,0)</f>
        <v>#N/A</v>
      </c>
      <c r="S3530" s="4" t="e">
        <f>IF(AND(L3530=1,N3530&lt;'Line Follower'!$C$6,SUM(C3530:K3530)&lt;4),1,0)</f>
        <v>#N/A</v>
      </c>
      <c r="T3530" s="4" t="e">
        <f t="shared" si="277"/>
        <v>#N/A</v>
      </c>
      <c r="U3530" s="5" t="e">
        <f t="shared" si="278"/>
        <v>#N/A</v>
      </c>
      <c r="V3530" s="23" t="e">
        <f t="shared" si="279"/>
        <v>#N/A</v>
      </c>
    </row>
    <row r="3531" spans="2:22" x14ac:dyDescent="0.25">
      <c r="B3531" s="16">
        <v>0</v>
      </c>
      <c r="C3531" s="7">
        <v>0</v>
      </c>
      <c r="D3531" s="8">
        <v>0</v>
      </c>
      <c r="E3531" s="8">
        <v>1</v>
      </c>
      <c r="F3531" s="8">
        <v>0</v>
      </c>
      <c r="G3531" s="8">
        <v>0</v>
      </c>
      <c r="H3531" s="8">
        <v>1</v>
      </c>
      <c r="I3531" s="8">
        <v>1</v>
      </c>
      <c r="J3531" s="8">
        <v>1</v>
      </c>
      <c r="K3531" s="9">
        <v>0</v>
      </c>
      <c r="L3531" s="10">
        <v>1</v>
      </c>
      <c r="M3531" s="6">
        <v>1</v>
      </c>
      <c r="N3531" s="37" t="e" cm="1">
        <f t="array" ref="N3531">IF(OR(ISNUMBER(FIND(Aux!$D$3:$D$9,_xlfn.TEXTJOIN(,,C3531:K3531)))),NA(),IF(AND(SUM(C3531:F3531,H3531:K3531)=0,G3531=1),0,INT((SUMPRODUCT(C3531:F3531,COLUMN($A$1:$D$1)-1)+SUMPRODUCT(H3531:K3531,COLUMN($E$1:$H$1)-1))*'Line Follower'!$C$3/SUM(C3531:F3531,H3531:K3531)-'Line Follower'!$C$5)))</f>
        <v>#N/A</v>
      </c>
      <c r="O3531" s="22" t="e">
        <v>#N/A</v>
      </c>
      <c r="P3531" s="4" t="e">
        <f t="shared" si="275"/>
        <v>#N/A</v>
      </c>
      <c r="Q3531" s="4" t="e">
        <f t="shared" si="276"/>
        <v>#N/A</v>
      </c>
      <c r="R3531" s="4" t="e">
        <f>IF(AND(B3531=1,N3531&gt;'Line Follower'!$C$7,SUM(C3531:K3531)&lt;4),1,0)</f>
        <v>#N/A</v>
      </c>
      <c r="S3531" s="4" t="e">
        <f>IF(AND(L3531=1,N3531&lt;'Line Follower'!$C$6,SUM(C3531:K3531)&lt;4),1,0)</f>
        <v>#N/A</v>
      </c>
      <c r="T3531" s="4" t="e">
        <f t="shared" si="277"/>
        <v>#N/A</v>
      </c>
      <c r="U3531" s="5" t="e">
        <f t="shared" si="278"/>
        <v>#N/A</v>
      </c>
      <c r="V3531" s="23" t="e">
        <f t="shared" si="279"/>
        <v>#N/A</v>
      </c>
    </row>
    <row r="3532" spans="2:22" x14ac:dyDescent="0.25">
      <c r="B3532" s="16">
        <v>1</v>
      </c>
      <c r="C3532" s="7">
        <v>0</v>
      </c>
      <c r="D3532" s="8">
        <v>0</v>
      </c>
      <c r="E3532" s="8">
        <v>1</v>
      </c>
      <c r="F3532" s="8">
        <v>0</v>
      </c>
      <c r="G3532" s="8">
        <v>0</v>
      </c>
      <c r="H3532" s="8">
        <v>1</v>
      </c>
      <c r="I3532" s="8">
        <v>1</v>
      </c>
      <c r="J3532" s="8">
        <v>1</v>
      </c>
      <c r="K3532" s="9">
        <v>0</v>
      </c>
      <c r="L3532" s="10">
        <v>1</v>
      </c>
      <c r="M3532" s="6">
        <v>1</v>
      </c>
      <c r="N3532" s="37" t="e" cm="1">
        <f t="array" ref="N3532">IF(OR(ISNUMBER(FIND(Aux!$D$3:$D$9,_xlfn.TEXTJOIN(,,C3532:K3532)))),NA(),IF(AND(SUM(C3532:F3532,H3532:K3532)=0,G3532=1),0,INT((SUMPRODUCT(C3532:F3532,COLUMN($A$1:$D$1)-1)+SUMPRODUCT(H3532:K3532,COLUMN($E$1:$H$1)-1))*'Line Follower'!$C$3/SUM(C3532:F3532,H3532:K3532)-'Line Follower'!$C$5)))</f>
        <v>#N/A</v>
      </c>
      <c r="O3532" s="22" t="e">
        <v>#N/A</v>
      </c>
      <c r="P3532" s="4" t="e">
        <f t="shared" si="275"/>
        <v>#N/A</v>
      </c>
      <c r="Q3532" s="4" t="e">
        <f t="shared" si="276"/>
        <v>#N/A</v>
      </c>
      <c r="R3532" s="4" t="e">
        <f>IF(AND(B3532=1,N3532&gt;'Line Follower'!$C$7,SUM(C3532:K3532)&lt;4),1,0)</f>
        <v>#N/A</v>
      </c>
      <c r="S3532" s="4" t="e">
        <f>IF(AND(L3532=1,N3532&lt;'Line Follower'!$C$6,SUM(C3532:K3532)&lt;4),1,0)</f>
        <v>#N/A</v>
      </c>
      <c r="T3532" s="4" t="e">
        <f t="shared" si="277"/>
        <v>#N/A</v>
      </c>
      <c r="U3532" s="5" t="e">
        <f t="shared" si="278"/>
        <v>#N/A</v>
      </c>
      <c r="V3532" s="23" t="e">
        <f t="shared" si="279"/>
        <v>#N/A</v>
      </c>
    </row>
    <row r="3533" spans="2:22" x14ac:dyDescent="0.25">
      <c r="B3533" s="16">
        <v>0</v>
      </c>
      <c r="C3533" s="7">
        <v>1</v>
      </c>
      <c r="D3533" s="8">
        <v>0</v>
      </c>
      <c r="E3533" s="8">
        <v>1</v>
      </c>
      <c r="F3533" s="8">
        <v>0</v>
      </c>
      <c r="G3533" s="8">
        <v>0</v>
      </c>
      <c r="H3533" s="8">
        <v>1</v>
      </c>
      <c r="I3533" s="8">
        <v>1</v>
      </c>
      <c r="J3533" s="8">
        <v>1</v>
      </c>
      <c r="K3533" s="9">
        <v>0</v>
      </c>
      <c r="L3533" s="10">
        <v>1</v>
      </c>
      <c r="M3533" s="6">
        <v>1</v>
      </c>
      <c r="N3533" s="37" t="e" cm="1">
        <f t="array" ref="N3533">IF(OR(ISNUMBER(FIND(Aux!$D$3:$D$9,_xlfn.TEXTJOIN(,,C3533:K3533)))),NA(),IF(AND(SUM(C3533:F3533,H3533:K3533)=0,G3533=1),0,INT((SUMPRODUCT(C3533:F3533,COLUMN($A$1:$D$1)-1)+SUMPRODUCT(H3533:K3533,COLUMN($E$1:$H$1)-1))*'Line Follower'!$C$3/SUM(C3533:F3533,H3533:K3533)-'Line Follower'!$C$5)))</f>
        <v>#N/A</v>
      </c>
      <c r="O3533" s="22" t="e">
        <v>#N/A</v>
      </c>
      <c r="P3533" s="4" t="e">
        <f t="shared" si="275"/>
        <v>#N/A</v>
      </c>
      <c r="Q3533" s="4" t="e">
        <f t="shared" si="276"/>
        <v>#N/A</v>
      </c>
      <c r="R3533" s="4" t="e">
        <f>IF(AND(B3533=1,N3533&gt;'Line Follower'!$C$7,SUM(C3533:K3533)&lt;4),1,0)</f>
        <v>#N/A</v>
      </c>
      <c r="S3533" s="4" t="e">
        <f>IF(AND(L3533=1,N3533&lt;'Line Follower'!$C$6,SUM(C3533:K3533)&lt;4),1,0)</f>
        <v>#N/A</v>
      </c>
      <c r="T3533" s="4" t="e">
        <f t="shared" si="277"/>
        <v>#N/A</v>
      </c>
      <c r="U3533" s="5" t="e">
        <f t="shared" si="278"/>
        <v>#N/A</v>
      </c>
      <c r="V3533" s="23" t="e">
        <f t="shared" si="279"/>
        <v>#N/A</v>
      </c>
    </row>
    <row r="3534" spans="2:22" x14ac:dyDescent="0.25">
      <c r="B3534" s="16">
        <v>1</v>
      </c>
      <c r="C3534" s="7">
        <v>1</v>
      </c>
      <c r="D3534" s="8">
        <v>0</v>
      </c>
      <c r="E3534" s="8">
        <v>1</v>
      </c>
      <c r="F3534" s="8">
        <v>0</v>
      </c>
      <c r="G3534" s="8">
        <v>0</v>
      </c>
      <c r="H3534" s="8">
        <v>1</v>
      </c>
      <c r="I3534" s="8">
        <v>1</v>
      </c>
      <c r="J3534" s="8">
        <v>1</v>
      </c>
      <c r="K3534" s="9">
        <v>0</v>
      </c>
      <c r="L3534" s="10">
        <v>1</v>
      </c>
      <c r="M3534" s="6">
        <v>1</v>
      </c>
      <c r="N3534" s="37" t="e" cm="1">
        <f t="array" ref="N3534">IF(OR(ISNUMBER(FIND(Aux!$D$3:$D$9,_xlfn.TEXTJOIN(,,C3534:K3534)))),NA(),IF(AND(SUM(C3534:F3534,H3534:K3534)=0,G3534=1),0,INT((SUMPRODUCT(C3534:F3534,COLUMN($A$1:$D$1)-1)+SUMPRODUCT(H3534:K3534,COLUMN($E$1:$H$1)-1))*'Line Follower'!$C$3/SUM(C3534:F3534,H3534:K3534)-'Line Follower'!$C$5)))</f>
        <v>#N/A</v>
      </c>
      <c r="O3534" s="22" t="e">
        <v>#N/A</v>
      </c>
      <c r="P3534" s="4" t="e">
        <f t="shared" si="275"/>
        <v>#N/A</v>
      </c>
      <c r="Q3534" s="4" t="e">
        <f t="shared" si="276"/>
        <v>#N/A</v>
      </c>
      <c r="R3534" s="4" t="e">
        <f>IF(AND(B3534=1,N3534&gt;'Line Follower'!$C$7,SUM(C3534:K3534)&lt;4),1,0)</f>
        <v>#N/A</v>
      </c>
      <c r="S3534" s="4" t="e">
        <f>IF(AND(L3534=1,N3534&lt;'Line Follower'!$C$6,SUM(C3534:K3534)&lt;4),1,0)</f>
        <v>#N/A</v>
      </c>
      <c r="T3534" s="4" t="e">
        <f t="shared" si="277"/>
        <v>#N/A</v>
      </c>
      <c r="U3534" s="5" t="e">
        <f t="shared" si="278"/>
        <v>#N/A</v>
      </c>
      <c r="V3534" s="23" t="e">
        <f t="shared" si="279"/>
        <v>#N/A</v>
      </c>
    </row>
    <row r="3535" spans="2:22" x14ac:dyDescent="0.25">
      <c r="B3535" s="16">
        <v>0</v>
      </c>
      <c r="C3535" s="7">
        <v>0</v>
      </c>
      <c r="D3535" s="8">
        <v>1</v>
      </c>
      <c r="E3535" s="8">
        <v>1</v>
      </c>
      <c r="F3535" s="8">
        <v>0</v>
      </c>
      <c r="G3535" s="8">
        <v>0</v>
      </c>
      <c r="H3535" s="8">
        <v>1</v>
      </c>
      <c r="I3535" s="8">
        <v>1</v>
      </c>
      <c r="J3535" s="8">
        <v>1</v>
      </c>
      <c r="K3535" s="9">
        <v>0</v>
      </c>
      <c r="L3535" s="10">
        <v>1</v>
      </c>
      <c r="M3535" s="6">
        <v>1</v>
      </c>
      <c r="N3535" s="37" t="e" cm="1">
        <f t="array" ref="N3535">IF(OR(ISNUMBER(FIND(Aux!$D$3:$D$9,_xlfn.TEXTJOIN(,,C3535:K3535)))),NA(),IF(AND(SUM(C3535:F3535,H3535:K3535)=0,G3535=1),0,INT((SUMPRODUCT(C3535:F3535,COLUMN($A$1:$D$1)-1)+SUMPRODUCT(H3535:K3535,COLUMN($E$1:$H$1)-1))*'Line Follower'!$C$3/SUM(C3535:F3535,H3535:K3535)-'Line Follower'!$C$5)))</f>
        <v>#N/A</v>
      </c>
      <c r="O3535" s="22" t="e">
        <v>#N/A</v>
      </c>
      <c r="P3535" s="4" t="e">
        <f t="shared" si="275"/>
        <v>#N/A</v>
      </c>
      <c r="Q3535" s="4" t="e">
        <f t="shared" si="276"/>
        <v>#N/A</v>
      </c>
      <c r="R3535" s="4" t="e">
        <f>IF(AND(B3535=1,N3535&gt;'Line Follower'!$C$7,SUM(C3535:K3535)&lt;4),1,0)</f>
        <v>#N/A</v>
      </c>
      <c r="S3535" s="4" t="e">
        <f>IF(AND(L3535=1,N3535&lt;'Line Follower'!$C$6,SUM(C3535:K3535)&lt;4),1,0)</f>
        <v>#N/A</v>
      </c>
      <c r="T3535" s="4" t="e">
        <f t="shared" si="277"/>
        <v>#N/A</v>
      </c>
      <c r="U3535" s="5" t="e">
        <f t="shared" si="278"/>
        <v>#N/A</v>
      </c>
      <c r="V3535" s="23" t="e">
        <f t="shared" si="279"/>
        <v>#N/A</v>
      </c>
    </row>
    <row r="3536" spans="2:22" x14ac:dyDescent="0.25">
      <c r="B3536" s="16">
        <v>1</v>
      </c>
      <c r="C3536" s="7">
        <v>0</v>
      </c>
      <c r="D3536" s="8">
        <v>1</v>
      </c>
      <c r="E3536" s="8">
        <v>1</v>
      </c>
      <c r="F3536" s="8">
        <v>0</v>
      </c>
      <c r="G3536" s="8">
        <v>0</v>
      </c>
      <c r="H3536" s="8">
        <v>1</v>
      </c>
      <c r="I3536" s="8">
        <v>1</v>
      </c>
      <c r="J3536" s="8">
        <v>1</v>
      </c>
      <c r="K3536" s="9">
        <v>0</v>
      </c>
      <c r="L3536" s="10">
        <v>1</v>
      </c>
      <c r="M3536" s="6">
        <v>1</v>
      </c>
      <c r="N3536" s="37" t="e" cm="1">
        <f t="array" ref="N3536">IF(OR(ISNUMBER(FIND(Aux!$D$3:$D$9,_xlfn.TEXTJOIN(,,C3536:K3536)))),NA(),IF(AND(SUM(C3536:F3536,H3536:K3536)=0,G3536=1),0,INT((SUMPRODUCT(C3536:F3536,COLUMN($A$1:$D$1)-1)+SUMPRODUCT(H3536:K3536,COLUMN($E$1:$H$1)-1))*'Line Follower'!$C$3/SUM(C3536:F3536,H3536:K3536)-'Line Follower'!$C$5)))</f>
        <v>#N/A</v>
      </c>
      <c r="O3536" s="22" t="e">
        <v>#N/A</v>
      </c>
      <c r="P3536" s="4" t="e">
        <f t="shared" si="275"/>
        <v>#N/A</v>
      </c>
      <c r="Q3536" s="4" t="e">
        <f t="shared" si="276"/>
        <v>#N/A</v>
      </c>
      <c r="R3536" s="4" t="e">
        <f>IF(AND(B3536=1,N3536&gt;'Line Follower'!$C$7,SUM(C3536:K3536)&lt;4),1,0)</f>
        <v>#N/A</v>
      </c>
      <c r="S3536" s="4" t="e">
        <f>IF(AND(L3536=1,N3536&lt;'Line Follower'!$C$6,SUM(C3536:K3536)&lt;4),1,0)</f>
        <v>#N/A</v>
      </c>
      <c r="T3536" s="4" t="e">
        <f t="shared" si="277"/>
        <v>#N/A</v>
      </c>
      <c r="U3536" s="5" t="e">
        <f t="shared" si="278"/>
        <v>#N/A</v>
      </c>
      <c r="V3536" s="23" t="e">
        <f t="shared" si="279"/>
        <v>#N/A</v>
      </c>
    </row>
    <row r="3537" spans="2:22" x14ac:dyDescent="0.25">
      <c r="B3537" s="16">
        <v>0</v>
      </c>
      <c r="C3537" s="7">
        <v>1</v>
      </c>
      <c r="D3537" s="8">
        <v>1</v>
      </c>
      <c r="E3537" s="8">
        <v>1</v>
      </c>
      <c r="F3537" s="8">
        <v>0</v>
      </c>
      <c r="G3537" s="8">
        <v>0</v>
      </c>
      <c r="H3537" s="8">
        <v>1</v>
      </c>
      <c r="I3537" s="8">
        <v>1</v>
      </c>
      <c r="J3537" s="8">
        <v>1</v>
      </c>
      <c r="K3537" s="9">
        <v>0</v>
      </c>
      <c r="L3537" s="10">
        <v>1</v>
      </c>
      <c r="M3537" s="6">
        <v>1</v>
      </c>
      <c r="N3537" s="37" t="e" cm="1">
        <f t="array" ref="N3537">IF(OR(ISNUMBER(FIND(Aux!$D$3:$D$9,_xlfn.TEXTJOIN(,,C3537:K3537)))),NA(),IF(AND(SUM(C3537:F3537,H3537:K3537)=0,G3537=1),0,INT((SUMPRODUCT(C3537:F3537,COLUMN($A$1:$D$1)-1)+SUMPRODUCT(H3537:K3537,COLUMN($E$1:$H$1)-1))*'Line Follower'!$C$3/SUM(C3537:F3537,H3537:K3537)-'Line Follower'!$C$5)))</f>
        <v>#N/A</v>
      </c>
      <c r="O3537" s="22" t="e">
        <v>#N/A</v>
      </c>
      <c r="P3537" s="4" t="e">
        <f t="shared" si="275"/>
        <v>#N/A</v>
      </c>
      <c r="Q3537" s="4" t="e">
        <f t="shared" si="276"/>
        <v>#N/A</v>
      </c>
      <c r="R3537" s="4" t="e">
        <f>IF(AND(B3537=1,N3537&gt;'Line Follower'!$C$7,SUM(C3537:K3537)&lt;4),1,0)</f>
        <v>#N/A</v>
      </c>
      <c r="S3537" s="4" t="e">
        <f>IF(AND(L3537=1,N3537&lt;'Line Follower'!$C$6,SUM(C3537:K3537)&lt;4),1,0)</f>
        <v>#N/A</v>
      </c>
      <c r="T3537" s="4" t="e">
        <f t="shared" si="277"/>
        <v>#N/A</v>
      </c>
      <c r="U3537" s="5" t="e">
        <f t="shared" si="278"/>
        <v>#N/A</v>
      </c>
      <c r="V3537" s="23" t="e">
        <f t="shared" si="279"/>
        <v>#N/A</v>
      </c>
    </row>
    <row r="3538" spans="2:22" x14ac:dyDescent="0.25">
      <c r="B3538" s="16">
        <v>1</v>
      </c>
      <c r="C3538" s="7">
        <v>1</v>
      </c>
      <c r="D3538" s="8">
        <v>1</v>
      </c>
      <c r="E3538" s="8">
        <v>1</v>
      </c>
      <c r="F3538" s="8">
        <v>0</v>
      </c>
      <c r="G3538" s="8">
        <v>0</v>
      </c>
      <c r="H3538" s="8">
        <v>1</v>
      </c>
      <c r="I3538" s="8">
        <v>1</v>
      </c>
      <c r="J3538" s="8">
        <v>1</v>
      </c>
      <c r="K3538" s="9">
        <v>0</v>
      </c>
      <c r="L3538" s="10">
        <v>1</v>
      </c>
      <c r="M3538" s="6">
        <v>1</v>
      </c>
      <c r="N3538" s="37" t="e" cm="1">
        <f t="array" ref="N3538">IF(OR(ISNUMBER(FIND(Aux!$D$3:$D$9,_xlfn.TEXTJOIN(,,C3538:K3538)))),NA(),IF(AND(SUM(C3538:F3538,H3538:K3538)=0,G3538=1),0,INT((SUMPRODUCT(C3538:F3538,COLUMN($A$1:$D$1)-1)+SUMPRODUCT(H3538:K3538,COLUMN($E$1:$H$1)-1))*'Line Follower'!$C$3/SUM(C3538:F3538,H3538:K3538)-'Line Follower'!$C$5)))</f>
        <v>#N/A</v>
      </c>
      <c r="O3538" s="22" t="e">
        <v>#N/A</v>
      </c>
      <c r="P3538" s="4" t="e">
        <f t="shared" si="275"/>
        <v>#N/A</v>
      </c>
      <c r="Q3538" s="4" t="e">
        <f t="shared" si="276"/>
        <v>#N/A</v>
      </c>
      <c r="R3538" s="4" t="e">
        <f>IF(AND(B3538=1,N3538&gt;'Line Follower'!$C$7,SUM(C3538:K3538)&lt;4),1,0)</f>
        <v>#N/A</v>
      </c>
      <c r="S3538" s="4" t="e">
        <f>IF(AND(L3538=1,N3538&lt;'Line Follower'!$C$6,SUM(C3538:K3538)&lt;4),1,0)</f>
        <v>#N/A</v>
      </c>
      <c r="T3538" s="4" t="e">
        <f t="shared" si="277"/>
        <v>#N/A</v>
      </c>
      <c r="U3538" s="5" t="e">
        <f t="shared" si="278"/>
        <v>#N/A</v>
      </c>
      <c r="V3538" s="23" t="e">
        <f t="shared" si="279"/>
        <v>#N/A</v>
      </c>
    </row>
    <row r="3539" spans="2:22" x14ac:dyDescent="0.25">
      <c r="B3539" s="16">
        <v>0</v>
      </c>
      <c r="C3539" s="7">
        <v>0</v>
      </c>
      <c r="D3539" s="8">
        <v>0</v>
      </c>
      <c r="E3539" s="8">
        <v>0</v>
      </c>
      <c r="F3539" s="8">
        <v>1</v>
      </c>
      <c r="G3539" s="8">
        <v>0</v>
      </c>
      <c r="H3539" s="8">
        <v>1</v>
      </c>
      <c r="I3539" s="8">
        <v>1</v>
      </c>
      <c r="J3539" s="8">
        <v>1</v>
      </c>
      <c r="K3539" s="9">
        <v>0</v>
      </c>
      <c r="L3539" s="10">
        <v>1</v>
      </c>
      <c r="M3539" s="6">
        <v>1</v>
      </c>
      <c r="N3539" s="37" t="e" cm="1">
        <f t="array" ref="N3539">IF(OR(ISNUMBER(FIND(Aux!$D$3:$D$9,_xlfn.TEXTJOIN(,,C3539:K3539)))),NA(),IF(AND(SUM(C3539:F3539,H3539:K3539)=0,G3539=1),0,INT((SUMPRODUCT(C3539:F3539,COLUMN($A$1:$D$1)-1)+SUMPRODUCT(H3539:K3539,COLUMN($E$1:$H$1)-1))*'Line Follower'!$C$3/SUM(C3539:F3539,H3539:K3539)-'Line Follower'!$C$5)))</f>
        <v>#N/A</v>
      </c>
      <c r="O3539" s="22" t="e">
        <v>#N/A</v>
      </c>
      <c r="P3539" s="4" t="e">
        <f t="shared" si="275"/>
        <v>#N/A</v>
      </c>
      <c r="Q3539" s="4" t="e">
        <f t="shared" si="276"/>
        <v>#N/A</v>
      </c>
      <c r="R3539" s="4" t="e">
        <f>IF(AND(B3539=1,N3539&gt;'Line Follower'!$C$7,SUM(C3539:K3539)&lt;4),1,0)</f>
        <v>#N/A</v>
      </c>
      <c r="S3539" s="4" t="e">
        <f>IF(AND(L3539=1,N3539&lt;'Line Follower'!$C$6,SUM(C3539:K3539)&lt;4),1,0)</f>
        <v>#N/A</v>
      </c>
      <c r="T3539" s="4" t="e">
        <f t="shared" si="277"/>
        <v>#N/A</v>
      </c>
      <c r="U3539" s="5" t="e">
        <f t="shared" si="278"/>
        <v>#N/A</v>
      </c>
      <c r="V3539" s="23" t="e">
        <f t="shared" si="279"/>
        <v>#N/A</v>
      </c>
    </row>
    <row r="3540" spans="2:22" x14ac:dyDescent="0.25">
      <c r="B3540" s="16">
        <v>1</v>
      </c>
      <c r="C3540" s="7">
        <v>0</v>
      </c>
      <c r="D3540" s="8">
        <v>0</v>
      </c>
      <c r="E3540" s="8">
        <v>0</v>
      </c>
      <c r="F3540" s="8">
        <v>1</v>
      </c>
      <c r="G3540" s="8">
        <v>0</v>
      </c>
      <c r="H3540" s="8">
        <v>1</v>
      </c>
      <c r="I3540" s="8">
        <v>1</v>
      </c>
      <c r="J3540" s="8">
        <v>1</v>
      </c>
      <c r="K3540" s="9">
        <v>0</v>
      </c>
      <c r="L3540" s="10">
        <v>1</v>
      </c>
      <c r="M3540" s="6">
        <v>1</v>
      </c>
      <c r="N3540" s="37" t="e" cm="1">
        <f t="array" ref="N3540">IF(OR(ISNUMBER(FIND(Aux!$D$3:$D$9,_xlfn.TEXTJOIN(,,C3540:K3540)))),NA(),IF(AND(SUM(C3540:F3540,H3540:K3540)=0,G3540=1),0,INT((SUMPRODUCT(C3540:F3540,COLUMN($A$1:$D$1)-1)+SUMPRODUCT(H3540:K3540,COLUMN($E$1:$H$1)-1))*'Line Follower'!$C$3/SUM(C3540:F3540,H3540:K3540)-'Line Follower'!$C$5)))</f>
        <v>#N/A</v>
      </c>
      <c r="O3540" s="22" t="e">
        <v>#N/A</v>
      </c>
      <c r="P3540" s="4" t="e">
        <f t="shared" si="275"/>
        <v>#N/A</v>
      </c>
      <c r="Q3540" s="4" t="e">
        <f t="shared" si="276"/>
        <v>#N/A</v>
      </c>
      <c r="R3540" s="4" t="e">
        <f>IF(AND(B3540=1,N3540&gt;'Line Follower'!$C$7,SUM(C3540:K3540)&lt;4),1,0)</f>
        <v>#N/A</v>
      </c>
      <c r="S3540" s="4" t="e">
        <f>IF(AND(L3540=1,N3540&lt;'Line Follower'!$C$6,SUM(C3540:K3540)&lt;4),1,0)</f>
        <v>#N/A</v>
      </c>
      <c r="T3540" s="4" t="e">
        <f t="shared" si="277"/>
        <v>#N/A</v>
      </c>
      <c r="U3540" s="5" t="e">
        <f t="shared" si="278"/>
        <v>#N/A</v>
      </c>
      <c r="V3540" s="23" t="e">
        <f t="shared" si="279"/>
        <v>#N/A</v>
      </c>
    </row>
    <row r="3541" spans="2:22" x14ac:dyDescent="0.25">
      <c r="B3541" s="16">
        <v>0</v>
      </c>
      <c r="C3541" s="7">
        <v>1</v>
      </c>
      <c r="D3541" s="8">
        <v>0</v>
      </c>
      <c r="E3541" s="8">
        <v>0</v>
      </c>
      <c r="F3541" s="8">
        <v>1</v>
      </c>
      <c r="G3541" s="8">
        <v>0</v>
      </c>
      <c r="H3541" s="8">
        <v>1</v>
      </c>
      <c r="I3541" s="8">
        <v>1</v>
      </c>
      <c r="J3541" s="8">
        <v>1</v>
      </c>
      <c r="K3541" s="9">
        <v>0</v>
      </c>
      <c r="L3541" s="10">
        <v>1</v>
      </c>
      <c r="M3541" s="6">
        <v>1</v>
      </c>
      <c r="N3541" s="37" t="e" cm="1">
        <f t="array" ref="N3541">IF(OR(ISNUMBER(FIND(Aux!$D$3:$D$9,_xlfn.TEXTJOIN(,,C3541:K3541)))),NA(),IF(AND(SUM(C3541:F3541,H3541:K3541)=0,G3541=1),0,INT((SUMPRODUCT(C3541:F3541,COLUMN($A$1:$D$1)-1)+SUMPRODUCT(H3541:K3541,COLUMN($E$1:$H$1)-1))*'Line Follower'!$C$3/SUM(C3541:F3541,H3541:K3541)-'Line Follower'!$C$5)))</f>
        <v>#N/A</v>
      </c>
      <c r="O3541" s="22" t="e">
        <v>#N/A</v>
      </c>
      <c r="P3541" s="4" t="e">
        <f t="shared" si="275"/>
        <v>#N/A</v>
      </c>
      <c r="Q3541" s="4" t="e">
        <f t="shared" si="276"/>
        <v>#N/A</v>
      </c>
      <c r="R3541" s="4" t="e">
        <f>IF(AND(B3541=1,N3541&gt;'Line Follower'!$C$7,SUM(C3541:K3541)&lt;4),1,0)</f>
        <v>#N/A</v>
      </c>
      <c r="S3541" s="4" t="e">
        <f>IF(AND(L3541=1,N3541&lt;'Line Follower'!$C$6,SUM(C3541:K3541)&lt;4),1,0)</f>
        <v>#N/A</v>
      </c>
      <c r="T3541" s="4" t="e">
        <f t="shared" si="277"/>
        <v>#N/A</v>
      </c>
      <c r="U3541" s="5" t="e">
        <f t="shared" si="278"/>
        <v>#N/A</v>
      </c>
      <c r="V3541" s="23" t="e">
        <f t="shared" si="279"/>
        <v>#N/A</v>
      </c>
    </row>
    <row r="3542" spans="2:22" x14ac:dyDescent="0.25">
      <c r="B3542" s="16">
        <v>1</v>
      </c>
      <c r="C3542" s="7">
        <v>1</v>
      </c>
      <c r="D3542" s="8">
        <v>0</v>
      </c>
      <c r="E3542" s="8">
        <v>0</v>
      </c>
      <c r="F3542" s="8">
        <v>1</v>
      </c>
      <c r="G3542" s="8">
        <v>0</v>
      </c>
      <c r="H3542" s="8">
        <v>1</v>
      </c>
      <c r="I3542" s="8">
        <v>1</v>
      </c>
      <c r="J3542" s="8">
        <v>1</v>
      </c>
      <c r="K3542" s="9">
        <v>0</v>
      </c>
      <c r="L3542" s="10">
        <v>1</v>
      </c>
      <c r="M3542" s="6">
        <v>1</v>
      </c>
      <c r="N3542" s="37" t="e" cm="1">
        <f t="array" ref="N3542">IF(OR(ISNUMBER(FIND(Aux!$D$3:$D$9,_xlfn.TEXTJOIN(,,C3542:K3542)))),NA(),IF(AND(SUM(C3542:F3542,H3542:K3542)=0,G3542=1),0,INT((SUMPRODUCT(C3542:F3542,COLUMN($A$1:$D$1)-1)+SUMPRODUCT(H3542:K3542,COLUMN($E$1:$H$1)-1))*'Line Follower'!$C$3/SUM(C3542:F3542,H3542:K3542)-'Line Follower'!$C$5)))</f>
        <v>#N/A</v>
      </c>
      <c r="O3542" s="22" t="e">
        <v>#N/A</v>
      </c>
      <c r="P3542" s="4" t="e">
        <f t="shared" si="275"/>
        <v>#N/A</v>
      </c>
      <c r="Q3542" s="4" t="e">
        <f t="shared" si="276"/>
        <v>#N/A</v>
      </c>
      <c r="R3542" s="4" t="e">
        <f>IF(AND(B3542=1,N3542&gt;'Line Follower'!$C$7,SUM(C3542:K3542)&lt;4),1,0)</f>
        <v>#N/A</v>
      </c>
      <c r="S3542" s="4" t="e">
        <f>IF(AND(L3542=1,N3542&lt;'Line Follower'!$C$6,SUM(C3542:K3542)&lt;4),1,0)</f>
        <v>#N/A</v>
      </c>
      <c r="T3542" s="4" t="e">
        <f t="shared" si="277"/>
        <v>#N/A</v>
      </c>
      <c r="U3542" s="5" t="e">
        <f t="shared" si="278"/>
        <v>#N/A</v>
      </c>
      <c r="V3542" s="23" t="e">
        <f t="shared" si="279"/>
        <v>#N/A</v>
      </c>
    </row>
    <row r="3543" spans="2:22" x14ac:dyDescent="0.25">
      <c r="B3543" s="16">
        <v>0</v>
      </c>
      <c r="C3543" s="7">
        <v>0</v>
      </c>
      <c r="D3543" s="8">
        <v>1</v>
      </c>
      <c r="E3543" s="8">
        <v>0</v>
      </c>
      <c r="F3543" s="8">
        <v>1</v>
      </c>
      <c r="G3543" s="8">
        <v>0</v>
      </c>
      <c r="H3543" s="8">
        <v>1</v>
      </c>
      <c r="I3543" s="8">
        <v>1</v>
      </c>
      <c r="J3543" s="8">
        <v>1</v>
      </c>
      <c r="K3543" s="9">
        <v>0</v>
      </c>
      <c r="L3543" s="10">
        <v>1</v>
      </c>
      <c r="M3543" s="6">
        <v>1</v>
      </c>
      <c r="N3543" s="37" t="e" cm="1">
        <f t="array" ref="N3543">IF(OR(ISNUMBER(FIND(Aux!$D$3:$D$9,_xlfn.TEXTJOIN(,,C3543:K3543)))),NA(),IF(AND(SUM(C3543:F3543,H3543:K3543)=0,G3543=1),0,INT((SUMPRODUCT(C3543:F3543,COLUMN($A$1:$D$1)-1)+SUMPRODUCT(H3543:K3543,COLUMN($E$1:$H$1)-1))*'Line Follower'!$C$3/SUM(C3543:F3543,H3543:K3543)-'Line Follower'!$C$5)))</f>
        <v>#N/A</v>
      </c>
      <c r="O3543" s="22" t="e">
        <v>#N/A</v>
      </c>
      <c r="P3543" s="4" t="e">
        <f t="shared" si="275"/>
        <v>#N/A</v>
      </c>
      <c r="Q3543" s="4" t="e">
        <f t="shared" si="276"/>
        <v>#N/A</v>
      </c>
      <c r="R3543" s="4" t="e">
        <f>IF(AND(B3543=1,N3543&gt;'Line Follower'!$C$7,SUM(C3543:K3543)&lt;4),1,0)</f>
        <v>#N/A</v>
      </c>
      <c r="S3543" s="4" t="e">
        <f>IF(AND(L3543=1,N3543&lt;'Line Follower'!$C$6,SUM(C3543:K3543)&lt;4),1,0)</f>
        <v>#N/A</v>
      </c>
      <c r="T3543" s="4" t="e">
        <f t="shared" si="277"/>
        <v>#N/A</v>
      </c>
      <c r="U3543" s="5" t="e">
        <f t="shared" si="278"/>
        <v>#N/A</v>
      </c>
      <c r="V3543" s="23" t="e">
        <f t="shared" si="279"/>
        <v>#N/A</v>
      </c>
    </row>
    <row r="3544" spans="2:22" x14ac:dyDescent="0.25">
      <c r="B3544" s="16">
        <v>1</v>
      </c>
      <c r="C3544" s="7">
        <v>0</v>
      </c>
      <c r="D3544" s="8">
        <v>1</v>
      </c>
      <c r="E3544" s="8">
        <v>0</v>
      </c>
      <c r="F3544" s="8">
        <v>1</v>
      </c>
      <c r="G3544" s="8">
        <v>0</v>
      </c>
      <c r="H3544" s="8">
        <v>1</v>
      </c>
      <c r="I3544" s="8">
        <v>1</v>
      </c>
      <c r="J3544" s="8">
        <v>1</v>
      </c>
      <c r="K3544" s="9">
        <v>0</v>
      </c>
      <c r="L3544" s="10">
        <v>1</v>
      </c>
      <c r="M3544" s="6">
        <v>1</v>
      </c>
      <c r="N3544" s="37" t="e" cm="1">
        <f t="array" ref="N3544">IF(OR(ISNUMBER(FIND(Aux!$D$3:$D$9,_xlfn.TEXTJOIN(,,C3544:K3544)))),NA(),IF(AND(SUM(C3544:F3544,H3544:K3544)=0,G3544=1),0,INT((SUMPRODUCT(C3544:F3544,COLUMN($A$1:$D$1)-1)+SUMPRODUCT(H3544:K3544,COLUMN($E$1:$H$1)-1))*'Line Follower'!$C$3/SUM(C3544:F3544,H3544:K3544)-'Line Follower'!$C$5)))</f>
        <v>#N/A</v>
      </c>
      <c r="O3544" s="22" t="e">
        <v>#N/A</v>
      </c>
      <c r="P3544" s="4" t="e">
        <f t="shared" si="275"/>
        <v>#N/A</v>
      </c>
      <c r="Q3544" s="4" t="e">
        <f t="shared" si="276"/>
        <v>#N/A</v>
      </c>
      <c r="R3544" s="4" t="e">
        <f>IF(AND(B3544=1,N3544&gt;'Line Follower'!$C$7,SUM(C3544:K3544)&lt;4),1,0)</f>
        <v>#N/A</v>
      </c>
      <c r="S3544" s="4" t="e">
        <f>IF(AND(L3544=1,N3544&lt;'Line Follower'!$C$6,SUM(C3544:K3544)&lt;4),1,0)</f>
        <v>#N/A</v>
      </c>
      <c r="T3544" s="4" t="e">
        <f t="shared" si="277"/>
        <v>#N/A</v>
      </c>
      <c r="U3544" s="5" t="e">
        <f t="shared" si="278"/>
        <v>#N/A</v>
      </c>
      <c r="V3544" s="23" t="e">
        <f t="shared" si="279"/>
        <v>#N/A</v>
      </c>
    </row>
    <row r="3545" spans="2:22" x14ac:dyDescent="0.25">
      <c r="B3545" s="16">
        <v>0</v>
      </c>
      <c r="C3545" s="7">
        <v>1</v>
      </c>
      <c r="D3545" s="8">
        <v>1</v>
      </c>
      <c r="E3545" s="8">
        <v>0</v>
      </c>
      <c r="F3545" s="8">
        <v>1</v>
      </c>
      <c r="G3545" s="8">
        <v>0</v>
      </c>
      <c r="H3545" s="8">
        <v>1</v>
      </c>
      <c r="I3545" s="8">
        <v>1</v>
      </c>
      <c r="J3545" s="8">
        <v>1</v>
      </c>
      <c r="K3545" s="9">
        <v>0</v>
      </c>
      <c r="L3545" s="10">
        <v>1</v>
      </c>
      <c r="M3545" s="6">
        <v>1</v>
      </c>
      <c r="N3545" s="37" t="e" cm="1">
        <f t="array" ref="N3545">IF(OR(ISNUMBER(FIND(Aux!$D$3:$D$9,_xlfn.TEXTJOIN(,,C3545:K3545)))),NA(),IF(AND(SUM(C3545:F3545,H3545:K3545)=0,G3545=1),0,INT((SUMPRODUCT(C3545:F3545,COLUMN($A$1:$D$1)-1)+SUMPRODUCT(H3545:K3545,COLUMN($E$1:$H$1)-1))*'Line Follower'!$C$3/SUM(C3545:F3545,H3545:K3545)-'Line Follower'!$C$5)))</f>
        <v>#N/A</v>
      </c>
      <c r="O3545" s="22" t="e">
        <v>#N/A</v>
      </c>
      <c r="P3545" s="4" t="e">
        <f t="shared" si="275"/>
        <v>#N/A</v>
      </c>
      <c r="Q3545" s="4" t="e">
        <f t="shared" si="276"/>
        <v>#N/A</v>
      </c>
      <c r="R3545" s="4" t="e">
        <f>IF(AND(B3545=1,N3545&gt;'Line Follower'!$C$7,SUM(C3545:K3545)&lt;4),1,0)</f>
        <v>#N/A</v>
      </c>
      <c r="S3545" s="4" t="e">
        <f>IF(AND(L3545=1,N3545&lt;'Line Follower'!$C$6,SUM(C3545:K3545)&lt;4),1,0)</f>
        <v>#N/A</v>
      </c>
      <c r="T3545" s="4" t="e">
        <f t="shared" si="277"/>
        <v>#N/A</v>
      </c>
      <c r="U3545" s="5" t="e">
        <f t="shared" si="278"/>
        <v>#N/A</v>
      </c>
      <c r="V3545" s="23" t="e">
        <f t="shared" si="279"/>
        <v>#N/A</v>
      </c>
    </row>
    <row r="3546" spans="2:22" x14ac:dyDescent="0.25">
      <c r="B3546" s="16">
        <v>1</v>
      </c>
      <c r="C3546" s="7">
        <v>1</v>
      </c>
      <c r="D3546" s="8">
        <v>1</v>
      </c>
      <c r="E3546" s="8">
        <v>0</v>
      </c>
      <c r="F3546" s="8">
        <v>1</v>
      </c>
      <c r="G3546" s="8">
        <v>0</v>
      </c>
      <c r="H3546" s="8">
        <v>1</v>
      </c>
      <c r="I3546" s="8">
        <v>1</v>
      </c>
      <c r="J3546" s="8">
        <v>1</v>
      </c>
      <c r="K3546" s="9">
        <v>0</v>
      </c>
      <c r="L3546" s="10">
        <v>1</v>
      </c>
      <c r="M3546" s="6">
        <v>1</v>
      </c>
      <c r="N3546" s="37" t="e" cm="1">
        <f t="array" ref="N3546">IF(OR(ISNUMBER(FIND(Aux!$D$3:$D$9,_xlfn.TEXTJOIN(,,C3546:K3546)))),NA(),IF(AND(SUM(C3546:F3546,H3546:K3546)=0,G3546=1),0,INT((SUMPRODUCT(C3546:F3546,COLUMN($A$1:$D$1)-1)+SUMPRODUCT(H3546:K3546,COLUMN($E$1:$H$1)-1))*'Line Follower'!$C$3/SUM(C3546:F3546,H3546:K3546)-'Line Follower'!$C$5)))</f>
        <v>#N/A</v>
      </c>
      <c r="O3546" s="22" t="e">
        <v>#N/A</v>
      </c>
      <c r="P3546" s="4" t="e">
        <f t="shared" si="275"/>
        <v>#N/A</v>
      </c>
      <c r="Q3546" s="4" t="e">
        <f t="shared" si="276"/>
        <v>#N/A</v>
      </c>
      <c r="R3546" s="4" t="e">
        <f>IF(AND(B3546=1,N3546&gt;'Line Follower'!$C$7,SUM(C3546:K3546)&lt;4),1,0)</f>
        <v>#N/A</v>
      </c>
      <c r="S3546" s="4" t="e">
        <f>IF(AND(L3546=1,N3546&lt;'Line Follower'!$C$6,SUM(C3546:K3546)&lt;4),1,0)</f>
        <v>#N/A</v>
      </c>
      <c r="T3546" s="4" t="e">
        <f t="shared" si="277"/>
        <v>#N/A</v>
      </c>
      <c r="U3546" s="5" t="e">
        <f t="shared" si="278"/>
        <v>#N/A</v>
      </c>
      <c r="V3546" s="23" t="e">
        <f t="shared" si="279"/>
        <v>#N/A</v>
      </c>
    </row>
    <row r="3547" spans="2:22" x14ac:dyDescent="0.25">
      <c r="B3547" s="16">
        <v>0</v>
      </c>
      <c r="C3547" s="7">
        <v>0</v>
      </c>
      <c r="D3547" s="8">
        <v>0</v>
      </c>
      <c r="E3547" s="8">
        <v>1</v>
      </c>
      <c r="F3547" s="8">
        <v>1</v>
      </c>
      <c r="G3547" s="8">
        <v>0</v>
      </c>
      <c r="H3547" s="8">
        <v>1</v>
      </c>
      <c r="I3547" s="8">
        <v>1</v>
      </c>
      <c r="J3547" s="8">
        <v>1</v>
      </c>
      <c r="K3547" s="9">
        <v>0</v>
      </c>
      <c r="L3547" s="10">
        <v>1</v>
      </c>
      <c r="M3547" s="6">
        <v>1</v>
      </c>
      <c r="N3547" s="37" t="e" cm="1">
        <f t="array" ref="N3547">IF(OR(ISNUMBER(FIND(Aux!$D$3:$D$9,_xlfn.TEXTJOIN(,,C3547:K3547)))),NA(),IF(AND(SUM(C3547:F3547,H3547:K3547)=0,G3547=1),0,INT((SUMPRODUCT(C3547:F3547,COLUMN($A$1:$D$1)-1)+SUMPRODUCT(H3547:K3547,COLUMN($E$1:$H$1)-1))*'Line Follower'!$C$3/SUM(C3547:F3547,H3547:K3547)-'Line Follower'!$C$5)))</f>
        <v>#N/A</v>
      </c>
      <c r="O3547" s="22" t="e">
        <v>#N/A</v>
      </c>
      <c r="P3547" s="4" t="e">
        <f t="shared" si="275"/>
        <v>#N/A</v>
      </c>
      <c r="Q3547" s="4" t="e">
        <f t="shared" si="276"/>
        <v>#N/A</v>
      </c>
      <c r="R3547" s="4" t="e">
        <f>IF(AND(B3547=1,N3547&gt;'Line Follower'!$C$7,SUM(C3547:K3547)&lt;4),1,0)</f>
        <v>#N/A</v>
      </c>
      <c r="S3547" s="4" t="e">
        <f>IF(AND(L3547=1,N3547&lt;'Line Follower'!$C$6,SUM(C3547:K3547)&lt;4),1,0)</f>
        <v>#N/A</v>
      </c>
      <c r="T3547" s="4" t="e">
        <f t="shared" si="277"/>
        <v>#N/A</v>
      </c>
      <c r="U3547" s="5" t="e">
        <f t="shared" si="278"/>
        <v>#N/A</v>
      </c>
      <c r="V3547" s="23" t="e">
        <f t="shared" si="279"/>
        <v>#N/A</v>
      </c>
    </row>
    <row r="3548" spans="2:22" x14ac:dyDescent="0.25">
      <c r="B3548" s="16">
        <v>1</v>
      </c>
      <c r="C3548" s="7">
        <v>0</v>
      </c>
      <c r="D3548" s="8">
        <v>0</v>
      </c>
      <c r="E3548" s="8">
        <v>1</v>
      </c>
      <c r="F3548" s="8">
        <v>1</v>
      </c>
      <c r="G3548" s="8">
        <v>0</v>
      </c>
      <c r="H3548" s="8">
        <v>1</v>
      </c>
      <c r="I3548" s="8">
        <v>1</v>
      </c>
      <c r="J3548" s="8">
        <v>1</v>
      </c>
      <c r="K3548" s="9">
        <v>0</v>
      </c>
      <c r="L3548" s="10">
        <v>1</v>
      </c>
      <c r="M3548" s="6">
        <v>1</v>
      </c>
      <c r="N3548" s="37" t="e" cm="1">
        <f t="array" ref="N3548">IF(OR(ISNUMBER(FIND(Aux!$D$3:$D$9,_xlfn.TEXTJOIN(,,C3548:K3548)))),NA(),IF(AND(SUM(C3548:F3548,H3548:K3548)=0,G3548=1),0,INT((SUMPRODUCT(C3548:F3548,COLUMN($A$1:$D$1)-1)+SUMPRODUCT(H3548:K3548,COLUMN($E$1:$H$1)-1))*'Line Follower'!$C$3/SUM(C3548:F3548,H3548:K3548)-'Line Follower'!$C$5)))</f>
        <v>#N/A</v>
      </c>
      <c r="O3548" s="22" t="e">
        <v>#N/A</v>
      </c>
      <c r="P3548" s="4" t="e">
        <f t="shared" si="275"/>
        <v>#N/A</v>
      </c>
      <c r="Q3548" s="4" t="e">
        <f t="shared" si="276"/>
        <v>#N/A</v>
      </c>
      <c r="R3548" s="4" t="e">
        <f>IF(AND(B3548=1,N3548&gt;'Line Follower'!$C$7,SUM(C3548:K3548)&lt;4),1,0)</f>
        <v>#N/A</v>
      </c>
      <c r="S3548" s="4" t="e">
        <f>IF(AND(L3548=1,N3548&lt;'Line Follower'!$C$6,SUM(C3548:K3548)&lt;4),1,0)</f>
        <v>#N/A</v>
      </c>
      <c r="T3548" s="4" t="e">
        <f t="shared" si="277"/>
        <v>#N/A</v>
      </c>
      <c r="U3548" s="5" t="e">
        <f t="shared" si="278"/>
        <v>#N/A</v>
      </c>
      <c r="V3548" s="23" t="e">
        <f t="shared" si="279"/>
        <v>#N/A</v>
      </c>
    </row>
    <row r="3549" spans="2:22" x14ac:dyDescent="0.25">
      <c r="B3549" s="16">
        <v>0</v>
      </c>
      <c r="C3549" s="7">
        <v>1</v>
      </c>
      <c r="D3549" s="8">
        <v>0</v>
      </c>
      <c r="E3549" s="8">
        <v>1</v>
      </c>
      <c r="F3549" s="8">
        <v>1</v>
      </c>
      <c r="G3549" s="8">
        <v>0</v>
      </c>
      <c r="H3549" s="8">
        <v>1</v>
      </c>
      <c r="I3549" s="8">
        <v>1</v>
      </c>
      <c r="J3549" s="8">
        <v>1</v>
      </c>
      <c r="K3549" s="9">
        <v>0</v>
      </c>
      <c r="L3549" s="10">
        <v>1</v>
      </c>
      <c r="M3549" s="6">
        <v>1</v>
      </c>
      <c r="N3549" s="37" t="e" cm="1">
        <f t="array" ref="N3549">IF(OR(ISNUMBER(FIND(Aux!$D$3:$D$9,_xlfn.TEXTJOIN(,,C3549:K3549)))),NA(),IF(AND(SUM(C3549:F3549,H3549:K3549)=0,G3549=1),0,INT((SUMPRODUCT(C3549:F3549,COLUMN($A$1:$D$1)-1)+SUMPRODUCT(H3549:K3549,COLUMN($E$1:$H$1)-1))*'Line Follower'!$C$3/SUM(C3549:F3549,H3549:K3549)-'Line Follower'!$C$5)))</f>
        <v>#N/A</v>
      </c>
      <c r="O3549" s="22" t="e">
        <v>#N/A</v>
      </c>
      <c r="P3549" s="4" t="e">
        <f t="shared" si="275"/>
        <v>#N/A</v>
      </c>
      <c r="Q3549" s="4" t="e">
        <f t="shared" si="276"/>
        <v>#N/A</v>
      </c>
      <c r="R3549" s="4" t="e">
        <f>IF(AND(B3549=1,N3549&gt;'Line Follower'!$C$7,SUM(C3549:K3549)&lt;4),1,0)</f>
        <v>#N/A</v>
      </c>
      <c r="S3549" s="4" t="e">
        <f>IF(AND(L3549=1,N3549&lt;'Line Follower'!$C$6,SUM(C3549:K3549)&lt;4),1,0)</f>
        <v>#N/A</v>
      </c>
      <c r="T3549" s="4" t="e">
        <f t="shared" si="277"/>
        <v>#N/A</v>
      </c>
      <c r="U3549" s="5" t="e">
        <f t="shared" si="278"/>
        <v>#N/A</v>
      </c>
      <c r="V3549" s="23" t="e">
        <f t="shared" si="279"/>
        <v>#N/A</v>
      </c>
    </row>
    <row r="3550" spans="2:22" x14ac:dyDescent="0.25">
      <c r="B3550" s="16">
        <v>1</v>
      </c>
      <c r="C3550" s="7">
        <v>1</v>
      </c>
      <c r="D3550" s="8">
        <v>0</v>
      </c>
      <c r="E3550" s="8">
        <v>1</v>
      </c>
      <c r="F3550" s="8">
        <v>1</v>
      </c>
      <c r="G3550" s="8">
        <v>0</v>
      </c>
      <c r="H3550" s="8">
        <v>1</v>
      </c>
      <c r="I3550" s="8">
        <v>1</v>
      </c>
      <c r="J3550" s="8">
        <v>1</v>
      </c>
      <c r="K3550" s="9">
        <v>0</v>
      </c>
      <c r="L3550" s="10">
        <v>1</v>
      </c>
      <c r="M3550" s="6">
        <v>1</v>
      </c>
      <c r="N3550" s="37" t="e" cm="1">
        <f t="array" ref="N3550">IF(OR(ISNUMBER(FIND(Aux!$D$3:$D$9,_xlfn.TEXTJOIN(,,C3550:K3550)))),NA(),IF(AND(SUM(C3550:F3550,H3550:K3550)=0,G3550=1),0,INT((SUMPRODUCT(C3550:F3550,COLUMN($A$1:$D$1)-1)+SUMPRODUCT(H3550:K3550,COLUMN($E$1:$H$1)-1))*'Line Follower'!$C$3/SUM(C3550:F3550,H3550:K3550)-'Line Follower'!$C$5)))</f>
        <v>#N/A</v>
      </c>
      <c r="O3550" s="22" t="e">
        <v>#N/A</v>
      </c>
      <c r="P3550" s="4" t="e">
        <f t="shared" si="275"/>
        <v>#N/A</v>
      </c>
      <c r="Q3550" s="4" t="e">
        <f t="shared" si="276"/>
        <v>#N/A</v>
      </c>
      <c r="R3550" s="4" t="e">
        <f>IF(AND(B3550=1,N3550&gt;'Line Follower'!$C$7,SUM(C3550:K3550)&lt;4),1,0)</f>
        <v>#N/A</v>
      </c>
      <c r="S3550" s="4" t="e">
        <f>IF(AND(L3550=1,N3550&lt;'Line Follower'!$C$6,SUM(C3550:K3550)&lt;4),1,0)</f>
        <v>#N/A</v>
      </c>
      <c r="T3550" s="4" t="e">
        <f t="shared" si="277"/>
        <v>#N/A</v>
      </c>
      <c r="U3550" s="5" t="e">
        <f t="shared" si="278"/>
        <v>#N/A</v>
      </c>
      <c r="V3550" s="23" t="e">
        <f t="shared" si="279"/>
        <v>#N/A</v>
      </c>
    </row>
    <row r="3551" spans="2:22" x14ac:dyDescent="0.25">
      <c r="B3551" s="16">
        <v>0</v>
      </c>
      <c r="C3551" s="7">
        <v>0</v>
      </c>
      <c r="D3551" s="8">
        <v>1</v>
      </c>
      <c r="E3551" s="8">
        <v>1</v>
      </c>
      <c r="F3551" s="8">
        <v>1</v>
      </c>
      <c r="G3551" s="8">
        <v>0</v>
      </c>
      <c r="H3551" s="8">
        <v>1</v>
      </c>
      <c r="I3551" s="8">
        <v>1</v>
      </c>
      <c r="J3551" s="8">
        <v>1</v>
      </c>
      <c r="K3551" s="9">
        <v>0</v>
      </c>
      <c r="L3551" s="10">
        <v>1</v>
      </c>
      <c r="M3551" s="6">
        <v>1</v>
      </c>
      <c r="N3551" s="37" t="e" cm="1">
        <f t="array" ref="N3551">IF(OR(ISNUMBER(FIND(Aux!$D$3:$D$9,_xlfn.TEXTJOIN(,,C3551:K3551)))),NA(),IF(AND(SUM(C3551:F3551,H3551:K3551)=0,G3551=1),0,INT((SUMPRODUCT(C3551:F3551,COLUMN($A$1:$D$1)-1)+SUMPRODUCT(H3551:K3551,COLUMN($E$1:$H$1)-1))*'Line Follower'!$C$3/SUM(C3551:F3551,H3551:K3551)-'Line Follower'!$C$5)))</f>
        <v>#N/A</v>
      </c>
      <c r="O3551" s="22" t="e">
        <v>#N/A</v>
      </c>
      <c r="P3551" s="4" t="e">
        <f t="shared" si="275"/>
        <v>#N/A</v>
      </c>
      <c r="Q3551" s="4" t="e">
        <f t="shared" si="276"/>
        <v>#N/A</v>
      </c>
      <c r="R3551" s="4" t="e">
        <f>IF(AND(B3551=1,N3551&gt;'Line Follower'!$C$7,SUM(C3551:K3551)&lt;4),1,0)</f>
        <v>#N/A</v>
      </c>
      <c r="S3551" s="4" t="e">
        <f>IF(AND(L3551=1,N3551&lt;'Line Follower'!$C$6,SUM(C3551:K3551)&lt;4),1,0)</f>
        <v>#N/A</v>
      </c>
      <c r="T3551" s="4" t="e">
        <f t="shared" si="277"/>
        <v>#N/A</v>
      </c>
      <c r="U3551" s="5" t="e">
        <f t="shared" si="278"/>
        <v>#N/A</v>
      </c>
      <c r="V3551" s="23" t="e">
        <f t="shared" si="279"/>
        <v>#N/A</v>
      </c>
    </row>
    <row r="3552" spans="2:22" x14ac:dyDescent="0.25">
      <c r="B3552" s="16">
        <v>1</v>
      </c>
      <c r="C3552" s="7">
        <v>0</v>
      </c>
      <c r="D3552" s="8">
        <v>1</v>
      </c>
      <c r="E3552" s="8">
        <v>1</v>
      </c>
      <c r="F3552" s="8">
        <v>1</v>
      </c>
      <c r="G3552" s="8">
        <v>0</v>
      </c>
      <c r="H3552" s="8">
        <v>1</v>
      </c>
      <c r="I3552" s="8">
        <v>1</v>
      </c>
      <c r="J3552" s="8">
        <v>1</v>
      </c>
      <c r="K3552" s="9">
        <v>0</v>
      </c>
      <c r="L3552" s="10">
        <v>1</v>
      </c>
      <c r="M3552" s="6">
        <v>1</v>
      </c>
      <c r="N3552" s="37" t="e" cm="1">
        <f t="array" ref="N3552">IF(OR(ISNUMBER(FIND(Aux!$D$3:$D$9,_xlfn.TEXTJOIN(,,C3552:K3552)))),NA(),IF(AND(SUM(C3552:F3552,H3552:K3552)=0,G3552=1),0,INT((SUMPRODUCT(C3552:F3552,COLUMN($A$1:$D$1)-1)+SUMPRODUCT(H3552:K3552,COLUMN($E$1:$H$1)-1))*'Line Follower'!$C$3/SUM(C3552:F3552,H3552:K3552)-'Line Follower'!$C$5)))</f>
        <v>#N/A</v>
      </c>
      <c r="O3552" s="22" t="e">
        <v>#N/A</v>
      </c>
      <c r="P3552" s="4" t="e">
        <f t="shared" si="275"/>
        <v>#N/A</v>
      </c>
      <c r="Q3552" s="4" t="e">
        <f t="shared" si="276"/>
        <v>#N/A</v>
      </c>
      <c r="R3552" s="4" t="e">
        <f>IF(AND(B3552=1,N3552&gt;'Line Follower'!$C$7,SUM(C3552:K3552)&lt;4),1,0)</f>
        <v>#N/A</v>
      </c>
      <c r="S3552" s="4" t="e">
        <f>IF(AND(L3552=1,N3552&lt;'Line Follower'!$C$6,SUM(C3552:K3552)&lt;4),1,0)</f>
        <v>#N/A</v>
      </c>
      <c r="T3552" s="4" t="e">
        <f t="shared" si="277"/>
        <v>#N/A</v>
      </c>
      <c r="U3552" s="5" t="e">
        <f t="shared" si="278"/>
        <v>#N/A</v>
      </c>
      <c r="V3552" s="23" t="e">
        <f t="shared" si="279"/>
        <v>#N/A</v>
      </c>
    </row>
    <row r="3553" spans="2:22" x14ac:dyDescent="0.25">
      <c r="B3553" s="16">
        <v>0</v>
      </c>
      <c r="C3553" s="7">
        <v>1</v>
      </c>
      <c r="D3553" s="8">
        <v>1</v>
      </c>
      <c r="E3553" s="8">
        <v>1</v>
      </c>
      <c r="F3553" s="8">
        <v>1</v>
      </c>
      <c r="G3553" s="8">
        <v>0</v>
      </c>
      <c r="H3553" s="8">
        <v>1</v>
      </c>
      <c r="I3553" s="8">
        <v>1</v>
      </c>
      <c r="J3553" s="8">
        <v>1</v>
      </c>
      <c r="K3553" s="9">
        <v>0</v>
      </c>
      <c r="L3553" s="10">
        <v>1</v>
      </c>
      <c r="M3553" s="6">
        <v>1</v>
      </c>
      <c r="N3553" s="37" t="e" cm="1">
        <f t="array" ref="N3553">IF(OR(ISNUMBER(FIND(Aux!$D$3:$D$9,_xlfn.TEXTJOIN(,,C3553:K3553)))),NA(),IF(AND(SUM(C3553:F3553,H3553:K3553)=0,G3553=1),0,INT((SUMPRODUCT(C3553:F3553,COLUMN($A$1:$D$1)-1)+SUMPRODUCT(H3553:K3553,COLUMN($E$1:$H$1)-1))*'Line Follower'!$C$3/SUM(C3553:F3553,H3553:K3553)-'Line Follower'!$C$5)))</f>
        <v>#N/A</v>
      </c>
      <c r="O3553" s="22" t="e">
        <v>#N/A</v>
      </c>
      <c r="P3553" s="4" t="e">
        <f t="shared" si="275"/>
        <v>#N/A</v>
      </c>
      <c r="Q3553" s="4" t="e">
        <f t="shared" si="276"/>
        <v>#N/A</v>
      </c>
      <c r="R3553" s="4" t="e">
        <f>IF(AND(B3553=1,N3553&gt;'Line Follower'!$C$7,SUM(C3553:K3553)&lt;4),1,0)</f>
        <v>#N/A</v>
      </c>
      <c r="S3553" s="4" t="e">
        <f>IF(AND(L3553=1,N3553&lt;'Line Follower'!$C$6,SUM(C3553:K3553)&lt;4),1,0)</f>
        <v>#N/A</v>
      </c>
      <c r="T3553" s="4" t="e">
        <f t="shared" si="277"/>
        <v>#N/A</v>
      </c>
      <c r="U3553" s="5" t="e">
        <f t="shared" si="278"/>
        <v>#N/A</v>
      </c>
      <c r="V3553" s="23" t="e">
        <f t="shared" si="279"/>
        <v>#N/A</v>
      </c>
    </row>
    <row r="3554" spans="2:22" x14ac:dyDescent="0.25">
      <c r="B3554" s="16">
        <v>1</v>
      </c>
      <c r="C3554" s="7">
        <v>1</v>
      </c>
      <c r="D3554" s="8">
        <v>1</v>
      </c>
      <c r="E3554" s="8">
        <v>1</v>
      </c>
      <c r="F3554" s="8">
        <v>1</v>
      </c>
      <c r="G3554" s="8">
        <v>0</v>
      </c>
      <c r="H3554" s="8">
        <v>1</v>
      </c>
      <c r="I3554" s="8">
        <v>1</v>
      </c>
      <c r="J3554" s="8">
        <v>1</v>
      </c>
      <c r="K3554" s="9">
        <v>0</v>
      </c>
      <c r="L3554" s="10">
        <v>1</v>
      </c>
      <c r="M3554" s="6">
        <v>1</v>
      </c>
      <c r="N3554" s="37" t="e" cm="1">
        <f t="array" ref="N3554">IF(OR(ISNUMBER(FIND(Aux!$D$3:$D$9,_xlfn.TEXTJOIN(,,C3554:K3554)))),NA(),IF(AND(SUM(C3554:F3554,H3554:K3554)=0,G3554=1),0,INT((SUMPRODUCT(C3554:F3554,COLUMN($A$1:$D$1)-1)+SUMPRODUCT(H3554:K3554,COLUMN($E$1:$H$1)-1))*'Line Follower'!$C$3/SUM(C3554:F3554,H3554:K3554)-'Line Follower'!$C$5)))</f>
        <v>#N/A</v>
      </c>
      <c r="O3554" s="22" t="e">
        <v>#N/A</v>
      </c>
      <c r="P3554" s="4" t="e">
        <f t="shared" si="275"/>
        <v>#N/A</v>
      </c>
      <c r="Q3554" s="4" t="e">
        <f t="shared" si="276"/>
        <v>#N/A</v>
      </c>
      <c r="R3554" s="4" t="e">
        <f>IF(AND(B3554=1,N3554&gt;'Line Follower'!$C$7,SUM(C3554:K3554)&lt;4),1,0)</f>
        <v>#N/A</v>
      </c>
      <c r="S3554" s="4" t="e">
        <f>IF(AND(L3554=1,N3554&lt;'Line Follower'!$C$6,SUM(C3554:K3554)&lt;4),1,0)</f>
        <v>#N/A</v>
      </c>
      <c r="T3554" s="4" t="e">
        <f t="shared" si="277"/>
        <v>#N/A</v>
      </c>
      <c r="U3554" s="5" t="e">
        <f t="shared" si="278"/>
        <v>#N/A</v>
      </c>
      <c r="V3554" s="23" t="e">
        <f t="shared" si="279"/>
        <v>#N/A</v>
      </c>
    </row>
    <row r="3555" spans="2:22" x14ac:dyDescent="0.25">
      <c r="B3555" s="16">
        <v>0</v>
      </c>
      <c r="C3555" s="7">
        <v>0</v>
      </c>
      <c r="D3555" s="8">
        <v>0</v>
      </c>
      <c r="E3555" s="8">
        <v>0</v>
      </c>
      <c r="F3555" s="8">
        <v>0</v>
      </c>
      <c r="G3555" s="8">
        <v>1</v>
      </c>
      <c r="H3555" s="8">
        <v>1</v>
      </c>
      <c r="I3555" s="8">
        <v>1</v>
      </c>
      <c r="J3555" s="8">
        <v>1</v>
      </c>
      <c r="K3555" s="9">
        <v>0</v>
      </c>
      <c r="L3555" s="10">
        <v>1</v>
      </c>
      <c r="M3555" s="6">
        <v>1</v>
      </c>
      <c r="N3555" s="37" cm="1">
        <f t="array" ref="N3555">IF(OR(ISNUMBER(FIND(Aux!$D$3:$D$9,_xlfn.TEXTJOIN(,,C3555:K3555)))),NA(),IF(AND(SUM(C3555:F3555,H3555:K3555)=0,G3555=1),0,INT((SUMPRODUCT(C3555:F3555,COLUMN($A$1:$D$1)-1)+SUMPRODUCT(H3555:K3555,COLUMN($E$1:$H$1)-1))*'Line Follower'!$C$3/SUM(C3555:F3555,H3555:K3555)-'Line Follower'!$C$5)))</f>
        <v>3</v>
      </c>
      <c r="O3555" s="22">
        <v>1</v>
      </c>
      <c r="P3555" s="4">
        <f t="shared" si="275"/>
        <v>0</v>
      </c>
      <c r="Q3555" s="4">
        <f t="shared" si="276"/>
        <v>1</v>
      </c>
      <c r="R3555" s="4">
        <f>IF(AND(B3555=1,N3555&gt;'Line Follower'!$C$7,SUM(C3555:K3555)&lt;4),1,0)</f>
        <v>0</v>
      </c>
      <c r="S3555" s="4">
        <f>IF(AND(L3555=1,N3555&lt;'Line Follower'!$C$6,SUM(C3555:K3555)&lt;4),1,0)</f>
        <v>0</v>
      </c>
      <c r="T3555" s="4">
        <f t="shared" si="277"/>
        <v>0</v>
      </c>
      <c r="U3555" s="5">
        <f t="shared" si="278"/>
        <v>0</v>
      </c>
      <c r="V3555" s="23">
        <f t="shared" si="279"/>
        <v>0</v>
      </c>
    </row>
    <row r="3556" spans="2:22" x14ac:dyDescent="0.25">
      <c r="B3556" s="16">
        <v>1</v>
      </c>
      <c r="C3556" s="7">
        <v>0</v>
      </c>
      <c r="D3556" s="8">
        <v>0</v>
      </c>
      <c r="E3556" s="8">
        <v>0</v>
      </c>
      <c r="F3556" s="8">
        <v>0</v>
      </c>
      <c r="G3556" s="8">
        <v>1</v>
      </c>
      <c r="H3556" s="8">
        <v>1</v>
      </c>
      <c r="I3556" s="8">
        <v>1</v>
      </c>
      <c r="J3556" s="8">
        <v>1</v>
      </c>
      <c r="K3556" s="9">
        <v>0</v>
      </c>
      <c r="L3556" s="10">
        <v>1</v>
      </c>
      <c r="M3556" s="6">
        <v>1</v>
      </c>
      <c r="N3556" s="37" cm="1">
        <f t="array" ref="N3556">IF(OR(ISNUMBER(FIND(Aux!$D$3:$D$9,_xlfn.TEXTJOIN(,,C3556:K3556)))),NA(),IF(AND(SUM(C3556:F3556,H3556:K3556)=0,G3556=1),0,INT((SUMPRODUCT(C3556:F3556,COLUMN($A$1:$D$1)-1)+SUMPRODUCT(H3556:K3556,COLUMN($E$1:$H$1)-1))*'Line Follower'!$C$3/SUM(C3556:F3556,H3556:K3556)-'Line Follower'!$C$5)))</f>
        <v>3</v>
      </c>
      <c r="O3556" s="22">
        <v>1</v>
      </c>
      <c r="P3556" s="4">
        <f t="shared" si="275"/>
        <v>0</v>
      </c>
      <c r="Q3556" s="4">
        <f t="shared" si="276"/>
        <v>1</v>
      </c>
      <c r="R3556" s="4">
        <f>IF(AND(B3556=1,N3556&gt;'Line Follower'!$C$7,SUM(C3556:K3556)&lt;4),1,0)</f>
        <v>0</v>
      </c>
      <c r="S3556" s="4">
        <f>IF(AND(L3556=1,N3556&lt;'Line Follower'!$C$6,SUM(C3556:K3556)&lt;4),1,0)</f>
        <v>0</v>
      </c>
      <c r="T3556" s="4">
        <f t="shared" si="277"/>
        <v>0</v>
      </c>
      <c r="U3556" s="5">
        <f t="shared" si="278"/>
        <v>0</v>
      </c>
      <c r="V3556" s="23">
        <f t="shared" si="279"/>
        <v>0</v>
      </c>
    </row>
    <row r="3557" spans="2:22" x14ac:dyDescent="0.25">
      <c r="B3557" s="16">
        <v>0</v>
      </c>
      <c r="C3557" s="7">
        <v>1</v>
      </c>
      <c r="D3557" s="8">
        <v>0</v>
      </c>
      <c r="E3557" s="8">
        <v>0</v>
      </c>
      <c r="F3557" s="8">
        <v>0</v>
      </c>
      <c r="G3557" s="8">
        <v>1</v>
      </c>
      <c r="H3557" s="8">
        <v>1</v>
      </c>
      <c r="I3557" s="8">
        <v>1</v>
      </c>
      <c r="J3557" s="8">
        <v>1</v>
      </c>
      <c r="K3557" s="9">
        <v>0</v>
      </c>
      <c r="L3557" s="10">
        <v>1</v>
      </c>
      <c r="M3557" s="6">
        <v>1</v>
      </c>
      <c r="N3557" s="37" t="e" cm="1">
        <f t="array" ref="N3557">IF(OR(ISNUMBER(FIND(Aux!$D$3:$D$9,_xlfn.TEXTJOIN(,,C3557:K3557)))),NA(),IF(AND(SUM(C3557:F3557,H3557:K3557)=0,G3557=1),0,INT((SUMPRODUCT(C3557:F3557,COLUMN($A$1:$D$1)-1)+SUMPRODUCT(H3557:K3557,COLUMN($E$1:$H$1)-1))*'Line Follower'!$C$3/SUM(C3557:F3557,H3557:K3557)-'Line Follower'!$C$5)))</f>
        <v>#N/A</v>
      </c>
      <c r="O3557" s="22" t="e">
        <v>#N/A</v>
      </c>
      <c r="P3557" s="4" t="e">
        <f t="shared" si="275"/>
        <v>#N/A</v>
      </c>
      <c r="Q3557" s="4" t="e">
        <f t="shared" si="276"/>
        <v>#N/A</v>
      </c>
      <c r="R3557" s="4" t="e">
        <f>IF(AND(B3557=1,N3557&gt;'Line Follower'!$C$7,SUM(C3557:K3557)&lt;4),1,0)</f>
        <v>#N/A</v>
      </c>
      <c r="S3557" s="4" t="e">
        <f>IF(AND(L3557=1,N3557&lt;'Line Follower'!$C$6,SUM(C3557:K3557)&lt;4),1,0)</f>
        <v>#N/A</v>
      </c>
      <c r="T3557" s="4" t="e">
        <f t="shared" si="277"/>
        <v>#N/A</v>
      </c>
      <c r="U3557" s="5" t="e">
        <f t="shared" si="278"/>
        <v>#N/A</v>
      </c>
      <c r="V3557" s="23" t="e">
        <f t="shared" si="279"/>
        <v>#N/A</v>
      </c>
    </row>
    <row r="3558" spans="2:22" x14ac:dyDescent="0.25">
      <c r="B3558" s="16">
        <v>1</v>
      </c>
      <c r="C3558" s="7">
        <v>1</v>
      </c>
      <c r="D3558" s="8">
        <v>0</v>
      </c>
      <c r="E3558" s="8">
        <v>0</v>
      </c>
      <c r="F3558" s="8">
        <v>0</v>
      </c>
      <c r="G3558" s="8">
        <v>1</v>
      </c>
      <c r="H3558" s="8">
        <v>1</v>
      </c>
      <c r="I3558" s="8">
        <v>1</v>
      </c>
      <c r="J3558" s="8">
        <v>1</v>
      </c>
      <c r="K3558" s="9">
        <v>0</v>
      </c>
      <c r="L3558" s="10">
        <v>1</v>
      </c>
      <c r="M3558" s="6">
        <v>1</v>
      </c>
      <c r="N3558" s="37" t="e" cm="1">
        <f t="array" ref="N3558">IF(OR(ISNUMBER(FIND(Aux!$D$3:$D$9,_xlfn.TEXTJOIN(,,C3558:K3558)))),NA(),IF(AND(SUM(C3558:F3558,H3558:K3558)=0,G3558=1),0,INT((SUMPRODUCT(C3558:F3558,COLUMN($A$1:$D$1)-1)+SUMPRODUCT(H3558:K3558,COLUMN($E$1:$H$1)-1))*'Line Follower'!$C$3/SUM(C3558:F3558,H3558:K3558)-'Line Follower'!$C$5)))</f>
        <v>#N/A</v>
      </c>
      <c r="O3558" s="22" t="e">
        <v>#N/A</v>
      </c>
      <c r="P3558" s="4" t="e">
        <f t="shared" si="275"/>
        <v>#N/A</v>
      </c>
      <c r="Q3558" s="4" t="e">
        <f t="shared" si="276"/>
        <v>#N/A</v>
      </c>
      <c r="R3558" s="4" t="e">
        <f>IF(AND(B3558=1,N3558&gt;'Line Follower'!$C$7,SUM(C3558:K3558)&lt;4),1,0)</f>
        <v>#N/A</v>
      </c>
      <c r="S3558" s="4" t="e">
        <f>IF(AND(L3558=1,N3558&lt;'Line Follower'!$C$6,SUM(C3558:K3558)&lt;4),1,0)</f>
        <v>#N/A</v>
      </c>
      <c r="T3558" s="4" t="e">
        <f t="shared" si="277"/>
        <v>#N/A</v>
      </c>
      <c r="U3558" s="5" t="e">
        <f t="shared" si="278"/>
        <v>#N/A</v>
      </c>
      <c r="V3558" s="23" t="e">
        <f t="shared" si="279"/>
        <v>#N/A</v>
      </c>
    </row>
    <row r="3559" spans="2:22" x14ac:dyDescent="0.25">
      <c r="B3559" s="16">
        <v>0</v>
      </c>
      <c r="C3559" s="7">
        <v>0</v>
      </c>
      <c r="D3559" s="8">
        <v>1</v>
      </c>
      <c r="E3559" s="8">
        <v>0</v>
      </c>
      <c r="F3559" s="8">
        <v>0</v>
      </c>
      <c r="G3559" s="8">
        <v>1</v>
      </c>
      <c r="H3559" s="8">
        <v>1</v>
      </c>
      <c r="I3559" s="8">
        <v>1</v>
      </c>
      <c r="J3559" s="8">
        <v>1</v>
      </c>
      <c r="K3559" s="9">
        <v>0</v>
      </c>
      <c r="L3559" s="10">
        <v>1</v>
      </c>
      <c r="M3559" s="6">
        <v>1</v>
      </c>
      <c r="N3559" s="37" t="e" cm="1">
        <f t="array" ref="N3559">IF(OR(ISNUMBER(FIND(Aux!$D$3:$D$9,_xlfn.TEXTJOIN(,,C3559:K3559)))),NA(),IF(AND(SUM(C3559:F3559,H3559:K3559)=0,G3559=1),0,INT((SUMPRODUCT(C3559:F3559,COLUMN($A$1:$D$1)-1)+SUMPRODUCT(H3559:K3559,COLUMN($E$1:$H$1)-1))*'Line Follower'!$C$3/SUM(C3559:F3559,H3559:K3559)-'Line Follower'!$C$5)))</f>
        <v>#N/A</v>
      </c>
      <c r="O3559" s="22" t="e">
        <v>#N/A</v>
      </c>
      <c r="P3559" s="4" t="e">
        <f t="shared" si="275"/>
        <v>#N/A</v>
      </c>
      <c r="Q3559" s="4" t="e">
        <f t="shared" si="276"/>
        <v>#N/A</v>
      </c>
      <c r="R3559" s="4" t="e">
        <f>IF(AND(B3559=1,N3559&gt;'Line Follower'!$C$7,SUM(C3559:K3559)&lt;4),1,0)</f>
        <v>#N/A</v>
      </c>
      <c r="S3559" s="4" t="e">
        <f>IF(AND(L3559=1,N3559&lt;'Line Follower'!$C$6,SUM(C3559:K3559)&lt;4),1,0)</f>
        <v>#N/A</v>
      </c>
      <c r="T3559" s="4" t="e">
        <f t="shared" si="277"/>
        <v>#N/A</v>
      </c>
      <c r="U3559" s="5" t="e">
        <f t="shared" si="278"/>
        <v>#N/A</v>
      </c>
      <c r="V3559" s="23" t="e">
        <f t="shared" si="279"/>
        <v>#N/A</v>
      </c>
    </row>
    <row r="3560" spans="2:22" x14ac:dyDescent="0.25">
      <c r="B3560" s="16">
        <v>1</v>
      </c>
      <c r="C3560" s="7">
        <v>0</v>
      </c>
      <c r="D3560" s="8">
        <v>1</v>
      </c>
      <c r="E3560" s="8">
        <v>0</v>
      </c>
      <c r="F3560" s="8">
        <v>0</v>
      </c>
      <c r="G3560" s="8">
        <v>1</v>
      </c>
      <c r="H3560" s="8">
        <v>1</v>
      </c>
      <c r="I3560" s="8">
        <v>1</v>
      </c>
      <c r="J3560" s="8">
        <v>1</v>
      </c>
      <c r="K3560" s="9">
        <v>0</v>
      </c>
      <c r="L3560" s="10">
        <v>1</v>
      </c>
      <c r="M3560" s="6">
        <v>1</v>
      </c>
      <c r="N3560" s="37" t="e" cm="1">
        <f t="array" ref="N3560">IF(OR(ISNUMBER(FIND(Aux!$D$3:$D$9,_xlfn.TEXTJOIN(,,C3560:K3560)))),NA(),IF(AND(SUM(C3560:F3560,H3560:K3560)=0,G3560=1),0,INT((SUMPRODUCT(C3560:F3560,COLUMN($A$1:$D$1)-1)+SUMPRODUCT(H3560:K3560,COLUMN($E$1:$H$1)-1))*'Line Follower'!$C$3/SUM(C3560:F3560,H3560:K3560)-'Line Follower'!$C$5)))</f>
        <v>#N/A</v>
      </c>
      <c r="O3560" s="22" t="e">
        <v>#N/A</v>
      </c>
      <c r="P3560" s="4" t="e">
        <f t="shared" si="275"/>
        <v>#N/A</v>
      </c>
      <c r="Q3560" s="4" t="e">
        <f t="shared" si="276"/>
        <v>#N/A</v>
      </c>
      <c r="R3560" s="4" t="e">
        <f>IF(AND(B3560=1,N3560&gt;'Line Follower'!$C$7,SUM(C3560:K3560)&lt;4),1,0)</f>
        <v>#N/A</v>
      </c>
      <c r="S3560" s="4" t="e">
        <f>IF(AND(L3560=1,N3560&lt;'Line Follower'!$C$6,SUM(C3560:K3560)&lt;4),1,0)</f>
        <v>#N/A</v>
      </c>
      <c r="T3560" s="4" t="e">
        <f t="shared" si="277"/>
        <v>#N/A</v>
      </c>
      <c r="U3560" s="5" t="e">
        <f t="shared" si="278"/>
        <v>#N/A</v>
      </c>
      <c r="V3560" s="23" t="e">
        <f t="shared" si="279"/>
        <v>#N/A</v>
      </c>
    </row>
    <row r="3561" spans="2:22" x14ac:dyDescent="0.25">
      <c r="B3561" s="16">
        <v>0</v>
      </c>
      <c r="C3561" s="7">
        <v>1</v>
      </c>
      <c r="D3561" s="8">
        <v>1</v>
      </c>
      <c r="E3561" s="8">
        <v>0</v>
      </c>
      <c r="F3561" s="8">
        <v>0</v>
      </c>
      <c r="G3561" s="8">
        <v>1</v>
      </c>
      <c r="H3561" s="8">
        <v>1</v>
      </c>
      <c r="I3561" s="8">
        <v>1</v>
      </c>
      <c r="J3561" s="8">
        <v>1</v>
      </c>
      <c r="K3561" s="9">
        <v>0</v>
      </c>
      <c r="L3561" s="10">
        <v>1</v>
      </c>
      <c r="M3561" s="6">
        <v>1</v>
      </c>
      <c r="N3561" s="37" t="e" cm="1">
        <f t="array" ref="N3561">IF(OR(ISNUMBER(FIND(Aux!$D$3:$D$9,_xlfn.TEXTJOIN(,,C3561:K3561)))),NA(),IF(AND(SUM(C3561:F3561,H3561:K3561)=0,G3561=1),0,INT((SUMPRODUCT(C3561:F3561,COLUMN($A$1:$D$1)-1)+SUMPRODUCT(H3561:K3561,COLUMN($E$1:$H$1)-1))*'Line Follower'!$C$3/SUM(C3561:F3561,H3561:K3561)-'Line Follower'!$C$5)))</f>
        <v>#N/A</v>
      </c>
      <c r="O3561" s="22" t="e">
        <v>#N/A</v>
      </c>
      <c r="P3561" s="4" t="e">
        <f t="shared" si="275"/>
        <v>#N/A</v>
      </c>
      <c r="Q3561" s="4" t="e">
        <f t="shared" si="276"/>
        <v>#N/A</v>
      </c>
      <c r="R3561" s="4" t="e">
        <f>IF(AND(B3561=1,N3561&gt;'Line Follower'!$C$7,SUM(C3561:K3561)&lt;4),1,0)</f>
        <v>#N/A</v>
      </c>
      <c r="S3561" s="4" t="e">
        <f>IF(AND(L3561=1,N3561&lt;'Line Follower'!$C$6,SUM(C3561:K3561)&lt;4),1,0)</f>
        <v>#N/A</v>
      </c>
      <c r="T3561" s="4" t="e">
        <f t="shared" si="277"/>
        <v>#N/A</v>
      </c>
      <c r="U3561" s="5" t="e">
        <f t="shared" si="278"/>
        <v>#N/A</v>
      </c>
      <c r="V3561" s="23" t="e">
        <f t="shared" si="279"/>
        <v>#N/A</v>
      </c>
    </row>
    <row r="3562" spans="2:22" x14ac:dyDescent="0.25">
      <c r="B3562" s="16">
        <v>1</v>
      </c>
      <c r="C3562" s="7">
        <v>1</v>
      </c>
      <c r="D3562" s="8">
        <v>1</v>
      </c>
      <c r="E3562" s="8">
        <v>0</v>
      </c>
      <c r="F3562" s="8">
        <v>0</v>
      </c>
      <c r="G3562" s="8">
        <v>1</v>
      </c>
      <c r="H3562" s="8">
        <v>1</v>
      </c>
      <c r="I3562" s="8">
        <v>1</v>
      </c>
      <c r="J3562" s="8">
        <v>1</v>
      </c>
      <c r="K3562" s="9">
        <v>0</v>
      </c>
      <c r="L3562" s="10">
        <v>1</v>
      </c>
      <c r="M3562" s="6">
        <v>1</v>
      </c>
      <c r="N3562" s="37" t="e" cm="1">
        <f t="array" ref="N3562">IF(OR(ISNUMBER(FIND(Aux!$D$3:$D$9,_xlfn.TEXTJOIN(,,C3562:K3562)))),NA(),IF(AND(SUM(C3562:F3562,H3562:K3562)=0,G3562=1),0,INT((SUMPRODUCT(C3562:F3562,COLUMN($A$1:$D$1)-1)+SUMPRODUCT(H3562:K3562,COLUMN($E$1:$H$1)-1))*'Line Follower'!$C$3/SUM(C3562:F3562,H3562:K3562)-'Line Follower'!$C$5)))</f>
        <v>#N/A</v>
      </c>
      <c r="O3562" s="22" t="e">
        <v>#N/A</v>
      </c>
      <c r="P3562" s="4" t="e">
        <f t="shared" si="275"/>
        <v>#N/A</v>
      </c>
      <c r="Q3562" s="4" t="e">
        <f t="shared" si="276"/>
        <v>#N/A</v>
      </c>
      <c r="R3562" s="4" t="e">
        <f>IF(AND(B3562=1,N3562&gt;'Line Follower'!$C$7,SUM(C3562:K3562)&lt;4),1,0)</f>
        <v>#N/A</v>
      </c>
      <c r="S3562" s="4" t="e">
        <f>IF(AND(L3562=1,N3562&lt;'Line Follower'!$C$6,SUM(C3562:K3562)&lt;4),1,0)</f>
        <v>#N/A</v>
      </c>
      <c r="T3562" s="4" t="e">
        <f t="shared" si="277"/>
        <v>#N/A</v>
      </c>
      <c r="U3562" s="5" t="e">
        <f t="shared" si="278"/>
        <v>#N/A</v>
      </c>
      <c r="V3562" s="23" t="e">
        <f t="shared" si="279"/>
        <v>#N/A</v>
      </c>
    </row>
    <row r="3563" spans="2:22" x14ac:dyDescent="0.25">
      <c r="B3563" s="16">
        <v>0</v>
      </c>
      <c r="C3563" s="7">
        <v>0</v>
      </c>
      <c r="D3563" s="8">
        <v>0</v>
      </c>
      <c r="E3563" s="8">
        <v>1</v>
      </c>
      <c r="F3563" s="8">
        <v>0</v>
      </c>
      <c r="G3563" s="8">
        <v>1</v>
      </c>
      <c r="H3563" s="8">
        <v>1</v>
      </c>
      <c r="I3563" s="8">
        <v>1</v>
      </c>
      <c r="J3563" s="8">
        <v>1</v>
      </c>
      <c r="K3563" s="9">
        <v>0</v>
      </c>
      <c r="L3563" s="10">
        <v>1</v>
      </c>
      <c r="M3563" s="6">
        <v>1</v>
      </c>
      <c r="N3563" s="37" t="e" cm="1">
        <f t="array" ref="N3563">IF(OR(ISNUMBER(FIND(Aux!$D$3:$D$9,_xlfn.TEXTJOIN(,,C3563:K3563)))),NA(),IF(AND(SUM(C3563:F3563,H3563:K3563)=0,G3563=1),0,INT((SUMPRODUCT(C3563:F3563,COLUMN($A$1:$D$1)-1)+SUMPRODUCT(H3563:K3563,COLUMN($E$1:$H$1)-1))*'Line Follower'!$C$3/SUM(C3563:F3563,H3563:K3563)-'Line Follower'!$C$5)))</f>
        <v>#N/A</v>
      </c>
      <c r="O3563" s="22" t="e">
        <v>#N/A</v>
      </c>
      <c r="P3563" s="4" t="e">
        <f t="shared" si="275"/>
        <v>#N/A</v>
      </c>
      <c r="Q3563" s="4" t="e">
        <f t="shared" si="276"/>
        <v>#N/A</v>
      </c>
      <c r="R3563" s="4" t="e">
        <f>IF(AND(B3563=1,N3563&gt;'Line Follower'!$C$7,SUM(C3563:K3563)&lt;4),1,0)</f>
        <v>#N/A</v>
      </c>
      <c r="S3563" s="4" t="e">
        <f>IF(AND(L3563=1,N3563&lt;'Line Follower'!$C$6,SUM(C3563:K3563)&lt;4),1,0)</f>
        <v>#N/A</v>
      </c>
      <c r="T3563" s="4" t="e">
        <f t="shared" si="277"/>
        <v>#N/A</v>
      </c>
      <c r="U3563" s="5" t="e">
        <f t="shared" si="278"/>
        <v>#N/A</v>
      </c>
      <c r="V3563" s="23" t="e">
        <f t="shared" si="279"/>
        <v>#N/A</v>
      </c>
    </row>
    <row r="3564" spans="2:22" x14ac:dyDescent="0.25">
      <c r="B3564" s="16">
        <v>1</v>
      </c>
      <c r="C3564" s="7">
        <v>0</v>
      </c>
      <c r="D3564" s="8">
        <v>0</v>
      </c>
      <c r="E3564" s="8">
        <v>1</v>
      </c>
      <c r="F3564" s="8">
        <v>0</v>
      </c>
      <c r="G3564" s="8">
        <v>1</v>
      </c>
      <c r="H3564" s="8">
        <v>1</v>
      </c>
      <c r="I3564" s="8">
        <v>1</v>
      </c>
      <c r="J3564" s="8">
        <v>1</v>
      </c>
      <c r="K3564" s="9">
        <v>0</v>
      </c>
      <c r="L3564" s="10">
        <v>1</v>
      </c>
      <c r="M3564" s="6">
        <v>1</v>
      </c>
      <c r="N3564" s="37" t="e" cm="1">
        <f t="array" ref="N3564">IF(OR(ISNUMBER(FIND(Aux!$D$3:$D$9,_xlfn.TEXTJOIN(,,C3564:K3564)))),NA(),IF(AND(SUM(C3564:F3564,H3564:K3564)=0,G3564=1),0,INT((SUMPRODUCT(C3564:F3564,COLUMN($A$1:$D$1)-1)+SUMPRODUCT(H3564:K3564,COLUMN($E$1:$H$1)-1))*'Line Follower'!$C$3/SUM(C3564:F3564,H3564:K3564)-'Line Follower'!$C$5)))</f>
        <v>#N/A</v>
      </c>
      <c r="O3564" s="22" t="e">
        <v>#N/A</v>
      </c>
      <c r="P3564" s="4" t="e">
        <f t="shared" si="275"/>
        <v>#N/A</v>
      </c>
      <c r="Q3564" s="4" t="e">
        <f t="shared" si="276"/>
        <v>#N/A</v>
      </c>
      <c r="R3564" s="4" t="e">
        <f>IF(AND(B3564=1,N3564&gt;'Line Follower'!$C$7,SUM(C3564:K3564)&lt;4),1,0)</f>
        <v>#N/A</v>
      </c>
      <c r="S3564" s="4" t="e">
        <f>IF(AND(L3564=1,N3564&lt;'Line Follower'!$C$6,SUM(C3564:K3564)&lt;4),1,0)</f>
        <v>#N/A</v>
      </c>
      <c r="T3564" s="4" t="e">
        <f t="shared" si="277"/>
        <v>#N/A</v>
      </c>
      <c r="U3564" s="5" t="e">
        <f t="shared" si="278"/>
        <v>#N/A</v>
      </c>
      <c r="V3564" s="23" t="e">
        <f t="shared" si="279"/>
        <v>#N/A</v>
      </c>
    </row>
    <row r="3565" spans="2:22" x14ac:dyDescent="0.25">
      <c r="B3565" s="16">
        <v>0</v>
      </c>
      <c r="C3565" s="7">
        <v>1</v>
      </c>
      <c r="D3565" s="8">
        <v>0</v>
      </c>
      <c r="E3565" s="8">
        <v>1</v>
      </c>
      <c r="F3565" s="8">
        <v>0</v>
      </c>
      <c r="G3565" s="8">
        <v>1</v>
      </c>
      <c r="H3565" s="8">
        <v>1</v>
      </c>
      <c r="I3565" s="8">
        <v>1</v>
      </c>
      <c r="J3565" s="8">
        <v>1</v>
      </c>
      <c r="K3565" s="9">
        <v>0</v>
      </c>
      <c r="L3565" s="10">
        <v>1</v>
      </c>
      <c r="M3565" s="6">
        <v>1</v>
      </c>
      <c r="N3565" s="37" t="e" cm="1">
        <f t="array" ref="N3565">IF(OR(ISNUMBER(FIND(Aux!$D$3:$D$9,_xlfn.TEXTJOIN(,,C3565:K3565)))),NA(),IF(AND(SUM(C3565:F3565,H3565:K3565)=0,G3565=1),0,INT((SUMPRODUCT(C3565:F3565,COLUMN($A$1:$D$1)-1)+SUMPRODUCT(H3565:K3565,COLUMN($E$1:$H$1)-1))*'Line Follower'!$C$3/SUM(C3565:F3565,H3565:K3565)-'Line Follower'!$C$5)))</f>
        <v>#N/A</v>
      </c>
      <c r="O3565" s="22" t="e">
        <v>#N/A</v>
      </c>
      <c r="P3565" s="4" t="e">
        <f t="shared" si="275"/>
        <v>#N/A</v>
      </c>
      <c r="Q3565" s="4" t="e">
        <f t="shared" si="276"/>
        <v>#N/A</v>
      </c>
      <c r="R3565" s="4" t="e">
        <f>IF(AND(B3565=1,N3565&gt;'Line Follower'!$C$7,SUM(C3565:K3565)&lt;4),1,0)</f>
        <v>#N/A</v>
      </c>
      <c r="S3565" s="4" t="e">
        <f>IF(AND(L3565=1,N3565&lt;'Line Follower'!$C$6,SUM(C3565:K3565)&lt;4),1,0)</f>
        <v>#N/A</v>
      </c>
      <c r="T3565" s="4" t="e">
        <f t="shared" si="277"/>
        <v>#N/A</v>
      </c>
      <c r="U3565" s="5" t="e">
        <f t="shared" si="278"/>
        <v>#N/A</v>
      </c>
      <c r="V3565" s="23" t="e">
        <f t="shared" si="279"/>
        <v>#N/A</v>
      </c>
    </row>
    <row r="3566" spans="2:22" x14ac:dyDescent="0.25">
      <c r="B3566" s="16">
        <v>1</v>
      </c>
      <c r="C3566" s="7">
        <v>1</v>
      </c>
      <c r="D3566" s="8">
        <v>0</v>
      </c>
      <c r="E3566" s="8">
        <v>1</v>
      </c>
      <c r="F3566" s="8">
        <v>0</v>
      </c>
      <c r="G3566" s="8">
        <v>1</v>
      </c>
      <c r="H3566" s="8">
        <v>1</v>
      </c>
      <c r="I3566" s="8">
        <v>1</v>
      </c>
      <c r="J3566" s="8">
        <v>1</v>
      </c>
      <c r="K3566" s="9">
        <v>0</v>
      </c>
      <c r="L3566" s="10">
        <v>1</v>
      </c>
      <c r="M3566" s="6">
        <v>1</v>
      </c>
      <c r="N3566" s="37" t="e" cm="1">
        <f t="array" ref="N3566">IF(OR(ISNUMBER(FIND(Aux!$D$3:$D$9,_xlfn.TEXTJOIN(,,C3566:K3566)))),NA(),IF(AND(SUM(C3566:F3566,H3566:K3566)=0,G3566=1),0,INT((SUMPRODUCT(C3566:F3566,COLUMN($A$1:$D$1)-1)+SUMPRODUCT(H3566:K3566,COLUMN($E$1:$H$1)-1))*'Line Follower'!$C$3/SUM(C3566:F3566,H3566:K3566)-'Line Follower'!$C$5)))</f>
        <v>#N/A</v>
      </c>
      <c r="O3566" s="22" t="e">
        <v>#N/A</v>
      </c>
      <c r="P3566" s="4" t="e">
        <f t="shared" si="275"/>
        <v>#N/A</v>
      </c>
      <c r="Q3566" s="4" t="e">
        <f t="shared" si="276"/>
        <v>#N/A</v>
      </c>
      <c r="R3566" s="4" t="e">
        <f>IF(AND(B3566=1,N3566&gt;'Line Follower'!$C$7,SUM(C3566:K3566)&lt;4),1,0)</f>
        <v>#N/A</v>
      </c>
      <c r="S3566" s="4" t="e">
        <f>IF(AND(L3566=1,N3566&lt;'Line Follower'!$C$6,SUM(C3566:K3566)&lt;4),1,0)</f>
        <v>#N/A</v>
      </c>
      <c r="T3566" s="4" t="e">
        <f t="shared" si="277"/>
        <v>#N/A</v>
      </c>
      <c r="U3566" s="5" t="e">
        <f t="shared" si="278"/>
        <v>#N/A</v>
      </c>
      <c r="V3566" s="23" t="e">
        <f t="shared" si="279"/>
        <v>#N/A</v>
      </c>
    </row>
    <row r="3567" spans="2:22" x14ac:dyDescent="0.25">
      <c r="B3567" s="16">
        <v>0</v>
      </c>
      <c r="C3567" s="7">
        <v>0</v>
      </c>
      <c r="D3567" s="8">
        <v>1</v>
      </c>
      <c r="E3567" s="8">
        <v>1</v>
      </c>
      <c r="F3567" s="8">
        <v>0</v>
      </c>
      <c r="G3567" s="8">
        <v>1</v>
      </c>
      <c r="H3567" s="8">
        <v>1</v>
      </c>
      <c r="I3567" s="8">
        <v>1</v>
      </c>
      <c r="J3567" s="8">
        <v>1</v>
      </c>
      <c r="K3567" s="9">
        <v>0</v>
      </c>
      <c r="L3567" s="10">
        <v>1</v>
      </c>
      <c r="M3567" s="6">
        <v>1</v>
      </c>
      <c r="N3567" s="37" t="e" cm="1">
        <f t="array" ref="N3567">IF(OR(ISNUMBER(FIND(Aux!$D$3:$D$9,_xlfn.TEXTJOIN(,,C3567:K3567)))),NA(),IF(AND(SUM(C3567:F3567,H3567:K3567)=0,G3567=1),0,INT((SUMPRODUCT(C3567:F3567,COLUMN($A$1:$D$1)-1)+SUMPRODUCT(H3567:K3567,COLUMN($E$1:$H$1)-1))*'Line Follower'!$C$3/SUM(C3567:F3567,H3567:K3567)-'Line Follower'!$C$5)))</f>
        <v>#N/A</v>
      </c>
      <c r="O3567" s="22" t="e">
        <v>#N/A</v>
      </c>
      <c r="P3567" s="4" t="e">
        <f t="shared" si="275"/>
        <v>#N/A</v>
      </c>
      <c r="Q3567" s="4" t="e">
        <f t="shared" si="276"/>
        <v>#N/A</v>
      </c>
      <c r="R3567" s="4" t="e">
        <f>IF(AND(B3567=1,N3567&gt;'Line Follower'!$C$7,SUM(C3567:K3567)&lt;4),1,0)</f>
        <v>#N/A</v>
      </c>
      <c r="S3567" s="4" t="e">
        <f>IF(AND(L3567=1,N3567&lt;'Line Follower'!$C$6,SUM(C3567:K3567)&lt;4),1,0)</f>
        <v>#N/A</v>
      </c>
      <c r="T3567" s="4" t="e">
        <f t="shared" si="277"/>
        <v>#N/A</v>
      </c>
      <c r="U3567" s="5" t="e">
        <f t="shared" si="278"/>
        <v>#N/A</v>
      </c>
      <c r="V3567" s="23" t="e">
        <f t="shared" si="279"/>
        <v>#N/A</v>
      </c>
    </row>
    <row r="3568" spans="2:22" x14ac:dyDescent="0.25">
      <c r="B3568" s="16">
        <v>1</v>
      </c>
      <c r="C3568" s="7">
        <v>0</v>
      </c>
      <c r="D3568" s="8">
        <v>1</v>
      </c>
      <c r="E3568" s="8">
        <v>1</v>
      </c>
      <c r="F3568" s="8">
        <v>0</v>
      </c>
      <c r="G3568" s="8">
        <v>1</v>
      </c>
      <c r="H3568" s="8">
        <v>1</v>
      </c>
      <c r="I3568" s="8">
        <v>1</v>
      </c>
      <c r="J3568" s="8">
        <v>1</v>
      </c>
      <c r="K3568" s="9">
        <v>0</v>
      </c>
      <c r="L3568" s="10">
        <v>1</v>
      </c>
      <c r="M3568" s="6">
        <v>1</v>
      </c>
      <c r="N3568" s="37" t="e" cm="1">
        <f t="array" ref="N3568">IF(OR(ISNUMBER(FIND(Aux!$D$3:$D$9,_xlfn.TEXTJOIN(,,C3568:K3568)))),NA(),IF(AND(SUM(C3568:F3568,H3568:K3568)=0,G3568=1),0,INT((SUMPRODUCT(C3568:F3568,COLUMN($A$1:$D$1)-1)+SUMPRODUCT(H3568:K3568,COLUMN($E$1:$H$1)-1))*'Line Follower'!$C$3/SUM(C3568:F3568,H3568:K3568)-'Line Follower'!$C$5)))</f>
        <v>#N/A</v>
      </c>
      <c r="O3568" s="22" t="e">
        <v>#N/A</v>
      </c>
      <c r="P3568" s="4" t="e">
        <f t="shared" si="275"/>
        <v>#N/A</v>
      </c>
      <c r="Q3568" s="4" t="e">
        <f t="shared" si="276"/>
        <v>#N/A</v>
      </c>
      <c r="R3568" s="4" t="e">
        <f>IF(AND(B3568=1,N3568&gt;'Line Follower'!$C$7,SUM(C3568:K3568)&lt;4),1,0)</f>
        <v>#N/A</v>
      </c>
      <c r="S3568" s="4" t="e">
        <f>IF(AND(L3568=1,N3568&lt;'Line Follower'!$C$6,SUM(C3568:K3568)&lt;4),1,0)</f>
        <v>#N/A</v>
      </c>
      <c r="T3568" s="4" t="e">
        <f t="shared" si="277"/>
        <v>#N/A</v>
      </c>
      <c r="U3568" s="5" t="e">
        <f t="shared" si="278"/>
        <v>#N/A</v>
      </c>
      <c r="V3568" s="23" t="e">
        <f t="shared" si="279"/>
        <v>#N/A</v>
      </c>
    </row>
    <row r="3569" spans="2:22" x14ac:dyDescent="0.25">
      <c r="B3569" s="16">
        <v>0</v>
      </c>
      <c r="C3569" s="7">
        <v>1</v>
      </c>
      <c r="D3569" s="8">
        <v>1</v>
      </c>
      <c r="E3569" s="8">
        <v>1</v>
      </c>
      <c r="F3569" s="8">
        <v>0</v>
      </c>
      <c r="G3569" s="8">
        <v>1</v>
      </c>
      <c r="H3569" s="8">
        <v>1</v>
      </c>
      <c r="I3569" s="8">
        <v>1</v>
      </c>
      <c r="J3569" s="8">
        <v>1</v>
      </c>
      <c r="K3569" s="9">
        <v>0</v>
      </c>
      <c r="L3569" s="10">
        <v>1</v>
      </c>
      <c r="M3569" s="6">
        <v>1</v>
      </c>
      <c r="N3569" s="37" t="e" cm="1">
        <f t="array" ref="N3569">IF(OR(ISNUMBER(FIND(Aux!$D$3:$D$9,_xlfn.TEXTJOIN(,,C3569:K3569)))),NA(),IF(AND(SUM(C3569:F3569,H3569:K3569)=0,G3569=1),0,INT((SUMPRODUCT(C3569:F3569,COLUMN($A$1:$D$1)-1)+SUMPRODUCT(H3569:K3569,COLUMN($E$1:$H$1)-1))*'Line Follower'!$C$3/SUM(C3569:F3569,H3569:K3569)-'Line Follower'!$C$5)))</f>
        <v>#N/A</v>
      </c>
      <c r="O3569" s="22" t="e">
        <v>#N/A</v>
      </c>
      <c r="P3569" s="4" t="e">
        <f t="shared" si="275"/>
        <v>#N/A</v>
      </c>
      <c r="Q3569" s="4" t="e">
        <f t="shared" si="276"/>
        <v>#N/A</v>
      </c>
      <c r="R3569" s="4" t="e">
        <f>IF(AND(B3569=1,N3569&gt;'Line Follower'!$C$7,SUM(C3569:K3569)&lt;4),1,0)</f>
        <v>#N/A</v>
      </c>
      <c r="S3569" s="4" t="e">
        <f>IF(AND(L3569=1,N3569&lt;'Line Follower'!$C$6,SUM(C3569:K3569)&lt;4),1,0)</f>
        <v>#N/A</v>
      </c>
      <c r="T3569" s="4" t="e">
        <f t="shared" si="277"/>
        <v>#N/A</v>
      </c>
      <c r="U3569" s="5" t="e">
        <f t="shared" si="278"/>
        <v>#N/A</v>
      </c>
      <c r="V3569" s="23" t="e">
        <f t="shared" si="279"/>
        <v>#N/A</v>
      </c>
    </row>
    <row r="3570" spans="2:22" x14ac:dyDescent="0.25">
      <c r="B3570" s="16">
        <v>1</v>
      </c>
      <c r="C3570" s="7">
        <v>1</v>
      </c>
      <c r="D3570" s="8">
        <v>1</v>
      </c>
      <c r="E3570" s="8">
        <v>1</v>
      </c>
      <c r="F3570" s="8">
        <v>0</v>
      </c>
      <c r="G3570" s="8">
        <v>1</v>
      </c>
      <c r="H3570" s="8">
        <v>1</v>
      </c>
      <c r="I3570" s="8">
        <v>1</v>
      </c>
      <c r="J3570" s="8">
        <v>1</v>
      </c>
      <c r="K3570" s="9">
        <v>0</v>
      </c>
      <c r="L3570" s="10">
        <v>1</v>
      </c>
      <c r="M3570" s="6">
        <v>1</v>
      </c>
      <c r="N3570" s="37" t="e" cm="1">
        <f t="array" ref="N3570">IF(OR(ISNUMBER(FIND(Aux!$D$3:$D$9,_xlfn.TEXTJOIN(,,C3570:K3570)))),NA(),IF(AND(SUM(C3570:F3570,H3570:K3570)=0,G3570=1),0,INT((SUMPRODUCT(C3570:F3570,COLUMN($A$1:$D$1)-1)+SUMPRODUCT(H3570:K3570,COLUMN($E$1:$H$1)-1))*'Line Follower'!$C$3/SUM(C3570:F3570,H3570:K3570)-'Line Follower'!$C$5)))</f>
        <v>#N/A</v>
      </c>
      <c r="O3570" s="22" t="e">
        <v>#N/A</v>
      </c>
      <c r="P3570" s="4" t="e">
        <f t="shared" si="275"/>
        <v>#N/A</v>
      </c>
      <c r="Q3570" s="4" t="e">
        <f t="shared" si="276"/>
        <v>#N/A</v>
      </c>
      <c r="R3570" s="4" t="e">
        <f>IF(AND(B3570=1,N3570&gt;'Line Follower'!$C$7,SUM(C3570:K3570)&lt;4),1,0)</f>
        <v>#N/A</v>
      </c>
      <c r="S3570" s="4" t="e">
        <f>IF(AND(L3570=1,N3570&lt;'Line Follower'!$C$6,SUM(C3570:K3570)&lt;4),1,0)</f>
        <v>#N/A</v>
      </c>
      <c r="T3570" s="4" t="e">
        <f t="shared" si="277"/>
        <v>#N/A</v>
      </c>
      <c r="U3570" s="5" t="e">
        <f t="shared" si="278"/>
        <v>#N/A</v>
      </c>
      <c r="V3570" s="23" t="e">
        <f t="shared" si="279"/>
        <v>#N/A</v>
      </c>
    </row>
    <row r="3571" spans="2:22" x14ac:dyDescent="0.25">
      <c r="B3571" s="16">
        <v>0</v>
      </c>
      <c r="C3571" s="7">
        <v>0</v>
      </c>
      <c r="D3571" s="8">
        <v>0</v>
      </c>
      <c r="E3571" s="8">
        <v>0</v>
      </c>
      <c r="F3571" s="8">
        <v>1</v>
      </c>
      <c r="G3571" s="8">
        <v>1</v>
      </c>
      <c r="H3571" s="8">
        <v>1</v>
      </c>
      <c r="I3571" s="8">
        <v>1</v>
      </c>
      <c r="J3571" s="8">
        <v>1</v>
      </c>
      <c r="K3571" s="9">
        <v>0</v>
      </c>
      <c r="L3571" s="10">
        <v>1</v>
      </c>
      <c r="M3571" s="6">
        <v>1</v>
      </c>
      <c r="N3571" s="37" cm="1">
        <f t="array" ref="N3571">IF(OR(ISNUMBER(FIND(Aux!$D$3:$D$9,_xlfn.TEXTJOIN(,,C3571:K3571)))),NA(),IF(AND(SUM(C3571:F3571,H3571:K3571)=0,G3571=1),0,INT((SUMPRODUCT(C3571:F3571,COLUMN($A$1:$D$1)-1)+SUMPRODUCT(H3571:K3571,COLUMN($E$1:$H$1)-1))*'Line Follower'!$C$3/SUM(C3571:F3571,H3571:K3571)-'Line Follower'!$C$5)))</f>
        <v>2</v>
      </c>
      <c r="O3571" s="22">
        <v>1</v>
      </c>
      <c r="P3571" s="4">
        <f t="shared" si="275"/>
        <v>0</v>
      </c>
      <c r="Q3571" s="4">
        <f t="shared" si="276"/>
        <v>1</v>
      </c>
      <c r="R3571" s="4">
        <f>IF(AND(B3571=1,N3571&gt;'Line Follower'!$C$7,SUM(C3571:K3571)&lt;4),1,0)</f>
        <v>0</v>
      </c>
      <c r="S3571" s="4">
        <f>IF(AND(L3571=1,N3571&lt;'Line Follower'!$C$6,SUM(C3571:K3571)&lt;4),1,0)</f>
        <v>0</v>
      </c>
      <c r="T3571" s="4">
        <f t="shared" si="277"/>
        <v>0</v>
      </c>
      <c r="U3571" s="5">
        <f t="shared" si="278"/>
        <v>0</v>
      </c>
      <c r="V3571" s="23">
        <f t="shared" si="279"/>
        <v>0</v>
      </c>
    </row>
    <row r="3572" spans="2:22" x14ac:dyDescent="0.25">
      <c r="B3572" s="16">
        <v>1</v>
      </c>
      <c r="C3572" s="7">
        <v>0</v>
      </c>
      <c r="D3572" s="8">
        <v>0</v>
      </c>
      <c r="E3572" s="8">
        <v>0</v>
      </c>
      <c r="F3572" s="8">
        <v>1</v>
      </c>
      <c r="G3572" s="8">
        <v>1</v>
      </c>
      <c r="H3572" s="8">
        <v>1</v>
      </c>
      <c r="I3572" s="8">
        <v>1</v>
      </c>
      <c r="J3572" s="8">
        <v>1</v>
      </c>
      <c r="K3572" s="9">
        <v>0</v>
      </c>
      <c r="L3572" s="10">
        <v>1</v>
      </c>
      <c r="M3572" s="6">
        <v>1</v>
      </c>
      <c r="N3572" s="37" cm="1">
        <f t="array" ref="N3572">IF(OR(ISNUMBER(FIND(Aux!$D$3:$D$9,_xlfn.TEXTJOIN(,,C3572:K3572)))),NA(),IF(AND(SUM(C3572:F3572,H3572:K3572)=0,G3572=1),0,INT((SUMPRODUCT(C3572:F3572,COLUMN($A$1:$D$1)-1)+SUMPRODUCT(H3572:K3572,COLUMN($E$1:$H$1)-1))*'Line Follower'!$C$3/SUM(C3572:F3572,H3572:K3572)-'Line Follower'!$C$5)))</f>
        <v>2</v>
      </c>
      <c r="O3572" s="22">
        <v>1</v>
      </c>
      <c r="P3572" s="4">
        <f t="shared" si="275"/>
        <v>0</v>
      </c>
      <c r="Q3572" s="4">
        <f t="shared" si="276"/>
        <v>1</v>
      </c>
      <c r="R3572" s="4">
        <f>IF(AND(B3572=1,N3572&gt;'Line Follower'!$C$7,SUM(C3572:K3572)&lt;4),1,0)</f>
        <v>0</v>
      </c>
      <c r="S3572" s="4">
        <f>IF(AND(L3572=1,N3572&lt;'Line Follower'!$C$6,SUM(C3572:K3572)&lt;4),1,0)</f>
        <v>0</v>
      </c>
      <c r="T3572" s="4">
        <f t="shared" si="277"/>
        <v>0</v>
      </c>
      <c r="U3572" s="5">
        <f t="shared" si="278"/>
        <v>0</v>
      </c>
      <c r="V3572" s="23">
        <f t="shared" si="279"/>
        <v>0</v>
      </c>
    </row>
    <row r="3573" spans="2:22" x14ac:dyDescent="0.25">
      <c r="B3573" s="16">
        <v>0</v>
      </c>
      <c r="C3573" s="7">
        <v>1</v>
      </c>
      <c r="D3573" s="8">
        <v>0</v>
      </c>
      <c r="E3573" s="8">
        <v>0</v>
      </c>
      <c r="F3573" s="8">
        <v>1</v>
      </c>
      <c r="G3573" s="8">
        <v>1</v>
      </c>
      <c r="H3573" s="8">
        <v>1</v>
      </c>
      <c r="I3573" s="8">
        <v>1</v>
      </c>
      <c r="J3573" s="8">
        <v>1</v>
      </c>
      <c r="K3573" s="9">
        <v>0</v>
      </c>
      <c r="L3573" s="10">
        <v>1</v>
      </c>
      <c r="M3573" s="6">
        <v>1</v>
      </c>
      <c r="N3573" s="37" t="e" cm="1">
        <f t="array" ref="N3573">IF(OR(ISNUMBER(FIND(Aux!$D$3:$D$9,_xlfn.TEXTJOIN(,,C3573:K3573)))),NA(),IF(AND(SUM(C3573:F3573,H3573:K3573)=0,G3573=1),0,INT((SUMPRODUCT(C3573:F3573,COLUMN($A$1:$D$1)-1)+SUMPRODUCT(H3573:K3573,COLUMN($E$1:$H$1)-1))*'Line Follower'!$C$3/SUM(C3573:F3573,H3573:K3573)-'Line Follower'!$C$5)))</f>
        <v>#N/A</v>
      </c>
      <c r="O3573" s="22" t="e">
        <v>#N/A</v>
      </c>
      <c r="P3573" s="4" t="e">
        <f t="shared" si="275"/>
        <v>#N/A</v>
      </c>
      <c r="Q3573" s="4" t="e">
        <f t="shared" si="276"/>
        <v>#N/A</v>
      </c>
      <c r="R3573" s="4" t="e">
        <f>IF(AND(B3573=1,N3573&gt;'Line Follower'!$C$7,SUM(C3573:K3573)&lt;4),1,0)</f>
        <v>#N/A</v>
      </c>
      <c r="S3573" s="4" t="e">
        <f>IF(AND(L3573=1,N3573&lt;'Line Follower'!$C$6,SUM(C3573:K3573)&lt;4),1,0)</f>
        <v>#N/A</v>
      </c>
      <c r="T3573" s="4" t="e">
        <f t="shared" si="277"/>
        <v>#N/A</v>
      </c>
      <c r="U3573" s="5" t="e">
        <f t="shared" si="278"/>
        <v>#N/A</v>
      </c>
      <c r="V3573" s="23" t="e">
        <f t="shared" si="279"/>
        <v>#N/A</v>
      </c>
    </row>
    <row r="3574" spans="2:22" x14ac:dyDescent="0.25">
      <c r="B3574" s="16">
        <v>1</v>
      </c>
      <c r="C3574" s="7">
        <v>1</v>
      </c>
      <c r="D3574" s="8">
        <v>0</v>
      </c>
      <c r="E3574" s="8">
        <v>0</v>
      </c>
      <c r="F3574" s="8">
        <v>1</v>
      </c>
      <c r="G3574" s="8">
        <v>1</v>
      </c>
      <c r="H3574" s="8">
        <v>1</v>
      </c>
      <c r="I3574" s="8">
        <v>1</v>
      </c>
      <c r="J3574" s="8">
        <v>1</v>
      </c>
      <c r="K3574" s="9">
        <v>0</v>
      </c>
      <c r="L3574" s="10">
        <v>1</v>
      </c>
      <c r="M3574" s="6">
        <v>1</v>
      </c>
      <c r="N3574" s="37" t="e" cm="1">
        <f t="array" ref="N3574">IF(OR(ISNUMBER(FIND(Aux!$D$3:$D$9,_xlfn.TEXTJOIN(,,C3574:K3574)))),NA(),IF(AND(SUM(C3574:F3574,H3574:K3574)=0,G3574=1),0,INT((SUMPRODUCT(C3574:F3574,COLUMN($A$1:$D$1)-1)+SUMPRODUCT(H3574:K3574,COLUMN($E$1:$H$1)-1))*'Line Follower'!$C$3/SUM(C3574:F3574,H3574:K3574)-'Line Follower'!$C$5)))</f>
        <v>#N/A</v>
      </c>
      <c r="O3574" s="22" t="e">
        <v>#N/A</v>
      </c>
      <c r="P3574" s="4" t="e">
        <f t="shared" si="275"/>
        <v>#N/A</v>
      </c>
      <c r="Q3574" s="4" t="e">
        <f t="shared" si="276"/>
        <v>#N/A</v>
      </c>
      <c r="R3574" s="4" t="e">
        <f>IF(AND(B3574=1,N3574&gt;'Line Follower'!$C$7,SUM(C3574:K3574)&lt;4),1,0)</f>
        <v>#N/A</v>
      </c>
      <c r="S3574" s="4" t="e">
        <f>IF(AND(L3574=1,N3574&lt;'Line Follower'!$C$6,SUM(C3574:K3574)&lt;4),1,0)</f>
        <v>#N/A</v>
      </c>
      <c r="T3574" s="4" t="e">
        <f t="shared" si="277"/>
        <v>#N/A</v>
      </c>
      <c r="U3574" s="5" t="e">
        <f t="shared" si="278"/>
        <v>#N/A</v>
      </c>
      <c r="V3574" s="23" t="e">
        <f t="shared" si="279"/>
        <v>#N/A</v>
      </c>
    </row>
    <row r="3575" spans="2:22" x14ac:dyDescent="0.25">
      <c r="B3575" s="16">
        <v>0</v>
      </c>
      <c r="C3575" s="7">
        <v>0</v>
      </c>
      <c r="D3575" s="8">
        <v>1</v>
      </c>
      <c r="E3575" s="8">
        <v>0</v>
      </c>
      <c r="F3575" s="8">
        <v>1</v>
      </c>
      <c r="G3575" s="8">
        <v>1</v>
      </c>
      <c r="H3575" s="8">
        <v>1</v>
      </c>
      <c r="I3575" s="8">
        <v>1</v>
      </c>
      <c r="J3575" s="8">
        <v>1</v>
      </c>
      <c r="K3575" s="9">
        <v>0</v>
      </c>
      <c r="L3575" s="10">
        <v>1</v>
      </c>
      <c r="M3575" s="6">
        <v>1</v>
      </c>
      <c r="N3575" s="37" t="e" cm="1">
        <f t="array" ref="N3575">IF(OR(ISNUMBER(FIND(Aux!$D$3:$D$9,_xlfn.TEXTJOIN(,,C3575:K3575)))),NA(),IF(AND(SUM(C3575:F3575,H3575:K3575)=0,G3575=1),0,INT((SUMPRODUCT(C3575:F3575,COLUMN($A$1:$D$1)-1)+SUMPRODUCT(H3575:K3575,COLUMN($E$1:$H$1)-1))*'Line Follower'!$C$3/SUM(C3575:F3575,H3575:K3575)-'Line Follower'!$C$5)))</f>
        <v>#N/A</v>
      </c>
      <c r="O3575" s="22" t="e">
        <v>#N/A</v>
      </c>
      <c r="P3575" s="4" t="e">
        <f t="shared" si="275"/>
        <v>#N/A</v>
      </c>
      <c r="Q3575" s="4" t="e">
        <f t="shared" si="276"/>
        <v>#N/A</v>
      </c>
      <c r="R3575" s="4" t="e">
        <f>IF(AND(B3575=1,N3575&gt;'Line Follower'!$C$7,SUM(C3575:K3575)&lt;4),1,0)</f>
        <v>#N/A</v>
      </c>
      <c r="S3575" s="4" t="e">
        <f>IF(AND(L3575=1,N3575&lt;'Line Follower'!$C$6,SUM(C3575:K3575)&lt;4),1,0)</f>
        <v>#N/A</v>
      </c>
      <c r="T3575" s="4" t="e">
        <f t="shared" si="277"/>
        <v>#N/A</v>
      </c>
      <c r="U3575" s="5" t="e">
        <f t="shared" si="278"/>
        <v>#N/A</v>
      </c>
      <c r="V3575" s="23" t="e">
        <f t="shared" si="279"/>
        <v>#N/A</v>
      </c>
    </row>
    <row r="3576" spans="2:22" x14ac:dyDescent="0.25">
      <c r="B3576" s="16">
        <v>1</v>
      </c>
      <c r="C3576" s="7">
        <v>0</v>
      </c>
      <c r="D3576" s="8">
        <v>1</v>
      </c>
      <c r="E3576" s="8">
        <v>0</v>
      </c>
      <c r="F3576" s="8">
        <v>1</v>
      </c>
      <c r="G3576" s="8">
        <v>1</v>
      </c>
      <c r="H3576" s="8">
        <v>1</v>
      </c>
      <c r="I3576" s="8">
        <v>1</v>
      </c>
      <c r="J3576" s="8">
        <v>1</v>
      </c>
      <c r="K3576" s="9">
        <v>0</v>
      </c>
      <c r="L3576" s="10">
        <v>1</v>
      </c>
      <c r="M3576" s="6">
        <v>1</v>
      </c>
      <c r="N3576" s="37" t="e" cm="1">
        <f t="array" ref="N3576">IF(OR(ISNUMBER(FIND(Aux!$D$3:$D$9,_xlfn.TEXTJOIN(,,C3576:K3576)))),NA(),IF(AND(SUM(C3576:F3576,H3576:K3576)=0,G3576=1),0,INT((SUMPRODUCT(C3576:F3576,COLUMN($A$1:$D$1)-1)+SUMPRODUCT(H3576:K3576,COLUMN($E$1:$H$1)-1))*'Line Follower'!$C$3/SUM(C3576:F3576,H3576:K3576)-'Line Follower'!$C$5)))</f>
        <v>#N/A</v>
      </c>
      <c r="O3576" s="22" t="e">
        <v>#N/A</v>
      </c>
      <c r="P3576" s="4" t="e">
        <f t="shared" si="275"/>
        <v>#N/A</v>
      </c>
      <c r="Q3576" s="4" t="e">
        <f t="shared" si="276"/>
        <v>#N/A</v>
      </c>
      <c r="R3576" s="4" t="e">
        <f>IF(AND(B3576=1,N3576&gt;'Line Follower'!$C$7,SUM(C3576:K3576)&lt;4),1,0)</f>
        <v>#N/A</v>
      </c>
      <c r="S3576" s="4" t="e">
        <f>IF(AND(L3576=1,N3576&lt;'Line Follower'!$C$6,SUM(C3576:K3576)&lt;4),1,0)</f>
        <v>#N/A</v>
      </c>
      <c r="T3576" s="4" t="e">
        <f t="shared" si="277"/>
        <v>#N/A</v>
      </c>
      <c r="U3576" s="5" t="e">
        <f t="shared" si="278"/>
        <v>#N/A</v>
      </c>
      <c r="V3576" s="23" t="e">
        <f t="shared" si="279"/>
        <v>#N/A</v>
      </c>
    </row>
    <row r="3577" spans="2:22" x14ac:dyDescent="0.25">
      <c r="B3577" s="16">
        <v>0</v>
      </c>
      <c r="C3577" s="7">
        <v>1</v>
      </c>
      <c r="D3577" s="8">
        <v>1</v>
      </c>
      <c r="E3577" s="8">
        <v>0</v>
      </c>
      <c r="F3577" s="8">
        <v>1</v>
      </c>
      <c r="G3577" s="8">
        <v>1</v>
      </c>
      <c r="H3577" s="8">
        <v>1</v>
      </c>
      <c r="I3577" s="8">
        <v>1</v>
      </c>
      <c r="J3577" s="8">
        <v>1</v>
      </c>
      <c r="K3577" s="9">
        <v>0</v>
      </c>
      <c r="L3577" s="10">
        <v>1</v>
      </c>
      <c r="M3577" s="6">
        <v>1</v>
      </c>
      <c r="N3577" s="37" t="e" cm="1">
        <f t="array" ref="N3577">IF(OR(ISNUMBER(FIND(Aux!$D$3:$D$9,_xlfn.TEXTJOIN(,,C3577:K3577)))),NA(),IF(AND(SUM(C3577:F3577,H3577:K3577)=0,G3577=1),0,INT((SUMPRODUCT(C3577:F3577,COLUMN($A$1:$D$1)-1)+SUMPRODUCT(H3577:K3577,COLUMN($E$1:$H$1)-1))*'Line Follower'!$C$3/SUM(C3577:F3577,H3577:K3577)-'Line Follower'!$C$5)))</f>
        <v>#N/A</v>
      </c>
      <c r="O3577" s="22" t="e">
        <v>#N/A</v>
      </c>
      <c r="P3577" s="4" t="e">
        <f t="shared" si="275"/>
        <v>#N/A</v>
      </c>
      <c r="Q3577" s="4" t="e">
        <f t="shared" si="276"/>
        <v>#N/A</v>
      </c>
      <c r="R3577" s="4" t="e">
        <f>IF(AND(B3577=1,N3577&gt;'Line Follower'!$C$7,SUM(C3577:K3577)&lt;4),1,0)</f>
        <v>#N/A</v>
      </c>
      <c r="S3577" s="4" t="e">
        <f>IF(AND(L3577=1,N3577&lt;'Line Follower'!$C$6,SUM(C3577:K3577)&lt;4),1,0)</f>
        <v>#N/A</v>
      </c>
      <c r="T3577" s="4" t="e">
        <f t="shared" si="277"/>
        <v>#N/A</v>
      </c>
      <c r="U3577" s="5" t="e">
        <f t="shared" si="278"/>
        <v>#N/A</v>
      </c>
      <c r="V3577" s="23" t="e">
        <f t="shared" si="279"/>
        <v>#N/A</v>
      </c>
    </row>
    <row r="3578" spans="2:22" x14ac:dyDescent="0.25">
      <c r="B3578" s="16">
        <v>1</v>
      </c>
      <c r="C3578" s="7">
        <v>1</v>
      </c>
      <c r="D3578" s="8">
        <v>1</v>
      </c>
      <c r="E3578" s="8">
        <v>0</v>
      </c>
      <c r="F3578" s="8">
        <v>1</v>
      </c>
      <c r="G3578" s="8">
        <v>1</v>
      </c>
      <c r="H3578" s="8">
        <v>1</v>
      </c>
      <c r="I3578" s="8">
        <v>1</v>
      </c>
      <c r="J3578" s="8">
        <v>1</v>
      </c>
      <c r="K3578" s="9">
        <v>0</v>
      </c>
      <c r="L3578" s="10">
        <v>1</v>
      </c>
      <c r="M3578" s="6">
        <v>1</v>
      </c>
      <c r="N3578" s="37" t="e" cm="1">
        <f t="array" ref="N3578">IF(OR(ISNUMBER(FIND(Aux!$D$3:$D$9,_xlfn.TEXTJOIN(,,C3578:K3578)))),NA(),IF(AND(SUM(C3578:F3578,H3578:K3578)=0,G3578=1),0,INT((SUMPRODUCT(C3578:F3578,COLUMN($A$1:$D$1)-1)+SUMPRODUCT(H3578:K3578,COLUMN($E$1:$H$1)-1))*'Line Follower'!$C$3/SUM(C3578:F3578,H3578:K3578)-'Line Follower'!$C$5)))</f>
        <v>#N/A</v>
      </c>
      <c r="O3578" s="22" t="e">
        <v>#N/A</v>
      </c>
      <c r="P3578" s="4" t="e">
        <f t="shared" si="275"/>
        <v>#N/A</v>
      </c>
      <c r="Q3578" s="4" t="e">
        <f t="shared" si="276"/>
        <v>#N/A</v>
      </c>
      <c r="R3578" s="4" t="e">
        <f>IF(AND(B3578=1,N3578&gt;'Line Follower'!$C$7,SUM(C3578:K3578)&lt;4),1,0)</f>
        <v>#N/A</v>
      </c>
      <c r="S3578" s="4" t="e">
        <f>IF(AND(L3578=1,N3578&lt;'Line Follower'!$C$6,SUM(C3578:K3578)&lt;4),1,0)</f>
        <v>#N/A</v>
      </c>
      <c r="T3578" s="4" t="e">
        <f t="shared" si="277"/>
        <v>#N/A</v>
      </c>
      <c r="U3578" s="5" t="e">
        <f t="shared" si="278"/>
        <v>#N/A</v>
      </c>
      <c r="V3578" s="23" t="e">
        <f t="shared" si="279"/>
        <v>#N/A</v>
      </c>
    </row>
    <row r="3579" spans="2:22" x14ac:dyDescent="0.25">
      <c r="B3579" s="16">
        <v>0</v>
      </c>
      <c r="C3579" s="7">
        <v>0</v>
      </c>
      <c r="D3579" s="8">
        <v>0</v>
      </c>
      <c r="E3579" s="8">
        <v>1</v>
      </c>
      <c r="F3579" s="8">
        <v>1</v>
      </c>
      <c r="G3579" s="8">
        <v>1</v>
      </c>
      <c r="H3579" s="8">
        <v>1</v>
      </c>
      <c r="I3579" s="8">
        <v>1</v>
      </c>
      <c r="J3579" s="8">
        <v>1</v>
      </c>
      <c r="K3579" s="9">
        <v>0</v>
      </c>
      <c r="L3579" s="10">
        <v>1</v>
      </c>
      <c r="M3579" s="6">
        <v>1</v>
      </c>
      <c r="N3579" s="37" cm="1">
        <f t="array" ref="N3579">IF(OR(ISNUMBER(FIND(Aux!$D$3:$D$9,_xlfn.TEXTJOIN(,,C3579:K3579)))),NA(),IF(AND(SUM(C3579:F3579,H3579:K3579)=0,G3579=1),0,INT((SUMPRODUCT(C3579:F3579,COLUMN($A$1:$D$1)-1)+SUMPRODUCT(H3579:K3579,COLUMN($E$1:$H$1)-1))*'Line Follower'!$C$3/SUM(C3579:F3579,H3579:K3579)-'Line Follower'!$C$5)))</f>
        <v>1</v>
      </c>
      <c r="O3579" s="22">
        <v>1</v>
      </c>
      <c r="P3579" s="4">
        <f t="shared" si="275"/>
        <v>0</v>
      </c>
      <c r="Q3579" s="4">
        <f t="shared" si="276"/>
        <v>1</v>
      </c>
      <c r="R3579" s="4">
        <f>IF(AND(B3579=1,N3579&gt;'Line Follower'!$C$7,SUM(C3579:K3579)&lt;4),1,0)</f>
        <v>0</v>
      </c>
      <c r="S3579" s="4">
        <f>IF(AND(L3579=1,N3579&lt;'Line Follower'!$C$6,SUM(C3579:K3579)&lt;4),1,0)</f>
        <v>0</v>
      </c>
      <c r="T3579" s="4">
        <f t="shared" si="277"/>
        <v>0</v>
      </c>
      <c r="U3579" s="5">
        <f t="shared" si="278"/>
        <v>0</v>
      </c>
      <c r="V3579" s="23">
        <f t="shared" si="279"/>
        <v>0</v>
      </c>
    </row>
    <row r="3580" spans="2:22" x14ac:dyDescent="0.25">
      <c r="B3580" s="16">
        <v>1</v>
      </c>
      <c r="C3580" s="7">
        <v>0</v>
      </c>
      <c r="D3580" s="8">
        <v>0</v>
      </c>
      <c r="E3580" s="8">
        <v>1</v>
      </c>
      <c r="F3580" s="8">
        <v>1</v>
      </c>
      <c r="G3580" s="8">
        <v>1</v>
      </c>
      <c r="H3580" s="8">
        <v>1</v>
      </c>
      <c r="I3580" s="8">
        <v>1</v>
      </c>
      <c r="J3580" s="8">
        <v>1</v>
      </c>
      <c r="K3580" s="9">
        <v>0</v>
      </c>
      <c r="L3580" s="10">
        <v>1</v>
      </c>
      <c r="M3580" s="6">
        <v>1</v>
      </c>
      <c r="N3580" s="37" cm="1">
        <f t="array" ref="N3580">IF(OR(ISNUMBER(FIND(Aux!$D$3:$D$9,_xlfn.TEXTJOIN(,,C3580:K3580)))),NA(),IF(AND(SUM(C3580:F3580,H3580:K3580)=0,G3580=1),0,INT((SUMPRODUCT(C3580:F3580,COLUMN($A$1:$D$1)-1)+SUMPRODUCT(H3580:K3580,COLUMN($E$1:$H$1)-1))*'Line Follower'!$C$3/SUM(C3580:F3580,H3580:K3580)-'Line Follower'!$C$5)))</f>
        <v>1</v>
      </c>
      <c r="O3580" s="22">
        <v>1</v>
      </c>
      <c r="P3580" s="4">
        <f t="shared" si="275"/>
        <v>0</v>
      </c>
      <c r="Q3580" s="4">
        <f t="shared" si="276"/>
        <v>1</v>
      </c>
      <c r="R3580" s="4">
        <f>IF(AND(B3580=1,N3580&gt;'Line Follower'!$C$7,SUM(C3580:K3580)&lt;4),1,0)</f>
        <v>0</v>
      </c>
      <c r="S3580" s="4">
        <f>IF(AND(L3580=1,N3580&lt;'Line Follower'!$C$6,SUM(C3580:K3580)&lt;4),1,0)</f>
        <v>0</v>
      </c>
      <c r="T3580" s="4">
        <f t="shared" si="277"/>
        <v>0</v>
      </c>
      <c r="U3580" s="5">
        <f t="shared" si="278"/>
        <v>0</v>
      </c>
      <c r="V3580" s="23">
        <f t="shared" si="279"/>
        <v>0</v>
      </c>
    </row>
    <row r="3581" spans="2:22" x14ac:dyDescent="0.25">
      <c r="B3581" s="16">
        <v>0</v>
      </c>
      <c r="C3581" s="7">
        <v>1</v>
      </c>
      <c r="D3581" s="8">
        <v>0</v>
      </c>
      <c r="E3581" s="8">
        <v>1</v>
      </c>
      <c r="F3581" s="8">
        <v>1</v>
      </c>
      <c r="G3581" s="8">
        <v>1</v>
      </c>
      <c r="H3581" s="8">
        <v>1</v>
      </c>
      <c r="I3581" s="8">
        <v>1</v>
      </c>
      <c r="J3581" s="8">
        <v>1</v>
      </c>
      <c r="K3581" s="9">
        <v>0</v>
      </c>
      <c r="L3581" s="10">
        <v>1</v>
      </c>
      <c r="M3581" s="6">
        <v>1</v>
      </c>
      <c r="N3581" s="37" t="e" cm="1">
        <f t="array" ref="N3581">IF(OR(ISNUMBER(FIND(Aux!$D$3:$D$9,_xlfn.TEXTJOIN(,,C3581:K3581)))),NA(),IF(AND(SUM(C3581:F3581,H3581:K3581)=0,G3581=1),0,INT((SUMPRODUCT(C3581:F3581,COLUMN($A$1:$D$1)-1)+SUMPRODUCT(H3581:K3581,COLUMN($E$1:$H$1)-1))*'Line Follower'!$C$3/SUM(C3581:F3581,H3581:K3581)-'Line Follower'!$C$5)))</f>
        <v>#N/A</v>
      </c>
      <c r="O3581" s="22" t="e">
        <v>#N/A</v>
      </c>
      <c r="P3581" s="4" t="e">
        <f t="shared" si="275"/>
        <v>#N/A</v>
      </c>
      <c r="Q3581" s="4" t="e">
        <f t="shared" si="276"/>
        <v>#N/A</v>
      </c>
      <c r="R3581" s="4" t="e">
        <f>IF(AND(B3581=1,N3581&gt;'Line Follower'!$C$7,SUM(C3581:K3581)&lt;4),1,0)</f>
        <v>#N/A</v>
      </c>
      <c r="S3581" s="4" t="e">
        <f>IF(AND(L3581=1,N3581&lt;'Line Follower'!$C$6,SUM(C3581:K3581)&lt;4),1,0)</f>
        <v>#N/A</v>
      </c>
      <c r="T3581" s="4" t="e">
        <f t="shared" si="277"/>
        <v>#N/A</v>
      </c>
      <c r="U3581" s="5" t="e">
        <f t="shared" si="278"/>
        <v>#N/A</v>
      </c>
      <c r="V3581" s="23" t="e">
        <f t="shared" si="279"/>
        <v>#N/A</v>
      </c>
    </row>
    <row r="3582" spans="2:22" x14ac:dyDescent="0.25">
      <c r="B3582" s="16">
        <v>1</v>
      </c>
      <c r="C3582" s="7">
        <v>1</v>
      </c>
      <c r="D3582" s="8">
        <v>0</v>
      </c>
      <c r="E3582" s="8">
        <v>1</v>
      </c>
      <c r="F3582" s="8">
        <v>1</v>
      </c>
      <c r="G3582" s="8">
        <v>1</v>
      </c>
      <c r="H3582" s="8">
        <v>1</v>
      </c>
      <c r="I3582" s="8">
        <v>1</v>
      </c>
      <c r="J3582" s="8">
        <v>1</v>
      </c>
      <c r="K3582" s="9">
        <v>0</v>
      </c>
      <c r="L3582" s="10">
        <v>1</v>
      </c>
      <c r="M3582" s="6">
        <v>1</v>
      </c>
      <c r="N3582" s="37" t="e" cm="1">
        <f t="array" ref="N3582">IF(OR(ISNUMBER(FIND(Aux!$D$3:$D$9,_xlfn.TEXTJOIN(,,C3582:K3582)))),NA(),IF(AND(SUM(C3582:F3582,H3582:K3582)=0,G3582=1),0,INT((SUMPRODUCT(C3582:F3582,COLUMN($A$1:$D$1)-1)+SUMPRODUCT(H3582:K3582,COLUMN($E$1:$H$1)-1))*'Line Follower'!$C$3/SUM(C3582:F3582,H3582:K3582)-'Line Follower'!$C$5)))</f>
        <v>#N/A</v>
      </c>
      <c r="O3582" s="22" t="e">
        <v>#N/A</v>
      </c>
      <c r="P3582" s="4" t="e">
        <f t="shared" si="275"/>
        <v>#N/A</v>
      </c>
      <c r="Q3582" s="4" t="e">
        <f t="shared" si="276"/>
        <v>#N/A</v>
      </c>
      <c r="R3582" s="4" t="e">
        <f>IF(AND(B3582=1,N3582&gt;'Line Follower'!$C$7,SUM(C3582:K3582)&lt;4),1,0)</f>
        <v>#N/A</v>
      </c>
      <c r="S3582" s="4" t="e">
        <f>IF(AND(L3582=1,N3582&lt;'Line Follower'!$C$6,SUM(C3582:K3582)&lt;4),1,0)</f>
        <v>#N/A</v>
      </c>
      <c r="T3582" s="4" t="e">
        <f t="shared" si="277"/>
        <v>#N/A</v>
      </c>
      <c r="U3582" s="5" t="e">
        <f t="shared" si="278"/>
        <v>#N/A</v>
      </c>
      <c r="V3582" s="23" t="e">
        <f t="shared" si="279"/>
        <v>#N/A</v>
      </c>
    </row>
    <row r="3583" spans="2:22" x14ac:dyDescent="0.25">
      <c r="B3583" s="16">
        <v>0</v>
      </c>
      <c r="C3583" s="7">
        <v>0</v>
      </c>
      <c r="D3583" s="8">
        <v>1</v>
      </c>
      <c r="E3583" s="8">
        <v>1</v>
      </c>
      <c r="F3583" s="8">
        <v>1</v>
      </c>
      <c r="G3583" s="8">
        <v>1</v>
      </c>
      <c r="H3583" s="8">
        <v>1</v>
      </c>
      <c r="I3583" s="8">
        <v>1</v>
      </c>
      <c r="J3583" s="8">
        <v>1</v>
      </c>
      <c r="K3583" s="9">
        <v>0</v>
      </c>
      <c r="L3583" s="10">
        <v>1</v>
      </c>
      <c r="M3583" s="6">
        <v>1</v>
      </c>
      <c r="N3583" s="37" cm="1">
        <f t="array" ref="N3583">IF(OR(ISNUMBER(FIND(Aux!$D$3:$D$9,_xlfn.TEXTJOIN(,,C3583:K3583)))),NA(),IF(AND(SUM(C3583:F3583,H3583:K3583)=0,G3583=1),0,INT((SUMPRODUCT(C3583:F3583,COLUMN($A$1:$D$1)-1)+SUMPRODUCT(H3583:K3583,COLUMN($E$1:$H$1)-1))*'Line Follower'!$C$3/SUM(C3583:F3583,H3583:K3583)-'Line Follower'!$C$5)))</f>
        <v>0</v>
      </c>
      <c r="O3583" s="22">
        <v>1</v>
      </c>
      <c r="P3583" s="4">
        <f t="shared" si="275"/>
        <v>1</v>
      </c>
      <c r="Q3583" s="4">
        <f t="shared" si="276"/>
        <v>1</v>
      </c>
      <c r="R3583" s="4">
        <f>IF(AND(B3583=1,N3583&gt;'Line Follower'!$C$7,SUM(C3583:K3583)&lt;4),1,0)</f>
        <v>0</v>
      </c>
      <c r="S3583" s="4">
        <f>IF(AND(L3583=1,N3583&lt;'Line Follower'!$C$6,SUM(C3583:K3583)&lt;4),1,0)</f>
        <v>0</v>
      </c>
      <c r="T3583" s="4">
        <f t="shared" si="277"/>
        <v>0</v>
      </c>
      <c r="U3583" s="5">
        <f t="shared" si="278"/>
        <v>0</v>
      </c>
      <c r="V3583" s="23">
        <f t="shared" si="279"/>
        <v>0</v>
      </c>
    </row>
    <row r="3584" spans="2:22" x14ac:dyDescent="0.25">
      <c r="B3584" s="16">
        <v>1</v>
      </c>
      <c r="C3584" s="7">
        <v>0</v>
      </c>
      <c r="D3584" s="8">
        <v>1</v>
      </c>
      <c r="E3584" s="8">
        <v>1</v>
      </c>
      <c r="F3584" s="8">
        <v>1</v>
      </c>
      <c r="G3584" s="8">
        <v>1</v>
      </c>
      <c r="H3584" s="8">
        <v>1</v>
      </c>
      <c r="I3584" s="8">
        <v>1</v>
      </c>
      <c r="J3584" s="8">
        <v>1</v>
      </c>
      <c r="K3584" s="9">
        <v>0</v>
      </c>
      <c r="L3584" s="10">
        <v>1</v>
      </c>
      <c r="M3584" s="6">
        <v>1</v>
      </c>
      <c r="N3584" s="37" cm="1">
        <f t="array" ref="N3584">IF(OR(ISNUMBER(FIND(Aux!$D$3:$D$9,_xlfn.TEXTJOIN(,,C3584:K3584)))),NA(),IF(AND(SUM(C3584:F3584,H3584:K3584)=0,G3584=1),0,INT((SUMPRODUCT(C3584:F3584,COLUMN($A$1:$D$1)-1)+SUMPRODUCT(H3584:K3584,COLUMN($E$1:$H$1)-1))*'Line Follower'!$C$3/SUM(C3584:F3584,H3584:K3584)-'Line Follower'!$C$5)))</f>
        <v>0</v>
      </c>
      <c r="O3584" s="22">
        <v>1</v>
      </c>
      <c r="P3584" s="4">
        <f t="shared" si="275"/>
        <v>1</v>
      </c>
      <c r="Q3584" s="4">
        <f t="shared" si="276"/>
        <v>1</v>
      </c>
      <c r="R3584" s="4">
        <f>IF(AND(B3584=1,N3584&gt;'Line Follower'!$C$7,SUM(C3584:K3584)&lt;4),1,0)</f>
        <v>0</v>
      </c>
      <c r="S3584" s="4">
        <f>IF(AND(L3584=1,N3584&lt;'Line Follower'!$C$6,SUM(C3584:K3584)&lt;4),1,0)</f>
        <v>0</v>
      </c>
      <c r="T3584" s="4">
        <f t="shared" si="277"/>
        <v>0</v>
      </c>
      <c r="U3584" s="5">
        <f t="shared" si="278"/>
        <v>0</v>
      </c>
      <c r="V3584" s="23">
        <f t="shared" si="279"/>
        <v>0</v>
      </c>
    </row>
    <row r="3585" spans="2:22" x14ac:dyDescent="0.25">
      <c r="B3585" s="16">
        <v>0</v>
      </c>
      <c r="C3585" s="7">
        <v>1</v>
      </c>
      <c r="D3585" s="8">
        <v>1</v>
      </c>
      <c r="E3585" s="8">
        <v>1</v>
      </c>
      <c r="F3585" s="8">
        <v>1</v>
      </c>
      <c r="G3585" s="8">
        <v>1</v>
      </c>
      <c r="H3585" s="8">
        <v>1</v>
      </c>
      <c r="I3585" s="8">
        <v>1</v>
      </c>
      <c r="J3585" s="8">
        <v>1</v>
      </c>
      <c r="K3585" s="9">
        <v>0</v>
      </c>
      <c r="L3585" s="10">
        <v>1</v>
      </c>
      <c r="M3585" s="6">
        <v>1</v>
      </c>
      <c r="N3585" s="37" cm="1">
        <f t="array" ref="N3585">IF(OR(ISNUMBER(FIND(Aux!$D$3:$D$9,_xlfn.TEXTJOIN(,,C3585:K3585)))),NA(),IF(AND(SUM(C3585:F3585,H3585:K3585)=0,G3585=1),0,INT((SUMPRODUCT(C3585:F3585,COLUMN($A$1:$D$1)-1)+SUMPRODUCT(H3585:K3585,COLUMN($E$1:$H$1)-1))*'Line Follower'!$C$3/SUM(C3585:F3585,H3585:K3585)-'Line Follower'!$C$5)))</f>
        <v>-1</v>
      </c>
      <c r="O3585" s="22">
        <v>1</v>
      </c>
      <c r="P3585" s="4">
        <f t="shared" si="275"/>
        <v>0</v>
      </c>
      <c r="Q3585" s="4">
        <f t="shared" si="276"/>
        <v>1</v>
      </c>
      <c r="R3585" s="4">
        <f>IF(AND(B3585=1,N3585&gt;'Line Follower'!$C$7,SUM(C3585:K3585)&lt;4),1,0)</f>
        <v>0</v>
      </c>
      <c r="S3585" s="4">
        <f>IF(AND(L3585=1,N3585&lt;'Line Follower'!$C$6,SUM(C3585:K3585)&lt;4),1,0)</f>
        <v>0</v>
      </c>
      <c r="T3585" s="4">
        <f t="shared" si="277"/>
        <v>0</v>
      </c>
      <c r="U3585" s="5">
        <f t="shared" si="278"/>
        <v>0</v>
      </c>
      <c r="V3585" s="23">
        <f t="shared" si="279"/>
        <v>0</v>
      </c>
    </row>
    <row r="3586" spans="2:22" x14ac:dyDescent="0.25">
      <c r="B3586" s="16">
        <v>1</v>
      </c>
      <c r="C3586" s="7">
        <v>1</v>
      </c>
      <c r="D3586" s="8">
        <v>1</v>
      </c>
      <c r="E3586" s="8">
        <v>1</v>
      </c>
      <c r="F3586" s="8">
        <v>1</v>
      </c>
      <c r="G3586" s="8">
        <v>1</v>
      </c>
      <c r="H3586" s="8">
        <v>1</v>
      </c>
      <c r="I3586" s="8">
        <v>1</v>
      </c>
      <c r="J3586" s="8">
        <v>1</v>
      </c>
      <c r="K3586" s="9">
        <v>0</v>
      </c>
      <c r="L3586" s="10">
        <v>1</v>
      </c>
      <c r="M3586" s="6">
        <v>1</v>
      </c>
      <c r="N3586" s="37" cm="1">
        <f t="array" ref="N3586">IF(OR(ISNUMBER(FIND(Aux!$D$3:$D$9,_xlfn.TEXTJOIN(,,C3586:K3586)))),NA(),IF(AND(SUM(C3586:F3586,H3586:K3586)=0,G3586=1),0,INT((SUMPRODUCT(C3586:F3586,COLUMN($A$1:$D$1)-1)+SUMPRODUCT(H3586:K3586,COLUMN($E$1:$H$1)-1))*'Line Follower'!$C$3/SUM(C3586:F3586,H3586:K3586)-'Line Follower'!$C$5)))</f>
        <v>-1</v>
      </c>
      <c r="O3586" s="22">
        <v>1</v>
      </c>
      <c r="P3586" s="4">
        <f t="shared" si="275"/>
        <v>0</v>
      </c>
      <c r="Q3586" s="4">
        <f t="shared" si="276"/>
        <v>1</v>
      </c>
      <c r="R3586" s="4">
        <f>IF(AND(B3586=1,N3586&gt;'Line Follower'!$C$7,SUM(C3586:K3586)&lt;4),1,0)</f>
        <v>0</v>
      </c>
      <c r="S3586" s="4">
        <f>IF(AND(L3586=1,N3586&lt;'Line Follower'!$C$6,SUM(C3586:K3586)&lt;4),1,0)</f>
        <v>0</v>
      </c>
      <c r="T3586" s="4">
        <f t="shared" si="277"/>
        <v>0</v>
      </c>
      <c r="U3586" s="5">
        <f t="shared" si="278"/>
        <v>0</v>
      </c>
      <c r="V3586" s="23">
        <f t="shared" si="279"/>
        <v>0</v>
      </c>
    </row>
    <row r="3587" spans="2:22" x14ac:dyDescent="0.25">
      <c r="B3587" s="16">
        <v>0</v>
      </c>
      <c r="C3587" s="7">
        <v>0</v>
      </c>
      <c r="D3587" s="8">
        <v>0</v>
      </c>
      <c r="E3587" s="8">
        <v>0</v>
      </c>
      <c r="F3587" s="8">
        <v>0</v>
      </c>
      <c r="G3587" s="8">
        <v>0</v>
      </c>
      <c r="H3587" s="8">
        <v>0</v>
      </c>
      <c r="I3587" s="8">
        <v>0</v>
      </c>
      <c r="J3587" s="8">
        <v>0</v>
      </c>
      <c r="K3587" s="9">
        <v>1</v>
      </c>
      <c r="L3587" s="10">
        <v>1</v>
      </c>
      <c r="M3587" s="6">
        <v>1</v>
      </c>
      <c r="N3587" s="37" cm="1">
        <f t="array" ref="N3587">IF(OR(ISNUMBER(FIND(Aux!$D$3:$D$9,_xlfn.TEXTJOIN(,,C3587:K3587)))),NA(),IF(AND(SUM(C3587:F3587,H3587:K3587)=0,G3587=1),0,INT((SUMPRODUCT(C3587:F3587,COLUMN($A$1:$D$1)-1)+SUMPRODUCT(H3587:K3587,COLUMN($E$1:$H$1)-1))*'Line Follower'!$C$3/SUM(C3587:F3587,H3587:K3587)-'Line Follower'!$C$5)))</f>
        <v>7</v>
      </c>
      <c r="O3587" s="22">
        <v>1</v>
      </c>
      <c r="P3587" s="4">
        <f t="shared" ref="P3587:P3650" si="280">IF(AND(N3587=0,G3587=1,M3587=1),1,0)</f>
        <v>0</v>
      </c>
      <c r="Q3587" s="4">
        <f t="shared" ref="Q3587:Q3650" si="281">IF(ISERROR(N3587),N3587,IF(SUM(C3587:K3587)&gt;=4,1,0))</f>
        <v>0</v>
      </c>
      <c r="R3587" s="4">
        <f>IF(AND(B3587=1,N3587&gt;'Line Follower'!$C$7,SUM(C3587:K3587)&lt;4),1,0)</f>
        <v>0</v>
      </c>
      <c r="S3587" s="4">
        <f>IF(AND(L3587=1,N3587&lt;'Line Follower'!$C$6,SUM(C3587:K3587)&lt;4),1,0)</f>
        <v>0</v>
      </c>
      <c r="T3587" s="4">
        <f t="shared" si="277"/>
        <v>0</v>
      </c>
      <c r="U3587" s="5">
        <f t="shared" si="278"/>
        <v>0</v>
      </c>
      <c r="V3587" s="23">
        <f t="shared" si="279"/>
        <v>0</v>
      </c>
    </row>
    <row r="3588" spans="2:22" x14ac:dyDescent="0.25">
      <c r="B3588" s="16">
        <v>1</v>
      </c>
      <c r="C3588" s="7">
        <v>0</v>
      </c>
      <c r="D3588" s="8">
        <v>0</v>
      </c>
      <c r="E3588" s="8">
        <v>0</v>
      </c>
      <c r="F3588" s="8">
        <v>0</v>
      </c>
      <c r="G3588" s="8">
        <v>0</v>
      </c>
      <c r="H3588" s="8">
        <v>0</v>
      </c>
      <c r="I3588" s="8">
        <v>0</v>
      </c>
      <c r="J3588" s="8">
        <v>0</v>
      </c>
      <c r="K3588" s="9">
        <v>1</v>
      </c>
      <c r="L3588" s="10">
        <v>1</v>
      </c>
      <c r="M3588" s="6">
        <v>1</v>
      </c>
      <c r="N3588" s="37" cm="1">
        <f t="array" ref="N3588">IF(OR(ISNUMBER(FIND(Aux!$D$3:$D$9,_xlfn.TEXTJOIN(,,C3588:K3588)))),NA(),IF(AND(SUM(C3588:F3588,H3588:K3588)=0,G3588=1),0,INT((SUMPRODUCT(C3588:F3588,COLUMN($A$1:$D$1)-1)+SUMPRODUCT(H3588:K3588,COLUMN($E$1:$H$1)-1))*'Line Follower'!$C$3/SUM(C3588:F3588,H3588:K3588)-'Line Follower'!$C$5)))</f>
        <v>7</v>
      </c>
      <c r="O3588" s="22">
        <v>1</v>
      </c>
      <c r="P3588" s="4">
        <f t="shared" si="280"/>
        <v>0</v>
      </c>
      <c r="Q3588" s="4">
        <f t="shared" si="281"/>
        <v>0</v>
      </c>
      <c r="R3588" s="4">
        <f>IF(AND(B3588=1,N3588&gt;'Line Follower'!$C$7,SUM(C3588:K3588)&lt;4),1,0)</f>
        <v>1</v>
      </c>
      <c r="S3588" s="4">
        <f>IF(AND(L3588=1,N3588&lt;'Line Follower'!$C$6,SUM(C3588:K3588)&lt;4),1,0)</f>
        <v>0</v>
      </c>
      <c r="T3588" s="4">
        <f t="shared" ref="T3588:T3651" si="282">IF(ISNA(N3588),NA(),IF(SUM(C3588:L3588)=0,1,0))</f>
        <v>0</v>
      </c>
      <c r="U3588" s="5">
        <f t="shared" ref="U3588:U3651" si="283">IF(ISNA(N3588),NA(),IF(SUM(B3588:K3588)=0,1,0))</f>
        <v>0</v>
      </c>
      <c r="V3588" s="23">
        <f t="shared" ref="V3588:V3651" si="284">IF(ISNA(N3588),NA(),IF(SUM(B3588:L3588)=0,1,0))</f>
        <v>0</v>
      </c>
    </row>
    <row r="3589" spans="2:22" x14ac:dyDescent="0.25">
      <c r="B3589" s="16">
        <v>0</v>
      </c>
      <c r="C3589" s="7">
        <v>1</v>
      </c>
      <c r="D3589" s="8">
        <v>0</v>
      </c>
      <c r="E3589" s="8">
        <v>0</v>
      </c>
      <c r="F3589" s="8">
        <v>0</v>
      </c>
      <c r="G3589" s="8">
        <v>0</v>
      </c>
      <c r="H3589" s="8">
        <v>0</v>
      </c>
      <c r="I3589" s="8">
        <v>0</v>
      </c>
      <c r="J3589" s="8">
        <v>0</v>
      </c>
      <c r="K3589" s="9">
        <v>1</v>
      </c>
      <c r="L3589" s="10">
        <v>1</v>
      </c>
      <c r="M3589" s="6">
        <v>1</v>
      </c>
      <c r="N3589" s="37" t="e" cm="1">
        <f t="array" ref="N3589">IF(OR(ISNUMBER(FIND(Aux!$D$3:$D$9,_xlfn.TEXTJOIN(,,C3589:K3589)))),NA(),IF(AND(SUM(C3589:F3589,H3589:K3589)=0,G3589=1),0,INT((SUMPRODUCT(C3589:F3589,COLUMN($A$1:$D$1)-1)+SUMPRODUCT(H3589:K3589,COLUMN($E$1:$H$1)-1))*'Line Follower'!$C$3/SUM(C3589:F3589,H3589:K3589)-'Line Follower'!$C$5)))</f>
        <v>#N/A</v>
      </c>
      <c r="O3589" s="22" t="e">
        <v>#N/A</v>
      </c>
      <c r="P3589" s="4" t="e">
        <f t="shared" si="280"/>
        <v>#N/A</v>
      </c>
      <c r="Q3589" s="4" t="e">
        <f t="shared" si="281"/>
        <v>#N/A</v>
      </c>
      <c r="R3589" s="4" t="e">
        <f>IF(AND(B3589=1,N3589&gt;'Line Follower'!$C$7,SUM(C3589:K3589)&lt;4),1,0)</f>
        <v>#N/A</v>
      </c>
      <c r="S3589" s="4" t="e">
        <f>IF(AND(L3589=1,N3589&lt;'Line Follower'!$C$6,SUM(C3589:K3589)&lt;4),1,0)</f>
        <v>#N/A</v>
      </c>
      <c r="T3589" s="4" t="e">
        <f t="shared" si="282"/>
        <v>#N/A</v>
      </c>
      <c r="U3589" s="5" t="e">
        <f t="shared" si="283"/>
        <v>#N/A</v>
      </c>
      <c r="V3589" s="23" t="e">
        <f t="shared" si="284"/>
        <v>#N/A</v>
      </c>
    </row>
    <row r="3590" spans="2:22" x14ac:dyDescent="0.25">
      <c r="B3590" s="16">
        <v>1</v>
      </c>
      <c r="C3590" s="7">
        <v>1</v>
      </c>
      <c r="D3590" s="8">
        <v>0</v>
      </c>
      <c r="E3590" s="8">
        <v>0</v>
      </c>
      <c r="F3590" s="8">
        <v>0</v>
      </c>
      <c r="G3590" s="8">
        <v>0</v>
      </c>
      <c r="H3590" s="8">
        <v>0</v>
      </c>
      <c r="I3590" s="8">
        <v>0</v>
      </c>
      <c r="J3590" s="8">
        <v>0</v>
      </c>
      <c r="K3590" s="9">
        <v>1</v>
      </c>
      <c r="L3590" s="10">
        <v>1</v>
      </c>
      <c r="M3590" s="6">
        <v>1</v>
      </c>
      <c r="N3590" s="37" t="e" cm="1">
        <f t="array" ref="N3590">IF(OR(ISNUMBER(FIND(Aux!$D$3:$D$9,_xlfn.TEXTJOIN(,,C3590:K3590)))),NA(),IF(AND(SUM(C3590:F3590,H3590:K3590)=0,G3590=1),0,INT((SUMPRODUCT(C3590:F3590,COLUMN($A$1:$D$1)-1)+SUMPRODUCT(H3590:K3590,COLUMN($E$1:$H$1)-1))*'Line Follower'!$C$3/SUM(C3590:F3590,H3590:K3590)-'Line Follower'!$C$5)))</f>
        <v>#N/A</v>
      </c>
      <c r="O3590" s="22" t="e">
        <v>#N/A</v>
      </c>
      <c r="P3590" s="4" t="e">
        <f t="shared" si="280"/>
        <v>#N/A</v>
      </c>
      <c r="Q3590" s="4" t="e">
        <f t="shared" si="281"/>
        <v>#N/A</v>
      </c>
      <c r="R3590" s="4" t="e">
        <f>IF(AND(B3590=1,N3590&gt;'Line Follower'!$C$7,SUM(C3590:K3590)&lt;4),1,0)</f>
        <v>#N/A</v>
      </c>
      <c r="S3590" s="4" t="e">
        <f>IF(AND(L3590=1,N3590&lt;'Line Follower'!$C$6,SUM(C3590:K3590)&lt;4),1,0)</f>
        <v>#N/A</v>
      </c>
      <c r="T3590" s="4" t="e">
        <f t="shared" si="282"/>
        <v>#N/A</v>
      </c>
      <c r="U3590" s="5" t="e">
        <f t="shared" si="283"/>
        <v>#N/A</v>
      </c>
      <c r="V3590" s="23" t="e">
        <f t="shared" si="284"/>
        <v>#N/A</v>
      </c>
    </row>
    <row r="3591" spans="2:22" x14ac:dyDescent="0.25">
      <c r="B3591" s="16">
        <v>0</v>
      </c>
      <c r="C3591" s="7">
        <v>0</v>
      </c>
      <c r="D3591" s="8">
        <v>1</v>
      </c>
      <c r="E3591" s="8">
        <v>0</v>
      </c>
      <c r="F3591" s="8">
        <v>0</v>
      </c>
      <c r="G3591" s="8">
        <v>0</v>
      </c>
      <c r="H3591" s="8">
        <v>0</v>
      </c>
      <c r="I3591" s="8">
        <v>0</v>
      </c>
      <c r="J3591" s="8">
        <v>0</v>
      </c>
      <c r="K3591" s="9">
        <v>1</v>
      </c>
      <c r="L3591" s="10">
        <v>1</v>
      </c>
      <c r="M3591" s="6">
        <v>1</v>
      </c>
      <c r="N3591" s="37" t="e" cm="1">
        <f t="array" ref="N3591">IF(OR(ISNUMBER(FIND(Aux!$D$3:$D$9,_xlfn.TEXTJOIN(,,C3591:K3591)))),NA(),IF(AND(SUM(C3591:F3591,H3591:K3591)=0,G3591=1),0,INT((SUMPRODUCT(C3591:F3591,COLUMN($A$1:$D$1)-1)+SUMPRODUCT(H3591:K3591,COLUMN($E$1:$H$1)-1))*'Line Follower'!$C$3/SUM(C3591:F3591,H3591:K3591)-'Line Follower'!$C$5)))</f>
        <v>#N/A</v>
      </c>
      <c r="O3591" s="22" t="e">
        <v>#N/A</v>
      </c>
      <c r="P3591" s="4" t="e">
        <f t="shared" si="280"/>
        <v>#N/A</v>
      </c>
      <c r="Q3591" s="4" t="e">
        <f t="shared" si="281"/>
        <v>#N/A</v>
      </c>
      <c r="R3591" s="4" t="e">
        <f>IF(AND(B3591=1,N3591&gt;'Line Follower'!$C$7,SUM(C3591:K3591)&lt;4),1,0)</f>
        <v>#N/A</v>
      </c>
      <c r="S3591" s="4" t="e">
        <f>IF(AND(L3591=1,N3591&lt;'Line Follower'!$C$6,SUM(C3591:K3591)&lt;4),1,0)</f>
        <v>#N/A</v>
      </c>
      <c r="T3591" s="4" t="e">
        <f t="shared" si="282"/>
        <v>#N/A</v>
      </c>
      <c r="U3591" s="5" t="e">
        <f t="shared" si="283"/>
        <v>#N/A</v>
      </c>
      <c r="V3591" s="23" t="e">
        <f t="shared" si="284"/>
        <v>#N/A</v>
      </c>
    </row>
    <row r="3592" spans="2:22" x14ac:dyDescent="0.25">
      <c r="B3592" s="16">
        <v>1</v>
      </c>
      <c r="C3592" s="7">
        <v>0</v>
      </c>
      <c r="D3592" s="8">
        <v>1</v>
      </c>
      <c r="E3592" s="8">
        <v>0</v>
      </c>
      <c r="F3592" s="8">
        <v>0</v>
      </c>
      <c r="G3592" s="8">
        <v>0</v>
      </c>
      <c r="H3592" s="8">
        <v>0</v>
      </c>
      <c r="I3592" s="8">
        <v>0</v>
      </c>
      <c r="J3592" s="8">
        <v>0</v>
      </c>
      <c r="K3592" s="9">
        <v>1</v>
      </c>
      <c r="L3592" s="10">
        <v>1</v>
      </c>
      <c r="M3592" s="6">
        <v>1</v>
      </c>
      <c r="N3592" s="37" t="e" cm="1">
        <f t="array" ref="N3592">IF(OR(ISNUMBER(FIND(Aux!$D$3:$D$9,_xlfn.TEXTJOIN(,,C3592:K3592)))),NA(),IF(AND(SUM(C3592:F3592,H3592:K3592)=0,G3592=1),0,INT((SUMPRODUCT(C3592:F3592,COLUMN($A$1:$D$1)-1)+SUMPRODUCT(H3592:K3592,COLUMN($E$1:$H$1)-1))*'Line Follower'!$C$3/SUM(C3592:F3592,H3592:K3592)-'Line Follower'!$C$5)))</f>
        <v>#N/A</v>
      </c>
      <c r="O3592" s="22" t="e">
        <v>#N/A</v>
      </c>
      <c r="P3592" s="4" t="e">
        <f t="shared" si="280"/>
        <v>#N/A</v>
      </c>
      <c r="Q3592" s="4" t="e">
        <f t="shared" si="281"/>
        <v>#N/A</v>
      </c>
      <c r="R3592" s="4" t="e">
        <f>IF(AND(B3592=1,N3592&gt;'Line Follower'!$C$7,SUM(C3592:K3592)&lt;4),1,0)</f>
        <v>#N/A</v>
      </c>
      <c r="S3592" s="4" t="e">
        <f>IF(AND(L3592=1,N3592&lt;'Line Follower'!$C$6,SUM(C3592:K3592)&lt;4),1,0)</f>
        <v>#N/A</v>
      </c>
      <c r="T3592" s="4" t="e">
        <f t="shared" si="282"/>
        <v>#N/A</v>
      </c>
      <c r="U3592" s="5" t="e">
        <f t="shared" si="283"/>
        <v>#N/A</v>
      </c>
      <c r="V3592" s="23" t="e">
        <f t="shared" si="284"/>
        <v>#N/A</v>
      </c>
    </row>
    <row r="3593" spans="2:22" x14ac:dyDescent="0.25">
      <c r="B3593" s="16">
        <v>0</v>
      </c>
      <c r="C3593" s="7">
        <v>1</v>
      </c>
      <c r="D3593" s="8">
        <v>1</v>
      </c>
      <c r="E3593" s="8">
        <v>0</v>
      </c>
      <c r="F3593" s="8">
        <v>0</v>
      </c>
      <c r="G3593" s="8">
        <v>0</v>
      </c>
      <c r="H3593" s="8">
        <v>0</v>
      </c>
      <c r="I3593" s="8">
        <v>0</v>
      </c>
      <c r="J3593" s="8">
        <v>0</v>
      </c>
      <c r="K3593" s="9">
        <v>1</v>
      </c>
      <c r="L3593" s="10">
        <v>1</v>
      </c>
      <c r="M3593" s="6">
        <v>1</v>
      </c>
      <c r="N3593" s="37" t="e" cm="1">
        <f t="array" ref="N3593">IF(OR(ISNUMBER(FIND(Aux!$D$3:$D$9,_xlfn.TEXTJOIN(,,C3593:K3593)))),NA(),IF(AND(SUM(C3593:F3593,H3593:K3593)=0,G3593=1),0,INT((SUMPRODUCT(C3593:F3593,COLUMN($A$1:$D$1)-1)+SUMPRODUCT(H3593:K3593,COLUMN($E$1:$H$1)-1))*'Line Follower'!$C$3/SUM(C3593:F3593,H3593:K3593)-'Line Follower'!$C$5)))</f>
        <v>#N/A</v>
      </c>
      <c r="O3593" s="22" t="e">
        <v>#N/A</v>
      </c>
      <c r="P3593" s="4" t="e">
        <f t="shared" si="280"/>
        <v>#N/A</v>
      </c>
      <c r="Q3593" s="4" t="e">
        <f t="shared" si="281"/>
        <v>#N/A</v>
      </c>
      <c r="R3593" s="4" t="e">
        <f>IF(AND(B3593=1,N3593&gt;'Line Follower'!$C$7,SUM(C3593:K3593)&lt;4),1,0)</f>
        <v>#N/A</v>
      </c>
      <c r="S3593" s="4" t="e">
        <f>IF(AND(L3593=1,N3593&lt;'Line Follower'!$C$6,SUM(C3593:K3593)&lt;4),1,0)</f>
        <v>#N/A</v>
      </c>
      <c r="T3593" s="4" t="e">
        <f t="shared" si="282"/>
        <v>#N/A</v>
      </c>
      <c r="U3593" s="5" t="e">
        <f t="shared" si="283"/>
        <v>#N/A</v>
      </c>
      <c r="V3593" s="23" t="e">
        <f t="shared" si="284"/>
        <v>#N/A</v>
      </c>
    </row>
    <row r="3594" spans="2:22" x14ac:dyDescent="0.25">
      <c r="B3594" s="16">
        <v>1</v>
      </c>
      <c r="C3594" s="7">
        <v>1</v>
      </c>
      <c r="D3594" s="8">
        <v>1</v>
      </c>
      <c r="E3594" s="8">
        <v>0</v>
      </c>
      <c r="F3594" s="8">
        <v>0</v>
      </c>
      <c r="G3594" s="8">
        <v>0</v>
      </c>
      <c r="H3594" s="8">
        <v>0</v>
      </c>
      <c r="I3594" s="8">
        <v>0</v>
      </c>
      <c r="J3594" s="8">
        <v>0</v>
      </c>
      <c r="K3594" s="9">
        <v>1</v>
      </c>
      <c r="L3594" s="10">
        <v>1</v>
      </c>
      <c r="M3594" s="6">
        <v>1</v>
      </c>
      <c r="N3594" s="37" t="e" cm="1">
        <f t="array" ref="N3594">IF(OR(ISNUMBER(FIND(Aux!$D$3:$D$9,_xlfn.TEXTJOIN(,,C3594:K3594)))),NA(),IF(AND(SUM(C3594:F3594,H3594:K3594)=0,G3594=1),0,INT((SUMPRODUCT(C3594:F3594,COLUMN($A$1:$D$1)-1)+SUMPRODUCT(H3594:K3594,COLUMN($E$1:$H$1)-1))*'Line Follower'!$C$3/SUM(C3594:F3594,H3594:K3594)-'Line Follower'!$C$5)))</f>
        <v>#N/A</v>
      </c>
      <c r="O3594" s="22" t="e">
        <v>#N/A</v>
      </c>
      <c r="P3594" s="4" t="e">
        <f t="shared" si="280"/>
        <v>#N/A</v>
      </c>
      <c r="Q3594" s="4" t="e">
        <f t="shared" si="281"/>
        <v>#N/A</v>
      </c>
      <c r="R3594" s="4" t="e">
        <f>IF(AND(B3594=1,N3594&gt;'Line Follower'!$C$7,SUM(C3594:K3594)&lt;4),1,0)</f>
        <v>#N/A</v>
      </c>
      <c r="S3594" s="4" t="e">
        <f>IF(AND(L3594=1,N3594&lt;'Line Follower'!$C$6,SUM(C3594:K3594)&lt;4),1,0)</f>
        <v>#N/A</v>
      </c>
      <c r="T3594" s="4" t="e">
        <f t="shared" si="282"/>
        <v>#N/A</v>
      </c>
      <c r="U3594" s="5" t="e">
        <f t="shared" si="283"/>
        <v>#N/A</v>
      </c>
      <c r="V3594" s="23" t="e">
        <f t="shared" si="284"/>
        <v>#N/A</v>
      </c>
    </row>
    <row r="3595" spans="2:22" x14ac:dyDescent="0.25">
      <c r="B3595" s="16">
        <v>0</v>
      </c>
      <c r="C3595" s="7">
        <v>0</v>
      </c>
      <c r="D3595" s="8">
        <v>0</v>
      </c>
      <c r="E3595" s="8">
        <v>1</v>
      </c>
      <c r="F3595" s="8">
        <v>0</v>
      </c>
      <c r="G3595" s="8">
        <v>0</v>
      </c>
      <c r="H3595" s="8">
        <v>0</v>
      </c>
      <c r="I3595" s="8">
        <v>0</v>
      </c>
      <c r="J3595" s="8">
        <v>0</v>
      </c>
      <c r="K3595" s="9">
        <v>1</v>
      </c>
      <c r="L3595" s="10">
        <v>1</v>
      </c>
      <c r="M3595" s="6">
        <v>1</v>
      </c>
      <c r="N3595" s="37" t="e" cm="1">
        <f t="array" ref="N3595">IF(OR(ISNUMBER(FIND(Aux!$D$3:$D$9,_xlfn.TEXTJOIN(,,C3595:K3595)))),NA(),IF(AND(SUM(C3595:F3595,H3595:K3595)=0,G3595=1),0,INT((SUMPRODUCT(C3595:F3595,COLUMN($A$1:$D$1)-1)+SUMPRODUCT(H3595:K3595,COLUMN($E$1:$H$1)-1))*'Line Follower'!$C$3/SUM(C3595:F3595,H3595:K3595)-'Line Follower'!$C$5)))</f>
        <v>#N/A</v>
      </c>
      <c r="O3595" s="22" t="e">
        <v>#N/A</v>
      </c>
      <c r="P3595" s="4" t="e">
        <f t="shared" si="280"/>
        <v>#N/A</v>
      </c>
      <c r="Q3595" s="4" t="e">
        <f t="shared" si="281"/>
        <v>#N/A</v>
      </c>
      <c r="R3595" s="4" t="e">
        <f>IF(AND(B3595=1,N3595&gt;'Line Follower'!$C$7,SUM(C3595:K3595)&lt;4),1,0)</f>
        <v>#N/A</v>
      </c>
      <c r="S3595" s="4" t="e">
        <f>IF(AND(L3595=1,N3595&lt;'Line Follower'!$C$6,SUM(C3595:K3595)&lt;4),1,0)</f>
        <v>#N/A</v>
      </c>
      <c r="T3595" s="4" t="e">
        <f t="shared" si="282"/>
        <v>#N/A</v>
      </c>
      <c r="U3595" s="5" t="e">
        <f t="shared" si="283"/>
        <v>#N/A</v>
      </c>
      <c r="V3595" s="23" t="e">
        <f t="shared" si="284"/>
        <v>#N/A</v>
      </c>
    </row>
    <row r="3596" spans="2:22" x14ac:dyDescent="0.25">
      <c r="B3596" s="16">
        <v>1</v>
      </c>
      <c r="C3596" s="7">
        <v>0</v>
      </c>
      <c r="D3596" s="8">
        <v>0</v>
      </c>
      <c r="E3596" s="8">
        <v>1</v>
      </c>
      <c r="F3596" s="8">
        <v>0</v>
      </c>
      <c r="G3596" s="8">
        <v>0</v>
      </c>
      <c r="H3596" s="8">
        <v>0</v>
      </c>
      <c r="I3596" s="8">
        <v>0</v>
      </c>
      <c r="J3596" s="8">
        <v>0</v>
      </c>
      <c r="K3596" s="9">
        <v>1</v>
      </c>
      <c r="L3596" s="10">
        <v>1</v>
      </c>
      <c r="M3596" s="6">
        <v>1</v>
      </c>
      <c r="N3596" s="37" t="e" cm="1">
        <f t="array" ref="N3596">IF(OR(ISNUMBER(FIND(Aux!$D$3:$D$9,_xlfn.TEXTJOIN(,,C3596:K3596)))),NA(),IF(AND(SUM(C3596:F3596,H3596:K3596)=0,G3596=1),0,INT((SUMPRODUCT(C3596:F3596,COLUMN($A$1:$D$1)-1)+SUMPRODUCT(H3596:K3596,COLUMN($E$1:$H$1)-1))*'Line Follower'!$C$3/SUM(C3596:F3596,H3596:K3596)-'Line Follower'!$C$5)))</f>
        <v>#N/A</v>
      </c>
      <c r="O3596" s="22" t="e">
        <v>#N/A</v>
      </c>
      <c r="P3596" s="4" t="e">
        <f t="shared" si="280"/>
        <v>#N/A</v>
      </c>
      <c r="Q3596" s="4" t="e">
        <f t="shared" si="281"/>
        <v>#N/A</v>
      </c>
      <c r="R3596" s="4" t="e">
        <f>IF(AND(B3596=1,N3596&gt;'Line Follower'!$C$7,SUM(C3596:K3596)&lt;4),1,0)</f>
        <v>#N/A</v>
      </c>
      <c r="S3596" s="4" t="e">
        <f>IF(AND(L3596=1,N3596&lt;'Line Follower'!$C$6,SUM(C3596:K3596)&lt;4),1,0)</f>
        <v>#N/A</v>
      </c>
      <c r="T3596" s="4" t="e">
        <f t="shared" si="282"/>
        <v>#N/A</v>
      </c>
      <c r="U3596" s="5" t="e">
        <f t="shared" si="283"/>
        <v>#N/A</v>
      </c>
      <c r="V3596" s="23" t="e">
        <f t="shared" si="284"/>
        <v>#N/A</v>
      </c>
    </row>
    <row r="3597" spans="2:22" x14ac:dyDescent="0.25">
      <c r="B3597" s="16">
        <v>0</v>
      </c>
      <c r="C3597" s="7">
        <v>1</v>
      </c>
      <c r="D3597" s="8">
        <v>0</v>
      </c>
      <c r="E3597" s="8">
        <v>1</v>
      </c>
      <c r="F3597" s="8">
        <v>0</v>
      </c>
      <c r="G3597" s="8">
        <v>0</v>
      </c>
      <c r="H3597" s="8">
        <v>0</v>
      </c>
      <c r="I3597" s="8">
        <v>0</v>
      </c>
      <c r="J3597" s="8">
        <v>0</v>
      </c>
      <c r="K3597" s="9">
        <v>1</v>
      </c>
      <c r="L3597" s="10">
        <v>1</v>
      </c>
      <c r="M3597" s="6">
        <v>1</v>
      </c>
      <c r="N3597" s="37" t="e" cm="1">
        <f t="array" ref="N3597">IF(OR(ISNUMBER(FIND(Aux!$D$3:$D$9,_xlfn.TEXTJOIN(,,C3597:K3597)))),NA(),IF(AND(SUM(C3597:F3597,H3597:K3597)=0,G3597=1),0,INT((SUMPRODUCT(C3597:F3597,COLUMN($A$1:$D$1)-1)+SUMPRODUCT(H3597:K3597,COLUMN($E$1:$H$1)-1))*'Line Follower'!$C$3/SUM(C3597:F3597,H3597:K3597)-'Line Follower'!$C$5)))</f>
        <v>#N/A</v>
      </c>
      <c r="O3597" s="22" t="e">
        <v>#N/A</v>
      </c>
      <c r="P3597" s="4" t="e">
        <f t="shared" si="280"/>
        <v>#N/A</v>
      </c>
      <c r="Q3597" s="4" t="e">
        <f t="shared" si="281"/>
        <v>#N/A</v>
      </c>
      <c r="R3597" s="4" t="e">
        <f>IF(AND(B3597=1,N3597&gt;'Line Follower'!$C$7,SUM(C3597:K3597)&lt;4),1,0)</f>
        <v>#N/A</v>
      </c>
      <c r="S3597" s="4" t="e">
        <f>IF(AND(L3597=1,N3597&lt;'Line Follower'!$C$6,SUM(C3597:K3597)&lt;4),1,0)</f>
        <v>#N/A</v>
      </c>
      <c r="T3597" s="4" t="e">
        <f t="shared" si="282"/>
        <v>#N/A</v>
      </c>
      <c r="U3597" s="5" t="e">
        <f t="shared" si="283"/>
        <v>#N/A</v>
      </c>
      <c r="V3597" s="23" t="e">
        <f t="shared" si="284"/>
        <v>#N/A</v>
      </c>
    </row>
    <row r="3598" spans="2:22" x14ac:dyDescent="0.25">
      <c r="B3598" s="16">
        <v>1</v>
      </c>
      <c r="C3598" s="7">
        <v>1</v>
      </c>
      <c r="D3598" s="8">
        <v>0</v>
      </c>
      <c r="E3598" s="8">
        <v>1</v>
      </c>
      <c r="F3598" s="8">
        <v>0</v>
      </c>
      <c r="G3598" s="8">
        <v>0</v>
      </c>
      <c r="H3598" s="8">
        <v>0</v>
      </c>
      <c r="I3598" s="8">
        <v>0</v>
      </c>
      <c r="J3598" s="8">
        <v>0</v>
      </c>
      <c r="K3598" s="9">
        <v>1</v>
      </c>
      <c r="L3598" s="10">
        <v>1</v>
      </c>
      <c r="M3598" s="6">
        <v>1</v>
      </c>
      <c r="N3598" s="37" t="e" cm="1">
        <f t="array" ref="N3598">IF(OR(ISNUMBER(FIND(Aux!$D$3:$D$9,_xlfn.TEXTJOIN(,,C3598:K3598)))),NA(),IF(AND(SUM(C3598:F3598,H3598:K3598)=0,G3598=1),0,INT((SUMPRODUCT(C3598:F3598,COLUMN($A$1:$D$1)-1)+SUMPRODUCT(H3598:K3598,COLUMN($E$1:$H$1)-1))*'Line Follower'!$C$3/SUM(C3598:F3598,H3598:K3598)-'Line Follower'!$C$5)))</f>
        <v>#N/A</v>
      </c>
      <c r="O3598" s="22" t="e">
        <v>#N/A</v>
      </c>
      <c r="P3598" s="4" t="e">
        <f t="shared" si="280"/>
        <v>#N/A</v>
      </c>
      <c r="Q3598" s="4" t="e">
        <f t="shared" si="281"/>
        <v>#N/A</v>
      </c>
      <c r="R3598" s="4" t="e">
        <f>IF(AND(B3598=1,N3598&gt;'Line Follower'!$C$7,SUM(C3598:K3598)&lt;4),1,0)</f>
        <v>#N/A</v>
      </c>
      <c r="S3598" s="4" t="e">
        <f>IF(AND(L3598=1,N3598&lt;'Line Follower'!$C$6,SUM(C3598:K3598)&lt;4),1,0)</f>
        <v>#N/A</v>
      </c>
      <c r="T3598" s="4" t="e">
        <f t="shared" si="282"/>
        <v>#N/A</v>
      </c>
      <c r="U3598" s="5" t="e">
        <f t="shared" si="283"/>
        <v>#N/A</v>
      </c>
      <c r="V3598" s="23" t="e">
        <f t="shared" si="284"/>
        <v>#N/A</v>
      </c>
    </row>
    <row r="3599" spans="2:22" x14ac:dyDescent="0.25">
      <c r="B3599" s="16">
        <v>0</v>
      </c>
      <c r="C3599" s="7">
        <v>0</v>
      </c>
      <c r="D3599" s="8">
        <v>1</v>
      </c>
      <c r="E3599" s="8">
        <v>1</v>
      </c>
      <c r="F3599" s="8">
        <v>0</v>
      </c>
      <c r="G3599" s="8">
        <v>0</v>
      </c>
      <c r="H3599" s="8">
        <v>0</v>
      </c>
      <c r="I3599" s="8">
        <v>0</v>
      </c>
      <c r="J3599" s="8">
        <v>0</v>
      </c>
      <c r="K3599" s="9">
        <v>1</v>
      </c>
      <c r="L3599" s="10">
        <v>1</v>
      </c>
      <c r="M3599" s="6">
        <v>1</v>
      </c>
      <c r="N3599" s="37" t="e" cm="1">
        <f t="array" ref="N3599">IF(OR(ISNUMBER(FIND(Aux!$D$3:$D$9,_xlfn.TEXTJOIN(,,C3599:K3599)))),NA(),IF(AND(SUM(C3599:F3599,H3599:K3599)=0,G3599=1),0,INT((SUMPRODUCT(C3599:F3599,COLUMN($A$1:$D$1)-1)+SUMPRODUCT(H3599:K3599,COLUMN($E$1:$H$1)-1))*'Line Follower'!$C$3/SUM(C3599:F3599,H3599:K3599)-'Line Follower'!$C$5)))</f>
        <v>#N/A</v>
      </c>
      <c r="O3599" s="22" t="e">
        <v>#N/A</v>
      </c>
      <c r="P3599" s="4" t="e">
        <f t="shared" si="280"/>
        <v>#N/A</v>
      </c>
      <c r="Q3599" s="4" t="e">
        <f t="shared" si="281"/>
        <v>#N/A</v>
      </c>
      <c r="R3599" s="4" t="e">
        <f>IF(AND(B3599=1,N3599&gt;'Line Follower'!$C$7,SUM(C3599:K3599)&lt;4),1,0)</f>
        <v>#N/A</v>
      </c>
      <c r="S3599" s="4" t="e">
        <f>IF(AND(L3599=1,N3599&lt;'Line Follower'!$C$6,SUM(C3599:K3599)&lt;4),1,0)</f>
        <v>#N/A</v>
      </c>
      <c r="T3599" s="4" t="e">
        <f t="shared" si="282"/>
        <v>#N/A</v>
      </c>
      <c r="U3599" s="5" t="e">
        <f t="shared" si="283"/>
        <v>#N/A</v>
      </c>
      <c r="V3599" s="23" t="e">
        <f t="shared" si="284"/>
        <v>#N/A</v>
      </c>
    </row>
    <row r="3600" spans="2:22" x14ac:dyDescent="0.25">
      <c r="B3600" s="16">
        <v>1</v>
      </c>
      <c r="C3600" s="7">
        <v>0</v>
      </c>
      <c r="D3600" s="8">
        <v>1</v>
      </c>
      <c r="E3600" s="8">
        <v>1</v>
      </c>
      <c r="F3600" s="8">
        <v>0</v>
      </c>
      <c r="G3600" s="8">
        <v>0</v>
      </c>
      <c r="H3600" s="8">
        <v>0</v>
      </c>
      <c r="I3600" s="8">
        <v>0</v>
      </c>
      <c r="J3600" s="8">
        <v>0</v>
      </c>
      <c r="K3600" s="9">
        <v>1</v>
      </c>
      <c r="L3600" s="10">
        <v>1</v>
      </c>
      <c r="M3600" s="6">
        <v>1</v>
      </c>
      <c r="N3600" s="37" t="e" cm="1">
        <f t="array" ref="N3600">IF(OR(ISNUMBER(FIND(Aux!$D$3:$D$9,_xlfn.TEXTJOIN(,,C3600:K3600)))),NA(),IF(AND(SUM(C3600:F3600,H3600:K3600)=0,G3600=1),0,INT((SUMPRODUCT(C3600:F3600,COLUMN($A$1:$D$1)-1)+SUMPRODUCT(H3600:K3600,COLUMN($E$1:$H$1)-1))*'Line Follower'!$C$3/SUM(C3600:F3600,H3600:K3600)-'Line Follower'!$C$5)))</f>
        <v>#N/A</v>
      </c>
      <c r="O3600" s="22" t="e">
        <v>#N/A</v>
      </c>
      <c r="P3600" s="4" t="e">
        <f t="shared" si="280"/>
        <v>#N/A</v>
      </c>
      <c r="Q3600" s="4" t="e">
        <f t="shared" si="281"/>
        <v>#N/A</v>
      </c>
      <c r="R3600" s="4" t="e">
        <f>IF(AND(B3600=1,N3600&gt;'Line Follower'!$C$7,SUM(C3600:K3600)&lt;4),1,0)</f>
        <v>#N/A</v>
      </c>
      <c r="S3600" s="4" t="e">
        <f>IF(AND(L3600=1,N3600&lt;'Line Follower'!$C$6,SUM(C3600:K3600)&lt;4),1,0)</f>
        <v>#N/A</v>
      </c>
      <c r="T3600" s="4" t="e">
        <f t="shared" si="282"/>
        <v>#N/A</v>
      </c>
      <c r="U3600" s="5" t="e">
        <f t="shared" si="283"/>
        <v>#N/A</v>
      </c>
      <c r="V3600" s="23" t="e">
        <f t="shared" si="284"/>
        <v>#N/A</v>
      </c>
    </row>
    <row r="3601" spans="2:22" x14ac:dyDescent="0.25">
      <c r="B3601" s="16">
        <v>0</v>
      </c>
      <c r="C3601" s="7">
        <v>1</v>
      </c>
      <c r="D3601" s="8">
        <v>1</v>
      </c>
      <c r="E3601" s="8">
        <v>1</v>
      </c>
      <c r="F3601" s="8">
        <v>0</v>
      </c>
      <c r="G3601" s="8">
        <v>0</v>
      </c>
      <c r="H3601" s="8">
        <v>0</v>
      </c>
      <c r="I3601" s="8">
        <v>0</v>
      </c>
      <c r="J3601" s="8">
        <v>0</v>
      </c>
      <c r="K3601" s="9">
        <v>1</v>
      </c>
      <c r="L3601" s="10">
        <v>1</v>
      </c>
      <c r="M3601" s="6">
        <v>1</v>
      </c>
      <c r="N3601" s="37" t="e" cm="1">
        <f t="array" ref="N3601">IF(OR(ISNUMBER(FIND(Aux!$D$3:$D$9,_xlfn.TEXTJOIN(,,C3601:K3601)))),NA(),IF(AND(SUM(C3601:F3601,H3601:K3601)=0,G3601=1),0,INT((SUMPRODUCT(C3601:F3601,COLUMN($A$1:$D$1)-1)+SUMPRODUCT(H3601:K3601,COLUMN($E$1:$H$1)-1))*'Line Follower'!$C$3/SUM(C3601:F3601,H3601:K3601)-'Line Follower'!$C$5)))</f>
        <v>#N/A</v>
      </c>
      <c r="O3601" s="22" t="e">
        <v>#N/A</v>
      </c>
      <c r="P3601" s="4" t="e">
        <f t="shared" si="280"/>
        <v>#N/A</v>
      </c>
      <c r="Q3601" s="4" t="e">
        <f t="shared" si="281"/>
        <v>#N/A</v>
      </c>
      <c r="R3601" s="4" t="e">
        <f>IF(AND(B3601=1,N3601&gt;'Line Follower'!$C$7,SUM(C3601:K3601)&lt;4),1,0)</f>
        <v>#N/A</v>
      </c>
      <c r="S3601" s="4" t="e">
        <f>IF(AND(L3601=1,N3601&lt;'Line Follower'!$C$6,SUM(C3601:K3601)&lt;4),1,0)</f>
        <v>#N/A</v>
      </c>
      <c r="T3601" s="4" t="e">
        <f t="shared" si="282"/>
        <v>#N/A</v>
      </c>
      <c r="U3601" s="5" t="e">
        <f t="shared" si="283"/>
        <v>#N/A</v>
      </c>
      <c r="V3601" s="23" t="e">
        <f t="shared" si="284"/>
        <v>#N/A</v>
      </c>
    </row>
    <row r="3602" spans="2:22" x14ac:dyDescent="0.25">
      <c r="B3602" s="16">
        <v>1</v>
      </c>
      <c r="C3602" s="7">
        <v>1</v>
      </c>
      <c r="D3602" s="8">
        <v>1</v>
      </c>
      <c r="E3602" s="8">
        <v>1</v>
      </c>
      <c r="F3602" s="8">
        <v>0</v>
      </c>
      <c r="G3602" s="8">
        <v>0</v>
      </c>
      <c r="H3602" s="8">
        <v>0</v>
      </c>
      <c r="I3602" s="8">
        <v>0</v>
      </c>
      <c r="J3602" s="8">
        <v>0</v>
      </c>
      <c r="K3602" s="9">
        <v>1</v>
      </c>
      <c r="L3602" s="10">
        <v>1</v>
      </c>
      <c r="M3602" s="6">
        <v>1</v>
      </c>
      <c r="N3602" s="37" t="e" cm="1">
        <f t="array" ref="N3602">IF(OR(ISNUMBER(FIND(Aux!$D$3:$D$9,_xlfn.TEXTJOIN(,,C3602:K3602)))),NA(),IF(AND(SUM(C3602:F3602,H3602:K3602)=0,G3602=1),0,INT((SUMPRODUCT(C3602:F3602,COLUMN($A$1:$D$1)-1)+SUMPRODUCT(H3602:K3602,COLUMN($E$1:$H$1)-1))*'Line Follower'!$C$3/SUM(C3602:F3602,H3602:K3602)-'Line Follower'!$C$5)))</f>
        <v>#N/A</v>
      </c>
      <c r="O3602" s="22" t="e">
        <v>#N/A</v>
      </c>
      <c r="P3602" s="4" t="e">
        <f t="shared" si="280"/>
        <v>#N/A</v>
      </c>
      <c r="Q3602" s="4" t="e">
        <f t="shared" si="281"/>
        <v>#N/A</v>
      </c>
      <c r="R3602" s="4" t="e">
        <f>IF(AND(B3602=1,N3602&gt;'Line Follower'!$C$7,SUM(C3602:K3602)&lt;4),1,0)</f>
        <v>#N/A</v>
      </c>
      <c r="S3602" s="4" t="e">
        <f>IF(AND(L3602=1,N3602&lt;'Line Follower'!$C$6,SUM(C3602:K3602)&lt;4),1,0)</f>
        <v>#N/A</v>
      </c>
      <c r="T3602" s="4" t="e">
        <f t="shared" si="282"/>
        <v>#N/A</v>
      </c>
      <c r="U3602" s="5" t="e">
        <f t="shared" si="283"/>
        <v>#N/A</v>
      </c>
      <c r="V3602" s="23" t="e">
        <f t="shared" si="284"/>
        <v>#N/A</v>
      </c>
    </row>
    <row r="3603" spans="2:22" x14ac:dyDescent="0.25">
      <c r="B3603" s="16">
        <v>0</v>
      </c>
      <c r="C3603" s="7">
        <v>0</v>
      </c>
      <c r="D3603" s="8">
        <v>0</v>
      </c>
      <c r="E3603" s="8">
        <v>0</v>
      </c>
      <c r="F3603" s="8">
        <v>1</v>
      </c>
      <c r="G3603" s="8">
        <v>0</v>
      </c>
      <c r="H3603" s="8">
        <v>0</v>
      </c>
      <c r="I3603" s="8">
        <v>0</v>
      </c>
      <c r="J3603" s="8">
        <v>0</v>
      </c>
      <c r="K3603" s="9">
        <v>1</v>
      </c>
      <c r="L3603" s="10">
        <v>1</v>
      </c>
      <c r="M3603" s="6">
        <v>1</v>
      </c>
      <c r="N3603" s="37" t="e" cm="1">
        <f t="array" ref="N3603">IF(OR(ISNUMBER(FIND(Aux!$D$3:$D$9,_xlfn.TEXTJOIN(,,C3603:K3603)))),NA(),IF(AND(SUM(C3603:F3603,H3603:K3603)=0,G3603=1),0,INT((SUMPRODUCT(C3603:F3603,COLUMN($A$1:$D$1)-1)+SUMPRODUCT(H3603:K3603,COLUMN($E$1:$H$1)-1))*'Line Follower'!$C$3/SUM(C3603:F3603,H3603:K3603)-'Line Follower'!$C$5)))</f>
        <v>#N/A</v>
      </c>
      <c r="O3603" s="22" t="e">
        <v>#N/A</v>
      </c>
      <c r="P3603" s="4" t="e">
        <f t="shared" si="280"/>
        <v>#N/A</v>
      </c>
      <c r="Q3603" s="4" t="e">
        <f t="shared" si="281"/>
        <v>#N/A</v>
      </c>
      <c r="R3603" s="4" t="e">
        <f>IF(AND(B3603=1,N3603&gt;'Line Follower'!$C$7,SUM(C3603:K3603)&lt;4),1,0)</f>
        <v>#N/A</v>
      </c>
      <c r="S3603" s="4" t="e">
        <f>IF(AND(L3603=1,N3603&lt;'Line Follower'!$C$6,SUM(C3603:K3603)&lt;4),1,0)</f>
        <v>#N/A</v>
      </c>
      <c r="T3603" s="4" t="e">
        <f t="shared" si="282"/>
        <v>#N/A</v>
      </c>
      <c r="U3603" s="5" t="e">
        <f t="shared" si="283"/>
        <v>#N/A</v>
      </c>
      <c r="V3603" s="23" t="e">
        <f t="shared" si="284"/>
        <v>#N/A</v>
      </c>
    </row>
    <row r="3604" spans="2:22" x14ac:dyDescent="0.25">
      <c r="B3604" s="16">
        <v>1</v>
      </c>
      <c r="C3604" s="7">
        <v>0</v>
      </c>
      <c r="D3604" s="8">
        <v>0</v>
      </c>
      <c r="E3604" s="8">
        <v>0</v>
      </c>
      <c r="F3604" s="8">
        <v>1</v>
      </c>
      <c r="G3604" s="8">
        <v>0</v>
      </c>
      <c r="H3604" s="8">
        <v>0</v>
      </c>
      <c r="I3604" s="8">
        <v>0</v>
      </c>
      <c r="J3604" s="8">
        <v>0</v>
      </c>
      <c r="K3604" s="9">
        <v>1</v>
      </c>
      <c r="L3604" s="10">
        <v>1</v>
      </c>
      <c r="M3604" s="6">
        <v>1</v>
      </c>
      <c r="N3604" s="37" t="e" cm="1">
        <f t="array" ref="N3604">IF(OR(ISNUMBER(FIND(Aux!$D$3:$D$9,_xlfn.TEXTJOIN(,,C3604:K3604)))),NA(),IF(AND(SUM(C3604:F3604,H3604:K3604)=0,G3604=1),0,INT((SUMPRODUCT(C3604:F3604,COLUMN($A$1:$D$1)-1)+SUMPRODUCT(H3604:K3604,COLUMN($E$1:$H$1)-1))*'Line Follower'!$C$3/SUM(C3604:F3604,H3604:K3604)-'Line Follower'!$C$5)))</f>
        <v>#N/A</v>
      </c>
      <c r="O3604" s="22" t="e">
        <v>#N/A</v>
      </c>
      <c r="P3604" s="4" t="e">
        <f t="shared" si="280"/>
        <v>#N/A</v>
      </c>
      <c r="Q3604" s="4" t="e">
        <f t="shared" si="281"/>
        <v>#N/A</v>
      </c>
      <c r="R3604" s="4" t="e">
        <f>IF(AND(B3604=1,N3604&gt;'Line Follower'!$C$7,SUM(C3604:K3604)&lt;4),1,0)</f>
        <v>#N/A</v>
      </c>
      <c r="S3604" s="4" t="e">
        <f>IF(AND(L3604=1,N3604&lt;'Line Follower'!$C$6,SUM(C3604:K3604)&lt;4),1,0)</f>
        <v>#N/A</v>
      </c>
      <c r="T3604" s="4" t="e">
        <f t="shared" si="282"/>
        <v>#N/A</v>
      </c>
      <c r="U3604" s="5" t="e">
        <f t="shared" si="283"/>
        <v>#N/A</v>
      </c>
      <c r="V3604" s="23" t="e">
        <f t="shared" si="284"/>
        <v>#N/A</v>
      </c>
    </row>
    <row r="3605" spans="2:22" x14ac:dyDescent="0.25">
      <c r="B3605" s="16">
        <v>0</v>
      </c>
      <c r="C3605" s="7">
        <v>1</v>
      </c>
      <c r="D3605" s="8">
        <v>0</v>
      </c>
      <c r="E3605" s="8">
        <v>0</v>
      </c>
      <c r="F3605" s="8">
        <v>1</v>
      </c>
      <c r="G3605" s="8">
        <v>0</v>
      </c>
      <c r="H3605" s="8">
        <v>0</v>
      </c>
      <c r="I3605" s="8">
        <v>0</v>
      </c>
      <c r="J3605" s="8">
        <v>0</v>
      </c>
      <c r="K3605" s="9">
        <v>1</v>
      </c>
      <c r="L3605" s="10">
        <v>1</v>
      </c>
      <c r="M3605" s="6">
        <v>1</v>
      </c>
      <c r="N3605" s="37" t="e" cm="1">
        <f t="array" ref="N3605">IF(OR(ISNUMBER(FIND(Aux!$D$3:$D$9,_xlfn.TEXTJOIN(,,C3605:K3605)))),NA(),IF(AND(SUM(C3605:F3605,H3605:K3605)=0,G3605=1),0,INT((SUMPRODUCT(C3605:F3605,COLUMN($A$1:$D$1)-1)+SUMPRODUCT(H3605:K3605,COLUMN($E$1:$H$1)-1))*'Line Follower'!$C$3/SUM(C3605:F3605,H3605:K3605)-'Line Follower'!$C$5)))</f>
        <v>#N/A</v>
      </c>
      <c r="O3605" s="22" t="e">
        <v>#N/A</v>
      </c>
      <c r="P3605" s="4" t="e">
        <f t="shared" si="280"/>
        <v>#N/A</v>
      </c>
      <c r="Q3605" s="4" t="e">
        <f t="shared" si="281"/>
        <v>#N/A</v>
      </c>
      <c r="R3605" s="4" t="e">
        <f>IF(AND(B3605=1,N3605&gt;'Line Follower'!$C$7,SUM(C3605:K3605)&lt;4),1,0)</f>
        <v>#N/A</v>
      </c>
      <c r="S3605" s="4" t="e">
        <f>IF(AND(L3605=1,N3605&lt;'Line Follower'!$C$6,SUM(C3605:K3605)&lt;4),1,0)</f>
        <v>#N/A</v>
      </c>
      <c r="T3605" s="4" t="e">
        <f t="shared" si="282"/>
        <v>#N/A</v>
      </c>
      <c r="U3605" s="5" t="e">
        <f t="shared" si="283"/>
        <v>#N/A</v>
      </c>
      <c r="V3605" s="23" t="e">
        <f t="shared" si="284"/>
        <v>#N/A</v>
      </c>
    </row>
    <row r="3606" spans="2:22" x14ac:dyDescent="0.25">
      <c r="B3606" s="16">
        <v>1</v>
      </c>
      <c r="C3606" s="7">
        <v>1</v>
      </c>
      <c r="D3606" s="8">
        <v>0</v>
      </c>
      <c r="E3606" s="8">
        <v>0</v>
      </c>
      <c r="F3606" s="8">
        <v>1</v>
      </c>
      <c r="G3606" s="8">
        <v>0</v>
      </c>
      <c r="H3606" s="8">
        <v>0</v>
      </c>
      <c r="I3606" s="8">
        <v>0</v>
      </c>
      <c r="J3606" s="8">
        <v>0</v>
      </c>
      <c r="K3606" s="9">
        <v>1</v>
      </c>
      <c r="L3606" s="10">
        <v>1</v>
      </c>
      <c r="M3606" s="6">
        <v>1</v>
      </c>
      <c r="N3606" s="37" t="e" cm="1">
        <f t="array" ref="N3606">IF(OR(ISNUMBER(FIND(Aux!$D$3:$D$9,_xlfn.TEXTJOIN(,,C3606:K3606)))),NA(),IF(AND(SUM(C3606:F3606,H3606:K3606)=0,G3606=1),0,INT((SUMPRODUCT(C3606:F3606,COLUMN($A$1:$D$1)-1)+SUMPRODUCT(H3606:K3606,COLUMN($E$1:$H$1)-1))*'Line Follower'!$C$3/SUM(C3606:F3606,H3606:K3606)-'Line Follower'!$C$5)))</f>
        <v>#N/A</v>
      </c>
      <c r="O3606" s="22" t="e">
        <v>#N/A</v>
      </c>
      <c r="P3606" s="4" t="e">
        <f t="shared" si="280"/>
        <v>#N/A</v>
      </c>
      <c r="Q3606" s="4" t="e">
        <f t="shared" si="281"/>
        <v>#N/A</v>
      </c>
      <c r="R3606" s="4" t="e">
        <f>IF(AND(B3606=1,N3606&gt;'Line Follower'!$C$7,SUM(C3606:K3606)&lt;4),1,0)</f>
        <v>#N/A</v>
      </c>
      <c r="S3606" s="4" t="e">
        <f>IF(AND(L3606=1,N3606&lt;'Line Follower'!$C$6,SUM(C3606:K3606)&lt;4),1,0)</f>
        <v>#N/A</v>
      </c>
      <c r="T3606" s="4" t="e">
        <f t="shared" si="282"/>
        <v>#N/A</v>
      </c>
      <c r="U3606" s="5" t="e">
        <f t="shared" si="283"/>
        <v>#N/A</v>
      </c>
      <c r="V3606" s="23" t="e">
        <f t="shared" si="284"/>
        <v>#N/A</v>
      </c>
    </row>
    <row r="3607" spans="2:22" x14ac:dyDescent="0.25">
      <c r="B3607" s="16">
        <v>0</v>
      </c>
      <c r="C3607" s="7">
        <v>0</v>
      </c>
      <c r="D3607" s="8">
        <v>1</v>
      </c>
      <c r="E3607" s="8">
        <v>0</v>
      </c>
      <c r="F3607" s="8">
        <v>1</v>
      </c>
      <c r="G3607" s="8">
        <v>0</v>
      </c>
      <c r="H3607" s="8">
        <v>0</v>
      </c>
      <c r="I3607" s="8">
        <v>0</v>
      </c>
      <c r="J3607" s="8">
        <v>0</v>
      </c>
      <c r="K3607" s="9">
        <v>1</v>
      </c>
      <c r="L3607" s="10">
        <v>1</v>
      </c>
      <c r="M3607" s="6">
        <v>1</v>
      </c>
      <c r="N3607" s="37" t="e" cm="1">
        <f t="array" ref="N3607">IF(OR(ISNUMBER(FIND(Aux!$D$3:$D$9,_xlfn.TEXTJOIN(,,C3607:K3607)))),NA(),IF(AND(SUM(C3607:F3607,H3607:K3607)=0,G3607=1),0,INT((SUMPRODUCT(C3607:F3607,COLUMN($A$1:$D$1)-1)+SUMPRODUCT(H3607:K3607,COLUMN($E$1:$H$1)-1))*'Line Follower'!$C$3/SUM(C3607:F3607,H3607:K3607)-'Line Follower'!$C$5)))</f>
        <v>#N/A</v>
      </c>
      <c r="O3607" s="22" t="e">
        <v>#N/A</v>
      </c>
      <c r="P3607" s="4" t="e">
        <f t="shared" si="280"/>
        <v>#N/A</v>
      </c>
      <c r="Q3607" s="4" t="e">
        <f t="shared" si="281"/>
        <v>#N/A</v>
      </c>
      <c r="R3607" s="4" t="e">
        <f>IF(AND(B3607=1,N3607&gt;'Line Follower'!$C$7,SUM(C3607:K3607)&lt;4),1,0)</f>
        <v>#N/A</v>
      </c>
      <c r="S3607" s="4" t="e">
        <f>IF(AND(L3607=1,N3607&lt;'Line Follower'!$C$6,SUM(C3607:K3607)&lt;4),1,0)</f>
        <v>#N/A</v>
      </c>
      <c r="T3607" s="4" t="e">
        <f t="shared" si="282"/>
        <v>#N/A</v>
      </c>
      <c r="U3607" s="5" t="e">
        <f t="shared" si="283"/>
        <v>#N/A</v>
      </c>
      <c r="V3607" s="23" t="e">
        <f t="shared" si="284"/>
        <v>#N/A</v>
      </c>
    </row>
    <row r="3608" spans="2:22" x14ac:dyDescent="0.25">
      <c r="B3608" s="16">
        <v>1</v>
      </c>
      <c r="C3608" s="7">
        <v>0</v>
      </c>
      <c r="D3608" s="8">
        <v>1</v>
      </c>
      <c r="E3608" s="8">
        <v>0</v>
      </c>
      <c r="F3608" s="8">
        <v>1</v>
      </c>
      <c r="G3608" s="8">
        <v>0</v>
      </c>
      <c r="H3608" s="8">
        <v>0</v>
      </c>
      <c r="I3608" s="8">
        <v>0</v>
      </c>
      <c r="J3608" s="8">
        <v>0</v>
      </c>
      <c r="K3608" s="9">
        <v>1</v>
      </c>
      <c r="L3608" s="10">
        <v>1</v>
      </c>
      <c r="M3608" s="6">
        <v>1</v>
      </c>
      <c r="N3608" s="37" t="e" cm="1">
        <f t="array" ref="N3608">IF(OR(ISNUMBER(FIND(Aux!$D$3:$D$9,_xlfn.TEXTJOIN(,,C3608:K3608)))),NA(),IF(AND(SUM(C3608:F3608,H3608:K3608)=0,G3608=1),0,INT((SUMPRODUCT(C3608:F3608,COLUMN($A$1:$D$1)-1)+SUMPRODUCT(H3608:K3608,COLUMN($E$1:$H$1)-1))*'Line Follower'!$C$3/SUM(C3608:F3608,H3608:K3608)-'Line Follower'!$C$5)))</f>
        <v>#N/A</v>
      </c>
      <c r="O3608" s="22" t="e">
        <v>#N/A</v>
      </c>
      <c r="P3608" s="4" t="e">
        <f t="shared" si="280"/>
        <v>#N/A</v>
      </c>
      <c r="Q3608" s="4" t="e">
        <f t="shared" si="281"/>
        <v>#N/A</v>
      </c>
      <c r="R3608" s="4" t="e">
        <f>IF(AND(B3608=1,N3608&gt;'Line Follower'!$C$7,SUM(C3608:K3608)&lt;4),1,0)</f>
        <v>#N/A</v>
      </c>
      <c r="S3608" s="4" t="e">
        <f>IF(AND(L3608=1,N3608&lt;'Line Follower'!$C$6,SUM(C3608:K3608)&lt;4),1,0)</f>
        <v>#N/A</v>
      </c>
      <c r="T3608" s="4" t="e">
        <f t="shared" si="282"/>
        <v>#N/A</v>
      </c>
      <c r="U3608" s="5" t="e">
        <f t="shared" si="283"/>
        <v>#N/A</v>
      </c>
      <c r="V3608" s="23" t="e">
        <f t="shared" si="284"/>
        <v>#N/A</v>
      </c>
    </row>
    <row r="3609" spans="2:22" x14ac:dyDescent="0.25">
      <c r="B3609" s="16">
        <v>0</v>
      </c>
      <c r="C3609" s="7">
        <v>1</v>
      </c>
      <c r="D3609" s="8">
        <v>1</v>
      </c>
      <c r="E3609" s="8">
        <v>0</v>
      </c>
      <c r="F3609" s="8">
        <v>1</v>
      </c>
      <c r="G3609" s="8">
        <v>0</v>
      </c>
      <c r="H3609" s="8">
        <v>0</v>
      </c>
      <c r="I3609" s="8">
        <v>0</v>
      </c>
      <c r="J3609" s="8">
        <v>0</v>
      </c>
      <c r="K3609" s="9">
        <v>1</v>
      </c>
      <c r="L3609" s="10">
        <v>1</v>
      </c>
      <c r="M3609" s="6">
        <v>1</v>
      </c>
      <c r="N3609" s="37" t="e" cm="1">
        <f t="array" ref="N3609">IF(OR(ISNUMBER(FIND(Aux!$D$3:$D$9,_xlfn.TEXTJOIN(,,C3609:K3609)))),NA(),IF(AND(SUM(C3609:F3609,H3609:K3609)=0,G3609=1),0,INT((SUMPRODUCT(C3609:F3609,COLUMN($A$1:$D$1)-1)+SUMPRODUCT(H3609:K3609,COLUMN($E$1:$H$1)-1))*'Line Follower'!$C$3/SUM(C3609:F3609,H3609:K3609)-'Line Follower'!$C$5)))</f>
        <v>#N/A</v>
      </c>
      <c r="O3609" s="22" t="e">
        <v>#N/A</v>
      </c>
      <c r="P3609" s="4" t="e">
        <f t="shared" si="280"/>
        <v>#N/A</v>
      </c>
      <c r="Q3609" s="4" t="e">
        <f t="shared" si="281"/>
        <v>#N/A</v>
      </c>
      <c r="R3609" s="4" t="e">
        <f>IF(AND(B3609=1,N3609&gt;'Line Follower'!$C$7,SUM(C3609:K3609)&lt;4),1,0)</f>
        <v>#N/A</v>
      </c>
      <c r="S3609" s="4" t="e">
        <f>IF(AND(L3609=1,N3609&lt;'Line Follower'!$C$6,SUM(C3609:K3609)&lt;4),1,0)</f>
        <v>#N/A</v>
      </c>
      <c r="T3609" s="4" t="e">
        <f t="shared" si="282"/>
        <v>#N/A</v>
      </c>
      <c r="U3609" s="5" t="e">
        <f t="shared" si="283"/>
        <v>#N/A</v>
      </c>
      <c r="V3609" s="23" t="e">
        <f t="shared" si="284"/>
        <v>#N/A</v>
      </c>
    </row>
    <row r="3610" spans="2:22" x14ac:dyDescent="0.25">
      <c r="B3610" s="16">
        <v>1</v>
      </c>
      <c r="C3610" s="7">
        <v>1</v>
      </c>
      <c r="D3610" s="8">
        <v>1</v>
      </c>
      <c r="E3610" s="8">
        <v>0</v>
      </c>
      <c r="F3610" s="8">
        <v>1</v>
      </c>
      <c r="G3610" s="8">
        <v>0</v>
      </c>
      <c r="H3610" s="8">
        <v>0</v>
      </c>
      <c r="I3610" s="8">
        <v>0</v>
      </c>
      <c r="J3610" s="8">
        <v>0</v>
      </c>
      <c r="K3610" s="9">
        <v>1</v>
      </c>
      <c r="L3610" s="10">
        <v>1</v>
      </c>
      <c r="M3610" s="6">
        <v>1</v>
      </c>
      <c r="N3610" s="37" t="e" cm="1">
        <f t="array" ref="N3610">IF(OR(ISNUMBER(FIND(Aux!$D$3:$D$9,_xlfn.TEXTJOIN(,,C3610:K3610)))),NA(),IF(AND(SUM(C3610:F3610,H3610:K3610)=0,G3610=1),0,INT((SUMPRODUCT(C3610:F3610,COLUMN($A$1:$D$1)-1)+SUMPRODUCT(H3610:K3610,COLUMN($E$1:$H$1)-1))*'Line Follower'!$C$3/SUM(C3610:F3610,H3610:K3610)-'Line Follower'!$C$5)))</f>
        <v>#N/A</v>
      </c>
      <c r="O3610" s="22" t="e">
        <v>#N/A</v>
      </c>
      <c r="P3610" s="4" t="e">
        <f t="shared" si="280"/>
        <v>#N/A</v>
      </c>
      <c r="Q3610" s="4" t="e">
        <f t="shared" si="281"/>
        <v>#N/A</v>
      </c>
      <c r="R3610" s="4" t="e">
        <f>IF(AND(B3610=1,N3610&gt;'Line Follower'!$C$7,SUM(C3610:K3610)&lt;4),1,0)</f>
        <v>#N/A</v>
      </c>
      <c r="S3610" s="4" t="e">
        <f>IF(AND(L3610=1,N3610&lt;'Line Follower'!$C$6,SUM(C3610:K3610)&lt;4),1,0)</f>
        <v>#N/A</v>
      </c>
      <c r="T3610" s="4" t="e">
        <f t="shared" si="282"/>
        <v>#N/A</v>
      </c>
      <c r="U3610" s="5" t="e">
        <f t="shared" si="283"/>
        <v>#N/A</v>
      </c>
      <c r="V3610" s="23" t="e">
        <f t="shared" si="284"/>
        <v>#N/A</v>
      </c>
    </row>
    <row r="3611" spans="2:22" x14ac:dyDescent="0.25">
      <c r="B3611" s="16">
        <v>0</v>
      </c>
      <c r="C3611" s="7">
        <v>0</v>
      </c>
      <c r="D3611" s="8">
        <v>0</v>
      </c>
      <c r="E3611" s="8">
        <v>1</v>
      </c>
      <c r="F3611" s="8">
        <v>1</v>
      </c>
      <c r="G3611" s="8">
        <v>0</v>
      </c>
      <c r="H3611" s="8">
        <v>0</v>
      </c>
      <c r="I3611" s="8">
        <v>0</v>
      </c>
      <c r="J3611" s="8">
        <v>0</v>
      </c>
      <c r="K3611" s="9">
        <v>1</v>
      </c>
      <c r="L3611" s="10">
        <v>1</v>
      </c>
      <c r="M3611" s="6">
        <v>1</v>
      </c>
      <c r="N3611" s="37" t="e" cm="1">
        <f t="array" ref="N3611">IF(OR(ISNUMBER(FIND(Aux!$D$3:$D$9,_xlfn.TEXTJOIN(,,C3611:K3611)))),NA(),IF(AND(SUM(C3611:F3611,H3611:K3611)=0,G3611=1),0,INT((SUMPRODUCT(C3611:F3611,COLUMN($A$1:$D$1)-1)+SUMPRODUCT(H3611:K3611,COLUMN($E$1:$H$1)-1))*'Line Follower'!$C$3/SUM(C3611:F3611,H3611:K3611)-'Line Follower'!$C$5)))</f>
        <v>#N/A</v>
      </c>
      <c r="O3611" s="22" t="e">
        <v>#N/A</v>
      </c>
      <c r="P3611" s="4" t="e">
        <f t="shared" si="280"/>
        <v>#N/A</v>
      </c>
      <c r="Q3611" s="4" t="e">
        <f t="shared" si="281"/>
        <v>#N/A</v>
      </c>
      <c r="R3611" s="4" t="e">
        <f>IF(AND(B3611=1,N3611&gt;'Line Follower'!$C$7,SUM(C3611:K3611)&lt;4),1,0)</f>
        <v>#N/A</v>
      </c>
      <c r="S3611" s="4" t="e">
        <f>IF(AND(L3611=1,N3611&lt;'Line Follower'!$C$6,SUM(C3611:K3611)&lt;4),1,0)</f>
        <v>#N/A</v>
      </c>
      <c r="T3611" s="4" t="e">
        <f t="shared" si="282"/>
        <v>#N/A</v>
      </c>
      <c r="U3611" s="5" t="e">
        <f t="shared" si="283"/>
        <v>#N/A</v>
      </c>
      <c r="V3611" s="23" t="e">
        <f t="shared" si="284"/>
        <v>#N/A</v>
      </c>
    </row>
    <row r="3612" spans="2:22" x14ac:dyDescent="0.25">
      <c r="B3612" s="16">
        <v>1</v>
      </c>
      <c r="C3612" s="7">
        <v>0</v>
      </c>
      <c r="D3612" s="8">
        <v>0</v>
      </c>
      <c r="E3612" s="8">
        <v>1</v>
      </c>
      <c r="F3612" s="8">
        <v>1</v>
      </c>
      <c r="G3612" s="8">
        <v>0</v>
      </c>
      <c r="H3612" s="8">
        <v>0</v>
      </c>
      <c r="I3612" s="8">
        <v>0</v>
      </c>
      <c r="J3612" s="8">
        <v>0</v>
      </c>
      <c r="K3612" s="9">
        <v>1</v>
      </c>
      <c r="L3612" s="10">
        <v>1</v>
      </c>
      <c r="M3612" s="6">
        <v>1</v>
      </c>
      <c r="N3612" s="37" t="e" cm="1">
        <f t="array" ref="N3612">IF(OR(ISNUMBER(FIND(Aux!$D$3:$D$9,_xlfn.TEXTJOIN(,,C3612:K3612)))),NA(),IF(AND(SUM(C3612:F3612,H3612:K3612)=0,G3612=1),0,INT((SUMPRODUCT(C3612:F3612,COLUMN($A$1:$D$1)-1)+SUMPRODUCT(H3612:K3612,COLUMN($E$1:$H$1)-1))*'Line Follower'!$C$3/SUM(C3612:F3612,H3612:K3612)-'Line Follower'!$C$5)))</f>
        <v>#N/A</v>
      </c>
      <c r="O3612" s="22" t="e">
        <v>#N/A</v>
      </c>
      <c r="P3612" s="4" t="e">
        <f t="shared" si="280"/>
        <v>#N/A</v>
      </c>
      <c r="Q3612" s="4" t="e">
        <f t="shared" si="281"/>
        <v>#N/A</v>
      </c>
      <c r="R3612" s="4" t="e">
        <f>IF(AND(B3612=1,N3612&gt;'Line Follower'!$C$7,SUM(C3612:K3612)&lt;4),1,0)</f>
        <v>#N/A</v>
      </c>
      <c r="S3612" s="4" t="e">
        <f>IF(AND(L3612=1,N3612&lt;'Line Follower'!$C$6,SUM(C3612:K3612)&lt;4),1,0)</f>
        <v>#N/A</v>
      </c>
      <c r="T3612" s="4" t="e">
        <f t="shared" si="282"/>
        <v>#N/A</v>
      </c>
      <c r="U3612" s="5" t="e">
        <f t="shared" si="283"/>
        <v>#N/A</v>
      </c>
      <c r="V3612" s="23" t="e">
        <f t="shared" si="284"/>
        <v>#N/A</v>
      </c>
    </row>
    <row r="3613" spans="2:22" x14ac:dyDescent="0.25">
      <c r="B3613" s="16">
        <v>0</v>
      </c>
      <c r="C3613" s="7">
        <v>1</v>
      </c>
      <c r="D3613" s="8">
        <v>0</v>
      </c>
      <c r="E3613" s="8">
        <v>1</v>
      </c>
      <c r="F3613" s="8">
        <v>1</v>
      </c>
      <c r="G3613" s="8">
        <v>0</v>
      </c>
      <c r="H3613" s="8">
        <v>0</v>
      </c>
      <c r="I3613" s="8">
        <v>0</v>
      </c>
      <c r="J3613" s="8">
        <v>0</v>
      </c>
      <c r="K3613" s="9">
        <v>1</v>
      </c>
      <c r="L3613" s="10">
        <v>1</v>
      </c>
      <c r="M3613" s="6">
        <v>1</v>
      </c>
      <c r="N3613" s="37" t="e" cm="1">
        <f t="array" ref="N3613">IF(OR(ISNUMBER(FIND(Aux!$D$3:$D$9,_xlfn.TEXTJOIN(,,C3613:K3613)))),NA(),IF(AND(SUM(C3613:F3613,H3613:K3613)=0,G3613=1),0,INT((SUMPRODUCT(C3613:F3613,COLUMN($A$1:$D$1)-1)+SUMPRODUCT(H3613:K3613,COLUMN($E$1:$H$1)-1))*'Line Follower'!$C$3/SUM(C3613:F3613,H3613:K3613)-'Line Follower'!$C$5)))</f>
        <v>#N/A</v>
      </c>
      <c r="O3613" s="22" t="e">
        <v>#N/A</v>
      </c>
      <c r="P3613" s="4" t="e">
        <f t="shared" si="280"/>
        <v>#N/A</v>
      </c>
      <c r="Q3613" s="4" t="e">
        <f t="shared" si="281"/>
        <v>#N/A</v>
      </c>
      <c r="R3613" s="4" t="e">
        <f>IF(AND(B3613=1,N3613&gt;'Line Follower'!$C$7,SUM(C3613:K3613)&lt;4),1,0)</f>
        <v>#N/A</v>
      </c>
      <c r="S3613" s="4" t="e">
        <f>IF(AND(L3613=1,N3613&lt;'Line Follower'!$C$6,SUM(C3613:K3613)&lt;4),1,0)</f>
        <v>#N/A</v>
      </c>
      <c r="T3613" s="4" t="e">
        <f t="shared" si="282"/>
        <v>#N/A</v>
      </c>
      <c r="U3613" s="5" t="e">
        <f t="shared" si="283"/>
        <v>#N/A</v>
      </c>
      <c r="V3613" s="23" t="e">
        <f t="shared" si="284"/>
        <v>#N/A</v>
      </c>
    </row>
    <row r="3614" spans="2:22" x14ac:dyDescent="0.25">
      <c r="B3614" s="16">
        <v>1</v>
      </c>
      <c r="C3614" s="7">
        <v>1</v>
      </c>
      <c r="D3614" s="8">
        <v>0</v>
      </c>
      <c r="E3614" s="8">
        <v>1</v>
      </c>
      <c r="F3614" s="8">
        <v>1</v>
      </c>
      <c r="G3614" s="8">
        <v>0</v>
      </c>
      <c r="H3614" s="8">
        <v>0</v>
      </c>
      <c r="I3614" s="8">
        <v>0</v>
      </c>
      <c r="J3614" s="8">
        <v>0</v>
      </c>
      <c r="K3614" s="9">
        <v>1</v>
      </c>
      <c r="L3614" s="10">
        <v>1</v>
      </c>
      <c r="M3614" s="6">
        <v>1</v>
      </c>
      <c r="N3614" s="37" t="e" cm="1">
        <f t="array" ref="N3614">IF(OR(ISNUMBER(FIND(Aux!$D$3:$D$9,_xlfn.TEXTJOIN(,,C3614:K3614)))),NA(),IF(AND(SUM(C3614:F3614,H3614:K3614)=0,G3614=1),0,INT((SUMPRODUCT(C3614:F3614,COLUMN($A$1:$D$1)-1)+SUMPRODUCT(H3614:K3614,COLUMN($E$1:$H$1)-1))*'Line Follower'!$C$3/SUM(C3614:F3614,H3614:K3614)-'Line Follower'!$C$5)))</f>
        <v>#N/A</v>
      </c>
      <c r="O3614" s="22" t="e">
        <v>#N/A</v>
      </c>
      <c r="P3614" s="4" t="e">
        <f t="shared" si="280"/>
        <v>#N/A</v>
      </c>
      <c r="Q3614" s="4" t="e">
        <f t="shared" si="281"/>
        <v>#N/A</v>
      </c>
      <c r="R3614" s="4" t="e">
        <f>IF(AND(B3614=1,N3614&gt;'Line Follower'!$C$7,SUM(C3614:K3614)&lt;4),1,0)</f>
        <v>#N/A</v>
      </c>
      <c r="S3614" s="4" t="e">
        <f>IF(AND(L3614=1,N3614&lt;'Line Follower'!$C$6,SUM(C3614:K3614)&lt;4),1,0)</f>
        <v>#N/A</v>
      </c>
      <c r="T3614" s="4" t="e">
        <f t="shared" si="282"/>
        <v>#N/A</v>
      </c>
      <c r="U3614" s="5" t="e">
        <f t="shared" si="283"/>
        <v>#N/A</v>
      </c>
      <c r="V3614" s="23" t="e">
        <f t="shared" si="284"/>
        <v>#N/A</v>
      </c>
    </row>
    <row r="3615" spans="2:22" x14ac:dyDescent="0.25">
      <c r="B3615" s="16">
        <v>0</v>
      </c>
      <c r="C3615" s="7">
        <v>0</v>
      </c>
      <c r="D3615" s="8">
        <v>1</v>
      </c>
      <c r="E3615" s="8">
        <v>1</v>
      </c>
      <c r="F3615" s="8">
        <v>1</v>
      </c>
      <c r="G3615" s="8">
        <v>0</v>
      </c>
      <c r="H3615" s="8">
        <v>0</v>
      </c>
      <c r="I3615" s="8">
        <v>0</v>
      </c>
      <c r="J3615" s="8">
        <v>0</v>
      </c>
      <c r="K3615" s="9">
        <v>1</v>
      </c>
      <c r="L3615" s="10">
        <v>1</v>
      </c>
      <c r="M3615" s="6">
        <v>1</v>
      </c>
      <c r="N3615" s="37" t="e" cm="1">
        <f t="array" ref="N3615">IF(OR(ISNUMBER(FIND(Aux!$D$3:$D$9,_xlfn.TEXTJOIN(,,C3615:K3615)))),NA(),IF(AND(SUM(C3615:F3615,H3615:K3615)=0,G3615=1),0,INT((SUMPRODUCT(C3615:F3615,COLUMN($A$1:$D$1)-1)+SUMPRODUCT(H3615:K3615,COLUMN($E$1:$H$1)-1))*'Line Follower'!$C$3/SUM(C3615:F3615,H3615:K3615)-'Line Follower'!$C$5)))</f>
        <v>#N/A</v>
      </c>
      <c r="O3615" s="22" t="e">
        <v>#N/A</v>
      </c>
      <c r="P3615" s="4" t="e">
        <f t="shared" si="280"/>
        <v>#N/A</v>
      </c>
      <c r="Q3615" s="4" t="e">
        <f t="shared" si="281"/>
        <v>#N/A</v>
      </c>
      <c r="R3615" s="4" t="e">
        <f>IF(AND(B3615=1,N3615&gt;'Line Follower'!$C$7,SUM(C3615:K3615)&lt;4),1,0)</f>
        <v>#N/A</v>
      </c>
      <c r="S3615" s="4" t="e">
        <f>IF(AND(L3615=1,N3615&lt;'Line Follower'!$C$6,SUM(C3615:K3615)&lt;4),1,0)</f>
        <v>#N/A</v>
      </c>
      <c r="T3615" s="4" t="e">
        <f t="shared" si="282"/>
        <v>#N/A</v>
      </c>
      <c r="U3615" s="5" t="e">
        <f t="shared" si="283"/>
        <v>#N/A</v>
      </c>
      <c r="V3615" s="23" t="e">
        <f t="shared" si="284"/>
        <v>#N/A</v>
      </c>
    </row>
    <row r="3616" spans="2:22" x14ac:dyDescent="0.25">
      <c r="B3616" s="16">
        <v>1</v>
      </c>
      <c r="C3616" s="7">
        <v>0</v>
      </c>
      <c r="D3616" s="8">
        <v>1</v>
      </c>
      <c r="E3616" s="8">
        <v>1</v>
      </c>
      <c r="F3616" s="8">
        <v>1</v>
      </c>
      <c r="G3616" s="8">
        <v>0</v>
      </c>
      <c r="H3616" s="8">
        <v>0</v>
      </c>
      <c r="I3616" s="8">
        <v>0</v>
      </c>
      <c r="J3616" s="8">
        <v>0</v>
      </c>
      <c r="K3616" s="9">
        <v>1</v>
      </c>
      <c r="L3616" s="10">
        <v>1</v>
      </c>
      <c r="M3616" s="6">
        <v>1</v>
      </c>
      <c r="N3616" s="37" t="e" cm="1">
        <f t="array" ref="N3616">IF(OR(ISNUMBER(FIND(Aux!$D$3:$D$9,_xlfn.TEXTJOIN(,,C3616:K3616)))),NA(),IF(AND(SUM(C3616:F3616,H3616:K3616)=0,G3616=1),0,INT((SUMPRODUCT(C3616:F3616,COLUMN($A$1:$D$1)-1)+SUMPRODUCT(H3616:K3616,COLUMN($E$1:$H$1)-1))*'Line Follower'!$C$3/SUM(C3616:F3616,H3616:K3616)-'Line Follower'!$C$5)))</f>
        <v>#N/A</v>
      </c>
      <c r="O3616" s="22" t="e">
        <v>#N/A</v>
      </c>
      <c r="P3616" s="4" t="e">
        <f t="shared" si="280"/>
        <v>#N/A</v>
      </c>
      <c r="Q3616" s="4" t="e">
        <f t="shared" si="281"/>
        <v>#N/A</v>
      </c>
      <c r="R3616" s="4" t="e">
        <f>IF(AND(B3616=1,N3616&gt;'Line Follower'!$C$7,SUM(C3616:K3616)&lt;4),1,0)</f>
        <v>#N/A</v>
      </c>
      <c r="S3616" s="4" t="e">
        <f>IF(AND(L3616=1,N3616&lt;'Line Follower'!$C$6,SUM(C3616:K3616)&lt;4),1,0)</f>
        <v>#N/A</v>
      </c>
      <c r="T3616" s="4" t="e">
        <f t="shared" si="282"/>
        <v>#N/A</v>
      </c>
      <c r="U3616" s="5" t="e">
        <f t="shared" si="283"/>
        <v>#N/A</v>
      </c>
      <c r="V3616" s="23" t="e">
        <f t="shared" si="284"/>
        <v>#N/A</v>
      </c>
    </row>
    <row r="3617" spans="2:22" x14ac:dyDescent="0.25">
      <c r="B3617" s="16">
        <v>0</v>
      </c>
      <c r="C3617" s="7">
        <v>1</v>
      </c>
      <c r="D3617" s="8">
        <v>1</v>
      </c>
      <c r="E3617" s="8">
        <v>1</v>
      </c>
      <c r="F3617" s="8">
        <v>1</v>
      </c>
      <c r="G3617" s="8">
        <v>0</v>
      </c>
      <c r="H3617" s="8">
        <v>0</v>
      </c>
      <c r="I3617" s="8">
        <v>0</v>
      </c>
      <c r="J3617" s="8">
        <v>0</v>
      </c>
      <c r="K3617" s="9">
        <v>1</v>
      </c>
      <c r="L3617" s="10">
        <v>1</v>
      </c>
      <c r="M3617" s="6">
        <v>1</v>
      </c>
      <c r="N3617" s="37" t="e" cm="1">
        <f t="array" ref="N3617">IF(OR(ISNUMBER(FIND(Aux!$D$3:$D$9,_xlfn.TEXTJOIN(,,C3617:K3617)))),NA(),IF(AND(SUM(C3617:F3617,H3617:K3617)=0,G3617=1),0,INT((SUMPRODUCT(C3617:F3617,COLUMN($A$1:$D$1)-1)+SUMPRODUCT(H3617:K3617,COLUMN($E$1:$H$1)-1))*'Line Follower'!$C$3/SUM(C3617:F3617,H3617:K3617)-'Line Follower'!$C$5)))</f>
        <v>#N/A</v>
      </c>
      <c r="O3617" s="22" t="e">
        <v>#N/A</v>
      </c>
      <c r="P3617" s="4" t="e">
        <f t="shared" si="280"/>
        <v>#N/A</v>
      </c>
      <c r="Q3617" s="4" t="e">
        <f t="shared" si="281"/>
        <v>#N/A</v>
      </c>
      <c r="R3617" s="4" t="e">
        <f>IF(AND(B3617=1,N3617&gt;'Line Follower'!$C$7,SUM(C3617:K3617)&lt;4),1,0)</f>
        <v>#N/A</v>
      </c>
      <c r="S3617" s="4" t="e">
        <f>IF(AND(L3617=1,N3617&lt;'Line Follower'!$C$6,SUM(C3617:K3617)&lt;4),1,0)</f>
        <v>#N/A</v>
      </c>
      <c r="T3617" s="4" t="e">
        <f t="shared" si="282"/>
        <v>#N/A</v>
      </c>
      <c r="U3617" s="5" t="e">
        <f t="shared" si="283"/>
        <v>#N/A</v>
      </c>
      <c r="V3617" s="23" t="e">
        <f t="shared" si="284"/>
        <v>#N/A</v>
      </c>
    </row>
    <row r="3618" spans="2:22" x14ac:dyDescent="0.25">
      <c r="B3618" s="16">
        <v>1</v>
      </c>
      <c r="C3618" s="7">
        <v>1</v>
      </c>
      <c r="D3618" s="8">
        <v>1</v>
      </c>
      <c r="E3618" s="8">
        <v>1</v>
      </c>
      <c r="F3618" s="8">
        <v>1</v>
      </c>
      <c r="G3618" s="8">
        <v>0</v>
      </c>
      <c r="H3618" s="8">
        <v>0</v>
      </c>
      <c r="I3618" s="8">
        <v>0</v>
      </c>
      <c r="J3618" s="8">
        <v>0</v>
      </c>
      <c r="K3618" s="9">
        <v>1</v>
      </c>
      <c r="L3618" s="10">
        <v>1</v>
      </c>
      <c r="M3618" s="6">
        <v>1</v>
      </c>
      <c r="N3618" s="37" t="e" cm="1">
        <f t="array" ref="N3618">IF(OR(ISNUMBER(FIND(Aux!$D$3:$D$9,_xlfn.TEXTJOIN(,,C3618:K3618)))),NA(),IF(AND(SUM(C3618:F3618,H3618:K3618)=0,G3618=1),0,INT((SUMPRODUCT(C3618:F3618,COLUMN($A$1:$D$1)-1)+SUMPRODUCT(H3618:K3618,COLUMN($E$1:$H$1)-1))*'Line Follower'!$C$3/SUM(C3618:F3618,H3618:K3618)-'Line Follower'!$C$5)))</f>
        <v>#N/A</v>
      </c>
      <c r="O3618" s="22" t="e">
        <v>#N/A</v>
      </c>
      <c r="P3618" s="4" t="e">
        <f t="shared" si="280"/>
        <v>#N/A</v>
      </c>
      <c r="Q3618" s="4" t="e">
        <f t="shared" si="281"/>
        <v>#N/A</v>
      </c>
      <c r="R3618" s="4" t="e">
        <f>IF(AND(B3618=1,N3618&gt;'Line Follower'!$C$7,SUM(C3618:K3618)&lt;4),1,0)</f>
        <v>#N/A</v>
      </c>
      <c r="S3618" s="4" t="e">
        <f>IF(AND(L3618=1,N3618&lt;'Line Follower'!$C$6,SUM(C3618:K3618)&lt;4),1,0)</f>
        <v>#N/A</v>
      </c>
      <c r="T3618" s="4" t="e">
        <f t="shared" si="282"/>
        <v>#N/A</v>
      </c>
      <c r="U3618" s="5" t="e">
        <f t="shared" si="283"/>
        <v>#N/A</v>
      </c>
      <c r="V3618" s="23" t="e">
        <f t="shared" si="284"/>
        <v>#N/A</v>
      </c>
    </row>
    <row r="3619" spans="2:22" x14ac:dyDescent="0.25">
      <c r="B3619" s="16">
        <v>0</v>
      </c>
      <c r="C3619" s="7">
        <v>0</v>
      </c>
      <c r="D3619" s="8">
        <v>0</v>
      </c>
      <c r="E3619" s="8">
        <v>0</v>
      </c>
      <c r="F3619" s="8">
        <v>0</v>
      </c>
      <c r="G3619" s="8">
        <v>1</v>
      </c>
      <c r="H3619" s="8">
        <v>0</v>
      </c>
      <c r="I3619" s="8">
        <v>0</v>
      </c>
      <c r="J3619" s="8">
        <v>0</v>
      </c>
      <c r="K3619" s="9">
        <v>1</v>
      </c>
      <c r="L3619" s="10">
        <v>1</v>
      </c>
      <c r="M3619" s="6">
        <v>1</v>
      </c>
      <c r="N3619" s="37" t="e" cm="1">
        <f t="array" ref="N3619">IF(OR(ISNUMBER(FIND(Aux!$D$3:$D$9,_xlfn.TEXTJOIN(,,C3619:K3619)))),NA(),IF(AND(SUM(C3619:F3619,H3619:K3619)=0,G3619=1),0,INT((SUMPRODUCT(C3619:F3619,COLUMN($A$1:$D$1)-1)+SUMPRODUCT(H3619:K3619,COLUMN($E$1:$H$1)-1))*'Line Follower'!$C$3/SUM(C3619:F3619,H3619:K3619)-'Line Follower'!$C$5)))</f>
        <v>#N/A</v>
      </c>
      <c r="O3619" s="22" t="e">
        <v>#N/A</v>
      </c>
      <c r="P3619" s="4" t="e">
        <f t="shared" si="280"/>
        <v>#N/A</v>
      </c>
      <c r="Q3619" s="4" t="e">
        <f t="shared" si="281"/>
        <v>#N/A</v>
      </c>
      <c r="R3619" s="4" t="e">
        <f>IF(AND(B3619=1,N3619&gt;'Line Follower'!$C$7,SUM(C3619:K3619)&lt;4),1,0)</f>
        <v>#N/A</v>
      </c>
      <c r="S3619" s="4" t="e">
        <f>IF(AND(L3619=1,N3619&lt;'Line Follower'!$C$6,SUM(C3619:K3619)&lt;4),1,0)</f>
        <v>#N/A</v>
      </c>
      <c r="T3619" s="4" t="e">
        <f t="shared" si="282"/>
        <v>#N/A</v>
      </c>
      <c r="U3619" s="5" t="e">
        <f t="shared" si="283"/>
        <v>#N/A</v>
      </c>
      <c r="V3619" s="23" t="e">
        <f t="shared" si="284"/>
        <v>#N/A</v>
      </c>
    </row>
    <row r="3620" spans="2:22" x14ac:dyDescent="0.25">
      <c r="B3620" s="16">
        <v>1</v>
      </c>
      <c r="C3620" s="7">
        <v>0</v>
      </c>
      <c r="D3620" s="8">
        <v>0</v>
      </c>
      <c r="E3620" s="8">
        <v>0</v>
      </c>
      <c r="F3620" s="8">
        <v>0</v>
      </c>
      <c r="G3620" s="8">
        <v>1</v>
      </c>
      <c r="H3620" s="8">
        <v>0</v>
      </c>
      <c r="I3620" s="8">
        <v>0</v>
      </c>
      <c r="J3620" s="8">
        <v>0</v>
      </c>
      <c r="K3620" s="9">
        <v>1</v>
      </c>
      <c r="L3620" s="10">
        <v>1</v>
      </c>
      <c r="M3620" s="6">
        <v>1</v>
      </c>
      <c r="N3620" s="37" t="e" cm="1">
        <f t="array" ref="N3620">IF(OR(ISNUMBER(FIND(Aux!$D$3:$D$9,_xlfn.TEXTJOIN(,,C3620:K3620)))),NA(),IF(AND(SUM(C3620:F3620,H3620:K3620)=0,G3620=1),0,INT((SUMPRODUCT(C3620:F3620,COLUMN($A$1:$D$1)-1)+SUMPRODUCT(H3620:K3620,COLUMN($E$1:$H$1)-1))*'Line Follower'!$C$3/SUM(C3620:F3620,H3620:K3620)-'Line Follower'!$C$5)))</f>
        <v>#N/A</v>
      </c>
      <c r="O3620" s="22" t="e">
        <v>#N/A</v>
      </c>
      <c r="P3620" s="4" t="e">
        <f t="shared" si="280"/>
        <v>#N/A</v>
      </c>
      <c r="Q3620" s="4" t="e">
        <f t="shared" si="281"/>
        <v>#N/A</v>
      </c>
      <c r="R3620" s="4" t="e">
        <f>IF(AND(B3620=1,N3620&gt;'Line Follower'!$C$7,SUM(C3620:K3620)&lt;4),1,0)</f>
        <v>#N/A</v>
      </c>
      <c r="S3620" s="4" t="e">
        <f>IF(AND(L3620=1,N3620&lt;'Line Follower'!$C$6,SUM(C3620:K3620)&lt;4),1,0)</f>
        <v>#N/A</v>
      </c>
      <c r="T3620" s="4" t="e">
        <f t="shared" si="282"/>
        <v>#N/A</v>
      </c>
      <c r="U3620" s="5" t="e">
        <f t="shared" si="283"/>
        <v>#N/A</v>
      </c>
      <c r="V3620" s="23" t="e">
        <f t="shared" si="284"/>
        <v>#N/A</v>
      </c>
    </row>
    <row r="3621" spans="2:22" x14ac:dyDescent="0.25">
      <c r="B3621" s="16">
        <v>0</v>
      </c>
      <c r="C3621" s="7">
        <v>1</v>
      </c>
      <c r="D3621" s="8">
        <v>0</v>
      </c>
      <c r="E3621" s="8">
        <v>0</v>
      </c>
      <c r="F3621" s="8">
        <v>0</v>
      </c>
      <c r="G3621" s="8">
        <v>1</v>
      </c>
      <c r="H3621" s="8">
        <v>0</v>
      </c>
      <c r="I3621" s="8">
        <v>0</v>
      </c>
      <c r="J3621" s="8">
        <v>0</v>
      </c>
      <c r="K3621" s="9">
        <v>1</v>
      </c>
      <c r="L3621" s="10">
        <v>1</v>
      </c>
      <c r="M3621" s="6">
        <v>1</v>
      </c>
      <c r="N3621" s="37" t="e" cm="1">
        <f t="array" ref="N3621">IF(OR(ISNUMBER(FIND(Aux!$D$3:$D$9,_xlfn.TEXTJOIN(,,C3621:K3621)))),NA(),IF(AND(SUM(C3621:F3621,H3621:K3621)=0,G3621=1),0,INT((SUMPRODUCT(C3621:F3621,COLUMN($A$1:$D$1)-1)+SUMPRODUCT(H3621:K3621,COLUMN($E$1:$H$1)-1))*'Line Follower'!$C$3/SUM(C3621:F3621,H3621:K3621)-'Line Follower'!$C$5)))</f>
        <v>#N/A</v>
      </c>
      <c r="O3621" s="22" t="e">
        <v>#N/A</v>
      </c>
      <c r="P3621" s="4" t="e">
        <f t="shared" si="280"/>
        <v>#N/A</v>
      </c>
      <c r="Q3621" s="4" t="e">
        <f t="shared" si="281"/>
        <v>#N/A</v>
      </c>
      <c r="R3621" s="4" t="e">
        <f>IF(AND(B3621=1,N3621&gt;'Line Follower'!$C$7,SUM(C3621:K3621)&lt;4),1,0)</f>
        <v>#N/A</v>
      </c>
      <c r="S3621" s="4" t="e">
        <f>IF(AND(L3621=1,N3621&lt;'Line Follower'!$C$6,SUM(C3621:K3621)&lt;4),1,0)</f>
        <v>#N/A</v>
      </c>
      <c r="T3621" s="4" t="e">
        <f t="shared" si="282"/>
        <v>#N/A</v>
      </c>
      <c r="U3621" s="5" t="e">
        <f t="shared" si="283"/>
        <v>#N/A</v>
      </c>
      <c r="V3621" s="23" t="e">
        <f t="shared" si="284"/>
        <v>#N/A</v>
      </c>
    </row>
    <row r="3622" spans="2:22" x14ac:dyDescent="0.25">
      <c r="B3622" s="16">
        <v>1</v>
      </c>
      <c r="C3622" s="7">
        <v>1</v>
      </c>
      <c r="D3622" s="8">
        <v>0</v>
      </c>
      <c r="E3622" s="8">
        <v>0</v>
      </c>
      <c r="F3622" s="8">
        <v>0</v>
      </c>
      <c r="G3622" s="8">
        <v>1</v>
      </c>
      <c r="H3622" s="8">
        <v>0</v>
      </c>
      <c r="I3622" s="8">
        <v>0</v>
      </c>
      <c r="J3622" s="8">
        <v>0</v>
      </c>
      <c r="K3622" s="9">
        <v>1</v>
      </c>
      <c r="L3622" s="10">
        <v>1</v>
      </c>
      <c r="M3622" s="6">
        <v>1</v>
      </c>
      <c r="N3622" s="37" t="e" cm="1">
        <f t="array" ref="N3622">IF(OR(ISNUMBER(FIND(Aux!$D$3:$D$9,_xlfn.TEXTJOIN(,,C3622:K3622)))),NA(),IF(AND(SUM(C3622:F3622,H3622:K3622)=0,G3622=1),0,INT((SUMPRODUCT(C3622:F3622,COLUMN($A$1:$D$1)-1)+SUMPRODUCT(H3622:K3622,COLUMN($E$1:$H$1)-1))*'Line Follower'!$C$3/SUM(C3622:F3622,H3622:K3622)-'Line Follower'!$C$5)))</f>
        <v>#N/A</v>
      </c>
      <c r="O3622" s="22" t="e">
        <v>#N/A</v>
      </c>
      <c r="P3622" s="4" t="e">
        <f t="shared" si="280"/>
        <v>#N/A</v>
      </c>
      <c r="Q3622" s="4" t="e">
        <f t="shared" si="281"/>
        <v>#N/A</v>
      </c>
      <c r="R3622" s="4" t="e">
        <f>IF(AND(B3622=1,N3622&gt;'Line Follower'!$C$7,SUM(C3622:K3622)&lt;4),1,0)</f>
        <v>#N/A</v>
      </c>
      <c r="S3622" s="4" t="e">
        <f>IF(AND(L3622=1,N3622&lt;'Line Follower'!$C$6,SUM(C3622:K3622)&lt;4),1,0)</f>
        <v>#N/A</v>
      </c>
      <c r="T3622" s="4" t="e">
        <f t="shared" si="282"/>
        <v>#N/A</v>
      </c>
      <c r="U3622" s="5" t="e">
        <f t="shared" si="283"/>
        <v>#N/A</v>
      </c>
      <c r="V3622" s="23" t="e">
        <f t="shared" si="284"/>
        <v>#N/A</v>
      </c>
    </row>
    <row r="3623" spans="2:22" x14ac:dyDescent="0.25">
      <c r="B3623" s="16">
        <v>0</v>
      </c>
      <c r="C3623" s="7">
        <v>0</v>
      </c>
      <c r="D3623" s="8">
        <v>1</v>
      </c>
      <c r="E3623" s="8">
        <v>0</v>
      </c>
      <c r="F3623" s="8">
        <v>0</v>
      </c>
      <c r="G3623" s="8">
        <v>1</v>
      </c>
      <c r="H3623" s="8">
        <v>0</v>
      </c>
      <c r="I3623" s="8">
        <v>0</v>
      </c>
      <c r="J3623" s="8">
        <v>0</v>
      </c>
      <c r="K3623" s="9">
        <v>1</v>
      </c>
      <c r="L3623" s="10">
        <v>1</v>
      </c>
      <c r="M3623" s="6">
        <v>1</v>
      </c>
      <c r="N3623" s="37" t="e" cm="1">
        <f t="array" ref="N3623">IF(OR(ISNUMBER(FIND(Aux!$D$3:$D$9,_xlfn.TEXTJOIN(,,C3623:K3623)))),NA(),IF(AND(SUM(C3623:F3623,H3623:K3623)=0,G3623=1),0,INT((SUMPRODUCT(C3623:F3623,COLUMN($A$1:$D$1)-1)+SUMPRODUCT(H3623:K3623,COLUMN($E$1:$H$1)-1))*'Line Follower'!$C$3/SUM(C3623:F3623,H3623:K3623)-'Line Follower'!$C$5)))</f>
        <v>#N/A</v>
      </c>
      <c r="O3623" s="22" t="e">
        <v>#N/A</v>
      </c>
      <c r="P3623" s="4" t="e">
        <f t="shared" si="280"/>
        <v>#N/A</v>
      </c>
      <c r="Q3623" s="4" t="e">
        <f t="shared" si="281"/>
        <v>#N/A</v>
      </c>
      <c r="R3623" s="4" t="e">
        <f>IF(AND(B3623=1,N3623&gt;'Line Follower'!$C$7,SUM(C3623:K3623)&lt;4),1,0)</f>
        <v>#N/A</v>
      </c>
      <c r="S3623" s="4" t="e">
        <f>IF(AND(L3623=1,N3623&lt;'Line Follower'!$C$6,SUM(C3623:K3623)&lt;4),1,0)</f>
        <v>#N/A</v>
      </c>
      <c r="T3623" s="4" t="e">
        <f t="shared" si="282"/>
        <v>#N/A</v>
      </c>
      <c r="U3623" s="5" t="e">
        <f t="shared" si="283"/>
        <v>#N/A</v>
      </c>
      <c r="V3623" s="23" t="e">
        <f t="shared" si="284"/>
        <v>#N/A</v>
      </c>
    </row>
    <row r="3624" spans="2:22" x14ac:dyDescent="0.25">
      <c r="B3624" s="16">
        <v>1</v>
      </c>
      <c r="C3624" s="7">
        <v>0</v>
      </c>
      <c r="D3624" s="8">
        <v>1</v>
      </c>
      <c r="E3624" s="8">
        <v>0</v>
      </c>
      <c r="F3624" s="8">
        <v>0</v>
      </c>
      <c r="G3624" s="8">
        <v>1</v>
      </c>
      <c r="H3624" s="8">
        <v>0</v>
      </c>
      <c r="I3624" s="8">
        <v>0</v>
      </c>
      <c r="J3624" s="8">
        <v>0</v>
      </c>
      <c r="K3624" s="9">
        <v>1</v>
      </c>
      <c r="L3624" s="10">
        <v>1</v>
      </c>
      <c r="M3624" s="6">
        <v>1</v>
      </c>
      <c r="N3624" s="37" t="e" cm="1">
        <f t="array" ref="N3624">IF(OR(ISNUMBER(FIND(Aux!$D$3:$D$9,_xlfn.TEXTJOIN(,,C3624:K3624)))),NA(),IF(AND(SUM(C3624:F3624,H3624:K3624)=0,G3624=1),0,INT((SUMPRODUCT(C3624:F3624,COLUMN($A$1:$D$1)-1)+SUMPRODUCT(H3624:K3624,COLUMN($E$1:$H$1)-1))*'Line Follower'!$C$3/SUM(C3624:F3624,H3624:K3624)-'Line Follower'!$C$5)))</f>
        <v>#N/A</v>
      </c>
      <c r="O3624" s="22" t="e">
        <v>#N/A</v>
      </c>
      <c r="P3624" s="4" t="e">
        <f t="shared" si="280"/>
        <v>#N/A</v>
      </c>
      <c r="Q3624" s="4" t="e">
        <f t="shared" si="281"/>
        <v>#N/A</v>
      </c>
      <c r="R3624" s="4" t="e">
        <f>IF(AND(B3624=1,N3624&gt;'Line Follower'!$C$7,SUM(C3624:K3624)&lt;4),1,0)</f>
        <v>#N/A</v>
      </c>
      <c r="S3624" s="4" t="e">
        <f>IF(AND(L3624=1,N3624&lt;'Line Follower'!$C$6,SUM(C3624:K3624)&lt;4),1,0)</f>
        <v>#N/A</v>
      </c>
      <c r="T3624" s="4" t="e">
        <f t="shared" si="282"/>
        <v>#N/A</v>
      </c>
      <c r="U3624" s="5" t="e">
        <f t="shared" si="283"/>
        <v>#N/A</v>
      </c>
      <c r="V3624" s="23" t="e">
        <f t="shared" si="284"/>
        <v>#N/A</v>
      </c>
    </row>
    <row r="3625" spans="2:22" x14ac:dyDescent="0.25">
      <c r="B3625" s="16">
        <v>0</v>
      </c>
      <c r="C3625" s="7">
        <v>1</v>
      </c>
      <c r="D3625" s="8">
        <v>1</v>
      </c>
      <c r="E3625" s="8">
        <v>0</v>
      </c>
      <c r="F3625" s="8">
        <v>0</v>
      </c>
      <c r="G3625" s="8">
        <v>1</v>
      </c>
      <c r="H3625" s="8">
        <v>0</v>
      </c>
      <c r="I3625" s="8">
        <v>0</v>
      </c>
      <c r="J3625" s="8">
        <v>0</v>
      </c>
      <c r="K3625" s="9">
        <v>1</v>
      </c>
      <c r="L3625" s="10">
        <v>1</v>
      </c>
      <c r="M3625" s="6">
        <v>1</v>
      </c>
      <c r="N3625" s="37" t="e" cm="1">
        <f t="array" ref="N3625">IF(OR(ISNUMBER(FIND(Aux!$D$3:$D$9,_xlfn.TEXTJOIN(,,C3625:K3625)))),NA(),IF(AND(SUM(C3625:F3625,H3625:K3625)=0,G3625=1),0,INT((SUMPRODUCT(C3625:F3625,COLUMN($A$1:$D$1)-1)+SUMPRODUCT(H3625:K3625,COLUMN($E$1:$H$1)-1))*'Line Follower'!$C$3/SUM(C3625:F3625,H3625:K3625)-'Line Follower'!$C$5)))</f>
        <v>#N/A</v>
      </c>
      <c r="O3625" s="22" t="e">
        <v>#N/A</v>
      </c>
      <c r="P3625" s="4" t="e">
        <f t="shared" si="280"/>
        <v>#N/A</v>
      </c>
      <c r="Q3625" s="4" t="e">
        <f t="shared" si="281"/>
        <v>#N/A</v>
      </c>
      <c r="R3625" s="4" t="e">
        <f>IF(AND(B3625=1,N3625&gt;'Line Follower'!$C$7,SUM(C3625:K3625)&lt;4),1,0)</f>
        <v>#N/A</v>
      </c>
      <c r="S3625" s="4" t="e">
        <f>IF(AND(L3625=1,N3625&lt;'Line Follower'!$C$6,SUM(C3625:K3625)&lt;4),1,0)</f>
        <v>#N/A</v>
      </c>
      <c r="T3625" s="4" t="e">
        <f t="shared" si="282"/>
        <v>#N/A</v>
      </c>
      <c r="U3625" s="5" t="e">
        <f t="shared" si="283"/>
        <v>#N/A</v>
      </c>
      <c r="V3625" s="23" t="e">
        <f t="shared" si="284"/>
        <v>#N/A</v>
      </c>
    </row>
    <row r="3626" spans="2:22" x14ac:dyDescent="0.25">
      <c r="B3626" s="16">
        <v>1</v>
      </c>
      <c r="C3626" s="7">
        <v>1</v>
      </c>
      <c r="D3626" s="8">
        <v>1</v>
      </c>
      <c r="E3626" s="8">
        <v>0</v>
      </c>
      <c r="F3626" s="8">
        <v>0</v>
      </c>
      <c r="G3626" s="8">
        <v>1</v>
      </c>
      <c r="H3626" s="8">
        <v>0</v>
      </c>
      <c r="I3626" s="8">
        <v>0</v>
      </c>
      <c r="J3626" s="8">
        <v>0</v>
      </c>
      <c r="K3626" s="9">
        <v>1</v>
      </c>
      <c r="L3626" s="10">
        <v>1</v>
      </c>
      <c r="M3626" s="6">
        <v>1</v>
      </c>
      <c r="N3626" s="37" t="e" cm="1">
        <f t="array" ref="N3626">IF(OR(ISNUMBER(FIND(Aux!$D$3:$D$9,_xlfn.TEXTJOIN(,,C3626:K3626)))),NA(),IF(AND(SUM(C3626:F3626,H3626:K3626)=0,G3626=1),0,INT((SUMPRODUCT(C3626:F3626,COLUMN($A$1:$D$1)-1)+SUMPRODUCT(H3626:K3626,COLUMN($E$1:$H$1)-1))*'Line Follower'!$C$3/SUM(C3626:F3626,H3626:K3626)-'Line Follower'!$C$5)))</f>
        <v>#N/A</v>
      </c>
      <c r="O3626" s="22" t="e">
        <v>#N/A</v>
      </c>
      <c r="P3626" s="4" t="e">
        <f t="shared" si="280"/>
        <v>#N/A</v>
      </c>
      <c r="Q3626" s="4" t="e">
        <f t="shared" si="281"/>
        <v>#N/A</v>
      </c>
      <c r="R3626" s="4" t="e">
        <f>IF(AND(B3626=1,N3626&gt;'Line Follower'!$C$7,SUM(C3626:K3626)&lt;4),1,0)</f>
        <v>#N/A</v>
      </c>
      <c r="S3626" s="4" t="e">
        <f>IF(AND(L3626=1,N3626&lt;'Line Follower'!$C$6,SUM(C3626:K3626)&lt;4),1,0)</f>
        <v>#N/A</v>
      </c>
      <c r="T3626" s="4" t="e">
        <f t="shared" si="282"/>
        <v>#N/A</v>
      </c>
      <c r="U3626" s="5" t="e">
        <f t="shared" si="283"/>
        <v>#N/A</v>
      </c>
      <c r="V3626" s="23" t="e">
        <f t="shared" si="284"/>
        <v>#N/A</v>
      </c>
    </row>
    <row r="3627" spans="2:22" x14ac:dyDescent="0.25">
      <c r="B3627" s="16">
        <v>0</v>
      </c>
      <c r="C3627" s="7">
        <v>0</v>
      </c>
      <c r="D3627" s="8">
        <v>0</v>
      </c>
      <c r="E3627" s="8">
        <v>1</v>
      </c>
      <c r="F3627" s="8">
        <v>0</v>
      </c>
      <c r="G3627" s="8">
        <v>1</v>
      </c>
      <c r="H3627" s="8">
        <v>0</v>
      </c>
      <c r="I3627" s="8">
        <v>0</v>
      </c>
      <c r="J3627" s="8">
        <v>0</v>
      </c>
      <c r="K3627" s="9">
        <v>1</v>
      </c>
      <c r="L3627" s="10">
        <v>1</v>
      </c>
      <c r="M3627" s="6">
        <v>1</v>
      </c>
      <c r="N3627" s="37" t="e" cm="1">
        <f t="array" ref="N3627">IF(OR(ISNUMBER(FIND(Aux!$D$3:$D$9,_xlfn.TEXTJOIN(,,C3627:K3627)))),NA(),IF(AND(SUM(C3627:F3627,H3627:K3627)=0,G3627=1),0,INT((SUMPRODUCT(C3627:F3627,COLUMN($A$1:$D$1)-1)+SUMPRODUCT(H3627:K3627,COLUMN($E$1:$H$1)-1))*'Line Follower'!$C$3/SUM(C3627:F3627,H3627:K3627)-'Line Follower'!$C$5)))</f>
        <v>#N/A</v>
      </c>
      <c r="O3627" s="22" t="e">
        <v>#N/A</v>
      </c>
      <c r="P3627" s="4" t="e">
        <f t="shared" si="280"/>
        <v>#N/A</v>
      </c>
      <c r="Q3627" s="4" t="e">
        <f t="shared" si="281"/>
        <v>#N/A</v>
      </c>
      <c r="R3627" s="4" t="e">
        <f>IF(AND(B3627=1,N3627&gt;'Line Follower'!$C$7,SUM(C3627:K3627)&lt;4),1,0)</f>
        <v>#N/A</v>
      </c>
      <c r="S3627" s="4" t="e">
        <f>IF(AND(L3627=1,N3627&lt;'Line Follower'!$C$6,SUM(C3627:K3627)&lt;4),1,0)</f>
        <v>#N/A</v>
      </c>
      <c r="T3627" s="4" t="e">
        <f t="shared" si="282"/>
        <v>#N/A</v>
      </c>
      <c r="U3627" s="5" t="e">
        <f t="shared" si="283"/>
        <v>#N/A</v>
      </c>
      <c r="V3627" s="23" t="e">
        <f t="shared" si="284"/>
        <v>#N/A</v>
      </c>
    </row>
    <row r="3628" spans="2:22" x14ac:dyDescent="0.25">
      <c r="B3628" s="16">
        <v>1</v>
      </c>
      <c r="C3628" s="7">
        <v>0</v>
      </c>
      <c r="D3628" s="8">
        <v>0</v>
      </c>
      <c r="E3628" s="8">
        <v>1</v>
      </c>
      <c r="F3628" s="8">
        <v>0</v>
      </c>
      <c r="G3628" s="8">
        <v>1</v>
      </c>
      <c r="H3628" s="8">
        <v>0</v>
      </c>
      <c r="I3628" s="8">
        <v>0</v>
      </c>
      <c r="J3628" s="8">
        <v>0</v>
      </c>
      <c r="K3628" s="9">
        <v>1</v>
      </c>
      <c r="L3628" s="10">
        <v>1</v>
      </c>
      <c r="M3628" s="6">
        <v>1</v>
      </c>
      <c r="N3628" s="37" t="e" cm="1">
        <f t="array" ref="N3628">IF(OR(ISNUMBER(FIND(Aux!$D$3:$D$9,_xlfn.TEXTJOIN(,,C3628:K3628)))),NA(),IF(AND(SUM(C3628:F3628,H3628:K3628)=0,G3628=1),0,INT((SUMPRODUCT(C3628:F3628,COLUMN($A$1:$D$1)-1)+SUMPRODUCT(H3628:K3628,COLUMN($E$1:$H$1)-1))*'Line Follower'!$C$3/SUM(C3628:F3628,H3628:K3628)-'Line Follower'!$C$5)))</f>
        <v>#N/A</v>
      </c>
      <c r="O3628" s="22" t="e">
        <v>#N/A</v>
      </c>
      <c r="P3628" s="4" t="e">
        <f t="shared" si="280"/>
        <v>#N/A</v>
      </c>
      <c r="Q3628" s="4" t="e">
        <f t="shared" si="281"/>
        <v>#N/A</v>
      </c>
      <c r="R3628" s="4" t="e">
        <f>IF(AND(B3628=1,N3628&gt;'Line Follower'!$C$7,SUM(C3628:K3628)&lt;4),1,0)</f>
        <v>#N/A</v>
      </c>
      <c r="S3628" s="4" t="e">
        <f>IF(AND(L3628=1,N3628&lt;'Line Follower'!$C$6,SUM(C3628:K3628)&lt;4),1,0)</f>
        <v>#N/A</v>
      </c>
      <c r="T3628" s="4" t="e">
        <f t="shared" si="282"/>
        <v>#N/A</v>
      </c>
      <c r="U3628" s="5" t="e">
        <f t="shared" si="283"/>
        <v>#N/A</v>
      </c>
      <c r="V3628" s="23" t="e">
        <f t="shared" si="284"/>
        <v>#N/A</v>
      </c>
    </row>
    <row r="3629" spans="2:22" x14ac:dyDescent="0.25">
      <c r="B3629" s="16">
        <v>0</v>
      </c>
      <c r="C3629" s="7">
        <v>1</v>
      </c>
      <c r="D3629" s="8">
        <v>0</v>
      </c>
      <c r="E3629" s="8">
        <v>1</v>
      </c>
      <c r="F3629" s="8">
        <v>0</v>
      </c>
      <c r="G3629" s="8">
        <v>1</v>
      </c>
      <c r="H3629" s="8">
        <v>0</v>
      </c>
      <c r="I3629" s="8">
        <v>0</v>
      </c>
      <c r="J3629" s="8">
        <v>0</v>
      </c>
      <c r="K3629" s="9">
        <v>1</v>
      </c>
      <c r="L3629" s="10">
        <v>1</v>
      </c>
      <c r="M3629" s="6">
        <v>1</v>
      </c>
      <c r="N3629" s="37" t="e" cm="1">
        <f t="array" ref="N3629">IF(OR(ISNUMBER(FIND(Aux!$D$3:$D$9,_xlfn.TEXTJOIN(,,C3629:K3629)))),NA(),IF(AND(SUM(C3629:F3629,H3629:K3629)=0,G3629=1),0,INT((SUMPRODUCT(C3629:F3629,COLUMN($A$1:$D$1)-1)+SUMPRODUCT(H3629:K3629,COLUMN($E$1:$H$1)-1))*'Line Follower'!$C$3/SUM(C3629:F3629,H3629:K3629)-'Line Follower'!$C$5)))</f>
        <v>#N/A</v>
      </c>
      <c r="O3629" s="22" t="e">
        <v>#N/A</v>
      </c>
      <c r="P3629" s="4" t="e">
        <f t="shared" si="280"/>
        <v>#N/A</v>
      </c>
      <c r="Q3629" s="4" t="e">
        <f t="shared" si="281"/>
        <v>#N/A</v>
      </c>
      <c r="R3629" s="4" t="e">
        <f>IF(AND(B3629=1,N3629&gt;'Line Follower'!$C$7,SUM(C3629:K3629)&lt;4),1,0)</f>
        <v>#N/A</v>
      </c>
      <c r="S3629" s="4" t="e">
        <f>IF(AND(L3629=1,N3629&lt;'Line Follower'!$C$6,SUM(C3629:K3629)&lt;4),1,0)</f>
        <v>#N/A</v>
      </c>
      <c r="T3629" s="4" t="e">
        <f t="shared" si="282"/>
        <v>#N/A</v>
      </c>
      <c r="U3629" s="5" t="e">
        <f t="shared" si="283"/>
        <v>#N/A</v>
      </c>
      <c r="V3629" s="23" t="e">
        <f t="shared" si="284"/>
        <v>#N/A</v>
      </c>
    </row>
    <row r="3630" spans="2:22" x14ac:dyDescent="0.25">
      <c r="B3630" s="16">
        <v>1</v>
      </c>
      <c r="C3630" s="7">
        <v>1</v>
      </c>
      <c r="D3630" s="8">
        <v>0</v>
      </c>
      <c r="E3630" s="8">
        <v>1</v>
      </c>
      <c r="F3630" s="8">
        <v>0</v>
      </c>
      <c r="G3630" s="8">
        <v>1</v>
      </c>
      <c r="H3630" s="8">
        <v>0</v>
      </c>
      <c r="I3630" s="8">
        <v>0</v>
      </c>
      <c r="J3630" s="8">
        <v>0</v>
      </c>
      <c r="K3630" s="9">
        <v>1</v>
      </c>
      <c r="L3630" s="10">
        <v>1</v>
      </c>
      <c r="M3630" s="6">
        <v>1</v>
      </c>
      <c r="N3630" s="37" t="e" cm="1">
        <f t="array" ref="N3630">IF(OR(ISNUMBER(FIND(Aux!$D$3:$D$9,_xlfn.TEXTJOIN(,,C3630:K3630)))),NA(),IF(AND(SUM(C3630:F3630,H3630:K3630)=0,G3630=1),0,INT((SUMPRODUCT(C3630:F3630,COLUMN($A$1:$D$1)-1)+SUMPRODUCT(H3630:K3630,COLUMN($E$1:$H$1)-1))*'Line Follower'!$C$3/SUM(C3630:F3630,H3630:K3630)-'Line Follower'!$C$5)))</f>
        <v>#N/A</v>
      </c>
      <c r="O3630" s="22" t="e">
        <v>#N/A</v>
      </c>
      <c r="P3630" s="4" t="e">
        <f t="shared" si="280"/>
        <v>#N/A</v>
      </c>
      <c r="Q3630" s="4" t="e">
        <f t="shared" si="281"/>
        <v>#N/A</v>
      </c>
      <c r="R3630" s="4" t="e">
        <f>IF(AND(B3630=1,N3630&gt;'Line Follower'!$C$7,SUM(C3630:K3630)&lt;4),1,0)</f>
        <v>#N/A</v>
      </c>
      <c r="S3630" s="4" t="e">
        <f>IF(AND(L3630=1,N3630&lt;'Line Follower'!$C$6,SUM(C3630:K3630)&lt;4),1,0)</f>
        <v>#N/A</v>
      </c>
      <c r="T3630" s="4" t="e">
        <f t="shared" si="282"/>
        <v>#N/A</v>
      </c>
      <c r="U3630" s="5" t="e">
        <f t="shared" si="283"/>
        <v>#N/A</v>
      </c>
      <c r="V3630" s="23" t="e">
        <f t="shared" si="284"/>
        <v>#N/A</v>
      </c>
    </row>
    <row r="3631" spans="2:22" x14ac:dyDescent="0.25">
      <c r="B3631" s="16">
        <v>0</v>
      </c>
      <c r="C3631" s="7">
        <v>0</v>
      </c>
      <c r="D3631" s="8">
        <v>1</v>
      </c>
      <c r="E3631" s="8">
        <v>1</v>
      </c>
      <c r="F3631" s="8">
        <v>0</v>
      </c>
      <c r="G3631" s="8">
        <v>1</v>
      </c>
      <c r="H3631" s="8">
        <v>0</v>
      </c>
      <c r="I3631" s="8">
        <v>0</v>
      </c>
      <c r="J3631" s="8">
        <v>0</v>
      </c>
      <c r="K3631" s="9">
        <v>1</v>
      </c>
      <c r="L3631" s="10">
        <v>1</v>
      </c>
      <c r="M3631" s="6">
        <v>1</v>
      </c>
      <c r="N3631" s="37" t="e" cm="1">
        <f t="array" ref="N3631">IF(OR(ISNUMBER(FIND(Aux!$D$3:$D$9,_xlfn.TEXTJOIN(,,C3631:K3631)))),NA(),IF(AND(SUM(C3631:F3631,H3631:K3631)=0,G3631=1),0,INT((SUMPRODUCT(C3631:F3631,COLUMN($A$1:$D$1)-1)+SUMPRODUCT(H3631:K3631,COLUMN($E$1:$H$1)-1))*'Line Follower'!$C$3/SUM(C3631:F3631,H3631:K3631)-'Line Follower'!$C$5)))</f>
        <v>#N/A</v>
      </c>
      <c r="O3631" s="22" t="e">
        <v>#N/A</v>
      </c>
      <c r="P3631" s="4" t="e">
        <f t="shared" si="280"/>
        <v>#N/A</v>
      </c>
      <c r="Q3631" s="4" t="e">
        <f t="shared" si="281"/>
        <v>#N/A</v>
      </c>
      <c r="R3631" s="4" t="e">
        <f>IF(AND(B3631=1,N3631&gt;'Line Follower'!$C$7,SUM(C3631:K3631)&lt;4),1,0)</f>
        <v>#N/A</v>
      </c>
      <c r="S3631" s="4" t="e">
        <f>IF(AND(L3631=1,N3631&lt;'Line Follower'!$C$6,SUM(C3631:K3631)&lt;4),1,0)</f>
        <v>#N/A</v>
      </c>
      <c r="T3631" s="4" t="e">
        <f t="shared" si="282"/>
        <v>#N/A</v>
      </c>
      <c r="U3631" s="5" t="e">
        <f t="shared" si="283"/>
        <v>#N/A</v>
      </c>
      <c r="V3631" s="23" t="e">
        <f t="shared" si="284"/>
        <v>#N/A</v>
      </c>
    </row>
    <row r="3632" spans="2:22" x14ac:dyDescent="0.25">
      <c r="B3632" s="16">
        <v>1</v>
      </c>
      <c r="C3632" s="7">
        <v>0</v>
      </c>
      <c r="D3632" s="8">
        <v>1</v>
      </c>
      <c r="E3632" s="8">
        <v>1</v>
      </c>
      <c r="F3632" s="8">
        <v>0</v>
      </c>
      <c r="G3632" s="8">
        <v>1</v>
      </c>
      <c r="H3632" s="8">
        <v>0</v>
      </c>
      <c r="I3632" s="8">
        <v>0</v>
      </c>
      <c r="J3632" s="8">
        <v>0</v>
      </c>
      <c r="K3632" s="9">
        <v>1</v>
      </c>
      <c r="L3632" s="10">
        <v>1</v>
      </c>
      <c r="M3632" s="6">
        <v>1</v>
      </c>
      <c r="N3632" s="37" t="e" cm="1">
        <f t="array" ref="N3632">IF(OR(ISNUMBER(FIND(Aux!$D$3:$D$9,_xlfn.TEXTJOIN(,,C3632:K3632)))),NA(),IF(AND(SUM(C3632:F3632,H3632:K3632)=0,G3632=1),0,INT((SUMPRODUCT(C3632:F3632,COLUMN($A$1:$D$1)-1)+SUMPRODUCT(H3632:K3632,COLUMN($E$1:$H$1)-1))*'Line Follower'!$C$3/SUM(C3632:F3632,H3632:K3632)-'Line Follower'!$C$5)))</f>
        <v>#N/A</v>
      </c>
      <c r="O3632" s="22" t="e">
        <v>#N/A</v>
      </c>
      <c r="P3632" s="4" t="e">
        <f t="shared" si="280"/>
        <v>#N/A</v>
      </c>
      <c r="Q3632" s="4" t="e">
        <f t="shared" si="281"/>
        <v>#N/A</v>
      </c>
      <c r="R3632" s="4" t="e">
        <f>IF(AND(B3632=1,N3632&gt;'Line Follower'!$C$7,SUM(C3632:K3632)&lt;4),1,0)</f>
        <v>#N/A</v>
      </c>
      <c r="S3632" s="4" t="e">
        <f>IF(AND(L3632=1,N3632&lt;'Line Follower'!$C$6,SUM(C3632:K3632)&lt;4),1,0)</f>
        <v>#N/A</v>
      </c>
      <c r="T3632" s="4" t="e">
        <f t="shared" si="282"/>
        <v>#N/A</v>
      </c>
      <c r="U3632" s="5" t="e">
        <f t="shared" si="283"/>
        <v>#N/A</v>
      </c>
      <c r="V3632" s="23" t="e">
        <f t="shared" si="284"/>
        <v>#N/A</v>
      </c>
    </row>
    <row r="3633" spans="2:22" x14ac:dyDescent="0.25">
      <c r="B3633" s="16">
        <v>0</v>
      </c>
      <c r="C3633" s="7">
        <v>1</v>
      </c>
      <c r="D3633" s="8">
        <v>1</v>
      </c>
      <c r="E3633" s="8">
        <v>1</v>
      </c>
      <c r="F3633" s="8">
        <v>0</v>
      </c>
      <c r="G3633" s="8">
        <v>1</v>
      </c>
      <c r="H3633" s="8">
        <v>0</v>
      </c>
      <c r="I3633" s="8">
        <v>0</v>
      </c>
      <c r="J3633" s="8">
        <v>0</v>
      </c>
      <c r="K3633" s="9">
        <v>1</v>
      </c>
      <c r="L3633" s="10">
        <v>1</v>
      </c>
      <c r="M3633" s="6">
        <v>1</v>
      </c>
      <c r="N3633" s="37" t="e" cm="1">
        <f t="array" ref="N3633">IF(OR(ISNUMBER(FIND(Aux!$D$3:$D$9,_xlfn.TEXTJOIN(,,C3633:K3633)))),NA(),IF(AND(SUM(C3633:F3633,H3633:K3633)=0,G3633=1),0,INT((SUMPRODUCT(C3633:F3633,COLUMN($A$1:$D$1)-1)+SUMPRODUCT(H3633:K3633,COLUMN($E$1:$H$1)-1))*'Line Follower'!$C$3/SUM(C3633:F3633,H3633:K3633)-'Line Follower'!$C$5)))</f>
        <v>#N/A</v>
      </c>
      <c r="O3633" s="22" t="e">
        <v>#N/A</v>
      </c>
      <c r="P3633" s="4" t="e">
        <f t="shared" si="280"/>
        <v>#N/A</v>
      </c>
      <c r="Q3633" s="4" t="e">
        <f t="shared" si="281"/>
        <v>#N/A</v>
      </c>
      <c r="R3633" s="4" t="e">
        <f>IF(AND(B3633=1,N3633&gt;'Line Follower'!$C$7,SUM(C3633:K3633)&lt;4),1,0)</f>
        <v>#N/A</v>
      </c>
      <c r="S3633" s="4" t="e">
        <f>IF(AND(L3633=1,N3633&lt;'Line Follower'!$C$6,SUM(C3633:K3633)&lt;4),1,0)</f>
        <v>#N/A</v>
      </c>
      <c r="T3633" s="4" t="e">
        <f t="shared" si="282"/>
        <v>#N/A</v>
      </c>
      <c r="U3633" s="5" t="e">
        <f t="shared" si="283"/>
        <v>#N/A</v>
      </c>
      <c r="V3633" s="23" t="e">
        <f t="shared" si="284"/>
        <v>#N/A</v>
      </c>
    </row>
    <row r="3634" spans="2:22" x14ac:dyDescent="0.25">
      <c r="B3634" s="16">
        <v>1</v>
      </c>
      <c r="C3634" s="7">
        <v>1</v>
      </c>
      <c r="D3634" s="8">
        <v>1</v>
      </c>
      <c r="E3634" s="8">
        <v>1</v>
      </c>
      <c r="F3634" s="8">
        <v>0</v>
      </c>
      <c r="G3634" s="8">
        <v>1</v>
      </c>
      <c r="H3634" s="8">
        <v>0</v>
      </c>
      <c r="I3634" s="8">
        <v>0</v>
      </c>
      <c r="J3634" s="8">
        <v>0</v>
      </c>
      <c r="K3634" s="9">
        <v>1</v>
      </c>
      <c r="L3634" s="10">
        <v>1</v>
      </c>
      <c r="M3634" s="6">
        <v>1</v>
      </c>
      <c r="N3634" s="37" t="e" cm="1">
        <f t="array" ref="N3634">IF(OR(ISNUMBER(FIND(Aux!$D$3:$D$9,_xlfn.TEXTJOIN(,,C3634:K3634)))),NA(),IF(AND(SUM(C3634:F3634,H3634:K3634)=0,G3634=1),0,INT((SUMPRODUCT(C3634:F3634,COLUMN($A$1:$D$1)-1)+SUMPRODUCT(H3634:K3634,COLUMN($E$1:$H$1)-1))*'Line Follower'!$C$3/SUM(C3634:F3634,H3634:K3634)-'Line Follower'!$C$5)))</f>
        <v>#N/A</v>
      </c>
      <c r="O3634" s="22" t="e">
        <v>#N/A</v>
      </c>
      <c r="P3634" s="4" t="e">
        <f t="shared" si="280"/>
        <v>#N/A</v>
      </c>
      <c r="Q3634" s="4" t="e">
        <f t="shared" si="281"/>
        <v>#N/A</v>
      </c>
      <c r="R3634" s="4" t="e">
        <f>IF(AND(B3634=1,N3634&gt;'Line Follower'!$C$7,SUM(C3634:K3634)&lt;4),1,0)</f>
        <v>#N/A</v>
      </c>
      <c r="S3634" s="4" t="e">
        <f>IF(AND(L3634=1,N3634&lt;'Line Follower'!$C$6,SUM(C3634:K3634)&lt;4),1,0)</f>
        <v>#N/A</v>
      </c>
      <c r="T3634" s="4" t="e">
        <f t="shared" si="282"/>
        <v>#N/A</v>
      </c>
      <c r="U3634" s="5" t="e">
        <f t="shared" si="283"/>
        <v>#N/A</v>
      </c>
      <c r="V3634" s="23" t="e">
        <f t="shared" si="284"/>
        <v>#N/A</v>
      </c>
    </row>
    <row r="3635" spans="2:22" x14ac:dyDescent="0.25">
      <c r="B3635" s="16">
        <v>0</v>
      </c>
      <c r="C3635" s="7">
        <v>0</v>
      </c>
      <c r="D3635" s="8">
        <v>0</v>
      </c>
      <c r="E3635" s="8">
        <v>0</v>
      </c>
      <c r="F3635" s="8">
        <v>1</v>
      </c>
      <c r="G3635" s="8">
        <v>1</v>
      </c>
      <c r="H3635" s="8">
        <v>0</v>
      </c>
      <c r="I3635" s="8">
        <v>0</v>
      </c>
      <c r="J3635" s="8">
        <v>0</v>
      </c>
      <c r="K3635" s="9">
        <v>1</v>
      </c>
      <c r="L3635" s="10">
        <v>1</v>
      </c>
      <c r="M3635" s="6">
        <v>1</v>
      </c>
      <c r="N3635" s="37" t="e" cm="1">
        <f t="array" ref="N3635">IF(OR(ISNUMBER(FIND(Aux!$D$3:$D$9,_xlfn.TEXTJOIN(,,C3635:K3635)))),NA(),IF(AND(SUM(C3635:F3635,H3635:K3635)=0,G3635=1),0,INT((SUMPRODUCT(C3635:F3635,COLUMN($A$1:$D$1)-1)+SUMPRODUCT(H3635:K3635,COLUMN($E$1:$H$1)-1))*'Line Follower'!$C$3/SUM(C3635:F3635,H3635:K3635)-'Line Follower'!$C$5)))</f>
        <v>#N/A</v>
      </c>
      <c r="O3635" s="22" t="e">
        <v>#N/A</v>
      </c>
      <c r="P3635" s="4" t="e">
        <f t="shared" si="280"/>
        <v>#N/A</v>
      </c>
      <c r="Q3635" s="4" t="e">
        <f t="shared" si="281"/>
        <v>#N/A</v>
      </c>
      <c r="R3635" s="4" t="e">
        <f>IF(AND(B3635=1,N3635&gt;'Line Follower'!$C$7,SUM(C3635:K3635)&lt;4),1,0)</f>
        <v>#N/A</v>
      </c>
      <c r="S3635" s="4" t="e">
        <f>IF(AND(L3635=1,N3635&lt;'Line Follower'!$C$6,SUM(C3635:K3635)&lt;4),1,0)</f>
        <v>#N/A</v>
      </c>
      <c r="T3635" s="4" t="e">
        <f t="shared" si="282"/>
        <v>#N/A</v>
      </c>
      <c r="U3635" s="5" t="e">
        <f t="shared" si="283"/>
        <v>#N/A</v>
      </c>
      <c r="V3635" s="23" t="e">
        <f t="shared" si="284"/>
        <v>#N/A</v>
      </c>
    </row>
    <row r="3636" spans="2:22" x14ac:dyDescent="0.25">
      <c r="B3636" s="16">
        <v>1</v>
      </c>
      <c r="C3636" s="7">
        <v>0</v>
      </c>
      <c r="D3636" s="8">
        <v>0</v>
      </c>
      <c r="E3636" s="8">
        <v>0</v>
      </c>
      <c r="F3636" s="8">
        <v>1</v>
      </c>
      <c r="G3636" s="8">
        <v>1</v>
      </c>
      <c r="H3636" s="8">
        <v>0</v>
      </c>
      <c r="I3636" s="8">
        <v>0</v>
      </c>
      <c r="J3636" s="8">
        <v>0</v>
      </c>
      <c r="K3636" s="9">
        <v>1</v>
      </c>
      <c r="L3636" s="10">
        <v>1</v>
      </c>
      <c r="M3636" s="6">
        <v>1</v>
      </c>
      <c r="N3636" s="37" t="e" cm="1">
        <f t="array" ref="N3636">IF(OR(ISNUMBER(FIND(Aux!$D$3:$D$9,_xlfn.TEXTJOIN(,,C3636:K3636)))),NA(),IF(AND(SUM(C3636:F3636,H3636:K3636)=0,G3636=1),0,INT((SUMPRODUCT(C3636:F3636,COLUMN($A$1:$D$1)-1)+SUMPRODUCT(H3636:K3636,COLUMN($E$1:$H$1)-1))*'Line Follower'!$C$3/SUM(C3636:F3636,H3636:K3636)-'Line Follower'!$C$5)))</f>
        <v>#N/A</v>
      </c>
      <c r="O3636" s="22" t="e">
        <v>#N/A</v>
      </c>
      <c r="P3636" s="4" t="e">
        <f t="shared" si="280"/>
        <v>#N/A</v>
      </c>
      <c r="Q3636" s="4" t="e">
        <f t="shared" si="281"/>
        <v>#N/A</v>
      </c>
      <c r="R3636" s="4" t="e">
        <f>IF(AND(B3636=1,N3636&gt;'Line Follower'!$C$7,SUM(C3636:K3636)&lt;4),1,0)</f>
        <v>#N/A</v>
      </c>
      <c r="S3636" s="4" t="e">
        <f>IF(AND(L3636=1,N3636&lt;'Line Follower'!$C$6,SUM(C3636:K3636)&lt;4),1,0)</f>
        <v>#N/A</v>
      </c>
      <c r="T3636" s="4" t="e">
        <f t="shared" si="282"/>
        <v>#N/A</v>
      </c>
      <c r="U3636" s="5" t="e">
        <f t="shared" si="283"/>
        <v>#N/A</v>
      </c>
      <c r="V3636" s="23" t="e">
        <f t="shared" si="284"/>
        <v>#N/A</v>
      </c>
    </row>
    <row r="3637" spans="2:22" x14ac:dyDescent="0.25">
      <c r="B3637" s="16">
        <v>0</v>
      </c>
      <c r="C3637" s="7">
        <v>1</v>
      </c>
      <c r="D3637" s="8">
        <v>0</v>
      </c>
      <c r="E3637" s="8">
        <v>0</v>
      </c>
      <c r="F3637" s="8">
        <v>1</v>
      </c>
      <c r="G3637" s="8">
        <v>1</v>
      </c>
      <c r="H3637" s="8">
        <v>0</v>
      </c>
      <c r="I3637" s="8">
        <v>0</v>
      </c>
      <c r="J3637" s="8">
        <v>0</v>
      </c>
      <c r="K3637" s="9">
        <v>1</v>
      </c>
      <c r="L3637" s="10">
        <v>1</v>
      </c>
      <c r="M3637" s="6">
        <v>1</v>
      </c>
      <c r="N3637" s="37" t="e" cm="1">
        <f t="array" ref="N3637">IF(OR(ISNUMBER(FIND(Aux!$D$3:$D$9,_xlfn.TEXTJOIN(,,C3637:K3637)))),NA(),IF(AND(SUM(C3637:F3637,H3637:K3637)=0,G3637=1),0,INT((SUMPRODUCT(C3637:F3637,COLUMN($A$1:$D$1)-1)+SUMPRODUCT(H3637:K3637,COLUMN($E$1:$H$1)-1))*'Line Follower'!$C$3/SUM(C3637:F3637,H3637:K3637)-'Line Follower'!$C$5)))</f>
        <v>#N/A</v>
      </c>
      <c r="O3637" s="22" t="e">
        <v>#N/A</v>
      </c>
      <c r="P3637" s="4" t="e">
        <f t="shared" si="280"/>
        <v>#N/A</v>
      </c>
      <c r="Q3637" s="4" t="e">
        <f t="shared" si="281"/>
        <v>#N/A</v>
      </c>
      <c r="R3637" s="4" t="e">
        <f>IF(AND(B3637=1,N3637&gt;'Line Follower'!$C$7,SUM(C3637:K3637)&lt;4),1,0)</f>
        <v>#N/A</v>
      </c>
      <c r="S3637" s="4" t="e">
        <f>IF(AND(L3637=1,N3637&lt;'Line Follower'!$C$6,SUM(C3637:K3637)&lt;4),1,0)</f>
        <v>#N/A</v>
      </c>
      <c r="T3637" s="4" t="e">
        <f t="shared" si="282"/>
        <v>#N/A</v>
      </c>
      <c r="U3637" s="5" t="e">
        <f t="shared" si="283"/>
        <v>#N/A</v>
      </c>
      <c r="V3637" s="23" t="e">
        <f t="shared" si="284"/>
        <v>#N/A</v>
      </c>
    </row>
    <row r="3638" spans="2:22" x14ac:dyDescent="0.25">
      <c r="B3638" s="16">
        <v>1</v>
      </c>
      <c r="C3638" s="7">
        <v>1</v>
      </c>
      <c r="D3638" s="8">
        <v>0</v>
      </c>
      <c r="E3638" s="8">
        <v>0</v>
      </c>
      <c r="F3638" s="8">
        <v>1</v>
      </c>
      <c r="G3638" s="8">
        <v>1</v>
      </c>
      <c r="H3638" s="8">
        <v>0</v>
      </c>
      <c r="I3638" s="8">
        <v>0</v>
      </c>
      <c r="J3638" s="8">
        <v>0</v>
      </c>
      <c r="K3638" s="9">
        <v>1</v>
      </c>
      <c r="L3638" s="10">
        <v>1</v>
      </c>
      <c r="M3638" s="6">
        <v>1</v>
      </c>
      <c r="N3638" s="37" t="e" cm="1">
        <f t="array" ref="N3638">IF(OR(ISNUMBER(FIND(Aux!$D$3:$D$9,_xlfn.TEXTJOIN(,,C3638:K3638)))),NA(),IF(AND(SUM(C3638:F3638,H3638:K3638)=0,G3638=1),0,INT((SUMPRODUCT(C3638:F3638,COLUMN($A$1:$D$1)-1)+SUMPRODUCT(H3638:K3638,COLUMN($E$1:$H$1)-1))*'Line Follower'!$C$3/SUM(C3638:F3638,H3638:K3638)-'Line Follower'!$C$5)))</f>
        <v>#N/A</v>
      </c>
      <c r="O3638" s="22" t="e">
        <v>#N/A</v>
      </c>
      <c r="P3638" s="4" t="e">
        <f t="shared" si="280"/>
        <v>#N/A</v>
      </c>
      <c r="Q3638" s="4" t="e">
        <f t="shared" si="281"/>
        <v>#N/A</v>
      </c>
      <c r="R3638" s="4" t="e">
        <f>IF(AND(B3638=1,N3638&gt;'Line Follower'!$C$7,SUM(C3638:K3638)&lt;4),1,0)</f>
        <v>#N/A</v>
      </c>
      <c r="S3638" s="4" t="e">
        <f>IF(AND(L3638=1,N3638&lt;'Line Follower'!$C$6,SUM(C3638:K3638)&lt;4),1,0)</f>
        <v>#N/A</v>
      </c>
      <c r="T3638" s="4" t="e">
        <f t="shared" si="282"/>
        <v>#N/A</v>
      </c>
      <c r="U3638" s="5" t="e">
        <f t="shared" si="283"/>
        <v>#N/A</v>
      </c>
      <c r="V3638" s="23" t="e">
        <f t="shared" si="284"/>
        <v>#N/A</v>
      </c>
    </row>
    <row r="3639" spans="2:22" x14ac:dyDescent="0.25">
      <c r="B3639" s="16">
        <v>0</v>
      </c>
      <c r="C3639" s="7">
        <v>0</v>
      </c>
      <c r="D3639" s="8">
        <v>1</v>
      </c>
      <c r="E3639" s="8">
        <v>0</v>
      </c>
      <c r="F3639" s="8">
        <v>1</v>
      </c>
      <c r="G3639" s="8">
        <v>1</v>
      </c>
      <c r="H3639" s="8">
        <v>0</v>
      </c>
      <c r="I3639" s="8">
        <v>0</v>
      </c>
      <c r="J3639" s="8">
        <v>0</v>
      </c>
      <c r="K3639" s="9">
        <v>1</v>
      </c>
      <c r="L3639" s="10">
        <v>1</v>
      </c>
      <c r="M3639" s="6">
        <v>1</v>
      </c>
      <c r="N3639" s="37" t="e" cm="1">
        <f t="array" ref="N3639">IF(OR(ISNUMBER(FIND(Aux!$D$3:$D$9,_xlfn.TEXTJOIN(,,C3639:K3639)))),NA(),IF(AND(SUM(C3639:F3639,H3639:K3639)=0,G3639=1),0,INT((SUMPRODUCT(C3639:F3639,COLUMN($A$1:$D$1)-1)+SUMPRODUCT(H3639:K3639,COLUMN($E$1:$H$1)-1))*'Line Follower'!$C$3/SUM(C3639:F3639,H3639:K3639)-'Line Follower'!$C$5)))</f>
        <v>#N/A</v>
      </c>
      <c r="O3639" s="22" t="e">
        <v>#N/A</v>
      </c>
      <c r="P3639" s="4" t="e">
        <f t="shared" si="280"/>
        <v>#N/A</v>
      </c>
      <c r="Q3639" s="4" t="e">
        <f t="shared" si="281"/>
        <v>#N/A</v>
      </c>
      <c r="R3639" s="4" t="e">
        <f>IF(AND(B3639=1,N3639&gt;'Line Follower'!$C$7,SUM(C3639:K3639)&lt;4),1,0)</f>
        <v>#N/A</v>
      </c>
      <c r="S3639" s="4" t="e">
        <f>IF(AND(L3639=1,N3639&lt;'Line Follower'!$C$6,SUM(C3639:K3639)&lt;4),1,0)</f>
        <v>#N/A</v>
      </c>
      <c r="T3639" s="4" t="e">
        <f t="shared" si="282"/>
        <v>#N/A</v>
      </c>
      <c r="U3639" s="5" t="e">
        <f t="shared" si="283"/>
        <v>#N/A</v>
      </c>
      <c r="V3639" s="23" t="e">
        <f t="shared" si="284"/>
        <v>#N/A</v>
      </c>
    </row>
    <row r="3640" spans="2:22" x14ac:dyDescent="0.25">
      <c r="B3640" s="16">
        <v>1</v>
      </c>
      <c r="C3640" s="7">
        <v>0</v>
      </c>
      <c r="D3640" s="8">
        <v>1</v>
      </c>
      <c r="E3640" s="8">
        <v>0</v>
      </c>
      <c r="F3640" s="8">
        <v>1</v>
      </c>
      <c r="G3640" s="8">
        <v>1</v>
      </c>
      <c r="H3640" s="8">
        <v>0</v>
      </c>
      <c r="I3640" s="8">
        <v>0</v>
      </c>
      <c r="J3640" s="8">
        <v>0</v>
      </c>
      <c r="K3640" s="9">
        <v>1</v>
      </c>
      <c r="L3640" s="10">
        <v>1</v>
      </c>
      <c r="M3640" s="6">
        <v>1</v>
      </c>
      <c r="N3640" s="37" t="e" cm="1">
        <f t="array" ref="N3640">IF(OR(ISNUMBER(FIND(Aux!$D$3:$D$9,_xlfn.TEXTJOIN(,,C3640:K3640)))),NA(),IF(AND(SUM(C3640:F3640,H3640:K3640)=0,G3640=1),0,INT((SUMPRODUCT(C3640:F3640,COLUMN($A$1:$D$1)-1)+SUMPRODUCT(H3640:K3640,COLUMN($E$1:$H$1)-1))*'Line Follower'!$C$3/SUM(C3640:F3640,H3640:K3640)-'Line Follower'!$C$5)))</f>
        <v>#N/A</v>
      </c>
      <c r="O3640" s="22" t="e">
        <v>#N/A</v>
      </c>
      <c r="P3640" s="4" t="e">
        <f t="shared" si="280"/>
        <v>#N/A</v>
      </c>
      <c r="Q3640" s="4" t="e">
        <f t="shared" si="281"/>
        <v>#N/A</v>
      </c>
      <c r="R3640" s="4" t="e">
        <f>IF(AND(B3640=1,N3640&gt;'Line Follower'!$C$7,SUM(C3640:K3640)&lt;4),1,0)</f>
        <v>#N/A</v>
      </c>
      <c r="S3640" s="4" t="e">
        <f>IF(AND(L3640=1,N3640&lt;'Line Follower'!$C$6,SUM(C3640:K3640)&lt;4),1,0)</f>
        <v>#N/A</v>
      </c>
      <c r="T3640" s="4" t="e">
        <f t="shared" si="282"/>
        <v>#N/A</v>
      </c>
      <c r="U3640" s="5" t="e">
        <f t="shared" si="283"/>
        <v>#N/A</v>
      </c>
      <c r="V3640" s="23" t="e">
        <f t="shared" si="284"/>
        <v>#N/A</v>
      </c>
    </row>
    <row r="3641" spans="2:22" x14ac:dyDescent="0.25">
      <c r="B3641" s="16">
        <v>0</v>
      </c>
      <c r="C3641" s="7">
        <v>1</v>
      </c>
      <c r="D3641" s="8">
        <v>1</v>
      </c>
      <c r="E3641" s="8">
        <v>0</v>
      </c>
      <c r="F3641" s="8">
        <v>1</v>
      </c>
      <c r="G3641" s="8">
        <v>1</v>
      </c>
      <c r="H3641" s="8">
        <v>0</v>
      </c>
      <c r="I3641" s="8">
        <v>0</v>
      </c>
      <c r="J3641" s="8">
        <v>0</v>
      </c>
      <c r="K3641" s="9">
        <v>1</v>
      </c>
      <c r="L3641" s="10">
        <v>1</v>
      </c>
      <c r="M3641" s="6">
        <v>1</v>
      </c>
      <c r="N3641" s="37" t="e" cm="1">
        <f t="array" ref="N3641">IF(OR(ISNUMBER(FIND(Aux!$D$3:$D$9,_xlfn.TEXTJOIN(,,C3641:K3641)))),NA(),IF(AND(SUM(C3641:F3641,H3641:K3641)=0,G3641=1),0,INT((SUMPRODUCT(C3641:F3641,COLUMN($A$1:$D$1)-1)+SUMPRODUCT(H3641:K3641,COLUMN($E$1:$H$1)-1))*'Line Follower'!$C$3/SUM(C3641:F3641,H3641:K3641)-'Line Follower'!$C$5)))</f>
        <v>#N/A</v>
      </c>
      <c r="O3641" s="22" t="e">
        <v>#N/A</v>
      </c>
      <c r="P3641" s="4" t="e">
        <f t="shared" si="280"/>
        <v>#N/A</v>
      </c>
      <c r="Q3641" s="4" t="e">
        <f t="shared" si="281"/>
        <v>#N/A</v>
      </c>
      <c r="R3641" s="4" t="e">
        <f>IF(AND(B3641=1,N3641&gt;'Line Follower'!$C$7,SUM(C3641:K3641)&lt;4),1,0)</f>
        <v>#N/A</v>
      </c>
      <c r="S3641" s="4" t="e">
        <f>IF(AND(L3641=1,N3641&lt;'Line Follower'!$C$6,SUM(C3641:K3641)&lt;4),1,0)</f>
        <v>#N/A</v>
      </c>
      <c r="T3641" s="4" t="e">
        <f t="shared" si="282"/>
        <v>#N/A</v>
      </c>
      <c r="U3641" s="5" t="e">
        <f t="shared" si="283"/>
        <v>#N/A</v>
      </c>
      <c r="V3641" s="23" t="e">
        <f t="shared" si="284"/>
        <v>#N/A</v>
      </c>
    </row>
    <row r="3642" spans="2:22" x14ac:dyDescent="0.25">
      <c r="B3642" s="16">
        <v>1</v>
      </c>
      <c r="C3642" s="7">
        <v>1</v>
      </c>
      <c r="D3642" s="8">
        <v>1</v>
      </c>
      <c r="E3642" s="8">
        <v>0</v>
      </c>
      <c r="F3642" s="8">
        <v>1</v>
      </c>
      <c r="G3642" s="8">
        <v>1</v>
      </c>
      <c r="H3642" s="8">
        <v>0</v>
      </c>
      <c r="I3642" s="8">
        <v>0</v>
      </c>
      <c r="J3642" s="8">
        <v>0</v>
      </c>
      <c r="K3642" s="9">
        <v>1</v>
      </c>
      <c r="L3642" s="10">
        <v>1</v>
      </c>
      <c r="M3642" s="6">
        <v>1</v>
      </c>
      <c r="N3642" s="37" t="e" cm="1">
        <f t="array" ref="N3642">IF(OR(ISNUMBER(FIND(Aux!$D$3:$D$9,_xlfn.TEXTJOIN(,,C3642:K3642)))),NA(),IF(AND(SUM(C3642:F3642,H3642:K3642)=0,G3642=1),0,INT((SUMPRODUCT(C3642:F3642,COLUMN($A$1:$D$1)-1)+SUMPRODUCT(H3642:K3642,COLUMN($E$1:$H$1)-1))*'Line Follower'!$C$3/SUM(C3642:F3642,H3642:K3642)-'Line Follower'!$C$5)))</f>
        <v>#N/A</v>
      </c>
      <c r="O3642" s="22" t="e">
        <v>#N/A</v>
      </c>
      <c r="P3642" s="4" t="e">
        <f t="shared" si="280"/>
        <v>#N/A</v>
      </c>
      <c r="Q3642" s="4" t="e">
        <f t="shared" si="281"/>
        <v>#N/A</v>
      </c>
      <c r="R3642" s="4" t="e">
        <f>IF(AND(B3642=1,N3642&gt;'Line Follower'!$C$7,SUM(C3642:K3642)&lt;4),1,0)</f>
        <v>#N/A</v>
      </c>
      <c r="S3642" s="4" t="e">
        <f>IF(AND(L3642=1,N3642&lt;'Line Follower'!$C$6,SUM(C3642:K3642)&lt;4),1,0)</f>
        <v>#N/A</v>
      </c>
      <c r="T3642" s="4" t="e">
        <f t="shared" si="282"/>
        <v>#N/A</v>
      </c>
      <c r="U3642" s="5" t="e">
        <f t="shared" si="283"/>
        <v>#N/A</v>
      </c>
      <c r="V3642" s="23" t="e">
        <f t="shared" si="284"/>
        <v>#N/A</v>
      </c>
    </row>
    <row r="3643" spans="2:22" x14ac:dyDescent="0.25">
      <c r="B3643" s="16">
        <v>0</v>
      </c>
      <c r="C3643" s="7">
        <v>0</v>
      </c>
      <c r="D3643" s="8">
        <v>0</v>
      </c>
      <c r="E3643" s="8">
        <v>1</v>
      </c>
      <c r="F3643" s="8">
        <v>1</v>
      </c>
      <c r="G3643" s="8">
        <v>1</v>
      </c>
      <c r="H3643" s="8">
        <v>0</v>
      </c>
      <c r="I3643" s="8">
        <v>0</v>
      </c>
      <c r="J3643" s="8">
        <v>0</v>
      </c>
      <c r="K3643" s="9">
        <v>1</v>
      </c>
      <c r="L3643" s="10">
        <v>1</v>
      </c>
      <c r="M3643" s="6">
        <v>1</v>
      </c>
      <c r="N3643" s="37" t="e" cm="1">
        <f t="array" ref="N3643">IF(OR(ISNUMBER(FIND(Aux!$D$3:$D$9,_xlfn.TEXTJOIN(,,C3643:K3643)))),NA(),IF(AND(SUM(C3643:F3643,H3643:K3643)=0,G3643=1),0,INT((SUMPRODUCT(C3643:F3643,COLUMN($A$1:$D$1)-1)+SUMPRODUCT(H3643:K3643,COLUMN($E$1:$H$1)-1))*'Line Follower'!$C$3/SUM(C3643:F3643,H3643:K3643)-'Line Follower'!$C$5)))</f>
        <v>#N/A</v>
      </c>
      <c r="O3643" s="22" t="e">
        <v>#N/A</v>
      </c>
      <c r="P3643" s="4" t="e">
        <f t="shared" si="280"/>
        <v>#N/A</v>
      </c>
      <c r="Q3643" s="4" t="e">
        <f t="shared" si="281"/>
        <v>#N/A</v>
      </c>
      <c r="R3643" s="4" t="e">
        <f>IF(AND(B3643=1,N3643&gt;'Line Follower'!$C$7,SUM(C3643:K3643)&lt;4),1,0)</f>
        <v>#N/A</v>
      </c>
      <c r="S3643" s="4" t="e">
        <f>IF(AND(L3643=1,N3643&lt;'Line Follower'!$C$6,SUM(C3643:K3643)&lt;4),1,0)</f>
        <v>#N/A</v>
      </c>
      <c r="T3643" s="4" t="e">
        <f t="shared" si="282"/>
        <v>#N/A</v>
      </c>
      <c r="U3643" s="5" t="e">
        <f t="shared" si="283"/>
        <v>#N/A</v>
      </c>
      <c r="V3643" s="23" t="e">
        <f t="shared" si="284"/>
        <v>#N/A</v>
      </c>
    </row>
    <row r="3644" spans="2:22" x14ac:dyDescent="0.25">
      <c r="B3644" s="16">
        <v>1</v>
      </c>
      <c r="C3644" s="7">
        <v>0</v>
      </c>
      <c r="D3644" s="8">
        <v>0</v>
      </c>
      <c r="E3644" s="8">
        <v>1</v>
      </c>
      <c r="F3644" s="8">
        <v>1</v>
      </c>
      <c r="G3644" s="8">
        <v>1</v>
      </c>
      <c r="H3644" s="8">
        <v>0</v>
      </c>
      <c r="I3644" s="8">
        <v>0</v>
      </c>
      <c r="J3644" s="8">
        <v>0</v>
      </c>
      <c r="K3644" s="9">
        <v>1</v>
      </c>
      <c r="L3644" s="10">
        <v>1</v>
      </c>
      <c r="M3644" s="6">
        <v>1</v>
      </c>
      <c r="N3644" s="37" t="e" cm="1">
        <f t="array" ref="N3644">IF(OR(ISNUMBER(FIND(Aux!$D$3:$D$9,_xlfn.TEXTJOIN(,,C3644:K3644)))),NA(),IF(AND(SUM(C3644:F3644,H3644:K3644)=0,G3644=1),0,INT((SUMPRODUCT(C3644:F3644,COLUMN($A$1:$D$1)-1)+SUMPRODUCT(H3644:K3644,COLUMN($E$1:$H$1)-1))*'Line Follower'!$C$3/SUM(C3644:F3644,H3644:K3644)-'Line Follower'!$C$5)))</f>
        <v>#N/A</v>
      </c>
      <c r="O3644" s="22" t="e">
        <v>#N/A</v>
      </c>
      <c r="P3644" s="4" t="e">
        <f t="shared" si="280"/>
        <v>#N/A</v>
      </c>
      <c r="Q3644" s="4" t="e">
        <f t="shared" si="281"/>
        <v>#N/A</v>
      </c>
      <c r="R3644" s="4" t="e">
        <f>IF(AND(B3644=1,N3644&gt;'Line Follower'!$C$7,SUM(C3644:K3644)&lt;4),1,0)</f>
        <v>#N/A</v>
      </c>
      <c r="S3644" s="4" t="e">
        <f>IF(AND(L3644=1,N3644&lt;'Line Follower'!$C$6,SUM(C3644:K3644)&lt;4),1,0)</f>
        <v>#N/A</v>
      </c>
      <c r="T3644" s="4" t="e">
        <f t="shared" si="282"/>
        <v>#N/A</v>
      </c>
      <c r="U3644" s="5" t="e">
        <f t="shared" si="283"/>
        <v>#N/A</v>
      </c>
      <c r="V3644" s="23" t="e">
        <f t="shared" si="284"/>
        <v>#N/A</v>
      </c>
    </row>
    <row r="3645" spans="2:22" x14ac:dyDescent="0.25">
      <c r="B3645" s="16">
        <v>0</v>
      </c>
      <c r="C3645" s="7">
        <v>1</v>
      </c>
      <c r="D3645" s="8">
        <v>0</v>
      </c>
      <c r="E3645" s="8">
        <v>1</v>
      </c>
      <c r="F3645" s="8">
        <v>1</v>
      </c>
      <c r="G3645" s="8">
        <v>1</v>
      </c>
      <c r="H3645" s="8">
        <v>0</v>
      </c>
      <c r="I3645" s="8">
        <v>0</v>
      </c>
      <c r="J3645" s="8">
        <v>0</v>
      </c>
      <c r="K3645" s="9">
        <v>1</v>
      </c>
      <c r="L3645" s="10">
        <v>1</v>
      </c>
      <c r="M3645" s="6">
        <v>1</v>
      </c>
      <c r="N3645" s="37" t="e" cm="1">
        <f t="array" ref="N3645">IF(OR(ISNUMBER(FIND(Aux!$D$3:$D$9,_xlfn.TEXTJOIN(,,C3645:K3645)))),NA(),IF(AND(SUM(C3645:F3645,H3645:K3645)=0,G3645=1),0,INT((SUMPRODUCT(C3645:F3645,COLUMN($A$1:$D$1)-1)+SUMPRODUCT(H3645:K3645,COLUMN($E$1:$H$1)-1))*'Line Follower'!$C$3/SUM(C3645:F3645,H3645:K3645)-'Line Follower'!$C$5)))</f>
        <v>#N/A</v>
      </c>
      <c r="O3645" s="22" t="e">
        <v>#N/A</v>
      </c>
      <c r="P3645" s="4" t="e">
        <f t="shared" si="280"/>
        <v>#N/A</v>
      </c>
      <c r="Q3645" s="4" t="e">
        <f t="shared" si="281"/>
        <v>#N/A</v>
      </c>
      <c r="R3645" s="4" t="e">
        <f>IF(AND(B3645=1,N3645&gt;'Line Follower'!$C$7,SUM(C3645:K3645)&lt;4),1,0)</f>
        <v>#N/A</v>
      </c>
      <c r="S3645" s="4" t="e">
        <f>IF(AND(L3645=1,N3645&lt;'Line Follower'!$C$6,SUM(C3645:K3645)&lt;4),1,0)</f>
        <v>#N/A</v>
      </c>
      <c r="T3645" s="4" t="e">
        <f t="shared" si="282"/>
        <v>#N/A</v>
      </c>
      <c r="U3645" s="5" t="e">
        <f t="shared" si="283"/>
        <v>#N/A</v>
      </c>
      <c r="V3645" s="23" t="e">
        <f t="shared" si="284"/>
        <v>#N/A</v>
      </c>
    </row>
    <row r="3646" spans="2:22" x14ac:dyDescent="0.25">
      <c r="B3646" s="16">
        <v>1</v>
      </c>
      <c r="C3646" s="7">
        <v>1</v>
      </c>
      <c r="D3646" s="8">
        <v>0</v>
      </c>
      <c r="E3646" s="8">
        <v>1</v>
      </c>
      <c r="F3646" s="8">
        <v>1</v>
      </c>
      <c r="G3646" s="8">
        <v>1</v>
      </c>
      <c r="H3646" s="8">
        <v>0</v>
      </c>
      <c r="I3646" s="8">
        <v>0</v>
      </c>
      <c r="J3646" s="8">
        <v>0</v>
      </c>
      <c r="K3646" s="9">
        <v>1</v>
      </c>
      <c r="L3646" s="10">
        <v>1</v>
      </c>
      <c r="M3646" s="6">
        <v>1</v>
      </c>
      <c r="N3646" s="37" t="e" cm="1">
        <f t="array" ref="N3646">IF(OR(ISNUMBER(FIND(Aux!$D$3:$D$9,_xlfn.TEXTJOIN(,,C3646:K3646)))),NA(),IF(AND(SUM(C3646:F3646,H3646:K3646)=0,G3646=1),0,INT((SUMPRODUCT(C3646:F3646,COLUMN($A$1:$D$1)-1)+SUMPRODUCT(H3646:K3646,COLUMN($E$1:$H$1)-1))*'Line Follower'!$C$3/SUM(C3646:F3646,H3646:K3646)-'Line Follower'!$C$5)))</f>
        <v>#N/A</v>
      </c>
      <c r="O3646" s="22" t="e">
        <v>#N/A</v>
      </c>
      <c r="P3646" s="4" t="e">
        <f t="shared" si="280"/>
        <v>#N/A</v>
      </c>
      <c r="Q3646" s="4" t="e">
        <f t="shared" si="281"/>
        <v>#N/A</v>
      </c>
      <c r="R3646" s="4" t="e">
        <f>IF(AND(B3646=1,N3646&gt;'Line Follower'!$C$7,SUM(C3646:K3646)&lt;4),1,0)</f>
        <v>#N/A</v>
      </c>
      <c r="S3646" s="4" t="e">
        <f>IF(AND(L3646=1,N3646&lt;'Line Follower'!$C$6,SUM(C3646:K3646)&lt;4),1,0)</f>
        <v>#N/A</v>
      </c>
      <c r="T3646" s="4" t="e">
        <f t="shared" si="282"/>
        <v>#N/A</v>
      </c>
      <c r="U3646" s="5" t="e">
        <f t="shared" si="283"/>
        <v>#N/A</v>
      </c>
      <c r="V3646" s="23" t="e">
        <f t="shared" si="284"/>
        <v>#N/A</v>
      </c>
    </row>
    <row r="3647" spans="2:22" x14ac:dyDescent="0.25">
      <c r="B3647" s="16">
        <v>0</v>
      </c>
      <c r="C3647" s="7">
        <v>0</v>
      </c>
      <c r="D3647" s="8">
        <v>1</v>
      </c>
      <c r="E3647" s="8">
        <v>1</v>
      </c>
      <c r="F3647" s="8">
        <v>1</v>
      </c>
      <c r="G3647" s="8">
        <v>1</v>
      </c>
      <c r="H3647" s="8">
        <v>0</v>
      </c>
      <c r="I3647" s="8">
        <v>0</v>
      </c>
      <c r="J3647" s="8">
        <v>0</v>
      </c>
      <c r="K3647" s="9">
        <v>1</v>
      </c>
      <c r="L3647" s="10">
        <v>1</v>
      </c>
      <c r="M3647" s="6">
        <v>1</v>
      </c>
      <c r="N3647" s="37" t="e" cm="1">
        <f t="array" ref="N3647">IF(OR(ISNUMBER(FIND(Aux!$D$3:$D$9,_xlfn.TEXTJOIN(,,C3647:K3647)))),NA(),IF(AND(SUM(C3647:F3647,H3647:K3647)=0,G3647=1),0,INT((SUMPRODUCT(C3647:F3647,COLUMN($A$1:$D$1)-1)+SUMPRODUCT(H3647:K3647,COLUMN($E$1:$H$1)-1))*'Line Follower'!$C$3/SUM(C3647:F3647,H3647:K3647)-'Line Follower'!$C$5)))</f>
        <v>#N/A</v>
      </c>
      <c r="O3647" s="22" t="e">
        <v>#N/A</v>
      </c>
      <c r="P3647" s="4" t="e">
        <f t="shared" si="280"/>
        <v>#N/A</v>
      </c>
      <c r="Q3647" s="4" t="e">
        <f t="shared" si="281"/>
        <v>#N/A</v>
      </c>
      <c r="R3647" s="4" t="e">
        <f>IF(AND(B3647=1,N3647&gt;'Line Follower'!$C$7,SUM(C3647:K3647)&lt;4),1,0)</f>
        <v>#N/A</v>
      </c>
      <c r="S3647" s="4" t="e">
        <f>IF(AND(L3647=1,N3647&lt;'Line Follower'!$C$6,SUM(C3647:K3647)&lt;4),1,0)</f>
        <v>#N/A</v>
      </c>
      <c r="T3647" s="4" t="e">
        <f t="shared" si="282"/>
        <v>#N/A</v>
      </c>
      <c r="U3647" s="5" t="e">
        <f t="shared" si="283"/>
        <v>#N/A</v>
      </c>
      <c r="V3647" s="23" t="e">
        <f t="shared" si="284"/>
        <v>#N/A</v>
      </c>
    </row>
    <row r="3648" spans="2:22" x14ac:dyDescent="0.25">
      <c r="B3648" s="16">
        <v>1</v>
      </c>
      <c r="C3648" s="7">
        <v>0</v>
      </c>
      <c r="D3648" s="8">
        <v>1</v>
      </c>
      <c r="E3648" s="8">
        <v>1</v>
      </c>
      <c r="F3648" s="8">
        <v>1</v>
      </c>
      <c r="G3648" s="8">
        <v>1</v>
      </c>
      <c r="H3648" s="8">
        <v>0</v>
      </c>
      <c r="I3648" s="8">
        <v>0</v>
      </c>
      <c r="J3648" s="8">
        <v>0</v>
      </c>
      <c r="K3648" s="9">
        <v>1</v>
      </c>
      <c r="L3648" s="10">
        <v>1</v>
      </c>
      <c r="M3648" s="6">
        <v>1</v>
      </c>
      <c r="N3648" s="37" t="e" cm="1">
        <f t="array" ref="N3648">IF(OR(ISNUMBER(FIND(Aux!$D$3:$D$9,_xlfn.TEXTJOIN(,,C3648:K3648)))),NA(),IF(AND(SUM(C3648:F3648,H3648:K3648)=0,G3648=1),0,INT((SUMPRODUCT(C3648:F3648,COLUMN($A$1:$D$1)-1)+SUMPRODUCT(H3648:K3648,COLUMN($E$1:$H$1)-1))*'Line Follower'!$C$3/SUM(C3648:F3648,H3648:K3648)-'Line Follower'!$C$5)))</f>
        <v>#N/A</v>
      </c>
      <c r="O3648" s="22" t="e">
        <v>#N/A</v>
      </c>
      <c r="P3648" s="4" t="e">
        <f t="shared" si="280"/>
        <v>#N/A</v>
      </c>
      <c r="Q3648" s="4" t="e">
        <f t="shared" si="281"/>
        <v>#N/A</v>
      </c>
      <c r="R3648" s="4" t="e">
        <f>IF(AND(B3648=1,N3648&gt;'Line Follower'!$C$7,SUM(C3648:K3648)&lt;4),1,0)</f>
        <v>#N/A</v>
      </c>
      <c r="S3648" s="4" t="e">
        <f>IF(AND(L3648=1,N3648&lt;'Line Follower'!$C$6,SUM(C3648:K3648)&lt;4),1,0)</f>
        <v>#N/A</v>
      </c>
      <c r="T3648" s="4" t="e">
        <f t="shared" si="282"/>
        <v>#N/A</v>
      </c>
      <c r="U3648" s="5" t="e">
        <f t="shared" si="283"/>
        <v>#N/A</v>
      </c>
      <c r="V3648" s="23" t="e">
        <f t="shared" si="284"/>
        <v>#N/A</v>
      </c>
    </row>
    <row r="3649" spans="2:22" x14ac:dyDescent="0.25">
      <c r="B3649" s="16">
        <v>0</v>
      </c>
      <c r="C3649" s="7">
        <v>1</v>
      </c>
      <c r="D3649" s="8">
        <v>1</v>
      </c>
      <c r="E3649" s="8">
        <v>1</v>
      </c>
      <c r="F3649" s="8">
        <v>1</v>
      </c>
      <c r="G3649" s="8">
        <v>1</v>
      </c>
      <c r="H3649" s="8">
        <v>0</v>
      </c>
      <c r="I3649" s="8">
        <v>0</v>
      </c>
      <c r="J3649" s="8">
        <v>0</v>
      </c>
      <c r="K3649" s="9">
        <v>1</v>
      </c>
      <c r="L3649" s="10">
        <v>1</v>
      </c>
      <c r="M3649" s="6">
        <v>1</v>
      </c>
      <c r="N3649" s="37" t="e" cm="1">
        <f t="array" ref="N3649">IF(OR(ISNUMBER(FIND(Aux!$D$3:$D$9,_xlfn.TEXTJOIN(,,C3649:K3649)))),NA(),IF(AND(SUM(C3649:F3649,H3649:K3649)=0,G3649=1),0,INT((SUMPRODUCT(C3649:F3649,COLUMN($A$1:$D$1)-1)+SUMPRODUCT(H3649:K3649,COLUMN($E$1:$H$1)-1))*'Line Follower'!$C$3/SUM(C3649:F3649,H3649:K3649)-'Line Follower'!$C$5)))</f>
        <v>#N/A</v>
      </c>
      <c r="O3649" s="22" t="e">
        <v>#N/A</v>
      </c>
      <c r="P3649" s="4" t="e">
        <f t="shared" si="280"/>
        <v>#N/A</v>
      </c>
      <c r="Q3649" s="4" t="e">
        <f t="shared" si="281"/>
        <v>#N/A</v>
      </c>
      <c r="R3649" s="4" t="e">
        <f>IF(AND(B3649=1,N3649&gt;'Line Follower'!$C$7,SUM(C3649:K3649)&lt;4),1,0)</f>
        <v>#N/A</v>
      </c>
      <c r="S3649" s="4" t="e">
        <f>IF(AND(L3649=1,N3649&lt;'Line Follower'!$C$6,SUM(C3649:K3649)&lt;4),1,0)</f>
        <v>#N/A</v>
      </c>
      <c r="T3649" s="4" t="e">
        <f t="shared" si="282"/>
        <v>#N/A</v>
      </c>
      <c r="U3649" s="5" t="e">
        <f t="shared" si="283"/>
        <v>#N/A</v>
      </c>
      <c r="V3649" s="23" t="e">
        <f t="shared" si="284"/>
        <v>#N/A</v>
      </c>
    </row>
    <row r="3650" spans="2:22" x14ac:dyDescent="0.25">
      <c r="B3650" s="16">
        <v>1</v>
      </c>
      <c r="C3650" s="7">
        <v>1</v>
      </c>
      <c r="D3650" s="8">
        <v>1</v>
      </c>
      <c r="E3650" s="8">
        <v>1</v>
      </c>
      <c r="F3650" s="8">
        <v>1</v>
      </c>
      <c r="G3650" s="8">
        <v>1</v>
      </c>
      <c r="H3650" s="8">
        <v>0</v>
      </c>
      <c r="I3650" s="8">
        <v>0</v>
      </c>
      <c r="J3650" s="8">
        <v>0</v>
      </c>
      <c r="K3650" s="9">
        <v>1</v>
      </c>
      <c r="L3650" s="10">
        <v>1</v>
      </c>
      <c r="M3650" s="6">
        <v>1</v>
      </c>
      <c r="N3650" s="37" t="e" cm="1">
        <f t="array" ref="N3650">IF(OR(ISNUMBER(FIND(Aux!$D$3:$D$9,_xlfn.TEXTJOIN(,,C3650:K3650)))),NA(),IF(AND(SUM(C3650:F3650,H3650:K3650)=0,G3650=1),0,INT((SUMPRODUCT(C3650:F3650,COLUMN($A$1:$D$1)-1)+SUMPRODUCT(H3650:K3650,COLUMN($E$1:$H$1)-1))*'Line Follower'!$C$3/SUM(C3650:F3650,H3650:K3650)-'Line Follower'!$C$5)))</f>
        <v>#N/A</v>
      </c>
      <c r="O3650" s="22" t="e">
        <v>#N/A</v>
      </c>
      <c r="P3650" s="4" t="e">
        <f t="shared" si="280"/>
        <v>#N/A</v>
      </c>
      <c r="Q3650" s="4" t="e">
        <f t="shared" si="281"/>
        <v>#N/A</v>
      </c>
      <c r="R3650" s="4" t="e">
        <f>IF(AND(B3650=1,N3650&gt;'Line Follower'!$C$7,SUM(C3650:K3650)&lt;4),1,0)</f>
        <v>#N/A</v>
      </c>
      <c r="S3650" s="4" t="e">
        <f>IF(AND(L3650=1,N3650&lt;'Line Follower'!$C$6,SUM(C3650:K3650)&lt;4),1,0)</f>
        <v>#N/A</v>
      </c>
      <c r="T3650" s="4" t="e">
        <f t="shared" si="282"/>
        <v>#N/A</v>
      </c>
      <c r="U3650" s="5" t="e">
        <f t="shared" si="283"/>
        <v>#N/A</v>
      </c>
      <c r="V3650" s="23" t="e">
        <f t="shared" si="284"/>
        <v>#N/A</v>
      </c>
    </row>
    <row r="3651" spans="2:22" x14ac:dyDescent="0.25">
      <c r="B3651" s="16">
        <v>0</v>
      </c>
      <c r="C3651" s="7">
        <v>0</v>
      </c>
      <c r="D3651" s="8">
        <v>0</v>
      </c>
      <c r="E3651" s="8">
        <v>0</v>
      </c>
      <c r="F3651" s="8">
        <v>0</v>
      </c>
      <c r="G3651" s="8">
        <v>0</v>
      </c>
      <c r="H3651" s="8">
        <v>1</v>
      </c>
      <c r="I3651" s="8">
        <v>0</v>
      </c>
      <c r="J3651" s="8">
        <v>0</v>
      </c>
      <c r="K3651" s="9">
        <v>1</v>
      </c>
      <c r="L3651" s="10">
        <v>1</v>
      </c>
      <c r="M3651" s="6">
        <v>1</v>
      </c>
      <c r="N3651" s="37" t="e" cm="1">
        <f t="array" ref="N3651">IF(OR(ISNUMBER(FIND(Aux!$D$3:$D$9,_xlfn.TEXTJOIN(,,C3651:K3651)))),NA(),IF(AND(SUM(C3651:F3651,H3651:K3651)=0,G3651=1),0,INT((SUMPRODUCT(C3651:F3651,COLUMN($A$1:$D$1)-1)+SUMPRODUCT(H3651:K3651,COLUMN($E$1:$H$1)-1))*'Line Follower'!$C$3/SUM(C3651:F3651,H3651:K3651)-'Line Follower'!$C$5)))</f>
        <v>#N/A</v>
      </c>
      <c r="O3651" s="22" t="e">
        <v>#N/A</v>
      </c>
      <c r="P3651" s="4" t="e">
        <f t="shared" ref="P3651:P3714" si="285">IF(AND(N3651=0,G3651=1,M3651=1),1,0)</f>
        <v>#N/A</v>
      </c>
      <c r="Q3651" s="4" t="e">
        <f t="shared" ref="Q3651:Q3714" si="286">IF(ISERROR(N3651),N3651,IF(SUM(C3651:K3651)&gt;=4,1,0))</f>
        <v>#N/A</v>
      </c>
      <c r="R3651" s="4" t="e">
        <f>IF(AND(B3651=1,N3651&gt;'Line Follower'!$C$7,SUM(C3651:K3651)&lt;4),1,0)</f>
        <v>#N/A</v>
      </c>
      <c r="S3651" s="4" t="e">
        <f>IF(AND(L3651=1,N3651&lt;'Line Follower'!$C$6,SUM(C3651:K3651)&lt;4),1,0)</f>
        <v>#N/A</v>
      </c>
      <c r="T3651" s="4" t="e">
        <f t="shared" si="282"/>
        <v>#N/A</v>
      </c>
      <c r="U3651" s="5" t="e">
        <f t="shared" si="283"/>
        <v>#N/A</v>
      </c>
      <c r="V3651" s="23" t="e">
        <f t="shared" si="284"/>
        <v>#N/A</v>
      </c>
    </row>
    <row r="3652" spans="2:22" x14ac:dyDescent="0.25">
      <c r="B3652" s="16">
        <v>1</v>
      </c>
      <c r="C3652" s="7">
        <v>0</v>
      </c>
      <c r="D3652" s="8">
        <v>0</v>
      </c>
      <c r="E3652" s="8">
        <v>0</v>
      </c>
      <c r="F3652" s="8">
        <v>0</v>
      </c>
      <c r="G3652" s="8">
        <v>0</v>
      </c>
      <c r="H3652" s="8">
        <v>1</v>
      </c>
      <c r="I3652" s="8">
        <v>0</v>
      </c>
      <c r="J3652" s="8">
        <v>0</v>
      </c>
      <c r="K3652" s="9">
        <v>1</v>
      </c>
      <c r="L3652" s="10">
        <v>1</v>
      </c>
      <c r="M3652" s="6">
        <v>1</v>
      </c>
      <c r="N3652" s="37" t="e" cm="1">
        <f t="array" ref="N3652">IF(OR(ISNUMBER(FIND(Aux!$D$3:$D$9,_xlfn.TEXTJOIN(,,C3652:K3652)))),NA(),IF(AND(SUM(C3652:F3652,H3652:K3652)=0,G3652=1),0,INT((SUMPRODUCT(C3652:F3652,COLUMN($A$1:$D$1)-1)+SUMPRODUCT(H3652:K3652,COLUMN($E$1:$H$1)-1))*'Line Follower'!$C$3/SUM(C3652:F3652,H3652:K3652)-'Line Follower'!$C$5)))</f>
        <v>#N/A</v>
      </c>
      <c r="O3652" s="22" t="e">
        <v>#N/A</v>
      </c>
      <c r="P3652" s="4" t="e">
        <f t="shared" si="285"/>
        <v>#N/A</v>
      </c>
      <c r="Q3652" s="4" t="e">
        <f t="shared" si="286"/>
        <v>#N/A</v>
      </c>
      <c r="R3652" s="4" t="e">
        <f>IF(AND(B3652=1,N3652&gt;'Line Follower'!$C$7,SUM(C3652:K3652)&lt;4),1,0)</f>
        <v>#N/A</v>
      </c>
      <c r="S3652" s="4" t="e">
        <f>IF(AND(L3652=1,N3652&lt;'Line Follower'!$C$6,SUM(C3652:K3652)&lt;4),1,0)</f>
        <v>#N/A</v>
      </c>
      <c r="T3652" s="4" t="e">
        <f t="shared" ref="T3652:T3715" si="287">IF(ISNA(N3652),NA(),IF(SUM(C3652:L3652)=0,1,0))</f>
        <v>#N/A</v>
      </c>
      <c r="U3652" s="5" t="e">
        <f t="shared" ref="U3652:U3715" si="288">IF(ISNA(N3652),NA(),IF(SUM(B3652:K3652)=0,1,0))</f>
        <v>#N/A</v>
      </c>
      <c r="V3652" s="23" t="e">
        <f t="shared" ref="V3652:V3715" si="289">IF(ISNA(N3652),NA(),IF(SUM(B3652:L3652)=0,1,0))</f>
        <v>#N/A</v>
      </c>
    </row>
    <row r="3653" spans="2:22" x14ac:dyDescent="0.25">
      <c r="B3653" s="16">
        <v>0</v>
      </c>
      <c r="C3653" s="7">
        <v>1</v>
      </c>
      <c r="D3653" s="8">
        <v>0</v>
      </c>
      <c r="E3653" s="8">
        <v>0</v>
      </c>
      <c r="F3653" s="8">
        <v>0</v>
      </c>
      <c r="G3653" s="8">
        <v>0</v>
      </c>
      <c r="H3653" s="8">
        <v>1</v>
      </c>
      <c r="I3653" s="8">
        <v>0</v>
      </c>
      <c r="J3653" s="8">
        <v>0</v>
      </c>
      <c r="K3653" s="9">
        <v>1</v>
      </c>
      <c r="L3653" s="10">
        <v>1</v>
      </c>
      <c r="M3653" s="6">
        <v>1</v>
      </c>
      <c r="N3653" s="37" t="e" cm="1">
        <f t="array" ref="N3653">IF(OR(ISNUMBER(FIND(Aux!$D$3:$D$9,_xlfn.TEXTJOIN(,,C3653:K3653)))),NA(),IF(AND(SUM(C3653:F3653,H3653:K3653)=0,G3653=1),0,INT((SUMPRODUCT(C3653:F3653,COLUMN($A$1:$D$1)-1)+SUMPRODUCT(H3653:K3653,COLUMN($E$1:$H$1)-1))*'Line Follower'!$C$3/SUM(C3653:F3653,H3653:K3653)-'Line Follower'!$C$5)))</f>
        <v>#N/A</v>
      </c>
      <c r="O3653" s="22" t="e">
        <v>#N/A</v>
      </c>
      <c r="P3653" s="4" t="e">
        <f t="shared" si="285"/>
        <v>#N/A</v>
      </c>
      <c r="Q3653" s="4" t="e">
        <f t="shared" si="286"/>
        <v>#N/A</v>
      </c>
      <c r="R3653" s="4" t="e">
        <f>IF(AND(B3653=1,N3653&gt;'Line Follower'!$C$7,SUM(C3653:K3653)&lt;4),1,0)</f>
        <v>#N/A</v>
      </c>
      <c r="S3653" s="4" t="e">
        <f>IF(AND(L3653=1,N3653&lt;'Line Follower'!$C$6,SUM(C3653:K3653)&lt;4),1,0)</f>
        <v>#N/A</v>
      </c>
      <c r="T3653" s="4" t="e">
        <f t="shared" si="287"/>
        <v>#N/A</v>
      </c>
      <c r="U3653" s="5" t="e">
        <f t="shared" si="288"/>
        <v>#N/A</v>
      </c>
      <c r="V3653" s="23" t="e">
        <f t="shared" si="289"/>
        <v>#N/A</v>
      </c>
    </row>
    <row r="3654" spans="2:22" x14ac:dyDescent="0.25">
      <c r="B3654" s="16">
        <v>1</v>
      </c>
      <c r="C3654" s="7">
        <v>1</v>
      </c>
      <c r="D3654" s="8">
        <v>0</v>
      </c>
      <c r="E3654" s="8">
        <v>0</v>
      </c>
      <c r="F3654" s="8">
        <v>0</v>
      </c>
      <c r="G3654" s="8">
        <v>0</v>
      </c>
      <c r="H3654" s="8">
        <v>1</v>
      </c>
      <c r="I3654" s="8">
        <v>0</v>
      </c>
      <c r="J3654" s="8">
        <v>0</v>
      </c>
      <c r="K3654" s="9">
        <v>1</v>
      </c>
      <c r="L3654" s="10">
        <v>1</v>
      </c>
      <c r="M3654" s="6">
        <v>1</v>
      </c>
      <c r="N3654" s="37" t="e" cm="1">
        <f t="array" ref="N3654">IF(OR(ISNUMBER(FIND(Aux!$D$3:$D$9,_xlfn.TEXTJOIN(,,C3654:K3654)))),NA(),IF(AND(SUM(C3654:F3654,H3654:K3654)=0,G3654=1),0,INT((SUMPRODUCT(C3654:F3654,COLUMN($A$1:$D$1)-1)+SUMPRODUCT(H3654:K3654,COLUMN($E$1:$H$1)-1))*'Line Follower'!$C$3/SUM(C3654:F3654,H3654:K3654)-'Line Follower'!$C$5)))</f>
        <v>#N/A</v>
      </c>
      <c r="O3654" s="22" t="e">
        <v>#N/A</v>
      </c>
      <c r="P3654" s="4" t="e">
        <f t="shared" si="285"/>
        <v>#N/A</v>
      </c>
      <c r="Q3654" s="4" t="e">
        <f t="shared" si="286"/>
        <v>#N/A</v>
      </c>
      <c r="R3654" s="4" t="e">
        <f>IF(AND(B3654=1,N3654&gt;'Line Follower'!$C$7,SUM(C3654:K3654)&lt;4),1,0)</f>
        <v>#N/A</v>
      </c>
      <c r="S3654" s="4" t="e">
        <f>IF(AND(L3654=1,N3654&lt;'Line Follower'!$C$6,SUM(C3654:K3654)&lt;4),1,0)</f>
        <v>#N/A</v>
      </c>
      <c r="T3654" s="4" t="e">
        <f t="shared" si="287"/>
        <v>#N/A</v>
      </c>
      <c r="U3654" s="5" t="e">
        <f t="shared" si="288"/>
        <v>#N/A</v>
      </c>
      <c r="V3654" s="23" t="e">
        <f t="shared" si="289"/>
        <v>#N/A</v>
      </c>
    </row>
    <row r="3655" spans="2:22" x14ac:dyDescent="0.25">
      <c r="B3655" s="16">
        <v>0</v>
      </c>
      <c r="C3655" s="7">
        <v>0</v>
      </c>
      <c r="D3655" s="8">
        <v>1</v>
      </c>
      <c r="E3655" s="8">
        <v>0</v>
      </c>
      <c r="F3655" s="8">
        <v>0</v>
      </c>
      <c r="G3655" s="8">
        <v>0</v>
      </c>
      <c r="H3655" s="8">
        <v>1</v>
      </c>
      <c r="I3655" s="8">
        <v>0</v>
      </c>
      <c r="J3655" s="8">
        <v>0</v>
      </c>
      <c r="K3655" s="9">
        <v>1</v>
      </c>
      <c r="L3655" s="10">
        <v>1</v>
      </c>
      <c r="M3655" s="6">
        <v>1</v>
      </c>
      <c r="N3655" s="37" t="e" cm="1">
        <f t="array" ref="N3655">IF(OR(ISNUMBER(FIND(Aux!$D$3:$D$9,_xlfn.TEXTJOIN(,,C3655:K3655)))),NA(),IF(AND(SUM(C3655:F3655,H3655:K3655)=0,G3655=1),0,INT((SUMPRODUCT(C3655:F3655,COLUMN($A$1:$D$1)-1)+SUMPRODUCT(H3655:K3655,COLUMN($E$1:$H$1)-1))*'Line Follower'!$C$3/SUM(C3655:F3655,H3655:K3655)-'Line Follower'!$C$5)))</f>
        <v>#N/A</v>
      </c>
      <c r="O3655" s="22" t="e">
        <v>#N/A</v>
      </c>
      <c r="P3655" s="4" t="e">
        <f t="shared" si="285"/>
        <v>#N/A</v>
      </c>
      <c r="Q3655" s="4" t="e">
        <f t="shared" si="286"/>
        <v>#N/A</v>
      </c>
      <c r="R3655" s="4" t="e">
        <f>IF(AND(B3655=1,N3655&gt;'Line Follower'!$C$7,SUM(C3655:K3655)&lt;4),1,0)</f>
        <v>#N/A</v>
      </c>
      <c r="S3655" s="4" t="e">
        <f>IF(AND(L3655=1,N3655&lt;'Line Follower'!$C$6,SUM(C3655:K3655)&lt;4),1,0)</f>
        <v>#N/A</v>
      </c>
      <c r="T3655" s="4" t="e">
        <f t="shared" si="287"/>
        <v>#N/A</v>
      </c>
      <c r="U3655" s="5" t="e">
        <f t="shared" si="288"/>
        <v>#N/A</v>
      </c>
      <c r="V3655" s="23" t="e">
        <f t="shared" si="289"/>
        <v>#N/A</v>
      </c>
    </row>
    <row r="3656" spans="2:22" x14ac:dyDescent="0.25">
      <c r="B3656" s="16">
        <v>1</v>
      </c>
      <c r="C3656" s="7">
        <v>0</v>
      </c>
      <c r="D3656" s="8">
        <v>1</v>
      </c>
      <c r="E3656" s="8">
        <v>0</v>
      </c>
      <c r="F3656" s="8">
        <v>0</v>
      </c>
      <c r="G3656" s="8">
        <v>0</v>
      </c>
      <c r="H3656" s="8">
        <v>1</v>
      </c>
      <c r="I3656" s="8">
        <v>0</v>
      </c>
      <c r="J3656" s="8">
        <v>0</v>
      </c>
      <c r="K3656" s="9">
        <v>1</v>
      </c>
      <c r="L3656" s="10">
        <v>1</v>
      </c>
      <c r="M3656" s="6">
        <v>1</v>
      </c>
      <c r="N3656" s="37" t="e" cm="1">
        <f t="array" ref="N3656">IF(OR(ISNUMBER(FIND(Aux!$D$3:$D$9,_xlfn.TEXTJOIN(,,C3656:K3656)))),NA(),IF(AND(SUM(C3656:F3656,H3656:K3656)=0,G3656=1),0,INT((SUMPRODUCT(C3656:F3656,COLUMN($A$1:$D$1)-1)+SUMPRODUCT(H3656:K3656,COLUMN($E$1:$H$1)-1))*'Line Follower'!$C$3/SUM(C3656:F3656,H3656:K3656)-'Line Follower'!$C$5)))</f>
        <v>#N/A</v>
      </c>
      <c r="O3656" s="22" t="e">
        <v>#N/A</v>
      </c>
      <c r="P3656" s="4" t="e">
        <f t="shared" si="285"/>
        <v>#N/A</v>
      </c>
      <c r="Q3656" s="4" t="e">
        <f t="shared" si="286"/>
        <v>#N/A</v>
      </c>
      <c r="R3656" s="4" t="e">
        <f>IF(AND(B3656=1,N3656&gt;'Line Follower'!$C$7,SUM(C3656:K3656)&lt;4),1,0)</f>
        <v>#N/A</v>
      </c>
      <c r="S3656" s="4" t="e">
        <f>IF(AND(L3656=1,N3656&lt;'Line Follower'!$C$6,SUM(C3656:K3656)&lt;4),1,0)</f>
        <v>#N/A</v>
      </c>
      <c r="T3656" s="4" t="e">
        <f t="shared" si="287"/>
        <v>#N/A</v>
      </c>
      <c r="U3656" s="5" t="e">
        <f t="shared" si="288"/>
        <v>#N/A</v>
      </c>
      <c r="V3656" s="23" t="e">
        <f t="shared" si="289"/>
        <v>#N/A</v>
      </c>
    </row>
    <row r="3657" spans="2:22" x14ac:dyDescent="0.25">
      <c r="B3657" s="16">
        <v>0</v>
      </c>
      <c r="C3657" s="7">
        <v>1</v>
      </c>
      <c r="D3657" s="8">
        <v>1</v>
      </c>
      <c r="E3657" s="8">
        <v>0</v>
      </c>
      <c r="F3657" s="8">
        <v>0</v>
      </c>
      <c r="G3657" s="8">
        <v>0</v>
      </c>
      <c r="H3657" s="8">
        <v>1</v>
      </c>
      <c r="I3657" s="8">
        <v>0</v>
      </c>
      <c r="J3657" s="8">
        <v>0</v>
      </c>
      <c r="K3657" s="9">
        <v>1</v>
      </c>
      <c r="L3657" s="10">
        <v>1</v>
      </c>
      <c r="M3657" s="6">
        <v>1</v>
      </c>
      <c r="N3657" s="37" t="e" cm="1">
        <f t="array" ref="N3657">IF(OR(ISNUMBER(FIND(Aux!$D$3:$D$9,_xlfn.TEXTJOIN(,,C3657:K3657)))),NA(),IF(AND(SUM(C3657:F3657,H3657:K3657)=0,G3657=1),0,INT((SUMPRODUCT(C3657:F3657,COLUMN($A$1:$D$1)-1)+SUMPRODUCT(H3657:K3657,COLUMN($E$1:$H$1)-1))*'Line Follower'!$C$3/SUM(C3657:F3657,H3657:K3657)-'Line Follower'!$C$5)))</f>
        <v>#N/A</v>
      </c>
      <c r="O3657" s="22" t="e">
        <v>#N/A</v>
      </c>
      <c r="P3657" s="4" t="e">
        <f t="shared" si="285"/>
        <v>#N/A</v>
      </c>
      <c r="Q3657" s="4" t="e">
        <f t="shared" si="286"/>
        <v>#N/A</v>
      </c>
      <c r="R3657" s="4" t="e">
        <f>IF(AND(B3657=1,N3657&gt;'Line Follower'!$C$7,SUM(C3657:K3657)&lt;4),1,0)</f>
        <v>#N/A</v>
      </c>
      <c r="S3657" s="4" t="e">
        <f>IF(AND(L3657=1,N3657&lt;'Line Follower'!$C$6,SUM(C3657:K3657)&lt;4),1,0)</f>
        <v>#N/A</v>
      </c>
      <c r="T3657" s="4" t="e">
        <f t="shared" si="287"/>
        <v>#N/A</v>
      </c>
      <c r="U3657" s="5" t="e">
        <f t="shared" si="288"/>
        <v>#N/A</v>
      </c>
      <c r="V3657" s="23" t="e">
        <f t="shared" si="289"/>
        <v>#N/A</v>
      </c>
    </row>
    <row r="3658" spans="2:22" x14ac:dyDescent="0.25">
      <c r="B3658" s="16">
        <v>1</v>
      </c>
      <c r="C3658" s="7">
        <v>1</v>
      </c>
      <c r="D3658" s="8">
        <v>1</v>
      </c>
      <c r="E3658" s="8">
        <v>0</v>
      </c>
      <c r="F3658" s="8">
        <v>0</v>
      </c>
      <c r="G3658" s="8">
        <v>0</v>
      </c>
      <c r="H3658" s="8">
        <v>1</v>
      </c>
      <c r="I3658" s="8">
        <v>0</v>
      </c>
      <c r="J3658" s="8">
        <v>0</v>
      </c>
      <c r="K3658" s="9">
        <v>1</v>
      </c>
      <c r="L3658" s="10">
        <v>1</v>
      </c>
      <c r="M3658" s="6">
        <v>1</v>
      </c>
      <c r="N3658" s="37" t="e" cm="1">
        <f t="array" ref="N3658">IF(OR(ISNUMBER(FIND(Aux!$D$3:$D$9,_xlfn.TEXTJOIN(,,C3658:K3658)))),NA(),IF(AND(SUM(C3658:F3658,H3658:K3658)=0,G3658=1),0,INT((SUMPRODUCT(C3658:F3658,COLUMN($A$1:$D$1)-1)+SUMPRODUCT(H3658:K3658,COLUMN($E$1:$H$1)-1))*'Line Follower'!$C$3/SUM(C3658:F3658,H3658:K3658)-'Line Follower'!$C$5)))</f>
        <v>#N/A</v>
      </c>
      <c r="O3658" s="22" t="e">
        <v>#N/A</v>
      </c>
      <c r="P3658" s="4" t="e">
        <f t="shared" si="285"/>
        <v>#N/A</v>
      </c>
      <c r="Q3658" s="4" t="e">
        <f t="shared" si="286"/>
        <v>#N/A</v>
      </c>
      <c r="R3658" s="4" t="e">
        <f>IF(AND(B3658=1,N3658&gt;'Line Follower'!$C$7,SUM(C3658:K3658)&lt;4),1,0)</f>
        <v>#N/A</v>
      </c>
      <c r="S3658" s="4" t="e">
        <f>IF(AND(L3658=1,N3658&lt;'Line Follower'!$C$6,SUM(C3658:K3658)&lt;4),1,0)</f>
        <v>#N/A</v>
      </c>
      <c r="T3658" s="4" t="e">
        <f t="shared" si="287"/>
        <v>#N/A</v>
      </c>
      <c r="U3658" s="5" t="e">
        <f t="shared" si="288"/>
        <v>#N/A</v>
      </c>
      <c r="V3658" s="23" t="e">
        <f t="shared" si="289"/>
        <v>#N/A</v>
      </c>
    </row>
    <row r="3659" spans="2:22" x14ac:dyDescent="0.25">
      <c r="B3659" s="16">
        <v>0</v>
      </c>
      <c r="C3659" s="7">
        <v>0</v>
      </c>
      <c r="D3659" s="8">
        <v>0</v>
      </c>
      <c r="E3659" s="8">
        <v>1</v>
      </c>
      <c r="F3659" s="8">
        <v>0</v>
      </c>
      <c r="G3659" s="8">
        <v>0</v>
      </c>
      <c r="H3659" s="8">
        <v>1</v>
      </c>
      <c r="I3659" s="8">
        <v>0</v>
      </c>
      <c r="J3659" s="8">
        <v>0</v>
      </c>
      <c r="K3659" s="9">
        <v>1</v>
      </c>
      <c r="L3659" s="10">
        <v>1</v>
      </c>
      <c r="M3659" s="6">
        <v>1</v>
      </c>
      <c r="N3659" s="37" t="e" cm="1">
        <f t="array" ref="N3659">IF(OR(ISNUMBER(FIND(Aux!$D$3:$D$9,_xlfn.TEXTJOIN(,,C3659:K3659)))),NA(),IF(AND(SUM(C3659:F3659,H3659:K3659)=0,G3659=1),0,INT((SUMPRODUCT(C3659:F3659,COLUMN($A$1:$D$1)-1)+SUMPRODUCT(H3659:K3659,COLUMN($E$1:$H$1)-1))*'Line Follower'!$C$3/SUM(C3659:F3659,H3659:K3659)-'Line Follower'!$C$5)))</f>
        <v>#N/A</v>
      </c>
      <c r="O3659" s="22" t="e">
        <v>#N/A</v>
      </c>
      <c r="P3659" s="4" t="e">
        <f t="shared" si="285"/>
        <v>#N/A</v>
      </c>
      <c r="Q3659" s="4" t="e">
        <f t="shared" si="286"/>
        <v>#N/A</v>
      </c>
      <c r="R3659" s="4" t="e">
        <f>IF(AND(B3659=1,N3659&gt;'Line Follower'!$C$7,SUM(C3659:K3659)&lt;4),1,0)</f>
        <v>#N/A</v>
      </c>
      <c r="S3659" s="4" t="e">
        <f>IF(AND(L3659=1,N3659&lt;'Line Follower'!$C$6,SUM(C3659:K3659)&lt;4),1,0)</f>
        <v>#N/A</v>
      </c>
      <c r="T3659" s="4" t="e">
        <f t="shared" si="287"/>
        <v>#N/A</v>
      </c>
      <c r="U3659" s="5" t="e">
        <f t="shared" si="288"/>
        <v>#N/A</v>
      </c>
      <c r="V3659" s="23" t="e">
        <f t="shared" si="289"/>
        <v>#N/A</v>
      </c>
    </row>
    <row r="3660" spans="2:22" x14ac:dyDescent="0.25">
      <c r="B3660" s="16">
        <v>1</v>
      </c>
      <c r="C3660" s="7">
        <v>0</v>
      </c>
      <c r="D3660" s="8">
        <v>0</v>
      </c>
      <c r="E3660" s="8">
        <v>1</v>
      </c>
      <c r="F3660" s="8">
        <v>0</v>
      </c>
      <c r="G3660" s="8">
        <v>0</v>
      </c>
      <c r="H3660" s="8">
        <v>1</v>
      </c>
      <c r="I3660" s="8">
        <v>0</v>
      </c>
      <c r="J3660" s="8">
        <v>0</v>
      </c>
      <c r="K3660" s="9">
        <v>1</v>
      </c>
      <c r="L3660" s="10">
        <v>1</v>
      </c>
      <c r="M3660" s="6">
        <v>1</v>
      </c>
      <c r="N3660" s="37" t="e" cm="1">
        <f t="array" ref="N3660">IF(OR(ISNUMBER(FIND(Aux!$D$3:$D$9,_xlfn.TEXTJOIN(,,C3660:K3660)))),NA(),IF(AND(SUM(C3660:F3660,H3660:K3660)=0,G3660=1),0,INT((SUMPRODUCT(C3660:F3660,COLUMN($A$1:$D$1)-1)+SUMPRODUCT(H3660:K3660,COLUMN($E$1:$H$1)-1))*'Line Follower'!$C$3/SUM(C3660:F3660,H3660:K3660)-'Line Follower'!$C$5)))</f>
        <v>#N/A</v>
      </c>
      <c r="O3660" s="22" t="e">
        <v>#N/A</v>
      </c>
      <c r="P3660" s="4" t="e">
        <f t="shared" si="285"/>
        <v>#N/A</v>
      </c>
      <c r="Q3660" s="4" t="e">
        <f t="shared" si="286"/>
        <v>#N/A</v>
      </c>
      <c r="R3660" s="4" t="e">
        <f>IF(AND(B3660=1,N3660&gt;'Line Follower'!$C$7,SUM(C3660:K3660)&lt;4),1,0)</f>
        <v>#N/A</v>
      </c>
      <c r="S3660" s="4" t="e">
        <f>IF(AND(L3660=1,N3660&lt;'Line Follower'!$C$6,SUM(C3660:K3660)&lt;4),1,0)</f>
        <v>#N/A</v>
      </c>
      <c r="T3660" s="4" t="e">
        <f t="shared" si="287"/>
        <v>#N/A</v>
      </c>
      <c r="U3660" s="5" t="e">
        <f t="shared" si="288"/>
        <v>#N/A</v>
      </c>
      <c r="V3660" s="23" t="e">
        <f t="shared" si="289"/>
        <v>#N/A</v>
      </c>
    </row>
    <row r="3661" spans="2:22" x14ac:dyDescent="0.25">
      <c r="B3661" s="16">
        <v>0</v>
      </c>
      <c r="C3661" s="7">
        <v>1</v>
      </c>
      <c r="D3661" s="8">
        <v>0</v>
      </c>
      <c r="E3661" s="8">
        <v>1</v>
      </c>
      <c r="F3661" s="8">
        <v>0</v>
      </c>
      <c r="G3661" s="8">
        <v>0</v>
      </c>
      <c r="H3661" s="8">
        <v>1</v>
      </c>
      <c r="I3661" s="8">
        <v>0</v>
      </c>
      <c r="J3661" s="8">
        <v>0</v>
      </c>
      <c r="K3661" s="9">
        <v>1</v>
      </c>
      <c r="L3661" s="10">
        <v>1</v>
      </c>
      <c r="M3661" s="6">
        <v>1</v>
      </c>
      <c r="N3661" s="37" t="e" cm="1">
        <f t="array" ref="N3661">IF(OR(ISNUMBER(FIND(Aux!$D$3:$D$9,_xlfn.TEXTJOIN(,,C3661:K3661)))),NA(),IF(AND(SUM(C3661:F3661,H3661:K3661)=0,G3661=1),0,INT((SUMPRODUCT(C3661:F3661,COLUMN($A$1:$D$1)-1)+SUMPRODUCT(H3661:K3661,COLUMN($E$1:$H$1)-1))*'Line Follower'!$C$3/SUM(C3661:F3661,H3661:K3661)-'Line Follower'!$C$5)))</f>
        <v>#N/A</v>
      </c>
      <c r="O3661" s="22" t="e">
        <v>#N/A</v>
      </c>
      <c r="P3661" s="4" t="e">
        <f t="shared" si="285"/>
        <v>#N/A</v>
      </c>
      <c r="Q3661" s="4" t="e">
        <f t="shared" si="286"/>
        <v>#N/A</v>
      </c>
      <c r="R3661" s="4" t="e">
        <f>IF(AND(B3661=1,N3661&gt;'Line Follower'!$C$7,SUM(C3661:K3661)&lt;4),1,0)</f>
        <v>#N/A</v>
      </c>
      <c r="S3661" s="4" t="e">
        <f>IF(AND(L3661=1,N3661&lt;'Line Follower'!$C$6,SUM(C3661:K3661)&lt;4),1,0)</f>
        <v>#N/A</v>
      </c>
      <c r="T3661" s="4" t="e">
        <f t="shared" si="287"/>
        <v>#N/A</v>
      </c>
      <c r="U3661" s="5" t="e">
        <f t="shared" si="288"/>
        <v>#N/A</v>
      </c>
      <c r="V3661" s="23" t="e">
        <f t="shared" si="289"/>
        <v>#N/A</v>
      </c>
    </row>
    <row r="3662" spans="2:22" x14ac:dyDescent="0.25">
      <c r="B3662" s="16">
        <v>1</v>
      </c>
      <c r="C3662" s="7">
        <v>1</v>
      </c>
      <c r="D3662" s="8">
        <v>0</v>
      </c>
      <c r="E3662" s="8">
        <v>1</v>
      </c>
      <c r="F3662" s="8">
        <v>0</v>
      </c>
      <c r="G3662" s="8">
        <v>0</v>
      </c>
      <c r="H3662" s="8">
        <v>1</v>
      </c>
      <c r="I3662" s="8">
        <v>0</v>
      </c>
      <c r="J3662" s="8">
        <v>0</v>
      </c>
      <c r="K3662" s="9">
        <v>1</v>
      </c>
      <c r="L3662" s="10">
        <v>1</v>
      </c>
      <c r="M3662" s="6">
        <v>1</v>
      </c>
      <c r="N3662" s="37" t="e" cm="1">
        <f t="array" ref="N3662">IF(OR(ISNUMBER(FIND(Aux!$D$3:$D$9,_xlfn.TEXTJOIN(,,C3662:K3662)))),NA(),IF(AND(SUM(C3662:F3662,H3662:K3662)=0,G3662=1),0,INT((SUMPRODUCT(C3662:F3662,COLUMN($A$1:$D$1)-1)+SUMPRODUCT(H3662:K3662,COLUMN($E$1:$H$1)-1))*'Line Follower'!$C$3/SUM(C3662:F3662,H3662:K3662)-'Line Follower'!$C$5)))</f>
        <v>#N/A</v>
      </c>
      <c r="O3662" s="22" t="e">
        <v>#N/A</v>
      </c>
      <c r="P3662" s="4" t="e">
        <f t="shared" si="285"/>
        <v>#N/A</v>
      </c>
      <c r="Q3662" s="4" t="e">
        <f t="shared" si="286"/>
        <v>#N/A</v>
      </c>
      <c r="R3662" s="4" t="e">
        <f>IF(AND(B3662=1,N3662&gt;'Line Follower'!$C$7,SUM(C3662:K3662)&lt;4),1,0)</f>
        <v>#N/A</v>
      </c>
      <c r="S3662" s="4" t="e">
        <f>IF(AND(L3662=1,N3662&lt;'Line Follower'!$C$6,SUM(C3662:K3662)&lt;4),1,0)</f>
        <v>#N/A</v>
      </c>
      <c r="T3662" s="4" t="e">
        <f t="shared" si="287"/>
        <v>#N/A</v>
      </c>
      <c r="U3662" s="5" t="e">
        <f t="shared" si="288"/>
        <v>#N/A</v>
      </c>
      <c r="V3662" s="23" t="e">
        <f t="shared" si="289"/>
        <v>#N/A</v>
      </c>
    </row>
    <row r="3663" spans="2:22" x14ac:dyDescent="0.25">
      <c r="B3663" s="16">
        <v>0</v>
      </c>
      <c r="C3663" s="7">
        <v>0</v>
      </c>
      <c r="D3663" s="8">
        <v>1</v>
      </c>
      <c r="E3663" s="8">
        <v>1</v>
      </c>
      <c r="F3663" s="8">
        <v>0</v>
      </c>
      <c r="G3663" s="8">
        <v>0</v>
      </c>
      <c r="H3663" s="8">
        <v>1</v>
      </c>
      <c r="I3663" s="8">
        <v>0</v>
      </c>
      <c r="J3663" s="8">
        <v>0</v>
      </c>
      <c r="K3663" s="9">
        <v>1</v>
      </c>
      <c r="L3663" s="10">
        <v>1</v>
      </c>
      <c r="M3663" s="6">
        <v>1</v>
      </c>
      <c r="N3663" s="37" t="e" cm="1">
        <f t="array" ref="N3663">IF(OR(ISNUMBER(FIND(Aux!$D$3:$D$9,_xlfn.TEXTJOIN(,,C3663:K3663)))),NA(),IF(AND(SUM(C3663:F3663,H3663:K3663)=0,G3663=1),0,INT((SUMPRODUCT(C3663:F3663,COLUMN($A$1:$D$1)-1)+SUMPRODUCT(H3663:K3663,COLUMN($E$1:$H$1)-1))*'Line Follower'!$C$3/SUM(C3663:F3663,H3663:K3663)-'Line Follower'!$C$5)))</f>
        <v>#N/A</v>
      </c>
      <c r="O3663" s="22" t="e">
        <v>#N/A</v>
      </c>
      <c r="P3663" s="4" t="e">
        <f t="shared" si="285"/>
        <v>#N/A</v>
      </c>
      <c r="Q3663" s="4" t="e">
        <f t="shared" si="286"/>
        <v>#N/A</v>
      </c>
      <c r="R3663" s="4" t="e">
        <f>IF(AND(B3663=1,N3663&gt;'Line Follower'!$C$7,SUM(C3663:K3663)&lt;4),1,0)</f>
        <v>#N/A</v>
      </c>
      <c r="S3663" s="4" t="e">
        <f>IF(AND(L3663=1,N3663&lt;'Line Follower'!$C$6,SUM(C3663:K3663)&lt;4),1,0)</f>
        <v>#N/A</v>
      </c>
      <c r="T3663" s="4" t="e">
        <f t="shared" si="287"/>
        <v>#N/A</v>
      </c>
      <c r="U3663" s="5" t="e">
        <f t="shared" si="288"/>
        <v>#N/A</v>
      </c>
      <c r="V3663" s="23" t="e">
        <f t="shared" si="289"/>
        <v>#N/A</v>
      </c>
    </row>
    <row r="3664" spans="2:22" x14ac:dyDescent="0.25">
      <c r="B3664" s="16">
        <v>1</v>
      </c>
      <c r="C3664" s="7">
        <v>0</v>
      </c>
      <c r="D3664" s="8">
        <v>1</v>
      </c>
      <c r="E3664" s="8">
        <v>1</v>
      </c>
      <c r="F3664" s="8">
        <v>0</v>
      </c>
      <c r="G3664" s="8">
        <v>0</v>
      </c>
      <c r="H3664" s="8">
        <v>1</v>
      </c>
      <c r="I3664" s="8">
        <v>0</v>
      </c>
      <c r="J3664" s="8">
        <v>0</v>
      </c>
      <c r="K3664" s="9">
        <v>1</v>
      </c>
      <c r="L3664" s="10">
        <v>1</v>
      </c>
      <c r="M3664" s="6">
        <v>1</v>
      </c>
      <c r="N3664" s="37" t="e" cm="1">
        <f t="array" ref="N3664">IF(OR(ISNUMBER(FIND(Aux!$D$3:$D$9,_xlfn.TEXTJOIN(,,C3664:K3664)))),NA(),IF(AND(SUM(C3664:F3664,H3664:K3664)=0,G3664=1),0,INT((SUMPRODUCT(C3664:F3664,COLUMN($A$1:$D$1)-1)+SUMPRODUCT(H3664:K3664,COLUMN($E$1:$H$1)-1))*'Line Follower'!$C$3/SUM(C3664:F3664,H3664:K3664)-'Line Follower'!$C$5)))</f>
        <v>#N/A</v>
      </c>
      <c r="O3664" s="22" t="e">
        <v>#N/A</v>
      </c>
      <c r="P3664" s="4" t="e">
        <f t="shared" si="285"/>
        <v>#N/A</v>
      </c>
      <c r="Q3664" s="4" t="e">
        <f t="shared" si="286"/>
        <v>#N/A</v>
      </c>
      <c r="R3664" s="4" t="e">
        <f>IF(AND(B3664=1,N3664&gt;'Line Follower'!$C$7,SUM(C3664:K3664)&lt;4),1,0)</f>
        <v>#N/A</v>
      </c>
      <c r="S3664" s="4" t="e">
        <f>IF(AND(L3664=1,N3664&lt;'Line Follower'!$C$6,SUM(C3664:K3664)&lt;4),1,0)</f>
        <v>#N/A</v>
      </c>
      <c r="T3664" s="4" t="e">
        <f t="shared" si="287"/>
        <v>#N/A</v>
      </c>
      <c r="U3664" s="5" t="e">
        <f t="shared" si="288"/>
        <v>#N/A</v>
      </c>
      <c r="V3664" s="23" t="e">
        <f t="shared" si="289"/>
        <v>#N/A</v>
      </c>
    </row>
    <row r="3665" spans="2:22" x14ac:dyDescent="0.25">
      <c r="B3665" s="16">
        <v>0</v>
      </c>
      <c r="C3665" s="7">
        <v>1</v>
      </c>
      <c r="D3665" s="8">
        <v>1</v>
      </c>
      <c r="E3665" s="8">
        <v>1</v>
      </c>
      <c r="F3665" s="8">
        <v>0</v>
      </c>
      <c r="G3665" s="8">
        <v>0</v>
      </c>
      <c r="H3665" s="8">
        <v>1</v>
      </c>
      <c r="I3665" s="8">
        <v>0</v>
      </c>
      <c r="J3665" s="8">
        <v>0</v>
      </c>
      <c r="K3665" s="9">
        <v>1</v>
      </c>
      <c r="L3665" s="10">
        <v>1</v>
      </c>
      <c r="M3665" s="6">
        <v>1</v>
      </c>
      <c r="N3665" s="37" t="e" cm="1">
        <f t="array" ref="N3665">IF(OR(ISNUMBER(FIND(Aux!$D$3:$D$9,_xlfn.TEXTJOIN(,,C3665:K3665)))),NA(),IF(AND(SUM(C3665:F3665,H3665:K3665)=0,G3665=1),0,INT((SUMPRODUCT(C3665:F3665,COLUMN($A$1:$D$1)-1)+SUMPRODUCT(H3665:K3665,COLUMN($E$1:$H$1)-1))*'Line Follower'!$C$3/SUM(C3665:F3665,H3665:K3665)-'Line Follower'!$C$5)))</f>
        <v>#N/A</v>
      </c>
      <c r="O3665" s="22" t="e">
        <v>#N/A</v>
      </c>
      <c r="P3665" s="4" t="e">
        <f t="shared" si="285"/>
        <v>#N/A</v>
      </c>
      <c r="Q3665" s="4" t="e">
        <f t="shared" si="286"/>
        <v>#N/A</v>
      </c>
      <c r="R3665" s="4" t="e">
        <f>IF(AND(B3665=1,N3665&gt;'Line Follower'!$C$7,SUM(C3665:K3665)&lt;4),1,0)</f>
        <v>#N/A</v>
      </c>
      <c r="S3665" s="4" t="e">
        <f>IF(AND(L3665=1,N3665&lt;'Line Follower'!$C$6,SUM(C3665:K3665)&lt;4),1,0)</f>
        <v>#N/A</v>
      </c>
      <c r="T3665" s="4" t="e">
        <f t="shared" si="287"/>
        <v>#N/A</v>
      </c>
      <c r="U3665" s="5" t="e">
        <f t="shared" si="288"/>
        <v>#N/A</v>
      </c>
      <c r="V3665" s="23" t="e">
        <f t="shared" si="289"/>
        <v>#N/A</v>
      </c>
    </row>
    <row r="3666" spans="2:22" x14ac:dyDescent="0.25">
      <c r="B3666" s="16">
        <v>1</v>
      </c>
      <c r="C3666" s="7">
        <v>1</v>
      </c>
      <c r="D3666" s="8">
        <v>1</v>
      </c>
      <c r="E3666" s="8">
        <v>1</v>
      </c>
      <c r="F3666" s="8">
        <v>0</v>
      </c>
      <c r="G3666" s="8">
        <v>0</v>
      </c>
      <c r="H3666" s="8">
        <v>1</v>
      </c>
      <c r="I3666" s="8">
        <v>0</v>
      </c>
      <c r="J3666" s="8">
        <v>0</v>
      </c>
      <c r="K3666" s="9">
        <v>1</v>
      </c>
      <c r="L3666" s="10">
        <v>1</v>
      </c>
      <c r="M3666" s="6">
        <v>1</v>
      </c>
      <c r="N3666" s="37" t="e" cm="1">
        <f t="array" ref="N3666">IF(OR(ISNUMBER(FIND(Aux!$D$3:$D$9,_xlfn.TEXTJOIN(,,C3666:K3666)))),NA(),IF(AND(SUM(C3666:F3666,H3666:K3666)=0,G3666=1),0,INT((SUMPRODUCT(C3666:F3666,COLUMN($A$1:$D$1)-1)+SUMPRODUCT(H3666:K3666,COLUMN($E$1:$H$1)-1))*'Line Follower'!$C$3/SUM(C3666:F3666,H3666:K3666)-'Line Follower'!$C$5)))</f>
        <v>#N/A</v>
      </c>
      <c r="O3666" s="22" t="e">
        <v>#N/A</v>
      </c>
      <c r="P3666" s="4" t="e">
        <f t="shared" si="285"/>
        <v>#N/A</v>
      </c>
      <c r="Q3666" s="4" t="e">
        <f t="shared" si="286"/>
        <v>#N/A</v>
      </c>
      <c r="R3666" s="4" t="e">
        <f>IF(AND(B3666=1,N3666&gt;'Line Follower'!$C$7,SUM(C3666:K3666)&lt;4),1,0)</f>
        <v>#N/A</v>
      </c>
      <c r="S3666" s="4" t="e">
        <f>IF(AND(L3666=1,N3666&lt;'Line Follower'!$C$6,SUM(C3666:K3666)&lt;4),1,0)</f>
        <v>#N/A</v>
      </c>
      <c r="T3666" s="4" t="e">
        <f t="shared" si="287"/>
        <v>#N/A</v>
      </c>
      <c r="U3666" s="5" t="e">
        <f t="shared" si="288"/>
        <v>#N/A</v>
      </c>
      <c r="V3666" s="23" t="e">
        <f t="shared" si="289"/>
        <v>#N/A</v>
      </c>
    </row>
    <row r="3667" spans="2:22" x14ac:dyDescent="0.25">
      <c r="B3667" s="16">
        <v>0</v>
      </c>
      <c r="C3667" s="7">
        <v>0</v>
      </c>
      <c r="D3667" s="8">
        <v>0</v>
      </c>
      <c r="E3667" s="8">
        <v>0</v>
      </c>
      <c r="F3667" s="8">
        <v>1</v>
      </c>
      <c r="G3667" s="8">
        <v>0</v>
      </c>
      <c r="H3667" s="8">
        <v>1</v>
      </c>
      <c r="I3667" s="8">
        <v>0</v>
      </c>
      <c r="J3667" s="8">
        <v>0</v>
      </c>
      <c r="K3667" s="9">
        <v>1</v>
      </c>
      <c r="L3667" s="10">
        <v>1</v>
      </c>
      <c r="M3667" s="6">
        <v>1</v>
      </c>
      <c r="N3667" s="37" t="e" cm="1">
        <f t="array" ref="N3667">IF(OR(ISNUMBER(FIND(Aux!$D$3:$D$9,_xlfn.TEXTJOIN(,,C3667:K3667)))),NA(),IF(AND(SUM(C3667:F3667,H3667:K3667)=0,G3667=1),0,INT((SUMPRODUCT(C3667:F3667,COLUMN($A$1:$D$1)-1)+SUMPRODUCT(H3667:K3667,COLUMN($E$1:$H$1)-1))*'Line Follower'!$C$3/SUM(C3667:F3667,H3667:K3667)-'Line Follower'!$C$5)))</f>
        <v>#N/A</v>
      </c>
      <c r="O3667" s="22" t="e">
        <v>#N/A</v>
      </c>
      <c r="P3667" s="4" t="e">
        <f t="shared" si="285"/>
        <v>#N/A</v>
      </c>
      <c r="Q3667" s="4" t="e">
        <f t="shared" si="286"/>
        <v>#N/A</v>
      </c>
      <c r="R3667" s="4" t="e">
        <f>IF(AND(B3667=1,N3667&gt;'Line Follower'!$C$7,SUM(C3667:K3667)&lt;4),1,0)</f>
        <v>#N/A</v>
      </c>
      <c r="S3667" s="4" t="e">
        <f>IF(AND(L3667=1,N3667&lt;'Line Follower'!$C$6,SUM(C3667:K3667)&lt;4),1,0)</f>
        <v>#N/A</v>
      </c>
      <c r="T3667" s="4" t="e">
        <f t="shared" si="287"/>
        <v>#N/A</v>
      </c>
      <c r="U3667" s="5" t="e">
        <f t="shared" si="288"/>
        <v>#N/A</v>
      </c>
      <c r="V3667" s="23" t="e">
        <f t="shared" si="289"/>
        <v>#N/A</v>
      </c>
    </row>
    <row r="3668" spans="2:22" x14ac:dyDescent="0.25">
      <c r="B3668" s="16">
        <v>1</v>
      </c>
      <c r="C3668" s="7">
        <v>0</v>
      </c>
      <c r="D3668" s="8">
        <v>0</v>
      </c>
      <c r="E3668" s="8">
        <v>0</v>
      </c>
      <c r="F3668" s="8">
        <v>1</v>
      </c>
      <c r="G3668" s="8">
        <v>0</v>
      </c>
      <c r="H3668" s="8">
        <v>1</v>
      </c>
      <c r="I3668" s="8">
        <v>0</v>
      </c>
      <c r="J3668" s="8">
        <v>0</v>
      </c>
      <c r="K3668" s="9">
        <v>1</v>
      </c>
      <c r="L3668" s="10">
        <v>1</v>
      </c>
      <c r="M3668" s="6">
        <v>1</v>
      </c>
      <c r="N3668" s="37" t="e" cm="1">
        <f t="array" ref="N3668">IF(OR(ISNUMBER(FIND(Aux!$D$3:$D$9,_xlfn.TEXTJOIN(,,C3668:K3668)))),NA(),IF(AND(SUM(C3668:F3668,H3668:K3668)=0,G3668=1),0,INT((SUMPRODUCT(C3668:F3668,COLUMN($A$1:$D$1)-1)+SUMPRODUCT(H3668:K3668,COLUMN($E$1:$H$1)-1))*'Line Follower'!$C$3/SUM(C3668:F3668,H3668:K3668)-'Line Follower'!$C$5)))</f>
        <v>#N/A</v>
      </c>
      <c r="O3668" s="22" t="e">
        <v>#N/A</v>
      </c>
      <c r="P3668" s="4" t="e">
        <f t="shared" si="285"/>
        <v>#N/A</v>
      </c>
      <c r="Q3668" s="4" t="e">
        <f t="shared" si="286"/>
        <v>#N/A</v>
      </c>
      <c r="R3668" s="4" t="e">
        <f>IF(AND(B3668=1,N3668&gt;'Line Follower'!$C$7,SUM(C3668:K3668)&lt;4),1,0)</f>
        <v>#N/A</v>
      </c>
      <c r="S3668" s="4" t="e">
        <f>IF(AND(L3668=1,N3668&lt;'Line Follower'!$C$6,SUM(C3668:K3668)&lt;4),1,0)</f>
        <v>#N/A</v>
      </c>
      <c r="T3668" s="4" t="e">
        <f t="shared" si="287"/>
        <v>#N/A</v>
      </c>
      <c r="U3668" s="5" t="e">
        <f t="shared" si="288"/>
        <v>#N/A</v>
      </c>
      <c r="V3668" s="23" t="e">
        <f t="shared" si="289"/>
        <v>#N/A</v>
      </c>
    </row>
    <row r="3669" spans="2:22" x14ac:dyDescent="0.25">
      <c r="B3669" s="16">
        <v>0</v>
      </c>
      <c r="C3669" s="7">
        <v>1</v>
      </c>
      <c r="D3669" s="8">
        <v>0</v>
      </c>
      <c r="E3669" s="8">
        <v>0</v>
      </c>
      <c r="F3669" s="8">
        <v>1</v>
      </c>
      <c r="G3669" s="8">
        <v>0</v>
      </c>
      <c r="H3669" s="8">
        <v>1</v>
      </c>
      <c r="I3669" s="8">
        <v>0</v>
      </c>
      <c r="J3669" s="8">
        <v>0</v>
      </c>
      <c r="K3669" s="9">
        <v>1</v>
      </c>
      <c r="L3669" s="10">
        <v>1</v>
      </c>
      <c r="M3669" s="6">
        <v>1</v>
      </c>
      <c r="N3669" s="37" t="e" cm="1">
        <f t="array" ref="N3669">IF(OR(ISNUMBER(FIND(Aux!$D$3:$D$9,_xlfn.TEXTJOIN(,,C3669:K3669)))),NA(),IF(AND(SUM(C3669:F3669,H3669:K3669)=0,G3669=1),0,INT((SUMPRODUCT(C3669:F3669,COLUMN($A$1:$D$1)-1)+SUMPRODUCT(H3669:K3669,COLUMN($E$1:$H$1)-1))*'Line Follower'!$C$3/SUM(C3669:F3669,H3669:K3669)-'Line Follower'!$C$5)))</f>
        <v>#N/A</v>
      </c>
      <c r="O3669" s="22" t="e">
        <v>#N/A</v>
      </c>
      <c r="P3669" s="4" t="e">
        <f t="shared" si="285"/>
        <v>#N/A</v>
      </c>
      <c r="Q3669" s="4" t="e">
        <f t="shared" si="286"/>
        <v>#N/A</v>
      </c>
      <c r="R3669" s="4" t="e">
        <f>IF(AND(B3669=1,N3669&gt;'Line Follower'!$C$7,SUM(C3669:K3669)&lt;4),1,0)</f>
        <v>#N/A</v>
      </c>
      <c r="S3669" s="4" t="e">
        <f>IF(AND(L3669=1,N3669&lt;'Line Follower'!$C$6,SUM(C3669:K3669)&lt;4),1,0)</f>
        <v>#N/A</v>
      </c>
      <c r="T3669" s="4" t="e">
        <f t="shared" si="287"/>
        <v>#N/A</v>
      </c>
      <c r="U3669" s="5" t="e">
        <f t="shared" si="288"/>
        <v>#N/A</v>
      </c>
      <c r="V3669" s="23" t="e">
        <f t="shared" si="289"/>
        <v>#N/A</v>
      </c>
    </row>
    <row r="3670" spans="2:22" x14ac:dyDescent="0.25">
      <c r="B3670" s="16">
        <v>1</v>
      </c>
      <c r="C3670" s="7">
        <v>1</v>
      </c>
      <c r="D3670" s="8">
        <v>0</v>
      </c>
      <c r="E3670" s="8">
        <v>0</v>
      </c>
      <c r="F3670" s="8">
        <v>1</v>
      </c>
      <c r="G3670" s="8">
        <v>0</v>
      </c>
      <c r="H3670" s="8">
        <v>1</v>
      </c>
      <c r="I3670" s="8">
        <v>0</v>
      </c>
      <c r="J3670" s="8">
        <v>0</v>
      </c>
      <c r="K3670" s="9">
        <v>1</v>
      </c>
      <c r="L3670" s="10">
        <v>1</v>
      </c>
      <c r="M3670" s="6">
        <v>1</v>
      </c>
      <c r="N3670" s="37" t="e" cm="1">
        <f t="array" ref="N3670">IF(OR(ISNUMBER(FIND(Aux!$D$3:$D$9,_xlfn.TEXTJOIN(,,C3670:K3670)))),NA(),IF(AND(SUM(C3670:F3670,H3670:K3670)=0,G3670=1),0,INT((SUMPRODUCT(C3670:F3670,COLUMN($A$1:$D$1)-1)+SUMPRODUCT(H3670:K3670,COLUMN($E$1:$H$1)-1))*'Line Follower'!$C$3/SUM(C3670:F3670,H3670:K3670)-'Line Follower'!$C$5)))</f>
        <v>#N/A</v>
      </c>
      <c r="O3670" s="22" t="e">
        <v>#N/A</v>
      </c>
      <c r="P3670" s="4" t="e">
        <f t="shared" si="285"/>
        <v>#N/A</v>
      </c>
      <c r="Q3670" s="4" t="e">
        <f t="shared" si="286"/>
        <v>#N/A</v>
      </c>
      <c r="R3670" s="4" t="e">
        <f>IF(AND(B3670=1,N3670&gt;'Line Follower'!$C$7,SUM(C3670:K3670)&lt;4),1,0)</f>
        <v>#N/A</v>
      </c>
      <c r="S3670" s="4" t="e">
        <f>IF(AND(L3670=1,N3670&lt;'Line Follower'!$C$6,SUM(C3670:K3670)&lt;4),1,0)</f>
        <v>#N/A</v>
      </c>
      <c r="T3670" s="4" t="e">
        <f t="shared" si="287"/>
        <v>#N/A</v>
      </c>
      <c r="U3670" s="5" t="e">
        <f t="shared" si="288"/>
        <v>#N/A</v>
      </c>
      <c r="V3670" s="23" t="e">
        <f t="shared" si="289"/>
        <v>#N/A</v>
      </c>
    </row>
    <row r="3671" spans="2:22" x14ac:dyDescent="0.25">
      <c r="B3671" s="16">
        <v>0</v>
      </c>
      <c r="C3671" s="7">
        <v>0</v>
      </c>
      <c r="D3671" s="8">
        <v>1</v>
      </c>
      <c r="E3671" s="8">
        <v>0</v>
      </c>
      <c r="F3671" s="8">
        <v>1</v>
      </c>
      <c r="G3671" s="8">
        <v>0</v>
      </c>
      <c r="H3671" s="8">
        <v>1</v>
      </c>
      <c r="I3671" s="8">
        <v>0</v>
      </c>
      <c r="J3671" s="8">
        <v>0</v>
      </c>
      <c r="K3671" s="9">
        <v>1</v>
      </c>
      <c r="L3671" s="10">
        <v>1</v>
      </c>
      <c r="M3671" s="6">
        <v>1</v>
      </c>
      <c r="N3671" s="37" t="e" cm="1">
        <f t="array" ref="N3671">IF(OR(ISNUMBER(FIND(Aux!$D$3:$D$9,_xlfn.TEXTJOIN(,,C3671:K3671)))),NA(),IF(AND(SUM(C3671:F3671,H3671:K3671)=0,G3671=1),0,INT((SUMPRODUCT(C3671:F3671,COLUMN($A$1:$D$1)-1)+SUMPRODUCT(H3671:K3671,COLUMN($E$1:$H$1)-1))*'Line Follower'!$C$3/SUM(C3671:F3671,H3671:K3671)-'Line Follower'!$C$5)))</f>
        <v>#N/A</v>
      </c>
      <c r="O3671" s="22" t="e">
        <v>#N/A</v>
      </c>
      <c r="P3671" s="4" t="e">
        <f t="shared" si="285"/>
        <v>#N/A</v>
      </c>
      <c r="Q3671" s="4" t="e">
        <f t="shared" si="286"/>
        <v>#N/A</v>
      </c>
      <c r="R3671" s="4" t="e">
        <f>IF(AND(B3671=1,N3671&gt;'Line Follower'!$C$7,SUM(C3671:K3671)&lt;4),1,0)</f>
        <v>#N/A</v>
      </c>
      <c r="S3671" s="4" t="e">
        <f>IF(AND(L3671=1,N3671&lt;'Line Follower'!$C$6,SUM(C3671:K3671)&lt;4),1,0)</f>
        <v>#N/A</v>
      </c>
      <c r="T3671" s="4" t="e">
        <f t="shared" si="287"/>
        <v>#N/A</v>
      </c>
      <c r="U3671" s="5" t="e">
        <f t="shared" si="288"/>
        <v>#N/A</v>
      </c>
      <c r="V3671" s="23" t="e">
        <f t="shared" si="289"/>
        <v>#N/A</v>
      </c>
    </row>
    <row r="3672" spans="2:22" x14ac:dyDescent="0.25">
      <c r="B3672" s="16">
        <v>1</v>
      </c>
      <c r="C3672" s="7">
        <v>0</v>
      </c>
      <c r="D3672" s="8">
        <v>1</v>
      </c>
      <c r="E3672" s="8">
        <v>0</v>
      </c>
      <c r="F3672" s="8">
        <v>1</v>
      </c>
      <c r="G3672" s="8">
        <v>0</v>
      </c>
      <c r="H3672" s="8">
        <v>1</v>
      </c>
      <c r="I3672" s="8">
        <v>0</v>
      </c>
      <c r="J3672" s="8">
        <v>0</v>
      </c>
      <c r="K3672" s="9">
        <v>1</v>
      </c>
      <c r="L3672" s="10">
        <v>1</v>
      </c>
      <c r="M3672" s="6">
        <v>1</v>
      </c>
      <c r="N3672" s="37" t="e" cm="1">
        <f t="array" ref="N3672">IF(OR(ISNUMBER(FIND(Aux!$D$3:$D$9,_xlfn.TEXTJOIN(,,C3672:K3672)))),NA(),IF(AND(SUM(C3672:F3672,H3672:K3672)=0,G3672=1),0,INT((SUMPRODUCT(C3672:F3672,COLUMN($A$1:$D$1)-1)+SUMPRODUCT(H3672:K3672,COLUMN($E$1:$H$1)-1))*'Line Follower'!$C$3/SUM(C3672:F3672,H3672:K3672)-'Line Follower'!$C$5)))</f>
        <v>#N/A</v>
      </c>
      <c r="O3672" s="22" t="e">
        <v>#N/A</v>
      </c>
      <c r="P3672" s="4" t="e">
        <f t="shared" si="285"/>
        <v>#N/A</v>
      </c>
      <c r="Q3672" s="4" t="e">
        <f t="shared" si="286"/>
        <v>#N/A</v>
      </c>
      <c r="R3672" s="4" t="e">
        <f>IF(AND(B3672=1,N3672&gt;'Line Follower'!$C$7,SUM(C3672:K3672)&lt;4),1,0)</f>
        <v>#N/A</v>
      </c>
      <c r="S3672" s="4" t="e">
        <f>IF(AND(L3672=1,N3672&lt;'Line Follower'!$C$6,SUM(C3672:K3672)&lt;4),1,0)</f>
        <v>#N/A</v>
      </c>
      <c r="T3672" s="4" t="e">
        <f t="shared" si="287"/>
        <v>#N/A</v>
      </c>
      <c r="U3672" s="5" t="e">
        <f t="shared" si="288"/>
        <v>#N/A</v>
      </c>
      <c r="V3672" s="23" t="e">
        <f t="shared" si="289"/>
        <v>#N/A</v>
      </c>
    </row>
    <row r="3673" spans="2:22" x14ac:dyDescent="0.25">
      <c r="B3673" s="16">
        <v>0</v>
      </c>
      <c r="C3673" s="7">
        <v>1</v>
      </c>
      <c r="D3673" s="8">
        <v>1</v>
      </c>
      <c r="E3673" s="8">
        <v>0</v>
      </c>
      <c r="F3673" s="8">
        <v>1</v>
      </c>
      <c r="G3673" s="8">
        <v>0</v>
      </c>
      <c r="H3673" s="8">
        <v>1</v>
      </c>
      <c r="I3673" s="8">
        <v>0</v>
      </c>
      <c r="J3673" s="8">
        <v>0</v>
      </c>
      <c r="K3673" s="9">
        <v>1</v>
      </c>
      <c r="L3673" s="10">
        <v>1</v>
      </c>
      <c r="M3673" s="6">
        <v>1</v>
      </c>
      <c r="N3673" s="37" t="e" cm="1">
        <f t="array" ref="N3673">IF(OR(ISNUMBER(FIND(Aux!$D$3:$D$9,_xlfn.TEXTJOIN(,,C3673:K3673)))),NA(),IF(AND(SUM(C3673:F3673,H3673:K3673)=0,G3673=1),0,INT((SUMPRODUCT(C3673:F3673,COLUMN($A$1:$D$1)-1)+SUMPRODUCT(H3673:K3673,COLUMN($E$1:$H$1)-1))*'Line Follower'!$C$3/SUM(C3673:F3673,H3673:K3673)-'Line Follower'!$C$5)))</f>
        <v>#N/A</v>
      </c>
      <c r="O3673" s="22" t="e">
        <v>#N/A</v>
      </c>
      <c r="P3673" s="4" t="e">
        <f t="shared" si="285"/>
        <v>#N/A</v>
      </c>
      <c r="Q3673" s="4" t="e">
        <f t="shared" si="286"/>
        <v>#N/A</v>
      </c>
      <c r="R3673" s="4" t="e">
        <f>IF(AND(B3673=1,N3673&gt;'Line Follower'!$C$7,SUM(C3673:K3673)&lt;4),1,0)</f>
        <v>#N/A</v>
      </c>
      <c r="S3673" s="4" t="e">
        <f>IF(AND(L3673=1,N3673&lt;'Line Follower'!$C$6,SUM(C3673:K3673)&lt;4),1,0)</f>
        <v>#N/A</v>
      </c>
      <c r="T3673" s="4" t="e">
        <f t="shared" si="287"/>
        <v>#N/A</v>
      </c>
      <c r="U3673" s="5" t="e">
        <f t="shared" si="288"/>
        <v>#N/A</v>
      </c>
      <c r="V3673" s="23" t="e">
        <f t="shared" si="289"/>
        <v>#N/A</v>
      </c>
    </row>
    <row r="3674" spans="2:22" x14ac:dyDescent="0.25">
      <c r="B3674" s="16">
        <v>1</v>
      </c>
      <c r="C3674" s="7">
        <v>1</v>
      </c>
      <c r="D3674" s="8">
        <v>1</v>
      </c>
      <c r="E3674" s="8">
        <v>0</v>
      </c>
      <c r="F3674" s="8">
        <v>1</v>
      </c>
      <c r="G3674" s="8">
        <v>0</v>
      </c>
      <c r="H3674" s="8">
        <v>1</v>
      </c>
      <c r="I3674" s="8">
        <v>0</v>
      </c>
      <c r="J3674" s="8">
        <v>0</v>
      </c>
      <c r="K3674" s="9">
        <v>1</v>
      </c>
      <c r="L3674" s="10">
        <v>1</v>
      </c>
      <c r="M3674" s="6">
        <v>1</v>
      </c>
      <c r="N3674" s="37" t="e" cm="1">
        <f t="array" ref="N3674">IF(OR(ISNUMBER(FIND(Aux!$D$3:$D$9,_xlfn.TEXTJOIN(,,C3674:K3674)))),NA(),IF(AND(SUM(C3674:F3674,H3674:K3674)=0,G3674=1),0,INT((SUMPRODUCT(C3674:F3674,COLUMN($A$1:$D$1)-1)+SUMPRODUCT(H3674:K3674,COLUMN($E$1:$H$1)-1))*'Line Follower'!$C$3/SUM(C3674:F3674,H3674:K3674)-'Line Follower'!$C$5)))</f>
        <v>#N/A</v>
      </c>
      <c r="O3674" s="22" t="e">
        <v>#N/A</v>
      </c>
      <c r="P3674" s="4" t="e">
        <f t="shared" si="285"/>
        <v>#N/A</v>
      </c>
      <c r="Q3674" s="4" t="e">
        <f t="shared" si="286"/>
        <v>#N/A</v>
      </c>
      <c r="R3674" s="4" t="e">
        <f>IF(AND(B3674=1,N3674&gt;'Line Follower'!$C$7,SUM(C3674:K3674)&lt;4),1,0)</f>
        <v>#N/A</v>
      </c>
      <c r="S3674" s="4" t="e">
        <f>IF(AND(L3674=1,N3674&lt;'Line Follower'!$C$6,SUM(C3674:K3674)&lt;4),1,0)</f>
        <v>#N/A</v>
      </c>
      <c r="T3674" s="4" t="e">
        <f t="shared" si="287"/>
        <v>#N/A</v>
      </c>
      <c r="U3674" s="5" t="e">
        <f t="shared" si="288"/>
        <v>#N/A</v>
      </c>
      <c r="V3674" s="23" t="e">
        <f t="shared" si="289"/>
        <v>#N/A</v>
      </c>
    </row>
    <row r="3675" spans="2:22" x14ac:dyDescent="0.25">
      <c r="B3675" s="16">
        <v>0</v>
      </c>
      <c r="C3675" s="7">
        <v>0</v>
      </c>
      <c r="D3675" s="8">
        <v>0</v>
      </c>
      <c r="E3675" s="8">
        <v>1</v>
      </c>
      <c r="F3675" s="8">
        <v>1</v>
      </c>
      <c r="G3675" s="8">
        <v>0</v>
      </c>
      <c r="H3675" s="8">
        <v>1</v>
      </c>
      <c r="I3675" s="8">
        <v>0</v>
      </c>
      <c r="J3675" s="8">
        <v>0</v>
      </c>
      <c r="K3675" s="9">
        <v>1</v>
      </c>
      <c r="L3675" s="10">
        <v>1</v>
      </c>
      <c r="M3675" s="6">
        <v>1</v>
      </c>
      <c r="N3675" s="37" t="e" cm="1">
        <f t="array" ref="N3675">IF(OR(ISNUMBER(FIND(Aux!$D$3:$D$9,_xlfn.TEXTJOIN(,,C3675:K3675)))),NA(),IF(AND(SUM(C3675:F3675,H3675:K3675)=0,G3675=1),0,INT((SUMPRODUCT(C3675:F3675,COLUMN($A$1:$D$1)-1)+SUMPRODUCT(H3675:K3675,COLUMN($E$1:$H$1)-1))*'Line Follower'!$C$3/SUM(C3675:F3675,H3675:K3675)-'Line Follower'!$C$5)))</f>
        <v>#N/A</v>
      </c>
      <c r="O3675" s="22" t="e">
        <v>#N/A</v>
      </c>
      <c r="P3675" s="4" t="e">
        <f t="shared" si="285"/>
        <v>#N/A</v>
      </c>
      <c r="Q3675" s="4" t="e">
        <f t="shared" si="286"/>
        <v>#N/A</v>
      </c>
      <c r="R3675" s="4" t="e">
        <f>IF(AND(B3675=1,N3675&gt;'Line Follower'!$C$7,SUM(C3675:K3675)&lt;4),1,0)</f>
        <v>#N/A</v>
      </c>
      <c r="S3675" s="4" t="e">
        <f>IF(AND(L3675=1,N3675&lt;'Line Follower'!$C$6,SUM(C3675:K3675)&lt;4),1,0)</f>
        <v>#N/A</v>
      </c>
      <c r="T3675" s="4" t="e">
        <f t="shared" si="287"/>
        <v>#N/A</v>
      </c>
      <c r="U3675" s="5" t="e">
        <f t="shared" si="288"/>
        <v>#N/A</v>
      </c>
      <c r="V3675" s="23" t="e">
        <f t="shared" si="289"/>
        <v>#N/A</v>
      </c>
    </row>
    <row r="3676" spans="2:22" x14ac:dyDescent="0.25">
      <c r="B3676" s="16">
        <v>1</v>
      </c>
      <c r="C3676" s="7">
        <v>0</v>
      </c>
      <c r="D3676" s="8">
        <v>0</v>
      </c>
      <c r="E3676" s="8">
        <v>1</v>
      </c>
      <c r="F3676" s="8">
        <v>1</v>
      </c>
      <c r="G3676" s="8">
        <v>0</v>
      </c>
      <c r="H3676" s="8">
        <v>1</v>
      </c>
      <c r="I3676" s="8">
        <v>0</v>
      </c>
      <c r="J3676" s="8">
        <v>0</v>
      </c>
      <c r="K3676" s="9">
        <v>1</v>
      </c>
      <c r="L3676" s="10">
        <v>1</v>
      </c>
      <c r="M3676" s="6">
        <v>1</v>
      </c>
      <c r="N3676" s="37" t="e" cm="1">
        <f t="array" ref="N3676">IF(OR(ISNUMBER(FIND(Aux!$D$3:$D$9,_xlfn.TEXTJOIN(,,C3676:K3676)))),NA(),IF(AND(SUM(C3676:F3676,H3676:K3676)=0,G3676=1),0,INT((SUMPRODUCT(C3676:F3676,COLUMN($A$1:$D$1)-1)+SUMPRODUCT(H3676:K3676,COLUMN($E$1:$H$1)-1))*'Line Follower'!$C$3/SUM(C3676:F3676,H3676:K3676)-'Line Follower'!$C$5)))</f>
        <v>#N/A</v>
      </c>
      <c r="O3676" s="22" t="e">
        <v>#N/A</v>
      </c>
      <c r="P3676" s="4" t="e">
        <f t="shared" si="285"/>
        <v>#N/A</v>
      </c>
      <c r="Q3676" s="4" t="e">
        <f t="shared" si="286"/>
        <v>#N/A</v>
      </c>
      <c r="R3676" s="4" t="e">
        <f>IF(AND(B3676=1,N3676&gt;'Line Follower'!$C$7,SUM(C3676:K3676)&lt;4),1,0)</f>
        <v>#N/A</v>
      </c>
      <c r="S3676" s="4" t="e">
        <f>IF(AND(L3676=1,N3676&lt;'Line Follower'!$C$6,SUM(C3676:K3676)&lt;4),1,0)</f>
        <v>#N/A</v>
      </c>
      <c r="T3676" s="4" t="e">
        <f t="shared" si="287"/>
        <v>#N/A</v>
      </c>
      <c r="U3676" s="5" t="e">
        <f t="shared" si="288"/>
        <v>#N/A</v>
      </c>
      <c r="V3676" s="23" t="e">
        <f t="shared" si="289"/>
        <v>#N/A</v>
      </c>
    </row>
    <row r="3677" spans="2:22" x14ac:dyDescent="0.25">
      <c r="B3677" s="16">
        <v>0</v>
      </c>
      <c r="C3677" s="7">
        <v>1</v>
      </c>
      <c r="D3677" s="8">
        <v>0</v>
      </c>
      <c r="E3677" s="8">
        <v>1</v>
      </c>
      <c r="F3677" s="8">
        <v>1</v>
      </c>
      <c r="G3677" s="8">
        <v>0</v>
      </c>
      <c r="H3677" s="8">
        <v>1</v>
      </c>
      <c r="I3677" s="8">
        <v>0</v>
      </c>
      <c r="J3677" s="8">
        <v>0</v>
      </c>
      <c r="K3677" s="9">
        <v>1</v>
      </c>
      <c r="L3677" s="10">
        <v>1</v>
      </c>
      <c r="M3677" s="6">
        <v>1</v>
      </c>
      <c r="N3677" s="37" t="e" cm="1">
        <f t="array" ref="N3677">IF(OR(ISNUMBER(FIND(Aux!$D$3:$D$9,_xlfn.TEXTJOIN(,,C3677:K3677)))),NA(),IF(AND(SUM(C3677:F3677,H3677:K3677)=0,G3677=1),0,INT((SUMPRODUCT(C3677:F3677,COLUMN($A$1:$D$1)-1)+SUMPRODUCT(H3677:K3677,COLUMN($E$1:$H$1)-1))*'Line Follower'!$C$3/SUM(C3677:F3677,H3677:K3677)-'Line Follower'!$C$5)))</f>
        <v>#N/A</v>
      </c>
      <c r="O3677" s="22" t="e">
        <v>#N/A</v>
      </c>
      <c r="P3677" s="4" t="e">
        <f t="shared" si="285"/>
        <v>#N/A</v>
      </c>
      <c r="Q3677" s="4" t="e">
        <f t="shared" si="286"/>
        <v>#N/A</v>
      </c>
      <c r="R3677" s="4" t="e">
        <f>IF(AND(B3677=1,N3677&gt;'Line Follower'!$C$7,SUM(C3677:K3677)&lt;4),1,0)</f>
        <v>#N/A</v>
      </c>
      <c r="S3677" s="4" t="e">
        <f>IF(AND(L3677=1,N3677&lt;'Line Follower'!$C$6,SUM(C3677:K3677)&lt;4),1,0)</f>
        <v>#N/A</v>
      </c>
      <c r="T3677" s="4" t="e">
        <f t="shared" si="287"/>
        <v>#N/A</v>
      </c>
      <c r="U3677" s="5" t="e">
        <f t="shared" si="288"/>
        <v>#N/A</v>
      </c>
      <c r="V3677" s="23" t="e">
        <f t="shared" si="289"/>
        <v>#N/A</v>
      </c>
    </row>
    <row r="3678" spans="2:22" x14ac:dyDescent="0.25">
      <c r="B3678" s="16">
        <v>1</v>
      </c>
      <c r="C3678" s="7">
        <v>1</v>
      </c>
      <c r="D3678" s="8">
        <v>0</v>
      </c>
      <c r="E3678" s="8">
        <v>1</v>
      </c>
      <c r="F3678" s="8">
        <v>1</v>
      </c>
      <c r="G3678" s="8">
        <v>0</v>
      </c>
      <c r="H3678" s="8">
        <v>1</v>
      </c>
      <c r="I3678" s="8">
        <v>0</v>
      </c>
      <c r="J3678" s="8">
        <v>0</v>
      </c>
      <c r="K3678" s="9">
        <v>1</v>
      </c>
      <c r="L3678" s="10">
        <v>1</v>
      </c>
      <c r="M3678" s="6">
        <v>1</v>
      </c>
      <c r="N3678" s="37" t="e" cm="1">
        <f t="array" ref="N3678">IF(OR(ISNUMBER(FIND(Aux!$D$3:$D$9,_xlfn.TEXTJOIN(,,C3678:K3678)))),NA(),IF(AND(SUM(C3678:F3678,H3678:K3678)=0,G3678=1),0,INT((SUMPRODUCT(C3678:F3678,COLUMN($A$1:$D$1)-1)+SUMPRODUCT(H3678:K3678,COLUMN($E$1:$H$1)-1))*'Line Follower'!$C$3/SUM(C3678:F3678,H3678:K3678)-'Line Follower'!$C$5)))</f>
        <v>#N/A</v>
      </c>
      <c r="O3678" s="22" t="e">
        <v>#N/A</v>
      </c>
      <c r="P3678" s="4" t="e">
        <f t="shared" si="285"/>
        <v>#N/A</v>
      </c>
      <c r="Q3678" s="4" t="e">
        <f t="shared" si="286"/>
        <v>#N/A</v>
      </c>
      <c r="R3678" s="4" t="e">
        <f>IF(AND(B3678=1,N3678&gt;'Line Follower'!$C$7,SUM(C3678:K3678)&lt;4),1,0)</f>
        <v>#N/A</v>
      </c>
      <c r="S3678" s="4" t="e">
        <f>IF(AND(L3678=1,N3678&lt;'Line Follower'!$C$6,SUM(C3678:K3678)&lt;4),1,0)</f>
        <v>#N/A</v>
      </c>
      <c r="T3678" s="4" t="e">
        <f t="shared" si="287"/>
        <v>#N/A</v>
      </c>
      <c r="U3678" s="5" t="e">
        <f t="shared" si="288"/>
        <v>#N/A</v>
      </c>
      <c r="V3678" s="23" t="e">
        <f t="shared" si="289"/>
        <v>#N/A</v>
      </c>
    </row>
    <row r="3679" spans="2:22" x14ac:dyDescent="0.25">
      <c r="B3679" s="16">
        <v>0</v>
      </c>
      <c r="C3679" s="7">
        <v>0</v>
      </c>
      <c r="D3679" s="8">
        <v>1</v>
      </c>
      <c r="E3679" s="8">
        <v>1</v>
      </c>
      <c r="F3679" s="8">
        <v>1</v>
      </c>
      <c r="G3679" s="8">
        <v>0</v>
      </c>
      <c r="H3679" s="8">
        <v>1</v>
      </c>
      <c r="I3679" s="8">
        <v>0</v>
      </c>
      <c r="J3679" s="8">
        <v>0</v>
      </c>
      <c r="K3679" s="9">
        <v>1</v>
      </c>
      <c r="L3679" s="10">
        <v>1</v>
      </c>
      <c r="M3679" s="6">
        <v>1</v>
      </c>
      <c r="N3679" s="37" t="e" cm="1">
        <f t="array" ref="N3679">IF(OR(ISNUMBER(FIND(Aux!$D$3:$D$9,_xlfn.TEXTJOIN(,,C3679:K3679)))),NA(),IF(AND(SUM(C3679:F3679,H3679:K3679)=0,G3679=1),0,INT((SUMPRODUCT(C3679:F3679,COLUMN($A$1:$D$1)-1)+SUMPRODUCT(H3679:K3679,COLUMN($E$1:$H$1)-1))*'Line Follower'!$C$3/SUM(C3679:F3679,H3679:K3679)-'Line Follower'!$C$5)))</f>
        <v>#N/A</v>
      </c>
      <c r="O3679" s="22" t="e">
        <v>#N/A</v>
      </c>
      <c r="P3679" s="4" t="e">
        <f t="shared" si="285"/>
        <v>#N/A</v>
      </c>
      <c r="Q3679" s="4" t="e">
        <f t="shared" si="286"/>
        <v>#N/A</v>
      </c>
      <c r="R3679" s="4" t="e">
        <f>IF(AND(B3679=1,N3679&gt;'Line Follower'!$C$7,SUM(C3679:K3679)&lt;4),1,0)</f>
        <v>#N/A</v>
      </c>
      <c r="S3679" s="4" t="e">
        <f>IF(AND(L3679=1,N3679&lt;'Line Follower'!$C$6,SUM(C3679:K3679)&lt;4),1,0)</f>
        <v>#N/A</v>
      </c>
      <c r="T3679" s="4" t="e">
        <f t="shared" si="287"/>
        <v>#N/A</v>
      </c>
      <c r="U3679" s="5" t="e">
        <f t="shared" si="288"/>
        <v>#N/A</v>
      </c>
      <c r="V3679" s="23" t="e">
        <f t="shared" si="289"/>
        <v>#N/A</v>
      </c>
    </row>
    <row r="3680" spans="2:22" x14ac:dyDescent="0.25">
      <c r="B3680" s="16">
        <v>1</v>
      </c>
      <c r="C3680" s="7">
        <v>0</v>
      </c>
      <c r="D3680" s="8">
        <v>1</v>
      </c>
      <c r="E3680" s="8">
        <v>1</v>
      </c>
      <c r="F3680" s="8">
        <v>1</v>
      </c>
      <c r="G3680" s="8">
        <v>0</v>
      </c>
      <c r="H3680" s="8">
        <v>1</v>
      </c>
      <c r="I3680" s="8">
        <v>0</v>
      </c>
      <c r="J3680" s="8">
        <v>0</v>
      </c>
      <c r="K3680" s="9">
        <v>1</v>
      </c>
      <c r="L3680" s="10">
        <v>1</v>
      </c>
      <c r="M3680" s="6">
        <v>1</v>
      </c>
      <c r="N3680" s="37" t="e" cm="1">
        <f t="array" ref="N3680">IF(OR(ISNUMBER(FIND(Aux!$D$3:$D$9,_xlfn.TEXTJOIN(,,C3680:K3680)))),NA(),IF(AND(SUM(C3680:F3680,H3680:K3680)=0,G3680=1),0,INT((SUMPRODUCT(C3680:F3680,COLUMN($A$1:$D$1)-1)+SUMPRODUCT(H3680:K3680,COLUMN($E$1:$H$1)-1))*'Line Follower'!$C$3/SUM(C3680:F3680,H3680:K3680)-'Line Follower'!$C$5)))</f>
        <v>#N/A</v>
      </c>
      <c r="O3680" s="22" t="e">
        <v>#N/A</v>
      </c>
      <c r="P3680" s="4" t="e">
        <f t="shared" si="285"/>
        <v>#N/A</v>
      </c>
      <c r="Q3680" s="4" t="e">
        <f t="shared" si="286"/>
        <v>#N/A</v>
      </c>
      <c r="R3680" s="4" t="e">
        <f>IF(AND(B3680=1,N3680&gt;'Line Follower'!$C$7,SUM(C3680:K3680)&lt;4),1,0)</f>
        <v>#N/A</v>
      </c>
      <c r="S3680" s="4" t="e">
        <f>IF(AND(L3680=1,N3680&lt;'Line Follower'!$C$6,SUM(C3680:K3680)&lt;4),1,0)</f>
        <v>#N/A</v>
      </c>
      <c r="T3680" s="4" t="e">
        <f t="shared" si="287"/>
        <v>#N/A</v>
      </c>
      <c r="U3680" s="5" t="e">
        <f t="shared" si="288"/>
        <v>#N/A</v>
      </c>
      <c r="V3680" s="23" t="e">
        <f t="shared" si="289"/>
        <v>#N/A</v>
      </c>
    </row>
    <row r="3681" spans="2:22" x14ac:dyDescent="0.25">
      <c r="B3681" s="16">
        <v>0</v>
      </c>
      <c r="C3681" s="7">
        <v>1</v>
      </c>
      <c r="D3681" s="8">
        <v>1</v>
      </c>
      <c r="E3681" s="8">
        <v>1</v>
      </c>
      <c r="F3681" s="8">
        <v>1</v>
      </c>
      <c r="G3681" s="8">
        <v>0</v>
      </c>
      <c r="H3681" s="8">
        <v>1</v>
      </c>
      <c r="I3681" s="8">
        <v>0</v>
      </c>
      <c r="J3681" s="8">
        <v>0</v>
      </c>
      <c r="K3681" s="9">
        <v>1</v>
      </c>
      <c r="L3681" s="10">
        <v>1</v>
      </c>
      <c r="M3681" s="6">
        <v>1</v>
      </c>
      <c r="N3681" s="37" t="e" cm="1">
        <f t="array" ref="N3681">IF(OR(ISNUMBER(FIND(Aux!$D$3:$D$9,_xlfn.TEXTJOIN(,,C3681:K3681)))),NA(),IF(AND(SUM(C3681:F3681,H3681:K3681)=0,G3681=1),0,INT((SUMPRODUCT(C3681:F3681,COLUMN($A$1:$D$1)-1)+SUMPRODUCT(H3681:K3681,COLUMN($E$1:$H$1)-1))*'Line Follower'!$C$3/SUM(C3681:F3681,H3681:K3681)-'Line Follower'!$C$5)))</f>
        <v>#N/A</v>
      </c>
      <c r="O3681" s="22" t="e">
        <v>#N/A</v>
      </c>
      <c r="P3681" s="4" t="e">
        <f t="shared" si="285"/>
        <v>#N/A</v>
      </c>
      <c r="Q3681" s="4" t="e">
        <f t="shared" si="286"/>
        <v>#N/A</v>
      </c>
      <c r="R3681" s="4" t="e">
        <f>IF(AND(B3681=1,N3681&gt;'Line Follower'!$C$7,SUM(C3681:K3681)&lt;4),1,0)</f>
        <v>#N/A</v>
      </c>
      <c r="S3681" s="4" t="e">
        <f>IF(AND(L3681=1,N3681&lt;'Line Follower'!$C$6,SUM(C3681:K3681)&lt;4),1,0)</f>
        <v>#N/A</v>
      </c>
      <c r="T3681" s="4" t="e">
        <f t="shared" si="287"/>
        <v>#N/A</v>
      </c>
      <c r="U3681" s="5" t="e">
        <f t="shared" si="288"/>
        <v>#N/A</v>
      </c>
      <c r="V3681" s="23" t="e">
        <f t="shared" si="289"/>
        <v>#N/A</v>
      </c>
    </row>
    <row r="3682" spans="2:22" x14ac:dyDescent="0.25">
      <c r="B3682" s="16">
        <v>1</v>
      </c>
      <c r="C3682" s="7">
        <v>1</v>
      </c>
      <c r="D3682" s="8">
        <v>1</v>
      </c>
      <c r="E3682" s="8">
        <v>1</v>
      </c>
      <c r="F3682" s="8">
        <v>1</v>
      </c>
      <c r="G3682" s="8">
        <v>0</v>
      </c>
      <c r="H3682" s="8">
        <v>1</v>
      </c>
      <c r="I3682" s="8">
        <v>0</v>
      </c>
      <c r="J3682" s="8">
        <v>0</v>
      </c>
      <c r="K3682" s="9">
        <v>1</v>
      </c>
      <c r="L3682" s="10">
        <v>1</v>
      </c>
      <c r="M3682" s="6">
        <v>1</v>
      </c>
      <c r="N3682" s="37" t="e" cm="1">
        <f t="array" ref="N3682">IF(OR(ISNUMBER(FIND(Aux!$D$3:$D$9,_xlfn.TEXTJOIN(,,C3682:K3682)))),NA(),IF(AND(SUM(C3682:F3682,H3682:K3682)=0,G3682=1),0,INT((SUMPRODUCT(C3682:F3682,COLUMN($A$1:$D$1)-1)+SUMPRODUCT(H3682:K3682,COLUMN($E$1:$H$1)-1))*'Line Follower'!$C$3/SUM(C3682:F3682,H3682:K3682)-'Line Follower'!$C$5)))</f>
        <v>#N/A</v>
      </c>
      <c r="O3682" s="22" t="e">
        <v>#N/A</v>
      </c>
      <c r="P3682" s="4" t="e">
        <f t="shared" si="285"/>
        <v>#N/A</v>
      </c>
      <c r="Q3682" s="4" t="e">
        <f t="shared" si="286"/>
        <v>#N/A</v>
      </c>
      <c r="R3682" s="4" t="e">
        <f>IF(AND(B3682=1,N3682&gt;'Line Follower'!$C$7,SUM(C3682:K3682)&lt;4),1,0)</f>
        <v>#N/A</v>
      </c>
      <c r="S3682" s="4" t="e">
        <f>IF(AND(L3682=1,N3682&lt;'Line Follower'!$C$6,SUM(C3682:K3682)&lt;4),1,0)</f>
        <v>#N/A</v>
      </c>
      <c r="T3682" s="4" t="e">
        <f t="shared" si="287"/>
        <v>#N/A</v>
      </c>
      <c r="U3682" s="5" t="e">
        <f t="shared" si="288"/>
        <v>#N/A</v>
      </c>
      <c r="V3682" s="23" t="e">
        <f t="shared" si="289"/>
        <v>#N/A</v>
      </c>
    </row>
    <row r="3683" spans="2:22" x14ac:dyDescent="0.25">
      <c r="B3683" s="16">
        <v>0</v>
      </c>
      <c r="C3683" s="7">
        <v>0</v>
      </c>
      <c r="D3683" s="8">
        <v>0</v>
      </c>
      <c r="E3683" s="8">
        <v>0</v>
      </c>
      <c r="F3683" s="8">
        <v>0</v>
      </c>
      <c r="G3683" s="8">
        <v>1</v>
      </c>
      <c r="H3683" s="8">
        <v>1</v>
      </c>
      <c r="I3683" s="8">
        <v>0</v>
      </c>
      <c r="J3683" s="8">
        <v>0</v>
      </c>
      <c r="K3683" s="9">
        <v>1</v>
      </c>
      <c r="L3683" s="10">
        <v>1</v>
      </c>
      <c r="M3683" s="6">
        <v>1</v>
      </c>
      <c r="N3683" s="37" t="e" cm="1">
        <f t="array" ref="N3683">IF(OR(ISNUMBER(FIND(Aux!$D$3:$D$9,_xlfn.TEXTJOIN(,,C3683:K3683)))),NA(),IF(AND(SUM(C3683:F3683,H3683:K3683)=0,G3683=1),0,INT((SUMPRODUCT(C3683:F3683,COLUMN($A$1:$D$1)-1)+SUMPRODUCT(H3683:K3683,COLUMN($E$1:$H$1)-1))*'Line Follower'!$C$3/SUM(C3683:F3683,H3683:K3683)-'Line Follower'!$C$5)))</f>
        <v>#N/A</v>
      </c>
      <c r="O3683" s="22" t="e">
        <v>#N/A</v>
      </c>
      <c r="P3683" s="4" t="e">
        <f t="shared" si="285"/>
        <v>#N/A</v>
      </c>
      <c r="Q3683" s="4" t="e">
        <f t="shared" si="286"/>
        <v>#N/A</v>
      </c>
      <c r="R3683" s="4" t="e">
        <f>IF(AND(B3683=1,N3683&gt;'Line Follower'!$C$7,SUM(C3683:K3683)&lt;4),1,0)</f>
        <v>#N/A</v>
      </c>
      <c r="S3683" s="4" t="e">
        <f>IF(AND(L3683=1,N3683&lt;'Line Follower'!$C$6,SUM(C3683:K3683)&lt;4),1,0)</f>
        <v>#N/A</v>
      </c>
      <c r="T3683" s="4" t="e">
        <f t="shared" si="287"/>
        <v>#N/A</v>
      </c>
      <c r="U3683" s="5" t="e">
        <f t="shared" si="288"/>
        <v>#N/A</v>
      </c>
      <c r="V3683" s="23" t="e">
        <f t="shared" si="289"/>
        <v>#N/A</v>
      </c>
    </row>
    <row r="3684" spans="2:22" x14ac:dyDescent="0.25">
      <c r="B3684" s="16">
        <v>1</v>
      </c>
      <c r="C3684" s="7">
        <v>0</v>
      </c>
      <c r="D3684" s="8">
        <v>0</v>
      </c>
      <c r="E3684" s="8">
        <v>0</v>
      </c>
      <c r="F3684" s="8">
        <v>0</v>
      </c>
      <c r="G3684" s="8">
        <v>1</v>
      </c>
      <c r="H3684" s="8">
        <v>1</v>
      </c>
      <c r="I3684" s="8">
        <v>0</v>
      </c>
      <c r="J3684" s="8">
        <v>0</v>
      </c>
      <c r="K3684" s="9">
        <v>1</v>
      </c>
      <c r="L3684" s="10">
        <v>1</v>
      </c>
      <c r="M3684" s="6">
        <v>1</v>
      </c>
      <c r="N3684" s="37" t="e" cm="1">
        <f t="array" ref="N3684">IF(OR(ISNUMBER(FIND(Aux!$D$3:$D$9,_xlfn.TEXTJOIN(,,C3684:K3684)))),NA(),IF(AND(SUM(C3684:F3684,H3684:K3684)=0,G3684=1),0,INT((SUMPRODUCT(C3684:F3684,COLUMN($A$1:$D$1)-1)+SUMPRODUCT(H3684:K3684,COLUMN($E$1:$H$1)-1))*'Line Follower'!$C$3/SUM(C3684:F3684,H3684:K3684)-'Line Follower'!$C$5)))</f>
        <v>#N/A</v>
      </c>
      <c r="O3684" s="22" t="e">
        <v>#N/A</v>
      </c>
      <c r="P3684" s="4" t="e">
        <f t="shared" si="285"/>
        <v>#N/A</v>
      </c>
      <c r="Q3684" s="4" t="e">
        <f t="shared" si="286"/>
        <v>#N/A</v>
      </c>
      <c r="R3684" s="4" t="e">
        <f>IF(AND(B3684=1,N3684&gt;'Line Follower'!$C$7,SUM(C3684:K3684)&lt;4),1,0)</f>
        <v>#N/A</v>
      </c>
      <c r="S3684" s="4" t="e">
        <f>IF(AND(L3684=1,N3684&lt;'Line Follower'!$C$6,SUM(C3684:K3684)&lt;4),1,0)</f>
        <v>#N/A</v>
      </c>
      <c r="T3684" s="4" t="e">
        <f t="shared" si="287"/>
        <v>#N/A</v>
      </c>
      <c r="U3684" s="5" t="e">
        <f t="shared" si="288"/>
        <v>#N/A</v>
      </c>
      <c r="V3684" s="23" t="e">
        <f t="shared" si="289"/>
        <v>#N/A</v>
      </c>
    </row>
    <row r="3685" spans="2:22" x14ac:dyDescent="0.25">
      <c r="B3685" s="16">
        <v>0</v>
      </c>
      <c r="C3685" s="7">
        <v>1</v>
      </c>
      <c r="D3685" s="8">
        <v>0</v>
      </c>
      <c r="E3685" s="8">
        <v>0</v>
      </c>
      <c r="F3685" s="8">
        <v>0</v>
      </c>
      <c r="G3685" s="8">
        <v>1</v>
      </c>
      <c r="H3685" s="8">
        <v>1</v>
      </c>
      <c r="I3685" s="8">
        <v>0</v>
      </c>
      <c r="J3685" s="8">
        <v>0</v>
      </c>
      <c r="K3685" s="9">
        <v>1</v>
      </c>
      <c r="L3685" s="10">
        <v>1</v>
      </c>
      <c r="M3685" s="6">
        <v>1</v>
      </c>
      <c r="N3685" s="37" t="e" cm="1">
        <f t="array" ref="N3685">IF(OR(ISNUMBER(FIND(Aux!$D$3:$D$9,_xlfn.TEXTJOIN(,,C3685:K3685)))),NA(),IF(AND(SUM(C3685:F3685,H3685:K3685)=0,G3685=1),0,INT((SUMPRODUCT(C3685:F3685,COLUMN($A$1:$D$1)-1)+SUMPRODUCT(H3685:K3685,COLUMN($E$1:$H$1)-1))*'Line Follower'!$C$3/SUM(C3685:F3685,H3685:K3685)-'Line Follower'!$C$5)))</f>
        <v>#N/A</v>
      </c>
      <c r="O3685" s="22" t="e">
        <v>#N/A</v>
      </c>
      <c r="P3685" s="4" t="e">
        <f t="shared" si="285"/>
        <v>#N/A</v>
      </c>
      <c r="Q3685" s="4" t="e">
        <f t="shared" si="286"/>
        <v>#N/A</v>
      </c>
      <c r="R3685" s="4" t="e">
        <f>IF(AND(B3685=1,N3685&gt;'Line Follower'!$C$7,SUM(C3685:K3685)&lt;4),1,0)</f>
        <v>#N/A</v>
      </c>
      <c r="S3685" s="4" t="e">
        <f>IF(AND(L3685=1,N3685&lt;'Line Follower'!$C$6,SUM(C3685:K3685)&lt;4),1,0)</f>
        <v>#N/A</v>
      </c>
      <c r="T3685" s="4" t="e">
        <f t="shared" si="287"/>
        <v>#N/A</v>
      </c>
      <c r="U3685" s="5" t="e">
        <f t="shared" si="288"/>
        <v>#N/A</v>
      </c>
      <c r="V3685" s="23" t="e">
        <f t="shared" si="289"/>
        <v>#N/A</v>
      </c>
    </row>
    <row r="3686" spans="2:22" x14ac:dyDescent="0.25">
      <c r="B3686" s="16">
        <v>1</v>
      </c>
      <c r="C3686" s="7">
        <v>1</v>
      </c>
      <c r="D3686" s="8">
        <v>0</v>
      </c>
      <c r="E3686" s="8">
        <v>0</v>
      </c>
      <c r="F3686" s="8">
        <v>0</v>
      </c>
      <c r="G3686" s="8">
        <v>1</v>
      </c>
      <c r="H3686" s="8">
        <v>1</v>
      </c>
      <c r="I3686" s="8">
        <v>0</v>
      </c>
      <c r="J3686" s="8">
        <v>0</v>
      </c>
      <c r="K3686" s="9">
        <v>1</v>
      </c>
      <c r="L3686" s="10">
        <v>1</v>
      </c>
      <c r="M3686" s="6">
        <v>1</v>
      </c>
      <c r="N3686" s="37" t="e" cm="1">
        <f t="array" ref="N3686">IF(OR(ISNUMBER(FIND(Aux!$D$3:$D$9,_xlfn.TEXTJOIN(,,C3686:K3686)))),NA(),IF(AND(SUM(C3686:F3686,H3686:K3686)=0,G3686=1),0,INT((SUMPRODUCT(C3686:F3686,COLUMN($A$1:$D$1)-1)+SUMPRODUCT(H3686:K3686,COLUMN($E$1:$H$1)-1))*'Line Follower'!$C$3/SUM(C3686:F3686,H3686:K3686)-'Line Follower'!$C$5)))</f>
        <v>#N/A</v>
      </c>
      <c r="O3686" s="22" t="e">
        <v>#N/A</v>
      </c>
      <c r="P3686" s="4" t="e">
        <f t="shared" si="285"/>
        <v>#N/A</v>
      </c>
      <c r="Q3686" s="4" t="e">
        <f t="shared" si="286"/>
        <v>#N/A</v>
      </c>
      <c r="R3686" s="4" t="e">
        <f>IF(AND(B3686=1,N3686&gt;'Line Follower'!$C$7,SUM(C3686:K3686)&lt;4),1,0)</f>
        <v>#N/A</v>
      </c>
      <c r="S3686" s="4" t="e">
        <f>IF(AND(L3686=1,N3686&lt;'Line Follower'!$C$6,SUM(C3686:K3686)&lt;4),1,0)</f>
        <v>#N/A</v>
      </c>
      <c r="T3686" s="4" t="e">
        <f t="shared" si="287"/>
        <v>#N/A</v>
      </c>
      <c r="U3686" s="5" t="e">
        <f t="shared" si="288"/>
        <v>#N/A</v>
      </c>
      <c r="V3686" s="23" t="e">
        <f t="shared" si="289"/>
        <v>#N/A</v>
      </c>
    </row>
    <row r="3687" spans="2:22" x14ac:dyDescent="0.25">
      <c r="B3687" s="16">
        <v>0</v>
      </c>
      <c r="C3687" s="7">
        <v>0</v>
      </c>
      <c r="D3687" s="8">
        <v>1</v>
      </c>
      <c r="E3687" s="8">
        <v>0</v>
      </c>
      <c r="F3687" s="8">
        <v>0</v>
      </c>
      <c r="G3687" s="8">
        <v>1</v>
      </c>
      <c r="H3687" s="8">
        <v>1</v>
      </c>
      <c r="I3687" s="8">
        <v>0</v>
      </c>
      <c r="J3687" s="8">
        <v>0</v>
      </c>
      <c r="K3687" s="9">
        <v>1</v>
      </c>
      <c r="L3687" s="10">
        <v>1</v>
      </c>
      <c r="M3687" s="6">
        <v>1</v>
      </c>
      <c r="N3687" s="37" t="e" cm="1">
        <f t="array" ref="N3687">IF(OR(ISNUMBER(FIND(Aux!$D$3:$D$9,_xlfn.TEXTJOIN(,,C3687:K3687)))),NA(),IF(AND(SUM(C3687:F3687,H3687:K3687)=0,G3687=1),0,INT((SUMPRODUCT(C3687:F3687,COLUMN($A$1:$D$1)-1)+SUMPRODUCT(H3687:K3687,COLUMN($E$1:$H$1)-1))*'Line Follower'!$C$3/SUM(C3687:F3687,H3687:K3687)-'Line Follower'!$C$5)))</f>
        <v>#N/A</v>
      </c>
      <c r="O3687" s="22" t="e">
        <v>#N/A</v>
      </c>
      <c r="P3687" s="4" t="e">
        <f t="shared" si="285"/>
        <v>#N/A</v>
      </c>
      <c r="Q3687" s="4" t="e">
        <f t="shared" si="286"/>
        <v>#N/A</v>
      </c>
      <c r="R3687" s="4" t="e">
        <f>IF(AND(B3687=1,N3687&gt;'Line Follower'!$C$7,SUM(C3687:K3687)&lt;4),1,0)</f>
        <v>#N/A</v>
      </c>
      <c r="S3687" s="4" t="e">
        <f>IF(AND(L3687=1,N3687&lt;'Line Follower'!$C$6,SUM(C3687:K3687)&lt;4),1,0)</f>
        <v>#N/A</v>
      </c>
      <c r="T3687" s="4" t="e">
        <f t="shared" si="287"/>
        <v>#N/A</v>
      </c>
      <c r="U3687" s="5" t="e">
        <f t="shared" si="288"/>
        <v>#N/A</v>
      </c>
      <c r="V3687" s="23" t="e">
        <f t="shared" si="289"/>
        <v>#N/A</v>
      </c>
    </row>
    <row r="3688" spans="2:22" x14ac:dyDescent="0.25">
      <c r="B3688" s="16">
        <v>1</v>
      </c>
      <c r="C3688" s="7">
        <v>0</v>
      </c>
      <c r="D3688" s="8">
        <v>1</v>
      </c>
      <c r="E3688" s="8">
        <v>0</v>
      </c>
      <c r="F3688" s="8">
        <v>0</v>
      </c>
      <c r="G3688" s="8">
        <v>1</v>
      </c>
      <c r="H3688" s="8">
        <v>1</v>
      </c>
      <c r="I3688" s="8">
        <v>0</v>
      </c>
      <c r="J3688" s="8">
        <v>0</v>
      </c>
      <c r="K3688" s="9">
        <v>1</v>
      </c>
      <c r="L3688" s="10">
        <v>1</v>
      </c>
      <c r="M3688" s="6">
        <v>1</v>
      </c>
      <c r="N3688" s="37" t="e" cm="1">
        <f t="array" ref="N3688">IF(OR(ISNUMBER(FIND(Aux!$D$3:$D$9,_xlfn.TEXTJOIN(,,C3688:K3688)))),NA(),IF(AND(SUM(C3688:F3688,H3688:K3688)=0,G3688=1),0,INT((SUMPRODUCT(C3688:F3688,COLUMN($A$1:$D$1)-1)+SUMPRODUCT(H3688:K3688,COLUMN($E$1:$H$1)-1))*'Line Follower'!$C$3/SUM(C3688:F3688,H3688:K3688)-'Line Follower'!$C$5)))</f>
        <v>#N/A</v>
      </c>
      <c r="O3688" s="22" t="e">
        <v>#N/A</v>
      </c>
      <c r="P3688" s="4" t="e">
        <f t="shared" si="285"/>
        <v>#N/A</v>
      </c>
      <c r="Q3688" s="4" t="e">
        <f t="shared" si="286"/>
        <v>#N/A</v>
      </c>
      <c r="R3688" s="4" t="e">
        <f>IF(AND(B3688=1,N3688&gt;'Line Follower'!$C$7,SUM(C3688:K3688)&lt;4),1,0)</f>
        <v>#N/A</v>
      </c>
      <c r="S3688" s="4" t="e">
        <f>IF(AND(L3688=1,N3688&lt;'Line Follower'!$C$6,SUM(C3688:K3688)&lt;4),1,0)</f>
        <v>#N/A</v>
      </c>
      <c r="T3688" s="4" t="e">
        <f t="shared" si="287"/>
        <v>#N/A</v>
      </c>
      <c r="U3688" s="5" t="e">
        <f t="shared" si="288"/>
        <v>#N/A</v>
      </c>
      <c r="V3688" s="23" t="e">
        <f t="shared" si="289"/>
        <v>#N/A</v>
      </c>
    </row>
    <row r="3689" spans="2:22" x14ac:dyDescent="0.25">
      <c r="B3689" s="16">
        <v>0</v>
      </c>
      <c r="C3689" s="7">
        <v>1</v>
      </c>
      <c r="D3689" s="8">
        <v>1</v>
      </c>
      <c r="E3689" s="8">
        <v>0</v>
      </c>
      <c r="F3689" s="8">
        <v>0</v>
      </c>
      <c r="G3689" s="8">
        <v>1</v>
      </c>
      <c r="H3689" s="8">
        <v>1</v>
      </c>
      <c r="I3689" s="8">
        <v>0</v>
      </c>
      <c r="J3689" s="8">
        <v>0</v>
      </c>
      <c r="K3689" s="9">
        <v>1</v>
      </c>
      <c r="L3689" s="10">
        <v>1</v>
      </c>
      <c r="M3689" s="6">
        <v>1</v>
      </c>
      <c r="N3689" s="37" t="e" cm="1">
        <f t="array" ref="N3689">IF(OR(ISNUMBER(FIND(Aux!$D$3:$D$9,_xlfn.TEXTJOIN(,,C3689:K3689)))),NA(),IF(AND(SUM(C3689:F3689,H3689:K3689)=0,G3689=1),0,INT((SUMPRODUCT(C3689:F3689,COLUMN($A$1:$D$1)-1)+SUMPRODUCT(H3689:K3689,COLUMN($E$1:$H$1)-1))*'Line Follower'!$C$3/SUM(C3689:F3689,H3689:K3689)-'Line Follower'!$C$5)))</f>
        <v>#N/A</v>
      </c>
      <c r="O3689" s="22" t="e">
        <v>#N/A</v>
      </c>
      <c r="P3689" s="4" t="e">
        <f t="shared" si="285"/>
        <v>#N/A</v>
      </c>
      <c r="Q3689" s="4" t="e">
        <f t="shared" si="286"/>
        <v>#N/A</v>
      </c>
      <c r="R3689" s="4" t="e">
        <f>IF(AND(B3689=1,N3689&gt;'Line Follower'!$C$7,SUM(C3689:K3689)&lt;4),1,0)</f>
        <v>#N/A</v>
      </c>
      <c r="S3689" s="4" t="e">
        <f>IF(AND(L3689=1,N3689&lt;'Line Follower'!$C$6,SUM(C3689:K3689)&lt;4),1,0)</f>
        <v>#N/A</v>
      </c>
      <c r="T3689" s="4" t="e">
        <f t="shared" si="287"/>
        <v>#N/A</v>
      </c>
      <c r="U3689" s="5" t="e">
        <f t="shared" si="288"/>
        <v>#N/A</v>
      </c>
      <c r="V3689" s="23" t="e">
        <f t="shared" si="289"/>
        <v>#N/A</v>
      </c>
    </row>
    <row r="3690" spans="2:22" x14ac:dyDescent="0.25">
      <c r="B3690" s="16">
        <v>1</v>
      </c>
      <c r="C3690" s="7">
        <v>1</v>
      </c>
      <c r="D3690" s="8">
        <v>1</v>
      </c>
      <c r="E3690" s="8">
        <v>0</v>
      </c>
      <c r="F3690" s="8">
        <v>0</v>
      </c>
      <c r="G3690" s="8">
        <v>1</v>
      </c>
      <c r="H3690" s="8">
        <v>1</v>
      </c>
      <c r="I3690" s="8">
        <v>0</v>
      </c>
      <c r="J3690" s="8">
        <v>0</v>
      </c>
      <c r="K3690" s="9">
        <v>1</v>
      </c>
      <c r="L3690" s="10">
        <v>1</v>
      </c>
      <c r="M3690" s="6">
        <v>1</v>
      </c>
      <c r="N3690" s="37" t="e" cm="1">
        <f t="array" ref="N3690">IF(OR(ISNUMBER(FIND(Aux!$D$3:$D$9,_xlfn.TEXTJOIN(,,C3690:K3690)))),NA(),IF(AND(SUM(C3690:F3690,H3690:K3690)=0,G3690=1),0,INT((SUMPRODUCT(C3690:F3690,COLUMN($A$1:$D$1)-1)+SUMPRODUCT(H3690:K3690,COLUMN($E$1:$H$1)-1))*'Line Follower'!$C$3/SUM(C3690:F3690,H3690:K3690)-'Line Follower'!$C$5)))</f>
        <v>#N/A</v>
      </c>
      <c r="O3690" s="22" t="e">
        <v>#N/A</v>
      </c>
      <c r="P3690" s="4" t="e">
        <f t="shared" si="285"/>
        <v>#N/A</v>
      </c>
      <c r="Q3690" s="4" t="e">
        <f t="shared" si="286"/>
        <v>#N/A</v>
      </c>
      <c r="R3690" s="4" t="e">
        <f>IF(AND(B3690=1,N3690&gt;'Line Follower'!$C$7,SUM(C3690:K3690)&lt;4),1,0)</f>
        <v>#N/A</v>
      </c>
      <c r="S3690" s="4" t="e">
        <f>IF(AND(L3690=1,N3690&lt;'Line Follower'!$C$6,SUM(C3690:K3690)&lt;4),1,0)</f>
        <v>#N/A</v>
      </c>
      <c r="T3690" s="4" t="e">
        <f t="shared" si="287"/>
        <v>#N/A</v>
      </c>
      <c r="U3690" s="5" t="e">
        <f t="shared" si="288"/>
        <v>#N/A</v>
      </c>
      <c r="V3690" s="23" t="e">
        <f t="shared" si="289"/>
        <v>#N/A</v>
      </c>
    </row>
    <row r="3691" spans="2:22" x14ac:dyDescent="0.25">
      <c r="B3691" s="16">
        <v>0</v>
      </c>
      <c r="C3691" s="7">
        <v>0</v>
      </c>
      <c r="D3691" s="8">
        <v>0</v>
      </c>
      <c r="E3691" s="8">
        <v>1</v>
      </c>
      <c r="F3691" s="8">
        <v>0</v>
      </c>
      <c r="G3691" s="8">
        <v>1</v>
      </c>
      <c r="H3691" s="8">
        <v>1</v>
      </c>
      <c r="I3691" s="8">
        <v>0</v>
      </c>
      <c r="J3691" s="8">
        <v>0</v>
      </c>
      <c r="K3691" s="9">
        <v>1</v>
      </c>
      <c r="L3691" s="10">
        <v>1</v>
      </c>
      <c r="M3691" s="6">
        <v>1</v>
      </c>
      <c r="N3691" s="37" t="e" cm="1">
        <f t="array" ref="N3691">IF(OR(ISNUMBER(FIND(Aux!$D$3:$D$9,_xlfn.TEXTJOIN(,,C3691:K3691)))),NA(),IF(AND(SUM(C3691:F3691,H3691:K3691)=0,G3691=1),0,INT((SUMPRODUCT(C3691:F3691,COLUMN($A$1:$D$1)-1)+SUMPRODUCT(H3691:K3691,COLUMN($E$1:$H$1)-1))*'Line Follower'!$C$3/SUM(C3691:F3691,H3691:K3691)-'Line Follower'!$C$5)))</f>
        <v>#N/A</v>
      </c>
      <c r="O3691" s="22" t="e">
        <v>#N/A</v>
      </c>
      <c r="P3691" s="4" t="e">
        <f t="shared" si="285"/>
        <v>#N/A</v>
      </c>
      <c r="Q3691" s="4" t="e">
        <f t="shared" si="286"/>
        <v>#N/A</v>
      </c>
      <c r="R3691" s="4" t="e">
        <f>IF(AND(B3691=1,N3691&gt;'Line Follower'!$C$7,SUM(C3691:K3691)&lt;4),1,0)</f>
        <v>#N/A</v>
      </c>
      <c r="S3691" s="4" t="e">
        <f>IF(AND(L3691=1,N3691&lt;'Line Follower'!$C$6,SUM(C3691:K3691)&lt;4),1,0)</f>
        <v>#N/A</v>
      </c>
      <c r="T3691" s="4" t="e">
        <f t="shared" si="287"/>
        <v>#N/A</v>
      </c>
      <c r="U3691" s="5" t="e">
        <f t="shared" si="288"/>
        <v>#N/A</v>
      </c>
      <c r="V3691" s="23" t="e">
        <f t="shared" si="289"/>
        <v>#N/A</v>
      </c>
    </row>
    <row r="3692" spans="2:22" x14ac:dyDescent="0.25">
      <c r="B3692" s="16">
        <v>1</v>
      </c>
      <c r="C3692" s="7">
        <v>0</v>
      </c>
      <c r="D3692" s="8">
        <v>0</v>
      </c>
      <c r="E3692" s="8">
        <v>1</v>
      </c>
      <c r="F3692" s="8">
        <v>0</v>
      </c>
      <c r="G3692" s="8">
        <v>1</v>
      </c>
      <c r="H3692" s="8">
        <v>1</v>
      </c>
      <c r="I3692" s="8">
        <v>0</v>
      </c>
      <c r="J3692" s="8">
        <v>0</v>
      </c>
      <c r="K3692" s="9">
        <v>1</v>
      </c>
      <c r="L3692" s="10">
        <v>1</v>
      </c>
      <c r="M3692" s="6">
        <v>1</v>
      </c>
      <c r="N3692" s="37" t="e" cm="1">
        <f t="array" ref="N3692">IF(OR(ISNUMBER(FIND(Aux!$D$3:$D$9,_xlfn.TEXTJOIN(,,C3692:K3692)))),NA(),IF(AND(SUM(C3692:F3692,H3692:K3692)=0,G3692=1),0,INT((SUMPRODUCT(C3692:F3692,COLUMN($A$1:$D$1)-1)+SUMPRODUCT(H3692:K3692,COLUMN($E$1:$H$1)-1))*'Line Follower'!$C$3/SUM(C3692:F3692,H3692:K3692)-'Line Follower'!$C$5)))</f>
        <v>#N/A</v>
      </c>
      <c r="O3692" s="22" t="e">
        <v>#N/A</v>
      </c>
      <c r="P3692" s="4" t="e">
        <f t="shared" si="285"/>
        <v>#N/A</v>
      </c>
      <c r="Q3692" s="4" t="e">
        <f t="shared" si="286"/>
        <v>#N/A</v>
      </c>
      <c r="R3692" s="4" t="e">
        <f>IF(AND(B3692=1,N3692&gt;'Line Follower'!$C$7,SUM(C3692:K3692)&lt;4),1,0)</f>
        <v>#N/A</v>
      </c>
      <c r="S3692" s="4" t="e">
        <f>IF(AND(L3692=1,N3692&lt;'Line Follower'!$C$6,SUM(C3692:K3692)&lt;4),1,0)</f>
        <v>#N/A</v>
      </c>
      <c r="T3692" s="4" t="e">
        <f t="shared" si="287"/>
        <v>#N/A</v>
      </c>
      <c r="U3692" s="5" t="e">
        <f t="shared" si="288"/>
        <v>#N/A</v>
      </c>
      <c r="V3692" s="23" t="e">
        <f t="shared" si="289"/>
        <v>#N/A</v>
      </c>
    </row>
    <row r="3693" spans="2:22" x14ac:dyDescent="0.25">
      <c r="B3693" s="16">
        <v>0</v>
      </c>
      <c r="C3693" s="7">
        <v>1</v>
      </c>
      <c r="D3693" s="8">
        <v>0</v>
      </c>
      <c r="E3693" s="8">
        <v>1</v>
      </c>
      <c r="F3693" s="8">
        <v>0</v>
      </c>
      <c r="G3693" s="8">
        <v>1</v>
      </c>
      <c r="H3693" s="8">
        <v>1</v>
      </c>
      <c r="I3693" s="8">
        <v>0</v>
      </c>
      <c r="J3693" s="8">
        <v>0</v>
      </c>
      <c r="K3693" s="9">
        <v>1</v>
      </c>
      <c r="L3693" s="10">
        <v>1</v>
      </c>
      <c r="M3693" s="6">
        <v>1</v>
      </c>
      <c r="N3693" s="37" t="e" cm="1">
        <f t="array" ref="N3693">IF(OR(ISNUMBER(FIND(Aux!$D$3:$D$9,_xlfn.TEXTJOIN(,,C3693:K3693)))),NA(),IF(AND(SUM(C3693:F3693,H3693:K3693)=0,G3693=1),0,INT((SUMPRODUCT(C3693:F3693,COLUMN($A$1:$D$1)-1)+SUMPRODUCT(H3693:K3693,COLUMN($E$1:$H$1)-1))*'Line Follower'!$C$3/SUM(C3693:F3693,H3693:K3693)-'Line Follower'!$C$5)))</f>
        <v>#N/A</v>
      </c>
      <c r="O3693" s="22" t="e">
        <v>#N/A</v>
      </c>
      <c r="P3693" s="4" t="e">
        <f t="shared" si="285"/>
        <v>#N/A</v>
      </c>
      <c r="Q3693" s="4" t="e">
        <f t="shared" si="286"/>
        <v>#N/A</v>
      </c>
      <c r="R3693" s="4" t="e">
        <f>IF(AND(B3693=1,N3693&gt;'Line Follower'!$C$7,SUM(C3693:K3693)&lt;4),1,0)</f>
        <v>#N/A</v>
      </c>
      <c r="S3693" s="4" t="e">
        <f>IF(AND(L3693=1,N3693&lt;'Line Follower'!$C$6,SUM(C3693:K3693)&lt;4),1,0)</f>
        <v>#N/A</v>
      </c>
      <c r="T3693" s="4" t="e">
        <f t="shared" si="287"/>
        <v>#N/A</v>
      </c>
      <c r="U3693" s="5" t="e">
        <f t="shared" si="288"/>
        <v>#N/A</v>
      </c>
      <c r="V3693" s="23" t="e">
        <f t="shared" si="289"/>
        <v>#N/A</v>
      </c>
    </row>
    <row r="3694" spans="2:22" x14ac:dyDescent="0.25">
      <c r="B3694" s="16">
        <v>1</v>
      </c>
      <c r="C3694" s="7">
        <v>1</v>
      </c>
      <c r="D3694" s="8">
        <v>0</v>
      </c>
      <c r="E3694" s="8">
        <v>1</v>
      </c>
      <c r="F3694" s="8">
        <v>0</v>
      </c>
      <c r="G3694" s="8">
        <v>1</v>
      </c>
      <c r="H3694" s="8">
        <v>1</v>
      </c>
      <c r="I3694" s="8">
        <v>0</v>
      </c>
      <c r="J3694" s="8">
        <v>0</v>
      </c>
      <c r="K3694" s="9">
        <v>1</v>
      </c>
      <c r="L3694" s="10">
        <v>1</v>
      </c>
      <c r="M3694" s="6">
        <v>1</v>
      </c>
      <c r="N3694" s="37" t="e" cm="1">
        <f t="array" ref="N3694">IF(OR(ISNUMBER(FIND(Aux!$D$3:$D$9,_xlfn.TEXTJOIN(,,C3694:K3694)))),NA(),IF(AND(SUM(C3694:F3694,H3694:K3694)=0,G3694=1),0,INT((SUMPRODUCT(C3694:F3694,COLUMN($A$1:$D$1)-1)+SUMPRODUCT(H3694:K3694,COLUMN($E$1:$H$1)-1))*'Line Follower'!$C$3/SUM(C3694:F3694,H3694:K3694)-'Line Follower'!$C$5)))</f>
        <v>#N/A</v>
      </c>
      <c r="O3694" s="22" t="e">
        <v>#N/A</v>
      </c>
      <c r="P3694" s="4" t="e">
        <f t="shared" si="285"/>
        <v>#N/A</v>
      </c>
      <c r="Q3694" s="4" t="e">
        <f t="shared" si="286"/>
        <v>#N/A</v>
      </c>
      <c r="R3694" s="4" t="e">
        <f>IF(AND(B3694=1,N3694&gt;'Line Follower'!$C$7,SUM(C3694:K3694)&lt;4),1,0)</f>
        <v>#N/A</v>
      </c>
      <c r="S3694" s="4" t="e">
        <f>IF(AND(L3694=1,N3694&lt;'Line Follower'!$C$6,SUM(C3694:K3694)&lt;4),1,0)</f>
        <v>#N/A</v>
      </c>
      <c r="T3694" s="4" t="e">
        <f t="shared" si="287"/>
        <v>#N/A</v>
      </c>
      <c r="U3694" s="5" t="e">
        <f t="shared" si="288"/>
        <v>#N/A</v>
      </c>
      <c r="V3694" s="23" t="e">
        <f t="shared" si="289"/>
        <v>#N/A</v>
      </c>
    </row>
    <row r="3695" spans="2:22" x14ac:dyDescent="0.25">
      <c r="B3695" s="16">
        <v>0</v>
      </c>
      <c r="C3695" s="7">
        <v>0</v>
      </c>
      <c r="D3695" s="8">
        <v>1</v>
      </c>
      <c r="E3695" s="8">
        <v>1</v>
      </c>
      <c r="F3695" s="8">
        <v>0</v>
      </c>
      <c r="G3695" s="8">
        <v>1</v>
      </c>
      <c r="H3695" s="8">
        <v>1</v>
      </c>
      <c r="I3695" s="8">
        <v>0</v>
      </c>
      <c r="J3695" s="8">
        <v>0</v>
      </c>
      <c r="K3695" s="9">
        <v>1</v>
      </c>
      <c r="L3695" s="10">
        <v>1</v>
      </c>
      <c r="M3695" s="6">
        <v>1</v>
      </c>
      <c r="N3695" s="37" t="e" cm="1">
        <f t="array" ref="N3695">IF(OR(ISNUMBER(FIND(Aux!$D$3:$D$9,_xlfn.TEXTJOIN(,,C3695:K3695)))),NA(),IF(AND(SUM(C3695:F3695,H3695:K3695)=0,G3695=1),0,INT((SUMPRODUCT(C3695:F3695,COLUMN($A$1:$D$1)-1)+SUMPRODUCT(H3695:K3695,COLUMN($E$1:$H$1)-1))*'Line Follower'!$C$3/SUM(C3695:F3695,H3695:K3695)-'Line Follower'!$C$5)))</f>
        <v>#N/A</v>
      </c>
      <c r="O3695" s="22" t="e">
        <v>#N/A</v>
      </c>
      <c r="P3695" s="4" t="e">
        <f t="shared" si="285"/>
        <v>#N/A</v>
      </c>
      <c r="Q3695" s="4" t="e">
        <f t="shared" si="286"/>
        <v>#N/A</v>
      </c>
      <c r="R3695" s="4" t="e">
        <f>IF(AND(B3695=1,N3695&gt;'Line Follower'!$C$7,SUM(C3695:K3695)&lt;4),1,0)</f>
        <v>#N/A</v>
      </c>
      <c r="S3695" s="4" t="e">
        <f>IF(AND(L3695=1,N3695&lt;'Line Follower'!$C$6,SUM(C3695:K3695)&lt;4),1,0)</f>
        <v>#N/A</v>
      </c>
      <c r="T3695" s="4" t="e">
        <f t="shared" si="287"/>
        <v>#N/A</v>
      </c>
      <c r="U3695" s="5" t="e">
        <f t="shared" si="288"/>
        <v>#N/A</v>
      </c>
      <c r="V3695" s="23" t="e">
        <f t="shared" si="289"/>
        <v>#N/A</v>
      </c>
    </row>
    <row r="3696" spans="2:22" x14ac:dyDescent="0.25">
      <c r="B3696" s="16">
        <v>1</v>
      </c>
      <c r="C3696" s="7">
        <v>0</v>
      </c>
      <c r="D3696" s="8">
        <v>1</v>
      </c>
      <c r="E3696" s="8">
        <v>1</v>
      </c>
      <c r="F3696" s="8">
        <v>0</v>
      </c>
      <c r="G3696" s="8">
        <v>1</v>
      </c>
      <c r="H3696" s="8">
        <v>1</v>
      </c>
      <c r="I3696" s="8">
        <v>0</v>
      </c>
      <c r="J3696" s="8">
        <v>0</v>
      </c>
      <c r="K3696" s="9">
        <v>1</v>
      </c>
      <c r="L3696" s="10">
        <v>1</v>
      </c>
      <c r="M3696" s="6">
        <v>1</v>
      </c>
      <c r="N3696" s="37" t="e" cm="1">
        <f t="array" ref="N3696">IF(OR(ISNUMBER(FIND(Aux!$D$3:$D$9,_xlfn.TEXTJOIN(,,C3696:K3696)))),NA(),IF(AND(SUM(C3696:F3696,H3696:K3696)=0,G3696=1),0,INT((SUMPRODUCT(C3696:F3696,COLUMN($A$1:$D$1)-1)+SUMPRODUCT(H3696:K3696,COLUMN($E$1:$H$1)-1))*'Line Follower'!$C$3/SUM(C3696:F3696,H3696:K3696)-'Line Follower'!$C$5)))</f>
        <v>#N/A</v>
      </c>
      <c r="O3696" s="22" t="e">
        <v>#N/A</v>
      </c>
      <c r="P3696" s="4" t="e">
        <f t="shared" si="285"/>
        <v>#N/A</v>
      </c>
      <c r="Q3696" s="4" t="e">
        <f t="shared" si="286"/>
        <v>#N/A</v>
      </c>
      <c r="R3696" s="4" t="e">
        <f>IF(AND(B3696=1,N3696&gt;'Line Follower'!$C$7,SUM(C3696:K3696)&lt;4),1,0)</f>
        <v>#N/A</v>
      </c>
      <c r="S3696" s="4" t="e">
        <f>IF(AND(L3696=1,N3696&lt;'Line Follower'!$C$6,SUM(C3696:K3696)&lt;4),1,0)</f>
        <v>#N/A</v>
      </c>
      <c r="T3696" s="4" t="e">
        <f t="shared" si="287"/>
        <v>#N/A</v>
      </c>
      <c r="U3696" s="5" t="e">
        <f t="shared" si="288"/>
        <v>#N/A</v>
      </c>
      <c r="V3696" s="23" t="e">
        <f t="shared" si="289"/>
        <v>#N/A</v>
      </c>
    </row>
    <row r="3697" spans="2:22" x14ac:dyDescent="0.25">
      <c r="B3697" s="16">
        <v>0</v>
      </c>
      <c r="C3697" s="7">
        <v>1</v>
      </c>
      <c r="D3697" s="8">
        <v>1</v>
      </c>
      <c r="E3697" s="8">
        <v>1</v>
      </c>
      <c r="F3697" s="8">
        <v>0</v>
      </c>
      <c r="G3697" s="8">
        <v>1</v>
      </c>
      <c r="H3697" s="8">
        <v>1</v>
      </c>
      <c r="I3697" s="8">
        <v>0</v>
      </c>
      <c r="J3697" s="8">
        <v>0</v>
      </c>
      <c r="K3697" s="9">
        <v>1</v>
      </c>
      <c r="L3697" s="10">
        <v>1</v>
      </c>
      <c r="M3697" s="6">
        <v>1</v>
      </c>
      <c r="N3697" s="37" t="e" cm="1">
        <f t="array" ref="N3697">IF(OR(ISNUMBER(FIND(Aux!$D$3:$D$9,_xlfn.TEXTJOIN(,,C3697:K3697)))),NA(),IF(AND(SUM(C3697:F3697,H3697:K3697)=0,G3697=1),0,INT((SUMPRODUCT(C3697:F3697,COLUMN($A$1:$D$1)-1)+SUMPRODUCT(H3697:K3697,COLUMN($E$1:$H$1)-1))*'Line Follower'!$C$3/SUM(C3697:F3697,H3697:K3697)-'Line Follower'!$C$5)))</f>
        <v>#N/A</v>
      </c>
      <c r="O3697" s="22" t="e">
        <v>#N/A</v>
      </c>
      <c r="P3697" s="4" t="e">
        <f t="shared" si="285"/>
        <v>#N/A</v>
      </c>
      <c r="Q3697" s="4" t="e">
        <f t="shared" si="286"/>
        <v>#N/A</v>
      </c>
      <c r="R3697" s="4" t="e">
        <f>IF(AND(B3697=1,N3697&gt;'Line Follower'!$C$7,SUM(C3697:K3697)&lt;4),1,0)</f>
        <v>#N/A</v>
      </c>
      <c r="S3697" s="4" t="e">
        <f>IF(AND(L3697=1,N3697&lt;'Line Follower'!$C$6,SUM(C3697:K3697)&lt;4),1,0)</f>
        <v>#N/A</v>
      </c>
      <c r="T3697" s="4" t="e">
        <f t="shared" si="287"/>
        <v>#N/A</v>
      </c>
      <c r="U3697" s="5" t="e">
        <f t="shared" si="288"/>
        <v>#N/A</v>
      </c>
      <c r="V3697" s="23" t="e">
        <f t="shared" si="289"/>
        <v>#N/A</v>
      </c>
    </row>
    <row r="3698" spans="2:22" x14ac:dyDescent="0.25">
      <c r="B3698" s="16">
        <v>1</v>
      </c>
      <c r="C3698" s="7">
        <v>1</v>
      </c>
      <c r="D3698" s="8">
        <v>1</v>
      </c>
      <c r="E3698" s="8">
        <v>1</v>
      </c>
      <c r="F3698" s="8">
        <v>0</v>
      </c>
      <c r="G3698" s="8">
        <v>1</v>
      </c>
      <c r="H3698" s="8">
        <v>1</v>
      </c>
      <c r="I3698" s="8">
        <v>0</v>
      </c>
      <c r="J3698" s="8">
        <v>0</v>
      </c>
      <c r="K3698" s="9">
        <v>1</v>
      </c>
      <c r="L3698" s="10">
        <v>1</v>
      </c>
      <c r="M3698" s="6">
        <v>1</v>
      </c>
      <c r="N3698" s="37" t="e" cm="1">
        <f t="array" ref="N3698">IF(OR(ISNUMBER(FIND(Aux!$D$3:$D$9,_xlfn.TEXTJOIN(,,C3698:K3698)))),NA(),IF(AND(SUM(C3698:F3698,H3698:K3698)=0,G3698=1),0,INT((SUMPRODUCT(C3698:F3698,COLUMN($A$1:$D$1)-1)+SUMPRODUCT(H3698:K3698,COLUMN($E$1:$H$1)-1))*'Line Follower'!$C$3/SUM(C3698:F3698,H3698:K3698)-'Line Follower'!$C$5)))</f>
        <v>#N/A</v>
      </c>
      <c r="O3698" s="22" t="e">
        <v>#N/A</v>
      </c>
      <c r="P3698" s="4" t="e">
        <f t="shared" si="285"/>
        <v>#N/A</v>
      </c>
      <c r="Q3698" s="4" t="e">
        <f t="shared" si="286"/>
        <v>#N/A</v>
      </c>
      <c r="R3698" s="4" t="e">
        <f>IF(AND(B3698=1,N3698&gt;'Line Follower'!$C$7,SUM(C3698:K3698)&lt;4),1,0)</f>
        <v>#N/A</v>
      </c>
      <c r="S3698" s="4" t="e">
        <f>IF(AND(L3698=1,N3698&lt;'Line Follower'!$C$6,SUM(C3698:K3698)&lt;4),1,0)</f>
        <v>#N/A</v>
      </c>
      <c r="T3698" s="4" t="e">
        <f t="shared" si="287"/>
        <v>#N/A</v>
      </c>
      <c r="U3698" s="5" t="e">
        <f t="shared" si="288"/>
        <v>#N/A</v>
      </c>
      <c r="V3698" s="23" t="e">
        <f t="shared" si="289"/>
        <v>#N/A</v>
      </c>
    </row>
    <row r="3699" spans="2:22" x14ac:dyDescent="0.25">
      <c r="B3699" s="16">
        <v>0</v>
      </c>
      <c r="C3699" s="7">
        <v>0</v>
      </c>
      <c r="D3699" s="8">
        <v>0</v>
      </c>
      <c r="E3699" s="8">
        <v>0</v>
      </c>
      <c r="F3699" s="8">
        <v>1</v>
      </c>
      <c r="G3699" s="8">
        <v>1</v>
      </c>
      <c r="H3699" s="8">
        <v>1</v>
      </c>
      <c r="I3699" s="8">
        <v>0</v>
      </c>
      <c r="J3699" s="8">
        <v>0</v>
      </c>
      <c r="K3699" s="9">
        <v>1</v>
      </c>
      <c r="L3699" s="10">
        <v>1</v>
      </c>
      <c r="M3699" s="6">
        <v>1</v>
      </c>
      <c r="N3699" s="37" t="e" cm="1">
        <f t="array" ref="N3699">IF(OR(ISNUMBER(FIND(Aux!$D$3:$D$9,_xlfn.TEXTJOIN(,,C3699:K3699)))),NA(),IF(AND(SUM(C3699:F3699,H3699:K3699)=0,G3699=1),0,INT((SUMPRODUCT(C3699:F3699,COLUMN($A$1:$D$1)-1)+SUMPRODUCT(H3699:K3699,COLUMN($E$1:$H$1)-1))*'Line Follower'!$C$3/SUM(C3699:F3699,H3699:K3699)-'Line Follower'!$C$5)))</f>
        <v>#N/A</v>
      </c>
      <c r="O3699" s="22" t="e">
        <v>#N/A</v>
      </c>
      <c r="P3699" s="4" t="e">
        <f t="shared" si="285"/>
        <v>#N/A</v>
      </c>
      <c r="Q3699" s="4" t="e">
        <f t="shared" si="286"/>
        <v>#N/A</v>
      </c>
      <c r="R3699" s="4" t="e">
        <f>IF(AND(B3699=1,N3699&gt;'Line Follower'!$C$7,SUM(C3699:K3699)&lt;4),1,0)</f>
        <v>#N/A</v>
      </c>
      <c r="S3699" s="4" t="e">
        <f>IF(AND(L3699=1,N3699&lt;'Line Follower'!$C$6,SUM(C3699:K3699)&lt;4),1,0)</f>
        <v>#N/A</v>
      </c>
      <c r="T3699" s="4" t="e">
        <f t="shared" si="287"/>
        <v>#N/A</v>
      </c>
      <c r="U3699" s="5" t="e">
        <f t="shared" si="288"/>
        <v>#N/A</v>
      </c>
      <c r="V3699" s="23" t="e">
        <f t="shared" si="289"/>
        <v>#N/A</v>
      </c>
    </row>
    <row r="3700" spans="2:22" x14ac:dyDescent="0.25">
      <c r="B3700" s="16">
        <v>1</v>
      </c>
      <c r="C3700" s="7">
        <v>0</v>
      </c>
      <c r="D3700" s="8">
        <v>0</v>
      </c>
      <c r="E3700" s="8">
        <v>0</v>
      </c>
      <c r="F3700" s="8">
        <v>1</v>
      </c>
      <c r="G3700" s="8">
        <v>1</v>
      </c>
      <c r="H3700" s="8">
        <v>1</v>
      </c>
      <c r="I3700" s="8">
        <v>0</v>
      </c>
      <c r="J3700" s="8">
        <v>0</v>
      </c>
      <c r="K3700" s="9">
        <v>1</v>
      </c>
      <c r="L3700" s="10">
        <v>1</v>
      </c>
      <c r="M3700" s="6">
        <v>1</v>
      </c>
      <c r="N3700" s="37" t="e" cm="1">
        <f t="array" ref="N3700">IF(OR(ISNUMBER(FIND(Aux!$D$3:$D$9,_xlfn.TEXTJOIN(,,C3700:K3700)))),NA(),IF(AND(SUM(C3700:F3700,H3700:K3700)=0,G3700=1),0,INT((SUMPRODUCT(C3700:F3700,COLUMN($A$1:$D$1)-1)+SUMPRODUCT(H3700:K3700,COLUMN($E$1:$H$1)-1))*'Line Follower'!$C$3/SUM(C3700:F3700,H3700:K3700)-'Line Follower'!$C$5)))</f>
        <v>#N/A</v>
      </c>
      <c r="O3700" s="22" t="e">
        <v>#N/A</v>
      </c>
      <c r="P3700" s="4" t="e">
        <f t="shared" si="285"/>
        <v>#N/A</v>
      </c>
      <c r="Q3700" s="4" t="e">
        <f t="shared" si="286"/>
        <v>#N/A</v>
      </c>
      <c r="R3700" s="4" t="e">
        <f>IF(AND(B3700=1,N3700&gt;'Line Follower'!$C$7,SUM(C3700:K3700)&lt;4),1,0)</f>
        <v>#N/A</v>
      </c>
      <c r="S3700" s="4" t="e">
        <f>IF(AND(L3700=1,N3700&lt;'Line Follower'!$C$6,SUM(C3700:K3700)&lt;4),1,0)</f>
        <v>#N/A</v>
      </c>
      <c r="T3700" s="4" t="e">
        <f t="shared" si="287"/>
        <v>#N/A</v>
      </c>
      <c r="U3700" s="5" t="e">
        <f t="shared" si="288"/>
        <v>#N/A</v>
      </c>
      <c r="V3700" s="23" t="e">
        <f t="shared" si="289"/>
        <v>#N/A</v>
      </c>
    </row>
    <row r="3701" spans="2:22" x14ac:dyDescent="0.25">
      <c r="B3701" s="16">
        <v>0</v>
      </c>
      <c r="C3701" s="7">
        <v>1</v>
      </c>
      <c r="D3701" s="8">
        <v>0</v>
      </c>
      <c r="E3701" s="8">
        <v>0</v>
      </c>
      <c r="F3701" s="8">
        <v>1</v>
      </c>
      <c r="G3701" s="8">
        <v>1</v>
      </c>
      <c r="H3701" s="8">
        <v>1</v>
      </c>
      <c r="I3701" s="8">
        <v>0</v>
      </c>
      <c r="J3701" s="8">
        <v>0</v>
      </c>
      <c r="K3701" s="9">
        <v>1</v>
      </c>
      <c r="L3701" s="10">
        <v>1</v>
      </c>
      <c r="M3701" s="6">
        <v>1</v>
      </c>
      <c r="N3701" s="37" t="e" cm="1">
        <f t="array" ref="N3701">IF(OR(ISNUMBER(FIND(Aux!$D$3:$D$9,_xlfn.TEXTJOIN(,,C3701:K3701)))),NA(),IF(AND(SUM(C3701:F3701,H3701:K3701)=0,G3701=1),0,INT((SUMPRODUCT(C3701:F3701,COLUMN($A$1:$D$1)-1)+SUMPRODUCT(H3701:K3701,COLUMN($E$1:$H$1)-1))*'Line Follower'!$C$3/SUM(C3701:F3701,H3701:K3701)-'Line Follower'!$C$5)))</f>
        <v>#N/A</v>
      </c>
      <c r="O3701" s="22" t="e">
        <v>#N/A</v>
      </c>
      <c r="P3701" s="4" t="e">
        <f t="shared" si="285"/>
        <v>#N/A</v>
      </c>
      <c r="Q3701" s="4" t="e">
        <f t="shared" si="286"/>
        <v>#N/A</v>
      </c>
      <c r="R3701" s="4" t="e">
        <f>IF(AND(B3701=1,N3701&gt;'Line Follower'!$C$7,SUM(C3701:K3701)&lt;4),1,0)</f>
        <v>#N/A</v>
      </c>
      <c r="S3701" s="4" t="e">
        <f>IF(AND(L3701=1,N3701&lt;'Line Follower'!$C$6,SUM(C3701:K3701)&lt;4),1,0)</f>
        <v>#N/A</v>
      </c>
      <c r="T3701" s="4" t="e">
        <f t="shared" si="287"/>
        <v>#N/A</v>
      </c>
      <c r="U3701" s="5" t="e">
        <f t="shared" si="288"/>
        <v>#N/A</v>
      </c>
      <c r="V3701" s="23" t="e">
        <f t="shared" si="289"/>
        <v>#N/A</v>
      </c>
    </row>
    <row r="3702" spans="2:22" x14ac:dyDescent="0.25">
      <c r="B3702" s="16">
        <v>1</v>
      </c>
      <c r="C3702" s="7">
        <v>1</v>
      </c>
      <c r="D3702" s="8">
        <v>0</v>
      </c>
      <c r="E3702" s="8">
        <v>0</v>
      </c>
      <c r="F3702" s="8">
        <v>1</v>
      </c>
      <c r="G3702" s="8">
        <v>1</v>
      </c>
      <c r="H3702" s="8">
        <v>1</v>
      </c>
      <c r="I3702" s="8">
        <v>0</v>
      </c>
      <c r="J3702" s="8">
        <v>0</v>
      </c>
      <c r="K3702" s="9">
        <v>1</v>
      </c>
      <c r="L3702" s="10">
        <v>1</v>
      </c>
      <c r="M3702" s="6">
        <v>1</v>
      </c>
      <c r="N3702" s="37" t="e" cm="1">
        <f t="array" ref="N3702">IF(OR(ISNUMBER(FIND(Aux!$D$3:$D$9,_xlfn.TEXTJOIN(,,C3702:K3702)))),NA(),IF(AND(SUM(C3702:F3702,H3702:K3702)=0,G3702=1),0,INT((SUMPRODUCT(C3702:F3702,COLUMN($A$1:$D$1)-1)+SUMPRODUCT(H3702:K3702,COLUMN($E$1:$H$1)-1))*'Line Follower'!$C$3/SUM(C3702:F3702,H3702:K3702)-'Line Follower'!$C$5)))</f>
        <v>#N/A</v>
      </c>
      <c r="O3702" s="22" t="e">
        <v>#N/A</v>
      </c>
      <c r="P3702" s="4" t="e">
        <f t="shared" si="285"/>
        <v>#N/A</v>
      </c>
      <c r="Q3702" s="4" t="e">
        <f t="shared" si="286"/>
        <v>#N/A</v>
      </c>
      <c r="R3702" s="4" t="e">
        <f>IF(AND(B3702=1,N3702&gt;'Line Follower'!$C$7,SUM(C3702:K3702)&lt;4),1,0)</f>
        <v>#N/A</v>
      </c>
      <c r="S3702" s="4" t="e">
        <f>IF(AND(L3702=1,N3702&lt;'Line Follower'!$C$6,SUM(C3702:K3702)&lt;4),1,0)</f>
        <v>#N/A</v>
      </c>
      <c r="T3702" s="4" t="e">
        <f t="shared" si="287"/>
        <v>#N/A</v>
      </c>
      <c r="U3702" s="5" t="e">
        <f t="shared" si="288"/>
        <v>#N/A</v>
      </c>
      <c r="V3702" s="23" t="e">
        <f t="shared" si="289"/>
        <v>#N/A</v>
      </c>
    </row>
    <row r="3703" spans="2:22" x14ac:dyDescent="0.25">
      <c r="B3703" s="16">
        <v>0</v>
      </c>
      <c r="C3703" s="7">
        <v>0</v>
      </c>
      <c r="D3703" s="8">
        <v>1</v>
      </c>
      <c r="E3703" s="8">
        <v>0</v>
      </c>
      <c r="F3703" s="8">
        <v>1</v>
      </c>
      <c r="G3703" s="8">
        <v>1</v>
      </c>
      <c r="H3703" s="8">
        <v>1</v>
      </c>
      <c r="I3703" s="8">
        <v>0</v>
      </c>
      <c r="J3703" s="8">
        <v>0</v>
      </c>
      <c r="K3703" s="9">
        <v>1</v>
      </c>
      <c r="L3703" s="10">
        <v>1</v>
      </c>
      <c r="M3703" s="6">
        <v>1</v>
      </c>
      <c r="N3703" s="37" t="e" cm="1">
        <f t="array" ref="N3703">IF(OR(ISNUMBER(FIND(Aux!$D$3:$D$9,_xlfn.TEXTJOIN(,,C3703:K3703)))),NA(),IF(AND(SUM(C3703:F3703,H3703:K3703)=0,G3703=1),0,INT((SUMPRODUCT(C3703:F3703,COLUMN($A$1:$D$1)-1)+SUMPRODUCT(H3703:K3703,COLUMN($E$1:$H$1)-1))*'Line Follower'!$C$3/SUM(C3703:F3703,H3703:K3703)-'Line Follower'!$C$5)))</f>
        <v>#N/A</v>
      </c>
      <c r="O3703" s="22" t="e">
        <v>#N/A</v>
      </c>
      <c r="P3703" s="4" t="e">
        <f t="shared" si="285"/>
        <v>#N/A</v>
      </c>
      <c r="Q3703" s="4" t="e">
        <f t="shared" si="286"/>
        <v>#N/A</v>
      </c>
      <c r="R3703" s="4" t="e">
        <f>IF(AND(B3703=1,N3703&gt;'Line Follower'!$C$7,SUM(C3703:K3703)&lt;4),1,0)</f>
        <v>#N/A</v>
      </c>
      <c r="S3703" s="4" t="e">
        <f>IF(AND(L3703=1,N3703&lt;'Line Follower'!$C$6,SUM(C3703:K3703)&lt;4),1,0)</f>
        <v>#N/A</v>
      </c>
      <c r="T3703" s="4" t="e">
        <f t="shared" si="287"/>
        <v>#N/A</v>
      </c>
      <c r="U3703" s="5" t="e">
        <f t="shared" si="288"/>
        <v>#N/A</v>
      </c>
      <c r="V3703" s="23" t="e">
        <f t="shared" si="289"/>
        <v>#N/A</v>
      </c>
    </row>
    <row r="3704" spans="2:22" x14ac:dyDescent="0.25">
      <c r="B3704" s="16">
        <v>1</v>
      </c>
      <c r="C3704" s="7">
        <v>0</v>
      </c>
      <c r="D3704" s="8">
        <v>1</v>
      </c>
      <c r="E3704" s="8">
        <v>0</v>
      </c>
      <c r="F3704" s="8">
        <v>1</v>
      </c>
      <c r="G3704" s="8">
        <v>1</v>
      </c>
      <c r="H3704" s="8">
        <v>1</v>
      </c>
      <c r="I3704" s="8">
        <v>0</v>
      </c>
      <c r="J3704" s="8">
        <v>0</v>
      </c>
      <c r="K3704" s="9">
        <v>1</v>
      </c>
      <c r="L3704" s="10">
        <v>1</v>
      </c>
      <c r="M3704" s="6">
        <v>1</v>
      </c>
      <c r="N3704" s="37" t="e" cm="1">
        <f t="array" ref="N3704">IF(OR(ISNUMBER(FIND(Aux!$D$3:$D$9,_xlfn.TEXTJOIN(,,C3704:K3704)))),NA(),IF(AND(SUM(C3704:F3704,H3704:K3704)=0,G3704=1),0,INT((SUMPRODUCT(C3704:F3704,COLUMN($A$1:$D$1)-1)+SUMPRODUCT(H3704:K3704,COLUMN($E$1:$H$1)-1))*'Line Follower'!$C$3/SUM(C3704:F3704,H3704:K3704)-'Line Follower'!$C$5)))</f>
        <v>#N/A</v>
      </c>
      <c r="O3704" s="22" t="e">
        <v>#N/A</v>
      </c>
      <c r="P3704" s="4" t="e">
        <f t="shared" si="285"/>
        <v>#N/A</v>
      </c>
      <c r="Q3704" s="4" t="e">
        <f t="shared" si="286"/>
        <v>#N/A</v>
      </c>
      <c r="R3704" s="4" t="e">
        <f>IF(AND(B3704=1,N3704&gt;'Line Follower'!$C$7,SUM(C3704:K3704)&lt;4),1,0)</f>
        <v>#N/A</v>
      </c>
      <c r="S3704" s="4" t="e">
        <f>IF(AND(L3704=1,N3704&lt;'Line Follower'!$C$6,SUM(C3704:K3704)&lt;4),1,0)</f>
        <v>#N/A</v>
      </c>
      <c r="T3704" s="4" t="e">
        <f t="shared" si="287"/>
        <v>#N/A</v>
      </c>
      <c r="U3704" s="5" t="e">
        <f t="shared" si="288"/>
        <v>#N/A</v>
      </c>
      <c r="V3704" s="23" t="e">
        <f t="shared" si="289"/>
        <v>#N/A</v>
      </c>
    </row>
    <row r="3705" spans="2:22" x14ac:dyDescent="0.25">
      <c r="B3705" s="16">
        <v>0</v>
      </c>
      <c r="C3705" s="7">
        <v>1</v>
      </c>
      <c r="D3705" s="8">
        <v>1</v>
      </c>
      <c r="E3705" s="8">
        <v>0</v>
      </c>
      <c r="F3705" s="8">
        <v>1</v>
      </c>
      <c r="G3705" s="8">
        <v>1</v>
      </c>
      <c r="H3705" s="8">
        <v>1</v>
      </c>
      <c r="I3705" s="8">
        <v>0</v>
      </c>
      <c r="J3705" s="8">
        <v>0</v>
      </c>
      <c r="K3705" s="9">
        <v>1</v>
      </c>
      <c r="L3705" s="10">
        <v>1</v>
      </c>
      <c r="M3705" s="6">
        <v>1</v>
      </c>
      <c r="N3705" s="37" t="e" cm="1">
        <f t="array" ref="N3705">IF(OR(ISNUMBER(FIND(Aux!$D$3:$D$9,_xlfn.TEXTJOIN(,,C3705:K3705)))),NA(),IF(AND(SUM(C3705:F3705,H3705:K3705)=0,G3705=1),0,INT((SUMPRODUCT(C3705:F3705,COLUMN($A$1:$D$1)-1)+SUMPRODUCT(H3705:K3705,COLUMN($E$1:$H$1)-1))*'Line Follower'!$C$3/SUM(C3705:F3705,H3705:K3705)-'Line Follower'!$C$5)))</f>
        <v>#N/A</v>
      </c>
      <c r="O3705" s="22" t="e">
        <v>#N/A</v>
      </c>
      <c r="P3705" s="4" t="e">
        <f t="shared" si="285"/>
        <v>#N/A</v>
      </c>
      <c r="Q3705" s="4" t="e">
        <f t="shared" si="286"/>
        <v>#N/A</v>
      </c>
      <c r="R3705" s="4" t="e">
        <f>IF(AND(B3705=1,N3705&gt;'Line Follower'!$C$7,SUM(C3705:K3705)&lt;4),1,0)</f>
        <v>#N/A</v>
      </c>
      <c r="S3705" s="4" t="e">
        <f>IF(AND(L3705=1,N3705&lt;'Line Follower'!$C$6,SUM(C3705:K3705)&lt;4),1,0)</f>
        <v>#N/A</v>
      </c>
      <c r="T3705" s="4" t="e">
        <f t="shared" si="287"/>
        <v>#N/A</v>
      </c>
      <c r="U3705" s="5" t="e">
        <f t="shared" si="288"/>
        <v>#N/A</v>
      </c>
      <c r="V3705" s="23" t="e">
        <f t="shared" si="289"/>
        <v>#N/A</v>
      </c>
    </row>
    <row r="3706" spans="2:22" x14ac:dyDescent="0.25">
      <c r="B3706" s="16">
        <v>1</v>
      </c>
      <c r="C3706" s="7">
        <v>1</v>
      </c>
      <c r="D3706" s="8">
        <v>1</v>
      </c>
      <c r="E3706" s="8">
        <v>0</v>
      </c>
      <c r="F3706" s="8">
        <v>1</v>
      </c>
      <c r="G3706" s="8">
        <v>1</v>
      </c>
      <c r="H3706" s="8">
        <v>1</v>
      </c>
      <c r="I3706" s="8">
        <v>0</v>
      </c>
      <c r="J3706" s="8">
        <v>0</v>
      </c>
      <c r="K3706" s="9">
        <v>1</v>
      </c>
      <c r="L3706" s="10">
        <v>1</v>
      </c>
      <c r="M3706" s="6">
        <v>1</v>
      </c>
      <c r="N3706" s="37" t="e" cm="1">
        <f t="array" ref="N3706">IF(OR(ISNUMBER(FIND(Aux!$D$3:$D$9,_xlfn.TEXTJOIN(,,C3706:K3706)))),NA(),IF(AND(SUM(C3706:F3706,H3706:K3706)=0,G3706=1),0,INT((SUMPRODUCT(C3706:F3706,COLUMN($A$1:$D$1)-1)+SUMPRODUCT(H3706:K3706,COLUMN($E$1:$H$1)-1))*'Line Follower'!$C$3/SUM(C3706:F3706,H3706:K3706)-'Line Follower'!$C$5)))</f>
        <v>#N/A</v>
      </c>
      <c r="O3706" s="22" t="e">
        <v>#N/A</v>
      </c>
      <c r="P3706" s="4" t="e">
        <f t="shared" si="285"/>
        <v>#N/A</v>
      </c>
      <c r="Q3706" s="4" t="e">
        <f t="shared" si="286"/>
        <v>#N/A</v>
      </c>
      <c r="R3706" s="4" t="e">
        <f>IF(AND(B3706=1,N3706&gt;'Line Follower'!$C$7,SUM(C3706:K3706)&lt;4),1,0)</f>
        <v>#N/A</v>
      </c>
      <c r="S3706" s="4" t="e">
        <f>IF(AND(L3706=1,N3706&lt;'Line Follower'!$C$6,SUM(C3706:K3706)&lt;4),1,0)</f>
        <v>#N/A</v>
      </c>
      <c r="T3706" s="4" t="e">
        <f t="shared" si="287"/>
        <v>#N/A</v>
      </c>
      <c r="U3706" s="5" t="e">
        <f t="shared" si="288"/>
        <v>#N/A</v>
      </c>
      <c r="V3706" s="23" t="e">
        <f t="shared" si="289"/>
        <v>#N/A</v>
      </c>
    </row>
    <row r="3707" spans="2:22" x14ac:dyDescent="0.25">
      <c r="B3707" s="16">
        <v>0</v>
      </c>
      <c r="C3707" s="7">
        <v>0</v>
      </c>
      <c r="D3707" s="8">
        <v>0</v>
      </c>
      <c r="E3707" s="8">
        <v>1</v>
      </c>
      <c r="F3707" s="8">
        <v>1</v>
      </c>
      <c r="G3707" s="8">
        <v>1</v>
      </c>
      <c r="H3707" s="8">
        <v>1</v>
      </c>
      <c r="I3707" s="8">
        <v>0</v>
      </c>
      <c r="J3707" s="8">
        <v>0</v>
      </c>
      <c r="K3707" s="9">
        <v>1</v>
      </c>
      <c r="L3707" s="10">
        <v>1</v>
      </c>
      <c r="M3707" s="6">
        <v>1</v>
      </c>
      <c r="N3707" s="37" t="e" cm="1">
        <f t="array" ref="N3707">IF(OR(ISNUMBER(FIND(Aux!$D$3:$D$9,_xlfn.TEXTJOIN(,,C3707:K3707)))),NA(),IF(AND(SUM(C3707:F3707,H3707:K3707)=0,G3707=1),0,INT((SUMPRODUCT(C3707:F3707,COLUMN($A$1:$D$1)-1)+SUMPRODUCT(H3707:K3707,COLUMN($E$1:$H$1)-1))*'Line Follower'!$C$3/SUM(C3707:F3707,H3707:K3707)-'Line Follower'!$C$5)))</f>
        <v>#N/A</v>
      </c>
      <c r="O3707" s="22" t="e">
        <v>#N/A</v>
      </c>
      <c r="P3707" s="4" t="e">
        <f t="shared" si="285"/>
        <v>#N/A</v>
      </c>
      <c r="Q3707" s="4" t="e">
        <f t="shared" si="286"/>
        <v>#N/A</v>
      </c>
      <c r="R3707" s="4" t="e">
        <f>IF(AND(B3707=1,N3707&gt;'Line Follower'!$C$7,SUM(C3707:K3707)&lt;4),1,0)</f>
        <v>#N/A</v>
      </c>
      <c r="S3707" s="4" t="e">
        <f>IF(AND(L3707=1,N3707&lt;'Line Follower'!$C$6,SUM(C3707:K3707)&lt;4),1,0)</f>
        <v>#N/A</v>
      </c>
      <c r="T3707" s="4" t="e">
        <f t="shared" si="287"/>
        <v>#N/A</v>
      </c>
      <c r="U3707" s="5" t="e">
        <f t="shared" si="288"/>
        <v>#N/A</v>
      </c>
      <c r="V3707" s="23" t="e">
        <f t="shared" si="289"/>
        <v>#N/A</v>
      </c>
    </row>
    <row r="3708" spans="2:22" x14ac:dyDescent="0.25">
      <c r="B3708" s="16">
        <v>1</v>
      </c>
      <c r="C3708" s="7">
        <v>0</v>
      </c>
      <c r="D3708" s="8">
        <v>0</v>
      </c>
      <c r="E3708" s="8">
        <v>1</v>
      </c>
      <c r="F3708" s="8">
        <v>1</v>
      </c>
      <c r="G3708" s="8">
        <v>1</v>
      </c>
      <c r="H3708" s="8">
        <v>1</v>
      </c>
      <c r="I3708" s="8">
        <v>0</v>
      </c>
      <c r="J3708" s="8">
        <v>0</v>
      </c>
      <c r="K3708" s="9">
        <v>1</v>
      </c>
      <c r="L3708" s="10">
        <v>1</v>
      </c>
      <c r="M3708" s="6">
        <v>1</v>
      </c>
      <c r="N3708" s="37" t="e" cm="1">
        <f t="array" ref="N3708">IF(OR(ISNUMBER(FIND(Aux!$D$3:$D$9,_xlfn.TEXTJOIN(,,C3708:K3708)))),NA(),IF(AND(SUM(C3708:F3708,H3708:K3708)=0,G3708=1),0,INT((SUMPRODUCT(C3708:F3708,COLUMN($A$1:$D$1)-1)+SUMPRODUCT(H3708:K3708,COLUMN($E$1:$H$1)-1))*'Line Follower'!$C$3/SUM(C3708:F3708,H3708:K3708)-'Line Follower'!$C$5)))</f>
        <v>#N/A</v>
      </c>
      <c r="O3708" s="22" t="e">
        <v>#N/A</v>
      </c>
      <c r="P3708" s="4" t="e">
        <f t="shared" si="285"/>
        <v>#N/A</v>
      </c>
      <c r="Q3708" s="4" t="e">
        <f t="shared" si="286"/>
        <v>#N/A</v>
      </c>
      <c r="R3708" s="4" t="e">
        <f>IF(AND(B3708=1,N3708&gt;'Line Follower'!$C$7,SUM(C3708:K3708)&lt;4),1,0)</f>
        <v>#N/A</v>
      </c>
      <c r="S3708" s="4" t="e">
        <f>IF(AND(L3708=1,N3708&lt;'Line Follower'!$C$6,SUM(C3708:K3708)&lt;4),1,0)</f>
        <v>#N/A</v>
      </c>
      <c r="T3708" s="4" t="e">
        <f t="shared" si="287"/>
        <v>#N/A</v>
      </c>
      <c r="U3708" s="5" t="e">
        <f t="shared" si="288"/>
        <v>#N/A</v>
      </c>
      <c r="V3708" s="23" t="e">
        <f t="shared" si="289"/>
        <v>#N/A</v>
      </c>
    </row>
    <row r="3709" spans="2:22" x14ac:dyDescent="0.25">
      <c r="B3709" s="16">
        <v>0</v>
      </c>
      <c r="C3709" s="7">
        <v>1</v>
      </c>
      <c r="D3709" s="8">
        <v>0</v>
      </c>
      <c r="E3709" s="8">
        <v>1</v>
      </c>
      <c r="F3709" s="8">
        <v>1</v>
      </c>
      <c r="G3709" s="8">
        <v>1</v>
      </c>
      <c r="H3709" s="8">
        <v>1</v>
      </c>
      <c r="I3709" s="8">
        <v>0</v>
      </c>
      <c r="J3709" s="8">
        <v>0</v>
      </c>
      <c r="K3709" s="9">
        <v>1</v>
      </c>
      <c r="L3709" s="10">
        <v>1</v>
      </c>
      <c r="M3709" s="6">
        <v>1</v>
      </c>
      <c r="N3709" s="37" t="e" cm="1">
        <f t="array" ref="N3709">IF(OR(ISNUMBER(FIND(Aux!$D$3:$D$9,_xlfn.TEXTJOIN(,,C3709:K3709)))),NA(),IF(AND(SUM(C3709:F3709,H3709:K3709)=0,G3709=1),0,INT((SUMPRODUCT(C3709:F3709,COLUMN($A$1:$D$1)-1)+SUMPRODUCT(H3709:K3709,COLUMN($E$1:$H$1)-1))*'Line Follower'!$C$3/SUM(C3709:F3709,H3709:K3709)-'Line Follower'!$C$5)))</f>
        <v>#N/A</v>
      </c>
      <c r="O3709" s="22" t="e">
        <v>#N/A</v>
      </c>
      <c r="P3709" s="4" t="e">
        <f t="shared" si="285"/>
        <v>#N/A</v>
      </c>
      <c r="Q3709" s="4" t="e">
        <f t="shared" si="286"/>
        <v>#N/A</v>
      </c>
      <c r="R3709" s="4" t="e">
        <f>IF(AND(B3709=1,N3709&gt;'Line Follower'!$C$7,SUM(C3709:K3709)&lt;4),1,0)</f>
        <v>#N/A</v>
      </c>
      <c r="S3709" s="4" t="e">
        <f>IF(AND(L3709=1,N3709&lt;'Line Follower'!$C$6,SUM(C3709:K3709)&lt;4),1,0)</f>
        <v>#N/A</v>
      </c>
      <c r="T3709" s="4" t="e">
        <f t="shared" si="287"/>
        <v>#N/A</v>
      </c>
      <c r="U3709" s="5" t="e">
        <f t="shared" si="288"/>
        <v>#N/A</v>
      </c>
      <c r="V3709" s="23" t="e">
        <f t="shared" si="289"/>
        <v>#N/A</v>
      </c>
    </row>
    <row r="3710" spans="2:22" x14ac:dyDescent="0.25">
      <c r="B3710" s="16">
        <v>1</v>
      </c>
      <c r="C3710" s="7">
        <v>1</v>
      </c>
      <c r="D3710" s="8">
        <v>0</v>
      </c>
      <c r="E3710" s="8">
        <v>1</v>
      </c>
      <c r="F3710" s="8">
        <v>1</v>
      </c>
      <c r="G3710" s="8">
        <v>1</v>
      </c>
      <c r="H3710" s="8">
        <v>1</v>
      </c>
      <c r="I3710" s="8">
        <v>0</v>
      </c>
      <c r="J3710" s="8">
        <v>0</v>
      </c>
      <c r="K3710" s="9">
        <v>1</v>
      </c>
      <c r="L3710" s="10">
        <v>1</v>
      </c>
      <c r="M3710" s="6">
        <v>1</v>
      </c>
      <c r="N3710" s="37" t="e" cm="1">
        <f t="array" ref="N3710">IF(OR(ISNUMBER(FIND(Aux!$D$3:$D$9,_xlfn.TEXTJOIN(,,C3710:K3710)))),NA(),IF(AND(SUM(C3710:F3710,H3710:K3710)=0,G3710=1),0,INT((SUMPRODUCT(C3710:F3710,COLUMN($A$1:$D$1)-1)+SUMPRODUCT(H3710:K3710,COLUMN($E$1:$H$1)-1))*'Line Follower'!$C$3/SUM(C3710:F3710,H3710:K3710)-'Line Follower'!$C$5)))</f>
        <v>#N/A</v>
      </c>
      <c r="O3710" s="22" t="e">
        <v>#N/A</v>
      </c>
      <c r="P3710" s="4" t="e">
        <f t="shared" si="285"/>
        <v>#N/A</v>
      </c>
      <c r="Q3710" s="4" t="e">
        <f t="shared" si="286"/>
        <v>#N/A</v>
      </c>
      <c r="R3710" s="4" t="e">
        <f>IF(AND(B3710=1,N3710&gt;'Line Follower'!$C$7,SUM(C3710:K3710)&lt;4),1,0)</f>
        <v>#N/A</v>
      </c>
      <c r="S3710" s="4" t="e">
        <f>IF(AND(L3710=1,N3710&lt;'Line Follower'!$C$6,SUM(C3710:K3710)&lt;4),1,0)</f>
        <v>#N/A</v>
      </c>
      <c r="T3710" s="4" t="e">
        <f t="shared" si="287"/>
        <v>#N/A</v>
      </c>
      <c r="U3710" s="5" t="e">
        <f t="shared" si="288"/>
        <v>#N/A</v>
      </c>
      <c r="V3710" s="23" t="e">
        <f t="shared" si="289"/>
        <v>#N/A</v>
      </c>
    </row>
    <row r="3711" spans="2:22" x14ac:dyDescent="0.25">
      <c r="B3711" s="16">
        <v>0</v>
      </c>
      <c r="C3711" s="7">
        <v>0</v>
      </c>
      <c r="D3711" s="8">
        <v>1</v>
      </c>
      <c r="E3711" s="8">
        <v>1</v>
      </c>
      <c r="F3711" s="8">
        <v>1</v>
      </c>
      <c r="G3711" s="8">
        <v>1</v>
      </c>
      <c r="H3711" s="8">
        <v>1</v>
      </c>
      <c r="I3711" s="8">
        <v>0</v>
      </c>
      <c r="J3711" s="8">
        <v>0</v>
      </c>
      <c r="K3711" s="9">
        <v>1</v>
      </c>
      <c r="L3711" s="10">
        <v>1</v>
      </c>
      <c r="M3711" s="6">
        <v>1</v>
      </c>
      <c r="N3711" s="37" t="e" cm="1">
        <f t="array" ref="N3711">IF(OR(ISNUMBER(FIND(Aux!$D$3:$D$9,_xlfn.TEXTJOIN(,,C3711:K3711)))),NA(),IF(AND(SUM(C3711:F3711,H3711:K3711)=0,G3711=1),0,INT((SUMPRODUCT(C3711:F3711,COLUMN($A$1:$D$1)-1)+SUMPRODUCT(H3711:K3711,COLUMN($E$1:$H$1)-1))*'Line Follower'!$C$3/SUM(C3711:F3711,H3711:K3711)-'Line Follower'!$C$5)))</f>
        <v>#N/A</v>
      </c>
      <c r="O3711" s="22" t="e">
        <v>#N/A</v>
      </c>
      <c r="P3711" s="4" t="e">
        <f t="shared" si="285"/>
        <v>#N/A</v>
      </c>
      <c r="Q3711" s="4" t="e">
        <f t="shared" si="286"/>
        <v>#N/A</v>
      </c>
      <c r="R3711" s="4" t="e">
        <f>IF(AND(B3711=1,N3711&gt;'Line Follower'!$C$7,SUM(C3711:K3711)&lt;4),1,0)</f>
        <v>#N/A</v>
      </c>
      <c r="S3711" s="4" t="e">
        <f>IF(AND(L3711=1,N3711&lt;'Line Follower'!$C$6,SUM(C3711:K3711)&lt;4),1,0)</f>
        <v>#N/A</v>
      </c>
      <c r="T3711" s="4" t="e">
        <f t="shared" si="287"/>
        <v>#N/A</v>
      </c>
      <c r="U3711" s="5" t="e">
        <f t="shared" si="288"/>
        <v>#N/A</v>
      </c>
      <c r="V3711" s="23" t="e">
        <f t="shared" si="289"/>
        <v>#N/A</v>
      </c>
    </row>
    <row r="3712" spans="2:22" x14ac:dyDescent="0.25">
      <c r="B3712" s="16">
        <v>1</v>
      </c>
      <c r="C3712" s="7">
        <v>0</v>
      </c>
      <c r="D3712" s="8">
        <v>1</v>
      </c>
      <c r="E3712" s="8">
        <v>1</v>
      </c>
      <c r="F3712" s="8">
        <v>1</v>
      </c>
      <c r="G3712" s="8">
        <v>1</v>
      </c>
      <c r="H3712" s="8">
        <v>1</v>
      </c>
      <c r="I3712" s="8">
        <v>0</v>
      </c>
      <c r="J3712" s="8">
        <v>0</v>
      </c>
      <c r="K3712" s="9">
        <v>1</v>
      </c>
      <c r="L3712" s="10">
        <v>1</v>
      </c>
      <c r="M3712" s="6">
        <v>1</v>
      </c>
      <c r="N3712" s="37" t="e" cm="1">
        <f t="array" ref="N3712">IF(OR(ISNUMBER(FIND(Aux!$D$3:$D$9,_xlfn.TEXTJOIN(,,C3712:K3712)))),NA(),IF(AND(SUM(C3712:F3712,H3712:K3712)=0,G3712=1),0,INT((SUMPRODUCT(C3712:F3712,COLUMN($A$1:$D$1)-1)+SUMPRODUCT(H3712:K3712,COLUMN($E$1:$H$1)-1))*'Line Follower'!$C$3/SUM(C3712:F3712,H3712:K3712)-'Line Follower'!$C$5)))</f>
        <v>#N/A</v>
      </c>
      <c r="O3712" s="22" t="e">
        <v>#N/A</v>
      </c>
      <c r="P3712" s="4" t="e">
        <f t="shared" si="285"/>
        <v>#N/A</v>
      </c>
      <c r="Q3712" s="4" t="e">
        <f t="shared" si="286"/>
        <v>#N/A</v>
      </c>
      <c r="R3712" s="4" t="e">
        <f>IF(AND(B3712=1,N3712&gt;'Line Follower'!$C$7,SUM(C3712:K3712)&lt;4),1,0)</f>
        <v>#N/A</v>
      </c>
      <c r="S3712" s="4" t="e">
        <f>IF(AND(L3712=1,N3712&lt;'Line Follower'!$C$6,SUM(C3712:K3712)&lt;4),1,0)</f>
        <v>#N/A</v>
      </c>
      <c r="T3712" s="4" t="e">
        <f t="shared" si="287"/>
        <v>#N/A</v>
      </c>
      <c r="U3712" s="5" t="e">
        <f t="shared" si="288"/>
        <v>#N/A</v>
      </c>
      <c r="V3712" s="23" t="e">
        <f t="shared" si="289"/>
        <v>#N/A</v>
      </c>
    </row>
    <row r="3713" spans="2:22" x14ac:dyDescent="0.25">
      <c r="B3713" s="16">
        <v>0</v>
      </c>
      <c r="C3713" s="7">
        <v>1</v>
      </c>
      <c r="D3713" s="8">
        <v>1</v>
      </c>
      <c r="E3713" s="8">
        <v>1</v>
      </c>
      <c r="F3713" s="8">
        <v>1</v>
      </c>
      <c r="G3713" s="8">
        <v>1</v>
      </c>
      <c r="H3713" s="8">
        <v>1</v>
      </c>
      <c r="I3713" s="8">
        <v>0</v>
      </c>
      <c r="J3713" s="8">
        <v>0</v>
      </c>
      <c r="K3713" s="9">
        <v>1</v>
      </c>
      <c r="L3713" s="10">
        <v>1</v>
      </c>
      <c r="M3713" s="6">
        <v>1</v>
      </c>
      <c r="N3713" s="37" t="e" cm="1">
        <f t="array" ref="N3713">IF(OR(ISNUMBER(FIND(Aux!$D$3:$D$9,_xlfn.TEXTJOIN(,,C3713:K3713)))),NA(),IF(AND(SUM(C3713:F3713,H3713:K3713)=0,G3713=1),0,INT((SUMPRODUCT(C3713:F3713,COLUMN($A$1:$D$1)-1)+SUMPRODUCT(H3713:K3713,COLUMN($E$1:$H$1)-1))*'Line Follower'!$C$3/SUM(C3713:F3713,H3713:K3713)-'Line Follower'!$C$5)))</f>
        <v>#N/A</v>
      </c>
      <c r="O3713" s="22" t="e">
        <v>#N/A</v>
      </c>
      <c r="P3713" s="4" t="e">
        <f t="shared" si="285"/>
        <v>#N/A</v>
      </c>
      <c r="Q3713" s="4" t="e">
        <f t="shared" si="286"/>
        <v>#N/A</v>
      </c>
      <c r="R3713" s="4" t="e">
        <f>IF(AND(B3713=1,N3713&gt;'Line Follower'!$C$7,SUM(C3713:K3713)&lt;4),1,0)</f>
        <v>#N/A</v>
      </c>
      <c r="S3713" s="4" t="e">
        <f>IF(AND(L3713=1,N3713&lt;'Line Follower'!$C$6,SUM(C3713:K3713)&lt;4),1,0)</f>
        <v>#N/A</v>
      </c>
      <c r="T3713" s="4" t="e">
        <f t="shared" si="287"/>
        <v>#N/A</v>
      </c>
      <c r="U3713" s="5" t="e">
        <f t="shared" si="288"/>
        <v>#N/A</v>
      </c>
      <c r="V3713" s="23" t="e">
        <f t="shared" si="289"/>
        <v>#N/A</v>
      </c>
    </row>
    <row r="3714" spans="2:22" x14ac:dyDescent="0.25">
      <c r="B3714" s="16">
        <v>1</v>
      </c>
      <c r="C3714" s="7">
        <v>1</v>
      </c>
      <c r="D3714" s="8">
        <v>1</v>
      </c>
      <c r="E3714" s="8">
        <v>1</v>
      </c>
      <c r="F3714" s="8">
        <v>1</v>
      </c>
      <c r="G3714" s="8">
        <v>1</v>
      </c>
      <c r="H3714" s="8">
        <v>1</v>
      </c>
      <c r="I3714" s="8">
        <v>0</v>
      </c>
      <c r="J3714" s="8">
        <v>0</v>
      </c>
      <c r="K3714" s="9">
        <v>1</v>
      </c>
      <c r="L3714" s="10">
        <v>1</v>
      </c>
      <c r="M3714" s="6">
        <v>1</v>
      </c>
      <c r="N3714" s="37" t="e" cm="1">
        <f t="array" ref="N3714">IF(OR(ISNUMBER(FIND(Aux!$D$3:$D$9,_xlfn.TEXTJOIN(,,C3714:K3714)))),NA(),IF(AND(SUM(C3714:F3714,H3714:K3714)=0,G3714=1),0,INT((SUMPRODUCT(C3714:F3714,COLUMN($A$1:$D$1)-1)+SUMPRODUCT(H3714:K3714,COLUMN($E$1:$H$1)-1))*'Line Follower'!$C$3/SUM(C3714:F3714,H3714:K3714)-'Line Follower'!$C$5)))</f>
        <v>#N/A</v>
      </c>
      <c r="O3714" s="22" t="e">
        <v>#N/A</v>
      </c>
      <c r="P3714" s="4" t="e">
        <f t="shared" si="285"/>
        <v>#N/A</v>
      </c>
      <c r="Q3714" s="4" t="e">
        <f t="shared" si="286"/>
        <v>#N/A</v>
      </c>
      <c r="R3714" s="4" t="e">
        <f>IF(AND(B3714=1,N3714&gt;'Line Follower'!$C$7,SUM(C3714:K3714)&lt;4),1,0)</f>
        <v>#N/A</v>
      </c>
      <c r="S3714" s="4" t="e">
        <f>IF(AND(L3714=1,N3714&lt;'Line Follower'!$C$6,SUM(C3714:K3714)&lt;4),1,0)</f>
        <v>#N/A</v>
      </c>
      <c r="T3714" s="4" t="e">
        <f t="shared" si="287"/>
        <v>#N/A</v>
      </c>
      <c r="U3714" s="5" t="e">
        <f t="shared" si="288"/>
        <v>#N/A</v>
      </c>
      <c r="V3714" s="23" t="e">
        <f t="shared" si="289"/>
        <v>#N/A</v>
      </c>
    </row>
    <row r="3715" spans="2:22" x14ac:dyDescent="0.25">
      <c r="B3715" s="16">
        <v>0</v>
      </c>
      <c r="C3715" s="7">
        <v>0</v>
      </c>
      <c r="D3715" s="8">
        <v>0</v>
      </c>
      <c r="E3715" s="8">
        <v>0</v>
      </c>
      <c r="F3715" s="8">
        <v>0</v>
      </c>
      <c r="G3715" s="8">
        <v>0</v>
      </c>
      <c r="H3715" s="8">
        <v>0</v>
      </c>
      <c r="I3715" s="8">
        <v>1</v>
      </c>
      <c r="J3715" s="8">
        <v>0</v>
      </c>
      <c r="K3715" s="9">
        <v>1</v>
      </c>
      <c r="L3715" s="10">
        <v>1</v>
      </c>
      <c r="M3715" s="6">
        <v>1</v>
      </c>
      <c r="N3715" s="37" t="e" cm="1">
        <f t="array" ref="N3715">IF(OR(ISNUMBER(FIND(Aux!$D$3:$D$9,_xlfn.TEXTJOIN(,,C3715:K3715)))),NA(),IF(AND(SUM(C3715:F3715,H3715:K3715)=0,G3715=1),0,INT((SUMPRODUCT(C3715:F3715,COLUMN($A$1:$D$1)-1)+SUMPRODUCT(H3715:K3715,COLUMN($E$1:$H$1)-1))*'Line Follower'!$C$3/SUM(C3715:F3715,H3715:K3715)-'Line Follower'!$C$5)))</f>
        <v>#N/A</v>
      </c>
      <c r="O3715" s="22" t="e">
        <v>#N/A</v>
      </c>
      <c r="P3715" s="4" t="e">
        <f t="shared" ref="P3715:P3778" si="290">IF(AND(N3715=0,G3715=1,M3715=1),1,0)</f>
        <v>#N/A</v>
      </c>
      <c r="Q3715" s="4" t="e">
        <f t="shared" ref="Q3715:Q3778" si="291">IF(ISERROR(N3715),N3715,IF(SUM(C3715:K3715)&gt;=4,1,0))</f>
        <v>#N/A</v>
      </c>
      <c r="R3715" s="4" t="e">
        <f>IF(AND(B3715=1,N3715&gt;'Line Follower'!$C$7,SUM(C3715:K3715)&lt;4),1,0)</f>
        <v>#N/A</v>
      </c>
      <c r="S3715" s="4" t="e">
        <f>IF(AND(L3715=1,N3715&lt;'Line Follower'!$C$6,SUM(C3715:K3715)&lt;4),1,0)</f>
        <v>#N/A</v>
      </c>
      <c r="T3715" s="4" t="e">
        <f t="shared" si="287"/>
        <v>#N/A</v>
      </c>
      <c r="U3715" s="5" t="e">
        <f t="shared" si="288"/>
        <v>#N/A</v>
      </c>
      <c r="V3715" s="23" t="e">
        <f t="shared" si="289"/>
        <v>#N/A</v>
      </c>
    </row>
    <row r="3716" spans="2:22" x14ac:dyDescent="0.25">
      <c r="B3716" s="16">
        <v>1</v>
      </c>
      <c r="C3716" s="7">
        <v>0</v>
      </c>
      <c r="D3716" s="8">
        <v>0</v>
      </c>
      <c r="E3716" s="8">
        <v>0</v>
      </c>
      <c r="F3716" s="8">
        <v>0</v>
      </c>
      <c r="G3716" s="8">
        <v>0</v>
      </c>
      <c r="H3716" s="8">
        <v>0</v>
      </c>
      <c r="I3716" s="8">
        <v>1</v>
      </c>
      <c r="J3716" s="8">
        <v>0</v>
      </c>
      <c r="K3716" s="9">
        <v>1</v>
      </c>
      <c r="L3716" s="10">
        <v>1</v>
      </c>
      <c r="M3716" s="6">
        <v>1</v>
      </c>
      <c r="N3716" s="37" t="e" cm="1">
        <f t="array" ref="N3716">IF(OR(ISNUMBER(FIND(Aux!$D$3:$D$9,_xlfn.TEXTJOIN(,,C3716:K3716)))),NA(),IF(AND(SUM(C3716:F3716,H3716:K3716)=0,G3716=1),0,INT((SUMPRODUCT(C3716:F3716,COLUMN($A$1:$D$1)-1)+SUMPRODUCT(H3716:K3716,COLUMN($E$1:$H$1)-1))*'Line Follower'!$C$3/SUM(C3716:F3716,H3716:K3716)-'Line Follower'!$C$5)))</f>
        <v>#N/A</v>
      </c>
      <c r="O3716" s="22" t="e">
        <v>#N/A</v>
      </c>
      <c r="P3716" s="4" t="e">
        <f t="shared" si="290"/>
        <v>#N/A</v>
      </c>
      <c r="Q3716" s="4" t="e">
        <f t="shared" si="291"/>
        <v>#N/A</v>
      </c>
      <c r="R3716" s="4" t="e">
        <f>IF(AND(B3716=1,N3716&gt;'Line Follower'!$C$7,SUM(C3716:K3716)&lt;4),1,0)</f>
        <v>#N/A</v>
      </c>
      <c r="S3716" s="4" t="e">
        <f>IF(AND(L3716=1,N3716&lt;'Line Follower'!$C$6,SUM(C3716:K3716)&lt;4),1,0)</f>
        <v>#N/A</v>
      </c>
      <c r="T3716" s="4" t="e">
        <f t="shared" ref="T3716:T3779" si="292">IF(ISNA(N3716),NA(),IF(SUM(C3716:L3716)=0,1,0))</f>
        <v>#N/A</v>
      </c>
      <c r="U3716" s="5" t="e">
        <f t="shared" ref="U3716:U3779" si="293">IF(ISNA(N3716),NA(),IF(SUM(B3716:K3716)=0,1,0))</f>
        <v>#N/A</v>
      </c>
      <c r="V3716" s="23" t="e">
        <f t="shared" ref="V3716:V3779" si="294">IF(ISNA(N3716),NA(),IF(SUM(B3716:L3716)=0,1,0))</f>
        <v>#N/A</v>
      </c>
    </row>
    <row r="3717" spans="2:22" x14ac:dyDescent="0.25">
      <c r="B3717" s="16">
        <v>0</v>
      </c>
      <c r="C3717" s="7">
        <v>1</v>
      </c>
      <c r="D3717" s="8">
        <v>0</v>
      </c>
      <c r="E3717" s="8">
        <v>0</v>
      </c>
      <c r="F3717" s="8">
        <v>0</v>
      </c>
      <c r="G3717" s="8">
        <v>0</v>
      </c>
      <c r="H3717" s="8">
        <v>0</v>
      </c>
      <c r="I3717" s="8">
        <v>1</v>
      </c>
      <c r="J3717" s="8">
        <v>0</v>
      </c>
      <c r="K3717" s="9">
        <v>1</v>
      </c>
      <c r="L3717" s="10">
        <v>1</v>
      </c>
      <c r="M3717" s="6">
        <v>1</v>
      </c>
      <c r="N3717" s="37" t="e" cm="1">
        <f t="array" ref="N3717">IF(OR(ISNUMBER(FIND(Aux!$D$3:$D$9,_xlfn.TEXTJOIN(,,C3717:K3717)))),NA(),IF(AND(SUM(C3717:F3717,H3717:K3717)=0,G3717=1),0,INT((SUMPRODUCT(C3717:F3717,COLUMN($A$1:$D$1)-1)+SUMPRODUCT(H3717:K3717,COLUMN($E$1:$H$1)-1))*'Line Follower'!$C$3/SUM(C3717:F3717,H3717:K3717)-'Line Follower'!$C$5)))</f>
        <v>#N/A</v>
      </c>
      <c r="O3717" s="22" t="e">
        <v>#N/A</v>
      </c>
      <c r="P3717" s="4" t="e">
        <f t="shared" si="290"/>
        <v>#N/A</v>
      </c>
      <c r="Q3717" s="4" t="e">
        <f t="shared" si="291"/>
        <v>#N/A</v>
      </c>
      <c r="R3717" s="4" t="e">
        <f>IF(AND(B3717=1,N3717&gt;'Line Follower'!$C$7,SUM(C3717:K3717)&lt;4),1,0)</f>
        <v>#N/A</v>
      </c>
      <c r="S3717" s="4" t="e">
        <f>IF(AND(L3717=1,N3717&lt;'Line Follower'!$C$6,SUM(C3717:K3717)&lt;4),1,0)</f>
        <v>#N/A</v>
      </c>
      <c r="T3717" s="4" t="e">
        <f t="shared" si="292"/>
        <v>#N/A</v>
      </c>
      <c r="U3717" s="5" t="e">
        <f t="shared" si="293"/>
        <v>#N/A</v>
      </c>
      <c r="V3717" s="23" t="e">
        <f t="shared" si="294"/>
        <v>#N/A</v>
      </c>
    </row>
    <row r="3718" spans="2:22" x14ac:dyDescent="0.25">
      <c r="B3718" s="16">
        <v>1</v>
      </c>
      <c r="C3718" s="7">
        <v>1</v>
      </c>
      <c r="D3718" s="8">
        <v>0</v>
      </c>
      <c r="E3718" s="8">
        <v>0</v>
      </c>
      <c r="F3718" s="8">
        <v>0</v>
      </c>
      <c r="G3718" s="8">
        <v>0</v>
      </c>
      <c r="H3718" s="8">
        <v>0</v>
      </c>
      <c r="I3718" s="8">
        <v>1</v>
      </c>
      <c r="J3718" s="8">
        <v>0</v>
      </c>
      <c r="K3718" s="9">
        <v>1</v>
      </c>
      <c r="L3718" s="10">
        <v>1</v>
      </c>
      <c r="M3718" s="6">
        <v>1</v>
      </c>
      <c r="N3718" s="37" t="e" cm="1">
        <f t="array" ref="N3718">IF(OR(ISNUMBER(FIND(Aux!$D$3:$D$9,_xlfn.TEXTJOIN(,,C3718:K3718)))),NA(),IF(AND(SUM(C3718:F3718,H3718:K3718)=0,G3718=1),0,INT((SUMPRODUCT(C3718:F3718,COLUMN($A$1:$D$1)-1)+SUMPRODUCT(H3718:K3718,COLUMN($E$1:$H$1)-1))*'Line Follower'!$C$3/SUM(C3718:F3718,H3718:K3718)-'Line Follower'!$C$5)))</f>
        <v>#N/A</v>
      </c>
      <c r="O3718" s="22" t="e">
        <v>#N/A</v>
      </c>
      <c r="P3718" s="4" t="e">
        <f t="shared" si="290"/>
        <v>#N/A</v>
      </c>
      <c r="Q3718" s="4" t="e">
        <f t="shared" si="291"/>
        <v>#N/A</v>
      </c>
      <c r="R3718" s="4" t="e">
        <f>IF(AND(B3718=1,N3718&gt;'Line Follower'!$C$7,SUM(C3718:K3718)&lt;4),1,0)</f>
        <v>#N/A</v>
      </c>
      <c r="S3718" s="4" t="e">
        <f>IF(AND(L3718=1,N3718&lt;'Line Follower'!$C$6,SUM(C3718:K3718)&lt;4),1,0)</f>
        <v>#N/A</v>
      </c>
      <c r="T3718" s="4" t="e">
        <f t="shared" si="292"/>
        <v>#N/A</v>
      </c>
      <c r="U3718" s="5" t="e">
        <f t="shared" si="293"/>
        <v>#N/A</v>
      </c>
      <c r="V3718" s="23" t="e">
        <f t="shared" si="294"/>
        <v>#N/A</v>
      </c>
    </row>
    <row r="3719" spans="2:22" x14ac:dyDescent="0.25">
      <c r="B3719" s="16">
        <v>0</v>
      </c>
      <c r="C3719" s="7">
        <v>0</v>
      </c>
      <c r="D3719" s="8">
        <v>1</v>
      </c>
      <c r="E3719" s="8">
        <v>0</v>
      </c>
      <c r="F3719" s="8">
        <v>0</v>
      </c>
      <c r="G3719" s="8">
        <v>0</v>
      </c>
      <c r="H3719" s="8">
        <v>0</v>
      </c>
      <c r="I3719" s="8">
        <v>1</v>
      </c>
      <c r="J3719" s="8">
        <v>0</v>
      </c>
      <c r="K3719" s="9">
        <v>1</v>
      </c>
      <c r="L3719" s="10">
        <v>1</v>
      </c>
      <c r="M3719" s="6">
        <v>1</v>
      </c>
      <c r="N3719" s="37" t="e" cm="1">
        <f t="array" ref="N3719">IF(OR(ISNUMBER(FIND(Aux!$D$3:$D$9,_xlfn.TEXTJOIN(,,C3719:K3719)))),NA(),IF(AND(SUM(C3719:F3719,H3719:K3719)=0,G3719=1),0,INT((SUMPRODUCT(C3719:F3719,COLUMN($A$1:$D$1)-1)+SUMPRODUCT(H3719:K3719,COLUMN($E$1:$H$1)-1))*'Line Follower'!$C$3/SUM(C3719:F3719,H3719:K3719)-'Line Follower'!$C$5)))</f>
        <v>#N/A</v>
      </c>
      <c r="O3719" s="22" t="e">
        <v>#N/A</v>
      </c>
      <c r="P3719" s="4" t="e">
        <f t="shared" si="290"/>
        <v>#N/A</v>
      </c>
      <c r="Q3719" s="4" t="e">
        <f t="shared" si="291"/>
        <v>#N/A</v>
      </c>
      <c r="R3719" s="4" t="e">
        <f>IF(AND(B3719=1,N3719&gt;'Line Follower'!$C$7,SUM(C3719:K3719)&lt;4),1,0)</f>
        <v>#N/A</v>
      </c>
      <c r="S3719" s="4" t="e">
        <f>IF(AND(L3719=1,N3719&lt;'Line Follower'!$C$6,SUM(C3719:K3719)&lt;4),1,0)</f>
        <v>#N/A</v>
      </c>
      <c r="T3719" s="4" t="e">
        <f t="shared" si="292"/>
        <v>#N/A</v>
      </c>
      <c r="U3719" s="5" t="e">
        <f t="shared" si="293"/>
        <v>#N/A</v>
      </c>
      <c r="V3719" s="23" t="e">
        <f t="shared" si="294"/>
        <v>#N/A</v>
      </c>
    </row>
    <row r="3720" spans="2:22" x14ac:dyDescent="0.25">
      <c r="B3720" s="16">
        <v>1</v>
      </c>
      <c r="C3720" s="7">
        <v>0</v>
      </c>
      <c r="D3720" s="8">
        <v>1</v>
      </c>
      <c r="E3720" s="8">
        <v>0</v>
      </c>
      <c r="F3720" s="8">
        <v>0</v>
      </c>
      <c r="G3720" s="8">
        <v>0</v>
      </c>
      <c r="H3720" s="8">
        <v>0</v>
      </c>
      <c r="I3720" s="8">
        <v>1</v>
      </c>
      <c r="J3720" s="8">
        <v>0</v>
      </c>
      <c r="K3720" s="9">
        <v>1</v>
      </c>
      <c r="L3720" s="10">
        <v>1</v>
      </c>
      <c r="M3720" s="6">
        <v>1</v>
      </c>
      <c r="N3720" s="37" t="e" cm="1">
        <f t="array" ref="N3720">IF(OR(ISNUMBER(FIND(Aux!$D$3:$D$9,_xlfn.TEXTJOIN(,,C3720:K3720)))),NA(),IF(AND(SUM(C3720:F3720,H3720:K3720)=0,G3720=1),0,INT((SUMPRODUCT(C3720:F3720,COLUMN($A$1:$D$1)-1)+SUMPRODUCT(H3720:K3720,COLUMN($E$1:$H$1)-1))*'Line Follower'!$C$3/SUM(C3720:F3720,H3720:K3720)-'Line Follower'!$C$5)))</f>
        <v>#N/A</v>
      </c>
      <c r="O3720" s="22" t="e">
        <v>#N/A</v>
      </c>
      <c r="P3720" s="4" t="e">
        <f t="shared" si="290"/>
        <v>#N/A</v>
      </c>
      <c r="Q3720" s="4" t="e">
        <f t="shared" si="291"/>
        <v>#N/A</v>
      </c>
      <c r="R3720" s="4" t="e">
        <f>IF(AND(B3720=1,N3720&gt;'Line Follower'!$C$7,SUM(C3720:K3720)&lt;4),1,0)</f>
        <v>#N/A</v>
      </c>
      <c r="S3720" s="4" t="e">
        <f>IF(AND(L3720=1,N3720&lt;'Line Follower'!$C$6,SUM(C3720:K3720)&lt;4),1,0)</f>
        <v>#N/A</v>
      </c>
      <c r="T3720" s="4" t="e">
        <f t="shared" si="292"/>
        <v>#N/A</v>
      </c>
      <c r="U3720" s="5" t="e">
        <f t="shared" si="293"/>
        <v>#N/A</v>
      </c>
      <c r="V3720" s="23" t="e">
        <f t="shared" si="294"/>
        <v>#N/A</v>
      </c>
    </row>
    <row r="3721" spans="2:22" x14ac:dyDescent="0.25">
      <c r="B3721" s="16">
        <v>0</v>
      </c>
      <c r="C3721" s="7">
        <v>1</v>
      </c>
      <c r="D3721" s="8">
        <v>1</v>
      </c>
      <c r="E3721" s="8">
        <v>0</v>
      </c>
      <c r="F3721" s="8">
        <v>0</v>
      </c>
      <c r="G3721" s="8">
        <v>0</v>
      </c>
      <c r="H3721" s="8">
        <v>0</v>
      </c>
      <c r="I3721" s="8">
        <v>1</v>
      </c>
      <c r="J3721" s="8">
        <v>0</v>
      </c>
      <c r="K3721" s="9">
        <v>1</v>
      </c>
      <c r="L3721" s="10">
        <v>1</v>
      </c>
      <c r="M3721" s="6">
        <v>1</v>
      </c>
      <c r="N3721" s="37" t="e" cm="1">
        <f t="array" ref="N3721">IF(OR(ISNUMBER(FIND(Aux!$D$3:$D$9,_xlfn.TEXTJOIN(,,C3721:K3721)))),NA(),IF(AND(SUM(C3721:F3721,H3721:K3721)=0,G3721=1),0,INT((SUMPRODUCT(C3721:F3721,COLUMN($A$1:$D$1)-1)+SUMPRODUCT(H3721:K3721,COLUMN($E$1:$H$1)-1))*'Line Follower'!$C$3/SUM(C3721:F3721,H3721:K3721)-'Line Follower'!$C$5)))</f>
        <v>#N/A</v>
      </c>
      <c r="O3721" s="22" t="e">
        <v>#N/A</v>
      </c>
      <c r="P3721" s="4" t="e">
        <f t="shared" si="290"/>
        <v>#N/A</v>
      </c>
      <c r="Q3721" s="4" t="e">
        <f t="shared" si="291"/>
        <v>#N/A</v>
      </c>
      <c r="R3721" s="4" t="e">
        <f>IF(AND(B3721=1,N3721&gt;'Line Follower'!$C$7,SUM(C3721:K3721)&lt;4),1,0)</f>
        <v>#N/A</v>
      </c>
      <c r="S3721" s="4" t="e">
        <f>IF(AND(L3721=1,N3721&lt;'Line Follower'!$C$6,SUM(C3721:K3721)&lt;4),1,0)</f>
        <v>#N/A</v>
      </c>
      <c r="T3721" s="4" t="e">
        <f t="shared" si="292"/>
        <v>#N/A</v>
      </c>
      <c r="U3721" s="5" t="e">
        <f t="shared" si="293"/>
        <v>#N/A</v>
      </c>
      <c r="V3721" s="23" t="e">
        <f t="shared" si="294"/>
        <v>#N/A</v>
      </c>
    </row>
    <row r="3722" spans="2:22" x14ac:dyDescent="0.25">
      <c r="B3722" s="16">
        <v>1</v>
      </c>
      <c r="C3722" s="7">
        <v>1</v>
      </c>
      <c r="D3722" s="8">
        <v>1</v>
      </c>
      <c r="E3722" s="8">
        <v>0</v>
      </c>
      <c r="F3722" s="8">
        <v>0</v>
      </c>
      <c r="G3722" s="8">
        <v>0</v>
      </c>
      <c r="H3722" s="8">
        <v>0</v>
      </c>
      <c r="I3722" s="8">
        <v>1</v>
      </c>
      <c r="J3722" s="8">
        <v>0</v>
      </c>
      <c r="K3722" s="9">
        <v>1</v>
      </c>
      <c r="L3722" s="10">
        <v>1</v>
      </c>
      <c r="M3722" s="6">
        <v>1</v>
      </c>
      <c r="N3722" s="37" t="e" cm="1">
        <f t="array" ref="N3722">IF(OR(ISNUMBER(FIND(Aux!$D$3:$D$9,_xlfn.TEXTJOIN(,,C3722:K3722)))),NA(),IF(AND(SUM(C3722:F3722,H3722:K3722)=0,G3722=1),0,INT((SUMPRODUCT(C3722:F3722,COLUMN($A$1:$D$1)-1)+SUMPRODUCT(H3722:K3722,COLUMN($E$1:$H$1)-1))*'Line Follower'!$C$3/SUM(C3722:F3722,H3722:K3722)-'Line Follower'!$C$5)))</f>
        <v>#N/A</v>
      </c>
      <c r="O3722" s="22" t="e">
        <v>#N/A</v>
      </c>
      <c r="P3722" s="4" t="e">
        <f t="shared" si="290"/>
        <v>#N/A</v>
      </c>
      <c r="Q3722" s="4" t="e">
        <f t="shared" si="291"/>
        <v>#N/A</v>
      </c>
      <c r="R3722" s="4" t="e">
        <f>IF(AND(B3722=1,N3722&gt;'Line Follower'!$C$7,SUM(C3722:K3722)&lt;4),1,0)</f>
        <v>#N/A</v>
      </c>
      <c r="S3722" s="4" t="e">
        <f>IF(AND(L3722=1,N3722&lt;'Line Follower'!$C$6,SUM(C3722:K3722)&lt;4),1,0)</f>
        <v>#N/A</v>
      </c>
      <c r="T3722" s="4" t="e">
        <f t="shared" si="292"/>
        <v>#N/A</v>
      </c>
      <c r="U3722" s="5" t="e">
        <f t="shared" si="293"/>
        <v>#N/A</v>
      </c>
      <c r="V3722" s="23" t="e">
        <f t="shared" si="294"/>
        <v>#N/A</v>
      </c>
    </row>
    <row r="3723" spans="2:22" x14ac:dyDescent="0.25">
      <c r="B3723" s="16">
        <v>0</v>
      </c>
      <c r="C3723" s="7">
        <v>0</v>
      </c>
      <c r="D3723" s="8">
        <v>0</v>
      </c>
      <c r="E3723" s="8">
        <v>1</v>
      </c>
      <c r="F3723" s="8">
        <v>0</v>
      </c>
      <c r="G3723" s="8">
        <v>0</v>
      </c>
      <c r="H3723" s="8">
        <v>0</v>
      </c>
      <c r="I3723" s="8">
        <v>1</v>
      </c>
      <c r="J3723" s="8">
        <v>0</v>
      </c>
      <c r="K3723" s="9">
        <v>1</v>
      </c>
      <c r="L3723" s="10">
        <v>1</v>
      </c>
      <c r="M3723" s="6">
        <v>1</v>
      </c>
      <c r="N3723" s="37" t="e" cm="1">
        <f t="array" ref="N3723">IF(OR(ISNUMBER(FIND(Aux!$D$3:$D$9,_xlfn.TEXTJOIN(,,C3723:K3723)))),NA(),IF(AND(SUM(C3723:F3723,H3723:K3723)=0,G3723=1),0,INT((SUMPRODUCT(C3723:F3723,COLUMN($A$1:$D$1)-1)+SUMPRODUCT(H3723:K3723,COLUMN($E$1:$H$1)-1))*'Line Follower'!$C$3/SUM(C3723:F3723,H3723:K3723)-'Line Follower'!$C$5)))</f>
        <v>#N/A</v>
      </c>
      <c r="O3723" s="22" t="e">
        <v>#N/A</v>
      </c>
      <c r="P3723" s="4" t="e">
        <f t="shared" si="290"/>
        <v>#N/A</v>
      </c>
      <c r="Q3723" s="4" t="e">
        <f t="shared" si="291"/>
        <v>#N/A</v>
      </c>
      <c r="R3723" s="4" t="e">
        <f>IF(AND(B3723=1,N3723&gt;'Line Follower'!$C$7,SUM(C3723:K3723)&lt;4),1,0)</f>
        <v>#N/A</v>
      </c>
      <c r="S3723" s="4" t="e">
        <f>IF(AND(L3723=1,N3723&lt;'Line Follower'!$C$6,SUM(C3723:K3723)&lt;4),1,0)</f>
        <v>#N/A</v>
      </c>
      <c r="T3723" s="4" t="e">
        <f t="shared" si="292"/>
        <v>#N/A</v>
      </c>
      <c r="U3723" s="5" t="e">
        <f t="shared" si="293"/>
        <v>#N/A</v>
      </c>
      <c r="V3723" s="23" t="e">
        <f t="shared" si="294"/>
        <v>#N/A</v>
      </c>
    </row>
    <row r="3724" spans="2:22" x14ac:dyDescent="0.25">
      <c r="B3724" s="16">
        <v>1</v>
      </c>
      <c r="C3724" s="7">
        <v>0</v>
      </c>
      <c r="D3724" s="8">
        <v>0</v>
      </c>
      <c r="E3724" s="8">
        <v>1</v>
      </c>
      <c r="F3724" s="8">
        <v>0</v>
      </c>
      <c r="G3724" s="8">
        <v>0</v>
      </c>
      <c r="H3724" s="8">
        <v>0</v>
      </c>
      <c r="I3724" s="8">
        <v>1</v>
      </c>
      <c r="J3724" s="8">
        <v>0</v>
      </c>
      <c r="K3724" s="9">
        <v>1</v>
      </c>
      <c r="L3724" s="10">
        <v>1</v>
      </c>
      <c r="M3724" s="6">
        <v>1</v>
      </c>
      <c r="N3724" s="37" t="e" cm="1">
        <f t="array" ref="N3724">IF(OR(ISNUMBER(FIND(Aux!$D$3:$D$9,_xlfn.TEXTJOIN(,,C3724:K3724)))),NA(),IF(AND(SUM(C3724:F3724,H3724:K3724)=0,G3724=1),0,INT((SUMPRODUCT(C3724:F3724,COLUMN($A$1:$D$1)-1)+SUMPRODUCT(H3724:K3724,COLUMN($E$1:$H$1)-1))*'Line Follower'!$C$3/SUM(C3724:F3724,H3724:K3724)-'Line Follower'!$C$5)))</f>
        <v>#N/A</v>
      </c>
      <c r="O3724" s="22" t="e">
        <v>#N/A</v>
      </c>
      <c r="P3724" s="4" t="e">
        <f t="shared" si="290"/>
        <v>#N/A</v>
      </c>
      <c r="Q3724" s="4" t="e">
        <f t="shared" si="291"/>
        <v>#N/A</v>
      </c>
      <c r="R3724" s="4" t="e">
        <f>IF(AND(B3724=1,N3724&gt;'Line Follower'!$C$7,SUM(C3724:K3724)&lt;4),1,0)</f>
        <v>#N/A</v>
      </c>
      <c r="S3724" s="4" t="e">
        <f>IF(AND(L3724=1,N3724&lt;'Line Follower'!$C$6,SUM(C3724:K3724)&lt;4),1,0)</f>
        <v>#N/A</v>
      </c>
      <c r="T3724" s="4" t="e">
        <f t="shared" si="292"/>
        <v>#N/A</v>
      </c>
      <c r="U3724" s="5" t="e">
        <f t="shared" si="293"/>
        <v>#N/A</v>
      </c>
      <c r="V3724" s="23" t="e">
        <f t="shared" si="294"/>
        <v>#N/A</v>
      </c>
    </row>
    <row r="3725" spans="2:22" x14ac:dyDescent="0.25">
      <c r="B3725" s="16">
        <v>0</v>
      </c>
      <c r="C3725" s="7">
        <v>1</v>
      </c>
      <c r="D3725" s="8">
        <v>0</v>
      </c>
      <c r="E3725" s="8">
        <v>1</v>
      </c>
      <c r="F3725" s="8">
        <v>0</v>
      </c>
      <c r="G3725" s="8">
        <v>0</v>
      </c>
      <c r="H3725" s="8">
        <v>0</v>
      </c>
      <c r="I3725" s="8">
        <v>1</v>
      </c>
      <c r="J3725" s="8">
        <v>0</v>
      </c>
      <c r="K3725" s="9">
        <v>1</v>
      </c>
      <c r="L3725" s="10">
        <v>1</v>
      </c>
      <c r="M3725" s="6">
        <v>1</v>
      </c>
      <c r="N3725" s="37" t="e" cm="1">
        <f t="array" ref="N3725">IF(OR(ISNUMBER(FIND(Aux!$D$3:$D$9,_xlfn.TEXTJOIN(,,C3725:K3725)))),NA(),IF(AND(SUM(C3725:F3725,H3725:K3725)=0,G3725=1),0,INT((SUMPRODUCT(C3725:F3725,COLUMN($A$1:$D$1)-1)+SUMPRODUCT(H3725:K3725,COLUMN($E$1:$H$1)-1))*'Line Follower'!$C$3/SUM(C3725:F3725,H3725:K3725)-'Line Follower'!$C$5)))</f>
        <v>#N/A</v>
      </c>
      <c r="O3725" s="22" t="e">
        <v>#N/A</v>
      </c>
      <c r="P3725" s="4" t="e">
        <f t="shared" si="290"/>
        <v>#N/A</v>
      </c>
      <c r="Q3725" s="4" t="e">
        <f t="shared" si="291"/>
        <v>#N/A</v>
      </c>
      <c r="R3725" s="4" t="e">
        <f>IF(AND(B3725=1,N3725&gt;'Line Follower'!$C$7,SUM(C3725:K3725)&lt;4),1,0)</f>
        <v>#N/A</v>
      </c>
      <c r="S3725" s="4" t="e">
        <f>IF(AND(L3725=1,N3725&lt;'Line Follower'!$C$6,SUM(C3725:K3725)&lt;4),1,0)</f>
        <v>#N/A</v>
      </c>
      <c r="T3725" s="4" t="e">
        <f t="shared" si="292"/>
        <v>#N/A</v>
      </c>
      <c r="U3725" s="5" t="e">
        <f t="shared" si="293"/>
        <v>#N/A</v>
      </c>
      <c r="V3725" s="23" t="e">
        <f t="shared" si="294"/>
        <v>#N/A</v>
      </c>
    </row>
    <row r="3726" spans="2:22" x14ac:dyDescent="0.25">
      <c r="B3726" s="16">
        <v>1</v>
      </c>
      <c r="C3726" s="7">
        <v>1</v>
      </c>
      <c r="D3726" s="8">
        <v>0</v>
      </c>
      <c r="E3726" s="8">
        <v>1</v>
      </c>
      <c r="F3726" s="8">
        <v>0</v>
      </c>
      <c r="G3726" s="8">
        <v>0</v>
      </c>
      <c r="H3726" s="8">
        <v>0</v>
      </c>
      <c r="I3726" s="8">
        <v>1</v>
      </c>
      <c r="J3726" s="8">
        <v>0</v>
      </c>
      <c r="K3726" s="9">
        <v>1</v>
      </c>
      <c r="L3726" s="10">
        <v>1</v>
      </c>
      <c r="M3726" s="6">
        <v>1</v>
      </c>
      <c r="N3726" s="37" t="e" cm="1">
        <f t="array" ref="N3726">IF(OR(ISNUMBER(FIND(Aux!$D$3:$D$9,_xlfn.TEXTJOIN(,,C3726:K3726)))),NA(),IF(AND(SUM(C3726:F3726,H3726:K3726)=0,G3726=1),0,INT((SUMPRODUCT(C3726:F3726,COLUMN($A$1:$D$1)-1)+SUMPRODUCT(H3726:K3726,COLUMN($E$1:$H$1)-1))*'Line Follower'!$C$3/SUM(C3726:F3726,H3726:K3726)-'Line Follower'!$C$5)))</f>
        <v>#N/A</v>
      </c>
      <c r="O3726" s="22" t="e">
        <v>#N/A</v>
      </c>
      <c r="P3726" s="4" t="e">
        <f t="shared" si="290"/>
        <v>#N/A</v>
      </c>
      <c r="Q3726" s="4" t="e">
        <f t="shared" si="291"/>
        <v>#N/A</v>
      </c>
      <c r="R3726" s="4" t="e">
        <f>IF(AND(B3726=1,N3726&gt;'Line Follower'!$C$7,SUM(C3726:K3726)&lt;4),1,0)</f>
        <v>#N/A</v>
      </c>
      <c r="S3726" s="4" t="e">
        <f>IF(AND(L3726=1,N3726&lt;'Line Follower'!$C$6,SUM(C3726:K3726)&lt;4),1,0)</f>
        <v>#N/A</v>
      </c>
      <c r="T3726" s="4" t="e">
        <f t="shared" si="292"/>
        <v>#N/A</v>
      </c>
      <c r="U3726" s="5" t="e">
        <f t="shared" si="293"/>
        <v>#N/A</v>
      </c>
      <c r="V3726" s="23" t="e">
        <f t="shared" si="294"/>
        <v>#N/A</v>
      </c>
    </row>
    <row r="3727" spans="2:22" x14ac:dyDescent="0.25">
      <c r="B3727" s="16">
        <v>0</v>
      </c>
      <c r="C3727" s="7">
        <v>0</v>
      </c>
      <c r="D3727" s="8">
        <v>1</v>
      </c>
      <c r="E3727" s="8">
        <v>1</v>
      </c>
      <c r="F3727" s="8">
        <v>0</v>
      </c>
      <c r="G3727" s="8">
        <v>0</v>
      </c>
      <c r="H3727" s="8">
        <v>0</v>
      </c>
      <c r="I3727" s="8">
        <v>1</v>
      </c>
      <c r="J3727" s="8">
        <v>0</v>
      </c>
      <c r="K3727" s="9">
        <v>1</v>
      </c>
      <c r="L3727" s="10">
        <v>1</v>
      </c>
      <c r="M3727" s="6">
        <v>1</v>
      </c>
      <c r="N3727" s="37" t="e" cm="1">
        <f t="array" ref="N3727">IF(OR(ISNUMBER(FIND(Aux!$D$3:$D$9,_xlfn.TEXTJOIN(,,C3727:K3727)))),NA(),IF(AND(SUM(C3727:F3727,H3727:K3727)=0,G3727=1),0,INT((SUMPRODUCT(C3727:F3727,COLUMN($A$1:$D$1)-1)+SUMPRODUCT(H3727:K3727,COLUMN($E$1:$H$1)-1))*'Line Follower'!$C$3/SUM(C3727:F3727,H3727:K3727)-'Line Follower'!$C$5)))</f>
        <v>#N/A</v>
      </c>
      <c r="O3727" s="22" t="e">
        <v>#N/A</v>
      </c>
      <c r="P3727" s="4" t="e">
        <f t="shared" si="290"/>
        <v>#N/A</v>
      </c>
      <c r="Q3727" s="4" t="e">
        <f t="shared" si="291"/>
        <v>#N/A</v>
      </c>
      <c r="R3727" s="4" t="e">
        <f>IF(AND(B3727=1,N3727&gt;'Line Follower'!$C$7,SUM(C3727:K3727)&lt;4),1,0)</f>
        <v>#N/A</v>
      </c>
      <c r="S3727" s="4" t="e">
        <f>IF(AND(L3727=1,N3727&lt;'Line Follower'!$C$6,SUM(C3727:K3727)&lt;4),1,0)</f>
        <v>#N/A</v>
      </c>
      <c r="T3727" s="4" t="e">
        <f t="shared" si="292"/>
        <v>#N/A</v>
      </c>
      <c r="U3727" s="5" t="e">
        <f t="shared" si="293"/>
        <v>#N/A</v>
      </c>
      <c r="V3727" s="23" t="e">
        <f t="shared" si="294"/>
        <v>#N/A</v>
      </c>
    </row>
    <row r="3728" spans="2:22" x14ac:dyDescent="0.25">
      <c r="B3728" s="16">
        <v>1</v>
      </c>
      <c r="C3728" s="7">
        <v>0</v>
      </c>
      <c r="D3728" s="8">
        <v>1</v>
      </c>
      <c r="E3728" s="8">
        <v>1</v>
      </c>
      <c r="F3728" s="8">
        <v>0</v>
      </c>
      <c r="G3728" s="8">
        <v>0</v>
      </c>
      <c r="H3728" s="8">
        <v>0</v>
      </c>
      <c r="I3728" s="8">
        <v>1</v>
      </c>
      <c r="J3728" s="8">
        <v>0</v>
      </c>
      <c r="K3728" s="9">
        <v>1</v>
      </c>
      <c r="L3728" s="10">
        <v>1</v>
      </c>
      <c r="M3728" s="6">
        <v>1</v>
      </c>
      <c r="N3728" s="37" t="e" cm="1">
        <f t="array" ref="N3728">IF(OR(ISNUMBER(FIND(Aux!$D$3:$D$9,_xlfn.TEXTJOIN(,,C3728:K3728)))),NA(),IF(AND(SUM(C3728:F3728,H3728:K3728)=0,G3728=1),0,INT((SUMPRODUCT(C3728:F3728,COLUMN($A$1:$D$1)-1)+SUMPRODUCT(H3728:K3728,COLUMN($E$1:$H$1)-1))*'Line Follower'!$C$3/SUM(C3728:F3728,H3728:K3728)-'Line Follower'!$C$5)))</f>
        <v>#N/A</v>
      </c>
      <c r="O3728" s="22" t="e">
        <v>#N/A</v>
      </c>
      <c r="P3728" s="4" t="e">
        <f t="shared" si="290"/>
        <v>#N/A</v>
      </c>
      <c r="Q3728" s="4" t="e">
        <f t="shared" si="291"/>
        <v>#N/A</v>
      </c>
      <c r="R3728" s="4" t="e">
        <f>IF(AND(B3728=1,N3728&gt;'Line Follower'!$C$7,SUM(C3728:K3728)&lt;4),1,0)</f>
        <v>#N/A</v>
      </c>
      <c r="S3728" s="4" t="e">
        <f>IF(AND(L3728=1,N3728&lt;'Line Follower'!$C$6,SUM(C3728:K3728)&lt;4),1,0)</f>
        <v>#N/A</v>
      </c>
      <c r="T3728" s="4" t="e">
        <f t="shared" si="292"/>
        <v>#N/A</v>
      </c>
      <c r="U3728" s="5" t="e">
        <f t="shared" si="293"/>
        <v>#N/A</v>
      </c>
      <c r="V3728" s="23" t="e">
        <f t="shared" si="294"/>
        <v>#N/A</v>
      </c>
    </row>
    <row r="3729" spans="2:22" x14ac:dyDescent="0.25">
      <c r="B3729" s="16">
        <v>0</v>
      </c>
      <c r="C3729" s="7">
        <v>1</v>
      </c>
      <c r="D3729" s="8">
        <v>1</v>
      </c>
      <c r="E3729" s="8">
        <v>1</v>
      </c>
      <c r="F3729" s="8">
        <v>0</v>
      </c>
      <c r="G3729" s="8">
        <v>0</v>
      </c>
      <c r="H3729" s="8">
        <v>0</v>
      </c>
      <c r="I3729" s="8">
        <v>1</v>
      </c>
      <c r="J3729" s="8">
        <v>0</v>
      </c>
      <c r="K3729" s="9">
        <v>1</v>
      </c>
      <c r="L3729" s="10">
        <v>1</v>
      </c>
      <c r="M3729" s="6">
        <v>1</v>
      </c>
      <c r="N3729" s="37" t="e" cm="1">
        <f t="array" ref="N3729">IF(OR(ISNUMBER(FIND(Aux!$D$3:$D$9,_xlfn.TEXTJOIN(,,C3729:K3729)))),NA(),IF(AND(SUM(C3729:F3729,H3729:K3729)=0,G3729=1),0,INT((SUMPRODUCT(C3729:F3729,COLUMN($A$1:$D$1)-1)+SUMPRODUCT(H3729:K3729,COLUMN($E$1:$H$1)-1))*'Line Follower'!$C$3/SUM(C3729:F3729,H3729:K3729)-'Line Follower'!$C$5)))</f>
        <v>#N/A</v>
      </c>
      <c r="O3729" s="22" t="e">
        <v>#N/A</v>
      </c>
      <c r="P3729" s="4" t="e">
        <f t="shared" si="290"/>
        <v>#N/A</v>
      </c>
      <c r="Q3729" s="4" t="e">
        <f t="shared" si="291"/>
        <v>#N/A</v>
      </c>
      <c r="R3729" s="4" t="e">
        <f>IF(AND(B3729=1,N3729&gt;'Line Follower'!$C$7,SUM(C3729:K3729)&lt;4),1,0)</f>
        <v>#N/A</v>
      </c>
      <c r="S3729" s="4" t="e">
        <f>IF(AND(L3729=1,N3729&lt;'Line Follower'!$C$6,SUM(C3729:K3729)&lt;4),1,0)</f>
        <v>#N/A</v>
      </c>
      <c r="T3729" s="4" t="e">
        <f t="shared" si="292"/>
        <v>#N/A</v>
      </c>
      <c r="U3729" s="5" t="e">
        <f t="shared" si="293"/>
        <v>#N/A</v>
      </c>
      <c r="V3729" s="23" t="e">
        <f t="shared" si="294"/>
        <v>#N/A</v>
      </c>
    </row>
    <row r="3730" spans="2:22" x14ac:dyDescent="0.25">
      <c r="B3730" s="16">
        <v>1</v>
      </c>
      <c r="C3730" s="7">
        <v>1</v>
      </c>
      <c r="D3730" s="8">
        <v>1</v>
      </c>
      <c r="E3730" s="8">
        <v>1</v>
      </c>
      <c r="F3730" s="8">
        <v>0</v>
      </c>
      <c r="G3730" s="8">
        <v>0</v>
      </c>
      <c r="H3730" s="8">
        <v>0</v>
      </c>
      <c r="I3730" s="8">
        <v>1</v>
      </c>
      <c r="J3730" s="8">
        <v>0</v>
      </c>
      <c r="K3730" s="9">
        <v>1</v>
      </c>
      <c r="L3730" s="10">
        <v>1</v>
      </c>
      <c r="M3730" s="6">
        <v>1</v>
      </c>
      <c r="N3730" s="37" t="e" cm="1">
        <f t="array" ref="N3730">IF(OR(ISNUMBER(FIND(Aux!$D$3:$D$9,_xlfn.TEXTJOIN(,,C3730:K3730)))),NA(),IF(AND(SUM(C3730:F3730,H3730:K3730)=0,G3730=1),0,INT((SUMPRODUCT(C3730:F3730,COLUMN($A$1:$D$1)-1)+SUMPRODUCT(H3730:K3730,COLUMN($E$1:$H$1)-1))*'Line Follower'!$C$3/SUM(C3730:F3730,H3730:K3730)-'Line Follower'!$C$5)))</f>
        <v>#N/A</v>
      </c>
      <c r="O3730" s="22" t="e">
        <v>#N/A</v>
      </c>
      <c r="P3730" s="4" t="e">
        <f t="shared" si="290"/>
        <v>#N/A</v>
      </c>
      <c r="Q3730" s="4" t="e">
        <f t="shared" si="291"/>
        <v>#N/A</v>
      </c>
      <c r="R3730" s="4" t="e">
        <f>IF(AND(B3730=1,N3730&gt;'Line Follower'!$C$7,SUM(C3730:K3730)&lt;4),1,0)</f>
        <v>#N/A</v>
      </c>
      <c r="S3730" s="4" t="e">
        <f>IF(AND(L3730=1,N3730&lt;'Line Follower'!$C$6,SUM(C3730:K3730)&lt;4),1,0)</f>
        <v>#N/A</v>
      </c>
      <c r="T3730" s="4" t="e">
        <f t="shared" si="292"/>
        <v>#N/A</v>
      </c>
      <c r="U3730" s="5" t="e">
        <f t="shared" si="293"/>
        <v>#N/A</v>
      </c>
      <c r="V3730" s="23" t="e">
        <f t="shared" si="294"/>
        <v>#N/A</v>
      </c>
    </row>
    <row r="3731" spans="2:22" x14ac:dyDescent="0.25">
      <c r="B3731" s="16">
        <v>0</v>
      </c>
      <c r="C3731" s="7">
        <v>0</v>
      </c>
      <c r="D3731" s="8">
        <v>0</v>
      </c>
      <c r="E3731" s="8">
        <v>0</v>
      </c>
      <c r="F3731" s="8">
        <v>1</v>
      </c>
      <c r="G3731" s="8">
        <v>0</v>
      </c>
      <c r="H3731" s="8">
        <v>0</v>
      </c>
      <c r="I3731" s="8">
        <v>1</v>
      </c>
      <c r="J3731" s="8">
        <v>0</v>
      </c>
      <c r="K3731" s="9">
        <v>1</v>
      </c>
      <c r="L3731" s="10">
        <v>1</v>
      </c>
      <c r="M3731" s="6">
        <v>1</v>
      </c>
      <c r="N3731" s="37" t="e" cm="1">
        <f t="array" ref="N3731">IF(OR(ISNUMBER(FIND(Aux!$D$3:$D$9,_xlfn.TEXTJOIN(,,C3731:K3731)))),NA(),IF(AND(SUM(C3731:F3731,H3731:K3731)=0,G3731=1),0,INT((SUMPRODUCT(C3731:F3731,COLUMN($A$1:$D$1)-1)+SUMPRODUCT(H3731:K3731,COLUMN($E$1:$H$1)-1))*'Line Follower'!$C$3/SUM(C3731:F3731,H3731:K3731)-'Line Follower'!$C$5)))</f>
        <v>#N/A</v>
      </c>
      <c r="O3731" s="22" t="e">
        <v>#N/A</v>
      </c>
      <c r="P3731" s="4" t="e">
        <f t="shared" si="290"/>
        <v>#N/A</v>
      </c>
      <c r="Q3731" s="4" t="e">
        <f t="shared" si="291"/>
        <v>#N/A</v>
      </c>
      <c r="R3731" s="4" t="e">
        <f>IF(AND(B3731=1,N3731&gt;'Line Follower'!$C$7,SUM(C3731:K3731)&lt;4),1,0)</f>
        <v>#N/A</v>
      </c>
      <c r="S3731" s="4" t="e">
        <f>IF(AND(L3731=1,N3731&lt;'Line Follower'!$C$6,SUM(C3731:K3731)&lt;4),1,0)</f>
        <v>#N/A</v>
      </c>
      <c r="T3731" s="4" t="e">
        <f t="shared" si="292"/>
        <v>#N/A</v>
      </c>
      <c r="U3731" s="5" t="e">
        <f t="shared" si="293"/>
        <v>#N/A</v>
      </c>
      <c r="V3731" s="23" t="e">
        <f t="shared" si="294"/>
        <v>#N/A</v>
      </c>
    </row>
    <row r="3732" spans="2:22" x14ac:dyDescent="0.25">
      <c r="B3732" s="16">
        <v>1</v>
      </c>
      <c r="C3732" s="7">
        <v>0</v>
      </c>
      <c r="D3732" s="8">
        <v>0</v>
      </c>
      <c r="E3732" s="8">
        <v>0</v>
      </c>
      <c r="F3732" s="8">
        <v>1</v>
      </c>
      <c r="G3732" s="8">
        <v>0</v>
      </c>
      <c r="H3732" s="8">
        <v>0</v>
      </c>
      <c r="I3732" s="8">
        <v>1</v>
      </c>
      <c r="J3732" s="8">
        <v>0</v>
      </c>
      <c r="K3732" s="9">
        <v>1</v>
      </c>
      <c r="L3732" s="10">
        <v>1</v>
      </c>
      <c r="M3732" s="6">
        <v>1</v>
      </c>
      <c r="N3732" s="37" t="e" cm="1">
        <f t="array" ref="N3732">IF(OR(ISNUMBER(FIND(Aux!$D$3:$D$9,_xlfn.TEXTJOIN(,,C3732:K3732)))),NA(),IF(AND(SUM(C3732:F3732,H3732:K3732)=0,G3732=1),0,INT((SUMPRODUCT(C3732:F3732,COLUMN($A$1:$D$1)-1)+SUMPRODUCT(H3732:K3732,COLUMN($E$1:$H$1)-1))*'Line Follower'!$C$3/SUM(C3732:F3732,H3732:K3732)-'Line Follower'!$C$5)))</f>
        <v>#N/A</v>
      </c>
      <c r="O3732" s="22" t="e">
        <v>#N/A</v>
      </c>
      <c r="P3732" s="4" t="e">
        <f t="shared" si="290"/>
        <v>#N/A</v>
      </c>
      <c r="Q3732" s="4" t="e">
        <f t="shared" si="291"/>
        <v>#N/A</v>
      </c>
      <c r="R3732" s="4" t="e">
        <f>IF(AND(B3732=1,N3732&gt;'Line Follower'!$C$7,SUM(C3732:K3732)&lt;4),1,0)</f>
        <v>#N/A</v>
      </c>
      <c r="S3732" s="4" t="e">
        <f>IF(AND(L3732=1,N3732&lt;'Line Follower'!$C$6,SUM(C3732:K3732)&lt;4),1,0)</f>
        <v>#N/A</v>
      </c>
      <c r="T3732" s="4" t="e">
        <f t="shared" si="292"/>
        <v>#N/A</v>
      </c>
      <c r="U3732" s="5" t="e">
        <f t="shared" si="293"/>
        <v>#N/A</v>
      </c>
      <c r="V3732" s="23" t="e">
        <f t="shared" si="294"/>
        <v>#N/A</v>
      </c>
    </row>
    <row r="3733" spans="2:22" x14ac:dyDescent="0.25">
      <c r="B3733" s="16">
        <v>0</v>
      </c>
      <c r="C3733" s="7">
        <v>1</v>
      </c>
      <c r="D3733" s="8">
        <v>0</v>
      </c>
      <c r="E3733" s="8">
        <v>0</v>
      </c>
      <c r="F3733" s="8">
        <v>1</v>
      </c>
      <c r="G3733" s="8">
        <v>0</v>
      </c>
      <c r="H3733" s="8">
        <v>0</v>
      </c>
      <c r="I3733" s="8">
        <v>1</v>
      </c>
      <c r="J3733" s="8">
        <v>0</v>
      </c>
      <c r="K3733" s="9">
        <v>1</v>
      </c>
      <c r="L3733" s="10">
        <v>1</v>
      </c>
      <c r="M3733" s="6">
        <v>1</v>
      </c>
      <c r="N3733" s="37" t="e" cm="1">
        <f t="array" ref="N3733">IF(OR(ISNUMBER(FIND(Aux!$D$3:$D$9,_xlfn.TEXTJOIN(,,C3733:K3733)))),NA(),IF(AND(SUM(C3733:F3733,H3733:K3733)=0,G3733=1),0,INT((SUMPRODUCT(C3733:F3733,COLUMN($A$1:$D$1)-1)+SUMPRODUCT(H3733:K3733,COLUMN($E$1:$H$1)-1))*'Line Follower'!$C$3/SUM(C3733:F3733,H3733:K3733)-'Line Follower'!$C$5)))</f>
        <v>#N/A</v>
      </c>
      <c r="O3733" s="22" t="e">
        <v>#N/A</v>
      </c>
      <c r="P3733" s="4" t="e">
        <f t="shared" si="290"/>
        <v>#N/A</v>
      </c>
      <c r="Q3733" s="4" t="e">
        <f t="shared" si="291"/>
        <v>#N/A</v>
      </c>
      <c r="R3733" s="4" t="e">
        <f>IF(AND(B3733=1,N3733&gt;'Line Follower'!$C$7,SUM(C3733:K3733)&lt;4),1,0)</f>
        <v>#N/A</v>
      </c>
      <c r="S3733" s="4" t="e">
        <f>IF(AND(L3733=1,N3733&lt;'Line Follower'!$C$6,SUM(C3733:K3733)&lt;4),1,0)</f>
        <v>#N/A</v>
      </c>
      <c r="T3733" s="4" t="e">
        <f t="shared" si="292"/>
        <v>#N/A</v>
      </c>
      <c r="U3733" s="5" t="e">
        <f t="shared" si="293"/>
        <v>#N/A</v>
      </c>
      <c r="V3733" s="23" t="e">
        <f t="shared" si="294"/>
        <v>#N/A</v>
      </c>
    </row>
    <row r="3734" spans="2:22" x14ac:dyDescent="0.25">
      <c r="B3734" s="16">
        <v>1</v>
      </c>
      <c r="C3734" s="7">
        <v>1</v>
      </c>
      <c r="D3734" s="8">
        <v>0</v>
      </c>
      <c r="E3734" s="8">
        <v>0</v>
      </c>
      <c r="F3734" s="8">
        <v>1</v>
      </c>
      <c r="G3734" s="8">
        <v>0</v>
      </c>
      <c r="H3734" s="8">
        <v>0</v>
      </c>
      <c r="I3734" s="8">
        <v>1</v>
      </c>
      <c r="J3734" s="8">
        <v>0</v>
      </c>
      <c r="K3734" s="9">
        <v>1</v>
      </c>
      <c r="L3734" s="10">
        <v>1</v>
      </c>
      <c r="M3734" s="6">
        <v>1</v>
      </c>
      <c r="N3734" s="37" t="e" cm="1">
        <f t="array" ref="N3734">IF(OR(ISNUMBER(FIND(Aux!$D$3:$D$9,_xlfn.TEXTJOIN(,,C3734:K3734)))),NA(),IF(AND(SUM(C3734:F3734,H3734:K3734)=0,G3734=1),0,INT((SUMPRODUCT(C3734:F3734,COLUMN($A$1:$D$1)-1)+SUMPRODUCT(H3734:K3734,COLUMN($E$1:$H$1)-1))*'Line Follower'!$C$3/SUM(C3734:F3734,H3734:K3734)-'Line Follower'!$C$5)))</f>
        <v>#N/A</v>
      </c>
      <c r="O3734" s="22" t="e">
        <v>#N/A</v>
      </c>
      <c r="P3734" s="4" t="e">
        <f t="shared" si="290"/>
        <v>#N/A</v>
      </c>
      <c r="Q3734" s="4" t="e">
        <f t="shared" si="291"/>
        <v>#N/A</v>
      </c>
      <c r="R3734" s="4" t="e">
        <f>IF(AND(B3734=1,N3734&gt;'Line Follower'!$C$7,SUM(C3734:K3734)&lt;4),1,0)</f>
        <v>#N/A</v>
      </c>
      <c r="S3734" s="4" t="e">
        <f>IF(AND(L3734=1,N3734&lt;'Line Follower'!$C$6,SUM(C3734:K3734)&lt;4),1,0)</f>
        <v>#N/A</v>
      </c>
      <c r="T3734" s="4" t="e">
        <f t="shared" si="292"/>
        <v>#N/A</v>
      </c>
      <c r="U3734" s="5" t="e">
        <f t="shared" si="293"/>
        <v>#N/A</v>
      </c>
      <c r="V3734" s="23" t="e">
        <f t="shared" si="294"/>
        <v>#N/A</v>
      </c>
    </row>
    <row r="3735" spans="2:22" x14ac:dyDescent="0.25">
      <c r="B3735" s="16">
        <v>0</v>
      </c>
      <c r="C3735" s="7">
        <v>0</v>
      </c>
      <c r="D3735" s="8">
        <v>1</v>
      </c>
      <c r="E3735" s="8">
        <v>0</v>
      </c>
      <c r="F3735" s="8">
        <v>1</v>
      </c>
      <c r="G3735" s="8">
        <v>0</v>
      </c>
      <c r="H3735" s="8">
        <v>0</v>
      </c>
      <c r="I3735" s="8">
        <v>1</v>
      </c>
      <c r="J3735" s="8">
        <v>0</v>
      </c>
      <c r="K3735" s="9">
        <v>1</v>
      </c>
      <c r="L3735" s="10">
        <v>1</v>
      </c>
      <c r="M3735" s="6">
        <v>1</v>
      </c>
      <c r="N3735" s="37" t="e" cm="1">
        <f t="array" ref="N3735">IF(OR(ISNUMBER(FIND(Aux!$D$3:$D$9,_xlfn.TEXTJOIN(,,C3735:K3735)))),NA(),IF(AND(SUM(C3735:F3735,H3735:K3735)=0,G3735=1),0,INT((SUMPRODUCT(C3735:F3735,COLUMN($A$1:$D$1)-1)+SUMPRODUCT(H3735:K3735,COLUMN($E$1:$H$1)-1))*'Line Follower'!$C$3/SUM(C3735:F3735,H3735:K3735)-'Line Follower'!$C$5)))</f>
        <v>#N/A</v>
      </c>
      <c r="O3735" s="22" t="e">
        <v>#N/A</v>
      </c>
      <c r="P3735" s="4" t="e">
        <f t="shared" si="290"/>
        <v>#N/A</v>
      </c>
      <c r="Q3735" s="4" t="e">
        <f t="shared" si="291"/>
        <v>#N/A</v>
      </c>
      <c r="R3735" s="4" t="e">
        <f>IF(AND(B3735=1,N3735&gt;'Line Follower'!$C$7,SUM(C3735:K3735)&lt;4),1,0)</f>
        <v>#N/A</v>
      </c>
      <c r="S3735" s="4" t="e">
        <f>IF(AND(L3735=1,N3735&lt;'Line Follower'!$C$6,SUM(C3735:K3735)&lt;4),1,0)</f>
        <v>#N/A</v>
      </c>
      <c r="T3735" s="4" t="e">
        <f t="shared" si="292"/>
        <v>#N/A</v>
      </c>
      <c r="U3735" s="5" t="e">
        <f t="shared" si="293"/>
        <v>#N/A</v>
      </c>
      <c r="V3735" s="23" t="e">
        <f t="shared" si="294"/>
        <v>#N/A</v>
      </c>
    </row>
    <row r="3736" spans="2:22" x14ac:dyDescent="0.25">
      <c r="B3736" s="16">
        <v>1</v>
      </c>
      <c r="C3736" s="7">
        <v>0</v>
      </c>
      <c r="D3736" s="8">
        <v>1</v>
      </c>
      <c r="E3736" s="8">
        <v>0</v>
      </c>
      <c r="F3736" s="8">
        <v>1</v>
      </c>
      <c r="G3736" s="8">
        <v>0</v>
      </c>
      <c r="H3736" s="8">
        <v>0</v>
      </c>
      <c r="I3736" s="8">
        <v>1</v>
      </c>
      <c r="J3736" s="8">
        <v>0</v>
      </c>
      <c r="K3736" s="9">
        <v>1</v>
      </c>
      <c r="L3736" s="10">
        <v>1</v>
      </c>
      <c r="M3736" s="6">
        <v>1</v>
      </c>
      <c r="N3736" s="37" t="e" cm="1">
        <f t="array" ref="N3736">IF(OR(ISNUMBER(FIND(Aux!$D$3:$D$9,_xlfn.TEXTJOIN(,,C3736:K3736)))),NA(),IF(AND(SUM(C3736:F3736,H3736:K3736)=0,G3736=1),0,INT((SUMPRODUCT(C3736:F3736,COLUMN($A$1:$D$1)-1)+SUMPRODUCT(H3736:K3736,COLUMN($E$1:$H$1)-1))*'Line Follower'!$C$3/SUM(C3736:F3736,H3736:K3736)-'Line Follower'!$C$5)))</f>
        <v>#N/A</v>
      </c>
      <c r="O3736" s="22" t="e">
        <v>#N/A</v>
      </c>
      <c r="P3736" s="4" t="e">
        <f t="shared" si="290"/>
        <v>#N/A</v>
      </c>
      <c r="Q3736" s="4" t="e">
        <f t="shared" si="291"/>
        <v>#N/A</v>
      </c>
      <c r="R3736" s="4" t="e">
        <f>IF(AND(B3736=1,N3736&gt;'Line Follower'!$C$7,SUM(C3736:K3736)&lt;4),1,0)</f>
        <v>#N/A</v>
      </c>
      <c r="S3736" s="4" t="e">
        <f>IF(AND(L3736=1,N3736&lt;'Line Follower'!$C$6,SUM(C3736:K3736)&lt;4),1,0)</f>
        <v>#N/A</v>
      </c>
      <c r="T3736" s="4" t="e">
        <f t="shared" si="292"/>
        <v>#N/A</v>
      </c>
      <c r="U3736" s="5" t="e">
        <f t="shared" si="293"/>
        <v>#N/A</v>
      </c>
      <c r="V3736" s="23" t="e">
        <f t="shared" si="294"/>
        <v>#N/A</v>
      </c>
    </row>
    <row r="3737" spans="2:22" x14ac:dyDescent="0.25">
      <c r="B3737" s="16">
        <v>0</v>
      </c>
      <c r="C3737" s="7">
        <v>1</v>
      </c>
      <c r="D3737" s="8">
        <v>1</v>
      </c>
      <c r="E3737" s="8">
        <v>0</v>
      </c>
      <c r="F3737" s="8">
        <v>1</v>
      </c>
      <c r="G3737" s="8">
        <v>0</v>
      </c>
      <c r="H3737" s="8">
        <v>0</v>
      </c>
      <c r="I3737" s="8">
        <v>1</v>
      </c>
      <c r="J3737" s="8">
        <v>0</v>
      </c>
      <c r="K3737" s="9">
        <v>1</v>
      </c>
      <c r="L3737" s="10">
        <v>1</v>
      </c>
      <c r="M3737" s="6">
        <v>1</v>
      </c>
      <c r="N3737" s="37" t="e" cm="1">
        <f t="array" ref="N3737">IF(OR(ISNUMBER(FIND(Aux!$D$3:$D$9,_xlfn.TEXTJOIN(,,C3737:K3737)))),NA(),IF(AND(SUM(C3737:F3737,H3737:K3737)=0,G3737=1),0,INT((SUMPRODUCT(C3737:F3737,COLUMN($A$1:$D$1)-1)+SUMPRODUCT(H3737:K3737,COLUMN($E$1:$H$1)-1))*'Line Follower'!$C$3/SUM(C3737:F3737,H3737:K3737)-'Line Follower'!$C$5)))</f>
        <v>#N/A</v>
      </c>
      <c r="O3737" s="22" t="e">
        <v>#N/A</v>
      </c>
      <c r="P3737" s="4" t="e">
        <f t="shared" si="290"/>
        <v>#N/A</v>
      </c>
      <c r="Q3737" s="4" t="e">
        <f t="shared" si="291"/>
        <v>#N/A</v>
      </c>
      <c r="R3737" s="4" t="e">
        <f>IF(AND(B3737=1,N3737&gt;'Line Follower'!$C$7,SUM(C3737:K3737)&lt;4),1,0)</f>
        <v>#N/A</v>
      </c>
      <c r="S3737" s="4" t="e">
        <f>IF(AND(L3737=1,N3737&lt;'Line Follower'!$C$6,SUM(C3737:K3737)&lt;4),1,0)</f>
        <v>#N/A</v>
      </c>
      <c r="T3737" s="4" t="e">
        <f t="shared" si="292"/>
        <v>#N/A</v>
      </c>
      <c r="U3737" s="5" t="e">
        <f t="shared" si="293"/>
        <v>#N/A</v>
      </c>
      <c r="V3737" s="23" t="e">
        <f t="shared" si="294"/>
        <v>#N/A</v>
      </c>
    </row>
    <row r="3738" spans="2:22" x14ac:dyDescent="0.25">
      <c r="B3738" s="16">
        <v>1</v>
      </c>
      <c r="C3738" s="7">
        <v>1</v>
      </c>
      <c r="D3738" s="8">
        <v>1</v>
      </c>
      <c r="E3738" s="8">
        <v>0</v>
      </c>
      <c r="F3738" s="8">
        <v>1</v>
      </c>
      <c r="G3738" s="8">
        <v>0</v>
      </c>
      <c r="H3738" s="8">
        <v>0</v>
      </c>
      <c r="I3738" s="8">
        <v>1</v>
      </c>
      <c r="J3738" s="8">
        <v>0</v>
      </c>
      <c r="K3738" s="9">
        <v>1</v>
      </c>
      <c r="L3738" s="10">
        <v>1</v>
      </c>
      <c r="M3738" s="6">
        <v>1</v>
      </c>
      <c r="N3738" s="37" t="e" cm="1">
        <f t="array" ref="N3738">IF(OR(ISNUMBER(FIND(Aux!$D$3:$D$9,_xlfn.TEXTJOIN(,,C3738:K3738)))),NA(),IF(AND(SUM(C3738:F3738,H3738:K3738)=0,G3738=1),0,INT((SUMPRODUCT(C3738:F3738,COLUMN($A$1:$D$1)-1)+SUMPRODUCT(H3738:K3738,COLUMN($E$1:$H$1)-1))*'Line Follower'!$C$3/SUM(C3738:F3738,H3738:K3738)-'Line Follower'!$C$5)))</f>
        <v>#N/A</v>
      </c>
      <c r="O3738" s="22" t="e">
        <v>#N/A</v>
      </c>
      <c r="P3738" s="4" t="e">
        <f t="shared" si="290"/>
        <v>#N/A</v>
      </c>
      <c r="Q3738" s="4" t="e">
        <f t="shared" si="291"/>
        <v>#N/A</v>
      </c>
      <c r="R3738" s="4" t="e">
        <f>IF(AND(B3738=1,N3738&gt;'Line Follower'!$C$7,SUM(C3738:K3738)&lt;4),1,0)</f>
        <v>#N/A</v>
      </c>
      <c r="S3738" s="4" t="e">
        <f>IF(AND(L3738=1,N3738&lt;'Line Follower'!$C$6,SUM(C3738:K3738)&lt;4),1,0)</f>
        <v>#N/A</v>
      </c>
      <c r="T3738" s="4" t="e">
        <f t="shared" si="292"/>
        <v>#N/A</v>
      </c>
      <c r="U3738" s="5" t="e">
        <f t="shared" si="293"/>
        <v>#N/A</v>
      </c>
      <c r="V3738" s="23" t="e">
        <f t="shared" si="294"/>
        <v>#N/A</v>
      </c>
    </row>
    <row r="3739" spans="2:22" x14ac:dyDescent="0.25">
      <c r="B3739" s="16">
        <v>0</v>
      </c>
      <c r="C3739" s="7">
        <v>0</v>
      </c>
      <c r="D3739" s="8">
        <v>0</v>
      </c>
      <c r="E3739" s="8">
        <v>1</v>
      </c>
      <c r="F3739" s="8">
        <v>1</v>
      </c>
      <c r="G3739" s="8">
        <v>0</v>
      </c>
      <c r="H3739" s="8">
        <v>0</v>
      </c>
      <c r="I3739" s="8">
        <v>1</v>
      </c>
      <c r="J3739" s="8">
        <v>0</v>
      </c>
      <c r="K3739" s="9">
        <v>1</v>
      </c>
      <c r="L3739" s="10">
        <v>1</v>
      </c>
      <c r="M3739" s="6">
        <v>1</v>
      </c>
      <c r="N3739" s="37" t="e" cm="1">
        <f t="array" ref="N3739">IF(OR(ISNUMBER(FIND(Aux!$D$3:$D$9,_xlfn.TEXTJOIN(,,C3739:K3739)))),NA(),IF(AND(SUM(C3739:F3739,H3739:K3739)=0,G3739=1),0,INT((SUMPRODUCT(C3739:F3739,COLUMN($A$1:$D$1)-1)+SUMPRODUCT(H3739:K3739,COLUMN($E$1:$H$1)-1))*'Line Follower'!$C$3/SUM(C3739:F3739,H3739:K3739)-'Line Follower'!$C$5)))</f>
        <v>#N/A</v>
      </c>
      <c r="O3739" s="22" t="e">
        <v>#N/A</v>
      </c>
      <c r="P3739" s="4" t="e">
        <f t="shared" si="290"/>
        <v>#N/A</v>
      </c>
      <c r="Q3739" s="4" t="e">
        <f t="shared" si="291"/>
        <v>#N/A</v>
      </c>
      <c r="R3739" s="4" t="e">
        <f>IF(AND(B3739=1,N3739&gt;'Line Follower'!$C$7,SUM(C3739:K3739)&lt;4),1,0)</f>
        <v>#N/A</v>
      </c>
      <c r="S3739" s="4" t="e">
        <f>IF(AND(L3739=1,N3739&lt;'Line Follower'!$C$6,SUM(C3739:K3739)&lt;4),1,0)</f>
        <v>#N/A</v>
      </c>
      <c r="T3739" s="4" t="e">
        <f t="shared" si="292"/>
        <v>#N/A</v>
      </c>
      <c r="U3739" s="5" t="e">
        <f t="shared" si="293"/>
        <v>#N/A</v>
      </c>
      <c r="V3739" s="23" t="e">
        <f t="shared" si="294"/>
        <v>#N/A</v>
      </c>
    </row>
    <row r="3740" spans="2:22" x14ac:dyDescent="0.25">
      <c r="B3740" s="16">
        <v>1</v>
      </c>
      <c r="C3740" s="7">
        <v>0</v>
      </c>
      <c r="D3740" s="8">
        <v>0</v>
      </c>
      <c r="E3740" s="8">
        <v>1</v>
      </c>
      <c r="F3740" s="8">
        <v>1</v>
      </c>
      <c r="G3740" s="8">
        <v>0</v>
      </c>
      <c r="H3740" s="8">
        <v>0</v>
      </c>
      <c r="I3740" s="8">
        <v>1</v>
      </c>
      <c r="J3740" s="8">
        <v>0</v>
      </c>
      <c r="K3740" s="9">
        <v>1</v>
      </c>
      <c r="L3740" s="10">
        <v>1</v>
      </c>
      <c r="M3740" s="6">
        <v>1</v>
      </c>
      <c r="N3740" s="37" t="e" cm="1">
        <f t="array" ref="N3740">IF(OR(ISNUMBER(FIND(Aux!$D$3:$D$9,_xlfn.TEXTJOIN(,,C3740:K3740)))),NA(),IF(AND(SUM(C3740:F3740,H3740:K3740)=0,G3740=1),0,INT((SUMPRODUCT(C3740:F3740,COLUMN($A$1:$D$1)-1)+SUMPRODUCT(H3740:K3740,COLUMN($E$1:$H$1)-1))*'Line Follower'!$C$3/SUM(C3740:F3740,H3740:K3740)-'Line Follower'!$C$5)))</f>
        <v>#N/A</v>
      </c>
      <c r="O3740" s="22" t="e">
        <v>#N/A</v>
      </c>
      <c r="P3740" s="4" t="e">
        <f t="shared" si="290"/>
        <v>#N/A</v>
      </c>
      <c r="Q3740" s="4" t="e">
        <f t="shared" si="291"/>
        <v>#N/A</v>
      </c>
      <c r="R3740" s="4" t="e">
        <f>IF(AND(B3740=1,N3740&gt;'Line Follower'!$C$7,SUM(C3740:K3740)&lt;4),1,0)</f>
        <v>#N/A</v>
      </c>
      <c r="S3740" s="4" t="e">
        <f>IF(AND(L3740=1,N3740&lt;'Line Follower'!$C$6,SUM(C3740:K3740)&lt;4),1,0)</f>
        <v>#N/A</v>
      </c>
      <c r="T3740" s="4" t="e">
        <f t="shared" si="292"/>
        <v>#N/A</v>
      </c>
      <c r="U3740" s="5" t="e">
        <f t="shared" si="293"/>
        <v>#N/A</v>
      </c>
      <c r="V3740" s="23" t="e">
        <f t="shared" si="294"/>
        <v>#N/A</v>
      </c>
    </row>
    <row r="3741" spans="2:22" x14ac:dyDescent="0.25">
      <c r="B3741" s="16">
        <v>0</v>
      </c>
      <c r="C3741" s="7">
        <v>1</v>
      </c>
      <c r="D3741" s="8">
        <v>0</v>
      </c>
      <c r="E3741" s="8">
        <v>1</v>
      </c>
      <c r="F3741" s="8">
        <v>1</v>
      </c>
      <c r="G3741" s="8">
        <v>0</v>
      </c>
      <c r="H3741" s="8">
        <v>0</v>
      </c>
      <c r="I3741" s="8">
        <v>1</v>
      </c>
      <c r="J3741" s="8">
        <v>0</v>
      </c>
      <c r="K3741" s="9">
        <v>1</v>
      </c>
      <c r="L3741" s="10">
        <v>1</v>
      </c>
      <c r="M3741" s="6">
        <v>1</v>
      </c>
      <c r="N3741" s="37" t="e" cm="1">
        <f t="array" ref="N3741">IF(OR(ISNUMBER(FIND(Aux!$D$3:$D$9,_xlfn.TEXTJOIN(,,C3741:K3741)))),NA(),IF(AND(SUM(C3741:F3741,H3741:K3741)=0,G3741=1),0,INT((SUMPRODUCT(C3741:F3741,COLUMN($A$1:$D$1)-1)+SUMPRODUCT(H3741:K3741,COLUMN($E$1:$H$1)-1))*'Line Follower'!$C$3/SUM(C3741:F3741,H3741:K3741)-'Line Follower'!$C$5)))</f>
        <v>#N/A</v>
      </c>
      <c r="O3741" s="22" t="e">
        <v>#N/A</v>
      </c>
      <c r="P3741" s="4" t="e">
        <f t="shared" si="290"/>
        <v>#N/A</v>
      </c>
      <c r="Q3741" s="4" t="e">
        <f t="shared" si="291"/>
        <v>#N/A</v>
      </c>
      <c r="R3741" s="4" t="e">
        <f>IF(AND(B3741=1,N3741&gt;'Line Follower'!$C$7,SUM(C3741:K3741)&lt;4),1,0)</f>
        <v>#N/A</v>
      </c>
      <c r="S3741" s="4" t="e">
        <f>IF(AND(L3741=1,N3741&lt;'Line Follower'!$C$6,SUM(C3741:K3741)&lt;4),1,0)</f>
        <v>#N/A</v>
      </c>
      <c r="T3741" s="4" t="e">
        <f t="shared" si="292"/>
        <v>#N/A</v>
      </c>
      <c r="U3741" s="5" t="e">
        <f t="shared" si="293"/>
        <v>#N/A</v>
      </c>
      <c r="V3741" s="23" t="e">
        <f t="shared" si="294"/>
        <v>#N/A</v>
      </c>
    </row>
    <row r="3742" spans="2:22" x14ac:dyDescent="0.25">
      <c r="B3742" s="16">
        <v>1</v>
      </c>
      <c r="C3742" s="7">
        <v>1</v>
      </c>
      <c r="D3742" s="8">
        <v>0</v>
      </c>
      <c r="E3742" s="8">
        <v>1</v>
      </c>
      <c r="F3742" s="8">
        <v>1</v>
      </c>
      <c r="G3742" s="8">
        <v>0</v>
      </c>
      <c r="H3742" s="8">
        <v>0</v>
      </c>
      <c r="I3742" s="8">
        <v>1</v>
      </c>
      <c r="J3742" s="8">
        <v>0</v>
      </c>
      <c r="K3742" s="9">
        <v>1</v>
      </c>
      <c r="L3742" s="10">
        <v>1</v>
      </c>
      <c r="M3742" s="6">
        <v>1</v>
      </c>
      <c r="N3742" s="37" t="e" cm="1">
        <f t="array" ref="N3742">IF(OR(ISNUMBER(FIND(Aux!$D$3:$D$9,_xlfn.TEXTJOIN(,,C3742:K3742)))),NA(),IF(AND(SUM(C3742:F3742,H3742:K3742)=0,G3742=1),0,INT((SUMPRODUCT(C3742:F3742,COLUMN($A$1:$D$1)-1)+SUMPRODUCT(H3742:K3742,COLUMN($E$1:$H$1)-1))*'Line Follower'!$C$3/SUM(C3742:F3742,H3742:K3742)-'Line Follower'!$C$5)))</f>
        <v>#N/A</v>
      </c>
      <c r="O3742" s="22" t="e">
        <v>#N/A</v>
      </c>
      <c r="P3742" s="4" t="e">
        <f t="shared" si="290"/>
        <v>#N/A</v>
      </c>
      <c r="Q3742" s="4" t="e">
        <f t="shared" si="291"/>
        <v>#N/A</v>
      </c>
      <c r="R3742" s="4" t="e">
        <f>IF(AND(B3742=1,N3742&gt;'Line Follower'!$C$7,SUM(C3742:K3742)&lt;4),1,0)</f>
        <v>#N/A</v>
      </c>
      <c r="S3742" s="4" t="e">
        <f>IF(AND(L3742=1,N3742&lt;'Line Follower'!$C$6,SUM(C3742:K3742)&lt;4),1,0)</f>
        <v>#N/A</v>
      </c>
      <c r="T3742" s="4" t="e">
        <f t="shared" si="292"/>
        <v>#N/A</v>
      </c>
      <c r="U3742" s="5" t="e">
        <f t="shared" si="293"/>
        <v>#N/A</v>
      </c>
      <c r="V3742" s="23" t="e">
        <f t="shared" si="294"/>
        <v>#N/A</v>
      </c>
    </row>
    <row r="3743" spans="2:22" x14ac:dyDescent="0.25">
      <c r="B3743" s="16">
        <v>0</v>
      </c>
      <c r="C3743" s="7">
        <v>0</v>
      </c>
      <c r="D3743" s="8">
        <v>1</v>
      </c>
      <c r="E3743" s="8">
        <v>1</v>
      </c>
      <c r="F3743" s="8">
        <v>1</v>
      </c>
      <c r="G3743" s="8">
        <v>0</v>
      </c>
      <c r="H3743" s="8">
        <v>0</v>
      </c>
      <c r="I3743" s="8">
        <v>1</v>
      </c>
      <c r="J3743" s="8">
        <v>0</v>
      </c>
      <c r="K3743" s="9">
        <v>1</v>
      </c>
      <c r="L3743" s="10">
        <v>1</v>
      </c>
      <c r="M3743" s="6">
        <v>1</v>
      </c>
      <c r="N3743" s="37" t="e" cm="1">
        <f t="array" ref="N3743">IF(OR(ISNUMBER(FIND(Aux!$D$3:$D$9,_xlfn.TEXTJOIN(,,C3743:K3743)))),NA(),IF(AND(SUM(C3743:F3743,H3743:K3743)=0,G3743=1),0,INT((SUMPRODUCT(C3743:F3743,COLUMN($A$1:$D$1)-1)+SUMPRODUCT(H3743:K3743,COLUMN($E$1:$H$1)-1))*'Line Follower'!$C$3/SUM(C3743:F3743,H3743:K3743)-'Line Follower'!$C$5)))</f>
        <v>#N/A</v>
      </c>
      <c r="O3743" s="22" t="e">
        <v>#N/A</v>
      </c>
      <c r="P3743" s="4" t="e">
        <f t="shared" si="290"/>
        <v>#N/A</v>
      </c>
      <c r="Q3743" s="4" t="e">
        <f t="shared" si="291"/>
        <v>#N/A</v>
      </c>
      <c r="R3743" s="4" t="e">
        <f>IF(AND(B3743=1,N3743&gt;'Line Follower'!$C$7,SUM(C3743:K3743)&lt;4),1,0)</f>
        <v>#N/A</v>
      </c>
      <c r="S3743" s="4" t="e">
        <f>IF(AND(L3743=1,N3743&lt;'Line Follower'!$C$6,SUM(C3743:K3743)&lt;4),1,0)</f>
        <v>#N/A</v>
      </c>
      <c r="T3743" s="4" t="e">
        <f t="shared" si="292"/>
        <v>#N/A</v>
      </c>
      <c r="U3743" s="5" t="e">
        <f t="shared" si="293"/>
        <v>#N/A</v>
      </c>
      <c r="V3743" s="23" t="e">
        <f t="shared" si="294"/>
        <v>#N/A</v>
      </c>
    </row>
    <row r="3744" spans="2:22" x14ac:dyDescent="0.25">
      <c r="B3744" s="16">
        <v>1</v>
      </c>
      <c r="C3744" s="7">
        <v>0</v>
      </c>
      <c r="D3744" s="8">
        <v>1</v>
      </c>
      <c r="E3744" s="8">
        <v>1</v>
      </c>
      <c r="F3744" s="8">
        <v>1</v>
      </c>
      <c r="G3744" s="8">
        <v>0</v>
      </c>
      <c r="H3744" s="8">
        <v>0</v>
      </c>
      <c r="I3744" s="8">
        <v>1</v>
      </c>
      <c r="J3744" s="8">
        <v>0</v>
      </c>
      <c r="K3744" s="9">
        <v>1</v>
      </c>
      <c r="L3744" s="10">
        <v>1</v>
      </c>
      <c r="M3744" s="6">
        <v>1</v>
      </c>
      <c r="N3744" s="37" t="e" cm="1">
        <f t="array" ref="N3744">IF(OR(ISNUMBER(FIND(Aux!$D$3:$D$9,_xlfn.TEXTJOIN(,,C3744:K3744)))),NA(),IF(AND(SUM(C3744:F3744,H3744:K3744)=0,G3744=1),0,INT((SUMPRODUCT(C3744:F3744,COLUMN($A$1:$D$1)-1)+SUMPRODUCT(H3744:K3744,COLUMN($E$1:$H$1)-1))*'Line Follower'!$C$3/SUM(C3744:F3744,H3744:K3744)-'Line Follower'!$C$5)))</f>
        <v>#N/A</v>
      </c>
      <c r="O3744" s="22" t="e">
        <v>#N/A</v>
      </c>
      <c r="P3744" s="4" t="e">
        <f t="shared" si="290"/>
        <v>#N/A</v>
      </c>
      <c r="Q3744" s="4" t="e">
        <f t="shared" si="291"/>
        <v>#N/A</v>
      </c>
      <c r="R3744" s="4" t="e">
        <f>IF(AND(B3744=1,N3744&gt;'Line Follower'!$C$7,SUM(C3744:K3744)&lt;4),1,0)</f>
        <v>#N/A</v>
      </c>
      <c r="S3744" s="4" t="e">
        <f>IF(AND(L3744=1,N3744&lt;'Line Follower'!$C$6,SUM(C3744:K3744)&lt;4),1,0)</f>
        <v>#N/A</v>
      </c>
      <c r="T3744" s="4" t="e">
        <f t="shared" si="292"/>
        <v>#N/A</v>
      </c>
      <c r="U3744" s="5" t="e">
        <f t="shared" si="293"/>
        <v>#N/A</v>
      </c>
      <c r="V3744" s="23" t="e">
        <f t="shared" si="294"/>
        <v>#N/A</v>
      </c>
    </row>
    <row r="3745" spans="2:22" x14ac:dyDescent="0.25">
      <c r="B3745" s="16">
        <v>0</v>
      </c>
      <c r="C3745" s="7">
        <v>1</v>
      </c>
      <c r="D3745" s="8">
        <v>1</v>
      </c>
      <c r="E3745" s="8">
        <v>1</v>
      </c>
      <c r="F3745" s="8">
        <v>1</v>
      </c>
      <c r="G3745" s="8">
        <v>0</v>
      </c>
      <c r="H3745" s="8">
        <v>0</v>
      </c>
      <c r="I3745" s="8">
        <v>1</v>
      </c>
      <c r="J3745" s="8">
        <v>0</v>
      </c>
      <c r="K3745" s="9">
        <v>1</v>
      </c>
      <c r="L3745" s="10">
        <v>1</v>
      </c>
      <c r="M3745" s="6">
        <v>1</v>
      </c>
      <c r="N3745" s="37" t="e" cm="1">
        <f t="array" ref="N3745">IF(OR(ISNUMBER(FIND(Aux!$D$3:$D$9,_xlfn.TEXTJOIN(,,C3745:K3745)))),NA(),IF(AND(SUM(C3745:F3745,H3745:K3745)=0,G3745=1),0,INT((SUMPRODUCT(C3745:F3745,COLUMN($A$1:$D$1)-1)+SUMPRODUCT(H3745:K3745,COLUMN($E$1:$H$1)-1))*'Line Follower'!$C$3/SUM(C3745:F3745,H3745:K3745)-'Line Follower'!$C$5)))</f>
        <v>#N/A</v>
      </c>
      <c r="O3745" s="22" t="e">
        <v>#N/A</v>
      </c>
      <c r="P3745" s="4" t="e">
        <f t="shared" si="290"/>
        <v>#N/A</v>
      </c>
      <c r="Q3745" s="4" t="e">
        <f t="shared" si="291"/>
        <v>#N/A</v>
      </c>
      <c r="R3745" s="4" t="e">
        <f>IF(AND(B3745=1,N3745&gt;'Line Follower'!$C$7,SUM(C3745:K3745)&lt;4),1,0)</f>
        <v>#N/A</v>
      </c>
      <c r="S3745" s="4" t="e">
        <f>IF(AND(L3745=1,N3745&lt;'Line Follower'!$C$6,SUM(C3745:K3745)&lt;4),1,0)</f>
        <v>#N/A</v>
      </c>
      <c r="T3745" s="4" t="e">
        <f t="shared" si="292"/>
        <v>#N/A</v>
      </c>
      <c r="U3745" s="5" t="e">
        <f t="shared" si="293"/>
        <v>#N/A</v>
      </c>
      <c r="V3745" s="23" t="e">
        <f t="shared" si="294"/>
        <v>#N/A</v>
      </c>
    </row>
    <row r="3746" spans="2:22" x14ac:dyDescent="0.25">
      <c r="B3746" s="16">
        <v>1</v>
      </c>
      <c r="C3746" s="7">
        <v>1</v>
      </c>
      <c r="D3746" s="8">
        <v>1</v>
      </c>
      <c r="E3746" s="8">
        <v>1</v>
      </c>
      <c r="F3746" s="8">
        <v>1</v>
      </c>
      <c r="G3746" s="8">
        <v>0</v>
      </c>
      <c r="H3746" s="8">
        <v>0</v>
      </c>
      <c r="I3746" s="8">
        <v>1</v>
      </c>
      <c r="J3746" s="8">
        <v>0</v>
      </c>
      <c r="K3746" s="9">
        <v>1</v>
      </c>
      <c r="L3746" s="10">
        <v>1</v>
      </c>
      <c r="M3746" s="6">
        <v>1</v>
      </c>
      <c r="N3746" s="37" t="e" cm="1">
        <f t="array" ref="N3746">IF(OR(ISNUMBER(FIND(Aux!$D$3:$D$9,_xlfn.TEXTJOIN(,,C3746:K3746)))),NA(),IF(AND(SUM(C3746:F3746,H3746:K3746)=0,G3746=1),0,INT((SUMPRODUCT(C3746:F3746,COLUMN($A$1:$D$1)-1)+SUMPRODUCT(H3746:K3746,COLUMN($E$1:$H$1)-1))*'Line Follower'!$C$3/SUM(C3746:F3746,H3746:K3746)-'Line Follower'!$C$5)))</f>
        <v>#N/A</v>
      </c>
      <c r="O3746" s="22" t="e">
        <v>#N/A</v>
      </c>
      <c r="P3746" s="4" t="e">
        <f t="shared" si="290"/>
        <v>#N/A</v>
      </c>
      <c r="Q3746" s="4" t="e">
        <f t="shared" si="291"/>
        <v>#N/A</v>
      </c>
      <c r="R3746" s="4" t="e">
        <f>IF(AND(B3746=1,N3746&gt;'Line Follower'!$C$7,SUM(C3746:K3746)&lt;4),1,0)</f>
        <v>#N/A</v>
      </c>
      <c r="S3746" s="4" t="e">
        <f>IF(AND(L3746=1,N3746&lt;'Line Follower'!$C$6,SUM(C3746:K3746)&lt;4),1,0)</f>
        <v>#N/A</v>
      </c>
      <c r="T3746" s="4" t="e">
        <f t="shared" si="292"/>
        <v>#N/A</v>
      </c>
      <c r="U3746" s="5" t="e">
        <f t="shared" si="293"/>
        <v>#N/A</v>
      </c>
      <c r="V3746" s="23" t="e">
        <f t="shared" si="294"/>
        <v>#N/A</v>
      </c>
    </row>
    <row r="3747" spans="2:22" x14ac:dyDescent="0.25">
      <c r="B3747" s="16">
        <v>0</v>
      </c>
      <c r="C3747" s="7">
        <v>0</v>
      </c>
      <c r="D3747" s="8">
        <v>0</v>
      </c>
      <c r="E3747" s="8">
        <v>0</v>
      </c>
      <c r="F3747" s="8">
        <v>0</v>
      </c>
      <c r="G3747" s="8">
        <v>1</v>
      </c>
      <c r="H3747" s="8">
        <v>0</v>
      </c>
      <c r="I3747" s="8">
        <v>1</v>
      </c>
      <c r="J3747" s="8">
        <v>0</v>
      </c>
      <c r="K3747" s="9">
        <v>1</v>
      </c>
      <c r="L3747" s="10">
        <v>1</v>
      </c>
      <c r="M3747" s="6">
        <v>1</v>
      </c>
      <c r="N3747" s="37" t="e" cm="1">
        <f t="array" ref="N3747">IF(OR(ISNUMBER(FIND(Aux!$D$3:$D$9,_xlfn.TEXTJOIN(,,C3747:K3747)))),NA(),IF(AND(SUM(C3747:F3747,H3747:K3747)=0,G3747=1),0,INT((SUMPRODUCT(C3747:F3747,COLUMN($A$1:$D$1)-1)+SUMPRODUCT(H3747:K3747,COLUMN($E$1:$H$1)-1))*'Line Follower'!$C$3/SUM(C3747:F3747,H3747:K3747)-'Line Follower'!$C$5)))</f>
        <v>#N/A</v>
      </c>
      <c r="O3747" s="22" t="e">
        <v>#N/A</v>
      </c>
      <c r="P3747" s="4" t="e">
        <f t="shared" si="290"/>
        <v>#N/A</v>
      </c>
      <c r="Q3747" s="4" t="e">
        <f t="shared" si="291"/>
        <v>#N/A</v>
      </c>
      <c r="R3747" s="4" t="e">
        <f>IF(AND(B3747=1,N3747&gt;'Line Follower'!$C$7,SUM(C3747:K3747)&lt;4),1,0)</f>
        <v>#N/A</v>
      </c>
      <c r="S3747" s="4" t="e">
        <f>IF(AND(L3747=1,N3747&lt;'Line Follower'!$C$6,SUM(C3747:K3747)&lt;4),1,0)</f>
        <v>#N/A</v>
      </c>
      <c r="T3747" s="4" t="e">
        <f t="shared" si="292"/>
        <v>#N/A</v>
      </c>
      <c r="U3747" s="5" t="e">
        <f t="shared" si="293"/>
        <v>#N/A</v>
      </c>
      <c r="V3747" s="23" t="e">
        <f t="shared" si="294"/>
        <v>#N/A</v>
      </c>
    </row>
    <row r="3748" spans="2:22" x14ac:dyDescent="0.25">
      <c r="B3748" s="16">
        <v>1</v>
      </c>
      <c r="C3748" s="7">
        <v>0</v>
      </c>
      <c r="D3748" s="8">
        <v>0</v>
      </c>
      <c r="E3748" s="8">
        <v>0</v>
      </c>
      <c r="F3748" s="8">
        <v>0</v>
      </c>
      <c r="G3748" s="8">
        <v>1</v>
      </c>
      <c r="H3748" s="8">
        <v>0</v>
      </c>
      <c r="I3748" s="8">
        <v>1</v>
      </c>
      <c r="J3748" s="8">
        <v>0</v>
      </c>
      <c r="K3748" s="9">
        <v>1</v>
      </c>
      <c r="L3748" s="10">
        <v>1</v>
      </c>
      <c r="M3748" s="6">
        <v>1</v>
      </c>
      <c r="N3748" s="37" t="e" cm="1">
        <f t="array" ref="N3748">IF(OR(ISNUMBER(FIND(Aux!$D$3:$D$9,_xlfn.TEXTJOIN(,,C3748:K3748)))),NA(),IF(AND(SUM(C3748:F3748,H3748:K3748)=0,G3748=1),0,INT((SUMPRODUCT(C3748:F3748,COLUMN($A$1:$D$1)-1)+SUMPRODUCT(H3748:K3748,COLUMN($E$1:$H$1)-1))*'Line Follower'!$C$3/SUM(C3748:F3748,H3748:K3748)-'Line Follower'!$C$5)))</f>
        <v>#N/A</v>
      </c>
      <c r="O3748" s="22" t="e">
        <v>#N/A</v>
      </c>
      <c r="P3748" s="4" t="e">
        <f t="shared" si="290"/>
        <v>#N/A</v>
      </c>
      <c r="Q3748" s="4" t="e">
        <f t="shared" si="291"/>
        <v>#N/A</v>
      </c>
      <c r="R3748" s="4" t="e">
        <f>IF(AND(B3748=1,N3748&gt;'Line Follower'!$C$7,SUM(C3748:K3748)&lt;4),1,0)</f>
        <v>#N/A</v>
      </c>
      <c r="S3748" s="4" t="e">
        <f>IF(AND(L3748=1,N3748&lt;'Line Follower'!$C$6,SUM(C3748:K3748)&lt;4),1,0)</f>
        <v>#N/A</v>
      </c>
      <c r="T3748" s="4" t="e">
        <f t="shared" si="292"/>
        <v>#N/A</v>
      </c>
      <c r="U3748" s="5" t="e">
        <f t="shared" si="293"/>
        <v>#N/A</v>
      </c>
      <c r="V3748" s="23" t="e">
        <f t="shared" si="294"/>
        <v>#N/A</v>
      </c>
    </row>
    <row r="3749" spans="2:22" x14ac:dyDescent="0.25">
      <c r="B3749" s="16">
        <v>0</v>
      </c>
      <c r="C3749" s="7">
        <v>1</v>
      </c>
      <c r="D3749" s="8">
        <v>0</v>
      </c>
      <c r="E3749" s="8">
        <v>0</v>
      </c>
      <c r="F3749" s="8">
        <v>0</v>
      </c>
      <c r="G3749" s="8">
        <v>1</v>
      </c>
      <c r="H3749" s="8">
        <v>0</v>
      </c>
      <c r="I3749" s="8">
        <v>1</v>
      </c>
      <c r="J3749" s="8">
        <v>0</v>
      </c>
      <c r="K3749" s="9">
        <v>1</v>
      </c>
      <c r="L3749" s="10">
        <v>1</v>
      </c>
      <c r="M3749" s="6">
        <v>1</v>
      </c>
      <c r="N3749" s="37" t="e" cm="1">
        <f t="array" ref="N3749">IF(OR(ISNUMBER(FIND(Aux!$D$3:$D$9,_xlfn.TEXTJOIN(,,C3749:K3749)))),NA(),IF(AND(SUM(C3749:F3749,H3749:K3749)=0,G3749=1),0,INT((SUMPRODUCT(C3749:F3749,COLUMN($A$1:$D$1)-1)+SUMPRODUCT(H3749:K3749,COLUMN($E$1:$H$1)-1))*'Line Follower'!$C$3/SUM(C3749:F3749,H3749:K3749)-'Line Follower'!$C$5)))</f>
        <v>#N/A</v>
      </c>
      <c r="O3749" s="22" t="e">
        <v>#N/A</v>
      </c>
      <c r="P3749" s="4" t="e">
        <f t="shared" si="290"/>
        <v>#N/A</v>
      </c>
      <c r="Q3749" s="4" t="e">
        <f t="shared" si="291"/>
        <v>#N/A</v>
      </c>
      <c r="R3749" s="4" t="e">
        <f>IF(AND(B3749=1,N3749&gt;'Line Follower'!$C$7,SUM(C3749:K3749)&lt;4),1,0)</f>
        <v>#N/A</v>
      </c>
      <c r="S3749" s="4" t="e">
        <f>IF(AND(L3749=1,N3749&lt;'Line Follower'!$C$6,SUM(C3749:K3749)&lt;4),1,0)</f>
        <v>#N/A</v>
      </c>
      <c r="T3749" s="4" t="e">
        <f t="shared" si="292"/>
        <v>#N/A</v>
      </c>
      <c r="U3749" s="5" t="e">
        <f t="shared" si="293"/>
        <v>#N/A</v>
      </c>
      <c r="V3749" s="23" t="e">
        <f t="shared" si="294"/>
        <v>#N/A</v>
      </c>
    </row>
    <row r="3750" spans="2:22" x14ac:dyDescent="0.25">
      <c r="B3750" s="16">
        <v>1</v>
      </c>
      <c r="C3750" s="7">
        <v>1</v>
      </c>
      <c r="D3750" s="8">
        <v>0</v>
      </c>
      <c r="E3750" s="8">
        <v>0</v>
      </c>
      <c r="F3750" s="8">
        <v>0</v>
      </c>
      <c r="G3750" s="8">
        <v>1</v>
      </c>
      <c r="H3750" s="8">
        <v>0</v>
      </c>
      <c r="I3750" s="8">
        <v>1</v>
      </c>
      <c r="J3750" s="8">
        <v>0</v>
      </c>
      <c r="K3750" s="9">
        <v>1</v>
      </c>
      <c r="L3750" s="10">
        <v>1</v>
      </c>
      <c r="M3750" s="6">
        <v>1</v>
      </c>
      <c r="N3750" s="37" t="e" cm="1">
        <f t="array" ref="N3750">IF(OR(ISNUMBER(FIND(Aux!$D$3:$D$9,_xlfn.TEXTJOIN(,,C3750:K3750)))),NA(),IF(AND(SUM(C3750:F3750,H3750:K3750)=0,G3750=1),0,INT((SUMPRODUCT(C3750:F3750,COLUMN($A$1:$D$1)-1)+SUMPRODUCT(H3750:K3750,COLUMN($E$1:$H$1)-1))*'Line Follower'!$C$3/SUM(C3750:F3750,H3750:K3750)-'Line Follower'!$C$5)))</f>
        <v>#N/A</v>
      </c>
      <c r="O3750" s="22" t="e">
        <v>#N/A</v>
      </c>
      <c r="P3750" s="4" t="e">
        <f t="shared" si="290"/>
        <v>#N/A</v>
      </c>
      <c r="Q3750" s="4" t="e">
        <f t="shared" si="291"/>
        <v>#N/A</v>
      </c>
      <c r="R3750" s="4" t="e">
        <f>IF(AND(B3750=1,N3750&gt;'Line Follower'!$C$7,SUM(C3750:K3750)&lt;4),1,0)</f>
        <v>#N/A</v>
      </c>
      <c r="S3750" s="4" t="e">
        <f>IF(AND(L3750=1,N3750&lt;'Line Follower'!$C$6,SUM(C3750:K3750)&lt;4),1,0)</f>
        <v>#N/A</v>
      </c>
      <c r="T3750" s="4" t="e">
        <f t="shared" si="292"/>
        <v>#N/A</v>
      </c>
      <c r="U3750" s="5" t="e">
        <f t="shared" si="293"/>
        <v>#N/A</v>
      </c>
      <c r="V3750" s="23" t="e">
        <f t="shared" si="294"/>
        <v>#N/A</v>
      </c>
    </row>
    <row r="3751" spans="2:22" x14ac:dyDescent="0.25">
      <c r="B3751" s="16">
        <v>0</v>
      </c>
      <c r="C3751" s="7">
        <v>0</v>
      </c>
      <c r="D3751" s="8">
        <v>1</v>
      </c>
      <c r="E3751" s="8">
        <v>0</v>
      </c>
      <c r="F3751" s="8">
        <v>0</v>
      </c>
      <c r="G3751" s="8">
        <v>1</v>
      </c>
      <c r="H3751" s="8">
        <v>0</v>
      </c>
      <c r="I3751" s="8">
        <v>1</v>
      </c>
      <c r="J3751" s="8">
        <v>0</v>
      </c>
      <c r="K3751" s="9">
        <v>1</v>
      </c>
      <c r="L3751" s="10">
        <v>1</v>
      </c>
      <c r="M3751" s="6">
        <v>1</v>
      </c>
      <c r="N3751" s="37" t="e" cm="1">
        <f t="array" ref="N3751">IF(OR(ISNUMBER(FIND(Aux!$D$3:$D$9,_xlfn.TEXTJOIN(,,C3751:K3751)))),NA(),IF(AND(SUM(C3751:F3751,H3751:K3751)=0,G3751=1),0,INT((SUMPRODUCT(C3751:F3751,COLUMN($A$1:$D$1)-1)+SUMPRODUCT(H3751:K3751,COLUMN($E$1:$H$1)-1))*'Line Follower'!$C$3/SUM(C3751:F3751,H3751:K3751)-'Line Follower'!$C$5)))</f>
        <v>#N/A</v>
      </c>
      <c r="O3751" s="22" t="e">
        <v>#N/A</v>
      </c>
      <c r="P3751" s="4" t="e">
        <f t="shared" si="290"/>
        <v>#N/A</v>
      </c>
      <c r="Q3751" s="4" t="e">
        <f t="shared" si="291"/>
        <v>#N/A</v>
      </c>
      <c r="R3751" s="4" t="e">
        <f>IF(AND(B3751=1,N3751&gt;'Line Follower'!$C$7,SUM(C3751:K3751)&lt;4),1,0)</f>
        <v>#N/A</v>
      </c>
      <c r="S3751" s="4" t="e">
        <f>IF(AND(L3751=1,N3751&lt;'Line Follower'!$C$6,SUM(C3751:K3751)&lt;4),1,0)</f>
        <v>#N/A</v>
      </c>
      <c r="T3751" s="4" t="e">
        <f t="shared" si="292"/>
        <v>#N/A</v>
      </c>
      <c r="U3751" s="5" t="e">
        <f t="shared" si="293"/>
        <v>#N/A</v>
      </c>
      <c r="V3751" s="23" t="e">
        <f t="shared" si="294"/>
        <v>#N/A</v>
      </c>
    </row>
    <row r="3752" spans="2:22" x14ac:dyDescent="0.25">
      <c r="B3752" s="16">
        <v>1</v>
      </c>
      <c r="C3752" s="7">
        <v>0</v>
      </c>
      <c r="D3752" s="8">
        <v>1</v>
      </c>
      <c r="E3752" s="8">
        <v>0</v>
      </c>
      <c r="F3752" s="8">
        <v>0</v>
      </c>
      <c r="G3752" s="8">
        <v>1</v>
      </c>
      <c r="H3752" s="8">
        <v>0</v>
      </c>
      <c r="I3752" s="8">
        <v>1</v>
      </c>
      <c r="J3752" s="8">
        <v>0</v>
      </c>
      <c r="K3752" s="9">
        <v>1</v>
      </c>
      <c r="L3752" s="10">
        <v>1</v>
      </c>
      <c r="M3752" s="6">
        <v>1</v>
      </c>
      <c r="N3752" s="37" t="e" cm="1">
        <f t="array" ref="N3752">IF(OR(ISNUMBER(FIND(Aux!$D$3:$D$9,_xlfn.TEXTJOIN(,,C3752:K3752)))),NA(),IF(AND(SUM(C3752:F3752,H3752:K3752)=0,G3752=1),0,INT((SUMPRODUCT(C3752:F3752,COLUMN($A$1:$D$1)-1)+SUMPRODUCT(H3752:K3752,COLUMN($E$1:$H$1)-1))*'Line Follower'!$C$3/SUM(C3752:F3752,H3752:K3752)-'Line Follower'!$C$5)))</f>
        <v>#N/A</v>
      </c>
      <c r="O3752" s="22" t="e">
        <v>#N/A</v>
      </c>
      <c r="P3752" s="4" t="e">
        <f t="shared" si="290"/>
        <v>#N/A</v>
      </c>
      <c r="Q3752" s="4" t="e">
        <f t="shared" si="291"/>
        <v>#N/A</v>
      </c>
      <c r="R3752" s="4" t="e">
        <f>IF(AND(B3752=1,N3752&gt;'Line Follower'!$C$7,SUM(C3752:K3752)&lt;4),1,0)</f>
        <v>#N/A</v>
      </c>
      <c r="S3752" s="4" t="e">
        <f>IF(AND(L3752=1,N3752&lt;'Line Follower'!$C$6,SUM(C3752:K3752)&lt;4),1,0)</f>
        <v>#N/A</v>
      </c>
      <c r="T3752" s="4" t="e">
        <f t="shared" si="292"/>
        <v>#N/A</v>
      </c>
      <c r="U3752" s="5" t="e">
        <f t="shared" si="293"/>
        <v>#N/A</v>
      </c>
      <c r="V3752" s="23" t="e">
        <f t="shared" si="294"/>
        <v>#N/A</v>
      </c>
    </row>
    <row r="3753" spans="2:22" x14ac:dyDescent="0.25">
      <c r="B3753" s="16">
        <v>0</v>
      </c>
      <c r="C3753" s="7">
        <v>1</v>
      </c>
      <c r="D3753" s="8">
        <v>1</v>
      </c>
      <c r="E3753" s="8">
        <v>0</v>
      </c>
      <c r="F3753" s="8">
        <v>0</v>
      </c>
      <c r="G3753" s="8">
        <v>1</v>
      </c>
      <c r="H3753" s="8">
        <v>0</v>
      </c>
      <c r="I3753" s="8">
        <v>1</v>
      </c>
      <c r="J3753" s="8">
        <v>0</v>
      </c>
      <c r="K3753" s="9">
        <v>1</v>
      </c>
      <c r="L3753" s="10">
        <v>1</v>
      </c>
      <c r="M3753" s="6">
        <v>1</v>
      </c>
      <c r="N3753" s="37" t="e" cm="1">
        <f t="array" ref="N3753">IF(OR(ISNUMBER(FIND(Aux!$D$3:$D$9,_xlfn.TEXTJOIN(,,C3753:K3753)))),NA(),IF(AND(SUM(C3753:F3753,H3753:K3753)=0,G3753=1),0,INT((SUMPRODUCT(C3753:F3753,COLUMN($A$1:$D$1)-1)+SUMPRODUCT(H3753:K3753,COLUMN($E$1:$H$1)-1))*'Line Follower'!$C$3/SUM(C3753:F3753,H3753:K3753)-'Line Follower'!$C$5)))</f>
        <v>#N/A</v>
      </c>
      <c r="O3753" s="22" t="e">
        <v>#N/A</v>
      </c>
      <c r="P3753" s="4" t="e">
        <f t="shared" si="290"/>
        <v>#N/A</v>
      </c>
      <c r="Q3753" s="4" t="e">
        <f t="shared" si="291"/>
        <v>#N/A</v>
      </c>
      <c r="R3753" s="4" t="e">
        <f>IF(AND(B3753=1,N3753&gt;'Line Follower'!$C$7,SUM(C3753:K3753)&lt;4),1,0)</f>
        <v>#N/A</v>
      </c>
      <c r="S3753" s="4" t="e">
        <f>IF(AND(L3753=1,N3753&lt;'Line Follower'!$C$6,SUM(C3753:K3753)&lt;4),1,0)</f>
        <v>#N/A</v>
      </c>
      <c r="T3753" s="4" t="e">
        <f t="shared" si="292"/>
        <v>#N/A</v>
      </c>
      <c r="U3753" s="5" t="e">
        <f t="shared" si="293"/>
        <v>#N/A</v>
      </c>
      <c r="V3753" s="23" t="e">
        <f t="shared" si="294"/>
        <v>#N/A</v>
      </c>
    </row>
    <row r="3754" spans="2:22" x14ac:dyDescent="0.25">
      <c r="B3754" s="16">
        <v>1</v>
      </c>
      <c r="C3754" s="7">
        <v>1</v>
      </c>
      <c r="D3754" s="8">
        <v>1</v>
      </c>
      <c r="E3754" s="8">
        <v>0</v>
      </c>
      <c r="F3754" s="8">
        <v>0</v>
      </c>
      <c r="G3754" s="8">
        <v>1</v>
      </c>
      <c r="H3754" s="8">
        <v>0</v>
      </c>
      <c r="I3754" s="8">
        <v>1</v>
      </c>
      <c r="J3754" s="8">
        <v>0</v>
      </c>
      <c r="K3754" s="9">
        <v>1</v>
      </c>
      <c r="L3754" s="10">
        <v>1</v>
      </c>
      <c r="M3754" s="6">
        <v>1</v>
      </c>
      <c r="N3754" s="37" t="e" cm="1">
        <f t="array" ref="N3754">IF(OR(ISNUMBER(FIND(Aux!$D$3:$D$9,_xlfn.TEXTJOIN(,,C3754:K3754)))),NA(),IF(AND(SUM(C3754:F3754,H3754:K3754)=0,G3754=1),0,INT((SUMPRODUCT(C3754:F3754,COLUMN($A$1:$D$1)-1)+SUMPRODUCT(H3754:K3754,COLUMN($E$1:$H$1)-1))*'Line Follower'!$C$3/SUM(C3754:F3754,H3754:K3754)-'Line Follower'!$C$5)))</f>
        <v>#N/A</v>
      </c>
      <c r="O3754" s="22" t="e">
        <v>#N/A</v>
      </c>
      <c r="P3754" s="4" t="e">
        <f t="shared" si="290"/>
        <v>#N/A</v>
      </c>
      <c r="Q3754" s="4" t="e">
        <f t="shared" si="291"/>
        <v>#N/A</v>
      </c>
      <c r="R3754" s="4" t="e">
        <f>IF(AND(B3754=1,N3754&gt;'Line Follower'!$C$7,SUM(C3754:K3754)&lt;4),1,0)</f>
        <v>#N/A</v>
      </c>
      <c r="S3754" s="4" t="e">
        <f>IF(AND(L3754=1,N3754&lt;'Line Follower'!$C$6,SUM(C3754:K3754)&lt;4),1,0)</f>
        <v>#N/A</v>
      </c>
      <c r="T3754" s="4" t="e">
        <f t="shared" si="292"/>
        <v>#N/A</v>
      </c>
      <c r="U3754" s="5" t="e">
        <f t="shared" si="293"/>
        <v>#N/A</v>
      </c>
      <c r="V3754" s="23" t="e">
        <f t="shared" si="294"/>
        <v>#N/A</v>
      </c>
    </row>
    <row r="3755" spans="2:22" x14ac:dyDescent="0.25">
      <c r="B3755" s="16">
        <v>0</v>
      </c>
      <c r="C3755" s="7">
        <v>0</v>
      </c>
      <c r="D3755" s="8">
        <v>0</v>
      </c>
      <c r="E3755" s="8">
        <v>1</v>
      </c>
      <c r="F3755" s="8">
        <v>0</v>
      </c>
      <c r="G3755" s="8">
        <v>1</v>
      </c>
      <c r="H3755" s="8">
        <v>0</v>
      </c>
      <c r="I3755" s="8">
        <v>1</v>
      </c>
      <c r="J3755" s="8">
        <v>0</v>
      </c>
      <c r="K3755" s="9">
        <v>1</v>
      </c>
      <c r="L3755" s="10">
        <v>1</v>
      </c>
      <c r="M3755" s="6">
        <v>1</v>
      </c>
      <c r="N3755" s="37" t="e" cm="1">
        <f t="array" ref="N3755">IF(OR(ISNUMBER(FIND(Aux!$D$3:$D$9,_xlfn.TEXTJOIN(,,C3755:K3755)))),NA(),IF(AND(SUM(C3755:F3755,H3755:K3755)=0,G3755=1),0,INT((SUMPRODUCT(C3755:F3755,COLUMN($A$1:$D$1)-1)+SUMPRODUCT(H3755:K3755,COLUMN($E$1:$H$1)-1))*'Line Follower'!$C$3/SUM(C3755:F3755,H3755:K3755)-'Line Follower'!$C$5)))</f>
        <v>#N/A</v>
      </c>
      <c r="O3755" s="22" t="e">
        <v>#N/A</v>
      </c>
      <c r="P3755" s="4" t="e">
        <f t="shared" si="290"/>
        <v>#N/A</v>
      </c>
      <c r="Q3755" s="4" t="e">
        <f t="shared" si="291"/>
        <v>#N/A</v>
      </c>
      <c r="R3755" s="4" t="e">
        <f>IF(AND(B3755=1,N3755&gt;'Line Follower'!$C$7,SUM(C3755:K3755)&lt;4),1,0)</f>
        <v>#N/A</v>
      </c>
      <c r="S3755" s="4" t="e">
        <f>IF(AND(L3755=1,N3755&lt;'Line Follower'!$C$6,SUM(C3755:K3755)&lt;4),1,0)</f>
        <v>#N/A</v>
      </c>
      <c r="T3755" s="4" t="e">
        <f t="shared" si="292"/>
        <v>#N/A</v>
      </c>
      <c r="U3755" s="5" t="e">
        <f t="shared" si="293"/>
        <v>#N/A</v>
      </c>
      <c r="V3755" s="23" t="e">
        <f t="shared" si="294"/>
        <v>#N/A</v>
      </c>
    </row>
    <row r="3756" spans="2:22" x14ac:dyDescent="0.25">
      <c r="B3756" s="16">
        <v>1</v>
      </c>
      <c r="C3756" s="7">
        <v>0</v>
      </c>
      <c r="D3756" s="8">
        <v>0</v>
      </c>
      <c r="E3756" s="8">
        <v>1</v>
      </c>
      <c r="F3756" s="8">
        <v>0</v>
      </c>
      <c r="G3756" s="8">
        <v>1</v>
      </c>
      <c r="H3756" s="8">
        <v>0</v>
      </c>
      <c r="I3756" s="8">
        <v>1</v>
      </c>
      <c r="J3756" s="8">
        <v>0</v>
      </c>
      <c r="K3756" s="9">
        <v>1</v>
      </c>
      <c r="L3756" s="10">
        <v>1</v>
      </c>
      <c r="M3756" s="6">
        <v>1</v>
      </c>
      <c r="N3756" s="37" t="e" cm="1">
        <f t="array" ref="N3756">IF(OR(ISNUMBER(FIND(Aux!$D$3:$D$9,_xlfn.TEXTJOIN(,,C3756:K3756)))),NA(),IF(AND(SUM(C3756:F3756,H3756:K3756)=0,G3756=1),0,INT((SUMPRODUCT(C3756:F3756,COLUMN($A$1:$D$1)-1)+SUMPRODUCT(H3756:K3756,COLUMN($E$1:$H$1)-1))*'Line Follower'!$C$3/SUM(C3756:F3756,H3756:K3756)-'Line Follower'!$C$5)))</f>
        <v>#N/A</v>
      </c>
      <c r="O3756" s="22" t="e">
        <v>#N/A</v>
      </c>
      <c r="P3756" s="4" t="e">
        <f t="shared" si="290"/>
        <v>#N/A</v>
      </c>
      <c r="Q3756" s="4" t="e">
        <f t="shared" si="291"/>
        <v>#N/A</v>
      </c>
      <c r="R3756" s="4" t="e">
        <f>IF(AND(B3756=1,N3756&gt;'Line Follower'!$C$7,SUM(C3756:K3756)&lt;4),1,0)</f>
        <v>#N/A</v>
      </c>
      <c r="S3756" s="4" t="e">
        <f>IF(AND(L3756=1,N3756&lt;'Line Follower'!$C$6,SUM(C3756:K3756)&lt;4),1,0)</f>
        <v>#N/A</v>
      </c>
      <c r="T3756" s="4" t="e">
        <f t="shared" si="292"/>
        <v>#N/A</v>
      </c>
      <c r="U3756" s="5" t="e">
        <f t="shared" si="293"/>
        <v>#N/A</v>
      </c>
      <c r="V3756" s="23" t="e">
        <f t="shared" si="294"/>
        <v>#N/A</v>
      </c>
    </row>
    <row r="3757" spans="2:22" x14ac:dyDescent="0.25">
      <c r="B3757" s="16">
        <v>0</v>
      </c>
      <c r="C3757" s="7">
        <v>1</v>
      </c>
      <c r="D3757" s="8">
        <v>0</v>
      </c>
      <c r="E3757" s="8">
        <v>1</v>
      </c>
      <c r="F3757" s="8">
        <v>0</v>
      </c>
      <c r="G3757" s="8">
        <v>1</v>
      </c>
      <c r="H3757" s="8">
        <v>0</v>
      </c>
      <c r="I3757" s="8">
        <v>1</v>
      </c>
      <c r="J3757" s="8">
        <v>0</v>
      </c>
      <c r="K3757" s="9">
        <v>1</v>
      </c>
      <c r="L3757" s="10">
        <v>1</v>
      </c>
      <c r="M3757" s="6">
        <v>1</v>
      </c>
      <c r="N3757" s="37" t="e" cm="1">
        <f t="array" ref="N3757">IF(OR(ISNUMBER(FIND(Aux!$D$3:$D$9,_xlfn.TEXTJOIN(,,C3757:K3757)))),NA(),IF(AND(SUM(C3757:F3757,H3757:K3757)=0,G3757=1),0,INT((SUMPRODUCT(C3757:F3757,COLUMN($A$1:$D$1)-1)+SUMPRODUCT(H3757:K3757,COLUMN($E$1:$H$1)-1))*'Line Follower'!$C$3/SUM(C3757:F3757,H3757:K3757)-'Line Follower'!$C$5)))</f>
        <v>#N/A</v>
      </c>
      <c r="O3757" s="22" t="e">
        <v>#N/A</v>
      </c>
      <c r="P3757" s="4" t="e">
        <f t="shared" si="290"/>
        <v>#N/A</v>
      </c>
      <c r="Q3757" s="4" t="e">
        <f t="shared" si="291"/>
        <v>#N/A</v>
      </c>
      <c r="R3757" s="4" t="e">
        <f>IF(AND(B3757=1,N3757&gt;'Line Follower'!$C$7,SUM(C3757:K3757)&lt;4),1,0)</f>
        <v>#N/A</v>
      </c>
      <c r="S3757" s="4" t="e">
        <f>IF(AND(L3757=1,N3757&lt;'Line Follower'!$C$6,SUM(C3757:K3757)&lt;4),1,0)</f>
        <v>#N/A</v>
      </c>
      <c r="T3757" s="4" t="e">
        <f t="shared" si="292"/>
        <v>#N/A</v>
      </c>
      <c r="U3757" s="5" t="e">
        <f t="shared" si="293"/>
        <v>#N/A</v>
      </c>
      <c r="V3757" s="23" t="e">
        <f t="shared" si="294"/>
        <v>#N/A</v>
      </c>
    </row>
    <row r="3758" spans="2:22" x14ac:dyDescent="0.25">
      <c r="B3758" s="16">
        <v>1</v>
      </c>
      <c r="C3758" s="7">
        <v>1</v>
      </c>
      <c r="D3758" s="8">
        <v>0</v>
      </c>
      <c r="E3758" s="8">
        <v>1</v>
      </c>
      <c r="F3758" s="8">
        <v>0</v>
      </c>
      <c r="G3758" s="8">
        <v>1</v>
      </c>
      <c r="H3758" s="8">
        <v>0</v>
      </c>
      <c r="I3758" s="8">
        <v>1</v>
      </c>
      <c r="J3758" s="8">
        <v>0</v>
      </c>
      <c r="K3758" s="9">
        <v>1</v>
      </c>
      <c r="L3758" s="10">
        <v>1</v>
      </c>
      <c r="M3758" s="6">
        <v>1</v>
      </c>
      <c r="N3758" s="37" t="e" cm="1">
        <f t="array" ref="N3758">IF(OR(ISNUMBER(FIND(Aux!$D$3:$D$9,_xlfn.TEXTJOIN(,,C3758:K3758)))),NA(),IF(AND(SUM(C3758:F3758,H3758:K3758)=0,G3758=1),0,INT((SUMPRODUCT(C3758:F3758,COLUMN($A$1:$D$1)-1)+SUMPRODUCT(H3758:K3758,COLUMN($E$1:$H$1)-1))*'Line Follower'!$C$3/SUM(C3758:F3758,H3758:K3758)-'Line Follower'!$C$5)))</f>
        <v>#N/A</v>
      </c>
      <c r="O3758" s="22" t="e">
        <v>#N/A</v>
      </c>
      <c r="P3758" s="4" t="e">
        <f t="shared" si="290"/>
        <v>#N/A</v>
      </c>
      <c r="Q3758" s="4" t="e">
        <f t="shared" si="291"/>
        <v>#N/A</v>
      </c>
      <c r="R3758" s="4" t="e">
        <f>IF(AND(B3758=1,N3758&gt;'Line Follower'!$C$7,SUM(C3758:K3758)&lt;4),1,0)</f>
        <v>#N/A</v>
      </c>
      <c r="S3758" s="4" t="e">
        <f>IF(AND(L3758=1,N3758&lt;'Line Follower'!$C$6,SUM(C3758:K3758)&lt;4),1,0)</f>
        <v>#N/A</v>
      </c>
      <c r="T3758" s="4" t="e">
        <f t="shared" si="292"/>
        <v>#N/A</v>
      </c>
      <c r="U3758" s="5" t="e">
        <f t="shared" si="293"/>
        <v>#N/A</v>
      </c>
      <c r="V3758" s="23" t="e">
        <f t="shared" si="294"/>
        <v>#N/A</v>
      </c>
    </row>
    <row r="3759" spans="2:22" x14ac:dyDescent="0.25">
      <c r="B3759" s="16">
        <v>0</v>
      </c>
      <c r="C3759" s="7">
        <v>0</v>
      </c>
      <c r="D3759" s="8">
        <v>1</v>
      </c>
      <c r="E3759" s="8">
        <v>1</v>
      </c>
      <c r="F3759" s="8">
        <v>0</v>
      </c>
      <c r="G3759" s="8">
        <v>1</v>
      </c>
      <c r="H3759" s="8">
        <v>0</v>
      </c>
      <c r="I3759" s="8">
        <v>1</v>
      </c>
      <c r="J3759" s="8">
        <v>0</v>
      </c>
      <c r="K3759" s="9">
        <v>1</v>
      </c>
      <c r="L3759" s="10">
        <v>1</v>
      </c>
      <c r="M3759" s="6">
        <v>1</v>
      </c>
      <c r="N3759" s="37" t="e" cm="1">
        <f t="array" ref="N3759">IF(OR(ISNUMBER(FIND(Aux!$D$3:$D$9,_xlfn.TEXTJOIN(,,C3759:K3759)))),NA(),IF(AND(SUM(C3759:F3759,H3759:K3759)=0,G3759=1),0,INT((SUMPRODUCT(C3759:F3759,COLUMN($A$1:$D$1)-1)+SUMPRODUCT(H3759:K3759,COLUMN($E$1:$H$1)-1))*'Line Follower'!$C$3/SUM(C3759:F3759,H3759:K3759)-'Line Follower'!$C$5)))</f>
        <v>#N/A</v>
      </c>
      <c r="O3759" s="22" t="e">
        <v>#N/A</v>
      </c>
      <c r="P3759" s="4" t="e">
        <f t="shared" si="290"/>
        <v>#N/A</v>
      </c>
      <c r="Q3759" s="4" t="e">
        <f t="shared" si="291"/>
        <v>#N/A</v>
      </c>
      <c r="R3759" s="4" t="e">
        <f>IF(AND(B3759=1,N3759&gt;'Line Follower'!$C$7,SUM(C3759:K3759)&lt;4),1,0)</f>
        <v>#N/A</v>
      </c>
      <c r="S3759" s="4" t="e">
        <f>IF(AND(L3759=1,N3759&lt;'Line Follower'!$C$6,SUM(C3759:K3759)&lt;4),1,0)</f>
        <v>#N/A</v>
      </c>
      <c r="T3759" s="4" t="e">
        <f t="shared" si="292"/>
        <v>#N/A</v>
      </c>
      <c r="U3759" s="5" t="e">
        <f t="shared" si="293"/>
        <v>#N/A</v>
      </c>
      <c r="V3759" s="23" t="e">
        <f t="shared" si="294"/>
        <v>#N/A</v>
      </c>
    </row>
    <row r="3760" spans="2:22" x14ac:dyDescent="0.25">
      <c r="B3760" s="16">
        <v>1</v>
      </c>
      <c r="C3760" s="7">
        <v>0</v>
      </c>
      <c r="D3760" s="8">
        <v>1</v>
      </c>
      <c r="E3760" s="8">
        <v>1</v>
      </c>
      <c r="F3760" s="8">
        <v>0</v>
      </c>
      <c r="G3760" s="8">
        <v>1</v>
      </c>
      <c r="H3760" s="8">
        <v>0</v>
      </c>
      <c r="I3760" s="8">
        <v>1</v>
      </c>
      <c r="J3760" s="8">
        <v>0</v>
      </c>
      <c r="K3760" s="9">
        <v>1</v>
      </c>
      <c r="L3760" s="10">
        <v>1</v>
      </c>
      <c r="M3760" s="6">
        <v>1</v>
      </c>
      <c r="N3760" s="37" t="e" cm="1">
        <f t="array" ref="N3760">IF(OR(ISNUMBER(FIND(Aux!$D$3:$D$9,_xlfn.TEXTJOIN(,,C3760:K3760)))),NA(),IF(AND(SUM(C3760:F3760,H3760:K3760)=0,G3760=1),0,INT((SUMPRODUCT(C3760:F3760,COLUMN($A$1:$D$1)-1)+SUMPRODUCT(H3760:K3760,COLUMN($E$1:$H$1)-1))*'Line Follower'!$C$3/SUM(C3760:F3760,H3760:K3760)-'Line Follower'!$C$5)))</f>
        <v>#N/A</v>
      </c>
      <c r="O3760" s="22" t="e">
        <v>#N/A</v>
      </c>
      <c r="P3760" s="4" t="e">
        <f t="shared" si="290"/>
        <v>#N/A</v>
      </c>
      <c r="Q3760" s="4" t="e">
        <f t="shared" si="291"/>
        <v>#N/A</v>
      </c>
      <c r="R3760" s="4" t="e">
        <f>IF(AND(B3760=1,N3760&gt;'Line Follower'!$C$7,SUM(C3760:K3760)&lt;4),1,0)</f>
        <v>#N/A</v>
      </c>
      <c r="S3760" s="4" t="e">
        <f>IF(AND(L3760=1,N3760&lt;'Line Follower'!$C$6,SUM(C3760:K3760)&lt;4),1,0)</f>
        <v>#N/A</v>
      </c>
      <c r="T3760" s="4" t="e">
        <f t="shared" si="292"/>
        <v>#N/A</v>
      </c>
      <c r="U3760" s="5" t="e">
        <f t="shared" si="293"/>
        <v>#N/A</v>
      </c>
      <c r="V3760" s="23" t="e">
        <f t="shared" si="294"/>
        <v>#N/A</v>
      </c>
    </row>
    <row r="3761" spans="2:22" x14ac:dyDescent="0.25">
      <c r="B3761" s="16">
        <v>0</v>
      </c>
      <c r="C3761" s="7">
        <v>1</v>
      </c>
      <c r="D3761" s="8">
        <v>1</v>
      </c>
      <c r="E3761" s="8">
        <v>1</v>
      </c>
      <c r="F3761" s="8">
        <v>0</v>
      </c>
      <c r="G3761" s="8">
        <v>1</v>
      </c>
      <c r="H3761" s="8">
        <v>0</v>
      </c>
      <c r="I3761" s="8">
        <v>1</v>
      </c>
      <c r="J3761" s="8">
        <v>0</v>
      </c>
      <c r="K3761" s="9">
        <v>1</v>
      </c>
      <c r="L3761" s="10">
        <v>1</v>
      </c>
      <c r="M3761" s="6">
        <v>1</v>
      </c>
      <c r="N3761" s="37" t="e" cm="1">
        <f t="array" ref="N3761">IF(OR(ISNUMBER(FIND(Aux!$D$3:$D$9,_xlfn.TEXTJOIN(,,C3761:K3761)))),NA(),IF(AND(SUM(C3761:F3761,H3761:K3761)=0,G3761=1),0,INT((SUMPRODUCT(C3761:F3761,COLUMN($A$1:$D$1)-1)+SUMPRODUCT(H3761:K3761,COLUMN($E$1:$H$1)-1))*'Line Follower'!$C$3/SUM(C3761:F3761,H3761:K3761)-'Line Follower'!$C$5)))</f>
        <v>#N/A</v>
      </c>
      <c r="O3761" s="22" t="e">
        <v>#N/A</v>
      </c>
      <c r="P3761" s="4" t="e">
        <f t="shared" si="290"/>
        <v>#N/A</v>
      </c>
      <c r="Q3761" s="4" t="e">
        <f t="shared" si="291"/>
        <v>#N/A</v>
      </c>
      <c r="R3761" s="4" t="e">
        <f>IF(AND(B3761=1,N3761&gt;'Line Follower'!$C$7,SUM(C3761:K3761)&lt;4),1,0)</f>
        <v>#N/A</v>
      </c>
      <c r="S3761" s="4" t="e">
        <f>IF(AND(L3761=1,N3761&lt;'Line Follower'!$C$6,SUM(C3761:K3761)&lt;4),1,0)</f>
        <v>#N/A</v>
      </c>
      <c r="T3761" s="4" t="e">
        <f t="shared" si="292"/>
        <v>#N/A</v>
      </c>
      <c r="U3761" s="5" t="e">
        <f t="shared" si="293"/>
        <v>#N/A</v>
      </c>
      <c r="V3761" s="23" t="e">
        <f t="shared" si="294"/>
        <v>#N/A</v>
      </c>
    </row>
    <row r="3762" spans="2:22" x14ac:dyDescent="0.25">
      <c r="B3762" s="16">
        <v>1</v>
      </c>
      <c r="C3762" s="7">
        <v>1</v>
      </c>
      <c r="D3762" s="8">
        <v>1</v>
      </c>
      <c r="E3762" s="8">
        <v>1</v>
      </c>
      <c r="F3762" s="8">
        <v>0</v>
      </c>
      <c r="G3762" s="8">
        <v>1</v>
      </c>
      <c r="H3762" s="8">
        <v>0</v>
      </c>
      <c r="I3762" s="8">
        <v>1</v>
      </c>
      <c r="J3762" s="8">
        <v>0</v>
      </c>
      <c r="K3762" s="9">
        <v>1</v>
      </c>
      <c r="L3762" s="10">
        <v>1</v>
      </c>
      <c r="M3762" s="6">
        <v>1</v>
      </c>
      <c r="N3762" s="37" t="e" cm="1">
        <f t="array" ref="N3762">IF(OR(ISNUMBER(FIND(Aux!$D$3:$D$9,_xlfn.TEXTJOIN(,,C3762:K3762)))),NA(),IF(AND(SUM(C3762:F3762,H3762:K3762)=0,G3762=1),0,INT((SUMPRODUCT(C3762:F3762,COLUMN($A$1:$D$1)-1)+SUMPRODUCT(H3762:K3762,COLUMN($E$1:$H$1)-1))*'Line Follower'!$C$3/SUM(C3762:F3762,H3762:K3762)-'Line Follower'!$C$5)))</f>
        <v>#N/A</v>
      </c>
      <c r="O3762" s="22" t="e">
        <v>#N/A</v>
      </c>
      <c r="P3762" s="4" t="e">
        <f t="shared" si="290"/>
        <v>#N/A</v>
      </c>
      <c r="Q3762" s="4" t="e">
        <f t="shared" si="291"/>
        <v>#N/A</v>
      </c>
      <c r="R3762" s="4" t="e">
        <f>IF(AND(B3762=1,N3762&gt;'Line Follower'!$C$7,SUM(C3762:K3762)&lt;4),1,0)</f>
        <v>#N/A</v>
      </c>
      <c r="S3762" s="4" t="e">
        <f>IF(AND(L3762=1,N3762&lt;'Line Follower'!$C$6,SUM(C3762:K3762)&lt;4),1,0)</f>
        <v>#N/A</v>
      </c>
      <c r="T3762" s="4" t="e">
        <f t="shared" si="292"/>
        <v>#N/A</v>
      </c>
      <c r="U3762" s="5" t="e">
        <f t="shared" si="293"/>
        <v>#N/A</v>
      </c>
      <c r="V3762" s="23" t="e">
        <f t="shared" si="294"/>
        <v>#N/A</v>
      </c>
    </row>
    <row r="3763" spans="2:22" x14ac:dyDescent="0.25">
      <c r="B3763" s="16">
        <v>0</v>
      </c>
      <c r="C3763" s="7">
        <v>0</v>
      </c>
      <c r="D3763" s="8">
        <v>0</v>
      </c>
      <c r="E3763" s="8">
        <v>0</v>
      </c>
      <c r="F3763" s="8">
        <v>1</v>
      </c>
      <c r="G3763" s="8">
        <v>1</v>
      </c>
      <c r="H3763" s="8">
        <v>0</v>
      </c>
      <c r="I3763" s="8">
        <v>1</v>
      </c>
      <c r="J3763" s="8">
        <v>0</v>
      </c>
      <c r="K3763" s="9">
        <v>1</v>
      </c>
      <c r="L3763" s="10">
        <v>1</v>
      </c>
      <c r="M3763" s="6">
        <v>1</v>
      </c>
      <c r="N3763" s="37" t="e" cm="1">
        <f t="array" ref="N3763">IF(OR(ISNUMBER(FIND(Aux!$D$3:$D$9,_xlfn.TEXTJOIN(,,C3763:K3763)))),NA(),IF(AND(SUM(C3763:F3763,H3763:K3763)=0,G3763=1),0,INT((SUMPRODUCT(C3763:F3763,COLUMN($A$1:$D$1)-1)+SUMPRODUCT(H3763:K3763,COLUMN($E$1:$H$1)-1))*'Line Follower'!$C$3/SUM(C3763:F3763,H3763:K3763)-'Line Follower'!$C$5)))</f>
        <v>#N/A</v>
      </c>
      <c r="O3763" s="22" t="e">
        <v>#N/A</v>
      </c>
      <c r="P3763" s="4" t="e">
        <f t="shared" si="290"/>
        <v>#N/A</v>
      </c>
      <c r="Q3763" s="4" t="e">
        <f t="shared" si="291"/>
        <v>#N/A</v>
      </c>
      <c r="R3763" s="4" t="e">
        <f>IF(AND(B3763=1,N3763&gt;'Line Follower'!$C$7,SUM(C3763:K3763)&lt;4),1,0)</f>
        <v>#N/A</v>
      </c>
      <c r="S3763" s="4" t="e">
        <f>IF(AND(L3763=1,N3763&lt;'Line Follower'!$C$6,SUM(C3763:K3763)&lt;4),1,0)</f>
        <v>#N/A</v>
      </c>
      <c r="T3763" s="4" t="e">
        <f t="shared" si="292"/>
        <v>#N/A</v>
      </c>
      <c r="U3763" s="5" t="e">
        <f t="shared" si="293"/>
        <v>#N/A</v>
      </c>
      <c r="V3763" s="23" t="e">
        <f t="shared" si="294"/>
        <v>#N/A</v>
      </c>
    </row>
    <row r="3764" spans="2:22" x14ac:dyDescent="0.25">
      <c r="B3764" s="16">
        <v>1</v>
      </c>
      <c r="C3764" s="7">
        <v>0</v>
      </c>
      <c r="D3764" s="8">
        <v>0</v>
      </c>
      <c r="E3764" s="8">
        <v>0</v>
      </c>
      <c r="F3764" s="8">
        <v>1</v>
      </c>
      <c r="G3764" s="8">
        <v>1</v>
      </c>
      <c r="H3764" s="8">
        <v>0</v>
      </c>
      <c r="I3764" s="8">
        <v>1</v>
      </c>
      <c r="J3764" s="8">
        <v>0</v>
      </c>
      <c r="K3764" s="9">
        <v>1</v>
      </c>
      <c r="L3764" s="10">
        <v>1</v>
      </c>
      <c r="M3764" s="6">
        <v>1</v>
      </c>
      <c r="N3764" s="37" t="e" cm="1">
        <f t="array" ref="N3764">IF(OR(ISNUMBER(FIND(Aux!$D$3:$D$9,_xlfn.TEXTJOIN(,,C3764:K3764)))),NA(),IF(AND(SUM(C3764:F3764,H3764:K3764)=0,G3764=1),0,INT((SUMPRODUCT(C3764:F3764,COLUMN($A$1:$D$1)-1)+SUMPRODUCT(H3764:K3764,COLUMN($E$1:$H$1)-1))*'Line Follower'!$C$3/SUM(C3764:F3764,H3764:K3764)-'Line Follower'!$C$5)))</f>
        <v>#N/A</v>
      </c>
      <c r="O3764" s="22" t="e">
        <v>#N/A</v>
      </c>
      <c r="P3764" s="4" t="e">
        <f t="shared" si="290"/>
        <v>#N/A</v>
      </c>
      <c r="Q3764" s="4" t="e">
        <f t="shared" si="291"/>
        <v>#N/A</v>
      </c>
      <c r="R3764" s="4" t="e">
        <f>IF(AND(B3764=1,N3764&gt;'Line Follower'!$C$7,SUM(C3764:K3764)&lt;4),1,0)</f>
        <v>#N/A</v>
      </c>
      <c r="S3764" s="4" t="e">
        <f>IF(AND(L3764=1,N3764&lt;'Line Follower'!$C$6,SUM(C3764:K3764)&lt;4),1,0)</f>
        <v>#N/A</v>
      </c>
      <c r="T3764" s="4" t="e">
        <f t="shared" si="292"/>
        <v>#N/A</v>
      </c>
      <c r="U3764" s="5" t="e">
        <f t="shared" si="293"/>
        <v>#N/A</v>
      </c>
      <c r="V3764" s="23" t="e">
        <f t="shared" si="294"/>
        <v>#N/A</v>
      </c>
    </row>
    <row r="3765" spans="2:22" x14ac:dyDescent="0.25">
      <c r="B3765" s="16">
        <v>0</v>
      </c>
      <c r="C3765" s="7">
        <v>1</v>
      </c>
      <c r="D3765" s="8">
        <v>0</v>
      </c>
      <c r="E3765" s="8">
        <v>0</v>
      </c>
      <c r="F3765" s="8">
        <v>1</v>
      </c>
      <c r="G3765" s="8">
        <v>1</v>
      </c>
      <c r="H3765" s="8">
        <v>0</v>
      </c>
      <c r="I3765" s="8">
        <v>1</v>
      </c>
      <c r="J3765" s="8">
        <v>0</v>
      </c>
      <c r="K3765" s="9">
        <v>1</v>
      </c>
      <c r="L3765" s="10">
        <v>1</v>
      </c>
      <c r="M3765" s="6">
        <v>1</v>
      </c>
      <c r="N3765" s="37" t="e" cm="1">
        <f t="array" ref="N3765">IF(OR(ISNUMBER(FIND(Aux!$D$3:$D$9,_xlfn.TEXTJOIN(,,C3765:K3765)))),NA(),IF(AND(SUM(C3765:F3765,H3765:K3765)=0,G3765=1),0,INT((SUMPRODUCT(C3765:F3765,COLUMN($A$1:$D$1)-1)+SUMPRODUCT(H3765:K3765,COLUMN($E$1:$H$1)-1))*'Line Follower'!$C$3/SUM(C3765:F3765,H3765:K3765)-'Line Follower'!$C$5)))</f>
        <v>#N/A</v>
      </c>
      <c r="O3765" s="22" t="e">
        <v>#N/A</v>
      </c>
      <c r="P3765" s="4" t="e">
        <f t="shared" si="290"/>
        <v>#N/A</v>
      </c>
      <c r="Q3765" s="4" t="e">
        <f t="shared" si="291"/>
        <v>#N/A</v>
      </c>
      <c r="R3765" s="4" t="e">
        <f>IF(AND(B3765=1,N3765&gt;'Line Follower'!$C$7,SUM(C3765:K3765)&lt;4),1,0)</f>
        <v>#N/A</v>
      </c>
      <c r="S3765" s="4" t="e">
        <f>IF(AND(L3765=1,N3765&lt;'Line Follower'!$C$6,SUM(C3765:K3765)&lt;4),1,0)</f>
        <v>#N/A</v>
      </c>
      <c r="T3765" s="4" t="e">
        <f t="shared" si="292"/>
        <v>#N/A</v>
      </c>
      <c r="U3765" s="5" t="e">
        <f t="shared" si="293"/>
        <v>#N/A</v>
      </c>
      <c r="V3765" s="23" t="e">
        <f t="shared" si="294"/>
        <v>#N/A</v>
      </c>
    </row>
    <row r="3766" spans="2:22" x14ac:dyDescent="0.25">
      <c r="B3766" s="16">
        <v>1</v>
      </c>
      <c r="C3766" s="7">
        <v>1</v>
      </c>
      <c r="D3766" s="8">
        <v>0</v>
      </c>
      <c r="E3766" s="8">
        <v>0</v>
      </c>
      <c r="F3766" s="8">
        <v>1</v>
      </c>
      <c r="G3766" s="8">
        <v>1</v>
      </c>
      <c r="H3766" s="8">
        <v>0</v>
      </c>
      <c r="I3766" s="8">
        <v>1</v>
      </c>
      <c r="J3766" s="8">
        <v>0</v>
      </c>
      <c r="K3766" s="9">
        <v>1</v>
      </c>
      <c r="L3766" s="10">
        <v>1</v>
      </c>
      <c r="M3766" s="6">
        <v>1</v>
      </c>
      <c r="N3766" s="37" t="e" cm="1">
        <f t="array" ref="N3766">IF(OR(ISNUMBER(FIND(Aux!$D$3:$D$9,_xlfn.TEXTJOIN(,,C3766:K3766)))),NA(),IF(AND(SUM(C3766:F3766,H3766:K3766)=0,G3766=1),0,INT((SUMPRODUCT(C3766:F3766,COLUMN($A$1:$D$1)-1)+SUMPRODUCT(H3766:K3766,COLUMN($E$1:$H$1)-1))*'Line Follower'!$C$3/SUM(C3766:F3766,H3766:K3766)-'Line Follower'!$C$5)))</f>
        <v>#N/A</v>
      </c>
      <c r="O3766" s="22" t="e">
        <v>#N/A</v>
      </c>
      <c r="P3766" s="4" t="e">
        <f t="shared" si="290"/>
        <v>#N/A</v>
      </c>
      <c r="Q3766" s="4" t="e">
        <f t="shared" si="291"/>
        <v>#N/A</v>
      </c>
      <c r="R3766" s="4" t="e">
        <f>IF(AND(B3766=1,N3766&gt;'Line Follower'!$C$7,SUM(C3766:K3766)&lt;4),1,0)</f>
        <v>#N/A</v>
      </c>
      <c r="S3766" s="4" t="e">
        <f>IF(AND(L3766=1,N3766&lt;'Line Follower'!$C$6,SUM(C3766:K3766)&lt;4),1,0)</f>
        <v>#N/A</v>
      </c>
      <c r="T3766" s="4" t="e">
        <f t="shared" si="292"/>
        <v>#N/A</v>
      </c>
      <c r="U3766" s="5" t="e">
        <f t="shared" si="293"/>
        <v>#N/A</v>
      </c>
      <c r="V3766" s="23" t="e">
        <f t="shared" si="294"/>
        <v>#N/A</v>
      </c>
    </row>
    <row r="3767" spans="2:22" x14ac:dyDescent="0.25">
      <c r="B3767" s="16">
        <v>0</v>
      </c>
      <c r="C3767" s="7">
        <v>0</v>
      </c>
      <c r="D3767" s="8">
        <v>1</v>
      </c>
      <c r="E3767" s="8">
        <v>0</v>
      </c>
      <c r="F3767" s="8">
        <v>1</v>
      </c>
      <c r="G3767" s="8">
        <v>1</v>
      </c>
      <c r="H3767" s="8">
        <v>0</v>
      </c>
      <c r="I3767" s="8">
        <v>1</v>
      </c>
      <c r="J3767" s="8">
        <v>0</v>
      </c>
      <c r="K3767" s="9">
        <v>1</v>
      </c>
      <c r="L3767" s="10">
        <v>1</v>
      </c>
      <c r="M3767" s="6">
        <v>1</v>
      </c>
      <c r="N3767" s="37" t="e" cm="1">
        <f t="array" ref="N3767">IF(OR(ISNUMBER(FIND(Aux!$D$3:$D$9,_xlfn.TEXTJOIN(,,C3767:K3767)))),NA(),IF(AND(SUM(C3767:F3767,H3767:K3767)=0,G3767=1),0,INT((SUMPRODUCT(C3767:F3767,COLUMN($A$1:$D$1)-1)+SUMPRODUCT(H3767:K3767,COLUMN($E$1:$H$1)-1))*'Line Follower'!$C$3/SUM(C3767:F3767,H3767:K3767)-'Line Follower'!$C$5)))</f>
        <v>#N/A</v>
      </c>
      <c r="O3767" s="22" t="e">
        <v>#N/A</v>
      </c>
      <c r="P3767" s="4" t="e">
        <f t="shared" si="290"/>
        <v>#N/A</v>
      </c>
      <c r="Q3767" s="4" t="e">
        <f t="shared" si="291"/>
        <v>#N/A</v>
      </c>
      <c r="R3767" s="4" t="e">
        <f>IF(AND(B3767=1,N3767&gt;'Line Follower'!$C$7,SUM(C3767:K3767)&lt;4),1,0)</f>
        <v>#N/A</v>
      </c>
      <c r="S3767" s="4" t="e">
        <f>IF(AND(L3767=1,N3767&lt;'Line Follower'!$C$6,SUM(C3767:K3767)&lt;4),1,0)</f>
        <v>#N/A</v>
      </c>
      <c r="T3767" s="4" t="e">
        <f t="shared" si="292"/>
        <v>#N/A</v>
      </c>
      <c r="U3767" s="5" t="e">
        <f t="shared" si="293"/>
        <v>#N/A</v>
      </c>
      <c r="V3767" s="23" t="e">
        <f t="shared" si="294"/>
        <v>#N/A</v>
      </c>
    </row>
    <row r="3768" spans="2:22" x14ac:dyDescent="0.25">
      <c r="B3768" s="16">
        <v>1</v>
      </c>
      <c r="C3768" s="7">
        <v>0</v>
      </c>
      <c r="D3768" s="8">
        <v>1</v>
      </c>
      <c r="E3768" s="8">
        <v>0</v>
      </c>
      <c r="F3768" s="8">
        <v>1</v>
      </c>
      <c r="G3768" s="8">
        <v>1</v>
      </c>
      <c r="H3768" s="8">
        <v>0</v>
      </c>
      <c r="I3768" s="8">
        <v>1</v>
      </c>
      <c r="J3768" s="8">
        <v>0</v>
      </c>
      <c r="K3768" s="9">
        <v>1</v>
      </c>
      <c r="L3768" s="10">
        <v>1</v>
      </c>
      <c r="M3768" s="6">
        <v>1</v>
      </c>
      <c r="N3768" s="37" t="e" cm="1">
        <f t="array" ref="N3768">IF(OR(ISNUMBER(FIND(Aux!$D$3:$D$9,_xlfn.TEXTJOIN(,,C3768:K3768)))),NA(),IF(AND(SUM(C3768:F3768,H3768:K3768)=0,G3768=1),0,INT((SUMPRODUCT(C3768:F3768,COLUMN($A$1:$D$1)-1)+SUMPRODUCT(H3768:K3768,COLUMN($E$1:$H$1)-1))*'Line Follower'!$C$3/SUM(C3768:F3768,H3768:K3768)-'Line Follower'!$C$5)))</f>
        <v>#N/A</v>
      </c>
      <c r="O3768" s="22" t="e">
        <v>#N/A</v>
      </c>
      <c r="P3768" s="4" t="e">
        <f t="shared" si="290"/>
        <v>#N/A</v>
      </c>
      <c r="Q3768" s="4" t="e">
        <f t="shared" si="291"/>
        <v>#N/A</v>
      </c>
      <c r="R3768" s="4" t="e">
        <f>IF(AND(B3768=1,N3768&gt;'Line Follower'!$C$7,SUM(C3768:K3768)&lt;4),1,0)</f>
        <v>#N/A</v>
      </c>
      <c r="S3768" s="4" t="e">
        <f>IF(AND(L3768=1,N3768&lt;'Line Follower'!$C$6,SUM(C3768:K3768)&lt;4),1,0)</f>
        <v>#N/A</v>
      </c>
      <c r="T3768" s="4" t="e">
        <f t="shared" si="292"/>
        <v>#N/A</v>
      </c>
      <c r="U3768" s="5" t="e">
        <f t="shared" si="293"/>
        <v>#N/A</v>
      </c>
      <c r="V3768" s="23" t="e">
        <f t="shared" si="294"/>
        <v>#N/A</v>
      </c>
    </row>
    <row r="3769" spans="2:22" x14ac:dyDescent="0.25">
      <c r="B3769" s="16">
        <v>0</v>
      </c>
      <c r="C3769" s="7">
        <v>1</v>
      </c>
      <c r="D3769" s="8">
        <v>1</v>
      </c>
      <c r="E3769" s="8">
        <v>0</v>
      </c>
      <c r="F3769" s="8">
        <v>1</v>
      </c>
      <c r="G3769" s="8">
        <v>1</v>
      </c>
      <c r="H3769" s="8">
        <v>0</v>
      </c>
      <c r="I3769" s="8">
        <v>1</v>
      </c>
      <c r="J3769" s="8">
        <v>0</v>
      </c>
      <c r="K3769" s="9">
        <v>1</v>
      </c>
      <c r="L3769" s="10">
        <v>1</v>
      </c>
      <c r="M3769" s="6">
        <v>1</v>
      </c>
      <c r="N3769" s="37" t="e" cm="1">
        <f t="array" ref="N3769">IF(OR(ISNUMBER(FIND(Aux!$D$3:$D$9,_xlfn.TEXTJOIN(,,C3769:K3769)))),NA(),IF(AND(SUM(C3769:F3769,H3769:K3769)=0,G3769=1),0,INT((SUMPRODUCT(C3769:F3769,COLUMN($A$1:$D$1)-1)+SUMPRODUCT(H3769:K3769,COLUMN($E$1:$H$1)-1))*'Line Follower'!$C$3/SUM(C3769:F3769,H3769:K3769)-'Line Follower'!$C$5)))</f>
        <v>#N/A</v>
      </c>
      <c r="O3769" s="22" t="e">
        <v>#N/A</v>
      </c>
      <c r="P3769" s="4" t="e">
        <f t="shared" si="290"/>
        <v>#N/A</v>
      </c>
      <c r="Q3769" s="4" t="e">
        <f t="shared" si="291"/>
        <v>#N/A</v>
      </c>
      <c r="R3769" s="4" t="e">
        <f>IF(AND(B3769=1,N3769&gt;'Line Follower'!$C$7,SUM(C3769:K3769)&lt;4),1,0)</f>
        <v>#N/A</v>
      </c>
      <c r="S3769" s="4" t="e">
        <f>IF(AND(L3769=1,N3769&lt;'Line Follower'!$C$6,SUM(C3769:K3769)&lt;4),1,0)</f>
        <v>#N/A</v>
      </c>
      <c r="T3769" s="4" t="e">
        <f t="shared" si="292"/>
        <v>#N/A</v>
      </c>
      <c r="U3769" s="5" t="e">
        <f t="shared" si="293"/>
        <v>#N/A</v>
      </c>
      <c r="V3769" s="23" t="e">
        <f t="shared" si="294"/>
        <v>#N/A</v>
      </c>
    </row>
    <row r="3770" spans="2:22" x14ac:dyDescent="0.25">
      <c r="B3770" s="16">
        <v>1</v>
      </c>
      <c r="C3770" s="7">
        <v>1</v>
      </c>
      <c r="D3770" s="8">
        <v>1</v>
      </c>
      <c r="E3770" s="8">
        <v>0</v>
      </c>
      <c r="F3770" s="8">
        <v>1</v>
      </c>
      <c r="G3770" s="8">
        <v>1</v>
      </c>
      <c r="H3770" s="8">
        <v>0</v>
      </c>
      <c r="I3770" s="8">
        <v>1</v>
      </c>
      <c r="J3770" s="8">
        <v>0</v>
      </c>
      <c r="K3770" s="9">
        <v>1</v>
      </c>
      <c r="L3770" s="10">
        <v>1</v>
      </c>
      <c r="M3770" s="6">
        <v>1</v>
      </c>
      <c r="N3770" s="37" t="e" cm="1">
        <f t="array" ref="N3770">IF(OR(ISNUMBER(FIND(Aux!$D$3:$D$9,_xlfn.TEXTJOIN(,,C3770:K3770)))),NA(),IF(AND(SUM(C3770:F3770,H3770:K3770)=0,G3770=1),0,INT((SUMPRODUCT(C3770:F3770,COLUMN($A$1:$D$1)-1)+SUMPRODUCT(H3770:K3770,COLUMN($E$1:$H$1)-1))*'Line Follower'!$C$3/SUM(C3770:F3770,H3770:K3770)-'Line Follower'!$C$5)))</f>
        <v>#N/A</v>
      </c>
      <c r="O3770" s="22" t="e">
        <v>#N/A</v>
      </c>
      <c r="P3770" s="4" t="e">
        <f t="shared" si="290"/>
        <v>#N/A</v>
      </c>
      <c r="Q3770" s="4" t="e">
        <f t="shared" si="291"/>
        <v>#N/A</v>
      </c>
      <c r="R3770" s="4" t="e">
        <f>IF(AND(B3770=1,N3770&gt;'Line Follower'!$C$7,SUM(C3770:K3770)&lt;4),1,0)</f>
        <v>#N/A</v>
      </c>
      <c r="S3770" s="4" t="e">
        <f>IF(AND(L3770=1,N3770&lt;'Line Follower'!$C$6,SUM(C3770:K3770)&lt;4),1,0)</f>
        <v>#N/A</v>
      </c>
      <c r="T3770" s="4" t="e">
        <f t="shared" si="292"/>
        <v>#N/A</v>
      </c>
      <c r="U3770" s="5" t="e">
        <f t="shared" si="293"/>
        <v>#N/A</v>
      </c>
      <c r="V3770" s="23" t="e">
        <f t="shared" si="294"/>
        <v>#N/A</v>
      </c>
    </row>
    <row r="3771" spans="2:22" x14ac:dyDescent="0.25">
      <c r="B3771" s="16">
        <v>0</v>
      </c>
      <c r="C3771" s="7">
        <v>0</v>
      </c>
      <c r="D3771" s="8">
        <v>0</v>
      </c>
      <c r="E3771" s="8">
        <v>1</v>
      </c>
      <c r="F3771" s="8">
        <v>1</v>
      </c>
      <c r="G3771" s="8">
        <v>1</v>
      </c>
      <c r="H3771" s="8">
        <v>0</v>
      </c>
      <c r="I3771" s="8">
        <v>1</v>
      </c>
      <c r="J3771" s="8">
        <v>0</v>
      </c>
      <c r="K3771" s="9">
        <v>1</v>
      </c>
      <c r="L3771" s="10">
        <v>1</v>
      </c>
      <c r="M3771" s="6">
        <v>1</v>
      </c>
      <c r="N3771" s="37" t="e" cm="1">
        <f t="array" ref="N3771">IF(OR(ISNUMBER(FIND(Aux!$D$3:$D$9,_xlfn.TEXTJOIN(,,C3771:K3771)))),NA(),IF(AND(SUM(C3771:F3771,H3771:K3771)=0,G3771=1),0,INT((SUMPRODUCT(C3771:F3771,COLUMN($A$1:$D$1)-1)+SUMPRODUCT(H3771:K3771,COLUMN($E$1:$H$1)-1))*'Line Follower'!$C$3/SUM(C3771:F3771,H3771:K3771)-'Line Follower'!$C$5)))</f>
        <v>#N/A</v>
      </c>
      <c r="O3771" s="22" t="e">
        <v>#N/A</v>
      </c>
      <c r="P3771" s="4" t="e">
        <f t="shared" si="290"/>
        <v>#N/A</v>
      </c>
      <c r="Q3771" s="4" t="e">
        <f t="shared" si="291"/>
        <v>#N/A</v>
      </c>
      <c r="R3771" s="4" t="e">
        <f>IF(AND(B3771=1,N3771&gt;'Line Follower'!$C$7,SUM(C3771:K3771)&lt;4),1,0)</f>
        <v>#N/A</v>
      </c>
      <c r="S3771" s="4" t="e">
        <f>IF(AND(L3771=1,N3771&lt;'Line Follower'!$C$6,SUM(C3771:K3771)&lt;4),1,0)</f>
        <v>#N/A</v>
      </c>
      <c r="T3771" s="4" t="e">
        <f t="shared" si="292"/>
        <v>#N/A</v>
      </c>
      <c r="U3771" s="5" t="e">
        <f t="shared" si="293"/>
        <v>#N/A</v>
      </c>
      <c r="V3771" s="23" t="e">
        <f t="shared" si="294"/>
        <v>#N/A</v>
      </c>
    </row>
    <row r="3772" spans="2:22" x14ac:dyDescent="0.25">
      <c r="B3772" s="16">
        <v>1</v>
      </c>
      <c r="C3772" s="7">
        <v>0</v>
      </c>
      <c r="D3772" s="8">
        <v>0</v>
      </c>
      <c r="E3772" s="8">
        <v>1</v>
      </c>
      <c r="F3772" s="8">
        <v>1</v>
      </c>
      <c r="G3772" s="8">
        <v>1</v>
      </c>
      <c r="H3772" s="8">
        <v>0</v>
      </c>
      <c r="I3772" s="8">
        <v>1</v>
      </c>
      <c r="J3772" s="8">
        <v>0</v>
      </c>
      <c r="K3772" s="9">
        <v>1</v>
      </c>
      <c r="L3772" s="10">
        <v>1</v>
      </c>
      <c r="M3772" s="6">
        <v>1</v>
      </c>
      <c r="N3772" s="37" t="e" cm="1">
        <f t="array" ref="N3772">IF(OR(ISNUMBER(FIND(Aux!$D$3:$D$9,_xlfn.TEXTJOIN(,,C3772:K3772)))),NA(),IF(AND(SUM(C3772:F3772,H3772:K3772)=0,G3772=1),0,INT((SUMPRODUCT(C3772:F3772,COLUMN($A$1:$D$1)-1)+SUMPRODUCT(H3772:K3772,COLUMN($E$1:$H$1)-1))*'Line Follower'!$C$3/SUM(C3772:F3772,H3772:K3772)-'Line Follower'!$C$5)))</f>
        <v>#N/A</v>
      </c>
      <c r="O3772" s="22" t="e">
        <v>#N/A</v>
      </c>
      <c r="P3772" s="4" t="e">
        <f t="shared" si="290"/>
        <v>#N/A</v>
      </c>
      <c r="Q3772" s="4" t="e">
        <f t="shared" si="291"/>
        <v>#N/A</v>
      </c>
      <c r="R3772" s="4" t="e">
        <f>IF(AND(B3772=1,N3772&gt;'Line Follower'!$C$7,SUM(C3772:K3772)&lt;4),1,0)</f>
        <v>#N/A</v>
      </c>
      <c r="S3772" s="4" t="e">
        <f>IF(AND(L3772=1,N3772&lt;'Line Follower'!$C$6,SUM(C3772:K3772)&lt;4),1,0)</f>
        <v>#N/A</v>
      </c>
      <c r="T3772" s="4" t="e">
        <f t="shared" si="292"/>
        <v>#N/A</v>
      </c>
      <c r="U3772" s="5" t="e">
        <f t="shared" si="293"/>
        <v>#N/A</v>
      </c>
      <c r="V3772" s="23" t="e">
        <f t="shared" si="294"/>
        <v>#N/A</v>
      </c>
    </row>
    <row r="3773" spans="2:22" x14ac:dyDescent="0.25">
      <c r="B3773" s="16">
        <v>0</v>
      </c>
      <c r="C3773" s="7">
        <v>1</v>
      </c>
      <c r="D3773" s="8">
        <v>0</v>
      </c>
      <c r="E3773" s="8">
        <v>1</v>
      </c>
      <c r="F3773" s="8">
        <v>1</v>
      </c>
      <c r="G3773" s="8">
        <v>1</v>
      </c>
      <c r="H3773" s="8">
        <v>0</v>
      </c>
      <c r="I3773" s="8">
        <v>1</v>
      </c>
      <c r="J3773" s="8">
        <v>0</v>
      </c>
      <c r="K3773" s="9">
        <v>1</v>
      </c>
      <c r="L3773" s="10">
        <v>1</v>
      </c>
      <c r="M3773" s="6">
        <v>1</v>
      </c>
      <c r="N3773" s="37" t="e" cm="1">
        <f t="array" ref="N3773">IF(OR(ISNUMBER(FIND(Aux!$D$3:$D$9,_xlfn.TEXTJOIN(,,C3773:K3773)))),NA(),IF(AND(SUM(C3773:F3773,H3773:K3773)=0,G3773=1),0,INT((SUMPRODUCT(C3773:F3773,COLUMN($A$1:$D$1)-1)+SUMPRODUCT(H3773:K3773,COLUMN($E$1:$H$1)-1))*'Line Follower'!$C$3/SUM(C3773:F3773,H3773:K3773)-'Line Follower'!$C$5)))</f>
        <v>#N/A</v>
      </c>
      <c r="O3773" s="22" t="e">
        <v>#N/A</v>
      </c>
      <c r="P3773" s="4" t="e">
        <f t="shared" si="290"/>
        <v>#N/A</v>
      </c>
      <c r="Q3773" s="4" t="e">
        <f t="shared" si="291"/>
        <v>#N/A</v>
      </c>
      <c r="R3773" s="4" t="e">
        <f>IF(AND(B3773=1,N3773&gt;'Line Follower'!$C$7,SUM(C3773:K3773)&lt;4),1,0)</f>
        <v>#N/A</v>
      </c>
      <c r="S3773" s="4" t="e">
        <f>IF(AND(L3773=1,N3773&lt;'Line Follower'!$C$6,SUM(C3773:K3773)&lt;4),1,0)</f>
        <v>#N/A</v>
      </c>
      <c r="T3773" s="4" t="e">
        <f t="shared" si="292"/>
        <v>#N/A</v>
      </c>
      <c r="U3773" s="5" t="e">
        <f t="shared" si="293"/>
        <v>#N/A</v>
      </c>
      <c r="V3773" s="23" t="e">
        <f t="shared" si="294"/>
        <v>#N/A</v>
      </c>
    </row>
    <row r="3774" spans="2:22" x14ac:dyDescent="0.25">
      <c r="B3774" s="16">
        <v>1</v>
      </c>
      <c r="C3774" s="7">
        <v>1</v>
      </c>
      <c r="D3774" s="8">
        <v>0</v>
      </c>
      <c r="E3774" s="8">
        <v>1</v>
      </c>
      <c r="F3774" s="8">
        <v>1</v>
      </c>
      <c r="G3774" s="8">
        <v>1</v>
      </c>
      <c r="H3774" s="8">
        <v>0</v>
      </c>
      <c r="I3774" s="8">
        <v>1</v>
      </c>
      <c r="J3774" s="8">
        <v>0</v>
      </c>
      <c r="K3774" s="9">
        <v>1</v>
      </c>
      <c r="L3774" s="10">
        <v>1</v>
      </c>
      <c r="M3774" s="6">
        <v>1</v>
      </c>
      <c r="N3774" s="37" t="e" cm="1">
        <f t="array" ref="N3774">IF(OR(ISNUMBER(FIND(Aux!$D$3:$D$9,_xlfn.TEXTJOIN(,,C3774:K3774)))),NA(),IF(AND(SUM(C3774:F3774,H3774:K3774)=0,G3774=1),0,INT((SUMPRODUCT(C3774:F3774,COLUMN($A$1:$D$1)-1)+SUMPRODUCT(H3774:K3774,COLUMN($E$1:$H$1)-1))*'Line Follower'!$C$3/SUM(C3774:F3774,H3774:K3774)-'Line Follower'!$C$5)))</f>
        <v>#N/A</v>
      </c>
      <c r="O3774" s="22" t="e">
        <v>#N/A</v>
      </c>
      <c r="P3774" s="4" t="e">
        <f t="shared" si="290"/>
        <v>#N/A</v>
      </c>
      <c r="Q3774" s="4" t="e">
        <f t="shared" si="291"/>
        <v>#N/A</v>
      </c>
      <c r="R3774" s="4" t="e">
        <f>IF(AND(B3774=1,N3774&gt;'Line Follower'!$C$7,SUM(C3774:K3774)&lt;4),1,0)</f>
        <v>#N/A</v>
      </c>
      <c r="S3774" s="4" t="e">
        <f>IF(AND(L3774=1,N3774&lt;'Line Follower'!$C$6,SUM(C3774:K3774)&lt;4),1,0)</f>
        <v>#N/A</v>
      </c>
      <c r="T3774" s="4" t="e">
        <f t="shared" si="292"/>
        <v>#N/A</v>
      </c>
      <c r="U3774" s="5" t="e">
        <f t="shared" si="293"/>
        <v>#N/A</v>
      </c>
      <c r="V3774" s="23" t="e">
        <f t="shared" si="294"/>
        <v>#N/A</v>
      </c>
    </row>
    <row r="3775" spans="2:22" x14ac:dyDescent="0.25">
      <c r="B3775" s="16">
        <v>0</v>
      </c>
      <c r="C3775" s="7">
        <v>0</v>
      </c>
      <c r="D3775" s="8">
        <v>1</v>
      </c>
      <c r="E3775" s="8">
        <v>1</v>
      </c>
      <c r="F3775" s="8">
        <v>1</v>
      </c>
      <c r="G3775" s="8">
        <v>1</v>
      </c>
      <c r="H3775" s="8">
        <v>0</v>
      </c>
      <c r="I3775" s="8">
        <v>1</v>
      </c>
      <c r="J3775" s="8">
        <v>0</v>
      </c>
      <c r="K3775" s="9">
        <v>1</v>
      </c>
      <c r="L3775" s="10">
        <v>1</v>
      </c>
      <c r="M3775" s="6">
        <v>1</v>
      </c>
      <c r="N3775" s="37" t="e" cm="1">
        <f t="array" ref="N3775">IF(OR(ISNUMBER(FIND(Aux!$D$3:$D$9,_xlfn.TEXTJOIN(,,C3775:K3775)))),NA(),IF(AND(SUM(C3775:F3775,H3775:K3775)=0,G3775=1),0,INT((SUMPRODUCT(C3775:F3775,COLUMN($A$1:$D$1)-1)+SUMPRODUCT(H3775:K3775,COLUMN($E$1:$H$1)-1))*'Line Follower'!$C$3/SUM(C3775:F3775,H3775:K3775)-'Line Follower'!$C$5)))</f>
        <v>#N/A</v>
      </c>
      <c r="O3775" s="22" t="e">
        <v>#N/A</v>
      </c>
      <c r="P3775" s="4" t="e">
        <f t="shared" si="290"/>
        <v>#N/A</v>
      </c>
      <c r="Q3775" s="4" t="e">
        <f t="shared" si="291"/>
        <v>#N/A</v>
      </c>
      <c r="R3775" s="4" t="e">
        <f>IF(AND(B3775=1,N3775&gt;'Line Follower'!$C$7,SUM(C3775:K3775)&lt;4),1,0)</f>
        <v>#N/A</v>
      </c>
      <c r="S3775" s="4" t="e">
        <f>IF(AND(L3775=1,N3775&lt;'Line Follower'!$C$6,SUM(C3775:K3775)&lt;4),1,0)</f>
        <v>#N/A</v>
      </c>
      <c r="T3775" s="4" t="e">
        <f t="shared" si="292"/>
        <v>#N/A</v>
      </c>
      <c r="U3775" s="5" t="e">
        <f t="shared" si="293"/>
        <v>#N/A</v>
      </c>
      <c r="V3775" s="23" t="e">
        <f t="shared" si="294"/>
        <v>#N/A</v>
      </c>
    </row>
    <row r="3776" spans="2:22" x14ac:dyDescent="0.25">
      <c r="B3776" s="16">
        <v>1</v>
      </c>
      <c r="C3776" s="7">
        <v>0</v>
      </c>
      <c r="D3776" s="8">
        <v>1</v>
      </c>
      <c r="E3776" s="8">
        <v>1</v>
      </c>
      <c r="F3776" s="8">
        <v>1</v>
      </c>
      <c r="G3776" s="8">
        <v>1</v>
      </c>
      <c r="H3776" s="8">
        <v>0</v>
      </c>
      <c r="I3776" s="8">
        <v>1</v>
      </c>
      <c r="J3776" s="8">
        <v>0</v>
      </c>
      <c r="K3776" s="9">
        <v>1</v>
      </c>
      <c r="L3776" s="10">
        <v>1</v>
      </c>
      <c r="M3776" s="6">
        <v>1</v>
      </c>
      <c r="N3776" s="37" t="e" cm="1">
        <f t="array" ref="N3776">IF(OR(ISNUMBER(FIND(Aux!$D$3:$D$9,_xlfn.TEXTJOIN(,,C3776:K3776)))),NA(),IF(AND(SUM(C3776:F3776,H3776:K3776)=0,G3776=1),0,INT((SUMPRODUCT(C3776:F3776,COLUMN($A$1:$D$1)-1)+SUMPRODUCT(H3776:K3776,COLUMN($E$1:$H$1)-1))*'Line Follower'!$C$3/SUM(C3776:F3776,H3776:K3776)-'Line Follower'!$C$5)))</f>
        <v>#N/A</v>
      </c>
      <c r="O3776" s="22" t="e">
        <v>#N/A</v>
      </c>
      <c r="P3776" s="4" t="e">
        <f t="shared" si="290"/>
        <v>#N/A</v>
      </c>
      <c r="Q3776" s="4" t="e">
        <f t="shared" si="291"/>
        <v>#N/A</v>
      </c>
      <c r="R3776" s="4" t="e">
        <f>IF(AND(B3776=1,N3776&gt;'Line Follower'!$C$7,SUM(C3776:K3776)&lt;4),1,0)</f>
        <v>#N/A</v>
      </c>
      <c r="S3776" s="4" t="e">
        <f>IF(AND(L3776=1,N3776&lt;'Line Follower'!$C$6,SUM(C3776:K3776)&lt;4),1,0)</f>
        <v>#N/A</v>
      </c>
      <c r="T3776" s="4" t="e">
        <f t="shared" si="292"/>
        <v>#N/A</v>
      </c>
      <c r="U3776" s="5" t="e">
        <f t="shared" si="293"/>
        <v>#N/A</v>
      </c>
      <c r="V3776" s="23" t="e">
        <f t="shared" si="294"/>
        <v>#N/A</v>
      </c>
    </row>
    <row r="3777" spans="2:22" x14ac:dyDescent="0.25">
      <c r="B3777" s="16">
        <v>0</v>
      </c>
      <c r="C3777" s="7">
        <v>1</v>
      </c>
      <c r="D3777" s="8">
        <v>1</v>
      </c>
      <c r="E3777" s="8">
        <v>1</v>
      </c>
      <c r="F3777" s="8">
        <v>1</v>
      </c>
      <c r="G3777" s="8">
        <v>1</v>
      </c>
      <c r="H3777" s="8">
        <v>0</v>
      </c>
      <c r="I3777" s="8">
        <v>1</v>
      </c>
      <c r="J3777" s="8">
        <v>0</v>
      </c>
      <c r="K3777" s="9">
        <v>1</v>
      </c>
      <c r="L3777" s="10">
        <v>1</v>
      </c>
      <c r="M3777" s="6">
        <v>1</v>
      </c>
      <c r="N3777" s="37" t="e" cm="1">
        <f t="array" ref="N3777">IF(OR(ISNUMBER(FIND(Aux!$D$3:$D$9,_xlfn.TEXTJOIN(,,C3777:K3777)))),NA(),IF(AND(SUM(C3777:F3777,H3777:K3777)=0,G3777=1),0,INT((SUMPRODUCT(C3777:F3777,COLUMN($A$1:$D$1)-1)+SUMPRODUCT(H3777:K3777,COLUMN($E$1:$H$1)-1))*'Line Follower'!$C$3/SUM(C3777:F3777,H3777:K3777)-'Line Follower'!$C$5)))</f>
        <v>#N/A</v>
      </c>
      <c r="O3777" s="22" t="e">
        <v>#N/A</v>
      </c>
      <c r="P3777" s="4" t="e">
        <f t="shared" si="290"/>
        <v>#N/A</v>
      </c>
      <c r="Q3777" s="4" t="e">
        <f t="shared" si="291"/>
        <v>#N/A</v>
      </c>
      <c r="R3777" s="4" t="e">
        <f>IF(AND(B3777=1,N3777&gt;'Line Follower'!$C$7,SUM(C3777:K3777)&lt;4),1,0)</f>
        <v>#N/A</v>
      </c>
      <c r="S3777" s="4" t="e">
        <f>IF(AND(L3777=1,N3777&lt;'Line Follower'!$C$6,SUM(C3777:K3777)&lt;4),1,0)</f>
        <v>#N/A</v>
      </c>
      <c r="T3777" s="4" t="e">
        <f t="shared" si="292"/>
        <v>#N/A</v>
      </c>
      <c r="U3777" s="5" t="e">
        <f t="shared" si="293"/>
        <v>#N/A</v>
      </c>
      <c r="V3777" s="23" t="e">
        <f t="shared" si="294"/>
        <v>#N/A</v>
      </c>
    </row>
    <row r="3778" spans="2:22" x14ac:dyDescent="0.25">
      <c r="B3778" s="16">
        <v>1</v>
      </c>
      <c r="C3778" s="7">
        <v>1</v>
      </c>
      <c r="D3778" s="8">
        <v>1</v>
      </c>
      <c r="E3778" s="8">
        <v>1</v>
      </c>
      <c r="F3778" s="8">
        <v>1</v>
      </c>
      <c r="G3778" s="8">
        <v>1</v>
      </c>
      <c r="H3778" s="8">
        <v>0</v>
      </c>
      <c r="I3778" s="8">
        <v>1</v>
      </c>
      <c r="J3778" s="8">
        <v>0</v>
      </c>
      <c r="K3778" s="9">
        <v>1</v>
      </c>
      <c r="L3778" s="10">
        <v>1</v>
      </c>
      <c r="M3778" s="6">
        <v>1</v>
      </c>
      <c r="N3778" s="37" t="e" cm="1">
        <f t="array" ref="N3778">IF(OR(ISNUMBER(FIND(Aux!$D$3:$D$9,_xlfn.TEXTJOIN(,,C3778:K3778)))),NA(),IF(AND(SUM(C3778:F3778,H3778:K3778)=0,G3778=1),0,INT((SUMPRODUCT(C3778:F3778,COLUMN($A$1:$D$1)-1)+SUMPRODUCT(H3778:K3778,COLUMN($E$1:$H$1)-1))*'Line Follower'!$C$3/SUM(C3778:F3778,H3778:K3778)-'Line Follower'!$C$5)))</f>
        <v>#N/A</v>
      </c>
      <c r="O3778" s="22" t="e">
        <v>#N/A</v>
      </c>
      <c r="P3778" s="4" t="e">
        <f t="shared" si="290"/>
        <v>#N/A</v>
      </c>
      <c r="Q3778" s="4" t="e">
        <f t="shared" si="291"/>
        <v>#N/A</v>
      </c>
      <c r="R3778" s="4" t="e">
        <f>IF(AND(B3778=1,N3778&gt;'Line Follower'!$C$7,SUM(C3778:K3778)&lt;4),1,0)</f>
        <v>#N/A</v>
      </c>
      <c r="S3778" s="4" t="e">
        <f>IF(AND(L3778=1,N3778&lt;'Line Follower'!$C$6,SUM(C3778:K3778)&lt;4),1,0)</f>
        <v>#N/A</v>
      </c>
      <c r="T3778" s="4" t="e">
        <f t="shared" si="292"/>
        <v>#N/A</v>
      </c>
      <c r="U3778" s="5" t="e">
        <f t="shared" si="293"/>
        <v>#N/A</v>
      </c>
      <c r="V3778" s="23" t="e">
        <f t="shared" si="294"/>
        <v>#N/A</v>
      </c>
    </row>
    <row r="3779" spans="2:22" x14ac:dyDescent="0.25">
      <c r="B3779" s="16">
        <v>0</v>
      </c>
      <c r="C3779" s="7">
        <v>0</v>
      </c>
      <c r="D3779" s="8">
        <v>0</v>
      </c>
      <c r="E3779" s="8">
        <v>0</v>
      </c>
      <c r="F3779" s="8">
        <v>0</v>
      </c>
      <c r="G3779" s="8">
        <v>0</v>
      </c>
      <c r="H3779" s="8">
        <v>1</v>
      </c>
      <c r="I3779" s="8">
        <v>1</v>
      </c>
      <c r="J3779" s="8">
        <v>0</v>
      </c>
      <c r="K3779" s="9">
        <v>1</v>
      </c>
      <c r="L3779" s="10">
        <v>1</v>
      </c>
      <c r="M3779" s="6">
        <v>1</v>
      </c>
      <c r="N3779" s="37" t="e" cm="1">
        <f t="array" ref="N3779">IF(OR(ISNUMBER(FIND(Aux!$D$3:$D$9,_xlfn.TEXTJOIN(,,C3779:K3779)))),NA(),IF(AND(SUM(C3779:F3779,H3779:K3779)=0,G3779=1),0,INT((SUMPRODUCT(C3779:F3779,COLUMN($A$1:$D$1)-1)+SUMPRODUCT(H3779:K3779,COLUMN($E$1:$H$1)-1))*'Line Follower'!$C$3/SUM(C3779:F3779,H3779:K3779)-'Line Follower'!$C$5)))</f>
        <v>#N/A</v>
      </c>
      <c r="O3779" s="22" t="e">
        <v>#N/A</v>
      </c>
      <c r="P3779" s="4" t="e">
        <f t="shared" ref="P3779:P3842" si="295">IF(AND(N3779=0,G3779=1,M3779=1),1,0)</f>
        <v>#N/A</v>
      </c>
      <c r="Q3779" s="4" t="e">
        <f t="shared" ref="Q3779:Q3842" si="296">IF(ISERROR(N3779),N3779,IF(SUM(C3779:K3779)&gt;=4,1,0))</f>
        <v>#N/A</v>
      </c>
      <c r="R3779" s="4" t="e">
        <f>IF(AND(B3779=1,N3779&gt;'Line Follower'!$C$7,SUM(C3779:K3779)&lt;4),1,0)</f>
        <v>#N/A</v>
      </c>
      <c r="S3779" s="4" t="e">
        <f>IF(AND(L3779=1,N3779&lt;'Line Follower'!$C$6,SUM(C3779:K3779)&lt;4),1,0)</f>
        <v>#N/A</v>
      </c>
      <c r="T3779" s="4" t="e">
        <f t="shared" si="292"/>
        <v>#N/A</v>
      </c>
      <c r="U3779" s="5" t="e">
        <f t="shared" si="293"/>
        <v>#N/A</v>
      </c>
      <c r="V3779" s="23" t="e">
        <f t="shared" si="294"/>
        <v>#N/A</v>
      </c>
    </row>
    <row r="3780" spans="2:22" x14ac:dyDescent="0.25">
      <c r="B3780" s="16">
        <v>1</v>
      </c>
      <c r="C3780" s="7">
        <v>0</v>
      </c>
      <c r="D3780" s="8">
        <v>0</v>
      </c>
      <c r="E3780" s="8">
        <v>0</v>
      </c>
      <c r="F3780" s="8">
        <v>0</v>
      </c>
      <c r="G3780" s="8">
        <v>0</v>
      </c>
      <c r="H3780" s="8">
        <v>1</v>
      </c>
      <c r="I3780" s="8">
        <v>1</v>
      </c>
      <c r="J3780" s="8">
        <v>0</v>
      </c>
      <c r="K3780" s="9">
        <v>1</v>
      </c>
      <c r="L3780" s="10">
        <v>1</v>
      </c>
      <c r="M3780" s="6">
        <v>1</v>
      </c>
      <c r="N3780" s="37" t="e" cm="1">
        <f t="array" ref="N3780">IF(OR(ISNUMBER(FIND(Aux!$D$3:$D$9,_xlfn.TEXTJOIN(,,C3780:K3780)))),NA(),IF(AND(SUM(C3780:F3780,H3780:K3780)=0,G3780=1),0,INT((SUMPRODUCT(C3780:F3780,COLUMN($A$1:$D$1)-1)+SUMPRODUCT(H3780:K3780,COLUMN($E$1:$H$1)-1))*'Line Follower'!$C$3/SUM(C3780:F3780,H3780:K3780)-'Line Follower'!$C$5)))</f>
        <v>#N/A</v>
      </c>
      <c r="O3780" s="22" t="e">
        <v>#N/A</v>
      </c>
      <c r="P3780" s="4" t="e">
        <f t="shared" si="295"/>
        <v>#N/A</v>
      </c>
      <c r="Q3780" s="4" t="e">
        <f t="shared" si="296"/>
        <v>#N/A</v>
      </c>
      <c r="R3780" s="4" t="e">
        <f>IF(AND(B3780=1,N3780&gt;'Line Follower'!$C$7,SUM(C3780:K3780)&lt;4),1,0)</f>
        <v>#N/A</v>
      </c>
      <c r="S3780" s="4" t="e">
        <f>IF(AND(L3780=1,N3780&lt;'Line Follower'!$C$6,SUM(C3780:K3780)&lt;4),1,0)</f>
        <v>#N/A</v>
      </c>
      <c r="T3780" s="4" t="e">
        <f t="shared" ref="T3780:T3843" si="297">IF(ISNA(N3780),NA(),IF(SUM(C3780:L3780)=0,1,0))</f>
        <v>#N/A</v>
      </c>
      <c r="U3780" s="5" t="e">
        <f t="shared" ref="U3780:U3843" si="298">IF(ISNA(N3780),NA(),IF(SUM(B3780:K3780)=0,1,0))</f>
        <v>#N/A</v>
      </c>
      <c r="V3780" s="23" t="e">
        <f t="shared" ref="V3780:V3843" si="299">IF(ISNA(N3780),NA(),IF(SUM(B3780:L3780)=0,1,0))</f>
        <v>#N/A</v>
      </c>
    </row>
    <row r="3781" spans="2:22" x14ac:dyDescent="0.25">
      <c r="B3781" s="16">
        <v>0</v>
      </c>
      <c r="C3781" s="7">
        <v>1</v>
      </c>
      <c r="D3781" s="8">
        <v>0</v>
      </c>
      <c r="E3781" s="8">
        <v>0</v>
      </c>
      <c r="F3781" s="8">
        <v>0</v>
      </c>
      <c r="G3781" s="8">
        <v>0</v>
      </c>
      <c r="H3781" s="8">
        <v>1</v>
      </c>
      <c r="I3781" s="8">
        <v>1</v>
      </c>
      <c r="J3781" s="8">
        <v>0</v>
      </c>
      <c r="K3781" s="9">
        <v>1</v>
      </c>
      <c r="L3781" s="10">
        <v>1</v>
      </c>
      <c r="M3781" s="6">
        <v>1</v>
      </c>
      <c r="N3781" s="37" t="e" cm="1">
        <f t="array" ref="N3781">IF(OR(ISNUMBER(FIND(Aux!$D$3:$D$9,_xlfn.TEXTJOIN(,,C3781:K3781)))),NA(),IF(AND(SUM(C3781:F3781,H3781:K3781)=0,G3781=1),0,INT((SUMPRODUCT(C3781:F3781,COLUMN($A$1:$D$1)-1)+SUMPRODUCT(H3781:K3781,COLUMN($E$1:$H$1)-1))*'Line Follower'!$C$3/SUM(C3781:F3781,H3781:K3781)-'Line Follower'!$C$5)))</f>
        <v>#N/A</v>
      </c>
      <c r="O3781" s="22" t="e">
        <v>#N/A</v>
      </c>
      <c r="P3781" s="4" t="e">
        <f t="shared" si="295"/>
        <v>#N/A</v>
      </c>
      <c r="Q3781" s="4" t="e">
        <f t="shared" si="296"/>
        <v>#N/A</v>
      </c>
      <c r="R3781" s="4" t="e">
        <f>IF(AND(B3781=1,N3781&gt;'Line Follower'!$C$7,SUM(C3781:K3781)&lt;4),1,0)</f>
        <v>#N/A</v>
      </c>
      <c r="S3781" s="4" t="e">
        <f>IF(AND(L3781=1,N3781&lt;'Line Follower'!$C$6,SUM(C3781:K3781)&lt;4),1,0)</f>
        <v>#N/A</v>
      </c>
      <c r="T3781" s="4" t="e">
        <f t="shared" si="297"/>
        <v>#N/A</v>
      </c>
      <c r="U3781" s="5" t="e">
        <f t="shared" si="298"/>
        <v>#N/A</v>
      </c>
      <c r="V3781" s="23" t="e">
        <f t="shared" si="299"/>
        <v>#N/A</v>
      </c>
    </row>
    <row r="3782" spans="2:22" x14ac:dyDescent="0.25">
      <c r="B3782" s="16">
        <v>1</v>
      </c>
      <c r="C3782" s="7">
        <v>1</v>
      </c>
      <c r="D3782" s="8">
        <v>0</v>
      </c>
      <c r="E3782" s="8">
        <v>0</v>
      </c>
      <c r="F3782" s="8">
        <v>0</v>
      </c>
      <c r="G3782" s="8">
        <v>0</v>
      </c>
      <c r="H3782" s="8">
        <v>1</v>
      </c>
      <c r="I3782" s="8">
        <v>1</v>
      </c>
      <c r="J3782" s="8">
        <v>0</v>
      </c>
      <c r="K3782" s="9">
        <v>1</v>
      </c>
      <c r="L3782" s="10">
        <v>1</v>
      </c>
      <c r="M3782" s="6">
        <v>1</v>
      </c>
      <c r="N3782" s="37" t="e" cm="1">
        <f t="array" ref="N3782">IF(OR(ISNUMBER(FIND(Aux!$D$3:$D$9,_xlfn.TEXTJOIN(,,C3782:K3782)))),NA(),IF(AND(SUM(C3782:F3782,H3782:K3782)=0,G3782=1),0,INT((SUMPRODUCT(C3782:F3782,COLUMN($A$1:$D$1)-1)+SUMPRODUCT(H3782:K3782,COLUMN($E$1:$H$1)-1))*'Line Follower'!$C$3/SUM(C3782:F3782,H3782:K3782)-'Line Follower'!$C$5)))</f>
        <v>#N/A</v>
      </c>
      <c r="O3782" s="22" t="e">
        <v>#N/A</v>
      </c>
      <c r="P3782" s="4" t="e">
        <f t="shared" si="295"/>
        <v>#N/A</v>
      </c>
      <c r="Q3782" s="4" t="e">
        <f t="shared" si="296"/>
        <v>#N/A</v>
      </c>
      <c r="R3782" s="4" t="e">
        <f>IF(AND(B3782=1,N3782&gt;'Line Follower'!$C$7,SUM(C3782:K3782)&lt;4),1,0)</f>
        <v>#N/A</v>
      </c>
      <c r="S3782" s="4" t="e">
        <f>IF(AND(L3782=1,N3782&lt;'Line Follower'!$C$6,SUM(C3782:K3782)&lt;4),1,0)</f>
        <v>#N/A</v>
      </c>
      <c r="T3782" s="4" t="e">
        <f t="shared" si="297"/>
        <v>#N/A</v>
      </c>
      <c r="U3782" s="5" t="e">
        <f t="shared" si="298"/>
        <v>#N/A</v>
      </c>
      <c r="V3782" s="23" t="e">
        <f t="shared" si="299"/>
        <v>#N/A</v>
      </c>
    </row>
    <row r="3783" spans="2:22" x14ac:dyDescent="0.25">
      <c r="B3783" s="16">
        <v>0</v>
      </c>
      <c r="C3783" s="7">
        <v>0</v>
      </c>
      <c r="D3783" s="8">
        <v>1</v>
      </c>
      <c r="E3783" s="8">
        <v>0</v>
      </c>
      <c r="F3783" s="8">
        <v>0</v>
      </c>
      <c r="G3783" s="8">
        <v>0</v>
      </c>
      <c r="H3783" s="8">
        <v>1</v>
      </c>
      <c r="I3783" s="8">
        <v>1</v>
      </c>
      <c r="J3783" s="8">
        <v>0</v>
      </c>
      <c r="K3783" s="9">
        <v>1</v>
      </c>
      <c r="L3783" s="10">
        <v>1</v>
      </c>
      <c r="M3783" s="6">
        <v>1</v>
      </c>
      <c r="N3783" s="37" t="e" cm="1">
        <f t="array" ref="N3783">IF(OR(ISNUMBER(FIND(Aux!$D$3:$D$9,_xlfn.TEXTJOIN(,,C3783:K3783)))),NA(),IF(AND(SUM(C3783:F3783,H3783:K3783)=0,G3783=1),0,INT((SUMPRODUCT(C3783:F3783,COLUMN($A$1:$D$1)-1)+SUMPRODUCT(H3783:K3783,COLUMN($E$1:$H$1)-1))*'Line Follower'!$C$3/SUM(C3783:F3783,H3783:K3783)-'Line Follower'!$C$5)))</f>
        <v>#N/A</v>
      </c>
      <c r="O3783" s="22" t="e">
        <v>#N/A</v>
      </c>
      <c r="P3783" s="4" t="e">
        <f t="shared" si="295"/>
        <v>#N/A</v>
      </c>
      <c r="Q3783" s="4" t="e">
        <f t="shared" si="296"/>
        <v>#N/A</v>
      </c>
      <c r="R3783" s="4" t="e">
        <f>IF(AND(B3783=1,N3783&gt;'Line Follower'!$C$7,SUM(C3783:K3783)&lt;4),1,0)</f>
        <v>#N/A</v>
      </c>
      <c r="S3783" s="4" t="e">
        <f>IF(AND(L3783=1,N3783&lt;'Line Follower'!$C$6,SUM(C3783:K3783)&lt;4),1,0)</f>
        <v>#N/A</v>
      </c>
      <c r="T3783" s="4" t="e">
        <f t="shared" si="297"/>
        <v>#N/A</v>
      </c>
      <c r="U3783" s="5" t="e">
        <f t="shared" si="298"/>
        <v>#N/A</v>
      </c>
      <c r="V3783" s="23" t="e">
        <f t="shared" si="299"/>
        <v>#N/A</v>
      </c>
    </row>
    <row r="3784" spans="2:22" x14ac:dyDescent="0.25">
      <c r="B3784" s="16">
        <v>1</v>
      </c>
      <c r="C3784" s="7">
        <v>0</v>
      </c>
      <c r="D3784" s="8">
        <v>1</v>
      </c>
      <c r="E3784" s="8">
        <v>0</v>
      </c>
      <c r="F3784" s="8">
        <v>0</v>
      </c>
      <c r="G3784" s="8">
        <v>0</v>
      </c>
      <c r="H3784" s="8">
        <v>1</v>
      </c>
      <c r="I3784" s="8">
        <v>1</v>
      </c>
      <c r="J3784" s="8">
        <v>0</v>
      </c>
      <c r="K3784" s="9">
        <v>1</v>
      </c>
      <c r="L3784" s="10">
        <v>1</v>
      </c>
      <c r="M3784" s="6">
        <v>1</v>
      </c>
      <c r="N3784" s="37" t="e" cm="1">
        <f t="array" ref="N3784">IF(OR(ISNUMBER(FIND(Aux!$D$3:$D$9,_xlfn.TEXTJOIN(,,C3784:K3784)))),NA(),IF(AND(SUM(C3784:F3784,H3784:K3784)=0,G3784=1),0,INT((SUMPRODUCT(C3784:F3784,COLUMN($A$1:$D$1)-1)+SUMPRODUCT(H3784:K3784,COLUMN($E$1:$H$1)-1))*'Line Follower'!$C$3/SUM(C3784:F3784,H3784:K3784)-'Line Follower'!$C$5)))</f>
        <v>#N/A</v>
      </c>
      <c r="O3784" s="22" t="e">
        <v>#N/A</v>
      </c>
      <c r="P3784" s="4" t="e">
        <f t="shared" si="295"/>
        <v>#N/A</v>
      </c>
      <c r="Q3784" s="4" t="e">
        <f t="shared" si="296"/>
        <v>#N/A</v>
      </c>
      <c r="R3784" s="4" t="e">
        <f>IF(AND(B3784=1,N3784&gt;'Line Follower'!$C$7,SUM(C3784:K3784)&lt;4),1,0)</f>
        <v>#N/A</v>
      </c>
      <c r="S3784" s="4" t="e">
        <f>IF(AND(L3784=1,N3784&lt;'Line Follower'!$C$6,SUM(C3784:K3784)&lt;4),1,0)</f>
        <v>#N/A</v>
      </c>
      <c r="T3784" s="4" t="e">
        <f t="shared" si="297"/>
        <v>#N/A</v>
      </c>
      <c r="U3784" s="5" t="e">
        <f t="shared" si="298"/>
        <v>#N/A</v>
      </c>
      <c r="V3784" s="23" t="e">
        <f t="shared" si="299"/>
        <v>#N/A</v>
      </c>
    </row>
    <row r="3785" spans="2:22" x14ac:dyDescent="0.25">
      <c r="B3785" s="16">
        <v>0</v>
      </c>
      <c r="C3785" s="7">
        <v>1</v>
      </c>
      <c r="D3785" s="8">
        <v>1</v>
      </c>
      <c r="E3785" s="8">
        <v>0</v>
      </c>
      <c r="F3785" s="8">
        <v>0</v>
      </c>
      <c r="G3785" s="8">
        <v>0</v>
      </c>
      <c r="H3785" s="8">
        <v>1</v>
      </c>
      <c r="I3785" s="8">
        <v>1</v>
      </c>
      <c r="J3785" s="8">
        <v>0</v>
      </c>
      <c r="K3785" s="9">
        <v>1</v>
      </c>
      <c r="L3785" s="10">
        <v>1</v>
      </c>
      <c r="M3785" s="6">
        <v>1</v>
      </c>
      <c r="N3785" s="37" t="e" cm="1">
        <f t="array" ref="N3785">IF(OR(ISNUMBER(FIND(Aux!$D$3:$D$9,_xlfn.TEXTJOIN(,,C3785:K3785)))),NA(),IF(AND(SUM(C3785:F3785,H3785:K3785)=0,G3785=1),0,INT((SUMPRODUCT(C3785:F3785,COLUMN($A$1:$D$1)-1)+SUMPRODUCT(H3785:K3785,COLUMN($E$1:$H$1)-1))*'Line Follower'!$C$3/SUM(C3785:F3785,H3785:K3785)-'Line Follower'!$C$5)))</f>
        <v>#N/A</v>
      </c>
      <c r="O3785" s="22" t="e">
        <v>#N/A</v>
      </c>
      <c r="P3785" s="4" t="e">
        <f t="shared" si="295"/>
        <v>#N/A</v>
      </c>
      <c r="Q3785" s="4" t="e">
        <f t="shared" si="296"/>
        <v>#N/A</v>
      </c>
      <c r="R3785" s="4" t="e">
        <f>IF(AND(B3785=1,N3785&gt;'Line Follower'!$C$7,SUM(C3785:K3785)&lt;4),1,0)</f>
        <v>#N/A</v>
      </c>
      <c r="S3785" s="4" t="e">
        <f>IF(AND(L3785=1,N3785&lt;'Line Follower'!$C$6,SUM(C3785:K3785)&lt;4),1,0)</f>
        <v>#N/A</v>
      </c>
      <c r="T3785" s="4" t="e">
        <f t="shared" si="297"/>
        <v>#N/A</v>
      </c>
      <c r="U3785" s="5" t="e">
        <f t="shared" si="298"/>
        <v>#N/A</v>
      </c>
      <c r="V3785" s="23" t="e">
        <f t="shared" si="299"/>
        <v>#N/A</v>
      </c>
    </row>
    <row r="3786" spans="2:22" x14ac:dyDescent="0.25">
      <c r="B3786" s="16">
        <v>1</v>
      </c>
      <c r="C3786" s="7">
        <v>1</v>
      </c>
      <c r="D3786" s="8">
        <v>1</v>
      </c>
      <c r="E3786" s="8">
        <v>0</v>
      </c>
      <c r="F3786" s="8">
        <v>0</v>
      </c>
      <c r="G3786" s="8">
        <v>0</v>
      </c>
      <c r="H3786" s="8">
        <v>1</v>
      </c>
      <c r="I3786" s="8">
        <v>1</v>
      </c>
      <c r="J3786" s="8">
        <v>0</v>
      </c>
      <c r="K3786" s="9">
        <v>1</v>
      </c>
      <c r="L3786" s="10">
        <v>1</v>
      </c>
      <c r="M3786" s="6">
        <v>1</v>
      </c>
      <c r="N3786" s="37" t="e" cm="1">
        <f t="array" ref="N3786">IF(OR(ISNUMBER(FIND(Aux!$D$3:$D$9,_xlfn.TEXTJOIN(,,C3786:K3786)))),NA(),IF(AND(SUM(C3786:F3786,H3786:K3786)=0,G3786=1),0,INT((SUMPRODUCT(C3786:F3786,COLUMN($A$1:$D$1)-1)+SUMPRODUCT(H3786:K3786,COLUMN($E$1:$H$1)-1))*'Line Follower'!$C$3/SUM(C3786:F3786,H3786:K3786)-'Line Follower'!$C$5)))</f>
        <v>#N/A</v>
      </c>
      <c r="O3786" s="22" t="e">
        <v>#N/A</v>
      </c>
      <c r="P3786" s="4" t="e">
        <f t="shared" si="295"/>
        <v>#N/A</v>
      </c>
      <c r="Q3786" s="4" t="e">
        <f t="shared" si="296"/>
        <v>#N/A</v>
      </c>
      <c r="R3786" s="4" t="e">
        <f>IF(AND(B3786=1,N3786&gt;'Line Follower'!$C$7,SUM(C3786:K3786)&lt;4),1,0)</f>
        <v>#N/A</v>
      </c>
      <c r="S3786" s="4" t="e">
        <f>IF(AND(L3786=1,N3786&lt;'Line Follower'!$C$6,SUM(C3786:K3786)&lt;4),1,0)</f>
        <v>#N/A</v>
      </c>
      <c r="T3786" s="4" t="e">
        <f t="shared" si="297"/>
        <v>#N/A</v>
      </c>
      <c r="U3786" s="5" t="e">
        <f t="shared" si="298"/>
        <v>#N/A</v>
      </c>
      <c r="V3786" s="23" t="e">
        <f t="shared" si="299"/>
        <v>#N/A</v>
      </c>
    </row>
    <row r="3787" spans="2:22" x14ac:dyDescent="0.25">
      <c r="B3787" s="16">
        <v>0</v>
      </c>
      <c r="C3787" s="7">
        <v>0</v>
      </c>
      <c r="D3787" s="8">
        <v>0</v>
      </c>
      <c r="E3787" s="8">
        <v>1</v>
      </c>
      <c r="F3787" s="8">
        <v>0</v>
      </c>
      <c r="G3787" s="8">
        <v>0</v>
      </c>
      <c r="H3787" s="8">
        <v>1</v>
      </c>
      <c r="I3787" s="8">
        <v>1</v>
      </c>
      <c r="J3787" s="8">
        <v>0</v>
      </c>
      <c r="K3787" s="9">
        <v>1</v>
      </c>
      <c r="L3787" s="10">
        <v>1</v>
      </c>
      <c r="M3787" s="6">
        <v>1</v>
      </c>
      <c r="N3787" s="37" t="e" cm="1">
        <f t="array" ref="N3787">IF(OR(ISNUMBER(FIND(Aux!$D$3:$D$9,_xlfn.TEXTJOIN(,,C3787:K3787)))),NA(),IF(AND(SUM(C3787:F3787,H3787:K3787)=0,G3787=1),0,INT((SUMPRODUCT(C3787:F3787,COLUMN($A$1:$D$1)-1)+SUMPRODUCT(H3787:K3787,COLUMN($E$1:$H$1)-1))*'Line Follower'!$C$3/SUM(C3787:F3787,H3787:K3787)-'Line Follower'!$C$5)))</f>
        <v>#N/A</v>
      </c>
      <c r="O3787" s="22" t="e">
        <v>#N/A</v>
      </c>
      <c r="P3787" s="4" t="e">
        <f t="shared" si="295"/>
        <v>#N/A</v>
      </c>
      <c r="Q3787" s="4" t="e">
        <f t="shared" si="296"/>
        <v>#N/A</v>
      </c>
      <c r="R3787" s="4" t="e">
        <f>IF(AND(B3787=1,N3787&gt;'Line Follower'!$C$7,SUM(C3787:K3787)&lt;4),1,0)</f>
        <v>#N/A</v>
      </c>
      <c r="S3787" s="4" t="e">
        <f>IF(AND(L3787=1,N3787&lt;'Line Follower'!$C$6,SUM(C3787:K3787)&lt;4),1,0)</f>
        <v>#N/A</v>
      </c>
      <c r="T3787" s="4" t="e">
        <f t="shared" si="297"/>
        <v>#N/A</v>
      </c>
      <c r="U3787" s="5" t="e">
        <f t="shared" si="298"/>
        <v>#N/A</v>
      </c>
      <c r="V3787" s="23" t="e">
        <f t="shared" si="299"/>
        <v>#N/A</v>
      </c>
    </row>
    <row r="3788" spans="2:22" x14ac:dyDescent="0.25">
      <c r="B3788" s="16">
        <v>1</v>
      </c>
      <c r="C3788" s="7">
        <v>0</v>
      </c>
      <c r="D3788" s="8">
        <v>0</v>
      </c>
      <c r="E3788" s="8">
        <v>1</v>
      </c>
      <c r="F3788" s="8">
        <v>0</v>
      </c>
      <c r="G3788" s="8">
        <v>0</v>
      </c>
      <c r="H3788" s="8">
        <v>1</v>
      </c>
      <c r="I3788" s="8">
        <v>1</v>
      </c>
      <c r="J3788" s="8">
        <v>0</v>
      </c>
      <c r="K3788" s="9">
        <v>1</v>
      </c>
      <c r="L3788" s="10">
        <v>1</v>
      </c>
      <c r="M3788" s="6">
        <v>1</v>
      </c>
      <c r="N3788" s="37" t="e" cm="1">
        <f t="array" ref="N3788">IF(OR(ISNUMBER(FIND(Aux!$D$3:$D$9,_xlfn.TEXTJOIN(,,C3788:K3788)))),NA(),IF(AND(SUM(C3788:F3788,H3788:K3788)=0,G3788=1),0,INT((SUMPRODUCT(C3788:F3788,COLUMN($A$1:$D$1)-1)+SUMPRODUCT(H3788:K3788,COLUMN($E$1:$H$1)-1))*'Line Follower'!$C$3/SUM(C3788:F3788,H3788:K3788)-'Line Follower'!$C$5)))</f>
        <v>#N/A</v>
      </c>
      <c r="O3788" s="22" t="e">
        <v>#N/A</v>
      </c>
      <c r="P3788" s="4" t="e">
        <f t="shared" si="295"/>
        <v>#N/A</v>
      </c>
      <c r="Q3788" s="4" t="e">
        <f t="shared" si="296"/>
        <v>#N/A</v>
      </c>
      <c r="R3788" s="4" t="e">
        <f>IF(AND(B3788=1,N3788&gt;'Line Follower'!$C$7,SUM(C3788:K3788)&lt;4),1,0)</f>
        <v>#N/A</v>
      </c>
      <c r="S3788" s="4" t="e">
        <f>IF(AND(L3788=1,N3788&lt;'Line Follower'!$C$6,SUM(C3788:K3788)&lt;4),1,0)</f>
        <v>#N/A</v>
      </c>
      <c r="T3788" s="4" t="e">
        <f t="shared" si="297"/>
        <v>#N/A</v>
      </c>
      <c r="U3788" s="5" t="e">
        <f t="shared" si="298"/>
        <v>#N/A</v>
      </c>
      <c r="V3788" s="23" t="e">
        <f t="shared" si="299"/>
        <v>#N/A</v>
      </c>
    </row>
    <row r="3789" spans="2:22" x14ac:dyDescent="0.25">
      <c r="B3789" s="16">
        <v>0</v>
      </c>
      <c r="C3789" s="7">
        <v>1</v>
      </c>
      <c r="D3789" s="8">
        <v>0</v>
      </c>
      <c r="E3789" s="8">
        <v>1</v>
      </c>
      <c r="F3789" s="8">
        <v>0</v>
      </c>
      <c r="G3789" s="8">
        <v>0</v>
      </c>
      <c r="H3789" s="8">
        <v>1</v>
      </c>
      <c r="I3789" s="8">
        <v>1</v>
      </c>
      <c r="J3789" s="8">
        <v>0</v>
      </c>
      <c r="K3789" s="9">
        <v>1</v>
      </c>
      <c r="L3789" s="10">
        <v>1</v>
      </c>
      <c r="M3789" s="6">
        <v>1</v>
      </c>
      <c r="N3789" s="37" t="e" cm="1">
        <f t="array" ref="N3789">IF(OR(ISNUMBER(FIND(Aux!$D$3:$D$9,_xlfn.TEXTJOIN(,,C3789:K3789)))),NA(),IF(AND(SUM(C3789:F3789,H3789:K3789)=0,G3789=1),0,INT((SUMPRODUCT(C3789:F3789,COLUMN($A$1:$D$1)-1)+SUMPRODUCT(H3789:K3789,COLUMN($E$1:$H$1)-1))*'Line Follower'!$C$3/SUM(C3789:F3789,H3789:K3789)-'Line Follower'!$C$5)))</f>
        <v>#N/A</v>
      </c>
      <c r="O3789" s="22" t="e">
        <v>#N/A</v>
      </c>
      <c r="P3789" s="4" t="e">
        <f t="shared" si="295"/>
        <v>#N/A</v>
      </c>
      <c r="Q3789" s="4" t="e">
        <f t="shared" si="296"/>
        <v>#N/A</v>
      </c>
      <c r="R3789" s="4" t="e">
        <f>IF(AND(B3789=1,N3789&gt;'Line Follower'!$C$7,SUM(C3789:K3789)&lt;4),1,0)</f>
        <v>#N/A</v>
      </c>
      <c r="S3789" s="4" t="e">
        <f>IF(AND(L3789=1,N3789&lt;'Line Follower'!$C$6,SUM(C3789:K3789)&lt;4),1,0)</f>
        <v>#N/A</v>
      </c>
      <c r="T3789" s="4" t="e">
        <f t="shared" si="297"/>
        <v>#N/A</v>
      </c>
      <c r="U3789" s="5" t="e">
        <f t="shared" si="298"/>
        <v>#N/A</v>
      </c>
      <c r="V3789" s="23" t="e">
        <f t="shared" si="299"/>
        <v>#N/A</v>
      </c>
    </row>
    <row r="3790" spans="2:22" x14ac:dyDescent="0.25">
      <c r="B3790" s="16">
        <v>1</v>
      </c>
      <c r="C3790" s="7">
        <v>1</v>
      </c>
      <c r="D3790" s="8">
        <v>0</v>
      </c>
      <c r="E3790" s="8">
        <v>1</v>
      </c>
      <c r="F3790" s="8">
        <v>0</v>
      </c>
      <c r="G3790" s="8">
        <v>0</v>
      </c>
      <c r="H3790" s="8">
        <v>1</v>
      </c>
      <c r="I3790" s="8">
        <v>1</v>
      </c>
      <c r="J3790" s="8">
        <v>0</v>
      </c>
      <c r="K3790" s="9">
        <v>1</v>
      </c>
      <c r="L3790" s="10">
        <v>1</v>
      </c>
      <c r="M3790" s="6">
        <v>1</v>
      </c>
      <c r="N3790" s="37" t="e" cm="1">
        <f t="array" ref="N3790">IF(OR(ISNUMBER(FIND(Aux!$D$3:$D$9,_xlfn.TEXTJOIN(,,C3790:K3790)))),NA(),IF(AND(SUM(C3790:F3790,H3790:K3790)=0,G3790=1),0,INT((SUMPRODUCT(C3790:F3790,COLUMN($A$1:$D$1)-1)+SUMPRODUCT(H3790:K3790,COLUMN($E$1:$H$1)-1))*'Line Follower'!$C$3/SUM(C3790:F3790,H3790:K3790)-'Line Follower'!$C$5)))</f>
        <v>#N/A</v>
      </c>
      <c r="O3790" s="22" t="e">
        <v>#N/A</v>
      </c>
      <c r="P3790" s="4" t="e">
        <f t="shared" si="295"/>
        <v>#N/A</v>
      </c>
      <c r="Q3790" s="4" t="e">
        <f t="shared" si="296"/>
        <v>#N/A</v>
      </c>
      <c r="R3790" s="4" t="e">
        <f>IF(AND(B3790=1,N3790&gt;'Line Follower'!$C$7,SUM(C3790:K3790)&lt;4),1,0)</f>
        <v>#N/A</v>
      </c>
      <c r="S3790" s="4" t="e">
        <f>IF(AND(L3790=1,N3790&lt;'Line Follower'!$C$6,SUM(C3790:K3790)&lt;4),1,0)</f>
        <v>#N/A</v>
      </c>
      <c r="T3790" s="4" t="e">
        <f t="shared" si="297"/>
        <v>#N/A</v>
      </c>
      <c r="U3790" s="5" t="e">
        <f t="shared" si="298"/>
        <v>#N/A</v>
      </c>
      <c r="V3790" s="23" t="e">
        <f t="shared" si="299"/>
        <v>#N/A</v>
      </c>
    </row>
    <row r="3791" spans="2:22" x14ac:dyDescent="0.25">
      <c r="B3791" s="16">
        <v>0</v>
      </c>
      <c r="C3791" s="7">
        <v>0</v>
      </c>
      <c r="D3791" s="8">
        <v>1</v>
      </c>
      <c r="E3791" s="8">
        <v>1</v>
      </c>
      <c r="F3791" s="8">
        <v>0</v>
      </c>
      <c r="G3791" s="8">
        <v>0</v>
      </c>
      <c r="H3791" s="8">
        <v>1</v>
      </c>
      <c r="I3791" s="8">
        <v>1</v>
      </c>
      <c r="J3791" s="8">
        <v>0</v>
      </c>
      <c r="K3791" s="9">
        <v>1</v>
      </c>
      <c r="L3791" s="10">
        <v>1</v>
      </c>
      <c r="M3791" s="6">
        <v>1</v>
      </c>
      <c r="N3791" s="37" t="e" cm="1">
        <f t="array" ref="N3791">IF(OR(ISNUMBER(FIND(Aux!$D$3:$D$9,_xlfn.TEXTJOIN(,,C3791:K3791)))),NA(),IF(AND(SUM(C3791:F3791,H3791:K3791)=0,G3791=1),0,INT((SUMPRODUCT(C3791:F3791,COLUMN($A$1:$D$1)-1)+SUMPRODUCT(H3791:K3791,COLUMN($E$1:$H$1)-1))*'Line Follower'!$C$3/SUM(C3791:F3791,H3791:K3791)-'Line Follower'!$C$5)))</f>
        <v>#N/A</v>
      </c>
      <c r="O3791" s="22" t="e">
        <v>#N/A</v>
      </c>
      <c r="P3791" s="4" t="e">
        <f t="shared" si="295"/>
        <v>#N/A</v>
      </c>
      <c r="Q3791" s="4" t="e">
        <f t="shared" si="296"/>
        <v>#N/A</v>
      </c>
      <c r="R3791" s="4" t="e">
        <f>IF(AND(B3791=1,N3791&gt;'Line Follower'!$C$7,SUM(C3791:K3791)&lt;4),1,0)</f>
        <v>#N/A</v>
      </c>
      <c r="S3791" s="4" t="e">
        <f>IF(AND(L3791=1,N3791&lt;'Line Follower'!$C$6,SUM(C3791:K3791)&lt;4),1,0)</f>
        <v>#N/A</v>
      </c>
      <c r="T3791" s="4" t="e">
        <f t="shared" si="297"/>
        <v>#N/A</v>
      </c>
      <c r="U3791" s="5" t="e">
        <f t="shared" si="298"/>
        <v>#N/A</v>
      </c>
      <c r="V3791" s="23" t="e">
        <f t="shared" si="299"/>
        <v>#N/A</v>
      </c>
    </row>
    <row r="3792" spans="2:22" x14ac:dyDescent="0.25">
      <c r="B3792" s="16">
        <v>1</v>
      </c>
      <c r="C3792" s="7">
        <v>0</v>
      </c>
      <c r="D3792" s="8">
        <v>1</v>
      </c>
      <c r="E3792" s="8">
        <v>1</v>
      </c>
      <c r="F3792" s="8">
        <v>0</v>
      </c>
      <c r="G3792" s="8">
        <v>0</v>
      </c>
      <c r="H3792" s="8">
        <v>1</v>
      </c>
      <c r="I3792" s="8">
        <v>1</v>
      </c>
      <c r="J3792" s="8">
        <v>0</v>
      </c>
      <c r="K3792" s="9">
        <v>1</v>
      </c>
      <c r="L3792" s="10">
        <v>1</v>
      </c>
      <c r="M3792" s="6">
        <v>1</v>
      </c>
      <c r="N3792" s="37" t="e" cm="1">
        <f t="array" ref="N3792">IF(OR(ISNUMBER(FIND(Aux!$D$3:$D$9,_xlfn.TEXTJOIN(,,C3792:K3792)))),NA(),IF(AND(SUM(C3792:F3792,H3792:K3792)=0,G3792=1),0,INT((SUMPRODUCT(C3792:F3792,COLUMN($A$1:$D$1)-1)+SUMPRODUCT(H3792:K3792,COLUMN($E$1:$H$1)-1))*'Line Follower'!$C$3/SUM(C3792:F3792,H3792:K3792)-'Line Follower'!$C$5)))</f>
        <v>#N/A</v>
      </c>
      <c r="O3792" s="22" t="e">
        <v>#N/A</v>
      </c>
      <c r="P3792" s="4" t="e">
        <f t="shared" si="295"/>
        <v>#N/A</v>
      </c>
      <c r="Q3792" s="4" t="e">
        <f t="shared" si="296"/>
        <v>#N/A</v>
      </c>
      <c r="R3792" s="4" t="e">
        <f>IF(AND(B3792=1,N3792&gt;'Line Follower'!$C$7,SUM(C3792:K3792)&lt;4),1,0)</f>
        <v>#N/A</v>
      </c>
      <c r="S3792" s="4" t="e">
        <f>IF(AND(L3792=1,N3792&lt;'Line Follower'!$C$6,SUM(C3792:K3792)&lt;4),1,0)</f>
        <v>#N/A</v>
      </c>
      <c r="T3792" s="4" t="e">
        <f t="shared" si="297"/>
        <v>#N/A</v>
      </c>
      <c r="U3792" s="5" t="e">
        <f t="shared" si="298"/>
        <v>#N/A</v>
      </c>
      <c r="V3792" s="23" t="e">
        <f t="shared" si="299"/>
        <v>#N/A</v>
      </c>
    </row>
    <row r="3793" spans="2:22" x14ac:dyDescent="0.25">
      <c r="B3793" s="16">
        <v>0</v>
      </c>
      <c r="C3793" s="7">
        <v>1</v>
      </c>
      <c r="D3793" s="8">
        <v>1</v>
      </c>
      <c r="E3793" s="8">
        <v>1</v>
      </c>
      <c r="F3793" s="8">
        <v>0</v>
      </c>
      <c r="G3793" s="8">
        <v>0</v>
      </c>
      <c r="H3793" s="8">
        <v>1</v>
      </c>
      <c r="I3793" s="8">
        <v>1</v>
      </c>
      <c r="J3793" s="8">
        <v>0</v>
      </c>
      <c r="K3793" s="9">
        <v>1</v>
      </c>
      <c r="L3793" s="10">
        <v>1</v>
      </c>
      <c r="M3793" s="6">
        <v>1</v>
      </c>
      <c r="N3793" s="37" t="e" cm="1">
        <f t="array" ref="N3793">IF(OR(ISNUMBER(FIND(Aux!$D$3:$D$9,_xlfn.TEXTJOIN(,,C3793:K3793)))),NA(),IF(AND(SUM(C3793:F3793,H3793:K3793)=0,G3793=1),0,INT((SUMPRODUCT(C3793:F3793,COLUMN($A$1:$D$1)-1)+SUMPRODUCT(H3793:K3793,COLUMN($E$1:$H$1)-1))*'Line Follower'!$C$3/SUM(C3793:F3793,H3793:K3793)-'Line Follower'!$C$5)))</f>
        <v>#N/A</v>
      </c>
      <c r="O3793" s="22" t="e">
        <v>#N/A</v>
      </c>
      <c r="P3793" s="4" t="e">
        <f t="shared" si="295"/>
        <v>#N/A</v>
      </c>
      <c r="Q3793" s="4" t="e">
        <f t="shared" si="296"/>
        <v>#N/A</v>
      </c>
      <c r="R3793" s="4" t="e">
        <f>IF(AND(B3793=1,N3793&gt;'Line Follower'!$C$7,SUM(C3793:K3793)&lt;4),1,0)</f>
        <v>#N/A</v>
      </c>
      <c r="S3793" s="4" t="e">
        <f>IF(AND(L3793=1,N3793&lt;'Line Follower'!$C$6,SUM(C3793:K3793)&lt;4),1,0)</f>
        <v>#N/A</v>
      </c>
      <c r="T3793" s="4" t="e">
        <f t="shared" si="297"/>
        <v>#N/A</v>
      </c>
      <c r="U3793" s="5" t="e">
        <f t="shared" si="298"/>
        <v>#N/A</v>
      </c>
      <c r="V3793" s="23" t="e">
        <f t="shared" si="299"/>
        <v>#N/A</v>
      </c>
    </row>
    <row r="3794" spans="2:22" x14ac:dyDescent="0.25">
      <c r="B3794" s="16">
        <v>1</v>
      </c>
      <c r="C3794" s="7">
        <v>1</v>
      </c>
      <c r="D3794" s="8">
        <v>1</v>
      </c>
      <c r="E3794" s="8">
        <v>1</v>
      </c>
      <c r="F3794" s="8">
        <v>0</v>
      </c>
      <c r="G3794" s="8">
        <v>0</v>
      </c>
      <c r="H3794" s="8">
        <v>1</v>
      </c>
      <c r="I3794" s="8">
        <v>1</v>
      </c>
      <c r="J3794" s="8">
        <v>0</v>
      </c>
      <c r="K3794" s="9">
        <v>1</v>
      </c>
      <c r="L3794" s="10">
        <v>1</v>
      </c>
      <c r="M3794" s="6">
        <v>1</v>
      </c>
      <c r="N3794" s="37" t="e" cm="1">
        <f t="array" ref="N3794">IF(OR(ISNUMBER(FIND(Aux!$D$3:$D$9,_xlfn.TEXTJOIN(,,C3794:K3794)))),NA(),IF(AND(SUM(C3794:F3794,H3794:K3794)=0,G3794=1),0,INT((SUMPRODUCT(C3794:F3794,COLUMN($A$1:$D$1)-1)+SUMPRODUCT(H3794:K3794,COLUMN($E$1:$H$1)-1))*'Line Follower'!$C$3/SUM(C3794:F3794,H3794:K3794)-'Line Follower'!$C$5)))</f>
        <v>#N/A</v>
      </c>
      <c r="O3794" s="22" t="e">
        <v>#N/A</v>
      </c>
      <c r="P3794" s="4" t="e">
        <f t="shared" si="295"/>
        <v>#N/A</v>
      </c>
      <c r="Q3794" s="4" t="e">
        <f t="shared" si="296"/>
        <v>#N/A</v>
      </c>
      <c r="R3794" s="4" t="e">
        <f>IF(AND(B3794=1,N3794&gt;'Line Follower'!$C$7,SUM(C3794:K3794)&lt;4),1,0)</f>
        <v>#N/A</v>
      </c>
      <c r="S3794" s="4" t="e">
        <f>IF(AND(L3794=1,N3794&lt;'Line Follower'!$C$6,SUM(C3794:K3794)&lt;4),1,0)</f>
        <v>#N/A</v>
      </c>
      <c r="T3794" s="4" t="e">
        <f t="shared" si="297"/>
        <v>#N/A</v>
      </c>
      <c r="U3794" s="5" t="e">
        <f t="shared" si="298"/>
        <v>#N/A</v>
      </c>
      <c r="V3794" s="23" t="e">
        <f t="shared" si="299"/>
        <v>#N/A</v>
      </c>
    </row>
    <row r="3795" spans="2:22" x14ac:dyDescent="0.25">
      <c r="B3795" s="16">
        <v>0</v>
      </c>
      <c r="C3795" s="7">
        <v>0</v>
      </c>
      <c r="D3795" s="8">
        <v>0</v>
      </c>
      <c r="E3795" s="8">
        <v>0</v>
      </c>
      <c r="F3795" s="8">
        <v>1</v>
      </c>
      <c r="G3795" s="8">
        <v>0</v>
      </c>
      <c r="H3795" s="8">
        <v>1</v>
      </c>
      <c r="I3795" s="8">
        <v>1</v>
      </c>
      <c r="J3795" s="8">
        <v>0</v>
      </c>
      <c r="K3795" s="9">
        <v>1</v>
      </c>
      <c r="L3795" s="10">
        <v>1</v>
      </c>
      <c r="M3795" s="6">
        <v>1</v>
      </c>
      <c r="N3795" s="37" t="e" cm="1">
        <f t="array" ref="N3795">IF(OR(ISNUMBER(FIND(Aux!$D$3:$D$9,_xlfn.TEXTJOIN(,,C3795:K3795)))),NA(),IF(AND(SUM(C3795:F3795,H3795:K3795)=0,G3795=1),0,INT((SUMPRODUCT(C3795:F3795,COLUMN($A$1:$D$1)-1)+SUMPRODUCT(H3795:K3795,COLUMN($E$1:$H$1)-1))*'Line Follower'!$C$3/SUM(C3795:F3795,H3795:K3795)-'Line Follower'!$C$5)))</f>
        <v>#N/A</v>
      </c>
      <c r="O3795" s="22" t="e">
        <v>#N/A</v>
      </c>
      <c r="P3795" s="4" t="e">
        <f t="shared" si="295"/>
        <v>#N/A</v>
      </c>
      <c r="Q3795" s="4" t="e">
        <f t="shared" si="296"/>
        <v>#N/A</v>
      </c>
      <c r="R3795" s="4" t="e">
        <f>IF(AND(B3795=1,N3795&gt;'Line Follower'!$C$7,SUM(C3795:K3795)&lt;4),1,0)</f>
        <v>#N/A</v>
      </c>
      <c r="S3795" s="4" t="e">
        <f>IF(AND(L3795=1,N3795&lt;'Line Follower'!$C$6,SUM(C3795:K3795)&lt;4),1,0)</f>
        <v>#N/A</v>
      </c>
      <c r="T3795" s="4" t="e">
        <f t="shared" si="297"/>
        <v>#N/A</v>
      </c>
      <c r="U3795" s="5" t="e">
        <f t="shared" si="298"/>
        <v>#N/A</v>
      </c>
      <c r="V3795" s="23" t="e">
        <f t="shared" si="299"/>
        <v>#N/A</v>
      </c>
    </row>
    <row r="3796" spans="2:22" x14ac:dyDescent="0.25">
      <c r="B3796" s="16">
        <v>1</v>
      </c>
      <c r="C3796" s="7">
        <v>0</v>
      </c>
      <c r="D3796" s="8">
        <v>0</v>
      </c>
      <c r="E3796" s="8">
        <v>0</v>
      </c>
      <c r="F3796" s="8">
        <v>1</v>
      </c>
      <c r="G3796" s="8">
        <v>0</v>
      </c>
      <c r="H3796" s="8">
        <v>1</v>
      </c>
      <c r="I3796" s="8">
        <v>1</v>
      </c>
      <c r="J3796" s="8">
        <v>0</v>
      </c>
      <c r="K3796" s="9">
        <v>1</v>
      </c>
      <c r="L3796" s="10">
        <v>1</v>
      </c>
      <c r="M3796" s="6">
        <v>1</v>
      </c>
      <c r="N3796" s="37" t="e" cm="1">
        <f t="array" ref="N3796">IF(OR(ISNUMBER(FIND(Aux!$D$3:$D$9,_xlfn.TEXTJOIN(,,C3796:K3796)))),NA(),IF(AND(SUM(C3796:F3796,H3796:K3796)=0,G3796=1),0,INT((SUMPRODUCT(C3796:F3796,COLUMN($A$1:$D$1)-1)+SUMPRODUCT(H3796:K3796,COLUMN($E$1:$H$1)-1))*'Line Follower'!$C$3/SUM(C3796:F3796,H3796:K3796)-'Line Follower'!$C$5)))</f>
        <v>#N/A</v>
      </c>
      <c r="O3796" s="22" t="e">
        <v>#N/A</v>
      </c>
      <c r="P3796" s="4" t="e">
        <f t="shared" si="295"/>
        <v>#N/A</v>
      </c>
      <c r="Q3796" s="4" t="e">
        <f t="shared" si="296"/>
        <v>#N/A</v>
      </c>
      <c r="R3796" s="4" t="e">
        <f>IF(AND(B3796=1,N3796&gt;'Line Follower'!$C$7,SUM(C3796:K3796)&lt;4),1,0)</f>
        <v>#N/A</v>
      </c>
      <c r="S3796" s="4" t="e">
        <f>IF(AND(L3796=1,N3796&lt;'Line Follower'!$C$6,SUM(C3796:K3796)&lt;4),1,0)</f>
        <v>#N/A</v>
      </c>
      <c r="T3796" s="4" t="e">
        <f t="shared" si="297"/>
        <v>#N/A</v>
      </c>
      <c r="U3796" s="5" t="e">
        <f t="shared" si="298"/>
        <v>#N/A</v>
      </c>
      <c r="V3796" s="23" t="e">
        <f t="shared" si="299"/>
        <v>#N/A</v>
      </c>
    </row>
    <row r="3797" spans="2:22" x14ac:dyDescent="0.25">
      <c r="B3797" s="16">
        <v>0</v>
      </c>
      <c r="C3797" s="7">
        <v>1</v>
      </c>
      <c r="D3797" s="8">
        <v>0</v>
      </c>
      <c r="E3797" s="8">
        <v>0</v>
      </c>
      <c r="F3797" s="8">
        <v>1</v>
      </c>
      <c r="G3797" s="8">
        <v>0</v>
      </c>
      <c r="H3797" s="8">
        <v>1</v>
      </c>
      <c r="I3797" s="8">
        <v>1</v>
      </c>
      <c r="J3797" s="8">
        <v>0</v>
      </c>
      <c r="K3797" s="9">
        <v>1</v>
      </c>
      <c r="L3797" s="10">
        <v>1</v>
      </c>
      <c r="M3797" s="6">
        <v>1</v>
      </c>
      <c r="N3797" s="37" t="e" cm="1">
        <f t="array" ref="N3797">IF(OR(ISNUMBER(FIND(Aux!$D$3:$D$9,_xlfn.TEXTJOIN(,,C3797:K3797)))),NA(),IF(AND(SUM(C3797:F3797,H3797:K3797)=0,G3797=1),0,INT((SUMPRODUCT(C3797:F3797,COLUMN($A$1:$D$1)-1)+SUMPRODUCT(H3797:K3797,COLUMN($E$1:$H$1)-1))*'Line Follower'!$C$3/SUM(C3797:F3797,H3797:K3797)-'Line Follower'!$C$5)))</f>
        <v>#N/A</v>
      </c>
      <c r="O3797" s="22" t="e">
        <v>#N/A</v>
      </c>
      <c r="P3797" s="4" t="e">
        <f t="shared" si="295"/>
        <v>#N/A</v>
      </c>
      <c r="Q3797" s="4" t="e">
        <f t="shared" si="296"/>
        <v>#N/A</v>
      </c>
      <c r="R3797" s="4" t="e">
        <f>IF(AND(B3797=1,N3797&gt;'Line Follower'!$C$7,SUM(C3797:K3797)&lt;4),1,0)</f>
        <v>#N/A</v>
      </c>
      <c r="S3797" s="4" t="e">
        <f>IF(AND(L3797=1,N3797&lt;'Line Follower'!$C$6,SUM(C3797:K3797)&lt;4),1,0)</f>
        <v>#N/A</v>
      </c>
      <c r="T3797" s="4" t="e">
        <f t="shared" si="297"/>
        <v>#N/A</v>
      </c>
      <c r="U3797" s="5" t="e">
        <f t="shared" si="298"/>
        <v>#N/A</v>
      </c>
      <c r="V3797" s="23" t="e">
        <f t="shared" si="299"/>
        <v>#N/A</v>
      </c>
    </row>
    <row r="3798" spans="2:22" x14ac:dyDescent="0.25">
      <c r="B3798" s="16">
        <v>1</v>
      </c>
      <c r="C3798" s="7">
        <v>1</v>
      </c>
      <c r="D3798" s="8">
        <v>0</v>
      </c>
      <c r="E3798" s="8">
        <v>0</v>
      </c>
      <c r="F3798" s="8">
        <v>1</v>
      </c>
      <c r="G3798" s="8">
        <v>0</v>
      </c>
      <c r="H3798" s="8">
        <v>1</v>
      </c>
      <c r="I3798" s="8">
        <v>1</v>
      </c>
      <c r="J3798" s="8">
        <v>0</v>
      </c>
      <c r="K3798" s="9">
        <v>1</v>
      </c>
      <c r="L3798" s="10">
        <v>1</v>
      </c>
      <c r="M3798" s="6">
        <v>1</v>
      </c>
      <c r="N3798" s="37" t="e" cm="1">
        <f t="array" ref="N3798">IF(OR(ISNUMBER(FIND(Aux!$D$3:$D$9,_xlfn.TEXTJOIN(,,C3798:K3798)))),NA(),IF(AND(SUM(C3798:F3798,H3798:K3798)=0,G3798=1),0,INT((SUMPRODUCT(C3798:F3798,COLUMN($A$1:$D$1)-1)+SUMPRODUCT(H3798:K3798,COLUMN($E$1:$H$1)-1))*'Line Follower'!$C$3/SUM(C3798:F3798,H3798:K3798)-'Line Follower'!$C$5)))</f>
        <v>#N/A</v>
      </c>
      <c r="O3798" s="22" t="e">
        <v>#N/A</v>
      </c>
      <c r="P3798" s="4" t="e">
        <f t="shared" si="295"/>
        <v>#N/A</v>
      </c>
      <c r="Q3798" s="4" t="e">
        <f t="shared" si="296"/>
        <v>#N/A</v>
      </c>
      <c r="R3798" s="4" t="e">
        <f>IF(AND(B3798=1,N3798&gt;'Line Follower'!$C$7,SUM(C3798:K3798)&lt;4),1,0)</f>
        <v>#N/A</v>
      </c>
      <c r="S3798" s="4" t="e">
        <f>IF(AND(L3798=1,N3798&lt;'Line Follower'!$C$6,SUM(C3798:K3798)&lt;4),1,0)</f>
        <v>#N/A</v>
      </c>
      <c r="T3798" s="4" t="e">
        <f t="shared" si="297"/>
        <v>#N/A</v>
      </c>
      <c r="U3798" s="5" t="e">
        <f t="shared" si="298"/>
        <v>#N/A</v>
      </c>
      <c r="V3798" s="23" t="e">
        <f t="shared" si="299"/>
        <v>#N/A</v>
      </c>
    </row>
    <row r="3799" spans="2:22" x14ac:dyDescent="0.25">
      <c r="B3799" s="16">
        <v>0</v>
      </c>
      <c r="C3799" s="7">
        <v>0</v>
      </c>
      <c r="D3799" s="8">
        <v>1</v>
      </c>
      <c r="E3799" s="8">
        <v>0</v>
      </c>
      <c r="F3799" s="8">
        <v>1</v>
      </c>
      <c r="G3799" s="8">
        <v>0</v>
      </c>
      <c r="H3799" s="8">
        <v>1</v>
      </c>
      <c r="I3799" s="8">
        <v>1</v>
      </c>
      <c r="J3799" s="8">
        <v>0</v>
      </c>
      <c r="K3799" s="9">
        <v>1</v>
      </c>
      <c r="L3799" s="10">
        <v>1</v>
      </c>
      <c r="M3799" s="6">
        <v>1</v>
      </c>
      <c r="N3799" s="37" t="e" cm="1">
        <f t="array" ref="N3799">IF(OR(ISNUMBER(FIND(Aux!$D$3:$D$9,_xlfn.TEXTJOIN(,,C3799:K3799)))),NA(),IF(AND(SUM(C3799:F3799,H3799:K3799)=0,G3799=1),0,INT((SUMPRODUCT(C3799:F3799,COLUMN($A$1:$D$1)-1)+SUMPRODUCT(H3799:K3799,COLUMN($E$1:$H$1)-1))*'Line Follower'!$C$3/SUM(C3799:F3799,H3799:K3799)-'Line Follower'!$C$5)))</f>
        <v>#N/A</v>
      </c>
      <c r="O3799" s="22" t="e">
        <v>#N/A</v>
      </c>
      <c r="P3799" s="4" t="e">
        <f t="shared" si="295"/>
        <v>#N/A</v>
      </c>
      <c r="Q3799" s="4" t="e">
        <f t="shared" si="296"/>
        <v>#N/A</v>
      </c>
      <c r="R3799" s="4" t="e">
        <f>IF(AND(B3799=1,N3799&gt;'Line Follower'!$C$7,SUM(C3799:K3799)&lt;4),1,0)</f>
        <v>#N/A</v>
      </c>
      <c r="S3799" s="4" t="e">
        <f>IF(AND(L3799=1,N3799&lt;'Line Follower'!$C$6,SUM(C3799:K3799)&lt;4),1,0)</f>
        <v>#N/A</v>
      </c>
      <c r="T3799" s="4" t="e">
        <f t="shared" si="297"/>
        <v>#N/A</v>
      </c>
      <c r="U3799" s="5" t="e">
        <f t="shared" si="298"/>
        <v>#N/A</v>
      </c>
      <c r="V3799" s="23" t="e">
        <f t="shared" si="299"/>
        <v>#N/A</v>
      </c>
    </row>
    <row r="3800" spans="2:22" x14ac:dyDescent="0.25">
      <c r="B3800" s="16">
        <v>1</v>
      </c>
      <c r="C3800" s="7">
        <v>0</v>
      </c>
      <c r="D3800" s="8">
        <v>1</v>
      </c>
      <c r="E3800" s="8">
        <v>0</v>
      </c>
      <c r="F3800" s="8">
        <v>1</v>
      </c>
      <c r="G3800" s="8">
        <v>0</v>
      </c>
      <c r="H3800" s="8">
        <v>1</v>
      </c>
      <c r="I3800" s="8">
        <v>1</v>
      </c>
      <c r="J3800" s="8">
        <v>0</v>
      </c>
      <c r="K3800" s="9">
        <v>1</v>
      </c>
      <c r="L3800" s="10">
        <v>1</v>
      </c>
      <c r="M3800" s="6">
        <v>1</v>
      </c>
      <c r="N3800" s="37" t="e" cm="1">
        <f t="array" ref="N3800">IF(OR(ISNUMBER(FIND(Aux!$D$3:$D$9,_xlfn.TEXTJOIN(,,C3800:K3800)))),NA(),IF(AND(SUM(C3800:F3800,H3800:K3800)=0,G3800=1),0,INT((SUMPRODUCT(C3800:F3800,COLUMN($A$1:$D$1)-1)+SUMPRODUCT(H3800:K3800,COLUMN($E$1:$H$1)-1))*'Line Follower'!$C$3/SUM(C3800:F3800,H3800:K3800)-'Line Follower'!$C$5)))</f>
        <v>#N/A</v>
      </c>
      <c r="O3800" s="22" t="e">
        <v>#N/A</v>
      </c>
      <c r="P3800" s="4" t="e">
        <f t="shared" si="295"/>
        <v>#N/A</v>
      </c>
      <c r="Q3800" s="4" t="e">
        <f t="shared" si="296"/>
        <v>#N/A</v>
      </c>
      <c r="R3800" s="4" t="e">
        <f>IF(AND(B3800=1,N3800&gt;'Line Follower'!$C$7,SUM(C3800:K3800)&lt;4),1,0)</f>
        <v>#N/A</v>
      </c>
      <c r="S3800" s="4" t="e">
        <f>IF(AND(L3800=1,N3800&lt;'Line Follower'!$C$6,SUM(C3800:K3800)&lt;4),1,0)</f>
        <v>#N/A</v>
      </c>
      <c r="T3800" s="4" t="e">
        <f t="shared" si="297"/>
        <v>#N/A</v>
      </c>
      <c r="U3800" s="5" t="e">
        <f t="shared" si="298"/>
        <v>#N/A</v>
      </c>
      <c r="V3800" s="23" t="e">
        <f t="shared" si="299"/>
        <v>#N/A</v>
      </c>
    </row>
    <row r="3801" spans="2:22" x14ac:dyDescent="0.25">
      <c r="B3801" s="16">
        <v>0</v>
      </c>
      <c r="C3801" s="7">
        <v>1</v>
      </c>
      <c r="D3801" s="8">
        <v>1</v>
      </c>
      <c r="E3801" s="8">
        <v>0</v>
      </c>
      <c r="F3801" s="8">
        <v>1</v>
      </c>
      <c r="G3801" s="8">
        <v>0</v>
      </c>
      <c r="H3801" s="8">
        <v>1</v>
      </c>
      <c r="I3801" s="8">
        <v>1</v>
      </c>
      <c r="J3801" s="8">
        <v>0</v>
      </c>
      <c r="K3801" s="9">
        <v>1</v>
      </c>
      <c r="L3801" s="10">
        <v>1</v>
      </c>
      <c r="M3801" s="6">
        <v>1</v>
      </c>
      <c r="N3801" s="37" t="e" cm="1">
        <f t="array" ref="N3801">IF(OR(ISNUMBER(FIND(Aux!$D$3:$D$9,_xlfn.TEXTJOIN(,,C3801:K3801)))),NA(),IF(AND(SUM(C3801:F3801,H3801:K3801)=0,G3801=1),0,INT((SUMPRODUCT(C3801:F3801,COLUMN($A$1:$D$1)-1)+SUMPRODUCT(H3801:K3801,COLUMN($E$1:$H$1)-1))*'Line Follower'!$C$3/SUM(C3801:F3801,H3801:K3801)-'Line Follower'!$C$5)))</f>
        <v>#N/A</v>
      </c>
      <c r="O3801" s="22" t="e">
        <v>#N/A</v>
      </c>
      <c r="P3801" s="4" t="e">
        <f t="shared" si="295"/>
        <v>#N/A</v>
      </c>
      <c r="Q3801" s="4" t="e">
        <f t="shared" si="296"/>
        <v>#N/A</v>
      </c>
      <c r="R3801" s="4" t="e">
        <f>IF(AND(B3801=1,N3801&gt;'Line Follower'!$C$7,SUM(C3801:K3801)&lt;4),1,0)</f>
        <v>#N/A</v>
      </c>
      <c r="S3801" s="4" t="e">
        <f>IF(AND(L3801=1,N3801&lt;'Line Follower'!$C$6,SUM(C3801:K3801)&lt;4),1,0)</f>
        <v>#N/A</v>
      </c>
      <c r="T3801" s="4" t="e">
        <f t="shared" si="297"/>
        <v>#N/A</v>
      </c>
      <c r="U3801" s="5" t="e">
        <f t="shared" si="298"/>
        <v>#N/A</v>
      </c>
      <c r="V3801" s="23" t="e">
        <f t="shared" si="299"/>
        <v>#N/A</v>
      </c>
    </row>
    <row r="3802" spans="2:22" x14ac:dyDescent="0.25">
      <c r="B3802" s="16">
        <v>1</v>
      </c>
      <c r="C3802" s="7">
        <v>1</v>
      </c>
      <c r="D3802" s="8">
        <v>1</v>
      </c>
      <c r="E3802" s="8">
        <v>0</v>
      </c>
      <c r="F3802" s="8">
        <v>1</v>
      </c>
      <c r="G3802" s="8">
        <v>0</v>
      </c>
      <c r="H3802" s="8">
        <v>1</v>
      </c>
      <c r="I3802" s="8">
        <v>1</v>
      </c>
      <c r="J3802" s="8">
        <v>0</v>
      </c>
      <c r="K3802" s="9">
        <v>1</v>
      </c>
      <c r="L3802" s="10">
        <v>1</v>
      </c>
      <c r="M3802" s="6">
        <v>1</v>
      </c>
      <c r="N3802" s="37" t="e" cm="1">
        <f t="array" ref="N3802">IF(OR(ISNUMBER(FIND(Aux!$D$3:$D$9,_xlfn.TEXTJOIN(,,C3802:K3802)))),NA(),IF(AND(SUM(C3802:F3802,H3802:K3802)=0,G3802=1),0,INT((SUMPRODUCT(C3802:F3802,COLUMN($A$1:$D$1)-1)+SUMPRODUCT(H3802:K3802,COLUMN($E$1:$H$1)-1))*'Line Follower'!$C$3/SUM(C3802:F3802,H3802:K3802)-'Line Follower'!$C$5)))</f>
        <v>#N/A</v>
      </c>
      <c r="O3802" s="22" t="e">
        <v>#N/A</v>
      </c>
      <c r="P3802" s="4" t="e">
        <f t="shared" si="295"/>
        <v>#N/A</v>
      </c>
      <c r="Q3802" s="4" t="e">
        <f t="shared" si="296"/>
        <v>#N/A</v>
      </c>
      <c r="R3802" s="4" t="e">
        <f>IF(AND(B3802=1,N3802&gt;'Line Follower'!$C$7,SUM(C3802:K3802)&lt;4),1,0)</f>
        <v>#N/A</v>
      </c>
      <c r="S3802" s="4" t="e">
        <f>IF(AND(L3802=1,N3802&lt;'Line Follower'!$C$6,SUM(C3802:K3802)&lt;4),1,0)</f>
        <v>#N/A</v>
      </c>
      <c r="T3802" s="4" t="e">
        <f t="shared" si="297"/>
        <v>#N/A</v>
      </c>
      <c r="U3802" s="5" t="e">
        <f t="shared" si="298"/>
        <v>#N/A</v>
      </c>
      <c r="V3802" s="23" t="e">
        <f t="shared" si="299"/>
        <v>#N/A</v>
      </c>
    </row>
    <row r="3803" spans="2:22" x14ac:dyDescent="0.25">
      <c r="B3803" s="16">
        <v>0</v>
      </c>
      <c r="C3803" s="7">
        <v>0</v>
      </c>
      <c r="D3803" s="8">
        <v>0</v>
      </c>
      <c r="E3803" s="8">
        <v>1</v>
      </c>
      <c r="F3803" s="8">
        <v>1</v>
      </c>
      <c r="G3803" s="8">
        <v>0</v>
      </c>
      <c r="H3803" s="8">
        <v>1</v>
      </c>
      <c r="I3803" s="8">
        <v>1</v>
      </c>
      <c r="J3803" s="8">
        <v>0</v>
      </c>
      <c r="K3803" s="9">
        <v>1</v>
      </c>
      <c r="L3803" s="10">
        <v>1</v>
      </c>
      <c r="M3803" s="6">
        <v>1</v>
      </c>
      <c r="N3803" s="37" t="e" cm="1">
        <f t="array" ref="N3803">IF(OR(ISNUMBER(FIND(Aux!$D$3:$D$9,_xlfn.TEXTJOIN(,,C3803:K3803)))),NA(),IF(AND(SUM(C3803:F3803,H3803:K3803)=0,G3803=1),0,INT((SUMPRODUCT(C3803:F3803,COLUMN($A$1:$D$1)-1)+SUMPRODUCT(H3803:K3803,COLUMN($E$1:$H$1)-1))*'Line Follower'!$C$3/SUM(C3803:F3803,H3803:K3803)-'Line Follower'!$C$5)))</f>
        <v>#N/A</v>
      </c>
      <c r="O3803" s="22" t="e">
        <v>#N/A</v>
      </c>
      <c r="P3803" s="4" t="e">
        <f t="shared" si="295"/>
        <v>#N/A</v>
      </c>
      <c r="Q3803" s="4" t="e">
        <f t="shared" si="296"/>
        <v>#N/A</v>
      </c>
      <c r="R3803" s="4" t="e">
        <f>IF(AND(B3803=1,N3803&gt;'Line Follower'!$C$7,SUM(C3803:K3803)&lt;4),1,0)</f>
        <v>#N/A</v>
      </c>
      <c r="S3803" s="4" t="e">
        <f>IF(AND(L3803=1,N3803&lt;'Line Follower'!$C$6,SUM(C3803:K3803)&lt;4),1,0)</f>
        <v>#N/A</v>
      </c>
      <c r="T3803" s="4" t="e">
        <f t="shared" si="297"/>
        <v>#N/A</v>
      </c>
      <c r="U3803" s="5" t="e">
        <f t="shared" si="298"/>
        <v>#N/A</v>
      </c>
      <c r="V3803" s="23" t="e">
        <f t="shared" si="299"/>
        <v>#N/A</v>
      </c>
    </row>
    <row r="3804" spans="2:22" x14ac:dyDescent="0.25">
      <c r="B3804" s="16">
        <v>1</v>
      </c>
      <c r="C3804" s="7">
        <v>0</v>
      </c>
      <c r="D3804" s="8">
        <v>0</v>
      </c>
      <c r="E3804" s="8">
        <v>1</v>
      </c>
      <c r="F3804" s="8">
        <v>1</v>
      </c>
      <c r="G3804" s="8">
        <v>0</v>
      </c>
      <c r="H3804" s="8">
        <v>1</v>
      </c>
      <c r="I3804" s="8">
        <v>1</v>
      </c>
      <c r="J3804" s="8">
        <v>0</v>
      </c>
      <c r="K3804" s="9">
        <v>1</v>
      </c>
      <c r="L3804" s="10">
        <v>1</v>
      </c>
      <c r="M3804" s="6">
        <v>1</v>
      </c>
      <c r="N3804" s="37" t="e" cm="1">
        <f t="array" ref="N3804">IF(OR(ISNUMBER(FIND(Aux!$D$3:$D$9,_xlfn.TEXTJOIN(,,C3804:K3804)))),NA(),IF(AND(SUM(C3804:F3804,H3804:K3804)=0,G3804=1),0,INT((SUMPRODUCT(C3804:F3804,COLUMN($A$1:$D$1)-1)+SUMPRODUCT(H3804:K3804,COLUMN($E$1:$H$1)-1))*'Line Follower'!$C$3/SUM(C3804:F3804,H3804:K3804)-'Line Follower'!$C$5)))</f>
        <v>#N/A</v>
      </c>
      <c r="O3804" s="22" t="e">
        <v>#N/A</v>
      </c>
      <c r="P3804" s="4" t="e">
        <f t="shared" si="295"/>
        <v>#N/A</v>
      </c>
      <c r="Q3804" s="4" t="e">
        <f t="shared" si="296"/>
        <v>#N/A</v>
      </c>
      <c r="R3804" s="4" t="e">
        <f>IF(AND(B3804=1,N3804&gt;'Line Follower'!$C$7,SUM(C3804:K3804)&lt;4),1,0)</f>
        <v>#N/A</v>
      </c>
      <c r="S3804" s="4" t="e">
        <f>IF(AND(L3804=1,N3804&lt;'Line Follower'!$C$6,SUM(C3804:K3804)&lt;4),1,0)</f>
        <v>#N/A</v>
      </c>
      <c r="T3804" s="4" t="e">
        <f t="shared" si="297"/>
        <v>#N/A</v>
      </c>
      <c r="U3804" s="5" t="e">
        <f t="shared" si="298"/>
        <v>#N/A</v>
      </c>
      <c r="V3804" s="23" t="e">
        <f t="shared" si="299"/>
        <v>#N/A</v>
      </c>
    </row>
    <row r="3805" spans="2:22" x14ac:dyDescent="0.25">
      <c r="B3805" s="16">
        <v>0</v>
      </c>
      <c r="C3805" s="7">
        <v>1</v>
      </c>
      <c r="D3805" s="8">
        <v>0</v>
      </c>
      <c r="E3805" s="8">
        <v>1</v>
      </c>
      <c r="F3805" s="8">
        <v>1</v>
      </c>
      <c r="G3805" s="8">
        <v>0</v>
      </c>
      <c r="H3805" s="8">
        <v>1</v>
      </c>
      <c r="I3805" s="8">
        <v>1</v>
      </c>
      <c r="J3805" s="8">
        <v>0</v>
      </c>
      <c r="K3805" s="9">
        <v>1</v>
      </c>
      <c r="L3805" s="10">
        <v>1</v>
      </c>
      <c r="M3805" s="6">
        <v>1</v>
      </c>
      <c r="N3805" s="37" t="e" cm="1">
        <f t="array" ref="N3805">IF(OR(ISNUMBER(FIND(Aux!$D$3:$D$9,_xlfn.TEXTJOIN(,,C3805:K3805)))),NA(),IF(AND(SUM(C3805:F3805,H3805:K3805)=0,G3805=1),0,INT((SUMPRODUCT(C3805:F3805,COLUMN($A$1:$D$1)-1)+SUMPRODUCT(H3805:K3805,COLUMN($E$1:$H$1)-1))*'Line Follower'!$C$3/SUM(C3805:F3805,H3805:K3805)-'Line Follower'!$C$5)))</f>
        <v>#N/A</v>
      </c>
      <c r="O3805" s="22" t="e">
        <v>#N/A</v>
      </c>
      <c r="P3805" s="4" t="e">
        <f t="shared" si="295"/>
        <v>#N/A</v>
      </c>
      <c r="Q3805" s="4" t="e">
        <f t="shared" si="296"/>
        <v>#N/A</v>
      </c>
      <c r="R3805" s="4" t="e">
        <f>IF(AND(B3805=1,N3805&gt;'Line Follower'!$C$7,SUM(C3805:K3805)&lt;4),1,0)</f>
        <v>#N/A</v>
      </c>
      <c r="S3805" s="4" t="e">
        <f>IF(AND(L3805=1,N3805&lt;'Line Follower'!$C$6,SUM(C3805:K3805)&lt;4),1,0)</f>
        <v>#N/A</v>
      </c>
      <c r="T3805" s="4" t="e">
        <f t="shared" si="297"/>
        <v>#N/A</v>
      </c>
      <c r="U3805" s="5" t="e">
        <f t="shared" si="298"/>
        <v>#N/A</v>
      </c>
      <c r="V3805" s="23" t="e">
        <f t="shared" si="299"/>
        <v>#N/A</v>
      </c>
    </row>
    <row r="3806" spans="2:22" x14ac:dyDescent="0.25">
      <c r="B3806" s="16">
        <v>1</v>
      </c>
      <c r="C3806" s="7">
        <v>1</v>
      </c>
      <c r="D3806" s="8">
        <v>0</v>
      </c>
      <c r="E3806" s="8">
        <v>1</v>
      </c>
      <c r="F3806" s="8">
        <v>1</v>
      </c>
      <c r="G3806" s="8">
        <v>0</v>
      </c>
      <c r="H3806" s="8">
        <v>1</v>
      </c>
      <c r="I3806" s="8">
        <v>1</v>
      </c>
      <c r="J3806" s="8">
        <v>0</v>
      </c>
      <c r="K3806" s="9">
        <v>1</v>
      </c>
      <c r="L3806" s="10">
        <v>1</v>
      </c>
      <c r="M3806" s="6">
        <v>1</v>
      </c>
      <c r="N3806" s="37" t="e" cm="1">
        <f t="array" ref="N3806">IF(OR(ISNUMBER(FIND(Aux!$D$3:$D$9,_xlfn.TEXTJOIN(,,C3806:K3806)))),NA(),IF(AND(SUM(C3806:F3806,H3806:K3806)=0,G3806=1),0,INT((SUMPRODUCT(C3806:F3806,COLUMN($A$1:$D$1)-1)+SUMPRODUCT(H3806:K3806,COLUMN($E$1:$H$1)-1))*'Line Follower'!$C$3/SUM(C3806:F3806,H3806:K3806)-'Line Follower'!$C$5)))</f>
        <v>#N/A</v>
      </c>
      <c r="O3806" s="22" t="e">
        <v>#N/A</v>
      </c>
      <c r="P3806" s="4" t="e">
        <f t="shared" si="295"/>
        <v>#N/A</v>
      </c>
      <c r="Q3806" s="4" t="e">
        <f t="shared" si="296"/>
        <v>#N/A</v>
      </c>
      <c r="R3806" s="4" t="e">
        <f>IF(AND(B3806=1,N3806&gt;'Line Follower'!$C$7,SUM(C3806:K3806)&lt;4),1,0)</f>
        <v>#N/A</v>
      </c>
      <c r="S3806" s="4" t="e">
        <f>IF(AND(L3806=1,N3806&lt;'Line Follower'!$C$6,SUM(C3806:K3806)&lt;4),1,0)</f>
        <v>#N/A</v>
      </c>
      <c r="T3806" s="4" t="e">
        <f t="shared" si="297"/>
        <v>#N/A</v>
      </c>
      <c r="U3806" s="5" t="e">
        <f t="shared" si="298"/>
        <v>#N/A</v>
      </c>
      <c r="V3806" s="23" t="e">
        <f t="shared" si="299"/>
        <v>#N/A</v>
      </c>
    </row>
    <row r="3807" spans="2:22" x14ac:dyDescent="0.25">
      <c r="B3807" s="16">
        <v>0</v>
      </c>
      <c r="C3807" s="7">
        <v>0</v>
      </c>
      <c r="D3807" s="8">
        <v>1</v>
      </c>
      <c r="E3807" s="8">
        <v>1</v>
      </c>
      <c r="F3807" s="8">
        <v>1</v>
      </c>
      <c r="G3807" s="8">
        <v>0</v>
      </c>
      <c r="H3807" s="8">
        <v>1</v>
      </c>
      <c r="I3807" s="8">
        <v>1</v>
      </c>
      <c r="J3807" s="8">
        <v>0</v>
      </c>
      <c r="K3807" s="9">
        <v>1</v>
      </c>
      <c r="L3807" s="10">
        <v>1</v>
      </c>
      <c r="M3807" s="6">
        <v>1</v>
      </c>
      <c r="N3807" s="37" t="e" cm="1">
        <f t="array" ref="N3807">IF(OR(ISNUMBER(FIND(Aux!$D$3:$D$9,_xlfn.TEXTJOIN(,,C3807:K3807)))),NA(),IF(AND(SUM(C3807:F3807,H3807:K3807)=0,G3807=1),0,INT((SUMPRODUCT(C3807:F3807,COLUMN($A$1:$D$1)-1)+SUMPRODUCT(H3807:K3807,COLUMN($E$1:$H$1)-1))*'Line Follower'!$C$3/SUM(C3807:F3807,H3807:K3807)-'Line Follower'!$C$5)))</f>
        <v>#N/A</v>
      </c>
      <c r="O3807" s="22" t="e">
        <v>#N/A</v>
      </c>
      <c r="P3807" s="4" t="e">
        <f t="shared" si="295"/>
        <v>#N/A</v>
      </c>
      <c r="Q3807" s="4" t="e">
        <f t="shared" si="296"/>
        <v>#N/A</v>
      </c>
      <c r="R3807" s="4" t="e">
        <f>IF(AND(B3807=1,N3807&gt;'Line Follower'!$C$7,SUM(C3807:K3807)&lt;4),1,0)</f>
        <v>#N/A</v>
      </c>
      <c r="S3807" s="4" t="e">
        <f>IF(AND(L3807=1,N3807&lt;'Line Follower'!$C$6,SUM(C3807:K3807)&lt;4),1,0)</f>
        <v>#N/A</v>
      </c>
      <c r="T3807" s="4" t="e">
        <f t="shared" si="297"/>
        <v>#N/A</v>
      </c>
      <c r="U3807" s="5" t="e">
        <f t="shared" si="298"/>
        <v>#N/A</v>
      </c>
      <c r="V3807" s="23" t="e">
        <f t="shared" si="299"/>
        <v>#N/A</v>
      </c>
    </row>
    <row r="3808" spans="2:22" x14ac:dyDescent="0.25">
      <c r="B3808" s="16">
        <v>1</v>
      </c>
      <c r="C3808" s="7">
        <v>0</v>
      </c>
      <c r="D3808" s="8">
        <v>1</v>
      </c>
      <c r="E3808" s="8">
        <v>1</v>
      </c>
      <c r="F3808" s="8">
        <v>1</v>
      </c>
      <c r="G3808" s="8">
        <v>0</v>
      </c>
      <c r="H3808" s="8">
        <v>1</v>
      </c>
      <c r="I3808" s="8">
        <v>1</v>
      </c>
      <c r="J3808" s="8">
        <v>0</v>
      </c>
      <c r="K3808" s="9">
        <v>1</v>
      </c>
      <c r="L3808" s="10">
        <v>1</v>
      </c>
      <c r="M3808" s="6">
        <v>1</v>
      </c>
      <c r="N3808" s="37" t="e" cm="1">
        <f t="array" ref="N3808">IF(OR(ISNUMBER(FIND(Aux!$D$3:$D$9,_xlfn.TEXTJOIN(,,C3808:K3808)))),NA(),IF(AND(SUM(C3808:F3808,H3808:K3808)=0,G3808=1),0,INT((SUMPRODUCT(C3808:F3808,COLUMN($A$1:$D$1)-1)+SUMPRODUCT(H3808:K3808,COLUMN($E$1:$H$1)-1))*'Line Follower'!$C$3/SUM(C3808:F3808,H3808:K3808)-'Line Follower'!$C$5)))</f>
        <v>#N/A</v>
      </c>
      <c r="O3808" s="22" t="e">
        <v>#N/A</v>
      </c>
      <c r="P3808" s="4" t="e">
        <f t="shared" si="295"/>
        <v>#N/A</v>
      </c>
      <c r="Q3808" s="4" t="e">
        <f t="shared" si="296"/>
        <v>#N/A</v>
      </c>
      <c r="R3808" s="4" t="e">
        <f>IF(AND(B3808=1,N3808&gt;'Line Follower'!$C$7,SUM(C3808:K3808)&lt;4),1,0)</f>
        <v>#N/A</v>
      </c>
      <c r="S3808" s="4" t="e">
        <f>IF(AND(L3808=1,N3808&lt;'Line Follower'!$C$6,SUM(C3808:K3808)&lt;4),1,0)</f>
        <v>#N/A</v>
      </c>
      <c r="T3808" s="4" t="e">
        <f t="shared" si="297"/>
        <v>#N/A</v>
      </c>
      <c r="U3808" s="5" t="e">
        <f t="shared" si="298"/>
        <v>#N/A</v>
      </c>
      <c r="V3808" s="23" t="e">
        <f t="shared" si="299"/>
        <v>#N/A</v>
      </c>
    </row>
    <row r="3809" spans="2:22" x14ac:dyDescent="0.25">
      <c r="B3809" s="16">
        <v>0</v>
      </c>
      <c r="C3809" s="7">
        <v>1</v>
      </c>
      <c r="D3809" s="8">
        <v>1</v>
      </c>
      <c r="E3809" s="8">
        <v>1</v>
      </c>
      <c r="F3809" s="8">
        <v>1</v>
      </c>
      <c r="G3809" s="8">
        <v>0</v>
      </c>
      <c r="H3809" s="8">
        <v>1</v>
      </c>
      <c r="I3809" s="8">
        <v>1</v>
      </c>
      <c r="J3809" s="8">
        <v>0</v>
      </c>
      <c r="K3809" s="9">
        <v>1</v>
      </c>
      <c r="L3809" s="10">
        <v>1</v>
      </c>
      <c r="M3809" s="6">
        <v>1</v>
      </c>
      <c r="N3809" s="37" t="e" cm="1">
        <f t="array" ref="N3809">IF(OR(ISNUMBER(FIND(Aux!$D$3:$D$9,_xlfn.TEXTJOIN(,,C3809:K3809)))),NA(),IF(AND(SUM(C3809:F3809,H3809:K3809)=0,G3809=1),0,INT((SUMPRODUCT(C3809:F3809,COLUMN($A$1:$D$1)-1)+SUMPRODUCT(H3809:K3809,COLUMN($E$1:$H$1)-1))*'Line Follower'!$C$3/SUM(C3809:F3809,H3809:K3809)-'Line Follower'!$C$5)))</f>
        <v>#N/A</v>
      </c>
      <c r="O3809" s="22" t="e">
        <v>#N/A</v>
      </c>
      <c r="P3809" s="4" t="e">
        <f t="shared" si="295"/>
        <v>#N/A</v>
      </c>
      <c r="Q3809" s="4" t="e">
        <f t="shared" si="296"/>
        <v>#N/A</v>
      </c>
      <c r="R3809" s="4" t="e">
        <f>IF(AND(B3809=1,N3809&gt;'Line Follower'!$C$7,SUM(C3809:K3809)&lt;4),1,0)</f>
        <v>#N/A</v>
      </c>
      <c r="S3809" s="4" t="e">
        <f>IF(AND(L3809=1,N3809&lt;'Line Follower'!$C$6,SUM(C3809:K3809)&lt;4),1,0)</f>
        <v>#N/A</v>
      </c>
      <c r="T3809" s="4" t="e">
        <f t="shared" si="297"/>
        <v>#N/A</v>
      </c>
      <c r="U3809" s="5" t="e">
        <f t="shared" si="298"/>
        <v>#N/A</v>
      </c>
      <c r="V3809" s="23" t="e">
        <f t="shared" si="299"/>
        <v>#N/A</v>
      </c>
    </row>
    <row r="3810" spans="2:22" x14ac:dyDescent="0.25">
      <c r="B3810" s="16">
        <v>1</v>
      </c>
      <c r="C3810" s="7">
        <v>1</v>
      </c>
      <c r="D3810" s="8">
        <v>1</v>
      </c>
      <c r="E3810" s="8">
        <v>1</v>
      </c>
      <c r="F3810" s="8">
        <v>1</v>
      </c>
      <c r="G3810" s="8">
        <v>0</v>
      </c>
      <c r="H3810" s="8">
        <v>1</v>
      </c>
      <c r="I3810" s="8">
        <v>1</v>
      </c>
      <c r="J3810" s="8">
        <v>0</v>
      </c>
      <c r="K3810" s="9">
        <v>1</v>
      </c>
      <c r="L3810" s="10">
        <v>1</v>
      </c>
      <c r="M3810" s="6">
        <v>1</v>
      </c>
      <c r="N3810" s="37" t="e" cm="1">
        <f t="array" ref="N3810">IF(OR(ISNUMBER(FIND(Aux!$D$3:$D$9,_xlfn.TEXTJOIN(,,C3810:K3810)))),NA(),IF(AND(SUM(C3810:F3810,H3810:K3810)=0,G3810=1),0,INT((SUMPRODUCT(C3810:F3810,COLUMN($A$1:$D$1)-1)+SUMPRODUCT(H3810:K3810,COLUMN($E$1:$H$1)-1))*'Line Follower'!$C$3/SUM(C3810:F3810,H3810:K3810)-'Line Follower'!$C$5)))</f>
        <v>#N/A</v>
      </c>
      <c r="O3810" s="22" t="e">
        <v>#N/A</v>
      </c>
      <c r="P3810" s="4" t="e">
        <f t="shared" si="295"/>
        <v>#N/A</v>
      </c>
      <c r="Q3810" s="4" t="e">
        <f t="shared" si="296"/>
        <v>#N/A</v>
      </c>
      <c r="R3810" s="4" t="e">
        <f>IF(AND(B3810=1,N3810&gt;'Line Follower'!$C$7,SUM(C3810:K3810)&lt;4),1,0)</f>
        <v>#N/A</v>
      </c>
      <c r="S3810" s="4" t="e">
        <f>IF(AND(L3810=1,N3810&lt;'Line Follower'!$C$6,SUM(C3810:K3810)&lt;4),1,0)</f>
        <v>#N/A</v>
      </c>
      <c r="T3810" s="4" t="e">
        <f t="shared" si="297"/>
        <v>#N/A</v>
      </c>
      <c r="U3810" s="5" t="e">
        <f t="shared" si="298"/>
        <v>#N/A</v>
      </c>
      <c r="V3810" s="23" t="e">
        <f t="shared" si="299"/>
        <v>#N/A</v>
      </c>
    </row>
    <row r="3811" spans="2:22" x14ac:dyDescent="0.25">
      <c r="B3811" s="16">
        <v>0</v>
      </c>
      <c r="C3811" s="7">
        <v>0</v>
      </c>
      <c r="D3811" s="8">
        <v>0</v>
      </c>
      <c r="E3811" s="8">
        <v>0</v>
      </c>
      <c r="F3811" s="8">
        <v>0</v>
      </c>
      <c r="G3811" s="8">
        <v>1</v>
      </c>
      <c r="H3811" s="8">
        <v>1</v>
      </c>
      <c r="I3811" s="8">
        <v>1</v>
      </c>
      <c r="J3811" s="8">
        <v>0</v>
      </c>
      <c r="K3811" s="9">
        <v>1</v>
      </c>
      <c r="L3811" s="10">
        <v>1</v>
      </c>
      <c r="M3811" s="6">
        <v>1</v>
      </c>
      <c r="N3811" s="37" t="e" cm="1">
        <f t="array" ref="N3811">IF(OR(ISNUMBER(FIND(Aux!$D$3:$D$9,_xlfn.TEXTJOIN(,,C3811:K3811)))),NA(),IF(AND(SUM(C3811:F3811,H3811:K3811)=0,G3811=1),0,INT((SUMPRODUCT(C3811:F3811,COLUMN($A$1:$D$1)-1)+SUMPRODUCT(H3811:K3811,COLUMN($E$1:$H$1)-1))*'Line Follower'!$C$3/SUM(C3811:F3811,H3811:K3811)-'Line Follower'!$C$5)))</f>
        <v>#N/A</v>
      </c>
      <c r="O3811" s="22" t="e">
        <v>#N/A</v>
      </c>
      <c r="P3811" s="4" t="e">
        <f t="shared" si="295"/>
        <v>#N/A</v>
      </c>
      <c r="Q3811" s="4" t="e">
        <f t="shared" si="296"/>
        <v>#N/A</v>
      </c>
      <c r="R3811" s="4" t="e">
        <f>IF(AND(B3811=1,N3811&gt;'Line Follower'!$C$7,SUM(C3811:K3811)&lt;4),1,0)</f>
        <v>#N/A</v>
      </c>
      <c r="S3811" s="4" t="e">
        <f>IF(AND(L3811=1,N3811&lt;'Line Follower'!$C$6,SUM(C3811:K3811)&lt;4),1,0)</f>
        <v>#N/A</v>
      </c>
      <c r="T3811" s="4" t="e">
        <f t="shared" si="297"/>
        <v>#N/A</v>
      </c>
      <c r="U3811" s="5" t="e">
        <f t="shared" si="298"/>
        <v>#N/A</v>
      </c>
      <c r="V3811" s="23" t="e">
        <f t="shared" si="299"/>
        <v>#N/A</v>
      </c>
    </row>
    <row r="3812" spans="2:22" x14ac:dyDescent="0.25">
      <c r="B3812" s="16">
        <v>1</v>
      </c>
      <c r="C3812" s="7">
        <v>0</v>
      </c>
      <c r="D3812" s="8">
        <v>0</v>
      </c>
      <c r="E3812" s="8">
        <v>0</v>
      </c>
      <c r="F3812" s="8">
        <v>0</v>
      </c>
      <c r="G3812" s="8">
        <v>1</v>
      </c>
      <c r="H3812" s="8">
        <v>1</v>
      </c>
      <c r="I3812" s="8">
        <v>1</v>
      </c>
      <c r="J3812" s="8">
        <v>0</v>
      </c>
      <c r="K3812" s="9">
        <v>1</v>
      </c>
      <c r="L3812" s="10">
        <v>1</v>
      </c>
      <c r="M3812" s="6">
        <v>1</v>
      </c>
      <c r="N3812" s="37" t="e" cm="1">
        <f t="array" ref="N3812">IF(OR(ISNUMBER(FIND(Aux!$D$3:$D$9,_xlfn.TEXTJOIN(,,C3812:K3812)))),NA(),IF(AND(SUM(C3812:F3812,H3812:K3812)=0,G3812=1),0,INT((SUMPRODUCT(C3812:F3812,COLUMN($A$1:$D$1)-1)+SUMPRODUCT(H3812:K3812,COLUMN($E$1:$H$1)-1))*'Line Follower'!$C$3/SUM(C3812:F3812,H3812:K3812)-'Line Follower'!$C$5)))</f>
        <v>#N/A</v>
      </c>
      <c r="O3812" s="22" t="e">
        <v>#N/A</v>
      </c>
      <c r="P3812" s="4" t="e">
        <f t="shared" si="295"/>
        <v>#N/A</v>
      </c>
      <c r="Q3812" s="4" t="e">
        <f t="shared" si="296"/>
        <v>#N/A</v>
      </c>
      <c r="R3812" s="4" t="e">
        <f>IF(AND(B3812=1,N3812&gt;'Line Follower'!$C$7,SUM(C3812:K3812)&lt;4),1,0)</f>
        <v>#N/A</v>
      </c>
      <c r="S3812" s="4" t="e">
        <f>IF(AND(L3812=1,N3812&lt;'Line Follower'!$C$6,SUM(C3812:K3812)&lt;4),1,0)</f>
        <v>#N/A</v>
      </c>
      <c r="T3812" s="4" t="e">
        <f t="shared" si="297"/>
        <v>#N/A</v>
      </c>
      <c r="U3812" s="5" t="e">
        <f t="shared" si="298"/>
        <v>#N/A</v>
      </c>
      <c r="V3812" s="23" t="e">
        <f t="shared" si="299"/>
        <v>#N/A</v>
      </c>
    </row>
    <row r="3813" spans="2:22" x14ac:dyDescent="0.25">
      <c r="B3813" s="16">
        <v>0</v>
      </c>
      <c r="C3813" s="7">
        <v>1</v>
      </c>
      <c r="D3813" s="8">
        <v>0</v>
      </c>
      <c r="E3813" s="8">
        <v>0</v>
      </c>
      <c r="F3813" s="8">
        <v>0</v>
      </c>
      <c r="G3813" s="8">
        <v>1</v>
      </c>
      <c r="H3813" s="8">
        <v>1</v>
      </c>
      <c r="I3813" s="8">
        <v>1</v>
      </c>
      <c r="J3813" s="8">
        <v>0</v>
      </c>
      <c r="K3813" s="9">
        <v>1</v>
      </c>
      <c r="L3813" s="10">
        <v>1</v>
      </c>
      <c r="M3813" s="6">
        <v>1</v>
      </c>
      <c r="N3813" s="37" t="e" cm="1">
        <f t="array" ref="N3813">IF(OR(ISNUMBER(FIND(Aux!$D$3:$D$9,_xlfn.TEXTJOIN(,,C3813:K3813)))),NA(),IF(AND(SUM(C3813:F3813,H3813:K3813)=0,G3813=1),0,INT((SUMPRODUCT(C3813:F3813,COLUMN($A$1:$D$1)-1)+SUMPRODUCT(H3813:K3813,COLUMN($E$1:$H$1)-1))*'Line Follower'!$C$3/SUM(C3813:F3813,H3813:K3813)-'Line Follower'!$C$5)))</f>
        <v>#N/A</v>
      </c>
      <c r="O3813" s="22" t="e">
        <v>#N/A</v>
      </c>
      <c r="P3813" s="4" t="e">
        <f t="shared" si="295"/>
        <v>#N/A</v>
      </c>
      <c r="Q3813" s="4" t="e">
        <f t="shared" si="296"/>
        <v>#N/A</v>
      </c>
      <c r="R3813" s="4" t="e">
        <f>IF(AND(B3813=1,N3813&gt;'Line Follower'!$C$7,SUM(C3813:K3813)&lt;4),1,0)</f>
        <v>#N/A</v>
      </c>
      <c r="S3813" s="4" t="e">
        <f>IF(AND(L3813=1,N3813&lt;'Line Follower'!$C$6,SUM(C3813:K3813)&lt;4),1,0)</f>
        <v>#N/A</v>
      </c>
      <c r="T3813" s="4" t="e">
        <f t="shared" si="297"/>
        <v>#N/A</v>
      </c>
      <c r="U3813" s="5" t="e">
        <f t="shared" si="298"/>
        <v>#N/A</v>
      </c>
      <c r="V3813" s="23" t="e">
        <f t="shared" si="299"/>
        <v>#N/A</v>
      </c>
    </row>
    <row r="3814" spans="2:22" x14ac:dyDescent="0.25">
      <c r="B3814" s="16">
        <v>1</v>
      </c>
      <c r="C3814" s="7">
        <v>1</v>
      </c>
      <c r="D3814" s="8">
        <v>0</v>
      </c>
      <c r="E3814" s="8">
        <v>0</v>
      </c>
      <c r="F3814" s="8">
        <v>0</v>
      </c>
      <c r="G3814" s="8">
        <v>1</v>
      </c>
      <c r="H3814" s="8">
        <v>1</v>
      </c>
      <c r="I3814" s="8">
        <v>1</v>
      </c>
      <c r="J3814" s="8">
        <v>0</v>
      </c>
      <c r="K3814" s="9">
        <v>1</v>
      </c>
      <c r="L3814" s="10">
        <v>1</v>
      </c>
      <c r="M3814" s="6">
        <v>1</v>
      </c>
      <c r="N3814" s="37" t="e" cm="1">
        <f t="array" ref="N3814">IF(OR(ISNUMBER(FIND(Aux!$D$3:$D$9,_xlfn.TEXTJOIN(,,C3814:K3814)))),NA(),IF(AND(SUM(C3814:F3814,H3814:K3814)=0,G3814=1),0,INT((SUMPRODUCT(C3814:F3814,COLUMN($A$1:$D$1)-1)+SUMPRODUCT(H3814:K3814,COLUMN($E$1:$H$1)-1))*'Line Follower'!$C$3/SUM(C3814:F3814,H3814:K3814)-'Line Follower'!$C$5)))</f>
        <v>#N/A</v>
      </c>
      <c r="O3814" s="22" t="e">
        <v>#N/A</v>
      </c>
      <c r="P3814" s="4" t="e">
        <f t="shared" si="295"/>
        <v>#N/A</v>
      </c>
      <c r="Q3814" s="4" t="e">
        <f t="shared" si="296"/>
        <v>#N/A</v>
      </c>
      <c r="R3814" s="4" t="e">
        <f>IF(AND(B3814=1,N3814&gt;'Line Follower'!$C$7,SUM(C3814:K3814)&lt;4),1,0)</f>
        <v>#N/A</v>
      </c>
      <c r="S3814" s="4" t="e">
        <f>IF(AND(L3814=1,N3814&lt;'Line Follower'!$C$6,SUM(C3814:K3814)&lt;4),1,0)</f>
        <v>#N/A</v>
      </c>
      <c r="T3814" s="4" t="e">
        <f t="shared" si="297"/>
        <v>#N/A</v>
      </c>
      <c r="U3814" s="5" t="e">
        <f t="shared" si="298"/>
        <v>#N/A</v>
      </c>
      <c r="V3814" s="23" t="e">
        <f t="shared" si="299"/>
        <v>#N/A</v>
      </c>
    </row>
    <row r="3815" spans="2:22" x14ac:dyDescent="0.25">
      <c r="B3815" s="16">
        <v>0</v>
      </c>
      <c r="C3815" s="7">
        <v>0</v>
      </c>
      <c r="D3815" s="8">
        <v>1</v>
      </c>
      <c r="E3815" s="8">
        <v>0</v>
      </c>
      <c r="F3815" s="8">
        <v>0</v>
      </c>
      <c r="G3815" s="8">
        <v>1</v>
      </c>
      <c r="H3815" s="8">
        <v>1</v>
      </c>
      <c r="I3815" s="8">
        <v>1</v>
      </c>
      <c r="J3815" s="8">
        <v>0</v>
      </c>
      <c r="K3815" s="9">
        <v>1</v>
      </c>
      <c r="L3815" s="10">
        <v>1</v>
      </c>
      <c r="M3815" s="6">
        <v>1</v>
      </c>
      <c r="N3815" s="37" t="e" cm="1">
        <f t="array" ref="N3815">IF(OR(ISNUMBER(FIND(Aux!$D$3:$D$9,_xlfn.TEXTJOIN(,,C3815:K3815)))),NA(),IF(AND(SUM(C3815:F3815,H3815:K3815)=0,G3815=1),0,INT((SUMPRODUCT(C3815:F3815,COLUMN($A$1:$D$1)-1)+SUMPRODUCT(H3815:K3815,COLUMN($E$1:$H$1)-1))*'Line Follower'!$C$3/SUM(C3815:F3815,H3815:K3815)-'Line Follower'!$C$5)))</f>
        <v>#N/A</v>
      </c>
      <c r="O3815" s="22" t="e">
        <v>#N/A</v>
      </c>
      <c r="P3815" s="4" t="e">
        <f t="shared" si="295"/>
        <v>#N/A</v>
      </c>
      <c r="Q3815" s="4" t="e">
        <f t="shared" si="296"/>
        <v>#N/A</v>
      </c>
      <c r="R3815" s="4" t="e">
        <f>IF(AND(B3815=1,N3815&gt;'Line Follower'!$C$7,SUM(C3815:K3815)&lt;4),1,0)</f>
        <v>#N/A</v>
      </c>
      <c r="S3815" s="4" t="e">
        <f>IF(AND(L3815=1,N3815&lt;'Line Follower'!$C$6,SUM(C3815:K3815)&lt;4),1,0)</f>
        <v>#N/A</v>
      </c>
      <c r="T3815" s="4" t="e">
        <f t="shared" si="297"/>
        <v>#N/A</v>
      </c>
      <c r="U3815" s="5" t="e">
        <f t="shared" si="298"/>
        <v>#N/A</v>
      </c>
      <c r="V3815" s="23" t="e">
        <f t="shared" si="299"/>
        <v>#N/A</v>
      </c>
    </row>
    <row r="3816" spans="2:22" x14ac:dyDescent="0.25">
      <c r="B3816" s="16">
        <v>1</v>
      </c>
      <c r="C3816" s="7">
        <v>0</v>
      </c>
      <c r="D3816" s="8">
        <v>1</v>
      </c>
      <c r="E3816" s="8">
        <v>0</v>
      </c>
      <c r="F3816" s="8">
        <v>0</v>
      </c>
      <c r="G3816" s="8">
        <v>1</v>
      </c>
      <c r="H3816" s="8">
        <v>1</v>
      </c>
      <c r="I3816" s="8">
        <v>1</v>
      </c>
      <c r="J3816" s="8">
        <v>0</v>
      </c>
      <c r="K3816" s="9">
        <v>1</v>
      </c>
      <c r="L3816" s="10">
        <v>1</v>
      </c>
      <c r="M3816" s="6">
        <v>1</v>
      </c>
      <c r="N3816" s="37" t="e" cm="1">
        <f t="array" ref="N3816">IF(OR(ISNUMBER(FIND(Aux!$D$3:$D$9,_xlfn.TEXTJOIN(,,C3816:K3816)))),NA(),IF(AND(SUM(C3816:F3816,H3816:K3816)=0,G3816=1),0,INT((SUMPRODUCT(C3816:F3816,COLUMN($A$1:$D$1)-1)+SUMPRODUCT(H3816:K3816,COLUMN($E$1:$H$1)-1))*'Line Follower'!$C$3/SUM(C3816:F3816,H3816:K3816)-'Line Follower'!$C$5)))</f>
        <v>#N/A</v>
      </c>
      <c r="O3816" s="22" t="e">
        <v>#N/A</v>
      </c>
      <c r="P3816" s="4" t="e">
        <f t="shared" si="295"/>
        <v>#N/A</v>
      </c>
      <c r="Q3816" s="4" t="e">
        <f t="shared" si="296"/>
        <v>#N/A</v>
      </c>
      <c r="R3816" s="4" t="e">
        <f>IF(AND(B3816=1,N3816&gt;'Line Follower'!$C$7,SUM(C3816:K3816)&lt;4),1,0)</f>
        <v>#N/A</v>
      </c>
      <c r="S3816" s="4" t="e">
        <f>IF(AND(L3816=1,N3816&lt;'Line Follower'!$C$6,SUM(C3816:K3816)&lt;4),1,0)</f>
        <v>#N/A</v>
      </c>
      <c r="T3816" s="4" t="e">
        <f t="shared" si="297"/>
        <v>#N/A</v>
      </c>
      <c r="U3816" s="5" t="e">
        <f t="shared" si="298"/>
        <v>#N/A</v>
      </c>
      <c r="V3816" s="23" t="e">
        <f t="shared" si="299"/>
        <v>#N/A</v>
      </c>
    </row>
    <row r="3817" spans="2:22" x14ac:dyDescent="0.25">
      <c r="B3817" s="16">
        <v>0</v>
      </c>
      <c r="C3817" s="7">
        <v>1</v>
      </c>
      <c r="D3817" s="8">
        <v>1</v>
      </c>
      <c r="E3817" s="8">
        <v>0</v>
      </c>
      <c r="F3817" s="8">
        <v>0</v>
      </c>
      <c r="G3817" s="8">
        <v>1</v>
      </c>
      <c r="H3817" s="8">
        <v>1</v>
      </c>
      <c r="I3817" s="8">
        <v>1</v>
      </c>
      <c r="J3817" s="8">
        <v>0</v>
      </c>
      <c r="K3817" s="9">
        <v>1</v>
      </c>
      <c r="L3817" s="10">
        <v>1</v>
      </c>
      <c r="M3817" s="6">
        <v>1</v>
      </c>
      <c r="N3817" s="37" t="e" cm="1">
        <f t="array" ref="N3817">IF(OR(ISNUMBER(FIND(Aux!$D$3:$D$9,_xlfn.TEXTJOIN(,,C3817:K3817)))),NA(),IF(AND(SUM(C3817:F3817,H3817:K3817)=0,G3817=1),0,INT((SUMPRODUCT(C3817:F3817,COLUMN($A$1:$D$1)-1)+SUMPRODUCT(H3817:K3817,COLUMN($E$1:$H$1)-1))*'Line Follower'!$C$3/SUM(C3817:F3817,H3817:K3817)-'Line Follower'!$C$5)))</f>
        <v>#N/A</v>
      </c>
      <c r="O3817" s="22" t="e">
        <v>#N/A</v>
      </c>
      <c r="P3817" s="4" t="e">
        <f t="shared" si="295"/>
        <v>#N/A</v>
      </c>
      <c r="Q3817" s="4" t="e">
        <f t="shared" si="296"/>
        <v>#N/A</v>
      </c>
      <c r="R3817" s="4" t="e">
        <f>IF(AND(B3817=1,N3817&gt;'Line Follower'!$C$7,SUM(C3817:K3817)&lt;4),1,0)</f>
        <v>#N/A</v>
      </c>
      <c r="S3817" s="4" t="e">
        <f>IF(AND(L3817=1,N3817&lt;'Line Follower'!$C$6,SUM(C3817:K3817)&lt;4),1,0)</f>
        <v>#N/A</v>
      </c>
      <c r="T3817" s="4" t="e">
        <f t="shared" si="297"/>
        <v>#N/A</v>
      </c>
      <c r="U3817" s="5" t="e">
        <f t="shared" si="298"/>
        <v>#N/A</v>
      </c>
      <c r="V3817" s="23" t="e">
        <f t="shared" si="299"/>
        <v>#N/A</v>
      </c>
    </row>
    <row r="3818" spans="2:22" x14ac:dyDescent="0.25">
      <c r="B3818" s="16">
        <v>1</v>
      </c>
      <c r="C3818" s="7">
        <v>1</v>
      </c>
      <c r="D3818" s="8">
        <v>1</v>
      </c>
      <c r="E3818" s="8">
        <v>0</v>
      </c>
      <c r="F3818" s="8">
        <v>0</v>
      </c>
      <c r="G3818" s="8">
        <v>1</v>
      </c>
      <c r="H3818" s="8">
        <v>1</v>
      </c>
      <c r="I3818" s="8">
        <v>1</v>
      </c>
      <c r="J3818" s="8">
        <v>0</v>
      </c>
      <c r="K3818" s="9">
        <v>1</v>
      </c>
      <c r="L3818" s="10">
        <v>1</v>
      </c>
      <c r="M3818" s="6">
        <v>1</v>
      </c>
      <c r="N3818" s="37" t="e" cm="1">
        <f t="array" ref="N3818">IF(OR(ISNUMBER(FIND(Aux!$D$3:$D$9,_xlfn.TEXTJOIN(,,C3818:K3818)))),NA(),IF(AND(SUM(C3818:F3818,H3818:K3818)=0,G3818=1),0,INT((SUMPRODUCT(C3818:F3818,COLUMN($A$1:$D$1)-1)+SUMPRODUCT(H3818:K3818,COLUMN($E$1:$H$1)-1))*'Line Follower'!$C$3/SUM(C3818:F3818,H3818:K3818)-'Line Follower'!$C$5)))</f>
        <v>#N/A</v>
      </c>
      <c r="O3818" s="22" t="e">
        <v>#N/A</v>
      </c>
      <c r="P3818" s="4" t="e">
        <f t="shared" si="295"/>
        <v>#N/A</v>
      </c>
      <c r="Q3818" s="4" t="e">
        <f t="shared" si="296"/>
        <v>#N/A</v>
      </c>
      <c r="R3818" s="4" t="e">
        <f>IF(AND(B3818=1,N3818&gt;'Line Follower'!$C$7,SUM(C3818:K3818)&lt;4),1,0)</f>
        <v>#N/A</v>
      </c>
      <c r="S3818" s="4" t="e">
        <f>IF(AND(L3818=1,N3818&lt;'Line Follower'!$C$6,SUM(C3818:K3818)&lt;4),1,0)</f>
        <v>#N/A</v>
      </c>
      <c r="T3818" s="4" t="e">
        <f t="shared" si="297"/>
        <v>#N/A</v>
      </c>
      <c r="U3818" s="5" t="e">
        <f t="shared" si="298"/>
        <v>#N/A</v>
      </c>
      <c r="V3818" s="23" t="e">
        <f t="shared" si="299"/>
        <v>#N/A</v>
      </c>
    </row>
    <row r="3819" spans="2:22" x14ac:dyDescent="0.25">
      <c r="B3819" s="16">
        <v>0</v>
      </c>
      <c r="C3819" s="7">
        <v>0</v>
      </c>
      <c r="D3819" s="8">
        <v>0</v>
      </c>
      <c r="E3819" s="8">
        <v>1</v>
      </c>
      <c r="F3819" s="8">
        <v>0</v>
      </c>
      <c r="G3819" s="8">
        <v>1</v>
      </c>
      <c r="H3819" s="8">
        <v>1</v>
      </c>
      <c r="I3819" s="8">
        <v>1</v>
      </c>
      <c r="J3819" s="8">
        <v>0</v>
      </c>
      <c r="K3819" s="9">
        <v>1</v>
      </c>
      <c r="L3819" s="10">
        <v>1</v>
      </c>
      <c r="M3819" s="6">
        <v>1</v>
      </c>
      <c r="N3819" s="37" t="e" cm="1">
        <f t="array" ref="N3819">IF(OR(ISNUMBER(FIND(Aux!$D$3:$D$9,_xlfn.TEXTJOIN(,,C3819:K3819)))),NA(),IF(AND(SUM(C3819:F3819,H3819:K3819)=0,G3819=1),0,INT((SUMPRODUCT(C3819:F3819,COLUMN($A$1:$D$1)-1)+SUMPRODUCT(H3819:K3819,COLUMN($E$1:$H$1)-1))*'Line Follower'!$C$3/SUM(C3819:F3819,H3819:K3819)-'Line Follower'!$C$5)))</f>
        <v>#N/A</v>
      </c>
      <c r="O3819" s="22" t="e">
        <v>#N/A</v>
      </c>
      <c r="P3819" s="4" t="e">
        <f t="shared" si="295"/>
        <v>#N/A</v>
      </c>
      <c r="Q3819" s="4" t="e">
        <f t="shared" si="296"/>
        <v>#N/A</v>
      </c>
      <c r="R3819" s="4" t="e">
        <f>IF(AND(B3819=1,N3819&gt;'Line Follower'!$C$7,SUM(C3819:K3819)&lt;4),1,0)</f>
        <v>#N/A</v>
      </c>
      <c r="S3819" s="4" t="e">
        <f>IF(AND(L3819=1,N3819&lt;'Line Follower'!$C$6,SUM(C3819:K3819)&lt;4),1,0)</f>
        <v>#N/A</v>
      </c>
      <c r="T3819" s="4" t="e">
        <f t="shared" si="297"/>
        <v>#N/A</v>
      </c>
      <c r="U3819" s="5" t="e">
        <f t="shared" si="298"/>
        <v>#N/A</v>
      </c>
      <c r="V3819" s="23" t="e">
        <f t="shared" si="299"/>
        <v>#N/A</v>
      </c>
    </row>
    <row r="3820" spans="2:22" x14ac:dyDescent="0.25">
      <c r="B3820" s="16">
        <v>1</v>
      </c>
      <c r="C3820" s="7">
        <v>0</v>
      </c>
      <c r="D3820" s="8">
        <v>0</v>
      </c>
      <c r="E3820" s="8">
        <v>1</v>
      </c>
      <c r="F3820" s="8">
        <v>0</v>
      </c>
      <c r="G3820" s="8">
        <v>1</v>
      </c>
      <c r="H3820" s="8">
        <v>1</v>
      </c>
      <c r="I3820" s="8">
        <v>1</v>
      </c>
      <c r="J3820" s="8">
        <v>0</v>
      </c>
      <c r="K3820" s="9">
        <v>1</v>
      </c>
      <c r="L3820" s="10">
        <v>1</v>
      </c>
      <c r="M3820" s="6">
        <v>1</v>
      </c>
      <c r="N3820" s="37" t="e" cm="1">
        <f t="array" ref="N3820">IF(OR(ISNUMBER(FIND(Aux!$D$3:$D$9,_xlfn.TEXTJOIN(,,C3820:K3820)))),NA(),IF(AND(SUM(C3820:F3820,H3820:K3820)=0,G3820=1),0,INT((SUMPRODUCT(C3820:F3820,COLUMN($A$1:$D$1)-1)+SUMPRODUCT(H3820:K3820,COLUMN($E$1:$H$1)-1))*'Line Follower'!$C$3/SUM(C3820:F3820,H3820:K3820)-'Line Follower'!$C$5)))</f>
        <v>#N/A</v>
      </c>
      <c r="O3820" s="22" t="e">
        <v>#N/A</v>
      </c>
      <c r="P3820" s="4" t="e">
        <f t="shared" si="295"/>
        <v>#N/A</v>
      </c>
      <c r="Q3820" s="4" t="e">
        <f t="shared" si="296"/>
        <v>#N/A</v>
      </c>
      <c r="R3820" s="4" t="e">
        <f>IF(AND(B3820=1,N3820&gt;'Line Follower'!$C$7,SUM(C3820:K3820)&lt;4),1,0)</f>
        <v>#N/A</v>
      </c>
      <c r="S3820" s="4" t="e">
        <f>IF(AND(L3820=1,N3820&lt;'Line Follower'!$C$6,SUM(C3820:K3820)&lt;4),1,0)</f>
        <v>#N/A</v>
      </c>
      <c r="T3820" s="4" t="e">
        <f t="shared" si="297"/>
        <v>#N/A</v>
      </c>
      <c r="U3820" s="5" t="e">
        <f t="shared" si="298"/>
        <v>#N/A</v>
      </c>
      <c r="V3820" s="23" t="e">
        <f t="shared" si="299"/>
        <v>#N/A</v>
      </c>
    </row>
    <row r="3821" spans="2:22" x14ac:dyDescent="0.25">
      <c r="B3821" s="16">
        <v>0</v>
      </c>
      <c r="C3821" s="7">
        <v>1</v>
      </c>
      <c r="D3821" s="8">
        <v>0</v>
      </c>
      <c r="E3821" s="8">
        <v>1</v>
      </c>
      <c r="F3821" s="8">
        <v>0</v>
      </c>
      <c r="G3821" s="8">
        <v>1</v>
      </c>
      <c r="H3821" s="8">
        <v>1</v>
      </c>
      <c r="I3821" s="8">
        <v>1</v>
      </c>
      <c r="J3821" s="8">
        <v>0</v>
      </c>
      <c r="K3821" s="9">
        <v>1</v>
      </c>
      <c r="L3821" s="10">
        <v>1</v>
      </c>
      <c r="M3821" s="6">
        <v>1</v>
      </c>
      <c r="N3821" s="37" t="e" cm="1">
        <f t="array" ref="N3821">IF(OR(ISNUMBER(FIND(Aux!$D$3:$D$9,_xlfn.TEXTJOIN(,,C3821:K3821)))),NA(),IF(AND(SUM(C3821:F3821,H3821:K3821)=0,G3821=1),0,INT((SUMPRODUCT(C3821:F3821,COLUMN($A$1:$D$1)-1)+SUMPRODUCT(H3821:K3821,COLUMN($E$1:$H$1)-1))*'Line Follower'!$C$3/SUM(C3821:F3821,H3821:K3821)-'Line Follower'!$C$5)))</f>
        <v>#N/A</v>
      </c>
      <c r="O3821" s="22" t="e">
        <v>#N/A</v>
      </c>
      <c r="P3821" s="4" t="e">
        <f t="shared" si="295"/>
        <v>#N/A</v>
      </c>
      <c r="Q3821" s="4" t="e">
        <f t="shared" si="296"/>
        <v>#N/A</v>
      </c>
      <c r="R3821" s="4" t="e">
        <f>IF(AND(B3821=1,N3821&gt;'Line Follower'!$C$7,SUM(C3821:K3821)&lt;4),1,0)</f>
        <v>#N/A</v>
      </c>
      <c r="S3821" s="4" t="e">
        <f>IF(AND(L3821=1,N3821&lt;'Line Follower'!$C$6,SUM(C3821:K3821)&lt;4),1,0)</f>
        <v>#N/A</v>
      </c>
      <c r="T3821" s="4" t="e">
        <f t="shared" si="297"/>
        <v>#N/A</v>
      </c>
      <c r="U3821" s="5" t="e">
        <f t="shared" si="298"/>
        <v>#N/A</v>
      </c>
      <c r="V3821" s="23" t="e">
        <f t="shared" si="299"/>
        <v>#N/A</v>
      </c>
    </row>
    <row r="3822" spans="2:22" x14ac:dyDescent="0.25">
      <c r="B3822" s="16">
        <v>1</v>
      </c>
      <c r="C3822" s="7">
        <v>1</v>
      </c>
      <c r="D3822" s="8">
        <v>0</v>
      </c>
      <c r="E3822" s="8">
        <v>1</v>
      </c>
      <c r="F3822" s="8">
        <v>0</v>
      </c>
      <c r="G3822" s="8">
        <v>1</v>
      </c>
      <c r="H3822" s="8">
        <v>1</v>
      </c>
      <c r="I3822" s="8">
        <v>1</v>
      </c>
      <c r="J3822" s="8">
        <v>0</v>
      </c>
      <c r="K3822" s="9">
        <v>1</v>
      </c>
      <c r="L3822" s="10">
        <v>1</v>
      </c>
      <c r="M3822" s="6">
        <v>1</v>
      </c>
      <c r="N3822" s="37" t="e" cm="1">
        <f t="array" ref="N3822">IF(OR(ISNUMBER(FIND(Aux!$D$3:$D$9,_xlfn.TEXTJOIN(,,C3822:K3822)))),NA(),IF(AND(SUM(C3822:F3822,H3822:K3822)=0,G3822=1),0,INT((SUMPRODUCT(C3822:F3822,COLUMN($A$1:$D$1)-1)+SUMPRODUCT(H3822:K3822,COLUMN($E$1:$H$1)-1))*'Line Follower'!$C$3/SUM(C3822:F3822,H3822:K3822)-'Line Follower'!$C$5)))</f>
        <v>#N/A</v>
      </c>
      <c r="O3822" s="22" t="e">
        <v>#N/A</v>
      </c>
      <c r="P3822" s="4" t="e">
        <f t="shared" si="295"/>
        <v>#N/A</v>
      </c>
      <c r="Q3822" s="4" t="e">
        <f t="shared" si="296"/>
        <v>#N/A</v>
      </c>
      <c r="R3822" s="4" t="e">
        <f>IF(AND(B3822=1,N3822&gt;'Line Follower'!$C$7,SUM(C3822:K3822)&lt;4),1,0)</f>
        <v>#N/A</v>
      </c>
      <c r="S3822" s="4" t="e">
        <f>IF(AND(L3822=1,N3822&lt;'Line Follower'!$C$6,SUM(C3822:K3822)&lt;4),1,0)</f>
        <v>#N/A</v>
      </c>
      <c r="T3822" s="4" t="e">
        <f t="shared" si="297"/>
        <v>#N/A</v>
      </c>
      <c r="U3822" s="5" t="e">
        <f t="shared" si="298"/>
        <v>#N/A</v>
      </c>
      <c r="V3822" s="23" t="e">
        <f t="shared" si="299"/>
        <v>#N/A</v>
      </c>
    </row>
    <row r="3823" spans="2:22" x14ac:dyDescent="0.25">
      <c r="B3823" s="16">
        <v>0</v>
      </c>
      <c r="C3823" s="7">
        <v>0</v>
      </c>
      <c r="D3823" s="8">
        <v>1</v>
      </c>
      <c r="E3823" s="8">
        <v>1</v>
      </c>
      <c r="F3823" s="8">
        <v>0</v>
      </c>
      <c r="G3823" s="8">
        <v>1</v>
      </c>
      <c r="H3823" s="8">
        <v>1</v>
      </c>
      <c r="I3823" s="8">
        <v>1</v>
      </c>
      <c r="J3823" s="8">
        <v>0</v>
      </c>
      <c r="K3823" s="9">
        <v>1</v>
      </c>
      <c r="L3823" s="10">
        <v>1</v>
      </c>
      <c r="M3823" s="6">
        <v>1</v>
      </c>
      <c r="N3823" s="37" t="e" cm="1">
        <f t="array" ref="N3823">IF(OR(ISNUMBER(FIND(Aux!$D$3:$D$9,_xlfn.TEXTJOIN(,,C3823:K3823)))),NA(),IF(AND(SUM(C3823:F3823,H3823:K3823)=0,G3823=1),0,INT((SUMPRODUCT(C3823:F3823,COLUMN($A$1:$D$1)-1)+SUMPRODUCT(H3823:K3823,COLUMN($E$1:$H$1)-1))*'Line Follower'!$C$3/SUM(C3823:F3823,H3823:K3823)-'Line Follower'!$C$5)))</f>
        <v>#N/A</v>
      </c>
      <c r="O3823" s="22" t="e">
        <v>#N/A</v>
      </c>
      <c r="P3823" s="4" t="e">
        <f t="shared" si="295"/>
        <v>#N/A</v>
      </c>
      <c r="Q3823" s="4" t="e">
        <f t="shared" si="296"/>
        <v>#N/A</v>
      </c>
      <c r="R3823" s="4" t="e">
        <f>IF(AND(B3823=1,N3823&gt;'Line Follower'!$C$7,SUM(C3823:K3823)&lt;4),1,0)</f>
        <v>#N/A</v>
      </c>
      <c r="S3823" s="4" t="e">
        <f>IF(AND(L3823=1,N3823&lt;'Line Follower'!$C$6,SUM(C3823:K3823)&lt;4),1,0)</f>
        <v>#N/A</v>
      </c>
      <c r="T3823" s="4" t="e">
        <f t="shared" si="297"/>
        <v>#N/A</v>
      </c>
      <c r="U3823" s="5" t="e">
        <f t="shared" si="298"/>
        <v>#N/A</v>
      </c>
      <c r="V3823" s="23" t="e">
        <f t="shared" si="299"/>
        <v>#N/A</v>
      </c>
    </row>
    <row r="3824" spans="2:22" x14ac:dyDescent="0.25">
      <c r="B3824" s="16">
        <v>1</v>
      </c>
      <c r="C3824" s="7">
        <v>0</v>
      </c>
      <c r="D3824" s="8">
        <v>1</v>
      </c>
      <c r="E3824" s="8">
        <v>1</v>
      </c>
      <c r="F3824" s="8">
        <v>0</v>
      </c>
      <c r="G3824" s="8">
        <v>1</v>
      </c>
      <c r="H3824" s="8">
        <v>1</v>
      </c>
      <c r="I3824" s="8">
        <v>1</v>
      </c>
      <c r="J3824" s="8">
        <v>0</v>
      </c>
      <c r="K3824" s="9">
        <v>1</v>
      </c>
      <c r="L3824" s="10">
        <v>1</v>
      </c>
      <c r="M3824" s="6">
        <v>1</v>
      </c>
      <c r="N3824" s="37" t="e" cm="1">
        <f t="array" ref="N3824">IF(OR(ISNUMBER(FIND(Aux!$D$3:$D$9,_xlfn.TEXTJOIN(,,C3824:K3824)))),NA(),IF(AND(SUM(C3824:F3824,H3824:K3824)=0,G3824=1),0,INT((SUMPRODUCT(C3824:F3824,COLUMN($A$1:$D$1)-1)+SUMPRODUCT(H3824:K3824,COLUMN($E$1:$H$1)-1))*'Line Follower'!$C$3/SUM(C3824:F3824,H3824:K3824)-'Line Follower'!$C$5)))</f>
        <v>#N/A</v>
      </c>
      <c r="O3824" s="22" t="e">
        <v>#N/A</v>
      </c>
      <c r="P3824" s="4" t="e">
        <f t="shared" si="295"/>
        <v>#N/A</v>
      </c>
      <c r="Q3824" s="4" t="e">
        <f t="shared" si="296"/>
        <v>#N/A</v>
      </c>
      <c r="R3824" s="4" t="e">
        <f>IF(AND(B3824=1,N3824&gt;'Line Follower'!$C$7,SUM(C3824:K3824)&lt;4),1,0)</f>
        <v>#N/A</v>
      </c>
      <c r="S3824" s="4" t="e">
        <f>IF(AND(L3824=1,N3824&lt;'Line Follower'!$C$6,SUM(C3824:K3824)&lt;4),1,0)</f>
        <v>#N/A</v>
      </c>
      <c r="T3824" s="4" t="e">
        <f t="shared" si="297"/>
        <v>#N/A</v>
      </c>
      <c r="U3824" s="5" t="e">
        <f t="shared" si="298"/>
        <v>#N/A</v>
      </c>
      <c r="V3824" s="23" t="e">
        <f t="shared" si="299"/>
        <v>#N/A</v>
      </c>
    </row>
    <row r="3825" spans="2:22" x14ac:dyDescent="0.25">
      <c r="B3825" s="16">
        <v>0</v>
      </c>
      <c r="C3825" s="7">
        <v>1</v>
      </c>
      <c r="D3825" s="8">
        <v>1</v>
      </c>
      <c r="E3825" s="8">
        <v>1</v>
      </c>
      <c r="F3825" s="8">
        <v>0</v>
      </c>
      <c r="G3825" s="8">
        <v>1</v>
      </c>
      <c r="H3825" s="8">
        <v>1</v>
      </c>
      <c r="I3825" s="8">
        <v>1</v>
      </c>
      <c r="J3825" s="8">
        <v>0</v>
      </c>
      <c r="K3825" s="9">
        <v>1</v>
      </c>
      <c r="L3825" s="10">
        <v>1</v>
      </c>
      <c r="M3825" s="6">
        <v>1</v>
      </c>
      <c r="N3825" s="37" t="e" cm="1">
        <f t="array" ref="N3825">IF(OR(ISNUMBER(FIND(Aux!$D$3:$D$9,_xlfn.TEXTJOIN(,,C3825:K3825)))),NA(),IF(AND(SUM(C3825:F3825,H3825:K3825)=0,G3825=1),0,INT((SUMPRODUCT(C3825:F3825,COLUMN($A$1:$D$1)-1)+SUMPRODUCT(H3825:K3825,COLUMN($E$1:$H$1)-1))*'Line Follower'!$C$3/SUM(C3825:F3825,H3825:K3825)-'Line Follower'!$C$5)))</f>
        <v>#N/A</v>
      </c>
      <c r="O3825" s="22" t="e">
        <v>#N/A</v>
      </c>
      <c r="P3825" s="4" t="e">
        <f t="shared" si="295"/>
        <v>#N/A</v>
      </c>
      <c r="Q3825" s="4" t="e">
        <f t="shared" si="296"/>
        <v>#N/A</v>
      </c>
      <c r="R3825" s="4" t="e">
        <f>IF(AND(B3825=1,N3825&gt;'Line Follower'!$C$7,SUM(C3825:K3825)&lt;4),1,0)</f>
        <v>#N/A</v>
      </c>
      <c r="S3825" s="4" t="e">
        <f>IF(AND(L3825=1,N3825&lt;'Line Follower'!$C$6,SUM(C3825:K3825)&lt;4),1,0)</f>
        <v>#N/A</v>
      </c>
      <c r="T3825" s="4" t="e">
        <f t="shared" si="297"/>
        <v>#N/A</v>
      </c>
      <c r="U3825" s="5" t="e">
        <f t="shared" si="298"/>
        <v>#N/A</v>
      </c>
      <c r="V3825" s="23" t="e">
        <f t="shared" si="299"/>
        <v>#N/A</v>
      </c>
    </row>
    <row r="3826" spans="2:22" x14ac:dyDescent="0.25">
      <c r="B3826" s="16">
        <v>1</v>
      </c>
      <c r="C3826" s="7">
        <v>1</v>
      </c>
      <c r="D3826" s="8">
        <v>1</v>
      </c>
      <c r="E3826" s="8">
        <v>1</v>
      </c>
      <c r="F3826" s="8">
        <v>0</v>
      </c>
      <c r="G3826" s="8">
        <v>1</v>
      </c>
      <c r="H3826" s="8">
        <v>1</v>
      </c>
      <c r="I3826" s="8">
        <v>1</v>
      </c>
      <c r="J3826" s="8">
        <v>0</v>
      </c>
      <c r="K3826" s="9">
        <v>1</v>
      </c>
      <c r="L3826" s="10">
        <v>1</v>
      </c>
      <c r="M3826" s="6">
        <v>1</v>
      </c>
      <c r="N3826" s="37" t="e" cm="1">
        <f t="array" ref="N3826">IF(OR(ISNUMBER(FIND(Aux!$D$3:$D$9,_xlfn.TEXTJOIN(,,C3826:K3826)))),NA(),IF(AND(SUM(C3826:F3826,H3826:K3826)=0,G3826=1),0,INT((SUMPRODUCT(C3826:F3826,COLUMN($A$1:$D$1)-1)+SUMPRODUCT(H3826:K3826,COLUMN($E$1:$H$1)-1))*'Line Follower'!$C$3/SUM(C3826:F3826,H3826:K3826)-'Line Follower'!$C$5)))</f>
        <v>#N/A</v>
      </c>
      <c r="O3826" s="22" t="e">
        <v>#N/A</v>
      </c>
      <c r="P3826" s="4" t="e">
        <f t="shared" si="295"/>
        <v>#N/A</v>
      </c>
      <c r="Q3826" s="4" t="e">
        <f t="shared" si="296"/>
        <v>#N/A</v>
      </c>
      <c r="R3826" s="4" t="e">
        <f>IF(AND(B3826=1,N3826&gt;'Line Follower'!$C$7,SUM(C3826:K3826)&lt;4),1,0)</f>
        <v>#N/A</v>
      </c>
      <c r="S3826" s="4" t="e">
        <f>IF(AND(L3826=1,N3826&lt;'Line Follower'!$C$6,SUM(C3826:K3826)&lt;4),1,0)</f>
        <v>#N/A</v>
      </c>
      <c r="T3826" s="4" t="e">
        <f t="shared" si="297"/>
        <v>#N/A</v>
      </c>
      <c r="U3826" s="5" t="e">
        <f t="shared" si="298"/>
        <v>#N/A</v>
      </c>
      <c r="V3826" s="23" t="e">
        <f t="shared" si="299"/>
        <v>#N/A</v>
      </c>
    </row>
    <row r="3827" spans="2:22" x14ac:dyDescent="0.25">
      <c r="B3827" s="16">
        <v>0</v>
      </c>
      <c r="C3827" s="7">
        <v>0</v>
      </c>
      <c r="D3827" s="8">
        <v>0</v>
      </c>
      <c r="E3827" s="8">
        <v>0</v>
      </c>
      <c r="F3827" s="8">
        <v>1</v>
      </c>
      <c r="G3827" s="8">
        <v>1</v>
      </c>
      <c r="H3827" s="8">
        <v>1</v>
      </c>
      <c r="I3827" s="8">
        <v>1</v>
      </c>
      <c r="J3827" s="8">
        <v>0</v>
      </c>
      <c r="K3827" s="9">
        <v>1</v>
      </c>
      <c r="L3827" s="10">
        <v>1</v>
      </c>
      <c r="M3827" s="6">
        <v>1</v>
      </c>
      <c r="N3827" s="37" t="e" cm="1">
        <f t="array" ref="N3827">IF(OR(ISNUMBER(FIND(Aux!$D$3:$D$9,_xlfn.TEXTJOIN(,,C3827:K3827)))),NA(),IF(AND(SUM(C3827:F3827,H3827:K3827)=0,G3827=1),0,INT((SUMPRODUCT(C3827:F3827,COLUMN($A$1:$D$1)-1)+SUMPRODUCT(H3827:K3827,COLUMN($E$1:$H$1)-1))*'Line Follower'!$C$3/SUM(C3827:F3827,H3827:K3827)-'Line Follower'!$C$5)))</f>
        <v>#N/A</v>
      </c>
      <c r="O3827" s="22" t="e">
        <v>#N/A</v>
      </c>
      <c r="P3827" s="4" t="e">
        <f t="shared" si="295"/>
        <v>#N/A</v>
      </c>
      <c r="Q3827" s="4" t="e">
        <f t="shared" si="296"/>
        <v>#N/A</v>
      </c>
      <c r="R3827" s="4" t="e">
        <f>IF(AND(B3827=1,N3827&gt;'Line Follower'!$C$7,SUM(C3827:K3827)&lt;4),1,0)</f>
        <v>#N/A</v>
      </c>
      <c r="S3827" s="4" t="e">
        <f>IF(AND(L3827=1,N3827&lt;'Line Follower'!$C$6,SUM(C3827:K3827)&lt;4),1,0)</f>
        <v>#N/A</v>
      </c>
      <c r="T3827" s="4" t="e">
        <f t="shared" si="297"/>
        <v>#N/A</v>
      </c>
      <c r="U3827" s="5" t="e">
        <f t="shared" si="298"/>
        <v>#N/A</v>
      </c>
      <c r="V3827" s="23" t="e">
        <f t="shared" si="299"/>
        <v>#N/A</v>
      </c>
    </row>
    <row r="3828" spans="2:22" x14ac:dyDescent="0.25">
      <c r="B3828" s="16">
        <v>1</v>
      </c>
      <c r="C3828" s="7">
        <v>0</v>
      </c>
      <c r="D3828" s="8">
        <v>0</v>
      </c>
      <c r="E3828" s="8">
        <v>0</v>
      </c>
      <c r="F3828" s="8">
        <v>1</v>
      </c>
      <c r="G3828" s="8">
        <v>1</v>
      </c>
      <c r="H3828" s="8">
        <v>1</v>
      </c>
      <c r="I3828" s="8">
        <v>1</v>
      </c>
      <c r="J3828" s="8">
        <v>0</v>
      </c>
      <c r="K3828" s="9">
        <v>1</v>
      </c>
      <c r="L3828" s="10">
        <v>1</v>
      </c>
      <c r="M3828" s="6">
        <v>1</v>
      </c>
      <c r="N3828" s="37" t="e" cm="1">
        <f t="array" ref="N3828">IF(OR(ISNUMBER(FIND(Aux!$D$3:$D$9,_xlfn.TEXTJOIN(,,C3828:K3828)))),NA(),IF(AND(SUM(C3828:F3828,H3828:K3828)=0,G3828=1),0,INT((SUMPRODUCT(C3828:F3828,COLUMN($A$1:$D$1)-1)+SUMPRODUCT(H3828:K3828,COLUMN($E$1:$H$1)-1))*'Line Follower'!$C$3/SUM(C3828:F3828,H3828:K3828)-'Line Follower'!$C$5)))</f>
        <v>#N/A</v>
      </c>
      <c r="O3828" s="22" t="e">
        <v>#N/A</v>
      </c>
      <c r="P3828" s="4" t="e">
        <f t="shared" si="295"/>
        <v>#N/A</v>
      </c>
      <c r="Q3828" s="4" t="e">
        <f t="shared" si="296"/>
        <v>#N/A</v>
      </c>
      <c r="R3828" s="4" t="e">
        <f>IF(AND(B3828=1,N3828&gt;'Line Follower'!$C$7,SUM(C3828:K3828)&lt;4),1,0)</f>
        <v>#N/A</v>
      </c>
      <c r="S3828" s="4" t="e">
        <f>IF(AND(L3828=1,N3828&lt;'Line Follower'!$C$6,SUM(C3828:K3828)&lt;4),1,0)</f>
        <v>#N/A</v>
      </c>
      <c r="T3828" s="4" t="e">
        <f t="shared" si="297"/>
        <v>#N/A</v>
      </c>
      <c r="U3828" s="5" t="e">
        <f t="shared" si="298"/>
        <v>#N/A</v>
      </c>
      <c r="V3828" s="23" t="e">
        <f t="shared" si="299"/>
        <v>#N/A</v>
      </c>
    </row>
    <row r="3829" spans="2:22" x14ac:dyDescent="0.25">
      <c r="B3829" s="16">
        <v>0</v>
      </c>
      <c r="C3829" s="7">
        <v>1</v>
      </c>
      <c r="D3829" s="8">
        <v>0</v>
      </c>
      <c r="E3829" s="8">
        <v>0</v>
      </c>
      <c r="F3829" s="8">
        <v>1</v>
      </c>
      <c r="G3829" s="8">
        <v>1</v>
      </c>
      <c r="H3829" s="8">
        <v>1</v>
      </c>
      <c r="I3829" s="8">
        <v>1</v>
      </c>
      <c r="J3829" s="8">
        <v>0</v>
      </c>
      <c r="K3829" s="9">
        <v>1</v>
      </c>
      <c r="L3829" s="10">
        <v>1</v>
      </c>
      <c r="M3829" s="6">
        <v>1</v>
      </c>
      <c r="N3829" s="37" t="e" cm="1">
        <f t="array" ref="N3829">IF(OR(ISNUMBER(FIND(Aux!$D$3:$D$9,_xlfn.TEXTJOIN(,,C3829:K3829)))),NA(),IF(AND(SUM(C3829:F3829,H3829:K3829)=0,G3829=1),0,INT((SUMPRODUCT(C3829:F3829,COLUMN($A$1:$D$1)-1)+SUMPRODUCT(H3829:K3829,COLUMN($E$1:$H$1)-1))*'Line Follower'!$C$3/SUM(C3829:F3829,H3829:K3829)-'Line Follower'!$C$5)))</f>
        <v>#N/A</v>
      </c>
      <c r="O3829" s="22" t="e">
        <v>#N/A</v>
      </c>
      <c r="P3829" s="4" t="e">
        <f t="shared" si="295"/>
        <v>#N/A</v>
      </c>
      <c r="Q3829" s="4" t="e">
        <f t="shared" si="296"/>
        <v>#N/A</v>
      </c>
      <c r="R3829" s="4" t="e">
        <f>IF(AND(B3829=1,N3829&gt;'Line Follower'!$C$7,SUM(C3829:K3829)&lt;4),1,0)</f>
        <v>#N/A</v>
      </c>
      <c r="S3829" s="4" t="e">
        <f>IF(AND(L3829=1,N3829&lt;'Line Follower'!$C$6,SUM(C3829:K3829)&lt;4),1,0)</f>
        <v>#N/A</v>
      </c>
      <c r="T3829" s="4" t="e">
        <f t="shared" si="297"/>
        <v>#N/A</v>
      </c>
      <c r="U3829" s="5" t="e">
        <f t="shared" si="298"/>
        <v>#N/A</v>
      </c>
      <c r="V3829" s="23" t="e">
        <f t="shared" si="299"/>
        <v>#N/A</v>
      </c>
    </row>
    <row r="3830" spans="2:22" x14ac:dyDescent="0.25">
      <c r="B3830" s="16">
        <v>1</v>
      </c>
      <c r="C3830" s="7">
        <v>1</v>
      </c>
      <c r="D3830" s="8">
        <v>0</v>
      </c>
      <c r="E3830" s="8">
        <v>0</v>
      </c>
      <c r="F3830" s="8">
        <v>1</v>
      </c>
      <c r="G3830" s="8">
        <v>1</v>
      </c>
      <c r="H3830" s="8">
        <v>1</v>
      </c>
      <c r="I3830" s="8">
        <v>1</v>
      </c>
      <c r="J3830" s="8">
        <v>0</v>
      </c>
      <c r="K3830" s="9">
        <v>1</v>
      </c>
      <c r="L3830" s="10">
        <v>1</v>
      </c>
      <c r="M3830" s="6">
        <v>1</v>
      </c>
      <c r="N3830" s="37" t="e" cm="1">
        <f t="array" ref="N3830">IF(OR(ISNUMBER(FIND(Aux!$D$3:$D$9,_xlfn.TEXTJOIN(,,C3830:K3830)))),NA(),IF(AND(SUM(C3830:F3830,H3830:K3830)=0,G3830=1),0,INT((SUMPRODUCT(C3830:F3830,COLUMN($A$1:$D$1)-1)+SUMPRODUCT(H3830:K3830,COLUMN($E$1:$H$1)-1))*'Line Follower'!$C$3/SUM(C3830:F3830,H3830:K3830)-'Line Follower'!$C$5)))</f>
        <v>#N/A</v>
      </c>
      <c r="O3830" s="22" t="e">
        <v>#N/A</v>
      </c>
      <c r="P3830" s="4" t="e">
        <f t="shared" si="295"/>
        <v>#N/A</v>
      </c>
      <c r="Q3830" s="4" t="e">
        <f t="shared" si="296"/>
        <v>#N/A</v>
      </c>
      <c r="R3830" s="4" t="e">
        <f>IF(AND(B3830=1,N3830&gt;'Line Follower'!$C$7,SUM(C3830:K3830)&lt;4),1,0)</f>
        <v>#N/A</v>
      </c>
      <c r="S3830" s="4" t="e">
        <f>IF(AND(L3830=1,N3830&lt;'Line Follower'!$C$6,SUM(C3830:K3830)&lt;4),1,0)</f>
        <v>#N/A</v>
      </c>
      <c r="T3830" s="4" t="e">
        <f t="shared" si="297"/>
        <v>#N/A</v>
      </c>
      <c r="U3830" s="5" t="e">
        <f t="shared" si="298"/>
        <v>#N/A</v>
      </c>
      <c r="V3830" s="23" t="e">
        <f t="shared" si="299"/>
        <v>#N/A</v>
      </c>
    </row>
    <row r="3831" spans="2:22" x14ac:dyDescent="0.25">
      <c r="B3831" s="16">
        <v>0</v>
      </c>
      <c r="C3831" s="7">
        <v>0</v>
      </c>
      <c r="D3831" s="8">
        <v>1</v>
      </c>
      <c r="E3831" s="8">
        <v>0</v>
      </c>
      <c r="F3831" s="8">
        <v>1</v>
      </c>
      <c r="G3831" s="8">
        <v>1</v>
      </c>
      <c r="H3831" s="8">
        <v>1</v>
      </c>
      <c r="I3831" s="8">
        <v>1</v>
      </c>
      <c r="J3831" s="8">
        <v>0</v>
      </c>
      <c r="K3831" s="9">
        <v>1</v>
      </c>
      <c r="L3831" s="10">
        <v>1</v>
      </c>
      <c r="M3831" s="6">
        <v>1</v>
      </c>
      <c r="N3831" s="37" t="e" cm="1">
        <f t="array" ref="N3831">IF(OR(ISNUMBER(FIND(Aux!$D$3:$D$9,_xlfn.TEXTJOIN(,,C3831:K3831)))),NA(),IF(AND(SUM(C3831:F3831,H3831:K3831)=0,G3831=1),0,INT((SUMPRODUCT(C3831:F3831,COLUMN($A$1:$D$1)-1)+SUMPRODUCT(H3831:K3831,COLUMN($E$1:$H$1)-1))*'Line Follower'!$C$3/SUM(C3831:F3831,H3831:K3831)-'Line Follower'!$C$5)))</f>
        <v>#N/A</v>
      </c>
      <c r="O3831" s="22" t="e">
        <v>#N/A</v>
      </c>
      <c r="P3831" s="4" t="e">
        <f t="shared" si="295"/>
        <v>#N/A</v>
      </c>
      <c r="Q3831" s="4" t="e">
        <f t="shared" si="296"/>
        <v>#N/A</v>
      </c>
      <c r="R3831" s="4" t="e">
        <f>IF(AND(B3831=1,N3831&gt;'Line Follower'!$C$7,SUM(C3831:K3831)&lt;4),1,0)</f>
        <v>#N/A</v>
      </c>
      <c r="S3831" s="4" t="e">
        <f>IF(AND(L3831=1,N3831&lt;'Line Follower'!$C$6,SUM(C3831:K3831)&lt;4),1,0)</f>
        <v>#N/A</v>
      </c>
      <c r="T3831" s="4" t="e">
        <f t="shared" si="297"/>
        <v>#N/A</v>
      </c>
      <c r="U3831" s="5" t="e">
        <f t="shared" si="298"/>
        <v>#N/A</v>
      </c>
      <c r="V3831" s="23" t="e">
        <f t="shared" si="299"/>
        <v>#N/A</v>
      </c>
    </row>
    <row r="3832" spans="2:22" x14ac:dyDescent="0.25">
      <c r="B3832" s="16">
        <v>1</v>
      </c>
      <c r="C3832" s="7">
        <v>0</v>
      </c>
      <c r="D3832" s="8">
        <v>1</v>
      </c>
      <c r="E3832" s="8">
        <v>0</v>
      </c>
      <c r="F3832" s="8">
        <v>1</v>
      </c>
      <c r="G3832" s="8">
        <v>1</v>
      </c>
      <c r="H3832" s="8">
        <v>1</v>
      </c>
      <c r="I3832" s="8">
        <v>1</v>
      </c>
      <c r="J3832" s="8">
        <v>0</v>
      </c>
      <c r="K3832" s="9">
        <v>1</v>
      </c>
      <c r="L3832" s="10">
        <v>1</v>
      </c>
      <c r="M3832" s="6">
        <v>1</v>
      </c>
      <c r="N3832" s="37" t="e" cm="1">
        <f t="array" ref="N3832">IF(OR(ISNUMBER(FIND(Aux!$D$3:$D$9,_xlfn.TEXTJOIN(,,C3832:K3832)))),NA(),IF(AND(SUM(C3832:F3832,H3832:K3832)=0,G3832=1),0,INT((SUMPRODUCT(C3832:F3832,COLUMN($A$1:$D$1)-1)+SUMPRODUCT(H3832:K3832,COLUMN($E$1:$H$1)-1))*'Line Follower'!$C$3/SUM(C3832:F3832,H3832:K3832)-'Line Follower'!$C$5)))</f>
        <v>#N/A</v>
      </c>
      <c r="O3832" s="22" t="e">
        <v>#N/A</v>
      </c>
      <c r="P3832" s="4" t="e">
        <f t="shared" si="295"/>
        <v>#N/A</v>
      </c>
      <c r="Q3832" s="4" t="e">
        <f t="shared" si="296"/>
        <v>#N/A</v>
      </c>
      <c r="R3832" s="4" t="e">
        <f>IF(AND(B3832=1,N3832&gt;'Line Follower'!$C$7,SUM(C3832:K3832)&lt;4),1,0)</f>
        <v>#N/A</v>
      </c>
      <c r="S3832" s="4" t="e">
        <f>IF(AND(L3832=1,N3832&lt;'Line Follower'!$C$6,SUM(C3832:K3832)&lt;4),1,0)</f>
        <v>#N/A</v>
      </c>
      <c r="T3832" s="4" t="e">
        <f t="shared" si="297"/>
        <v>#N/A</v>
      </c>
      <c r="U3832" s="5" t="e">
        <f t="shared" si="298"/>
        <v>#N/A</v>
      </c>
      <c r="V3832" s="23" t="e">
        <f t="shared" si="299"/>
        <v>#N/A</v>
      </c>
    </row>
    <row r="3833" spans="2:22" x14ac:dyDescent="0.25">
      <c r="B3833" s="16">
        <v>0</v>
      </c>
      <c r="C3833" s="7">
        <v>1</v>
      </c>
      <c r="D3833" s="8">
        <v>1</v>
      </c>
      <c r="E3833" s="8">
        <v>0</v>
      </c>
      <c r="F3833" s="8">
        <v>1</v>
      </c>
      <c r="G3833" s="8">
        <v>1</v>
      </c>
      <c r="H3833" s="8">
        <v>1</v>
      </c>
      <c r="I3833" s="8">
        <v>1</v>
      </c>
      <c r="J3833" s="8">
        <v>0</v>
      </c>
      <c r="K3833" s="9">
        <v>1</v>
      </c>
      <c r="L3833" s="10">
        <v>1</v>
      </c>
      <c r="M3833" s="6">
        <v>1</v>
      </c>
      <c r="N3833" s="37" t="e" cm="1">
        <f t="array" ref="N3833">IF(OR(ISNUMBER(FIND(Aux!$D$3:$D$9,_xlfn.TEXTJOIN(,,C3833:K3833)))),NA(),IF(AND(SUM(C3833:F3833,H3833:K3833)=0,G3833=1),0,INT((SUMPRODUCT(C3833:F3833,COLUMN($A$1:$D$1)-1)+SUMPRODUCT(H3833:K3833,COLUMN($E$1:$H$1)-1))*'Line Follower'!$C$3/SUM(C3833:F3833,H3833:K3833)-'Line Follower'!$C$5)))</f>
        <v>#N/A</v>
      </c>
      <c r="O3833" s="22" t="e">
        <v>#N/A</v>
      </c>
      <c r="P3833" s="4" t="e">
        <f t="shared" si="295"/>
        <v>#N/A</v>
      </c>
      <c r="Q3833" s="4" t="e">
        <f t="shared" si="296"/>
        <v>#N/A</v>
      </c>
      <c r="R3833" s="4" t="e">
        <f>IF(AND(B3833=1,N3833&gt;'Line Follower'!$C$7,SUM(C3833:K3833)&lt;4),1,0)</f>
        <v>#N/A</v>
      </c>
      <c r="S3833" s="4" t="e">
        <f>IF(AND(L3833=1,N3833&lt;'Line Follower'!$C$6,SUM(C3833:K3833)&lt;4),1,0)</f>
        <v>#N/A</v>
      </c>
      <c r="T3833" s="4" t="e">
        <f t="shared" si="297"/>
        <v>#N/A</v>
      </c>
      <c r="U3833" s="5" t="e">
        <f t="shared" si="298"/>
        <v>#N/A</v>
      </c>
      <c r="V3833" s="23" t="e">
        <f t="shared" si="299"/>
        <v>#N/A</v>
      </c>
    </row>
    <row r="3834" spans="2:22" x14ac:dyDescent="0.25">
      <c r="B3834" s="16">
        <v>1</v>
      </c>
      <c r="C3834" s="7">
        <v>1</v>
      </c>
      <c r="D3834" s="8">
        <v>1</v>
      </c>
      <c r="E3834" s="8">
        <v>0</v>
      </c>
      <c r="F3834" s="8">
        <v>1</v>
      </c>
      <c r="G3834" s="8">
        <v>1</v>
      </c>
      <c r="H3834" s="8">
        <v>1</v>
      </c>
      <c r="I3834" s="8">
        <v>1</v>
      </c>
      <c r="J3834" s="8">
        <v>0</v>
      </c>
      <c r="K3834" s="9">
        <v>1</v>
      </c>
      <c r="L3834" s="10">
        <v>1</v>
      </c>
      <c r="M3834" s="6">
        <v>1</v>
      </c>
      <c r="N3834" s="37" t="e" cm="1">
        <f t="array" ref="N3834">IF(OR(ISNUMBER(FIND(Aux!$D$3:$D$9,_xlfn.TEXTJOIN(,,C3834:K3834)))),NA(),IF(AND(SUM(C3834:F3834,H3834:K3834)=0,G3834=1),0,INT((SUMPRODUCT(C3834:F3834,COLUMN($A$1:$D$1)-1)+SUMPRODUCT(H3834:K3834,COLUMN($E$1:$H$1)-1))*'Line Follower'!$C$3/SUM(C3834:F3834,H3834:K3834)-'Line Follower'!$C$5)))</f>
        <v>#N/A</v>
      </c>
      <c r="O3834" s="22" t="e">
        <v>#N/A</v>
      </c>
      <c r="P3834" s="4" t="e">
        <f t="shared" si="295"/>
        <v>#N/A</v>
      </c>
      <c r="Q3834" s="4" t="e">
        <f t="shared" si="296"/>
        <v>#N/A</v>
      </c>
      <c r="R3834" s="4" t="e">
        <f>IF(AND(B3834=1,N3834&gt;'Line Follower'!$C$7,SUM(C3834:K3834)&lt;4),1,0)</f>
        <v>#N/A</v>
      </c>
      <c r="S3834" s="4" t="e">
        <f>IF(AND(L3834=1,N3834&lt;'Line Follower'!$C$6,SUM(C3834:K3834)&lt;4),1,0)</f>
        <v>#N/A</v>
      </c>
      <c r="T3834" s="4" t="e">
        <f t="shared" si="297"/>
        <v>#N/A</v>
      </c>
      <c r="U3834" s="5" t="e">
        <f t="shared" si="298"/>
        <v>#N/A</v>
      </c>
      <c r="V3834" s="23" t="e">
        <f t="shared" si="299"/>
        <v>#N/A</v>
      </c>
    </row>
    <row r="3835" spans="2:22" x14ac:dyDescent="0.25">
      <c r="B3835" s="16">
        <v>0</v>
      </c>
      <c r="C3835" s="7">
        <v>0</v>
      </c>
      <c r="D3835" s="8">
        <v>0</v>
      </c>
      <c r="E3835" s="8">
        <v>1</v>
      </c>
      <c r="F3835" s="8">
        <v>1</v>
      </c>
      <c r="G3835" s="8">
        <v>1</v>
      </c>
      <c r="H3835" s="8">
        <v>1</v>
      </c>
      <c r="I3835" s="8">
        <v>1</v>
      </c>
      <c r="J3835" s="8">
        <v>0</v>
      </c>
      <c r="K3835" s="9">
        <v>1</v>
      </c>
      <c r="L3835" s="10">
        <v>1</v>
      </c>
      <c r="M3835" s="6">
        <v>1</v>
      </c>
      <c r="N3835" s="37" t="e" cm="1">
        <f t="array" ref="N3835">IF(OR(ISNUMBER(FIND(Aux!$D$3:$D$9,_xlfn.TEXTJOIN(,,C3835:K3835)))),NA(),IF(AND(SUM(C3835:F3835,H3835:K3835)=0,G3835=1),0,INT((SUMPRODUCT(C3835:F3835,COLUMN($A$1:$D$1)-1)+SUMPRODUCT(H3835:K3835,COLUMN($E$1:$H$1)-1))*'Line Follower'!$C$3/SUM(C3835:F3835,H3835:K3835)-'Line Follower'!$C$5)))</f>
        <v>#N/A</v>
      </c>
      <c r="O3835" s="22" t="e">
        <v>#N/A</v>
      </c>
      <c r="P3835" s="4" t="e">
        <f t="shared" si="295"/>
        <v>#N/A</v>
      </c>
      <c r="Q3835" s="4" t="e">
        <f t="shared" si="296"/>
        <v>#N/A</v>
      </c>
      <c r="R3835" s="4" t="e">
        <f>IF(AND(B3835=1,N3835&gt;'Line Follower'!$C$7,SUM(C3835:K3835)&lt;4),1,0)</f>
        <v>#N/A</v>
      </c>
      <c r="S3835" s="4" t="e">
        <f>IF(AND(L3835=1,N3835&lt;'Line Follower'!$C$6,SUM(C3835:K3835)&lt;4),1,0)</f>
        <v>#N/A</v>
      </c>
      <c r="T3835" s="4" t="e">
        <f t="shared" si="297"/>
        <v>#N/A</v>
      </c>
      <c r="U3835" s="5" t="e">
        <f t="shared" si="298"/>
        <v>#N/A</v>
      </c>
      <c r="V3835" s="23" t="e">
        <f t="shared" si="299"/>
        <v>#N/A</v>
      </c>
    </row>
    <row r="3836" spans="2:22" x14ac:dyDescent="0.25">
      <c r="B3836" s="16">
        <v>1</v>
      </c>
      <c r="C3836" s="7">
        <v>0</v>
      </c>
      <c r="D3836" s="8">
        <v>0</v>
      </c>
      <c r="E3836" s="8">
        <v>1</v>
      </c>
      <c r="F3836" s="8">
        <v>1</v>
      </c>
      <c r="G3836" s="8">
        <v>1</v>
      </c>
      <c r="H3836" s="8">
        <v>1</v>
      </c>
      <c r="I3836" s="8">
        <v>1</v>
      </c>
      <c r="J3836" s="8">
        <v>0</v>
      </c>
      <c r="K3836" s="9">
        <v>1</v>
      </c>
      <c r="L3836" s="10">
        <v>1</v>
      </c>
      <c r="M3836" s="6">
        <v>1</v>
      </c>
      <c r="N3836" s="37" t="e" cm="1">
        <f t="array" ref="N3836">IF(OR(ISNUMBER(FIND(Aux!$D$3:$D$9,_xlfn.TEXTJOIN(,,C3836:K3836)))),NA(),IF(AND(SUM(C3836:F3836,H3836:K3836)=0,G3836=1),0,INT((SUMPRODUCT(C3836:F3836,COLUMN($A$1:$D$1)-1)+SUMPRODUCT(H3836:K3836,COLUMN($E$1:$H$1)-1))*'Line Follower'!$C$3/SUM(C3836:F3836,H3836:K3836)-'Line Follower'!$C$5)))</f>
        <v>#N/A</v>
      </c>
      <c r="O3836" s="22" t="e">
        <v>#N/A</v>
      </c>
      <c r="P3836" s="4" t="e">
        <f t="shared" si="295"/>
        <v>#N/A</v>
      </c>
      <c r="Q3836" s="4" t="e">
        <f t="shared" si="296"/>
        <v>#N/A</v>
      </c>
      <c r="R3836" s="4" t="e">
        <f>IF(AND(B3836=1,N3836&gt;'Line Follower'!$C$7,SUM(C3836:K3836)&lt;4),1,0)</f>
        <v>#N/A</v>
      </c>
      <c r="S3836" s="4" t="e">
        <f>IF(AND(L3836=1,N3836&lt;'Line Follower'!$C$6,SUM(C3836:K3836)&lt;4),1,0)</f>
        <v>#N/A</v>
      </c>
      <c r="T3836" s="4" t="e">
        <f t="shared" si="297"/>
        <v>#N/A</v>
      </c>
      <c r="U3836" s="5" t="e">
        <f t="shared" si="298"/>
        <v>#N/A</v>
      </c>
      <c r="V3836" s="23" t="e">
        <f t="shared" si="299"/>
        <v>#N/A</v>
      </c>
    </row>
    <row r="3837" spans="2:22" x14ac:dyDescent="0.25">
      <c r="B3837" s="16">
        <v>0</v>
      </c>
      <c r="C3837" s="7">
        <v>1</v>
      </c>
      <c r="D3837" s="8">
        <v>0</v>
      </c>
      <c r="E3837" s="8">
        <v>1</v>
      </c>
      <c r="F3837" s="8">
        <v>1</v>
      </c>
      <c r="G3837" s="8">
        <v>1</v>
      </c>
      <c r="H3837" s="8">
        <v>1</v>
      </c>
      <c r="I3837" s="8">
        <v>1</v>
      </c>
      <c r="J3837" s="8">
        <v>0</v>
      </c>
      <c r="K3837" s="9">
        <v>1</v>
      </c>
      <c r="L3837" s="10">
        <v>1</v>
      </c>
      <c r="M3837" s="6">
        <v>1</v>
      </c>
      <c r="N3837" s="37" t="e" cm="1">
        <f t="array" ref="N3837">IF(OR(ISNUMBER(FIND(Aux!$D$3:$D$9,_xlfn.TEXTJOIN(,,C3837:K3837)))),NA(),IF(AND(SUM(C3837:F3837,H3837:K3837)=0,G3837=1),0,INT((SUMPRODUCT(C3837:F3837,COLUMN($A$1:$D$1)-1)+SUMPRODUCT(H3837:K3837,COLUMN($E$1:$H$1)-1))*'Line Follower'!$C$3/SUM(C3837:F3837,H3837:K3837)-'Line Follower'!$C$5)))</f>
        <v>#N/A</v>
      </c>
      <c r="O3837" s="22" t="e">
        <v>#N/A</v>
      </c>
      <c r="P3837" s="4" t="e">
        <f t="shared" si="295"/>
        <v>#N/A</v>
      </c>
      <c r="Q3837" s="4" t="e">
        <f t="shared" si="296"/>
        <v>#N/A</v>
      </c>
      <c r="R3837" s="4" t="e">
        <f>IF(AND(B3837=1,N3837&gt;'Line Follower'!$C$7,SUM(C3837:K3837)&lt;4),1,0)</f>
        <v>#N/A</v>
      </c>
      <c r="S3837" s="4" t="e">
        <f>IF(AND(L3837=1,N3837&lt;'Line Follower'!$C$6,SUM(C3837:K3837)&lt;4),1,0)</f>
        <v>#N/A</v>
      </c>
      <c r="T3837" s="4" t="e">
        <f t="shared" si="297"/>
        <v>#N/A</v>
      </c>
      <c r="U3837" s="5" t="e">
        <f t="shared" si="298"/>
        <v>#N/A</v>
      </c>
      <c r="V3837" s="23" t="e">
        <f t="shared" si="299"/>
        <v>#N/A</v>
      </c>
    </row>
    <row r="3838" spans="2:22" x14ac:dyDescent="0.25">
      <c r="B3838" s="16">
        <v>1</v>
      </c>
      <c r="C3838" s="7">
        <v>1</v>
      </c>
      <c r="D3838" s="8">
        <v>0</v>
      </c>
      <c r="E3838" s="8">
        <v>1</v>
      </c>
      <c r="F3838" s="8">
        <v>1</v>
      </c>
      <c r="G3838" s="8">
        <v>1</v>
      </c>
      <c r="H3838" s="8">
        <v>1</v>
      </c>
      <c r="I3838" s="8">
        <v>1</v>
      </c>
      <c r="J3838" s="8">
        <v>0</v>
      </c>
      <c r="K3838" s="9">
        <v>1</v>
      </c>
      <c r="L3838" s="10">
        <v>1</v>
      </c>
      <c r="M3838" s="6">
        <v>1</v>
      </c>
      <c r="N3838" s="37" t="e" cm="1">
        <f t="array" ref="N3838">IF(OR(ISNUMBER(FIND(Aux!$D$3:$D$9,_xlfn.TEXTJOIN(,,C3838:K3838)))),NA(),IF(AND(SUM(C3838:F3838,H3838:K3838)=0,G3838=1),0,INT((SUMPRODUCT(C3838:F3838,COLUMN($A$1:$D$1)-1)+SUMPRODUCT(H3838:K3838,COLUMN($E$1:$H$1)-1))*'Line Follower'!$C$3/SUM(C3838:F3838,H3838:K3838)-'Line Follower'!$C$5)))</f>
        <v>#N/A</v>
      </c>
      <c r="O3838" s="22" t="e">
        <v>#N/A</v>
      </c>
      <c r="P3838" s="4" t="e">
        <f t="shared" si="295"/>
        <v>#N/A</v>
      </c>
      <c r="Q3838" s="4" t="e">
        <f t="shared" si="296"/>
        <v>#N/A</v>
      </c>
      <c r="R3838" s="4" t="e">
        <f>IF(AND(B3838=1,N3838&gt;'Line Follower'!$C$7,SUM(C3838:K3838)&lt;4),1,0)</f>
        <v>#N/A</v>
      </c>
      <c r="S3838" s="4" t="e">
        <f>IF(AND(L3838=1,N3838&lt;'Line Follower'!$C$6,SUM(C3838:K3838)&lt;4),1,0)</f>
        <v>#N/A</v>
      </c>
      <c r="T3838" s="4" t="e">
        <f t="shared" si="297"/>
        <v>#N/A</v>
      </c>
      <c r="U3838" s="5" t="e">
        <f t="shared" si="298"/>
        <v>#N/A</v>
      </c>
      <c r="V3838" s="23" t="e">
        <f t="shared" si="299"/>
        <v>#N/A</v>
      </c>
    </row>
    <row r="3839" spans="2:22" x14ac:dyDescent="0.25">
      <c r="B3839" s="16">
        <v>0</v>
      </c>
      <c r="C3839" s="7">
        <v>0</v>
      </c>
      <c r="D3839" s="8">
        <v>1</v>
      </c>
      <c r="E3839" s="8">
        <v>1</v>
      </c>
      <c r="F3839" s="8">
        <v>1</v>
      </c>
      <c r="G3839" s="8">
        <v>1</v>
      </c>
      <c r="H3839" s="8">
        <v>1</v>
      </c>
      <c r="I3839" s="8">
        <v>1</v>
      </c>
      <c r="J3839" s="8">
        <v>0</v>
      </c>
      <c r="K3839" s="9">
        <v>1</v>
      </c>
      <c r="L3839" s="10">
        <v>1</v>
      </c>
      <c r="M3839" s="6">
        <v>1</v>
      </c>
      <c r="N3839" s="37" t="e" cm="1">
        <f t="array" ref="N3839">IF(OR(ISNUMBER(FIND(Aux!$D$3:$D$9,_xlfn.TEXTJOIN(,,C3839:K3839)))),NA(),IF(AND(SUM(C3839:F3839,H3839:K3839)=0,G3839=1),0,INT((SUMPRODUCT(C3839:F3839,COLUMN($A$1:$D$1)-1)+SUMPRODUCT(H3839:K3839,COLUMN($E$1:$H$1)-1))*'Line Follower'!$C$3/SUM(C3839:F3839,H3839:K3839)-'Line Follower'!$C$5)))</f>
        <v>#N/A</v>
      </c>
      <c r="O3839" s="22" t="e">
        <v>#N/A</v>
      </c>
      <c r="P3839" s="4" t="e">
        <f t="shared" si="295"/>
        <v>#N/A</v>
      </c>
      <c r="Q3839" s="4" t="e">
        <f t="shared" si="296"/>
        <v>#N/A</v>
      </c>
      <c r="R3839" s="4" t="e">
        <f>IF(AND(B3839=1,N3839&gt;'Line Follower'!$C$7,SUM(C3839:K3839)&lt;4),1,0)</f>
        <v>#N/A</v>
      </c>
      <c r="S3839" s="4" t="e">
        <f>IF(AND(L3839=1,N3839&lt;'Line Follower'!$C$6,SUM(C3839:K3839)&lt;4),1,0)</f>
        <v>#N/A</v>
      </c>
      <c r="T3839" s="4" t="e">
        <f t="shared" si="297"/>
        <v>#N/A</v>
      </c>
      <c r="U3839" s="5" t="e">
        <f t="shared" si="298"/>
        <v>#N/A</v>
      </c>
      <c r="V3839" s="23" t="e">
        <f t="shared" si="299"/>
        <v>#N/A</v>
      </c>
    </row>
    <row r="3840" spans="2:22" x14ac:dyDescent="0.25">
      <c r="B3840" s="16">
        <v>1</v>
      </c>
      <c r="C3840" s="7">
        <v>0</v>
      </c>
      <c r="D3840" s="8">
        <v>1</v>
      </c>
      <c r="E3840" s="8">
        <v>1</v>
      </c>
      <c r="F3840" s="8">
        <v>1</v>
      </c>
      <c r="G3840" s="8">
        <v>1</v>
      </c>
      <c r="H3840" s="8">
        <v>1</v>
      </c>
      <c r="I3840" s="8">
        <v>1</v>
      </c>
      <c r="J3840" s="8">
        <v>0</v>
      </c>
      <c r="K3840" s="9">
        <v>1</v>
      </c>
      <c r="L3840" s="10">
        <v>1</v>
      </c>
      <c r="M3840" s="6">
        <v>1</v>
      </c>
      <c r="N3840" s="37" t="e" cm="1">
        <f t="array" ref="N3840">IF(OR(ISNUMBER(FIND(Aux!$D$3:$D$9,_xlfn.TEXTJOIN(,,C3840:K3840)))),NA(),IF(AND(SUM(C3840:F3840,H3840:K3840)=0,G3840=1),0,INT((SUMPRODUCT(C3840:F3840,COLUMN($A$1:$D$1)-1)+SUMPRODUCT(H3840:K3840,COLUMN($E$1:$H$1)-1))*'Line Follower'!$C$3/SUM(C3840:F3840,H3840:K3840)-'Line Follower'!$C$5)))</f>
        <v>#N/A</v>
      </c>
      <c r="O3840" s="22" t="e">
        <v>#N/A</v>
      </c>
      <c r="P3840" s="4" t="e">
        <f t="shared" si="295"/>
        <v>#N/A</v>
      </c>
      <c r="Q3840" s="4" t="e">
        <f t="shared" si="296"/>
        <v>#N/A</v>
      </c>
      <c r="R3840" s="4" t="e">
        <f>IF(AND(B3840=1,N3840&gt;'Line Follower'!$C$7,SUM(C3840:K3840)&lt;4),1,0)</f>
        <v>#N/A</v>
      </c>
      <c r="S3840" s="4" t="e">
        <f>IF(AND(L3840=1,N3840&lt;'Line Follower'!$C$6,SUM(C3840:K3840)&lt;4),1,0)</f>
        <v>#N/A</v>
      </c>
      <c r="T3840" s="4" t="e">
        <f t="shared" si="297"/>
        <v>#N/A</v>
      </c>
      <c r="U3840" s="5" t="e">
        <f t="shared" si="298"/>
        <v>#N/A</v>
      </c>
      <c r="V3840" s="23" t="e">
        <f t="shared" si="299"/>
        <v>#N/A</v>
      </c>
    </row>
    <row r="3841" spans="2:22" x14ac:dyDescent="0.25">
      <c r="B3841" s="16">
        <v>0</v>
      </c>
      <c r="C3841" s="7">
        <v>1</v>
      </c>
      <c r="D3841" s="8">
        <v>1</v>
      </c>
      <c r="E3841" s="8">
        <v>1</v>
      </c>
      <c r="F3841" s="8">
        <v>1</v>
      </c>
      <c r="G3841" s="8">
        <v>1</v>
      </c>
      <c r="H3841" s="8">
        <v>1</v>
      </c>
      <c r="I3841" s="8">
        <v>1</v>
      </c>
      <c r="J3841" s="8">
        <v>0</v>
      </c>
      <c r="K3841" s="9">
        <v>1</v>
      </c>
      <c r="L3841" s="10">
        <v>1</v>
      </c>
      <c r="M3841" s="6">
        <v>1</v>
      </c>
      <c r="N3841" s="37" t="e" cm="1">
        <f t="array" ref="N3841">IF(OR(ISNUMBER(FIND(Aux!$D$3:$D$9,_xlfn.TEXTJOIN(,,C3841:K3841)))),NA(),IF(AND(SUM(C3841:F3841,H3841:K3841)=0,G3841=1),0,INT((SUMPRODUCT(C3841:F3841,COLUMN($A$1:$D$1)-1)+SUMPRODUCT(H3841:K3841,COLUMN($E$1:$H$1)-1))*'Line Follower'!$C$3/SUM(C3841:F3841,H3841:K3841)-'Line Follower'!$C$5)))</f>
        <v>#N/A</v>
      </c>
      <c r="O3841" s="22" t="e">
        <v>#N/A</v>
      </c>
      <c r="P3841" s="4" t="e">
        <f t="shared" si="295"/>
        <v>#N/A</v>
      </c>
      <c r="Q3841" s="4" t="e">
        <f t="shared" si="296"/>
        <v>#N/A</v>
      </c>
      <c r="R3841" s="4" t="e">
        <f>IF(AND(B3841=1,N3841&gt;'Line Follower'!$C$7,SUM(C3841:K3841)&lt;4),1,0)</f>
        <v>#N/A</v>
      </c>
      <c r="S3841" s="4" t="e">
        <f>IF(AND(L3841=1,N3841&lt;'Line Follower'!$C$6,SUM(C3841:K3841)&lt;4),1,0)</f>
        <v>#N/A</v>
      </c>
      <c r="T3841" s="4" t="e">
        <f t="shared" si="297"/>
        <v>#N/A</v>
      </c>
      <c r="U3841" s="5" t="e">
        <f t="shared" si="298"/>
        <v>#N/A</v>
      </c>
      <c r="V3841" s="23" t="e">
        <f t="shared" si="299"/>
        <v>#N/A</v>
      </c>
    </row>
    <row r="3842" spans="2:22" x14ac:dyDescent="0.25">
      <c r="B3842" s="16">
        <v>1</v>
      </c>
      <c r="C3842" s="7">
        <v>1</v>
      </c>
      <c r="D3842" s="8">
        <v>1</v>
      </c>
      <c r="E3842" s="8">
        <v>1</v>
      </c>
      <c r="F3842" s="8">
        <v>1</v>
      </c>
      <c r="G3842" s="8">
        <v>1</v>
      </c>
      <c r="H3842" s="8">
        <v>1</v>
      </c>
      <c r="I3842" s="8">
        <v>1</v>
      </c>
      <c r="J3842" s="8">
        <v>0</v>
      </c>
      <c r="K3842" s="9">
        <v>1</v>
      </c>
      <c r="L3842" s="10">
        <v>1</v>
      </c>
      <c r="M3842" s="6">
        <v>1</v>
      </c>
      <c r="N3842" s="37" t="e" cm="1">
        <f t="array" ref="N3842">IF(OR(ISNUMBER(FIND(Aux!$D$3:$D$9,_xlfn.TEXTJOIN(,,C3842:K3842)))),NA(),IF(AND(SUM(C3842:F3842,H3842:K3842)=0,G3842=1),0,INT((SUMPRODUCT(C3842:F3842,COLUMN($A$1:$D$1)-1)+SUMPRODUCT(H3842:K3842,COLUMN($E$1:$H$1)-1))*'Line Follower'!$C$3/SUM(C3842:F3842,H3842:K3842)-'Line Follower'!$C$5)))</f>
        <v>#N/A</v>
      </c>
      <c r="O3842" s="22" t="e">
        <v>#N/A</v>
      </c>
      <c r="P3842" s="4" t="e">
        <f t="shared" si="295"/>
        <v>#N/A</v>
      </c>
      <c r="Q3842" s="4" t="e">
        <f t="shared" si="296"/>
        <v>#N/A</v>
      </c>
      <c r="R3842" s="4" t="e">
        <f>IF(AND(B3842=1,N3842&gt;'Line Follower'!$C$7,SUM(C3842:K3842)&lt;4),1,0)</f>
        <v>#N/A</v>
      </c>
      <c r="S3842" s="4" t="e">
        <f>IF(AND(L3842=1,N3842&lt;'Line Follower'!$C$6,SUM(C3842:K3842)&lt;4),1,0)</f>
        <v>#N/A</v>
      </c>
      <c r="T3842" s="4" t="e">
        <f t="shared" si="297"/>
        <v>#N/A</v>
      </c>
      <c r="U3842" s="5" t="e">
        <f t="shared" si="298"/>
        <v>#N/A</v>
      </c>
      <c r="V3842" s="23" t="e">
        <f t="shared" si="299"/>
        <v>#N/A</v>
      </c>
    </row>
    <row r="3843" spans="2:22" x14ac:dyDescent="0.25">
      <c r="B3843" s="16">
        <v>0</v>
      </c>
      <c r="C3843" s="7">
        <v>0</v>
      </c>
      <c r="D3843" s="8">
        <v>0</v>
      </c>
      <c r="E3843" s="8">
        <v>0</v>
      </c>
      <c r="F3843" s="8">
        <v>0</v>
      </c>
      <c r="G3843" s="8">
        <v>0</v>
      </c>
      <c r="H3843" s="8">
        <v>0</v>
      </c>
      <c r="I3843" s="8">
        <v>0</v>
      </c>
      <c r="J3843" s="8">
        <v>1</v>
      </c>
      <c r="K3843" s="9">
        <v>1</v>
      </c>
      <c r="L3843" s="10">
        <v>1</v>
      </c>
      <c r="M3843" s="6">
        <v>1</v>
      </c>
      <c r="N3843" s="37" cm="1">
        <f t="array" ref="N3843">IF(OR(ISNUMBER(FIND(Aux!$D$3:$D$9,_xlfn.TEXTJOIN(,,C3843:K3843)))),NA(),IF(AND(SUM(C3843:F3843,H3843:K3843)=0,G3843=1),0,INT((SUMPRODUCT(C3843:F3843,COLUMN($A$1:$D$1)-1)+SUMPRODUCT(H3843:K3843,COLUMN($E$1:$H$1)-1))*'Line Follower'!$C$3/SUM(C3843:F3843,H3843:K3843)-'Line Follower'!$C$5)))</f>
        <v>6</v>
      </c>
      <c r="O3843" s="22">
        <v>1</v>
      </c>
      <c r="P3843" s="4">
        <f t="shared" ref="P3843:P3906" si="300">IF(AND(N3843=0,G3843=1,M3843=1),1,0)</f>
        <v>0</v>
      </c>
      <c r="Q3843" s="4">
        <f t="shared" ref="Q3843:Q3906" si="301">IF(ISERROR(N3843),N3843,IF(SUM(C3843:K3843)&gt;=4,1,0))</f>
        <v>0</v>
      </c>
      <c r="R3843" s="4">
        <f>IF(AND(B3843=1,N3843&gt;'Line Follower'!$C$7,SUM(C3843:K3843)&lt;4),1,0)</f>
        <v>0</v>
      </c>
      <c r="S3843" s="4">
        <f>IF(AND(L3843=1,N3843&lt;'Line Follower'!$C$6,SUM(C3843:K3843)&lt;4),1,0)</f>
        <v>1</v>
      </c>
      <c r="T3843" s="4">
        <f t="shared" si="297"/>
        <v>0</v>
      </c>
      <c r="U3843" s="5">
        <f t="shared" si="298"/>
        <v>0</v>
      </c>
      <c r="V3843" s="23">
        <f t="shared" si="299"/>
        <v>0</v>
      </c>
    </row>
    <row r="3844" spans="2:22" x14ac:dyDescent="0.25">
      <c r="B3844" s="16">
        <v>1</v>
      </c>
      <c r="C3844" s="7">
        <v>0</v>
      </c>
      <c r="D3844" s="8">
        <v>0</v>
      </c>
      <c r="E3844" s="8">
        <v>0</v>
      </c>
      <c r="F3844" s="8">
        <v>0</v>
      </c>
      <c r="G3844" s="8">
        <v>0</v>
      </c>
      <c r="H3844" s="8">
        <v>0</v>
      </c>
      <c r="I3844" s="8">
        <v>0</v>
      </c>
      <c r="J3844" s="8">
        <v>1</v>
      </c>
      <c r="K3844" s="9">
        <v>1</v>
      </c>
      <c r="L3844" s="10">
        <v>1</v>
      </c>
      <c r="M3844" s="6">
        <v>1</v>
      </c>
      <c r="N3844" s="37" cm="1">
        <f t="array" ref="N3844">IF(OR(ISNUMBER(FIND(Aux!$D$3:$D$9,_xlfn.TEXTJOIN(,,C3844:K3844)))),NA(),IF(AND(SUM(C3844:F3844,H3844:K3844)=0,G3844=1),0,INT((SUMPRODUCT(C3844:F3844,COLUMN($A$1:$D$1)-1)+SUMPRODUCT(H3844:K3844,COLUMN($E$1:$H$1)-1))*'Line Follower'!$C$3/SUM(C3844:F3844,H3844:K3844)-'Line Follower'!$C$5)))</f>
        <v>6</v>
      </c>
      <c r="O3844" s="22">
        <v>1</v>
      </c>
      <c r="P3844" s="4">
        <f t="shared" si="300"/>
        <v>0</v>
      </c>
      <c r="Q3844" s="4">
        <f t="shared" si="301"/>
        <v>0</v>
      </c>
      <c r="R3844" s="4">
        <f>IF(AND(B3844=1,N3844&gt;'Line Follower'!$C$7,SUM(C3844:K3844)&lt;4),1,0)</f>
        <v>1</v>
      </c>
      <c r="S3844" s="4">
        <f>IF(AND(L3844=1,N3844&lt;'Line Follower'!$C$6,SUM(C3844:K3844)&lt;4),1,0)</f>
        <v>1</v>
      </c>
      <c r="T3844" s="4">
        <f t="shared" ref="T3844:T3907" si="302">IF(ISNA(N3844),NA(),IF(SUM(C3844:L3844)=0,1,0))</f>
        <v>0</v>
      </c>
      <c r="U3844" s="5">
        <f t="shared" ref="U3844:U3907" si="303">IF(ISNA(N3844),NA(),IF(SUM(B3844:K3844)=0,1,0))</f>
        <v>0</v>
      </c>
      <c r="V3844" s="23">
        <f t="shared" ref="V3844:V3907" si="304">IF(ISNA(N3844),NA(),IF(SUM(B3844:L3844)=0,1,0))</f>
        <v>0</v>
      </c>
    </row>
    <row r="3845" spans="2:22" x14ac:dyDescent="0.25">
      <c r="B3845" s="16">
        <v>0</v>
      </c>
      <c r="C3845" s="7">
        <v>1</v>
      </c>
      <c r="D3845" s="8">
        <v>0</v>
      </c>
      <c r="E3845" s="8">
        <v>0</v>
      </c>
      <c r="F3845" s="8">
        <v>0</v>
      </c>
      <c r="G3845" s="8">
        <v>0</v>
      </c>
      <c r="H3845" s="8">
        <v>0</v>
      </c>
      <c r="I3845" s="8">
        <v>0</v>
      </c>
      <c r="J3845" s="8">
        <v>1</v>
      </c>
      <c r="K3845" s="9">
        <v>1</v>
      </c>
      <c r="L3845" s="10">
        <v>1</v>
      </c>
      <c r="M3845" s="6">
        <v>1</v>
      </c>
      <c r="N3845" s="37" t="e" cm="1">
        <f t="array" ref="N3845">IF(OR(ISNUMBER(FIND(Aux!$D$3:$D$9,_xlfn.TEXTJOIN(,,C3845:K3845)))),NA(),IF(AND(SUM(C3845:F3845,H3845:K3845)=0,G3845=1),0,INT((SUMPRODUCT(C3845:F3845,COLUMN($A$1:$D$1)-1)+SUMPRODUCT(H3845:K3845,COLUMN($E$1:$H$1)-1))*'Line Follower'!$C$3/SUM(C3845:F3845,H3845:K3845)-'Line Follower'!$C$5)))</f>
        <v>#N/A</v>
      </c>
      <c r="O3845" s="22" t="e">
        <v>#N/A</v>
      </c>
      <c r="P3845" s="4" t="e">
        <f t="shared" si="300"/>
        <v>#N/A</v>
      </c>
      <c r="Q3845" s="4" t="e">
        <f t="shared" si="301"/>
        <v>#N/A</v>
      </c>
      <c r="R3845" s="4" t="e">
        <f>IF(AND(B3845=1,N3845&gt;'Line Follower'!$C$7,SUM(C3845:K3845)&lt;4),1,0)</f>
        <v>#N/A</v>
      </c>
      <c r="S3845" s="4" t="e">
        <f>IF(AND(L3845=1,N3845&lt;'Line Follower'!$C$6,SUM(C3845:K3845)&lt;4),1,0)</f>
        <v>#N/A</v>
      </c>
      <c r="T3845" s="4" t="e">
        <f t="shared" si="302"/>
        <v>#N/A</v>
      </c>
      <c r="U3845" s="5" t="e">
        <f t="shared" si="303"/>
        <v>#N/A</v>
      </c>
      <c r="V3845" s="23" t="e">
        <f t="shared" si="304"/>
        <v>#N/A</v>
      </c>
    </row>
    <row r="3846" spans="2:22" x14ac:dyDescent="0.25">
      <c r="B3846" s="16">
        <v>1</v>
      </c>
      <c r="C3846" s="7">
        <v>1</v>
      </c>
      <c r="D3846" s="8">
        <v>0</v>
      </c>
      <c r="E3846" s="8">
        <v>0</v>
      </c>
      <c r="F3846" s="8">
        <v>0</v>
      </c>
      <c r="G3846" s="8">
        <v>0</v>
      </c>
      <c r="H3846" s="8">
        <v>0</v>
      </c>
      <c r="I3846" s="8">
        <v>0</v>
      </c>
      <c r="J3846" s="8">
        <v>1</v>
      </c>
      <c r="K3846" s="9">
        <v>1</v>
      </c>
      <c r="L3846" s="10">
        <v>1</v>
      </c>
      <c r="M3846" s="6">
        <v>1</v>
      </c>
      <c r="N3846" s="37" t="e" cm="1">
        <f t="array" ref="N3846">IF(OR(ISNUMBER(FIND(Aux!$D$3:$D$9,_xlfn.TEXTJOIN(,,C3846:K3846)))),NA(),IF(AND(SUM(C3846:F3846,H3846:K3846)=0,G3846=1),0,INT((SUMPRODUCT(C3846:F3846,COLUMN($A$1:$D$1)-1)+SUMPRODUCT(H3846:K3846,COLUMN($E$1:$H$1)-1))*'Line Follower'!$C$3/SUM(C3846:F3846,H3846:K3846)-'Line Follower'!$C$5)))</f>
        <v>#N/A</v>
      </c>
      <c r="O3846" s="22" t="e">
        <v>#N/A</v>
      </c>
      <c r="P3846" s="4" t="e">
        <f t="shared" si="300"/>
        <v>#N/A</v>
      </c>
      <c r="Q3846" s="4" t="e">
        <f t="shared" si="301"/>
        <v>#N/A</v>
      </c>
      <c r="R3846" s="4" t="e">
        <f>IF(AND(B3846=1,N3846&gt;'Line Follower'!$C$7,SUM(C3846:K3846)&lt;4),1,0)</f>
        <v>#N/A</v>
      </c>
      <c r="S3846" s="4" t="e">
        <f>IF(AND(L3846=1,N3846&lt;'Line Follower'!$C$6,SUM(C3846:K3846)&lt;4),1,0)</f>
        <v>#N/A</v>
      </c>
      <c r="T3846" s="4" t="e">
        <f t="shared" si="302"/>
        <v>#N/A</v>
      </c>
      <c r="U3846" s="5" t="e">
        <f t="shared" si="303"/>
        <v>#N/A</v>
      </c>
      <c r="V3846" s="23" t="e">
        <f t="shared" si="304"/>
        <v>#N/A</v>
      </c>
    </row>
    <row r="3847" spans="2:22" x14ac:dyDescent="0.25">
      <c r="B3847" s="16">
        <v>0</v>
      </c>
      <c r="C3847" s="7">
        <v>0</v>
      </c>
      <c r="D3847" s="8">
        <v>1</v>
      </c>
      <c r="E3847" s="8">
        <v>0</v>
      </c>
      <c r="F3847" s="8">
        <v>0</v>
      </c>
      <c r="G3847" s="8">
        <v>0</v>
      </c>
      <c r="H3847" s="8">
        <v>0</v>
      </c>
      <c r="I3847" s="8">
        <v>0</v>
      </c>
      <c r="J3847" s="8">
        <v>1</v>
      </c>
      <c r="K3847" s="9">
        <v>1</v>
      </c>
      <c r="L3847" s="10">
        <v>1</v>
      </c>
      <c r="M3847" s="6">
        <v>1</v>
      </c>
      <c r="N3847" s="37" t="e" cm="1">
        <f t="array" ref="N3847">IF(OR(ISNUMBER(FIND(Aux!$D$3:$D$9,_xlfn.TEXTJOIN(,,C3847:K3847)))),NA(),IF(AND(SUM(C3847:F3847,H3847:K3847)=0,G3847=1),0,INT((SUMPRODUCT(C3847:F3847,COLUMN($A$1:$D$1)-1)+SUMPRODUCT(H3847:K3847,COLUMN($E$1:$H$1)-1))*'Line Follower'!$C$3/SUM(C3847:F3847,H3847:K3847)-'Line Follower'!$C$5)))</f>
        <v>#N/A</v>
      </c>
      <c r="O3847" s="22" t="e">
        <v>#N/A</v>
      </c>
      <c r="P3847" s="4" t="e">
        <f t="shared" si="300"/>
        <v>#N/A</v>
      </c>
      <c r="Q3847" s="4" t="e">
        <f t="shared" si="301"/>
        <v>#N/A</v>
      </c>
      <c r="R3847" s="4" t="e">
        <f>IF(AND(B3847=1,N3847&gt;'Line Follower'!$C$7,SUM(C3847:K3847)&lt;4),1,0)</f>
        <v>#N/A</v>
      </c>
      <c r="S3847" s="4" t="e">
        <f>IF(AND(L3847=1,N3847&lt;'Line Follower'!$C$6,SUM(C3847:K3847)&lt;4),1,0)</f>
        <v>#N/A</v>
      </c>
      <c r="T3847" s="4" t="e">
        <f t="shared" si="302"/>
        <v>#N/A</v>
      </c>
      <c r="U3847" s="5" t="e">
        <f t="shared" si="303"/>
        <v>#N/A</v>
      </c>
      <c r="V3847" s="23" t="e">
        <f t="shared" si="304"/>
        <v>#N/A</v>
      </c>
    </row>
    <row r="3848" spans="2:22" x14ac:dyDescent="0.25">
      <c r="B3848" s="16">
        <v>1</v>
      </c>
      <c r="C3848" s="7">
        <v>0</v>
      </c>
      <c r="D3848" s="8">
        <v>1</v>
      </c>
      <c r="E3848" s="8">
        <v>0</v>
      </c>
      <c r="F3848" s="8">
        <v>0</v>
      </c>
      <c r="G3848" s="8">
        <v>0</v>
      </c>
      <c r="H3848" s="8">
        <v>0</v>
      </c>
      <c r="I3848" s="8">
        <v>0</v>
      </c>
      <c r="J3848" s="8">
        <v>1</v>
      </c>
      <c r="K3848" s="9">
        <v>1</v>
      </c>
      <c r="L3848" s="10">
        <v>1</v>
      </c>
      <c r="M3848" s="6">
        <v>1</v>
      </c>
      <c r="N3848" s="37" t="e" cm="1">
        <f t="array" ref="N3848">IF(OR(ISNUMBER(FIND(Aux!$D$3:$D$9,_xlfn.TEXTJOIN(,,C3848:K3848)))),NA(),IF(AND(SUM(C3848:F3848,H3848:K3848)=0,G3848=1),0,INT((SUMPRODUCT(C3848:F3848,COLUMN($A$1:$D$1)-1)+SUMPRODUCT(H3848:K3848,COLUMN($E$1:$H$1)-1))*'Line Follower'!$C$3/SUM(C3848:F3848,H3848:K3848)-'Line Follower'!$C$5)))</f>
        <v>#N/A</v>
      </c>
      <c r="O3848" s="22" t="e">
        <v>#N/A</v>
      </c>
      <c r="P3848" s="4" t="e">
        <f t="shared" si="300"/>
        <v>#N/A</v>
      </c>
      <c r="Q3848" s="4" t="e">
        <f t="shared" si="301"/>
        <v>#N/A</v>
      </c>
      <c r="R3848" s="4" t="e">
        <f>IF(AND(B3848=1,N3848&gt;'Line Follower'!$C$7,SUM(C3848:K3848)&lt;4),1,0)</f>
        <v>#N/A</v>
      </c>
      <c r="S3848" s="4" t="e">
        <f>IF(AND(L3848=1,N3848&lt;'Line Follower'!$C$6,SUM(C3848:K3848)&lt;4),1,0)</f>
        <v>#N/A</v>
      </c>
      <c r="T3848" s="4" t="e">
        <f t="shared" si="302"/>
        <v>#N/A</v>
      </c>
      <c r="U3848" s="5" t="e">
        <f t="shared" si="303"/>
        <v>#N/A</v>
      </c>
      <c r="V3848" s="23" t="e">
        <f t="shared" si="304"/>
        <v>#N/A</v>
      </c>
    </row>
    <row r="3849" spans="2:22" x14ac:dyDescent="0.25">
      <c r="B3849" s="16">
        <v>0</v>
      </c>
      <c r="C3849" s="7">
        <v>1</v>
      </c>
      <c r="D3849" s="8">
        <v>1</v>
      </c>
      <c r="E3849" s="8">
        <v>0</v>
      </c>
      <c r="F3849" s="8">
        <v>0</v>
      </c>
      <c r="G3849" s="8">
        <v>0</v>
      </c>
      <c r="H3849" s="8">
        <v>0</v>
      </c>
      <c r="I3849" s="8">
        <v>0</v>
      </c>
      <c r="J3849" s="8">
        <v>1</v>
      </c>
      <c r="K3849" s="9">
        <v>1</v>
      </c>
      <c r="L3849" s="10">
        <v>1</v>
      </c>
      <c r="M3849" s="6">
        <v>1</v>
      </c>
      <c r="N3849" s="37" t="e" cm="1">
        <f t="array" ref="N3849">IF(OR(ISNUMBER(FIND(Aux!$D$3:$D$9,_xlfn.TEXTJOIN(,,C3849:K3849)))),NA(),IF(AND(SUM(C3849:F3849,H3849:K3849)=0,G3849=1),0,INT((SUMPRODUCT(C3849:F3849,COLUMN($A$1:$D$1)-1)+SUMPRODUCT(H3849:K3849,COLUMN($E$1:$H$1)-1))*'Line Follower'!$C$3/SUM(C3849:F3849,H3849:K3849)-'Line Follower'!$C$5)))</f>
        <v>#N/A</v>
      </c>
      <c r="O3849" s="22" t="e">
        <v>#N/A</v>
      </c>
      <c r="P3849" s="4" t="e">
        <f t="shared" si="300"/>
        <v>#N/A</v>
      </c>
      <c r="Q3849" s="4" t="e">
        <f t="shared" si="301"/>
        <v>#N/A</v>
      </c>
      <c r="R3849" s="4" t="e">
        <f>IF(AND(B3849=1,N3849&gt;'Line Follower'!$C$7,SUM(C3849:K3849)&lt;4),1,0)</f>
        <v>#N/A</v>
      </c>
      <c r="S3849" s="4" t="e">
        <f>IF(AND(L3849=1,N3849&lt;'Line Follower'!$C$6,SUM(C3849:K3849)&lt;4),1,0)</f>
        <v>#N/A</v>
      </c>
      <c r="T3849" s="4" t="e">
        <f t="shared" si="302"/>
        <v>#N/A</v>
      </c>
      <c r="U3849" s="5" t="e">
        <f t="shared" si="303"/>
        <v>#N/A</v>
      </c>
      <c r="V3849" s="23" t="e">
        <f t="shared" si="304"/>
        <v>#N/A</v>
      </c>
    </row>
    <row r="3850" spans="2:22" x14ac:dyDescent="0.25">
      <c r="B3850" s="16">
        <v>1</v>
      </c>
      <c r="C3850" s="7">
        <v>1</v>
      </c>
      <c r="D3850" s="8">
        <v>1</v>
      </c>
      <c r="E3850" s="8">
        <v>0</v>
      </c>
      <c r="F3850" s="8">
        <v>0</v>
      </c>
      <c r="G3850" s="8">
        <v>0</v>
      </c>
      <c r="H3850" s="8">
        <v>0</v>
      </c>
      <c r="I3850" s="8">
        <v>0</v>
      </c>
      <c r="J3850" s="8">
        <v>1</v>
      </c>
      <c r="K3850" s="9">
        <v>1</v>
      </c>
      <c r="L3850" s="10">
        <v>1</v>
      </c>
      <c r="M3850" s="6">
        <v>1</v>
      </c>
      <c r="N3850" s="37" t="e" cm="1">
        <f t="array" ref="N3850">IF(OR(ISNUMBER(FIND(Aux!$D$3:$D$9,_xlfn.TEXTJOIN(,,C3850:K3850)))),NA(),IF(AND(SUM(C3850:F3850,H3850:K3850)=0,G3850=1),0,INT((SUMPRODUCT(C3850:F3850,COLUMN($A$1:$D$1)-1)+SUMPRODUCT(H3850:K3850,COLUMN($E$1:$H$1)-1))*'Line Follower'!$C$3/SUM(C3850:F3850,H3850:K3850)-'Line Follower'!$C$5)))</f>
        <v>#N/A</v>
      </c>
      <c r="O3850" s="22" t="e">
        <v>#N/A</v>
      </c>
      <c r="P3850" s="4" t="e">
        <f t="shared" si="300"/>
        <v>#N/A</v>
      </c>
      <c r="Q3850" s="4" t="e">
        <f t="shared" si="301"/>
        <v>#N/A</v>
      </c>
      <c r="R3850" s="4" t="e">
        <f>IF(AND(B3850=1,N3850&gt;'Line Follower'!$C$7,SUM(C3850:K3850)&lt;4),1,0)</f>
        <v>#N/A</v>
      </c>
      <c r="S3850" s="4" t="e">
        <f>IF(AND(L3850=1,N3850&lt;'Line Follower'!$C$6,SUM(C3850:K3850)&lt;4),1,0)</f>
        <v>#N/A</v>
      </c>
      <c r="T3850" s="4" t="e">
        <f t="shared" si="302"/>
        <v>#N/A</v>
      </c>
      <c r="U3850" s="5" t="e">
        <f t="shared" si="303"/>
        <v>#N/A</v>
      </c>
      <c r="V3850" s="23" t="e">
        <f t="shared" si="304"/>
        <v>#N/A</v>
      </c>
    </row>
    <row r="3851" spans="2:22" x14ac:dyDescent="0.25">
      <c r="B3851" s="16">
        <v>0</v>
      </c>
      <c r="C3851" s="7">
        <v>0</v>
      </c>
      <c r="D3851" s="8">
        <v>0</v>
      </c>
      <c r="E3851" s="8">
        <v>1</v>
      </c>
      <c r="F3851" s="8">
        <v>0</v>
      </c>
      <c r="G3851" s="8">
        <v>0</v>
      </c>
      <c r="H3851" s="8">
        <v>0</v>
      </c>
      <c r="I3851" s="8">
        <v>0</v>
      </c>
      <c r="J3851" s="8">
        <v>1</v>
      </c>
      <c r="K3851" s="9">
        <v>1</v>
      </c>
      <c r="L3851" s="10">
        <v>1</v>
      </c>
      <c r="M3851" s="6">
        <v>1</v>
      </c>
      <c r="N3851" s="37" t="e" cm="1">
        <f t="array" ref="N3851">IF(OR(ISNUMBER(FIND(Aux!$D$3:$D$9,_xlfn.TEXTJOIN(,,C3851:K3851)))),NA(),IF(AND(SUM(C3851:F3851,H3851:K3851)=0,G3851=1),0,INT((SUMPRODUCT(C3851:F3851,COLUMN($A$1:$D$1)-1)+SUMPRODUCT(H3851:K3851,COLUMN($E$1:$H$1)-1))*'Line Follower'!$C$3/SUM(C3851:F3851,H3851:K3851)-'Line Follower'!$C$5)))</f>
        <v>#N/A</v>
      </c>
      <c r="O3851" s="22" t="e">
        <v>#N/A</v>
      </c>
      <c r="P3851" s="4" t="e">
        <f t="shared" si="300"/>
        <v>#N/A</v>
      </c>
      <c r="Q3851" s="4" t="e">
        <f t="shared" si="301"/>
        <v>#N/A</v>
      </c>
      <c r="R3851" s="4" t="e">
        <f>IF(AND(B3851=1,N3851&gt;'Line Follower'!$C$7,SUM(C3851:K3851)&lt;4),1,0)</f>
        <v>#N/A</v>
      </c>
      <c r="S3851" s="4" t="e">
        <f>IF(AND(L3851=1,N3851&lt;'Line Follower'!$C$6,SUM(C3851:K3851)&lt;4),1,0)</f>
        <v>#N/A</v>
      </c>
      <c r="T3851" s="4" t="e">
        <f t="shared" si="302"/>
        <v>#N/A</v>
      </c>
      <c r="U3851" s="5" t="e">
        <f t="shared" si="303"/>
        <v>#N/A</v>
      </c>
      <c r="V3851" s="23" t="e">
        <f t="shared" si="304"/>
        <v>#N/A</v>
      </c>
    </row>
    <row r="3852" spans="2:22" x14ac:dyDescent="0.25">
      <c r="B3852" s="16">
        <v>1</v>
      </c>
      <c r="C3852" s="7">
        <v>0</v>
      </c>
      <c r="D3852" s="8">
        <v>0</v>
      </c>
      <c r="E3852" s="8">
        <v>1</v>
      </c>
      <c r="F3852" s="8">
        <v>0</v>
      </c>
      <c r="G3852" s="8">
        <v>0</v>
      </c>
      <c r="H3852" s="8">
        <v>0</v>
      </c>
      <c r="I3852" s="8">
        <v>0</v>
      </c>
      <c r="J3852" s="8">
        <v>1</v>
      </c>
      <c r="K3852" s="9">
        <v>1</v>
      </c>
      <c r="L3852" s="10">
        <v>1</v>
      </c>
      <c r="M3852" s="6">
        <v>1</v>
      </c>
      <c r="N3852" s="37" t="e" cm="1">
        <f t="array" ref="N3852">IF(OR(ISNUMBER(FIND(Aux!$D$3:$D$9,_xlfn.TEXTJOIN(,,C3852:K3852)))),NA(),IF(AND(SUM(C3852:F3852,H3852:K3852)=0,G3852=1),0,INT((SUMPRODUCT(C3852:F3852,COLUMN($A$1:$D$1)-1)+SUMPRODUCT(H3852:K3852,COLUMN($E$1:$H$1)-1))*'Line Follower'!$C$3/SUM(C3852:F3852,H3852:K3852)-'Line Follower'!$C$5)))</f>
        <v>#N/A</v>
      </c>
      <c r="O3852" s="22" t="e">
        <v>#N/A</v>
      </c>
      <c r="P3852" s="4" t="e">
        <f t="shared" si="300"/>
        <v>#N/A</v>
      </c>
      <c r="Q3852" s="4" t="e">
        <f t="shared" si="301"/>
        <v>#N/A</v>
      </c>
      <c r="R3852" s="4" t="e">
        <f>IF(AND(B3852=1,N3852&gt;'Line Follower'!$C$7,SUM(C3852:K3852)&lt;4),1,0)</f>
        <v>#N/A</v>
      </c>
      <c r="S3852" s="4" t="e">
        <f>IF(AND(L3852=1,N3852&lt;'Line Follower'!$C$6,SUM(C3852:K3852)&lt;4),1,0)</f>
        <v>#N/A</v>
      </c>
      <c r="T3852" s="4" t="e">
        <f t="shared" si="302"/>
        <v>#N/A</v>
      </c>
      <c r="U3852" s="5" t="e">
        <f t="shared" si="303"/>
        <v>#N/A</v>
      </c>
      <c r="V3852" s="23" t="e">
        <f t="shared" si="304"/>
        <v>#N/A</v>
      </c>
    </row>
    <row r="3853" spans="2:22" x14ac:dyDescent="0.25">
      <c r="B3853" s="16">
        <v>0</v>
      </c>
      <c r="C3853" s="7">
        <v>1</v>
      </c>
      <c r="D3853" s="8">
        <v>0</v>
      </c>
      <c r="E3853" s="8">
        <v>1</v>
      </c>
      <c r="F3853" s="8">
        <v>0</v>
      </c>
      <c r="G3853" s="8">
        <v>0</v>
      </c>
      <c r="H3853" s="8">
        <v>0</v>
      </c>
      <c r="I3853" s="8">
        <v>0</v>
      </c>
      <c r="J3853" s="8">
        <v>1</v>
      </c>
      <c r="K3853" s="9">
        <v>1</v>
      </c>
      <c r="L3853" s="10">
        <v>1</v>
      </c>
      <c r="M3853" s="6">
        <v>1</v>
      </c>
      <c r="N3853" s="37" t="e" cm="1">
        <f t="array" ref="N3853">IF(OR(ISNUMBER(FIND(Aux!$D$3:$D$9,_xlfn.TEXTJOIN(,,C3853:K3853)))),NA(),IF(AND(SUM(C3853:F3853,H3853:K3853)=0,G3853=1),0,INT((SUMPRODUCT(C3853:F3853,COLUMN($A$1:$D$1)-1)+SUMPRODUCT(H3853:K3853,COLUMN($E$1:$H$1)-1))*'Line Follower'!$C$3/SUM(C3853:F3853,H3853:K3853)-'Line Follower'!$C$5)))</f>
        <v>#N/A</v>
      </c>
      <c r="O3853" s="22" t="e">
        <v>#N/A</v>
      </c>
      <c r="P3853" s="4" t="e">
        <f t="shared" si="300"/>
        <v>#N/A</v>
      </c>
      <c r="Q3853" s="4" t="e">
        <f t="shared" si="301"/>
        <v>#N/A</v>
      </c>
      <c r="R3853" s="4" t="e">
        <f>IF(AND(B3853=1,N3853&gt;'Line Follower'!$C$7,SUM(C3853:K3853)&lt;4),1,0)</f>
        <v>#N/A</v>
      </c>
      <c r="S3853" s="4" t="e">
        <f>IF(AND(L3853=1,N3853&lt;'Line Follower'!$C$6,SUM(C3853:K3853)&lt;4),1,0)</f>
        <v>#N/A</v>
      </c>
      <c r="T3853" s="4" t="e">
        <f t="shared" si="302"/>
        <v>#N/A</v>
      </c>
      <c r="U3853" s="5" t="e">
        <f t="shared" si="303"/>
        <v>#N/A</v>
      </c>
      <c r="V3853" s="23" t="e">
        <f t="shared" si="304"/>
        <v>#N/A</v>
      </c>
    </row>
    <row r="3854" spans="2:22" x14ac:dyDescent="0.25">
      <c r="B3854" s="16">
        <v>1</v>
      </c>
      <c r="C3854" s="7">
        <v>1</v>
      </c>
      <c r="D3854" s="8">
        <v>0</v>
      </c>
      <c r="E3854" s="8">
        <v>1</v>
      </c>
      <c r="F3854" s="8">
        <v>0</v>
      </c>
      <c r="G3854" s="8">
        <v>0</v>
      </c>
      <c r="H3854" s="8">
        <v>0</v>
      </c>
      <c r="I3854" s="8">
        <v>0</v>
      </c>
      <c r="J3854" s="8">
        <v>1</v>
      </c>
      <c r="K3854" s="9">
        <v>1</v>
      </c>
      <c r="L3854" s="10">
        <v>1</v>
      </c>
      <c r="M3854" s="6">
        <v>1</v>
      </c>
      <c r="N3854" s="37" t="e" cm="1">
        <f t="array" ref="N3854">IF(OR(ISNUMBER(FIND(Aux!$D$3:$D$9,_xlfn.TEXTJOIN(,,C3854:K3854)))),NA(),IF(AND(SUM(C3854:F3854,H3854:K3854)=0,G3854=1),0,INT((SUMPRODUCT(C3854:F3854,COLUMN($A$1:$D$1)-1)+SUMPRODUCT(H3854:K3854,COLUMN($E$1:$H$1)-1))*'Line Follower'!$C$3/SUM(C3854:F3854,H3854:K3854)-'Line Follower'!$C$5)))</f>
        <v>#N/A</v>
      </c>
      <c r="O3854" s="22" t="e">
        <v>#N/A</v>
      </c>
      <c r="P3854" s="4" t="e">
        <f t="shared" si="300"/>
        <v>#N/A</v>
      </c>
      <c r="Q3854" s="4" t="e">
        <f t="shared" si="301"/>
        <v>#N/A</v>
      </c>
      <c r="R3854" s="4" t="e">
        <f>IF(AND(B3854=1,N3854&gt;'Line Follower'!$C$7,SUM(C3854:K3854)&lt;4),1,0)</f>
        <v>#N/A</v>
      </c>
      <c r="S3854" s="4" t="e">
        <f>IF(AND(L3854=1,N3854&lt;'Line Follower'!$C$6,SUM(C3854:K3854)&lt;4),1,0)</f>
        <v>#N/A</v>
      </c>
      <c r="T3854" s="4" t="e">
        <f t="shared" si="302"/>
        <v>#N/A</v>
      </c>
      <c r="U3854" s="5" t="e">
        <f t="shared" si="303"/>
        <v>#N/A</v>
      </c>
      <c r="V3854" s="23" t="e">
        <f t="shared" si="304"/>
        <v>#N/A</v>
      </c>
    </row>
    <row r="3855" spans="2:22" x14ac:dyDescent="0.25">
      <c r="B3855" s="16">
        <v>0</v>
      </c>
      <c r="C3855" s="7">
        <v>0</v>
      </c>
      <c r="D3855" s="8">
        <v>1</v>
      </c>
      <c r="E3855" s="8">
        <v>1</v>
      </c>
      <c r="F3855" s="8">
        <v>0</v>
      </c>
      <c r="G3855" s="8">
        <v>0</v>
      </c>
      <c r="H3855" s="8">
        <v>0</v>
      </c>
      <c r="I3855" s="8">
        <v>0</v>
      </c>
      <c r="J3855" s="8">
        <v>1</v>
      </c>
      <c r="K3855" s="9">
        <v>1</v>
      </c>
      <c r="L3855" s="10">
        <v>1</v>
      </c>
      <c r="M3855" s="6">
        <v>1</v>
      </c>
      <c r="N3855" s="37" t="e" cm="1">
        <f t="array" ref="N3855">IF(OR(ISNUMBER(FIND(Aux!$D$3:$D$9,_xlfn.TEXTJOIN(,,C3855:K3855)))),NA(),IF(AND(SUM(C3855:F3855,H3855:K3855)=0,G3855=1),0,INT((SUMPRODUCT(C3855:F3855,COLUMN($A$1:$D$1)-1)+SUMPRODUCT(H3855:K3855,COLUMN($E$1:$H$1)-1))*'Line Follower'!$C$3/SUM(C3855:F3855,H3855:K3855)-'Line Follower'!$C$5)))</f>
        <v>#N/A</v>
      </c>
      <c r="O3855" s="22" t="e">
        <v>#N/A</v>
      </c>
      <c r="P3855" s="4" t="e">
        <f t="shared" si="300"/>
        <v>#N/A</v>
      </c>
      <c r="Q3855" s="4" t="e">
        <f t="shared" si="301"/>
        <v>#N/A</v>
      </c>
      <c r="R3855" s="4" t="e">
        <f>IF(AND(B3855=1,N3855&gt;'Line Follower'!$C$7,SUM(C3855:K3855)&lt;4),1,0)</f>
        <v>#N/A</v>
      </c>
      <c r="S3855" s="4" t="e">
        <f>IF(AND(L3855=1,N3855&lt;'Line Follower'!$C$6,SUM(C3855:K3855)&lt;4),1,0)</f>
        <v>#N/A</v>
      </c>
      <c r="T3855" s="4" t="e">
        <f t="shared" si="302"/>
        <v>#N/A</v>
      </c>
      <c r="U3855" s="5" t="e">
        <f t="shared" si="303"/>
        <v>#N/A</v>
      </c>
      <c r="V3855" s="23" t="e">
        <f t="shared" si="304"/>
        <v>#N/A</v>
      </c>
    </row>
    <row r="3856" spans="2:22" x14ac:dyDescent="0.25">
      <c r="B3856" s="16">
        <v>1</v>
      </c>
      <c r="C3856" s="7">
        <v>0</v>
      </c>
      <c r="D3856" s="8">
        <v>1</v>
      </c>
      <c r="E3856" s="8">
        <v>1</v>
      </c>
      <c r="F3856" s="8">
        <v>0</v>
      </c>
      <c r="G3856" s="8">
        <v>0</v>
      </c>
      <c r="H3856" s="8">
        <v>0</v>
      </c>
      <c r="I3856" s="8">
        <v>0</v>
      </c>
      <c r="J3856" s="8">
        <v>1</v>
      </c>
      <c r="K3856" s="9">
        <v>1</v>
      </c>
      <c r="L3856" s="10">
        <v>1</v>
      </c>
      <c r="M3856" s="6">
        <v>1</v>
      </c>
      <c r="N3856" s="37" t="e" cm="1">
        <f t="array" ref="N3856">IF(OR(ISNUMBER(FIND(Aux!$D$3:$D$9,_xlfn.TEXTJOIN(,,C3856:K3856)))),NA(),IF(AND(SUM(C3856:F3856,H3856:K3856)=0,G3856=1),0,INT((SUMPRODUCT(C3856:F3856,COLUMN($A$1:$D$1)-1)+SUMPRODUCT(H3856:K3856,COLUMN($E$1:$H$1)-1))*'Line Follower'!$C$3/SUM(C3856:F3856,H3856:K3856)-'Line Follower'!$C$5)))</f>
        <v>#N/A</v>
      </c>
      <c r="O3856" s="22" t="e">
        <v>#N/A</v>
      </c>
      <c r="P3856" s="4" t="e">
        <f t="shared" si="300"/>
        <v>#N/A</v>
      </c>
      <c r="Q3856" s="4" t="e">
        <f t="shared" si="301"/>
        <v>#N/A</v>
      </c>
      <c r="R3856" s="4" t="e">
        <f>IF(AND(B3856=1,N3856&gt;'Line Follower'!$C$7,SUM(C3856:K3856)&lt;4),1,0)</f>
        <v>#N/A</v>
      </c>
      <c r="S3856" s="4" t="e">
        <f>IF(AND(L3856=1,N3856&lt;'Line Follower'!$C$6,SUM(C3856:K3856)&lt;4),1,0)</f>
        <v>#N/A</v>
      </c>
      <c r="T3856" s="4" t="e">
        <f t="shared" si="302"/>
        <v>#N/A</v>
      </c>
      <c r="U3856" s="5" t="e">
        <f t="shared" si="303"/>
        <v>#N/A</v>
      </c>
      <c r="V3856" s="23" t="e">
        <f t="shared" si="304"/>
        <v>#N/A</v>
      </c>
    </row>
    <row r="3857" spans="2:22" x14ac:dyDescent="0.25">
      <c r="B3857" s="16">
        <v>0</v>
      </c>
      <c r="C3857" s="7">
        <v>1</v>
      </c>
      <c r="D3857" s="8">
        <v>1</v>
      </c>
      <c r="E3857" s="8">
        <v>1</v>
      </c>
      <c r="F3857" s="8">
        <v>0</v>
      </c>
      <c r="G3857" s="8">
        <v>0</v>
      </c>
      <c r="H3857" s="8">
        <v>0</v>
      </c>
      <c r="I3857" s="8">
        <v>0</v>
      </c>
      <c r="J3857" s="8">
        <v>1</v>
      </c>
      <c r="K3857" s="9">
        <v>1</v>
      </c>
      <c r="L3857" s="10">
        <v>1</v>
      </c>
      <c r="M3857" s="6">
        <v>1</v>
      </c>
      <c r="N3857" s="37" t="e" cm="1">
        <f t="array" ref="N3857">IF(OR(ISNUMBER(FIND(Aux!$D$3:$D$9,_xlfn.TEXTJOIN(,,C3857:K3857)))),NA(),IF(AND(SUM(C3857:F3857,H3857:K3857)=0,G3857=1),0,INT((SUMPRODUCT(C3857:F3857,COLUMN($A$1:$D$1)-1)+SUMPRODUCT(H3857:K3857,COLUMN($E$1:$H$1)-1))*'Line Follower'!$C$3/SUM(C3857:F3857,H3857:K3857)-'Line Follower'!$C$5)))</f>
        <v>#N/A</v>
      </c>
      <c r="O3857" s="22" t="e">
        <v>#N/A</v>
      </c>
      <c r="P3857" s="4" t="e">
        <f t="shared" si="300"/>
        <v>#N/A</v>
      </c>
      <c r="Q3857" s="4" t="e">
        <f t="shared" si="301"/>
        <v>#N/A</v>
      </c>
      <c r="R3857" s="4" t="e">
        <f>IF(AND(B3857=1,N3857&gt;'Line Follower'!$C$7,SUM(C3857:K3857)&lt;4),1,0)</f>
        <v>#N/A</v>
      </c>
      <c r="S3857" s="4" t="e">
        <f>IF(AND(L3857=1,N3857&lt;'Line Follower'!$C$6,SUM(C3857:K3857)&lt;4),1,0)</f>
        <v>#N/A</v>
      </c>
      <c r="T3857" s="4" t="e">
        <f t="shared" si="302"/>
        <v>#N/A</v>
      </c>
      <c r="U3857" s="5" t="e">
        <f t="shared" si="303"/>
        <v>#N/A</v>
      </c>
      <c r="V3857" s="23" t="e">
        <f t="shared" si="304"/>
        <v>#N/A</v>
      </c>
    </row>
    <row r="3858" spans="2:22" x14ac:dyDescent="0.25">
      <c r="B3858" s="16">
        <v>1</v>
      </c>
      <c r="C3858" s="7">
        <v>1</v>
      </c>
      <c r="D3858" s="8">
        <v>1</v>
      </c>
      <c r="E3858" s="8">
        <v>1</v>
      </c>
      <c r="F3858" s="8">
        <v>0</v>
      </c>
      <c r="G3858" s="8">
        <v>0</v>
      </c>
      <c r="H3858" s="8">
        <v>0</v>
      </c>
      <c r="I3858" s="8">
        <v>0</v>
      </c>
      <c r="J3858" s="8">
        <v>1</v>
      </c>
      <c r="K3858" s="9">
        <v>1</v>
      </c>
      <c r="L3858" s="10">
        <v>1</v>
      </c>
      <c r="M3858" s="6">
        <v>1</v>
      </c>
      <c r="N3858" s="37" t="e" cm="1">
        <f t="array" ref="N3858">IF(OR(ISNUMBER(FIND(Aux!$D$3:$D$9,_xlfn.TEXTJOIN(,,C3858:K3858)))),NA(),IF(AND(SUM(C3858:F3858,H3858:K3858)=0,G3858=1),0,INT((SUMPRODUCT(C3858:F3858,COLUMN($A$1:$D$1)-1)+SUMPRODUCT(H3858:K3858,COLUMN($E$1:$H$1)-1))*'Line Follower'!$C$3/SUM(C3858:F3858,H3858:K3858)-'Line Follower'!$C$5)))</f>
        <v>#N/A</v>
      </c>
      <c r="O3858" s="22" t="e">
        <v>#N/A</v>
      </c>
      <c r="P3858" s="4" t="e">
        <f t="shared" si="300"/>
        <v>#N/A</v>
      </c>
      <c r="Q3858" s="4" t="e">
        <f t="shared" si="301"/>
        <v>#N/A</v>
      </c>
      <c r="R3858" s="4" t="e">
        <f>IF(AND(B3858=1,N3858&gt;'Line Follower'!$C$7,SUM(C3858:K3858)&lt;4),1,0)</f>
        <v>#N/A</v>
      </c>
      <c r="S3858" s="4" t="e">
        <f>IF(AND(L3858=1,N3858&lt;'Line Follower'!$C$6,SUM(C3858:K3858)&lt;4),1,0)</f>
        <v>#N/A</v>
      </c>
      <c r="T3858" s="4" t="e">
        <f t="shared" si="302"/>
        <v>#N/A</v>
      </c>
      <c r="U3858" s="5" t="e">
        <f t="shared" si="303"/>
        <v>#N/A</v>
      </c>
      <c r="V3858" s="23" t="e">
        <f t="shared" si="304"/>
        <v>#N/A</v>
      </c>
    </row>
    <row r="3859" spans="2:22" x14ac:dyDescent="0.25">
      <c r="B3859" s="16">
        <v>0</v>
      </c>
      <c r="C3859" s="7">
        <v>0</v>
      </c>
      <c r="D3859" s="8">
        <v>0</v>
      </c>
      <c r="E3859" s="8">
        <v>0</v>
      </c>
      <c r="F3859" s="8">
        <v>1</v>
      </c>
      <c r="G3859" s="8">
        <v>0</v>
      </c>
      <c r="H3859" s="8">
        <v>0</v>
      </c>
      <c r="I3859" s="8">
        <v>0</v>
      </c>
      <c r="J3859" s="8">
        <v>1</v>
      </c>
      <c r="K3859" s="9">
        <v>1</v>
      </c>
      <c r="L3859" s="10">
        <v>1</v>
      </c>
      <c r="M3859" s="6">
        <v>1</v>
      </c>
      <c r="N3859" s="37" t="e" cm="1">
        <f t="array" ref="N3859">IF(OR(ISNUMBER(FIND(Aux!$D$3:$D$9,_xlfn.TEXTJOIN(,,C3859:K3859)))),NA(),IF(AND(SUM(C3859:F3859,H3859:K3859)=0,G3859=1),0,INT((SUMPRODUCT(C3859:F3859,COLUMN($A$1:$D$1)-1)+SUMPRODUCT(H3859:K3859,COLUMN($E$1:$H$1)-1))*'Line Follower'!$C$3/SUM(C3859:F3859,H3859:K3859)-'Line Follower'!$C$5)))</f>
        <v>#N/A</v>
      </c>
      <c r="O3859" s="22" t="e">
        <v>#N/A</v>
      </c>
      <c r="P3859" s="4" t="e">
        <f t="shared" si="300"/>
        <v>#N/A</v>
      </c>
      <c r="Q3859" s="4" t="e">
        <f t="shared" si="301"/>
        <v>#N/A</v>
      </c>
      <c r="R3859" s="4" t="e">
        <f>IF(AND(B3859=1,N3859&gt;'Line Follower'!$C$7,SUM(C3859:K3859)&lt;4),1,0)</f>
        <v>#N/A</v>
      </c>
      <c r="S3859" s="4" t="e">
        <f>IF(AND(L3859=1,N3859&lt;'Line Follower'!$C$6,SUM(C3859:K3859)&lt;4),1,0)</f>
        <v>#N/A</v>
      </c>
      <c r="T3859" s="4" t="e">
        <f t="shared" si="302"/>
        <v>#N/A</v>
      </c>
      <c r="U3859" s="5" t="e">
        <f t="shared" si="303"/>
        <v>#N/A</v>
      </c>
      <c r="V3859" s="23" t="e">
        <f t="shared" si="304"/>
        <v>#N/A</v>
      </c>
    </row>
    <row r="3860" spans="2:22" x14ac:dyDescent="0.25">
      <c r="B3860" s="16">
        <v>1</v>
      </c>
      <c r="C3860" s="7">
        <v>0</v>
      </c>
      <c r="D3860" s="8">
        <v>0</v>
      </c>
      <c r="E3860" s="8">
        <v>0</v>
      </c>
      <c r="F3860" s="8">
        <v>1</v>
      </c>
      <c r="G3860" s="8">
        <v>0</v>
      </c>
      <c r="H3860" s="8">
        <v>0</v>
      </c>
      <c r="I3860" s="8">
        <v>0</v>
      </c>
      <c r="J3860" s="8">
        <v>1</v>
      </c>
      <c r="K3860" s="9">
        <v>1</v>
      </c>
      <c r="L3860" s="10">
        <v>1</v>
      </c>
      <c r="M3860" s="6">
        <v>1</v>
      </c>
      <c r="N3860" s="37" t="e" cm="1">
        <f t="array" ref="N3860">IF(OR(ISNUMBER(FIND(Aux!$D$3:$D$9,_xlfn.TEXTJOIN(,,C3860:K3860)))),NA(),IF(AND(SUM(C3860:F3860,H3860:K3860)=0,G3860=1),0,INT((SUMPRODUCT(C3860:F3860,COLUMN($A$1:$D$1)-1)+SUMPRODUCT(H3860:K3860,COLUMN($E$1:$H$1)-1))*'Line Follower'!$C$3/SUM(C3860:F3860,H3860:K3860)-'Line Follower'!$C$5)))</f>
        <v>#N/A</v>
      </c>
      <c r="O3860" s="22" t="e">
        <v>#N/A</v>
      </c>
      <c r="P3860" s="4" t="e">
        <f t="shared" si="300"/>
        <v>#N/A</v>
      </c>
      <c r="Q3860" s="4" t="e">
        <f t="shared" si="301"/>
        <v>#N/A</v>
      </c>
      <c r="R3860" s="4" t="e">
        <f>IF(AND(B3860=1,N3860&gt;'Line Follower'!$C$7,SUM(C3860:K3860)&lt;4),1,0)</f>
        <v>#N/A</v>
      </c>
      <c r="S3860" s="4" t="e">
        <f>IF(AND(L3860=1,N3860&lt;'Line Follower'!$C$6,SUM(C3860:K3860)&lt;4),1,0)</f>
        <v>#N/A</v>
      </c>
      <c r="T3860" s="4" t="e">
        <f t="shared" si="302"/>
        <v>#N/A</v>
      </c>
      <c r="U3860" s="5" t="e">
        <f t="shared" si="303"/>
        <v>#N/A</v>
      </c>
      <c r="V3860" s="23" t="e">
        <f t="shared" si="304"/>
        <v>#N/A</v>
      </c>
    </row>
    <row r="3861" spans="2:22" x14ac:dyDescent="0.25">
      <c r="B3861" s="16">
        <v>0</v>
      </c>
      <c r="C3861" s="7">
        <v>1</v>
      </c>
      <c r="D3861" s="8">
        <v>0</v>
      </c>
      <c r="E3861" s="8">
        <v>0</v>
      </c>
      <c r="F3861" s="8">
        <v>1</v>
      </c>
      <c r="G3861" s="8">
        <v>0</v>
      </c>
      <c r="H3861" s="8">
        <v>0</v>
      </c>
      <c r="I3861" s="8">
        <v>0</v>
      </c>
      <c r="J3861" s="8">
        <v>1</v>
      </c>
      <c r="K3861" s="9">
        <v>1</v>
      </c>
      <c r="L3861" s="10">
        <v>1</v>
      </c>
      <c r="M3861" s="6">
        <v>1</v>
      </c>
      <c r="N3861" s="37" t="e" cm="1">
        <f t="array" ref="N3861">IF(OR(ISNUMBER(FIND(Aux!$D$3:$D$9,_xlfn.TEXTJOIN(,,C3861:K3861)))),NA(),IF(AND(SUM(C3861:F3861,H3861:K3861)=0,G3861=1),0,INT((SUMPRODUCT(C3861:F3861,COLUMN($A$1:$D$1)-1)+SUMPRODUCT(H3861:K3861,COLUMN($E$1:$H$1)-1))*'Line Follower'!$C$3/SUM(C3861:F3861,H3861:K3861)-'Line Follower'!$C$5)))</f>
        <v>#N/A</v>
      </c>
      <c r="O3861" s="22" t="e">
        <v>#N/A</v>
      </c>
      <c r="P3861" s="4" t="e">
        <f t="shared" si="300"/>
        <v>#N/A</v>
      </c>
      <c r="Q3861" s="4" t="e">
        <f t="shared" si="301"/>
        <v>#N/A</v>
      </c>
      <c r="R3861" s="4" t="e">
        <f>IF(AND(B3861=1,N3861&gt;'Line Follower'!$C$7,SUM(C3861:K3861)&lt;4),1,0)</f>
        <v>#N/A</v>
      </c>
      <c r="S3861" s="4" t="e">
        <f>IF(AND(L3861=1,N3861&lt;'Line Follower'!$C$6,SUM(C3861:K3861)&lt;4),1,0)</f>
        <v>#N/A</v>
      </c>
      <c r="T3861" s="4" t="e">
        <f t="shared" si="302"/>
        <v>#N/A</v>
      </c>
      <c r="U3861" s="5" t="e">
        <f t="shared" si="303"/>
        <v>#N/A</v>
      </c>
      <c r="V3861" s="23" t="e">
        <f t="shared" si="304"/>
        <v>#N/A</v>
      </c>
    </row>
    <row r="3862" spans="2:22" x14ac:dyDescent="0.25">
      <c r="B3862" s="16">
        <v>1</v>
      </c>
      <c r="C3862" s="7">
        <v>1</v>
      </c>
      <c r="D3862" s="8">
        <v>0</v>
      </c>
      <c r="E3862" s="8">
        <v>0</v>
      </c>
      <c r="F3862" s="8">
        <v>1</v>
      </c>
      <c r="G3862" s="8">
        <v>0</v>
      </c>
      <c r="H3862" s="8">
        <v>0</v>
      </c>
      <c r="I3862" s="8">
        <v>0</v>
      </c>
      <c r="J3862" s="8">
        <v>1</v>
      </c>
      <c r="K3862" s="9">
        <v>1</v>
      </c>
      <c r="L3862" s="10">
        <v>1</v>
      </c>
      <c r="M3862" s="6">
        <v>1</v>
      </c>
      <c r="N3862" s="37" t="e" cm="1">
        <f t="array" ref="N3862">IF(OR(ISNUMBER(FIND(Aux!$D$3:$D$9,_xlfn.TEXTJOIN(,,C3862:K3862)))),NA(),IF(AND(SUM(C3862:F3862,H3862:K3862)=0,G3862=1),0,INT((SUMPRODUCT(C3862:F3862,COLUMN($A$1:$D$1)-1)+SUMPRODUCT(H3862:K3862,COLUMN($E$1:$H$1)-1))*'Line Follower'!$C$3/SUM(C3862:F3862,H3862:K3862)-'Line Follower'!$C$5)))</f>
        <v>#N/A</v>
      </c>
      <c r="O3862" s="22" t="e">
        <v>#N/A</v>
      </c>
      <c r="P3862" s="4" t="e">
        <f t="shared" si="300"/>
        <v>#N/A</v>
      </c>
      <c r="Q3862" s="4" t="e">
        <f t="shared" si="301"/>
        <v>#N/A</v>
      </c>
      <c r="R3862" s="4" t="e">
        <f>IF(AND(B3862=1,N3862&gt;'Line Follower'!$C$7,SUM(C3862:K3862)&lt;4),1,0)</f>
        <v>#N/A</v>
      </c>
      <c r="S3862" s="4" t="e">
        <f>IF(AND(L3862=1,N3862&lt;'Line Follower'!$C$6,SUM(C3862:K3862)&lt;4),1,0)</f>
        <v>#N/A</v>
      </c>
      <c r="T3862" s="4" t="e">
        <f t="shared" si="302"/>
        <v>#N/A</v>
      </c>
      <c r="U3862" s="5" t="e">
        <f t="shared" si="303"/>
        <v>#N/A</v>
      </c>
      <c r="V3862" s="23" t="e">
        <f t="shared" si="304"/>
        <v>#N/A</v>
      </c>
    </row>
    <row r="3863" spans="2:22" x14ac:dyDescent="0.25">
      <c r="B3863" s="16">
        <v>0</v>
      </c>
      <c r="C3863" s="7">
        <v>0</v>
      </c>
      <c r="D3863" s="8">
        <v>1</v>
      </c>
      <c r="E3863" s="8">
        <v>0</v>
      </c>
      <c r="F3863" s="8">
        <v>1</v>
      </c>
      <c r="G3863" s="8">
        <v>0</v>
      </c>
      <c r="H3863" s="8">
        <v>0</v>
      </c>
      <c r="I3863" s="8">
        <v>0</v>
      </c>
      <c r="J3863" s="8">
        <v>1</v>
      </c>
      <c r="K3863" s="9">
        <v>1</v>
      </c>
      <c r="L3863" s="10">
        <v>1</v>
      </c>
      <c r="M3863" s="6">
        <v>1</v>
      </c>
      <c r="N3863" s="37" t="e" cm="1">
        <f t="array" ref="N3863">IF(OR(ISNUMBER(FIND(Aux!$D$3:$D$9,_xlfn.TEXTJOIN(,,C3863:K3863)))),NA(),IF(AND(SUM(C3863:F3863,H3863:K3863)=0,G3863=1),0,INT((SUMPRODUCT(C3863:F3863,COLUMN($A$1:$D$1)-1)+SUMPRODUCT(H3863:K3863,COLUMN($E$1:$H$1)-1))*'Line Follower'!$C$3/SUM(C3863:F3863,H3863:K3863)-'Line Follower'!$C$5)))</f>
        <v>#N/A</v>
      </c>
      <c r="O3863" s="22" t="e">
        <v>#N/A</v>
      </c>
      <c r="P3863" s="4" t="e">
        <f t="shared" si="300"/>
        <v>#N/A</v>
      </c>
      <c r="Q3863" s="4" t="e">
        <f t="shared" si="301"/>
        <v>#N/A</v>
      </c>
      <c r="R3863" s="4" t="e">
        <f>IF(AND(B3863=1,N3863&gt;'Line Follower'!$C$7,SUM(C3863:K3863)&lt;4),1,0)</f>
        <v>#N/A</v>
      </c>
      <c r="S3863" s="4" t="e">
        <f>IF(AND(L3863=1,N3863&lt;'Line Follower'!$C$6,SUM(C3863:K3863)&lt;4),1,0)</f>
        <v>#N/A</v>
      </c>
      <c r="T3863" s="4" t="e">
        <f t="shared" si="302"/>
        <v>#N/A</v>
      </c>
      <c r="U3863" s="5" t="e">
        <f t="shared" si="303"/>
        <v>#N/A</v>
      </c>
      <c r="V3863" s="23" t="e">
        <f t="shared" si="304"/>
        <v>#N/A</v>
      </c>
    </row>
    <row r="3864" spans="2:22" x14ac:dyDescent="0.25">
      <c r="B3864" s="16">
        <v>1</v>
      </c>
      <c r="C3864" s="7">
        <v>0</v>
      </c>
      <c r="D3864" s="8">
        <v>1</v>
      </c>
      <c r="E3864" s="8">
        <v>0</v>
      </c>
      <c r="F3864" s="8">
        <v>1</v>
      </c>
      <c r="G3864" s="8">
        <v>0</v>
      </c>
      <c r="H3864" s="8">
        <v>0</v>
      </c>
      <c r="I3864" s="8">
        <v>0</v>
      </c>
      <c r="J3864" s="8">
        <v>1</v>
      </c>
      <c r="K3864" s="9">
        <v>1</v>
      </c>
      <c r="L3864" s="10">
        <v>1</v>
      </c>
      <c r="M3864" s="6">
        <v>1</v>
      </c>
      <c r="N3864" s="37" t="e" cm="1">
        <f t="array" ref="N3864">IF(OR(ISNUMBER(FIND(Aux!$D$3:$D$9,_xlfn.TEXTJOIN(,,C3864:K3864)))),NA(),IF(AND(SUM(C3864:F3864,H3864:K3864)=0,G3864=1),0,INT((SUMPRODUCT(C3864:F3864,COLUMN($A$1:$D$1)-1)+SUMPRODUCT(H3864:K3864,COLUMN($E$1:$H$1)-1))*'Line Follower'!$C$3/SUM(C3864:F3864,H3864:K3864)-'Line Follower'!$C$5)))</f>
        <v>#N/A</v>
      </c>
      <c r="O3864" s="22" t="e">
        <v>#N/A</v>
      </c>
      <c r="P3864" s="4" t="e">
        <f t="shared" si="300"/>
        <v>#N/A</v>
      </c>
      <c r="Q3864" s="4" t="e">
        <f t="shared" si="301"/>
        <v>#N/A</v>
      </c>
      <c r="R3864" s="4" t="e">
        <f>IF(AND(B3864=1,N3864&gt;'Line Follower'!$C$7,SUM(C3864:K3864)&lt;4),1,0)</f>
        <v>#N/A</v>
      </c>
      <c r="S3864" s="4" t="e">
        <f>IF(AND(L3864=1,N3864&lt;'Line Follower'!$C$6,SUM(C3864:K3864)&lt;4),1,0)</f>
        <v>#N/A</v>
      </c>
      <c r="T3864" s="4" t="e">
        <f t="shared" si="302"/>
        <v>#N/A</v>
      </c>
      <c r="U3864" s="5" t="e">
        <f t="shared" si="303"/>
        <v>#N/A</v>
      </c>
      <c r="V3864" s="23" t="e">
        <f t="shared" si="304"/>
        <v>#N/A</v>
      </c>
    </row>
    <row r="3865" spans="2:22" x14ac:dyDescent="0.25">
      <c r="B3865" s="16">
        <v>0</v>
      </c>
      <c r="C3865" s="7">
        <v>1</v>
      </c>
      <c r="D3865" s="8">
        <v>1</v>
      </c>
      <c r="E3865" s="8">
        <v>0</v>
      </c>
      <c r="F3865" s="8">
        <v>1</v>
      </c>
      <c r="G3865" s="8">
        <v>0</v>
      </c>
      <c r="H3865" s="8">
        <v>0</v>
      </c>
      <c r="I3865" s="8">
        <v>0</v>
      </c>
      <c r="J3865" s="8">
        <v>1</v>
      </c>
      <c r="K3865" s="9">
        <v>1</v>
      </c>
      <c r="L3865" s="10">
        <v>1</v>
      </c>
      <c r="M3865" s="6">
        <v>1</v>
      </c>
      <c r="N3865" s="37" t="e" cm="1">
        <f t="array" ref="N3865">IF(OR(ISNUMBER(FIND(Aux!$D$3:$D$9,_xlfn.TEXTJOIN(,,C3865:K3865)))),NA(),IF(AND(SUM(C3865:F3865,H3865:K3865)=0,G3865=1),0,INT((SUMPRODUCT(C3865:F3865,COLUMN($A$1:$D$1)-1)+SUMPRODUCT(H3865:K3865,COLUMN($E$1:$H$1)-1))*'Line Follower'!$C$3/SUM(C3865:F3865,H3865:K3865)-'Line Follower'!$C$5)))</f>
        <v>#N/A</v>
      </c>
      <c r="O3865" s="22" t="e">
        <v>#N/A</v>
      </c>
      <c r="P3865" s="4" t="e">
        <f t="shared" si="300"/>
        <v>#N/A</v>
      </c>
      <c r="Q3865" s="4" t="e">
        <f t="shared" si="301"/>
        <v>#N/A</v>
      </c>
      <c r="R3865" s="4" t="e">
        <f>IF(AND(B3865=1,N3865&gt;'Line Follower'!$C$7,SUM(C3865:K3865)&lt;4),1,0)</f>
        <v>#N/A</v>
      </c>
      <c r="S3865" s="4" t="e">
        <f>IF(AND(L3865=1,N3865&lt;'Line Follower'!$C$6,SUM(C3865:K3865)&lt;4),1,0)</f>
        <v>#N/A</v>
      </c>
      <c r="T3865" s="4" t="e">
        <f t="shared" si="302"/>
        <v>#N/A</v>
      </c>
      <c r="U3865" s="5" t="e">
        <f t="shared" si="303"/>
        <v>#N/A</v>
      </c>
      <c r="V3865" s="23" t="e">
        <f t="shared" si="304"/>
        <v>#N/A</v>
      </c>
    </row>
    <row r="3866" spans="2:22" x14ac:dyDescent="0.25">
      <c r="B3866" s="16">
        <v>1</v>
      </c>
      <c r="C3866" s="7">
        <v>1</v>
      </c>
      <c r="D3866" s="8">
        <v>1</v>
      </c>
      <c r="E3866" s="8">
        <v>0</v>
      </c>
      <c r="F3866" s="8">
        <v>1</v>
      </c>
      <c r="G3866" s="8">
        <v>0</v>
      </c>
      <c r="H3866" s="8">
        <v>0</v>
      </c>
      <c r="I3866" s="8">
        <v>0</v>
      </c>
      <c r="J3866" s="8">
        <v>1</v>
      </c>
      <c r="K3866" s="9">
        <v>1</v>
      </c>
      <c r="L3866" s="10">
        <v>1</v>
      </c>
      <c r="M3866" s="6">
        <v>1</v>
      </c>
      <c r="N3866" s="37" t="e" cm="1">
        <f t="array" ref="N3866">IF(OR(ISNUMBER(FIND(Aux!$D$3:$D$9,_xlfn.TEXTJOIN(,,C3866:K3866)))),NA(),IF(AND(SUM(C3866:F3866,H3866:K3866)=0,G3866=1),0,INT((SUMPRODUCT(C3866:F3866,COLUMN($A$1:$D$1)-1)+SUMPRODUCT(H3866:K3866,COLUMN($E$1:$H$1)-1))*'Line Follower'!$C$3/SUM(C3866:F3866,H3866:K3866)-'Line Follower'!$C$5)))</f>
        <v>#N/A</v>
      </c>
      <c r="O3866" s="22" t="e">
        <v>#N/A</v>
      </c>
      <c r="P3866" s="4" t="e">
        <f t="shared" si="300"/>
        <v>#N/A</v>
      </c>
      <c r="Q3866" s="4" t="e">
        <f t="shared" si="301"/>
        <v>#N/A</v>
      </c>
      <c r="R3866" s="4" t="e">
        <f>IF(AND(B3866=1,N3866&gt;'Line Follower'!$C$7,SUM(C3866:K3866)&lt;4),1,0)</f>
        <v>#N/A</v>
      </c>
      <c r="S3866" s="4" t="e">
        <f>IF(AND(L3866=1,N3866&lt;'Line Follower'!$C$6,SUM(C3866:K3866)&lt;4),1,0)</f>
        <v>#N/A</v>
      </c>
      <c r="T3866" s="4" t="e">
        <f t="shared" si="302"/>
        <v>#N/A</v>
      </c>
      <c r="U3866" s="5" t="e">
        <f t="shared" si="303"/>
        <v>#N/A</v>
      </c>
      <c r="V3866" s="23" t="e">
        <f t="shared" si="304"/>
        <v>#N/A</v>
      </c>
    </row>
    <row r="3867" spans="2:22" x14ac:dyDescent="0.25">
      <c r="B3867" s="16">
        <v>0</v>
      </c>
      <c r="C3867" s="7">
        <v>0</v>
      </c>
      <c r="D3867" s="8">
        <v>0</v>
      </c>
      <c r="E3867" s="8">
        <v>1</v>
      </c>
      <c r="F3867" s="8">
        <v>1</v>
      </c>
      <c r="G3867" s="8">
        <v>0</v>
      </c>
      <c r="H3867" s="8">
        <v>0</v>
      </c>
      <c r="I3867" s="8">
        <v>0</v>
      </c>
      <c r="J3867" s="8">
        <v>1</v>
      </c>
      <c r="K3867" s="9">
        <v>1</v>
      </c>
      <c r="L3867" s="10">
        <v>1</v>
      </c>
      <c r="M3867" s="6">
        <v>1</v>
      </c>
      <c r="N3867" s="37" t="e" cm="1">
        <f t="array" ref="N3867">IF(OR(ISNUMBER(FIND(Aux!$D$3:$D$9,_xlfn.TEXTJOIN(,,C3867:K3867)))),NA(),IF(AND(SUM(C3867:F3867,H3867:K3867)=0,G3867=1),0,INT((SUMPRODUCT(C3867:F3867,COLUMN($A$1:$D$1)-1)+SUMPRODUCT(H3867:K3867,COLUMN($E$1:$H$1)-1))*'Line Follower'!$C$3/SUM(C3867:F3867,H3867:K3867)-'Line Follower'!$C$5)))</f>
        <v>#N/A</v>
      </c>
      <c r="O3867" s="22" t="e">
        <v>#N/A</v>
      </c>
      <c r="P3867" s="4" t="e">
        <f t="shared" si="300"/>
        <v>#N/A</v>
      </c>
      <c r="Q3867" s="4" t="e">
        <f t="shared" si="301"/>
        <v>#N/A</v>
      </c>
      <c r="R3867" s="4" t="e">
        <f>IF(AND(B3867=1,N3867&gt;'Line Follower'!$C$7,SUM(C3867:K3867)&lt;4),1,0)</f>
        <v>#N/A</v>
      </c>
      <c r="S3867" s="4" t="e">
        <f>IF(AND(L3867=1,N3867&lt;'Line Follower'!$C$6,SUM(C3867:K3867)&lt;4),1,0)</f>
        <v>#N/A</v>
      </c>
      <c r="T3867" s="4" t="e">
        <f t="shared" si="302"/>
        <v>#N/A</v>
      </c>
      <c r="U3867" s="5" t="e">
        <f t="shared" si="303"/>
        <v>#N/A</v>
      </c>
      <c r="V3867" s="23" t="e">
        <f t="shared" si="304"/>
        <v>#N/A</v>
      </c>
    </row>
    <row r="3868" spans="2:22" x14ac:dyDescent="0.25">
      <c r="B3868" s="16">
        <v>1</v>
      </c>
      <c r="C3868" s="7">
        <v>0</v>
      </c>
      <c r="D3868" s="8">
        <v>0</v>
      </c>
      <c r="E3868" s="8">
        <v>1</v>
      </c>
      <c r="F3868" s="8">
        <v>1</v>
      </c>
      <c r="G3868" s="8">
        <v>0</v>
      </c>
      <c r="H3868" s="8">
        <v>0</v>
      </c>
      <c r="I3868" s="8">
        <v>0</v>
      </c>
      <c r="J3868" s="8">
        <v>1</v>
      </c>
      <c r="K3868" s="9">
        <v>1</v>
      </c>
      <c r="L3868" s="10">
        <v>1</v>
      </c>
      <c r="M3868" s="6">
        <v>1</v>
      </c>
      <c r="N3868" s="37" t="e" cm="1">
        <f t="array" ref="N3868">IF(OR(ISNUMBER(FIND(Aux!$D$3:$D$9,_xlfn.TEXTJOIN(,,C3868:K3868)))),NA(),IF(AND(SUM(C3868:F3868,H3868:K3868)=0,G3868=1),0,INT((SUMPRODUCT(C3868:F3868,COLUMN($A$1:$D$1)-1)+SUMPRODUCT(H3868:K3868,COLUMN($E$1:$H$1)-1))*'Line Follower'!$C$3/SUM(C3868:F3868,H3868:K3868)-'Line Follower'!$C$5)))</f>
        <v>#N/A</v>
      </c>
      <c r="O3868" s="22" t="e">
        <v>#N/A</v>
      </c>
      <c r="P3868" s="4" t="e">
        <f t="shared" si="300"/>
        <v>#N/A</v>
      </c>
      <c r="Q3868" s="4" t="e">
        <f t="shared" si="301"/>
        <v>#N/A</v>
      </c>
      <c r="R3868" s="4" t="e">
        <f>IF(AND(B3868=1,N3868&gt;'Line Follower'!$C$7,SUM(C3868:K3868)&lt;4),1,0)</f>
        <v>#N/A</v>
      </c>
      <c r="S3868" s="4" t="e">
        <f>IF(AND(L3868=1,N3868&lt;'Line Follower'!$C$6,SUM(C3868:K3868)&lt;4),1,0)</f>
        <v>#N/A</v>
      </c>
      <c r="T3868" s="4" t="e">
        <f t="shared" si="302"/>
        <v>#N/A</v>
      </c>
      <c r="U3868" s="5" t="e">
        <f t="shared" si="303"/>
        <v>#N/A</v>
      </c>
      <c r="V3868" s="23" t="e">
        <f t="shared" si="304"/>
        <v>#N/A</v>
      </c>
    </row>
    <row r="3869" spans="2:22" x14ac:dyDescent="0.25">
      <c r="B3869" s="16">
        <v>0</v>
      </c>
      <c r="C3869" s="7">
        <v>1</v>
      </c>
      <c r="D3869" s="8">
        <v>0</v>
      </c>
      <c r="E3869" s="8">
        <v>1</v>
      </c>
      <c r="F3869" s="8">
        <v>1</v>
      </c>
      <c r="G3869" s="8">
        <v>0</v>
      </c>
      <c r="H3869" s="8">
        <v>0</v>
      </c>
      <c r="I3869" s="8">
        <v>0</v>
      </c>
      <c r="J3869" s="8">
        <v>1</v>
      </c>
      <c r="K3869" s="9">
        <v>1</v>
      </c>
      <c r="L3869" s="10">
        <v>1</v>
      </c>
      <c r="M3869" s="6">
        <v>1</v>
      </c>
      <c r="N3869" s="37" t="e" cm="1">
        <f t="array" ref="N3869">IF(OR(ISNUMBER(FIND(Aux!$D$3:$D$9,_xlfn.TEXTJOIN(,,C3869:K3869)))),NA(),IF(AND(SUM(C3869:F3869,H3869:K3869)=0,G3869=1),0,INT((SUMPRODUCT(C3869:F3869,COLUMN($A$1:$D$1)-1)+SUMPRODUCT(H3869:K3869,COLUMN($E$1:$H$1)-1))*'Line Follower'!$C$3/SUM(C3869:F3869,H3869:K3869)-'Line Follower'!$C$5)))</f>
        <v>#N/A</v>
      </c>
      <c r="O3869" s="22" t="e">
        <v>#N/A</v>
      </c>
      <c r="P3869" s="4" t="e">
        <f t="shared" si="300"/>
        <v>#N/A</v>
      </c>
      <c r="Q3869" s="4" t="e">
        <f t="shared" si="301"/>
        <v>#N/A</v>
      </c>
      <c r="R3869" s="4" t="e">
        <f>IF(AND(B3869=1,N3869&gt;'Line Follower'!$C$7,SUM(C3869:K3869)&lt;4),1,0)</f>
        <v>#N/A</v>
      </c>
      <c r="S3869" s="4" t="e">
        <f>IF(AND(L3869=1,N3869&lt;'Line Follower'!$C$6,SUM(C3869:K3869)&lt;4),1,0)</f>
        <v>#N/A</v>
      </c>
      <c r="T3869" s="4" t="e">
        <f t="shared" si="302"/>
        <v>#N/A</v>
      </c>
      <c r="U3869" s="5" t="e">
        <f t="shared" si="303"/>
        <v>#N/A</v>
      </c>
      <c r="V3869" s="23" t="e">
        <f t="shared" si="304"/>
        <v>#N/A</v>
      </c>
    </row>
    <row r="3870" spans="2:22" x14ac:dyDescent="0.25">
      <c r="B3870" s="16">
        <v>1</v>
      </c>
      <c r="C3870" s="7">
        <v>1</v>
      </c>
      <c r="D3870" s="8">
        <v>0</v>
      </c>
      <c r="E3870" s="8">
        <v>1</v>
      </c>
      <c r="F3870" s="8">
        <v>1</v>
      </c>
      <c r="G3870" s="8">
        <v>0</v>
      </c>
      <c r="H3870" s="8">
        <v>0</v>
      </c>
      <c r="I3870" s="8">
        <v>0</v>
      </c>
      <c r="J3870" s="8">
        <v>1</v>
      </c>
      <c r="K3870" s="9">
        <v>1</v>
      </c>
      <c r="L3870" s="10">
        <v>1</v>
      </c>
      <c r="M3870" s="6">
        <v>1</v>
      </c>
      <c r="N3870" s="37" t="e" cm="1">
        <f t="array" ref="N3870">IF(OR(ISNUMBER(FIND(Aux!$D$3:$D$9,_xlfn.TEXTJOIN(,,C3870:K3870)))),NA(),IF(AND(SUM(C3870:F3870,H3870:K3870)=0,G3870=1),0,INT((SUMPRODUCT(C3870:F3870,COLUMN($A$1:$D$1)-1)+SUMPRODUCT(H3870:K3870,COLUMN($E$1:$H$1)-1))*'Line Follower'!$C$3/SUM(C3870:F3870,H3870:K3870)-'Line Follower'!$C$5)))</f>
        <v>#N/A</v>
      </c>
      <c r="O3870" s="22" t="e">
        <v>#N/A</v>
      </c>
      <c r="P3870" s="4" t="e">
        <f t="shared" si="300"/>
        <v>#N/A</v>
      </c>
      <c r="Q3870" s="4" t="e">
        <f t="shared" si="301"/>
        <v>#N/A</v>
      </c>
      <c r="R3870" s="4" t="e">
        <f>IF(AND(B3870=1,N3870&gt;'Line Follower'!$C$7,SUM(C3870:K3870)&lt;4),1,0)</f>
        <v>#N/A</v>
      </c>
      <c r="S3870" s="4" t="e">
        <f>IF(AND(L3870=1,N3870&lt;'Line Follower'!$C$6,SUM(C3870:K3870)&lt;4),1,0)</f>
        <v>#N/A</v>
      </c>
      <c r="T3870" s="4" t="e">
        <f t="shared" si="302"/>
        <v>#N/A</v>
      </c>
      <c r="U3870" s="5" t="e">
        <f t="shared" si="303"/>
        <v>#N/A</v>
      </c>
      <c r="V3870" s="23" t="e">
        <f t="shared" si="304"/>
        <v>#N/A</v>
      </c>
    </row>
    <row r="3871" spans="2:22" x14ac:dyDescent="0.25">
      <c r="B3871" s="16">
        <v>0</v>
      </c>
      <c r="C3871" s="7">
        <v>0</v>
      </c>
      <c r="D3871" s="8">
        <v>1</v>
      </c>
      <c r="E3871" s="8">
        <v>1</v>
      </c>
      <c r="F3871" s="8">
        <v>1</v>
      </c>
      <c r="G3871" s="8">
        <v>0</v>
      </c>
      <c r="H3871" s="8">
        <v>0</v>
      </c>
      <c r="I3871" s="8">
        <v>0</v>
      </c>
      <c r="J3871" s="8">
        <v>1</v>
      </c>
      <c r="K3871" s="9">
        <v>1</v>
      </c>
      <c r="L3871" s="10">
        <v>1</v>
      </c>
      <c r="M3871" s="6">
        <v>1</v>
      </c>
      <c r="N3871" s="37" t="e" cm="1">
        <f t="array" ref="N3871">IF(OR(ISNUMBER(FIND(Aux!$D$3:$D$9,_xlfn.TEXTJOIN(,,C3871:K3871)))),NA(),IF(AND(SUM(C3871:F3871,H3871:K3871)=0,G3871=1),0,INT((SUMPRODUCT(C3871:F3871,COLUMN($A$1:$D$1)-1)+SUMPRODUCT(H3871:K3871,COLUMN($E$1:$H$1)-1))*'Line Follower'!$C$3/SUM(C3871:F3871,H3871:K3871)-'Line Follower'!$C$5)))</f>
        <v>#N/A</v>
      </c>
      <c r="O3871" s="22" t="e">
        <v>#N/A</v>
      </c>
      <c r="P3871" s="4" t="e">
        <f t="shared" si="300"/>
        <v>#N/A</v>
      </c>
      <c r="Q3871" s="4" t="e">
        <f t="shared" si="301"/>
        <v>#N/A</v>
      </c>
      <c r="R3871" s="4" t="e">
        <f>IF(AND(B3871=1,N3871&gt;'Line Follower'!$C$7,SUM(C3871:K3871)&lt;4),1,0)</f>
        <v>#N/A</v>
      </c>
      <c r="S3871" s="4" t="e">
        <f>IF(AND(L3871=1,N3871&lt;'Line Follower'!$C$6,SUM(C3871:K3871)&lt;4),1,0)</f>
        <v>#N/A</v>
      </c>
      <c r="T3871" s="4" t="e">
        <f t="shared" si="302"/>
        <v>#N/A</v>
      </c>
      <c r="U3871" s="5" t="e">
        <f t="shared" si="303"/>
        <v>#N/A</v>
      </c>
      <c r="V3871" s="23" t="e">
        <f t="shared" si="304"/>
        <v>#N/A</v>
      </c>
    </row>
    <row r="3872" spans="2:22" x14ac:dyDescent="0.25">
      <c r="B3872" s="16">
        <v>1</v>
      </c>
      <c r="C3872" s="7">
        <v>0</v>
      </c>
      <c r="D3872" s="8">
        <v>1</v>
      </c>
      <c r="E3872" s="8">
        <v>1</v>
      </c>
      <c r="F3872" s="8">
        <v>1</v>
      </c>
      <c r="G3872" s="8">
        <v>0</v>
      </c>
      <c r="H3872" s="8">
        <v>0</v>
      </c>
      <c r="I3872" s="8">
        <v>0</v>
      </c>
      <c r="J3872" s="8">
        <v>1</v>
      </c>
      <c r="K3872" s="9">
        <v>1</v>
      </c>
      <c r="L3872" s="10">
        <v>1</v>
      </c>
      <c r="M3872" s="6">
        <v>1</v>
      </c>
      <c r="N3872" s="37" t="e" cm="1">
        <f t="array" ref="N3872">IF(OR(ISNUMBER(FIND(Aux!$D$3:$D$9,_xlfn.TEXTJOIN(,,C3872:K3872)))),NA(),IF(AND(SUM(C3872:F3872,H3872:K3872)=0,G3872=1),0,INT((SUMPRODUCT(C3872:F3872,COLUMN($A$1:$D$1)-1)+SUMPRODUCT(H3872:K3872,COLUMN($E$1:$H$1)-1))*'Line Follower'!$C$3/SUM(C3872:F3872,H3872:K3872)-'Line Follower'!$C$5)))</f>
        <v>#N/A</v>
      </c>
      <c r="O3872" s="22" t="e">
        <v>#N/A</v>
      </c>
      <c r="P3872" s="4" t="e">
        <f t="shared" si="300"/>
        <v>#N/A</v>
      </c>
      <c r="Q3872" s="4" t="e">
        <f t="shared" si="301"/>
        <v>#N/A</v>
      </c>
      <c r="R3872" s="4" t="e">
        <f>IF(AND(B3872=1,N3872&gt;'Line Follower'!$C$7,SUM(C3872:K3872)&lt;4),1,0)</f>
        <v>#N/A</v>
      </c>
      <c r="S3872" s="4" t="e">
        <f>IF(AND(L3872=1,N3872&lt;'Line Follower'!$C$6,SUM(C3872:K3872)&lt;4),1,0)</f>
        <v>#N/A</v>
      </c>
      <c r="T3872" s="4" t="e">
        <f t="shared" si="302"/>
        <v>#N/A</v>
      </c>
      <c r="U3872" s="5" t="e">
        <f t="shared" si="303"/>
        <v>#N/A</v>
      </c>
      <c r="V3872" s="23" t="e">
        <f t="shared" si="304"/>
        <v>#N/A</v>
      </c>
    </row>
    <row r="3873" spans="2:22" x14ac:dyDescent="0.25">
      <c r="B3873" s="16">
        <v>0</v>
      </c>
      <c r="C3873" s="7">
        <v>1</v>
      </c>
      <c r="D3873" s="8">
        <v>1</v>
      </c>
      <c r="E3873" s="8">
        <v>1</v>
      </c>
      <c r="F3873" s="8">
        <v>1</v>
      </c>
      <c r="G3873" s="8">
        <v>0</v>
      </c>
      <c r="H3873" s="8">
        <v>0</v>
      </c>
      <c r="I3873" s="8">
        <v>0</v>
      </c>
      <c r="J3873" s="8">
        <v>1</v>
      </c>
      <c r="K3873" s="9">
        <v>1</v>
      </c>
      <c r="L3873" s="10">
        <v>1</v>
      </c>
      <c r="M3873" s="6">
        <v>1</v>
      </c>
      <c r="N3873" s="37" t="e" cm="1">
        <f t="array" ref="N3873">IF(OR(ISNUMBER(FIND(Aux!$D$3:$D$9,_xlfn.TEXTJOIN(,,C3873:K3873)))),NA(),IF(AND(SUM(C3873:F3873,H3873:K3873)=0,G3873=1),0,INT((SUMPRODUCT(C3873:F3873,COLUMN($A$1:$D$1)-1)+SUMPRODUCT(H3873:K3873,COLUMN($E$1:$H$1)-1))*'Line Follower'!$C$3/SUM(C3873:F3873,H3873:K3873)-'Line Follower'!$C$5)))</f>
        <v>#N/A</v>
      </c>
      <c r="O3873" s="22" t="e">
        <v>#N/A</v>
      </c>
      <c r="P3873" s="4" t="e">
        <f t="shared" si="300"/>
        <v>#N/A</v>
      </c>
      <c r="Q3873" s="4" t="e">
        <f t="shared" si="301"/>
        <v>#N/A</v>
      </c>
      <c r="R3873" s="4" t="e">
        <f>IF(AND(B3873=1,N3873&gt;'Line Follower'!$C$7,SUM(C3873:K3873)&lt;4),1,0)</f>
        <v>#N/A</v>
      </c>
      <c r="S3873" s="4" t="e">
        <f>IF(AND(L3873=1,N3873&lt;'Line Follower'!$C$6,SUM(C3873:K3873)&lt;4),1,0)</f>
        <v>#N/A</v>
      </c>
      <c r="T3873" s="4" t="e">
        <f t="shared" si="302"/>
        <v>#N/A</v>
      </c>
      <c r="U3873" s="5" t="e">
        <f t="shared" si="303"/>
        <v>#N/A</v>
      </c>
      <c r="V3873" s="23" t="e">
        <f t="shared" si="304"/>
        <v>#N/A</v>
      </c>
    </row>
    <row r="3874" spans="2:22" x14ac:dyDescent="0.25">
      <c r="B3874" s="16">
        <v>1</v>
      </c>
      <c r="C3874" s="7">
        <v>1</v>
      </c>
      <c r="D3874" s="8">
        <v>1</v>
      </c>
      <c r="E3874" s="8">
        <v>1</v>
      </c>
      <c r="F3874" s="8">
        <v>1</v>
      </c>
      <c r="G3874" s="8">
        <v>0</v>
      </c>
      <c r="H3874" s="8">
        <v>0</v>
      </c>
      <c r="I3874" s="8">
        <v>0</v>
      </c>
      <c r="J3874" s="8">
        <v>1</v>
      </c>
      <c r="K3874" s="9">
        <v>1</v>
      </c>
      <c r="L3874" s="10">
        <v>1</v>
      </c>
      <c r="M3874" s="6">
        <v>1</v>
      </c>
      <c r="N3874" s="37" t="e" cm="1">
        <f t="array" ref="N3874">IF(OR(ISNUMBER(FIND(Aux!$D$3:$D$9,_xlfn.TEXTJOIN(,,C3874:K3874)))),NA(),IF(AND(SUM(C3874:F3874,H3874:K3874)=0,G3874=1),0,INT((SUMPRODUCT(C3874:F3874,COLUMN($A$1:$D$1)-1)+SUMPRODUCT(H3874:K3874,COLUMN($E$1:$H$1)-1))*'Line Follower'!$C$3/SUM(C3874:F3874,H3874:K3874)-'Line Follower'!$C$5)))</f>
        <v>#N/A</v>
      </c>
      <c r="O3874" s="22" t="e">
        <v>#N/A</v>
      </c>
      <c r="P3874" s="4" t="e">
        <f t="shared" si="300"/>
        <v>#N/A</v>
      </c>
      <c r="Q3874" s="4" t="e">
        <f t="shared" si="301"/>
        <v>#N/A</v>
      </c>
      <c r="R3874" s="4" t="e">
        <f>IF(AND(B3874=1,N3874&gt;'Line Follower'!$C$7,SUM(C3874:K3874)&lt;4),1,0)</f>
        <v>#N/A</v>
      </c>
      <c r="S3874" s="4" t="e">
        <f>IF(AND(L3874=1,N3874&lt;'Line Follower'!$C$6,SUM(C3874:K3874)&lt;4),1,0)</f>
        <v>#N/A</v>
      </c>
      <c r="T3874" s="4" t="e">
        <f t="shared" si="302"/>
        <v>#N/A</v>
      </c>
      <c r="U3874" s="5" t="e">
        <f t="shared" si="303"/>
        <v>#N/A</v>
      </c>
      <c r="V3874" s="23" t="e">
        <f t="shared" si="304"/>
        <v>#N/A</v>
      </c>
    </row>
    <row r="3875" spans="2:22" x14ac:dyDescent="0.25">
      <c r="B3875" s="16">
        <v>0</v>
      </c>
      <c r="C3875" s="7">
        <v>0</v>
      </c>
      <c r="D3875" s="8">
        <v>0</v>
      </c>
      <c r="E3875" s="8">
        <v>0</v>
      </c>
      <c r="F3875" s="8">
        <v>0</v>
      </c>
      <c r="G3875" s="8">
        <v>1</v>
      </c>
      <c r="H3875" s="8">
        <v>0</v>
      </c>
      <c r="I3875" s="8">
        <v>0</v>
      </c>
      <c r="J3875" s="8">
        <v>1</v>
      </c>
      <c r="K3875" s="9">
        <v>1</v>
      </c>
      <c r="L3875" s="10">
        <v>1</v>
      </c>
      <c r="M3875" s="6">
        <v>1</v>
      </c>
      <c r="N3875" s="37" t="e" cm="1">
        <f t="array" ref="N3875">IF(OR(ISNUMBER(FIND(Aux!$D$3:$D$9,_xlfn.TEXTJOIN(,,C3875:K3875)))),NA(),IF(AND(SUM(C3875:F3875,H3875:K3875)=0,G3875=1),0,INT((SUMPRODUCT(C3875:F3875,COLUMN($A$1:$D$1)-1)+SUMPRODUCT(H3875:K3875,COLUMN($E$1:$H$1)-1))*'Line Follower'!$C$3/SUM(C3875:F3875,H3875:K3875)-'Line Follower'!$C$5)))</f>
        <v>#N/A</v>
      </c>
      <c r="O3875" s="22" t="e">
        <v>#N/A</v>
      </c>
      <c r="P3875" s="4" t="e">
        <f t="shared" si="300"/>
        <v>#N/A</v>
      </c>
      <c r="Q3875" s="4" t="e">
        <f t="shared" si="301"/>
        <v>#N/A</v>
      </c>
      <c r="R3875" s="4" t="e">
        <f>IF(AND(B3875=1,N3875&gt;'Line Follower'!$C$7,SUM(C3875:K3875)&lt;4),1,0)</f>
        <v>#N/A</v>
      </c>
      <c r="S3875" s="4" t="e">
        <f>IF(AND(L3875=1,N3875&lt;'Line Follower'!$C$6,SUM(C3875:K3875)&lt;4),1,0)</f>
        <v>#N/A</v>
      </c>
      <c r="T3875" s="4" t="e">
        <f t="shared" si="302"/>
        <v>#N/A</v>
      </c>
      <c r="U3875" s="5" t="e">
        <f t="shared" si="303"/>
        <v>#N/A</v>
      </c>
      <c r="V3875" s="23" t="e">
        <f t="shared" si="304"/>
        <v>#N/A</v>
      </c>
    </row>
    <row r="3876" spans="2:22" x14ac:dyDescent="0.25">
      <c r="B3876" s="16">
        <v>1</v>
      </c>
      <c r="C3876" s="7">
        <v>0</v>
      </c>
      <c r="D3876" s="8">
        <v>0</v>
      </c>
      <c r="E3876" s="8">
        <v>0</v>
      </c>
      <c r="F3876" s="8">
        <v>0</v>
      </c>
      <c r="G3876" s="8">
        <v>1</v>
      </c>
      <c r="H3876" s="8">
        <v>0</v>
      </c>
      <c r="I3876" s="8">
        <v>0</v>
      </c>
      <c r="J3876" s="8">
        <v>1</v>
      </c>
      <c r="K3876" s="9">
        <v>1</v>
      </c>
      <c r="L3876" s="10">
        <v>1</v>
      </c>
      <c r="M3876" s="6">
        <v>1</v>
      </c>
      <c r="N3876" s="37" t="e" cm="1">
        <f t="array" ref="N3876">IF(OR(ISNUMBER(FIND(Aux!$D$3:$D$9,_xlfn.TEXTJOIN(,,C3876:K3876)))),NA(),IF(AND(SUM(C3876:F3876,H3876:K3876)=0,G3876=1),0,INT((SUMPRODUCT(C3876:F3876,COLUMN($A$1:$D$1)-1)+SUMPRODUCT(H3876:K3876,COLUMN($E$1:$H$1)-1))*'Line Follower'!$C$3/SUM(C3876:F3876,H3876:K3876)-'Line Follower'!$C$5)))</f>
        <v>#N/A</v>
      </c>
      <c r="O3876" s="22" t="e">
        <v>#N/A</v>
      </c>
      <c r="P3876" s="4" t="e">
        <f t="shared" si="300"/>
        <v>#N/A</v>
      </c>
      <c r="Q3876" s="4" t="e">
        <f t="shared" si="301"/>
        <v>#N/A</v>
      </c>
      <c r="R3876" s="4" t="e">
        <f>IF(AND(B3876=1,N3876&gt;'Line Follower'!$C$7,SUM(C3876:K3876)&lt;4),1,0)</f>
        <v>#N/A</v>
      </c>
      <c r="S3876" s="4" t="e">
        <f>IF(AND(L3876=1,N3876&lt;'Line Follower'!$C$6,SUM(C3876:K3876)&lt;4),1,0)</f>
        <v>#N/A</v>
      </c>
      <c r="T3876" s="4" t="e">
        <f t="shared" si="302"/>
        <v>#N/A</v>
      </c>
      <c r="U3876" s="5" t="e">
        <f t="shared" si="303"/>
        <v>#N/A</v>
      </c>
      <c r="V3876" s="23" t="e">
        <f t="shared" si="304"/>
        <v>#N/A</v>
      </c>
    </row>
    <row r="3877" spans="2:22" x14ac:dyDescent="0.25">
      <c r="B3877" s="16">
        <v>0</v>
      </c>
      <c r="C3877" s="7">
        <v>1</v>
      </c>
      <c r="D3877" s="8">
        <v>0</v>
      </c>
      <c r="E3877" s="8">
        <v>0</v>
      </c>
      <c r="F3877" s="8">
        <v>0</v>
      </c>
      <c r="G3877" s="8">
        <v>1</v>
      </c>
      <c r="H3877" s="8">
        <v>0</v>
      </c>
      <c r="I3877" s="8">
        <v>0</v>
      </c>
      <c r="J3877" s="8">
        <v>1</v>
      </c>
      <c r="K3877" s="9">
        <v>1</v>
      </c>
      <c r="L3877" s="10">
        <v>1</v>
      </c>
      <c r="M3877" s="6">
        <v>1</v>
      </c>
      <c r="N3877" s="37" t="e" cm="1">
        <f t="array" ref="N3877">IF(OR(ISNUMBER(FIND(Aux!$D$3:$D$9,_xlfn.TEXTJOIN(,,C3877:K3877)))),NA(),IF(AND(SUM(C3877:F3877,H3877:K3877)=0,G3877=1),0,INT((SUMPRODUCT(C3877:F3877,COLUMN($A$1:$D$1)-1)+SUMPRODUCT(H3877:K3877,COLUMN($E$1:$H$1)-1))*'Line Follower'!$C$3/SUM(C3877:F3877,H3877:K3877)-'Line Follower'!$C$5)))</f>
        <v>#N/A</v>
      </c>
      <c r="O3877" s="22" t="e">
        <v>#N/A</v>
      </c>
      <c r="P3877" s="4" t="e">
        <f t="shared" si="300"/>
        <v>#N/A</v>
      </c>
      <c r="Q3877" s="4" t="e">
        <f t="shared" si="301"/>
        <v>#N/A</v>
      </c>
      <c r="R3877" s="4" t="e">
        <f>IF(AND(B3877=1,N3877&gt;'Line Follower'!$C$7,SUM(C3877:K3877)&lt;4),1,0)</f>
        <v>#N/A</v>
      </c>
      <c r="S3877" s="4" t="e">
        <f>IF(AND(L3877=1,N3877&lt;'Line Follower'!$C$6,SUM(C3877:K3877)&lt;4),1,0)</f>
        <v>#N/A</v>
      </c>
      <c r="T3877" s="4" t="e">
        <f t="shared" si="302"/>
        <v>#N/A</v>
      </c>
      <c r="U3877" s="5" t="e">
        <f t="shared" si="303"/>
        <v>#N/A</v>
      </c>
      <c r="V3877" s="23" t="e">
        <f t="shared" si="304"/>
        <v>#N/A</v>
      </c>
    </row>
    <row r="3878" spans="2:22" x14ac:dyDescent="0.25">
      <c r="B3878" s="16">
        <v>1</v>
      </c>
      <c r="C3878" s="7">
        <v>1</v>
      </c>
      <c r="D3878" s="8">
        <v>0</v>
      </c>
      <c r="E3878" s="8">
        <v>0</v>
      </c>
      <c r="F3878" s="8">
        <v>0</v>
      </c>
      <c r="G3878" s="8">
        <v>1</v>
      </c>
      <c r="H3878" s="8">
        <v>0</v>
      </c>
      <c r="I3878" s="8">
        <v>0</v>
      </c>
      <c r="J3878" s="8">
        <v>1</v>
      </c>
      <c r="K3878" s="9">
        <v>1</v>
      </c>
      <c r="L3878" s="10">
        <v>1</v>
      </c>
      <c r="M3878" s="6">
        <v>1</v>
      </c>
      <c r="N3878" s="37" t="e" cm="1">
        <f t="array" ref="N3878">IF(OR(ISNUMBER(FIND(Aux!$D$3:$D$9,_xlfn.TEXTJOIN(,,C3878:K3878)))),NA(),IF(AND(SUM(C3878:F3878,H3878:K3878)=0,G3878=1),0,INT((SUMPRODUCT(C3878:F3878,COLUMN($A$1:$D$1)-1)+SUMPRODUCT(H3878:K3878,COLUMN($E$1:$H$1)-1))*'Line Follower'!$C$3/SUM(C3878:F3878,H3878:K3878)-'Line Follower'!$C$5)))</f>
        <v>#N/A</v>
      </c>
      <c r="O3878" s="22" t="e">
        <v>#N/A</v>
      </c>
      <c r="P3878" s="4" t="e">
        <f t="shared" si="300"/>
        <v>#N/A</v>
      </c>
      <c r="Q3878" s="4" t="e">
        <f t="shared" si="301"/>
        <v>#N/A</v>
      </c>
      <c r="R3878" s="4" t="e">
        <f>IF(AND(B3878=1,N3878&gt;'Line Follower'!$C$7,SUM(C3878:K3878)&lt;4),1,0)</f>
        <v>#N/A</v>
      </c>
      <c r="S3878" s="4" t="e">
        <f>IF(AND(L3878=1,N3878&lt;'Line Follower'!$C$6,SUM(C3878:K3878)&lt;4),1,0)</f>
        <v>#N/A</v>
      </c>
      <c r="T3878" s="4" t="e">
        <f t="shared" si="302"/>
        <v>#N/A</v>
      </c>
      <c r="U3878" s="5" t="e">
        <f t="shared" si="303"/>
        <v>#N/A</v>
      </c>
      <c r="V3878" s="23" t="e">
        <f t="shared" si="304"/>
        <v>#N/A</v>
      </c>
    </row>
    <row r="3879" spans="2:22" x14ac:dyDescent="0.25">
      <c r="B3879" s="16">
        <v>0</v>
      </c>
      <c r="C3879" s="7">
        <v>0</v>
      </c>
      <c r="D3879" s="8">
        <v>1</v>
      </c>
      <c r="E3879" s="8">
        <v>0</v>
      </c>
      <c r="F3879" s="8">
        <v>0</v>
      </c>
      <c r="G3879" s="8">
        <v>1</v>
      </c>
      <c r="H3879" s="8">
        <v>0</v>
      </c>
      <c r="I3879" s="8">
        <v>0</v>
      </c>
      <c r="J3879" s="8">
        <v>1</v>
      </c>
      <c r="K3879" s="9">
        <v>1</v>
      </c>
      <c r="L3879" s="10">
        <v>1</v>
      </c>
      <c r="M3879" s="6">
        <v>1</v>
      </c>
      <c r="N3879" s="37" t="e" cm="1">
        <f t="array" ref="N3879">IF(OR(ISNUMBER(FIND(Aux!$D$3:$D$9,_xlfn.TEXTJOIN(,,C3879:K3879)))),NA(),IF(AND(SUM(C3879:F3879,H3879:K3879)=0,G3879=1),0,INT((SUMPRODUCT(C3879:F3879,COLUMN($A$1:$D$1)-1)+SUMPRODUCT(H3879:K3879,COLUMN($E$1:$H$1)-1))*'Line Follower'!$C$3/SUM(C3879:F3879,H3879:K3879)-'Line Follower'!$C$5)))</f>
        <v>#N/A</v>
      </c>
      <c r="O3879" s="22" t="e">
        <v>#N/A</v>
      </c>
      <c r="P3879" s="4" t="e">
        <f t="shared" si="300"/>
        <v>#N/A</v>
      </c>
      <c r="Q3879" s="4" t="e">
        <f t="shared" si="301"/>
        <v>#N/A</v>
      </c>
      <c r="R3879" s="4" t="e">
        <f>IF(AND(B3879=1,N3879&gt;'Line Follower'!$C$7,SUM(C3879:K3879)&lt;4),1,0)</f>
        <v>#N/A</v>
      </c>
      <c r="S3879" s="4" t="e">
        <f>IF(AND(L3879=1,N3879&lt;'Line Follower'!$C$6,SUM(C3879:K3879)&lt;4),1,0)</f>
        <v>#N/A</v>
      </c>
      <c r="T3879" s="4" t="e">
        <f t="shared" si="302"/>
        <v>#N/A</v>
      </c>
      <c r="U3879" s="5" t="e">
        <f t="shared" si="303"/>
        <v>#N/A</v>
      </c>
      <c r="V3879" s="23" t="e">
        <f t="shared" si="304"/>
        <v>#N/A</v>
      </c>
    </row>
    <row r="3880" spans="2:22" x14ac:dyDescent="0.25">
      <c r="B3880" s="16">
        <v>1</v>
      </c>
      <c r="C3880" s="7">
        <v>0</v>
      </c>
      <c r="D3880" s="8">
        <v>1</v>
      </c>
      <c r="E3880" s="8">
        <v>0</v>
      </c>
      <c r="F3880" s="8">
        <v>0</v>
      </c>
      <c r="G3880" s="8">
        <v>1</v>
      </c>
      <c r="H3880" s="8">
        <v>0</v>
      </c>
      <c r="I3880" s="8">
        <v>0</v>
      </c>
      <c r="J3880" s="8">
        <v>1</v>
      </c>
      <c r="K3880" s="9">
        <v>1</v>
      </c>
      <c r="L3880" s="10">
        <v>1</v>
      </c>
      <c r="M3880" s="6">
        <v>1</v>
      </c>
      <c r="N3880" s="37" t="e" cm="1">
        <f t="array" ref="N3880">IF(OR(ISNUMBER(FIND(Aux!$D$3:$D$9,_xlfn.TEXTJOIN(,,C3880:K3880)))),NA(),IF(AND(SUM(C3880:F3880,H3880:K3880)=0,G3880=1),0,INT((SUMPRODUCT(C3880:F3880,COLUMN($A$1:$D$1)-1)+SUMPRODUCT(H3880:K3880,COLUMN($E$1:$H$1)-1))*'Line Follower'!$C$3/SUM(C3880:F3880,H3880:K3880)-'Line Follower'!$C$5)))</f>
        <v>#N/A</v>
      </c>
      <c r="O3880" s="22" t="e">
        <v>#N/A</v>
      </c>
      <c r="P3880" s="4" t="e">
        <f t="shared" si="300"/>
        <v>#N/A</v>
      </c>
      <c r="Q3880" s="4" t="e">
        <f t="shared" si="301"/>
        <v>#N/A</v>
      </c>
      <c r="R3880" s="4" t="e">
        <f>IF(AND(B3880=1,N3880&gt;'Line Follower'!$C$7,SUM(C3880:K3880)&lt;4),1,0)</f>
        <v>#N/A</v>
      </c>
      <c r="S3880" s="4" t="e">
        <f>IF(AND(L3880=1,N3880&lt;'Line Follower'!$C$6,SUM(C3880:K3880)&lt;4),1,0)</f>
        <v>#N/A</v>
      </c>
      <c r="T3880" s="4" t="e">
        <f t="shared" si="302"/>
        <v>#N/A</v>
      </c>
      <c r="U3880" s="5" t="e">
        <f t="shared" si="303"/>
        <v>#N/A</v>
      </c>
      <c r="V3880" s="23" t="e">
        <f t="shared" si="304"/>
        <v>#N/A</v>
      </c>
    </row>
    <row r="3881" spans="2:22" x14ac:dyDescent="0.25">
      <c r="B3881" s="16">
        <v>0</v>
      </c>
      <c r="C3881" s="7">
        <v>1</v>
      </c>
      <c r="D3881" s="8">
        <v>1</v>
      </c>
      <c r="E3881" s="8">
        <v>0</v>
      </c>
      <c r="F3881" s="8">
        <v>0</v>
      </c>
      <c r="G3881" s="8">
        <v>1</v>
      </c>
      <c r="H3881" s="8">
        <v>0</v>
      </c>
      <c r="I3881" s="8">
        <v>0</v>
      </c>
      <c r="J3881" s="8">
        <v>1</v>
      </c>
      <c r="K3881" s="9">
        <v>1</v>
      </c>
      <c r="L3881" s="10">
        <v>1</v>
      </c>
      <c r="M3881" s="6">
        <v>1</v>
      </c>
      <c r="N3881" s="37" t="e" cm="1">
        <f t="array" ref="N3881">IF(OR(ISNUMBER(FIND(Aux!$D$3:$D$9,_xlfn.TEXTJOIN(,,C3881:K3881)))),NA(),IF(AND(SUM(C3881:F3881,H3881:K3881)=0,G3881=1),0,INT((SUMPRODUCT(C3881:F3881,COLUMN($A$1:$D$1)-1)+SUMPRODUCT(H3881:K3881,COLUMN($E$1:$H$1)-1))*'Line Follower'!$C$3/SUM(C3881:F3881,H3881:K3881)-'Line Follower'!$C$5)))</f>
        <v>#N/A</v>
      </c>
      <c r="O3881" s="22" t="e">
        <v>#N/A</v>
      </c>
      <c r="P3881" s="4" t="e">
        <f t="shared" si="300"/>
        <v>#N/A</v>
      </c>
      <c r="Q3881" s="4" t="e">
        <f t="shared" si="301"/>
        <v>#N/A</v>
      </c>
      <c r="R3881" s="4" t="e">
        <f>IF(AND(B3881=1,N3881&gt;'Line Follower'!$C$7,SUM(C3881:K3881)&lt;4),1,0)</f>
        <v>#N/A</v>
      </c>
      <c r="S3881" s="4" t="e">
        <f>IF(AND(L3881=1,N3881&lt;'Line Follower'!$C$6,SUM(C3881:K3881)&lt;4),1,0)</f>
        <v>#N/A</v>
      </c>
      <c r="T3881" s="4" t="e">
        <f t="shared" si="302"/>
        <v>#N/A</v>
      </c>
      <c r="U3881" s="5" t="e">
        <f t="shared" si="303"/>
        <v>#N/A</v>
      </c>
      <c r="V3881" s="23" t="e">
        <f t="shared" si="304"/>
        <v>#N/A</v>
      </c>
    </row>
    <row r="3882" spans="2:22" x14ac:dyDescent="0.25">
      <c r="B3882" s="16">
        <v>1</v>
      </c>
      <c r="C3882" s="7">
        <v>1</v>
      </c>
      <c r="D3882" s="8">
        <v>1</v>
      </c>
      <c r="E3882" s="8">
        <v>0</v>
      </c>
      <c r="F3882" s="8">
        <v>0</v>
      </c>
      <c r="G3882" s="8">
        <v>1</v>
      </c>
      <c r="H3882" s="8">
        <v>0</v>
      </c>
      <c r="I3882" s="8">
        <v>0</v>
      </c>
      <c r="J3882" s="8">
        <v>1</v>
      </c>
      <c r="K3882" s="9">
        <v>1</v>
      </c>
      <c r="L3882" s="10">
        <v>1</v>
      </c>
      <c r="M3882" s="6">
        <v>1</v>
      </c>
      <c r="N3882" s="37" t="e" cm="1">
        <f t="array" ref="N3882">IF(OR(ISNUMBER(FIND(Aux!$D$3:$D$9,_xlfn.TEXTJOIN(,,C3882:K3882)))),NA(),IF(AND(SUM(C3882:F3882,H3882:K3882)=0,G3882=1),0,INT((SUMPRODUCT(C3882:F3882,COLUMN($A$1:$D$1)-1)+SUMPRODUCT(H3882:K3882,COLUMN($E$1:$H$1)-1))*'Line Follower'!$C$3/SUM(C3882:F3882,H3882:K3882)-'Line Follower'!$C$5)))</f>
        <v>#N/A</v>
      </c>
      <c r="O3882" s="22" t="e">
        <v>#N/A</v>
      </c>
      <c r="P3882" s="4" t="e">
        <f t="shared" si="300"/>
        <v>#N/A</v>
      </c>
      <c r="Q3882" s="4" t="e">
        <f t="shared" si="301"/>
        <v>#N/A</v>
      </c>
      <c r="R3882" s="4" t="e">
        <f>IF(AND(B3882=1,N3882&gt;'Line Follower'!$C$7,SUM(C3882:K3882)&lt;4),1,0)</f>
        <v>#N/A</v>
      </c>
      <c r="S3882" s="4" t="e">
        <f>IF(AND(L3882=1,N3882&lt;'Line Follower'!$C$6,SUM(C3882:K3882)&lt;4),1,0)</f>
        <v>#N/A</v>
      </c>
      <c r="T3882" s="4" t="e">
        <f t="shared" si="302"/>
        <v>#N/A</v>
      </c>
      <c r="U3882" s="5" t="e">
        <f t="shared" si="303"/>
        <v>#N/A</v>
      </c>
      <c r="V3882" s="23" t="e">
        <f t="shared" si="304"/>
        <v>#N/A</v>
      </c>
    </row>
    <row r="3883" spans="2:22" x14ac:dyDescent="0.25">
      <c r="B3883" s="16">
        <v>0</v>
      </c>
      <c r="C3883" s="7">
        <v>0</v>
      </c>
      <c r="D3883" s="8">
        <v>0</v>
      </c>
      <c r="E3883" s="8">
        <v>1</v>
      </c>
      <c r="F3883" s="8">
        <v>0</v>
      </c>
      <c r="G3883" s="8">
        <v>1</v>
      </c>
      <c r="H3883" s="8">
        <v>0</v>
      </c>
      <c r="I3883" s="8">
        <v>0</v>
      </c>
      <c r="J3883" s="8">
        <v>1</v>
      </c>
      <c r="K3883" s="9">
        <v>1</v>
      </c>
      <c r="L3883" s="10">
        <v>1</v>
      </c>
      <c r="M3883" s="6">
        <v>1</v>
      </c>
      <c r="N3883" s="37" t="e" cm="1">
        <f t="array" ref="N3883">IF(OR(ISNUMBER(FIND(Aux!$D$3:$D$9,_xlfn.TEXTJOIN(,,C3883:K3883)))),NA(),IF(AND(SUM(C3883:F3883,H3883:K3883)=0,G3883=1),0,INT((SUMPRODUCT(C3883:F3883,COLUMN($A$1:$D$1)-1)+SUMPRODUCT(H3883:K3883,COLUMN($E$1:$H$1)-1))*'Line Follower'!$C$3/SUM(C3883:F3883,H3883:K3883)-'Line Follower'!$C$5)))</f>
        <v>#N/A</v>
      </c>
      <c r="O3883" s="22" t="e">
        <v>#N/A</v>
      </c>
      <c r="P3883" s="4" t="e">
        <f t="shared" si="300"/>
        <v>#N/A</v>
      </c>
      <c r="Q3883" s="4" t="e">
        <f t="shared" si="301"/>
        <v>#N/A</v>
      </c>
      <c r="R3883" s="4" t="e">
        <f>IF(AND(B3883=1,N3883&gt;'Line Follower'!$C$7,SUM(C3883:K3883)&lt;4),1,0)</f>
        <v>#N/A</v>
      </c>
      <c r="S3883" s="4" t="e">
        <f>IF(AND(L3883=1,N3883&lt;'Line Follower'!$C$6,SUM(C3883:K3883)&lt;4),1,0)</f>
        <v>#N/A</v>
      </c>
      <c r="T3883" s="4" t="e">
        <f t="shared" si="302"/>
        <v>#N/A</v>
      </c>
      <c r="U3883" s="5" t="e">
        <f t="shared" si="303"/>
        <v>#N/A</v>
      </c>
      <c r="V3883" s="23" t="e">
        <f t="shared" si="304"/>
        <v>#N/A</v>
      </c>
    </row>
    <row r="3884" spans="2:22" x14ac:dyDescent="0.25">
      <c r="B3884" s="16">
        <v>1</v>
      </c>
      <c r="C3884" s="7">
        <v>0</v>
      </c>
      <c r="D3884" s="8">
        <v>0</v>
      </c>
      <c r="E3884" s="8">
        <v>1</v>
      </c>
      <c r="F3884" s="8">
        <v>0</v>
      </c>
      <c r="G3884" s="8">
        <v>1</v>
      </c>
      <c r="H3884" s="8">
        <v>0</v>
      </c>
      <c r="I3884" s="8">
        <v>0</v>
      </c>
      <c r="J3884" s="8">
        <v>1</v>
      </c>
      <c r="K3884" s="9">
        <v>1</v>
      </c>
      <c r="L3884" s="10">
        <v>1</v>
      </c>
      <c r="M3884" s="6">
        <v>1</v>
      </c>
      <c r="N3884" s="37" t="e" cm="1">
        <f t="array" ref="N3884">IF(OR(ISNUMBER(FIND(Aux!$D$3:$D$9,_xlfn.TEXTJOIN(,,C3884:K3884)))),NA(),IF(AND(SUM(C3884:F3884,H3884:K3884)=0,G3884=1),0,INT((SUMPRODUCT(C3884:F3884,COLUMN($A$1:$D$1)-1)+SUMPRODUCT(H3884:K3884,COLUMN($E$1:$H$1)-1))*'Line Follower'!$C$3/SUM(C3884:F3884,H3884:K3884)-'Line Follower'!$C$5)))</f>
        <v>#N/A</v>
      </c>
      <c r="O3884" s="22" t="e">
        <v>#N/A</v>
      </c>
      <c r="P3884" s="4" t="e">
        <f t="shared" si="300"/>
        <v>#N/A</v>
      </c>
      <c r="Q3884" s="4" t="e">
        <f t="shared" si="301"/>
        <v>#N/A</v>
      </c>
      <c r="R3884" s="4" t="e">
        <f>IF(AND(B3884=1,N3884&gt;'Line Follower'!$C$7,SUM(C3884:K3884)&lt;4),1,0)</f>
        <v>#N/A</v>
      </c>
      <c r="S3884" s="4" t="e">
        <f>IF(AND(L3884=1,N3884&lt;'Line Follower'!$C$6,SUM(C3884:K3884)&lt;4),1,0)</f>
        <v>#N/A</v>
      </c>
      <c r="T3884" s="4" t="e">
        <f t="shared" si="302"/>
        <v>#N/A</v>
      </c>
      <c r="U3884" s="5" t="e">
        <f t="shared" si="303"/>
        <v>#N/A</v>
      </c>
      <c r="V3884" s="23" t="e">
        <f t="shared" si="304"/>
        <v>#N/A</v>
      </c>
    </row>
    <row r="3885" spans="2:22" x14ac:dyDescent="0.25">
      <c r="B3885" s="16">
        <v>0</v>
      </c>
      <c r="C3885" s="7">
        <v>1</v>
      </c>
      <c r="D3885" s="8">
        <v>0</v>
      </c>
      <c r="E3885" s="8">
        <v>1</v>
      </c>
      <c r="F3885" s="8">
        <v>0</v>
      </c>
      <c r="G3885" s="8">
        <v>1</v>
      </c>
      <c r="H3885" s="8">
        <v>0</v>
      </c>
      <c r="I3885" s="8">
        <v>0</v>
      </c>
      <c r="J3885" s="8">
        <v>1</v>
      </c>
      <c r="K3885" s="9">
        <v>1</v>
      </c>
      <c r="L3885" s="10">
        <v>1</v>
      </c>
      <c r="M3885" s="6">
        <v>1</v>
      </c>
      <c r="N3885" s="37" t="e" cm="1">
        <f t="array" ref="N3885">IF(OR(ISNUMBER(FIND(Aux!$D$3:$D$9,_xlfn.TEXTJOIN(,,C3885:K3885)))),NA(),IF(AND(SUM(C3885:F3885,H3885:K3885)=0,G3885=1),0,INT((SUMPRODUCT(C3885:F3885,COLUMN($A$1:$D$1)-1)+SUMPRODUCT(H3885:K3885,COLUMN($E$1:$H$1)-1))*'Line Follower'!$C$3/SUM(C3885:F3885,H3885:K3885)-'Line Follower'!$C$5)))</f>
        <v>#N/A</v>
      </c>
      <c r="O3885" s="22" t="e">
        <v>#N/A</v>
      </c>
      <c r="P3885" s="4" t="e">
        <f t="shared" si="300"/>
        <v>#N/A</v>
      </c>
      <c r="Q3885" s="4" t="e">
        <f t="shared" si="301"/>
        <v>#N/A</v>
      </c>
      <c r="R3885" s="4" t="e">
        <f>IF(AND(B3885=1,N3885&gt;'Line Follower'!$C$7,SUM(C3885:K3885)&lt;4),1,0)</f>
        <v>#N/A</v>
      </c>
      <c r="S3885" s="4" t="e">
        <f>IF(AND(L3885=1,N3885&lt;'Line Follower'!$C$6,SUM(C3885:K3885)&lt;4),1,0)</f>
        <v>#N/A</v>
      </c>
      <c r="T3885" s="4" t="e">
        <f t="shared" si="302"/>
        <v>#N/A</v>
      </c>
      <c r="U3885" s="5" t="e">
        <f t="shared" si="303"/>
        <v>#N/A</v>
      </c>
      <c r="V3885" s="23" t="e">
        <f t="shared" si="304"/>
        <v>#N/A</v>
      </c>
    </row>
    <row r="3886" spans="2:22" x14ac:dyDescent="0.25">
      <c r="B3886" s="16">
        <v>1</v>
      </c>
      <c r="C3886" s="7">
        <v>1</v>
      </c>
      <c r="D3886" s="8">
        <v>0</v>
      </c>
      <c r="E3886" s="8">
        <v>1</v>
      </c>
      <c r="F3886" s="8">
        <v>0</v>
      </c>
      <c r="G3886" s="8">
        <v>1</v>
      </c>
      <c r="H3886" s="8">
        <v>0</v>
      </c>
      <c r="I3886" s="8">
        <v>0</v>
      </c>
      <c r="J3886" s="8">
        <v>1</v>
      </c>
      <c r="K3886" s="9">
        <v>1</v>
      </c>
      <c r="L3886" s="10">
        <v>1</v>
      </c>
      <c r="M3886" s="6">
        <v>1</v>
      </c>
      <c r="N3886" s="37" t="e" cm="1">
        <f t="array" ref="N3886">IF(OR(ISNUMBER(FIND(Aux!$D$3:$D$9,_xlfn.TEXTJOIN(,,C3886:K3886)))),NA(),IF(AND(SUM(C3886:F3886,H3886:K3886)=0,G3886=1),0,INT((SUMPRODUCT(C3886:F3886,COLUMN($A$1:$D$1)-1)+SUMPRODUCT(H3886:K3886,COLUMN($E$1:$H$1)-1))*'Line Follower'!$C$3/SUM(C3886:F3886,H3886:K3886)-'Line Follower'!$C$5)))</f>
        <v>#N/A</v>
      </c>
      <c r="O3886" s="22" t="e">
        <v>#N/A</v>
      </c>
      <c r="P3886" s="4" t="e">
        <f t="shared" si="300"/>
        <v>#N/A</v>
      </c>
      <c r="Q3886" s="4" t="e">
        <f t="shared" si="301"/>
        <v>#N/A</v>
      </c>
      <c r="R3886" s="4" t="e">
        <f>IF(AND(B3886=1,N3886&gt;'Line Follower'!$C$7,SUM(C3886:K3886)&lt;4),1,0)</f>
        <v>#N/A</v>
      </c>
      <c r="S3886" s="4" t="e">
        <f>IF(AND(L3886=1,N3886&lt;'Line Follower'!$C$6,SUM(C3886:K3886)&lt;4),1,0)</f>
        <v>#N/A</v>
      </c>
      <c r="T3886" s="4" t="e">
        <f t="shared" si="302"/>
        <v>#N/A</v>
      </c>
      <c r="U3886" s="5" t="e">
        <f t="shared" si="303"/>
        <v>#N/A</v>
      </c>
      <c r="V3886" s="23" t="e">
        <f t="shared" si="304"/>
        <v>#N/A</v>
      </c>
    </row>
    <row r="3887" spans="2:22" x14ac:dyDescent="0.25">
      <c r="B3887" s="16">
        <v>0</v>
      </c>
      <c r="C3887" s="7">
        <v>0</v>
      </c>
      <c r="D3887" s="8">
        <v>1</v>
      </c>
      <c r="E3887" s="8">
        <v>1</v>
      </c>
      <c r="F3887" s="8">
        <v>0</v>
      </c>
      <c r="G3887" s="8">
        <v>1</v>
      </c>
      <c r="H3887" s="8">
        <v>0</v>
      </c>
      <c r="I3887" s="8">
        <v>0</v>
      </c>
      <c r="J3887" s="8">
        <v>1</v>
      </c>
      <c r="K3887" s="9">
        <v>1</v>
      </c>
      <c r="L3887" s="10">
        <v>1</v>
      </c>
      <c r="M3887" s="6">
        <v>1</v>
      </c>
      <c r="N3887" s="37" t="e" cm="1">
        <f t="array" ref="N3887">IF(OR(ISNUMBER(FIND(Aux!$D$3:$D$9,_xlfn.TEXTJOIN(,,C3887:K3887)))),NA(),IF(AND(SUM(C3887:F3887,H3887:K3887)=0,G3887=1),0,INT((SUMPRODUCT(C3887:F3887,COLUMN($A$1:$D$1)-1)+SUMPRODUCT(H3887:K3887,COLUMN($E$1:$H$1)-1))*'Line Follower'!$C$3/SUM(C3887:F3887,H3887:K3887)-'Line Follower'!$C$5)))</f>
        <v>#N/A</v>
      </c>
      <c r="O3887" s="22" t="e">
        <v>#N/A</v>
      </c>
      <c r="P3887" s="4" t="e">
        <f t="shared" si="300"/>
        <v>#N/A</v>
      </c>
      <c r="Q3887" s="4" t="e">
        <f t="shared" si="301"/>
        <v>#N/A</v>
      </c>
      <c r="R3887" s="4" t="e">
        <f>IF(AND(B3887=1,N3887&gt;'Line Follower'!$C$7,SUM(C3887:K3887)&lt;4),1,0)</f>
        <v>#N/A</v>
      </c>
      <c r="S3887" s="4" t="e">
        <f>IF(AND(L3887=1,N3887&lt;'Line Follower'!$C$6,SUM(C3887:K3887)&lt;4),1,0)</f>
        <v>#N/A</v>
      </c>
      <c r="T3887" s="4" t="e">
        <f t="shared" si="302"/>
        <v>#N/A</v>
      </c>
      <c r="U3887" s="5" t="e">
        <f t="shared" si="303"/>
        <v>#N/A</v>
      </c>
      <c r="V3887" s="23" t="e">
        <f t="shared" si="304"/>
        <v>#N/A</v>
      </c>
    </row>
    <row r="3888" spans="2:22" x14ac:dyDescent="0.25">
      <c r="B3888" s="16">
        <v>1</v>
      </c>
      <c r="C3888" s="7">
        <v>0</v>
      </c>
      <c r="D3888" s="8">
        <v>1</v>
      </c>
      <c r="E3888" s="8">
        <v>1</v>
      </c>
      <c r="F3888" s="8">
        <v>0</v>
      </c>
      <c r="G3888" s="8">
        <v>1</v>
      </c>
      <c r="H3888" s="8">
        <v>0</v>
      </c>
      <c r="I3888" s="8">
        <v>0</v>
      </c>
      <c r="J3888" s="8">
        <v>1</v>
      </c>
      <c r="K3888" s="9">
        <v>1</v>
      </c>
      <c r="L3888" s="10">
        <v>1</v>
      </c>
      <c r="M3888" s="6">
        <v>1</v>
      </c>
      <c r="N3888" s="37" t="e" cm="1">
        <f t="array" ref="N3888">IF(OR(ISNUMBER(FIND(Aux!$D$3:$D$9,_xlfn.TEXTJOIN(,,C3888:K3888)))),NA(),IF(AND(SUM(C3888:F3888,H3888:K3888)=0,G3888=1),0,INT((SUMPRODUCT(C3888:F3888,COLUMN($A$1:$D$1)-1)+SUMPRODUCT(H3888:K3888,COLUMN($E$1:$H$1)-1))*'Line Follower'!$C$3/SUM(C3888:F3888,H3888:K3888)-'Line Follower'!$C$5)))</f>
        <v>#N/A</v>
      </c>
      <c r="O3888" s="22" t="e">
        <v>#N/A</v>
      </c>
      <c r="P3888" s="4" t="e">
        <f t="shared" si="300"/>
        <v>#N/A</v>
      </c>
      <c r="Q3888" s="4" t="e">
        <f t="shared" si="301"/>
        <v>#N/A</v>
      </c>
      <c r="R3888" s="4" t="e">
        <f>IF(AND(B3888=1,N3888&gt;'Line Follower'!$C$7,SUM(C3888:K3888)&lt;4),1,0)</f>
        <v>#N/A</v>
      </c>
      <c r="S3888" s="4" t="e">
        <f>IF(AND(L3888=1,N3888&lt;'Line Follower'!$C$6,SUM(C3888:K3888)&lt;4),1,0)</f>
        <v>#N/A</v>
      </c>
      <c r="T3888" s="4" t="e">
        <f t="shared" si="302"/>
        <v>#N/A</v>
      </c>
      <c r="U3888" s="5" t="e">
        <f t="shared" si="303"/>
        <v>#N/A</v>
      </c>
      <c r="V3888" s="23" t="e">
        <f t="shared" si="304"/>
        <v>#N/A</v>
      </c>
    </row>
    <row r="3889" spans="2:22" x14ac:dyDescent="0.25">
      <c r="B3889" s="16">
        <v>0</v>
      </c>
      <c r="C3889" s="7">
        <v>1</v>
      </c>
      <c r="D3889" s="8">
        <v>1</v>
      </c>
      <c r="E3889" s="8">
        <v>1</v>
      </c>
      <c r="F3889" s="8">
        <v>0</v>
      </c>
      <c r="G3889" s="8">
        <v>1</v>
      </c>
      <c r="H3889" s="8">
        <v>0</v>
      </c>
      <c r="I3889" s="8">
        <v>0</v>
      </c>
      <c r="J3889" s="8">
        <v>1</v>
      </c>
      <c r="K3889" s="9">
        <v>1</v>
      </c>
      <c r="L3889" s="10">
        <v>1</v>
      </c>
      <c r="M3889" s="6">
        <v>1</v>
      </c>
      <c r="N3889" s="37" t="e" cm="1">
        <f t="array" ref="N3889">IF(OR(ISNUMBER(FIND(Aux!$D$3:$D$9,_xlfn.TEXTJOIN(,,C3889:K3889)))),NA(),IF(AND(SUM(C3889:F3889,H3889:K3889)=0,G3889=1),0,INT((SUMPRODUCT(C3889:F3889,COLUMN($A$1:$D$1)-1)+SUMPRODUCT(H3889:K3889,COLUMN($E$1:$H$1)-1))*'Line Follower'!$C$3/SUM(C3889:F3889,H3889:K3889)-'Line Follower'!$C$5)))</f>
        <v>#N/A</v>
      </c>
      <c r="O3889" s="22" t="e">
        <v>#N/A</v>
      </c>
      <c r="P3889" s="4" t="e">
        <f t="shared" si="300"/>
        <v>#N/A</v>
      </c>
      <c r="Q3889" s="4" t="e">
        <f t="shared" si="301"/>
        <v>#N/A</v>
      </c>
      <c r="R3889" s="4" t="e">
        <f>IF(AND(B3889=1,N3889&gt;'Line Follower'!$C$7,SUM(C3889:K3889)&lt;4),1,0)</f>
        <v>#N/A</v>
      </c>
      <c r="S3889" s="4" t="e">
        <f>IF(AND(L3889=1,N3889&lt;'Line Follower'!$C$6,SUM(C3889:K3889)&lt;4),1,0)</f>
        <v>#N/A</v>
      </c>
      <c r="T3889" s="4" t="e">
        <f t="shared" si="302"/>
        <v>#N/A</v>
      </c>
      <c r="U3889" s="5" t="e">
        <f t="shared" si="303"/>
        <v>#N/A</v>
      </c>
      <c r="V3889" s="23" t="e">
        <f t="shared" si="304"/>
        <v>#N/A</v>
      </c>
    </row>
    <row r="3890" spans="2:22" x14ac:dyDescent="0.25">
      <c r="B3890" s="16">
        <v>1</v>
      </c>
      <c r="C3890" s="7">
        <v>1</v>
      </c>
      <c r="D3890" s="8">
        <v>1</v>
      </c>
      <c r="E3890" s="8">
        <v>1</v>
      </c>
      <c r="F3890" s="8">
        <v>0</v>
      </c>
      <c r="G3890" s="8">
        <v>1</v>
      </c>
      <c r="H3890" s="8">
        <v>0</v>
      </c>
      <c r="I3890" s="8">
        <v>0</v>
      </c>
      <c r="J3890" s="8">
        <v>1</v>
      </c>
      <c r="K3890" s="9">
        <v>1</v>
      </c>
      <c r="L3890" s="10">
        <v>1</v>
      </c>
      <c r="M3890" s="6">
        <v>1</v>
      </c>
      <c r="N3890" s="37" t="e" cm="1">
        <f t="array" ref="N3890">IF(OR(ISNUMBER(FIND(Aux!$D$3:$D$9,_xlfn.TEXTJOIN(,,C3890:K3890)))),NA(),IF(AND(SUM(C3890:F3890,H3890:K3890)=0,G3890=1),0,INT((SUMPRODUCT(C3890:F3890,COLUMN($A$1:$D$1)-1)+SUMPRODUCT(H3890:K3890,COLUMN($E$1:$H$1)-1))*'Line Follower'!$C$3/SUM(C3890:F3890,H3890:K3890)-'Line Follower'!$C$5)))</f>
        <v>#N/A</v>
      </c>
      <c r="O3890" s="22" t="e">
        <v>#N/A</v>
      </c>
      <c r="P3890" s="4" t="e">
        <f t="shared" si="300"/>
        <v>#N/A</v>
      </c>
      <c r="Q3890" s="4" t="e">
        <f t="shared" si="301"/>
        <v>#N/A</v>
      </c>
      <c r="R3890" s="4" t="e">
        <f>IF(AND(B3890=1,N3890&gt;'Line Follower'!$C$7,SUM(C3890:K3890)&lt;4),1,0)</f>
        <v>#N/A</v>
      </c>
      <c r="S3890" s="4" t="e">
        <f>IF(AND(L3890=1,N3890&lt;'Line Follower'!$C$6,SUM(C3890:K3890)&lt;4),1,0)</f>
        <v>#N/A</v>
      </c>
      <c r="T3890" s="4" t="e">
        <f t="shared" si="302"/>
        <v>#N/A</v>
      </c>
      <c r="U3890" s="5" t="e">
        <f t="shared" si="303"/>
        <v>#N/A</v>
      </c>
      <c r="V3890" s="23" t="e">
        <f t="shared" si="304"/>
        <v>#N/A</v>
      </c>
    </row>
    <row r="3891" spans="2:22" x14ac:dyDescent="0.25">
      <c r="B3891" s="16">
        <v>0</v>
      </c>
      <c r="C3891" s="7">
        <v>0</v>
      </c>
      <c r="D3891" s="8">
        <v>0</v>
      </c>
      <c r="E3891" s="8">
        <v>0</v>
      </c>
      <c r="F3891" s="8">
        <v>1</v>
      </c>
      <c r="G3891" s="8">
        <v>1</v>
      </c>
      <c r="H3891" s="8">
        <v>0</v>
      </c>
      <c r="I3891" s="8">
        <v>0</v>
      </c>
      <c r="J3891" s="8">
        <v>1</v>
      </c>
      <c r="K3891" s="9">
        <v>1</v>
      </c>
      <c r="L3891" s="10">
        <v>1</v>
      </c>
      <c r="M3891" s="6">
        <v>1</v>
      </c>
      <c r="N3891" s="37" t="e" cm="1">
        <f t="array" ref="N3891">IF(OR(ISNUMBER(FIND(Aux!$D$3:$D$9,_xlfn.TEXTJOIN(,,C3891:K3891)))),NA(),IF(AND(SUM(C3891:F3891,H3891:K3891)=0,G3891=1),0,INT((SUMPRODUCT(C3891:F3891,COLUMN($A$1:$D$1)-1)+SUMPRODUCT(H3891:K3891,COLUMN($E$1:$H$1)-1))*'Line Follower'!$C$3/SUM(C3891:F3891,H3891:K3891)-'Line Follower'!$C$5)))</f>
        <v>#N/A</v>
      </c>
      <c r="O3891" s="22" t="e">
        <v>#N/A</v>
      </c>
      <c r="P3891" s="4" t="e">
        <f t="shared" si="300"/>
        <v>#N/A</v>
      </c>
      <c r="Q3891" s="4" t="e">
        <f t="shared" si="301"/>
        <v>#N/A</v>
      </c>
      <c r="R3891" s="4" t="e">
        <f>IF(AND(B3891=1,N3891&gt;'Line Follower'!$C$7,SUM(C3891:K3891)&lt;4),1,0)</f>
        <v>#N/A</v>
      </c>
      <c r="S3891" s="4" t="e">
        <f>IF(AND(L3891=1,N3891&lt;'Line Follower'!$C$6,SUM(C3891:K3891)&lt;4),1,0)</f>
        <v>#N/A</v>
      </c>
      <c r="T3891" s="4" t="e">
        <f t="shared" si="302"/>
        <v>#N/A</v>
      </c>
      <c r="U3891" s="5" t="e">
        <f t="shared" si="303"/>
        <v>#N/A</v>
      </c>
      <c r="V3891" s="23" t="e">
        <f t="shared" si="304"/>
        <v>#N/A</v>
      </c>
    </row>
    <row r="3892" spans="2:22" x14ac:dyDescent="0.25">
      <c r="B3892" s="16">
        <v>1</v>
      </c>
      <c r="C3892" s="7">
        <v>0</v>
      </c>
      <c r="D3892" s="8">
        <v>0</v>
      </c>
      <c r="E3892" s="8">
        <v>0</v>
      </c>
      <c r="F3892" s="8">
        <v>1</v>
      </c>
      <c r="G3892" s="8">
        <v>1</v>
      </c>
      <c r="H3892" s="8">
        <v>0</v>
      </c>
      <c r="I3892" s="8">
        <v>0</v>
      </c>
      <c r="J3892" s="8">
        <v>1</v>
      </c>
      <c r="K3892" s="9">
        <v>1</v>
      </c>
      <c r="L3892" s="10">
        <v>1</v>
      </c>
      <c r="M3892" s="6">
        <v>1</v>
      </c>
      <c r="N3892" s="37" t="e" cm="1">
        <f t="array" ref="N3892">IF(OR(ISNUMBER(FIND(Aux!$D$3:$D$9,_xlfn.TEXTJOIN(,,C3892:K3892)))),NA(),IF(AND(SUM(C3892:F3892,H3892:K3892)=0,G3892=1),0,INT((SUMPRODUCT(C3892:F3892,COLUMN($A$1:$D$1)-1)+SUMPRODUCT(H3892:K3892,COLUMN($E$1:$H$1)-1))*'Line Follower'!$C$3/SUM(C3892:F3892,H3892:K3892)-'Line Follower'!$C$5)))</f>
        <v>#N/A</v>
      </c>
      <c r="O3892" s="22" t="e">
        <v>#N/A</v>
      </c>
      <c r="P3892" s="4" t="e">
        <f t="shared" si="300"/>
        <v>#N/A</v>
      </c>
      <c r="Q3892" s="4" t="e">
        <f t="shared" si="301"/>
        <v>#N/A</v>
      </c>
      <c r="R3892" s="4" t="e">
        <f>IF(AND(B3892=1,N3892&gt;'Line Follower'!$C$7,SUM(C3892:K3892)&lt;4),1,0)</f>
        <v>#N/A</v>
      </c>
      <c r="S3892" s="4" t="e">
        <f>IF(AND(L3892=1,N3892&lt;'Line Follower'!$C$6,SUM(C3892:K3892)&lt;4),1,0)</f>
        <v>#N/A</v>
      </c>
      <c r="T3892" s="4" t="e">
        <f t="shared" si="302"/>
        <v>#N/A</v>
      </c>
      <c r="U3892" s="5" t="e">
        <f t="shared" si="303"/>
        <v>#N/A</v>
      </c>
      <c r="V3892" s="23" t="e">
        <f t="shared" si="304"/>
        <v>#N/A</v>
      </c>
    </row>
    <row r="3893" spans="2:22" x14ac:dyDescent="0.25">
      <c r="B3893" s="16">
        <v>0</v>
      </c>
      <c r="C3893" s="7">
        <v>1</v>
      </c>
      <c r="D3893" s="8">
        <v>0</v>
      </c>
      <c r="E3893" s="8">
        <v>0</v>
      </c>
      <c r="F3893" s="8">
        <v>1</v>
      </c>
      <c r="G3893" s="8">
        <v>1</v>
      </c>
      <c r="H3893" s="8">
        <v>0</v>
      </c>
      <c r="I3893" s="8">
        <v>0</v>
      </c>
      <c r="J3893" s="8">
        <v>1</v>
      </c>
      <c r="K3893" s="9">
        <v>1</v>
      </c>
      <c r="L3893" s="10">
        <v>1</v>
      </c>
      <c r="M3893" s="6">
        <v>1</v>
      </c>
      <c r="N3893" s="37" t="e" cm="1">
        <f t="array" ref="N3893">IF(OR(ISNUMBER(FIND(Aux!$D$3:$D$9,_xlfn.TEXTJOIN(,,C3893:K3893)))),NA(),IF(AND(SUM(C3893:F3893,H3893:K3893)=0,G3893=1),0,INT((SUMPRODUCT(C3893:F3893,COLUMN($A$1:$D$1)-1)+SUMPRODUCT(H3893:K3893,COLUMN($E$1:$H$1)-1))*'Line Follower'!$C$3/SUM(C3893:F3893,H3893:K3893)-'Line Follower'!$C$5)))</f>
        <v>#N/A</v>
      </c>
      <c r="O3893" s="22" t="e">
        <v>#N/A</v>
      </c>
      <c r="P3893" s="4" t="e">
        <f t="shared" si="300"/>
        <v>#N/A</v>
      </c>
      <c r="Q3893" s="4" t="e">
        <f t="shared" si="301"/>
        <v>#N/A</v>
      </c>
      <c r="R3893" s="4" t="e">
        <f>IF(AND(B3893=1,N3893&gt;'Line Follower'!$C$7,SUM(C3893:K3893)&lt;4),1,0)</f>
        <v>#N/A</v>
      </c>
      <c r="S3893" s="4" t="e">
        <f>IF(AND(L3893=1,N3893&lt;'Line Follower'!$C$6,SUM(C3893:K3893)&lt;4),1,0)</f>
        <v>#N/A</v>
      </c>
      <c r="T3893" s="4" t="e">
        <f t="shared" si="302"/>
        <v>#N/A</v>
      </c>
      <c r="U3893" s="5" t="e">
        <f t="shared" si="303"/>
        <v>#N/A</v>
      </c>
      <c r="V3893" s="23" t="e">
        <f t="shared" si="304"/>
        <v>#N/A</v>
      </c>
    </row>
    <row r="3894" spans="2:22" x14ac:dyDescent="0.25">
      <c r="B3894" s="16">
        <v>1</v>
      </c>
      <c r="C3894" s="7">
        <v>1</v>
      </c>
      <c r="D3894" s="8">
        <v>0</v>
      </c>
      <c r="E3894" s="8">
        <v>0</v>
      </c>
      <c r="F3894" s="8">
        <v>1</v>
      </c>
      <c r="G3894" s="8">
        <v>1</v>
      </c>
      <c r="H3894" s="8">
        <v>0</v>
      </c>
      <c r="I3894" s="8">
        <v>0</v>
      </c>
      <c r="J3894" s="8">
        <v>1</v>
      </c>
      <c r="K3894" s="9">
        <v>1</v>
      </c>
      <c r="L3894" s="10">
        <v>1</v>
      </c>
      <c r="M3894" s="6">
        <v>1</v>
      </c>
      <c r="N3894" s="37" t="e" cm="1">
        <f t="array" ref="N3894">IF(OR(ISNUMBER(FIND(Aux!$D$3:$D$9,_xlfn.TEXTJOIN(,,C3894:K3894)))),NA(),IF(AND(SUM(C3894:F3894,H3894:K3894)=0,G3894=1),0,INT((SUMPRODUCT(C3894:F3894,COLUMN($A$1:$D$1)-1)+SUMPRODUCT(H3894:K3894,COLUMN($E$1:$H$1)-1))*'Line Follower'!$C$3/SUM(C3894:F3894,H3894:K3894)-'Line Follower'!$C$5)))</f>
        <v>#N/A</v>
      </c>
      <c r="O3894" s="22" t="e">
        <v>#N/A</v>
      </c>
      <c r="P3894" s="4" t="e">
        <f t="shared" si="300"/>
        <v>#N/A</v>
      </c>
      <c r="Q3894" s="4" t="e">
        <f t="shared" si="301"/>
        <v>#N/A</v>
      </c>
      <c r="R3894" s="4" t="e">
        <f>IF(AND(B3894=1,N3894&gt;'Line Follower'!$C$7,SUM(C3894:K3894)&lt;4),1,0)</f>
        <v>#N/A</v>
      </c>
      <c r="S3894" s="4" t="e">
        <f>IF(AND(L3894=1,N3894&lt;'Line Follower'!$C$6,SUM(C3894:K3894)&lt;4),1,0)</f>
        <v>#N/A</v>
      </c>
      <c r="T3894" s="4" t="e">
        <f t="shared" si="302"/>
        <v>#N/A</v>
      </c>
      <c r="U3894" s="5" t="e">
        <f t="shared" si="303"/>
        <v>#N/A</v>
      </c>
      <c r="V3894" s="23" t="e">
        <f t="shared" si="304"/>
        <v>#N/A</v>
      </c>
    </row>
    <row r="3895" spans="2:22" x14ac:dyDescent="0.25">
      <c r="B3895" s="16">
        <v>0</v>
      </c>
      <c r="C3895" s="7">
        <v>0</v>
      </c>
      <c r="D3895" s="8">
        <v>1</v>
      </c>
      <c r="E3895" s="8">
        <v>0</v>
      </c>
      <c r="F3895" s="8">
        <v>1</v>
      </c>
      <c r="G3895" s="8">
        <v>1</v>
      </c>
      <c r="H3895" s="8">
        <v>0</v>
      </c>
      <c r="I3895" s="8">
        <v>0</v>
      </c>
      <c r="J3895" s="8">
        <v>1</v>
      </c>
      <c r="K3895" s="9">
        <v>1</v>
      </c>
      <c r="L3895" s="10">
        <v>1</v>
      </c>
      <c r="M3895" s="6">
        <v>1</v>
      </c>
      <c r="N3895" s="37" t="e" cm="1">
        <f t="array" ref="N3895">IF(OR(ISNUMBER(FIND(Aux!$D$3:$D$9,_xlfn.TEXTJOIN(,,C3895:K3895)))),NA(),IF(AND(SUM(C3895:F3895,H3895:K3895)=0,G3895=1),0,INT((SUMPRODUCT(C3895:F3895,COLUMN($A$1:$D$1)-1)+SUMPRODUCT(H3895:K3895,COLUMN($E$1:$H$1)-1))*'Line Follower'!$C$3/SUM(C3895:F3895,H3895:K3895)-'Line Follower'!$C$5)))</f>
        <v>#N/A</v>
      </c>
      <c r="O3895" s="22" t="e">
        <v>#N/A</v>
      </c>
      <c r="P3895" s="4" t="e">
        <f t="shared" si="300"/>
        <v>#N/A</v>
      </c>
      <c r="Q3895" s="4" t="e">
        <f t="shared" si="301"/>
        <v>#N/A</v>
      </c>
      <c r="R3895" s="4" t="e">
        <f>IF(AND(B3895=1,N3895&gt;'Line Follower'!$C$7,SUM(C3895:K3895)&lt;4),1,0)</f>
        <v>#N/A</v>
      </c>
      <c r="S3895" s="4" t="e">
        <f>IF(AND(L3895=1,N3895&lt;'Line Follower'!$C$6,SUM(C3895:K3895)&lt;4),1,0)</f>
        <v>#N/A</v>
      </c>
      <c r="T3895" s="4" t="e">
        <f t="shared" si="302"/>
        <v>#N/A</v>
      </c>
      <c r="U3895" s="5" t="e">
        <f t="shared" si="303"/>
        <v>#N/A</v>
      </c>
      <c r="V3895" s="23" t="e">
        <f t="shared" si="304"/>
        <v>#N/A</v>
      </c>
    </row>
    <row r="3896" spans="2:22" x14ac:dyDescent="0.25">
      <c r="B3896" s="16">
        <v>1</v>
      </c>
      <c r="C3896" s="7">
        <v>0</v>
      </c>
      <c r="D3896" s="8">
        <v>1</v>
      </c>
      <c r="E3896" s="8">
        <v>0</v>
      </c>
      <c r="F3896" s="8">
        <v>1</v>
      </c>
      <c r="G3896" s="8">
        <v>1</v>
      </c>
      <c r="H3896" s="8">
        <v>0</v>
      </c>
      <c r="I3896" s="8">
        <v>0</v>
      </c>
      <c r="J3896" s="8">
        <v>1</v>
      </c>
      <c r="K3896" s="9">
        <v>1</v>
      </c>
      <c r="L3896" s="10">
        <v>1</v>
      </c>
      <c r="M3896" s="6">
        <v>1</v>
      </c>
      <c r="N3896" s="37" t="e" cm="1">
        <f t="array" ref="N3896">IF(OR(ISNUMBER(FIND(Aux!$D$3:$D$9,_xlfn.TEXTJOIN(,,C3896:K3896)))),NA(),IF(AND(SUM(C3896:F3896,H3896:K3896)=0,G3896=1),0,INT((SUMPRODUCT(C3896:F3896,COLUMN($A$1:$D$1)-1)+SUMPRODUCT(H3896:K3896,COLUMN($E$1:$H$1)-1))*'Line Follower'!$C$3/SUM(C3896:F3896,H3896:K3896)-'Line Follower'!$C$5)))</f>
        <v>#N/A</v>
      </c>
      <c r="O3896" s="22" t="e">
        <v>#N/A</v>
      </c>
      <c r="P3896" s="4" t="e">
        <f t="shared" si="300"/>
        <v>#N/A</v>
      </c>
      <c r="Q3896" s="4" t="e">
        <f t="shared" si="301"/>
        <v>#N/A</v>
      </c>
      <c r="R3896" s="4" t="e">
        <f>IF(AND(B3896=1,N3896&gt;'Line Follower'!$C$7,SUM(C3896:K3896)&lt;4),1,0)</f>
        <v>#N/A</v>
      </c>
      <c r="S3896" s="4" t="e">
        <f>IF(AND(L3896=1,N3896&lt;'Line Follower'!$C$6,SUM(C3896:K3896)&lt;4),1,0)</f>
        <v>#N/A</v>
      </c>
      <c r="T3896" s="4" t="e">
        <f t="shared" si="302"/>
        <v>#N/A</v>
      </c>
      <c r="U3896" s="5" t="e">
        <f t="shared" si="303"/>
        <v>#N/A</v>
      </c>
      <c r="V3896" s="23" t="e">
        <f t="shared" si="304"/>
        <v>#N/A</v>
      </c>
    </row>
    <row r="3897" spans="2:22" x14ac:dyDescent="0.25">
      <c r="B3897" s="16">
        <v>0</v>
      </c>
      <c r="C3897" s="7">
        <v>1</v>
      </c>
      <c r="D3897" s="8">
        <v>1</v>
      </c>
      <c r="E3897" s="8">
        <v>0</v>
      </c>
      <c r="F3897" s="8">
        <v>1</v>
      </c>
      <c r="G3897" s="8">
        <v>1</v>
      </c>
      <c r="H3897" s="8">
        <v>0</v>
      </c>
      <c r="I3897" s="8">
        <v>0</v>
      </c>
      <c r="J3897" s="8">
        <v>1</v>
      </c>
      <c r="K3897" s="9">
        <v>1</v>
      </c>
      <c r="L3897" s="10">
        <v>1</v>
      </c>
      <c r="M3897" s="6">
        <v>1</v>
      </c>
      <c r="N3897" s="37" t="e" cm="1">
        <f t="array" ref="N3897">IF(OR(ISNUMBER(FIND(Aux!$D$3:$D$9,_xlfn.TEXTJOIN(,,C3897:K3897)))),NA(),IF(AND(SUM(C3897:F3897,H3897:K3897)=0,G3897=1),0,INT((SUMPRODUCT(C3897:F3897,COLUMN($A$1:$D$1)-1)+SUMPRODUCT(H3897:K3897,COLUMN($E$1:$H$1)-1))*'Line Follower'!$C$3/SUM(C3897:F3897,H3897:K3897)-'Line Follower'!$C$5)))</f>
        <v>#N/A</v>
      </c>
      <c r="O3897" s="22" t="e">
        <v>#N/A</v>
      </c>
      <c r="P3897" s="4" t="e">
        <f t="shared" si="300"/>
        <v>#N/A</v>
      </c>
      <c r="Q3897" s="4" t="e">
        <f t="shared" si="301"/>
        <v>#N/A</v>
      </c>
      <c r="R3897" s="4" t="e">
        <f>IF(AND(B3897=1,N3897&gt;'Line Follower'!$C$7,SUM(C3897:K3897)&lt;4),1,0)</f>
        <v>#N/A</v>
      </c>
      <c r="S3897" s="4" t="e">
        <f>IF(AND(L3897=1,N3897&lt;'Line Follower'!$C$6,SUM(C3897:K3897)&lt;4),1,0)</f>
        <v>#N/A</v>
      </c>
      <c r="T3897" s="4" t="e">
        <f t="shared" si="302"/>
        <v>#N/A</v>
      </c>
      <c r="U3897" s="5" t="e">
        <f t="shared" si="303"/>
        <v>#N/A</v>
      </c>
      <c r="V3897" s="23" t="e">
        <f t="shared" si="304"/>
        <v>#N/A</v>
      </c>
    </row>
    <row r="3898" spans="2:22" x14ac:dyDescent="0.25">
      <c r="B3898" s="16">
        <v>1</v>
      </c>
      <c r="C3898" s="7">
        <v>1</v>
      </c>
      <c r="D3898" s="8">
        <v>1</v>
      </c>
      <c r="E3898" s="8">
        <v>0</v>
      </c>
      <c r="F3898" s="8">
        <v>1</v>
      </c>
      <c r="G3898" s="8">
        <v>1</v>
      </c>
      <c r="H3898" s="8">
        <v>0</v>
      </c>
      <c r="I3898" s="8">
        <v>0</v>
      </c>
      <c r="J3898" s="8">
        <v>1</v>
      </c>
      <c r="K3898" s="9">
        <v>1</v>
      </c>
      <c r="L3898" s="10">
        <v>1</v>
      </c>
      <c r="M3898" s="6">
        <v>1</v>
      </c>
      <c r="N3898" s="37" t="e" cm="1">
        <f t="array" ref="N3898">IF(OR(ISNUMBER(FIND(Aux!$D$3:$D$9,_xlfn.TEXTJOIN(,,C3898:K3898)))),NA(),IF(AND(SUM(C3898:F3898,H3898:K3898)=0,G3898=1),0,INT((SUMPRODUCT(C3898:F3898,COLUMN($A$1:$D$1)-1)+SUMPRODUCT(H3898:K3898,COLUMN($E$1:$H$1)-1))*'Line Follower'!$C$3/SUM(C3898:F3898,H3898:K3898)-'Line Follower'!$C$5)))</f>
        <v>#N/A</v>
      </c>
      <c r="O3898" s="22" t="e">
        <v>#N/A</v>
      </c>
      <c r="P3898" s="4" t="e">
        <f t="shared" si="300"/>
        <v>#N/A</v>
      </c>
      <c r="Q3898" s="4" t="e">
        <f t="shared" si="301"/>
        <v>#N/A</v>
      </c>
      <c r="R3898" s="4" t="e">
        <f>IF(AND(B3898=1,N3898&gt;'Line Follower'!$C$7,SUM(C3898:K3898)&lt;4),1,0)</f>
        <v>#N/A</v>
      </c>
      <c r="S3898" s="4" t="e">
        <f>IF(AND(L3898=1,N3898&lt;'Line Follower'!$C$6,SUM(C3898:K3898)&lt;4),1,0)</f>
        <v>#N/A</v>
      </c>
      <c r="T3898" s="4" t="e">
        <f t="shared" si="302"/>
        <v>#N/A</v>
      </c>
      <c r="U3898" s="5" t="e">
        <f t="shared" si="303"/>
        <v>#N/A</v>
      </c>
      <c r="V3898" s="23" t="e">
        <f t="shared" si="304"/>
        <v>#N/A</v>
      </c>
    </row>
    <row r="3899" spans="2:22" x14ac:dyDescent="0.25">
      <c r="B3899" s="16">
        <v>0</v>
      </c>
      <c r="C3899" s="7">
        <v>0</v>
      </c>
      <c r="D3899" s="8">
        <v>0</v>
      </c>
      <c r="E3899" s="8">
        <v>1</v>
      </c>
      <c r="F3899" s="8">
        <v>1</v>
      </c>
      <c r="G3899" s="8">
        <v>1</v>
      </c>
      <c r="H3899" s="8">
        <v>0</v>
      </c>
      <c r="I3899" s="8">
        <v>0</v>
      </c>
      <c r="J3899" s="8">
        <v>1</v>
      </c>
      <c r="K3899" s="9">
        <v>1</v>
      </c>
      <c r="L3899" s="10">
        <v>1</v>
      </c>
      <c r="M3899" s="6">
        <v>1</v>
      </c>
      <c r="N3899" s="37" t="e" cm="1">
        <f t="array" ref="N3899">IF(OR(ISNUMBER(FIND(Aux!$D$3:$D$9,_xlfn.TEXTJOIN(,,C3899:K3899)))),NA(),IF(AND(SUM(C3899:F3899,H3899:K3899)=0,G3899=1),0,INT((SUMPRODUCT(C3899:F3899,COLUMN($A$1:$D$1)-1)+SUMPRODUCT(H3899:K3899,COLUMN($E$1:$H$1)-1))*'Line Follower'!$C$3/SUM(C3899:F3899,H3899:K3899)-'Line Follower'!$C$5)))</f>
        <v>#N/A</v>
      </c>
      <c r="O3899" s="22" t="e">
        <v>#N/A</v>
      </c>
      <c r="P3899" s="4" t="e">
        <f t="shared" si="300"/>
        <v>#N/A</v>
      </c>
      <c r="Q3899" s="4" t="e">
        <f t="shared" si="301"/>
        <v>#N/A</v>
      </c>
      <c r="R3899" s="4" t="e">
        <f>IF(AND(B3899=1,N3899&gt;'Line Follower'!$C$7,SUM(C3899:K3899)&lt;4),1,0)</f>
        <v>#N/A</v>
      </c>
      <c r="S3899" s="4" t="e">
        <f>IF(AND(L3899=1,N3899&lt;'Line Follower'!$C$6,SUM(C3899:K3899)&lt;4),1,0)</f>
        <v>#N/A</v>
      </c>
      <c r="T3899" s="4" t="e">
        <f t="shared" si="302"/>
        <v>#N/A</v>
      </c>
      <c r="U3899" s="5" t="e">
        <f t="shared" si="303"/>
        <v>#N/A</v>
      </c>
      <c r="V3899" s="23" t="e">
        <f t="shared" si="304"/>
        <v>#N/A</v>
      </c>
    </row>
    <row r="3900" spans="2:22" x14ac:dyDescent="0.25">
      <c r="B3900" s="16">
        <v>1</v>
      </c>
      <c r="C3900" s="7">
        <v>0</v>
      </c>
      <c r="D3900" s="8">
        <v>0</v>
      </c>
      <c r="E3900" s="8">
        <v>1</v>
      </c>
      <c r="F3900" s="8">
        <v>1</v>
      </c>
      <c r="G3900" s="8">
        <v>1</v>
      </c>
      <c r="H3900" s="8">
        <v>0</v>
      </c>
      <c r="I3900" s="8">
        <v>0</v>
      </c>
      <c r="J3900" s="8">
        <v>1</v>
      </c>
      <c r="K3900" s="9">
        <v>1</v>
      </c>
      <c r="L3900" s="10">
        <v>1</v>
      </c>
      <c r="M3900" s="6">
        <v>1</v>
      </c>
      <c r="N3900" s="37" t="e" cm="1">
        <f t="array" ref="N3900">IF(OR(ISNUMBER(FIND(Aux!$D$3:$D$9,_xlfn.TEXTJOIN(,,C3900:K3900)))),NA(),IF(AND(SUM(C3900:F3900,H3900:K3900)=0,G3900=1),0,INT((SUMPRODUCT(C3900:F3900,COLUMN($A$1:$D$1)-1)+SUMPRODUCT(H3900:K3900,COLUMN($E$1:$H$1)-1))*'Line Follower'!$C$3/SUM(C3900:F3900,H3900:K3900)-'Line Follower'!$C$5)))</f>
        <v>#N/A</v>
      </c>
      <c r="O3900" s="22" t="e">
        <v>#N/A</v>
      </c>
      <c r="P3900" s="4" t="e">
        <f t="shared" si="300"/>
        <v>#N/A</v>
      </c>
      <c r="Q3900" s="4" t="e">
        <f t="shared" si="301"/>
        <v>#N/A</v>
      </c>
      <c r="R3900" s="4" t="e">
        <f>IF(AND(B3900=1,N3900&gt;'Line Follower'!$C$7,SUM(C3900:K3900)&lt;4),1,0)</f>
        <v>#N/A</v>
      </c>
      <c r="S3900" s="4" t="e">
        <f>IF(AND(L3900=1,N3900&lt;'Line Follower'!$C$6,SUM(C3900:K3900)&lt;4),1,0)</f>
        <v>#N/A</v>
      </c>
      <c r="T3900" s="4" t="e">
        <f t="shared" si="302"/>
        <v>#N/A</v>
      </c>
      <c r="U3900" s="5" t="e">
        <f t="shared" si="303"/>
        <v>#N/A</v>
      </c>
      <c r="V3900" s="23" t="e">
        <f t="shared" si="304"/>
        <v>#N/A</v>
      </c>
    </row>
    <row r="3901" spans="2:22" x14ac:dyDescent="0.25">
      <c r="B3901" s="16">
        <v>0</v>
      </c>
      <c r="C3901" s="7">
        <v>1</v>
      </c>
      <c r="D3901" s="8">
        <v>0</v>
      </c>
      <c r="E3901" s="8">
        <v>1</v>
      </c>
      <c r="F3901" s="8">
        <v>1</v>
      </c>
      <c r="G3901" s="8">
        <v>1</v>
      </c>
      <c r="H3901" s="8">
        <v>0</v>
      </c>
      <c r="I3901" s="8">
        <v>0</v>
      </c>
      <c r="J3901" s="8">
        <v>1</v>
      </c>
      <c r="K3901" s="9">
        <v>1</v>
      </c>
      <c r="L3901" s="10">
        <v>1</v>
      </c>
      <c r="M3901" s="6">
        <v>1</v>
      </c>
      <c r="N3901" s="37" t="e" cm="1">
        <f t="array" ref="N3901">IF(OR(ISNUMBER(FIND(Aux!$D$3:$D$9,_xlfn.TEXTJOIN(,,C3901:K3901)))),NA(),IF(AND(SUM(C3901:F3901,H3901:K3901)=0,G3901=1),0,INT((SUMPRODUCT(C3901:F3901,COLUMN($A$1:$D$1)-1)+SUMPRODUCT(H3901:K3901,COLUMN($E$1:$H$1)-1))*'Line Follower'!$C$3/SUM(C3901:F3901,H3901:K3901)-'Line Follower'!$C$5)))</f>
        <v>#N/A</v>
      </c>
      <c r="O3901" s="22" t="e">
        <v>#N/A</v>
      </c>
      <c r="P3901" s="4" t="e">
        <f t="shared" si="300"/>
        <v>#N/A</v>
      </c>
      <c r="Q3901" s="4" t="e">
        <f t="shared" si="301"/>
        <v>#N/A</v>
      </c>
      <c r="R3901" s="4" t="e">
        <f>IF(AND(B3901=1,N3901&gt;'Line Follower'!$C$7,SUM(C3901:K3901)&lt;4),1,0)</f>
        <v>#N/A</v>
      </c>
      <c r="S3901" s="4" t="e">
        <f>IF(AND(L3901=1,N3901&lt;'Line Follower'!$C$6,SUM(C3901:K3901)&lt;4),1,0)</f>
        <v>#N/A</v>
      </c>
      <c r="T3901" s="4" t="e">
        <f t="shared" si="302"/>
        <v>#N/A</v>
      </c>
      <c r="U3901" s="5" t="e">
        <f t="shared" si="303"/>
        <v>#N/A</v>
      </c>
      <c r="V3901" s="23" t="e">
        <f t="shared" si="304"/>
        <v>#N/A</v>
      </c>
    </row>
    <row r="3902" spans="2:22" x14ac:dyDescent="0.25">
      <c r="B3902" s="16">
        <v>1</v>
      </c>
      <c r="C3902" s="7">
        <v>1</v>
      </c>
      <c r="D3902" s="8">
        <v>0</v>
      </c>
      <c r="E3902" s="8">
        <v>1</v>
      </c>
      <c r="F3902" s="8">
        <v>1</v>
      </c>
      <c r="G3902" s="8">
        <v>1</v>
      </c>
      <c r="H3902" s="8">
        <v>0</v>
      </c>
      <c r="I3902" s="8">
        <v>0</v>
      </c>
      <c r="J3902" s="8">
        <v>1</v>
      </c>
      <c r="K3902" s="9">
        <v>1</v>
      </c>
      <c r="L3902" s="10">
        <v>1</v>
      </c>
      <c r="M3902" s="6">
        <v>1</v>
      </c>
      <c r="N3902" s="37" t="e" cm="1">
        <f t="array" ref="N3902">IF(OR(ISNUMBER(FIND(Aux!$D$3:$D$9,_xlfn.TEXTJOIN(,,C3902:K3902)))),NA(),IF(AND(SUM(C3902:F3902,H3902:K3902)=0,G3902=1),0,INT((SUMPRODUCT(C3902:F3902,COLUMN($A$1:$D$1)-1)+SUMPRODUCT(H3902:K3902,COLUMN($E$1:$H$1)-1))*'Line Follower'!$C$3/SUM(C3902:F3902,H3902:K3902)-'Line Follower'!$C$5)))</f>
        <v>#N/A</v>
      </c>
      <c r="O3902" s="22" t="e">
        <v>#N/A</v>
      </c>
      <c r="P3902" s="4" t="e">
        <f t="shared" si="300"/>
        <v>#N/A</v>
      </c>
      <c r="Q3902" s="4" t="e">
        <f t="shared" si="301"/>
        <v>#N/A</v>
      </c>
      <c r="R3902" s="4" t="e">
        <f>IF(AND(B3902=1,N3902&gt;'Line Follower'!$C$7,SUM(C3902:K3902)&lt;4),1,0)</f>
        <v>#N/A</v>
      </c>
      <c r="S3902" s="4" t="e">
        <f>IF(AND(L3902=1,N3902&lt;'Line Follower'!$C$6,SUM(C3902:K3902)&lt;4),1,0)</f>
        <v>#N/A</v>
      </c>
      <c r="T3902" s="4" t="e">
        <f t="shared" si="302"/>
        <v>#N/A</v>
      </c>
      <c r="U3902" s="5" t="e">
        <f t="shared" si="303"/>
        <v>#N/A</v>
      </c>
      <c r="V3902" s="23" t="e">
        <f t="shared" si="304"/>
        <v>#N/A</v>
      </c>
    </row>
    <row r="3903" spans="2:22" x14ac:dyDescent="0.25">
      <c r="B3903" s="16">
        <v>0</v>
      </c>
      <c r="C3903" s="7">
        <v>0</v>
      </c>
      <c r="D3903" s="8">
        <v>1</v>
      </c>
      <c r="E3903" s="8">
        <v>1</v>
      </c>
      <c r="F3903" s="8">
        <v>1</v>
      </c>
      <c r="G3903" s="8">
        <v>1</v>
      </c>
      <c r="H3903" s="8">
        <v>0</v>
      </c>
      <c r="I3903" s="8">
        <v>0</v>
      </c>
      <c r="J3903" s="8">
        <v>1</v>
      </c>
      <c r="K3903" s="9">
        <v>1</v>
      </c>
      <c r="L3903" s="10">
        <v>1</v>
      </c>
      <c r="M3903" s="6">
        <v>1</v>
      </c>
      <c r="N3903" s="37" t="e" cm="1">
        <f t="array" ref="N3903">IF(OR(ISNUMBER(FIND(Aux!$D$3:$D$9,_xlfn.TEXTJOIN(,,C3903:K3903)))),NA(),IF(AND(SUM(C3903:F3903,H3903:K3903)=0,G3903=1),0,INT((SUMPRODUCT(C3903:F3903,COLUMN($A$1:$D$1)-1)+SUMPRODUCT(H3903:K3903,COLUMN($E$1:$H$1)-1))*'Line Follower'!$C$3/SUM(C3903:F3903,H3903:K3903)-'Line Follower'!$C$5)))</f>
        <v>#N/A</v>
      </c>
      <c r="O3903" s="22" t="e">
        <v>#N/A</v>
      </c>
      <c r="P3903" s="4" t="e">
        <f t="shared" si="300"/>
        <v>#N/A</v>
      </c>
      <c r="Q3903" s="4" t="e">
        <f t="shared" si="301"/>
        <v>#N/A</v>
      </c>
      <c r="R3903" s="4" t="e">
        <f>IF(AND(B3903=1,N3903&gt;'Line Follower'!$C$7,SUM(C3903:K3903)&lt;4),1,0)</f>
        <v>#N/A</v>
      </c>
      <c r="S3903" s="4" t="e">
        <f>IF(AND(L3903=1,N3903&lt;'Line Follower'!$C$6,SUM(C3903:K3903)&lt;4),1,0)</f>
        <v>#N/A</v>
      </c>
      <c r="T3903" s="4" t="e">
        <f t="shared" si="302"/>
        <v>#N/A</v>
      </c>
      <c r="U3903" s="5" t="e">
        <f t="shared" si="303"/>
        <v>#N/A</v>
      </c>
      <c r="V3903" s="23" t="e">
        <f t="shared" si="304"/>
        <v>#N/A</v>
      </c>
    </row>
    <row r="3904" spans="2:22" x14ac:dyDescent="0.25">
      <c r="B3904" s="16">
        <v>1</v>
      </c>
      <c r="C3904" s="7">
        <v>0</v>
      </c>
      <c r="D3904" s="8">
        <v>1</v>
      </c>
      <c r="E3904" s="8">
        <v>1</v>
      </c>
      <c r="F3904" s="8">
        <v>1</v>
      </c>
      <c r="G3904" s="8">
        <v>1</v>
      </c>
      <c r="H3904" s="8">
        <v>0</v>
      </c>
      <c r="I3904" s="8">
        <v>0</v>
      </c>
      <c r="J3904" s="8">
        <v>1</v>
      </c>
      <c r="K3904" s="9">
        <v>1</v>
      </c>
      <c r="L3904" s="10">
        <v>1</v>
      </c>
      <c r="M3904" s="6">
        <v>1</v>
      </c>
      <c r="N3904" s="37" t="e" cm="1">
        <f t="array" ref="N3904">IF(OR(ISNUMBER(FIND(Aux!$D$3:$D$9,_xlfn.TEXTJOIN(,,C3904:K3904)))),NA(),IF(AND(SUM(C3904:F3904,H3904:K3904)=0,G3904=1),0,INT((SUMPRODUCT(C3904:F3904,COLUMN($A$1:$D$1)-1)+SUMPRODUCT(H3904:K3904,COLUMN($E$1:$H$1)-1))*'Line Follower'!$C$3/SUM(C3904:F3904,H3904:K3904)-'Line Follower'!$C$5)))</f>
        <v>#N/A</v>
      </c>
      <c r="O3904" s="22" t="e">
        <v>#N/A</v>
      </c>
      <c r="P3904" s="4" t="e">
        <f t="shared" si="300"/>
        <v>#N/A</v>
      </c>
      <c r="Q3904" s="4" t="e">
        <f t="shared" si="301"/>
        <v>#N/A</v>
      </c>
      <c r="R3904" s="4" t="e">
        <f>IF(AND(B3904=1,N3904&gt;'Line Follower'!$C$7,SUM(C3904:K3904)&lt;4),1,0)</f>
        <v>#N/A</v>
      </c>
      <c r="S3904" s="4" t="e">
        <f>IF(AND(L3904=1,N3904&lt;'Line Follower'!$C$6,SUM(C3904:K3904)&lt;4),1,0)</f>
        <v>#N/A</v>
      </c>
      <c r="T3904" s="4" t="e">
        <f t="shared" si="302"/>
        <v>#N/A</v>
      </c>
      <c r="U3904" s="5" t="e">
        <f t="shared" si="303"/>
        <v>#N/A</v>
      </c>
      <c r="V3904" s="23" t="e">
        <f t="shared" si="304"/>
        <v>#N/A</v>
      </c>
    </row>
    <row r="3905" spans="2:22" x14ac:dyDescent="0.25">
      <c r="B3905" s="16">
        <v>0</v>
      </c>
      <c r="C3905" s="7">
        <v>1</v>
      </c>
      <c r="D3905" s="8">
        <v>1</v>
      </c>
      <c r="E3905" s="8">
        <v>1</v>
      </c>
      <c r="F3905" s="8">
        <v>1</v>
      </c>
      <c r="G3905" s="8">
        <v>1</v>
      </c>
      <c r="H3905" s="8">
        <v>0</v>
      </c>
      <c r="I3905" s="8">
        <v>0</v>
      </c>
      <c r="J3905" s="8">
        <v>1</v>
      </c>
      <c r="K3905" s="9">
        <v>1</v>
      </c>
      <c r="L3905" s="10">
        <v>1</v>
      </c>
      <c r="M3905" s="6">
        <v>1</v>
      </c>
      <c r="N3905" s="37" t="e" cm="1">
        <f t="array" ref="N3905">IF(OR(ISNUMBER(FIND(Aux!$D$3:$D$9,_xlfn.TEXTJOIN(,,C3905:K3905)))),NA(),IF(AND(SUM(C3905:F3905,H3905:K3905)=0,G3905=1),0,INT((SUMPRODUCT(C3905:F3905,COLUMN($A$1:$D$1)-1)+SUMPRODUCT(H3905:K3905,COLUMN($E$1:$H$1)-1))*'Line Follower'!$C$3/SUM(C3905:F3905,H3905:K3905)-'Line Follower'!$C$5)))</f>
        <v>#N/A</v>
      </c>
      <c r="O3905" s="22" t="e">
        <v>#N/A</v>
      </c>
      <c r="P3905" s="4" t="e">
        <f t="shared" si="300"/>
        <v>#N/A</v>
      </c>
      <c r="Q3905" s="4" t="e">
        <f t="shared" si="301"/>
        <v>#N/A</v>
      </c>
      <c r="R3905" s="4" t="e">
        <f>IF(AND(B3905=1,N3905&gt;'Line Follower'!$C$7,SUM(C3905:K3905)&lt;4),1,0)</f>
        <v>#N/A</v>
      </c>
      <c r="S3905" s="4" t="e">
        <f>IF(AND(L3905=1,N3905&lt;'Line Follower'!$C$6,SUM(C3905:K3905)&lt;4),1,0)</f>
        <v>#N/A</v>
      </c>
      <c r="T3905" s="4" t="e">
        <f t="shared" si="302"/>
        <v>#N/A</v>
      </c>
      <c r="U3905" s="5" t="e">
        <f t="shared" si="303"/>
        <v>#N/A</v>
      </c>
      <c r="V3905" s="23" t="e">
        <f t="shared" si="304"/>
        <v>#N/A</v>
      </c>
    </row>
    <row r="3906" spans="2:22" x14ac:dyDescent="0.25">
      <c r="B3906" s="16">
        <v>1</v>
      </c>
      <c r="C3906" s="7">
        <v>1</v>
      </c>
      <c r="D3906" s="8">
        <v>1</v>
      </c>
      <c r="E3906" s="8">
        <v>1</v>
      </c>
      <c r="F3906" s="8">
        <v>1</v>
      </c>
      <c r="G3906" s="8">
        <v>1</v>
      </c>
      <c r="H3906" s="8">
        <v>0</v>
      </c>
      <c r="I3906" s="8">
        <v>0</v>
      </c>
      <c r="J3906" s="8">
        <v>1</v>
      </c>
      <c r="K3906" s="9">
        <v>1</v>
      </c>
      <c r="L3906" s="10">
        <v>1</v>
      </c>
      <c r="M3906" s="6">
        <v>1</v>
      </c>
      <c r="N3906" s="37" t="e" cm="1">
        <f t="array" ref="N3906">IF(OR(ISNUMBER(FIND(Aux!$D$3:$D$9,_xlfn.TEXTJOIN(,,C3906:K3906)))),NA(),IF(AND(SUM(C3906:F3906,H3906:K3906)=0,G3906=1),0,INT((SUMPRODUCT(C3906:F3906,COLUMN($A$1:$D$1)-1)+SUMPRODUCT(H3906:K3906,COLUMN($E$1:$H$1)-1))*'Line Follower'!$C$3/SUM(C3906:F3906,H3906:K3906)-'Line Follower'!$C$5)))</f>
        <v>#N/A</v>
      </c>
      <c r="O3906" s="22" t="e">
        <v>#N/A</v>
      </c>
      <c r="P3906" s="4" t="e">
        <f t="shared" si="300"/>
        <v>#N/A</v>
      </c>
      <c r="Q3906" s="4" t="e">
        <f t="shared" si="301"/>
        <v>#N/A</v>
      </c>
      <c r="R3906" s="4" t="e">
        <f>IF(AND(B3906=1,N3906&gt;'Line Follower'!$C$7,SUM(C3906:K3906)&lt;4),1,0)</f>
        <v>#N/A</v>
      </c>
      <c r="S3906" s="4" t="e">
        <f>IF(AND(L3906=1,N3906&lt;'Line Follower'!$C$6,SUM(C3906:K3906)&lt;4),1,0)</f>
        <v>#N/A</v>
      </c>
      <c r="T3906" s="4" t="e">
        <f t="shared" si="302"/>
        <v>#N/A</v>
      </c>
      <c r="U3906" s="5" t="e">
        <f t="shared" si="303"/>
        <v>#N/A</v>
      </c>
      <c r="V3906" s="23" t="e">
        <f t="shared" si="304"/>
        <v>#N/A</v>
      </c>
    </row>
    <row r="3907" spans="2:22" x14ac:dyDescent="0.25">
      <c r="B3907" s="16">
        <v>0</v>
      </c>
      <c r="C3907" s="7">
        <v>0</v>
      </c>
      <c r="D3907" s="8">
        <v>0</v>
      </c>
      <c r="E3907" s="8">
        <v>0</v>
      </c>
      <c r="F3907" s="8">
        <v>0</v>
      </c>
      <c r="G3907" s="8">
        <v>0</v>
      </c>
      <c r="H3907" s="8">
        <v>1</v>
      </c>
      <c r="I3907" s="8">
        <v>0</v>
      </c>
      <c r="J3907" s="8">
        <v>1</v>
      </c>
      <c r="K3907" s="9">
        <v>1</v>
      </c>
      <c r="L3907" s="10">
        <v>1</v>
      </c>
      <c r="M3907" s="6">
        <v>1</v>
      </c>
      <c r="N3907" s="37" t="e" cm="1">
        <f t="array" ref="N3907">IF(OR(ISNUMBER(FIND(Aux!$D$3:$D$9,_xlfn.TEXTJOIN(,,C3907:K3907)))),NA(),IF(AND(SUM(C3907:F3907,H3907:K3907)=0,G3907=1),0,INT((SUMPRODUCT(C3907:F3907,COLUMN($A$1:$D$1)-1)+SUMPRODUCT(H3907:K3907,COLUMN($E$1:$H$1)-1))*'Line Follower'!$C$3/SUM(C3907:F3907,H3907:K3907)-'Line Follower'!$C$5)))</f>
        <v>#N/A</v>
      </c>
      <c r="O3907" s="22" t="e">
        <v>#N/A</v>
      </c>
      <c r="P3907" s="4" t="e">
        <f t="shared" ref="P3907:P3970" si="305">IF(AND(N3907=0,G3907=1,M3907=1),1,0)</f>
        <v>#N/A</v>
      </c>
      <c r="Q3907" s="4" t="e">
        <f t="shared" ref="Q3907:Q3970" si="306">IF(ISERROR(N3907),N3907,IF(SUM(C3907:K3907)&gt;=4,1,0))</f>
        <v>#N/A</v>
      </c>
      <c r="R3907" s="4" t="e">
        <f>IF(AND(B3907=1,N3907&gt;'Line Follower'!$C$7,SUM(C3907:K3907)&lt;4),1,0)</f>
        <v>#N/A</v>
      </c>
      <c r="S3907" s="4" t="e">
        <f>IF(AND(L3907=1,N3907&lt;'Line Follower'!$C$6,SUM(C3907:K3907)&lt;4),1,0)</f>
        <v>#N/A</v>
      </c>
      <c r="T3907" s="4" t="e">
        <f t="shared" si="302"/>
        <v>#N/A</v>
      </c>
      <c r="U3907" s="5" t="e">
        <f t="shared" si="303"/>
        <v>#N/A</v>
      </c>
      <c r="V3907" s="23" t="e">
        <f t="shared" si="304"/>
        <v>#N/A</v>
      </c>
    </row>
    <row r="3908" spans="2:22" x14ac:dyDescent="0.25">
      <c r="B3908" s="16">
        <v>1</v>
      </c>
      <c r="C3908" s="7">
        <v>0</v>
      </c>
      <c r="D3908" s="8">
        <v>0</v>
      </c>
      <c r="E3908" s="8">
        <v>0</v>
      </c>
      <c r="F3908" s="8">
        <v>0</v>
      </c>
      <c r="G3908" s="8">
        <v>0</v>
      </c>
      <c r="H3908" s="8">
        <v>1</v>
      </c>
      <c r="I3908" s="8">
        <v>0</v>
      </c>
      <c r="J3908" s="8">
        <v>1</v>
      </c>
      <c r="K3908" s="9">
        <v>1</v>
      </c>
      <c r="L3908" s="10">
        <v>1</v>
      </c>
      <c r="M3908" s="6">
        <v>1</v>
      </c>
      <c r="N3908" s="37" t="e" cm="1">
        <f t="array" ref="N3908">IF(OR(ISNUMBER(FIND(Aux!$D$3:$D$9,_xlfn.TEXTJOIN(,,C3908:K3908)))),NA(),IF(AND(SUM(C3908:F3908,H3908:K3908)=0,G3908=1),0,INT((SUMPRODUCT(C3908:F3908,COLUMN($A$1:$D$1)-1)+SUMPRODUCT(H3908:K3908,COLUMN($E$1:$H$1)-1))*'Line Follower'!$C$3/SUM(C3908:F3908,H3908:K3908)-'Line Follower'!$C$5)))</f>
        <v>#N/A</v>
      </c>
      <c r="O3908" s="22" t="e">
        <v>#N/A</v>
      </c>
      <c r="P3908" s="4" t="e">
        <f t="shared" si="305"/>
        <v>#N/A</v>
      </c>
      <c r="Q3908" s="4" t="e">
        <f t="shared" si="306"/>
        <v>#N/A</v>
      </c>
      <c r="R3908" s="4" t="e">
        <f>IF(AND(B3908=1,N3908&gt;'Line Follower'!$C$7,SUM(C3908:K3908)&lt;4),1,0)</f>
        <v>#N/A</v>
      </c>
      <c r="S3908" s="4" t="e">
        <f>IF(AND(L3908=1,N3908&lt;'Line Follower'!$C$6,SUM(C3908:K3908)&lt;4),1,0)</f>
        <v>#N/A</v>
      </c>
      <c r="T3908" s="4" t="e">
        <f t="shared" ref="T3908:T3971" si="307">IF(ISNA(N3908),NA(),IF(SUM(C3908:L3908)=0,1,0))</f>
        <v>#N/A</v>
      </c>
      <c r="U3908" s="5" t="e">
        <f t="shared" ref="U3908:U3971" si="308">IF(ISNA(N3908),NA(),IF(SUM(B3908:K3908)=0,1,0))</f>
        <v>#N/A</v>
      </c>
      <c r="V3908" s="23" t="e">
        <f t="shared" ref="V3908:V3971" si="309">IF(ISNA(N3908),NA(),IF(SUM(B3908:L3908)=0,1,0))</f>
        <v>#N/A</v>
      </c>
    </row>
    <row r="3909" spans="2:22" x14ac:dyDescent="0.25">
      <c r="B3909" s="16">
        <v>0</v>
      </c>
      <c r="C3909" s="7">
        <v>1</v>
      </c>
      <c r="D3909" s="8">
        <v>0</v>
      </c>
      <c r="E3909" s="8">
        <v>0</v>
      </c>
      <c r="F3909" s="8">
        <v>0</v>
      </c>
      <c r="G3909" s="8">
        <v>0</v>
      </c>
      <c r="H3909" s="8">
        <v>1</v>
      </c>
      <c r="I3909" s="8">
        <v>0</v>
      </c>
      <c r="J3909" s="8">
        <v>1</v>
      </c>
      <c r="K3909" s="9">
        <v>1</v>
      </c>
      <c r="L3909" s="10">
        <v>1</v>
      </c>
      <c r="M3909" s="6">
        <v>1</v>
      </c>
      <c r="N3909" s="37" t="e" cm="1">
        <f t="array" ref="N3909">IF(OR(ISNUMBER(FIND(Aux!$D$3:$D$9,_xlfn.TEXTJOIN(,,C3909:K3909)))),NA(),IF(AND(SUM(C3909:F3909,H3909:K3909)=0,G3909=1),0,INT((SUMPRODUCT(C3909:F3909,COLUMN($A$1:$D$1)-1)+SUMPRODUCT(H3909:K3909,COLUMN($E$1:$H$1)-1))*'Line Follower'!$C$3/SUM(C3909:F3909,H3909:K3909)-'Line Follower'!$C$5)))</f>
        <v>#N/A</v>
      </c>
      <c r="O3909" s="22" t="e">
        <v>#N/A</v>
      </c>
      <c r="P3909" s="4" t="e">
        <f t="shared" si="305"/>
        <v>#N/A</v>
      </c>
      <c r="Q3909" s="4" t="e">
        <f t="shared" si="306"/>
        <v>#N/A</v>
      </c>
      <c r="R3909" s="4" t="e">
        <f>IF(AND(B3909=1,N3909&gt;'Line Follower'!$C$7,SUM(C3909:K3909)&lt;4),1,0)</f>
        <v>#N/A</v>
      </c>
      <c r="S3909" s="4" t="e">
        <f>IF(AND(L3909=1,N3909&lt;'Line Follower'!$C$6,SUM(C3909:K3909)&lt;4),1,0)</f>
        <v>#N/A</v>
      </c>
      <c r="T3909" s="4" t="e">
        <f t="shared" si="307"/>
        <v>#N/A</v>
      </c>
      <c r="U3909" s="5" t="e">
        <f t="shared" si="308"/>
        <v>#N/A</v>
      </c>
      <c r="V3909" s="23" t="e">
        <f t="shared" si="309"/>
        <v>#N/A</v>
      </c>
    </row>
    <row r="3910" spans="2:22" x14ac:dyDescent="0.25">
      <c r="B3910" s="16">
        <v>1</v>
      </c>
      <c r="C3910" s="7">
        <v>1</v>
      </c>
      <c r="D3910" s="8">
        <v>0</v>
      </c>
      <c r="E3910" s="8">
        <v>0</v>
      </c>
      <c r="F3910" s="8">
        <v>0</v>
      </c>
      <c r="G3910" s="8">
        <v>0</v>
      </c>
      <c r="H3910" s="8">
        <v>1</v>
      </c>
      <c r="I3910" s="8">
        <v>0</v>
      </c>
      <c r="J3910" s="8">
        <v>1</v>
      </c>
      <c r="K3910" s="9">
        <v>1</v>
      </c>
      <c r="L3910" s="10">
        <v>1</v>
      </c>
      <c r="M3910" s="6">
        <v>1</v>
      </c>
      <c r="N3910" s="37" t="e" cm="1">
        <f t="array" ref="N3910">IF(OR(ISNUMBER(FIND(Aux!$D$3:$D$9,_xlfn.TEXTJOIN(,,C3910:K3910)))),NA(),IF(AND(SUM(C3910:F3910,H3910:K3910)=0,G3910=1),0,INT((SUMPRODUCT(C3910:F3910,COLUMN($A$1:$D$1)-1)+SUMPRODUCT(H3910:K3910,COLUMN($E$1:$H$1)-1))*'Line Follower'!$C$3/SUM(C3910:F3910,H3910:K3910)-'Line Follower'!$C$5)))</f>
        <v>#N/A</v>
      </c>
      <c r="O3910" s="22" t="e">
        <v>#N/A</v>
      </c>
      <c r="P3910" s="4" t="e">
        <f t="shared" si="305"/>
        <v>#N/A</v>
      </c>
      <c r="Q3910" s="4" t="e">
        <f t="shared" si="306"/>
        <v>#N/A</v>
      </c>
      <c r="R3910" s="4" t="e">
        <f>IF(AND(B3910=1,N3910&gt;'Line Follower'!$C$7,SUM(C3910:K3910)&lt;4),1,0)</f>
        <v>#N/A</v>
      </c>
      <c r="S3910" s="4" t="e">
        <f>IF(AND(L3910=1,N3910&lt;'Line Follower'!$C$6,SUM(C3910:K3910)&lt;4),1,0)</f>
        <v>#N/A</v>
      </c>
      <c r="T3910" s="4" t="e">
        <f t="shared" si="307"/>
        <v>#N/A</v>
      </c>
      <c r="U3910" s="5" t="e">
        <f t="shared" si="308"/>
        <v>#N/A</v>
      </c>
      <c r="V3910" s="23" t="e">
        <f t="shared" si="309"/>
        <v>#N/A</v>
      </c>
    </row>
    <row r="3911" spans="2:22" x14ac:dyDescent="0.25">
      <c r="B3911" s="16">
        <v>0</v>
      </c>
      <c r="C3911" s="7">
        <v>0</v>
      </c>
      <c r="D3911" s="8">
        <v>1</v>
      </c>
      <c r="E3911" s="8">
        <v>0</v>
      </c>
      <c r="F3911" s="8">
        <v>0</v>
      </c>
      <c r="G3911" s="8">
        <v>0</v>
      </c>
      <c r="H3911" s="8">
        <v>1</v>
      </c>
      <c r="I3911" s="8">
        <v>0</v>
      </c>
      <c r="J3911" s="8">
        <v>1</v>
      </c>
      <c r="K3911" s="9">
        <v>1</v>
      </c>
      <c r="L3911" s="10">
        <v>1</v>
      </c>
      <c r="M3911" s="6">
        <v>1</v>
      </c>
      <c r="N3911" s="37" t="e" cm="1">
        <f t="array" ref="N3911">IF(OR(ISNUMBER(FIND(Aux!$D$3:$D$9,_xlfn.TEXTJOIN(,,C3911:K3911)))),NA(),IF(AND(SUM(C3911:F3911,H3911:K3911)=0,G3911=1),0,INT((SUMPRODUCT(C3911:F3911,COLUMN($A$1:$D$1)-1)+SUMPRODUCT(H3911:K3911,COLUMN($E$1:$H$1)-1))*'Line Follower'!$C$3/SUM(C3911:F3911,H3911:K3911)-'Line Follower'!$C$5)))</f>
        <v>#N/A</v>
      </c>
      <c r="O3911" s="22" t="e">
        <v>#N/A</v>
      </c>
      <c r="P3911" s="4" t="e">
        <f t="shared" si="305"/>
        <v>#N/A</v>
      </c>
      <c r="Q3911" s="4" t="e">
        <f t="shared" si="306"/>
        <v>#N/A</v>
      </c>
      <c r="R3911" s="4" t="e">
        <f>IF(AND(B3911=1,N3911&gt;'Line Follower'!$C$7,SUM(C3911:K3911)&lt;4),1,0)</f>
        <v>#N/A</v>
      </c>
      <c r="S3911" s="4" t="e">
        <f>IF(AND(L3911=1,N3911&lt;'Line Follower'!$C$6,SUM(C3911:K3911)&lt;4),1,0)</f>
        <v>#N/A</v>
      </c>
      <c r="T3911" s="4" t="e">
        <f t="shared" si="307"/>
        <v>#N/A</v>
      </c>
      <c r="U3911" s="5" t="e">
        <f t="shared" si="308"/>
        <v>#N/A</v>
      </c>
      <c r="V3911" s="23" t="e">
        <f t="shared" si="309"/>
        <v>#N/A</v>
      </c>
    </row>
    <row r="3912" spans="2:22" x14ac:dyDescent="0.25">
      <c r="B3912" s="16">
        <v>1</v>
      </c>
      <c r="C3912" s="7">
        <v>0</v>
      </c>
      <c r="D3912" s="8">
        <v>1</v>
      </c>
      <c r="E3912" s="8">
        <v>0</v>
      </c>
      <c r="F3912" s="8">
        <v>0</v>
      </c>
      <c r="G3912" s="8">
        <v>0</v>
      </c>
      <c r="H3912" s="8">
        <v>1</v>
      </c>
      <c r="I3912" s="8">
        <v>0</v>
      </c>
      <c r="J3912" s="8">
        <v>1</v>
      </c>
      <c r="K3912" s="9">
        <v>1</v>
      </c>
      <c r="L3912" s="10">
        <v>1</v>
      </c>
      <c r="M3912" s="6">
        <v>1</v>
      </c>
      <c r="N3912" s="37" t="e" cm="1">
        <f t="array" ref="N3912">IF(OR(ISNUMBER(FIND(Aux!$D$3:$D$9,_xlfn.TEXTJOIN(,,C3912:K3912)))),NA(),IF(AND(SUM(C3912:F3912,H3912:K3912)=0,G3912=1),0,INT((SUMPRODUCT(C3912:F3912,COLUMN($A$1:$D$1)-1)+SUMPRODUCT(H3912:K3912,COLUMN($E$1:$H$1)-1))*'Line Follower'!$C$3/SUM(C3912:F3912,H3912:K3912)-'Line Follower'!$C$5)))</f>
        <v>#N/A</v>
      </c>
      <c r="O3912" s="22" t="e">
        <v>#N/A</v>
      </c>
      <c r="P3912" s="4" t="e">
        <f t="shared" si="305"/>
        <v>#N/A</v>
      </c>
      <c r="Q3912" s="4" t="e">
        <f t="shared" si="306"/>
        <v>#N/A</v>
      </c>
      <c r="R3912" s="4" t="e">
        <f>IF(AND(B3912=1,N3912&gt;'Line Follower'!$C$7,SUM(C3912:K3912)&lt;4),1,0)</f>
        <v>#N/A</v>
      </c>
      <c r="S3912" s="4" t="e">
        <f>IF(AND(L3912=1,N3912&lt;'Line Follower'!$C$6,SUM(C3912:K3912)&lt;4),1,0)</f>
        <v>#N/A</v>
      </c>
      <c r="T3912" s="4" t="e">
        <f t="shared" si="307"/>
        <v>#N/A</v>
      </c>
      <c r="U3912" s="5" t="e">
        <f t="shared" si="308"/>
        <v>#N/A</v>
      </c>
      <c r="V3912" s="23" t="e">
        <f t="shared" si="309"/>
        <v>#N/A</v>
      </c>
    </row>
    <row r="3913" spans="2:22" x14ac:dyDescent="0.25">
      <c r="B3913" s="16">
        <v>0</v>
      </c>
      <c r="C3913" s="7">
        <v>1</v>
      </c>
      <c r="D3913" s="8">
        <v>1</v>
      </c>
      <c r="E3913" s="8">
        <v>0</v>
      </c>
      <c r="F3913" s="8">
        <v>0</v>
      </c>
      <c r="G3913" s="8">
        <v>0</v>
      </c>
      <c r="H3913" s="8">
        <v>1</v>
      </c>
      <c r="I3913" s="8">
        <v>0</v>
      </c>
      <c r="J3913" s="8">
        <v>1</v>
      </c>
      <c r="K3913" s="9">
        <v>1</v>
      </c>
      <c r="L3913" s="10">
        <v>1</v>
      </c>
      <c r="M3913" s="6">
        <v>1</v>
      </c>
      <c r="N3913" s="37" t="e" cm="1">
        <f t="array" ref="N3913">IF(OR(ISNUMBER(FIND(Aux!$D$3:$D$9,_xlfn.TEXTJOIN(,,C3913:K3913)))),NA(),IF(AND(SUM(C3913:F3913,H3913:K3913)=0,G3913=1),0,INT((SUMPRODUCT(C3913:F3913,COLUMN($A$1:$D$1)-1)+SUMPRODUCT(H3913:K3913,COLUMN($E$1:$H$1)-1))*'Line Follower'!$C$3/SUM(C3913:F3913,H3913:K3913)-'Line Follower'!$C$5)))</f>
        <v>#N/A</v>
      </c>
      <c r="O3913" s="22" t="e">
        <v>#N/A</v>
      </c>
      <c r="P3913" s="4" t="e">
        <f t="shared" si="305"/>
        <v>#N/A</v>
      </c>
      <c r="Q3913" s="4" t="e">
        <f t="shared" si="306"/>
        <v>#N/A</v>
      </c>
      <c r="R3913" s="4" t="e">
        <f>IF(AND(B3913=1,N3913&gt;'Line Follower'!$C$7,SUM(C3913:K3913)&lt;4),1,0)</f>
        <v>#N/A</v>
      </c>
      <c r="S3913" s="4" t="e">
        <f>IF(AND(L3913=1,N3913&lt;'Line Follower'!$C$6,SUM(C3913:K3913)&lt;4),1,0)</f>
        <v>#N/A</v>
      </c>
      <c r="T3913" s="4" t="e">
        <f t="shared" si="307"/>
        <v>#N/A</v>
      </c>
      <c r="U3913" s="5" t="e">
        <f t="shared" si="308"/>
        <v>#N/A</v>
      </c>
      <c r="V3913" s="23" t="e">
        <f t="shared" si="309"/>
        <v>#N/A</v>
      </c>
    </row>
    <row r="3914" spans="2:22" x14ac:dyDescent="0.25">
      <c r="B3914" s="16">
        <v>1</v>
      </c>
      <c r="C3914" s="7">
        <v>1</v>
      </c>
      <c r="D3914" s="8">
        <v>1</v>
      </c>
      <c r="E3914" s="8">
        <v>0</v>
      </c>
      <c r="F3914" s="8">
        <v>0</v>
      </c>
      <c r="G3914" s="8">
        <v>0</v>
      </c>
      <c r="H3914" s="8">
        <v>1</v>
      </c>
      <c r="I3914" s="8">
        <v>0</v>
      </c>
      <c r="J3914" s="8">
        <v>1</v>
      </c>
      <c r="K3914" s="9">
        <v>1</v>
      </c>
      <c r="L3914" s="10">
        <v>1</v>
      </c>
      <c r="M3914" s="6">
        <v>1</v>
      </c>
      <c r="N3914" s="37" t="e" cm="1">
        <f t="array" ref="N3914">IF(OR(ISNUMBER(FIND(Aux!$D$3:$D$9,_xlfn.TEXTJOIN(,,C3914:K3914)))),NA(),IF(AND(SUM(C3914:F3914,H3914:K3914)=0,G3914=1),0,INT((SUMPRODUCT(C3914:F3914,COLUMN($A$1:$D$1)-1)+SUMPRODUCT(H3914:K3914,COLUMN($E$1:$H$1)-1))*'Line Follower'!$C$3/SUM(C3914:F3914,H3914:K3914)-'Line Follower'!$C$5)))</f>
        <v>#N/A</v>
      </c>
      <c r="O3914" s="22" t="e">
        <v>#N/A</v>
      </c>
      <c r="P3914" s="4" t="e">
        <f t="shared" si="305"/>
        <v>#N/A</v>
      </c>
      <c r="Q3914" s="4" t="e">
        <f t="shared" si="306"/>
        <v>#N/A</v>
      </c>
      <c r="R3914" s="4" t="e">
        <f>IF(AND(B3914=1,N3914&gt;'Line Follower'!$C$7,SUM(C3914:K3914)&lt;4),1,0)</f>
        <v>#N/A</v>
      </c>
      <c r="S3914" s="4" t="e">
        <f>IF(AND(L3914=1,N3914&lt;'Line Follower'!$C$6,SUM(C3914:K3914)&lt;4),1,0)</f>
        <v>#N/A</v>
      </c>
      <c r="T3914" s="4" t="e">
        <f t="shared" si="307"/>
        <v>#N/A</v>
      </c>
      <c r="U3914" s="5" t="e">
        <f t="shared" si="308"/>
        <v>#N/A</v>
      </c>
      <c r="V3914" s="23" t="e">
        <f t="shared" si="309"/>
        <v>#N/A</v>
      </c>
    </row>
    <row r="3915" spans="2:22" x14ac:dyDescent="0.25">
      <c r="B3915" s="16">
        <v>0</v>
      </c>
      <c r="C3915" s="7">
        <v>0</v>
      </c>
      <c r="D3915" s="8">
        <v>0</v>
      </c>
      <c r="E3915" s="8">
        <v>1</v>
      </c>
      <c r="F3915" s="8">
        <v>0</v>
      </c>
      <c r="G3915" s="8">
        <v>0</v>
      </c>
      <c r="H3915" s="8">
        <v>1</v>
      </c>
      <c r="I3915" s="8">
        <v>0</v>
      </c>
      <c r="J3915" s="8">
        <v>1</v>
      </c>
      <c r="K3915" s="9">
        <v>1</v>
      </c>
      <c r="L3915" s="10">
        <v>1</v>
      </c>
      <c r="M3915" s="6">
        <v>1</v>
      </c>
      <c r="N3915" s="37" t="e" cm="1">
        <f t="array" ref="N3915">IF(OR(ISNUMBER(FIND(Aux!$D$3:$D$9,_xlfn.TEXTJOIN(,,C3915:K3915)))),NA(),IF(AND(SUM(C3915:F3915,H3915:K3915)=0,G3915=1),0,INT((SUMPRODUCT(C3915:F3915,COLUMN($A$1:$D$1)-1)+SUMPRODUCT(H3915:K3915,COLUMN($E$1:$H$1)-1))*'Line Follower'!$C$3/SUM(C3915:F3915,H3915:K3915)-'Line Follower'!$C$5)))</f>
        <v>#N/A</v>
      </c>
      <c r="O3915" s="22" t="e">
        <v>#N/A</v>
      </c>
      <c r="P3915" s="4" t="e">
        <f t="shared" si="305"/>
        <v>#N/A</v>
      </c>
      <c r="Q3915" s="4" t="e">
        <f t="shared" si="306"/>
        <v>#N/A</v>
      </c>
      <c r="R3915" s="4" t="e">
        <f>IF(AND(B3915=1,N3915&gt;'Line Follower'!$C$7,SUM(C3915:K3915)&lt;4),1,0)</f>
        <v>#N/A</v>
      </c>
      <c r="S3915" s="4" t="e">
        <f>IF(AND(L3915=1,N3915&lt;'Line Follower'!$C$6,SUM(C3915:K3915)&lt;4),1,0)</f>
        <v>#N/A</v>
      </c>
      <c r="T3915" s="4" t="e">
        <f t="shared" si="307"/>
        <v>#N/A</v>
      </c>
      <c r="U3915" s="5" t="e">
        <f t="shared" si="308"/>
        <v>#N/A</v>
      </c>
      <c r="V3915" s="23" t="e">
        <f t="shared" si="309"/>
        <v>#N/A</v>
      </c>
    </row>
    <row r="3916" spans="2:22" x14ac:dyDescent="0.25">
      <c r="B3916" s="16">
        <v>1</v>
      </c>
      <c r="C3916" s="7">
        <v>0</v>
      </c>
      <c r="D3916" s="8">
        <v>0</v>
      </c>
      <c r="E3916" s="8">
        <v>1</v>
      </c>
      <c r="F3916" s="8">
        <v>0</v>
      </c>
      <c r="G3916" s="8">
        <v>0</v>
      </c>
      <c r="H3916" s="8">
        <v>1</v>
      </c>
      <c r="I3916" s="8">
        <v>0</v>
      </c>
      <c r="J3916" s="8">
        <v>1</v>
      </c>
      <c r="K3916" s="9">
        <v>1</v>
      </c>
      <c r="L3916" s="10">
        <v>1</v>
      </c>
      <c r="M3916" s="6">
        <v>1</v>
      </c>
      <c r="N3916" s="37" t="e" cm="1">
        <f t="array" ref="N3916">IF(OR(ISNUMBER(FIND(Aux!$D$3:$D$9,_xlfn.TEXTJOIN(,,C3916:K3916)))),NA(),IF(AND(SUM(C3916:F3916,H3916:K3916)=0,G3916=1),0,INT((SUMPRODUCT(C3916:F3916,COLUMN($A$1:$D$1)-1)+SUMPRODUCT(H3916:K3916,COLUMN($E$1:$H$1)-1))*'Line Follower'!$C$3/SUM(C3916:F3916,H3916:K3916)-'Line Follower'!$C$5)))</f>
        <v>#N/A</v>
      </c>
      <c r="O3916" s="22" t="e">
        <v>#N/A</v>
      </c>
      <c r="P3916" s="4" t="e">
        <f t="shared" si="305"/>
        <v>#N/A</v>
      </c>
      <c r="Q3916" s="4" t="e">
        <f t="shared" si="306"/>
        <v>#N/A</v>
      </c>
      <c r="R3916" s="4" t="e">
        <f>IF(AND(B3916=1,N3916&gt;'Line Follower'!$C$7,SUM(C3916:K3916)&lt;4),1,0)</f>
        <v>#N/A</v>
      </c>
      <c r="S3916" s="4" t="e">
        <f>IF(AND(L3916=1,N3916&lt;'Line Follower'!$C$6,SUM(C3916:K3916)&lt;4),1,0)</f>
        <v>#N/A</v>
      </c>
      <c r="T3916" s="4" t="e">
        <f t="shared" si="307"/>
        <v>#N/A</v>
      </c>
      <c r="U3916" s="5" t="e">
        <f t="shared" si="308"/>
        <v>#N/A</v>
      </c>
      <c r="V3916" s="23" t="e">
        <f t="shared" si="309"/>
        <v>#N/A</v>
      </c>
    </row>
    <row r="3917" spans="2:22" x14ac:dyDescent="0.25">
      <c r="B3917" s="16">
        <v>0</v>
      </c>
      <c r="C3917" s="7">
        <v>1</v>
      </c>
      <c r="D3917" s="8">
        <v>0</v>
      </c>
      <c r="E3917" s="8">
        <v>1</v>
      </c>
      <c r="F3917" s="8">
        <v>0</v>
      </c>
      <c r="G3917" s="8">
        <v>0</v>
      </c>
      <c r="H3917" s="8">
        <v>1</v>
      </c>
      <c r="I3917" s="8">
        <v>0</v>
      </c>
      <c r="J3917" s="8">
        <v>1</v>
      </c>
      <c r="K3917" s="9">
        <v>1</v>
      </c>
      <c r="L3917" s="10">
        <v>1</v>
      </c>
      <c r="M3917" s="6">
        <v>1</v>
      </c>
      <c r="N3917" s="37" t="e" cm="1">
        <f t="array" ref="N3917">IF(OR(ISNUMBER(FIND(Aux!$D$3:$D$9,_xlfn.TEXTJOIN(,,C3917:K3917)))),NA(),IF(AND(SUM(C3917:F3917,H3917:K3917)=0,G3917=1),0,INT((SUMPRODUCT(C3917:F3917,COLUMN($A$1:$D$1)-1)+SUMPRODUCT(H3917:K3917,COLUMN($E$1:$H$1)-1))*'Line Follower'!$C$3/SUM(C3917:F3917,H3917:K3917)-'Line Follower'!$C$5)))</f>
        <v>#N/A</v>
      </c>
      <c r="O3917" s="22" t="e">
        <v>#N/A</v>
      </c>
      <c r="P3917" s="4" t="e">
        <f t="shared" si="305"/>
        <v>#N/A</v>
      </c>
      <c r="Q3917" s="4" t="e">
        <f t="shared" si="306"/>
        <v>#N/A</v>
      </c>
      <c r="R3917" s="4" t="e">
        <f>IF(AND(B3917=1,N3917&gt;'Line Follower'!$C$7,SUM(C3917:K3917)&lt;4),1,0)</f>
        <v>#N/A</v>
      </c>
      <c r="S3917" s="4" t="e">
        <f>IF(AND(L3917=1,N3917&lt;'Line Follower'!$C$6,SUM(C3917:K3917)&lt;4),1,0)</f>
        <v>#N/A</v>
      </c>
      <c r="T3917" s="4" t="e">
        <f t="shared" si="307"/>
        <v>#N/A</v>
      </c>
      <c r="U3917" s="5" t="e">
        <f t="shared" si="308"/>
        <v>#N/A</v>
      </c>
      <c r="V3917" s="23" t="e">
        <f t="shared" si="309"/>
        <v>#N/A</v>
      </c>
    </row>
    <row r="3918" spans="2:22" x14ac:dyDescent="0.25">
      <c r="B3918" s="16">
        <v>1</v>
      </c>
      <c r="C3918" s="7">
        <v>1</v>
      </c>
      <c r="D3918" s="8">
        <v>0</v>
      </c>
      <c r="E3918" s="8">
        <v>1</v>
      </c>
      <c r="F3918" s="8">
        <v>0</v>
      </c>
      <c r="G3918" s="8">
        <v>0</v>
      </c>
      <c r="H3918" s="8">
        <v>1</v>
      </c>
      <c r="I3918" s="8">
        <v>0</v>
      </c>
      <c r="J3918" s="8">
        <v>1</v>
      </c>
      <c r="K3918" s="9">
        <v>1</v>
      </c>
      <c r="L3918" s="10">
        <v>1</v>
      </c>
      <c r="M3918" s="6">
        <v>1</v>
      </c>
      <c r="N3918" s="37" t="e" cm="1">
        <f t="array" ref="N3918">IF(OR(ISNUMBER(FIND(Aux!$D$3:$D$9,_xlfn.TEXTJOIN(,,C3918:K3918)))),NA(),IF(AND(SUM(C3918:F3918,H3918:K3918)=0,G3918=1),0,INT((SUMPRODUCT(C3918:F3918,COLUMN($A$1:$D$1)-1)+SUMPRODUCT(H3918:K3918,COLUMN($E$1:$H$1)-1))*'Line Follower'!$C$3/SUM(C3918:F3918,H3918:K3918)-'Line Follower'!$C$5)))</f>
        <v>#N/A</v>
      </c>
      <c r="O3918" s="22" t="e">
        <v>#N/A</v>
      </c>
      <c r="P3918" s="4" t="e">
        <f t="shared" si="305"/>
        <v>#N/A</v>
      </c>
      <c r="Q3918" s="4" t="e">
        <f t="shared" si="306"/>
        <v>#N/A</v>
      </c>
      <c r="R3918" s="4" t="e">
        <f>IF(AND(B3918=1,N3918&gt;'Line Follower'!$C$7,SUM(C3918:K3918)&lt;4),1,0)</f>
        <v>#N/A</v>
      </c>
      <c r="S3918" s="4" t="e">
        <f>IF(AND(L3918=1,N3918&lt;'Line Follower'!$C$6,SUM(C3918:K3918)&lt;4),1,0)</f>
        <v>#N/A</v>
      </c>
      <c r="T3918" s="4" t="e">
        <f t="shared" si="307"/>
        <v>#N/A</v>
      </c>
      <c r="U3918" s="5" t="e">
        <f t="shared" si="308"/>
        <v>#N/A</v>
      </c>
      <c r="V3918" s="23" t="e">
        <f t="shared" si="309"/>
        <v>#N/A</v>
      </c>
    </row>
    <row r="3919" spans="2:22" x14ac:dyDescent="0.25">
      <c r="B3919" s="16">
        <v>0</v>
      </c>
      <c r="C3919" s="7">
        <v>0</v>
      </c>
      <c r="D3919" s="8">
        <v>1</v>
      </c>
      <c r="E3919" s="8">
        <v>1</v>
      </c>
      <c r="F3919" s="8">
        <v>0</v>
      </c>
      <c r="G3919" s="8">
        <v>0</v>
      </c>
      <c r="H3919" s="8">
        <v>1</v>
      </c>
      <c r="I3919" s="8">
        <v>0</v>
      </c>
      <c r="J3919" s="8">
        <v>1</v>
      </c>
      <c r="K3919" s="9">
        <v>1</v>
      </c>
      <c r="L3919" s="10">
        <v>1</v>
      </c>
      <c r="M3919" s="6">
        <v>1</v>
      </c>
      <c r="N3919" s="37" t="e" cm="1">
        <f t="array" ref="N3919">IF(OR(ISNUMBER(FIND(Aux!$D$3:$D$9,_xlfn.TEXTJOIN(,,C3919:K3919)))),NA(),IF(AND(SUM(C3919:F3919,H3919:K3919)=0,G3919=1),0,INT((SUMPRODUCT(C3919:F3919,COLUMN($A$1:$D$1)-1)+SUMPRODUCT(H3919:K3919,COLUMN($E$1:$H$1)-1))*'Line Follower'!$C$3/SUM(C3919:F3919,H3919:K3919)-'Line Follower'!$C$5)))</f>
        <v>#N/A</v>
      </c>
      <c r="O3919" s="22" t="e">
        <v>#N/A</v>
      </c>
      <c r="P3919" s="4" t="e">
        <f t="shared" si="305"/>
        <v>#N/A</v>
      </c>
      <c r="Q3919" s="4" t="e">
        <f t="shared" si="306"/>
        <v>#N/A</v>
      </c>
      <c r="R3919" s="4" t="e">
        <f>IF(AND(B3919=1,N3919&gt;'Line Follower'!$C$7,SUM(C3919:K3919)&lt;4),1,0)</f>
        <v>#N/A</v>
      </c>
      <c r="S3919" s="4" t="e">
        <f>IF(AND(L3919=1,N3919&lt;'Line Follower'!$C$6,SUM(C3919:K3919)&lt;4),1,0)</f>
        <v>#N/A</v>
      </c>
      <c r="T3919" s="4" t="e">
        <f t="shared" si="307"/>
        <v>#N/A</v>
      </c>
      <c r="U3919" s="5" t="e">
        <f t="shared" si="308"/>
        <v>#N/A</v>
      </c>
      <c r="V3919" s="23" t="e">
        <f t="shared" si="309"/>
        <v>#N/A</v>
      </c>
    </row>
    <row r="3920" spans="2:22" x14ac:dyDescent="0.25">
      <c r="B3920" s="16">
        <v>1</v>
      </c>
      <c r="C3920" s="7">
        <v>0</v>
      </c>
      <c r="D3920" s="8">
        <v>1</v>
      </c>
      <c r="E3920" s="8">
        <v>1</v>
      </c>
      <c r="F3920" s="8">
        <v>0</v>
      </c>
      <c r="G3920" s="8">
        <v>0</v>
      </c>
      <c r="H3920" s="8">
        <v>1</v>
      </c>
      <c r="I3920" s="8">
        <v>0</v>
      </c>
      <c r="J3920" s="8">
        <v>1</v>
      </c>
      <c r="K3920" s="9">
        <v>1</v>
      </c>
      <c r="L3920" s="10">
        <v>1</v>
      </c>
      <c r="M3920" s="6">
        <v>1</v>
      </c>
      <c r="N3920" s="37" t="e" cm="1">
        <f t="array" ref="N3920">IF(OR(ISNUMBER(FIND(Aux!$D$3:$D$9,_xlfn.TEXTJOIN(,,C3920:K3920)))),NA(),IF(AND(SUM(C3920:F3920,H3920:K3920)=0,G3920=1),0,INT((SUMPRODUCT(C3920:F3920,COLUMN($A$1:$D$1)-1)+SUMPRODUCT(H3920:K3920,COLUMN($E$1:$H$1)-1))*'Line Follower'!$C$3/SUM(C3920:F3920,H3920:K3920)-'Line Follower'!$C$5)))</f>
        <v>#N/A</v>
      </c>
      <c r="O3920" s="22" t="e">
        <v>#N/A</v>
      </c>
      <c r="P3920" s="4" t="e">
        <f t="shared" si="305"/>
        <v>#N/A</v>
      </c>
      <c r="Q3920" s="4" t="e">
        <f t="shared" si="306"/>
        <v>#N/A</v>
      </c>
      <c r="R3920" s="4" t="e">
        <f>IF(AND(B3920=1,N3920&gt;'Line Follower'!$C$7,SUM(C3920:K3920)&lt;4),1,0)</f>
        <v>#N/A</v>
      </c>
      <c r="S3920" s="4" t="e">
        <f>IF(AND(L3920=1,N3920&lt;'Line Follower'!$C$6,SUM(C3920:K3920)&lt;4),1,0)</f>
        <v>#N/A</v>
      </c>
      <c r="T3920" s="4" t="e">
        <f t="shared" si="307"/>
        <v>#N/A</v>
      </c>
      <c r="U3920" s="5" t="e">
        <f t="shared" si="308"/>
        <v>#N/A</v>
      </c>
      <c r="V3920" s="23" t="e">
        <f t="shared" si="309"/>
        <v>#N/A</v>
      </c>
    </row>
    <row r="3921" spans="2:22" x14ac:dyDescent="0.25">
      <c r="B3921" s="16">
        <v>0</v>
      </c>
      <c r="C3921" s="7">
        <v>1</v>
      </c>
      <c r="D3921" s="8">
        <v>1</v>
      </c>
      <c r="E3921" s="8">
        <v>1</v>
      </c>
      <c r="F3921" s="8">
        <v>0</v>
      </c>
      <c r="G3921" s="8">
        <v>0</v>
      </c>
      <c r="H3921" s="8">
        <v>1</v>
      </c>
      <c r="I3921" s="8">
        <v>0</v>
      </c>
      <c r="J3921" s="8">
        <v>1</v>
      </c>
      <c r="K3921" s="9">
        <v>1</v>
      </c>
      <c r="L3921" s="10">
        <v>1</v>
      </c>
      <c r="M3921" s="6">
        <v>1</v>
      </c>
      <c r="N3921" s="37" t="e" cm="1">
        <f t="array" ref="N3921">IF(OR(ISNUMBER(FIND(Aux!$D$3:$D$9,_xlfn.TEXTJOIN(,,C3921:K3921)))),NA(),IF(AND(SUM(C3921:F3921,H3921:K3921)=0,G3921=1),0,INT((SUMPRODUCT(C3921:F3921,COLUMN($A$1:$D$1)-1)+SUMPRODUCT(H3921:K3921,COLUMN($E$1:$H$1)-1))*'Line Follower'!$C$3/SUM(C3921:F3921,H3921:K3921)-'Line Follower'!$C$5)))</f>
        <v>#N/A</v>
      </c>
      <c r="O3921" s="22" t="e">
        <v>#N/A</v>
      </c>
      <c r="P3921" s="4" t="e">
        <f t="shared" si="305"/>
        <v>#N/A</v>
      </c>
      <c r="Q3921" s="4" t="e">
        <f t="shared" si="306"/>
        <v>#N/A</v>
      </c>
      <c r="R3921" s="4" t="e">
        <f>IF(AND(B3921=1,N3921&gt;'Line Follower'!$C$7,SUM(C3921:K3921)&lt;4),1,0)</f>
        <v>#N/A</v>
      </c>
      <c r="S3921" s="4" t="e">
        <f>IF(AND(L3921=1,N3921&lt;'Line Follower'!$C$6,SUM(C3921:K3921)&lt;4),1,0)</f>
        <v>#N/A</v>
      </c>
      <c r="T3921" s="4" t="e">
        <f t="shared" si="307"/>
        <v>#N/A</v>
      </c>
      <c r="U3921" s="5" t="e">
        <f t="shared" si="308"/>
        <v>#N/A</v>
      </c>
      <c r="V3921" s="23" t="e">
        <f t="shared" si="309"/>
        <v>#N/A</v>
      </c>
    </row>
    <row r="3922" spans="2:22" x14ac:dyDescent="0.25">
      <c r="B3922" s="16">
        <v>1</v>
      </c>
      <c r="C3922" s="7">
        <v>1</v>
      </c>
      <c r="D3922" s="8">
        <v>1</v>
      </c>
      <c r="E3922" s="8">
        <v>1</v>
      </c>
      <c r="F3922" s="8">
        <v>0</v>
      </c>
      <c r="G3922" s="8">
        <v>0</v>
      </c>
      <c r="H3922" s="8">
        <v>1</v>
      </c>
      <c r="I3922" s="8">
        <v>0</v>
      </c>
      <c r="J3922" s="8">
        <v>1</v>
      </c>
      <c r="K3922" s="9">
        <v>1</v>
      </c>
      <c r="L3922" s="10">
        <v>1</v>
      </c>
      <c r="M3922" s="6">
        <v>1</v>
      </c>
      <c r="N3922" s="37" t="e" cm="1">
        <f t="array" ref="N3922">IF(OR(ISNUMBER(FIND(Aux!$D$3:$D$9,_xlfn.TEXTJOIN(,,C3922:K3922)))),NA(),IF(AND(SUM(C3922:F3922,H3922:K3922)=0,G3922=1),0,INT((SUMPRODUCT(C3922:F3922,COLUMN($A$1:$D$1)-1)+SUMPRODUCT(H3922:K3922,COLUMN($E$1:$H$1)-1))*'Line Follower'!$C$3/SUM(C3922:F3922,H3922:K3922)-'Line Follower'!$C$5)))</f>
        <v>#N/A</v>
      </c>
      <c r="O3922" s="22" t="e">
        <v>#N/A</v>
      </c>
      <c r="P3922" s="4" t="e">
        <f t="shared" si="305"/>
        <v>#N/A</v>
      </c>
      <c r="Q3922" s="4" t="e">
        <f t="shared" si="306"/>
        <v>#N/A</v>
      </c>
      <c r="R3922" s="4" t="e">
        <f>IF(AND(B3922=1,N3922&gt;'Line Follower'!$C$7,SUM(C3922:K3922)&lt;4),1,0)</f>
        <v>#N/A</v>
      </c>
      <c r="S3922" s="4" t="e">
        <f>IF(AND(L3922=1,N3922&lt;'Line Follower'!$C$6,SUM(C3922:K3922)&lt;4),1,0)</f>
        <v>#N/A</v>
      </c>
      <c r="T3922" s="4" t="e">
        <f t="shared" si="307"/>
        <v>#N/A</v>
      </c>
      <c r="U3922" s="5" t="e">
        <f t="shared" si="308"/>
        <v>#N/A</v>
      </c>
      <c r="V3922" s="23" t="e">
        <f t="shared" si="309"/>
        <v>#N/A</v>
      </c>
    </row>
    <row r="3923" spans="2:22" x14ac:dyDescent="0.25">
      <c r="B3923" s="16">
        <v>0</v>
      </c>
      <c r="C3923" s="7">
        <v>0</v>
      </c>
      <c r="D3923" s="8">
        <v>0</v>
      </c>
      <c r="E3923" s="8">
        <v>0</v>
      </c>
      <c r="F3923" s="8">
        <v>1</v>
      </c>
      <c r="G3923" s="8">
        <v>0</v>
      </c>
      <c r="H3923" s="8">
        <v>1</v>
      </c>
      <c r="I3923" s="8">
        <v>0</v>
      </c>
      <c r="J3923" s="8">
        <v>1</v>
      </c>
      <c r="K3923" s="9">
        <v>1</v>
      </c>
      <c r="L3923" s="10">
        <v>1</v>
      </c>
      <c r="M3923" s="6">
        <v>1</v>
      </c>
      <c r="N3923" s="37" t="e" cm="1">
        <f t="array" ref="N3923">IF(OR(ISNUMBER(FIND(Aux!$D$3:$D$9,_xlfn.TEXTJOIN(,,C3923:K3923)))),NA(),IF(AND(SUM(C3923:F3923,H3923:K3923)=0,G3923=1),0,INT((SUMPRODUCT(C3923:F3923,COLUMN($A$1:$D$1)-1)+SUMPRODUCT(H3923:K3923,COLUMN($E$1:$H$1)-1))*'Line Follower'!$C$3/SUM(C3923:F3923,H3923:K3923)-'Line Follower'!$C$5)))</f>
        <v>#N/A</v>
      </c>
      <c r="O3923" s="22" t="e">
        <v>#N/A</v>
      </c>
      <c r="P3923" s="4" t="e">
        <f t="shared" si="305"/>
        <v>#N/A</v>
      </c>
      <c r="Q3923" s="4" t="e">
        <f t="shared" si="306"/>
        <v>#N/A</v>
      </c>
      <c r="R3923" s="4" t="e">
        <f>IF(AND(B3923=1,N3923&gt;'Line Follower'!$C$7,SUM(C3923:K3923)&lt;4),1,0)</f>
        <v>#N/A</v>
      </c>
      <c r="S3923" s="4" t="e">
        <f>IF(AND(L3923=1,N3923&lt;'Line Follower'!$C$6,SUM(C3923:K3923)&lt;4),1,0)</f>
        <v>#N/A</v>
      </c>
      <c r="T3923" s="4" t="e">
        <f t="shared" si="307"/>
        <v>#N/A</v>
      </c>
      <c r="U3923" s="5" t="e">
        <f t="shared" si="308"/>
        <v>#N/A</v>
      </c>
      <c r="V3923" s="23" t="e">
        <f t="shared" si="309"/>
        <v>#N/A</v>
      </c>
    </row>
    <row r="3924" spans="2:22" x14ac:dyDescent="0.25">
      <c r="B3924" s="16">
        <v>1</v>
      </c>
      <c r="C3924" s="7">
        <v>0</v>
      </c>
      <c r="D3924" s="8">
        <v>0</v>
      </c>
      <c r="E3924" s="8">
        <v>0</v>
      </c>
      <c r="F3924" s="8">
        <v>1</v>
      </c>
      <c r="G3924" s="8">
        <v>0</v>
      </c>
      <c r="H3924" s="8">
        <v>1</v>
      </c>
      <c r="I3924" s="8">
        <v>0</v>
      </c>
      <c r="J3924" s="8">
        <v>1</v>
      </c>
      <c r="K3924" s="9">
        <v>1</v>
      </c>
      <c r="L3924" s="10">
        <v>1</v>
      </c>
      <c r="M3924" s="6">
        <v>1</v>
      </c>
      <c r="N3924" s="37" t="e" cm="1">
        <f t="array" ref="N3924">IF(OR(ISNUMBER(FIND(Aux!$D$3:$D$9,_xlfn.TEXTJOIN(,,C3924:K3924)))),NA(),IF(AND(SUM(C3924:F3924,H3924:K3924)=0,G3924=1),0,INT((SUMPRODUCT(C3924:F3924,COLUMN($A$1:$D$1)-1)+SUMPRODUCT(H3924:K3924,COLUMN($E$1:$H$1)-1))*'Line Follower'!$C$3/SUM(C3924:F3924,H3924:K3924)-'Line Follower'!$C$5)))</f>
        <v>#N/A</v>
      </c>
      <c r="O3924" s="22" t="e">
        <v>#N/A</v>
      </c>
      <c r="P3924" s="4" t="e">
        <f t="shared" si="305"/>
        <v>#N/A</v>
      </c>
      <c r="Q3924" s="4" t="e">
        <f t="shared" si="306"/>
        <v>#N/A</v>
      </c>
      <c r="R3924" s="4" t="e">
        <f>IF(AND(B3924=1,N3924&gt;'Line Follower'!$C$7,SUM(C3924:K3924)&lt;4),1,0)</f>
        <v>#N/A</v>
      </c>
      <c r="S3924" s="4" t="e">
        <f>IF(AND(L3924=1,N3924&lt;'Line Follower'!$C$6,SUM(C3924:K3924)&lt;4),1,0)</f>
        <v>#N/A</v>
      </c>
      <c r="T3924" s="4" t="e">
        <f t="shared" si="307"/>
        <v>#N/A</v>
      </c>
      <c r="U3924" s="5" t="e">
        <f t="shared" si="308"/>
        <v>#N/A</v>
      </c>
      <c r="V3924" s="23" t="e">
        <f t="shared" si="309"/>
        <v>#N/A</v>
      </c>
    </row>
    <row r="3925" spans="2:22" x14ac:dyDescent="0.25">
      <c r="B3925" s="16">
        <v>0</v>
      </c>
      <c r="C3925" s="7">
        <v>1</v>
      </c>
      <c r="D3925" s="8">
        <v>0</v>
      </c>
      <c r="E3925" s="8">
        <v>0</v>
      </c>
      <c r="F3925" s="8">
        <v>1</v>
      </c>
      <c r="G3925" s="8">
        <v>0</v>
      </c>
      <c r="H3925" s="8">
        <v>1</v>
      </c>
      <c r="I3925" s="8">
        <v>0</v>
      </c>
      <c r="J3925" s="8">
        <v>1</v>
      </c>
      <c r="K3925" s="9">
        <v>1</v>
      </c>
      <c r="L3925" s="10">
        <v>1</v>
      </c>
      <c r="M3925" s="6">
        <v>1</v>
      </c>
      <c r="N3925" s="37" t="e" cm="1">
        <f t="array" ref="N3925">IF(OR(ISNUMBER(FIND(Aux!$D$3:$D$9,_xlfn.TEXTJOIN(,,C3925:K3925)))),NA(),IF(AND(SUM(C3925:F3925,H3925:K3925)=0,G3925=1),0,INT((SUMPRODUCT(C3925:F3925,COLUMN($A$1:$D$1)-1)+SUMPRODUCT(H3925:K3925,COLUMN($E$1:$H$1)-1))*'Line Follower'!$C$3/SUM(C3925:F3925,H3925:K3925)-'Line Follower'!$C$5)))</f>
        <v>#N/A</v>
      </c>
      <c r="O3925" s="22" t="e">
        <v>#N/A</v>
      </c>
      <c r="P3925" s="4" t="e">
        <f t="shared" si="305"/>
        <v>#N/A</v>
      </c>
      <c r="Q3925" s="4" t="e">
        <f t="shared" si="306"/>
        <v>#N/A</v>
      </c>
      <c r="R3925" s="4" t="e">
        <f>IF(AND(B3925=1,N3925&gt;'Line Follower'!$C$7,SUM(C3925:K3925)&lt;4),1,0)</f>
        <v>#N/A</v>
      </c>
      <c r="S3925" s="4" t="e">
        <f>IF(AND(L3925=1,N3925&lt;'Line Follower'!$C$6,SUM(C3925:K3925)&lt;4),1,0)</f>
        <v>#N/A</v>
      </c>
      <c r="T3925" s="4" t="e">
        <f t="shared" si="307"/>
        <v>#N/A</v>
      </c>
      <c r="U3925" s="5" t="e">
        <f t="shared" si="308"/>
        <v>#N/A</v>
      </c>
      <c r="V3925" s="23" t="e">
        <f t="shared" si="309"/>
        <v>#N/A</v>
      </c>
    </row>
    <row r="3926" spans="2:22" x14ac:dyDescent="0.25">
      <c r="B3926" s="16">
        <v>1</v>
      </c>
      <c r="C3926" s="7">
        <v>1</v>
      </c>
      <c r="D3926" s="8">
        <v>0</v>
      </c>
      <c r="E3926" s="8">
        <v>0</v>
      </c>
      <c r="F3926" s="8">
        <v>1</v>
      </c>
      <c r="G3926" s="8">
        <v>0</v>
      </c>
      <c r="H3926" s="8">
        <v>1</v>
      </c>
      <c r="I3926" s="8">
        <v>0</v>
      </c>
      <c r="J3926" s="8">
        <v>1</v>
      </c>
      <c r="K3926" s="9">
        <v>1</v>
      </c>
      <c r="L3926" s="10">
        <v>1</v>
      </c>
      <c r="M3926" s="6">
        <v>1</v>
      </c>
      <c r="N3926" s="37" t="e" cm="1">
        <f t="array" ref="N3926">IF(OR(ISNUMBER(FIND(Aux!$D$3:$D$9,_xlfn.TEXTJOIN(,,C3926:K3926)))),NA(),IF(AND(SUM(C3926:F3926,H3926:K3926)=0,G3926=1),0,INT((SUMPRODUCT(C3926:F3926,COLUMN($A$1:$D$1)-1)+SUMPRODUCT(H3926:K3926,COLUMN($E$1:$H$1)-1))*'Line Follower'!$C$3/SUM(C3926:F3926,H3926:K3926)-'Line Follower'!$C$5)))</f>
        <v>#N/A</v>
      </c>
      <c r="O3926" s="22" t="e">
        <v>#N/A</v>
      </c>
      <c r="P3926" s="4" t="e">
        <f t="shared" si="305"/>
        <v>#N/A</v>
      </c>
      <c r="Q3926" s="4" t="e">
        <f t="shared" si="306"/>
        <v>#N/A</v>
      </c>
      <c r="R3926" s="4" t="e">
        <f>IF(AND(B3926=1,N3926&gt;'Line Follower'!$C$7,SUM(C3926:K3926)&lt;4),1,0)</f>
        <v>#N/A</v>
      </c>
      <c r="S3926" s="4" t="e">
        <f>IF(AND(L3926=1,N3926&lt;'Line Follower'!$C$6,SUM(C3926:K3926)&lt;4),1,0)</f>
        <v>#N/A</v>
      </c>
      <c r="T3926" s="4" t="e">
        <f t="shared" si="307"/>
        <v>#N/A</v>
      </c>
      <c r="U3926" s="5" t="e">
        <f t="shared" si="308"/>
        <v>#N/A</v>
      </c>
      <c r="V3926" s="23" t="e">
        <f t="shared" si="309"/>
        <v>#N/A</v>
      </c>
    </row>
    <row r="3927" spans="2:22" x14ac:dyDescent="0.25">
      <c r="B3927" s="16">
        <v>0</v>
      </c>
      <c r="C3927" s="7">
        <v>0</v>
      </c>
      <c r="D3927" s="8">
        <v>1</v>
      </c>
      <c r="E3927" s="8">
        <v>0</v>
      </c>
      <c r="F3927" s="8">
        <v>1</v>
      </c>
      <c r="G3927" s="8">
        <v>0</v>
      </c>
      <c r="H3927" s="8">
        <v>1</v>
      </c>
      <c r="I3927" s="8">
        <v>0</v>
      </c>
      <c r="J3927" s="8">
        <v>1</v>
      </c>
      <c r="K3927" s="9">
        <v>1</v>
      </c>
      <c r="L3927" s="10">
        <v>1</v>
      </c>
      <c r="M3927" s="6">
        <v>1</v>
      </c>
      <c r="N3927" s="37" t="e" cm="1">
        <f t="array" ref="N3927">IF(OR(ISNUMBER(FIND(Aux!$D$3:$D$9,_xlfn.TEXTJOIN(,,C3927:K3927)))),NA(),IF(AND(SUM(C3927:F3927,H3927:K3927)=0,G3927=1),0,INT((SUMPRODUCT(C3927:F3927,COLUMN($A$1:$D$1)-1)+SUMPRODUCT(H3927:K3927,COLUMN($E$1:$H$1)-1))*'Line Follower'!$C$3/SUM(C3927:F3927,H3927:K3927)-'Line Follower'!$C$5)))</f>
        <v>#N/A</v>
      </c>
      <c r="O3927" s="22" t="e">
        <v>#N/A</v>
      </c>
      <c r="P3927" s="4" t="e">
        <f t="shared" si="305"/>
        <v>#N/A</v>
      </c>
      <c r="Q3927" s="4" t="e">
        <f t="shared" si="306"/>
        <v>#N/A</v>
      </c>
      <c r="R3927" s="4" t="e">
        <f>IF(AND(B3927=1,N3927&gt;'Line Follower'!$C$7,SUM(C3927:K3927)&lt;4),1,0)</f>
        <v>#N/A</v>
      </c>
      <c r="S3927" s="4" t="e">
        <f>IF(AND(L3927=1,N3927&lt;'Line Follower'!$C$6,SUM(C3927:K3927)&lt;4),1,0)</f>
        <v>#N/A</v>
      </c>
      <c r="T3927" s="4" t="e">
        <f t="shared" si="307"/>
        <v>#N/A</v>
      </c>
      <c r="U3927" s="5" t="e">
        <f t="shared" si="308"/>
        <v>#N/A</v>
      </c>
      <c r="V3927" s="23" t="e">
        <f t="shared" si="309"/>
        <v>#N/A</v>
      </c>
    </row>
    <row r="3928" spans="2:22" x14ac:dyDescent="0.25">
      <c r="B3928" s="16">
        <v>1</v>
      </c>
      <c r="C3928" s="7">
        <v>0</v>
      </c>
      <c r="D3928" s="8">
        <v>1</v>
      </c>
      <c r="E3928" s="8">
        <v>0</v>
      </c>
      <c r="F3928" s="8">
        <v>1</v>
      </c>
      <c r="G3928" s="8">
        <v>0</v>
      </c>
      <c r="H3928" s="8">
        <v>1</v>
      </c>
      <c r="I3928" s="8">
        <v>0</v>
      </c>
      <c r="J3928" s="8">
        <v>1</v>
      </c>
      <c r="K3928" s="9">
        <v>1</v>
      </c>
      <c r="L3928" s="10">
        <v>1</v>
      </c>
      <c r="M3928" s="6">
        <v>1</v>
      </c>
      <c r="N3928" s="37" t="e" cm="1">
        <f t="array" ref="N3928">IF(OR(ISNUMBER(FIND(Aux!$D$3:$D$9,_xlfn.TEXTJOIN(,,C3928:K3928)))),NA(),IF(AND(SUM(C3928:F3928,H3928:K3928)=0,G3928=1),0,INT((SUMPRODUCT(C3928:F3928,COLUMN($A$1:$D$1)-1)+SUMPRODUCT(H3928:K3928,COLUMN($E$1:$H$1)-1))*'Line Follower'!$C$3/SUM(C3928:F3928,H3928:K3928)-'Line Follower'!$C$5)))</f>
        <v>#N/A</v>
      </c>
      <c r="O3928" s="22" t="e">
        <v>#N/A</v>
      </c>
      <c r="P3928" s="4" t="e">
        <f t="shared" si="305"/>
        <v>#N/A</v>
      </c>
      <c r="Q3928" s="4" t="e">
        <f t="shared" si="306"/>
        <v>#N/A</v>
      </c>
      <c r="R3928" s="4" t="e">
        <f>IF(AND(B3928=1,N3928&gt;'Line Follower'!$C$7,SUM(C3928:K3928)&lt;4),1,0)</f>
        <v>#N/A</v>
      </c>
      <c r="S3928" s="4" t="e">
        <f>IF(AND(L3928=1,N3928&lt;'Line Follower'!$C$6,SUM(C3928:K3928)&lt;4),1,0)</f>
        <v>#N/A</v>
      </c>
      <c r="T3928" s="4" t="e">
        <f t="shared" si="307"/>
        <v>#N/A</v>
      </c>
      <c r="U3928" s="5" t="e">
        <f t="shared" si="308"/>
        <v>#N/A</v>
      </c>
      <c r="V3928" s="23" t="e">
        <f t="shared" si="309"/>
        <v>#N/A</v>
      </c>
    </row>
    <row r="3929" spans="2:22" x14ac:dyDescent="0.25">
      <c r="B3929" s="16">
        <v>0</v>
      </c>
      <c r="C3929" s="7">
        <v>1</v>
      </c>
      <c r="D3929" s="8">
        <v>1</v>
      </c>
      <c r="E3929" s="8">
        <v>0</v>
      </c>
      <c r="F3929" s="8">
        <v>1</v>
      </c>
      <c r="G3929" s="8">
        <v>0</v>
      </c>
      <c r="H3929" s="8">
        <v>1</v>
      </c>
      <c r="I3929" s="8">
        <v>0</v>
      </c>
      <c r="J3929" s="8">
        <v>1</v>
      </c>
      <c r="K3929" s="9">
        <v>1</v>
      </c>
      <c r="L3929" s="10">
        <v>1</v>
      </c>
      <c r="M3929" s="6">
        <v>1</v>
      </c>
      <c r="N3929" s="37" t="e" cm="1">
        <f t="array" ref="N3929">IF(OR(ISNUMBER(FIND(Aux!$D$3:$D$9,_xlfn.TEXTJOIN(,,C3929:K3929)))),NA(),IF(AND(SUM(C3929:F3929,H3929:K3929)=0,G3929=1),0,INT((SUMPRODUCT(C3929:F3929,COLUMN($A$1:$D$1)-1)+SUMPRODUCT(H3929:K3929,COLUMN($E$1:$H$1)-1))*'Line Follower'!$C$3/SUM(C3929:F3929,H3929:K3929)-'Line Follower'!$C$5)))</f>
        <v>#N/A</v>
      </c>
      <c r="O3929" s="22" t="e">
        <v>#N/A</v>
      </c>
      <c r="P3929" s="4" t="e">
        <f t="shared" si="305"/>
        <v>#N/A</v>
      </c>
      <c r="Q3929" s="4" t="e">
        <f t="shared" si="306"/>
        <v>#N/A</v>
      </c>
      <c r="R3929" s="4" t="e">
        <f>IF(AND(B3929=1,N3929&gt;'Line Follower'!$C$7,SUM(C3929:K3929)&lt;4),1,0)</f>
        <v>#N/A</v>
      </c>
      <c r="S3929" s="4" t="e">
        <f>IF(AND(L3929=1,N3929&lt;'Line Follower'!$C$6,SUM(C3929:K3929)&lt;4),1,0)</f>
        <v>#N/A</v>
      </c>
      <c r="T3929" s="4" t="e">
        <f t="shared" si="307"/>
        <v>#N/A</v>
      </c>
      <c r="U3929" s="5" t="e">
        <f t="shared" si="308"/>
        <v>#N/A</v>
      </c>
      <c r="V3929" s="23" t="e">
        <f t="shared" si="309"/>
        <v>#N/A</v>
      </c>
    </row>
    <row r="3930" spans="2:22" x14ac:dyDescent="0.25">
      <c r="B3930" s="16">
        <v>1</v>
      </c>
      <c r="C3930" s="7">
        <v>1</v>
      </c>
      <c r="D3930" s="8">
        <v>1</v>
      </c>
      <c r="E3930" s="8">
        <v>0</v>
      </c>
      <c r="F3930" s="8">
        <v>1</v>
      </c>
      <c r="G3930" s="8">
        <v>0</v>
      </c>
      <c r="H3930" s="8">
        <v>1</v>
      </c>
      <c r="I3930" s="8">
        <v>0</v>
      </c>
      <c r="J3930" s="8">
        <v>1</v>
      </c>
      <c r="K3930" s="9">
        <v>1</v>
      </c>
      <c r="L3930" s="10">
        <v>1</v>
      </c>
      <c r="M3930" s="6">
        <v>1</v>
      </c>
      <c r="N3930" s="37" t="e" cm="1">
        <f t="array" ref="N3930">IF(OR(ISNUMBER(FIND(Aux!$D$3:$D$9,_xlfn.TEXTJOIN(,,C3930:K3930)))),NA(),IF(AND(SUM(C3930:F3930,H3930:K3930)=0,G3930=1),0,INT((SUMPRODUCT(C3930:F3930,COLUMN($A$1:$D$1)-1)+SUMPRODUCT(H3930:K3930,COLUMN($E$1:$H$1)-1))*'Line Follower'!$C$3/SUM(C3930:F3930,H3930:K3930)-'Line Follower'!$C$5)))</f>
        <v>#N/A</v>
      </c>
      <c r="O3930" s="22" t="e">
        <v>#N/A</v>
      </c>
      <c r="P3930" s="4" t="e">
        <f t="shared" si="305"/>
        <v>#N/A</v>
      </c>
      <c r="Q3930" s="4" t="e">
        <f t="shared" si="306"/>
        <v>#N/A</v>
      </c>
      <c r="R3930" s="4" t="e">
        <f>IF(AND(B3930=1,N3930&gt;'Line Follower'!$C$7,SUM(C3930:K3930)&lt;4),1,0)</f>
        <v>#N/A</v>
      </c>
      <c r="S3930" s="4" t="e">
        <f>IF(AND(L3930=1,N3930&lt;'Line Follower'!$C$6,SUM(C3930:K3930)&lt;4),1,0)</f>
        <v>#N/A</v>
      </c>
      <c r="T3930" s="4" t="e">
        <f t="shared" si="307"/>
        <v>#N/A</v>
      </c>
      <c r="U3930" s="5" t="e">
        <f t="shared" si="308"/>
        <v>#N/A</v>
      </c>
      <c r="V3930" s="23" t="e">
        <f t="shared" si="309"/>
        <v>#N/A</v>
      </c>
    </row>
    <row r="3931" spans="2:22" x14ac:dyDescent="0.25">
      <c r="B3931" s="16">
        <v>0</v>
      </c>
      <c r="C3931" s="7">
        <v>0</v>
      </c>
      <c r="D3931" s="8">
        <v>0</v>
      </c>
      <c r="E3931" s="8">
        <v>1</v>
      </c>
      <c r="F3931" s="8">
        <v>1</v>
      </c>
      <c r="G3931" s="8">
        <v>0</v>
      </c>
      <c r="H3931" s="8">
        <v>1</v>
      </c>
      <c r="I3931" s="8">
        <v>0</v>
      </c>
      <c r="J3931" s="8">
        <v>1</v>
      </c>
      <c r="K3931" s="9">
        <v>1</v>
      </c>
      <c r="L3931" s="10">
        <v>1</v>
      </c>
      <c r="M3931" s="6">
        <v>1</v>
      </c>
      <c r="N3931" s="37" t="e" cm="1">
        <f t="array" ref="N3931">IF(OR(ISNUMBER(FIND(Aux!$D$3:$D$9,_xlfn.TEXTJOIN(,,C3931:K3931)))),NA(),IF(AND(SUM(C3931:F3931,H3931:K3931)=0,G3931=1),0,INT((SUMPRODUCT(C3931:F3931,COLUMN($A$1:$D$1)-1)+SUMPRODUCT(H3931:K3931,COLUMN($E$1:$H$1)-1))*'Line Follower'!$C$3/SUM(C3931:F3931,H3931:K3931)-'Line Follower'!$C$5)))</f>
        <v>#N/A</v>
      </c>
      <c r="O3931" s="22" t="e">
        <v>#N/A</v>
      </c>
      <c r="P3931" s="4" t="e">
        <f t="shared" si="305"/>
        <v>#N/A</v>
      </c>
      <c r="Q3931" s="4" t="e">
        <f t="shared" si="306"/>
        <v>#N/A</v>
      </c>
      <c r="R3931" s="4" t="e">
        <f>IF(AND(B3931=1,N3931&gt;'Line Follower'!$C$7,SUM(C3931:K3931)&lt;4),1,0)</f>
        <v>#N/A</v>
      </c>
      <c r="S3931" s="4" t="e">
        <f>IF(AND(L3931=1,N3931&lt;'Line Follower'!$C$6,SUM(C3931:K3931)&lt;4),1,0)</f>
        <v>#N/A</v>
      </c>
      <c r="T3931" s="4" t="e">
        <f t="shared" si="307"/>
        <v>#N/A</v>
      </c>
      <c r="U3931" s="5" t="e">
        <f t="shared" si="308"/>
        <v>#N/A</v>
      </c>
      <c r="V3931" s="23" t="e">
        <f t="shared" si="309"/>
        <v>#N/A</v>
      </c>
    </row>
    <row r="3932" spans="2:22" x14ac:dyDescent="0.25">
      <c r="B3932" s="16">
        <v>1</v>
      </c>
      <c r="C3932" s="7">
        <v>0</v>
      </c>
      <c r="D3932" s="8">
        <v>0</v>
      </c>
      <c r="E3932" s="8">
        <v>1</v>
      </c>
      <c r="F3932" s="8">
        <v>1</v>
      </c>
      <c r="G3932" s="8">
        <v>0</v>
      </c>
      <c r="H3932" s="8">
        <v>1</v>
      </c>
      <c r="I3932" s="8">
        <v>0</v>
      </c>
      <c r="J3932" s="8">
        <v>1</v>
      </c>
      <c r="K3932" s="9">
        <v>1</v>
      </c>
      <c r="L3932" s="10">
        <v>1</v>
      </c>
      <c r="M3932" s="6">
        <v>1</v>
      </c>
      <c r="N3932" s="37" t="e" cm="1">
        <f t="array" ref="N3932">IF(OR(ISNUMBER(FIND(Aux!$D$3:$D$9,_xlfn.TEXTJOIN(,,C3932:K3932)))),NA(),IF(AND(SUM(C3932:F3932,H3932:K3932)=0,G3932=1),0,INT((SUMPRODUCT(C3932:F3932,COLUMN($A$1:$D$1)-1)+SUMPRODUCT(H3932:K3932,COLUMN($E$1:$H$1)-1))*'Line Follower'!$C$3/SUM(C3932:F3932,H3932:K3932)-'Line Follower'!$C$5)))</f>
        <v>#N/A</v>
      </c>
      <c r="O3932" s="22" t="e">
        <v>#N/A</v>
      </c>
      <c r="P3932" s="4" t="e">
        <f t="shared" si="305"/>
        <v>#N/A</v>
      </c>
      <c r="Q3932" s="4" t="e">
        <f t="shared" si="306"/>
        <v>#N/A</v>
      </c>
      <c r="R3932" s="4" t="e">
        <f>IF(AND(B3932=1,N3932&gt;'Line Follower'!$C$7,SUM(C3932:K3932)&lt;4),1,0)</f>
        <v>#N/A</v>
      </c>
      <c r="S3932" s="4" t="e">
        <f>IF(AND(L3932=1,N3932&lt;'Line Follower'!$C$6,SUM(C3932:K3932)&lt;4),1,0)</f>
        <v>#N/A</v>
      </c>
      <c r="T3932" s="4" t="e">
        <f t="shared" si="307"/>
        <v>#N/A</v>
      </c>
      <c r="U3932" s="5" t="e">
        <f t="shared" si="308"/>
        <v>#N/A</v>
      </c>
      <c r="V3932" s="23" t="e">
        <f t="shared" si="309"/>
        <v>#N/A</v>
      </c>
    </row>
    <row r="3933" spans="2:22" x14ac:dyDescent="0.25">
      <c r="B3933" s="16">
        <v>0</v>
      </c>
      <c r="C3933" s="7">
        <v>1</v>
      </c>
      <c r="D3933" s="8">
        <v>0</v>
      </c>
      <c r="E3933" s="8">
        <v>1</v>
      </c>
      <c r="F3933" s="8">
        <v>1</v>
      </c>
      <c r="G3933" s="8">
        <v>0</v>
      </c>
      <c r="H3933" s="8">
        <v>1</v>
      </c>
      <c r="I3933" s="8">
        <v>0</v>
      </c>
      <c r="J3933" s="8">
        <v>1</v>
      </c>
      <c r="K3933" s="9">
        <v>1</v>
      </c>
      <c r="L3933" s="10">
        <v>1</v>
      </c>
      <c r="M3933" s="6">
        <v>1</v>
      </c>
      <c r="N3933" s="37" t="e" cm="1">
        <f t="array" ref="N3933">IF(OR(ISNUMBER(FIND(Aux!$D$3:$D$9,_xlfn.TEXTJOIN(,,C3933:K3933)))),NA(),IF(AND(SUM(C3933:F3933,H3933:K3933)=0,G3933=1),0,INT((SUMPRODUCT(C3933:F3933,COLUMN($A$1:$D$1)-1)+SUMPRODUCT(H3933:K3933,COLUMN($E$1:$H$1)-1))*'Line Follower'!$C$3/SUM(C3933:F3933,H3933:K3933)-'Line Follower'!$C$5)))</f>
        <v>#N/A</v>
      </c>
      <c r="O3933" s="22" t="e">
        <v>#N/A</v>
      </c>
      <c r="P3933" s="4" t="e">
        <f t="shared" si="305"/>
        <v>#N/A</v>
      </c>
      <c r="Q3933" s="4" t="e">
        <f t="shared" si="306"/>
        <v>#N/A</v>
      </c>
      <c r="R3933" s="4" t="e">
        <f>IF(AND(B3933=1,N3933&gt;'Line Follower'!$C$7,SUM(C3933:K3933)&lt;4),1,0)</f>
        <v>#N/A</v>
      </c>
      <c r="S3933" s="4" t="e">
        <f>IF(AND(L3933=1,N3933&lt;'Line Follower'!$C$6,SUM(C3933:K3933)&lt;4),1,0)</f>
        <v>#N/A</v>
      </c>
      <c r="T3933" s="4" t="e">
        <f t="shared" si="307"/>
        <v>#N/A</v>
      </c>
      <c r="U3933" s="5" t="e">
        <f t="shared" si="308"/>
        <v>#N/A</v>
      </c>
      <c r="V3933" s="23" t="e">
        <f t="shared" si="309"/>
        <v>#N/A</v>
      </c>
    </row>
    <row r="3934" spans="2:22" x14ac:dyDescent="0.25">
      <c r="B3934" s="16">
        <v>1</v>
      </c>
      <c r="C3934" s="7">
        <v>1</v>
      </c>
      <c r="D3934" s="8">
        <v>0</v>
      </c>
      <c r="E3934" s="8">
        <v>1</v>
      </c>
      <c r="F3934" s="8">
        <v>1</v>
      </c>
      <c r="G3934" s="8">
        <v>0</v>
      </c>
      <c r="H3934" s="8">
        <v>1</v>
      </c>
      <c r="I3934" s="8">
        <v>0</v>
      </c>
      <c r="J3934" s="8">
        <v>1</v>
      </c>
      <c r="K3934" s="9">
        <v>1</v>
      </c>
      <c r="L3934" s="10">
        <v>1</v>
      </c>
      <c r="M3934" s="6">
        <v>1</v>
      </c>
      <c r="N3934" s="37" t="e" cm="1">
        <f t="array" ref="N3934">IF(OR(ISNUMBER(FIND(Aux!$D$3:$D$9,_xlfn.TEXTJOIN(,,C3934:K3934)))),NA(),IF(AND(SUM(C3934:F3934,H3934:K3934)=0,G3934=1),0,INT((SUMPRODUCT(C3934:F3934,COLUMN($A$1:$D$1)-1)+SUMPRODUCT(H3934:K3934,COLUMN($E$1:$H$1)-1))*'Line Follower'!$C$3/SUM(C3934:F3934,H3934:K3934)-'Line Follower'!$C$5)))</f>
        <v>#N/A</v>
      </c>
      <c r="O3934" s="22" t="e">
        <v>#N/A</v>
      </c>
      <c r="P3934" s="4" t="e">
        <f t="shared" si="305"/>
        <v>#N/A</v>
      </c>
      <c r="Q3934" s="4" t="e">
        <f t="shared" si="306"/>
        <v>#N/A</v>
      </c>
      <c r="R3934" s="4" t="e">
        <f>IF(AND(B3934=1,N3934&gt;'Line Follower'!$C$7,SUM(C3934:K3934)&lt;4),1,0)</f>
        <v>#N/A</v>
      </c>
      <c r="S3934" s="4" t="e">
        <f>IF(AND(L3934=1,N3934&lt;'Line Follower'!$C$6,SUM(C3934:K3934)&lt;4),1,0)</f>
        <v>#N/A</v>
      </c>
      <c r="T3934" s="4" t="e">
        <f t="shared" si="307"/>
        <v>#N/A</v>
      </c>
      <c r="U3934" s="5" t="e">
        <f t="shared" si="308"/>
        <v>#N/A</v>
      </c>
      <c r="V3934" s="23" t="e">
        <f t="shared" si="309"/>
        <v>#N/A</v>
      </c>
    </row>
    <row r="3935" spans="2:22" x14ac:dyDescent="0.25">
      <c r="B3935" s="16">
        <v>0</v>
      </c>
      <c r="C3935" s="7">
        <v>0</v>
      </c>
      <c r="D3935" s="8">
        <v>1</v>
      </c>
      <c r="E3935" s="8">
        <v>1</v>
      </c>
      <c r="F3935" s="8">
        <v>1</v>
      </c>
      <c r="G3935" s="8">
        <v>0</v>
      </c>
      <c r="H3935" s="8">
        <v>1</v>
      </c>
      <c r="I3935" s="8">
        <v>0</v>
      </c>
      <c r="J3935" s="8">
        <v>1</v>
      </c>
      <c r="K3935" s="9">
        <v>1</v>
      </c>
      <c r="L3935" s="10">
        <v>1</v>
      </c>
      <c r="M3935" s="6">
        <v>1</v>
      </c>
      <c r="N3935" s="37" t="e" cm="1">
        <f t="array" ref="N3935">IF(OR(ISNUMBER(FIND(Aux!$D$3:$D$9,_xlfn.TEXTJOIN(,,C3935:K3935)))),NA(),IF(AND(SUM(C3935:F3935,H3935:K3935)=0,G3935=1),0,INT((SUMPRODUCT(C3935:F3935,COLUMN($A$1:$D$1)-1)+SUMPRODUCT(H3935:K3935,COLUMN($E$1:$H$1)-1))*'Line Follower'!$C$3/SUM(C3935:F3935,H3935:K3935)-'Line Follower'!$C$5)))</f>
        <v>#N/A</v>
      </c>
      <c r="O3935" s="22" t="e">
        <v>#N/A</v>
      </c>
      <c r="P3935" s="4" t="e">
        <f t="shared" si="305"/>
        <v>#N/A</v>
      </c>
      <c r="Q3935" s="4" t="e">
        <f t="shared" si="306"/>
        <v>#N/A</v>
      </c>
      <c r="R3935" s="4" t="e">
        <f>IF(AND(B3935=1,N3935&gt;'Line Follower'!$C$7,SUM(C3935:K3935)&lt;4),1,0)</f>
        <v>#N/A</v>
      </c>
      <c r="S3935" s="4" t="e">
        <f>IF(AND(L3935=1,N3935&lt;'Line Follower'!$C$6,SUM(C3935:K3935)&lt;4),1,0)</f>
        <v>#N/A</v>
      </c>
      <c r="T3935" s="4" t="e">
        <f t="shared" si="307"/>
        <v>#N/A</v>
      </c>
      <c r="U3935" s="5" t="e">
        <f t="shared" si="308"/>
        <v>#N/A</v>
      </c>
      <c r="V3935" s="23" t="e">
        <f t="shared" si="309"/>
        <v>#N/A</v>
      </c>
    </row>
    <row r="3936" spans="2:22" x14ac:dyDescent="0.25">
      <c r="B3936" s="16">
        <v>1</v>
      </c>
      <c r="C3936" s="7">
        <v>0</v>
      </c>
      <c r="D3936" s="8">
        <v>1</v>
      </c>
      <c r="E3936" s="8">
        <v>1</v>
      </c>
      <c r="F3936" s="8">
        <v>1</v>
      </c>
      <c r="G3936" s="8">
        <v>0</v>
      </c>
      <c r="H3936" s="8">
        <v>1</v>
      </c>
      <c r="I3936" s="8">
        <v>0</v>
      </c>
      <c r="J3936" s="8">
        <v>1</v>
      </c>
      <c r="K3936" s="9">
        <v>1</v>
      </c>
      <c r="L3936" s="10">
        <v>1</v>
      </c>
      <c r="M3936" s="6">
        <v>1</v>
      </c>
      <c r="N3936" s="37" t="e" cm="1">
        <f t="array" ref="N3936">IF(OR(ISNUMBER(FIND(Aux!$D$3:$D$9,_xlfn.TEXTJOIN(,,C3936:K3936)))),NA(),IF(AND(SUM(C3936:F3936,H3936:K3936)=0,G3936=1),0,INT((SUMPRODUCT(C3936:F3936,COLUMN($A$1:$D$1)-1)+SUMPRODUCT(H3936:K3936,COLUMN($E$1:$H$1)-1))*'Line Follower'!$C$3/SUM(C3936:F3936,H3936:K3936)-'Line Follower'!$C$5)))</f>
        <v>#N/A</v>
      </c>
      <c r="O3936" s="22" t="e">
        <v>#N/A</v>
      </c>
      <c r="P3936" s="4" t="e">
        <f t="shared" si="305"/>
        <v>#N/A</v>
      </c>
      <c r="Q3936" s="4" t="e">
        <f t="shared" si="306"/>
        <v>#N/A</v>
      </c>
      <c r="R3936" s="4" t="e">
        <f>IF(AND(B3936=1,N3936&gt;'Line Follower'!$C$7,SUM(C3936:K3936)&lt;4),1,0)</f>
        <v>#N/A</v>
      </c>
      <c r="S3936" s="4" t="e">
        <f>IF(AND(L3936=1,N3936&lt;'Line Follower'!$C$6,SUM(C3936:K3936)&lt;4),1,0)</f>
        <v>#N/A</v>
      </c>
      <c r="T3936" s="4" t="e">
        <f t="shared" si="307"/>
        <v>#N/A</v>
      </c>
      <c r="U3936" s="5" t="e">
        <f t="shared" si="308"/>
        <v>#N/A</v>
      </c>
      <c r="V3936" s="23" t="e">
        <f t="shared" si="309"/>
        <v>#N/A</v>
      </c>
    </row>
    <row r="3937" spans="2:22" x14ac:dyDescent="0.25">
      <c r="B3937" s="16">
        <v>0</v>
      </c>
      <c r="C3937" s="7">
        <v>1</v>
      </c>
      <c r="D3937" s="8">
        <v>1</v>
      </c>
      <c r="E3937" s="8">
        <v>1</v>
      </c>
      <c r="F3937" s="8">
        <v>1</v>
      </c>
      <c r="G3937" s="8">
        <v>0</v>
      </c>
      <c r="H3937" s="8">
        <v>1</v>
      </c>
      <c r="I3937" s="8">
        <v>0</v>
      </c>
      <c r="J3937" s="8">
        <v>1</v>
      </c>
      <c r="K3937" s="9">
        <v>1</v>
      </c>
      <c r="L3937" s="10">
        <v>1</v>
      </c>
      <c r="M3937" s="6">
        <v>1</v>
      </c>
      <c r="N3937" s="37" t="e" cm="1">
        <f t="array" ref="N3937">IF(OR(ISNUMBER(FIND(Aux!$D$3:$D$9,_xlfn.TEXTJOIN(,,C3937:K3937)))),NA(),IF(AND(SUM(C3937:F3937,H3937:K3937)=0,G3937=1),0,INT((SUMPRODUCT(C3937:F3937,COLUMN($A$1:$D$1)-1)+SUMPRODUCT(H3937:K3937,COLUMN($E$1:$H$1)-1))*'Line Follower'!$C$3/SUM(C3937:F3937,H3937:K3937)-'Line Follower'!$C$5)))</f>
        <v>#N/A</v>
      </c>
      <c r="O3937" s="22" t="e">
        <v>#N/A</v>
      </c>
      <c r="P3937" s="4" t="e">
        <f t="shared" si="305"/>
        <v>#N/A</v>
      </c>
      <c r="Q3937" s="4" t="e">
        <f t="shared" si="306"/>
        <v>#N/A</v>
      </c>
      <c r="R3937" s="4" t="e">
        <f>IF(AND(B3937=1,N3937&gt;'Line Follower'!$C$7,SUM(C3937:K3937)&lt;4),1,0)</f>
        <v>#N/A</v>
      </c>
      <c r="S3937" s="4" t="e">
        <f>IF(AND(L3937=1,N3937&lt;'Line Follower'!$C$6,SUM(C3937:K3937)&lt;4),1,0)</f>
        <v>#N/A</v>
      </c>
      <c r="T3937" s="4" t="e">
        <f t="shared" si="307"/>
        <v>#N/A</v>
      </c>
      <c r="U3937" s="5" t="e">
        <f t="shared" si="308"/>
        <v>#N/A</v>
      </c>
      <c r="V3937" s="23" t="e">
        <f t="shared" si="309"/>
        <v>#N/A</v>
      </c>
    </row>
    <row r="3938" spans="2:22" x14ac:dyDescent="0.25">
      <c r="B3938" s="16">
        <v>1</v>
      </c>
      <c r="C3938" s="7">
        <v>1</v>
      </c>
      <c r="D3938" s="8">
        <v>1</v>
      </c>
      <c r="E3938" s="8">
        <v>1</v>
      </c>
      <c r="F3938" s="8">
        <v>1</v>
      </c>
      <c r="G3938" s="8">
        <v>0</v>
      </c>
      <c r="H3938" s="8">
        <v>1</v>
      </c>
      <c r="I3938" s="8">
        <v>0</v>
      </c>
      <c r="J3938" s="8">
        <v>1</v>
      </c>
      <c r="K3938" s="9">
        <v>1</v>
      </c>
      <c r="L3938" s="10">
        <v>1</v>
      </c>
      <c r="M3938" s="6">
        <v>1</v>
      </c>
      <c r="N3938" s="37" t="e" cm="1">
        <f t="array" ref="N3938">IF(OR(ISNUMBER(FIND(Aux!$D$3:$D$9,_xlfn.TEXTJOIN(,,C3938:K3938)))),NA(),IF(AND(SUM(C3938:F3938,H3938:K3938)=0,G3938=1),0,INT((SUMPRODUCT(C3938:F3938,COLUMN($A$1:$D$1)-1)+SUMPRODUCT(H3938:K3938,COLUMN($E$1:$H$1)-1))*'Line Follower'!$C$3/SUM(C3938:F3938,H3938:K3938)-'Line Follower'!$C$5)))</f>
        <v>#N/A</v>
      </c>
      <c r="O3938" s="22" t="e">
        <v>#N/A</v>
      </c>
      <c r="P3938" s="4" t="e">
        <f t="shared" si="305"/>
        <v>#N/A</v>
      </c>
      <c r="Q3938" s="4" t="e">
        <f t="shared" si="306"/>
        <v>#N/A</v>
      </c>
      <c r="R3938" s="4" t="e">
        <f>IF(AND(B3938=1,N3938&gt;'Line Follower'!$C$7,SUM(C3938:K3938)&lt;4),1,0)</f>
        <v>#N/A</v>
      </c>
      <c r="S3938" s="4" t="e">
        <f>IF(AND(L3938=1,N3938&lt;'Line Follower'!$C$6,SUM(C3938:K3938)&lt;4),1,0)</f>
        <v>#N/A</v>
      </c>
      <c r="T3938" s="4" t="e">
        <f t="shared" si="307"/>
        <v>#N/A</v>
      </c>
      <c r="U3938" s="5" t="e">
        <f t="shared" si="308"/>
        <v>#N/A</v>
      </c>
      <c r="V3938" s="23" t="e">
        <f t="shared" si="309"/>
        <v>#N/A</v>
      </c>
    </row>
    <row r="3939" spans="2:22" x14ac:dyDescent="0.25">
      <c r="B3939" s="16">
        <v>0</v>
      </c>
      <c r="C3939" s="7">
        <v>0</v>
      </c>
      <c r="D3939" s="8">
        <v>0</v>
      </c>
      <c r="E3939" s="8">
        <v>0</v>
      </c>
      <c r="F3939" s="8">
        <v>0</v>
      </c>
      <c r="G3939" s="8">
        <v>1</v>
      </c>
      <c r="H3939" s="8">
        <v>1</v>
      </c>
      <c r="I3939" s="8">
        <v>0</v>
      </c>
      <c r="J3939" s="8">
        <v>1</v>
      </c>
      <c r="K3939" s="9">
        <v>1</v>
      </c>
      <c r="L3939" s="10">
        <v>1</v>
      </c>
      <c r="M3939" s="6">
        <v>1</v>
      </c>
      <c r="N3939" s="37" t="e" cm="1">
        <f t="array" ref="N3939">IF(OR(ISNUMBER(FIND(Aux!$D$3:$D$9,_xlfn.TEXTJOIN(,,C3939:K3939)))),NA(),IF(AND(SUM(C3939:F3939,H3939:K3939)=0,G3939=1),0,INT((SUMPRODUCT(C3939:F3939,COLUMN($A$1:$D$1)-1)+SUMPRODUCT(H3939:K3939,COLUMN($E$1:$H$1)-1))*'Line Follower'!$C$3/SUM(C3939:F3939,H3939:K3939)-'Line Follower'!$C$5)))</f>
        <v>#N/A</v>
      </c>
      <c r="O3939" s="22" t="e">
        <v>#N/A</v>
      </c>
      <c r="P3939" s="4" t="e">
        <f t="shared" si="305"/>
        <v>#N/A</v>
      </c>
      <c r="Q3939" s="4" t="e">
        <f t="shared" si="306"/>
        <v>#N/A</v>
      </c>
      <c r="R3939" s="4" t="e">
        <f>IF(AND(B3939=1,N3939&gt;'Line Follower'!$C$7,SUM(C3939:K3939)&lt;4),1,0)</f>
        <v>#N/A</v>
      </c>
      <c r="S3939" s="4" t="e">
        <f>IF(AND(L3939=1,N3939&lt;'Line Follower'!$C$6,SUM(C3939:K3939)&lt;4),1,0)</f>
        <v>#N/A</v>
      </c>
      <c r="T3939" s="4" t="e">
        <f t="shared" si="307"/>
        <v>#N/A</v>
      </c>
      <c r="U3939" s="5" t="e">
        <f t="shared" si="308"/>
        <v>#N/A</v>
      </c>
      <c r="V3939" s="23" t="e">
        <f t="shared" si="309"/>
        <v>#N/A</v>
      </c>
    </row>
    <row r="3940" spans="2:22" x14ac:dyDescent="0.25">
      <c r="B3940" s="16">
        <v>1</v>
      </c>
      <c r="C3940" s="7">
        <v>0</v>
      </c>
      <c r="D3940" s="8">
        <v>0</v>
      </c>
      <c r="E3940" s="8">
        <v>0</v>
      </c>
      <c r="F3940" s="8">
        <v>0</v>
      </c>
      <c r="G3940" s="8">
        <v>1</v>
      </c>
      <c r="H3940" s="8">
        <v>1</v>
      </c>
      <c r="I3940" s="8">
        <v>0</v>
      </c>
      <c r="J3940" s="8">
        <v>1</v>
      </c>
      <c r="K3940" s="9">
        <v>1</v>
      </c>
      <c r="L3940" s="10">
        <v>1</v>
      </c>
      <c r="M3940" s="6">
        <v>1</v>
      </c>
      <c r="N3940" s="37" t="e" cm="1">
        <f t="array" ref="N3940">IF(OR(ISNUMBER(FIND(Aux!$D$3:$D$9,_xlfn.TEXTJOIN(,,C3940:K3940)))),NA(),IF(AND(SUM(C3940:F3940,H3940:K3940)=0,G3940=1),0,INT((SUMPRODUCT(C3940:F3940,COLUMN($A$1:$D$1)-1)+SUMPRODUCT(H3940:K3940,COLUMN($E$1:$H$1)-1))*'Line Follower'!$C$3/SUM(C3940:F3940,H3940:K3940)-'Line Follower'!$C$5)))</f>
        <v>#N/A</v>
      </c>
      <c r="O3940" s="22" t="e">
        <v>#N/A</v>
      </c>
      <c r="P3940" s="4" t="e">
        <f t="shared" si="305"/>
        <v>#N/A</v>
      </c>
      <c r="Q3940" s="4" t="e">
        <f t="shared" si="306"/>
        <v>#N/A</v>
      </c>
      <c r="R3940" s="4" t="e">
        <f>IF(AND(B3940=1,N3940&gt;'Line Follower'!$C$7,SUM(C3940:K3940)&lt;4),1,0)</f>
        <v>#N/A</v>
      </c>
      <c r="S3940" s="4" t="e">
        <f>IF(AND(L3940=1,N3940&lt;'Line Follower'!$C$6,SUM(C3940:K3940)&lt;4),1,0)</f>
        <v>#N/A</v>
      </c>
      <c r="T3940" s="4" t="e">
        <f t="shared" si="307"/>
        <v>#N/A</v>
      </c>
      <c r="U3940" s="5" t="e">
        <f t="shared" si="308"/>
        <v>#N/A</v>
      </c>
      <c r="V3940" s="23" t="e">
        <f t="shared" si="309"/>
        <v>#N/A</v>
      </c>
    </row>
    <row r="3941" spans="2:22" x14ac:dyDescent="0.25">
      <c r="B3941" s="16">
        <v>0</v>
      </c>
      <c r="C3941" s="7">
        <v>1</v>
      </c>
      <c r="D3941" s="8">
        <v>0</v>
      </c>
      <c r="E3941" s="8">
        <v>0</v>
      </c>
      <c r="F3941" s="8">
        <v>0</v>
      </c>
      <c r="G3941" s="8">
        <v>1</v>
      </c>
      <c r="H3941" s="8">
        <v>1</v>
      </c>
      <c r="I3941" s="8">
        <v>0</v>
      </c>
      <c r="J3941" s="8">
        <v>1</v>
      </c>
      <c r="K3941" s="9">
        <v>1</v>
      </c>
      <c r="L3941" s="10">
        <v>1</v>
      </c>
      <c r="M3941" s="6">
        <v>1</v>
      </c>
      <c r="N3941" s="37" t="e" cm="1">
        <f t="array" ref="N3941">IF(OR(ISNUMBER(FIND(Aux!$D$3:$D$9,_xlfn.TEXTJOIN(,,C3941:K3941)))),NA(),IF(AND(SUM(C3941:F3941,H3941:K3941)=0,G3941=1),0,INT((SUMPRODUCT(C3941:F3941,COLUMN($A$1:$D$1)-1)+SUMPRODUCT(H3941:K3941,COLUMN($E$1:$H$1)-1))*'Line Follower'!$C$3/SUM(C3941:F3941,H3941:K3941)-'Line Follower'!$C$5)))</f>
        <v>#N/A</v>
      </c>
      <c r="O3941" s="22" t="e">
        <v>#N/A</v>
      </c>
      <c r="P3941" s="4" t="e">
        <f t="shared" si="305"/>
        <v>#N/A</v>
      </c>
      <c r="Q3941" s="4" t="e">
        <f t="shared" si="306"/>
        <v>#N/A</v>
      </c>
      <c r="R3941" s="4" t="e">
        <f>IF(AND(B3941=1,N3941&gt;'Line Follower'!$C$7,SUM(C3941:K3941)&lt;4),1,0)</f>
        <v>#N/A</v>
      </c>
      <c r="S3941" s="4" t="e">
        <f>IF(AND(L3941=1,N3941&lt;'Line Follower'!$C$6,SUM(C3941:K3941)&lt;4),1,0)</f>
        <v>#N/A</v>
      </c>
      <c r="T3941" s="4" t="e">
        <f t="shared" si="307"/>
        <v>#N/A</v>
      </c>
      <c r="U3941" s="5" t="e">
        <f t="shared" si="308"/>
        <v>#N/A</v>
      </c>
      <c r="V3941" s="23" t="e">
        <f t="shared" si="309"/>
        <v>#N/A</v>
      </c>
    </row>
    <row r="3942" spans="2:22" x14ac:dyDescent="0.25">
      <c r="B3942" s="16">
        <v>1</v>
      </c>
      <c r="C3942" s="7">
        <v>1</v>
      </c>
      <c r="D3942" s="8">
        <v>0</v>
      </c>
      <c r="E3942" s="8">
        <v>0</v>
      </c>
      <c r="F3942" s="8">
        <v>0</v>
      </c>
      <c r="G3942" s="8">
        <v>1</v>
      </c>
      <c r="H3942" s="8">
        <v>1</v>
      </c>
      <c r="I3942" s="8">
        <v>0</v>
      </c>
      <c r="J3942" s="8">
        <v>1</v>
      </c>
      <c r="K3942" s="9">
        <v>1</v>
      </c>
      <c r="L3942" s="10">
        <v>1</v>
      </c>
      <c r="M3942" s="6">
        <v>1</v>
      </c>
      <c r="N3942" s="37" t="e" cm="1">
        <f t="array" ref="N3942">IF(OR(ISNUMBER(FIND(Aux!$D$3:$D$9,_xlfn.TEXTJOIN(,,C3942:K3942)))),NA(),IF(AND(SUM(C3942:F3942,H3942:K3942)=0,G3942=1),0,INT((SUMPRODUCT(C3942:F3942,COLUMN($A$1:$D$1)-1)+SUMPRODUCT(H3942:K3942,COLUMN($E$1:$H$1)-1))*'Line Follower'!$C$3/SUM(C3942:F3942,H3942:K3942)-'Line Follower'!$C$5)))</f>
        <v>#N/A</v>
      </c>
      <c r="O3942" s="22" t="e">
        <v>#N/A</v>
      </c>
      <c r="P3942" s="4" t="e">
        <f t="shared" si="305"/>
        <v>#N/A</v>
      </c>
      <c r="Q3942" s="4" t="e">
        <f t="shared" si="306"/>
        <v>#N/A</v>
      </c>
      <c r="R3942" s="4" t="e">
        <f>IF(AND(B3942=1,N3942&gt;'Line Follower'!$C$7,SUM(C3942:K3942)&lt;4),1,0)</f>
        <v>#N/A</v>
      </c>
      <c r="S3942" s="4" t="e">
        <f>IF(AND(L3942=1,N3942&lt;'Line Follower'!$C$6,SUM(C3942:K3942)&lt;4),1,0)</f>
        <v>#N/A</v>
      </c>
      <c r="T3942" s="4" t="e">
        <f t="shared" si="307"/>
        <v>#N/A</v>
      </c>
      <c r="U3942" s="5" t="e">
        <f t="shared" si="308"/>
        <v>#N/A</v>
      </c>
      <c r="V3942" s="23" t="e">
        <f t="shared" si="309"/>
        <v>#N/A</v>
      </c>
    </row>
    <row r="3943" spans="2:22" x14ac:dyDescent="0.25">
      <c r="B3943" s="16">
        <v>0</v>
      </c>
      <c r="C3943" s="7">
        <v>0</v>
      </c>
      <c r="D3943" s="8">
        <v>1</v>
      </c>
      <c r="E3943" s="8">
        <v>0</v>
      </c>
      <c r="F3943" s="8">
        <v>0</v>
      </c>
      <c r="G3943" s="8">
        <v>1</v>
      </c>
      <c r="H3943" s="8">
        <v>1</v>
      </c>
      <c r="I3943" s="8">
        <v>0</v>
      </c>
      <c r="J3943" s="8">
        <v>1</v>
      </c>
      <c r="K3943" s="9">
        <v>1</v>
      </c>
      <c r="L3943" s="10">
        <v>1</v>
      </c>
      <c r="M3943" s="6">
        <v>1</v>
      </c>
      <c r="N3943" s="37" t="e" cm="1">
        <f t="array" ref="N3943">IF(OR(ISNUMBER(FIND(Aux!$D$3:$D$9,_xlfn.TEXTJOIN(,,C3943:K3943)))),NA(),IF(AND(SUM(C3943:F3943,H3943:K3943)=0,G3943=1),0,INT((SUMPRODUCT(C3943:F3943,COLUMN($A$1:$D$1)-1)+SUMPRODUCT(H3943:K3943,COLUMN($E$1:$H$1)-1))*'Line Follower'!$C$3/SUM(C3943:F3943,H3943:K3943)-'Line Follower'!$C$5)))</f>
        <v>#N/A</v>
      </c>
      <c r="O3943" s="22" t="e">
        <v>#N/A</v>
      </c>
      <c r="P3943" s="4" t="e">
        <f t="shared" si="305"/>
        <v>#N/A</v>
      </c>
      <c r="Q3943" s="4" t="e">
        <f t="shared" si="306"/>
        <v>#N/A</v>
      </c>
      <c r="R3943" s="4" t="e">
        <f>IF(AND(B3943=1,N3943&gt;'Line Follower'!$C$7,SUM(C3943:K3943)&lt;4),1,0)</f>
        <v>#N/A</v>
      </c>
      <c r="S3943" s="4" t="e">
        <f>IF(AND(L3943=1,N3943&lt;'Line Follower'!$C$6,SUM(C3943:K3943)&lt;4),1,0)</f>
        <v>#N/A</v>
      </c>
      <c r="T3943" s="4" t="e">
        <f t="shared" si="307"/>
        <v>#N/A</v>
      </c>
      <c r="U3943" s="5" t="e">
        <f t="shared" si="308"/>
        <v>#N/A</v>
      </c>
      <c r="V3943" s="23" t="e">
        <f t="shared" si="309"/>
        <v>#N/A</v>
      </c>
    </row>
    <row r="3944" spans="2:22" x14ac:dyDescent="0.25">
      <c r="B3944" s="16">
        <v>1</v>
      </c>
      <c r="C3944" s="7">
        <v>0</v>
      </c>
      <c r="D3944" s="8">
        <v>1</v>
      </c>
      <c r="E3944" s="8">
        <v>0</v>
      </c>
      <c r="F3944" s="8">
        <v>0</v>
      </c>
      <c r="G3944" s="8">
        <v>1</v>
      </c>
      <c r="H3944" s="8">
        <v>1</v>
      </c>
      <c r="I3944" s="8">
        <v>0</v>
      </c>
      <c r="J3944" s="8">
        <v>1</v>
      </c>
      <c r="K3944" s="9">
        <v>1</v>
      </c>
      <c r="L3944" s="10">
        <v>1</v>
      </c>
      <c r="M3944" s="6">
        <v>1</v>
      </c>
      <c r="N3944" s="37" t="e" cm="1">
        <f t="array" ref="N3944">IF(OR(ISNUMBER(FIND(Aux!$D$3:$D$9,_xlfn.TEXTJOIN(,,C3944:K3944)))),NA(),IF(AND(SUM(C3944:F3944,H3944:K3944)=0,G3944=1),0,INT((SUMPRODUCT(C3944:F3944,COLUMN($A$1:$D$1)-1)+SUMPRODUCT(H3944:K3944,COLUMN($E$1:$H$1)-1))*'Line Follower'!$C$3/SUM(C3944:F3944,H3944:K3944)-'Line Follower'!$C$5)))</f>
        <v>#N/A</v>
      </c>
      <c r="O3944" s="22" t="e">
        <v>#N/A</v>
      </c>
      <c r="P3944" s="4" t="e">
        <f t="shared" si="305"/>
        <v>#N/A</v>
      </c>
      <c r="Q3944" s="4" t="e">
        <f t="shared" si="306"/>
        <v>#N/A</v>
      </c>
      <c r="R3944" s="4" t="e">
        <f>IF(AND(B3944=1,N3944&gt;'Line Follower'!$C$7,SUM(C3944:K3944)&lt;4),1,0)</f>
        <v>#N/A</v>
      </c>
      <c r="S3944" s="4" t="e">
        <f>IF(AND(L3944=1,N3944&lt;'Line Follower'!$C$6,SUM(C3944:K3944)&lt;4),1,0)</f>
        <v>#N/A</v>
      </c>
      <c r="T3944" s="4" t="e">
        <f t="shared" si="307"/>
        <v>#N/A</v>
      </c>
      <c r="U3944" s="5" t="e">
        <f t="shared" si="308"/>
        <v>#N/A</v>
      </c>
      <c r="V3944" s="23" t="e">
        <f t="shared" si="309"/>
        <v>#N/A</v>
      </c>
    </row>
    <row r="3945" spans="2:22" x14ac:dyDescent="0.25">
      <c r="B3945" s="16">
        <v>0</v>
      </c>
      <c r="C3945" s="7">
        <v>1</v>
      </c>
      <c r="D3945" s="8">
        <v>1</v>
      </c>
      <c r="E3945" s="8">
        <v>0</v>
      </c>
      <c r="F3945" s="8">
        <v>0</v>
      </c>
      <c r="G3945" s="8">
        <v>1</v>
      </c>
      <c r="H3945" s="8">
        <v>1</v>
      </c>
      <c r="I3945" s="8">
        <v>0</v>
      </c>
      <c r="J3945" s="8">
        <v>1</v>
      </c>
      <c r="K3945" s="9">
        <v>1</v>
      </c>
      <c r="L3945" s="10">
        <v>1</v>
      </c>
      <c r="M3945" s="6">
        <v>1</v>
      </c>
      <c r="N3945" s="37" t="e" cm="1">
        <f t="array" ref="N3945">IF(OR(ISNUMBER(FIND(Aux!$D$3:$D$9,_xlfn.TEXTJOIN(,,C3945:K3945)))),NA(),IF(AND(SUM(C3945:F3945,H3945:K3945)=0,G3945=1),0,INT((SUMPRODUCT(C3945:F3945,COLUMN($A$1:$D$1)-1)+SUMPRODUCT(H3945:K3945,COLUMN($E$1:$H$1)-1))*'Line Follower'!$C$3/SUM(C3945:F3945,H3945:K3945)-'Line Follower'!$C$5)))</f>
        <v>#N/A</v>
      </c>
      <c r="O3945" s="22" t="e">
        <v>#N/A</v>
      </c>
      <c r="P3945" s="4" t="e">
        <f t="shared" si="305"/>
        <v>#N/A</v>
      </c>
      <c r="Q3945" s="4" t="e">
        <f t="shared" si="306"/>
        <v>#N/A</v>
      </c>
      <c r="R3945" s="4" t="e">
        <f>IF(AND(B3945=1,N3945&gt;'Line Follower'!$C$7,SUM(C3945:K3945)&lt;4),1,0)</f>
        <v>#N/A</v>
      </c>
      <c r="S3945" s="4" t="e">
        <f>IF(AND(L3945=1,N3945&lt;'Line Follower'!$C$6,SUM(C3945:K3945)&lt;4),1,0)</f>
        <v>#N/A</v>
      </c>
      <c r="T3945" s="4" t="e">
        <f t="shared" si="307"/>
        <v>#N/A</v>
      </c>
      <c r="U3945" s="5" t="e">
        <f t="shared" si="308"/>
        <v>#N/A</v>
      </c>
      <c r="V3945" s="23" t="e">
        <f t="shared" si="309"/>
        <v>#N/A</v>
      </c>
    </row>
    <row r="3946" spans="2:22" x14ac:dyDescent="0.25">
      <c r="B3946" s="16">
        <v>1</v>
      </c>
      <c r="C3946" s="7">
        <v>1</v>
      </c>
      <c r="D3946" s="8">
        <v>1</v>
      </c>
      <c r="E3946" s="8">
        <v>0</v>
      </c>
      <c r="F3946" s="8">
        <v>0</v>
      </c>
      <c r="G3946" s="8">
        <v>1</v>
      </c>
      <c r="H3946" s="8">
        <v>1</v>
      </c>
      <c r="I3946" s="8">
        <v>0</v>
      </c>
      <c r="J3946" s="8">
        <v>1</v>
      </c>
      <c r="K3946" s="9">
        <v>1</v>
      </c>
      <c r="L3946" s="10">
        <v>1</v>
      </c>
      <c r="M3946" s="6">
        <v>1</v>
      </c>
      <c r="N3946" s="37" t="e" cm="1">
        <f t="array" ref="N3946">IF(OR(ISNUMBER(FIND(Aux!$D$3:$D$9,_xlfn.TEXTJOIN(,,C3946:K3946)))),NA(),IF(AND(SUM(C3946:F3946,H3946:K3946)=0,G3946=1),0,INT((SUMPRODUCT(C3946:F3946,COLUMN($A$1:$D$1)-1)+SUMPRODUCT(H3946:K3946,COLUMN($E$1:$H$1)-1))*'Line Follower'!$C$3/SUM(C3946:F3946,H3946:K3946)-'Line Follower'!$C$5)))</f>
        <v>#N/A</v>
      </c>
      <c r="O3946" s="22" t="e">
        <v>#N/A</v>
      </c>
      <c r="P3946" s="4" t="e">
        <f t="shared" si="305"/>
        <v>#N/A</v>
      </c>
      <c r="Q3946" s="4" t="e">
        <f t="shared" si="306"/>
        <v>#N/A</v>
      </c>
      <c r="R3946" s="4" t="e">
        <f>IF(AND(B3946=1,N3946&gt;'Line Follower'!$C$7,SUM(C3946:K3946)&lt;4),1,0)</f>
        <v>#N/A</v>
      </c>
      <c r="S3946" s="4" t="e">
        <f>IF(AND(L3946=1,N3946&lt;'Line Follower'!$C$6,SUM(C3946:K3946)&lt;4),1,0)</f>
        <v>#N/A</v>
      </c>
      <c r="T3946" s="4" t="e">
        <f t="shared" si="307"/>
        <v>#N/A</v>
      </c>
      <c r="U3946" s="5" t="e">
        <f t="shared" si="308"/>
        <v>#N/A</v>
      </c>
      <c r="V3946" s="23" t="e">
        <f t="shared" si="309"/>
        <v>#N/A</v>
      </c>
    </row>
    <row r="3947" spans="2:22" x14ac:dyDescent="0.25">
      <c r="B3947" s="16">
        <v>0</v>
      </c>
      <c r="C3947" s="7">
        <v>0</v>
      </c>
      <c r="D3947" s="8">
        <v>0</v>
      </c>
      <c r="E3947" s="8">
        <v>1</v>
      </c>
      <c r="F3947" s="8">
        <v>0</v>
      </c>
      <c r="G3947" s="8">
        <v>1</v>
      </c>
      <c r="H3947" s="8">
        <v>1</v>
      </c>
      <c r="I3947" s="8">
        <v>0</v>
      </c>
      <c r="J3947" s="8">
        <v>1</v>
      </c>
      <c r="K3947" s="9">
        <v>1</v>
      </c>
      <c r="L3947" s="10">
        <v>1</v>
      </c>
      <c r="M3947" s="6">
        <v>1</v>
      </c>
      <c r="N3947" s="37" t="e" cm="1">
        <f t="array" ref="N3947">IF(OR(ISNUMBER(FIND(Aux!$D$3:$D$9,_xlfn.TEXTJOIN(,,C3947:K3947)))),NA(),IF(AND(SUM(C3947:F3947,H3947:K3947)=0,G3947=1),0,INT((SUMPRODUCT(C3947:F3947,COLUMN($A$1:$D$1)-1)+SUMPRODUCT(H3947:K3947,COLUMN($E$1:$H$1)-1))*'Line Follower'!$C$3/SUM(C3947:F3947,H3947:K3947)-'Line Follower'!$C$5)))</f>
        <v>#N/A</v>
      </c>
      <c r="O3947" s="22" t="e">
        <v>#N/A</v>
      </c>
      <c r="P3947" s="4" t="e">
        <f t="shared" si="305"/>
        <v>#N/A</v>
      </c>
      <c r="Q3947" s="4" t="e">
        <f t="shared" si="306"/>
        <v>#N/A</v>
      </c>
      <c r="R3947" s="4" t="e">
        <f>IF(AND(B3947=1,N3947&gt;'Line Follower'!$C$7,SUM(C3947:K3947)&lt;4),1,0)</f>
        <v>#N/A</v>
      </c>
      <c r="S3947" s="4" t="e">
        <f>IF(AND(L3947=1,N3947&lt;'Line Follower'!$C$6,SUM(C3947:K3947)&lt;4),1,0)</f>
        <v>#N/A</v>
      </c>
      <c r="T3947" s="4" t="e">
        <f t="shared" si="307"/>
        <v>#N/A</v>
      </c>
      <c r="U3947" s="5" t="e">
        <f t="shared" si="308"/>
        <v>#N/A</v>
      </c>
      <c r="V3947" s="23" t="e">
        <f t="shared" si="309"/>
        <v>#N/A</v>
      </c>
    </row>
    <row r="3948" spans="2:22" x14ac:dyDescent="0.25">
      <c r="B3948" s="16">
        <v>1</v>
      </c>
      <c r="C3948" s="7">
        <v>0</v>
      </c>
      <c r="D3948" s="8">
        <v>0</v>
      </c>
      <c r="E3948" s="8">
        <v>1</v>
      </c>
      <c r="F3948" s="8">
        <v>0</v>
      </c>
      <c r="G3948" s="8">
        <v>1</v>
      </c>
      <c r="H3948" s="8">
        <v>1</v>
      </c>
      <c r="I3948" s="8">
        <v>0</v>
      </c>
      <c r="J3948" s="8">
        <v>1</v>
      </c>
      <c r="K3948" s="9">
        <v>1</v>
      </c>
      <c r="L3948" s="10">
        <v>1</v>
      </c>
      <c r="M3948" s="6">
        <v>1</v>
      </c>
      <c r="N3948" s="37" t="e" cm="1">
        <f t="array" ref="N3948">IF(OR(ISNUMBER(FIND(Aux!$D$3:$D$9,_xlfn.TEXTJOIN(,,C3948:K3948)))),NA(),IF(AND(SUM(C3948:F3948,H3948:K3948)=0,G3948=1),0,INT((SUMPRODUCT(C3948:F3948,COLUMN($A$1:$D$1)-1)+SUMPRODUCT(H3948:K3948,COLUMN($E$1:$H$1)-1))*'Line Follower'!$C$3/SUM(C3948:F3948,H3948:K3948)-'Line Follower'!$C$5)))</f>
        <v>#N/A</v>
      </c>
      <c r="O3948" s="22" t="e">
        <v>#N/A</v>
      </c>
      <c r="P3948" s="4" t="e">
        <f t="shared" si="305"/>
        <v>#N/A</v>
      </c>
      <c r="Q3948" s="4" t="e">
        <f t="shared" si="306"/>
        <v>#N/A</v>
      </c>
      <c r="R3948" s="4" t="e">
        <f>IF(AND(B3948=1,N3948&gt;'Line Follower'!$C$7,SUM(C3948:K3948)&lt;4),1,0)</f>
        <v>#N/A</v>
      </c>
      <c r="S3948" s="4" t="e">
        <f>IF(AND(L3948=1,N3948&lt;'Line Follower'!$C$6,SUM(C3948:K3948)&lt;4),1,0)</f>
        <v>#N/A</v>
      </c>
      <c r="T3948" s="4" t="e">
        <f t="shared" si="307"/>
        <v>#N/A</v>
      </c>
      <c r="U3948" s="5" t="e">
        <f t="shared" si="308"/>
        <v>#N/A</v>
      </c>
      <c r="V3948" s="23" t="e">
        <f t="shared" si="309"/>
        <v>#N/A</v>
      </c>
    </row>
    <row r="3949" spans="2:22" x14ac:dyDescent="0.25">
      <c r="B3949" s="16">
        <v>0</v>
      </c>
      <c r="C3949" s="7">
        <v>1</v>
      </c>
      <c r="D3949" s="8">
        <v>0</v>
      </c>
      <c r="E3949" s="8">
        <v>1</v>
      </c>
      <c r="F3949" s="8">
        <v>0</v>
      </c>
      <c r="G3949" s="8">
        <v>1</v>
      </c>
      <c r="H3949" s="8">
        <v>1</v>
      </c>
      <c r="I3949" s="8">
        <v>0</v>
      </c>
      <c r="J3949" s="8">
        <v>1</v>
      </c>
      <c r="K3949" s="9">
        <v>1</v>
      </c>
      <c r="L3949" s="10">
        <v>1</v>
      </c>
      <c r="M3949" s="6">
        <v>1</v>
      </c>
      <c r="N3949" s="37" t="e" cm="1">
        <f t="array" ref="N3949">IF(OR(ISNUMBER(FIND(Aux!$D$3:$D$9,_xlfn.TEXTJOIN(,,C3949:K3949)))),NA(),IF(AND(SUM(C3949:F3949,H3949:K3949)=0,G3949=1),0,INT((SUMPRODUCT(C3949:F3949,COLUMN($A$1:$D$1)-1)+SUMPRODUCT(H3949:K3949,COLUMN($E$1:$H$1)-1))*'Line Follower'!$C$3/SUM(C3949:F3949,H3949:K3949)-'Line Follower'!$C$5)))</f>
        <v>#N/A</v>
      </c>
      <c r="O3949" s="22" t="e">
        <v>#N/A</v>
      </c>
      <c r="P3949" s="4" t="e">
        <f t="shared" si="305"/>
        <v>#N/A</v>
      </c>
      <c r="Q3949" s="4" t="e">
        <f t="shared" si="306"/>
        <v>#N/A</v>
      </c>
      <c r="R3949" s="4" t="e">
        <f>IF(AND(B3949=1,N3949&gt;'Line Follower'!$C$7,SUM(C3949:K3949)&lt;4),1,0)</f>
        <v>#N/A</v>
      </c>
      <c r="S3949" s="4" t="e">
        <f>IF(AND(L3949=1,N3949&lt;'Line Follower'!$C$6,SUM(C3949:K3949)&lt;4),1,0)</f>
        <v>#N/A</v>
      </c>
      <c r="T3949" s="4" t="e">
        <f t="shared" si="307"/>
        <v>#N/A</v>
      </c>
      <c r="U3949" s="5" t="e">
        <f t="shared" si="308"/>
        <v>#N/A</v>
      </c>
      <c r="V3949" s="23" t="e">
        <f t="shared" si="309"/>
        <v>#N/A</v>
      </c>
    </row>
    <row r="3950" spans="2:22" x14ac:dyDescent="0.25">
      <c r="B3950" s="16">
        <v>1</v>
      </c>
      <c r="C3950" s="7">
        <v>1</v>
      </c>
      <c r="D3950" s="8">
        <v>0</v>
      </c>
      <c r="E3950" s="8">
        <v>1</v>
      </c>
      <c r="F3950" s="8">
        <v>0</v>
      </c>
      <c r="G3950" s="8">
        <v>1</v>
      </c>
      <c r="H3950" s="8">
        <v>1</v>
      </c>
      <c r="I3950" s="8">
        <v>0</v>
      </c>
      <c r="J3950" s="8">
        <v>1</v>
      </c>
      <c r="K3950" s="9">
        <v>1</v>
      </c>
      <c r="L3950" s="10">
        <v>1</v>
      </c>
      <c r="M3950" s="6">
        <v>1</v>
      </c>
      <c r="N3950" s="37" t="e" cm="1">
        <f t="array" ref="N3950">IF(OR(ISNUMBER(FIND(Aux!$D$3:$D$9,_xlfn.TEXTJOIN(,,C3950:K3950)))),NA(),IF(AND(SUM(C3950:F3950,H3950:K3950)=0,G3950=1),0,INT((SUMPRODUCT(C3950:F3950,COLUMN($A$1:$D$1)-1)+SUMPRODUCT(H3950:K3950,COLUMN($E$1:$H$1)-1))*'Line Follower'!$C$3/SUM(C3950:F3950,H3950:K3950)-'Line Follower'!$C$5)))</f>
        <v>#N/A</v>
      </c>
      <c r="O3950" s="22" t="e">
        <v>#N/A</v>
      </c>
      <c r="P3950" s="4" t="e">
        <f t="shared" si="305"/>
        <v>#N/A</v>
      </c>
      <c r="Q3950" s="4" t="e">
        <f t="shared" si="306"/>
        <v>#N/A</v>
      </c>
      <c r="R3950" s="4" t="e">
        <f>IF(AND(B3950=1,N3950&gt;'Line Follower'!$C$7,SUM(C3950:K3950)&lt;4),1,0)</f>
        <v>#N/A</v>
      </c>
      <c r="S3950" s="4" t="e">
        <f>IF(AND(L3950=1,N3950&lt;'Line Follower'!$C$6,SUM(C3950:K3950)&lt;4),1,0)</f>
        <v>#N/A</v>
      </c>
      <c r="T3950" s="4" t="e">
        <f t="shared" si="307"/>
        <v>#N/A</v>
      </c>
      <c r="U3950" s="5" t="e">
        <f t="shared" si="308"/>
        <v>#N/A</v>
      </c>
      <c r="V3950" s="23" t="e">
        <f t="shared" si="309"/>
        <v>#N/A</v>
      </c>
    </row>
    <row r="3951" spans="2:22" x14ac:dyDescent="0.25">
      <c r="B3951" s="16">
        <v>0</v>
      </c>
      <c r="C3951" s="7">
        <v>0</v>
      </c>
      <c r="D3951" s="8">
        <v>1</v>
      </c>
      <c r="E3951" s="8">
        <v>1</v>
      </c>
      <c r="F3951" s="8">
        <v>0</v>
      </c>
      <c r="G3951" s="8">
        <v>1</v>
      </c>
      <c r="H3951" s="8">
        <v>1</v>
      </c>
      <c r="I3951" s="8">
        <v>0</v>
      </c>
      <c r="J3951" s="8">
        <v>1</v>
      </c>
      <c r="K3951" s="9">
        <v>1</v>
      </c>
      <c r="L3951" s="10">
        <v>1</v>
      </c>
      <c r="M3951" s="6">
        <v>1</v>
      </c>
      <c r="N3951" s="37" t="e" cm="1">
        <f t="array" ref="N3951">IF(OR(ISNUMBER(FIND(Aux!$D$3:$D$9,_xlfn.TEXTJOIN(,,C3951:K3951)))),NA(),IF(AND(SUM(C3951:F3951,H3951:K3951)=0,G3951=1),0,INT((SUMPRODUCT(C3951:F3951,COLUMN($A$1:$D$1)-1)+SUMPRODUCT(H3951:K3951,COLUMN($E$1:$H$1)-1))*'Line Follower'!$C$3/SUM(C3951:F3951,H3951:K3951)-'Line Follower'!$C$5)))</f>
        <v>#N/A</v>
      </c>
      <c r="O3951" s="22" t="e">
        <v>#N/A</v>
      </c>
      <c r="P3951" s="4" t="e">
        <f t="shared" si="305"/>
        <v>#N/A</v>
      </c>
      <c r="Q3951" s="4" t="e">
        <f t="shared" si="306"/>
        <v>#N/A</v>
      </c>
      <c r="R3951" s="4" t="e">
        <f>IF(AND(B3951=1,N3951&gt;'Line Follower'!$C$7,SUM(C3951:K3951)&lt;4),1,0)</f>
        <v>#N/A</v>
      </c>
      <c r="S3951" s="4" t="e">
        <f>IF(AND(L3951=1,N3951&lt;'Line Follower'!$C$6,SUM(C3951:K3951)&lt;4),1,0)</f>
        <v>#N/A</v>
      </c>
      <c r="T3951" s="4" t="e">
        <f t="shared" si="307"/>
        <v>#N/A</v>
      </c>
      <c r="U3951" s="5" t="e">
        <f t="shared" si="308"/>
        <v>#N/A</v>
      </c>
      <c r="V3951" s="23" t="e">
        <f t="shared" si="309"/>
        <v>#N/A</v>
      </c>
    </row>
    <row r="3952" spans="2:22" x14ac:dyDescent="0.25">
      <c r="B3952" s="16">
        <v>1</v>
      </c>
      <c r="C3952" s="7">
        <v>0</v>
      </c>
      <c r="D3952" s="8">
        <v>1</v>
      </c>
      <c r="E3952" s="8">
        <v>1</v>
      </c>
      <c r="F3952" s="8">
        <v>0</v>
      </c>
      <c r="G3952" s="8">
        <v>1</v>
      </c>
      <c r="H3952" s="8">
        <v>1</v>
      </c>
      <c r="I3952" s="8">
        <v>0</v>
      </c>
      <c r="J3952" s="8">
        <v>1</v>
      </c>
      <c r="K3952" s="9">
        <v>1</v>
      </c>
      <c r="L3952" s="10">
        <v>1</v>
      </c>
      <c r="M3952" s="6">
        <v>1</v>
      </c>
      <c r="N3952" s="37" t="e" cm="1">
        <f t="array" ref="N3952">IF(OR(ISNUMBER(FIND(Aux!$D$3:$D$9,_xlfn.TEXTJOIN(,,C3952:K3952)))),NA(),IF(AND(SUM(C3952:F3952,H3952:K3952)=0,G3952=1),0,INT((SUMPRODUCT(C3952:F3952,COLUMN($A$1:$D$1)-1)+SUMPRODUCT(H3952:K3952,COLUMN($E$1:$H$1)-1))*'Line Follower'!$C$3/SUM(C3952:F3952,H3952:K3952)-'Line Follower'!$C$5)))</f>
        <v>#N/A</v>
      </c>
      <c r="O3952" s="22" t="e">
        <v>#N/A</v>
      </c>
      <c r="P3952" s="4" t="e">
        <f t="shared" si="305"/>
        <v>#N/A</v>
      </c>
      <c r="Q3952" s="4" t="e">
        <f t="shared" si="306"/>
        <v>#N/A</v>
      </c>
      <c r="R3952" s="4" t="e">
        <f>IF(AND(B3952=1,N3952&gt;'Line Follower'!$C$7,SUM(C3952:K3952)&lt;4),1,0)</f>
        <v>#N/A</v>
      </c>
      <c r="S3952" s="4" t="e">
        <f>IF(AND(L3952=1,N3952&lt;'Line Follower'!$C$6,SUM(C3952:K3952)&lt;4),1,0)</f>
        <v>#N/A</v>
      </c>
      <c r="T3952" s="4" t="e">
        <f t="shared" si="307"/>
        <v>#N/A</v>
      </c>
      <c r="U3952" s="5" t="e">
        <f t="shared" si="308"/>
        <v>#N/A</v>
      </c>
      <c r="V3952" s="23" t="e">
        <f t="shared" si="309"/>
        <v>#N/A</v>
      </c>
    </row>
    <row r="3953" spans="2:22" x14ac:dyDescent="0.25">
      <c r="B3953" s="16">
        <v>0</v>
      </c>
      <c r="C3953" s="7">
        <v>1</v>
      </c>
      <c r="D3953" s="8">
        <v>1</v>
      </c>
      <c r="E3953" s="8">
        <v>1</v>
      </c>
      <c r="F3953" s="8">
        <v>0</v>
      </c>
      <c r="G3953" s="8">
        <v>1</v>
      </c>
      <c r="H3953" s="8">
        <v>1</v>
      </c>
      <c r="I3953" s="8">
        <v>0</v>
      </c>
      <c r="J3953" s="8">
        <v>1</v>
      </c>
      <c r="K3953" s="9">
        <v>1</v>
      </c>
      <c r="L3953" s="10">
        <v>1</v>
      </c>
      <c r="M3953" s="6">
        <v>1</v>
      </c>
      <c r="N3953" s="37" t="e" cm="1">
        <f t="array" ref="N3953">IF(OR(ISNUMBER(FIND(Aux!$D$3:$D$9,_xlfn.TEXTJOIN(,,C3953:K3953)))),NA(),IF(AND(SUM(C3953:F3953,H3953:K3953)=0,G3953=1),0,INT((SUMPRODUCT(C3953:F3953,COLUMN($A$1:$D$1)-1)+SUMPRODUCT(H3953:K3953,COLUMN($E$1:$H$1)-1))*'Line Follower'!$C$3/SUM(C3953:F3953,H3953:K3953)-'Line Follower'!$C$5)))</f>
        <v>#N/A</v>
      </c>
      <c r="O3953" s="22" t="e">
        <v>#N/A</v>
      </c>
      <c r="P3953" s="4" t="e">
        <f t="shared" si="305"/>
        <v>#N/A</v>
      </c>
      <c r="Q3953" s="4" t="e">
        <f t="shared" si="306"/>
        <v>#N/A</v>
      </c>
      <c r="R3953" s="4" t="e">
        <f>IF(AND(B3953=1,N3953&gt;'Line Follower'!$C$7,SUM(C3953:K3953)&lt;4),1,0)</f>
        <v>#N/A</v>
      </c>
      <c r="S3953" s="4" t="e">
        <f>IF(AND(L3953=1,N3953&lt;'Line Follower'!$C$6,SUM(C3953:K3953)&lt;4),1,0)</f>
        <v>#N/A</v>
      </c>
      <c r="T3953" s="4" t="e">
        <f t="shared" si="307"/>
        <v>#N/A</v>
      </c>
      <c r="U3953" s="5" t="e">
        <f t="shared" si="308"/>
        <v>#N/A</v>
      </c>
      <c r="V3953" s="23" t="e">
        <f t="shared" si="309"/>
        <v>#N/A</v>
      </c>
    </row>
    <row r="3954" spans="2:22" x14ac:dyDescent="0.25">
      <c r="B3954" s="16">
        <v>1</v>
      </c>
      <c r="C3954" s="7">
        <v>1</v>
      </c>
      <c r="D3954" s="8">
        <v>1</v>
      </c>
      <c r="E3954" s="8">
        <v>1</v>
      </c>
      <c r="F3954" s="8">
        <v>0</v>
      </c>
      <c r="G3954" s="8">
        <v>1</v>
      </c>
      <c r="H3954" s="8">
        <v>1</v>
      </c>
      <c r="I3954" s="8">
        <v>0</v>
      </c>
      <c r="J3954" s="8">
        <v>1</v>
      </c>
      <c r="K3954" s="9">
        <v>1</v>
      </c>
      <c r="L3954" s="10">
        <v>1</v>
      </c>
      <c r="M3954" s="6">
        <v>1</v>
      </c>
      <c r="N3954" s="37" t="e" cm="1">
        <f t="array" ref="N3954">IF(OR(ISNUMBER(FIND(Aux!$D$3:$D$9,_xlfn.TEXTJOIN(,,C3954:K3954)))),NA(),IF(AND(SUM(C3954:F3954,H3954:K3954)=0,G3954=1),0,INT((SUMPRODUCT(C3954:F3954,COLUMN($A$1:$D$1)-1)+SUMPRODUCT(H3954:K3954,COLUMN($E$1:$H$1)-1))*'Line Follower'!$C$3/SUM(C3954:F3954,H3954:K3954)-'Line Follower'!$C$5)))</f>
        <v>#N/A</v>
      </c>
      <c r="O3954" s="22" t="e">
        <v>#N/A</v>
      </c>
      <c r="P3954" s="4" t="e">
        <f t="shared" si="305"/>
        <v>#N/A</v>
      </c>
      <c r="Q3954" s="4" t="e">
        <f t="shared" si="306"/>
        <v>#N/A</v>
      </c>
      <c r="R3954" s="4" t="e">
        <f>IF(AND(B3954=1,N3954&gt;'Line Follower'!$C$7,SUM(C3954:K3954)&lt;4),1,0)</f>
        <v>#N/A</v>
      </c>
      <c r="S3954" s="4" t="e">
        <f>IF(AND(L3954=1,N3954&lt;'Line Follower'!$C$6,SUM(C3954:K3954)&lt;4),1,0)</f>
        <v>#N/A</v>
      </c>
      <c r="T3954" s="4" t="e">
        <f t="shared" si="307"/>
        <v>#N/A</v>
      </c>
      <c r="U3954" s="5" t="e">
        <f t="shared" si="308"/>
        <v>#N/A</v>
      </c>
      <c r="V3954" s="23" t="e">
        <f t="shared" si="309"/>
        <v>#N/A</v>
      </c>
    </row>
    <row r="3955" spans="2:22" x14ac:dyDescent="0.25">
      <c r="B3955" s="16">
        <v>0</v>
      </c>
      <c r="C3955" s="7">
        <v>0</v>
      </c>
      <c r="D3955" s="8">
        <v>0</v>
      </c>
      <c r="E3955" s="8">
        <v>0</v>
      </c>
      <c r="F3955" s="8">
        <v>1</v>
      </c>
      <c r="G3955" s="8">
        <v>1</v>
      </c>
      <c r="H3955" s="8">
        <v>1</v>
      </c>
      <c r="I3955" s="8">
        <v>0</v>
      </c>
      <c r="J3955" s="8">
        <v>1</v>
      </c>
      <c r="K3955" s="9">
        <v>1</v>
      </c>
      <c r="L3955" s="10">
        <v>1</v>
      </c>
      <c r="M3955" s="6">
        <v>1</v>
      </c>
      <c r="N3955" s="37" t="e" cm="1">
        <f t="array" ref="N3955">IF(OR(ISNUMBER(FIND(Aux!$D$3:$D$9,_xlfn.TEXTJOIN(,,C3955:K3955)))),NA(),IF(AND(SUM(C3955:F3955,H3955:K3955)=0,G3955=1),0,INT((SUMPRODUCT(C3955:F3955,COLUMN($A$1:$D$1)-1)+SUMPRODUCT(H3955:K3955,COLUMN($E$1:$H$1)-1))*'Line Follower'!$C$3/SUM(C3955:F3955,H3955:K3955)-'Line Follower'!$C$5)))</f>
        <v>#N/A</v>
      </c>
      <c r="O3955" s="22" t="e">
        <v>#N/A</v>
      </c>
      <c r="P3955" s="4" t="e">
        <f t="shared" si="305"/>
        <v>#N/A</v>
      </c>
      <c r="Q3955" s="4" t="e">
        <f t="shared" si="306"/>
        <v>#N/A</v>
      </c>
      <c r="R3955" s="4" t="e">
        <f>IF(AND(B3955=1,N3955&gt;'Line Follower'!$C$7,SUM(C3955:K3955)&lt;4),1,0)</f>
        <v>#N/A</v>
      </c>
      <c r="S3955" s="4" t="e">
        <f>IF(AND(L3955=1,N3955&lt;'Line Follower'!$C$6,SUM(C3955:K3955)&lt;4),1,0)</f>
        <v>#N/A</v>
      </c>
      <c r="T3955" s="4" t="e">
        <f t="shared" si="307"/>
        <v>#N/A</v>
      </c>
      <c r="U3955" s="5" t="e">
        <f t="shared" si="308"/>
        <v>#N/A</v>
      </c>
      <c r="V3955" s="23" t="e">
        <f t="shared" si="309"/>
        <v>#N/A</v>
      </c>
    </row>
    <row r="3956" spans="2:22" x14ac:dyDescent="0.25">
      <c r="B3956" s="16">
        <v>1</v>
      </c>
      <c r="C3956" s="7">
        <v>0</v>
      </c>
      <c r="D3956" s="8">
        <v>0</v>
      </c>
      <c r="E3956" s="8">
        <v>0</v>
      </c>
      <c r="F3956" s="8">
        <v>1</v>
      </c>
      <c r="G3956" s="8">
        <v>1</v>
      </c>
      <c r="H3956" s="8">
        <v>1</v>
      </c>
      <c r="I3956" s="8">
        <v>0</v>
      </c>
      <c r="J3956" s="8">
        <v>1</v>
      </c>
      <c r="K3956" s="9">
        <v>1</v>
      </c>
      <c r="L3956" s="10">
        <v>1</v>
      </c>
      <c r="M3956" s="6">
        <v>1</v>
      </c>
      <c r="N3956" s="37" t="e" cm="1">
        <f t="array" ref="N3956">IF(OR(ISNUMBER(FIND(Aux!$D$3:$D$9,_xlfn.TEXTJOIN(,,C3956:K3956)))),NA(),IF(AND(SUM(C3956:F3956,H3956:K3956)=0,G3956=1),0,INT((SUMPRODUCT(C3956:F3956,COLUMN($A$1:$D$1)-1)+SUMPRODUCT(H3956:K3956,COLUMN($E$1:$H$1)-1))*'Line Follower'!$C$3/SUM(C3956:F3956,H3956:K3956)-'Line Follower'!$C$5)))</f>
        <v>#N/A</v>
      </c>
      <c r="O3956" s="22" t="e">
        <v>#N/A</v>
      </c>
      <c r="P3956" s="4" t="e">
        <f t="shared" si="305"/>
        <v>#N/A</v>
      </c>
      <c r="Q3956" s="4" t="e">
        <f t="shared" si="306"/>
        <v>#N/A</v>
      </c>
      <c r="R3956" s="4" t="e">
        <f>IF(AND(B3956=1,N3956&gt;'Line Follower'!$C$7,SUM(C3956:K3956)&lt;4),1,0)</f>
        <v>#N/A</v>
      </c>
      <c r="S3956" s="4" t="e">
        <f>IF(AND(L3956=1,N3956&lt;'Line Follower'!$C$6,SUM(C3956:K3956)&lt;4),1,0)</f>
        <v>#N/A</v>
      </c>
      <c r="T3956" s="4" t="e">
        <f t="shared" si="307"/>
        <v>#N/A</v>
      </c>
      <c r="U3956" s="5" t="e">
        <f t="shared" si="308"/>
        <v>#N/A</v>
      </c>
      <c r="V3956" s="23" t="e">
        <f t="shared" si="309"/>
        <v>#N/A</v>
      </c>
    </row>
    <row r="3957" spans="2:22" x14ac:dyDescent="0.25">
      <c r="B3957" s="16">
        <v>0</v>
      </c>
      <c r="C3957" s="7">
        <v>1</v>
      </c>
      <c r="D3957" s="8">
        <v>0</v>
      </c>
      <c r="E3957" s="8">
        <v>0</v>
      </c>
      <c r="F3957" s="8">
        <v>1</v>
      </c>
      <c r="G3957" s="8">
        <v>1</v>
      </c>
      <c r="H3957" s="8">
        <v>1</v>
      </c>
      <c r="I3957" s="8">
        <v>0</v>
      </c>
      <c r="J3957" s="8">
        <v>1</v>
      </c>
      <c r="K3957" s="9">
        <v>1</v>
      </c>
      <c r="L3957" s="10">
        <v>1</v>
      </c>
      <c r="M3957" s="6">
        <v>1</v>
      </c>
      <c r="N3957" s="37" t="e" cm="1">
        <f t="array" ref="N3957">IF(OR(ISNUMBER(FIND(Aux!$D$3:$D$9,_xlfn.TEXTJOIN(,,C3957:K3957)))),NA(),IF(AND(SUM(C3957:F3957,H3957:K3957)=0,G3957=1),0,INT((SUMPRODUCT(C3957:F3957,COLUMN($A$1:$D$1)-1)+SUMPRODUCT(H3957:K3957,COLUMN($E$1:$H$1)-1))*'Line Follower'!$C$3/SUM(C3957:F3957,H3957:K3957)-'Line Follower'!$C$5)))</f>
        <v>#N/A</v>
      </c>
      <c r="O3957" s="22" t="e">
        <v>#N/A</v>
      </c>
      <c r="P3957" s="4" t="e">
        <f t="shared" si="305"/>
        <v>#N/A</v>
      </c>
      <c r="Q3957" s="4" t="e">
        <f t="shared" si="306"/>
        <v>#N/A</v>
      </c>
      <c r="R3957" s="4" t="e">
        <f>IF(AND(B3957=1,N3957&gt;'Line Follower'!$C$7,SUM(C3957:K3957)&lt;4),1,0)</f>
        <v>#N/A</v>
      </c>
      <c r="S3957" s="4" t="e">
        <f>IF(AND(L3957=1,N3957&lt;'Line Follower'!$C$6,SUM(C3957:K3957)&lt;4),1,0)</f>
        <v>#N/A</v>
      </c>
      <c r="T3957" s="4" t="e">
        <f t="shared" si="307"/>
        <v>#N/A</v>
      </c>
      <c r="U3957" s="5" t="e">
        <f t="shared" si="308"/>
        <v>#N/A</v>
      </c>
      <c r="V3957" s="23" t="e">
        <f t="shared" si="309"/>
        <v>#N/A</v>
      </c>
    </row>
    <row r="3958" spans="2:22" x14ac:dyDescent="0.25">
      <c r="B3958" s="16">
        <v>1</v>
      </c>
      <c r="C3958" s="7">
        <v>1</v>
      </c>
      <c r="D3958" s="8">
        <v>0</v>
      </c>
      <c r="E3958" s="8">
        <v>0</v>
      </c>
      <c r="F3958" s="8">
        <v>1</v>
      </c>
      <c r="G3958" s="8">
        <v>1</v>
      </c>
      <c r="H3958" s="8">
        <v>1</v>
      </c>
      <c r="I3958" s="8">
        <v>0</v>
      </c>
      <c r="J3958" s="8">
        <v>1</v>
      </c>
      <c r="K3958" s="9">
        <v>1</v>
      </c>
      <c r="L3958" s="10">
        <v>1</v>
      </c>
      <c r="M3958" s="6">
        <v>1</v>
      </c>
      <c r="N3958" s="37" t="e" cm="1">
        <f t="array" ref="N3958">IF(OR(ISNUMBER(FIND(Aux!$D$3:$D$9,_xlfn.TEXTJOIN(,,C3958:K3958)))),NA(),IF(AND(SUM(C3958:F3958,H3958:K3958)=0,G3958=1),0,INT((SUMPRODUCT(C3958:F3958,COLUMN($A$1:$D$1)-1)+SUMPRODUCT(H3958:K3958,COLUMN($E$1:$H$1)-1))*'Line Follower'!$C$3/SUM(C3958:F3958,H3958:K3958)-'Line Follower'!$C$5)))</f>
        <v>#N/A</v>
      </c>
      <c r="O3958" s="22" t="e">
        <v>#N/A</v>
      </c>
      <c r="P3958" s="4" t="e">
        <f t="shared" si="305"/>
        <v>#N/A</v>
      </c>
      <c r="Q3958" s="4" t="e">
        <f t="shared" si="306"/>
        <v>#N/A</v>
      </c>
      <c r="R3958" s="4" t="e">
        <f>IF(AND(B3958=1,N3958&gt;'Line Follower'!$C$7,SUM(C3958:K3958)&lt;4),1,0)</f>
        <v>#N/A</v>
      </c>
      <c r="S3958" s="4" t="e">
        <f>IF(AND(L3958=1,N3958&lt;'Line Follower'!$C$6,SUM(C3958:K3958)&lt;4),1,0)</f>
        <v>#N/A</v>
      </c>
      <c r="T3958" s="4" t="e">
        <f t="shared" si="307"/>
        <v>#N/A</v>
      </c>
      <c r="U3958" s="5" t="e">
        <f t="shared" si="308"/>
        <v>#N/A</v>
      </c>
      <c r="V3958" s="23" t="e">
        <f t="shared" si="309"/>
        <v>#N/A</v>
      </c>
    </row>
    <row r="3959" spans="2:22" x14ac:dyDescent="0.25">
      <c r="B3959" s="16">
        <v>0</v>
      </c>
      <c r="C3959" s="7">
        <v>0</v>
      </c>
      <c r="D3959" s="8">
        <v>1</v>
      </c>
      <c r="E3959" s="8">
        <v>0</v>
      </c>
      <c r="F3959" s="8">
        <v>1</v>
      </c>
      <c r="G3959" s="8">
        <v>1</v>
      </c>
      <c r="H3959" s="8">
        <v>1</v>
      </c>
      <c r="I3959" s="8">
        <v>0</v>
      </c>
      <c r="J3959" s="8">
        <v>1</v>
      </c>
      <c r="K3959" s="9">
        <v>1</v>
      </c>
      <c r="L3959" s="10">
        <v>1</v>
      </c>
      <c r="M3959" s="6">
        <v>1</v>
      </c>
      <c r="N3959" s="37" t="e" cm="1">
        <f t="array" ref="N3959">IF(OR(ISNUMBER(FIND(Aux!$D$3:$D$9,_xlfn.TEXTJOIN(,,C3959:K3959)))),NA(),IF(AND(SUM(C3959:F3959,H3959:K3959)=0,G3959=1),0,INT((SUMPRODUCT(C3959:F3959,COLUMN($A$1:$D$1)-1)+SUMPRODUCT(H3959:K3959,COLUMN($E$1:$H$1)-1))*'Line Follower'!$C$3/SUM(C3959:F3959,H3959:K3959)-'Line Follower'!$C$5)))</f>
        <v>#N/A</v>
      </c>
      <c r="O3959" s="22" t="e">
        <v>#N/A</v>
      </c>
      <c r="P3959" s="4" t="e">
        <f t="shared" si="305"/>
        <v>#N/A</v>
      </c>
      <c r="Q3959" s="4" t="e">
        <f t="shared" si="306"/>
        <v>#N/A</v>
      </c>
      <c r="R3959" s="4" t="e">
        <f>IF(AND(B3959=1,N3959&gt;'Line Follower'!$C$7,SUM(C3959:K3959)&lt;4),1,0)</f>
        <v>#N/A</v>
      </c>
      <c r="S3959" s="4" t="e">
        <f>IF(AND(L3959=1,N3959&lt;'Line Follower'!$C$6,SUM(C3959:K3959)&lt;4),1,0)</f>
        <v>#N/A</v>
      </c>
      <c r="T3959" s="4" t="e">
        <f t="shared" si="307"/>
        <v>#N/A</v>
      </c>
      <c r="U3959" s="5" t="e">
        <f t="shared" si="308"/>
        <v>#N/A</v>
      </c>
      <c r="V3959" s="23" t="e">
        <f t="shared" si="309"/>
        <v>#N/A</v>
      </c>
    </row>
    <row r="3960" spans="2:22" x14ac:dyDescent="0.25">
      <c r="B3960" s="16">
        <v>1</v>
      </c>
      <c r="C3960" s="7">
        <v>0</v>
      </c>
      <c r="D3960" s="8">
        <v>1</v>
      </c>
      <c r="E3960" s="8">
        <v>0</v>
      </c>
      <c r="F3960" s="8">
        <v>1</v>
      </c>
      <c r="G3960" s="8">
        <v>1</v>
      </c>
      <c r="H3960" s="8">
        <v>1</v>
      </c>
      <c r="I3960" s="8">
        <v>0</v>
      </c>
      <c r="J3960" s="8">
        <v>1</v>
      </c>
      <c r="K3960" s="9">
        <v>1</v>
      </c>
      <c r="L3960" s="10">
        <v>1</v>
      </c>
      <c r="M3960" s="6">
        <v>1</v>
      </c>
      <c r="N3960" s="37" t="e" cm="1">
        <f t="array" ref="N3960">IF(OR(ISNUMBER(FIND(Aux!$D$3:$D$9,_xlfn.TEXTJOIN(,,C3960:K3960)))),NA(),IF(AND(SUM(C3960:F3960,H3960:K3960)=0,G3960=1),0,INT((SUMPRODUCT(C3960:F3960,COLUMN($A$1:$D$1)-1)+SUMPRODUCT(H3960:K3960,COLUMN($E$1:$H$1)-1))*'Line Follower'!$C$3/SUM(C3960:F3960,H3960:K3960)-'Line Follower'!$C$5)))</f>
        <v>#N/A</v>
      </c>
      <c r="O3960" s="22" t="e">
        <v>#N/A</v>
      </c>
      <c r="P3960" s="4" t="e">
        <f t="shared" si="305"/>
        <v>#N/A</v>
      </c>
      <c r="Q3960" s="4" t="e">
        <f t="shared" si="306"/>
        <v>#N/A</v>
      </c>
      <c r="R3960" s="4" t="e">
        <f>IF(AND(B3960=1,N3960&gt;'Line Follower'!$C$7,SUM(C3960:K3960)&lt;4),1,0)</f>
        <v>#N/A</v>
      </c>
      <c r="S3960" s="4" t="e">
        <f>IF(AND(L3960=1,N3960&lt;'Line Follower'!$C$6,SUM(C3960:K3960)&lt;4),1,0)</f>
        <v>#N/A</v>
      </c>
      <c r="T3960" s="4" t="e">
        <f t="shared" si="307"/>
        <v>#N/A</v>
      </c>
      <c r="U3960" s="5" t="e">
        <f t="shared" si="308"/>
        <v>#N/A</v>
      </c>
      <c r="V3960" s="23" t="e">
        <f t="shared" si="309"/>
        <v>#N/A</v>
      </c>
    </row>
    <row r="3961" spans="2:22" x14ac:dyDescent="0.25">
      <c r="B3961" s="16">
        <v>0</v>
      </c>
      <c r="C3961" s="7">
        <v>1</v>
      </c>
      <c r="D3961" s="8">
        <v>1</v>
      </c>
      <c r="E3961" s="8">
        <v>0</v>
      </c>
      <c r="F3961" s="8">
        <v>1</v>
      </c>
      <c r="G3961" s="8">
        <v>1</v>
      </c>
      <c r="H3961" s="8">
        <v>1</v>
      </c>
      <c r="I3961" s="8">
        <v>0</v>
      </c>
      <c r="J3961" s="8">
        <v>1</v>
      </c>
      <c r="K3961" s="9">
        <v>1</v>
      </c>
      <c r="L3961" s="10">
        <v>1</v>
      </c>
      <c r="M3961" s="6">
        <v>1</v>
      </c>
      <c r="N3961" s="37" t="e" cm="1">
        <f t="array" ref="N3961">IF(OR(ISNUMBER(FIND(Aux!$D$3:$D$9,_xlfn.TEXTJOIN(,,C3961:K3961)))),NA(),IF(AND(SUM(C3961:F3961,H3961:K3961)=0,G3961=1),0,INT((SUMPRODUCT(C3961:F3961,COLUMN($A$1:$D$1)-1)+SUMPRODUCT(H3961:K3961,COLUMN($E$1:$H$1)-1))*'Line Follower'!$C$3/SUM(C3961:F3961,H3961:K3961)-'Line Follower'!$C$5)))</f>
        <v>#N/A</v>
      </c>
      <c r="O3961" s="22" t="e">
        <v>#N/A</v>
      </c>
      <c r="P3961" s="4" t="e">
        <f t="shared" si="305"/>
        <v>#N/A</v>
      </c>
      <c r="Q3961" s="4" t="e">
        <f t="shared" si="306"/>
        <v>#N/A</v>
      </c>
      <c r="R3961" s="4" t="e">
        <f>IF(AND(B3961=1,N3961&gt;'Line Follower'!$C$7,SUM(C3961:K3961)&lt;4),1,0)</f>
        <v>#N/A</v>
      </c>
      <c r="S3961" s="4" t="e">
        <f>IF(AND(L3961=1,N3961&lt;'Line Follower'!$C$6,SUM(C3961:K3961)&lt;4),1,0)</f>
        <v>#N/A</v>
      </c>
      <c r="T3961" s="4" t="e">
        <f t="shared" si="307"/>
        <v>#N/A</v>
      </c>
      <c r="U3961" s="5" t="e">
        <f t="shared" si="308"/>
        <v>#N/A</v>
      </c>
      <c r="V3961" s="23" t="e">
        <f t="shared" si="309"/>
        <v>#N/A</v>
      </c>
    </row>
    <row r="3962" spans="2:22" x14ac:dyDescent="0.25">
      <c r="B3962" s="16">
        <v>1</v>
      </c>
      <c r="C3962" s="7">
        <v>1</v>
      </c>
      <c r="D3962" s="8">
        <v>1</v>
      </c>
      <c r="E3962" s="8">
        <v>0</v>
      </c>
      <c r="F3962" s="8">
        <v>1</v>
      </c>
      <c r="G3962" s="8">
        <v>1</v>
      </c>
      <c r="H3962" s="8">
        <v>1</v>
      </c>
      <c r="I3962" s="8">
        <v>0</v>
      </c>
      <c r="J3962" s="8">
        <v>1</v>
      </c>
      <c r="K3962" s="9">
        <v>1</v>
      </c>
      <c r="L3962" s="10">
        <v>1</v>
      </c>
      <c r="M3962" s="6">
        <v>1</v>
      </c>
      <c r="N3962" s="37" t="e" cm="1">
        <f t="array" ref="N3962">IF(OR(ISNUMBER(FIND(Aux!$D$3:$D$9,_xlfn.TEXTJOIN(,,C3962:K3962)))),NA(),IF(AND(SUM(C3962:F3962,H3962:K3962)=0,G3962=1),0,INT((SUMPRODUCT(C3962:F3962,COLUMN($A$1:$D$1)-1)+SUMPRODUCT(H3962:K3962,COLUMN($E$1:$H$1)-1))*'Line Follower'!$C$3/SUM(C3962:F3962,H3962:K3962)-'Line Follower'!$C$5)))</f>
        <v>#N/A</v>
      </c>
      <c r="O3962" s="22" t="e">
        <v>#N/A</v>
      </c>
      <c r="P3962" s="4" t="e">
        <f t="shared" si="305"/>
        <v>#N/A</v>
      </c>
      <c r="Q3962" s="4" t="e">
        <f t="shared" si="306"/>
        <v>#N/A</v>
      </c>
      <c r="R3962" s="4" t="e">
        <f>IF(AND(B3962=1,N3962&gt;'Line Follower'!$C$7,SUM(C3962:K3962)&lt;4),1,0)</f>
        <v>#N/A</v>
      </c>
      <c r="S3962" s="4" t="e">
        <f>IF(AND(L3962=1,N3962&lt;'Line Follower'!$C$6,SUM(C3962:K3962)&lt;4),1,0)</f>
        <v>#N/A</v>
      </c>
      <c r="T3962" s="4" t="e">
        <f t="shared" si="307"/>
        <v>#N/A</v>
      </c>
      <c r="U3962" s="5" t="e">
        <f t="shared" si="308"/>
        <v>#N/A</v>
      </c>
      <c r="V3962" s="23" t="e">
        <f t="shared" si="309"/>
        <v>#N/A</v>
      </c>
    </row>
    <row r="3963" spans="2:22" x14ac:dyDescent="0.25">
      <c r="B3963" s="16">
        <v>0</v>
      </c>
      <c r="C3963" s="7">
        <v>0</v>
      </c>
      <c r="D3963" s="8">
        <v>0</v>
      </c>
      <c r="E3963" s="8">
        <v>1</v>
      </c>
      <c r="F3963" s="8">
        <v>1</v>
      </c>
      <c r="G3963" s="8">
        <v>1</v>
      </c>
      <c r="H3963" s="8">
        <v>1</v>
      </c>
      <c r="I3963" s="8">
        <v>0</v>
      </c>
      <c r="J3963" s="8">
        <v>1</v>
      </c>
      <c r="K3963" s="9">
        <v>1</v>
      </c>
      <c r="L3963" s="10">
        <v>1</v>
      </c>
      <c r="M3963" s="6">
        <v>1</v>
      </c>
      <c r="N3963" s="37" t="e" cm="1">
        <f t="array" ref="N3963">IF(OR(ISNUMBER(FIND(Aux!$D$3:$D$9,_xlfn.TEXTJOIN(,,C3963:K3963)))),NA(),IF(AND(SUM(C3963:F3963,H3963:K3963)=0,G3963=1),0,INT((SUMPRODUCT(C3963:F3963,COLUMN($A$1:$D$1)-1)+SUMPRODUCT(H3963:K3963,COLUMN($E$1:$H$1)-1))*'Line Follower'!$C$3/SUM(C3963:F3963,H3963:K3963)-'Line Follower'!$C$5)))</f>
        <v>#N/A</v>
      </c>
      <c r="O3963" s="22" t="e">
        <v>#N/A</v>
      </c>
      <c r="P3963" s="4" t="e">
        <f t="shared" si="305"/>
        <v>#N/A</v>
      </c>
      <c r="Q3963" s="4" t="e">
        <f t="shared" si="306"/>
        <v>#N/A</v>
      </c>
      <c r="R3963" s="4" t="e">
        <f>IF(AND(B3963=1,N3963&gt;'Line Follower'!$C$7,SUM(C3963:K3963)&lt;4),1,0)</f>
        <v>#N/A</v>
      </c>
      <c r="S3963" s="4" t="e">
        <f>IF(AND(L3963=1,N3963&lt;'Line Follower'!$C$6,SUM(C3963:K3963)&lt;4),1,0)</f>
        <v>#N/A</v>
      </c>
      <c r="T3963" s="4" t="e">
        <f t="shared" si="307"/>
        <v>#N/A</v>
      </c>
      <c r="U3963" s="5" t="e">
        <f t="shared" si="308"/>
        <v>#N/A</v>
      </c>
      <c r="V3963" s="23" t="e">
        <f t="shared" si="309"/>
        <v>#N/A</v>
      </c>
    </row>
    <row r="3964" spans="2:22" x14ac:dyDescent="0.25">
      <c r="B3964" s="16">
        <v>1</v>
      </c>
      <c r="C3964" s="7">
        <v>0</v>
      </c>
      <c r="D3964" s="8">
        <v>0</v>
      </c>
      <c r="E3964" s="8">
        <v>1</v>
      </c>
      <c r="F3964" s="8">
        <v>1</v>
      </c>
      <c r="G3964" s="8">
        <v>1</v>
      </c>
      <c r="H3964" s="8">
        <v>1</v>
      </c>
      <c r="I3964" s="8">
        <v>0</v>
      </c>
      <c r="J3964" s="8">
        <v>1</v>
      </c>
      <c r="K3964" s="9">
        <v>1</v>
      </c>
      <c r="L3964" s="10">
        <v>1</v>
      </c>
      <c r="M3964" s="6">
        <v>1</v>
      </c>
      <c r="N3964" s="37" t="e" cm="1">
        <f t="array" ref="N3964">IF(OR(ISNUMBER(FIND(Aux!$D$3:$D$9,_xlfn.TEXTJOIN(,,C3964:K3964)))),NA(),IF(AND(SUM(C3964:F3964,H3964:K3964)=0,G3964=1),0,INT((SUMPRODUCT(C3964:F3964,COLUMN($A$1:$D$1)-1)+SUMPRODUCT(H3964:K3964,COLUMN($E$1:$H$1)-1))*'Line Follower'!$C$3/SUM(C3964:F3964,H3964:K3964)-'Line Follower'!$C$5)))</f>
        <v>#N/A</v>
      </c>
      <c r="O3964" s="22" t="e">
        <v>#N/A</v>
      </c>
      <c r="P3964" s="4" t="e">
        <f t="shared" si="305"/>
        <v>#N/A</v>
      </c>
      <c r="Q3964" s="4" t="e">
        <f t="shared" si="306"/>
        <v>#N/A</v>
      </c>
      <c r="R3964" s="4" t="e">
        <f>IF(AND(B3964=1,N3964&gt;'Line Follower'!$C$7,SUM(C3964:K3964)&lt;4),1,0)</f>
        <v>#N/A</v>
      </c>
      <c r="S3964" s="4" t="e">
        <f>IF(AND(L3964=1,N3964&lt;'Line Follower'!$C$6,SUM(C3964:K3964)&lt;4),1,0)</f>
        <v>#N/A</v>
      </c>
      <c r="T3964" s="4" t="e">
        <f t="shared" si="307"/>
        <v>#N/A</v>
      </c>
      <c r="U3964" s="5" t="e">
        <f t="shared" si="308"/>
        <v>#N/A</v>
      </c>
      <c r="V3964" s="23" t="e">
        <f t="shared" si="309"/>
        <v>#N/A</v>
      </c>
    </row>
    <row r="3965" spans="2:22" x14ac:dyDescent="0.25">
      <c r="B3965" s="16">
        <v>0</v>
      </c>
      <c r="C3965" s="7">
        <v>1</v>
      </c>
      <c r="D3965" s="8">
        <v>0</v>
      </c>
      <c r="E3965" s="8">
        <v>1</v>
      </c>
      <c r="F3965" s="8">
        <v>1</v>
      </c>
      <c r="G3965" s="8">
        <v>1</v>
      </c>
      <c r="H3965" s="8">
        <v>1</v>
      </c>
      <c r="I3965" s="8">
        <v>0</v>
      </c>
      <c r="J3965" s="8">
        <v>1</v>
      </c>
      <c r="K3965" s="9">
        <v>1</v>
      </c>
      <c r="L3965" s="10">
        <v>1</v>
      </c>
      <c r="M3965" s="6">
        <v>1</v>
      </c>
      <c r="N3965" s="37" t="e" cm="1">
        <f t="array" ref="N3965">IF(OR(ISNUMBER(FIND(Aux!$D$3:$D$9,_xlfn.TEXTJOIN(,,C3965:K3965)))),NA(),IF(AND(SUM(C3965:F3965,H3965:K3965)=0,G3965=1),0,INT((SUMPRODUCT(C3965:F3965,COLUMN($A$1:$D$1)-1)+SUMPRODUCT(H3965:K3965,COLUMN($E$1:$H$1)-1))*'Line Follower'!$C$3/SUM(C3965:F3965,H3965:K3965)-'Line Follower'!$C$5)))</f>
        <v>#N/A</v>
      </c>
      <c r="O3965" s="22" t="e">
        <v>#N/A</v>
      </c>
      <c r="P3965" s="4" t="e">
        <f t="shared" si="305"/>
        <v>#N/A</v>
      </c>
      <c r="Q3965" s="4" t="e">
        <f t="shared" si="306"/>
        <v>#N/A</v>
      </c>
      <c r="R3965" s="4" t="e">
        <f>IF(AND(B3965=1,N3965&gt;'Line Follower'!$C$7,SUM(C3965:K3965)&lt;4),1,0)</f>
        <v>#N/A</v>
      </c>
      <c r="S3965" s="4" t="e">
        <f>IF(AND(L3965=1,N3965&lt;'Line Follower'!$C$6,SUM(C3965:K3965)&lt;4),1,0)</f>
        <v>#N/A</v>
      </c>
      <c r="T3965" s="4" t="e">
        <f t="shared" si="307"/>
        <v>#N/A</v>
      </c>
      <c r="U3965" s="5" t="e">
        <f t="shared" si="308"/>
        <v>#N/A</v>
      </c>
      <c r="V3965" s="23" t="e">
        <f t="shared" si="309"/>
        <v>#N/A</v>
      </c>
    </row>
    <row r="3966" spans="2:22" x14ac:dyDescent="0.25">
      <c r="B3966" s="16">
        <v>1</v>
      </c>
      <c r="C3966" s="7">
        <v>1</v>
      </c>
      <c r="D3966" s="8">
        <v>0</v>
      </c>
      <c r="E3966" s="8">
        <v>1</v>
      </c>
      <c r="F3966" s="8">
        <v>1</v>
      </c>
      <c r="G3966" s="8">
        <v>1</v>
      </c>
      <c r="H3966" s="8">
        <v>1</v>
      </c>
      <c r="I3966" s="8">
        <v>0</v>
      </c>
      <c r="J3966" s="8">
        <v>1</v>
      </c>
      <c r="K3966" s="9">
        <v>1</v>
      </c>
      <c r="L3966" s="10">
        <v>1</v>
      </c>
      <c r="M3966" s="6">
        <v>1</v>
      </c>
      <c r="N3966" s="37" t="e" cm="1">
        <f t="array" ref="N3966">IF(OR(ISNUMBER(FIND(Aux!$D$3:$D$9,_xlfn.TEXTJOIN(,,C3966:K3966)))),NA(),IF(AND(SUM(C3966:F3966,H3966:K3966)=0,G3966=1),0,INT((SUMPRODUCT(C3966:F3966,COLUMN($A$1:$D$1)-1)+SUMPRODUCT(H3966:K3966,COLUMN($E$1:$H$1)-1))*'Line Follower'!$C$3/SUM(C3966:F3966,H3966:K3966)-'Line Follower'!$C$5)))</f>
        <v>#N/A</v>
      </c>
      <c r="O3966" s="22" t="e">
        <v>#N/A</v>
      </c>
      <c r="P3966" s="4" t="e">
        <f t="shared" si="305"/>
        <v>#N/A</v>
      </c>
      <c r="Q3966" s="4" t="e">
        <f t="shared" si="306"/>
        <v>#N/A</v>
      </c>
      <c r="R3966" s="4" t="e">
        <f>IF(AND(B3966=1,N3966&gt;'Line Follower'!$C$7,SUM(C3966:K3966)&lt;4),1,0)</f>
        <v>#N/A</v>
      </c>
      <c r="S3966" s="4" t="e">
        <f>IF(AND(L3966=1,N3966&lt;'Line Follower'!$C$6,SUM(C3966:K3966)&lt;4),1,0)</f>
        <v>#N/A</v>
      </c>
      <c r="T3966" s="4" t="e">
        <f t="shared" si="307"/>
        <v>#N/A</v>
      </c>
      <c r="U3966" s="5" t="e">
        <f t="shared" si="308"/>
        <v>#N/A</v>
      </c>
      <c r="V3966" s="23" t="e">
        <f t="shared" si="309"/>
        <v>#N/A</v>
      </c>
    </row>
    <row r="3967" spans="2:22" x14ac:dyDescent="0.25">
      <c r="B3967" s="16">
        <v>0</v>
      </c>
      <c r="C3967" s="7">
        <v>0</v>
      </c>
      <c r="D3967" s="8">
        <v>1</v>
      </c>
      <c r="E3967" s="8">
        <v>1</v>
      </c>
      <c r="F3967" s="8">
        <v>1</v>
      </c>
      <c r="G3967" s="8">
        <v>1</v>
      </c>
      <c r="H3967" s="8">
        <v>1</v>
      </c>
      <c r="I3967" s="8">
        <v>0</v>
      </c>
      <c r="J3967" s="8">
        <v>1</v>
      </c>
      <c r="K3967" s="9">
        <v>1</v>
      </c>
      <c r="L3967" s="10">
        <v>1</v>
      </c>
      <c r="M3967" s="6">
        <v>1</v>
      </c>
      <c r="N3967" s="37" t="e" cm="1">
        <f t="array" ref="N3967">IF(OR(ISNUMBER(FIND(Aux!$D$3:$D$9,_xlfn.TEXTJOIN(,,C3967:K3967)))),NA(),IF(AND(SUM(C3967:F3967,H3967:K3967)=0,G3967=1),0,INT((SUMPRODUCT(C3967:F3967,COLUMN($A$1:$D$1)-1)+SUMPRODUCT(H3967:K3967,COLUMN($E$1:$H$1)-1))*'Line Follower'!$C$3/SUM(C3967:F3967,H3967:K3967)-'Line Follower'!$C$5)))</f>
        <v>#N/A</v>
      </c>
      <c r="O3967" s="22" t="e">
        <v>#N/A</v>
      </c>
      <c r="P3967" s="4" t="e">
        <f t="shared" si="305"/>
        <v>#N/A</v>
      </c>
      <c r="Q3967" s="4" t="e">
        <f t="shared" si="306"/>
        <v>#N/A</v>
      </c>
      <c r="R3967" s="4" t="e">
        <f>IF(AND(B3967=1,N3967&gt;'Line Follower'!$C$7,SUM(C3967:K3967)&lt;4),1,0)</f>
        <v>#N/A</v>
      </c>
      <c r="S3967" s="4" t="e">
        <f>IF(AND(L3967=1,N3967&lt;'Line Follower'!$C$6,SUM(C3967:K3967)&lt;4),1,0)</f>
        <v>#N/A</v>
      </c>
      <c r="T3967" s="4" t="e">
        <f t="shared" si="307"/>
        <v>#N/A</v>
      </c>
      <c r="U3967" s="5" t="e">
        <f t="shared" si="308"/>
        <v>#N/A</v>
      </c>
      <c r="V3967" s="23" t="e">
        <f t="shared" si="309"/>
        <v>#N/A</v>
      </c>
    </row>
    <row r="3968" spans="2:22" x14ac:dyDescent="0.25">
      <c r="B3968" s="16">
        <v>1</v>
      </c>
      <c r="C3968" s="7">
        <v>0</v>
      </c>
      <c r="D3968" s="8">
        <v>1</v>
      </c>
      <c r="E3968" s="8">
        <v>1</v>
      </c>
      <c r="F3968" s="8">
        <v>1</v>
      </c>
      <c r="G3968" s="8">
        <v>1</v>
      </c>
      <c r="H3968" s="8">
        <v>1</v>
      </c>
      <c r="I3968" s="8">
        <v>0</v>
      </c>
      <c r="J3968" s="8">
        <v>1</v>
      </c>
      <c r="K3968" s="9">
        <v>1</v>
      </c>
      <c r="L3968" s="10">
        <v>1</v>
      </c>
      <c r="M3968" s="6">
        <v>1</v>
      </c>
      <c r="N3968" s="37" t="e" cm="1">
        <f t="array" ref="N3968">IF(OR(ISNUMBER(FIND(Aux!$D$3:$D$9,_xlfn.TEXTJOIN(,,C3968:K3968)))),NA(),IF(AND(SUM(C3968:F3968,H3968:K3968)=0,G3968=1),0,INT((SUMPRODUCT(C3968:F3968,COLUMN($A$1:$D$1)-1)+SUMPRODUCT(H3968:K3968,COLUMN($E$1:$H$1)-1))*'Line Follower'!$C$3/SUM(C3968:F3968,H3968:K3968)-'Line Follower'!$C$5)))</f>
        <v>#N/A</v>
      </c>
      <c r="O3968" s="22" t="e">
        <v>#N/A</v>
      </c>
      <c r="P3968" s="4" t="e">
        <f t="shared" si="305"/>
        <v>#N/A</v>
      </c>
      <c r="Q3968" s="4" t="e">
        <f t="shared" si="306"/>
        <v>#N/A</v>
      </c>
      <c r="R3968" s="4" t="e">
        <f>IF(AND(B3968=1,N3968&gt;'Line Follower'!$C$7,SUM(C3968:K3968)&lt;4),1,0)</f>
        <v>#N/A</v>
      </c>
      <c r="S3968" s="4" t="e">
        <f>IF(AND(L3968=1,N3968&lt;'Line Follower'!$C$6,SUM(C3968:K3968)&lt;4),1,0)</f>
        <v>#N/A</v>
      </c>
      <c r="T3968" s="4" t="e">
        <f t="shared" si="307"/>
        <v>#N/A</v>
      </c>
      <c r="U3968" s="5" t="e">
        <f t="shared" si="308"/>
        <v>#N/A</v>
      </c>
      <c r="V3968" s="23" t="e">
        <f t="shared" si="309"/>
        <v>#N/A</v>
      </c>
    </row>
    <row r="3969" spans="2:22" x14ac:dyDescent="0.25">
      <c r="B3969" s="16">
        <v>0</v>
      </c>
      <c r="C3969" s="7">
        <v>1</v>
      </c>
      <c r="D3969" s="8">
        <v>1</v>
      </c>
      <c r="E3969" s="8">
        <v>1</v>
      </c>
      <c r="F3969" s="8">
        <v>1</v>
      </c>
      <c r="G3969" s="8">
        <v>1</v>
      </c>
      <c r="H3969" s="8">
        <v>1</v>
      </c>
      <c r="I3969" s="8">
        <v>0</v>
      </c>
      <c r="J3969" s="8">
        <v>1</v>
      </c>
      <c r="K3969" s="9">
        <v>1</v>
      </c>
      <c r="L3969" s="10">
        <v>1</v>
      </c>
      <c r="M3969" s="6">
        <v>1</v>
      </c>
      <c r="N3969" s="37" t="e" cm="1">
        <f t="array" ref="N3969">IF(OR(ISNUMBER(FIND(Aux!$D$3:$D$9,_xlfn.TEXTJOIN(,,C3969:K3969)))),NA(),IF(AND(SUM(C3969:F3969,H3969:K3969)=0,G3969=1),0,INT((SUMPRODUCT(C3969:F3969,COLUMN($A$1:$D$1)-1)+SUMPRODUCT(H3969:K3969,COLUMN($E$1:$H$1)-1))*'Line Follower'!$C$3/SUM(C3969:F3969,H3969:K3969)-'Line Follower'!$C$5)))</f>
        <v>#N/A</v>
      </c>
      <c r="O3969" s="22" t="e">
        <v>#N/A</v>
      </c>
      <c r="P3969" s="4" t="e">
        <f t="shared" si="305"/>
        <v>#N/A</v>
      </c>
      <c r="Q3969" s="4" t="e">
        <f t="shared" si="306"/>
        <v>#N/A</v>
      </c>
      <c r="R3969" s="4" t="e">
        <f>IF(AND(B3969=1,N3969&gt;'Line Follower'!$C$7,SUM(C3969:K3969)&lt;4),1,0)</f>
        <v>#N/A</v>
      </c>
      <c r="S3969" s="4" t="e">
        <f>IF(AND(L3969=1,N3969&lt;'Line Follower'!$C$6,SUM(C3969:K3969)&lt;4),1,0)</f>
        <v>#N/A</v>
      </c>
      <c r="T3969" s="4" t="e">
        <f t="shared" si="307"/>
        <v>#N/A</v>
      </c>
      <c r="U3969" s="5" t="e">
        <f t="shared" si="308"/>
        <v>#N/A</v>
      </c>
      <c r="V3969" s="23" t="e">
        <f t="shared" si="309"/>
        <v>#N/A</v>
      </c>
    </row>
    <row r="3970" spans="2:22" x14ac:dyDescent="0.25">
      <c r="B3970" s="16">
        <v>1</v>
      </c>
      <c r="C3970" s="7">
        <v>1</v>
      </c>
      <c r="D3970" s="8">
        <v>1</v>
      </c>
      <c r="E3970" s="8">
        <v>1</v>
      </c>
      <c r="F3970" s="8">
        <v>1</v>
      </c>
      <c r="G3970" s="8">
        <v>1</v>
      </c>
      <c r="H3970" s="8">
        <v>1</v>
      </c>
      <c r="I3970" s="8">
        <v>0</v>
      </c>
      <c r="J3970" s="8">
        <v>1</v>
      </c>
      <c r="K3970" s="9">
        <v>1</v>
      </c>
      <c r="L3970" s="10">
        <v>1</v>
      </c>
      <c r="M3970" s="6">
        <v>1</v>
      </c>
      <c r="N3970" s="37" t="e" cm="1">
        <f t="array" ref="N3970">IF(OR(ISNUMBER(FIND(Aux!$D$3:$D$9,_xlfn.TEXTJOIN(,,C3970:K3970)))),NA(),IF(AND(SUM(C3970:F3970,H3970:K3970)=0,G3970=1),0,INT((SUMPRODUCT(C3970:F3970,COLUMN($A$1:$D$1)-1)+SUMPRODUCT(H3970:K3970,COLUMN($E$1:$H$1)-1))*'Line Follower'!$C$3/SUM(C3970:F3970,H3970:K3970)-'Line Follower'!$C$5)))</f>
        <v>#N/A</v>
      </c>
      <c r="O3970" s="22" t="e">
        <v>#N/A</v>
      </c>
      <c r="P3970" s="4" t="e">
        <f t="shared" si="305"/>
        <v>#N/A</v>
      </c>
      <c r="Q3970" s="4" t="e">
        <f t="shared" si="306"/>
        <v>#N/A</v>
      </c>
      <c r="R3970" s="4" t="e">
        <f>IF(AND(B3970=1,N3970&gt;'Line Follower'!$C$7,SUM(C3970:K3970)&lt;4),1,0)</f>
        <v>#N/A</v>
      </c>
      <c r="S3970" s="4" t="e">
        <f>IF(AND(L3970=1,N3970&lt;'Line Follower'!$C$6,SUM(C3970:K3970)&lt;4),1,0)</f>
        <v>#N/A</v>
      </c>
      <c r="T3970" s="4" t="e">
        <f t="shared" si="307"/>
        <v>#N/A</v>
      </c>
      <c r="U3970" s="5" t="e">
        <f t="shared" si="308"/>
        <v>#N/A</v>
      </c>
      <c r="V3970" s="23" t="e">
        <f t="shared" si="309"/>
        <v>#N/A</v>
      </c>
    </row>
    <row r="3971" spans="2:22" x14ac:dyDescent="0.25">
      <c r="B3971" s="16">
        <v>0</v>
      </c>
      <c r="C3971" s="7">
        <v>0</v>
      </c>
      <c r="D3971" s="8">
        <v>0</v>
      </c>
      <c r="E3971" s="8">
        <v>0</v>
      </c>
      <c r="F3971" s="8">
        <v>0</v>
      </c>
      <c r="G3971" s="8">
        <v>0</v>
      </c>
      <c r="H3971" s="8">
        <v>0</v>
      </c>
      <c r="I3971" s="8">
        <v>1</v>
      </c>
      <c r="J3971" s="8">
        <v>1</v>
      </c>
      <c r="K3971" s="9">
        <v>1</v>
      </c>
      <c r="L3971" s="10">
        <v>1</v>
      </c>
      <c r="M3971" s="6">
        <v>1</v>
      </c>
      <c r="N3971" s="37" cm="1">
        <f t="array" ref="N3971">IF(OR(ISNUMBER(FIND(Aux!$D$3:$D$9,_xlfn.TEXTJOIN(,,C3971:K3971)))),NA(),IF(AND(SUM(C3971:F3971,H3971:K3971)=0,G3971=1),0,INT((SUMPRODUCT(C3971:F3971,COLUMN($A$1:$D$1)-1)+SUMPRODUCT(H3971:K3971,COLUMN($E$1:$H$1)-1))*'Line Follower'!$C$3/SUM(C3971:F3971,H3971:K3971)-'Line Follower'!$C$5)))</f>
        <v>5</v>
      </c>
      <c r="O3971" s="22">
        <v>1</v>
      </c>
      <c r="P3971" s="4">
        <f t="shared" ref="P3971:P4034" si="310">IF(AND(N3971=0,G3971=1,M3971=1),1,0)</f>
        <v>0</v>
      </c>
      <c r="Q3971" s="4">
        <f t="shared" ref="Q3971:Q4034" si="311">IF(ISERROR(N3971),N3971,IF(SUM(C3971:K3971)&gt;=4,1,0))</f>
        <v>0</v>
      </c>
      <c r="R3971" s="4">
        <f>IF(AND(B3971=1,N3971&gt;'Line Follower'!$C$7,SUM(C3971:K3971)&lt;4),1,0)</f>
        <v>0</v>
      </c>
      <c r="S3971" s="4">
        <f>IF(AND(L3971=1,N3971&lt;'Line Follower'!$C$6,SUM(C3971:K3971)&lt;4),1,0)</f>
        <v>1</v>
      </c>
      <c r="T3971" s="4">
        <f t="shared" si="307"/>
        <v>0</v>
      </c>
      <c r="U3971" s="5">
        <f t="shared" si="308"/>
        <v>0</v>
      </c>
      <c r="V3971" s="23">
        <f t="shared" si="309"/>
        <v>0</v>
      </c>
    </row>
    <row r="3972" spans="2:22" x14ac:dyDescent="0.25">
      <c r="B3972" s="16">
        <v>1</v>
      </c>
      <c r="C3972" s="7">
        <v>0</v>
      </c>
      <c r="D3972" s="8">
        <v>0</v>
      </c>
      <c r="E3972" s="8">
        <v>0</v>
      </c>
      <c r="F3972" s="8">
        <v>0</v>
      </c>
      <c r="G3972" s="8">
        <v>0</v>
      </c>
      <c r="H3972" s="8">
        <v>0</v>
      </c>
      <c r="I3972" s="8">
        <v>1</v>
      </c>
      <c r="J3972" s="8">
        <v>1</v>
      </c>
      <c r="K3972" s="9">
        <v>1</v>
      </c>
      <c r="L3972" s="10">
        <v>1</v>
      </c>
      <c r="M3972" s="6">
        <v>1</v>
      </c>
      <c r="N3972" s="37" cm="1">
        <f t="array" ref="N3972">IF(OR(ISNUMBER(FIND(Aux!$D$3:$D$9,_xlfn.TEXTJOIN(,,C3972:K3972)))),NA(),IF(AND(SUM(C3972:F3972,H3972:K3972)=0,G3972=1),0,INT((SUMPRODUCT(C3972:F3972,COLUMN($A$1:$D$1)-1)+SUMPRODUCT(H3972:K3972,COLUMN($E$1:$H$1)-1))*'Line Follower'!$C$3/SUM(C3972:F3972,H3972:K3972)-'Line Follower'!$C$5)))</f>
        <v>5</v>
      </c>
      <c r="O3972" s="22">
        <v>1</v>
      </c>
      <c r="P3972" s="4">
        <f t="shared" si="310"/>
        <v>0</v>
      </c>
      <c r="Q3972" s="4">
        <f t="shared" si="311"/>
        <v>0</v>
      </c>
      <c r="R3972" s="4">
        <f>IF(AND(B3972=1,N3972&gt;'Line Follower'!$C$7,SUM(C3972:K3972)&lt;4),1,0)</f>
        <v>1</v>
      </c>
      <c r="S3972" s="4">
        <f>IF(AND(L3972=1,N3972&lt;'Line Follower'!$C$6,SUM(C3972:K3972)&lt;4),1,0)</f>
        <v>1</v>
      </c>
      <c r="T3972" s="4">
        <f t="shared" ref="T3972:T4035" si="312">IF(ISNA(N3972),NA(),IF(SUM(C3972:L3972)=0,1,0))</f>
        <v>0</v>
      </c>
      <c r="U3972" s="5">
        <f t="shared" ref="U3972:U4035" si="313">IF(ISNA(N3972),NA(),IF(SUM(B3972:K3972)=0,1,0))</f>
        <v>0</v>
      </c>
      <c r="V3972" s="23">
        <f t="shared" ref="V3972:V4035" si="314">IF(ISNA(N3972),NA(),IF(SUM(B3972:L3972)=0,1,0))</f>
        <v>0</v>
      </c>
    </row>
    <row r="3973" spans="2:22" x14ac:dyDescent="0.25">
      <c r="B3973" s="16">
        <v>0</v>
      </c>
      <c r="C3973" s="7">
        <v>1</v>
      </c>
      <c r="D3973" s="8">
        <v>0</v>
      </c>
      <c r="E3973" s="8">
        <v>0</v>
      </c>
      <c r="F3973" s="8">
        <v>0</v>
      </c>
      <c r="G3973" s="8">
        <v>0</v>
      </c>
      <c r="H3973" s="8">
        <v>0</v>
      </c>
      <c r="I3973" s="8">
        <v>1</v>
      </c>
      <c r="J3973" s="8">
        <v>1</v>
      </c>
      <c r="K3973" s="9">
        <v>1</v>
      </c>
      <c r="L3973" s="10">
        <v>1</v>
      </c>
      <c r="M3973" s="6">
        <v>1</v>
      </c>
      <c r="N3973" s="37" t="e" cm="1">
        <f t="array" ref="N3973">IF(OR(ISNUMBER(FIND(Aux!$D$3:$D$9,_xlfn.TEXTJOIN(,,C3973:K3973)))),NA(),IF(AND(SUM(C3973:F3973,H3973:K3973)=0,G3973=1),0,INT((SUMPRODUCT(C3973:F3973,COLUMN($A$1:$D$1)-1)+SUMPRODUCT(H3973:K3973,COLUMN($E$1:$H$1)-1))*'Line Follower'!$C$3/SUM(C3973:F3973,H3973:K3973)-'Line Follower'!$C$5)))</f>
        <v>#N/A</v>
      </c>
      <c r="O3973" s="22" t="e">
        <v>#N/A</v>
      </c>
      <c r="P3973" s="4" t="e">
        <f t="shared" si="310"/>
        <v>#N/A</v>
      </c>
      <c r="Q3973" s="4" t="e">
        <f t="shared" si="311"/>
        <v>#N/A</v>
      </c>
      <c r="R3973" s="4" t="e">
        <f>IF(AND(B3973=1,N3973&gt;'Line Follower'!$C$7,SUM(C3973:K3973)&lt;4),1,0)</f>
        <v>#N/A</v>
      </c>
      <c r="S3973" s="4" t="e">
        <f>IF(AND(L3973=1,N3973&lt;'Line Follower'!$C$6,SUM(C3973:K3973)&lt;4),1,0)</f>
        <v>#N/A</v>
      </c>
      <c r="T3973" s="4" t="e">
        <f t="shared" si="312"/>
        <v>#N/A</v>
      </c>
      <c r="U3973" s="5" t="e">
        <f t="shared" si="313"/>
        <v>#N/A</v>
      </c>
      <c r="V3973" s="23" t="e">
        <f t="shared" si="314"/>
        <v>#N/A</v>
      </c>
    </row>
    <row r="3974" spans="2:22" x14ac:dyDescent="0.25">
      <c r="B3974" s="16">
        <v>1</v>
      </c>
      <c r="C3974" s="7">
        <v>1</v>
      </c>
      <c r="D3974" s="8">
        <v>0</v>
      </c>
      <c r="E3974" s="8">
        <v>0</v>
      </c>
      <c r="F3974" s="8">
        <v>0</v>
      </c>
      <c r="G3974" s="8">
        <v>0</v>
      </c>
      <c r="H3974" s="8">
        <v>0</v>
      </c>
      <c r="I3974" s="8">
        <v>1</v>
      </c>
      <c r="J3974" s="8">
        <v>1</v>
      </c>
      <c r="K3974" s="9">
        <v>1</v>
      </c>
      <c r="L3974" s="10">
        <v>1</v>
      </c>
      <c r="M3974" s="6">
        <v>1</v>
      </c>
      <c r="N3974" s="37" t="e" cm="1">
        <f t="array" ref="N3974">IF(OR(ISNUMBER(FIND(Aux!$D$3:$D$9,_xlfn.TEXTJOIN(,,C3974:K3974)))),NA(),IF(AND(SUM(C3974:F3974,H3974:K3974)=0,G3974=1),0,INT((SUMPRODUCT(C3974:F3974,COLUMN($A$1:$D$1)-1)+SUMPRODUCT(H3974:K3974,COLUMN($E$1:$H$1)-1))*'Line Follower'!$C$3/SUM(C3974:F3974,H3974:K3974)-'Line Follower'!$C$5)))</f>
        <v>#N/A</v>
      </c>
      <c r="O3974" s="22" t="e">
        <v>#N/A</v>
      </c>
      <c r="P3974" s="4" t="e">
        <f t="shared" si="310"/>
        <v>#N/A</v>
      </c>
      <c r="Q3974" s="4" t="e">
        <f t="shared" si="311"/>
        <v>#N/A</v>
      </c>
      <c r="R3974" s="4" t="e">
        <f>IF(AND(B3974=1,N3974&gt;'Line Follower'!$C$7,SUM(C3974:K3974)&lt;4),1,0)</f>
        <v>#N/A</v>
      </c>
      <c r="S3974" s="4" t="e">
        <f>IF(AND(L3974=1,N3974&lt;'Line Follower'!$C$6,SUM(C3974:K3974)&lt;4),1,0)</f>
        <v>#N/A</v>
      </c>
      <c r="T3974" s="4" t="e">
        <f t="shared" si="312"/>
        <v>#N/A</v>
      </c>
      <c r="U3974" s="5" t="e">
        <f t="shared" si="313"/>
        <v>#N/A</v>
      </c>
      <c r="V3974" s="23" t="e">
        <f t="shared" si="314"/>
        <v>#N/A</v>
      </c>
    </row>
    <row r="3975" spans="2:22" x14ac:dyDescent="0.25">
      <c r="B3975" s="16">
        <v>0</v>
      </c>
      <c r="C3975" s="7">
        <v>0</v>
      </c>
      <c r="D3975" s="8">
        <v>1</v>
      </c>
      <c r="E3975" s="8">
        <v>0</v>
      </c>
      <c r="F3975" s="8">
        <v>0</v>
      </c>
      <c r="G3975" s="8">
        <v>0</v>
      </c>
      <c r="H3975" s="8">
        <v>0</v>
      </c>
      <c r="I3975" s="8">
        <v>1</v>
      </c>
      <c r="J3975" s="8">
        <v>1</v>
      </c>
      <c r="K3975" s="9">
        <v>1</v>
      </c>
      <c r="L3975" s="10">
        <v>1</v>
      </c>
      <c r="M3975" s="6">
        <v>1</v>
      </c>
      <c r="N3975" s="37" t="e" cm="1">
        <f t="array" ref="N3975">IF(OR(ISNUMBER(FIND(Aux!$D$3:$D$9,_xlfn.TEXTJOIN(,,C3975:K3975)))),NA(),IF(AND(SUM(C3975:F3975,H3975:K3975)=0,G3975=1),0,INT((SUMPRODUCT(C3975:F3975,COLUMN($A$1:$D$1)-1)+SUMPRODUCT(H3975:K3975,COLUMN($E$1:$H$1)-1))*'Line Follower'!$C$3/SUM(C3975:F3975,H3975:K3975)-'Line Follower'!$C$5)))</f>
        <v>#N/A</v>
      </c>
      <c r="O3975" s="22" t="e">
        <v>#N/A</v>
      </c>
      <c r="P3975" s="4" t="e">
        <f t="shared" si="310"/>
        <v>#N/A</v>
      </c>
      <c r="Q3975" s="4" t="e">
        <f t="shared" si="311"/>
        <v>#N/A</v>
      </c>
      <c r="R3975" s="4" t="e">
        <f>IF(AND(B3975=1,N3975&gt;'Line Follower'!$C$7,SUM(C3975:K3975)&lt;4),1,0)</f>
        <v>#N/A</v>
      </c>
      <c r="S3975" s="4" t="e">
        <f>IF(AND(L3975=1,N3975&lt;'Line Follower'!$C$6,SUM(C3975:K3975)&lt;4),1,0)</f>
        <v>#N/A</v>
      </c>
      <c r="T3975" s="4" t="e">
        <f t="shared" si="312"/>
        <v>#N/A</v>
      </c>
      <c r="U3975" s="5" t="e">
        <f t="shared" si="313"/>
        <v>#N/A</v>
      </c>
      <c r="V3975" s="23" t="e">
        <f t="shared" si="314"/>
        <v>#N/A</v>
      </c>
    </row>
    <row r="3976" spans="2:22" x14ac:dyDescent="0.25">
      <c r="B3976" s="16">
        <v>1</v>
      </c>
      <c r="C3976" s="7">
        <v>0</v>
      </c>
      <c r="D3976" s="8">
        <v>1</v>
      </c>
      <c r="E3976" s="8">
        <v>0</v>
      </c>
      <c r="F3976" s="8">
        <v>0</v>
      </c>
      <c r="G3976" s="8">
        <v>0</v>
      </c>
      <c r="H3976" s="8">
        <v>0</v>
      </c>
      <c r="I3976" s="8">
        <v>1</v>
      </c>
      <c r="J3976" s="8">
        <v>1</v>
      </c>
      <c r="K3976" s="9">
        <v>1</v>
      </c>
      <c r="L3976" s="10">
        <v>1</v>
      </c>
      <c r="M3976" s="6">
        <v>1</v>
      </c>
      <c r="N3976" s="37" t="e" cm="1">
        <f t="array" ref="N3976">IF(OR(ISNUMBER(FIND(Aux!$D$3:$D$9,_xlfn.TEXTJOIN(,,C3976:K3976)))),NA(),IF(AND(SUM(C3976:F3976,H3976:K3976)=0,G3976=1),0,INT((SUMPRODUCT(C3976:F3976,COLUMN($A$1:$D$1)-1)+SUMPRODUCT(H3976:K3976,COLUMN($E$1:$H$1)-1))*'Line Follower'!$C$3/SUM(C3976:F3976,H3976:K3976)-'Line Follower'!$C$5)))</f>
        <v>#N/A</v>
      </c>
      <c r="O3976" s="22" t="e">
        <v>#N/A</v>
      </c>
      <c r="P3976" s="4" t="e">
        <f t="shared" si="310"/>
        <v>#N/A</v>
      </c>
      <c r="Q3976" s="4" t="e">
        <f t="shared" si="311"/>
        <v>#N/A</v>
      </c>
      <c r="R3976" s="4" t="e">
        <f>IF(AND(B3976=1,N3976&gt;'Line Follower'!$C$7,SUM(C3976:K3976)&lt;4),1,0)</f>
        <v>#N/A</v>
      </c>
      <c r="S3976" s="4" t="e">
        <f>IF(AND(L3976=1,N3976&lt;'Line Follower'!$C$6,SUM(C3976:K3976)&lt;4),1,0)</f>
        <v>#N/A</v>
      </c>
      <c r="T3976" s="4" t="e">
        <f t="shared" si="312"/>
        <v>#N/A</v>
      </c>
      <c r="U3976" s="5" t="e">
        <f t="shared" si="313"/>
        <v>#N/A</v>
      </c>
      <c r="V3976" s="23" t="e">
        <f t="shared" si="314"/>
        <v>#N/A</v>
      </c>
    </row>
    <row r="3977" spans="2:22" x14ac:dyDescent="0.25">
      <c r="B3977" s="16">
        <v>0</v>
      </c>
      <c r="C3977" s="7">
        <v>1</v>
      </c>
      <c r="D3977" s="8">
        <v>1</v>
      </c>
      <c r="E3977" s="8">
        <v>0</v>
      </c>
      <c r="F3977" s="8">
        <v>0</v>
      </c>
      <c r="G3977" s="8">
        <v>0</v>
      </c>
      <c r="H3977" s="8">
        <v>0</v>
      </c>
      <c r="I3977" s="8">
        <v>1</v>
      </c>
      <c r="J3977" s="8">
        <v>1</v>
      </c>
      <c r="K3977" s="9">
        <v>1</v>
      </c>
      <c r="L3977" s="10">
        <v>1</v>
      </c>
      <c r="M3977" s="6">
        <v>1</v>
      </c>
      <c r="N3977" s="37" t="e" cm="1">
        <f t="array" ref="N3977">IF(OR(ISNUMBER(FIND(Aux!$D$3:$D$9,_xlfn.TEXTJOIN(,,C3977:K3977)))),NA(),IF(AND(SUM(C3977:F3977,H3977:K3977)=0,G3977=1),0,INT((SUMPRODUCT(C3977:F3977,COLUMN($A$1:$D$1)-1)+SUMPRODUCT(H3977:K3977,COLUMN($E$1:$H$1)-1))*'Line Follower'!$C$3/SUM(C3977:F3977,H3977:K3977)-'Line Follower'!$C$5)))</f>
        <v>#N/A</v>
      </c>
      <c r="O3977" s="22" t="e">
        <v>#N/A</v>
      </c>
      <c r="P3977" s="4" t="e">
        <f t="shared" si="310"/>
        <v>#N/A</v>
      </c>
      <c r="Q3977" s="4" t="e">
        <f t="shared" si="311"/>
        <v>#N/A</v>
      </c>
      <c r="R3977" s="4" t="e">
        <f>IF(AND(B3977=1,N3977&gt;'Line Follower'!$C$7,SUM(C3977:K3977)&lt;4),1,0)</f>
        <v>#N/A</v>
      </c>
      <c r="S3977" s="4" t="e">
        <f>IF(AND(L3977=1,N3977&lt;'Line Follower'!$C$6,SUM(C3977:K3977)&lt;4),1,0)</f>
        <v>#N/A</v>
      </c>
      <c r="T3977" s="4" t="e">
        <f t="shared" si="312"/>
        <v>#N/A</v>
      </c>
      <c r="U3977" s="5" t="e">
        <f t="shared" si="313"/>
        <v>#N/A</v>
      </c>
      <c r="V3977" s="23" t="e">
        <f t="shared" si="314"/>
        <v>#N/A</v>
      </c>
    </row>
    <row r="3978" spans="2:22" x14ac:dyDescent="0.25">
      <c r="B3978" s="16">
        <v>1</v>
      </c>
      <c r="C3978" s="7">
        <v>1</v>
      </c>
      <c r="D3978" s="8">
        <v>1</v>
      </c>
      <c r="E3978" s="8">
        <v>0</v>
      </c>
      <c r="F3978" s="8">
        <v>0</v>
      </c>
      <c r="G3978" s="8">
        <v>0</v>
      </c>
      <c r="H3978" s="8">
        <v>0</v>
      </c>
      <c r="I3978" s="8">
        <v>1</v>
      </c>
      <c r="J3978" s="8">
        <v>1</v>
      </c>
      <c r="K3978" s="9">
        <v>1</v>
      </c>
      <c r="L3978" s="10">
        <v>1</v>
      </c>
      <c r="M3978" s="6">
        <v>1</v>
      </c>
      <c r="N3978" s="37" t="e" cm="1">
        <f t="array" ref="N3978">IF(OR(ISNUMBER(FIND(Aux!$D$3:$D$9,_xlfn.TEXTJOIN(,,C3978:K3978)))),NA(),IF(AND(SUM(C3978:F3978,H3978:K3978)=0,G3978=1),0,INT((SUMPRODUCT(C3978:F3978,COLUMN($A$1:$D$1)-1)+SUMPRODUCT(H3978:K3978,COLUMN($E$1:$H$1)-1))*'Line Follower'!$C$3/SUM(C3978:F3978,H3978:K3978)-'Line Follower'!$C$5)))</f>
        <v>#N/A</v>
      </c>
      <c r="O3978" s="22" t="e">
        <v>#N/A</v>
      </c>
      <c r="P3978" s="4" t="e">
        <f t="shared" si="310"/>
        <v>#N/A</v>
      </c>
      <c r="Q3978" s="4" t="e">
        <f t="shared" si="311"/>
        <v>#N/A</v>
      </c>
      <c r="R3978" s="4" t="e">
        <f>IF(AND(B3978=1,N3978&gt;'Line Follower'!$C$7,SUM(C3978:K3978)&lt;4),1,0)</f>
        <v>#N/A</v>
      </c>
      <c r="S3978" s="4" t="e">
        <f>IF(AND(L3978=1,N3978&lt;'Line Follower'!$C$6,SUM(C3978:K3978)&lt;4),1,0)</f>
        <v>#N/A</v>
      </c>
      <c r="T3978" s="4" t="e">
        <f t="shared" si="312"/>
        <v>#N/A</v>
      </c>
      <c r="U3978" s="5" t="e">
        <f t="shared" si="313"/>
        <v>#N/A</v>
      </c>
      <c r="V3978" s="23" t="e">
        <f t="shared" si="314"/>
        <v>#N/A</v>
      </c>
    </row>
    <row r="3979" spans="2:22" x14ac:dyDescent="0.25">
      <c r="B3979" s="16">
        <v>0</v>
      </c>
      <c r="C3979" s="7">
        <v>0</v>
      </c>
      <c r="D3979" s="8">
        <v>0</v>
      </c>
      <c r="E3979" s="8">
        <v>1</v>
      </c>
      <c r="F3979" s="8">
        <v>0</v>
      </c>
      <c r="G3979" s="8">
        <v>0</v>
      </c>
      <c r="H3979" s="8">
        <v>0</v>
      </c>
      <c r="I3979" s="8">
        <v>1</v>
      </c>
      <c r="J3979" s="8">
        <v>1</v>
      </c>
      <c r="K3979" s="9">
        <v>1</v>
      </c>
      <c r="L3979" s="10">
        <v>1</v>
      </c>
      <c r="M3979" s="6">
        <v>1</v>
      </c>
      <c r="N3979" s="37" t="e" cm="1">
        <f t="array" ref="N3979">IF(OR(ISNUMBER(FIND(Aux!$D$3:$D$9,_xlfn.TEXTJOIN(,,C3979:K3979)))),NA(),IF(AND(SUM(C3979:F3979,H3979:K3979)=0,G3979=1),0,INT((SUMPRODUCT(C3979:F3979,COLUMN($A$1:$D$1)-1)+SUMPRODUCT(H3979:K3979,COLUMN($E$1:$H$1)-1))*'Line Follower'!$C$3/SUM(C3979:F3979,H3979:K3979)-'Line Follower'!$C$5)))</f>
        <v>#N/A</v>
      </c>
      <c r="O3979" s="22" t="e">
        <v>#N/A</v>
      </c>
      <c r="P3979" s="4" t="e">
        <f t="shared" si="310"/>
        <v>#N/A</v>
      </c>
      <c r="Q3979" s="4" t="e">
        <f t="shared" si="311"/>
        <v>#N/A</v>
      </c>
      <c r="R3979" s="4" t="e">
        <f>IF(AND(B3979=1,N3979&gt;'Line Follower'!$C$7,SUM(C3979:K3979)&lt;4),1,0)</f>
        <v>#N/A</v>
      </c>
      <c r="S3979" s="4" t="e">
        <f>IF(AND(L3979=1,N3979&lt;'Line Follower'!$C$6,SUM(C3979:K3979)&lt;4),1,0)</f>
        <v>#N/A</v>
      </c>
      <c r="T3979" s="4" t="e">
        <f t="shared" si="312"/>
        <v>#N/A</v>
      </c>
      <c r="U3979" s="5" t="e">
        <f t="shared" si="313"/>
        <v>#N/A</v>
      </c>
      <c r="V3979" s="23" t="e">
        <f t="shared" si="314"/>
        <v>#N/A</v>
      </c>
    </row>
    <row r="3980" spans="2:22" x14ac:dyDescent="0.25">
      <c r="B3980" s="16">
        <v>1</v>
      </c>
      <c r="C3980" s="7">
        <v>0</v>
      </c>
      <c r="D3980" s="8">
        <v>0</v>
      </c>
      <c r="E3980" s="8">
        <v>1</v>
      </c>
      <c r="F3980" s="8">
        <v>0</v>
      </c>
      <c r="G3980" s="8">
        <v>0</v>
      </c>
      <c r="H3980" s="8">
        <v>0</v>
      </c>
      <c r="I3980" s="8">
        <v>1</v>
      </c>
      <c r="J3980" s="8">
        <v>1</v>
      </c>
      <c r="K3980" s="9">
        <v>1</v>
      </c>
      <c r="L3980" s="10">
        <v>1</v>
      </c>
      <c r="M3980" s="6">
        <v>1</v>
      </c>
      <c r="N3980" s="37" t="e" cm="1">
        <f t="array" ref="N3980">IF(OR(ISNUMBER(FIND(Aux!$D$3:$D$9,_xlfn.TEXTJOIN(,,C3980:K3980)))),NA(),IF(AND(SUM(C3980:F3980,H3980:K3980)=0,G3980=1),0,INT((SUMPRODUCT(C3980:F3980,COLUMN($A$1:$D$1)-1)+SUMPRODUCT(H3980:K3980,COLUMN($E$1:$H$1)-1))*'Line Follower'!$C$3/SUM(C3980:F3980,H3980:K3980)-'Line Follower'!$C$5)))</f>
        <v>#N/A</v>
      </c>
      <c r="O3980" s="22" t="e">
        <v>#N/A</v>
      </c>
      <c r="P3980" s="4" t="e">
        <f t="shared" si="310"/>
        <v>#N/A</v>
      </c>
      <c r="Q3980" s="4" t="e">
        <f t="shared" si="311"/>
        <v>#N/A</v>
      </c>
      <c r="R3980" s="4" t="e">
        <f>IF(AND(B3980=1,N3980&gt;'Line Follower'!$C$7,SUM(C3980:K3980)&lt;4),1,0)</f>
        <v>#N/A</v>
      </c>
      <c r="S3980" s="4" t="e">
        <f>IF(AND(L3980=1,N3980&lt;'Line Follower'!$C$6,SUM(C3980:K3980)&lt;4),1,0)</f>
        <v>#N/A</v>
      </c>
      <c r="T3980" s="4" t="e">
        <f t="shared" si="312"/>
        <v>#N/A</v>
      </c>
      <c r="U3980" s="5" t="e">
        <f t="shared" si="313"/>
        <v>#N/A</v>
      </c>
      <c r="V3980" s="23" t="e">
        <f t="shared" si="314"/>
        <v>#N/A</v>
      </c>
    </row>
    <row r="3981" spans="2:22" x14ac:dyDescent="0.25">
      <c r="B3981" s="16">
        <v>0</v>
      </c>
      <c r="C3981" s="7">
        <v>1</v>
      </c>
      <c r="D3981" s="8">
        <v>0</v>
      </c>
      <c r="E3981" s="8">
        <v>1</v>
      </c>
      <c r="F3981" s="8">
        <v>0</v>
      </c>
      <c r="G3981" s="8">
        <v>0</v>
      </c>
      <c r="H3981" s="8">
        <v>0</v>
      </c>
      <c r="I3981" s="8">
        <v>1</v>
      </c>
      <c r="J3981" s="8">
        <v>1</v>
      </c>
      <c r="K3981" s="9">
        <v>1</v>
      </c>
      <c r="L3981" s="10">
        <v>1</v>
      </c>
      <c r="M3981" s="6">
        <v>1</v>
      </c>
      <c r="N3981" s="37" t="e" cm="1">
        <f t="array" ref="N3981">IF(OR(ISNUMBER(FIND(Aux!$D$3:$D$9,_xlfn.TEXTJOIN(,,C3981:K3981)))),NA(),IF(AND(SUM(C3981:F3981,H3981:K3981)=0,G3981=1),0,INT((SUMPRODUCT(C3981:F3981,COLUMN($A$1:$D$1)-1)+SUMPRODUCT(H3981:K3981,COLUMN($E$1:$H$1)-1))*'Line Follower'!$C$3/SUM(C3981:F3981,H3981:K3981)-'Line Follower'!$C$5)))</f>
        <v>#N/A</v>
      </c>
      <c r="O3981" s="22" t="e">
        <v>#N/A</v>
      </c>
      <c r="P3981" s="4" t="e">
        <f t="shared" si="310"/>
        <v>#N/A</v>
      </c>
      <c r="Q3981" s="4" t="e">
        <f t="shared" si="311"/>
        <v>#N/A</v>
      </c>
      <c r="R3981" s="4" t="e">
        <f>IF(AND(B3981=1,N3981&gt;'Line Follower'!$C$7,SUM(C3981:K3981)&lt;4),1,0)</f>
        <v>#N/A</v>
      </c>
      <c r="S3981" s="4" t="e">
        <f>IF(AND(L3981=1,N3981&lt;'Line Follower'!$C$6,SUM(C3981:K3981)&lt;4),1,0)</f>
        <v>#N/A</v>
      </c>
      <c r="T3981" s="4" t="e">
        <f t="shared" si="312"/>
        <v>#N/A</v>
      </c>
      <c r="U3981" s="5" t="e">
        <f t="shared" si="313"/>
        <v>#N/A</v>
      </c>
      <c r="V3981" s="23" t="e">
        <f t="shared" si="314"/>
        <v>#N/A</v>
      </c>
    </row>
    <row r="3982" spans="2:22" x14ac:dyDescent="0.25">
      <c r="B3982" s="16">
        <v>1</v>
      </c>
      <c r="C3982" s="7">
        <v>1</v>
      </c>
      <c r="D3982" s="8">
        <v>0</v>
      </c>
      <c r="E3982" s="8">
        <v>1</v>
      </c>
      <c r="F3982" s="8">
        <v>0</v>
      </c>
      <c r="G3982" s="8">
        <v>0</v>
      </c>
      <c r="H3982" s="8">
        <v>0</v>
      </c>
      <c r="I3982" s="8">
        <v>1</v>
      </c>
      <c r="J3982" s="8">
        <v>1</v>
      </c>
      <c r="K3982" s="9">
        <v>1</v>
      </c>
      <c r="L3982" s="10">
        <v>1</v>
      </c>
      <c r="M3982" s="6">
        <v>1</v>
      </c>
      <c r="N3982" s="37" t="e" cm="1">
        <f t="array" ref="N3982">IF(OR(ISNUMBER(FIND(Aux!$D$3:$D$9,_xlfn.TEXTJOIN(,,C3982:K3982)))),NA(),IF(AND(SUM(C3982:F3982,H3982:K3982)=0,G3982=1),0,INT((SUMPRODUCT(C3982:F3982,COLUMN($A$1:$D$1)-1)+SUMPRODUCT(H3982:K3982,COLUMN($E$1:$H$1)-1))*'Line Follower'!$C$3/SUM(C3982:F3982,H3982:K3982)-'Line Follower'!$C$5)))</f>
        <v>#N/A</v>
      </c>
      <c r="O3982" s="22" t="e">
        <v>#N/A</v>
      </c>
      <c r="P3982" s="4" t="e">
        <f t="shared" si="310"/>
        <v>#N/A</v>
      </c>
      <c r="Q3982" s="4" t="e">
        <f t="shared" si="311"/>
        <v>#N/A</v>
      </c>
      <c r="R3982" s="4" t="e">
        <f>IF(AND(B3982=1,N3982&gt;'Line Follower'!$C$7,SUM(C3982:K3982)&lt;4),1,0)</f>
        <v>#N/A</v>
      </c>
      <c r="S3982" s="4" t="e">
        <f>IF(AND(L3982=1,N3982&lt;'Line Follower'!$C$6,SUM(C3982:K3982)&lt;4),1,0)</f>
        <v>#N/A</v>
      </c>
      <c r="T3982" s="4" t="e">
        <f t="shared" si="312"/>
        <v>#N/A</v>
      </c>
      <c r="U3982" s="5" t="e">
        <f t="shared" si="313"/>
        <v>#N/A</v>
      </c>
      <c r="V3982" s="23" t="e">
        <f t="shared" si="314"/>
        <v>#N/A</v>
      </c>
    </row>
    <row r="3983" spans="2:22" x14ac:dyDescent="0.25">
      <c r="B3983" s="16">
        <v>0</v>
      </c>
      <c r="C3983" s="7">
        <v>0</v>
      </c>
      <c r="D3983" s="8">
        <v>1</v>
      </c>
      <c r="E3983" s="8">
        <v>1</v>
      </c>
      <c r="F3983" s="8">
        <v>0</v>
      </c>
      <c r="G3983" s="8">
        <v>0</v>
      </c>
      <c r="H3983" s="8">
        <v>0</v>
      </c>
      <c r="I3983" s="8">
        <v>1</v>
      </c>
      <c r="J3983" s="8">
        <v>1</v>
      </c>
      <c r="K3983" s="9">
        <v>1</v>
      </c>
      <c r="L3983" s="10">
        <v>1</v>
      </c>
      <c r="M3983" s="6">
        <v>1</v>
      </c>
      <c r="N3983" s="37" t="e" cm="1">
        <f t="array" ref="N3983">IF(OR(ISNUMBER(FIND(Aux!$D$3:$D$9,_xlfn.TEXTJOIN(,,C3983:K3983)))),NA(),IF(AND(SUM(C3983:F3983,H3983:K3983)=0,G3983=1),0,INT((SUMPRODUCT(C3983:F3983,COLUMN($A$1:$D$1)-1)+SUMPRODUCT(H3983:K3983,COLUMN($E$1:$H$1)-1))*'Line Follower'!$C$3/SUM(C3983:F3983,H3983:K3983)-'Line Follower'!$C$5)))</f>
        <v>#N/A</v>
      </c>
      <c r="O3983" s="22" t="e">
        <v>#N/A</v>
      </c>
      <c r="P3983" s="4" t="e">
        <f t="shared" si="310"/>
        <v>#N/A</v>
      </c>
      <c r="Q3983" s="4" t="e">
        <f t="shared" si="311"/>
        <v>#N/A</v>
      </c>
      <c r="R3983" s="4" t="e">
        <f>IF(AND(B3983=1,N3983&gt;'Line Follower'!$C$7,SUM(C3983:K3983)&lt;4),1,0)</f>
        <v>#N/A</v>
      </c>
      <c r="S3983" s="4" t="e">
        <f>IF(AND(L3983=1,N3983&lt;'Line Follower'!$C$6,SUM(C3983:K3983)&lt;4),1,0)</f>
        <v>#N/A</v>
      </c>
      <c r="T3983" s="4" t="e">
        <f t="shared" si="312"/>
        <v>#N/A</v>
      </c>
      <c r="U3983" s="5" t="e">
        <f t="shared" si="313"/>
        <v>#N/A</v>
      </c>
      <c r="V3983" s="23" t="e">
        <f t="shared" si="314"/>
        <v>#N/A</v>
      </c>
    </row>
    <row r="3984" spans="2:22" x14ac:dyDescent="0.25">
      <c r="B3984" s="16">
        <v>1</v>
      </c>
      <c r="C3984" s="7">
        <v>0</v>
      </c>
      <c r="D3984" s="8">
        <v>1</v>
      </c>
      <c r="E3984" s="8">
        <v>1</v>
      </c>
      <c r="F3984" s="8">
        <v>0</v>
      </c>
      <c r="G3984" s="8">
        <v>0</v>
      </c>
      <c r="H3984" s="8">
        <v>0</v>
      </c>
      <c r="I3984" s="8">
        <v>1</v>
      </c>
      <c r="J3984" s="8">
        <v>1</v>
      </c>
      <c r="K3984" s="9">
        <v>1</v>
      </c>
      <c r="L3984" s="10">
        <v>1</v>
      </c>
      <c r="M3984" s="6">
        <v>1</v>
      </c>
      <c r="N3984" s="37" t="e" cm="1">
        <f t="array" ref="N3984">IF(OR(ISNUMBER(FIND(Aux!$D$3:$D$9,_xlfn.TEXTJOIN(,,C3984:K3984)))),NA(),IF(AND(SUM(C3984:F3984,H3984:K3984)=0,G3984=1),0,INT((SUMPRODUCT(C3984:F3984,COLUMN($A$1:$D$1)-1)+SUMPRODUCT(H3984:K3984,COLUMN($E$1:$H$1)-1))*'Line Follower'!$C$3/SUM(C3984:F3984,H3984:K3984)-'Line Follower'!$C$5)))</f>
        <v>#N/A</v>
      </c>
      <c r="O3984" s="22" t="e">
        <v>#N/A</v>
      </c>
      <c r="P3984" s="4" t="e">
        <f t="shared" si="310"/>
        <v>#N/A</v>
      </c>
      <c r="Q3984" s="4" t="e">
        <f t="shared" si="311"/>
        <v>#N/A</v>
      </c>
      <c r="R3984" s="4" t="e">
        <f>IF(AND(B3984=1,N3984&gt;'Line Follower'!$C$7,SUM(C3984:K3984)&lt;4),1,0)</f>
        <v>#N/A</v>
      </c>
      <c r="S3984" s="4" t="e">
        <f>IF(AND(L3984=1,N3984&lt;'Line Follower'!$C$6,SUM(C3984:K3984)&lt;4),1,0)</f>
        <v>#N/A</v>
      </c>
      <c r="T3984" s="4" t="e">
        <f t="shared" si="312"/>
        <v>#N/A</v>
      </c>
      <c r="U3984" s="5" t="e">
        <f t="shared" si="313"/>
        <v>#N/A</v>
      </c>
      <c r="V3984" s="23" t="e">
        <f t="shared" si="314"/>
        <v>#N/A</v>
      </c>
    </row>
    <row r="3985" spans="2:22" x14ac:dyDescent="0.25">
      <c r="B3985" s="16">
        <v>0</v>
      </c>
      <c r="C3985" s="7">
        <v>1</v>
      </c>
      <c r="D3985" s="8">
        <v>1</v>
      </c>
      <c r="E3985" s="8">
        <v>1</v>
      </c>
      <c r="F3985" s="8">
        <v>0</v>
      </c>
      <c r="G3985" s="8">
        <v>0</v>
      </c>
      <c r="H3985" s="8">
        <v>0</v>
      </c>
      <c r="I3985" s="8">
        <v>1</v>
      </c>
      <c r="J3985" s="8">
        <v>1</v>
      </c>
      <c r="K3985" s="9">
        <v>1</v>
      </c>
      <c r="L3985" s="10">
        <v>1</v>
      </c>
      <c r="M3985" s="6">
        <v>1</v>
      </c>
      <c r="N3985" s="37" t="e" cm="1">
        <f t="array" ref="N3985">IF(OR(ISNUMBER(FIND(Aux!$D$3:$D$9,_xlfn.TEXTJOIN(,,C3985:K3985)))),NA(),IF(AND(SUM(C3985:F3985,H3985:K3985)=0,G3985=1),0,INT((SUMPRODUCT(C3985:F3985,COLUMN($A$1:$D$1)-1)+SUMPRODUCT(H3985:K3985,COLUMN($E$1:$H$1)-1))*'Line Follower'!$C$3/SUM(C3985:F3985,H3985:K3985)-'Line Follower'!$C$5)))</f>
        <v>#N/A</v>
      </c>
      <c r="O3985" s="22" t="e">
        <v>#N/A</v>
      </c>
      <c r="P3985" s="4" t="e">
        <f t="shared" si="310"/>
        <v>#N/A</v>
      </c>
      <c r="Q3985" s="4" t="e">
        <f t="shared" si="311"/>
        <v>#N/A</v>
      </c>
      <c r="R3985" s="4" t="e">
        <f>IF(AND(B3985=1,N3985&gt;'Line Follower'!$C$7,SUM(C3985:K3985)&lt;4),1,0)</f>
        <v>#N/A</v>
      </c>
      <c r="S3985" s="4" t="e">
        <f>IF(AND(L3985=1,N3985&lt;'Line Follower'!$C$6,SUM(C3985:K3985)&lt;4),1,0)</f>
        <v>#N/A</v>
      </c>
      <c r="T3985" s="4" t="e">
        <f t="shared" si="312"/>
        <v>#N/A</v>
      </c>
      <c r="U3985" s="5" t="e">
        <f t="shared" si="313"/>
        <v>#N/A</v>
      </c>
      <c r="V3985" s="23" t="e">
        <f t="shared" si="314"/>
        <v>#N/A</v>
      </c>
    </row>
    <row r="3986" spans="2:22" x14ac:dyDescent="0.25">
      <c r="B3986" s="16">
        <v>1</v>
      </c>
      <c r="C3986" s="7">
        <v>1</v>
      </c>
      <c r="D3986" s="8">
        <v>1</v>
      </c>
      <c r="E3986" s="8">
        <v>1</v>
      </c>
      <c r="F3986" s="8">
        <v>0</v>
      </c>
      <c r="G3986" s="8">
        <v>0</v>
      </c>
      <c r="H3986" s="8">
        <v>0</v>
      </c>
      <c r="I3986" s="8">
        <v>1</v>
      </c>
      <c r="J3986" s="8">
        <v>1</v>
      </c>
      <c r="K3986" s="9">
        <v>1</v>
      </c>
      <c r="L3986" s="10">
        <v>1</v>
      </c>
      <c r="M3986" s="6">
        <v>1</v>
      </c>
      <c r="N3986" s="37" t="e" cm="1">
        <f t="array" ref="N3986">IF(OR(ISNUMBER(FIND(Aux!$D$3:$D$9,_xlfn.TEXTJOIN(,,C3986:K3986)))),NA(),IF(AND(SUM(C3986:F3986,H3986:K3986)=0,G3986=1),0,INT((SUMPRODUCT(C3986:F3986,COLUMN($A$1:$D$1)-1)+SUMPRODUCT(H3986:K3986,COLUMN($E$1:$H$1)-1))*'Line Follower'!$C$3/SUM(C3986:F3986,H3986:K3986)-'Line Follower'!$C$5)))</f>
        <v>#N/A</v>
      </c>
      <c r="O3986" s="22" t="e">
        <v>#N/A</v>
      </c>
      <c r="P3986" s="4" t="e">
        <f t="shared" si="310"/>
        <v>#N/A</v>
      </c>
      <c r="Q3986" s="4" t="e">
        <f t="shared" si="311"/>
        <v>#N/A</v>
      </c>
      <c r="R3986" s="4" t="e">
        <f>IF(AND(B3986=1,N3986&gt;'Line Follower'!$C$7,SUM(C3986:K3986)&lt;4),1,0)</f>
        <v>#N/A</v>
      </c>
      <c r="S3986" s="4" t="e">
        <f>IF(AND(L3986=1,N3986&lt;'Line Follower'!$C$6,SUM(C3986:K3986)&lt;4),1,0)</f>
        <v>#N/A</v>
      </c>
      <c r="T3986" s="4" t="e">
        <f t="shared" si="312"/>
        <v>#N/A</v>
      </c>
      <c r="U3986" s="5" t="e">
        <f t="shared" si="313"/>
        <v>#N/A</v>
      </c>
      <c r="V3986" s="23" t="e">
        <f t="shared" si="314"/>
        <v>#N/A</v>
      </c>
    </row>
    <row r="3987" spans="2:22" x14ac:dyDescent="0.25">
      <c r="B3987" s="16">
        <v>0</v>
      </c>
      <c r="C3987" s="7">
        <v>0</v>
      </c>
      <c r="D3987" s="8">
        <v>0</v>
      </c>
      <c r="E3987" s="8">
        <v>0</v>
      </c>
      <c r="F3987" s="8">
        <v>1</v>
      </c>
      <c r="G3987" s="8">
        <v>0</v>
      </c>
      <c r="H3987" s="8">
        <v>0</v>
      </c>
      <c r="I3987" s="8">
        <v>1</v>
      </c>
      <c r="J3987" s="8">
        <v>1</v>
      </c>
      <c r="K3987" s="9">
        <v>1</v>
      </c>
      <c r="L3987" s="10">
        <v>1</v>
      </c>
      <c r="M3987" s="6">
        <v>1</v>
      </c>
      <c r="N3987" s="37" t="e" cm="1">
        <f t="array" ref="N3987">IF(OR(ISNUMBER(FIND(Aux!$D$3:$D$9,_xlfn.TEXTJOIN(,,C3987:K3987)))),NA(),IF(AND(SUM(C3987:F3987,H3987:K3987)=0,G3987=1),0,INT((SUMPRODUCT(C3987:F3987,COLUMN($A$1:$D$1)-1)+SUMPRODUCT(H3987:K3987,COLUMN($E$1:$H$1)-1))*'Line Follower'!$C$3/SUM(C3987:F3987,H3987:K3987)-'Line Follower'!$C$5)))</f>
        <v>#N/A</v>
      </c>
      <c r="O3987" s="22" t="e">
        <v>#N/A</v>
      </c>
      <c r="P3987" s="4" t="e">
        <f t="shared" si="310"/>
        <v>#N/A</v>
      </c>
      <c r="Q3987" s="4" t="e">
        <f t="shared" si="311"/>
        <v>#N/A</v>
      </c>
      <c r="R3987" s="4" t="e">
        <f>IF(AND(B3987=1,N3987&gt;'Line Follower'!$C$7,SUM(C3987:K3987)&lt;4),1,0)</f>
        <v>#N/A</v>
      </c>
      <c r="S3987" s="4" t="e">
        <f>IF(AND(L3987=1,N3987&lt;'Line Follower'!$C$6,SUM(C3987:K3987)&lt;4),1,0)</f>
        <v>#N/A</v>
      </c>
      <c r="T3987" s="4" t="e">
        <f t="shared" si="312"/>
        <v>#N/A</v>
      </c>
      <c r="U3987" s="5" t="e">
        <f t="shared" si="313"/>
        <v>#N/A</v>
      </c>
      <c r="V3987" s="23" t="e">
        <f t="shared" si="314"/>
        <v>#N/A</v>
      </c>
    </row>
    <row r="3988" spans="2:22" x14ac:dyDescent="0.25">
      <c r="B3988" s="16">
        <v>1</v>
      </c>
      <c r="C3988" s="7">
        <v>0</v>
      </c>
      <c r="D3988" s="8">
        <v>0</v>
      </c>
      <c r="E3988" s="8">
        <v>0</v>
      </c>
      <c r="F3988" s="8">
        <v>1</v>
      </c>
      <c r="G3988" s="8">
        <v>0</v>
      </c>
      <c r="H3988" s="8">
        <v>0</v>
      </c>
      <c r="I3988" s="8">
        <v>1</v>
      </c>
      <c r="J3988" s="8">
        <v>1</v>
      </c>
      <c r="K3988" s="9">
        <v>1</v>
      </c>
      <c r="L3988" s="10">
        <v>1</v>
      </c>
      <c r="M3988" s="6">
        <v>1</v>
      </c>
      <c r="N3988" s="37" t="e" cm="1">
        <f t="array" ref="N3988">IF(OR(ISNUMBER(FIND(Aux!$D$3:$D$9,_xlfn.TEXTJOIN(,,C3988:K3988)))),NA(),IF(AND(SUM(C3988:F3988,H3988:K3988)=0,G3988=1),0,INT((SUMPRODUCT(C3988:F3988,COLUMN($A$1:$D$1)-1)+SUMPRODUCT(H3988:K3988,COLUMN($E$1:$H$1)-1))*'Line Follower'!$C$3/SUM(C3988:F3988,H3988:K3988)-'Line Follower'!$C$5)))</f>
        <v>#N/A</v>
      </c>
      <c r="O3988" s="22" t="e">
        <v>#N/A</v>
      </c>
      <c r="P3988" s="4" t="e">
        <f t="shared" si="310"/>
        <v>#N/A</v>
      </c>
      <c r="Q3988" s="4" t="e">
        <f t="shared" si="311"/>
        <v>#N/A</v>
      </c>
      <c r="R3988" s="4" t="e">
        <f>IF(AND(B3988=1,N3988&gt;'Line Follower'!$C$7,SUM(C3988:K3988)&lt;4),1,0)</f>
        <v>#N/A</v>
      </c>
      <c r="S3988" s="4" t="e">
        <f>IF(AND(L3988=1,N3988&lt;'Line Follower'!$C$6,SUM(C3988:K3988)&lt;4),1,0)</f>
        <v>#N/A</v>
      </c>
      <c r="T3988" s="4" t="e">
        <f t="shared" si="312"/>
        <v>#N/A</v>
      </c>
      <c r="U3988" s="5" t="e">
        <f t="shared" si="313"/>
        <v>#N/A</v>
      </c>
      <c r="V3988" s="23" t="e">
        <f t="shared" si="314"/>
        <v>#N/A</v>
      </c>
    </row>
    <row r="3989" spans="2:22" x14ac:dyDescent="0.25">
      <c r="B3989" s="16">
        <v>0</v>
      </c>
      <c r="C3989" s="7">
        <v>1</v>
      </c>
      <c r="D3989" s="8">
        <v>0</v>
      </c>
      <c r="E3989" s="8">
        <v>0</v>
      </c>
      <c r="F3989" s="8">
        <v>1</v>
      </c>
      <c r="G3989" s="8">
        <v>0</v>
      </c>
      <c r="H3989" s="8">
        <v>0</v>
      </c>
      <c r="I3989" s="8">
        <v>1</v>
      </c>
      <c r="J3989" s="8">
        <v>1</v>
      </c>
      <c r="K3989" s="9">
        <v>1</v>
      </c>
      <c r="L3989" s="10">
        <v>1</v>
      </c>
      <c r="M3989" s="6">
        <v>1</v>
      </c>
      <c r="N3989" s="37" t="e" cm="1">
        <f t="array" ref="N3989">IF(OR(ISNUMBER(FIND(Aux!$D$3:$D$9,_xlfn.TEXTJOIN(,,C3989:K3989)))),NA(),IF(AND(SUM(C3989:F3989,H3989:K3989)=0,G3989=1),0,INT((SUMPRODUCT(C3989:F3989,COLUMN($A$1:$D$1)-1)+SUMPRODUCT(H3989:K3989,COLUMN($E$1:$H$1)-1))*'Line Follower'!$C$3/SUM(C3989:F3989,H3989:K3989)-'Line Follower'!$C$5)))</f>
        <v>#N/A</v>
      </c>
      <c r="O3989" s="22" t="e">
        <v>#N/A</v>
      </c>
      <c r="P3989" s="4" t="e">
        <f t="shared" si="310"/>
        <v>#N/A</v>
      </c>
      <c r="Q3989" s="4" t="e">
        <f t="shared" si="311"/>
        <v>#N/A</v>
      </c>
      <c r="R3989" s="4" t="e">
        <f>IF(AND(B3989=1,N3989&gt;'Line Follower'!$C$7,SUM(C3989:K3989)&lt;4),1,0)</f>
        <v>#N/A</v>
      </c>
      <c r="S3989" s="4" t="e">
        <f>IF(AND(L3989=1,N3989&lt;'Line Follower'!$C$6,SUM(C3989:K3989)&lt;4),1,0)</f>
        <v>#N/A</v>
      </c>
      <c r="T3989" s="4" t="e">
        <f t="shared" si="312"/>
        <v>#N/A</v>
      </c>
      <c r="U3989" s="5" t="e">
        <f t="shared" si="313"/>
        <v>#N/A</v>
      </c>
      <c r="V3989" s="23" t="e">
        <f t="shared" si="314"/>
        <v>#N/A</v>
      </c>
    </row>
    <row r="3990" spans="2:22" x14ac:dyDescent="0.25">
      <c r="B3990" s="16">
        <v>1</v>
      </c>
      <c r="C3990" s="7">
        <v>1</v>
      </c>
      <c r="D3990" s="8">
        <v>0</v>
      </c>
      <c r="E3990" s="8">
        <v>0</v>
      </c>
      <c r="F3990" s="8">
        <v>1</v>
      </c>
      <c r="G3990" s="8">
        <v>0</v>
      </c>
      <c r="H3990" s="8">
        <v>0</v>
      </c>
      <c r="I3990" s="8">
        <v>1</v>
      </c>
      <c r="J3990" s="8">
        <v>1</v>
      </c>
      <c r="K3990" s="9">
        <v>1</v>
      </c>
      <c r="L3990" s="10">
        <v>1</v>
      </c>
      <c r="M3990" s="6">
        <v>1</v>
      </c>
      <c r="N3990" s="37" t="e" cm="1">
        <f t="array" ref="N3990">IF(OR(ISNUMBER(FIND(Aux!$D$3:$D$9,_xlfn.TEXTJOIN(,,C3990:K3990)))),NA(),IF(AND(SUM(C3990:F3990,H3990:K3990)=0,G3990=1),0,INT((SUMPRODUCT(C3990:F3990,COLUMN($A$1:$D$1)-1)+SUMPRODUCT(H3990:K3990,COLUMN($E$1:$H$1)-1))*'Line Follower'!$C$3/SUM(C3990:F3990,H3990:K3990)-'Line Follower'!$C$5)))</f>
        <v>#N/A</v>
      </c>
      <c r="O3990" s="22" t="e">
        <v>#N/A</v>
      </c>
      <c r="P3990" s="4" t="e">
        <f t="shared" si="310"/>
        <v>#N/A</v>
      </c>
      <c r="Q3990" s="4" t="e">
        <f t="shared" si="311"/>
        <v>#N/A</v>
      </c>
      <c r="R3990" s="4" t="e">
        <f>IF(AND(B3990=1,N3990&gt;'Line Follower'!$C$7,SUM(C3990:K3990)&lt;4),1,0)</f>
        <v>#N/A</v>
      </c>
      <c r="S3990" s="4" t="e">
        <f>IF(AND(L3990=1,N3990&lt;'Line Follower'!$C$6,SUM(C3990:K3990)&lt;4),1,0)</f>
        <v>#N/A</v>
      </c>
      <c r="T3990" s="4" t="e">
        <f t="shared" si="312"/>
        <v>#N/A</v>
      </c>
      <c r="U3990" s="5" t="e">
        <f t="shared" si="313"/>
        <v>#N/A</v>
      </c>
      <c r="V3990" s="23" t="e">
        <f t="shared" si="314"/>
        <v>#N/A</v>
      </c>
    </row>
    <row r="3991" spans="2:22" x14ac:dyDescent="0.25">
      <c r="B3991" s="16">
        <v>0</v>
      </c>
      <c r="C3991" s="7">
        <v>0</v>
      </c>
      <c r="D3991" s="8">
        <v>1</v>
      </c>
      <c r="E3991" s="8">
        <v>0</v>
      </c>
      <c r="F3991" s="8">
        <v>1</v>
      </c>
      <c r="G3991" s="8">
        <v>0</v>
      </c>
      <c r="H3991" s="8">
        <v>0</v>
      </c>
      <c r="I3991" s="8">
        <v>1</v>
      </c>
      <c r="J3991" s="8">
        <v>1</v>
      </c>
      <c r="K3991" s="9">
        <v>1</v>
      </c>
      <c r="L3991" s="10">
        <v>1</v>
      </c>
      <c r="M3991" s="6">
        <v>1</v>
      </c>
      <c r="N3991" s="37" t="e" cm="1">
        <f t="array" ref="N3991">IF(OR(ISNUMBER(FIND(Aux!$D$3:$D$9,_xlfn.TEXTJOIN(,,C3991:K3991)))),NA(),IF(AND(SUM(C3991:F3991,H3991:K3991)=0,G3991=1),0,INT((SUMPRODUCT(C3991:F3991,COLUMN($A$1:$D$1)-1)+SUMPRODUCT(H3991:K3991,COLUMN($E$1:$H$1)-1))*'Line Follower'!$C$3/SUM(C3991:F3991,H3991:K3991)-'Line Follower'!$C$5)))</f>
        <v>#N/A</v>
      </c>
      <c r="O3991" s="22" t="e">
        <v>#N/A</v>
      </c>
      <c r="P3991" s="4" t="e">
        <f t="shared" si="310"/>
        <v>#N/A</v>
      </c>
      <c r="Q3991" s="4" t="e">
        <f t="shared" si="311"/>
        <v>#N/A</v>
      </c>
      <c r="R3991" s="4" t="e">
        <f>IF(AND(B3991=1,N3991&gt;'Line Follower'!$C$7,SUM(C3991:K3991)&lt;4),1,0)</f>
        <v>#N/A</v>
      </c>
      <c r="S3991" s="4" t="e">
        <f>IF(AND(L3991=1,N3991&lt;'Line Follower'!$C$6,SUM(C3991:K3991)&lt;4),1,0)</f>
        <v>#N/A</v>
      </c>
      <c r="T3991" s="4" t="e">
        <f t="shared" si="312"/>
        <v>#N/A</v>
      </c>
      <c r="U3991" s="5" t="e">
        <f t="shared" si="313"/>
        <v>#N/A</v>
      </c>
      <c r="V3991" s="23" t="e">
        <f t="shared" si="314"/>
        <v>#N/A</v>
      </c>
    </row>
    <row r="3992" spans="2:22" x14ac:dyDescent="0.25">
      <c r="B3992" s="16">
        <v>1</v>
      </c>
      <c r="C3992" s="7">
        <v>0</v>
      </c>
      <c r="D3992" s="8">
        <v>1</v>
      </c>
      <c r="E3992" s="8">
        <v>0</v>
      </c>
      <c r="F3992" s="8">
        <v>1</v>
      </c>
      <c r="G3992" s="8">
        <v>0</v>
      </c>
      <c r="H3992" s="8">
        <v>0</v>
      </c>
      <c r="I3992" s="8">
        <v>1</v>
      </c>
      <c r="J3992" s="8">
        <v>1</v>
      </c>
      <c r="K3992" s="9">
        <v>1</v>
      </c>
      <c r="L3992" s="10">
        <v>1</v>
      </c>
      <c r="M3992" s="6">
        <v>1</v>
      </c>
      <c r="N3992" s="37" t="e" cm="1">
        <f t="array" ref="N3992">IF(OR(ISNUMBER(FIND(Aux!$D$3:$D$9,_xlfn.TEXTJOIN(,,C3992:K3992)))),NA(),IF(AND(SUM(C3992:F3992,H3992:K3992)=0,G3992=1),0,INT((SUMPRODUCT(C3992:F3992,COLUMN($A$1:$D$1)-1)+SUMPRODUCT(H3992:K3992,COLUMN($E$1:$H$1)-1))*'Line Follower'!$C$3/SUM(C3992:F3992,H3992:K3992)-'Line Follower'!$C$5)))</f>
        <v>#N/A</v>
      </c>
      <c r="O3992" s="22" t="e">
        <v>#N/A</v>
      </c>
      <c r="P3992" s="4" t="e">
        <f t="shared" si="310"/>
        <v>#N/A</v>
      </c>
      <c r="Q3992" s="4" t="e">
        <f t="shared" si="311"/>
        <v>#N/A</v>
      </c>
      <c r="R3992" s="4" t="e">
        <f>IF(AND(B3992=1,N3992&gt;'Line Follower'!$C$7,SUM(C3992:K3992)&lt;4),1,0)</f>
        <v>#N/A</v>
      </c>
      <c r="S3992" s="4" t="e">
        <f>IF(AND(L3992=1,N3992&lt;'Line Follower'!$C$6,SUM(C3992:K3992)&lt;4),1,0)</f>
        <v>#N/A</v>
      </c>
      <c r="T3992" s="4" t="e">
        <f t="shared" si="312"/>
        <v>#N/A</v>
      </c>
      <c r="U3992" s="5" t="e">
        <f t="shared" si="313"/>
        <v>#N/A</v>
      </c>
      <c r="V3992" s="23" t="e">
        <f t="shared" si="314"/>
        <v>#N/A</v>
      </c>
    </row>
    <row r="3993" spans="2:22" x14ac:dyDescent="0.25">
      <c r="B3993" s="16">
        <v>0</v>
      </c>
      <c r="C3993" s="7">
        <v>1</v>
      </c>
      <c r="D3993" s="8">
        <v>1</v>
      </c>
      <c r="E3993" s="8">
        <v>0</v>
      </c>
      <c r="F3993" s="8">
        <v>1</v>
      </c>
      <c r="G3993" s="8">
        <v>0</v>
      </c>
      <c r="H3993" s="8">
        <v>0</v>
      </c>
      <c r="I3993" s="8">
        <v>1</v>
      </c>
      <c r="J3993" s="8">
        <v>1</v>
      </c>
      <c r="K3993" s="9">
        <v>1</v>
      </c>
      <c r="L3993" s="10">
        <v>1</v>
      </c>
      <c r="M3993" s="6">
        <v>1</v>
      </c>
      <c r="N3993" s="37" t="e" cm="1">
        <f t="array" ref="N3993">IF(OR(ISNUMBER(FIND(Aux!$D$3:$D$9,_xlfn.TEXTJOIN(,,C3993:K3993)))),NA(),IF(AND(SUM(C3993:F3993,H3993:K3993)=0,G3993=1),0,INT((SUMPRODUCT(C3993:F3993,COLUMN($A$1:$D$1)-1)+SUMPRODUCT(H3993:K3993,COLUMN($E$1:$H$1)-1))*'Line Follower'!$C$3/SUM(C3993:F3993,H3993:K3993)-'Line Follower'!$C$5)))</f>
        <v>#N/A</v>
      </c>
      <c r="O3993" s="22" t="e">
        <v>#N/A</v>
      </c>
      <c r="P3993" s="4" t="e">
        <f t="shared" si="310"/>
        <v>#N/A</v>
      </c>
      <c r="Q3993" s="4" t="e">
        <f t="shared" si="311"/>
        <v>#N/A</v>
      </c>
      <c r="R3993" s="4" t="e">
        <f>IF(AND(B3993=1,N3993&gt;'Line Follower'!$C$7,SUM(C3993:K3993)&lt;4),1,0)</f>
        <v>#N/A</v>
      </c>
      <c r="S3993" s="4" t="e">
        <f>IF(AND(L3993=1,N3993&lt;'Line Follower'!$C$6,SUM(C3993:K3993)&lt;4),1,0)</f>
        <v>#N/A</v>
      </c>
      <c r="T3993" s="4" t="e">
        <f t="shared" si="312"/>
        <v>#N/A</v>
      </c>
      <c r="U3993" s="5" t="e">
        <f t="shared" si="313"/>
        <v>#N/A</v>
      </c>
      <c r="V3993" s="23" t="e">
        <f t="shared" si="314"/>
        <v>#N/A</v>
      </c>
    </row>
    <row r="3994" spans="2:22" x14ac:dyDescent="0.25">
      <c r="B3994" s="16">
        <v>1</v>
      </c>
      <c r="C3994" s="7">
        <v>1</v>
      </c>
      <c r="D3994" s="8">
        <v>1</v>
      </c>
      <c r="E3994" s="8">
        <v>0</v>
      </c>
      <c r="F3994" s="8">
        <v>1</v>
      </c>
      <c r="G3994" s="8">
        <v>0</v>
      </c>
      <c r="H3994" s="8">
        <v>0</v>
      </c>
      <c r="I3994" s="8">
        <v>1</v>
      </c>
      <c r="J3994" s="8">
        <v>1</v>
      </c>
      <c r="K3994" s="9">
        <v>1</v>
      </c>
      <c r="L3994" s="10">
        <v>1</v>
      </c>
      <c r="M3994" s="6">
        <v>1</v>
      </c>
      <c r="N3994" s="37" t="e" cm="1">
        <f t="array" ref="N3994">IF(OR(ISNUMBER(FIND(Aux!$D$3:$D$9,_xlfn.TEXTJOIN(,,C3994:K3994)))),NA(),IF(AND(SUM(C3994:F3994,H3994:K3994)=0,G3994=1),0,INT((SUMPRODUCT(C3994:F3994,COLUMN($A$1:$D$1)-1)+SUMPRODUCT(H3994:K3994,COLUMN($E$1:$H$1)-1))*'Line Follower'!$C$3/SUM(C3994:F3994,H3994:K3994)-'Line Follower'!$C$5)))</f>
        <v>#N/A</v>
      </c>
      <c r="O3994" s="22" t="e">
        <v>#N/A</v>
      </c>
      <c r="P3994" s="4" t="e">
        <f t="shared" si="310"/>
        <v>#N/A</v>
      </c>
      <c r="Q3994" s="4" t="e">
        <f t="shared" si="311"/>
        <v>#N/A</v>
      </c>
      <c r="R3994" s="4" t="e">
        <f>IF(AND(B3994=1,N3994&gt;'Line Follower'!$C$7,SUM(C3994:K3994)&lt;4),1,0)</f>
        <v>#N/A</v>
      </c>
      <c r="S3994" s="4" t="e">
        <f>IF(AND(L3994=1,N3994&lt;'Line Follower'!$C$6,SUM(C3994:K3994)&lt;4),1,0)</f>
        <v>#N/A</v>
      </c>
      <c r="T3994" s="4" t="e">
        <f t="shared" si="312"/>
        <v>#N/A</v>
      </c>
      <c r="U3994" s="5" t="e">
        <f t="shared" si="313"/>
        <v>#N/A</v>
      </c>
      <c r="V3994" s="23" t="e">
        <f t="shared" si="314"/>
        <v>#N/A</v>
      </c>
    </row>
    <row r="3995" spans="2:22" x14ac:dyDescent="0.25">
      <c r="B3995" s="16">
        <v>0</v>
      </c>
      <c r="C3995" s="7">
        <v>0</v>
      </c>
      <c r="D3995" s="8">
        <v>0</v>
      </c>
      <c r="E3995" s="8">
        <v>1</v>
      </c>
      <c r="F3995" s="8">
        <v>1</v>
      </c>
      <c r="G3995" s="8">
        <v>0</v>
      </c>
      <c r="H3995" s="8">
        <v>0</v>
      </c>
      <c r="I3995" s="8">
        <v>1</v>
      </c>
      <c r="J3995" s="8">
        <v>1</v>
      </c>
      <c r="K3995" s="9">
        <v>1</v>
      </c>
      <c r="L3995" s="10">
        <v>1</v>
      </c>
      <c r="M3995" s="6">
        <v>1</v>
      </c>
      <c r="N3995" s="37" t="e" cm="1">
        <f t="array" ref="N3995">IF(OR(ISNUMBER(FIND(Aux!$D$3:$D$9,_xlfn.TEXTJOIN(,,C3995:K3995)))),NA(),IF(AND(SUM(C3995:F3995,H3995:K3995)=0,G3995=1),0,INT((SUMPRODUCT(C3995:F3995,COLUMN($A$1:$D$1)-1)+SUMPRODUCT(H3995:K3995,COLUMN($E$1:$H$1)-1))*'Line Follower'!$C$3/SUM(C3995:F3995,H3995:K3995)-'Line Follower'!$C$5)))</f>
        <v>#N/A</v>
      </c>
      <c r="O3995" s="22" t="e">
        <v>#N/A</v>
      </c>
      <c r="P3995" s="4" t="e">
        <f t="shared" si="310"/>
        <v>#N/A</v>
      </c>
      <c r="Q3995" s="4" t="e">
        <f t="shared" si="311"/>
        <v>#N/A</v>
      </c>
      <c r="R3995" s="4" t="e">
        <f>IF(AND(B3995=1,N3995&gt;'Line Follower'!$C$7,SUM(C3995:K3995)&lt;4),1,0)</f>
        <v>#N/A</v>
      </c>
      <c r="S3995" s="4" t="e">
        <f>IF(AND(L3995=1,N3995&lt;'Line Follower'!$C$6,SUM(C3995:K3995)&lt;4),1,0)</f>
        <v>#N/A</v>
      </c>
      <c r="T3995" s="4" t="e">
        <f t="shared" si="312"/>
        <v>#N/A</v>
      </c>
      <c r="U3995" s="5" t="e">
        <f t="shared" si="313"/>
        <v>#N/A</v>
      </c>
      <c r="V3995" s="23" t="e">
        <f t="shared" si="314"/>
        <v>#N/A</v>
      </c>
    </row>
    <row r="3996" spans="2:22" x14ac:dyDescent="0.25">
      <c r="B3996" s="16">
        <v>1</v>
      </c>
      <c r="C3996" s="7">
        <v>0</v>
      </c>
      <c r="D3996" s="8">
        <v>0</v>
      </c>
      <c r="E3996" s="8">
        <v>1</v>
      </c>
      <c r="F3996" s="8">
        <v>1</v>
      </c>
      <c r="G3996" s="8">
        <v>0</v>
      </c>
      <c r="H3996" s="8">
        <v>0</v>
      </c>
      <c r="I3996" s="8">
        <v>1</v>
      </c>
      <c r="J3996" s="8">
        <v>1</v>
      </c>
      <c r="K3996" s="9">
        <v>1</v>
      </c>
      <c r="L3996" s="10">
        <v>1</v>
      </c>
      <c r="M3996" s="6">
        <v>1</v>
      </c>
      <c r="N3996" s="37" t="e" cm="1">
        <f t="array" ref="N3996">IF(OR(ISNUMBER(FIND(Aux!$D$3:$D$9,_xlfn.TEXTJOIN(,,C3996:K3996)))),NA(),IF(AND(SUM(C3996:F3996,H3996:K3996)=0,G3996=1),0,INT((SUMPRODUCT(C3996:F3996,COLUMN($A$1:$D$1)-1)+SUMPRODUCT(H3996:K3996,COLUMN($E$1:$H$1)-1))*'Line Follower'!$C$3/SUM(C3996:F3996,H3996:K3996)-'Line Follower'!$C$5)))</f>
        <v>#N/A</v>
      </c>
      <c r="O3996" s="22" t="e">
        <v>#N/A</v>
      </c>
      <c r="P3996" s="4" t="e">
        <f t="shared" si="310"/>
        <v>#N/A</v>
      </c>
      <c r="Q3996" s="4" t="e">
        <f t="shared" si="311"/>
        <v>#N/A</v>
      </c>
      <c r="R3996" s="4" t="e">
        <f>IF(AND(B3996=1,N3996&gt;'Line Follower'!$C$7,SUM(C3996:K3996)&lt;4),1,0)</f>
        <v>#N/A</v>
      </c>
      <c r="S3996" s="4" t="e">
        <f>IF(AND(L3996=1,N3996&lt;'Line Follower'!$C$6,SUM(C3996:K3996)&lt;4),1,0)</f>
        <v>#N/A</v>
      </c>
      <c r="T3996" s="4" t="e">
        <f t="shared" si="312"/>
        <v>#N/A</v>
      </c>
      <c r="U3996" s="5" t="e">
        <f t="shared" si="313"/>
        <v>#N/A</v>
      </c>
      <c r="V3996" s="23" t="e">
        <f t="shared" si="314"/>
        <v>#N/A</v>
      </c>
    </row>
    <row r="3997" spans="2:22" x14ac:dyDescent="0.25">
      <c r="B3997" s="16">
        <v>0</v>
      </c>
      <c r="C3997" s="7">
        <v>1</v>
      </c>
      <c r="D3997" s="8">
        <v>0</v>
      </c>
      <c r="E3997" s="8">
        <v>1</v>
      </c>
      <c r="F3997" s="8">
        <v>1</v>
      </c>
      <c r="G3997" s="8">
        <v>0</v>
      </c>
      <c r="H3997" s="8">
        <v>0</v>
      </c>
      <c r="I3997" s="8">
        <v>1</v>
      </c>
      <c r="J3997" s="8">
        <v>1</v>
      </c>
      <c r="K3997" s="9">
        <v>1</v>
      </c>
      <c r="L3997" s="10">
        <v>1</v>
      </c>
      <c r="M3997" s="6">
        <v>1</v>
      </c>
      <c r="N3997" s="37" t="e" cm="1">
        <f t="array" ref="N3997">IF(OR(ISNUMBER(FIND(Aux!$D$3:$D$9,_xlfn.TEXTJOIN(,,C3997:K3997)))),NA(),IF(AND(SUM(C3997:F3997,H3997:K3997)=0,G3997=1),0,INT((SUMPRODUCT(C3997:F3997,COLUMN($A$1:$D$1)-1)+SUMPRODUCT(H3997:K3997,COLUMN($E$1:$H$1)-1))*'Line Follower'!$C$3/SUM(C3997:F3997,H3997:K3997)-'Line Follower'!$C$5)))</f>
        <v>#N/A</v>
      </c>
      <c r="O3997" s="22" t="e">
        <v>#N/A</v>
      </c>
      <c r="P3997" s="4" t="e">
        <f t="shared" si="310"/>
        <v>#N/A</v>
      </c>
      <c r="Q3997" s="4" t="e">
        <f t="shared" si="311"/>
        <v>#N/A</v>
      </c>
      <c r="R3997" s="4" t="e">
        <f>IF(AND(B3997=1,N3997&gt;'Line Follower'!$C$7,SUM(C3997:K3997)&lt;4),1,0)</f>
        <v>#N/A</v>
      </c>
      <c r="S3997" s="4" t="e">
        <f>IF(AND(L3997=1,N3997&lt;'Line Follower'!$C$6,SUM(C3997:K3997)&lt;4),1,0)</f>
        <v>#N/A</v>
      </c>
      <c r="T3997" s="4" t="e">
        <f t="shared" si="312"/>
        <v>#N/A</v>
      </c>
      <c r="U3997" s="5" t="e">
        <f t="shared" si="313"/>
        <v>#N/A</v>
      </c>
      <c r="V3997" s="23" t="e">
        <f t="shared" si="314"/>
        <v>#N/A</v>
      </c>
    </row>
    <row r="3998" spans="2:22" x14ac:dyDescent="0.25">
      <c r="B3998" s="16">
        <v>1</v>
      </c>
      <c r="C3998" s="7">
        <v>1</v>
      </c>
      <c r="D3998" s="8">
        <v>0</v>
      </c>
      <c r="E3998" s="8">
        <v>1</v>
      </c>
      <c r="F3998" s="8">
        <v>1</v>
      </c>
      <c r="G3998" s="8">
        <v>0</v>
      </c>
      <c r="H3998" s="8">
        <v>0</v>
      </c>
      <c r="I3998" s="8">
        <v>1</v>
      </c>
      <c r="J3998" s="8">
        <v>1</v>
      </c>
      <c r="K3998" s="9">
        <v>1</v>
      </c>
      <c r="L3998" s="10">
        <v>1</v>
      </c>
      <c r="M3998" s="6">
        <v>1</v>
      </c>
      <c r="N3998" s="37" t="e" cm="1">
        <f t="array" ref="N3998">IF(OR(ISNUMBER(FIND(Aux!$D$3:$D$9,_xlfn.TEXTJOIN(,,C3998:K3998)))),NA(),IF(AND(SUM(C3998:F3998,H3998:K3998)=0,G3998=1),0,INT((SUMPRODUCT(C3998:F3998,COLUMN($A$1:$D$1)-1)+SUMPRODUCT(H3998:K3998,COLUMN($E$1:$H$1)-1))*'Line Follower'!$C$3/SUM(C3998:F3998,H3998:K3998)-'Line Follower'!$C$5)))</f>
        <v>#N/A</v>
      </c>
      <c r="O3998" s="22" t="e">
        <v>#N/A</v>
      </c>
      <c r="P3998" s="4" t="e">
        <f t="shared" si="310"/>
        <v>#N/A</v>
      </c>
      <c r="Q3998" s="4" t="e">
        <f t="shared" si="311"/>
        <v>#N/A</v>
      </c>
      <c r="R3998" s="4" t="e">
        <f>IF(AND(B3998=1,N3998&gt;'Line Follower'!$C$7,SUM(C3998:K3998)&lt;4),1,0)</f>
        <v>#N/A</v>
      </c>
      <c r="S3998" s="4" t="e">
        <f>IF(AND(L3998=1,N3998&lt;'Line Follower'!$C$6,SUM(C3998:K3998)&lt;4),1,0)</f>
        <v>#N/A</v>
      </c>
      <c r="T3998" s="4" t="e">
        <f t="shared" si="312"/>
        <v>#N/A</v>
      </c>
      <c r="U3998" s="5" t="e">
        <f t="shared" si="313"/>
        <v>#N/A</v>
      </c>
      <c r="V3998" s="23" t="e">
        <f t="shared" si="314"/>
        <v>#N/A</v>
      </c>
    </row>
    <row r="3999" spans="2:22" x14ac:dyDescent="0.25">
      <c r="B3999" s="16">
        <v>0</v>
      </c>
      <c r="C3999" s="7">
        <v>0</v>
      </c>
      <c r="D3999" s="8">
        <v>1</v>
      </c>
      <c r="E3999" s="8">
        <v>1</v>
      </c>
      <c r="F3999" s="8">
        <v>1</v>
      </c>
      <c r="G3999" s="8">
        <v>0</v>
      </c>
      <c r="H3999" s="8">
        <v>0</v>
      </c>
      <c r="I3999" s="8">
        <v>1</v>
      </c>
      <c r="J3999" s="8">
        <v>1</v>
      </c>
      <c r="K3999" s="9">
        <v>1</v>
      </c>
      <c r="L3999" s="10">
        <v>1</v>
      </c>
      <c r="M3999" s="6">
        <v>1</v>
      </c>
      <c r="N3999" s="37" t="e" cm="1">
        <f t="array" ref="N3999">IF(OR(ISNUMBER(FIND(Aux!$D$3:$D$9,_xlfn.TEXTJOIN(,,C3999:K3999)))),NA(),IF(AND(SUM(C3999:F3999,H3999:K3999)=0,G3999=1),0,INT((SUMPRODUCT(C3999:F3999,COLUMN($A$1:$D$1)-1)+SUMPRODUCT(H3999:K3999,COLUMN($E$1:$H$1)-1))*'Line Follower'!$C$3/SUM(C3999:F3999,H3999:K3999)-'Line Follower'!$C$5)))</f>
        <v>#N/A</v>
      </c>
      <c r="O3999" s="22" t="e">
        <v>#N/A</v>
      </c>
      <c r="P3999" s="4" t="e">
        <f t="shared" si="310"/>
        <v>#N/A</v>
      </c>
      <c r="Q3999" s="4" t="e">
        <f t="shared" si="311"/>
        <v>#N/A</v>
      </c>
      <c r="R3999" s="4" t="e">
        <f>IF(AND(B3999=1,N3999&gt;'Line Follower'!$C$7,SUM(C3999:K3999)&lt;4),1,0)</f>
        <v>#N/A</v>
      </c>
      <c r="S3999" s="4" t="e">
        <f>IF(AND(L3999=1,N3999&lt;'Line Follower'!$C$6,SUM(C3999:K3999)&lt;4),1,0)</f>
        <v>#N/A</v>
      </c>
      <c r="T3999" s="4" t="e">
        <f t="shared" si="312"/>
        <v>#N/A</v>
      </c>
      <c r="U3999" s="5" t="e">
        <f t="shared" si="313"/>
        <v>#N/A</v>
      </c>
      <c r="V3999" s="23" t="e">
        <f t="shared" si="314"/>
        <v>#N/A</v>
      </c>
    </row>
    <row r="4000" spans="2:22" x14ac:dyDescent="0.25">
      <c r="B4000" s="16">
        <v>1</v>
      </c>
      <c r="C4000" s="7">
        <v>0</v>
      </c>
      <c r="D4000" s="8">
        <v>1</v>
      </c>
      <c r="E4000" s="8">
        <v>1</v>
      </c>
      <c r="F4000" s="8">
        <v>1</v>
      </c>
      <c r="G4000" s="8">
        <v>0</v>
      </c>
      <c r="H4000" s="8">
        <v>0</v>
      </c>
      <c r="I4000" s="8">
        <v>1</v>
      </c>
      <c r="J4000" s="8">
        <v>1</v>
      </c>
      <c r="K4000" s="9">
        <v>1</v>
      </c>
      <c r="L4000" s="10">
        <v>1</v>
      </c>
      <c r="M4000" s="6">
        <v>1</v>
      </c>
      <c r="N4000" s="37" t="e" cm="1">
        <f t="array" ref="N4000">IF(OR(ISNUMBER(FIND(Aux!$D$3:$D$9,_xlfn.TEXTJOIN(,,C4000:K4000)))),NA(),IF(AND(SUM(C4000:F4000,H4000:K4000)=0,G4000=1),0,INT((SUMPRODUCT(C4000:F4000,COLUMN($A$1:$D$1)-1)+SUMPRODUCT(H4000:K4000,COLUMN($E$1:$H$1)-1))*'Line Follower'!$C$3/SUM(C4000:F4000,H4000:K4000)-'Line Follower'!$C$5)))</f>
        <v>#N/A</v>
      </c>
      <c r="O4000" s="22" t="e">
        <v>#N/A</v>
      </c>
      <c r="P4000" s="4" t="e">
        <f t="shared" si="310"/>
        <v>#N/A</v>
      </c>
      <c r="Q4000" s="4" t="e">
        <f t="shared" si="311"/>
        <v>#N/A</v>
      </c>
      <c r="R4000" s="4" t="e">
        <f>IF(AND(B4000=1,N4000&gt;'Line Follower'!$C$7,SUM(C4000:K4000)&lt;4),1,0)</f>
        <v>#N/A</v>
      </c>
      <c r="S4000" s="4" t="e">
        <f>IF(AND(L4000=1,N4000&lt;'Line Follower'!$C$6,SUM(C4000:K4000)&lt;4),1,0)</f>
        <v>#N/A</v>
      </c>
      <c r="T4000" s="4" t="e">
        <f t="shared" si="312"/>
        <v>#N/A</v>
      </c>
      <c r="U4000" s="5" t="e">
        <f t="shared" si="313"/>
        <v>#N/A</v>
      </c>
      <c r="V4000" s="23" t="e">
        <f t="shared" si="314"/>
        <v>#N/A</v>
      </c>
    </row>
    <row r="4001" spans="2:22" x14ac:dyDescent="0.25">
      <c r="B4001" s="16">
        <v>0</v>
      </c>
      <c r="C4001" s="7">
        <v>1</v>
      </c>
      <c r="D4001" s="8">
        <v>1</v>
      </c>
      <c r="E4001" s="8">
        <v>1</v>
      </c>
      <c r="F4001" s="8">
        <v>1</v>
      </c>
      <c r="G4001" s="8">
        <v>0</v>
      </c>
      <c r="H4001" s="8">
        <v>0</v>
      </c>
      <c r="I4001" s="8">
        <v>1</v>
      </c>
      <c r="J4001" s="8">
        <v>1</v>
      </c>
      <c r="K4001" s="9">
        <v>1</v>
      </c>
      <c r="L4001" s="10">
        <v>1</v>
      </c>
      <c r="M4001" s="6">
        <v>1</v>
      </c>
      <c r="N4001" s="37" t="e" cm="1">
        <f t="array" ref="N4001">IF(OR(ISNUMBER(FIND(Aux!$D$3:$D$9,_xlfn.TEXTJOIN(,,C4001:K4001)))),NA(),IF(AND(SUM(C4001:F4001,H4001:K4001)=0,G4001=1),0,INT((SUMPRODUCT(C4001:F4001,COLUMN($A$1:$D$1)-1)+SUMPRODUCT(H4001:K4001,COLUMN($E$1:$H$1)-1))*'Line Follower'!$C$3/SUM(C4001:F4001,H4001:K4001)-'Line Follower'!$C$5)))</f>
        <v>#N/A</v>
      </c>
      <c r="O4001" s="22" t="e">
        <v>#N/A</v>
      </c>
      <c r="P4001" s="4" t="e">
        <f t="shared" si="310"/>
        <v>#N/A</v>
      </c>
      <c r="Q4001" s="4" t="e">
        <f t="shared" si="311"/>
        <v>#N/A</v>
      </c>
      <c r="R4001" s="4" t="e">
        <f>IF(AND(B4001=1,N4001&gt;'Line Follower'!$C$7,SUM(C4001:K4001)&lt;4),1,0)</f>
        <v>#N/A</v>
      </c>
      <c r="S4001" s="4" t="e">
        <f>IF(AND(L4001=1,N4001&lt;'Line Follower'!$C$6,SUM(C4001:K4001)&lt;4),1,0)</f>
        <v>#N/A</v>
      </c>
      <c r="T4001" s="4" t="e">
        <f t="shared" si="312"/>
        <v>#N/A</v>
      </c>
      <c r="U4001" s="5" t="e">
        <f t="shared" si="313"/>
        <v>#N/A</v>
      </c>
      <c r="V4001" s="23" t="e">
        <f t="shared" si="314"/>
        <v>#N/A</v>
      </c>
    </row>
    <row r="4002" spans="2:22" x14ac:dyDescent="0.25">
      <c r="B4002" s="16">
        <v>1</v>
      </c>
      <c r="C4002" s="7">
        <v>1</v>
      </c>
      <c r="D4002" s="8">
        <v>1</v>
      </c>
      <c r="E4002" s="8">
        <v>1</v>
      </c>
      <c r="F4002" s="8">
        <v>1</v>
      </c>
      <c r="G4002" s="8">
        <v>0</v>
      </c>
      <c r="H4002" s="8">
        <v>0</v>
      </c>
      <c r="I4002" s="8">
        <v>1</v>
      </c>
      <c r="J4002" s="8">
        <v>1</v>
      </c>
      <c r="K4002" s="9">
        <v>1</v>
      </c>
      <c r="L4002" s="10">
        <v>1</v>
      </c>
      <c r="M4002" s="6">
        <v>1</v>
      </c>
      <c r="N4002" s="37" t="e" cm="1">
        <f t="array" ref="N4002">IF(OR(ISNUMBER(FIND(Aux!$D$3:$D$9,_xlfn.TEXTJOIN(,,C4002:K4002)))),NA(),IF(AND(SUM(C4002:F4002,H4002:K4002)=0,G4002=1),0,INT((SUMPRODUCT(C4002:F4002,COLUMN($A$1:$D$1)-1)+SUMPRODUCT(H4002:K4002,COLUMN($E$1:$H$1)-1))*'Line Follower'!$C$3/SUM(C4002:F4002,H4002:K4002)-'Line Follower'!$C$5)))</f>
        <v>#N/A</v>
      </c>
      <c r="O4002" s="22" t="e">
        <v>#N/A</v>
      </c>
      <c r="P4002" s="4" t="e">
        <f t="shared" si="310"/>
        <v>#N/A</v>
      </c>
      <c r="Q4002" s="4" t="e">
        <f t="shared" si="311"/>
        <v>#N/A</v>
      </c>
      <c r="R4002" s="4" t="e">
        <f>IF(AND(B4002=1,N4002&gt;'Line Follower'!$C$7,SUM(C4002:K4002)&lt;4),1,0)</f>
        <v>#N/A</v>
      </c>
      <c r="S4002" s="4" t="e">
        <f>IF(AND(L4002=1,N4002&lt;'Line Follower'!$C$6,SUM(C4002:K4002)&lt;4),1,0)</f>
        <v>#N/A</v>
      </c>
      <c r="T4002" s="4" t="e">
        <f t="shared" si="312"/>
        <v>#N/A</v>
      </c>
      <c r="U4002" s="5" t="e">
        <f t="shared" si="313"/>
        <v>#N/A</v>
      </c>
      <c r="V4002" s="23" t="e">
        <f t="shared" si="314"/>
        <v>#N/A</v>
      </c>
    </row>
    <row r="4003" spans="2:22" x14ac:dyDescent="0.25">
      <c r="B4003" s="16">
        <v>0</v>
      </c>
      <c r="C4003" s="7">
        <v>0</v>
      </c>
      <c r="D4003" s="8">
        <v>0</v>
      </c>
      <c r="E4003" s="8">
        <v>0</v>
      </c>
      <c r="F4003" s="8">
        <v>0</v>
      </c>
      <c r="G4003" s="8">
        <v>1</v>
      </c>
      <c r="H4003" s="8">
        <v>0</v>
      </c>
      <c r="I4003" s="8">
        <v>1</v>
      </c>
      <c r="J4003" s="8">
        <v>1</v>
      </c>
      <c r="K4003" s="9">
        <v>1</v>
      </c>
      <c r="L4003" s="10">
        <v>1</v>
      </c>
      <c r="M4003" s="6">
        <v>1</v>
      </c>
      <c r="N4003" s="37" t="e" cm="1">
        <f t="array" ref="N4003">IF(OR(ISNUMBER(FIND(Aux!$D$3:$D$9,_xlfn.TEXTJOIN(,,C4003:K4003)))),NA(),IF(AND(SUM(C4003:F4003,H4003:K4003)=0,G4003=1),0,INT((SUMPRODUCT(C4003:F4003,COLUMN($A$1:$D$1)-1)+SUMPRODUCT(H4003:K4003,COLUMN($E$1:$H$1)-1))*'Line Follower'!$C$3/SUM(C4003:F4003,H4003:K4003)-'Line Follower'!$C$5)))</f>
        <v>#N/A</v>
      </c>
      <c r="O4003" s="22" t="e">
        <v>#N/A</v>
      </c>
      <c r="P4003" s="4" t="e">
        <f t="shared" si="310"/>
        <v>#N/A</v>
      </c>
      <c r="Q4003" s="4" t="e">
        <f t="shared" si="311"/>
        <v>#N/A</v>
      </c>
      <c r="R4003" s="4" t="e">
        <f>IF(AND(B4003=1,N4003&gt;'Line Follower'!$C$7,SUM(C4003:K4003)&lt;4),1,0)</f>
        <v>#N/A</v>
      </c>
      <c r="S4003" s="4" t="e">
        <f>IF(AND(L4003=1,N4003&lt;'Line Follower'!$C$6,SUM(C4003:K4003)&lt;4),1,0)</f>
        <v>#N/A</v>
      </c>
      <c r="T4003" s="4" t="e">
        <f t="shared" si="312"/>
        <v>#N/A</v>
      </c>
      <c r="U4003" s="5" t="e">
        <f t="shared" si="313"/>
        <v>#N/A</v>
      </c>
      <c r="V4003" s="23" t="e">
        <f t="shared" si="314"/>
        <v>#N/A</v>
      </c>
    </row>
    <row r="4004" spans="2:22" x14ac:dyDescent="0.25">
      <c r="B4004" s="16">
        <v>1</v>
      </c>
      <c r="C4004" s="7">
        <v>0</v>
      </c>
      <c r="D4004" s="8">
        <v>0</v>
      </c>
      <c r="E4004" s="8">
        <v>0</v>
      </c>
      <c r="F4004" s="8">
        <v>0</v>
      </c>
      <c r="G4004" s="8">
        <v>1</v>
      </c>
      <c r="H4004" s="8">
        <v>0</v>
      </c>
      <c r="I4004" s="8">
        <v>1</v>
      </c>
      <c r="J4004" s="8">
        <v>1</v>
      </c>
      <c r="K4004" s="9">
        <v>1</v>
      </c>
      <c r="L4004" s="10">
        <v>1</v>
      </c>
      <c r="M4004" s="6">
        <v>1</v>
      </c>
      <c r="N4004" s="37" t="e" cm="1">
        <f t="array" ref="N4004">IF(OR(ISNUMBER(FIND(Aux!$D$3:$D$9,_xlfn.TEXTJOIN(,,C4004:K4004)))),NA(),IF(AND(SUM(C4004:F4004,H4004:K4004)=0,G4004=1),0,INT((SUMPRODUCT(C4004:F4004,COLUMN($A$1:$D$1)-1)+SUMPRODUCT(H4004:K4004,COLUMN($E$1:$H$1)-1))*'Line Follower'!$C$3/SUM(C4004:F4004,H4004:K4004)-'Line Follower'!$C$5)))</f>
        <v>#N/A</v>
      </c>
      <c r="O4004" s="22" t="e">
        <v>#N/A</v>
      </c>
      <c r="P4004" s="4" t="e">
        <f t="shared" si="310"/>
        <v>#N/A</v>
      </c>
      <c r="Q4004" s="4" t="e">
        <f t="shared" si="311"/>
        <v>#N/A</v>
      </c>
      <c r="R4004" s="4" t="e">
        <f>IF(AND(B4004=1,N4004&gt;'Line Follower'!$C$7,SUM(C4004:K4004)&lt;4),1,0)</f>
        <v>#N/A</v>
      </c>
      <c r="S4004" s="4" t="e">
        <f>IF(AND(L4004=1,N4004&lt;'Line Follower'!$C$6,SUM(C4004:K4004)&lt;4),1,0)</f>
        <v>#N/A</v>
      </c>
      <c r="T4004" s="4" t="e">
        <f t="shared" si="312"/>
        <v>#N/A</v>
      </c>
      <c r="U4004" s="5" t="e">
        <f t="shared" si="313"/>
        <v>#N/A</v>
      </c>
      <c r="V4004" s="23" t="e">
        <f t="shared" si="314"/>
        <v>#N/A</v>
      </c>
    </row>
    <row r="4005" spans="2:22" x14ac:dyDescent="0.25">
      <c r="B4005" s="16">
        <v>0</v>
      </c>
      <c r="C4005" s="7">
        <v>1</v>
      </c>
      <c r="D4005" s="8">
        <v>0</v>
      </c>
      <c r="E4005" s="8">
        <v>0</v>
      </c>
      <c r="F4005" s="8">
        <v>0</v>
      </c>
      <c r="G4005" s="8">
        <v>1</v>
      </c>
      <c r="H4005" s="8">
        <v>0</v>
      </c>
      <c r="I4005" s="8">
        <v>1</v>
      </c>
      <c r="J4005" s="8">
        <v>1</v>
      </c>
      <c r="K4005" s="9">
        <v>1</v>
      </c>
      <c r="L4005" s="10">
        <v>1</v>
      </c>
      <c r="M4005" s="6">
        <v>1</v>
      </c>
      <c r="N4005" s="37" t="e" cm="1">
        <f t="array" ref="N4005">IF(OR(ISNUMBER(FIND(Aux!$D$3:$D$9,_xlfn.TEXTJOIN(,,C4005:K4005)))),NA(),IF(AND(SUM(C4005:F4005,H4005:K4005)=0,G4005=1),0,INT((SUMPRODUCT(C4005:F4005,COLUMN($A$1:$D$1)-1)+SUMPRODUCT(H4005:K4005,COLUMN($E$1:$H$1)-1))*'Line Follower'!$C$3/SUM(C4005:F4005,H4005:K4005)-'Line Follower'!$C$5)))</f>
        <v>#N/A</v>
      </c>
      <c r="O4005" s="22" t="e">
        <v>#N/A</v>
      </c>
      <c r="P4005" s="4" t="e">
        <f t="shared" si="310"/>
        <v>#N/A</v>
      </c>
      <c r="Q4005" s="4" t="e">
        <f t="shared" si="311"/>
        <v>#N/A</v>
      </c>
      <c r="R4005" s="4" t="e">
        <f>IF(AND(B4005=1,N4005&gt;'Line Follower'!$C$7,SUM(C4005:K4005)&lt;4),1,0)</f>
        <v>#N/A</v>
      </c>
      <c r="S4005" s="4" t="e">
        <f>IF(AND(L4005=1,N4005&lt;'Line Follower'!$C$6,SUM(C4005:K4005)&lt;4),1,0)</f>
        <v>#N/A</v>
      </c>
      <c r="T4005" s="4" t="e">
        <f t="shared" si="312"/>
        <v>#N/A</v>
      </c>
      <c r="U4005" s="5" t="e">
        <f t="shared" si="313"/>
        <v>#N/A</v>
      </c>
      <c r="V4005" s="23" t="e">
        <f t="shared" si="314"/>
        <v>#N/A</v>
      </c>
    </row>
    <row r="4006" spans="2:22" x14ac:dyDescent="0.25">
      <c r="B4006" s="16">
        <v>1</v>
      </c>
      <c r="C4006" s="7">
        <v>1</v>
      </c>
      <c r="D4006" s="8">
        <v>0</v>
      </c>
      <c r="E4006" s="8">
        <v>0</v>
      </c>
      <c r="F4006" s="8">
        <v>0</v>
      </c>
      <c r="G4006" s="8">
        <v>1</v>
      </c>
      <c r="H4006" s="8">
        <v>0</v>
      </c>
      <c r="I4006" s="8">
        <v>1</v>
      </c>
      <c r="J4006" s="8">
        <v>1</v>
      </c>
      <c r="K4006" s="9">
        <v>1</v>
      </c>
      <c r="L4006" s="10">
        <v>1</v>
      </c>
      <c r="M4006" s="6">
        <v>1</v>
      </c>
      <c r="N4006" s="37" t="e" cm="1">
        <f t="array" ref="N4006">IF(OR(ISNUMBER(FIND(Aux!$D$3:$D$9,_xlfn.TEXTJOIN(,,C4006:K4006)))),NA(),IF(AND(SUM(C4006:F4006,H4006:K4006)=0,G4006=1),0,INT((SUMPRODUCT(C4006:F4006,COLUMN($A$1:$D$1)-1)+SUMPRODUCT(H4006:K4006,COLUMN($E$1:$H$1)-1))*'Line Follower'!$C$3/SUM(C4006:F4006,H4006:K4006)-'Line Follower'!$C$5)))</f>
        <v>#N/A</v>
      </c>
      <c r="O4006" s="22" t="e">
        <v>#N/A</v>
      </c>
      <c r="P4006" s="4" t="e">
        <f t="shared" si="310"/>
        <v>#N/A</v>
      </c>
      <c r="Q4006" s="4" t="e">
        <f t="shared" si="311"/>
        <v>#N/A</v>
      </c>
      <c r="R4006" s="4" t="e">
        <f>IF(AND(B4006=1,N4006&gt;'Line Follower'!$C$7,SUM(C4006:K4006)&lt;4),1,0)</f>
        <v>#N/A</v>
      </c>
      <c r="S4006" s="4" t="e">
        <f>IF(AND(L4006=1,N4006&lt;'Line Follower'!$C$6,SUM(C4006:K4006)&lt;4),1,0)</f>
        <v>#N/A</v>
      </c>
      <c r="T4006" s="4" t="e">
        <f t="shared" si="312"/>
        <v>#N/A</v>
      </c>
      <c r="U4006" s="5" t="e">
        <f t="shared" si="313"/>
        <v>#N/A</v>
      </c>
      <c r="V4006" s="23" t="e">
        <f t="shared" si="314"/>
        <v>#N/A</v>
      </c>
    </row>
    <row r="4007" spans="2:22" x14ac:dyDescent="0.25">
      <c r="B4007" s="16">
        <v>0</v>
      </c>
      <c r="C4007" s="7">
        <v>0</v>
      </c>
      <c r="D4007" s="8">
        <v>1</v>
      </c>
      <c r="E4007" s="8">
        <v>0</v>
      </c>
      <c r="F4007" s="8">
        <v>0</v>
      </c>
      <c r="G4007" s="8">
        <v>1</v>
      </c>
      <c r="H4007" s="8">
        <v>0</v>
      </c>
      <c r="I4007" s="8">
        <v>1</v>
      </c>
      <c r="J4007" s="8">
        <v>1</v>
      </c>
      <c r="K4007" s="9">
        <v>1</v>
      </c>
      <c r="L4007" s="10">
        <v>1</v>
      </c>
      <c r="M4007" s="6">
        <v>1</v>
      </c>
      <c r="N4007" s="37" t="e" cm="1">
        <f t="array" ref="N4007">IF(OR(ISNUMBER(FIND(Aux!$D$3:$D$9,_xlfn.TEXTJOIN(,,C4007:K4007)))),NA(),IF(AND(SUM(C4007:F4007,H4007:K4007)=0,G4007=1),0,INT((SUMPRODUCT(C4007:F4007,COLUMN($A$1:$D$1)-1)+SUMPRODUCT(H4007:K4007,COLUMN($E$1:$H$1)-1))*'Line Follower'!$C$3/SUM(C4007:F4007,H4007:K4007)-'Line Follower'!$C$5)))</f>
        <v>#N/A</v>
      </c>
      <c r="O4007" s="22" t="e">
        <v>#N/A</v>
      </c>
      <c r="P4007" s="4" t="e">
        <f t="shared" si="310"/>
        <v>#N/A</v>
      </c>
      <c r="Q4007" s="4" t="e">
        <f t="shared" si="311"/>
        <v>#N/A</v>
      </c>
      <c r="R4007" s="4" t="e">
        <f>IF(AND(B4007=1,N4007&gt;'Line Follower'!$C$7,SUM(C4007:K4007)&lt;4),1,0)</f>
        <v>#N/A</v>
      </c>
      <c r="S4007" s="4" t="e">
        <f>IF(AND(L4007=1,N4007&lt;'Line Follower'!$C$6,SUM(C4007:K4007)&lt;4),1,0)</f>
        <v>#N/A</v>
      </c>
      <c r="T4007" s="4" t="e">
        <f t="shared" si="312"/>
        <v>#N/A</v>
      </c>
      <c r="U4007" s="5" t="e">
        <f t="shared" si="313"/>
        <v>#N/A</v>
      </c>
      <c r="V4007" s="23" t="e">
        <f t="shared" si="314"/>
        <v>#N/A</v>
      </c>
    </row>
    <row r="4008" spans="2:22" x14ac:dyDescent="0.25">
      <c r="B4008" s="16">
        <v>1</v>
      </c>
      <c r="C4008" s="7">
        <v>0</v>
      </c>
      <c r="D4008" s="8">
        <v>1</v>
      </c>
      <c r="E4008" s="8">
        <v>0</v>
      </c>
      <c r="F4008" s="8">
        <v>0</v>
      </c>
      <c r="G4008" s="8">
        <v>1</v>
      </c>
      <c r="H4008" s="8">
        <v>0</v>
      </c>
      <c r="I4008" s="8">
        <v>1</v>
      </c>
      <c r="J4008" s="8">
        <v>1</v>
      </c>
      <c r="K4008" s="9">
        <v>1</v>
      </c>
      <c r="L4008" s="10">
        <v>1</v>
      </c>
      <c r="M4008" s="6">
        <v>1</v>
      </c>
      <c r="N4008" s="37" t="e" cm="1">
        <f t="array" ref="N4008">IF(OR(ISNUMBER(FIND(Aux!$D$3:$D$9,_xlfn.TEXTJOIN(,,C4008:K4008)))),NA(),IF(AND(SUM(C4008:F4008,H4008:K4008)=0,G4008=1),0,INT((SUMPRODUCT(C4008:F4008,COLUMN($A$1:$D$1)-1)+SUMPRODUCT(H4008:K4008,COLUMN($E$1:$H$1)-1))*'Line Follower'!$C$3/SUM(C4008:F4008,H4008:K4008)-'Line Follower'!$C$5)))</f>
        <v>#N/A</v>
      </c>
      <c r="O4008" s="22" t="e">
        <v>#N/A</v>
      </c>
      <c r="P4008" s="4" t="e">
        <f t="shared" si="310"/>
        <v>#N/A</v>
      </c>
      <c r="Q4008" s="4" t="e">
        <f t="shared" si="311"/>
        <v>#N/A</v>
      </c>
      <c r="R4008" s="4" t="e">
        <f>IF(AND(B4008=1,N4008&gt;'Line Follower'!$C$7,SUM(C4008:K4008)&lt;4),1,0)</f>
        <v>#N/A</v>
      </c>
      <c r="S4008" s="4" t="e">
        <f>IF(AND(L4008=1,N4008&lt;'Line Follower'!$C$6,SUM(C4008:K4008)&lt;4),1,0)</f>
        <v>#N/A</v>
      </c>
      <c r="T4008" s="4" t="e">
        <f t="shared" si="312"/>
        <v>#N/A</v>
      </c>
      <c r="U4008" s="5" t="e">
        <f t="shared" si="313"/>
        <v>#N/A</v>
      </c>
      <c r="V4008" s="23" t="e">
        <f t="shared" si="314"/>
        <v>#N/A</v>
      </c>
    </row>
    <row r="4009" spans="2:22" x14ac:dyDescent="0.25">
      <c r="B4009" s="16">
        <v>0</v>
      </c>
      <c r="C4009" s="7">
        <v>1</v>
      </c>
      <c r="D4009" s="8">
        <v>1</v>
      </c>
      <c r="E4009" s="8">
        <v>0</v>
      </c>
      <c r="F4009" s="8">
        <v>0</v>
      </c>
      <c r="G4009" s="8">
        <v>1</v>
      </c>
      <c r="H4009" s="8">
        <v>0</v>
      </c>
      <c r="I4009" s="8">
        <v>1</v>
      </c>
      <c r="J4009" s="8">
        <v>1</v>
      </c>
      <c r="K4009" s="9">
        <v>1</v>
      </c>
      <c r="L4009" s="10">
        <v>1</v>
      </c>
      <c r="M4009" s="6">
        <v>1</v>
      </c>
      <c r="N4009" s="37" t="e" cm="1">
        <f t="array" ref="N4009">IF(OR(ISNUMBER(FIND(Aux!$D$3:$D$9,_xlfn.TEXTJOIN(,,C4009:K4009)))),NA(),IF(AND(SUM(C4009:F4009,H4009:K4009)=0,G4009=1),0,INT((SUMPRODUCT(C4009:F4009,COLUMN($A$1:$D$1)-1)+SUMPRODUCT(H4009:K4009,COLUMN($E$1:$H$1)-1))*'Line Follower'!$C$3/SUM(C4009:F4009,H4009:K4009)-'Line Follower'!$C$5)))</f>
        <v>#N/A</v>
      </c>
      <c r="O4009" s="22" t="e">
        <v>#N/A</v>
      </c>
      <c r="P4009" s="4" t="e">
        <f t="shared" si="310"/>
        <v>#N/A</v>
      </c>
      <c r="Q4009" s="4" t="e">
        <f t="shared" si="311"/>
        <v>#N/A</v>
      </c>
      <c r="R4009" s="4" t="e">
        <f>IF(AND(B4009=1,N4009&gt;'Line Follower'!$C$7,SUM(C4009:K4009)&lt;4),1,0)</f>
        <v>#N/A</v>
      </c>
      <c r="S4009" s="4" t="e">
        <f>IF(AND(L4009=1,N4009&lt;'Line Follower'!$C$6,SUM(C4009:K4009)&lt;4),1,0)</f>
        <v>#N/A</v>
      </c>
      <c r="T4009" s="4" t="e">
        <f t="shared" si="312"/>
        <v>#N/A</v>
      </c>
      <c r="U4009" s="5" t="e">
        <f t="shared" si="313"/>
        <v>#N/A</v>
      </c>
      <c r="V4009" s="23" t="e">
        <f t="shared" si="314"/>
        <v>#N/A</v>
      </c>
    </row>
    <row r="4010" spans="2:22" x14ac:dyDescent="0.25">
      <c r="B4010" s="16">
        <v>1</v>
      </c>
      <c r="C4010" s="7">
        <v>1</v>
      </c>
      <c r="D4010" s="8">
        <v>1</v>
      </c>
      <c r="E4010" s="8">
        <v>0</v>
      </c>
      <c r="F4010" s="8">
        <v>0</v>
      </c>
      <c r="G4010" s="8">
        <v>1</v>
      </c>
      <c r="H4010" s="8">
        <v>0</v>
      </c>
      <c r="I4010" s="8">
        <v>1</v>
      </c>
      <c r="J4010" s="8">
        <v>1</v>
      </c>
      <c r="K4010" s="9">
        <v>1</v>
      </c>
      <c r="L4010" s="10">
        <v>1</v>
      </c>
      <c r="M4010" s="6">
        <v>1</v>
      </c>
      <c r="N4010" s="37" t="e" cm="1">
        <f t="array" ref="N4010">IF(OR(ISNUMBER(FIND(Aux!$D$3:$D$9,_xlfn.TEXTJOIN(,,C4010:K4010)))),NA(),IF(AND(SUM(C4010:F4010,H4010:K4010)=0,G4010=1),0,INT((SUMPRODUCT(C4010:F4010,COLUMN($A$1:$D$1)-1)+SUMPRODUCT(H4010:K4010,COLUMN($E$1:$H$1)-1))*'Line Follower'!$C$3/SUM(C4010:F4010,H4010:K4010)-'Line Follower'!$C$5)))</f>
        <v>#N/A</v>
      </c>
      <c r="O4010" s="22" t="e">
        <v>#N/A</v>
      </c>
      <c r="P4010" s="4" t="e">
        <f t="shared" si="310"/>
        <v>#N/A</v>
      </c>
      <c r="Q4010" s="4" t="e">
        <f t="shared" si="311"/>
        <v>#N/A</v>
      </c>
      <c r="R4010" s="4" t="e">
        <f>IF(AND(B4010=1,N4010&gt;'Line Follower'!$C$7,SUM(C4010:K4010)&lt;4),1,0)</f>
        <v>#N/A</v>
      </c>
      <c r="S4010" s="4" t="e">
        <f>IF(AND(L4010=1,N4010&lt;'Line Follower'!$C$6,SUM(C4010:K4010)&lt;4),1,0)</f>
        <v>#N/A</v>
      </c>
      <c r="T4010" s="4" t="e">
        <f t="shared" si="312"/>
        <v>#N/A</v>
      </c>
      <c r="U4010" s="5" t="e">
        <f t="shared" si="313"/>
        <v>#N/A</v>
      </c>
      <c r="V4010" s="23" t="e">
        <f t="shared" si="314"/>
        <v>#N/A</v>
      </c>
    </row>
    <row r="4011" spans="2:22" x14ac:dyDescent="0.25">
      <c r="B4011" s="16">
        <v>0</v>
      </c>
      <c r="C4011" s="7">
        <v>0</v>
      </c>
      <c r="D4011" s="8">
        <v>0</v>
      </c>
      <c r="E4011" s="8">
        <v>1</v>
      </c>
      <c r="F4011" s="8">
        <v>0</v>
      </c>
      <c r="G4011" s="8">
        <v>1</v>
      </c>
      <c r="H4011" s="8">
        <v>0</v>
      </c>
      <c r="I4011" s="8">
        <v>1</v>
      </c>
      <c r="J4011" s="8">
        <v>1</v>
      </c>
      <c r="K4011" s="9">
        <v>1</v>
      </c>
      <c r="L4011" s="10">
        <v>1</v>
      </c>
      <c r="M4011" s="6">
        <v>1</v>
      </c>
      <c r="N4011" s="37" t="e" cm="1">
        <f t="array" ref="N4011">IF(OR(ISNUMBER(FIND(Aux!$D$3:$D$9,_xlfn.TEXTJOIN(,,C4011:K4011)))),NA(),IF(AND(SUM(C4011:F4011,H4011:K4011)=0,G4011=1),0,INT((SUMPRODUCT(C4011:F4011,COLUMN($A$1:$D$1)-1)+SUMPRODUCT(H4011:K4011,COLUMN($E$1:$H$1)-1))*'Line Follower'!$C$3/SUM(C4011:F4011,H4011:K4011)-'Line Follower'!$C$5)))</f>
        <v>#N/A</v>
      </c>
      <c r="O4011" s="22" t="e">
        <v>#N/A</v>
      </c>
      <c r="P4011" s="4" t="e">
        <f t="shared" si="310"/>
        <v>#N/A</v>
      </c>
      <c r="Q4011" s="4" t="e">
        <f t="shared" si="311"/>
        <v>#N/A</v>
      </c>
      <c r="R4011" s="4" t="e">
        <f>IF(AND(B4011=1,N4011&gt;'Line Follower'!$C$7,SUM(C4011:K4011)&lt;4),1,0)</f>
        <v>#N/A</v>
      </c>
      <c r="S4011" s="4" t="e">
        <f>IF(AND(L4011=1,N4011&lt;'Line Follower'!$C$6,SUM(C4011:K4011)&lt;4),1,0)</f>
        <v>#N/A</v>
      </c>
      <c r="T4011" s="4" t="e">
        <f t="shared" si="312"/>
        <v>#N/A</v>
      </c>
      <c r="U4011" s="5" t="e">
        <f t="shared" si="313"/>
        <v>#N/A</v>
      </c>
      <c r="V4011" s="23" t="e">
        <f t="shared" si="314"/>
        <v>#N/A</v>
      </c>
    </row>
    <row r="4012" spans="2:22" x14ac:dyDescent="0.25">
      <c r="B4012" s="16">
        <v>1</v>
      </c>
      <c r="C4012" s="7">
        <v>0</v>
      </c>
      <c r="D4012" s="8">
        <v>0</v>
      </c>
      <c r="E4012" s="8">
        <v>1</v>
      </c>
      <c r="F4012" s="8">
        <v>0</v>
      </c>
      <c r="G4012" s="8">
        <v>1</v>
      </c>
      <c r="H4012" s="8">
        <v>0</v>
      </c>
      <c r="I4012" s="8">
        <v>1</v>
      </c>
      <c r="J4012" s="8">
        <v>1</v>
      </c>
      <c r="K4012" s="9">
        <v>1</v>
      </c>
      <c r="L4012" s="10">
        <v>1</v>
      </c>
      <c r="M4012" s="6">
        <v>1</v>
      </c>
      <c r="N4012" s="37" t="e" cm="1">
        <f t="array" ref="N4012">IF(OR(ISNUMBER(FIND(Aux!$D$3:$D$9,_xlfn.TEXTJOIN(,,C4012:K4012)))),NA(),IF(AND(SUM(C4012:F4012,H4012:K4012)=0,G4012=1),0,INT((SUMPRODUCT(C4012:F4012,COLUMN($A$1:$D$1)-1)+SUMPRODUCT(H4012:K4012,COLUMN($E$1:$H$1)-1))*'Line Follower'!$C$3/SUM(C4012:F4012,H4012:K4012)-'Line Follower'!$C$5)))</f>
        <v>#N/A</v>
      </c>
      <c r="O4012" s="22" t="e">
        <v>#N/A</v>
      </c>
      <c r="P4012" s="4" t="e">
        <f t="shared" si="310"/>
        <v>#N/A</v>
      </c>
      <c r="Q4012" s="4" t="e">
        <f t="shared" si="311"/>
        <v>#N/A</v>
      </c>
      <c r="R4012" s="4" t="e">
        <f>IF(AND(B4012=1,N4012&gt;'Line Follower'!$C$7,SUM(C4012:K4012)&lt;4),1,0)</f>
        <v>#N/A</v>
      </c>
      <c r="S4012" s="4" t="e">
        <f>IF(AND(L4012=1,N4012&lt;'Line Follower'!$C$6,SUM(C4012:K4012)&lt;4),1,0)</f>
        <v>#N/A</v>
      </c>
      <c r="T4012" s="4" t="e">
        <f t="shared" si="312"/>
        <v>#N/A</v>
      </c>
      <c r="U4012" s="5" t="e">
        <f t="shared" si="313"/>
        <v>#N/A</v>
      </c>
      <c r="V4012" s="23" t="e">
        <f t="shared" si="314"/>
        <v>#N/A</v>
      </c>
    </row>
    <row r="4013" spans="2:22" x14ac:dyDescent="0.25">
      <c r="B4013" s="16">
        <v>0</v>
      </c>
      <c r="C4013" s="7">
        <v>1</v>
      </c>
      <c r="D4013" s="8">
        <v>0</v>
      </c>
      <c r="E4013" s="8">
        <v>1</v>
      </c>
      <c r="F4013" s="8">
        <v>0</v>
      </c>
      <c r="G4013" s="8">
        <v>1</v>
      </c>
      <c r="H4013" s="8">
        <v>0</v>
      </c>
      <c r="I4013" s="8">
        <v>1</v>
      </c>
      <c r="J4013" s="8">
        <v>1</v>
      </c>
      <c r="K4013" s="9">
        <v>1</v>
      </c>
      <c r="L4013" s="10">
        <v>1</v>
      </c>
      <c r="M4013" s="6">
        <v>1</v>
      </c>
      <c r="N4013" s="37" t="e" cm="1">
        <f t="array" ref="N4013">IF(OR(ISNUMBER(FIND(Aux!$D$3:$D$9,_xlfn.TEXTJOIN(,,C4013:K4013)))),NA(),IF(AND(SUM(C4013:F4013,H4013:K4013)=0,G4013=1),0,INT((SUMPRODUCT(C4013:F4013,COLUMN($A$1:$D$1)-1)+SUMPRODUCT(H4013:K4013,COLUMN($E$1:$H$1)-1))*'Line Follower'!$C$3/SUM(C4013:F4013,H4013:K4013)-'Line Follower'!$C$5)))</f>
        <v>#N/A</v>
      </c>
      <c r="O4013" s="22" t="e">
        <v>#N/A</v>
      </c>
      <c r="P4013" s="4" t="e">
        <f t="shared" si="310"/>
        <v>#N/A</v>
      </c>
      <c r="Q4013" s="4" t="e">
        <f t="shared" si="311"/>
        <v>#N/A</v>
      </c>
      <c r="R4013" s="4" t="e">
        <f>IF(AND(B4013=1,N4013&gt;'Line Follower'!$C$7,SUM(C4013:K4013)&lt;4),1,0)</f>
        <v>#N/A</v>
      </c>
      <c r="S4013" s="4" t="e">
        <f>IF(AND(L4013=1,N4013&lt;'Line Follower'!$C$6,SUM(C4013:K4013)&lt;4),1,0)</f>
        <v>#N/A</v>
      </c>
      <c r="T4013" s="4" t="e">
        <f t="shared" si="312"/>
        <v>#N/A</v>
      </c>
      <c r="U4013" s="5" t="e">
        <f t="shared" si="313"/>
        <v>#N/A</v>
      </c>
      <c r="V4013" s="23" t="e">
        <f t="shared" si="314"/>
        <v>#N/A</v>
      </c>
    </row>
    <row r="4014" spans="2:22" x14ac:dyDescent="0.25">
      <c r="B4014" s="16">
        <v>1</v>
      </c>
      <c r="C4014" s="7">
        <v>1</v>
      </c>
      <c r="D4014" s="8">
        <v>0</v>
      </c>
      <c r="E4014" s="8">
        <v>1</v>
      </c>
      <c r="F4014" s="8">
        <v>0</v>
      </c>
      <c r="G4014" s="8">
        <v>1</v>
      </c>
      <c r="H4014" s="8">
        <v>0</v>
      </c>
      <c r="I4014" s="8">
        <v>1</v>
      </c>
      <c r="J4014" s="8">
        <v>1</v>
      </c>
      <c r="K4014" s="9">
        <v>1</v>
      </c>
      <c r="L4014" s="10">
        <v>1</v>
      </c>
      <c r="M4014" s="6">
        <v>1</v>
      </c>
      <c r="N4014" s="37" t="e" cm="1">
        <f t="array" ref="N4014">IF(OR(ISNUMBER(FIND(Aux!$D$3:$D$9,_xlfn.TEXTJOIN(,,C4014:K4014)))),NA(),IF(AND(SUM(C4014:F4014,H4014:K4014)=0,G4014=1),0,INT((SUMPRODUCT(C4014:F4014,COLUMN($A$1:$D$1)-1)+SUMPRODUCT(H4014:K4014,COLUMN($E$1:$H$1)-1))*'Line Follower'!$C$3/SUM(C4014:F4014,H4014:K4014)-'Line Follower'!$C$5)))</f>
        <v>#N/A</v>
      </c>
      <c r="O4014" s="22" t="e">
        <v>#N/A</v>
      </c>
      <c r="P4014" s="4" t="e">
        <f t="shared" si="310"/>
        <v>#N/A</v>
      </c>
      <c r="Q4014" s="4" t="e">
        <f t="shared" si="311"/>
        <v>#N/A</v>
      </c>
      <c r="R4014" s="4" t="e">
        <f>IF(AND(B4014=1,N4014&gt;'Line Follower'!$C$7,SUM(C4014:K4014)&lt;4),1,0)</f>
        <v>#N/A</v>
      </c>
      <c r="S4014" s="4" t="e">
        <f>IF(AND(L4014=1,N4014&lt;'Line Follower'!$C$6,SUM(C4014:K4014)&lt;4),1,0)</f>
        <v>#N/A</v>
      </c>
      <c r="T4014" s="4" t="e">
        <f t="shared" si="312"/>
        <v>#N/A</v>
      </c>
      <c r="U4014" s="5" t="e">
        <f t="shared" si="313"/>
        <v>#N/A</v>
      </c>
      <c r="V4014" s="23" t="e">
        <f t="shared" si="314"/>
        <v>#N/A</v>
      </c>
    </row>
    <row r="4015" spans="2:22" x14ac:dyDescent="0.25">
      <c r="B4015" s="16">
        <v>0</v>
      </c>
      <c r="C4015" s="7">
        <v>0</v>
      </c>
      <c r="D4015" s="8">
        <v>1</v>
      </c>
      <c r="E4015" s="8">
        <v>1</v>
      </c>
      <c r="F4015" s="8">
        <v>0</v>
      </c>
      <c r="G4015" s="8">
        <v>1</v>
      </c>
      <c r="H4015" s="8">
        <v>0</v>
      </c>
      <c r="I4015" s="8">
        <v>1</v>
      </c>
      <c r="J4015" s="8">
        <v>1</v>
      </c>
      <c r="K4015" s="9">
        <v>1</v>
      </c>
      <c r="L4015" s="10">
        <v>1</v>
      </c>
      <c r="M4015" s="6">
        <v>1</v>
      </c>
      <c r="N4015" s="37" t="e" cm="1">
        <f t="array" ref="N4015">IF(OR(ISNUMBER(FIND(Aux!$D$3:$D$9,_xlfn.TEXTJOIN(,,C4015:K4015)))),NA(),IF(AND(SUM(C4015:F4015,H4015:K4015)=0,G4015=1),0,INT((SUMPRODUCT(C4015:F4015,COLUMN($A$1:$D$1)-1)+SUMPRODUCT(H4015:K4015,COLUMN($E$1:$H$1)-1))*'Line Follower'!$C$3/SUM(C4015:F4015,H4015:K4015)-'Line Follower'!$C$5)))</f>
        <v>#N/A</v>
      </c>
      <c r="O4015" s="22" t="e">
        <v>#N/A</v>
      </c>
      <c r="P4015" s="4" t="e">
        <f t="shared" si="310"/>
        <v>#N/A</v>
      </c>
      <c r="Q4015" s="4" t="e">
        <f t="shared" si="311"/>
        <v>#N/A</v>
      </c>
      <c r="R4015" s="4" t="e">
        <f>IF(AND(B4015=1,N4015&gt;'Line Follower'!$C$7,SUM(C4015:K4015)&lt;4),1,0)</f>
        <v>#N/A</v>
      </c>
      <c r="S4015" s="4" t="e">
        <f>IF(AND(L4015=1,N4015&lt;'Line Follower'!$C$6,SUM(C4015:K4015)&lt;4),1,0)</f>
        <v>#N/A</v>
      </c>
      <c r="T4015" s="4" t="e">
        <f t="shared" si="312"/>
        <v>#N/A</v>
      </c>
      <c r="U4015" s="5" t="e">
        <f t="shared" si="313"/>
        <v>#N/A</v>
      </c>
      <c r="V4015" s="23" t="e">
        <f t="shared" si="314"/>
        <v>#N/A</v>
      </c>
    </row>
    <row r="4016" spans="2:22" x14ac:dyDescent="0.25">
      <c r="B4016" s="16">
        <v>1</v>
      </c>
      <c r="C4016" s="7">
        <v>0</v>
      </c>
      <c r="D4016" s="8">
        <v>1</v>
      </c>
      <c r="E4016" s="8">
        <v>1</v>
      </c>
      <c r="F4016" s="8">
        <v>0</v>
      </c>
      <c r="G4016" s="8">
        <v>1</v>
      </c>
      <c r="H4016" s="8">
        <v>0</v>
      </c>
      <c r="I4016" s="8">
        <v>1</v>
      </c>
      <c r="J4016" s="8">
        <v>1</v>
      </c>
      <c r="K4016" s="9">
        <v>1</v>
      </c>
      <c r="L4016" s="10">
        <v>1</v>
      </c>
      <c r="M4016" s="6">
        <v>1</v>
      </c>
      <c r="N4016" s="37" t="e" cm="1">
        <f t="array" ref="N4016">IF(OR(ISNUMBER(FIND(Aux!$D$3:$D$9,_xlfn.TEXTJOIN(,,C4016:K4016)))),NA(),IF(AND(SUM(C4016:F4016,H4016:K4016)=0,G4016=1),0,INT((SUMPRODUCT(C4016:F4016,COLUMN($A$1:$D$1)-1)+SUMPRODUCT(H4016:K4016,COLUMN($E$1:$H$1)-1))*'Line Follower'!$C$3/SUM(C4016:F4016,H4016:K4016)-'Line Follower'!$C$5)))</f>
        <v>#N/A</v>
      </c>
      <c r="O4016" s="22" t="e">
        <v>#N/A</v>
      </c>
      <c r="P4016" s="4" t="e">
        <f t="shared" si="310"/>
        <v>#N/A</v>
      </c>
      <c r="Q4016" s="4" t="e">
        <f t="shared" si="311"/>
        <v>#N/A</v>
      </c>
      <c r="R4016" s="4" t="e">
        <f>IF(AND(B4016=1,N4016&gt;'Line Follower'!$C$7,SUM(C4016:K4016)&lt;4),1,0)</f>
        <v>#N/A</v>
      </c>
      <c r="S4016" s="4" t="e">
        <f>IF(AND(L4016=1,N4016&lt;'Line Follower'!$C$6,SUM(C4016:K4016)&lt;4),1,0)</f>
        <v>#N/A</v>
      </c>
      <c r="T4016" s="4" t="e">
        <f t="shared" si="312"/>
        <v>#N/A</v>
      </c>
      <c r="U4016" s="5" t="e">
        <f t="shared" si="313"/>
        <v>#N/A</v>
      </c>
      <c r="V4016" s="23" t="e">
        <f t="shared" si="314"/>
        <v>#N/A</v>
      </c>
    </row>
    <row r="4017" spans="2:22" x14ac:dyDescent="0.25">
      <c r="B4017" s="16">
        <v>0</v>
      </c>
      <c r="C4017" s="7">
        <v>1</v>
      </c>
      <c r="D4017" s="8">
        <v>1</v>
      </c>
      <c r="E4017" s="8">
        <v>1</v>
      </c>
      <c r="F4017" s="8">
        <v>0</v>
      </c>
      <c r="G4017" s="8">
        <v>1</v>
      </c>
      <c r="H4017" s="8">
        <v>0</v>
      </c>
      <c r="I4017" s="8">
        <v>1</v>
      </c>
      <c r="J4017" s="8">
        <v>1</v>
      </c>
      <c r="K4017" s="9">
        <v>1</v>
      </c>
      <c r="L4017" s="10">
        <v>1</v>
      </c>
      <c r="M4017" s="6">
        <v>1</v>
      </c>
      <c r="N4017" s="37" t="e" cm="1">
        <f t="array" ref="N4017">IF(OR(ISNUMBER(FIND(Aux!$D$3:$D$9,_xlfn.TEXTJOIN(,,C4017:K4017)))),NA(),IF(AND(SUM(C4017:F4017,H4017:K4017)=0,G4017=1),0,INT((SUMPRODUCT(C4017:F4017,COLUMN($A$1:$D$1)-1)+SUMPRODUCT(H4017:K4017,COLUMN($E$1:$H$1)-1))*'Line Follower'!$C$3/SUM(C4017:F4017,H4017:K4017)-'Line Follower'!$C$5)))</f>
        <v>#N/A</v>
      </c>
      <c r="O4017" s="22" t="e">
        <v>#N/A</v>
      </c>
      <c r="P4017" s="4" t="e">
        <f t="shared" si="310"/>
        <v>#N/A</v>
      </c>
      <c r="Q4017" s="4" t="e">
        <f t="shared" si="311"/>
        <v>#N/A</v>
      </c>
      <c r="R4017" s="4" t="e">
        <f>IF(AND(B4017=1,N4017&gt;'Line Follower'!$C$7,SUM(C4017:K4017)&lt;4),1,0)</f>
        <v>#N/A</v>
      </c>
      <c r="S4017" s="4" t="e">
        <f>IF(AND(L4017=1,N4017&lt;'Line Follower'!$C$6,SUM(C4017:K4017)&lt;4),1,0)</f>
        <v>#N/A</v>
      </c>
      <c r="T4017" s="4" t="e">
        <f t="shared" si="312"/>
        <v>#N/A</v>
      </c>
      <c r="U4017" s="5" t="e">
        <f t="shared" si="313"/>
        <v>#N/A</v>
      </c>
      <c r="V4017" s="23" t="e">
        <f t="shared" si="314"/>
        <v>#N/A</v>
      </c>
    </row>
    <row r="4018" spans="2:22" x14ac:dyDescent="0.25">
      <c r="B4018" s="16">
        <v>1</v>
      </c>
      <c r="C4018" s="7">
        <v>1</v>
      </c>
      <c r="D4018" s="8">
        <v>1</v>
      </c>
      <c r="E4018" s="8">
        <v>1</v>
      </c>
      <c r="F4018" s="8">
        <v>0</v>
      </c>
      <c r="G4018" s="8">
        <v>1</v>
      </c>
      <c r="H4018" s="8">
        <v>0</v>
      </c>
      <c r="I4018" s="8">
        <v>1</v>
      </c>
      <c r="J4018" s="8">
        <v>1</v>
      </c>
      <c r="K4018" s="9">
        <v>1</v>
      </c>
      <c r="L4018" s="10">
        <v>1</v>
      </c>
      <c r="M4018" s="6">
        <v>1</v>
      </c>
      <c r="N4018" s="37" t="e" cm="1">
        <f t="array" ref="N4018">IF(OR(ISNUMBER(FIND(Aux!$D$3:$D$9,_xlfn.TEXTJOIN(,,C4018:K4018)))),NA(),IF(AND(SUM(C4018:F4018,H4018:K4018)=0,G4018=1),0,INT((SUMPRODUCT(C4018:F4018,COLUMN($A$1:$D$1)-1)+SUMPRODUCT(H4018:K4018,COLUMN($E$1:$H$1)-1))*'Line Follower'!$C$3/SUM(C4018:F4018,H4018:K4018)-'Line Follower'!$C$5)))</f>
        <v>#N/A</v>
      </c>
      <c r="O4018" s="22" t="e">
        <v>#N/A</v>
      </c>
      <c r="P4018" s="4" t="e">
        <f t="shared" si="310"/>
        <v>#N/A</v>
      </c>
      <c r="Q4018" s="4" t="e">
        <f t="shared" si="311"/>
        <v>#N/A</v>
      </c>
      <c r="R4018" s="4" t="e">
        <f>IF(AND(B4018=1,N4018&gt;'Line Follower'!$C$7,SUM(C4018:K4018)&lt;4),1,0)</f>
        <v>#N/A</v>
      </c>
      <c r="S4018" s="4" t="e">
        <f>IF(AND(L4018=1,N4018&lt;'Line Follower'!$C$6,SUM(C4018:K4018)&lt;4),1,0)</f>
        <v>#N/A</v>
      </c>
      <c r="T4018" s="4" t="e">
        <f t="shared" si="312"/>
        <v>#N/A</v>
      </c>
      <c r="U4018" s="5" t="e">
        <f t="shared" si="313"/>
        <v>#N/A</v>
      </c>
      <c r="V4018" s="23" t="e">
        <f t="shared" si="314"/>
        <v>#N/A</v>
      </c>
    </row>
    <row r="4019" spans="2:22" x14ac:dyDescent="0.25">
      <c r="B4019" s="16">
        <v>0</v>
      </c>
      <c r="C4019" s="7">
        <v>0</v>
      </c>
      <c r="D4019" s="8">
        <v>0</v>
      </c>
      <c r="E4019" s="8">
        <v>0</v>
      </c>
      <c r="F4019" s="8">
        <v>1</v>
      </c>
      <c r="G4019" s="8">
        <v>1</v>
      </c>
      <c r="H4019" s="8">
        <v>0</v>
      </c>
      <c r="I4019" s="8">
        <v>1</v>
      </c>
      <c r="J4019" s="8">
        <v>1</v>
      </c>
      <c r="K4019" s="9">
        <v>1</v>
      </c>
      <c r="L4019" s="10">
        <v>1</v>
      </c>
      <c r="M4019" s="6">
        <v>1</v>
      </c>
      <c r="N4019" s="37" t="e" cm="1">
        <f t="array" ref="N4019">IF(OR(ISNUMBER(FIND(Aux!$D$3:$D$9,_xlfn.TEXTJOIN(,,C4019:K4019)))),NA(),IF(AND(SUM(C4019:F4019,H4019:K4019)=0,G4019=1),0,INT((SUMPRODUCT(C4019:F4019,COLUMN($A$1:$D$1)-1)+SUMPRODUCT(H4019:K4019,COLUMN($E$1:$H$1)-1))*'Line Follower'!$C$3/SUM(C4019:F4019,H4019:K4019)-'Line Follower'!$C$5)))</f>
        <v>#N/A</v>
      </c>
      <c r="O4019" s="22" t="e">
        <v>#N/A</v>
      </c>
      <c r="P4019" s="4" t="e">
        <f t="shared" si="310"/>
        <v>#N/A</v>
      </c>
      <c r="Q4019" s="4" t="e">
        <f t="shared" si="311"/>
        <v>#N/A</v>
      </c>
      <c r="R4019" s="4" t="e">
        <f>IF(AND(B4019=1,N4019&gt;'Line Follower'!$C$7,SUM(C4019:K4019)&lt;4),1,0)</f>
        <v>#N/A</v>
      </c>
      <c r="S4019" s="4" t="e">
        <f>IF(AND(L4019=1,N4019&lt;'Line Follower'!$C$6,SUM(C4019:K4019)&lt;4),1,0)</f>
        <v>#N/A</v>
      </c>
      <c r="T4019" s="4" t="e">
        <f t="shared" si="312"/>
        <v>#N/A</v>
      </c>
      <c r="U4019" s="5" t="e">
        <f t="shared" si="313"/>
        <v>#N/A</v>
      </c>
      <c r="V4019" s="23" t="e">
        <f t="shared" si="314"/>
        <v>#N/A</v>
      </c>
    </row>
    <row r="4020" spans="2:22" x14ac:dyDescent="0.25">
      <c r="B4020" s="16">
        <v>1</v>
      </c>
      <c r="C4020" s="7">
        <v>0</v>
      </c>
      <c r="D4020" s="8">
        <v>0</v>
      </c>
      <c r="E4020" s="8">
        <v>0</v>
      </c>
      <c r="F4020" s="8">
        <v>1</v>
      </c>
      <c r="G4020" s="8">
        <v>1</v>
      </c>
      <c r="H4020" s="8">
        <v>0</v>
      </c>
      <c r="I4020" s="8">
        <v>1</v>
      </c>
      <c r="J4020" s="8">
        <v>1</v>
      </c>
      <c r="K4020" s="9">
        <v>1</v>
      </c>
      <c r="L4020" s="10">
        <v>1</v>
      </c>
      <c r="M4020" s="6">
        <v>1</v>
      </c>
      <c r="N4020" s="37" t="e" cm="1">
        <f t="array" ref="N4020">IF(OR(ISNUMBER(FIND(Aux!$D$3:$D$9,_xlfn.TEXTJOIN(,,C4020:K4020)))),NA(),IF(AND(SUM(C4020:F4020,H4020:K4020)=0,G4020=1),0,INT((SUMPRODUCT(C4020:F4020,COLUMN($A$1:$D$1)-1)+SUMPRODUCT(H4020:K4020,COLUMN($E$1:$H$1)-1))*'Line Follower'!$C$3/SUM(C4020:F4020,H4020:K4020)-'Line Follower'!$C$5)))</f>
        <v>#N/A</v>
      </c>
      <c r="O4020" s="22" t="e">
        <v>#N/A</v>
      </c>
      <c r="P4020" s="4" t="e">
        <f t="shared" si="310"/>
        <v>#N/A</v>
      </c>
      <c r="Q4020" s="4" t="e">
        <f t="shared" si="311"/>
        <v>#N/A</v>
      </c>
      <c r="R4020" s="4" t="e">
        <f>IF(AND(B4020=1,N4020&gt;'Line Follower'!$C$7,SUM(C4020:K4020)&lt;4),1,0)</f>
        <v>#N/A</v>
      </c>
      <c r="S4020" s="4" t="e">
        <f>IF(AND(L4020=1,N4020&lt;'Line Follower'!$C$6,SUM(C4020:K4020)&lt;4),1,0)</f>
        <v>#N/A</v>
      </c>
      <c r="T4020" s="4" t="e">
        <f t="shared" si="312"/>
        <v>#N/A</v>
      </c>
      <c r="U4020" s="5" t="e">
        <f t="shared" si="313"/>
        <v>#N/A</v>
      </c>
      <c r="V4020" s="23" t="e">
        <f t="shared" si="314"/>
        <v>#N/A</v>
      </c>
    </row>
    <row r="4021" spans="2:22" x14ac:dyDescent="0.25">
      <c r="B4021" s="16">
        <v>0</v>
      </c>
      <c r="C4021" s="7">
        <v>1</v>
      </c>
      <c r="D4021" s="8">
        <v>0</v>
      </c>
      <c r="E4021" s="8">
        <v>0</v>
      </c>
      <c r="F4021" s="8">
        <v>1</v>
      </c>
      <c r="G4021" s="8">
        <v>1</v>
      </c>
      <c r="H4021" s="8">
        <v>0</v>
      </c>
      <c r="I4021" s="8">
        <v>1</v>
      </c>
      <c r="J4021" s="8">
        <v>1</v>
      </c>
      <c r="K4021" s="9">
        <v>1</v>
      </c>
      <c r="L4021" s="10">
        <v>1</v>
      </c>
      <c r="M4021" s="6">
        <v>1</v>
      </c>
      <c r="N4021" s="37" t="e" cm="1">
        <f t="array" ref="N4021">IF(OR(ISNUMBER(FIND(Aux!$D$3:$D$9,_xlfn.TEXTJOIN(,,C4021:K4021)))),NA(),IF(AND(SUM(C4021:F4021,H4021:K4021)=0,G4021=1),0,INT((SUMPRODUCT(C4021:F4021,COLUMN($A$1:$D$1)-1)+SUMPRODUCT(H4021:K4021,COLUMN($E$1:$H$1)-1))*'Line Follower'!$C$3/SUM(C4021:F4021,H4021:K4021)-'Line Follower'!$C$5)))</f>
        <v>#N/A</v>
      </c>
      <c r="O4021" s="22" t="e">
        <v>#N/A</v>
      </c>
      <c r="P4021" s="4" t="e">
        <f t="shared" si="310"/>
        <v>#N/A</v>
      </c>
      <c r="Q4021" s="4" t="e">
        <f t="shared" si="311"/>
        <v>#N/A</v>
      </c>
      <c r="R4021" s="4" t="e">
        <f>IF(AND(B4021=1,N4021&gt;'Line Follower'!$C$7,SUM(C4021:K4021)&lt;4),1,0)</f>
        <v>#N/A</v>
      </c>
      <c r="S4021" s="4" t="e">
        <f>IF(AND(L4021=1,N4021&lt;'Line Follower'!$C$6,SUM(C4021:K4021)&lt;4),1,0)</f>
        <v>#N/A</v>
      </c>
      <c r="T4021" s="4" t="e">
        <f t="shared" si="312"/>
        <v>#N/A</v>
      </c>
      <c r="U4021" s="5" t="e">
        <f t="shared" si="313"/>
        <v>#N/A</v>
      </c>
      <c r="V4021" s="23" t="e">
        <f t="shared" si="314"/>
        <v>#N/A</v>
      </c>
    </row>
    <row r="4022" spans="2:22" x14ac:dyDescent="0.25">
      <c r="B4022" s="16">
        <v>1</v>
      </c>
      <c r="C4022" s="7">
        <v>1</v>
      </c>
      <c r="D4022" s="8">
        <v>0</v>
      </c>
      <c r="E4022" s="8">
        <v>0</v>
      </c>
      <c r="F4022" s="8">
        <v>1</v>
      </c>
      <c r="G4022" s="8">
        <v>1</v>
      </c>
      <c r="H4022" s="8">
        <v>0</v>
      </c>
      <c r="I4022" s="8">
        <v>1</v>
      </c>
      <c r="J4022" s="8">
        <v>1</v>
      </c>
      <c r="K4022" s="9">
        <v>1</v>
      </c>
      <c r="L4022" s="10">
        <v>1</v>
      </c>
      <c r="M4022" s="6">
        <v>1</v>
      </c>
      <c r="N4022" s="37" t="e" cm="1">
        <f t="array" ref="N4022">IF(OR(ISNUMBER(FIND(Aux!$D$3:$D$9,_xlfn.TEXTJOIN(,,C4022:K4022)))),NA(),IF(AND(SUM(C4022:F4022,H4022:K4022)=0,G4022=1),0,INT((SUMPRODUCT(C4022:F4022,COLUMN($A$1:$D$1)-1)+SUMPRODUCT(H4022:K4022,COLUMN($E$1:$H$1)-1))*'Line Follower'!$C$3/SUM(C4022:F4022,H4022:K4022)-'Line Follower'!$C$5)))</f>
        <v>#N/A</v>
      </c>
      <c r="O4022" s="22" t="e">
        <v>#N/A</v>
      </c>
      <c r="P4022" s="4" t="e">
        <f t="shared" si="310"/>
        <v>#N/A</v>
      </c>
      <c r="Q4022" s="4" t="e">
        <f t="shared" si="311"/>
        <v>#N/A</v>
      </c>
      <c r="R4022" s="4" t="e">
        <f>IF(AND(B4022=1,N4022&gt;'Line Follower'!$C$7,SUM(C4022:K4022)&lt;4),1,0)</f>
        <v>#N/A</v>
      </c>
      <c r="S4022" s="4" t="e">
        <f>IF(AND(L4022=1,N4022&lt;'Line Follower'!$C$6,SUM(C4022:K4022)&lt;4),1,0)</f>
        <v>#N/A</v>
      </c>
      <c r="T4022" s="4" t="e">
        <f t="shared" si="312"/>
        <v>#N/A</v>
      </c>
      <c r="U4022" s="5" t="e">
        <f t="shared" si="313"/>
        <v>#N/A</v>
      </c>
      <c r="V4022" s="23" t="e">
        <f t="shared" si="314"/>
        <v>#N/A</v>
      </c>
    </row>
    <row r="4023" spans="2:22" x14ac:dyDescent="0.25">
      <c r="B4023" s="16">
        <v>0</v>
      </c>
      <c r="C4023" s="7">
        <v>0</v>
      </c>
      <c r="D4023" s="8">
        <v>1</v>
      </c>
      <c r="E4023" s="8">
        <v>0</v>
      </c>
      <c r="F4023" s="8">
        <v>1</v>
      </c>
      <c r="G4023" s="8">
        <v>1</v>
      </c>
      <c r="H4023" s="8">
        <v>0</v>
      </c>
      <c r="I4023" s="8">
        <v>1</v>
      </c>
      <c r="J4023" s="8">
        <v>1</v>
      </c>
      <c r="K4023" s="9">
        <v>1</v>
      </c>
      <c r="L4023" s="10">
        <v>1</v>
      </c>
      <c r="M4023" s="6">
        <v>1</v>
      </c>
      <c r="N4023" s="37" t="e" cm="1">
        <f t="array" ref="N4023">IF(OR(ISNUMBER(FIND(Aux!$D$3:$D$9,_xlfn.TEXTJOIN(,,C4023:K4023)))),NA(),IF(AND(SUM(C4023:F4023,H4023:K4023)=0,G4023=1),0,INT((SUMPRODUCT(C4023:F4023,COLUMN($A$1:$D$1)-1)+SUMPRODUCT(H4023:K4023,COLUMN($E$1:$H$1)-1))*'Line Follower'!$C$3/SUM(C4023:F4023,H4023:K4023)-'Line Follower'!$C$5)))</f>
        <v>#N/A</v>
      </c>
      <c r="O4023" s="22" t="e">
        <v>#N/A</v>
      </c>
      <c r="P4023" s="4" t="e">
        <f t="shared" si="310"/>
        <v>#N/A</v>
      </c>
      <c r="Q4023" s="4" t="e">
        <f t="shared" si="311"/>
        <v>#N/A</v>
      </c>
      <c r="R4023" s="4" t="e">
        <f>IF(AND(B4023=1,N4023&gt;'Line Follower'!$C$7,SUM(C4023:K4023)&lt;4),1,0)</f>
        <v>#N/A</v>
      </c>
      <c r="S4023" s="4" t="e">
        <f>IF(AND(L4023=1,N4023&lt;'Line Follower'!$C$6,SUM(C4023:K4023)&lt;4),1,0)</f>
        <v>#N/A</v>
      </c>
      <c r="T4023" s="4" t="e">
        <f t="shared" si="312"/>
        <v>#N/A</v>
      </c>
      <c r="U4023" s="5" t="e">
        <f t="shared" si="313"/>
        <v>#N/A</v>
      </c>
      <c r="V4023" s="23" t="e">
        <f t="shared" si="314"/>
        <v>#N/A</v>
      </c>
    </row>
    <row r="4024" spans="2:22" x14ac:dyDescent="0.25">
      <c r="B4024" s="16">
        <v>1</v>
      </c>
      <c r="C4024" s="7">
        <v>0</v>
      </c>
      <c r="D4024" s="8">
        <v>1</v>
      </c>
      <c r="E4024" s="8">
        <v>0</v>
      </c>
      <c r="F4024" s="8">
        <v>1</v>
      </c>
      <c r="G4024" s="8">
        <v>1</v>
      </c>
      <c r="H4024" s="8">
        <v>0</v>
      </c>
      <c r="I4024" s="8">
        <v>1</v>
      </c>
      <c r="J4024" s="8">
        <v>1</v>
      </c>
      <c r="K4024" s="9">
        <v>1</v>
      </c>
      <c r="L4024" s="10">
        <v>1</v>
      </c>
      <c r="M4024" s="6">
        <v>1</v>
      </c>
      <c r="N4024" s="37" t="e" cm="1">
        <f t="array" ref="N4024">IF(OR(ISNUMBER(FIND(Aux!$D$3:$D$9,_xlfn.TEXTJOIN(,,C4024:K4024)))),NA(),IF(AND(SUM(C4024:F4024,H4024:K4024)=0,G4024=1),0,INT((SUMPRODUCT(C4024:F4024,COLUMN($A$1:$D$1)-1)+SUMPRODUCT(H4024:K4024,COLUMN($E$1:$H$1)-1))*'Line Follower'!$C$3/SUM(C4024:F4024,H4024:K4024)-'Line Follower'!$C$5)))</f>
        <v>#N/A</v>
      </c>
      <c r="O4024" s="22" t="e">
        <v>#N/A</v>
      </c>
      <c r="P4024" s="4" t="e">
        <f t="shared" si="310"/>
        <v>#N/A</v>
      </c>
      <c r="Q4024" s="4" t="e">
        <f t="shared" si="311"/>
        <v>#N/A</v>
      </c>
      <c r="R4024" s="4" t="e">
        <f>IF(AND(B4024=1,N4024&gt;'Line Follower'!$C$7,SUM(C4024:K4024)&lt;4),1,0)</f>
        <v>#N/A</v>
      </c>
      <c r="S4024" s="4" t="e">
        <f>IF(AND(L4024=1,N4024&lt;'Line Follower'!$C$6,SUM(C4024:K4024)&lt;4),1,0)</f>
        <v>#N/A</v>
      </c>
      <c r="T4024" s="4" t="e">
        <f t="shared" si="312"/>
        <v>#N/A</v>
      </c>
      <c r="U4024" s="5" t="e">
        <f t="shared" si="313"/>
        <v>#N/A</v>
      </c>
      <c r="V4024" s="23" t="e">
        <f t="shared" si="314"/>
        <v>#N/A</v>
      </c>
    </row>
    <row r="4025" spans="2:22" x14ac:dyDescent="0.25">
      <c r="B4025" s="16">
        <v>0</v>
      </c>
      <c r="C4025" s="7">
        <v>1</v>
      </c>
      <c r="D4025" s="8">
        <v>1</v>
      </c>
      <c r="E4025" s="8">
        <v>0</v>
      </c>
      <c r="F4025" s="8">
        <v>1</v>
      </c>
      <c r="G4025" s="8">
        <v>1</v>
      </c>
      <c r="H4025" s="8">
        <v>0</v>
      </c>
      <c r="I4025" s="8">
        <v>1</v>
      </c>
      <c r="J4025" s="8">
        <v>1</v>
      </c>
      <c r="K4025" s="9">
        <v>1</v>
      </c>
      <c r="L4025" s="10">
        <v>1</v>
      </c>
      <c r="M4025" s="6">
        <v>1</v>
      </c>
      <c r="N4025" s="37" t="e" cm="1">
        <f t="array" ref="N4025">IF(OR(ISNUMBER(FIND(Aux!$D$3:$D$9,_xlfn.TEXTJOIN(,,C4025:K4025)))),NA(),IF(AND(SUM(C4025:F4025,H4025:K4025)=0,G4025=1),0,INT((SUMPRODUCT(C4025:F4025,COLUMN($A$1:$D$1)-1)+SUMPRODUCT(H4025:K4025,COLUMN($E$1:$H$1)-1))*'Line Follower'!$C$3/SUM(C4025:F4025,H4025:K4025)-'Line Follower'!$C$5)))</f>
        <v>#N/A</v>
      </c>
      <c r="O4025" s="22" t="e">
        <v>#N/A</v>
      </c>
      <c r="P4025" s="4" t="e">
        <f t="shared" si="310"/>
        <v>#N/A</v>
      </c>
      <c r="Q4025" s="4" t="e">
        <f t="shared" si="311"/>
        <v>#N/A</v>
      </c>
      <c r="R4025" s="4" t="e">
        <f>IF(AND(B4025=1,N4025&gt;'Line Follower'!$C$7,SUM(C4025:K4025)&lt;4),1,0)</f>
        <v>#N/A</v>
      </c>
      <c r="S4025" s="4" t="e">
        <f>IF(AND(L4025=1,N4025&lt;'Line Follower'!$C$6,SUM(C4025:K4025)&lt;4),1,0)</f>
        <v>#N/A</v>
      </c>
      <c r="T4025" s="4" t="e">
        <f t="shared" si="312"/>
        <v>#N/A</v>
      </c>
      <c r="U4025" s="5" t="e">
        <f t="shared" si="313"/>
        <v>#N/A</v>
      </c>
      <c r="V4025" s="23" t="e">
        <f t="shared" si="314"/>
        <v>#N/A</v>
      </c>
    </row>
    <row r="4026" spans="2:22" x14ac:dyDescent="0.25">
      <c r="B4026" s="16">
        <v>1</v>
      </c>
      <c r="C4026" s="7">
        <v>1</v>
      </c>
      <c r="D4026" s="8">
        <v>1</v>
      </c>
      <c r="E4026" s="8">
        <v>0</v>
      </c>
      <c r="F4026" s="8">
        <v>1</v>
      </c>
      <c r="G4026" s="8">
        <v>1</v>
      </c>
      <c r="H4026" s="8">
        <v>0</v>
      </c>
      <c r="I4026" s="8">
        <v>1</v>
      </c>
      <c r="J4026" s="8">
        <v>1</v>
      </c>
      <c r="K4026" s="9">
        <v>1</v>
      </c>
      <c r="L4026" s="10">
        <v>1</v>
      </c>
      <c r="M4026" s="6">
        <v>1</v>
      </c>
      <c r="N4026" s="37" t="e" cm="1">
        <f t="array" ref="N4026">IF(OR(ISNUMBER(FIND(Aux!$D$3:$D$9,_xlfn.TEXTJOIN(,,C4026:K4026)))),NA(),IF(AND(SUM(C4026:F4026,H4026:K4026)=0,G4026=1),0,INT((SUMPRODUCT(C4026:F4026,COLUMN($A$1:$D$1)-1)+SUMPRODUCT(H4026:K4026,COLUMN($E$1:$H$1)-1))*'Line Follower'!$C$3/SUM(C4026:F4026,H4026:K4026)-'Line Follower'!$C$5)))</f>
        <v>#N/A</v>
      </c>
      <c r="O4026" s="22" t="e">
        <v>#N/A</v>
      </c>
      <c r="P4026" s="4" t="e">
        <f t="shared" si="310"/>
        <v>#N/A</v>
      </c>
      <c r="Q4026" s="4" t="e">
        <f t="shared" si="311"/>
        <v>#N/A</v>
      </c>
      <c r="R4026" s="4" t="e">
        <f>IF(AND(B4026=1,N4026&gt;'Line Follower'!$C$7,SUM(C4026:K4026)&lt;4),1,0)</f>
        <v>#N/A</v>
      </c>
      <c r="S4026" s="4" t="e">
        <f>IF(AND(L4026=1,N4026&lt;'Line Follower'!$C$6,SUM(C4026:K4026)&lt;4),1,0)</f>
        <v>#N/A</v>
      </c>
      <c r="T4026" s="4" t="e">
        <f t="shared" si="312"/>
        <v>#N/A</v>
      </c>
      <c r="U4026" s="5" t="e">
        <f t="shared" si="313"/>
        <v>#N/A</v>
      </c>
      <c r="V4026" s="23" t="e">
        <f t="shared" si="314"/>
        <v>#N/A</v>
      </c>
    </row>
    <row r="4027" spans="2:22" x14ac:dyDescent="0.25">
      <c r="B4027" s="16">
        <v>0</v>
      </c>
      <c r="C4027" s="7">
        <v>0</v>
      </c>
      <c r="D4027" s="8">
        <v>0</v>
      </c>
      <c r="E4027" s="8">
        <v>1</v>
      </c>
      <c r="F4027" s="8">
        <v>1</v>
      </c>
      <c r="G4027" s="8">
        <v>1</v>
      </c>
      <c r="H4027" s="8">
        <v>0</v>
      </c>
      <c r="I4027" s="8">
        <v>1</v>
      </c>
      <c r="J4027" s="8">
        <v>1</v>
      </c>
      <c r="K4027" s="9">
        <v>1</v>
      </c>
      <c r="L4027" s="10">
        <v>1</v>
      </c>
      <c r="M4027" s="6">
        <v>1</v>
      </c>
      <c r="N4027" s="37" t="e" cm="1">
        <f t="array" ref="N4027">IF(OR(ISNUMBER(FIND(Aux!$D$3:$D$9,_xlfn.TEXTJOIN(,,C4027:K4027)))),NA(),IF(AND(SUM(C4027:F4027,H4027:K4027)=0,G4027=1),0,INT((SUMPRODUCT(C4027:F4027,COLUMN($A$1:$D$1)-1)+SUMPRODUCT(H4027:K4027,COLUMN($E$1:$H$1)-1))*'Line Follower'!$C$3/SUM(C4027:F4027,H4027:K4027)-'Line Follower'!$C$5)))</f>
        <v>#N/A</v>
      </c>
      <c r="O4027" s="22" t="e">
        <v>#N/A</v>
      </c>
      <c r="P4027" s="4" t="e">
        <f t="shared" si="310"/>
        <v>#N/A</v>
      </c>
      <c r="Q4027" s="4" t="e">
        <f t="shared" si="311"/>
        <v>#N/A</v>
      </c>
      <c r="R4027" s="4" t="e">
        <f>IF(AND(B4027=1,N4027&gt;'Line Follower'!$C$7,SUM(C4027:K4027)&lt;4),1,0)</f>
        <v>#N/A</v>
      </c>
      <c r="S4027" s="4" t="e">
        <f>IF(AND(L4027=1,N4027&lt;'Line Follower'!$C$6,SUM(C4027:K4027)&lt;4),1,0)</f>
        <v>#N/A</v>
      </c>
      <c r="T4027" s="4" t="e">
        <f t="shared" si="312"/>
        <v>#N/A</v>
      </c>
      <c r="U4027" s="5" t="e">
        <f t="shared" si="313"/>
        <v>#N/A</v>
      </c>
      <c r="V4027" s="23" t="e">
        <f t="shared" si="314"/>
        <v>#N/A</v>
      </c>
    </row>
    <row r="4028" spans="2:22" x14ac:dyDescent="0.25">
      <c r="B4028" s="16">
        <v>1</v>
      </c>
      <c r="C4028" s="7">
        <v>0</v>
      </c>
      <c r="D4028" s="8">
        <v>0</v>
      </c>
      <c r="E4028" s="8">
        <v>1</v>
      </c>
      <c r="F4028" s="8">
        <v>1</v>
      </c>
      <c r="G4028" s="8">
        <v>1</v>
      </c>
      <c r="H4028" s="8">
        <v>0</v>
      </c>
      <c r="I4028" s="8">
        <v>1</v>
      </c>
      <c r="J4028" s="8">
        <v>1</v>
      </c>
      <c r="K4028" s="9">
        <v>1</v>
      </c>
      <c r="L4028" s="10">
        <v>1</v>
      </c>
      <c r="M4028" s="6">
        <v>1</v>
      </c>
      <c r="N4028" s="37" t="e" cm="1">
        <f t="array" ref="N4028">IF(OR(ISNUMBER(FIND(Aux!$D$3:$D$9,_xlfn.TEXTJOIN(,,C4028:K4028)))),NA(),IF(AND(SUM(C4028:F4028,H4028:K4028)=0,G4028=1),0,INT((SUMPRODUCT(C4028:F4028,COLUMN($A$1:$D$1)-1)+SUMPRODUCT(H4028:K4028,COLUMN($E$1:$H$1)-1))*'Line Follower'!$C$3/SUM(C4028:F4028,H4028:K4028)-'Line Follower'!$C$5)))</f>
        <v>#N/A</v>
      </c>
      <c r="O4028" s="22" t="e">
        <v>#N/A</v>
      </c>
      <c r="P4028" s="4" t="e">
        <f t="shared" si="310"/>
        <v>#N/A</v>
      </c>
      <c r="Q4028" s="4" t="e">
        <f t="shared" si="311"/>
        <v>#N/A</v>
      </c>
      <c r="R4028" s="4" t="e">
        <f>IF(AND(B4028=1,N4028&gt;'Line Follower'!$C$7,SUM(C4028:K4028)&lt;4),1,0)</f>
        <v>#N/A</v>
      </c>
      <c r="S4028" s="4" t="e">
        <f>IF(AND(L4028=1,N4028&lt;'Line Follower'!$C$6,SUM(C4028:K4028)&lt;4),1,0)</f>
        <v>#N/A</v>
      </c>
      <c r="T4028" s="4" t="e">
        <f t="shared" si="312"/>
        <v>#N/A</v>
      </c>
      <c r="U4028" s="5" t="e">
        <f t="shared" si="313"/>
        <v>#N/A</v>
      </c>
      <c r="V4028" s="23" t="e">
        <f t="shared" si="314"/>
        <v>#N/A</v>
      </c>
    </row>
    <row r="4029" spans="2:22" x14ac:dyDescent="0.25">
      <c r="B4029" s="16">
        <v>0</v>
      </c>
      <c r="C4029" s="7">
        <v>1</v>
      </c>
      <c r="D4029" s="8">
        <v>0</v>
      </c>
      <c r="E4029" s="8">
        <v>1</v>
      </c>
      <c r="F4029" s="8">
        <v>1</v>
      </c>
      <c r="G4029" s="8">
        <v>1</v>
      </c>
      <c r="H4029" s="8">
        <v>0</v>
      </c>
      <c r="I4029" s="8">
        <v>1</v>
      </c>
      <c r="J4029" s="8">
        <v>1</v>
      </c>
      <c r="K4029" s="9">
        <v>1</v>
      </c>
      <c r="L4029" s="10">
        <v>1</v>
      </c>
      <c r="M4029" s="6">
        <v>1</v>
      </c>
      <c r="N4029" s="37" t="e" cm="1">
        <f t="array" ref="N4029">IF(OR(ISNUMBER(FIND(Aux!$D$3:$D$9,_xlfn.TEXTJOIN(,,C4029:K4029)))),NA(),IF(AND(SUM(C4029:F4029,H4029:K4029)=0,G4029=1),0,INT((SUMPRODUCT(C4029:F4029,COLUMN($A$1:$D$1)-1)+SUMPRODUCT(H4029:K4029,COLUMN($E$1:$H$1)-1))*'Line Follower'!$C$3/SUM(C4029:F4029,H4029:K4029)-'Line Follower'!$C$5)))</f>
        <v>#N/A</v>
      </c>
      <c r="O4029" s="22" t="e">
        <v>#N/A</v>
      </c>
      <c r="P4029" s="4" t="e">
        <f t="shared" si="310"/>
        <v>#N/A</v>
      </c>
      <c r="Q4029" s="4" t="e">
        <f t="shared" si="311"/>
        <v>#N/A</v>
      </c>
      <c r="R4029" s="4" t="e">
        <f>IF(AND(B4029=1,N4029&gt;'Line Follower'!$C$7,SUM(C4029:K4029)&lt;4),1,0)</f>
        <v>#N/A</v>
      </c>
      <c r="S4029" s="4" t="e">
        <f>IF(AND(L4029=1,N4029&lt;'Line Follower'!$C$6,SUM(C4029:K4029)&lt;4),1,0)</f>
        <v>#N/A</v>
      </c>
      <c r="T4029" s="4" t="e">
        <f t="shared" si="312"/>
        <v>#N/A</v>
      </c>
      <c r="U4029" s="5" t="e">
        <f t="shared" si="313"/>
        <v>#N/A</v>
      </c>
      <c r="V4029" s="23" t="e">
        <f t="shared" si="314"/>
        <v>#N/A</v>
      </c>
    </row>
    <row r="4030" spans="2:22" x14ac:dyDescent="0.25">
      <c r="B4030" s="16">
        <v>1</v>
      </c>
      <c r="C4030" s="7">
        <v>1</v>
      </c>
      <c r="D4030" s="8">
        <v>0</v>
      </c>
      <c r="E4030" s="8">
        <v>1</v>
      </c>
      <c r="F4030" s="8">
        <v>1</v>
      </c>
      <c r="G4030" s="8">
        <v>1</v>
      </c>
      <c r="H4030" s="8">
        <v>0</v>
      </c>
      <c r="I4030" s="8">
        <v>1</v>
      </c>
      <c r="J4030" s="8">
        <v>1</v>
      </c>
      <c r="K4030" s="9">
        <v>1</v>
      </c>
      <c r="L4030" s="10">
        <v>1</v>
      </c>
      <c r="M4030" s="6">
        <v>1</v>
      </c>
      <c r="N4030" s="37" t="e" cm="1">
        <f t="array" ref="N4030">IF(OR(ISNUMBER(FIND(Aux!$D$3:$D$9,_xlfn.TEXTJOIN(,,C4030:K4030)))),NA(),IF(AND(SUM(C4030:F4030,H4030:K4030)=0,G4030=1),0,INT((SUMPRODUCT(C4030:F4030,COLUMN($A$1:$D$1)-1)+SUMPRODUCT(H4030:K4030,COLUMN($E$1:$H$1)-1))*'Line Follower'!$C$3/SUM(C4030:F4030,H4030:K4030)-'Line Follower'!$C$5)))</f>
        <v>#N/A</v>
      </c>
      <c r="O4030" s="22" t="e">
        <v>#N/A</v>
      </c>
      <c r="P4030" s="4" t="e">
        <f t="shared" si="310"/>
        <v>#N/A</v>
      </c>
      <c r="Q4030" s="4" t="e">
        <f t="shared" si="311"/>
        <v>#N/A</v>
      </c>
      <c r="R4030" s="4" t="e">
        <f>IF(AND(B4030=1,N4030&gt;'Line Follower'!$C$7,SUM(C4030:K4030)&lt;4),1,0)</f>
        <v>#N/A</v>
      </c>
      <c r="S4030" s="4" t="e">
        <f>IF(AND(L4030=1,N4030&lt;'Line Follower'!$C$6,SUM(C4030:K4030)&lt;4),1,0)</f>
        <v>#N/A</v>
      </c>
      <c r="T4030" s="4" t="e">
        <f t="shared" si="312"/>
        <v>#N/A</v>
      </c>
      <c r="U4030" s="5" t="e">
        <f t="shared" si="313"/>
        <v>#N/A</v>
      </c>
      <c r="V4030" s="23" t="e">
        <f t="shared" si="314"/>
        <v>#N/A</v>
      </c>
    </row>
    <row r="4031" spans="2:22" x14ac:dyDescent="0.25">
      <c r="B4031" s="16">
        <v>0</v>
      </c>
      <c r="C4031" s="7">
        <v>0</v>
      </c>
      <c r="D4031" s="8">
        <v>1</v>
      </c>
      <c r="E4031" s="8">
        <v>1</v>
      </c>
      <c r="F4031" s="8">
        <v>1</v>
      </c>
      <c r="G4031" s="8">
        <v>1</v>
      </c>
      <c r="H4031" s="8">
        <v>0</v>
      </c>
      <c r="I4031" s="8">
        <v>1</v>
      </c>
      <c r="J4031" s="8">
        <v>1</v>
      </c>
      <c r="K4031" s="9">
        <v>1</v>
      </c>
      <c r="L4031" s="10">
        <v>1</v>
      </c>
      <c r="M4031" s="6">
        <v>1</v>
      </c>
      <c r="N4031" s="37" t="e" cm="1">
        <f t="array" ref="N4031">IF(OR(ISNUMBER(FIND(Aux!$D$3:$D$9,_xlfn.TEXTJOIN(,,C4031:K4031)))),NA(),IF(AND(SUM(C4031:F4031,H4031:K4031)=0,G4031=1),0,INT((SUMPRODUCT(C4031:F4031,COLUMN($A$1:$D$1)-1)+SUMPRODUCT(H4031:K4031,COLUMN($E$1:$H$1)-1))*'Line Follower'!$C$3/SUM(C4031:F4031,H4031:K4031)-'Line Follower'!$C$5)))</f>
        <v>#N/A</v>
      </c>
      <c r="O4031" s="22" t="e">
        <v>#N/A</v>
      </c>
      <c r="P4031" s="4" t="e">
        <f t="shared" si="310"/>
        <v>#N/A</v>
      </c>
      <c r="Q4031" s="4" t="e">
        <f t="shared" si="311"/>
        <v>#N/A</v>
      </c>
      <c r="R4031" s="4" t="e">
        <f>IF(AND(B4031=1,N4031&gt;'Line Follower'!$C$7,SUM(C4031:K4031)&lt;4),1,0)</f>
        <v>#N/A</v>
      </c>
      <c r="S4031" s="4" t="e">
        <f>IF(AND(L4031=1,N4031&lt;'Line Follower'!$C$6,SUM(C4031:K4031)&lt;4),1,0)</f>
        <v>#N/A</v>
      </c>
      <c r="T4031" s="4" t="e">
        <f t="shared" si="312"/>
        <v>#N/A</v>
      </c>
      <c r="U4031" s="5" t="e">
        <f t="shared" si="313"/>
        <v>#N/A</v>
      </c>
      <c r="V4031" s="23" t="e">
        <f t="shared" si="314"/>
        <v>#N/A</v>
      </c>
    </row>
    <row r="4032" spans="2:22" x14ac:dyDescent="0.25">
      <c r="B4032" s="16">
        <v>1</v>
      </c>
      <c r="C4032" s="7">
        <v>0</v>
      </c>
      <c r="D4032" s="8">
        <v>1</v>
      </c>
      <c r="E4032" s="8">
        <v>1</v>
      </c>
      <c r="F4032" s="8">
        <v>1</v>
      </c>
      <c r="G4032" s="8">
        <v>1</v>
      </c>
      <c r="H4032" s="8">
        <v>0</v>
      </c>
      <c r="I4032" s="8">
        <v>1</v>
      </c>
      <c r="J4032" s="8">
        <v>1</v>
      </c>
      <c r="K4032" s="9">
        <v>1</v>
      </c>
      <c r="L4032" s="10">
        <v>1</v>
      </c>
      <c r="M4032" s="6">
        <v>1</v>
      </c>
      <c r="N4032" s="37" t="e" cm="1">
        <f t="array" ref="N4032">IF(OR(ISNUMBER(FIND(Aux!$D$3:$D$9,_xlfn.TEXTJOIN(,,C4032:K4032)))),NA(),IF(AND(SUM(C4032:F4032,H4032:K4032)=0,G4032=1),0,INT((SUMPRODUCT(C4032:F4032,COLUMN($A$1:$D$1)-1)+SUMPRODUCT(H4032:K4032,COLUMN($E$1:$H$1)-1))*'Line Follower'!$C$3/SUM(C4032:F4032,H4032:K4032)-'Line Follower'!$C$5)))</f>
        <v>#N/A</v>
      </c>
      <c r="O4032" s="22" t="e">
        <v>#N/A</v>
      </c>
      <c r="P4032" s="4" t="e">
        <f t="shared" si="310"/>
        <v>#N/A</v>
      </c>
      <c r="Q4032" s="4" t="e">
        <f t="shared" si="311"/>
        <v>#N/A</v>
      </c>
      <c r="R4032" s="4" t="e">
        <f>IF(AND(B4032=1,N4032&gt;'Line Follower'!$C$7,SUM(C4032:K4032)&lt;4),1,0)</f>
        <v>#N/A</v>
      </c>
      <c r="S4032" s="4" t="e">
        <f>IF(AND(L4032=1,N4032&lt;'Line Follower'!$C$6,SUM(C4032:K4032)&lt;4),1,0)</f>
        <v>#N/A</v>
      </c>
      <c r="T4032" s="4" t="e">
        <f t="shared" si="312"/>
        <v>#N/A</v>
      </c>
      <c r="U4032" s="5" t="e">
        <f t="shared" si="313"/>
        <v>#N/A</v>
      </c>
      <c r="V4032" s="23" t="e">
        <f t="shared" si="314"/>
        <v>#N/A</v>
      </c>
    </row>
    <row r="4033" spans="2:22" x14ac:dyDescent="0.25">
      <c r="B4033" s="16">
        <v>0</v>
      </c>
      <c r="C4033" s="7">
        <v>1</v>
      </c>
      <c r="D4033" s="8">
        <v>1</v>
      </c>
      <c r="E4033" s="8">
        <v>1</v>
      </c>
      <c r="F4033" s="8">
        <v>1</v>
      </c>
      <c r="G4033" s="8">
        <v>1</v>
      </c>
      <c r="H4033" s="8">
        <v>0</v>
      </c>
      <c r="I4033" s="8">
        <v>1</v>
      </c>
      <c r="J4033" s="8">
        <v>1</v>
      </c>
      <c r="K4033" s="9">
        <v>1</v>
      </c>
      <c r="L4033" s="10">
        <v>1</v>
      </c>
      <c r="M4033" s="6">
        <v>1</v>
      </c>
      <c r="N4033" s="37" t="e" cm="1">
        <f t="array" ref="N4033">IF(OR(ISNUMBER(FIND(Aux!$D$3:$D$9,_xlfn.TEXTJOIN(,,C4033:K4033)))),NA(),IF(AND(SUM(C4033:F4033,H4033:K4033)=0,G4033=1),0,INT((SUMPRODUCT(C4033:F4033,COLUMN($A$1:$D$1)-1)+SUMPRODUCT(H4033:K4033,COLUMN($E$1:$H$1)-1))*'Line Follower'!$C$3/SUM(C4033:F4033,H4033:K4033)-'Line Follower'!$C$5)))</f>
        <v>#N/A</v>
      </c>
      <c r="O4033" s="22" t="e">
        <v>#N/A</v>
      </c>
      <c r="P4033" s="4" t="e">
        <f t="shared" si="310"/>
        <v>#N/A</v>
      </c>
      <c r="Q4033" s="4" t="e">
        <f t="shared" si="311"/>
        <v>#N/A</v>
      </c>
      <c r="R4033" s="4" t="e">
        <f>IF(AND(B4033=1,N4033&gt;'Line Follower'!$C$7,SUM(C4033:K4033)&lt;4),1,0)</f>
        <v>#N/A</v>
      </c>
      <c r="S4033" s="4" t="e">
        <f>IF(AND(L4033=1,N4033&lt;'Line Follower'!$C$6,SUM(C4033:K4033)&lt;4),1,0)</f>
        <v>#N/A</v>
      </c>
      <c r="T4033" s="4" t="e">
        <f t="shared" si="312"/>
        <v>#N/A</v>
      </c>
      <c r="U4033" s="5" t="e">
        <f t="shared" si="313"/>
        <v>#N/A</v>
      </c>
      <c r="V4033" s="23" t="e">
        <f t="shared" si="314"/>
        <v>#N/A</v>
      </c>
    </row>
    <row r="4034" spans="2:22" x14ac:dyDescent="0.25">
      <c r="B4034" s="16">
        <v>1</v>
      </c>
      <c r="C4034" s="7">
        <v>1</v>
      </c>
      <c r="D4034" s="8">
        <v>1</v>
      </c>
      <c r="E4034" s="8">
        <v>1</v>
      </c>
      <c r="F4034" s="8">
        <v>1</v>
      </c>
      <c r="G4034" s="8">
        <v>1</v>
      </c>
      <c r="H4034" s="8">
        <v>0</v>
      </c>
      <c r="I4034" s="8">
        <v>1</v>
      </c>
      <c r="J4034" s="8">
        <v>1</v>
      </c>
      <c r="K4034" s="9">
        <v>1</v>
      </c>
      <c r="L4034" s="10">
        <v>1</v>
      </c>
      <c r="M4034" s="6">
        <v>1</v>
      </c>
      <c r="N4034" s="37" t="e" cm="1">
        <f t="array" ref="N4034">IF(OR(ISNUMBER(FIND(Aux!$D$3:$D$9,_xlfn.TEXTJOIN(,,C4034:K4034)))),NA(),IF(AND(SUM(C4034:F4034,H4034:K4034)=0,G4034=1),0,INT((SUMPRODUCT(C4034:F4034,COLUMN($A$1:$D$1)-1)+SUMPRODUCT(H4034:K4034,COLUMN($E$1:$H$1)-1))*'Line Follower'!$C$3/SUM(C4034:F4034,H4034:K4034)-'Line Follower'!$C$5)))</f>
        <v>#N/A</v>
      </c>
      <c r="O4034" s="22" t="e">
        <v>#N/A</v>
      </c>
      <c r="P4034" s="4" t="e">
        <f t="shared" si="310"/>
        <v>#N/A</v>
      </c>
      <c r="Q4034" s="4" t="e">
        <f t="shared" si="311"/>
        <v>#N/A</v>
      </c>
      <c r="R4034" s="4" t="e">
        <f>IF(AND(B4034=1,N4034&gt;'Line Follower'!$C$7,SUM(C4034:K4034)&lt;4),1,0)</f>
        <v>#N/A</v>
      </c>
      <c r="S4034" s="4" t="e">
        <f>IF(AND(L4034=1,N4034&lt;'Line Follower'!$C$6,SUM(C4034:K4034)&lt;4),1,0)</f>
        <v>#N/A</v>
      </c>
      <c r="T4034" s="4" t="e">
        <f t="shared" si="312"/>
        <v>#N/A</v>
      </c>
      <c r="U4034" s="5" t="e">
        <f t="shared" si="313"/>
        <v>#N/A</v>
      </c>
      <c r="V4034" s="23" t="e">
        <f t="shared" si="314"/>
        <v>#N/A</v>
      </c>
    </row>
    <row r="4035" spans="2:22" x14ac:dyDescent="0.25">
      <c r="B4035" s="16">
        <v>0</v>
      </c>
      <c r="C4035" s="7">
        <v>0</v>
      </c>
      <c r="D4035" s="8">
        <v>0</v>
      </c>
      <c r="E4035" s="8">
        <v>0</v>
      </c>
      <c r="F4035" s="8">
        <v>0</v>
      </c>
      <c r="G4035" s="8">
        <v>0</v>
      </c>
      <c r="H4035" s="8">
        <v>1</v>
      </c>
      <c r="I4035" s="8">
        <v>1</v>
      </c>
      <c r="J4035" s="8">
        <v>1</v>
      </c>
      <c r="K4035" s="9">
        <v>1</v>
      </c>
      <c r="L4035" s="10">
        <v>1</v>
      </c>
      <c r="M4035" s="6">
        <v>1</v>
      </c>
      <c r="N4035" s="37" cm="1">
        <f t="array" ref="N4035">IF(OR(ISNUMBER(FIND(Aux!$D$3:$D$9,_xlfn.TEXTJOIN(,,C4035:K4035)))),NA(),IF(AND(SUM(C4035:F4035,H4035:K4035)=0,G4035=1),0,INT((SUMPRODUCT(C4035:F4035,COLUMN($A$1:$D$1)-1)+SUMPRODUCT(H4035:K4035,COLUMN($E$1:$H$1)-1))*'Line Follower'!$C$3/SUM(C4035:F4035,H4035:K4035)-'Line Follower'!$C$5)))</f>
        <v>4</v>
      </c>
      <c r="O4035" s="22">
        <v>1</v>
      </c>
      <c r="P4035" s="4">
        <f t="shared" ref="P4035:P4098" si="315">IF(AND(N4035=0,G4035=1,M4035=1),1,0)</f>
        <v>0</v>
      </c>
      <c r="Q4035" s="4">
        <f t="shared" ref="Q4035:Q4098" si="316">IF(ISERROR(N4035),N4035,IF(SUM(C4035:K4035)&gt;=4,1,0))</f>
        <v>1</v>
      </c>
      <c r="R4035" s="4">
        <f>IF(AND(B4035=1,N4035&gt;'Line Follower'!$C$7,SUM(C4035:K4035)&lt;4),1,0)</f>
        <v>0</v>
      </c>
      <c r="S4035" s="4">
        <f>IF(AND(L4035=1,N4035&lt;'Line Follower'!$C$6,SUM(C4035:K4035)&lt;4),1,0)</f>
        <v>0</v>
      </c>
      <c r="T4035" s="4">
        <f t="shared" si="312"/>
        <v>0</v>
      </c>
      <c r="U4035" s="5">
        <f t="shared" si="313"/>
        <v>0</v>
      </c>
      <c r="V4035" s="23">
        <f t="shared" si="314"/>
        <v>0</v>
      </c>
    </row>
    <row r="4036" spans="2:22" x14ac:dyDescent="0.25">
      <c r="B4036" s="16">
        <v>1</v>
      </c>
      <c r="C4036" s="7">
        <v>0</v>
      </c>
      <c r="D4036" s="8">
        <v>0</v>
      </c>
      <c r="E4036" s="8">
        <v>0</v>
      </c>
      <c r="F4036" s="8">
        <v>0</v>
      </c>
      <c r="G4036" s="8">
        <v>0</v>
      </c>
      <c r="H4036" s="8">
        <v>1</v>
      </c>
      <c r="I4036" s="8">
        <v>1</v>
      </c>
      <c r="J4036" s="8">
        <v>1</v>
      </c>
      <c r="K4036" s="9">
        <v>1</v>
      </c>
      <c r="L4036" s="10">
        <v>1</v>
      </c>
      <c r="M4036" s="6">
        <v>1</v>
      </c>
      <c r="N4036" s="37" cm="1">
        <f t="array" ref="N4036">IF(OR(ISNUMBER(FIND(Aux!$D$3:$D$9,_xlfn.TEXTJOIN(,,C4036:K4036)))),NA(),IF(AND(SUM(C4036:F4036,H4036:K4036)=0,G4036=1),0,INT((SUMPRODUCT(C4036:F4036,COLUMN($A$1:$D$1)-1)+SUMPRODUCT(H4036:K4036,COLUMN($E$1:$H$1)-1))*'Line Follower'!$C$3/SUM(C4036:F4036,H4036:K4036)-'Line Follower'!$C$5)))</f>
        <v>4</v>
      </c>
      <c r="O4036" s="22">
        <v>1</v>
      </c>
      <c r="P4036" s="4">
        <f t="shared" si="315"/>
        <v>0</v>
      </c>
      <c r="Q4036" s="4">
        <f t="shared" si="316"/>
        <v>1</v>
      </c>
      <c r="R4036" s="4">
        <f>IF(AND(B4036=1,N4036&gt;'Line Follower'!$C$7,SUM(C4036:K4036)&lt;4),1,0)</f>
        <v>0</v>
      </c>
      <c r="S4036" s="4">
        <f>IF(AND(L4036=1,N4036&lt;'Line Follower'!$C$6,SUM(C4036:K4036)&lt;4),1,0)</f>
        <v>0</v>
      </c>
      <c r="T4036" s="4">
        <f t="shared" ref="T4036:T4098" si="317">IF(ISNA(N4036),NA(),IF(SUM(C4036:L4036)=0,1,0))</f>
        <v>0</v>
      </c>
      <c r="U4036" s="5">
        <f t="shared" ref="U4036:U4098" si="318">IF(ISNA(N4036),NA(),IF(SUM(B4036:K4036)=0,1,0))</f>
        <v>0</v>
      </c>
      <c r="V4036" s="23">
        <f t="shared" ref="V4036:V4098" si="319">IF(ISNA(N4036),NA(),IF(SUM(B4036:L4036)=0,1,0))</f>
        <v>0</v>
      </c>
    </row>
    <row r="4037" spans="2:22" x14ac:dyDescent="0.25">
      <c r="B4037" s="16">
        <v>0</v>
      </c>
      <c r="C4037" s="7">
        <v>1</v>
      </c>
      <c r="D4037" s="8">
        <v>0</v>
      </c>
      <c r="E4037" s="8">
        <v>0</v>
      </c>
      <c r="F4037" s="8">
        <v>0</v>
      </c>
      <c r="G4037" s="8">
        <v>0</v>
      </c>
      <c r="H4037" s="8">
        <v>1</v>
      </c>
      <c r="I4037" s="8">
        <v>1</v>
      </c>
      <c r="J4037" s="8">
        <v>1</v>
      </c>
      <c r="K4037" s="9">
        <v>1</v>
      </c>
      <c r="L4037" s="10">
        <v>1</v>
      </c>
      <c r="M4037" s="6">
        <v>1</v>
      </c>
      <c r="N4037" s="37" t="e" cm="1">
        <f t="array" ref="N4037">IF(OR(ISNUMBER(FIND(Aux!$D$3:$D$9,_xlfn.TEXTJOIN(,,C4037:K4037)))),NA(),IF(AND(SUM(C4037:F4037,H4037:K4037)=0,G4037=1),0,INT((SUMPRODUCT(C4037:F4037,COLUMN($A$1:$D$1)-1)+SUMPRODUCT(H4037:K4037,COLUMN($E$1:$H$1)-1))*'Line Follower'!$C$3/SUM(C4037:F4037,H4037:K4037)-'Line Follower'!$C$5)))</f>
        <v>#N/A</v>
      </c>
      <c r="O4037" s="22" t="e">
        <v>#N/A</v>
      </c>
      <c r="P4037" s="4" t="e">
        <f t="shared" si="315"/>
        <v>#N/A</v>
      </c>
      <c r="Q4037" s="4" t="e">
        <f t="shared" si="316"/>
        <v>#N/A</v>
      </c>
      <c r="R4037" s="4" t="e">
        <f>IF(AND(B4037=1,N4037&gt;'Line Follower'!$C$7,SUM(C4037:K4037)&lt;4),1,0)</f>
        <v>#N/A</v>
      </c>
      <c r="S4037" s="4" t="e">
        <f>IF(AND(L4037=1,N4037&lt;'Line Follower'!$C$6,SUM(C4037:K4037)&lt;4),1,0)</f>
        <v>#N/A</v>
      </c>
      <c r="T4037" s="4" t="e">
        <f t="shared" si="317"/>
        <v>#N/A</v>
      </c>
      <c r="U4037" s="5" t="e">
        <f t="shared" si="318"/>
        <v>#N/A</v>
      </c>
      <c r="V4037" s="23" t="e">
        <f t="shared" si="319"/>
        <v>#N/A</v>
      </c>
    </row>
    <row r="4038" spans="2:22" x14ac:dyDescent="0.25">
      <c r="B4038" s="16">
        <v>1</v>
      </c>
      <c r="C4038" s="7">
        <v>1</v>
      </c>
      <c r="D4038" s="8">
        <v>0</v>
      </c>
      <c r="E4038" s="8">
        <v>0</v>
      </c>
      <c r="F4038" s="8">
        <v>0</v>
      </c>
      <c r="G4038" s="8">
        <v>0</v>
      </c>
      <c r="H4038" s="8">
        <v>1</v>
      </c>
      <c r="I4038" s="8">
        <v>1</v>
      </c>
      <c r="J4038" s="8">
        <v>1</v>
      </c>
      <c r="K4038" s="9">
        <v>1</v>
      </c>
      <c r="L4038" s="10">
        <v>1</v>
      </c>
      <c r="M4038" s="6">
        <v>1</v>
      </c>
      <c r="N4038" s="37" t="e" cm="1">
        <f t="array" ref="N4038">IF(OR(ISNUMBER(FIND(Aux!$D$3:$D$9,_xlfn.TEXTJOIN(,,C4038:K4038)))),NA(),IF(AND(SUM(C4038:F4038,H4038:K4038)=0,G4038=1),0,INT((SUMPRODUCT(C4038:F4038,COLUMN($A$1:$D$1)-1)+SUMPRODUCT(H4038:K4038,COLUMN($E$1:$H$1)-1))*'Line Follower'!$C$3/SUM(C4038:F4038,H4038:K4038)-'Line Follower'!$C$5)))</f>
        <v>#N/A</v>
      </c>
      <c r="O4038" s="22" t="e">
        <v>#N/A</v>
      </c>
      <c r="P4038" s="4" t="e">
        <f t="shared" si="315"/>
        <v>#N/A</v>
      </c>
      <c r="Q4038" s="4" t="e">
        <f t="shared" si="316"/>
        <v>#N/A</v>
      </c>
      <c r="R4038" s="4" t="e">
        <f>IF(AND(B4038=1,N4038&gt;'Line Follower'!$C$7,SUM(C4038:K4038)&lt;4),1,0)</f>
        <v>#N/A</v>
      </c>
      <c r="S4038" s="4" t="e">
        <f>IF(AND(L4038=1,N4038&lt;'Line Follower'!$C$6,SUM(C4038:K4038)&lt;4),1,0)</f>
        <v>#N/A</v>
      </c>
      <c r="T4038" s="4" t="e">
        <f t="shared" si="317"/>
        <v>#N/A</v>
      </c>
      <c r="U4038" s="5" t="e">
        <f t="shared" si="318"/>
        <v>#N/A</v>
      </c>
      <c r="V4038" s="23" t="e">
        <f t="shared" si="319"/>
        <v>#N/A</v>
      </c>
    </row>
    <row r="4039" spans="2:22" x14ac:dyDescent="0.25">
      <c r="B4039" s="16">
        <v>0</v>
      </c>
      <c r="C4039" s="7">
        <v>0</v>
      </c>
      <c r="D4039" s="8">
        <v>1</v>
      </c>
      <c r="E4039" s="8">
        <v>0</v>
      </c>
      <c r="F4039" s="8">
        <v>0</v>
      </c>
      <c r="G4039" s="8">
        <v>0</v>
      </c>
      <c r="H4039" s="8">
        <v>1</v>
      </c>
      <c r="I4039" s="8">
        <v>1</v>
      </c>
      <c r="J4039" s="8">
        <v>1</v>
      </c>
      <c r="K4039" s="9">
        <v>1</v>
      </c>
      <c r="L4039" s="10">
        <v>1</v>
      </c>
      <c r="M4039" s="6">
        <v>1</v>
      </c>
      <c r="N4039" s="37" t="e" cm="1">
        <f t="array" ref="N4039">IF(OR(ISNUMBER(FIND(Aux!$D$3:$D$9,_xlfn.TEXTJOIN(,,C4039:K4039)))),NA(),IF(AND(SUM(C4039:F4039,H4039:K4039)=0,G4039=1),0,INT((SUMPRODUCT(C4039:F4039,COLUMN($A$1:$D$1)-1)+SUMPRODUCT(H4039:K4039,COLUMN($E$1:$H$1)-1))*'Line Follower'!$C$3/SUM(C4039:F4039,H4039:K4039)-'Line Follower'!$C$5)))</f>
        <v>#N/A</v>
      </c>
      <c r="O4039" s="22" t="e">
        <v>#N/A</v>
      </c>
      <c r="P4039" s="4" t="e">
        <f t="shared" si="315"/>
        <v>#N/A</v>
      </c>
      <c r="Q4039" s="4" t="e">
        <f t="shared" si="316"/>
        <v>#N/A</v>
      </c>
      <c r="R4039" s="4" t="e">
        <f>IF(AND(B4039=1,N4039&gt;'Line Follower'!$C$7,SUM(C4039:K4039)&lt;4),1,0)</f>
        <v>#N/A</v>
      </c>
      <c r="S4039" s="4" t="e">
        <f>IF(AND(L4039=1,N4039&lt;'Line Follower'!$C$6,SUM(C4039:K4039)&lt;4),1,0)</f>
        <v>#N/A</v>
      </c>
      <c r="T4039" s="4" t="e">
        <f t="shared" si="317"/>
        <v>#N/A</v>
      </c>
      <c r="U4039" s="5" t="e">
        <f t="shared" si="318"/>
        <v>#N/A</v>
      </c>
      <c r="V4039" s="23" t="e">
        <f t="shared" si="319"/>
        <v>#N/A</v>
      </c>
    </row>
    <row r="4040" spans="2:22" x14ac:dyDescent="0.25">
      <c r="B4040" s="16">
        <v>1</v>
      </c>
      <c r="C4040" s="7">
        <v>0</v>
      </c>
      <c r="D4040" s="8">
        <v>1</v>
      </c>
      <c r="E4040" s="8">
        <v>0</v>
      </c>
      <c r="F4040" s="8">
        <v>0</v>
      </c>
      <c r="G4040" s="8">
        <v>0</v>
      </c>
      <c r="H4040" s="8">
        <v>1</v>
      </c>
      <c r="I4040" s="8">
        <v>1</v>
      </c>
      <c r="J4040" s="8">
        <v>1</v>
      </c>
      <c r="K4040" s="9">
        <v>1</v>
      </c>
      <c r="L4040" s="10">
        <v>1</v>
      </c>
      <c r="M4040" s="6">
        <v>1</v>
      </c>
      <c r="N4040" s="37" t="e" cm="1">
        <f t="array" ref="N4040">IF(OR(ISNUMBER(FIND(Aux!$D$3:$D$9,_xlfn.TEXTJOIN(,,C4040:K4040)))),NA(),IF(AND(SUM(C4040:F4040,H4040:K4040)=0,G4040=1),0,INT((SUMPRODUCT(C4040:F4040,COLUMN($A$1:$D$1)-1)+SUMPRODUCT(H4040:K4040,COLUMN($E$1:$H$1)-1))*'Line Follower'!$C$3/SUM(C4040:F4040,H4040:K4040)-'Line Follower'!$C$5)))</f>
        <v>#N/A</v>
      </c>
      <c r="O4040" s="22" t="e">
        <v>#N/A</v>
      </c>
      <c r="P4040" s="4" t="e">
        <f t="shared" si="315"/>
        <v>#N/A</v>
      </c>
      <c r="Q4040" s="4" t="e">
        <f t="shared" si="316"/>
        <v>#N/A</v>
      </c>
      <c r="R4040" s="4" t="e">
        <f>IF(AND(B4040=1,N4040&gt;'Line Follower'!$C$7,SUM(C4040:K4040)&lt;4),1,0)</f>
        <v>#N/A</v>
      </c>
      <c r="S4040" s="4" t="e">
        <f>IF(AND(L4040=1,N4040&lt;'Line Follower'!$C$6,SUM(C4040:K4040)&lt;4),1,0)</f>
        <v>#N/A</v>
      </c>
      <c r="T4040" s="4" t="e">
        <f t="shared" si="317"/>
        <v>#N/A</v>
      </c>
      <c r="U4040" s="5" t="e">
        <f t="shared" si="318"/>
        <v>#N/A</v>
      </c>
      <c r="V4040" s="23" t="e">
        <f t="shared" si="319"/>
        <v>#N/A</v>
      </c>
    </row>
    <row r="4041" spans="2:22" x14ac:dyDescent="0.25">
      <c r="B4041" s="16">
        <v>0</v>
      </c>
      <c r="C4041" s="7">
        <v>1</v>
      </c>
      <c r="D4041" s="8">
        <v>1</v>
      </c>
      <c r="E4041" s="8">
        <v>0</v>
      </c>
      <c r="F4041" s="8">
        <v>0</v>
      </c>
      <c r="G4041" s="8">
        <v>0</v>
      </c>
      <c r="H4041" s="8">
        <v>1</v>
      </c>
      <c r="I4041" s="8">
        <v>1</v>
      </c>
      <c r="J4041" s="8">
        <v>1</v>
      </c>
      <c r="K4041" s="9">
        <v>1</v>
      </c>
      <c r="L4041" s="10">
        <v>1</v>
      </c>
      <c r="M4041" s="6">
        <v>1</v>
      </c>
      <c r="N4041" s="37" t="e" cm="1">
        <f t="array" ref="N4041">IF(OR(ISNUMBER(FIND(Aux!$D$3:$D$9,_xlfn.TEXTJOIN(,,C4041:K4041)))),NA(),IF(AND(SUM(C4041:F4041,H4041:K4041)=0,G4041=1),0,INT((SUMPRODUCT(C4041:F4041,COLUMN($A$1:$D$1)-1)+SUMPRODUCT(H4041:K4041,COLUMN($E$1:$H$1)-1))*'Line Follower'!$C$3/SUM(C4041:F4041,H4041:K4041)-'Line Follower'!$C$5)))</f>
        <v>#N/A</v>
      </c>
      <c r="O4041" s="22" t="e">
        <v>#N/A</v>
      </c>
      <c r="P4041" s="4" t="e">
        <f t="shared" si="315"/>
        <v>#N/A</v>
      </c>
      <c r="Q4041" s="4" t="e">
        <f t="shared" si="316"/>
        <v>#N/A</v>
      </c>
      <c r="R4041" s="4" t="e">
        <f>IF(AND(B4041=1,N4041&gt;'Line Follower'!$C$7,SUM(C4041:K4041)&lt;4),1,0)</f>
        <v>#N/A</v>
      </c>
      <c r="S4041" s="4" t="e">
        <f>IF(AND(L4041=1,N4041&lt;'Line Follower'!$C$6,SUM(C4041:K4041)&lt;4),1,0)</f>
        <v>#N/A</v>
      </c>
      <c r="T4041" s="4" t="e">
        <f t="shared" si="317"/>
        <v>#N/A</v>
      </c>
      <c r="U4041" s="5" t="e">
        <f t="shared" si="318"/>
        <v>#N/A</v>
      </c>
      <c r="V4041" s="23" t="e">
        <f t="shared" si="319"/>
        <v>#N/A</v>
      </c>
    </row>
    <row r="4042" spans="2:22" x14ac:dyDescent="0.25">
      <c r="B4042" s="16">
        <v>1</v>
      </c>
      <c r="C4042" s="7">
        <v>1</v>
      </c>
      <c r="D4042" s="8">
        <v>1</v>
      </c>
      <c r="E4042" s="8">
        <v>0</v>
      </c>
      <c r="F4042" s="8">
        <v>0</v>
      </c>
      <c r="G4042" s="8">
        <v>0</v>
      </c>
      <c r="H4042" s="8">
        <v>1</v>
      </c>
      <c r="I4042" s="8">
        <v>1</v>
      </c>
      <c r="J4042" s="8">
        <v>1</v>
      </c>
      <c r="K4042" s="9">
        <v>1</v>
      </c>
      <c r="L4042" s="10">
        <v>1</v>
      </c>
      <c r="M4042" s="6">
        <v>1</v>
      </c>
      <c r="N4042" s="37" t="e" cm="1">
        <f t="array" ref="N4042">IF(OR(ISNUMBER(FIND(Aux!$D$3:$D$9,_xlfn.TEXTJOIN(,,C4042:K4042)))),NA(),IF(AND(SUM(C4042:F4042,H4042:K4042)=0,G4042=1),0,INT((SUMPRODUCT(C4042:F4042,COLUMN($A$1:$D$1)-1)+SUMPRODUCT(H4042:K4042,COLUMN($E$1:$H$1)-1))*'Line Follower'!$C$3/SUM(C4042:F4042,H4042:K4042)-'Line Follower'!$C$5)))</f>
        <v>#N/A</v>
      </c>
      <c r="O4042" s="22" t="e">
        <v>#N/A</v>
      </c>
      <c r="P4042" s="4" t="e">
        <f t="shared" si="315"/>
        <v>#N/A</v>
      </c>
      <c r="Q4042" s="4" t="e">
        <f t="shared" si="316"/>
        <v>#N/A</v>
      </c>
      <c r="R4042" s="4" t="e">
        <f>IF(AND(B4042=1,N4042&gt;'Line Follower'!$C$7,SUM(C4042:K4042)&lt;4),1,0)</f>
        <v>#N/A</v>
      </c>
      <c r="S4042" s="4" t="e">
        <f>IF(AND(L4042=1,N4042&lt;'Line Follower'!$C$6,SUM(C4042:K4042)&lt;4),1,0)</f>
        <v>#N/A</v>
      </c>
      <c r="T4042" s="4" t="e">
        <f t="shared" si="317"/>
        <v>#N/A</v>
      </c>
      <c r="U4042" s="5" t="e">
        <f t="shared" si="318"/>
        <v>#N/A</v>
      </c>
      <c r="V4042" s="23" t="e">
        <f t="shared" si="319"/>
        <v>#N/A</v>
      </c>
    </row>
    <row r="4043" spans="2:22" x14ac:dyDescent="0.25">
      <c r="B4043" s="16">
        <v>0</v>
      </c>
      <c r="C4043" s="7">
        <v>0</v>
      </c>
      <c r="D4043" s="8">
        <v>0</v>
      </c>
      <c r="E4043" s="8">
        <v>1</v>
      </c>
      <c r="F4043" s="8">
        <v>0</v>
      </c>
      <c r="G4043" s="8">
        <v>0</v>
      </c>
      <c r="H4043" s="8">
        <v>1</v>
      </c>
      <c r="I4043" s="8">
        <v>1</v>
      </c>
      <c r="J4043" s="8">
        <v>1</v>
      </c>
      <c r="K4043" s="9">
        <v>1</v>
      </c>
      <c r="L4043" s="10">
        <v>1</v>
      </c>
      <c r="M4043" s="6">
        <v>1</v>
      </c>
      <c r="N4043" s="37" t="e" cm="1">
        <f t="array" ref="N4043">IF(OR(ISNUMBER(FIND(Aux!$D$3:$D$9,_xlfn.TEXTJOIN(,,C4043:K4043)))),NA(),IF(AND(SUM(C4043:F4043,H4043:K4043)=0,G4043=1),0,INT((SUMPRODUCT(C4043:F4043,COLUMN($A$1:$D$1)-1)+SUMPRODUCT(H4043:K4043,COLUMN($E$1:$H$1)-1))*'Line Follower'!$C$3/SUM(C4043:F4043,H4043:K4043)-'Line Follower'!$C$5)))</f>
        <v>#N/A</v>
      </c>
      <c r="O4043" s="22" t="e">
        <v>#N/A</v>
      </c>
      <c r="P4043" s="4" t="e">
        <f t="shared" si="315"/>
        <v>#N/A</v>
      </c>
      <c r="Q4043" s="4" t="e">
        <f t="shared" si="316"/>
        <v>#N/A</v>
      </c>
      <c r="R4043" s="4" t="e">
        <f>IF(AND(B4043=1,N4043&gt;'Line Follower'!$C$7,SUM(C4043:K4043)&lt;4),1,0)</f>
        <v>#N/A</v>
      </c>
      <c r="S4043" s="4" t="e">
        <f>IF(AND(L4043=1,N4043&lt;'Line Follower'!$C$6,SUM(C4043:K4043)&lt;4),1,0)</f>
        <v>#N/A</v>
      </c>
      <c r="T4043" s="4" t="e">
        <f t="shared" si="317"/>
        <v>#N/A</v>
      </c>
      <c r="U4043" s="5" t="e">
        <f t="shared" si="318"/>
        <v>#N/A</v>
      </c>
      <c r="V4043" s="23" t="e">
        <f t="shared" si="319"/>
        <v>#N/A</v>
      </c>
    </row>
    <row r="4044" spans="2:22" x14ac:dyDescent="0.25">
      <c r="B4044" s="16">
        <v>1</v>
      </c>
      <c r="C4044" s="7">
        <v>0</v>
      </c>
      <c r="D4044" s="8">
        <v>0</v>
      </c>
      <c r="E4044" s="8">
        <v>1</v>
      </c>
      <c r="F4044" s="8">
        <v>0</v>
      </c>
      <c r="G4044" s="8">
        <v>0</v>
      </c>
      <c r="H4044" s="8">
        <v>1</v>
      </c>
      <c r="I4044" s="8">
        <v>1</v>
      </c>
      <c r="J4044" s="8">
        <v>1</v>
      </c>
      <c r="K4044" s="9">
        <v>1</v>
      </c>
      <c r="L4044" s="10">
        <v>1</v>
      </c>
      <c r="M4044" s="6">
        <v>1</v>
      </c>
      <c r="N4044" s="37" t="e" cm="1">
        <f t="array" ref="N4044">IF(OR(ISNUMBER(FIND(Aux!$D$3:$D$9,_xlfn.TEXTJOIN(,,C4044:K4044)))),NA(),IF(AND(SUM(C4044:F4044,H4044:K4044)=0,G4044=1),0,INT((SUMPRODUCT(C4044:F4044,COLUMN($A$1:$D$1)-1)+SUMPRODUCT(H4044:K4044,COLUMN($E$1:$H$1)-1))*'Line Follower'!$C$3/SUM(C4044:F4044,H4044:K4044)-'Line Follower'!$C$5)))</f>
        <v>#N/A</v>
      </c>
      <c r="O4044" s="22" t="e">
        <v>#N/A</v>
      </c>
      <c r="P4044" s="4" t="e">
        <f t="shared" si="315"/>
        <v>#N/A</v>
      </c>
      <c r="Q4044" s="4" t="e">
        <f t="shared" si="316"/>
        <v>#N/A</v>
      </c>
      <c r="R4044" s="4" t="e">
        <f>IF(AND(B4044=1,N4044&gt;'Line Follower'!$C$7,SUM(C4044:K4044)&lt;4),1,0)</f>
        <v>#N/A</v>
      </c>
      <c r="S4044" s="4" t="e">
        <f>IF(AND(L4044=1,N4044&lt;'Line Follower'!$C$6,SUM(C4044:K4044)&lt;4),1,0)</f>
        <v>#N/A</v>
      </c>
      <c r="T4044" s="4" t="e">
        <f t="shared" si="317"/>
        <v>#N/A</v>
      </c>
      <c r="U4044" s="5" t="e">
        <f t="shared" si="318"/>
        <v>#N/A</v>
      </c>
      <c r="V4044" s="23" t="e">
        <f t="shared" si="319"/>
        <v>#N/A</v>
      </c>
    </row>
    <row r="4045" spans="2:22" x14ac:dyDescent="0.25">
      <c r="B4045" s="16">
        <v>0</v>
      </c>
      <c r="C4045" s="7">
        <v>1</v>
      </c>
      <c r="D4045" s="8">
        <v>0</v>
      </c>
      <c r="E4045" s="8">
        <v>1</v>
      </c>
      <c r="F4045" s="8">
        <v>0</v>
      </c>
      <c r="G4045" s="8">
        <v>0</v>
      </c>
      <c r="H4045" s="8">
        <v>1</v>
      </c>
      <c r="I4045" s="8">
        <v>1</v>
      </c>
      <c r="J4045" s="8">
        <v>1</v>
      </c>
      <c r="K4045" s="9">
        <v>1</v>
      </c>
      <c r="L4045" s="10">
        <v>1</v>
      </c>
      <c r="M4045" s="6">
        <v>1</v>
      </c>
      <c r="N4045" s="37" t="e" cm="1">
        <f t="array" ref="N4045">IF(OR(ISNUMBER(FIND(Aux!$D$3:$D$9,_xlfn.TEXTJOIN(,,C4045:K4045)))),NA(),IF(AND(SUM(C4045:F4045,H4045:K4045)=0,G4045=1),0,INT((SUMPRODUCT(C4045:F4045,COLUMN($A$1:$D$1)-1)+SUMPRODUCT(H4045:K4045,COLUMN($E$1:$H$1)-1))*'Line Follower'!$C$3/SUM(C4045:F4045,H4045:K4045)-'Line Follower'!$C$5)))</f>
        <v>#N/A</v>
      </c>
      <c r="O4045" s="22" t="e">
        <v>#N/A</v>
      </c>
      <c r="P4045" s="4" t="e">
        <f t="shared" si="315"/>
        <v>#N/A</v>
      </c>
      <c r="Q4045" s="4" t="e">
        <f t="shared" si="316"/>
        <v>#N/A</v>
      </c>
      <c r="R4045" s="4" t="e">
        <f>IF(AND(B4045=1,N4045&gt;'Line Follower'!$C$7,SUM(C4045:K4045)&lt;4),1,0)</f>
        <v>#N/A</v>
      </c>
      <c r="S4045" s="4" t="e">
        <f>IF(AND(L4045=1,N4045&lt;'Line Follower'!$C$6,SUM(C4045:K4045)&lt;4),1,0)</f>
        <v>#N/A</v>
      </c>
      <c r="T4045" s="4" t="e">
        <f t="shared" si="317"/>
        <v>#N/A</v>
      </c>
      <c r="U4045" s="5" t="e">
        <f t="shared" si="318"/>
        <v>#N/A</v>
      </c>
      <c r="V4045" s="23" t="e">
        <f t="shared" si="319"/>
        <v>#N/A</v>
      </c>
    </row>
    <row r="4046" spans="2:22" x14ac:dyDescent="0.25">
      <c r="B4046" s="16">
        <v>1</v>
      </c>
      <c r="C4046" s="7">
        <v>1</v>
      </c>
      <c r="D4046" s="8">
        <v>0</v>
      </c>
      <c r="E4046" s="8">
        <v>1</v>
      </c>
      <c r="F4046" s="8">
        <v>0</v>
      </c>
      <c r="G4046" s="8">
        <v>0</v>
      </c>
      <c r="H4046" s="8">
        <v>1</v>
      </c>
      <c r="I4046" s="8">
        <v>1</v>
      </c>
      <c r="J4046" s="8">
        <v>1</v>
      </c>
      <c r="K4046" s="9">
        <v>1</v>
      </c>
      <c r="L4046" s="10">
        <v>1</v>
      </c>
      <c r="M4046" s="6">
        <v>1</v>
      </c>
      <c r="N4046" s="37" t="e" cm="1">
        <f t="array" ref="N4046">IF(OR(ISNUMBER(FIND(Aux!$D$3:$D$9,_xlfn.TEXTJOIN(,,C4046:K4046)))),NA(),IF(AND(SUM(C4046:F4046,H4046:K4046)=0,G4046=1),0,INT((SUMPRODUCT(C4046:F4046,COLUMN($A$1:$D$1)-1)+SUMPRODUCT(H4046:K4046,COLUMN($E$1:$H$1)-1))*'Line Follower'!$C$3/SUM(C4046:F4046,H4046:K4046)-'Line Follower'!$C$5)))</f>
        <v>#N/A</v>
      </c>
      <c r="O4046" s="22" t="e">
        <v>#N/A</v>
      </c>
      <c r="P4046" s="4" t="e">
        <f t="shared" si="315"/>
        <v>#N/A</v>
      </c>
      <c r="Q4046" s="4" t="e">
        <f t="shared" si="316"/>
        <v>#N/A</v>
      </c>
      <c r="R4046" s="4" t="e">
        <f>IF(AND(B4046=1,N4046&gt;'Line Follower'!$C$7,SUM(C4046:K4046)&lt;4),1,0)</f>
        <v>#N/A</v>
      </c>
      <c r="S4046" s="4" t="e">
        <f>IF(AND(L4046=1,N4046&lt;'Line Follower'!$C$6,SUM(C4046:K4046)&lt;4),1,0)</f>
        <v>#N/A</v>
      </c>
      <c r="T4046" s="4" t="e">
        <f t="shared" si="317"/>
        <v>#N/A</v>
      </c>
      <c r="U4046" s="5" t="e">
        <f t="shared" si="318"/>
        <v>#N/A</v>
      </c>
      <c r="V4046" s="23" t="e">
        <f t="shared" si="319"/>
        <v>#N/A</v>
      </c>
    </row>
    <row r="4047" spans="2:22" x14ac:dyDescent="0.25">
      <c r="B4047" s="16">
        <v>0</v>
      </c>
      <c r="C4047" s="7">
        <v>0</v>
      </c>
      <c r="D4047" s="8">
        <v>1</v>
      </c>
      <c r="E4047" s="8">
        <v>1</v>
      </c>
      <c r="F4047" s="8">
        <v>0</v>
      </c>
      <c r="G4047" s="8">
        <v>0</v>
      </c>
      <c r="H4047" s="8">
        <v>1</v>
      </c>
      <c r="I4047" s="8">
        <v>1</v>
      </c>
      <c r="J4047" s="8">
        <v>1</v>
      </c>
      <c r="K4047" s="9">
        <v>1</v>
      </c>
      <c r="L4047" s="10">
        <v>1</v>
      </c>
      <c r="M4047" s="6">
        <v>1</v>
      </c>
      <c r="N4047" s="37" t="e" cm="1">
        <f t="array" ref="N4047">IF(OR(ISNUMBER(FIND(Aux!$D$3:$D$9,_xlfn.TEXTJOIN(,,C4047:K4047)))),NA(),IF(AND(SUM(C4047:F4047,H4047:K4047)=0,G4047=1),0,INT((SUMPRODUCT(C4047:F4047,COLUMN($A$1:$D$1)-1)+SUMPRODUCT(H4047:K4047,COLUMN($E$1:$H$1)-1))*'Line Follower'!$C$3/SUM(C4047:F4047,H4047:K4047)-'Line Follower'!$C$5)))</f>
        <v>#N/A</v>
      </c>
      <c r="O4047" s="22" t="e">
        <v>#N/A</v>
      </c>
      <c r="P4047" s="4" t="e">
        <f t="shared" si="315"/>
        <v>#N/A</v>
      </c>
      <c r="Q4047" s="4" t="e">
        <f t="shared" si="316"/>
        <v>#N/A</v>
      </c>
      <c r="R4047" s="4" t="e">
        <f>IF(AND(B4047=1,N4047&gt;'Line Follower'!$C$7,SUM(C4047:K4047)&lt;4),1,0)</f>
        <v>#N/A</v>
      </c>
      <c r="S4047" s="4" t="e">
        <f>IF(AND(L4047=1,N4047&lt;'Line Follower'!$C$6,SUM(C4047:K4047)&lt;4),1,0)</f>
        <v>#N/A</v>
      </c>
      <c r="T4047" s="4" t="e">
        <f t="shared" si="317"/>
        <v>#N/A</v>
      </c>
      <c r="U4047" s="5" t="e">
        <f t="shared" si="318"/>
        <v>#N/A</v>
      </c>
      <c r="V4047" s="23" t="e">
        <f t="shared" si="319"/>
        <v>#N/A</v>
      </c>
    </row>
    <row r="4048" spans="2:22" x14ac:dyDescent="0.25">
      <c r="B4048" s="16">
        <v>1</v>
      </c>
      <c r="C4048" s="7">
        <v>0</v>
      </c>
      <c r="D4048" s="8">
        <v>1</v>
      </c>
      <c r="E4048" s="8">
        <v>1</v>
      </c>
      <c r="F4048" s="8">
        <v>0</v>
      </c>
      <c r="G4048" s="8">
        <v>0</v>
      </c>
      <c r="H4048" s="8">
        <v>1</v>
      </c>
      <c r="I4048" s="8">
        <v>1</v>
      </c>
      <c r="J4048" s="8">
        <v>1</v>
      </c>
      <c r="K4048" s="9">
        <v>1</v>
      </c>
      <c r="L4048" s="10">
        <v>1</v>
      </c>
      <c r="M4048" s="6">
        <v>1</v>
      </c>
      <c r="N4048" s="37" t="e" cm="1">
        <f t="array" ref="N4048">IF(OR(ISNUMBER(FIND(Aux!$D$3:$D$9,_xlfn.TEXTJOIN(,,C4048:K4048)))),NA(),IF(AND(SUM(C4048:F4048,H4048:K4048)=0,G4048=1),0,INT((SUMPRODUCT(C4048:F4048,COLUMN($A$1:$D$1)-1)+SUMPRODUCT(H4048:K4048,COLUMN($E$1:$H$1)-1))*'Line Follower'!$C$3/SUM(C4048:F4048,H4048:K4048)-'Line Follower'!$C$5)))</f>
        <v>#N/A</v>
      </c>
      <c r="O4048" s="22" t="e">
        <v>#N/A</v>
      </c>
      <c r="P4048" s="4" t="e">
        <f t="shared" si="315"/>
        <v>#N/A</v>
      </c>
      <c r="Q4048" s="4" t="e">
        <f t="shared" si="316"/>
        <v>#N/A</v>
      </c>
      <c r="R4048" s="4" t="e">
        <f>IF(AND(B4048=1,N4048&gt;'Line Follower'!$C$7,SUM(C4048:K4048)&lt;4),1,0)</f>
        <v>#N/A</v>
      </c>
      <c r="S4048" s="4" t="e">
        <f>IF(AND(L4048=1,N4048&lt;'Line Follower'!$C$6,SUM(C4048:K4048)&lt;4),1,0)</f>
        <v>#N/A</v>
      </c>
      <c r="T4048" s="4" t="e">
        <f t="shared" si="317"/>
        <v>#N/A</v>
      </c>
      <c r="U4048" s="5" t="e">
        <f t="shared" si="318"/>
        <v>#N/A</v>
      </c>
      <c r="V4048" s="23" t="e">
        <f t="shared" si="319"/>
        <v>#N/A</v>
      </c>
    </row>
    <row r="4049" spans="2:22" x14ac:dyDescent="0.25">
      <c r="B4049" s="16">
        <v>0</v>
      </c>
      <c r="C4049" s="7">
        <v>1</v>
      </c>
      <c r="D4049" s="8">
        <v>1</v>
      </c>
      <c r="E4049" s="8">
        <v>1</v>
      </c>
      <c r="F4049" s="8">
        <v>0</v>
      </c>
      <c r="G4049" s="8">
        <v>0</v>
      </c>
      <c r="H4049" s="8">
        <v>1</v>
      </c>
      <c r="I4049" s="8">
        <v>1</v>
      </c>
      <c r="J4049" s="8">
        <v>1</v>
      </c>
      <c r="K4049" s="9">
        <v>1</v>
      </c>
      <c r="L4049" s="10">
        <v>1</v>
      </c>
      <c r="M4049" s="6">
        <v>1</v>
      </c>
      <c r="N4049" s="37" t="e" cm="1">
        <f t="array" ref="N4049">IF(OR(ISNUMBER(FIND(Aux!$D$3:$D$9,_xlfn.TEXTJOIN(,,C4049:K4049)))),NA(),IF(AND(SUM(C4049:F4049,H4049:K4049)=0,G4049=1),0,INT((SUMPRODUCT(C4049:F4049,COLUMN($A$1:$D$1)-1)+SUMPRODUCT(H4049:K4049,COLUMN($E$1:$H$1)-1))*'Line Follower'!$C$3/SUM(C4049:F4049,H4049:K4049)-'Line Follower'!$C$5)))</f>
        <v>#N/A</v>
      </c>
      <c r="O4049" s="22" t="e">
        <v>#N/A</v>
      </c>
      <c r="P4049" s="4" t="e">
        <f t="shared" si="315"/>
        <v>#N/A</v>
      </c>
      <c r="Q4049" s="4" t="e">
        <f t="shared" si="316"/>
        <v>#N/A</v>
      </c>
      <c r="R4049" s="4" t="e">
        <f>IF(AND(B4049=1,N4049&gt;'Line Follower'!$C$7,SUM(C4049:K4049)&lt;4),1,0)</f>
        <v>#N/A</v>
      </c>
      <c r="S4049" s="4" t="e">
        <f>IF(AND(L4049=1,N4049&lt;'Line Follower'!$C$6,SUM(C4049:K4049)&lt;4),1,0)</f>
        <v>#N/A</v>
      </c>
      <c r="T4049" s="4" t="e">
        <f t="shared" si="317"/>
        <v>#N/A</v>
      </c>
      <c r="U4049" s="5" t="e">
        <f t="shared" si="318"/>
        <v>#N/A</v>
      </c>
      <c r="V4049" s="23" t="e">
        <f t="shared" si="319"/>
        <v>#N/A</v>
      </c>
    </row>
    <row r="4050" spans="2:22" x14ac:dyDescent="0.25">
      <c r="B4050" s="16">
        <v>1</v>
      </c>
      <c r="C4050" s="7">
        <v>1</v>
      </c>
      <c r="D4050" s="8">
        <v>1</v>
      </c>
      <c r="E4050" s="8">
        <v>1</v>
      </c>
      <c r="F4050" s="8">
        <v>0</v>
      </c>
      <c r="G4050" s="8">
        <v>0</v>
      </c>
      <c r="H4050" s="8">
        <v>1</v>
      </c>
      <c r="I4050" s="8">
        <v>1</v>
      </c>
      <c r="J4050" s="8">
        <v>1</v>
      </c>
      <c r="K4050" s="9">
        <v>1</v>
      </c>
      <c r="L4050" s="10">
        <v>1</v>
      </c>
      <c r="M4050" s="6">
        <v>1</v>
      </c>
      <c r="N4050" s="37" t="e" cm="1">
        <f t="array" ref="N4050">IF(OR(ISNUMBER(FIND(Aux!$D$3:$D$9,_xlfn.TEXTJOIN(,,C4050:K4050)))),NA(),IF(AND(SUM(C4050:F4050,H4050:K4050)=0,G4050=1),0,INT((SUMPRODUCT(C4050:F4050,COLUMN($A$1:$D$1)-1)+SUMPRODUCT(H4050:K4050,COLUMN($E$1:$H$1)-1))*'Line Follower'!$C$3/SUM(C4050:F4050,H4050:K4050)-'Line Follower'!$C$5)))</f>
        <v>#N/A</v>
      </c>
      <c r="O4050" s="22" t="e">
        <v>#N/A</v>
      </c>
      <c r="P4050" s="4" t="e">
        <f t="shared" si="315"/>
        <v>#N/A</v>
      </c>
      <c r="Q4050" s="4" t="e">
        <f t="shared" si="316"/>
        <v>#N/A</v>
      </c>
      <c r="R4050" s="4" t="e">
        <f>IF(AND(B4050=1,N4050&gt;'Line Follower'!$C$7,SUM(C4050:K4050)&lt;4),1,0)</f>
        <v>#N/A</v>
      </c>
      <c r="S4050" s="4" t="e">
        <f>IF(AND(L4050=1,N4050&lt;'Line Follower'!$C$6,SUM(C4050:K4050)&lt;4),1,0)</f>
        <v>#N/A</v>
      </c>
      <c r="T4050" s="4" t="e">
        <f t="shared" si="317"/>
        <v>#N/A</v>
      </c>
      <c r="U4050" s="5" t="e">
        <f t="shared" si="318"/>
        <v>#N/A</v>
      </c>
      <c r="V4050" s="23" t="e">
        <f t="shared" si="319"/>
        <v>#N/A</v>
      </c>
    </row>
    <row r="4051" spans="2:22" x14ac:dyDescent="0.25">
      <c r="B4051" s="16">
        <v>0</v>
      </c>
      <c r="C4051" s="7">
        <v>0</v>
      </c>
      <c r="D4051" s="8">
        <v>0</v>
      </c>
      <c r="E4051" s="8">
        <v>0</v>
      </c>
      <c r="F4051" s="8">
        <v>1</v>
      </c>
      <c r="G4051" s="8">
        <v>0</v>
      </c>
      <c r="H4051" s="8">
        <v>1</v>
      </c>
      <c r="I4051" s="8">
        <v>1</v>
      </c>
      <c r="J4051" s="8">
        <v>1</v>
      </c>
      <c r="K4051" s="9">
        <v>1</v>
      </c>
      <c r="L4051" s="10">
        <v>1</v>
      </c>
      <c r="M4051" s="6">
        <v>1</v>
      </c>
      <c r="N4051" s="37" t="e" cm="1">
        <f t="array" ref="N4051">IF(OR(ISNUMBER(FIND(Aux!$D$3:$D$9,_xlfn.TEXTJOIN(,,C4051:K4051)))),NA(),IF(AND(SUM(C4051:F4051,H4051:K4051)=0,G4051=1),0,INT((SUMPRODUCT(C4051:F4051,COLUMN($A$1:$D$1)-1)+SUMPRODUCT(H4051:K4051,COLUMN($E$1:$H$1)-1))*'Line Follower'!$C$3/SUM(C4051:F4051,H4051:K4051)-'Line Follower'!$C$5)))</f>
        <v>#N/A</v>
      </c>
      <c r="O4051" s="22" t="e">
        <v>#N/A</v>
      </c>
      <c r="P4051" s="4" t="e">
        <f t="shared" si="315"/>
        <v>#N/A</v>
      </c>
      <c r="Q4051" s="4" t="e">
        <f t="shared" si="316"/>
        <v>#N/A</v>
      </c>
      <c r="R4051" s="4" t="e">
        <f>IF(AND(B4051=1,N4051&gt;'Line Follower'!$C$7,SUM(C4051:K4051)&lt;4),1,0)</f>
        <v>#N/A</v>
      </c>
      <c r="S4051" s="4" t="e">
        <f>IF(AND(L4051=1,N4051&lt;'Line Follower'!$C$6,SUM(C4051:K4051)&lt;4),1,0)</f>
        <v>#N/A</v>
      </c>
      <c r="T4051" s="4" t="e">
        <f t="shared" si="317"/>
        <v>#N/A</v>
      </c>
      <c r="U4051" s="5" t="e">
        <f t="shared" si="318"/>
        <v>#N/A</v>
      </c>
      <c r="V4051" s="23" t="e">
        <f t="shared" si="319"/>
        <v>#N/A</v>
      </c>
    </row>
    <row r="4052" spans="2:22" x14ac:dyDescent="0.25">
      <c r="B4052" s="16">
        <v>1</v>
      </c>
      <c r="C4052" s="7">
        <v>0</v>
      </c>
      <c r="D4052" s="8">
        <v>0</v>
      </c>
      <c r="E4052" s="8">
        <v>0</v>
      </c>
      <c r="F4052" s="8">
        <v>1</v>
      </c>
      <c r="G4052" s="8">
        <v>0</v>
      </c>
      <c r="H4052" s="8">
        <v>1</v>
      </c>
      <c r="I4052" s="8">
        <v>1</v>
      </c>
      <c r="J4052" s="8">
        <v>1</v>
      </c>
      <c r="K4052" s="9">
        <v>1</v>
      </c>
      <c r="L4052" s="10">
        <v>1</v>
      </c>
      <c r="M4052" s="6">
        <v>1</v>
      </c>
      <c r="N4052" s="37" t="e" cm="1">
        <f t="array" ref="N4052">IF(OR(ISNUMBER(FIND(Aux!$D$3:$D$9,_xlfn.TEXTJOIN(,,C4052:K4052)))),NA(),IF(AND(SUM(C4052:F4052,H4052:K4052)=0,G4052=1),0,INT((SUMPRODUCT(C4052:F4052,COLUMN($A$1:$D$1)-1)+SUMPRODUCT(H4052:K4052,COLUMN($E$1:$H$1)-1))*'Line Follower'!$C$3/SUM(C4052:F4052,H4052:K4052)-'Line Follower'!$C$5)))</f>
        <v>#N/A</v>
      </c>
      <c r="O4052" s="22" t="e">
        <v>#N/A</v>
      </c>
      <c r="P4052" s="4" t="e">
        <f t="shared" si="315"/>
        <v>#N/A</v>
      </c>
      <c r="Q4052" s="4" t="e">
        <f t="shared" si="316"/>
        <v>#N/A</v>
      </c>
      <c r="R4052" s="4" t="e">
        <f>IF(AND(B4052=1,N4052&gt;'Line Follower'!$C$7,SUM(C4052:K4052)&lt;4),1,0)</f>
        <v>#N/A</v>
      </c>
      <c r="S4052" s="4" t="e">
        <f>IF(AND(L4052=1,N4052&lt;'Line Follower'!$C$6,SUM(C4052:K4052)&lt;4),1,0)</f>
        <v>#N/A</v>
      </c>
      <c r="T4052" s="4" t="e">
        <f t="shared" si="317"/>
        <v>#N/A</v>
      </c>
      <c r="U4052" s="5" t="e">
        <f t="shared" si="318"/>
        <v>#N/A</v>
      </c>
      <c r="V4052" s="23" t="e">
        <f t="shared" si="319"/>
        <v>#N/A</v>
      </c>
    </row>
    <row r="4053" spans="2:22" x14ac:dyDescent="0.25">
      <c r="B4053" s="16">
        <v>0</v>
      </c>
      <c r="C4053" s="7">
        <v>1</v>
      </c>
      <c r="D4053" s="8">
        <v>0</v>
      </c>
      <c r="E4053" s="8">
        <v>0</v>
      </c>
      <c r="F4053" s="8">
        <v>1</v>
      </c>
      <c r="G4053" s="8">
        <v>0</v>
      </c>
      <c r="H4053" s="8">
        <v>1</v>
      </c>
      <c r="I4053" s="8">
        <v>1</v>
      </c>
      <c r="J4053" s="8">
        <v>1</v>
      </c>
      <c r="K4053" s="9">
        <v>1</v>
      </c>
      <c r="L4053" s="10">
        <v>1</v>
      </c>
      <c r="M4053" s="6">
        <v>1</v>
      </c>
      <c r="N4053" s="37" t="e" cm="1">
        <f t="array" ref="N4053">IF(OR(ISNUMBER(FIND(Aux!$D$3:$D$9,_xlfn.TEXTJOIN(,,C4053:K4053)))),NA(),IF(AND(SUM(C4053:F4053,H4053:K4053)=0,G4053=1),0,INT((SUMPRODUCT(C4053:F4053,COLUMN($A$1:$D$1)-1)+SUMPRODUCT(H4053:K4053,COLUMN($E$1:$H$1)-1))*'Line Follower'!$C$3/SUM(C4053:F4053,H4053:K4053)-'Line Follower'!$C$5)))</f>
        <v>#N/A</v>
      </c>
      <c r="O4053" s="22" t="e">
        <v>#N/A</v>
      </c>
      <c r="P4053" s="4" t="e">
        <f t="shared" si="315"/>
        <v>#N/A</v>
      </c>
      <c r="Q4053" s="4" t="e">
        <f t="shared" si="316"/>
        <v>#N/A</v>
      </c>
      <c r="R4053" s="4" t="e">
        <f>IF(AND(B4053=1,N4053&gt;'Line Follower'!$C$7,SUM(C4053:K4053)&lt;4),1,0)</f>
        <v>#N/A</v>
      </c>
      <c r="S4053" s="4" t="e">
        <f>IF(AND(L4053=1,N4053&lt;'Line Follower'!$C$6,SUM(C4053:K4053)&lt;4),1,0)</f>
        <v>#N/A</v>
      </c>
      <c r="T4053" s="4" t="e">
        <f t="shared" si="317"/>
        <v>#N/A</v>
      </c>
      <c r="U4053" s="5" t="e">
        <f t="shared" si="318"/>
        <v>#N/A</v>
      </c>
      <c r="V4053" s="23" t="e">
        <f t="shared" si="319"/>
        <v>#N/A</v>
      </c>
    </row>
    <row r="4054" spans="2:22" x14ac:dyDescent="0.25">
      <c r="B4054" s="16">
        <v>1</v>
      </c>
      <c r="C4054" s="7">
        <v>1</v>
      </c>
      <c r="D4054" s="8">
        <v>0</v>
      </c>
      <c r="E4054" s="8">
        <v>0</v>
      </c>
      <c r="F4054" s="8">
        <v>1</v>
      </c>
      <c r="G4054" s="8">
        <v>0</v>
      </c>
      <c r="H4054" s="8">
        <v>1</v>
      </c>
      <c r="I4054" s="8">
        <v>1</v>
      </c>
      <c r="J4054" s="8">
        <v>1</v>
      </c>
      <c r="K4054" s="9">
        <v>1</v>
      </c>
      <c r="L4054" s="10">
        <v>1</v>
      </c>
      <c r="M4054" s="6">
        <v>1</v>
      </c>
      <c r="N4054" s="37" t="e" cm="1">
        <f t="array" ref="N4054">IF(OR(ISNUMBER(FIND(Aux!$D$3:$D$9,_xlfn.TEXTJOIN(,,C4054:K4054)))),NA(),IF(AND(SUM(C4054:F4054,H4054:K4054)=0,G4054=1),0,INT((SUMPRODUCT(C4054:F4054,COLUMN($A$1:$D$1)-1)+SUMPRODUCT(H4054:K4054,COLUMN($E$1:$H$1)-1))*'Line Follower'!$C$3/SUM(C4054:F4054,H4054:K4054)-'Line Follower'!$C$5)))</f>
        <v>#N/A</v>
      </c>
      <c r="O4054" s="22" t="e">
        <v>#N/A</v>
      </c>
      <c r="P4054" s="4" t="e">
        <f t="shared" si="315"/>
        <v>#N/A</v>
      </c>
      <c r="Q4054" s="4" t="e">
        <f t="shared" si="316"/>
        <v>#N/A</v>
      </c>
      <c r="R4054" s="4" t="e">
        <f>IF(AND(B4054=1,N4054&gt;'Line Follower'!$C$7,SUM(C4054:K4054)&lt;4),1,0)</f>
        <v>#N/A</v>
      </c>
      <c r="S4054" s="4" t="e">
        <f>IF(AND(L4054=1,N4054&lt;'Line Follower'!$C$6,SUM(C4054:K4054)&lt;4),1,0)</f>
        <v>#N/A</v>
      </c>
      <c r="T4054" s="4" t="e">
        <f t="shared" si="317"/>
        <v>#N/A</v>
      </c>
      <c r="U4054" s="5" t="e">
        <f t="shared" si="318"/>
        <v>#N/A</v>
      </c>
      <c r="V4054" s="23" t="e">
        <f t="shared" si="319"/>
        <v>#N/A</v>
      </c>
    </row>
    <row r="4055" spans="2:22" x14ac:dyDescent="0.25">
      <c r="B4055" s="16">
        <v>0</v>
      </c>
      <c r="C4055" s="7">
        <v>0</v>
      </c>
      <c r="D4055" s="8">
        <v>1</v>
      </c>
      <c r="E4055" s="8">
        <v>0</v>
      </c>
      <c r="F4055" s="8">
        <v>1</v>
      </c>
      <c r="G4055" s="8">
        <v>0</v>
      </c>
      <c r="H4055" s="8">
        <v>1</v>
      </c>
      <c r="I4055" s="8">
        <v>1</v>
      </c>
      <c r="J4055" s="8">
        <v>1</v>
      </c>
      <c r="K4055" s="9">
        <v>1</v>
      </c>
      <c r="L4055" s="10">
        <v>1</v>
      </c>
      <c r="M4055" s="6">
        <v>1</v>
      </c>
      <c r="N4055" s="37" t="e" cm="1">
        <f t="array" ref="N4055">IF(OR(ISNUMBER(FIND(Aux!$D$3:$D$9,_xlfn.TEXTJOIN(,,C4055:K4055)))),NA(),IF(AND(SUM(C4055:F4055,H4055:K4055)=0,G4055=1),0,INT((SUMPRODUCT(C4055:F4055,COLUMN($A$1:$D$1)-1)+SUMPRODUCT(H4055:K4055,COLUMN($E$1:$H$1)-1))*'Line Follower'!$C$3/SUM(C4055:F4055,H4055:K4055)-'Line Follower'!$C$5)))</f>
        <v>#N/A</v>
      </c>
      <c r="O4055" s="22" t="e">
        <v>#N/A</v>
      </c>
      <c r="P4055" s="4" t="e">
        <f t="shared" si="315"/>
        <v>#N/A</v>
      </c>
      <c r="Q4055" s="4" t="e">
        <f t="shared" si="316"/>
        <v>#N/A</v>
      </c>
      <c r="R4055" s="4" t="e">
        <f>IF(AND(B4055=1,N4055&gt;'Line Follower'!$C$7,SUM(C4055:K4055)&lt;4),1,0)</f>
        <v>#N/A</v>
      </c>
      <c r="S4055" s="4" t="e">
        <f>IF(AND(L4055=1,N4055&lt;'Line Follower'!$C$6,SUM(C4055:K4055)&lt;4),1,0)</f>
        <v>#N/A</v>
      </c>
      <c r="T4055" s="4" t="e">
        <f t="shared" si="317"/>
        <v>#N/A</v>
      </c>
      <c r="U4055" s="5" t="e">
        <f t="shared" si="318"/>
        <v>#N/A</v>
      </c>
      <c r="V4055" s="23" t="e">
        <f t="shared" si="319"/>
        <v>#N/A</v>
      </c>
    </row>
    <row r="4056" spans="2:22" x14ac:dyDescent="0.25">
      <c r="B4056" s="16">
        <v>1</v>
      </c>
      <c r="C4056" s="7">
        <v>0</v>
      </c>
      <c r="D4056" s="8">
        <v>1</v>
      </c>
      <c r="E4056" s="8">
        <v>0</v>
      </c>
      <c r="F4056" s="8">
        <v>1</v>
      </c>
      <c r="G4056" s="8">
        <v>0</v>
      </c>
      <c r="H4056" s="8">
        <v>1</v>
      </c>
      <c r="I4056" s="8">
        <v>1</v>
      </c>
      <c r="J4056" s="8">
        <v>1</v>
      </c>
      <c r="K4056" s="9">
        <v>1</v>
      </c>
      <c r="L4056" s="10">
        <v>1</v>
      </c>
      <c r="M4056" s="6">
        <v>1</v>
      </c>
      <c r="N4056" s="37" t="e" cm="1">
        <f t="array" ref="N4056">IF(OR(ISNUMBER(FIND(Aux!$D$3:$D$9,_xlfn.TEXTJOIN(,,C4056:K4056)))),NA(),IF(AND(SUM(C4056:F4056,H4056:K4056)=0,G4056=1),0,INT((SUMPRODUCT(C4056:F4056,COLUMN($A$1:$D$1)-1)+SUMPRODUCT(H4056:K4056,COLUMN($E$1:$H$1)-1))*'Line Follower'!$C$3/SUM(C4056:F4056,H4056:K4056)-'Line Follower'!$C$5)))</f>
        <v>#N/A</v>
      </c>
      <c r="O4056" s="22" t="e">
        <v>#N/A</v>
      </c>
      <c r="P4056" s="4" t="e">
        <f t="shared" si="315"/>
        <v>#N/A</v>
      </c>
      <c r="Q4056" s="4" t="e">
        <f t="shared" si="316"/>
        <v>#N/A</v>
      </c>
      <c r="R4056" s="4" t="e">
        <f>IF(AND(B4056=1,N4056&gt;'Line Follower'!$C$7,SUM(C4056:K4056)&lt;4),1,0)</f>
        <v>#N/A</v>
      </c>
      <c r="S4056" s="4" t="e">
        <f>IF(AND(L4056=1,N4056&lt;'Line Follower'!$C$6,SUM(C4056:K4056)&lt;4),1,0)</f>
        <v>#N/A</v>
      </c>
      <c r="T4056" s="4" t="e">
        <f t="shared" si="317"/>
        <v>#N/A</v>
      </c>
      <c r="U4056" s="5" t="e">
        <f t="shared" si="318"/>
        <v>#N/A</v>
      </c>
      <c r="V4056" s="23" t="e">
        <f t="shared" si="319"/>
        <v>#N/A</v>
      </c>
    </row>
    <row r="4057" spans="2:22" x14ac:dyDescent="0.25">
      <c r="B4057" s="16">
        <v>0</v>
      </c>
      <c r="C4057" s="7">
        <v>1</v>
      </c>
      <c r="D4057" s="8">
        <v>1</v>
      </c>
      <c r="E4057" s="8">
        <v>0</v>
      </c>
      <c r="F4057" s="8">
        <v>1</v>
      </c>
      <c r="G4057" s="8">
        <v>0</v>
      </c>
      <c r="H4057" s="8">
        <v>1</v>
      </c>
      <c r="I4057" s="8">
        <v>1</v>
      </c>
      <c r="J4057" s="8">
        <v>1</v>
      </c>
      <c r="K4057" s="9">
        <v>1</v>
      </c>
      <c r="L4057" s="10">
        <v>1</v>
      </c>
      <c r="M4057" s="6">
        <v>1</v>
      </c>
      <c r="N4057" s="37" t="e" cm="1">
        <f t="array" ref="N4057">IF(OR(ISNUMBER(FIND(Aux!$D$3:$D$9,_xlfn.TEXTJOIN(,,C4057:K4057)))),NA(),IF(AND(SUM(C4057:F4057,H4057:K4057)=0,G4057=1),0,INT((SUMPRODUCT(C4057:F4057,COLUMN($A$1:$D$1)-1)+SUMPRODUCT(H4057:K4057,COLUMN($E$1:$H$1)-1))*'Line Follower'!$C$3/SUM(C4057:F4057,H4057:K4057)-'Line Follower'!$C$5)))</f>
        <v>#N/A</v>
      </c>
      <c r="O4057" s="22" t="e">
        <v>#N/A</v>
      </c>
      <c r="P4057" s="4" t="e">
        <f t="shared" si="315"/>
        <v>#N/A</v>
      </c>
      <c r="Q4057" s="4" t="e">
        <f t="shared" si="316"/>
        <v>#N/A</v>
      </c>
      <c r="R4057" s="4" t="e">
        <f>IF(AND(B4057=1,N4057&gt;'Line Follower'!$C$7,SUM(C4057:K4057)&lt;4),1,0)</f>
        <v>#N/A</v>
      </c>
      <c r="S4057" s="4" t="e">
        <f>IF(AND(L4057=1,N4057&lt;'Line Follower'!$C$6,SUM(C4057:K4057)&lt;4),1,0)</f>
        <v>#N/A</v>
      </c>
      <c r="T4057" s="4" t="e">
        <f t="shared" si="317"/>
        <v>#N/A</v>
      </c>
      <c r="U4057" s="5" t="e">
        <f t="shared" si="318"/>
        <v>#N/A</v>
      </c>
      <c r="V4057" s="23" t="e">
        <f t="shared" si="319"/>
        <v>#N/A</v>
      </c>
    </row>
    <row r="4058" spans="2:22" x14ac:dyDescent="0.25">
      <c r="B4058" s="16">
        <v>1</v>
      </c>
      <c r="C4058" s="7">
        <v>1</v>
      </c>
      <c r="D4058" s="8">
        <v>1</v>
      </c>
      <c r="E4058" s="8">
        <v>0</v>
      </c>
      <c r="F4058" s="8">
        <v>1</v>
      </c>
      <c r="G4058" s="8">
        <v>0</v>
      </c>
      <c r="H4058" s="8">
        <v>1</v>
      </c>
      <c r="I4058" s="8">
        <v>1</v>
      </c>
      <c r="J4058" s="8">
        <v>1</v>
      </c>
      <c r="K4058" s="9">
        <v>1</v>
      </c>
      <c r="L4058" s="10">
        <v>1</v>
      </c>
      <c r="M4058" s="6">
        <v>1</v>
      </c>
      <c r="N4058" s="37" t="e" cm="1">
        <f t="array" ref="N4058">IF(OR(ISNUMBER(FIND(Aux!$D$3:$D$9,_xlfn.TEXTJOIN(,,C4058:K4058)))),NA(),IF(AND(SUM(C4058:F4058,H4058:K4058)=0,G4058=1),0,INT((SUMPRODUCT(C4058:F4058,COLUMN($A$1:$D$1)-1)+SUMPRODUCT(H4058:K4058,COLUMN($E$1:$H$1)-1))*'Line Follower'!$C$3/SUM(C4058:F4058,H4058:K4058)-'Line Follower'!$C$5)))</f>
        <v>#N/A</v>
      </c>
      <c r="O4058" s="22" t="e">
        <v>#N/A</v>
      </c>
      <c r="P4058" s="4" t="e">
        <f t="shared" si="315"/>
        <v>#N/A</v>
      </c>
      <c r="Q4058" s="4" t="e">
        <f t="shared" si="316"/>
        <v>#N/A</v>
      </c>
      <c r="R4058" s="4" t="e">
        <f>IF(AND(B4058=1,N4058&gt;'Line Follower'!$C$7,SUM(C4058:K4058)&lt;4),1,0)</f>
        <v>#N/A</v>
      </c>
      <c r="S4058" s="4" t="e">
        <f>IF(AND(L4058=1,N4058&lt;'Line Follower'!$C$6,SUM(C4058:K4058)&lt;4),1,0)</f>
        <v>#N/A</v>
      </c>
      <c r="T4058" s="4" t="e">
        <f t="shared" si="317"/>
        <v>#N/A</v>
      </c>
      <c r="U4058" s="5" t="e">
        <f t="shared" si="318"/>
        <v>#N/A</v>
      </c>
      <c r="V4058" s="23" t="e">
        <f t="shared" si="319"/>
        <v>#N/A</v>
      </c>
    </row>
    <row r="4059" spans="2:22" x14ac:dyDescent="0.25">
      <c r="B4059" s="16">
        <v>0</v>
      </c>
      <c r="C4059" s="7">
        <v>0</v>
      </c>
      <c r="D4059" s="8">
        <v>0</v>
      </c>
      <c r="E4059" s="8">
        <v>1</v>
      </c>
      <c r="F4059" s="8">
        <v>1</v>
      </c>
      <c r="G4059" s="8">
        <v>0</v>
      </c>
      <c r="H4059" s="8">
        <v>1</v>
      </c>
      <c r="I4059" s="8">
        <v>1</v>
      </c>
      <c r="J4059" s="8">
        <v>1</v>
      </c>
      <c r="K4059" s="9">
        <v>1</v>
      </c>
      <c r="L4059" s="10">
        <v>1</v>
      </c>
      <c r="M4059" s="6">
        <v>1</v>
      </c>
      <c r="N4059" s="37" t="e" cm="1">
        <f t="array" ref="N4059">IF(OR(ISNUMBER(FIND(Aux!$D$3:$D$9,_xlfn.TEXTJOIN(,,C4059:K4059)))),NA(),IF(AND(SUM(C4059:F4059,H4059:K4059)=0,G4059=1),0,INT((SUMPRODUCT(C4059:F4059,COLUMN($A$1:$D$1)-1)+SUMPRODUCT(H4059:K4059,COLUMN($E$1:$H$1)-1))*'Line Follower'!$C$3/SUM(C4059:F4059,H4059:K4059)-'Line Follower'!$C$5)))</f>
        <v>#N/A</v>
      </c>
      <c r="O4059" s="22" t="e">
        <v>#N/A</v>
      </c>
      <c r="P4059" s="4" t="e">
        <f t="shared" si="315"/>
        <v>#N/A</v>
      </c>
      <c r="Q4059" s="4" t="e">
        <f t="shared" si="316"/>
        <v>#N/A</v>
      </c>
      <c r="R4059" s="4" t="e">
        <f>IF(AND(B4059=1,N4059&gt;'Line Follower'!$C$7,SUM(C4059:K4059)&lt;4),1,0)</f>
        <v>#N/A</v>
      </c>
      <c r="S4059" s="4" t="e">
        <f>IF(AND(L4059=1,N4059&lt;'Line Follower'!$C$6,SUM(C4059:K4059)&lt;4),1,0)</f>
        <v>#N/A</v>
      </c>
      <c r="T4059" s="4" t="e">
        <f t="shared" si="317"/>
        <v>#N/A</v>
      </c>
      <c r="U4059" s="5" t="e">
        <f t="shared" si="318"/>
        <v>#N/A</v>
      </c>
      <c r="V4059" s="23" t="e">
        <f t="shared" si="319"/>
        <v>#N/A</v>
      </c>
    </row>
    <row r="4060" spans="2:22" x14ac:dyDescent="0.25">
      <c r="B4060" s="16">
        <v>1</v>
      </c>
      <c r="C4060" s="7">
        <v>0</v>
      </c>
      <c r="D4060" s="8">
        <v>0</v>
      </c>
      <c r="E4060" s="8">
        <v>1</v>
      </c>
      <c r="F4060" s="8">
        <v>1</v>
      </c>
      <c r="G4060" s="8">
        <v>0</v>
      </c>
      <c r="H4060" s="8">
        <v>1</v>
      </c>
      <c r="I4060" s="8">
        <v>1</v>
      </c>
      <c r="J4060" s="8">
        <v>1</v>
      </c>
      <c r="K4060" s="9">
        <v>1</v>
      </c>
      <c r="L4060" s="10">
        <v>1</v>
      </c>
      <c r="M4060" s="6">
        <v>1</v>
      </c>
      <c r="N4060" s="37" t="e" cm="1">
        <f t="array" ref="N4060">IF(OR(ISNUMBER(FIND(Aux!$D$3:$D$9,_xlfn.TEXTJOIN(,,C4060:K4060)))),NA(),IF(AND(SUM(C4060:F4060,H4060:K4060)=0,G4060=1),0,INT((SUMPRODUCT(C4060:F4060,COLUMN($A$1:$D$1)-1)+SUMPRODUCT(H4060:K4060,COLUMN($E$1:$H$1)-1))*'Line Follower'!$C$3/SUM(C4060:F4060,H4060:K4060)-'Line Follower'!$C$5)))</f>
        <v>#N/A</v>
      </c>
      <c r="O4060" s="22" t="e">
        <v>#N/A</v>
      </c>
      <c r="P4060" s="4" t="e">
        <f t="shared" si="315"/>
        <v>#N/A</v>
      </c>
      <c r="Q4060" s="4" t="e">
        <f t="shared" si="316"/>
        <v>#N/A</v>
      </c>
      <c r="R4060" s="4" t="e">
        <f>IF(AND(B4060=1,N4060&gt;'Line Follower'!$C$7,SUM(C4060:K4060)&lt;4),1,0)</f>
        <v>#N/A</v>
      </c>
      <c r="S4060" s="4" t="e">
        <f>IF(AND(L4060=1,N4060&lt;'Line Follower'!$C$6,SUM(C4060:K4060)&lt;4),1,0)</f>
        <v>#N/A</v>
      </c>
      <c r="T4060" s="4" t="e">
        <f t="shared" si="317"/>
        <v>#N/A</v>
      </c>
      <c r="U4060" s="5" t="e">
        <f t="shared" si="318"/>
        <v>#N/A</v>
      </c>
      <c r="V4060" s="23" t="e">
        <f t="shared" si="319"/>
        <v>#N/A</v>
      </c>
    </row>
    <row r="4061" spans="2:22" x14ac:dyDescent="0.25">
      <c r="B4061" s="16">
        <v>0</v>
      </c>
      <c r="C4061" s="7">
        <v>1</v>
      </c>
      <c r="D4061" s="8">
        <v>0</v>
      </c>
      <c r="E4061" s="8">
        <v>1</v>
      </c>
      <c r="F4061" s="8">
        <v>1</v>
      </c>
      <c r="G4061" s="8">
        <v>0</v>
      </c>
      <c r="H4061" s="8">
        <v>1</v>
      </c>
      <c r="I4061" s="8">
        <v>1</v>
      </c>
      <c r="J4061" s="8">
        <v>1</v>
      </c>
      <c r="K4061" s="9">
        <v>1</v>
      </c>
      <c r="L4061" s="10">
        <v>1</v>
      </c>
      <c r="M4061" s="6">
        <v>1</v>
      </c>
      <c r="N4061" s="37" t="e" cm="1">
        <f t="array" ref="N4061">IF(OR(ISNUMBER(FIND(Aux!$D$3:$D$9,_xlfn.TEXTJOIN(,,C4061:K4061)))),NA(),IF(AND(SUM(C4061:F4061,H4061:K4061)=0,G4061=1),0,INT((SUMPRODUCT(C4061:F4061,COLUMN($A$1:$D$1)-1)+SUMPRODUCT(H4061:K4061,COLUMN($E$1:$H$1)-1))*'Line Follower'!$C$3/SUM(C4061:F4061,H4061:K4061)-'Line Follower'!$C$5)))</f>
        <v>#N/A</v>
      </c>
      <c r="O4061" s="22" t="e">
        <v>#N/A</v>
      </c>
      <c r="P4061" s="4" t="e">
        <f t="shared" si="315"/>
        <v>#N/A</v>
      </c>
      <c r="Q4061" s="4" t="e">
        <f t="shared" si="316"/>
        <v>#N/A</v>
      </c>
      <c r="R4061" s="4" t="e">
        <f>IF(AND(B4061=1,N4061&gt;'Line Follower'!$C$7,SUM(C4061:K4061)&lt;4),1,0)</f>
        <v>#N/A</v>
      </c>
      <c r="S4061" s="4" t="e">
        <f>IF(AND(L4061=1,N4061&lt;'Line Follower'!$C$6,SUM(C4061:K4061)&lt;4),1,0)</f>
        <v>#N/A</v>
      </c>
      <c r="T4061" s="4" t="e">
        <f t="shared" si="317"/>
        <v>#N/A</v>
      </c>
      <c r="U4061" s="5" t="e">
        <f t="shared" si="318"/>
        <v>#N/A</v>
      </c>
      <c r="V4061" s="23" t="e">
        <f t="shared" si="319"/>
        <v>#N/A</v>
      </c>
    </row>
    <row r="4062" spans="2:22" x14ac:dyDescent="0.25">
      <c r="B4062" s="16">
        <v>1</v>
      </c>
      <c r="C4062" s="7">
        <v>1</v>
      </c>
      <c r="D4062" s="8">
        <v>0</v>
      </c>
      <c r="E4062" s="8">
        <v>1</v>
      </c>
      <c r="F4062" s="8">
        <v>1</v>
      </c>
      <c r="G4062" s="8">
        <v>0</v>
      </c>
      <c r="H4062" s="8">
        <v>1</v>
      </c>
      <c r="I4062" s="8">
        <v>1</v>
      </c>
      <c r="J4062" s="8">
        <v>1</v>
      </c>
      <c r="K4062" s="9">
        <v>1</v>
      </c>
      <c r="L4062" s="10">
        <v>1</v>
      </c>
      <c r="M4062" s="6">
        <v>1</v>
      </c>
      <c r="N4062" s="37" t="e" cm="1">
        <f t="array" ref="N4062">IF(OR(ISNUMBER(FIND(Aux!$D$3:$D$9,_xlfn.TEXTJOIN(,,C4062:K4062)))),NA(),IF(AND(SUM(C4062:F4062,H4062:K4062)=0,G4062=1),0,INT((SUMPRODUCT(C4062:F4062,COLUMN($A$1:$D$1)-1)+SUMPRODUCT(H4062:K4062,COLUMN($E$1:$H$1)-1))*'Line Follower'!$C$3/SUM(C4062:F4062,H4062:K4062)-'Line Follower'!$C$5)))</f>
        <v>#N/A</v>
      </c>
      <c r="O4062" s="22" t="e">
        <v>#N/A</v>
      </c>
      <c r="P4062" s="4" t="e">
        <f t="shared" si="315"/>
        <v>#N/A</v>
      </c>
      <c r="Q4062" s="4" t="e">
        <f t="shared" si="316"/>
        <v>#N/A</v>
      </c>
      <c r="R4062" s="4" t="e">
        <f>IF(AND(B4062=1,N4062&gt;'Line Follower'!$C$7,SUM(C4062:K4062)&lt;4),1,0)</f>
        <v>#N/A</v>
      </c>
      <c r="S4062" s="4" t="e">
        <f>IF(AND(L4062=1,N4062&lt;'Line Follower'!$C$6,SUM(C4062:K4062)&lt;4),1,0)</f>
        <v>#N/A</v>
      </c>
      <c r="T4062" s="4" t="e">
        <f t="shared" si="317"/>
        <v>#N/A</v>
      </c>
      <c r="U4062" s="5" t="e">
        <f t="shared" si="318"/>
        <v>#N/A</v>
      </c>
      <c r="V4062" s="23" t="e">
        <f t="shared" si="319"/>
        <v>#N/A</v>
      </c>
    </row>
    <row r="4063" spans="2:22" x14ac:dyDescent="0.25">
      <c r="B4063" s="16">
        <v>0</v>
      </c>
      <c r="C4063" s="7">
        <v>0</v>
      </c>
      <c r="D4063" s="8">
        <v>1</v>
      </c>
      <c r="E4063" s="8">
        <v>1</v>
      </c>
      <c r="F4063" s="8">
        <v>1</v>
      </c>
      <c r="G4063" s="8">
        <v>0</v>
      </c>
      <c r="H4063" s="8">
        <v>1</v>
      </c>
      <c r="I4063" s="8">
        <v>1</v>
      </c>
      <c r="J4063" s="8">
        <v>1</v>
      </c>
      <c r="K4063" s="9">
        <v>1</v>
      </c>
      <c r="L4063" s="10">
        <v>1</v>
      </c>
      <c r="M4063" s="6">
        <v>1</v>
      </c>
      <c r="N4063" s="37" t="e" cm="1">
        <f t="array" ref="N4063">IF(OR(ISNUMBER(FIND(Aux!$D$3:$D$9,_xlfn.TEXTJOIN(,,C4063:K4063)))),NA(),IF(AND(SUM(C4063:F4063,H4063:K4063)=0,G4063=1),0,INT((SUMPRODUCT(C4063:F4063,COLUMN($A$1:$D$1)-1)+SUMPRODUCT(H4063:K4063,COLUMN($E$1:$H$1)-1))*'Line Follower'!$C$3/SUM(C4063:F4063,H4063:K4063)-'Line Follower'!$C$5)))</f>
        <v>#N/A</v>
      </c>
      <c r="O4063" s="22" t="e">
        <v>#N/A</v>
      </c>
      <c r="P4063" s="4" t="e">
        <f t="shared" si="315"/>
        <v>#N/A</v>
      </c>
      <c r="Q4063" s="4" t="e">
        <f t="shared" si="316"/>
        <v>#N/A</v>
      </c>
      <c r="R4063" s="4" t="e">
        <f>IF(AND(B4063=1,N4063&gt;'Line Follower'!$C$7,SUM(C4063:K4063)&lt;4),1,0)</f>
        <v>#N/A</v>
      </c>
      <c r="S4063" s="4" t="e">
        <f>IF(AND(L4063=1,N4063&lt;'Line Follower'!$C$6,SUM(C4063:K4063)&lt;4),1,0)</f>
        <v>#N/A</v>
      </c>
      <c r="T4063" s="4" t="e">
        <f t="shared" si="317"/>
        <v>#N/A</v>
      </c>
      <c r="U4063" s="5" t="e">
        <f t="shared" si="318"/>
        <v>#N/A</v>
      </c>
      <c r="V4063" s="23" t="e">
        <f t="shared" si="319"/>
        <v>#N/A</v>
      </c>
    </row>
    <row r="4064" spans="2:22" x14ac:dyDescent="0.25">
      <c r="B4064" s="16">
        <v>1</v>
      </c>
      <c r="C4064" s="7">
        <v>0</v>
      </c>
      <c r="D4064" s="8">
        <v>1</v>
      </c>
      <c r="E4064" s="8">
        <v>1</v>
      </c>
      <c r="F4064" s="8">
        <v>1</v>
      </c>
      <c r="G4064" s="8">
        <v>0</v>
      </c>
      <c r="H4064" s="8">
        <v>1</v>
      </c>
      <c r="I4064" s="8">
        <v>1</v>
      </c>
      <c r="J4064" s="8">
        <v>1</v>
      </c>
      <c r="K4064" s="9">
        <v>1</v>
      </c>
      <c r="L4064" s="10">
        <v>1</v>
      </c>
      <c r="M4064" s="6">
        <v>1</v>
      </c>
      <c r="N4064" s="37" t="e" cm="1">
        <f t="array" ref="N4064">IF(OR(ISNUMBER(FIND(Aux!$D$3:$D$9,_xlfn.TEXTJOIN(,,C4064:K4064)))),NA(),IF(AND(SUM(C4064:F4064,H4064:K4064)=0,G4064=1),0,INT((SUMPRODUCT(C4064:F4064,COLUMN($A$1:$D$1)-1)+SUMPRODUCT(H4064:K4064,COLUMN($E$1:$H$1)-1))*'Line Follower'!$C$3/SUM(C4064:F4064,H4064:K4064)-'Line Follower'!$C$5)))</f>
        <v>#N/A</v>
      </c>
      <c r="O4064" s="22" t="e">
        <v>#N/A</v>
      </c>
      <c r="P4064" s="4" t="e">
        <f t="shared" si="315"/>
        <v>#N/A</v>
      </c>
      <c r="Q4064" s="4" t="e">
        <f t="shared" si="316"/>
        <v>#N/A</v>
      </c>
      <c r="R4064" s="4" t="e">
        <f>IF(AND(B4064=1,N4064&gt;'Line Follower'!$C$7,SUM(C4064:K4064)&lt;4),1,0)</f>
        <v>#N/A</v>
      </c>
      <c r="S4064" s="4" t="e">
        <f>IF(AND(L4064=1,N4064&lt;'Line Follower'!$C$6,SUM(C4064:K4064)&lt;4),1,0)</f>
        <v>#N/A</v>
      </c>
      <c r="T4064" s="4" t="e">
        <f t="shared" si="317"/>
        <v>#N/A</v>
      </c>
      <c r="U4064" s="5" t="e">
        <f t="shared" si="318"/>
        <v>#N/A</v>
      </c>
      <c r="V4064" s="23" t="e">
        <f t="shared" si="319"/>
        <v>#N/A</v>
      </c>
    </row>
    <row r="4065" spans="2:22" x14ac:dyDescent="0.25">
      <c r="B4065" s="16">
        <v>0</v>
      </c>
      <c r="C4065" s="7">
        <v>1</v>
      </c>
      <c r="D4065" s="8">
        <v>1</v>
      </c>
      <c r="E4065" s="8">
        <v>1</v>
      </c>
      <c r="F4065" s="8">
        <v>1</v>
      </c>
      <c r="G4065" s="8">
        <v>0</v>
      </c>
      <c r="H4065" s="8">
        <v>1</v>
      </c>
      <c r="I4065" s="8">
        <v>1</v>
      </c>
      <c r="J4065" s="8">
        <v>1</v>
      </c>
      <c r="K4065" s="9">
        <v>1</v>
      </c>
      <c r="L4065" s="10">
        <v>1</v>
      </c>
      <c r="M4065" s="6">
        <v>1</v>
      </c>
      <c r="N4065" s="37" t="e" cm="1">
        <f t="array" ref="N4065">IF(OR(ISNUMBER(FIND(Aux!$D$3:$D$9,_xlfn.TEXTJOIN(,,C4065:K4065)))),NA(),IF(AND(SUM(C4065:F4065,H4065:K4065)=0,G4065=1),0,INT((SUMPRODUCT(C4065:F4065,COLUMN($A$1:$D$1)-1)+SUMPRODUCT(H4065:K4065,COLUMN($E$1:$H$1)-1))*'Line Follower'!$C$3/SUM(C4065:F4065,H4065:K4065)-'Line Follower'!$C$5)))</f>
        <v>#N/A</v>
      </c>
      <c r="O4065" s="22" t="e">
        <v>#N/A</v>
      </c>
      <c r="P4065" s="4" t="e">
        <f t="shared" si="315"/>
        <v>#N/A</v>
      </c>
      <c r="Q4065" s="4" t="e">
        <f t="shared" si="316"/>
        <v>#N/A</v>
      </c>
      <c r="R4065" s="4" t="e">
        <f>IF(AND(B4065=1,N4065&gt;'Line Follower'!$C$7,SUM(C4065:K4065)&lt;4),1,0)</f>
        <v>#N/A</v>
      </c>
      <c r="S4065" s="4" t="e">
        <f>IF(AND(L4065=1,N4065&lt;'Line Follower'!$C$6,SUM(C4065:K4065)&lt;4),1,0)</f>
        <v>#N/A</v>
      </c>
      <c r="T4065" s="4" t="e">
        <f t="shared" si="317"/>
        <v>#N/A</v>
      </c>
      <c r="U4065" s="5" t="e">
        <f t="shared" si="318"/>
        <v>#N/A</v>
      </c>
      <c r="V4065" s="23" t="e">
        <f t="shared" si="319"/>
        <v>#N/A</v>
      </c>
    </row>
    <row r="4066" spans="2:22" x14ac:dyDescent="0.25">
      <c r="B4066" s="16">
        <v>1</v>
      </c>
      <c r="C4066" s="7">
        <v>1</v>
      </c>
      <c r="D4066" s="8">
        <v>1</v>
      </c>
      <c r="E4066" s="8">
        <v>1</v>
      </c>
      <c r="F4066" s="8">
        <v>1</v>
      </c>
      <c r="G4066" s="8">
        <v>0</v>
      </c>
      <c r="H4066" s="8">
        <v>1</v>
      </c>
      <c r="I4066" s="8">
        <v>1</v>
      </c>
      <c r="J4066" s="8">
        <v>1</v>
      </c>
      <c r="K4066" s="9">
        <v>1</v>
      </c>
      <c r="L4066" s="10">
        <v>1</v>
      </c>
      <c r="M4066" s="6">
        <v>1</v>
      </c>
      <c r="N4066" s="37" t="e" cm="1">
        <f t="array" ref="N4066">IF(OR(ISNUMBER(FIND(Aux!$D$3:$D$9,_xlfn.TEXTJOIN(,,C4066:K4066)))),NA(),IF(AND(SUM(C4066:F4066,H4066:K4066)=0,G4066=1),0,INT((SUMPRODUCT(C4066:F4066,COLUMN($A$1:$D$1)-1)+SUMPRODUCT(H4066:K4066,COLUMN($E$1:$H$1)-1))*'Line Follower'!$C$3/SUM(C4066:F4066,H4066:K4066)-'Line Follower'!$C$5)))</f>
        <v>#N/A</v>
      </c>
      <c r="O4066" s="22" t="e">
        <v>#N/A</v>
      </c>
      <c r="P4066" s="4" t="e">
        <f t="shared" si="315"/>
        <v>#N/A</v>
      </c>
      <c r="Q4066" s="4" t="e">
        <f t="shared" si="316"/>
        <v>#N/A</v>
      </c>
      <c r="R4066" s="4" t="e">
        <f>IF(AND(B4066=1,N4066&gt;'Line Follower'!$C$7,SUM(C4066:K4066)&lt;4),1,0)</f>
        <v>#N/A</v>
      </c>
      <c r="S4066" s="4" t="e">
        <f>IF(AND(L4066=1,N4066&lt;'Line Follower'!$C$6,SUM(C4066:K4066)&lt;4),1,0)</f>
        <v>#N/A</v>
      </c>
      <c r="T4066" s="4" t="e">
        <f t="shared" si="317"/>
        <v>#N/A</v>
      </c>
      <c r="U4066" s="5" t="e">
        <f t="shared" si="318"/>
        <v>#N/A</v>
      </c>
      <c r="V4066" s="23" t="e">
        <f t="shared" si="319"/>
        <v>#N/A</v>
      </c>
    </row>
    <row r="4067" spans="2:22" x14ac:dyDescent="0.25">
      <c r="B4067" s="16">
        <v>0</v>
      </c>
      <c r="C4067" s="7">
        <v>0</v>
      </c>
      <c r="D4067" s="8">
        <v>0</v>
      </c>
      <c r="E4067" s="8">
        <v>0</v>
      </c>
      <c r="F4067" s="8">
        <v>0</v>
      </c>
      <c r="G4067" s="8">
        <v>1</v>
      </c>
      <c r="H4067" s="8">
        <v>1</v>
      </c>
      <c r="I4067" s="8">
        <v>1</v>
      </c>
      <c r="J4067" s="8">
        <v>1</v>
      </c>
      <c r="K4067" s="9">
        <v>1</v>
      </c>
      <c r="L4067" s="10">
        <v>1</v>
      </c>
      <c r="M4067" s="6">
        <v>1</v>
      </c>
      <c r="N4067" s="37" cm="1">
        <f t="array" ref="N4067">IF(OR(ISNUMBER(FIND(Aux!$D$3:$D$9,_xlfn.TEXTJOIN(,,C4067:K4067)))),NA(),IF(AND(SUM(C4067:F4067,H4067:K4067)=0,G4067=1),0,INT((SUMPRODUCT(C4067:F4067,COLUMN($A$1:$D$1)-1)+SUMPRODUCT(H4067:K4067,COLUMN($E$1:$H$1)-1))*'Line Follower'!$C$3/SUM(C4067:F4067,H4067:K4067)-'Line Follower'!$C$5)))</f>
        <v>4</v>
      </c>
      <c r="O4067" s="22">
        <v>1</v>
      </c>
      <c r="P4067" s="4">
        <f t="shared" si="315"/>
        <v>0</v>
      </c>
      <c r="Q4067" s="4">
        <f t="shared" si="316"/>
        <v>1</v>
      </c>
      <c r="R4067" s="4">
        <f>IF(AND(B4067=1,N4067&gt;'Line Follower'!$C$7,SUM(C4067:K4067)&lt;4),1,0)</f>
        <v>0</v>
      </c>
      <c r="S4067" s="4">
        <f>IF(AND(L4067=1,N4067&lt;'Line Follower'!$C$6,SUM(C4067:K4067)&lt;4),1,0)</f>
        <v>0</v>
      </c>
      <c r="T4067" s="4">
        <f t="shared" si="317"/>
        <v>0</v>
      </c>
      <c r="U4067" s="5">
        <f t="shared" si="318"/>
        <v>0</v>
      </c>
      <c r="V4067" s="23">
        <f t="shared" si="319"/>
        <v>0</v>
      </c>
    </row>
    <row r="4068" spans="2:22" x14ac:dyDescent="0.25">
      <c r="B4068" s="16">
        <v>1</v>
      </c>
      <c r="C4068" s="7">
        <v>0</v>
      </c>
      <c r="D4068" s="8">
        <v>0</v>
      </c>
      <c r="E4068" s="8">
        <v>0</v>
      </c>
      <c r="F4068" s="8">
        <v>0</v>
      </c>
      <c r="G4068" s="8">
        <v>1</v>
      </c>
      <c r="H4068" s="8">
        <v>1</v>
      </c>
      <c r="I4068" s="8">
        <v>1</v>
      </c>
      <c r="J4068" s="8">
        <v>1</v>
      </c>
      <c r="K4068" s="9">
        <v>1</v>
      </c>
      <c r="L4068" s="10">
        <v>1</v>
      </c>
      <c r="M4068" s="6">
        <v>1</v>
      </c>
      <c r="N4068" s="37" cm="1">
        <f t="array" ref="N4068">IF(OR(ISNUMBER(FIND(Aux!$D$3:$D$9,_xlfn.TEXTJOIN(,,C4068:K4068)))),NA(),IF(AND(SUM(C4068:F4068,H4068:K4068)=0,G4068=1),0,INT((SUMPRODUCT(C4068:F4068,COLUMN($A$1:$D$1)-1)+SUMPRODUCT(H4068:K4068,COLUMN($E$1:$H$1)-1))*'Line Follower'!$C$3/SUM(C4068:F4068,H4068:K4068)-'Line Follower'!$C$5)))</f>
        <v>4</v>
      </c>
      <c r="O4068" s="22">
        <v>1</v>
      </c>
      <c r="P4068" s="4">
        <f t="shared" si="315"/>
        <v>0</v>
      </c>
      <c r="Q4068" s="4">
        <f t="shared" si="316"/>
        <v>1</v>
      </c>
      <c r="R4068" s="4">
        <f>IF(AND(B4068=1,N4068&gt;'Line Follower'!$C$7,SUM(C4068:K4068)&lt;4),1,0)</f>
        <v>0</v>
      </c>
      <c r="S4068" s="4">
        <f>IF(AND(L4068=1,N4068&lt;'Line Follower'!$C$6,SUM(C4068:K4068)&lt;4),1,0)</f>
        <v>0</v>
      </c>
      <c r="T4068" s="4">
        <f t="shared" si="317"/>
        <v>0</v>
      </c>
      <c r="U4068" s="5">
        <f t="shared" si="318"/>
        <v>0</v>
      </c>
      <c r="V4068" s="23">
        <f t="shared" si="319"/>
        <v>0</v>
      </c>
    </row>
    <row r="4069" spans="2:22" x14ac:dyDescent="0.25">
      <c r="B4069" s="16">
        <v>0</v>
      </c>
      <c r="C4069" s="7">
        <v>1</v>
      </c>
      <c r="D4069" s="8">
        <v>0</v>
      </c>
      <c r="E4069" s="8">
        <v>0</v>
      </c>
      <c r="F4069" s="8">
        <v>0</v>
      </c>
      <c r="G4069" s="8">
        <v>1</v>
      </c>
      <c r="H4069" s="8">
        <v>1</v>
      </c>
      <c r="I4069" s="8">
        <v>1</v>
      </c>
      <c r="J4069" s="8">
        <v>1</v>
      </c>
      <c r="K4069" s="9">
        <v>1</v>
      </c>
      <c r="L4069" s="10">
        <v>1</v>
      </c>
      <c r="M4069" s="6">
        <v>1</v>
      </c>
      <c r="N4069" s="37" t="e" cm="1">
        <f t="array" ref="N4069">IF(OR(ISNUMBER(FIND(Aux!$D$3:$D$9,_xlfn.TEXTJOIN(,,C4069:K4069)))),NA(),IF(AND(SUM(C4069:F4069,H4069:K4069)=0,G4069=1),0,INT((SUMPRODUCT(C4069:F4069,COLUMN($A$1:$D$1)-1)+SUMPRODUCT(H4069:K4069,COLUMN($E$1:$H$1)-1))*'Line Follower'!$C$3/SUM(C4069:F4069,H4069:K4069)-'Line Follower'!$C$5)))</f>
        <v>#N/A</v>
      </c>
      <c r="O4069" s="22" t="e">
        <v>#N/A</v>
      </c>
      <c r="P4069" s="4" t="e">
        <f t="shared" si="315"/>
        <v>#N/A</v>
      </c>
      <c r="Q4069" s="4" t="e">
        <f t="shared" si="316"/>
        <v>#N/A</v>
      </c>
      <c r="R4069" s="4" t="e">
        <f>IF(AND(B4069=1,N4069&gt;'Line Follower'!$C$7,SUM(C4069:K4069)&lt;4),1,0)</f>
        <v>#N/A</v>
      </c>
      <c r="S4069" s="4" t="e">
        <f>IF(AND(L4069=1,N4069&lt;'Line Follower'!$C$6,SUM(C4069:K4069)&lt;4),1,0)</f>
        <v>#N/A</v>
      </c>
      <c r="T4069" s="4" t="e">
        <f t="shared" si="317"/>
        <v>#N/A</v>
      </c>
      <c r="U4069" s="5" t="e">
        <f t="shared" si="318"/>
        <v>#N/A</v>
      </c>
      <c r="V4069" s="23" t="e">
        <f t="shared" si="319"/>
        <v>#N/A</v>
      </c>
    </row>
    <row r="4070" spans="2:22" x14ac:dyDescent="0.25">
      <c r="B4070" s="16">
        <v>1</v>
      </c>
      <c r="C4070" s="7">
        <v>1</v>
      </c>
      <c r="D4070" s="8">
        <v>0</v>
      </c>
      <c r="E4070" s="8">
        <v>0</v>
      </c>
      <c r="F4070" s="8">
        <v>0</v>
      </c>
      <c r="G4070" s="8">
        <v>1</v>
      </c>
      <c r="H4070" s="8">
        <v>1</v>
      </c>
      <c r="I4070" s="8">
        <v>1</v>
      </c>
      <c r="J4070" s="8">
        <v>1</v>
      </c>
      <c r="K4070" s="9">
        <v>1</v>
      </c>
      <c r="L4070" s="10">
        <v>1</v>
      </c>
      <c r="M4070" s="6">
        <v>1</v>
      </c>
      <c r="N4070" s="37" t="e" cm="1">
        <f t="array" ref="N4070">IF(OR(ISNUMBER(FIND(Aux!$D$3:$D$9,_xlfn.TEXTJOIN(,,C4070:K4070)))),NA(),IF(AND(SUM(C4070:F4070,H4070:K4070)=0,G4070=1),0,INT((SUMPRODUCT(C4070:F4070,COLUMN($A$1:$D$1)-1)+SUMPRODUCT(H4070:K4070,COLUMN($E$1:$H$1)-1))*'Line Follower'!$C$3/SUM(C4070:F4070,H4070:K4070)-'Line Follower'!$C$5)))</f>
        <v>#N/A</v>
      </c>
      <c r="O4070" s="22" t="e">
        <v>#N/A</v>
      </c>
      <c r="P4070" s="4" t="e">
        <f t="shared" si="315"/>
        <v>#N/A</v>
      </c>
      <c r="Q4070" s="4" t="e">
        <f t="shared" si="316"/>
        <v>#N/A</v>
      </c>
      <c r="R4070" s="4" t="e">
        <f>IF(AND(B4070=1,N4070&gt;'Line Follower'!$C$7,SUM(C4070:K4070)&lt;4),1,0)</f>
        <v>#N/A</v>
      </c>
      <c r="S4070" s="4" t="e">
        <f>IF(AND(L4070=1,N4070&lt;'Line Follower'!$C$6,SUM(C4070:K4070)&lt;4),1,0)</f>
        <v>#N/A</v>
      </c>
      <c r="T4070" s="4" t="e">
        <f t="shared" si="317"/>
        <v>#N/A</v>
      </c>
      <c r="U4070" s="5" t="e">
        <f t="shared" si="318"/>
        <v>#N/A</v>
      </c>
      <c r="V4070" s="23" t="e">
        <f t="shared" si="319"/>
        <v>#N/A</v>
      </c>
    </row>
    <row r="4071" spans="2:22" x14ac:dyDescent="0.25">
      <c r="B4071" s="16">
        <v>0</v>
      </c>
      <c r="C4071" s="7">
        <v>0</v>
      </c>
      <c r="D4071" s="8">
        <v>1</v>
      </c>
      <c r="E4071" s="8">
        <v>0</v>
      </c>
      <c r="F4071" s="8">
        <v>0</v>
      </c>
      <c r="G4071" s="8">
        <v>1</v>
      </c>
      <c r="H4071" s="8">
        <v>1</v>
      </c>
      <c r="I4071" s="8">
        <v>1</v>
      </c>
      <c r="J4071" s="8">
        <v>1</v>
      </c>
      <c r="K4071" s="9">
        <v>1</v>
      </c>
      <c r="L4071" s="10">
        <v>1</v>
      </c>
      <c r="M4071" s="6">
        <v>1</v>
      </c>
      <c r="N4071" s="37" t="e" cm="1">
        <f t="array" ref="N4071">IF(OR(ISNUMBER(FIND(Aux!$D$3:$D$9,_xlfn.TEXTJOIN(,,C4071:K4071)))),NA(),IF(AND(SUM(C4071:F4071,H4071:K4071)=0,G4071=1),0,INT((SUMPRODUCT(C4071:F4071,COLUMN($A$1:$D$1)-1)+SUMPRODUCT(H4071:K4071,COLUMN($E$1:$H$1)-1))*'Line Follower'!$C$3/SUM(C4071:F4071,H4071:K4071)-'Line Follower'!$C$5)))</f>
        <v>#N/A</v>
      </c>
      <c r="O4071" s="22" t="e">
        <v>#N/A</v>
      </c>
      <c r="P4071" s="4" t="e">
        <f t="shared" si="315"/>
        <v>#N/A</v>
      </c>
      <c r="Q4071" s="4" t="e">
        <f t="shared" si="316"/>
        <v>#N/A</v>
      </c>
      <c r="R4071" s="4" t="e">
        <f>IF(AND(B4071=1,N4071&gt;'Line Follower'!$C$7,SUM(C4071:K4071)&lt;4),1,0)</f>
        <v>#N/A</v>
      </c>
      <c r="S4071" s="4" t="e">
        <f>IF(AND(L4071=1,N4071&lt;'Line Follower'!$C$6,SUM(C4071:K4071)&lt;4),1,0)</f>
        <v>#N/A</v>
      </c>
      <c r="T4071" s="4" t="e">
        <f t="shared" si="317"/>
        <v>#N/A</v>
      </c>
      <c r="U4071" s="5" t="e">
        <f t="shared" si="318"/>
        <v>#N/A</v>
      </c>
      <c r="V4071" s="23" t="e">
        <f t="shared" si="319"/>
        <v>#N/A</v>
      </c>
    </row>
    <row r="4072" spans="2:22" x14ac:dyDescent="0.25">
      <c r="B4072" s="16">
        <v>1</v>
      </c>
      <c r="C4072" s="7">
        <v>0</v>
      </c>
      <c r="D4072" s="8">
        <v>1</v>
      </c>
      <c r="E4072" s="8">
        <v>0</v>
      </c>
      <c r="F4072" s="8">
        <v>0</v>
      </c>
      <c r="G4072" s="8">
        <v>1</v>
      </c>
      <c r="H4072" s="8">
        <v>1</v>
      </c>
      <c r="I4072" s="8">
        <v>1</v>
      </c>
      <c r="J4072" s="8">
        <v>1</v>
      </c>
      <c r="K4072" s="9">
        <v>1</v>
      </c>
      <c r="L4072" s="10">
        <v>1</v>
      </c>
      <c r="M4072" s="6">
        <v>1</v>
      </c>
      <c r="N4072" s="37" t="e" cm="1">
        <f t="array" ref="N4072">IF(OR(ISNUMBER(FIND(Aux!$D$3:$D$9,_xlfn.TEXTJOIN(,,C4072:K4072)))),NA(),IF(AND(SUM(C4072:F4072,H4072:K4072)=0,G4072=1),0,INT((SUMPRODUCT(C4072:F4072,COLUMN($A$1:$D$1)-1)+SUMPRODUCT(H4072:K4072,COLUMN($E$1:$H$1)-1))*'Line Follower'!$C$3/SUM(C4072:F4072,H4072:K4072)-'Line Follower'!$C$5)))</f>
        <v>#N/A</v>
      </c>
      <c r="O4072" s="22" t="e">
        <v>#N/A</v>
      </c>
      <c r="P4072" s="4" t="e">
        <f t="shared" si="315"/>
        <v>#N/A</v>
      </c>
      <c r="Q4072" s="4" t="e">
        <f t="shared" si="316"/>
        <v>#N/A</v>
      </c>
      <c r="R4072" s="4" t="e">
        <f>IF(AND(B4072=1,N4072&gt;'Line Follower'!$C$7,SUM(C4072:K4072)&lt;4),1,0)</f>
        <v>#N/A</v>
      </c>
      <c r="S4072" s="4" t="e">
        <f>IF(AND(L4072=1,N4072&lt;'Line Follower'!$C$6,SUM(C4072:K4072)&lt;4),1,0)</f>
        <v>#N/A</v>
      </c>
      <c r="T4072" s="4" t="e">
        <f t="shared" si="317"/>
        <v>#N/A</v>
      </c>
      <c r="U4072" s="5" t="e">
        <f t="shared" si="318"/>
        <v>#N/A</v>
      </c>
      <c r="V4072" s="23" t="e">
        <f t="shared" si="319"/>
        <v>#N/A</v>
      </c>
    </row>
    <row r="4073" spans="2:22" x14ac:dyDescent="0.25">
      <c r="B4073" s="16">
        <v>0</v>
      </c>
      <c r="C4073" s="7">
        <v>1</v>
      </c>
      <c r="D4073" s="8">
        <v>1</v>
      </c>
      <c r="E4073" s="8">
        <v>0</v>
      </c>
      <c r="F4073" s="8">
        <v>0</v>
      </c>
      <c r="G4073" s="8">
        <v>1</v>
      </c>
      <c r="H4073" s="8">
        <v>1</v>
      </c>
      <c r="I4073" s="8">
        <v>1</v>
      </c>
      <c r="J4073" s="8">
        <v>1</v>
      </c>
      <c r="K4073" s="9">
        <v>1</v>
      </c>
      <c r="L4073" s="10">
        <v>1</v>
      </c>
      <c r="M4073" s="6">
        <v>1</v>
      </c>
      <c r="N4073" s="37" t="e" cm="1">
        <f t="array" ref="N4073">IF(OR(ISNUMBER(FIND(Aux!$D$3:$D$9,_xlfn.TEXTJOIN(,,C4073:K4073)))),NA(),IF(AND(SUM(C4073:F4073,H4073:K4073)=0,G4073=1),0,INT((SUMPRODUCT(C4073:F4073,COLUMN($A$1:$D$1)-1)+SUMPRODUCT(H4073:K4073,COLUMN($E$1:$H$1)-1))*'Line Follower'!$C$3/SUM(C4073:F4073,H4073:K4073)-'Line Follower'!$C$5)))</f>
        <v>#N/A</v>
      </c>
      <c r="O4073" s="22" t="e">
        <v>#N/A</v>
      </c>
      <c r="P4073" s="4" t="e">
        <f t="shared" si="315"/>
        <v>#N/A</v>
      </c>
      <c r="Q4073" s="4" t="e">
        <f t="shared" si="316"/>
        <v>#N/A</v>
      </c>
      <c r="R4073" s="4" t="e">
        <f>IF(AND(B4073=1,N4073&gt;'Line Follower'!$C$7,SUM(C4073:K4073)&lt;4),1,0)</f>
        <v>#N/A</v>
      </c>
      <c r="S4073" s="4" t="e">
        <f>IF(AND(L4073=1,N4073&lt;'Line Follower'!$C$6,SUM(C4073:K4073)&lt;4),1,0)</f>
        <v>#N/A</v>
      </c>
      <c r="T4073" s="4" t="e">
        <f t="shared" si="317"/>
        <v>#N/A</v>
      </c>
      <c r="U4073" s="5" t="e">
        <f t="shared" si="318"/>
        <v>#N/A</v>
      </c>
      <c r="V4073" s="23" t="e">
        <f t="shared" si="319"/>
        <v>#N/A</v>
      </c>
    </row>
    <row r="4074" spans="2:22" x14ac:dyDescent="0.25">
      <c r="B4074" s="16">
        <v>1</v>
      </c>
      <c r="C4074" s="7">
        <v>1</v>
      </c>
      <c r="D4074" s="8">
        <v>1</v>
      </c>
      <c r="E4074" s="8">
        <v>0</v>
      </c>
      <c r="F4074" s="8">
        <v>0</v>
      </c>
      <c r="G4074" s="8">
        <v>1</v>
      </c>
      <c r="H4074" s="8">
        <v>1</v>
      </c>
      <c r="I4074" s="8">
        <v>1</v>
      </c>
      <c r="J4074" s="8">
        <v>1</v>
      </c>
      <c r="K4074" s="9">
        <v>1</v>
      </c>
      <c r="L4074" s="10">
        <v>1</v>
      </c>
      <c r="M4074" s="6">
        <v>1</v>
      </c>
      <c r="N4074" s="37" t="e" cm="1">
        <f t="array" ref="N4074">IF(OR(ISNUMBER(FIND(Aux!$D$3:$D$9,_xlfn.TEXTJOIN(,,C4074:K4074)))),NA(),IF(AND(SUM(C4074:F4074,H4074:K4074)=0,G4074=1),0,INT((SUMPRODUCT(C4074:F4074,COLUMN($A$1:$D$1)-1)+SUMPRODUCT(H4074:K4074,COLUMN($E$1:$H$1)-1))*'Line Follower'!$C$3/SUM(C4074:F4074,H4074:K4074)-'Line Follower'!$C$5)))</f>
        <v>#N/A</v>
      </c>
      <c r="O4074" s="22" t="e">
        <v>#N/A</v>
      </c>
      <c r="P4074" s="4" t="e">
        <f t="shared" si="315"/>
        <v>#N/A</v>
      </c>
      <c r="Q4074" s="4" t="e">
        <f t="shared" si="316"/>
        <v>#N/A</v>
      </c>
      <c r="R4074" s="4" t="e">
        <f>IF(AND(B4074=1,N4074&gt;'Line Follower'!$C$7,SUM(C4074:K4074)&lt;4),1,0)</f>
        <v>#N/A</v>
      </c>
      <c r="S4074" s="4" t="e">
        <f>IF(AND(L4074=1,N4074&lt;'Line Follower'!$C$6,SUM(C4074:K4074)&lt;4),1,0)</f>
        <v>#N/A</v>
      </c>
      <c r="T4074" s="4" t="e">
        <f t="shared" si="317"/>
        <v>#N/A</v>
      </c>
      <c r="U4074" s="5" t="e">
        <f t="shared" si="318"/>
        <v>#N/A</v>
      </c>
      <c r="V4074" s="23" t="e">
        <f t="shared" si="319"/>
        <v>#N/A</v>
      </c>
    </row>
    <row r="4075" spans="2:22" x14ac:dyDescent="0.25">
      <c r="B4075" s="16">
        <v>0</v>
      </c>
      <c r="C4075" s="7">
        <v>0</v>
      </c>
      <c r="D4075" s="8">
        <v>0</v>
      </c>
      <c r="E4075" s="8">
        <v>1</v>
      </c>
      <c r="F4075" s="8">
        <v>0</v>
      </c>
      <c r="G4075" s="8">
        <v>1</v>
      </c>
      <c r="H4075" s="8">
        <v>1</v>
      </c>
      <c r="I4075" s="8">
        <v>1</v>
      </c>
      <c r="J4075" s="8">
        <v>1</v>
      </c>
      <c r="K4075" s="9">
        <v>1</v>
      </c>
      <c r="L4075" s="10">
        <v>1</v>
      </c>
      <c r="M4075" s="6">
        <v>1</v>
      </c>
      <c r="N4075" s="37" t="e" cm="1">
        <f t="array" ref="N4075">IF(OR(ISNUMBER(FIND(Aux!$D$3:$D$9,_xlfn.TEXTJOIN(,,C4075:K4075)))),NA(),IF(AND(SUM(C4075:F4075,H4075:K4075)=0,G4075=1),0,INT((SUMPRODUCT(C4075:F4075,COLUMN($A$1:$D$1)-1)+SUMPRODUCT(H4075:K4075,COLUMN($E$1:$H$1)-1))*'Line Follower'!$C$3/SUM(C4075:F4075,H4075:K4075)-'Line Follower'!$C$5)))</f>
        <v>#N/A</v>
      </c>
      <c r="O4075" s="22" t="e">
        <v>#N/A</v>
      </c>
      <c r="P4075" s="4" t="e">
        <f t="shared" si="315"/>
        <v>#N/A</v>
      </c>
      <c r="Q4075" s="4" t="e">
        <f t="shared" si="316"/>
        <v>#N/A</v>
      </c>
      <c r="R4075" s="4" t="e">
        <f>IF(AND(B4075=1,N4075&gt;'Line Follower'!$C$7,SUM(C4075:K4075)&lt;4),1,0)</f>
        <v>#N/A</v>
      </c>
      <c r="S4075" s="4" t="e">
        <f>IF(AND(L4075=1,N4075&lt;'Line Follower'!$C$6,SUM(C4075:K4075)&lt;4),1,0)</f>
        <v>#N/A</v>
      </c>
      <c r="T4075" s="4" t="e">
        <f t="shared" si="317"/>
        <v>#N/A</v>
      </c>
      <c r="U4075" s="5" t="e">
        <f t="shared" si="318"/>
        <v>#N/A</v>
      </c>
      <c r="V4075" s="23" t="e">
        <f t="shared" si="319"/>
        <v>#N/A</v>
      </c>
    </row>
    <row r="4076" spans="2:22" x14ac:dyDescent="0.25">
      <c r="B4076" s="16">
        <v>1</v>
      </c>
      <c r="C4076" s="7">
        <v>0</v>
      </c>
      <c r="D4076" s="8">
        <v>0</v>
      </c>
      <c r="E4076" s="8">
        <v>1</v>
      </c>
      <c r="F4076" s="8">
        <v>0</v>
      </c>
      <c r="G4076" s="8">
        <v>1</v>
      </c>
      <c r="H4076" s="8">
        <v>1</v>
      </c>
      <c r="I4076" s="8">
        <v>1</v>
      </c>
      <c r="J4076" s="8">
        <v>1</v>
      </c>
      <c r="K4076" s="9">
        <v>1</v>
      </c>
      <c r="L4076" s="10">
        <v>1</v>
      </c>
      <c r="M4076" s="6">
        <v>1</v>
      </c>
      <c r="N4076" s="37" t="e" cm="1">
        <f t="array" ref="N4076">IF(OR(ISNUMBER(FIND(Aux!$D$3:$D$9,_xlfn.TEXTJOIN(,,C4076:K4076)))),NA(),IF(AND(SUM(C4076:F4076,H4076:K4076)=0,G4076=1),0,INT((SUMPRODUCT(C4076:F4076,COLUMN($A$1:$D$1)-1)+SUMPRODUCT(H4076:K4076,COLUMN($E$1:$H$1)-1))*'Line Follower'!$C$3/SUM(C4076:F4076,H4076:K4076)-'Line Follower'!$C$5)))</f>
        <v>#N/A</v>
      </c>
      <c r="O4076" s="22" t="e">
        <v>#N/A</v>
      </c>
      <c r="P4076" s="4" t="e">
        <f t="shared" si="315"/>
        <v>#N/A</v>
      </c>
      <c r="Q4076" s="4" t="e">
        <f t="shared" si="316"/>
        <v>#N/A</v>
      </c>
      <c r="R4076" s="4" t="e">
        <f>IF(AND(B4076=1,N4076&gt;'Line Follower'!$C$7,SUM(C4076:K4076)&lt;4),1,0)</f>
        <v>#N/A</v>
      </c>
      <c r="S4076" s="4" t="e">
        <f>IF(AND(L4076=1,N4076&lt;'Line Follower'!$C$6,SUM(C4076:K4076)&lt;4),1,0)</f>
        <v>#N/A</v>
      </c>
      <c r="T4076" s="4" t="e">
        <f t="shared" si="317"/>
        <v>#N/A</v>
      </c>
      <c r="U4076" s="5" t="e">
        <f t="shared" si="318"/>
        <v>#N/A</v>
      </c>
      <c r="V4076" s="23" t="e">
        <f t="shared" si="319"/>
        <v>#N/A</v>
      </c>
    </row>
    <row r="4077" spans="2:22" x14ac:dyDescent="0.25">
      <c r="B4077" s="16">
        <v>0</v>
      </c>
      <c r="C4077" s="7">
        <v>1</v>
      </c>
      <c r="D4077" s="8">
        <v>0</v>
      </c>
      <c r="E4077" s="8">
        <v>1</v>
      </c>
      <c r="F4077" s="8">
        <v>0</v>
      </c>
      <c r="G4077" s="8">
        <v>1</v>
      </c>
      <c r="H4077" s="8">
        <v>1</v>
      </c>
      <c r="I4077" s="8">
        <v>1</v>
      </c>
      <c r="J4077" s="8">
        <v>1</v>
      </c>
      <c r="K4077" s="9">
        <v>1</v>
      </c>
      <c r="L4077" s="10">
        <v>1</v>
      </c>
      <c r="M4077" s="6">
        <v>1</v>
      </c>
      <c r="N4077" s="37" t="e" cm="1">
        <f t="array" ref="N4077">IF(OR(ISNUMBER(FIND(Aux!$D$3:$D$9,_xlfn.TEXTJOIN(,,C4077:K4077)))),NA(),IF(AND(SUM(C4077:F4077,H4077:K4077)=0,G4077=1),0,INT((SUMPRODUCT(C4077:F4077,COLUMN($A$1:$D$1)-1)+SUMPRODUCT(H4077:K4077,COLUMN($E$1:$H$1)-1))*'Line Follower'!$C$3/SUM(C4077:F4077,H4077:K4077)-'Line Follower'!$C$5)))</f>
        <v>#N/A</v>
      </c>
      <c r="O4077" s="22" t="e">
        <v>#N/A</v>
      </c>
      <c r="P4077" s="4" t="e">
        <f t="shared" si="315"/>
        <v>#N/A</v>
      </c>
      <c r="Q4077" s="4" t="e">
        <f t="shared" si="316"/>
        <v>#N/A</v>
      </c>
      <c r="R4077" s="4" t="e">
        <f>IF(AND(B4077=1,N4077&gt;'Line Follower'!$C$7,SUM(C4077:K4077)&lt;4),1,0)</f>
        <v>#N/A</v>
      </c>
      <c r="S4077" s="4" t="e">
        <f>IF(AND(L4077=1,N4077&lt;'Line Follower'!$C$6,SUM(C4077:K4077)&lt;4),1,0)</f>
        <v>#N/A</v>
      </c>
      <c r="T4077" s="4" t="e">
        <f t="shared" si="317"/>
        <v>#N/A</v>
      </c>
      <c r="U4077" s="5" t="e">
        <f t="shared" si="318"/>
        <v>#N/A</v>
      </c>
      <c r="V4077" s="23" t="e">
        <f t="shared" si="319"/>
        <v>#N/A</v>
      </c>
    </row>
    <row r="4078" spans="2:22" x14ac:dyDescent="0.25">
      <c r="B4078" s="16">
        <v>1</v>
      </c>
      <c r="C4078" s="7">
        <v>1</v>
      </c>
      <c r="D4078" s="8">
        <v>0</v>
      </c>
      <c r="E4078" s="8">
        <v>1</v>
      </c>
      <c r="F4078" s="8">
        <v>0</v>
      </c>
      <c r="G4078" s="8">
        <v>1</v>
      </c>
      <c r="H4078" s="8">
        <v>1</v>
      </c>
      <c r="I4078" s="8">
        <v>1</v>
      </c>
      <c r="J4078" s="8">
        <v>1</v>
      </c>
      <c r="K4078" s="9">
        <v>1</v>
      </c>
      <c r="L4078" s="10">
        <v>1</v>
      </c>
      <c r="M4078" s="6">
        <v>1</v>
      </c>
      <c r="N4078" s="37" t="e" cm="1">
        <f t="array" ref="N4078">IF(OR(ISNUMBER(FIND(Aux!$D$3:$D$9,_xlfn.TEXTJOIN(,,C4078:K4078)))),NA(),IF(AND(SUM(C4078:F4078,H4078:K4078)=0,G4078=1),0,INT((SUMPRODUCT(C4078:F4078,COLUMN($A$1:$D$1)-1)+SUMPRODUCT(H4078:K4078,COLUMN($E$1:$H$1)-1))*'Line Follower'!$C$3/SUM(C4078:F4078,H4078:K4078)-'Line Follower'!$C$5)))</f>
        <v>#N/A</v>
      </c>
      <c r="O4078" s="22" t="e">
        <v>#N/A</v>
      </c>
      <c r="P4078" s="4" t="e">
        <f t="shared" si="315"/>
        <v>#N/A</v>
      </c>
      <c r="Q4078" s="4" t="e">
        <f t="shared" si="316"/>
        <v>#N/A</v>
      </c>
      <c r="R4078" s="4" t="e">
        <f>IF(AND(B4078=1,N4078&gt;'Line Follower'!$C$7,SUM(C4078:K4078)&lt;4),1,0)</f>
        <v>#N/A</v>
      </c>
      <c r="S4078" s="4" t="e">
        <f>IF(AND(L4078=1,N4078&lt;'Line Follower'!$C$6,SUM(C4078:K4078)&lt;4),1,0)</f>
        <v>#N/A</v>
      </c>
      <c r="T4078" s="4" t="e">
        <f t="shared" si="317"/>
        <v>#N/A</v>
      </c>
      <c r="U4078" s="5" t="e">
        <f t="shared" si="318"/>
        <v>#N/A</v>
      </c>
      <c r="V4078" s="23" t="e">
        <f t="shared" si="319"/>
        <v>#N/A</v>
      </c>
    </row>
    <row r="4079" spans="2:22" x14ac:dyDescent="0.25">
      <c r="B4079" s="16">
        <v>0</v>
      </c>
      <c r="C4079" s="7">
        <v>0</v>
      </c>
      <c r="D4079" s="8">
        <v>1</v>
      </c>
      <c r="E4079" s="8">
        <v>1</v>
      </c>
      <c r="F4079" s="8">
        <v>0</v>
      </c>
      <c r="G4079" s="8">
        <v>1</v>
      </c>
      <c r="H4079" s="8">
        <v>1</v>
      </c>
      <c r="I4079" s="8">
        <v>1</v>
      </c>
      <c r="J4079" s="8">
        <v>1</v>
      </c>
      <c r="K4079" s="9">
        <v>1</v>
      </c>
      <c r="L4079" s="10">
        <v>1</v>
      </c>
      <c r="M4079" s="6">
        <v>1</v>
      </c>
      <c r="N4079" s="37" t="e" cm="1">
        <f t="array" ref="N4079">IF(OR(ISNUMBER(FIND(Aux!$D$3:$D$9,_xlfn.TEXTJOIN(,,C4079:K4079)))),NA(),IF(AND(SUM(C4079:F4079,H4079:K4079)=0,G4079=1),0,INT((SUMPRODUCT(C4079:F4079,COLUMN($A$1:$D$1)-1)+SUMPRODUCT(H4079:K4079,COLUMN($E$1:$H$1)-1))*'Line Follower'!$C$3/SUM(C4079:F4079,H4079:K4079)-'Line Follower'!$C$5)))</f>
        <v>#N/A</v>
      </c>
      <c r="O4079" s="22" t="e">
        <v>#N/A</v>
      </c>
      <c r="P4079" s="4" t="e">
        <f t="shared" si="315"/>
        <v>#N/A</v>
      </c>
      <c r="Q4079" s="4" t="e">
        <f t="shared" si="316"/>
        <v>#N/A</v>
      </c>
      <c r="R4079" s="4" t="e">
        <f>IF(AND(B4079=1,N4079&gt;'Line Follower'!$C$7,SUM(C4079:K4079)&lt;4),1,0)</f>
        <v>#N/A</v>
      </c>
      <c r="S4079" s="4" t="e">
        <f>IF(AND(L4079=1,N4079&lt;'Line Follower'!$C$6,SUM(C4079:K4079)&lt;4),1,0)</f>
        <v>#N/A</v>
      </c>
      <c r="T4079" s="4" t="e">
        <f t="shared" si="317"/>
        <v>#N/A</v>
      </c>
      <c r="U4079" s="5" t="e">
        <f t="shared" si="318"/>
        <v>#N/A</v>
      </c>
      <c r="V4079" s="23" t="e">
        <f t="shared" si="319"/>
        <v>#N/A</v>
      </c>
    </row>
    <row r="4080" spans="2:22" x14ac:dyDescent="0.25">
      <c r="B4080" s="16">
        <v>1</v>
      </c>
      <c r="C4080" s="7">
        <v>0</v>
      </c>
      <c r="D4080" s="8">
        <v>1</v>
      </c>
      <c r="E4080" s="8">
        <v>1</v>
      </c>
      <c r="F4080" s="8">
        <v>0</v>
      </c>
      <c r="G4080" s="8">
        <v>1</v>
      </c>
      <c r="H4080" s="8">
        <v>1</v>
      </c>
      <c r="I4080" s="8">
        <v>1</v>
      </c>
      <c r="J4080" s="8">
        <v>1</v>
      </c>
      <c r="K4080" s="9">
        <v>1</v>
      </c>
      <c r="L4080" s="10">
        <v>1</v>
      </c>
      <c r="M4080" s="6">
        <v>1</v>
      </c>
      <c r="N4080" s="37" t="e" cm="1">
        <f t="array" ref="N4080">IF(OR(ISNUMBER(FIND(Aux!$D$3:$D$9,_xlfn.TEXTJOIN(,,C4080:K4080)))),NA(),IF(AND(SUM(C4080:F4080,H4080:K4080)=0,G4080=1),0,INT((SUMPRODUCT(C4080:F4080,COLUMN($A$1:$D$1)-1)+SUMPRODUCT(H4080:K4080,COLUMN($E$1:$H$1)-1))*'Line Follower'!$C$3/SUM(C4080:F4080,H4080:K4080)-'Line Follower'!$C$5)))</f>
        <v>#N/A</v>
      </c>
      <c r="O4080" s="22" t="e">
        <v>#N/A</v>
      </c>
      <c r="P4080" s="4" t="e">
        <f t="shared" si="315"/>
        <v>#N/A</v>
      </c>
      <c r="Q4080" s="4" t="e">
        <f t="shared" si="316"/>
        <v>#N/A</v>
      </c>
      <c r="R4080" s="4" t="e">
        <f>IF(AND(B4080=1,N4080&gt;'Line Follower'!$C$7,SUM(C4080:K4080)&lt;4),1,0)</f>
        <v>#N/A</v>
      </c>
      <c r="S4080" s="4" t="e">
        <f>IF(AND(L4080=1,N4080&lt;'Line Follower'!$C$6,SUM(C4080:K4080)&lt;4),1,0)</f>
        <v>#N/A</v>
      </c>
      <c r="T4080" s="4" t="e">
        <f t="shared" si="317"/>
        <v>#N/A</v>
      </c>
      <c r="U4080" s="5" t="e">
        <f t="shared" si="318"/>
        <v>#N/A</v>
      </c>
      <c r="V4080" s="23" t="e">
        <f t="shared" si="319"/>
        <v>#N/A</v>
      </c>
    </row>
    <row r="4081" spans="2:22" x14ac:dyDescent="0.25">
      <c r="B4081" s="16">
        <v>0</v>
      </c>
      <c r="C4081" s="7">
        <v>1</v>
      </c>
      <c r="D4081" s="8">
        <v>1</v>
      </c>
      <c r="E4081" s="8">
        <v>1</v>
      </c>
      <c r="F4081" s="8">
        <v>0</v>
      </c>
      <c r="G4081" s="8">
        <v>1</v>
      </c>
      <c r="H4081" s="8">
        <v>1</v>
      </c>
      <c r="I4081" s="8">
        <v>1</v>
      </c>
      <c r="J4081" s="8">
        <v>1</v>
      </c>
      <c r="K4081" s="9">
        <v>1</v>
      </c>
      <c r="L4081" s="10">
        <v>1</v>
      </c>
      <c r="M4081" s="6">
        <v>1</v>
      </c>
      <c r="N4081" s="37" t="e" cm="1">
        <f t="array" ref="N4081">IF(OR(ISNUMBER(FIND(Aux!$D$3:$D$9,_xlfn.TEXTJOIN(,,C4081:K4081)))),NA(),IF(AND(SUM(C4081:F4081,H4081:K4081)=0,G4081=1),0,INT((SUMPRODUCT(C4081:F4081,COLUMN($A$1:$D$1)-1)+SUMPRODUCT(H4081:K4081,COLUMN($E$1:$H$1)-1))*'Line Follower'!$C$3/SUM(C4081:F4081,H4081:K4081)-'Line Follower'!$C$5)))</f>
        <v>#N/A</v>
      </c>
      <c r="O4081" s="22" t="e">
        <v>#N/A</v>
      </c>
      <c r="P4081" s="4" t="e">
        <f t="shared" si="315"/>
        <v>#N/A</v>
      </c>
      <c r="Q4081" s="4" t="e">
        <f t="shared" si="316"/>
        <v>#N/A</v>
      </c>
      <c r="R4081" s="4" t="e">
        <f>IF(AND(B4081=1,N4081&gt;'Line Follower'!$C$7,SUM(C4081:K4081)&lt;4),1,0)</f>
        <v>#N/A</v>
      </c>
      <c r="S4081" s="4" t="e">
        <f>IF(AND(L4081=1,N4081&lt;'Line Follower'!$C$6,SUM(C4081:K4081)&lt;4),1,0)</f>
        <v>#N/A</v>
      </c>
      <c r="T4081" s="4" t="e">
        <f t="shared" si="317"/>
        <v>#N/A</v>
      </c>
      <c r="U4081" s="5" t="e">
        <f t="shared" si="318"/>
        <v>#N/A</v>
      </c>
      <c r="V4081" s="23" t="e">
        <f t="shared" si="319"/>
        <v>#N/A</v>
      </c>
    </row>
    <row r="4082" spans="2:22" x14ac:dyDescent="0.25">
      <c r="B4082" s="16">
        <v>1</v>
      </c>
      <c r="C4082" s="7">
        <v>1</v>
      </c>
      <c r="D4082" s="8">
        <v>1</v>
      </c>
      <c r="E4082" s="8">
        <v>1</v>
      </c>
      <c r="F4082" s="8">
        <v>0</v>
      </c>
      <c r="G4082" s="8">
        <v>1</v>
      </c>
      <c r="H4082" s="8">
        <v>1</v>
      </c>
      <c r="I4082" s="8">
        <v>1</v>
      </c>
      <c r="J4082" s="8">
        <v>1</v>
      </c>
      <c r="K4082" s="9">
        <v>1</v>
      </c>
      <c r="L4082" s="10">
        <v>1</v>
      </c>
      <c r="M4082" s="6">
        <v>1</v>
      </c>
      <c r="N4082" s="37" t="e" cm="1">
        <f t="array" ref="N4082">IF(OR(ISNUMBER(FIND(Aux!$D$3:$D$9,_xlfn.TEXTJOIN(,,C4082:K4082)))),NA(),IF(AND(SUM(C4082:F4082,H4082:K4082)=0,G4082=1),0,INT((SUMPRODUCT(C4082:F4082,COLUMN($A$1:$D$1)-1)+SUMPRODUCT(H4082:K4082,COLUMN($E$1:$H$1)-1))*'Line Follower'!$C$3/SUM(C4082:F4082,H4082:K4082)-'Line Follower'!$C$5)))</f>
        <v>#N/A</v>
      </c>
      <c r="O4082" s="22" t="e">
        <v>#N/A</v>
      </c>
      <c r="P4082" s="4" t="e">
        <f t="shared" si="315"/>
        <v>#N/A</v>
      </c>
      <c r="Q4082" s="4" t="e">
        <f t="shared" si="316"/>
        <v>#N/A</v>
      </c>
      <c r="R4082" s="4" t="e">
        <f>IF(AND(B4082=1,N4082&gt;'Line Follower'!$C$7,SUM(C4082:K4082)&lt;4),1,0)</f>
        <v>#N/A</v>
      </c>
      <c r="S4082" s="4" t="e">
        <f>IF(AND(L4082=1,N4082&lt;'Line Follower'!$C$6,SUM(C4082:K4082)&lt;4),1,0)</f>
        <v>#N/A</v>
      </c>
      <c r="T4082" s="4" t="e">
        <f t="shared" si="317"/>
        <v>#N/A</v>
      </c>
      <c r="U4082" s="5" t="e">
        <f t="shared" si="318"/>
        <v>#N/A</v>
      </c>
      <c r="V4082" s="23" t="e">
        <f t="shared" si="319"/>
        <v>#N/A</v>
      </c>
    </row>
    <row r="4083" spans="2:22" x14ac:dyDescent="0.25">
      <c r="B4083" s="16">
        <v>0</v>
      </c>
      <c r="C4083" s="7">
        <v>0</v>
      </c>
      <c r="D4083" s="8">
        <v>0</v>
      </c>
      <c r="E4083" s="8">
        <v>0</v>
      </c>
      <c r="F4083" s="8">
        <v>1</v>
      </c>
      <c r="G4083" s="8">
        <v>1</v>
      </c>
      <c r="H4083" s="8">
        <v>1</v>
      </c>
      <c r="I4083" s="8">
        <v>1</v>
      </c>
      <c r="J4083" s="8">
        <v>1</v>
      </c>
      <c r="K4083" s="9">
        <v>1</v>
      </c>
      <c r="L4083" s="10">
        <v>1</v>
      </c>
      <c r="M4083" s="6">
        <v>1</v>
      </c>
      <c r="N4083" s="37" cm="1">
        <f t="array" ref="N4083">IF(OR(ISNUMBER(FIND(Aux!$D$3:$D$9,_xlfn.TEXTJOIN(,,C4083:K4083)))),NA(),IF(AND(SUM(C4083:F4083,H4083:K4083)=0,G4083=1),0,INT((SUMPRODUCT(C4083:F4083,COLUMN($A$1:$D$1)-1)+SUMPRODUCT(H4083:K4083,COLUMN($E$1:$H$1)-1))*'Line Follower'!$C$3/SUM(C4083:F4083,H4083:K4083)-'Line Follower'!$C$5)))</f>
        <v>3</v>
      </c>
      <c r="O4083" s="22">
        <v>1</v>
      </c>
      <c r="P4083" s="4">
        <f t="shared" si="315"/>
        <v>0</v>
      </c>
      <c r="Q4083" s="4">
        <f t="shared" si="316"/>
        <v>1</v>
      </c>
      <c r="R4083" s="4">
        <f>IF(AND(B4083=1,N4083&gt;'Line Follower'!$C$7,SUM(C4083:K4083)&lt;4),1,0)</f>
        <v>0</v>
      </c>
      <c r="S4083" s="4">
        <f>IF(AND(L4083=1,N4083&lt;'Line Follower'!$C$6,SUM(C4083:K4083)&lt;4),1,0)</f>
        <v>0</v>
      </c>
      <c r="T4083" s="4">
        <f t="shared" si="317"/>
        <v>0</v>
      </c>
      <c r="U4083" s="5">
        <f t="shared" si="318"/>
        <v>0</v>
      </c>
      <c r="V4083" s="23">
        <f t="shared" si="319"/>
        <v>0</v>
      </c>
    </row>
    <row r="4084" spans="2:22" x14ac:dyDescent="0.25">
      <c r="B4084" s="16">
        <v>1</v>
      </c>
      <c r="C4084" s="7">
        <v>0</v>
      </c>
      <c r="D4084" s="8">
        <v>0</v>
      </c>
      <c r="E4084" s="8">
        <v>0</v>
      </c>
      <c r="F4084" s="8">
        <v>1</v>
      </c>
      <c r="G4084" s="8">
        <v>1</v>
      </c>
      <c r="H4084" s="8">
        <v>1</v>
      </c>
      <c r="I4084" s="8">
        <v>1</v>
      </c>
      <c r="J4084" s="8">
        <v>1</v>
      </c>
      <c r="K4084" s="9">
        <v>1</v>
      </c>
      <c r="L4084" s="10">
        <v>1</v>
      </c>
      <c r="M4084" s="6">
        <v>1</v>
      </c>
      <c r="N4084" s="37" cm="1">
        <f t="array" ref="N4084">IF(OR(ISNUMBER(FIND(Aux!$D$3:$D$9,_xlfn.TEXTJOIN(,,C4084:K4084)))),NA(),IF(AND(SUM(C4084:F4084,H4084:K4084)=0,G4084=1),0,INT((SUMPRODUCT(C4084:F4084,COLUMN($A$1:$D$1)-1)+SUMPRODUCT(H4084:K4084,COLUMN($E$1:$H$1)-1))*'Line Follower'!$C$3/SUM(C4084:F4084,H4084:K4084)-'Line Follower'!$C$5)))</f>
        <v>3</v>
      </c>
      <c r="O4084" s="22">
        <v>1</v>
      </c>
      <c r="P4084" s="4">
        <f t="shared" si="315"/>
        <v>0</v>
      </c>
      <c r="Q4084" s="4">
        <f t="shared" si="316"/>
        <v>1</v>
      </c>
      <c r="R4084" s="4">
        <f>IF(AND(B4084=1,N4084&gt;'Line Follower'!$C$7,SUM(C4084:K4084)&lt;4),1,0)</f>
        <v>0</v>
      </c>
      <c r="S4084" s="4">
        <f>IF(AND(L4084=1,N4084&lt;'Line Follower'!$C$6,SUM(C4084:K4084)&lt;4),1,0)</f>
        <v>0</v>
      </c>
      <c r="T4084" s="4">
        <f t="shared" si="317"/>
        <v>0</v>
      </c>
      <c r="U4084" s="5">
        <f t="shared" si="318"/>
        <v>0</v>
      </c>
      <c r="V4084" s="23">
        <f t="shared" si="319"/>
        <v>0</v>
      </c>
    </row>
    <row r="4085" spans="2:22" x14ac:dyDescent="0.25">
      <c r="B4085" s="16">
        <v>0</v>
      </c>
      <c r="C4085" s="7">
        <v>1</v>
      </c>
      <c r="D4085" s="8">
        <v>0</v>
      </c>
      <c r="E4085" s="8">
        <v>0</v>
      </c>
      <c r="F4085" s="8">
        <v>1</v>
      </c>
      <c r="G4085" s="8">
        <v>1</v>
      </c>
      <c r="H4085" s="8">
        <v>1</v>
      </c>
      <c r="I4085" s="8">
        <v>1</v>
      </c>
      <c r="J4085" s="8">
        <v>1</v>
      </c>
      <c r="K4085" s="9">
        <v>1</v>
      </c>
      <c r="L4085" s="10">
        <v>1</v>
      </c>
      <c r="M4085" s="6">
        <v>1</v>
      </c>
      <c r="N4085" s="37" t="e" cm="1">
        <f t="array" ref="N4085">IF(OR(ISNUMBER(FIND(Aux!$D$3:$D$9,_xlfn.TEXTJOIN(,,C4085:K4085)))),NA(),IF(AND(SUM(C4085:F4085,H4085:K4085)=0,G4085=1),0,INT((SUMPRODUCT(C4085:F4085,COLUMN($A$1:$D$1)-1)+SUMPRODUCT(H4085:K4085,COLUMN($E$1:$H$1)-1))*'Line Follower'!$C$3/SUM(C4085:F4085,H4085:K4085)-'Line Follower'!$C$5)))</f>
        <v>#N/A</v>
      </c>
      <c r="O4085" s="22" t="e">
        <v>#N/A</v>
      </c>
      <c r="P4085" s="4" t="e">
        <f t="shared" si="315"/>
        <v>#N/A</v>
      </c>
      <c r="Q4085" s="4" t="e">
        <f t="shared" si="316"/>
        <v>#N/A</v>
      </c>
      <c r="R4085" s="4" t="e">
        <f>IF(AND(B4085=1,N4085&gt;'Line Follower'!$C$7,SUM(C4085:K4085)&lt;4),1,0)</f>
        <v>#N/A</v>
      </c>
      <c r="S4085" s="4" t="e">
        <f>IF(AND(L4085=1,N4085&lt;'Line Follower'!$C$6,SUM(C4085:K4085)&lt;4),1,0)</f>
        <v>#N/A</v>
      </c>
      <c r="T4085" s="4" t="e">
        <f t="shared" si="317"/>
        <v>#N/A</v>
      </c>
      <c r="U4085" s="5" t="e">
        <f t="shared" si="318"/>
        <v>#N/A</v>
      </c>
      <c r="V4085" s="23" t="e">
        <f t="shared" si="319"/>
        <v>#N/A</v>
      </c>
    </row>
    <row r="4086" spans="2:22" x14ac:dyDescent="0.25">
      <c r="B4086" s="16">
        <v>1</v>
      </c>
      <c r="C4086" s="7">
        <v>1</v>
      </c>
      <c r="D4086" s="8">
        <v>0</v>
      </c>
      <c r="E4086" s="8">
        <v>0</v>
      </c>
      <c r="F4086" s="8">
        <v>1</v>
      </c>
      <c r="G4086" s="8">
        <v>1</v>
      </c>
      <c r="H4086" s="8">
        <v>1</v>
      </c>
      <c r="I4086" s="8">
        <v>1</v>
      </c>
      <c r="J4086" s="8">
        <v>1</v>
      </c>
      <c r="K4086" s="9">
        <v>1</v>
      </c>
      <c r="L4086" s="10">
        <v>1</v>
      </c>
      <c r="M4086" s="6">
        <v>1</v>
      </c>
      <c r="N4086" s="37" t="e" cm="1">
        <f t="array" ref="N4086">IF(OR(ISNUMBER(FIND(Aux!$D$3:$D$9,_xlfn.TEXTJOIN(,,C4086:K4086)))),NA(),IF(AND(SUM(C4086:F4086,H4086:K4086)=0,G4086=1),0,INT((SUMPRODUCT(C4086:F4086,COLUMN($A$1:$D$1)-1)+SUMPRODUCT(H4086:K4086,COLUMN($E$1:$H$1)-1))*'Line Follower'!$C$3/SUM(C4086:F4086,H4086:K4086)-'Line Follower'!$C$5)))</f>
        <v>#N/A</v>
      </c>
      <c r="O4086" s="22" t="e">
        <v>#N/A</v>
      </c>
      <c r="P4086" s="4" t="e">
        <f t="shared" si="315"/>
        <v>#N/A</v>
      </c>
      <c r="Q4086" s="4" t="e">
        <f t="shared" si="316"/>
        <v>#N/A</v>
      </c>
      <c r="R4086" s="4" t="e">
        <f>IF(AND(B4086=1,N4086&gt;'Line Follower'!$C$7,SUM(C4086:K4086)&lt;4),1,0)</f>
        <v>#N/A</v>
      </c>
      <c r="S4086" s="4" t="e">
        <f>IF(AND(L4086=1,N4086&lt;'Line Follower'!$C$6,SUM(C4086:K4086)&lt;4),1,0)</f>
        <v>#N/A</v>
      </c>
      <c r="T4086" s="4" t="e">
        <f t="shared" si="317"/>
        <v>#N/A</v>
      </c>
      <c r="U4086" s="5" t="e">
        <f t="shared" si="318"/>
        <v>#N/A</v>
      </c>
      <c r="V4086" s="23" t="e">
        <f t="shared" si="319"/>
        <v>#N/A</v>
      </c>
    </row>
    <row r="4087" spans="2:22" x14ac:dyDescent="0.25">
      <c r="B4087" s="16">
        <v>0</v>
      </c>
      <c r="C4087" s="7">
        <v>0</v>
      </c>
      <c r="D4087" s="8">
        <v>1</v>
      </c>
      <c r="E4087" s="8">
        <v>0</v>
      </c>
      <c r="F4087" s="8">
        <v>1</v>
      </c>
      <c r="G4087" s="8">
        <v>1</v>
      </c>
      <c r="H4087" s="8">
        <v>1</v>
      </c>
      <c r="I4087" s="8">
        <v>1</v>
      </c>
      <c r="J4087" s="8">
        <v>1</v>
      </c>
      <c r="K4087" s="9">
        <v>1</v>
      </c>
      <c r="L4087" s="10">
        <v>1</v>
      </c>
      <c r="M4087" s="6">
        <v>1</v>
      </c>
      <c r="N4087" s="37" t="e" cm="1">
        <f t="array" ref="N4087">IF(OR(ISNUMBER(FIND(Aux!$D$3:$D$9,_xlfn.TEXTJOIN(,,C4087:K4087)))),NA(),IF(AND(SUM(C4087:F4087,H4087:K4087)=0,G4087=1),0,INT((SUMPRODUCT(C4087:F4087,COLUMN($A$1:$D$1)-1)+SUMPRODUCT(H4087:K4087,COLUMN($E$1:$H$1)-1))*'Line Follower'!$C$3/SUM(C4087:F4087,H4087:K4087)-'Line Follower'!$C$5)))</f>
        <v>#N/A</v>
      </c>
      <c r="O4087" s="22" t="e">
        <v>#N/A</v>
      </c>
      <c r="P4087" s="4" t="e">
        <f t="shared" si="315"/>
        <v>#N/A</v>
      </c>
      <c r="Q4087" s="4" t="e">
        <f t="shared" si="316"/>
        <v>#N/A</v>
      </c>
      <c r="R4087" s="4" t="e">
        <f>IF(AND(B4087=1,N4087&gt;'Line Follower'!$C$7,SUM(C4087:K4087)&lt;4),1,0)</f>
        <v>#N/A</v>
      </c>
      <c r="S4087" s="4" t="e">
        <f>IF(AND(L4087=1,N4087&lt;'Line Follower'!$C$6,SUM(C4087:K4087)&lt;4),1,0)</f>
        <v>#N/A</v>
      </c>
      <c r="T4087" s="4" t="e">
        <f t="shared" si="317"/>
        <v>#N/A</v>
      </c>
      <c r="U4087" s="5" t="e">
        <f t="shared" si="318"/>
        <v>#N/A</v>
      </c>
      <c r="V4087" s="23" t="e">
        <f t="shared" si="319"/>
        <v>#N/A</v>
      </c>
    </row>
    <row r="4088" spans="2:22" x14ac:dyDescent="0.25">
      <c r="B4088" s="16">
        <v>1</v>
      </c>
      <c r="C4088" s="7">
        <v>0</v>
      </c>
      <c r="D4088" s="8">
        <v>1</v>
      </c>
      <c r="E4088" s="8">
        <v>0</v>
      </c>
      <c r="F4088" s="8">
        <v>1</v>
      </c>
      <c r="G4088" s="8">
        <v>1</v>
      </c>
      <c r="H4088" s="8">
        <v>1</v>
      </c>
      <c r="I4088" s="8">
        <v>1</v>
      </c>
      <c r="J4088" s="8">
        <v>1</v>
      </c>
      <c r="K4088" s="9">
        <v>1</v>
      </c>
      <c r="L4088" s="10">
        <v>1</v>
      </c>
      <c r="M4088" s="6">
        <v>1</v>
      </c>
      <c r="N4088" s="37" t="e" cm="1">
        <f t="array" ref="N4088">IF(OR(ISNUMBER(FIND(Aux!$D$3:$D$9,_xlfn.TEXTJOIN(,,C4088:K4088)))),NA(),IF(AND(SUM(C4088:F4088,H4088:K4088)=0,G4088=1),0,INT((SUMPRODUCT(C4088:F4088,COLUMN($A$1:$D$1)-1)+SUMPRODUCT(H4088:K4088,COLUMN($E$1:$H$1)-1))*'Line Follower'!$C$3/SUM(C4088:F4088,H4088:K4088)-'Line Follower'!$C$5)))</f>
        <v>#N/A</v>
      </c>
      <c r="O4088" s="22" t="e">
        <v>#N/A</v>
      </c>
      <c r="P4088" s="4" t="e">
        <f t="shared" si="315"/>
        <v>#N/A</v>
      </c>
      <c r="Q4088" s="4" t="e">
        <f t="shared" si="316"/>
        <v>#N/A</v>
      </c>
      <c r="R4088" s="4" t="e">
        <f>IF(AND(B4088=1,N4088&gt;'Line Follower'!$C$7,SUM(C4088:K4088)&lt;4),1,0)</f>
        <v>#N/A</v>
      </c>
      <c r="S4088" s="4" t="e">
        <f>IF(AND(L4088=1,N4088&lt;'Line Follower'!$C$6,SUM(C4088:K4088)&lt;4),1,0)</f>
        <v>#N/A</v>
      </c>
      <c r="T4088" s="4" t="e">
        <f t="shared" si="317"/>
        <v>#N/A</v>
      </c>
      <c r="U4088" s="5" t="e">
        <f t="shared" si="318"/>
        <v>#N/A</v>
      </c>
      <c r="V4088" s="23" t="e">
        <f t="shared" si="319"/>
        <v>#N/A</v>
      </c>
    </row>
    <row r="4089" spans="2:22" x14ac:dyDescent="0.25">
      <c r="B4089" s="16">
        <v>0</v>
      </c>
      <c r="C4089" s="7">
        <v>1</v>
      </c>
      <c r="D4089" s="8">
        <v>1</v>
      </c>
      <c r="E4089" s="8">
        <v>0</v>
      </c>
      <c r="F4089" s="8">
        <v>1</v>
      </c>
      <c r="G4089" s="8">
        <v>1</v>
      </c>
      <c r="H4089" s="8">
        <v>1</v>
      </c>
      <c r="I4089" s="8">
        <v>1</v>
      </c>
      <c r="J4089" s="8">
        <v>1</v>
      </c>
      <c r="K4089" s="9">
        <v>1</v>
      </c>
      <c r="L4089" s="10">
        <v>1</v>
      </c>
      <c r="M4089" s="6">
        <v>1</v>
      </c>
      <c r="N4089" s="37" t="e" cm="1">
        <f t="array" ref="N4089">IF(OR(ISNUMBER(FIND(Aux!$D$3:$D$9,_xlfn.TEXTJOIN(,,C4089:K4089)))),NA(),IF(AND(SUM(C4089:F4089,H4089:K4089)=0,G4089=1),0,INT((SUMPRODUCT(C4089:F4089,COLUMN($A$1:$D$1)-1)+SUMPRODUCT(H4089:K4089,COLUMN($E$1:$H$1)-1))*'Line Follower'!$C$3/SUM(C4089:F4089,H4089:K4089)-'Line Follower'!$C$5)))</f>
        <v>#N/A</v>
      </c>
      <c r="O4089" s="22" t="e">
        <v>#N/A</v>
      </c>
      <c r="P4089" s="4" t="e">
        <f t="shared" si="315"/>
        <v>#N/A</v>
      </c>
      <c r="Q4089" s="4" t="e">
        <f t="shared" si="316"/>
        <v>#N/A</v>
      </c>
      <c r="R4089" s="4" t="e">
        <f>IF(AND(B4089=1,N4089&gt;'Line Follower'!$C$7,SUM(C4089:K4089)&lt;4),1,0)</f>
        <v>#N/A</v>
      </c>
      <c r="S4089" s="4" t="e">
        <f>IF(AND(L4089=1,N4089&lt;'Line Follower'!$C$6,SUM(C4089:K4089)&lt;4),1,0)</f>
        <v>#N/A</v>
      </c>
      <c r="T4089" s="4" t="e">
        <f t="shared" si="317"/>
        <v>#N/A</v>
      </c>
      <c r="U4089" s="5" t="e">
        <f t="shared" si="318"/>
        <v>#N/A</v>
      </c>
      <c r="V4089" s="23" t="e">
        <f t="shared" si="319"/>
        <v>#N/A</v>
      </c>
    </row>
    <row r="4090" spans="2:22" x14ac:dyDescent="0.25">
      <c r="B4090" s="16">
        <v>1</v>
      </c>
      <c r="C4090" s="7">
        <v>1</v>
      </c>
      <c r="D4090" s="8">
        <v>1</v>
      </c>
      <c r="E4090" s="8">
        <v>0</v>
      </c>
      <c r="F4090" s="8">
        <v>1</v>
      </c>
      <c r="G4090" s="8">
        <v>1</v>
      </c>
      <c r="H4090" s="8">
        <v>1</v>
      </c>
      <c r="I4090" s="8">
        <v>1</v>
      </c>
      <c r="J4090" s="8">
        <v>1</v>
      </c>
      <c r="K4090" s="9">
        <v>1</v>
      </c>
      <c r="L4090" s="10">
        <v>1</v>
      </c>
      <c r="M4090" s="6">
        <v>1</v>
      </c>
      <c r="N4090" s="37" t="e" cm="1">
        <f t="array" ref="N4090">IF(OR(ISNUMBER(FIND(Aux!$D$3:$D$9,_xlfn.TEXTJOIN(,,C4090:K4090)))),NA(),IF(AND(SUM(C4090:F4090,H4090:K4090)=0,G4090=1),0,INT((SUMPRODUCT(C4090:F4090,COLUMN($A$1:$D$1)-1)+SUMPRODUCT(H4090:K4090,COLUMN($E$1:$H$1)-1))*'Line Follower'!$C$3/SUM(C4090:F4090,H4090:K4090)-'Line Follower'!$C$5)))</f>
        <v>#N/A</v>
      </c>
      <c r="O4090" s="22" t="e">
        <v>#N/A</v>
      </c>
      <c r="P4090" s="4" t="e">
        <f t="shared" si="315"/>
        <v>#N/A</v>
      </c>
      <c r="Q4090" s="4" t="e">
        <f t="shared" si="316"/>
        <v>#N/A</v>
      </c>
      <c r="R4090" s="4" t="e">
        <f>IF(AND(B4090=1,N4090&gt;'Line Follower'!$C$7,SUM(C4090:K4090)&lt;4),1,0)</f>
        <v>#N/A</v>
      </c>
      <c r="S4090" s="4" t="e">
        <f>IF(AND(L4090=1,N4090&lt;'Line Follower'!$C$6,SUM(C4090:K4090)&lt;4),1,0)</f>
        <v>#N/A</v>
      </c>
      <c r="T4090" s="4" t="e">
        <f t="shared" si="317"/>
        <v>#N/A</v>
      </c>
      <c r="U4090" s="5" t="e">
        <f t="shared" si="318"/>
        <v>#N/A</v>
      </c>
      <c r="V4090" s="23" t="e">
        <f t="shared" si="319"/>
        <v>#N/A</v>
      </c>
    </row>
    <row r="4091" spans="2:22" x14ac:dyDescent="0.25">
      <c r="B4091" s="16">
        <v>0</v>
      </c>
      <c r="C4091" s="7">
        <v>0</v>
      </c>
      <c r="D4091" s="8">
        <v>0</v>
      </c>
      <c r="E4091" s="8">
        <v>1</v>
      </c>
      <c r="F4091" s="8">
        <v>1</v>
      </c>
      <c r="G4091" s="8">
        <v>1</v>
      </c>
      <c r="H4091" s="8">
        <v>1</v>
      </c>
      <c r="I4091" s="8">
        <v>1</v>
      </c>
      <c r="J4091" s="8">
        <v>1</v>
      </c>
      <c r="K4091" s="9">
        <v>1</v>
      </c>
      <c r="L4091" s="10">
        <v>1</v>
      </c>
      <c r="M4091" s="6">
        <v>1</v>
      </c>
      <c r="N4091" s="37" cm="1">
        <f t="array" ref="N4091">IF(OR(ISNUMBER(FIND(Aux!$D$3:$D$9,_xlfn.TEXTJOIN(,,C4091:K4091)))),NA(),IF(AND(SUM(C4091:F4091,H4091:K4091)=0,G4091=1),0,INT((SUMPRODUCT(C4091:F4091,COLUMN($A$1:$D$1)-1)+SUMPRODUCT(H4091:K4091,COLUMN($E$1:$H$1)-1))*'Line Follower'!$C$3/SUM(C4091:F4091,H4091:K4091)-'Line Follower'!$C$5)))</f>
        <v>2</v>
      </c>
      <c r="O4091" s="22">
        <v>1</v>
      </c>
      <c r="P4091" s="4">
        <f t="shared" si="315"/>
        <v>0</v>
      </c>
      <c r="Q4091" s="4">
        <f t="shared" si="316"/>
        <v>1</v>
      </c>
      <c r="R4091" s="4">
        <f>IF(AND(B4091=1,N4091&gt;'Line Follower'!$C$7,SUM(C4091:K4091)&lt;4),1,0)</f>
        <v>0</v>
      </c>
      <c r="S4091" s="4">
        <f>IF(AND(L4091=1,N4091&lt;'Line Follower'!$C$6,SUM(C4091:K4091)&lt;4),1,0)</f>
        <v>0</v>
      </c>
      <c r="T4091" s="4">
        <f t="shared" si="317"/>
        <v>0</v>
      </c>
      <c r="U4091" s="5">
        <f t="shared" si="318"/>
        <v>0</v>
      </c>
      <c r="V4091" s="23">
        <f t="shared" si="319"/>
        <v>0</v>
      </c>
    </row>
    <row r="4092" spans="2:22" x14ac:dyDescent="0.25">
      <c r="B4092" s="16">
        <v>1</v>
      </c>
      <c r="C4092" s="7">
        <v>0</v>
      </c>
      <c r="D4092" s="8">
        <v>0</v>
      </c>
      <c r="E4092" s="8">
        <v>1</v>
      </c>
      <c r="F4092" s="8">
        <v>1</v>
      </c>
      <c r="G4092" s="8">
        <v>1</v>
      </c>
      <c r="H4092" s="8">
        <v>1</v>
      </c>
      <c r="I4092" s="8">
        <v>1</v>
      </c>
      <c r="J4092" s="8">
        <v>1</v>
      </c>
      <c r="K4092" s="9">
        <v>1</v>
      </c>
      <c r="L4092" s="10">
        <v>1</v>
      </c>
      <c r="M4092" s="6">
        <v>1</v>
      </c>
      <c r="N4092" s="37" cm="1">
        <f t="array" ref="N4092">IF(OR(ISNUMBER(FIND(Aux!$D$3:$D$9,_xlfn.TEXTJOIN(,,C4092:K4092)))),NA(),IF(AND(SUM(C4092:F4092,H4092:K4092)=0,G4092=1),0,INT((SUMPRODUCT(C4092:F4092,COLUMN($A$1:$D$1)-1)+SUMPRODUCT(H4092:K4092,COLUMN($E$1:$H$1)-1))*'Line Follower'!$C$3/SUM(C4092:F4092,H4092:K4092)-'Line Follower'!$C$5)))</f>
        <v>2</v>
      </c>
      <c r="O4092" s="22">
        <v>1</v>
      </c>
      <c r="P4092" s="4">
        <f t="shared" si="315"/>
        <v>0</v>
      </c>
      <c r="Q4092" s="4">
        <f t="shared" si="316"/>
        <v>1</v>
      </c>
      <c r="R4092" s="4">
        <f>IF(AND(B4092=1,N4092&gt;'Line Follower'!$C$7,SUM(C4092:K4092)&lt;4),1,0)</f>
        <v>0</v>
      </c>
      <c r="S4092" s="4">
        <f>IF(AND(L4092=1,N4092&lt;'Line Follower'!$C$6,SUM(C4092:K4092)&lt;4),1,0)</f>
        <v>0</v>
      </c>
      <c r="T4092" s="4">
        <f t="shared" si="317"/>
        <v>0</v>
      </c>
      <c r="U4092" s="5">
        <f t="shared" si="318"/>
        <v>0</v>
      </c>
      <c r="V4092" s="23">
        <f t="shared" si="319"/>
        <v>0</v>
      </c>
    </row>
    <row r="4093" spans="2:22" x14ac:dyDescent="0.25">
      <c r="B4093" s="16">
        <v>0</v>
      </c>
      <c r="C4093" s="7">
        <v>1</v>
      </c>
      <c r="D4093" s="8">
        <v>0</v>
      </c>
      <c r="E4093" s="8">
        <v>1</v>
      </c>
      <c r="F4093" s="8">
        <v>1</v>
      </c>
      <c r="G4093" s="8">
        <v>1</v>
      </c>
      <c r="H4093" s="8">
        <v>1</v>
      </c>
      <c r="I4093" s="8">
        <v>1</v>
      </c>
      <c r="J4093" s="8">
        <v>1</v>
      </c>
      <c r="K4093" s="9">
        <v>1</v>
      </c>
      <c r="L4093" s="10">
        <v>1</v>
      </c>
      <c r="M4093" s="6">
        <v>1</v>
      </c>
      <c r="N4093" s="37" t="e" cm="1">
        <f t="array" ref="N4093">IF(OR(ISNUMBER(FIND(Aux!$D$3:$D$9,_xlfn.TEXTJOIN(,,C4093:K4093)))),NA(),IF(AND(SUM(C4093:F4093,H4093:K4093)=0,G4093=1),0,INT((SUMPRODUCT(C4093:F4093,COLUMN($A$1:$D$1)-1)+SUMPRODUCT(H4093:K4093,COLUMN($E$1:$H$1)-1))*'Line Follower'!$C$3/SUM(C4093:F4093,H4093:K4093)-'Line Follower'!$C$5)))</f>
        <v>#N/A</v>
      </c>
      <c r="O4093" s="22" t="e">
        <v>#N/A</v>
      </c>
      <c r="P4093" s="4" t="e">
        <f t="shared" si="315"/>
        <v>#N/A</v>
      </c>
      <c r="Q4093" s="4" t="e">
        <f t="shared" si="316"/>
        <v>#N/A</v>
      </c>
      <c r="R4093" s="4" t="e">
        <f>IF(AND(B4093=1,N4093&gt;'Line Follower'!$C$7,SUM(C4093:K4093)&lt;4),1,0)</f>
        <v>#N/A</v>
      </c>
      <c r="S4093" s="4" t="e">
        <f>IF(AND(L4093=1,N4093&lt;'Line Follower'!$C$6,SUM(C4093:K4093)&lt;4),1,0)</f>
        <v>#N/A</v>
      </c>
      <c r="T4093" s="4" t="e">
        <f t="shared" si="317"/>
        <v>#N/A</v>
      </c>
      <c r="U4093" s="5" t="e">
        <f t="shared" si="318"/>
        <v>#N/A</v>
      </c>
      <c r="V4093" s="23" t="e">
        <f t="shared" si="319"/>
        <v>#N/A</v>
      </c>
    </row>
    <row r="4094" spans="2:22" x14ac:dyDescent="0.25">
      <c r="B4094" s="16">
        <v>1</v>
      </c>
      <c r="C4094" s="7">
        <v>1</v>
      </c>
      <c r="D4094" s="8">
        <v>0</v>
      </c>
      <c r="E4094" s="8">
        <v>1</v>
      </c>
      <c r="F4094" s="8">
        <v>1</v>
      </c>
      <c r="G4094" s="8">
        <v>1</v>
      </c>
      <c r="H4094" s="8">
        <v>1</v>
      </c>
      <c r="I4094" s="8">
        <v>1</v>
      </c>
      <c r="J4094" s="8">
        <v>1</v>
      </c>
      <c r="K4094" s="9">
        <v>1</v>
      </c>
      <c r="L4094" s="10">
        <v>1</v>
      </c>
      <c r="M4094" s="6">
        <v>1</v>
      </c>
      <c r="N4094" s="37" t="e" cm="1">
        <f t="array" ref="N4094">IF(OR(ISNUMBER(FIND(Aux!$D$3:$D$9,_xlfn.TEXTJOIN(,,C4094:K4094)))),NA(),IF(AND(SUM(C4094:F4094,H4094:K4094)=0,G4094=1),0,INT((SUMPRODUCT(C4094:F4094,COLUMN($A$1:$D$1)-1)+SUMPRODUCT(H4094:K4094,COLUMN($E$1:$H$1)-1))*'Line Follower'!$C$3/SUM(C4094:F4094,H4094:K4094)-'Line Follower'!$C$5)))</f>
        <v>#N/A</v>
      </c>
      <c r="O4094" s="22" t="e">
        <v>#N/A</v>
      </c>
      <c r="P4094" s="4" t="e">
        <f t="shared" si="315"/>
        <v>#N/A</v>
      </c>
      <c r="Q4094" s="4" t="e">
        <f t="shared" si="316"/>
        <v>#N/A</v>
      </c>
      <c r="R4094" s="4" t="e">
        <f>IF(AND(B4094=1,N4094&gt;'Line Follower'!$C$7,SUM(C4094:K4094)&lt;4),1,0)</f>
        <v>#N/A</v>
      </c>
      <c r="S4094" s="4" t="e">
        <f>IF(AND(L4094=1,N4094&lt;'Line Follower'!$C$6,SUM(C4094:K4094)&lt;4),1,0)</f>
        <v>#N/A</v>
      </c>
      <c r="T4094" s="4" t="e">
        <f t="shared" si="317"/>
        <v>#N/A</v>
      </c>
      <c r="U4094" s="5" t="e">
        <f t="shared" si="318"/>
        <v>#N/A</v>
      </c>
      <c r="V4094" s="23" t="e">
        <f t="shared" si="319"/>
        <v>#N/A</v>
      </c>
    </row>
    <row r="4095" spans="2:22" x14ac:dyDescent="0.25">
      <c r="B4095" s="16">
        <v>0</v>
      </c>
      <c r="C4095" s="7">
        <v>0</v>
      </c>
      <c r="D4095" s="8">
        <v>1</v>
      </c>
      <c r="E4095" s="8">
        <v>1</v>
      </c>
      <c r="F4095" s="8">
        <v>1</v>
      </c>
      <c r="G4095" s="8">
        <v>1</v>
      </c>
      <c r="H4095" s="8">
        <v>1</v>
      </c>
      <c r="I4095" s="8">
        <v>1</v>
      </c>
      <c r="J4095" s="8">
        <v>1</v>
      </c>
      <c r="K4095" s="9">
        <v>1</v>
      </c>
      <c r="L4095" s="10">
        <v>1</v>
      </c>
      <c r="M4095" s="6">
        <v>1</v>
      </c>
      <c r="N4095" s="37" cm="1">
        <f t="array" ref="N4095">IF(OR(ISNUMBER(FIND(Aux!$D$3:$D$9,_xlfn.TEXTJOIN(,,C4095:K4095)))),NA(),IF(AND(SUM(C4095:F4095,H4095:K4095)=0,G4095=1),0,INT((SUMPRODUCT(C4095:F4095,COLUMN($A$1:$D$1)-1)+SUMPRODUCT(H4095:K4095,COLUMN($E$1:$H$1)-1))*'Line Follower'!$C$3/SUM(C4095:F4095,H4095:K4095)-'Line Follower'!$C$5)))</f>
        <v>1</v>
      </c>
      <c r="O4095" s="22">
        <v>1</v>
      </c>
      <c r="P4095" s="4">
        <f t="shared" si="315"/>
        <v>0</v>
      </c>
      <c r="Q4095" s="4">
        <f t="shared" si="316"/>
        <v>1</v>
      </c>
      <c r="R4095" s="4">
        <f>IF(AND(B4095=1,N4095&gt;'Line Follower'!$C$7,SUM(C4095:K4095)&lt;4),1,0)</f>
        <v>0</v>
      </c>
      <c r="S4095" s="4">
        <f>IF(AND(L4095=1,N4095&lt;'Line Follower'!$C$6,SUM(C4095:K4095)&lt;4),1,0)</f>
        <v>0</v>
      </c>
      <c r="T4095" s="4">
        <f t="shared" si="317"/>
        <v>0</v>
      </c>
      <c r="U4095" s="5">
        <f t="shared" si="318"/>
        <v>0</v>
      </c>
      <c r="V4095" s="23">
        <f t="shared" si="319"/>
        <v>0</v>
      </c>
    </row>
    <row r="4096" spans="2:22" x14ac:dyDescent="0.25">
      <c r="B4096" s="16">
        <v>1</v>
      </c>
      <c r="C4096" s="7">
        <v>0</v>
      </c>
      <c r="D4096" s="8">
        <v>1</v>
      </c>
      <c r="E4096" s="8">
        <v>1</v>
      </c>
      <c r="F4096" s="8">
        <v>1</v>
      </c>
      <c r="G4096" s="8">
        <v>1</v>
      </c>
      <c r="H4096" s="8">
        <v>1</v>
      </c>
      <c r="I4096" s="8">
        <v>1</v>
      </c>
      <c r="J4096" s="8">
        <v>1</v>
      </c>
      <c r="K4096" s="9">
        <v>1</v>
      </c>
      <c r="L4096" s="10">
        <v>1</v>
      </c>
      <c r="M4096" s="6">
        <v>1</v>
      </c>
      <c r="N4096" s="37" cm="1">
        <f t="array" ref="N4096">IF(OR(ISNUMBER(FIND(Aux!$D$3:$D$9,_xlfn.TEXTJOIN(,,C4096:K4096)))),NA(),IF(AND(SUM(C4096:F4096,H4096:K4096)=0,G4096=1),0,INT((SUMPRODUCT(C4096:F4096,COLUMN($A$1:$D$1)-1)+SUMPRODUCT(H4096:K4096,COLUMN($E$1:$H$1)-1))*'Line Follower'!$C$3/SUM(C4096:F4096,H4096:K4096)-'Line Follower'!$C$5)))</f>
        <v>1</v>
      </c>
      <c r="O4096" s="22">
        <v>1</v>
      </c>
      <c r="P4096" s="4">
        <f t="shared" si="315"/>
        <v>0</v>
      </c>
      <c r="Q4096" s="4">
        <f t="shared" si="316"/>
        <v>1</v>
      </c>
      <c r="R4096" s="4">
        <f>IF(AND(B4096=1,N4096&gt;'Line Follower'!$C$7,SUM(C4096:K4096)&lt;4),1,0)</f>
        <v>0</v>
      </c>
      <c r="S4096" s="4">
        <f>IF(AND(L4096=1,N4096&lt;'Line Follower'!$C$6,SUM(C4096:K4096)&lt;4),1,0)</f>
        <v>0</v>
      </c>
      <c r="T4096" s="4">
        <f t="shared" si="317"/>
        <v>0</v>
      </c>
      <c r="U4096" s="5">
        <f t="shared" si="318"/>
        <v>0</v>
      </c>
      <c r="V4096" s="23">
        <f t="shared" si="319"/>
        <v>0</v>
      </c>
    </row>
    <row r="4097" spans="2:22" x14ac:dyDescent="0.25">
      <c r="B4097" s="16">
        <v>0</v>
      </c>
      <c r="C4097" s="7">
        <v>1</v>
      </c>
      <c r="D4097" s="8">
        <v>1</v>
      </c>
      <c r="E4097" s="8">
        <v>1</v>
      </c>
      <c r="F4097" s="8">
        <v>1</v>
      </c>
      <c r="G4097" s="8">
        <v>1</v>
      </c>
      <c r="H4097" s="8">
        <v>1</v>
      </c>
      <c r="I4097" s="8">
        <v>1</v>
      </c>
      <c r="J4097" s="8">
        <v>1</v>
      </c>
      <c r="K4097" s="9">
        <v>1</v>
      </c>
      <c r="L4097" s="10">
        <v>1</v>
      </c>
      <c r="M4097" s="6">
        <v>1</v>
      </c>
      <c r="N4097" s="37" cm="1">
        <f t="array" ref="N4097">IF(OR(ISNUMBER(FIND(Aux!$D$3:$D$9,_xlfn.TEXTJOIN(,,C4097:K4097)))),NA(),IF(AND(SUM(C4097:F4097,H4097:K4097)=0,G4097=1),0,INT((SUMPRODUCT(C4097:F4097,COLUMN($A$1:$D$1)-1)+SUMPRODUCT(H4097:K4097,COLUMN($E$1:$H$1)-1))*'Line Follower'!$C$3/SUM(C4097:F4097,H4097:K4097)-'Line Follower'!$C$5)))</f>
        <v>0</v>
      </c>
      <c r="O4097" s="22">
        <v>1</v>
      </c>
      <c r="P4097" s="4">
        <f t="shared" si="315"/>
        <v>1</v>
      </c>
      <c r="Q4097" s="4">
        <f t="shared" si="316"/>
        <v>1</v>
      </c>
      <c r="R4097" s="4">
        <f>IF(AND(B4097=1,N4097&gt;'Line Follower'!$C$7,SUM(C4097:K4097)&lt;4),1,0)</f>
        <v>0</v>
      </c>
      <c r="S4097" s="4">
        <f>IF(AND(L4097=1,N4097&lt;'Line Follower'!$C$6,SUM(C4097:K4097)&lt;4),1,0)</f>
        <v>0</v>
      </c>
      <c r="T4097" s="4">
        <f t="shared" si="317"/>
        <v>0</v>
      </c>
      <c r="U4097" s="5">
        <f t="shared" si="318"/>
        <v>0</v>
      </c>
      <c r="V4097" s="23">
        <f t="shared" si="319"/>
        <v>0</v>
      </c>
    </row>
    <row r="4098" spans="2:22" ht="15.75" thickBot="1" x14ac:dyDescent="0.3">
      <c r="B4098" s="17">
        <v>1</v>
      </c>
      <c r="C4098" s="18">
        <v>1</v>
      </c>
      <c r="D4098" s="19">
        <v>1</v>
      </c>
      <c r="E4098" s="19">
        <v>1</v>
      </c>
      <c r="F4098" s="19">
        <v>1</v>
      </c>
      <c r="G4098" s="19">
        <v>1</v>
      </c>
      <c r="H4098" s="19">
        <v>1</v>
      </c>
      <c r="I4098" s="19">
        <v>1</v>
      </c>
      <c r="J4098" s="19">
        <v>1</v>
      </c>
      <c r="K4098" s="20">
        <v>1</v>
      </c>
      <c r="L4098" s="21">
        <v>1</v>
      </c>
      <c r="M4098" s="46">
        <v>1</v>
      </c>
      <c r="N4098" s="38" cm="1">
        <f t="array" ref="N4098">IF(OR(ISNUMBER(FIND(Aux!$D$3:$D$9,_xlfn.TEXTJOIN(,,C4098:K4098)))),NA(),IF(AND(SUM(C4098:F4098,H4098:K4098)=0,G4098=1),0,INT((SUMPRODUCT(C4098:F4098,COLUMN($A$1:$D$1)-1)+SUMPRODUCT(H4098:K4098,COLUMN($E$1:$H$1)-1))*'Line Follower'!$C$3/SUM(C4098:F4098,H4098:K4098)-'Line Follower'!$C$5)))</f>
        <v>0</v>
      </c>
      <c r="O4098" s="24">
        <v>1</v>
      </c>
      <c r="P4098" s="25">
        <f t="shared" si="315"/>
        <v>1</v>
      </c>
      <c r="Q4098" s="25">
        <f t="shared" si="316"/>
        <v>1</v>
      </c>
      <c r="R4098" s="25">
        <f>IF(AND(B4098=1,N4098&gt;'Line Follower'!$C$7,SUM(C4098:K4098)&lt;4),1,0)</f>
        <v>0</v>
      </c>
      <c r="S4098" s="25">
        <f>IF(AND(L4098=1,N4098&lt;'Line Follower'!$C$6,SUM(C4098:K4098)&lt;4),1,0)</f>
        <v>0</v>
      </c>
      <c r="T4098" s="25">
        <f t="shared" si="317"/>
        <v>0</v>
      </c>
      <c r="U4098" s="33">
        <f t="shared" si="318"/>
        <v>0</v>
      </c>
      <c r="V4098" s="26">
        <f t="shared" si="319"/>
        <v>0</v>
      </c>
    </row>
  </sheetData>
  <autoFilter ref="B2:V4098" xr:uid="{68CDC1A4-77C5-4E39-AD2F-B0971E851109}"/>
  <conditionalFormatting sqref="B3:M4098">
    <cfRule type="cellIs" dxfId="3" priority="1" operator="equal">
      <formula>1</formula>
    </cfRule>
  </conditionalFormatting>
  <pageMargins left="0.7" right="0.7" top="0.75" bottom="0.75" header="0.3" footer="0.3"/>
  <pageSetup orientation="portrait" r:id="rId1"/>
  <ignoredErrors>
    <ignoredError sqref="N4:P4098 N3:P3 R3:S4098" evalError="1"/>
    <ignoredError sqref="Q3:Q4098" evalError="1" formulaRange="1"/>
    <ignoredError sqref="V4:V7 V3973:V4098 V8 V9:V3972 V3 T3:U4098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A26B6-5175-4577-B97F-A4613B7AD68E}">
  <dimension ref="B1:Y866"/>
  <sheetViews>
    <sheetView showGridLines="0" tabSelected="1" workbookViewId="0">
      <pane ySplit="2" topLeftCell="A3" activePane="bottomLeft" state="frozen"/>
      <selection pane="bottomLeft" activeCell="P4" sqref="P4"/>
    </sheetView>
  </sheetViews>
  <sheetFormatPr defaultRowHeight="15" x14ac:dyDescent="0.25"/>
  <cols>
    <col min="1" max="2" width="9.140625" style="1"/>
    <col min="3" max="3" width="11" style="1" bestFit="1" customWidth="1"/>
    <col min="4" max="15" width="9.140625" style="1"/>
    <col min="16" max="16" width="9.140625" style="1" customWidth="1"/>
    <col min="17" max="16384" width="9.140625" style="1"/>
  </cols>
  <sheetData>
    <row r="1" spans="2:25" ht="15.75" thickBot="1" x14ac:dyDescent="0.3"/>
    <row r="2" spans="2:25" ht="15.75" thickBot="1" x14ac:dyDescent="0.3">
      <c r="B2" s="30" t="s">
        <v>41</v>
      </c>
      <c r="C2" s="34" t="s">
        <v>42</v>
      </c>
      <c r="D2" s="30" t="s">
        <v>26</v>
      </c>
      <c r="E2" s="31" t="s">
        <v>8</v>
      </c>
      <c r="F2" s="31" t="s">
        <v>9</v>
      </c>
      <c r="G2" s="31" t="s">
        <v>10</v>
      </c>
      <c r="H2" s="31" t="s">
        <v>11</v>
      </c>
      <c r="I2" s="31" t="s">
        <v>31</v>
      </c>
      <c r="J2" s="31" t="s">
        <v>13</v>
      </c>
      <c r="K2" s="31" t="s">
        <v>14</v>
      </c>
      <c r="L2" s="31" t="s">
        <v>15</v>
      </c>
      <c r="M2" s="31" t="s">
        <v>16</v>
      </c>
      <c r="N2" s="31" t="s">
        <v>27</v>
      </c>
      <c r="O2" s="32" t="s">
        <v>28</v>
      </c>
      <c r="P2" s="35" t="s">
        <v>40</v>
      </c>
      <c r="Q2" s="48" t="s">
        <v>20</v>
      </c>
      <c r="R2" s="31" t="s">
        <v>21</v>
      </c>
      <c r="S2" s="31" t="s">
        <v>24</v>
      </c>
      <c r="T2" s="31" t="s">
        <v>22</v>
      </c>
      <c r="U2" s="31" t="s">
        <v>23</v>
      </c>
      <c r="V2" s="31" t="s">
        <v>29</v>
      </c>
      <c r="W2" s="32" t="s">
        <v>30</v>
      </c>
      <c r="X2" s="49" t="s">
        <v>25</v>
      </c>
      <c r="Y2" s="35" t="s">
        <v>43</v>
      </c>
    </row>
    <row r="3" spans="2:25" x14ac:dyDescent="0.25">
      <c r="B3" s="28">
        <v>0</v>
      </c>
      <c r="C3" s="28">
        <v>0</v>
      </c>
      <c r="D3" s="28">
        <v>0</v>
      </c>
      <c r="E3" s="28">
        <v>0</v>
      </c>
      <c r="F3" s="28">
        <v>0</v>
      </c>
      <c r="G3" s="28">
        <v>0</v>
      </c>
      <c r="H3" s="28">
        <v>1</v>
      </c>
      <c r="I3" s="28">
        <v>1</v>
      </c>
      <c r="J3" s="28">
        <v>0</v>
      </c>
      <c r="K3" s="28">
        <v>0</v>
      </c>
      <c r="L3" s="28">
        <v>0</v>
      </c>
      <c r="M3" s="28">
        <v>0</v>
      </c>
      <c r="N3" s="28">
        <v>0</v>
      </c>
      <c r="O3" s="28">
        <v>1</v>
      </c>
      <c r="P3" s="50">
        <v>0</v>
      </c>
      <c r="Q3" s="28" t="b" cm="1">
        <f t="array" ref="Q3:U3">IFERROR(_xlfn.XLOOKUP(_xlfn.TEXTJOIN(,,D3:O3),Aux!$B$3:$B$4098,'Truth Table'!$O$3:$S$4098)=1,FALSE)</f>
        <v>1</v>
      </c>
      <c r="R3" s="28" t="b">
        <v>0</v>
      </c>
      <c r="S3" s="28" t="b">
        <v>0</v>
      </c>
      <c r="T3" s="28" t="b">
        <v>0</v>
      </c>
      <c r="U3" s="28" t="b">
        <v>0</v>
      </c>
      <c r="V3" s="28" t="b">
        <f>AND(_xlfn.XLOOKUP(_xlfn.TEXTJOIN(,,D3:O3),Aux!$B$3:$B$4098,'Truth Table'!$T$3:$T$4098)=1,P2&lt;='Line Follower'!$C$7)</f>
        <v>0</v>
      </c>
      <c r="W3" s="28" t="b">
        <f>AND(_xlfn.XLOOKUP(_xlfn.TEXTJOIN(,,D3:O3),Aux!$B$3:$B$4098,'Truth Table'!$U$3:$U$4098)=1,P2&gt;='Line Follower'!$C$6)</f>
        <v>0</v>
      </c>
      <c r="X3" s="4" t="b">
        <f>IFERROR(AND(_xlfn.XLOOKUP(_xlfn.TEXTJOIN(,,D3:O3),Aux!$B$3:$B$4098,'Truth Table'!$V$3:$V$4098)=1,ABS(P2)&lt;='Line Follower'!$C$6),FALSE)</f>
        <v>0</v>
      </c>
      <c r="Y3" s="4" t="b">
        <f>OR(Q3:X3)</f>
        <v>1</v>
      </c>
    </row>
    <row r="4" spans="2:25" x14ac:dyDescent="0.25">
      <c r="B4" s="4">
        <v>1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1</v>
      </c>
      <c r="I4" s="4">
        <v>1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1</v>
      </c>
      <c r="P4" s="51">
        <f>IFERROR(_xlfn.XLOOKUP(_xlfn.TEXTJOIN(,,D3:O3),Aux!$B$3:$B$4098,'Truth Table'!$N$3:$N$4098),P3)</f>
        <v>-1</v>
      </c>
      <c r="Q4" s="4" t="b" cm="1">
        <f t="array" ref="Q4:U4">IFERROR(_xlfn.XLOOKUP(_xlfn.TEXTJOIN(,,D4:O4),Aux!$B$3:$B$4098,'Truth Table'!$O$3:$S$4098)=1,FALSE)</f>
        <v>1</v>
      </c>
      <c r="R4" s="4" t="b">
        <v>0</v>
      </c>
      <c r="S4" s="4" t="b">
        <v>0</v>
      </c>
      <c r="T4" s="4" t="b">
        <v>0</v>
      </c>
      <c r="U4" s="4" t="b">
        <v>0</v>
      </c>
      <c r="V4" s="4" t="b">
        <f>AND(_xlfn.XLOOKUP(_xlfn.TEXTJOIN(,,D4:O4),Aux!$B$3:$B$4098,'Truth Table'!$T$3:$T$4098)=1,P3&lt;='Line Follower'!$C$7)</f>
        <v>0</v>
      </c>
      <c r="W4" s="4" t="b">
        <f>AND(_xlfn.XLOOKUP(_xlfn.TEXTJOIN(,,D4:O4),Aux!$B$3:$B$4098,'Truth Table'!$U$3:$U$4098)=1,P3&gt;='Line Follower'!$C$6)</f>
        <v>0</v>
      </c>
      <c r="X4" s="4" t="b">
        <f>IFERROR(AND(_xlfn.XLOOKUP(_xlfn.TEXTJOIN(,,D4:O4),Aux!$B$3:$B$4098,'Truth Table'!$V$3:$V$4098)=1,ABS(P3)&lt;='Line Follower'!$C$6),FALSE)</f>
        <v>0</v>
      </c>
      <c r="Y4" s="4" t="b">
        <f t="shared" ref="Y4:Y67" si="0">OR(Q4:X4)</f>
        <v>1</v>
      </c>
    </row>
    <row r="5" spans="2:25" x14ac:dyDescent="0.25">
      <c r="B5" s="4">
        <v>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1</v>
      </c>
      <c r="I5" s="4">
        <v>1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1</v>
      </c>
      <c r="P5" s="51">
        <f>IFERROR(_xlfn.XLOOKUP(_xlfn.TEXTJOIN(,,D4:O4),Aux!$B$3:$B$4098,'Truth Table'!$N$3:$N$4098),P4)</f>
        <v>-1</v>
      </c>
      <c r="Q5" s="4" t="b" cm="1">
        <f t="array" ref="Q5:U5">IFERROR(_xlfn.XLOOKUP(_xlfn.TEXTJOIN(,,D5:O5),Aux!$B$3:$B$4098,'Truth Table'!$O$3:$S$4098)=1,FALSE)</f>
        <v>1</v>
      </c>
      <c r="R5" s="4" t="b">
        <v>0</v>
      </c>
      <c r="S5" s="4" t="b">
        <v>0</v>
      </c>
      <c r="T5" s="4" t="b">
        <v>0</v>
      </c>
      <c r="U5" s="4" t="b">
        <v>0</v>
      </c>
      <c r="V5" s="4" t="b">
        <f>AND(_xlfn.XLOOKUP(_xlfn.TEXTJOIN(,,D5:O5),Aux!$B$3:$B$4098,'Truth Table'!$T$3:$T$4098)=1,P4&lt;='Line Follower'!$C$7)</f>
        <v>0</v>
      </c>
      <c r="W5" s="4" t="b">
        <f>AND(_xlfn.XLOOKUP(_xlfn.TEXTJOIN(,,D5:O5),Aux!$B$3:$B$4098,'Truth Table'!$U$3:$U$4098)=1,P4&gt;='Line Follower'!$C$6)</f>
        <v>0</v>
      </c>
      <c r="X5" s="4" t="b">
        <f>IFERROR(AND(_xlfn.XLOOKUP(_xlfn.TEXTJOIN(,,D5:O5),Aux!$B$3:$B$4098,'Truth Table'!$V$3:$V$4098)=1,ABS(P4)&lt;='Line Follower'!$C$6),FALSE)</f>
        <v>0</v>
      </c>
      <c r="Y5" s="4" t="b">
        <f t="shared" si="0"/>
        <v>1</v>
      </c>
    </row>
    <row r="6" spans="2:25" x14ac:dyDescent="0.25">
      <c r="B6" s="4">
        <v>3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1</v>
      </c>
      <c r="I6" s="4">
        <v>1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1</v>
      </c>
      <c r="P6" s="51">
        <f>IFERROR(_xlfn.XLOOKUP(_xlfn.TEXTJOIN(,,D5:O5),Aux!$B$3:$B$4098,'Truth Table'!$N$3:$N$4098),P5)</f>
        <v>-1</v>
      </c>
      <c r="Q6" s="4" t="b" cm="1">
        <f t="array" ref="Q6:U6">IFERROR(_xlfn.XLOOKUP(_xlfn.TEXTJOIN(,,D6:O6),Aux!$B$3:$B$4098,'Truth Table'!$O$3:$S$4098)=1,FALSE)</f>
        <v>1</v>
      </c>
      <c r="R6" s="4" t="b">
        <v>0</v>
      </c>
      <c r="S6" s="4" t="b">
        <v>0</v>
      </c>
      <c r="T6" s="4" t="b">
        <v>0</v>
      </c>
      <c r="U6" s="4" t="b">
        <v>0</v>
      </c>
      <c r="V6" s="4" t="b">
        <f>AND(_xlfn.XLOOKUP(_xlfn.TEXTJOIN(,,D6:O6),Aux!$B$3:$B$4098,'Truth Table'!$T$3:$T$4098)=1,P5&lt;='Line Follower'!$C$7)</f>
        <v>0</v>
      </c>
      <c r="W6" s="4" t="b">
        <f>AND(_xlfn.XLOOKUP(_xlfn.TEXTJOIN(,,D6:O6),Aux!$B$3:$B$4098,'Truth Table'!$U$3:$U$4098)=1,P5&gt;='Line Follower'!$C$6)</f>
        <v>0</v>
      </c>
      <c r="X6" s="4" t="b">
        <f>IFERROR(AND(_xlfn.XLOOKUP(_xlfn.TEXTJOIN(,,D6:O6),Aux!$B$3:$B$4098,'Truth Table'!$V$3:$V$4098)=1,ABS(P5)&lt;='Line Follower'!$C$6),FALSE)</f>
        <v>0</v>
      </c>
      <c r="Y6" s="4" t="b">
        <f t="shared" si="0"/>
        <v>1</v>
      </c>
    </row>
    <row r="7" spans="2:25" x14ac:dyDescent="0.25">
      <c r="B7" s="4">
        <v>4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1</v>
      </c>
      <c r="I7" s="4">
        <v>1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1</v>
      </c>
      <c r="P7" s="51">
        <f>IFERROR(_xlfn.XLOOKUP(_xlfn.TEXTJOIN(,,D6:O6),Aux!$B$3:$B$4098,'Truth Table'!$N$3:$N$4098),P6)</f>
        <v>-1</v>
      </c>
      <c r="Q7" s="4" t="b" cm="1">
        <f t="array" ref="Q7:U7">IFERROR(_xlfn.XLOOKUP(_xlfn.TEXTJOIN(,,D7:O7),Aux!$B$3:$B$4098,'Truth Table'!$O$3:$S$4098)=1,FALSE)</f>
        <v>1</v>
      </c>
      <c r="R7" s="4" t="b">
        <v>0</v>
      </c>
      <c r="S7" s="4" t="b">
        <v>0</v>
      </c>
      <c r="T7" s="4" t="b">
        <v>0</v>
      </c>
      <c r="U7" s="4" t="b">
        <v>0</v>
      </c>
      <c r="V7" s="4" t="b">
        <f>AND(_xlfn.XLOOKUP(_xlfn.TEXTJOIN(,,D7:O7),Aux!$B$3:$B$4098,'Truth Table'!$T$3:$T$4098)=1,P6&lt;='Line Follower'!$C$7)</f>
        <v>0</v>
      </c>
      <c r="W7" s="4" t="b">
        <f>AND(_xlfn.XLOOKUP(_xlfn.TEXTJOIN(,,D7:O7),Aux!$B$3:$B$4098,'Truth Table'!$U$3:$U$4098)=1,P6&gt;='Line Follower'!$C$6)</f>
        <v>0</v>
      </c>
      <c r="X7" s="4" t="b">
        <f>IFERROR(AND(_xlfn.XLOOKUP(_xlfn.TEXTJOIN(,,D7:O7),Aux!$B$3:$B$4098,'Truth Table'!$V$3:$V$4098)=1,ABS(P6)&lt;='Line Follower'!$C$6),FALSE)</f>
        <v>0</v>
      </c>
      <c r="Y7" s="4" t="b">
        <f t="shared" si="0"/>
        <v>1</v>
      </c>
    </row>
    <row r="8" spans="2:25" x14ac:dyDescent="0.25">
      <c r="B8" s="4">
        <v>5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1</v>
      </c>
      <c r="I8" s="4">
        <v>1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1</v>
      </c>
      <c r="P8" s="51">
        <f>IFERROR(_xlfn.XLOOKUP(_xlfn.TEXTJOIN(,,D7:O7),Aux!$B$3:$B$4098,'Truth Table'!$N$3:$N$4098),P7)</f>
        <v>-1</v>
      </c>
      <c r="Q8" s="4" t="b" cm="1">
        <f t="array" ref="Q8:U8">IFERROR(_xlfn.XLOOKUP(_xlfn.TEXTJOIN(,,D8:O8),Aux!$B$3:$B$4098,'Truth Table'!$O$3:$S$4098)=1,FALSE)</f>
        <v>1</v>
      </c>
      <c r="R8" s="4" t="b">
        <v>0</v>
      </c>
      <c r="S8" s="4" t="b">
        <v>0</v>
      </c>
      <c r="T8" s="4" t="b">
        <v>0</v>
      </c>
      <c r="U8" s="4" t="b">
        <v>0</v>
      </c>
      <c r="V8" s="4" t="b">
        <f>AND(_xlfn.XLOOKUP(_xlfn.TEXTJOIN(,,D8:O8),Aux!$B$3:$B$4098,'Truth Table'!$T$3:$T$4098)=1,P7&lt;='Line Follower'!$C$7)</f>
        <v>0</v>
      </c>
      <c r="W8" s="4" t="b">
        <f>AND(_xlfn.XLOOKUP(_xlfn.TEXTJOIN(,,D8:O8),Aux!$B$3:$B$4098,'Truth Table'!$U$3:$U$4098)=1,P7&gt;='Line Follower'!$C$6)</f>
        <v>0</v>
      </c>
      <c r="X8" s="4" t="b">
        <f>IFERROR(AND(_xlfn.XLOOKUP(_xlfn.TEXTJOIN(,,D8:O8),Aux!$B$3:$B$4098,'Truth Table'!$V$3:$V$4098)=1,ABS(P7)&lt;='Line Follower'!$C$6),FALSE)</f>
        <v>0</v>
      </c>
      <c r="Y8" s="4" t="b">
        <f t="shared" si="0"/>
        <v>1</v>
      </c>
    </row>
    <row r="9" spans="2:25" x14ac:dyDescent="0.25">
      <c r="B9" s="4">
        <v>6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1</v>
      </c>
      <c r="I9" s="4">
        <v>1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1</v>
      </c>
      <c r="P9" s="51">
        <f>IFERROR(_xlfn.XLOOKUP(_xlfn.TEXTJOIN(,,D8:O8),Aux!$B$3:$B$4098,'Truth Table'!$N$3:$N$4098),P8)</f>
        <v>-1</v>
      </c>
      <c r="Q9" s="4" t="b" cm="1">
        <f t="array" ref="Q9:U9">IFERROR(_xlfn.XLOOKUP(_xlfn.TEXTJOIN(,,D9:O9),Aux!$B$3:$B$4098,'Truth Table'!$O$3:$S$4098)=1,FALSE)</f>
        <v>1</v>
      </c>
      <c r="R9" s="4" t="b">
        <v>0</v>
      </c>
      <c r="S9" s="4" t="b">
        <v>0</v>
      </c>
      <c r="T9" s="4" t="b">
        <v>0</v>
      </c>
      <c r="U9" s="4" t="b">
        <v>0</v>
      </c>
      <c r="V9" s="4" t="b">
        <f>AND(_xlfn.XLOOKUP(_xlfn.TEXTJOIN(,,D9:O9),Aux!$B$3:$B$4098,'Truth Table'!$T$3:$T$4098)=1,P8&lt;='Line Follower'!$C$7)</f>
        <v>0</v>
      </c>
      <c r="W9" s="4" t="b">
        <f>AND(_xlfn.XLOOKUP(_xlfn.TEXTJOIN(,,D9:O9),Aux!$B$3:$B$4098,'Truth Table'!$U$3:$U$4098)=1,P8&gt;='Line Follower'!$C$6)</f>
        <v>0</v>
      </c>
      <c r="X9" s="4" t="b">
        <f>IFERROR(AND(_xlfn.XLOOKUP(_xlfn.TEXTJOIN(,,D9:O9),Aux!$B$3:$B$4098,'Truth Table'!$V$3:$V$4098)=1,ABS(P8)&lt;='Line Follower'!$C$6),FALSE)</f>
        <v>0</v>
      </c>
      <c r="Y9" s="4" t="b">
        <f t="shared" si="0"/>
        <v>1</v>
      </c>
    </row>
    <row r="10" spans="2:25" x14ac:dyDescent="0.25">
      <c r="B10" s="4">
        <v>7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1</v>
      </c>
      <c r="I10" s="4">
        <v>1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1</v>
      </c>
      <c r="P10" s="51">
        <f>IFERROR(_xlfn.XLOOKUP(_xlfn.TEXTJOIN(,,D9:O9),Aux!$B$3:$B$4098,'Truth Table'!$N$3:$N$4098),P9)</f>
        <v>-1</v>
      </c>
      <c r="Q10" s="4" t="b" cm="1">
        <f t="array" ref="Q10:U10">IFERROR(_xlfn.XLOOKUP(_xlfn.TEXTJOIN(,,D10:O10),Aux!$B$3:$B$4098,'Truth Table'!$O$3:$S$4098)=1,FALSE)</f>
        <v>1</v>
      </c>
      <c r="R10" s="4" t="b">
        <v>0</v>
      </c>
      <c r="S10" s="4" t="b">
        <v>0</v>
      </c>
      <c r="T10" s="4" t="b">
        <v>0</v>
      </c>
      <c r="U10" s="4" t="b">
        <v>0</v>
      </c>
      <c r="V10" s="4" t="b">
        <f>AND(_xlfn.XLOOKUP(_xlfn.TEXTJOIN(,,D10:O10),Aux!$B$3:$B$4098,'Truth Table'!$T$3:$T$4098)=1,P9&lt;='Line Follower'!$C$7)</f>
        <v>0</v>
      </c>
      <c r="W10" s="4" t="b">
        <f>AND(_xlfn.XLOOKUP(_xlfn.TEXTJOIN(,,D10:O10),Aux!$B$3:$B$4098,'Truth Table'!$U$3:$U$4098)=1,P9&gt;='Line Follower'!$C$6)</f>
        <v>0</v>
      </c>
      <c r="X10" s="4" t="b">
        <f>IFERROR(AND(_xlfn.XLOOKUP(_xlfn.TEXTJOIN(,,D10:O10),Aux!$B$3:$B$4098,'Truth Table'!$V$3:$V$4098)=1,ABS(P9)&lt;='Line Follower'!$C$6),FALSE)</f>
        <v>0</v>
      </c>
      <c r="Y10" s="4" t="b">
        <f t="shared" si="0"/>
        <v>1</v>
      </c>
    </row>
    <row r="11" spans="2:25" x14ac:dyDescent="0.25">
      <c r="B11" s="4">
        <v>8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1</v>
      </c>
      <c r="I11" s="4">
        <v>1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1</v>
      </c>
      <c r="P11" s="51">
        <f>IFERROR(_xlfn.XLOOKUP(_xlfn.TEXTJOIN(,,D10:O10),Aux!$B$3:$B$4098,'Truth Table'!$N$3:$N$4098),P10)</f>
        <v>-1</v>
      </c>
      <c r="Q11" s="4" t="b" cm="1">
        <f t="array" ref="Q11:U11">IFERROR(_xlfn.XLOOKUP(_xlfn.TEXTJOIN(,,D11:O11),Aux!$B$3:$B$4098,'Truth Table'!$O$3:$S$4098)=1,FALSE)</f>
        <v>1</v>
      </c>
      <c r="R11" s="4" t="b">
        <v>0</v>
      </c>
      <c r="S11" s="4" t="b">
        <v>0</v>
      </c>
      <c r="T11" s="4" t="b">
        <v>0</v>
      </c>
      <c r="U11" s="4" t="b">
        <v>0</v>
      </c>
      <c r="V11" s="4" t="b">
        <f>AND(_xlfn.XLOOKUP(_xlfn.TEXTJOIN(,,D11:O11),Aux!$B$3:$B$4098,'Truth Table'!$T$3:$T$4098)=1,P10&lt;='Line Follower'!$C$7)</f>
        <v>0</v>
      </c>
      <c r="W11" s="4" t="b">
        <f>AND(_xlfn.XLOOKUP(_xlfn.TEXTJOIN(,,D11:O11),Aux!$B$3:$B$4098,'Truth Table'!$U$3:$U$4098)=1,P10&gt;='Line Follower'!$C$6)</f>
        <v>0</v>
      </c>
      <c r="X11" s="4" t="b">
        <f>IFERROR(AND(_xlfn.XLOOKUP(_xlfn.TEXTJOIN(,,D11:O11),Aux!$B$3:$B$4098,'Truth Table'!$V$3:$V$4098)=1,ABS(P10)&lt;='Line Follower'!$C$6),FALSE)</f>
        <v>0</v>
      </c>
      <c r="Y11" s="4" t="b">
        <f t="shared" si="0"/>
        <v>1</v>
      </c>
    </row>
    <row r="12" spans="2:25" x14ac:dyDescent="0.25">
      <c r="B12" s="4">
        <v>9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1</v>
      </c>
      <c r="I12" s="4">
        <v>1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1</v>
      </c>
      <c r="P12" s="51">
        <f>IFERROR(_xlfn.XLOOKUP(_xlfn.TEXTJOIN(,,D11:O11),Aux!$B$3:$B$4098,'Truth Table'!$N$3:$N$4098),P11)</f>
        <v>-1</v>
      </c>
      <c r="Q12" s="4" t="b" cm="1">
        <f t="array" ref="Q12:U12">IFERROR(_xlfn.XLOOKUP(_xlfn.TEXTJOIN(,,D12:O12),Aux!$B$3:$B$4098,'Truth Table'!$O$3:$S$4098)=1,FALSE)</f>
        <v>1</v>
      </c>
      <c r="R12" s="4" t="b">
        <v>0</v>
      </c>
      <c r="S12" s="4" t="b">
        <v>0</v>
      </c>
      <c r="T12" s="4" t="b">
        <v>0</v>
      </c>
      <c r="U12" s="4" t="b">
        <v>0</v>
      </c>
      <c r="V12" s="4" t="b">
        <f>AND(_xlfn.XLOOKUP(_xlfn.TEXTJOIN(,,D12:O12),Aux!$B$3:$B$4098,'Truth Table'!$T$3:$T$4098)=1,P11&lt;='Line Follower'!$C$7)</f>
        <v>0</v>
      </c>
      <c r="W12" s="4" t="b">
        <f>AND(_xlfn.XLOOKUP(_xlfn.TEXTJOIN(,,D12:O12),Aux!$B$3:$B$4098,'Truth Table'!$U$3:$U$4098)=1,P11&gt;='Line Follower'!$C$6)</f>
        <v>0</v>
      </c>
      <c r="X12" s="4" t="b">
        <f>IFERROR(AND(_xlfn.XLOOKUP(_xlfn.TEXTJOIN(,,D12:O12),Aux!$B$3:$B$4098,'Truth Table'!$V$3:$V$4098)=1,ABS(P11)&lt;='Line Follower'!$C$6),FALSE)</f>
        <v>0</v>
      </c>
      <c r="Y12" s="4" t="b">
        <f t="shared" si="0"/>
        <v>1</v>
      </c>
    </row>
    <row r="13" spans="2:25" x14ac:dyDescent="0.25">
      <c r="B13" s="4">
        <v>10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1</v>
      </c>
      <c r="I13" s="4">
        <v>1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1</v>
      </c>
      <c r="P13" s="51">
        <f>IFERROR(_xlfn.XLOOKUP(_xlfn.TEXTJOIN(,,D12:O12),Aux!$B$3:$B$4098,'Truth Table'!$N$3:$N$4098),P12)</f>
        <v>-1</v>
      </c>
      <c r="Q13" s="4" t="b" cm="1">
        <f t="array" ref="Q13:U13">IFERROR(_xlfn.XLOOKUP(_xlfn.TEXTJOIN(,,D13:O13),Aux!$B$3:$B$4098,'Truth Table'!$O$3:$S$4098)=1,FALSE)</f>
        <v>1</v>
      </c>
      <c r="R13" s="4" t="b">
        <v>0</v>
      </c>
      <c r="S13" s="4" t="b">
        <v>0</v>
      </c>
      <c r="T13" s="4" t="b">
        <v>0</v>
      </c>
      <c r="U13" s="4" t="b">
        <v>0</v>
      </c>
      <c r="V13" s="4" t="b">
        <f>AND(_xlfn.XLOOKUP(_xlfn.TEXTJOIN(,,D13:O13),Aux!$B$3:$B$4098,'Truth Table'!$T$3:$T$4098)=1,P12&lt;='Line Follower'!$C$7)</f>
        <v>0</v>
      </c>
      <c r="W13" s="4" t="b">
        <f>AND(_xlfn.XLOOKUP(_xlfn.TEXTJOIN(,,D13:O13),Aux!$B$3:$B$4098,'Truth Table'!$U$3:$U$4098)=1,P12&gt;='Line Follower'!$C$6)</f>
        <v>0</v>
      </c>
      <c r="X13" s="4" t="b">
        <f>IFERROR(AND(_xlfn.XLOOKUP(_xlfn.TEXTJOIN(,,D13:O13),Aux!$B$3:$B$4098,'Truth Table'!$V$3:$V$4098)=1,ABS(P12)&lt;='Line Follower'!$C$6),FALSE)</f>
        <v>0</v>
      </c>
      <c r="Y13" s="4" t="b">
        <f t="shared" si="0"/>
        <v>1</v>
      </c>
    </row>
    <row r="14" spans="2:25" x14ac:dyDescent="0.25">
      <c r="B14" s="4">
        <v>11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1</v>
      </c>
      <c r="I14" s="4">
        <v>1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1</v>
      </c>
      <c r="P14" s="51">
        <f>IFERROR(_xlfn.XLOOKUP(_xlfn.TEXTJOIN(,,D13:O13),Aux!$B$3:$B$4098,'Truth Table'!$N$3:$N$4098),P13)</f>
        <v>-1</v>
      </c>
      <c r="Q14" s="4" t="b" cm="1">
        <f t="array" ref="Q14:U14">IFERROR(_xlfn.XLOOKUP(_xlfn.TEXTJOIN(,,D14:O14),Aux!$B$3:$B$4098,'Truth Table'!$O$3:$S$4098)=1,FALSE)</f>
        <v>1</v>
      </c>
      <c r="R14" s="4" t="b">
        <v>0</v>
      </c>
      <c r="S14" s="4" t="b">
        <v>0</v>
      </c>
      <c r="T14" s="4" t="b">
        <v>0</v>
      </c>
      <c r="U14" s="4" t="b">
        <v>0</v>
      </c>
      <c r="V14" s="4" t="b">
        <f>AND(_xlfn.XLOOKUP(_xlfn.TEXTJOIN(,,D14:O14),Aux!$B$3:$B$4098,'Truth Table'!$T$3:$T$4098)=1,P13&lt;='Line Follower'!$C$7)</f>
        <v>0</v>
      </c>
      <c r="W14" s="4" t="b">
        <f>AND(_xlfn.XLOOKUP(_xlfn.TEXTJOIN(,,D14:O14),Aux!$B$3:$B$4098,'Truth Table'!$U$3:$U$4098)=1,P13&gt;='Line Follower'!$C$6)</f>
        <v>0</v>
      </c>
      <c r="X14" s="4" t="b">
        <f>IFERROR(AND(_xlfn.XLOOKUP(_xlfn.TEXTJOIN(,,D14:O14),Aux!$B$3:$B$4098,'Truth Table'!$V$3:$V$4098)=1,ABS(P13)&lt;='Line Follower'!$C$6),FALSE)</f>
        <v>0</v>
      </c>
      <c r="Y14" s="4" t="b">
        <f t="shared" si="0"/>
        <v>1</v>
      </c>
    </row>
    <row r="15" spans="2:25" x14ac:dyDescent="0.25">
      <c r="B15" s="4">
        <v>12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1</v>
      </c>
      <c r="I15" s="4">
        <v>1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1</v>
      </c>
      <c r="P15" s="51">
        <f>IFERROR(_xlfn.XLOOKUP(_xlfn.TEXTJOIN(,,D14:O14),Aux!$B$3:$B$4098,'Truth Table'!$N$3:$N$4098),P14)</f>
        <v>-1</v>
      </c>
      <c r="Q15" s="4" t="b" cm="1">
        <f t="array" ref="Q15:U15">IFERROR(_xlfn.XLOOKUP(_xlfn.TEXTJOIN(,,D15:O15),Aux!$B$3:$B$4098,'Truth Table'!$O$3:$S$4098)=1,FALSE)</f>
        <v>1</v>
      </c>
      <c r="R15" s="4" t="b">
        <v>0</v>
      </c>
      <c r="S15" s="4" t="b">
        <v>0</v>
      </c>
      <c r="T15" s="4" t="b">
        <v>0</v>
      </c>
      <c r="U15" s="4" t="b">
        <v>0</v>
      </c>
      <c r="V15" s="4" t="b">
        <f>AND(_xlfn.XLOOKUP(_xlfn.TEXTJOIN(,,D15:O15),Aux!$B$3:$B$4098,'Truth Table'!$T$3:$T$4098)=1,P14&lt;='Line Follower'!$C$7)</f>
        <v>0</v>
      </c>
      <c r="W15" s="4" t="b">
        <f>AND(_xlfn.XLOOKUP(_xlfn.TEXTJOIN(,,D15:O15),Aux!$B$3:$B$4098,'Truth Table'!$U$3:$U$4098)=1,P14&gt;='Line Follower'!$C$6)</f>
        <v>0</v>
      </c>
      <c r="X15" s="4" t="b">
        <f>IFERROR(AND(_xlfn.XLOOKUP(_xlfn.TEXTJOIN(,,D15:O15),Aux!$B$3:$B$4098,'Truth Table'!$V$3:$V$4098)=1,ABS(P14)&lt;='Line Follower'!$C$6),FALSE)</f>
        <v>0</v>
      </c>
      <c r="Y15" s="4" t="b">
        <f t="shared" si="0"/>
        <v>1</v>
      </c>
    </row>
    <row r="16" spans="2:25" x14ac:dyDescent="0.25">
      <c r="B16" s="4">
        <v>13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1</v>
      </c>
      <c r="I16" s="4">
        <v>1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1</v>
      </c>
      <c r="P16" s="51">
        <f>IFERROR(_xlfn.XLOOKUP(_xlfn.TEXTJOIN(,,D15:O15),Aux!$B$3:$B$4098,'Truth Table'!$N$3:$N$4098),P15)</f>
        <v>-1</v>
      </c>
      <c r="Q16" s="4" t="b" cm="1">
        <f t="array" ref="Q16:U16">IFERROR(_xlfn.XLOOKUP(_xlfn.TEXTJOIN(,,D16:O16),Aux!$B$3:$B$4098,'Truth Table'!$O$3:$S$4098)=1,FALSE)</f>
        <v>1</v>
      </c>
      <c r="R16" s="4" t="b">
        <v>0</v>
      </c>
      <c r="S16" s="4" t="b">
        <v>0</v>
      </c>
      <c r="T16" s="4" t="b">
        <v>0</v>
      </c>
      <c r="U16" s="4" t="b">
        <v>0</v>
      </c>
      <c r="V16" s="4" t="b">
        <f>AND(_xlfn.XLOOKUP(_xlfn.TEXTJOIN(,,D16:O16),Aux!$B$3:$B$4098,'Truth Table'!$T$3:$T$4098)=1,P15&lt;='Line Follower'!$C$7)</f>
        <v>0</v>
      </c>
      <c r="W16" s="4" t="b">
        <f>AND(_xlfn.XLOOKUP(_xlfn.TEXTJOIN(,,D16:O16),Aux!$B$3:$B$4098,'Truth Table'!$U$3:$U$4098)=1,P15&gt;='Line Follower'!$C$6)</f>
        <v>0</v>
      </c>
      <c r="X16" s="4" t="b">
        <f>IFERROR(AND(_xlfn.XLOOKUP(_xlfn.TEXTJOIN(,,D16:O16),Aux!$B$3:$B$4098,'Truth Table'!$V$3:$V$4098)=1,ABS(P15)&lt;='Line Follower'!$C$6),FALSE)</f>
        <v>0</v>
      </c>
      <c r="Y16" s="4" t="b">
        <f t="shared" si="0"/>
        <v>1</v>
      </c>
    </row>
    <row r="17" spans="2:25" x14ac:dyDescent="0.25">
      <c r="B17" s="4">
        <v>14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1</v>
      </c>
      <c r="I17" s="4">
        <v>1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1</v>
      </c>
      <c r="P17" s="51">
        <f>IFERROR(_xlfn.XLOOKUP(_xlfn.TEXTJOIN(,,D16:O16),Aux!$B$3:$B$4098,'Truth Table'!$N$3:$N$4098),P16)</f>
        <v>-1</v>
      </c>
      <c r="Q17" s="4" t="b" cm="1">
        <f t="array" ref="Q17:U17">IFERROR(_xlfn.XLOOKUP(_xlfn.TEXTJOIN(,,D17:O17),Aux!$B$3:$B$4098,'Truth Table'!$O$3:$S$4098)=1,FALSE)</f>
        <v>1</v>
      </c>
      <c r="R17" s="4" t="b">
        <v>0</v>
      </c>
      <c r="S17" s="4" t="b">
        <v>0</v>
      </c>
      <c r="T17" s="4" t="b">
        <v>0</v>
      </c>
      <c r="U17" s="4" t="b">
        <v>0</v>
      </c>
      <c r="V17" s="4" t="b">
        <f>AND(_xlfn.XLOOKUP(_xlfn.TEXTJOIN(,,D17:O17),Aux!$B$3:$B$4098,'Truth Table'!$T$3:$T$4098)=1,P16&lt;='Line Follower'!$C$7)</f>
        <v>0</v>
      </c>
      <c r="W17" s="4" t="b">
        <f>AND(_xlfn.XLOOKUP(_xlfn.TEXTJOIN(,,D17:O17),Aux!$B$3:$B$4098,'Truth Table'!$U$3:$U$4098)=1,P16&gt;='Line Follower'!$C$6)</f>
        <v>0</v>
      </c>
      <c r="X17" s="4" t="b">
        <f>IFERROR(AND(_xlfn.XLOOKUP(_xlfn.TEXTJOIN(,,D17:O17),Aux!$B$3:$B$4098,'Truth Table'!$V$3:$V$4098)=1,ABS(P16)&lt;='Line Follower'!$C$6),FALSE)</f>
        <v>0</v>
      </c>
      <c r="Y17" s="4" t="b">
        <f t="shared" si="0"/>
        <v>1</v>
      </c>
    </row>
    <row r="18" spans="2:25" x14ac:dyDescent="0.25">
      <c r="B18" s="4">
        <v>15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1</v>
      </c>
      <c r="I18" s="4">
        <v>1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1</v>
      </c>
      <c r="P18" s="51">
        <f>IFERROR(_xlfn.XLOOKUP(_xlfn.TEXTJOIN(,,D17:O17),Aux!$B$3:$B$4098,'Truth Table'!$N$3:$N$4098),P17)</f>
        <v>-1</v>
      </c>
      <c r="Q18" s="4" t="b" cm="1">
        <f t="array" ref="Q18:U18">IFERROR(_xlfn.XLOOKUP(_xlfn.TEXTJOIN(,,D18:O18),Aux!$B$3:$B$4098,'Truth Table'!$O$3:$S$4098)=1,FALSE)</f>
        <v>1</v>
      </c>
      <c r="R18" s="4" t="b">
        <v>0</v>
      </c>
      <c r="S18" s="4" t="b">
        <v>0</v>
      </c>
      <c r="T18" s="4" t="b">
        <v>0</v>
      </c>
      <c r="U18" s="4" t="b">
        <v>0</v>
      </c>
      <c r="V18" s="4" t="b">
        <f>AND(_xlfn.XLOOKUP(_xlfn.TEXTJOIN(,,D18:O18),Aux!$B$3:$B$4098,'Truth Table'!$T$3:$T$4098)=1,P17&lt;='Line Follower'!$C$7)</f>
        <v>0</v>
      </c>
      <c r="W18" s="4" t="b">
        <f>AND(_xlfn.XLOOKUP(_xlfn.TEXTJOIN(,,D18:O18),Aux!$B$3:$B$4098,'Truth Table'!$U$3:$U$4098)=1,P17&gt;='Line Follower'!$C$6)</f>
        <v>0</v>
      </c>
      <c r="X18" s="4" t="b">
        <f>IFERROR(AND(_xlfn.XLOOKUP(_xlfn.TEXTJOIN(,,D18:O18),Aux!$B$3:$B$4098,'Truth Table'!$V$3:$V$4098)=1,ABS(P17)&lt;='Line Follower'!$C$6),FALSE)</f>
        <v>0</v>
      </c>
      <c r="Y18" s="4" t="b">
        <f t="shared" si="0"/>
        <v>1</v>
      </c>
    </row>
    <row r="19" spans="2:25" x14ac:dyDescent="0.25">
      <c r="B19" s="4">
        <v>16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1</v>
      </c>
      <c r="I19" s="4">
        <v>1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1</v>
      </c>
      <c r="P19" s="51">
        <f>IFERROR(_xlfn.XLOOKUP(_xlfn.TEXTJOIN(,,D18:O18),Aux!$B$3:$B$4098,'Truth Table'!$N$3:$N$4098),P18)</f>
        <v>-1</v>
      </c>
      <c r="Q19" s="4" t="b" cm="1">
        <f t="array" ref="Q19:U19">IFERROR(_xlfn.XLOOKUP(_xlfn.TEXTJOIN(,,D19:O19),Aux!$B$3:$B$4098,'Truth Table'!$O$3:$S$4098)=1,FALSE)</f>
        <v>1</v>
      </c>
      <c r="R19" s="4" t="b">
        <v>0</v>
      </c>
      <c r="S19" s="4" t="b">
        <v>0</v>
      </c>
      <c r="T19" s="4" t="b">
        <v>0</v>
      </c>
      <c r="U19" s="4" t="b">
        <v>0</v>
      </c>
      <c r="V19" s="4" t="b">
        <f>AND(_xlfn.XLOOKUP(_xlfn.TEXTJOIN(,,D19:O19),Aux!$B$3:$B$4098,'Truth Table'!$T$3:$T$4098)=1,P18&lt;='Line Follower'!$C$7)</f>
        <v>0</v>
      </c>
      <c r="W19" s="4" t="b">
        <f>AND(_xlfn.XLOOKUP(_xlfn.TEXTJOIN(,,D19:O19),Aux!$B$3:$B$4098,'Truth Table'!$U$3:$U$4098)=1,P18&gt;='Line Follower'!$C$6)</f>
        <v>0</v>
      </c>
      <c r="X19" s="4" t="b">
        <f>IFERROR(AND(_xlfn.XLOOKUP(_xlfn.TEXTJOIN(,,D19:O19),Aux!$B$3:$B$4098,'Truth Table'!$V$3:$V$4098)=1,ABS(P18)&lt;='Line Follower'!$C$6),FALSE)</f>
        <v>0</v>
      </c>
      <c r="Y19" s="4" t="b">
        <f t="shared" si="0"/>
        <v>1</v>
      </c>
    </row>
    <row r="20" spans="2:25" x14ac:dyDescent="0.25">
      <c r="B20" s="4">
        <v>17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1</v>
      </c>
      <c r="I20" s="4">
        <v>1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1</v>
      </c>
      <c r="P20" s="51">
        <f>IFERROR(_xlfn.XLOOKUP(_xlfn.TEXTJOIN(,,D19:O19),Aux!$B$3:$B$4098,'Truth Table'!$N$3:$N$4098),P19)</f>
        <v>-1</v>
      </c>
      <c r="Q20" s="4" t="b" cm="1">
        <f t="array" ref="Q20:U20">IFERROR(_xlfn.XLOOKUP(_xlfn.TEXTJOIN(,,D20:O20),Aux!$B$3:$B$4098,'Truth Table'!$O$3:$S$4098)=1,FALSE)</f>
        <v>1</v>
      </c>
      <c r="R20" s="4" t="b">
        <v>0</v>
      </c>
      <c r="S20" s="4" t="b">
        <v>0</v>
      </c>
      <c r="T20" s="4" t="b">
        <v>0</v>
      </c>
      <c r="U20" s="4" t="b">
        <v>0</v>
      </c>
      <c r="V20" s="4" t="b">
        <f>AND(_xlfn.XLOOKUP(_xlfn.TEXTJOIN(,,D20:O20),Aux!$B$3:$B$4098,'Truth Table'!$T$3:$T$4098)=1,P19&lt;='Line Follower'!$C$7)</f>
        <v>0</v>
      </c>
      <c r="W20" s="4" t="b">
        <f>AND(_xlfn.XLOOKUP(_xlfn.TEXTJOIN(,,D20:O20),Aux!$B$3:$B$4098,'Truth Table'!$U$3:$U$4098)=1,P19&gt;='Line Follower'!$C$6)</f>
        <v>0</v>
      </c>
      <c r="X20" s="4" t="b">
        <f>IFERROR(AND(_xlfn.XLOOKUP(_xlfn.TEXTJOIN(,,D20:O20),Aux!$B$3:$B$4098,'Truth Table'!$V$3:$V$4098)=1,ABS(P19)&lt;='Line Follower'!$C$6),FALSE)</f>
        <v>0</v>
      </c>
      <c r="Y20" s="4" t="b">
        <f t="shared" si="0"/>
        <v>1</v>
      </c>
    </row>
    <row r="21" spans="2:25" x14ac:dyDescent="0.25">
      <c r="B21" s="4">
        <v>18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1</v>
      </c>
      <c r="I21" s="4">
        <v>1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1</v>
      </c>
      <c r="P21" s="51">
        <f>IFERROR(_xlfn.XLOOKUP(_xlfn.TEXTJOIN(,,D20:O20),Aux!$B$3:$B$4098,'Truth Table'!$N$3:$N$4098),P20)</f>
        <v>-1</v>
      </c>
      <c r="Q21" s="4" t="b" cm="1">
        <f t="array" ref="Q21:U21">IFERROR(_xlfn.XLOOKUP(_xlfn.TEXTJOIN(,,D21:O21),Aux!$B$3:$B$4098,'Truth Table'!$O$3:$S$4098)=1,FALSE)</f>
        <v>1</v>
      </c>
      <c r="R21" s="4" t="b">
        <v>0</v>
      </c>
      <c r="S21" s="4" t="b">
        <v>0</v>
      </c>
      <c r="T21" s="4" t="b">
        <v>0</v>
      </c>
      <c r="U21" s="4" t="b">
        <v>0</v>
      </c>
      <c r="V21" s="4" t="b">
        <f>AND(_xlfn.XLOOKUP(_xlfn.TEXTJOIN(,,D21:O21),Aux!$B$3:$B$4098,'Truth Table'!$T$3:$T$4098)=1,P20&lt;='Line Follower'!$C$7)</f>
        <v>0</v>
      </c>
      <c r="W21" s="4" t="b">
        <f>AND(_xlfn.XLOOKUP(_xlfn.TEXTJOIN(,,D21:O21),Aux!$B$3:$B$4098,'Truth Table'!$U$3:$U$4098)=1,P20&gt;='Line Follower'!$C$6)</f>
        <v>0</v>
      </c>
      <c r="X21" s="4" t="b">
        <f>IFERROR(AND(_xlfn.XLOOKUP(_xlfn.TEXTJOIN(,,D21:O21),Aux!$B$3:$B$4098,'Truth Table'!$V$3:$V$4098)=1,ABS(P20)&lt;='Line Follower'!$C$6),FALSE)</f>
        <v>0</v>
      </c>
      <c r="Y21" s="4" t="b">
        <f t="shared" si="0"/>
        <v>1</v>
      </c>
    </row>
    <row r="22" spans="2:25" x14ac:dyDescent="0.25">
      <c r="B22" s="4">
        <v>19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1</v>
      </c>
      <c r="I22" s="4">
        <v>1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1</v>
      </c>
      <c r="P22" s="51">
        <f>IFERROR(_xlfn.XLOOKUP(_xlfn.TEXTJOIN(,,D21:O21),Aux!$B$3:$B$4098,'Truth Table'!$N$3:$N$4098),P21)</f>
        <v>-1</v>
      </c>
      <c r="Q22" s="4" t="b" cm="1">
        <f t="array" ref="Q22:U22">IFERROR(_xlfn.XLOOKUP(_xlfn.TEXTJOIN(,,D22:O22),Aux!$B$3:$B$4098,'Truth Table'!$O$3:$S$4098)=1,FALSE)</f>
        <v>1</v>
      </c>
      <c r="R22" s="4" t="b">
        <v>0</v>
      </c>
      <c r="S22" s="4" t="b">
        <v>0</v>
      </c>
      <c r="T22" s="4" t="b">
        <v>0</v>
      </c>
      <c r="U22" s="4" t="b">
        <v>0</v>
      </c>
      <c r="V22" s="4" t="b">
        <f>AND(_xlfn.XLOOKUP(_xlfn.TEXTJOIN(,,D22:O22),Aux!$B$3:$B$4098,'Truth Table'!$T$3:$T$4098)=1,P21&lt;='Line Follower'!$C$7)</f>
        <v>0</v>
      </c>
      <c r="W22" s="4" t="b">
        <f>AND(_xlfn.XLOOKUP(_xlfn.TEXTJOIN(,,D22:O22),Aux!$B$3:$B$4098,'Truth Table'!$U$3:$U$4098)=1,P21&gt;='Line Follower'!$C$6)</f>
        <v>0</v>
      </c>
      <c r="X22" s="4" t="b">
        <f>IFERROR(AND(_xlfn.XLOOKUP(_xlfn.TEXTJOIN(,,D22:O22),Aux!$B$3:$B$4098,'Truth Table'!$V$3:$V$4098)=1,ABS(P21)&lt;='Line Follower'!$C$6),FALSE)</f>
        <v>0</v>
      </c>
      <c r="Y22" s="4" t="b">
        <f t="shared" si="0"/>
        <v>1</v>
      </c>
    </row>
    <row r="23" spans="2:25" x14ac:dyDescent="0.25">
      <c r="B23" s="4">
        <v>20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1</v>
      </c>
      <c r="I23" s="4">
        <v>1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1</v>
      </c>
      <c r="P23" s="51">
        <f>IFERROR(_xlfn.XLOOKUP(_xlfn.TEXTJOIN(,,D22:O22),Aux!$B$3:$B$4098,'Truth Table'!$N$3:$N$4098),P22)</f>
        <v>-1</v>
      </c>
      <c r="Q23" s="4" t="b" cm="1">
        <f t="array" ref="Q23:U23">IFERROR(_xlfn.XLOOKUP(_xlfn.TEXTJOIN(,,D23:O23),Aux!$B$3:$B$4098,'Truth Table'!$O$3:$S$4098)=1,FALSE)</f>
        <v>1</v>
      </c>
      <c r="R23" s="4" t="b">
        <v>0</v>
      </c>
      <c r="S23" s="4" t="b">
        <v>0</v>
      </c>
      <c r="T23" s="4" t="b">
        <v>0</v>
      </c>
      <c r="U23" s="4" t="b">
        <v>0</v>
      </c>
      <c r="V23" s="4" t="b">
        <f>AND(_xlfn.XLOOKUP(_xlfn.TEXTJOIN(,,D23:O23),Aux!$B$3:$B$4098,'Truth Table'!$T$3:$T$4098)=1,P22&lt;='Line Follower'!$C$7)</f>
        <v>0</v>
      </c>
      <c r="W23" s="4" t="b">
        <f>AND(_xlfn.XLOOKUP(_xlfn.TEXTJOIN(,,D23:O23),Aux!$B$3:$B$4098,'Truth Table'!$U$3:$U$4098)=1,P22&gt;='Line Follower'!$C$6)</f>
        <v>0</v>
      </c>
      <c r="X23" s="4" t="b">
        <f>IFERROR(AND(_xlfn.XLOOKUP(_xlfn.TEXTJOIN(,,D23:O23),Aux!$B$3:$B$4098,'Truth Table'!$V$3:$V$4098)=1,ABS(P22)&lt;='Line Follower'!$C$6),FALSE)</f>
        <v>0</v>
      </c>
      <c r="Y23" s="4" t="b">
        <f t="shared" si="0"/>
        <v>1</v>
      </c>
    </row>
    <row r="24" spans="2:25" x14ac:dyDescent="0.25">
      <c r="B24" s="4">
        <v>21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1</v>
      </c>
      <c r="I24" s="4">
        <v>1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1</v>
      </c>
      <c r="P24" s="51">
        <f>IFERROR(_xlfn.XLOOKUP(_xlfn.TEXTJOIN(,,D23:O23),Aux!$B$3:$B$4098,'Truth Table'!$N$3:$N$4098),P23)</f>
        <v>-1</v>
      </c>
      <c r="Q24" s="4" t="b" cm="1">
        <f t="array" ref="Q24:U24">IFERROR(_xlfn.XLOOKUP(_xlfn.TEXTJOIN(,,D24:O24),Aux!$B$3:$B$4098,'Truth Table'!$O$3:$S$4098)=1,FALSE)</f>
        <v>1</v>
      </c>
      <c r="R24" s="4" t="b">
        <v>0</v>
      </c>
      <c r="S24" s="4" t="b">
        <v>0</v>
      </c>
      <c r="T24" s="4" t="b">
        <v>0</v>
      </c>
      <c r="U24" s="4" t="b">
        <v>0</v>
      </c>
      <c r="V24" s="4" t="b">
        <f>AND(_xlfn.XLOOKUP(_xlfn.TEXTJOIN(,,D24:O24),Aux!$B$3:$B$4098,'Truth Table'!$T$3:$T$4098)=1,P23&lt;='Line Follower'!$C$7)</f>
        <v>0</v>
      </c>
      <c r="W24" s="4" t="b">
        <f>AND(_xlfn.XLOOKUP(_xlfn.TEXTJOIN(,,D24:O24),Aux!$B$3:$B$4098,'Truth Table'!$U$3:$U$4098)=1,P23&gt;='Line Follower'!$C$6)</f>
        <v>0</v>
      </c>
      <c r="X24" s="4" t="b">
        <f>IFERROR(AND(_xlfn.XLOOKUP(_xlfn.TEXTJOIN(,,D24:O24),Aux!$B$3:$B$4098,'Truth Table'!$V$3:$V$4098)=1,ABS(P23)&lt;='Line Follower'!$C$6),FALSE)</f>
        <v>0</v>
      </c>
      <c r="Y24" s="4" t="b">
        <f t="shared" si="0"/>
        <v>1</v>
      </c>
    </row>
    <row r="25" spans="2:25" x14ac:dyDescent="0.25">
      <c r="B25" s="4">
        <v>22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1</v>
      </c>
      <c r="I25" s="4">
        <v>1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1</v>
      </c>
      <c r="P25" s="51">
        <f>IFERROR(_xlfn.XLOOKUP(_xlfn.TEXTJOIN(,,D24:O24),Aux!$B$3:$B$4098,'Truth Table'!$N$3:$N$4098),P24)</f>
        <v>-1</v>
      </c>
      <c r="Q25" s="4" t="b" cm="1">
        <f t="array" ref="Q25:U25">IFERROR(_xlfn.XLOOKUP(_xlfn.TEXTJOIN(,,D25:O25),Aux!$B$3:$B$4098,'Truth Table'!$O$3:$S$4098)=1,FALSE)</f>
        <v>1</v>
      </c>
      <c r="R25" s="4" t="b">
        <v>0</v>
      </c>
      <c r="S25" s="4" t="b">
        <v>0</v>
      </c>
      <c r="T25" s="4" t="b">
        <v>0</v>
      </c>
      <c r="U25" s="4" t="b">
        <v>0</v>
      </c>
      <c r="V25" s="4" t="b">
        <f>AND(_xlfn.XLOOKUP(_xlfn.TEXTJOIN(,,D25:O25),Aux!$B$3:$B$4098,'Truth Table'!$T$3:$T$4098)=1,P24&lt;='Line Follower'!$C$7)</f>
        <v>0</v>
      </c>
      <c r="W25" s="4" t="b">
        <f>AND(_xlfn.XLOOKUP(_xlfn.TEXTJOIN(,,D25:O25),Aux!$B$3:$B$4098,'Truth Table'!$U$3:$U$4098)=1,P24&gt;='Line Follower'!$C$6)</f>
        <v>0</v>
      </c>
      <c r="X25" s="4" t="b">
        <f>IFERROR(AND(_xlfn.XLOOKUP(_xlfn.TEXTJOIN(,,D25:O25),Aux!$B$3:$B$4098,'Truth Table'!$V$3:$V$4098)=1,ABS(P24)&lt;='Line Follower'!$C$6),FALSE)</f>
        <v>0</v>
      </c>
      <c r="Y25" s="4" t="b">
        <f t="shared" si="0"/>
        <v>1</v>
      </c>
    </row>
    <row r="26" spans="2:25" x14ac:dyDescent="0.25">
      <c r="B26" s="4">
        <v>23</v>
      </c>
      <c r="C26" s="4">
        <v>1</v>
      </c>
      <c r="D26" s="4">
        <v>0</v>
      </c>
      <c r="E26" s="4">
        <v>0</v>
      </c>
      <c r="F26" s="4">
        <v>0</v>
      </c>
      <c r="G26" s="4">
        <v>0</v>
      </c>
      <c r="H26" s="4">
        <v>1</v>
      </c>
      <c r="I26" s="4">
        <v>1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1</v>
      </c>
      <c r="P26" s="51">
        <f>IFERROR(_xlfn.XLOOKUP(_xlfn.TEXTJOIN(,,D25:O25),Aux!$B$3:$B$4098,'Truth Table'!$N$3:$N$4098),P25)</f>
        <v>-1</v>
      </c>
      <c r="Q26" s="4" t="b" cm="1">
        <f t="array" ref="Q26:U26">IFERROR(_xlfn.XLOOKUP(_xlfn.TEXTJOIN(,,D26:O26),Aux!$B$3:$B$4098,'Truth Table'!$O$3:$S$4098)=1,FALSE)</f>
        <v>1</v>
      </c>
      <c r="R26" s="4" t="b">
        <v>0</v>
      </c>
      <c r="S26" s="4" t="b">
        <v>0</v>
      </c>
      <c r="T26" s="4" t="b">
        <v>0</v>
      </c>
      <c r="U26" s="4" t="b">
        <v>0</v>
      </c>
      <c r="V26" s="4" t="b">
        <f>AND(_xlfn.XLOOKUP(_xlfn.TEXTJOIN(,,D26:O26),Aux!$B$3:$B$4098,'Truth Table'!$T$3:$T$4098)=1,P25&lt;='Line Follower'!$C$7)</f>
        <v>0</v>
      </c>
      <c r="W26" s="4" t="b">
        <f>AND(_xlfn.XLOOKUP(_xlfn.TEXTJOIN(,,D26:O26),Aux!$B$3:$B$4098,'Truth Table'!$U$3:$U$4098)=1,P25&gt;='Line Follower'!$C$6)</f>
        <v>0</v>
      </c>
      <c r="X26" s="4" t="b">
        <f>IFERROR(AND(_xlfn.XLOOKUP(_xlfn.TEXTJOIN(,,D26:O26),Aux!$B$3:$B$4098,'Truth Table'!$V$3:$V$4098)=1,ABS(P25)&lt;='Line Follower'!$C$6),FALSE)</f>
        <v>0</v>
      </c>
      <c r="Y26" s="4" t="b">
        <f t="shared" si="0"/>
        <v>1</v>
      </c>
    </row>
    <row r="27" spans="2:25" x14ac:dyDescent="0.25">
      <c r="B27" s="4">
        <v>24</v>
      </c>
      <c r="C27" s="4">
        <v>1</v>
      </c>
      <c r="D27" s="4">
        <v>0</v>
      </c>
      <c r="E27" s="4">
        <v>0</v>
      </c>
      <c r="F27" s="4">
        <v>0</v>
      </c>
      <c r="G27" s="4">
        <v>0</v>
      </c>
      <c r="H27" s="4">
        <v>1</v>
      </c>
      <c r="I27" s="4">
        <v>1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1</v>
      </c>
      <c r="P27" s="51">
        <f>IFERROR(_xlfn.XLOOKUP(_xlfn.TEXTJOIN(,,D26:O26),Aux!$B$3:$B$4098,'Truth Table'!$N$3:$N$4098),P26)</f>
        <v>-1</v>
      </c>
      <c r="Q27" s="4" t="b" cm="1">
        <f t="array" ref="Q27:U27">IFERROR(_xlfn.XLOOKUP(_xlfn.TEXTJOIN(,,D27:O27),Aux!$B$3:$B$4098,'Truth Table'!$O$3:$S$4098)=1,FALSE)</f>
        <v>1</v>
      </c>
      <c r="R27" s="4" t="b">
        <v>0</v>
      </c>
      <c r="S27" s="4" t="b">
        <v>0</v>
      </c>
      <c r="T27" s="4" t="b">
        <v>0</v>
      </c>
      <c r="U27" s="4" t="b">
        <v>0</v>
      </c>
      <c r="V27" s="4" t="b">
        <f>AND(_xlfn.XLOOKUP(_xlfn.TEXTJOIN(,,D27:O27),Aux!$B$3:$B$4098,'Truth Table'!$T$3:$T$4098)=1,P26&lt;='Line Follower'!$C$7)</f>
        <v>0</v>
      </c>
      <c r="W27" s="4" t="b">
        <f>AND(_xlfn.XLOOKUP(_xlfn.TEXTJOIN(,,D27:O27),Aux!$B$3:$B$4098,'Truth Table'!$U$3:$U$4098)=1,P26&gt;='Line Follower'!$C$6)</f>
        <v>0</v>
      </c>
      <c r="X27" s="4" t="b">
        <f>IFERROR(AND(_xlfn.XLOOKUP(_xlfn.TEXTJOIN(,,D27:O27),Aux!$B$3:$B$4098,'Truth Table'!$V$3:$V$4098)=1,ABS(P26)&lt;='Line Follower'!$C$6),FALSE)</f>
        <v>0</v>
      </c>
      <c r="Y27" s="4" t="b">
        <f t="shared" si="0"/>
        <v>1</v>
      </c>
    </row>
    <row r="28" spans="2:25" x14ac:dyDescent="0.25">
      <c r="B28" s="4">
        <v>25</v>
      </c>
      <c r="C28" s="4">
        <v>1</v>
      </c>
      <c r="D28" s="4">
        <v>0</v>
      </c>
      <c r="E28" s="4">
        <v>0</v>
      </c>
      <c r="F28" s="4">
        <v>0</v>
      </c>
      <c r="G28" s="4">
        <v>0</v>
      </c>
      <c r="H28" s="4">
        <v>1</v>
      </c>
      <c r="I28" s="4">
        <v>1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1</v>
      </c>
      <c r="P28" s="51">
        <f>IFERROR(_xlfn.XLOOKUP(_xlfn.TEXTJOIN(,,D27:O27),Aux!$B$3:$B$4098,'Truth Table'!$N$3:$N$4098),P27)</f>
        <v>-1</v>
      </c>
      <c r="Q28" s="4" t="b" cm="1">
        <f t="array" ref="Q28:U28">IFERROR(_xlfn.XLOOKUP(_xlfn.TEXTJOIN(,,D28:O28),Aux!$B$3:$B$4098,'Truth Table'!$O$3:$S$4098)=1,FALSE)</f>
        <v>1</v>
      </c>
      <c r="R28" s="4" t="b">
        <v>0</v>
      </c>
      <c r="S28" s="4" t="b">
        <v>0</v>
      </c>
      <c r="T28" s="4" t="b">
        <v>0</v>
      </c>
      <c r="U28" s="4" t="b">
        <v>0</v>
      </c>
      <c r="V28" s="4" t="b">
        <f>AND(_xlfn.XLOOKUP(_xlfn.TEXTJOIN(,,D28:O28),Aux!$B$3:$B$4098,'Truth Table'!$T$3:$T$4098)=1,P27&lt;='Line Follower'!$C$7)</f>
        <v>0</v>
      </c>
      <c r="W28" s="4" t="b">
        <f>AND(_xlfn.XLOOKUP(_xlfn.TEXTJOIN(,,D28:O28),Aux!$B$3:$B$4098,'Truth Table'!$U$3:$U$4098)=1,P27&gt;='Line Follower'!$C$6)</f>
        <v>0</v>
      </c>
      <c r="X28" s="4" t="b">
        <f>IFERROR(AND(_xlfn.XLOOKUP(_xlfn.TEXTJOIN(,,D28:O28),Aux!$B$3:$B$4098,'Truth Table'!$V$3:$V$4098)=1,ABS(P27)&lt;='Line Follower'!$C$6),FALSE)</f>
        <v>0</v>
      </c>
      <c r="Y28" s="4" t="b">
        <f t="shared" si="0"/>
        <v>1</v>
      </c>
    </row>
    <row r="29" spans="2:25" x14ac:dyDescent="0.25">
      <c r="B29" s="4">
        <v>26</v>
      </c>
      <c r="C29" s="4">
        <v>2</v>
      </c>
      <c r="D29" s="4">
        <v>0</v>
      </c>
      <c r="E29" s="4">
        <v>0</v>
      </c>
      <c r="F29" s="4">
        <v>0</v>
      </c>
      <c r="G29" s="4">
        <v>0</v>
      </c>
      <c r="H29" s="4">
        <v>1</v>
      </c>
      <c r="I29" s="4">
        <v>1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1</v>
      </c>
      <c r="P29" s="51">
        <f>IFERROR(_xlfn.XLOOKUP(_xlfn.TEXTJOIN(,,D28:O28),Aux!$B$3:$B$4098,'Truth Table'!$N$3:$N$4098),P28)</f>
        <v>-1</v>
      </c>
      <c r="Q29" s="4" t="b" cm="1">
        <f t="array" ref="Q29:U29">IFERROR(_xlfn.XLOOKUP(_xlfn.TEXTJOIN(,,D29:O29),Aux!$B$3:$B$4098,'Truth Table'!$O$3:$S$4098)=1,FALSE)</f>
        <v>1</v>
      </c>
      <c r="R29" s="4" t="b">
        <v>0</v>
      </c>
      <c r="S29" s="4" t="b">
        <v>0</v>
      </c>
      <c r="T29" s="4" t="b">
        <v>0</v>
      </c>
      <c r="U29" s="4" t="b">
        <v>0</v>
      </c>
      <c r="V29" s="4" t="b">
        <f>AND(_xlfn.XLOOKUP(_xlfn.TEXTJOIN(,,D29:O29),Aux!$B$3:$B$4098,'Truth Table'!$T$3:$T$4098)=1,P28&lt;='Line Follower'!$C$7)</f>
        <v>0</v>
      </c>
      <c r="W29" s="4" t="b">
        <f>AND(_xlfn.XLOOKUP(_xlfn.TEXTJOIN(,,D29:O29),Aux!$B$3:$B$4098,'Truth Table'!$U$3:$U$4098)=1,P28&gt;='Line Follower'!$C$6)</f>
        <v>0</v>
      </c>
      <c r="X29" s="4" t="b">
        <f>IFERROR(AND(_xlfn.XLOOKUP(_xlfn.TEXTJOIN(,,D29:O29),Aux!$B$3:$B$4098,'Truth Table'!$V$3:$V$4098)=1,ABS(P28)&lt;='Line Follower'!$C$6),FALSE)</f>
        <v>0</v>
      </c>
      <c r="Y29" s="4" t="b">
        <f t="shared" si="0"/>
        <v>1</v>
      </c>
    </row>
    <row r="30" spans="2:25" x14ac:dyDescent="0.25">
      <c r="B30" s="4">
        <v>27</v>
      </c>
      <c r="C30" s="4">
        <v>2</v>
      </c>
      <c r="D30" s="4">
        <v>0</v>
      </c>
      <c r="E30" s="4">
        <v>0</v>
      </c>
      <c r="F30" s="4">
        <v>0</v>
      </c>
      <c r="G30" s="4">
        <v>0</v>
      </c>
      <c r="H30" s="4">
        <v>1</v>
      </c>
      <c r="I30" s="4">
        <v>1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1</v>
      </c>
      <c r="P30" s="51">
        <f>IFERROR(_xlfn.XLOOKUP(_xlfn.TEXTJOIN(,,D29:O29),Aux!$B$3:$B$4098,'Truth Table'!$N$3:$N$4098),P29)</f>
        <v>-1</v>
      </c>
      <c r="Q30" s="4" t="b" cm="1">
        <f t="array" ref="Q30:U30">IFERROR(_xlfn.XLOOKUP(_xlfn.TEXTJOIN(,,D30:O30),Aux!$B$3:$B$4098,'Truth Table'!$O$3:$S$4098)=1,FALSE)</f>
        <v>1</v>
      </c>
      <c r="R30" s="4" t="b">
        <v>0</v>
      </c>
      <c r="S30" s="4" t="b">
        <v>0</v>
      </c>
      <c r="T30" s="4" t="b">
        <v>0</v>
      </c>
      <c r="U30" s="4" t="b">
        <v>0</v>
      </c>
      <c r="V30" s="4" t="b">
        <f>AND(_xlfn.XLOOKUP(_xlfn.TEXTJOIN(,,D30:O30),Aux!$B$3:$B$4098,'Truth Table'!$T$3:$T$4098)=1,P29&lt;='Line Follower'!$C$7)</f>
        <v>0</v>
      </c>
      <c r="W30" s="4" t="b">
        <f>AND(_xlfn.XLOOKUP(_xlfn.TEXTJOIN(,,D30:O30),Aux!$B$3:$B$4098,'Truth Table'!$U$3:$U$4098)=1,P29&gt;='Line Follower'!$C$6)</f>
        <v>0</v>
      </c>
      <c r="X30" s="4" t="b">
        <f>IFERROR(AND(_xlfn.XLOOKUP(_xlfn.TEXTJOIN(,,D30:O30),Aux!$B$3:$B$4098,'Truth Table'!$V$3:$V$4098)=1,ABS(P29)&lt;='Line Follower'!$C$6),FALSE)</f>
        <v>0</v>
      </c>
      <c r="Y30" s="4" t="b">
        <f t="shared" si="0"/>
        <v>1</v>
      </c>
    </row>
    <row r="31" spans="2:25" x14ac:dyDescent="0.25">
      <c r="B31" s="4">
        <v>28</v>
      </c>
      <c r="C31" s="4">
        <v>2</v>
      </c>
      <c r="D31" s="4">
        <v>0</v>
      </c>
      <c r="E31" s="4">
        <v>0</v>
      </c>
      <c r="F31" s="4">
        <v>0</v>
      </c>
      <c r="G31" s="4">
        <v>0</v>
      </c>
      <c r="H31" s="4">
        <v>1</v>
      </c>
      <c r="I31" s="4">
        <v>1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1</v>
      </c>
      <c r="P31" s="51">
        <f>IFERROR(_xlfn.XLOOKUP(_xlfn.TEXTJOIN(,,D30:O30),Aux!$B$3:$B$4098,'Truth Table'!$N$3:$N$4098),P30)</f>
        <v>-1</v>
      </c>
      <c r="Q31" s="4" t="b" cm="1">
        <f t="array" ref="Q31:U31">IFERROR(_xlfn.XLOOKUP(_xlfn.TEXTJOIN(,,D31:O31),Aux!$B$3:$B$4098,'Truth Table'!$O$3:$S$4098)=1,FALSE)</f>
        <v>1</v>
      </c>
      <c r="R31" s="4" t="b">
        <v>0</v>
      </c>
      <c r="S31" s="4" t="b">
        <v>0</v>
      </c>
      <c r="T31" s="4" t="b">
        <v>0</v>
      </c>
      <c r="U31" s="4" t="b">
        <v>0</v>
      </c>
      <c r="V31" s="4" t="b">
        <f>AND(_xlfn.XLOOKUP(_xlfn.TEXTJOIN(,,D31:O31),Aux!$B$3:$B$4098,'Truth Table'!$T$3:$T$4098)=1,P30&lt;='Line Follower'!$C$7)</f>
        <v>0</v>
      </c>
      <c r="W31" s="4" t="b">
        <f>AND(_xlfn.XLOOKUP(_xlfn.TEXTJOIN(,,D31:O31),Aux!$B$3:$B$4098,'Truth Table'!$U$3:$U$4098)=1,P30&gt;='Line Follower'!$C$6)</f>
        <v>0</v>
      </c>
      <c r="X31" s="4" t="b">
        <f>IFERROR(AND(_xlfn.XLOOKUP(_xlfn.TEXTJOIN(,,D31:O31),Aux!$B$3:$B$4098,'Truth Table'!$V$3:$V$4098)=1,ABS(P30)&lt;='Line Follower'!$C$6),FALSE)</f>
        <v>0</v>
      </c>
      <c r="Y31" s="4" t="b">
        <f t="shared" si="0"/>
        <v>1</v>
      </c>
    </row>
    <row r="32" spans="2:25" x14ac:dyDescent="0.25">
      <c r="B32" s="4">
        <v>29</v>
      </c>
      <c r="C32" s="4">
        <v>3</v>
      </c>
      <c r="D32" s="4">
        <v>0</v>
      </c>
      <c r="E32" s="4">
        <v>0</v>
      </c>
      <c r="F32" s="4">
        <v>0</v>
      </c>
      <c r="G32" s="4">
        <v>0</v>
      </c>
      <c r="H32" s="4">
        <v>1</v>
      </c>
      <c r="I32" s="4">
        <v>1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1</v>
      </c>
      <c r="P32" s="51">
        <f>IFERROR(_xlfn.XLOOKUP(_xlfn.TEXTJOIN(,,D31:O31),Aux!$B$3:$B$4098,'Truth Table'!$N$3:$N$4098),P31)</f>
        <v>-1</v>
      </c>
      <c r="Q32" s="4" t="b" cm="1">
        <f t="array" ref="Q32:U32">IFERROR(_xlfn.XLOOKUP(_xlfn.TEXTJOIN(,,D32:O32),Aux!$B$3:$B$4098,'Truth Table'!$O$3:$S$4098)=1,FALSE)</f>
        <v>1</v>
      </c>
      <c r="R32" s="4" t="b">
        <v>0</v>
      </c>
      <c r="S32" s="4" t="b">
        <v>0</v>
      </c>
      <c r="T32" s="4" t="b">
        <v>0</v>
      </c>
      <c r="U32" s="4" t="b">
        <v>0</v>
      </c>
      <c r="V32" s="4" t="b">
        <f>AND(_xlfn.XLOOKUP(_xlfn.TEXTJOIN(,,D32:O32),Aux!$B$3:$B$4098,'Truth Table'!$T$3:$T$4098)=1,P31&lt;='Line Follower'!$C$7)</f>
        <v>0</v>
      </c>
      <c r="W32" s="4" t="b">
        <f>AND(_xlfn.XLOOKUP(_xlfn.TEXTJOIN(,,D32:O32),Aux!$B$3:$B$4098,'Truth Table'!$U$3:$U$4098)=1,P31&gt;='Line Follower'!$C$6)</f>
        <v>0</v>
      </c>
      <c r="X32" s="4" t="b">
        <f>IFERROR(AND(_xlfn.XLOOKUP(_xlfn.TEXTJOIN(,,D32:O32),Aux!$B$3:$B$4098,'Truth Table'!$V$3:$V$4098)=1,ABS(P31)&lt;='Line Follower'!$C$6),FALSE)</f>
        <v>0</v>
      </c>
      <c r="Y32" s="4" t="b">
        <f t="shared" si="0"/>
        <v>1</v>
      </c>
    </row>
    <row r="33" spans="2:25" x14ac:dyDescent="0.25">
      <c r="B33" s="4">
        <v>30</v>
      </c>
      <c r="C33" s="4">
        <v>3</v>
      </c>
      <c r="D33" s="4">
        <v>0</v>
      </c>
      <c r="E33" s="4">
        <v>0</v>
      </c>
      <c r="F33" s="4">
        <v>0</v>
      </c>
      <c r="G33" s="4">
        <v>0</v>
      </c>
      <c r="H33" s="4">
        <v>1</v>
      </c>
      <c r="I33" s="4">
        <v>1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1</v>
      </c>
      <c r="P33" s="51">
        <f>IFERROR(_xlfn.XLOOKUP(_xlfn.TEXTJOIN(,,D32:O32),Aux!$B$3:$B$4098,'Truth Table'!$N$3:$N$4098),P32)</f>
        <v>-1</v>
      </c>
      <c r="Q33" s="4" t="b" cm="1">
        <f t="array" ref="Q33:U33">IFERROR(_xlfn.XLOOKUP(_xlfn.TEXTJOIN(,,D33:O33),Aux!$B$3:$B$4098,'Truth Table'!$O$3:$S$4098)=1,FALSE)</f>
        <v>1</v>
      </c>
      <c r="R33" s="4" t="b">
        <v>0</v>
      </c>
      <c r="S33" s="4" t="b">
        <v>0</v>
      </c>
      <c r="T33" s="4" t="b">
        <v>0</v>
      </c>
      <c r="U33" s="4" t="b">
        <v>0</v>
      </c>
      <c r="V33" s="4" t="b">
        <f>AND(_xlfn.XLOOKUP(_xlfn.TEXTJOIN(,,D33:O33),Aux!$B$3:$B$4098,'Truth Table'!$T$3:$T$4098)=1,P32&lt;='Line Follower'!$C$7)</f>
        <v>0</v>
      </c>
      <c r="W33" s="4" t="b">
        <f>AND(_xlfn.XLOOKUP(_xlfn.TEXTJOIN(,,D33:O33),Aux!$B$3:$B$4098,'Truth Table'!$U$3:$U$4098)=1,P32&gt;='Line Follower'!$C$6)</f>
        <v>0</v>
      </c>
      <c r="X33" s="4" t="b">
        <f>IFERROR(AND(_xlfn.XLOOKUP(_xlfn.TEXTJOIN(,,D33:O33),Aux!$B$3:$B$4098,'Truth Table'!$V$3:$V$4098)=1,ABS(P32)&lt;='Line Follower'!$C$6),FALSE)</f>
        <v>0</v>
      </c>
      <c r="Y33" s="4" t="b">
        <f t="shared" si="0"/>
        <v>1</v>
      </c>
    </row>
    <row r="34" spans="2:25" x14ac:dyDescent="0.25">
      <c r="B34" s="4">
        <v>31</v>
      </c>
      <c r="C34" s="4">
        <v>3</v>
      </c>
      <c r="D34" s="4">
        <v>0</v>
      </c>
      <c r="E34" s="4">
        <v>0</v>
      </c>
      <c r="F34" s="4">
        <v>0</v>
      </c>
      <c r="G34" s="4">
        <v>0</v>
      </c>
      <c r="H34" s="4">
        <v>1</v>
      </c>
      <c r="I34" s="4">
        <v>1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1</v>
      </c>
      <c r="P34" s="51">
        <f>IFERROR(_xlfn.XLOOKUP(_xlfn.TEXTJOIN(,,D33:O33),Aux!$B$3:$B$4098,'Truth Table'!$N$3:$N$4098),P33)</f>
        <v>-1</v>
      </c>
      <c r="Q34" s="4" t="b" cm="1">
        <f t="array" ref="Q34:U34">IFERROR(_xlfn.XLOOKUP(_xlfn.TEXTJOIN(,,D34:O34),Aux!$B$3:$B$4098,'Truth Table'!$O$3:$S$4098)=1,FALSE)</f>
        <v>1</v>
      </c>
      <c r="R34" s="4" t="b">
        <v>0</v>
      </c>
      <c r="S34" s="4" t="b">
        <v>0</v>
      </c>
      <c r="T34" s="4" t="b">
        <v>0</v>
      </c>
      <c r="U34" s="4" t="b">
        <v>0</v>
      </c>
      <c r="V34" s="4" t="b">
        <f>AND(_xlfn.XLOOKUP(_xlfn.TEXTJOIN(,,D34:O34),Aux!$B$3:$B$4098,'Truth Table'!$T$3:$T$4098)=1,P33&lt;='Line Follower'!$C$7)</f>
        <v>0</v>
      </c>
      <c r="W34" s="4" t="b">
        <f>AND(_xlfn.XLOOKUP(_xlfn.TEXTJOIN(,,D34:O34),Aux!$B$3:$B$4098,'Truth Table'!$U$3:$U$4098)=1,P33&gt;='Line Follower'!$C$6)</f>
        <v>0</v>
      </c>
      <c r="X34" s="4" t="b">
        <f>IFERROR(AND(_xlfn.XLOOKUP(_xlfn.TEXTJOIN(,,D34:O34),Aux!$B$3:$B$4098,'Truth Table'!$V$3:$V$4098)=1,ABS(P33)&lt;='Line Follower'!$C$6),FALSE)</f>
        <v>0</v>
      </c>
      <c r="Y34" s="4" t="b">
        <f t="shared" si="0"/>
        <v>1</v>
      </c>
    </row>
    <row r="35" spans="2:25" x14ac:dyDescent="0.25">
      <c r="B35" s="4">
        <v>32</v>
      </c>
      <c r="C35" s="4">
        <v>3</v>
      </c>
      <c r="D35" s="4">
        <v>0</v>
      </c>
      <c r="E35" s="4">
        <v>0</v>
      </c>
      <c r="F35" s="4">
        <v>0</v>
      </c>
      <c r="G35" s="4">
        <v>0</v>
      </c>
      <c r="H35" s="4">
        <v>1</v>
      </c>
      <c r="I35" s="4">
        <v>1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1</v>
      </c>
      <c r="P35" s="51">
        <f>IFERROR(_xlfn.XLOOKUP(_xlfn.TEXTJOIN(,,D34:O34),Aux!$B$3:$B$4098,'Truth Table'!$N$3:$N$4098),P34)</f>
        <v>-1</v>
      </c>
      <c r="Q35" s="4" t="b" cm="1">
        <f t="array" ref="Q35:U35">IFERROR(_xlfn.XLOOKUP(_xlfn.TEXTJOIN(,,D35:O35),Aux!$B$3:$B$4098,'Truth Table'!$O$3:$S$4098)=1,FALSE)</f>
        <v>1</v>
      </c>
      <c r="R35" s="4" t="b">
        <v>0</v>
      </c>
      <c r="S35" s="4" t="b">
        <v>0</v>
      </c>
      <c r="T35" s="4" t="b">
        <v>0</v>
      </c>
      <c r="U35" s="4" t="b">
        <v>0</v>
      </c>
      <c r="V35" s="4" t="b">
        <f>AND(_xlfn.XLOOKUP(_xlfn.TEXTJOIN(,,D35:O35),Aux!$B$3:$B$4098,'Truth Table'!$T$3:$T$4098)=1,P34&lt;='Line Follower'!$C$7)</f>
        <v>0</v>
      </c>
      <c r="W35" s="4" t="b">
        <f>AND(_xlfn.XLOOKUP(_xlfn.TEXTJOIN(,,D35:O35),Aux!$B$3:$B$4098,'Truth Table'!$U$3:$U$4098)=1,P34&gt;='Line Follower'!$C$6)</f>
        <v>0</v>
      </c>
      <c r="X35" s="4" t="b">
        <f>IFERROR(AND(_xlfn.XLOOKUP(_xlfn.TEXTJOIN(,,D35:O35),Aux!$B$3:$B$4098,'Truth Table'!$V$3:$V$4098)=1,ABS(P34)&lt;='Line Follower'!$C$6),FALSE)</f>
        <v>0</v>
      </c>
      <c r="Y35" s="4" t="b">
        <f t="shared" si="0"/>
        <v>1</v>
      </c>
    </row>
    <row r="36" spans="2:25" x14ac:dyDescent="0.25">
      <c r="B36" s="4">
        <v>33</v>
      </c>
      <c r="C36" s="4">
        <v>3</v>
      </c>
      <c r="D36" s="4">
        <v>0</v>
      </c>
      <c r="E36" s="4">
        <v>0</v>
      </c>
      <c r="F36" s="4">
        <v>0</v>
      </c>
      <c r="G36" s="4">
        <v>0</v>
      </c>
      <c r="H36" s="4">
        <v>1</v>
      </c>
      <c r="I36" s="4">
        <v>1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1</v>
      </c>
      <c r="P36" s="51">
        <f>IFERROR(_xlfn.XLOOKUP(_xlfn.TEXTJOIN(,,D35:O35),Aux!$B$3:$B$4098,'Truth Table'!$N$3:$N$4098),P35)</f>
        <v>-1</v>
      </c>
      <c r="Q36" s="4" t="b" cm="1">
        <f t="array" ref="Q36:U36">IFERROR(_xlfn.XLOOKUP(_xlfn.TEXTJOIN(,,D36:O36),Aux!$B$3:$B$4098,'Truth Table'!$O$3:$S$4098)=1,FALSE)</f>
        <v>1</v>
      </c>
      <c r="R36" s="4" t="b">
        <v>0</v>
      </c>
      <c r="S36" s="4" t="b">
        <v>0</v>
      </c>
      <c r="T36" s="4" t="b">
        <v>0</v>
      </c>
      <c r="U36" s="4" t="b">
        <v>0</v>
      </c>
      <c r="V36" s="4" t="b">
        <f>AND(_xlfn.XLOOKUP(_xlfn.TEXTJOIN(,,D36:O36),Aux!$B$3:$B$4098,'Truth Table'!$T$3:$T$4098)=1,P35&lt;='Line Follower'!$C$7)</f>
        <v>0</v>
      </c>
      <c r="W36" s="4" t="b">
        <f>AND(_xlfn.XLOOKUP(_xlfn.TEXTJOIN(,,D36:O36),Aux!$B$3:$B$4098,'Truth Table'!$U$3:$U$4098)=1,P35&gt;='Line Follower'!$C$6)</f>
        <v>0</v>
      </c>
      <c r="X36" s="4" t="b">
        <f>IFERROR(AND(_xlfn.XLOOKUP(_xlfn.TEXTJOIN(,,D36:O36),Aux!$B$3:$B$4098,'Truth Table'!$V$3:$V$4098)=1,ABS(P35)&lt;='Line Follower'!$C$6),FALSE)</f>
        <v>0</v>
      </c>
      <c r="Y36" s="4" t="b">
        <f t="shared" si="0"/>
        <v>1</v>
      </c>
    </row>
    <row r="37" spans="2:25" x14ac:dyDescent="0.25">
      <c r="B37" s="4">
        <v>34</v>
      </c>
      <c r="C37" s="4">
        <v>4</v>
      </c>
      <c r="D37" s="4">
        <v>0</v>
      </c>
      <c r="E37" s="4">
        <v>0</v>
      </c>
      <c r="F37" s="4">
        <v>0</v>
      </c>
      <c r="G37" s="4">
        <v>0</v>
      </c>
      <c r="H37" s="4">
        <v>1</v>
      </c>
      <c r="I37" s="4">
        <v>1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1</v>
      </c>
      <c r="P37" s="51">
        <f>IFERROR(_xlfn.XLOOKUP(_xlfn.TEXTJOIN(,,D36:O36),Aux!$B$3:$B$4098,'Truth Table'!$N$3:$N$4098),P36)</f>
        <v>-1</v>
      </c>
      <c r="Q37" s="4" t="b" cm="1">
        <f t="array" ref="Q37:U37">IFERROR(_xlfn.XLOOKUP(_xlfn.TEXTJOIN(,,D37:O37),Aux!$B$3:$B$4098,'Truth Table'!$O$3:$S$4098)=1,FALSE)</f>
        <v>1</v>
      </c>
      <c r="R37" s="4" t="b">
        <v>0</v>
      </c>
      <c r="S37" s="4" t="b">
        <v>0</v>
      </c>
      <c r="T37" s="4" t="b">
        <v>0</v>
      </c>
      <c r="U37" s="4" t="b">
        <v>0</v>
      </c>
      <c r="V37" s="4" t="b">
        <f>AND(_xlfn.XLOOKUP(_xlfn.TEXTJOIN(,,D37:O37),Aux!$B$3:$B$4098,'Truth Table'!$T$3:$T$4098)=1,P36&lt;='Line Follower'!$C$7)</f>
        <v>0</v>
      </c>
      <c r="W37" s="4" t="b">
        <f>AND(_xlfn.XLOOKUP(_xlfn.TEXTJOIN(,,D37:O37),Aux!$B$3:$B$4098,'Truth Table'!$U$3:$U$4098)=1,P36&gt;='Line Follower'!$C$6)</f>
        <v>0</v>
      </c>
      <c r="X37" s="4" t="b">
        <f>IFERROR(AND(_xlfn.XLOOKUP(_xlfn.TEXTJOIN(,,D37:O37),Aux!$B$3:$B$4098,'Truth Table'!$V$3:$V$4098)=1,ABS(P36)&lt;='Line Follower'!$C$6),FALSE)</f>
        <v>0</v>
      </c>
      <c r="Y37" s="4" t="b">
        <f t="shared" si="0"/>
        <v>1</v>
      </c>
    </row>
    <row r="38" spans="2:25" x14ac:dyDescent="0.25">
      <c r="B38" s="4">
        <v>35</v>
      </c>
      <c r="C38" s="4">
        <v>4</v>
      </c>
      <c r="D38" s="4">
        <v>0</v>
      </c>
      <c r="E38" s="4">
        <v>0</v>
      </c>
      <c r="F38" s="4">
        <v>0</v>
      </c>
      <c r="G38" s="4">
        <v>0</v>
      </c>
      <c r="H38" s="4">
        <v>1</v>
      </c>
      <c r="I38" s="4">
        <v>1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1</v>
      </c>
      <c r="P38" s="51">
        <f>IFERROR(_xlfn.XLOOKUP(_xlfn.TEXTJOIN(,,D37:O37),Aux!$B$3:$B$4098,'Truth Table'!$N$3:$N$4098),P37)</f>
        <v>-1</v>
      </c>
      <c r="Q38" s="4" t="b" cm="1">
        <f t="array" ref="Q38:U38">IFERROR(_xlfn.XLOOKUP(_xlfn.TEXTJOIN(,,D38:O38),Aux!$B$3:$B$4098,'Truth Table'!$O$3:$S$4098)=1,FALSE)</f>
        <v>1</v>
      </c>
      <c r="R38" s="4" t="b">
        <v>0</v>
      </c>
      <c r="S38" s="4" t="b">
        <v>0</v>
      </c>
      <c r="T38" s="4" t="b">
        <v>0</v>
      </c>
      <c r="U38" s="4" t="b">
        <v>0</v>
      </c>
      <c r="V38" s="4" t="b">
        <f>AND(_xlfn.XLOOKUP(_xlfn.TEXTJOIN(,,D38:O38),Aux!$B$3:$B$4098,'Truth Table'!$T$3:$T$4098)=1,P37&lt;='Line Follower'!$C$7)</f>
        <v>0</v>
      </c>
      <c r="W38" s="4" t="b">
        <f>AND(_xlfn.XLOOKUP(_xlfn.TEXTJOIN(,,D38:O38),Aux!$B$3:$B$4098,'Truth Table'!$U$3:$U$4098)=1,P37&gt;='Line Follower'!$C$6)</f>
        <v>0</v>
      </c>
      <c r="X38" s="4" t="b">
        <f>IFERROR(AND(_xlfn.XLOOKUP(_xlfn.TEXTJOIN(,,D38:O38),Aux!$B$3:$B$4098,'Truth Table'!$V$3:$V$4098)=1,ABS(P37)&lt;='Line Follower'!$C$6),FALSE)</f>
        <v>0</v>
      </c>
      <c r="Y38" s="4" t="b">
        <f t="shared" si="0"/>
        <v>1</v>
      </c>
    </row>
    <row r="39" spans="2:25" x14ac:dyDescent="0.25">
      <c r="B39" s="4">
        <v>36</v>
      </c>
      <c r="C39" s="4">
        <v>4</v>
      </c>
      <c r="D39" s="4">
        <v>0</v>
      </c>
      <c r="E39" s="4">
        <v>0</v>
      </c>
      <c r="F39" s="4">
        <v>0</v>
      </c>
      <c r="G39" s="4">
        <v>0</v>
      </c>
      <c r="H39" s="4">
        <v>1</v>
      </c>
      <c r="I39" s="4">
        <v>1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1</v>
      </c>
      <c r="P39" s="51">
        <f>IFERROR(_xlfn.XLOOKUP(_xlfn.TEXTJOIN(,,D38:O38),Aux!$B$3:$B$4098,'Truth Table'!$N$3:$N$4098),P38)</f>
        <v>-1</v>
      </c>
      <c r="Q39" s="4" t="b" cm="1">
        <f t="array" ref="Q39:U39">IFERROR(_xlfn.XLOOKUP(_xlfn.TEXTJOIN(,,D39:O39),Aux!$B$3:$B$4098,'Truth Table'!$O$3:$S$4098)=1,FALSE)</f>
        <v>1</v>
      </c>
      <c r="R39" s="4" t="b">
        <v>0</v>
      </c>
      <c r="S39" s="4" t="b">
        <v>0</v>
      </c>
      <c r="T39" s="4" t="b">
        <v>0</v>
      </c>
      <c r="U39" s="4" t="b">
        <v>0</v>
      </c>
      <c r="V39" s="4" t="b">
        <f>AND(_xlfn.XLOOKUP(_xlfn.TEXTJOIN(,,D39:O39),Aux!$B$3:$B$4098,'Truth Table'!$T$3:$T$4098)=1,P38&lt;='Line Follower'!$C$7)</f>
        <v>0</v>
      </c>
      <c r="W39" s="4" t="b">
        <f>AND(_xlfn.XLOOKUP(_xlfn.TEXTJOIN(,,D39:O39),Aux!$B$3:$B$4098,'Truth Table'!$U$3:$U$4098)=1,P38&gt;='Line Follower'!$C$6)</f>
        <v>0</v>
      </c>
      <c r="X39" s="4" t="b">
        <f>IFERROR(AND(_xlfn.XLOOKUP(_xlfn.TEXTJOIN(,,D39:O39),Aux!$B$3:$B$4098,'Truth Table'!$V$3:$V$4098)=1,ABS(P38)&lt;='Line Follower'!$C$6),FALSE)</f>
        <v>0</v>
      </c>
      <c r="Y39" s="4" t="b">
        <f t="shared" si="0"/>
        <v>1</v>
      </c>
    </row>
    <row r="40" spans="2:25" x14ac:dyDescent="0.25">
      <c r="B40" s="4">
        <v>37</v>
      </c>
      <c r="C40" s="4">
        <v>4</v>
      </c>
      <c r="D40" s="4">
        <v>0</v>
      </c>
      <c r="E40" s="4">
        <v>0</v>
      </c>
      <c r="F40" s="4">
        <v>0</v>
      </c>
      <c r="G40" s="4">
        <v>0</v>
      </c>
      <c r="H40" s="4">
        <v>1</v>
      </c>
      <c r="I40" s="4">
        <v>1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1</v>
      </c>
      <c r="P40" s="51">
        <f>IFERROR(_xlfn.XLOOKUP(_xlfn.TEXTJOIN(,,D39:O39),Aux!$B$3:$B$4098,'Truth Table'!$N$3:$N$4098),P39)</f>
        <v>-1</v>
      </c>
      <c r="Q40" s="4" t="b" cm="1">
        <f t="array" ref="Q40:U40">IFERROR(_xlfn.XLOOKUP(_xlfn.TEXTJOIN(,,D40:O40),Aux!$B$3:$B$4098,'Truth Table'!$O$3:$S$4098)=1,FALSE)</f>
        <v>1</v>
      </c>
      <c r="R40" s="4" t="b">
        <v>0</v>
      </c>
      <c r="S40" s="4" t="b">
        <v>0</v>
      </c>
      <c r="T40" s="4" t="b">
        <v>0</v>
      </c>
      <c r="U40" s="4" t="b">
        <v>0</v>
      </c>
      <c r="V40" s="4" t="b">
        <f>AND(_xlfn.XLOOKUP(_xlfn.TEXTJOIN(,,D40:O40),Aux!$B$3:$B$4098,'Truth Table'!$T$3:$T$4098)=1,P39&lt;='Line Follower'!$C$7)</f>
        <v>0</v>
      </c>
      <c r="W40" s="4" t="b">
        <f>AND(_xlfn.XLOOKUP(_xlfn.TEXTJOIN(,,D40:O40),Aux!$B$3:$B$4098,'Truth Table'!$U$3:$U$4098)=1,P39&gt;='Line Follower'!$C$6)</f>
        <v>0</v>
      </c>
      <c r="X40" s="4" t="b">
        <f>IFERROR(AND(_xlfn.XLOOKUP(_xlfn.TEXTJOIN(,,D40:O40),Aux!$B$3:$B$4098,'Truth Table'!$V$3:$V$4098)=1,ABS(P39)&lt;='Line Follower'!$C$6),FALSE)</f>
        <v>0</v>
      </c>
      <c r="Y40" s="4" t="b">
        <f t="shared" si="0"/>
        <v>1</v>
      </c>
    </row>
    <row r="41" spans="2:25" x14ac:dyDescent="0.25">
      <c r="B41" s="4">
        <v>38</v>
      </c>
      <c r="C41" s="4">
        <v>4</v>
      </c>
      <c r="D41" s="4">
        <v>0</v>
      </c>
      <c r="E41" s="4">
        <v>0</v>
      </c>
      <c r="F41" s="4">
        <v>0</v>
      </c>
      <c r="G41" s="4">
        <v>0</v>
      </c>
      <c r="H41" s="4">
        <v>1</v>
      </c>
      <c r="I41" s="4">
        <v>1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1</v>
      </c>
      <c r="P41" s="51">
        <f>IFERROR(_xlfn.XLOOKUP(_xlfn.TEXTJOIN(,,D40:O40),Aux!$B$3:$B$4098,'Truth Table'!$N$3:$N$4098),P40)</f>
        <v>-1</v>
      </c>
      <c r="Q41" s="4" t="b" cm="1">
        <f t="array" ref="Q41:U41">IFERROR(_xlfn.XLOOKUP(_xlfn.TEXTJOIN(,,D41:O41),Aux!$B$3:$B$4098,'Truth Table'!$O$3:$S$4098)=1,FALSE)</f>
        <v>1</v>
      </c>
      <c r="R41" s="4" t="b">
        <v>0</v>
      </c>
      <c r="S41" s="4" t="b">
        <v>0</v>
      </c>
      <c r="T41" s="4" t="b">
        <v>0</v>
      </c>
      <c r="U41" s="4" t="b">
        <v>0</v>
      </c>
      <c r="V41" s="4" t="b">
        <f>AND(_xlfn.XLOOKUP(_xlfn.TEXTJOIN(,,D41:O41),Aux!$B$3:$B$4098,'Truth Table'!$T$3:$T$4098)=1,P40&lt;='Line Follower'!$C$7)</f>
        <v>0</v>
      </c>
      <c r="W41" s="4" t="b">
        <f>AND(_xlfn.XLOOKUP(_xlfn.TEXTJOIN(,,D41:O41),Aux!$B$3:$B$4098,'Truth Table'!$U$3:$U$4098)=1,P40&gt;='Line Follower'!$C$6)</f>
        <v>0</v>
      </c>
      <c r="X41" s="4" t="b">
        <f>IFERROR(AND(_xlfn.XLOOKUP(_xlfn.TEXTJOIN(,,D41:O41),Aux!$B$3:$B$4098,'Truth Table'!$V$3:$V$4098)=1,ABS(P40)&lt;='Line Follower'!$C$6),FALSE)</f>
        <v>0</v>
      </c>
      <c r="Y41" s="4" t="b">
        <f t="shared" si="0"/>
        <v>1</v>
      </c>
    </row>
    <row r="42" spans="2:25" x14ac:dyDescent="0.25">
      <c r="B42" s="4">
        <v>39</v>
      </c>
      <c r="C42" s="4">
        <v>4</v>
      </c>
      <c r="D42" s="4">
        <v>0</v>
      </c>
      <c r="E42" s="4">
        <v>0</v>
      </c>
      <c r="F42" s="4">
        <v>0</v>
      </c>
      <c r="G42" s="4">
        <v>0</v>
      </c>
      <c r="H42" s="4">
        <v>1</v>
      </c>
      <c r="I42" s="4">
        <v>1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1</v>
      </c>
      <c r="P42" s="51">
        <f>IFERROR(_xlfn.XLOOKUP(_xlfn.TEXTJOIN(,,D41:O41),Aux!$B$3:$B$4098,'Truth Table'!$N$3:$N$4098),P41)</f>
        <v>-1</v>
      </c>
      <c r="Q42" s="4" t="b" cm="1">
        <f t="array" ref="Q42:U42">IFERROR(_xlfn.XLOOKUP(_xlfn.TEXTJOIN(,,D42:O42),Aux!$B$3:$B$4098,'Truth Table'!$O$3:$S$4098)=1,FALSE)</f>
        <v>1</v>
      </c>
      <c r="R42" s="4" t="b">
        <v>0</v>
      </c>
      <c r="S42" s="4" t="b">
        <v>0</v>
      </c>
      <c r="T42" s="4" t="b">
        <v>0</v>
      </c>
      <c r="U42" s="4" t="b">
        <v>0</v>
      </c>
      <c r="V42" s="4" t="b">
        <f>AND(_xlfn.XLOOKUP(_xlfn.TEXTJOIN(,,D42:O42),Aux!$B$3:$B$4098,'Truth Table'!$T$3:$T$4098)=1,P41&lt;='Line Follower'!$C$7)</f>
        <v>0</v>
      </c>
      <c r="W42" s="4" t="b">
        <f>AND(_xlfn.XLOOKUP(_xlfn.TEXTJOIN(,,D42:O42),Aux!$B$3:$B$4098,'Truth Table'!$U$3:$U$4098)=1,P41&gt;='Line Follower'!$C$6)</f>
        <v>0</v>
      </c>
      <c r="X42" s="4" t="b">
        <f>IFERROR(AND(_xlfn.XLOOKUP(_xlfn.TEXTJOIN(,,D42:O42),Aux!$B$3:$B$4098,'Truth Table'!$V$3:$V$4098)=1,ABS(P41)&lt;='Line Follower'!$C$6),FALSE)</f>
        <v>0</v>
      </c>
      <c r="Y42" s="4" t="b">
        <f t="shared" si="0"/>
        <v>1</v>
      </c>
    </row>
    <row r="43" spans="2:25" x14ac:dyDescent="0.25">
      <c r="B43" s="4">
        <v>40</v>
      </c>
      <c r="C43" s="4">
        <v>5</v>
      </c>
      <c r="D43" s="4">
        <v>0</v>
      </c>
      <c r="E43" s="4">
        <v>0</v>
      </c>
      <c r="F43" s="4">
        <v>0</v>
      </c>
      <c r="G43" s="4">
        <v>0</v>
      </c>
      <c r="H43" s="4">
        <v>1</v>
      </c>
      <c r="I43" s="4">
        <v>1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1</v>
      </c>
      <c r="P43" s="51">
        <f>IFERROR(_xlfn.XLOOKUP(_xlfn.TEXTJOIN(,,D42:O42),Aux!$B$3:$B$4098,'Truth Table'!$N$3:$N$4098),P42)</f>
        <v>-1</v>
      </c>
      <c r="Q43" s="4" t="b" cm="1">
        <f t="array" ref="Q43:U43">IFERROR(_xlfn.XLOOKUP(_xlfn.TEXTJOIN(,,D43:O43),Aux!$B$3:$B$4098,'Truth Table'!$O$3:$S$4098)=1,FALSE)</f>
        <v>1</v>
      </c>
      <c r="R43" s="4" t="b">
        <v>0</v>
      </c>
      <c r="S43" s="4" t="b">
        <v>0</v>
      </c>
      <c r="T43" s="4" t="b">
        <v>0</v>
      </c>
      <c r="U43" s="4" t="b">
        <v>0</v>
      </c>
      <c r="V43" s="4" t="b">
        <f>AND(_xlfn.XLOOKUP(_xlfn.TEXTJOIN(,,D43:O43),Aux!$B$3:$B$4098,'Truth Table'!$T$3:$T$4098)=1,P42&lt;='Line Follower'!$C$7)</f>
        <v>0</v>
      </c>
      <c r="W43" s="4" t="b">
        <f>AND(_xlfn.XLOOKUP(_xlfn.TEXTJOIN(,,D43:O43),Aux!$B$3:$B$4098,'Truth Table'!$U$3:$U$4098)=1,P42&gt;='Line Follower'!$C$6)</f>
        <v>0</v>
      </c>
      <c r="X43" s="4" t="b">
        <f>IFERROR(AND(_xlfn.XLOOKUP(_xlfn.TEXTJOIN(,,D43:O43),Aux!$B$3:$B$4098,'Truth Table'!$V$3:$V$4098)=1,ABS(P42)&lt;='Line Follower'!$C$6),FALSE)</f>
        <v>0</v>
      </c>
      <c r="Y43" s="4" t="b">
        <f t="shared" si="0"/>
        <v>1</v>
      </c>
    </row>
    <row r="44" spans="2:25" x14ac:dyDescent="0.25">
      <c r="B44" s="4">
        <v>41</v>
      </c>
      <c r="C44" s="4">
        <v>5</v>
      </c>
      <c r="D44" s="4">
        <v>0</v>
      </c>
      <c r="E44" s="4">
        <v>0</v>
      </c>
      <c r="F44" s="4">
        <v>0</v>
      </c>
      <c r="G44" s="4">
        <v>0</v>
      </c>
      <c r="H44" s="4">
        <v>1</v>
      </c>
      <c r="I44" s="4">
        <v>1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1</v>
      </c>
      <c r="P44" s="51">
        <f>IFERROR(_xlfn.XLOOKUP(_xlfn.TEXTJOIN(,,D43:O43),Aux!$B$3:$B$4098,'Truth Table'!$N$3:$N$4098),P43)</f>
        <v>-1</v>
      </c>
      <c r="Q44" s="4" t="b" cm="1">
        <f t="array" ref="Q44:U44">IFERROR(_xlfn.XLOOKUP(_xlfn.TEXTJOIN(,,D44:O44),Aux!$B$3:$B$4098,'Truth Table'!$O$3:$S$4098)=1,FALSE)</f>
        <v>1</v>
      </c>
      <c r="R44" s="4" t="b">
        <v>0</v>
      </c>
      <c r="S44" s="4" t="b">
        <v>0</v>
      </c>
      <c r="T44" s="4" t="b">
        <v>0</v>
      </c>
      <c r="U44" s="4" t="b">
        <v>0</v>
      </c>
      <c r="V44" s="4" t="b">
        <f>AND(_xlfn.XLOOKUP(_xlfn.TEXTJOIN(,,D44:O44),Aux!$B$3:$B$4098,'Truth Table'!$T$3:$T$4098)=1,P43&lt;='Line Follower'!$C$7)</f>
        <v>0</v>
      </c>
      <c r="W44" s="4" t="b">
        <f>AND(_xlfn.XLOOKUP(_xlfn.TEXTJOIN(,,D44:O44),Aux!$B$3:$B$4098,'Truth Table'!$U$3:$U$4098)=1,P43&gt;='Line Follower'!$C$6)</f>
        <v>0</v>
      </c>
      <c r="X44" s="4" t="b">
        <f>IFERROR(AND(_xlfn.XLOOKUP(_xlfn.TEXTJOIN(,,D44:O44),Aux!$B$3:$B$4098,'Truth Table'!$V$3:$V$4098)=1,ABS(P43)&lt;='Line Follower'!$C$6),FALSE)</f>
        <v>0</v>
      </c>
      <c r="Y44" s="4" t="b">
        <f t="shared" si="0"/>
        <v>1</v>
      </c>
    </row>
    <row r="45" spans="2:25" x14ac:dyDescent="0.25">
      <c r="B45" s="4">
        <v>42</v>
      </c>
      <c r="C45" s="4">
        <v>5</v>
      </c>
      <c r="D45" s="4">
        <v>0</v>
      </c>
      <c r="E45" s="4">
        <v>0</v>
      </c>
      <c r="F45" s="4">
        <v>0</v>
      </c>
      <c r="G45" s="4">
        <v>0</v>
      </c>
      <c r="H45" s="4">
        <v>1</v>
      </c>
      <c r="I45" s="4">
        <v>1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1</v>
      </c>
      <c r="P45" s="51">
        <f>IFERROR(_xlfn.XLOOKUP(_xlfn.TEXTJOIN(,,D44:O44),Aux!$B$3:$B$4098,'Truth Table'!$N$3:$N$4098),P44)</f>
        <v>-1</v>
      </c>
      <c r="Q45" s="4" t="b" cm="1">
        <f t="array" ref="Q45:U45">IFERROR(_xlfn.XLOOKUP(_xlfn.TEXTJOIN(,,D45:O45),Aux!$B$3:$B$4098,'Truth Table'!$O$3:$S$4098)=1,FALSE)</f>
        <v>1</v>
      </c>
      <c r="R45" s="4" t="b">
        <v>0</v>
      </c>
      <c r="S45" s="4" t="b">
        <v>0</v>
      </c>
      <c r="T45" s="4" t="b">
        <v>0</v>
      </c>
      <c r="U45" s="4" t="b">
        <v>0</v>
      </c>
      <c r="V45" s="4" t="b">
        <f>AND(_xlfn.XLOOKUP(_xlfn.TEXTJOIN(,,D45:O45),Aux!$B$3:$B$4098,'Truth Table'!$T$3:$T$4098)=1,P44&lt;='Line Follower'!$C$7)</f>
        <v>0</v>
      </c>
      <c r="W45" s="4" t="b">
        <f>AND(_xlfn.XLOOKUP(_xlfn.TEXTJOIN(,,D45:O45),Aux!$B$3:$B$4098,'Truth Table'!$U$3:$U$4098)=1,P44&gt;='Line Follower'!$C$6)</f>
        <v>0</v>
      </c>
      <c r="X45" s="4" t="b">
        <f>IFERROR(AND(_xlfn.XLOOKUP(_xlfn.TEXTJOIN(,,D45:O45),Aux!$B$3:$B$4098,'Truth Table'!$V$3:$V$4098)=1,ABS(P44)&lt;='Line Follower'!$C$6),FALSE)</f>
        <v>0</v>
      </c>
      <c r="Y45" s="4" t="b">
        <f t="shared" si="0"/>
        <v>1</v>
      </c>
    </row>
    <row r="46" spans="2:25" x14ac:dyDescent="0.25">
      <c r="B46" s="4">
        <v>43</v>
      </c>
      <c r="C46" s="4">
        <v>5</v>
      </c>
      <c r="D46" s="4">
        <v>0</v>
      </c>
      <c r="E46" s="4">
        <v>0</v>
      </c>
      <c r="F46" s="4">
        <v>0</v>
      </c>
      <c r="G46" s="4">
        <v>0</v>
      </c>
      <c r="H46" s="4">
        <v>1</v>
      </c>
      <c r="I46" s="4">
        <v>1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1</v>
      </c>
      <c r="P46" s="51">
        <f>IFERROR(_xlfn.XLOOKUP(_xlfn.TEXTJOIN(,,D45:O45),Aux!$B$3:$B$4098,'Truth Table'!$N$3:$N$4098),P45)</f>
        <v>-1</v>
      </c>
      <c r="Q46" s="4" t="b" cm="1">
        <f t="array" ref="Q46:U46">IFERROR(_xlfn.XLOOKUP(_xlfn.TEXTJOIN(,,D46:O46),Aux!$B$3:$B$4098,'Truth Table'!$O$3:$S$4098)=1,FALSE)</f>
        <v>1</v>
      </c>
      <c r="R46" s="4" t="b">
        <v>0</v>
      </c>
      <c r="S46" s="4" t="b">
        <v>0</v>
      </c>
      <c r="T46" s="4" t="b">
        <v>0</v>
      </c>
      <c r="U46" s="4" t="b">
        <v>0</v>
      </c>
      <c r="V46" s="4" t="b">
        <f>AND(_xlfn.XLOOKUP(_xlfn.TEXTJOIN(,,D46:O46),Aux!$B$3:$B$4098,'Truth Table'!$T$3:$T$4098)=1,P45&lt;='Line Follower'!$C$7)</f>
        <v>0</v>
      </c>
      <c r="W46" s="4" t="b">
        <f>AND(_xlfn.XLOOKUP(_xlfn.TEXTJOIN(,,D46:O46),Aux!$B$3:$B$4098,'Truth Table'!$U$3:$U$4098)=1,P45&gt;='Line Follower'!$C$6)</f>
        <v>0</v>
      </c>
      <c r="X46" s="4" t="b">
        <f>IFERROR(AND(_xlfn.XLOOKUP(_xlfn.TEXTJOIN(,,D46:O46),Aux!$B$3:$B$4098,'Truth Table'!$V$3:$V$4098)=1,ABS(P45)&lt;='Line Follower'!$C$6),FALSE)</f>
        <v>0</v>
      </c>
      <c r="Y46" s="4" t="b">
        <f t="shared" si="0"/>
        <v>1</v>
      </c>
    </row>
    <row r="47" spans="2:25" x14ac:dyDescent="0.25">
      <c r="B47" s="4">
        <v>44</v>
      </c>
      <c r="C47" s="4">
        <v>5</v>
      </c>
      <c r="D47" s="4">
        <v>0</v>
      </c>
      <c r="E47" s="4">
        <v>0</v>
      </c>
      <c r="F47" s="4">
        <v>0</v>
      </c>
      <c r="G47" s="4">
        <v>0</v>
      </c>
      <c r="H47" s="4">
        <v>1</v>
      </c>
      <c r="I47" s="4">
        <v>1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1</v>
      </c>
      <c r="P47" s="51">
        <f>IFERROR(_xlfn.XLOOKUP(_xlfn.TEXTJOIN(,,D46:O46),Aux!$B$3:$B$4098,'Truth Table'!$N$3:$N$4098),P46)</f>
        <v>-1</v>
      </c>
      <c r="Q47" s="4" t="b" cm="1">
        <f t="array" ref="Q47:U47">IFERROR(_xlfn.XLOOKUP(_xlfn.TEXTJOIN(,,D47:O47),Aux!$B$3:$B$4098,'Truth Table'!$O$3:$S$4098)=1,FALSE)</f>
        <v>1</v>
      </c>
      <c r="R47" s="4" t="b">
        <v>0</v>
      </c>
      <c r="S47" s="4" t="b">
        <v>0</v>
      </c>
      <c r="T47" s="4" t="b">
        <v>0</v>
      </c>
      <c r="U47" s="4" t="b">
        <v>0</v>
      </c>
      <c r="V47" s="4" t="b">
        <f>AND(_xlfn.XLOOKUP(_xlfn.TEXTJOIN(,,D47:O47),Aux!$B$3:$B$4098,'Truth Table'!$T$3:$T$4098)=1,P46&lt;='Line Follower'!$C$7)</f>
        <v>0</v>
      </c>
      <c r="W47" s="4" t="b">
        <f>AND(_xlfn.XLOOKUP(_xlfn.TEXTJOIN(,,D47:O47),Aux!$B$3:$B$4098,'Truth Table'!$U$3:$U$4098)=1,P46&gt;='Line Follower'!$C$6)</f>
        <v>0</v>
      </c>
      <c r="X47" s="4" t="b">
        <f>IFERROR(AND(_xlfn.XLOOKUP(_xlfn.TEXTJOIN(,,D47:O47),Aux!$B$3:$B$4098,'Truth Table'!$V$3:$V$4098)=1,ABS(P46)&lt;='Line Follower'!$C$6),FALSE)</f>
        <v>0</v>
      </c>
      <c r="Y47" s="4" t="b">
        <f t="shared" si="0"/>
        <v>1</v>
      </c>
    </row>
    <row r="48" spans="2:25" x14ac:dyDescent="0.25">
      <c r="B48" s="4">
        <v>45</v>
      </c>
      <c r="C48" s="4">
        <v>5</v>
      </c>
      <c r="D48" s="4">
        <v>0</v>
      </c>
      <c r="E48" s="4">
        <v>0</v>
      </c>
      <c r="F48" s="4">
        <v>0</v>
      </c>
      <c r="G48" s="4">
        <v>0</v>
      </c>
      <c r="H48" s="4">
        <v>1</v>
      </c>
      <c r="I48" s="4">
        <v>1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1</v>
      </c>
      <c r="P48" s="51">
        <f>IFERROR(_xlfn.XLOOKUP(_xlfn.TEXTJOIN(,,D47:O47),Aux!$B$3:$B$4098,'Truth Table'!$N$3:$N$4098),P47)</f>
        <v>-1</v>
      </c>
      <c r="Q48" s="4" t="b" cm="1">
        <f t="array" ref="Q48:U48">IFERROR(_xlfn.XLOOKUP(_xlfn.TEXTJOIN(,,D48:O48),Aux!$B$3:$B$4098,'Truth Table'!$O$3:$S$4098)=1,FALSE)</f>
        <v>1</v>
      </c>
      <c r="R48" s="4" t="b">
        <v>0</v>
      </c>
      <c r="S48" s="4" t="b">
        <v>0</v>
      </c>
      <c r="T48" s="4" t="b">
        <v>0</v>
      </c>
      <c r="U48" s="4" t="b">
        <v>0</v>
      </c>
      <c r="V48" s="4" t="b">
        <f>AND(_xlfn.XLOOKUP(_xlfn.TEXTJOIN(,,D48:O48),Aux!$B$3:$B$4098,'Truth Table'!$T$3:$T$4098)=1,P47&lt;='Line Follower'!$C$7)</f>
        <v>0</v>
      </c>
      <c r="W48" s="4" t="b">
        <f>AND(_xlfn.XLOOKUP(_xlfn.TEXTJOIN(,,D48:O48),Aux!$B$3:$B$4098,'Truth Table'!$U$3:$U$4098)=1,P47&gt;='Line Follower'!$C$6)</f>
        <v>0</v>
      </c>
      <c r="X48" s="4" t="b">
        <f>IFERROR(AND(_xlfn.XLOOKUP(_xlfn.TEXTJOIN(,,D48:O48),Aux!$B$3:$B$4098,'Truth Table'!$V$3:$V$4098)=1,ABS(P47)&lt;='Line Follower'!$C$6),FALSE)</f>
        <v>0</v>
      </c>
      <c r="Y48" s="4" t="b">
        <f t="shared" si="0"/>
        <v>1</v>
      </c>
    </row>
    <row r="49" spans="2:25" x14ac:dyDescent="0.25">
      <c r="B49" s="4">
        <v>46</v>
      </c>
      <c r="C49" s="4">
        <v>5</v>
      </c>
      <c r="D49" s="4">
        <v>0</v>
      </c>
      <c r="E49" s="4">
        <v>0</v>
      </c>
      <c r="F49" s="4">
        <v>0</v>
      </c>
      <c r="G49" s="4">
        <v>0</v>
      </c>
      <c r="H49" s="4">
        <v>1</v>
      </c>
      <c r="I49" s="4">
        <v>1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1</v>
      </c>
      <c r="P49" s="51">
        <f>IFERROR(_xlfn.XLOOKUP(_xlfn.TEXTJOIN(,,D48:O48),Aux!$B$3:$B$4098,'Truth Table'!$N$3:$N$4098),P48)</f>
        <v>-1</v>
      </c>
      <c r="Q49" s="4" t="b" cm="1">
        <f t="array" ref="Q49:U49">IFERROR(_xlfn.XLOOKUP(_xlfn.TEXTJOIN(,,D49:O49),Aux!$B$3:$B$4098,'Truth Table'!$O$3:$S$4098)=1,FALSE)</f>
        <v>1</v>
      </c>
      <c r="R49" s="4" t="b">
        <v>0</v>
      </c>
      <c r="S49" s="4" t="b">
        <v>0</v>
      </c>
      <c r="T49" s="4" t="b">
        <v>0</v>
      </c>
      <c r="U49" s="4" t="b">
        <v>0</v>
      </c>
      <c r="V49" s="4" t="b">
        <f>AND(_xlfn.XLOOKUP(_xlfn.TEXTJOIN(,,D49:O49),Aux!$B$3:$B$4098,'Truth Table'!$T$3:$T$4098)=1,P48&lt;='Line Follower'!$C$7)</f>
        <v>0</v>
      </c>
      <c r="W49" s="4" t="b">
        <f>AND(_xlfn.XLOOKUP(_xlfn.TEXTJOIN(,,D49:O49),Aux!$B$3:$B$4098,'Truth Table'!$U$3:$U$4098)=1,P48&gt;='Line Follower'!$C$6)</f>
        <v>0</v>
      </c>
      <c r="X49" s="4" t="b">
        <f>IFERROR(AND(_xlfn.XLOOKUP(_xlfn.TEXTJOIN(,,D49:O49),Aux!$B$3:$B$4098,'Truth Table'!$V$3:$V$4098)=1,ABS(P48)&lt;='Line Follower'!$C$6),FALSE)</f>
        <v>0</v>
      </c>
      <c r="Y49" s="4" t="b">
        <f t="shared" si="0"/>
        <v>1</v>
      </c>
    </row>
    <row r="50" spans="2:25" x14ac:dyDescent="0.25">
      <c r="B50" s="4">
        <v>47</v>
      </c>
      <c r="C50" s="4">
        <v>6</v>
      </c>
      <c r="D50" s="4">
        <v>0</v>
      </c>
      <c r="E50" s="4">
        <v>0</v>
      </c>
      <c r="F50" s="4">
        <v>0</v>
      </c>
      <c r="G50" s="4">
        <v>0</v>
      </c>
      <c r="H50" s="4">
        <v>1</v>
      </c>
      <c r="I50" s="4">
        <v>1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1</v>
      </c>
      <c r="P50" s="51">
        <f>IFERROR(_xlfn.XLOOKUP(_xlfn.TEXTJOIN(,,D49:O49),Aux!$B$3:$B$4098,'Truth Table'!$N$3:$N$4098),P49)</f>
        <v>-1</v>
      </c>
      <c r="Q50" s="4" t="b" cm="1">
        <f t="array" ref="Q50:U50">IFERROR(_xlfn.XLOOKUP(_xlfn.TEXTJOIN(,,D50:O50),Aux!$B$3:$B$4098,'Truth Table'!$O$3:$S$4098)=1,FALSE)</f>
        <v>1</v>
      </c>
      <c r="R50" s="4" t="b">
        <v>0</v>
      </c>
      <c r="S50" s="4" t="b">
        <v>0</v>
      </c>
      <c r="T50" s="4" t="b">
        <v>0</v>
      </c>
      <c r="U50" s="4" t="b">
        <v>0</v>
      </c>
      <c r="V50" s="4" t="b">
        <f>AND(_xlfn.XLOOKUP(_xlfn.TEXTJOIN(,,D50:O50),Aux!$B$3:$B$4098,'Truth Table'!$T$3:$T$4098)=1,P49&lt;='Line Follower'!$C$7)</f>
        <v>0</v>
      </c>
      <c r="W50" s="4" t="b">
        <f>AND(_xlfn.XLOOKUP(_xlfn.TEXTJOIN(,,D50:O50),Aux!$B$3:$B$4098,'Truth Table'!$U$3:$U$4098)=1,P49&gt;='Line Follower'!$C$6)</f>
        <v>0</v>
      </c>
      <c r="X50" s="4" t="b">
        <f>IFERROR(AND(_xlfn.XLOOKUP(_xlfn.TEXTJOIN(,,D50:O50),Aux!$B$3:$B$4098,'Truth Table'!$V$3:$V$4098)=1,ABS(P49)&lt;='Line Follower'!$C$6),FALSE)</f>
        <v>0</v>
      </c>
      <c r="Y50" s="4" t="b">
        <f t="shared" si="0"/>
        <v>1</v>
      </c>
    </row>
    <row r="51" spans="2:25" x14ac:dyDescent="0.25">
      <c r="B51" s="4">
        <v>48</v>
      </c>
      <c r="C51" s="4">
        <v>6</v>
      </c>
      <c r="D51" s="4">
        <v>0</v>
      </c>
      <c r="E51" s="4">
        <v>0</v>
      </c>
      <c r="F51" s="4">
        <v>0</v>
      </c>
      <c r="G51" s="4">
        <v>0</v>
      </c>
      <c r="H51" s="4">
        <v>1</v>
      </c>
      <c r="I51" s="4">
        <v>1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1</v>
      </c>
      <c r="P51" s="51">
        <f>IFERROR(_xlfn.XLOOKUP(_xlfn.TEXTJOIN(,,D50:O50),Aux!$B$3:$B$4098,'Truth Table'!$N$3:$N$4098),P50)</f>
        <v>-1</v>
      </c>
      <c r="Q51" s="4" t="b" cm="1">
        <f t="array" ref="Q51:U51">IFERROR(_xlfn.XLOOKUP(_xlfn.TEXTJOIN(,,D51:O51),Aux!$B$3:$B$4098,'Truth Table'!$O$3:$S$4098)=1,FALSE)</f>
        <v>1</v>
      </c>
      <c r="R51" s="4" t="b">
        <v>0</v>
      </c>
      <c r="S51" s="4" t="b">
        <v>0</v>
      </c>
      <c r="T51" s="4" t="b">
        <v>0</v>
      </c>
      <c r="U51" s="4" t="b">
        <v>0</v>
      </c>
      <c r="V51" s="4" t="b">
        <f>AND(_xlfn.XLOOKUP(_xlfn.TEXTJOIN(,,D51:O51),Aux!$B$3:$B$4098,'Truth Table'!$T$3:$T$4098)=1,P50&lt;='Line Follower'!$C$7)</f>
        <v>0</v>
      </c>
      <c r="W51" s="4" t="b">
        <f>AND(_xlfn.XLOOKUP(_xlfn.TEXTJOIN(,,D51:O51),Aux!$B$3:$B$4098,'Truth Table'!$U$3:$U$4098)=1,P50&gt;='Line Follower'!$C$6)</f>
        <v>0</v>
      </c>
      <c r="X51" s="4" t="b">
        <f>IFERROR(AND(_xlfn.XLOOKUP(_xlfn.TEXTJOIN(,,D51:O51),Aux!$B$3:$B$4098,'Truth Table'!$V$3:$V$4098)=1,ABS(P50)&lt;='Line Follower'!$C$6),FALSE)</f>
        <v>0</v>
      </c>
      <c r="Y51" s="4" t="b">
        <f t="shared" si="0"/>
        <v>1</v>
      </c>
    </row>
    <row r="52" spans="2:25" x14ac:dyDescent="0.25">
      <c r="B52" s="4">
        <v>49</v>
      </c>
      <c r="C52" s="4">
        <v>6</v>
      </c>
      <c r="D52" s="4">
        <v>0</v>
      </c>
      <c r="E52" s="4">
        <v>0</v>
      </c>
      <c r="F52" s="4">
        <v>0</v>
      </c>
      <c r="G52" s="4">
        <v>0</v>
      </c>
      <c r="H52" s="4">
        <v>1</v>
      </c>
      <c r="I52" s="4">
        <v>1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1</v>
      </c>
      <c r="P52" s="51">
        <f>IFERROR(_xlfn.XLOOKUP(_xlfn.TEXTJOIN(,,D51:O51),Aux!$B$3:$B$4098,'Truth Table'!$N$3:$N$4098),P51)</f>
        <v>-1</v>
      </c>
      <c r="Q52" s="4" t="b" cm="1">
        <f t="array" ref="Q52:U52">IFERROR(_xlfn.XLOOKUP(_xlfn.TEXTJOIN(,,D52:O52),Aux!$B$3:$B$4098,'Truth Table'!$O$3:$S$4098)=1,FALSE)</f>
        <v>1</v>
      </c>
      <c r="R52" s="4" t="b">
        <v>0</v>
      </c>
      <c r="S52" s="4" t="b">
        <v>0</v>
      </c>
      <c r="T52" s="4" t="b">
        <v>0</v>
      </c>
      <c r="U52" s="4" t="b">
        <v>0</v>
      </c>
      <c r="V52" s="4" t="b">
        <f>AND(_xlfn.XLOOKUP(_xlfn.TEXTJOIN(,,D52:O52),Aux!$B$3:$B$4098,'Truth Table'!$T$3:$T$4098)=1,P51&lt;='Line Follower'!$C$7)</f>
        <v>0</v>
      </c>
      <c r="W52" s="4" t="b">
        <f>AND(_xlfn.XLOOKUP(_xlfn.TEXTJOIN(,,D52:O52),Aux!$B$3:$B$4098,'Truth Table'!$U$3:$U$4098)=1,P51&gt;='Line Follower'!$C$6)</f>
        <v>0</v>
      </c>
      <c r="X52" s="4" t="b">
        <f>IFERROR(AND(_xlfn.XLOOKUP(_xlfn.TEXTJOIN(,,D52:O52),Aux!$B$3:$B$4098,'Truth Table'!$V$3:$V$4098)=1,ABS(P51)&lt;='Line Follower'!$C$6),FALSE)</f>
        <v>0</v>
      </c>
      <c r="Y52" s="4" t="b">
        <f t="shared" si="0"/>
        <v>1</v>
      </c>
    </row>
    <row r="53" spans="2:25" x14ac:dyDescent="0.25">
      <c r="B53" s="4">
        <v>50</v>
      </c>
      <c r="C53" s="4">
        <v>6</v>
      </c>
      <c r="D53" s="4">
        <v>0</v>
      </c>
      <c r="E53" s="4">
        <v>0</v>
      </c>
      <c r="F53" s="4">
        <v>0</v>
      </c>
      <c r="G53" s="4">
        <v>0</v>
      </c>
      <c r="H53" s="4">
        <v>1</v>
      </c>
      <c r="I53" s="4">
        <v>1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1</v>
      </c>
      <c r="P53" s="51">
        <f>IFERROR(_xlfn.XLOOKUP(_xlfn.TEXTJOIN(,,D52:O52),Aux!$B$3:$B$4098,'Truth Table'!$N$3:$N$4098),P52)</f>
        <v>-1</v>
      </c>
      <c r="Q53" s="4" t="b" cm="1">
        <f t="array" ref="Q53:U53">IFERROR(_xlfn.XLOOKUP(_xlfn.TEXTJOIN(,,D53:O53),Aux!$B$3:$B$4098,'Truth Table'!$O$3:$S$4098)=1,FALSE)</f>
        <v>1</v>
      </c>
      <c r="R53" s="4" t="b">
        <v>0</v>
      </c>
      <c r="S53" s="4" t="b">
        <v>0</v>
      </c>
      <c r="T53" s="4" t="b">
        <v>0</v>
      </c>
      <c r="U53" s="4" t="b">
        <v>0</v>
      </c>
      <c r="V53" s="4" t="b">
        <f>AND(_xlfn.XLOOKUP(_xlfn.TEXTJOIN(,,D53:O53),Aux!$B$3:$B$4098,'Truth Table'!$T$3:$T$4098)=1,P52&lt;='Line Follower'!$C$7)</f>
        <v>0</v>
      </c>
      <c r="W53" s="4" t="b">
        <f>AND(_xlfn.XLOOKUP(_xlfn.TEXTJOIN(,,D53:O53),Aux!$B$3:$B$4098,'Truth Table'!$U$3:$U$4098)=1,P52&gt;='Line Follower'!$C$6)</f>
        <v>0</v>
      </c>
      <c r="X53" s="4" t="b">
        <f>IFERROR(AND(_xlfn.XLOOKUP(_xlfn.TEXTJOIN(,,D53:O53),Aux!$B$3:$B$4098,'Truth Table'!$V$3:$V$4098)=1,ABS(P52)&lt;='Line Follower'!$C$6),FALSE)</f>
        <v>0</v>
      </c>
      <c r="Y53" s="4" t="b">
        <f t="shared" si="0"/>
        <v>1</v>
      </c>
    </row>
    <row r="54" spans="2:25" x14ac:dyDescent="0.25">
      <c r="B54" s="4">
        <v>51</v>
      </c>
      <c r="C54" s="4">
        <v>6</v>
      </c>
      <c r="D54" s="4">
        <v>0</v>
      </c>
      <c r="E54" s="4">
        <v>0</v>
      </c>
      <c r="F54" s="4">
        <v>0</v>
      </c>
      <c r="G54" s="4">
        <v>0</v>
      </c>
      <c r="H54" s="4">
        <v>1</v>
      </c>
      <c r="I54" s="4">
        <v>1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1</v>
      </c>
      <c r="P54" s="51">
        <f>IFERROR(_xlfn.XLOOKUP(_xlfn.TEXTJOIN(,,D53:O53),Aux!$B$3:$B$4098,'Truth Table'!$N$3:$N$4098),P53)</f>
        <v>-1</v>
      </c>
      <c r="Q54" s="4" t="b" cm="1">
        <f t="array" ref="Q54:U54">IFERROR(_xlfn.XLOOKUP(_xlfn.TEXTJOIN(,,D54:O54),Aux!$B$3:$B$4098,'Truth Table'!$O$3:$S$4098)=1,FALSE)</f>
        <v>1</v>
      </c>
      <c r="R54" s="4" t="b">
        <v>0</v>
      </c>
      <c r="S54" s="4" t="b">
        <v>0</v>
      </c>
      <c r="T54" s="4" t="b">
        <v>0</v>
      </c>
      <c r="U54" s="4" t="b">
        <v>0</v>
      </c>
      <c r="V54" s="4" t="b">
        <f>AND(_xlfn.XLOOKUP(_xlfn.TEXTJOIN(,,D54:O54),Aux!$B$3:$B$4098,'Truth Table'!$T$3:$T$4098)=1,P53&lt;='Line Follower'!$C$7)</f>
        <v>0</v>
      </c>
      <c r="W54" s="4" t="b">
        <f>AND(_xlfn.XLOOKUP(_xlfn.TEXTJOIN(,,D54:O54),Aux!$B$3:$B$4098,'Truth Table'!$U$3:$U$4098)=1,P53&gt;='Line Follower'!$C$6)</f>
        <v>0</v>
      </c>
      <c r="X54" s="4" t="b">
        <f>IFERROR(AND(_xlfn.XLOOKUP(_xlfn.TEXTJOIN(,,D54:O54),Aux!$B$3:$B$4098,'Truth Table'!$V$3:$V$4098)=1,ABS(P53)&lt;='Line Follower'!$C$6),FALSE)</f>
        <v>0</v>
      </c>
      <c r="Y54" s="4" t="b">
        <f t="shared" si="0"/>
        <v>1</v>
      </c>
    </row>
    <row r="55" spans="2:25" x14ac:dyDescent="0.25">
      <c r="B55" s="4">
        <v>52</v>
      </c>
      <c r="C55" s="4">
        <v>6</v>
      </c>
      <c r="D55" s="4">
        <v>0</v>
      </c>
      <c r="E55" s="4">
        <v>0</v>
      </c>
      <c r="F55" s="4">
        <v>0</v>
      </c>
      <c r="G55" s="4">
        <v>0</v>
      </c>
      <c r="H55" s="4">
        <v>1</v>
      </c>
      <c r="I55" s="4">
        <v>1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1</v>
      </c>
      <c r="P55" s="51">
        <f>IFERROR(_xlfn.XLOOKUP(_xlfn.TEXTJOIN(,,D54:O54),Aux!$B$3:$B$4098,'Truth Table'!$N$3:$N$4098),P54)</f>
        <v>-1</v>
      </c>
      <c r="Q55" s="4" t="b" cm="1">
        <f t="array" ref="Q55:U55">IFERROR(_xlfn.XLOOKUP(_xlfn.TEXTJOIN(,,D55:O55),Aux!$B$3:$B$4098,'Truth Table'!$O$3:$S$4098)=1,FALSE)</f>
        <v>1</v>
      </c>
      <c r="R55" s="4" t="b">
        <v>0</v>
      </c>
      <c r="S55" s="4" t="b">
        <v>0</v>
      </c>
      <c r="T55" s="4" t="b">
        <v>0</v>
      </c>
      <c r="U55" s="4" t="b">
        <v>0</v>
      </c>
      <c r="V55" s="4" t="b">
        <f>AND(_xlfn.XLOOKUP(_xlfn.TEXTJOIN(,,D55:O55),Aux!$B$3:$B$4098,'Truth Table'!$T$3:$T$4098)=1,P54&lt;='Line Follower'!$C$7)</f>
        <v>0</v>
      </c>
      <c r="W55" s="4" t="b">
        <f>AND(_xlfn.XLOOKUP(_xlfn.TEXTJOIN(,,D55:O55),Aux!$B$3:$B$4098,'Truth Table'!$U$3:$U$4098)=1,P54&gt;='Line Follower'!$C$6)</f>
        <v>0</v>
      </c>
      <c r="X55" s="4" t="b">
        <f>IFERROR(AND(_xlfn.XLOOKUP(_xlfn.TEXTJOIN(,,D55:O55),Aux!$B$3:$B$4098,'Truth Table'!$V$3:$V$4098)=1,ABS(P54)&lt;='Line Follower'!$C$6),FALSE)</f>
        <v>0</v>
      </c>
      <c r="Y55" s="4" t="b">
        <f t="shared" si="0"/>
        <v>1</v>
      </c>
    </row>
    <row r="56" spans="2:25" x14ac:dyDescent="0.25">
      <c r="B56" s="4">
        <v>53</v>
      </c>
      <c r="C56" s="4">
        <v>6</v>
      </c>
      <c r="D56" s="4">
        <v>0</v>
      </c>
      <c r="E56" s="4">
        <v>0</v>
      </c>
      <c r="F56" s="4">
        <v>0</v>
      </c>
      <c r="G56" s="4">
        <v>0</v>
      </c>
      <c r="H56" s="4">
        <v>1</v>
      </c>
      <c r="I56" s="4">
        <v>1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1</v>
      </c>
      <c r="P56" s="51">
        <f>IFERROR(_xlfn.XLOOKUP(_xlfn.TEXTJOIN(,,D55:O55),Aux!$B$3:$B$4098,'Truth Table'!$N$3:$N$4098),P55)</f>
        <v>-1</v>
      </c>
      <c r="Q56" s="4" t="b" cm="1">
        <f t="array" ref="Q56:U56">IFERROR(_xlfn.XLOOKUP(_xlfn.TEXTJOIN(,,D56:O56),Aux!$B$3:$B$4098,'Truth Table'!$O$3:$S$4098)=1,FALSE)</f>
        <v>1</v>
      </c>
      <c r="R56" s="4" t="b">
        <v>0</v>
      </c>
      <c r="S56" s="4" t="b">
        <v>0</v>
      </c>
      <c r="T56" s="4" t="b">
        <v>0</v>
      </c>
      <c r="U56" s="4" t="b">
        <v>0</v>
      </c>
      <c r="V56" s="4" t="b">
        <f>AND(_xlfn.XLOOKUP(_xlfn.TEXTJOIN(,,D56:O56),Aux!$B$3:$B$4098,'Truth Table'!$T$3:$T$4098)=1,P55&lt;='Line Follower'!$C$7)</f>
        <v>0</v>
      </c>
      <c r="W56" s="4" t="b">
        <f>AND(_xlfn.XLOOKUP(_xlfn.TEXTJOIN(,,D56:O56),Aux!$B$3:$B$4098,'Truth Table'!$U$3:$U$4098)=1,P55&gt;='Line Follower'!$C$6)</f>
        <v>0</v>
      </c>
      <c r="X56" s="4" t="b">
        <f>IFERROR(AND(_xlfn.XLOOKUP(_xlfn.TEXTJOIN(,,D56:O56),Aux!$B$3:$B$4098,'Truth Table'!$V$3:$V$4098)=1,ABS(P55)&lt;='Line Follower'!$C$6),FALSE)</f>
        <v>0</v>
      </c>
      <c r="Y56" s="4" t="b">
        <f t="shared" si="0"/>
        <v>1</v>
      </c>
    </row>
    <row r="57" spans="2:25" x14ac:dyDescent="0.25">
      <c r="B57" s="4">
        <v>54</v>
      </c>
      <c r="C57" s="4">
        <v>7</v>
      </c>
      <c r="D57" s="4">
        <v>0</v>
      </c>
      <c r="E57" s="4">
        <v>0</v>
      </c>
      <c r="F57" s="4">
        <v>0</v>
      </c>
      <c r="G57" s="4">
        <v>0</v>
      </c>
      <c r="H57" s="4">
        <v>1</v>
      </c>
      <c r="I57" s="4">
        <v>1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1</v>
      </c>
      <c r="P57" s="51">
        <f>IFERROR(_xlfn.XLOOKUP(_xlfn.TEXTJOIN(,,D56:O56),Aux!$B$3:$B$4098,'Truth Table'!$N$3:$N$4098),P56)</f>
        <v>-1</v>
      </c>
      <c r="Q57" s="4" t="b" cm="1">
        <f t="array" ref="Q57:U57">IFERROR(_xlfn.XLOOKUP(_xlfn.TEXTJOIN(,,D57:O57),Aux!$B$3:$B$4098,'Truth Table'!$O$3:$S$4098)=1,FALSE)</f>
        <v>1</v>
      </c>
      <c r="R57" s="4" t="b">
        <v>0</v>
      </c>
      <c r="S57" s="4" t="b">
        <v>0</v>
      </c>
      <c r="T57" s="4" t="b">
        <v>0</v>
      </c>
      <c r="U57" s="4" t="b">
        <v>0</v>
      </c>
      <c r="V57" s="4" t="b">
        <f>AND(_xlfn.XLOOKUP(_xlfn.TEXTJOIN(,,D57:O57),Aux!$B$3:$B$4098,'Truth Table'!$T$3:$T$4098)=1,P56&lt;='Line Follower'!$C$7)</f>
        <v>0</v>
      </c>
      <c r="W57" s="4" t="b">
        <f>AND(_xlfn.XLOOKUP(_xlfn.TEXTJOIN(,,D57:O57),Aux!$B$3:$B$4098,'Truth Table'!$U$3:$U$4098)=1,P56&gt;='Line Follower'!$C$6)</f>
        <v>0</v>
      </c>
      <c r="X57" s="4" t="b">
        <f>IFERROR(AND(_xlfn.XLOOKUP(_xlfn.TEXTJOIN(,,D57:O57),Aux!$B$3:$B$4098,'Truth Table'!$V$3:$V$4098)=1,ABS(P56)&lt;='Line Follower'!$C$6),FALSE)</f>
        <v>0</v>
      </c>
      <c r="Y57" s="4" t="b">
        <f t="shared" si="0"/>
        <v>1</v>
      </c>
    </row>
    <row r="58" spans="2:25" x14ac:dyDescent="0.25">
      <c r="B58" s="4">
        <v>55</v>
      </c>
      <c r="C58" s="4">
        <v>7</v>
      </c>
      <c r="D58" s="4">
        <v>0</v>
      </c>
      <c r="E58" s="4">
        <v>0</v>
      </c>
      <c r="F58" s="4">
        <v>0</v>
      </c>
      <c r="G58" s="4">
        <v>0</v>
      </c>
      <c r="H58" s="4">
        <v>1</v>
      </c>
      <c r="I58" s="4">
        <v>1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1</v>
      </c>
      <c r="P58" s="51">
        <f>IFERROR(_xlfn.XLOOKUP(_xlfn.TEXTJOIN(,,D57:O57),Aux!$B$3:$B$4098,'Truth Table'!$N$3:$N$4098),P57)</f>
        <v>-1</v>
      </c>
      <c r="Q58" s="4" t="b" cm="1">
        <f t="array" ref="Q58:U58">IFERROR(_xlfn.XLOOKUP(_xlfn.TEXTJOIN(,,D58:O58),Aux!$B$3:$B$4098,'Truth Table'!$O$3:$S$4098)=1,FALSE)</f>
        <v>1</v>
      </c>
      <c r="R58" s="4" t="b">
        <v>0</v>
      </c>
      <c r="S58" s="4" t="b">
        <v>0</v>
      </c>
      <c r="T58" s="4" t="b">
        <v>0</v>
      </c>
      <c r="U58" s="4" t="b">
        <v>0</v>
      </c>
      <c r="V58" s="4" t="b">
        <f>AND(_xlfn.XLOOKUP(_xlfn.TEXTJOIN(,,D58:O58),Aux!$B$3:$B$4098,'Truth Table'!$T$3:$T$4098)=1,P57&lt;='Line Follower'!$C$7)</f>
        <v>0</v>
      </c>
      <c r="W58" s="4" t="b">
        <f>AND(_xlfn.XLOOKUP(_xlfn.TEXTJOIN(,,D58:O58),Aux!$B$3:$B$4098,'Truth Table'!$U$3:$U$4098)=1,P57&gt;='Line Follower'!$C$6)</f>
        <v>0</v>
      </c>
      <c r="X58" s="4" t="b">
        <f>IFERROR(AND(_xlfn.XLOOKUP(_xlfn.TEXTJOIN(,,D58:O58),Aux!$B$3:$B$4098,'Truth Table'!$V$3:$V$4098)=1,ABS(P57)&lt;='Line Follower'!$C$6),FALSE)</f>
        <v>0</v>
      </c>
      <c r="Y58" s="4" t="b">
        <f t="shared" si="0"/>
        <v>1</v>
      </c>
    </row>
    <row r="59" spans="2:25" x14ac:dyDescent="0.25">
      <c r="B59" s="4">
        <v>56</v>
      </c>
      <c r="C59" s="4">
        <v>7</v>
      </c>
      <c r="D59" s="4">
        <v>0</v>
      </c>
      <c r="E59" s="4">
        <v>0</v>
      </c>
      <c r="F59" s="4">
        <v>0</v>
      </c>
      <c r="G59" s="4">
        <v>0</v>
      </c>
      <c r="H59" s="4">
        <v>1</v>
      </c>
      <c r="I59" s="4">
        <v>1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1</v>
      </c>
      <c r="P59" s="51">
        <f>IFERROR(_xlfn.XLOOKUP(_xlfn.TEXTJOIN(,,D58:O58),Aux!$B$3:$B$4098,'Truth Table'!$N$3:$N$4098),P58)</f>
        <v>-1</v>
      </c>
      <c r="Q59" s="4" t="b" cm="1">
        <f t="array" ref="Q59:U59">IFERROR(_xlfn.XLOOKUP(_xlfn.TEXTJOIN(,,D59:O59),Aux!$B$3:$B$4098,'Truth Table'!$O$3:$S$4098)=1,FALSE)</f>
        <v>1</v>
      </c>
      <c r="R59" s="4" t="b">
        <v>0</v>
      </c>
      <c r="S59" s="4" t="b">
        <v>0</v>
      </c>
      <c r="T59" s="4" t="b">
        <v>0</v>
      </c>
      <c r="U59" s="4" t="b">
        <v>0</v>
      </c>
      <c r="V59" s="4" t="b">
        <f>AND(_xlfn.XLOOKUP(_xlfn.TEXTJOIN(,,D59:O59),Aux!$B$3:$B$4098,'Truth Table'!$T$3:$T$4098)=1,P58&lt;='Line Follower'!$C$7)</f>
        <v>0</v>
      </c>
      <c r="W59" s="4" t="b">
        <f>AND(_xlfn.XLOOKUP(_xlfn.TEXTJOIN(,,D59:O59),Aux!$B$3:$B$4098,'Truth Table'!$U$3:$U$4098)=1,P58&gt;='Line Follower'!$C$6)</f>
        <v>0</v>
      </c>
      <c r="X59" s="4" t="b">
        <f>IFERROR(AND(_xlfn.XLOOKUP(_xlfn.TEXTJOIN(,,D59:O59),Aux!$B$3:$B$4098,'Truth Table'!$V$3:$V$4098)=1,ABS(P58)&lt;='Line Follower'!$C$6),FALSE)</f>
        <v>0</v>
      </c>
      <c r="Y59" s="4" t="b">
        <f t="shared" si="0"/>
        <v>1</v>
      </c>
    </row>
    <row r="60" spans="2:25" x14ac:dyDescent="0.25">
      <c r="B60" s="4">
        <v>57</v>
      </c>
      <c r="C60" s="4">
        <v>7</v>
      </c>
      <c r="D60" s="4">
        <v>0</v>
      </c>
      <c r="E60" s="4">
        <v>0</v>
      </c>
      <c r="F60" s="4">
        <v>0</v>
      </c>
      <c r="G60" s="4">
        <v>0</v>
      </c>
      <c r="H60" s="4">
        <v>1</v>
      </c>
      <c r="I60" s="4">
        <v>1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1</v>
      </c>
      <c r="P60" s="51">
        <f>IFERROR(_xlfn.XLOOKUP(_xlfn.TEXTJOIN(,,D59:O59),Aux!$B$3:$B$4098,'Truth Table'!$N$3:$N$4098),P59)</f>
        <v>-1</v>
      </c>
      <c r="Q60" s="4" t="b" cm="1">
        <f t="array" ref="Q60:U60">IFERROR(_xlfn.XLOOKUP(_xlfn.TEXTJOIN(,,D60:O60),Aux!$B$3:$B$4098,'Truth Table'!$O$3:$S$4098)=1,FALSE)</f>
        <v>1</v>
      </c>
      <c r="R60" s="4" t="b">
        <v>0</v>
      </c>
      <c r="S60" s="4" t="b">
        <v>0</v>
      </c>
      <c r="T60" s="4" t="b">
        <v>0</v>
      </c>
      <c r="U60" s="4" t="b">
        <v>0</v>
      </c>
      <c r="V60" s="4" t="b">
        <f>AND(_xlfn.XLOOKUP(_xlfn.TEXTJOIN(,,D60:O60),Aux!$B$3:$B$4098,'Truth Table'!$T$3:$T$4098)=1,P59&lt;='Line Follower'!$C$7)</f>
        <v>0</v>
      </c>
      <c r="W60" s="4" t="b">
        <f>AND(_xlfn.XLOOKUP(_xlfn.TEXTJOIN(,,D60:O60),Aux!$B$3:$B$4098,'Truth Table'!$U$3:$U$4098)=1,P59&gt;='Line Follower'!$C$6)</f>
        <v>0</v>
      </c>
      <c r="X60" s="4" t="b">
        <f>IFERROR(AND(_xlfn.XLOOKUP(_xlfn.TEXTJOIN(,,D60:O60),Aux!$B$3:$B$4098,'Truth Table'!$V$3:$V$4098)=1,ABS(P59)&lt;='Line Follower'!$C$6),FALSE)</f>
        <v>0</v>
      </c>
      <c r="Y60" s="4" t="b">
        <f t="shared" si="0"/>
        <v>1</v>
      </c>
    </row>
    <row r="61" spans="2:25" x14ac:dyDescent="0.25">
      <c r="B61" s="4">
        <v>58</v>
      </c>
      <c r="C61" s="4">
        <v>7</v>
      </c>
      <c r="D61" s="4">
        <v>0</v>
      </c>
      <c r="E61" s="4">
        <v>0</v>
      </c>
      <c r="F61" s="4">
        <v>0</v>
      </c>
      <c r="G61" s="4">
        <v>0</v>
      </c>
      <c r="H61" s="4">
        <v>1</v>
      </c>
      <c r="I61" s="4">
        <v>1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1</v>
      </c>
      <c r="P61" s="51">
        <f>IFERROR(_xlfn.XLOOKUP(_xlfn.TEXTJOIN(,,D60:O60),Aux!$B$3:$B$4098,'Truth Table'!$N$3:$N$4098),P60)</f>
        <v>-1</v>
      </c>
      <c r="Q61" s="4" t="b" cm="1">
        <f t="array" ref="Q61:U61">IFERROR(_xlfn.XLOOKUP(_xlfn.TEXTJOIN(,,D61:O61),Aux!$B$3:$B$4098,'Truth Table'!$O$3:$S$4098)=1,FALSE)</f>
        <v>1</v>
      </c>
      <c r="R61" s="4" t="b">
        <v>0</v>
      </c>
      <c r="S61" s="4" t="b">
        <v>0</v>
      </c>
      <c r="T61" s="4" t="b">
        <v>0</v>
      </c>
      <c r="U61" s="4" t="b">
        <v>0</v>
      </c>
      <c r="V61" s="4" t="b">
        <f>AND(_xlfn.XLOOKUP(_xlfn.TEXTJOIN(,,D61:O61),Aux!$B$3:$B$4098,'Truth Table'!$T$3:$T$4098)=1,P60&lt;='Line Follower'!$C$7)</f>
        <v>0</v>
      </c>
      <c r="W61" s="4" t="b">
        <f>AND(_xlfn.XLOOKUP(_xlfn.TEXTJOIN(,,D61:O61),Aux!$B$3:$B$4098,'Truth Table'!$U$3:$U$4098)=1,P60&gt;='Line Follower'!$C$6)</f>
        <v>0</v>
      </c>
      <c r="X61" s="4" t="b">
        <f>IFERROR(AND(_xlfn.XLOOKUP(_xlfn.TEXTJOIN(,,D61:O61),Aux!$B$3:$B$4098,'Truth Table'!$V$3:$V$4098)=1,ABS(P60)&lt;='Line Follower'!$C$6),FALSE)</f>
        <v>0</v>
      </c>
      <c r="Y61" s="4" t="b">
        <f t="shared" si="0"/>
        <v>1</v>
      </c>
    </row>
    <row r="62" spans="2:25" x14ac:dyDescent="0.25">
      <c r="B62" s="4">
        <v>59</v>
      </c>
      <c r="C62" s="4">
        <v>7</v>
      </c>
      <c r="D62" s="4">
        <v>0</v>
      </c>
      <c r="E62" s="4">
        <v>0</v>
      </c>
      <c r="F62" s="4">
        <v>0</v>
      </c>
      <c r="G62" s="4">
        <v>0</v>
      </c>
      <c r="H62" s="4">
        <v>1</v>
      </c>
      <c r="I62" s="4">
        <v>1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1</v>
      </c>
      <c r="P62" s="51">
        <f>IFERROR(_xlfn.XLOOKUP(_xlfn.TEXTJOIN(,,D61:O61),Aux!$B$3:$B$4098,'Truth Table'!$N$3:$N$4098),P61)</f>
        <v>-1</v>
      </c>
      <c r="Q62" s="4" t="b" cm="1">
        <f t="array" ref="Q62:U62">IFERROR(_xlfn.XLOOKUP(_xlfn.TEXTJOIN(,,D62:O62),Aux!$B$3:$B$4098,'Truth Table'!$O$3:$S$4098)=1,FALSE)</f>
        <v>1</v>
      </c>
      <c r="R62" s="4" t="b">
        <v>0</v>
      </c>
      <c r="S62" s="4" t="b">
        <v>0</v>
      </c>
      <c r="T62" s="4" t="b">
        <v>0</v>
      </c>
      <c r="U62" s="4" t="b">
        <v>0</v>
      </c>
      <c r="V62" s="4" t="b">
        <f>AND(_xlfn.XLOOKUP(_xlfn.TEXTJOIN(,,D62:O62),Aux!$B$3:$B$4098,'Truth Table'!$T$3:$T$4098)=1,P61&lt;='Line Follower'!$C$7)</f>
        <v>0</v>
      </c>
      <c r="W62" s="4" t="b">
        <f>AND(_xlfn.XLOOKUP(_xlfn.TEXTJOIN(,,D62:O62),Aux!$B$3:$B$4098,'Truth Table'!$U$3:$U$4098)=1,P61&gt;='Line Follower'!$C$6)</f>
        <v>0</v>
      </c>
      <c r="X62" s="4" t="b">
        <f>IFERROR(AND(_xlfn.XLOOKUP(_xlfn.TEXTJOIN(,,D62:O62),Aux!$B$3:$B$4098,'Truth Table'!$V$3:$V$4098)=1,ABS(P61)&lt;='Line Follower'!$C$6),FALSE)</f>
        <v>0</v>
      </c>
      <c r="Y62" s="4" t="b">
        <f t="shared" si="0"/>
        <v>1</v>
      </c>
    </row>
    <row r="63" spans="2:25" x14ac:dyDescent="0.25">
      <c r="B63" s="4">
        <v>60</v>
      </c>
      <c r="C63" s="4">
        <v>8</v>
      </c>
      <c r="D63" s="4">
        <v>0</v>
      </c>
      <c r="E63" s="4">
        <v>0</v>
      </c>
      <c r="F63" s="4">
        <v>0</v>
      </c>
      <c r="G63" s="4">
        <v>0</v>
      </c>
      <c r="H63" s="4">
        <v>1</v>
      </c>
      <c r="I63" s="4">
        <v>1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1</v>
      </c>
      <c r="P63" s="51">
        <f>IFERROR(_xlfn.XLOOKUP(_xlfn.TEXTJOIN(,,D62:O62),Aux!$B$3:$B$4098,'Truth Table'!$N$3:$N$4098),P62)</f>
        <v>-1</v>
      </c>
      <c r="Q63" s="4" t="b" cm="1">
        <f t="array" ref="Q63:U63">IFERROR(_xlfn.XLOOKUP(_xlfn.TEXTJOIN(,,D63:O63),Aux!$B$3:$B$4098,'Truth Table'!$O$3:$S$4098)=1,FALSE)</f>
        <v>1</v>
      </c>
      <c r="R63" s="4" t="b">
        <v>0</v>
      </c>
      <c r="S63" s="4" t="b">
        <v>0</v>
      </c>
      <c r="T63" s="4" t="b">
        <v>0</v>
      </c>
      <c r="U63" s="4" t="b">
        <v>0</v>
      </c>
      <c r="V63" s="4" t="b">
        <f>AND(_xlfn.XLOOKUP(_xlfn.TEXTJOIN(,,D63:O63),Aux!$B$3:$B$4098,'Truth Table'!$T$3:$T$4098)=1,P62&lt;='Line Follower'!$C$7)</f>
        <v>0</v>
      </c>
      <c r="W63" s="4" t="b">
        <f>AND(_xlfn.XLOOKUP(_xlfn.TEXTJOIN(,,D63:O63),Aux!$B$3:$B$4098,'Truth Table'!$U$3:$U$4098)=1,P62&gt;='Line Follower'!$C$6)</f>
        <v>0</v>
      </c>
      <c r="X63" s="4" t="b">
        <f>IFERROR(AND(_xlfn.XLOOKUP(_xlfn.TEXTJOIN(,,D63:O63),Aux!$B$3:$B$4098,'Truth Table'!$V$3:$V$4098)=1,ABS(P62)&lt;='Line Follower'!$C$6),FALSE)</f>
        <v>0</v>
      </c>
      <c r="Y63" s="4" t="b">
        <f t="shared" si="0"/>
        <v>1</v>
      </c>
    </row>
    <row r="64" spans="2:25" x14ac:dyDescent="0.25">
      <c r="B64" s="4">
        <v>61</v>
      </c>
      <c r="C64" s="4">
        <v>8</v>
      </c>
      <c r="D64" s="4">
        <v>0</v>
      </c>
      <c r="E64" s="4">
        <v>0</v>
      </c>
      <c r="F64" s="4">
        <v>0</v>
      </c>
      <c r="G64" s="4">
        <v>0</v>
      </c>
      <c r="H64" s="4">
        <v>1</v>
      </c>
      <c r="I64" s="4">
        <v>1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1</v>
      </c>
      <c r="P64" s="51">
        <f>IFERROR(_xlfn.XLOOKUP(_xlfn.TEXTJOIN(,,D63:O63),Aux!$B$3:$B$4098,'Truth Table'!$N$3:$N$4098),P63)</f>
        <v>-1</v>
      </c>
      <c r="Q64" s="4" t="b" cm="1">
        <f t="array" ref="Q64:U64">IFERROR(_xlfn.XLOOKUP(_xlfn.TEXTJOIN(,,D64:O64),Aux!$B$3:$B$4098,'Truth Table'!$O$3:$S$4098)=1,FALSE)</f>
        <v>1</v>
      </c>
      <c r="R64" s="4" t="b">
        <v>0</v>
      </c>
      <c r="S64" s="4" t="b">
        <v>0</v>
      </c>
      <c r="T64" s="4" t="b">
        <v>0</v>
      </c>
      <c r="U64" s="4" t="b">
        <v>0</v>
      </c>
      <c r="V64" s="4" t="b">
        <f>AND(_xlfn.XLOOKUP(_xlfn.TEXTJOIN(,,D64:O64),Aux!$B$3:$B$4098,'Truth Table'!$T$3:$T$4098)=1,P63&lt;='Line Follower'!$C$7)</f>
        <v>0</v>
      </c>
      <c r="W64" s="4" t="b">
        <f>AND(_xlfn.XLOOKUP(_xlfn.TEXTJOIN(,,D64:O64),Aux!$B$3:$B$4098,'Truth Table'!$U$3:$U$4098)=1,P63&gt;='Line Follower'!$C$6)</f>
        <v>0</v>
      </c>
      <c r="X64" s="4" t="b">
        <f>IFERROR(AND(_xlfn.XLOOKUP(_xlfn.TEXTJOIN(,,D64:O64),Aux!$B$3:$B$4098,'Truth Table'!$V$3:$V$4098)=1,ABS(P63)&lt;='Line Follower'!$C$6),FALSE)</f>
        <v>0</v>
      </c>
      <c r="Y64" s="4" t="b">
        <f t="shared" si="0"/>
        <v>1</v>
      </c>
    </row>
    <row r="65" spans="2:25" x14ac:dyDescent="0.25">
      <c r="B65" s="4">
        <v>62</v>
      </c>
      <c r="C65" s="4">
        <v>8</v>
      </c>
      <c r="D65" s="4">
        <v>0</v>
      </c>
      <c r="E65" s="4">
        <v>0</v>
      </c>
      <c r="F65" s="4">
        <v>0</v>
      </c>
      <c r="G65" s="4">
        <v>0</v>
      </c>
      <c r="H65" s="4">
        <v>1</v>
      </c>
      <c r="I65" s="4">
        <v>1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1</v>
      </c>
      <c r="P65" s="51">
        <f>IFERROR(_xlfn.XLOOKUP(_xlfn.TEXTJOIN(,,D64:O64),Aux!$B$3:$B$4098,'Truth Table'!$N$3:$N$4098),P64)</f>
        <v>-1</v>
      </c>
      <c r="Q65" s="4" t="b" cm="1">
        <f t="array" ref="Q65:U65">IFERROR(_xlfn.XLOOKUP(_xlfn.TEXTJOIN(,,D65:O65),Aux!$B$3:$B$4098,'Truth Table'!$O$3:$S$4098)=1,FALSE)</f>
        <v>1</v>
      </c>
      <c r="R65" s="4" t="b">
        <v>0</v>
      </c>
      <c r="S65" s="4" t="b">
        <v>0</v>
      </c>
      <c r="T65" s="4" t="b">
        <v>0</v>
      </c>
      <c r="U65" s="4" t="b">
        <v>0</v>
      </c>
      <c r="V65" s="4" t="b">
        <f>AND(_xlfn.XLOOKUP(_xlfn.TEXTJOIN(,,D65:O65),Aux!$B$3:$B$4098,'Truth Table'!$T$3:$T$4098)=1,P64&lt;='Line Follower'!$C$7)</f>
        <v>0</v>
      </c>
      <c r="W65" s="4" t="b">
        <f>AND(_xlfn.XLOOKUP(_xlfn.TEXTJOIN(,,D65:O65),Aux!$B$3:$B$4098,'Truth Table'!$U$3:$U$4098)=1,P64&gt;='Line Follower'!$C$6)</f>
        <v>0</v>
      </c>
      <c r="X65" s="4" t="b">
        <f>IFERROR(AND(_xlfn.XLOOKUP(_xlfn.TEXTJOIN(,,D65:O65),Aux!$B$3:$B$4098,'Truth Table'!$V$3:$V$4098)=1,ABS(P64)&lt;='Line Follower'!$C$6),FALSE)</f>
        <v>0</v>
      </c>
      <c r="Y65" s="4" t="b">
        <f t="shared" si="0"/>
        <v>1</v>
      </c>
    </row>
    <row r="66" spans="2:25" x14ac:dyDescent="0.25">
      <c r="B66" s="4">
        <v>63</v>
      </c>
      <c r="C66" s="4">
        <v>8</v>
      </c>
      <c r="D66" s="4">
        <v>0</v>
      </c>
      <c r="E66" s="4">
        <v>0</v>
      </c>
      <c r="F66" s="4">
        <v>0</v>
      </c>
      <c r="G66" s="4">
        <v>0</v>
      </c>
      <c r="H66" s="4">
        <v>1</v>
      </c>
      <c r="I66" s="4">
        <v>1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1</v>
      </c>
      <c r="P66" s="51">
        <f>IFERROR(_xlfn.XLOOKUP(_xlfn.TEXTJOIN(,,D65:O65),Aux!$B$3:$B$4098,'Truth Table'!$N$3:$N$4098),P65)</f>
        <v>-1</v>
      </c>
      <c r="Q66" s="4" t="b" cm="1">
        <f t="array" ref="Q66:U66">IFERROR(_xlfn.XLOOKUP(_xlfn.TEXTJOIN(,,D66:O66),Aux!$B$3:$B$4098,'Truth Table'!$O$3:$S$4098)=1,FALSE)</f>
        <v>1</v>
      </c>
      <c r="R66" s="4" t="b">
        <v>0</v>
      </c>
      <c r="S66" s="4" t="b">
        <v>0</v>
      </c>
      <c r="T66" s="4" t="b">
        <v>0</v>
      </c>
      <c r="U66" s="4" t="b">
        <v>0</v>
      </c>
      <c r="V66" s="4" t="b">
        <f>AND(_xlfn.XLOOKUP(_xlfn.TEXTJOIN(,,D66:O66),Aux!$B$3:$B$4098,'Truth Table'!$T$3:$T$4098)=1,P65&lt;='Line Follower'!$C$7)</f>
        <v>0</v>
      </c>
      <c r="W66" s="4" t="b">
        <f>AND(_xlfn.XLOOKUP(_xlfn.TEXTJOIN(,,D66:O66),Aux!$B$3:$B$4098,'Truth Table'!$U$3:$U$4098)=1,P65&gt;='Line Follower'!$C$6)</f>
        <v>0</v>
      </c>
      <c r="X66" s="4" t="b">
        <f>IFERROR(AND(_xlfn.XLOOKUP(_xlfn.TEXTJOIN(,,D66:O66),Aux!$B$3:$B$4098,'Truth Table'!$V$3:$V$4098)=1,ABS(P65)&lt;='Line Follower'!$C$6),FALSE)</f>
        <v>0</v>
      </c>
      <c r="Y66" s="4" t="b">
        <f t="shared" si="0"/>
        <v>1</v>
      </c>
    </row>
    <row r="67" spans="2:25" x14ac:dyDescent="0.25">
      <c r="B67" s="4">
        <v>64</v>
      </c>
      <c r="C67" s="4">
        <v>8</v>
      </c>
      <c r="D67" s="4">
        <v>0</v>
      </c>
      <c r="E67" s="4">
        <v>0</v>
      </c>
      <c r="F67" s="4">
        <v>0</v>
      </c>
      <c r="G67" s="4">
        <v>0</v>
      </c>
      <c r="H67" s="4">
        <v>1</v>
      </c>
      <c r="I67" s="4">
        <v>1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1</v>
      </c>
      <c r="P67" s="51">
        <f>IFERROR(_xlfn.XLOOKUP(_xlfn.TEXTJOIN(,,D66:O66),Aux!$B$3:$B$4098,'Truth Table'!$N$3:$N$4098),P66)</f>
        <v>-1</v>
      </c>
      <c r="Q67" s="4" t="b" cm="1">
        <f t="array" ref="Q67:U67">IFERROR(_xlfn.XLOOKUP(_xlfn.TEXTJOIN(,,D67:O67),Aux!$B$3:$B$4098,'Truth Table'!$O$3:$S$4098)=1,FALSE)</f>
        <v>1</v>
      </c>
      <c r="R67" s="4" t="b">
        <v>0</v>
      </c>
      <c r="S67" s="4" t="b">
        <v>0</v>
      </c>
      <c r="T67" s="4" t="b">
        <v>0</v>
      </c>
      <c r="U67" s="4" t="b">
        <v>0</v>
      </c>
      <c r="V67" s="4" t="b">
        <f>AND(_xlfn.XLOOKUP(_xlfn.TEXTJOIN(,,D67:O67),Aux!$B$3:$B$4098,'Truth Table'!$T$3:$T$4098)=1,P66&lt;='Line Follower'!$C$7)</f>
        <v>0</v>
      </c>
      <c r="W67" s="4" t="b">
        <f>AND(_xlfn.XLOOKUP(_xlfn.TEXTJOIN(,,D67:O67),Aux!$B$3:$B$4098,'Truth Table'!$U$3:$U$4098)=1,P66&gt;='Line Follower'!$C$6)</f>
        <v>0</v>
      </c>
      <c r="X67" s="4" t="b">
        <f>IFERROR(AND(_xlfn.XLOOKUP(_xlfn.TEXTJOIN(,,D67:O67),Aux!$B$3:$B$4098,'Truth Table'!$V$3:$V$4098)=1,ABS(P66)&lt;='Line Follower'!$C$6),FALSE)</f>
        <v>0</v>
      </c>
      <c r="Y67" s="4" t="b">
        <f t="shared" si="0"/>
        <v>1</v>
      </c>
    </row>
    <row r="68" spans="2:25" x14ac:dyDescent="0.25">
      <c r="B68" s="4">
        <v>65</v>
      </c>
      <c r="C68" s="4">
        <v>8</v>
      </c>
      <c r="D68" s="4">
        <v>0</v>
      </c>
      <c r="E68" s="4">
        <v>0</v>
      </c>
      <c r="F68" s="4">
        <v>0</v>
      </c>
      <c r="G68" s="4">
        <v>0</v>
      </c>
      <c r="H68" s="4">
        <v>1</v>
      </c>
      <c r="I68" s="4">
        <v>1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1</v>
      </c>
      <c r="P68" s="51">
        <f>IFERROR(_xlfn.XLOOKUP(_xlfn.TEXTJOIN(,,D67:O67),Aux!$B$3:$B$4098,'Truth Table'!$N$3:$N$4098),P67)</f>
        <v>-1</v>
      </c>
      <c r="Q68" s="4" t="b" cm="1">
        <f t="array" ref="Q68:U68">IFERROR(_xlfn.XLOOKUP(_xlfn.TEXTJOIN(,,D68:O68),Aux!$B$3:$B$4098,'Truth Table'!$O$3:$S$4098)=1,FALSE)</f>
        <v>1</v>
      </c>
      <c r="R68" s="4" t="b">
        <v>0</v>
      </c>
      <c r="S68" s="4" t="b">
        <v>0</v>
      </c>
      <c r="T68" s="4" t="b">
        <v>0</v>
      </c>
      <c r="U68" s="4" t="b">
        <v>0</v>
      </c>
      <c r="V68" s="4" t="b">
        <f>AND(_xlfn.XLOOKUP(_xlfn.TEXTJOIN(,,D68:O68),Aux!$B$3:$B$4098,'Truth Table'!$T$3:$T$4098)=1,P67&lt;='Line Follower'!$C$7)</f>
        <v>0</v>
      </c>
      <c r="W68" s="4" t="b">
        <f>AND(_xlfn.XLOOKUP(_xlfn.TEXTJOIN(,,D68:O68),Aux!$B$3:$B$4098,'Truth Table'!$U$3:$U$4098)=1,P67&gt;='Line Follower'!$C$6)</f>
        <v>0</v>
      </c>
      <c r="X68" s="4" t="b">
        <f>IFERROR(AND(_xlfn.XLOOKUP(_xlfn.TEXTJOIN(,,D68:O68),Aux!$B$3:$B$4098,'Truth Table'!$V$3:$V$4098)=1,ABS(P67)&lt;='Line Follower'!$C$6),FALSE)</f>
        <v>0</v>
      </c>
      <c r="Y68" s="4" t="b">
        <f t="shared" ref="Y68:Y131" si="1">OR(Q68:X68)</f>
        <v>1</v>
      </c>
    </row>
    <row r="69" spans="2:25" x14ac:dyDescent="0.25">
      <c r="B69" s="4">
        <v>66</v>
      </c>
      <c r="C69" s="4">
        <v>9</v>
      </c>
      <c r="D69" s="4">
        <v>0</v>
      </c>
      <c r="E69" s="4">
        <v>0</v>
      </c>
      <c r="F69" s="4">
        <v>0</v>
      </c>
      <c r="G69" s="4">
        <v>0</v>
      </c>
      <c r="H69" s="4">
        <v>1</v>
      </c>
      <c r="I69" s="4">
        <v>1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1</v>
      </c>
      <c r="P69" s="51">
        <f>IFERROR(_xlfn.XLOOKUP(_xlfn.TEXTJOIN(,,D68:O68),Aux!$B$3:$B$4098,'Truth Table'!$N$3:$N$4098),P68)</f>
        <v>-1</v>
      </c>
      <c r="Q69" s="4" t="b" cm="1">
        <f t="array" ref="Q69:U69">IFERROR(_xlfn.XLOOKUP(_xlfn.TEXTJOIN(,,D69:O69),Aux!$B$3:$B$4098,'Truth Table'!$O$3:$S$4098)=1,FALSE)</f>
        <v>1</v>
      </c>
      <c r="R69" s="4" t="b">
        <v>0</v>
      </c>
      <c r="S69" s="4" t="b">
        <v>0</v>
      </c>
      <c r="T69" s="4" t="b">
        <v>0</v>
      </c>
      <c r="U69" s="4" t="b">
        <v>0</v>
      </c>
      <c r="V69" s="4" t="b">
        <f>AND(_xlfn.XLOOKUP(_xlfn.TEXTJOIN(,,D69:O69),Aux!$B$3:$B$4098,'Truth Table'!$T$3:$T$4098)=1,P68&lt;='Line Follower'!$C$7)</f>
        <v>0</v>
      </c>
      <c r="W69" s="4" t="b">
        <f>AND(_xlfn.XLOOKUP(_xlfn.TEXTJOIN(,,D69:O69),Aux!$B$3:$B$4098,'Truth Table'!$U$3:$U$4098)=1,P68&gt;='Line Follower'!$C$6)</f>
        <v>0</v>
      </c>
      <c r="X69" s="4" t="b">
        <f>IFERROR(AND(_xlfn.XLOOKUP(_xlfn.TEXTJOIN(,,D69:O69),Aux!$B$3:$B$4098,'Truth Table'!$V$3:$V$4098)=1,ABS(P68)&lt;='Line Follower'!$C$6),FALSE)</f>
        <v>0</v>
      </c>
      <c r="Y69" s="4" t="b">
        <f t="shared" si="1"/>
        <v>1</v>
      </c>
    </row>
    <row r="70" spans="2:25" x14ac:dyDescent="0.25">
      <c r="B70" s="4">
        <v>67</v>
      </c>
      <c r="C70" s="4">
        <v>9</v>
      </c>
      <c r="D70" s="4">
        <v>0</v>
      </c>
      <c r="E70" s="4">
        <v>0</v>
      </c>
      <c r="F70" s="4">
        <v>0</v>
      </c>
      <c r="G70" s="4">
        <v>0</v>
      </c>
      <c r="H70" s="4">
        <v>1</v>
      </c>
      <c r="I70" s="4">
        <v>1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1</v>
      </c>
      <c r="P70" s="51">
        <f>IFERROR(_xlfn.XLOOKUP(_xlfn.TEXTJOIN(,,D69:O69),Aux!$B$3:$B$4098,'Truth Table'!$N$3:$N$4098),P69)</f>
        <v>-1</v>
      </c>
      <c r="Q70" s="4" t="b" cm="1">
        <f t="array" ref="Q70:U70">IFERROR(_xlfn.XLOOKUP(_xlfn.TEXTJOIN(,,D70:O70),Aux!$B$3:$B$4098,'Truth Table'!$O$3:$S$4098)=1,FALSE)</f>
        <v>1</v>
      </c>
      <c r="R70" s="4" t="b">
        <v>0</v>
      </c>
      <c r="S70" s="4" t="b">
        <v>0</v>
      </c>
      <c r="T70" s="4" t="b">
        <v>0</v>
      </c>
      <c r="U70" s="4" t="b">
        <v>0</v>
      </c>
      <c r="V70" s="4" t="b">
        <f>AND(_xlfn.XLOOKUP(_xlfn.TEXTJOIN(,,D70:O70),Aux!$B$3:$B$4098,'Truth Table'!$T$3:$T$4098)=1,P69&lt;='Line Follower'!$C$7)</f>
        <v>0</v>
      </c>
      <c r="W70" s="4" t="b">
        <f>AND(_xlfn.XLOOKUP(_xlfn.TEXTJOIN(,,D70:O70),Aux!$B$3:$B$4098,'Truth Table'!$U$3:$U$4098)=1,P69&gt;='Line Follower'!$C$6)</f>
        <v>0</v>
      </c>
      <c r="X70" s="4" t="b">
        <f>IFERROR(AND(_xlfn.XLOOKUP(_xlfn.TEXTJOIN(,,D70:O70),Aux!$B$3:$B$4098,'Truth Table'!$V$3:$V$4098)=1,ABS(P69)&lt;='Line Follower'!$C$6),FALSE)</f>
        <v>0</v>
      </c>
      <c r="Y70" s="4" t="b">
        <f t="shared" si="1"/>
        <v>1</v>
      </c>
    </row>
    <row r="71" spans="2:25" x14ac:dyDescent="0.25">
      <c r="B71" s="4">
        <v>68</v>
      </c>
      <c r="C71" s="4">
        <v>9</v>
      </c>
      <c r="D71" s="4">
        <v>0</v>
      </c>
      <c r="E71" s="4">
        <v>0</v>
      </c>
      <c r="F71" s="4">
        <v>0</v>
      </c>
      <c r="G71" s="4">
        <v>0</v>
      </c>
      <c r="H71" s="4">
        <v>1</v>
      </c>
      <c r="I71" s="4">
        <v>1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1</v>
      </c>
      <c r="P71" s="51">
        <f>IFERROR(_xlfn.XLOOKUP(_xlfn.TEXTJOIN(,,D70:O70),Aux!$B$3:$B$4098,'Truth Table'!$N$3:$N$4098),P70)</f>
        <v>-1</v>
      </c>
      <c r="Q71" s="4" t="b" cm="1">
        <f t="array" ref="Q71:U71">IFERROR(_xlfn.XLOOKUP(_xlfn.TEXTJOIN(,,D71:O71),Aux!$B$3:$B$4098,'Truth Table'!$O$3:$S$4098)=1,FALSE)</f>
        <v>1</v>
      </c>
      <c r="R71" s="4" t="b">
        <v>0</v>
      </c>
      <c r="S71" s="4" t="b">
        <v>0</v>
      </c>
      <c r="T71" s="4" t="b">
        <v>0</v>
      </c>
      <c r="U71" s="4" t="b">
        <v>0</v>
      </c>
      <c r="V71" s="4" t="b">
        <f>AND(_xlfn.XLOOKUP(_xlfn.TEXTJOIN(,,D71:O71),Aux!$B$3:$B$4098,'Truth Table'!$T$3:$T$4098)=1,P70&lt;='Line Follower'!$C$7)</f>
        <v>0</v>
      </c>
      <c r="W71" s="4" t="b">
        <f>AND(_xlfn.XLOOKUP(_xlfn.TEXTJOIN(,,D71:O71),Aux!$B$3:$B$4098,'Truth Table'!$U$3:$U$4098)=1,P70&gt;='Line Follower'!$C$6)</f>
        <v>0</v>
      </c>
      <c r="X71" s="4" t="b">
        <f>IFERROR(AND(_xlfn.XLOOKUP(_xlfn.TEXTJOIN(,,D71:O71),Aux!$B$3:$B$4098,'Truth Table'!$V$3:$V$4098)=1,ABS(P70)&lt;='Line Follower'!$C$6),FALSE)</f>
        <v>0</v>
      </c>
      <c r="Y71" s="4" t="b">
        <f t="shared" si="1"/>
        <v>1</v>
      </c>
    </row>
    <row r="72" spans="2:25" x14ac:dyDescent="0.25">
      <c r="B72" s="4">
        <v>69</v>
      </c>
      <c r="C72" s="4">
        <v>9</v>
      </c>
      <c r="D72" s="4">
        <v>0</v>
      </c>
      <c r="E72" s="4">
        <v>0</v>
      </c>
      <c r="F72" s="4">
        <v>0</v>
      </c>
      <c r="G72" s="4">
        <v>0</v>
      </c>
      <c r="H72" s="4">
        <v>1</v>
      </c>
      <c r="I72" s="4">
        <v>1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1</v>
      </c>
      <c r="P72" s="51">
        <f>IFERROR(_xlfn.XLOOKUP(_xlfn.TEXTJOIN(,,D71:O71),Aux!$B$3:$B$4098,'Truth Table'!$N$3:$N$4098),P71)</f>
        <v>-1</v>
      </c>
      <c r="Q72" s="4" t="b" cm="1">
        <f t="array" ref="Q72:U72">IFERROR(_xlfn.XLOOKUP(_xlfn.TEXTJOIN(,,D72:O72),Aux!$B$3:$B$4098,'Truth Table'!$O$3:$S$4098)=1,FALSE)</f>
        <v>1</v>
      </c>
      <c r="R72" s="4" t="b">
        <v>0</v>
      </c>
      <c r="S72" s="4" t="b">
        <v>0</v>
      </c>
      <c r="T72" s="4" t="b">
        <v>0</v>
      </c>
      <c r="U72" s="4" t="b">
        <v>0</v>
      </c>
      <c r="V72" s="4" t="b">
        <f>AND(_xlfn.XLOOKUP(_xlfn.TEXTJOIN(,,D72:O72),Aux!$B$3:$B$4098,'Truth Table'!$T$3:$T$4098)=1,P71&lt;='Line Follower'!$C$7)</f>
        <v>0</v>
      </c>
      <c r="W72" s="4" t="b">
        <f>AND(_xlfn.XLOOKUP(_xlfn.TEXTJOIN(,,D72:O72),Aux!$B$3:$B$4098,'Truth Table'!$U$3:$U$4098)=1,P71&gt;='Line Follower'!$C$6)</f>
        <v>0</v>
      </c>
      <c r="X72" s="4" t="b">
        <f>IFERROR(AND(_xlfn.XLOOKUP(_xlfn.TEXTJOIN(,,D72:O72),Aux!$B$3:$B$4098,'Truth Table'!$V$3:$V$4098)=1,ABS(P71)&lt;='Line Follower'!$C$6),FALSE)</f>
        <v>0</v>
      </c>
      <c r="Y72" s="4" t="b">
        <f t="shared" si="1"/>
        <v>1</v>
      </c>
    </row>
    <row r="73" spans="2:25" x14ac:dyDescent="0.25">
      <c r="B73" s="4">
        <v>70</v>
      </c>
      <c r="C73" s="4">
        <v>9</v>
      </c>
      <c r="D73" s="4">
        <v>0</v>
      </c>
      <c r="E73" s="4">
        <v>0</v>
      </c>
      <c r="F73" s="4">
        <v>0</v>
      </c>
      <c r="G73" s="4">
        <v>0</v>
      </c>
      <c r="H73" s="4">
        <v>1</v>
      </c>
      <c r="I73" s="4">
        <v>1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1</v>
      </c>
      <c r="P73" s="51">
        <f>IFERROR(_xlfn.XLOOKUP(_xlfn.TEXTJOIN(,,D72:O72),Aux!$B$3:$B$4098,'Truth Table'!$N$3:$N$4098),P72)</f>
        <v>-1</v>
      </c>
      <c r="Q73" s="4" t="b" cm="1">
        <f t="array" ref="Q73:U73">IFERROR(_xlfn.XLOOKUP(_xlfn.TEXTJOIN(,,D73:O73),Aux!$B$3:$B$4098,'Truth Table'!$O$3:$S$4098)=1,FALSE)</f>
        <v>1</v>
      </c>
      <c r="R73" s="4" t="b">
        <v>0</v>
      </c>
      <c r="S73" s="4" t="b">
        <v>0</v>
      </c>
      <c r="T73" s="4" t="b">
        <v>0</v>
      </c>
      <c r="U73" s="4" t="b">
        <v>0</v>
      </c>
      <c r="V73" s="4" t="b">
        <f>AND(_xlfn.XLOOKUP(_xlfn.TEXTJOIN(,,D73:O73),Aux!$B$3:$B$4098,'Truth Table'!$T$3:$T$4098)=1,P72&lt;='Line Follower'!$C$7)</f>
        <v>0</v>
      </c>
      <c r="W73" s="4" t="b">
        <f>AND(_xlfn.XLOOKUP(_xlfn.TEXTJOIN(,,D73:O73),Aux!$B$3:$B$4098,'Truth Table'!$U$3:$U$4098)=1,P72&gt;='Line Follower'!$C$6)</f>
        <v>0</v>
      </c>
      <c r="X73" s="4" t="b">
        <f>IFERROR(AND(_xlfn.XLOOKUP(_xlfn.TEXTJOIN(,,D73:O73),Aux!$B$3:$B$4098,'Truth Table'!$V$3:$V$4098)=1,ABS(P72)&lt;='Line Follower'!$C$6),FALSE)</f>
        <v>0</v>
      </c>
      <c r="Y73" s="4" t="b">
        <f t="shared" si="1"/>
        <v>1</v>
      </c>
    </row>
    <row r="74" spans="2:25" x14ac:dyDescent="0.25">
      <c r="B74" s="4">
        <v>71</v>
      </c>
      <c r="C74" s="4">
        <v>9</v>
      </c>
      <c r="D74" s="4">
        <v>0</v>
      </c>
      <c r="E74" s="4">
        <v>0</v>
      </c>
      <c r="F74" s="4">
        <v>0</v>
      </c>
      <c r="G74" s="4">
        <v>0</v>
      </c>
      <c r="H74" s="4">
        <v>1</v>
      </c>
      <c r="I74" s="4">
        <v>1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1</v>
      </c>
      <c r="P74" s="51">
        <f>IFERROR(_xlfn.XLOOKUP(_xlfn.TEXTJOIN(,,D73:O73),Aux!$B$3:$B$4098,'Truth Table'!$N$3:$N$4098),P73)</f>
        <v>-1</v>
      </c>
      <c r="Q74" s="4" t="b" cm="1">
        <f t="array" ref="Q74:U74">IFERROR(_xlfn.XLOOKUP(_xlfn.TEXTJOIN(,,D74:O74),Aux!$B$3:$B$4098,'Truth Table'!$O$3:$S$4098)=1,FALSE)</f>
        <v>1</v>
      </c>
      <c r="R74" s="4" t="b">
        <v>0</v>
      </c>
      <c r="S74" s="4" t="b">
        <v>0</v>
      </c>
      <c r="T74" s="4" t="b">
        <v>0</v>
      </c>
      <c r="U74" s="4" t="b">
        <v>0</v>
      </c>
      <c r="V74" s="4" t="b">
        <f>AND(_xlfn.XLOOKUP(_xlfn.TEXTJOIN(,,D74:O74),Aux!$B$3:$B$4098,'Truth Table'!$T$3:$T$4098)=1,P73&lt;='Line Follower'!$C$7)</f>
        <v>0</v>
      </c>
      <c r="W74" s="4" t="b">
        <f>AND(_xlfn.XLOOKUP(_xlfn.TEXTJOIN(,,D74:O74),Aux!$B$3:$B$4098,'Truth Table'!$U$3:$U$4098)=1,P73&gt;='Line Follower'!$C$6)</f>
        <v>0</v>
      </c>
      <c r="X74" s="4" t="b">
        <f>IFERROR(AND(_xlfn.XLOOKUP(_xlfn.TEXTJOIN(,,D74:O74),Aux!$B$3:$B$4098,'Truth Table'!$V$3:$V$4098)=1,ABS(P73)&lt;='Line Follower'!$C$6),FALSE)</f>
        <v>0</v>
      </c>
      <c r="Y74" s="4" t="b">
        <f t="shared" si="1"/>
        <v>1</v>
      </c>
    </row>
    <row r="75" spans="2:25" x14ac:dyDescent="0.25">
      <c r="B75" s="4">
        <v>72</v>
      </c>
      <c r="C75" s="4">
        <v>10</v>
      </c>
      <c r="D75" s="4">
        <v>0</v>
      </c>
      <c r="E75" s="4">
        <v>0</v>
      </c>
      <c r="F75" s="4">
        <v>0</v>
      </c>
      <c r="G75" s="4">
        <v>0</v>
      </c>
      <c r="H75" s="4">
        <v>1</v>
      </c>
      <c r="I75" s="4">
        <v>1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1</v>
      </c>
      <c r="P75" s="51">
        <f>IFERROR(_xlfn.XLOOKUP(_xlfn.TEXTJOIN(,,D74:O74),Aux!$B$3:$B$4098,'Truth Table'!$N$3:$N$4098),P74)</f>
        <v>-1</v>
      </c>
      <c r="Q75" s="4" t="b" cm="1">
        <f t="array" ref="Q75:U75">IFERROR(_xlfn.XLOOKUP(_xlfn.TEXTJOIN(,,D75:O75),Aux!$B$3:$B$4098,'Truth Table'!$O$3:$S$4098)=1,FALSE)</f>
        <v>1</v>
      </c>
      <c r="R75" s="4" t="b">
        <v>0</v>
      </c>
      <c r="S75" s="4" t="b">
        <v>0</v>
      </c>
      <c r="T75" s="4" t="b">
        <v>0</v>
      </c>
      <c r="U75" s="4" t="b">
        <v>0</v>
      </c>
      <c r="V75" s="4" t="b">
        <f>AND(_xlfn.XLOOKUP(_xlfn.TEXTJOIN(,,D75:O75),Aux!$B$3:$B$4098,'Truth Table'!$T$3:$T$4098)=1,P74&lt;='Line Follower'!$C$7)</f>
        <v>0</v>
      </c>
      <c r="W75" s="4" t="b">
        <f>AND(_xlfn.XLOOKUP(_xlfn.TEXTJOIN(,,D75:O75),Aux!$B$3:$B$4098,'Truth Table'!$U$3:$U$4098)=1,P74&gt;='Line Follower'!$C$6)</f>
        <v>0</v>
      </c>
      <c r="X75" s="4" t="b">
        <f>IFERROR(AND(_xlfn.XLOOKUP(_xlfn.TEXTJOIN(,,D75:O75),Aux!$B$3:$B$4098,'Truth Table'!$V$3:$V$4098)=1,ABS(P74)&lt;='Line Follower'!$C$6),FALSE)</f>
        <v>0</v>
      </c>
      <c r="Y75" s="4" t="b">
        <f t="shared" si="1"/>
        <v>1</v>
      </c>
    </row>
    <row r="76" spans="2:25" x14ac:dyDescent="0.25">
      <c r="B76" s="4">
        <v>73</v>
      </c>
      <c r="C76" s="4">
        <v>10</v>
      </c>
      <c r="D76" s="4">
        <v>0</v>
      </c>
      <c r="E76" s="4">
        <v>0</v>
      </c>
      <c r="F76" s="4">
        <v>0</v>
      </c>
      <c r="G76" s="4">
        <v>0</v>
      </c>
      <c r="H76" s="4">
        <v>1</v>
      </c>
      <c r="I76" s="4">
        <v>1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1</v>
      </c>
      <c r="P76" s="51">
        <f>IFERROR(_xlfn.XLOOKUP(_xlfn.TEXTJOIN(,,D75:O75),Aux!$B$3:$B$4098,'Truth Table'!$N$3:$N$4098),P75)</f>
        <v>-1</v>
      </c>
      <c r="Q76" s="4" t="b" cm="1">
        <f t="array" ref="Q76:U76">IFERROR(_xlfn.XLOOKUP(_xlfn.TEXTJOIN(,,D76:O76),Aux!$B$3:$B$4098,'Truth Table'!$O$3:$S$4098)=1,FALSE)</f>
        <v>1</v>
      </c>
      <c r="R76" s="4" t="b">
        <v>0</v>
      </c>
      <c r="S76" s="4" t="b">
        <v>0</v>
      </c>
      <c r="T76" s="4" t="b">
        <v>0</v>
      </c>
      <c r="U76" s="4" t="b">
        <v>0</v>
      </c>
      <c r="V76" s="4" t="b">
        <f>AND(_xlfn.XLOOKUP(_xlfn.TEXTJOIN(,,D76:O76),Aux!$B$3:$B$4098,'Truth Table'!$T$3:$T$4098)=1,P75&lt;='Line Follower'!$C$7)</f>
        <v>0</v>
      </c>
      <c r="W76" s="4" t="b">
        <f>AND(_xlfn.XLOOKUP(_xlfn.TEXTJOIN(,,D76:O76),Aux!$B$3:$B$4098,'Truth Table'!$U$3:$U$4098)=1,P75&gt;='Line Follower'!$C$6)</f>
        <v>0</v>
      </c>
      <c r="X76" s="4" t="b">
        <f>IFERROR(AND(_xlfn.XLOOKUP(_xlfn.TEXTJOIN(,,D76:O76),Aux!$B$3:$B$4098,'Truth Table'!$V$3:$V$4098)=1,ABS(P75)&lt;='Line Follower'!$C$6),FALSE)</f>
        <v>0</v>
      </c>
      <c r="Y76" s="4" t="b">
        <f t="shared" si="1"/>
        <v>1</v>
      </c>
    </row>
    <row r="77" spans="2:25" x14ac:dyDescent="0.25">
      <c r="B77" s="4">
        <v>74</v>
      </c>
      <c r="C77" s="4">
        <v>10</v>
      </c>
      <c r="D77" s="4">
        <v>0</v>
      </c>
      <c r="E77" s="4">
        <v>0</v>
      </c>
      <c r="F77" s="4">
        <v>0</v>
      </c>
      <c r="G77" s="4">
        <v>0</v>
      </c>
      <c r="H77" s="4">
        <v>1</v>
      </c>
      <c r="I77" s="4">
        <v>1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1</v>
      </c>
      <c r="P77" s="51">
        <f>IFERROR(_xlfn.XLOOKUP(_xlfn.TEXTJOIN(,,D76:O76),Aux!$B$3:$B$4098,'Truth Table'!$N$3:$N$4098),P76)</f>
        <v>-1</v>
      </c>
      <c r="Q77" s="4" t="b" cm="1">
        <f t="array" ref="Q77:U77">IFERROR(_xlfn.XLOOKUP(_xlfn.TEXTJOIN(,,D77:O77),Aux!$B$3:$B$4098,'Truth Table'!$O$3:$S$4098)=1,FALSE)</f>
        <v>1</v>
      </c>
      <c r="R77" s="4" t="b">
        <v>0</v>
      </c>
      <c r="S77" s="4" t="b">
        <v>0</v>
      </c>
      <c r="T77" s="4" t="b">
        <v>0</v>
      </c>
      <c r="U77" s="4" t="b">
        <v>0</v>
      </c>
      <c r="V77" s="4" t="b">
        <f>AND(_xlfn.XLOOKUP(_xlfn.TEXTJOIN(,,D77:O77),Aux!$B$3:$B$4098,'Truth Table'!$T$3:$T$4098)=1,P76&lt;='Line Follower'!$C$7)</f>
        <v>0</v>
      </c>
      <c r="W77" s="4" t="b">
        <f>AND(_xlfn.XLOOKUP(_xlfn.TEXTJOIN(,,D77:O77),Aux!$B$3:$B$4098,'Truth Table'!$U$3:$U$4098)=1,P76&gt;='Line Follower'!$C$6)</f>
        <v>0</v>
      </c>
      <c r="X77" s="4" t="b">
        <f>IFERROR(AND(_xlfn.XLOOKUP(_xlfn.TEXTJOIN(,,D77:O77),Aux!$B$3:$B$4098,'Truth Table'!$V$3:$V$4098)=1,ABS(P76)&lt;='Line Follower'!$C$6),FALSE)</f>
        <v>0</v>
      </c>
      <c r="Y77" s="4" t="b">
        <f t="shared" si="1"/>
        <v>1</v>
      </c>
    </row>
    <row r="78" spans="2:25" x14ac:dyDescent="0.25">
      <c r="B78" s="4">
        <v>75</v>
      </c>
      <c r="C78" s="4">
        <v>10</v>
      </c>
      <c r="D78" s="4">
        <v>0</v>
      </c>
      <c r="E78" s="4">
        <v>0</v>
      </c>
      <c r="F78" s="4">
        <v>0</v>
      </c>
      <c r="G78" s="4">
        <v>0</v>
      </c>
      <c r="H78" s="4">
        <v>1</v>
      </c>
      <c r="I78" s="4">
        <v>1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1</v>
      </c>
      <c r="P78" s="51">
        <f>IFERROR(_xlfn.XLOOKUP(_xlfn.TEXTJOIN(,,D77:O77),Aux!$B$3:$B$4098,'Truth Table'!$N$3:$N$4098),P77)</f>
        <v>-1</v>
      </c>
      <c r="Q78" s="4" t="b" cm="1">
        <f t="array" ref="Q78:U78">IFERROR(_xlfn.XLOOKUP(_xlfn.TEXTJOIN(,,D78:O78),Aux!$B$3:$B$4098,'Truth Table'!$O$3:$S$4098)=1,FALSE)</f>
        <v>1</v>
      </c>
      <c r="R78" s="4" t="b">
        <v>0</v>
      </c>
      <c r="S78" s="4" t="b">
        <v>0</v>
      </c>
      <c r="T78" s="4" t="b">
        <v>0</v>
      </c>
      <c r="U78" s="4" t="b">
        <v>0</v>
      </c>
      <c r="V78" s="4" t="b">
        <f>AND(_xlfn.XLOOKUP(_xlfn.TEXTJOIN(,,D78:O78),Aux!$B$3:$B$4098,'Truth Table'!$T$3:$T$4098)=1,P77&lt;='Line Follower'!$C$7)</f>
        <v>0</v>
      </c>
      <c r="W78" s="4" t="b">
        <f>AND(_xlfn.XLOOKUP(_xlfn.TEXTJOIN(,,D78:O78),Aux!$B$3:$B$4098,'Truth Table'!$U$3:$U$4098)=1,P77&gt;='Line Follower'!$C$6)</f>
        <v>0</v>
      </c>
      <c r="X78" s="4" t="b">
        <f>IFERROR(AND(_xlfn.XLOOKUP(_xlfn.TEXTJOIN(,,D78:O78),Aux!$B$3:$B$4098,'Truth Table'!$V$3:$V$4098)=1,ABS(P77)&lt;='Line Follower'!$C$6),FALSE)</f>
        <v>0</v>
      </c>
      <c r="Y78" s="4" t="b">
        <f t="shared" si="1"/>
        <v>1</v>
      </c>
    </row>
    <row r="79" spans="2:25" x14ac:dyDescent="0.25">
      <c r="B79" s="4">
        <v>76</v>
      </c>
      <c r="C79" s="4">
        <v>10</v>
      </c>
      <c r="D79" s="4">
        <v>0</v>
      </c>
      <c r="E79" s="4">
        <v>0</v>
      </c>
      <c r="F79" s="4">
        <v>0</v>
      </c>
      <c r="G79" s="4">
        <v>0</v>
      </c>
      <c r="H79" s="4">
        <v>1</v>
      </c>
      <c r="I79" s="4">
        <v>1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1</v>
      </c>
      <c r="P79" s="51">
        <f>IFERROR(_xlfn.XLOOKUP(_xlfn.TEXTJOIN(,,D78:O78),Aux!$B$3:$B$4098,'Truth Table'!$N$3:$N$4098),P78)</f>
        <v>-1</v>
      </c>
      <c r="Q79" s="4" t="b" cm="1">
        <f t="array" ref="Q79:U79">IFERROR(_xlfn.XLOOKUP(_xlfn.TEXTJOIN(,,D79:O79),Aux!$B$3:$B$4098,'Truth Table'!$O$3:$S$4098)=1,FALSE)</f>
        <v>1</v>
      </c>
      <c r="R79" s="4" t="b">
        <v>0</v>
      </c>
      <c r="S79" s="4" t="b">
        <v>0</v>
      </c>
      <c r="T79" s="4" t="b">
        <v>0</v>
      </c>
      <c r="U79" s="4" t="b">
        <v>0</v>
      </c>
      <c r="V79" s="4" t="b">
        <f>AND(_xlfn.XLOOKUP(_xlfn.TEXTJOIN(,,D79:O79),Aux!$B$3:$B$4098,'Truth Table'!$T$3:$T$4098)=1,P78&lt;='Line Follower'!$C$7)</f>
        <v>0</v>
      </c>
      <c r="W79" s="4" t="b">
        <f>AND(_xlfn.XLOOKUP(_xlfn.TEXTJOIN(,,D79:O79),Aux!$B$3:$B$4098,'Truth Table'!$U$3:$U$4098)=1,P78&gt;='Line Follower'!$C$6)</f>
        <v>0</v>
      </c>
      <c r="X79" s="4" t="b">
        <f>IFERROR(AND(_xlfn.XLOOKUP(_xlfn.TEXTJOIN(,,D79:O79),Aux!$B$3:$B$4098,'Truth Table'!$V$3:$V$4098)=1,ABS(P78)&lt;='Line Follower'!$C$6),FALSE)</f>
        <v>0</v>
      </c>
      <c r="Y79" s="4" t="b">
        <f t="shared" si="1"/>
        <v>1</v>
      </c>
    </row>
    <row r="80" spans="2:25" x14ac:dyDescent="0.25">
      <c r="B80" s="4">
        <v>77</v>
      </c>
      <c r="C80" s="4">
        <v>10</v>
      </c>
      <c r="D80" s="4">
        <v>0</v>
      </c>
      <c r="E80" s="4">
        <v>0</v>
      </c>
      <c r="F80" s="4">
        <v>0</v>
      </c>
      <c r="G80" s="4">
        <v>0</v>
      </c>
      <c r="H80" s="4">
        <v>1</v>
      </c>
      <c r="I80" s="4">
        <v>1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1</v>
      </c>
      <c r="P80" s="51">
        <f>IFERROR(_xlfn.XLOOKUP(_xlfn.TEXTJOIN(,,D79:O79),Aux!$B$3:$B$4098,'Truth Table'!$N$3:$N$4098),P79)</f>
        <v>-1</v>
      </c>
      <c r="Q80" s="4" t="b" cm="1">
        <f t="array" ref="Q80:U80">IFERROR(_xlfn.XLOOKUP(_xlfn.TEXTJOIN(,,D80:O80),Aux!$B$3:$B$4098,'Truth Table'!$O$3:$S$4098)=1,FALSE)</f>
        <v>1</v>
      </c>
      <c r="R80" s="4" t="b">
        <v>0</v>
      </c>
      <c r="S80" s="4" t="b">
        <v>0</v>
      </c>
      <c r="T80" s="4" t="b">
        <v>0</v>
      </c>
      <c r="U80" s="4" t="b">
        <v>0</v>
      </c>
      <c r="V80" s="4" t="b">
        <f>AND(_xlfn.XLOOKUP(_xlfn.TEXTJOIN(,,D80:O80),Aux!$B$3:$B$4098,'Truth Table'!$T$3:$T$4098)=1,P79&lt;='Line Follower'!$C$7)</f>
        <v>0</v>
      </c>
      <c r="W80" s="4" t="b">
        <f>AND(_xlfn.XLOOKUP(_xlfn.TEXTJOIN(,,D80:O80),Aux!$B$3:$B$4098,'Truth Table'!$U$3:$U$4098)=1,P79&gt;='Line Follower'!$C$6)</f>
        <v>0</v>
      </c>
      <c r="X80" s="4" t="b">
        <f>IFERROR(AND(_xlfn.XLOOKUP(_xlfn.TEXTJOIN(,,D80:O80),Aux!$B$3:$B$4098,'Truth Table'!$V$3:$V$4098)=1,ABS(P79)&lt;='Line Follower'!$C$6),FALSE)</f>
        <v>0</v>
      </c>
      <c r="Y80" s="4" t="b">
        <f t="shared" si="1"/>
        <v>1</v>
      </c>
    </row>
    <row r="81" spans="2:25" x14ac:dyDescent="0.25">
      <c r="B81" s="4">
        <v>78</v>
      </c>
      <c r="C81" s="4">
        <v>11</v>
      </c>
      <c r="D81" s="4">
        <v>0</v>
      </c>
      <c r="E81" s="4">
        <v>0</v>
      </c>
      <c r="F81" s="4">
        <v>0</v>
      </c>
      <c r="G81" s="4">
        <v>0</v>
      </c>
      <c r="H81" s="4">
        <v>1</v>
      </c>
      <c r="I81" s="4">
        <v>1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1</v>
      </c>
      <c r="P81" s="51">
        <f>IFERROR(_xlfn.XLOOKUP(_xlfn.TEXTJOIN(,,D80:O80),Aux!$B$3:$B$4098,'Truth Table'!$N$3:$N$4098),P80)</f>
        <v>-1</v>
      </c>
      <c r="Q81" s="4" t="b" cm="1">
        <f t="array" ref="Q81:U81">IFERROR(_xlfn.XLOOKUP(_xlfn.TEXTJOIN(,,D81:O81),Aux!$B$3:$B$4098,'Truth Table'!$O$3:$S$4098)=1,FALSE)</f>
        <v>1</v>
      </c>
      <c r="R81" s="4" t="b">
        <v>0</v>
      </c>
      <c r="S81" s="4" t="b">
        <v>0</v>
      </c>
      <c r="T81" s="4" t="b">
        <v>0</v>
      </c>
      <c r="U81" s="4" t="b">
        <v>0</v>
      </c>
      <c r="V81" s="4" t="b">
        <f>AND(_xlfn.XLOOKUP(_xlfn.TEXTJOIN(,,D81:O81),Aux!$B$3:$B$4098,'Truth Table'!$T$3:$T$4098)=1,P80&lt;='Line Follower'!$C$7)</f>
        <v>0</v>
      </c>
      <c r="W81" s="4" t="b">
        <f>AND(_xlfn.XLOOKUP(_xlfn.TEXTJOIN(,,D81:O81),Aux!$B$3:$B$4098,'Truth Table'!$U$3:$U$4098)=1,P80&gt;='Line Follower'!$C$6)</f>
        <v>0</v>
      </c>
      <c r="X81" s="4" t="b">
        <f>IFERROR(AND(_xlfn.XLOOKUP(_xlfn.TEXTJOIN(,,D81:O81),Aux!$B$3:$B$4098,'Truth Table'!$V$3:$V$4098)=1,ABS(P80)&lt;='Line Follower'!$C$6),FALSE)</f>
        <v>0</v>
      </c>
      <c r="Y81" s="4" t="b">
        <f t="shared" si="1"/>
        <v>1</v>
      </c>
    </row>
    <row r="82" spans="2:25" x14ac:dyDescent="0.25">
      <c r="B82" s="4">
        <v>79</v>
      </c>
      <c r="C82" s="4">
        <v>11</v>
      </c>
      <c r="D82" s="4">
        <v>0</v>
      </c>
      <c r="E82" s="4">
        <v>0</v>
      </c>
      <c r="F82" s="4">
        <v>0</v>
      </c>
      <c r="G82" s="4">
        <v>0</v>
      </c>
      <c r="H82" s="4">
        <v>1</v>
      </c>
      <c r="I82" s="4">
        <v>1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1</v>
      </c>
      <c r="P82" s="51">
        <f>IFERROR(_xlfn.XLOOKUP(_xlfn.TEXTJOIN(,,D81:O81),Aux!$B$3:$B$4098,'Truth Table'!$N$3:$N$4098),P81)</f>
        <v>-1</v>
      </c>
      <c r="Q82" s="4" t="b" cm="1">
        <f t="array" ref="Q82:U82">IFERROR(_xlfn.XLOOKUP(_xlfn.TEXTJOIN(,,D82:O82),Aux!$B$3:$B$4098,'Truth Table'!$O$3:$S$4098)=1,FALSE)</f>
        <v>1</v>
      </c>
      <c r="R82" s="4" t="b">
        <v>0</v>
      </c>
      <c r="S82" s="4" t="b">
        <v>0</v>
      </c>
      <c r="T82" s="4" t="b">
        <v>0</v>
      </c>
      <c r="U82" s="4" t="b">
        <v>0</v>
      </c>
      <c r="V82" s="4" t="b">
        <f>AND(_xlfn.XLOOKUP(_xlfn.TEXTJOIN(,,D82:O82),Aux!$B$3:$B$4098,'Truth Table'!$T$3:$T$4098)=1,P81&lt;='Line Follower'!$C$7)</f>
        <v>0</v>
      </c>
      <c r="W82" s="4" t="b">
        <f>AND(_xlfn.XLOOKUP(_xlfn.TEXTJOIN(,,D82:O82),Aux!$B$3:$B$4098,'Truth Table'!$U$3:$U$4098)=1,P81&gt;='Line Follower'!$C$6)</f>
        <v>0</v>
      </c>
      <c r="X82" s="4" t="b">
        <f>IFERROR(AND(_xlfn.XLOOKUP(_xlfn.TEXTJOIN(,,D82:O82),Aux!$B$3:$B$4098,'Truth Table'!$V$3:$V$4098)=1,ABS(P81)&lt;='Line Follower'!$C$6),FALSE)</f>
        <v>0</v>
      </c>
      <c r="Y82" s="4" t="b">
        <f t="shared" si="1"/>
        <v>1</v>
      </c>
    </row>
    <row r="83" spans="2:25" x14ac:dyDescent="0.25">
      <c r="B83" s="4">
        <v>80</v>
      </c>
      <c r="C83" s="4">
        <v>11</v>
      </c>
      <c r="D83" s="4">
        <v>0</v>
      </c>
      <c r="E83" s="4">
        <v>0</v>
      </c>
      <c r="F83" s="4">
        <v>0</v>
      </c>
      <c r="G83" s="4">
        <v>0</v>
      </c>
      <c r="H83" s="4">
        <v>1</v>
      </c>
      <c r="I83" s="4">
        <v>1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1</v>
      </c>
      <c r="P83" s="51">
        <f>IFERROR(_xlfn.XLOOKUP(_xlfn.TEXTJOIN(,,D82:O82),Aux!$B$3:$B$4098,'Truth Table'!$N$3:$N$4098),P82)</f>
        <v>-1</v>
      </c>
      <c r="Q83" s="4" t="b" cm="1">
        <f t="array" ref="Q83:U83">IFERROR(_xlfn.XLOOKUP(_xlfn.TEXTJOIN(,,D83:O83),Aux!$B$3:$B$4098,'Truth Table'!$O$3:$S$4098)=1,FALSE)</f>
        <v>1</v>
      </c>
      <c r="R83" s="4" t="b">
        <v>0</v>
      </c>
      <c r="S83" s="4" t="b">
        <v>0</v>
      </c>
      <c r="T83" s="4" t="b">
        <v>0</v>
      </c>
      <c r="U83" s="4" t="b">
        <v>0</v>
      </c>
      <c r="V83" s="4" t="b">
        <f>AND(_xlfn.XLOOKUP(_xlfn.TEXTJOIN(,,D83:O83),Aux!$B$3:$B$4098,'Truth Table'!$T$3:$T$4098)=1,P82&lt;='Line Follower'!$C$7)</f>
        <v>0</v>
      </c>
      <c r="W83" s="4" t="b">
        <f>AND(_xlfn.XLOOKUP(_xlfn.TEXTJOIN(,,D83:O83),Aux!$B$3:$B$4098,'Truth Table'!$U$3:$U$4098)=1,P82&gt;='Line Follower'!$C$6)</f>
        <v>0</v>
      </c>
      <c r="X83" s="4" t="b">
        <f>IFERROR(AND(_xlfn.XLOOKUP(_xlfn.TEXTJOIN(,,D83:O83),Aux!$B$3:$B$4098,'Truth Table'!$V$3:$V$4098)=1,ABS(P82)&lt;='Line Follower'!$C$6),FALSE)</f>
        <v>0</v>
      </c>
      <c r="Y83" s="4" t="b">
        <f t="shared" si="1"/>
        <v>1</v>
      </c>
    </row>
    <row r="84" spans="2:25" x14ac:dyDescent="0.25">
      <c r="B84" s="4">
        <v>81</v>
      </c>
      <c r="C84" s="4">
        <v>11</v>
      </c>
      <c r="D84" s="4">
        <v>0</v>
      </c>
      <c r="E84" s="4">
        <v>0</v>
      </c>
      <c r="F84" s="4">
        <v>0</v>
      </c>
      <c r="G84" s="4">
        <v>0</v>
      </c>
      <c r="H84" s="4">
        <v>1</v>
      </c>
      <c r="I84" s="4">
        <v>1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1</v>
      </c>
      <c r="P84" s="51">
        <f>IFERROR(_xlfn.XLOOKUP(_xlfn.TEXTJOIN(,,D83:O83),Aux!$B$3:$B$4098,'Truth Table'!$N$3:$N$4098),P83)</f>
        <v>-1</v>
      </c>
      <c r="Q84" s="4" t="b" cm="1">
        <f t="array" ref="Q84:U84">IFERROR(_xlfn.XLOOKUP(_xlfn.TEXTJOIN(,,D84:O84),Aux!$B$3:$B$4098,'Truth Table'!$O$3:$S$4098)=1,FALSE)</f>
        <v>1</v>
      </c>
      <c r="R84" s="4" t="b">
        <v>0</v>
      </c>
      <c r="S84" s="4" t="b">
        <v>0</v>
      </c>
      <c r="T84" s="4" t="b">
        <v>0</v>
      </c>
      <c r="U84" s="4" t="b">
        <v>0</v>
      </c>
      <c r="V84" s="4" t="b">
        <f>AND(_xlfn.XLOOKUP(_xlfn.TEXTJOIN(,,D84:O84),Aux!$B$3:$B$4098,'Truth Table'!$T$3:$T$4098)=1,P83&lt;='Line Follower'!$C$7)</f>
        <v>0</v>
      </c>
      <c r="W84" s="4" t="b">
        <f>AND(_xlfn.XLOOKUP(_xlfn.TEXTJOIN(,,D84:O84),Aux!$B$3:$B$4098,'Truth Table'!$U$3:$U$4098)=1,P83&gt;='Line Follower'!$C$6)</f>
        <v>0</v>
      </c>
      <c r="X84" s="4" t="b">
        <f>IFERROR(AND(_xlfn.XLOOKUP(_xlfn.TEXTJOIN(,,D84:O84),Aux!$B$3:$B$4098,'Truth Table'!$V$3:$V$4098)=1,ABS(P83)&lt;='Line Follower'!$C$6),FALSE)</f>
        <v>0</v>
      </c>
      <c r="Y84" s="4" t="b">
        <f t="shared" si="1"/>
        <v>1</v>
      </c>
    </row>
    <row r="85" spans="2:25" x14ac:dyDescent="0.25">
      <c r="B85" s="4">
        <v>82</v>
      </c>
      <c r="C85" s="4">
        <v>11</v>
      </c>
      <c r="D85" s="4">
        <v>0</v>
      </c>
      <c r="E85" s="4">
        <v>0</v>
      </c>
      <c r="F85" s="4">
        <v>0</v>
      </c>
      <c r="G85" s="4">
        <v>0</v>
      </c>
      <c r="H85" s="4">
        <v>1</v>
      </c>
      <c r="I85" s="4">
        <v>1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1</v>
      </c>
      <c r="P85" s="51">
        <f>IFERROR(_xlfn.XLOOKUP(_xlfn.TEXTJOIN(,,D84:O84),Aux!$B$3:$B$4098,'Truth Table'!$N$3:$N$4098),P84)</f>
        <v>-1</v>
      </c>
      <c r="Q85" s="4" t="b" cm="1">
        <f t="array" ref="Q85:U85">IFERROR(_xlfn.XLOOKUP(_xlfn.TEXTJOIN(,,D85:O85),Aux!$B$3:$B$4098,'Truth Table'!$O$3:$S$4098)=1,FALSE)</f>
        <v>1</v>
      </c>
      <c r="R85" s="4" t="b">
        <v>0</v>
      </c>
      <c r="S85" s="4" t="b">
        <v>0</v>
      </c>
      <c r="T85" s="4" t="b">
        <v>0</v>
      </c>
      <c r="U85" s="4" t="b">
        <v>0</v>
      </c>
      <c r="V85" s="4" t="b">
        <f>AND(_xlfn.XLOOKUP(_xlfn.TEXTJOIN(,,D85:O85),Aux!$B$3:$B$4098,'Truth Table'!$T$3:$T$4098)=1,P84&lt;='Line Follower'!$C$7)</f>
        <v>0</v>
      </c>
      <c r="W85" s="4" t="b">
        <f>AND(_xlfn.XLOOKUP(_xlfn.TEXTJOIN(,,D85:O85),Aux!$B$3:$B$4098,'Truth Table'!$U$3:$U$4098)=1,P84&gt;='Line Follower'!$C$6)</f>
        <v>0</v>
      </c>
      <c r="X85" s="4" t="b">
        <f>IFERROR(AND(_xlfn.XLOOKUP(_xlfn.TEXTJOIN(,,D85:O85),Aux!$B$3:$B$4098,'Truth Table'!$V$3:$V$4098)=1,ABS(P84)&lt;='Line Follower'!$C$6),FALSE)</f>
        <v>0</v>
      </c>
      <c r="Y85" s="4" t="b">
        <f t="shared" si="1"/>
        <v>1</v>
      </c>
    </row>
    <row r="86" spans="2:25" x14ac:dyDescent="0.25">
      <c r="B86" s="4">
        <v>83</v>
      </c>
      <c r="C86" s="4">
        <v>11</v>
      </c>
      <c r="D86" s="4">
        <v>0</v>
      </c>
      <c r="E86" s="4">
        <v>0</v>
      </c>
      <c r="F86" s="4">
        <v>0</v>
      </c>
      <c r="G86" s="4">
        <v>0</v>
      </c>
      <c r="H86" s="4">
        <v>1</v>
      </c>
      <c r="I86" s="4">
        <v>1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1</v>
      </c>
      <c r="P86" s="51">
        <f>IFERROR(_xlfn.XLOOKUP(_xlfn.TEXTJOIN(,,D85:O85),Aux!$B$3:$B$4098,'Truth Table'!$N$3:$N$4098),P85)</f>
        <v>-1</v>
      </c>
      <c r="Q86" s="4" t="b" cm="1">
        <f t="array" ref="Q86:U86">IFERROR(_xlfn.XLOOKUP(_xlfn.TEXTJOIN(,,D86:O86),Aux!$B$3:$B$4098,'Truth Table'!$O$3:$S$4098)=1,FALSE)</f>
        <v>1</v>
      </c>
      <c r="R86" s="4" t="b">
        <v>0</v>
      </c>
      <c r="S86" s="4" t="b">
        <v>0</v>
      </c>
      <c r="T86" s="4" t="b">
        <v>0</v>
      </c>
      <c r="U86" s="4" t="b">
        <v>0</v>
      </c>
      <c r="V86" s="4" t="b">
        <f>AND(_xlfn.XLOOKUP(_xlfn.TEXTJOIN(,,D86:O86),Aux!$B$3:$B$4098,'Truth Table'!$T$3:$T$4098)=1,P85&lt;='Line Follower'!$C$7)</f>
        <v>0</v>
      </c>
      <c r="W86" s="4" t="b">
        <f>AND(_xlfn.XLOOKUP(_xlfn.TEXTJOIN(,,D86:O86),Aux!$B$3:$B$4098,'Truth Table'!$U$3:$U$4098)=1,P85&gt;='Line Follower'!$C$6)</f>
        <v>0</v>
      </c>
      <c r="X86" s="4" t="b">
        <f>IFERROR(AND(_xlfn.XLOOKUP(_xlfn.TEXTJOIN(,,D86:O86),Aux!$B$3:$B$4098,'Truth Table'!$V$3:$V$4098)=1,ABS(P85)&lt;='Line Follower'!$C$6),FALSE)</f>
        <v>0</v>
      </c>
      <c r="Y86" s="4" t="b">
        <f t="shared" si="1"/>
        <v>1</v>
      </c>
    </row>
    <row r="87" spans="2:25" x14ac:dyDescent="0.25">
      <c r="B87" s="4">
        <v>84</v>
      </c>
      <c r="C87" s="4">
        <v>12</v>
      </c>
      <c r="D87" s="4">
        <v>0</v>
      </c>
      <c r="E87" s="4">
        <v>0</v>
      </c>
      <c r="F87" s="4">
        <v>0</v>
      </c>
      <c r="G87" s="4">
        <v>0</v>
      </c>
      <c r="H87" s="4">
        <v>1</v>
      </c>
      <c r="I87" s="4">
        <v>1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1</v>
      </c>
      <c r="P87" s="51">
        <f>IFERROR(_xlfn.XLOOKUP(_xlfn.TEXTJOIN(,,D86:O86),Aux!$B$3:$B$4098,'Truth Table'!$N$3:$N$4098),P86)</f>
        <v>-1</v>
      </c>
      <c r="Q87" s="4" t="b" cm="1">
        <f t="array" ref="Q87:U87">IFERROR(_xlfn.XLOOKUP(_xlfn.TEXTJOIN(,,D87:O87),Aux!$B$3:$B$4098,'Truth Table'!$O$3:$S$4098)=1,FALSE)</f>
        <v>1</v>
      </c>
      <c r="R87" s="4" t="b">
        <v>0</v>
      </c>
      <c r="S87" s="4" t="b">
        <v>0</v>
      </c>
      <c r="T87" s="4" t="b">
        <v>0</v>
      </c>
      <c r="U87" s="4" t="b">
        <v>0</v>
      </c>
      <c r="V87" s="4" t="b">
        <f>AND(_xlfn.XLOOKUP(_xlfn.TEXTJOIN(,,D87:O87),Aux!$B$3:$B$4098,'Truth Table'!$T$3:$T$4098)=1,P86&lt;='Line Follower'!$C$7)</f>
        <v>0</v>
      </c>
      <c r="W87" s="4" t="b">
        <f>AND(_xlfn.XLOOKUP(_xlfn.TEXTJOIN(,,D87:O87),Aux!$B$3:$B$4098,'Truth Table'!$U$3:$U$4098)=1,P86&gt;='Line Follower'!$C$6)</f>
        <v>0</v>
      </c>
      <c r="X87" s="4" t="b">
        <f>IFERROR(AND(_xlfn.XLOOKUP(_xlfn.TEXTJOIN(,,D87:O87),Aux!$B$3:$B$4098,'Truth Table'!$V$3:$V$4098)=1,ABS(P86)&lt;='Line Follower'!$C$6),FALSE)</f>
        <v>0</v>
      </c>
      <c r="Y87" s="4" t="b">
        <f t="shared" si="1"/>
        <v>1</v>
      </c>
    </row>
    <row r="88" spans="2:25" x14ac:dyDescent="0.25">
      <c r="B88" s="4">
        <v>85</v>
      </c>
      <c r="C88" s="4">
        <v>12</v>
      </c>
      <c r="D88" s="4">
        <v>0</v>
      </c>
      <c r="E88" s="4">
        <v>0</v>
      </c>
      <c r="F88" s="4">
        <v>0</v>
      </c>
      <c r="G88" s="4">
        <v>0</v>
      </c>
      <c r="H88" s="4">
        <v>1</v>
      </c>
      <c r="I88" s="4">
        <v>1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1</v>
      </c>
      <c r="P88" s="51">
        <f>IFERROR(_xlfn.XLOOKUP(_xlfn.TEXTJOIN(,,D87:O87),Aux!$B$3:$B$4098,'Truth Table'!$N$3:$N$4098),P87)</f>
        <v>-1</v>
      </c>
      <c r="Q88" s="4" t="b" cm="1">
        <f t="array" ref="Q88:U88">IFERROR(_xlfn.XLOOKUP(_xlfn.TEXTJOIN(,,D88:O88),Aux!$B$3:$B$4098,'Truth Table'!$O$3:$S$4098)=1,FALSE)</f>
        <v>1</v>
      </c>
      <c r="R88" s="4" t="b">
        <v>0</v>
      </c>
      <c r="S88" s="4" t="b">
        <v>0</v>
      </c>
      <c r="T88" s="4" t="b">
        <v>0</v>
      </c>
      <c r="U88" s="4" t="b">
        <v>0</v>
      </c>
      <c r="V88" s="4" t="b">
        <f>AND(_xlfn.XLOOKUP(_xlfn.TEXTJOIN(,,D88:O88),Aux!$B$3:$B$4098,'Truth Table'!$T$3:$T$4098)=1,P87&lt;='Line Follower'!$C$7)</f>
        <v>0</v>
      </c>
      <c r="W88" s="4" t="b">
        <f>AND(_xlfn.XLOOKUP(_xlfn.TEXTJOIN(,,D88:O88),Aux!$B$3:$B$4098,'Truth Table'!$U$3:$U$4098)=1,P87&gt;='Line Follower'!$C$6)</f>
        <v>0</v>
      </c>
      <c r="X88" s="4" t="b">
        <f>IFERROR(AND(_xlfn.XLOOKUP(_xlfn.TEXTJOIN(,,D88:O88),Aux!$B$3:$B$4098,'Truth Table'!$V$3:$V$4098)=1,ABS(P87)&lt;='Line Follower'!$C$6),FALSE)</f>
        <v>0</v>
      </c>
      <c r="Y88" s="4" t="b">
        <f t="shared" si="1"/>
        <v>1</v>
      </c>
    </row>
    <row r="89" spans="2:25" x14ac:dyDescent="0.25">
      <c r="B89" s="4">
        <v>86</v>
      </c>
      <c r="C89" s="4">
        <v>12</v>
      </c>
      <c r="D89" s="4">
        <v>0</v>
      </c>
      <c r="E89" s="4">
        <v>0</v>
      </c>
      <c r="F89" s="4">
        <v>0</v>
      </c>
      <c r="G89" s="4">
        <v>0</v>
      </c>
      <c r="H89" s="4">
        <v>1</v>
      </c>
      <c r="I89" s="4">
        <v>1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1</v>
      </c>
      <c r="P89" s="51">
        <f>IFERROR(_xlfn.XLOOKUP(_xlfn.TEXTJOIN(,,D88:O88),Aux!$B$3:$B$4098,'Truth Table'!$N$3:$N$4098),P88)</f>
        <v>-1</v>
      </c>
      <c r="Q89" s="4" t="b" cm="1">
        <f t="array" ref="Q89:U89">IFERROR(_xlfn.XLOOKUP(_xlfn.TEXTJOIN(,,D89:O89),Aux!$B$3:$B$4098,'Truth Table'!$O$3:$S$4098)=1,FALSE)</f>
        <v>1</v>
      </c>
      <c r="R89" s="4" t="b">
        <v>0</v>
      </c>
      <c r="S89" s="4" t="b">
        <v>0</v>
      </c>
      <c r="T89" s="4" t="b">
        <v>0</v>
      </c>
      <c r="U89" s="4" t="b">
        <v>0</v>
      </c>
      <c r="V89" s="4" t="b">
        <f>AND(_xlfn.XLOOKUP(_xlfn.TEXTJOIN(,,D89:O89),Aux!$B$3:$B$4098,'Truth Table'!$T$3:$T$4098)=1,P88&lt;='Line Follower'!$C$7)</f>
        <v>0</v>
      </c>
      <c r="W89" s="4" t="b">
        <f>AND(_xlfn.XLOOKUP(_xlfn.TEXTJOIN(,,D89:O89),Aux!$B$3:$B$4098,'Truth Table'!$U$3:$U$4098)=1,P88&gt;='Line Follower'!$C$6)</f>
        <v>0</v>
      </c>
      <c r="X89" s="4" t="b">
        <f>IFERROR(AND(_xlfn.XLOOKUP(_xlfn.TEXTJOIN(,,D89:O89),Aux!$B$3:$B$4098,'Truth Table'!$V$3:$V$4098)=1,ABS(P88)&lt;='Line Follower'!$C$6),FALSE)</f>
        <v>0</v>
      </c>
      <c r="Y89" s="4" t="b">
        <f t="shared" si="1"/>
        <v>1</v>
      </c>
    </row>
    <row r="90" spans="2:25" x14ac:dyDescent="0.25">
      <c r="B90" s="4">
        <v>87</v>
      </c>
      <c r="C90" s="4">
        <v>12</v>
      </c>
      <c r="D90" s="4">
        <v>0</v>
      </c>
      <c r="E90" s="4">
        <v>0</v>
      </c>
      <c r="F90" s="4">
        <v>0</v>
      </c>
      <c r="G90" s="4">
        <v>0</v>
      </c>
      <c r="H90" s="4">
        <v>1</v>
      </c>
      <c r="I90" s="4">
        <v>1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1</v>
      </c>
      <c r="P90" s="51">
        <f>IFERROR(_xlfn.XLOOKUP(_xlfn.TEXTJOIN(,,D89:O89),Aux!$B$3:$B$4098,'Truth Table'!$N$3:$N$4098),P89)</f>
        <v>-1</v>
      </c>
      <c r="Q90" s="4" t="b" cm="1">
        <f t="array" ref="Q90:U90">IFERROR(_xlfn.XLOOKUP(_xlfn.TEXTJOIN(,,D90:O90),Aux!$B$3:$B$4098,'Truth Table'!$O$3:$S$4098)=1,FALSE)</f>
        <v>1</v>
      </c>
      <c r="R90" s="4" t="b">
        <v>0</v>
      </c>
      <c r="S90" s="4" t="b">
        <v>0</v>
      </c>
      <c r="T90" s="4" t="b">
        <v>0</v>
      </c>
      <c r="U90" s="4" t="b">
        <v>0</v>
      </c>
      <c r="V90" s="4" t="b">
        <f>AND(_xlfn.XLOOKUP(_xlfn.TEXTJOIN(,,D90:O90),Aux!$B$3:$B$4098,'Truth Table'!$T$3:$T$4098)=1,P89&lt;='Line Follower'!$C$7)</f>
        <v>0</v>
      </c>
      <c r="W90" s="4" t="b">
        <f>AND(_xlfn.XLOOKUP(_xlfn.TEXTJOIN(,,D90:O90),Aux!$B$3:$B$4098,'Truth Table'!$U$3:$U$4098)=1,P89&gt;='Line Follower'!$C$6)</f>
        <v>0</v>
      </c>
      <c r="X90" s="4" t="b">
        <f>IFERROR(AND(_xlfn.XLOOKUP(_xlfn.TEXTJOIN(,,D90:O90),Aux!$B$3:$B$4098,'Truth Table'!$V$3:$V$4098)=1,ABS(P89)&lt;='Line Follower'!$C$6),FALSE)</f>
        <v>0</v>
      </c>
      <c r="Y90" s="4" t="b">
        <f t="shared" si="1"/>
        <v>1</v>
      </c>
    </row>
    <row r="91" spans="2:25" x14ac:dyDescent="0.25">
      <c r="B91" s="4">
        <v>88</v>
      </c>
      <c r="C91" s="4">
        <v>13</v>
      </c>
      <c r="D91" s="4">
        <v>0</v>
      </c>
      <c r="E91" s="4">
        <v>0</v>
      </c>
      <c r="F91" s="4">
        <v>0</v>
      </c>
      <c r="G91" s="4">
        <v>0</v>
      </c>
      <c r="H91" s="4">
        <v>1</v>
      </c>
      <c r="I91" s="4">
        <v>1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1</v>
      </c>
      <c r="P91" s="51">
        <f>IFERROR(_xlfn.XLOOKUP(_xlfn.TEXTJOIN(,,D90:O90),Aux!$B$3:$B$4098,'Truth Table'!$N$3:$N$4098),P90)</f>
        <v>-1</v>
      </c>
      <c r="Q91" s="4" t="b" cm="1">
        <f t="array" ref="Q91:U91">IFERROR(_xlfn.XLOOKUP(_xlfn.TEXTJOIN(,,D91:O91),Aux!$B$3:$B$4098,'Truth Table'!$O$3:$S$4098)=1,FALSE)</f>
        <v>1</v>
      </c>
      <c r="R91" s="4" t="b">
        <v>0</v>
      </c>
      <c r="S91" s="4" t="b">
        <v>0</v>
      </c>
      <c r="T91" s="4" t="b">
        <v>0</v>
      </c>
      <c r="U91" s="4" t="b">
        <v>0</v>
      </c>
      <c r="V91" s="4" t="b">
        <f>AND(_xlfn.XLOOKUP(_xlfn.TEXTJOIN(,,D91:O91),Aux!$B$3:$B$4098,'Truth Table'!$T$3:$T$4098)=1,P90&lt;='Line Follower'!$C$7)</f>
        <v>0</v>
      </c>
      <c r="W91" s="4" t="b">
        <f>AND(_xlfn.XLOOKUP(_xlfn.TEXTJOIN(,,D91:O91),Aux!$B$3:$B$4098,'Truth Table'!$U$3:$U$4098)=1,P90&gt;='Line Follower'!$C$6)</f>
        <v>0</v>
      </c>
      <c r="X91" s="4" t="b">
        <f>IFERROR(AND(_xlfn.XLOOKUP(_xlfn.TEXTJOIN(,,D91:O91),Aux!$B$3:$B$4098,'Truth Table'!$V$3:$V$4098)=1,ABS(P90)&lt;='Line Follower'!$C$6),FALSE)</f>
        <v>0</v>
      </c>
      <c r="Y91" s="4" t="b">
        <f t="shared" si="1"/>
        <v>1</v>
      </c>
    </row>
    <row r="92" spans="2:25" x14ac:dyDescent="0.25">
      <c r="B92" s="4">
        <v>89</v>
      </c>
      <c r="C92" s="4">
        <v>36</v>
      </c>
      <c r="D92" s="4">
        <v>0</v>
      </c>
      <c r="E92" s="4">
        <v>0</v>
      </c>
      <c r="F92" s="4">
        <v>0</v>
      </c>
      <c r="G92" s="4">
        <v>0</v>
      </c>
      <c r="H92" s="4">
        <v>1</v>
      </c>
      <c r="I92" s="4">
        <v>1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1</v>
      </c>
      <c r="P92" s="51">
        <f>IFERROR(_xlfn.XLOOKUP(_xlfn.TEXTJOIN(,,D91:O91),Aux!$B$3:$B$4098,'Truth Table'!$N$3:$N$4098),P91)</f>
        <v>-1</v>
      </c>
      <c r="Q92" s="4" t="b" cm="1">
        <f t="array" ref="Q92:U92">IFERROR(_xlfn.XLOOKUP(_xlfn.TEXTJOIN(,,D92:O92),Aux!$B$3:$B$4098,'Truth Table'!$O$3:$S$4098)=1,FALSE)</f>
        <v>1</v>
      </c>
      <c r="R92" s="4" t="b">
        <v>0</v>
      </c>
      <c r="S92" s="4" t="b">
        <v>0</v>
      </c>
      <c r="T92" s="4" t="b">
        <v>0</v>
      </c>
      <c r="U92" s="4" t="b">
        <v>0</v>
      </c>
      <c r="V92" s="4" t="b">
        <f>AND(_xlfn.XLOOKUP(_xlfn.TEXTJOIN(,,D92:O92),Aux!$B$3:$B$4098,'Truth Table'!$T$3:$T$4098)=1,P91&lt;='Line Follower'!$C$7)</f>
        <v>0</v>
      </c>
      <c r="W92" s="4" t="b">
        <f>AND(_xlfn.XLOOKUP(_xlfn.TEXTJOIN(,,D92:O92),Aux!$B$3:$B$4098,'Truth Table'!$U$3:$U$4098)=1,P91&gt;='Line Follower'!$C$6)</f>
        <v>0</v>
      </c>
      <c r="X92" s="4" t="b">
        <f>IFERROR(AND(_xlfn.XLOOKUP(_xlfn.TEXTJOIN(,,D92:O92),Aux!$B$3:$B$4098,'Truth Table'!$V$3:$V$4098)=1,ABS(P91)&lt;='Line Follower'!$C$6),FALSE)</f>
        <v>0</v>
      </c>
      <c r="Y92" s="4" t="b">
        <f t="shared" si="1"/>
        <v>1</v>
      </c>
    </row>
    <row r="93" spans="2:25" x14ac:dyDescent="0.25">
      <c r="B93" s="4">
        <v>90</v>
      </c>
      <c r="C93" s="4">
        <v>37</v>
      </c>
      <c r="D93" s="4">
        <v>0</v>
      </c>
      <c r="E93" s="4">
        <v>0</v>
      </c>
      <c r="F93" s="4">
        <v>0</v>
      </c>
      <c r="G93" s="4">
        <v>0</v>
      </c>
      <c r="H93" s="4">
        <v>1</v>
      </c>
      <c r="I93" s="4">
        <v>1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1</v>
      </c>
      <c r="P93" s="51">
        <f>IFERROR(_xlfn.XLOOKUP(_xlfn.TEXTJOIN(,,D92:O92),Aux!$B$3:$B$4098,'Truth Table'!$N$3:$N$4098),P92)</f>
        <v>-1</v>
      </c>
      <c r="Q93" s="4" t="b" cm="1">
        <f t="array" ref="Q93:U93">IFERROR(_xlfn.XLOOKUP(_xlfn.TEXTJOIN(,,D93:O93),Aux!$B$3:$B$4098,'Truth Table'!$O$3:$S$4098)=1,FALSE)</f>
        <v>1</v>
      </c>
      <c r="R93" s="4" t="b">
        <v>0</v>
      </c>
      <c r="S93" s="4" t="b">
        <v>0</v>
      </c>
      <c r="T93" s="4" t="b">
        <v>0</v>
      </c>
      <c r="U93" s="4" t="b">
        <v>0</v>
      </c>
      <c r="V93" s="4" t="b">
        <f>AND(_xlfn.XLOOKUP(_xlfn.TEXTJOIN(,,D93:O93),Aux!$B$3:$B$4098,'Truth Table'!$T$3:$T$4098)=1,P92&lt;='Line Follower'!$C$7)</f>
        <v>0</v>
      </c>
      <c r="W93" s="4" t="b">
        <f>AND(_xlfn.XLOOKUP(_xlfn.TEXTJOIN(,,D93:O93),Aux!$B$3:$B$4098,'Truth Table'!$U$3:$U$4098)=1,P92&gt;='Line Follower'!$C$6)</f>
        <v>0</v>
      </c>
      <c r="X93" s="4" t="b">
        <f>IFERROR(AND(_xlfn.XLOOKUP(_xlfn.TEXTJOIN(,,D93:O93),Aux!$B$3:$B$4098,'Truth Table'!$V$3:$V$4098)=1,ABS(P92)&lt;='Line Follower'!$C$6),FALSE)</f>
        <v>0</v>
      </c>
      <c r="Y93" s="4" t="b">
        <f t="shared" si="1"/>
        <v>1</v>
      </c>
    </row>
    <row r="94" spans="2:25" x14ac:dyDescent="0.25">
      <c r="B94" s="4">
        <v>91</v>
      </c>
      <c r="C94" s="4">
        <v>38</v>
      </c>
      <c r="D94" s="4">
        <v>0</v>
      </c>
      <c r="E94" s="4">
        <v>0</v>
      </c>
      <c r="F94" s="4">
        <v>0</v>
      </c>
      <c r="G94" s="4">
        <v>0</v>
      </c>
      <c r="H94" s="4">
        <v>1</v>
      </c>
      <c r="I94" s="4">
        <v>1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1</v>
      </c>
      <c r="P94" s="51">
        <f>IFERROR(_xlfn.XLOOKUP(_xlfn.TEXTJOIN(,,D93:O93),Aux!$B$3:$B$4098,'Truth Table'!$N$3:$N$4098),P93)</f>
        <v>-1</v>
      </c>
      <c r="Q94" s="4" t="b" cm="1">
        <f t="array" ref="Q94:U94">IFERROR(_xlfn.XLOOKUP(_xlfn.TEXTJOIN(,,D94:O94),Aux!$B$3:$B$4098,'Truth Table'!$O$3:$S$4098)=1,FALSE)</f>
        <v>1</v>
      </c>
      <c r="R94" s="4" t="b">
        <v>0</v>
      </c>
      <c r="S94" s="4" t="b">
        <v>0</v>
      </c>
      <c r="T94" s="4" t="b">
        <v>0</v>
      </c>
      <c r="U94" s="4" t="b">
        <v>0</v>
      </c>
      <c r="V94" s="4" t="b">
        <f>AND(_xlfn.XLOOKUP(_xlfn.TEXTJOIN(,,D94:O94),Aux!$B$3:$B$4098,'Truth Table'!$T$3:$T$4098)=1,P93&lt;='Line Follower'!$C$7)</f>
        <v>0</v>
      </c>
      <c r="W94" s="4" t="b">
        <f>AND(_xlfn.XLOOKUP(_xlfn.TEXTJOIN(,,D94:O94),Aux!$B$3:$B$4098,'Truth Table'!$U$3:$U$4098)=1,P93&gt;='Line Follower'!$C$6)</f>
        <v>0</v>
      </c>
      <c r="X94" s="4" t="b">
        <f>IFERROR(AND(_xlfn.XLOOKUP(_xlfn.TEXTJOIN(,,D94:O94),Aux!$B$3:$B$4098,'Truth Table'!$V$3:$V$4098)=1,ABS(P93)&lt;='Line Follower'!$C$6),FALSE)</f>
        <v>0</v>
      </c>
      <c r="Y94" s="4" t="b">
        <f t="shared" si="1"/>
        <v>1</v>
      </c>
    </row>
    <row r="95" spans="2:25" x14ac:dyDescent="0.25">
      <c r="B95" s="4">
        <v>92</v>
      </c>
      <c r="C95" s="4">
        <v>39</v>
      </c>
      <c r="D95" s="4">
        <v>0</v>
      </c>
      <c r="E95" s="4">
        <v>0</v>
      </c>
      <c r="F95" s="4">
        <v>0</v>
      </c>
      <c r="G95" s="4">
        <v>0</v>
      </c>
      <c r="H95" s="4">
        <v>1</v>
      </c>
      <c r="I95" s="4">
        <v>1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1</v>
      </c>
      <c r="P95" s="51">
        <f>IFERROR(_xlfn.XLOOKUP(_xlfn.TEXTJOIN(,,D94:O94),Aux!$B$3:$B$4098,'Truth Table'!$N$3:$N$4098),P94)</f>
        <v>-1</v>
      </c>
      <c r="Q95" s="4" t="b" cm="1">
        <f t="array" ref="Q95:U95">IFERROR(_xlfn.XLOOKUP(_xlfn.TEXTJOIN(,,D95:O95),Aux!$B$3:$B$4098,'Truth Table'!$O$3:$S$4098)=1,FALSE)</f>
        <v>1</v>
      </c>
      <c r="R95" s="4" t="b">
        <v>0</v>
      </c>
      <c r="S95" s="4" t="b">
        <v>0</v>
      </c>
      <c r="T95" s="4" t="b">
        <v>0</v>
      </c>
      <c r="U95" s="4" t="b">
        <v>0</v>
      </c>
      <c r="V95" s="4" t="b">
        <f>AND(_xlfn.XLOOKUP(_xlfn.TEXTJOIN(,,D95:O95),Aux!$B$3:$B$4098,'Truth Table'!$T$3:$T$4098)=1,P94&lt;='Line Follower'!$C$7)</f>
        <v>0</v>
      </c>
      <c r="W95" s="4" t="b">
        <f>AND(_xlfn.XLOOKUP(_xlfn.TEXTJOIN(,,D95:O95),Aux!$B$3:$B$4098,'Truth Table'!$U$3:$U$4098)=1,P94&gt;='Line Follower'!$C$6)</f>
        <v>0</v>
      </c>
      <c r="X95" s="4" t="b">
        <f>IFERROR(AND(_xlfn.XLOOKUP(_xlfn.TEXTJOIN(,,D95:O95),Aux!$B$3:$B$4098,'Truth Table'!$V$3:$V$4098)=1,ABS(P94)&lt;='Line Follower'!$C$6),FALSE)</f>
        <v>0</v>
      </c>
      <c r="Y95" s="4" t="b">
        <f t="shared" si="1"/>
        <v>1</v>
      </c>
    </row>
    <row r="96" spans="2:25" x14ac:dyDescent="0.25">
      <c r="B96" s="4">
        <v>93</v>
      </c>
      <c r="C96" s="4">
        <v>53</v>
      </c>
      <c r="D96" s="4">
        <v>0</v>
      </c>
      <c r="E96" s="4">
        <v>0</v>
      </c>
      <c r="F96" s="4">
        <v>0</v>
      </c>
      <c r="G96" s="4">
        <v>0</v>
      </c>
      <c r="H96" s="4">
        <v>1</v>
      </c>
      <c r="I96" s="4">
        <v>1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1</v>
      </c>
      <c r="P96" s="51">
        <f>IFERROR(_xlfn.XLOOKUP(_xlfn.TEXTJOIN(,,D95:O95),Aux!$B$3:$B$4098,'Truth Table'!$N$3:$N$4098),P95)</f>
        <v>-1</v>
      </c>
      <c r="Q96" s="4" t="b" cm="1">
        <f t="array" ref="Q96:U96">IFERROR(_xlfn.XLOOKUP(_xlfn.TEXTJOIN(,,D96:O96),Aux!$B$3:$B$4098,'Truth Table'!$O$3:$S$4098)=1,FALSE)</f>
        <v>1</v>
      </c>
      <c r="R96" s="4" t="b">
        <v>0</v>
      </c>
      <c r="S96" s="4" t="b">
        <v>0</v>
      </c>
      <c r="T96" s="4" t="b">
        <v>0</v>
      </c>
      <c r="U96" s="4" t="b">
        <v>0</v>
      </c>
      <c r="V96" s="4" t="b">
        <f>AND(_xlfn.XLOOKUP(_xlfn.TEXTJOIN(,,D96:O96),Aux!$B$3:$B$4098,'Truth Table'!$T$3:$T$4098)=1,P95&lt;='Line Follower'!$C$7)</f>
        <v>0</v>
      </c>
      <c r="W96" s="4" t="b">
        <f>AND(_xlfn.XLOOKUP(_xlfn.TEXTJOIN(,,D96:O96),Aux!$B$3:$B$4098,'Truth Table'!$U$3:$U$4098)=1,P95&gt;='Line Follower'!$C$6)</f>
        <v>0</v>
      </c>
      <c r="X96" s="4" t="b">
        <f>IFERROR(AND(_xlfn.XLOOKUP(_xlfn.TEXTJOIN(,,D96:O96),Aux!$B$3:$B$4098,'Truth Table'!$V$3:$V$4098)=1,ABS(P95)&lt;='Line Follower'!$C$6),FALSE)</f>
        <v>0</v>
      </c>
      <c r="Y96" s="4" t="b">
        <f t="shared" si="1"/>
        <v>1</v>
      </c>
    </row>
    <row r="97" spans="2:25" x14ac:dyDescent="0.25">
      <c r="B97" s="4">
        <v>94</v>
      </c>
      <c r="C97" s="4">
        <v>60</v>
      </c>
      <c r="D97" s="4">
        <v>0</v>
      </c>
      <c r="E97" s="4">
        <v>0</v>
      </c>
      <c r="F97" s="4">
        <v>0</v>
      </c>
      <c r="G97" s="4">
        <v>0</v>
      </c>
      <c r="H97" s="4">
        <v>1</v>
      </c>
      <c r="I97" s="4">
        <v>1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1</v>
      </c>
      <c r="P97" s="51">
        <f>IFERROR(_xlfn.XLOOKUP(_xlfn.TEXTJOIN(,,D96:O96),Aux!$B$3:$B$4098,'Truth Table'!$N$3:$N$4098),P96)</f>
        <v>-1</v>
      </c>
      <c r="Q97" s="4" t="b" cm="1">
        <f t="array" ref="Q97:U97">IFERROR(_xlfn.XLOOKUP(_xlfn.TEXTJOIN(,,D97:O97),Aux!$B$3:$B$4098,'Truth Table'!$O$3:$S$4098)=1,FALSE)</f>
        <v>1</v>
      </c>
      <c r="R97" s="4" t="b">
        <v>0</v>
      </c>
      <c r="S97" s="4" t="b">
        <v>0</v>
      </c>
      <c r="T97" s="4" t="b">
        <v>0</v>
      </c>
      <c r="U97" s="4" t="b">
        <v>0</v>
      </c>
      <c r="V97" s="4" t="b">
        <f>AND(_xlfn.XLOOKUP(_xlfn.TEXTJOIN(,,D97:O97),Aux!$B$3:$B$4098,'Truth Table'!$T$3:$T$4098)=1,P96&lt;='Line Follower'!$C$7)</f>
        <v>0</v>
      </c>
      <c r="W97" s="4" t="b">
        <f>AND(_xlfn.XLOOKUP(_xlfn.TEXTJOIN(,,D97:O97),Aux!$B$3:$B$4098,'Truth Table'!$U$3:$U$4098)=1,P96&gt;='Line Follower'!$C$6)</f>
        <v>0</v>
      </c>
      <c r="X97" s="4" t="b">
        <f>IFERROR(AND(_xlfn.XLOOKUP(_xlfn.TEXTJOIN(,,D97:O97),Aux!$B$3:$B$4098,'Truth Table'!$V$3:$V$4098)=1,ABS(P96)&lt;='Line Follower'!$C$6),FALSE)</f>
        <v>0</v>
      </c>
      <c r="Y97" s="4" t="b">
        <f t="shared" si="1"/>
        <v>1</v>
      </c>
    </row>
    <row r="98" spans="2:25" x14ac:dyDescent="0.25">
      <c r="B98" s="4">
        <v>95</v>
      </c>
      <c r="C98" s="4">
        <v>74</v>
      </c>
      <c r="D98" s="4">
        <v>0</v>
      </c>
      <c r="E98" s="4">
        <v>0</v>
      </c>
      <c r="F98" s="4">
        <v>0</v>
      </c>
      <c r="G98" s="4">
        <v>0</v>
      </c>
      <c r="H98" s="4">
        <v>1</v>
      </c>
      <c r="I98" s="4">
        <v>1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1</v>
      </c>
      <c r="P98" s="51">
        <f>IFERROR(_xlfn.XLOOKUP(_xlfn.TEXTJOIN(,,D97:O97),Aux!$B$3:$B$4098,'Truth Table'!$N$3:$N$4098),P97)</f>
        <v>-1</v>
      </c>
      <c r="Q98" s="4" t="b" cm="1">
        <f t="array" ref="Q98:U98">IFERROR(_xlfn.XLOOKUP(_xlfn.TEXTJOIN(,,D98:O98),Aux!$B$3:$B$4098,'Truth Table'!$O$3:$S$4098)=1,FALSE)</f>
        <v>1</v>
      </c>
      <c r="R98" s="4" t="b">
        <v>0</v>
      </c>
      <c r="S98" s="4" t="b">
        <v>0</v>
      </c>
      <c r="T98" s="4" t="b">
        <v>0</v>
      </c>
      <c r="U98" s="4" t="b">
        <v>0</v>
      </c>
      <c r="V98" s="4" t="b">
        <f>AND(_xlfn.XLOOKUP(_xlfn.TEXTJOIN(,,D98:O98),Aux!$B$3:$B$4098,'Truth Table'!$T$3:$T$4098)=1,P97&lt;='Line Follower'!$C$7)</f>
        <v>0</v>
      </c>
      <c r="W98" s="4" t="b">
        <f>AND(_xlfn.XLOOKUP(_xlfn.TEXTJOIN(,,D98:O98),Aux!$B$3:$B$4098,'Truth Table'!$U$3:$U$4098)=1,P97&gt;='Line Follower'!$C$6)</f>
        <v>0</v>
      </c>
      <c r="X98" s="4" t="b">
        <f>IFERROR(AND(_xlfn.XLOOKUP(_xlfn.TEXTJOIN(,,D98:O98),Aux!$B$3:$B$4098,'Truth Table'!$V$3:$V$4098)=1,ABS(P97)&lt;='Line Follower'!$C$6),FALSE)</f>
        <v>0</v>
      </c>
      <c r="Y98" s="4" t="b">
        <f t="shared" si="1"/>
        <v>1</v>
      </c>
    </row>
    <row r="99" spans="2:25" x14ac:dyDescent="0.25">
      <c r="B99" s="4">
        <v>96</v>
      </c>
      <c r="C99" s="4">
        <v>81</v>
      </c>
      <c r="D99" s="4">
        <v>0</v>
      </c>
      <c r="E99" s="4">
        <v>0</v>
      </c>
      <c r="F99" s="4">
        <v>0</v>
      </c>
      <c r="G99" s="4">
        <v>0</v>
      </c>
      <c r="H99" s="4">
        <v>1</v>
      </c>
      <c r="I99" s="4">
        <v>1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1</v>
      </c>
      <c r="P99" s="51">
        <f>IFERROR(_xlfn.XLOOKUP(_xlfn.TEXTJOIN(,,D98:O98),Aux!$B$3:$B$4098,'Truth Table'!$N$3:$N$4098),P98)</f>
        <v>-1</v>
      </c>
      <c r="Q99" s="4" t="b" cm="1">
        <f t="array" ref="Q99:U99">IFERROR(_xlfn.XLOOKUP(_xlfn.TEXTJOIN(,,D99:O99),Aux!$B$3:$B$4098,'Truth Table'!$O$3:$S$4098)=1,FALSE)</f>
        <v>1</v>
      </c>
      <c r="R99" s="4" t="b">
        <v>0</v>
      </c>
      <c r="S99" s="4" t="b">
        <v>0</v>
      </c>
      <c r="T99" s="4" t="b">
        <v>0</v>
      </c>
      <c r="U99" s="4" t="b">
        <v>0</v>
      </c>
      <c r="V99" s="4" t="b">
        <f>AND(_xlfn.XLOOKUP(_xlfn.TEXTJOIN(,,D99:O99),Aux!$B$3:$B$4098,'Truth Table'!$T$3:$T$4098)=1,P98&lt;='Line Follower'!$C$7)</f>
        <v>0</v>
      </c>
      <c r="W99" s="4" t="b">
        <f>AND(_xlfn.XLOOKUP(_xlfn.TEXTJOIN(,,D99:O99),Aux!$B$3:$B$4098,'Truth Table'!$U$3:$U$4098)=1,P98&gt;='Line Follower'!$C$6)</f>
        <v>0</v>
      </c>
      <c r="X99" s="4" t="b">
        <f>IFERROR(AND(_xlfn.XLOOKUP(_xlfn.TEXTJOIN(,,D99:O99),Aux!$B$3:$B$4098,'Truth Table'!$V$3:$V$4098)=1,ABS(P98)&lt;='Line Follower'!$C$6),FALSE)</f>
        <v>0</v>
      </c>
      <c r="Y99" s="4" t="b">
        <f t="shared" si="1"/>
        <v>1</v>
      </c>
    </row>
    <row r="100" spans="2:25" x14ac:dyDescent="0.25">
      <c r="B100" s="4">
        <v>97</v>
      </c>
      <c r="C100" s="4">
        <v>94</v>
      </c>
      <c r="D100" s="4">
        <v>0</v>
      </c>
      <c r="E100" s="4">
        <v>0</v>
      </c>
      <c r="F100" s="4">
        <v>0</v>
      </c>
      <c r="G100" s="4">
        <v>0</v>
      </c>
      <c r="H100" s="4">
        <v>1</v>
      </c>
      <c r="I100" s="4">
        <v>1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1</v>
      </c>
      <c r="P100" s="51">
        <f>IFERROR(_xlfn.XLOOKUP(_xlfn.TEXTJOIN(,,D99:O99),Aux!$B$3:$B$4098,'Truth Table'!$N$3:$N$4098),P99)</f>
        <v>-1</v>
      </c>
      <c r="Q100" s="4" t="b" cm="1">
        <f t="array" ref="Q100:U100">IFERROR(_xlfn.XLOOKUP(_xlfn.TEXTJOIN(,,D100:O100),Aux!$B$3:$B$4098,'Truth Table'!$O$3:$S$4098)=1,FALSE)</f>
        <v>1</v>
      </c>
      <c r="R100" s="4" t="b">
        <v>0</v>
      </c>
      <c r="S100" s="4" t="b">
        <v>0</v>
      </c>
      <c r="T100" s="4" t="b">
        <v>0</v>
      </c>
      <c r="U100" s="4" t="b">
        <v>0</v>
      </c>
      <c r="V100" s="4" t="b">
        <f>AND(_xlfn.XLOOKUP(_xlfn.TEXTJOIN(,,D100:O100),Aux!$B$3:$B$4098,'Truth Table'!$T$3:$T$4098)=1,P99&lt;='Line Follower'!$C$7)</f>
        <v>0</v>
      </c>
      <c r="W100" s="4" t="b">
        <f>AND(_xlfn.XLOOKUP(_xlfn.TEXTJOIN(,,D100:O100),Aux!$B$3:$B$4098,'Truth Table'!$U$3:$U$4098)=1,P99&gt;='Line Follower'!$C$6)</f>
        <v>0</v>
      </c>
      <c r="X100" s="4" t="b">
        <f>IFERROR(AND(_xlfn.XLOOKUP(_xlfn.TEXTJOIN(,,D100:O100),Aux!$B$3:$B$4098,'Truth Table'!$V$3:$V$4098)=1,ABS(P99)&lt;='Line Follower'!$C$6),FALSE)</f>
        <v>0</v>
      </c>
      <c r="Y100" s="4" t="b">
        <f t="shared" si="1"/>
        <v>1</v>
      </c>
    </row>
    <row r="101" spans="2:25" x14ac:dyDescent="0.25">
      <c r="B101" s="4">
        <v>98</v>
      </c>
      <c r="C101" s="4">
        <v>100</v>
      </c>
      <c r="D101" s="4">
        <v>0</v>
      </c>
      <c r="E101" s="4">
        <v>0</v>
      </c>
      <c r="F101" s="4">
        <v>0</v>
      </c>
      <c r="G101" s="4">
        <v>0</v>
      </c>
      <c r="H101" s="4">
        <v>1</v>
      </c>
      <c r="I101" s="4">
        <v>1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1</v>
      </c>
      <c r="P101" s="51">
        <f>IFERROR(_xlfn.XLOOKUP(_xlfn.TEXTJOIN(,,D100:O100),Aux!$B$3:$B$4098,'Truth Table'!$N$3:$N$4098),P100)</f>
        <v>-1</v>
      </c>
      <c r="Q101" s="4" t="b" cm="1">
        <f t="array" ref="Q101:U101">IFERROR(_xlfn.XLOOKUP(_xlfn.TEXTJOIN(,,D101:O101),Aux!$B$3:$B$4098,'Truth Table'!$O$3:$S$4098)=1,FALSE)</f>
        <v>1</v>
      </c>
      <c r="R101" s="4" t="b">
        <v>0</v>
      </c>
      <c r="S101" s="4" t="b">
        <v>0</v>
      </c>
      <c r="T101" s="4" t="b">
        <v>0</v>
      </c>
      <c r="U101" s="4" t="b">
        <v>0</v>
      </c>
      <c r="V101" s="4" t="b">
        <f>AND(_xlfn.XLOOKUP(_xlfn.TEXTJOIN(,,D101:O101),Aux!$B$3:$B$4098,'Truth Table'!$T$3:$T$4098)=1,P100&lt;='Line Follower'!$C$7)</f>
        <v>0</v>
      </c>
      <c r="W101" s="4" t="b">
        <f>AND(_xlfn.XLOOKUP(_xlfn.TEXTJOIN(,,D101:O101),Aux!$B$3:$B$4098,'Truth Table'!$U$3:$U$4098)=1,P100&gt;='Line Follower'!$C$6)</f>
        <v>0</v>
      </c>
      <c r="X101" s="4" t="b">
        <f>IFERROR(AND(_xlfn.XLOOKUP(_xlfn.TEXTJOIN(,,D101:O101),Aux!$B$3:$B$4098,'Truth Table'!$V$3:$V$4098)=1,ABS(P100)&lt;='Line Follower'!$C$6),FALSE)</f>
        <v>0</v>
      </c>
      <c r="Y101" s="4" t="b">
        <f t="shared" si="1"/>
        <v>1</v>
      </c>
    </row>
    <row r="102" spans="2:25" x14ac:dyDescent="0.25">
      <c r="B102" s="4">
        <v>99</v>
      </c>
      <c r="C102" s="4">
        <v>109</v>
      </c>
      <c r="D102" s="4">
        <v>0</v>
      </c>
      <c r="E102" s="4">
        <v>0</v>
      </c>
      <c r="F102" s="4">
        <v>0</v>
      </c>
      <c r="G102" s="4">
        <v>0</v>
      </c>
      <c r="H102" s="4">
        <v>1</v>
      </c>
      <c r="I102" s="4">
        <v>1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1</v>
      </c>
      <c r="P102" s="51">
        <f>IFERROR(_xlfn.XLOOKUP(_xlfn.TEXTJOIN(,,D101:O101),Aux!$B$3:$B$4098,'Truth Table'!$N$3:$N$4098),P101)</f>
        <v>-1</v>
      </c>
      <c r="Q102" s="4" t="b" cm="1">
        <f t="array" ref="Q102:U102">IFERROR(_xlfn.XLOOKUP(_xlfn.TEXTJOIN(,,D102:O102),Aux!$B$3:$B$4098,'Truth Table'!$O$3:$S$4098)=1,FALSE)</f>
        <v>1</v>
      </c>
      <c r="R102" s="4" t="b">
        <v>0</v>
      </c>
      <c r="S102" s="4" t="b">
        <v>0</v>
      </c>
      <c r="T102" s="4" t="b">
        <v>0</v>
      </c>
      <c r="U102" s="4" t="b">
        <v>0</v>
      </c>
      <c r="V102" s="4" t="b">
        <f>AND(_xlfn.XLOOKUP(_xlfn.TEXTJOIN(,,D102:O102),Aux!$B$3:$B$4098,'Truth Table'!$T$3:$T$4098)=1,P101&lt;='Line Follower'!$C$7)</f>
        <v>0</v>
      </c>
      <c r="W102" s="4" t="b">
        <f>AND(_xlfn.XLOOKUP(_xlfn.TEXTJOIN(,,D102:O102),Aux!$B$3:$B$4098,'Truth Table'!$U$3:$U$4098)=1,P101&gt;='Line Follower'!$C$6)</f>
        <v>0</v>
      </c>
      <c r="X102" s="4" t="b">
        <f>IFERROR(AND(_xlfn.XLOOKUP(_xlfn.TEXTJOIN(,,D102:O102),Aux!$B$3:$B$4098,'Truth Table'!$V$3:$V$4098)=1,ABS(P101)&lt;='Line Follower'!$C$6),FALSE)</f>
        <v>0</v>
      </c>
      <c r="Y102" s="4" t="b">
        <f t="shared" si="1"/>
        <v>1</v>
      </c>
    </row>
    <row r="103" spans="2:25" x14ac:dyDescent="0.25">
      <c r="B103" s="4">
        <v>100</v>
      </c>
      <c r="C103" s="4">
        <v>118</v>
      </c>
      <c r="D103" s="4">
        <v>0</v>
      </c>
      <c r="E103" s="4">
        <v>0</v>
      </c>
      <c r="F103" s="4">
        <v>0</v>
      </c>
      <c r="G103" s="4">
        <v>0</v>
      </c>
      <c r="H103" s="4">
        <v>1</v>
      </c>
      <c r="I103" s="4">
        <v>1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1</v>
      </c>
      <c r="P103" s="51">
        <f>IFERROR(_xlfn.XLOOKUP(_xlfn.TEXTJOIN(,,D102:O102),Aux!$B$3:$B$4098,'Truth Table'!$N$3:$N$4098),P102)</f>
        <v>-1</v>
      </c>
      <c r="Q103" s="4" t="b" cm="1">
        <f t="array" ref="Q103:U103">IFERROR(_xlfn.XLOOKUP(_xlfn.TEXTJOIN(,,D103:O103),Aux!$B$3:$B$4098,'Truth Table'!$O$3:$S$4098)=1,FALSE)</f>
        <v>1</v>
      </c>
      <c r="R103" s="4" t="b">
        <v>0</v>
      </c>
      <c r="S103" s="4" t="b">
        <v>0</v>
      </c>
      <c r="T103" s="4" t="b">
        <v>0</v>
      </c>
      <c r="U103" s="4" t="b">
        <v>0</v>
      </c>
      <c r="V103" s="4" t="b">
        <f>AND(_xlfn.XLOOKUP(_xlfn.TEXTJOIN(,,D103:O103),Aux!$B$3:$B$4098,'Truth Table'!$T$3:$T$4098)=1,P102&lt;='Line Follower'!$C$7)</f>
        <v>0</v>
      </c>
      <c r="W103" s="4" t="b">
        <f>AND(_xlfn.XLOOKUP(_xlfn.TEXTJOIN(,,D103:O103),Aux!$B$3:$B$4098,'Truth Table'!$U$3:$U$4098)=1,P102&gt;='Line Follower'!$C$6)</f>
        <v>0</v>
      </c>
      <c r="X103" s="4" t="b">
        <f>IFERROR(AND(_xlfn.XLOOKUP(_xlfn.TEXTJOIN(,,D103:O103),Aux!$B$3:$B$4098,'Truth Table'!$V$3:$V$4098)=1,ABS(P102)&lt;='Line Follower'!$C$6),FALSE)</f>
        <v>0</v>
      </c>
      <c r="Y103" s="4" t="b">
        <f t="shared" si="1"/>
        <v>1</v>
      </c>
    </row>
    <row r="104" spans="2:25" x14ac:dyDescent="0.25">
      <c r="B104" s="4">
        <v>101</v>
      </c>
      <c r="C104" s="4">
        <v>127</v>
      </c>
      <c r="D104" s="4">
        <v>0</v>
      </c>
      <c r="E104" s="4">
        <v>0</v>
      </c>
      <c r="F104" s="4">
        <v>0</v>
      </c>
      <c r="G104" s="4">
        <v>0</v>
      </c>
      <c r="H104" s="4">
        <v>1</v>
      </c>
      <c r="I104" s="4">
        <v>1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1</v>
      </c>
      <c r="P104" s="51">
        <f>IFERROR(_xlfn.XLOOKUP(_xlfn.TEXTJOIN(,,D103:O103),Aux!$B$3:$B$4098,'Truth Table'!$N$3:$N$4098),P103)</f>
        <v>-1</v>
      </c>
      <c r="Q104" s="4" t="b" cm="1">
        <f t="array" ref="Q104:U104">IFERROR(_xlfn.XLOOKUP(_xlfn.TEXTJOIN(,,D104:O104),Aux!$B$3:$B$4098,'Truth Table'!$O$3:$S$4098)=1,FALSE)</f>
        <v>1</v>
      </c>
      <c r="R104" s="4" t="b">
        <v>0</v>
      </c>
      <c r="S104" s="4" t="b">
        <v>0</v>
      </c>
      <c r="T104" s="4" t="b">
        <v>0</v>
      </c>
      <c r="U104" s="4" t="b">
        <v>0</v>
      </c>
      <c r="V104" s="4" t="b">
        <f>AND(_xlfn.XLOOKUP(_xlfn.TEXTJOIN(,,D104:O104),Aux!$B$3:$B$4098,'Truth Table'!$T$3:$T$4098)=1,P103&lt;='Line Follower'!$C$7)</f>
        <v>0</v>
      </c>
      <c r="W104" s="4" t="b">
        <f>AND(_xlfn.XLOOKUP(_xlfn.TEXTJOIN(,,D104:O104),Aux!$B$3:$B$4098,'Truth Table'!$U$3:$U$4098)=1,P103&gt;='Line Follower'!$C$6)</f>
        <v>0</v>
      </c>
      <c r="X104" s="4" t="b">
        <f>IFERROR(AND(_xlfn.XLOOKUP(_xlfn.TEXTJOIN(,,D104:O104),Aux!$B$3:$B$4098,'Truth Table'!$V$3:$V$4098)=1,ABS(P103)&lt;='Line Follower'!$C$6),FALSE)</f>
        <v>0</v>
      </c>
      <c r="Y104" s="4" t="b">
        <f t="shared" si="1"/>
        <v>1</v>
      </c>
    </row>
    <row r="105" spans="2:25" x14ac:dyDescent="0.25">
      <c r="B105" s="4">
        <v>102</v>
      </c>
      <c r="C105" s="4">
        <v>138</v>
      </c>
      <c r="D105" s="4">
        <v>0</v>
      </c>
      <c r="E105" s="4">
        <v>0</v>
      </c>
      <c r="F105" s="4">
        <v>0</v>
      </c>
      <c r="G105" s="4">
        <v>0</v>
      </c>
      <c r="H105" s="4">
        <v>1</v>
      </c>
      <c r="I105" s="4">
        <v>1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1</v>
      </c>
      <c r="P105" s="51">
        <f>IFERROR(_xlfn.XLOOKUP(_xlfn.TEXTJOIN(,,D104:O104),Aux!$B$3:$B$4098,'Truth Table'!$N$3:$N$4098),P104)</f>
        <v>-1</v>
      </c>
      <c r="Q105" s="4" t="b" cm="1">
        <f t="array" ref="Q105:U105">IFERROR(_xlfn.XLOOKUP(_xlfn.TEXTJOIN(,,D105:O105),Aux!$B$3:$B$4098,'Truth Table'!$O$3:$S$4098)=1,FALSE)</f>
        <v>1</v>
      </c>
      <c r="R105" s="4" t="b">
        <v>0</v>
      </c>
      <c r="S105" s="4" t="b">
        <v>0</v>
      </c>
      <c r="T105" s="4" t="b">
        <v>0</v>
      </c>
      <c r="U105" s="4" t="b">
        <v>0</v>
      </c>
      <c r="V105" s="4" t="b">
        <f>AND(_xlfn.XLOOKUP(_xlfn.TEXTJOIN(,,D105:O105),Aux!$B$3:$B$4098,'Truth Table'!$T$3:$T$4098)=1,P104&lt;='Line Follower'!$C$7)</f>
        <v>0</v>
      </c>
      <c r="W105" s="4" t="b">
        <f>AND(_xlfn.XLOOKUP(_xlfn.TEXTJOIN(,,D105:O105),Aux!$B$3:$B$4098,'Truth Table'!$U$3:$U$4098)=1,P104&gt;='Line Follower'!$C$6)</f>
        <v>0</v>
      </c>
      <c r="X105" s="4" t="b">
        <f>IFERROR(AND(_xlfn.XLOOKUP(_xlfn.TEXTJOIN(,,D105:O105),Aux!$B$3:$B$4098,'Truth Table'!$V$3:$V$4098)=1,ABS(P104)&lt;='Line Follower'!$C$6),FALSE)</f>
        <v>0</v>
      </c>
      <c r="Y105" s="4" t="b">
        <f t="shared" si="1"/>
        <v>1</v>
      </c>
    </row>
    <row r="106" spans="2:25" x14ac:dyDescent="0.25">
      <c r="B106" s="4">
        <v>103</v>
      </c>
      <c r="C106" s="4">
        <v>152</v>
      </c>
      <c r="D106" s="4">
        <v>0</v>
      </c>
      <c r="E106" s="4">
        <v>0</v>
      </c>
      <c r="F106" s="4">
        <v>0</v>
      </c>
      <c r="G106" s="4">
        <v>0</v>
      </c>
      <c r="H106" s="4">
        <v>1</v>
      </c>
      <c r="I106" s="4">
        <v>1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1</v>
      </c>
      <c r="P106" s="51">
        <f>IFERROR(_xlfn.XLOOKUP(_xlfn.TEXTJOIN(,,D105:O105),Aux!$B$3:$B$4098,'Truth Table'!$N$3:$N$4098),P105)</f>
        <v>-1</v>
      </c>
      <c r="Q106" s="4" t="b" cm="1">
        <f t="array" ref="Q106:U106">IFERROR(_xlfn.XLOOKUP(_xlfn.TEXTJOIN(,,D106:O106),Aux!$B$3:$B$4098,'Truth Table'!$O$3:$S$4098)=1,FALSE)</f>
        <v>1</v>
      </c>
      <c r="R106" s="4" t="b">
        <v>0</v>
      </c>
      <c r="S106" s="4" t="b">
        <v>0</v>
      </c>
      <c r="T106" s="4" t="b">
        <v>0</v>
      </c>
      <c r="U106" s="4" t="b">
        <v>0</v>
      </c>
      <c r="V106" s="4" t="b">
        <f>AND(_xlfn.XLOOKUP(_xlfn.TEXTJOIN(,,D106:O106),Aux!$B$3:$B$4098,'Truth Table'!$T$3:$T$4098)=1,P105&lt;='Line Follower'!$C$7)</f>
        <v>0</v>
      </c>
      <c r="W106" s="4" t="b">
        <f>AND(_xlfn.XLOOKUP(_xlfn.TEXTJOIN(,,D106:O106),Aux!$B$3:$B$4098,'Truth Table'!$U$3:$U$4098)=1,P105&gt;='Line Follower'!$C$6)</f>
        <v>0</v>
      </c>
      <c r="X106" s="4" t="b">
        <f>IFERROR(AND(_xlfn.XLOOKUP(_xlfn.TEXTJOIN(,,D106:O106),Aux!$B$3:$B$4098,'Truth Table'!$V$3:$V$4098)=1,ABS(P105)&lt;='Line Follower'!$C$6),FALSE)</f>
        <v>0</v>
      </c>
      <c r="Y106" s="4" t="b">
        <f t="shared" si="1"/>
        <v>1</v>
      </c>
    </row>
    <row r="107" spans="2:25" x14ac:dyDescent="0.25">
      <c r="B107" s="4">
        <v>104</v>
      </c>
      <c r="C107" s="4">
        <v>159</v>
      </c>
      <c r="D107" s="4">
        <v>0</v>
      </c>
      <c r="E107" s="4">
        <v>0</v>
      </c>
      <c r="F107" s="4">
        <v>0</v>
      </c>
      <c r="G107" s="4">
        <v>0</v>
      </c>
      <c r="H107" s="4">
        <v>1</v>
      </c>
      <c r="I107" s="4">
        <v>1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1</v>
      </c>
      <c r="P107" s="51">
        <f>IFERROR(_xlfn.XLOOKUP(_xlfn.TEXTJOIN(,,D106:O106),Aux!$B$3:$B$4098,'Truth Table'!$N$3:$N$4098),P106)</f>
        <v>-1</v>
      </c>
      <c r="Q107" s="4" t="b" cm="1">
        <f t="array" ref="Q107:U107">IFERROR(_xlfn.XLOOKUP(_xlfn.TEXTJOIN(,,D107:O107),Aux!$B$3:$B$4098,'Truth Table'!$O$3:$S$4098)=1,FALSE)</f>
        <v>1</v>
      </c>
      <c r="R107" s="4" t="b">
        <v>0</v>
      </c>
      <c r="S107" s="4" t="b">
        <v>0</v>
      </c>
      <c r="T107" s="4" t="b">
        <v>0</v>
      </c>
      <c r="U107" s="4" t="b">
        <v>0</v>
      </c>
      <c r="V107" s="4" t="b">
        <f>AND(_xlfn.XLOOKUP(_xlfn.TEXTJOIN(,,D107:O107),Aux!$B$3:$B$4098,'Truth Table'!$T$3:$T$4098)=1,P106&lt;='Line Follower'!$C$7)</f>
        <v>0</v>
      </c>
      <c r="W107" s="4" t="b">
        <f>AND(_xlfn.XLOOKUP(_xlfn.TEXTJOIN(,,D107:O107),Aux!$B$3:$B$4098,'Truth Table'!$U$3:$U$4098)=1,P106&gt;='Line Follower'!$C$6)</f>
        <v>0</v>
      </c>
      <c r="X107" s="4" t="b">
        <f>IFERROR(AND(_xlfn.XLOOKUP(_xlfn.TEXTJOIN(,,D107:O107),Aux!$B$3:$B$4098,'Truth Table'!$V$3:$V$4098)=1,ABS(P106)&lt;='Line Follower'!$C$6),FALSE)</f>
        <v>0</v>
      </c>
      <c r="Y107" s="4" t="b">
        <f t="shared" si="1"/>
        <v>1</v>
      </c>
    </row>
    <row r="108" spans="2:25" x14ac:dyDescent="0.25">
      <c r="B108" s="4">
        <v>105</v>
      </c>
      <c r="C108" s="4">
        <v>168</v>
      </c>
      <c r="D108" s="4">
        <v>0</v>
      </c>
      <c r="E108" s="4">
        <v>0</v>
      </c>
      <c r="F108" s="4">
        <v>0</v>
      </c>
      <c r="G108" s="4">
        <v>0</v>
      </c>
      <c r="H108" s="4">
        <v>1</v>
      </c>
      <c r="I108" s="4">
        <v>1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1</v>
      </c>
      <c r="P108" s="51">
        <f>IFERROR(_xlfn.XLOOKUP(_xlfn.TEXTJOIN(,,D107:O107),Aux!$B$3:$B$4098,'Truth Table'!$N$3:$N$4098),P107)</f>
        <v>-1</v>
      </c>
      <c r="Q108" s="4" t="b" cm="1">
        <f t="array" ref="Q108:U108">IFERROR(_xlfn.XLOOKUP(_xlfn.TEXTJOIN(,,D108:O108),Aux!$B$3:$B$4098,'Truth Table'!$O$3:$S$4098)=1,FALSE)</f>
        <v>1</v>
      </c>
      <c r="R108" s="4" t="b">
        <v>0</v>
      </c>
      <c r="S108" s="4" t="b">
        <v>0</v>
      </c>
      <c r="T108" s="4" t="b">
        <v>0</v>
      </c>
      <c r="U108" s="4" t="b">
        <v>0</v>
      </c>
      <c r="V108" s="4" t="b">
        <f>AND(_xlfn.XLOOKUP(_xlfn.TEXTJOIN(,,D108:O108),Aux!$B$3:$B$4098,'Truth Table'!$T$3:$T$4098)=1,P107&lt;='Line Follower'!$C$7)</f>
        <v>0</v>
      </c>
      <c r="W108" s="4" t="b">
        <f>AND(_xlfn.XLOOKUP(_xlfn.TEXTJOIN(,,D108:O108),Aux!$B$3:$B$4098,'Truth Table'!$U$3:$U$4098)=1,P107&gt;='Line Follower'!$C$6)</f>
        <v>0</v>
      </c>
      <c r="X108" s="4" t="b">
        <f>IFERROR(AND(_xlfn.XLOOKUP(_xlfn.TEXTJOIN(,,D108:O108),Aux!$B$3:$B$4098,'Truth Table'!$V$3:$V$4098)=1,ABS(P107)&lt;='Line Follower'!$C$6),FALSE)</f>
        <v>0</v>
      </c>
      <c r="Y108" s="4" t="b">
        <f t="shared" si="1"/>
        <v>1</v>
      </c>
    </row>
    <row r="109" spans="2:25" x14ac:dyDescent="0.25">
      <c r="B109" s="4">
        <v>106</v>
      </c>
      <c r="C109" s="4">
        <v>203</v>
      </c>
      <c r="D109" s="4">
        <v>0</v>
      </c>
      <c r="E109" s="4">
        <v>0</v>
      </c>
      <c r="F109" s="4">
        <v>0</v>
      </c>
      <c r="G109" s="4">
        <v>0</v>
      </c>
      <c r="H109" s="4">
        <v>1</v>
      </c>
      <c r="I109" s="4">
        <v>1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1</v>
      </c>
      <c r="P109" s="51">
        <f>IFERROR(_xlfn.XLOOKUP(_xlfn.TEXTJOIN(,,D108:O108),Aux!$B$3:$B$4098,'Truth Table'!$N$3:$N$4098),P108)</f>
        <v>-1</v>
      </c>
      <c r="Q109" s="4" t="b" cm="1">
        <f t="array" ref="Q109:U109">IFERROR(_xlfn.XLOOKUP(_xlfn.TEXTJOIN(,,D109:O109),Aux!$B$3:$B$4098,'Truth Table'!$O$3:$S$4098)=1,FALSE)</f>
        <v>1</v>
      </c>
      <c r="R109" s="4" t="b">
        <v>0</v>
      </c>
      <c r="S109" s="4" t="b">
        <v>0</v>
      </c>
      <c r="T109" s="4" t="b">
        <v>0</v>
      </c>
      <c r="U109" s="4" t="b">
        <v>0</v>
      </c>
      <c r="V109" s="4" t="b">
        <f>AND(_xlfn.XLOOKUP(_xlfn.TEXTJOIN(,,D109:O109),Aux!$B$3:$B$4098,'Truth Table'!$T$3:$T$4098)=1,P108&lt;='Line Follower'!$C$7)</f>
        <v>0</v>
      </c>
      <c r="W109" s="4" t="b">
        <f>AND(_xlfn.XLOOKUP(_xlfn.TEXTJOIN(,,D109:O109),Aux!$B$3:$B$4098,'Truth Table'!$U$3:$U$4098)=1,P108&gt;='Line Follower'!$C$6)</f>
        <v>0</v>
      </c>
      <c r="X109" s="4" t="b">
        <f>IFERROR(AND(_xlfn.XLOOKUP(_xlfn.TEXTJOIN(,,D109:O109),Aux!$B$3:$B$4098,'Truth Table'!$V$3:$V$4098)=1,ABS(P108)&lt;='Line Follower'!$C$6),FALSE)</f>
        <v>0</v>
      </c>
      <c r="Y109" s="4" t="b">
        <f t="shared" si="1"/>
        <v>1</v>
      </c>
    </row>
    <row r="110" spans="2:25" x14ac:dyDescent="0.25">
      <c r="B110" s="4">
        <v>107</v>
      </c>
      <c r="C110" s="4">
        <v>204</v>
      </c>
      <c r="D110" s="4">
        <v>0</v>
      </c>
      <c r="E110" s="4">
        <v>0</v>
      </c>
      <c r="F110" s="4">
        <v>0</v>
      </c>
      <c r="G110" s="4">
        <v>0</v>
      </c>
      <c r="H110" s="4">
        <v>1</v>
      </c>
      <c r="I110" s="4">
        <v>1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1</v>
      </c>
      <c r="P110" s="51">
        <f>IFERROR(_xlfn.XLOOKUP(_xlfn.TEXTJOIN(,,D109:O109),Aux!$B$3:$B$4098,'Truth Table'!$N$3:$N$4098),P109)</f>
        <v>-1</v>
      </c>
      <c r="Q110" s="4" t="b" cm="1">
        <f t="array" ref="Q110:U110">IFERROR(_xlfn.XLOOKUP(_xlfn.TEXTJOIN(,,D110:O110),Aux!$B$3:$B$4098,'Truth Table'!$O$3:$S$4098)=1,FALSE)</f>
        <v>1</v>
      </c>
      <c r="R110" s="4" t="b">
        <v>0</v>
      </c>
      <c r="S110" s="4" t="b">
        <v>0</v>
      </c>
      <c r="T110" s="4" t="b">
        <v>0</v>
      </c>
      <c r="U110" s="4" t="b">
        <v>0</v>
      </c>
      <c r="V110" s="4" t="b">
        <f>AND(_xlfn.XLOOKUP(_xlfn.TEXTJOIN(,,D110:O110),Aux!$B$3:$B$4098,'Truth Table'!$T$3:$T$4098)=1,P109&lt;='Line Follower'!$C$7)</f>
        <v>0</v>
      </c>
      <c r="W110" s="4" t="b">
        <f>AND(_xlfn.XLOOKUP(_xlfn.TEXTJOIN(,,D110:O110),Aux!$B$3:$B$4098,'Truth Table'!$U$3:$U$4098)=1,P109&gt;='Line Follower'!$C$6)</f>
        <v>0</v>
      </c>
      <c r="X110" s="4" t="b">
        <f>IFERROR(AND(_xlfn.XLOOKUP(_xlfn.TEXTJOIN(,,D110:O110),Aux!$B$3:$B$4098,'Truth Table'!$V$3:$V$4098)=1,ABS(P109)&lt;='Line Follower'!$C$6),FALSE)</f>
        <v>0</v>
      </c>
      <c r="Y110" s="4" t="b">
        <f t="shared" si="1"/>
        <v>1</v>
      </c>
    </row>
    <row r="111" spans="2:25" x14ac:dyDescent="0.25">
      <c r="B111" s="4">
        <v>108</v>
      </c>
      <c r="C111" s="4">
        <v>205</v>
      </c>
      <c r="D111" s="4">
        <v>0</v>
      </c>
      <c r="E111" s="4">
        <v>0</v>
      </c>
      <c r="F111" s="4">
        <v>0</v>
      </c>
      <c r="G111" s="4">
        <v>0</v>
      </c>
      <c r="H111" s="4">
        <v>1</v>
      </c>
      <c r="I111" s="4">
        <v>1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1</v>
      </c>
      <c r="P111" s="51">
        <f>IFERROR(_xlfn.XLOOKUP(_xlfn.TEXTJOIN(,,D110:O110),Aux!$B$3:$B$4098,'Truth Table'!$N$3:$N$4098),P110)</f>
        <v>-1</v>
      </c>
      <c r="Q111" s="4" t="b" cm="1">
        <f t="array" ref="Q111:U111">IFERROR(_xlfn.XLOOKUP(_xlfn.TEXTJOIN(,,D111:O111),Aux!$B$3:$B$4098,'Truth Table'!$O$3:$S$4098)=1,FALSE)</f>
        <v>1</v>
      </c>
      <c r="R111" s="4" t="b">
        <v>0</v>
      </c>
      <c r="S111" s="4" t="b">
        <v>0</v>
      </c>
      <c r="T111" s="4" t="b">
        <v>0</v>
      </c>
      <c r="U111" s="4" t="b">
        <v>0</v>
      </c>
      <c r="V111" s="4" t="b">
        <f>AND(_xlfn.XLOOKUP(_xlfn.TEXTJOIN(,,D111:O111),Aux!$B$3:$B$4098,'Truth Table'!$T$3:$T$4098)=1,P110&lt;='Line Follower'!$C$7)</f>
        <v>0</v>
      </c>
      <c r="W111" s="4" t="b">
        <f>AND(_xlfn.XLOOKUP(_xlfn.TEXTJOIN(,,D111:O111),Aux!$B$3:$B$4098,'Truth Table'!$U$3:$U$4098)=1,P110&gt;='Line Follower'!$C$6)</f>
        <v>0</v>
      </c>
      <c r="X111" s="4" t="b">
        <f>IFERROR(AND(_xlfn.XLOOKUP(_xlfn.TEXTJOIN(,,D111:O111),Aux!$B$3:$B$4098,'Truth Table'!$V$3:$V$4098)=1,ABS(P110)&lt;='Line Follower'!$C$6),FALSE)</f>
        <v>0</v>
      </c>
      <c r="Y111" s="4" t="b">
        <f t="shared" si="1"/>
        <v>1</v>
      </c>
    </row>
    <row r="112" spans="2:25" x14ac:dyDescent="0.25">
      <c r="B112" s="4">
        <v>109</v>
      </c>
      <c r="C112" s="4">
        <v>210</v>
      </c>
      <c r="D112" s="4">
        <v>0</v>
      </c>
      <c r="E112" s="4">
        <v>0</v>
      </c>
      <c r="F112" s="4">
        <v>0</v>
      </c>
      <c r="G112" s="4">
        <v>0</v>
      </c>
      <c r="H112" s="4">
        <v>1</v>
      </c>
      <c r="I112" s="4">
        <v>1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1</v>
      </c>
      <c r="P112" s="51">
        <f>IFERROR(_xlfn.XLOOKUP(_xlfn.TEXTJOIN(,,D111:O111),Aux!$B$3:$B$4098,'Truth Table'!$N$3:$N$4098),P111)</f>
        <v>-1</v>
      </c>
      <c r="Q112" s="4" t="b" cm="1">
        <f t="array" ref="Q112:U112">IFERROR(_xlfn.XLOOKUP(_xlfn.TEXTJOIN(,,D112:O112),Aux!$B$3:$B$4098,'Truth Table'!$O$3:$S$4098)=1,FALSE)</f>
        <v>1</v>
      </c>
      <c r="R112" s="4" t="b">
        <v>0</v>
      </c>
      <c r="S112" s="4" t="b">
        <v>0</v>
      </c>
      <c r="T112" s="4" t="b">
        <v>0</v>
      </c>
      <c r="U112" s="4" t="b">
        <v>0</v>
      </c>
      <c r="V112" s="4" t="b">
        <f>AND(_xlfn.XLOOKUP(_xlfn.TEXTJOIN(,,D112:O112),Aux!$B$3:$B$4098,'Truth Table'!$T$3:$T$4098)=1,P111&lt;='Line Follower'!$C$7)</f>
        <v>0</v>
      </c>
      <c r="W112" s="4" t="b">
        <f>AND(_xlfn.XLOOKUP(_xlfn.TEXTJOIN(,,D112:O112),Aux!$B$3:$B$4098,'Truth Table'!$U$3:$U$4098)=1,P111&gt;='Line Follower'!$C$6)</f>
        <v>0</v>
      </c>
      <c r="X112" s="4" t="b">
        <f>IFERROR(AND(_xlfn.XLOOKUP(_xlfn.TEXTJOIN(,,D112:O112),Aux!$B$3:$B$4098,'Truth Table'!$V$3:$V$4098)=1,ABS(P111)&lt;='Line Follower'!$C$6),FALSE)</f>
        <v>0</v>
      </c>
      <c r="Y112" s="4" t="b">
        <f t="shared" si="1"/>
        <v>1</v>
      </c>
    </row>
    <row r="113" spans="2:25" x14ac:dyDescent="0.25">
      <c r="B113" s="4">
        <v>110</v>
      </c>
      <c r="C113" s="4">
        <v>222</v>
      </c>
      <c r="D113" s="4">
        <v>0</v>
      </c>
      <c r="E113" s="4">
        <v>0</v>
      </c>
      <c r="F113" s="4">
        <v>0</v>
      </c>
      <c r="G113" s="4">
        <v>0</v>
      </c>
      <c r="H113" s="4">
        <v>1</v>
      </c>
      <c r="I113" s="4">
        <v>1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1</v>
      </c>
      <c r="P113" s="51">
        <f>IFERROR(_xlfn.XLOOKUP(_xlfn.TEXTJOIN(,,D112:O112),Aux!$B$3:$B$4098,'Truth Table'!$N$3:$N$4098),P112)</f>
        <v>-1</v>
      </c>
      <c r="Q113" s="4" t="b" cm="1">
        <f t="array" ref="Q113:U113">IFERROR(_xlfn.XLOOKUP(_xlfn.TEXTJOIN(,,D113:O113),Aux!$B$3:$B$4098,'Truth Table'!$O$3:$S$4098)=1,FALSE)</f>
        <v>1</v>
      </c>
      <c r="R113" s="4" t="b">
        <v>0</v>
      </c>
      <c r="S113" s="4" t="b">
        <v>0</v>
      </c>
      <c r="T113" s="4" t="b">
        <v>0</v>
      </c>
      <c r="U113" s="4" t="b">
        <v>0</v>
      </c>
      <c r="V113" s="4" t="b">
        <f>AND(_xlfn.XLOOKUP(_xlfn.TEXTJOIN(,,D113:O113),Aux!$B$3:$B$4098,'Truth Table'!$T$3:$T$4098)=1,P112&lt;='Line Follower'!$C$7)</f>
        <v>0</v>
      </c>
      <c r="W113" s="4" t="b">
        <f>AND(_xlfn.XLOOKUP(_xlfn.TEXTJOIN(,,D113:O113),Aux!$B$3:$B$4098,'Truth Table'!$U$3:$U$4098)=1,P112&gt;='Line Follower'!$C$6)</f>
        <v>0</v>
      </c>
      <c r="X113" s="4" t="b">
        <f>IFERROR(AND(_xlfn.XLOOKUP(_xlfn.TEXTJOIN(,,D113:O113),Aux!$B$3:$B$4098,'Truth Table'!$V$3:$V$4098)=1,ABS(P112)&lt;='Line Follower'!$C$6),FALSE)</f>
        <v>0</v>
      </c>
      <c r="Y113" s="4" t="b">
        <f t="shared" si="1"/>
        <v>1</v>
      </c>
    </row>
    <row r="114" spans="2:25" x14ac:dyDescent="0.25">
      <c r="B114" s="4">
        <v>111</v>
      </c>
      <c r="C114" s="4">
        <v>230</v>
      </c>
      <c r="D114" s="4">
        <v>0</v>
      </c>
      <c r="E114" s="4">
        <v>0</v>
      </c>
      <c r="F114" s="4">
        <v>0</v>
      </c>
      <c r="G114" s="4">
        <v>0</v>
      </c>
      <c r="H114" s="4">
        <v>1</v>
      </c>
      <c r="I114" s="4">
        <v>1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1</v>
      </c>
      <c r="P114" s="51">
        <f>IFERROR(_xlfn.XLOOKUP(_xlfn.TEXTJOIN(,,D113:O113),Aux!$B$3:$B$4098,'Truth Table'!$N$3:$N$4098),P113)</f>
        <v>-1</v>
      </c>
      <c r="Q114" s="4" t="b" cm="1">
        <f t="array" ref="Q114:U114">IFERROR(_xlfn.XLOOKUP(_xlfn.TEXTJOIN(,,D114:O114),Aux!$B$3:$B$4098,'Truth Table'!$O$3:$S$4098)=1,FALSE)</f>
        <v>1</v>
      </c>
      <c r="R114" s="4" t="b">
        <v>0</v>
      </c>
      <c r="S114" s="4" t="b">
        <v>0</v>
      </c>
      <c r="T114" s="4" t="b">
        <v>0</v>
      </c>
      <c r="U114" s="4" t="b">
        <v>0</v>
      </c>
      <c r="V114" s="4" t="b">
        <f>AND(_xlfn.XLOOKUP(_xlfn.TEXTJOIN(,,D114:O114),Aux!$B$3:$B$4098,'Truth Table'!$T$3:$T$4098)=1,P113&lt;='Line Follower'!$C$7)</f>
        <v>0</v>
      </c>
      <c r="W114" s="4" t="b">
        <f>AND(_xlfn.XLOOKUP(_xlfn.TEXTJOIN(,,D114:O114),Aux!$B$3:$B$4098,'Truth Table'!$U$3:$U$4098)=1,P113&gt;='Line Follower'!$C$6)</f>
        <v>0</v>
      </c>
      <c r="X114" s="4" t="b">
        <f>IFERROR(AND(_xlfn.XLOOKUP(_xlfn.TEXTJOIN(,,D114:O114),Aux!$B$3:$B$4098,'Truth Table'!$V$3:$V$4098)=1,ABS(P113)&lt;='Line Follower'!$C$6),FALSE)</f>
        <v>0</v>
      </c>
      <c r="Y114" s="4" t="b">
        <f t="shared" si="1"/>
        <v>1</v>
      </c>
    </row>
    <row r="115" spans="2:25" x14ac:dyDescent="0.25">
      <c r="B115" s="4">
        <v>112</v>
      </c>
      <c r="C115" s="4">
        <v>244</v>
      </c>
      <c r="D115" s="4">
        <v>0</v>
      </c>
      <c r="E115" s="4">
        <v>0</v>
      </c>
      <c r="F115" s="4">
        <v>0</v>
      </c>
      <c r="G115" s="4">
        <v>0</v>
      </c>
      <c r="H115" s="4">
        <v>1</v>
      </c>
      <c r="I115" s="4">
        <v>1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1</v>
      </c>
      <c r="P115" s="51">
        <f>IFERROR(_xlfn.XLOOKUP(_xlfn.TEXTJOIN(,,D114:O114),Aux!$B$3:$B$4098,'Truth Table'!$N$3:$N$4098),P114)</f>
        <v>-1</v>
      </c>
      <c r="Q115" s="4" t="b" cm="1">
        <f t="array" ref="Q115:U115">IFERROR(_xlfn.XLOOKUP(_xlfn.TEXTJOIN(,,D115:O115),Aux!$B$3:$B$4098,'Truth Table'!$O$3:$S$4098)=1,FALSE)</f>
        <v>1</v>
      </c>
      <c r="R115" s="4" t="b">
        <v>0</v>
      </c>
      <c r="S115" s="4" t="b">
        <v>0</v>
      </c>
      <c r="T115" s="4" t="b">
        <v>0</v>
      </c>
      <c r="U115" s="4" t="b">
        <v>0</v>
      </c>
      <c r="V115" s="4" t="b">
        <f>AND(_xlfn.XLOOKUP(_xlfn.TEXTJOIN(,,D115:O115),Aux!$B$3:$B$4098,'Truth Table'!$T$3:$T$4098)=1,P114&lt;='Line Follower'!$C$7)</f>
        <v>0</v>
      </c>
      <c r="W115" s="4" t="b">
        <f>AND(_xlfn.XLOOKUP(_xlfn.TEXTJOIN(,,D115:O115),Aux!$B$3:$B$4098,'Truth Table'!$U$3:$U$4098)=1,P114&gt;='Line Follower'!$C$6)</f>
        <v>0</v>
      </c>
      <c r="X115" s="4" t="b">
        <f>IFERROR(AND(_xlfn.XLOOKUP(_xlfn.TEXTJOIN(,,D115:O115),Aux!$B$3:$B$4098,'Truth Table'!$V$3:$V$4098)=1,ABS(P114)&lt;='Line Follower'!$C$6),FALSE)</f>
        <v>0</v>
      </c>
      <c r="Y115" s="4" t="b">
        <f t="shared" si="1"/>
        <v>1</v>
      </c>
    </row>
    <row r="116" spans="2:25" x14ac:dyDescent="0.25">
      <c r="B116" s="4">
        <v>113</v>
      </c>
      <c r="C116" s="4">
        <v>245</v>
      </c>
      <c r="D116" s="4">
        <v>0</v>
      </c>
      <c r="E116" s="4">
        <v>0</v>
      </c>
      <c r="F116" s="4">
        <v>0</v>
      </c>
      <c r="G116" s="4">
        <v>0</v>
      </c>
      <c r="H116" s="4">
        <v>1</v>
      </c>
      <c r="I116" s="4">
        <v>1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1</v>
      </c>
      <c r="P116" s="51">
        <f>IFERROR(_xlfn.XLOOKUP(_xlfn.TEXTJOIN(,,D115:O115),Aux!$B$3:$B$4098,'Truth Table'!$N$3:$N$4098),P115)</f>
        <v>-1</v>
      </c>
      <c r="Q116" s="4" t="b" cm="1">
        <f t="array" ref="Q116:U116">IFERROR(_xlfn.XLOOKUP(_xlfn.TEXTJOIN(,,D116:O116),Aux!$B$3:$B$4098,'Truth Table'!$O$3:$S$4098)=1,FALSE)</f>
        <v>1</v>
      </c>
      <c r="R116" s="4" t="b">
        <v>0</v>
      </c>
      <c r="S116" s="4" t="b">
        <v>0</v>
      </c>
      <c r="T116" s="4" t="b">
        <v>0</v>
      </c>
      <c r="U116" s="4" t="b">
        <v>0</v>
      </c>
      <c r="V116" s="4" t="b">
        <f>AND(_xlfn.XLOOKUP(_xlfn.TEXTJOIN(,,D116:O116),Aux!$B$3:$B$4098,'Truth Table'!$T$3:$T$4098)=1,P115&lt;='Line Follower'!$C$7)</f>
        <v>0</v>
      </c>
      <c r="W116" s="4" t="b">
        <f>AND(_xlfn.XLOOKUP(_xlfn.TEXTJOIN(,,D116:O116),Aux!$B$3:$B$4098,'Truth Table'!$U$3:$U$4098)=1,P115&gt;='Line Follower'!$C$6)</f>
        <v>0</v>
      </c>
      <c r="X116" s="4" t="b">
        <f>IFERROR(AND(_xlfn.XLOOKUP(_xlfn.TEXTJOIN(,,D116:O116),Aux!$B$3:$B$4098,'Truth Table'!$V$3:$V$4098)=1,ABS(P115)&lt;='Line Follower'!$C$6),FALSE)</f>
        <v>0</v>
      </c>
      <c r="Y116" s="4" t="b">
        <f t="shared" si="1"/>
        <v>1</v>
      </c>
    </row>
    <row r="117" spans="2:25" x14ac:dyDescent="0.25">
      <c r="B117" s="4">
        <v>114</v>
      </c>
      <c r="C117" s="4">
        <v>253</v>
      </c>
      <c r="D117" s="4">
        <v>0</v>
      </c>
      <c r="E117" s="4">
        <v>0</v>
      </c>
      <c r="F117" s="4">
        <v>0</v>
      </c>
      <c r="G117" s="4">
        <v>0</v>
      </c>
      <c r="H117" s="4">
        <v>1</v>
      </c>
      <c r="I117" s="4">
        <v>1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1</v>
      </c>
      <c r="P117" s="51">
        <f>IFERROR(_xlfn.XLOOKUP(_xlfn.TEXTJOIN(,,D116:O116),Aux!$B$3:$B$4098,'Truth Table'!$N$3:$N$4098),P116)</f>
        <v>-1</v>
      </c>
      <c r="Q117" s="4" t="b" cm="1">
        <f t="array" ref="Q117:U117">IFERROR(_xlfn.XLOOKUP(_xlfn.TEXTJOIN(,,D117:O117),Aux!$B$3:$B$4098,'Truth Table'!$O$3:$S$4098)=1,FALSE)</f>
        <v>1</v>
      </c>
      <c r="R117" s="4" t="b">
        <v>0</v>
      </c>
      <c r="S117" s="4" t="b">
        <v>0</v>
      </c>
      <c r="T117" s="4" t="b">
        <v>0</v>
      </c>
      <c r="U117" s="4" t="b">
        <v>0</v>
      </c>
      <c r="V117" s="4" t="b">
        <f>AND(_xlfn.XLOOKUP(_xlfn.TEXTJOIN(,,D117:O117),Aux!$B$3:$B$4098,'Truth Table'!$T$3:$T$4098)=1,P116&lt;='Line Follower'!$C$7)</f>
        <v>0</v>
      </c>
      <c r="W117" s="4" t="b">
        <f>AND(_xlfn.XLOOKUP(_xlfn.TEXTJOIN(,,D117:O117),Aux!$B$3:$B$4098,'Truth Table'!$U$3:$U$4098)=1,P116&gt;='Line Follower'!$C$6)</f>
        <v>0</v>
      </c>
      <c r="X117" s="4" t="b">
        <f>IFERROR(AND(_xlfn.XLOOKUP(_xlfn.TEXTJOIN(,,D117:O117),Aux!$B$3:$B$4098,'Truth Table'!$V$3:$V$4098)=1,ABS(P116)&lt;='Line Follower'!$C$6),FALSE)</f>
        <v>0</v>
      </c>
      <c r="Y117" s="4" t="b">
        <f t="shared" si="1"/>
        <v>1</v>
      </c>
    </row>
    <row r="118" spans="2:25" x14ac:dyDescent="0.25">
      <c r="B118" s="4">
        <v>115</v>
      </c>
      <c r="C118" s="4">
        <v>264</v>
      </c>
      <c r="D118" s="4">
        <v>0</v>
      </c>
      <c r="E118" s="4">
        <v>0</v>
      </c>
      <c r="F118" s="4">
        <v>0</v>
      </c>
      <c r="G118" s="4">
        <v>0</v>
      </c>
      <c r="H118" s="4">
        <v>1</v>
      </c>
      <c r="I118" s="4">
        <v>1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1</v>
      </c>
      <c r="P118" s="51">
        <f>IFERROR(_xlfn.XLOOKUP(_xlfn.TEXTJOIN(,,D117:O117),Aux!$B$3:$B$4098,'Truth Table'!$N$3:$N$4098),P117)</f>
        <v>-1</v>
      </c>
      <c r="Q118" s="4" t="b" cm="1">
        <f t="array" ref="Q118:U118">IFERROR(_xlfn.XLOOKUP(_xlfn.TEXTJOIN(,,D118:O118),Aux!$B$3:$B$4098,'Truth Table'!$O$3:$S$4098)=1,FALSE)</f>
        <v>1</v>
      </c>
      <c r="R118" s="4" t="b">
        <v>0</v>
      </c>
      <c r="S118" s="4" t="b">
        <v>0</v>
      </c>
      <c r="T118" s="4" t="b">
        <v>0</v>
      </c>
      <c r="U118" s="4" t="b">
        <v>0</v>
      </c>
      <c r="V118" s="4" t="b">
        <f>AND(_xlfn.XLOOKUP(_xlfn.TEXTJOIN(,,D118:O118),Aux!$B$3:$B$4098,'Truth Table'!$T$3:$T$4098)=1,P117&lt;='Line Follower'!$C$7)</f>
        <v>0</v>
      </c>
      <c r="W118" s="4" t="b">
        <f>AND(_xlfn.XLOOKUP(_xlfn.TEXTJOIN(,,D118:O118),Aux!$B$3:$B$4098,'Truth Table'!$U$3:$U$4098)=1,P117&gt;='Line Follower'!$C$6)</f>
        <v>0</v>
      </c>
      <c r="X118" s="4" t="b">
        <f>IFERROR(AND(_xlfn.XLOOKUP(_xlfn.TEXTJOIN(,,D118:O118),Aux!$B$3:$B$4098,'Truth Table'!$V$3:$V$4098)=1,ABS(P117)&lt;='Line Follower'!$C$6),FALSE)</f>
        <v>0</v>
      </c>
      <c r="Y118" s="4" t="b">
        <f t="shared" si="1"/>
        <v>1</v>
      </c>
    </row>
    <row r="119" spans="2:25" x14ac:dyDescent="0.25">
      <c r="B119" s="4">
        <v>116</v>
      </c>
      <c r="C119" s="4">
        <v>273</v>
      </c>
      <c r="D119" s="4">
        <v>0</v>
      </c>
      <c r="E119" s="4">
        <v>0</v>
      </c>
      <c r="F119" s="4">
        <v>0</v>
      </c>
      <c r="G119" s="4">
        <v>0</v>
      </c>
      <c r="H119" s="4">
        <v>1</v>
      </c>
      <c r="I119" s="4">
        <v>1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1</v>
      </c>
      <c r="P119" s="51">
        <f>IFERROR(_xlfn.XLOOKUP(_xlfn.TEXTJOIN(,,D118:O118),Aux!$B$3:$B$4098,'Truth Table'!$N$3:$N$4098),P118)</f>
        <v>-1</v>
      </c>
      <c r="Q119" s="4" t="b" cm="1">
        <f t="array" ref="Q119:U119">IFERROR(_xlfn.XLOOKUP(_xlfn.TEXTJOIN(,,D119:O119),Aux!$B$3:$B$4098,'Truth Table'!$O$3:$S$4098)=1,FALSE)</f>
        <v>1</v>
      </c>
      <c r="R119" s="4" t="b">
        <v>0</v>
      </c>
      <c r="S119" s="4" t="b">
        <v>0</v>
      </c>
      <c r="T119" s="4" t="b">
        <v>0</v>
      </c>
      <c r="U119" s="4" t="b">
        <v>0</v>
      </c>
      <c r="V119" s="4" t="b">
        <f>AND(_xlfn.XLOOKUP(_xlfn.TEXTJOIN(,,D119:O119),Aux!$B$3:$B$4098,'Truth Table'!$T$3:$T$4098)=1,P118&lt;='Line Follower'!$C$7)</f>
        <v>0</v>
      </c>
      <c r="W119" s="4" t="b">
        <f>AND(_xlfn.XLOOKUP(_xlfn.TEXTJOIN(,,D119:O119),Aux!$B$3:$B$4098,'Truth Table'!$U$3:$U$4098)=1,P118&gt;='Line Follower'!$C$6)</f>
        <v>0</v>
      </c>
      <c r="X119" s="4" t="b">
        <f>IFERROR(AND(_xlfn.XLOOKUP(_xlfn.TEXTJOIN(,,D119:O119),Aux!$B$3:$B$4098,'Truth Table'!$V$3:$V$4098)=1,ABS(P118)&lt;='Line Follower'!$C$6),FALSE)</f>
        <v>0</v>
      </c>
      <c r="Y119" s="4" t="b">
        <f t="shared" si="1"/>
        <v>1</v>
      </c>
    </row>
    <row r="120" spans="2:25" x14ac:dyDescent="0.25">
      <c r="B120" s="4">
        <v>117</v>
      </c>
      <c r="C120" s="4">
        <v>287</v>
      </c>
      <c r="D120" s="4">
        <v>0</v>
      </c>
      <c r="E120" s="4">
        <v>0</v>
      </c>
      <c r="F120" s="4">
        <v>0</v>
      </c>
      <c r="G120" s="4">
        <v>0</v>
      </c>
      <c r="H120" s="4">
        <v>1</v>
      </c>
      <c r="I120" s="4">
        <v>1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1</v>
      </c>
      <c r="P120" s="51">
        <f>IFERROR(_xlfn.XLOOKUP(_xlfn.TEXTJOIN(,,D119:O119),Aux!$B$3:$B$4098,'Truth Table'!$N$3:$N$4098),P119)</f>
        <v>-1</v>
      </c>
      <c r="Q120" s="4" t="b" cm="1">
        <f t="array" ref="Q120:U120">IFERROR(_xlfn.XLOOKUP(_xlfn.TEXTJOIN(,,D120:O120),Aux!$B$3:$B$4098,'Truth Table'!$O$3:$S$4098)=1,FALSE)</f>
        <v>1</v>
      </c>
      <c r="R120" s="4" t="b">
        <v>0</v>
      </c>
      <c r="S120" s="4" t="b">
        <v>0</v>
      </c>
      <c r="T120" s="4" t="b">
        <v>0</v>
      </c>
      <c r="U120" s="4" t="b">
        <v>0</v>
      </c>
      <c r="V120" s="4" t="b">
        <f>AND(_xlfn.XLOOKUP(_xlfn.TEXTJOIN(,,D120:O120),Aux!$B$3:$B$4098,'Truth Table'!$T$3:$T$4098)=1,P119&lt;='Line Follower'!$C$7)</f>
        <v>0</v>
      </c>
      <c r="W120" s="4" t="b">
        <f>AND(_xlfn.XLOOKUP(_xlfn.TEXTJOIN(,,D120:O120),Aux!$B$3:$B$4098,'Truth Table'!$U$3:$U$4098)=1,P119&gt;='Line Follower'!$C$6)</f>
        <v>0</v>
      </c>
      <c r="X120" s="4" t="b">
        <f>IFERROR(AND(_xlfn.XLOOKUP(_xlfn.TEXTJOIN(,,D120:O120),Aux!$B$3:$B$4098,'Truth Table'!$V$3:$V$4098)=1,ABS(P119)&lt;='Line Follower'!$C$6),FALSE)</f>
        <v>0</v>
      </c>
      <c r="Y120" s="4" t="b">
        <f t="shared" si="1"/>
        <v>1</v>
      </c>
    </row>
    <row r="121" spans="2:25" x14ac:dyDescent="0.25">
      <c r="B121" s="4">
        <v>118</v>
      </c>
      <c r="C121" s="4">
        <v>296</v>
      </c>
      <c r="D121" s="4">
        <v>0</v>
      </c>
      <c r="E121" s="4">
        <v>0</v>
      </c>
      <c r="F121" s="4">
        <v>0</v>
      </c>
      <c r="G121" s="4">
        <v>0</v>
      </c>
      <c r="H121" s="4">
        <v>1</v>
      </c>
      <c r="I121" s="4">
        <v>1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1</v>
      </c>
      <c r="P121" s="51">
        <f>IFERROR(_xlfn.XLOOKUP(_xlfn.TEXTJOIN(,,D120:O120),Aux!$B$3:$B$4098,'Truth Table'!$N$3:$N$4098),P120)</f>
        <v>-1</v>
      </c>
      <c r="Q121" s="4" t="b" cm="1">
        <f t="array" ref="Q121:U121">IFERROR(_xlfn.XLOOKUP(_xlfn.TEXTJOIN(,,D121:O121),Aux!$B$3:$B$4098,'Truth Table'!$O$3:$S$4098)=1,FALSE)</f>
        <v>1</v>
      </c>
      <c r="R121" s="4" t="b">
        <v>0</v>
      </c>
      <c r="S121" s="4" t="b">
        <v>0</v>
      </c>
      <c r="T121" s="4" t="b">
        <v>0</v>
      </c>
      <c r="U121" s="4" t="b">
        <v>0</v>
      </c>
      <c r="V121" s="4" t="b">
        <f>AND(_xlfn.XLOOKUP(_xlfn.TEXTJOIN(,,D121:O121),Aux!$B$3:$B$4098,'Truth Table'!$T$3:$T$4098)=1,P120&lt;='Line Follower'!$C$7)</f>
        <v>0</v>
      </c>
      <c r="W121" s="4" t="b">
        <f>AND(_xlfn.XLOOKUP(_xlfn.TEXTJOIN(,,D121:O121),Aux!$B$3:$B$4098,'Truth Table'!$U$3:$U$4098)=1,P120&gt;='Line Follower'!$C$6)</f>
        <v>0</v>
      </c>
      <c r="X121" s="4" t="b">
        <f>IFERROR(AND(_xlfn.XLOOKUP(_xlfn.TEXTJOIN(,,D121:O121),Aux!$B$3:$B$4098,'Truth Table'!$V$3:$V$4098)=1,ABS(P120)&lt;='Line Follower'!$C$6),FALSE)</f>
        <v>0</v>
      </c>
      <c r="Y121" s="4" t="b">
        <f t="shared" si="1"/>
        <v>1</v>
      </c>
    </row>
    <row r="122" spans="2:25" x14ac:dyDescent="0.25">
      <c r="B122" s="4">
        <v>119</v>
      </c>
      <c r="C122" s="4">
        <v>307</v>
      </c>
      <c r="D122" s="4">
        <v>0</v>
      </c>
      <c r="E122" s="4">
        <v>0</v>
      </c>
      <c r="F122" s="4">
        <v>0</v>
      </c>
      <c r="G122" s="4">
        <v>0</v>
      </c>
      <c r="H122" s="4">
        <v>1</v>
      </c>
      <c r="I122" s="4">
        <v>1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1</v>
      </c>
      <c r="P122" s="51">
        <f>IFERROR(_xlfn.XLOOKUP(_xlfn.TEXTJOIN(,,D121:O121),Aux!$B$3:$B$4098,'Truth Table'!$N$3:$N$4098),P121)</f>
        <v>-1</v>
      </c>
      <c r="Q122" s="4" t="b" cm="1">
        <f t="array" ref="Q122:U122">IFERROR(_xlfn.XLOOKUP(_xlfn.TEXTJOIN(,,D122:O122),Aux!$B$3:$B$4098,'Truth Table'!$O$3:$S$4098)=1,FALSE)</f>
        <v>1</v>
      </c>
      <c r="R122" s="4" t="b">
        <v>0</v>
      </c>
      <c r="S122" s="4" t="b">
        <v>0</v>
      </c>
      <c r="T122" s="4" t="b">
        <v>0</v>
      </c>
      <c r="U122" s="4" t="b">
        <v>0</v>
      </c>
      <c r="V122" s="4" t="b">
        <f>AND(_xlfn.XLOOKUP(_xlfn.TEXTJOIN(,,D122:O122),Aux!$B$3:$B$4098,'Truth Table'!$T$3:$T$4098)=1,P121&lt;='Line Follower'!$C$7)</f>
        <v>0</v>
      </c>
      <c r="W122" s="4" t="b">
        <f>AND(_xlfn.XLOOKUP(_xlfn.TEXTJOIN(,,D122:O122),Aux!$B$3:$B$4098,'Truth Table'!$U$3:$U$4098)=1,P121&gt;='Line Follower'!$C$6)</f>
        <v>0</v>
      </c>
      <c r="X122" s="4" t="b">
        <f>IFERROR(AND(_xlfn.XLOOKUP(_xlfn.TEXTJOIN(,,D122:O122),Aux!$B$3:$B$4098,'Truth Table'!$V$3:$V$4098)=1,ABS(P121)&lt;='Line Follower'!$C$6),FALSE)</f>
        <v>0</v>
      </c>
      <c r="Y122" s="4" t="b">
        <f t="shared" si="1"/>
        <v>1</v>
      </c>
    </row>
    <row r="123" spans="2:25" x14ac:dyDescent="0.25">
      <c r="B123" s="4">
        <v>120</v>
      </c>
      <c r="C123" s="4">
        <v>315</v>
      </c>
      <c r="D123" s="4">
        <v>0</v>
      </c>
      <c r="E123" s="4">
        <v>0</v>
      </c>
      <c r="F123" s="4">
        <v>0</v>
      </c>
      <c r="G123" s="4">
        <v>0</v>
      </c>
      <c r="H123" s="4">
        <v>1</v>
      </c>
      <c r="I123" s="4">
        <v>1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1</v>
      </c>
      <c r="P123" s="51">
        <f>IFERROR(_xlfn.XLOOKUP(_xlfn.TEXTJOIN(,,D122:O122),Aux!$B$3:$B$4098,'Truth Table'!$N$3:$N$4098),P122)</f>
        <v>-1</v>
      </c>
      <c r="Q123" s="4" t="b" cm="1">
        <f t="array" ref="Q123:U123">IFERROR(_xlfn.XLOOKUP(_xlfn.TEXTJOIN(,,D123:O123),Aux!$B$3:$B$4098,'Truth Table'!$O$3:$S$4098)=1,FALSE)</f>
        <v>1</v>
      </c>
      <c r="R123" s="4" t="b">
        <v>0</v>
      </c>
      <c r="S123" s="4" t="b">
        <v>0</v>
      </c>
      <c r="T123" s="4" t="b">
        <v>0</v>
      </c>
      <c r="U123" s="4" t="b">
        <v>0</v>
      </c>
      <c r="V123" s="4" t="b">
        <f>AND(_xlfn.XLOOKUP(_xlfn.TEXTJOIN(,,D123:O123),Aux!$B$3:$B$4098,'Truth Table'!$T$3:$T$4098)=1,P122&lt;='Line Follower'!$C$7)</f>
        <v>0</v>
      </c>
      <c r="W123" s="4" t="b">
        <f>AND(_xlfn.XLOOKUP(_xlfn.TEXTJOIN(,,D123:O123),Aux!$B$3:$B$4098,'Truth Table'!$U$3:$U$4098)=1,P122&gt;='Line Follower'!$C$6)</f>
        <v>0</v>
      </c>
      <c r="X123" s="4" t="b">
        <f>IFERROR(AND(_xlfn.XLOOKUP(_xlfn.TEXTJOIN(,,D123:O123),Aux!$B$3:$B$4098,'Truth Table'!$V$3:$V$4098)=1,ABS(P122)&lt;='Line Follower'!$C$6),FALSE)</f>
        <v>0</v>
      </c>
      <c r="Y123" s="4" t="b">
        <f t="shared" si="1"/>
        <v>1</v>
      </c>
    </row>
    <row r="124" spans="2:25" x14ac:dyDescent="0.25">
      <c r="B124" s="4">
        <v>121</v>
      </c>
      <c r="C124" s="4">
        <v>329</v>
      </c>
      <c r="D124" s="4">
        <v>0</v>
      </c>
      <c r="E124" s="4">
        <v>0</v>
      </c>
      <c r="F124" s="4">
        <v>0</v>
      </c>
      <c r="G124" s="4">
        <v>0</v>
      </c>
      <c r="H124" s="4">
        <v>1</v>
      </c>
      <c r="I124" s="4">
        <v>1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1</v>
      </c>
      <c r="P124" s="51">
        <f>IFERROR(_xlfn.XLOOKUP(_xlfn.TEXTJOIN(,,D123:O123),Aux!$B$3:$B$4098,'Truth Table'!$N$3:$N$4098),P123)</f>
        <v>-1</v>
      </c>
      <c r="Q124" s="4" t="b" cm="1">
        <f t="array" ref="Q124:U124">IFERROR(_xlfn.XLOOKUP(_xlfn.TEXTJOIN(,,D124:O124),Aux!$B$3:$B$4098,'Truth Table'!$O$3:$S$4098)=1,FALSE)</f>
        <v>1</v>
      </c>
      <c r="R124" s="4" t="b">
        <v>0</v>
      </c>
      <c r="S124" s="4" t="b">
        <v>0</v>
      </c>
      <c r="T124" s="4" t="b">
        <v>0</v>
      </c>
      <c r="U124" s="4" t="b">
        <v>0</v>
      </c>
      <c r="V124" s="4" t="b">
        <f>AND(_xlfn.XLOOKUP(_xlfn.TEXTJOIN(,,D124:O124),Aux!$B$3:$B$4098,'Truth Table'!$T$3:$T$4098)=1,P123&lt;='Line Follower'!$C$7)</f>
        <v>0</v>
      </c>
      <c r="W124" s="4" t="b">
        <f>AND(_xlfn.XLOOKUP(_xlfn.TEXTJOIN(,,D124:O124),Aux!$B$3:$B$4098,'Truth Table'!$U$3:$U$4098)=1,P123&gt;='Line Follower'!$C$6)</f>
        <v>0</v>
      </c>
      <c r="X124" s="4" t="b">
        <f>IFERROR(AND(_xlfn.XLOOKUP(_xlfn.TEXTJOIN(,,D124:O124),Aux!$B$3:$B$4098,'Truth Table'!$V$3:$V$4098)=1,ABS(P123)&lt;='Line Follower'!$C$6),FALSE)</f>
        <v>0</v>
      </c>
      <c r="Y124" s="4" t="b">
        <f t="shared" si="1"/>
        <v>1</v>
      </c>
    </row>
    <row r="125" spans="2:25" x14ac:dyDescent="0.25">
      <c r="B125" s="4">
        <v>122</v>
      </c>
      <c r="C125" s="4">
        <v>338</v>
      </c>
      <c r="D125" s="4">
        <v>0</v>
      </c>
      <c r="E125" s="4">
        <v>0</v>
      </c>
      <c r="F125" s="4">
        <v>0</v>
      </c>
      <c r="G125" s="4">
        <v>0</v>
      </c>
      <c r="H125" s="4">
        <v>1</v>
      </c>
      <c r="I125" s="4">
        <v>1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1</v>
      </c>
      <c r="P125" s="51">
        <f>IFERROR(_xlfn.XLOOKUP(_xlfn.TEXTJOIN(,,D124:O124),Aux!$B$3:$B$4098,'Truth Table'!$N$3:$N$4098),P124)</f>
        <v>-1</v>
      </c>
      <c r="Q125" s="4" t="b" cm="1">
        <f t="array" ref="Q125:U125">IFERROR(_xlfn.XLOOKUP(_xlfn.TEXTJOIN(,,D125:O125),Aux!$B$3:$B$4098,'Truth Table'!$O$3:$S$4098)=1,FALSE)</f>
        <v>1</v>
      </c>
      <c r="R125" s="4" t="b">
        <v>0</v>
      </c>
      <c r="S125" s="4" t="b">
        <v>0</v>
      </c>
      <c r="T125" s="4" t="b">
        <v>0</v>
      </c>
      <c r="U125" s="4" t="b">
        <v>0</v>
      </c>
      <c r="V125" s="4" t="b">
        <f>AND(_xlfn.XLOOKUP(_xlfn.TEXTJOIN(,,D125:O125),Aux!$B$3:$B$4098,'Truth Table'!$T$3:$T$4098)=1,P124&lt;='Line Follower'!$C$7)</f>
        <v>0</v>
      </c>
      <c r="W125" s="4" t="b">
        <f>AND(_xlfn.XLOOKUP(_xlfn.TEXTJOIN(,,D125:O125),Aux!$B$3:$B$4098,'Truth Table'!$U$3:$U$4098)=1,P124&gt;='Line Follower'!$C$6)</f>
        <v>0</v>
      </c>
      <c r="X125" s="4" t="b">
        <f>IFERROR(AND(_xlfn.XLOOKUP(_xlfn.TEXTJOIN(,,D125:O125),Aux!$B$3:$B$4098,'Truth Table'!$V$3:$V$4098)=1,ABS(P124)&lt;='Line Follower'!$C$6),FALSE)</f>
        <v>0</v>
      </c>
      <c r="Y125" s="4" t="b">
        <f t="shared" si="1"/>
        <v>1</v>
      </c>
    </row>
    <row r="126" spans="2:25" x14ac:dyDescent="0.25">
      <c r="B126" s="4">
        <v>123</v>
      </c>
      <c r="C126" s="4">
        <v>369</v>
      </c>
      <c r="D126" s="4">
        <v>0</v>
      </c>
      <c r="E126" s="4">
        <v>0</v>
      </c>
      <c r="F126" s="4">
        <v>0</v>
      </c>
      <c r="G126" s="4">
        <v>0</v>
      </c>
      <c r="H126" s="4">
        <v>1</v>
      </c>
      <c r="I126" s="4">
        <v>1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1</v>
      </c>
      <c r="P126" s="51">
        <f>IFERROR(_xlfn.XLOOKUP(_xlfn.TEXTJOIN(,,D125:O125),Aux!$B$3:$B$4098,'Truth Table'!$N$3:$N$4098),P125)</f>
        <v>-1</v>
      </c>
      <c r="Q126" s="4" t="b" cm="1">
        <f t="array" ref="Q126:U126">IFERROR(_xlfn.XLOOKUP(_xlfn.TEXTJOIN(,,D126:O126),Aux!$B$3:$B$4098,'Truth Table'!$O$3:$S$4098)=1,FALSE)</f>
        <v>1</v>
      </c>
      <c r="R126" s="4" t="b">
        <v>0</v>
      </c>
      <c r="S126" s="4" t="b">
        <v>0</v>
      </c>
      <c r="T126" s="4" t="b">
        <v>0</v>
      </c>
      <c r="U126" s="4" t="b">
        <v>0</v>
      </c>
      <c r="V126" s="4" t="b">
        <f>AND(_xlfn.XLOOKUP(_xlfn.TEXTJOIN(,,D126:O126),Aux!$B$3:$B$4098,'Truth Table'!$T$3:$T$4098)=1,P125&lt;='Line Follower'!$C$7)</f>
        <v>0</v>
      </c>
      <c r="W126" s="4" t="b">
        <f>AND(_xlfn.XLOOKUP(_xlfn.TEXTJOIN(,,D126:O126),Aux!$B$3:$B$4098,'Truth Table'!$U$3:$U$4098)=1,P125&gt;='Line Follower'!$C$6)</f>
        <v>0</v>
      </c>
      <c r="X126" s="4" t="b">
        <f>IFERROR(AND(_xlfn.XLOOKUP(_xlfn.TEXTJOIN(,,D126:O126),Aux!$B$3:$B$4098,'Truth Table'!$V$3:$V$4098)=1,ABS(P125)&lt;='Line Follower'!$C$6),FALSE)</f>
        <v>0</v>
      </c>
      <c r="Y126" s="4" t="b">
        <f t="shared" si="1"/>
        <v>1</v>
      </c>
    </row>
    <row r="127" spans="2:25" x14ac:dyDescent="0.25">
      <c r="B127" s="4">
        <v>124</v>
      </c>
      <c r="C127" s="4">
        <v>371</v>
      </c>
      <c r="D127" s="4">
        <v>0</v>
      </c>
      <c r="E127" s="4">
        <v>0</v>
      </c>
      <c r="F127" s="4">
        <v>0</v>
      </c>
      <c r="G127" s="4">
        <v>0</v>
      </c>
      <c r="H127" s="4">
        <v>1</v>
      </c>
      <c r="I127" s="4">
        <v>1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1</v>
      </c>
      <c r="P127" s="51">
        <f>IFERROR(_xlfn.XLOOKUP(_xlfn.TEXTJOIN(,,D126:O126),Aux!$B$3:$B$4098,'Truth Table'!$N$3:$N$4098),P126)</f>
        <v>-1</v>
      </c>
      <c r="Q127" s="4" t="b" cm="1">
        <f t="array" ref="Q127:U127">IFERROR(_xlfn.XLOOKUP(_xlfn.TEXTJOIN(,,D127:O127),Aux!$B$3:$B$4098,'Truth Table'!$O$3:$S$4098)=1,FALSE)</f>
        <v>1</v>
      </c>
      <c r="R127" s="4" t="b">
        <v>0</v>
      </c>
      <c r="S127" s="4" t="b">
        <v>0</v>
      </c>
      <c r="T127" s="4" t="b">
        <v>0</v>
      </c>
      <c r="U127" s="4" t="b">
        <v>0</v>
      </c>
      <c r="V127" s="4" t="b">
        <f>AND(_xlfn.XLOOKUP(_xlfn.TEXTJOIN(,,D127:O127),Aux!$B$3:$B$4098,'Truth Table'!$T$3:$T$4098)=1,P126&lt;='Line Follower'!$C$7)</f>
        <v>0</v>
      </c>
      <c r="W127" s="4" t="b">
        <f>AND(_xlfn.XLOOKUP(_xlfn.TEXTJOIN(,,D127:O127),Aux!$B$3:$B$4098,'Truth Table'!$U$3:$U$4098)=1,P126&gt;='Line Follower'!$C$6)</f>
        <v>0</v>
      </c>
      <c r="X127" s="4" t="b">
        <f>IFERROR(AND(_xlfn.XLOOKUP(_xlfn.TEXTJOIN(,,D127:O127),Aux!$B$3:$B$4098,'Truth Table'!$V$3:$V$4098)=1,ABS(P126)&lt;='Line Follower'!$C$6),FALSE)</f>
        <v>0</v>
      </c>
      <c r="Y127" s="4" t="b">
        <f t="shared" si="1"/>
        <v>1</v>
      </c>
    </row>
    <row r="128" spans="2:25" x14ac:dyDescent="0.25">
      <c r="B128" s="4">
        <v>125</v>
      </c>
      <c r="C128" s="4">
        <v>393</v>
      </c>
      <c r="D128" s="4">
        <v>0</v>
      </c>
      <c r="E128" s="4">
        <v>0</v>
      </c>
      <c r="F128" s="4">
        <v>0</v>
      </c>
      <c r="G128" s="4">
        <v>0</v>
      </c>
      <c r="H128" s="4">
        <v>1</v>
      </c>
      <c r="I128" s="4">
        <v>1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1</v>
      </c>
      <c r="P128" s="51">
        <f>IFERROR(_xlfn.XLOOKUP(_xlfn.TEXTJOIN(,,D127:O127),Aux!$B$3:$B$4098,'Truth Table'!$N$3:$N$4098),P127)</f>
        <v>-1</v>
      </c>
      <c r="Q128" s="4" t="b" cm="1">
        <f t="array" ref="Q128:U128">IFERROR(_xlfn.XLOOKUP(_xlfn.TEXTJOIN(,,D128:O128),Aux!$B$3:$B$4098,'Truth Table'!$O$3:$S$4098)=1,FALSE)</f>
        <v>1</v>
      </c>
      <c r="R128" s="4" t="b">
        <v>0</v>
      </c>
      <c r="S128" s="4" t="b">
        <v>0</v>
      </c>
      <c r="T128" s="4" t="b">
        <v>0</v>
      </c>
      <c r="U128" s="4" t="b">
        <v>0</v>
      </c>
      <c r="V128" s="4" t="b">
        <f>AND(_xlfn.XLOOKUP(_xlfn.TEXTJOIN(,,D128:O128),Aux!$B$3:$B$4098,'Truth Table'!$T$3:$T$4098)=1,P127&lt;='Line Follower'!$C$7)</f>
        <v>0</v>
      </c>
      <c r="W128" s="4" t="b">
        <f>AND(_xlfn.XLOOKUP(_xlfn.TEXTJOIN(,,D128:O128),Aux!$B$3:$B$4098,'Truth Table'!$U$3:$U$4098)=1,P127&gt;='Line Follower'!$C$6)</f>
        <v>0</v>
      </c>
      <c r="X128" s="4" t="b">
        <f>IFERROR(AND(_xlfn.XLOOKUP(_xlfn.TEXTJOIN(,,D128:O128),Aux!$B$3:$B$4098,'Truth Table'!$V$3:$V$4098)=1,ABS(P127)&lt;='Line Follower'!$C$6),FALSE)</f>
        <v>0</v>
      </c>
      <c r="Y128" s="4" t="b">
        <f t="shared" si="1"/>
        <v>1</v>
      </c>
    </row>
    <row r="129" spans="2:25" x14ac:dyDescent="0.25">
      <c r="B129" s="4">
        <v>126</v>
      </c>
      <c r="C129" s="4">
        <v>394</v>
      </c>
      <c r="D129" s="4">
        <v>0</v>
      </c>
      <c r="E129" s="4">
        <v>0</v>
      </c>
      <c r="F129" s="4">
        <v>0</v>
      </c>
      <c r="G129" s="4">
        <v>0</v>
      </c>
      <c r="H129" s="4">
        <v>1</v>
      </c>
      <c r="I129" s="4">
        <v>1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1</v>
      </c>
      <c r="P129" s="51">
        <f>IFERROR(_xlfn.XLOOKUP(_xlfn.TEXTJOIN(,,D128:O128),Aux!$B$3:$B$4098,'Truth Table'!$N$3:$N$4098),P128)</f>
        <v>-1</v>
      </c>
      <c r="Q129" s="4" t="b" cm="1">
        <f t="array" ref="Q129:U129">IFERROR(_xlfn.XLOOKUP(_xlfn.TEXTJOIN(,,D129:O129),Aux!$B$3:$B$4098,'Truth Table'!$O$3:$S$4098)=1,FALSE)</f>
        <v>1</v>
      </c>
      <c r="R129" s="4" t="b">
        <v>0</v>
      </c>
      <c r="S129" s="4" t="b">
        <v>0</v>
      </c>
      <c r="T129" s="4" t="b">
        <v>0</v>
      </c>
      <c r="U129" s="4" t="b">
        <v>0</v>
      </c>
      <c r="V129" s="4" t="b">
        <f>AND(_xlfn.XLOOKUP(_xlfn.TEXTJOIN(,,D129:O129),Aux!$B$3:$B$4098,'Truth Table'!$T$3:$T$4098)=1,P128&lt;='Line Follower'!$C$7)</f>
        <v>0</v>
      </c>
      <c r="W129" s="4" t="b">
        <f>AND(_xlfn.XLOOKUP(_xlfn.TEXTJOIN(,,D129:O129),Aux!$B$3:$B$4098,'Truth Table'!$U$3:$U$4098)=1,P128&gt;='Line Follower'!$C$6)</f>
        <v>0</v>
      </c>
      <c r="X129" s="4" t="b">
        <f>IFERROR(AND(_xlfn.XLOOKUP(_xlfn.TEXTJOIN(,,D129:O129),Aux!$B$3:$B$4098,'Truth Table'!$V$3:$V$4098)=1,ABS(P128)&lt;='Line Follower'!$C$6),FALSE)</f>
        <v>0</v>
      </c>
      <c r="Y129" s="4" t="b">
        <f t="shared" si="1"/>
        <v>1</v>
      </c>
    </row>
    <row r="130" spans="2:25" x14ac:dyDescent="0.25">
      <c r="B130" s="4">
        <v>127</v>
      </c>
      <c r="C130" s="4">
        <v>395</v>
      </c>
      <c r="D130" s="4">
        <v>0</v>
      </c>
      <c r="E130" s="4">
        <v>0</v>
      </c>
      <c r="F130" s="4">
        <v>0</v>
      </c>
      <c r="G130" s="4">
        <v>0</v>
      </c>
      <c r="H130" s="4">
        <v>1</v>
      </c>
      <c r="I130" s="4">
        <v>1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1</v>
      </c>
      <c r="P130" s="51">
        <f>IFERROR(_xlfn.XLOOKUP(_xlfn.TEXTJOIN(,,D129:O129),Aux!$B$3:$B$4098,'Truth Table'!$N$3:$N$4098),P129)</f>
        <v>-1</v>
      </c>
      <c r="Q130" s="4" t="b" cm="1">
        <f t="array" ref="Q130:U130">IFERROR(_xlfn.XLOOKUP(_xlfn.TEXTJOIN(,,D130:O130),Aux!$B$3:$B$4098,'Truth Table'!$O$3:$S$4098)=1,FALSE)</f>
        <v>1</v>
      </c>
      <c r="R130" s="4" t="b">
        <v>0</v>
      </c>
      <c r="S130" s="4" t="b">
        <v>0</v>
      </c>
      <c r="T130" s="4" t="b">
        <v>0</v>
      </c>
      <c r="U130" s="4" t="b">
        <v>0</v>
      </c>
      <c r="V130" s="4" t="b">
        <f>AND(_xlfn.XLOOKUP(_xlfn.TEXTJOIN(,,D130:O130),Aux!$B$3:$B$4098,'Truth Table'!$T$3:$T$4098)=1,P129&lt;='Line Follower'!$C$7)</f>
        <v>0</v>
      </c>
      <c r="W130" s="4" t="b">
        <f>AND(_xlfn.XLOOKUP(_xlfn.TEXTJOIN(,,D130:O130),Aux!$B$3:$B$4098,'Truth Table'!$U$3:$U$4098)=1,P129&gt;='Line Follower'!$C$6)</f>
        <v>0</v>
      </c>
      <c r="X130" s="4" t="b">
        <f>IFERROR(AND(_xlfn.XLOOKUP(_xlfn.TEXTJOIN(,,D130:O130),Aux!$B$3:$B$4098,'Truth Table'!$V$3:$V$4098)=1,ABS(P129)&lt;='Line Follower'!$C$6),FALSE)</f>
        <v>0</v>
      </c>
      <c r="Y130" s="4" t="b">
        <f t="shared" si="1"/>
        <v>1</v>
      </c>
    </row>
    <row r="131" spans="2:25" x14ac:dyDescent="0.25">
      <c r="B131" s="4">
        <v>128</v>
      </c>
      <c r="C131" s="4">
        <v>395</v>
      </c>
      <c r="D131" s="4">
        <v>0</v>
      </c>
      <c r="E131" s="4">
        <v>0</v>
      </c>
      <c r="F131" s="4">
        <v>0</v>
      </c>
      <c r="G131" s="4">
        <v>0</v>
      </c>
      <c r="H131" s="4">
        <v>1</v>
      </c>
      <c r="I131" s="4">
        <v>1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1</v>
      </c>
      <c r="P131" s="51">
        <f>IFERROR(_xlfn.XLOOKUP(_xlfn.TEXTJOIN(,,D130:O130),Aux!$B$3:$B$4098,'Truth Table'!$N$3:$N$4098),P130)</f>
        <v>-1</v>
      </c>
      <c r="Q131" s="4" t="b" cm="1">
        <f t="array" ref="Q131:U131">IFERROR(_xlfn.XLOOKUP(_xlfn.TEXTJOIN(,,D131:O131),Aux!$B$3:$B$4098,'Truth Table'!$O$3:$S$4098)=1,FALSE)</f>
        <v>1</v>
      </c>
      <c r="R131" s="4" t="b">
        <v>0</v>
      </c>
      <c r="S131" s="4" t="b">
        <v>0</v>
      </c>
      <c r="T131" s="4" t="b">
        <v>0</v>
      </c>
      <c r="U131" s="4" t="b">
        <v>0</v>
      </c>
      <c r="V131" s="4" t="b">
        <f>AND(_xlfn.XLOOKUP(_xlfn.TEXTJOIN(,,D131:O131),Aux!$B$3:$B$4098,'Truth Table'!$T$3:$T$4098)=1,P130&lt;='Line Follower'!$C$7)</f>
        <v>0</v>
      </c>
      <c r="W131" s="4" t="b">
        <f>AND(_xlfn.XLOOKUP(_xlfn.TEXTJOIN(,,D131:O131),Aux!$B$3:$B$4098,'Truth Table'!$U$3:$U$4098)=1,P130&gt;='Line Follower'!$C$6)</f>
        <v>0</v>
      </c>
      <c r="X131" s="4" t="b">
        <f>IFERROR(AND(_xlfn.XLOOKUP(_xlfn.TEXTJOIN(,,D131:O131),Aux!$B$3:$B$4098,'Truth Table'!$V$3:$V$4098)=1,ABS(P130)&lt;='Line Follower'!$C$6),FALSE)</f>
        <v>0</v>
      </c>
      <c r="Y131" s="4" t="b">
        <f t="shared" si="1"/>
        <v>1</v>
      </c>
    </row>
    <row r="132" spans="2:25" x14ac:dyDescent="0.25">
      <c r="B132" s="4">
        <v>129</v>
      </c>
      <c r="C132" s="4">
        <v>397</v>
      </c>
      <c r="D132" s="4">
        <v>0</v>
      </c>
      <c r="E132" s="4">
        <v>0</v>
      </c>
      <c r="F132" s="4">
        <v>0</v>
      </c>
      <c r="G132" s="4">
        <v>0</v>
      </c>
      <c r="H132" s="4">
        <v>1</v>
      </c>
      <c r="I132" s="4">
        <v>1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1</v>
      </c>
      <c r="P132" s="51">
        <f>IFERROR(_xlfn.XLOOKUP(_xlfn.TEXTJOIN(,,D131:O131),Aux!$B$3:$B$4098,'Truth Table'!$N$3:$N$4098),P131)</f>
        <v>-1</v>
      </c>
      <c r="Q132" s="4" t="b" cm="1">
        <f t="array" ref="Q132:U132">IFERROR(_xlfn.XLOOKUP(_xlfn.TEXTJOIN(,,D132:O132),Aux!$B$3:$B$4098,'Truth Table'!$O$3:$S$4098)=1,FALSE)</f>
        <v>1</v>
      </c>
      <c r="R132" s="4" t="b">
        <v>0</v>
      </c>
      <c r="S132" s="4" t="b">
        <v>0</v>
      </c>
      <c r="T132" s="4" t="b">
        <v>0</v>
      </c>
      <c r="U132" s="4" t="b">
        <v>0</v>
      </c>
      <c r="V132" s="4" t="b">
        <f>AND(_xlfn.XLOOKUP(_xlfn.TEXTJOIN(,,D132:O132),Aux!$B$3:$B$4098,'Truth Table'!$T$3:$T$4098)=1,P131&lt;='Line Follower'!$C$7)</f>
        <v>0</v>
      </c>
      <c r="W132" s="4" t="b">
        <f>AND(_xlfn.XLOOKUP(_xlfn.TEXTJOIN(,,D132:O132),Aux!$B$3:$B$4098,'Truth Table'!$U$3:$U$4098)=1,P131&gt;='Line Follower'!$C$6)</f>
        <v>0</v>
      </c>
      <c r="X132" s="4" t="b">
        <f>IFERROR(AND(_xlfn.XLOOKUP(_xlfn.TEXTJOIN(,,D132:O132),Aux!$B$3:$B$4098,'Truth Table'!$V$3:$V$4098)=1,ABS(P131)&lt;='Line Follower'!$C$6),FALSE)</f>
        <v>0</v>
      </c>
      <c r="Y132" s="4" t="b">
        <f t="shared" ref="Y132:Y195" si="2">OR(Q132:X132)</f>
        <v>1</v>
      </c>
    </row>
    <row r="133" spans="2:25" x14ac:dyDescent="0.25">
      <c r="B133" s="4">
        <v>130</v>
      </c>
      <c r="C133" s="4">
        <v>412</v>
      </c>
      <c r="D133" s="4">
        <v>0</v>
      </c>
      <c r="E133" s="4">
        <v>0</v>
      </c>
      <c r="F133" s="4">
        <v>0</v>
      </c>
      <c r="G133" s="4">
        <v>0</v>
      </c>
      <c r="H133" s="4">
        <v>1</v>
      </c>
      <c r="I133" s="4">
        <v>1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1</v>
      </c>
      <c r="P133" s="51">
        <f>IFERROR(_xlfn.XLOOKUP(_xlfn.TEXTJOIN(,,D132:O132),Aux!$B$3:$B$4098,'Truth Table'!$N$3:$N$4098),P132)</f>
        <v>-1</v>
      </c>
      <c r="Q133" s="4" t="b" cm="1">
        <f t="array" ref="Q133:U133">IFERROR(_xlfn.XLOOKUP(_xlfn.TEXTJOIN(,,D133:O133),Aux!$B$3:$B$4098,'Truth Table'!$O$3:$S$4098)=1,FALSE)</f>
        <v>1</v>
      </c>
      <c r="R133" s="4" t="b">
        <v>0</v>
      </c>
      <c r="S133" s="4" t="b">
        <v>0</v>
      </c>
      <c r="T133" s="4" t="b">
        <v>0</v>
      </c>
      <c r="U133" s="4" t="b">
        <v>0</v>
      </c>
      <c r="V133" s="4" t="b">
        <f>AND(_xlfn.XLOOKUP(_xlfn.TEXTJOIN(,,D133:O133),Aux!$B$3:$B$4098,'Truth Table'!$T$3:$T$4098)=1,P132&lt;='Line Follower'!$C$7)</f>
        <v>0</v>
      </c>
      <c r="W133" s="4" t="b">
        <f>AND(_xlfn.XLOOKUP(_xlfn.TEXTJOIN(,,D133:O133),Aux!$B$3:$B$4098,'Truth Table'!$U$3:$U$4098)=1,P132&gt;='Line Follower'!$C$6)</f>
        <v>0</v>
      </c>
      <c r="X133" s="4" t="b">
        <f>IFERROR(AND(_xlfn.XLOOKUP(_xlfn.TEXTJOIN(,,D133:O133),Aux!$B$3:$B$4098,'Truth Table'!$V$3:$V$4098)=1,ABS(P132)&lt;='Line Follower'!$C$6),FALSE)</f>
        <v>0</v>
      </c>
      <c r="Y133" s="4" t="b">
        <f t="shared" si="2"/>
        <v>1</v>
      </c>
    </row>
    <row r="134" spans="2:25" x14ac:dyDescent="0.25">
      <c r="B134" s="4">
        <v>131</v>
      </c>
      <c r="C134" s="4">
        <v>418</v>
      </c>
      <c r="D134" s="4">
        <v>0</v>
      </c>
      <c r="E134" s="4">
        <v>0</v>
      </c>
      <c r="F134" s="4">
        <v>0</v>
      </c>
      <c r="G134" s="4">
        <v>0</v>
      </c>
      <c r="H134" s="4">
        <v>1</v>
      </c>
      <c r="I134" s="4">
        <v>1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1</v>
      </c>
      <c r="P134" s="51">
        <f>IFERROR(_xlfn.XLOOKUP(_xlfn.TEXTJOIN(,,D133:O133),Aux!$B$3:$B$4098,'Truth Table'!$N$3:$N$4098),P133)</f>
        <v>-1</v>
      </c>
      <c r="Q134" s="4" t="b" cm="1">
        <f t="array" ref="Q134:U134">IFERROR(_xlfn.XLOOKUP(_xlfn.TEXTJOIN(,,D134:O134),Aux!$B$3:$B$4098,'Truth Table'!$O$3:$S$4098)=1,FALSE)</f>
        <v>1</v>
      </c>
      <c r="R134" s="4" t="b">
        <v>0</v>
      </c>
      <c r="S134" s="4" t="b">
        <v>0</v>
      </c>
      <c r="T134" s="4" t="b">
        <v>0</v>
      </c>
      <c r="U134" s="4" t="b">
        <v>0</v>
      </c>
      <c r="V134" s="4" t="b">
        <f>AND(_xlfn.XLOOKUP(_xlfn.TEXTJOIN(,,D134:O134),Aux!$B$3:$B$4098,'Truth Table'!$T$3:$T$4098)=1,P133&lt;='Line Follower'!$C$7)</f>
        <v>0</v>
      </c>
      <c r="W134" s="4" t="b">
        <f>AND(_xlfn.XLOOKUP(_xlfn.TEXTJOIN(,,D134:O134),Aux!$B$3:$B$4098,'Truth Table'!$U$3:$U$4098)=1,P133&gt;='Line Follower'!$C$6)</f>
        <v>0</v>
      </c>
      <c r="X134" s="4" t="b">
        <f>IFERROR(AND(_xlfn.XLOOKUP(_xlfn.TEXTJOIN(,,D134:O134),Aux!$B$3:$B$4098,'Truth Table'!$V$3:$V$4098)=1,ABS(P133)&lt;='Line Follower'!$C$6),FALSE)</f>
        <v>0</v>
      </c>
      <c r="Y134" s="4" t="b">
        <f t="shared" si="2"/>
        <v>1</v>
      </c>
    </row>
    <row r="135" spans="2:25" x14ac:dyDescent="0.25">
      <c r="B135" s="4">
        <v>132</v>
      </c>
      <c r="C135" s="4">
        <v>429</v>
      </c>
      <c r="D135" s="4">
        <v>0</v>
      </c>
      <c r="E135" s="4">
        <v>0</v>
      </c>
      <c r="F135" s="4">
        <v>0</v>
      </c>
      <c r="G135" s="4">
        <v>0</v>
      </c>
      <c r="H135" s="4">
        <v>1</v>
      </c>
      <c r="I135" s="4">
        <v>1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1</v>
      </c>
      <c r="P135" s="51">
        <f>IFERROR(_xlfn.XLOOKUP(_xlfn.TEXTJOIN(,,D134:O134),Aux!$B$3:$B$4098,'Truth Table'!$N$3:$N$4098),P134)</f>
        <v>-1</v>
      </c>
      <c r="Q135" s="4" t="b" cm="1">
        <f t="array" ref="Q135:U135">IFERROR(_xlfn.XLOOKUP(_xlfn.TEXTJOIN(,,D135:O135),Aux!$B$3:$B$4098,'Truth Table'!$O$3:$S$4098)=1,FALSE)</f>
        <v>1</v>
      </c>
      <c r="R135" s="4" t="b">
        <v>0</v>
      </c>
      <c r="S135" s="4" t="b">
        <v>0</v>
      </c>
      <c r="T135" s="4" t="b">
        <v>0</v>
      </c>
      <c r="U135" s="4" t="b">
        <v>0</v>
      </c>
      <c r="V135" s="4" t="b">
        <f>AND(_xlfn.XLOOKUP(_xlfn.TEXTJOIN(,,D135:O135),Aux!$B$3:$B$4098,'Truth Table'!$T$3:$T$4098)=1,P134&lt;='Line Follower'!$C$7)</f>
        <v>0</v>
      </c>
      <c r="W135" s="4" t="b">
        <f>AND(_xlfn.XLOOKUP(_xlfn.TEXTJOIN(,,D135:O135),Aux!$B$3:$B$4098,'Truth Table'!$U$3:$U$4098)=1,P134&gt;='Line Follower'!$C$6)</f>
        <v>0</v>
      </c>
      <c r="X135" s="4" t="b">
        <f>IFERROR(AND(_xlfn.XLOOKUP(_xlfn.TEXTJOIN(,,D135:O135),Aux!$B$3:$B$4098,'Truth Table'!$V$3:$V$4098)=1,ABS(P134)&lt;='Line Follower'!$C$6),FALSE)</f>
        <v>0</v>
      </c>
      <c r="Y135" s="4" t="b">
        <f t="shared" si="2"/>
        <v>1</v>
      </c>
    </row>
    <row r="136" spans="2:25" x14ac:dyDescent="0.25">
      <c r="B136" s="4">
        <v>133</v>
      </c>
      <c r="C136" s="4">
        <v>438</v>
      </c>
      <c r="D136" s="4">
        <v>0</v>
      </c>
      <c r="E136" s="4">
        <v>0</v>
      </c>
      <c r="F136" s="4">
        <v>0</v>
      </c>
      <c r="G136" s="4">
        <v>0</v>
      </c>
      <c r="H136" s="4">
        <v>1</v>
      </c>
      <c r="I136" s="4">
        <v>1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1</v>
      </c>
      <c r="P136" s="51">
        <f>IFERROR(_xlfn.XLOOKUP(_xlfn.TEXTJOIN(,,D135:O135),Aux!$B$3:$B$4098,'Truth Table'!$N$3:$N$4098),P135)</f>
        <v>-1</v>
      </c>
      <c r="Q136" s="4" t="b" cm="1">
        <f t="array" ref="Q136:U136">IFERROR(_xlfn.XLOOKUP(_xlfn.TEXTJOIN(,,D136:O136),Aux!$B$3:$B$4098,'Truth Table'!$O$3:$S$4098)=1,FALSE)</f>
        <v>1</v>
      </c>
      <c r="R136" s="4" t="b">
        <v>0</v>
      </c>
      <c r="S136" s="4" t="b">
        <v>0</v>
      </c>
      <c r="T136" s="4" t="b">
        <v>0</v>
      </c>
      <c r="U136" s="4" t="b">
        <v>0</v>
      </c>
      <c r="V136" s="4" t="b">
        <f>AND(_xlfn.XLOOKUP(_xlfn.TEXTJOIN(,,D136:O136),Aux!$B$3:$B$4098,'Truth Table'!$T$3:$T$4098)=1,P135&lt;='Line Follower'!$C$7)</f>
        <v>0</v>
      </c>
      <c r="W136" s="4" t="b">
        <f>AND(_xlfn.XLOOKUP(_xlfn.TEXTJOIN(,,D136:O136),Aux!$B$3:$B$4098,'Truth Table'!$U$3:$U$4098)=1,P135&gt;='Line Follower'!$C$6)</f>
        <v>0</v>
      </c>
      <c r="X136" s="4" t="b">
        <f>IFERROR(AND(_xlfn.XLOOKUP(_xlfn.TEXTJOIN(,,D136:O136),Aux!$B$3:$B$4098,'Truth Table'!$V$3:$V$4098)=1,ABS(P135)&lt;='Line Follower'!$C$6),FALSE)</f>
        <v>0</v>
      </c>
      <c r="Y136" s="4" t="b">
        <f t="shared" si="2"/>
        <v>1</v>
      </c>
    </row>
    <row r="137" spans="2:25" x14ac:dyDescent="0.25">
      <c r="B137" s="4">
        <v>134</v>
      </c>
      <c r="C137" s="4">
        <v>452</v>
      </c>
      <c r="D137" s="4">
        <v>0</v>
      </c>
      <c r="E137" s="4">
        <v>0</v>
      </c>
      <c r="F137" s="4">
        <v>0</v>
      </c>
      <c r="G137" s="4">
        <v>0</v>
      </c>
      <c r="H137" s="4">
        <v>1</v>
      </c>
      <c r="I137" s="4">
        <v>1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1</v>
      </c>
      <c r="P137" s="51">
        <f>IFERROR(_xlfn.XLOOKUP(_xlfn.TEXTJOIN(,,D136:O136),Aux!$B$3:$B$4098,'Truth Table'!$N$3:$N$4098),P136)</f>
        <v>-1</v>
      </c>
      <c r="Q137" s="4" t="b" cm="1">
        <f t="array" ref="Q137:U137">IFERROR(_xlfn.XLOOKUP(_xlfn.TEXTJOIN(,,D137:O137),Aux!$B$3:$B$4098,'Truth Table'!$O$3:$S$4098)=1,FALSE)</f>
        <v>1</v>
      </c>
      <c r="R137" s="4" t="b">
        <v>0</v>
      </c>
      <c r="S137" s="4" t="b">
        <v>0</v>
      </c>
      <c r="T137" s="4" t="b">
        <v>0</v>
      </c>
      <c r="U137" s="4" t="b">
        <v>0</v>
      </c>
      <c r="V137" s="4" t="b">
        <f>AND(_xlfn.XLOOKUP(_xlfn.TEXTJOIN(,,D137:O137),Aux!$B$3:$B$4098,'Truth Table'!$T$3:$T$4098)=1,P136&lt;='Line Follower'!$C$7)</f>
        <v>0</v>
      </c>
      <c r="W137" s="4" t="b">
        <f>AND(_xlfn.XLOOKUP(_xlfn.TEXTJOIN(,,D137:O137),Aux!$B$3:$B$4098,'Truth Table'!$U$3:$U$4098)=1,P136&gt;='Line Follower'!$C$6)</f>
        <v>0</v>
      </c>
      <c r="X137" s="4" t="b">
        <f>IFERROR(AND(_xlfn.XLOOKUP(_xlfn.TEXTJOIN(,,D137:O137),Aux!$B$3:$B$4098,'Truth Table'!$V$3:$V$4098)=1,ABS(P136)&lt;='Line Follower'!$C$6),FALSE)</f>
        <v>0</v>
      </c>
      <c r="Y137" s="4" t="b">
        <f t="shared" si="2"/>
        <v>1</v>
      </c>
    </row>
    <row r="138" spans="2:25" x14ac:dyDescent="0.25">
      <c r="B138" s="4">
        <v>135</v>
      </c>
      <c r="C138" s="4">
        <v>460</v>
      </c>
      <c r="D138" s="4">
        <v>0</v>
      </c>
      <c r="E138" s="4">
        <v>0</v>
      </c>
      <c r="F138" s="4">
        <v>0</v>
      </c>
      <c r="G138" s="4">
        <v>0</v>
      </c>
      <c r="H138" s="4">
        <v>1</v>
      </c>
      <c r="I138" s="4">
        <v>1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1</v>
      </c>
      <c r="P138" s="51">
        <f>IFERROR(_xlfn.XLOOKUP(_xlfn.TEXTJOIN(,,D137:O137),Aux!$B$3:$B$4098,'Truth Table'!$N$3:$N$4098),P137)</f>
        <v>-1</v>
      </c>
      <c r="Q138" s="4" t="b" cm="1">
        <f t="array" ref="Q138:U138">IFERROR(_xlfn.XLOOKUP(_xlfn.TEXTJOIN(,,D138:O138),Aux!$B$3:$B$4098,'Truth Table'!$O$3:$S$4098)=1,FALSE)</f>
        <v>1</v>
      </c>
      <c r="R138" s="4" t="b">
        <v>0</v>
      </c>
      <c r="S138" s="4" t="b">
        <v>0</v>
      </c>
      <c r="T138" s="4" t="b">
        <v>0</v>
      </c>
      <c r="U138" s="4" t="b">
        <v>0</v>
      </c>
      <c r="V138" s="4" t="b">
        <f>AND(_xlfn.XLOOKUP(_xlfn.TEXTJOIN(,,D138:O138),Aux!$B$3:$B$4098,'Truth Table'!$T$3:$T$4098)=1,P137&lt;='Line Follower'!$C$7)</f>
        <v>0</v>
      </c>
      <c r="W138" s="4" t="b">
        <f>AND(_xlfn.XLOOKUP(_xlfn.TEXTJOIN(,,D138:O138),Aux!$B$3:$B$4098,'Truth Table'!$U$3:$U$4098)=1,P137&gt;='Line Follower'!$C$6)</f>
        <v>0</v>
      </c>
      <c r="X138" s="4" t="b">
        <f>IFERROR(AND(_xlfn.XLOOKUP(_xlfn.TEXTJOIN(,,D138:O138),Aux!$B$3:$B$4098,'Truth Table'!$V$3:$V$4098)=1,ABS(P137)&lt;='Line Follower'!$C$6),FALSE)</f>
        <v>0</v>
      </c>
      <c r="Y138" s="4" t="b">
        <f t="shared" si="2"/>
        <v>1</v>
      </c>
    </row>
    <row r="139" spans="2:25" x14ac:dyDescent="0.25">
      <c r="B139" s="4">
        <v>136</v>
      </c>
      <c r="C139" s="4">
        <v>473</v>
      </c>
      <c r="D139" s="4">
        <v>0</v>
      </c>
      <c r="E139" s="4">
        <v>0</v>
      </c>
      <c r="F139" s="4">
        <v>0</v>
      </c>
      <c r="G139" s="4">
        <v>0</v>
      </c>
      <c r="H139" s="4">
        <v>1</v>
      </c>
      <c r="I139" s="4">
        <v>1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1</v>
      </c>
      <c r="P139" s="51">
        <f>IFERROR(_xlfn.XLOOKUP(_xlfn.TEXTJOIN(,,D138:O138),Aux!$B$3:$B$4098,'Truth Table'!$N$3:$N$4098),P138)</f>
        <v>-1</v>
      </c>
      <c r="Q139" s="4" t="b" cm="1">
        <f t="array" ref="Q139:U139">IFERROR(_xlfn.XLOOKUP(_xlfn.TEXTJOIN(,,D139:O139),Aux!$B$3:$B$4098,'Truth Table'!$O$3:$S$4098)=1,FALSE)</f>
        <v>1</v>
      </c>
      <c r="R139" s="4" t="b">
        <v>0</v>
      </c>
      <c r="S139" s="4" t="b">
        <v>0</v>
      </c>
      <c r="T139" s="4" t="b">
        <v>0</v>
      </c>
      <c r="U139" s="4" t="b">
        <v>0</v>
      </c>
      <c r="V139" s="4" t="b">
        <f>AND(_xlfn.XLOOKUP(_xlfn.TEXTJOIN(,,D139:O139),Aux!$B$3:$B$4098,'Truth Table'!$T$3:$T$4098)=1,P138&lt;='Line Follower'!$C$7)</f>
        <v>0</v>
      </c>
      <c r="W139" s="4" t="b">
        <f>AND(_xlfn.XLOOKUP(_xlfn.TEXTJOIN(,,D139:O139),Aux!$B$3:$B$4098,'Truth Table'!$U$3:$U$4098)=1,P138&gt;='Line Follower'!$C$6)</f>
        <v>0</v>
      </c>
      <c r="X139" s="4" t="b">
        <f>IFERROR(AND(_xlfn.XLOOKUP(_xlfn.TEXTJOIN(,,D139:O139),Aux!$B$3:$B$4098,'Truth Table'!$V$3:$V$4098)=1,ABS(P138)&lt;='Line Follower'!$C$6),FALSE)</f>
        <v>0</v>
      </c>
      <c r="Y139" s="4" t="b">
        <f t="shared" si="2"/>
        <v>1</v>
      </c>
    </row>
    <row r="140" spans="2:25" x14ac:dyDescent="0.25">
      <c r="B140" s="4">
        <v>137</v>
      </c>
      <c r="C140" s="4">
        <v>482</v>
      </c>
      <c r="D140" s="4">
        <v>0</v>
      </c>
      <c r="E140" s="4">
        <v>0</v>
      </c>
      <c r="F140" s="4">
        <v>0</v>
      </c>
      <c r="G140" s="4">
        <v>0</v>
      </c>
      <c r="H140" s="4">
        <v>1</v>
      </c>
      <c r="I140" s="4">
        <v>1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1</v>
      </c>
      <c r="P140" s="51">
        <f>IFERROR(_xlfn.XLOOKUP(_xlfn.TEXTJOIN(,,D139:O139),Aux!$B$3:$B$4098,'Truth Table'!$N$3:$N$4098),P139)</f>
        <v>-1</v>
      </c>
      <c r="Q140" s="4" t="b" cm="1">
        <f t="array" ref="Q140:U140">IFERROR(_xlfn.XLOOKUP(_xlfn.TEXTJOIN(,,D140:O140),Aux!$B$3:$B$4098,'Truth Table'!$O$3:$S$4098)=1,FALSE)</f>
        <v>1</v>
      </c>
      <c r="R140" s="4" t="b">
        <v>0</v>
      </c>
      <c r="S140" s="4" t="b">
        <v>0</v>
      </c>
      <c r="T140" s="4" t="b">
        <v>0</v>
      </c>
      <c r="U140" s="4" t="b">
        <v>0</v>
      </c>
      <c r="V140" s="4" t="b">
        <f>AND(_xlfn.XLOOKUP(_xlfn.TEXTJOIN(,,D140:O140),Aux!$B$3:$B$4098,'Truth Table'!$T$3:$T$4098)=1,P139&lt;='Line Follower'!$C$7)</f>
        <v>0</v>
      </c>
      <c r="W140" s="4" t="b">
        <f>AND(_xlfn.XLOOKUP(_xlfn.TEXTJOIN(,,D140:O140),Aux!$B$3:$B$4098,'Truth Table'!$U$3:$U$4098)=1,P139&gt;='Line Follower'!$C$6)</f>
        <v>0</v>
      </c>
      <c r="X140" s="4" t="b">
        <f>IFERROR(AND(_xlfn.XLOOKUP(_xlfn.TEXTJOIN(,,D140:O140),Aux!$B$3:$B$4098,'Truth Table'!$V$3:$V$4098)=1,ABS(P139)&lt;='Line Follower'!$C$6),FALSE)</f>
        <v>0</v>
      </c>
      <c r="Y140" s="4" t="b">
        <f t="shared" si="2"/>
        <v>1</v>
      </c>
    </row>
    <row r="141" spans="2:25" x14ac:dyDescent="0.25">
      <c r="B141" s="4">
        <v>138</v>
      </c>
      <c r="C141" s="4">
        <v>496</v>
      </c>
      <c r="D141" s="4">
        <v>0</v>
      </c>
      <c r="E141" s="4">
        <v>0</v>
      </c>
      <c r="F141" s="4">
        <v>0</v>
      </c>
      <c r="G141" s="4">
        <v>0</v>
      </c>
      <c r="H141" s="4">
        <v>1</v>
      </c>
      <c r="I141" s="4">
        <v>1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1</v>
      </c>
      <c r="P141" s="51">
        <f>IFERROR(_xlfn.XLOOKUP(_xlfn.TEXTJOIN(,,D140:O140),Aux!$B$3:$B$4098,'Truth Table'!$N$3:$N$4098),P140)</f>
        <v>-1</v>
      </c>
      <c r="Q141" s="4" t="b" cm="1">
        <f t="array" ref="Q141:U141">IFERROR(_xlfn.XLOOKUP(_xlfn.TEXTJOIN(,,D141:O141),Aux!$B$3:$B$4098,'Truth Table'!$O$3:$S$4098)=1,FALSE)</f>
        <v>1</v>
      </c>
      <c r="R141" s="4" t="b">
        <v>0</v>
      </c>
      <c r="S141" s="4" t="b">
        <v>0</v>
      </c>
      <c r="T141" s="4" t="b">
        <v>0</v>
      </c>
      <c r="U141" s="4" t="b">
        <v>0</v>
      </c>
      <c r="V141" s="4" t="b">
        <f>AND(_xlfn.XLOOKUP(_xlfn.TEXTJOIN(,,D141:O141),Aux!$B$3:$B$4098,'Truth Table'!$T$3:$T$4098)=1,P140&lt;='Line Follower'!$C$7)</f>
        <v>0</v>
      </c>
      <c r="W141" s="4" t="b">
        <f>AND(_xlfn.XLOOKUP(_xlfn.TEXTJOIN(,,D141:O141),Aux!$B$3:$B$4098,'Truth Table'!$U$3:$U$4098)=1,P140&gt;='Line Follower'!$C$6)</f>
        <v>0</v>
      </c>
      <c r="X141" s="4" t="b">
        <f>IFERROR(AND(_xlfn.XLOOKUP(_xlfn.TEXTJOIN(,,D141:O141),Aux!$B$3:$B$4098,'Truth Table'!$V$3:$V$4098)=1,ABS(P140)&lt;='Line Follower'!$C$6),FALSE)</f>
        <v>0</v>
      </c>
      <c r="Y141" s="4" t="b">
        <f t="shared" si="2"/>
        <v>1</v>
      </c>
    </row>
    <row r="142" spans="2:25" x14ac:dyDescent="0.25">
      <c r="B142" s="4">
        <v>139</v>
      </c>
      <c r="C142" s="4">
        <v>502</v>
      </c>
      <c r="D142" s="4">
        <v>0</v>
      </c>
      <c r="E142" s="4">
        <v>0</v>
      </c>
      <c r="F142" s="4">
        <v>0</v>
      </c>
      <c r="G142" s="4">
        <v>0</v>
      </c>
      <c r="H142" s="4">
        <v>1</v>
      </c>
      <c r="I142" s="4">
        <v>1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1</v>
      </c>
      <c r="P142" s="51">
        <f>IFERROR(_xlfn.XLOOKUP(_xlfn.TEXTJOIN(,,D141:O141),Aux!$B$3:$B$4098,'Truth Table'!$N$3:$N$4098),P141)</f>
        <v>-1</v>
      </c>
      <c r="Q142" s="4" t="b" cm="1">
        <f t="array" ref="Q142:U142">IFERROR(_xlfn.XLOOKUP(_xlfn.TEXTJOIN(,,D142:O142),Aux!$B$3:$B$4098,'Truth Table'!$O$3:$S$4098)=1,FALSE)</f>
        <v>1</v>
      </c>
      <c r="R142" s="4" t="b">
        <v>0</v>
      </c>
      <c r="S142" s="4" t="b">
        <v>0</v>
      </c>
      <c r="T142" s="4" t="b">
        <v>0</v>
      </c>
      <c r="U142" s="4" t="b">
        <v>0</v>
      </c>
      <c r="V142" s="4" t="b">
        <f>AND(_xlfn.XLOOKUP(_xlfn.TEXTJOIN(,,D142:O142),Aux!$B$3:$B$4098,'Truth Table'!$T$3:$T$4098)=1,P141&lt;='Line Follower'!$C$7)</f>
        <v>0</v>
      </c>
      <c r="W142" s="4" t="b">
        <f>AND(_xlfn.XLOOKUP(_xlfn.TEXTJOIN(,,D142:O142),Aux!$B$3:$B$4098,'Truth Table'!$U$3:$U$4098)=1,P141&gt;='Line Follower'!$C$6)</f>
        <v>0</v>
      </c>
      <c r="X142" s="4" t="b">
        <f>IFERROR(AND(_xlfn.XLOOKUP(_xlfn.TEXTJOIN(,,D142:O142),Aux!$B$3:$B$4098,'Truth Table'!$V$3:$V$4098)=1,ABS(P141)&lt;='Line Follower'!$C$6),FALSE)</f>
        <v>0</v>
      </c>
      <c r="Y142" s="4" t="b">
        <f t="shared" si="2"/>
        <v>1</v>
      </c>
    </row>
    <row r="143" spans="2:25" x14ac:dyDescent="0.25">
      <c r="B143" s="4">
        <v>140</v>
      </c>
      <c r="C143" s="4">
        <v>513</v>
      </c>
      <c r="D143" s="4">
        <v>0</v>
      </c>
      <c r="E143" s="4">
        <v>0</v>
      </c>
      <c r="F143" s="4">
        <v>0</v>
      </c>
      <c r="G143" s="4">
        <v>0</v>
      </c>
      <c r="H143" s="4">
        <v>1</v>
      </c>
      <c r="I143" s="4">
        <v>1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1</v>
      </c>
      <c r="P143" s="51">
        <f>IFERROR(_xlfn.XLOOKUP(_xlfn.TEXTJOIN(,,D142:O142),Aux!$B$3:$B$4098,'Truth Table'!$N$3:$N$4098),P142)</f>
        <v>-1</v>
      </c>
      <c r="Q143" s="4" t="b" cm="1">
        <f t="array" ref="Q143:U143">IFERROR(_xlfn.XLOOKUP(_xlfn.TEXTJOIN(,,D143:O143),Aux!$B$3:$B$4098,'Truth Table'!$O$3:$S$4098)=1,FALSE)</f>
        <v>1</v>
      </c>
      <c r="R143" s="4" t="b">
        <v>0</v>
      </c>
      <c r="S143" s="4" t="b">
        <v>0</v>
      </c>
      <c r="T143" s="4" t="b">
        <v>0</v>
      </c>
      <c r="U143" s="4" t="b">
        <v>0</v>
      </c>
      <c r="V143" s="4" t="b">
        <f>AND(_xlfn.XLOOKUP(_xlfn.TEXTJOIN(,,D143:O143),Aux!$B$3:$B$4098,'Truth Table'!$T$3:$T$4098)=1,P142&lt;='Line Follower'!$C$7)</f>
        <v>0</v>
      </c>
      <c r="W143" s="4" t="b">
        <f>AND(_xlfn.XLOOKUP(_xlfn.TEXTJOIN(,,D143:O143),Aux!$B$3:$B$4098,'Truth Table'!$U$3:$U$4098)=1,P142&gt;='Line Follower'!$C$6)</f>
        <v>0</v>
      </c>
      <c r="X143" s="4" t="b">
        <f>IFERROR(AND(_xlfn.XLOOKUP(_xlfn.TEXTJOIN(,,D143:O143),Aux!$B$3:$B$4098,'Truth Table'!$V$3:$V$4098)=1,ABS(P142)&lt;='Line Follower'!$C$6),FALSE)</f>
        <v>0</v>
      </c>
      <c r="Y143" s="4" t="b">
        <f t="shared" si="2"/>
        <v>1</v>
      </c>
    </row>
    <row r="144" spans="2:25" x14ac:dyDescent="0.25">
      <c r="B144" s="4">
        <v>141</v>
      </c>
      <c r="C144" s="4">
        <v>522</v>
      </c>
      <c r="D144" s="4">
        <v>0</v>
      </c>
      <c r="E144" s="4">
        <v>0</v>
      </c>
      <c r="F144" s="4">
        <v>0</v>
      </c>
      <c r="G144" s="4">
        <v>0</v>
      </c>
      <c r="H144" s="4">
        <v>1</v>
      </c>
      <c r="I144" s="4">
        <v>1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1</v>
      </c>
      <c r="P144" s="51">
        <f>IFERROR(_xlfn.XLOOKUP(_xlfn.TEXTJOIN(,,D143:O143),Aux!$B$3:$B$4098,'Truth Table'!$N$3:$N$4098),P143)</f>
        <v>-1</v>
      </c>
      <c r="Q144" s="4" t="b" cm="1">
        <f t="array" ref="Q144:U144">IFERROR(_xlfn.XLOOKUP(_xlfn.TEXTJOIN(,,D144:O144),Aux!$B$3:$B$4098,'Truth Table'!$O$3:$S$4098)=1,FALSE)</f>
        <v>1</v>
      </c>
      <c r="R144" s="4" t="b">
        <v>0</v>
      </c>
      <c r="S144" s="4" t="b">
        <v>0</v>
      </c>
      <c r="T144" s="4" t="b">
        <v>0</v>
      </c>
      <c r="U144" s="4" t="b">
        <v>0</v>
      </c>
      <c r="V144" s="4" t="b">
        <f>AND(_xlfn.XLOOKUP(_xlfn.TEXTJOIN(,,D144:O144),Aux!$B$3:$B$4098,'Truth Table'!$T$3:$T$4098)=1,P143&lt;='Line Follower'!$C$7)</f>
        <v>0</v>
      </c>
      <c r="W144" s="4" t="b">
        <f>AND(_xlfn.XLOOKUP(_xlfn.TEXTJOIN(,,D144:O144),Aux!$B$3:$B$4098,'Truth Table'!$U$3:$U$4098)=1,P143&gt;='Line Follower'!$C$6)</f>
        <v>0</v>
      </c>
      <c r="X144" s="4" t="b">
        <f>IFERROR(AND(_xlfn.XLOOKUP(_xlfn.TEXTJOIN(,,D144:O144),Aux!$B$3:$B$4098,'Truth Table'!$V$3:$V$4098)=1,ABS(P143)&lt;='Line Follower'!$C$6),FALSE)</f>
        <v>0</v>
      </c>
      <c r="Y144" s="4" t="b">
        <f t="shared" si="2"/>
        <v>1</v>
      </c>
    </row>
    <row r="145" spans="2:25" x14ac:dyDescent="0.25">
      <c r="B145" s="4">
        <v>142</v>
      </c>
      <c r="C145" s="4">
        <v>535</v>
      </c>
      <c r="D145" s="4">
        <v>0</v>
      </c>
      <c r="E145" s="4">
        <v>0</v>
      </c>
      <c r="F145" s="4">
        <v>0</v>
      </c>
      <c r="G145" s="4">
        <v>0</v>
      </c>
      <c r="H145" s="4">
        <v>1</v>
      </c>
      <c r="I145" s="4">
        <v>1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1</v>
      </c>
      <c r="P145" s="51">
        <f>IFERROR(_xlfn.XLOOKUP(_xlfn.TEXTJOIN(,,D144:O144),Aux!$B$3:$B$4098,'Truth Table'!$N$3:$N$4098),P144)</f>
        <v>-1</v>
      </c>
      <c r="Q145" s="4" t="b" cm="1">
        <f t="array" ref="Q145:U145">IFERROR(_xlfn.XLOOKUP(_xlfn.TEXTJOIN(,,D145:O145),Aux!$B$3:$B$4098,'Truth Table'!$O$3:$S$4098)=1,FALSE)</f>
        <v>1</v>
      </c>
      <c r="R145" s="4" t="b">
        <v>0</v>
      </c>
      <c r="S145" s="4" t="b">
        <v>0</v>
      </c>
      <c r="T145" s="4" t="b">
        <v>0</v>
      </c>
      <c r="U145" s="4" t="b">
        <v>0</v>
      </c>
      <c r="V145" s="4" t="b">
        <f>AND(_xlfn.XLOOKUP(_xlfn.TEXTJOIN(,,D145:O145),Aux!$B$3:$B$4098,'Truth Table'!$T$3:$T$4098)=1,P144&lt;='Line Follower'!$C$7)</f>
        <v>0</v>
      </c>
      <c r="W145" s="4" t="b">
        <f>AND(_xlfn.XLOOKUP(_xlfn.TEXTJOIN(,,D145:O145),Aux!$B$3:$B$4098,'Truth Table'!$U$3:$U$4098)=1,P144&gt;='Line Follower'!$C$6)</f>
        <v>0</v>
      </c>
      <c r="X145" s="4" t="b">
        <f>IFERROR(AND(_xlfn.XLOOKUP(_xlfn.TEXTJOIN(,,D145:O145),Aux!$B$3:$B$4098,'Truth Table'!$V$3:$V$4098)=1,ABS(P144)&lt;='Line Follower'!$C$6),FALSE)</f>
        <v>0</v>
      </c>
      <c r="Y145" s="4" t="b">
        <f t="shared" si="2"/>
        <v>1</v>
      </c>
    </row>
    <row r="146" spans="2:25" x14ac:dyDescent="0.25">
      <c r="B146" s="4">
        <v>143</v>
      </c>
      <c r="C146" s="4">
        <v>544</v>
      </c>
      <c r="D146" s="4">
        <v>0</v>
      </c>
      <c r="E146" s="4">
        <v>0</v>
      </c>
      <c r="F146" s="4">
        <v>0</v>
      </c>
      <c r="G146" s="4">
        <v>0</v>
      </c>
      <c r="H146" s="4">
        <v>1</v>
      </c>
      <c r="I146" s="4">
        <v>1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1</v>
      </c>
      <c r="P146" s="51">
        <f>IFERROR(_xlfn.XLOOKUP(_xlfn.TEXTJOIN(,,D145:O145),Aux!$B$3:$B$4098,'Truth Table'!$N$3:$N$4098),P145)</f>
        <v>-1</v>
      </c>
      <c r="Q146" s="4" t="b" cm="1">
        <f t="array" ref="Q146:U146">IFERROR(_xlfn.XLOOKUP(_xlfn.TEXTJOIN(,,D146:O146),Aux!$B$3:$B$4098,'Truth Table'!$O$3:$S$4098)=1,FALSE)</f>
        <v>1</v>
      </c>
      <c r="R146" s="4" t="b">
        <v>0</v>
      </c>
      <c r="S146" s="4" t="b">
        <v>0</v>
      </c>
      <c r="T146" s="4" t="b">
        <v>0</v>
      </c>
      <c r="U146" s="4" t="b">
        <v>0</v>
      </c>
      <c r="V146" s="4" t="b">
        <f>AND(_xlfn.XLOOKUP(_xlfn.TEXTJOIN(,,D146:O146),Aux!$B$3:$B$4098,'Truth Table'!$T$3:$T$4098)=1,P145&lt;='Line Follower'!$C$7)</f>
        <v>0</v>
      </c>
      <c r="W146" s="4" t="b">
        <f>AND(_xlfn.XLOOKUP(_xlfn.TEXTJOIN(,,D146:O146),Aux!$B$3:$B$4098,'Truth Table'!$U$3:$U$4098)=1,P145&gt;='Line Follower'!$C$6)</f>
        <v>0</v>
      </c>
      <c r="X146" s="4" t="b">
        <f>IFERROR(AND(_xlfn.XLOOKUP(_xlfn.TEXTJOIN(,,D146:O146),Aux!$B$3:$B$4098,'Truth Table'!$V$3:$V$4098)=1,ABS(P145)&lt;='Line Follower'!$C$6),FALSE)</f>
        <v>0</v>
      </c>
      <c r="Y146" s="4" t="b">
        <f t="shared" si="2"/>
        <v>1</v>
      </c>
    </row>
    <row r="147" spans="2:25" x14ac:dyDescent="0.25">
      <c r="B147" s="4">
        <v>144</v>
      </c>
      <c r="C147" s="4">
        <v>556</v>
      </c>
      <c r="D147" s="4">
        <v>0</v>
      </c>
      <c r="E147" s="4">
        <v>0</v>
      </c>
      <c r="F147" s="4">
        <v>0</v>
      </c>
      <c r="G147" s="4">
        <v>0</v>
      </c>
      <c r="H147" s="4">
        <v>1</v>
      </c>
      <c r="I147" s="4">
        <v>1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1</v>
      </c>
      <c r="P147" s="51">
        <f>IFERROR(_xlfn.XLOOKUP(_xlfn.TEXTJOIN(,,D146:O146),Aux!$B$3:$B$4098,'Truth Table'!$N$3:$N$4098),P146)</f>
        <v>-1</v>
      </c>
      <c r="Q147" s="4" t="b" cm="1">
        <f t="array" ref="Q147:U147">IFERROR(_xlfn.XLOOKUP(_xlfn.TEXTJOIN(,,D147:O147),Aux!$B$3:$B$4098,'Truth Table'!$O$3:$S$4098)=1,FALSE)</f>
        <v>1</v>
      </c>
      <c r="R147" s="4" t="b">
        <v>0</v>
      </c>
      <c r="S147" s="4" t="b">
        <v>0</v>
      </c>
      <c r="T147" s="4" t="b">
        <v>0</v>
      </c>
      <c r="U147" s="4" t="b">
        <v>0</v>
      </c>
      <c r="V147" s="4" t="b">
        <f>AND(_xlfn.XLOOKUP(_xlfn.TEXTJOIN(,,D147:O147),Aux!$B$3:$B$4098,'Truth Table'!$T$3:$T$4098)=1,P146&lt;='Line Follower'!$C$7)</f>
        <v>0</v>
      </c>
      <c r="W147" s="4" t="b">
        <f>AND(_xlfn.XLOOKUP(_xlfn.TEXTJOIN(,,D147:O147),Aux!$B$3:$B$4098,'Truth Table'!$U$3:$U$4098)=1,P146&gt;='Line Follower'!$C$6)</f>
        <v>0</v>
      </c>
      <c r="X147" s="4" t="b">
        <f>IFERROR(AND(_xlfn.XLOOKUP(_xlfn.TEXTJOIN(,,D147:O147),Aux!$B$3:$B$4098,'Truth Table'!$V$3:$V$4098)=1,ABS(P146)&lt;='Line Follower'!$C$6),FALSE)</f>
        <v>0</v>
      </c>
      <c r="Y147" s="4" t="b">
        <f t="shared" si="2"/>
        <v>1</v>
      </c>
    </row>
    <row r="148" spans="2:25" x14ac:dyDescent="0.25">
      <c r="B148" s="4">
        <v>145</v>
      </c>
      <c r="C148" s="4">
        <v>564</v>
      </c>
      <c r="D148" s="4">
        <v>0</v>
      </c>
      <c r="E148" s="4">
        <v>0</v>
      </c>
      <c r="F148" s="4">
        <v>0</v>
      </c>
      <c r="G148" s="4">
        <v>0</v>
      </c>
      <c r="H148" s="4">
        <v>1</v>
      </c>
      <c r="I148" s="4">
        <v>1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1</v>
      </c>
      <c r="P148" s="51">
        <f>IFERROR(_xlfn.XLOOKUP(_xlfn.TEXTJOIN(,,D147:O147),Aux!$B$3:$B$4098,'Truth Table'!$N$3:$N$4098),P147)</f>
        <v>-1</v>
      </c>
      <c r="Q148" s="4" t="b" cm="1">
        <f t="array" ref="Q148:U148">IFERROR(_xlfn.XLOOKUP(_xlfn.TEXTJOIN(,,D148:O148),Aux!$B$3:$B$4098,'Truth Table'!$O$3:$S$4098)=1,FALSE)</f>
        <v>1</v>
      </c>
      <c r="R148" s="4" t="b">
        <v>0</v>
      </c>
      <c r="S148" s="4" t="b">
        <v>0</v>
      </c>
      <c r="T148" s="4" t="b">
        <v>0</v>
      </c>
      <c r="U148" s="4" t="b">
        <v>0</v>
      </c>
      <c r="V148" s="4" t="b">
        <f>AND(_xlfn.XLOOKUP(_xlfn.TEXTJOIN(,,D148:O148),Aux!$B$3:$B$4098,'Truth Table'!$T$3:$T$4098)=1,P147&lt;='Line Follower'!$C$7)</f>
        <v>0</v>
      </c>
      <c r="W148" s="4" t="b">
        <f>AND(_xlfn.XLOOKUP(_xlfn.TEXTJOIN(,,D148:O148),Aux!$B$3:$B$4098,'Truth Table'!$U$3:$U$4098)=1,P147&gt;='Line Follower'!$C$6)</f>
        <v>0</v>
      </c>
      <c r="X148" s="4" t="b">
        <f>IFERROR(AND(_xlfn.XLOOKUP(_xlfn.TEXTJOIN(,,D148:O148),Aux!$B$3:$B$4098,'Truth Table'!$V$3:$V$4098)=1,ABS(P147)&lt;='Line Follower'!$C$6),FALSE)</f>
        <v>0</v>
      </c>
      <c r="Y148" s="4" t="b">
        <f t="shared" si="2"/>
        <v>1</v>
      </c>
    </row>
    <row r="149" spans="2:25" x14ac:dyDescent="0.25">
      <c r="B149" s="4">
        <v>146</v>
      </c>
      <c r="C149" s="4">
        <v>565</v>
      </c>
      <c r="D149" s="4">
        <v>0</v>
      </c>
      <c r="E149" s="4">
        <v>0</v>
      </c>
      <c r="F149" s="4">
        <v>0</v>
      </c>
      <c r="G149" s="4">
        <v>0</v>
      </c>
      <c r="H149" s="4">
        <v>1</v>
      </c>
      <c r="I149" s="4">
        <v>1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1</v>
      </c>
      <c r="P149" s="51">
        <f>IFERROR(_xlfn.XLOOKUP(_xlfn.TEXTJOIN(,,D148:O148),Aux!$B$3:$B$4098,'Truth Table'!$N$3:$N$4098),P148)</f>
        <v>-1</v>
      </c>
      <c r="Q149" s="4" t="b" cm="1">
        <f t="array" ref="Q149:U149">IFERROR(_xlfn.XLOOKUP(_xlfn.TEXTJOIN(,,D149:O149),Aux!$B$3:$B$4098,'Truth Table'!$O$3:$S$4098)=1,FALSE)</f>
        <v>1</v>
      </c>
      <c r="R149" s="4" t="b">
        <v>0</v>
      </c>
      <c r="S149" s="4" t="b">
        <v>0</v>
      </c>
      <c r="T149" s="4" t="b">
        <v>0</v>
      </c>
      <c r="U149" s="4" t="b">
        <v>0</v>
      </c>
      <c r="V149" s="4" t="b">
        <f>AND(_xlfn.XLOOKUP(_xlfn.TEXTJOIN(,,D149:O149),Aux!$B$3:$B$4098,'Truth Table'!$T$3:$T$4098)=1,P148&lt;='Line Follower'!$C$7)</f>
        <v>0</v>
      </c>
      <c r="W149" s="4" t="b">
        <f>AND(_xlfn.XLOOKUP(_xlfn.TEXTJOIN(,,D149:O149),Aux!$B$3:$B$4098,'Truth Table'!$U$3:$U$4098)=1,P148&gt;='Line Follower'!$C$6)</f>
        <v>0</v>
      </c>
      <c r="X149" s="4" t="b">
        <f>IFERROR(AND(_xlfn.XLOOKUP(_xlfn.TEXTJOIN(,,D149:O149),Aux!$B$3:$B$4098,'Truth Table'!$V$3:$V$4098)=1,ABS(P148)&lt;='Line Follower'!$C$6),FALSE)</f>
        <v>0</v>
      </c>
      <c r="Y149" s="4" t="b">
        <f t="shared" si="2"/>
        <v>1</v>
      </c>
    </row>
    <row r="150" spans="2:25" x14ac:dyDescent="0.25">
      <c r="B150" s="4">
        <v>147</v>
      </c>
      <c r="C150" s="4">
        <v>574</v>
      </c>
      <c r="D150" s="4">
        <v>0</v>
      </c>
      <c r="E150" s="4">
        <v>0</v>
      </c>
      <c r="F150" s="4">
        <v>0</v>
      </c>
      <c r="G150" s="4">
        <v>0</v>
      </c>
      <c r="H150" s="4">
        <v>1</v>
      </c>
      <c r="I150" s="4">
        <v>1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1</v>
      </c>
      <c r="P150" s="51">
        <f>IFERROR(_xlfn.XLOOKUP(_xlfn.TEXTJOIN(,,D149:O149),Aux!$B$3:$B$4098,'Truth Table'!$N$3:$N$4098),P149)</f>
        <v>-1</v>
      </c>
      <c r="Q150" s="4" t="b" cm="1">
        <f t="array" ref="Q150:U150">IFERROR(_xlfn.XLOOKUP(_xlfn.TEXTJOIN(,,D150:O150),Aux!$B$3:$B$4098,'Truth Table'!$O$3:$S$4098)=1,FALSE)</f>
        <v>1</v>
      </c>
      <c r="R150" s="4" t="b">
        <v>0</v>
      </c>
      <c r="S150" s="4" t="b">
        <v>0</v>
      </c>
      <c r="T150" s="4" t="b">
        <v>0</v>
      </c>
      <c r="U150" s="4" t="b">
        <v>0</v>
      </c>
      <c r="V150" s="4" t="b">
        <f>AND(_xlfn.XLOOKUP(_xlfn.TEXTJOIN(,,D150:O150),Aux!$B$3:$B$4098,'Truth Table'!$T$3:$T$4098)=1,P149&lt;='Line Follower'!$C$7)</f>
        <v>0</v>
      </c>
      <c r="W150" s="4" t="b">
        <f>AND(_xlfn.XLOOKUP(_xlfn.TEXTJOIN(,,D150:O150),Aux!$B$3:$B$4098,'Truth Table'!$U$3:$U$4098)=1,P149&gt;='Line Follower'!$C$6)</f>
        <v>0</v>
      </c>
      <c r="X150" s="4" t="b">
        <f>IFERROR(AND(_xlfn.XLOOKUP(_xlfn.TEXTJOIN(,,D150:O150),Aux!$B$3:$B$4098,'Truth Table'!$V$3:$V$4098)=1,ABS(P149)&lt;='Line Follower'!$C$6),FALSE)</f>
        <v>0</v>
      </c>
      <c r="Y150" s="4" t="b">
        <f t="shared" si="2"/>
        <v>1</v>
      </c>
    </row>
    <row r="151" spans="2:25" x14ac:dyDescent="0.25">
      <c r="B151" s="4">
        <v>148</v>
      </c>
      <c r="C151" s="4">
        <v>588</v>
      </c>
      <c r="D151" s="4">
        <v>0</v>
      </c>
      <c r="E151" s="4">
        <v>0</v>
      </c>
      <c r="F151" s="4">
        <v>0</v>
      </c>
      <c r="G151" s="4">
        <v>0</v>
      </c>
      <c r="H151" s="4">
        <v>1</v>
      </c>
      <c r="I151" s="4">
        <v>1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1</v>
      </c>
      <c r="P151" s="51">
        <f>IFERROR(_xlfn.XLOOKUP(_xlfn.TEXTJOIN(,,D150:O150),Aux!$B$3:$B$4098,'Truth Table'!$N$3:$N$4098),P150)</f>
        <v>-1</v>
      </c>
      <c r="Q151" s="4" t="b" cm="1">
        <f t="array" ref="Q151:U151">IFERROR(_xlfn.XLOOKUP(_xlfn.TEXTJOIN(,,D151:O151),Aux!$B$3:$B$4098,'Truth Table'!$O$3:$S$4098)=1,FALSE)</f>
        <v>1</v>
      </c>
      <c r="R151" s="4" t="b">
        <v>0</v>
      </c>
      <c r="S151" s="4" t="b">
        <v>0</v>
      </c>
      <c r="T151" s="4" t="b">
        <v>0</v>
      </c>
      <c r="U151" s="4" t="b">
        <v>0</v>
      </c>
      <c r="V151" s="4" t="b">
        <f>AND(_xlfn.XLOOKUP(_xlfn.TEXTJOIN(,,D151:O151),Aux!$B$3:$B$4098,'Truth Table'!$T$3:$T$4098)=1,P150&lt;='Line Follower'!$C$7)</f>
        <v>0</v>
      </c>
      <c r="W151" s="4" t="b">
        <f>AND(_xlfn.XLOOKUP(_xlfn.TEXTJOIN(,,D151:O151),Aux!$B$3:$B$4098,'Truth Table'!$U$3:$U$4098)=1,P150&gt;='Line Follower'!$C$6)</f>
        <v>0</v>
      </c>
      <c r="X151" s="4" t="b">
        <f>IFERROR(AND(_xlfn.XLOOKUP(_xlfn.TEXTJOIN(,,D151:O151),Aux!$B$3:$B$4098,'Truth Table'!$V$3:$V$4098)=1,ABS(P150)&lt;='Line Follower'!$C$6),FALSE)</f>
        <v>0</v>
      </c>
      <c r="Y151" s="4" t="b">
        <f t="shared" si="2"/>
        <v>1</v>
      </c>
    </row>
    <row r="152" spans="2:25" x14ac:dyDescent="0.25">
      <c r="B152" s="4">
        <v>149</v>
      </c>
      <c r="C152" s="4">
        <v>594</v>
      </c>
      <c r="D152" s="4">
        <v>0</v>
      </c>
      <c r="E152" s="4">
        <v>0</v>
      </c>
      <c r="F152" s="4">
        <v>0</v>
      </c>
      <c r="G152" s="4">
        <v>0</v>
      </c>
      <c r="H152" s="4">
        <v>1</v>
      </c>
      <c r="I152" s="4">
        <v>1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1</v>
      </c>
      <c r="P152" s="51">
        <f>IFERROR(_xlfn.XLOOKUP(_xlfn.TEXTJOIN(,,D151:O151),Aux!$B$3:$B$4098,'Truth Table'!$N$3:$N$4098),P151)</f>
        <v>-1</v>
      </c>
      <c r="Q152" s="4" t="b" cm="1">
        <f t="array" ref="Q152:U152">IFERROR(_xlfn.XLOOKUP(_xlfn.TEXTJOIN(,,D152:O152),Aux!$B$3:$B$4098,'Truth Table'!$O$3:$S$4098)=1,FALSE)</f>
        <v>1</v>
      </c>
      <c r="R152" s="4" t="b">
        <v>0</v>
      </c>
      <c r="S152" s="4" t="b">
        <v>0</v>
      </c>
      <c r="T152" s="4" t="b">
        <v>0</v>
      </c>
      <c r="U152" s="4" t="b">
        <v>0</v>
      </c>
      <c r="V152" s="4" t="b">
        <f>AND(_xlfn.XLOOKUP(_xlfn.TEXTJOIN(,,D152:O152),Aux!$B$3:$B$4098,'Truth Table'!$T$3:$T$4098)=1,P151&lt;='Line Follower'!$C$7)</f>
        <v>0</v>
      </c>
      <c r="W152" s="4" t="b">
        <f>AND(_xlfn.XLOOKUP(_xlfn.TEXTJOIN(,,D152:O152),Aux!$B$3:$B$4098,'Truth Table'!$U$3:$U$4098)=1,P151&gt;='Line Follower'!$C$6)</f>
        <v>0</v>
      </c>
      <c r="X152" s="4" t="b">
        <f>IFERROR(AND(_xlfn.XLOOKUP(_xlfn.TEXTJOIN(,,D152:O152),Aux!$B$3:$B$4098,'Truth Table'!$V$3:$V$4098)=1,ABS(P151)&lt;='Line Follower'!$C$6),FALSE)</f>
        <v>0</v>
      </c>
      <c r="Y152" s="4" t="b">
        <f t="shared" si="2"/>
        <v>1</v>
      </c>
    </row>
    <row r="153" spans="2:25" x14ac:dyDescent="0.25">
      <c r="B153" s="4">
        <v>150</v>
      </c>
      <c r="C153" s="4">
        <v>608</v>
      </c>
      <c r="D153" s="4">
        <v>0</v>
      </c>
      <c r="E153" s="4">
        <v>0</v>
      </c>
      <c r="F153" s="4">
        <v>0</v>
      </c>
      <c r="G153" s="4">
        <v>0</v>
      </c>
      <c r="H153" s="4">
        <v>1</v>
      </c>
      <c r="I153" s="4">
        <v>1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1</v>
      </c>
      <c r="P153" s="51">
        <f>IFERROR(_xlfn.XLOOKUP(_xlfn.TEXTJOIN(,,D152:O152),Aux!$B$3:$B$4098,'Truth Table'!$N$3:$N$4098),P152)</f>
        <v>-1</v>
      </c>
      <c r="Q153" s="4" t="b" cm="1">
        <f t="array" ref="Q153:U153">IFERROR(_xlfn.XLOOKUP(_xlfn.TEXTJOIN(,,D153:O153),Aux!$B$3:$B$4098,'Truth Table'!$O$3:$S$4098)=1,FALSE)</f>
        <v>1</v>
      </c>
      <c r="R153" s="4" t="b">
        <v>0</v>
      </c>
      <c r="S153" s="4" t="b">
        <v>0</v>
      </c>
      <c r="T153" s="4" t="b">
        <v>0</v>
      </c>
      <c r="U153" s="4" t="b">
        <v>0</v>
      </c>
      <c r="V153" s="4" t="b">
        <f>AND(_xlfn.XLOOKUP(_xlfn.TEXTJOIN(,,D153:O153),Aux!$B$3:$B$4098,'Truth Table'!$T$3:$T$4098)=1,P152&lt;='Line Follower'!$C$7)</f>
        <v>0</v>
      </c>
      <c r="W153" s="4" t="b">
        <f>AND(_xlfn.XLOOKUP(_xlfn.TEXTJOIN(,,D153:O153),Aux!$B$3:$B$4098,'Truth Table'!$U$3:$U$4098)=1,P152&gt;='Line Follower'!$C$6)</f>
        <v>0</v>
      </c>
      <c r="X153" s="4" t="b">
        <f>IFERROR(AND(_xlfn.XLOOKUP(_xlfn.TEXTJOIN(,,D153:O153),Aux!$B$3:$B$4098,'Truth Table'!$V$3:$V$4098)=1,ABS(P152)&lt;='Line Follower'!$C$6),FALSE)</f>
        <v>0</v>
      </c>
      <c r="Y153" s="4" t="b">
        <f t="shared" si="2"/>
        <v>1</v>
      </c>
    </row>
    <row r="154" spans="2:25" x14ac:dyDescent="0.25">
      <c r="B154" s="4">
        <v>151</v>
      </c>
      <c r="C154" s="4">
        <v>617</v>
      </c>
      <c r="D154" s="4">
        <v>0</v>
      </c>
      <c r="E154" s="4">
        <v>0</v>
      </c>
      <c r="F154" s="4">
        <v>0</v>
      </c>
      <c r="G154" s="4">
        <v>0</v>
      </c>
      <c r="H154" s="4">
        <v>1</v>
      </c>
      <c r="I154" s="4">
        <v>1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1</v>
      </c>
      <c r="P154" s="51">
        <f>IFERROR(_xlfn.XLOOKUP(_xlfn.TEXTJOIN(,,D153:O153),Aux!$B$3:$B$4098,'Truth Table'!$N$3:$N$4098),P153)</f>
        <v>-1</v>
      </c>
      <c r="Q154" s="4" t="b" cm="1">
        <f t="array" ref="Q154:U154">IFERROR(_xlfn.XLOOKUP(_xlfn.TEXTJOIN(,,D154:O154),Aux!$B$3:$B$4098,'Truth Table'!$O$3:$S$4098)=1,FALSE)</f>
        <v>1</v>
      </c>
      <c r="R154" s="4" t="b">
        <v>0</v>
      </c>
      <c r="S154" s="4" t="b">
        <v>0</v>
      </c>
      <c r="T154" s="4" t="b">
        <v>0</v>
      </c>
      <c r="U154" s="4" t="b">
        <v>0</v>
      </c>
      <c r="V154" s="4" t="b">
        <f>AND(_xlfn.XLOOKUP(_xlfn.TEXTJOIN(,,D154:O154),Aux!$B$3:$B$4098,'Truth Table'!$T$3:$T$4098)=1,P153&lt;='Line Follower'!$C$7)</f>
        <v>0</v>
      </c>
      <c r="W154" s="4" t="b">
        <f>AND(_xlfn.XLOOKUP(_xlfn.TEXTJOIN(,,D154:O154),Aux!$B$3:$B$4098,'Truth Table'!$U$3:$U$4098)=1,P153&gt;='Line Follower'!$C$6)</f>
        <v>0</v>
      </c>
      <c r="X154" s="4" t="b">
        <f>IFERROR(AND(_xlfn.XLOOKUP(_xlfn.TEXTJOIN(,,D154:O154),Aux!$B$3:$B$4098,'Truth Table'!$V$3:$V$4098)=1,ABS(P153)&lt;='Line Follower'!$C$6),FALSE)</f>
        <v>0</v>
      </c>
      <c r="Y154" s="4" t="b">
        <f t="shared" si="2"/>
        <v>1</v>
      </c>
    </row>
    <row r="155" spans="2:25" x14ac:dyDescent="0.25">
      <c r="B155" s="4">
        <v>152</v>
      </c>
      <c r="C155" s="4">
        <v>631</v>
      </c>
      <c r="D155" s="4">
        <v>0</v>
      </c>
      <c r="E155" s="4">
        <v>0</v>
      </c>
      <c r="F155" s="4">
        <v>0</v>
      </c>
      <c r="G155" s="4">
        <v>0</v>
      </c>
      <c r="H155" s="4">
        <v>1</v>
      </c>
      <c r="I155" s="4">
        <v>1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1</v>
      </c>
      <c r="P155" s="51">
        <f>IFERROR(_xlfn.XLOOKUP(_xlfn.TEXTJOIN(,,D154:O154),Aux!$B$3:$B$4098,'Truth Table'!$N$3:$N$4098),P154)</f>
        <v>-1</v>
      </c>
      <c r="Q155" s="4" t="b" cm="1">
        <f t="array" ref="Q155:U155">IFERROR(_xlfn.XLOOKUP(_xlfn.TEXTJOIN(,,D155:O155),Aux!$B$3:$B$4098,'Truth Table'!$O$3:$S$4098)=1,FALSE)</f>
        <v>1</v>
      </c>
      <c r="R155" s="4" t="b">
        <v>0</v>
      </c>
      <c r="S155" s="4" t="b">
        <v>0</v>
      </c>
      <c r="T155" s="4" t="b">
        <v>0</v>
      </c>
      <c r="U155" s="4" t="b">
        <v>0</v>
      </c>
      <c r="V155" s="4" t="b">
        <f>AND(_xlfn.XLOOKUP(_xlfn.TEXTJOIN(,,D155:O155),Aux!$B$3:$B$4098,'Truth Table'!$T$3:$T$4098)=1,P154&lt;='Line Follower'!$C$7)</f>
        <v>0</v>
      </c>
      <c r="W155" s="4" t="b">
        <f>AND(_xlfn.XLOOKUP(_xlfn.TEXTJOIN(,,D155:O155),Aux!$B$3:$B$4098,'Truth Table'!$U$3:$U$4098)=1,P154&gt;='Line Follower'!$C$6)</f>
        <v>0</v>
      </c>
      <c r="X155" s="4" t="b">
        <f>IFERROR(AND(_xlfn.XLOOKUP(_xlfn.TEXTJOIN(,,D155:O155),Aux!$B$3:$B$4098,'Truth Table'!$V$3:$V$4098)=1,ABS(P154)&lt;='Line Follower'!$C$6),FALSE)</f>
        <v>0</v>
      </c>
      <c r="Y155" s="4" t="b">
        <f t="shared" si="2"/>
        <v>1</v>
      </c>
    </row>
    <row r="156" spans="2:25" x14ac:dyDescent="0.25">
      <c r="B156" s="4">
        <v>153</v>
      </c>
      <c r="C156" s="4">
        <v>637</v>
      </c>
      <c r="D156" s="4">
        <v>0</v>
      </c>
      <c r="E156" s="4">
        <v>0</v>
      </c>
      <c r="F156" s="4">
        <v>0</v>
      </c>
      <c r="G156" s="4">
        <v>0</v>
      </c>
      <c r="H156" s="4">
        <v>1</v>
      </c>
      <c r="I156" s="4">
        <v>1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1</v>
      </c>
      <c r="P156" s="51">
        <f>IFERROR(_xlfn.XLOOKUP(_xlfn.TEXTJOIN(,,D155:O155),Aux!$B$3:$B$4098,'Truth Table'!$N$3:$N$4098),P155)</f>
        <v>-1</v>
      </c>
      <c r="Q156" s="4" t="b" cm="1">
        <f t="array" ref="Q156:U156">IFERROR(_xlfn.XLOOKUP(_xlfn.TEXTJOIN(,,D156:O156),Aux!$B$3:$B$4098,'Truth Table'!$O$3:$S$4098)=1,FALSE)</f>
        <v>1</v>
      </c>
      <c r="R156" s="4" t="b">
        <v>0</v>
      </c>
      <c r="S156" s="4" t="b">
        <v>0</v>
      </c>
      <c r="T156" s="4" t="b">
        <v>0</v>
      </c>
      <c r="U156" s="4" t="b">
        <v>0</v>
      </c>
      <c r="V156" s="4" t="b">
        <f>AND(_xlfn.XLOOKUP(_xlfn.TEXTJOIN(,,D156:O156),Aux!$B$3:$B$4098,'Truth Table'!$T$3:$T$4098)=1,P155&lt;='Line Follower'!$C$7)</f>
        <v>0</v>
      </c>
      <c r="W156" s="4" t="b">
        <f>AND(_xlfn.XLOOKUP(_xlfn.TEXTJOIN(,,D156:O156),Aux!$B$3:$B$4098,'Truth Table'!$U$3:$U$4098)=1,P155&gt;='Line Follower'!$C$6)</f>
        <v>0</v>
      </c>
      <c r="X156" s="4" t="b">
        <f>IFERROR(AND(_xlfn.XLOOKUP(_xlfn.TEXTJOIN(,,D156:O156),Aux!$B$3:$B$4098,'Truth Table'!$V$3:$V$4098)=1,ABS(P155)&lt;='Line Follower'!$C$6),FALSE)</f>
        <v>0</v>
      </c>
      <c r="Y156" s="4" t="b">
        <f t="shared" si="2"/>
        <v>1</v>
      </c>
    </row>
    <row r="157" spans="2:25" x14ac:dyDescent="0.25">
      <c r="B157" s="4">
        <v>154</v>
      </c>
      <c r="C157" s="4">
        <v>651</v>
      </c>
      <c r="D157" s="4">
        <v>0</v>
      </c>
      <c r="E157" s="4">
        <v>0</v>
      </c>
      <c r="F157" s="4">
        <v>0</v>
      </c>
      <c r="G157" s="4">
        <v>0</v>
      </c>
      <c r="H157" s="4">
        <v>1</v>
      </c>
      <c r="I157" s="4">
        <v>1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1</v>
      </c>
      <c r="P157" s="51">
        <f>IFERROR(_xlfn.XLOOKUP(_xlfn.TEXTJOIN(,,D156:O156),Aux!$B$3:$B$4098,'Truth Table'!$N$3:$N$4098),P156)</f>
        <v>-1</v>
      </c>
      <c r="Q157" s="4" t="b" cm="1">
        <f t="array" ref="Q157:U157">IFERROR(_xlfn.XLOOKUP(_xlfn.TEXTJOIN(,,D157:O157),Aux!$B$3:$B$4098,'Truth Table'!$O$3:$S$4098)=1,FALSE)</f>
        <v>1</v>
      </c>
      <c r="R157" s="4" t="b">
        <v>0</v>
      </c>
      <c r="S157" s="4" t="b">
        <v>0</v>
      </c>
      <c r="T157" s="4" t="b">
        <v>0</v>
      </c>
      <c r="U157" s="4" t="b">
        <v>0</v>
      </c>
      <c r="V157" s="4" t="b">
        <f>AND(_xlfn.XLOOKUP(_xlfn.TEXTJOIN(,,D157:O157),Aux!$B$3:$B$4098,'Truth Table'!$T$3:$T$4098)=1,P156&lt;='Line Follower'!$C$7)</f>
        <v>0</v>
      </c>
      <c r="W157" s="4" t="b">
        <f>AND(_xlfn.XLOOKUP(_xlfn.TEXTJOIN(,,D157:O157),Aux!$B$3:$B$4098,'Truth Table'!$U$3:$U$4098)=1,P156&gt;='Line Follower'!$C$6)</f>
        <v>0</v>
      </c>
      <c r="X157" s="4" t="b">
        <f>IFERROR(AND(_xlfn.XLOOKUP(_xlfn.TEXTJOIN(,,D157:O157),Aux!$B$3:$B$4098,'Truth Table'!$V$3:$V$4098)=1,ABS(P156)&lt;='Line Follower'!$C$6),FALSE)</f>
        <v>0</v>
      </c>
      <c r="Y157" s="4" t="b">
        <f t="shared" si="2"/>
        <v>1</v>
      </c>
    </row>
    <row r="158" spans="2:25" x14ac:dyDescent="0.25">
      <c r="B158" s="4">
        <v>155</v>
      </c>
      <c r="C158" s="4">
        <v>659</v>
      </c>
      <c r="D158" s="4">
        <v>0</v>
      </c>
      <c r="E158" s="4">
        <v>0</v>
      </c>
      <c r="F158" s="4">
        <v>0</v>
      </c>
      <c r="G158" s="4">
        <v>0</v>
      </c>
      <c r="H158" s="4">
        <v>1</v>
      </c>
      <c r="I158" s="4">
        <v>1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1</v>
      </c>
      <c r="P158" s="51">
        <f>IFERROR(_xlfn.XLOOKUP(_xlfn.TEXTJOIN(,,D157:O157),Aux!$B$3:$B$4098,'Truth Table'!$N$3:$N$4098),P157)</f>
        <v>-1</v>
      </c>
      <c r="Q158" s="4" t="b" cm="1">
        <f t="array" ref="Q158:U158">IFERROR(_xlfn.XLOOKUP(_xlfn.TEXTJOIN(,,D158:O158),Aux!$B$3:$B$4098,'Truth Table'!$O$3:$S$4098)=1,FALSE)</f>
        <v>1</v>
      </c>
      <c r="R158" s="4" t="b">
        <v>0</v>
      </c>
      <c r="S158" s="4" t="b">
        <v>0</v>
      </c>
      <c r="T158" s="4" t="b">
        <v>0</v>
      </c>
      <c r="U158" s="4" t="b">
        <v>0</v>
      </c>
      <c r="V158" s="4" t="b">
        <f>AND(_xlfn.XLOOKUP(_xlfn.TEXTJOIN(,,D158:O158),Aux!$B$3:$B$4098,'Truth Table'!$T$3:$T$4098)=1,P157&lt;='Line Follower'!$C$7)</f>
        <v>0</v>
      </c>
      <c r="W158" s="4" t="b">
        <f>AND(_xlfn.XLOOKUP(_xlfn.TEXTJOIN(,,D158:O158),Aux!$B$3:$B$4098,'Truth Table'!$U$3:$U$4098)=1,P157&gt;='Line Follower'!$C$6)</f>
        <v>0</v>
      </c>
      <c r="X158" s="4" t="b">
        <f>IFERROR(AND(_xlfn.XLOOKUP(_xlfn.TEXTJOIN(,,D158:O158),Aux!$B$3:$B$4098,'Truth Table'!$V$3:$V$4098)=1,ABS(P157)&lt;='Line Follower'!$C$6),FALSE)</f>
        <v>0</v>
      </c>
      <c r="Y158" s="4" t="b">
        <f t="shared" si="2"/>
        <v>1</v>
      </c>
    </row>
    <row r="159" spans="2:25" x14ac:dyDescent="0.25">
      <c r="B159" s="4">
        <v>156</v>
      </c>
      <c r="C159" s="4">
        <v>668</v>
      </c>
      <c r="D159" s="4">
        <v>0</v>
      </c>
      <c r="E159" s="4">
        <v>0</v>
      </c>
      <c r="F159" s="4">
        <v>0</v>
      </c>
      <c r="G159" s="4">
        <v>0</v>
      </c>
      <c r="H159" s="4">
        <v>1</v>
      </c>
      <c r="I159" s="4">
        <v>1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1</v>
      </c>
      <c r="P159" s="51">
        <f>IFERROR(_xlfn.XLOOKUP(_xlfn.TEXTJOIN(,,D158:O158),Aux!$B$3:$B$4098,'Truth Table'!$N$3:$N$4098),P158)</f>
        <v>-1</v>
      </c>
      <c r="Q159" s="4" t="b" cm="1">
        <f t="array" ref="Q159:U159">IFERROR(_xlfn.XLOOKUP(_xlfn.TEXTJOIN(,,D159:O159),Aux!$B$3:$B$4098,'Truth Table'!$O$3:$S$4098)=1,FALSE)</f>
        <v>1</v>
      </c>
      <c r="R159" s="4" t="b">
        <v>0</v>
      </c>
      <c r="S159" s="4" t="b">
        <v>0</v>
      </c>
      <c r="T159" s="4" t="b">
        <v>0</v>
      </c>
      <c r="U159" s="4" t="b">
        <v>0</v>
      </c>
      <c r="V159" s="4" t="b">
        <f>AND(_xlfn.XLOOKUP(_xlfn.TEXTJOIN(,,D159:O159),Aux!$B$3:$B$4098,'Truth Table'!$T$3:$T$4098)=1,P158&lt;='Line Follower'!$C$7)</f>
        <v>0</v>
      </c>
      <c r="W159" s="4" t="b">
        <f>AND(_xlfn.XLOOKUP(_xlfn.TEXTJOIN(,,D159:O159),Aux!$B$3:$B$4098,'Truth Table'!$U$3:$U$4098)=1,P158&gt;='Line Follower'!$C$6)</f>
        <v>0</v>
      </c>
      <c r="X159" s="4" t="b">
        <f>IFERROR(AND(_xlfn.XLOOKUP(_xlfn.TEXTJOIN(,,D159:O159),Aux!$B$3:$B$4098,'Truth Table'!$V$3:$V$4098)=1,ABS(P158)&lt;='Line Follower'!$C$6),FALSE)</f>
        <v>0</v>
      </c>
      <c r="Y159" s="4" t="b">
        <f t="shared" si="2"/>
        <v>1</v>
      </c>
    </row>
    <row r="160" spans="2:25" x14ac:dyDescent="0.25">
      <c r="B160" s="4">
        <v>157</v>
      </c>
      <c r="C160" s="4">
        <v>679</v>
      </c>
      <c r="D160" s="4">
        <v>0</v>
      </c>
      <c r="E160" s="4">
        <v>0</v>
      </c>
      <c r="F160" s="4">
        <v>0</v>
      </c>
      <c r="G160" s="4">
        <v>0</v>
      </c>
      <c r="H160" s="4">
        <v>1</v>
      </c>
      <c r="I160" s="4">
        <v>1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1</v>
      </c>
      <c r="P160" s="51">
        <f>IFERROR(_xlfn.XLOOKUP(_xlfn.TEXTJOIN(,,D159:O159),Aux!$B$3:$B$4098,'Truth Table'!$N$3:$N$4098),P159)</f>
        <v>-1</v>
      </c>
      <c r="Q160" s="4" t="b" cm="1">
        <f t="array" ref="Q160:U160">IFERROR(_xlfn.XLOOKUP(_xlfn.TEXTJOIN(,,D160:O160),Aux!$B$3:$B$4098,'Truth Table'!$O$3:$S$4098)=1,FALSE)</f>
        <v>1</v>
      </c>
      <c r="R160" s="4" t="b">
        <v>0</v>
      </c>
      <c r="S160" s="4" t="b">
        <v>0</v>
      </c>
      <c r="T160" s="4" t="b">
        <v>0</v>
      </c>
      <c r="U160" s="4" t="b">
        <v>0</v>
      </c>
      <c r="V160" s="4" t="b">
        <f>AND(_xlfn.XLOOKUP(_xlfn.TEXTJOIN(,,D160:O160),Aux!$B$3:$B$4098,'Truth Table'!$T$3:$T$4098)=1,P159&lt;='Line Follower'!$C$7)</f>
        <v>0</v>
      </c>
      <c r="W160" s="4" t="b">
        <f>AND(_xlfn.XLOOKUP(_xlfn.TEXTJOIN(,,D160:O160),Aux!$B$3:$B$4098,'Truth Table'!$U$3:$U$4098)=1,P159&gt;='Line Follower'!$C$6)</f>
        <v>0</v>
      </c>
      <c r="X160" s="4" t="b">
        <f>IFERROR(AND(_xlfn.XLOOKUP(_xlfn.TEXTJOIN(,,D160:O160),Aux!$B$3:$B$4098,'Truth Table'!$V$3:$V$4098)=1,ABS(P159)&lt;='Line Follower'!$C$6),FALSE)</f>
        <v>0</v>
      </c>
      <c r="Y160" s="4" t="b">
        <f t="shared" si="2"/>
        <v>1</v>
      </c>
    </row>
    <row r="161" spans="2:25" x14ac:dyDescent="0.25">
      <c r="B161" s="4">
        <v>158</v>
      </c>
      <c r="C161" s="4">
        <v>688</v>
      </c>
      <c r="D161" s="4">
        <v>0</v>
      </c>
      <c r="E161" s="4">
        <v>0</v>
      </c>
      <c r="F161" s="4">
        <v>0</v>
      </c>
      <c r="G161" s="4">
        <v>0</v>
      </c>
      <c r="H161" s="4">
        <v>1</v>
      </c>
      <c r="I161" s="4">
        <v>1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1</v>
      </c>
      <c r="P161" s="51">
        <f>IFERROR(_xlfn.XLOOKUP(_xlfn.TEXTJOIN(,,D160:O160),Aux!$B$3:$B$4098,'Truth Table'!$N$3:$N$4098),P160)</f>
        <v>-1</v>
      </c>
      <c r="Q161" s="4" t="b" cm="1">
        <f t="array" ref="Q161:U161">IFERROR(_xlfn.XLOOKUP(_xlfn.TEXTJOIN(,,D161:O161),Aux!$B$3:$B$4098,'Truth Table'!$O$3:$S$4098)=1,FALSE)</f>
        <v>1</v>
      </c>
      <c r="R161" s="4" t="b">
        <v>0</v>
      </c>
      <c r="S161" s="4" t="b">
        <v>0</v>
      </c>
      <c r="T161" s="4" t="b">
        <v>0</v>
      </c>
      <c r="U161" s="4" t="b">
        <v>0</v>
      </c>
      <c r="V161" s="4" t="b">
        <f>AND(_xlfn.XLOOKUP(_xlfn.TEXTJOIN(,,D161:O161),Aux!$B$3:$B$4098,'Truth Table'!$T$3:$T$4098)=1,P160&lt;='Line Follower'!$C$7)</f>
        <v>0</v>
      </c>
      <c r="W161" s="4" t="b">
        <f>AND(_xlfn.XLOOKUP(_xlfn.TEXTJOIN(,,D161:O161),Aux!$B$3:$B$4098,'Truth Table'!$U$3:$U$4098)=1,P160&gt;='Line Follower'!$C$6)</f>
        <v>0</v>
      </c>
      <c r="X161" s="4" t="b">
        <f>IFERROR(AND(_xlfn.XLOOKUP(_xlfn.TEXTJOIN(,,D161:O161),Aux!$B$3:$B$4098,'Truth Table'!$V$3:$V$4098)=1,ABS(P160)&lt;='Line Follower'!$C$6),FALSE)</f>
        <v>0</v>
      </c>
      <c r="Y161" s="4" t="b">
        <f t="shared" si="2"/>
        <v>1</v>
      </c>
    </row>
    <row r="162" spans="2:25" x14ac:dyDescent="0.25">
      <c r="B162" s="4">
        <v>159</v>
      </c>
      <c r="C162" s="4">
        <v>702</v>
      </c>
      <c r="D162" s="4">
        <v>0</v>
      </c>
      <c r="E162" s="4">
        <v>0</v>
      </c>
      <c r="F162" s="4">
        <v>0</v>
      </c>
      <c r="G162" s="4">
        <v>0</v>
      </c>
      <c r="H162" s="4">
        <v>1</v>
      </c>
      <c r="I162" s="4">
        <v>1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1</v>
      </c>
      <c r="P162" s="51">
        <f>IFERROR(_xlfn.XLOOKUP(_xlfn.TEXTJOIN(,,D161:O161),Aux!$B$3:$B$4098,'Truth Table'!$N$3:$N$4098),P161)</f>
        <v>-1</v>
      </c>
      <c r="Q162" s="4" t="b" cm="1">
        <f t="array" ref="Q162:U162">IFERROR(_xlfn.XLOOKUP(_xlfn.TEXTJOIN(,,D162:O162),Aux!$B$3:$B$4098,'Truth Table'!$O$3:$S$4098)=1,FALSE)</f>
        <v>1</v>
      </c>
      <c r="R162" s="4" t="b">
        <v>0</v>
      </c>
      <c r="S162" s="4" t="b">
        <v>0</v>
      </c>
      <c r="T162" s="4" t="b">
        <v>0</v>
      </c>
      <c r="U162" s="4" t="b">
        <v>0</v>
      </c>
      <c r="V162" s="4" t="b">
        <f>AND(_xlfn.XLOOKUP(_xlfn.TEXTJOIN(,,D162:O162),Aux!$B$3:$B$4098,'Truth Table'!$T$3:$T$4098)=1,P161&lt;='Line Follower'!$C$7)</f>
        <v>0</v>
      </c>
      <c r="W162" s="4" t="b">
        <f>AND(_xlfn.XLOOKUP(_xlfn.TEXTJOIN(,,D162:O162),Aux!$B$3:$B$4098,'Truth Table'!$U$3:$U$4098)=1,P161&gt;='Line Follower'!$C$6)</f>
        <v>0</v>
      </c>
      <c r="X162" s="4" t="b">
        <f>IFERROR(AND(_xlfn.XLOOKUP(_xlfn.TEXTJOIN(,,D162:O162),Aux!$B$3:$B$4098,'Truth Table'!$V$3:$V$4098)=1,ABS(P161)&lt;='Line Follower'!$C$6),FALSE)</f>
        <v>0</v>
      </c>
      <c r="Y162" s="4" t="b">
        <f t="shared" si="2"/>
        <v>1</v>
      </c>
    </row>
    <row r="163" spans="2:25" x14ac:dyDescent="0.25">
      <c r="B163" s="4">
        <v>160</v>
      </c>
      <c r="C163" s="4">
        <v>710</v>
      </c>
      <c r="D163" s="4">
        <v>0</v>
      </c>
      <c r="E163" s="4">
        <v>0</v>
      </c>
      <c r="F163" s="4">
        <v>0</v>
      </c>
      <c r="G163" s="4">
        <v>0</v>
      </c>
      <c r="H163" s="4">
        <v>1</v>
      </c>
      <c r="I163" s="4">
        <v>1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1</v>
      </c>
      <c r="P163" s="51">
        <f>IFERROR(_xlfn.XLOOKUP(_xlfn.TEXTJOIN(,,D162:O162),Aux!$B$3:$B$4098,'Truth Table'!$N$3:$N$4098),P162)</f>
        <v>-1</v>
      </c>
      <c r="Q163" s="4" t="b" cm="1">
        <f t="array" ref="Q163:U163">IFERROR(_xlfn.XLOOKUP(_xlfn.TEXTJOIN(,,D163:O163),Aux!$B$3:$B$4098,'Truth Table'!$O$3:$S$4098)=1,FALSE)</f>
        <v>1</v>
      </c>
      <c r="R163" s="4" t="b">
        <v>0</v>
      </c>
      <c r="S163" s="4" t="b">
        <v>0</v>
      </c>
      <c r="T163" s="4" t="b">
        <v>0</v>
      </c>
      <c r="U163" s="4" t="b">
        <v>0</v>
      </c>
      <c r="V163" s="4" t="b">
        <f>AND(_xlfn.XLOOKUP(_xlfn.TEXTJOIN(,,D163:O163),Aux!$B$3:$B$4098,'Truth Table'!$T$3:$T$4098)=1,P162&lt;='Line Follower'!$C$7)</f>
        <v>0</v>
      </c>
      <c r="W163" s="4" t="b">
        <f>AND(_xlfn.XLOOKUP(_xlfn.TEXTJOIN(,,D163:O163),Aux!$B$3:$B$4098,'Truth Table'!$U$3:$U$4098)=1,P162&gt;='Line Follower'!$C$6)</f>
        <v>0</v>
      </c>
      <c r="X163" s="4" t="b">
        <f>IFERROR(AND(_xlfn.XLOOKUP(_xlfn.TEXTJOIN(,,D163:O163),Aux!$B$3:$B$4098,'Truth Table'!$V$3:$V$4098)=1,ABS(P162)&lt;='Line Follower'!$C$6),FALSE)</f>
        <v>0</v>
      </c>
      <c r="Y163" s="4" t="b">
        <f t="shared" si="2"/>
        <v>1</v>
      </c>
    </row>
    <row r="164" spans="2:25" x14ac:dyDescent="0.25">
      <c r="B164" s="4">
        <v>161</v>
      </c>
      <c r="C164" s="4">
        <v>757</v>
      </c>
      <c r="D164" s="4">
        <v>0</v>
      </c>
      <c r="E164" s="4">
        <v>0</v>
      </c>
      <c r="F164" s="4">
        <v>0</v>
      </c>
      <c r="G164" s="4">
        <v>0</v>
      </c>
      <c r="H164" s="4">
        <v>1</v>
      </c>
      <c r="I164" s="4">
        <v>1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1</v>
      </c>
      <c r="P164" s="51">
        <f>IFERROR(_xlfn.XLOOKUP(_xlfn.TEXTJOIN(,,D163:O163),Aux!$B$3:$B$4098,'Truth Table'!$N$3:$N$4098),P163)</f>
        <v>-1</v>
      </c>
      <c r="Q164" s="4" t="b" cm="1">
        <f t="array" ref="Q164:U164">IFERROR(_xlfn.XLOOKUP(_xlfn.TEXTJOIN(,,D164:O164),Aux!$B$3:$B$4098,'Truth Table'!$O$3:$S$4098)=1,FALSE)</f>
        <v>1</v>
      </c>
      <c r="R164" s="4" t="b">
        <v>0</v>
      </c>
      <c r="S164" s="4" t="b">
        <v>0</v>
      </c>
      <c r="T164" s="4" t="b">
        <v>0</v>
      </c>
      <c r="U164" s="4" t="b">
        <v>0</v>
      </c>
      <c r="V164" s="4" t="b">
        <f>AND(_xlfn.XLOOKUP(_xlfn.TEXTJOIN(,,D164:O164),Aux!$B$3:$B$4098,'Truth Table'!$T$3:$T$4098)=1,P163&lt;='Line Follower'!$C$7)</f>
        <v>0</v>
      </c>
      <c r="W164" s="4" t="b">
        <f>AND(_xlfn.XLOOKUP(_xlfn.TEXTJOIN(,,D164:O164),Aux!$B$3:$B$4098,'Truth Table'!$U$3:$U$4098)=1,P163&gt;='Line Follower'!$C$6)</f>
        <v>0</v>
      </c>
      <c r="X164" s="4" t="b">
        <f>IFERROR(AND(_xlfn.XLOOKUP(_xlfn.TEXTJOIN(,,D164:O164),Aux!$B$3:$B$4098,'Truth Table'!$V$3:$V$4098)=1,ABS(P163)&lt;='Line Follower'!$C$6),FALSE)</f>
        <v>0</v>
      </c>
      <c r="Y164" s="4" t="b">
        <f t="shared" si="2"/>
        <v>1</v>
      </c>
    </row>
    <row r="165" spans="2:25" x14ac:dyDescent="0.25">
      <c r="B165" s="4">
        <v>162</v>
      </c>
      <c r="C165" s="4">
        <v>758</v>
      </c>
      <c r="D165" s="4">
        <v>0</v>
      </c>
      <c r="E165" s="4">
        <v>0</v>
      </c>
      <c r="F165" s="4">
        <v>0</v>
      </c>
      <c r="G165" s="4">
        <v>0</v>
      </c>
      <c r="H165" s="4">
        <v>1</v>
      </c>
      <c r="I165" s="4">
        <v>1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1</v>
      </c>
      <c r="P165" s="51">
        <f>IFERROR(_xlfn.XLOOKUP(_xlfn.TEXTJOIN(,,D164:O164),Aux!$B$3:$B$4098,'Truth Table'!$N$3:$N$4098),P164)</f>
        <v>-1</v>
      </c>
      <c r="Q165" s="4" t="b" cm="1">
        <f t="array" ref="Q165:U165">IFERROR(_xlfn.XLOOKUP(_xlfn.TEXTJOIN(,,D165:O165),Aux!$B$3:$B$4098,'Truth Table'!$O$3:$S$4098)=1,FALSE)</f>
        <v>1</v>
      </c>
      <c r="R165" s="4" t="b">
        <v>0</v>
      </c>
      <c r="S165" s="4" t="b">
        <v>0</v>
      </c>
      <c r="T165" s="4" t="b">
        <v>0</v>
      </c>
      <c r="U165" s="4" t="b">
        <v>0</v>
      </c>
      <c r="V165" s="4" t="b">
        <f>AND(_xlfn.XLOOKUP(_xlfn.TEXTJOIN(,,D165:O165),Aux!$B$3:$B$4098,'Truth Table'!$T$3:$T$4098)=1,P164&lt;='Line Follower'!$C$7)</f>
        <v>0</v>
      </c>
      <c r="W165" s="4" t="b">
        <f>AND(_xlfn.XLOOKUP(_xlfn.TEXTJOIN(,,D165:O165),Aux!$B$3:$B$4098,'Truth Table'!$U$3:$U$4098)=1,P164&gt;='Line Follower'!$C$6)</f>
        <v>0</v>
      </c>
      <c r="X165" s="4" t="b">
        <f>IFERROR(AND(_xlfn.XLOOKUP(_xlfn.TEXTJOIN(,,D165:O165),Aux!$B$3:$B$4098,'Truth Table'!$V$3:$V$4098)=1,ABS(P164)&lt;='Line Follower'!$C$6),FALSE)</f>
        <v>0</v>
      </c>
      <c r="Y165" s="4" t="b">
        <f t="shared" si="2"/>
        <v>1</v>
      </c>
    </row>
    <row r="166" spans="2:25" x14ac:dyDescent="0.25">
      <c r="B166" s="4">
        <v>163</v>
      </c>
      <c r="C166" s="4">
        <v>758</v>
      </c>
      <c r="D166" s="4">
        <v>0</v>
      </c>
      <c r="E166" s="4">
        <v>0</v>
      </c>
      <c r="F166" s="4">
        <v>0</v>
      </c>
      <c r="G166" s="4">
        <v>0</v>
      </c>
      <c r="H166" s="4">
        <v>1</v>
      </c>
      <c r="I166" s="4">
        <v>1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1</v>
      </c>
      <c r="P166" s="51">
        <f>IFERROR(_xlfn.XLOOKUP(_xlfn.TEXTJOIN(,,D165:O165),Aux!$B$3:$B$4098,'Truth Table'!$N$3:$N$4098),P165)</f>
        <v>-1</v>
      </c>
      <c r="Q166" s="4" t="b" cm="1">
        <f t="array" ref="Q166:U166">IFERROR(_xlfn.XLOOKUP(_xlfn.TEXTJOIN(,,D166:O166),Aux!$B$3:$B$4098,'Truth Table'!$O$3:$S$4098)=1,FALSE)</f>
        <v>1</v>
      </c>
      <c r="R166" s="4" t="b">
        <v>0</v>
      </c>
      <c r="S166" s="4" t="b">
        <v>0</v>
      </c>
      <c r="T166" s="4" t="b">
        <v>0</v>
      </c>
      <c r="U166" s="4" t="b">
        <v>0</v>
      </c>
      <c r="V166" s="4" t="b">
        <f>AND(_xlfn.XLOOKUP(_xlfn.TEXTJOIN(,,D166:O166),Aux!$B$3:$B$4098,'Truth Table'!$T$3:$T$4098)=1,P165&lt;='Line Follower'!$C$7)</f>
        <v>0</v>
      </c>
      <c r="W166" s="4" t="b">
        <f>AND(_xlfn.XLOOKUP(_xlfn.TEXTJOIN(,,D166:O166),Aux!$B$3:$B$4098,'Truth Table'!$U$3:$U$4098)=1,P165&gt;='Line Follower'!$C$6)</f>
        <v>0</v>
      </c>
      <c r="X166" s="4" t="b">
        <f>IFERROR(AND(_xlfn.XLOOKUP(_xlfn.TEXTJOIN(,,D166:O166),Aux!$B$3:$B$4098,'Truth Table'!$V$3:$V$4098)=1,ABS(P165)&lt;='Line Follower'!$C$6),FALSE)</f>
        <v>0</v>
      </c>
      <c r="Y166" s="4" t="b">
        <f t="shared" si="2"/>
        <v>1</v>
      </c>
    </row>
    <row r="167" spans="2:25" x14ac:dyDescent="0.25">
      <c r="B167" s="4">
        <v>164</v>
      </c>
      <c r="C167" s="4">
        <v>759</v>
      </c>
      <c r="D167" s="4">
        <v>0</v>
      </c>
      <c r="E167" s="4">
        <v>0</v>
      </c>
      <c r="F167" s="4">
        <v>0</v>
      </c>
      <c r="G167" s="4">
        <v>0</v>
      </c>
      <c r="H167" s="4">
        <v>1</v>
      </c>
      <c r="I167" s="4">
        <v>1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1</v>
      </c>
      <c r="P167" s="51">
        <f>IFERROR(_xlfn.XLOOKUP(_xlfn.TEXTJOIN(,,D166:O166),Aux!$B$3:$B$4098,'Truth Table'!$N$3:$N$4098),P166)</f>
        <v>-1</v>
      </c>
      <c r="Q167" s="4" t="b" cm="1">
        <f t="array" ref="Q167:U167">IFERROR(_xlfn.XLOOKUP(_xlfn.TEXTJOIN(,,D167:O167),Aux!$B$3:$B$4098,'Truth Table'!$O$3:$S$4098)=1,FALSE)</f>
        <v>1</v>
      </c>
      <c r="R167" s="4" t="b">
        <v>0</v>
      </c>
      <c r="S167" s="4" t="b">
        <v>0</v>
      </c>
      <c r="T167" s="4" t="b">
        <v>0</v>
      </c>
      <c r="U167" s="4" t="b">
        <v>0</v>
      </c>
      <c r="V167" s="4" t="b">
        <f>AND(_xlfn.XLOOKUP(_xlfn.TEXTJOIN(,,D167:O167),Aux!$B$3:$B$4098,'Truth Table'!$T$3:$T$4098)=1,P166&lt;='Line Follower'!$C$7)</f>
        <v>0</v>
      </c>
      <c r="W167" s="4" t="b">
        <f>AND(_xlfn.XLOOKUP(_xlfn.TEXTJOIN(,,D167:O167),Aux!$B$3:$B$4098,'Truth Table'!$U$3:$U$4098)=1,P166&gt;='Line Follower'!$C$6)</f>
        <v>0</v>
      </c>
      <c r="X167" s="4" t="b">
        <f>IFERROR(AND(_xlfn.XLOOKUP(_xlfn.TEXTJOIN(,,D167:O167),Aux!$B$3:$B$4098,'Truth Table'!$V$3:$V$4098)=1,ABS(P166)&lt;='Line Follower'!$C$6),FALSE)</f>
        <v>0</v>
      </c>
      <c r="Y167" s="4" t="b">
        <f t="shared" si="2"/>
        <v>1</v>
      </c>
    </row>
    <row r="168" spans="2:25" x14ac:dyDescent="0.25">
      <c r="B168" s="4">
        <v>165</v>
      </c>
      <c r="C168" s="4">
        <v>760</v>
      </c>
      <c r="D168" s="4">
        <v>0</v>
      </c>
      <c r="E168" s="4">
        <v>0</v>
      </c>
      <c r="F168" s="4">
        <v>0</v>
      </c>
      <c r="G168" s="4">
        <v>0</v>
      </c>
      <c r="H168" s="4">
        <v>1</v>
      </c>
      <c r="I168" s="4">
        <v>1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1</v>
      </c>
      <c r="P168" s="51">
        <f>IFERROR(_xlfn.XLOOKUP(_xlfn.TEXTJOIN(,,D167:O167),Aux!$B$3:$B$4098,'Truth Table'!$N$3:$N$4098),P167)</f>
        <v>-1</v>
      </c>
      <c r="Q168" s="4" t="b" cm="1">
        <f t="array" ref="Q168:U168">IFERROR(_xlfn.XLOOKUP(_xlfn.TEXTJOIN(,,D168:O168),Aux!$B$3:$B$4098,'Truth Table'!$O$3:$S$4098)=1,FALSE)</f>
        <v>1</v>
      </c>
      <c r="R168" s="4" t="b">
        <v>0</v>
      </c>
      <c r="S168" s="4" t="b">
        <v>0</v>
      </c>
      <c r="T168" s="4" t="b">
        <v>0</v>
      </c>
      <c r="U168" s="4" t="b">
        <v>0</v>
      </c>
      <c r="V168" s="4" t="b">
        <f>AND(_xlfn.XLOOKUP(_xlfn.TEXTJOIN(,,D168:O168),Aux!$B$3:$B$4098,'Truth Table'!$T$3:$T$4098)=1,P167&lt;='Line Follower'!$C$7)</f>
        <v>0</v>
      </c>
      <c r="W168" s="4" t="b">
        <f>AND(_xlfn.XLOOKUP(_xlfn.TEXTJOIN(,,D168:O168),Aux!$B$3:$B$4098,'Truth Table'!$U$3:$U$4098)=1,P167&gt;='Line Follower'!$C$6)</f>
        <v>0</v>
      </c>
      <c r="X168" s="4" t="b">
        <f>IFERROR(AND(_xlfn.XLOOKUP(_xlfn.TEXTJOIN(,,D168:O168),Aux!$B$3:$B$4098,'Truth Table'!$V$3:$V$4098)=1,ABS(P167)&lt;='Line Follower'!$C$6),FALSE)</f>
        <v>0</v>
      </c>
      <c r="Y168" s="4" t="b">
        <f t="shared" si="2"/>
        <v>1</v>
      </c>
    </row>
    <row r="169" spans="2:25" x14ac:dyDescent="0.25">
      <c r="B169" s="4">
        <v>166</v>
      </c>
      <c r="C169" s="4">
        <v>762</v>
      </c>
      <c r="D169" s="4">
        <v>0</v>
      </c>
      <c r="E169" s="4">
        <v>0</v>
      </c>
      <c r="F169" s="4">
        <v>0</v>
      </c>
      <c r="G169" s="4">
        <v>0</v>
      </c>
      <c r="H169" s="4">
        <v>1</v>
      </c>
      <c r="I169" s="4">
        <v>1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1</v>
      </c>
      <c r="P169" s="51">
        <f>IFERROR(_xlfn.XLOOKUP(_xlfn.TEXTJOIN(,,D168:O168),Aux!$B$3:$B$4098,'Truth Table'!$N$3:$N$4098),P168)</f>
        <v>-1</v>
      </c>
      <c r="Q169" s="4" t="b" cm="1">
        <f t="array" ref="Q169:U169">IFERROR(_xlfn.XLOOKUP(_xlfn.TEXTJOIN(,,D169:O169),Aux!$B$3:$B$4098,'Truth Table'!$O$3:$S$4098)=1,FALSE)</f>
        <v>1</v>
      </c>
      <c r="R169" s="4" t="b">
        <v>0</v>
      </c>
      <c r="S169" s="4" t="b">
        <v>0</v>
      </c>
      <c r="T169" s="4" t="b">
        <v>0</v>
      </c>
      <c r="U169" s="4" t="b">
        <v>0</v>
      </c>
      <c r="V169" s="4" t="b">
        <f>AND(_xlfn.XLOOKUP(_xlfn.TEXTJOIN(,,D169:O169),Aux!$B$3:$B$4098,'Truth Table'!$T$3:$T$4098)=1,P168&lt;='Line Follower'!$C$7)</f>
        <v>0</v>
      </c>
      <c r="W169" s="4" t="b">
        <f>AND(_xlfn.XLOOKUP(_xlfn.TEXTJOIN(,,D169:O169),Aux!$B$3:$B$4098,'Truth Table'!$U$3:$U$4098)=1,P168&gt;='Line Follower'!$C$6)</f>
        <v>0</v>
      </c>
      <c r="X169" s="4" t="b">
        <f>IFERROR(AND(_xlfn.XLOOKUP(_xlfn.TEXTJOIN(,,D169:O169),Aux!$B$3:$B$4098,'Truth Table'!$V$3:$V$4098)=1,ABS(P168)&lt;='Line Follower'!$C$6),FALSE)</f>
        <v>0</v>
      </c>
      <c r="Y169" s="4" t="b">
        <f t="shared" si="2"/>
        <v>1</v>
      </c>
    </row>
    <row r="170" spans="2:25" x14ac:dyDescent="0.25">
      <c r="B170" s="4">
        <v>167</v>
      </c>
      <c r="C170" s="4">
        <v>777</v>
      </c>
      <c r="D170" s="4">
        <v>0</v>
      </c>
      <c r="E170" s="4">
        <v>0</v>
      </c>
      <c r="F170" s="4">
        <v>0</v>
      </c>
      <c r="G170" s="4">
        <v>0</v>
      </c>
      <c r="H170" s="4">
        <v>1</v>
      </c>
      <c r="I170" s="4">
        <v>1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1</v>
      </c>
      <c r="P170" s="51">
        <f>IFERROR(_xlfn.XLOOKUP(_xlfn.TEXTJOIN(,,D169:O169),Aux!$B$3:$B$4098,'Truth Table'!$N$3:$N$4098),P169)</f>
        <v>-1</v>
      </c>
      <c r="Q170" s="4" t="b" cm="1">
        <f t="array" ref="Q170:U170">IFERROR(_xlfn.XLOOKUP(_xlfn.TEXTJOIN(,,D170:O170),Aux!$B$3:$B$4098,'Truth Table'!$O$3:$S$4098)=1,FALSE)</f>
        <v>1</v>
      </c>
      <c r="R170" s="4" t="b">
        <v>0</v>
      </c>
      <c r="S170" s="4" t="b">
        <v>0</v>
      </c>
      <c r="T170" s="4" t="b">
        <v>0</v>
      </c>
      <c r="U170" s="4" t="b">
        <v>0</v>
      </c>
      <c r="V170" s="4" t="b">
        <f>AND(_xlfn.XLOOKUP(_xlfn.TEXTJOIN(,,D170:O170),Aux!$B$3:$B$4098,'Truth Table'!$T$3:$T$4098)=1,P169&lt;='Line Follower'!$C$7)</f>
        <v>0</v>
      </c>
      <c r="W170" s="4" t="b">
        <f>AND(_xlfn.XLOOKUP(_xlfn.TEXTJOIN(,,D170:O170),Aux!$B$3:$B$4098,'Truth Table'!$U$3:$U$4098)=1,P169&gt;='Line Follower'!$C$6)</f>
        <v>0</v>
      </c>
      <c r="X170" s="4" t="b">
        <f>IFERROR(AND(_xlfn.XLOOKUP(_xlfn.TEXTJOIN(,,D170:O170),Aux!$B$3:$B$4098,'Truth Table'!$V$3:$V$4098)=1,ABS(P169)&lt;='Line Follower'!$C$6),FALSE)</f>
        <v>0</v>
      </c>
      <c r="Y170" s="4" t="b">
        <f t="shared" si="2"/>
        <v>1</v>
      </c>
    </row>
    <row r="171" spans="2:25" x14ac:dyDescent="0.25">
      <c r="B171" s="4">
        <v>168</v>
      </c>
      <c r="C171" s="4">
        <v>783</v>
      </c>
      <c r="D171" s="4">
        <v>0</v>
      </c>
      <c r="E171" s="4">
        <v>0</v>
      </c>
      <c r="F171" s="4">
        <v>0</v>
      </c>
      <c r="G171" s="4">
        <v>0</v>
      </c>
      <c r="H171" s="4">
        <v>1</v>
      </c>
      <c r="I171" s="4">
        <v>1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1</v>
      </c>
      <c r="P171" s="51">
        <f>IFERROR(_xlfn.XLOOKUP(_xlfn.TEXTJOIN(,,D170:O170),Aux!$B$3:$B$4098,'Truth Table'!$N$3:$N$4098),P170)</f>
        <v>-1</v>
      </c>
      <c r="Q171" s="4" t="b" cm="1">
        <f t="array" ref="Q171:U171">IFERROR(_xlfn.XLOOKUP(_xlfn.TEXTJOIN(,,D171:O171),Aux!$B$3:$B$4098,'Truth Table'!$O$3:$S$4098)=1,FALSE)</f>
        <v>1</v>
      </c>
      <c r="R171" s="4" t="b">
        <v>0</v>
      </c>
      <c r="S171" s="4" t="b">
        <v>0</v>
      </c>
      <c r="T171" s="4" t="b">
        <v>0</v>
      </c>
      <c r="U171" s="4" t="b">
        <v>0</v>
      </c>
      <c r="V171" s="4" t="b">
        <f>AND(_xlfn.XLOOKUP(_xlfn.TEXTJOIN(,,D171:O171),Aux!$B$3:$B$4098,'Truth Table'!$T$3:$T$4098)=1,P170&lt;='Line Follower'!$C$7)</f>
        <v>0</v>
      </c>
      <c r="W171" s="4" t="b">
        <f>AND(_xlfn.XLOOKUP(_xlfn.TEXTJOIN(,,D171:O171),Aux!$B$3:$B$4098,'Truth Table'!$U$3:$U$4098)=1,P170&gt;='Line Follower'!$C$6)</f>
        <v>0</v>
      </c>
      <c r="X171" s="4" t="b">
        <f>IFERROR(AND(_xlfn.XLOOKUP(_xlfn.TEXTJOIN(,,D171:O171),Aux!$B$3:$B$4098,'Truth Table'!$V$3:$V$4098)=1,ABS(P170)&lt;='Line Follower'!$C$6),FALSE)</f>
        <v>0</v>
      </c>
      <c r="Y171" s="4" t="b">
        <f t="shared" si="2"/>
        <v>1</v>
      </c>
    </row>
    <row r="172" spans="2:25" x14ac:dyDescent="0.25">
      <c r="B172" s="4">
        <v>169</v>
      </c>
      <c r="C172" s="4">
        <v>792</v>
      </c>
      <c r="D172" s="4">
        <v>0</v>
      </c>
      <c r="E172" s="4">
        <v>0</v>
      </c>
      <c r="F172" s="4">
        <v>0</v>
      </c>
      <c r="G172" s="4">
        <v>0</v>
      </c>
      <c r="H172" s="4">
        <v>1</v>
      </c>
      <c r="I172" s="4">
        <v>1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1</v>
      </c>
      <c r="P172" s="51">
        <f>IFERROR(_xlfn.XLOOKUP(_xlfn.TEXTJOIN(,,D171:O171),Aux!$B$3:$B$4098,'Truth Table'!$N$3:$N$4098),P171)</f>
        <v>-1</v>
      </c>
      <c r="Q172" s="4" t="b" cm="1">
        <f t="array" ref="Q172:U172">IFERROR(_xlfn.XLOOKUP(_xlfn.TEXTJOIN(,,D172:O172),Aux!$B$3:$B$4098,'Truth Table'!$O$3:$S$4098)=1,FALSE)</f>
        <v>1</v>
      </c>
      <c r="R172" s="4" t="b">
        <v>0</v>
      </c>
      <c r="S172" s="4" t="b">
        <v>0</v>
      </c>
      <c r="T172" s="4" t="b">
        <v>0</v>
      </c>
      <c r="U172" s="4" t="b">
        <v>0</v>
      </c>
      <c r="V172" s="4" t="b">
        <f>AND(_xlfn.XLOOKUP(_xlfn.TEXTJOIN(,,D172:O172),Aux!$B$3:$B$4098,'Truth Table'!$T$3:$T$4098)=1,P171&lt;='Line Follower'!$C$7)</f>
        <v>0</v>
      </c>
      <c r="W172" s="4" t="b">
        <f>AND(_xlfn.XLOOKUP(_xlfn.TEXTJOIN(,,D172:O172),Aux!$B$3:$B$4098,'Truth Table'!$U$3:$U$4098)=1,P171&gt;='Line Follower'!$C$6)</f>
        <v>0</v>
      </c>
      <c r="X172" s="4" t="b">
        <f>IFERROR(AND(_xlfn.XLOOKUP(_xlfn.TEXTJOIN(,,D172:O172),Aux!$B$3:$B$4098,'Truth Table'!$V$3:$V$4098)=1,ABS(P171)&lt;='Line Follower'!$C$6),FALSE)</f>
        <v>0</v>
      </c>
      <c r="Y172" s="4" t="b">
        <f t="shared" si="2"/>
        <v>1</v>
      </c>
    </row>
    <row r="173" spans="2:25" x14ac:dyDescent="0.25">
      <c r="B173" s="4">
        <v>170</v>
      </c>
      <c r="C173" s="4">
        <v>808</v>
      </c>
      <c r="D173" s="4">
        <v>0</v>
      </c>
      <c r="E173" s="4">
        <v>0</v>
      </c>
      <c r="F173" s="4">
        <v>0</v>
      </c>
      <c r="G173" s="4">
        <v>0</v>
      </c>
      <c r="H173" s="4">
        <v>1</v>
      </c>
      <c r="I173" s="4">
        <v>1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1</v>
      </c>
      <c r="P173" s="51">
        <f>IFERROR(_xlfn.XLOOKUP(_xlfn.TEXTJOIN(,,D172:O172),Aux!$B$3:$B$4098,'Truth Table'!$N$3:$N$4098),P172)</f>
        <v>-1</v>
      </c>
      <c r="Q173" s="4" t="b" cm="1">
        <f t="array" ref="Q173:U173">IFERROR(_xlfn.XLOOKUP(_xlfn.TEXTJOIN(,,D173:O173),Aux!$B$3:$B$4098,'Truth Table'!$O$3:$S$4098)=1,FALSE)</f>
        <v>1</v>
      </c>
      <c r="R173" s="4" t="b">
        <v>0</v>
      </c>
      <c r="S173" s="4" t="b">
        <v>0</v>
      </c>
      <c r="T173" s="4" t="b">
        <v>0</v>
      </c>
      <c r="U173" s="4" t="b">
        <v>0</v>
      </c>
      <c r="V173" s="4" t="b">
        <f>AND(_xlfn.XLOOKUP(_xlfn.TEXTJOIN(,,D173:O173),Aux!$B$3:$B$4098,'Truth Table'!$T$3:$T$4098)=1,P172&lt;='Line Follower'!$C$7)</f>
        <v>0</v>
      </c>
      <c r="W173" s="4" t="b">
        <f>AND(_xlfn.XLOOKUP(_xlfn.TEXTJOIN(,,D173:O173),Aux!$B$3:$B$4098,'Truth Table'!$U$3:$U$4098)=1,P172&gt;='Line Follower'!$C$6)</f>
        <v>0</v>
      </c>
      <c r="X173" s="4" t="b">
        <f>IFERROR(AND(_xlfn.XLOOKUP(_xlfn.TEXTJOIN(,,D173:O173),Aux!$B$3:$B$4098,'Truth Table'!$V$3:$V$4098)=1,ABS(P172)&lt;='Line Follower'!$C$6),FALSE)</f>
        <v>0</v>
      </c>
      <c r="Y173" s="4" t="b">
        <f t="shared" si="2"/>
        <v>1</v>
      </c>
    </row>
    <row r="174" spans="2:25" x14ac:dyDescent="0.25">
      <c r="B174" s="4">
        <v>171</v>
      </c>
      <c r="C174" s="4">
        <v>809</v>
      </c>
      <c r="D174" s="4">
        <v>0</v>
      </c>
      <c r="E174" s="4">
        <v>0</v>
      </c>
      <c r="F174" s="4">
        <v>0</v>
      </c>
      <c r="G174" s="4">
        <v>0</v>
      </c>
      <c r="H174" s="4">
        <v>1</v>
      </c>
      <c r="I174" s="4">
        <v>1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1</v>
      </c>
      <c r="P174" s="51">
        <f>IFERROR(_xlfn.XLOOKUP(_xlfn.TEXTJOIN(,,D173:O173),Aux!$B$3:$B$4098,'Truth Table'!$N$3:$N$4098),P173)</f>
        <v>-1</v>
      </c>
      <c r="Q174" s="4" t="b" cm="1">
        <f t="array" ref="Q174:U174">IFERROR(_xlfn.XLOOKUP(_xlfn.TEXTJOIN(,,D174:O174),Aux!$B$3:$B$4098,'Truth Table'!$O$3:$S$4098)=1,FALSE)</f>
        <v>1</v>
      </c>
      <c r="R174" s="4" t="b">
        <v>0</v>
      </c>
      <c r="S174" s="4" t="b">
        <v>0</v>
      </c>
      <c r="T174" s="4" t="b">
        <v>0</v>
      </c>
      <c r="U174" s="4" t="b">
        <v>0</v>
      </c>
      <c r="V174" s="4" t="b">
        <f>AND(_xlfn.XLOOKUP(_xlfn.TEXTJOIN(,,D174:O174),Aux!$B$3:$B$4098,'Truth Table'!$T$3:$T$4098)=1,P173&lt;='Line Follower'!$C$7)</f>
        <v>0</v>
      </c>
      <c r="W174" s="4" t="b">
        <f>AND(_xlfn.XLOOKUP(_xlfn.TEXTJOIN(,,D174:O174),Aux!$B$3:$B$4098,'Truth Table'!$U$3:$U$4098)=1,P173&gt;='Line Follower'!$C$6)</f>
        <v>0</v>
      </c>
      <c r="X174" s="4" t="b">
        <f>IFERROR(AND(_xlfn.XLOOKUP(_xlfn.TEXTJOIN(,,D174:O174),Aux!$B$3:$B$4098,'Truth Table'!$V$3:$V$4098)=1,ABS(P173)&lt;='Line Follower'!$C$6),FALSE)</f>
        <v>0</v>
      </c>
      <c r="Y174" s="4" t="b">
        <f t="shared" si="2"/>
        <v>1</v>
      </c>
    </row>
    <row r="175" spans="2:25" x14ac:dyDescent="0.25">
      <c r="B175" s="4">
        <v>172</v>
      </c>
      <c r="C175" s="4">
        <v>843</v>
      </c>
      <c r="D175" s="4">
        <v>0</v>
      </c>
      <c r="E175" s="4">
        <v>0</v>
      </c>
      <c r="F175" s="4">
        <v>0</v>
      </c>
      <c r="G175" s="4">
        <v>0</v>
      </c>
      <c r="H175" s="4">
        <v>1</v>
      </c>
      <c r="I175" s="4">
        <v>1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1</v>
      </c>
      <c r="P175" s="51">
        <f>IFERROR(_xlfn.XLOOKUP(_xlfn.TEXTJOIN(,,D174:O174),Aux!$B$3:$B$4098,'Truth Table'!$N$3:$N$4098),P174)</f>
        <v>-1</v>
      </c>
      <c r="Q175" s="4" t="b" cm="1">
        <f t="array" ref="Q175:U175">IFERROR(_xlfn.XLOOKUP(_xlfn.TEXTJOIN(,,D175:O175),Aux!$B$3:$B$4098,'Truth Table'!$O$3:$S$4098)=1,FALSE)</f>
        <v>1</v>
      </c>
      <c r="R175" s="4" t="b">
        <v>0</v>
      </c>
      <c r="S175" s="4" t="b">
        <v>0</v>
      </c>
      <c r="T175" s="4" t="b">
        <v>0</v>
      </c>
      <c r="U175" s="4" t="b">
        <v>0</v>
      </c>
      <c r="V175" s="4" t="b">
        <f>AND(_xlfn.XLOOKUP(_xlfn.TEXTJOIN(,,D175:O175),Aux!$B$3:$B$4098,'Truth Table'!$T$3:$T$4098)=1,P174&lt;='Line Follower'!$C$7)</f>
        <v>0</v>
      </c>
      <c r="W175" s="4" t="b">
        <f>AND(_xlfn.XLOOKUP(_xlfn.TEXTJOIN(,,D175:O175),Aux!$B$3:$B$4098,'Truth Table'!$U$3:$U$4098)=1,P174&gt;='Line Follower'!$C$6)</f>
        <v>0</v>
      </c>
      <c r="X175" s="4" t="b">
        <f>IFERROR(AND(_xlfn.XLOOKUP(_xlfn.TEXTJOIN(,,D175:O175),Aux!$B$3:$B$4098,'Truth Table'!$V$3:$V$4098)=1,ABS(P174)&lt;='Line Follower'!$C$6),FALSE)</f>
        <v>0</v>
      </c>
      <c r="Y175" s="4" t="b">
        <f t="shared" si="2"/>
        <v>1</v>
      </c>
    </row>
    <row r="176" spans="2:25" x14ac:dyDescent="0.25">
      <c r="B176" s="4">
        <v>173</v>
      </c>
      <c r="C176" s="4">
        <v>844</v>
      </c>
      <c r="D176" s="4">
        <v>0</v>
      </c>
      <c r="E176" s="4">
        <v>0</v>
      </c>
      <c r="F176" s="4">
        <v>0</v>
      </c>
      <c r="G176" s="4">
        <v>0</v>
      </c>
      <c r="H176" s="4">
        <v>1</v>
      </c>
      <c r="I176" s="4">
        <v>1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1</v>
      </c>
      <c r="P176" s="51">
        <f>IFERROR(_xlfn.XLOOKUP(_xlfn.TEXTJOIN(,,D175:O175),Aux!$B$3:$B$4098,'Truth Table'!$N$3:$N$4098),P175)</f>
        <v>-1</v>
      </c>
      <c r="Q176" s="4" t="b" cm="1">
        <f t="array" ref="Q176:U176">IFERROR(_xlfn.XLOOKUP(_xlfn.TEXTJOIN(,,D176:O176),Aux!$B$3:$B$4098,'Truth Table'!$O$3:$S$4098)=1,FALSE)</f>
        <v>1</v>
      </c>
      <c r="R176" s="4" t="b">
        <v>0</v>
      </c>
      <c r="S176" s="4" t="b">
        <v>0</v>
      </c>
      <c r="T176" s="4" t="b">
        <v>0</v>
      </c>
      <c r="U176" s="4" t="b">
        <v>0</v>
      </c>
      <c r="V176" s="4" t="b">
        <f>AND(_xlfn.XLOOKUP(_xlfn.TEXTJOIN(,,D176:O176),Aux!$B$3:$B$4098,'Truth Table'!$T$3:$T$4098)=1,P175&lt;='Line Follower'!$C$7)</f>
        <v>0</v>
      </c>
      <c r="W176" s="4" t="b">
        <f>AND(_xlfn.XLOOKUP(_xlfn.TEXTJOIN(,,D176:O176),Aux!$B$3:$B$4098,'Truth Table'!$U$3:$U$4098)=1,P175&gt;='Line Follower'!$C$6)</f>
        <v>0</v>
      </c>
      <c r="X176" s="4" t="b">
        <f>IFERROR(AND(_xlfn.XLOOKUP(_xlfn.TEXTJOIN(,,D176:O176),Aux!$B$3:$B$4098,'Truth Table'!$V$3:$V$4098)=1,ABS(P175)&lt;='Line Follower'!$C$6),FALSE)</f>
        <v>0</v>
      </c>
      <c r="Y176" s="4" t="b">
        <f t="shared" si="2"/>
        <v>1</v>
      </c>
    </row>
    <row r="177" spans="2:25" x14ac:dyDescent="0.25">
      <c r="B177" s="4">
        <v>174</v>
      </c>
      <c r="C177" s="4">
        <v>845</v>
      </c>
      <c r="D177" s="4">
        <v>0</v>
      </c>
      <c r="E177" s="4">
        <v>0</v>
      </c>
      <c r="F177" s="4">
        <v>0</v>
      </c>
      <c r="G177" s="4">
        <v>0</v>
      </c>
      <c r="H177" s="4">
        <v>1</v>
      </c>
      <c r="I177" s="4">
        <v>1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1</v>
      </c>
      <c r="P177" s="51">
        <f>IFERROR(_xlfn.XLOOKUP(_xlfn.TEXTJOIN(,,D176:O176),Aux!$B$3:$B$4098,'Truth Table'!$N$3:$N$4098),P176)</f>
        <v>-1</v>
      </c>
      <c r="Q177" s="4" t="b" cm="1">
        <f t="array" ref="Q177:U177">IFERROR(_xlfn.XLOOKUP(_xlfn.TEXTJOIN(,,D177:O177),Aux!$B$3:$B$4098,'Truth Table'!$O$3:$S$4098)=1,FALSE)</f>
        <v>1</v>
      </c>
      <c r="R177" s="4" t="b">
        <v>0</v>
      </c>
      <c r="S177" s="4" t="b">
        <v>0</v>
      </c>
      <c r="T177" s="4" t="b">
        <v>0</v>
      </c>
      <c r="U177" s="4" t="b">
        <v>0</v>
      </c>
      <c r="V177" s="4" t="b">
        <f>AND(_xlfn.XLOOKUP(_xlfn.TEXTJOIN(,,D177:O177),Aux!$B$3:$B$4098,'Truth Table'!$T$3:$T$4098)=1,P176&lt;='Line Follower'!$C$7)</f>
        <v>0</v>
      </c>
      <c r="W177" s="4" t="b">
        <f>AND(_xlfn.XLOOKUP(_xlfn.TEXTJOIN(,,D177:O177),Aux!$B$3:$B$4098,'Truth Table'!$U$3:$U$4098)=1,P176&gt;='Line Follower'!$C$6)</f>
        <v>0</v>
      </c>
      <c r="X177" s="4" t="b">
        <f>IFERROR(AND(_xlfn.XLOOKUP(_xlfn.TEXTJOIN(,,D177:O177),Aux!$B$3:$B$4098,'Truth Table'!$V$3:$V$4098)=1,ABS(P176)&lt;='Line Follower'!$C$6),FALSE)</f>
        <v>0</v>
      </c>
      <c r="Y177" s="4" t="b">
        <f t="shared" si="2"/>
        <v>1</v>
      </c>
    </row>
    <row r="178" spans="2:25" x14ac:dyDescent="0.25">
      <c r="B178" s="4">
        <v>175</v>
      </c>
      <c r="C178" s="4">
        <v>855</v>
      </c>
      <c r="D178" s="4">
        <v>0</v>
      </c>
      <c r="E178" s="4">
        <v>0</v>
      </c>
      <c r="F178" s="4">
        <v>0</v>
      </c>
      <c r="G178" s="4">
        <v>0</v>
      </c>
      <c r="H178" s="4">
        <v>1</v>
      </c>
      <c r="I178" s="4">
        <v>1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1</v>
      </c>
      <c r="P178" s="51">
        <f>IFERROR(_xlfn.XLOOKUP(_xlfn.TEXTJOIN(,,D177:O177),Aux!$B$3:$B$4098,'Truth Table'!$N$3:$N$4098),P177)</f>
        <v>-1</v>
      </c>
      <c r="Q178" s="4" t="b" cm="1">
        <f t="array" ref="Q178:U178">IFERROR(_xlfn.XLOOKUP(_xlfn.TEXTJOIN(,,D178:O178),Aux!$B$3:$B$4098,'Truth Table'!$O$3:$S$4098)=1,FALSE)</f>
        <v>1</v>
      </c>
      <c r="R178" s="4" t="b">
        <v>0</v>
      </c>
      <c r="S178" s="4" t="b">
        <v>0</v>
      </c>
      <c r="T178" s="4" t="b">
        <v>0</v>
      </c>
      <c r="U178" s="4" t="b">
        <v>0</v>
      </c>
      <c r="V178" s="4" t="b">
        <f>AND(_xlfn.XLOOKUP(_xlfn.TEXTJOIN(,,D178:O178),Aux!$B$3:$B$4098,'Truth Table'!$T$3:$T$4098)=1,P177&lt;='Line Follower'!$C$7)</f>
        <v>0</v>
      </c>
      <c r="W178" s="4" t="b">
        <f>AND(_xlfn.XLOOKUP(_xlfn.TEXTJOIN(,,D178:O178),Aux!$B$3:$B$4098,'Truth Table'!$U$3:$U$4098)=1,P177&gt;='Line Follower'!$C$6)</f>
        <v>0</v>
      </c>
      <c r="X178" s="4" t="b">
        <f>IFERROR(AND(_xlfn.XLOOKUP(_xlfn.TEXTJOIN(,,D178:O178),Aux!$B$3:$B$4098,'Truth Table'!$V$3:$V$4098)=1,ABS(P177)&lt;='Line Follower'!$C$6),FALSE)</f>
        <v>0</v>
      </c>
      <c r="Y178" s="4" t="b">
        <f t="shared" si="2"/>
        <v>1</v>
      </c>
    </row>
    <row r="179" spans="2:25" x14ac:dyDescent="0.25">
      <c r="B179" s="4">
        <v>176</v>
      </c>
      <c r="C179" s="4">
        <v>864</v>
      </c>
      <c r="D179" s="4">
        <v>0</v>
      </c>
      <c r="E179" s="4">
        <v>0</v>
      </c>
      <c r="F179" s="4">
        <v>0</v>
      </c>
      <c r="G179" s="4">
        <v>0</v>
      </c>
      <c r="H179" s="4">
        <v>1</v>
      </c>
      <c r="I179" s="4">
        <v>1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1</v>
      </c>
      <c r="P179" s="51">
        <f>IFERROR(_xlfn.XLOOKUP(_xlfn.TEXTJOIN(,,D178:O178),Aux!$B$3:$B$4098,'Truth Table'!$N$3:$N$4098),P178)</f>
        <v>-1</v>
      </c>
      <c r="Q179" s="4" t="b" cm="1">
        <f t="array" ref="Q179:U179">IFERROR(_xlfn.XLOOKUP(_xlfn.TEXTJOIN(,,D179:O179),Aux!$B$3:$B$4098,'Truth Table'!$O$3:$S$4098)=1,FALSE)</f>
        <v>1</v>
      </c>
      <c r="R179" s="4" t="b">
        <v>0</v>
      </c>
      <c r="S179" s="4" t="b">
        <v>0</v>
      </c>
      <c r="T179" s="4" t="b">
        <v>0</v>
      </c>
      <c r="U179" s="4" t="b">
        <v>0</v>
      </c>
      <c r="V179" s="4" t="b">
        <f>AND(_xlfn.XLOOKUP(_xlfn.TEXTJOIN(,,D179:O179),Aux!$B$3:$B$4098,'Truth Table'!$T$3:$T$4098)=1,P178&lt;='Line Follower'!$C$7)</f>
        <v>0</v>
      </c>
      <c r="W179" s="4" t="b">
        <f>AND(_xlfn.XLOOKUP(_xlfn.TEXTJOIN(,,D179:O179),Aux!$B$3:$B$4098,'Truth Table'!$U$3:$U$4098)=1,P178&gt;='Line Follower'!$C$6)</f>
        <v>0</v>
      </c>
      <c r="X179" s="4" t="b">
        <f>IFERROR(AND(_xlfn.XLOOKUP(_xlfn.TEXTJOIN(,,D179:O179),Aux!$B$3:$B$4098,'Truth Table'!$V$3:$V$4098)=1,ABS(P178)&lt;='Line Follower'!$C$6),FALSE)</f>
        <v>0</v>
      </c>
      <c r="Y179" s="4" t="b">
        <f t="shared" si="2"/>
        <v>1</v>
      </c>
    </row>
    <row r="180" spans="2:25" x14ac:dyDescent="0.25">
      <c r="B180" s="4">
        <v>177</v>
      </c>
      <c r="C180" s="4">
        <v>878</v>
      </c>
      <c r="D180" s="4">
        <v>0</v>
      </c>
      <c r="E180" s="4">
        <v>0</v>
      </c>
      <c r="F180" s="4">
        <v>0</v>
      </c>
      <c r="G180" s="4">
        <v>0</v>
      </c>
      <c r="H180" s="4">
        <v>1</v>
      </c>
      <c r="I180" s="4">
        <v>1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1</v>
      </c>
      <c r="P180" s="51">
        <f>IFERROR(_xlfn.XLOOKUP(_xlfn.TEXTJOIN(,,D179:O179),Aux!$B$3:$B$4098,'Truth Table'!$N$3:$N$4098),P179)</f>
        <v>-1</v>
      </c>
      <c r="Q180" s="4" t="b" cm="1">
        <f t="array" ref="Q180:U180">IFERROR(_xlfn.XLOOKUP(_xlfn.TEXTJOIN(,,D180:O180),Aux!$B$3:$B$4098,'Truth Table'!$O$3:$S$4098)=1,FALSE)</f>
        <v>1</v>
      </c>
      <c r="R180" s="4" t="b">
        <v>0</v>
      </c>
      <c r="S180" s="4" t="b">
        <v>0</v>
      </c>
      <c r="T180" s="4" t="b">
        <v>0</v>
      </c>
      <c r="U180" s="4" t="b">
        <v>0</v>
      </c>
      <c r="V180" s="4" t="b">
        <f>AND(_xlfn.XLOOKUP(_xlfn.TEXTJOIN(,,D180:O180),Aux!$B$3:$B$4098,'Truth Table'!$T$3:$T$4098)=1,P179&lt;='Line Follower'!$C$7)</f>
        <v>0</v>
      </c>
      <c r="W180" s="4" t="b">
        <f>AND(_xlfn.XLOOKUP(_xlfn.TEXTJOIN(,,D180:O180),Aux!$B$3:$B$4098,'Truth Table'!$U$3:$U$4098)=1,P179&gt;='Line Follower'!$C$6)</f>
        <v>0</v>
      </c>
      <c r="X180" s="4" t="b">
        <f>IFERROR(AND(_xlfn.XLOOKUP(_xlfn.TEXTJOIN(,,D180:O180),Aux!$B$3:$B$4098,'Truth Table'!$V$3:$V$4098)=1,ABS(P179)&lt;='Line Follower'!$C$6),FALSE)</f>
        <v>0</v>
      </c>
      <c r="Y180" s="4" t="b">
        <f t="shared" si="2"/>
        <v>1</v>
      </c>
    </row>
    <row r="181" spans="2:25" x14ac:dyDescent="0.25">
      <c r="B181" s="4">
        <v>178</v>
      </c>
      <c r="C181" s="4">
        <v>883</v>
      </c>
      <c r="D181" s="4">
        <v>0</v>
      </c>
      <c r="E181" s="4">
        <v>0</v>
      </c>
      <c r="F181" s="4">
        <v>0</v>
      </c>
      <c r="G181" s="4">
        <v>0</v>
      </c>
      <c r="H181" s="4">
        <v>1</v>
      </c>
      <c r="I181" s="4">
        <v>1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1</v>
      </c>
      <c r="P181" s="51">
        <f>IFERROR(_xlfn.XLOOKUP(_xlfn.TEXTJOIN(,,D180:O180),Aux!$B$3:$B$4098,'Truth Table'!$N$3:$N$4098),P180)</f>
        <v>-1</v>
      </c>
      <c r="Q181" s="4" t="b" cm="1">
        <f t="array" ref="Q181:U181">IFERROR(_xlfn.XLOOKUP(_xlfn.TEXTJOIN(,,D181:O181),Aux!$B$3:$B$4098,'Truth Table'!$O$3:$S$4098)=1,FALSE)</f>
        <v>1</v>
      </c>
      <c r="R181" s="4" t="b">
        <v>0</v>
      </c>
      <c r="S181" s="4" t="b">
        <v>0</v>
      </c>
      <c r="T181" s="4" t="b">
        <v>0</v>
      </c>
      <c r="U181" s="4" t="b">
        <v>0</v>
      </c>
      <c r="V181" s="4" t="b">
        <f>AND(_xlfn.XLOOKUP(_xlfn.TEXTJOIN(,,D181:O181),Aux!$B$3:$B$4098,'Truth Table'!$T$3:$T$4098)=1,P180&lt;='Line Follower'!$C$7)</f>
        <v>0</v>
      </c>
      <c r="W181" s="4" t="b">
        <f>AND(_xlfn.XLOOKUP(_xlfn.TEXTJOIN(,,D181:O181),Aux!$B$3:$B$4098,'Truth Table'!$U$3:$U$4098)=1,P180&gt;='Line Follower'!$C$6)</f>
        <v>0</v>
      </c>
      <c r="X181" s="4" t="b">
        <f>IFERROR(AND(_xlfn.XLOOKUP(_xlfn.TEXTJOIN(,,D181:O181),Aux!$B$3:$B$4098,'Truth Table'!$V$3:$V$4098)=1,ABS(P180)&lt;='Line Follower'!$C$6),FALSE)</f>
        <v>0</v>
      </c>
      <c r="Y181" s="4" t="b">
        <f t="shared" si="2"/>
        <v>1</v>
      </c>
    </row>
    <row r="182" spans="2:25" x14ac:dyDescent="0.25">
      <c r="B182" s="4">
        <v>179</v>
      </c>
      <c r="C182" s="4">
        <v>897</v>
      </c>
      <c r="D182" s="4">
        <v>0</v>
      </c>
      <c r="E182" s="4">
        <v>0</v>
      </c>
      <c r="F182" s="4">
        <v>0</v>
      </c>
      <c r="G182" s="4">
        <v>0</v>
      </c>
      <c r="H182" s="4">
        <v>1</v>
      </c>
      <c r="I182" s="4">
        <v>1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1</v>
      </c>
      <c r="P182" s="51">
        <f>IFERROR(_xlfn.XLOOKUP(_xlfn.TEXTJOIN(,,D181:O181),Aux!$B$3:$B$4098,'Truth Table'!$N$3:$N$4098),P181)</f>
        <v>-1</v>
      </c>
      <c r="Q182" s="4" t="b" cm="1">
        <f t="array" ref="Q182:U182">IFERROR(_xlfn.XLOOKUP(_xlfn.TEXTJOIN(,,D182:O182),Aux!$B$3:$B$4098,'Truth Table'!$O$3:$S$4098)=1,FALSE)</f>
        <v>1</v>
      </c>
      <c r="R182" s="4" t="b">
        <v>0</v>
      </c>
      <c r="S182" s="4" t="b">
        <v>0</v>
      </c>
      <c r="T182" s="4" t="b">
        <v>0</v>
      </c>
      <c r="U182" s="4" t="b">
        <v>0</v>
      </c>
      <c r="V182" s="4" t="b">
        <f>AND(_xlfn.XLOOKUP(_xlfn.TEXTJOIN(,,D182:O182),Aux!$B$3:$B$4098,'Truth Table'!$T$3:$T$4098)=1,P181&lt;='Line Follower'!$C$7)</f>
        <v>0</v>
      </c>
      <c r="W182" s="4" t="b">
        <f>AND(_xlfn.XLOOKUP(_xlfn.TEXTJOIN(,,D182:O182),Aux!$B$3:$B$4098,'Truth Table'!$U$3:$U$4098)=1,P181&gt;='Line Follower'!$C$6)</f>
        <v>0</v>
      </c>
      <c r="X182" s="4" t="b">
        <f>IFERROR(AND(_xlfn.XLOOKUP(_xlfn.TEXTJOIN(,,D182:O182),Aux!$B$3:$B$4098,'Truth Table'!$V$3:$V$4098)=1,ABS(P181)&lt;='Line Follower'!$C$6),FALSE)</f>
        <v>0</v>
      </c>
      <c r="Y182" s="4" t="b">
        <f t="shared" si="2"/>
        <v>1</v>
      </c>
    </row>
    <row r="183" spans="2:25" x14ac:dyDescent="0.25">
      <c r="B183" s="4">
        <v>180</v>
      </c>
      <c r="C183" s="4">
        <v>906</v>
      </c>
      <c r="D183" s="4">
        <v>0</v>
      </c>
      <c r="E183" s="4">
        <v>0</v>
      </c>
      <c r="F183" s="4">
        <v>0</v>
      </c>
      <c r="G183" s="4">
        <v>0</v>
      </c>
      <c r="H183" s="4">
        <v>1</v>
      </c>
      <c r="I183" s="4">
        <v>1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1</v>
      </c>
      <c r="P183" s="51">
        <f>IFERROR(_xlfn.XLOOKUP(_xlfn.TEXTJOIN(,,D182:O182),Aux!$B$3:$B$4098,'Truth Table'!$N$3:$N$4098),P182)</f>
        <v>-1</v>
      </c>
      <c r="Q183" s="4" t="b" cm="1">
        <f t="array" ref="Q183:U183">IFERROR(_xlfn.XLOOKUP(_xlfn.TEXTJOIN(,,D183:O183),Aux!$B$3:$B$4098,'Truth Table'!$O$3:$S$4098)=1,FALSE)</f>
        <v>1</v>
      </c>
      <c r="R183" s="4" t="b">
        <v>0</v>
      </c>
      <c r="S183" s="4" t="b">
        <v>0</v>
      </c>
      <c r="T183" s="4" t="b">
        <v>0</v>
      </c>
      <c r="U183" s="4" t="b">
        <v>0</v>
      </c>
      <c r="V183" s="4" t="b">
        <f>AND(_xlfn.XLOOKUP(_xlfn.TEXTJOIN(,,D183:O183),Aux!$B$3:$B$4098,'Truth Table'!$T$3:$T$4098)=1,P182&lt;='Line Follower'!$C$7)</f>
        <v>0</v>
      </c>
      <c r="W183" s="4" t="b">
        <f>AND(_xlfn.XLOOKUP(_xlfn.TEXTJOIN(,,D183:O183),Aux!$B$3:$B$4098,'Truth Table'!$U$3:$U$4098)=1,P182&gt;='Line Follower'!$C$6)</f>
        <v>0</v>
      </c>
      <c r="X183" s="4" t="b">
        <f>IFERROR(AND(_xlfn.XLOOKUP(_xlfn.TEXTJOIN(,,D183:O183),Aux!$B$3:$B$4098,'Truth Table'!$V$3:$V$4098)=1,ABS(P182)&lt;='Line Follower'!$C$6),FALSE)</f>
        <v>0</v>
      </c>
      <c r="Y183" s="4" t="b">
        <f t="shared" si="2"/>
        <v>1</v>
      </c>
    </row>
    <row r="184" spans="2:25" x14ac:dyDescent="0.25">
      <c r="B184" s="4">
        <v>181</v>
      </c>
      <c r="C184" s="4">
        <v>919</v>
      </c>
      <c r="D184" s="4">
        <v>0</v>
      </c>
      <c r="E184" s="4">
        <v>0</v>
      </c>
      <c r="F184" s="4">
        <v>0</v>
      </c>
      <c r="G184" s="4">
        <v>0</v>
      </c>
      <c r="H184" s="4">
        <v>1</v>
      </c>
      <c r="I184" s="4">
        <v>1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1</v>
      </c>
      <c r="P184" s="51">
        <f>IFERROR(_xlfn.XLOOKUP(_xlfn.TEXTJOIN(,,D183:O183),Aux!$B$3:$B$4098,'Truth Table'!$N$3:$N$4098),P183)</f>
        <v>-1</v>
      </c>
      <c r="Q184" s="4" t="b" cm="1">
        <f t="array" ref="Q184:U184">IFERROR(_xlfn.XLOOKUP(_xlfn.TEXTJOIN(,,D184:O184),Aux!$B$3:$B$4098,'Truth Table'!$O$3:$S$4098)=1,FALSE)</f>
        <v>1</v>
      </c>
      <c r="R184" s="4" t="b">
        <v>0</v>
      </c>
      <c r="S184" s="4" t="b">
        <v>0</v>
      </c>
      <c r="T184" s="4" t="b">
        <v>0</v>
      </c>
      <c r="U184" s="4" t="b">
        <v>0</v>
      </c>
      <c r="V184" s="4" t="b">
        <f>AND(_xlfn.XLOOKUP(_xlfn.TEXTJOIN(,,D184:O184),Aux!$B$3:$B$4098,'Truth Table'!$T$3:$T$4098)=1,P183&lt;='Line Follower'!$C$7)</f>
        <v>0</v>
      </c>
      <c r="W184" s="4" t="b">
        <f>AND(_xlfn.XLOOKUP(_xlfn.TEXTJOIN(,,D184:O184),Aux!$B$3:$B$4098,'Truth Table'!$U$3:$U$4098)=1,P183&gt;='Line Follower'!$C$6)</f>
        <v>0</v>
      </c>
      <c r="X184" s="4" t="b">
        <f>IFERROR(AND(_xlfn.XLOOKUP(_xlfn.TEXTJOIN(,,D184:O184),Aux!$B$3:$B$4098,'Truth Table'!$V$3:$V$4098)=1,ABS(P183)&lt;='Line Follower'!$C$6),FALSE)</f>
        <v>0</v>
      </c>
      <c r="Y184" s="4" t="b">
        <f t="shared" si="2"/>
        <v>1</v>
      </c>
    </row>
    <row r="185" spans="2:25" x14ac:dyDescent="0.25">
      <c r="B185" s="4">
        <v>182</v>
      </c>
      <c r="C185" s="4">
        <v>925</v>
      </c>
      <c r="D185" s="4">
        <v>0</v>
      </c>
      <c r="E185" s="4">
        <v>0</v>
      </c>
      <c r="F185" s="4">
        <v>0</v>
      </c>
      <c r="G185" s="4">
        <v>0</v>
      </c>
      <c r="H185" s="4">
        <v>1</v>
      </c>
      <c r="I185" s="4">
        <v>1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1</v>
      </c>
      <c r="P185" s="51">
        <f>IFERROR(_xlfn.XLOOKUP(_xlfn.TEXTJOIN(,,D184:O184),Aux!$B$3:$B$4098,'Truth Table'!$N$3:$N$4098),P184)</f>
        <v>-1</v>
      </c>
      <c r="Q185" s="4" t="b" cm="1">
        <f t="array" ref="Q185:U185">IFERROR(_xlfn.XLOOKUP(_xlfn.TEXTJOIN(,,D185:O185),Aux!$B$3:$B$4098,'Truth Table'!$O$3:$S$4098)=1,FALSE)</f>
        <v>1</v>
      </c>
      <c r="R185" s="4" t="b">
        <v>0</v>
      </c>
      <c r="S185" s="4" t="b">
        <v>0</v>
      </c>
      <c r="T185" s="4" t="b">
        <v>0</v>
      </c>
      <c r="U185" s="4" t="b">
        <v>0</v>
      </c>
      <c r="V185" s="4" t="b">
        <f>AND(_xlfn.XLOOKUP(_xlfn.TEXTJOIN(,,D185:O185),Aux!$B$3:$B$4098,'Truth Table'!$T$3:$T$4098)=1,P184&lt;='Line Follower'!$C$7)</f>
        <v>0</v>
      </c>
      <c r="W185" s="4" t="b">
        <f>AND(_xlfn.XLOOKUP(_xlfn.TEXTJOIN(,,D185:O185),Aux!$B$3:$B$4098,'Truth Table'!$U$3:$U$4098)=1,P184&gt;='Line Follower'!$C$6)</f>
        <v>0</v>
      </c>
      <c r="X185" s="4" t="b">
        <f>IFERROR(AND(_xlfn.XLOOKUP(_xlfn.TEXTJOIN(,,D185:O185),Aux!$B$3:$B$4098,'Truth Table'!$V$3:$V$4098)=1,ABS(P184)&lt;='Line Follower'!$C$6),FALSE)</f>
        <v>0</v>
      </c>
      <c r="Y185" s="4" t="b">
        <f t="shared" si="2"/>
        <v>1</v>
      </c>
    </row>
    <row r="186" spans="2:25" x14ac:dyDescent="0.25">
      <c r="B186" s="4">
        <v>183</v>
      </c>
      <c r="C186" s="4">
        <v>949</v>
      </c>
      <c r="D186" s="4">
        <v>0</v>
      </c>
      <c r="E186" s="4">
        <v>0</v>
      </c>
      <c r="F186" s="4">
        <v>0</v>
      </c>
      <c r="G186" s="4">
        <v>0</v>
      </c>
      <c r="H186" s="4">
        <v>1</v>
      </c>
      <c r="I186" s="4">
        <v>1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1</v>
      </c>
      <c r="P186" s="51">
        <f>IFERROR(_xlfn.XLOOKUP(_xlfn.TEXTJOIN(,,D185:O185),Aux!$B$3:$B$4098,'Truth Table'!$N$3:$N$4098),P185)</f>
        <v>-1</v>
      </c>
      <c r="Q186" s="4" t="b" cm="1">
        <f t="array" ref="Q186:U186">IFERROR(_xlfn.XLOOKUP(_xlfn.TEXTJOIN(,,D186:O186),Aux!$B$3:$B$4098,'Truth Table'!$O$3:$S$4098)=1,FALSE)</f>
        <v>1</v>
      </c>
      <c r="R186" s="4" t="b">
        <v>0</v>
      </c>
      <c r="S186" s="4" t="b">
        <v>0</v>
      </c>
      <c r="T186" s="4" t="b">
        <v>0</v>
      </c>
      <c r="U186" s="4" t="b">
        <v>0</v>
      </c>
      <c r="V186" s="4" t="b">
        <f>AND(_xlfn.XLOOKUP(_xlfn.TEXTJOIN(,,D186:O186),Aux!$B$3:$B$4098,'Truth Table'!$T$3:$T$4098)=1,P185&lt;='Line Follower'!$C$7)</f>
        <v>0</v>
      </c>
      <c r="W186" s="4" t="b">
        <f>AND(_xlfn.XLOOKUP(_xlfn.TEXTJOIN(,,D186:O186),Aux!$B$3:$B$4098,'Truth Table'!$U$3:$U$4098)=1,P185&gt;='Line Follower'!$C$6)</f>
        <v>0</v>
      </c>
      <c r="X186" s="4" t="b">
        <f>IFERROR(AND(_xlfn.XLOOKUP(_xlfn.TEXTJOIN(,,D186:O186),Aux!$B$3:$B$4098,'Truth Table'!$V$3:$V$4098)=1,ABS(P185)&lt;='Line Follower'!$C$6),FALSE)</f>
        <v>0</v>
      </c>
      <c r="Y186" s="4" t="b">
        <f t="shared" si="2"/>
        <v>1</v>
      </c>
    </row>
    <row r="187" spans="2:25" x14ac:dyDescent="0.25">
      <c r="B187" s="4">
        <v>184</v>
      </c>
      <c r="C187" s="4">
        <v>950</v>
      </c>
      <c r="D187" s="4">
        <v>0</v>
      </c>
      <c r="E187" s="4">
        <v>0</v>
      </c>
      <c r="F187" s="4">
        <v>0</v>
      </c>
      <c r="G187" s="4">
        <v>0</v>
      </c>
      <c r="H187" s="4">
        <v>1</v>
      </c>
      <c r="I187" s="4">
        <v>1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1</v>
      </c>
      <c r="P187" s="51">
        <f>IFERROR(_xlfn.XLOOKUP(_xlfn.TEXTJOIN(,,D186:O186),Aux!$B$3:$B$4098,'Truth Table'!$N$3:$N$4098),P186)</f>
        <v>-1</v>
      </c>
      <c r="Q187" s="4" t="b" cm="1">
        <f t="array" ref="Q187:U187">IFERROR(_xlfn.XLOOKUP(_xlfn.TEXTJOIN(,,D187:O187),Aux!$B$3:$B$4098,'Truth Table'!$O$3:$S$4098)=1,FALSE)</f>
        <v>1</v>
      </c>
      <c r="R187" s="4" t="b">
        <v>0</v>
      </c>
      <c r="S187" s="4" t="b">
        <v>0</v>
      </c>
      <c r="T187" s="4" t="b">
        <v>0</v>
      </c>
      <c r="U187" s="4" t="b">
        <v>0</v>
      </c>
      <c r="V187" s="4" t="b">
        <f>AND(_xlfn.XLOOKUP(_xlfn.TEXTJOIN(,,D187:O187),Aux!$B$3:$B$4098,'Truth Table'!$T$3:$T$4098)=1,P186&lt;='Line Follower'!$C$7)</f>
        <v>0</v>
      </c>
      <c r="W187" s="4" t="b">
        <f>AND(_xlfn.XLOOKUP(_xlfn.TEXTJOIN(,,D187:O187),Aux!$B$3:$B$4098,'Truth Table'!$U$3:$U$4098)=1,P186&gt;='Line Follower'!$C$6)</f>
        <v>0</v>
      </c>
      <c r="X187" s="4" t="b">
        <f>IFERROR(AND(_xlfn.XLOOKUP(_xlfn.TEXTJOIN(,,D187:O187),Aux!$B$3:$B$4098,'Truth Table'!$V$3:$V$4098)=1,ABS(P186)&lt;='Line Follower'!$C$6),FALSE)</f>
        <v>0</v>
      </c>
      <c r="Y187" s="4" t="b">
        <f t="shared" si="2"/>
        <v>1</v>
      </c>
    </row>
    <row r="188" spans="2:25" x14ac:dyDescent="0.25">
      <c r="B188" s="4">
        <v>185</v>
      </c>
      <c r="C188" s="4">
        <v>951</v>
      </c>
      <c r="D188" s="4">
        <v>0</v>
      </c>
      <c r="E188" s="4">
        <v>0</v>
      </c>
      <c r="F188" s="4">
        <v>0</v>
      </c>
      <c r="G188" s="4">
        <v>0</v>
      </c>
      <c r="H188" s="4">
        <v>1</v>
      </c>
      <c r="I188" s="4">
        <v>1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1</v>
      </c>
      <c r="P188" s="51">
        <f>IFERROR(_xlfn.XLOOKUP(_xlfn.TEXTJOIN(,,D187:O187),Aux!$B$3:$B$4098,'Truth Table'!$N$3:$N$4098),P187)</f>
        <v>-1</v>
      </c>
      <c r="Q188" s="4" t="b" cm="1">
        <f t="array" ref="Q188:U188">IFERROR(_xlfn.XLOOKUP(_xlfn.TEXTJOIN(,,D188:O188),Aux!$B$3:$B$4098,'Truth Table'!$O$3:$S$4098)=1,FALSE)</f>
        <v>1</v>
      </c>
      <c r="R188" s="4" t="b">
        <v>0</v>
      </c>
      <c r="S188" s="4" t="b">
        <v>0</v>
      </c>
      <c r="T188" s="4" t="b">
        <v>0</v>
      </c>
      <c r="U188" s="4" t="b">
        <v>0</v>
      </c>
      <c r="V188" s="4" t="b">
        <f>AND(_xlfn.XLOOKUP(_xlfn.TEXTJOIN(,,D188:O188),Aux!$B$3:$B$4098,'Truth Table'!$T$3:$T$4098)=1,P187&lt;='Line Follower'!$C$7)</f>
        <v>0</v>
      </c>
      <c r="W188" s="4" t="b">
        <f>AND(_xlfn.XLOOKUP(_xlfn.TEXTJOIN(,,D188:O188),Aux!$B$3:$B$4098,'Truth Table'!$U$3:$U$4098)=1,P187&gt;='Line Follower'!$C$6)</f>
        <v>0</v>
      </c>
      <c r="X188" s="4" t="b">
        <f>IFERROR(AND(_xlfn.XLOOKUP(_xlfn.TEXTJOIN(,,D188:O188),Aux!$B$3:$B$4098,'Truth Table'!$V$3:$V$4098)=1,ABS(P187)&lt;='Line Follower'!$C$6),FALSE)</f>
        <v>0</v>
      </c>
      <c r="Y188" s="4" t="b">
        <f t="shared" si="2"/>
        <v>1</v>
      </c>
    </row>
    <row r="189" spans="2:25" x14ac:dyDescent="0.25">
      <c r="B189" s="4">
        <v>186</v>
      </c>
      <c r="C189" s="4">
        <v>959</v>
      </c>
      <c r="D189" s="4">
        <v>0</v>
      </c>
      <c r="E189" s="4">
        <v>0</v>
      </c>
      <c r="F189" s="4">
        <v>0</v>
      </c>
      <c r="G189" s="4">
        <v>0</v>
      </c>
      <c r="H189" s="4">
        <v>1</v>
      </c>
      <c r="I189" s="4">
        <v>1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1</v>
      </c>
      <c r="P189" s="51">
        <f>IFERROR(_xlfn.XLOOKUP(_xlfn.TEXTJOIN(,,D188:O188),Aux!$B$3:$B$4098,'Truth Table'!$N$3:$N$4098),P188)</f>
        <v>-1</v>
      </c>
      <c r="Q189" s="4" t="b" cm="1">
        <f t="array" ref="Q189:U189">IFERROR(_xlfn.XLOOKUP(_xlfn.TEXTJOIN(,,D189:O189),Aux!$B$3:$B$4098,'Truth Table'!$O$3:$S$4098)=1,FALSE)</f>
        <v>1</v>
      </c>
      <c r="R189" s="4" t="b">
        <v>0</v>
      </c>
      <c r="S189" s="4" t="b">
        <v>0</v>
      </c>
      <c r="T189" s="4" t="b">
        <v>0</v>
      </c>
      <c r="U189" s="4" t="b">
        <v>0</v>
      </c>
      <c r="V189" s="4" t="b">
        <f>AND(_xlfn.XLOOKUP(_xlfn.TEXTJOIN(,,D189:O189),Aux!$B$3:$B$4098,'Truth Table'!$T$3:$T$4098)=1,P188&lt;='Line Follower'!$C$7)</f>
        <v>0</v>
      </c>
      <c r="W189" s="4" t="b">
        <f>AND(_xlfn.XLOOKUP(_xlfn.TEXTJOIN(,,D189:O189),Aux!$B$3:$B$4098,'Truth Table'!$U$3:$U$4098)=1,P188&gt;='Line Follower'!$C$6)</f>
        <v>0</v>
      </c>
      <c r="X189" s="4" t="b">
        <f>IFERROR(AND(_xlfn.XLOOKUP(_xlfn.TEXTJOIN(,,D189:O189),Aux!$B$3:$B$4098,'Truth Table'!$V$3:$V$4098)=1,ABS(P188)&lt;='Line Follower'!$C$6),FALSE)</f>
        <v>0</v>
      </c>
      <c r="Y189" s="4" t="b">
        <f t="shared" si="2"/>
        <v>1</v>
      </c>
    </row>
    <row r="190" spans="2:25" x14ac:dyDescent="0.25">
      <c r="B190" s="4">
        <v>187</v>
      </c>
      <c r="C190" s="4">
        <v>971</v>
      </c>
      <c r="D190" s="4">
        <v>0</v>
      </c>
      <c r="E190" s="4">
        <v>0</v>
      </c>
      <c r="F190" s="4">
        <v>0</v>
      </c>
      <c r="G190" s="4">
        <v>0</v>
      </c>
      <c r="H190" s="4">
        <v>1</v>
      </c>
      <c r="I190" s="4">
        <v>1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1</v>
      </c>
      <c r="P190" s="51">
        <f>IFERROR(_xlfn.XLOOKUP(_xlfn.TEXTJOIN(,,D189:O189),Aux!$B$3:$B$4098,'Truth Table'!$N$3:$N$4098),P189)</f>
        <v>-1</v>
      </c>
      <c r="Q190" s="4" t="b" cm="1">
        <f t="array" ref="Q190:U190">IFERROR(_xlfn.XLOOKUP(_xlfn.TEXTJOIN(,,D190:O190),Aux!$B$3:$B$4098,'Truth Table'!$O$3:$S$4098)=1,FALSE)</f>
        <v>1</v>
      </c>
      <c r="R190" s="4" t="b">
        <v>0</v>
      </c>
      <c r="S190" s="4" t="b">
        <v>0</v>
      </c>
      <c r="T190" s="4" t="b">
        <v>0</v>
      </c>
      <c r="U190" s="4" t="b">
        <v>0</v>
      </c>
      <c r="V190" s="4" t="b">
        <f>AND(_xlfn.XLOOKUP(_xlfn.TEXTJOIN(,,D190:O190),Aux!$B$3:$B$4098,'Truth Table'!$T$3:$T$4098)=1,P189&lt;='Line Follower'!$C$7)</f>
        <v>0</v>
      </c>
      <c r="W190" s="4" t="b">
        <f>AND(_xlfn.XLOOKUP(_xlfn.TEXTJOIN(,,D190:O190),Aux!$B$3:$B$4098,'Truth Table'!$U$3:$U$4098)=1,P189&gt;='Line Follower'!$C$6)</f>
        <v>0</v>
      </c>
      <c r="X190" s="4" t="b">
        <f>IFERROR(AND(_xlfn.XLOOKUP(_xlfn.TEXTJOIN(,,D190:O190),Aux!$B$3:$B$4098,'Truth Table'!$V$3:$V$4098)=1,ABS(P189)&lt;='Line Follower'!$C$6),FALSE)</f>
        <v>0</v>
      </c>
      <c r="Y190" s="4" t="b">
        <f t="shared" si="2"/>
        <v>1</v>
      </c>
    </row>
    <row r="191" spans="2:25" x14ac:dyDescent="0.25">
      <c r="B191" s="4">
        <v>188</v>
      </c>
      <c r="C191" s="4">
        <v>982</v>
      </c>
      <c r="D191" s="4">
        <v>0</v>
      </c>
      <c r="E191" s="4">
        <v>0</v>
      </c>
      <c r="F191" s="4">
        <v>0</v>
      </c>
      <c r="G191" s="4">
        <v>0</v>
      </c>
      <c r="H191" s="4">
        <v>1</v>
      </c>
      <c r="I191" s="4">
        <v>1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1</v>
      </c>
      <c r="P191" s="51">
        <f>IFERROR(_xlfn.XLOOKUP(_xlfn.TEXTJOIN(,,D190:O190),Aux!$B$3:$B$4098,'Truth Table'!$N$3:$N$4098),P190)</f>
        <v>-1</v>
      </c>
      <c r="Q191" s="4" t="b" cm="1">
        <f t="array" ref="Q191:U191">IFERROR(_xlfn.XLOOKUP(_xlfn.TEXTJOIN(,,D191:O191),Aux!$B$3:$B$4098,'Truth Table'!$O$3:$S$4098)=1,FALSE)</f>
        <v>1</v>
      </c>
      <c r="R191" s="4" t="b">
        <v>0</v>
      </c>
      <c r="S191" s="4" t="b">
        <v>0</v>
      </c>
      <c r="T191" s="4" t="b">
        <v>0</v>
      </c>
      <c r="U191" s="4" t="b">
        <v>0</v>
      </c>
      <c r="V191" s="4" t="b">
        <f>AND(_xlfn.XLOOKUP(_xlfn.TEXTJOIN(,,D191:O191),Aux!$B$3:$B$4098,'Truth Table'!$T$3:$T$4098)=1,P190&lt;='Line Follower'!$C$7)</f>
        <v>0</v>
      </c>
      <c r="W191" s="4" t="b">
        <f>AND(_xlfn.XLOOKUP(_xlfn.TEXTJOIN(,,D191:O191),Aux!$B$3:$B$4098,'Truth Table'!$U$3:$U$4098)=1,P190&gt;='Line Follower'!$C$6)</f>
        <v>0</v>
      </c>
      <c r="X191" s="4" t="b">
        <f>IFERROR(AND(_xlfn.XLOOKUP(_xlfn.TEXTJOIN(,,D191:O191),Aux!$B$3:$B$4098,'Truth Table'!$V$3:$V$4098)=1,ABS(P190)&lt;='Line Follower'!$C$6),FALSE)</f>
        <v>0</v>
      </c>
      <c r="Y191" s="4" t="b">
        <f t="shared" si="2"/>
        <v>1</v>
      </c>
    </row>
    <row r="192" spans="2:25" x14ac:dyDescent="0.25">
      <c r="B192" s="4">
        <v>189</v>
      </c>
      <c r="C192" s="4">
        <v>990</v>
      </c>
      <c r="D192" s="4">
        <v>0</v>
      </c>
      <c r="E192" s="4">
        <v>0</v>
      </c>
      <c r="F192" s="4">
        <v>0</v>
      </c>
      <c r="G192" s="4">
        <v>0</v>
      </c>
      <c r="H192" s="4">
        <v>1</v>
      </c>
      <c r="I192" s="4">
        <v>1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1</v>
      </c>
      <c r="P192" s="51">
        <f>IFERROR(_xlfn.XLOOKUP(_xlfn.TEXTJOIN(,,D191:O191),Aux!$B$3:$B$4098,'Truth Table'!$N$3:$N$4098),P191)</f>
        <v>-1</v>
      </c>
      <c r="Q192" s="4" t="b" cm="1">
        <f t="array" ref="Q192:U192">IFERROR(_xlfn.XLOOKUP(_xlfn.TEXTJOIN(,,D192:O192),Aux!$B$3:$B$4098,'Truth Table'!$O$3:$S$4098)=1,FALSE)</f>
        <v>1</v>
      </c>
      <c r="R192" s="4" t="b">
        <v>0</v>
      </c>
      <c r="S192" s="4" t="b">
        <v>0</v>
      </c>
      <c r="T192" s="4" t="b">
        <v>0</v>
      </c>
      <c r="U192" s="4" t="b">
        <v>0</v>
      </c>
      <c r="V192" s="4" t="b">
        <f>AND(_xlfn.XLOOKUP(_xlfn.TEXTJOIN(,,D192:O192),Aux!$B$3:$B$4098,'Truth Table'!$T$3:$T$4098)=1,P191&lt;='Line Follower'!$C$7)</f>
        <v>0</v>
      </c>
      <c r="W192" s="4" t="b">
        <f>AND(_xlfn.XLOOKUP(_xlfn.TEXTJOIN(,,D192:O192),Aux!$B$3:$B$4098,'Truth Table'!$U$3:$U$4098)=1,P191&gt;='Line Follower'!$C$6)</f>
        <v>0</v>
      </c>
      <c r="X192" s="4" t="b">
        <f>IFERROR(AND(_xlfn.XLOOKUP(_xlfn.TEXTJOIN(,,D192:O192),Aux!$B$3:$B$4098,'Truth Table'!$V$3:$V$4098)=1,ABS(P191)&lt;='Line Follower'!$C$6),FALSE)</f>
        <v>0</v>
      </c>
      <c r="Y192" s="4" t="b">
        <f t="shared" si="2"/>
        <v>1</v>
      </c>
    </row>
    <row r="193" spans="2:25" x14ac:dyDescent="0.25">
      <c r="B193" s="4">
        <v>190</v>
      </c>
      <c r="C193" s="4">
        <v>1004</v>
      </c>
      <c r="D193" s="4">
        <v>0</v>
      </c>
      <c r="E193" s="4">
        <v>0</v>
      </c>
      <c r="F193" s="4">
        <v>0</v>
      </c>
      <c r="G193" s="4">
        <v>0</v>
      </c>
      <c r="H193" s="4">
        <v>1</v>
      </c>
      <c r="I193" s="4">
        <v>1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1</v>
      </c>
      <c r="P193" s="51">
        <f>IFERROR(_xlfn.XLOOKUP(_xlfn.TEXTJOIN(,,D192:O192),Aux!$B$3:$B$4098,'Truth Table'!$N$3:$N$4098),P192)</f>
        <v>-1</v>
      </c>
      <c r="Q193" s="4" t="b" cm="1">
        <f t="array" ref="Q193:U193">IFERROR(_xlfn.XLOOKUP(_xlfn.TEXTJOIN(,,D193:O193),Aux!$B$3:$B$4098,'Truth Table'!$O$3:$S$4098)=1,FALSE)</f>
        <v>1</v>
      </c>
      <c r="R193" s="4" t="b">
        <v>0</v>
      </c>
      <c r="S193" s="4" t="b">
        <v>0</v>
      </c>
      <c r="T193" s="4" t="b">
        <v>0</v>
      </c>
      <c r="U193" s="4" t="b">
        <v>0</v>
      </c>
      <c r="V193" s="4" t="b">
        <f>AND(_xlfn.XLOOKUP(_xlfn.TEXTJOIN(,,D193:O193),Aux!$B$3:$B$4098,'Truth Table'!$T$3:$T$4098)=1,P192&lt;='Line Follower'!$C$7)</f>
        <v>0</v>
      </c>
      <c r="W193" s="4" t="b">
        <f>AND(_xlfn.XLOOKUP(_xlfn.TEXTJOIN(,,D193:O193),Aux!$B$3:$B$4098,'Truth Table'!$U$3:$U$4098)=1,P192&gt;='Line Follower'!$C$6)</f>
        <v>0</v>
      </c>
      <c r="X193" s="4" t="b">
        <f>IFERROR(AND(_xlfn.XLOOKUP(_xlfn.TEXTJOIN(,,D193:O193),Aux!$B$3:$B$4098,'Truth Table'!$V$3:$V$4098)=1,ABS(P192)&lt;='Line Follower'!$C$6),FALSE)</f>
        <v>0</v>
      </c>
      <c r="Y193" s="4" t="b">
        <f t="shared" si="2"/>
        <v>1</v>
      </c>
    </row>
    <row r="194" spans="2:25" x14ac:dyDescent="0.25">
      <c r="B194" s="4">
        <v>191</v>
      </c>
      <c r="C194" s="4">
        <v>1011</v>
      </c>
      <c r="D194" s="4">
        <v>0</v>
      </c>
      <c r="E194" s="4">
        <v>0</v>
      </c>
      <c r="F194" s="4">
        <v>0</v>
      </c>
      <c r="G194" s="4">
        <v>0</v>
      </c>
      <c r="H194" s="4">
        <v>1</v>
      </c>
      <c r="I194" s="4">
        <v>1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1</v>
      </c>
      <c r="P194" s="51">
        <f>IFERROR(_xlfn.XLOOKUP(_xlfn.TEXTJOIN(,,D193:O193),Aux!$B$3:$B$4098,'Truth Table'!$N$3:$N$4098),P193)</f>
        <v>-1</v>
      </c>
      <c r="Q194" s="4" t="b" cm="1">
        <f t="array" ref="Q194:U194">IFERROR(_xlfn.XLOOKUP(_xlfn.TEXTJOIN(,,D194:O194),Aux!$B$3:$B$4098,'Truth Table'!$O$3:$S$4098)=1,FALSE)</f>
        <v>1</v>
      </c>
      <c r="R194" s="4" t="b">
        <v>0</v>
      </c>
      <c r="S194" s="4" t="b">
        <v>0</v>
      </c>
      <c r="T194" s="4" t="b">
        <v>0</v>
      </c>
      <c r="U194" s="4" t="b">
        <v>0</v>
      </c>
      <c r="V194" s="4" t="b">
        <f>AND(_xlfn.XLOOKUP(_xlfn.TEXTJOIN(,,D194:O194),Aux!$B$3:$B$4098,'Truth Table'!$T$3:$T$4098)=1,P193&lt;='Line Follower'!$C$7)</f>
        <v>0</v>
      </c>
      <c r="W194" s="4" t="b">
        <f>AND(_xlfn.XLOOKUP(_xlfn.TEXTJOIN(,,D194:O194),Aux!$B$3:$B$4098,'Truth Table'!$U$3:$U$4098)=1,P193&gt;='Line Follower'!$C$6)</f>
        <v>0</v>
      </c>
      <c r="X194" s="4" t="b">
        <f>IFERROR(AND(_xlfn.XLOOKUP(_xlfn.TEXTJOIN(,,D194:O194),Aux!$B$3:$B$4098,'Truth Table'!$V$3:$V$4098)=1,ABS(P193)&lt;='Line Follower'!$C$6),FALSE)</f>
        <v>0</v>
      </c>
      <c r="Y194" s="4" t="b">
        <f t="shared" si="2"/>
        <v>1</v>
      </c>
    </row>
    <row r="195" spans="2:25" x14ac:dyDescent="0.25">
      <c r="B195" s="4">
        <v>192</v>
      </c>
      <c r="C195" s="4">
        <v>1024</v>
      </c>
      <c r="D195" s="4">
        <v>0</v>
      </c>
      <c r="E195" s="4">
        <v>0</v>
      </c>
      <c r="F195" s="4">
        <v>0</v>
      </c>
      <c r="G195" s="4">
        <v>0</v>
      </c>
      <c r="H195" s="4">
        <v>1</v>
      </c>
      <c r="I195" s="4">
        <v>1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1</v>
      </c>
      <c r="P195" s="51">
        <f>IFERROR(_xlfn.XLOOKUP(_xlfn.TEXTJOIN(,,D194:O194),Aux!$B$3:$B$4098,'Truth Table'!$N$3:$N$4098),P194)</f>
        <v>-1</v>
      </c>
      <c r="Q195" s="4" t="b" cm="1">
        <f t="array" ref="Q195:U195">IFERROR(_xlfn.XLOOKUP(_xlfn.TEXTJOIN(,,D195:O195),Aux!$B$3:$B$4098,'Truth Table'!$O$3:$S$4098)=1,FALSE)</f>
        <v>1</v>
      </c>
      <c r="R195" s="4" t="b">
        <v>0</v>
      </c>
      <c r="S195" s="4" t="b">
        <v>0</v>
      </c>
      <c r="T195" s="4" t="b">
        <v>0</v>
      </c>
      <c r="U195" s="4" t="b">
        <v>0</v>
      </c>
      <c r="V195" s="4" t="b">
        <f>AND(_xlfn.XLOOKUP(_xlfn.TEXTJOIN(,,D195:O195),Aux!$B$3:$B$4098,'Truth Table'!$T$3:$T$4098)=1,P194&lt;='Line Follower'!$C$7)</f>
        <v>0</v>
      </c>
      <c r="W195" s="4" t="b">
        <f>AND(_xlfn.XLOOKUP(_xlfn.TEXTJOIN(,,D195:O195),Aux!$B$3:$B$4098,'Truth Table'!$U$3:$U$4098)=1,P194&gt;='Line Follower'!$C$6)</f>
        <v>0</v>
      </c>
      <c r="X195" s="4" t="b">
        <f>IFERROR(AND(_xlfn.XLOOKUP(_xlfn.TEXTJOIN(,,D195:O195),Aux!$B$3:$B$4098,'Truth Table'!$V$3:$V$4098)=1,ABS(P194)&lt;='Line Follower'!$C$6),FALSE)</f>
        <v>0</v>
      </c>
      <c r="Y195" s="4" t="b">
        <f t="shared" si="2"/>
        <v>1</v>
      </c>
    </row>
    <row r="196" spans="2:25" x14ac:dyDescent="0.25">
      <c r="B196" s="4">
        <v>193</v>
      </c>
      <c r="C196" s="4">
        <v>1033</v>
      </c>
      <c r="D196" s="4">
        <v>0</v>
      </c>
      <c r="E196" s="4">
        <v>0</v>
      </c>
      <c r="F196" s="4">
        <v>0</v>
      </c>
      <c r="G196" s="4">
        <v>0</v>
      </c>
      <c r="H196" s="4">
        <v>1</v>
      </c>
      <c r="I196" s="4">
        <v>1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1</v>
      </c>
      <c r="P196" s="51">
        <f>IFERROR(_xlfn.XLOOKUP(_xlfn.TEXTJOIN(,,D195:O195),Aux!$B$3:$B$4098,'Truth Table'!$N$3:$N$4098),P195)</f>
        <v>-1</v>
      </c>
      <c r="Q196" s="4" t="b" cm="1">
        <f t="array" ref="Q196:U196">IFERROR(_xlfn.XLOOKUP(_xlfn.TEXTJOIN(,,D196:O196),Aux!$B$3:$B$4098,'Truth Table'!$O$3:$S$4098)=1,FALSE)</f>
        <v>1</v>
      </c>
      <c r="R196" s="4" t="b">
        <v>0</v>
      </c>
      <c r="S196" s="4" t="b">
        <v>0</v>
      </c>
      <c r="T196" s="4" t="b">
        <v>0</v>
      </c>
      <c r="U196" s="4" t="b">
        <v>0</v>
      </c>
      <c r="V196" s="4" t="b">
        <f>AND(_xlfn.XLOOKUP(_xlfn.TEXTJOIN(,,D196:O196),Aux!$B$3:$B$4098,'Truth Table'!$T$3:$T$4098)=1,P195&lt;='Line Follower'!$C$7)</f>
        <v>0</v>
      </c>
      <c r="W196" s="4" t="b">
        <f>AND(_xlfn.XLOOKUP(_xlfn.TEXTJOIN(,,D196:O196),Aux!$B$3:$B$4098,'Truth Table'!$U$3:$U$4098)=1,P195&gt;='Line Follower'!$C$6)</f>
        <v>0</v>
      </c>
      <c r="X196" s="4" t="b">
        <f>IFERROR(AND(_xlfn.XLOOKUP(_xlfn.TEXTJOIN(,,D196:O196),Aux!$B$3:$B$4098,'Truth Table'!$V$3:$V$4098)=1,ABS(P195)&lt;='Line Follower'!$C$6),FALSE)</f>
        <v>0</v>
      </c>
      <c r="Y196" s="4" t="b">
        <f t="shared" ref="Y196:Y259" si="3">OR(Q196:X196)</f>
        <v>1</v>
      </c>
    </row>
    <row r="197" spans="2:25" x14ac:dyDescent="0.25">
      <c r="B197" s="4">
        <v>194</v>
      </c>
      <c r="C197" s="4">
        <v>1047</v>
      </c>
      <c r="D197" s="4">
        <v>0</v>
      </c>
      <c r="E197" s="4">
        <v>0</v>
      </c>
      <c r="F197" s="4">
        <v>0</v>
      </c>
      <c r="G197" s="4">
        <v>0</v>
      </c>
      <c r="H197" s="4">
        <v>1</v>
      </c>
      <c r="I197" s="4">
        <v>1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1</v>
      </c>
      <c r="P197" s="51">
        <f>IFERROR(_xlfn.XLOOKUP(_xlfn.TEXTJOIN(,,D196:O196),Aux!$B$3:$B$4098,'Truth Table'!$N$3:$N$4098),P196)</f>
        <v>-1</v>
      </c>
      <c r="Q197" s="4" t="b" cm="1">
        <f t="array" ref="Q197:U197">IFERROR(_xlfn.XLOOKUP(_xlfn.TEXTJOIN(,,D197:O197),Aux!$B$3:$B$4098,'Truth Table'!$O$3:$S$4098)=1,FALSE)</f>
        <v>1</v>
      </c>
      <c r="R197" s="4" t="b">
        <v>0</v>
      </c>
      <c r="S197" s="4" t="b">
        <v>0</v>
      </c>
      <c r="T197" s="4" t="b">
        <v>0</v>
      </c>
      <c r="U197" s="4" t="b">
        <v>0</v>
      </c>
      <c r="V197" s="4" t="b">
        <f>AND(_xlfn.XLOOKUP(_xlfn.TEXTJOIN(,,D197:O197),Aux!$B$3:$B$4098,'Truth Table'!$T$3:$T$4098)=1,P196&lt;='Line Follower'!$C$7)</f>
        <v>0</v>
      </c>
      <c r="W197" s="4" t="b">
        <f>AND(_xlfn.XLOOKUP(_xlfn.TEXTJOIN(,,D197:O197),Aux!$B$3:$B$4098,'Truth Table'!$U$3:$U$4098)=1,P196&gt;='Line Follower'!$C$6)</f>
        <v>0</v>
      </c>
      <c r="X197" s="4" t="b">
        <f>IFERROR(AND(_xlfn.XLOOKUP(_xlfn.TEXTJOIN(,,D197:O197),Aux!$B$3:$B$4098,'Truth Table'!$V$3:$V$4098)=1,ABS(P196)&lt;='Line Follower'!$C$6),FALSE)</f>
        <v>0</v>
      </c>
      <c r="Y197" s="4" t="b">
        <f t="shared" si="3"/>
        <v>1</v>
      </c>
    </row>
    <row r="198" spans="2:25" x14ac:dyDescent="0.25">
      <c r="B198" s="4">
        <v>195</v>
      </c>
      <c r="C198" s="4">
        <v>1048</v>
      </c>
      <c r="D198" s="4">
        <v>0</v>
      </c>
      <c r="E198" s="4">
        <v>0</v>
      </c>
      <c r="F198" s="4">
        <v>0</v>
      </c>
      <c r="G198" s="4">
        <v>0</v>
      </c>
      <c r="H198" s="4">
        <v>1</v>
      </c>
      <c r="I198" s="4">
        <v>1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1</v>
      </c>
      <c r="P198" s="51">
        <f>IFERROR(_xlfn.XLOOKUP(_xlfn.TEXTJOIN(,,D197:O197),Aux!$B$3:$B$4098,'Truth Table'!$N$3:$N$4098),P197)</f>
        <v>-1</v>
      </c>
      <c r="Q198" s="4" t="b" cm="1">
        <f t="array" ref="Q198:U198">IFERROR(_xlfn.XLOOKUP(_xlfn.TEXTJOIN(,,D198:O198),Aux!$B$3:$B$4098,'Truth Table'!$O$3:$S$4098)=1,FALSE)</f>
        <v>1</v>
      </c>
      <c r="R198" s="4" t="b">
        <v>0</v>
      </c>
      <c r="S198" s="4" t="b">
        <v>0</v>
      </c>
      <c r="T198" s="4" t="b">
        <v>0</v>
      </c>
      <c r="U198" s="4" t="b">
        <v>0</v>
      </c>
      <c r="V198" s="4" t="b">
        <f>AND(_xlfn.XLOOKUP(_xlfn.TEXTJOIN(,,D198:O198),Aux!$B$3:$B$4098,'Truth Table'!$T$3:$T$4098)=1,P197&lt;='Line Follower'!$C$7)</f>
        <v>0</v>
      </c>
      <c r="W198" s="4" t="b">
        <f>AND(_xlfn.XLOOKUP(_xlfn.TEXTJOIN(,,D198:O198),Aux!$B$3:$B$4098,'Truth Table'!$U$3:$U$4098)=1,P197&gt;='Line Follower'!$C$6)</f>
        <v>0</v>
      </c>
      <c r="X198" s="4" t="b">
        <f>IFERROR(AND(_xlfn.XLOOKUP(_xlfn.TEXTJOIN(,,D198:O198),Aux!$B$3:$B$4098,'Truth Table'!$V$3:$V$4098)=1,ABS(P197)&lt;='Line Follower'!$C$6),FALSE)</f>
        <v>0</v>
      </c>
      <c r="Y198" s="4" t="b">
        <f t="shared" si="3"/>
        <v>1</v>
      </c>
    </row>
    <row r="199" spans="2:25" x14ac:dyDescent="0.25">
      <c r="B199" s="4">
        <v>196</v>
      </c>
      <c r="C199" s="4">
        <v>1058</v>
      </c>
      <c r="D199" s="4">
        <v>0</v>
      </c>
      <c r="E199" s="4">
        <v>0</v>
      </c>
      <c r="F199" s="4">
        <v>0</v>
      </c>
      <c r="G199" s="4">
        <v>0</v>
      </c>
      <c r="H199" s="4">
        <v>1</v>
      </c>
      <c r="I199" s="4">
        <v>1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1</v>
      </c>
      <c r="P199" s="51">
        <f>IFERROR(_xlfn.XLOOKUP(_xlfn.TEXTJOIN(,,D198:O198),Aux!$B$3:$B$4098,'Truth Table'!$N$3:$N$4098),P198)</f>
        <v>-1</v>
      </c>
      <c r="Q199" s="4" t="b" cm="1">
        <f t="array" ref="Q199:U199">IFERROR(_xlfn.XLOOKUP(_xlfn.TEXTJOIN(,,D199:O199),Aux!$B$3:$B$4098,'Truth Table'!$O$3:$S$4098)=1,FALSE)</f>
        <v>1</v>
      </c>
      <c r="R199" s="4" t="b">
        <v>0</v>
      </c>
      <c r="S199" s="4" t="b">
        <v>0</v>
      </c>
      <c r="T199" s="4" t="b">
        <v>0</v>
      </c>
      <c r="U199" s="4" t="b">
        <v>0</v>
      </c>
      <c r="V199" s="4" t="b">
        <f>AND(_xlfn.XLOOKUP(_xlfn.TEXTJOIN(,,D199:O199),Aux!$B$3:$B$4098,'Truth Table'!$T$3:$T$4098)=1,P198&lt;='Line Follower'!$C$7)</f>
        <v>0</v>
      </c>
      <c r="W199" s="4" t="b">
        <f>AND(_xlfn.XLOOKUP(_xlfn.TEXTJOIN(,,D199:O199),Aux!$B$3:$B$4098,'Truth Table'!$U$3:$U$4098)=1,P198&gt;='Line Follower'!$C$6)</f>
        <v>0</v>
      </c>
      <c r="X199" s="4" t="b">
        <f>IFERROR(AND(_xlfn.XLOOKUP(_xlfn.TEXTJOIN(,,D199:O199),Aux!$B$3:$B$4098,'Truth Table'!$V$3:$V$4098)=1,ABS(P198)&lt;='Line Follower'!$C$6),FALSE)</f>
        <v>0</v>
      </c>
      <c r="Y199" s="4" t="b">
        <f t="shared" si="3"/>
        <v>1</v>
      </c>
    </row>
    <row r="200" spans="2:25" x14ac:dyDescent="0.25">
      <c r="B200" s="4">
        <v>197</v>
      </c>
      <c r="C200" s="4">
        <v>1067</v>
      </c>
      <c r="D200" s="4">
        <v>0</v>
      </c>
      <c r="E200" s="4">
        <v>0</v>
      </c>
      <c r="F200" s="4">
        <v>0</v>
      </c>
      <c r="G200" s="4">
        <v>0</v>
      </c>
      <c r="H200" s="4">
        <v>1</v>
      </c>
      <c r="I200" s="4">
        <v>1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1</v>
      </c>
      <c r="P200" s="51">
        <f>IFERROR(_xlfn.XLOOKUP(_xlfn.TEXTJOIN(,,D199:O199),Aux!$B$3:$B$4098,'Truth Table'!$N$3:$N$4098),P199)</f>
        <v>-1</v>
      </c>
      <c r="Q200" s="4" t="b" cm="1">
        <f t="array" ref="Q200:U200">IFERROR(_xlfn.XLOOKUP(_xlfn.TEXTJOIN(,,D200:O200),Aux!$B$3:$B$4098,'Truth Table'!$O$3:$S$4098)=1,FALSE)</f>
        <v>1</v>
      </c>
      <c r="R200" s="4" t="b">
        <v>0</v>
      </c>
      <c r="S200" s="4" t="b">
        <v>0</v>
      </c>
      <c r="T200" s="4" t="b">
        <v>0</v>
      </c>
      <c r="U200" s="4" t="b">
        <v>0</v>
      </c>
      <c r="V200" s="4" t="b">
        <f>AND(_xlfn.XLOOKUP(_xlfn.TEXTJOIN(,,D200:O200),Aux!$B$3:$B$4098,'Truth Table'!$T$3:$T$4098)=1,P199&lt;='Line Follower'!$C$7)</f>
        <v>0</v>
      </c>
      <c r="W200" s="4" t="b">
        <f>AND(_xlfn.XLOOKUP(_xlfn.TEXTJOIN(,,D200:O200),Aux!$B$3:$B$4098,'Truth Table'!$U$3:$U$4098)=1,P199&gt;='Line Follower'!$C$6)</f>
        <v>0</v>
      </c>
      <c r="X200" s="4" t="b">
        <f>IFERROR(AND(_xlfn.XLOOKUP(_xlfn.TEXTJOIN(,,D200:O200),Aux!$B$3:$B$4098,'Truth Table'!$V$3:$V$4098)=1,ABS(P199)&lt;='Line Follower'!$C$6),FALSE)</f>
        <v>0</v>
      </c>
      <c r="Y200" s="4" t="b">
        <f t="shared" si="3"/>
        <v>1</v>
      </c>
    </row>
    <row r="201" spans="2:25" x14ac:dyDescent="0.25">
      <c r="B201" s="4">
        <v>198</v>
      </c>
      <c r="C201" s="4">
        <v>1076</v>
      </c>
      <c r="D201" s="4">
        <v>0</v>
      </c>
      <c r="E201" s="4">
        <v>0</v>
      </c>
      <c r="F201" s="4">
        <v>0</v>
      </c>
      <c r="G201" s="4">
        <v>0</v>
      </c>
      <c r="H201" s="4">
        <v>1</v>
      </c>
      <c r="I201" s="4">
        <v>1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1</v>
      </c>
      <c r="P201" s="51">
        <f>IFERROR(_xlfn.XLOOKUP(_xlfn.TEXTJOIN(,,D200:O200),Aux!$B$3:$B$4098,'Truth Table'!$N$3:$N$4098),P200)</f>
        <v>-1</v>
      </c>
      <c r="Q201" s="4" t="b" cm="1">
        <f t="array" ref="Q201:U201">IFERROR(_xlfn.XLOOKUP(_xlfn.TEXTJOIN(,,D201:O201),Aux!$B$3:$B$4098,'Truth Table'!$O$3:$S$4098)=1,FALSE)</f>
        <v>1</v>
      </c>
      <c r="R201" s="4" t="b">
        <v>0</v>
      </c>
      <c r="S201" s="4" t="b">
        <v>0</v>
      </c>
      <c r="T201" s="4" t="b">
        <v>0</v>
      </c>
      <c r="U201" s="4" t="b">
        <v>0</v>
      </c>
      <c r="V201" s="4" t="b">
        <f>AND(_xlfn.XLOOKUP(_xlfn.TEXTJOIN(,,D201:O201),Aux!$B$3:$B$4098,'Truth Table'!$T$3:$T$4098)=1,P200&lt;='Line Follower'!$C$7)</f>
        <v>0</v>
      </c>
      <c r="W201" s="4" t="b">
        <f>AND(_xlfn.XLOOKUP(_xlfn.TEXTJOIN(,,D201:O201),Aux!$B$3:$B$4098,'Truth Table'!$U$3:$U$4098)=1,P200&gt;='Line Follower'!$C$6)</f>
        <v>0</v>
      </c>
      <c r="X201" s="4" t="b">
        <f>IFERROR(AND(_xlfn.XLOOKUP(_xlfn.TEXTJOIN(,,D201:O201),Aux!$B$3:$B$4098,'Truth Table'!$V$3:$V$4098)=1,ABS(P200)&lt;='Line Follower'!$C$6),FALSE)</f>
        <v>0</v>
      </c>
      <c r="Y201" s="4" t="b">
        <f t="shared" si="3"/>
        <v>1</v>
      </c>
    </row>
    <row r="202" spans="2:25" x14ac:dyDescent="0.25">
      <c r="B202" s="4">
        <v>199</v>
      </c>
      <c r="C202" s="4">
        <v>1126</v>
      </c>
      <c r="D202" s="4">
        <v>0</v>
      </c>
      <c r="E202" s="4">
        <v>0</v>
      </c>
      <c r="F202" s="4">
        <v>0</v>
      </c>
      <c r="G202" s="4">
        <v>0</v>
      </c>
      <c r="H202" s="4">
        <v>1</v>
      </c>
      <c r="I202" s="4">
        <v>1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1</v>
      </c>
      <c r="P202" s="51">
        <f>IFERROR(_xlfn.XLOOKUP(_xlfn.TEXTJOIN(,,D201:O201),Aux!$B$3:$B$4098,'Truth Table'!$N$3:$N$4098),P201)</f>
        <v>-1</v>
      </c>
      <c r="Q202" s="4" t="b" cm="1">
        <f t="array" ref="Q202:U202">IFERROR(_xlfn.XLOOKUP(_xlfn.TEXTJOIN(,,D202:O202),Aux!$B$3:$B$4098,'Truth Table'!$O$3:$S$4098)=1,FALSE)</f>
        <v>1</v>
      </c>
      <c r="R202" s="4" t="b">
        <v>0</v>
      </c>
      <c r="S202" s="4" t="b">
        <v>0</v>
      </c>
      <c r="T202" s="4" t="b">
        <v>0</v>
      </c>
      <c r="U202" s="4" t="b">
        <v>0</v>
      </c>
      <c r="V202" s="4" t="b">
        <f>AND(_xlfn.XLOOKUP(_xlfn.TEXTJOIN(,,D202:O202),Aux!$B$3:$B$4098,'Truth Table'!$T$3:$T$4098)=1,P201&lt;='Line Follower'!$C$7)</f>
        <v>0</v>
      </c>
      <c r="W202" s="4" t="b">
        <f>AND(_xlfn.XLOOKUP(_xlfn.TEXTJOIN(,,D202:O202),Aux!$B$3:$B$4098,'Truth Table'!$U$3:$U$4098)=1,P201&gt;='Line Follower'!$C$6)</f>
        <v>0</v>
      </c>
      <c r="X202" s="4" t="b">
        <f>IFERROR(AND(_xlfn.XLOOKUP(_xlfn.TEXTJOIN(,,D202:O202),Aux!$B$3:$B$4098,'Truth Table'!$V$3:$V$4098)=1,ABS(P201)&lt;='Line Follower'!$C$6),FALSE)</f>
        <v>0</v>
      </c>
      <c r="Y202" s="4" t="b">
        <f t="shared" si="3"/>
        <v>1</v>
      </c>
    </row>
    <row r="203" spans="2:25" x14ac:dyDescent="0.25">
      <c r="B203" s="4">
        <v>200</v>
      </c>
      <c r="C203" s="4">
        <v>1127</v>
      </c>
      <c r="D203" s="4">
        <v>0</v>
      </c>
      <c r="E203" s="4">
        <v>0</v>
      </c>
      <c r="F203" s="4">
        <v>0</v>
      </c>
      <c r="G203" s="4">
        <v>0</v>
      </c>
      <c r="H203" s="4">
        <v>1</v>
      </c>
      <c r="I203" s="4">
        <v>1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1</v>
      </c>
      <c r="P203" s="51">
        <f>IFERROR(_xlfn.XLOOKUP(_xlfn.TEXTJOIN(,,D202:O202),Aux!$B$3:$B$4098,'Truth Table'!$N$3:$N$4098),P202)</f>
        <v>-1</v>
      </c>
      <c r="Q203" s="4" t="b" cm="1">
        <f t="array" ref="Q203:U203">IFERROR(_xlfn.XLOOKUP(_xlfn.TEXTJOIN(,,D203:O203),Aux!$B$3:$B$4098,'Truth Table'!$O$3:$S$4098)=1,FALSE)</f>
        <v>1</v>
      </c>
      <c r="R203" s="4" t="b">
        <v>0</v>
      </c>
      <c r="S203" s="4" t="b">
        <v>0</v>
      </c>
      <c r="T203" s="4" t="b">
        <v>0</v>
      </c>
      <c r="U203" s="4" t="b">
        <v>0</v>
      </c>
      <c r="V203" s="4" t="b">
        <f>AND(_xlfn.XLOOKUP(_xlfn.TEXTJOIN(,,D203:O203),Aux!$B$3:$B$4098,'Truth Table'!$T$3:$T$4098)=1,P202&lt;='Line Follower'!$C$7)</f>
        <v>0</v>
      </c>
      <c r="W203" s="4" t="b">
        <f>AND(_xlfn.XLOOKUP(_xlfn.TEXTJOIN(,,D203:O203),Aux!$B$3:$B$4098,'Truth Table'!$U$3:$U$4098)=1,P202&gt;='Line Follower'!$C$6)</f>
        <v>0</v>
      </c>
      <c r="X203" s="4" t="b">
        <f>IFERROR(AND(_xlfn.XLOOKUP(_xlfn.TEXTJOIN(,,D203:O203),Aux!$B$3:$B$4098,'Truth Table'!$V$3:$V$4098)=1,ABS(P202)&lt;='Line Follower'!$C$6),FALSE)</f>
        <v>0</v>
      </c>
      <c r="Y203" s="4" t="b">
        <f t="shared" si="3"/>
        <v>1</v>
      </c>
    </row>
    <row r="204" spans="2:25" x14ac:dyDescent="0.25">
      <c r="B204" s="4">
        <v>201</v>
      </c>
      <c r="C204" s="4">
        <v>1128</v>
      </c>
      <c r="D204" s="4">
        <v>0</v>
      </c>
      <c r="E204" s="4">
        <v>0</v>
      </c>
      <c r="F204" s="4">
        <v>0</v>
      </c>
      <c r="G204" s="4">
        <v>0</v>
      </c>
      <c r="H204" s="4">
        <v>1</v>
      </c>
      <c r="I204" s="4">
        <v>1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1</v>
      </c>
      <c r="P204" s="51">
        <f>IFERROR(_xlfn.XLOOKUP(_xlfn.TEXTJOIN(,,D203:O203),Aux!$B$3:$B$4098,'Truth Table'!$N$3:$N$4098),P203)</f>
        <v>-1</v>
      </c>
      <c r="Q204" s="4" t="b" cm="1">
        <f t="array" ref="Q204:U204">IFERROR(_xlfn.XLOOKUP(_xlfn.TEXTJOIN(,,D204:O204),Aux!$B$3:$B$4098,'Truth Table'!$O$3:$S$4098)=1,FALSE)</f>
        <v>1</v>
      </c>
      <c r="R204" s="4" t="b">
        <v>0</v>
      </c>
      <c r="S204" s="4" t="b">
        <v>0</v>
      </c>
      <c r="T204" s="4" t="b">
        <v>0</v>
      </c>
      <c r="U204" s="4" t="b">
        <v>0</v>
      </c>
      <c r="V204" s="4" t="b">
        <f>AND(_xlfn.XLOOKUP(_xlfn.TEXTJOIN(,,D204:O204),Aux!$B$3:$B$4098,'Truth Table'!$T$3:$T$4098)=1,P203&lt;='Line Follower'!$C$7)</f>
        <v>0</v>
      </c>
      <c r="W204" s="4" t="b">
        <f>AND(_xlfn.XLOOKUP(_xlfn.TEXTJOIN(,,D204:O204),Aux!$B$3:$B$4098,'Truth Table'!$U$3:$U$4098)=1,P203&gt;='Line Follower'!$C$6)</f>
        <v>0</v>
      </c>
      <c r="X204" s="4" t="b">
        <f>IFERROR(AND(_xlfn.XLOOKUP(_xlfn.TEXTJOIN(,,D204:O204),Aux!$B$3:$B$4098,'Truth Table'!$V$3:$V$4098)=1,ABS(P203)&lt;='Line Follower'!$C$6),FALSE)</f>
        <v>0</v>
      </c>
      <c r="Y204" s="4" t="b">
        <f t="shared" si="3"/>
        <v>1</v>
      </c>
    </row>
    <row r="205" spans="2:25" x14ac:dyDescent="0.25">
      <c r="B205" s="4">
        <v>202</v>
      </c>
      <c r="C205" s="4">
        <v>1132</v>
      </c>
      <c r="D205" s="4">
        <v>0</v>
      </c>
      <c r="E205" s="4">
        <v>0</v>
      </c>
      <c r="F205" s="4">
        <v>0</v>
      </c>
      <c r="G205" s="4">
        <v>0</v>
      </c>
      <c r="H205" s="4">
        <v>1</v>
      </c>
      <c r="I205" s="4">
        <v>1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1</v>
      </c>
      <c r="P205" s="51">
        <f>IFERROR(_xlfn.XLOOKUP(_xlfn.TEXTJOIN(,,D204:O204),Aux!$B$3:$B$4098,'Truth Table'!$N$3:$N$4098),P204)</f>
        <v>-1</v>
      </c>
      <c r="Q205" s="4" t="b" cm="1">
        <f t="array" ref="Q205:U205">IFERROR(_xlfn.XLOOKUP(_xlfn.TEXTJOIN(,,D205:O205),Aux!$B$3:$B$4098,'Truth Table'!$O$3:$S$4098)=1,FALSE)</f>
        <v>1</v>
      </c>
      <c r="R205" s="4" t="b">
        <v>0</v>
      </c>
      <c r="S205" s="4" t="b">
        <v>0</v>
      </c>
      <c r="T205" s="4" t="b">
        <v>0</v>
      </c>
      <c r="U205" s="4" t="b">
        <v>0</v>
      </c>
      <c r="V205" s="4" t="b">
        <f>AND(_xlfn.XLOOKUP(_xlfn.TEXTJOIN(,,D205:O205),Aux!$B$3:$B$4098,'Truth Table'!$T$3:$T$4098)=1,P204&lt;='Line Follower'!$C$7)</f>
        <v>0</v>
      </c>
      <c r="W205" s="4" t="b">
        <f>AND(_xlfn.XLOOKUP(_xlfn.TEXTJOIN(,,D205:O205),Aux!$B$3:$B$4098,'Truth Table'!$U$3:$U$4098)=1,P204&gt;='Line Follower'!$C$6)</f>
        <v>0</v>
      </c>
      <c r="X205" s="4" t="b">
        <f>IFERROR(AND(_xlfn.XLOOKUP(_xlfn.TEXTJOIN(,,D205:O205),Aux!$B$3:$B$4098,'Truth Table'!$V$3:$V$4098)=1,ABS(P204)&lt;='Line Follower'!$C$6),FALSE)</f>
        <v>0</v>
      </c>
      <c r="Y205" s="4" t="b">
        <f t="shared" si="3"/>
        <v>1</v>
      </c>
    </row>
    <row r="206" spans="2:25" x14ac:dyDescent="0.25">
      <c r="B206" s="4">
        <v>203</v>
      </c>
      <c r="C206" s="4">
        <v>1133</v>
      </c>
      <c r="D206" s="4">
        <v>0</v>
      </c>
      <c r="E206" s="4">
        <v>0</v>
      </c>
      <c r="F206" s="4">
        <v>0</v>
      </c>
      <c r="G206" s="4">
        <v>0</v>
      </c>
      <c r="H206" s="4">
        <v>1</v>
      </c>
      <c r="I206" s="4">
        <v>1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1</v>
      </c>
      <c r="P206" s="51">
        <f>IFERROR(_xlfn.XLOOKUP(_xlfn.TEXTJOIN(,,D205:O205),Aux!$B$3:$B$4098,'Truth Table'!$N$3:$N$4098),P205)</f>
        <v>-1</v>
      </c>
      <c r="Q206" s="4" t="b" cm="1">
        <f t="array" ref="Q206:U206">IFERROR(_xlfn.XLOOKUP(_xlfn.TEXTJOIN(,,D206:O206),Aux!$B$3:$B$4098,'Truth Table'!$O$3:$S$4098)=1,FALSE)</f>
        <v>1</v>
      </c>
      <c r="R206" s="4" t="b">
        <v>0</v>
      </c>
      <c r="S206" s="4" t="b">
        <v>0</v>
      </c>
      <c r="T206" s="4" t="b">
        <v>0</v>
      </c>
      <c r="U206" s="4" t="b">
        <v>0</v>
      </c>
      <c r="V206" s="4" t="b">
        <f>AND(_xlfn.XLOOKUP(_xlfn.TEXTJOIN(,,D206:O206),Aux!$B$3:$B$4098,'Truth Table'!$T$3:$T$4098)=1,P205&lt;='Line Follower'!$C$7)</f>
        <v>0</v>
      </c>
      <c r="W206" s="4" t="b">
        <f>AND(_xlfn.XLOOKUP(_xlfn.TEXTJOIN(,,D206:O206),Aux!$B$3:$B$4098,'Truth Table'!$U$3:$U$4098)=1,P205&gt;='Line Follower'!$C$6)</f>
        <v>0</v>
      </c>
      <c r="X206" s="4" t="b">
        <f>IFERROR(AND(_xlfn.XLOOKUP(_xlfn.TEXTJOIN(,,D206:O206),Aux!$B$3:$B$4098,'Truth Table'!$V$3:$V$4098)=1,ABS(P205)&lt;='Line Follower'!$C$6),FALSE)</f>
        <v>0</v>
      </c>
      <c r="Y206" s="4" t="b">
        <f t="shared" si="3"/>
        <v>1</v>
      </c>
    </row>
    <row r="207" spans="2:25" x14ac:dyDescent="0.25">
      <c r="B207" s="4">
        <v>204</v>
      </c>
      <c r="C207" s="4">
        <v>1138</v>
      </c>
      <c r="D207" s="4">
        <v>0</v>
      </c>
      <c r="E207" s="4">
        <v>0</v>
      </c>
      <c r="F207" s="4">
        <v>0</v>
      </c>
      <c r="G207" s="4">
        <v>0</v>
      </c>
      <c r="H207" s="4">
        <v>1</v>
      </c>
      <c r="I207" s="4">
        <v>1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1</v>
      </c>
      <c r="P207" s="51">
        <f>IFERROR(_xlfn.XLOOKUP(_xlfn.TEXTJOIN(,,D206:O206),Aux!$B$3:$B$4098,'Truth Table'!$N$3:$N$4098),P206)</f>
        <v>-1</v>
      </c>
      <c r="Q207" s="4" t="b" cm="1">
        <f t="array" ref="Q207:U207">IFERROR(_xlfn.XLOOKUP(_xlfn.TEXTJOIN(,,D207:O207),Aux!$B$3:$B$4098,'Truth Table'!$O$3:$S$4098)=1,FALSE)</f>
        <v>1</v>
      </c>
      <c r="R207" s="4" t="b">
        <v>0</v>
      </c>
      <c r="S207" s="4" t="b">
        <v>0</v>
      </c>
      <c r="T207" s="4" t="b">
        <v>0</v>
      </c>
      <c r="U207" s="4" t="b">
        <v>0</v>
      </c>
      <c r="V207" s="4" t="b">
        <f>AND(_xlfn.XLOOKUP(_xlfn.TEXTJOIN(,,D207:O207),Aux!$B$3:$B$4098,'Truth Table'!$T$3:$T$4098)=1,P206&lt;='Line Follower'!$C$7)</f>
        <v>0</v>
      </c>
      <c r="W207" s="4" t="b">
        <f>AND(_xlfn.XLOOKUP(_xlfn.TEXTJOIN(,,D207:O207),Aux!$B$3:$B$4098,'Truth Table'!$U$3:$U$4098)=1,P206&gt;='Line Follower'!$C$6)</f>
        <v>0</v>
      </c>
      <c r="X207" s="4" t="b">
        <f>IFERROR(AND(_xlfn.XLOOKUP(_xlfn.TEXTJOIN(,,D207:O207),Aux!$B$3:$B$4098,'Truth Table'!$V$3:$V$4098)=1,ABS(P206)&lt;='Line Follower'!$C$6),FALSE)</f>
        <v>0</v>
      </c>
      <c r="Y207" s="4" t="b">
        <f t="shared" si="3"/>
        <v>1</v>
      </c>
    </row>
    <row r="208" spans="2:25" x14ac:dyDescent="0.25">
      <c r="B208" s="4">
        <v>205</v>
      </c>
      <c r="C208" s="4">
        <v>1152</v>
      </c>
      <c r="D208" s="4">
        <v>0</v>
      </c>
      <c r="E208" s="4">
        <v>0</v>
      </c>
      <c r="F208" s="4">
        <v>0</v>
      </c>
      <c r="G208" s="4">
        <v>0</v>
      </c>
      <c r="H208" s="4">
        <v>1</v>
      </c>
      <c r="I208" s="4">
        <v>1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1</v>
      </c>
      <c r="P208" s="51">
        <f>IFERROR(_xlfn.XLOOKUP(_xlfn.TEXTJOIN(,,D207:O207),Aux!$B$3:$B$4098,'Truth Table'!$N$3:$N$4098),P207)</f>
        <v>-1</v>
      </c>
      <c r="Q208" s="4" t="b" cm="1">
        <f t="array" ref="Q208:U208">IFERROR(_xlfn.XLOOKUP(_xlfn.TEXTJOIN(,,D208:O208),Aux!$B$3:$B$4098,'Truth Table'!$O$3:$S$4098)=1,FALSE)</f>
        <v>1</v>
      </c>
      <c r="R208" s="4" t="b">
        <v>0</v>
      </c>
      <c r="S208" s="4" t="b">
        <v>0</v>
      </c>
      <c r="T208" s="4" t="b">
        <v>0</v>
      </c>
      <c r="U208" s="4" t="b">
        <v>0</v>
      </c>
      <c r="V208" s="4" t="b">
        <f>AND(_xlfn.XLOOKUP(_xlfn.TEXTJOIN(,,D208:O208),Aux!$B$3:$B$4098,'Truth Table'!$T$3:$T$4098)=1,P207&lt;='Line Follower'!$C$7)</f>
        <v>0</v>
      </c>
      <c r="W208" s="4" t="b">
        <f>AND(_xlfn.XLOOKUP(_xlfn.TEXTJOIN(,,D208:O208),Aux!$B$3:$B$4098,'Truth Table'!$U$3:$U$4098)=1,P207&gt;='Line Follower'!$C$6)</f>
        <v>0</v>
      </c>
      <c r="X208" s="4" t="b">
        <f>IFERROR(AND(_xlfn.XLOOKUP(_xlfn.TEXTJOIN(,,D208:O208),Aux!$B$3:$B$4098,'Truth Table'!$V$3:$V$4098)=1,ABS(P207)&lt;='Line Follower'!$C$6),FALSE)</f>
        <v>0</v>
      </c>
      <c r="Y208" s="4" t="b">
        <f t="shared" si="3"/>
        <v>1</v>
      </c>
    </row>
    <row r="209" spans="2:25" x14ac:dyDescent="0.25">
      <c r="B209" s="4">
        <v>206</v>
      </c>
      <c r="C209" s="4">
        <v>1161</v>
      </c>
      <c r="D209" s="4">
        <v>0</v>
      </c>
      <c r="E209" s="4">
        <v>0</v>
      </c>
      <c r="F209" s="4">
        <v>0</v>
      </c>
      <c r="G209" s="4">
        <v>0</v>
      </c>
      <c r="H209" s="4">
        <v>1</v>
      </c>
      <c r="I209" s="4">
        <v>1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1</v>
      </c>
      <c r="P209" s="51">
        <f>IFERROR(_xlfn.XLOOKUP(_xlfn.TEXTJOIN(,,D208:O208),Aux!$B$3:$B$4098,'Truth Table'!$N$3:$N$4098),P208)</f>
        <v>-1</v>
      </c>
      <c r="Q209" s="4" t="b" cm="1">
        <f t="array" ref="Q209:U209">IFERROR(_xlfn.XLOOKUP(_xlfn.TEXTJOIN(,,D209:O209),Aux!$B$3:$B$4098,'Truth Table'!$O$3:$S$4098)=1,FALSE)</f>
        <v>1</v>
      </c>
      <c r="R209" s="4" t="b">
        <v>0</v>
      </c>
      <c r="S209" s="4" t="b">
        <v>0</v>
      </c>
      <c r="T209" s="4" t="b">
        <v>0</v>
      </c>
      <c r="U209" s="4" t="b">
        <v>0</v>
      </c>
      <c r="V209" s="4" t="b">
        <f>AND(_xlfn.XLOOKUP(_xlfn.TEXTJOIN(,,D209:O209),Aux!$B$3:$B$4098,'Truth Table'!$T$3:$T$4098)=1,P208&lt;='Line Follower'!$C$7)</f>
        <v>0</v>
      </c>
      <c r="W209" s="4" t="b">
        <f>AND(_xlfn.XLOOKUP(_xlfn.TEXTJOIN(,,D209:O209),Aux!$B$3:$B$4098,'Truth Table'!$U$3:$U$4098)=1,P208&gt;='Line Follower'!$C$6)</f>
        <v>0</v>
      </c>
      <c r="X209" s="4" t="b">
        <f>IFERROR(AND(_xlfn.XLOOKUP(_xlfn.TEXTJOIN(,,D209:O209),Aux!$B$3:$B$4098,'Truth Table'!$V$3:$V$4098)=1,ABS(P208)&lt;='Line Follower'!$C$6),FALSE)</f>
        <v>0</v>
      </c>
      <c r="Y209" s="4" t="b">
        <f t="shared" si="3"/>
        <v>1</v>
      </c>
    </row>
    <row r="210" spans="2:25" x14ac:dyDescent="0.25">
      <c r="B210" s="4">
        <v>207</v>
      </c>
      <c r="C210" s="4">
        <v>1172</v>
      </c>
      <c r="D210" s="4">
        <v>0</v>
      </c>
      <c r="E210" s="4">
        <v>0</v>
      </c>
      <c r="F210" s="4">
        <v>0</v>
      </c>
      <c r="G210" s="4">
        <v>0</v>
      </c>
      <c r="H210" s="4">
        <v>1</v>
      </c>
      <c r="I210" s="4">
        <v>1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>
        <v>1</v>
      </c>
      <c r="P210" s="51">
        <f>IFERROR(_xlfn.XLOOKUP(_xlfn.TEXTJOIN(,,D209:O209),Aux!$B$3:$B$4098,'Truth Table'!$N$3:$N$4098),P209)</f>
        <v>-1</v>
      </c>
      <c r="Q210" s="4" t="b" cm="1">
        <f t="array" ref="Q210:U210">IFERROR(_xlfn.XLOOKUP(_xlfn.TEXTJOIN(,,D210:O210),Aux!$B$3:$B$4098,'Truth Table'!$O$3:$S$4098)=1,FALSE)</f>
        <v>1</v>
      </c>
      <c r="R210" s="4" t="b">
        <v>0</v>
      </c>
      <c r="S210" s="4" t="b">
        <v>0</v>
      </c>
      <c r="T210" s="4" t="b">
        <v>0</v>
      </c>
      <c r="U210" s="4" t="b">
        <v>0</v>
      </c>
      <c r="V210" s="4" t="b">
        <f>AND(_xlfn.XLOOKUP(_xlfn.TEXTJOIN(,,D210:O210),Aux!$B$3:$B$4098,'Truth Table'!$T$3:$T$4098)=1,P209&lt;='Line Follower'!$C$7)</f>
        <v>0</v>
      </c>
      <c r="W210" s="4" t="b">
        <f>AND(_xlfn.XLOOKUP(_xlfn.TEXTJOIN(,,D210:O210),Aux!$B$3:$B$4098,'Truth Table'!$U$3:$U$4098)=1,P209&gt;='Line Follower'!$C$6)</f>
        <v>0</v>
      </c>
      <c r="X210" s="4" t="b">
        <f>IFERROR(AND(_xlfn.XLOOKUP(_xlfn.TEXTJOIN(,,D210:O210),Aux!$B$3:$B$4098,'Truth Table'!$V$3:$V$4098)=1,ABS(P209)&lt;='Line Follower'!$C$6),FALSE)</f>
        <v>0</v>
      </c>
      <c r="Y210" s="4" t="b">
        <f t="shared" si="3"/>
        <v>1</v>
      </c>
    </row>
    <row r="211" spans="2:25" x14ac:dyDescent="0.25">
      <c r="B211" s="4">
        <v>208</v>
      </c>
      <c r="C211" s="4">
        <v>1181</v>
      </c>
      <c r="D211" s="4">
        <v>0</v>
      </c>
      <c r="E211" s="4">
        <v>0</v>
      </c>
      <c r="F211" s="4">
        <v>0</v>
      </c>
      <c r="G211" s="4">
        <v>0</v>
      </c>
      <c r="H211" s="4">
        <v>1</v>
      </c>
      <c r="I211" s="4">
        <v>1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>
        <v>1</v>
      </c>
      <c r="P211" s="51">
        <f>IFERROR(_xlfn.XLOOKUP(_xlfn.TEXTJOIN(,,D210:O210),Aux!$B$3:$B$4098,'Truth Table'!$N$3:$N$4098),P210)</f>
        <v>-1</v>
      </c>
      <c r="Q211" s="4" t="b" cm="1">
        <f t="array" ref="Q211:U211">IFERROR(_xlfn.XLOOKUP(_xlfn.TEXTJOIN(,,D211:O211),Aux!$B$3:$B$4098,'Truth Table'!$O$3:$S$4098)=1,FALSE)</f>
        <v>1</v>
      </c>
      <c r="R211" s="4" t="b">
        <v>0</v>
      </c>
      <c r="S211" s="4" t="b">
        <v>0</v>
      </c>
      <c r="T211" s="4" t="b">
        <v>0</v>
      </c>
      <c r="U211" s="4" t="b">
        <v>0</v>
      </c>
      <c r="V211" s="4" t="b">
        <f>AND(_xlfn.XLOOKUP(_xlfn.TEXTJOIN(,,D211:O211),Aux!$B$3:$B$4098,'Truth Table'!$T$3:$T$4098)=1,P210&lt;='Line Follower'!$C$7)</f>
        <v>0</v>
      </c>
      <c r="W211" s="4" t="b">
        <f>AND(_xlfn.XLOOKUP(_xlfn.TEXTJOIN(,,D211:O211),Aux!$B$3:$B$4098,'Truth Table'!$U$3:$U$4098)=1,P210&gt;='Line Follower'!$C$6)</f>
        <v>0</v>
      </c>
      <c r="X211" s="4" t="b">
        <f>IFERROR(AND(_xlfn.XLOOKUP(_xlfn.TEXTJOIN(,,D211:O211),Aux!$B$3:$B$4098,'Truth Table'!$V$3:$V$4098)=1,ABS(P210)&lt;='Line Follower'!$C$6),FALSE)</f>
        <v>0</v>
      </c>
      <c r="Y211" s="4" t="b">
        <f t="shared" si="3"/>
        <v>1</v>
      </c>
    </row>
    <row r="212" spans="2:25" x14ac:dyDescent="0.25">
      <c r="B212" s="4">
        <v>209</v>
      </c>
      <c r="C212" s="4">
        <v>1192</v>
      </c>
      <c r="D212" s="4">
        <v>0</v>
      </c>
      <c r="E212" s="4">
        <v>0</v>
      </c>
      <c r="F212" s="4">
        <v>0</v>
      </c>
      <c r="G212" s="4">
        <v>0</v>
      </c>
      <c r="H212" s="4">
        <v>1</v>
      </c>
      <c r="I212" s="4">
        <v>1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1</v>
      </c>
      <c r="P212" s="51">
        <f>IFERROR(_xlfn.XLOOKUP(_xlfn.TEXTJOIN(,,D211:O211),Aux!$B$3:$B$4098,'Truth Table'!$N$3:$N$4098),P211)</f>
        <v>-1</v>
      </c>
      <c r="Q212" s="4" t="b" cm="1">
        <f t="array" ref="Q212:U212">IFERROR(_xlfn.XLOOKUP(_xlfn.TEXTJOIN(,,D212:O212),Aux!$B$3:$B$4098,'Truth Table'!$O$3:$S$4098)=1,FALSE)</f>
        <v>1</v>
      </c>
      <c r="R212" s="4" t="b">
        <v>0</v>
      </c>
      <c r="S212" s="4" t="b">
        <v>0</v>
      </c>
      <c r="T212" s="4" t="b">
        <v>0</v>
      </c>
      <c r="U212" s="4" t="b">
        <v>0</v>
      </c>
      <c r="V212" s="4" t="b">
        <f>AND(_xlfn.XLOOKUP(_xlfn.TEXTJOIN(,,D212:O212),Aux!$B$3:$B$4098,'Truth Table'!$T$3:$T$4098)=1,P211&lt;='Line Follower'!$C$7)</f>
        <v>0</v>
      </c>
      <c r="W212" s="4" t="b">
        <f>AND(_xlfn.XLOOKUP(_xlfn.TEXTJOIN(,,D212:O212),Aux!$B$3:$B$4098,'Truth Table'!$U$3:$U$4098)=1,P211&gt;='Line Follower'!$C$6)</f>
        <v>0</v>
      </c>
      <c r="X212" s="4" t="b">
        <f>IFERROR(AND(_xlfn.XLOOKUP(_xlfn.TEXTJOIN(,,D212:O212),Aux!$B$3:$B$4098,'Truth Table'!$V$3:$V$4098)=1,ABS(P211)&lt;='Line Follower'!$C$6),FALSE)</f>
        <v>0</v>
      </c>
      <c r="Y212" s="4" t="b">
        <f t="shared" si="3"/>
        <v>1</v>
      </c>
    </row>
    <row r="213" spans="2:25" x14ac:dyDescent="0.25">
      <c r="B213" s="4">
        <v>210</v>
      </c>
      <c r="C213" s="4">
        <v>1201</v>
      </c>
      <c r="D213" s="4">
        <v>0</v>
      </c>
      <c r="E213" s="4">
        <v>0</v>
      </c>
      <c r="F213" s="4">
        <v>0</v>
      </c>
      <c r="G213" s="4">
        <v>0</v>
      </c>
      <c r="H213" s="4">
        <v>1</v>
      </c>
      <c r="I213" s="4">
        <v>1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1</v>
      </c>
      <c r="P213" s="51">
        <f>IFERROR(_xlfn.XLOOKUP(_xlfn.TEXTJOIN(,,D212:O212),Aux!$B$3:$B$4098,'Truth Table'!$N$3:$N$4098),P212)</f>
        <v>-1</v>
      </c>
      <c r="Q213" s="4" t="b" cm="1">
        <f t="array" ref="Q213:U213">IFERROR(_xlfn.XLOOKUP(_xlfn.TEXTJOIN(,,D213:O213),Aux!$B$3:$B$4098,'Truth Table'!$O$3:$S$4098)=1,FALSE)</f>
        <v>1</v>
      </c>
      <c r="R213" s="4" t="b">
        <v>0</v>
      </c>
      <c r="S213" s="4" t="b">
        <v>0</v>
      </c>
      <c r="T213" s="4" t="b">
        <v>0</v>
      </c>
      <c r="U213" s="4" t="b">
        <v>0</v>
      </c>
      <c r="V213" s="4" t="b">
        <f>AND(_xlfn.XLOOKUP(_xlfn.TEXTJOIN(,,D213:O213),Aux!$B$3:$B$4098,'Truth Table'!$T$3:$T$4098)=1,P212&lt;='Line Follower'!$C$7)</f>
        <v>0</v>
      </c>
      <c r="W213" s="4" t="b">
        <f>AND(_xlfn.XLOOKUP(_xlfn.TEXTJOIN(,,D213:O213),Aux!$B$3:$B$4098,'Truth Table'!$U$3:$U$4098)=1,P212&gt;='Line Follower'!$C$6)</f>
        <v>0</v>
      </c>
      <c r="X213" s="4" t="b">
        <f>IFERROR(AND(_xlfn.XLOOKUP(_xlfn.TEXTJOIN(,,D213:O213),Aux!$B$3:$B$4098,'Truth Table'!$V$3:$V$4098)=1,ABS(P212)&lt;='Line Follower'!$C$6),FALSE)</f>
        <v>0</v>
      </c>
      <c r="Y213" s="4" t="b">
        <f t="shared" si="3"/>
        <v>1</v>
      </c>
    </row>
    <row r="214" spans="2:25" x14ac:dyDescent="0.25">
      <c r="B214" s="4">
        <v>211</v>
      </c>
      <c r="C214" s="4">
        <v>1201</v>
      </c>
      <c r="D214" s="4">
        <v>0</v>
      </c>
      <c r="E214" s="4">
        <v>0</v>
      </c>
      <c r="F214" s="4">
        <v>0</v>
      </c>
      <c r="G214" s="4">
        <v>0</v>
      </c>
      <c r="H214" s="4">
        <v>1</v>
      </c>
      <c r="I214" s="4">
        <v>1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1</v>
      </c>
      <c r="P214" s="51">
        <f>IFERROR(_xlfn.XLOOKUP(_xlfn.TEXTJOIN(,,D213:O213),Aux!$B$3:$B$4098,'Truth Table'!$N$3:$N$4098),P213)</f>
        <v>-1</v>
      </c>
      <c r="Q214" s="4" t="b" cm="1">
        <f t="array" ref="Q214:U214">IFERROR(_xlfn.XLOOKUP(_xlfn.TEXTJOIN(,,D214:O214),Aux!$B$3:$B$4098,'Truth Table'!$O$3:$S$4098)=1,FALSE)</f>
        <v>1</v>
      </c>
      <c r="R214" s="4" t="b">
        <v>0</v>
      </c>
      <c r="S214" s="4" t="b">
        <v>0</v>
      </c>
      <c r="T214" s="4" t="b">
        <v>0</v>
      </c>
      <c r="U214" s="4" t="b">
        <v>0</v>
      </c>
      <c r="V214" s="4" t="b">
        <f>AND(_xlfn.XLOOKUP(_xlfn.TEXTJOIN(,,D214:O214),Aux!$B$3:$B$4098,'Truth Table'!$T$3:$T$4098)=1,P213&lt;='Line Follower'!$C$7)</f>
        <v>0</v>
      </c>
      <c r="W214" s="4" t="b">
        <f>AND(_xlfn.XLOOKUP(_xlfn.TEXTJOIN(,,D214:O214),Aux!$B$3:$B$4098,'Truth Table'!$U$3:$U$4098)=1,P213&gt;='Line Follower'!$C$6)</f>
        <v>0</v>
      </c>
      <c r="X214" s="4" t="b">
        <f>IFERROR(AND(_xlfn.XLOOKUP(_xlfn.TEXTJOIN(,,D214:O214),Aux!$B$3:$B$4098,'Truth Table'!$V$3:$V$4098)=1,ABS(P213)&lt;='Line Follower'!$C$6),FALSE)</f>
        <v>0</v>
      </c>
      <c r="Y214" s="4" t="b">
        <f t="shared" si="3"/>
        <v>1</v>
      </c>
    </row>
    <row r="215" spans="2:25" x14ac:dyDescent="0.25">
      <c r="B215" s="4">
        <v>212</v>
      </c>
      <c r="C215" s="4">
        <v>1217</v>
      </c>
      <c r="D215" s="4">
        <v>0</v>
      </c>
      <c r="E215" s="4">
        <v>0</v>
      </c>
      <c r="F215" s="4">
        <v>0</v>
      </c>
      <c r="G215" s="4">
        <v>0</v>
      </c>
      <c r="H215" s="4">
        <v>1</v>
      </c>
      <c r="I215" s="4">
        <v>1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1</v>
      </c>
      <c r="P215" s="51">
        <f>IFERROR(_xlfn.XLOOKUP(_xlfn.TEXTJOIN(,,D214:O214),Aux!$B$3:$B$4098,'Truth Table'!$N$3:$N$4098),P214)</f>
        <v>-1</v>
      </c>
      <c r="Q215" s="4" t="b" cm="1">
        <f t="array" ref="Q215:U215">IFERROR(_xlfn.XLOOKUP(_xlfn.TEXTJOIN(,,D215:O215),Aux!$B$3:$B$4098,'Truth Table'!$O$3:$S$4098)=1,FALSE)</f>
        <v>1</v>
      </c>
      <c r="R215" s="4" t="b">
        <v>0</v>
      </c>
      <c r="S215" s="4" t="b">
        <v>0</v>
      </c>
      <c r="T215" s="4" t="b">
        <v>0</v>
      </c>
      <c r="U215" s="4" t="b">
        <v>0</v>
      </c>
      <c r="V215" s="4" t="b">
        <f>AND(_xlfn.XLOOKUP(_xlfn.TEXTJOIN(,,D215:O215),Aux!$B$3:$B$4098,'Truth Table'!$T$3:$T$4098)=1,P214&lt;='Line Follower'!$C$7)</f>
        <v>0</v>
      </c>
      <c r="W215" s="4" t="b">
        <f>AND(_xlfn.XLOOKUP(_xlfn.TEXTJOIN(,,D215:O215),Aux!$B$3:$B$4098,'Truth Table'!$U$3:$U$4098)=1,P214&gt;='Line Follower'!$C$6)</f>
        <v>0</v>
      </c>
      <c r="X215" s="4" t="b">
        <f>IFERROR(AND(_xlfn.XLOOKUP(_xlfn.TEXTJOIN(,,D215:O215),Aux!$B$3:$B$4098,'Truth Table'!$V$3:$V$4098)=1,ABS(P214)&lt;='Line Follower'!$C$6),FALSE)</f>
        <v>0</v>
      </c>
      <c r="Y215" s="4" t="b">
        <f t="shared" si="3"/>
        <v>1</v>
      </c>
    </row>
    <row r="216" spans="2:25" x14ac:dyDescent="0.25">
      <c r="B216" s="4">
        <v>213</v>
      </c>
      <c r="C216" s="4">
        <v>1218</v>
      </c>
      <c r="D216" s="4">
        <v>0</v>
      </c>
      <c r="E216" s="4">
        <v>0</v>
      </c>
      <c r="F216" s="4">
        <v>0</v>
      </c>
      <c r="G216" s="4">
        <v>0</v>
      </c>
      <c r="H216" s="4">
        <v>1</v>
      </c>
      <c r="I216" s="4">
        <v>1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1</v>
      </c>
      <c r="P216" s="51">
        <f>IFERROR(_xlfn.XLOOKUP(_xlfn.TEXTJOIN(,,D215:O215),Aux!$B$3:$B$4098,'Truth Table'!$N$3:$N$4098),P215)</f>
        <v>-1</v>
      </c>
      <c r="Q216" s="4" t="b" cm="1">
        <f t="array" ref="Q216:U216">IFERROR(_xlfn.XLOOKUP(_xlfn.TEXTJOIN(,,D216:O216),Aux!$B$3:$B$4098,'Truth Table'!$O$3:$S$4098)=1,FALSE)</f>
        <v>1</v>
      </c>
      <c r="R216" s="4" t="b">
        <v>0</v>
      </c>
      <c r="S216" s="4" t="b">
        <v>0</v>
      </c>
      <c r="T216" s="4" t="b">
        <v>0</v>
      </c>
      <c r="U216" s="4" t="b">
        <v>0</v>
      </c>
      <c r="V216" s="4" t="b">
        <f>AND(_xlfn.XLOOKUP(_xlfn.TEXTJOIN(,,D216:O216),Aux!$B$3:$B$4098,'Truth Table'!$T$3:$T$4098)=1,P215&lt;='Line Follower'!$C$7)</f>
        <v>0</v>
      </c>
      <c r="W216" s="4" t="b">
        <f>AND(_xlfn.XLOOKUP(_xlfn.TEXTJOIN(,,D216:O216),Aux!$B$3:$B$4098,'Truth Table'!$U$3:$U$4098)=1,P215&gt;='Line Follower'!$C$6)</f>
        <v>0</v>
      </c>
      <c r="X216" s="4" t="b">
        <f>IFERROR(AND(_xlfn.XLOOKUP(_xlfn.TEXTJOIN(,,D216:O216),Aux!$B$3:$B$4098,'Truth Table'!$V$3:$V$4098)=1,ABS(P215)&lt;='Line Follower'!$C$6),FALSE)</f>
        <v>0</v>
      </c>
      <c r="Y216" s="4" t="b">
        <f t="shared" si="3"/>
        <v>1</v>
      </c>
    </row>
    <row r="217" spans="2:25" x14ac:dyDescent="0.25">
      <c r="B217" s="4">
        <v>214</v>
      </c>
      <c r="C217" s="4">
        <v>1242</v>
      </c>
      <c r="D217" s="4">
        <v>0</v>
      </c>
      <c r="E217" s="4">
        <v>0</v>
      </c>
      <c r="F217" s="4">
        <v>0</v>
      </c>
      <c r="G217" s="4">
        <v>0</v>
      </c>
      <c r="H217" s="4">
        <v>1</v>
      </c>
      <c r="I217" s="4">
        <v>1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1</v>
      </c>
      <c r="P217" s="51">
        <f>IFERROR(_xlfn.XLOOKUP(_xlfn.TEXTJOIN(,,D216:O216),Aux!$B$3:$B$4098,'Truth Table'!$N$3:$N$4098),P216)</f>
        <v>-1</v>
      </c>
      <c r="Q217" s="4" t="b" cm="1">
        <f t="array" ref="Q217:U217">IFERROR(_xlfn.XLOOKUP(_xlfn.TEXTJOIN(,,D217:O217),Aux!$B$3:$B$4098,'Truth Table'!$O$3:$S$4098)=1,FALSE)</f>
        <v>1</v>
      </c>
      <c r="R217" s="4" t="b">
        <v>0</v>
      </c>
      <c r="S217" s="4" t="b">
        <v>0</v>
      </c>
      <c r="T217" s="4" t="b">
        <v>0</v>
      </c>
      <c r="U217" s="4" t="b">
        <v>0</v>
      </c>
      <c r="V217" s="4" t="b">
        <f>AND(_xlfn.XLOOKUP(_xlfn.TEXTJOIN(,,D217:O217),Aux!$B$3:$B$4098,'Truth Table'!$T$3:$T$4098)=1,P216&lt;='Line Follower'!$C$7)</f>
        <v>0</v>
      </c>
      <c r="W217" s="4" t="b">
        <f>AND(_xlfn.XLOOKUP(_xlfn.TEXTJOIN(,,D217:O217),Aux!$B$3:$B$4098,'Truth Table'!$U$3:$U$4098)=1,P216&gt;='Line Follower'!$C$6)</f>
        <v>0</v>
      </c>
      <c r="X217" s="4" t="b">
        <f>IFERROR(AND(_xlfn.XLOOKUP(_xlfn.TEXTJOIN(,,D217:O217),Aux!$B$3:$B$4098,'Truth Table'!$V$3:$V$4098)=1,ABS(P216)&lt;='Line Follower'!$C$6),FALSE)</f>
        <v>0</v>
      </c>
      <c r="Y217" s="4" t="b">
        <f t="shared" si="3"/>
        <v>1</v>
      </c>
    </row>
    <row r="218" spans="2:25" x14ac:dyDescent="0.25">
      <c r="B218" s="4">
        <v>215</v>
      </c>
      <c r="C218" s="4">
        <v>1243</v>
      </c>
      <c r="D218" s="4">
        <v>0</v>
      </c>
      <c r="E218" s="4">
        <v>0</v>
      </c>
      <c r="F218" s="4">
        <v>0</v>
      </c>
      <c r="G218" s="4">
        <v>0</v>
      </c>
      <c r="H218" s="4">
        <v>1</v>
      </c>
      <c r="I218" s="4">
        <v>1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1</v>
      </c>
      <c r="P218" s="51">
        <f>IFERROR(_xlfn.XLOOKUP(_xlfn.TEXTJOIN(,,D217:O217),Aux!$B$3:$B$4098,'Truth Table'!$N$3:$N$4098),P217)</f>
        <v>-1</v>
      </c>
      <c r="Q218" s="4" t="b" cm="1">
        <f t="array" ref="Q218:U218">IFERROR(_xlfn.XLOOKUP(_xlfn.TEXTJOIN(,,D218:O218),Aux!$B$3:$B$4098,'Truth Table'!$O$3:$S$4098)=1,FALSE)</f>
        <v>1</v>
      </c>
      <c r="R218" s="4" t="b">
        <v>0</v>
      </c>
      <c r="S218" s="4" t="b">
        <v>0</v>
      </c>
      <c r="T218" s="4" t="b">
        <v>0</v>
      </c>
      <c r="U218" s="4" t="b">
        <v>0</v>
      </c>
      <c r="V218" s="4" t="b">
        <f>AND(_xlfn.XLOOKUP(_xlfn.TEXTJOIN(,,D218:O218),Aux!$B$3:$B$4098,'Truth Table'!$T$3:$T$4098)=1,P217&lt;='Line Follower'!$C$7)</f>
        <v>0</v>
      </c>
      <c r="W218" s="4" t="b">
        <f>AND(_xlfn.XLOOKUP(_xlfn.TEXTJOIN(,,D218:O218),Aux!$B$3:$B$4098,'Truth Table'!$U$3:$U$4098)=1,P217&gt;='Line Follower'!$C$6)</f>
        <v>0</v>
      </c>
      <c r="X218" s="4" t="b">
        <f>IFERROR(AND(_xlfn.XLOOKUP(_xlfn.TEXTJOIN(,,D218:O218),Aux!$B$3:$B$4098,'Truth Table'!$V$3:$V$4098)=1,ABS(P217)&lt;='Line Follower'!$C$6),FALSE)</f>
        <v>0</v>
      </c>
      <c r="Y218" s="4" t="b">
        <f t="shared" si="3"/>
        <v>1</v>
      </c>
    </row>
    <row r="219" spans="2:25" x14ac:dyDescent="0.25">
      <c r="B219" s="4">
        <v>216</v>
      </c>
      <c r="C219" s="4">
        <v>1254</v>
      </c>
      <c r="D219" s="4">
        <v>0</v>
      </c>
      <c r="E219" s="4">
        <v>0</v>
      </c>
      <c r="F219" s="4">
        <v>0</v>
      </c>
      <c r="G219" s="4">
        <v>0</v>
      </c>
      <c r="H219" s="4">
        <v>1</v>
      </c>
      <c r="I219" s="4">
        <v>1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1</v>
      </c>
      <c r="P219" s="51">
        <f>IFERROR(_xlfn.XLOOKUP(_xlfn.TEXTJOIN(,,D218:O218),Aux!$B$3:$B$4098,'Truth Table'!$N$3:$N$4098),P218)</f>
        <v>-1</v>
      </c>
      <c r="Q219" s="4" t="b" cm="1">
        <f t="array" ref="Q219:U219">IFERROR(_xlfn.XLOOKUP(_xlfn.TEXTJOIN(,,D219:O219),Aux!$B$3:$B$4098,'Truth Table'!$O$3:$S$4098)=1,FALSE)</f>
        <v>1</v>
      </c>
      <c r="R219" s="4" t="b">
        <v>0</v>
      </c>
      <c r="S219" s="4" t="b">
        <v>0</v>
      </c>
      <c r="T219" s="4" t="b">
        <v>0</v>
      </c>
      <c r="U219" s="4" t="b">
        <v>0</v>
      </c>
      <c r="V219" s="4" t="b">
        <f>AND(_xlfn.XLOOKUP(_xlfn.TEXTJOIN(,,D219:O219),Aux!$B$3:$B$4098,'Truth Table'!$T$3:$T$4098)=1,P218&lt;='Line Follower'!$C$7)</f>
        <v>0</v>
      </c>
      <c r="W219" s="4" t="b">
        <f>AND(_xlfn.XLOOKUP(_xlfn.TEXTJOIN(,,D219:O219),Aux!$B$3:$B$4098,'Truth Table'!$U$3:$U$4098)=1,P218&gt;='Line Follower'!$C$6)</f>
        <v>0</v>
      </c>
      <c r="X219" s="4" t="b">
        <f>IFERROR(AND(_xlfn.XLOOKUP(_xlfn.TEXTJOIN(,,D219:O219),Aux!$B$3:$B$4098,'Truth Table'!$V$3:$V$4098)=1,ABS(P218)&lt;='Line Follower'!$C$6),FALSE)</f>
        <v>0</v>
      </c>
      <c r="Y219" s="4" t="b">
        <f t="shared" si="3"/>
        <v>1</v>
      </c>
    </row>
    <row r="220" spans="2:25" x14ac:dyDescent="0.25">
      <c r="B220" s="4">
        <v>217</v>
      </c>
      <c r="C220" s="4">
        <v>1263</v>
      </c>
      <c r="D220" s="4">
        <v>0</v>
      </c>
      <c r="E220" s="4">
        <v>0</v>
      </c>
      <c r="F220" s="4">
        <v>0</v>
      </c>
      <c r="G220" s="4">
        <v>0</v>
      </c>
      <c r="H220" s="4">
        <v>1</v>
      </c>
      <c r="I220" s="4">
        <v>1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1</v>
      </c>
      <c r="P220" s="51">
        <f>IFERROR(_xlfn.XLOOKUP(_xlfn.TEXTJOIN(,,D219:O219),Aux!$B$3:$B$4098,'Truth Table'!$N$3:$N$4098),P219)</f>
        <v>-1</v>
      </c>
      <c r="Q220" s="4" t="b" cm="1">
        <f t="array" ref="Q220:U220">IFERROR(_xlfn.XLOOKUP(_xlfn.TEXTJOIN(,,D220:O220),Aux!$B$3:$B$4098,'Truth Table'!$O$3:$S$4098)=1,FALSE)</f>
        <v>1</v>
      </c>
      <c r="R220" s="4" t="b">
        <v>0</v>
      </c>
      <c r="S220" s="4" t="b">
        <v>0</v>
      </c>
      <c r="T220" s="4" t="b">
        <v>0</v>
      </c>
      <c r="U220" s="4" t="b">
        <v>0</v>
      </c>
      <c r="V220" s="4" t="b">
        <f>AND(_xlfn.XLOOKUP(_xlfn.TEXTJOIN(,,D220:O220),Aux!$B$3:$B$4098,'Truth Table'!$T$3:$T$4098)=1,P219&lt;='Line Follower'!$C$7)</f>
        <v>0</v>
      </c>
      <c r="W220" s="4" t="b">
        <f>AND(_xlfn.XLOOKUP(_xlfn.TEXTJOIN(,,D220:O220),Aux!$B$3:$B$4098,'Truth Table'!$U$3:$U$4098)=1,P219&gt;='Line Follower'!$C$6)</f>
        <v>0</v>
      </c>
      <c r="X220" s="4" t="b">
        <f>IFERROR(AND(_xlfn.XLOOKUP(_xlfn.TEXTJOIN(,,D220:O220),Aux!$B$3:$B$4098,'Truth Table'!$V$3:$V$4098)=1,ABS(P219)&lt;='Line Follower'!$C$6),FALSE)</f>
        <v>0</v>
      </c>
      <c r="Y220" s="4" t="b">
        <f t="shared" si="3"/>
        <v>1</v>
      </c>
    </row>
    <row r="221" spans="2:25" x14ac:dyDescent="0.25">
      <c r="B221" s="4">
        <v>218</v>
      </c>
      <c r="C221" s="4">
        <v>1277</v>
      </c>
      <c r="D221" s="4">
        <v>0</v>
      </c>
      <c r="E221" s="4">
        <v>0</v>
      </c>
      <c r="F221" s="4">
        <v>0</v>
      </c>
      <c r="G221" s="4">
        <v>0</v>
      </c>
      <c r="H221" s="4">
        <v>1</v>
      </c>
      <c r="I221" s="4">
        <v>1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1</v>
      </c>
      <c r="P221" s="51">
        <f>IFERROR(_xlfn.XLOOKUP(_xlfn.TEXTJOIN(,,D220:O220),Aux!$B$3:$B$4098,'Truth Table'!$N$3:$N$4098),P220)</f>
        <v>-1</v>
      </c>
      <c r="Q221" s="4" t="b" cm="1">
        <f t="array" ref="Q221:U221">IFERROR(_xlfn.XLOOKUP(_xlfn.TEXTJOIN(,,D221:O221),Aux!$B$3:$B$4098,'Truth Table'!$O$3:$S$4098)=1,FALSE)</f>
        <v>1</v>
      </c>
      <c r="R221" s="4" t="b">
        <v>0</v>
      </c>
      <c r="S221" s="4" t="b">
        <v>0</v>
      </c>
      <c r="T221" s="4" t="b">
        <v>0</v>
      </c>
      <c r="U221" s="4" t="b">
        <v>0</v>
      </c>
      <c r="V221" s="4" t="b">
        <f>AND(_xlfn.XLOOKUP(_xlfn.TEXTJOIN(,,D221:O221),Aux!$B$3:$B$4098,'Truth Table'!$T$3:$T$4098)=1,P220&lt;='Line Follower'!$C$7)</f>
        <v>0</v>
      </c>
      <c r="W221" s="4" t="b">
        <f>AND(_xlfn.XLOOKUP(_xlfn.TEXTJOIN(,,D221:O221),Aux!$B$3:$B$4098,'Truth Table'!$U$3:$U$4098)=1,P220&gt;='Line Follower'!$C$6)</f>
        <v>0</v>
      </c>
      <c r="X221" s="4" t="b">
        <f>IFERROR(AND(_xlfn.XLOOKUP(_xlfn.TEXTJOIN(,,D221:O221),Aux!$B$3:$B$4098,'Truth Table'!$V$3:$V$4098)=1,ABS(P220)&lt;='Line Follower'!$C$6),FALSE)</f>
        <v>0</v>
      </c>
      <c r="Y221" s="4" t="b">
        <f t="shared" si="3"/>
        <v>1</v>
      </c>
    </row>
    <row r="222" spans="2:25" x14ac:dyDescent="0.25">
      <c r="B222" s="4">
        <v>219</v>
      </c>
      <c r="C222" s="4">
        <v>1286</v>
      </c>
      <c r="D222" s="4">
        <v>0</v>
      </c>
      <c r="E222" s="4">
        <v>0</v>
      </c>
      <c r="F222" s="4">
        <v>0</v>
      </c>
      <c r="G222" s="4">
        <v>0</v>
      </c>
      <c r="H222" s="4">
        <v>1</v>
      </c>
      <c r="I222" s="4">
        <v>1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1</v>
      </c>
      <c r="P222" s="51">
        <f>IFERROR(_xlfn.XLOOKUP(_xlfn.TEXTJOIN(,,D221:O221),Aux!$B$3:$B$4098,'Truth Table'!$N$3:$N$4098),P221)</f>
        <v>-1</v>
      </c>
      <c r="Q222" s="4" t="b" cm="1">
        <f t="array" ref="Q222:U222">IFERROR(_xlfn.XLOOKUP(_xlfn.TEXTJOIN(,,D222:O222),Aux!$B$3:$B$4098,'Truth Table'!$O$3:$S$4098)=1,FALSE)</f>
        <v>1</v>
      </c>
      <c r="R222" s="4" t="b">
        <v>0</v>
      </c>
      <c r="S222" s="4" t="b">
        <v>0</v>
      </c>
      <c r="T222" s="4" t="b">
        <v>0</v>
      </c>
      <c r="U222" s="4" t="b">
        <v>0</v>
      </c>
      <c r="V222" s="4" t="b">
        <f>AND(_xlfn.XLOOKUP(_xlfn.TEXTJOIN(,,D222:O222),Aux!$B$3:$B$4098,'Truth Table'!$T$3:$T$4098)=1,P221&lt;='Line Follower'!$C$7)</f>
        <v>0</v>
      </c>
      <c r="W222" s="4" t="b">
        <f>AND(_xlfn.XLOOKUP(_xlfn.TEXTJOIN(,,D222:O222),Aux!$B$3:$B$4098,'Truth Table'!$U$3:$U$4098)=1,P221&gt;='Line Follower'!$C$6)</f>
        <v>0</v>
      </c>
      <c r="X222" s="4" t="b">
        <f>IFERROR(AND(_xlfn.XLOOKUP(_xlfn.TEXTJOIN(,,D222:O222),Aux!$B$3:$B$4098,'Truth Table'!$V$3:$V$4098)=1,ABS(P221)&lt;='Line Follower'!$C$6),FALSE)</f>
        <v>0</v>
      </c>
      <c r="Y222" s="4" t="b">
        <f t="shared" si="3"/>
        <v>1</v>
      </c>
    </row>
    <row r="223" spans="2:25" x14ac:dyDescent="0.25">
      <c r="B223" s="4">
        <v>220</v>
      </c>
      <c r="C223" s="4">
        <v>1297</v>
      </c>
      <c r="D223" s="4">
        <v>0</v>
      </c>
      <c r="E223" s="4">
        <v>0</v>
      </c>
      <c r="F223" s="4">
        <v>0</v>
      </c>
      <c r="G223" s="4">
        <v>0</v>
      </c>
      <c r="H223" s="4">
        <v>1</v>
      </c>
      <c r="I223" s="4">
        <v>1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1</v>
      </c>
      <c r="P223" s="51">
        <f>IFERROR(_xlfn.XLOOKUP(_xlfn.TEXTJOIN(,,D222:O222),Aux!$B$3:$B$4098,'Truth Table'!$N$3:$N$4098),P222)</f>
        <v>-1</v>
      </c>
      <c r="Q223" s="4" t="b" cm="1">
        <f t="array" ref="Q223:U223">IFERROR(_xlfn.XLOOKUP(_xlfn.TEXTJOIN(,,D223:O223),Aux!$B$3:$B$4098,'Truth Table'!$O$3:$S$4098)=1,FALSE)</f>
        <v>1</v>
      </c>
      <c r="R223" s="4" t="b">
        <v>0</v>
      </c>
      <c r="S223" s="4" t="b">
        <v>0</v>
      </c>
      <c r="T223" s="4" t="b">
        <v>0</v>
      </c>
      <c r="U223" s="4" t="b">
        <v>0</v>
      </c>
      <c r="V223" s="4" t="b">
        <f>AND(_xlfn.XLOOKUP(_xlfn.TEXTJOIN(,,D223:O223),Aux!$B$3:$B$4098,'Truth Table'!$T$3:$T$4098)=1,P222&lt;='Line Follower'!$C$7)</f>
        <v>0</v>
      </c>
      <c r="W223" s="4" t="b">
        <f>AND(_xlfn.XLOOKUP(_xlfn.TEXTJOIN(,,D223:O223),Aux!$B$3:$B$4098,'Truth Table'!$U$3:$U$4098)=1,P222&gt;='Line Follower'!$C$6)</f>
        <v>0</v>
      </c>
      <c r="X223" s="4" t="b">
        <f>IFERROR(AND(_xlfn.XLOOKUP(_xlfn.TEXTJOIN(,,D223:O223),Aux!$B$3:$B$4098,'Truth Table'!$V$3:$V$4098)=1,ABS(P222)&lt;='Line Follower'!$C$6),FALSE)</f>
        <v>0</v>
      </c>
      <c r="Y223" s="4" t="b">
        <f t="shared" si="3"/>
        <v>1</v>
      </c>
    </row>
    <row r="224" spans="2:25" x14ac:dyDescent="0.25">
      <c r="B224" s="4">
        <v>221</v>
      </c>
      <c r="C224" s="4">
        <v>1306</v>
      </c>
      <c r="D224" s="4">
        <v>0</v>
      </c>
      <c r="E224" s="4">
        <v>0</v>
      </c>
      <c r="F224" s="4">
        <v>0</v>
      </c>
      <c r="G224" s="4">
        <v>0</v>
      </c>
      <c r="H224" s="4">
        <v>1</v>
      </c>
      <c r="I224" s="4">
        <v>1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1</v>
      </c>
      <c r="P224" s="51">
        <f>IFERROR(_xlfn.XLOOKUP(_xlfn.TEXTJOIN(,,D223:O223),Aux!$B$3:$B$4098,'Truth Table'!$N$3:$N$4098),P223)</f>
        <v>-1</v>
      </c>
      <c r="Q224" s="4" t="b" cm="1">
        <f t="array" ref="Q224:U224">IFERROR(_xlfn.XLOOKUP(_xlfn.TEXTJOIN(,,D224:O224),Aux!$B$3:$B$4098,'Truth Table'!$O$3:$S$4098)=1,FALSE)</f>
        <v>1</v>
      </c>
      <c r="R224" s="4" t="b">
        <v>0</v>
      </c>
      <c r="S224" s="4" t="b">
        <v>0</v>
      </c>
      <c r="T224" s="4" t="b">
        <v>0</v>
      </c>
      <c r="U224" s="4" t="b">
        <v>0</v>
      </c>
      <c r="V224" s="4" t="b">
        <f>AND(_xlfn.XLOOKUP(_xlfn.TEXTJOIN(,,D224:O224),Aux!$B$3:$B$4098,'Truth Table'!$T$3:$T$4098)=1,P223&lt;='Line Follower'!$C$7)</f>
        <v>0</v>
      </c>
      <c r="W224" s="4" t="b">
        <f>AND(_xlfn.XLOOKUP(_xlfn.TEXTJOIN(,,D224:O224),Aux!$B$3:$B$4098,'Truth Table'!$U$3:$U$4098)=1,P223&gt;='Line Follower'!$C$6)</f>
        <v>0</v>
      </c>
      <c r="X224" s="4" t="b">
        <f>IFERROR(AND(_xlfn.XLOOKUP(_xlfn.TEXTJOIN(,,D224:O224),Aux!$B$3:$B$4098,'Truth Table'!$V$3:$V$4098)=1,ABS(P223)&lt;='Line Follower'!$C$6),FALSE)</f>
        <v>0</v>
      </c>
      <c r="Y224" s="4" t="b">
        <f t="shared" si="3"/>
        <v>1</v>
      </c>
    </row>
    <row r="225" spans="2:25" x14ac:dyDescent="0.25">
      <c r="B225" s="4">
        <v>222</v>
      </c>
      <c r="C225" s="4">
        <v>1319</v>
      </c>
      <c r="D225" s="4">
        <v>0</v>
      </c>
      <c r="E225" s="4">
        <v>0</v>
      </c>
      <c r="F225" s="4">
        <v>0</v>
      </c>
      <c r="G225" s="4">
        <v>0</v>
      </c>
      <c r="H225" s="4">
        <v>1</v>
      </c>
      <c r="I225" s="4">
        <v>1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1</v>
      </c>
      <c r="P225" s="51">
        <f>IFERROR(_xlfn.XLOOKUP(_xlfn.TEXTJOIN(,,D224:O224),Aux!$B$3:$B$4098,'Truth Table'!$N$3:$N$4098),P224)</f>
        <v>-1</v>
      </c>
      <c r="Q225" s="4" t="b" cm="1">
        <f t="array" ref="Q225:U225">IFERROR(_xlfn.XLOOKUP(_xlfn.TEXTJOIN(,,D225:O225),Aux!$B$3:$B$4098,'Truth Table'!$O$3:$S$4098)=1,FALSE)</f>
        <v>1</v>
      </c>
      <c r="R225" s="4" t="b">
        <v>0</v>
      </c>
      <c r="S225" s="4" t="b">
        <v>0</v>
      </c>
      <c r="T225" s="4" t="b">
        <v>0</v>
      </c>
      <c r="U225" s="4" t="b">
        <v>0</v>
      </c>
      <c r="V225" s="4" t="b">
        <f>AND(_xlfn.XLOOKUP(_xlfn.TEXTJOIN(,,D225:O225),Aux!$B$3:$B$4098,'Truth Table'!$T$3:$T$4098)=1,P224&lt;='Line Follower'!$C$7)</f>
        <v>0</v>
      </c>
      <c r="W225" s="4" t="b">
        <f>AND(_xlfn.XLOOKUP(_xlfn.TEXTJOIN(,,D225:O225),Aux!$B$3:$B$4098,'Truth Table'!$U$3:$U$4098)=1,P224&gt;='Line Follower'!$C$6)</f>
        <v>0</v>
      </c>
      <c r="X225" s="4" t="b">
        <f>IFERROR(AND(_xlfn.XLOOKUP(_xlfn.TEXTJOIN(,,D225:O225),Aux!$B$3:$B$4098,'Truth Table'!$V$3:$V$4098)=1,ABS(P224)&lt;='Line Follower'!$C$6),FALSE)</f>
        <v>0</v>
      </c>
      <c r="Y225" s="4" t="b">
        <f t="shared" si="3"/>
        <v>1</v>
      </c>
    </row>
    <row r="226" spans="2:25" x14ac:dyDescent="0.25">
      <c r="B226" s="4">
        <v>223</v>
      </c>
      <c r="C226" s="4">
        <v>1328</v>
      </c>
      <c r="D226" s="4">
        <v>0</v>
      </c>
      <c r="E226" s="4">
        <v>0</v>
      </c>
      <c r="F226" s="4">
        <v>0</v>
      </c>
      <c r="G226" s="4">
        <v>0</v>
      </c>
      <c r="H226" s="4">
        <v>1</v>
      </c>
      <c r="I226" s="4">
        <v>1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1</v>
      </c>
      <c r="P226" s="51">
        <f>IFERROR(_xlfn.XLOOKUP(_xlfn.TEXTJOIN(,,D225:O225),Aux!$B$3:$B$4098,'Truth Table'!$N$3:$N$4098),P225)</f>
        <v>-1</v>
      </c>
      <c r="Q226" s="4" t="b" cm="1">
        <f t="array" ref="Q226:U226">IFERROR(_xlfn.XLOOKUP(_xlfn.TEXTJOIN(,,D226:O226),Aux!$B$3:$B$4098,'Truth Table'!$O$3:$S$4098)=1,FALSE)</f>
        <v>1</v>
      </c>
      <c r="R226" s="4" t="b">
        <v>0</v>
      </c>
      <c r="S226" s="4" t="b">
        <v>0</v>
      </c>
      <c r="T226" s="4" t="b">
        <v>0</v>
      </c>
      <c r="U226" s="4" t="b">
        <v>0</v>
      </c>
      <c r="V226" s="4" t="b">
        <f>AND(_xlfn.XLOOKUP(_xlfn.TEXTJOIN(,,D226:O226),Aux!$B$3:$B$4098,'Truth Table'!$T$3:$T$4098)=1,P225&lt;='Line Follower'!$C$7)</f>
        <v>0</v>
      </c>
      <c r="W226" s="4" t="b">
        <f>AND(_xlfn.XLOOKUP(_xlfn.TEXTJOIN(,,D226:O226),Aux!$B$3:$B$4098,'Truth Table'!$U$3:$U$4098)=1,P225&gt;='Line Follower'!$C$6)</f>
        <v>0</v>
      </c>
      <c r="X226" s="4" t="b">
        <f>IFERROR(AND(_xlfn.XLOOKUP(_xlfn.TEXTJOIN(,,D226:O226),Aux!$B$3:$B$4098,'Truth Table'!$V$3:$V$4098)=1,ABS(P225)&lt;='Line Follower'!$C$6),FALSE)</f>
        <v>0</v>
      </c>
      <c r="Y226" s="4" t="b">
        <f t="shared" si="3"/>
        <v>1</v>
      </c>
    </row>
    <row r="227" spans="2:25" x14ac:dyDescent="0.25">
      <c r="B227" s="4">
        <v>224</v>
      </c>
      <c r="C227" s="4">
        <v>1339</v>
      </c>
      <c r="D227" s="4">
        <v>0</v>
      </c>
      <c r="E227" s="4">
        <v>0</v>
      </c>
      <c r="F227" s="4">
        <v>0</v>
      </c>
      <c r="G227" s="4">
        <v>0</v>
      </c>
      <c r="H227" s="4">
        <v>1</v>
      </c>
      <c r="I227" s="4">
        <v>1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>
        <v>1</v>
      </c>
      <c r="P227" s="51">
        <f>IFERROR(_xlfn.XLOOKUP(_xlfn.TEXTJOIN(,,D226:O226),Aux!$B$3:$B$4098,'Truth Table'!$N$3:$N$4098),P226)</f>
        <v>-1</v>
      </c>
      <c r="Q227" s="4" t="b" cm="1">
        <f t="array" ref="Q227:U227">IFERROR(_xlfn.XLOOKUP(_xlfn.TEXTJOIN(,,D227:O227),Aux!$B$3:$B$4098,'Truth Table'!$O$3:$S$4098)=1,FALSE)</f>
        <v>1</v>
      </c>
      <c r="R227" s="4" t="b">
        <v>0</v>
      </c>
      <c r="S227" s="4" t="b">
        <v>0</v>
      </c>
      <c r="T227" s="4" t="b">
        <v>0</v>
      </c>
      <c r="U227" s="4" t="b">
        <v>0</v>
      </c>
      <c r="V227" s="4" t="b">
        <f>AND(_xlfn.XLOOKUP(_xlfn.TEXTJOIN(,,D227:O227),Aux!$B$3:$B$4098,'Truth Table'!$T$3:$T$4098)=1,P226&lt;='Line Follower'!$C$7)</f>
        <v>0</v>
      </c>
      <c r="W227" s="4" t="b">
        <f>AND(_xlfn.XLOOKUP(_xlfn.TEXTJOIN(,,D227:O227),Aux!$B$3:$B$4098,'Truth Table'!$U$3:$U$4098)=1,P226&gt;='Line Follower'!$C$6)</f>
        <v>0</v>
      </c>
      <c r="X227" s="4" t="b">
        <f>IFERROR(AND(_xlfn.XLOOKUP(_xlfn.TEXTJOIN(,,D227:O227),Aux!$B$3:$B$4098,'Truth Table'!$V$3:$V$4098)=1,ABS(P226)&lt;='Line Follower'!$C$6),FALSE)</f>
        <v>0</v>
      </c>
      <c r="Y227" s="4" t="b">
        <f t="shared" si="3"/>
        <v>1</v>
      </c>
    </row>
    <row r="228" spans="2:25" x14ac:dyDescent="0.25">
      <c r="B228" s="4">
        <v>225</v>
      </c>
      <c r="C228" s="4">
        <v>1348</v>
      </c>
      <c r="D228" s="4">
        <v>0</v>
      </c>
      <c r="E228" s="4">
        <v>0</v>
      </c>
      <c r="F228" s="4">
        <v>0</v>
      </c>
      <c r="G228" s="4">
        <v>1</v>
      </c>
      <c r="H228" s="4">
        <v>1</v>
      </c>
      <c r="I228" s="4">
        <v>1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1</v>
      </c>
      <c r="P228" s="51">
        <f>IFERROR(_xlfn.XLOOKUP(_xlfn.TEXTJOIN(,,D227:O227),Aux!$B$3:$B$4098,'Truth Table'!$N$3:$N$4098),P227)</f>
        <v>-1</v>
      </c>
      <c r="Q228" s="4" t="b" cm="1">
        <f t="array" ref="Q228:U228">IFERROR(_xlfn.XLOOKUP(_xlfn.TEXTJOIN(,,D228:O228),Aux!$B$3:$B$4098,'Truth Table'!$O$3:$S$4098)=1,FALSE)</f>
        <v>1</v>
      </c>
      <c r="R228" s="4" t="b">
        <v>0</v>
      </c>
      <c r="S228" s="4" t="b">
        <v>0</v>
      </c>
      <c r="T228" s="4" t="b">
        <v>0</v>
      </c>
      <c r="U228" s="4" t="b">
        <v>0</v>
      </c>
      <c r="V228" s="4" t="b">
        <f>AND(_xlfn.XLOOKUP(_xlfn.TEXTJOIN(,,D228:O228),Aux!$B$3:$B$4098,'Truth Table'!$T$3:$T$4098)=1,P227&lt;='Line Follower'!$C$7)</f>
        <v>0</v>
      </c>
      <c r="W228" s="4" t="b">
        <f>AND(_xlfn.XLOOKUP(_xlfn.TEXTJOIN(,,D228:O228),Aux!$B$3:$B$4098,'Truth Table'!$U$3:$U$4098)=1,P227&gt;='Line Follower'!$C$6)</f>
        <v>0</v>
      </c>
      <c r="X228" s="4" t="b">
        <f>IFERROR(AND(_xlfn.XLOOKUP(_xlfn.TEXTJOIN(,,D228:O228),Aux!$B$3:$B$4098,'Truth Table'!$V$3:$V$4098)=1,ABS(P227)&lt;='Line Follower'!$C$6),FALSE)</f>
        <v>0</v>
      </c>
      <c r="Y228" s="4" t="b">
        <f t="shared" si="3"/>
        <v>1</v>
      </c>
    </row>
    <row r="229" spans="2:25" x14ac:dyDescent="0.25">
      <c r="B229" s="4">
        <v>226</v>
      </c>
      <c r="C229" s="4">
        <v>1349</v>
      </c>
      <c r="D229" s="4">
        <v>0</v>
      </c>
      <c r="E229" s="4">
        <v>0</v>
      </c>
      <c r="F229" s="4">
        <v>0</v>
      </c>
      <c r="G229" s="4">
        <v>1</v>
      </c>
      <c r="H229" s="4">
        <v>1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>
        <v>1</v>
      </c>
      <c r="P229" s="51">
        <f>IFERROR(_xlfn.XLOOKUP(_xlfn.TEXTJOIN(,,D228:O228),Aux!$B$3:$B$4098,'Truth Table'!$N$3:$N$4098),P228)</f>
        <v>-2</v>
      </c>
      <c r="Q229" s="4" t="b" cm="1">
        <f t="array" ref="Q229:U229">IFERROR(_xlfn.XLOOKUP(_xlfn.TEXTJOIN(,,D229:O229),Aux!$B$3:$B$4098,'Truth Table'!$O$3:$S$4098)=1,FALSE)</f>
        <v>1</v>
      </c>
      <c r="R229" s="4" t="b">
        <v>0</v>
      </c>
      <c r="S229" s="4" t="b">
        <v>0</v>
      </c>
      <c r="T229" s="4" t="b">
        <v>0</v>
      </c>
      <c r="U229" s="4" t="b">
        <v>0</v>
      </c>
      <c r="V229" s="4" t="b">
        <f>AND(_xlfn.XLOOKUP(_xlfn.TEXTJOIN(,,D229:O229),Aux!$B$3:$B$4098,'Truth Table'!$T$3:$T$4098)=1,P228&lt;='Line Follower'!$C$7)</f>
        <v>0</v>
      </c>
      <c r="W229" s="4" t="b">
        <f>AND(_xlfn.XLOOKUP(_xlfn.TEXTJOIN(,,D229:O229),Aux!$B$3:$B$4098,'Truth Table'!$U$3:$U$4098)=1,P228&gt;='Line Follower'!$C$6)</f>
        <v>0</v>
      </c>
      <c r="X229" s="4" t="b">
        <f>IFERROR(AND(_xlfn.XLOOKUP(_xlfn.TEXTJOIN(,,D229:O229),Aux!$B$3:$B$4098,'Truth Table'!$V$3:$V$4098)=1,ABS(P228)&lt;='Line Follower'!$C$6),FALSE)</f>
        <v>0</v>
      </c>
      <c r="Y229" s="4" t="b">
        <f t="shared" si="3"/>
        <v>1</v>
      </c>
    </row>
    <row r="230" spans="2:25" x14ac:dyDescent="0.25">
      <c r="B230" s="4">
        <v>227</v>
      </c>
      <c r="C230" s="4">
        <v>1362</v>
      </c>
      <c r="D230" s="4">
        <v>0</v>
      </c>
      <c r="E230" s="4">
        <v>0</v>
      </c>
      <c r="F230" s="4">
        <v>0</v>
      </c>
      <c r="G230" s="4">
        <v>1</v>
      </c>
      <c r="H230" s="4">
        <v>1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1</v>
      </c>
      <c r="P230" s="51">
        <f>IFERROR(_xlfn.XLOOKUP(_xlfn.TEXTJOIN(,,D229:O229),Aux!$B$3:$B$4098,'Truth Table'!$N$3:$N$4098),P229)</f>
        <v>-2</v>
      </c>
      <c r="Q230" s="4" t="b" cm="1">
        <f t="array" ref="Q230:U230">IFERROR(_xlfn.XLOOKUP(_xlfn.TEXTJOIN(,,D230:O230),Aux!$B$3:$B$4098,'Truth Table'!$O$3:$S$4098)=1,FALSE)</f>
        <v>1</v>
      </c>
      <c r="R230" s="4" t="b">
        <v>0</v>
      </c>
      <c r="S230" s="4" t="b">
        <v>0</v>
      </c>
      <c r="T230" s="4" t="b">
        <v>0</v>
      </c>
      <c r="U230" s="4" t="b">
        <v>0</v>
      </c>
      <c r="V230" s="4" t="b">
        <f>AND(_xlfn.XLOOKUP(_xlfn.TEXTJOIN(,,D230:O230),Aux!$B$3:$B$4098,'Truth Table'!$T$3:$T$4098)=1,P229&lt;='Line Follower'!$C$7)</f>
        <v>0</v>
      </c>
      <c r="W230" s="4" t="b">
        <f>AND(_xlfn.XLOOKUP(_xlfn.TEXTJOIN(,,D230:O230),Aux!$B$3:$B$4098,'Truth Table'!$U$3:$U$4098)=1,P229&gt;='Line Follower'!$C$6)</f>
        <v>0</v>
      </c>
      <c r="X230" s="4" t="b">
        <f>IFERROR(AND(_xlfn.XLOOKUP(_xlfn.TEXTJOIN(,,D230:O230),Aux!$B$3:$B$4098,'Truth Table'!$V$3:$V$4098)=1,ABS(P229)&lt;='Line Follower'!$C$6),FALSE)</f>
        <v>0</v>
      </c>
      <c r="Y230" s="4" t="b">
        <f t="shared" si="3"/>
        <v>1</v>
      </c>
    </row>
    <row r="231" spans="2:25" x14ac:dyDescent="0.25">
      <c r="B231" s="4">
        <v>228</v>
      </c>
      <c r="C231" s="4">
        <v>1368</v>
      </c>
      <c r="D231" s="4">
        <v>0</v>
      </c>
      <c r="E231" s="4">
        <v>0</v>
      </c>
      <c r="F231" s="4">
        <v>0</v>
      </c>
      <c r="G231" s="4">
        <v>1</v>
      </c>
      <c r="H231" s="4">
        <v>1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>
        <v>1</v>
      </c>
      <c r="P231" s="51">
        <f>IFERROR(_xlfn.XLOOKUP(_xlfn.TEXTJOIN(,,D230:O230),Aux!$B$3:$B$4098,'Truth Table'!$N$3:$N$4098),P230)</f>
        <v>-2</v>
      </c>
      <c r="Q231" s="4" t="b" cm="1">
        <f t="array" ref="Q231:U231">IFERROR(_xlfn.XLOOKUP(_xlfn.TEXTJOIN(,,D231:O231),Aux!$B$3:$B$4098,'Truth Table'!$O$3:$S$4098)=1,FALSE)</f>
        <v>1</v>
      </c>
      <c r="R231" s="4" t="b">
        <v>0</v>
      </c>
      <c r="S231" s="4" t="b">
        <v>0</v>
      </c>
      <c r="T231" s="4" t="b">
        <v>0</v>
      </c>
      <c r="U231" s="4" t="b">
        <v>0</v>
      </c>
      <c r="V231" s="4" t="b">
        <f>AND(_xlfn.XLOOKUP(_xlfn.TEXTJOIN(,,D231:O231),Aux!$B$3:$B$4098,'Truth Table'!$T$3:$T$4098)=1,P230&lt;='Line Follower'!$C$7)</f>
        <v>0</v>
      </c>
      <c r="W231" s="4" t="b">
        <f>AND(_xlfn.XLOOKUP(_xlfn.TEXTJOIN(,,D231:O231),Aux!$B$3:$B$4098,'Truth Table'!$U$3:$U$4098)=1,P230&gt;='Line Follower'!$C$6)</f>
        <v>0</v>
      </c>
      <c r="X231" s="4" t="b">
        <f>IFERROR(AND(_xlfn.XLOOKUP(_xlfn.TEXTJOIN(,,D231:O231),Aux!$B$3:$B$4098,'Truth Table'!$V$3:$V$4098)=1,ABS(P230)&lt;='Line Follower'!$C$6),FALSE)</f>
        <v>0</v>
      </c>
      <c r="Y231" s="4" t="b">
        <f t="shared" si="3"/>
        <v>1</v>
      </c>
    </row>
    <row r="232" spans="2:25" x14ac:dyDescent="0.25">
      <c r="B232" s="4">
        <v>229</v>
      </c>
      <c r="C232" s="4">
        <v>1379</v>
      </c>
      <c r="D232" s="4">
        <v>0</v>
      </c>
      <c r="E232" s="4">
        <v>0</v>
      </c>
      <c r="F232" s="4">
        <v>0</v>
      </c>
      <c r="G232" s="4">
        <v>1</v>
      </c>
      <c r="H232" s="4">
        <v>1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1</v>
      </c>
      <c r="P232" s="51">
        <f>IFERROR(_xlfn.XLOOKUP(_xlfn.TEXTJOIN(,,D231:O231),Aux!$B$3:$B$4098,'Truth Table'!$N$3:$N$4098),P231)</f>
        <v>-2</v>
      </c>
      <c r="Q232" s="4" t="b" cm="1">
        <f t="array" ref="Q232:U232">IFERROR(_xlfn.XLOOKUP(_xlfn.TEXTJOIN(,,D232:O232),Aux!$B$3:$B$4098,'Truth Table'!$O$3:$S$4098)=1,FALSE)</f>
        <v>1</v>
      </c>
      <c r="R232" s="4" t="b">
        <v>0</v>
      </c>
      <c r="S232" s="4" t="b">
        <v>0</v>
      </c>
      <c r="T232" s="4" t="b">
        <v>0</v>
      </c>
      <c r="U232" s="4" t="b">
        <v>0</v>
      </c>
      <c r="V232" s="4" t="b">
        <f>AND(_xlfn.XLOOKUP(_xlfn.TEXTJOIN(,,D232:O232),Aux!$B$3:$B$4098,'Truth Table'!$T$3:$T$4098)=1,P231&lt;='Line Follower'!$C$7)</f>
        <v>0</v>
      </c>
      <c r="W232" s="4" t="b">
        <f>AND(_xlfn.XLOOKUP(_xlfn.TEXTJOIN(,,D232:O232),Aux!$B$3:$B$4098,'Truth Table'!$U$3:$U$4098)=1,P231&gt;='Line Follower'!$C$6)</f>
        <v>0</v>
      </c>
      <c r="X232" s="4" t="b">
        <f>IFERROR(AND(_xlfn.XLOOKUP(_xlfn.TEXTJOIN(,,D232:O232),Aux!$B$3:$B$4098,'Truth Table'!$V$3:$V$4098)=1,ABS(P231)&lt;='Line Follower'!$C$6),FALSE)</f>
        <v>0</v>
      </c>
      <c r="Y232" s="4" t="b">
        <f t="shared" si="3"/>
        <v>1</v>
      </c>
    </row>
    <row r="233" spans="2:25" x14ac:dyDescent="0.25">
      <c r="B233" s="4">
        <v>230</v>
      </c>
      <c r="C233" s="4">
        <v>1397</v>
      </c>
      <c r="D233" s="4">
        <v>0</v>
      </c>
      <c r="E233" s="4">
        <v>0</v>
      </c>
      <c r="F233" s="4">
        <v>0</v>
      </c>
      <c r="G233" s="4">
        <v>1</v>
      </c>
      <c r="H233" s="4">
        <v>1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1</v>
      </c>
      <c r="P233" s="51">
        <f>IFERROR(_xlfn.XLOOKUP(_xlfn.TEXTJOIN(,,D232:O232),Aux!$B$3:$B$4098,'Truth Table'!$N$3:$N$4098),P232)</f>
        <v>-2</v>
      </c>
      <c r="Q233" s="4" t="b" cm="1">
        <f t="array" ref="Q233:U233">IFERROR(_xlfn.XLOOKUP(_xlfn.TEXTJOIN(,,D233:O233),Aux!$B$3:$B$4098,'Truth Table'!$O$3:$S$4098)=1,FALSE)</f>
        <v>1</v>
      </c>
      <c r="R233" s="4" t="b">
        <v>0</v>
      </c>
      <c r="S233" s="4" t="b">
        <v>0</v>
      </c>
      <c r="T233" s="4" t="b">
        <v>0</v>
      </c>
      <c r="U233" s="4" t="b">
        <v>0</v>
      </c>
      <c r="V233" s="4" t="b">
        <f>AND(_xlfn.XLOOKUP(_xlfn.TEXTJOIN(,,D233:O233),Aux!$B$3:$B$4098,'Truth Table'!$T$3:$T$4098)=1,P232&lt;='Line Follower'!$C$7)</f>
        <v>0</v>
      </c>
      <c r="W233" s="4" t="b">
        <f>AND(_xlfn.XLOOKUP(_xlfn.TEXTJOIN(,,D233:O233),Aux!$B$3:$B$4098,'Truth Table'!$U$3:$U$4098)=1,P232&gt;='Line Follower'!$C$6)</f>
        <v>0</v>
      </c>
      <c r="X233" s="4" t="b">
        <f>IFERROR(AND(_xlfn.XLOOKUP(_xlfn.TEXTJOIN(,,D233:O233),Aux!$B$3:$B$4098,'Truth Table'!$V$3:$V$4098)=1,ABS(P232)&lt;='Line Follower'!$C$6),FALSE)</f>
        <v>0</v>
      </c>
      <c r="Y233" s="4" t="b">
        <f t="shared" si="3"/>
        <v>1</v>
      </c>
    </row>
    <row r="234" spans="2:25" x14ac:dyDescent="0.25">
      <c r="B234" s="4">
        <v>231</v>
      </c>
      <c r="C234" s="4">
        <v>1398</v>
      </c>
      <c r="D234" s="4">
        <v>0</v>
      </c>
      <c r="E234" s="4">
        <v>0</v>
      </c>
      <c r="F234" s="4">
        <v>0</v>
      </c>
      <c r="G234" s="4">
        <v>1</v>
      </c>
      <c r="H234" s="4">
        <v>1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1</v>
      </c>
      <c r="P234" s="51">
        <f>IFERROR(_xlfn.XLOOKUP(_xlfn.TEXTJOIN(,,D233:O233),Aux!$B$3:$B$4098,'Truth Table'!$N$3:$N$4098),P233)</f>
        <v>-2</v>
      </c>
      <c r="Q234" s="4" t="b" cm="1">
        <f t="array" ref="Q234:U234">IFERROR(_xlfn.XLOOKUP(_xlfn.TEXTJOIN(,,D234:O234),Aux!$B$3:$B$4098,'Truth Table'!$O$3:$S$4098)=1,FALSE)</f>
        <v>1</v>
      </c>
      <c r="R234" s="4" t="b">
        <v>0</v>
      </c>
      <c r="S234" s="4" t="b">
        <v>0</v>
      </c>
      <c r="T234" s="4" t="b">
        <v>0</v>
      </c>
      <c r="U234" s="4" t="b">
        <v>0</v>
      </c>
      <c r="V234" s="4" t="b">
        <f>AND(_xlfn.XLOOKUP(_xlfn.TEXTJOIN(,,D234:O234),Aux!$B$3:$B$4098,'Truth Table'!$T$3:$T$4098)=1,P233&lt;='Line Follower'!$C$7)</f>
        <v>0</v>
      </c>
      <c r="W234" s="4" t="b">
        <f>AND(_xlfn.XLOOKUP(_xlfn.TEXTJOIN(,,D234:O234),Aux!$B$3:$B$4098,'Truth Table'!$U$3:$U$4098)=1,P233&gt;='Line Follower'!$C$6)</f>
        <v>0</v>
      </c>
      <c r="X234" s="4" t="b">
        <f>IFERROR(AND(_xlfn.XLOOKUP(_xlfn.TEXTJOIN(,,D234:O234),Aux!$B$3:$B$4098,'Truth Table'!$V$3:$V$4098)=1,ABS(P233)&lt;='Line Follower'!$C$6),FALSE)</f>
        <v>0</v>
      </c>
      <c r="Y234" s="4" t="b">
        <f t="shared" si="3"/>
        <v>1</v>
      </c>
    </row>
    <row r="235" spans="2:25" x14ac:dyDescent="0.25">
      <c r="B235" s="4">
        <v>232</v>
      </c>
      <c r="C235" s="4">
        <v>1412</v>
      </c>
      <c r="D235" s="4">
        <v>0</v>
      </c>
      <c r="E235" s="4">
        <v>0</v>
      </c>
      <c r="F235" s="4">
        <v>0</v>
      </c>
      <c r="G235" s="4">
        <v>1</v>
      </c>
      <c r="H235" s="4">
        <v>1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1</v>
      </c>
      <c r="P235" s="51">
        <f>IFERROR(_xlfn.XLOOKUP(_xlfn.TEXTJOIN(,,D234:O234),Aux!$B$3:$B$4098,'Truth Table'!$N$3:$N$4098),P234)</f>
        <v>-2</v>
      </c>
      <c r="Q235" s="4" t="b" cm="1">
        <f t="array" ref="Q235:U235">IFERROR(_xlfn.XLOOKUP(_xlfn.TEXTJOIN(,,D235:O235),Aux!$B$3:$B$4098,'Truth Table'!$O$3:$S$4098)=1,FALSE)</f>
        <v>1</v>
      </c>
      <c r="R235" s="4" t="b">
        <v>0</v>
      </c>
      <c r="S235" s="4" t="b">
        <v>0</v>
      </c>
      <c r="T235" s="4" t="b">
        <v>0</v>
      </c>
      <c r="U235" s="4" t="b">
        <v>0</v>
      </c>
      <c r="V235" s="4" t="b">
        <f>AND(_xlfn.XLOOKUP(_xlfn.TEXTJOIN(,,D235:O235),Aux!$B$3:$B$4098,'Truth Table'!$T$3:$T$4098)=1,P234&lt;='Line Follower'!$C$7)</f>
        <v>0</v>
      </c>
      <c r="W235" s="4" t="b">
        <f>AND(_xlfn.XLOOKUP(_xlfn.TEXTJOIN(,,D235:O235),Aux!$B$3:$B$4098,'Truth Table'!$U$3:$U$4098)=1,P234&gt;='Line Follower'!$C$6)</f>
        <v>0</v>
      </c>
      <c r="X235" s="4" t="b">
        <f>IFERROR(AND(_xlfn.XLOOKUP(_xlfn.TEXTJOIN(,,D235:O235),Aux!$B$3:$B$4098,'Truth Table'!$V$3:$V$4098)=1,ABS(P234)&lt;='Line Follower'!$C$6),FALSE)</f>
        <v>0</v>
      </c>
      <c r="Y235" s="4" t="b">
        <f t="shared" si="3"/>
        <v>1</v>
      </c>
    </row>
    <row r="236" spans="2:25" x14ac:dyDescent="0.25">
      <c r="B236" s="4">
        <v>233</v>
      </c>
      <c r="C236" s="4">
        <v>1423</v>
      </c>
      <c r="D236" s="4">
        <v>0</v>
      </c>
      <c r="E236" s="4">
        <v>0</v>
      </c>
      <c r="F236" s="4">
        <v>0</v>
      </c>
      <c r="G236" s="4">
        <v>1</v>
      </c>
      <c r="H236" s="4">
        <v>1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1</v>
      </c>
      <c r="P236" s="51">
        <f>IFERROR(_xlfn.XLOOKUP(_xlfn.TEXTJOIN(,,D235:O235),Aux!$B$3:$B$4098,'Truth Table'!$N$3:$N$4098),P235)</f>
        <v>-2</v>
      </c>
      <c r="Q236" s="4" t="b" cm="1">
        <f t="array" ref="Q236:U236">IFERROR(_xlfn.XLOOKUP(_xlfn.TEXTJOIN(,,D236:O236),Aux!$B$3:$B$4098,'Truth Table'!$O$3:$S$4098)=1,FALSE)</f>
        <v>1</v>
      </c>
      <c r="R236" s="4" t="b">
        <v>0</v>
      </c>
      <c r="S236" s="4" t="b">
        <v>0</v>
      </c>
      <c r="T236" s="4" t="b">
        <v>0</v>
      </c>
      <c r="U236" s="4" t="b">
        <v>0</v>
      </c>
      <c r="V236" s="4" t="b">
        <f>AND(_xlfn.XLOOKUP(_xlfn.TEXTJOIN(,,D236:O236),Aux!$B$3:$B$4098,'Truth Table'!$T$3:$T$4098)=1,P235&lt;='Line Follower'!$C$7)</f>
        <v>0</v>
      </c>
      <c r="W236" s="4" t="b">
        <f>AND(_xlfn.XLOOKUP(_xlfn.TEXTJOIN(,,D236:O236),Aux!$B$3:$B$4098,'Truth Table'!$U$3:$U$4098)=1,P235&gt;='Line Follower'!$C$6)</f>
        <v>0</v>
      </c>
      <c r="X236" s="4" t="b">
        <f>IFERROR(AND(_xlfn.XLOOKUP(_xlfn.TEXTJOIN(,,D236:O236),Aux!$B$3:$B$4098,'Truth Table'!$V$3:$V$4098)=1,ABS(P235)&lt;='Line Follower'!$C$6),FALSE)</f>
        <v>0</v>
      </c>
      <c r="Y236" s="4" t="b">
        <f t="shared" si="3"/>
        <v>1</v>
      </c>
    </row>
    <row r="237" spans="2:25" x14ac:dyDescent="0.25">
      <c r="B237" s="4">
        <v>234</v>
      </c>
      <c r="C237" s="4">
        <v>1432</v>
      </c>
      <c r="D237" s="4">
        <v>0</v>
      </c>
      <c r="E237" s="4">
        <v>0</v>
      </c>
      <c r="F237" s="4">
        <v>0</v>
      </c>
      <c r="G237" s="4">
        <v>1</v>
      </c>
      <c r="H237" s="4">
        <v>1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1</v>
      </c>
      <c r="P237" s="51">
        <f>IFERROR(_xlfn.XLOOKUP(_xlfn.TEXTJOIN(,,D236:O236),Aux!$B$3:$B$4098,'Truth Table'!$N$3:$N$4098),P236)</f>
        <v>-2</v>
      </c>
      <c r="Q237" s="4" t="b" cm="1">
        <f t="array" ref="Q237:U237">IFERROR(_xlfn.XLOOKUP(_xlfn.TEXTJOIN(,,D237:O237),Aux!$B$3:$B$4098,'Truth Table'!$O$3:$S$4098)=1,FALSE)</f>
        <v>1</v>
      </c>
      <c r="R237" s="4" t="b">
        <v>0</v>
      </c>
      <c r="S237" s="4" t="b">
        <v>0</v>
      </c>
      <c r="T237" s="4" t="b">
        <v>0</v>
      </c>
      <c r="U237" s="4" t="b">
        <v>0</v>
      </c>
      <c r="V237" s="4" t="b">
        <f>AND(_xlfn.XLOOKUP(_xlfn.TEXTJOIN(,,D237:O237),Aux!$B$3:$B$4098,'Truth Table'!$T$3:$T$4098)=1,P236&lt;='Line Follower'!$C$7)</f>
        <v>0</v>
      </c>
      <c r="W237" s="4" t="b">
        <f>AND(_xlfn.XLOOKUP(_xlfn.TEXTJOIN(,,D237:O237),Aux!$B$3:$B$4098,'Truth Table'!$U$3:$U$4098)=1,P236&gt;='Line Follower'!$C$6)</f>
        <v>0</v>
      </c>
      <c r="X237" s="4" t="b">
        <f>IFERROR(AND(_xlfn.XLOOKUP(_xlfn.TEXTJOIN(,,D237:O237),Aux!$B$3:$B$4098,'Truth Table'!$V$3:$V$4098)=1,ABS(P236)&lt;='Line Follower'!$C$6),FALSE)</f>
        <v>0</v>
      </c>
      <c r="Y237" s="4" t="b">
        <f t="shared" si="3"/>
        <v>1</v>
      </c>
    </row>
    <row r="238" spans="2:25" x14ac:dyDescent="0.25">
      <c r="B238" s="4">
        <v>235</v>
      </c>
      <c r="C238" s="4">
        <v>1446</v>
      </c>
      <c r="D238" s="4">
        <v>0</v>
      </c>
      <c r="E238" s="4">
        <v>0</v>
      </c>
      <c r="F238" s="4">
        <v>0</v>
      </c>
      <c r="G238" s="4">
        <v>1</v>
      </c>
      <c r="H238" s="4">
        <v>1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1</v>
      </c>
      <c r="P238" s="51">
        <f>IFERROR(_xlfn.XLOOKUP(_xlfn.TEXTJOIN(,,D237:O237),Aux!$B$3:$B$4098,'Truth Table'!$N$3:$N$4098),P237)</f>
        <v>-2</v>
      </c>
      <c r="Q238" s="4" t="b" cm="1">
        <f t="array" ref="Q238:U238">IFERROR(_xlfn.XLOOKUP(_xlfn.TEXTJOIN(,,D238:O238),Aux!$B$3:$B$4098,'Truth Table'!$O$3:$S$4098)=1,FALSE)</f>
        <v>1</v>
      </c>
      <c r="R238" s="4" t="b">
        <v>0</v>
      </c>
      <c r="S238" s="4" t="b">
        <v>0</v>
      </c>
      <c r="T238" s="4" t="b">
        <v>0</v>
      </c>
      <c r="U238" s="4" t="b">
        <v>0</v>
      </c>
      <c r="V238" s="4" t="b">
        <f>AND(_xlfn.XLOOKUP(_xlfn.TEXTJOIN(,,D238:O238),Aux!$B$3:$B$4098,'Truth Table'!$T$3:$T$4098)=1,P237&lt;='Line Follower'!$C$7)</f>
        <v>0</v>
      </c>
      <c r="W238" s="4" t="b">
        <f>AND(_xlfn.XLOOKUP(_xlfn.TEXTJOIN(,,D238:O238),Aux!$B$3:$B$4098,'Truth Table'!$U$3:$U$4098)=1,P237&gt;='Line Follower'!$C$6)</f>
        <v>0</v>
      </c>
      <c r="X238" s="4" t="b">
        <f>IFERROR(AND(_xlfn.XLOOKUP(_xlfn.TEXTJOIN(,,D238:O238),Aux!$B$3:$B$4098,'Truth Table'!$V$3:$V$4098)=1,ABS(P237)&lt;='Line Follower'!$C$6),FALSE)</f>
        <v>0</v>
      </c>
      <c r="Y238" s="4" t="b">
        <f t="shared" si="3"/>
        <v>1</v>
      </c>
    </row>
    <row r="239" spans="2:25" x14ac:dyDescent="0.25">
      <c r="B239" s="4">
        <v>236</v>
      </c>
      <c r="C239" s="4">
        <v>1471</v>
      </c>
      <c r="D239" s="4">
        <v>0</v>
      </c>
      <c r="E239" s="4">
        <v>0</v>
      </c>
      <c r="F239" s="4">
        <v>0</v>
      </c>
      <c r="G239" s="4">
        <v>1</v>
      </c>
      <c r="H239" s="4">
        <v>1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1</v>
      </c>
      <c r="P239" s="51">
        <f>IFERROR(_xlfn.XLOOKUP(_xlfn.TEXTJOIN(,,D238:O238),Aux!$B$3:$B$4098,'Truth Table'!$N$3:$N$4098),P238)</f>
        <v>-2</v>
      </c>
      <c r="Q239" s="4" t="b" cm="1">
        <f t="array" ref="Q239:U239">IFERROR(_xlfn.XLOOKUP(_xlfn.TEXTJOIN(,,D239:O239),Aux!$B$3:$B$4098,'Truth Table'!$O$3:$S$4098)=1,FALSE)</f>
        <v>1</v>
      </c>
      <c r="R239" s="4" t="b">
        <v>0</v>
      </c>
      <c r="S239" s="4" t="b">
        <v>0</v>
      </c>
      <c r="T239" s="4" t="b">
        <v>0</v>
      </c>
      <c r="U239" s="4" t="b">
        <v>0</v>
      </c>
      <c r="V239" s="4" t="b">
        <f>AND(_xlfn.XLOOKUP(_xlfn.TEXTJOIN(,,D239:O239),Aux!$B$3:$B$4098,'Truth Table'!$T$3:$T$4098)=1,P238&lt;='Line Follower'!$C$7)</f>
        <v>0</v>
      </c>
      <c r="W239" s="4" t="b">
        <f>AND(_xlfn.XLOOKUP(_xlfn.TEXTJOIN(,,D239:O239),Aux!$B$3:$B$4098,'Truth Table'!$U$3:$U$4098)=1,P238&gt;='Line Follower'!$C$6)</f>
        <v>0</v>
      </c>
      <c r="X239" s="4" t="b">
        <f>IFERROR(AND(_xlfn.XLOOKUP(_xlfn.TEXTJOIN(,,D239:O239),Aux!$B$3:$B$4098,'Truth Table'!$V$3:$V$4098)=1,ABS(P238)&lt;='Line Follower'!$C$6),FALSE)</f>
        <v>0</v>
      </c>
      <c r="Y239" s="4" t="b">
        <f t="shared" si="3"/>
        <v>1</v>
      </c>
    </row>
    <row r="240" spans="2:25" x14ac:dyDescent="0.25">
      <c r="B240" s="4">
        <v>237</v>
      </c>
      <c r="C240" s="4">
        <v>1472</v>
      </c>
      <c r="D240" s="4">
        <v>0</v>
      </c>
      <c r="E240" s="4">
        <v>0</v>
      </c>
      <c r="F240" s="4">
        <v>0</v>
      </c>
      <c r="G240" s="4">
        <v>1</v>
      </c>
      <c r="H240" s="4">
        <v>1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1</v>
      </c>
      <c r="P240" s="51">
        <f>IFERROR(_xlfn.XLOOKUP(_xlfn.TEXTJOIN(,,D239:O239),Aux!$B$3:$B$4098,'Truth Table'!$N$3:$N$4098),P239)</f>
        <v>-2</v>
      </c>
      <c r="Q240" s="4" t="b" cm="1">
        <f t="array" ref="Q240:U240">IFERROR(_xlfn.XLOOKUP(_xlfn.TEXTJOIN(,,D240:O240),Aux!$B$3:$B$4098,'Truth Table'!$O$3:$S$4098)=1,FALSE)</f>
        <v>1</v>
      </c>
      <c r="R240" s="4" t="b">
        <v>0</v>
      </c>
      <c r="S240" s="4" t="b">
        <v>0</v>
      </c>
      <c r="T240" s="4" t="b">
        <v>0</v>
      </c>
      <c r="U240" s="4" t="b">
        <v>0</v>
      </c>
      <c r="V240" s="4" t="b">
        <f>AND(_xlfn.XLOOKUP(_xlfn.TEXTJOIN(,,D240:O240),Aux!$B$3:$B$4098,'Truth Table'!$T$3:$T$4098)=1,P239&lt;='Line Follower'!$C$7)</f>
        <v>0</v>
      </c>
      <c r="W240" s="4" t="b">
        <f>AND(_xlfn.XLOOKUP(_xlfn.TEXTJOIN(,,D240:O240),Aux!$B$3:$B$4098,'Truth Table'!$U$3:$U$4098)=1,P239&gt;='Line Follower'!$C$6)</f>
        <v>0</v>
      </c>
      <c r="X240" s="4" t="b">
        <f>IFERROR(AND(_xlfn.XLOOKUP(_xlfn.TEXTJOIN(,,D240:O240),Aux!$B$3:$B$4098,'Truth Table'!$V$3:$V$4098)=1,ABS(P239)&lt;='Line Follower'!$C$6),FALSE)</f>
        <v>0</v>
      </c>
      <c r="Y240" s="4" t="b">
        <f t="shared" si="3"/>
        <v>1</v>
      </c>
    </row>
    <row r="241" spans="2:25" x14ac:dyDescent="0.25">
      <c r="B241" s="4">
        <v>238</v>
      </c>
      <c r="C241" s="4">
        <v>1497</v>
      </c>
      <c r="D241" s="4">
        <v>0</v>
      </c>
      <c r="E241" s="4">
        <v>0</v>
      </c>
      <c r="F241" s="4">
        <v>0</v>
      </c>
      <c r="G241" s="4">
        <v>1</v>
      </c>
      <c r="H241" s="4">
        <v>1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1</v>
      </c>
      <c r="P241" s="51">
        <f>IFERROR(_xlfn.XLOOKUP(_xlfn.TEXTJOIN(,,D240:O240),Aux!$B$3:$B$4098,'Truth Table'!$N$3:$N$4098),P240)</f>
        <v>-2</v>
      </c>
      <c r="Q241" s="4" t="b" cm="1">
        <f t="array" ref="Q241:U241">IFERROR(_xlfn.XLOOKUP(_xlfn.TEXTJOIN(,,D241:O241),Aux!$B$3:$B$4098,'Truth Table'!$O$3:$S$4098)=1,FALSE)</f>
        <v>1</v>
      </c>
      <c r="R241" s="4" t="b">
        <v>0</v>
      </c>
      <c r="S241" s="4" t="b">
        <v>0</v>
      </c>
      <c r="T241" s="4" t="b">
        <v>0</v>
      </c>
      <c r="U241" s="4" t="b">
        <v>0</v>
      </c>
      <c r="V241" s="4" t="b">
        <f>AND(_xlfn.XLOOKUP(_xlfn.TEXTJOIN(,,D241:O241),Aux!$B$3:$B$4098,'Truth Table'!$T$3:$T$4098)=1,P240&lt;='Line Follower'!$C$7)</f>
        <v>0</v>
      </c>
      <c r="W241" s="4" t="b">
        <f>AND(_xlfn.XLOOKUP(_xlfn.TEXTJOIN(,,D241:O241),Aux!$B$3:$B$4098,'Truth Table'!$U$3:$U$4098)=1,P240&gt;='Line Follower'!$C$6)</f>
        <v>0</v>
      </c>
      <c r="X241" s="4" t="b">
        <f>IFERROR(AND(_xlfn.XLOOKUP(_xlfn.TEXTJOIN(,,D241:O241),Aux!$B$3:$B$4098,'Truth Table'!$V$3:$V$4098)=1,ABS(P240)&lt;='Line Follower'!$C$6),FALSE)</f>
        <v>0</v>
      </c>
      <c r="Y241" s="4" t="b">
        <f t="shared" si="3"/>
        <v>1</v>
      </c>
    </row>
    <row r="242" spans="2:25" x14ac:dyDescent="0.25">
      <c r="B242" s="4">
        <v>239</v>
      </c>
      <c r="C242" s="4">
        <v>1522</v>
      </c>
      <c r="D242" s="4">
        <v>0</v>
      </c>
      <c r="E242" s="4">
        <v>0</v>
      </c>
      <c r="F242" s="4">
        <v>0</v>
      </c>
      <c r="G242" s="4">
        <v>1</v>
      </c>
      <c r="H242" s="4">
        <v>1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1</v>
      </c>
      <c r="P242" s="51">
        <f>IFERROR(_xlfn.XLOOKUP(_xlfn.TEXTJOIN(,,D241:O241),Aux!$B$3:$B$4098,'Truth Table'!$N$3:$N$4098),P241)</f>
        <v>-2</v>
      </c>
      <c r="Q242" s="4" t="b" cm="1">
        <f t="array" ref="Q242:U242">IFERROR(_xlfn.XLOOKUP(_xlfn.TEXTJOIN(,,D242:O242),Aux!$B$3:$B$4098,'Truth Table'!$O$3:$S$4098)=1,FALSE)</f>
        <v>1</v>
      </c>
      <c r="R242" s="4" t="b">
        <v>0</v>
      </c>
      <c r="S242" s="4" t="b">
        <v>0</v>
      </c>
      <c r="T242" s="4" t="b">
        <v>0</v>
      </c>
      <c r="U242" s="4" t="b">
        <v>0</v>
      </c>
      <c r="V242" s="4" t="b">
        <f>AND(_xlfn.XLOOKUP(_xlfn.TEXTJOIN(,,D242:O242),Aux!$B$3:$B$4098,'Truth Table'!$T$3:$T$4098)=1,P241&lt;='Line Follower'!$C$7)</f>
        <v>0</v>
      </c>
      <c r="W242" s="4" t="b">
        <f>AND(_xlfn.XLOOKUP(_xlfn.TEXTJOIN(,,D242:O242),Aux!$B$3:$B$4098,'Truth Table'!$U$3:$U$4098)=1,P241&gt;='Line Follower'!$C$6)</f>
        <v>0</v>
      </c>
      <c r="X242" s="4" t="b">
        <f>IFERROR(AND(_xlfn.XLOOKUP(_xlfn.TEXTJOIN(,,D242:O242),Aux!$B$3:$B$4098,'Truth Table'!$V$3:$V$4098)=1,ABS(P241)&lt;='Line Follower'!$C$6),FALSE)</f>
        <v>0</v>
      </c>
      <c r="Y242" s="4" t="b">
        <f t="shared" si="3"/>
        <v>1</v>
      </c>
    </row>
    <row r="243" spans="2:25" x14ac:dyDescent="0.25">
      <c r="B243" s="4">
        <v>240</v>
      </c>
      <c r="C243" s="4">
        <v>1523</v>
      </c>
      <c r="D243" s="4">
        <v>0</v>
      </c>
      <c r="E243" s="4">
        <v>0</v>
      </c>
      <c r="F243" s="4">
        <v>0</v>
      </c>
      <c r="G243" s="4">
        <v>1</v>
      </c>
      <c r="H243" s="4">
        <v>1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1</v>
      </c>
      <c r="P243" s="51">
        <f>IFERROR(_xlfn.XLOOKUP(_xlfn.TEXTJOIN(,,D242:O242),Aux!$B$3:$B$4098,'Truth Table'!$N$3:$N$4098),P242)</f>
        <v>-2</v>
      </c>
      <c r="Q243" s="4" t="b" cm="1">
        <f t="array" ref="Q243:U243">IFERROR(_xlfn.XLOOKUP(_xlfn.TEXTJOIN(,,D243:O243),Aux!$B$3:$B$4098,'Truth Table'!$O$3:$S$4098)=1,FALSE)</f>
        <v>1</v>
      </c>
      <c r="R243" s="4" t="b">
        <v>0</v>
      </c>
      <c r="S243" s="4" t="b">
        <v>0</v>
      </c>
      <c r="T243" s="4" t="b">
        <v>0</v>
      </c>
      <c r="U243" s="4" t="b">
        <v>0</v>
      </c>
      <c r="V243" s="4" t="b">
        <f>AND(_xlfn.XLOOKUP(_xlfn.TEXTJOIN(,,D243:O243),Aux!$B$3:$B$4098,'Truth Table'!$T$3:$T$4098)=1,P242&lt;='Line Follower'!$C$7)</f>
        <v>0</v>
      </c>
      <c r="W243" s="4" t="b">
        <f>AND(_xlfn.XLOOKUP(_xlfn.TEXTJOIN(,,D243:O243),Aux!$B$3:$B$4098,'Truth Table'!$U$3:$U$4098)=1,P242&gt;='Line Follower'!$C$6)</f>
        <v>0</v>
      </c>
      <c r="X243" s="4" t="b">
        <f>IFERROR(AND(_xlfn.XLOOKUP(_xlfn.TEXTJOIN(,,D243:O243),Aux!$B$3:$B$4098,'Truth Table'!$V$3:$V$4098)=1,ABS(P242)&lt;='Line Follower'!$C$6),FALSE)</f>
        <v>0</v>
      </c>
      <c r="Y243" s="4" t="b">
        <f t="shared" si="3"/>
        <v>1</v>
      </c>
    </row>
    <row r="244" spans="2:25" x14ac:dyDescent="0.25">
      <c r="B244" s="4">
        <v>241</v>
      </c>
      <c r="C244" s="4">
        <v>1527</v>
      </c>
      <c r="D244" s="4">
        <v>0</v>
      </c>
      <c r="E244" s="4">
        <v>0</v>
      </c>
      <c r="F244" s="4">
        <v>0</v>
      </c>
      <c r="G244" s="4">
        <v>1</v>
      </c>
      <c r="H244" s="4">
        <v>1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1</v>
      </c>
      <c r="P244" s="51">
        <f>IFERROR(_xlfn.XLOOKUP(_xlfn.TEXTJOIN(,,D243:O243),Aux!$B$3:$B$4098,'Truth Table'!$N$3:$N$4098),P243)</f>
        <v>-2</v>
      </c>
      <c r="Q244" s="4" t="b" cm="1">
        <f t="array" ref="Q244:U244">IFERROR(_xlfn.XLOOKUP(_xlfn.TEXTJOIN(,,D244:O244),Aux!$B$3:$B$4098,'Truth Table'!$O$3:$S$4098)=1,FALSE)</f>
        <v>1</v>
      </c>
      <c r="R244" s="4" t="b">
        <v>0</v>
      </c>
      <c r="S244" s="4" t="b">
        <v>0</v>
      </c>
      <c r="T244" s="4" t="b">
        <v>0</v>
      </c>
      <c r="U244" s="4" t="b">
        <v>0</v>
      </c>
      <c r="V244" s="4" t="b">
        <f>AND(_xlfn.XLOOKUP(_xlfn.TEXTJOIN(,,D244:O244),Aux!$B$3:$B$4098,'Truth Table'!$T$3:$T$4098)=1,P243&lt;='Line Follower'!$C$7)</f>
        <v>0</v>
      </c>
      <c r="W244" s="4" t="b">
        <f>AND(_xlfn.XLOOKUP(_xlfn.TEXTJOIN(,,D244:O244),Aux!$B$3:$B$4098,'Truth Table'!$U$3:$U$4098)=1,P243&gt;='Line Follower'!$C$6)</f>
        <v>0</v>
      </c>
      <c r="X244" s="4" t="b">
        <f>IFERROR(AND(_xlfn.XLOOKUP(_xlfn.TEXTJOIN(,,D244:O244),Aux!$B$3:$B$4098,'Truth Table'!$V$3:$V$4098)=1,ABS(P243)&lt;='Line Follower'!$C$6),FALSE)</f>
        <v>0</v>
      </c>
      <c r="Y244" s="4" t="b">
        <f t="shared" si="3"/>
        <v>1</v>
      </c>
    </row>
    <row r="245" spans="2:25" x14ac:dyDescent="0.25">
      <c r="B245" s="4">
        <v>242</v>
      </c>
      <c r="C245" s="4">
        <v>1528</v>
      </c>
      <c r="D245" s="4">
        <v>0</v>
      </c>
      <c r="E245" s="4">
        <v>0</v>
      </c>
      <c r="F245" s="4">
        <v>0</v>
      </c>
      <c r="G245" s="4">
        <v>1</v>
      </c>
      <c r="H245" s="4">
        <v>1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1</v>
      </c>
      <c r="P245" s="51">
        <f>IFERROR(_xlfn.XLOOKUP(_xlfn.TEXTJOIN(,,D244:O244),Aux!$B$3:$B$4098,'Truth Table'!$N$3:$N$4098),P244)</f>
        <v>-2</v>
      </c>
      <c r="Q245" s="4" t="b" cm="1">
        <f t="array" ref="Q245:U245">IFERROR(_xlfn.XLOOKUP(_xlfn.TEXTJOIN(,,D245:O245),Aux!$B$3:$B$4098,'Truth Table'!$O$3:$S$4098)=1,FALSE)</f>
        <v>1</v>
      </c>
      <c r="R245" s="4" t="b">
        <v>0</v>
      </c>
      <c r="S245" s="4" t="b">
        <v>0</v>
      </c>
      <c r="T245" s="4" t="b">
        <v>0</v>
      </c>
      <c r="U245" s="4" t="b">
        <v>0</v>
      </c>
      <c r="V245" s="4" t="b">
        <f>AND(_xlfn.XLOOKUP(_xlfn.TEXTJOIN(,,D245:O245),Aux!$B$3:$B$4098,'Truth Table'!$T$3:$T$4098)=1,P244&lt;='Line Follower'!$C$7)</f>
        <v>0</v>
      </c>
      <c r="W245" s="4" t="b">
        <f>AND(_xlfn.XLOOKUP(_xlfn.TEXTJOIN(,,D245:O245),Aux!$B$3:$B$4098,'Truth Table'!$U$3:$U$4098)=1,P244&gt;='Line Follower'!$C$6)</f>
        <v>0</v>
      </c>
      <c r="X245" s="4" t="b">
        <f>IFERROR(AND(_xlfn.XLOOKUP(_xlfn.TEXTJOIN(,,D245:O245),Aux!$B$3:$B$4098,'Truth Table'!$V$3:$V$4098)=1,ABS(P244)&lt;='Line Follower'!$C$6),FALSE)</f>
        <v>0</v>
      </c>
      <c r="Y245" s="4" t="b">
        <f t="shared" si="3"/>
        <v>1</v>
      </c>
    </row>
    <row r="246" spans="2:25" x14ac:dyDescent="0.25">
      <c r="B246" s="4">
        <v>243</v>
      </c>
      <c r="C246" s="4">
        <v>1528</v>
      </c>
      <c r="D246" s="4">
        <v>0</v>
      </c>
      <c r="E246" s="4">
        <v>0</v>
      </c>
      <c r="F246" s="4">
        <v>0</v>
      </c>
      <c r="G246" s="4">
        <v>1</v>
      </c>
      <c r="H246" s="4">
        <v>1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1</v>
      </c>
      <c r="P246" s="51">
        <f>IFERROR(_xlfn.XLOOKUP(_xlfn.TEXTJOIN(,,D245:O245),Aux!$B$3:$B$4098,'Truth Table'!$N$3:$N$4098),P245)</f>
        <v>-2</v>
      </c>
      <c r="Q246" s="4" t="b" cm="1">
        <f t="array" ref="Q246:U246">IFERROR(_xlfn.XLOOKUP(_xlfn.TEXTJOIN(,,D246:O246),Aux!$B$3:$B$4098,'Truth Table'!$O$3:$S$4098)=1,FALSE)</f>
        <v>1</v>
      </c>
      <c r="R246" s="4" t="b">
        <v>0</v>
      </c>
      <c r="S246" s="4" t="b">
        <v>0</v>
      </c>
      <c r="T246" s="4" t="b">
        <v>0</v>
      </c>
      <c r="U246" s="4" t="b">
        <v>0</v>
      </c>
      <c r="V246" s="4" t="b">
        <f>AND(_xlfn.XLOOKUP(_xlfn.TEXTJOIN(,,D246:O246),Aux!$B$3:$B$4098,'Truth Table'!$T$3:$T$4098)=1,P245&lt;='Line Follower'!$C$7)</f>
        <v>0</v>
      </c>
      <c r="W246" s="4" t="b">
        <f>AND(_xlfn.XLOOKUP(_xlfn.TEXTJOIN(,,D246:O246),Aux!$B$3:$B$4098,'Truth Table'!$U$3:$U$4098)=1,P245&gt;='Line Follower'!$C$6)</f>
        <v>0</v>
      </c>
      <c r="X246" s="4" t="b">
        <f>IFERROR(AND(_xlfn.XLOOKUP(_xlfn.TEXTJOIN(,,D246:O246),Aux!$B$3:$B$4098,'Truth Table'!$V$3:$V$4098)=1,ABS(P245)&lt;='Line Follower'!$C$6),FALSE)</f>
        <v>0</v>
      </c>
      <c r="Y246" s="4" t="b">
        <f t="shared" si="3"/>
        <v>1</v>
      </c>
    </row>
    <row r="247" spans="2:25" x14ac:dyDescent="0.25">
      <c r="B247" s="4">
        <v>244</v>
      </c>
      <c r="C247" s="4">
        <v>1529</v>
      </c>
      <c r="D247" s="4">
        <v>0</v>
      </c>
      <c r="E247" s="4">
        <v>0</v>
      </c>
      <c r="F247" s="4">
        <v>0</v>
      </c>
      <c r="G247" s="4">
        <v>1</v>
      </c>
      <c r="H247" s="4">
        <v>1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1</v>
      </c>
      <c r="P247" s="51">
        <f>IFERROR(_xlfn.XLOOKUP(_xlfn.TEXTJOIN(,,D246:O246),Aux!$B$3:$B$4098,'Truth Table'!$N$3:$N$4098),P246)</f>
        <v>-2</v>
      </c>
      <c r="Q247" s="4" t="b" cm="1">
        <f t="array" ref="Q247:U247">IFERROR(_xlfn.XLOOKUP(_xlfn.TEXTJOIN(,,D247:O247),Aux!$B$3:$B$4098,'Truth Table'!$O$3:$S$4098)=1,FALSE)</f>
        <v>1</v>
      </c>
      <c r="R247" s="4" t="b">
        <v>0</v>
      </c>
      <c r="S247" s="4" t="b">
        <v>0</v>
      </c>
      <c r="T247" s="4" t="b">
        <v>0</v>
      </c>
      <c r="U247" s="4" t="b">
        <v>0</v>
      </c>
      <c r="V247" s="4" t="b">
        <f>AND(_xlfn.XLOOKUP(_xlfn.TEXTJOIN(,,D247:O247),Aux!$B$3:$B$4098,'Truth Table'!$T$3:$T$4098)=1,P246&lt;='Line Follower'!$C$7)</f>
        <v>0</v>
      </c>
      <c r="W247" s="4" t="b">
        <f>AND(_xlfn.XLOOKUP(_xlfn.TEXTJOIN(,,D247:O247),Aux!$B$3:$B$4098,'Truth Table'!$U$3:$U$4098)=1,P246&gt;='Line Follower'!$C$6)</f>
        <v>0</v>
      </c>
      <c r="X247" s="4" t="b">
        <f>IFERROR(AND(_xlfn.XLOOKUP(_xlfn.TEXTJOIN(,,D247:O247),Aux!$B$3:$B$4098,'Truth Table'!$V$3:$V$4098)=1,ABS(P246)&lt;='Line Follower'!$C$6),FALSE)</f>
        <v>0</v>
      </c>
      <c r="Y247" s="4" t="b">
        <f t="shared" si="3"/>
        <v>1</v>
      </c>
    </row>
    <row r="248" spans="2:25" x14ac:dyDescent="0.25">
      <c r="B248" s="4">
        <v>245</v>
      </c>
      <c r="C248" s="4">
        <v>1543</v>
      </c>
      <c r="D248" s="4">
        <v>0</v>
      </c>
      <c r="E248" s="4">
        <v>0</v>
      </c>
      <c r="F248" s="4">
        <v>0</v>
      </c>
      <c r="G248" s="4">
        <v>1</v>
      </c>
      <c r="H248" s="4">
        <v>1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1</v>
      </c>
      <c r="P248" s="51">
        <f>IFERROR(_xlfn.XLOOKUP(_xlfn.TEXTJOIN(,,D247:O247),Aux!$B$3:$B$4098,'Truth Table'!$N$3:$N$4098),P247)</f>
        <v>-2</v>
      </c>
      <c r="Q248" s="4" t="b" cm="1">
        <f t="array" ref="Q248:U248">IFERROR(_xlfn.XLOOKUP(_xlfn.TEXTJOIN(,,D248:O248),Aux!$B$3:$B$4098,'Truth Table'!$O$3:$S$4098)=1,FALSE)</f>
        <v>1</v>
      </c>
      <c r="R248" s="4" t="b">
        <v>0</v>
      </c>
      <c r="S248" s="4" t="b">
        <v>0</v>
      </c>
      <c r="T248" s="4" t="b">
        <v>0</v>
      </c>
      <c r="U248" s="4" t="b">
        <v>0</v>
      </c>
      <c r="V248" s="4" t="b">
        <f>AND(_xlfn.XLOOKUP(_xlfn.TEXTJOIN(,,D248:O248),Aux!$B$3:$B$4098,'Truth Table'!$T$3:$T$4098)=1,P247&lt;='Line Follower'!$C$7)</f>
        <v>0</v>
      </c>
      <c r="W248" s="4" t="b">
        <f>AND(_xlfn.XLOOKUP(_xlfn.TEXTJOIN(,,D248:O248),Aux!$B$3:$B$4098,'Truth Table'!$U$3:$U$4098)=1,P247&gt;='Line Follower'!$C$6)</f>
        <v>0</v>
      </c>
      <c r="X248" s="4" t="b">
        <f>IFERROR(AND(_xlfn.XLOOKUP(_xlfn.TEXTJOIN(,,D248:O248),Aux!$B$3:$B$4098,'Truth Table'!$V$3:$V$4098)=1,ABS(P247)&lt;='Line Follower'!$C$6),FALSE)</f>
        <v>0</v>
      </c>
      <c r="Y248" s="4" t="b">
        <f t="shared" si="3"/>
        <v>1</v>
      </c>
    </row>
    <row r="249" spans="2:25" x14ac:dyDescent="0.25">
      <c r="B249" s="4">
        <v>246</v>
      </c>
      <c r="C249" s="4">
        <v>1544</v>
      </c>
      <c r="D249" s="4">
        <v>0</v>
      </c>
      <c r="E249" s="4">
        <v>0</v>
      </c>
      <c r="F249" s="4">
        <v>0</v>
      </c>
      <c r="G249" s="4">
        <v>1</v>
      </c>
      <c r="H249" s="4">
        <v>1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1</v>
      </c>
      <c r="P249" s="51">
        <f>IFERROR(_xlfn.XLOOKUP(_xlfn.TEXTJOIN(,,D248:O248),Aux!$B$3:$B$4098,'Truth Table'!$N$3:$N$4098),P248)</f>
        <v>-2</v>
      </c>
      <c r="Q249" s="4" t="b" cm="1">
        <f t="array" ref="Q249:U249">IFERROR(_xlfn.XLOOKUP(_xlfn.TEXTJOIN(,,D249:O249),Aux!$B$3:$B$4098,'Truth Table'!$O$3:$S$4098)=1,FALSE)</f>
        <v>1</v>
      </c>
      <c r="R249" s="4" t="b">
        <v>0</v>
      </c>
      <c r="S249" s="4" t="b">
        <v>0</v>
      </c>
      <c r="T249" s="4" t="b">
        <v>0</v>
      </c>
      <c r="U249" s="4" t="b">
        <v>0</v>
      </c>
      <c r="V249" s="4" t="b">
        <f>AND(_xlfn.XLOOKUP(_xlfn.TEXTJOIN(,,D249:O249),Aux!$B$3:$B$4098,'Truth Table'!$T$3:$T$4098)=1,P248&lt;='Line Follower'!$C$7)</f>
        <v>0</v>
      </c>
      <c r="W249" s="4" t="b">
        <f>AND(_xlfn.XLOOKUP(_xlfn.TEXTJOIN(,,D249:O249),Aux!$B$3:$B$4098,'Truth Table'!$U$3:$U$4098)=1,P248&gt;='Line Follower'!$C$6)</f>
        <v>0</v>
      </c>
      <c r="X249" s="4" t="b">
        <f>IFERROR(AND(_xlfn.XLOOKUP(_xlfn.TEXTJOIN(,,D249:O249),Aux!$B$3:$B$4098,'Truth Table'!$V$3:$V$4098)=1,ABS(P248)&lt;='Line Follower'!$C$6),FALSE)</f>
        <v>0</v>
      </c>
      <c r="Y249" s="4" t="b">
        <f t="shared" si="3"/>
        <v>1</v>
      </c>
    </row>
    <row r="250" spans="2:25" x14ac:dyDescent="0.25">
      <c r="B250" s="4">
        <v>247</v>
      </c>
      <c r="C250" s="4">
        <v>1559</v>
      </c>
      <c r="D250" s="4">
        <v>0</v>
      </c>
      <c r="E250" s="4">
        <v>0</v>
      </c>
      <c r="F250" s="4">
        <v>0</v>
      </c>
      <c r="G250" s="4">
        <v>1</v>
      </c>
      <c r="H250" s="4">
        <v>1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1</v>
      </c>
      <c r="P250" s="51">
        <f>IFERROR(_xlfn.XLOOKUP(_xlfn.TEXTJOIN(,,D249:O249),Aux!$B$3:$B$4098,'Truth Table'!$N$3:$N$4098),P249)</f>
        <v>-2</v>
      </c>
      <c r="Q250" s="4" t="b" cm="1">
        <f t="array" ref="Q250:U250">IFERROR(_xlfn.XLOOKUP(_xlfn.TEXTJOIN(,,D250:O250),Aux!$B$3:$B$4098,'Truth Table'!$O$3:$S$4098)=1,FALSE)</f>
        <v>1</v>
      </c>
      <c r="R250" s="4" t="b">
        <v>0</v>
      </c>
      <c r="S250" s="4" t="b">
        <v>0</v>
      </c>
      <c r="T250" s="4" t="b">
        <v>0</v>
      </c>
      <c r="U250" s="4" t="b">
        <v>0</v>
      </c>
      <c r="V250" s="4" t="b">
        <f>AND(_xlfn.XLOOKUP(_xlfn.TEXTJOIN(,,D250:O250),Aux!$B$3:$B$4098,'Truth Table'!$T$3:$T$4098)=1,P249&lt;='Line Follower'!$C$7)</f>
        <v>0</v>
      </c>
      <c r="W250" s="4" t="b">
        <f>AND(_xlfn.XLOOKUP(_xlfn.TEXTJOIN(,,D250:O250),Aux!$B$3:$B$4098,'Truth Table'!$U$3:$U$4098)=1,P249&gt;='Line Follower'!$C$6)</f>
        <v>0</v>
      </c>
      <c r="X250" s="4" t="b">
        <f>IFERROR(AND(_xlfn.XLOOKUP(_xlfn.TEXTJOIN(,,D250:O250),Aux!$B$3:$B$4098,'Truth Table'!$V$3:$V$4098)=1,ABS(P249)&lt;='Line Follower'!$C$6),FALSE)</f>
        <v>0</v>
      </c>
      <c r="Y250" s="4" t="b">
        <f t="shared" si="3"/>
        <v>1</v>
      </c>
    </row>
    <row r="251" spans="2:25" x14ac:dyDescent="0.25">
      <c r="B251" s="4">
        <v>248</v>
      </c>
      <c r="C251" s="4">
        <v>1568</v>
      </c>
      <c r="D251" s="4">
        <v>0</v>
      </c>
      <c r="E251" s="4">
        <v>0</v>
      </c>
      <c r="F251" s="4">
        <v>0</v>
      </c>
      <c r="G251" s="4">
        <v>1</v>
      </c>
      <c r="H251" s="4">
        <v>1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1</v>
      </c>
      <c r="P251" s="51">
        <f>IFERROR(_xlfn.XLOOKUP(_xlfn.TEXTJOIN(,,D250:O250),Aux!$B$3:$B$4098,'Truth Table'!$N$3:$N$4098),P250)</f>
        <v>-2</v>
      </c>
      <c r="Q251" s="4" t="b" cm="1">
        <f t="array" ref="Q251:U251">IFERROR(_xlfn.XLOOKUP(_xlfn.TEXTJOIN(,,D251:O251),Aux!$B$3:$B$4098,'Truth Table'!$O$3:$S$4098)=1,FALSE)</f>
        <v>1</v>
      </c>
      <c r="R251" s="4" t="b">
        <v>0</v>
      </c>
      <c r="S251" s="4" t="b">
        <v>0</v>
      </c>
      <c r="T251" s="4" t="b">
        <v>0</v>
      </c>
      <c r="U251" s="4" t="b">
        <v>0</v>
      </c>
      <c r="V251" s="4" t="b">
        <f>AND(_xlfn.XLOOKUP(_xlfn.TEXTJOIN(,,D251:O251),Aux!$B$3:$B$4098,'Truth Table'!$T$3:$T$4098)=1,P250&lt;='Line Follower'!$C$7)</f>
        <v>0</v>
      </c>
      <c r="W251" s="4" t="b">
        <f>AND(_xlfn.XLOOKUP(_xlfn.TEXTJOIN(,,D251:O251),Aux!$B$3:$B$4098,'Truth Table'!$U$3:$U$4098)=1,P250&gt;='Line Follower'!$C$6)</f>
        <v>0</v>
      </c>
      <c r="X251" s="4" t="b">
        <f>IFERROR(AND(_xlfn.XLOOKUP(_xlfn.TEXTJOIN(,,D251:O251),Aux!$B$3:$B$4098,'Truth Table'!$V$3:$V$4098)=1,ABS(P250)&lt;='Line Follower'!$C$6),FALSE)</f>
        <v>0</v>
      </c>
      <c r="Y251" s="4" t="b">
        <f t="shared" si="3"/>
        <v>1</v>
      </c>
    </row>
    <row r="252" spans="2:25" x14ac:dyDescent="0.25">
      <c r="B252" s="4">
        <v>249</v>
      </c>
      <c r="C252" s="4">
        <v>1577</v>
      </c>
      <c r="D252" s="4">
        <v>0</v>
      </c>
      <c r="E252" s="4">
        <v>0</v>
      </c>
      <c r="F252" s="4">
        <v>0</v>
      </c>
      <c r="G252" s="4">
        <v>1</v>
      </c>
      <c r="H252" s="4">
        <v>1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1</v>
      </c>
      <c r="P252" s="51">
        <f>IFERROR(_xlfn.XLOOKUP(_xlfn.TEXTJOIN(,,D251:O251),Aux!$B$3:$B$4098,'Truth Table'!$N$3:$N$4098),P251)</f>
        <v>-2</v>
      </c>
      <c r="Q252" s="4" t="b" cm="1">
        <f t="array" ref="Q252:U252">IFERROR(_xlfn.XLOOKUP(_xlfn.TEXTJOIN(,,D252:O252),Aux!$B$3:$B$4098,'Truth Table'!$O$3:$S$4098)=1,FALSE)</f>
        <v>1</v>
      </c>
      <c r="R252" s="4" t="b">
        <v>0</v>
      </c>
      <c r="S252" s="4" t="b">
        <v>0</v>
      </c>
      <c r="T252" s="4" t="b">
        <v>0</v>
      </c>
      <c r="U252" s="4" t="b">
        <v>0</v>
      </c>
      <c r="V252" s="4" t="b">
        <f>AND(_xlfn.XLOOKUP(_xlfn.TEXTJOIN(,,D252:O252),Aux!$B$3:$B$4098,'Truth Table'!$T$3:$T$4098)=1,P251&lt;='Line Follower'!$C$7)</f>
        <v>0</v>
      </c>
      <c r="W252" s="4" t="b">
        <f>AND(_xlfn.XLOOKUP(_xlfn.TEXTJOIN(,,D252:O252),Aux!$B$3:$B$4098,'Truth Table'!$U$3:$U$4098)=1,P251&gt;='Line Follower'!$C$6)</f>
        <v>0</v>
      </c>
      <c r="X252" s="4" t="b">
        <f>IFERROR(AND(_xlfn.XLOOKUP(_xlfn.TEXTJOIN(,,D252:O252),Aux!$B$3:$B$4098,'Truth Table'!$V$3:$V$4098)=1,ABS(P251)&lt;='Line Follower'!$C$6),FALSE)</f>
        <v>0</v>
      </c>
      <c r="Y252" s="4" t="b">
        <f t="shared" si="3"/>
        <v>1</v>
      </c>
    </row>
    <row r="253" spans="2:25" x14ac:dyDescent="0.25">
      <c r="B253" s="4">
        <v>250</v>
      </c>
      <c r="C253" s="4">
        <v>1588</v>
      </c>
      <c r="D253" s="4">
        <v>0</v>
      </c>
      <c r="E253" s="4">
        <v>0</v>
      </c>
      <c r="F253" s="4">
        <v>0</v>
      </c>
      <c r="G253" s="4">
        <v>1</v>
      </c>
      <c r="H253" s="4">
        <v>1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1</v>
      </c>
      <c r="P253" s="51">
        <f>IFERROR(_xlfn.XLOOKUP(_xlfn.TEXTJOIN(,,D252:O252),Aux!$B$3:$B$4098,'Truth Table'!$N$3:$N$4098),P252)</f>
        <v>-2</v>
      </c>
      <c r="Q253" s="4" t="b" cm="1">
        <f t="array" ref="Q253:U253">IFERROR(_xlfn.XLOOKUP(_xlfn.TEXTJOIN(,,D253:O253),Aux!$B$3:$B$4098,'Truth Table'!$O$3:$S$4098)=1,FALSE)</f>
        <v>1</v>
      </c>
      <c r="R253" s="4" t="b">
        <v>0</v>
      </c>
      <c r="S253" s="4" t="b">
        <v>0</v>
      </c>
      <c r="T253" s="4" t="b">
        <v>0</v>
      </c>
      <c r="U253" s="4" t="b">
        <v>0</v>
      </c>
      <c r="V253" s="4" t="b">
        <f>AND(_xlfn.XLOOKUP(_xlfn.TEXTJOIN(,,D253:O253),Aux!$B$3:$B$4098,'Truth Table'!$T$3:$T$4098)=1,P252&lt;='Line Follower'!$C$7)</f>
        <v>0</v>
      </c>
      <c r="W253" s="4" t="b">
        <f>AND(_xlfn.XLOOKUP(_xlfn.TEXTJOIN(,,D253:O253),Aux!$B$3:$B$4098,'Truth Table'!$U$3:$U$4098)=1,P252&gt;='Line Follower'!$C$6)</f>
        <v>0</v>
      </c>
      <c r="X253" s="4" t="b">
        <f>IFERROR(AND(_xlfn.XLOOKUP(_xlfn.TEXTJOIN(,,D253:O253),Aux!$B$3:$B$4098,'Truth Table'!$V$3:$V$4098)=1,ABS(P252)&lt;='Line Follower'!$C$6),FALSE)</f>
        <v>0</v>
      </c>
      <c r="Y253" s="4" t="b">
        <f t="shared" si="3"/>
        <v>1</v>
      </c>
    </row>
    <row r="254" spans="2:25" x14ac:dyDescent="0.25">
      <c r="B254" s="4">
        <v>251</v>
      </c>
      <c r="C254" s="4">
        <v>1602</v>
      </c>
      <c r="D254" s="4">
        <v>0</v>
      </c>
      <c r="E254" s="4">
        <v>0</v>
      </c>
      <c r="F254" s="4">
        <v>0</v>
      </c>
      <c r="G254" s="4">
        <v>1</v>
      </c>
      <c r="H254" s="4">
        <v>1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1</v>
      </c>
      <c r="P254" s="51">
        <f>IFERROR(_xlfn.XLOOKUP(_xlfn.TEXTJOIN(,,D253:O253),Aux!$B$3:$B$4098,'Truth Table'!$N$3:$N$4098),P253)</f>
        <v>-2</v>
      </c>
      <c r="Q254" s="4" t="b" cm="1">
        <f t="array" ref="Q254:U254">IFERROR(_xlfn.XLOOKUP(_xlfn.TEXTJOIN(,,D254:O254),Aux!$B$3:$B$4098,'Truth Table'!$O$3:$S$4098)=1,FALSE)</f>
        <v>1</v>
      </c>
      <c r="R254" s="4" t="b">
        <v>0</v>
      </c>
      <c r="S254" s="4" t="b">
        <v>0</v>
      </c>
      <c r="T254" s="4" t="b">
        <v>0</v>
      </c>
      <c r="U254" s="4" t="b">
        <v>0</v>
      </c>
      <c r="V254" s="4" t="b">
        <f>AND(_xlfn.XLOOKUP(_xlfn.TEXTJOIN(,,D254:O254),Aux!$B$3:$B$4098,'Truth Table'!$T$3:$T$4098)=1,P253&lt;='Line Follower'!$C$7)</f>
        <v>0</v>
      </c>
      <c r="W254" s="4" t="b">
        <f>AND(_xlfn.XLOOKUP(_xlfn.TEXTJOIN(,,D254:O254),Aux!$B$3:$B$4098,'Truth Table'!$U$3:$U$4098)=1,P253&gt;='Line Follower'!$C$6)</f>
        <v>0</v>
      </c>
      <c r="X254" s="4" t="b">
        <f>IFERROR(AND(_xlfn.XLOOKUP(_xlfn.TEXTJOIN(,,D254:O254),Aux!$B$3:$B$4098,'Truth Table'!$V$3:$V$4098)=1,ABS(P253)&lt;='Line Follower'!$C$6),FALSE)</f>
        <v>0</v>
      </c>
      <c r="Y254" s="4" t="b">
        <f t="shared" si="3"/>
        <v>1</v>
      </c>
    </row>
    <row r="255" spans="2:25" x14ac:dyDescent="0.25">
      <c r="B255" s="4">
        <v>252</v>
      </c>
      <c r="C255" s="4">
        <v>1607</v>
      </c>
      <c r="D255" s="4">
        <v>0</v>
      </c>
      <c r="E255" s="4">
        <v>0</v>
      </c>
      <c r="F255" s="4">
        <v>0</v>
      </c>
      <c r="G255" s="4">
        <v>1</v>
      </c>
      <c r="H255" s="4">
        <v>1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0</v>
      </c>
      <c r="O255" s="4">
        <v>1</v>
      </c>
      <c r="P255" s="51">
        <f>IFERROR(_xlfn.XLOOKUP(_xlfn.TEXTJOIN(,,D254:O254),Aux!$B$3:$B$4098,'Truth Table'!$N$3:$N$4098),P254)</f>
        <v>-2</v>
      </c>
      <c r="Q255" s="4" t="b" cm="1">
        <f t="array" ref="Q255:U255">IFERROR(_xlfn.XLOOKUP(_xlfn.TEXTJOIN(,,D255:O255),Aux!$B$3:$B$4098,'Truth Table'!$O$3:$S$4098)=1,FALSE)</f>
        <v>1</v>
      </c>
      <c r="R255" s="4" t="b">
        <v>0</v>
      </c>
      <c r="S255" s="4" t="b">
        <v>0</v>
      </c>
      <c r="T255" s="4" t="b">
        <v>0</v>
      </c>
      <c r="U255" s="4" t="b">
        <v>0</v>
      </c>
      <c r="V255" s="4" t="b">
        <f>AND(_xlfn.XLOOKUP(_xlfn.TEXTJOIN(,,D255:O255),Aux!$B$3:$B$4098,'Truth Table'!$T$3:$T$4098)=1,P254&lt;='Line Follower'!$C$7)</f>
        <v>0</v>
      </c>
      <c r="W255" s="4" t="b">
        <f>AND(_xlfn.XLOOKUP(_xlfn.TEXTJOIN(,,D255:O255),Aux!$B$3:$B$4098,'Truth Table'!$U$3:$U$4098)=1,P254&gt;='Line Follower'!$C$6)</f>
        <v>0</v>
      </c>
      <c r="X255" s="4" t="b">
        <f>IFERROR(AND(_xlfn.XLOOKUP(_xlfn.TEXTJOIN(,,D255:O255),Aux!$B$3:$B$4098,'Truth Table'!$V$3:$V$4098)=1,ABS(P254)&lt;='Line Follower'!$C$6),FALSE)</f>
        <v>0</v>
      </c>
      <c r="Y255" s="4" t="b">
        <f t="shared" si="3"/>
        <v>1</v>
      </c>
    </row>
    <row r="256" spans="2:25" x14ac:dyDescent="0.25">
      <c r="B256" s="4">
        <v>253</v>
      </c>
      <c r="C256" s="4">
        <v>1621</v>
      </c>
      <c r="D256" s="4">
        <v>0</v>
      </c>
      <c r="E256" s="4">
        <v>0</v>
      </c>
      <c r="F256" s="4">
        <v>0</v>
      </c>
      <c r="G256" s="4">
        <v>1</v>
      </c>
      <c r="H256" s="4">
        <v>1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1</v>
      </c>
      <c r="P256" s="51">
        <f>IFERROR(_xlfn.XLOOKUP(_xlfn.TEXTJOIN(,,D255:O255),Aux!$B$3:$B$4098,'Truth Table'!$N$3:$N$4098),P255)</f>
        <v>-2</v>
      </c>
      <c r="Q256" s="4" t="b" cm="1">
        <f t="array" ref="Q256:U256">IFERROR(_xlfn.XLOOKUP(_xlfn.TEXTJOIN(,,D256:O256),Aux!$B$3:$B$4098,'Truth Table'!$O$3:$S$4098)=1,FALSE)</f>
        <v>1</v>
      </c>
      <c r="R256" s="4" t="b">
        <v>0</v>
      </c>
      <c r="S256" s="4" t="b">
        <v>0</v>
      </c>
      <c r="T256" s="4" t="b">
        <v>0</v>
      </c>
      <c r="U256" s="4" t="b">
        <v>0</v>
      </c>
      <c r="V256" s="4" t="b">
        <f>AND(_xlfn.XLOOKUP(_xlfn.TEXTJOIN(,,D256:O256),Aux!$B$3:$B$4098,'Truth Table'!$T$3:$T$4098)=1,P255&lt;='Line Follower'!$C$7)</f>
        <v>0</v>
      </c>
      <c r="W256" s="4" t="b">
        <f>AND(_xlfn.XLOOKUP(_xlfn.TEXTJOIN(,,D256:O256),Aux!$B$3:$B$4098,'Truth Table'!$U$3:$U$4098)=1,P255&gt;='Line Follower'!$C$6)</f>
        <v>0</v>
      </c>
      <c r="X256" s="4" t="b">
        <f>IFERROR(AND(_xlfn.XLOOKUP(_xlfn.TEXTJOIN(,,D256:O256),Aux!$B$3:$B$4098,'Truth Table'!$V$3:$V$4098)=1,ABS(P255)&lt;='Line Follower'!$C$6),FALSE)</f>
        <v>0</v>
      </c>
      <c r="Y256" s="4" t="b">
        <f t="shared" si="3"/>
        <v>1</v>
      </c>
    </row>
    <row r="257" spans="2:25" x14ac:dyDescent="0.25">
      <c r="B257" s="4">
        <v>254</v>
      </c>
      <c r="C257" s="4">
        <v>1632</v>
      </c>
      <c r="D257" s="4">
        <v>0</v>
      </c>
      <c r="E257" s="4">
        <v>0</v>
      </c>
      <c r="F257" s="4">
        <v>0</v>
      </c>
      <c r="G257" s="4">
        <v>1</v>
      </c>
      <c r="H257" s="4">
        <v>1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1</v>
      </c>
      <c r="P257" s="51">
        <f>IFERROR(_xlfn.XLOOKUP(_xlfn.TEXTJOIN(,,D256:O256),Aux!$B$3:$B$4098,'Truth Table'!$N$3:$N$4098),P256)</f>
        <v>-2</v>
      </c>
      <c r="Q257" s="4" t="b" cm="1">
        <f t="array" ref="Q257:U257">IFERROR(_xlfn.XLOOKUP(_xlfn.TEXTJOIN(,,D257:O257),Aux!$B$3:$B$4098,'Truth Table'!$O$3:$S$4098)=1,FALSE)</f>
        <v>1</v>
      </c>
      <c r="R257" s="4" t="b">
        <v>0</v>
      </c>
      <c r="S257" s="4" t="b">
        <v>0</v>
      </c>
      <c r="T257" s="4" t="b">
        <v>0</v>
      </c>
      <c r="U257" s="4" t="b">
        <v>0</v>
      </c>
      <c r="V257" s="4" t="b">
        <f>AND(_xlfn.XLOOKUP(_xlfn.TEXTJOIN(,,D257:O257),Aux!$B$3:$B$4098,'Truth Table'!$T$3:$T$4098)=1,P256&lt;='Line Follower'!$C$7)</f>
        <v>0</v>
      </c>
      <c r="W257" s="4" t="b">
        <f>AND(_xlfn.XLOOKUP(_xlfn.TEXTJOIN(,,D257:O257),Aux!$B$3:$B$4098,'Truth Table'!$U$3:$U$4098)=1,P256&gt;='Line Follower'!$C$6)</f>
        <v>0</v>
      </c>
      <c r="X257" s="4" t="b">
        <f>IFERROR(AND(_xlfn.XLOOKUP(_xlfn.TEXTJOIN(,,D257:O257),Aux!$B$3:$B$4098,'Truth Table'!$V$3:$V$4098)=1,ABS(P256)&lt;='Line Follower'!$C$6),FALSE)</f>
        <v>0</v>
      </c>
      <c r="Y257" s="4" t="b">
        <f t="shared" si="3"/>
        <v>1</v>
      </c>
    </row>
    <row r="258" spans="2:25" x14ac:dyDescent="0.25">
      <c r="B258" s="4">
        <v>255</v>
      </c>
      <c r="C258" s="4">
        <v>1641</v>
      </c>
      <c r="D258" s="4">
        <v>0</v>
      </c>
      <c r="E258" s="4">
        <v>0</v>
      </c>
      <c r="F258" s="4">
        <v>0</v>
      </c>
      <c r="G258" s="4">
        <v>1</v>
      </c>
      <c r="H258" s="4">
        <v>1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1</v>
      </c>
      <c r="P258" s="51">
        <f>IFERROR(_xlfn.XLOOKUP(_xlfn.TEXTJOIN(,,D257:O257),Aux!$B$3:$B$4098,'Truth Table'!$N$3:$N$4098),P257)</f>
        <v>-2</v>
      </c>
      <c r="Q258" s="4" t="b" cm="1">
        <f t="array" ref="Q258:U258">IFERROR(_xlfn.XLOOKUP(_xlfn.TEXTJOIN(,,D258:O258),Aux!$B$3:$B$4098,'Truth Table'!$O$3:$S$4098)=1,FALSE)</f>
        <v>1</v>
      </c>
      <c r="R258" s="4" t="b">
        <v>0</v>
      </c>
      <c r="S258" s="4" t="b">
        <v>0</v>
      </c>
      <c r="T258" s="4" t="b">
        <v>0</v>
      </c>
      <c r="U258" s="4" t="b">
        <v>0</v>
      </c>
      <c r="V258" s="4" t="b">
        <f>AND(_xlfn.XLOOKUP(_xlfn.TEXTJOIN(,,D258:O258),Aux!$B$3:$B$4098,'Truth Table'!$T$3:$T$4098)=1,P257&lt;='Line Follower'!$C$7)</f>
        <v>0</v>
      </c>
      <c r="W258" s="4" t="b">
        <f>AND(_xlfn.XLOOKUP(_xlfn.TEXTJOIN(,,D258:O258),Aux!$B$3:$B$4098,'Truth Table'!$U$3:$U$4098)=1,P257&gt;='Line Follower'!$C$6)</f>
        <v>0</v>
      </c>
      <c r="X258" s="4" t="b">
        <f>IFERROR(AND(_xlfn.XLOOKUP(_xlfn.TEXTJOIN(,,D258:O258),Aux!$B$3:$B$4098,'Truth Table'!$V$3:$V$4098)=1,ABS(P257)&lt;='Line Follower'!$C$6),FALSE)</f>
        <v>0</v>
      </c>
      <c r="Y258" s="4" t="b">
        <f t="shared" si="3"/>
        <v>1</v>
      </c>
    </row>
    <row r="259" spans="2:25" x14ac:dyDescent="0.25">
      <c r="B259" s="4">
        <v>256</v>
      </c>
      <c r="C259" s="4">
        <v>1654</v>
      </c>
      <c r="D259" s="4">
        <v>0</v>
      </c>
      <c r="E259" s="4">
        <v>0</v>
      </c>
      <c r="F259" s="4">
        <v>0</v>
      </c>
      <c r="G259" s="4">
        <v>1</v>
      </c>
      <c r="H259" s="4">
        <v>1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4">
        <v>1</v>
      </c>
      <c r="P259" s="51">
        <f>IFERROR(_xlfn.XLOOKUP(_xlfn.TEXTJOIN(,,D258:O258),Aux!$B$3:$B$4098,'Truth Table'!$N$3:$N$4098),P258)</f>
        <v>-2</v>
      </c>
      <c r="Q259" s="4" t="b" cm="1">
        <f t="array" ref="Q259:U259">IFERROR(_xlfn.XLOOKUP(_xlfn.TEXTJOIN(,,D259:O259),Aux!$B$3:$B$4098,'Truth Table'!$O$3:$S$4098)=1,FALSE)</f>
        <v>1</v>
      </c>
      <c r="R259" s="4" t="b">
        <v>0</v>
      </c>
      <c r="S259" s="4" t="b">
        <v>0</v>
      </c>
      <c r="T259" s="4" t="b">
        <v>0</v>
      </c>
      <c r="U259" s="4" t="b">
        <v>0</v>
      </c>
      <c r="V259" s="4" t="b">
        <f>AND(_xlfn.XLOOKUP(_xlfn.TEXTJOIN(,,D259:O259),Aux!$B$3:$B$4098,'Truth Table'!$T$3:$T$4098)=1,P258&lt;='Line Follower'!$C$7)</f>
        <v>0</v>
      </c>
      <c r="W259" s="4" t="b">
        <f>AND(_xlfn.XLOOKUP(_xlfn.TEXTJOIN(,,D259:O259),Aux!$B$3:$B$4098,'Truth Table'!$U$3:$U$4098)=1,P258&gt;='Line Follower'!$C$6)</f>
        <v>0</v>
      </c>
      <c r="X259" s="4" t="b">
        <f>IFERROR(AND(_xlfn.XLOOKUP(_xlfn.TEXTJOIN(,,D259:O259),Aux!$B$3:$B$4098,'Truth Table'!$V$3:$V$4098)=1,ABS(P258)&lt;='Line Follower'!$C$6),FALSE)</f>
        <v>0</v>
      </c>
      <c r="Y259" s="4" t="b">
        <f t="shared" si="3"/>
        <v>1</v>
      </c>
    </row>
    <row r="260" spans="2:25" x14ac:dyDescent="0.25">
      <c r="B260" s="4">
        <v>257</v>
      </c>
      <c r="C260" s="4">
        <v>1663</v>
      </c>
      <c r="D260" s="4">
        <v>0</v>
      </c>
      <c r="E260" s="4">
        <v>0</v>
      </c>
      <c r="F260" s="4">
        <v>0</v>
      </c>
      <c r="G260" s="4">
        <v>1</v>
      </c>
      <c r="H260" s="4">
        <v>1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1</v>
      </c>
      <c r="P260" s="51">
        <f>IFERROR(_xlfn.XLOOKUP(_xlfn.TEXTJOIN(,,D259:O259),Aux!$B$3:$B$4098,'Truth Table'!$N$3:$N$4098),P259)</f>
        <v>-2</v>
      </c>
      <c r="Q260" s="4" t="b" cm="1">
        <f t="array" ref="Q260:U260">IFERROR(_xlfn.XLOOKUP(_xlfn.TEXTJOIN(,,D260:O260),Aux!$B$3:$B$4098,'Truth Table'!$O$3:$S$4098)=1,FALSE)</f>
        <v>1</v>
      </c>
      <c r="R260" s="4" t="b">
        <v>0</v>
      </c>
      <c r="S260" s="4" t="b">
        <v>0</v>
      </c>
      <c r="T260" s="4" t="b">
        <v>0</v>
      </c>
      <c r="U260" s="4" t="b">
        <v>0</v>
      </c>
      <c r="V260" s="4" t="b">
        <f>AND(_xlfn.XLOOKUP(_xlfn.TEXTJOIN(,,D260:O260),Aux!$B$3:$B$4098,'Truth Table'!$T$3:$T$4098)=1,P259&lt;='Line Follower'!$C$7)</f>
        <v>0</v>
      </c>
      <c r="W260" s="4" t="b">
        <f>AND(_xlfn.XLOOKUP(_xlfn.TEXTJOIN(,,D260:O260),Aux!$B$3:$B$4098,'Truth Table'!$U$3:$U$4098)=1,P259&gt;='Line Follower'!$C$6)</f>
        <v>0</v>
      </c>
      <c r="X260" s="4" t="b">
        <f>IFERROR(AND(_xlfn.XLOOKUP(_xlfn.TEXTJOIN(,,D260:O260),Aux!$B$3:$B$4098,'Truth Table'!$V$3:$V$4098)=1,ABS(P259)&lt;='Line Follower'!$C$6),FALSE)</f>
        <v>0</v>
      </c>
      <c r="Y260" s="4" t="b">
        <f t="shared" ref="Y260:Y323" si="4">OR(Q260:X260)</f>
        <v>1</v>
      </c>
    </row>
    <row r="261" spans="2:25" x14ac:dyDescent="0.25">
      <c r="B261" s="4">
        <v>258</v>
      </c>
      <c r="C261" s="4">
        <v>1674</v>
      </c>
      <c r="D261" s="4">
        <v>0</v>
      </c>
      <c r="E261" s="4">
        <v>0</v>
      </c>
      <c r="F261" s="4">
        <v>0</v>
      </c>
      <c r="G261" s="4">
        <v>1</v>
      </c>
      <c r="H261" s="4">
        <v>1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1</v>
      </c>
      <c r="P261" s="51">
        <f>IFERROR(_xlfn.XLOOKUP(_xlfn.TEXTJOIN(,,D260:O260),Aux!$B$3:$B$4098,'Truth Table'!$N$3:$N$4098),P260)</f>
        <v>-2</v>
      </c>
      <c r="Q261" s="4" t="b" cm="1">
        <f t="array" ref="Q261:U261">IFERROR(_xlfn.XLOOKUP(_xlfn.TEXTJOIN(,,D261:O261),Aux!$B$3:$B$4098,'Truth Table'!$O$3:$S$4098)=1,FALSE)</f>
        <v>1</v>
      </c>
      <c r="R261" s="4" t="b">
        <v>0</v>
      </c>
      <c r="S261" s="4" t="b">
        <v>0</v>
      </c>
      <c r="T261" s="4" t="b">
        <v>0</v>
      </c>
      <c r="U261" s="4" t="b">
        <v>0</v>
      </c>
      <c r="V261" s="4" t="b">
        <f>AND(_xlfn.XLOOKUP(_xlfn.TEXTJOIN(,,D261:O261),Aux!$B$3:$B$4098,'Truth Table'!$T$3:$T$4098)=1,P260&lt;='Line Follower'!$C$7)</f>
        <v>0</v>
      </c>
      <c r="W261" s="4" t="b">
        <f>AND(_xlfn.XLOOKUP(_xlfn.TEXTJOIN(,,D261:O261),Aux!$B$3:$B$4098,'Truth Table'!$U$3:$U$4098)=1,P260&gt;='Line Follower'!$C$6)</f>
        <v>0</v>
      </c>
      <c r="X261" s="4" t="b">
        <f>IFERROR(AND(_xlfn.XLOOKUP(_xlfn.TEXTJOIN(,,D261:O261),Aux!$B$3:$B$4098,'Truth Table'!$V$3:$V$4098)=1,ABS(P260)&lt;='Line Follower'!$C$6),FALSE)</f>
        <v>0</v>
      </c>
      <c r="Y261" s="4" t="b">
        <f t="shared" si="4"/>
        <v>1</v>
      </c>
    </row>
    <row r="262" spans="2:25" x14ac:dyDescent="0.25">
      <c r="B262" s="4">
        <v>259</v>
      </c>
      <c r="C262" s="4">
        <v>1675</v>
      </c>
      <c r="D262" s="4">
        <v>0</v>
      </c>
      <c r="E262" s="4">
        <v>0</v>
      </c>
      <c r="F262" s="4">
        <v>0</v>
      </c>
      <c r="G262" s="4">
        <v>1</v>
      </c>
      <c r="H262" s="4">
        <v>1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1</v>
      </c>
      <c r="P262" s="51">
        <f>IFERROR(_xlfn.XLOOKUP(_xlfn.TEXTJOIN(,,D261:O261),Aux!$B$3:$B$4098,'Truth Table'!$N$3:$N$4098),P261)</f>
        <v>-2</v>
      </c>
      <c r="Q262" s="4" t="b" cm="1">
        <f t="array" ref="Q262:U262">IFERROR(_xlfn.XLOOKUP(_xlfn.TEXTJOIN(,,D262:O262),Aux!$B$3:$B$4098,'Truth Table'!$O$3:$S$4098)=1,FALSE)</f>
        <v>1</v>
      </c>
      <c r="R262" s="4" t="b">
        <v>0</v>
      </c>
      <c r="S262" s="4" t="b">
        <v>0</v>
      </c>
      <c r="T262" s="4" t="b">
        <v>0</v>
      </c>
      <c r="U262" s="4" t="b">
        <v>0</v>
      </c>
      <c r="V262" s="4" t="b">
        <f>AND(_xlfn.XLOOKUP(_xlfn.TEXTJOIN(,,D262:O262),Aux!$B$3:$B$4098,'Truth Table'!$T$3:$T$4098)=1,P261&lt;='Line Follower'!$C$7)</f>
        <v>0</v>
      </c>
      <c r="W262" s="4" t="b">
        <f>AND(_xlfn.XLOOKUP(_xlfn.TEXTJOIN(,,D262:O262),Aux!$B$3:$B$4098,'Truth Table'!$U$3:$U$4098)=1,P261&gt;='Line Follower'!$C$6)</f>
        <v>0</v>
      </c>
      <c r="X262" s="4" t="b">
        <f>IFERROR(AND(_xlfn.XLOOKUP(_xlfn.TEXTJOIN(,,D262:O262),Aux!$B$3:$B$4098,'Truth Table'!$V$3:$V$4098)=1,ABS(P261)&lt;='Line Follower'!$C$6),FALSE)</f>
        <v>0</v>
      </c>
      <c r="Y262" s="4" t="b">
        <f t="shared" si="4"/>
        <v>1</v>
      </c>
    </row>
    <row r="263" spans="2:25" x14ac:dyDescent="0.25">
      <c r="B263" s="4">
        <v>260</v>
      </c>
      <c r="C263" s="4">
        <v>1688</v>
      </c>
      <c r="D263" s="4">
        <v>0</v>
      </c>
      <c r="E263" s="4">
        <v>0</v>
      </c>
      <c r="F263" s="4">
        <v>0</v>
      </c>
      <c r="G263" s="4">
        <v>1</v>
      </c>
      <c r="H263" s="4">
        <v>1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1</v>
      </c>
      <c r="P263" s="51">
        <f>IFERROR(_xlfn.XLOOKUP(_xlfn.TEXTJOIN(,,D262:O262),Aux!$B$3:$B$4098,'Truth Table'!$N$3:$N$4098),P262)</f>
        <v>-2</v>
      </c>
      <c r="Q263" s="4" t="b" cm="1">
        <f t="array" ref="Q263:U263">IFERROR(_xlfn.XLOOKUP(_xlfn.TEXTJOIN(,,D263:O263),Aux!$B$3:$B$4098,'Truth Table'!$O$3:$S$4098)=1,FALSE)</f>
        <v>1</v>
      </c>
      <c r="R263" s="4" t="b">
        <v>0</v>
      </c>
      <c r="S263" s="4" t="b">
        <v>0</v>
      </c>
      <c r="T263" s="4" t="b">
        <v>0</v>
      </c>
      <c r="U263" s="4" t="b">
        <v>0</v>
      </c>
      <c r="V263" s="4" t="b">
        <f>AND(_xlfn.XLOOKUP(_xlfn.TEXTJOIN(,,D263:O263),Aux!$B$3:$B$4098,'Truth Table'!$T$3:$T$4098)=1,P262&lt;='Line Follower'!$C$7)</f>
        <v>0</v>
      </c>
      <c r="W263" s="4" t="b">
        <f>AND(_xlfn.XLOOKUP(_xlfn.TEXTJOIN(,,D263:O263),Aux!$B$3:$B$4098,'Truth Table'!$U$3:$U$4098)=1,P262&gt;='Line Follower'!$C$6)</f>
        <v>0</v>
      </c>
      <c r="X263" s="4" t="b">
        <f>IFERROR(AND(_xlfn.XLOOKUP(_xlfn.TEXTJOIN(,,D263:O263),Aux!$B$3:$B$4098,'Truth Table'!$V$3:$V$4098)=1,ABS(P262)&lt;='Line Follower'!$C$6),FALSE)</f>
        <v>0</v>
      </c>
      <c r="Y263" s="4" t="b">
        <f t="shared" si="4"/>
        <v>1</v>
      </c>
    </row>
    <row r="264" spans="2:25" x14ac:dyDescent="0.25">
      <c r="B264" s="4">
        <v>261</v>
      </c>
      <c r="C264" s="4">
        <v>1694</v>
      </c>
      <c r="D264" s="4">
        <v>0</v>
      </c>
      <c r="E264" s="4">
        <v>0</v>
      </c>
      <c r="F264" s="4">
        <v>0</v>
      </c>
      <c r="G264" s="4">
        <v>1</v>
      </c>
      <c r="H264" s="4">
        <v>1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1</v>
      </c>
      <c r="P264" s="51">
        <f>IFERROR(_xlfn.XLOOKUP(_xlfn.TEXTJOIN(,,D263:O263),Aux!$B$3:$B$4098,'Truth Table'!$N$3:$N$4098),P263)</f>
        <v>-2</v>
      </c>
      <c r="Q264" s="4" t="b" cm="1">
        <f t="array" ref="Q264:U264">IFERROR(_xlfn.XLOOKUP(_xlfn.TEXTJOIN(,,D264:O264),Aux!$B$3:$B$4098,'Truth Table'!$O$3:$S$4098)=1,FALSE)</f>
        <v>1</v>
      </c>
      <c r="R264" s="4" t="b">
        <v>0</v>
      </c>
      <c r="S264" s="4" t="b">
        <v>0</v>
      </c>
      <c r="T264" s="4" t="b">
        <v>0</v>
      </c>
      <c r="U264" s="4" t="b">
        <v>0</v>
      </c>
      <c r="V264" s="4" t="b">
        <f>AND(_xlfn.XLOOKUP(_xlfn.TEXTJOIN(,,D264:O264),Aux!$B$3:$B$4098,'Truth Table'!$T$3:$T$4098)=1,P263&lt;='Line Follower'!$C$7)</f>
        <v>0</v>
      </c>
      <c r="W264" s="4" t="b">
        <f>AND(_xlfn.XLOOKUP(_xlfn.TEXTJOIN(,,D264:O264),Aux!$B$3:$B$4098,'Truth Table'!$U$3:$U$4098)=1,P263&gt;='Line Follower'!$C$6)</f>
        <v>0</v>
      </c>
      <c r="X264" s="4" t="b">
        <f>IFERROR(AND(_xlfn.XLOOKUP(_xlfn.TEXTJOIN(,,D264:O264),Aux!$B$3:$B$4098,'Truth Table'!$V$3:$V$4098)=1,ABS(P263)&lt;='Line Follower'!$C$6),FALSE)</f>
        <v>0</v>
      </c>
      <c r="Y264" s="4" t="b">
        <f t="shared" si="4"/>
        <v>1</v>
      </c>
    </row>
    <row r="265" spans="2:25" x14ac:dyDescent="0.25">
      <c r="B265" s="4">
        <v>262</v>
      </c>
      <c r="C265" s="4">
        <v>1709</v>
      </c>
      <c r="D265" s="4">
        <v>0</v>
      </c>
      <c r="E265" s="4">
        <v>0</v>
      </c>
      <c r="F265" s="4">
        <v>0</v>
      </c>
      <c r="G265" s="4">
        <v>1</v>
      </c>
      <c r="H265" s="4">
        <v>1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  <c r="O265" s="4">
        <v>1</v>
      </c>
      <c r="P265" s="51">
        <f>IFERROR(_xlfn.XLOOKUP(_xlfn.TEXTJOIN(,,D264:O264),Aux!$B$3:$B$4098,'Truth Table'!$N$3:$N$4098),P264)</f>
        <v>-2</v>
      </c>
      <c r="Q265" s="4" t="b" cm="1">
        <f t="array" ref="Q265:U265">IFERROR(_xlfn.XLOOKUP(_xlfn.TEXTJOIN(,,D265:O265),Aux!$B$3:$B$4098,'Truth Table'!$O$3:$S$4098)=1,FALSE)</f>
        <v>1</v>
      </c>
      <c r="R265" s="4" t="b">
        <v>0</v>
      </c>
      <c r="S265" s="4" t="b">
        <v>0</v>
      </c>
      <c r="T265" s="4" t="b">
        <v>0</v>
      </c>
      <c r="U265" s="4" t="b">
        <v>0</v>
      </c>
      <c r="V265" s="4" t="b">
        <f>AND(_xlfn.XLOOKUP(_xlfn.TEXTJOIN(,,D265:O265),Aux!$B$3:$B$4098,'Truth Table'!$T$3:$T$4098)=1,P264&lt;='Line Follower'!$C$7)</f>
        <v>0</v>
      </c>
      <c r="W265" s="4" t="b">
        <f>AND(_xlfn.XLOOKUP(_xlfn.TEXTJOIN(,,D265:O265),Aux!$B$3:$B$4098,'Truth Table'!$U$3:$U$4098)=1,P264&gt;='Line Follower'!$C$6)</f>
        <v>0</v>
      </c>
      <c r="X265" s="4" t="b">
        <f>IFERROR(AND(_xlfn.XLOOKUP(_xlfn.TEXTJOIN(,,D265:O265),Aux!$B$3:$B$4098,'Truth Table'!$V$3:$V$4098)=1,ABS(P264)&lt;='Line Follower'!$C$6),FALSE)</f>
        <v>0</v>
      </c>
      <c r="Y265" s="4" t="b">
        <f t="shared" si="4"/>
        <v>1</v>
      </c>
    </row>
    <row r="266" spans="2:25" x14ac:dyDescent="0.25">
      <c r="B266" s="4">
        <v>263</v>
      </c>
      <c r="C266" s="4">
        <v>1715</v>
      </c>
      <c r="D266" s="4">
        <v>0</v>
      </c>
      <c r="E266" s="4">
        <v>0</v>
      </c>
      <c r="F266" s="4">
        <v>1</v>
      </c>
      <c r="G266" s="4">
        <v>1</v>
      </c>
      <c r="H266" s="4">
        <v>1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51">
        <f>IFERROR(_xlfn.XLOOKUP(_xlfn.TEXTJOIN(,,D265:O265),Aux!$B$3:$B$4098,'Truth Table'!$N$3:$N$4098),P265)</f>
        <v>-2</v>
      </c>
      <c r="Q266" s="4" t="b" cm="1">
        <f t="array" ref="Q266:U266">IFERROR(_xlfn.XLOOKUP(_xlfn.TEXTJOIN(,,D266:O266),Aux!$B$3:$B$4098,'Truth Table'!$O$3:$S$4098)=1,FALSE)</f>
        <v>1</v>
      </c>
      <c r="R266" s="4" t="b">
        <v>0</v>
      </c>
      <c r="S266" s="4" t="b">
        <v>0</v>
      </c>
      <c r="T266" s="4" t="b">
        <v>0</v>
      </c>
      <c r="U266" s="4" t="b">
        <v>0</v>
      </c>
      <c r="V266" s="4" t="b">
        <f>AND(_xlfn.XLOOKUP(_xlfn.TEXTJOIN(,,D266:O266),Aux!$B$3:$B$4098,'Truth Table'!$T$3:$T$4098)=1,P265&lt;='Line Follower'!$C$7)</f>
        <v>0</v>
      </c>
      <c r="W266" s="4" t="b">
        <f>AND(_xlfn.XLOOKUP(_xlfn.TEXTJOIN(,,D266:O266),Aux!$B$3:$B$4098,'Truth Table'!$U$3:$U$4098)=1,P265&gt;='Line Follower'!$C$6)</f>
        <v>0</v>
      </c>
      <c r="X266" s="4" t="b">
        <f>IFERROR(AND(_xlfn.XLOOKUP(_xlfn.TEXTJOIN(,,D266:O266),Aux!$B$3:$B$4098,'Truth Table'!$V$3:$V$4098)=1,ABS(P265)&lt;='Line Follower'!$C$6),FALSE)</f>
        <v>0</v>
      </c>
      <c r="Y266" s="4" t="b">
        <f t="shared" si="4"/>
        <v>1</v>
      </c>
    </row>
    <row r="267" spans="2:25" x14ac:dyDescent="0.25">
      <c r="B267" s="4">
        <v>264</v>
      </c>
      <c r="C267" s="4">
        <v>1724</v>
      </c>
      <c r="D267" s="4">
        <v>0</v>
      </c>
      <c r="E267" s="4">
        <v>0</v>
      </c>
      <c r="F267" s="4">
        <v>1</v>
      </c>
      <c r="G267" s="4">
        <v>1</v>
      </c>
      <c r="H267" s="4">
        <v>1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51">
        <f>IFERROR(_xlfn.XLOOKUP(_xlfn.TEXTJOIN(,,D266:O266),Aux!$B$3:$B$4098,'Truth Table'!$N$3:$N$4098),P266)</f>
        <v>-3</v>
      </c>
      <c r="Q267" s="4" t="b" cm="1">
        <f t="array" ref="Q267:U267">IFERROR(_xlfn.XLOOKUP(_xlfn.TEXTJOIN(,,D267:O267),Aux!$B$3:$B$4098,'Truth Table'!$O$3:$S$4098)=1,FALSE)</f>
        <v>1</v>
      </c>
      <c r="R267" s="4" t="b">
        <v>0</v>
      </c>
      <c r="S267" s="4" t="b">
        <v>0</v>
      </c>
      <c r="T267" s="4" t="b">
        <v>0</v>
      </c>
      <c r="U267" s="4" t="b">
        <v>0</v>
      </c>
      <c r="V267" s="4" t="b">
        <f>AND(_xlfn.XLOOKUP(_xlfn.TEXTJOIN(,,D267:O267),Aux!$B$3:$B$4098,'Truth Table'!$T$3:$T$4098)=1,P266&lt;='Line Follower'!$C$7)</f>
        <v>0</v>
      </c>
      <c r="W267" s="4" t="b">
        <f>AND(_xlfn.XLOOKUP(_xlfn.TEXTJOIN(,,D267:O267),Aux!$B$3:$B$4098,'Truth Table'!$U$3:$U$4098)=1,P266&gt;='Line Follower'!$C$6)</f>
        <v>0</v>
      </c>
      <c r="X267" s="4" t="b">
        <f>IFERROR(AND(_xlfn.XLOOKUP(_xlfn.TEXTJOIN(,,D267:O267),Aux!$B$3:$B$4098,'Truth Table'!$V$3:$V$4098)=1,ABS(P266)&lt;='Line Follower'!$C$6),FALSE)</f>
        <v>0</v>
      </c>
      <c r="Y267" s="4" t="b">
        <f t="shared" si="4"/>
        <v>1</v>
      </c>
    </row>
    <row r="268" spans="2:25" x14ac:dyDescent="0.25">
      <c r="B268" s="4">
        <v>265</v>
      </c>
      <c r="C268" s="4">
        <v>1738</v>
      </c>
      <c r="D268" s="4">
        <v>0</v>
      </c>
      <c r="E268" s="4">
        <v>0</v>
      </c>
      <c r="F268" s="4">
        <v>1</v>
      </c>
      <c r="G268" s="4">
        <v>1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51">
        <f>IFERROR(_xlfn.XLOOKUP(_xlfn.TEXTJOIN(,,D267:O267),Aux!$B$3:$B$4098,'Truth Table'!$N$3:$N$4098),P267)</f>
        <v>-3</v>
      </c>
      <c r="Q268" s="4" t="b" cm="1">
        <f t="array" ref="Q268:U268">IFERROR(_xlfn.XLOOKUP(_xlfn.TEXTJOIN(,,D268:O268),Aux!$B$3:$B$4098,'Truth Table'!$O$3:$S$4098)=1,FALSE)</f>
        <v>1</v>
      </c>
      <c r="R268" s="4" t="b">
        <v>0</v>
      </c>
      <c r="S268" s="4" t="b">
        <v>0</v>
      </c>
      <c r="T268" s="4" t="b">
        <v>0</v>
      </c>
      <c r="U268" s="4" t="b">
        <v>0</v>
      </c>
      <c r="V268" s="4" t="b">
        <f>AND(_xlfn.XLOOKUP(_xlfn.TEXTJOIN(,,D268:O268),Aux!$B$3:$B$4098,'Truth Table'!$T$3:$T$4098)=1,P267&lt;='Line Follower'!$C$7)</f>
        <v>0</v>
      </c>
      <c r="W268" s="4" t="b">
        <f>AND(_xlfn.XLOOKUP(_xlfn.TEXTJOIN(,,D268:O268),Aux!$B$3:$B$4098,'Truth Table'!$U$3:$U$4098)=1,P267&gt;='Line Follower'!$C$6)</f>
        <v>0</v>
      </c>
      <c r="X268" s="4" t="b">
        <f>IFERROR(AND(_xlfn.XLOOKUP(_xlfn.TEXTJOIN(,,D268:O268),Aux!$B$3:$B$4098,'Truth Table'!$V$3:$V$4098)=1,ABS(P267)&lt;='Line Follower'!$C$6),FALSE)</f>
        <v>0</v>
      </c>
      <c r="Y268" s="4" t="b">
        <f t="shared" si="4"/>
        <v>1</v>
      </c>
    </row>
    <row r="269" spans="2:25" x14ac:dyDescent="0.25">
      <c r="B269" s="4">
        <v>266</v>
      </c>
      <c r="C269" s="4">
        <v>1747</v>
      </c>
      <c r="D269" s="4">
        <v>0</v>
      </c>
      <c r="E269" s="4">
        <v>0</v>
      </c>
      <c r="F269" s="4">
        <v>1</v>
      </c>
      <c r="G269" s="4">
        <v>1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51">
        <f>IFERROR(_xlfn.XLOOKUP(_xlfn.TEXTJOIN(,,D268:O268),Aux!$B$3:$B$4098,'Truth Table'!$N$3:$N$4098),P268)</f>
        <v>-4</v>
      </c>
      <c r="Q269" s="4" t="b" cm="1">
        <f t="array" ref="Q269:U269">IFERROR(_xlfn.XLOOKUP(_xlfn.TEXTJOIN(,,D269:O269),Aux!$B$3:$B$4098,'Truth Table'!$O$3:$S$4098)=1,FALSE)</f>
        <v>1</v>
      </c>
      <c r="R269" s="4" t="b">
        <v>0</v>
      </c>
      <c r="S269" s="4" t="b">
        <v>0</v>
      </c>
      <c r="T269" s="4" t="b">
        <v>0</v>
      </c>
      <c r="U269" s="4" t="b">
        <v>0</v>
      </c>
      <c r="V269" s="4" t="b">
        <f>AND(_xlfn.XLOOKUP(_xlfn.TEXTJOIN(,,D269:O269),Aux!$B$3:$B$4098,'Truth Table'!$T$3:$T$4098)=1,P268&lt;='Line Follower'!$C$7)</f>
        <v>0</v>
      </c>
      <c r="W269" s="4" t="b">
        <f>AND(_xlfn.XLOOKUP(_xlfn.TEXTJOIN(,,D269:O269),Aux!$B$3:$B$4098,'Truth Table'!$U$3:$U$4098)=1,P268&gt;='Line Follower'!$C$6)</f>
        <v>0</v>
      </c>
      <c r="X269" s="4" t="b">
        <f>IFERROR(AND(_xlfn.XLOOKUP(_xlfn.TEXTJOIN(,,D269:O269),Aux!$B$3:$B$4098,'Truth Table'!$V$3:$V$4098)=1,ABS(P268)&lt;='Line Follower'!$C$6),FALSE)</f>
        <v>0</v>
      </c>
      <c r="Y269" s="4" t="b">
        <f t="shared" si="4"/>
        <v>1</v>
      </c>
    </row>
    <row r="270" spans="2:25" x14ac:dyDescent="0.25">
      <c r="B270" s="4">
        <v>267</v>
      </c>
      <c r="C270" s="4">
        <v>1758</v>
      </c>
      <c r="D270" s="4">
        <v>0</v>
      </c>
      <c r="E270" s="4">
        <v>0</v>
      </c>
      <c r="F270" s="4">
        <v>1</v>
      </c>
      <c r="G270" s="4">
        <v>1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51">
        <f>IFERROR(_xlfn.XLOOKUP(_xlfn.TEXTJOIN(,,D269:O269),Aux!$B$3:$B$4098,'Truth Table'!$N$3:$N$4098),P269)</f>
        <v>-4</v>
      </c>
      <c r="Q270" s="4" t="b" cm="1">
        <f t="array" ref="Q270:U270">IFERROR(_xlfn.XLOOKUP(_xlfn.TEXTJOIN(,,D270:O270),Aux!$B$3:$B$4098,'Truth Table'!$O$3:$S$4098)=1,FALSE)</f>
        <v>1</v>
      </c>
      <c r="R270" s="4" t="b">
        <v>0</v>
      </c>
      <c r="S270" s="4" t="b">
        <v>0</v>
      </c>
      <c r="T270" s="4" t="b">
        <v>0</v>
      </c>
      <c r="U270" s="4" t="b">
        <v>0</v>
      </c>
      <c r="V270" s="4" t="b">
        <f>AND(_xlfn.XLOOKUP(_xlfn.TEXTJOIN(,,D270:O270),Aux!$B$3:$B$4098,'Truth Table'!$T$3:$T$4098)=1,P269&lt;='Line Follower'!$C$7)</f>
        <v>0</v>
      </c>
      <c r="W270" s="4" t="b">
        <f>AND(_xlfn.XLOOKUP(_xlfn.TEXTJOIN(,,D270:O270),Aux!$B$3:$B$4098,'Truth Table'!$U$3:$U$4098)=1,P269&gt;='Line Follower'!$C$6)</f>
        <v>0</v>
      </c>
      <c r="X270" s="4" t="b">
        <f>IFERROR(AND(_xlfn.XLOOKUP(_xlfn.TEXTJOIN(,,D270:O270),Aux!$B$3:$B$4098,'Truth Table'!$V$3:$V$4098)=1,ABS(P269)&lt;='Line Follower'!$C$6),FALSE)</f>
        <v>0</v>
      </c>
      <c r="Y270" s="4" t="b">
        <f t="shared" si="4"/>
        <v>1</v>
      </c>
    </row>
    <row r="271" spans="2:25" x14ac:dyDescent="0.25">
      <c r="B271" s="4">
        <v>268</v>
      </c>
      <c r="C271" s="4">
        <v>1767</v>
      </c>
      <c r="D271" s="4">
        <v>0</v>
      </c>
      <c r="E271" s="4">
        <v>0</v>
      </c>
      <c r="F271" s="4">
        <v>1</v>
      </c>
      <c r="G271" s="4">
        <v>1</v>
      </c>
      <c r="H271" s="4">
        <v>0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4">
        <v>0</v>
      </c>
      <c r="P271" s="51">
        <f>IFERROR(_xlfn.XLOOKUP(_xlfn.TEXTJOIN(,,D270:O270),Aux!$B$3:$B$4098,'Truth Table'!$N$3:$N$4098),P270)</f>
        <v>-4</v>
      </c>
      <c r="Q271" s="4" t="b" cm="1">
        <f t="array" ref="Q271:U271">IFERROR(_xlfn.XLOOKUP(_xlfn.TEXTJOIN(,,D271:O271),Aux!$B$3:$B$4098,'Truth Table'!$O$3:$S$4098)=1,FALSE)</f>
        <v>1</v>
      </c>
      <c r="R271" s="4" t="b">
        <v>0</v>
      </c>
      <c r="S271" s="4" t="b">
        <v>0</v>
      </c>
      <c r="T271" s="4" t="b">
        <v>0</v>
      </c>
      <c r="U271" s="4" t="b">
        <v>0</v>
      </c>
      <c r="V271" s="4" t="b">
        <f>AND(_xlfn.XLOOKUP(_xlfn.TEXTJOIN(,,D271:O271),Aux!$B$3:$B$4098,'Truth Table'!$T$3:$T$4098)=1,P270&lt;='Line Follower'!$C$7)</f>
        <v>0</v>
      </c>
      <c r="W271" s="4" t="b">
        <f>AND(_xlfn.XLOOKUP(_xlfn.TEXTJOIN(,,D271:O271),Aux!$B$3:$B$4098,'Truth Table'!$U$3:$U$4098)=1,P270&gt;='Line Follower'!$C$6)</f>
        <v>0</v>
      </c>
      <c r="X271" s="4" t="b">
        <f>IFERROR(AND(_xlfn.XLOOKUP(_xlfn.TEXTJOIN(,,D271:O271),Aux!$B$3:$B$4098,'Truth Table'!$V$3:$V$4098)=1,ABS(P270)&lt;='Line Follower'!$C$6),FALSE)</f>
        <v>0</v>
      </c>
      <c r="Y271" s="4" t="b">
        <f t="shared" si="4"/>
        <v>1</v>
      </c>
    </row>
    <row r="272" spans="2:25" x14ac:dyDescent="0.25">
      <c r="B272" s="4">
        <v>269</v>
      </c>
      <c r="C272" s="4">
        <v>1781</v>
      </c>
      <c r="D272" s="4">
        <v>0</v>
      </c>
      <c r="E272" s="4">
        <v>0</v>
      </c>
      <c r="F272" s="4">
        <v>1</v>
      </c>
      <c r="G272" s="4">
        <v>1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51">
        <f>IFERROR(_xlfn.XLOOKUP(_xlfn.TEXTJOIN(,,D271:O271),Aux!$B$3:$B$4098,'Truth Table'!$N$3:$N$4098),P271)</f>
        <v>-4</v>
      </c>
      <c r="Q272" s="4" t="b" cm="1">
        <f t="array" ref="Q272:U272">IFERROR(_xlfn.XLOOKUP(_xlfn.TEXTJOIN(,,D272:O272),Aux!$B$3:$B$4098,'Truth Table'!$O$3:$S$4098)=1,FALSE)</f>
        <v>1</v>
      </c>
      <c r="R272" s="4" t="b">
        <v>0</v>
      </c>
      <c r="S272" s="4" t="b">
        <v>0</v>
      </c>
      <c r="T272" s="4" t="b">
        <v>0</v>
      </c>
      <c r="U272" s="4" t="b">
        <v>0</v>
      </c>
      <c r="V272" s="4" t="b">
        <f>AND(_xlfn.XLOOKUP(_xlfn.TEXTJOIN(,,D272:O272),Aux!$B$3:$B$4098,'Truth Table'!$T$3:$T$4098)=1,P271&lt;='Line Follower'!$C$7)</f>
        <v>0</v>
      </c>
      <c r="W272" s="4" t="b">
        <f>AND(_xlfn.XLOOKUP(_xlfn.TEXTJOIN(,,D272:O272),Aux!$B$3:$B$4098,'Truth Table'!$U$3:$U$4098)=1,P271&gt;='Line Follower'!$C$6)</f>
        <v>0</v>
      </c>
      <c r="X272" s="4" t="b">
        <f>IFERROR(AND(_xlfn.XLOOKUP(_xlfn.TEXTJOIN(,,D272:O272),Aux!$B$3:$B$4098,'Truth Table'!$V$3:$V$4098)=1,ABS(P271)&lt;='Line Follower'!$C$6),FALSE)</f>
        <v>0</v>
      </c>
      <c r="Y272" s="4" t="b">
        <f t="shared" si="4"/>
        <v>1</v>
      </c>
    </row>
    <row r="273" spans="2:25" x14ac:dyDescent="0.25">
      <c r="B273" s="4">
        <v>270</v>
      </c>
      <c r="C273" s="4">
        <v>1789</v>
      </c>
      <c r="D273" s="4">
        <v>0</v>
      </c>
      <c r="E273" s="4">
        <v>0</v>
      </c>
      <c r="F273" s="4">
        <v>1</v>
      </c>
      <c r="G273" s="4">
        <v>1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51">
        <f>IFERROR(_xlfn.XLOOKUP(_xlfn.TEXTJOIN(,,D272:O272),Aux!$B$3:$B$4098,'Truth Table'!$N$3:$N$4098),P272)</f>
        <v>-4</v>
      </c>
      <c r="Q273" s="4" t="b" cm="1">
        <f t="array" ref="Q273:U273">IFERROR(_xlfn.XLOOKUP(_xlfn.TEXTJOIN(,,D273:O273),Aux!$B$3:$B$4098,'Truth Table'!$O$3:$S$4098)=1,FALSE)</f>
        <v>1</v>
      </c>
      <c r="R273" s="4" t="b">
        <v>0</v>
      </c>
      <c r="S273" s="4" t="b">
        <v>0</v>
      </c>
      <c r="T273" s="4" t="b">
        <v>0</v>
      </c>
      <c r="U273" s="4" t="b">
        <v>0</v>
      </c>
      <c r="V273" s="4" t="b">
        <f>AND(_xlfn.XLOOKUP(_xlfn.TEXTJOIN(,,D273:O273),Aux!$B$3:$B$4098,'Truth Table'!$T$3:$T$4098)=1,P272&lt;='Line Follower'!$C$7)</f>
        <v>0</v>
      </c>
      <c r="W273" s="4" t="b">
        <f>AND(_xlfn.XLOOKUP(_xlfn.TEXTJOIN(,,D273:O273),Aux!$B$3:$B$4098,'Truth Table'!$U$3:$U$4098)=1,P272&gt;='Line Follower'!$C$6)</f>
        <v>0</v>
      </c>
      <c r="X273" s="4" t="b">
        <f>IFERROR(AND(_xlfn.XLOOKUP(_xlfn.TEXTJOIN(,,D273:O273),Aux!$B$3:$B$4098,'Truth Table'!$V$3:$V$4098)=1,ABS(P272)&lt;='Line Follower'!$C$6),FALSE)</f>
        <v>0</v>
      </c>
      <c r="Y273" s="4" t="b">
        <f t="shared" si="4"/>
        <v>1</v>
      </c>
    </row>
    <row r="274" spans="2:25" x14ac:dyDescent="0.25">
      <c r="B274" s="4">
        <v>271</v>
      </c>
      <c r="C274" s="4">
        <v>1800</v>
      </c>
      <c r="D274" s="4">
        <v>0</v>
      </c>
      <c r="E274" s="4">
        <v>0</v>
      </c>
      <c r="F274" s="4">
        <v>1</v>
      </c>
      <c r="G274" s="4">
        <v>1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51">
        <f>IFERROR(_xlfn.XLOOKUP(_xlfn.TEXTJOIN(,,D273:O273),Aux!$B$3:$B$4098,'Truth Table'!$N$3:$N$4098),P273)</f>
        <v>-4</v>
      </c>
      <c r="Q274" s="4" t="b" cm="1">
        <f t="array" ref="Q274:U274">IFERROR(_xlfn.XLOOKUP(_xlfn.TEXTJOIN(,,D274:O274),Aux!$B$3:$B$4098,'Truth Table'!$O$3:$S$4098)=1,FALSE)</f>
        <v>1</v>
      </c>
      <c r="R274" s="4" t="b">
        <v>0</v>
      </c>
      <c r="S274" s="4" t="b">
        <v>0</v>
      </c>
      <c r="T274" s="4" t="b">
        <v>0</v>
      </c>
      <c r="U274" s="4" t="b">
        <v>0</v>
      </c>
      <c r="V274" s="4" t="b">
        <f>AND(_xlfn.XLOOKUP(_xlfn.TEXTJOIN(,,D274:O274),Aux!$B$3:$B$4098,'Truth Table'!$T$3:$T$4098)=1,P273&lt;='Line Follower'!$C$7)</f>
        <v>0</v>
      </c>
      <c r="W274" s="4" t="b">
        <f>AND(_xlfn.XLOOKUP(_xlfn.TEXTJOIN(,,D274:O274),Aux!$B$3:$B$4098,'Truth Table'!$U$3:$U$4098)=1,P273&gt;='Line Follower'!$C$6)</f>
        <v>0</v>
      </c>
      <c r="X274" s="4" t="b">
        <f>IFERROR(AND(_xlfn.XLOOKUP(_xlfn.TEXTJOIN(,,D274:O274),Aux!$B$3:$B$4098,'Truth Table'!$V$3:$V$4098)=1,ABS(P273)&lt;='Line Follower'!$C$6),FALSE)</f>
        <v>0</v>
      </c>
      <c r="Y274" s="4" t="b">
        <f t="shared" si="4"/>
        <v>1</v>
      </c>
    </row>
    <row r="275" spans="2:25" x14ac:dyDescent="0.25">
      <c r="B275" s="4">
        <v>272</v>
      </c>
      <c r="C275" s="4">
        <v>1801</v>
      </c>
      <c r="D275" s="4">
        <v>0</v>
      </c>
      <c r="E275" s="4">
        <v>0</v>
      </c>
      <c r="F275" s="4">
        <v>1</v>
      </c>
      <c r="G275" s="4">
        <v>1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51">
        <f>IFERROR(_xlfn.XLOOKUP(_xlfn.TEXTJOIN(,,D274:O274),Aux!$B$3:$B$4098,'Truth Table'!$N$3:$N$4098),P274)</f>
        <v>-4</v>
      </c>
      <c r="Q275" s="4" t="b" cm="1">
        <f t="array" ref="Q275:U275">IFERROR(_xlfn.XLOOKUP(_xlfn.TEXTJOIN(,,D275:O275),Aux!$B$3:$B$4098,'Truth Table'!$O$3:$S$4098)=1,FALSE)</f>
        <v>1</v>
      </c>
      <c r="R275" s="4" t="b">
        <v>0</v>
      </c>
      <c r="S275" s="4" t="b">
        <v>0</v>
      </c>
      <c r="T275" s="4" t="b">
        <v>0</v>
      </c>
      <c r="U275" s="4" t="b">
        <v>0</v>
      </c>
      <c r="V275" s="4" t="b">
        <f>AND(_xlfn.XLOOKUP(_xlfn.TEXTJOIN(,,D275:O275),Aux!$B$3:$B$4098,'Truth Table'!$T$3:$T$4098)=1,P274&lt;='Line Follower'!$C$7)</f>
        <v>0</v>
      </c>
      <c r="W275" s="4" t="b">
        <f>AND(_xlfn.XLOOKUP(_xlfn.TEXTJOIN(,,D275:O275),Aux!$B$3:$B$4098,'Truth Table'!$U$3:$U$4098)=1,P274&gt;='Line Follower'!$C$6)</f>
        <v>0</v>
      </c>
      <c r="X275" s="4" t="b">
        <f>IFERROR(AND(_xlfn.XLOOKUP(_xlfn.TEXTJOIN(,,D275:O275),Aux!$B$3:$B$4098,'Truth Table'!$V$3:$V$4098)=1,ABS(P274)&lt;='Line Follower'!$C$6),FALSE)</f>
        <v>0</v>
      </c>
      <c r="Y275" s="4" t="b">
        <f t="shared" si="4"/>
        <v>1</v>
      </c>
    </row>
    <row r="276" spans="2:25" x14ac:dyDescent="0.25">
      <c r="B276" s="4">
        <v>273</v>
      </c>
      <c r="C276" s="4">
        <v>1810</v>
      </c>
      <c r="D276" s="4">
        <v>0</v>
      </c>
      <c r="E276" s="4">
        <v>0</v>
      </c>
      <c r="F276" s="4">
        <v>1</v>
      </c>
      <c r="G276" s="4">
        <v>1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51">
        <f>IFERROR(_xlfn.XLOOKUP(_xlfn.TEXTJOIN(,,D275:O275),Aux!$B$3:$B$4098,'Truth Table'!$N$3:$N$4098),P275)</f>
        <v>-4</v>
      </c>
      <c r="Q276" s="4" t="b" cm="1">
        <f t="array" ref="Q276:U276">IFERROR(_xlfn.XLOOKUP(_xlfn.TEXTJOIN(,,D276:O276),Aux!$B$3:$B$4098,'Truth Table'!$O$3:$S$4098)=1,FALSE)</f>
        <v>1</v>
      </c>
      <c r="R276" s="4" t="b">
        <v>0</v>
      </c>
      <c r="S276" s="4" t="b">
        <v>0</v>
      </c>
      <c r="T276" s="4" t="b">
        <v>0</v>
      </c>
      <c r="U276" s="4" t="b">
        <v>0</v>
      </c>
      <c r="V276" s="4" t="b">
        <f>AND(_xlfn.XLOOKUP(_xlfn.TEXTJOIN(,,D276:O276),Aux!$B$3:$B$4098,'Truth Table'!$T$3:$T$4098)=1,P275&lt;='Line Follower'!$C$7)</f>
        <v>0</v>
      </c>
      <c r="W276" s="4" t="b">
        <f>AND(_xlfn.XLOOKUP(_xlfn.TEXTJOIN(,,D276:O276),Aux!$B$3:$B$4098,'Truth Table'!$U$3:$U$4098)=1,P275&gt;='Line Follower'!$C$6)</f>
        <v>0</v>
      </c>
      <c r="X276" s="4" t="b">
        <f>IFERROR(AND(_xlfn.XLOOKUP(_xlfn.TEXTJOIN(,,D276:O276),Aux!$B$3:$B$4098,'Truth Table'!$V$3:$V$4098)=1,ABS(P275)&lt;='Line Follower'!$C$6),FALSE)</f>
        <v>0</v>
      </c>
      <c r="Y276" s="4" t="b">
        <f t="shared" si="4"/>
        <v>1</v>
      </c>
    </row>
    <row r="277" spans="2:25" x14ac:dyDescent="0.25">
      <c r="B277" s="4">
        <v>274</v>
      </c>
      <c r="C277" s="4">
        <v>1859</v>
      </c>
      <c r="D277" s="4">
        <v>0</v>
      </c>
      <c r="E277" s="4">
        <v>0</v>
      </c>
      <c r="F277" s="4">
        <v>1</v>
      </c>
      <c r="G277" s="4">
        <v>1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51">
        <f>IFERROR(_xlfn.XLOOKUP(_xlfn.TEXTJOIN(,,D276:O276),Aux!$B$3:$B$4098,'Truth Table'!$N$3:$N$4098),P276)</f>
        <v>-4</v>
      </c>
      <c r="Q277" s="4" t="b" cm="1">
        <f t="array" ref="Q277:U277">IFERROR(_xlfn.XLOOKUP(_xlfn.TEXTJOIN(,,D277:O277),Aux!$B$3:$B$4098,'Truth Table'!$O$3:$S$4098)=1,FALSE)</f>
        <v>1</v>
      </c>
      <c r="R277" s="4" t="b">
        <v>0</v>
      </c>
      <c r="S277" s="4" t="b">
        <v>0</v>
      </c>
      <c r="T277" s="4" t="b">
        <v>0</v>
      </c>
      <c r="U277" s="4" t="b">
        <v>0</v>
      </c>
      <c r="V277" s="4" t="b">
        <f>AND(_xlfn.XLOOKUP(_xlfn.TEXTJOIN(,,D277:O277),Aux!$B$3:$B$4098,'Truth Table'!$T$3:$T$4098)=1,P276&lt;='Line Follower'!$C$7)</f>
        <v>0</v>
      </c>
      <c r="W277" s="4" t="b">
        <f>AND(_xlfn.XLOOKUP(_xlfn.TEXTJOIN(,,D277:O277),Aux!$B$3:$B$4098,'Truth Table'!$U$3:$U$4098)=1,P276&gt;='Line Follower'!$C$6)</f>
        <v>0</v>
      </c>
      <c r="X277" s="4" t="b">
        <f>IFERROR(AND(_xlfn.XLOOKUP(_xlfn.TEXTJOIN(,,D277:O277),Aux!$B$3:$B$4098,'Truth Table'!$V$3:$V$4098)=1,ABS(P276)&lt;='Line Follower'!$C$6),FALSE)</f>
        <v>0</v>
      </c>
      <c r="Y277" s="4" t="b">
        <f t="shared" si="4"/>
        <v>1</v>
      </c>
    </row>
    <row r="278" spans="2:25" x14ac:dyDescent="0.25">
      <c r="B278" s="4">
        <v>275</v>
      </c>
      <c r="C278" s="4">
        <v>1860</v>
      </c>
      <c r="D278" s="4">
        <v>0</v>
      </c>
      <c r="E278" s="4">
        <v>0</v>
      </c>
      <c r="F278" s="4">
        <v>1</v>
      </c>
      <c r="G278" s="4">
        <v>1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51">
        <f>IFERROR(_xlfn.XLOOKUP(_xlfn.TEXTJOIN(,,D277:O277),Aux!$B$3:$B$4098,'Truth Table'!$N$3:$N$4098),P277)</f>
        <v>-4</v>
      </c>
      <c r="Q278" s="4" t="b" cm="1">
        <f t="array" ref="Q278:U278">IFERROR(_xlfn.XLOOKUP(_xlfn.TEXTJOIN(,,D278:O278),Aux!$B$3:$B$4098,'Truth Table'!$O$3:$S$4098)=1,FALSE)</f>
        <v>1</v>
      </c>
      <c r="R278" s="4" t="b">
        <v>0</v>
      </c>
      <c r="S278" s="4" t="b">
        <v>0</v>
      </c>
      <c r="T278" s="4" t="b">
        <v>0</v>
      </c>
      <c r="U278" s="4" t="b">
        <v>0</v>
      </c>
      <c r="V278" s="4" t="b">
        <f>AND(_xlfn.XLOOKUP(_xlfn.TEXTJOIN(,,D278:O278),Aux!$B$3:$B$4098,'Truth Table'!$T$3:$T$4098)=1,P277&lt;='Line Follower'!$C$7)</f>
        <v>0</v>
      </c>
      <c r="W278" s="4" t="b">
        <f>AND(_xlfn.XLOOKUP(_xlfn.TEXTJOIN(,,D278:O278),Aux!$B$3:$B$4098,'Truth Table'!$U$3:$U$4098)=1,P277&gt;='Line Follower'!$C$6)</f>
        <v>0</v>
      </c>
      <c r="X278" s="4" t="b">
        <f>IFERROR(AND(_xlfn.XLOOKUP(_xlfn.TEXTJOIN(,,D278:O278),Aux!$B$3:$B$4098,'Truth Table'!$V$3:$V$4098)=1,ABS(P277)&lt;='Line Follower'!$C$6),FALSE)</f>
        <v>0</v>
      </c>
      <c r="Y278" s="4" t="b">
        <f t="shared" si="4"/>
        <v>1</v>
      </c>
    </row>
    <row r="279" spans="2:25" x14ac:dyDescent="0.25">
      <c r="B279" s="4">
        <v>276</v>
      </c>
      <c r="C279" s="4">
        <v>1862</v>
      </c>
      <c r="D279" s="4">
        <v>0</v>
      </c>
      <c r="E279" s="4">
        <v>0</v>
      </c>
      <c r="F279" s="4">
        <v>1</v>
      </c>
      <c r="G279" s="4">
        <v>1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51">
        <f>IFERROR(_xlfn.XLOOKUP(_xlfn.TEXTJOIN(,,D278:O278),Aux!$B$3:$B$4098,'Truth Table'!$N$3:$N$4098),P278)</f>
        <v>-4</v>
      </c>
      <c r="Q279" s="4" t="b" cm="1">
        <f t="array" ref="Q279:U279">IFERROR(_xlfn.XLOOKUP(_xlfn.TEXTJOIN(,,D279:O279),Aux!$B$3:$B$4098,'Truth Table'!$O$3:$S$4098)=1,FALSE)</f>
        <v>1</v>
      </c>
      <c r="R279" s="4" t="b">
        <v>0</v>
      </c>
      <c r="S279" s="4" t="b">
        <v>0</v>
      </c>
      <c r="T279" s="4" t="b">
        <v>0</v>
      </c>
      <c r="U279" s="4" t="b">
        <v>0</v>
      </c>
      <c r="V279" s="4" t="b">
        <f>AND(_xlfn.XLOOKUP(_xlfn.TEXTJOIN(,,D279:O279),Aux!$B$3:$B$4098,'Truth Table'!$T$3:$T$4098)=1,P278&lt;='Line Follower'!$C$7)</f>
        <v>0</v>
      </c>
      <c r="W279" s="4" t="b">
        <f>AND(_xlfn.XLOOKUP(_xlfn.TEXTJOIN(,,D279:O279),Aux!$B$3:$B$4098,'Truth Table'!$U$3:$U$4098)=1,P278&gt;='Line Follower'!$C$6)</f>
        <v>0</v>
      </c>
      <c r="X279" s="4" t="b">
        <f>IFERROR(AND(_xlfn.XLOOKUP(_xlfn.TEXTJOIN(,,D279:O279),Aux!$B$3:$B$4098,'Truth Table'!$V$3:$V$4098)=1,ABS(P278)&lt;='Line Follower'!$C$6),FALSE)</f>
        <v>0</v>
      </c>
      <c r="Y279" s="4" t="b">
        <f t="shared" si="4"/>
        <v>1</v>
      </c>
    </row>
    <row r="280" spans="2:25" x14ac:dyDescent="0.25">
      <c r="B280" s="4">
        <v>277</v>
      </c>
      <c r="C280" s="4">
        <v>1863</v>
      </c>
      <c r="D280" s="4">
        <v>0</v>
      </c>
      <c r="E280" s="4">
        <v>0</v>
      </c>
      <c r="F280" s="4">
        <v>1</v>
      </c>
      <c r="G280" s="4">
        <v>1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51">
        <f>IFERROR(_xlfn.XLOOKUP(_xlfn.TEXTJOIN(,,D279:O279),Aux!$B$3:$B$4098,'Truth Table'!$N$3:$N$4098),P279)</f>
        <v>-4</v>
      </c>
      <c r="Q280" s="4" t="b" cm="1">
        <f t="array" ref="Q280:U280">IFERROR(_xlfn.XLOOKUP(_xlfn.TEXTJOIN(,,D280:O280),Aux!$B$3:$B$4098,'Truth Table'!$O$3:$S$4098)=1,FALSE)</f>
        <v>1</v>
      </c>
      <c r="R280" s="4" t="b">
        <v>0</v>
      </c>
      <c r="S280" s="4" t="b">
        <v>0</v>
      </c>
      <c r="T280" s="4" t="b">
        <v>0</v>
      </c>
      <c r="U280" s="4" t="b">
        <v>0</v>
      </c>
      <c r="V280" s="4" t="b">
        <f>AND(_xlfn.XLOOKUP(_xlfn.TEXTJOIN(,,D280:O280),Aux!$B$3:$B$4098,'Truth Table'!$T$3:$T$4098)=1,P279&lt;='Line Follower'!$C$7)</f>
        <v>0</v>
      </c>
      <c r="W280" s="4" t="b">
        <f>AND(_xlfn.XLOOKUP(_xlfn.TEXTJOIN(,,D280:O280),Aux!$B$3:$B$4098,'Truth Table'!$U$3:$U$4098)=1,P279&gt;='Line Follower'!$C$6)</f>
        <v>0</v>
      </c>
      <c r="X280" s="4" t="b">
        <f>IFERROR(AND(_xlfn.XLOOKUP(_xlfn.TEXTJOIN(,,D280:O280),Aux!$B$3:$B$4098,'Truth Table'!$V$3:$V$4098)=1,ABS(P279)&lt;='Line Follower'!$C$6),FALSE)</f>
        <v>0</v>
      </c>
      <c r="Y280" s="4" t="b">
        <f t="shared" si="4"/>
        <v>1</v>
      </c>
    </row>
    <row r="281" spans="2:25" x14ac:dyDescent="0.25">
      <c r="B281" s="4">
        <v>278</v>
      </c>
      <c r="C281" s="4">
        <v>1864</v>
      </c>
      <c r="D281" s="4">
        <v>0</v>
      </c>
      <c r="E281" s="4">
        <v>0</v>
      </c>
      <c r="F281" s="4">
        <v>1</v>
      </c>
      <c r="G281" s="4">
        <v>1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>
        <v>0</v>
      </c>
      <c r="P281" s="51">
        <f>IFERROR(_xlfn.XLOOKUP(_xlfn.TEXTJOIN(,,D280:O280),Aux!$B$3:$B$4098,'Truth Table'!$N$3:$N$4098),P280)</f>
        <v>-4</v>
      </c>
      <c r="Q281" s="4" t="b" cm="1">
        <f t="array" ref="Q281:U281">IFERROR(_xlfn.XLOOKUP(_xlfn.TEXTJOIN(,,D281:O281),Aux!$B$3:$B$4098,'Truth Table'!$O$3:$S$4098)=1,FALSE)</f>
        <v>1</v>
      </c>
      <c r="R281" s="4" t="b">
        <v>0</v>
      </c>
      <c r="S281" s="4" t="b">
        <v>0</v>
      </c>
      <c r="T281" s="4" t="b">
        <v>0</v>
      </c>
      <c r="U281" s="4" t="b">
        <v>0</v>
      </c>
      <c r="V281" s="4" t="b">
        <f>AND(_xlfn.XLOOKUP(_xlfn.TEXTJOIN(,,D281:O281),Aux!$B$3:$B$4098,'Truth Table'!$T$3:$T$4098)=1,P280&lt;='Line Follower'!$C$7)</f>
        <v>0</v>
      </c>
      <c r="W281" s="4" t="b">
        <f>AND(_xlfn.XLOOKUP(_xlfn.TEXTJOIN(,,D281:O281),Aux!$B$3:$B$4098,'Truth Table'!$U$3:$U$4098)=1,P280&gt;='Line Follower'!$C$6)</f>
        <v>0</v>
      </c>
      <c r="X281" s="4" t="b">
        <f>IFERROR(AND(_xlfn.XLOOKUP(_xlfn.TEXTJOIN(,,D281:O281),Aux!$B$3:$B$4098,'Truth Table'!$V$3:$V$4098)=1,ABS(P280)&lt;='Line Follower'!$C$6),FALSE)</f>
        <v>0</v>
      </c>
      <c r="Y281" s="4" t="b">
        <f t="shared" si="4"/>
        <v>1</v>
      </c>
    </row>
    <row r="282" spans="2:25" x14ac:dyDescent="0.25">
      <c r="B282" s="4">
        <v>279</v>
      </c>
      <c r="C282" s="4">
        <v>1878</v>
      </c>
      <c r="D282" s="4">
        <v>0</v>
      </c>
      <c r="E282" s="4">
        <v>0</v>
      </c>
      <c r="F282" s="4">
        <v>1</v>
      </c>
      <c r="G282" s="4">
        <v>1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51">
        <f>IFERROR(_xlfn.XLOOKUP(_xlfn.TEXTJOIN(,,D281:O281),Aux!$B$3:$B$4098,'Truth Table'!$N$3:$N$4098),P281)</f>
        <v>-4</v>
      </c>
      <c r="Q282" s="4" t="b" cm="1">
        <f t="array" ref="Q282:U282">IFERROR(_xlfn.XLOOKUP(_xlfn.TEXTJOIN(,,D282:O282),Aux!$B$3:$B$4098,'Truth Table'!$O$3:$S$4098)=1,FALSE)</f>
        <v>1</v>
      </c>
      <c r="R282" s="4" t="b">
        <v>0</v>
      </c>
      <c r="S282" s="4" t="b">
        <v>0</v>
      </c>
      <c r="T282" s="4" t="b">
        <v>0</v>
      </c>
      <c r="U282" s="4" t="b">
        <v>0</v>
      </c>
      <c r="V282" s="4" t="b">
        <f>AND(_xlfn.XLOOKUP(_xlfn.TEXTJOIN(,,D282:O282),Aux!$B$3:$B$4098,'Truth Table'!$T$3:$T$4098)=1,P281&lt;='Line Follower'!$C$7)</f>
        <v>0</v>
      </c>
      <c r="W282" s="4" t="b">
        <f>AND(_xlfn.XLOOKUP(_xlfn.TEXTJOIN(,,D282:O282),Aux!$B$3:$B$4098,'Truth Table'!$U$3:$U$4098)=1,P281&gt;='Line Follower'!$C$6)</f>
        <v>0</v>
      </c>
      <c r="X282" s="4" t="b">
        <f>IFERROR(AND(_xlfn.XLOOKUP(_xlfn.TEXTJOIN(,,D282:O282),Aux!$B$3:$B$4098,'Truth Table'!$V$3:$V$4098)=1,ABS(P281)&lt;='Line Follower'!$C$6),FALSE)</f>
        <v>0</v>
      </c>
      <c r="Y282" s="4" t="b">
        <f t="shared" si="4"/>
        <v>1</v>
      </c>
    </row>
    <row r="283" spans="2:25" x14ac:dyDescent="0.25">
      <c r="B283" s="4">
        <v>280</v>
      </c>
      <c r="C283" s="4">
        <v>1879</v>
      </c>
      <c r="D283" s="4">
        <v>0</v>
      </c>
      <c r="E283" s="4">
        <v>0</v>
      </c>
      <c r="F283" s="4">
        <v>1</v>
      </c>
      <c r="G283" s="4">
        <v>1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51">
        <f>IFERROR(_xlfn.XLOOKUP(_xlfn.TEXTJOIN(,,D282:O282),Aux!$B$3:$B$4098,'Truth Table'!$N$3:$N$4098),P282)</f>
        <v>-4</v>
      </c>
      <c r="Q283" s="4" t="b" cm="1">
        <f t="array" ref="Q283:U283">IFERROR(_xlfn.XLOOKUP(_xlfn.TEXTJOIN(,,D283:O283),Aux!$B$3:$B$4098,'Truth Table'!$O$3:$S$4098)=1,FALSE)</f>
        <v>1</v>
      </c>
      <c r="R283" s="4" t="b">
        <v>0</v>
      </c>
      <c r="S283" s="4" t="b">
        <v>0</v>
      </c>
      <c r="T283" s="4" t="b">
        <v>0</v>
      </c>
      <c r="U283" s="4" t="b">
        <v>0</v>
      </c>
      <c r="V283" s="4" t="b">
        <f>AND(_xlfn.XLOOKUP(_xlfn.TEXTJOIN(,,D283:O283),Aux!$B$3:$B$4098,'Truth Table'!$T$3:$T$4098)=1,P282&lt;='Line Follower'!$C$7)</f>
        <v>0</v>
      </c>
      <c r="W283" s="4" t="b">
        <f>AND(_xlfn.XLOOKUP(_xlfn.TEXTJOIN(,,D283:O283),Aux!$B$3:$B$4098,'Truth Table'!$U$3:$U$4098)=1,P282&gt;='Line Follower'!$C$6)</f>
        <v>0</v>
      </c>
      <c r="X283" s="4" t="b">
        <f>IFERROR(AND(_xlfn.XLOOKUP(_xlfn.TEXTJOIN(,,D283:O283),Aux!$B$3:$B$4098,'Truth Table'!$V$3:$V$4098)=1,ABS(P282)&lt;='Line Follower'!$C$6),FALSE)</f>
        <v>0</v>
      </c>
      <c r="Y283" s="4" t="b">
        <f t="shared" si="4"/>
        <v>1</v>
      </c>
    </row>
    <row r="284" spans="2:25" x14ac:dyDescent="0.25">
      <c r="B284" s="4">
        <v>281</v>
      </c>
      <c r="C284" s="4">
        <v>1894</v>
      </c>
      <c r="D284" s="4">
        <v>0</v>
      </c>
      <c r="E284" s="4">
        <v>0</v>
      </c>
      <c r="F284" s="4">
        <v>1</v>
      </c>
      <c r="G284" s="4">
        <v>1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51">
        <f>IFERROR(_xlfn.XLOOKUP(_xlfn.TEXTJOIN(,,D283:O283),Aux!$B$3:$B$4098,'Truth Table'!$N$3:$N$4098),P283)</f>
        <v>-4</v>
      </c>
      <c r="Q284" s="4" t="b" cm="1">
        <f t="array" ref="Q284:U284">IFERROR(_xlfn.XLOOKUP(_xlfn.TEXTJOIN(,,D284:O284),Aux!$B$3:$B$4098,'Truth Table'!$O$3:$S$4098)=1,FALSE)</f>
        <v>1</v>
      </c>
      <c r="R284" s="4" t="b">
        <v>0</v>
      </c>
      <c r="S284" s="4" t="b">
        <v>0</v>
      </c>
      <c r="T284" s="4" t="b">
        <v>0</v>
      </c>
      <c r="U284" s="4" t="b">
        <v>0</v>
      </c>
      <c r="V284" s="4" t="b">
        <f>AND(_xlfn.XLOOKUP(_xlfn.TEXTJOIN(,,D284:O284),Aux!$B$3:$B$4098,'Truth Table'!$T$3:$T$4098)=1,P283&lt;='Line Follower'!$C$7)</f>
        <v>0</v>
      </c>
      <c r="W284" s="4" t="b">
        <f>AND(_xlfn.XLOOKUP(_xlfn.TEXTJOIN(,,D284:O284),Aux!$B$3:$B$4098,'Truth Table'!$U$3:$U$4098)=1,P283&gt;='Line Follower'!$C$6)</f>
        <v>0</v>
      </c>
      <c r="X284" s="4" t="b">
        <f>IFERROR(AND(_xlfn.XLOOKUP(_xlfn.TEXTJOIN(,,D284:O284),Aux!$B$3:$B$4098,'Truth Table'!$V$3:$V$4098)=1,ABS(P283)&lt;='Line Follower'!$C$6),FALSE)</f>
        <v>0</v>
      </c>
      <c r="Y284" s="4" t="b">
        <f t="shared" si="4"/>
        <v>1</v>
      </c>
    </row>
    <row r="285" spans="2:25" x14ac:dyDescent="0.25">
      <c r="B285" s="4">
        <v>282</v>
      </c>
      <c r="C285" s="4">
        <v>1908</v>
      </c>
      <c r="D285" s="4">
        <v>0</v>
      </c>
      <c r="E285" s="4">
        <v>0</v>
      </c>
      <c r="F285" s="4">
        <v>1</v>
      </c>
      <c r="G285" s="4">
        <v>1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51">
        <f>IFERROR(_xlfn.XLOOKUP(_xlfn.TEXTJOIN(,,D284:O284),Aux!$B$3:$B$4098,'Truth Table'!$N$3:$N$4098),P284)</f>
        <v>-4</v>
      </c>
      <c r="Q285" s="4" t="b" cm="1">
        <f t="array" ref="Q285:U285">IFERROR(_xlfn.XLOOKUP(_xlfn.TEXTJOIN(,,D285:O285),Aux!$B$3:$B$4098,'Truth Table'!$O$3:$S$4098)=1,FALSE)</f>
        <v>1</v>
      </c>
      <c r="R285" s="4" t="b">
        <v>0</v>
      </c>
      <c r="S285" s="4" t="b">
        <v>0</v>
      </c>
      <c r="T285" s="4" t="b">
        <v>0</v>
      </c>
      <c r="U285" s="4" t="b">
        <v>0</v>
      </c>
      <c r="V285" s="4" t="b">
        <f>AND(_xlfn.XLOOKUP(_xlfn.TEXTJOIN(,,D285:O285),Aux!$B$3:$B$4098,'Truth Table'!$T$3:$T$4098)=1,P284&lt;='Line Follower'!$C$7)</f>
        <v>0</v>
      </c>
      <c r="W285" s="4" t="b">
        <f>AND(_xlfn.XLOOKUP(_xlfn.TEXTJOIN(,,D285:O285),Aux!$B$3:$B$4098,'Truth Table'!$U$3:$U$4098)=1,P284&gt;='Line Follower'!$C$6)</f>
        <v>0</v>
      </c>
      <c r="X285" s="4" t="b">
        <f>IFERROR(AND(_xlfn.XLOOKUP(_xlfn.TEXTJOIN(,,D285:O285),Aux!$B$3:$B$4098,'Truth Table'!$V$3:$V$4098)=1,ABS(P284)&lt;='Line Follower'!$C$6),FALSE)</f>
        <v>0</v>
      </c>
      <c r="Y285" s="4" t="b">
        <f t="shared" si="4"/>
        <v>1</v>
      </c>
    </row>
    <row r="286" spans="2:25" x14ac:dyDescent="0.25">
      <c r="B286" s="4">
        <v>283</v>
      </c>
      <c r="C286" s="4">
        <v>1913</v>
      </c>
      <c r="D286" s="4">
        <v>0</v>
      </c>
      <c r="E286" s="4">
        <v>0</v>
      </c>
      <c r="F286" s="4">
        <v>1</v>
      </c>
      <c r="G286" s="4">
        <v>1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51">
        <f>IFERROR(_xlfn.XLOOKUP(_xlfn.TEXTJOIN(,,D285:O285),Aux!$B$3:$B$4098,'Truth Table'!$N$3:$N$4098),P285)</f>
        <v>-4</v>
      </c>
      <c r="Q286" s="4" t="b" cm="1">
        <f t="array" ref="Q286:U286">IFERROR(_xlfn.XLOOKUP(_xlfn.TEXTJOIN(,,D286:O286),Aux!$B$3:$B$4098,'Truth Table'!$O$3:$S$4098)=1,FALSE)</f>
        <v>1</v>
      </c>
      <c r="R286" s="4" t="b">
        <v>0</v>
      </c>
      <c r="S286" s="4" t="b">
        <v>0</v>
      </c>
      <c r="T286" s="4" t="b">
        <v>0</v>
      </c>
      <c r="U286" s="4" t="b">
        <v>0</v>
      </c>
      <c r="V286" s="4" t="b">
        <f>AND(_xlfn.XLOOKUP(_xlfn.TEXTJOIN(,,D286:O286),Aux!$B$3:$B$4098,'Truth Table'!$T$3:$T$4098)=1,P285&lt;='Line Follower'!$C$7)</f>
        <v>0</v>
      </c>
      <c r="W286" s="4" t="b">
        <f>AND(_xlfn.XLOOKUP(_xlfn.TEXTJOIN(,,D286:O286),Aux!$B$3:$B$4098,'Truth Table'!$U$3:$U$4098)=1,P285&gt;='Line Follower'!$C$6)</f>
        <v>0</v>
      </c>
      <c r="X286" s="4" t="b">
        <f>IFERROR(AND(_xlfn.XLOOKUP(_xlfn.TEXTJOIN(,,D286:O286),Aux!$B$3:$B$4098,'Truth Table'!$V$3:$V$4098)=1,ABS(P285)&lt;='Line Follower'!$C$6),FALSE)</f>
        <v>0</v>
      </c>
      <c r="Y286" s="4" t="b">
        <f t="shared" si="4"/>
        <v>1</v>
      </c>
    </row>
    <row r="287" spans="2:25" x14ac:dyDescent="0.25">
      <c r="B287" s="4">
        <v>284</v>
      </c>
      <c r="C287" s="4">
        <v>1924</v>
      </c>
      <c r="D287" s="4">
        <v>0</v>
      </c>
      <c r="E287" s="4">
        <v>0</v>
      </c>
      <c r="F287" s="4">
        <v>1</v>
      </c>
      <c r="G287" s="4">
        <v>1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51">
        <f>IFERROR(_xlfn.XLOOKUP(_xlfn.TEXTJOIN(,,D286:O286),Aux!$B$3:$B$4098,'Truth Table'!$N$3:$N$4098),P286)</f>
        <v>-4</v>
      </c>
      <c r="Q287" s="4" t="b" cm="1">
        <f t="array" ref="Q287:U287">IFERROR(_xlfn.XLOOKUP(_xlfn.TEXTJOIN(,,D287:O287),Aux!$B$3:$B$4098,'Truth Table'!$O$3:$S$4098)=1,FALSE)</f>
        <v>1</v>
      </c>
      <c r="R287" s="4" t="b">
        <v>0</v>
      </c>
      <c r="S287" s="4" t="b">
        <v>0</v>
      </c>
      <c r="T287" s="4" t="b">
        <v>0</v>
      </c>
      <c r="U287" s="4" t="b">
        <v>0</v>
      </c>
      <c r="V287" s="4" t="b">
        <f>AND(_xlfn.XLOOKUP(_xlfn.TEXTJOIN(,,D287:O287),Aux!$B$3:$B$4098,'Truth Table'!$T$3:$T$4098)=1,P286&lt;='Line Follower'!$C$7)</f>
        <v>0</v>
      </c>
      <c r="W287" s="4" t="b">
        <f>AND(_xlfn.XLOOKUP(_xlfn.TEXTJOIN(,,D287:O287),Aux!$B$3:$B$4098,'Truth Table'!$U$3:$U$4098)=1,P286&gt;='Line Follower'!$C$6)</f>
        <v>0</v>
      </c>
      <c r="X287" s="4" t="b">
        <f>IFERROR(AND(_xlfn.XLOOKUP(_xlfn.TEXTJOIN(,,D287:O287),Aux!$B$3:$B$4098,'Truth Table'!$V$3:$V$4098)=1,ABS(P286)&lt;='Line Follower'!$C$6),FALSE)</f>
        <v>0</v>
      </c>
      <c r="Y287" s="4" t="b">
        <f t="shared" si="4"/>
        <v>1</v>
      </c>
    </row>
    <row r="288" spans="2:25" x14ac:dyDescent="0.25">
      <c r="B288" s="4">
        <v>285</v>
      </c>
      <c r="C288" s="4">
        <v>1938</v>
      </c>
      <c r="D288" s="4">
        <v>0</v>
      </c>
      <c r="E288" s="4">
        <v>0</v>
      </c>
      <c r="F288" s="4">
        <v>1</v>
      </c>
      <c r="G288" s="4">
        <v>1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51">
        <f>IFERROR(_xlfn.XLOOKUP(_xlfn.TEXTJOIN(,,D287:O287),Aux!$B$3:$B$4098,'Truth Table'!$N$3:$N$4098),P287)</f>
        <v>-4</v>
      </c>
      <c r="Q288" s="4" t="b" cm="1">
        <f t="array" ref="Q288:U288">IFERROR(_xlfn.XLOOKUP(_xlfn.TEXTJOIN(,,D288:O288),Aux!$B$3:$B$4098,'Truth Table'!$O$3:$S$4098)=1,FALSE)</f>
        <v>1</v>
      </c>
      <c r="R288" s="4" t="b">
        <v>0</v>
      </c>
      <c r="S288" s="4" t="b">
        <v>0</v>
      </c>
      <c r="T288" s="4" t="b">
        <v>0</v>
      </c>
      <c r="U288" s="4" t="b">
        <v>0</v>
      </c>
      <c r="V288" s="4" t="b">
        <f>AND(_xlfn.XLOOKUP(_xlfn.TEXTJOIN(,,D288:O288),Aux!$B$3:$B$4098,'Truth Table'!$T$3:$T$4098)=1,P287&lt;='Line Follower'!$C$7)</f>
        <v>0</v>
      </c>
      <c r="W288" s="4" t="b">
        <f>AND(_xlfn.XLOOKUP(_xlfn.TEXTJOIN(,,D288:O288),Aux!$B$3:$B$4098,'Truth Table'!$U$3:$U$4098)=1,P287&gt;='Line Follower'!$C$6)</f>
        <v>0</v>
      </c>
      <c r="X288" s="4" t="b">
        <f>IFERROR(AND(_xlfn.XLOOKUP(_xlfn.TEXTJOIN(,,D288:O288),Aux!$B$3:$B$4098,'Truth Table'!$V$3:$V$4098)=1,ABS(P287)&lt;='Line Follower'!$C$6),FALSE)</f>
        <v>0</v>
      </c>
      <c r="Y288" s="4" t="b">
        <f t="shared" si="4"/>
        <v>1</v>
      </c>
    </row>
    <row r="289" spans="2:25" x14ac:dyDescent="0.25">
      <c r="B289" s="4">
        <v>286</v>
      </c>
      <c r="C289" s="4">
        <v>1943</v>
      </c>
      <c r="D289" s="4">
        <v>0</v>
      </c>
      <c r="E289" s="4">
        <v>0</v>
      </c>
      <c r="F289" s="4">
        <v>1</v>
      </c>
      <c r="G289" s="4">
        <v>1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51">
        <f>IFERROR(_xlfn.XLOOKUP(_xlfn.TEXTJOIN(,,D288:O288),Aux!$B$3:$B$4098,'Truth Table'!$N$3:$N$4098),P288)</f>
        <v>-4</v>
      </c>
      <c r="Q289" s="4" t="b" cm="1">
        <f t="array" ref="Q289:U289">IFERROR(_xlfn.XLOOKUP(_xlfn.TEXTJOIN(,,D289:O289),Aux!$B$3:$B$4098,'Truth Table'!$O$3:$S$4098)=1,FALSE)</f>
        <v>1</v>
      </c>
      <c r="R289" s="4" t="b">
        <v>0</v>
      </c>
      <c r="S289" s="4" t="b">
        <v>0</v>
      </c>
      <c r="T289" s="4" t="b">
        <v>0</v>
      </c>
      <c r="U289" s="4" t="b">
        <v>0</v>
      </c>
      <c r="V289" s="4" t="b">
        <f>AND(_xlfn.XLOOKUP(_xlfn.TEXTJOIN(,,D289:O289),Aux!$B$3:$B$4098,'Truth Table'!$T$3:$T$4098)=1,P288&lt;='Line Follower'!$C$7)</f>
        <v>0</v>
      </c>
      <c r="W289" s="4" t="b">
        <f>AND(_xlfn.XLOOKUP(_xlfn.TEXTJOIN(,,D289:O289),Aux!$B$3:$B$4098,'Truth Table'!$U$3:$U$4098)=1,P288&gt;='Line Follower'!$C$6)</f>
        <v>0</v>
      </c>
      <c r="X289" s="4" t="b">
        <f>IFERROR(AND(_xlfn.XLOOKUP(_xlfn.TEXTJOIN(,,D289:O289),Aux!$B$3:$B$4098,'Truth Table'!$V$3:$V$4098)=1,ABS(P288)&lt;='Line Follower'!$C$6),FALSE)</f>
        <v>0</v>
      </c>
      <c r="Y289" s="4" t="b">
        <f t="shared" si="4"/>
        <v>1</v>
      </c>
    </row>
    <row r="290" spans="2:25" x14ac:dyDescent="0.25">
      <c r="B290" s="4">
        <v>287</v>
      </c>
      <c r="C290" s="4">
        <v>1957</v>
      </c>
      <c r="D290" s="4">
        <v>0</v>
      </c>
      <c r="E290" s="4">
        <v>0</v>
      </c>
      <c r="F290" s="4">
        <v>1</v>
      </c>
      <c r="G290" s="4">
        <v>1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51">
        <f>IFERROR(_xlfn.XLOOKUP(_xlfn.TEXTJOIN(,,D289:O289),Aux!$B$3:$B$4098,'Truth Table'!$N$3:$N$4098),P289)</f>
        <v>-4</v>
      </c>
      <c r="Q290" s="4" t="b" cm="1">
        <f t="array" ref="Q290:U290">IFERROR(_xlfn.XLOOKUP(_xlfn.TEXTJOIN(,,D290:O290),Aux!$B$3:$B$4098,'Truth Table'!$O$3:$S$4098)=1,FALSE)</f>
        <v>1</v>
      </c>
      <c r="R290" s="4" t="b">
        <v>0</v>
      </c>
      <c r="S290" s="4" t="b">
        <v>0</v>
      </c>
      <c r="T290" s="4" t="b">
        <v>0</v>
      </c>
      <c r="U290" s="4" t="b">
        <v>0</v>
      </c>
      <c r="V290" s="4" t="b">
        <f>AND(_xlfn.XLOOKUP(_xlfn.TEXTJOIN(,,D290:O290),Aux!$B$3:$B$4098,'Truth Table'!$T$3:$T$4098)=1,P289&lt;='Line Follower'!$C$7)</f>
        <v>0</v>
      </c>
      <c r="W290" s="4" t="b">
        <f>AND(_xlfn.XLOOKUP(_xlfn.TEXTJOIN(,,D290:O290),Aux!$B$3:$B$4098,'Truth Table'!$U$3:$U$4098)=1,P289&gt;='Line Follower'!$C$6)</f>
        <v>0</v>
      </c>
      <c r="X290" s="4" t="b">
        <f>IFERROR(AND(_xlfn.XLOOKUP(_xlfn.TEXTJOIN(,,D290:O290),Aux!$B$3:$B$4098,'Truth Table'!$V$3:$V$4098)=1,ABS(P289)&lt;='Line Follower'!$C$6),FALSE)</f>
        <v>0</v>
      </c>
      <c r="Y290" s="4" t="b">
        <f t="shared" si="4"/>
        <v>1</v>
      </c>
    </row>
    <row r="291" spans="2:25" x14ac:dyDescent="0.25">
      <c r="B291" s="4">
        <v>288</v>
      </c>
      <c r="C291" s="4">
        <v>1968</v>
      </c>
      <c r="D291" s="4">
        <v>0</v>
      </c>
      <c r="E291" s="4">
        <v>0</v>
      </c>
      <c r="F291" s="4">
        <v>1</v>
      </c>
      <c r="G291" s="4">
        <v>1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  <c r="O291" s="4">
        <v>0</v>
      </c>
      <c r="P291" s="51">
        <f>IFERROR(_xlfn.XLOOKUP(_xlfn.TEXTJOIN(,,D290:O290),Aux!$B$3:$B$4098,'Truth Table'!$N$3:$N$4098),P290)</f>
        <v>-4</v>
      </c>
      <c r="Q291" s="4" t="b" cm="1">
        <f t="array" ref="Q291:U291">IFERROR(_xlfn.XLOOKUP(_xlfn.TEXTJOIN(,,D291:O291),Aux!$B$3:$B$4098,'Truth Table'!$O$3:$S$4098)=1,FALSE)</f>
        <v>1</v>
      </c>
      <c r="R291" s="4" t="b">
        <v>0</v>
      </c>
      <c r="S291" s="4" t="b">
        <v>0</v>
      </c>
      <c r="T291" s="4" t="b">
        <v>0</v>
      </c>
      <c r="U291" s="4" t="b">
        <v>0</v>
      </c>
      <c r="V291" s="4" t="b">
        <f>AND(_xlfn.XLOOKUP(_xlfn.TEXTJOIN(,,D291:O291),Aux!$B$3:$B$4098,'Truth Table'!$T$3:$T$4098)=1,P290&lt;='Line Follower'!$C$7)</f>
        <v>0</v>
      </c>
      <c r="W291" s="4" t="b">
        <f>AND(_xlfn.XLOOKUP(_xlfn.TEXTJOIN(,,D291:O291),Aux!$B$3:$B$4098,'Truth Table'!$U$3:$U$4098)=1,P290&gt;='Line Follower'!$C$6)</f>
        <v>0</v>
      </c>
      <c r="X291" s="4" t="b">
        <f>IFERROR(AND(_xlfn.XLOOKUP(_xlfn.TEXTJOIN(,,D291:O291),Aux!$B$3:$B$4098,'Truth Table'!$V$3:$V$4098)=1,ABS(P290)&lt;='Line Follower'!$C$6),FALSE)</f>
        <v>0</v>
      </c>
      <c r="Y291" s="4" t="b">
        <f t="shared" si="4"/>
        <v>1</v>
      </c>
    </row>
    <row r="292" spans="2:25" x14ac:dyDescent="0.25">
      <c r="B292" s="4">
        <v>289</v>
      </c>
      <c r="C292" s="4">
        <v>1968</v>
      </c>
      <c r="D292" s="4">
        <v>0</v>
      </c>
      <c r="E292" s="4">
        <v>0</v>
      </c>
      <c r="F292" s="4">
        <v>1</v>
      </c>
      <c r="G292" s="4">
        <v>1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51">
        <f>IFERROR(_xlfn.XLOOKUP(_xlfn.TEXTJOIN(,,D291:O291),Aux!$B$3:$B$4098,'Truth Table'!$N$3:$N$4098),P291)</f>
        <v>-4</v>
      </c>
      <c r="Q292" s="4" t="b" cm="1">
        <f t="array" ref="Q292:U292">IFERROR(_xlfn.XLOOKUP(_xlfn.TEXTJOIN(,,D292:O292),Aux!$B$3:$B$4098,'Truth Table'!$O$3:$S$4098)=1,FALSE)</f>
        <v>1</v>
      </c>
      <c r="R292" s="4" t="b">
        <v>0</v>
      </c>
      <c r="S292" s="4" t="b">
        <v>0</v>
      </c>
      <c r="T292" s="4" t="b">
        <v>0</v>
      </c>
      <c r="U292" s="4" t="b">
        <v>0</v>
      </c>
      <c r="V292" s="4" t="b">
        <f>AND(_xlfn.XLOOKUP(_xlfn.TEXTJOIN(,,D292:O292),Aux!$B$3:$B$4098,'Truth Table'!$T$3:$T$4098)=1,P291&lt;='Line Follower'!$C$7)</f>
        <v>0</v>
      </c>
      <c r="W292" s="4" t="b">
        <f>AND(_xlfn.XLOOKUP(_xlfn.TEXTJOIN(,,D292:O292),Aux!$B$3:$B$4098,'Truth Table'!$U$3:$U$4098)=1,P291&gt;='Line Follower'!$C$6)</f>
        <v>0</v>
      </c>
      <c r="X292" s="4" t="b">
        <f>IFERROR(AND(_xlfn.XLOOKUP(_xlfn.TEXTJOIN(,,D292:O292),Aux!$B$3:$B$4098,'Truth Table'!$V$3:$V$4098)=1,ABS(P291)&lt;='Line Follower'!$C$6),FALSE)</f>
        <v>0</v>
      </c>
      <c r="Y292" s="4" t="b">
        <f t="shared" si="4"/>
        <v>1</v>
      </c>
    </row>
    <row r="293" spans="2:25" x14ac:dyDescent="0.25">
      <c r="B293" s="4">
        <v>290</v>
      </c>
      <c r="C293" s="4">
        <v>1977</v>
      </c>
      <c r="D293" s="4">
        <v>0</v>
      </c>
      <c r="E293" s="4">
        <v>0</v>
      </c>
      <c r="F293" s="4">
        <v>1</v>
      </c>
      <c r="G293" s="4">
        <v>1</v>
      </c>
      <c r="H293" s="4">
        <v>0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4">
        <v>0</v>
      </c>
      <c r="P293" s="51">
        <f>IFERROR(_xlfn.XLOOKUP(_xlfn.TEXTJOIN(,,D292:O292),Aux!$B$3:$B$4098,'Truth Table'!$N$3:$N$4098),P292)</f>
        <v>-4</v>
      </c>
      <c r="Q293" s="4" t="b" cm="1">
        <f t="array" ref="Q293:U293">IFERROR(_xlfn.XLOOKUP(_xlfn.TEXTJOIN(,,D293:O293),Aux!$B$3:$B$4098,'Truth Table'!$O$3:$S$4098)=1,FALSE)</f>
        <v>1</v>
      </c>
      <c r="R293" s="4" t="b">
        <v>0</v>
      </c>
      <c r="S293" s="4" t="b">
        <v>0</v>
      </c>
      <c r="T293" s="4" t="b">
        <v>0</v>
      </c>
      <c r="U293" s="4" t="b">
        <v>0</v>
      </c>
      <c r="V293" s="4" t="b">
        <f>AND(_xlfn.XLOOKUP(_xlfn.TEXTJOIN(,,D293:O293),Aux!$B$3:$B$4098,'Truth Table'!$T$3:$T$4098)=1,P292&lt;='Line Follower'!$C$7)</f>
        <v>0</v>
      </c>
      <c r="W293" s="4" t="b">
        <f>AND(_xlfn.XLOOKUP(_xlfn.TEXTJOIN(,,D293:O293),Aux!$B$3:$B$4098,'Truth Table'!$U$3:$U$4098)=1,P292&gt;='Line Follower'!$C$6)</f>
        <v>0</v>
      </c>
      <c r="X293" s="4" t="b">
        <f>IFERROR(AND(_xlfn.XLOOKUP(_xlfn.TEXTJOIN(,,D293:O293),Aux!$B$3:$B$4098,'Truth Table'!$V$3:$V$4098)=1,ABS(P292)&lt;='Line Follower'!$C$6),FALSE)</f>
        <v>0</v>
      </c>
      <c r="Y293" s="4" t="b">
        <f t="shared" si="4"/>
        <v>1</v>
      </c>
    </row>
    <row r="294" spans="2:25" x14ac:dyDescent="0.25">
      <c r="B294" s="4">
        <v>291</v>
      </c>
      <c r="C294" s="4">
        <v>1991</v>
      </c>
      <c r="D294" s="4">
        <v>0</v>
      </c>
      <c r="E294" s="4">
        <v>0</v>
      </c>
      <c r="F294" s="4">
        <v>1</v>
      </c>
      <c r="G294" s="4">
        <v>1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51">
        <f>IFERROR(_xlfn.XLOOKUP(_xlfn.TEXTJOIN(,,D293:O293),Aux!$B$3:$B$4098,'Truth Table'!$N$3:$N$4098),P293)</f>
        <v>-4</v>
      </c>
      <c r="Q294" s="4" t="b" cm="1">
        <f t="array" ref="Q294:U294">IFERROR(_xlfn.XLOOKUP(_xlfn.TEXTJOIN(,,D294:O294),Aux!$B$3:$B$4098,'Truth Table'!$O$3:$S$4098)=1,FALSE)</f>
        <v>1</v>
      </c>
      <c r="R294" s="4" t="b">
        <v>0</v>
      </c>
      <c r="S294" s="4" t="b">
        <v>0</v>
      </c>
      <c r="T294" s="4" t="b">
        <v>0</v>
      </c>
      <c r="U294" s="4" t="b">
        <v>0</v>
      </c>
      <c r="V294" s="4" t="b">
        <f>AND(_xlfn.XLOOKUP(_xlfn.TEXTJOIN(,,D294:O294),Aux!$B$3:$B$4098,'Truth Table'!$T$3:$T$4098)=1,P293&lt;='Line Follower'!$C$7)</f>
        <v>0</v>
      </c>
      <c r="W294" s="4" t="b">
        <f>AND(_xlfn.XLOOKUP(_xlfn.TEXTJOIN(,,D294:O294),Aux!$B$3:$B$4098,'Truth Table'!$U$3:$U$4098)=1,P293&gt;='Line Follower'!$C$6)</f>
        <v>0</v>
      </c>
      <c r="X294" s="4" t="b">
        <f>IFERROR(AND(_xlfn.XLOOKUP(_xlfn.TEXTJOIN(,,D294:O294),Aux!$B$3:$B$4098,'Truth Table'!$V$3:$V$4098)=1,ABS(P293)&lt;='Line Follower'!$C$6),FALSE)</f>
        <v>0</v>
      </c>
      <c r="Y294" s="4" t="b">
        <f t="shared" si="4"/>
        <v>1</v>
      </c>
    </row>
    <row r="295" spans="2:25" x14ac:dyDescent="0.25">
      <c r="B295" s="4">
        <v>292</v>
      </c>
      <c r="C295" s="4">
        <v>1996</v>
      </c>
      <c r="D295" s="4">
        <v>0</v>
      </c>
      <c r="E295" s="4">
        <v>0</v>
      </c>
      <c r="F295" s="4">
        <v>1</v>
      </c>
      <c r="G295" s="4">
        <v>1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0</v>
      </c>
      <c r="O295" s="4">
        <v>0</v>
      </c>
      <c r="P295" s="51">
        <f>IFERROR(_xlfn.XLOOKUP(_xlfn.TEXTJOIN(,,D294:O294),Aux!$B$3:$B$4098,'Truth Table'!$N$3:$N$4098),P294)</f>
        <v>-4</v>
      </c>
      <c r="Q295" s="4" t="b" cm="1">
        <f t="array" ref="Q295:U295">IFERROR(_xlfn.XLOOKUP(_xlfn.TEXTJOIN(,,D295:O295),Aux!$B$3:$B$4098,'Truth Table'!$O$3:$S$4098)=1,FALSE)</f>
        <v>1</v>
      </c>
      <c r="R295" s="4" t="b">
        <v>0</v>
      </c>
      <c r="S295" s="4" t="b">
        <v>0</v>
      </c>
      <c r="T295" s="4" t="b">
        <v>0</v>
      </c>
      <c r="U295" s="4" t="b">
        <v>0</v>
      </c>
      <c r="V295" s="4" t="b">
        <f>AND(_xlfn.XLOOKUP(_xlfn.TEXTJOIN(,,D295:O295),Aux!$B$3:$B$4098,'Truth Table'!$T$3:$T$4098)=1,P294&lt;='Line Follower'!$C$7)</f>
        <v>0</v>
      </c>
      <c r="W295" s="4" t="b">
        <f>AND(_xlfn.XLOOKUP(_xlfn.TEXTJOIN(,,D295:O295),Aux!$B$3:$B$4098,'Truth Table'!$U$3:$U$4098)=1,P294&gt;='Line Follower'!$C$6)</f>
        <v>0</v>
      </c>
      <c r="X295" s="4" t="b">
        <f>IFERROR(AND(_xlfn.XLOOKUP(_xlfn.TEXTJOIN(,,D295:O295),Aux!$B$3:$B$4098,'Truth Table'!$V$3:$V$4098)=1,ABS(P294)&lt;='Line Follower'!$C$6),FALSE)</f>
        <v>0</v>
      </c>
      <c r="Y295" s="4" t="b">
        <f t="shared" si="4"/>
        <v>1</v>
      </c>
    </row>
    <row r="296" spans="2:25" x14ac:dyDescent="0.25">
      <c r="B296" s="4">
        <v>293</v>
      </c>
      <c r="C296" s="4">
        <v>2012</v>
      </c>
      <c r="D296" s="4">
        <v>0</v>
      </c>
      <c r="E296" s="4">
        <v>0</v>
      </c>
      <c r="F296" s="4">
        <v>1</v>
      </c>
      <c r="G296" s="4">
        <v>1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51">
        <f>IFERROR(_xlfn.XLOOKUP(_xlfn.TEXTJOIN(,,D295:O295),Aux!$B$3:$B$4098,'Truth Table'!$N$3:$N$4098),P295)</f>
        <v>-4</v>
      </c>
      <c r="Q296" s="4" t="b" cm="1">
        <f t="array" ref="Q296:U296">IFERROR(_xlfn.XLOOKUP(_xlfn.TEXTJOIN(,,D296:O296),Aux!$B$3:$B$4098,'Truth Table'!$O$3:$S$4098)=1,FALSE)</f>
        <v>1</v>
      </c>
      <c r="R296" s="4" t="b">
        <v>0</v>
      </c>
      <c r="S296" s="4" t="b">
        <v>0</v>
      </c>
      <c r="T296" s="4" t="b">
        <v>0</v>
      </c>
      <c r="U296" s="4" t="b">
        <v>0</v>
      </c>
      <c r="V296" s="4" t="b">
        <f>AND(_xlfn.XLOOKUP(_xlfn.TEXTJOIN(,,D296:O296),Aux!$B$3:$B$4098,'Truth Table'!$T$3:$T$4098)=1,P295&lt;='Line Follower'!$C$7)</f>
        <v>0</v>
      </c>
      <c r="W296" s="4" t="b">
        <f>AND(_xlfn.XLOOKUP(_xlfn.TEXTJOIN(,,D296:O296),Aux!$B$3:$B$4098,'Truth Table'!$U$3:$U$4098)=1,P295&gt;='Line Follower'!$C$6)</f>
        <v>0</v>
      </c>
      <c r="X296" s="4" t="b">
        <f>IFERROR(AND(_xlfn.XLOOKUP(_xlfn.TEXTJOIN(,,D296:O296),Aux!$B$3:$B$4098,'Truth Table'!$V$3:$V$4098)=1,ABS(P295)&lt;='Line Follower'!$C$6),FALSE)</f>
        <v>0</v>
      </c>
      <c r="Y296" s="4" t="b">
        <f t="shared" si="4"/>
        <v>1</v>
      </c>
    </row>
    <row r="297" spans="2:25" x14ac:dyDescent="0.25">
      <c r="B297" s="4">
        <v>294</v>
      </c>
      <c r="C297" s="4">
        <v>2018</v>
      </c>
      <c r="D297" s="4">
        <v>0</v>
      </c>
      <c r="E297" s="4">
        <v>0</v>
      </c>
      <c r="F297" s="4">
        <v>1</v>
      </c>
      <c r="G297" s="4">
        <v>1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4">
        <v>0</v>
      </c>
      <c r="P297" s="51">
        <f>IFERROR(_xlfn.XLOOKUP(_xlfn.TEXTJOIN(,,D296:O296),Aux!$B$3:$B$4098,'Truth Table'!$N$3:$N$4098),P296)</f>
        <v>-4</v>
      </c>
      <c r="Q297" s="4" t="b" cm="1">
        <f t="array" ref="Q297:U297">IFERROR(_xlfn.XLOOKUP(_xlfn.TEXTJOIN(,,D297:O297),Aux!$B$3:$B$4098,'Truth Table'!$O$3:$S$4098)=1,FALSE)</f>
        <v>1</v>
      </c>
      <c r="R297" s="4" t="b">
        <v>0</v>
      </c>
      <c r="S297" s="4" t="b">
        <v>0</v>
      </c>
      <c r="T297" s="4" t="b">
        <v>0</v>
      </c>
      <c r="U297" s="4" t="b">
        <v>0</v>
      </c>
      <c r="V297" s="4" t="b">
        <f>AND(_xlfn.XLOOKUP(_xlfn.TEXTJOIN(,,D297:O297),Aux!$B$3:$B$4098,'Truth Table'!$T$3:$T$4098)=1,P296&lt;='Line Follower'!$C$7)</f>
        <v>0</v>
      </c>
      <c r="W297" s="4" t="b">
        <f>AND(_xlfn.XLOOKUP(_xlfn.TEXTJOIN(,,D297:O297),Aux!$B$3:$B$4098,'Truth Table'!$U$3:$U$4098)=1,P296&gt;='Line Follower'!$C$6)</f>
        <v>0</v>
      </c>
      <c r="X297" s="4" t="b">
        <f>IFERROR(AND(_xlfn.XLOOKUP(_xlfn.TEXTJOIN(,,D297:O297),Aux!$B$3:$B$4098,'Truth Table'!$V$3:$V$4098)=1,ABS(P296)&lt;='Line Follower'!$C$6),FALSE)</f>
        <v>0</v>
      </c>
      <c r="Y297" s="4" t="b">
        <f t="shared" si="4"/>
        <v>1</v>
      </c>
    </row>
    <row r="298" spans="2:25" x14ac:dyDescent="0.25">
      <c r="B298" s="4">
        <v>295</v>
      </c>
      <c r="C298" s="4">
        <v>2028</v>
      </c>
      <c r="D298" s="4">
        <v>0</v>
      </c>
      <c r="E298" s="4">
        <v>0</v>
      </c>
      <c r="F298" s="4">
        <v>1</v>
      </c>
      <c r="G298" s="4">
        <v>1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51">
        <f>IFERROR(_xlfn.XLOOKUP(_xlfn.TEXTJOIN(,,D297:O297),Aux!$B$3:$B$4098,'Truth Table'!$N$3:$N$4098),P297)</f>
        <v>-4</v>
      </c>
      <c r="Q298" s="4" t="b" cm="1">
        <f t="array" ref="Q298:U298">IFERROR(_xlfn.XLOOKUP(_xlfn.TEXTJOIN(,,D298:O298),Aux!$B$3:$B$4098,'Truth Table'!$O$3:$S$4098)=1,FALSE)</f>
        <v>1</v>
      </c>
      <c r="R298" s="4" t="b">
        <v>0</v>
      </c>
      <c r="S298" s="4" t="b">
        <v>0</v>
      </c>
      <c r="T298" s="4" t="b">
        <v>0</v>
      </c>
      <c r="U298" s="4" t="b">
        <v>0</v>
      </c>
      <c r="V298" s="4" t="b">
        <f>AND(_xlfn.XLOOKUP(_xlfn.TEXTJOIN(,,D298:O298),Aux!$B$3:$B$4098,'Truth Table'!$T$3:$T$4098)=1,P297&lt;='Line Follower'!$C$7)</f>
        <v>0</v>
      </c>
      <c r="W298" s="4" t="b">
        <f>AND(_xlfn.XLOOKUP(_xlfn.TEXTJOIN(,,D298:O298),Aux!$B$3:$B$4098,'Truth Table'!$U$3:$U$4098)=1,P297&gt;='Line Follower'!$C$6)</f>
        <v>0</v>
      </c>
      <c r="X298" s="4" t="b">
        <f>IFERROR(AND(_xlfn.XLOOKUP(_xlfn.TEXTJOIN(,,D298:O298),Aux!$B$3:$B$4098,'Truth Table'!$V$3:$V$4098)=1,ABS(P297)&lt;='Line Follower'!$C$6),FALSE)</f>
        <v>0</v>
      </c>
      <c r="Y298" s="4" t="b">
        <f t="shared" si="4"/>
        <v>1</v>
      </c>
    </row>
    <row r="299" spans="2:25" x14ac:dyDescent="0.25">
      <c r="B299" s="4">
        <v>296</v>
      </c>
      <c r="C299" s="4">
        <v>2037</v>
      </c>
      <c r="D299" s="4">
        <v>0</v>
      </c>
      <c r="E299" s="4">
        <v>0</v>
      </c>
      <c r="F299" s="4">
        <v>1</v>
      </c>
      <c r="G299" s="4">
        <v>1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  <c r="O299" s="4">
        <v>0</v>
      </c>
      <c r="P299" s="51">
        <f>IFERROR(_xlfn.XLOOKUP(_xlfn.TEXTJOIN(,,D298:O298),Aux!$B$3:$B$4098,'Truth Table'!$N$3:$N$4098),P298)</f>
        <v>-4</v>
      </c>
      <c r="Q299" s="4" t="b" cm="1">
        <f t="array" ref="Q299:U299">IFERROR(_xlfn.XLOOKUP(_xlfn.TEXTJOIN(,,D299:O299),Aux!$B$3:$B$4098,'Truth Table'!$O$3:$S$4098)=1,FALSE)</f>
        <v>1</v>
      </c>
      <c r="R299" s="4" t="b">
        <v>0</v>
      </c>
      <c r="S299" s="4" t="b">
        <v>0</v>
      </c>
      <c r="T299" s="4" t="b">
        <v>0</v>
      </c>
      <c r="U299" s="4" t="b">
        <v>0</v>
      </c>
      <c r="V299" s="4" t="b">
        <f>AND(_xlfn.XLOOKUP(_xlfn.TEXTJOIN(,,D299:O299),Aux!$B$3:$B$4098,'Truth Table'!$T$3:$T$4098)=1,P298&lt;='Line Follower'!$C$7)</f>
        <v>0</v>
      </c>
      <c r="W299" s="4" t="b">
        <f>AND(_xlfn.XLOOKUP(_xlfn.TEXTJOIN(,,D299:O299),Aux!$B$3:$B$4098,'Truth Table'!$U$3:$U$4098)=1,P298&gt;='Line Follower'!$C$6)</f>
        <v>0</v>
      </c>
      <c r="X299" s="4" t="b">
        <f>IFERROR(AND(_xlfn.XLOOKUP(_xlfn.TEXTJOIN(,,D299:O299),Aux!$B$3:$B$4098,'Truth Table'!$V$3:$V$4098)=1,ABS(P298)&lt;='Line Follower'!$C$6),FALSE)</f>
        <v>0</v>
      </c>
      <c r="Y299" s="4" t="b">
        <f t="shared" si="4"/>
        <v>1</v>
      </c>
    </row>
    <row r="300" spans="2:25" x14ac:dyDescent="0.25">
      <c r="B300" s="4">
        <v>297</v>
      </c>
      <c r="C300" s="4">
        <v>2053</v>
      </c>
      <c r="D300" s="4">
        <v>0</v>
      </c>
      <c r="E300" s="4">
        <v>0</v>
      </c>
      <c r="F300" s="4">
        <v>1</v>
      </c>
      <c r="G300" s="4">
        <v>1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51">
        <f>IFERROR(_xlfn.XLOOKUP(_xlfn.TEXTJOIN(,,D299:O299),Aux!$B$3:$B$4098,'Truth Table'!$N$3:$N$4098),P299)</f>
        <v>-4</v>
      </c>
      <c r="Q300" s="4" t="b" cm="1">
        <f t="array" ref="Q300:U300">IFERROR(_xlfn.XLOOKUP(_xlfn.TEXTJOIN(,,D300:O300),Aux!$B$3:$B$4098,'Truth Table'!$O$3:$S$4098)=1,FALSE)</f>
        <v>1</v>
      </c>
      <c r="R300" s="4" t="b">
        <v>0</v>
      </c>
      <c r="S300" s="4" t="b">
        <v>0</v>
      </c>
      <c r="T300" s="4" t="b">
        <v>0</v>
      </c>
      <c r="U300" s="4" t="b">
        <v>0</v>
      </c>
      <c r="V300" s="4" t="b">
        <f>AND(_xlfn.XLOOKUP(_xlfn.TEXTJOIN(,,D300:O300),Aux!$B$3:$B$4098,'Truth Table'!$T$3:$T$4098)=1,P299&lt;='Line Follower'!$C$7)</f>
        <v>0</v>
      </c>
      <c r="W300" s="4" t="b">
        <f>AND(_xlfn.XLOOKUP(_xlfn.TEXTJOIN(,,D300:O300),Aux!$B$3:$B$4098,'Truth Table'!$U$3:$U$4098)=1,P299&gt;='Line Follower'!$C$6)</f>
        <v>0</v>
      </c>
      <c r="X300" s="4" t="b">
        <f>IFERROR(AND(_xlfn.XLOOKUP(_xlfn.TEXTJOIN(,,D300:O300),Aux!$B$3:$B$4098,'Truth Table'!$V$3:$V$4098)=1,ABS(P299)&lt;='Line Follower'!$C$6),FALSE)</f>
        <v>0</v>
      </c>
      <c r="Y300" s="4" t="b">
        <f t="shared" si="4"/>
        <v>1</v>
      </c>
    </row>
    <row r="301" spans="2:25" x14ac:dyDescent="0.25">
      <c r="B301" s="4">
        <v>298</v>
      </c>
      <c r="C301" s="4">
        <v>2059</v>
      </c>
      <c r="D301" s="4">
        <v>0</v>
      </c>
      <c r="E301" s="4">
        <v>0</v>
      </c>
      <c r="F301" s="4">
        <v>1</v>
      </c>
      <c r="G301" s="4">
        <v>1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  <c r="O301" s="4">
        <v>0</v>
      </c>
      <c r="P301" s="51">
        <f>IFERROR(_xlfn.XLOOKUP(_xlfn.TEXTJOIN(,,D300:O300),Aux!$B$3:$B$4098,'Truth Table'!$N$3:$N$4098),P300)</f>
        <v>-4</v>
      </c>
      <c r="Q301" s="4" t="b" cm="1">
        <f t="array" ref="Q301:U301">IFERROR(_xlfn.XLOOKUP(_xlfn.TEXTJOIN(,,D301:O301),Aux!$B$3:$B$4098,'Truth Table'!$O$3:$S$4098)=1,FALSE)</f>
        <v>1</v>
      </c>
      <c r="R301" s="4" t="b">
        <v>0</v>
      </c>
      <c r="S301" s="4" t="b">
        <v>0</v>
      </c>
      <c r="T301" s="4" t="b">
        <v>0</v>
      </c>
      <c r="U301" s="4" t="b">
        <v>0</v>
      </c>
      <c r="V301" s="4" t="b">
        <f>AND(_xlfn.XLOOKUP(_xlfn.TEXTJOIN(,,D301:O301),Aux!$B$3:$B$4098,'Truth Table'!$T$3:$T$4098)=1,P300&lt;='Line Follower'!$C$7)</f>
        <v>0</v>
      </c>
      <c r="W301" s="4" t="b">
        <f>AND(_xlfn.XLOOKUP(_xlfn.TEXTJOIN(,,D301:O301),Aux!$B$3:$B$4098,'Truth Table'!$U$3:$U$4098)=1,P300&gt;='Line Follower'!$C$6)</f>
        <v>0</v>
      </c>
      <c r="X301" s="4" t="b">
        <f>IFERROR(AND(_xlfn.XLOOKUP(_xlfn.TEXTJOIN(,,D301:O301),Aux!$B$3:$B$4098,'Truth Table'!$V$3:$V$4098)=1,ABS(P300)&lt;='Line Follower'!$C$6),FALSE)</f>
        <v>0</v>
      </c>
      <c r="Y301" s="4" t="b">
        <f t="shared" si="4"/>
        <v>1</v>
      </c>
    </row>
    <row r="302" spans="2:25" x14ac:dyDescent="0.25">
      <c r="B302" s="4">
        <v>299</v>
      </c>
      <c r="C302" s="4">
        <v>2068</v>
      </c>
      <c r="D302" s="4">
        <v>0</v>
      </c>
      <c r="E302" s="4">
        <v>0</v>
      </c>
      <c r="F302" s="4">
        <v>1</v>
      </c>
      <c r="G302" s="4">
        <v>1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51">
        <f>IFERROR(_xlfn.XLOOKUP(_xlfn.TEXTJOIN(,,D301:O301),Aux!$B$3:$B$4098,'Truth Table'!$N$3:$N$4098),P301)</f>
        <v>-4</v>
      </c>
      <c r="Q302" s="4" t="b" cm="1">
        <f t="array" ref="Q302:U302">IFERROR(_xlfn.XLOOKUP(_xlfn.TEXTJOIN(,,D302:O302),Aux!$B$3:$B$4098,'Truth Table'!$O$3:$S$4098)=1,FALSE)</f>
        <v>1</v>
      </c>
      <c r="R302" s="4" t="b">
        <v>0</v>
      </c>
      <c r="S302" s="4" t="b">
        <v>0</v>
      </c>
      <c r="T302" s="4" t="b">
        <v>0</v>
      </c>
      <c r="U302" s="4" t="b">
        <v>0</v>
      </c>
      <c r="V302" s="4" t="b">
        <f>AND(_xlfn.XLOOKUP(_xlfn.TEXTJOIN(,,D302:O302),Aux!$B$3:$B$4098,'Truth Table'!$T$3:$T$4098)=1,P301&lt;='Line Follower'!$C$7)</f>
        <v>0</v>
      </c>
      <c r="W302" s="4" t="b">
        <f>AND(_xlfn.XLOOKUP(_xlfn.TEXTJOIN(,,D302:O302),Aux!$B$3:$B$4098,'Truth Table'!$U$3:$U$4098)=1,P301&gt;='Line Follower'!$C$6)</f>
        <v>0</v>
      </c>
      <c r="X302" s="4" t="b">
        <f>IFERROR(AND(_xlfn.XLOOKUP(_xlfn.TEXTJOIN(,,D302:O302),Aux!$B$3:$B$4098,'Truth Table'!$V$3:$V$4098)=1,ABS(P301)&lt;='Line Follower'!$C$6),FALSE)</f>
        <v>0</v>
      </c>
      <c r="Y302" s="4" t="b">
        <f t="shared" si="4"/>
        <v>1</v>
      </c>
    </row>
    <row r="303" spans="2:25" x14ac:dyDescent="0.25">
      <c r="B303" s="4">
        <v>300</v>
      </c>
      <c r="C303" s="4">
        <v>2082</v>
      </c>
      <c r="D303" s="4">
        <v>0</v>
      </c>
      <c r="E303" s="4">
        <v>0</v>
      </c>
      <c r="F303" s="4">
        <v>1</v>
      </c>
      <c r="G303" s="4">
        <v>1</v>
      </c>
      <c r="H303" s="4">
        <v>0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  <c r="O303" s="4">
        <v>0</v>
      </c>
      <c r="P303" s="51">
        <f>IFERROR(_xlfn.XLOOKUP(_xlfn.TEXTJOIN(,,D302:O302),Aux!$B$3:$B$4098,'Truth Table'!$N$3:$N$4098),P302)</f>
        <v>-4</v>
      </c>
      <c r="Q303" s="4" t="b" cm="1">
        <f t="array" ref="Q303:U303">IFERROR(_xlfn.XLOOKUP(_xlfn.TEXTJOIN(,,D303:O303),Aux!$B$3:$B$4098,'Truth Table'!$O$3:$S$4098)=1,FALSE)</f>
        <v>1</v>
      </c>
      <c r="R303" s="4" t="b">
        <v>0</v>
      </c>
      <c r="S303" s="4" t="b">
        <v>0</v>
      </c>
      <c r="T303" s="4" t="b">
        <v>0</v>
      </c>
      <c r="U303" s="4" t="b">
        <v>0</v>
      </c>
      <c r="V303" s="4" t="b">
        <f>AND(_xlfn.XLOOKUP(_xlfn.TEXTJOIN(,,D303:O303),Aux!$B$3:$B$4098,'Truth Table'!$T$3:$T$4098)=1,P302&lt;='Line Follower'!$C$7)</f>
        <v>0</v>
      </c>
      <c r="W303" s="4" t="b">
        <f>AND(_xlfn.XLOOKUP(_xlfn.TEXTJOIN(,,D303:O303),Aux!$B$3:$B$4098,'Truth Table'!$U$3:$U$4098)=1,P302&gt;='Line Follower'!$C$6)</f>
        <v>0</v>
      </c>
      <c r="X303" s="4" t="b">
        <f>IFERROR(AND(_xlfn.XLOOKUP(_xlfn.TEXTJOIN(,,D303:O303),Aux!$B$3:$B$4098,'Truth Table'!$V$3:$V$4098)=1,ABS(P302)&lt;='Line Follower'!$C$6),FALSE)</f>
        <v>0</v>
      </c>
      <c r="Y303" s="4" t="b">
        <f t="shared" si="4"/>
        <v>1</v>
      </c>
    </row>
    <row r="304" spans="2:25" x14ac:dyDescent="0.25">
      <c r="B304" s="4">
        <v>301</v>
      </c>
      <c r="C304" s="4">
        <v>2088</v>
      </c>
      <c r="D304" s="4">
        <v>0</v>
      </c>
      <c r="E304" s="4">
        <v>0</v>
      </c>
      <c r="F304" s="4">
        <v>1</v>
      </c>
      <c r="G304" s="4">
        <v>1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51">
        <f>IFERROR(_xlfn.XLOOKUP(_xlfn.TEXTJOIN(,,D303:O303),Aux!$B$3:$B$4098,'Truth Table'!$N$3:$N$4098),P303)</f>
        <v>-4</v>
      </c>
      <c r="Q304" s="4" t="b" cm="1">
        <f t="array" ref="Q304:U304">IFERROR(_xlfn.XLOOKUP(_xlfn.TEXTJOIN(,,D304:O304),Aux!$B$3:$B$4098,'Truth Table'!$O$3:$S$4098)=1,FALSE)</f>
        <v>1</v>
      </c>
      <c r="R304" s="4" t="b">
        <v>0</v>
      </c>
      <c r="S304" s="4" t="b">
        <v>0</v>
      </c>
      <c r="T304" s="4" t="b">
        <v>0</v>
      </c>
      <c r="U304" s="4" t="b">
        <v>0</v>
      </c>
      <c r="V304" s="4" t="b">
        <f>AND(_xlfn.XLOOKUP(_xlfn.TEXTJOIN(,,D304:O304),Aux!$B$3:$B$4098,'Truth Table'!$T$3:$T$4098)=1,P303&lt;='Line Follower'!$C$7)</f>
        <v>0</v>
      </c>
      <c r="W304" s="4" t="b">
        <f>AND(_xlfn.XLOOKUP(_xlfn.TEXTJOIN(,,D304:O304),Aux!$B$3:$B$4098,'Truth Table'!$U$3:$U$4098)=1,P303&gt;='Line Follower'!$C$6)</f>
        <v>0</v>
      </c>
      <c r="X304" s="4" t="b">
        <f>IFERROR(AND(_xlfn.XLOOKUP(_xlfn.TEXTJOIN(,,D304:O304),Aux!$B$3:$B$4098,'Truth Table'!$V$3:$V$4098)=1,ABS(P303)&lt;='Line Follower'!$C$6),FALSE)</f>
        <v>0</v>
      </c>
      <c r="Y304" s="4" t="b">
        <f t="shared" si="4"/>
        <v>1</v>
      </c>
    </row>
    <row r="305" spans="2:25" x14ac:dyDescent="0.25">
      <c r="B305" s="4">
        <v>302</v>
      </c>
      <c r="C305" s="4">
        <v>2127</v>
      </c>
      <c r="D305" s="4">
        <v>0</v>
      </c>
      <c r="E305" s="4">
        <v>0</v>
      </c>
      <c r="F305" s="4">
        <v>1</v>
      </c>
      <c r="G305" s="4">
        <v>1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51">
        <f>IFERROR(_xlfn.XLOOKUP(_xlfn.TEXTJOIN(,,D304:O304),Aux!$B$3:$B$4098,'Truth Table'!$N$3:$N$4098),P304)</f>
        <v>-4</v>
      </c>
      <c r="Q305" s="4" t="b" cm="1">
        <f t="array" ref="Q305:U305">IFERROR(_xlfn.XLOOKUP(_xlfn.TEXTJOIN(,,D305:O305),Aux!$B$3:$B$4098,'Truth Table'!$O$3:$S$4098)=1,FALSE)</f>
        <v>1</v>
      </c>
      <c r="R305" s="4" t="b">
        <v>0</v>
      </c>
      <c r="S305" s="4" t="b">
        <v>0</v>
      </c>
      <c r="T305" s="4" t="b">
        <v>0</v>
      </c>
      <c r="U305" s="4" t="b">
        <v>0</v>
      </c>
      <c r="V305" s="4" t="b">
        <f>AND(_xlfn.XLOOKUP(_xlfn.TEXTJOIN(,,D305:O305),Aux!$B$3:$B$4098,'Truth Table'!$T$3:$T$4098)=1,P304&lt;='Line Follower'!$C$7)</f>
        <v>0</v>
      </c>
      <c r="W305" s="4" t="b">
        <f>AND(_xlfn.XLOOKUP(_xlfn.TEXTJOIN(,,D305:O305),Aux!$B$3:$B$4098,'Truth Table'!$U$3:$U$4098)=1,P304&gt;='Line Follower'!$C$6)</f>
        <v>0</v>
      </c>
      <c r="X305" s="4" t="b">
        <f>IFERROR(AND(_xlfn.XLOOKUP(_xlfn.TEXTJOIN(,,D305:O305),Aux!$B$3:$B$4098,'Truth Table'!$V$3:$V$4098)=1,ABS(P304)&lt;='Line Follower'!$C$6),FALSE)</f>
        <v>0</v>
      </c>
      <c r="Y305" s="4" t="b">
        <f t="shared" si="4"/>
        <v>1</v>
      </c>
    </row>
    <row r="306" spans="2:25" x14ac:dyDescent="0.25">
      <c r="B306" s="4">
        <v>303</v>
      </c>
      <c r="C306" s="4">
        <v>2128</v>
      </c>
      <c r="D306" s="4">
        <v>0</v>
      </c>
      <c r="E306" s="4">
        <v>0</v>
      </c>
      <c r="F306" s="4">
        <v>1</v>
      </c>
      <c r="G306" s="4">
        <v>1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51">
        <f>IFERROR(_xlfn.XLOOKUP(_xlfn.TEXTJOIN(,,D305:O305),Aux!$B$3:$B$4098,'Truth Table'!$N$3:$N$4098),P305)</f>
        <v>-4</v>
      </c>
      <c r="Q306" s="4" t="b" cm="1">
        <f t="array" ref="Q306:U306">IFERROR(_xlfn.XLOOKUP(_xlfn.TEXTJOIN(,,D306:O306),Aux!$B$3:$B$4098,'Truth Table'!$O$3:$S$4098)=1,FALSE)</f>
        <v>1</v>
      </c>
      <c r="R306" s="4" t="b">
        <v>0</v>
      </c>
      <c r="S306" s="4" t="b">
        <v>0</v>
      </c>
      <c r="T306" s="4" t="b">
        <v>0</v>
      </c>
      <c r="U306" s="4" t="b">
        <v>0</v>
      </c>
      <c r="V306" s="4" t="b">
        <f>AND(_xlfn.XLOOKUP(_xlfn.TEXTJOIN(,,D306:O306),Aux!$B$3:$B$4098,'Truth Table'!$T$3:$T$4098)=1,P305&lt;='Line Follower'!$C$7)</f>
        <v>0</v>
      </c>
      <c r="W306" s="4" t="b">
        <f>AND(_xlfn.XLOOKUP(_xlfn.TEXTJOIN(,,D306:O306),Aux!$B$3:$B$4098,'Truth Table'!$U$3:$U$4098)=1,P305&gt;='Line Follower'!$C$6)</f>
        <v>0</v>
      </c>
      <c r="X306" s="4" t="b">
        <f>IFERROR(AND(_xlfn.XLOOKUP(_xlfn.TEXTJOIN(,,D306:O306),Aux!$B$3:$B$4098,'Truth Table'!$V$3:$V$4098)=1,ABS(P305)&lt;='Line Follower'!$C$6),FALSE)</f>
        <v>0</v>
      </c>
      <c r="Y306" s="4" t="b">
        <f t="shared" si="4"/>
        <v>1</v>
      </c>
    </row>
    <row r="307" spans="2:25" x14ac:dyDescent="0.25">
      <c r="B307" s="4">
        <v>304</v>
      </c>
      <c r="C307" s="4">
        <v>2129</v>
      </c>
      <c r="D307" s="4">
        <v>0</v>
      </c>
      <c r="E307" s="4">
        <v>0</v>
      </c>
      <c r="F307" s="4">
        <v>1</v>
      </c>
      <c r="G307" s="4">
        <v>1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51">
        <f>IFERROR(_xlfn.XLOOKUP(_xlfn.TEXTJOIN(,,D306:O306),Aux!$B$3:$B$4098,'Truth Table'!$N$3:$N$4098),P306)</f>
        <v>-4</v>
      </c>
      <c r="Q307" s="4" t="b" cm="1">
        <f t="array" ref="Q307:U307">IFERROR(_xlfn.XLOOKUP(_xlfn.TEXTJOIN(,,D307:O307),Aux!$B$3:$B$4098,'Truth Table'!$O$3:$S$4098)=1,FALSE)</f>
        <v>1</v>
      </c>
      <c r="R307" s="4" t="b">
        <v>0</v>
      </c>
      <c r="S307" s="4" t="b">
        <v>0</v>
      </c>
      <c r="T307" s="4" t="b">
        <v>0</v>
      </c>
      <c r="U307" s="4" t="b">
        <v>0</v>
      </c>
      <c r="V307" s="4" t="b">
        <f>AND(_xlfn.XLOOKUP(_xlfn.TEXTJOIN(,,D307:O307),Aux!$B$3:$B$4098,'Truth Table'!$T$3:$T$4098)=1,P306&lt;='Line Follower'!$C$7)</f>
        <v>0</v>
      </c>
      <c r="W307" s="4" t="b">
        <f>AND(_xlfn.XLOOKUP(_xlfn.TEXTJOIN(,,D307:O307),Aux!$B$3:$B$4098,'Truth Table'!$U$3:$U$4098)=1,P306&gt;='Line Follower'!$C$6)</f>
        <v>0</v>
      </c>
      <c r="X307" s="4" t="b">
        <f>IFERROR(AND(_xlfn.XLOOKUP(_xlfn.TEXTJOIN(,,D307:O307),Aux!$B$3:$B$4098,'Truth Table'!$V$3:$V$4098)=1,ABS(P306)&lt;='Line Follower'!$C$6),FALSE)</f>
        <v>0</v>
      </c>
      <c r="Y307" s="4" t="b">
        <f t="shared" si="4"/>
        <v>1</v>
      </c>
    </row>
    <row r="308" spans="2:25" x14ac:dyDescent="0.25">
      <c r="B308" s="4">
        <v>305</v>
      </c>
      <c r="C308" s="4">
        <v>2130</v>
      </c>
      <c r="D308" s="4">
        <v>0</v>
      </c>
      <c r="E308" s="4">
        <v>0</v>
      </c>
      <c r="F308" s="4">
        <v>1</v>
      </c>
      <c r="G308" s="4">
        <v>1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51">
        <f>IFERROR(_xlfn.XLOOKUP(_xlfn.TEXTJOIN(,,D307:O307),Aux!$B$3:$B$4098,'Truth Table'!$N$3:$N$4098),P307)</f>
        <v>-4</v>
      </c>
      <c r="Q308" s="4" t="b" cm="1">
        <f t="array" ref="Q308:U308">IFERROR(_xlfn.XLOOKUP(_xlfn.TEXTJOIN(,,D308:O308),Aux!$B$3:$B$4098,'Truth Table'!$O$3:$S$4098)=1,FALSE)</f>
        <v>1</v>
      </c>
      <c r="R308" s="4" t="b">
        <v>0</v>
      </c>
      <c r="S308" s="4" t="b">
        <v>0</v>
      </c>
      <c r="T308" s="4" t="b">
        <v>0</v>
      </c>
      <c r="U308" s="4" t="b">
        <v>0</v>
      </c>
      <c r="V308" s="4" t="b">
        <f>AND(_xlfn.XLOOKUP(_xlfn.TEXTJOIN(,,D308:O308),Aux!$B$3:$B$4098,'Truth Table'!$T$3:$T$4098)=1,P307&lt;='Line Follower'!$C$7)</f>
        <v>0</v>
      </c>
      <c r="W308" s="4" t="b">
        <f>AND(_xlfn.XLOOKUP(_xlfn.TEXTJOIN(,,D308:O308),Aux!$B$3:$B$4098,'Truth Table'!$U$3:$U$4098)=1,P307&gt;='Line Follower'!$C$6)</f>
        <v>0</v>
      </c>
      <c r="X308" s="4" t="b">
        <f>IFERROR(AND(_xlfn.XLOOKUP(_xlfn.TEXTJOIN(,,D308:O308),Aux!$B$3:$B$4098,'Truth Table'!$V$3:$V$4098)=1,ABS(P307)&lt;='Line Follower'!$C$6),FALSE)</f>
        <v>0</v>
      </c>
      <c r="Y308" s="4" t="b">
        <f t="shared" si="4"/>
        <v>1</v>
      </c>
    </row>
    <row r="309" spans="2:25" x14ac:dyDescent="0.25">
      <c r="B309" s="4">
        <v>306</v>
      </c>
      <c r="C309" s="4">
        <v>2146</v>
      </c>
      <c r="D309" s="4">
        <v>0</v>
      </c>
      <c r="E309" s="4">
        <v>0</v>
      </c>
      <c r="F309" s="4">
        <v>1</v>
      </c>
      <c r="G309" s="4">
        <v>1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0</v>
      </c>
      <c r="O309" s="4">
        <v>0</v>
      </c>
      <c r="P309" s="51">
        <f>IFERROR(_xlfn.XLOOKUP(_xlfn.TEXTJOIN(,,D308:O308),Aux!$B$3:$B$4098,'Truth Table'!$N$3:$N$4098),P308)</f>
        <v>-4</v>
      </c>
      <c r="Q309" s="4" t="b" cm="1">
        <f t="array" ref="Q309:U309">IFERROR(_xlfn.XLOOKUP(_xlfn.TEXTJOIN(,,D309:O309),Aux!$B$3:$B$4098,'Truth Table'!$O$3:$S$4098)=1,FALSE)</f>
        <v>1</v>
      </c>
      <c r="R309" s="4" t="b">
        <v>0</v>
      </c>
      <c r="S309" s="4" t="b">
        <v>0</v>
      </c>
      <c r="T309" s="4" t="b">
        <v>0</v>
      </c>
      <c r="U309" s="4" t="b">
        <v>0</v>
      </c>
      <c r="V309" s="4" t="b">
        <f>AND(_xlfn.XLOOKUP(_xlfn.TEXTJOIN(,,D309:O309),Aux!$B$3:$B$4098,'Truth Table'!$T$3:$T$4098)=1,P308&lt;='Line Follower'!$C$7)</f>
        <v>0</v>
      </c>
      <c r="W309" s="4" t="b">
        <f>AND(_xlfn.XLOOKUP(_xlfn.TEXTJOIN(,,D309:O309),Aux!$B$3:$B$4098,'Truth Table'!$U$3:$U$4098)=1,P308&gt;='Line Follower'!$C$6)</f>
        <v>0</v>
      </c>
      <c r="X309" s="4" t="b">
        <f>IFERROR(AND(_xlfn.XLOOKUP(_xlfn.TEXTJOIN(,,D309:O309),Aux!$B$3:$B$4098,'Truth Table'!$V$3:$V$4098)=1,ABS(P308)&lt;='Line Follower'!$C$6),FALSE)</f>
        <v>0</v>
      </c>
      <c r="Y309" s="4" t="b">
        <f t="shared" si="4"/>
        <v>1</v>
      </c>
    </row>
    <row r="310" spans="2:25" x14ac:dyDescent="0.25">
      <c r="B310" s="4">
        <v>307</v>
      </c>
      <c r="C310" s="4">
        <v>2147</v>
      </c>
      <c r="D310" s="4">
        <v>0</v>
      </c>
      <c r="E310" s="4">
        <v>0</v>
      </c>
      <c r="F310" s="4">
        <v>1</v>
      </c>
      <c r="G310" s="4">
        <v>1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51">
        <f>IFERROR(_xlfn.XLOOKUP(_xlfn.TEXTJOIN(,,D309:O309),Aux!$B$3:$B$4098,'Truth Table'!$N$3:$N$4098),P309)</f>
        <v>-4</v>
      </c>
      <c r="Q310" s="4" t="b" cm="1">
        <f t="array" ref="Q310:U310">IFERROR(_xlfn.XLOOKUP(_xlfn.TEXTJOIN(,,D310:O310),Aux!$B$3:$B$4098,'Truth Table'!$O$3:$S$4098)=1,FALSE)</f>
        <v>1</v>
      </c>
      <c r="R310" s="4" t="b">
        <v>0</v>
      </c>
      <c r="S310" s="4" t="b">
        <v>0</v>
      </c>
      <c r="T310" s="4" t="b">
        <v>0</v>
      </c>
      <c r="U310" s="4" t="b">
        <v>0</v>
      </c>
      <c r="V310" s="4" t="b">
        <f>AND(_xlfn.XLOOKUP(_xlfn.TEXTJOIN(,,D310:O310),Aux!$B$3:$B$4098,'Truth Table'!$T$3:$T$4098)=1,P309&lt;='Line Follower'!$C$7)</f>
        <v>0</v>
      </c>
      <c r="W310" s="4" t="b">
        <f>AND(_xlfn.XLOOKUP(_xlfn.TEXTJOIN(,,D310:O310),Aux!$B$3:$B$4098,'Truth Table'!$U$3:$U$4098)=1,P309&gt;='Line Follower'!$C$6)</f>
        <v>0</v>
      </c>
      <c r="X310" s="4" t="b">
        <f>IFERROR(AND(_xlfn.XLOOKUP(_xlfn.TEXTJOIN(,,D310:O310),Aux!$B$3:$B$4098,'Truth Table'!$V$3:$V$4098)=1,ABS(P309)&lt;='Line Follower'!$C$6),FALSE)</f>
        <v>0</v>
      </c>
      <c r="Y310" s="4" t="b">
        <f t="shared" si="4"/>
        <v>1</v>
      </c>
    </row>
    <row r="311" spans="2:25" x14ac:dyDescent="0.25">
      <c r="B311" s="4">
        <v>308</v>
      </c>
      <c r="C311" s="4">
        <v>2161</v>
      </c>
      <c r="D311" s="4">
        <v>0</v>
      </c>
      <c r="E311" s="4">
        <v>0</v>
      </c>
      <c r="F311" s="4">
        <v>1</v>
      </c>
      <c r="G311" s="4">
        <v>1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  <c r="O311" s="4">
        <v>0</v>
      </c>
      <c r="P311" s="51">
        <f>IFERROR(_xlfn.XLOOKUP(_xlfn.TEXTJOIN(,,D310:O310),Aux!$B$3:$B$4098,'Truth Table'!$N$3:$N$4098),P310)</f>
        <v>-4</v>
      </c>
      <c r="Q311" s="4" t="b" cm="1">
        <f t="array" ref="Q311:U311">IFERROR(_xlfn.XLOOKUP(_xlfn.TEXTJOIN(,,D311:O311),Aux!$B$3:$B$4098,'Truth Table'!$O$3:$S$4098)=1,FALSE)</f>
        <v>1</v>
      </c>
      <c r="R311" s="4" t="b">
        <v>0</v>
      </c>
      <c r="S311" s="4" t="b">
        <v>0</v>
      </c>
      <c r="T311" s="4" t="b">
        <v>0</v>
      </c>
      <c r="U311" s="4" t="b">
        <v>0</v>
      </c>
      <c r="V311" s="4" t="b">
        <f>AND(_xlfn.XLOOKUP(_xlfn.TEXTJOIN(,,D311:O311),Aux!$B$3:$B$4098,'Truth Table'!$T$3:$T$4098)=1,P310&lt;='Line Follower'!$C$7)</f>
        <v>0</v>
      </c>
      <c r="W311" s="4" t="b">
        <f>AND(_xlfn.XLOOKUP(_xlfn.TEXTJOIN(,,D311:O311),Aux!$B$3:$B$4098,'Truth Table'!$U$3:$U$4098)=1,P310&gt;='Line Follower'!$C$6)</f>
        <v>0</v>
      </c>
      <c r="X311" s="4" t="b">
        <f>IFERROR(AND(_xlfn.XLOOKUP(_xlfn.TEXTJOIN(,,D311:O311),Aux!$B$3:$B$4098,'Truth Table'!$V$3:$V$4098)=1,ABS(P310)&lt;='Line Follower'!$C$6),FALSE)</f>
        <v>0</v>
      </c>
      <c r="Y311" s="4" t="b">
        <f t="shared" si="4"/>
        <v>1</v>
      </c>
    </row>
    <row r="312" spans="2:25" x14ac:dyDescent="0.25">
      <c r="B312" s="4">
        <v>309</v>
      </c>
      <c r="C312" s="4">
        <v>2161</v>
      </c>
      <c r="D312" s="4">
        <v>0</v>
      </c>
      <c r="E312" s="4">
        <v>0</v>
      </c>
      <c r="F312" s="4">
        <v>1</v>
      </c>
      <c r="G312" s="4">
        <v>1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51">
        <f>IFERROR(_xlfn.XLOOKUP(_xlfn.TEXTJOIN(,,D311:O311),Aux!$B$3:$B$4098,'Truth Table'!$N$3:$N$4098),P311)</f>
        <v>-4</v>
      </c>
      <c r="Q312" s="4" t="b" cm="1">
        <f t="array" ref="Q312:U312">IFERROR(_xlfn.XLOOKUP(_xlfn.TEXTJOIN(,,D312:O312),Aux!$B$3:$B$4098,'Truth Table'!$O$3:$S$4098)=1,FALSE)</f>
        <v>1</v>
      </c>
      <c r="R312" s="4" t="b">
        <v>0</v>
      </c>
      <c r="S312" s="4" t="b">
        <v>0</v>
      </c>
      <c r="T312" s="4" t="b">
        <v>0</v>
      </c>
      <c r="U312" s="4" t="b">
        <v>0</v>
      </c>
      <c r="V312" s="4" t="b">
        <f>AND(_xlfn.XLOOKUP(_xlfn.TEXTJOIN(,,D312:O312),Aux!$B$3:$B$4098,'Truth Table'!$T$3:$T$4098)=1,P311&lt;='Line Follower'!$C$7)</f>
        <v>0</v>
      </c>
      <c r="W312" s="4" t="b">
        <f>AND(_xlfn.XLOOKUP(_xlfn.TEXTJOIN(,,D312:O312),Aux!$B$3:$B$4098,'Truth Table'!$U$3:$U$4098)=1,P311&gt;='Line Follower'!$C$6)</f>
        <v>0</v>
      </c>
      <c r="X312" s="4" t="b">
        <f>IFERROR(AND(_xlfn.XLOOKUP(_xlfn.TEXTJOIN(,,D312:O312),Aux!$B$3:$B$4098,'Truth Table'!$V$3:$V$4098)=1,ABS(P311)&lt;='Line Follower'!$C$6),FALSE)</f>
        <v>0</v>
      </c>
      <c r="Y312" s="4" t="b">
        <f t="shared" si="4"/>
        <v>1</v>
      </c>
    </row>
    <row r="313" spans="2:25" x14ac:dyDescent="0.25">
      <c r="B313" s="4">
        <v>310</v>
      </c>
      <c r="C313" s="4">
        <v>2172</v>
      </c>
      <c r="D313" s="4">
        <v>0</v>
      </c>
      <c r="E313" s="4">
        <v>0</v>
      </c>
      <c r="F313" s="4">
        <v>1</v>
      </c>
      <c r="G313" s="4">
        <v>1</v>
      </c>
      <c r="H313" s="4">
        <v>0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  <c r="O313" s="4">
        <v>0</v>
      </c>
      <c r="P313" s="51">
        <f>IFERROR(_xlfn.XLOOKUP(_xlfn.TEXTJOIN(,,D312:O312),Aux!$B$3:$B$4098,'Truth Table'!$N$3:$N$4098),P312)</f>
        <v>-4</v>
      </c>
      <c r="Q313" s="4" t="b" cm="1">
        <f t="array" ref="Q313:U313">IFERROR(_xlfn.XLOOKUP(_xlfn.TEXTJOIN(,,D313:O313),Aux!$B$3:$B$4098,'Truth Table'!$O$3:$S$4098)=1,FALSE)</f>
        <v>1</v>
      </c>
      <c r="R313" s="4" t="b">
        <v>0</v>
      </c>
      <c r="S313" s="4" t="b">
        <v>0</v>
      </c>
      <c r="T313" s="4" t="b">
        <v>0</v>
      </c>
      <c r="U313" s="4" t="b">
        <v>0</v>
      </c>
      <c r="V313" s="4" t="b">
        <f>AND(_xlfn.XLOOKUP(_xlfn.TEXTJOIN(,,D313:O313),Aux!$B$3:$B$4098,'Truth Table'!$T$3:$T$4098)=1,P312&lt;='Line Follower'!$C$7)</f>
        <v>0</v>
      </c>
      <c r="W313" s="4" t="b">
        <f>AND(_xlfn.XLOOKUP(_xlfn.TEXTJOIN(,,D313:O313),Aux!$B$3:$B$4098,'Truth Table'!$U$3:$U$4098)=1,P312&gt;='Line Follower'!$C$6)</f>
        <v>0</v>
      </c>
      <c r="X313" s="4" t="b">
        <f>IFERROR(AND(_xlfn.XLOOKUP(_xlfn.TEXTJOIN(,,D313:O313),Aux!$B$3:$B$4098,'Truth Table'!$V$3:$V$4098)=1,ABS(P312)&lt;='Line Follower'!$C$6),FALSE)</f>
        <v>0</v>
      </c>
      <c r="Y313" s="4" t="b">
        <f t="shared" si="4"/>
        <v>1</v>
      </c>
    </row>
    <row r="314" spans="2:25" x14ac:dyDescent="0.25">
      <c r="B314" s="4">
        <v>311</v>
      </c>
      <c r="C314" s="4">
        <v>2228</v>
      </c>
      <c r="D314" s="4">
        <v>0</v>
      </c>
      <c r="E314" s="4">
        <v>0</v>
      </c>
      <c r="F314" s="4">
        <v>1</v>
      </c>
      <c r="G314" s="4">
        <v>1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51">
        <f>IFERROR(_xlfn.XLOOKUP(_xlfn.TEXTJOIN(,,D313:O313),Aux!$B$3:$B$4098,'Truth Table'!$N$3:$N$4098),P313)</f>
        <v>-4</v>
      </c>
      <c r="Q314" s="4" t="b" cm="1">
        <f t="array" ref="Q314:U314">IFERROR(_xlfn.XLOOKUP(_xlfn.TEXTJOIN(,,D314:O314),Aux!$B$3:$B$4098,'Truth Table'!$O$3:$S$4098)=1,FALSE)</f>
        <v>1</v>
      </c>
      <c r="R314" s="4" t="b">
        <v>0</v>
      </c>
      <c r="S314" s="4" t="b">
        <v>0</v>
      </c>
      <c r="T314" s="4" t="b">
        <v>0</v>
      </c>
      <c r="U314" s="4" t="b">
        <v>0</v>
      </c>
      <c r="V314" s="4" t="b">
        <f>AND(_xlfn.XLOOKUP(_xlfn.TEXTJOIN(,,D314:O314),Aux!$B$3:$B$4098,'Truth Table'!$T$3:$T$4098)=1,P313&lt;='Line Follower'!$C$7)</f>
        <v>0</v>
      </c>
      <c r="W314" s="4" t="b">
        <f>AND(_xlfn.XLOOKUP(_xlfn.TEXTJOIN(,,D314:O314),Aux!$B$3:$B$4098,'Truth Table'!$U$3:$U$4098)=1,P313&gt;='Line Follower'!$C$6)</f>
        <v>0</v>
      </c>
      <c r="X314" s="4" t="b">
        <f>IFERROR(AND(_xlfn.XLOOKUP(_xlfn.TEXTJOIN(,,D314:O314),Aux!$B$3:$B$4098,'Truth Table'!$V$3:$V$4098)=1,ABS(P313)&lt;='Line Follower'!$C$6),FALSE)</f>
        <v>0</v>
      </c>
      <c r="Y314" s="4" t="b">
        <f t="shared" si="4"/>
        <v>1</v>
      </c>
    </row>
    <row r="315" spans="2:25" x14ac:dyDescent="0.25">
      <c r="B315" s="4">
        <v>312</v>
      </c>
      <c r="C315" s="4">
        <v>2233</v>
      </c>
      <c r="D315" s="4">
        <v>0</v>
      </c>
      <c r="E315" s="4">
        <v>0</v>
      </c>
      <c r="F315" s="4">
        <v>1</v>
      </c>
      <c r="G315" s="4">
        <v>1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51">
        <f>IFERROR(_xlfn.XLOOKUP(_xlfn.TEXTJOIN(,,D314:O314),Aux!$B$3:$B$4098,'Truth Table'!$N$3:$N$4098),P314)</f>
        <v>-4</v>
      </c>
      <c r="Q315" s="4" t="b" cm="1">
        <f t="array" ref="Q315:U315">IFERROR(_xlfn.XLOOKUP(_xlfn.TEXTJOIN(,,D315:O315),Aux!$B$3:$B$4098,'Truth Table'!$O$3:$S$4098)=1,FALSE)</f>
        <v>1</v>
      </c>
      <c r="R315" s="4" t="b">
        <v>0</v>
      </c>
      <c r="S315" s="4" t="b">
        <v>0</v>
      </c>
      <c r="T315" s="4" t="b">
        <v>0</v>
      </c>
      <c r="U315" s="4" t="b">
        <v>0</v>
      </c>
      <c r="V315" s="4" t="b">
        <f>AND(_xlfn.XLOOKUP(_xlfn.TEXTJOIN(,,D315:O315),Aux!$B$3:$B$4098,'Truth Table'!$T$3:$T$4098)=1,P314&lt;='Line Follower'!$C$7)</f>
        <v>0</v>
      </c>
      <c r="W315" s="4" t="b">
        <f>AND(_xlfn.XLOOKUP(_xlfn.TEXTJOIN(,,D315:O315),Aux!$B$3:$B$4098,'Truth Table'!$U$3:$U$4098)=1,P314&gt;='Line Follower'!$C$6)</f>
        <v>0</v>
      </c>
      <c r="X315" s="4" t="b">
        <f>IFERROR(AND(_xlfn.XLOOKUP(_xlfn.TEXTJOIN(,,D315:O315),Aux!$B$3:$B$4098,'Truth Table'!$V$3:$V$4098)=1,ABS(P314)&lt;='Line Follower'!$C$6),FALSE)</f>
        <v>0</v>
      </c>
      <c r="Y315" s="4" t="b">
        <f t="shared" si="4"/>
        <v>1</v>
      </c>
    </row>
    <row r="316" spans="2:25" x14ac:dyDescent="0.25">
      <c r="B316" s="4">
        <v>313</v>
      </c>
      <c r="C316" s="4">
        <v>2234</v>
      </c>
      <c r="D316" s="4">
        <v>0</v>
      </c>
      <c r="E316" s="4">
        <v>0</v>
      </c>
      <c r="F316" s="4">
        <v>1</v>
      </c>
      <c r="G316" s="4">
        <v>1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51">
        <f>IFERROR(_xlfn.XLOOKUP(_xlfn.TEXTJOIN(,,D315:O315),Aux!$B$3:$B$4098,'Truth Table'!$N$3:$N$4098),P315)</f>
        <v>-4</v>
      </c>
      <c r="Q316" s="4" t="b" cm="1">
        <f t="array" ref="Q316:U316">IFERROR(_xlfn.XLOOKUP(_xlfn.TEXTJOIN(,,D316:O316),Aux!$B$3:$B$4098,'Truth Table'!$O$3:$S$4098)=1,FALSE)</f>
        <v>1</v>
      </c>
      <c r="R316" s="4" t="b">
        <v>0</v>
      </c>
      <c r="S316" s="4" t="b">
        <v>0</v>
      </c>
      <c r="T316" s="4" t="b">
        <v>0</v>
      </c>
      <c r="U316" s="4" t="b">
        <v>0</v>
      </c>
      <c r="V316" s="4" t="b">
        <f>AND(_xlfn.XLOOKUP(_xlfn.TEXTJOIN(,,D316:O316),Aux!$B$3:$B$4098,'Truth Table'!$T$3:$T$4098)=1,P315&lt;='Line Follower'!$C$7)</f>
        <v>0</v>
      </c>
      <c r="W316" s="4" t="b">
        <f>AND(_xlfn.XLOOKUP(_xlfn.TEXTJOIN(,,D316:O316),Aux!$B$3:$B$4098,'Truth Table'!$U$3:$U$4098)=1,P315&gt;='Line Follower'!$C$6)</f>
        <v>0</v>
      </c>
      <c r="X316" s="4" t="b">
        <f>IFERROR(AND(_xlfn.XLOOKUP(_xlfn.TEXTJOIN(,,D316:O316),Aux!$B$3:$B$4098,'Truth Table'!$V$3:$V$4098)=1,ABS(P315)&lt;='Line Follower'!$C$6),FALSE)</f>
        <v>0</v>
      </c>
      <c r="Y316" s="4" t="b">
        <f t="shared" si="4"/>
        <v>1</v>
      </c>
    </row>
    <row r="317" spans="2:25" x14ac:dyDescent="0.25">
      <c r="B317" s="4">
        <v>314</v>
      </c>
      <c r="C317" s="4">
        <v>2235</v>
      </c>
      <c r="D317" s="4">
        <v>0</v>
      </c>
      <c r="E317" s="4">
        <v>0</v>
      </c>
      <c r="F317" s="4">
        <v>1</v>
      </c>
      <c r="G317" s="4">
        <v>1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  <c r="P317" s="51">
        <f>IFERROR(_xlfn.XLOOKUP(_xlfn.TEXTJOIN(,,D316:O316),Aux!$B$3:$B$4098,'Truth Table'!$N$3:$N$4098),P316)</f>
        <v>-4</v>
      </c>
      <c r="Q317" s="4" t="b" cm="1">
        <f t="array" ref="Q317:U317">IFERROR(_xlfn.XLOOKUP(_xlfn.TEXTJOIN(,,D317:O317),Aux!$B$3:$B$4098,'Truth Table'!$O$3:$S$4098)=1,FALSE)</f>
        <v>1</v>
      </c>
      <c r="R317" s="4" t="b">
        <v>0</v>
      </c>
      <c r="S317" s="4" t="b">
        <v>0</v>
      </c>
      <c r="T317" s="4" t="b">
        <v>0</v>
      </c>
      <c r="U317" s="4" t="b">
        <v>0</v>
      </c>
      <c r="V317" s="4" t="b">
        <f>AND(_xlfn.XLOOKUP(_xlfn.TEXTJOIN(,,D317:O317),Aux!$B$3:$B$4098,'Truth Table'!$T$3:$T$4098)=1,P316&lt;='Line Follower'!$C$7)</f>
        <v>0</v>
      </c>
      <c r="W317" s="4" t="b">
        <f>AND(_xlfn.XLOOKUP(_xlfn.TEXTJOIN(,,D317:O317),Aux!$B$3:$B$4098,'Truth Table'!$U$3:$U$4098)=1,P316&gt;='Line Follower'!$C$6)</f>
        <v>0</v>
      </c>
      <c r="X317" s="4" t="b">
        <f>IFERROR(AND(_xlfn.XLOOKUP(_xlfn.TEXTJOIN(,,D317:O317),Aux!$B$3:$B$4098,'Truth Table'!$V$3:$V$4098)=1,ABS(P316)&lt;='Line Follower'!$C$6),FALSE)</f>
        <v>0</v>
      </c>
      <c r="Y317" s="4" t="b">
        <f t="shared" si="4"/>
        <v>1</v>
      </c>
    </row>
    <row r="318" spans="2:25" x14ac:dyDescent="0.25">
      <c r="B318" s="4">
        <v>315</v>
      </c>
      <c r="C318" s="4">
        <v>2237</v>
      </c>
      <c r="D318" s="4">
        <v>0</v>
      </c>
      <c r="E318" s="4">
        <v>0</v>
      </c>
      <c r="F318" s="4">
        <v>1</v>
      </c>
      <c r="G318" s="4">
        <v>1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51">
        <f>IFERROR(_xlfn.XLOOKUP(_xlfn.TEXTJOIN(,,D317:O317),Aux!$B$3:$B$4098,'Truth Table'!$N$3:$N$4098),P317)</f>
        <v>-4</v>
      </c>
      <c r="Q318" s="4" t="b" cm="1">
        <f t="array" ref="Q318:U318">IFERROR(_xlfn.XLOOKUP(_xlfn.TEXTJOIN(,,D318:O318),Aux!$B$3:$B$4098,'Truth Table'!$O$3:$S$4098)=1,FALSE)</f>
        <v>1</v>
      </c>
      <c r="R318" s="4" t="b">
        <v>0</v>
      </c>
      <c r="S318" s="4" t="b">
        <v>0</v>
      </c>
      <c r="T318" s="4" t="b">
        <v>0</v>
      </c>
      <c r="U318" s="4" t="b">
        <v>0</v>
      </c>
      <c r="V318" s="4" t="b">
        <f>AND(_xlfn.XLOOKUP(_xlfn.TEXTJOIN(,,D318:O318),Aux!$B$3:$B$4098,'Truth Table'!$T$3:$T$4098)=1,P317&lt;='Line Follower'!$C$7)</f>
        <v>0</v>
      </c>
      <c r="W318" s="4" t="b">
        <f>AND(_xlfn.XLOOKUP(_xlfn.TEXTJOIN(,,D318:O318),Aux!$B$3:$B$4098,'Truth Table'!$U$3:$U$4098)=1,P317&gt;='Line Follower'!$C$6)</f>
        <v>0</v>
      </c>
      <c r="X318" s="4" t="b">
        <f>IFERROR(AND(_xlfn.XLOOKUP(_xlfn.TEXTJOIN(,,D318:O318),Aux!$B$3:$B$4098,'Truth Table'!$V$3:$V$4098)=1,ABS(P317)&lt;='Line Follower'!$C$6),FALSE)</f>
        <v>0</v>
      </c>
      <c r="Y318" s="4" t="b">
        <f t="shared" si="4"/>
        <v>1</v>
      </c>
    </row>
    <row r="319" spans="2:25" x14ac:dyDescent="0.25">
      <c r="B319" s="4">
        <v>316</v>
      </c>
      <c r="C319" s="4">
        <v>2238</v>
      </c>
      <c r="D319" s="4">
        <v>0</v>
      </c>
      <c r="E319" s="4">
        <v>0</v>
      </c>
      <c r="F319" s="4">
        <v>1</v>
      </c>
      <c r="G319" s="4">
        <v>1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51">
        <f>IFERROR(_xlfn.XLOOKUP(_xlfn.TEXTJOIN(,,D318:O318),Aux!$B$3:$B$4098,'Truth Table'!$N$3:$N$4098),P318)</f>
        <v>-4</v>
      </c>
      <c r="Q319" s="4" t="b" cm="1">
        <f t="array" ref="Q319:U319">IFERROR(_xlfn.XLOOKUP(_xlfn.TEXTJOIN(,,D319:O319),Aux!$B$3:$B$4098,'Truth Table'!$O$3:$S$4098)=1,FALSE)</f>
        <v>1</v>
      </c>
      <c r="R319" s="4" t="b">
        <v>0</v>
      </c>
      <c r="S319" s="4" t="b">
        <v>0</v>
      </c>
      <c r="T319" s="4" t="b">
        <v>0</v>
      </c>
      <c r="U319" s="4" t="b">
        <v>0</v>
      </c>
      <c r="V319" s="4" t="b">
        <f>AND(_xlfn.XLOOKUP(_xlfn.TEXTJOIN(,,D319:O319),Aux!$B$3:$B$4098,'Truth Table'!$T$3:$T$4098)=1,P318&lt;='Line Follower'!$C$7)</f>
        <v>0</v>
      </c>
      <c r="W319" s="4" t="b">
        <f>AND(_xlfn.XLOOKUP(_xlfn.TEXTJOIN(,,D319:O319),Aux!$B$3:$B$4098,'Truth Table'!$U$3:$U$4098)=1,P318&gt;='Line Follower'!$C$6)</f>
        <v>0</v>
      </c>
      <c r="X319" s="4" t="b">
        <f>IFERROR(AND(_xlfn.XLOOKUP(_xlfn.TEXTJOIN(,,D319:O319),Aux!$B$3:$B$4098,'Truth Table'!$V$3:$V$4098)=1,ABS(P318)&lt;='Line Follower'!$C$6),FALSE)</f>
        <v>0</v>
      </c>
      <c r="Y319" s="4" t="b">
        <f t="shared" si="4"/>
        <v>1</v>
      </c>
    </row>
    <row r="320" spans="2:25" x14ac:dyDescent="0.25">
      <c r="B320" s="4">
        <v>317</v>
      </c>
      <c r="C320" s="4">
        <v>2247</v>
      </c>
      <c r="D320" s="4">
        <v>0</v>
      </c>
      <c r="E320" s="4">
        <v>0</v>
      </c>
      <c r="F320" s="4">
        <v>1</v>
      </c>
      <c r="G320" s="4">
        <v>1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51">
        <f>IFERROR(_xlfn.XLOOKUP(_xlfn.TEXTJOIN(,,D319:O319),Aux!$B$3:$B$4098,'Truth Table'!$N$3:$N$4098),P319)</f>
        <v>-4</v>
      </c>
      <c r="Q320" s="4" t="b" cm="1">
        <f t="array" ref="Q320:U320">IFERROR(_xlfn.XLOOKUP(_xlfn.TEXTJOIN(,,D320:O320),Aux!$B$3:$B$4098,'Truth Table'!$O$3:$S$4098)=1,FALSE)</f>
        <v>1</v>
      </c>
      <c r="R320" s="4" t="b">
        <v>0</v>
      </c>
      <c r="S320" s="4" t="b">
        <v>0</v>
      </c>
      <c r="T320" s="4" t="b">
        <v>0</v>
      </c>
      <c r="U320" s="4" t="b">
        <v>0</v>
      </c>
      <c r="V320" s="4" t="b">
        <f>AND(_xlfn.XLOOKUP(_xlfn.TEXTJOIN(,,D320:O320),Aux!$B$3:$B$4098,'Truth Table'!$T$3:$T$4098)=1,P319&lt;='Line Follower'!$C$7)</f>
        <v>0</v>
      </c>
      <c r="W320" s="4" t="b">
        <f>AND(_xlfn.XLOOKUP(_xlfn.TEXTJOIN(,,D320:O320),Aux!$B$3:$B$4098,'Truth Table'!$U$3:$U$4098)=1,P319&gt;='Line Follower'!$C$6)</f>
        <v>0</v>
      </c>
      <c r="X320" s="4" t="b">
        <f>IFERROR(AND(_xlfn.XLOOKUP(_xlfn.TEXTJOIN(,,D320:O320),Aux!$B$3:$B$4098,'Truth Table'!$V$3:$V$4098)=1,ABS(P319)&lt;='Line Follower'!$C$6),FALSE)</f>
        <v>0</v>
      </c>
      <c r="Y320" s="4" t="b">
        <f t="shared" si="4"/>
        <v>1</v>
      </c>
    </row>
    <row r="321" spans="2:25" x14ac:dyDescent="0.25">
      <c r="B321" s="4">
        <v>318</v>
      </c>
      <c r="C321" s="4">
        <v>2253</v>
      </c>
      <c r="D321" s="4">
        <v>0</v>
      </c>
      <c r="E321" s="4">
        <v>0</v>
      </c>
      <c r="F321" s="4">
        <v>1</v>
      </c>
      <c r="G321" s="4">
        <v>1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51">
        <f>IFERROR(_xlfn.XLOOKUP(_xlfn.TEXTJOIN(,,D320:O320),Aux!$B$3:$B$4098,'Truth Table'!$N$3:$N$4098),P320)</f>
        <v>-4</v>
      </c>
      <c r="Q321" s="4" t="b" cm="1">
        <f t="array" ref="Q321:U321">IFERROR(_xlfn.XLOOKUP(_xlfn.TEXTJOIN(,,D321:O321),Aux!$B$3:$B$4098,'Truth Table'!$O$3:$S$4098)=1,FALSE)</f>
        <v>1</v>
      </c>
      <c r="R321" s="4" t="b">
        <v>0</v>
      </c>
      <c r="S321" s="4" t="b">
        <v>0</v>
      </c>
      <c r="T321" s="4" t="b">
        <v>0</v>
      </c>
      <c r="U321" s="4" t="b">
        <v>0</v>
      </c>
      <c r="V321" s="4" t="b">
        <f>AND(_xlfn.XLOOKUP(_xlfn.TEXTJOIN(,,D321:O321),Aux!$B$3:$B$4098,'Truth Table'!$T$3:$T$4098)=1,P320&lt;='Line Follower'!$C$7)</f>
        <v>0</v>
      </c>
      <c r="W321" s="4" t="b">
        <f>AND(_xlfn.XLOOKUP(_xlfn.TEXTJOIN(,,D321:O321),Aux!$B$3:$B$4098,'Truth Table'!$U$3:$U$4098)=1,P320&gt;='Line Follower'!$C$6)</f>
        <v>0</v>
      </c>
      <c r="X321" s="4" t="b">
        <f>IFERROR(AND(_xlfn.XLOOKUP(_xlfn.TEXTJOIN(,,D321:O321),Aux!$B$3:$B$4098,'Truth Table'!$V$3:$V$4098)=1,ABS(P320)&lt;='Line Follower'!$C$6),FALSE)</f>
        <v>0</v>
      </c>
      <c r="Y321" s="4" t="b">
        <f t="shared" si="4"/>
        <v>1</v>
      </c>
    </row>
    <row r="322" spans="2:25" x14ac:dyDescent="0.25">
      <c r="B322" s="4">
        <v>319</v>
      </c>
      <c r="C322" s="4">
        <v>2267</v>
      </c>
      <c r="D322" s="4">
        <v>0</v>
      </c>
      <c r="E322" s="4">
        <v>0</v>
      </c>
      <c r="F322" s="4">
        <v>1</v>
      </c>
      <c r="G322" s="4">
        <v>1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51">
        <f>IFERROR(_xlfn.XLOOKUP(_xlfn.TEXTJOIN(,,D321:O321),Aux!$B$3:$B$4098,'Truth Table'!$N$3:$N$4098),P321)</f>
        <v>-4</v>
      </c>
      <c r="Q322" s="4" t="b" cm="1">
        <f t="array" ref="Q322:U322">IFERROR(_xlfn.XLOOKUP(_xlfn.TEXTJOIN(,,D322:O322),Aux!$B$3:$B$4098,'Truth Table'!$O$3:$S$4098)=1,FALSE)</f>
        <v>1</v>
      </c>
      <c r="R322" s="4" t="b">
        <v>0</v>
      </c>
      <c r="S322" s="4" t="b">
        <v>0</v>
      </c>
      <c r="T322" s="4" t="b">
        <v>0</v>
      </c>
      <c r="U322" s="4" t="b">
        <v>0</v>
      </c>
      <c r="V322" s="4" t="b">
        <f>AND(_xlfn.XLOOKUP(_xlfn.TEXTJOIN(,,D322:O322),Aux!$B$3:$B$4098,'Truth Table'!$T$3:$T$4098)=1,P321&lt;='Line Follower'!$C$7)</f>
        <v>0</v>
      </c>
      <c r="W322" s="4" t="b">
        <f>AND(_xlfn.XLOOKUP(_xlfn.TEXTJOIN(,,D322:O322),Aux!$B$3:$B$4098,'Truth Table'!$U$3:$U$4098)=1,P321&gt;='Line Follower'!$C$6)</f>
        <v>0</v>
      </c>
      <c r="X322" s="4" t="b">
        <f>IFERROR(AND(_xlfn.XLOOKUP(_xlfn.TEXTJOIN(,,D322:O322),Aux!$B$3:$B$4098,'Truth Table'!$V$3:$V$4098)=1,ABS(P321)&lt;='Line Follower'!$C$6),FALSE)</f>
        <v>0</v>
      </c>
      <c r="Y322" s="4" t="b">
        <f t="shared" si="4"/>
        <v>1</v>
      </c>
    </row>
    <row r="323" spans="2:25" x14ac:dyDescent="0.25">
      <c r="B323" s="4">
        <v>320</v>
      </c>
      <c r="C323" s="4">
        <v>2275</v>
      </c>
      <c r="D323" s="4">
        <v>0</v>
      </c>
      <c r="E323" s="4">
        <v>0</v>
      </c>
      <c r="F323" s="4">
        <v>1</v>
      </c>
      <c r="G323" s="4">
        <v>1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  <c r="O323" s="4">
        <v>0</v>
      </c>
      <c r="P323" s="51">
        <f>IFERROR(_xlfn.XLOOKUP(_xlfn.TEXTJOIN(,,D322:O322),Aux!$B$3:$B$4098,'Truth Table'!$N$3:$N$4098),P322)</f>
        <v>-4</v>
      </c>
      <c r="Q323" s="4" t="b" cm="1">
        <f t="array" ref="Q323:U323">IFERROR(_xlfn.XLOOKUP(_xlfn.TEXTJOIN(,,D323:O323),Aux!$B$3:$B$4098,'Truth Table'!$O$3:$S$4098)=1,FALSE)</f>
        <v>1</v>
      </c>
      <c r="R323" s="4" t="b">
        <v>0</v>
      </c>
      <c r="S323" s="4" t="b">
        <v>0</v>
      </c>
      <c r="T323" s="4" t="b">
        <v>0</v>
      </c>
      <c r="U323" s="4" t="b">
        <v>0</v>
      </c>
      <c r="V323" s="4" t="b">
        <f>AND(_xlfn.XLOOKUP(_xlfn.TEXTJOIN(,,D323:O323),Aux!$B$3:$B$4098,'Truth Table'!$T$3:$T$4098)=1,P322&lt;='Line Follower'!$C$7)</f>
        <v>0</v>
      </c>
      <c r="W323" s="4" t="b">
        <f>AND(_xlfn.XLOOKUP(_xlfn.TEXTJOIN(,,D323:O323),Aux!$B$3:$B$4098,'Truth Table'!$U$3:$U$4098)=1,P322&gt;='Line Follower'!$C$6)</f>
        <v>0</v>
      </c>
      <c r="X323" s="4" t="b">
        <f>IFERROR(AND(_xlfn.XLOOKUP(_xlfn.TEXTJOIN(,,D323:O323),Aux!$B$3:$B$4098,'Truth Table'!$V$3:$V$4098)=1,ABS(P322)&lt;='Line Follower'!$C$6),FALSE)</f>
        <v>0</v>
      </c>
      <c r="Y323" s="4" t="b">
        <f t="shared" si="4"/>
        <v>1</v>
      </c>
    </row>
    <row r="324" spans="2:25" x14ac:dyDescent="0.25">
      <c r="B324" s="4">
        <v>321</v>
      </c>
      <c r="C324" s="4">
        <v>2284</v>
      </c>
      <c r="D324" s="4">
        <v>0</v>
      </c>
      <c r="E324" s="4">
        <v>0</v>
      </c>
      <c r="F324" s="4">
        <v>1</v>
      </c>
      <c r="G324" s="4">
        <v>1</v>
      </c>
      <c r="H324" s="4">
        <v>0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51">
        <f>IFERROR(_xlfn.XLOOKUP(_xlfn.TEXTJOIN(,,D323:O323),Aux!$B$3:$B$4098,'Truth Table'!$N$3:$N$4098),P323)</f>
        <v>-4</v>
      </c>
      <c r="Q324" s="4" t="b" cm="1">
        <f t="array" ref="Q324:U324">IFERROR(_xlfn.XLOOKUP(_xlfn.TEXTJOIN(,,D324:O324),Aux!$B$3:$B$4098,'Truth Table'!$O$3:$S$4098)=1,FALSE)</f>
        <v>1</v>
      </c>
      <c r="R324" s="4" t="b">
        <v>0</v>
      </c>
      <c r="S324" s="4" t="b">
        <v>0</v>
      </c>
      <c r="T324" s="4" t="b">
        <v>0</v>
      </c>
      <c r="U324" s="4" t="b">
        <v>0</v>
      </c>
      <c r="V324" s="4" t="b">
        <f>AND(_xlfn.XLOOKUP(_xlfn.TEXTJOIN(,,D324:O324),Aux!$B$3:$B$4098,'Truth Table'!$T$3:$T$4098)=1,P323&lt;='Line Follower'!$C$7)</f>
        <v>0</v>
      </c>
      <c r="W324" s="4" t="b">
        <f>AND(_xlfn.XLOOKUP(_xlfn.TEXTJOIN(,,D324:O324),Aux!$B$3:$B$4098,'Truth Table'!$U$3:$U$4098)=1,P323&gt;='Line Follower'!$C$6)</f>
        <v>0</v>
      </c>
      <c r="X324" s="4" t="b">
        <f>IFERROR(AND(_xlfn.XLOOKUP(_xlfn.TEXTJOIN(,,D324:O324),Aux!$B$3:$B$4098,'Truth Table'!$V$3:$V$4098)=1,ABS(P323)&lt;='Line Follower'!$C$6),FALSE)</f>
        <v>0</v>
      </c>
      <c r="Y324" s="4" t="b">
        <f t="shared" ref="Y324:Y387" si="5">OR(Q324:X324)</f>
        <v>1</v>
      </c>
    </row>
    <row r="325" spans="2:25" x14ac:dyDescent="0.25">
      <c r="B325" s="4">
        <v>322</v>
      </c>
      <c r="C325" s="4">
        <v>2296</v>
      </c>
      <c r="D325" s="4">
        <v>0</v>
      </c>
      <c r="E325" s="4">
        <v>0</v>
      </c>
      <c r="F325" s="4">
        <v>1</v>
      </c>
      <c r="G325" s="4">
        <v>1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0</v>
      </c>
      <c r="O325" s="4">
        <v>0</v>
      </c>
      <c r="P325" s="51">
        <f>IFERROR(_xlfn.XLOOKUP(_xlfn.TEXTJOIN(,,D324:O324),Aux!$B$3:$B$4098,'Truth Table'!$N$3:$N$4098),P324)</f>
        <v>-4</v>
      </c>
      <c r="Q325" s="4" t="b" cm="1">
        <f t="array" ref="Q325:U325">IFERROR(_xlfn.XLOOKUP(_xlfn.TEXTJOIN(,,D325:O325),Aux!$B$3:$B$4098,'Truth Table'!$O$3:$S$4098)=1,FALSE)</f>
        <v>1</v>
      </c>
      <c r="R325" s="4" t="b">
        <v>0</v>
      </c>
      <c r="S325" s="4" t="b">
        <v>0</v>
      </c>
      <c r="T325" s="4" t="b">
        <v>0</v>
      </c>
      <c r="U325" s="4" t="b">
        <v>0</v>
      </c>
      <c r="V325" s="4" t="b">
        <f>AND(_xlfn.XLOOKUP(_xlfn.TEXTJOIN(,,D325:O325),Aux!$B$3:$B$4098,'Truth Table'!$T$3:$T$4098)=1,P324&lt;='Line Follower'!$C$7)</f>
        <v>0</v>
      </c>
      <c r="W325" s="4" t="b">
        <f>AND(_xlfn.XLOOKUP(_xlfn.TEXTJOIN(,,D325:O325),Aux!$B$3:$B$4098,'Truth Table'!$U$3:$U$4098)=1,P324&gt;='Line Follower'!$C$6)</f>
        <v>0</v>
      </c>
      <c r="X325" s="4" t="b">
        <f>IFERROR(AND(_xlfn.XLOOKUP(_xlfn.TEXTJOIN(,,D325:O325),Aux!$B$3:$B$4098,'Truth Table'!$V$3:$V$4098)=1,ABS(P324)&lt;='Line Follower'!$C$6),FALSE)</f>
        <v>0</v>
      </c>
      <c r="Y325" s="4" t="b">
        <f t="shared" si="5"/>
        <v>1</v>
      </c>
    </row>
    <row r="326" spans="2:25" x14ac:dyDescent="0.25">
      <c r="B326" s="4">
        <v>323</v>
      </c>
      <c r="C326" s="4">
        <v>2302</v>
      </c>
      <c r="D326" s="4">
        <v>0</v>
      </c>
      <c r="E326" s="4">
        <v>0</v>
      </c>
      <c r="F326" s="4">
        <v>1</v>
      </c>
      <c r="G326" s="4">
        <v>1</v>
      </c>
      <c r="H326" s="4">
        <v>0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  <c r="P326" s="51">
        <f>IFERROR(_xlfn.XLOOKUP(_xlfn.TEXTJOIN(,,D325:O325),Aux!$B$3:$B$4098,'Truth Table'!$N$3:$N$4098),P325)</f>
        <v>-4</v>
      </c>
      <c r="Q326" s="4" t="b" cm="1">
        <f t="array" ref="Q326:U326">IFERROR(_xlfn.XLOOKUP(_xlfn.TEXTJOIN(,,D326:O326),Aux!$B$3:$B$4098,'Truth Table'!$O$3:$S$4098)=1,FALSE)</f>
        <v>1</v>
      </c>
      <c r="R326" s="4" t="b">
        <v>0</v>
      </c>
      <c r="S326" s="4" t="b">
        <v>0</v>
      </c>
      <c r="T326" s="4" t="b">
        <v>0</v>
      </c>
      <c r="U326" s="4" t="b">
        <v>0</v>
      </c>
      <c r="V326" s="4" t="b">
        <f>AND(_xlfn.XLOOKUP(_xlfn.TEXTJOIN(,,D326:O326),Aux!$B$3:$B$4098,'Truth Table'!$T$3:$T$4098)=1,P325&lt;='Line Follower'!$C$7)</f>
        <v>0</v>
      </c>
      <c r="W326" s="4" t="b">
        <f>AND(_xlfn.XLOOKUP(_xlfn.TEXTJOIN(,,D326:O326),Aux!$B$3:$B$4098,'Truth Table'!$U$3:$U$4098)=1,P325&gt;='Line Follower'!$C$6)</f>
        <v>0</v>
      </c>
      <c r="X326" s="4" t="b">
        <f>IFERROR(AND(_xlfn.XLOOKUP(_xlfn.TEXTJOIN(,,D326:O326),Aux!$B$3:$B$4098,'Truth Table'!$V$3:$V$4098)=1,ABS(P325)&lt;='Line Follower'!$C$6),FALSE)</f>
        <v>0</v>
      </c>
      <c r="Y326" s="4" t="b">
        <f t="shared" si="5"/>
        <v>1</v>
      </c>
    </row>
    <row r="327" spans="2:25" x14ac:dyDescent="0.25">
      <c r="B327" s="4">
        <v>324</v>
      </c>
      <c r="C327" s="4">
        <v>2311</v>
      </c>
      <c r="D327" s="4">
        <v>0</v>
      </c>
      <c r="E327" s="4">
        <v>0</v>
      </c>
      <c r="F327" s="4">
        <v>1</v>
      </c>
      <c r="G327" s="4">
        <v>1</v>
      </c>
      <c r="H327" s="4">
        <v>0</v>
      </c>
      <c r="I327" s="4">
        <v>0</v>
      </c>
      <c r="J327" s="4">
        <v>0</v>
      </c>
      <c r="K327" s="4">
        <v>0</v>
      </c>
      <c r="L327" s="4">
        <v>0</v>
      </c>
      <c r="M327" s="4">
        <v>0</v>
      </c>
      <c r="N327" s="4">
        <v>0</v>
      </c>
      <c r="O327" s="4">
        <v>0</v>
      </c>
      <c r="P327" s="51">
        <f>IFERROR(_xlfn.XLOOKUP(_xlfn.TEXTJOIN(,,D326:O326),Aux!$B$3:$B$4098,'Truth Table'!$N$3:$N$4098),P326)</f>
        <v>-4</v>
      </c>
      <c r="Q327" s="4" t="b" cm="1">
        <f t="array" ref="Q327:U327">IFERROR(_xlfn.XLOOKUP(_xlfn.TEXTJOIN(,,D327:O327),Aux!$B$3:$B$4098,'Truth Table'!$O$3:$S$4098)=1,FALSE)</f>
        <v>1</v>
      </c>
      <c r="R327" s="4" t="b">
        <v>0</v>
      </c>
      <c r="S327" s="4" t="b">
        <v>0</v>
      </c>
      <c r="T327" s="4" t="b">
        <v>0</v>
      </c>
      <c r="U327" s="4" t="b">
        <v>0</v>
      </c>
      <c r="V327" s="4" t="b">
        <f>AND(_xlfn.XLOOKUP(_xlfn.TEXTJOIN(,,D327:O327),Aux!$B$3:$B$4098,'Truth Table'!$T$3:$T$4098)=1,P326&lt;='Line Follower'!$C$7)</f>
        <v>0</v>
      </c>
      <c r="W327" s="4" t="b">
        <f>AND(_xlfn.XLOOKUP(_xlfn.TEXTJOIN(,,D327:O327),Aux!$B$3:$B$4098,'Truth Table'!$U$3:$U$4098)=1,P326&gt;='Line Follower'!$C$6)</f>
        <v>0</v>
      </c>
      <c r="X327" s="4" t="b">
        <f>IFERROR(AND(_xlfn.XLOOKUP(_xlfn.TEXTJOIN(,,D327:O327),Aux!$B$3:$B$4098,'Truth Table'!$V$3:$V$4098)=1,ABS(P326)&lt;='Line Follower'!$C$6),FALSE)</f>
        <v>0</v>
      </c>
      <c r="Y327" s="4" t="b">
        <f t="shared" si="5"/>
        <v>1</v>
      </c>
    </row>
    <row r="328" spans="2:25" x14ac:dyDescent="0.25">
      <c r="B328" s="4">
        <v>325</v>
      </c>
      <c r="C328" s="4">
        <v>2319</v>
      </c>
      <c r="D328" s="4">
        <v>0</v>
      </c>
      <c r="E328" s="4">
        <v>0</v>
      </c>
      <c r="F328" s="4">
        <v>1</v>
      </c>
      <c r="G328" s="4">
        <v>1</v>
      </c>
      <c r="H328" s="4">
        <v>0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51">
        <f>IFERROR(_xlfn.XLOOKUP(_xlfn.TEXTJOIN(,,D327:O327),Aux!$B$3:$B$4098,'Truth Table'!$N$3:$N$4098),P327)</f>
        <v>-4</v>
      </c>
      <c r="Q328" s="4" t="b" cm="1">
        <f t="array" ref="Q328:U328">IFERROR(_xlfn.XLOOKUP(_xlfn.TEXTJOIN(,,D328:O328),Aux!$B$3:$B$4098,'Truth Table'!$O$3:$S$4098)=1,FALSE)</f>
        <v>1</v>
      </c>
      <c r="R328" s="4" t="b">
        <v>0</v>
      </c>
      <c r="S328" s="4" t="b">
        <v>0</v>
      </c>
      <c r="T328" s="4" t="b">
        <v>0</v>
      </c>
      <c r="U328" s="4" t="b">
        <v>0</v>
      </c>
      <c r="V328" s="4" t="b">
        <f>AND(_xlfn.XLOOKUP(_xlfn.TEXTJOIN(,,D328:O328),Aux!$B$3:$B$4098,'Truth Table'!$T$3:$T$4098)=1,P327&lt;='Line Follower'!$C$7)</f>
        <v>0</v>
      </c>
      <c r="W328" s="4" t="b">
        <f>AND(_xlfn.XLOOKUP(_xlfn.TEXTJOIN(,,D328:O328),Aux!$B$3:$B$4098,'Truth Table'!$U$3:$U$4098)=1,P327&gt;='Line Follower'!$C$6)</f>
        <v>0</v>
      </c>
      <c r="X328" s="4" t="b">
        <f>IFERROR(AND(_xlfn.XLOOKUP(_xlfn.TEXTJOIN(,,D328:O328),Aux!$B$3:$B$4098,'Truth Table'!$V$3:$V$4098)=1,ABS(P327)&lt;='Line Follower'!$C$6),FALSE)</f>
        <v>0</v>
      </c>
      <c r="Y328" s="4" t="b">
        <f t="shared" si="5"/>
        <v>1</v>
      </c>
    </row>
    <row r="329" spans="2:25" x14ac:dyDescent="0.25">
      <c r="B329" s="4">
        <v>326</v>
      </c>
      <c r="C329" s="4">
        <v>2334</v>
      </c>
      <c r="D329" s="4">
        <v>0</v>
      </c>
      <c r="E329" s="4">
        <v>0</v>
      </c>
      <c r="F329" s="4">
        <v>1</v>
      </c>
      <c r="G329" s="4">
        <v>1</v>
      </c>
      <c r="H329" s="4">
        <v>0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51">
        <f>IFERROR(_xlfn.XLOOKUP(_xlfn.TEXTJOIN(,,D328:O328),Aux!$B$3:$B$4098,'Truth Table'!$N$3:$N$4098),P328)</f>
        <v>-4</v>
      </c>
      <c r="Q329" s="4" t="b" cm="1">
        <f t="array" ref="Q329:U329">IFERROR(_xlfn.XLOOKUP(_xlfn.TEXTJOIN(,,D329:O329),Aux!$B$3:$B$4098,'Truth Table'!$O$3:$S$4098)=1,FALSE)</f>
        <v>1</v>
      </c>
      <c r="R329" s="4" t="b">
        <v>0</v>
      </c>
      <c r="S329" s="4" t="b">
        <v>0</v>
      </c>
      <c r="T329" s="4" t="b">
        <v>0</v>
      </c>
      <c r="U329" s="4" t="b">
        <v>0</v>
      </c>
      <c r="V329" s="4" t="b">
        <f>AND(_xlfn.XLOOKUP(_xlfn.TEXTJOIN(,,D329:O329),Aux!$B$3:$B$4098,'Truth Table'!$T$3:$T$4098)=1,P328&lt;='Line Follower'!$C$7)</f>
        <v>0</v>
      </c>
      <c r="W329" s="4" t="b">
        <f>AND(_xlfn.XLOOKUP(_xlfn.TEXTJOIN(,,D329:O329),Aux!$B$3:$B$4098,'Truth Table'!$U$3:$U$4098)=1,P328&gt;='Line Follower'!$C$6)</f>
        <v>0</v>
      </c>
      <c r="X329" s="4" t="b">
        <f>IFERROR(AND(_xlfn.XLOOKUP(_xlfn.TEXTJOIN(,,D329:O329),Aux!$B$3:$B$4098,'Truth Table'!$V$3:$V$4098)=1,ABS(P328)&lt;='Line Follower'!$C$6),FALSE)</f>
        <v>0</v>
      </c>
      <c r="Y329" s="4" t="b">
        <f t="shared" si="5"/>
        <v>1</v>
      </c>
    </row>
    <row r="330" spans="2:25" x14ac:dyDescent="0.25">
      <c r="B330" s="4">
        <v>327</v>
      </c>
      <c r="C330" s="4">
        <v>2339</v>
      </c>
      <c r="D330" s="4">
        <v>0</v>
      </c>
      <c r="E330" s="4">
        <v>0</v>
      </c>
      <c r="F330" s="4">
        <v>1</v>
      </c>
      <c r="G330" s="4">
        <v>1</v>
      </c>
      <c r="H330" s="4">
        <v>0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  <c r="P330" s="51">
        <f>IFERROR(_xlfn.XLOOKUP(_xlfn.TEXTJOIN(,,D329:O329),Aux!$B$3:$B$4098,'Truth Table'!$N$3:$N$4098),P329)</f>
        <v>-4</v>
      </c>
      <c r="Q330" s="4" t="b" cm="1">
        <f t="array" ref="Q330:U330">IFERROR(_xlfn.XLOOKUP(_xlfn.TEXTJOIN(,,D330:O330),Aux!$B$3:$B$4098,'Truth Table'!$O$3:$S$4098)=1,FALSE)</f>
        <v>1</v>
      </c>
      <c r="R330" s="4" t="b">
        <v>0</v>
      </c>
      <c r="S330" s="4" t="b">
        <v>0</v>
      </c>
      <c r="T330" s="4" t="b">
        <v>0</v>
      </c>
      <c r="U330" s="4" t="b">
        <v>0</v>
      </c>
      <c r="V330" s="4" t="b">
        <f>AND(_xlfn.XLOOKUP(_xlfn.TEXTJOIN(,,D330:O330),Aux!$B$3:$B$4098,'Truth Table'!$T$3:$T$4098)=1,P329&lt;='Line Follower'!$C$7)</f>
        <v>0</v>
      </c>
      <c r="W330" s="4" t="b">
        <f>AND(_xlfn.XLOOKUP(_xlfn.TEXTJOIN(,,D330:O330),Aux!$B$3:$B$4098,'Truth Table'!$U$3:$U$4098)=1,P329&gt;='Line Follower'!$C$6)</f>
        <v>0</v>
      </c>
      <c r="X330" s="4" t="b">
        <f>IFERROR(AND(_xlfn.XLOOKUP(_xlfn.TEXTJOIN(,,D330:O330),Aux!$B$3:$B$4098,'Truth Table'!$V$3:$V$4098)=1,ABS(P329)&lt;='Line Follower'!$C$6),FALSE)</f>
        <v>0</v>
      </c>
      <c r="Y330" s="4" t="b">
        <f t="shared" si="5"/>
        <v>1</v>
      </c>
    </row>
    <row r="331" spans="2:25" x14ac:dyDescent="0.25">
      <c r="B331" s="4">
        <v>328</v>
      </c>
      <c r="C331" s="4">
        <v>2353</v>
      </c>
      <c r="D331" s="4">
        <v>0</v>
      </c>
      <c r="E331" s="4">
        <v>0</v>
      </c>
      <c r="F331" s="4">
        <v>1</v>
      </c>
      <c r="G331" s="4">
        <v>1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  <c r="O331" s="4">
        <v>0</v>
      </c>
      <c r="P331" s="51">
        <f>IFERROR(_xlfn.XLOOKUP(_xlfn.TEXTJOIN(,,D330:O330),Aux!$B$3:$B$4098,'Truth Table'!$N$3:$N$4098),P330)</f>
        <v>-4</v>
      </c>
      <c r="Q331" s="4" t="b" cm="1">
        <f t="array" ref="Q331:U331">IFERROR(_xlfn.XLOOKUP(_xlfn.TEXTJOIN(,,D331:O331),Aux!$B$3:$B$4098,'Truth Table'!$O$3:$S$4098)=1,FALSE)</f>
        <v>1</v>
      </c>
      <c r="R331" s="4" t="b">
        <v>0</v>
      </c>
      <c r="S331" s="4" t="b">
        <v>0</v>
      </c>
      <c r="T331" s="4" t="b">
        <v>0</v>
      </c>
      <c r="U331" s="4" t="b">
        <v>0</v>
      </c>
      <c r="V331" s="4" t="b">
        <f>AND(_xlfn.XLOOKUP(_xlfn.TEXTJOIN(,,D331:O331),Aux!$B$3:$B$4098,'Truth Table'!$T$3:$T$4098)=1,P330&lt;='Line Follower'!$C$7)</f>
        <v>0</v>
      </c>
      <c r="W331" s="4" t="b">
        <f>AND(_xlfn.XLOOKUP(_xlfn.TEXTJOIN(,,D331:O331),Aux!$B$3:$B$4098,'Truth Table'!$U$3:$U$4098)=1,P330&gt;='Line Follower'!$C$6)</f>
        <v>0</v>
      </c>
      <c r="X331" s="4" t="b">
        <f>IFERROR(AND(_xlfn.XLOOKUP(_xlfn.TEXTJOIN(,,D331:O331),Aux!$B$3:$B$4098,'Truth Table'!$V$3:$V$4098)=1,ABS(P330)&lt;='Line Follower'!$C$6),FALSE)</f>
        <v>0</v>
      </c>
      <c r="Y331" s="4" t="b">
        <f t="shared" si="5"/>
        <v>1</v>
      </c>
    </row>
    <row r="332" spans="2:25" x14ac:dyDescent="0.25">
      <c r="B332" s="4">
        <v>329</v>
      </c>
      <c r="C332" s="4">
        <v>2367</v>
      </c>
      <c r="D332" s="4">
        <v>0</v>
      </c>
      <c r="E332" s="4">
        <v>0</v>
      </c>
      <c r="F332" s="4">
        <v>1</v>
      </c>
      <c r="G332" s="4">
        <v>1</v>
      </c>
      <c r="H332" s="4">
        <v>0</v>
      </c>
      <c r="I332" s="4">
        <v>0</v>
      </c>
      <c r="J332" s="4">
        <v>0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  <c r="P332" s="51">
        <f>IFERROR(_xlfn.XLOOKUP(_xlfn.TEXTJOIN(,,D331:O331),Aux!$B$3:$B$4098,'Truth Table'!$N$3:$N$4098),P331)</f>
        <v>-4</v>
      </c>
      <c r="Q332" s="4" t="b" cm="1">
        <f t="array" ref="Q332:U332">IFERROR(_xlfn.XLOOKUP(_xlfn.TEXTJOIN(,,D332:O332),Aux!$B$3:$B$4098,'Truth Table'!$O$3:$S$4098)=1,FALSE)</f>
        <v>1</v>
      </c>
      <c r="R332" s="4" t="b">
        <v>0</v>
      </c>
      <c r="S332" s="4" t="b">
        <v>0</v>
      </c>
      <c r="T332" s="4" t="b">
        <v>0</v>
      </c>
      <c r="U332" s="4" t="b">
        <v>0</v>
      </c>
      <c r="V332" s="4" t="b">
        <f>AND(_xlfn.XLOOKUP(_xlfn.TEXTJOIN(,,D332:O332),Aux!$B$3:$B$4098,'Truth Table'!$T$3:$T$4098)=1,P331&lt;='Line Follower'!$C$7)</f>
        <v>0</v>
      </c>
      <c r="W332" s="4" t="b">
        <f>AND(_xlfn.XLOOKUP(_xlfn.TEXTJOIN(,,D332:O332),Aux!$B$3:$B$4098,'Truth Table'!$U$3:$U$4098)=1,P331&gt;='Line Follower'!$C$6)</f>
        <v>0</v>
      </c>
      <c r="X332" s="4" t="b">
        <f>IFERROR(AND(_xlfn.XLOOKUP(_xlfn.TEXTJOIN(,,D332:O332),Aux!$B$3:$B$4098,'Truth Table'!$V$3:$V$4098)=1,ABS(P331)&lt;='Line Follower'!$C$6),FALSE)</f>
        <v>0</v>
      </c>
      <c r="Y332" s="4" t="b">
        <f t="shared" si="5"/>
        <v>1</v>
      </c>
    </row>
    <row r="333" spans="2:25" x14ac:dyDescent="0.25">
      <c r="B333" s="4">
        <v>330</v>
      </c>
      <c r="C333" s="4">
        <v>2372</v>
      </c>
      <c r="D333" s="4">
        <v>0</v>
      </c>
      <c r="E333" s="4">
        <v>0</v>
      </c>
      <c r="F333" s="4">
        <v>1</v>
      </c>
      <c r="G333" s="4">
        <v>1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0</v>
      </c>
      <c r="O333" s="4">
        <v>0</v>
      </c>
      <c r="P333" s="51">
        <f>IFERROR(_xlfn.XLOOKUP(_xlfn.TEXTJOIN(,,D332:O332),Aux!$B$3:$B$4098,'Truth Table'!$N$3:$N$4098),P332)</f>
        <v>-4</v>
      </c>
      <c r="Q333" s="4" t="b" cm="1">
        <f t="array" ref="Q333:U333">IFERROR(_xlfn.XLOOKUP(_xlfn.TEXTJOIN(,,D333:O333),Aux!$B$3:$B$4098,'Truth Table'!$O$3:$S$4098)=1,FALSE)</f>
        <v>1</v>
      </c>
      <c r="R333" s="4" t="b">
        <v>0</v>
      </c>
      <c r="S333" s="4" t="b">
        <v>0</v>
      </c>
      <c r="T333" s="4" t="b">
        <v>0</v>
      </c>
      <c r="U333" s="4" t="b">
        <v>0</v>
      </c>
      <c r="V333" s="4" t="b">
        <f>AND(_xlfn.XLOOKUP(_xlfn.TEXTJOIN(,,D333:O333),Aux!$B$3:$B$4098,'Truth Table'!$T$3:$T$4098)=1,P332&lt;='Line Follower'!$C$7)</f>
        <v>0</v>
      </c>
      <c r="W333" s="4" t="b">
        <f>AND(_xlfn.XLOOKUP(_xlfn.TEXTJOIN(,,D333:O333),Aux!$B$3:$B$4098,'Truth Table'!$U$3:$U$4098)=1,P332&gt;='Line Follower'!$C$6)</f>
        <v>0</v>
      </c>
      <c r="X333" s="4" t="b">
        <f>IFERROR(AND(_xlfn.XLOOKUP(_xlfn.TEXTJOIN(,,D333:O333),Aux!$B$3:$B$4098,'Truth Table'!$V$3:$V$4098)=1,ABS(P332)&lt;='Line Follower'!$C$6),FALSE)</f>
        <v>0</v>
      </c>
      <c r="Y333" s="4" t="b">
        <f t="shared" si="5"/>
        <v>1</v>
      </c>
    </row>
    <row r="334" spans="2:25" x14ac:dyDescent="0.25">
      <c r="B334" s="4">
        <v>331</v>
      </c>
      <c r="C334" s="4">
        <v>2385</v>
      </c>
      <c r="D334" s="4">
        <v>0</v>
      </c>
      <c r="E334" s="4">
        <v>0</v>
      </c>
      <c r="F334" s="4">
        <v>1</v>
      </c>
      <c r="G334" s="4">
        <v>1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  <c r="P334" s="51">
        <f>IFERROR(_xlfn.XLOOKUP(_xlfn.TEXTJOIN(,,D333:O333),Aux!$B$3:$B$4098,'Truth Table'!$N$3:$N$4098),P333)</f>
        <v>-4</v>
      </c>
      <c r="Q334" s="4" t="b" cm="1">
        <f t="array" ref="Q334:U334">IFERROR(_xlfn.XLOOKUP(_xlfn.TEXTJOIN(,,D334:O334),Aux!$B$3:$B$4098,'Truth Table'!$O$3:$S$4098)=1,FALSE)</f>
        <v>1</v>
      </c>
      <c r="R334" s="4" t="b">
        <v>0</v>
      </c>
      <c r="S334" s="4" t="b">
        <v>0</v>
      </c>
      <c r="T334" s="4" t="b">
        <v>0</v>
      </c>
      <c r="U334" s="4" t="b">
        <v>0</v>
      </c>
      <c r="V334" s="4" t="b">
        <f>AND(_xlfn.XLOOKUP(_xlfn.TEXTJOIN(,,D334:O334),Aux!$B$3:$B$4098,'Truth Table'!$T$3:$T$4098)=1,P333&lt;='Line Follower'!$C$7)</f>
        <v>0</v>
      </c>
      <c r="W334" s="4" t="b">
        <f>AND(_xlfn.XLOOKUP(_xlfn.TEXTJOIN(,,D334:O334),Aux!$B$3:$B$4098,'Truth Table'!$U$3:$U$4098)=1,P333&gt;='Line Follower'!$C$6)</f>
        <v>0</v>
      </c>
      <c r="X334" s="4" t="b">
        <f>IFERROR(AND(_xlfn.XLOOKUP(_xlfn.TEXTJOIN(,,D334:O334),Aux!$B$3:$B$4098,'Truth Table'!$V$3:$V$4098)=1,ABS(P333)&lt;='Line Follower'!$C$6),FALSE)</f>
        <v>0</v>
      </c>
      <c r="Y334" s="4" t="b">
        <f t="shared" si="5"/>
        <v>1</v>
      </c>
    </row>
    <row r="335" spans="2:25" x14ac:dyDescent="0.25">
      <c r="B335" s="4">
        <v>332</v>
      </c>
      <c r="C335" s="4">
        <v>2394</v>
      </c>
      <c r="D335" s="4">
        <v>0</v>
      </c>
      <c r="E335" s="4">
        <v>0</v>
      </c>
      <c r="F335" s="4">
        <v>1</v>
      </c>
      <c r="G335" s="4">
        <v>1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  <c r="O335" s="4">
        <v>0</v>
      </c>
      <c r="P335" s="51">
        <f>IFERROR(_xlfn.XLOOKUP(_xlfn.TEXTJOIN(,,D334:O334),Aux!$B$3:$B$4098,'Truth Table'!$N$3:$N$4098),P334)</f>
        <v>-4</v>
      </c>
      <c r="Q335" s="4" t="b" cm="1">
        <f t="array" ref="Q335:U335">IFERROR(_xlfn.XLOOKUP(_xlfn.TEXTJOIN(,,D335:O335),Aux!$B$3:$B$4098,'Truth Table'!$O$3:$S$4098)=1,FALSE)</f>
        <v>1</v>
      </c>
      <c r="R335" s="4" t="b">
        <v>0</v>
      </c>
      <c r="S335" s="4" t="b">
        <v>0</v>
      </c>
      <c r="T335" s="4" t="b">
        <v>0</v>
      </c>
      <c r="U335" s="4" t="b">
        <v>0</v>
      </c>
      <c r="V335" s="4" t="b">
        <f>AND(_xlfn.XLOOKUP(_xlfn.TEXTJOIN(,,D335:O335),Aux!$B$3:$B$4098,'Truth Table'!$T$3:$T$4098)=1,P334&lt;='Line Follower'!$C$7)</f>
        <v>0</v>
      </c>
      <c r="W335" s="4" t="b">
        <f>AND(_xlfn.XLOOKUP(_xlfn.TEXTJOIN(,,D335:O335),Aux!$B$3:$B$4098,'Truth Table'!$U$3:$U$4098)=1,P334&gt;='Line Follower'!$C$6)</f>
        <v>0</v>
      </c>
      <c r="X335" s="4" t="b">
        <f>IFERROR(AND(_xlfn.XLOOKUP(_xlfn.TEXTJOIN(,,D335:O335),Aux!$B$3:$B$4098,'Truth Table'!$V$3:$V$4098)=1,ABS(P334)&lt;='Line Follower'!$C$6),FALSE)</f>
        <v>0</v>
      </c>
      <c r="Y335" s="4" t="b">
        <f t="shared" si="5"/>
        <v>1</v>
      </c>
    </row>
    <row r="336" spans="2:25" x14ac:dyDescent="0.25">
      <c r="B336" s="4">
        <v>333</v>
      </c>
      <c r="C336" s="4">
        <v>2403</v>
      </c>
      <c r="D336" s="4">
        <v>0</v>
      </c>
      <c r="E336" s="4">
        <v>0</v>
      </c>
      <c r="F336" s="4">
        <v>1</v>
      </c>
      <c r="G336" s="4">
        <v>1</v>
      </c>
      <c r="H336" s="4">
        <v>0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  <c r="O336" s="4">
        <v>0</v>
      </c>
      <c r="P336" s="51">
        <f>IFERROR(_xlfn.XLOOKUP(_xlfn.TEXTJOIN(,,D335:O335),Aux!$B$3:$B$4098,'Truth Table'!$N$3:$N$4098),P335)</f>
        <v>-4</v>
      </c>
      <c r="Q336" s="4" t="b" cm="1">
        <f t="array" ref="Q336:U336">IFERROR(_xlfn.XLOOKUP(_xlfn.TEXTJOIN(,,D336:O336),Aux!$B$3:$B$4098,'Truth Table'!$O$3:$S$4098)=1,FALSE)</f>
        <v>1</v>
      </c>
      <c r="R336" s="4" t="b">
        <v>0</v>
      </c>
      <c r="S336" s="4" t="b">
        <v>0</v>
      </c>
      <c r="T336" s="4" t="b">
        <v>0</v>
      </c>
      <c r="U336" s="4" t="b">
        <v>0</v>
      </c>
      <c r="V336" s="4" t="b">
        <f>AND(_xlfn.XLOOKUP(_xlfn.TEXTJOIN(,,D336:O336),Aux!$B$3:$B$4098,'Truth Table'!$T$3:$T$4098)=1,P335&lt;='Line Follower'!$C$7)</f>
        <v>0</v>
      </c>
      <c r="W336" s="4" t="b">
        <f>AND(_xlfn.XLOOKUP(_xlfn.TEXTJOIN(,,D336:O336),Aux!$B$3:$B$4098,'Truth Table'!$U$3:$U$4098)=1,P335&gt;='Line Follower'!$C$6)</f>
        <v>0</v>
      </c>
      <c r="X336" s="4" t="b">
        <f>IFERROR(AND(_xlfn.XLOOKUP(_xlfn.TEXTJOIN(,,D336:O336),Aux!$B$3:$B$4098,'Truth Table'!$V$3:$V$4098)=1,ABS(P335)&lt;='Line Follower'!$C$6),FALSE)</f>
        <v>0</v>
      </c>
      <c r="Y336" s="4" t="b">
        <f t="shared" si="5"/>
        <v>1</v>
      </c>
    </row>
    <row r="337" spans="2:25" x14ac:dyDescent="0.25">
      <c r="B337" s="4">
        <v>334</v>
      </c>
      <c r="C337" s="4">
        <v>2414</v>
      </c>
      <c r="D337" s="4">
        <v>0</v>
      </c>
      <c r="E337" s="4">
        <v>0</v>
      </c>
      <c r="F337" s="4">
        <v>1</v>
      </c>
      <c r="G337" s="4">
        <v>1</v>
      </c>
      <c r="H337" s="4">
        <v>0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  <c r="N337" s="4">
        <v>0</v>
      </c>
      <c r="O337" s="4">
        <v>0</v>
      </c>
      <c r="P337" s="51">
        <f>IFERROR(_xlfn.XLOOKUP(_xlfn.TEXTJOIN(,,D336:O336),Aux!$B$3:$B$4098,'Truth Table'!$N$3:$N$4098),P336)</f>
        <v>-4</v>
      </c>
      <c r="Q337" s="4" t="b" cm="1">
        <f t="array" ref="Q337:U337">IFERROR(_xlfn.XLOOKUP(_xlfn.TEXTJOIN(,,D337:O337),Aux!$B$3:$B$4098,'Truth Table'!$O$3:$S$4098)=1,FALSE)</f>
        <v>1</v>
      </c>
      <c r="R337" s="4" t="b">
        <v>0</v>
      </c>
      <c r="S337" s="4" t="b">
        <v>0</v>
      </c>
      <c r="T337" s="4" t="b">
        <v>0</v>
      </c>
      <c r="U337" s="4" t="b">
        <v>0</v>
      </c>
      <c r="V337" s="4" t="b">
        <f>AND(_xlfn.XLOOKUP(_xlfn.TEXTJOIN(,,D337:O337),Aux!$B$3:$B$4098,'Truth Table'!$T$3:$T$4098)=1,P336&lt;='Line Follower'!$C$7)</f>
        <v>0</v>
      </c>
      <c r="W337" s="4" t="b">
        <f>AND(_xlfn.XLOOKUP(_xlfn.TEXTJOIN(,,D337:O337),Aux!$B$3:$B$4098,'Truth Table'!$U$3:$U$4098)=1,P336&gt;='Line Follower'!$C$6)</f>
        <v>0</v>
      </c>
      <c r="X337" s="4" t="b">
        <f>IFERROR(AND(_xlfn.XLOOKUP(_xlfn.TEXTJOIN(,,D337:O337),Aux!$B$3:$B$4098,'Truth Table'!$V$3:$V$4098)=1,ABS(P336)&lt;='Line Follower'!$C$6),FALSE)</f>
        <v>0</v>
      </c>
      <c r="Y337" s="4" t="b">
        <f t="shared" si="5"/>
        <v>1</v>
      </c>
    </row>
    <row r="338" spans="2:25" x14ac:dyDescent="0.25">
      <c r="B338" s="4">
        <v>335</v>
      </c>
      <c r="C338" s="4">
        <v>2423</v>
      </c>
      <c r="D338" s="4">
        <v>0</v>
      </c>
      <c r="E338" s="4">
        <v>0</v>
      </c>
      <c r="F338" s="4">
        <v>1</v>
      </c>
      <c r="G338" s="4">
        <v>1</v>
      </c>
      <c r="H338" s="4">
        <v>0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4">
        <v>0</v>
      </c>
      <c r="P338" s="51">
        <f>IFERROR(_xlfn.XLOOKUP(_xlfn.TEXTJOIN(,,D337:O337),Aux!$B$3:$B$4098,'Truth Table'!$N$3:$N$4098),P337)</f>
        <v>-4</v>
      </c>
      <c r="Q338" s="4" t="b" cm="1">
        <f t="array" ref="Q338:U338">IFERROR(_xlfn.XLOOKUP(_xlfn.TEXTJOIN(,,D338:O338),Aux!$B$3:$B$4098,'Truth Table'!$O$3:$S$4098)=1,FALSE)</f>
        <v>1</v>
      </c>
      <c r="R338" s="4" t="b">
        <v>0</v>
      </c>
      <c r="S338" s="4" t="b">
        <v>0</v>
      </c>
      <c r="T338" s="4" t="b">
        <v>0</v>
      </c>
      <c r="U338" s="4" t="b">
        <v>0</v>
      </c>
      <c r="V338" s="4" t="b">
        <f>AND(_xlfn.XLOOKUP(_xlfn.TEXTJOIN(,,D338:O338),Aux!$B$3:$B$4098,'Truth Table'!$T$3:$T$4098)=1,P337&lt;='Line Follower'!$C$7)</f>
        <v>0</v>
      </c>
      <c r="W338" s="4" t="b">
        <f>AND(_xlfn.XLOOKUP(_xlfn.TEXTJOIN(,,D338:O338),Aux!$B$3:$B$4098,'Truth Table'!$U$3:$U$4098)=1,P337&gt;='Line Follower'!$C$6)</f>
        <v>0</v>
      </c>
      <c r="X338" s="4" t="b">
        <f>IFERROR(AND(_xlfn.XLOOKUP(_xlfn.TEXTJOIN(,,D338:O338),Aux!$B$3:$B$4098,'Truth Table'!$V$3:$V$4098)=1,ABS(P337)&lt;='Line Follower'!$C$6),FALSE)</f>
        <v>0</v>
      </c>
      <c r="Y338" s="4" t="b">
        <f t="shared" si="5"/>
        <v>1</v>
      </c>
    </row>
    <row r="339" spans="2:25" x14ac:dyDescent="0.25">
      <c r="B339" s="4">
        <v>336</v>
      </c>
      <c r="C339" s="4">
        <v>2437</v>
      </c>
      <c r="D339" s="4">
        <v>0</v>
      </c>
      <c r="E339" s="4">
        <v>0</v>
      </c>
      <c r="F339" s="4">
        <v>1</v>
      </c>
      <c r="G339" s="4">
        <v>1</v>
      </c>
      <c r="H339" s="4">
        <v>0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  <c r="N339" s="4">
        <v>0</v>
      </c>
      <c r="O339" s="4">
        <v>0</v>
      </c>
      <c r="P339" s="51">
        <f>IFERROR(_xlfn.XLOOKUP(_xlfn.TEXTJOIN(,,D338:O338),Aux!$B$3:$B$4098,'Truth Table'!$N$3:$N$4098),P338)</f>
        <v>-4</v>
      </c>
      <c r="Q339" s="4" t="b" cm="1">
        <f t="array" ref="Q339:U339">IFERROR(_xlfn.XLOOKUP(_xlfn.TEXTJOIN(,,D339:O339),Aux!$B$3:$B$4098,'Truth Table'!$O$3:$S$4098)=1,FALSE)</f>
        <v>1</v>
      </c>
      <c r="R339" s="4" t="b">
        <v>0</v>
      </c>
      <c r="S339" s="4" t="b">
        <v>0</v>
      </c>
      <c r="T339" s="4" t="b">
        <v>0</v>
      </c>
      <c r="U339" s="4" t="b">
        <v>0</v>
      </c>
      <c r="V339" s="4" t="b">
        <f>AND(_xlfn.XLOOKUP(_xlfn.TEXTJOIN(,,D339:O339),Aux!$B$3:$B$4098,'Truth Table'!$T$3:$T$4098)=1,P338&lt;='Line Follower'!$C$7)</f>
        <v>0</v>
      </c>
      <c r="W339" s="4" t="b">
        <f>AND(_xlfn.XLOOKUP(_xlfn.TEXTJOIN(,,D339:O339),Aux!$B$3:$B$4098,'Truth Table'!$U$3:$U$4098)=1,P338&gt;='Line Follower'!$C$6)</f>
        <v>0</v>
      </c>
      <c r="X339" s="4" t="b">
        <f>IFERROR(AND(_xlfn.XLOOKUP(_xlfn.TEXTJOIN(,,D339:O339),Aux!$B$3:$B$4098,'Truth Table'!$V$3:$V$4098)=1,ABS(P338)&lt;='Line Follower'!$C$6),FALSE)</f>
        <v>0</v>
      </c>
      <c r="Y339" s="4" t="b">
        <f t="shared" si="5"/>
        <v>1</v>
      </c>
    </row>
    <row r="340" spans="2:25" x14ac:dyDescent="0.25">
      <c r="B340" s="4">
        <v>337</v>
      </c>
      <c r="C340" s="4">
        <v>2446</v>
      </c>
      <c r="D340" s="4">
        <v>0</v>
      </c>
      <c r="E340" s="4">
        <v>0</v>
      </c>
      <c r="F340" s="4">
        <v>1</v>
      </c>
      <c r="G340" s="4">
        <v>1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51">
        <f>IFERROR(_xlfn.XLOOKUP(_xlfn.TEXTJOIN(,,D339:O339),Aux!$B$3:$B$4098,'Truth Table'!$N$3:$N$4098),P339)</f>
        <v>-4</v>
      </c>
      <c r="Q340" s="4" t="b" cm="1">
        <f t="array" ref="Q340:U340">IFERROR(_xlfn.XLOOKUP(_xlfn.TEXTJOIN(,,D340:O340),Aux!$B$3:$B$4098,'Truth Table'!$O$3:$S$4098)=1,FALSE)</f>
        <v>1</v>
      </c>
      <c r="R340" s="4" t="b">
        <v>0</v>
      </c>
      <c r="S340" s="4" t="b">
        <v>0</v>
      </c>
      <c r="T340" s="4" t="b">
        <v>0</v>
      </c>
      <c r="U340" s="4" t="b">
        <v>0</v>
      </c>
      <c r="V340" s="4" t="b">
        <f>AND(_xlfn.XLOOKUP(_xlfn.TEXTJOIN(,,D340:O340),Aux!$B$3:$B$4098,'Truth Table'!$T$3:$T$4098)=1,P339&lt;='Line Follower'!$C$7)</f>
        <v>0</v>
      </c>
      <c r="W340" s="4" t="b">
        <f>AND(_xlfn.XLOOKUP(_xlfn.TEXTJOIN(,,D340:O340),Aux!$B$3:$B$4098,'Truth Table'!$U$3:$U$4098)=1,P339&gt;='Line Follower'!$C$6)</f>
        <v>0</v>
      </c>
      <c r="X340" s="4" t="b">
        <f>IFERROR(AND(_xlfn.XLOOKUP(_xlfn.TEXTJOIN(,,D340:O340),Aux!$B$3:$B$4098,'Truth Table'!$V$3:$V$4098)=1,ABS(P339)&lt;='Line Follower'!$C$6),FALSE)</f>
        <v>0</v>
      </c>
      <c r="Y340" s="4" t="b">
        <f t="shared" si="5"/>
        <v>1</v>
      </c>
    </row>
    <row r="341" spans="2:25" x14ac:dyDescent="0.25">
      <c r="B341" s="4">
        <v>338</v>
      </c>
      <c r="C341" s="4">
        <v>2457</v>
      </c>
      <c r="D341" s="4">
        <v>0</v>
      </c>
      <c r="E341" s="4">
        <v>0</v>
      </c>
      <c r="F341" s="4">
        <v>1</v>
      </c>
      <c r="G341" s="4">
        <v>1</v>
      </c>
      <c r="H341" s="4">
        <v>0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  <c r="N341" s="4">
        <v>0</v>
      </c>
      <c r="O341" s="4">
        <v>0</v>
      </c>
      <c r="P341" s="51">
        <f>IFERROR(_xlfn.XLOOKUP(_xlfn.TEXTJOIN(,,D340:O340),Aux!$B$3:$B$4098,'Truth Table'!$N$3:$N$4098),P340)</f>
        <v>-4</v>
      </c>
      <c r="Q341" s="4" t="b" cm="1">
        <f t="array" ref="Q341:U341">IFERROR(_xlfn.XLOOKUP(_xlfn.TEXTJOIN(,,D341:O341),Aux!$B$3:$B$4098,'Truth Table'!$O$3:$S$4098)=1,FALSE)</f>
        <v>1</v>
      </c>
      <c r="R341" s="4" t="b">
        <v>0</v>
      </c>
      <c r="S341" s="4" t="b">
        <v>0</v>
      </c>
      <c r="T341" s="4" t="b">
        <v>0</v>
      </c>
      <c r="U341" s="4" t="b">
        <v>0</v>
      </c>
      <c r="V341" s="4" t="b">
        <f>AND(_xlfn.XLOOKUP(_xlfn.TEXTJOIN(,,D341:O341),Aux!$B$3:$B$4098,'Truth Table'!$T$3:$T$4098)=1,P340&lt;='Line Follower'!$C$7)</f>
        <v>0</v>
      </c>
      <c r="W341" s="4" t="b">
        <f>AND(_xlfn.XLOOKUP(_xlfn.TEXTJOIN(,,D341:O341),Aux!$B$3:$B$4098,'Truth Table'!$U$3:$U$4098)=1,P340&gt;='Line Follower'!$C$6)</f>
        <v>0</v>
      </c>
      <c r="X341" s="4" t="b">
        <f>IFERROR(AND(_xlfn.XLOOKUP(_xlfn.TEXTJOIN(,,D341:O341),Aux!$B$3:$B$4098,'Truth Table'!$V$3:$V$4098)=1,ABS(P340)&lt;='Line Follower'!$C$6),FALSE)</f>
        <v>0</v>
      </c>
      <c r="Y341" s="4" t="b">
        <f t="shared" si="5"/>
        <v>1</v>
      </c>
    </row>
    <row r="342" spans="2:25" x14ac:dyDescent="0.25">
      <c r="B342" s="4">
        <v>339</v>
      </c>
      <c r="C342" s="4">
        <v>2466</v>
      </c>
      <c r="D342" s="4">
        <v>0</v>
      </c>
      <c r="E342" s="4">
        <v>0</v>
      </c>
      <c r="F342" s="4">
        <v>1</v>
      </c>
      <c r="G342" s="4">
        <v>1</v>
      </c>
      <c r="H342" s="4">
        <v>0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0</v>
      </c>
      <c r="O342" s="4">
        <v>0</v>
      </c>
      <c r="P342" s="51">
        <f>IFERROR(_xlfn.XLOOKUP(_xlfn.TEXTJOIN(,,D341:O341),Aux!$B$3:$B$4098,'Truth Table'!$N$3:$N$4098),P341)</f>
        <v>-4</v>
      </c>
      <c r="Q342" s="4" t="b" cm="1">
        <f t="array" ref="Q342:U342">IFERROR(_xlfn.XLOOKUP(_xlfn.TEXTJOIN(,,D342:O342),Aux!$B$3:$B$4098,'Truth Table'!$O$3:$S$4098)=1,FALSE)</f>
        <v>1</v>
      </c>
      <c r="R342" s="4" t="b">
        <v>0</v>
      </c>
      <c r="S342" s="4" t="b">
        <v>0</v>
      </c>
      <c r="T342" s="4" t="b">
        <v>0</v>
      </c>
      <c r="U342" s="4" t="b">
        <v>0</v>
      </c>
      <c r="V342" s="4" t="b">
        <f>AND(_xlfn.XLOOKUP(_xlfn.TEXTJOIN(,,D342:O342),Aux!$B$3:$B$4098,'Truth Table'!$T$3:$T$4098)=1,P341&lt;='Line Follower'!$C$7)</f>
        <v>0</v>
      </c>
      <c r="W342" s="4" t="b">
        <f>AND(_xlfn.XLOOKUP(_xlfn.TEXTJOIN(,,D342:O342),Aux!$B$3:$B$4098,'Truth Table'!$U$3:$U$4098)=1,P341&gt;='Line Follower'!$C$6)</f>
        <v>0</v>
      </c>
      <c r="X342" s="4" t="b">
        <f>IFERROR(AND(_xlfn.XLOOKUP(_xlfn.TEXTJOIN(,,D342:O342),Aux!$B$3:$B$4098,'Truth Table'!$V$3:$V$4098)=1,ABS(P341)&lt;='Line Follower'!$C$6),FALSE)</f>
        <v>0</v>
      </c>
      <c r="Y342" s="4" t="b">
        <f t="shared" si="5"/>
        <v>1</v>
      </c>
    </row>
    <row r="343" spans="2:25" x14ac:dyDescent="0.25">
      <c r="B343" s="4">
        <v>340</v>
      </c>
      <c r="C343" s="4">
        <v>2466</v>
      </c>
      <c r="D343" s="4">
        <v>0</v>
      </c>
      <c r="E343" s="4">
        <v>0</v>
      </c>
      <c r="F343" s="4">
        <v>1</v>
      </c>
      <c r="G343" s="4">
        <v>1</v>
      </c>
      <c r="H343" s="4">
        <v>0</v>
      </c>
      <c r="I343" s="4">
        <v>0</v>
      </c>
      <c r="J343" s="4">
        <v>0</v>
      </c>
      <c r="K343" s="4">
        <v>0</v>
      </c>
      <c r="L343" s="4">
        <v>0</v>
      </c>
      <c r="M343" s="4">
        <v>0</v>
      </c>
      <c r="N343" s="4">
        <v>0</v>
      </c>
      <c r="O343" s="4">
        <v>0</v>
      </c>
      <c r="P343" s="51">
        <f>IFERROR(_xlfn.XLOOKUP(_xlfn.TEXTJOIN(,,D342:O342),Aux!$B$3:$B$4098,'Truth Table'!$N$3:$N$4098),P342)</f>
        <v>-4</v>
      </c>
      <c r="Q343" s="4" t="b" cm="1">
        <f t="array" ref="Q343:U343">IFERROR(_xlfn.XLOOKUP(_xlfn.TEXTJOIN(,,D343:O343),Aux!$B$3:$B$4098,'Truth Table'!$O$3:$S$4098)=1,FALSE)</f>
        <v>1</v>
      </c>
      <c r="R343" s="4" t="b">
        <v>0</v>
      </c>
      <c r="S343" s="4" t="b">
        <v>0</v>
      </c>
      <c r="T343" s="4" t="b">
        <v>0</v>
      </c>
      <c r="U343" s="4" t="b">
        <v>0</v>
      </c>
      <c r="V343" s="4" t="b">
        <f>AND(_xlfn.XLOOKUP(_xlfn.TEXTJOIN(,,D343:O343),Aux!$B$3:$B$4098,'Truth Table'!$T$3:$T$4098)=1,P342&lt;='Line Follower'!$C$7)</f>
        <v>0</v>
      </c>
      <c r="W343" s="4" t="b">
        <f>AND(_xlfn.XLOOKUP(_xlfn.TEXTJOIN(,,D343:O343),Aux!$B$3:$B$4098,'Truth Table'!$U$3:$U$4098)=1,P342&gt;='Line Follower'!$C$6)</f>
        <v>0</v>
      </c>
      <c r="X343" s="4" t="b">
        <f>IFERROR(AND(_xlfn.XLOOKUP(_xlfn.TEXTJOIN(,,D343:O343),Aux!$B$3:$B$4098,'Truth Table'!$V$3:$V$4098)=1,ABS(P342)&lt;='Line Follower'!$C$6),FALSE)</f>
        <v>0</v>
      </c>
      <c r="Y343" s="4" t="b">
        <f t="shared" si="5"/>
        <v>1</v>
      </c>
    </row>
    <row r="344" spans="2:25" x14ac:dyDescent="0.25">
      <c r="B344" s="4">
        <v>341</v>
      </c>
      <c r="C344" s="4">
        <v>2479</v>
      </c>
      <c r="D344" s="4">
        <v>0</v>
      </c>
      <c r="E344" s="4">
        <v>0</v>
      </c>
      <c r="F344" s="4">
        <v>1</v>
      </c>
      <c r="G344" s="4">
        <v>1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0</v>
      </c>
      <c r="O344" s="4">
        <v>0</v>
      </c>
      <c r="P344" s="51">
        <f>IFERROR(_xlfn.XLOOKUP(_xlfn.TEXTJOIN(,,D343:O343),Aux!$B$3:$B$4098,'Truth Table'!$N$3:$N$4098),P343)</f>
        <v>-4</v>
      </c>
      <c r="Q344" s="4" t="b" cm="1">
        <f t="array" ref="Q344:U344">IFERROR(_xlfn.XLOOKUP(_xlfn.TEXTJOIN(,,D344:O344),Aux!$B$3:$B$4098,'Truth Table'!$O$3:$S$4098)=1,FALSE)</f>
        <v>1</v>
      </c>
      <c r="R344" s="4" t="b">
        <v>0</v>
      </c>
      <c r="S344" s="4" t="b">
        <v>0</v>
      </c>
      <c r="T344" s="4" t="b">
        <v>0</v>
      </c>
      <c r="U344" s="4" t="b">
        <v>0</v>
      </c>
      <c r="V344" s="4" t="b">
        <f>AND(_xlfn.XLOOKUP(_xlfn.TEXTJOIN(,,D344:O344),Aux!$B$3:$B$4098,'Truth Table'!$T$3:$T$4098)=1,P343&lt;='Line Follower'!$C$7)</f>
        <v>0</v>
      </c>
      <c r="W344" s="4" t="b">
        <f>AND(_xlfn.XLOOKUP(_xlfn.TEXTJOIN(,,D344:O344),Aux!$B$3:$B$4098,'Truth Table'!$U$3:$U$4098)=1,P343&gt;='Line Follower'!$C$6)</f>
        <v>0</v>
      </c>
      <c r="X344" s="4" t="b">
        <f>IFERROR(AND(_xlfn.XLOOKUP(_xlfn.TEXTJOIN(,,D344:O344),Aux!$B$3:$B$4098,'Truth Table'!$V$3:$V$4098)=1,ABS(P343)&lt;='Line Follower'!$C$6),FALSE)</f>
        <v>0</v>
      </c>
      <c r="Y344" s="4" t="b">
        <f t="shared" si="5"/>
        <v>1</v>
      </c>
    </row>
    <row r="345" spans="2:25" x14ac:dyDescent="0.25">
      <c r="B345" s="4">
        <v>342</v>
      </c>
      <c r="C345" s="4">
        <v>2488</v>
      </c>
      <c r="D345" s="4">
        <v>0</v>
      </c>
      <c r="E345" s="4">
        <v>0</v>
      </c>
      <c r="F345" s="4">
        <v>1</v>
      </c>
      <c r="G345" s="4">
        <v>1</v>
      </c>
      <c r="H345" s="4">
        <v>1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4">
        <v>0</v>
      </c>
      <c r="O345" s="4">
        <v>0</v>
      </c>
      <c r="P345" s="51">
        <f>IFERROR(_xlfn.XLOOKUP(_xlfn.TEXTJOIN(,,D344:O344),Aux!$B$3:$B$4098,'Truth Table'!$N$3:$N$4098),P344)</f>
        <v>-4</v>
      </c>
      <c r="Q345" s="4" t="b" cm="1">
        <f t="array" ref="Q345:U345">IFERROR(_xlfn.XLOOKUP(_xlfn.TEXTJOIN(,,D345:O345),Aux!$B$3:$B$4098,'Truth Table'!$O$3:$S$4098)=1,FALSE)</f>
        <v>1</v>
      </c>
      <c r="R345" s="4" t="b">
        <v>0</v>
      </c>
      <c r="S345" s="4" t="b">
        <v>0</v>
      </c>
      <c r="T345" s="4" t="b">
        <v>0</v>
      </c>
      <c r="U345" s="4" t="b">
        <v>0</v>
      </c>
      <c r="V345" s="4" t="b">
        <f>AND(_xlfn.XLOOKUP(_xlfn.TEXTJOIN(,,D345:O345),Aux!$B$3:$B$4098,'Truth Table'!$T$3:$T$4098)=1,P344&lt;='Line Follower'!$C$7)</f>
        <v>0</v>
      </c>
      <c r="W345" s="4" t="b">
        <f>AND(_xlfn.XLOOKUP(_xlfn.TEXTJOIN(,,D345:O345),Aux!$B$3:$B$4098,'Truth Table'!$U$3:$U$4098)=1,P344&gt;='Line Follower'!$C$6)</f>
        <v>0</v>
      </c>
      <c r="X345" s="4" t="b">
        <f>IFERROR(AND(_xlfn.XLOOKUP(_xlfn.TEXTJOIN(,,D345:O345),Aux!$B$3:$B$4098,'Truth Table'!$V$3:$V$4098)=1,ABS(P344)&lt;='Line Follower'!$C$6),FALSE)</f>
        <v>0</v>
      </c>
      <c r="Y345" s="4" t="b">
        <f t="shared" si="5"/>
        <v>1</v>
      </c>
    </row>
    <row r="346" spans="2:25" x14ac:dyDescent="0.25">
      <c r="B346" s="4">
        <v>343</v>
      </c>
      <c r="C346" s="4">
        <v>2499</v>
      </c>
      <c r="D346" s="4">
        <v>0</v>
      </c>
      <c r="E346" s="4">
        <v>0</v>
      </c>
      <c r="F346" s="4">
        <v>0</v>
      </c>
      <c r="G346" s="4">
        <v>1</v>
      </c>
      <c r="H346" s="4">
        <v>1</v>
      </c>
      <c r="I346" s="4">
        <v>0</v>
      </c>
      <c r="J346" s="4">
        <v>0</v>
      </c>
      <c r="K346" s="4">
        <v>0</v>
      </c>
      <c r="L346" s="4">
        <v>0</v>
      </c>
      <c r="M346" s="4">
        <v>0</v>
      </c>
      <c r="N346" s="4">
        <v>0</v>
      </c>
      <c r="O346" s="4">
        <v>1</v>
      </c>
      <c r="P346" s="51">
        <f>IFERROR(_xlfn.XLOOKUP(_xlfn.TEXTJOIN(,,D345:O345),Aux!$B$3:$B$4098,'Truth Table'!$N$3:$N$4098),P345)</f>
        <v>-3</v>
      </c>
      <c r="Q346" s="4" t="b" cm="1">
        <f t="array" ref="Q346:U346">IFERROR(_xlfn.XLOOKUP(_xlfn.TEXTJOIN(,,D346:O346),Aux!$B$3:$B$4098,'Truth Table'!$O$3:$S$4098)=1,FALSE)</f>
        <v>1</v>
      </c>
      <c r="R346" s="4" t="b">
        <v>0</v>
      </c>
      <c r="S346" s="4" t="b">
        <v>0</v>
      </c>
      <c r="T346" s="4" t="b">
        <v>0</v>
      </c>
      <c r="U346" s="4" t="b">
        <v>0</v>
      </c>
      <c r="V346" s="4" t="b">
        <f>AND(_xlfn.XLOOKUP(_xlfn.TEXTJOIN(,,D346:O346),Aux!$B$3:$B$4098,'Truth Table'!$T$3:$T$4098)=1,P345&lt;='Line Follower'!$C$7)</f>
        <v>0</v>
      </c>
      <c r="W346" s="4" t="b">
        <f>AND(_xlfn.XLOOKUP(_xlfn.TEXTJOIN(,,D346:O346),Aux!$B$3:$B$4098,'Truth Table'!$U$3:$U$4098)=1,P345&gt;='Line Follower'!$C$6)</f>
        <v>0</v>
      </c>
      <c r="X346" s="4" t="b">
        <f>IFERROR(AND(_xlfn.XLOOKUP(_xlfn.TEXTJOIN(,,D346:O346),Aux!$B$3:$B$4098,'Truth Table'!$V$3:$V$4098)=1,ABS(P345)&lt;='Line Follower'!$C$6),FALSE)</f>
        <v>0</v>
      </c>
      <c r="Y346" s="4" t="b">
        <f t="shared" si="5"/>
        <v>1</v>
      </c>
    </row>
    <row r="347" spans="2:25" x14ac:dyDescent="0.25">
      <c r="B347" s="4">
        <v>344</v>
      </c>
      <c r="C347" s="4">
        <v>2513</v>
      </c>
      <c r="D347" s="4">
        <v>0</v>
      </c>
      <c r="E347" s="4">
        <v>0</v>
      </c>
      <c r="F347" s="4">
        <v>0</v>
      </c>
      <c r="G347" s="4">
        <v>1</v>
      </c>
      <c r="H347" s="4">
        <v>1</v>
      </c>
      <c r="I347" s="4">
        <v>0</v>
      </c>
      <c r="J347" s="4">
        <v>0</v>
      </c>
      <c r="K347" s="4">
        <v>0</v>
      </c>
      <c r="L347" s="4">
        <v>0</v>
      </c>
      <c r="M347" s="4">
        <v>0</v>
      </c>
      <c r="N347" s="4">
        <v>0</v>
      </c>
      <c r="O347" s="4">
        <v>1</v>
      </c>
      <c r="P347" s="51">
        <f>IFERROR(_xlfn.XLOOKUP(_xlfn.TEXTJOIN(,,D346:O346),Aux!$B$3:$B$4098,'Truth Table'!$N$3:$N$4098),P346)</f>
        <v>-2</v>
      </c>
      <c r="Q347" s="4" t="b" cm="1">
        <f t="array" ref="Q347:U347">IFERROR(_xlfn.XLOOKUP(_xlfn.TEXTJOIN(,,D347:O347),Aux!$B$3:$B$4098,'Truth Table'!$O$3:$S$4098)=1,FALSE)</f>
        <v>1</v>
      </c>
      <c r="R347" s="4" t="b">
        <v>0</v>
      </c>
      <c r="S347" s="4" t="b">
        <v>0</v>
      </c>
      <c r="T347" s="4" t="b">
        <v>0</v>
      </c>
      <c r="U347" s="4" t="b">
        <v>0</v>
      </c>
      <c r="V347" s="4" t="b">
        <f>AND(_xlfn.XLOOKUP(_xlfn.TEXTJOIN(,,D347:O347),Aux!$B$3:$B$4098,'Truth Table'!$T$3:$T$4098)=1,P346&lt;='Line Follower'!$C$7)</f>
        <v>0</v>
      </c>
      <c r="W347" s="4" t="b">
        <f>AND(_xlfn.XLOOKUP(_xlfn.TEXTJOIN(,,D347:O347),Aux!$B$3:$B$4098,'Truth Table'!$U$3:$U$4098)=1,P346&gt;='Line Follower'!$C$6)</f>
        <v>0</v>
      </c>
      <c r="X347" s="4" t="b">
        <f>IFERROR(AND(_xlfn.XLOOKUP(_xlfn.TEXTJOIN(,,D347:O347),Aux!$B$3:$B$4098,'Truth Table'!$V$3:$V$4098)=1,ABS(P346)&lt;='Line Follower'!$C$6),FALSE)</f>
        <v>0</v>
      </c>
      <c r="Y347" s="4" t="b">
        <f t="shared" si="5"/>
        <v>1</v>
      </c>
    </row>
    <row r="348" spans="2:25" x14ac:dyDescent="0.25">
      <c r="B348" s="4">
        <v>345</v>
      </c>
      <c r="C348" s="4">
        <v>2518</v>
      </c>
      <c r="D348" s="4">
        <v>0</v>
      </c>
      <c r="E348" s="4">
        <v>0</v>
      </c>
      <c r="F348" s="4">
        <v>0</v>
      </c>
      <c r="G348" s="4">
        <v>1</v>
      </c>
      <c r="H348" s="4">
        <v>1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4">
        <v>0</v>
      </c>
      <c r="O348" s="4">
        <v>1</v>
      </c>
      <c r="P348" s="51">
        <f>IFERROR(_xlfn.XLOOKUP(_xlfn.TEXTJOIN(,,D347:O347),Aux!$B$3:$B$4098,'Truth Table'!$N$3:$N$4098),P347)</f>
        <v>-2</v>
      </c>
      <c r="Q348" s="4" t="b" cm="1">
        <f t="array" ref="Q348:U348">IFERROR(_xlfn.XLOOKUP(_xlfn.TEXTJOIN(,,D348:O348),Aux!$B$3:$B$4098,'Truth Table'!$O$3:$S$4098)=1,FALSE)</f>
        <v>1</v>
      </c>
      <c r="R348" s="4" t="b">
        <v>0</v>
      </c>
      <c r="S348" s="4" t="b">
        <v>0</v>
      </c>
      <c r="T348" s="4" t="b">
        <v>0</v>
      </c>
      <c r="U348" s="4" t="b">
        <v>0</v>
      </c>
      <c r="V348" s="4" t="b">
        <f>AND(_xlfn.XLOOKUP(_xlfn.TEXTJOIN(,,D348:O348),Aux!$B$3:$B$4098,'Truth Table'!$T$3:$T$4098)=1,P347&lt;='Line Follower'!$C$7)</f>
        <v>0</v>
      </c>
      <c r="W348" s="4" t="b">
        <f>AND(_xlfn.XLOOKUP(_xlfn.TEXTJOIN(,,D348:O348),Aux!$B$3:$B$4098,'Truth Table'!$U$3:$U$4098)=1,P347&gt;='Line Follower'!$C$6)</f>
        <v>0</v>
      </c>
      <c r="X348" s="4" t="b">
        <f>IFERROR(AND(_xlfn.XLOOKUP(_xlfn.TEXTJOIN(,,D348:O348),Aux!$B$3:$B$4098,'Truth Table'!$V$3:$V$4098)=1,ABS(P347)&lt;='Line Follower'!$C$6),FALSE)</f>
        <v>0</v>
      </c>
      <c r="Y348" s="4" t="b">
        <f t="shared" si="5"/>
        <v>1</v>
      </c>
    </row>
    <row r="349" spans="2:25" x14ac:dyDescent="0.25">
      <c r="B349" s="4">
        <v>346</v>
      </c>
      <c r="C349" s="4">
        <v>2532</v>
      </c>
      <c r="D349" s="4">
        <v>0</v>
      </c>
      <c r="E349" s="4">
        <v>0</v>
      </c>
      <c r="F349" s="4">
        <v>0</v>
      </c>
      <c r="G349" s="4">
        <v>1</v>
      </c>
      <c r="H349" s="4">
        <v>1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  <c r="N349" s="4">
        <v>0</v>
      </c>
      <c r="O349" s="4">
        <v>1</v>
      </c>
      <c r="P349" s="51">
        <f>IFERROR(_xlfn.XLOOKUP(_xlfn.TEXTJOIN(,,D348:O348),Aux!$B$3:$B$4098,'Truth Table'!$N$3:$N$4098),P348)</f>
        <v>-2</v>
      </c>
      <c r="Q349" s="4" t="b" cm="1">
        <f t="array" ref="Q349:U349">IFERROR(_xlfn.XLOOKUP(_xlfn.TEXTJOIN(,,D349:O349),Aux!$B$3:$B$4098,'Truth Table'!$O$3:$S$4098)=1,FALSE)</f>
        <v>1</v>
      </c>
      <c r="R349" s="4" t="b">
        <v>0</v>
      </c>
      <c r="S349" s="4" t="b">
        <v>0</v>
      </c>
      <c r="T349" s="4" t="b">
        <v>0</v>
      </c>
      <c r="U349" s="4" t="b">
        <v>0</v>
      </c>
      <c r="V349" s="4" t="b">
        <f>AND(_xlfn.XLOOKUP(_xlfn.TEXTJOIN(,,D349:O349),Aux!$B$3:$B$4098,'Truth Table'!$T$3:$T$4098)=1,P348&lt;='Line Follower'!$C$7)</f>
        <v>0</v>
      </c>
      <c r="W349" s="4" t="b">
        <f>AND(_xlfn.XLOOKUP(_xlfn.TEXTJOIN(,,D349:O349),Aux!$B$3:$B$4098,'Truth Table'!$U$3:$U$4098)=1,P348&gt;='Line Follower'!$C$6)</f>
        <v>0</v>
      </c>
      <c r="X349" s="4" t="b">
        <f>IFERROR(AND(_xlfn.XLOOKUP(_xlfn.TEXTJOIN(,,D349:O349),Aux!$B$3:$B$4098,'Truth Table'!$V$3:$V$4098)=1,ABS(P348)&lt;='Line Follower'!$C$6),FALSE)</f>
        <v>0</v>
      </c>
      <c r="Y349" s="4" t="b">
        <f t="shared" si="5"/>
        <v>1</v>
      </c>
    </row>
    <row r="350" spans="2:25" x14ac:dyDescent="0.25">
      <c r="B350" s="4">
        <v>347</v>
      </c>
      <c r="C350" s="4">
        <v>2539</v>
      </c>
      <c r="D350" s="4">
        <v>0</v>
      </c>
      <c r="E350" s="4">
        <v>0</v>
      </c>
      <c r="F350" s="4">
        <v>0</v>
      </c>
      <c r="G350" s="4">
        <v>1</v>
      </c>
      <c r="H350" s="4">
        <v>1</v>
      </c>
      <c r="I350" s="4">
        <v>0</v>
      </c>
      <c r="J350" s="4">
        <v>0</v>
      </c>
      <c r="K350" s="4">
        <v>0</v>
      </c>
      <c r="L350" s="4">
        <v>0</v>
      </c>
      <c r="M350" s="4">
        <v>0</v>
      </c>
      <c r="N350" s="4">
        <v>0</v>
      </c>
      <c r="O350" s="4">
        <v>1</v>
      </c>
      <c r="P350" s="51">
        <f>IFERROR(_xlfn.XLOOKUP(_xlfn.TEXTJOIN(,,D349:O349),Aux!$B$3:$B$4098,'Truth Table'!$N$3:$N$4098),P349)</f>
        <v>-2</v>
      </c>
      <c r="Q350" s="4" t="b" cm="1">
        <f t="array" ref="Q350:U350">IFERROR(_xlfn.XLOOKUP(_xlfn.TEXTJOIN(,,D350:O350),Aux!$B$3:$B$4098,'Truth Table'!$O$3:$S$4098)=1,FALSE)</f>
        <v>1</v>
      </c>
      <c r="R350" s="4" t="b">
        <v>0</v>
      </c>
      <c r="S350" s="4" t="b">
        <v>0</v>
      </c>
      <c r="T350" s="4" t="b">
        <v>0</v>
      </c>
      <c r="U350" s="4" t="b">
        <v>0</v>
      </c>
      <c r="V350" s="4" t="b">
        <f>AND(_xlfn.XLOOKUP(_xlfn.TEXTJOIN(,,D350:O350),Aux!$B$3:$B$4098,'Truth Table'!$T$3:$T$4098)=1,P349&lt;='Line Follower'!$C$7)</f>
        <v>0</v>
      </c>
      <c r="W350" s="4" t="b">
        <f>AND(_xlfn.XLOOKUP(_xlfn.TEXTJOIN(,,D350:O350),Aux!$B$3:$B$4098,'Truth Table'!$U$3:$U$4098)=1,P349&gt;='Line Follower'!$C$6)</f>
        <v>0</v>
      </c>
      <c r="X350" s="4" t="b">
        <f>IFERROR(AND(_xlfn.XLOOKUP(_xlfn.TEXTJOIN(,,D350:O350),Aux!$B$3:$B$4098,'Truth Table'!$V$3:$V$4098)=1,ABS(P349)&lt;='Line Follower'!$C$6),FALSE)</f>
        <v>0</v>
      </c>
      <c r="Y350" s="4" t="b">
        <f t="shared" si="5"/>
        <v>1</v>
      </c>
    </row>
    <row r="351" spans="2:25" x14ac:dyDescent="0.25">
      <c r="B351" s="4">
        <v>348</v>
      </c>
      <c r="C351" s="4">
        <v>2553</v>
      </c>
      <c r="D351" s="4">
        <v>0</v>
      </c>
      <c r="E351" s="4">
        <v>0</v>
      </c>
      <c r="F351" s="4">
        <v>0</v>
      </c>
      <c r="G351" s="4">
        <v>1</v>
      </c>
      <c r="H351" s="4">
        <v>1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  <c r="N351" s="4">
        <v>0</v>
      </c>
      <c r="O351" s="4">
        <v>1</v>
      </c>
      <c r="P351" s="51">
        <f>IFERROR(_xlfn.XLOOKUP(_xlfn.TEXTJOIN(,,D350:O350),Aux!$B$3:$B$4098,'Truth Table'!$N$3:$N$4098),P350)</f>
        <v>-2</v>
      </c>
      <c r="Q351" s="4" t="b" cm="1">
        <f t="array" ref="Q351:U351">IFERROR(_xlfn.XLOOKUP(_xlfn.TEXTJOIN(,,D351:O351),Aux!$B$3:$B$4098,'Truth Table'!$O$3:$S$4098)=1,FALSE)</f>
        <v>1</v>
      </c>
      <c r="R351" s="4" t="b">
        <v>0</v>
      </c>
      <c r="S351" s="4" t="b">
        <v>0</v>
      </c>
      <c r="T351" s="4" t="b">
        <v>0</v>
      </c>
      <c r="U351" s="4" t="b">
        <v>0</v>
      </c>
      <c r="V351" s="4" t="b">
        <f>AND(_xlfn.XLOOKUP(_xlfn.TEXTJOIN(,,D351:O351),Aux!$B$3:$B$4098,'Truth Table'!$T$3:$T$4098)=1,P350&lt;='Line Follower'!$C$7)</f>
        <v>0</v>
      </c>
      <c r="W351" s="4" t="b">
        <f>AND(_xlfn.XLOOKUP(_xlfn.TEXTJOIN(,,D351:O351),Aux!$B$3:$B$4098,'Truth Table'!$U$3:$U$4098)=1,P350&gt;='Line Follower'!$C$6)</f>
        <v>0</v>
      </c>
      <c r="X351" s="4" t="b">
        <f>IFERROR(AND(_xlfn.XLOOKUP(_xlfn.TEXTJOIN(,,D351:O351),Aux!$B$3:$B$4098,'Truth Table'!$V$3:$V$4098)=1,ABS(P350)&lt;='Line Follower'!$C$6),FALSE)</f>
        <v>0</v>
      </c>
      <c r="Y351" s="4" t="b">
        <f t="shared" si="5"/>
        <v>1</v>
      </c>
    </row>
    <row r="352" spans="2:25" x14ac:dyDescent="0.25">
      <c r="B352" s="4">
        <v>349</v>
      </c>
      <c r="C352" s="4">
        <v>2579</v>
      </c>
      <c r="D352" s="4">
        <v>0</v>
      </c>
      <c r="E352" s="4">
        <v>0</v>
      </c>
      <c r="F352" s="4">
        <v>0</v>
      </c>
      <c r="G352" s="4">
        <v>1</v>
      </c>
      <c r="H352" s="4">
        <v>1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4">
        <v>0</v>
      </c>
      <c r="O352" s="4">
        <v>1</v>
      </c>
      <c r="P352" s="51">
        <f>IFERROR(_xlfn.XLOOKUP(_xlfn.TEXTJOIN(,,D351:O351),Aux!$B$3:$B$4098,'Truth Table'!$N$3:$N$4098),P351)</f>
        <v>-2</v>
      </c>
      <c r="Q352" s="4" t="b" cm="1">
        <f t="array" ref="Q352:U352">IFERROR(_xlfn.XLOOKUP(_xlfn.TEXTJOIN(,,D352:O352),Aux!$B$3:$B$4098,'Truth Table'!$O$3:$S$4098)=1,FALSE)</f>
        <v>1</v>
      </c>
      <c r="R352" s="4" t="b">
        <v>0</v>
      </c>
      <c r="S352" s="4" t="b">
        <v>0</v>
      </c>
      <c r="T352" s="4" t="b">
        <v>0</v>
      </c>
      <c r="U352" s="4" t="b">
        <v>0</v>
      </c>
      <c r="V352" s="4" t="b">
        <f>AND(_xlfn.XLOOKUP(_xlfn.TEXTJOIN(,,D352:O352),Aux!$B$3:$B$4098,'Truth Table'!$T$3:$T$4098)=1,P351&lt;='Line Follower'!$C$7)</f>
        <v>0</v>
      </c>
      <c r="W352" s="4" t="b">
        <f>AND(_xlfn.XLOOKUP(_xlfn.TEXTJOIN(,,D352:O352),Aux!$B$3:$B$4098,'Truth Table'!$U$3:$U$4098)=1,P351&gt;='Line Follower'!$C$6)</f>
        <v>0</v>
      </c>
      <c r="X352" s="4" t="b">
        <f>IFERROR(AND(_xlfn.XLOOKUP(_xlfn.TEXTJOIN(,,D352:O352),Aux!$B$3:$B$4098,'Truth Table'!$V$3:$V$4098)=1,ABS(P351)&lt;='Line Follower'!$C$6),FALSE)</f>
        <v>0</v>
      </c>
      <c r="Y352" s="4" t="b">
        <f t="shared" si="5"/>
        <v>1</v>
      </c>
    </row>
    <row r="353" spans="2:25" x14ac:dyDescent="0.25">
      <c r="B353" s="4">
        <v>350</v>
      </c>
      <c r="C353" s="4">
        <v>2580</v>
      </c>
      <c r="D353" s="4">
        <v>0</v>
      </c>
      <c r="E353" s="4">
        <v>0</v>
      </c>
      <c r="F353" s="4">
        <v>0</v>
      </c>
      <c r="G353" s="4">
        <v>1</v>
      </c>
      <c r="H353" s="4">
        <v>1</v>
      </c>
      <c r="I353" s="4">
        <v>0</v>
      </c>
      <c r="J353" s="4">
        <v>0</v>
      </c>
      <c r="K353" s="4">
        <v>0</v>
      </c>
      <c r="L353" s="4">
        <v>0</v>
      </c>
      <c r="M353" s="4">
        <v>0</v>
      </c>
      <c r="N353" s="4">
        <v>0</v>
      </c>
      <c r="O353" s="4">
        <v>1</v>
      </c>
      <c r="P353" s="51">
        <f>IFERROR(_xlfn.XLOOKUP(_xlfn.TEXTJOIN(,,D352:O352),Aux!$B$3:$B$4098,'Truth Table'!$N$3:$N$4098),P352)</f>
        <v>-2</v>
      </c>
      <c r="Q353" s="4" t="b" cm="1">
        <f t="array" ref="Q353:U353">IFERROR(_xlfn.XLOOKUP(_xlfn.TEXTJOIN(,,D353:O353),Aux!$B$3:$B$4098,'Truth Table'!$O$3:$S$4098)=1,FALSE)</f>
        <v>1</v>
      </c>
      <c r="R353" s="4" t="b">
        <v>0</v>
      </c>
      <c r="S353" s="4" t="b">
        <v>0</v>
      </c>
      <c r="T353" s="4" t="b">
        <v>0</v>
      </c>
      <c r="U353" s="4" t="b">
        <v>0</v>
      </c>
      <c r="V353" s="4" t="b">
        <f>AND(_xlfn.XLOOKUP(_xlfn.TEXTJOIN(,,D353:O353),Aux!$B$3:$B$4098,'Truth Table'!$T$3:$T$4098)=1,P352&lt;='Line Follower'!$C$7)</f>
        <v>0</v>
      </c>
      <c r="W353" s="4" t="b">
        <f>AND(_xlfn.XLOOKUP(_xlfn.TEXTJOIN(,,D353:O353),Aux!$B$3:$B$4098,'Truth Table'!$U$3:$U$4098)=1,P352&gt;='Line Follower'!$C$6)</f>
        <v>0</v>
      </c>
      <c r="X353" s="4" t="b">
        <f>IFERROR(AND(_xlfn.XLOOKUP(_xlfn.TEXTJOIN(,,D353:O353),Aux!$B$3:$B$4098,'Truth Table'!$V$3:$V$4098)=1,ABS(P352)&lt;='Line Follower'!$C$6),FALSE)</f>
        <v>0</v>
      </c>
      <c r="Y353" s="4" t="b">
        <f t="shared" si="5"/>
        <v>1</v>
      </c>
    </row>
    <row r="354" spans="2:25" x14ac:dyDescent="0.25">
      <c r="B354" s="4">
        <v>351</v>
      </c>
      <c r="C354" s="4">
        <v>2582</v>
      </c>
      <c r="D354" s="4">
        <v>0</v>
      </c>
      <c r="E354" s="4">
        <v>0</v>
      </c>
      <c r="F354" s="4">
        <v>0</v>
      </c>
      <c r="G354" s="4">
        <v>1</v>
      </c>
      <c r="H354" s="4">
        <v>1</v>
      </c>
      <c r="I354" s="4">
        <v>0</v>
      </c>
      <c r="J354" s="4">
        <v>0</v>
      </c>
      <c r="K354" s="4">
        <v>0</v>
      </c>
      <c r="L354" s="4">
        <v>0</v>
      </c>
      <c r="M354" s="4">
        <v>0</v>
      </c>
      <c r="N354" s="4">
        <v>0</v>
      </c>
      <c r="O354" s="4">
        <v>1</v>
      </c>
      <c r="P354" s="51">
        <f>IFERROR(_xlfn.XLOOKUP(_xlfn.TEXTJOIN(,,D353:O353),Aux!$B$3:$B$4098,'Truth Table'!$N$3:$N$4098),P353)</f>
        <v>-2</v>
      </c>
      <c r="Q354" s="4" t="b" cm="1">
        <f t="array" ref="Q354:U354">IFERROR(_xlfn.XLOOKUP(_xlfn.TEXTJOIN(,,D354:O354),Aux!$B$3:$B$4098,'Truth Table'!$O$3:$S$4098)=1,FALSE)</f>
        <v>1</v>
      </c>
      <c r="R354" s="4" t="b">
        <v>0</v>
      </c>
      <c r="S354" s="4" t="b">
        <v>0</v>
      </c>
      <c r="T354" s="4" t="b">
        <v>0</v>
      </c>
      <c r="U354" s="4" t="b">
        <v>0</v>
      </c>
      <c r="V354" s="4" t="b">
        <f>AND(_xlfn.XLOOKUP(_xlfn.TEXTJOIN(,,D354:O354),Aux!$B$3:$B$4098,'Truth Table'!$T$3:$T$4098)=1,P353&lt;='Line Follower'!$C$7)</f>
        <v>0</v>
      </c>
      <c r="W354" s="4" t="b">
        <f>AND(_xlfn.XLOOKUP(_xlfn.TEXTJOIN(,,D354:O354),Aux!$B$3:$B$4098,'Truth Table'!$U$3:$U$4098)=1,P353&gt;='Line Follower'!$C$6)</f>
        <v>0</v>
      </c>
      <c r="X354" s="4" t="b">
        <f>IFERROR(AND(_xlfn.XLOOKUP(_xlfn.TEXTJOIN(,,D354:O354),Aux!$B$3:$B$4098,'Truth Table'!$V$3:$V$4098)=1,ABS(P353)&lt;='Line Follower'!$C$6),FALSE)</f>
        <v>0</v>
      </c>
      <c r="Y354" s="4" t="b">
        <f t="shared" si="5"/>
        <v>1</v>
      </c>
    </row>
    <row r="355" spans="2:25" x14ac:dyDescent="0.25">
      <c r="B355" s="4">
        <v>352</v>
      </c>
      <c r="C355" s="4">
        <v>2601</v>
      </c>
      <c r="D355" s="4">
        <v>0</v>
      </c>
      <c r="E355" s="4">
        <v>0</v>
      </c>
      <c r="F355" s="4">
        <v>0</v>
      </c>
      <c r="G355" s="4">
        <v>1</v>
      </c>
      <c r="H355" s="4">
        <v>1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  <c r="N355" s="4">
        <v>0</v>
      </c>
      <c r="O355" s="4">
        <v>1</v>
      </c>
      <c r="P355" s="51">
        <f>IFERROR(_xlfn.XLOOKUP(_xlfn.TEXTJOIN(,,D354:O354),Aux!$B$3:$B$4098,'Truth Table'!$N$3:$N$4098),P354)</f>
        <v>-2</v>
      </c>
      <c r="Q355" s="4" t="b" cm="1">
        <f t="array" ref="Q355:U355">IFERROR(_xlfn.XLOOKUP(_xlfn.TEXTJOIN(,,D355:O355),Aux!$B$3:$B$4098,'Truth Table'!$O$3:$S$4098)=1,FALSE)</f>
        <v>1</v>
      </c>
      <c r="R355" s="4" t="b">
        <v>0</v>
      </c>
      <c r="S355" s="4" t="b">
        <v>0</v>
      </c>
      <c r="T355" s="4" t="b">
        <v>0</v>
      </c>
      <c r="U355" s="4" t="b">
        <v>0</v>
      </c>
      <c r="V355" s="4" t="b">
        <f>AND(_xlfn.XLOOKUP(_xlfn.TEXTJOIN(,,D355:O355),Aux!$B$3:$B$4098,'Truth Table'!$T$3:$T$4098)=1,P354&lt;='Line Follower'!$C$7)</f>
        <v>0</v>
      </c>
      <c r="W355" s="4" t="b">
        <f>AND(_xlfn.XLOOKUP(_xlfn.TEXTJOIN(,,D355:O355),Aux!$B$3:$B$4098,'Truth Table'!$U$3:$U$4098)=1,P354&gt;='Line Follower'!$C$6)</f>
        <v>0</v>
      </c>
      <c r="X355" s="4" t="b">
        <f>IFERROR(AND(_xlfn.XLOOKUP(_xlfn.TEXTJOIN(,,D355:O355),Aux!$B$3:$B$4098,'Truth Table'!$V$3:$V$4098)=1,ABS(P354)&lt;='Line Follower'!$C$6),FALSE)</f>
        <v>0</v>
      </c>
      <c r="Y355" s="4" t="b">
        <f t="shared" si="5"/>
        <v>1</v>
      </c>
    </row>
    <row r="356" spans="2:25" x14ac:dyDescent="0.25">
      <c r="B356" s="4">
        <v>353</v>
      </c>
      <c r="C356" s="4">
        <v>2602</v>
      </c>
      <c r="D356" s="4">
        <v>0</v>
      </c>
      <c r="E356" s="4">
        <v>0</v>
      </c>
      <c r="F356" s="4">
        <v>0</v>
      </c>
      <c r="G356" s="4">
        <v>1</v>
      </c>
      <c r="H356" s="4">
        <v>1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4">
        <v>1</v>
      </c>
      <c r="P356" s="51">
        <f>IFERROR(_xlfn.XLOOKUP(_xlfn.TEXTJOIN(,,D355:O355),Aux!$B$3:$B$4098,'Truth Table'!$N$3:$N$4098),P355)</f>
        <v>-2</v>
      </c>
      <c r="Q356" s="4" t="b" cm="1">
        <f t="array" ref="Q356:U356">IFERROR(_xlfn.XLOOKUP(_xlfn.TEXTJOIN(,,D356:O356),Aux!$B$3:$B$4098,'Truth Table'!$O$3:$S$4098)=1,FALSE)</f>
        <v>1</v>
      </c>
      <c r="R356" s="4" t="b">
        <v>0</v>
      </c>
      <c r="S356" s="4" t="b">
        <v>0</v>
      </c>
      <c r="T356" s="4" t="b">
        <v>0</v>
      </c>
      <c r="U356" s="4" t="b">
        <v>0</v>
      </c>
      <c r="V356" s="4" t="b">
        <f>AND(_xlfn.XLOOKUP(_xlfn.TEXTJOIN(,,D356:O356),Aux!$B$3:$B$4098,'Truth Table'!$T$3:$T$4098)=1,P355&lt;='Line Follower'!$C$7)</f>
        <v>0</v>
      </c>
      <c r="W356" s="4" t="b">
        <f>AND(_xlfn.XLOOKUP(_xlfn.TEXTJOIN(,,D356:O356),Aux!$B$3:$B$4098,'Truth Table'!$U$3:$U$4098)=1,P355&gt;='Line Follower'!$C$6)</f>
        <v>0</v>
      </c>
      <c r="X356" s="4" t="b">
        <f>IFERROR(AND(_xlfn.XLOOKUP(_xlfn.TEXTJOIN(,,D356:O356),Aux!$B$3:$B$4098,'Truth Table'!$V$3:$V$4098)=1,ABS(P355)&lt;='Line Follower'!$C$6),FALSE)</f>
        <v>0</v>
      </c>
      <c r="Y356" s="4" t="b">
        <f t="shared" si="5"/>
        <v>1</v>
      </c>
    </row>
    <row r="357" spans="2:25" x14ac:dyDescent="0.25">
      <c r="B357" s="4">
        <v>354</v>
      </c>
      <c r="C357" s="4">
        <v>2616</v>
      </c>
      <c r="D357" s="4">
        <v>0</v>
      </c>
      <c r="E357" s="4">
        <v>0</v>
      </c>
      <c r="F357" s="4">
        <v>0</v>
      </c>
      <c r="G357" s="4">
        <v>1</v>
      </c>
      <c r="H357" s="4">
        <v>1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4">
        <v>0</v>
      </c>
      <c r="O357" s="4">
        <v>1</v>
      </c>
      <c r="P357" s="51">
        <f>IFERROR(_xlfn.XLOOKUP(_xlfn.TEXTJOIN(,,D356:O356),Aux!$B$3:$B$4098,'Truth Table'!$N$3:$N$4098),P356)</f>
        <v>-2</v>
      </c>
      <c r="Q357" s="4" t="b" cm="1">
        <f t="array" ref="Q357:U357">IFERROR(_xlfn.XLOOKUP(_xlfn.TEXTJOIN(,,D357:O357),Aux!$B$3:$B$4098,'Truth Table'!$O$3:$S$4098)=1,FALSE)</f>
        <v>1</v>
      </c>
      <c r="R357" s="4" t="b">
        <v>0</v>
      </c>
      <c r="S357" s="4" t="b">
        <v>0</v>
      </c>
      <c r="T357" s="4" t="b">
        <v>0</v>
      </c>
      <c r="U357" s="4" t="b">
        <v>0</v>
      </c>
      <c r="V357" s="4" t="b">
        <f>AND(_xlfn.XLOOKUP(_xlfn.TEXTJOIN(,,D357:O357),Aux!$B$3:$B$4098,'Truth Table'!$T$3:$T$4098)=1,P356&lt;='Line Follower'!$C$7)</f>
        <v>0</v>
      </c>
      <c r="W357" s="4" t="b">
        <f>AND(_xlfn.XLOOKUP(_xlfn.TEXTJOIN(,,D357:O357),Aux!$B$3:$B$4098,'Truth Table'!$U$3:$U$4098)=1,P356&gt;='Line Follower'!$C$6)</f>
        <v>0</v>
      </c>
      <c r="X357" s="4" t="b">
        <f>IFERROR(AND(_xlfn.XLOOKUP(_xlfn.TEXTJOIN(,,D357:O357),Aux!$B$3:$B$4098,'Truth Table'!$V$3:$V$4098)=1,ABS(P356)&lt;='Line Follower'!$C$6),FALSE)</f>
        <v>0</v>
      </c>
      <c r="Y357" s="4" t="b">
        <f t="shared" si="5"/>
        <v>1</v>
      </c>
    </row>
    <row r="358" spans="2:25" x14ac:dyDescent="0.25">
      <c r="B358" s="4">
        <v>355</v>
      </c>
      <c r="C358" s="4">
        <v>2616</v>
      </c>
      <c r="D358" s="4">
        <v>0</v>
      </c>
      <c r="E358" s="4">
        <v>0</v>
      </c>
      <c r="F358" s="4">
        <v>0</v>
      </c>
      <c r="G358" s="4">
        <v>1</v>
      </c>
      <c r="H358" s="4">
        <v>1</v>
      </c>
      <c r="I358" s="4">
        <v>0</v>
      </c>
      <c r="J358" s="4">
        <v>0</v>
      </c>
      <c r="K358" s="4">
        <v>0</v>
      </c>
      <c r="L358" s="4">
        <v>0</v>
      </c>
      <c r="M358" s="4">
        <v>0</v>
      </c>
      <c r="N358" s="4">
        <v>0</v>
      </c>
      <c r="O358" s="4">
        <v>1</v>
      </c>
      <c r="P358" s="51">
        <f>IFERROR(_xlfn.XLOOKUP(_xlfn.TEXTJOIN(,,D357:O357),Aux!$B$3:$B$4098,'Truth Table'!$N$3:$N$4098),P357)</f>
        <v>-2</v>
      </c>
      <c r="Q358" s="4" t="b" cm="1">
        <f t="array" ref="Q358:U358">IFERROR(_xlfn.XLOOKUP(_xlfn.TEXTJOIN(,,D358:O358),Aux!$B$3:$B$4098,'Truth Table'!$O$3:$S$4098)=1,FALSE)</f>
        <v>1</v>
      </c>
      <c r="R358" s="4" t="b">
        <v>0</v>
      </c>
      <c r="S358" s="4" t="b">
        <v>0</v>
      </c>
      <c r="T358" s="4" t="b">
        <v>0</v>
      </c>
      <c r="U358" s="4" t="b">
        <v>0</v>
      </c>
      <c r="V358" s="4" t="b">
        <f>AND(_xlfn.XLOOKUP(_xlfn.TEXTJOIN(,,D358:O358),Aux!$B$3:$B$4098,'Truth Table'!$T$3:$T$4098)=1,P357&lt;='Line Follower'!$C$7)</f>
        <v>0</v>
      </c>
      <c r="W358" s="4" t="b">
        <f>AND(_xlfn.XLOOKUP(_xlfn.TEXTJOIN(,,D358:O358),Aux!$B$3:$B$4098,'Truth Table'!$U$3:$U$4098)=1,P357&gt;='Line Follower'!$C$6)</f>
        <v>0</v>
      </c>
      <c r="X358" s="4" t="b">
        <f>IFERROR(AND(_xlfn.XLOOKUP(_xlfn.TEXTJOIN(,,D358:O358),Aux!$B$3:$B$4098,'Truth Table'!$V$3:$V$4098)=1,ABS(P357)&lt;='Line Follower'!$C$6),FALSE)</f>
        <v>0</v>
      </c>
      <c r="Y358" s="4" t="b">
        <f t="shared" si="5"/>
        <v>1</v>
      </c>
    </row>
    <row r="359" spans="2:25" x14ac:dyDescent="0.25">
      <c r="B359" s="4">
        <v>356</v>
      </c>
      <c r="C359" s="4">
        <v>2622</v>
      </c>
      <c r="D359" s="4">
        <v>0</v>
      </c>
      <c r="E359" s="4">
        <v>0</v>
      </c>
      <c r="F359" s="4">
        <v>0</v>
      </c>
      <c r="G359" s="4">
        <v>1</v>
      </c>
      <c r="H359" s="4">
        <v>1</v>
      </c>
      <c r="I359" s="4">
        <v>0</v>
      </c>
      <c r="J359" s="4">
        <v>0</v>
      </c>
      <c r="K359" s="4">
        <v>0</v>
      </c>
      <c r="L359" s="4">
        <v>0</v>
      </c>
      <c r="M359" s="4">
        <v>0</v>
      </c>
      <c r="N359" s="4">
        <v>0</v>
      </c>
      <c r="O359" s="4">
        <v>1</v>
      </c>
      <c r="P359" s="51">
        <f>IFERROR(_xlfn.XLOOKUP(_xlfn.TEXTJOIN(,,D358:O358),Aux!$B$3:$B$4098,'Truth Table'!$N$3:$N$4098),P358)</f>
        <v>-2</v>
      </c>
      <c r="Q359" s="4" t="b" cm="1">
        <f t="array" ref="Q359:U359">IFERROR(_xlfn.XLOOKUP(_xlfn.TEXTJOIN(,,D359:O359),Aux!$B$3:$B$4098,'Truth Table'!$O$3:$S$4098)=1,FALSE)</f>
        <v>1</v>
      </c>
      <c r="R359" s="4" t="b">
        <v>0</v>
      </c>
      <c r="S359" s="4" t="b">
        <v>0</v>
      </c>
      <c r="T359" s="4" t="b">
        <v>0</v>
      </c>
      <c r="U359" s="4" t="b">
        <v>0</v>
      </c>
      <c r="V359" s="4" t="b">
        <f>AND(_xlfn.XLOOKUP(_xlfn.TEXTJOIN(,,D359:O359),Aux!$B$3:$B$4098,'Truth Table'!$T$3:$T$4098)=1,P358&lt;='Line Follower'!$C$7)</f>
        <v>0</v>
      </c>
      <c r="W359" s="4" t="b">
        <f>AND(_xlfn.XLOOKUP(_xlfn.TEXTJOIN(,,D359:O359),Aux!$B$3:$B$4098,'Truth Table'!$U$3:$U$4098)=1,P358&gt;='Line Follower'!$C$6)</f>
        <v>0</v>
      </c>
      <c r="X359" s="4" t="b">
        <f>IFERROR(AND(_xlfn.XLOOKUP(_xlfn.TEXTJOIN(,,D359:O359),Aux!$B$3:$B$4098,'Truth Table'!$V$3:$V$4098)=1,ABS(P358)&lt;='Line Follower'!$C$6),FALSE)</f>
        <v>0</v>
      </c>
      <c r="Y359" s="4" t="b">
        <f t="shared" si="5"/>
        <v>1</v>
      </c>
    </row>
    <row r="360" spans="2:25" x14ac:dyDescent="0.25">
      <c r="B360" s="4">
        <v>357</v>
      </c>
      <c r="C360" s="4">
        <v>2635</v>
      </c>
      <c r="D360" s="4">
        <v>0</v>
      </c>
      <c r="E360" s="4">
        <v>0</v>
      </c>
      <c r="F360" s="4">
        <v>0</v>
      </c>
      <c r="G360" s="4">
        <v>1</v>
      </c>
      <c r="H360" s="4">
        <v>1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4">
        <v>0</v>
      </c>
      <c r="O360" s="4">
        <v>1</v>
      </c>
      <c r="P360" s="51">
        <f>IFERROR(_xlfn.XLOOKUP(_xlfn.TEXTJOIN(,,D359:O359),Aux!$B$3:$B$4098,'Truth Table'!$N$3:$N$4098),P359)</f>
        <v>-2</v>
      </c>
      <c r="Q360" s="4" t="b" cm="1">
        <f t="array" ref="Q360:U360">IFERROR(_xlfn.XLOOKUP(_xlfn.TEXTJOIN(,,D360:O360),Aux!$B$3:$B$4098,'Truth Table'!$O$3:$S$4098)=1,FALSE)</f>
        <v>1</v>
      </c>
      <c r="R360" s="4" t="b">
        <v>0</v>
      </c>
      <c r="S360" s="4" t="b">
        <v>0</v>
      </c>
      <c r="T360" s="4" t="b">
        <v>0</v>
      </c>
      <c r="U360" s="4" t="b">
        <v>0</v>
      </c>
      <c r="V360" s="4" t="b">
        <f>AND(_xlfn.XLOOKUP(_xlfn.TEXTJOIN(,,D360:O360),Aux!$B$3:$B$4098,'Truth Table'!$T$3:$T$4098)=1,P359&lt;='Line Follower'!$C$7)</f>
        <v>0</v>
      </c>
      <c r="W360" s="4" t="b">
        <f>AND(_xlfn.XLOOKUP(_xlfn.TEXTJOIN(,,D360:O360),Aux!$B$3:$B$4098,'Truth Table'!$U$3:$U$4098)=1,P359&gt;='Line Follower'!$C$6)</f>
        <v>0</v>
      </c>
      <c r="X360" s="4" t="b">
        <f>IFERROR(AND(_xlfn.XLOOKUP(_xlfn.TEXTJOIN(,,D360:O360),Aux!$B$3:$B$4098,'Truth Table'!$V$3:$V$4098)=1,ABS(P359)&lt;='Line Follower'!$C$6),FALSE)</f>
        <v>0</v>
      </c>
      <c r="Y360" s="4" t="b">
        <f t="shared" si="5"/>
        <v>1</v>
      </c>
    </row>
    <row r="361" spans="2:25" x14ac:dyDescent="0.25">
      <c r="B361" s="4">
        <v>358</v>
      </c>
      <c r="C361" s="4">
        <v>2647</v>
      </c>
      <c r="D361" s="4">
        <v>0</v>
      </c>
      <c r="E361" s="4">
        <v>0</v>
      </c>
      <c r="F361" s="4">
        <v>0</v>
      </c>
      <c r="G361" s="4">
        <v>1</v>
      </c>
      <c r="H361" s="4">
        <v>1</v>
      </c>
      <c r="I361" s="4">
        <v>0</v>
      </c>
      <c r="J361" s="4">
        <v>0</v>
      </c>
      <c r="K361" s="4">
        <v>0</v>
      </c>
      <c r="L361" s="4">
        <v>0</v>
      </c>
      <c r="M361" s="4">
        <v>0</v>
      </c>
      <c r="N361" s="4">
        <v>0</v>
      </c>
      <c r="O361" s="4">
        <v>1</v>
      </c>
      <c r="P361" s="51">
        <f>IFERROR(_xlfn.XLOOKUP(_xlfn.TEXTJOIN(,,D360:O360),Aux!$B$3:$B$4098,'Truth Table'!$N$3:$N$4098),P360)</f>
        <v>-2</v>
      </c>
      <c r="Q361" s="4" t="b" cm="1">
        <f t="array" ref="Q361:U361">IFERROR(_xlfn.XLOOKUP(_xlfn.TEXTJOIN(,,D361:O361),Aux!$B$3:$B$4098,'Truth Table'!$O$3:$S$4098)=1,FALSE)</f>
        <v>1</v>
      </c>
      <c r="R361" s="4" t="b">
        <v>0</v>
      </c>
      <c r="S361" s="4" t="b">
        <v>0</v>
      </c>
      <c r="T361" s="4" t="b">
        <v>0</v>
      </c>
      <c r="U361" s="4" t="b">
        <v>0</v>
      </c>
      <c r="V361" s="4" t="b">
        <f>AND(_xlfn.XLOOKUP(_xlfn.TEXTJOIN(,,D361:O361),Aux!$B$3:$B$4098,'Truth Table'!$T$3:$T$4098)=1,P360&lt;='Line Follower'!$C$7)</f>
        <v>0</v>
      </c>
      <c r="W361" s="4" t="b">
        <f>AND(_xlfn.XLOOKUP(_xlfn.TEXTJOIN(,,D361:O361),Aux!$B$3:$B$4098,'Truth Table'!$U$3:$U$4098)=1,P360&gt;='Line Follower'!$C$6)</f>
        <v>0</v>
      </c>
      <c r="X361" s="4" t="b">
        <f>IFERROR(AND(_xlfn.XLOOKUP(_xlfn.TEXTJOIN(,,D361:O361),Aux!$B$3:$B$4098,'Truth Table'!$V$3:$V$4098)=1,ABS(P360)&lt;='Line Follower'!$C$6),FALSE)</f>
        <v>0</v>
      </c>
      <c r="Y361" s="4" t="b">
        <f t="shared" si="5"/>
        <v>1</v>
      </c>
    </row>
    <row r="362" spans="2:25" x14ac:dyDescent="0.25">
      <c r="B362" s="4">
        <v>359</v>
      </c>
      <c r="C362" s="4">
        <v>2652</v>
      </c>
      <c r="D362" s="4">
        <v>0</v>
      </c>
      <c r="E362" s="4">
        <v>0</v>
      </c>
      <c r="F362" s="4">
        <v>0</v>
      </c>
      <c r="G362" s="4">
        <v>1</v>
      </c>
      <c r="H362" s="4">
        <v>1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4">
        <v>0</v>
      </c>
      <c r="O362" s="4">
        <v>1</v>
      </c>
      <c r="P362" s="51">
        <f>IFERROR(_xlfn.XLOOKUP(_xlfn.TEXTJOIN(,,D361:O361),Aux!$B$3:$B$4098,'Truth Table'!$N$3:$N$4098),P361)</f>
        <v>-2</v>
      </c>
      <c r="Q362" s="4" t="b" cm="1">
        <f t="array" ref="Q362:U362">IFERROR(_xlfn.XLOOKUP(_xlfn.TEXTJOIN(,,D362:O362),Aux!$B$3:$B$4098,'Truth Table'!$O$3:$S$4098)=1,FALSE)</f>
        <v>1</v>
      </c>
      <c r="R362" s="4" t="b">
        <v>0</v>
      </c>
      <c r="S362" s="4" t="b">
        <v>0</v>
      </c>
      <c r="T362" s="4" t="b">
        <v>0</v>
      </c>
      <c r="U362" s="4" t="b">
        <v>0</v>
      </c>
      <c r="V362" s="4" t="b">
        <f>AND(_xlfn.XLOOKUP(_xlfn.TEXTJOIN(,,D362:O362),Aux!$B$3:$B$4098,'Truth Table'!$T$3:$T$4098)=1,P361&lt;='Line Follower'!$C$7)</f>
        <v>0</v>
      </c>
      <c r="W362" s="4" t="b">
        <f>AND(_xlfn.XLOOKUP(_xlfn.TEXTJOIN(,,D362:O362),Aux!$B$3:$B$4098,'Truth Table'!$U$3:$U$4098)=1,P361&gt;='Line Follower'!$C$6)</f>
        <v>0</v>
      </c>
      <c r="X362" s="4" t="b">
        <f>IFERROR(AND(_xlfn.XLOOKUP(_xlfn.TEXTJOIN(,,D362:O362),Aux!$B$3:$B$4098,'Truth Table'!$V$3:$V$4098)=1,ABS(P361)&lt;='Line Follower'!$C$6),FALSE)</f>
        <v>0</v>
      </c>
      <c r="Y362" s="4" t="b">
        <f t="shared" si="5"/>
        <v>1</v>
      </c>
    </row>
    <row r="363" spans="2:25" x14ac:dyDescent="0.25">
      <c r="B363" s="4">
        <v>360</v>
      </c>
      <c r="C363" s="4">
        <v>2668</v>
      </c>
      <c r="D363" s="4">
        <v>0</v>
      </c>
      <c r="E363" s="4">
        <v>0</v>
      </c>
      <c r="F363" s="4">
        <v>0</v>
      </c>
      <c r="G363" s="4">
        <v>1</v>
      </c>
      <c r="H363" s="4">
        <v>1</v>
      </c>
      <c r="I363" s="4">
        <v>0</v>
      </c>
      <c r="J363" s="4">
        <v>0</v>
      </c>
      <c r="K363" s="4">
        <v>0</v>
      </c>
      <c r="L363" s="4">
        <v>0</v>
      </c>
      <c r="M363" s="4">
        <v>0</v>
      </c>
      <c r="N363" s="4">
        <v>0</v>
      </c>
      <c r="O363" s="4">
        <v>1</v>
      </c>
      <c r="P363" s="51">
        <f>IFERROR(_xlfn.XLOOKUP(_xlfn.TEXTJOIN(,,D362:O362),Aux!$B$3:$B$4098,'Truth Table'!$N$3:$N$4098),P362)</f>
        <v>-2</v>
      </c>
      <c r="Q363" s="4" t="b" cm="1">
        <f t="array" ref="Q363:U363">IFERROR(_xlfn.XLOOKUP(_xlfn.TEXTJOIN(,,D363:O363),Aux!$B$3:$B$4098,'Truth Table'!$O$3:$S$4098)=1,FALSE)</f>
        <v>1</v>
      </c>
      <c r="R363" s="4" t="b">
        <v>0</v>
      </c>
      <c r="S363" s="4" t="b">
        <v>0</v>
      </c>
      <c r="T363" s="4" t="b">
        <v>0</v>
      </c>
      <c r="U363" s="4" t="b">
        <v>0</v>
      </c>
      <c r="V363" s="4" t="b">
        <f>AND(_xlfn.XLOOKUP(_xlfn.TEXTJOIN(,,D363:O363),Aux!$B$3:$B$4098,'Truth Table'!$T$3:$T$4098)=1,P362&lt;='Line Follower'!$C$7)</f>
        <v>0</v>
      </c>
      <c r="W363" s="4" t="b">
        <f>AND(_xlfn.XLOOKUP(_xlfn.TEXTJOIN(,,D363:O363),Aux!$B$3:$B$4098,'Truth Table'!$U$3:$U$4098)=1,P362&gt;='Line Follower'!$C$6)</f>
        <v>0</v>
      </c>
      <c r="X363" s="4" t="b">
        <f>IFERROR(AND(_xlfn.XLOOKUP(_xlfn.TEXTJOIN(,,D363:O363),Aux!$B$3:$B$4098,'Truth Table'!$V$3:$V$4098)=1,ABS(P362)&lt;='Line Follower'!$C$6),FALSE)</f>
        <v>0</v>
      </c>
      <c r="Y363" s="4" t="b">
        <f t="shared" si="5"/>
        <v>1</v>
      </c>
    </row>
    <row r="364" spans="2:25" x14ac:dyDescent="0.25">
      <c r="B364" s="4">
        <v>361</v>
      </c>
      <c r="C364" s="4">
        <v>2677</v>
      </c>
      <c r="D364" s="4">
        <v>0</v>
      </c>
      <c r="E364" s="4">
        <v>0</v>
      </c>
      <c r="F364" s="4">
        <v>0</v>
      </c>
      <c r="G364" s="4">
        <v>1</v>
      </c>
      <c r="H364" s="4">
        <v>1</v>
      </c>
      <c r="I364" s="4">
        <v>0</v>
      </c>
      <c r="J364" s="4">
        <v>0</v>
      </c>
      <c r="K364" s="4">
        <v>0</v>
      </c>
      <c r="L364" s="4">
        <v>0</v>
      </c>
      <c r="M364" s="4">
        <v>0</v>
      </c>
      <c r="N364" s="4">
        <v>0</v>
      </c>
      <c r="O364" s="4">
        <v>1</v>
      </c>
      <c r="P364" s="51">
        <f>IFERROR(_xlfn.XLOOKUP(_xlfn.TEXTJOIN(,,D363:O363),Aux!$B$3:$B$4098,'Truth Table'!$N$3:$N$4098),P363)</f>
        <v>-2</v>
      </c>
      <c r="Q364" s="4" t="b" cm="1">
        <f t="array" ref="Q364:U364">IFERROR(_xlfn.XLOOKUP(_xlfn.TEXTJOIN(,,D364:O364),Aux!$B$3:$B$4098,'Truth Table'!$O$3:$S$4098)=1,FALSE)</f>
        <v>1</v>
      </c>
      <c r="R364" s="4" t="b">
        <v>0</v>
      </c>
      <c r="S364" s="4" t="b">
        <v>0</v>
      </c>
      <c r="T364" s="4" t="b">
        <v>0</v>
      </c>
      <c r="U364" s="4" t="b">
        <v>0</v>
      </c>
      <c r="V364" s="4" t="b">
        <f>AND(_xlfn.XLOOKUP(_xlfn.TEXTJOIN(,,D364:O364),Aux!$B$3:$B$4098,'Truth Table'!$T$3:$T$4098)=1,P363&lt;='Line Follower'!$C$7)</f>
        <v>0</v>
      </c>
      <c r="W364" s="4" t="b">
        <f>AND(_xlfn.XLOOKUP(_xlfn.TEXTJOIN(,,D364:O364),Aux!$B$3:$B$4098,'Truth Table'!$U$3:$U$4098)=1,P363&gt;='Line Follower'!$C$6)</f>
        <v>0</v>
      </c>
      <c r="X364" s="4" t="b">
        <f>IFERROR(AND(_xlfn.XLOOKUP(_xlfn.TEXTJOIN(,,D364:O364),Aux!$B$3:$B$4098,'Truth Table'!$V$3:$V$4098)=1,ABS(P363)&lt;='Line Follower'!$C$6),FALSE)</f>
        <v>0</v>
      </c>
      <c r="Y364" s="4" t="b">
        <f t="shared" si="5"/>
        <v>1</v>
      </c>
    </row>
    <row r="365" spans="2:25" x14ac:dyDescent="0.25">
      <c r="B365" s="4">
        <v>362</v>
      </c>
      <c r="C365" s="4">
        <v>2685</v>
      </c>
      <c r="D365" s="4">
        <v>0</v>
      </c>
      <c r="E365" s="4">
        <v>0</v>
      </c>
      <c r="F365" s="4">
        <v>0</v>
      </c>
      <c r="G365" s="4">
        <v>1</v>
      </c>
      <c r="H365" s="4">
        <v>1</v>
      </c>
      <c r="I365" s="4">
        <v>0</v>
      </c>
      <c r="J365" s="4">
        <v>0</v>
      </c>
      <c r="K365" s="4">
        <v>0</v>
      </c>
      <c r="L365" s="4">
        <v>0</v>
      </c>
      <c r="M365" s="4">
        <v>0</v>
      </c>
      <c r="N365" s="4">
        <v>0</v>
      </c>
      <c r="O365" s="4">
        <v>1</v>
      </c>
      <c r="P365" s="51">
        <f>IFERROR(_xlfn.XLOOKUP(_xlfn.TEXTJOIN(,,D364:O364),Aux!$B$3:$B$4098,'Truth Table'!$N$3:$N$4098),P364)</f>
        <v>-2</v>
      </c>
      <c r="Q365" s="4" t="b" cm="1">
        <f t="array" ref="Q365:U365">IFERROR(_xlfn.XLOOKUP(_xlfn.TEXTJOIN(,,D365:O365),Aux!$B$3:$B$4098,'Truth Table'!$O$3:$S$4098)=1,FALSE)</f>
        <v>1</v>
      </c>
      <c r="R365" s="4" t="b">
        <v>0</v>
      </c>
      <c r="S365" s="4" t="b">
        <v>0</v>
      </c>
      <c r="T365" s="4" t="b">
        <v>0</v>
      </c>
      <c r="U365" s="4" t="b">
        <v>0</v>
      </c>
      <c r="V365" s="4" t="b">
        <f>AND(_xlfn.XLOOKUP(_xlfn.TEXTJOIN(,,D365:O365),Aux!$B$3:$B$4098,'Truth Table'!$T$3:$T$4098)=1,P364&lt;='Line Follower'!$C$7)</f>
        <v>0</v>
      </c>
      <c r="W365" s="4" t="b">
        <f>AND(_xlfn.XLOOKUP(_xlfn.TEXTJOIN(,,D365:O365),Aux!$B$3:$B$4098,'Truth Table'!$U$3:$U$4098)=1,P364&gt;='Line Follower'!$C$6)</f>
        <v>0</v>
      </c>
      <c r="X365" s="4" t="b">
        <f>IFERROR(AND(_xlfn.XLOOKUP(_xlfn.TEXTJOIN(,,D365:O365),Aux!$B$3:$B$4098,'Truth Table'!$V$3:$V$4098)=1,ABS(P364)&lt;='Line Follower'!$C$6),FALSE)</f>
        <v>0</v>
      </c>
      <c r="Y365" s="4" t="b">
        <f t="shared" si="5"/>
        <v>1</v>
      </c>
    </row>
    <row r="366" spans="2:25" x14ac:dyDescent="0.25">
      <c r="B366" s="4">
        <v>363</v>
      </c>
      <c r="C366" s="4">
        <v>2699</v>
      </c>
      <c r="D366" s="4">
        <v>0</v>
      </c>
      <c r="E366" s="4">
        <v>0</v>
      </c>
      <c r="F366" s="4">
        <v>0</v>
      </c>
      <c r="G366" s="4">
        <v>1</v>
      </c>
      <c r="H366" s="4">
        <v>1</v>
      </c>
      <c r="I366" s="4">
        <v>0</v>
      </c>
      <c r="J366" s="4">
        <v>0</v>
      </c>
      <c r="K366" s="4">
        <v>0</v>
      </c>
      <c r="L366" s="4">
        <v>0</v>
      </c>
      <c r="M366" s="4">
        <v>0</v>
      </c>
      <c r="N366" s="4">
        <v>0</v>
      </c>
      <c r="O366" s="4">
        <v>1</v>
      </c>
      <c r="P366" s="51">
        <f>IFERROR(_xlfn.XLOOKUP(_xlfn.TEXTJOIN(,,D365:O365),Aux!$B$3:$B$4098,'Truth Table'!$N$3:$N$4098),P365)</f>
        <v>-2</v>
      </c>
      <c r="Q366" s="4" t="b" cm="1">
        <f t="array" ref="Q366:U366">IFERROR(_xlfn.XLOOKUP(_xlfn.TEXTJOIN(,,D366:O366),Aux!$B$3:$B$4098,'Truth Table'!$O$3:$S$4098)=1,FALSE)</f>
        <v>1</v>
      </c>
      <c r="R366" s="4" t="b">
        <v>0</v>
      </c>
      <c r="S366" s="4" t="b">
        <v>0</v>
      </c>
      <c r="T366" s="4" t="b">
        <v>0</v>
      </c>
      <c r="U366" s="4" t="b">
        <v>0</v>
      </c>
      <c r="V366" s="4" t="b">
        <f>AND(_xlfn.XLOOKUP(_xlfn.TEXTJOIN(,,D366:O366),Aux!$B$3:$B$4098,'Truth Table'!$T$3:$T$4098)=1,P365&lt;='Line Follower'!$C$7)</f>
        <v>0</v>
      </c>
      <c r="W366" s="4" t="b">
        <f>AND(_xlfn.XLOOKUP(_xlfn.TEXTJOIN(,,D366:O366),Aux!$B$3:$B$4098,'Truth Table'!$U$3:$U$4098)=1,P365&gt;='Line Follower'!$C$6)</f>
        <v>0</v>
      </c>
      <c r="X366" s="4" t="b">
        <f>IFERROR(AND(_xlfn.XLOOKUP(_xlfn.TEXTJOIN(,,D366:O366),Aux!$B$3:$B$4098,'Truth Table'!$V$3:$V$4098)=1,ABS(P365)&lt;='Line Follower'!$C$6),FALSE)</f>
        <v>0</v>
      </c>
      <c r="Y366" s="4" t="b">
        <f t="shared" si="5"/>
        <v>1</v>
      </c>
    </row>
    <row r="367" spans="2:25" x14ac:dyDescent="0.25">
      <c r="B367" s="4">
        <v>364</v>
      </c>
      <c r="C367" s="4">
        <v>2705</v>
      </c>
      <c r="D367" s="4">
        <v>0</v>
      </c>
      <c r="E367" s="4">
        <v>0</v>
      </c>
      <c r="F367" s="4">
        <v>0</v>
      </c>
      <c r="G367" s="4">
        <v>1</v>
      </c>
      <c r="H367" s="4">
        <v>1</v>
      </c>
      <c r="I367" s="4">
        <v>0</v>
      </c>
      <c r="J367" s="4">
        <v>0</v>
      </c>
      <c r="K367" s="4">
        <v>0</v>
      </c>
      <c r="L367" s="4">
        <v>0</v>
      </c>
      <c r="M367" s="4">
        <v>0</v>
      </c>
      <c r="N367" s="4">
        <v>0</v>
      </c>
      <c r="O367" s="4">
        <v>1</v>
      </c>
      <c r="P367" s="51">
        <f>IFERROR(_xlfn.XLOOKUP(_xlfn.TEXTJOIN(,,D366:O366),Aux!$B$3:$B$4098,'Truth Table'!$N$3:$N$4098),P366)</f>
        <v>-2</v>
      </c>
      <c r="Q367" s="4" t="b" cm="1">
        <f t="array" ref="Q367:U367">IFERROR(_xlfn.XLOOKUP(_xlfn.TEXTJOIN(,,D367:O367),Aux!$B$3:$B$4098,'Truth Table'!$O$3:$S$4098)=1,FALSE)</f>
        <v>1</v>
      </c>
      <c r="R367" s="4" t="b">
        <v>0</v>
      </c>
      <c r="S367" s="4" t="b">
        <v>0</v>
      </c>
      <c r="T367" s="4" t="b">
        <v>0</v>
      </c>
      <c r="U367" s="4" t="b">
        <v>0</v>
      </c>
      <c r="V367" s="4" t="b">
        <f>AND(_xlfn.XLOOKUP(_xlfn.TEXTJOIN(,,D367:O367),Aux!$B$3:$B$4098,'Truth Table'!$T$3:$T$4098)=1,P366&lt;='Line Follower'!$C$7)</f>
        <v>0</v>
      </c>
      <c r="W367" s="4" t="b">
        <f>AND(_xlfn.XLOOKUP(_xlfn.TEXTJOIN(,,D367:O367),Aux!$B$3:$B$4098,'Truth Table'!$U$3:$U$4098)=1,P366&gt;='Line Follower'!$C$6)</f>
        <v>0</v>
      </c>
      <c r="X367" s="4" t="b">
        <f>IFERROR(AND(_xlfn.XLOOKUP(_xlfn.TEXTJOIN(,,D367:O367),Aux!$B$3:$B$4098,'Truth Table'!$V$3:$V$4098)=1,ABS(P366)&lt;='Line Follower'!$C$6),FALSE)</f>
        <v>0</v>
      </c>
      <c r="Y367" s="4" t="b">
        <f t="shared" si="5"/>
        <v>1</v>
      </c>
    </row>
    <row r="368" spans="2:25" x14ac:dyDescent="0.25">
      <c r="B368" s="4">
        <v>365</v>
      </c>
      <c r="C368" s="4">
        <v>2719</v>
      </c>
      <c r="D368" s="4">
        <v>0</v>
      </c>
      <c r="E368" s="4">
        <v>0</v>
      </c>
      <c r="F368" s="4">
        <v>0</v>
      </c>
      <c r="G368" s="4">
        <v>1</v>
      </c>
      <c r="H368" s="4">
        <v>1</v>
      </c>
      <c r="I368" s="4">
        <v>0</v>
      </c>
      <c r="J368" s="4">
        <v>0</v>
      </c>
      <c r="K368" s="4">
        <v>0</v>
      </c>
      <c r="L368" s="4">
        <v>0</v>
      </c>
      <c r="M368" s="4">
        <v>0</v>
      </c>
      <c r="N368" s="4">
        <v>0</v>
      </c>
      <c r="O368" s="4">
        <v>1</v>
      </c>
      <c r="P368" s="51">
        <f>IFERROR(_xlfn.XLOOKUP(_xlfn.TEXTJOIN(,,D367:O367),Aux!$B$3:$B$4098,'Truth Table'!$N$3:$N$4098),P367)</f>
        <v>-2</v>
      </c>
      <c r="Q368" s="4" t="b" cm="1">
        <f t="array" ref="Q368:U368">IFERROR(_xlfn.XLOOKUP(_xlfn.TEXTJOIN(,,D368:O368),Aux!$B$3:$B$4098,'Truth Table'!$O$3:$S$4098)=1,FALSE)</f>
        <v>1</v>
      </c>
      <c r="R368" s="4" t="b">
        <v>0</v>
      </c>
      <c r="S368" s="4" t="b">
        <v>0</v>
      </c>
      <c r="T368" s="4" t="b">
        <v>0</v>
      </c>
      <c r="U368" s="4" t="b">
        <v>0</v>
      </c>
      <c r="V368" s="4" t="b">
        <f>AND(_xlfn.XLOOKUP(_xlfn.TEXTJOIN(,,D368:O368),Aux!$B$3:$B$4098,'Truth Table'!$T$3:$T$4098)=1,P367&lt;='Line Follower'!$C$7)</f>
        <v>0</v>
      </c>
      <c r="W368" s="4" t="b">
        <f>AND(_xlfn.XLOOKUP(_xlfn.TEXTJOIN(,,D368:O368),Aux!$B$3:$B$4098,'Truth Table'!$U$3:$U$4098)=1,P367&gt;='Line Follower'!$C$6)</f>
        <v>0</v>
      </c>
      <c r="X368" s="4" t="b">
        <f>IFERROR(AND(_xlfn.XLOOKUP(_xlfn.TEXTJOIN(,,D368:O368),Aux!$B$3:$B$4098,'Truth Table'!$V$3:$V$4098)=1,ABS(P367)&lt;='Line Follower'!$C$6),FALSE)</f>
        <v>0</v>
      </c>
      <c r="Y368" s="4" t="b">
        <f t="shared" si="5"/>
        <v>1</v>
      </c>
    </row>
    <row r="369" spans="2:25" x14ac:dyDescent="0.25">
      <c r="B369" s="4">
        <v>366</v>
      </c>
      <c r="C369" s="4">
        <v>2728</v>
      </c>
      <c r="D369" s="4">
        <v>0</v>
      </c>
      <c r="E369" s="4">
        <v>0</v>
      </c>
      <c r="F369" s="4">
        <v>0</v>
      </c>
      <c r="G369" s="4">
        <v>1</v>
      </c>
      <c r="H369" s="4">
        <v>1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  <c r="N369" s="4">
        <v>0</v>
      </c>
      <c r="O369" s="4">
        <v>1</v>
      </c>
      <c r="P369" s="51">
        <f>IFERROR(_xlfn.XLOOKUP(_xlfn.TEXTJOIN(,,D368:O368),Aux!$B$3:$B$4098,'Truth Table'!$N$3:$N$4098),P368)</f>
        <v>-2</v>
      </c>
      <c r="Q369" s="4" t="b" cm="1">
        <f t="array" ref="Q369:U369">IFERROR(_xlfn.XLOOKUP(_xlfn.TEXTJOIN(,,D369:O369),Aux!$B$3:$B$4098,'Truth Table'!$O$3:$S$4098)=1,FALSE)</f>
        <v>1</v>
      </c>
      <c r="R369" s="4" t="b">
        <v>0</v>
      </c>
      <c r="S369" s="4" t="b">
        <v>0</v>
      </c>
      <c r="T369" s="4" t="b">
        <v>0</v>
      </c>
      <c r="U369" s="4" t="b">
        <v>0</v>
      </c>
      <c r="V369" s="4" t="b">
        <f>AND(_xlfn.XLOOKUP(_xlfn.TEXTJOIN(,,D369:O369),Aux!$B$3:$B$4098,'Truth Table'!$T$3:$T$4098)=1,P368&lt;='Line Follower'!$C$7)</f>
        <v>0</v>
      </c>
      <c r="W369" s="4" t="b">
        <f>AND(_xlfn.XLOOKUP(_xlfn.TEXTJOIN(,,D369:O369),Aux!$B$3:$B$4098,'Truth Table'!$U$3:$U$4098)=1,P368&gt;='Line Follower'!$C$6)</f>
        <v>0</v>
      </c>
      <c r="X369" s="4" t="b">
        <f>IFERROR(AND(_xlfn.XLOOKUP(_xlfn.TEXTJOIN(,,D369:O369),Aux!$B$3:$B$4098,'Truth Table'!$V$3:$V$4098)=1,ABS(P368)&lt;='Line Follower'!$C$6),FALSE)</f>
        <v>0</v>
      </c>
      <c r="Y369" s="4" t="b">
        <f t="shared" si="5"/>
        <v>1</v>
      </c>
    </row>
    <row r="370" spans="2:25" x14ac:dyDescent="0.25">
      <c r="B370" s="4">
        <v>367</v>
      </c>
      <c r="C370" s="4">
        <v>2737</v>
      </c>
      <c r="D370" s="4">
        <v>0</v>
      </c>
      <c r="E370" s="4">
        <v>0</v>
      </c>
      <c r="F370" s="4">
        <v>0</v>
      </c>
      <c r="G370" s="4">
        <v>1</v>
      </c>
      <c r="H370" s="4">
        <v>1</v>
      </c>
      <c r="I370" s="4">
        <v>1</v>
      </c>
      <c r="J370" s="4">
        <v>0</v>
      </c>
      <c r="K370" s="4">
        <v>0</v>
      </c>
      <c r="L370" s="4">
        <v>0</v>
      </c>
      <c r="M370" s="4">
        <v>0</v>
      </c>
      <c r="N370" s="4">
        <v>0</v>
      </c>
      <c r="O370" s="4">
        <v>1</v>
      </c>
      <c r="P370" s="51">
        <f>IFERROR(_xlfn.XLOOKUP(_xlfn.TEXTJOIN(,,D369:O369),Aux!$B$3:$B$4098,'Truth Table'!$N$3:$N$4098),P369)</f>
        <v>-2</v>
      </c>
      <c r="Q370" s="4" t="b" cm="1">
        <f t="array" ref="Q370:U370">IFERROR(_xlfn.XLOOKUP(_xlfn.TEXTJOIN(,,D370:O370),Aux!$B$3:$B$4098,'Truth Table'!$O$3:$S$4098)=1,FALSE)</f>
        <v>1</v>
      </c>
      <c r="R370" s="4" t="b">
        <v>0</v>
      </c>
      <c r="S370" s="4" t="b">
        <v>0</v>
      </c>
      <c r="T370" s="4" t="b">
        <v>0</v>
      </c>
      <c r="U370" s="4" t="b">
        <v>0</v>
      </c>
      <c r="V370" s="4" t="b">
        <f>AND(_xlfn.XLOOKUP(_xlfn.TEXTJOIN(,,D370:O370),Aux!$B$3:$B$4098,'Truth Table'!$T$3:$T$4098)=1,P369&lt;='Line Follower'!$C$7)</f>
        <v>0</v>
      </c>
      <c r="W370" s="4" t="b">
        <f>AND(_xlfn.XLOOKUP(_xlfn.TEXTJOIN(,,D370:O370),Aux!$B$3:$B$4098,'Truth Table'!$U$3:$U$4098)=1,P369&gt;='Line Follower'!$C$6)</f>
        <v>0</v>
      </c>
      <c r="X370" s="4" t="b">
        <f>IFERROR(AND(_xlfn.XLOOKUP(_xlfn.TEXTJOIN(,,D370:O370),Aux!$B$3:$B$4098,'Truth Table'!$V$3:$V$4098)=1,ABS(P369)&lt;='Line Follower'!$C$6),FALSE)</f>
        <v>0</v>
      </c>
      <c r="Y370" s="4" t="b">
        <f t="shared" si="5"/>
        <v>1</v>
      </c>
    </row>
    <row r="371" spans="2:25" x14ac:dyDescent="0.25">
      <c r="B371" s="4">
        <v>368</v>
      </c>
      <c r="C371" s="4">
        <v>2767</v>
      </c>
      <c r="D371" s="4">
        <v>0</v>
      </c>
      <c r="E371" s="4">
        <v>0</v>
      </c>
      <c r="F371" s="4">
        <v>0</v>
      </c>
      <c r="G371" s="4">
        <v>1</v>
      </c>
      <c r="H371" s="4">
        <v>1</v>
      </c>
      <c r="I371" s="4">
        <v>1</v>
      </c>
      <c r="J371" s="4">
        <v>0</v>
      </c>
      <c r="K371" s="4">
        <v>0</v>
      </c>
      <c r="L371" s="4">
        <v>0</v>
      </c>
      <c r="M371" s="4">
        <v>0</v>
      </c>
      <c r="N371" s="4">
        <v>0</v>
      </c>
      <c r="O371" s="4">
        <v>1</v>
      </c>
      <c r="P371" s="51">
        <f>IFERROR(_xlfn.XLOOKUP(_xlfn.TEXTJOIN(,,D370:O370),Aux!$B$3:$B$4098,'Truth Table'!$N$3:$N$4098),P370)</f>
        <v>-2</v>
      </c>
      <c r="Q371" s="4" t="b" cm="1">
        <f t="array" ref="Q371:U371">IFERROR(_xlfn.XLOOKUP(_xlfn.TEXTJOIN(,,D371:O371),Aux!$B$3:$B$4098,'Truth Table'!$O$3:$S$4098)=1,FALSE)</f>
        <v>1</v>
      </c>
      <c r="R371" s="4" t="b">
        <v>0</v>
      </c>
      <c r="S371" s="4" t="b">
        <v>0</v>
      </c>
      <c r="T371" s="4" t="b">
        <v>0</v>
      </c>
      <c r="U371" s="4" t="b">
        <v>0</v>
      </c>
      <c r="V371" s="4" t="b">
        <f>AND(_xlfn.XLOOKUP(_xlfn.TEXTJOIN(,,D371:O371),Aux!$B$3:$B$4098,'Truth Table'!$T$3:$T$4098)=1,P370&lt;='Line Follower'!$C$7)</f>
        <v>0</v>
      </c>
      <c r="W371" s="4" t="b">
        <f>AND(_xlfn.XLOOKUP(_xlfn.TEXTJOIN(,,D371:O371),Aux!$B$3:$B$4098,'Truth Table'!$U$3:$U$4098)=1,P370&gt;='Line Follower'!$C$6)</f>
        <v>0</v>
      </c>
      <c r="X371" s="4" t="b">
        <f>IFERROR(AND(_xlfn.XLOOKUP(_xlfn.TEXTJOIN(,,D371:O371),Aux!$B$3:$B$4098,'Truth Table'!$V$3:$V$4098)=1,ABS(P370)&lt;='Line Follower'!$C$6),FALSE)</f>
        <v>0</v>
      </c>
      <c r="Y371" s="4" t="b">
        <f t="shared" si="5"/>
        <v>1</v>
      </c>
    </row>
    <row r="372" spans="2:25" x14ac:dyDescent="0.25">
      <c r="B372" s="4">
        <v>369</v>
      </c>
      <c r="C372" s="4">
        <v>2768</v>
      </c>
      <c r="D372" s="4">
        <v>0</v>
      </c>
      <c r="E372" s="4">
        <v>0</v>
      </c>
      <c r="F372" s="4">
        <v>0</v>
      </c>
      <c r="G372" s="4">
        <v>1</v>
      </c>
      <c r="H372" s="4">
        <v>1</v>
      </c>
      <c r="I372" s="4">
        <v>1</v>
      </c>
      <c r="J372" s="4">
        <v>0</v>
      </c>
      <c r="K372" s="4">
        <v>0</v>
      </c>
      <c r="L372" s="4">
        <v>0</v>
      </c>
      <c r="M372" s="4">
        <v>0</v>
      </c>
      <c r="N372" s="4">
        <v>0</v>
      </c>
      <c r="O372" s="4">
        <v>1</v>
      </c>
      <c r="P372" s="51">
        <f>IFERROR(_xlfn.XLOOKUP(_xlfn.TEXTJOIN(,,D371:O371),Aux!$B$3:$B$4098,'Truth Table'!$N$3:$N$4098),P371)</f>
        <v>-2</v>
      </c>
      <c r="Q372" s="4" t="b" cm="1">
        <f t="array" ref="Q372:U372">IFERROR(_xlfn.XLOOKUP(_xlfn.TEXTJOIN(,,D372:O372),Aux!$B$3:$B$4098,'Truth Table'!$O$3:$S$4098)=1,FALSE)</f>
        <v>1</v>
      </c>
      <c r="R372" s="4" t="b">
        <v>0</v>
      </c>
      <c r="S372" s="4" t="b">
        <v>0</v>
      </c>
      <c r="T372" s="4" t="b">
        <v>0</v>
      </c>
      <c r="U372" s="4" t="b">
        <v>0</v>
      </c>
      <c r="V372" s="4" t="b">
        <f>AND(_xlfn.XLOOKUP(_xlfn.TEXTJOIN(,,D372:O372),Aux!$B$3:$B$4098,'Truth Table'!$T$3:$T$4098)=1,P371&lt;='Line Follower'!$C$7)</f>
        <v>0</v>
      </c>
      <c r="W372" s="4" t="b">
        <f>AND(_xlfn.XLOOKUP(_xlfn.TEXTJOIN(,,D372:O372),Aux!$B$3:$B$4098,'Truth Table'!$U$3:$U$4098)=1,P371&gt;='Line Follower'!$C$6)</f>
        <v>0</v>
      </c>
      <c r="X372" s="4" t="b">
        <f>IFERROR(AND(_xlfn.XLOOKUP(_xlfn.TEXTJOIN(,,D372:O372),Aux!$B$3:$B$4098,'Truth Table'!$V$3:$V$4098)=1,ABS(P371)&lt;='Line Follower'!$C$6),FALSE)</f>
        <v>0</v>
      </c>
      <c r="Y372" s="4" t="b">
        <f t="shared" si="5"/>
        <v>1</v>
      </c>
    </row>
    <row r="373" spans="2:25" x14ac:dyDescent="0.25">
      <c r="B373" s="4">
        <v>370</v>
      </c>
      <c r="C373" s="4">
        <v>2769</v>
      </c>
      <c r="D373" s="4">
        <v>0</v>
      </c>
      <c r="E373" s="4">
        <v>0</v>
      </c>
      <c r="F373" s="4">
        <v>0</v>
      </c>
      <c r="G373" s="4">
        <v>1</v>
      </c>
      <c r="H373" s="4">
        <v>1</v>
      </c>
      <c r="I373" s="4">
        <v>1</v>
      </c>
      <c r="J373" s="4">
        <v>0</v>
      </c>
      <c r="K373" s="4">
        <v>0</v>
      </c>
      <c r="L373" s="4">
        <v>0</v>
      </c>
      <c r="M373" s="4">
        <v>0</v>
      </c>
      <c r="N373" s="4">
        <v>0</v>
      </c>
      <c r="O373" s="4">
        <v>1</v>
      </c>
      <c r="P373" s="51">
        <f>IFERROR(_xlfn.XLOOKUP(_xlfn.TEXTJOIN(,,D372:O372),Aux!$B$3:$B$4098,'Truth Table'!$N$3:$N$4098),P372)</f>
        <v>-2</v>
      </c>
      <c r="Q373" s="4" t="b" cm="1">
        <f t="array" ref="Q373:U373">IFERROR(_xlfn.XLOOKUP(_xlfn.TEXTJOIN(,,D373:O373),Aux!$B$3:$B$4098,'Truth Table'!$O$3:$S$4098)=1,FALSE)</f>
        <v>1</v>
      </c>
      <c r="R373" s="4" t="b">
        <v>0</v>
      </c>
      <c r="S373" s="4" t="b">
        <v>0</v>
      </c>
      <c r="T373" s="4" t="b">
        <v>0</v>
      </c>
      <c r="U373" s="4" t="b">
        <v>0</v>
      </c>
      <c r="V373" s="4" t="b">
        <f>AND(_xlfn.XLOOKUP(_xlfn.TEXTJOIN(,,D373:O373),Aux!$B$3:$B$4098,'Truth Table'!$T$3:$T$4098)=1,P372&lt;='Line Follower'!$C$7)</f>
        <v>0</v>
      </c>
      <c r="W373" s="4" t="b">
        <f>AND(_xlfn.XLOOKUP(_xlfn.TEXTJOIN(,,D373:O373),Aux!$B$3:$B$4098,'Truth Table'!$U$3:$U$4098)=1,P372&gt;='Line Follower'!$C$6)</f>
        <v>0</v>
      </c>
      <c r="X373" s="4" t="b">
        <f>IFERROR(AND(_xlfn.XLOOKUP(_xlfn.TEXTJOIN(,,D373:O373),Aux!$B$3:$B$4098,'Truth Table'!$V$3:$V$4098)=1,ABS(P372)&lt;='Line Follower'!$C$6),FALSE)</f>
        <v>0</v>
      </c>
      <c r="Y373" s="4" t="b">
        <f t="shared" si="5"/>
        <v>1</v>
      </c>
    </row>
    <row r="374" spans="2:25" x14ac:dyDescent="0.25">
      <c r="B374" s="4">
        <v>371</v>
      </c>
      <c r="C374" s="4">
        <v>2783</v>
      </c>
      <c r="D374" s="4">
        <v>0</v>
      </c>
      <c r="E374" s="4">
        <v>0</v>
      </c>
      <c r="F374" s="4">
        <v>0</v>
      </c>
      <c r="G374" s="4">
        <v>1</v>
      </c>
      <c r="H374" s="4">
        <v>1</v>
      </c>
      <c r="I374" s="4">
        <v>1</v>
      </c>
      <c r="J374" s="4">
        <v>0</v>
      </c>
      <c r="K374" s="4">
        <v>0</v>
      </c>
      <c r="L374" s="4">
        <v>0</v>
      </c>
      <c r="M374" s="4">
        <v>0</v>
      </c>
      <c r="N374" s="4">
        <v>0</v>
      </c>
      <c r="O374" s="4">
        <v>1</v>
      </c>
      <c r="P374" s="51">
        <f>IFERROR(_xlfn.XLOOKUP(_xlfn.TEXTJOIN(,,D373:O373),Aux!$B$3:$B$4098,'Truth Table'!$N$3:$N$4098),P373)</f>
        <v>-2</v>
      </c>
      <c r="Q374" s="4" t="b" cm="1">
        <f t="array" ref="Q374:U374">IFERROR(_xlfn.XLOOKUP(_xlfn.TEXTJOIN(,,D374:O374),Aux!$B$3:$B$4098,'Truth Table'!$O$3:$S$4098)=1,FALSE)</f>
        <v>1</v>
      </c>
      <c r="R374" s="4" t="b">
        <v>0</v>
      </c>
      <c r="S374" s="4" t="b">
        <v>0</v>
      </c>
      <c r="T374" s="4" t="b">
        <v>0</v>
      </c>
      <c r="U374" s="4" t="b">
        <v>0</v>
      </c>
      <c r="V374" s="4" t="b">
        <f>AND(_xlfn.XLOOKUP(_xlfn.TEXTJOIN(,,D374:O374),Aux!$B$3:$B$4098,'Truth Table'!$T$3:$T$4098)=1,P373&lt;='Line Follower'!$C$7)</f>
        <v>0</v>
      </c>
      <c r="W374" s="4" t="b">
        <f>AND(_xlfn.XLOOKUP(_xlfn.TEXTJOIN(,,D374:O374),Aux!$B$3:$B$4098,'Truth Table'!$U$3:$U$4098)=1,P373&gt;='Line Follower'!$C$6)</f>
        <v>0</v>
      </c>
      <c r="X374" s="4" t="b">
        <f>IFERROR(AND(_xlfn.XLOOKUP(_xlfn.TEXTJOIN(,,D374:O374),Aux!$B$3:$B$4098,'Truth Table'!$V$3:$V$4098)=1,ABS(P373)&lt;='Line Follower'!$C$6),FALSE)</f>
        <v>0</v>
      </c>
      <c r="Y374" s="4" t="b">
        <f t="shared" si="5"/>
        <v>1</v>
      </c>
    </row>
    <row r="375" spans="2:25" x14ac:dyDescent="0.25">
      <c r="B375" s="4">
        <v>372</v>
      </c>
      <c r="C375" s="4">
        <v>2784</v>
      </c>
      <c r="D375" s="4">
        <v>0</v>
      </c>
      <c r="E375" s="4">
        <v>0</v>
      </c>
      <c r="F375" s="4">
        <v>0</v>
      </c>
      <c r="G375" s="4">
        <v>0</v>
      </c>
      <c r="H375" s="4">
        <v>1</v>
      </c>
      <c r="I375" s="4">
        <v>1</v>
      </c>
      <c r="J375" s="4">
        <v>0</v>
      </c>
      <c r="K375" s="4">
        <v>0</v>
      </c>
      <c r="L375" s="4">
        <v>0</v>
      </c>
      <c r="M375" s="4">
        <v>0</v>
      </c>
      <c r="N375" s="4">
        <v>0</v>
      </c>
      <c r="O375" s="4">
        <v>1</v>
      </c>
      <c r="P375" s="51">
        <f>IFERROR(_xlfn.XLOOKUP(_xlfn.TEXTJOIN(,,D374:O374),Aux!$B$3:$B$4098,'Truth Table'!$N$3:$N$4098),P374)</f>
        <v>-2</v>
      </c>
      <c r="Q375" s="4" t="b" cm="1">
        <f t="array" ref="Q375:U375">IFERROR(_xlfn.XLOOKUP(_xlfn.TEXTJOIN(,,D375:O375),Aux!$B$3:$B$4098,'Truth Table'!$O$3:$S$4098)=1,FALSE)</f>
        <v>1</v>
      </c>
      <c r="R375" s="4" t="b">
        <v>0</v>
      </c>
      <c r="S375" s="4" t="b">
        <v>0</v>
      </c>
      <c r="T375" s="4" t="b">
        <v>0</v>
      </c>
      <c r="U375" s="4" t="b">
        <v>0</v>
      </c>
      <c r="V375" s="4" t="b">
        <f>AND(_xlfn.XLOOKUP(_xlfn.TEXTJOIN(,,D375:O375),Aux!$B$3:$B$4098,'Truth Table'!$T$3:$T$4098)=1,P374&lt;='Line Follower'!$C$7)</f>
        <v>0</v>
      </c>
      <c r="W375" s="4" t="b">
        <f>AND(_xlfn.XLOOKUP(_xlfn.TEXTJOIN(,,D375:O375),Aux!$B$3:$B$4098,'Truth Table'!$U$3:$U$4098)=1,P374&gt;='Line Follower'!$C$6)</f>
        <v>0</v>
      </c>
      <c r="X375" s="4" t="b">
        <f>IFERROR(AND(_xlfn.XLOOKUP(_xlfn.TEXTJOIN(,,D375:O375),Aux!$B$3:$B$4098,'Truth Table'!$V$3:$V$4098)=1,ABS(P374)&lt;='Line Follower'!$C$6),FALSE)</f>
        <v>0</v>
      </c>
      <c r="Y375" s="4" t="b">
        <f t="shared" si="5"/>
        <v>1</v>
      </c>
    </row>
    <row r="376" spans="2:25" x14ac:dyDescent="0.25">
      <c r="B376" s="4">
        <v>373</v>
      </c>
      <c r="C376" s="4">
        <v>2788</v>
      </c>
      <c r="D376" s="4">
        <v>0</v>
      </c>
      <c r="E376" s="4">
        <v>0</v>
      </c>
      <c r="F376" s="4">
        <v>0</v>
      </c>
      <c r="G376" s="4">
        <v>0</v>
      </c>
      <c r="H376" s="4">
        <v>1</v>
      </c>
      <c r="I376" s="4">
        <v>1</v>
      </c>
      <c r="J376" s="4">
        <v>0</v>
      </c>
      <c r="K376" s="4">
        <v>0</v>
      </c>
      <c r="L376" s="4">
        <v>0</v>
      </c>
      <c r="M376" s="4">
        <v>0</v>
      </c>
      <c r="N376" s="4">
        <v>0</v>
      </c>
      <c r="O376" s="4">
        <v>1</v>
      </c>
      <c r="P376" s="51">
        <f>IFERROR(_xlfn.XLOOKUP(_xlfn.TEXTJOIN(,,D375:O375),Aux!$B$3:$B$4098,'Truth Table'!$N$3:$N$4098),P375)</f>
        <v>-1</v>
      </c>
      <c r="Q376" s="4" t="b" cm="1">
        <f t="array" ref="Q376:U376">IFERROR(_xlfn.XLOOKUP(_xlfn.TEXTJOIN(,,D376:O376),Aux!$B$3:$B$4098,'Truth Table'!$O$3:$S$4098)=1,FALSE)</f>
        <v>1</v>
      </c>
      <c r="R376" s="4" t="b">
        <v>0</v>
      </c>
      <c r="S376" s="4" t="b">
        <v>0</v>
      </c>
      <c r="T376" s="4" t="b">
        <v>0</v>
      </c>
      <c r="U376" s="4" t="b">
        <v>0</v>
      </c>
      <c r="V376" s="4" t="b">
        <f>AND(_xlfn.XLOOKUP(_xlfn.TEXTJOIN(,,D376:O376),Aux!$B$3:$B$4098,'Truth Table'!$T$3:$T$4098)=1,P375&lt;='Line Follower'!$C$7)</f>
        <v>0</v>
      </c>
      <c r="W376" s="4" t="b">
        <f>AND(_xlfn.XLOOKUP(_xlfn.TEXTJOIN(,,D376:O376),Aux!$B$3:$B$4098,'Truth Table'!$U$3:$U$4098)=1,P375&gt;='Line Follower'!$C$6)</f>
        <v>0</v>
      </c>
      <c r="X376" s="4" t="b">
        <f>IFERROR(AND(_xlfn.XLOOKUP(_xlfn.TEXTJOIN(,,D376:O376),Aux!$B$3:$B$4098,'Truth Table'!$V$3:$V$4098)=1,ABS(P375)&lt;='Line Follower'!$C$6),FALSE)</f>
        <v>0</v>
      </c>
      <c r="Y376" s="4" t="b">
        <f t="shared" si="5"/>
        <v>1</v>
      </c>
    </row>
    <row r="377" spans="2:25" x14ac:dyDescent="0.25">
      <c r="B377" s="4">
        <v>374</v>
      </c>
      <c r="C377" s="4">
        <v>2802</v>
      </c>
      <c r="D377" s="4">
        <v>0</v>
      </c>
      <c r="E377" s="4">
        <v>0</v>
      </c>
      <c r="F377" s="4">
        <v>0</v>
      </c>
      <c r="G377" s="4">
        <v>0</v>
      </c>
      <c r="H377" s="4">
        <v>1</v>
      </c>
      <c r="I377" s="4">
        <v>1</v>
      </c>
      <c r="J377" s="4">
        <v>0</v>
      </c>
      <c r="K377" s="4">
        <v>0</v>
      </c>
      <c r="L377" s="4">
        <v>0</v>
      </c>
      <c r="M377" s="4">
        <v>0</v>
      </c>
      <c r="N377" s="4">
        <v>0</v>
      </c>
      <c r="O377" s="4">
        <v>1</v>
      </c>
      <c r="P377" s="51">
        <f>IFERROR(_xlfn.XLOOKUP(_xlfn.TEXTJOIN(,,D376:O376),Aux!$B$3:$B$4098,'Truth Table'!$N$3:$N$4098),P376)</f>
        <v>-1</v>
      </c>
      <c r="Q377" s="4" t="b" cm="1">
        <f t="array" ref="Q377:U377">IFERROR(_xlfn.XLOOKUP(_xlfn.TEXTJOIN(,,D377:O377),Aux!$B$3:$B$4098,'Truth Table'!$O$3:$S$4098)=1,FALSE)</f>
        <v>1</v>
      </c>
      <c r="R377" s="4" t="b">
        <v>0</v>
      </c>
      <c r="S377" s="4" t="b">
        <v>0</v>
      </c>
      <c r="T377" s="4" t="b">
        <v>0</v>
      </c>
      <c r="U377" s="4" t="b">
        <v>0</v>
      </c>
      <c r="V377" s="4" t="b">
        <f>AND(_xlfn.XLOOKUP(_xlfn.TEXTJOIN(,,D377:O377),Aux!$B$3:$B$4098,'Truth Table'!$T$3:$T$4098)=1,P376&lt;='Line Follower'!$C$7)</f>
        <v>0</v>
      </c>
      <c r="W377" s="4" t="b">
        <f>AND(_xlfn.XLOOKUP(_xlfn.TEXTJOIN(,,D377:O377),Aux!$B$3:$B$4098,'Truth Table'!$U$3:$U$4098)=1,P376&gt;='Line Follower'!$C$6)</f>
        <v>0</v>
      </c>
      <c r="X377" s="4" t="b">
        <f>IFERROR(AND(_xlfn.XLOOKUP(_xlfn.TEXTJOIN(,,D377:O377),Aux!$B$3:$B$4098,'Truth Table'!$V$3:$V$4098)=1,ABS(P376)&lt;='Line Follower'!$C$6),FALSE)</f>
        <v>0</v>
      </c>
      <c r="Y377" s="4" t="b">
        <f t="shared" si="5"/>
        <v>1</v>
      </c>
    </row>
    <row r="378" spans="2:25" x14ac:dyDescent="0.25">
      <c r="B378" s="4">
        <v>375</v>
      </c>
      <c r="C378" s="4">
        <v>2811</v>
      </c>
      <c r="D378" s="4">
        <v>0</v>
      </c>
      <c r="E378" s="4">
        <v>0</v>
      </c>
      <c r="F378" s="4">
        <v>0</v>
      </c>
      <c r="G378" s="4">
        <v>0</v>
      </c>
      <c r="H378" s="4">
        <v>1</v>
      </c>
      <c r="I378" s="4">
        <v>1</v>
      </c>
      <c r="J378" s="4">
        <v>0</v>
      </c>
      <c r="K378" s="4">
        <v>0</v>
      </c>
      <c r="L378" s="4">
        <v>0</v>
      </c>
      <c r="M378" s="4">
        <v>0</v>
      </c>
      <c r="N378" s="4">
        <v>0</v>
      </c>
      <c r="O378" s="4">
        <v>1</v>
      </c>
      <c r="P378" s="51">
        <f>IFERROR(_xlfn.XLOOKUP(_xlfn.TEXTJOIN(,,D377:O377),Aux!$B$3:$B$4098,'Truth Table'!$N$3:$N$4098),P377)</f>
        <v>-1</v>
      </c>
      <c r="Q378" s="4" t="b" cm="1">
        <f t="array" ref="Q378:U378">IFERROR(_xlfn.XLOOKUP(_xlfn.TEXTJOIN(,,D378:O378),Aux!$B$3:$B$4098,'Truth Table'!$O$3:$S$4098)=1,FALSE)</f>
        <v>1</v>
      </c>
      <c r="R378" s="4" t="b">
        <v>0</v>
      </c>
      <c r="S378" s="4" t="b">
        <v>0</v>
      </c>
      <c r="T378" s="4" t="b">
        <v>0</v>
      </c>
      <c r="U378" s="4" t="b">
        <v>0</v>
      </c>
      <c r="V378" s="4" t="b">
        <f>AND(_xlfn.XLOOKUP(_xlfn.TEXTJOIN(,,D378:O378),Aux!$B$3:$B$4098,'Truth Table'!$T$3:$T$4098)=1,P377&lt;='Line Follower'!$C$7)</f>
        <v>0</v>
      </c>
      <c r="W378" s="4" t="b">
        <f>AND(_xlfn.XLOOKUP(_xlfn.TEXTJOIN(,,D378:O378),Aux!$B$3:$B$4098,'Truth Table'!$U$3:$U$4098)=1,P377&gt;='Line Follower'!$C$6)</f>
        <v>0</v>
      </c>
      <c r="X378" s="4" t="b">
        <f>IFERROR(AND(_xlfn.XLOOKUP(_xlfn.TEXTJOIN(,,D378:O378),Aux!$B$3:$B$4098,'Truth Table'!$V$3:$V$4098)=1,ABS(P377)&lt;='Line Follower'!$C$6),FALSE)</f>
        <v>0</v>
      </c>
      <c r="Y378" s="4" t="b">
        <f t="shared" si="5"/>
        <v>1</v>
      </c>
    </row>
    <row r="379" spans="2:25" x14ac:dyDescent="0.25">
      <c r="B379" s="4">
        <v>376</v>
      </c>
      <c r="C379" s="4">
        <v>2819</v>
      </c>
      <c r="D379" s="4">
        <v>0</v>
      </c>
      <c r="E379" s="4">
        <v>0</v>
      </c>
      <c r="F379" s="4">
        <v>0</v>
      </c>
      <c r="G379" s="4">
        <v>0</v>
      </c>
      <c r="H379" s="4">
        <v>1</v>
      </c>
      <c r="I379" s="4">
        <v>1</v>
      </c>
      <c r="J379" s="4">
        <v>0</v>
      </c>
      <c r="K379" s="4">
        <v>0</v>
      </c>
      <c r="L379" s="4">
        <v>0</v>
      </c>
      <c r="M379" s="4">
        <v>0</v>
      </c>
      <c r="N379" s="4">
        <v>0</v>
      </c>
      <c r="O379" s="4">
        <v>1</v>
      </c>
      <c r="P379" s="51">
        <f>IFERROR(_xlfn.XLOOKUP(_xlfn.TEXTJOIN(,,D378:O378),Aux!$B$3:$B$4098,'Truth Table'!$N$3:$N$4098),P378)</f>
        <v>-1</v>
      </c>
      <c r="Q379" s="4" t="b" cm="1">
        <f t="array" ref="Q379:U379">IFERROR(_xlfn.XLOOKUP(_xlfn.TEXTJOIN(,,D379:O379),Aux!$B$3:$B$4098,'Truth Table'!$O$3:$S$4098)=1,FALSE)</f>
        <v>1</v>
      </c>
      <c r="R379" s="4" t="b">
        <v>0</v>
      </c>
      <c r="S379" s="4" t="b">
        <v>0</v>
      </c>
      <c r="T379" s="4" t="b">
        <v>0</v>
      </c>
      <c r="U379" s="4" t="b">
        <v>0</v>
      </c>
      <c r="V379" s="4" t="b">
        <f>AND(_xlfn.XLOOKUP(_xlfn.TEXTJOIN(,,D379:O379),Aux!$B$3:$B$4098,'Truth Table'!$T$3:$T$4098)=1,P378&lt;='Line Follower'!$C$7)</f>
        <v>0</v>
      </c>
      <c r="W379" s="4" t="b">
        <f>AND(_xlfn.XLOOKUP(_xlfn.TEXTJOIN(,,D379:O379),Aux!$B$3:$B$4098,'Truth Table'!$U$3:$U$4098)=1,P378&gt;='Line Follower'!$C$6)</f>
        <v>0</v>
      </c>
      <c r="X379" s="4" t="b">
        <f>IFERROR(AND(_xlfn.XLOOKUP(_xlfn.TEXTJOIN(,,D379:O379),Aux!$B$3:$B$4098,'Truth Table'!$V$3:$V$4098)=1,ABS(P378)&lt;='Line Follower'!$C$6),FALSE)</f>
        <v>0</v>
      </c>
      <c r="Y379" s="4" t="b">
        <f t="shared" si="5"/>
        <v>1</v>
      </c>
    </row>
    <row r="380" spans="2:25" x14ac:dyDescent="0.25">
      <c r="B380" s="4">
        <v>377</v>
      </c>
      <c r="C380" s="4">
        <v>2831</v>
      </c>
      <c r="D380" s="4">
        <v>0</v>
      </c>
      <c r="E380" s="4">
        <v>0</v>
      </c>
      <c r="F380" s="4">
        <v>0</v>
      </c>
      <c r="G380" s="4">
        <v>0</v>
      </c>
      <c r="H380" s="4">
        <v>1</v>
      </c>
      <c r="I380" s="4">
        <v>1</v>
      </c>
      <c r="J380" s="4">
        <v>0</v>
      </c>
      <c r="K380" s="4">
        <v>0</v>
      </c>
      <c r="L380" s="4">
        <v>0</v>
      </c>
      <c r="M380" s="4">
        <v>0</v>
      </c>
      <c r="N380" s="4">
        <v>0</v>
      </c>
      <c r="O380" s="4">
        <v>1</v>
      </c>
      <c r="P380" s="51">
        <f>IFERROR(_xlfn.XLOOKUP(_xlfn.TEXTJOIN(,,D379:O379),Aux!$B$3:$B$4098,'Truth Table'!$N$3:$N$4098),P379)</f>
        <v>-1</v>
      </c>
      <c r="Q380" s="4" t="b" cm="1">
        <f t="array" ref="Q380:U380">IFERROR(_xlfn.XLOOKUP(_xlfn.TEXTJOIN(,,D380:O380),Aux!$B$3:$B$4098,'Truth Table'!$O$3:$S$4098)=1,FALSE)</f>
        <v>1</v>
      </c>
      <c r="R380" s="4" t="b">
        <v>0</v>
      </c>
      <c r="S380" s="4" t="b">
        <v>0</v>
      </c>
      <c r="T380" s="4" t="b">
        <v>0</v>
      </c>
      <c r="U380" s="4" t="b">
        <v>0</v>
      </c>
      <c r="V380" s="4" t="b">
        <f>AND(_xlfn.XLOOKUP(_xlfn.TEXTJOIN(,,D380:O380),Aux!$B$3:$B$4098,'Truth Table'!$T$3:$T$4098)=1,P379&lt;='Line Follower'!$C$7)</f>
        <v>0</v>
      </c>
      <c r="W380" s="4" t="b">
        <f>AND(_xlfn.XLOOKUP(_xlfn.TEXTJOIN(,,D380:O380),Aux!$B$3:$B$4098,'Truth Table'!$U$3:$U$4098)=1,P379&gt;='Line Follower'!$C$6)</f>
        <v>0</v>
      </c>
      <c r="X380" s="4" t="b">
        <f>IFERROR(AND(_xlfn.XLOOKUP(_xlfn.TEXTJOIN(,,D380:O380),Aux!$B$3:$B$4098,'Truth Table'!$V$3:$V$4098)=1,ABS(P379)&lt;='Line Follower'!$C$6),FALSE)</f>
        <v>0</v>
      </c>
      <c r="Y380" s="4" t="b">
        <f t="shared" si="5"/>
        <v>1</v>
      </c>
    </row>
    <row r="381" spans="2:25" x14ac:dyDescent="0.25">
      <c r="B381" s="4">
        <v>378</v>
      </c>
      <c r="C381" s="4">
        <v>2839</v>
      </c>
      <c r="D381" s="4">
        <v>0</v>
      </c>
      <c r="E381" s="4">
        <v>0</v>
      </c>
      <c r="F381" s="4">
        <v>0</v>
      </c>
      <c r="G381" s="4">
        <v>0</v>
      </c>
      <c r="H381" s="4">
        <v>1</v>
      </c>
      <c r="I381" s="4">
        <v>1</v>
      </c>
      <c r="J381" s="4">
        <v>0</v>
      </c>
      <c r="K381" s="4">
        <v>0</v>
      </c>
      <c r="L381" s="4">
        <v>0</v>
      </c>
      <c r="M381" s="4">
        <v>0</v>
      </c>
      <c r="N381" s="4">
        <v>0</v>
      </c>
      <c r="O381" s="4">
        <v>1</v>
      </c>
      <c r="P381" s="51">
        <f>IFERROR(_xlfn.XLOOKUP(_xlfn.TEXTJOIN(,,D380:O380),Aux!$B$3:$B$4098,'Truth Table'!$N$3:$N$4098),P380)</f>
        <v>-1</v>
      </c>
      <c r="Q381" s="4" t="b" cm="1">
        <f t="array" ref="Q381:U381">IFERROR(_xlfn.XLOOKUP(_xlfn.TEXTJOIN(,,D381:O381),Aux!$B$3:$B$4098,'Truth Table'!$O$3:$S$4098)=1,FALSE)</f>
        <v>1</v>
      </c>
      <c r="R381" s="4" t="b">
        <v>0</v>
      </c>
      <c r="S381" s="4" t="b">
        <v>0</v>
      </c>
      <c r="T381" s="4" t="b">
        <v>0</v>
      </c>
      <c r="U381" s="4" t="b">
        <v>0</v>
      </c>
      <c r="V381" s="4" t="b">
        <f>AND(_xlfn.XLOOKUP(_xlfn.TEXTJOIN(,,D381:O381),Aux!$B$3:$B$4098,'Truth Table'!$T$3:$T$4098)=1,P380&lt;='Line Follower'!$C$7)</f>
        <v>0</v>
      </c>
      <c r="W381" s="4" t="b">
        <f>AND(_xlfn.XLOOKUP(_xlfn.TEXTJOIN(,,D381:O381),Aux!$B$3:$B$4098,'Truth Table'!$U$3:$U$4098)=1,P380&gt;='Line Follower'!$C$6)</f>
        <v>0</v>
      </c>
      <c r="X381" s="4" t="b">
        <f>IFERROR(AND(_xlfn.XLOOKUP(_xlfn.TEXTJOIN(,,D381:O381),Aux!$B$3:$B$4098,'Truth Table'!$V$3:$V$4098)=1,ABS(P380)&lt;='Line Follower'!$C$6),FALSE)</f>
        <v>0</v>
      </c>
      <c r="Y381" s="4" t="b">
        <f t="shared" si="5"/>
        <v>1</v>
      </c>
    </row>
    <row r="382" spans="2:25" x14ac:dyDescent="0.25">
      <c r="B382" s="4">
        <v>379</v>
      </c>
      <c r="C382" s="4">
        <v>2853</v>
      </c>
      <c r="D382" s="4">
        <v>0</v>
      </c>
      <c r="E382" s="4">
        <v>0</v>
      </c>
      <c r="F382" s="4">
        <v>0</v>
      </c>
      <c r="G382" s="4">
        <v>0</v>
      </c>
      <c r="H382" s="4">
        <v>1</v>
      </c>
      <c r="I382" s="4">
        <v>1</v>
      </c>
      <c r="J382" s="4">
        <v>0</v>
      </c>
      <c r="K382" s="4">
        <v>0</v>
      </c>
      <c r="L382" s="4">
        <v>0</v>
      </c>
      <c r="M382" s="4">
        <v>0</v>
      </c>
      <c r="N382" s="4">
        <v>0</v>
      </c>
      <c r="O382" s="4">
        <v>1</v>
      </c>
      <c r="P382" s="51">
        <f>IFERROR(_xlfn.XLOOKUP(_xlfn.TEXTJOIN(,,D381:O381),Aux!$B$3:$B$4098,'Truth Table'!$N$3:$N$4098),P381)</f>
        <v>-1</v>
      </c>
      <c r="Q382" s="4" t="b" cm="1">
        <f t="array" ref="Q382:U382">IFERROR(_xlfn.XLOOKUP(_xlfn.TEXTJOIN(,,D382:O382),Aux!$B$3:$B$4098,'Truth Table'!$O$3:$S$4098)=1,FALSE)</f>
        <v>1</v>
      </c>
      <c r="R382" s="4" t="b">
        <v>0</v>
      </c>
      <c r="S382" s="4" t="b">
        <v>0</v>
      </c>
      <c r="T382" s="4" t="b">
        <v>0</v>
      </c>
      <c r="U382" s="4" t="b">
        <v>0</v>
      </c>
      <c r="V382" s="4" t="b">
        <f>AND(_xlfn.XLOOKUP(_xlfn.TEXTJOIN(,,D382:O382),Aux!$B$3:$B$4098,'Truth Table'!$T$3:$T$4098)=1,P381&lt;='Line Follower'!$C$7)</f>
        <v>0</v>
      </c>
      <c r="W382" s="4" t="b">
        <f>AND(_xlfn.XLOOKUP(_xlfn.TEXTJOIN(,,D382:O382),Aux!$B$3:$B$4098,'Truth Table'!$U$3:$U$4098)=1,P381&gt;='Line Follower'!$C$6)</f>
        <v>0</v>
      </c>
      <c r="X382" s="4" t="b">
        <f>IFERROR(AND(_xlfn.XLOOKUP(_xlfn.TEXTJOIN(,,D382:O382),Aux!$B$3:$B$4098,'Truth Table'!$V$3:$V$4098)=1,ABS(P381)&lt;='Line Follower'!$C$6),FALSE)</f>
        <v>0</v>
      </c>
      <c r="Y382" s="4" t="b">
        <f t="shared" si="5"/>
        <v>1</v>
      </c>
    </row>
    <row r="383" spans="2:25" x14ac:dyDescent="0.25">
      <c r="B383" s="4">
        <v>380</v>
      </c>
      <c r="C383" s="4">
        <v>2858</v>
      </c>
      <c r="D383" s="4">
        <v>0</v>
      </c>
      <c r="E383" s="4">
        <v>0</v>
      </c>
      <c r="F383" s="4">
        <v>0</v>
      </c>
      <c r="G383" s="4">
        <v>0</v>
      </c>
      <c r="H383" s="4">
        <v>1</v>
      </c>
      <c r="I383" s="4">
        <v>1</v>
      </c>
      <c r="J383" s="4">
        <v>0</v>
      </c>
      <c r="K383" s="4">
        <v>0</v>
      </c>
      <c r="L383" s="4">
        <v>0</v>
      </c>
      <c r="M383" s="4">
        <v>0</v>
      </c>
      <c r="N383" s="4">
        <v>0</v>
      </c>
      <c r="O383" s="4">
        <v>1</v>
      </c>
      <c r="P383" s="51">
        <f>IFERROR(_xlfn.XLOOKUP(_xlfn.TEXTJOIN(,,D382:O382),Aux!$B$3:$B$4098,'Truth Table'!$N$3:$N$4098),P382)</f>
        <v>-1</v>
      </c>
      <c r="Q383" s="4" t="b" cm="1">
        <f t="array" ref="Q383:U383">IFERROR(_xlfn.XLOOKUP(_xlfn.TEXTJOIN(,,D383:O383),Aux!$B$3:$B$4098,'Truth Table'!$O$3:$S$4098)=1,FALSE)</f>
        <v>1</v>
      </c>
      <c r="R383" s="4" t="b">
        <v>0</v>
      </c>
      <c r="S383" s="4" t="b">
        <v>0</v>
      </c>
      <c r="T383" s="4" t="b">
        <v>0</v>
      </c>
      <c r="U383" s="4" t="b">
        <v>0</v>
      </c>
      <c r="V383" s="4" t="b">
        <f>AND(_xlfn.XLOOKUP(_xlfn.TEXTJOIN(,,D383:O383),Aux!$B$3:$B$4098,'Truth Table'!$T$3:$T$4098)=1,P382&lt;='Line Follower'!$C$7)</f>
        <v>0</v>
      </c>
      <c r="W383" s="4" t="b">
        <f>AND(_xlfn.XLOOKUP(_xlfn.TEXTJOIN(,,D383:O383),Aux!$B$3:$B$4098,'Truth Table'!$U$3:$U$4098)=1,P382&gt;='Line Follower'!$C$6)</f>
        <v>0</v>
      </c>
      <c r="X383" s="4" t="b">
        <f>IFERROR(AND(_xlfn.XLOOKUP(_xlfn.TEXTJOIN(,,D383:O383),Aux!$B$3:$B$4098,'Truth Table'!$V$3:$V$4098)=1,ABS(P382)&lt;='Line Follower'!$C$6),FALSE)</f>
        <v>0</v>
      </c>
      <c r="Y383" s="4" t="b">
        <f t="shared" si="5"/>
        <v>1</v>
      </c>
    </row>
    <row r="384" spans="2:25" x14ac:dyDescent="0.25">
      <c r="B384" s="4">
        <v>381</v>
      </c>
      <c r="C384" s="4">
        <v>2874</v>
      </c>
      <c r="D384" s="4">
        <v>0</v>
      </c>
      <c r="E384" s="4">
        <v>0</v>
      </c>
      <c r="F384" s="4">
        <v>0</v>
      </c>
      <c r="G384" s="4">
        <v>0</v>
      </c>
      <c r="H384" s="4">
        <v>1</v>
      </c>
      <c r="I384" s="4">
        <v>1</v>
      </c>
      <c r="J384" s="4">
        <v>0</v>
      </c>
      <c r="K384" s="4">
        <v>0</v>
      </c>
      <c r="L384" s="4">
        <v>0</v>
      </c>
      <c r="M384" s="4">
        <v>0</v>
      </c>
      <c r="N384" s="4">
        <v>0</v>
      </c>
      <c r="O384" s="4">
        <v>1</v>
      </c>
      <c r="P384" s="51">
        <f>IFERROR(_xlfn.XLOOKUP(_xlfn.TEXTJOIN(,,D383:O383),Aux!$B$3:$B$4098,'Truth Table'!$N$3:$N$4098),P383)</f>
        <v>-1</v>
      </c>
      <c r="Q384" s="4" t="b" cm="1">
        <f t="array" ref="Q384:U384">IFERROR(_xlfn.XLOOKUP(_xlfn.TEXTJOIN(,,D384:O384),Aux!$B$3:$B$4098,'Truth Table'!$O$3:$S$4098)=1,FALSE)</f>
        <v>1</v>
      </c>
      <c r="R384" s="4" t="b">
        <v>0</v>
      </c>
      <c r="S384" s="4" t="b">
        <v>0</v>
      </c>
      <c r="T384" s="4" t="b">
        <v>0</v>
      </c>
      <c r="U384" s="4" t="b">
        <v>0</v>
      </c>
      <c r="V384" s="4" t="b">
        <f>AND(_xlfn.XLOOKUP(_xlfn.TEXTJOIN(,,D384:O384),Aux!$B$3:$B$4098,'Truth Table'!$T$3:$T$4098)=1,P383&lt;='Line Follower'!$C$7)</f>
        <v>0</v>
      </c>
      <c r="W384" s="4" t="b">
        <f>AND(_xlfn.XLOOKUP(_xlfn.TEXTJOIN(,,D384:O384),Aux!$B$3:$B$4098,'Truth Table'!$U$3:$U$4098)=1,P383&gt;='Line Follower'!$C$6)</f>
        <v>0</v>
      </c>
      <c r="X384" s="4" t="b">
        <f>IFERROR(AND(_xlfn.XLOOKUP(_xlfn.TEXTJOIN(,,D384:O384),Aux!$B$3:$B$4098,'Truth Table'!$V$3:$V$4098)=1,ABS(P383)&lt;='Line Follower'!$C$6),FALSE)</f>
        <v>0</v>
      </c>
      <c r="Y384" s="4" t="b">
        <f t="shared" si="5"/>
        <v>1</v>
      </c>
    </row>
    <row r="385" spans="2:25" x14ac:dyDescent="0.25">
      <c r="B385" s="4">
        <v>382</v>
      </c>
      <c r="C385" s="4">
        <v>2881</v>
      </c>
      <c r="D385" s="4">
        <v>0</v>
      </c>
      <c r="E385" s="4">
        <v>0</v>
      </c>
      <c r="F385" s="4">
        <v>0</v>
      </c>
      <c r="G385" s="4">
        <v>0</v>
      </c>
      <c r="H385" s="4">
        <v>1</v>
      </c>
      <c r="I385" s="4">
        <v>1</v>
      </c>
      <c r="J385" s="4">
        <v>0</v>
      </c>
      <c r="K385" s="4">
        <v>0</v>
      </c>
      <c r="L385" s="4">
        <v>0</v>
      </c>
      <c r="M385" s="4">
        <v>0</v>
      </c>
      <c r="N385" s="4">
        <v>0</v>
      </c>
      <c r="O385" s="4">
        <v>1</v>
      </c>
      <c r="P385" s="51">
        <f>IFERROR(_xlfn.XLOOKUP(_xlfn.TEXTJOIN(,,D384:O384),Aux!$B$3:$B$4098,'Truth Table'!$N$3:$N$4098),P384)</f>
        <v>-1</v>
      </c>
      <c r="Q385" s="4" t="b" cm="1">
        <f t="array" ref="Q385:U385">IFERROR(_xlfn.XLOOKUP(_xlfn.TEXTJOIN(,,D385:O385),Aux!$B$3:$B$4098,'Truth Table'!$O$3:$S$4098)=1,FALSE)</f>
        <v>1</v>
      </c>
      <c r="R385" s="4" t="b">
        <v>0</v>
      </c>
      <c r="S385" s="4" t="b">
        <v>0</v>
      </c>
      <c r="T385" s="4" t="b">
        <v>0</v>
      </c>
      <c r="U385" s="4" t="b">
        <v>0</v>
      </c>
      <c r="V385" s="4" t="b">
        <f>AND(_xlfn.XLOOKUP(_xlfn.TEXTJOIN(,,D385:O385),Aux!$B$3:$B$4098,'Truth Table'!$T$3:$T$4098)=1,P384&lt;='Line Follower'!$C$7)</f>
        <v>0</v>
      </c>
      <c r="W385" s="4" t="b">
        <f>AND(_xlfn.XLOOKUP(_xlfn.TEXTJOIN(,,D385:O385),Aux!$B$3:$B$4098,'Truth Table'!$U$3:$U$4098)=1,P384&gt;='Line Follower'!$C$6)</f>
        <v>0</v>
      </c>
      <c r="X385" s="4" t="b">
        <f>IFERROR(AND(_xlfn.XLOOKUP(_xlfn.TEXTJOIN(,,D385:O385),Aux!$B$3:$B$4098,'Truth Table'!$V$3:$V$4098)=1,ABS(P384)&lt;='Line Follower'!$C$6),FALSE)</f>
        <v>0</v>
      </c>
      <c r="Y385" s="4" t="b">
        <f t="shared" si="5"/>
        <v>1</v>
      </c>
    </row>
    <row r="386" spans="2:25" x14ac:dyDescent="0.25">
      <c r="B386" s="4">
        <v>383</v>
      </c>
      <c r="C386" s="4">
        <v>2894</v>
      </c>
      <c r="D386" s="4">
        <v>0</v>
      </c>
      <c r="E386" s="4">
        <v>0</v>
      </c>
      <c r="F386" s="4">
        <v>0</v>
      </c>
      <c r="G386" s="4">
        <v>0</v>
      </c>
      <c r="H386" s="4">
        <v>1</v>
      </c>
      <c r="I386" s="4">
        <v>1</v>
      </c>
      <c r="J386" s="4">
        <v>0</v>
      </c>
      <c r="K386" s="4">
        <v>0</v>
      </c>
      <c r="L386" s="4">
        <v>0</v>
      </c>
      <c r="M386" s="4">
        <v>0</v>
      </c>
      <c r="N386" s="4">
        <v>0</v>
      </c>
      <c r="O386" s="4">
        <v>1</v>
      </c>
      <c r="P386" s="51">
        <f>IFERROR(_xlfn.XLOOKUP(_xlfn.TEXTJOIN(,,D385:O385),Aux!$B$3:$B$4098,'Truth Table'!$N$3:$N$4098),P385)</f>
        <v>-1</v>
      </c>
      <c r="Q386" s="4" t="b" cm="1">
        <f t="array" ref="Q386:U386">IFERROR(_xlfn.XLOOKUP(_xlfn.TEXTJOIN(,,D386:O386),Aux!$B$3:$B$4098,'Truth Table'!$O$3:$S$4098)=1,FALSE)</f>
        <v>1</v>
      </c>
      <c r="R386" s="4" t="b">
        <v>0</v>
      </c>
      <c r="S386" s="4" t="b">
        <v>0</v>
      </c>
      <c r="T386" s="4" t="b">
        <v>0</v>
      </c>
      <c r="U386" s="4" t="b">
        <v>0</v>
      </c>
      <c r="V386" s="4" t="b">
        <f>AND(_xlfn.XLOOKUP(_xlfn.TEXTJOIN(,,D386:O386),Aux!$B$3:$B$4098,'Truth Table'!$T$3:$T$4098)=1,P385&lt;='Line Follower'!$C$7)</f>
        <v>0</v>
      </c>
      <c r="W386" s="4" t="b">
        <f>AND(_xlfn.XLOOKUP(_xlfn.TEXTJOIN(,,D386:O386),Aux!$B$3:$B$4098,'Truth Table'!$U$3:$U$4098)=1,P385&gt;='Line Follower'!$C$6)</f>
        <v>0</v>
      </c>
      <c r="X386" s="4" t="b">
        <f>IFERROR(AND(_xlfn.XLOOKUP(_xlfn.TEXTJOIN(,,D386:O386),Aux!$B$3:$B$4098,'Truth Table'!$V$3:$V$4098)=1,ABS(P385)&lt;='Line Follower'!$C$6),FALSE)</f>
        <v>0</v>
      </c>
      <c r="Y386" s="4" t="b">
        <f t="shared" si="5"/>
        <v>1</v>
      </c>
    </row>
    <row r="387" spans="2:25" x14ac:dyDescent="0.25">
      <c r="B387" s="4">
        <v>384</v>
      </c>
      <c r="C387" s="4">
        <v>2903</v>
      </c>
      <c r="D387" s="4">
        <v>0</v>
      </c>
      <c r="E387" s="4">
        <v>0</v>
      </c>
      <c r="F387" s="4">
        <v>0</v>
      </c>
      <c r="G387" s="4">
        <v>0</v>
      </c>
      <c r="H387" s="4">
        <v>1</v>
      </c>
      <c r="I387" s="4">
        <v>1</v>
      </c>
      <c r="J387" s="4">
        <v>0</v>
      </c>
      <c r="K387" s="4">
        <v>0</v>
      </c>
      <c r="L387" s="4">
        <v>0</v>
      </c>
      <c r="M387" s="4">
        <v>0</v>
      </c>
      <c r="N387" s="4">
        <v>0</v>
      </c>
      <c r="O387" s="4">
        <v>1</v>
      </c>
      <c r="P387" s="51">
        <f>IFERROR(_xlfn.XLOOKUP(_xlfn.TEXTJOIN(,,D386:O386),Aux!$B$3:$B$4098,'Truth Table'!$N$3:$N$4098),P386)</f>
        <v>-1</v>
      </c>
      <c r="Q387" s="4" t="b" cm="1">
        <f t="array" ref="Q387:U387">IFERROR(_xlfn.XLOOKUP(_xlfn.TEXTJOIN(,,D387:O387),Aux!$B$3:$B$4098,'Truth Table'!$O$3:$S$4098)=1,FALSE)</f>
        <v>1</v>
      </c>
      <c r="R387" s="4" t="b">
        <v>0</v>
      </c>
      <c r="S387" s="4" t="b">
        <v>0</v>
      </c>
      <c r="T387" s="4" t="b">
        <v>0</v>
      </c>
      <c r="U387" s="4" t="b">
        <v>0</v>
      </c>
      <c r="V387" s="4" t="b">
        <f>AND(_xlfn.XLOOKUP(_xlfn.TEXTJOIN(,,D387:O387),Aux!$B$3:$B$4098,'Truth Table'!$T$3:$T$4098)=1,P386&lt;='Line Follower'!$C$7)</f>
        <v>0</v>
      </c>
      <c r="W387" s="4" t="b">
        <f>AND(_xlfn.XLOOKUP(_xlfn.TEXTJOIN(,,D387:O387),Aux!$B$3:$B$4098,'Truth Table'!$U$3:$U$4098)=1,P386&gt;='Line Follower'!$C$6)</f>
        <v>0</v>
      </c>
      <c r="X387" s="4" t="b">
        <f>IFERROR(AND(_xlfn.XLOOKUP(_xlfn.TEXTJOIN(,,D387:O387),Aux!$B$3:$B$4098,'Truth Table'!$V$3:$V$4098)=1,ABS(P386)&lt;='Line Follower'!$C$6),FALSE)</f>
        <v>0</v>
      </c>
      <c r="Y387" s="4" t="b">
        <f t="shared" si="5"/>
        <v>1</v>
      </c>
    </row>
    <row r="388" spans="2:25" x14ac:dyDescent="0.25">
      <c r="B388" s="4">
        <v>385</v>
      </c>
      <c r="C388" s="4">
        <v>2912</v>
      </c>
      <c r="D388" s="4">
        <v>0</v>
      </c>
      <c r="E388" s="4">
        <v>0</v>
      </c>
      <c r="F388" s="4">
        <v>0</v>
      </c>
      <c r="G388" s="4">
        <v>0</v>
      </c>
      <c r="H388" s="4">
        <v>1</v>
      </c>
      <c r="I388" s="4">
        <v>1</v>
      </c>
      <c r="J388" s="4">
        <v>0</v>
      </c>
      <c r="K388" s="4">
        <v>0</v>
      </c>
      <c r="L388" s="4">
        <v>0</v>
      </c>
      <c r="M388" s="4">
        <v>0</v>
      </c>
      <c r="N388" s="4">
        <v>0</v>
      </c>
      <c r="O388" s="4">
        <v>1</v>
      </c>
      <c r="P388" s="51">
        <f>IFERROR(_xlfn.XLOOKUP(_xlfn.TEXTJOIN(,,D387:O387),Aux!$B$3:$B$4098,'Truth Table'!$N$3:$N$4098),P387)</f>
        <v>-1</v>
      </c>
      <c r="Q388" s="4" t="b" cm="1">
        <f t="array" ref="Q388:U388">IFERROR(_xlfn.XLOOKUP(_xlfn.TEXTJOIN(,,D388:O388),Aux!$B$3:$B$4098,'Truth Table'!$O$3:$S$4098)=1,FALSE)</f>
        <v>1</v>
      </c>
      <c r="R388" s="4" t="b">
        <v>0</v>
      </c>
      <c r="S388" s="4" t="b">
        <v>0</v>
      </c>
      <c r="T388" s="4" t="b">
        <v>0</v>
      </c>
      <c r="U388" s="4" t="b">
        <v>0</v>
      </c>
      <c r="V388" s="4" t="b">
        <f>AND(_xlfn.XLOOKUP(_xlfn.TEXTJOIN(,,D388:O388),Aux!$B$3:$B$4098,'Truth Table'!$T$3:$T$4098)=1,P387&lt;='Line Follower'!$C$7)</f>
        <v>0</v>
      </c>
      <c r="W388" s="4" t="b">
        <f>AND(_xlfn.XLOOKUP(_xlfn.TEXTJOIN(,,D388:O388),Aux!$B$3:$B$4098,'Truth Table'!$U$3:$U$4098)=1,P387&gt;='Line Follower'!$C$6)</f>
        <v>0</v>
      </c>
      <c r="X388" s="4" t="b">
        <f>IFERROR(AND(_xlfn.XLOOKUP(_xlfn.TEXTJOIN(,,D388:O388),Aux!$B$3:$B$4098,'Truth Table'!$V$3:$V$4098)=1,ABS(P387)&lt;='Line Follower'!$C$6),FALSE)</f>
        <v>0</v>
      </c>
      <c r="Y388" s="4" t="b">
        <f t="shared" ref="Y388:Y451" si="6">OR(Q388:X388)</f>
        <v>1</v>
      </c>
    </row>
    <row r="389" spans="2:25" x14ac:dyDescent="0.25">
      <c r="B389" s="4">
        <v>386</v>
      </c>
      <c r="C389" s="4">
        <v>2964</v>
      </c>
      <c r="D389" s="4">
        <v>0</v>
      </c>
      <c r="E389" s="4">
        <v>0</v>
      </c>
      <c r="F389" s="4">
        <v>0</v>
      </c>
      <c r="G389" s="4">
        <v>0</v>
      </c>
      <c r="H389" s="4">
        <v>1</v>
      </c>
      <c r="I389" s="4">
        <v>1</v>
      </c>
      <c r="J389" s="4">
        <v>0</v>
      </c>
      <c r="K389" s="4">
        <v>0</v>
      </c>
      <c r="L389" s="4">
        <v>0</v>
      </c>
      <c r="M389" s="4">
        <v>0</v>
      </c>
      <c r="N389" s="4">
        <v>0</v>
      </c>
      <c r="O389" s="4">
        <v>1</v>
      </c>
      <c r="P389" s="51">
        <f>IFERROR(_xlfn.XLOOKUP(_xlfn.TEXTJOIN(,,D388:O388),Aux!$B$3:$B$4098,'Truth Table'!$N$3:$N$4098),P388)</f>
        <v>-1</v>
      </c>
      <c r="Q389" s="4" t="b" cm="1">
        <f t="array" ref="Q389:U389">IFERROR(_xlfn.XLOOKUP(_xlfn.TEXTJOIN(,,D389:O389),Aux!$B$3:$B$4098,'Truth Table'!$O$3:$S$4098)=1,FALSE)</f>
        <v>1</v>
      </c>
      <c r="R389" s="4" t="b">
        <v>0</v>
      </c>
      <c r="S389" s="4" t="b">
        <v>0</v>
      </c>
      <c r="T389" s="4" t="b">
        <v>0</v>
      </c>
      <c r="U389" s="4" t="b">
        <v>0</v>
      </c>
      <c r="V389" s="4" t="b">
        <f>AND(_xlfn.XLOOKUP(_xlfn.TEXTJOIN(,,D389:O389),Aux!$B$3:$B$4098,'Truth Table'!$T$3:$T$4098)=1,P388&lt;='Line Follower'!$C$7)</f>
        <v>0</v>
      </c>
      <c r="W389" s="4" t="b">
        <f>AND(_xlfn.XLOOKUP(_xlfn.TEXTJOIN(,,D389:O389),Aux!$B$3:$B$4098,'Truth Table'!$U$3:$U$4098)=1,P388&gt;='Line Follower'!$C$6)</f>
        <v>0</v>
      </c>
      <c r="X389" s="4" t="b">
        <f>IFERROR(AND(_xlfn.XLOOKUP(_xlfn.TEXTJOIN(,,D389:O389),Aux!$B$3:$B$4098,'Truth Table'!$V$3:$V$4098)=1,ABS(P388)&lt;='Line Follower'!$C$6),FALSE)</f>
        <v>0</v>
      </c>
      <c r="Y389" s="4" t="b">
        <f t="shared" si="6"/>
        <v>1</v>
      </c>
    </row>
    <row r="390" spans="2:25" x14ac:dyDescent="0.25">
      <c r="B390" s="4">
        <v>387</v>
      </c>
      <c r="C390" s="4">
        <v>2965</v>
      </c>
      <c r="D390" s="4">
        <v>0</v>
      </c>
      <c r="E390" s="4">
        <v>0</v>
      </c>
      <c r="F390" s="4">
        <v>0</v>
      </c>
      <c r="G390" s="4">
        <v>0</v>
      </c>
      <c r="H390" s="4">
        <v>1</v>
      </c>
      <c r="I390" s="4">
        <v>1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  <c r="O390" s="4">
        <v>1</v>
      </c>
      <c r="P390" s="51">
        <f>IFERROR(_xlfn.XLOOKUP(_xlfn.TEXTJOIN(,,D389:O389),Aux!$B$3:$B$4098,'Truth Table'!$N$3:$N$4098),P389)</f>
        <v>-1</v>
      </c>
      <c r="Q390" s="4" t="b" cm="1">
        <f t="array" ref="Q390:U390">IFERROR(_xlfn.XLOOKUP(_xlfn.TEXTJOIN(,,D390:O390),Aux!$B$3:$B$4098,'Truth Table'!$O$3:$S$4098)=1,FALSE)</f>
        <v>1</v>
      </c>
      <c r="R390" s="4" t="b">
        <v>0</v>
      </c>
      <c r="S390" s="4" t="b">
        <v>0</v>
      </c>
      <c r="T390" s="4" t="b">
        <v>0</v>
      </c>
      <c r="U390" s="4" t="b">
        <v>0</v>
      </c>
      <c r="V390" s="4" t="b">
        <f>AND(_xlfn.XLOOKUP(_xlfn.TEXTJOIN(,,D390:O390),Aux!$B$3:$B$4098,'Truth Table'!$T$3:$T$4098)=1,P389&lt;='Line Follower'!$C$7)</f>
        <v>0</v>
      </c>
      <c r="W390" s="4" t="b">
        <f>AND(_xlfn.XLOOKUP(_xlfn.TEXTJOIN(,,D390:O390),Aux!$B$3:$B$4098,'Truth Table'!$U$3:$U$4098)=1,P389&gt;='Line Follower'!$C$6)</f>
        <v>0</v>
      </c>
      <c r="X390" s="4" t="b">
        <f>IFERROR(AND(_xlfn.XLOOKUP(_xlfn.TEXTJOIN(,,D390:O390),Aux!$B$3:$B$4098,'Truth Table'!$V$3:$V$4098)=1,ABS(P389)&lt;='Line Follower'!$C$6),FALSE)</f>
        <v>0</v>
      </c>
      <c r="Y390" s="4" t="b">
        <f t="shared" si="6"/>
        <v>1</v>
      </c>
    </row>
    <row r="391" spans="2:25" x14ac:dyDescent="0.25">
      <c r="B391" s="4">
        <v>388</v>
      </c>
      <c r="C391" s="4">
        <v>2967</v>
      </c>
      <c r="D391" s="4">
        <v>0</v>
      </c>
      <c r="E391" s="4">
        <v>0</v>
      </c>
      <c r="F391" s="4">
        <v>0</v>
      </c>
      <c r="G391" s="4">
        <v>0</v>
      </c>
      <c r="H391" s="4">
        <v>1</v>
      </c>
      <c r="I391" s="4">
        <v>1</v>
      </c>
      <c r="J391" s="4">
        <v>0</v>
      </c>
      <c r="K391" s="4">
        <v>0</v>
      </c>
      <c r="L391" s="4">
        <v>0</v>
      </c>
      <c r="M391" s="4">
        <v>0</v>
      </c>
      <c r="N391" s="4">
        <v>0</v>
      </c>
      <c r="O391" s="4">
        <v>1</v>
      </c>
      <c r="P391" s="51">
        <f>IFERROR(_xlfn.XLOOKUP(_xlfn.TEXTJOIN(,,D390:O390),Aux!$B$3:$B$4098,'Truth Table'!$N$3:$N$4098),P390)</f>
        <v>-1</v>
      </c>
      <c r="Q391" s="4" t="b" cm="1">
        <f t="array" ref="Q391:U391">IFERROR(_xlfn.XLOOKUP(_xlfn.TEXTJOIN(,,D391:O391),Aux!$B$3:$B$4098,'Truth Table'!$O$3:$S$4098)=1,FALSE)</f>
        <v>1</v>
      </c>
      <c r="R391" s="4" t="b">
        <v>0</v>
      </c>
      <c r="S391" s="4" t="b">
        <v>0</v>
      </c>
      <c r="T391" s="4" t="b">
        <v>0</v>
      </c>
      <c r="U391" s="4" t="b">
        <v>0</v>
      </c>
      <c r="V391" s="4" t="b">
        <f>AND(_xlfn.XLOOKUP(_xlfn.TEXTJOIN(,,D391:O391),Aux!$B$3:$B$4098,'Truth Table'!$T$3:$T$4098)=1,P390&lt;='Line Follower'!$C$7)</f>
        <v>0</v>
      </c>
      <c r="W391" s="4" t="b">
        <f>AND(_xlfn.XLOOKUP(_xlfn.TEXTJOIN(,,D391:O391),Aux!$B$3:$B$4098,'Truth Table'!$U$3:$U$4098)=1,P390&gt;='Line Follower'!$C$6)</f>
        <v>0</v>
      </c>
      <c r="X391" s="4" t="b">
        <f>IFERROR(AND(_xlfn.XLOOKUP(_xlfn.TEXTJOIN(,,D391:O391),Aux!$B$3:$B$4098,'Truth Table'!$V$3:$V$4098)=1,ABS(P390)&lt;='Line Follower'!$C$6),FALSE)</f>
        <v>0</v>
      </c>
      <c r="Y391" s="4" t="b">
        <f t="shared" si="6"/>
        <v>1</v>
      </c>
    </row>
    <row r="392" spans="2:25" x14ac:dyDescent="0.25">
      <c r="B392" s="4">
        <v>389</v>
      </c>
      <c r="C392" s="4">
        <v>2968</v>
      </c>
      <c r="D392" s="4">
        <v>0</v>
      </c>
      <c r="E392" s="4">
        <v>0</v>
      </c>
      <c r="F392" s="4">
        <v>0</v>
      </c>
      <c r="G392" s="4">
        <v>0</v>
      </c>
      <c r="H392" s="4">
        <v>1</v>
      </c>
      <c r="I392" s="4">
        <v>1</v>
      </c>
      <c r="J392" s="4">
        <v>0</v>
      </c>
      <c r="K392" s="4">
        <v>0</v>
      </c>
      <c r="L392" s="4">
        <v>0</v>
      </c>
      <c r="M392" s="4">
        <v>0</v>
      </c>
      <c r="N392" s="4">
        <v>0</v>
      </c>
      <c r="O392" s="4">
        <v>1</v>
      </c>
      <c r="P392" s="51">
        <f>IFERROR(_xlfn.XLOOKUP(_xlfn.TEXTJOIN(,,D391:O391),Aux!$B$3:$B$4098,'Truth Table'!$N$3:$N$4098),P391)</f>
        <v>-1</v>
      </c>
      <c r="Q392" s="4" t="b" cm="1">
        <f t="array" ref="Q392:U392">IFERROR(_xlfn.XLOOKUP(_xlfn.TEXTJOIN(,,D392:O392),Aux!$B$3:$B$4098,'Truth Table'!$O$3:$S$4098)=1,FALSE)</f>
        <v>1</v>
      </c>
      <c r="R392" s="4" t="b">
        <v>0</v>
      </c>
      <c r="S392" s="4" t="b">
        <v>0</v>
      </c>
      <c r="T392" s="4" t="b">
        <v>0</v>
      </c>
      <c r="U392" s="4" t="b">
        <v>0</v>
      </c>
      <c r="V392" s="4" t="b">
        <f>AND(_xlfn.XLOOKUP(_xlfn.TEXTJOIN(,,D392:O392),Aux!$B$3:$B$4098,'Truth Table'!$T$3:$T$4098)=1,P391&lt;='Line Follower'!$C$7)</f>
        <v>0</v>
      </c>
      <c r="W392" s="4" t="b">
        <f>AND(_xlfn.XLOOKUP(_xlfn.TEXTJOIN(,,D392:O392),Aux!$B$3:$B$4098,'Truth Table'!$U$3:$U$4098)=1,P391&gt;='Line Follower'!$C$6)</f>
        <v>0</v>
      </c>
      <c r="X392" s="4" t="b">
        <f>IFERROR(AND(_xlfn.XLOOKUP(_xlfn.TEXTJOIN(,,D392:O392),Aux!$B$3:$B$4098,'Truth Table'!$V$3:$V$4098)=1,ABS(P391)&lt;='Line Follower'!$C$6),FALSE)</f>
        <v>0</v>
      </c>
      <c r="Y392" s="4" t="b">
        <f t="shared" si="6"/>
        <v>1</v>
      </c>
    </row>
    <row r="393" spans="2:25" x14ac:dyDescent="0.25">
      <c r="B393" s="4">
        <v>390</v>
      </c>
      <c r="C393" s="4">
        <v>2969</v>
      </c>
      <c r="D393" s="4">
        <v>0</v>
      </c>
      <c r="E393" s="4">
        <v>0</v>
      </c>
      <c r="F393" s="4">
        <v>0</v>
      </c>
      <c r="G393" s="4">
        <v>0</v>
      </c>
      <c r="H393" s="4">
        <v>1</v>
      </c>
      <c r="I393" s="4">
        <v>1</v>
      </c>
      <c r="J393" s="4">
        <v>0</v>
      </c>
      <c r="K393" s="4">
        <v>0</v>
      </c>
      <c r="L393" s="4">
        <v>0</v>
      </c>
      <c r="M393" s="4">
        <v>0</v>
      </c>
      <c r="N393" s="4">
        <v>0</v>
      </c>
      <c r="O393" s="4">
        <v>1</v>
      </c>
      <c r="P393" s="51">
        <f>IFERROR(_xlfn.XLOOKUP(_xlfn.TEXTJOIN(,,D392:O392),Aux!$B$3:$B$4098,'Truth Table'!$N$3:$N$4098),P392)</f>
        <v>-1</v>
      </c>
      <c r="Q393" s="4" t="b" cm="1">
        <f t="array" ref="Q393:U393">IFERROR(_xlfn.XLOOKUP(_xlfn.TEXTJOIN(,,D393:O393),Aux!$B$3:$B$4098,'Truth Table'!$O$3:$S$4098)=1,FALSE)</f>
        <v>1</v>
      </c>
      <c r="R393" s="4" t="b">
        <v>0</v>
      </c>
      <c r="S393" s="4" t="b">
        <v>0</v>
      </c>
      <c r="T393" s="4" t="b">
        <v>0</v>
      </c>
      <c r="U393" s="4" t="b">
        <v>0</v>
      </c>
      <c r="V393" s="4" t="b">
        <f>AND(_xlfn.XLOOKUP(_xlfn.TEXTJOIN(,,D393:O393),Aux!$B$3:$B$4098,'Truth Table'!$T$3:$T$4098)=1,P392&lt;='Line Follower'!$C$7)</f>
        <v>0</v>
      </c>
      <c r="W393" s="4" t="b">
        <f>AND(_xlfn.XLOOKUP(_xlfn.TEXTJOIN(,,D393:O393),Aux!$B$3:$B$4098,'Truth Table'!$U$3:$U$4098)=1,P392&gt;='Line Follower'!$C$6)</f>
        <v>0</v>
      </c>
      <c r="X393" s="4" t="b">
        <f>IFERROR(AND(_xlfn.XLOOKUP(_xlfn.TEXTJOIN(,,D393:O393),Aux!$B$3:$B$4098,'Truth Table'!$V$3:$V$4098)=1,ABS(P392)&lt;='Line Follower'!$C$6),FALSE)</f>
        <v>0</v>
      </c>
      <c r="Y393" s="4" t="b">
        <f t="shared" si="6"/>
        <v>1</v>
      </c>
    </row>
    <row r="394" spans="2:25" x14ac:dyDescent="0.25">
      <c r="B394" s="4">
        <v>391</v>
      </c>
      <c r="C394" s="4">
        <v>2970</v>
      </c>
      <c r="D394" s="4">
        <v>0</v>
      </c>
      <c r="E394" s="4">
        <v>0</v>
      </c>
      <c r="F394" s="4">
        <v>0</v>
      </c>
      <c r="G394" s="4">
        <v>0</v>
      </c>
      <c r="H394" s="4">
        <v>1</v>
      </c>
      <c r="I394" s="4">
        <v>1</v>
      </c>
      <c r="J394" s="4">
        <v>0</v>
      </c>
      <c r="K394" s="4">
        <v>0</v>
      </c>
      <c r="L394" s="4">
        <v>0</v>
      </c>
      <c r="M394" s="4">
        <v>0</v>
      </c>
      <c r="N394" s="4">
        <v>0</v>
      </c>
      <c r="O394" s="4">
        <v>1</v>
      </c>
      <c r="P394" s="51">
        <f>IFERROR(_xlfn.XLOOKUP(_xlfn.TEXTJOIN(,,D393:O393),Aux!$B$3:$B$4098,'Truth Table'!$N$3:$N$4098),P393)</f>
        <v>-1</v>
      </c>
      <c r="Q394" s="4" t="b" cm="1">
        <f t="array" ref="Q394:U394">IFERROR(_xlfn.XLOOKUP(_xlfn.TEXTJOIN(,,D394:O394),Aux!$B$3:$B$4098,'Truth Table'!$O$3:$S$4098)=1,FALSE)</f>
        <v>1</v>
      </c>
      <c r="R394" s="4" t="b">
        <v>0</v>
      </c>
      <c r="S394" s="4" t="b">
        <v>0</v>
      </c>
      <c r="T394" s="4" t="b">
        <v>0</v>
      </c>
      <c r="U394" s="4" t="b">
        <v>0</v>
      </c>
      <c r="V394" s="4" t="b">
        <f>AND(_xlfn.XLOOKUP(_xlfn.TEXTJOIN(,,D394:O394),Aux!$B$3:$B$4098,'Truth Table'!$T$3:$T$4098)=1,P393&lt;='Line Follower'!$C$7)</f>
        <v>0</v>
      </c>
      <c r="W394" s="4" t="b">
        <f>AND(_xlfn.XLOOKUP(_xlfn.TEXTJOIN(,,D394:O394),Aux!$B$3:$B$4098,'Truth Table'!$U$3:$U$4098)=1,P393&gt;='Line Follower'!$C$6)</f>
        <v>0</v>
      </c>
      <c r="X394" s="4" t="b">
        <f>IFERROR(AND(_xlfn.XLOOKUP(_xlfn.TEXTJOIN(,,D394:O394),Aux!$B$3:$B$4098,'Truth Table'!$V$3:$V$4098)=1,ABS(P393)&lt;='Line Follower'!$C$6),FALSE)</f>
        <v>0</v>
      </c>
      <c r="Y394" s="4" t="b">
        <f t="shared" si="6"/>
        <v>1</v>
      </c>
    </row>
    <row r="395" spans="2:25" x14ac:dyDescent="0.25">
      <c r="B395" s="4">
        <v>392</v>
      </c>
      <c r="C395" s="4">
        <v>2984</v>
      </c>
      <c r="D395" s="4">
        <v>0</v>
      </c>
      <c r="E395" s="4">
        <v>0</v>
      </c>
      <c r="F395" s="4">
        <v>0</v>
      </c>
      <c r="G395" s="4">
        <v>0</v>
      </c>
      <c r="H395" s="4">
        <v>1</v>
      </c>
      <c r="I395" s="4">
        <v>1</v>
      </c>
      <c r="J395" s="4">
        <v>0</v>
      </c>
      <c r="K395" s="4">
        <v>0</v>
      </c>
      <c r="L395" s="4">
        <v>0</v>
      </c>
      <c r="M395" s="4">
        <v>0</v>
      </c>
      <c r="N395" s="4">
        <v>0</v>
      </c>
      <c r="O395" s="4">
        <v>1</v>
      </c>
      <c r="P395" s="51">
        <f>IFERROR(_xlfn.XLOOKUP(_xlfn.TEXTJOIN(,,D394:O394),Aux!$B$3:$B$4098,'Truth Table'!$N$3:$N$4098),P394)</f>
        <v>-1</v>
      </c>
      <c r="Q395" s="4" t="b" cm="1">
        <f t="array" ref="Q395:U395">IFERROR(_xlfn.XLOOKUP(_xlfn.TEXTJOIN(,,D395:O395),Aux!$B$3:$B$4098,'Truth Table'!$O$3:$S$4098)=1,FALSE)</f>
        <v>1</v>
      </c>
      <c r="R395" s="4" t="b">
        <v>0</v>
      </c>
      <c r="S395" s="4" t="b">
        <v>0</v>
      </c>
      <c r="T395" s="4" t="b">
        <v>0</v>
      </c>
      <c r="U395" s="4" t="b">
        <v>0</v>
      </c>
      <c r="V395" s="4" t="b">
        <f>AND(_xlfn.XLOOKUP(_xlfn.TEXTJOIN(,,D395:O395),Aux!$B$3:$B$4098,'Truth Table'!$T$3:$T$4098)=1,P394&lt;='Line Follower'!$C$7)</f>
        <v>0</v>
      </c>
      <c r="W395" s="4" t="b">
        <f>AND(_xlfn.XLOOKUP(_xlfn.TEXTJOIN(,,D395:O395),Aux!$B$3:$B$4098,'Truth Table'!$U$3:$U$4098)=1,P394&gt;='Line Follower'!$C$6)</f>
        <v>0</v>
      </c>
      <c r="X395" s="4" t="b">
        <f>IFERROR(AND(_xlfn.XLOOKUP(_xlfn.TEXTJOIN(,,D395:O395),Aux!$B$3:$B$4098,'Truth Table'!$V$3:$V$4098)=1,ABS(P394)&lt;='Line Follower'!$C$6),FALSE)</f>
        <v>0</v>
      </c>
      <c r="Y395" s="4" t="b">
        <f t="shared" si="6"/>
        <v>1</v>
      </c>
    </row>
    <row r="396" spans="2:25" x14ac:dyDescent="0.25">
      <c r="B396" s="4">
        <v>393</v>
      </c>
      <c r="C396" s="4">
        <v>2986</v>
      </c>
      <c r="D396" s="4">
        <v>0</v>
      </c>
      <c r="E396" s="4">
        <v>0</v>
      </c>
      <c r="F396" s="4">
        <v>0</v>
      </c>
      <c r="G396" s="4">
        <v>0</v>
      </c>
      <c r="H396" s="4">
        <v>1</v>
      </c>
      <c r="I396" s="4">
        <v>1</v>
      </c>
      <c r="J396" s="4">
        <v>0</v>
      </c>
      <c r="K396" s="4">
        <v>0</v>
      </c>
      <c r="L396" s="4">
        <v>0</v>
      </c>
      <c r="M396" s="4">
        <v>0</v>
      </c>
      <c r="N396" s="4">
        <v>0</v>
      </c>
      <c r="O396" s="4">
        <v>1</v>
      </c>
      <c r="P396" s="51">
        <f>IFERROR(_xlfn.XLOOKUP(_xlfn.TEXTJOIN(,,D395:O395),Aux!$B$3:$B$4098,'Truth Table'!$N$3:$N$4098),P395)</f>
        <v>-1</v>
      </c>
      <c r="Q396" s="4" t="b" cm="1">
        <f t="array" ref="Q396:U396">IFERROR(_xlfn.XLOOKUP(_xlfn.TEXTJOIN(,,D396:O396),Aux!$B$3:$B$4098,'Truth Table'!$O$3:$S$4098)=1,FALSE)</f>
        <v>1</v>
      </c>
      <c r="R396" s="4" t="b">
        <v>0</v>
      </c>
      <c r="S396" s="4" t="b">
        <v>0</v>
      </c>
      <c r="T396" s="4" t="b">
        <v>0</v>
      </c>
      <c r="U396" s="4" t="b">
        <v>0</v>
      </c>
      <c r="V396" s="4" t="b">
        <f>AND(_xlfn.XLOOKUP(_xlfn.TEXTJOIN(,,D396:O396),Aux!$B$3:$B$4098,'Truth Table'!$T$3:$T$4098)=1,P395&lt;='Line Follower'!$C$7)</f>
        <v>0</v>
      </c>
      <c r="W396" s="4" t="b">
        <f>AND(_xlfn.XLOOKUP(_xlfn.TEXTJOIN(,,D396:O396),Aux!$B$3:$B$4098,'Truth Table'!$U$3:$U$4098)=1,P395&gt;='Line Follower'!$C$6)</f>
        <v>0</v>
      </c>
      <c r="X396" s="4" t="b">
        <f>IFERROR(AND(_xlfn.XLOOKUP(_xlfn.TEXTJOIN(,,D396:O396),Aux!$B$3:$B$4098,'Truth Table'!$V$3:$V$4098)=1,ABS(P395)&lt;='Line Follower'!$C$6),FALSE)</f>
        <v>0</v>
      </c>
      <c r="Y396" s="4" t="b">
        <f t="shared" si="6"/>
        <v>1</v>
      </c>
    </row>
    <row r="397" spans="2:25" x14ac:dyDescent="0.25">
      <c r="B397" s="4">
        <v>394</v>
      </c>
      <c r="C397" s="4">
        <v>3006</v>
      </c>
      <c r="D397" s="4">
        <v>0</v>
      </c>
      <c r="E397" s="4">
        <v>0</v>
      </c>
      <c r="F397" s="4">
        <v>0</v>
      </c>
      <c r="G397" s="4">
        <v>0</v>
      </c>
      <c r="H397" s="4">
        <v>1</v>
      </c>
      <c r="I397" s="4">
        <v>1</v>
      </c>
      <c r="J397" s="4">
        <v>0</v>
      </c>
      <c r="K397" s="4">
        <v>0</v>
      </c>
      <c r="L397" s="4">
        <v>0</v>
      </c>
      <c r="M397" s="4">
        <v>0</v>
      </c>
      <c r="N397" s="4">
        <v>0</v>
      </c>
      <c r="O397" s="4">
        <v>1</v>
      </c>
      <c r="P397" s="51">
        <f>IFERROR(_xlfn.XLOOKUP(_xlfn.TEXTJOIN(,,D396:O396),Aux!$B$3:$B$4098,'Truth Table'!$N$3:$N$4098),P396)</f>
        <v>-1</v>
      </c>
      <c r="Q397" s="4" t="b" cm="1">
        <f t="array" ref="Q397:U397">IFERROR(_xlfn.XLOOKUP(_xlfn.TEXTJOIN(,,D397:O397),Aux!$B$3:$B$4098,'Truth Table'!$O$3:$S$4098)=1,FALSE)</f>
        <v>1</v>
      </c>
      <c r="R397" s="4" t="b">
        <v>0</v>
      </c>
      <c r="S397" s="4" t="b">
        <v>0</v>
      </c>
      <c r="T397" s="4" t="b">
        <v>0</v>
      </c>
      <c r="U397" s="4" t="b">
        <v>0</v>
      </c>
      <c r="V397" s="4" t="b">
        <f>AND(_xlfn.XLOOKUP(_xlfn.TEXTJOIN(,,D397:O397),Aux!$B$3:$B$4098,'Truth Table'!$T$3:$T$4098)=1,P396&lt;='Line Follower'!$C$7)</f>
        <v>0</v>
      </c>
      <c r="W397" s="4" t="b">
        <f>AND(_xlfn.XLOOKUP(_xlfn.TEXTJOIN(,,D397:O397),Aux!$B$3:$B$4098,'Truth Table'!$U$3:$U$4098)=1,P396&gt;='Line Follower'!$C$6)</f>
        <v>0</v>
      </c>
      <c r="X397" s="4" t="b">
        <f>IFERROR(AND(_xlfn.XLOOKUP(_xlfn.TEXTJOIN(,,D397:O397),Aux!$B$3:$B$4098,'Truth Table'!$V$3:$V$4098)=1,ABS(P396)&lt;='Line Follower'!$C$6),FALSE)</f>
        <v>0</v>
      </c>
      <c r="Y397" s="4" t="b">
        <f t="shared" si="6"/>
        <v>1</v>
      </c>
    </row>
    <row r="398" spans="2:25" x14ac:dyDescent="0.25">
      <c r="B398" s="4">
        <v>395</v>
      </c>
      <c r="C398" s="4">
        <v>3009</v>
      </c>
      <c r="D398" s="4">
        <v>0</v>
      </c>
      <c r="E398" s="4">
        <v>0</v>
      </c>
      <c r="F398" s="4">
        <v>0</v>
      </c>
      <c r="G398" s="4">
        <v>0</v>
      </c>
      <c r="H398" s="4">
        <v>1</v>
      </c>
      <c r="I398" s="4">
        <v>1</v>
      </c>
      <c r="J398" s="4">
        <v>0</v>
      </c>
      <c r="K398" s="4">
        <v>0</v>
      </c>
      <c r="L398" s="4">
        <v>0</v>
      </c>
      <c r="M398" s="4">
        <v>0</v>
      </c>
      <c r="N398" s="4">
        <v>0</v>
      </c>
      <c r="O398" s="4">
        <v>1</v>
      </c>
      <c r="P398" s="51">
        <f>IFERROR(_xlfn.XLOOKUP(_xlfn.TEXTJOIN(,,D397:O397),Aux!$B$3:$B$4098,'Truth Table'!$N$3:$N$4098),P397)</f>
        <v>-1</v>
      </c>
      <c r="Q398" s="4" t="b" cm="1">
        <f t="array" ref="Q398:U398">IFERROR(_xlfn.XLOOKUP(_xlfn.TEXTJOIN(,,D398:O398),Aux!$B$3:$B$4098,'Truth Table'!$O$3:$S$4098)=1,FALSE)</f>
        <v>1</v>
      </c>
      <c r="R398" s="4" t="b">
        <v>0</v>
      </c>
      <c r="S398" s="4" t="b">
        <v>0</v>
      </c>
      <c r="T398" s="4" t="b">
        <v>0</v>
      </c>
      <c r="U398" s="4" t="b">
        <v>0</v>
      </c>
      <c r="V398" s="4" t="b">
        <f>AND(_xlfn.XLOOKUP(_xlfn.TEXTJOIN(,,D398:O398),Aux!$B$3:$B$4098,'Truth Table'!$T$3:$T$4098)=1,P397&lt;='Line Follower'!$C$7)</f>
        <v>0</v>
      </c>
      <c r="W398" s="4" t="b">
        <f>AND(_xlfn.XLOOKUP(_xlfn.TEXTJOIN(,,D398:O398),Aux!$B$3:$B$4098,'Truth Table'!$U$3:$U$4098)=1,P397&gt;='Line Follower'!$C$6)</f>
        <v>0</v>
      </c>
      <c r="X398" s="4" t="b">
        <f>IFERROR(AND(_xlfn.XLOOKUP(_xlfn.TEXTJOIN(,,D398:O398),Aux!$B$3:$B$4098,'Truth Table'!$V$3:$V$4098)=1,ABS(P397)&lt;='Line Follower'!$C$6),FALSE)</f>
        <v>0</v>
      </c>
      <c r="Y398" s="4" t="b">
        <f t="shared" si="6"/>
        <v>1</v>
      </c>
    </row>
    <row r="399" spans="2:25" x14ac:dyDescent="0.25">
      <c r="B399" s="4">
        <v>396</v>
      </c>
      <c r="C399" s="4">
        <v>3018</v>
      </c>
      <c r="D399" s="4">
        <v>0</v>
      </c>
      <c r="E399" s="4">
        <v>0</v>
      </c>
      <c r="F399" s="4">
        <v>0</v>
      </c>
      <c r="G399" s="4">
        <v>0</v>
      </c>
      <c r="H399" s="4">
        <v>1</v>
      </c>
      <c r="I399" s="4">
        <v>1</v>
      </c>
      <c r="J399" s="4">
        <v>0</v>
      </c>
      <c r="K399" s="4">
        <v>0</v>
      </c>
      <c r="L399" s="4">
        <v>0</v>
      </c>
      <c r="M399" s="4">
        <v>0</v>
      </c>
      <c r="N399" s="4">
        <v>0</v>
      </c>
      <c r="O399" s="4">
        <v>1</v>
      </c>
      <c r="P399" s="51">
        <f>IFERROR(_xlfn.XLOOKUP(_xlfn.TEXTJOIN(,,D398:O398),Aux!$B$3:$B$4098,'Truth Table'!$N$3:$N$4098),P398)</f>
        <v>-1</v>
      </c>
      <c r="Q399" s="4" t="b" cm="1">
        <f t="array" ref="Q399:U399">IFERROR(_xlfn.XLOOKUP(_xlfn.TEXTJOIN(,,D399:O399),Aux!$B$3:$B$4098,'Truth Table'!$O$3:$S$4098)=1,FALSE)</f>
        <v>1</v>
      </c>
      <c r="R399" s="4" t="b">
        <v>0</v>
      </c>
      <c r="S399" s="4" t="b">
        <v>0</v>
      </c>
      <c r="T399" s="4" t="b">
        <v>0</v>
      </c>
      <c r="U399" s="4" t="b">
        <v>0</v>
      </c>
      <c r="V399" s="4" t="b">
        <f>AND(_xlfn.XLOOKUP(_xlfn.TEXTJOIN(,,D399:O399),Aux!$B$3:$B$4098,'Truth Table'!$T$3:$T$4098)=1,P398&lt;='Line Follower'!$C$7)</f>
        <v>0</v>
      </c>
      <c r="W399" s="4" t="b">
        <f>AND(_xlfn.XLOOKUP(_xlfn.TEXTJOIN(,,D399:O399),Aux!$B$3:$B$4098,'Truth Table'!$U$3:$U$4098)=1,P398&gt;='Line Follower'!$C$6)</f>
        <v>0</v>
      </c>
      <c r="X399" s="4" t="b">
        <f>IFERROR(AND(_xlfn.XLOOKUP(_xlfn.TEXTJOIN(,,D399:O399),Aux!$B$3:$B$4098,'Truth Table'!$V$3:$V$4098)=1,ABS(P398)&lt;='Line Follower'!$C$6),FALSE)</f>
        <v>0</v>
      </c>
      <c r="Y399" s="4" t="b">
        <f t="shared" si="6"/>
        <v>1</v>
      </c>
    </row>
    <row r="400" spans="2:25" x14ac:dyDescent="0.25">
      <c r="B400" s="4">
        <v>397</v>
      </c>
      <c r="C400" s="4">
        <v>3029</v>
      </c>
      <c r="D400" s="4">
        <v>0</v>
      </c>
      <c r="E400" s="4">
        <v>0</v>
      </c>
      <c r="F400" s="4">
        <v>0</v>
      </c>
      <c r="G400" s="4">
        <v>0</v>
      </c>
      <c r="H400" s="4">
        <v>1</v>
      </c>
      <c r="I400" s="4">
        <v>1</v>
      </c>
      <c r="J400" s="4">
        <v>0</v>
      </c>
      <c r="K400" s="4">
        <v>0</v>
      </c>
      <c r="L400" s="4">
        <v>0</v>
      </c>
      <c r="M400" s="4">
        <v>0</v>
      </c>
      <c r="N400" s="4">
        <v>0</v>
      </c>
      <c r="O400" s="4">
        <v>1</v>
      </c>
      <c r="P400" s="51">
        <f>IFERROR(_xlfn.XLOOKUP(_xlfn.TEXTJOIN(,,D399:O399),Aux!$B$3:$B$4098,'Truth Table'!$N$3:$N$4098),P399)</f>
        <v>-1</v>
      </c>
      <c r="Q400" s="4" t="b" cm="1">
        <f t="array" ref="Q400:U400">IFERROR(_xlfn.XLOOKUP(_xlfn.TEXTJOIN(,,D400:O400),Aux!$B$3:$B$4098,'Truth Table'!$O$3:$S$4098)=1,FALSE)</f>
        <v>1</v>
      </c>
      <c r="R400" s="4" t="b">
        <v>0</v>
      </c>
      <c r="S400" s="4" t="b">
        <v>0</v>
      </c>
      <c r="T400" s="4" t="b">
        <v>0</v>
      </c>
      <c r="U400" s="4" t="b">
        <v>0</v>
      </c>
      <c r="V400" s="4" t="b">
        <f>AND(_xlfn.XLOOKUP(_xlfn.TEXTJOIN(,,D400:O400),Aux!$B$3:$B$4098,'Truth Table'!$T$3:$T$4098)=1,P399&lt;='Line Follower'!$C$7)</f>
        <v>0</v>
      </c>
      <c r="W400" s="4" t="b">
        <f>AND(_xlfn.XLOOKUP(_xlfn.TEXTJOIN(,,D400:O400),Aux!$B$3:$B$4098,'Truth Table'!$U$3:$U$4098)=1,P399&gt;='Line Follower'!$C$6)</f>
        <v>0</v>
      </c>
      <c r="X400" s="4" t="b">
        <f>IFERROR(AND(_xlfn.XLOOKUP(_xlfn.TEXTJOIN(,,D400:O400),Aux!$B$3:$B$4098,'Truth Table'!$V$3:$V$4098)=1,ABS(P399)&lt;='Line Follower'!$C$6),FALSE)</f>
        <v>0</v>
      </c>
      <c r="Y400" s="4" t="b">
        <f t="shared" si="6"/>
        <v>1</v>
      </c>
    </row>
    <row r="401" spans="2:25" x14ac:dyDescent="0.25">
      <c r="B401" s="4">
        <v>398</v>
      </c>
      <c r="C401" s="4">
        <v>3038</v>
      </c>
      <c r="D401" s="4">
        <v>0</v>
      </c>
      <c r="E401" s="4">
        <v>0</v>
      </c>
      <c r="F401" s="4">
        <v>0</v>
      </c>
      <c r="G401" s="4">
        <v>0</v>
      </c>
      <c r="H401" s="4">
        <v>1</v>
      </c>
      <c r="I401" s="4">
        <v>1</v>
      </c>
      <c r="J401" s="4">
        <v>0</v>
      </c>
      <c r="K401" s="4">
        <v>0</v>
      </c>
      <c r="L401" s="4">
        <v>0</v>
      </c>
      <c r="M401" s="4">
        <v>0</v>
      </c>
      <c r="N401" s="4">
        <v>0</v>
      </c>
      <c r="O401" s="4">
        <v>1</v>
      </c>
      <c r="P401" s="51">
        <f>IFERROR(_xlfn.XLOOKUP(_xlfn.TEXTJOIN(,,D400:O400),Aux!$B$3:$B$4098,'Truth Table'!$N$3:$N$4098),P400)</f>
        <v>-1</v>
      </c>
      <c r="Q401" s="4" t="b" cm="1">
        <f t="array" ref="Q401:U401">IFERROR(_xlfn.XLOOKUP(_xlfn.TEXTJOIN(,,D401:O401),Aux!$B$3:$B$4098,'Truth Table'!$O$3:$S$4098)=1,FALSE)</f>
        <v>1</v>
      </c>
      <c r="R401" s="4" t="b">
        <v>0</v>
      </c>
      <c r="S401" s="4" t="b">
        <v>0</v>
      </c>
      <c r="T401" s="4" t="b">
        <v>0</v>
      </c>
      <c r="U401" s="4" t="b">
        <v>0</v>
      </c>
      <c r="V401" s="4" t="b">
        <f>AND(_xlfn.XLOOKUP(_xlfn.TEXTJOIN(,,D401:O401),Aux!$B$3:$B$4098,'Truth Table'!$T$3:$T$4098)=1,P400&lt;='Line Follower'!$C$7)</f>
        <v>0</v>
      </c>
      <c r="W401" s="4" t="b">
        <f>AND(_xlfn.XLOOKUP(_xlfn.TEXTJOIN(,,D401:O401),Aux!$B$3:$B$4098,'Truth Table'!$U$3:$U$4098)=1,P400&gt;='Line Follower'!$C$6)</f>
        <v>0</v>
      </c>
      <c r="X401" s="4" t="b">
        <f>IFERROR(AND(_xlfn.XLOOKUP(_xlfn.TEXTJOIN(,,D401:O401),Aux!$B$3:$B$4098,'Truth Table'!$V$3:$V$4098)=1,ABS(P400)&lt;='Line Follower'!$C$6),FALSE)</f>
        <v>0</v>
      </c>
      <c r="Y401" s="4" t="b">
        <f t="shared" si="6"/>
        <v>1</v>
      </c>
    </row>
    <row r="402" spans="2:25" x14ac:dyDescent="0.25">
      <c r="B402" s="4">
        <v>399</v>
      </c>
      <c r="C402" s="4">
        <v>3052</v>
      </c>
      <c r="D402" s="4">
        <v>0</v>
      </c>
      <c r="E402" s="4">
        <v>0</v>
      </c>
      <c r="F402" s="4">
        <v>0</v>
      </c>
      <c r="G402" s="4">
        <v>0</v>
      </c>
      <c r="H402" s="4">
        <v>1</v>
      </c>
      <c r="I402" s="4">
        <v>1</v>
      </c>
      <c r="J402" s="4">
        <v>0</v>
      </c>
      <c r="K402" s="4">
        <v>0</v>
      </c>
      <c r="L402" s="4">
        <v>0</v>
      </c>
      <c r="M402" s="4">
        <v>0</v>
      </c>
      <c r="N402" s="4">
        <v>0</v>
      </c>
      <c r="O402" s="4">
        <v>1</v>
      </c>
      <c r="P402" s="51">
        <f>IFERROR(_xlfn.XLOOKUP(_xlfn.TEXTJOIN(,,D401:O401),Aux!$B$3:$B$4098,'Truth Table'!$N$3:$N$4098),P401)</f>
        <v>-1</v>
      </c>
      <c r="Q402" s="4" t="b" cm="1">
        <f t="array" ref="Q402:U402">IFERROR(_xlfn.XLOOKUP(_xlfn.TEXTJOIN(,,D402:O402),Aux!$B$3:$B$4098,'Truth Table'!$O$3:$S$4098)=1,FALSE)</f>
        <v>1</v>
      </c>
      <c r="R402" s="4" t="b">
        <v>0</v>
      </c>
      <c r="S402" s="4" t="b">
        <v>0</v>
      </c>
      <c r="T402" s="4" t="b">
        <v>0</v>
      </c>
      <c r="U402" s="4" t="b">
        <v>0</v>
      </c>
      <c r="V402" s="4" t="b">
        <f>AND(_xlfn.XLOOKUP(_xlfn.TEXTJOIN(,,D402:O402),Aux!$B$3:$B$4098,'Truth Table'!$T$3:$T$4098)=1,P401&lt;='Line Follower'!$C$7)</f>
        <v>0</v>
      </c>
      <c r="W402" s="4" t="b">
        <f>AND(_xlfn.XLOOKUP(_xlfn.TEXTJOIN(,,D402:O402),Aux!$B$3:$B$4098,'Truth Table'!$U$3:$U$4098)=1,P401&gt;='Line Follower'!$C$6)</f>
        <v>0</v>
      </c>
      <c r="X402" s="4" t="b">
        <f>IFERROR(AND(_xlfn.XLOOKUP(_xlfn.TEXTJOIN(,,D402:O402),Aux!$B$3:$B$4098,'Truth Table'!$V$3:$V$4098)=1,ABS(P401)&lt;='Line Follower'!$C$6),FALSE)</f>
        <v>0</v>
      </c>
      <c r="Y402" s="4" t="b">
        <f t="shared" si="6"/>
        <v>1</v>
      </c>
    </row>
    <row r="403" spans="2:25" x14ac:dyDescent="0.25">
      <c r="B403" s="4">
        <v>400</v>
      </c>
      <c r="C403" s="4">
        <v>3061</v>
      </c>
      <c r="D403" s="4">
        <v>0</v>
      </c>
      <c r="E403" s="4">
        <v>0</v>
      </c>
      <c r="F403" s="4">
        <v>0</v>
      </c>
      <c r="G403" s="4">
        <v>0</v>
      </c>
      <c r="H403" s="4">
        <v>1</v>
      </c>
      <c r="I403" s="4">
        <v>1</v>
      </c>
      <c r="J403" s="4">
        <v>0</v>
      </c>
      <c r="K403" s="4">
        <v>0</v>
      </c>
      <c r="L403" s="4">
        <v>0</v>
      </c>
      <c r="M403" s="4">
        <v>0</v>
      </c>
      <c r="N403" s="4">
        <v>0</v>
      </c>
      <c r="O403" s="4">
        <v>1</v>
      </c>
      <c r="P403" s="51">
        <f>IFERROR(_xlfn.XLOOKUP(_xlfn.TEXTJOIN(,,D402:O402),Aux!$B$3:$B$4098,'Truth Table'!$N$3:$N$4098),P402)</f>
        <v>-1</v>
      </c>
      <c r="Q403" s="4" t="b" cm="1">
        <f t="array" ref="Q403:U403">IFERROR(_xlfn.XLOOKUP(_xlfn.TEXTJOIN(,,D403:O403),Aux!$B$3:$B$4098,'Truth Table'!$O$3:$S$4098)=1,FALSE)</f>
        <v>1</v>
      </c>
      <c r="R403" s="4" t="b">
        <v>0</v>
      </c>
      <c r="S403" s="4" t="b">
        <v>0</v>
      </c>
      <c r="T403" s="4" t="b">
        <v>0</v>
      </c>
      <c r="U403" s="4" t="b">
        <v>0</v>
      </c>
      <c r="V403" s="4" t="b">
        <f>AND(_xlfn.XLOOKUP(_xlfn.TEXTJOIN(,,D403:O403),Aux!$B$3:$B$4098,'Truth Table'!$T$3:$T$4098)=1,P402&lt;='Line Follower'!$C$7)</f>
        <v>0</v>
      </c>
      <c r="W403" s="4" t="b">
        <f>AND(_xlfn.XLOOKUP(_xlfn.TEXTJOIN(,,D403:O403),Aux!$B$3:$B$4098,'Truth Table'!$U$3:$U$4098)=1,P402&gt;='Line Follower'!$C$6)</f>
        <v>0</v>
      </c>
      <c r="X403" s="4" t="b">
        <f>IFERROR(AND(_xlfn.XLOOKUP(_xlfn.TEXTJOIN(,,D403:O403),Aux!$B$3:$B$4098,'Truth Table'!$V$3:$V$4098)=1,ABS(P402)&lt;='Line Follower'!$C$6),FALSE)</f>
        <v>0</v>
      </c>
      <c r="Y403" s="4" t="b">
        <f t="shared" si="6"/>
        <v>1</v>
      </c>
    </row>
    <row r="404" spans="2:25" x14ac:dyDescent="0.25">
      <c r="B404" s="4">
        <v>401</v>
      </c>
      <c r="C404" s="4">
        <v>3072</v>
      </c>
      <c r="D404" s="4">
        <v>0</v>
      </c>
      <c r="E404" s="4">
        <v>0</v>
      </c>
      <c r="F404" s="4">
        <v>0</v>
      </c>
      <c r="G404" s="4">
        <v>0</v>
      </c>
      <c r="H404" s="4">
        <v>1</v>
      </c>
      <c r="I404" s="4">
        <v>1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1</v>
      </c>
      <c r="P404" s="51">
        <f>IFERROR(_xlfn.XLOOKUP(_xlfn.TEXTJOIN(,,D403:O403),Aux!$B$3:$B$4098,'Truth Table'!$N$3:$N$4098),P403)</f>
        <v>-1</v>
      </c>
      <c r="Q404" s="4" t="b" cm="1">
        <f t="array" ref="Q404:U404">IFERROR(_xlfn.XLOOKUP(_xlfn.TEXTJOIN(,,D404:O404),Aux!$B$3:$B$4098,'Truth Table'!$O$3:$S$4098)=1,FALSE)</f>
        <v>1</v>
      </c>
      <c r="R404" s="4" t="b">
        <v>0</v>
      </c>
      <c r="S404" s="4" t="b">
        <v>0</v>
      </c>
      <c r="T404" s="4" t="b">
        <v>0</v>
      </c>
      <c r="U404" s="4" t="b">
        <v>0</v>
      </c>
      <c r="V404" s="4" t="b">
        <f>AND(_xlfn.XLOOKUP(_xlfn.TEXTJOIN(,,D404:O404),Aux!$B$3:$B$4098,'Truth Table'!$T$3:$T$4098)=1,P403&lt;='Line Follower'!$C$7)</f>
        <v>0</v>
      </c>
      <c r="W404" s="4" t="b">
        <f>AND(_xlfn.XLOOKUP(_xlfn.TEXTJOIN(,,D404:O404),Aux!$B$3:$B$4098,'Truth Table'!$U$3:$U$4098)=1,P403&gt;='Line Follower'!$C$6)</f>
        <v>0</v>
      </c>
      <c r="X404" s="4" t="b">
        <f>IFERROR(AND(_xlfn.XLOOKUP(_xlfn.TEXTJOIN(,,D404:O404),Aux!$B$3:$B$4098,'Truth Table'!$V$3:$V$4098)=1,ABS(P403)&lt;='Line Follower'!$C$6),FALSE)</f>
        <v>0</v>
      </c>
      <c r="Y404" s="4" t="b">
        <f t="shared" si="6"/>
        <v>1</v>
      </c>
    </row>
    <row r="405" spans="2:25" x14ac:dyDescent="0.25">
      <c r="B405" s="4">
        <v>402</v>
      </c>
      <c r="C405" s="4">
        <v>3081</v>
      </c>
      <c r="D405" s="4">
        <v>0</v>
      </c>
      <c r="E405" s="4">
        <v>0</v>
      </c>
      <c r="F405" s="4">
        <v>0</v>
      </c>
      <c r="G405" s="4">
        <v>0</v>
      </c>
      <c r="H405" s="4">
        <v>1</v>
      </c>
      <c r="I405" s="4">
        <v>1</v>
      </c>
      <c r="J405" s="4">
        <v>0</v>
      </c>
      <c r="K405" s="4">
        <v>0</v>
      </c>
      <c r="L405" s="4">
        <v>0</v>
      </c>
      <c r="M405" s="4">
        <v>0</v>
      </c>
      <c r="N405" s="4">
        <v>0</v>
      </c>
      <c r="O405" s="4">
        <v>1</v>
      </c>
      <c r="P405" s="51">
        <f>IFERROR(_xlfn.XLOOKUP(_xlfn.TEXTJOIN(,,D404:O404),Aux!$B$3:$B$4098,'Truth Table'!$N$3:$N$4098),P404)</f>
        <v>-1</v>
      </c>
      <c r="Q405" s="4" t="b" cm="1">
        <f t="array" ref="Q405:U405">IFERROR(_xlfn.XLOOKUP(_xlfn.TEXTJOIN(,,D405:O405),Aux!$B$3:$B$4098,'Truth Table'!$O$3:$S$4098)=1,FALSE)</f>
        <v>1</v>
      </c>
      <c r="R405" s="4" t="b">
        <v>0</v>
      </c>
      <c r="S405" s="4" t="b">
        <v>0</v>
      </c>
      <c r="T405" s="4" t="b">
        <v>0</v>
      </c>
      <c r="U405" s="4" t="b">
        <v>0</v>
      </c>
      <c r="V405" s="4" t="b">
        <f>AND(_xlfn.XLOOKUP(_xlfn.TEXTJOIN(,,D405:O405),Aux!$B$3:$B$4098,'Truth Table'!$T$3:$T$4098)=1,P404&lt;='Line Follower'!$C$7)</f>
        <v>0</v>
      </c>
      <c r="W405" s="4" t="b">
        <f>AND(_xlfn.XLOOKUP(_xlfn.TEXTJOIN(,,D405:O405),Aux!$B$3:$B$4098,'Truth Table'!$U$3:$U$4098)=1,P404&gt;='Line Follower'!$C$6)</f>
        <v>0</v>
      </c>
      <c r="X405" s="4" t="b">
        <f>IFERROR(AND(_xlfn.XLOOKUP(_xlfn.TEXTJOIN(,,D405:O405),Aux!$B$3:$B$4098,'Truth Table'!$V$3:$V$4098)=1,ABS(P404)&lt;='Line Follower'!$C$6),FALSE)</f>
        <v>0</v>
      </c>
      <c r="Y405" s="4" t="b">
        <f t="shared" si="6"/>
        <v>1</v>
      </c>
    </row>
    <row r="406" spans="2:25" x14ac:dyDescent="0.25">
      <c r="B406" s="4">
        <v>403</v>
      </c>
      <c r="C406" s="4">
        <v>3094</v>
      </c>
      <c r="D406" s="4">
        <v>0</v>
      </c>
      <c r="E406" s="4">
        <v>0</v>
      </c>
      <c r="F406" s="4">
        <v>0</v>
      </c>
      <c r="G406" s="4">
        <v>0</v>
      </c>
      <c r="H406" s="4">
        <v>1</v>
      </c>
      <c r="I406" s="4">
        <v>1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1</v>
      </c>
      <c r="P406" s="51">
        <f>IFERROR(_xlfn.XLOOKUP(_xlfn.TEXTJOIN(,,D405:O405),Aux!$B$3:$B$4098,'Truth Table'!$N$3:$N$4098),P405)</f>
        <v>-1</v>
      </c>
      <c r="Q406" s="4" t="b" cm="1">
        <f t="array" ref="Q406:U406">IFERROR(_xlfn.XLOOKUP(_xlfn.TEXTJOIN(,,D406:O406),Aux!$B$3:$B$4098,'Truth Table'!$O$3:$S$4098)=1,FALSE)</f>
        <v>1</v>
      </c>
      <c r="R406" s="4" t="b">
        <v>0</v>
      </c>
      <c r="S406" s="4" t="b">
        <v>0</v>
      </c>
      <c r="T406" s="4" t="b">
        <v>0</v>
      </c>
      <c r="U406" s="4" t="b">
        <v>0</v>
      </c>
      <c r="V406" s="4" t="b">
        <f>AND(_xlfn.XLOOKUP(_xlfn.TEXTJOIN(,,D406:O406),Aux!$B$3:$B$4098,'Truth Table'!$T$3:$T$4098)=1,P405&lt;='Line Follower'!$C$7)</f>
        <v>0</v>
      </c>
      <c r="W406" s="4" t="b">
        <f>AND(_xlfn.XLOOKUP(_xlfn.TEXTJOIN(,,D406:O406),Aux!$B$3:$B$4098,'Truth Table'!$U$3:$U$4098)=1,P405&gt;='Line Follower'!$C$6)</f>
        <v>0</v>
      </c>
      <c r="X406" s="4" t="b">
        <f>IFERROR(AND(_xlfn.XLOOKUP(_xlfn.TEXTJOIN(,,D406:O406),Aux!$B$3:$B$4098,'Truth Table'!$V$3:$V$4098)=1,ABS(P405)&lt;='Line Follower'!$C$6),FALSE)</f>
        <v>0</v>
      </c>
      <c r="Y406" s="4" t="b">
        <f t="shared" si="6"/>
        <v>1</v>
      </c>
    </row>
    <row r="407" spans="2:25" x14ac:dyDescent="0.25">
      <c r="B407" s="4">
        <v>404</v>
      </c>
      <c r="C407" s="4">
        <v>3103</v>
      </c>
      <c r="D407" s="4">
        <v>0</v>
      </c>
      <c r="E407" s="4">
        <v>0</v>
      </c>
      <c r="F407" s="4">
        <v>0</v>
      </c>
      <c r="G407" s="4">
        <v>0</v>
      </c>
      <c r="H407" s="4">
        <v>1</v>
      </c>
      <c r="I407" s="4">
        <v>1</v>
      </c>
      <c r="J407" s="4">
        <v>0</v>
      </c>
      <c r="K407" s="4">
        <v>0</v>
      </c>
      <c r="L407" s="4">
        <v>0</v>
      </c>
      <c r="M407" s="4">
        <v>0</v>
      </c>
      <c r="N407" s="4">
        <v>0</v>
      </c>
      <c r="O407" s="4">
        <v>1</v>
      </c>
      <c r="P407" s="51">
        <f>IFERROR(_xlfn.XLOOKUP(_xlfn.TEXTJOIN(,,D406:O406),Aux!$B$3:$B$4098,'Truth Table'!$N$3:$N$4098),P406)</f>
        <v>-1</v>
      </c>
      <c r="Q407" s="4" t="b" cm="1">
        <f t="array" ref="Q407:U407">IFERROR(_xlfn.XLOOKUP(_xlfn.TEXTJOIN(,,D407:O407),Aux!$B$3:$B$4098,'Truth Table'!$O$3:$S$4098)=1,FALSE)</f>
        <v>1</v>
      </c>
      <c r="R407" s="4" t="b">
        <v>0</v>
      </c>
      <c r="S407" s="4" t="b">
        <v>0</v>
      </c>
      <c r="T407" s="4" t="b">
        <v>0</v>
      </c>
      <c r="U407" s="4" t="b">
        <v>0</v>
      </c>
      <c r="V407" s="4" t="b">
        <f>AND(_xlfn.XLOOKUP(_xlfn.TEXTJOIN(,,D407:O407),Aux!$B$3:$B$4098,'Truth Table'!$T$3:$T$4098)=1,P406&lt;='Line Follower'!$C$7)</f>
        <v>0</v>
      </c>
      <c r="W407" s="4" t="b">
        <f>AND(_xlfn.XLOOKUP(_xlfn.TEXTJOIN(,,D407:O407),Aux!$B$3:$B$4098,'Truth Table'!$U$3:$U$4098)=1,P406&gt;='Line Follower'!$C$6)</f>
        <v>0</v>
      </c>
      <c r="X407" s="4" t="b">
        <f>IFERROR(AND(_xlfn.XLOOKUP(_xlfn.TEXTJOIN(,,D407:O407),Aux!$B$3:$B$4098,'Truth Table'!$V$3:$V$4098)=1,ABS(P406)&lt;='Line Follower'!$C$6),FALSE)</f>
        <v>0</v>
      </c>
      <c r="Y407" s="4" t="b">
        <f t="shared" si="6"/>
        <v>1</v>
      </c>
    </row>
    <row r="408" spans="2:25" x14ac:dyDescent="0.25">
      <c r="B408" s="4">
        <v>405</v>
      </c>
      <c r="C408" s="4">
        <v>3114</v>
      </c>
      <c r="D408" s="4">
        <v>0</v>
      </c>
      <c r="E408" s="4">
        <v>0</v>
      </c>
      <c r="F408" s="4">
        <v>0</v>
      </c>
      <c r="G408" s="4">
        <v>0</v>
      </c>
      <c r="H408" s="4">
        <v>1</v>
      </c>
      <c r="I408" s="4">
        <v>1</v>
      </c>
      <c r="J408" s="4">
        <v>0</v>
      </c>
      <c r="K408" s="4">
        <v>0</v>
      </c>
      <c r="L408" s="4">
        <v>0</v>
      </c>
      <c r="M408" s="4">
        <v>0</v>
      </c>
      <c r="N408" s="4">
        <v>0</v>
      </c>
      <c r="O408" s="4">
        <v>1</v>
      </c>
      <c r="P408" s="51">
        <f>IFERROR(_xlfn.XLOOKUP(_xlfn.TEXTJOIN(,,D407:O407),Aux!$B$3:$B$4098,'Truth Table'!$N$3:$N$4098),P407)</f>
        <v>-1</v>
      </c>
      <c r="Q408" s="4" t="b" cm="1">
        <f t="array" ref="Q408:U408">IFERROR(_xlfn.XLOOKUP(_xlfn.TEXTJOIN(,,D408:O408),Aux!$B$3:$B$4098,'Truth Table'!$O$3:$S$4098)=1,FALSE)</f>
        <v>1</v>
      </c>
      <c r="R408" s="4" t="b">
        <v>0</v>
      </c>
      <c r="S408" s="4" t="b">
        <v>0</v>
      </c>
      <c r="T408" s="4" t="b">
        <v>0</v>
      </c>
      <c r="U408" s="4" t="b">
        <v>0</v>
      </c>
      <c r="V408" s="4" t="b">
        <f>AND(_xlfn.XLOOKUP(_xlfn.TEXTJOIN(,,D408:O408),Aux!$B$3:$B$4098,'Truth Table'!$T$3:$T$4098)=1,P407&lt;='Line Follower'!$C$7)</f>
        <v>0</v>
      </c>
      <c r="W408" s="4" t="b">
        <f>AND(_xlfn.XLOOKUP(_xlfn.TEXTJOIN(,,D408:O408),Aux!$B$3:$B$4098,'Truth Table'!$U$3:$U$4098)=1,P407&gt;='Line Follower'!$C$6)</f>
        <v>0</v>
      </c>
      <c r="X408" s="4" t="b">
        <f>IFERROR(AND(_xlfn.XLOOKUP(_xlfn.TEXTJOIN(,,D408:O408),Aux!$B$3:$B$4098,'Truth Table'!$V$3:$V$4098)=1,ABS(P407)&lt;='Line Follower'!$C$6),FALSE)</f>
        <v>0</v>
      </c>
      <c r="Y408" s="4" t="b">
        <f t="shared" si="6"/>
        <v>1</v>
      </c>
    </row>
    <row r="409" spans="2:25" x14ac:dyDescent="0.25">
      <c r="B409" s="4">
        <v>406</v>
      </c>
      <c r="C409" s="4">
        <v>3115</v>
      </c>
      <c r="D409" s="4">
        <v>0</v>
      </c>
      <c r="E409" s="4">
        <v>0</v>
      </c>
      <c r="F409" s="4">
        <v>0</v>
      </c>
      <c r="G409" s="4">
        <v>0</v>
      </c>
      <c r="H409" s="4">
        <v>1</v>
      </c>
      <c r="I409" s="4">
        <v>1</v>
      </c>
      <c r="J409" s="4">
        <v>0</v>
      </c>
      <c r="K409" s="4">
        <v>0</v>
      </c>
      <c r="L409" s="4">
        <v>0</v>
      </c>
      <c r="M409" s="4">
        <v>0</v>
      </c>
      <c r="N409" s="4">
        <v>0</v>
      </c>
      <c r="O409" s="4">
        <v>1</v>
      </c>
      <c r="P409" s="51">
        <f>IFERROR(_xlfn.XLOOKUP(_xlfn.TEXTJOIN(,,D408:O408),Aux!$B$3:$B$4098,'Truth Table'!$N$3:$N$4098),P408)</f>
        <v>-1</v>
      </c>
      <c r="Q409" s="4" t="b" cm="1">
        <f t="array" ref="Q409:U409">IFERROR(_xlfn.XLOOKUP(_xlfn.TEXTJOIN(,,D409:O409),Aux!$B$3:$B$4098,'Truth Table'!$O$3:$S$4098)=1,FALSE)</f>
        <v>1</v>
      </c>
      <c r="R409" s="4" t="b">
        <v>0</v>
      </c>
      <c r="S409" s="4" t="b">
        <v>0</v>
      </c>
      <c r="T409" s="4" t="b">
        <v>0</v>
      </c>
      <c r="U409" s="4" t="b">
        <v>0</v>
      </c>
      <c r="V409" s="4" t="b">
        <f>AND(_xlfn.XLOOKUP(_xlfn.TEXTJOIN(,,D409:O409),Aux!$B$3:$B$4098,'Truth Table'!$T$3:$T$4098)=1,P408&lt;='Line Follower'!$C$7)</f>
        <v>0</v>
      </c>
      <c r="W409" s="4" t="b">
        <f>AND(_xlfn.XLOOKUP(_xlfn.TEXTJOIN(,,D409:O409),Aux!$B$3:$B$4098,'Truth Table'!$U$3:$U$4098)=1,P408&gt;='Line Follower'!$C$6)</f>
        <v>0</v>
      </c>
      <c r="X409" s="4" t="b">
        <f>IFERROR(AND(_xlfn.XLOOKUP(_xlfn.TEXTJOIN(,,D409:O409),Aux!$B$3:$B$4098,'Truth Table'!$V$3:$V$4098)=1,ABS(P408)&lt;='Line Follower'!$C$6),FALSE)</f>
        <v>0</v>
      </c>
      <c r="Y409" s="4" t="b">
        <f t="shared" si="6"/>
        <v>1</v>
      </c>
    </row>
    <row r="410" spans="2:25" x14ac:dyDescent="0.25">
      <c r="B410" s="4">
        <v>407</v>
      </c>
      <c r="C410" s="4">
        <v>3123</v>
      </c>
      <c r="D410" s="4">
        <v>0</v>
      </c>
      <c r="E410" s="4">
        <v>0</v>
      </c>
      <c r="F410" s="4">
        <v>0</v>
      </c>
      <c r="G410" s="4">
        <v>0</v>
      </c>
      <c r="H410" s="4">
        <v>1</v>
      </c>
      <c r="I410" s="4">
        <v>1</v>
      </c>
      <c r="J410" s="4">
        <v>0</v>
      </c>
      <c r="K410" s="4">
        <v>0</v>
      </c>
      <c r="L410" s="4">
        <v>0</v>
      </c>
      <c r="M410" s="4">
        <v>0</v>
      </c>
      <c r="N410" s="4">
        <v>0</v>
      </c>
      <c r="O410" s="4">
        <v>1</v>
      </c>
      <c r="P410" s="51">
        <f>IFERROR(_xlfn.XLOOKUP(_xlfn.TEXTJOIN(,,D409:O409),Aux!$B$3:$B$4098,'Truth Table'!$N$3:$N$4098),P409)</f>
        <v>-1</v>
      </c>
      <c r="Q410" s="4" t="b" cm="1">
        <f t="array" ref="Q410:U410">IFERROR(_xlfn.XLOOKUP(_xlfn.TEXTJOIN(,,D410:O410),Aux!$B$3:$B$4098,'Truth Table'!$O$3:$S$4098)=1,FALSE)</f>
        <v>1</v>
      </c>
      <c r="R410" s="4" t="b">
        <v>0</v>
      </c>
      <c r="S410" s="4" t="b">
        <v>0</v>
      </c>
      <c r="T410" s="4" t="b">
        <v>0</v>
      </c>
      <c r="U410" s="4" t="b">
        <v>0</v>
      </c>
      <c r="V410" s="4" t="b">
        <f>AND(_xlfn.XLOOKUP(_xlfn.TEXTJOIN(,,D410:O410),Aux!$B$3:$B$4098,'Truth Table'!$T$3:$T$4098)=1,P409&lt;='Line Follower'!$C$7)</f>
        <v>0</v>
      </c>
      <c r="W410" s="4" t="b">
        <f>AND(_xlfn.XLOOKUP(_xlfn.TEXTJOIN(,,D410:O410),Aux!$B$3:$B$4098,'Truth Table'!$U$3:$U$4098)=1,P409&gt;='Line Follower'!$C$6)</f>
        <v>0</v>
      </c>
      <c r="X410" s="4" t="b">
        <f>IFERROR(AND(_xlfn.XLOOKUP(_xlfn.TEXTJOIN(,,D410:O410),Aux!$B$3:$B$4098,'Truth Table'!$V$3:$V$4098)=1,ABS(P409)&lt;='Line Follower'!$C$6),FALSE)</f>
        <v>0</v>
      </c>
      <c r="Y410" s="4" t="b">
        <f t="shared" si="6"/>
        <v>1</v>
      </c>
    </row>
    <row r="411" spans="2:25" x14ac:dyDescent="0.25">
      <c r="B411" s="4">
        <v>408</v>
      </c>
      <c r="C411" s="4">
        <v>3137</v>
      </c>
      <c r="D411" s="4">
        <v>0</v>
      </c>
      <c r="E411" s="4">
        <v>0</v>
      </c>
      <c r="F411" s="4">
        <v>0</v>
      </c>
      <c r="G411" s="4">
        <v>0</v>
      </c>
      <c r="H411" s="4">
        <v>1</v>
      </c>
      <c r="I411" s="4">
        <v>1</v>
      </c>
      <c r="J411" s="4">
        <v>0</v>
      </c>
      <c r="K411" s="4">
        <v>0</v>
      </c>
      <c r="L411" s="4">
        <v>0</v>
      </c>
      <c r="M411" s="4">
        <v>0</v>
      </c>
      <c r="N411" s="4">
        <v>0</v>
      </c>
      <c r="O411" s="4">
        <v>1</v>
      </c>
      <c r="P411" s="51">
        <f>IFERROR(_xlfn.XLOOKUP(_xlfn.TEXTJOIN(,,D410:O410),Aux!$B$3:$B$4098,'Truth Table'!$N$3:$N$4098),P410)</f>
        <v>-1</v>
      </c>
      <c r="Q411" s="4" t="b" cm="1">
        <f t="array" ref="Q411:U411">IFERROR(_xlfn.XLOOKUP(_xlfn.TEXTJOIN(,,D411:O411),Aux!$B$3:$B$4098,'Truth Table'!$O$3:$S$4098)=1,FALSE)</f>
        <v>1</v>
      </c>
      <c r="R411" s="4" t="b">
        <v>0</v>
      </c>
      <c r="S411" s="4" t="b">
        <v>0</v>
      </c>
      <c r="T411" s="4" t="b">
        <v>0</v>
      </c>
      <c r="U411" s="4" t="b">
        <v>0</v>
      </c>
      <c r="V411" s="4" t="b">
        <f>AND(_xlfn.XLOOKUP(_xlfn.TEXTJOIN(,,D411:O411),Aux!$B$3:$B$4098,'Truth Table'!$T$3:$T$4098)=1,P410&lt;='Line Follower'!$C$7)</f>
        <v>0</v>
      </c>
      <c r="W411" s="4" t="b">
        <f>AND(_xlfn.XLOOKUP(_xlfn.TEXTJOIN(,,D411:O411),Aux!$B$3:$B$4098,'Truth Table'!$U$3:$U$4098)=1,P410&gt;='Line Follower'!$C$6)</f>
        <v>0</v>
      </c>
      <c r="X411" s="4" t="b">
        <f>IFERROR(AND(_xlfn.XLOOKUP(_xlfn.TEXTJOIN(,,D411:O411),Aux!$B$3:$B$4098,'Truth Table'!$V$3:$V$4098)=1,ABS(P410)&lt;='Line Follower'!$C$6),FALSE)</f>
        <v>0</v>
      </c>
      <c r="Y411" s="4" t="b">
        <f t="shared" si="6"/>
        <v>1</v>
      </c>
    </row>
    <row r="412" spans="2:25" x14ac:dyDescent="0.25">
      <c r="B412" s="4">
        <v>409</v>
      </c>
      <c r="C412" s="4">
        <v>3146</v>
      </c>
      <c r="D412" s="4">
        <v>0</v>
      </c>
      <c r="E412" s="4">
        <v>0</v>
      </c>
      <c r="F412" s="4">
        <v>0</v>
      </c>
      <c r="G412" s="4">
        <v>0</v>
      </c>
      <c r="H412" s="4">
        <v>1</v>
      </c>
      <c r="I412" s="4">
        <v>1</v>
      </c>
      <c r="J412" s="4">
        <v>0</v>
      </c>
      <c r="K412" s="4">
        <v>0</v>
      </c>
      <c r="L412" s="4">
        <v>0</v>
      </c>
      <c r="M412" s="4">
        <v>0</v>
      </c>
      <c r="N412" s="4">
        <v>0</v>
      </c>
      <c r="O412" s="4">
        <v>1</v>
      </c>
      <c r="P412" s="51">
        <f>IFERROR(_xlfn.XLOOKUP(_xlfn.TEXTJOIN(,,D411:O411),Aux!$B$3:$B$4098,'Truth Table'!$N$3:$N$4098),P411)</f>
        <v>-1</v>
      </c>
      <c r="Q412" s="4" t="b" cm="1">
        <f t="array" ref="Q412:U412">IFERROR(_xlfn.XLOOKUP(_xlfn.TEXTJOIN(,,D412:O412),Aux!$B$3:$B$4098,'Truth Table'!$O$3:$S$4098)=1,FALSE)</f>
        <v>1</v>
      </c>
      <c r="R412" s="4" t="b">
        <v>0</v>
      </c>
      <c r="S412" s="4" t="b">
        <v>0</v>
      </c>
      <c r="T412" s="4" t="b">
        <v>0</v>
      </c>
      <c r="U412" s="4" t="b">
        <v>0</v>
      </c>
      <c r="V412" s="4" t="b">
        <f>AND(_xlfn.XLOOKUP(_xlfn.TEXTJOIN(,,D412:O412),Aux!$B$3:$B$4098,'Truth Table'!$T$3:$T$4098)=1,P411&lt;='Line Follower'!$C$7)</f>
        <v>0</v>
      </c>
      <c r="W412" s="4" t="b">
        <f>AND(_xlfn.XLOOKUP(_xlfn.TEXTJOIN(,,D412:O412),Aux!$B$3:$B$4098,'Truth Table'!$U$3:$U$4098)=1,P411&gt;='Line Follower'!$C$6)</f>
        <v>0</v>
      </c>
      <c r="X412" s="4" t="b">
        <f>IFERROR(AND(_xlfn.XLOOKUP(_xlfn.TEXTJOIN(,,D412:O412),Aux!$B$3:$B$4098,'Truth Table'!$V$3:$V$4098)=1,ABS(P411)&lt;='Line Follower'!$C$6),FALSE)</f>
        <v>0</v>
      </c>
      <c r="Y412" s="4" t="b">
        <f t="shared" si="6"/>
        <v>1</v>
      </c>
    </row>
    <row r="413" spans="2:25" x14ac:dyDescent="0.25">
      <c r="B413" s="4">
        <v>410</v>
      </c>
      <c r="C413" s="4">
        <v>3157</v>
      </c>
      <c r="D413" s="4">
        <v>0</v>
      </c>
      <c r="E413" s="4">
        <v>0</v>
      </c>
      <c r="F413" s="4">
        <v>0</v>
      </c>
      <c r="G413" s="4">
        <v>0</v>
      </c>
      <c r="H413" s="4">
        <v>1</v>
      </c>
      <c r="I413" s="4">
        <v>1</v>
      </c>
      <c r="J413" s="4">
        <v>0</v>
      </c>
      <c r="K413" s="4">
        <v>0</v>
      </c>
      <c r="L413" s="4">
        <v>0</v>
      </c>
      <c r="M413" s="4">
        <v>0</v>
      </c>
      <c r="N413" s="4">
        <v>0</v>
      </c>
      <c r="O413" s="4">
        <v>1</v>
      </c>
      <c r="P413" s="51">
        <f>IFERROR(_xlfn.XLOOKUP(_xlfn.TEXTJOIN(,,D412:O412),Aux!$B$3:$B$4098,'Truth Table'!$N$3:$N$4098),P412)</f>
        <v>-1</v>
      </c>
      <c r="Q413" s="4" t="b" cm="1">
        <f t="array" ref="Q413:U413">IFERROR(_xlfn.XLOOKUP(_xlfn.TEXTJOIN(,,D413:O413),Aux!$B$3:$B$4098,'Truth Table'!$O$3:$S$4098)=1,FALSE)</f>
        <v>1</v>
      </c>
      <c r="R413" s="4" t="b">
        <v>0</v>
      </c>
      <c r="S413" s="4" t="b">
        <v>0</v>
      </c>
      <c r="T413" s="4" t="b">
        <v>0</v>
      </c>
      <c r="U413" s="4" t="b">
        <v>0</v>
      </c>
      <c r="V413" s="4" t="b">
        <f>AND(_xlfn.XLOOKUP(_xlfn.TEXTJOIN(,,D413:O413),Aux!$B$3:$B$4098,'Truth Table'!$T$3:$T$4098)=1,P412&lt;='Line Follower'!$C$7)</f>
        <v>0</v>
      </c>
      <c r="W413" s="4" t="b">
        <f>AND(_xlfn.XLOOKUP(_xlfn.TEXTJOIN(,,D413:O413),Aux!$B$3:$B$4098,'Truth Table'!$U$3:$U$4098)=1,P412&gt;='Line Follower'!$C$6)</f>
        <v>0</v>
      </c>
      <c r="X413" s="4" t="b">
        <f>IFERROR(AND(_xlfn.XLOOKUP(_xlfn.TEXTJOIN(,,D413:O413),Aux!$B$3:$B$4098,'Truth Table'!$V$3:$V$4098)=1,ABS(P412)&lt;='Line Follower'!$C$6),FALSE)</f>
        <v>0</v>
      </c>
      <c r="Y413" s="4" t="b">
        <f t="shared" si="6"/>
        <v>1</v>
      </c>
    </row>
    <row r="414" spans="2:25" x14ac:dyDescent="0.25">
      <c r="B414" s="4">
        <v>411</v>
      </c>
      <c r="C414" s="4">
        <v>3166</v>
      </c>
      <c r="D414" s="4">
        <v>0</v>
      </c>
      <c r="E414" s="4">
        <v>0</v>
      </c>
      <c r="F414" s="4">
        <v>0</v>
      </c>
      <c r="G414" s="4">
        <v>0</v>
      </c>
      <c r="H414" s="4">
        <v>1</v>
      </c>
      <c r="I414" s="4">
        <v>1</v>
      </c>
      <c r="J414" s="4">
        <v>0</v>
      </c>
      <c r="K414" s="4">
        <v>0</v>
      </c>
      <c r="L414" s="4">
        <v>0</v>
      </c>
      <c r="M414" s="4">
        <v>0</v>
      </c>
      <c r="N414" s="4">
        <v>0</v>
      </c>
      <c r="O414" s="4">
        <v>1</v>
      </c>
      <c r="P414" s="51">
        <f>IFERROR(_xlfn.XLOOKUP(_xlfn.TEXTJOIN(,,D413:O413),Aux!$B$3:$B$4098,'Truth Table'!$N$3:$N$4098),P413)</f>
        <v>-1</v>
      </c>
      <c r="Q414" s="4" t="b" cm="1">
        <f t="array" ref="Q414:U414">IFERROR(_xlfn.XLOOKUP(_xlfn.TEXTJOIN(,,D414:O414),Aux!$B$3:$B$4098,'Truth Table'!$O$3:$S$4098)=1,FALSE)</f>
        <v>1</v>
      </c>
      <c r="R414" s="4" t="b">
        <v>0</v>
      </c>
      <c r="S414" s="4" t="b">
        <v>0</v>
      </c>
      <c r="T414" s="4" t="b">
        <v>0</v>
      </c>
      <c r="U414" s="4" t="b">
        <v>0</v>
      </c>
      <c r="V414" s="4" t="b">
        <f>AND(_xlfn.XLOOKUP(_xlfn.TEXTJOIN(,,D414:O414),Aux!$B$3:$B$4098,'Truth Table'!$T$3:$T$4098)=1,P413&lt;='Line Follower'!$C$7)</f>
        <v>0</v>
      </c>
      <c r="W414" s="4" t="b">
        <f>AND(_xlfn.XLOOKUP(_xlfn.TEXTJOIN(,,D414:O414),Aux!$B$3:$B$4098,'Truth Table'!$U$3:$U$4098)=1,P413&gt;='Line Follower'!$C$6)</f>
        <v>0</v>
      </c>
      <c r="X414" s="4" t="b">
        <f>IFERROR(AND(_xlfn.XLOOKUP(_xlfn.TEXTJOIN(,,D414:O414),Aux!$B$3:$B$4098,'Truth Table'!$V$3:$V$4098)=1,ABS(P413)&lt;='Line Follower'!$C$6),FALSE)</f>
        <v>0</v>
      </c>
      <c r="Y414" s="4" t="b">
        <f t="shared" si="6"/>
        <v>1</v>
      </c>
    </row>
    <row r="415" spans="2:25" x14ac:dyDescent="0.25">
      <c r="B415" s="4">
        <v>412</v>
      </c>
      <c r="C415" s="4">
        <v>3178</v>
      </c>
      <c r="D415" s="4">
        <v>0</v>
      </c>
      <c r="E415" s="4">
        <v>0</v>
      </c>
      <c r="F415" s="4">
        <v>0</v>
      </c>
      <c r="G415" s="4">
        <v>0</v>
      </c>
      <c r="H415" s="4">
        <v>1</v>
      </c>
      <c r="I415" s="4">
        <v>1</v>
      </c>
      <c r="J415" s="4">
        <v>0</v>
      </c>
      <c r="K415" s="4">
        <v>0</v>
      </c>
      <c r="L415" s="4">
        <v>0</v>
      </c>
      <c r="M415" s="4">
        <v>0</v>
      </c>
      <c r="N415" s="4">
        <v>0</v>
      </c>
      <c r="O415" s="4">
        <v>1</v>
      </c>
      <c r="P415" s="51">
        <f>IFERROR(_xlfn.XLOOKUP(_xlfn.TEXTJOIN(,,D414:O414),Aux!$B$3:$B$4098,'Truth Table'!$N$3:$N$4098),P414)</f>
        <v>-1</v>
      </c>
      <c r="Q415" s="4" t="b" cm="1">
        <f t="array" ref="Q415:U415">IFERROR(_xlfn.XLOOKUP(_xlfn.TEXTJOIN(,,D415:O415),Aux!$B$3:$B$4098,'Truth Table'!$O$3:$S$4098)=1,FALSE)</f>
        <v>1</v>
      </c>
      <c r="R415" s="4" t="b">
        <v>0</v>
      </c>
      <c r="S415" s="4" t="b">
        <v>0</v>
      </c>
      <c r="T415" s="4" t="b">
        <v>0</v>
      </c>
      <c r="U415" s="4" t="b">
        <v>0</v>
      </c>
      <c r="V415" s="4" t="b">
        <f>AND(_xlfn.XLOOKUP(_xlfn.TEXTJOIN(,,D415:O415),Aux!$B$3:$B$4098,'Truth Table'!$T$3:$T$4098)=1,P414&lt;='Line Follower'!$C$7)</f>
        <v>0</v>
      </c>
      <c r="W415" s="4" t="b">
        <f>AND(_xlfn.XLOOKUP(_xlfn.TEXTJOIN(,,D415:O415),Aux!$B$3:$B$4098,'Truth Table'!$U$3:$U$4098)=1,P414&gt;='Line Follower'!$C$6)</f>
        <v>0</v>
      </c>
      <c r="X415" s="4" t="b">
        <f>IFERROR(AND(_xlfn.XLOOKUP(_xlfn.TEXTJOIN(,,D415:O415),Aux!$B$3:$B$4098,'Truth Table'!$V$3:$V$4098)=1,ABS(P414)&lt;='Line Follower'!$C$6),FALSE)</f>
        <v>0</v>
      </c>
      <c r="Y415" s="4" t="b">
        <f t="shared" si="6"/>
        <v>1</v>
      </c>
    </row>
    <row r="416" spans="2:25" x14ac:dyDescent="0.25">
      <c r="B416" s="4">
        <v>413</v>
      </c>
      <c r="C416" s="4">
        <v>3187</v>
      </c>
      <c r="D416" s="4">
        <v>0</v>
      </c>
      <c r="E416" s="4">
        <v>0</v>
      </c>
      <c r="F416" s="4">
        <v>0</v>
      </c>
      <c r="G416" s="4">
        <v>0</v>
      </c>
      <c r="H416" s="4">
        <v>1</v>
      </c>
      <c r="I416" s="4">
        <v>1</v>
      </c>
      <c r="J416" s="4">
        <v>0</v>
      </c>
      <c r="K416" s="4">
        <v>0</v>
      </c>
      <c r="L416" s="4">
        <v>0</v>
      </c>
      <c r="M416" s="4">
        <v>0</v>
      </c>
      <c r="N416" s="4">
        <v>0</v>
      </c>
      <c r="O416" s="4">
        <v>1</v>
      </c>
      <c r="P416" s="51">
        <f>IFERROR(_xlfn.XLOOKUP(_xlfn.TEXTJOIN(,,D415:O415),Aux!$B$3:$B$4098,'Truth Table'!$N$3:$N$4098),P415)</f>
        <v>-1</v>
      </c>
      <c r="Q416" s="4" t="b" cm="1">
        <f t="array" ref="Q416:U416">IFERROR(_xlfn.XLOOKUP(_xlfn.TEXTJOIN(,,D416:O416),Aux!$B$3:$B$4098,'Truth Table'!$O$3:$S$4098)=1,FALSE)</f>
        <v>1</v>
      </c>
      <c r="R416" s="4" t="b">
        <v>0</v>
      </c>
      <c r="S416" s="4" t="b">
        <v>0</v>
      </c>
      <c r="T416" s="4" t="b">
        <v>0</v>
      </c>
      <c r="U416" s="4" t="b">
        <v>0</v>
      </c>
      <c r="V416" s="4" t="b">
        <f>AND(_xlfn.XLOOKUP(_xlfn.TEXTJOIN(,,D416:O416),Aux!$B$3:$B$4098,'Truth Table'!$T$3:$T$4098)=1,P415&lt;='Line Follower'!$C$7)</f>
        <v>0</v>
      </c>
      <c r="W416" s="4" t="b">
        <f>AND(_xlfn.XLOOKUP(_xlfn.TEXTJOIN(,,D416:O416),Aux!$B$3:$B$4098,'Truth Table'!$U$3:$U$4098)=1,P415&gt;='Line Follower'!$C$6)</f>
        <v>0</v>
      </c>
      <c r="X416" s="4" t="b">
        <f>IFERROR(AND(_xlfn.XLOOKUP(_xlfn.TEXTJOIN(,,D416:O416),Aux!$B$3:$B$4098,'Truth Table'!$V$3:$V$4098)=1,ABS(P415)&lt;='Line Follower'!$C$6),FALSE)</f>
        <v>0</v>
      </c>
      <c r="Y416" s="4" t="b">
        <f t="shared" si="6"/>
        <v>1</v>
      </c>
    </row>
    <row r="417" spans="2:25" x14ac:dyDescent="0.25">
      <c r="B417" s="4">
        <v>414</v>
      </c>
      <c r="C417" s="4">
        <v>3198</v>
      </c>
      <c r="D417" s="4">
        <v>0</v>
      </c>
      <c r="E417" s="4">
        <v>0</v>
      </c>
      <c r="F417" s="4">
        <v>0</v>
      </c>
      <c r="G417" s="4">
        <v>0</v>
      </c>
      <c r="H417" s="4">
        <v>1</v>
      </c>
      <c r="I417" s="4">
        <v>1</v>
      </c>
      <c r="J417" s="4">
        <v>0</v>
      </c>
      <c r="K417" s="4">
        <v>0</v>
      </c>
      <c r="L417" s="4">
        <v>0</v>
      </c>
      <c r="M417" s="4">
        <v>0</v>
      </c>
      <c r="N417" s="4">
        <v>0</v>
      </c>
      <c r="O417" s="4">
        <v>1</v>
      </c>
      <c r="P417" s="51">
        <f>IFERROR(_xlfn.XLOOKUP(_xlfn.TEXTJOIN(,,D416:O416),Aux!$B$3:$B$4098,'Truth Table'!$N$3:$N$4098),P416)</f>
        <v>-1</v>
      </c>
      <c r="Q417" s="4" t="b" cm="1">
        <f t="array" ref="Q417:U417">IFERROR(_xlfn.XLOOKUP(_xlfn.TEXTJOIN(,,D417:O417),Aux!$B$3:$B$4098,'Truth Table'!$O$3:$S$4098)=1,FALSE)</f>
        <v>1</v>
      </c>
      <c r="R417" s="4" t="b">
        <v>0</v>
      </c>
      <c r="S417" s="4" t="b">
        <v>0</v>
      </c>
      <c r="T417" s="4" t="b">
        <v>0</v>
      </c>
      <c r="U417" s="4" t="b">
        <v>0</v>
      </c>
      <c r="V417" s="4" t="b">
        <f>AND(_xlfn.XLOOKUP(_xlfn.TEXTJOIN(,,D417:O417),Aux!$B$3:$B$4098,'Truth Table'!$T$3:$T$4098)=1,P416&lt;='Line Follower'!$C$7)</f>
        <v>0</v>
      </c>
      <c r="W417" s="4" t="b">
        <f>AND(_xlfn.XLOOKUP(_xlfn.TEXTJOIN(,,D417:O417),Aux!$B$3:$B$4098,'Truth Table'!$U$3:$U$4098)=1,P416&gt;='Line Follower'!$C$6)</f>
        <v>0</v>
      </c>
      <c r="X417" s="4" t="b">
        <f>IFERROR(AND(_xlfn.XLOOKUP(_xlfn.TEXTJOIN(,,D417:O417),Aux!$B$3:$B$4098,'Truth Table'!$V$3:$V$4098)=1,ABS(P416)&lt;='Line Follower'!$C$6),FALSE)</f>
        <v>0</v>
      </c>
      <c r="Y417" s="4" t="b">
        <f t="shared" si="6"/>
        <v>1</v>
      </c>
    </row>
    <row r="418" spans="2:25" x14ac:dyDescent="0.25">
      <c r="B418" s="4">
        <v>415</v>
      </c>
      <c r="C418" s="4">
        <v>3207</v>
      </c>
      <c r="D418" s="4">
        <v>0</v>
      </c>
      <c r="E418" s="4">
        <v>0</v>
      </c>
      <c r="F418" s="4">
        <v>0</v>
      </c>
      <c r="G418" s="4">
        <v>0</v>
      </c>
      <c r="H418" s="4">
        <v>1</v>
      </c>
      <c r="I418" s="4">
        <v>1</v>
      </c>
      <c r="J418" s="4">
        <v>0</v>
      </c>
      <c r="K418" s="4">
        <v>0</v>
      </c>
      <c r="L418" s="4">
        <v>0</v>
      </c>
      <c r="M418" s="4">
        <v>0</v>
      </c>
      <c r="N418" s="4">
        <v>0</v>
      </c>
      <c r="O418" s="4">
        <v>1</v>
      </c>
      <c r="P418" s="51">
        <f>IFERROR(_xlfn.XLOOKUP(_xlfn.TEXTJOIN(,,D417:O417),Aux!$B$3:$B$4098,'Truth Table'!$N$3:$N$4098),P417)</f>
        <v>-1</v>
      </c>
      <c r="Q418" s="4" t="b" cm="1">
        <f t="array" ref="Q418:U418">IFERROR(_xlfn.XLOOKUP(_xlfn.TEXTJOIN(,,D418:O418),Aux!$B$3:$B$4098,'Truth Table'!$O$3:$S$4098)=1,FALSE)</f>
        <v>1</v>
      </c>
      <c r="R418" s="4" t="b">
        <v>0</v>
      </c>
      <c r="S418" s="4" t="b">
        <v>0</v>
      </c>
      <c r="T418" s="4" t="b">
        <v>0</v>
      </c>
      <c r="U418" s="4" t="b">
        <v>0</v>
      </c>
      <c r="V418" s="4" t="b">
        <f>AND(_xlfn.XLOOKUP(_xlfn.TEXTJOIN(,,D418:O418),Aux!$B$3:$B$4098,'Truth Table'!$T$3:$T$4098)=1,P417&lt;='Line Follower'!$C$7)</f>
        <v>0</v>
      </c>
      <c r="W418" s="4" t="b">
        <f>AND(_xlfn.XLOOKUP(_xlfn.TEXTJOIN(,,D418:O418),Aux!$B$3:$B$4098,'Truth Table'!$U$3:$U$4098)=1,P417&gt;='Line Follower'!$C$6)</f>
        <v>0</v>
      </c>
      <c r="X418" s="4" t="b">
        <f>IFERROR(AND(_xlfn.XLOOKUP(_xlfn.TEXTJOIN(,,D418:O418),Aux!$B$3:$B$4098,'Truth Table'!$V$3:$V$4098)=1,ABS(P417)&lt;='Line Follower'!$C$6),FALSE)</f>
        <v>0</v>
      </c>
      <c r="Y418" s="4" t="b">
        <f t="shared" si="6"/>
        <v>1</v>
      </c>
    </row>
    <row r="419" spans="2:25" x14ac:dyDescent="0.25">
      <c r="B419" s="4">
        <v>416</v>
      </c>
      <c r="C419" s="4">
        <v>3221</v>
      </c>
      <c r="D419" s="4">
        <v>0</v>
      </c>
      <c r="E419" s="4">
        <v>0</v>
      </c>
      <c r="F419" s="4">
        <v>0</v>
      </c>
      <c r="G419" s="4">
        <v>0</v>
      </c>
      <c r="H419" s="4">
        <v>1</v>
      </c>
      <c r="I419" s="4">
        <v>1</v>
      </c>
      <c r="J419" s="4">
        <v>0</v>
      </c>
      <c r="K419" s="4">
        <v>0</v>
      </c>
      <c r="L419" s="4">
        <v>0</v>
      </c>
      <c r="M419" s="4">
        <v>0</v>
      </c>
      <c r="N419" s="4">
        <v>0</v>
      </c>
      <c r="O419" s="4">
        <v>1</v>
      </c>
      <c r="P419" s="51">
        <f>IFERROR(_xlfn.XLOOKUP(_xlfn.TEXTJOIN(,,D418:O418),Aux!$B$3:$B$4098,'Truth Table'!$N$3:$N$4098),P418)</f>
        <v>-1</v>
      </c>
      <c r="Q419" s="4" t="b" cm="1">
        <f t="array" ref="Q419:U419">IFERROR(_xlfn.XLOOKUP(_xlfn.TEXTJOIN(,,D419:O419),Aux!$B$3:$B$4098,'Truth Table'!$O$3:$S$4098)=1,FALSE)</f>
        <v>1</v>
      </c>
      <c r="R419" s="4" t="b">
        <v>0</v>
      </c>
      <c r="S419" s="4" t="b">
        <v>0</v>
      </c>
      <c r="T419" s="4" t="b">
        <v>0</v>
      </c>
      <c r="U419" s="4" t="b">
        <v>0</v>
      </c>
      <c r="V419" s="4" t="b">
        <f>AND(_xlfn.XLOOKUP(_xlfn.TEXTJOIN(,,D419:O419),Aux!$B$3:$B$4098,'Truth Table'!$T$3:$T$4098)=1,P418&lt;='Line Follower'!$C$7)</f>
        <v>0</v>
      </c>
      <c r="W419" s="4" t="b">
        <f>AND(_xlfn.XLOOKUP(_xlfn.TEXTJOIN(,,D419:O419),Aux!$B$3:$B$4098,'Truth Table'!$U$3:$U$4098)=1,P418&gt;='Line Follower'!$C$6)</f>
        <v>0</v>
      </c>
      <c r="X419" s="4" t="b">
        <f>IFERROR(AND(_xlfn.XLOOKUP(_xlfn.TEXTJOIN(,,D419:O419),Aux!$B$3:$B$4098,'Truth Table'!$V$3:$V$4098)=1,ABS(P418)&lt;='Line Follower'!$C$6),FALSE)</f>
        <v>0</v>
      </c>
      <c r="Y419" s="4" t="b">
        <f t="shared" si="6"/>
        <v>1</v>
      </c>
    </row>
    <row r="420" spans="2:25" x14ac:dyDescent="0.25">
      <c r="B420" s="4">
        <v>417</v>
      </c>
      <c r="C420" s="4">
        <v>3229</v>
      </c>
      <c r="D420" s="4">
        <v>0</v>
      </c>
      <c r="E420" s="4">
        <v>0</v>
      </c>
      <c r="F420" s="4">
        <v>0</v>
      </c>
      <c r="G420" s="4">
        <v>0</v>
      </c>
      <c r="H420" s="4">
        <v>1</v>
      </c>
      <c r="I420" s="4">
        <v>1</v>
      </c>
      <c r="J420" s="4">
        <v>0</v>
      </c>
      <c r="K420" s="4">
        <v>0</v>
      </c>
      <c r="L420" s="4">
        <v>0</v>
      </c>
      <c r="M420" s="4">
        <v>0</v>
      </c>
      <c r="N420" s="4">
        <v>0</v>
      </c>
      <c r="O420" s="4">
        <v>1</v>
      </c>
      <c r="P420" s="51">
        <f>IFERROR(_xlfn.XLOOKUP(_xlfn.TEXTJOIN(,,D419:O419),Aux!$B$3:$B$4098,'Truth Table'!$N$3:$N$4098),P419)</f>
        <v>-1</v>
      </c>
      <c r="Q420" s="4" t="b" cm="1">
        <f t="array" ref="Q420:U420">IFERROR(_xlfn.XLOOKUP(_xlfn.TEXTJOIN(,,D420:O420),Aux!$B$3:$B$4098,'Truth Table'!$O$3:$S$4098)=1,FALSE)</f>
        <v>1</v>
      </c>
      <c r="R420" s="4" t="b">
        <v>0</v>
      </c>
      <c r="S420" s="4" t="b">
        <v>0</v>
      </c>
      <c r="T420" s="4" t="b">
        <v>0</v>
      </c>
      <c r="U420" s="4" t="b">
        <v>0</v>
      </c>
      <c r="V420" s="4" t="b">
        <f>AND(_xlfn.XLOOKUP(_xlfn.TEXTJOIN(,,D420:O420),Aux!$B$3:$B$4098,'Truth Table'!$T$3:$T$4098)=1,P419&lt;='Line Follower'!$C$7)</f>
        <v>0</v>
      </c>
      <c r="W420" s="4" t="b">
        <f>AND(_xlfn.XLOOKUP(_xlfn.TEXTJOIN(,,D420:O420),Aux!$B$3:$B$4098,'Truth Table'!$U$3:$U$4098)=1,P419&gt;='Line Follower'!$C$6)</f>
        <v>0</v>
      </c>
      <c r="X420" s="4" t="b">
        <f>IFERROR(AND(_xlfn.XLOOKUP(_xlfn.TEXTJOIN(,,D420:O420),Aux!$B$3:$B$4098,'Truth Table'!$V$3:$V$4098)=1,ABS(P419)&lt;='Line Follower'!$C$6),FALSE)</f>
        <v>0</v>
      </c>
      <c r="Y420" s="4" t="b">
        <f t="shared" si="6"/>
        <v>1</v>
      </c>
    </row>
    <row r="421" spans="2:25" x14ac:dyDescent="0.25">
      <c r="B421" s="4">
        <v>418</v>
      </c>
      <c r="C421" s="4">
        <v>3241</v>
      </c>
      <c r="D421" s="4">
        <v>0</v>
      </c>
      <c r="E421" s="4">
        <v>0</v>
      </c>
      <c r="F421" s="4">
        <v>0</v>
      </c>
      <c r="G421" s="4">
        <v>0</v>
      </c>
      <c r="H421" s="4">
        <v>1</v>
      </c>
      <c r="I421" s="4">
        <v>1</v>
      </c>
      <c r="J421" s="4">
        <v>0</v>
      </c>
      <c r="K421" s="4">
        <v>0</v>
      </c>
      <c r="L421" s="4">
        <v>0</v>
      </c>
      <c r="M421" s="4">
        <v>0</v>
      </c>
      <c r="N421" s="4">
        <v>0</v>
      </c>
      <c r="O421" s="4">
        <v>1</v>
      </c>
      <c r="P421" s="51">
        <f>IFERROR(_xlfn.XLOOKUP(_xlfn.TEXTJOIN(,,D420:O420),Aux!$B$3:$B$4098,'Truth Table'!$N$3:$N$4098),P420)</f>
        <v>-1</v>
      </c>
      <c r="Q421" s="4" t="b" cm="1">
        <f t="array" ref="Q421:U421">IFERROR(_xlfn.XLOOKUP(_xlfn.TEXTJOIN(,,D421:O421),Aux!$B$3:$B$4098,'Truth Table'!$O$3:$S$4098)=1,FALSE)</f>
        <v>1</v>
      </c>
      <c r="R421" s="4" t="b">
        <v>0</v>
      </c>
      <c r="S421" s="4" t="b">
        <v>0</v>
      </c>
      <c r="T421" s="4" t="b">
        <v>0</v>
      </c>
      <c r="U421" s="4" t="b">
        <v>0</v>
      </c>
      <c r="V421" s="4" t="b">
        <f>AND(_xlfn.XLOOKUP(_xlfn.TEXTJOIN(,,D421:O421),Aux!$B$3:$B$4098,'Truth Table'!$T$3:$T$4098)=1,P420&lt;='Line Follower'!$C$7)</f>
        <v>0</v>
      </c>
      <c r="W421" s="4" t="b">
        <f>AND(_xlfn.XLOOKUP(_xlfn.TEXTJOIN(,,D421:O421),Aux!$B$3:$B$4098,'Truth Table'!$U$3:$U$4098)=1,P420&gt;='Line Follower'!$C$6)</f>
        <v>0</v>
      </c>
      <c r="X421" s="4" t="b">
        <f>IFERROR(AND(_xlfn.XLOOKUP(_xlfn.TEXTJOIN(,,D421:O421),Aux!$B$3:$B$4098,'Truth Table'!$V$3:$V$4098)=1,ABS(P420)&lt;='Line Follower'!$C$6),FALSE)</f>
        <v>0</v>
      </c>
      <c r="Y421" s="4" t="b">
        <f t="shared" si="6"/>
        <v>1</v>
      </c>
    </row>
    <row r="422" spans="2:25" x14ac:dyDescent="0.25">
      <c r="B422" s="4">
        <v>419</v>
      </c>
      <c r="C422" s="4">
        <v>3241</v>
      </c>
      <c r="D422" s="4">
        <v>0</v>
      </c>
      <c r="E422" s="4">
        <v>0</v>
      </c>
      <c r="F422" s="4">
        <v>0</v>
      </c>
      <c r="G422" s="4">
        <v>0</v>
      </c>
      <c r="H422" s="4">
        <v>1</v>
      </c>
      <c r="I422" s="4">
        <v>1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1</v>
      </c>
      <c r="P422" s="51">
        <f>IFERROR(_xlfn.XLOOKUP(_xlfn.TEXTJOIN(,,D421:O421),Aux!$B$3:$B$4098,'Truth Table'!$N$3:$N$4098),P421)</f>
        <v>-1</v>
      </c>
      <c r="Q422" s="4" t="b" cm="1">
        <f t="array" ref="Q422:U422">IFERROR(_xlfn.XLOOKUP(_xlfn.TEXTJOIN(,,D422:O422),Aux!$B$3:$B$4098,'Truth Table'!$O$3:$S$4098)=1,FALSE)</f>
        <v>1</v>
      </c>
      <c r="R422" s="4" t="b">
        <v>0</v>
      </c>
      <c r="S422" s="4" t="b">
        <v>0</v>
      </c>
      <c r="T422" s="4" t="b">
        <v>0</v>
      </c>
      <c r="U422" s="4" t="b">
        <v>0</v>
      </c>
      <c r="V422" s="4" t="b">
        <f>AND(_xlfn.XLOOKUP(_xlfn.TEXTJOIN(,,D422:O422),Aux!$B$3:$B$4098,'Truth Table'!$T$3:$T$4098)=1,P421&lt;='Line Follower'!$C$7)</f>
        <v>0</v>
      </c>
      <c r="W422" s="4" t="b">
        <f>AND(_xlfn.XLOOKUP(_xlfn.TEXTJOIN(,,D422:O422),Aux!$B$3:$B$4098,'Truth Table'!$U$3:$U$4098)=1,P421&gt;='Line Follower'!$C$6)</f>
        <v>0</v>
      </c>
      <c r="X422" s="4" t="b">
        <f>IFERROR(AND(_xlfn.XLOOKUP(_xlfn.TEXTJOIN(,,D422:O422),Aux!$B$3:$B$4098,'Truth Table'!$V$3:$V$4098)=1,ABS(P421)&lt;='Line Follower'!$C$6),FALSE)</f>
        <v>0</v>
      </c>
      <c r="Y422" s="4" t="b">
        <f t="shared" si="6"/>
        <v>1</v>
      </c>
    </row>
    <row r="423" spans="2:25" x14ac:dyDescent="0.25">
      <c r="B423" s="4">
        <v>420</v>
      </c>
      <c r="C423" s="4">
        <v>3250</v>
      </c>
      <c r="D423" s="4">
        <v>0</v>
      </c>
      <c r="E423" s="4">
        <v>0</v>
      </c>
      <c r="F423" s="4">
        <v>0</v>
      </c>
      <c r="G423" s="4">
        <v>0</v>
      </c>
      <c r="H423" s="4">
        <v>1</v>
      </c>
      <c r="I423" s="4">
        <v>1</v>
      </c>
      <c r="J423" s="4">
        <v>0</v>
      </c>
      <c r="K423" s="4">
        <v>0</v>
      </c>
      <c r="L423" s="4">
        <v>0</v>
      </c>
      <c r="M423" s="4">
        <v>0</v>
      </c>
      <c r="N423" s="4">
        <v>0</v>
      </c>
      <c r="O423" s="4">
        <v>1</v>
      </c>
      <c r="P423" s="51">
        <f>IFERROR(_xlfn.XLOOKUP(_xlfn.TEXTJOIN(,,D422:O422),Aux!$B$3:$B$4098,'Truth Table'!$N$3:$N$4098),P422)</f>
        <v>-1</v>
      </c>
      <c r="Q423" s="4" t="b" cm="1">
        <f t="array" ref="Q423:U423">IFERROR(_xlfn.XLOOKUP(_xlfn.TEXTJOIN(,,D423:O423),Aux!$B$3:$B$4098,'Truth Table'!$O$3:$S$4098)=1,FALSE)</f>
        <v>1</v>
      </c>
      <c r="R423" s="4" t="b">
        <v>0</v>
      </c>
      <c r="S423" s="4" t="b">
        <v>0</v>
      </c>
      <c r="T423" s="4" t="b">
        <v>0</v>
      </c>
      <c r="U423" s="4" t="b">
        <v>0</v>
      </c>
      <c r="V423" s="4" t="b">
        <f>AND(_xlfn.XLOOKUP(_xlfn.TEXTJOIN(,,D423:O423),Aux!$B$3:$B$4098,'Truth Table'!$T$3:$T$4098)=1,P422&lt;='Line Follower'!$C$7)</f>
        <v>0</v>
      </c>
      <c r="W423" s="4" t="b">
        <f>AND(_xlfn.XLOOKUP(_xlfn.TEXTJOIN(,,D423:O423),Aux!$B$3:$B$4098,'Truth Table'!$U$3:$U$4098)=1,P422&gt;='Line Follower'!$C$6)</f>
        <v>0</v>
      </c>
      <c r="X423" s="4" t="b">
        <f>IFERROR(AND(_xlfn.XLOOKUP(_xlfn.TEXTJOIN(,,D423:O423),Aux!$B$3:$B$4098,'Truth Table'!$V$3:$V$4098)=1,ABS(P422)&lt;='Line Follower'!$C$6),FALSE)</f>
        <v>0</v>
      </c>
      <c r="Y423" s="4" t="b">
        <f t="shared" si="6"/>
        <v>1</v>
      </c>
    </row>
    <row r="424" spans="2:25" x14ac:dyDescent="0.25">
      <c r="B424" s="4">
        <v>421</v>
      </c>
      <c r="C424" s="4">
        <v>3263</v>
      </c>
      <c r="D424" s="4">
        <v>0</v>
      </c>
      <c r="E424" s="4">
        <v>0</v>
      </c>
      <c r="F424" s="4">
        <v>0</v>
      </c>
      <c r="G424" s="4">
        <v>0</v>
      </c>
      <c r="H424" s="4">
        <v>1</v>
      </c>
      <c r="I424" s="4">
        <v>1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1</v>
      </c>
      <c r="P424" s="51">
        <f>IFERROR(_xlfn.XLOOKUP(_xlfn.TEXTJOIN(,,D423:O423),Aux!$B$3:$B$4098,'Truth Table'!$N$3:$N$4098),P423)</f>
        <v>-1</v>
      </c>
      <c r="Q424" s="4" t="b" cm="1">
        <f t="array" ref="Q424:U424">IFERROR(_xlfn.XLOOKUP(_xlfn.TEXTJOIN(,,D424:O424),Aux!$B$3:$B$4098,'Truth Table'!$O$3:$S$4098)=1,FALSE)</f>
        <v>1</v>
      </c>
      <c r="R424" s="4" t="b">
        <v>0</v>
      </c>
      <c r="S424" s="4" t="b">
        <v>0</v>
      </c>
      <c r="T424" s="4" t="b">
        <v>0</v>
      </c>
      <c r="U424" s="4" t="b">
        <v>0</v>
      </c>
      <c r="V424" s="4" t="b">
        <f>AND(_xlfn.XLOOKUP(_xlfn.TEXTJOIN(,,D424:O424),Aux!$B$3:$B$4098,'Truth Table'!$T$3:$T$4098)=1,P423&lt;='Line Follower'!$C$7)</f>
        <v>0</v>
      </c>
      <c r="W424" s="4" t="b">
        <f>AND(_xlfn.XLOOKUP(_xlfn.TEXTJOIN(,,D424:O424),Aux!$B$3:$B$4098,'Truth Table'!$U$3:$U$4098)=1,P423&gt;='Line Follower'!$C$6)</f>
        <v>0</v>
      </c>
      <c r="X424" s="4" t="b">
        <f>IFERROR(AND(_xlfn.XLOOKUP(_xlfn.TEXTJOIN(,,D424:O424),Aux!$B$3:$B$4098,'Truth Table'!$V$3:$V$4098)=1,ABS(P423)&lt;='Line Follower'!$C$6),FALSE)</f>
        <v>0</v>
      </c>
      <c r="Y424" s="4" t="b">
        <f t="shared" si="6"/>
        <v>1</v>
      </c>
    </row>
    <row r="425" spans="2:25" x14ac:dyDescent="0.25">
      <c r="B425" s="4">
        <v>422</v>
      </c>
      <c r="C425" s="4">
        <v>3272</v>
      </c>
      <c r="D425" s="4">
        <v>0</v>
      </c>
      <c r="E425" s="4">
        <v>0</v>
      </c>
      <c r="F425" s="4">
        <v>0</v>
      </c>
      <c r="G425" s="4">
        <v>0</v>
      </c>
      <c r="H425" s="4">
        <v>1</v>
      </c>
      <c r="I425" s="4">
        <v>1</v>
      </c>
      <c r="J425" s="4">
        <v>0</v>
      </c>
      <c r="K425" s="4">
        <v>0</v>
      </c>
      <c r="L425" s="4">
        <v>0</v>
      </c>
      <c r="M425" s="4">
        <v>0</v>
      </c>
      <c r="N425" s="4">
        <v>0</v>
      </c>
      <c r="O425" s="4">
        <v>1</v>
      </c>
      <c r="P425" s="51">
        <f>IFERROR(_xlfn.XLOOKUP(_xlfn.TEXTJOIN(,,D424:O424),Aux!$B$3:$B$4098,'Truth Table'!$N$3:$N$4098),P424)</f>
        <v>-1</v>
      </c>
      <c r="Q425" s="4" t="b" cm="1">
        <f t="array" ref="Q425:U425">IFERROR(_xlfn.XLOOKUP(_xlfn.TEXTJOIN(,,D425:O425),Aux!$B$3:$B$4098,'Truth Table'!$O$3:$S$4098)=1,FALSE)</f>
        <v>1</v>
      </c>
      <c r="R425" s="4" t="b">
        <v>0</v>
      </c>
      <c r="S425" s="4" t="b">
        <v>0</v>
      </c>
      <c r="T425" s="4" t="b">
        <v>0</v>
      </c>
      <c r="U425" s="4" t="b">
        <v>0</v>
      </c>
      <c r="V425" s="4" t="b">
        <f>AND(_xlfn.XLOOKUP(_xlfn.TEXTJOIN(,,D425:O425),Aux!$B$3:$B$4098,'Truth Table'!$T$3:$T$4098)=1,P424&lt;='Line Follower'!$C$7)</f>
        <v>0</v>
      </c>
      <c r="W425" s="4" t="b">
        <f>AND(_xlfn.XLOOKUP(_xlfn.TEXTJOIN(,,D425:O425),Aux!$B$3:$B$4098,'Truth Table'!$U$3:$U$4098)=1,P424&gt;='Line Follower'!$C$6)</f>
        <v>0</v>
      </c>
      <c r="X425" s="4" t="b">
        <f>IFERROR(AND(_xlfn.XLOOKUP(_xlfn.TEXTJOIN(,,D425:O425),Aux!$B$3:$B$4098,'Truth Table'!$V$3:$V$4098)=1,ABS(P424)&lt;='Line Follower'!$C$6),FALSE)</f>
        <v>0</v>
      </c>
      <c r="Y425" s="4" t="b">
        <f t="shared" si="6"/>
        <v>1</v>
      </c>
    </row>
    <row r="426" spans="2:25" x14ac:dyDescent="0.25">
      <c r="B426" s="4">
        <v>423</v>
      </c>
      <c r="C426" s="4">
        <v>3282</v>
      </c>
      <c r="D426" s="4">
        <v>0</v>
      </c>
      <c r="E426" s="4">
        <v>0</v>
      </c>
      <c r="F426" s="4">
        <v>0</v>
      </c>
      <c r="G426" s="4">
        <v>0</v>
      </c>
      <c r="H426" s="4">
        <v>1</v>
      </c>
      <c r="I426" s="4">
        <v>1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1</v>
      </c>
      <c r="P426" s="51">
        <f>IFERROR(_xlfn.XLOOKUP(_xlfn.TEXTJOIN(,,D425:O425),Aux!$B$3:$B$4098,'Truth Table'!$N$3:$N$4098),P425)</f>
        <v>-1</v>
      </c>
      <c r="Q426" s="4" t="b" cm="1">
        <f t="array" ref="Q426:U426">IFERROR(_xlfn.XLOOKUP(_xlfn.TEXTJOIN(,,D426:O426),Aux!$B$3:$B$4098,'Truth Table'!$O$3:$S$4098)=1,FALSE)</f>
        <v>1</v>
      </c>
      <c r="R426" s="4" t="b">
        <v>0</v>
      </c>
      <c r="S426" s="4" t="b">
        <v>0</v>
      </c>
      <c r="T426" s="4" t="b">
        <v>0</v>
      </c>
      <c r="U426" s="4" t="b">
        <v>0</v>
      </c>
      <c r="V426" s="4" t="b">
        <f>AND(_xlfn.XLOOKUP(_xlfn.TEXTJOIN(,,D426:O426),Aux!$B$3:$B$4098,'Truth Table'!$T$3:$T$4098)=1,P425&lt;='Line Follower'!$C$7)</f>
        <v>0</v>
      </c>
      <c r="W426" s="4" t="b">
        <f>AND(_xlfn.XLOOKUP(_xlfn.TEXTJOIN(,,D426:O426),Aux!$B$3:$B$4098,'Truth Table'!$U$3:$U$4098)=1,P425&gt;='Line Follower'!$C$6)</f>
        <v>0</v>
      </c>
      <c r="X426" s="4" t="b">
        <f>IFERROR(AND(_xlfn.XLOOKUP(_xlfn.TEXTJOIN(,,D426:O426),Aux!$B$3:$B$4098,'Truth Table'!$V$3:$V$4098)=1,ABS(P425)&lt;='Line Follower'!$C$6),FALSE)</f>
        <v>0</v>
      </c>
      <c r="Y426" s="4" t="b">
        <f t="shared" si="6"/>
        <v>1</v>
      </c>
    </row>
    <row r="427" spans="2:25" x14ac:dyDescent="0.25">
      <c r="B427" s="4">
        <v>424</v>
      </c>
      <c r="C427" s="4">
        <v>3328</v>
      </c>
      <c r="D427" s="4">
        <v>0</v>
      </c>
      <c r="E427" s="4">
        <v>0</v>
      </c>
      <c r="F427" s="4">
        <v>0</v>
      </c>
      <c r="G427" s="4">
        <v>0</v>
      </c>
      <c r="H427" s="4">
        <v>1</v>
      </c>
      <c r="I427" s="4">
        <v>1</v>
      </c>
      <c r="J427" s="4">
        <v>0</v>
      </c>
      <c r="K427" s="4">
        <v>0</v>
      </c>
      <c r="L427" s="4">
        <v>0</v>
      </c>
      <c r="M427" s="4">
        <v>0</v>
      </c>
      <c r="N427" s="4">
        <v>0</v>
      </c>
      <c r="O427" s="4">
        <v>1</v>
      </c>
      <c r="P427" s="51">
        <f>IFERROR(_xlfn.XLOOKUP(_xlfn.TEXTJOIN(,,D426:O426),Aux!$B$3:$B$4098,'Truth Table'!$N$3:$N$4098),P426)</f>
        <v>-1</v>
      </c>
      <c r="Q427" s="4" t="b" cm="1">
        <f t="array" ref="Q427:U427">IFERROR(_xlfn.XLOOKUP(_xlfn.TEXTJOIN(,,D427:O427),Aux!$B$3:$B$4098,'Truth Table'!$O$3:$S$4098)=1,FALSE)</f>
        <v>1</v>
      </c>
      <c r="R427" s="4" t="b">
        <v>0</v>
      </c>
      <c r="S427" s="4" t="b">
        <v>0</v>
      </c>
      <c r="T427" s="4" t="b">
        <v>0</v>
      </c>
      <c r="U427" s="4" t="b">
        <v>0</v>
      </c>
      <c r="V427" s="4" t="b">
        <f>AND(_xlfn.XLOOKUP(_xlfn.TEXTJOIN(,,D427:O427),Aux!$B$3:$B$4098,'Truth Table'!$T$3:$T$4098)=1,P426&lt;='Line Follower'!$C$7)</f>
        <v>0</v>
      </c>
      <c r="W427" s="4" t="b">
        <f>AND(_xlfn.XLOOKUP(_xlfn.TEXTJOIN(,,D427:O427),Aux!$B$3:$B$4098,'Truth Table'!$U$3:$U$4098)=1,P426&gt;='Line Follower'!$C$6)</f>
        <v>0</v>
      </c>
      <c r="X427" s="4" t="b">
        <f>IFERROR(AND(_xlfn.XLOOKUP(_xlfn.TEXTJOIN(,,D427:O427),Aux!$B$3:$B$4098,'Truth Table'!$V$3:$V$4098)=1,ABS(P426)&lt;='Line Follower'!$C$6),FALSE)</f>
        <v>0</v>
      </c>
      <c r="Y427" s="4" t="b">
        <f t="shared" si="6"/>
        <v>1</v>
      </c>
    </row>
    <row r="428" spans="2:25" x14ac:dyDescent="0.25">
      <c r="B428" s="4">
        <v>425</v>
      </c>
      <c r="C428" s="4">
        <v>3329</v>
      </c>
      <c r="D428" s="4">
        <v>0</v>
      </c>
      <c r="E428" s="4">
        <v>0</v>
      </c>
      <c r="F428" s="4">
        <v>0</v>
      </c>
      <c r="G428" s="4">
        <v>0</v>
      </c>
      <c r="H428" s="4">
        <v>0</v>
      </c>
      <c r="I428" s="4">
        <v>1</v>
      </c>
      <c r="J428" s="4">
        <v>1</v>
      </c>
      <c r="K428" s="4">
        <v>0</v>
      </c>
      <c r="L428" s="4">
        <v>0</v>
      </c>
      <c r="M428" s="4">
        <v>0</v>
      </c>
      <c r="N428" s="4">
        <v>0</v>
      </c>
      <c r="O428" s="4">
        <v>1</v>
      </c>
      <c r="P428" s="51">
        <f>IFERROR(_xlfn.XLOOKUP(_xlfn.TEXTJOIN(,,D427:O427),Aux!$B$3:$B$4098,'Truth Table'!$N$3:$N$4098),P427)</f>
        <v>-1</v>
      </c>
      <c r="Q428" s="4" t="b" cm="1">
        <f t="array" ref="Q428:U428">IFERROR(_xlfn.XLOOKUP(_xlfn.TEXTJOIN(,,D428:O428),Aux!$B$3:$B$4098,'Truth Table'!$O$3:$S$4098)=1,FALSE)</f>
        <v>1</v>
      </c>
      <c r="R428" s="4" t="b">
        <v>0</v>
      </c>
      <c r="S428" s="4" t="b">
        <v>0</v>
      </c>
      <c r="T428" s="4" t="b">
        <v>0</v>
      </c>
      <c r="U428" s="4" t="b">
        <v>0</v>
      </c>
      <c r="V428" s="4" t="b">
        <f>AND(_xlfn.XLOOKUP(_xlfn.TEXTJOIN(,,D428:O428),Aux!$B$3:$B$4098,'Truth Table'!$T$3:$T$4098)=1,P427&lt;='Line Follower'!$C$7)</f>
        <v>0</v>
      </c>
      <c r="W428" s="4" t="b">
        <f>AND(_xlfn.XLOOKUP(_xlfn.TEXTJOIN(,,D428:O428),Aux!$B$3:$B$4098,'Truth Table'!$U$3:$U$4098)=1,P427&gt;='Line Follower'!$C$6)</f>
        <v>0</v>
      </c>
      <c r="X428" s="4" t="b">
        <f>IFERROR(AND(_xlfn.XLOOKUP(_xlfn.TEXTJOIN(,,D428:O428),Aux!$B$3:$B$4098,'Truth Table'!$V$3:$V$4098)=1,ABS(P427)&lt;='Line Follower'!$C$6),FALSE)</f>
        <v>0</v>
      </c>
      <c r="Y428" s="4" t="b">
        <f t="shared" si="6"/>
        <v>1</v>
      </c>
    </row>
    <row r="429" spans="2:25" x14ac:dyDescent="0.25">
      <c r="B429" s="4">
        <v>426</v>
      </c>
      <c r="C429" s="4">
        <v>3330</v>
      </c>
      <c r="D429" s="4">
        <v>0</v>
      </c>
      <c r="E429" s="4">
        <v>0</v>
      </c>
      <c r="F429" s="4">
        <v>0</v>
      </c>
      <c r="G429" s="4">
        <v>0</v>
      </c>
      <c r="H429" s="4">
        <v>0</v>
      </c>
      <c r="I429" s="4">
        <v>1</v>
      </c>
      <c r="J429" s="4">
        <v>1</v>
      </c>
      <c r="K429" s="4">
        <v>0</v>
      </c>
      <c r="L429" s="4">
        <v>0</v>
      </c>
      <c r="M429" s="4">
        <v>0</v>
      </c>
      <c r="N429" s="4">
        <v>0</v>
      </c>
      <c r="O429" s="4">
        <v>1</v>
      </c>
      <c r="P429" s="51">
        <f>IFERROR(_xlfn.XLOOKUP(_xlfn.TEXTJOIN(,,D428:O428),Aux!$B$3:$B$4098,'Truth Table'!$N$3:$N$4098),P428)</f>
        <v>1</v>
      </c>
      <c r="Q429" s="4" t="b" cm="1">
        <f t="array" ref="Q429:U429">IFERROR(_xlfn.XLOOKUP(_xlfn.TEXTJOIN(,,D429:O429),Aux!$B$3:$B$4098,'Truth Table'!$O$3:$S$4098)=1,FALSE)</f>
        <v>1</v>
      </c>
      <c r="R429" s="4" t="b">
        <v>0</v>
      </c>
      <c r="S429" s="4" t="b">
        <v>0</v>
      </c>
      <c r="T429" s="4" t="b">
        <v>0</v>
      </c>
      <c r="U429" s="4" t="b">
        <v>0</v>
      </c>
      <c r="V429" s="4" t="b">
        <f>AND(_xlfn.XLOOKUP(_xlfn.TEXTJOIN(,,D429:O429),Aux!$B$3:$B$4098,'Truth Table'!$T$3:$T$4098)=1,P428&lt;='Line Follower'!$C$7)</f>
        <v>0</v>
      </c>
      <c r="W429" s="4" t="b">
        <f>AND(_xlfn.XLOOKUP(_xlfn.TEXTJOIN(,,D429:O429),Aux!$B$3:$B$4098,'Truth Table'!$U$3:$U$4098)=1,P428&gt;='Line Follower'!$C$6)</f>
        <v>0</v>
      </c>
      <c r="X429" s="4" t="b">
        <f>IFERROR(AND(_xlfn.XLOOKUP(_xlfn.TEXTJOIN(,,D429:O429),Aux!$B$3:$B$4098,'Truth Table'!$V$3:$V$4098)=1,ABS(P428)&lt;='Line Follower'!$C$6),FALSE)</f>
        <v>0</v>
      </c>
      <c r="Y429" s="4" t="b">
        <f t="shared" si="6"/>
        <v>1</v>
      </c>
    </row>
    <row r="430" spans="2:25" x14ac:dyDescent="0.25">
      <c r="B430" s="4">
        <v>427</v>
      </c>
      <c r="C430" s="4">
        <v>3332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1</v>
      </c>
      <c r="J430" s="4">
        <v>1</v>
      </c>
      <c r="K430" s="4">
        <v>0</v>
      </c>
      <c r="L430" s="4">
        <v>0</v>
      </c>
      <c r="M430" s="4">
        <v>0</v>
      </c>
      <c r="N430" s="4">
        <v>0</v>
      </c>
      <c r="O430" s="4">
        <v>1</v>
      </c>
      <c r="P430" s="51">
        <f>IFERROR(_xlfn.XLOOKUP(_xlfn.TEXTJOIN(,,D429:O429),Aux!$B$3:$B$4098,'Truth Table'!$N$3:$N$4098),P429)</f>
        <v>1</v>
      </c>
      <c r="Q430" s="4" t="b" cm="1">
        <f t="array" ref="Q430:U430">IFERROR(_xlfn.XLOOKUP(_xlfn.TEXTJOIN(,,D430:O430),Aux!$B$3:$B$4098,'Truth Table'!$O$3:$S$4098)=1,FALSE)</f>
        <v>1</v>
      </c>
      <c r="R430" s="4" t="b">
        <v>0</v>
      </c>
      <c r="S430" s="4" t="b">
        <v>0</v>
      </c>
      <c r="T430" s="4" t="b">
        <v>0</v>
      </c>
      <c r="U430" s="4" t="b">
        <v>0</v>
      </c>
      <c r="V430" s="4" t="b">
        <f>AND(_xlfn.XLOOKUP(_xlfn.TEXTJOIN(,,D430:O430),Aux!$B$3:$B$4098,'Truth Table'!$T$3:$T$4098)=1,P429&lt;='Line Follower'!$C$7)</f>
        <v>0</v>
      </c>
      <c r="W430" s="4" t="b">
        <f>AND(_xlfn.XLOOKUP(_xlfn.TEXTJOIN(,,D430:O430),Aux!$B$3:$B$4098,'Truth Table'!$U$3:$U$4098)=1,P429&gt;='Line Follower'!$C$6)</f>
        <v>0</v>
      </c>
      <c r="X430" s="4" t="b">
        <f>IFERROR(AND(_xlfn.XLOOKUP(_xlfn.TEXTJOIN(,,D430:O430),Aux!$B$3:$B$4098,'Truth Table'!$V$3:$V$4098)=1,ABS(P429)&lt;='Line Follower'!$C$6),FALSE)</f>
        <v>0</v>
      </c>
      <c r="Y430" s="4" t="b">
        <f t="shared" si="6"/>
        <v>1</v>
      </c>
    </row>
    <row r="431" spans="2:25" x14ac:dyDescent="0.25">
      <c r="B431" s="4">
        <v>428</v>
      </c>
      <c r="C431" s="4">
        <v>3333</v>
      </c>
      <c r="D431" s="4">
        <v>0</v>
      </c>
      <c r="E431" s="4">
        <v>0</v>
      </c>
      <c r="F431" s="4">
        <v>0</v>
      </c>
      <c r="G431" s="4">
        <v>0</v>
      </c>
      <c r="H431" s="4">
        <v>0</v>
      </c>
      <c r="I431" s="4">
        <v>1</v>
      </c>
      <c r="J431" s="4">
        <v>1</v>
      </c>
      <c r="K431" s="4">
        <v>0</v>
      </c>
      <c r="L431" s="4">
        <v>0</v>
      </c>
      <c r="M431" s="4">
        <v>0</v>
      </c>
      <c r="N431" s="4">
        <v>0</v>
      </c>
      <c r="O431" s="4">
        <v>1</v>
      </c>
      <c r="P431" s="51">
        <f>IFERROR(_xlfn.XLOOKUP(_xlfn.TEXTJOIN(,,D430:O430),Aux!$B$3:$B$4098,'Truth Table'!$N$3:$N$4098),P430)</f>
        <v>1</v>
      </c>
      <c r="Q431" s="4" t="b" cm="1">
        <f t="array" ref="Q431:U431">IFERROR(_xlfn.XLOOKUP(_xlfn.TEXTJOIN(,,D431:O431),Aux!$B$3:$B$4098,'Truth Table'!$O$3:$S$4098)=1,FALSE)</f>
        <v>1</v>
      </c>
      <c r="R431" s="4" t="b">
        <v>0</v>
      </c>
      <c r="S431" s="4" t="b">
        <v>0</v>
      </c>
      <c r="T431" s="4" t="b">
        <v>0</v>
      </c>
      <c r="U431" s="4" t="b">
        <v>0</v>
      </c>
      <c r="V431" s="4" t="b">
        <f>AND(_xlfn.XLOOKUP(_xlfn.TEXTJOIN(,,D431:O431),Aux!$B$3:$B$4098,'Truth Table'!$T$3:$T$4098)=1,P430&lt;='Line Follower'!$C$7)</f>
        <v>0</v>
      </c>
      <c r="W431" s="4" t="b">
        <f>AND(_xlfn.XLOOKUP(_xlfn.TEXTJOIN(,,D431:O431),Aux!$B$3:$B$4098,'Truth Table'!$U$3:$U$4098)=1,P430&gt;='Line Follower'!$C$6)</f>
        <v>0</v>
      </c>
      <c r="X431" s="4" t="b">
        <f>IFERROR(AND(_xlfn.XLOOKUP(_xlfn.TEXTJOIN(,,D431:O431),Aux!$B$3:$B$4098,'Truth Table'!$V$3:$V$4098)=1,ABS(P430)&lt;='Line Follower'!$C$6),FALSE)</f>
        <v>0</v>
      </c>
      <c r="Y431" s="4" t="b">
        <f t="shared" si="6"/>
        <v>1</v>
      </c>
    </row>
    <row r="432" spans="2:25" x14ac:dyDescent="0.25">
      <c r="B432" s="4">
        <v>429</v>
      </c>
      <c r="C432" s="4">
        <v>3348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1</v>
      </c>
      <c r="J432" s="4">
        <v>1</v>
      </c>
      <c r="K432" s="4">
        <v>0</v>
      </c>
      <c r="L432" s="4">
        <v>0</v>
      </c>
      <c r="M432" s="4">
        <v>0</v>
      </c>
      <c r="N432" s="4">
        <v>0</v>
      </c>
      <c r="O432" s="4">
        <v>1</v>
      </c>
      <c r="P432" s="51">
        <f>IFERROR(_xlfn.XLOOKUP(_xlfn.TEXTJOIN(,,D431:O431),Aux!$B$3:$B$4098,'Truth Table'!$N$3:$N$4098),P431)</f>
        <v>1</v>
      </c>
      <c r="Q432" s="4" t="b" cm="1">
        <f t="array" ref="Q432:U432">IFERROR(_xlfn.XLOOKUP(_xlfn.TEXTJOIN(,,D432:O432),Aux!$B$3:$B$4098,'Truth Table'!$O$3:$S$4098)=1,FALSE)</f>
        <v>1</v>
      </c>
      <c r="R432" s="4" t="b">
        <v>0</v>
      </c>
      <c r="S432" s="4" t="b">
        <v>0</v>
      </c>
      <c r="T432" s="4" t="b">
        <v>0</v>
      </c>
      <c r="U432" s="4" t="b">
        <v>0</v>
      </c>
      <c r="V432" s="4" t="b">
        <f>AND(_xlfn.XLOOKUP(_xlfn.TEXTJOIN(,,D432:O432),Aux!$B$3:$B$4098,'Truth Table'!$T$3:$T$4098)=1,P431&lt;='Line Follower'!$C$7)</f>
        <v>0</v>
      </c>
      <c r="W432" s="4" t="b">
        <f>AND(_xlfn.XLOOKUP(_xlfn.TEXTJOIN(,,D432:O432),Aux!$B$3:$B$4098,'Truth Table'!$U$3:$U$4098)=1,P431&gt;='Line Follower'!$C$6)</f>
        <v>0</v>
      </c>
      <c r="X432" s="4" t="b">
        <f>IFERROR(AND(_xlfn.XLOOKUP(_xlfn.TEXTJOIN(,,D432:O432),Aux!$B$3:$B$4098,'Truth Table'!$V$3:$V$4098)=1,ABS(P431)&lt;='Line Follower'!$C$6),FALSE)</f>
        <v>0</v>
      </c>
      <c r="Y432" s="4" t="b">
        <f t="shared" si="6"/>
        <v>1</v>
      </c>
    </row>
    <row r="433" spans="2:25" x14ac:dyDescent="0.25">
      <c r="B433" s="4">
        <v>430</v>
      </c>
      <c r="C433" s="4">
        <v>3354</v>
      </c>
      <c r="D433" s="4">
        <v>0</v>
      </c>
      <c r="E433" s="4">
        <v>0</v>
      </c>
      <c r="F433" s="4">
        <v>0</v>
      </c>
      <c r="G433" s="4">
        <v>0</v>
      </c>
      <c r="H433" s="4">
        <v>0</v>
      </c>
      <c r="I433" s="4">
        <v>1</v>
      </c>
      <c r="J433" s="4">
        <v>1</v>
      </c>
      <c r="K433" s="4">
        <v>0</v>
      </c>
      <c r="L433" s="4">
        <v>0</v>
      </c>
      <c r="M433" s="4">
        <v>0</v>
      </c>
      <c r="N433" s="4">
        <v>0</v>
      </c>
      <c r="O433" s="4">
        <v>1</v>
      </c>
      <c r="P433" s="51">
        <f>IFERROR(_xlfn.XLOOKUP(_xlfn.TEXTJOIN(,,D432:O432),Aux!$B$3:$B$4098,'Truth Table'!$N$3:$N$4098),P432)</f>
        <v>1</v>
      </c>
      <c r="Q433" s="4" t="b" cm="1">
        <f t="array" ref="Q433:U433">IFERROR(_xlfn.XLOOKUP(_xlfn.TEXTJOIN(,,D433:O433),Aux!$B$3:$B$4098,'Truth Table'!$O$3:$S$4098)=1,FALSE)</f>
        <v>1</v>
      </c>
      <c r="R433" s="4" t="b">
        <v>0</v>
      </c>
      <c r="S433" s="4" t="b">
        <v>0</v>
      </c>
      <c r="T433" s="4" t="b">
        <v>0</v>
      </c>
      <c r="U433" s="4" t="b">
        <v>0</v>
      </c>
      <c r="V433" s="4" t="b">
        <f>AND(_xlfn.XLOOKUP(_xlfn.TEXTJOIN(,,D433:O433),Aux!$B$3:$B$4098,'Truth Table'!$T$3:$T$4098)=1,P432&lt;='Line Follower'!$C$7)</f>
        <v>0</v>
      </c>
      <c r="W433" s="4" t="b">
        <f>AND(_xlfn.XLOOKUP(_xlfn.TEXTJOIN(,,D433:O433),Aux!$B$3:$B$4098,'Truth Table'!$U$3:$U$4098)=1,P432&gt;='Line Follower'!$C$6)</f>
        <v>0</v>
      </c>
      <c r="X433" s="4" t="b">
        <f>IFERROR(AND(_xlfn.XLOOKUP(_xlfn.TEXTJOIN(,,D433:O433),Aux!$B$3:$B$4098,'Truth Table'!$V$3:$V$4098)=1,ABS(P432)&lt;='Line Follower'!$C$6),FALSE)</f>
        <v>0</v>
      </c>
      <c r="Y433" s="4" t="b">
        <f t="shared" si="6"/>
        <v>1</v>
      </c>
    </row>
    <row r="434" spans="2:25" x14ac:dyDescent="0.25">
      <c r="B434" s="4">
        <v>431</v>
      </c>
      <c r="C434" s="4">
        <v>3366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1</v>
      </c>
      <c r="J434" s="4">
        <v>1</v>
      </c>
      <c r="K434" s="4">
        <v>0</v>
      </c>
      <c r="L434" s="4">
        <v>0</v>
      </c>
      <c r="M434" s="4">
        <v>0</v>
      </c>
      <c r="N434" s="4">
        <v>0</v>
      </c>
      <c r="O434" s="4">
        <v>1</v>
      </c>
      <c r="P434" s="51">
        <f>IFERROR(_xlfn.XLOOKUP(_xlfn.TEXTJOIN(,,D433:O433),Aux!$B$3:$B$4098,'Truth Table'!$N$3:$N$4098),P433)</f>
        <v>1</v>
      </c>
      <c r="Q434" s="4" t="b" cm="1">
        <f t="array" ref="Q434:U434">IFERROR(_xlfn.XLOOKUP(_xlfn.TEXTJOIN(,,D434:O434),Aux!$B$3:$B$4098,'Truth Table'!$O$3:$S$4098)=1,FALSE)</f>
        <v>1</v>
      </c>
      <c r="R434" s="4" t="b">
        <v>0</v>
      </c>
      <c r="S434" s="4" t="b">
        <v>0</v>
      </c>
      <c r="T434" s="4" t="b">
        <v>0</v>
      </c>
      <c r="U434" s="4" t="b">
        <v>0</v>
      </c>
      <c r="V434" s="4" t="b">
        <f>AND(_xlfn.XLOOKUP(_xlfn.TEXTJOIN(,,D434:O434),Aux!$B$3:$B$4098,'Truth Table'!$T$3:$T$4098)=1,P433&lt;='Line Follower'!$C$7)</f>
        <v>0</v>
      </c>
      <c r="W434" s="4" t="b">
        <f>AND(_xlfn.XLOOKUP(_xlfn.TEXTJOIN(,,D434:O434),Aux!$B$3:$B$4098,'Truth Table'!$U$3:$U$4098)=1,P433&gt;='Line Follower'!$C$6)</f>
        <v>0</v>
      </c>
      <c r="X434" s="4" t="b">
        <f>IFERROR(AND(_xlfn.XLOOKUP(_xlfn.TEXTJOIN(,,D434:O434),Aux!$B$3:$B$4098,'Truth Table'!$V$3:$V$4098)=1,ABS(P433)&lt;='Line Follower'!$C$6),FALSE)</f>
        <v>0</v>
      </c>
      <c r="Y434" s="4" t="b">
        <f t="shared" si="6"/>
        <v>1</v>
      </c>
    </row>
    <row r="435" spans="2:25" x14ac:dyDescent="0.25">
      <c r="B435" s="4">
        <v>432</v>
      </c>
      <c r="C435" s="4">
        <v>3374</v>
      </c>
      <c r="D435" s="4">
        <v>0</v>
      </c>
      <c r="E435" s="4">
        <v>0</v>
      </c>
      <c r="F435" s="4">
        <v>0</v>
      </c>
      <c r="G435" s="4">
        <v>0</v>
      </c>
      <c r="H435" s="4">
        <v>0</v>
      </c>
      <c r="I435" s="4">
        <v>1</v>
      </c>
      <c r="J435" s="4">
        <v>1</v>
      </c>
      <c r="K435" s="4">
        <v>0</v>
      </c>
      <c r="L435" s="4">
        <v>0</v>
      </c>
      <c r="M435" s="4">
        <v>0</v>
      </c>
      <c r="N435" s="4">
        <v>0</v>
      </c>
      <c r="O435" s="4">
        <v>1</v>
      </c>
      <c r="P435" s="51">
        <f>IFERROR(_xlfn.XLOOKUP(_xlfn.TEXTJOIN(,,D434:O434),Aux!$B$3:$B$4098,'Truth Table'!$N$3:$N$4098),P434)</f>
        <v>1</v>
      </c>
      <c r="Q435" s="4" t="b" cm="1">
        <f t="array" ref="Q435:U435">IFERROR(_xlfn.XLOOKUP(_xlfn.TEXTJOIN(,,D435:O435),Aux!$B$3:$B$4098,'Truth Table'!$O$3:$S$4098)=1,FALSE)</f>
        <v>1</v>
      </c>
      <c r="R435" s="4" t="b">
        <v>0</v>
      </c>
      <c r="S435" s="4" t="b">
        <v>0</v>
      </c>
      <c r="T435" s="4" t="b">
        <v>0</v>
      </c>
      <c r="U435" s="4" t="b">
        <v>0</v>
      </c>
      <c r="V435" s="4" t="b">
        <f>AND(_xlfn.XLOOKUP(_xlfn.TEXTJOIN(,,D435:O435),Aux!$B$3:$B$4098,'Truth Table'!$T$3:$T$4098)=1,P434&lt;='Line Follower'!$C$7)</f>
        <v>0</v>
      </c>
      <c r="W435" s="4" t="b">
        <f>AND(_xlfn.XLOOKUP(_xlfn.TEXTJOIN(,,D435:O435),Aux!$B$3:$B$4098,'Truth Table'!$U$3:$U$4098)=1,P434&gt;='Line Follower'!$C$6)</f>
        <v>0</v>
      </c>
      <c r="X435" s="4" t="b">
        <f>IFERROR(AND(_xlfn.XLOOKUP(_xlfn.TEXTJOIN(,,D435:O435),Aux!$B$3:$B$4098,'Truth Table'!$V$3:$V$4098)=1,ABS(P434)&lt;='Line Follower'!$C$6),FALSE)</f>
        <v>0</v>
      </c>
      <c r="Y435" s="4" t="b">
        <f t="shared" si="6"/>
        <v>1</v>
      </c>
    </row>
    <row r="436" spans="2:25" x14ac:dyDescent="0.25">
      <c r="B436" s="4">
        <v>433</v>
      </c>
      <c r="C436" s="4">
        <v>3407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1</v>
      </c>
      <c r="J436" s="4">
        <v>1</v>
      </c>
      <c r="K436" s="4">
        <v>0</v>
      </c>
      <c r="L436" s="4">
        <v>0</v>
      </c>
      <c r="M436" s="4">
        <v>0</v>
      </c>
      <c r="N436" s="4">
        <v>0</v>
      </c>
      <c r="O436" s="4">
        <v>1</v>
      </c>
      <c r="P436" s="51">
        <f>IFERROR(_xlfn.XLOOKUP(_xlfn.TEXTJOIN(,,D435:O435),Aux!$B$3:$B$4098,'Truth Table'!$N$3:$N$4098),P435)</f>
        <v>1</v>
      </c>
      <c r="Q436" s="4" t="b" cm="1">
        <f t="array" ref="Q436:U436">IFERROR(_xlfn.XLOOKUP(_xlfn.TEXTJOIN(,,D436:O436),Aux!$B$3:$B$4098,'Truth Table'!$O$3:$S$4098)=1,FALSE)</f>
        <v>1</v>
      </c>
      <c r="R436" s="4" t="b">
        <v>0</v>
      </c>
      <c r="S436" s="4" t="b">
        <v>0</v>
      </c>
      <c r="T436" s="4" t="b">
        <v>0</v>
      </c>
      <c r="U436" s="4" t="b">
        <v>0</v>
      </c>
      <c r="V436" s="4" t="b">
        <f>AND(_xlfn.XLOOKUP(_xlfn.TEXTJOIN(,,D436:O436),Aux!$B$3:$B$4098,'Truth Table'!$T$3:$T$4098)=1,P435&lt;='Line Follower'!$C$7)</f>
        <v>0</v>
      </c>
      <c r="W436" s="4" t="b">
        <f>AND(_xlfn.XLOOKUP(_xlfn.TEXTJOIN(,,D436:O436),Aux!$B$3:$B$4098,'Truth Table'!$U$3:$U$4098)=1,P435&gt;='Line Follower'!$C$6)</f>
        <v>0</v>
      </c>
      <c r="X436" s="4" t="b">
        <f>IFERROR(AND(_xlfn.XLOOKUP(_xlfn.TEXTJOIN(,,D436:O436),Aux!$B$3:$B$4098,'Truth Table'!$V$3:$V$4098)=1,ABS(P435)&lt;='Line Follower'!$C$6),FALSE)</f>
        <v>0</v>
      </c>
      <c r="Y436" s="4" t="b">
        <f t="shared" si="6"/>
        <v>1</v>
      </c>
    </row>
    <row r="437" spans="2:25" x14ac:dyDescent="0.25">
      <c r="B437" s="4">
        <v>434</v>
      </c>
      <c r="C437" s="4">
        <v>3408</v>
      </c>
      <c r="D437" s="4">
        <v>0</v>
      </c>
      <c r="E437" s="4">
        <v>0</v>
      </c>
      <c r="F437" s="4">
        <v>0</v>
      </c>
      <c r="G437" s="4">
        <v>0</v>
      </c>
      <c r="H437" s="4">
        <v>0</v>
      </c>
      <c r="I437" s="4">
        <v>1</v>
      </c>
      <c r="J437" s="4">
        <v>1</v>
      </c>
      <c r="K437" s="4">
        <v>0</v>
      </c>
      <c r="L437" s="4">
        <v>0</v>
      </c>
      <c r="M437" s="4">
        <v>0</v>
      </c>
      <c r="N437" s="4">
        <v>0</v>
      </c>
      <c r="O437" s="4">
        <v>1</v>
      </c>
      <c r="P437" s="51">
        <f>IFERROR(_xlfn.XLOOKUP(_xlfn.TEXTJOIN(,,D436:O436),Aux!$B$3:$B$4098,'Truth Table'!$N$3:$N$4098),P436)</f>
        <v>1</v>
      </c>
      <c r="Q437" s="4" t="b" cm="1">
        <f t="array" ref="Q437:U437">IFERROR(_xlfn.XLOOKUP(_xlfn.TEXTJOIN(,,D437:O437),Aux!$B$3:$B$4098,'Truth Table'!$O$3:$S$4098)=1,FALSE)</f>
        <v>1</v>
      </c>
      <c r="R437" s="4" t="b">
        <v>0</v>
      </c>
      <c r="S437" s="4" t="b">
        <v>0</v>
      </c>
      <c r="T437" s="4" t="b">
        <v>0</v>
      </c>
      <c r="U437" s="4" t="b">
        <v>0</v>
      </c>
      <c r="V437" s="4" t="b">
        <f>AND(_xlfn.XLOOKUP(_xlfn.TEXTJOIN(,,D437:O437),Aux!$B$3:$B$4098,'Truth Table'!$T$3:$T$4098)=1,P436&lt;='Line Follower'!$C$7)</f>
        <v>0</v>
      </c>
      <c r="W437" s="4" t="b">
        <f>AND(_xlfn.XLOOKUP(_xlfn.TEXTJOIN(,,D437:O437),Aux!$B$3:$B$4098,'Truth Table'!$U$3:$U$4098)=1,P436&gt;='Line Follower'!$C$6)</f>
        <v>0</v>
      </c>
      <c r="X437" s="4" t="b">
        <f>IFERROR(AND(_xlfn.XLOOKUP(_xlfn.TEXTJOIN(,,D437:O437),Aux!$B$3:$B$4098,'Truth Table'!$V$3:$V$4098)=1,ABS(P436)&lt;='Line Follower'!$C$6),FALSE)</f>
        <v>0</v>
      </c>
      <c r="Y437" s="4" t="b">
        <f t="shared" si="6"/>
        <v>1</v>
      </c>
    </row>
    <row r="438" spans="2:25" x14ac:dyDescent="0.25">
      <c r="B438" s="4">
        <v>435</v>
      </c>
      <c r="C438" s="4">
        <v>3412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1</v>
      </c>
      <c r="J438" s="4">
        <v>1</v>
      </c>
      <c r="K438" s="4">
        <v>0</v>
      </c>
      <c r="L438" s="4">
        <v>0</v>
      </c>
      <c r="M438" s="4">
        <v>0</v>
      </c>
      <c r="N438" s="4">
        <v>0</v>
      </c>
      <c r="O438" s="4">
        <v>1</v>
      </c>
      <c r="P438" s="51">
        <f>IFERROR(_xlfn.XLOOKUP(_xlfn.TEXTJOIN(,,D437:O437),Aux!$B$3:$B$4098,'Truth Table'!$N$3:$N$4098),P437)</f>
        <v>1</v>
      </c>
      <c r="Q438" s="4" t="b" cm="1">
        <f t="array" ref="Q438:U438">IFERROR(_xlfn.XLOOKUP(_xlfn.TEXTJOIN(,,D438:O438),Aux!$B$3:$B$4098,'Truth Table'!$O$3:$S$4098)=1,FALSE)</f>
        <v>1</v>
      </c>
      <c r="R438" s="4" t="b">
        <v>0</v>
      </c>
      <c r="S438" s="4" t="b">
        <v>0</v>
      </c>
      <c r="T438" s="4" t="b">
        <v>0</v>
      </c>
      <c r="U438" s="4" t="b">
        <v>0</v>
      </c>
      <c r="V438" s="4" t="b">
        <f>AND(_xlfn.XLOOKUP(_xlfn.TEXTJOIN(,,D438:O438),Aux!$B$3:$B$4098,'Truth Table'!$T$3:$T$4098)=1,P437&lt;='Line Follower'!$C$7)</f>
        <v>0</v>
      </c>
      <c r="W438" s="4" t="b">
        <f>AND(_xlfn.XLOOKUP(_xlfn.TEXTJOIN(,,D438:O438),Aux!$B$3:$B$4098,'Truth Table'!$U$3:$U$4098)=1,P437&gt;='Line Follower'!$C$6)</f>
        <v>0</v>
      </c>
      <c r="X438" s="4" t="b">
        <f>IFERROR(AND(_xlfn.XLOOKUP(_xlfn.TEXTJOIN(,,D438:O438),Aux!$B$3:$B$4098,'Truth Table'!$V$3:$V$4098)=1,ABS(P437)&lt;='Line Follower'!$C$6),FALSE)</f>
        <v>0</v>
      </c>
      <c r="Y438" s="4" t="b">
        <f t="shared" si="6"/>
        <v>1</v>
      </c>
    </row>
    <row r="439" spans="2:25" x14ac:dyDescent="0.25">
      <c r="B439" s="4">
        <v>436</v>
      </c>
      <c r="C439" s="4">
        <v>3412</v>
      </c>
      <c r="D439" s="4">
        <v>0</v>
      </c>
      <c r="E439" s="4">
        <v>0</v>
      </c>
      <c r="F439" s="4">
        <v>0</v>
      </c>
      <c r="G439" s="4">
        <v>0</v>
      </c>
      <c r="H439" s="4">
        <v>0</v>
      </c>
      <c r="I439" s="4">
        <v>1</v>
      </c>
      <c r="J439" s="4">
        <v>1</v>
      </c>
      <c r="K439" s="4">
        <v>0</v>
      </c>
      <c r="L439" s="4">
        <v>0</v>
      </c>
      <c r="M439" s="4">
        <v>0</v>
      </c>
      <c r="N439" s="4">
        <v>0</v>
      </c>
      <c r="O439" s="4">
        <v>1</v>
      </c>
      <c r="P439" s="51">
        <f>IFERROR(_xlfn.XLOOKUP(_xlfn.TEXTJOIN(,,D438:O438),Aux!$B$3:$B$4098,'Truth Table'!$N$3:$N$4098),P438)</f>
        <v>1</v>
      </c>
      <c r="Q439" s="4" t="b" cm="1">
        <f t="array" ref="Q439:U439">IFERROR(_xlfn.XLOOKUP(_xlfn.TEXTJOIN(,,D439:O439),Aux!$B$3:$B$4098,'Truth Table'!$O$3:$S$4098)=1,FALSE)</f>
        <v>1</v>
      </c>
      <c r="R439" s="4" t="b">
        <v>0</v>
      </c>
      <c r="S439" s="4" t="b">
        <v>0</v>
      </c>
      <c r="T439" s="4" t="b">
        <v>0</v>
      </c>
      <c r="U439" s="4" t="b">
        <v>0</v>
      </c>
      <c r="V439" s="4" t="b">
        <f>AND(_xlfn.XLOOKUP(_xlfn.TEXTJOIN(,,D439:O439),Aux!$B$3:$B$4098,'Truth Table'!$T$3:$T$4098)=1,P438&lt;='Line Follower'!$C$7)</f>
        <v>0</v>
      </c>
      <c r="W439" s="4" t="b">
        <f>AND(_xlfn.XLOOKUP(_xlfn.TEXTJOIN(,,D439:O439),Aux!$B$3:$B$4098,'Truth Table'!$U$3:$U$4098)=1,P438&gt;='Line Follower'!$C$6)</f>
        <v>0</v>
      </c>
      <c r="X439" s="4" t="b">
        <f>IFERROR(AND(_xlfn.XLOOKUP(_xlfn.TEXTJOIN(,,D439:O439),Aux!$B$3:$B$4098,'Truth Table'!$V$3:$V$4098)=1,ABS(P438)&lt;='Line Follower'!$C$6),FALSE)</f>
        <v>0</v>
      </c>
      <c r="Y439" s="4" t="b">
        <f t="shared" si="6"/>
        <v>1</v>
      </c>
    </row>
    <row r="440" spans="2:25" x14ac:dyDescent="0.25">
      <c r="B440" s="4">
        <v>437</v>
      </c>
      <c r="C440" s="4">
        <v>3424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1</v>
      </c>
      <c r="J440" s="4">
        <v>1</v>
      </c>
      <c r="K440" s="4">
        <v>0</v>
      </c>
      <c r="L440" s="4">
        <v>0</v>
      </c>
      <c r="M440" s="4">
        <v>0</v>
      </c>
      <c r="N440" s="4">
        <v>0</v>
      </c>
      <c r="O440" s="4">
        <v>1</v>
      </c>
      <c r="P440" s="51">
        <f>IFERROR(_xlfn.XLOOKUP(_xlfn.TEXTJOIN(,,D439:O439),Aux!$B$3:$B$4098,'Truth Table'!$N$3:$N$4098),P439)</f>
        <v>1</v>
      </c>
      <c r="Q440" s="4" t="b" cm="1">
        <f t="array" ref="Q440:U440">IFERROR(_xlfn.XLOOKUP(_xlfn.TEXTJOIN(,,D440:O440),Aux!$B$3:$B$4098,'Truth Table'!$O$3:$S$4098)=1,FALSE)</f>
        <v>1</v>
      </c>
      <c r="R440" s="4" t="b">
        <v>0</v>
      </c>
      <c r="S440" s="4" t="b">
        <v>0</v>
      </c>
      <c r="T440" s="4" t="b">
        <v>0</v>
      </c>
      <c r="U440" s="4" t="b">
        <v>0</v>
      </c>
      <c r="V440" s="4" t="b">
        <f>AND(_xlfn.XLOOKUP(_xlfn.TEXTJOIN(,,D440:O440),Aux!$B$3:$B$4098,'Truth Table'!$T$3:$T$4098)=1,P439&lt;='Line Follower'!$C$7)</f>
        <v>0</v>
      </c>
      <c r="W440" s="4" t="b">
        <f>AND(_xlfn.XLOOKUP(_xlfn.TEXTJOIN(,,D440:O440),Aux!$B$3:$B$4098,'Truth Table'!$U$3:$U$4098)=1,P439&gt;='Line Follower'!$C$6)</f>
        <v>0</v>
      </c>
      <c r="X440" s="4" t="b">
        <f>IFERROR(AND(_xlfn.XLOOKUP(_xlfn.TEXTJOIN(,,D440:O440),Aux!$B$3:$B$4098,'Truth Table'!$V$3:$V$4098)=1,ABS(P439)&lt;='Line Follower'!$C$6),FALSE)</f>
        <v>0</v>
      </c>
      <c r="Y440" s="4" t="b">
        <f t="shared" si="6"/>
        <v>1</v>
      </c>
    </row>
    <row r="441" spans="2:25" x14ac:dyDescent="0.25">
      <c r="B441" s="4">
        <v>438</v>
      </c>
      <c r="C441" s="4">
        <v>3426</v>
      </c>
      <c r="D441" s="4">
        <v>0</v>
      </c>
      <c r="E441" s="4">
        <v>0</v>
      </c>
      <c r="F441" s="4">
        <v>0</v>
      </c>
      <c r="G441" s="4">
        <v>0</v>
      </c>
      <c r="H441" s="4">
        <v>0</v>
      </c>
      <c r="I441" s="4">
        <v>1</v>
      </c>
      <c r="J441" s="4">
        <v>1</v>
      </c>
      <c r="K441" s="4">
        <v>0</v>
      </c>
      <c r="L441" s="4">
        <v>0</v>
      </c>
      <c r="M441" s="4">
        <v>0</v>
      </c>
      <c r="N441" s="4">
        <v>0</v>
      </c>
      <c r="O441" s="4">
        <v>1</v>
      </c>
      <c r="P441" s="51">
        <f>IFERROR(_xlfn.XLOOKUP(_xlfn.TEXTJOIN(,,D440:O440),Aux!$B$3:$B$4098,'Truth Table'!$N$3:$N$4098),P440)</f>
        <v>1</v>
      </c>
      <c r="Q441" s="4" t="b" cm="1">
        <f t="array" ref="Q441:U441">IFERROR(_xlfn.XLOOKUP(_xlfn.TEXTJOIN(,,D441:O441),Aux!$B$3:$B$4098,'Truth Table'!$O$3:$S$4098)=1,FALSE)</f>
        <v>1</v>
      </c>
      <c r="R441" s="4" t="b">
        <v>0</v>
      </c>
      <c r="S441" s="4" t="b">
        <v>0</v>
      </c>
      <c r="T441" s="4" t="b">
        <v>0</v>
      </c>
      <c r="U441" s="4" t="b">
        <v>0</v>
      </c>
      <c r="V441" s="4" t="b">
        <f>AND(_xlfn.XLOOKUP(_xlfn.TEXTJOIN(,,D441:O441),Aux!$B$3:$B$4098,'Truth Table'!$T$3:$T$4098)=1,P440&lt;='Line Follower'!$C$7)</f>
        <v>0</v>
      </c>
      <c r="W441" s="4" t="b">
        <f>AND(_xlfn.XLOOKUP(_xlfn.TEXTJOIN(,,D441:O441),Aux!$B$3:$B$4098,'Truth Table'!$U$3:$U$4098)=1,P440&gt;='Line Follower'!$C$6)</f>
        <v>0</v>
      </c>
      <c r="X441" s="4" t="b">
        <f>IFERROR(AND(_xlfn.XLOOKUP(_xlfn.TEXTJOIN(,,D441:O441),Aux!$B$3:$B$4098,'Truth Table'!$V$3:$V$4098)=1,ABS(P440)&lt;='Line Follower'!$C$6),FALSE)</f>
        <v>0</v>
      </c>
      <c r="Y441" s="4" t="b">
        <f t="shared" si="6"/>
        <v>1</v>
      </c>
    </row>
    <row r="442" spans="2:25" x14ac:dyDescent="0.25">
      <c r="B442" s="4">
        <v>439</v>
      </c>
      <c r="C442" s="4">
        <v>3439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1</v>
      </c>
      <c r="J442" s="4">
        <v>1</v>
      </c>
      <c r="K442" s="4">
        <v>0</v>
      </c>
      <c r="L442" s="4">
        <v>0</v>
      </c>
      <c r="M442" s="4">
        <v>0</v>
      </c>
      <c r="N442" s="4">
        <v>0</v>
      </c>
      <c r="O442" s="4">
        <v>1</v>
      </c>
      <c r="P442" s="51">
        <f>IFERROR(_xlfn.XLOOKUP(_xlfn.TEXTJOIN(,,D441:O441),Aux!$B$3:$B$4098,'Truth Table'!$N$3:$N$4098),P441)</f>
        <v>1</v>
      </c>
      <c r="Q442" s="4" t="b" cm="1">
        <f t="array" ref="Q442:U442">IFERROR(_xlfn.XLOOKUP(_xlfn.TEXTJOIN(,,D442:O442),Aux!$B$3:$B$4098,'Truth Table'!$O$3:$S$4098)=1,FALSE)</f>
        <v>1</v>
      </c>
      <c r="R442" s="4" t="b">
        <v>0</v>
      </c>
      <c r="S442" s="4" t="b">
        <v>0</v>
      </c>
      <c r="T442" s="4" t="b">
        <v>0</v>
      </c>
      <c r="U442" s="4" t="b">
        <v>0</v>
      </c>
      <c r="V442" s="4" t="b">
        <f>AND(_xlfn.XLOOKUP(_xlfn.TEXTJOIN(,,D442:O442),Aux!$B$3:$B$4098,'Truth Table'!$T$3:$T$4098)=1,P441&lt;='Line Follower'!$C$7)</f>
        <v>0</v>
      </c>
      <c r="W442" s="4" t="b">
        <f>AND(_xlfn.XLOOKUP(_xlfn.TEXTJOIN(,,D442:O442),Aux!$B$3:$B$4098,'Truth Table'!$U$3:$U$4098)=1,P441&gt;='Line Follower'!$C$6)</f>
        <v>0</v>
      </c>
      <c r="X442" s="4" t="b">
        <f>IFERROR(AND(_xlfn.XLOOKUP(_xlfn.TEXTJOIN(,,D442:O442),Aux!$B$3:$B$4098,'Truth Table'!$V$3:$V$4098)=1,ABS(P441)&lt;='Line Follower'!$C$6),FALSE)</f>
        <v>0</v>
      </c>
      <c r="Y442" s="4" t="b">
        <f t="shared" si="6"/>
        <v>1</v>
      </c>
    </row>
    <row r="443" spans="2:25" x14ac:dyDescent="0.25">
      <c r="B443" s="4">
        <v>440</v>
      </c>
      <c r="C443" s="4">
        <v>3451</v>
      </c>
      <c r="D443" s="4">
        <v>0</v>
      </c>
      <c r="E443" s="4">
        <v>0</v>
      </c>
      <c r="F443" s="4">
        <v>0</v>
      </c>
      <c r="G443" s="4">
        <v>0</v>
      </c>
      <c r="H443" s="4">
        <v>0</v>
      </c>
      <c r="I443" s="4">
        <v>1</v>
      </c>
      <c r="J443" s="4">
        <v>1</v>
      </c>
      <c r="K443" s="4">
        <v>0</v>
      </c>
      <c r="L443" s="4">
        <v>0</v>
      </c>
      <c r="M443" s="4">
        <v>0</v>
      </c>
      <c r="N443" s="4">
        <v>0</v>
      </c>
      <c r="O443" s="4">
        <v>1</v>
      </c>
      <c r="P443" s="51">
        <f>IFERROR(_xlfn.XLOOKUP(_xlfn.TEXTJOIN(,,D442:O442),Aux!$B$3:$B$4098,'Truth Table'!$N$3:$N$4098),P442)</f>
        <v>1</v>
      </c>
      <c r="Q443" s="4" t="b" cm="1">
        <f t="array" ref="Q443:U443">IFERROR(_xlfn.XLOOKUP(_xlfn.TEXTJOIN(,,D443:O443),Aux!$B$3:$B$4098,'Truth Table'!$O$3:$S$4098)=1,FALSE)</f>
        <v>1</v>
      </c>
      <c r="R443" s="4" t="b">
        <v>0</v>
      </c>
      <c r="S443" s="4" t="b">
        <v>0</v>
      </c>
      <c r="T443" s="4" t="b">
        <v>0</v>
      </c>
      <c r="U443" s="4" t="b">
        <v>0</v>
      </c>
      <c r="V443" s="4" t="b">
        <f>AND(_xlfn.XLOOKUP(_xlfn.TEXTJOIN(,,D443:O443),Aux!$B$3:$B$4098,'Truth Table'!$T$3:$T$4098)=1,P442&lt;='Line Follower'!$C$7)</f>
        <v>0</v>
      </c>
      <c r="W443" s="4" t="b">
        <f>AND(_xlfn.XLOOKUP(_xlfn.TEXTJOIN(,,D443:O443),Aux!$B$3:$B$4098,'Truth Table'!$U$3:$U$4098)=1,P442&gt;='Line Follower'!$C$6)</f>
        <v>0</v>
      </c>
      <c r="X443" s="4" t="b">
        <f>IFERROR(AND(_xlfn.XLOOKUP(_xlfn.TEXTJOIN(,,D443:O443),Aux!$B$3:$B$4098,'Truth Table'!$V$3:$V$4098)=1,ABS(P442)&lt;='Line Follower'!$C$6),FALSE)</f>
        <v>0</v>
      </c>
      <c r="Y443" s="4" t="b">
        <f t="shared" si="6"/>
        <v>1</v>
      </c>
    </row>
    <row r="444" spans="2:25" x14ac:dyDescent="0.25">
      <c r="B444" s="4">
        <v>441</v>
      </c>
      <c r="C444" s="4">
        <v>3459</v>
      </c>
      <c r="D444" s="4">
        <v>0</v>
      </c>
      <c r="E444" s="4">
        <v>0</v>
      </c>
      <c r="F444" s="4">
        <v>0</v>
      </c>
      <c r="G444" s="4">
        <v>0</v>
      </c>
      <c r="H444" s="4">
        <v>0</v>
      </c>
      <c r="I444" s="4">
        <v>1</v>
      </c>
      <c r="J444" s="4">
        <v>1</v>
      </c>
      <c r="K444" s="4">
        <v>0</v>
      </c>
      <c r="L444" s="4">
        <v>0</v>
      </c>
      <c r="M444" s="4">
        <v>0</v>
      </c>
      <c r="N444" s="4">
        <v>0</v>
      </c>
      <c r="O444" s="4">
        <v>1</v>
      </c>
      <c r="P444" s="51">
        <f>IFERROR(_xlfn.XLOOKUP(_xlfn.TEXTJOIN(,,D443:O443),Aux!$B$3:$B$4098,'Truth Table'!$N$3:$N$4098),P443)</f>
        <v>1</v>
      </c>
      <c r="Q444" s="4" t="b" cm="1">
        <f t="array" ref="Q444:U444">IFERROR(_xlfn.XLOOKUP(_xlfn.TEXTJOIN(,,D444:O444),Aux!$B$3:$B$4098,'Truth Table'!$O$3:$S$4098)=1,FALSE)</f>
        <v>1</v>
      </c>
      <c r="R444" s="4" t="b">
        <v>0</v>
      </c>
      <c r="S444" s="4" t="b">
        <v>0</v>
      </c>
      <c r="T444" s="4" t="b">
        <v>0</v>
      </c>
      <c r="U444" s="4" t="b">
        <v>0</v>
      </c>
      <c r="V444" s="4" t="b">
        <f>AND(_xlfn.XLOOKUP(_xlfn.TEXTJOIN(,,D444:O444),Aux!$B$3:$B$4098,'Truth Table'!$T$3:$T$4098)=1,P443&lt;='Line Follower'!$C$7)</f>
        <v>0</v>
      </c>
      <c r="W444" s="4" t="b">
        <f>AND(_xlfn.XLOOKUP(_xlfn.TEXTJOIN(,,D444:O444),Aux!$B$3:$B$4098,'Truth Table'!$U$3:$U$4098)=1,P443&gt;='Line Follower'!$C$6)</f>
        <v>0</v>
      </c>
      <c r="X444" s="4" t="b">
        <f>IFERROR(AND(_xlfn.XLOOKUP(_xlfn.TEXTJOIN(,,D444:O444),Aux!$B$3:$B$4098,'Truth Table'!$V$3:$V$4098)=1,ABS(P443)&lt;='Line Follower'!$C$6),FALSE)</f>
        <v>0</v>
      </c>
      <c r="Y444" s="4" t="b">
        <f t="shared" si="6"/>
        <v>1</v>
      </c>
    </row>
    <row r="445" spans="2:25" x14ac:dyDescent="0.25">
      <c r="B445" s="4">
        <v>442</v>
      </c>
      <c r="C445" s="4">
        <v>3473</v>
      </c>
      <c r="D445" s="4">
        <v>0</v>
      </c>
      <c r="E445" s="4">
        <v>0</v>
      </c>
      <c r="F445" s="4">
        <v>0</v>
      </c>
      <c r="G445" s="4">
        <v>0</v>
      </c>
      <c r="H445" s="4">
        <v>0</v>
      </c>
      <c r="I445" s="4">
        <v>1</v>
      </c>
      <c r="J445" s="4">
        <v>1</v>
      </c>
      <c r="K445" s="4">
        <v>0</v>
      </c>
      <c r="L445" s="4">
        <v>0</v>
      </c>
      <c r="M445" s="4">
        <v>0</v>
      </c>
      <c r="N445" s="4">
        <v>0</v>
      </c>
      <c r="O445" s="4">
        <v>1</v>
      </c>
      <c r="P445" s="51">
        <f>IFERROR(_xlfn.XLOOKUP(_xlfn.TEXTJOIN(,,D444:O444),Aux!$B$3:$B$4098,'Truth Table'!$N$3:$N$4098),P444)</f>
        <v>1</v>
      </c>
      <c r="Q445" s="4" t="b" cm="1">
        <f t="array" ref="Q445:U445">IFERROR(_xlfn.XLOOKUP(_xlfn.TEXTJOIN(,,D445:O445),Aux!$B$3:$B$4098,'Truth Table'!$O$3:$S$4098)=1,FALSE)</f>
        <v>1</v>
      </c>
      <c r="R445" s="4" t="b">
        <v>0</v>
      </c>
      <c r="S445" s="4" t="b">
        <v>0</v>
      </c>
      <c r="T445" s="4" t="b">
        <v>0</v>
      </c>
      <c r="U445" s="4" t="b">
        <v>0</v>
      </c>
      <c r="V445" s="4" t="b">
        <f>AND(_xlfn.XLOOKUP(_xlfn.TEXTJOIN(,,D445:O445),Aux!$B$3:$B$4098,'Truth Table'!$T$3:$T$4098)=1,P444&lt;='Line Follower'!$C$7)</f>
        <v>0</v>
      </c>
      <c r="W445" s="4" t="b">
        <f>AND(_xlfn.XLOOKUP(_xlfn.TEXTJOIN(,,D445:O445),Aux!$B$3:$B$4098,'Truth Table'!$U$3:$U$4098)=1,P444&gt;='Line Follower'!$C$6)</f>
        <v>0</v>
      </c>
      <c r="X445" s="4" t="b">
        <f>IFERROR(AND(_xlfn.XLOOKUP(_xlfn.TEXTJOIN(,,D445:O445),Aux!$B$3:$B$4098,'Truth Table'!$V$3:$V$4098)=1,ABS(P444)&lt;='Line Follower'!$C$6),FALSE)</f>
        <v>0</v>
      </c>
      <c r="Y445" s="4" t="b">
        <f t="shared" si="6"/>
        <v>1</v>
      </c>
    </row>
    <row r="446" spans="2:25" x14ac:dyDescent="0.25">
      <c r="B446" s="4">
        <v>443</v>
      </c>
      <c r="C446" s="4">
        <v>3483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1</v>
      </c>
      <c r="J446" s="4">
        <v>1</v>
      </c>
      <c r="K446" s="4">
        <v>0</v>
      </c>
      <c r="L446" s="4">
        <v>0</v>
      </c>
      <c r="M446" s="4">
        <v>0</v>
      </c>
      <c r="N446" s="4">
        <v>0</v>
      </c>
      <c r="O446" s="4">
        <v>1</v>
      </c>
      <c r="P446" s="51">
        <f>IFERROR(_xlfn.XLOOKUP(_xlfn.TEXTJOIN(,,D445:O445),Aux!$B$3:$B$4098,'Truth Table'!$N$3:$N$4098),P445)</f>
        <v>1</v>
      </c>
      <c r="Q446" s="4" t="b" cm="1">
        <f t="array" ref="Q446:U446">IFERROR(_xlfn.XLOOKUP(_xlfn.TEXTJOIN(,,D446:O446),Aux!$B$3:$B$4098,'Truth Table'!$O$3:$S$4098)=1,FALSE)</f>
        <v>1</v>
      </c>
      <c r="R446" s="4" t="b">
        <v>0</v>
      </c>
      <c r="S446" s="4" t="b">
        <v>0</v>
      </c>
      <c r="T446" s="4" t="b">
        <v>0</v>
      </c>
      <c r="U446" s="4" t="b">
        <v>0</v>
      </c>
      <c r="V446" s="4" t="b">
        <f>AND(_xlfn.XLOOKUP(_xlfn.TEXTJOIN(,,D446:O446),Aux!$B$3:$B$4098,'Truth Table'!$T$3:$T$4098)=1,P445&lt;='Line Follower'!$C$7)</f>
        <v>0</v>
      </c>
      <c r="W446" s="4" t="b">
        <f>AND(_xlfn.XLOOKUP(_xlfn.TEXTJOIN(,,D446:O446),Aux!$B$3:$B$4098,'Truth Table'!$U$3:$U$4098)=1,P445&gt;='Line Follower'!$C$6)</f>
        <v>0</v>
      </c>
      <c r="X446" s="4" t="b">
        <f>IFERROR(AND(_xlfn.XLOOKUP(_xlfn.TEXTJOIN(,,D446:O446),Aux!$B$3:$B$4098,'Truth Table'!$V$3:$V$4098)=1,ABS(P445)&lt;='Line Follower'!$C$6),FALSE)</f>
        <v>0</v>
      </c>
      <c r="Y446" s="4" t="b">
        <f t="shared" si="6"/>
        <v>1</v>
      </c>
    </row>
    <row r="447" spans="2:25" x14ac:dyDescent="0.25">
      <c r="B447" s="4">
        <v>444</v>
      </c>
      <c r="C447" s="4">
        <v>3489</v>
      </c>
      <c r="D447" s="4">
        <v>0</v>
      </c>
      <c r="E447" s="4">
        <v>0</v>
      </c>
      <c r="F447" s="4">
        <v>0</v>
      </c>
      <c r="G447" s="4">
        <v>0</v>
      </c>
      <c r="H447" s="4">
        <v>0</v>
      </c>
      <c r="I447" s="4">
        <v>1</v>
      </c>
      <c r="J447" s="4">
        <v>1</v>
      </c>
      <c r="K447" s="4">
        <v>0</v>
      </c>
      <c r="L447" s="4">
        <v>0</v>
      </c>
      <c r="M447" s="4">
        <v>0</v>
      </c>
      <c r="N447" s="4">
        <v>0</v>
      </c>
      <c r="O447" s="4">
        <v>1</v>
      </c>
      <c r="P447" s="51">
        <f>IFERROR(_xlfn.XLOOKUP(_xlfn.TEXTJOIN(,,D446:O446),Aux!$B$3:$B$4098,'Truth Table'!$N$3:$N$4098),P446)</f>
        <v>1</v>
      </c>
      <c r="Q447" s="4" t="b" cm="1">
        <f t="array" ref="Q447:U447">IFERROR(_xlfn.XLOOKUP(_xlfn.TEXTJOIN(,,D447:O447),Aux!$B$3:$B$4098,'Truth Table'!$O$3:$S$4098)=1,FALSE)</f>
        <v>1</v>
      </c>
      <c r="R447" s="4" t="b">
        <v>0</v>
      </c>
      <c r="S447" s="4" t="b">
        <v>0</v>
      </c>
      <c r="T447" s="4" t="b">
        <v>0</v>
      </c>
      <c r="U447" s="4" t="b">
        <v>0</v>
      </c>
      <c r="V447" s="4" t="b">
        <f>AND(_xlfn.XLOOKUP(_xlfn.TEXTJOIN(,,D447:O447),Aux!$B$3:$B$4098,'Truth Table'!$T$3:$T$4098)=1,P446&lt;='Line Follower'!$C$7)</f>
        <v>0</v>
      </c>
      <c r="W447" s="4" t="b">
        <f>AND(_xlfn.XLOOKUP(_xlfn.TEXTJOIN(,,D447:O447),Aux!$B$3:$B$4098,'Truth Table'!$U$3:$U$4098)=1,P446&gt;='Line Follower'!$C$6)</f>
        <v>0</v>
      </c>
      <c r="X447" s="4" t="b">
        <f>IFERROR(AND(_xlfn.XLOOKUP(_xlfn.TEXTJOIN(,,D447:O447),Aux!$B$3:$B$4098,'Truth Table'!$V$3:$V$4098)=1,ABS(P446)&lt;='Line Follower'!$C$6),FALSE)</f>
        <v>0</v>
      </c>
      <c r="Y447" s="4" t="b">
        <f t="shared" si="6"/>
        <v>1</v>
      </c>
    </row>
    <row r="448" spans="2:25" x14ac:dyDescent="0.25">
      <c r="B448" s="4">
        <v>445</v>
      </c>
      <c r="C448" s="4">
        <v>3503</v>
      </c>
      <c r="D448" s="4">
        <v>0</v>
      </c>
      <c r="E448" s="4">
        <v>0</v>
      </c>
      <c r="F448" s="4">
        <v>0</v>
      </c>
      <c r="G448" s="4">
        <v>0</v>
      </c>
      <c r="H448" s="4">
        <v>0</v>
      </c>
      <c r="I448" s="4">
        <v>1</v>
      </c>
      <c r="J448" s="4">
        <v>1</v>
      </c>
      <c r="K448" s="4">
        <v>0</v>
      </c>
      <c r="L448" s="4">
        <v>0</v>
      </c>
      <c r="M448" s="4">
        <v>0</v>
      </c>
      <c r="N448" s="4">
        <v>0</v>
      </c>
      <c r="O448" s="4">
        <v>1</v>
      </c>
      <c r="P448" s="51">
        <f>IFERROR(_xlfn.XLOOKUP(_xlfn.TEXTJOIN(,,D447:O447),Aux!$B$3:$B$4098,'Truth Table'!$N$3:$N$4098),P447)</f>
        <v>1</v>
      </c>
      <c r="Q448" s="4" t="b" cm="1">
        <f t="array" ref="Q448:U448">IFERROR(_xlfn.XLOOKUP(_xlfn.TEXTJOIN(,,D448:O448),Aux!$B$3:$B$4098,'Truth Table'!$O$3:$S$4098)=1,FALSE)</f>
        <v>1</v>
      </c>
      <c r="R448" s="4" t="b">
        <v>0</v>
      </c>
      <c r="S448" s="4" t="b">
        <v>0</v>
      </c>
      <c r="T448" s="4" t="b">
        <v>0</v>
      </c>
      <c r="U448" s="4" t="b">
        <v>0</v>
      </c>
      <c r="V448" s="4" t="b">
        <f>AND(_xlfn.XLOOKUP(_xlfn.TEXTJOIN(,,D448:O448),Aux!$B$3:$B$4098,'Truth Table'!$T$3:$T$4098)=1,P447&lt;='Line Follower'!$C$7)</f>
        <v>0</v>
      </c>
      <c r="W448" s="4" t="b">
        <f>AND(_xlfn.XLOOKUP(_xlfn.TEXTJOIN(,,D448:O448),Aux!$B$3:$B$4098,'Truth Table'!$U$3:$U$4098)=1,P447&gt;='Line Follower'!$C$6)</f>
        <v>0</v>
      </c>
      <c r="X448" s="4" t="b">
        <f>IFERROR(AND(_xlfn.XLOOKUP(_xlfn.TEXTJOIN(,,D448:O448),Aux!$B$3:$B$4098,'Truth Table'!$V$3:$V$4098)=1,ABS(P447)&lt;='Line Follower'!$C$6),FALSE)</f>
        <v>0</v>
      </c>
      <c r="Y448" s="4" t="b">
        <f t="shared" si="6"/>
        <v>1</v>
      </c>
    </row>
    <row r="449" spans="2:25" x14ac:dyDescent="0.25">
      <c r="B449" s="4">
        <v>446</v>
      </c>
      <c r="C449" s="4">
        <v>3512</v>
      </c>
      <c r="D449" s="4">
        <v>0</v>
      </c>
      <c r="E449" s="4">
        <v>0</v>
      </c>
      <c r="F449" s="4">
        <v>0</v>
      </c>
      <c r="G449" s="4">
        <v>0</v>
      </c>
      <c r="H449" s="4">
        <v>0</v>
      </c>
      <c r="I449" s="4">
        <v>1</v>
      </c>
      <c r="J449" s="4">
        <v>1</v>
      </c>
      <c r="K449" s="4">
        <v>0</v>
      </c>
      <c r="L449" s="4">
        <v>0</v>
      </c>
      <c r="M449" s="4">
        <v>0</v>
      </c>
      <c r="N449" s="4">
        <v>0</v>
      </c>
      <c r="O449" s="4">
        <v>1</v>
      </c>
      <c r="P449" s="51">
        <f>IFERROR(_xlfn.XLOOKUP(_xlfn.TEXTJOIN(,,D448:O448),Aux!$B$3:$B$4098,'Truth Table'!$N$3:$N$4098),P448)</f>
        <v>1</v>
      </c>
      <c r="Q449" s="4" t="b" cm="1">
        <f t="array" ref="Q449:U449">IFERROR(_xlfn.XLOOKUP(_xlfn.TEXTJOIN(,,D449:O449),Aux!$B$3:$B$4098,'Truth Table'!$O$3:$S$4098)=1,FALSE)</f>
        <v>1</v>
      </c>
      <c r="R449" s="4" t="b">
        <v>0</v>
      </c>
      <c r="S449" s="4" t="b">
        <v>0</v>
      </c>
      <c r="T449" s="4" t="b">
        <v>0</v>
      </c>
      <c r="U449" s="4" t="b">
        <v>0</v>
      </c>
      <c r="V449" s="4" t="b">
        <f>AND(_xlfn.XLOOKUP(_xlfn.TEXTJOIN(,,D449:O449),Aux!$B$3:$B$4098,'Truth Table'!$T$3:$T$4098)=1,P448&lt;='Line Follower'!$C$7)</f>
        <v>0</v>
      </c>
      <c r="W449" s="4" t="b">
        <f>AND(_xlfn.XLOOKUP(_xlfn.TEXTJOIN(,,D449:O449),Aux!$B$3:$B$4098,'Truth Table'!$U$3:$U$4098)=1,P448&gt;='Line Follower'!$C$6)</f>
        <v>0</v>
      </c>
      <c r="X449" s="4" t="b">
        <f>IFERROR(AND(_xlfn.XLOOKUP(_xlfn.TEXTJOIN(,,D449:O449),Aux!$B$3:$B$4098,'Truth Table'!$V$3:$V$4098)=1,ABS(P448)&lt;='Line Follower'!$C$6),FALSE)</f>
        <v>0</v>
      </c>
      <c r="Y449" s="4" t="b">
        <f t="shared" si="6"/>
        <v>1</v>
      </c>
    </row>
    <row r="450" spans="2:25" x14ac:dyDescent="0.25">
      <c r="B450" s="4">
        <v>447</v>
      </c>
      <c r="C450" s="4">
        <v>3526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4">
        <v>1</v>
      </c>
      <c r="J450" s="4">
        <v>1</v>
      </c>
      <c r="K450" s="4">
        <v>0</v>
      </c>
      <c r="L450" s="4">
        <v>0</v>
      </c>
      <c r="M450" s="4">
        <v>0</v>
      </c>
      <c r="N450" s="4">
        <v>0</v>
      </c>
      <c r="O450" s="4">
        <v>1</v>
      </c>
      <c r="P450" s="51">
        <f>IFERROR(_xlfn.XLOOKUP(_xlfn.TEXTJOIN(,,D449:O449),Aux!$B$3:$B$4098,'Truth Table'!$N$3:$N$4098),P449)</f>
        <v>1</v>
      </c>
      <c r="Q450" s="4" t="b" cm="1">
        <f t="array" ref="Q450:U450">IFERROR(_xlfn.XLOOKUP(_xlfn.TEXTJOIN(,,D450:O450),Aux!$B$3:$B$4098,'Truth Table'!$O$3:$S$4098)=1,FALSE)</f>
        <v>1</v>
      </c>
      <c r="R450" s="4" t="b">
        <v>0</v>
      </c>
      <c r="S450" s="4" t="b">
        <v>0</v>
      </c>
      <c r="T450" s="4" t="b">
        <v>0</v>
      </c>
      <c r="U450" s="4" t="b">
        <v>0</v>
      </c>
      <c r="V450" s="4" t="b">
        <f>AND(_xlfn.XLOOKUP(_xlfn.TEXTJOIN(,,D450:O450),Aux!$B$3:$B$4098,'Truth Table'!$T$3:$T$4098)=1,P449&lt;='Line Follower'!$C$7)</f>
        <v>0</v>
      </c>
      <c r="W450" s="4" t="b">
        <f>AND(_xlfn.XLOOKUP(_xlfn.TEXTJOIN(,,D450:O450),Aux!$B$3:$B$4098,'Truth Table'!$U$3:$U$4098)=1,P449&gt;='Line Follower'!$C$6)</f>
        <v>0</v>
      </c>
      <c r="X450" s="4" t="b">
        <f>IFERROR(AND(_xlfn.XLOOKUP(_xlfn.TEXTJOIN(,,D450:O450),Aux!$B$3:$B$4098,'Truth Table'!$V$3:$V$4098)=1,ABS(P449)&lt;='Line Follower'!$C$6),FALSE)</f>
        <v>0</v>
      </c>
      <c r="Y450" s="4" t="b">
        <f t="shared" si="6"/>
        <v>1</v>
      </c>
    </row>
    <row r="451" spans="2:25" x14ac:dyDescent="0.25">
      <c r="B451" s="4">
        <v>448</v>
      </c>
      <c r="C451" s="4">
        <v>3532</v>
      </c>
      <c r="D451" s="4">
        <v>0</v>
      </c>
      <c r="E451" s="4">
        <v>0</v>
      </c>
      <c r="F451" s="4">
        <v>0</v>
      </c>
      <c r="G451" s="4">
        <v>0</v>
      </c>
      <c r="H451" s="4">
        <v>0</v>
      </c>
      <c r="I451" s="4">
        <v>1</v>
      </c>
      <c r="J451" s="4">
        <v>1</v>
      </c>
      <c r="K451" s="4">
        <v>0</v>
      </c>
      <c r="L451" s="4">
        <v>0</v>
      </c>
      <c r="M451" s="4">
        <v>0</v>
      </c>
      <c r="N451" s="4">
        <v>0</v>
      </c>
      <c r="O451" s="4">
        <v>1</v>
      </c>
      <c r="P451" s="51">
        <f>IFERROR(_xlfn.XLOOKUP(_xlfn.TEXTJOIN(,,D450:O450),Aux!$B$3:$B$4098,'Truth Table'!$N$3:$N$4098),P450)</f>
        <v>1</v>
      </c>
      <c r="Q451" s="4" t="b" cm="1">
        <f t="array" ref="Q451:U451">IFERROR(_xlfn.XLOOKUP(_xlfn.TEXTJOIN(,,D451:O451),Aux!$B$3:$B$4098,'Truth Table'!$O$3:$S$4098)=1,FALSE)</f>
        <v>1</v>
      </c>
      <c r="R451" s="4" t="b">
        <v>0</v>
      </c>
      <c r="S451" s="4" t="b">
        <v>0</v>
      </c>
      <c r="T451" s="4" t="b">
        <v>0</v>
      </c>
      <c r="U451" s="4" t="b">
        <v>0</v>
      </c>
      <c r="V451" s="4" t="b">
        <f>AND(_xlfn.XLOOKUP(_xlfn.TEXTJOIN(,,D451:O451),Aux!$B$3:$B$4098,'Truth Table'!$T$3:$T$4098)=1,P450&lt;='Line Follower'!$C$7)</f>
        <v>0</v>
      </c>
      <c r="W451" s="4" t="b">
        <f>AND(_xlfn.XLOOKUP(_xlfn.TEXTJOIN(,,D451:O451),Aux!$B$3:$B$4098,'Truth Table'!$U$3:$U$4098)=1,P450&gt;='Line Follower'!$C$6)</f>
        <v>0</v>
      </c>
      <c r="X451" s="4" t="b">
        <f>IFERROR(AND(_xlfn.XLOOKUP(_xlfn.TEXTJOIN(,,D451:O451),Aux!$B$3:$B$4098,'Truth Table'!$V$3:$V$4098)=1,ABS(P450)&lt;='Line Follower'!$C$6),FALSE)</f>
        <v>0</v>
      </c>
      <c r="Y451" s="4" t="b">
        <f t="shared" si="6"/>
        <v>1</v>
      </c>
    </row>
    <row r="452" spans="2:25" x14ac:dyDescent="0.25">
      <c r="B452" s="4">
        <v>449</v>
      </c>
      <c r="C452" s="4">
        <v>3533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1</v>
      </c>
      <c r="J452" s="4">
        <v>1</v>
      </c>
      <c r="K452" s="4">
        <v>0</v>
      </c>
      <c r="L452" s="4">
        <v>0</v>
      </c>
      <c r="M452" s="4">
        <v>0</v>
      </c>
      <c r="N452" s="4">
        <v>0</v>
      </c>
      <c r="O452" s="4">
        <v>1</v>
      </c>
      <c r="P452" s="51">
        <f>IFERROR(_xlfn.XLOOKUP(_xlfn.TEXTJOIN(,,D451:O451),Aux!$B$3:$B$4098,'Truth Table'!$N$3:$N$4098),P451)</f>
        <v>1</v>
      </c>
      <c r="Q452" s="4" t="b" cm="1">
        <f t="array" ref="Q452:U452">IFERROR(_xlfn.XLOOKUP(_xlfn.TEXTJOIN(,,D452:O452),Aux!$B$3:$B$4098,'Truth Table'!$O$3:$S$4098)=1,FALSE)</f>
        <v>1</v>
      </c>
      <c r="R452" s="4" t="b">
        <v>0</v>
      </c>
      <c r="S452" s="4" t="b">
        <v>0</v>
      </c>
      <c r="T452" s="4" t="b">
        <v>0</v>
      </c>
      <c r="U452" s="4" t="b">
        <v>0</v>
      </c>
      <c r="V452" s="4" t="b">
        <f>AND(_xlfn.XLOOKUP(_xlfn.TEXTJOIN(,,D452:O452),Aux!$B$3:$B$4098,'Truth Table'!$T$3:$T$4098)=1,P451&lt;='Line Follower'!$C$7)</f>
        <v>0</v>
      </c>
      <c r="W452" s="4" t="b">
        <f>AND(_xlfn.XLOOKUP(_xlfn.TEXTJOIN(,,D452:O452),Aux!$B$3:$B$4098,'Truth Table'!$U$3:$U$4098)=1,P451&gt;='Line Follower'!$C$6)</f>
        <v>0</v>
      </c>
      <c r="X452" s="4" t="b">
        <f>IFERROR(AND(_xlfn.XLOOKUP(_xlfn.TEXTJOIN(,,D452:O452),Aux!$B$3:$B$4098,'Truth Table'!$V$3:$V$4098)=1,ABS(P451)&lt;='Line Follower'!$C$6),FALSE)</f>
        <v>0</v>
      </c>
      <c r="Y452" s="4" t="b">
        <f t="shared" ref="Y452:Y515" si="7">OR(Q452:X452)</f>
        <v>1</v>
      </c>
    </row>
    <row r="453" spans="2:25" x14ac:dyDescent="0.25">
      <c r="B453" s="4">
        <v>450</v>
      </c>
      <c r="C453" s="4">
        <v>3546</v>
      </c>
      <c r="D453" s="4">
        <v>0</v>
      </c>
      <c r="E453" s="4">
        <v>0</v>
      </c>
      <c r="F453" s="4">
        <v>0</v>
      </c>
      <c r="G453" s="4">
        <v>0</v>
      </c>
      <c r="H453" s="4">
        <v>0</v>
      </c>
      <c r="I453" s="4">
        <v>1</v>
      </c>
      <c r="J453" s="4">
        <v>1</v>
      </c>
      <c r="K453" s="4">
        <v>0</v>
      </c>
      <c r="L453" s="4">
        <v>0</v>
      </c>
      <c r="M453" s="4">
        <v>0</v>
      </c>
      <c r="N453" s="4">
        <v>0</v>
      </c>
      <c r="O453" s="4">
        <v>1</v>
      </c>
      <c r="P453" s="51">
        <f>IFERROR(_xlfn.XLOOKUP(_xlfn.TEXTJOIN(,,D452:O452),Aux!$B$3:$B$4098,'Truth Table'!$N$3:$N$4098),P452)</f>
        <v>1</v>
      </c>
      <c r="Q453" s="4" t="b" cm="1">
        <f t="array" ref="Q453:U453">IFERROR(_xlfn.XLOOKUP(_xlfn.TEXTJOIN(,,D453:O453),Aux!$B$3:$B$4098,'Truth Table'!$O$3:$S$4098)=1,FALSE)</f>
        <v>1</v>
      </c>
      <c r="R453" s="4" t="b">
        <v>0</v>
      </c>
      <c r="S453" s="4" t="b">
        <v>0</v>
      </c>
      <c r="T453" s="4" t="b">
        <v>0</v>
      </c>
      <c r="U453" s="4" t="b">
        <v>0</v>
      </c>
      <c r="V453" s="4" t="b">
        <f>AND(_xlfn.XLOOKUP(_xlfn.TEXTJOIN(,,D453:O453),Aux!$B$3:$B$4098,'Truth Table'!$T$3:$T$4098)=1,P452&lt;='Line Follower'!$C$7)</f>
        <v>0</v>
      </c>
      <c r="W453" s="4" t="b">
        <f>AND(_xlfn.XLOOKUP(_xlfn.TEXTJOIN(,,D453:O453),Aux!$B$3:$B$4098,'Truth Table'!$U$3:$U$4098)=1,P452&gt;='Line Follower'!$C$6)</f>
        <v>0</v>
      </c>
      <c r="X453" s="4" t="b">
        <f>IFERROR(AND(_xlfn.XLOOKUP(_xlfn.TEXTJOIN(,,D453:O453),Aux!$B$3:$B$4098,'Truth Table'!$V$3:$V$4098)=1,ABS(P452)&lt;='Line Follower'!$C$6),FALSE)</f>
        <v>0</v>
      </c>
      <c r="Y453" s="4" t="b">
        <f t="shared" si="7"/>
        <v>1</v>
      </c>
    </row>
    <row r="454" spans="2:25" x14ac:dyDescent="0.25">
      <c r="B454" s="4">
        <v>451</v>
      </c>
      <c r="C454" s="4">
        <v>3552</v>
      </c>
      <c r="D454" s="4">
        <v>0</v>
      </c>
      <c r="E454" s="4">
        <v>0</v>
      </c>
      <c r="F454" s="4">
        <v>0</v>
      </c>
      <c r="G454" s="4">
        <v>0</v>
      </c>
      <c r="H454" s="4">
        <v>0</v>
      </c>
      <c r="I454" s="4">
        <v>1</v>
      </c>
      <c r="J454" s="4">
        <v>1</v>
      </c>
      <c r="K454" s="4">
        <v>0</v>
      </c>
      <c r="L454" s="4">
        <v>0</v>
      </c>
      <c r="M454" s="4">
        <v>0</v>
      </c>
      <c r="N454" s="4">
        <v>0</v>
      </c>
      <c r="O454" s="4">
        <v>1</v>
      </c>
      <c r="P454" s="51">
        <f>IFERROR(_xlfn.XLOOKUP(_xlfn.TEXTJOIN(,,D453:O453),Aux!$B$3:$B$4098,'Truth Table'!$N$3:$N$4098),P453)</f>
        <v>1</v>
      </c>
      <c r="Q454" s="4" t="b" cm="1">
        <f t="array" ref="Q454:U454">IFERROR(_xlfn.XLOOKUP(_xlfn.TEXTJOIN(,,D454:O454),Aux!$B$3:$B$4098,'Truth Table'!$O$3:$S$4098)=1,FALSE)</f>
        <v>1</v>
      </c>
      <c r="R454" s="4" t="b">
        <v>0</v>
      </c>
      <c r="S454" s="4" t="b">
        <v>0</v>
      </c>
      <c r="T454" s="4" t="b">
        <v>0</v>
      </c>
      <c r="U454" s="4" t="b">
        <v>0</v>
      </c>
      <c r="V454" s="4" t="b">
        <f>AND(_xlfn.XLOOKUP(_xlfn.TEXTJOIN(,,D454:O454),Aux!$B$3:$B$4098,'Truth Table'!$T$3:$T$4098)=1,P453&lt;='Line Follower'!$C$7)</f>
        <v>0</v>
      </c>
      <c r="W454" s="4" t="b">
        <f>AND(_xlfn.XLOOKUP(_xlfn.TEXTJOIN(,,D454:O454),Aux!$B$3:$B$4098,'Truth Table'!$U$3:$U$4098)=1,P453&gt;='Line Follower'!$C$6)</f>
        <v>0</v>
      </c>
      <c r="X454" s="4" t="b">
        <f>IFERROR(AND(_xlfn.XLOOKUP(_xlfn.TEXTJOIN(,,D454:O454),Aux!$B$3:$B$4098,'Truth Table'!$V$3:$V$4098)=1,ABS(P453)&lt;='Line Follower'!$C$6),FALSE)</f>
        <v>0</v>
      </c>
      <c r="Y454" s="4" t="b">
        <f t="shared" si="7"/>
        <v>1</v>
      </c>
    </row>
    <row r="455" spans="2:25" x14ac:dyDescent="0.25">
      <c r="B455" s="4">
        <v>452</v>
      </c>
      <c r="C455" s="4">
        <v>3566</v>
      </c>
      <c r="D455" s="4">
        <v>0</v>
      </c>
      <c r="E455" s="4">
        <v>0</v>
      </c>
      <c r="F455" s="4">
        <v>0</v>
      </c>
      <c r="G455" s="4">
        <v>0</v>
      </c>
      <c r="H455" s="4">
        <v>0</v>
      </c>
      <c r="I455" s="4">
        <v>1</v>
      </c>
      <c r="J455" s="4">
        <v>1</v>
      </c>
      <c r="K455" s="4">
        <v>0</v>
      </c>
      <c r="L455" s="4">
        <v>0</v>
      </c>
      <c r="M455" s="4">
        <v>0</v>
      </c>
      <c r="N455" s="4">
        <v>0</v>
      </c>
      <c r="O455" s="4">
        <v>1</v>
      </c>
      <c r="P455" s="51">
        <f>IFERROR(_xlfn.XLOOKUP(_xlfn.TEXTJOIN(,,D454:O454),Aux!$B$3:$B$4098,'Truth Table'!$N$3:$N$4098),P454)</f>
        <v>1</v>
      </c>
      <c r="Q455" s="4" t="b" cm="1">
        <f t="array" ref="Q455:U455">IFERROR(_xlfn.XLOOKUP(_xlfn.TEXTJOIN(,,D455:O455),Aux!$B$3:$B$4098,'Truth Table'!$O$3:$S$4098)=1,FALSE)</f>
        <v>1</v>
      </c>
      <c r="R455" s="4" t="b">
        <v>0</v>
      </c>
      <c r="S455" s="4" t="b">
        <v>0</v>
      </c>
      <c r="T455" s="4" t="b">
        <v>0</v>
      </c>
      <c r="U455" s="4" t="b">
        <v>0</v>
      </c>
      <c r="V455" s="4" t="b">
        <f>AND(_xlfn.XLOOKUP(_xlfn.TEXTJOIN(,,D455:O455),Aux!$B$3:$B$4098,'Truth Table'!$T$3:$T$4098)=1,P454&lt;='Line Follower'!$C$7)</f>
        <v>0</v>
      </c>
      <c r="W455" s="4" t="b">
        <f>AND(_xlfn.XLOOKUP(_xlfn.TEXTJOIN(,,D455:O455),Aux!$B$3:$B$4098,'Truth Table'!$U$3:$U$4098)=1,P454&gt;='Line Follower'!$C$6)</f>
        <v>0</v>
      </c>
      <c r="X455" s="4" t="b">
        <f>IFERROR(AND(_xlfn.XLOOKUP(_xlfn.TEXTJOIN(,,D455:O455),Aux!$B$3:$B$4098,'Truth Table'!$V$3:$V$4098)=1,ABS(P454)&lt;='Line Follower'!$C$6),FALSE)</f>
        <v>0</v>
      </c>
      <c r="Y455" s="4" t="b">
        <f t="shared" si="7"/>
        <v>1</v>
      </c>
    </row>
    <row r="456" spans="2:25" x14ac:dyDescent="0.25">
      <c r="B456" s="4">
        <v>453</v>
      </c>
      <c r="C456" s="4">
        <v>3577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1</v>
      </c>
      <c r="J456" s="4">
        <v>1</v>
      </c>
      <c r="K456" s="4">
        <v>0</v>
      </c>
      <c r="L456" s="4">
        <v>0</v>
      </c>
      <c r="M456" s="4">
        <v>0</v>
      </c>
      <c r="N456" s="4">
        <v>0</v>
      </c>
      <c r="O456" s="4">
        <v>1</v>
      </c>
      <c r="P456" s="51">
        <f>IFERROR(_xlfn.XLOOKUP(_xlfn.TEXTJOIN(,,D455:O455),Aux!$B$3:$B$4098,'Truth Table'!$N$3:$N$4098),P455)</f>
        <v>1</v>
      </c>
      <c r="Q456" s="4" t="b" cm="1">
        <f t="array" ref="Q456:U456">IFERROR(_xlfn.XLOOKUP(_xlfn.TEXTJOIN(,,D456:O456),Aux!$B$3:$B$4098,'Truth Table'!$O$3:$S$4098)=1,FALSE)</f>
        <v>1</v>
      </c>
      <c r="R456" s="4" t="b">
        <v>0</v>
      </c>
      <c r="S456" s="4" t="b">
        <v>0</v>
      </c>
      <c r="T456" s="4" t="b">
        <v>0</v>
      </c>
      <c r="U456" s="4" t="b">
        <v>0</v>
      </c>
      <c r="V456" s="4" t="b">
        <f>AND(_xlfn.XLOOKUP(_xlfn.TEXTJOIN(,,D456:O456),Aux!$B$3:$B$4098,'Truth Table'!$T$3:$T$4098)=1,P455&lt;='Line Follower'!$C$7)</f>
        <v>0</v>
      </c>
      <c r="W456" s="4" t="b">
        <f>AND(_xlfn.XLOOKUP(_xlfn.TEXTJOIN(,,D456:O456),Aux!$B$3:$B$4098,'Truth Table'!$U$3:$U$4098)=1,P455&gt;='Line Follower'!$C$6)</f>
        <v>0</v>
      </c>
      <c r="X456" s="4" t="b">
        <f>IFERROR(AND(_xlfn.XLOOKUP(_xlfn.TEXTJOIN(,,D456:O456),Aux!$B$3:$B$4098,'Truth Table'!$V$3:$V$4098)=1,ABS(P455)&lt;='Line Follower'!$C$6),FALSE)</f>
        <v>0</v>
      </c>
      <c r="Y456" s="4" t="b">
        <f t="shared" si="7"/>
        <v>1</v>
      </c>
    </row>
    <row r="457" spans="2:25" x14ac:dyDescent="0.25">
      <c r="B457" s="4">
        <v>454</v>
      </c>
      <c r="C457" s="4">
        <v>3583</v>
      </c>
      <c r="D457" s="4">
        <v>0</v>
      </c>
      <c r="E457" s="4">
        <v>0</v>
      </c>
      <c r="F457" s="4">
        <v>0</v>
      </c>
      <c r="G457" s="4">
        <v>0</v>
      </c>
      <c r="H457" s="4">
        <v>0</v>
      </c>
      <c r="I457" s="4">
        <v>1</v>
      </c>
      <c r="J457" s="4">
        <v>1</v>
      </c>
      <c r="K457" s="4">
        <v>0</v>
      </c>
      <c r="L457" s="4">
        <v>0</v>
      </c>
      <c r="M457" s="4">
        <v>0</v>
      </c>
      <c r="N457" s="4">
        <v>0</v>
      </c>
      <c r="O457" s="4">
        <v>1</v>
      </c>
      <c r="P457" s="51">
        <f>IFERROR(_xlfn.XLOOKUP(_xlfn.TEXTJOIN(,,D456:O456),Aux!$B$3:$B$4098,'Truth Table'!$N$3:$N$4098),P456)</f>
        <v>1</v>
      </c>
      <c r="Q457" s="4" t="b" cm="1">
        <f t="array" ref="Q457:U457">IFERROR(_xlfn.XLOOKUP(_xlfn.TEXTJOIN(,,D457:O457),Aux!$B$3:$B$4098,'Truth Table'!$O$3:$S$4098)=1,FALSE)</f>
        <v>1</v>
      </c>
      <c r="R457" s="4" t="b">
        <v>0</v>
      </c>
      <c r="S457" s="4" t="b">
        <v>0</v>
      </c>
      <c r="T457" s="4" t="b">
        <v>0</v>
      </c>
      <c r="U457" s="4" t="b">
        <v>0</v>
      </c>
      <c r="V457" s="4" t="b">
        <f>AND(_xlfn.XLOOKUP(_xlfn.TEXTJOIN(,,D457:O457),Aux!$B$3:$B$4098,'Truth Table'!$T$3:$T$4098)=1,P456&lt;='Line Follower'!$C$7)</f>
        <v>0</v>
      </c>
      <c r="W457" s="4" t="b">
        <f>AND(_xlfn.XLOOKUP(_xlfn.TEXTJOIN(,,D457:O457),Aux!$B$3:$B$4098,'Truth Table'!$U$3:$U$4098)=1,P456&gt;='Line Follower'!$C$6)</f>
        <v>0</v>
      </c>
      <c r="X457" s="4" t="b">
        <f>IFERROR(AND(_xlfn.XLOOKUP(_xlfn.TEXTJOIN(,,D457:O457),Aux!$B$3:$B$4098,'Truth Table'!$V$3:$V$4098)=1,ABS(P456)&lt;='Line Follower'!$C$6),FALSE)</f>
        <v>0</v>
      </c>
      <c r="Y457" s="4" t="b">
        <f t="shared" si="7"/>
        <v>1</v>
      </c>
    </row>
    <row r="458" spans="2:25" x14ac:dyDescent="0.25">
      <c r="B458" s="4">
        <v>455</v>
      </c>
      <c r="C458" s="4">
        <v>3592</v>
      </c>
      <c r="D458" s="4">
        <v>0</v>
      </c>
      <c r="E458" s="4">
        <v>0</v>
      </c>
      <c r="F458" s="4">
        <v>0</v>
      </c>
      <c r="G458" s="4">
        <v>0</v>
      </c>
      <c r="H458" s="4">
        <v>0</v>
      </c>
      <c r="I458" s="4">
        <v>1</v>
      </c>
      <c r="J458" s="4">
        <v>1</v>
      </c>
      <c r="K458" s="4">
        <v>0</v>
      </c>
      <c r="L458" s="4">
        <v>0</v>
      </c>
      <c r="M458" s="4">
        <v>0</v>
      </c>
      <c r="N458" s="4">
        <v>0</v>
      </c>
      <c r="O458" s="4">
        <v>1</v>
      </c>
      <c r="P458" s="51">
        <f>IFERROR(_xlfn.XLOOKUP(_xlfn.TEXTJOIN(,,D457:O457),Aux!$B$3:$B$4098,'Truth Table'!$N$3:$N$4098),P457)</f>
        <v>1</v>
      </c>
      <c r="Q458" s="4" t="b" cm="1">
        <f t="array" ref="Q458:U458">IFERROR(_xlfn.XLOOKUP(_xlfn.TEXTJOIN(,,D458:O458),Aux!$B$3:$B$4098,'Truth Table'!$O$3:$S$4098)=1,FALSE)</f>
        <v>1</v>
      </c>
      <c r="R458" s="4" t="b">
        <v>0</v>
      </c>
      <c r="S458" s="4" t="b">
        <v>0</v>
      </c>
      <c r="T458" s="4" t="b">
        <v>0</v>
      </c>
      <c r="U458" s="4" t="b">
        <v>0</v>
      </c>
      <c r="V458" s="4" t="b">
        <f>AND(_xlfn.XLOOKUP(_xlfn.TEXTJOIN(,,D458:O458),Aux!$B$3:$B$4098,'Truth Table'!$T$3:$T$4098)=1,P457&lt;='Line Follower'!$C$7)</f>
        <v>0</v>
      </c>
      <c r="W458" s="4" t="b">
        <f>AND(_xlfn.XLOOKUP(_xlfn.TEXTJOIN(,,D458:O458),Aux!$B$3:$B$4098,'Truth Table'!$U$3:$U$4098)=1,P457&gt;='Line Follower'!$C$6)</f>
        <v>0</v>
      </c>
      <c r="X458" s="4" t="b">
        <f>IFERROR(AND(_xlfn.XLOOKUP(_xlfn.TEXTJOIN(,,D458:O458),Aux!$B$3:$B$4098,'Truth Table'!$V$3:$V$4098)=1,ABS(P457)&lt;='Line Follower'!$C$6),FALSE)</f>
        <v>0</v>
      </c>
      <c r="Y458" s="4" t="b">
        <f t="shared" si="7"/>
        <v>1</v>
      </c>
    </row>
    <row r="459" spans="2:25" x14ac:dyDescent="0.25">
      <c r="B459" s="4">
        <v>456</v>
      </c>
      <c r="C459" s="4">
        <v>3605</v>
      </c>
      <c r="D459" s="4">
        <v>0</v>
      </c>
      <c r="E459" s="4">
        <v>0</v>
      </c>
      <c r="F459" s="4">
        <v>0</v>
      </c>
      <c r="G459" s="4">
        <v>0</v>
      </c>
      <c r="H459" s="4">
        <v>0</v>
      </c>
      <c r="I459" s="4">
        <v>1</v>
      </c>
      <c r="J459" s="4">
        <v>1</v>
      </c>
      <c r="K459" s="4">
        <v>0</v>
      </c>
      <c r="L459" s="4">
        <v>0</v>
      </c>
      <c r="M459" s="4">
        <v>0</v>
      </c>
      <c r="N459" s="4">
        <v>0</v>
      </c>
      <c r="O459" s="4">
        <v>1</v>
      </c>
      <c r="P459" s="51">
        <f>IFERROR(_xlfn.XLOOKUP(_xlfn.TEXTJOIN(,,D458:O458),Aux!$B$3:$B$4098,'Truth Table'!$N$3:$N$4098),P458)</f>
        <v>1</v>
      </c>
      <c r="Q459" s="4" t="b" cm="1">
        <f t="array" ref="Q459:U459">IFERROR(_xlfn.XLOOKUP(_xlfn.TEXTJOIN(,,D459:O459),Aux!$B$3:$B$4098,'Truth Table'!$O$3:$S$4098)=1,FALSE)</f>
        <v>1</v>
      </c>
      <c r="R459" s="4" t="b">
        <v>0</v>
      </c>
      <c r="S459" s="4" t="b">
        <v>0</v>
      </c>
      <c r="T459" s="4" t="b">
        <v>0</v>
      </c>
      <c r="U459" s="4" t="b">
        <v>0</v>
      </c>
      <c r="V459" s="4" t="b">
        <f>AND(_xlfn.XLOOKUP(_xlfn.TEXTJOIN(,,D459:O459),Aux!$B$3:$B$4098,'Truth Table'!$T$3:$T$4098)=1,P458&lt;='Line Follower'!$C$7)</f>
        <v>0</v>
      </c>
      <c r="W459" s="4" t="b">
        <f>AND(_xlfn.XLOOKUP(_xlfn.TEXTJOIN(,,D459:O459),Aux!$B$3:$B$4098,'Truth Table'!$U$3:$U$4098)=1,P458&gt;='Line Follower'!$C$6)</f>
        <v>0</v>
      </c>
      <c r="X459" s="4" t="b">
        <f>IFERROR(AND(_xlfn.XLOOKUP(_xlfn.TEXTJOIN(,,D459:O459),Aux!$B$3:$B$4098,'Truth Table'!$V$3:$V$4098)=1,ABS(P458)&lt;='Line Follower'!$C$6),FALSE)</f>
        <v>0</v>
      </c>
      <c r="Y459" s="4" t="b">
        <f t="shared" si="7"/>
        <v>1</v>
      </c>
    </row>
    <row r="460" spans="2:25" x14ac:dyDescent="0.25">
      <c r="B460" s="4">
        <v>457</v>
      </c>
      <c r="C460" s="4">
        <v>3617</v>
      </c>
      <c r="D460" s="4">
        <v>0</v>
      </c>
      <c r="E460" s="4">
        <v>0</v>
      </c>
      <c r="F460" s="4">
        <v>0</v>
      </c>
      <c r="G460" s="4">
        <v>0</v>
      </c>
      <c r="H460" s="4">
        <v>0</v>
      </c>
      <c r="I460" s="4">
        <v>1</v>
      </c>
      <c r="J460" s="4">
        <v>1</v>
      </c>
      <c r="K460" s="4">
        <v>0</v>
      </c>
      <c r="L460" s="4">
        <v>0</v>
      </c>
      <c r="M460" s="4">
        <v>0</v>
      </c>
      <c r="N460" s="4">
        <v>0</v>
      </c>
      <c r="O460" s="4">
        <v>1</v>
      </c>
      <c r="P460" s="51">
        <f>IFERROR(_xlfn.XLOOKUP(_xlfn.TEXTJOIN(,,D459:O459),Aux!$B$3:$B$4098,'Truth Table'!$N$3:$N$4098),P459)</f>
        <v>1</v>
      </c>
      <c r="Q460" s="4" t="b" cm="1">
        <f t="array" ref="Q460:U460">IFERROR(_xlfn.XLOOKUP(_xlfn.TEXTJOIN(,,D460:O460),Aux!$B$3:$B$4098,'Truth Table'!$O$3:$S$4098)=1,FALSE)</f>
        <v>1</v>
      </c>
      <c r="R460" s="4" t="b">
        <v>0</v>
      </c>
      <c r="S460" s="4" t="b">
        <v>0</v>
      </c>
      <c r="T460" s="4" t="b">
        <v>0</v>
      </c>
      <c r="U460" s="4" t="b">
        <v>0</v>
      </c>
      <c r="V460" s="4" t="b">
        <f>AND(_xlfn.XLOOKUP(_xlfn.TEXTJOIN(,,D460:O460),Aux!$B$3:$B$4098,'Truth Table'!$T$3:$T$4098)=1,P459&lt;='Line Follower'!$C$7)</f>
        <v>0</v>
      </c>
      <c r="W460" s="4" t="b">
        <f>AND(_xlfn.XLOOKUP(_xlfn.TEXTJOIN(,,D460:O460),Aux!$B$3:$B$4098,'Truth Table'!$U$3:$U$4098)=1,P459&gt;='Line Follower'!$C$6)</f>
        <v>0</v>
      </c>
      <c r="X460" s="4" t="b">
        <f>IFERROR(AND(_xlfn.XLOOKUP(_xlfn.TEXTJOIN(,,D460:O460),Aux!$B$3:$B$4098,'Truth Table'!$V$3:$V$4098)=1,ABS(P459)&lt;='Line Follower'!$C$6),FALSE)</f>
        <v>0</v>
      </c>
      <c r="Y460" s="4" t="b">
        <f t="shared" si="7"/>
        <v>1</v>
      </c>
    </row>
    <row r="461" spans="2:25" x14ac:dyDescent="0.25">
      <c r="B461" s="4">
        <v>458</v>
      </c>
      <c r="C461" s="4">
        <v>3625</v>
      </c>
      <c r="D461" s="4">
        <v>0</v>
      </c>
      <c r="E461" s="4">
        <v>0</v>
      </c>
      <c r="F461" s="4">
        <v>0</v>
      </c>
      <c r="G461" s="4">
        <v>0</v>
      </c>
      <c r="H461" s="4">
        <v>0</v>
      </c>
      <c r="I461" s="4">
        <v>1</v>
      </c>
      <c r="J461" s="4">
        <v>1</v>
      </c>
      <c r="K461" s="4">
        <v>0</v>
      </c>
      <c r="L461" s="4">
        <v>0</v>
      </c>
      <c r="M461" s="4">
        <v>0</v>
      </c>
      <c r="N461" s="4">
        <v>0</v>
      </c>
      <c r="O461" s="4">
        <v>1</v>
      </c>
      <c r="P461" s="51">
        <f>IFERROR(_xlfn.XLOOKUP(_xlfn.TEXTJOIN(,,D460:O460),Aux!$B$3:$B$4098,'Truth Table'!$N$3:$N$4098),P460)</f>
        <v>1</v>
      </c>
      <c r="Q461" s="4" t="b" cm="1">
        <f t="array" ref="Q461:U461">IFERROR(_xlfn.XLOOKUP(_xlfn.TEXTJOIN(,,D461:O461),Aux!$B$3:$B$4098,'Truth Table'!$O$3:$S$4098)=1,FALSE)</f>
        <v>1</v>
      </c>
      <c r="R461" s="4" t="b">
        <v>0</v>
      </c>
      <c r="S461" s="4" t="b">
        <v>0</v>
      </c>
      <c r="T461" s="4" t="b">
        <v>0</v>
      </c>
      <c r="U461" s="4" t="b">
        <v>0</v>
      </c>
      <c r="V461" s="4" t="b">
        <f>AND(_xlfn.XLOOKUP(_xlfn.TEXTJOIN(,,D461:O461),Aux!$B$3:$B$4098,'Truth Table'!$T$3:$T$4098)=1,P460&lt;='Line Follower'!$C$7)</f>
        <v>0</v>
      </c>
      <c r="W461" s="4" t="b">
        <f>AND(_xlfn.XLOOKUP(_xlfn.TEXTJOIN(,,D461:O461),Aux!$B$3:$B$4098,'Truth Table'!$U$3:$U$4098)=1,P460&gt;='Line Follower'!$C$6)</f>
        <v>0</v>
      </c>
      <c r="X461" s="4" t="b">
        <f>IFERROR(AND(_xlfn.XLOOKUP(_xlfn.TEXTJOIN(,,D461:O461),Aux!$B$3:$B$4098,'Truth Table'!$V$3:$V$4098)=1,ABS(P460)&lt;='Line Follower'!$C$6),FALSE)</f>
        <v>0</v>
      </c>
      <c r="Y461" s="4" t="b">
        <f t="shared" si="7"/>
        <v>1</v>
      </c>
    </row>
    <row r="462" spans="2:25" x14ac:dyDescent="0.25">
      <c r="B462" s="4">
        <v>459</v>
      </c>
      <c r="C462" s="4">
        <v>3639</v>
      </c>
      <c r="D462" s="4">
        <v>0</v>
      </c>
      <c r="E462" s="4">
        <v>0</v>
      </c>
      <c r="F462" s="4">
        <v>0</v>
      </c>
      <c r="G462" s="4">
        <v>0</v>
      </c>
      <c r="H462" s="4">
        <v>0</v>
      </c>
      <c r="I462" s="4">
        <v>1</v>
      </c>
      <c r="J462" s="4">
        <v>1</v>
      </c>
      <c r="K462" s="4">
        <v>0</v>
      </c>
      <c r="L462" s="4">
        <v>0</v>
      </c>
      <c r="M462" s="4">
        <v>0</v>
      </c>
      <c r="N462" s="4">
        <v>0</v>
      </c>
      <c r="O462" s="4">
        <v>1</v>
      </c>
      <c r="P462" s="51">
        <f>IFERROR(_xlfn.XLOOKUP(_xlfn.TEXTJOIN(,,D461:O461),Aux!$B$3:$B$4098,'Truth Table'!$N$3:$N$4098),P461)</f>
        <v>1</v>
      </c>
      <c r="Q462" s="4" t="b" cm="1">
        <f t="array" ref="Q462:U462">IFERROR(_xlfn.XLOOKUP(_xlfn.TEXTJOIN(,,D462:O462),Aux!$B$3:$B$4098,'Truth Table'!$O$3:$S$4098)=1,FALSE)</f>
        <v>1</v>
      </c>
      <c r="R462" s="4" t="b">
        <v>0</v>
      </c>
      <c r="S462" s="4" t="b">
        <v>0</v>
      </c>
      <c r="T462" s="4" t="b">
        <v>0</v>
      </c>
      <c r="U462" s="4" t="b">
        <v>0</v>
      </c>
      <c r="V462" s="4" t="b">
        <f>AND(_xlfn.XLOOKUP(_xlfn.TEXTJOIN(,,D462:O462),Aux!$B$3:$B$4098,'Truth Table'!$T$3:$T$4098)=1,P461&lt;='Line Follower'!$C$7)</f>
        <v>0</v>
      </c>
      <c r="W462" s="4" t="b">
        <f>AND(_xlfn.XLOOKUP(_xlfn.TEXTJOIN(,,D462:O462),Aux!$B$3:$B$4098,'Truth Table'!$U$3:$U$4098)=1,P461&gt;='Line Follower'!$C$6)</f>
        <v>0</v>
      </c>
      <c r="X462" s="4" t="b">
        <f>IFERROR(AND(_xlfn.XLOOKUP(_xlfn.TEXTJOIN(,,D462:O462),Aux!$B$3:$B$4098,'Truth Table'!$V$3:$V$4098)=1,ABS(P461)&lt;='Line Follower'!$C$6),FALSE)</f>
        <v>0</v>
      </c>
      <c r="Y462" s="4" t="b">
        <f t="shared" si="7"/>
        <v>1</v>
      </c>
    </row>
    <row r="463" spans="2:25" x14ac:dyDescent="0.25">
      <c r="B463" s="4">
        <v>460</v>
      </c>
      <c r="C463" s="4">
        <v>3648</v>
      </c>
      <c r="D463" s="4">
        <v>0</v>
      </c>
      <c r="E463" s="4">
        <v>0</v>
      </c>
      <c r="F463" s="4">
        <v>0</v>
      </c>
      <c r="G463" s="4">
        <v>0</v>
      </c>
      <c r="H463" s="4">
        <v>0</v>
      </c>
      <c r="I463" s="4">
        <v>1</v>
      </c>
      <c r="J463" s="4">
        <v>1</v>
      </c>
      <c r="K463" s="4">
        <v>0</v>
      </c>
      <c r="L463" s="4">
        <v>0</v>
      </c>
      <c r="M463" s="4">
        <v>0</v>
      </c>
      <c r="N463" s="4">
        <v>0</v>
      </c>
      <c r="O463" s="4">
        <v>1</v>
      </c>
      <c r="P463" s="51">
        <f>IFERROR(_xlfn.XLOOKUP(_xlfn.TEXTJOIN(,,D462:O462),Aux!$B$3:$B$4098,'Truth Table'!$N$3:$N$4098),P462)</f>
        <v>1</v>
      </c>
      <c r="Q463" s="4" t="b" cm="1">
        <f t="array" ref="Q463:U463">IFERROR(_xlfn.XLOOKUP(_xlfn.TEXTJOIN(,,D463:O463),Aux!$B$3:$B$4098,'Truth Table'!$O$3:$S$4098)=1,FALSE)</f>
        <v>1</v>
      </c>
      <c r="R463" s="4" t="b">
        <v>0</v>
      </c>
      <c r="S463" s="4" t="b">
        <v>0</v>
      </c>
      <c r="T463" s="4" t="b">
        <v>0</v>
      </c>
      <c r="U463" s="4" t="b">
        <v>0</v>
      </c>
      <c r="V463" s="4" t="b">
        <f>AND(_xlfn.XLOOKUP(_xlfn.TEXTJOIN(,,D463:O463),Aux!$B$3:$B$4098,'Truth Table'!$T$3:$T$4098)=1,P462&lt;='Line Follower'!$C$7)</f>
        <v>0</v>
      </c>
      <c r="W463" s="4" t="b">
        <f>AND(_xlfn.XLOOKUP(_xlfn.TEXTJOIN(,,D463:O463),Aux!$B$3:$B$4098,'Truth Table'!$U$3:$U$4098)=1,P462&gt;='Line Follower'!$C$6)</f>
        <v>0</v>
      </c>
      <c r="X463" s="4" t="b">
        <f>IFERROR(AND(_xlfn.XLOOKUP(_xlfn.TEXTJOIN(,,D463:O463),Aux!$B$3:$B$4098,'Truth Table'!$V$3:$V$4098)=1,ABS(P462)&lt;='Line Follower'!$C$6),FALSE)</f>
        <v>0</v>
      </c>
      <c r="Y463" s="4" t="b">
        <f t="shared" si="7"/>
        <v>1</v>
      </c>
    </row>
    <row r="464" spans="2:25" x14ac:dyDescent="0.25">
      <c r="B464" s="4">
        <v>461</v>
      </c>
      <c r="C464" s="4">
        <v>3694</v>
      </c>
      <c r="D464" s="4">
        <v>0</v>
      </c>
      <c r="E464" s="4">
        <v>0</v>
      </c>
      <c r="F464" s="4">
        <v>0</v>
      </c>
      <c r="G464" s="4">
        <v>0</v>
      </c>
      <c r="H464" s="4">
        <v>0</v>
      </c>
      <c r="I464" s="4">
        <v>1</v>
      </c>
      <c r="J464" s="4">
        <v>1</v>
      </c>
      <c r="K464" s="4">
        <v>0</v>
      </c>
      <c r="L464" s="4">
        <v>0</v>
      </c>
      <c r="M464" s="4">
        <v>0</v>
      </c>
      <c r="N464" s="4">
        <v>0</v>
      </c>
      <c r="O464" s="4">
        <v>1</v>
      </c>
      <c r="P464" s="51">
        <f>IFERROR(_xlfn.XLOOKUP(_xlfn.TEXTJOIN(,,D463:O463),Aux!$B$3:$B$4098,'Truth Table'!$N$3:$N$4098),P463)</f>
        <v>1</v>
      </c>
      <c r="Q464" s="4" t="b" cm="1">
        <f t="array" ref="Q464:U464">IFERROR(_xlfn.XLOOKUP(_xlfn.TEXTJOIN(,,D464:O464),Aux!$B$3:$B$4098,'Truth Table'!$O$3:$S$4098)=1,FALSE)</f>
        <v>1</v>
      </c>
      <c r="R464" s="4" t="b">
        <v>0</v>
      </c>
      <c r="S464" s="4" t="b">
        <v>0</v>
      </c>
      <c r="T464" s="4" t="b">
        <v>0</v>
      </c>
      <c r="U464" s="4" t="b">
        <v>0</v>
      </c>
      <c r="V464" s="4" t="b">
        <f>AND(_xlfn.XLOOKUP(_xlfn.TEXTJOIN(,,D464:O464),Aux!$B$3:$B$4098,'Truth Table'!$T$3:$T$4098)=1,P463&lt;='Line Follower'!$C$7)</f>
        <v>0</v>
      </c>
      <c r="W464" s="4" t="b">
        <f>AND(_xlfn.XLOOKUP(_xlfn.TEXTJOIN(,,D464:O464),Aux!$B$3:$B$4098,'Truth Table'!$U$3:$U$4098)=1,P463&gt;='Line Follower'!$C$6)</f>
        <v>0</v>
      </c>
      <c r="X464" s="4" t="b">
        <f>IFERROR(AND(_xlfn.XLOOKUP(_xlfn.TEXTJOIN(,,D464:O464),Aux!$B$3:$B$4098,'Truth Table'!$V$3:$V$4098)=1,ABS(P463)&lt;='Line Follower'!$C$6),FALSE)</f>
        <v>0</v>
      </c>
      <c r="Y464" s="4" t="b">
        <f t="shared" si="7"/>
        <v>1</v>
      </c>
    </row>
    <row r="465" spans="2:25" x14ac:dyDescent="0.25">
      <c r="B465" s="4">
        <v>462</v>
      </c>
      <c r="C465" s="4">
        <v>3696</v>
      </c>
      <c r="D465" s="4">
        <v>0</v>
      </c>
      <c r="E465" s="4">
        <v>0</v>
      </c>
      <c r="F465" s="4">
        <v>0</v>
      </c>
      <c r="G465" s="4">
        <v>0</v>
      </c>
      <c r="H465" s="4">
        <v>0</v>
      </c>
      <c r="I465" s="4">
        <v>1</v>
      </c>
      <c r="J465" s="4">
        <v>1</v>
      </c>
      <c r="K465" s="4">
        <v>0</v>
      </c>
      <c r="L465" s="4">
        <v>0</v>
      </c>
      <c r="M465" s="4">
        <v>0</v>
      </c>
      <c r="N465" s="4">
        <v>0</v>
      </c>
      <c r="O465" s="4">
        <v>1</v>
      </c>
      <c r="P465" s="51">
        <f>IFERROR(_xlfn.XLOOKUP(_xlfn.TEXTJOIN(,,D464:O464),Aux!$B$3:$B$4098,'Truth Table'!$N$3:$N$4098),P464)</f>
        <v>1</v>
      </c>
      <c r="Q465" s="4" t="b" cm="1">
        <f t="array" ref="Q465:U465">IFERROR(_xlfn.XLOOKUP(_xlfn.TEXTJOIN(,,D465:O465),Aux!$B$3:$B$4098,'Truth Table'!$O$3:$S$4098)=1,FALSE)</f>
        <v>1</v>
      </c>
      <c r="R465" s="4" t="b">
        <v>0</v>
      </c>
      <c r="S465" s="4" t="b">
        <v>0</v>
      </c>
      <c r="T465" s="4" t="b">
        <v>0</v>
      </c>
      <c r="U465" s="4" t="b">
        <v>0</v>
      </c>
      <c r="V465" s="4" t="b">
        <f>AND(_xlfn.XLOOKUP(_xlfn.TEXTJOIN(,,D465:O465),Aux!$B$3:$B$4098,'Truth Table'!$T$3:$T$4098)=1,P464&lt;='Line Follower'!$C$7)</f>
        <v>0</v>
      </c>
      <c r="W465" s="4" t="b">
        <f>AND(_xlfn.XLOOKUP(_xlfn.TEXTJOIN(,,D465:O465),Aux!$B$3:$B$4098,'Truth Table'!$U$3:$U$4098)=1,P464&gt;='Line Follower'!$C$6)</f>
        <v>0</v>
      </c>
      <c r="X465" s="4" t="b">
        <f>IFERROR(AND(_xlfn.XLOOKUP(_xlfn.TEXTJOIN(,,D465:O465),Aux!$B$3:$B$4098,'Truth Table'!$V$3:$V$4098)=1,ABS(P464)&lt;='Line Follower'!$C$6),FALSE)</f>
        <v>0</v>
      </c>
      <c r="Y465" s="4" t="b">
        <f t="shared" si="7"/>
        <v>1</v>
      </c>
    </row>
    <row r="466" spans="2:25" x14ac:dyDescent="0.25">
      <c r="B466" s="4">
        <v>463</v>
      </c>
      <c r="C466" s="4">
        <v>3702</v>
      </c>
      <c r="D466" s="4">
        <v>0</v>
      </c>
      <c r="E466" s="4">
        <v>0</v>
      </c>
      <c r="F466" s="4">
        <v>0</v>
      </c>
      <c r="G466" s="4">
        <v>0</v>
      </c>
      <c r="H466" s="4">
        <v>0</v>
      </c>
      <c r="I466" s="4">
        <v>1</v>
      </c>
      <c r="J466" s="4">
        <v>1</v>
      </c>
      <c r="K466" s="4">
        <v>0</v>
      </c>
      <c r="L466" s="4">
        <v>0</v>
      </c>
      <c r="M466" s="4">
        <v>0</v>
      </c>
      <c r="N466" s="4">
        <v>0</v>
      </c>
      <c r="O466" s="4">
        <v>1</v>
      </c>
      <c r="P466" s="51">
        <f>IFERROR(_xlfn.XLOOKUP(_xlfn.TEXTJOIN(,,D465:O465),Aux!$B$3:$B$4098,'Truth Table'!$N$3:$N$4098),P465)</f>
        <v>1</v>
      </c>
      <c r="Q466" s="4" t="b" cm="1">
        <f t="array" ref="Q466:U466">IFERROR(_xlfn.XLOOKUP(_xlfn.TEXTJOIN(,,D466:O466),Aux!$B$3:$B$4098,'Truth Table'!$O$3:$S$4098)=1,FALSE)</f>
        <v>1</v>
      </c>
      <c r="R466" s="4" t="b">
        <v>0</v>
      </c>
      <c r="S466" s="4" t="b">
        <v>0</v>
      </c>
      <c r="T466" s="4" t="b">
        <v>0</v>
      </c>
      <c r="U466" s="4" t="b">
        <v>0</v>
      </c>
      <c r="V466" s="4" t="b">
        <f>AND(_xlfn.XLOOKUP(_xlfn.TEXTJOIN(,,D466:O466),Aux!$B$3:$B$4098,'Truth Table'!$T$3:$T$4098)=1,P465&lt;='Line Follower'!$C$7)</f>
        <v>0</v>
      </c>
      <c r="W466" s="4" t="b">
        <f>AND(_xlfn.XLOOKUP(_xlfn.TEXTJOIN(,,D466:O466),Aux!$B$3:$B$4098,'Truth Table'!$U$3:$U$4098)=1,P465&gt;='Line Follower'!$C$6)</f>
        <v>0</v>
      </c>
      <c r="X466" s="4" t="b">
        <f>IFERROR(AND(_xlfn.XLOOKUP(_xlfn.TEXTJOIN(,,D466:O466),Aux!$B$3:$B$4098,'Truth Table'!$V$3:$V$4098)=1,ABS(P465)&lt;='Line Follower'!$C$6),FALSE)</f>
        <v>0</v>
      </c>
      <c r="Y466" s="4" t="b">
        <f t="shared" si="7"/>
        <v>1</v>
      </c>
    </row>
    <row r="467" spans="2:25" x14ac:dyDescent="0.25">
      <c r="B467" s="4">
        <v>464</v>
      </c>
      <c r="C467" s="4">
        <v>3703</v>
      </c>
      <c r="D467" s="4">
        <v>0</v>
      </c>
      <c r="E467" s="4">
        <v>0</v>
      </c>
      <c r="F467" s="4">
        <v>0</v>
      </c>
      <c r="G467" s="4">
        <v>0</v>
      </c>
      <c r="H467" s="4">
        <v>0</v>
      </c>
      <c r="I467" s="4">
        <v>1</v>
      </c>
      <c r="J467" s="4">
        <v>1</v>
      </c>
      <c r="K467" s="4">
        <v>0</v>
      </c>
      <c r="L467" s="4">
        <v>0</v>
      </c>
      <c r="M467" s="4">
        <v>0</v>
      </c>
      <c r="N467" s="4">
        <v>0</v>
      </c>
      <c r="O467" s="4">
        <v>1</v>
      </c>
      <c r="P467" s="51">
        <f>IFERROR(_xlfn.XLOOKUP(_xlfn.TEXTJOIN(,,D466:O466),Aux!$B$3:$B$4098,'Truth Table'!$N$3:$N$4098),P466)</f>
        <v>1</v>
      </c>
      <c r="Q467" s="4" t="b" cm="1">
        <f t="array" ref="Q467:U467">IFERROR(_xlfn.XLOOKUP(_xlfn.TEXTJOIN(,,D467:O467),Aux!$B$3:$B$4098,'Truth Table'!$O$3:$S$4098)=1,FALSE)</f>
        <v>1</v>
      </c>
      <c r="R467" s="4" t="b">
        <v>0</v>
      </c>
      <c r="S467" s="4" t="b">
        <v>0</v>
      </c>
      <c r="T467" s="4" t="b">
        <v>0</v>
      </c>
      <c r="U467" s="4" t="b">
        <v>0</v>
      </c>
      <c r="V467" s="4" t="b">
        <f>AND(_xlfn.XLOOKUP(_xlfn.TEXTJOIN(,,D467:O467),Aux!$B$3:$B$4098,'Truth Table'!$T$3:$T$4098)=1,P466&lt;='Line Follower'!$C$7)</f>
        <v>0</v>
      </c>
      <c r="W467" s="4" t="b">
        <f>AND(_xlfn.XLOOKUP(_xlfn.TEXTJOIN(,,D467:O467),Aux!$B$3:$B$4098,'Truth Table'!$U$3:$U$4098)=1,P466&gt;='Line Follower'!$C$6)</f>
        <v>0</v>
      </c>
      <c r="X467" s="4" t="b">
        <f>IFERROR(AND(_xlfn.XLOOKUP(_xlfn.TEXTJOIN(,,D467:O467),Aux!$B$3:$B$4098,'Truth Table'!$V$3:$V$4098)=1,ABS(P466)&lt;='Line Follower'!$C$6),FALSE)</f>
        <v>0</v>
      </c>
      <c r="Y467" s="4" t="b">
        <f t="shared" si="7"/>
        <v>1</v>
      </c>
    </row>
    <row r="468" spans="2:25" x14ac:dyDescent="0.25">
      <c r="B468" s="4">
        <v>465</v>
      </c>
      <c r="C468" s="4">
        <v>3704</v>
      </c>
      <c r="D468" s="4">
        <v>0</v>
      </c>
      <c r="E468" s="4">
        <v>0</v>
      </c>
      <c r="F468" s="4">
        <v>0</v>
      </c>
      <c r="G468" s="4">
        <v>0</v>
      </c>
      <c r="H468" s="4">
        <v>1</v>
      </c>
      <c r="I468" s="4">
        <v>1</v>
      </c>
      <c r="J468" s="4">
        <v>1</v>
      </c>
      <c r="K468" s="4">
        <v>0</v>
      </c>
      <c r="L468" s="4">
        <v>0</v>
      </c>
      <c r="M468" s="4">
        <v>0</v>
      </c>
      <c r="N468" s="4">
        <v>0</v>
      </c>
      <c r="O468" s="4">
        <v>1</v>
      </c>
      <c r="P468" s="51">
        <f>IFERROR(_xlfn.XLOOKUP(_xlfn.TEXTJOIN(,,D467:O467),Aux!$B$3:$B$4098,'Truth Table'!$N$3:$N$4098),P467)</f>
        <v>1</v>
      </c>
      <c r="Q468" s="4" t="b" cm="1">
        <f t="array" ref="Q468:U468">IFERROR(_xlfn.XLOOKUP(_xlfn.TEXTJOIN(,,D468:O468),Aux!$B$3:$B$4098,'Truth Table'!$O$3:$S$4098)=1,FALSE)</f>
        <v>1</v>
      </c>
      <c r="R468" s="4" t="b">
        <v>1</v>
      </c>
      <c r="S468" s="4" t="b">
        <v>0</v>
      </c>
      <c r="T468" s="4" t="b">
        <v>0</v>
      </c>
      <c r="U468" s="4" t="b">
        <v>0</v>
      </c>
      <c r="V468" s="4" t="b">
        <f>AND(_xlfn.XLOOKUP(_xlfn.TEXTJOIN(,,D468:O468),Aux!$B$3:$B$4098,'Truth Table'!$T$3:$T$4098)=1,P467&lt;='Line Follower'!$C$7)</f>
        <v>0</v>
      </c>
      <c r="W468" s="4" t="b">
        <f>AND(_xlfn.XLOOKUP(_xlfn.TEXTJOIN(,,D468:O468),Aux!$B$3:$B$4098,'Truth Table'!$U$3:$U$4098)=1,P467&gt;='Line Follower'!$C$6)</f>
        <v>0</v>
      </c>
      <c r="X468" s="4" t="b">
        <f>IFERROR(AND(_xlfn.XLOOKUP(_xlfn.TEXTJOIN(,,D468:O468),Aux!$B$3:$B$4098,'Truth Table'!$V$3:$V$4098)=1,ABS(P467)&lt;='Line Follower'!$C$6),FALSE)</f>
        <v>0</v>
      </c>
      <c r="Y468" s="4" t="b">
        <f t="shared" si="7"/>
        <v>1</v>
      </c>
    </row>
    <row r="469" spans="2:25" x14ac:dyDescent="0.25">
      <c r="B469" s="4">
        <v>466</v>
      </c>
      <c r="C469" s="4">
        <v>3710</v>
      </c>
      <c r="D469" s="4">
        <v>0</v>
      </c>
      <c r="E469" s="4">
        <v>0</v>
      </c>
      <c r="F469" s="4">
        <v>0</v>
      </c>
      <c r="G469" s="4">
        <v>0</v>
      </c>
      <c r="H469" s="4">
        <v>1</v>
      </c>
      <c r="I469" s="4">
        <v>1</v>
      </c>
      <c r="J469" s="4">
        <v>1</v>
      </c>
      <c r="K469" s="4">
        <v>0</v>
      </c>
      <c r="L469" s="4">
        <v>0</v>
      </c>
      <c r="M469" s="4">
        <v>0</v>
      </c>
      <c r="N469" s="4">
        <v>0</v>
      </c>
      <c r="O469" s="4">
        <v>1</v>
      </c>
      <c r="P469" s="51">
        <f>IFERROR(_xlfn.XLOOKUP(_xlfn.TEXTJOIN(,,D468:O468),Aux!$B$3:$B$4098,'Truth Table'!$N$3:$N$4098),P468)</f>
        <v>0</v>
      </c>
      <c r="Q469" s="4" t="b" cm="1">
        <f t="array" ref="Q469:U469">IFERROR(_xlfn.XLOOKUP(_xlfn.TEXTJOIN(,,D469:O469),Aux!$B$3:$B$4098,'Truth Table'!$O$3:$S$4098)=1,FALSE)</f>
        <v>1</v>
      </c>
      <c r="R469" s="4" t="b">
        <v>1</v>
      </c>
      <c r="S469" s="4" t="b">
        <v>0</v>
      </c>
      <c r="T469" s="4" t="b">
        <v>0</v>
      </c>
      <c r="U469" s="4" t="b">
        <v>0</v>
      </c>
      <c r="V469" s="4" t="b">
        <f>AND(_xlfn.XLOOKUP(_xlfn.TEXTJOIN(,,D469:O469),Aux!$B$3:$B$4098,'Truth Table'!$T$3:$T$4098)=1,P468&lt;='Line Follower'!$C$7)</f>
        <v>0</v>
      </c>
      <c r="W469" s="4" t="b">
        <f>AND(_xlfn.XLOOKUP(_xlfn.TEXTJOIN(,,D469:O469),Aux!$B$3:$B$4098,'Truth Table'!$U$3:$U$4098)=1,P468&gt;='Line Follower'!$C$6)</f>
        <v>0</v>
      </c>
      <c r="X469" s="4" t="b">
        <f>IFERROR(AND(_xlfn.XLOOKUP(_xlfn.TEXTJOIN(,,D469:O469),Aux!$B$3:$B$4098,'Truth Table'!$V$3:$V$4098)=1,ABS(P468)&lt;='Line Follower'!$C$6),FALSE)</f>
        <v>0</v>
      </c>
      <c r="Y469" s="4" t="b">
        <f t="shared" si="7"/>
        <v>1</v>
      </c>
    </row>
    <row r="470" spans="2:25" x14ac:dyDescent="0.25">
      <c r="B470" s="4">
        <v>467</v>
      </c>
      <c r="C470" s="4">
        <v>3724</v>
      </c>
      <c r="D470" s="4">
        <v>0</v>
      </c>
      <c r="E470" s="4">
        <v>0</v>
      </c>
      <c r="F470" s="4">
        <v>0</v>
      </c>
      <c r="G470" s="4">
        <v>0</v>
      </c>
      <c r="H470" s="4">
        <v>1</v>
      </c>
      <c r="I470" s="4">
        <v>1</v>
      </c>
      <c r="J470" s="4">
        <v>0</v>
      </c>
      <c r="K470" s="4">
        <v>0</v>
      </c>
      <c r="L470" s="4">
        <v>0</v>
      </c>
      <c r="M470" s="4">
        <v>0</v>
      </c>
      <c r="N470" s="4">
        <v>0</v>
      </c>
      <c r="O470" s="4">
        <v>1</v>
      </c>
      <c r="P470" s="51">
        <f>IFERROR(_xlfn.XLOOKUP(_xlfn.TEXTJOIN(,,D469:O469),Aux!$B$3:$B$4098,'Truth Table'!$N$3:$N$4098),P469)</f>
        <v>0</v>
      </c>
      <c r="Q470" s="4" t="b" cm="1">
        <f t="array" ref="Q470:U470">IFERROR(_xlfn.XLOOKUP(_xlfn.TEXTJOIN(,,D470:O470),Aux!$B$3:$B$4098,'Truth Table'!$O$3:$S$4098)=1,FALSE)</f>
        <v>1</v>
      </c>
      <c r="R470" s="4" t="b">
        <v>0</v>
      </c>
      <c r="S470" s="4" t="b">
        <v>0</v>
      </c>
      <c r="T470" s="4" t="b">
        <v>0</v>
      </c>
      <c r="U470" s="4" t="b">
        <v>0</v>
      </c>
      <c r="V470" s="4" t="b">
        <f>AND(_xlfn.XLOOKUP(_xlfn.TEXTJOIN(,,D470:O470),Aux!$B$3:$B$4098,'Truth Table'!$T$3:$T$4098)=1,P469&lt;='Line Follower'!$C$7)</f>
        <v>0</v>
      </c>
      <c r="W470" s="4" t="b">
        <f>AND(_xlfn.XLOOKUP(_xlfn.TEXTJOIN(,,D470:O470),Aux!$B$3:$B$4098,'Truth Table'!$U$3:$U$4098)=1,P469&gt;='Line Follower'!$C$6)</f>
        <v>0</v>
      </c>
      <c r="X470" s="4" t="b">
        <f>IFERROR(AND(_xlfn.XLOOKUP(_xlfn.TEXTJOIN(,,D470:O470),Aux!$B$3:$B$4098,'Truth Table'!$V$3:$V$4098)=1,ABS(P469)&lt;='Line Follower'!$C$6),FALSE)</f>
        <v>0</v>
      </c>
      <c r="Y470" s="4" t="b">
        <f t="shared" si="7"/>
        <v>1</v>
      </c>
    </row>
    <row r="471" spans="2:25" x14ac:dyDescent="0.25">
      <c r="B471" s="4">
        <v>468</v>
      </c>
      <c r="C471" s="4">
        <v>3725</v>
      </c>
      <c r="D471" s="4">
        <v>0</v>
      </c>
      <c r="E471" s="4">
        <v>0</v>
      </c>
      <c r="F471" s="4">
        <v>0</v>
      </c>
      <c r="G471" s="4">
        <v>0</v>
      </c>
      <c r="H471" s="4">
        <v>0</v>
      </c>
      <c r="I471" s="4">
        <v>1</v>
      </c>
      <c r="J471" s="4">
        <v>1</v>
      </c>
      <c r="K471" s="4">
        <v>0</v>
      </c>
      <c r="L471" s="4">
        <v>0</v>
      </c>
      <c r="M471" s="4">
        <v>0</v>
      </c>
      <c r="N471" s="4">
        <v>0</v>
      </c>
      <c r="O471" s="4">
        <v>1</v>
      </c>
      <c r="P471" s="51">
        <f>IFERROR(_xlfn.XLOOKUP(_xlfn.TEXTJOIN(,,D470:O470),Aux!$B$3:$B$4098,'Truth Table'!$N$3:$N$4098),P470)</f>
        <v>-1</v>
      </c>
      <c r="Q471" s="4" t="b" cm="1">
        <f t="array" ref="Q471:U471">IFERROR(_xlfn.XLOOKUP(_xlfn.TEXTJOIN(,,D471:O471),Aux!$B$3:$B$4098,'Truth Table'!$O$3:$S$4098)=1,FALSE)</f>
        <v>1</v>
      </c>
      <c r="R471" s="4" t="b">
        <v>0</v>
      </c>
      <c r="S471" s="4" t="b">
        <v>0</v>
      </c>
      <c r="T471" s="4" t="b">
        <v>0</v>
      </c>
      <c r="U471" s="4" t="b">
        <v>0</v>
      </c>
      <c r="V471" s="4" t="b">
        <f>AND(_xlfn.XLOOKUP(_xlfn.TEXTJOIN(,,D471:O471),Aux!$B$3:$B$4098,'Truth Table'!$T$3:$T$4098)=1,P470&lt;='Line Follower'!$C$7)</f>
        <v>0</v>
      </c>
      <c r="W471" s="4" t="b">
        <f>AND(_xlfn.XLOOKUP(_xlfn.TEXTJOIN(,,D471:O471),Aux!$B$3:$B$4098,'Truth Table'!$U$3:$U$4098)=1,P470&gt;='Line Follower'!$C$6)</f>
        <v>0</v>
      </c>
      <c r="X471" s="4" t="b">
        <f>IFERROR(AND(_xlfn.XLOOKUP(_xlfn.TEXTJOIN(,,D471:O471),Aux!$B$3:$B$4098,'Truth Table'!$V$3:$V$4098)=1,ABS(P470)&lt;='Line Follower'!$C$6),FALSE)</f>
        <v>0</v>
      </c>
      <c r="Y471" s="4" t="b">
        <f t="shared" si="7"/>
        <v>1</v>
      </c>
    </row>
    <row r="472" spans="2:25" x14ac:dyDescent="0.25">
      <c r="B472" s="4">
        <v>469</v>
      </c>
      <c r="C472" s="4">
        <v>3731</v>
      </c>
      <c r="D472" s="4">
        <v>0</v>
      </c>
      <c r="E472" s="4">
        <v>0</v>
      </c>
      <c r="F472" s="4">
        <v>0</v>
      </c>
      <c r="G472" s="4">
        <v>0</v>
      </c>
      <c r="H472" s="4">
        <v>0</v>
      </c>
      <c r="I472" s="4">
        <v>1</v>
      </c>
      <c r="J472" s="4">
        <v>1</v>
      </c>
      <c r="K472" s="4">
        <v>0</v>
      </c>
      <c r="L472" s="4">
        <v>0</v>
      </c>
      <c r="M472" s="4">
        <v>0</v>
      </c>
      <c r="N472" s="4">
        <v>0</v>
      </c>
      <c r="O472" s="4">
        <v>1</v>
      </c>
      <c r="P472" s="51">
        <f>IFERROR(_xlfn.XLOOKUP(_xlfn.TEXTJOIN(,,D471:O471),Aux!$B$3:$B$4098,'Truth Table'!$N$3:$N$4098),P471)</f>
        <v>1</v>
      </c>
      <c r="Q472" s="4" t="b" cm="1">
        <f t="array" ref="Q472:U472">IFERROR(_xlfn.XLOOKUP(_xlfn.TEXTJOIN(,,D472:O472),Aux!$B$3:$B$4098,'Truth Table'!$O$3:$S$4098)=1,FALSE)</f>
        <v>1</v>
      </c>
      <c r="R472" s="4" t="b">
        <v>0</v>
      </c>
      <c r="S472" s="4" t="b">
        <v>0</v>
      </c>
      <c r="T472" s="4" t="b">
        <v>0</v>
      </c>
      <c r="U472" s="4" t="b">
        <v>0</v>
      </c>
      <c r="V472" s="4" t="b">
        <f>AND(_xlfn.XLOOKUP(_xlfn.TEXTJOIN(,,D472:O472),Aux!$B$3:$B$4098,'Truth Table'!$T$3:$T$4098)=1,P471&lt;='Line Follower'!$C$7)</f>
        <v>0</v>
      </c>
      <c r="W472" s="4" t="b">
        <f>AND(_xlfn.XLOOKUP(_xlfn.TEXTJOIN(,,D472:O472),Aux!$B$3:$B$4098,'Truth Table'!$U$3:$U$4098)=1,P471&gt;='Line Follower'!$C$6)</f>
        <v>0</v>
      </c>
      <c r="X472" s="4" t="b">
        <f>IFERROR(AND(_xlfn.XLOOKUP(_xlfn.TEXTJOIN(,,D472:O472),Aux!$B$3:$B$4098,'Truth Table'!$V$3:$V$4098)=1,ABS(P471)&lt;='Line Follower'!$C$6),FALSE)</f>
        <v>0</v>
      </c>
      <c r="Y472" s="4" t="b">
        <f t="shared" si="7"/>
        <v>1</v>
      </c>
    </row>
    <row r="473" spans="2:25" x14ac:dyDescent="0.25">
      <c r="B473" s="4">
        <v>470</v>
      </c>
      <c r="C473" s="4">
        <v>3742</v>
      </c>
      <c r="D473" s="4">
        <v>0</v>
      </c>
      <c r="E473" s="4">
        <v>0</v>
      </c>
      <c r="F473" s="4">
        <v>0</v>
      </c>
      <c r="G473" s="4">
        <v>0</v>
      </c>
      <c r="H473" s="4">
        <v>0</v>
      </c>
      <c r="I473" s="4">
        <v>1</v>
      </c>
      <c r="J473" s="4">
        <v>1</v>
      </c>
      <c r="K473" s="4">
        <v>0</v>
      </c>
      <c r="L473" s="4">
        <v>0</v>
      </c>
      <c r="M473" s="4">
        <v>0</v>
      </c>
      <c r="N473" s="4">
        <v>0</v>
      </c>
      <c r="O473" s="4">
        <v>1</v>
      </c>
      <c r="P473" s="51">
        <f>IFERROR(_xlfn.XLOOKUP(_xlfn.TEXTJOIN(,,D472:O472),Aux!$B$3:$B$4098,'Truth Table'!$N$3:$N$4098),P472)</f>
        <v>1</v>
      </c>
      <c r="Q473" s="4" t="b" cm="1">
        <f t="array" ref="Q473:U473">IFERROR(_xlfn.XLOOKUP(_xlfn.TEXTJOIN(,,D473:O473),Aux!$B$3:$B$4098,'Truth Table'!$O$3:$S$4098)=1,FALSE)</f>
        <v>1</v>
      </c>
      <c r="R473" s="4" t="b">
        <v>0</v>
      </c>
      <c r="S473" s="4" t="b">
        <v>0</v>
      </c>
      <c r="T473" s="4" t="b">
        <v>0</v>
      </c>
      <c r="U473" s="4" t="b">
        <v>0</v>
      </c>
      <c r="V473" s="4" t="b">
        <f>AND(_xlfn.XLOOKUP(_xlfn.TEXTJOIN(,,D473:O473),Aux!$B$3:$B$4098,'Truth Table'!$T$3:$T$4098)=1,P472&lt;='Line Follower'!$C$7)</f>
        <v>0</v>
      </c>
      <c r="W473" s="4" t="b">
        <f>AND(_xlfn.XLOOKUP(_xlfn.TEXTJOIN(,,D473:O473),Aux!$B$3:$B$4098,'Truth Table'!$U$3:$U$4098)=1,P472&gt;='Line Follower'!$C$6)</f>
        <v>0</v>
      </c>
      <c r="X473" s="4" t="b">
        <f>IFERROR(AND(_xlfn.XLOOKUP(_xlfn.TEXTJOIN(,,D473:O473),Aux!$B$3:$B$4098,'Truth Table'!$V$3:$V$4098)=1,ABS(P472)&lt;='Line Follower'!$C$6),FALSE)</f>
        <v>0</v>
      </c>
      <c r="Y473" s="4" t="b">
        <f t="shared" si="7"/>
        <v>1</v>
      </c>
    </row>
    <row r="474" spans="2:25" x14ac:dyDescent="0.25">
      <c r="B474" s="4">
        <v>471</v>
      </c>
      <c r="C474" s="4">
        <v>3756</v>
      </c>
      <c r="D474" s="4">
        <v>0</v>
      </c>
      <c r="E474" s="4">
        <v>0</v>
      </c>
      <c r="F474" s="4">
        <v>0</v>
      </c>
      <c r="G474" s="4">
        <v>0</v>
      </c>
      <c r="H474" s="4">
        <v>1</v>
      </c>
      <c r="I474" s="4">
        <v>1</v>
      </c>
      <c r="J474" s="4">
        <v>1</v>
      </c>
      <c r="K474" s="4">
        <v>0</v>
      </c>
      <c r="L474" s="4">
        <v>0</v>
      </c>
      <c r="M474" s="4">
        <v>0</v>
      </c>
      <c r="N474" s="4">
        <v>0</v>
      </c>
      <c r="O474" s="4">
        <v>1</v>
      </c>
      <c r="P474" s="51">
        <f>IFERROR(_xlfn.XLOOKUP(_xlfn.TEXTJOIN(,,D473:O473),Aux!$B$3:$B$4098,'Truth Table'!$N$3:$N$4098),P473)</f>
        <v>1</v>
      </c>
      <c r="Q474" s="4" t="b" cm="1">
        <f t="array" ref="Q474:U474">IFERROR(_xlfn.XLOOKUP(_xlfn.TEXTJOIN(,,D474:O474),Aux!$B$3:$B$4098,'Truth Table'!$O$3:$S$4098)=1,FALSE)</f>
        <v>1</v>
      </c>
      <c r="R474" s="4" t="b">
        <v>1</v>
      </c>
      <c r="S474" s="4" t="b">
        <v>0</v>
      </c>
      <c r="T474" s="4" t="b">
        <v>0</v>
      </c>
      <c r="U474" s="4" t="b">
        <v>0</v>
      </c>
      <c r="V474" s="4" t="b">
        <f>AND(_xlfn.XLOOKUP(_xlfn.TEXTJOIN(,,D474:O474),Aux!$B$3:$B$4098,'Truth Table'!$T$3:$T$4098)=1,P473&lt;='Line Follower'!$C$7)</f>
        <v>0</v>
      </c>
      <c r="W474" s="4" t="b">
        <f>AND(_xlfn.XLOOKUP(_xlfn.TEXTJOIN(,,D474:O474),Aux!$B$3:$B$4098,'Truth Table'!$U$3:$U$4098)=1,P473&gt;='Line Follower'!$C$6)</f>
        <v>0</v>
      </c>
      <c r="X474" s="4" t="b">
        <f>IFERROR(AND(_xlfn.XLOOKUP(_xlfn.TEXTJOIN(,,D474:O474),Aux!$B$3:$B$4098,'Truth Table'!$V$3:$V$4098)=1,ABS(P473)&lt;='Line Follower'!$C$6),FALSE)</f>
        <v>0</v>
      </c>
      <c r="Y474" s="4" t="b">
        <f t="shared" si="7"/>
        <v>1</v>
      </c>
    </row>
    <row r="475" spans="2:25" x14ac:dyDescent="0.25">
      <c r="B475" s="4">
        <v>472</v>
      </c>
      <c r="C475" s="4">
        <v>3762</v>
      </c>
      <c r="D475" s="4">
        <v>0</v>
      </c>
      <c r="E475" s="4">
        <v>0</v>
      </c>
      <c r="F475" s="4">
        <v>0</v>
      </c>
      <c r="G475" s="4">
        <v>0</v>
      </c>
      <c r="H475" s="4">
        <v>1</v>
      </c>
      <c r="I475" s="4">
        <v>1</v>
      </c>
      <c r="J475" s="4">
        <v>1</v>
      </c>
      <c r="K475" s="4">
        <v>0</v>
      </c>
      <c r="L475" s="4">
        <v>0</v>
      </c>
      <c r="M475" s="4">
        <v>0</v>
      </c>
      <c r="N475" s="4">
        <v>0</v>
      </c>
      <c r="O475" s="4">
        <v>1</v>
      </c>
      <c r="P475" s="51">
        <f>IFERROR(_xlfn.XLOOKUP(_xlfn.TEXTJOIN(,,D474:O474),Aux!$B$3:$B$4098,'Truth Table'!$N$3:$N$4098),P474)</f>
        <v>0</v>
      </c>
      <c r="Q475" s="4" t="b" cm="1">
        <f t="array" ref="Q475:U475">IFERROR(_xlfn.XLOOKUP(_xlfn.TEXTJOIN(,,D475:O475),Aux!$B$3:$B$4098,'Truth Table'!$O$3:$S$4098)=1,FALSE)</f>
        <v>1</v>
      </c>
      <c r="R475" s="4" t="b">
        <v>1</v>
      </c>
      <c r="S475" s="4" t="b">
        <v>0</v>
      </c>
      <c r="T475" s="4" t="b">
        <v>0</v>
      </c>
      <c r="U475" s="4" t="b">
        <v>0</v>
      </c>
      <c r="V475" s="4" t="b">
        <f>AND(_xlfn.XLOOKUP(_xlfn.TEXTJOIN(,,D475:O475),Aux!$B$3:$B$4098,'Truth Table'!$T$3:$T$4098)=1,P474&lt;='Line Follower'!$C$7)</f>
        <v>0</v>
      </c>
      <c r="W475" s="4" t="b">
        <f>AND(_xlfn.XLOOKUP(_xlfn.TEXTJOIN(,,D475:O475),Aux!$B$3:$B$4098,'Truth Table'!$U$3:$U$4098)=1,P474&gt;='Line Follower'!$C$6)</f>
        <v>0</v>
      </c>
      <c r="X475" s="4" t="b">
        <f>IFERROR(AND(_xlfn.XLOOKUP(_xlfn.TEXTJOIN(,,D475:O475),Aux!$B$3:$B$4098,'Truth Table'!$V$3:$V$4098)=1,ABS(P474)&lt;='Line Follower'!$C$6),FALSE)</f>
        <v>0</v>
      </c>
      <c r="Y475" s="4" t="b">
        <f t="shared" si="7"/>
        <v>1</v>
      </c>
    </row>
    <row r="476" spans="2:25" x14ac:dyDescent="0.25">
      <c r="B476" s="4">
        <v>473</v>
      </c>
      <c r="C476" s="4">
        <v>3776</v>
      </c>
      <c r="D476" s="4">
        <v>0</v>
      </c>
      <c r="E476" s="4">
        <v>0</v>
      </c>
      <c r="F476" s="4">
        <v>0</v>
      </c>
      <c r="G476" s="4">
        <v>0</v>
      </c>
      <c r="H476" s="4">
        <v>1</v>
      </c>
      <c r="I476" s="4">
        <v>1</v>
      </c>
      <c r="J476" s="4">
        <v>1</v>
      </c>
      <c r="K476" s="4">
        <v>0</v>
      </c>
      <c r="L476" s="4">
        <v>0</v>
      </c>
      <c r="M476" s="4">
        <v>0</v>
      </c>
      <c r="N476" s="4">
        <v>0</v>
      </c>
      <c r="O476" s="4">
        <v>1</v>
      </c>
      <c r="P476" s="51">
        <f>IFERROR(_xlfn.XLOOKUP(_xlfn.TEXTJOIN(,,D475:O475),Aux!$B$3:$B$4098,'Truth Table'!$N$3:$N$4098),P475)</f>
        <v>0</v>
      </c>
      <c r="Q476" s="4" t="b" cm="1">
        <f t="array" ref="Q476:U476">IFERROR(_xlfn.XLOOKUP(_xlfn.TEXTJOIN(,,D476:O476),Aux!$B$3:$B$4098,'Truth Table'!$O$3:$S$4098)=1,FALSE)</f>
        <v>1</v>
      </c>
      <c r="R476" s="4" t="b">
        <v>1</v>
      </c>
      <c r="S476" s="4" t="b">
        <v>0</v>
      </c>
      <c r="T476" s="4" t="b">
        <v>0</v>
      </c>
      <c r="U476" s="4" t="b">
        <v>0</v>
      </c>
      <c r="V476" s="4" t="b">
        <f>AND(_xlfn.XLOOKUP(_xlfn.TEXTJOIN(,,D476:O476),Aux!$B$3:$B$4098,'Truth Table'!$T$3:$T$4098)=1,P475&lt;='Line Follower'!$C$7)</f>
        <v>0</v>
      </c>
      <c r="W476" s="4" t="b">
        <f>AND(_xlfn.XLOOKUP(_xlfn.TEXTJOIN(,,D476:O476),Aux!$B$3:$B$4098,'Truth Table'!$U$3:$U$4098)=1,P475&gt;='Line Follower'!$C$6)</f>
        <v>0</v>
      </c>
      <c r="X476" s="4" t="b">
        <f>IFERROR(AND(_xlfn.XLOOKUP(_xlfn.TEXTJOIN(,,D476:O476),Aux!$B$3:$B$4098,'Truth Table'!$V$3:$V$4098)=1,ABS(P475)&lt;='Line Follower'!$C$6),FALSE)</f>
        <v>0</v>
      </c>
      <c r="Y476" s="4" t="b">
        <f t="shared" si="7"/>
        <v>1</v>
      </c>
    </row>
    <row r="477" spans="2:25" x14ac:dyDescent="0.25">
      <c r="B477" s="4">
        <v>474</v>
      </c>
      <c r="C477" s="4">
        <v>3782</v>
      </c>
      <c r="D477" s="4">
        <v>0</v>
      </c>
      <c r="E477" s="4">
        <v>0</v>
      </c>
      <c r="F477" s="4">
        <v>0</v>
      </c>
      <c r="G477" s="4">
        <v>0</v>
      </c>
      <c r="H477" s="4">
        <v>1</v>
      </c>
      <c r="I477" s="4">
        <v>1</v>
      </c>
      <c r="J477" s="4">
        <v>1</v>
      </c>
      <c r="K477" s="4">
        <v>0</v>
      </c>
      <c r="L477" s="4">
        <v>0</v>
      </c>
      <c r="M477" s="4">
        <v>0</v>
      </c>
      <c r="N477" s="4">
        <v>0</v>
      </c>
      <c r="O477" s="4">
        <v>1</v>
      </c>
      <c r="P477" s="51">
        <f>IFERROR(_xlfn.XLOOKUP(_xlfn.TEXTJOIN(,,D476:O476),Aux!$B$3:$B$4098,'Truth Table'!$N$3:$N$4098),P476)</f>
        <v>0</v>
      </c>
      <c r="Q477" s="4" t="b" cm="1">
        <f t="array" ref="Q477:U477">IFERROR(_xlfn.XLOOKUP(_xlfn.TEXTJOIN(,,D477:O477),Aux!$B$3:$B$4098,'Truth Table'!$O$3:$S$4098)=1,FALSE)</f>
        <v>1</v>
      </c>
      <c r="R477" s="4" t="b">
        <v>1</v>
      </c>
      <c r="S477" s="4" t="b">
        <v>0</v>
      </c>
      <c r="T477" s="4" t="b">
        <v>0</v>
      </c>
      <c r="U477" s="4" t="b">
        <v>0</v>
      </c>
      <c r="V477" s="4" t="b">
        <f>AND(_xlfn.XLOOKUP(_xlfn.TEXTJOIN(,,D477:O477),Aux!$B$3:$B$4098,'Truth Table'!$T$3:$T$4098)=1,P476&lt;='Line Follower'!$C$7)</f>
        <v>0</v>
      </c>
      <c r="W477" s="4" t="b">
        <f>AND(_xlfn.XLOOKUP(_xlfn.TEXTJOIN(,,D477:O477),Aux!$B$3:$B$4098,'Truth Table'!$U$3:$U$4098)=1,P476&gt;='Line Follower'!$C$6)</f>
        <v>0</v>
      </c>
      <c r="X477" s="4" t="b">
        <f>IFERROR(AND(_xlfn.XLOOKUP(_xlfn.TEXTJOIN(,,D477:O477),Aux!$B$3:$B$4098,'Truth Table'!$V$3:$V$4098)=1,ABS(P476)&lt;='Line Follower'!$C$6),FALSE)</f>
        <v>0</v>
      </c>
      <c r="Y477" s="4" t="b">
        <f t="shared" si="7"/>
        <v>1</v>
      </c>
    </row>
    <row r="478" spans="2:25" x14ac:dyDescent="0.25">
      <c r="B478" s="4">
        <v>475</v>
      </c>
      <c r="C478" s="4">
        <v>3796</v>
      </c>
      <c r="D478" s="4">
        <v>0</v>
      </c>
      <c r="E478" s="4">
        <v>0</v>
      </c>
      <c r="F478" s="4">
        <v>0</v>
      </c>
      <c r="G478" s="4">
        <v>0</v>
      </c>
      <c r="H478" s="4">
        <v>0</v>
      </c>
      <c r="I478" s="4">
        <v>1</v>
      </c>
      <c r="J478" s="4">
        <v>1</v>
      </c>
      <c r="K478" s="4">
        <v>0</v>
      </c>
      <c r="L478" s="4">
        <v>0</v>
      </c>
      <c r="M478" s="4">
        <v>0</v>
      </c>
      <c r="N478" s="4">
        <v>0</v>
      </c>
      <c r="O478" s="4">
        <v>1</v>
      </c>
      <c r="P478" s="51">
        <f>IFERROR(_xlfn.XLOOKUP(_xlfn.TEXTJOIN(,,D477:O477),Aux!$B$3:$B$4098,'Truth Table'!$N$3:$N$4098),P477)</f>
        <v>0</v>
      </c>
      <c r="Q478" s="4" t="b" cm="1">
        <f t="array" ref="Q478:U478">IFERROR(_xlfn.XLOOKUP(_xlfn.TEXTJOIN(,,D478:O478),Aux!$B$3:$B$4098,'Truth Table'!$O$3:$S$4098)=1,FALSE)</f>
        <v>1</v>
      </c>
      <c r="R478" s="4" t="b">
        <v>0</v>
      </c>
      <c r="S478" s="4" t="b">
        <v>0</v>
      </c>
      <c r="T478" s="4" t="b">
        <v>0</v>
      </c>
      <c r="U478" s="4" t="b">
        <v>0</v>
      </c>
      <c r="V478" s="4" t="b">
        <f>AND(_xlfn.XLOOKUP(_xlfn.TEXTJOIN(,,D478:O478),Aux!$B$3:$B$4098,'Truth Table'!$T$3:$T$4098)=1,P477&lt;='Line Follower'!$C$7)</f>
        <v>0</v>
      </c>
      <c r="W478" s="4" t="b">
        <f>AND(_xlfn.XLOOKUP(_xlfn.TEXTJOIN(,,D478:O478),Aux!$B$3:$B$4098,'Truth Table'!$U$3:$U$4098)=1,P477&gt;='Line Follower'!$C$6)</f>
        <v>0</v>
      </c>
      <c r="X478" s="4" t="b">
        <f>IFERROR(AND(_xlfn.XLOOKUP(_xlfn.TEXTJOIN(,,D478:O478),Aux!$B$3:$B$4098,'Truth Table'!$V$3:$V$4098)=1,ABS(P477)&lt;='Line Follower'!$C$6),FALSE)</f>
        <v>0</v>
      </c>
      <c r="Y478" s="4" t="b">
        <f t="shared" si="7"/>
        <v>1</v>
      </c>
    </row>
    <row r="479" spans="2:25" x14ac:dyDescent="0.25">
      <c r="B479" s="4">
        <v>476</v>
      </c>
      <c r="C479" s="4">
        <v>3804</v>
      </c>
      <c r="D479" s="4">
        <v>0</v>
      </c>
      <c r="E479" s="4">
        <v>0</v>
      </c>
      <c r="F479" s="4">
        <v>0</v>
      </c>
      <c r="G479" s="4">
        <v>0</v>
      </c>
      <c r="H479" s="4">
        <v>0</v>
      </c>
      <c r="I479" s="4">
        <v>1</v>
      </c>
      <c r="J479" s="4">
        <v>1</v>
      </c>
      <c r="K479" s="4">
        <v>0</v>
      </c>
      <c r="L479" s="4">
        <v>0</v>
      </c>
      <c r="M479" s="4">
        <v>0</v>
      </c>
      <c r="N479" s="4">
        <v>0</v>
      </c>
      <c r="O479" s="4">
        <v>1</v>
      </c>
      <c r="P479" s="51">
        <f>IFERROR(_xlfn.XLOOKUP(_xlfn.TEXTJOIN(,,D478:O478),Aux!$B$3:$B$4098,'Truth Table'!$N$3:$N$4098),P478)</f>
        <v>1</v>
      </c>
      <c r="Q479" s="4" t="b" cm="1">
        <f t="array" ref="Q479:U479">IFERROR(_xlfn.XLOOKUP(_xlfn.TEXTJOIN(,,D479:O479),Aux!$B$3:$B$4098,'Truth Table'!$O$3:$S$4098)=1,FALSE)</f>
        <v>1</v>
      </c>
      <c r="R479" s="4" t="b">
        <v>0</v>
      </c>
      <c r="S479" s="4" t="b">
        <v>0</v>
      </c>
      <c r="T479" s="4" t="b">
        <v>0</v>
      </c>
      <c r="U479" s="4" t="b">
        <v>0</v>
      </c>
      <c r="V479" s="4" t="b">
        <f>AND(_xlfn.XLOOKUP(_xlfn.TEXTJOIN(,,D479:O479),Aux!$B$3:$B$4098,'Truth Table'!$T$3:$T$4098)=1,P478&lt;='Line Follower'!$C$7)</f>
        <v>0</v>
      </c>
      <c r="W479" s="4" t="b">
        <f>AND(_xlfn.XLOOKUP(_xlfn.TEXTJOIN(,,D479:O479),Aux!$B$3:$B$4098,'Truth Table'!$U$3:$U$4098)=1,P478&gt;='Line Follower'!$C$6)</f>
        <v>0</v>
      </c>
      <c r="X479" s="4" t="b">
        <f>IFERROR(AND(_xlfn.XLOOKUP(_xlfn.TEXTJOIN(,,D479:O479),Aux!$B$3:$B$4098,'Truth Table'!$V$3:$V$4098)=1,ABS(P478)&lt;='Line Follower'!$C$6),FALSE)</f>
        <v>0</v>
      </c>
      <c r="Y479" s="4" t="b">
        <f t="shared" si="7"/>
        <v>1</v>
      </c>
    </row>
    <row r="480" spans="2:25" x14ac:dyDescent="0.25">
      <c r="B480" s="4">
        <v>477</v>
      </c>
      <c r="C480" s="4">
        <v>3813</v>
      </c>
      <c r="D480" s="4">
        <v>0</v>
      </c>
      <c r="E480" s="4">
        <v>0</v>
      </c>
      <c r="F480" s="4">
        <v>0</v>
      </c>
      <c r="G480" s="4">
        <v>0</v>
      </c>
      <c r="H480" s="4">
        <v>0</v>
      </c>
      <c r="I480" s="4">
        <v>1</v>
      </c>
      <c r="J480" s="4">
        <v>1</v>
      </c>
      <c r="K480" s="4">
        <v>0</v>
      </c>
      <c r="L480" s="4">
        <v>0</v>
      </c>
      <c r="M480" s="4">
        <v>0</v>
      </c>
      <c r="N480" s="4">
        <v>0</v>
      </c>
      <c r="O480" s="4">
        <v>1</v>
      </c>
      <c r="P480" s="51">
        <f>IFERROR(_xlfn.XLOOKUP(_xlfn.TEXTJOIN(,,D479:O479),Aux!$B$3:$B$4098,'Truth Table'!$N$3:$N$4098),P479)</f>
        <v>1</v>
      </c>
      <c r="Q480" s="4" t="b" cm="1">
        <f t="array" ref="Q480:U480">IFERROR(_xlfn.XLOOKUP(_xlfn.TEXTJOIN(,,D480:O480),Aux!$B$3:$B$4098,'Truth Table'!$O$3:$S$4098)=1,FALSE)</f>
        <v>1</v>
      </c>
      <c r="R480" s="4" t="b">
        <v>0</v>
      </c>
      <c r="S480" s="4" t="b">
        <v>0</v>
      </c>
      <c r="T480" s="4" t="b">
        <v>0</v>
      </c>
      <c r="U480" s="4" t="b">
        <v>0</v>
      </c>
      <c r="V480" s="4" t="b">
        <f>AND(_xlfn.XLOOKUP(_xlfn.TEXTJOIN(,,D480:O480),Aux!$B$3:$B$4098,'Truth Table'!$T$3:$T$4098)=1,P479&lt;='Line Follower'!$C$7)</f>
        <v>0</v>
      </c>
      <c r="W480" s="4" t="b">
        <f>AND(_xlfn.XLOOKUP(_xlfn.TEXTJOIN(,,D480:O480),Aux!$B$3:$B$4098,'Truth Table'!$U$3:$U$4098)=1,P479&gt;='Line Follower'!$C$6)</f>
        <v>0</v>
      </c>
      <c r="X480" s="4" t="b">
        <f>IFERROR(AND(_xlfn.XLOOKUP(_xlfn.TEXTJOIN(,,D480:O480),Aux!$B$3:$B$4098,'Truth Table'!$V$3:$V$4098)=1,ABS(P479)&lt;='Line Follower'!$C$6),FALSE)</f>
        <v>0</v>
      </c>
      <c r="Y480" s="4" t="b">
        <f t="shared" si="7"/>
        <v>1</v>
      </c>
    </row>
    <row r="481" spans="2:25" x14ac:dyDescent="0.25">
      <c r="B481" s="4">
        <v>478</v>
      </c>
      <c r="C481" s="4">
        <v>3829</v>
      </c>
      <c r="D481" s="4">
        <v>0</v>
      </c>
      <c r="E481" s="4">
        <v>0</v>
      </c>
      <c r="F481" s="4">
        <v>0</v>
      </c>
      <c r="G481" s="4">
        <v>0</v>
      </c>
      <c r="H481" s="4">
        <v>0</v>
      </c>
      <c r="I481" s="4">
        <v>1</v>
      </c>
      <c r="J481" s="4">
        <v>1</v>
      </c>
      <c r="K481" s="4">
        <v>0</v>
      </c>
      <c r="L481" s="4">
        <v>0</v>
      </c>
      <c r="M481" s="4">
        <v>0</v>
      </c>
      <c r="N481" s="4">
        <v>0</v>
      </c>
      <c r="O481" s="4">
        <v>1</v>
      </c>
      <c r="P481" s="51">
        <f>IFERROR(_xlfn.XLOOKUP(_xlfn.TEXTJOIN(,,D480:O480),Aux!$B$3:$B$4098,'Truth Table'!$N$3:$N$4098),P480)</f>
        <v>1</v>
      </c>
      <c r="Q481" s="4" t="b" cm="1">
        <f t="array" ref="Q481:U481">IFERROR(_xlfn.XLOOKUP(_xlfn.TEXTJOIN(,,D481:O481),Aux!$B$3:$B$4098,'Truth Table'!$O$3:$S$4098)=1,FALSE)</f>
        <v>1</v>
      </c>
      <c r="R481" s="4" t="b">
        <v>0</v>
      </c>
      <c r="S481" s="4" t="b">
        <v>0</v>
      </c>
      <c r="T481" s="4" t="b">
        <v>0</v>
      </c>
      <c r="U481" s="4" t="b">
        <v>0</v>
      </c>
      <c r="V481" s="4" t="b">
        <f>AND(_xlfn.XLOOKUP(_xlfn.TEXTJOIN(,,D481:O481),Aux!$B$3:$B$4098,'Truth Table'!$T$3:$T$4098)=1,P480&lt;='Line Follower'!$C$7)</f>
        <v>0</v>
      </c>
      <c r="W481" s="4" t="b">
        <f>AND(_xlfn.XLOOKUP(_xlfn.TEXTJOIN(,,D481:O481),Aux!$B$3:$B$4098,'Truth Table'!$U$3:$U$4098)=1,P480&gt;='Line Follower'!$C$6)</f>
        <v>0</v>
      </c>
      <c r="X481" s="4" t="b">
        <f>IFERROR(AND(_xlfn.XLOOKUP(_xlfn.TEXTJOIN(,,D481:O481),Aux!$B$3:$B$4098,'Truth Table'!$V$3:$V$4098)=1,ABS(P480)&lt;='Line Follower'!$C$6),FALSE)</f>
        <v>0</v>
      </c>
      <c r="Y481" s="4" t="b">
        <f t="shared" si="7"/>
        <v>1</v>
      </c>
    </row>
    <row r="482" spans="2:25" x14ac:dyDescent="0.25">
      <c r="B482" s="4">
        <v>479</v>
      </c>
      <c r="C482" s="4">
        <v>3830</v>
      </c>
      <c r="D482" s="4">
        <v>0</v>
      </c>
      <c r="E482" s="4">
        <v>0</v>
      </c>
      <c r="F482" s="4">
        <v>0</v>
      </c>
      <c r="G482" s="4">
        <v>0</v>
      </c>
      <c r="H482" s="4">
        <v>0</v>
      </c>
      <c r="I482" s="4">
        <v>1</v>
      </c>
      <c r="J482" s="4">
        <v>1</v>
      </c>
      <c r="K482" s="4">
        <v>0</v>
      </c>
      <c r="L482" s="4">
        <v>0</v>
      </c>
      <c r="M482" s="4">
        <v>0</v>
      </c>
      <c r="N482" s="4">
        <v>0</v>
      </c>
      <c r="O482" s="4">
        <v>1</v>
      </c>
      <c r="P482" s="51">
        <f>IFERROR(_xlfn.XLOOKUP(_xlfn.TEXTJOIN(,,D481:O481),Aux!$B$3:$B$4098,'Truth Table'!$N$3:$N$4098),P481)</f>
        <v>1</v>
      </c>
      <c r="Q482" s="4" t="b" cm="1">
        <f t="array" ref="Q482:U482">IFERROR(_xlfn.XLOOKUP(_xlfn.TEXTJOIN(,,D482:O482),Aux!$B$3:$B$4098,'Truth Table'!$O$3:$S$4098)=1,FALSE)</f>
        <v>1</v>
      </c>
      <c r="R482" s="4" t="b">
        <v>0</v>
      </c>
      <c r="S482" s="4" t="b">
        <v>0</v>
      </c>
      <c r="T482" s="4" t="b">
        <v>0</v>
      </c>
      <c r="U482" s="4" t="b">
        <v>0</v>
      </c>
      <c r="V482" s="4" t="b">
        <f>AND(_xlfn.XLOOKUP(_xlfn.TEXTJOIN(,,D482:O482),Aux!$B$3:$B$4098,'Truth Table'!$T$3:$T$4098)=1,P481&lt;='Line Follower'!$C$7)</f>
        <v>0</v>
      </c>
      <c r="W482" s="4" t="b">
        <f>AND(_xlfn.XLOOKUP(_xlfn.TEXTJOIN(,,D482:O482),Aux!$B$3:$B$4098,'Truth Table'!$U$3:$U$4098)=1,P481&gt;='Line Follower'!$C$6)</f>
        <v>0</v>
      </c>
      <c r="X482" s="4" t="b">
        <f>IFERROR(AND(_xlfn.XLOOKUP(_xlfn.TEXTJOIN(,,D482:O482),Aux!$B$3:$B$4098,'Truth Table'!$V$3:$V$4098)=1,ABS(P481)&lt;='Line Follower'!$C$6),FALSE)</f>
        <v>0</v>
      </c>
      <c r="Y482" s="4" t="b">
        <f t="shared" si="7"/>
        <v>1</v>
      </c>
    </row>
    <row r="483" spans="2:25" x14ac:dyDescent="0.25">
      <c r="B483" s="4">
        <v>480</v>
      </c>
      <c r="C483" s="4">
        <v>3844</v>
      </c>
      <c r="D483" s="4">
        <v>0</v>
      </c>
      <c r="E483" s="4">
        <v>0</v>
      </c>
      <c r="F483" s="4">
        <v>0</v>
      </c>
      <c r="G483" s="4">
        <v>0</v>
      </c>
      <c r="H483" s="4">
        <v>0</v>
      </c>
      <c r="I483" s="4">
        <v>1</v>
      </c>
      <c r="J483" s="4">
        <v>1</v>
      </c>
      <c r="K483" s="4">
        <v>0</v>
      </c>
      <c r="L483" s="4">
        <v>0</v>
      </c>
      <c r="M483" s="4">
        <v>0</v>
      </c>
      <c r="N483" s="4">
        <v>0</v>
      </c>
      <c r="O483" s="4">
        <v>1</v>
      </c>
      <c r="P483" s="51">
        <f>IFERROR(_xlfn.XLOOKUP(_xlfn.TEXTJOIN(,,D482:O482),Aux!$B$3:$B$4098,'Truth Table'!$N$3:$N$4098),P482)</f>
        <v>1</v>
      </c>
      <c r="Q483" s="4" t="b" cm="1">
        <f t="array" ref="Q483:U483">IFERROR(_xlfn.XLOOKUP(_xlfn.TEXTJOIN(,,D483:O483),Aux!$B$3:$B$4098,'Truth Table'!$O$3:$S$4098)=1,FALSE)</f>
        <v>1</v>
      </c>
      <c r="R483" s="4" t="b">
        <v>0</v>
      </c>
      <c r="S483" s="4" t="b">
        <v>0</v>
      </c>
      <c r="T483" s="4" t="b">
        <v>0</v>
      </c>
      <c r="U483" s="4" t="b">
        <v>0</v>
      </c>
      <c r="V483" s="4" t="b">
        <f>AND(_xlfn.XLOOKUP(_xlfn.TEXTJOIN(,,D483:O483),Aux!$B$3:$B$4098,'Truth Table'!$T$3:$T$4098)=1,P482&lt;='Line Follower'!$C$7)</f>
        <v>0</v>
      </c>
      <c r="W483" s="4" t="b">
        <f>AND(_xlfn.XLOOKUP(_xlfn.TEXTJOIN(,,D483:O483),Aux!$B$3:$B$4098,'Truth Table'!$U$3:$U$4098)=1,P482&gt;='Line Follower'!$C$6)</f>
        <v>0</v>
      </c>
      <c r="X483" s="4" t="b">
        <f>IFERROR(AND(_xlfn.XLOOKUP(_xlfn.TEXTJOIN(,,D483:O483),Aux!$B$3:$B$4098,'Truth Table'!$V$3:$V$4098)=1,ABS(P482)&lt;='Line Follower'!$C$6),FALSE)</f>
        <v>0</v>
      </c>
      <c r="Y483" s="4" t="b">
        <f t="shared" si="7"/>
        <v>1</v>
      </c>
    </row>
    <row r="484" spans="2:25" x14ac:dyDescent="0.25">
      <c r="B484" s="4">
        <v>481</v>
      </c>
      <c r="C484" s="4">
        <v>3858</v>
      </c>
      <c r="D484" s="4">
        <v>0</v>
      </c>
      <c r="E484" s="4">
        <v>0</v>
      </c>
      <c r="F484" s="4">
        <v>0</v>
      </c>
      <c r="G484" s="4">
        <v>0</v>
      </c>
      <c r="H484" s="4">
        <v>0</v>
      </c>
      <c r="I484" s="4">
        <v>1</v>
      </c>
      <c r="J484" s="4">
        <v>1</v>
      </c>
      <c r="K484" s="4">
        <v>0</v>
      </c>
      <c r="L484" s="4">
        <v>0</v>
      </c>
      <c r="M484" s="4">
        <v>0</v>
      </c>
      <c r="N484" s="4">
        <v>0</v>
      </c>
      <c r="O484" s="4">
        <v>1</v>
      </c>
      <c r="P484" s="51">
        <f>IFERROR(_xlfn.XLOOKUP(_xlfn.TEXTJOIN(,,D483:O483),Aux!$B$3:$B$4098,'Truth Table'!$N$3:$N$4098),P483)</f>
        <v>1</v>
      </c>
      <c r="Q484" s="4" t="b" cm="1">
        <f t="array" ref="Q484:U484">IFERROR(_xlfn.XLOOKUP(_xlfn.TEXTJOIN(,,D484:O484),Aux!$B$3:$B$4098,'Truth Table'!$O$3:$S$4098)=1,FALSE)</f>
        <v>1</v>
      </c>
      <c r="R484" s="4" t="b">
        <v>0</v>
      </c>
      <c r="S484" s="4" t="b">
        <v>0</v>
      </c>
      <c r="T484" s="4" t="b">
        <v>0</v>
      </c>
      <c r="U484" s="4" t="b">
        <v>0</v>
      </c>
      <c r="V484" s="4" t="b">
        <f>AND(_xlfn.XLOOKUP(_xlfn.TEXTJOIN(,,D484:O484),Aux!$B$3:$B$4098,'Truth Table'!$T$3:$T$4098)=1,P483&lt;='Line Follower'!$C$7)</f>
        <v>0</v>
      </c>
      <c r="W484" s="4" t="b">
        <f>AND(_xlfn.XLOOKUP(_xlfn.TEXTJOIN(,,D484:O484),Aux!$B$3:$B$4098,'Truth Table'!$U$3:$U$4098)=1,P483&gt;='Line Follower'!$C$6)</f>
        <v>0</v>
      </c>
      <c r="X484" s="4" t="b">
        <f>IFERROR(AND(_xlfn.XLOOKUP(_xlfn.TEXTJOIN(,,D484:O484),Aux!$B$3:$B$4098,'Truth Table'!$V$3:$V$4098)=1,ABS(P483)&lt;='Line Follower'!$C$6),FALSE)</f>
        <v>0</v>
      </c>
      <c r="Y484" s="4" t="b">
        <f t="shared" si="7"/>
        <v>1</v>
      </c>
    </row>
    <row r="485" spans="2:25" x14ac:dyDescent="0.25">
      <c r="B485" s="4">
        <v>482</v>
      </c>
      <c r="C485" s="4">
        <v>3867</v>
      </c>
      <c r="D485" s="4">
        <v>0</v>
      </c>
      <c r="E485" s="4">
        <v>0</v>
      </c>
      <c r="F485" s="4">
        <v>0</v>
      </c>
      <c r="G485" s="4">
        <v>0</v>
      </c>
      <c r="H485" s="4">
        <v>0</v>
      </c>
      <c r="I485" s="4">
        <v>1</v>
      </c>
      <c r="J485" s="4">
        <v>1</v>
      </c>
      <c r="K485" s="4">
        <v>0</v>
      </c>
      <c r="L485" s="4">
        <v>0</v>
      </c>
      <c r="M485" s="4">
        <v>0</v>
      </c>
      <c r="N485" s="4">
        <v>0</v>
      </c>
      <c r="O485" s="4">
        <v>1</v>
      </c>
      <c r="P485" s="51">
        <f>IFERROR(_xlfn.XLOOKUP(_xlfn.TEXTJOIN(,,D484:O484),Aux!$B$3:$B$4098,'Truth Table'!$N$3:$N$4098),P484)</f>
        <v>1</v>
      </c>
      <c r="Q485" s="4" t="b" cm="1">
        <f t="array" ref="Q485:U485">IFERROR(_xlfn.XLOOKUP(_xlfn.TEXTJOIN(,,D485:O485),Aux!$B$3:$B$4098,'Truth Table'!$O$3:$S$4098)=1,FALSE)</f>
        <v>1</v>
      </c>
      <c r="R485" s="4" t="b">
        <v>0</v>
      </c>
      <c r="S485" s="4" t="b">
        <v>0</v>
      </c>
      <c r="T485" s="4" t="b">
        <v>0</v>
      </c>
      <c r="U485" s="4" t="b">
        <v>0</v>
      </c>
      <c r="V485" s="4" t="b">
        <f>AND(_xlfn.XLOOKUP(_xlfn.TEXTJOIN(,,D485:O485),Aux!$B$3:$B$4098,'Truth Table'!$T$3:$T$4098)=1,P484&lt;='Line Follower'!$C$7)</f>
        <v>0</v>
      </c>
      <c r="W485" s="4" t="b">
        <f>AND(_xlfn.XLOOKUP(_xlfn.TEXTJOIN(,,D485:O485),Aux!$B$3:$B$4098,'Truth Table'!$U$3:$U$4098)=1,P484&gt;='Line Follower'!$C$6)</f>
        <v>0</v>
      </c>
      <c r="X485" s="4" t="b">
        <f>IFERROR(AND(_xlfn.XLOOKUP(_xlfn.TEXTJOIN(,,D485:O485),Aux!$B$3:$B$4098,'Truth Table'!$V$3:$V$4098)=1,ABS(P484)&lt;='Line Follower'!$C$6),FALSE)</f>
        <v>0</v>
      </c>
      <c r="Y485" s="4" t="b">
        <f t="shared" si="7"/>
        <v>1</v>
      </c>
    </row>
    <row r="486" spans="2:25" x14ac:dyDescent="0.25">
      <c r="B486" s="4">
        <v>483</v>
      </c>
      <c r="C486" s="4">
        <v>3867</v>
      </c>
      <c r="D486" s="4">
        <v>0</v>
      </c>
      <c r="E486" s="4">
        <v>0</v>
      </c>
      <c r="F486" s="4">
        <v>0</v>
      </c>
      <c r="G486" s="4">
        <v>0</v>
      </c>
      <c r="H486" s="4">
        <v>0</v>
      </c>
      <c r="I486" s="4">
        <v>1</v>
      </c>
      <c r="J486" s="4">
        <v>1</v>
      </c>
      <c r="K486" s="4">
        <v>0</v>
      </c>
      <c r="L486" s="4">
        <v>0</v>
      </c>
      <c r="M486" s="4">
        <v>0</v>
      </c>
      <c r="N486" s="4">
        <v>0</v>
      </c>
      <c r="O486" s="4">
        <v>1</v>
      </c>
      <c r="P486" s="51">
        <f>IFERROR(_xlfn.XLOOKUP(_xlfn.TEXTJOIN(,,D485:O485),Aux!$B$3:$B$4098,'Truth Table'!$N$3:$N$4098),P485)</f>
        <v>1</v>
      </c>
      <c r="Q486" s="4" t="b" cm="1">
        <f t="array" ref="Q486:U486">IFERROR(_xlfn.XLOOKUP(_xlfn.TEXTJOIN(,,D486:O486),Aux!$B$3:$B$4098,'Truth Table'!$O$3:$S$4098)=1,FALSE)</f>
        <v>1</v>
      </c>
      <c r="R486" s="4" t="b">
        <v>0</v>
      </c>
      <c r="S486" s="4" t="b">
        <v>0</v>
      </c>
      <c r="T486" s="4" t="b">
        <v>0</v>
      </c>
      <c r="U486" s="4" t="b">
        <v>0</v>
      </c>
      <c r="V486" s="4" t="b">
        <f>AND(_xlfn.XLOOKUP(_xlfn.TEXTJOIN(,,D486:O486),Aux!$B$3:$B$4098,'Truth Table'!$T$3:$T$4098)=1,P485&lt;='Line Follower'!$C$7)</f>
        <v>0</v>
      </c>
      <c r="W486" s="4" t="b">
        <f>AND(_xlfn.XLOOKUP(_xlfn.TEXTJOIN(,,D486:O486),Aux!$B$3:$B$4098,'Truth Table'!$U$3:$U$4098)=1,P485&gt;='Line Follower'!$C$6)</f>
        <v>0</v>
      </c>
      <c r="X486" s="4" t="b">
        <f>IFERROR(AND(_xlfn.XLOOKUP(_xlfn.TEXTJOIN(,,D486:O486),Aux!$B$3:$B$4098,'Truth Table'!$V$3:$V$4098)=1,ABS(P485)&lt;='Line Follower'!$C$6),FALSE)</f>
        <v>0</v>
      </c>
      <c r="Y486" s="4" t="b">
        <f t="shared" si="7"/>
        <v>1</v>
      </c>
    </row>
    <row r="487" spans="2:25" x14ac:dyDescent="0.25">
      <c r="B487" s="4">
        <v>484</v>
      </c>
      <c r="C487" s="4">
        <v>3875</v>
      </c>
      <c r="D487" s="4">
        <v>0</v>
      </c>
      <c r="E487" s="4">
        <v>0</v>
      </c>
      <c r="F487" s="4">
        <v>0</v>
      </c>
      <c r="G487" s="4">
        <v>0</v>
      </c>
      <c r="H487" s="4">
        <v>0</v>
      </c>
      <c r="I487" s="4">
        <v>1</v>
      </c>
      <c r="J487" s="4">
        <v>1</v>
      </c>
      <c r="K487" s="4">
        <v>0</v>
      </c>
      <c r="L487" s="4">
        <v>0</v>
      </c>
      <c r="M487" s="4">
        <v>0</v>
      </c>
      <c r="N487" s="4">
        <v>0</v>
      </c>
      <c r="O487" s="4">
        <v>1</v>
      </c>
      <c r="P487" s="51">
        <f>IFERROR(_xlfn.XLOOKUP(_xlfn.TEXTJOIN(,,D486:O486),Aux!$B$3:$B$4098,'Truth Table'!$N$3:$N$4098),P486)</f>
        <v>1</v>
      </c>
      <c r="Q487" s="4" t="b" cm="1">
        <f t="array" ref="Q487:U487">IFERROR(_xlfn.XLOOKUP(_xlfn.TEXTJOIN(,,D487:O487),Aux!$B$3:$B$4098,'Truth Table'!$O$3:$S$4098)=1,FALSE)</f>
        <v>1</v>
      </c>
      <c r="R487" s="4" t="b">
        <v>0</v>
      </c>
      <c r="S487" s="4" t="b">
        <v>0</v>
      </c>
      <c r="T487" s="4" t="b">
        <v>0</v>
      </c>
      <c r="U487" s="4" t="b">
        <v>0</v>
      </c>
      <c r="V487" s="4" t="b">
        <f>AND(_xlfn.XLOOKUP(_xlfn.TEXTJOIN(,,D487:O487),Aux!$B$3:$B$4098,'Truth Table'!$T$3:$T$4098)=1,P486&lt;='Line Follower'!$C$7)</f>
        <v>0</v>
      </c>
      <c r="W487" s="4" t="b">
        <f>AND(_xlfn.XLOOKUP(_xlfn.TEXTJOIN(,,D487:O487),Aux!$B$3:$B$4098,'Truth Table'!$U$3:$U$4098)=1,P486&gt;='Line Follower'!$C$6)</f>
        <v>0</v>
      </c>
      <c r="X487" s="4" t="b">
        <f>IFERROR(AND(_xlfn.XLOOKUP(_xlfn.TEXTJOIN(,,D487:O487),Aux!$B$3:$B$4098,'Truth Table'!$V$3:$V$4098)=1,ABS(P486)&lt;='Line Follower'!$C$6),FALSE)</f>
        <v>0</v>
      </c>
      <c r="Y487" s="4" t="b">
        <f t="shared" si="7"/>
        <v>1</v>
      </c>
    </row>
    <row r="488" spans="2:25" x14ac:dyDescent="0.25">
      <c r="B488" s="4">
        <v>485</v>
      </c>
      <c r="C488" s="4">
        <v>3889</v>
      </c>
      <c r="D488" s="4">
        <v>0</v>
      </c>
      <c r="E488" s="4">
        <v>0</v>
      </c>
      <c r="F488" s="4">
        <v>0</v>
      </c>
      <c r="G488" s="4">
        <v>0</v>
      </c>
      <c r="H488" s="4">
        <v>1</v>
      </c>
      <c r="I488" s="4">
        <v>1</v>
      </c>
      <c r="J488" s="4">
        <v>1</v>
      </c>
      <c r="K488" s="4">
        <v>0</v>
      </c>
      <c r="L488" s="4">
        <v>0</v>
      </c>
      <c r="M488" s="4">
        <v>0</v>
      </c>
      <c r="N488" s="4">
        <v>0</v>
      </c>
      <c r="O488" s="4">
        <v>1</v>
      </c>
      <c r="P488" s="51">
        <f>IFERROR(_xlfn.XLOOKUP(_xlfn.TEXTJOIN(,,D487:O487),Aux!$B$3:$B$4098,'Truth Table'!$N$3:$N$4098),P487)</f>
        <v>1</v>
      </c>
      <c r="Q488" s="4" t="b" cm="1">
        <f t="array" ref="Q488:U488">IFERROR(_xlfn.XLOOKUP(_xlfn.TEXTJOIN(,,D488:O488),Aux!$B$3:$B$4098,'Truth Table'!$O$3:$S$4098)=1,FALSE)</f>
        <v>1</v>
      </c>
      <c r="R488" s="4" t="b">
        <v>1</v>
      </c>
      <c r="S488" s="4" t="b">
        <v>0</v>
      </c>
      <c r="T488" s="4" t="b">
        <v>0</v>
      </c>
      <c r="U488" s="4" t="b">
        <v>0</v>
      </c>
      <c r="V488" s="4" t="b">
        <f>AND(_xlfn.XLOOKUP(_xlfn.TEXTJOIN(,,D488:O488),Aux!$B$3:$B$4098,'Truth Table'!$T$3:$T$4098)=1,P487&lt;='Line Follower'!$C$7)</f>
        <v>0</v>
      </c>
      <c r="W488" s="4" t="b">
        <f>AND(_xlfn.XLOOKUP(_xlfn.TEXTJOIN(,,D488:O488),Aux!$B$3:$B$4098,'Truth Table'!$U$3:$U$4098)=1,P487&gt;='Line Follower'!$C$6)</f>
        <v>0</v>
      </c>
      <c r="X488" s="4" t="b">
        <f>IFERROR(AND(_xlfn.XLOOKUP(_xlfn.TEXTJOIN(,,D488:O488),Aux!$B$3:$B$4098,'Truth Table'!$V$3:$V$4098)=1,ABS(P487)&lt;='Line Follower'!$C$6),FALSE)</f>
        <v>0</v>
      </c>
      <c r="Y488" s="4" t="b">
        <f t="shared" si="7"/>
        <v>1</v>
      </c>
    </row>
    <row r="489" spans="2:25" x14ac:dyDescent="0.25">
      <c r="B489" s="4">
        <v>486</v>
      </c>
      <c r="C489" s="4">
        <v>3897</v>
      </c>
      <c r="D489" s="4">
        <v>0</v>
      </c>
      <c r="E489" s="4">
        <v>0</v>
      </c>
      <c r="F489" s="4">
        <v>0</v>
      </c>
      <c r="G489" s="4">
        <v>0</v>
      </c>
      <c r="H489" s="4">
        <v>1</v>
      </c>
      <c r="I489" s="4">
        <v>1</v>
      </c>
      <c r="J489" s="4">
        <v>1</v>
      </c>
      <c r="K489" s="4">
        <v>0</v>
      </c>
      <c r="L489" s="4">
        <v>0</v>
      </c>
      <c r="M489" s="4">
        <v>0</v>
      </c>
      <c r="N489" s="4">
        <v>0</v>
      </c>
      <c r="O489" s="4">
        <v>1</v>
      </c>
      <c r="P489" s="51">
        <f>IFERROR(_xlfn.XLOOKUP(_xlfn.TEXTJOIN(,,D488:O488),Aux!$B$3:$B$4098,'Truth Table'!$N$3:$N$4098),P488)</f>
        <v>0</v>
      </c>
      <c r="Q489" s="4" t="b" cm="1">
        <f t="array" ref="Q489:U489">IFERROR(_xlfn.XLOOKUP(_xlfn.TEXTJOIN(,,D489:O489),Aux!$B$3:$B$4098,'Truth Table'!$O$3:$S$4098)=1,FALSE)</f>
        <v>1</v>
      </c>
      <c r="R489" s="4" t="b">
        <v>1</v>
      </c>
      <c r="S489" s="4" t="b">
        <v>0</v>
      </c>
      <c r="T489" s="4" t="b">
        <v>0</v>
      </c>
      <c r="U489" s="4" t="b">
        <v>0</v>
      </c>
      <c r="V489" s="4" t="b">
        <f>AND(_xlfn.XLOOKUP(_xlfn.TEXTJOIN(,,D489:O489),Aux!$B$3:$B$4098,'Truth Table'!$T$3:$T$4098)=1,P488&lt;='Line Follower'!$C$7)</f>
        <v>0</v>
      </c>
      <c r="W489" s="4" t="b">
        <f>AND(_xlfn.XLOOKUP(_xlfn.TEXTJOIN(,,D489:O489),Aux!$B$3:$B$4098,'Truth Table'!$U$3:$U$4098)=1,P488&gt;='Line Follower'!$C$6)</f>
        <v>0</v>
      </c>
      <c r="X489" s="4" t="b">
        <f>IFERROR(AND(_xlfn.XLOOKUP(_xlfn.TEXTJOIN(,,D489:O489),Aux!$B$3:$B$4098,'Truth Table'!$V$3:$V$4098)=1,ABS(P488)&lt;='Line Follower'!$C$6),FALSE)</f>
        <v>0</v>
      </c>
      <c r="Y489" s="4" t="b">
        <f t="shared" si="7"/>
        <v>1</v>
      </c>
    </row>
    <row r="490" spans="2:25" x14ac:dyDescent="0.25">
      <c r="B490" s="4">
        <v>487</v>
      </c>
      <c r="C490" s="4">
        <v>3909</v>
      </c>
      <c r="D490" s="4">
        <v>0</v>
      </c>
      <c r="E490" s="4">
        <v>0</v>
      </c>
      <c r="F490" s="4">
        <v>0</v>
      </c>
      <c r="G490" s="4">
        <v>0</v>
      </c>
      <c r="H490" s="4">
        <v>0</v>
      </c>
      <c r="I490" s="4">
        <v>1</v>
      </c>
      <c r="J490" s="4">
        <v>1</v>
      </c>
      <c r="K490" s="4">
        <v>0</v>
      </c>
      <c r="L490" s="4">
        <v>0</v>
      </c>
      <c r="M490" s="4">
        <v>0</v>
      </c>
      <c r="N490" s="4">
        <v>0</v>
      </c>
      <c r="O490" s="4">
        <v>1</v>
      </c>
      <c r="P490" s="51">
        <f>IFERROR(_xlfn.XLOOKUP(_xlfn.TEXTJOIN(,,D489:O489),Aux!$B$3:$B$4098,'Truth Table'!$N$3:$N$4098),P489)</f>
        <v>0</v>
      </c>
      <c r="Q490" s="4" t="b" cm="1">
        <f t="array" ref="Q490:U490">IFERROR(_xlfn.XLOOKUP(_xlfn.TEXTJOIN(,,D490:O490),Aux!$B$3:$B$4098,'Truth Table'!$O$3:$S$4098)=1,FALSE)</f>
        <v>1</v>
      </c>
      <c r="R490" s="4" t="b">
        <v>0</v>
      </c>
      <c r="S490" s="4" t="b">
        <v>0</v>
      </c>
      <c r="T490" s="4" t="b">
        <v>0</v>
      </c>
      <c r="U490" s="4" t="b">
        <v>0</v>
      </c>
      <c r="V490" s="4" t="b">
        <f>AND(_xlfn.XLOOKUP(_xlfn.TEXTJOIN(,,D490:O490),Aux!$B$3:$B$4098,'Truth Table'!$T$3:$T$4098)=1,P489&lt;='Line Follower'!$C$7)</f>
        <v>0</v>
      </c>
      <c r="W490" s="4" t="b">
        <f>AND(_xlfn.XLOOKUP(_xlfn.TEXTJOIN(,,D490:O490),Aux!$B$3:$B$4098,'Truth Table'!$U$3:$U$4098)=1,P489&gt;='Line Follower'!$C$6)</f>
        <v>0</v>
      </c>
      <c r="X490" s="4" t="b">
        <f>IFERROR(AND(_xlfn.XLOOKUP(_xlfn.TEXTJOIN(,,D490:O490),Aux!$B$3:$B$4098,'Truth Table'!$V$3:$V$4098)=1,ABS(P489)&lt;='Line Follower'!$C$6),FALSE)</f>
        <v>0</v>
      </c>
      <c r="Y490" s="4" t="b">
        <f t="shared" si="7"/>
        <v>1</v>
      </c>
    </row>
    <row r="491" spans="2:25" x14ac:dyDescent="0.25">
      <c r="B491" s="4">
        <v>488</v>
      </c>
      <c r="C491" s="4">
        <v>3918</v>
      </c>
      <c r="D491" s="4">
        <v>0</v>
      </c>
      <c r="E491" s="4">
        <v>0</v>
      </c>
      <c r="F491" s="4">
        <v>0</v>
      </c>
      <c r="G491" s="4">
        <v>0</v>
      </c>
      <c r="H491" s="4">
        <v>0</v>
      </c>
      <c r="I491" s="4">
        <v>1</v>
      </c>
      <c r="J491" s="4">
        <v>1</v>
      </c>
      <c r="K491" s="4">
        <v>0</v>
      </c>
      <c r="L491" s="4">
        <v>0</v>
      </c>
      <c r="M491" s="4">
        <v>0</v>
      </c>
      <c r="N491" s="4">
        <v>0</v>
      </c>
      <c r="O491" s="4">
        <v>1</v>
      </c>
      <c r="P491" s="51">
        <f>IFERROR(_xlfn.XLOOKUP(_xlfn.TEXTJOIN(,,D490:O490),Aux!$B$3:$B$4098,'Truth Table'!$N$3:$N$4098),P490)</f>
        <v>1</v>
      </c>
      <c r="Q491" s="4" t="b" cm="1">
        <f t="array" ref="Q491:U491">IFERROR(_xlfn.XLOOKUP(_xlfn.TEXTJOIN(,,D491:O491),Aux!$B$3:$B$4098,'Truth Table'!$O$3:$S$4098)=1,FALSE)</f>
        <v>1</v>
      </c>
      <c r="R491" s="4" t="b">
        <v>0</v>
      </c>
      <c r="S491" s="4" t="b">
        <v>0</v>
      </c>
      <c r="T491" s="4" t="b">
        <v>0</v>
      </c>
      <c r="U491" s="4" t="b">
        <v>0</v>
      </c>
      <c r="V491" s="4" t="b">
        <f>AND(_xlfn.XLOOKUP(_xlfn.TEXTJOIN(,,D491:O491),Aux!$B$3:$B$4098,'Truth Table'!$T$3:$T$4098)=1,P490&lt;='Line Follower'!$C$7)</f>
        <v>0</v>
      </c>
      <c r="W491" s="4" t="b">
        <f>AND(_xlfn.XLOOKUP(_xlfn.TEXTJOIN(,,D491:O491),Aux!$B$3:$B$4098,'Truth Table'!$U$3:$U$4098)=1,P490&gt;='Line Follower'!$C$6)</f>
        <v>0</v>
      </c>
      <c r="X491" s="4" t="b">
        <f>IFERROR(AND(_xlfn.XLOOKUP(_xlfn.TEXTJOIN(,,D491:O491),Aux!$B$3:$B$4098,'Truth Table'!$V$3:$V$4098)=1,ABS(P490)&lt;='Line Follower'!$C$6),FALSE)</f>
        <v>0</v>
      </c>
      <c r="Y491" s="4" t="b">
        <f t="shared" si="7"/>
        <v>1</v>
      </c>
    </row>
    <row r="492" spans="2:25" x14ac:dyDescent="0.25">
      <c r="B492" s="4">
        <v>489</v>
      </c>
      <c r="C492" s="4">
        <v>3927</v>
      </c>
      <c r="D492" s="4">
        <v>0</v>
      </c>
      <c r="E492" s="4">
        <v>0</v>
      </c>
      <c r="F492" s="4">
        <v>0</v>
      </c>
      <c r="G492" s="4">
        <v>0</v>
      </c>
      <c r="H492" s="4">
        <v>0</v>
      </c>
      <c r="I492" s="4">
        <v>1</v>
      </c>
      <c r="J492" s="4">
        <v>1</v>
      </c>
      <c r="K492" s="4">
        <v>0</v>
      </c>
      <c r="L492" s="4">
        <v>0</v>
      </c>
      <c r="M492" s="4">
        <v>0</v>
      </c>
      <c r="N492" s="4">
        <v>0</v>
      </c>
      <c r="O492" s="4">
        <v>1</v>
      </c>
      <c r="P492" s="51">
        <f>IFERROR(_xlfn.XLOOKUP(_xlfn.TEXTJOIN(,,D491:O491),Aux!$B$3:$B$4098,'Truth Table'!$N$3:$N$4098),P491)</f>
        <v>1</v>
      </c>
      <c r="Q492" s="4" t="b" cm="1">
        <f t="array" ref="Q492:U492">IFERROR(_xlfn.XLOOKUP(_xlfn.TEXTJOIN(,,D492:O492),Aux!$B$3:$B$4098,'Truth Table'!$O$3:$S$4098)=1,FALSE)</f>
        <v>1</v>
      </c>
      <c r="R492" s="4" t="b">
        <v>0</v>
      </c>
      <c r="S492" s="4" t="b">
        <v>0</v>
      </c>
      <c r="T492" s="4" t="b">
        <v>0</v>
      </c>
      <c r="U492" s="4" t="b">
        <v>0</v>
      </c>
      <c r="V492" s="4" t="b">
        <f>AND(_xlfn.XLOOKUP(_xlfn.TEXTJOIN(,,D492:O492),Aux!$B$3:$B$4098,'Truth Table'!$T$3:$T$4098)=1,P491&lt;='Line Follower'!$C$7)</f>
        <v>0</v>
      </c>
      <c r="W492" s="4" t="b">
        <f>AND(_xlfn.XLOOKUP(_xlfn.TEXTJOIN(,,D492:O492),Aux!$B$3:$B$4098,'Truth Table'!$U$3:$U$4098)=1,P491&gt;='Line Follower'!$C$6)</f>
        <v>0</v>
      </c>
      <c r="X492" s="4" t="b">
        <f>IFERROR(AND(_xlfn.XLOOKUP(_xlfn.TEXTJOIN(,,D492:O492),Aux!$B$3:$B$4098,'Truth Table'!$V$3:$V$4098)=1,ABS(P491)&lt;='Line Follower'!$C$6),FALSE)</f>
        <v>0</v>
      </c>
      <c r="Y492" s="4" t="b">
        <f t="shared" si="7"/>
        <v>1</v>
      </c>
    </row>
    <row r="493" spans="2:25" x14ac:dyDescent="0.25">
      <c r="B493" s="4">
        <v>490</v>
      </c>
      <c r="C493" s="4">
        <v>3941</v>
      </c>
      <c r="D493" s="4">
        <v>0</v>
      </c>
      <c r="E493" s="4">
        <v>0</v>
      </c>
      <c r="F493" s="4">
        <v>0</v>
      </c>
      <c r="G493" s="4">
        <v>0</v>
      </c>
      <c r="H493" s="4">
        <v>0</v>
      </c>
      <c r="I493" s="4">
        <v>1</v>
      </c>
      <c r="J493" s="4">
        <v>1</v>
      </c>
      <c r="K493" s="4">
        <v>0</v>
      </c>
      <c r="L493" s="4">
        <v>0</v>
      </c>
      <c r="M493" s="4">
        <v>0</v>
      </c>
      <c r="N493" s="4">
        <v>0</v>
      </c>
      <c r="O493" s="4">
        <v>1</v>
      </c>
      <c r="P493" s="51">
        <f>IFERROR(_xlfn.XLOOKUP(_xlfn.TEXTJOIN(,,D492:O492),Aux!$B$3:$B$4098,'Truth Table'!$N$3:$N$4098),P492)</f>
        <v>1</v>
      </c>
      <c r="Q493" s="4" t="b" cm="1">
        <f t="array" ref="Q493:U493">IFERROR(_xlfn.XLOOKUP(_xlfn.TEXTJOIN(,,D493:O493),Aux!$B$3:$B$4098,'Truth Table'!$O$3:$S$4098)=1,FALSE)</f>
        <v>1</v>
      </c>
      <c r="R493" s="4" t="b">
        <v>0</v>
      </c>
      <c r="S493" s="4" t="b">
        <v>0</v>
      </c>
      <c r="T493" s="4" t="b">
        <v>0</v>
      </c>
      <c r="U493" s="4" t="b">
        <v>0</v>
      </c>
      <c r="V493" s="4" t="b">
        <f>AND(_xlfn.XLOOKUP(_xlfn.TEXTJOIN(,,D493:O493),Aux!$B$3:$B$4098,'Truth Table'!$T$3:$T$4098)=1,P492&lt;='Line Follower'!$C$7)</f>
        <v>0</v>
      </c>
      <c r="W493" s="4" t="b">
        <f>AND(_xlfn.XLOOKUP(_xlfn.TEXTJOIN(,,D493:O493),Aux!$B$3:$B$4098,'Truth Table'!$U$3:$U$4098)=1,P492&gt;='Line Follower'!$C$6)</f>
        <v>0</v>
      </c>
      <c r="X493" s="4" t="b">
        <f>IFERROR(AND(_xlfn.XLOOKUP(_xlfn.TEXTJOIN(,,D493:O493),Aux!$B$3:$B$4098,'Truth Table'!$V$3:$V$4098)=1,ABS(P492)&lt;='Line Follower'!$C$6),FALSE)</f>
        <v>0</v>
      </c>
      <c r="Y493" s="4" t="b">
        <f t="shared" si="7"/>
        <v>1</v>
      </c>
    </row>
    <row r="494" spans="2:25" x14ac:dyDescent="0.25">
      <c r="B494" s="4">
        <v>491</v>
      </c>
      <c r="C494" s="4">
        <v>3947</v>
      </c>
      <c r="D494" s="4">
        <v>0</v>
      </c>
      <c r="E494" s="4">
        <v>0</v>
      </c>
      <c r="F494" s="4">
        <v>0</v>
      </c>
      <c r="G494" s="4">
        <v>0</v>
      </c>
      <c r="H494" s="4">
        <v>0</v>
      </c>
      <c r="I494" s="4">
        <v>1</v>
      </c>
      <c r="J494" s="4">
        <v>1</v>
      </c>
      <c r="K494" s="4">
        <v>0</v>
      </c>
      <c r="L494" s="4">
        <v>0</v>
      </c>
      <c r="M494" s="4">
        <v>0</v>
      </c>
      <c r="N494" s="4">
        <v>0</v>
      </c>
      <c r="O494" s="4">
        <v>1</v>
      </c>
      <c r="P494" s="51">
        <f>IFERROR(_xlfn.XLOOKUP(_xlfn.TEXTJOIN(,,D493:O493),Aux!$B$3:$B$4098,'Truth Table'!$N$3:$N$4098),P493)</f>
        <v>1</v>
      </c>
      <c r="Q494" s="4" t="b" cm="1">
        <f t="array" ref="Q494:U494">IFERROR(_xlfn.XLOOKUP(_xlfn.TEXTJOIN(,,D494:O494),Aux!$B$3:$B$4098,'Truth Table'!$O$3:$S$4098)=1,FALSE)</f>
        <v>1</v>
      </c>
      <c r="R494" s="4" t="b">
        <v>0</v>
      </c>
      <c r="S494" s="4" t="b">
        <v>0</v>
      </c>
      <c r="T494" s="4" t="b">
        <v>0</v>
      </c>
      <c r="U494" s="4" t="b">
        <v>0</v>
      </c>
      <c r="V494" s="4" t="b">
        <f>AND(_xlfn.XLOOKUP(_xlfn.TEXTJOIN(,,D494:O494),Aux!$B$3:$B$4098,'Truth Table'!$T$3:$T$4098)=1,P493&lt;='Line Follower'!$C$7)</f>
        <v>0</v>
      </c>
      <c r="W494" s="4" t="b">
        <f>AND(_xlfn.XLOOKUP(_xlfn.TEXTJOIN(,,D494:O494),Aux!$B$3:$B$4098,'Truth Table'!$U$3:$U$4098)=1,P493&gt;='Line Follower'!$C$6)</f>
        <v>0</v>
      </c>
      <c r="X494" s="4" t="b">
        <f>IFERROR(AND(_xlfn.XLOOKUP(_xlfn.TEXTJOIN(,,D494:O494),Aux!$B$3:$B$4098,'Truth Table'!$V$3:$V$4098)=1,ABS(P493)&lt;='Line Follower'!$C$6),FALSE)</f>
        <v>0</v>
      </c>
      <c r="Y494" s="4" t="b">
        <f t="shared" si="7"/>
        <v>1</v>
      </c>
    </row>
    <row r="495" spans="2:25" x14ac:dyDescent="0.25">
      <c r="B495" s="4">
        <v>492</v>
      </c>
      <c r="C495" s="4">
        <v>3961</v>
      </c>
      <c r="D495" s="4">
        <v>0</v>
      </c>
      <c r="E495" s="4">
        <v>0</v>
      </c>
      <c r="F495" s="4">
        <v>0</v>
      </c>
      <c r="G495" s="4">
        <v>0</v>
      </c>
      <c r="H495" s="4">
        <v>0</v>
      </c>
      <c r="I495" s="4">
        <v>1</v>
      </c>
      <c r="J495" s="4">
        <v>1</v>
      </c>
      <c r="K495" s="4">
        <v>0</v>
      </c>
      <c r="L495" s="4">
        <v>0</v>
      </c>
      <c r="M495" s="4">
        <v>0</v>
      </c>
      <c r="N495" s="4">
        <v>0</v>
      </c>
      <c r="O495" s="4">
        <v>1</v>
      </c>
      <c r="P495" s="51">
        <f>IFERROR(_xlfn.XLOOKUP(_xlfn.TEXTJOIN(,,D494:O494),Aux!$B$3:$B$4098,'Truth Table'!$N$3:$N$4098),P494)</f>
        <v>1</v>
      </c>
      <c r="Q495" s="4" t="b" cm="1">
        <f t="array" ref="Q495:U495">IFERROR(_xlfn.XLOOKUP(_xlfn.TEXTJOIN(,,D495:O495),Aux!$B$3:$B$4098,'Truth Table'!$O$3:$S$4098)=1,FALSE)</f>
        <v>1</v>
      </c>
      <c r="R495" s="4" t="b">
        <v>0</v>
      </c>
      <c r="S495" s="4" t="b">
        <v>0</v>
      </c>
      <c r="T495" s="4" t="b">
        <v>0</v>
      </c>
      <c r="U495" s="4" t="b">
        <v>0</v>
      </c>
      <c r="V495" s="4" t="b">
        <f>AND(_xlfn.XLOOKUP(_xlfn.TEXTJOIN(,,D495:O495),Aux!$B$3:$B$4098,'Truth Table'!$T$3:$T$4098)=1,P494&lt;='Line Follower'!$C$7)</f>
        <v>0</v>
      </c>
      <c r="W495" s="4" t="b">
        <f>AND(_xlfn.XLOOKUP(_xlfn.TEXTJOIN(,,D495:O495),Aux!$B$3:$B$4098,'Truth Table'!$U$3:$U$4098)=1,P494&gt;='Line Follower'!$C$6)</f>
        <v>0</v>
      </c>
      <c r="X495" s="4" t="b">
        <f>IFERROR(AND(_xlfn.XLOOKUP(_xlfn.TEXTJOIN(,,D495:O495),Aux!$B$3:$B$4098,'Truth Table'!$V$3:$V$4098)=1,ABS(P494)&lt;='Line Follower'!$C$6),FALSE)</f>
        <v>0</v>
      </c>
      <c r="Y495" s="4" t="b">
        <f t="shared" si="7"/>
        <v>1</v>
      </c>
    </row>
    <row r="496" spans="2:25" x14ac:dyDescent="0.25">
      <c r="B496" s="4">
        <v>493</v>
      </c>
      <c r="C496" s="4">
        <v>3972</v>
      </c>
      <c r="D496" s="4">
        <v>0</v>
      </c>
      <c r="E496" s="4">
        <v>0</v>
      </c>
      <c r="F496" s="4">
        <v>0</v>
      </c>
      <c r="G496" s="4">
        <v>0</v>
      </c>
      <c r="H496" s="4">
        <v>0</v>
      </c>
      <c r="I496" s="4">
        <v>1</v>
      </c>
      <c r="J496" s="4">
        <v>1</v>
      </c>
      <c r="K496" s="4">
        <v>0</v>
      </c>
      <c r="L496" s="4">
        <v>0</v>
      </c>
      <c r="M496" s="4">
        <v>0</v>
      </c>
      <c r="N496" s="4">
        <v>0</v>
      </c>
      <c r="O496" s="4">
        <v>1</v>
      </c>
      <c r="P496" s="51">
        <f>IFERROR(_xlfn.XLOOKUP(_xlfn.TEXTJOIN(,,D495:O495),Aux!$B$3:$B$4098,'Truth Table'!$N$3:$N$4098),P495)</f>
        <v>1</v>
      </c>
      <c r="Q496" s="4" t="b" cm="1">
        <f t="array" ref="Q496:U496">IFERROR(_xlfn.XLOOKUP(_xlfn.TEXTJOIN(,,D496:O496),Aux!$B$3:$B$4098,'Truth Table'!$O$3:$S$4098)=1,FALSE)</f>
        <v>1</v>
      </c>
      <c r="R496" s="4" t="b">
        <v>0</v>
      </c>
      <c r="S496" s="4" t="b">
        <v>0</v>
      </c>
      <c r="T496" s="4" t="b">
        <v>0</v>
      </c>
      <c r="U496" s="4" t="b">
        <v>0</v>
      </c>
      <c r="V496" s="4" t="b">
        <f>AND(_xlfn.XLOOKUP(_xlfn.TEXTJOIN(,,D496:O496),Aux!$B$3:$B$4098,'Truth Table'!$T$3:$T$4098)=1,P495&lt;='Line Follower'!$C$7)</f>
        <v>0</v>
      </c>
      <c r="W496" s="4" t="b">
        <f>AND(_xlfn.XLOOKUP(_xlfn.TEXTJOIN(,,D496:O496),Aux!$B$3:$B$4098,'Truth Table'!$U$3:$U$4098)=1,P495&gt;='Line Follower'!$C$6)</f>
        <v>0</v>
      </c>
      <c r="X496" s="4" t="b">
        <f>IFERROR(AND(_xlfn.XLOOKUP(_xlfn.TEXTJOIN(,,D496:O496),Aux!$B$3:$B$4098,'Truth Table'!$V$3:$V$4098)=1,ABS(P495)&lt;='Line Follower'!$C$6),FALSE)</f>
        <v>0</v>
      </c>
      <c r="Y496" s="4" t="b">
        <f t="shared" si="7"/>
        <v>1</v>
      </c>
    </row>
    <row r="497" spans="2:25" x14ac:dyDescent="0.25">
      <c r="B497" s="4">
        <v>494</v>
      </c>
      <c r="C497" s="4">
        <v>3983</v>
      </c>
      <c r="D497" s="4">
        <v>0</v>
      </c>
      <c r="E497" s="4">
        <v>0</v>
      </c>
      <c r="F497" s="4">
        <v>0</v>
      </c>
      <c r="G497" s="4">
        <v>0</v>
      </c>
      <c r="H497" s="4">
        <v>0</v>
      </c>
      <c r="I497" s="4">
        <v>1</v>
      </c>
      <c r="J497" s="4">
        <v>1</v>
      </c>
      <c r="K497" s="4">
        <v>0</v>
      </c>
      <c r="L497" s="4">
        <v>0</v>
      </c>
      <c r="M497" s="4">
        <v>0</v>
      </c>
      <c r="N497" s="4">
        <v>0</v>
      </c>
      <c r="O497" s="4">
        <v>1</v>
      </c>
      <c r="P497" s="51">
        <f>IFERROR(_xlfn.XLOOKUP(_xlfn.TEXTJOIN(,,D496:O496),Aux!$B$3:$B$4098,'Truth Table'!$N$3:$N$4098),P496)</f>
        <v>1</v>
      </c>
      <c r="Q497" s="4" t="b" cm="1">
        <f t="array" ref="Q497:U497">IFERROR(_xlfn.XLOOKUP(_xlfn.TEXTJOIN(,,D497:O497),Aux!$B$3:$B$4098,'Truth Table'!$O$3:$S$4098)=1,FALSE)</f>
        <v>1</v>
      </c>
      <c r="R497" s="4" t="b">
        <v>0</v>
      </c>
      <c r="S497" s="4" t="b">
        <v>0</v>
      </c>
      <c r="T497" s="4" t="b">
        <v>0</v>
      </c>
      <c r="U497" s="4" t="b">
        <v>0</v>
      </c>
      <c r="V497" s="4" t="b">
        <f>AND(_xlfn.XLOOKUP(_xlfn.TEXTJOIN(,,D497:O497),Aux!$B$3:$B$4098,'Truth Table'!$T$3:$T$4098)=1,P496&lt;='Line Follower'!$C$7)</f>
        <v>0</v>
      </c>
      <c r="W497" s="4" t="b">
        <f>AND(_xlfn.XLOOKUP(_xlfn.TEXTJOIN(,,D497:O497),Aux!$B$3:$B$4098,'Truth Table'!$U$3:$U$4098)=1,P496&gt;='Line Follower'!$C$6)</f>
        <v>0</v>
      </c>
      <c r="X497" s="4" t="b">
        <f>IFERROR(AND(_xlfn.XLOOKUP(_xlfn.TEXTJOIN(,,D497:O497),Aux!$B$3:$B$4098,'Truth Table'!$V$3:$V$4098)=1,ABS(P496)&lt;='Line Follower'!$C$6),FALSE)</f>
        <v>0</v>
      </c>
      <c r="Y497" s="4" t="b">
        <f t="shared" si="7"/>
        <v>1</v>
      </c>
    </row>
    <row r="498" spans="2:25" x14ac:dyDescent="0.25">
      <c r="B498" s="4">
        <v>495</v>
      </c>
      <c r="C498" s="4">
        <v>3988</v>
      </c>
      <c r="D498" s="4">
        <v>0</v>
      </c>
      <c r="E498" s="4">
        <v>0</v>
      </c>
      <c r="F498" s="4">
        <v>0</v>
      </c>
      <c r="G498" s="4">
        <v>0</v>
      </c>
      <c r="H498" s="4">
        <v>0</v>
      </c>
      <c r="I498" s="4">
        <v>1</v>
      </c>
      <c r="J498" s="4">
        <v>1</v>
      </c>
      <c r="K498" s="4">
        <v>0</v>
      </c>
      <c r="L498" s="4">
        <v>0</v>
      </c>
      <c r="M498" s="4">
        <v>0</v>
      </c>
      <c r="N498" s="4">
        <v>0</v>
      </c>
      <c r="O498" s="4">
        <v>1</v>
      </c>
      <c r="P498" s="51">
        <f>IFERROR(_xlfn.XLOOKUP(_xlfn.TEXTJOIN(,,D497:O497),Aux!$B$3:$B$4098,'Truth Table'!$N$3:$N$4098),P497)</f>
        <v>1</v>
      </c>
      <c r="Q498" s="4" t="b" cm="1">
        <f t="array" ref="Q498:U498">IFERROR(_xlfn.XLOOKUP(_xlfn.TEXTJOIN(,,D498:O498),Aux!$B$3:$B$4098,'Truth Table'!$O$3:$S$4098)=1,FALSE)</f>
        <v>1</v>
      </c>
      <c r="R498" s="4" t="b">
        <v>0</v>
      </c>
      <c r="S498" s="4" t="b">
        <v>0</v>
      </c>
      <c r="T498" s="4" t="b">
        <v>0</v>
      </c>
      <c r="U498" s="4" t="b">
        <v>0</v>
      </c>
      <c r="V498" s="4" t="b">
        <f>AND(_xlfn.XLOOKUP(_xlfn.TEXTJOIN(,,D498:O498),Aux!$B$3:$B$4098,'Truth Table'!$T$3:$T$4098)=1,P497&lt;='Line Follower'!$C$7)</f>
        <v>0</v>
      </c>
      <c r="W498" s="4" t="b">
        <f>AND(_xlfn.XLOOKUP(_xlfn.TEXTJOIN(,,D498:O498),Aux!$B$3:$B$4098,'Truth Table'!$U$3:$U$4098)=1,P497&gt;='Line Follower'!$C$6)</f>
        <v>0</v>
      </c>
      <c r="X498" s="4" t="b">
        <f>IFERROR(AND(_xlfn.XLOOKUP(_xlfn.TEXTJOIN(,,D498:O498),Aux!$B$3:$B$4098,'Truth Table'!$V$3:$V$4098)=1,ABS(P497)&lt;='Line Follower'!$C$6),FALSE)</f>
        <v>0</v>
      </c>
      <c r="Y498" s="4" t="b">
        <f t="shared" si="7"/>
        <v>1</v>
      </c>
    </row>
    <row r="499" spans="2:25" x14ac:dyDescent="0.25">
      <c r="B499" s="4">
        <v>496</v>
      </c>
      <c r="C499" s="4">
        <v>4003</v>
      </c>
      <c r="D499" s="4">
        <v>0</v>
      </c>
      <c r="E499" s="4">
        <v>0</v>
      </c>
      <c r="F499" s="4">
        <v>0</v>
      </c>
      <c r="G499" s="4">
        <v>0</v>
      </c>
      <c r="H499" s="4">
        <v>0</v>
      </c>
      <c r="I499" s="4">
        <v>1</v>
      </c>
      <c r="J499" s="4">
        <v>1</v>
      </c>
      <c r="K499" s="4">
        <v>0</v>
      </c>
      <c r="L499" s="4">
        <v>0</v>
      </c>
      <c r="M499" s="4">
        <v>0</v>
      </c>
      <c r="N499" s="4">
        <v>0</v>
      </c>
      <c r="O499" s="4">
        <v>1</v>
      </c>
      <c r="P499" s="51">
        <f>IFERROR(_xlfn.XLOOKUP(_xlfn.TEXTJOIN(,,D498:O498),Aux!$B$3:$B$4098,'Truth Table'!$N$3:$N$4098),P498)</f>
        <v>1</v>
      </c>
      <c r="Q499" s="4" t="b" cm="1">
        <f t="array" ref="Q499:U499">IFERROR(_xlfn.XLOOKUP(_xlfn.TEXTJOIN(,,D499:O499),Aux!$B$3:$B$4098,'Truth Table'!$O$3:$S$4098)=1,FALSE)</f>
        <v>1</v>
      </c>
      <c r="R499" s="4" t="b">
        <v>0</v>
      </c>
      <c r="S499" s="4" t="b">
        <v>0</v>
      </c>
      <c r="T499" s="4" t="b">
        <v>0</v>
      </c>
      <c r="U499" s="4" t="b">
        <v>0</v>
      </c>
      <c r="V499" s="4" t="b">
        <f>AND(_xlfn.XLOOKUP(_xlfn.TEXTJOIN(,,D499:O499),Aux!$B$3:$B$4098,'Truth Table'!$T$3:$T$4098)=1,P498&lt;='Line Follower'!$C$7)</f>
        <v>0</v>
      </c>
      <c r="W499" s="4" t="b">
        <f>AND(_xlfn.XLOOKUP(_xlfn.TEXTJOIN(,,D499:O499),Aux!$B$3:$B$4098,'Truth Table'!$U$3:$U$4098)=1,P498&gt;='Line Follower'!$C$6)</f>
        <v>0</v>
      </c>
      <c r="X499" s="4" t="b">
        <f>IFERROR(AND(_xlfn.XLOOKUP(_xlfn.TEXTJOIN(,,D499:O499),Aux!$B$3:$B$4098,'Truth Table'!$V$3:$V$4098)=1,ABS(P498)&lt;='Line Follower'!$C$6),FALSE)</f>
        <v>0</v>
      </c>
      <c r="Y499" s="4" t="b">
        <f t="shared" si="7"/>
        <v>1</v>
      </c>
    </row>
    <row r="500" spans="2:25" x14ac:dyDescent="0.25">
      <c r="B500" s="4">
        <v>497</v>
      </c>
      <c r="C500" s="4">
        <v>4008</v>
      </c>
      <c r="D500" s="4">
        <v>0</v>
      </c>
      <c r="E500" s="4">
        <v>0</v>
      </c>
      <c r="F500" s="4">
        <v>0</v>
      </c>
      <c r="G500" s="4">
        <v>0</v>
      </c>
      <c r="H500" s="4">
        <v>0</v>
      </c>
      <c r="I500" s="4">
        <v>1</v>
      </c>
      <c r="J500" s="4">
        <v>1</v>
      </c>
      <c r="K500" s="4">
        <v>0</v>
      </c>
      <c r="L500" s="4">
        <v>0</v>
      </c>
      <c r="M500" s="4">
        <v>0</v>
      </c>
      <c r="N500" s="4">
        <v>0</v>
      </c>
      <c r="O500" s="4">
        <v>1</v>
      </c>
      <c r="P500" s="51">
        <f>IFERROR(_xlfn.XLOOKUP(_xlfn.TEXTJOIN(,,D499:O499),Aux!$B$3:$B$4098,'Truth Table'!$N$3:$N$4098),P499)</f>
        <v>1</v>
      </c>
      <c r="Q500" s="4" t="b" cm="1">
        <f t="array" ref="Q500:U500">IFERROR(_xlfn.XLOOKUP(_xlfn.TEXTJOIN(,,D500:O500),Aux!$B$3:$B$4098,'Truth Table'!$O$3:$S$4098)=1,FALSE)</f>
        <v>1</v>
      </c>
      <c r="R500" s="4" t="b">
        <v>0</v>
      </c>
      <c r="S500" s="4" t="b">
        <v>0</v>
      </c>
      <c r="T500" s="4" t="b">
        <v>0</v>
      </c>
      <c r="U500" s="4" t="b">
        <v>0</v>
      </c>
      <c r="V500" s="4" t="b">
        <f>AND(_xlfn.XLOOKUP(_xlfn.TEXTJOIN(,,D500:O500),Aux!$B$3:$B$4098,'Truth Table'!$T$3:$T$4098)=1,P499&lt;='Line Follower'!$C$7)</f>
        <v>0</v>
      </c>
      <c r="W500" s="4" t="b">
        <f>AND(_xlfn.XLOOKUP(_xlfn.TEXTJOIN(,,D500:O500),Aux!$B$3:$B$4098,'Truth Table'!$U$3:$U$4098)=1,P499&gt;='Line Follower'!$C$6)</f>
        <v>0</v>
      </c>
      <c r="X500" s="4" t="b">
        <f>IFERROR(AND(_xlfn.XLOOKUP(_xlfn.TEXTJOIN(,,D500:O500),Aux!$B$3:$B$4098,'Truth Table'!$V$3:$V$4098)=1,ABS(P499)&lt;='Line Follower'!$C$6),FALSE)</f>
        <v>0</v>
      </c>
      <c r="Y500" s="4" t="b">
        <f t="shared" si="7"/>
        <v>1</v>
      </c>
    </row>
    <row r="501" spans="2:25" x14ac:dyDescent="0.25">
      <c r="B501" s="4">
        <v>498</v>
      </c>
      <c r="C501" s="4">
        <v>4033</v>
      </c>
      <c r="D501" s="4">
        <v>0</v>
      </c>
      <c r="E501" s="4">
        <v>0</v>
      </c>
      <c r="F501" s="4">
        <v>0</v>
      </c>
      <c r="G501" s="4">
        <v>0</v>
      </c>
      <c r="H501" s="4">
        <v>0</v>
      </c>
      <c r="I501" s="4">
        <v>1</v>
      </c>
      <c r="J501" s="4">
        <v>1</v>
      </c>
      <c r="K501" s="4">
        <v>0</v>
      </c>
      <c r="L501" s="4">
        <v>0</v>
      </c>
      <c r="M501" s="4">
        <v>0</v>
      </c>
      <c r="N501" s="4">
        <v>0</v>
      </c>
      <c r="O501" s="4">
        <v>1</v>
      </c>
      <c r="P501" s="51">
        <f>IFERROR(_xlfn.XLOOKUP(_xlfn.TEXTJOIN(,,D500:O500),Aux!$B$3:$B$4098,'Truth Table'!$N$3:$N$4098),P500)</f>
        <v>1</v>
      </c>
      <c r="Q501" s="4" t="b" cm="1">
        <f t="array" ref="Q501:U501">IFERROR(_xlfn.XLOOKUP(_xlfn.TEXTJOIN(,,D501:O501),Aux!$B$3:$B$4098,'Truth Table'!$O$3:$S$4098)=1,FALSE)</f>
        <v>1</v>
      </c>
      <c r="R501" s="4" t="b">
        <v>0</v>
      </c>
      <c r="S501" s="4" t="b">
        <v>0</v>
      </c>
      <c r="T501" s="4" t="b">
        <v>0</v>
      </c>
      <c r="U501" s="4" t="b">
        <v>0</v>
      </c>
      <c r="V501" s="4" t="b">
        <f>AND(_xlfn.XLOOKUP(_xlfn.TEXTJOIN(,,D501:O501),Aux!$B$3:$B$4098,'Truth Table'!$T$3:$T$4098)=1,P500&lt;='Line Follower'!$C$7)</f>
        <v>0</v>
      </c>
      <c r="W501" s="4" t="b">
        <f>AND(_xlfn.XLOOKUP(_xlfn.TEXTJOIN(,,D501:O501),Aux!$B$3:$B$4098,'Truth Table'!$U$3:$U$4098)=1,P500&gt;='Line Follower'!$C$6)</f>
        <v>0</v>
      </c>
      <c r="X501" s="4" t="b">
        <f>IFERROR(AND(_xlfn.XLOOKUP(_xlfn.TEXTJOIN(,,D501:O501),Aux!$B$3:$B$4098,'Truth Table'!$V$3:$V$4098)=1,ABS(P500)&lt;='Line Follower'!$C$6),FALSE)</f>
        <v>0</v>
      </c>
      <c r="Y501" s="4" t="b">
        <f t="shared" si="7"/>
        <v>1</v>
      </c>
    </row>
    <row r="502" spans="2:25" x14ac:dyDescent="0.25">
      <c r="B502" s="4">
        <v>499</v>
      </c>
      <c r="C502" s="4">
        <v>4034</v>
      </c>
      <c r="D502" s="4">
        <v>0</v>
      </c>
      <c r="E502" s="4">
        <v>0</v>
      </c>
      <c r="F502" s="4">
        <v>0</v>
      </c>
      <c r="G502" s="4">
        <v>0</v>
      </c>
      <c r="H502" s="4">
        <v>0</v>
      </c>
      <c r="I502" s="4">
        <v>1</v>
      </c>
      <c r="J502" s="4">
        <v>1</v>
      </c>
      <c r="K502" s="4">
        <v>0</v>
      </c>
      <c r="L502" s="4">
        <v>0</v>
      </c>
      <c r="M502" s="4">
        <v>0</v>
      </c>
      <c r="N502" s="4">
        <v>0</v>
      </c>
      <c r="O502" s="4">
        <v>1</v>
      </c>
      <c r="P502" s="51">
        <f>IFERROR(_xlfn.XLOOKUP(_xlfn.TEXTJOIN(,,D501:O501),Aux!$B$3:$B$4098,'Truth Table'!$N$3:$N$4098),P501)</f>
        <v>1</v>
      </c>
      <c r="Q502" s="4" t="b" cm="1">
        <f t="array" ref="Q502:U502">IFERROR(_xlfn.XLOOKUP(_xlfn.TEXTJOIN(,,D502:O502),Aux!$B$3:$B$4098,'Truth Table'!$O$3:$S$4098)=1,FALSE)</f>
        <v>1</v>
      </c>
      <c r="R502" s="4" t="b">
        <v>0</v>
      </c>
      <c r="S502" s="4" t="b">
        <v>0</v>
      </c>
      <c r="T502" s="4" t="b">
        <v>0</v>
      </c>
      <c r="U502" s="4" t="b">
        <v>0</v>
      </c>
      <c r="V502" s="4" t="b">
        <f>AND(_xlfn.XLOOKUP(_xlfn.TEXTJOIN(,,D502:O502),Aux!$B$3:$B$4098,'Truth Table'!$T$3:$T$4098)=1,P501&lt;='Line Follower'!$C$7)</f>
        <v>0</v>
      </c>
      <c r="W502" s="4" t="b">
        <f>AND(_xlfn.XLOOKUP(_xlfn.TEXTJOIN(,,D502:O502),Aux!$B$3:$B$4098,'Truth Table'!$U$3:$U$4098)=1,P501&gt;='Line Follower'!$C$6)</f>
        <v>0</v>
      </c>
      <c r="X502" s="4" t="b">
        <f>IFERROR(AND(_xlfn.XLOOKUP(_xlfn.TEXTJOIN(,,D502:O502),Aux!$B$3:$B$4098,'Truth Table'!$V$3:$V$4098)=1,ABS(P501)&lt;='Line Follower'!$C$6),FALSE)</f>
        <v>0</v>
      </c>
      <c r="Y502" s="4" t="b">
        <f t="shared" si="7"/>
        <v>1</v>
      </c>
    </row>
    <row r="503" spans="2:25" x14ac:dyDescent="0.25">
      <c r="B503" s="4">
        <v>500</v>
      </c>
      <c r="C503" s="4">
        <v>4059</v>
      </c>
      <c r="D503" s="4">
        <v>0</v>
      </c>
      <c r="E503" s="4">
        <v>0</v>
      </c>
      <c r="F503" s="4">
        <v>0</v>
      </c>
      <c r="G503" s="4">
        <v>0</v>
      </c>
      <c r="H503" s="4">
        <v>0</v>
      </c>
      <c r="I503" s="4">
        <v>1</v>
      </c>
      <c r="J503" s="4">
        <v>1</v>
      </c>
      <c r="K503" s="4">
        <v>0</v>
      </c>
      <c r="L503" s="4">
        <v>0</v>
      </c>
      <c r="M503" s="4">
        <v>0</v>
      </c>
      <c r="N503" s="4">
        <v>0</v>
      </c>
      <c r="O503" s="4">
        <v>1</v>
      </c>
      <c r="P503" s="51">
        <f>IFERROR(_xlfn.XLOOKUP(_xlfn.TEXTJOIN(,,D502:O502),Aux!$B$3:$B$4098,'Truth Table'!$N$3:$N$4098),P502)</f>
        <v>1</v>
      </c>
      <c r="Q503" s="4" t="b" cm="1">
        <f t="array" ref="Q503:U503">IFERROR(_xlfn.XLOOKUP(_xlfn.TEXTJOIN(,,D503:O503),Aux!$B$3:$B$4098,'Truth Table'!$O$3:$S$4098)=1,FALSE)</f>
        <v>1</v>
      </c>
      <c r="R503" s="4" t="b">
        <v>0</v>
      </c>
      <c r="S503" s="4" t="b">
        <v>0</v>
      </c>
      <c r="T503" s="4" t="b">
        <v>0</v>
      </c>
      <c r="U503" s="4" t="b">
        <v>0</v>
      </c>
      <c r="V503" s="4" t="b">
        <f>AND(_xlfn.XLOOKUP(_xlfn.TEXTJOIN(,,D503:O503),Aux!$B$3:$B$4098,'Truth Table'!$T$3:$T$4098)=1,P502&lt;='Line Follower'!$C$7)</f>
        <v>0</v>
      </c>
      <c r="W503" s="4" t="b">
        <f>AND(_xlfn.XLOOKUP(_xlfn.TEXTJOIN(,,D503:O503),Aux!$B$3:$B$4098,'Truth Table'!$U$3:$U$4098)=1,P502&gt;='Line Follower'!$C$6)</f>
        <v>0</v>
      </c>
      <c r="X503" s="4" t="b">
        <f>IFERROR(AND(_xlfn.XLOOKUP(_xlfn.TEXTJOIN(,,D503:O503),Aux!$B$3:$B$4098,'Truth Table'!$V$3:$V$4098)=1,ABS(P502)&lt;='Line Follower'!$C$6),FALSE)</f>
        <v>0</v>
      </c>
      <c r="Y503" s="4" t="b">
        <f t="shared" si="7"/>
        <v>1</v>
      </c>
    </row>
    <row r="504" spans="2:25" x14ac:dyDescent="0.25">
      <c r="B504" s="4">
        <v>501</v>
      </c>
      <c r="C504" s="4">
        <v>4061</v>
      </c>
      <c r="D504" s="4">
        <v>0</v>
      </c>
      <c r="E504" s="4">
        <v>0</v>
      </c>
      <c r="F504" s="4">
        <v>0</v>
      </c>
      <c r="G504" s="4">
        <v>0</v>
      </c>
      <c r="H504" s="4">
        <v>0</v>
      </c>
      <c r="I504" s="4">
        <v>1</v>
      </c>
      <c r="J504" s="4">
        <v>1</v>
      </c>
      <c r="K504" s="4">
        <v>0</v>
      </c>
      <c r="L504" s="4">
        <v>0</v>
      </c>
      <c r="M504" s="4">
        <v>0</v>
      </c>
      <c r="N504" s="4">
        <v>0</v>
      </c>
      <c r="O504" s="4">
        <v>1</v>
      </c>
      <c r="P504" s="51">
        <f>IFERROR(_xlfn.XLOOKUP(_xlfn.TEXTJOIN(,,D503:O503),Aux!$B$3:$B$4098,'Truth Table'!$N$3:$N$4098),P503)</f>
        <v>1</v>
      </c>
      <c r="Q504" s="4" t="b" cm="1">
        <f t="array" ref="Q504:U504">IFERROR(_xlfn.XLOOKUP(_xlfn.TEXTJOIN(,,D504:O504),Aux!$B$3:$B$4098,'Truth Table'!$O$3:$S$4098)=1,FALSE)</f>
        <v>1</v>
      </c>
      <c r="R504" s="4" t="b">
        <v>0</v>
      </c>
      <c r="S504" s="4" t="b">
        <v>0</v>
      </c>
      <c r="T504" s="4" t="b">
        <v>0</v>
      </c>
      <c r="U504" s="4" t="b">
        <v>0</v>
      </c>
      <c r="V504" s="4" t="b">
        <f>AND(_xlfn.XLOOKUP(_xlfn.TEXTJOIN(,,D504:O504),Aux!$B$3:$B$4098,'Truth Table'!$T$3:$T$4098)=1,P503&lt;='Line Follower'!$C$7)</f>
        <v>0</v>
      </c>
      <c r="W504" s="4" t="b">
        <f>AND(_xlfn.XLOOKUP(_xlfn.TEXTJOIN(,,D504:O504),Aux!$B$3:$B$4098,'Truth Table'!$U$3:$U$4098)=1,P503&gt;='Line Follower'!$C$6)</f>
        <v>0</v>
      </c>
      <c r="X504" s="4" t="b">
        <f>IFERROR(AND(_xlfn.XLOOKUP(_xlfn.TEXTJOIN(,,D504:O504),Aux!$B$3:$B$4098,'Truth Table'!$V$3:$V$4098)=1,ABS(P503)&lt;='Line Follower'!$C$6),FALSE)</f>
        <v>0</v>
      </c>
      <c r="Y504" s="4" t="b">
        <f t="shared" si="7"/>
        <v>1</v>
      </c>
    </row>
    <row r="505" spans="2:25" x14ac:dyDescent="0.25">
      <c r="B505" s="4">
        <v>502</v>
      </c>
      <c r="C505" s="4">
        <v>4086</v>
      </c>
      <c r="D505" s="4">
        <v>0</v>
      </c>
      <c r="E505" s="4">
        <v>0</v>
      </c>
      <c r="F505" s="4">
        <v>0</v>
      </c>
      <c r="G505" s="4">
        <v>0</v>
      </c>
      <c r="H505" s="4">
        <v>0</v>
      </c>
      <c r="I505" s="4">
        <v>1</v>
      </c>
      <c r="J505" s="4">
        <v>1</v>
      </c>
      <c r="K505" s="4">
        <v>0</v>
      </c>
      <c r="L505" s="4">
        <v>0</v>
      </c>
      <c r="M505" s="4">
        <v>0</v>
      </c>
      <c r="N505" s="4">
        <v>0</v>
      </c>
      <c r="O505" s="4">
        <v>1</v>
      </c>
      <c r="P505" s="51">
        <f>IFERROR(_xlfn.XLOOKUP(_xlfn.TEXTJOIN(,,D504:O504),Aux!$B$3:$B$4098,'Truth Table'!$N$3:$N$4098),P504)</f>
        <v>1</v>
      </c>
      <c r="Q505" s="4" t="b" cm="1">
        <f t="array" ref="Q505:U505">IFERROR(_xlfn.XLOOKUP(_xlfn.TEXTJOIN(,,D505:O505),Aux!$B$3:$B$4098,'Truth Table'!$O$3:$S$4098)=1,FALSE)</f>
        <v>1</v>
      </c>
      <c r="R505" s="4" t="b">
        <v>0</v>
      </c>
      <c r="S505" s="4" t="b">
        <v>0</v>
      </c>
      <c r="T505" s="4" t="b">
        <v>0</v>
      </c>
      <c r="U505" s="4" t="b">
        <v>0</v>
      </c>
      <c r="V505" s="4" t="b">
        <f>AND(_xlfn.XLOOKUP(_xlfn.TEXTJOIN(,,D505:O505),Aux!$B$3:$B$4098,'Truth Table'!$T$3:$T$4098)=1,P504&lt;='Line Follower'!$C$7)</f>
        <v>0</v>
      </c>
      <c r="W505" s="4" t="b">
        <f>AND(_xlfn.XLOOKUP(_xlfn.TEXTJOIN(,,D505:O505),Aux!$B$3:$B$4098,'Truth Table'!$U$3:$U$4098)=1,P504&gt;='Line Follower'!$C$6)</f>
        <v>0</v>
      </c>
      <c r="X505" s="4" t="b">
        <f>IFERROR(AND(_xlfn.XLOOKUP(_xlfn.TEXTJOIN(,,D505:O505),Aux!$B$3:$B$4098,'Truth Table'!$V$3:$V$4098)=1,ABS(P504)&lt;='Line Follower'!$C$6),FALSE)</f>
        <v>0</v>
      </c>
      <c r="Y505" s="4" t="b">
        <f t="shared" si="7"/>
        <v>1</v>
      </c>
    </row>
    <row r="506" spans="2:25" x14ac:dyDescent="0.25">
      <c r="B506" s="4">
        <v>503</v>
      </c>
      <c r="C506" s="4">
        <v>4087</v>
      </c>
      <c r="D506" s="4">
        <v>0</v>
      </c>
      <c r="E506" s="4">
        <v>0</v>
      </c>
      <c r="F506" s="4">
        <v>0</v>
      </c>
      <c r="G506" s="4">
        <v>0</v>
      </c>
      <c r="H506" s="4">
        <v>0</v>
      </c>
      <c r="I506" s="4">
        <v>1</v>
      </c>
      <c r="J506" s="4">
        <v>1</v>
      </c>
      <c r="K506" s="4">
        <v>0</v>
      </c>
      <c r="L506" s="4">
        <v>0</v>
      </c>
      <c r="M506" s="4">
        <v>0</v>
      </c>
      <c r="N506" s="4">
        <v>0</v>
      </c>
      <c r="O506" s="4">
        <v>1</v>
      </c>
      <c r="P506" s="51">
        <f>IFERROR(_xlfn.XLOOKUP(_xlfn.TEXTJOIN(,,D505:O505),Aux!$B$3:$B$4098,'Truth Table'!$N$3:$N$4098),P505)</f>
        <v>1</v>
      </c>
      <c r="Q506" s="4" t="b" cm="1">
        <f t="array" ref="Q506:U506">IFERROR(_xlfn.XLOOKUP(_xlfn.TEXTJOIN(,,D506:O506),Aux!$B$3:$B$4098,'Truth Table'!$O$3:$S$4098)=1,FALSE)</f>
        <v>1</v>
      </c>
      <c r="R506" s="4" t="b">
        <v>0</v>
      </c>
      <c r="S506" s="4" t="b">
        <v>0</v>
      </c>
      <c r="T506" s="4" t="b">
        <v>0</v>
      </c>
      <c r="U506" s="4" t="b">
        <v>0</v>
      </c>
      <c r="V506" s="4" t="b">
        <f>AND(_xlfn.XLOOKUP(_xlfn.TEXTJOIN(,,D506:O506),Aux!$B$3:$B$4098,'Truth Table'!$T$3:$T$4098)=1,P505&lt;='Line Follower'!$C$7)</f>
        <v>0</v>
      </c>
      <c r="W506" s="4" t="b">
        <f>AND(_xlfn.XLOOKUP(_xlfn.TEXTJOIN(,,D506:O506),Aux!$B$3:$B$4098,'Truth Table'!$U$3:$U$4098)=1,P505&gt;='Line Follower'!$C$6)</f>
        <v>0</v>
      </c>
      <c r="X506" s="4" t="b">
        <f>IFERROR(AND(_xlfn.XLOOKUP(_xlfn.TEXTJOIN(,,D506:O506),Aux!$B$3:$B$4098,'Truth Table'!$V$3:$V$4098)=1,ABS(P505)&lt;='Line Follower'!$C$6),FALSE)</f>
        <v>0</v>
      </c>
      <c r="Y506" s="4" t="b">
        <f t="shared" si="7"/>
        <v>1</v>
      </c>
    </row>
    <row r="507" spans="2:25" x14ac:dyDescent="0.25">
      <c r="B507" s="4">
        <v>504</v>
      </c>
      <c r="C507" s="4">
        <v>4087</v>
      </c>
      <c r="D507" s="4">
        <v>0</v>
      </c>
      <c r="E507" s="4">
        <v>0</v>
      </c>
      <c r="F507" s="4">
        <v>0</v>
      </c>
      <c r="G507" s="4">
        <v>0</v>
      </c>
      <c r="H507" s="4">
        <v>0</v>
      </c>
      <c r="I507" s="4">
        <v>1</v>
      </c>
      <c r="J507" s="4">
        <v>1</v>
      </c>
      <c r="K507" s="4">
        <v>0</v>
      </c>
      <c r="L507" s="4">
        <v>0</v>
      </c>
      <c r="M507" s="4">
        <v>0</v>
      </c>
      <c r="N507" s="4">
        <v>0</v>
      </c>
      <c r="O507" s="4">
        <v>1</v>
      </c>
      <c r="P507" s="51">
        <f>IFERROR(_xlfn.XLOOKUP(_xlfn.TEXTJOIN(,,D506:O506),Aux!$B$3:$B$4098,'Truth Table'!$N$3:$N$4098),P506)</f>
        <v>1</v>
      </c>
      <c r="Q507" s="4" t="b" cm="1">
        <f t="array" ref="Q507:U507">IFERROR(_xlfn.XLOOKUP(_xlfn.TEXTJOIN(,,D507:O507),Aux!$B$3:$B$4098,'Truth Table'!$O$3:$S$4098)=1,FALSE)</f>
        <v>1</v>
      </c>
      <c r="R507" s="4" t="b">
        <v>0</v>
      </c>
      <c r="S507" s="4" t="b">
        <v>0</v>
      </c>
      <c r="T507" s="4" t="b">
        <v>0</v>
      </c>
      <c r="U507" s="4" t="b">
        <v>0</v>
      </c>
      <c r="V507" s="4" t="b">
        <f>AND(_xlfn.XLOOKUP(_xlfn.TEXTJOIN(,,D507:O507),Aux!$B$3:$B$4098,'Truth Table'!$T$3:$T$4098)=1,P506&lt;='Line Follower'!$C$7)</f>
        <v>0</v>
      </c>
      <c r="W507" s="4" t="b">
        <f>AND(_xlfn.XLOOKUP(_xlfn.TEXTJOIN(,,D507:O507),Aux!$B$3:$B$4098,'Truth Table'!$U$3:$U$4098)=1,P506&gt;='Line Follower'!$C$6)</f>
        <v>0</v>
      </c>
      <c r="X507" s="4" t="b">
        <f>IFERROR(AND(_xlfn.XLOOKUP(_xlfn.TEXTJOIN(,,D507:O507),Aux!$B$3:$B$4098,'Truth Table'!$V$3:$V$4098)=1,ABS(P506)&lt;='Line Follower'!$C$6),FALSE)</f>
        <v>0</v>
      </c>
      <c r="Y507" s="4" t="b">
        <f t="shared" si="7"/>
        <v>1</v>
      </c>
    </row>
    <row r="508" spans="2:25" x14ac:dyDescent="0.25">
      <c r="B508" s="4">
        <v>505</v>
      </c>
      <c r="C508" s="4">
        <v>4107</v>
      </c>
      <c r="D508" s="4">
        <v>0</v>
      </c>
      <c r="E508" s="4">
        <v>0</v>
      </c>
      <c r="F508" s="4">
        <v>0</v>
      </c>
      <c r="G508" s="4">
        <v>0</v>
      </c>
      <c r="H508" s="4">
        <v>0</v>
      </c>
      <c r="I508" s="4">
        <v>1</v>
      </c>
      <c r="J508" s="4">
        <v>1</v>
      </c>
      <c r="K508" s="4">
        <v>0</v>
      </c>
      <c r="L508" s="4">
        <v>0</v>
      </c>
      <c r="M508" s="4">
        <v>0</v>
      </c>
      <c r="N508" s="4">
        <v>0</v>
      </c>
      <c r="O508" s="4">
        <v>1</v>
      </c>
      <c r="P508" s="51">
        <f>IFERROR(_xlfn.XLOOKUP(_xlfn.TEXTJOIN(,,D507:O507),Aux!$B$3:$B$4098,'Truth Table'!$N$3:$N$4098),P507)</f>
        <v>1</v>
      </c>
      <c r="Q508" s="4" t="b" cm="1">
        <f t="array" ref="Q508:U508">IFERROR(_xlfn.XLOOKUP(_xlfn.TEXTJOIN(,,D508:O508),Aux!$B$3:$B$4098,'Truth Table'!$O$3:$S$4098)=1,FALSE)</f>
        <v>1</v>
      </c>
      <c r="R508" s="4" t="b">
        <v>0</v>
      </c>
      <c r="S508" s="4" t="b">
        <v>0</v>
      </c>
      <c r="T508" s="4" t="b">
        <v>0</v>
      </c>
      <c r="U508" s="4" t="b">
        <v>0</v>
      </c>
      <c r="V508" s="4" t="b">
        <f>AND(_xlfn.XLOOKUP(_xlfn.TEXTJOIN(,,D508:O508),Aux!$B$3:$B$4098,'Truth Table'!$T$3:$T$4098)=1,P507&lt;='Line Follower'!$C$7)</f>
        <v>0</v>
      </c>
      <c r="W508" s="4" t="b">
        <f>AND(_xlfn.XLOOKUP(_xlfn.TEXTJOIN(,,D508:O508),Aux!$B$3:$B$4098,'Truth Table'!$U$3:$U$4098)=1,P507&gt;='Line Follower'!$C$6)</f>
        <v>0</v>
      </c>
      <c r="X508" s="4" t="b">
        <f>IFERROR(AND(_xlfn.XLOOKUP(_xlfn.TEXTJOIN(,,D508:O508),Aux!$B$3:$B$4098,'Truth Table'!$V$3:$V$4098)=1,ABS(P507)&lt;='Line Follower'!$C$6),FALSE)</f>
        <v>0</v>
      </c>
      <c r="Y508" s="4" t="b">
        <f t="shared" si="7"/>
        <v>1</v>
      </c>
    </row>
    <row r="509" spans="2:25" x14ac:dyDescent="0.25">
      <c r="B509" s="4">
        <v>506</v>
      </c>
      <c r="C509" s="4">
        <v>4108</v>
      </c>
      <c r="D509" s="4">
        <v>0</v>
      </c>
      <c r="E509" s="4">
        <v>0</v>
      </c>
      <c r="F509" s="4">
        <v>0</v>
      </c>
      <c r="G509" s="4">
        <v>0</v>
      </c>
      <c r="H509" s="4">
        <v>0</v>
      </c>
      <c r="I509" s="4">
        <v>1</v>
      </c>
      <c r="J509" s="4">
        <v>1</v>
      </c>
      <c r="K509" s="4">
        <v>0</v>
      </c>
      <c r="L509" s="4">
        <v>0</v>
      </c>
      <c r="M509" s="4">
        <v>0</v>
      </c>
      <c r="N509" s="4">
        <v>0</v>
      </c>
      <c r="O509" s="4">
        <v>1</v>
      </c>
      <c r="P509" s="51">
        <f>IFERROR(_xlfn.XLOOKUP(_xlfn.TEXTJOIN(,,D508:O508),Aux!$B$3:$B$4098,'Truth Table'!$N$3:$N$4098),P508)</f>
        <v>1</v>
      </c>
      <c r="Q509" s="4" t="b" cm="1">
        <f t="array" ref="Q509:U509">IFERROR(_xlfn.XLOOKUP(_xlfn.TEXTJOIN(,,D509:O509),Aux!$B$3:$B$4098,'Truth Table'!$O$3:$S$4098)=1,FALSE)</f>
        <v>1</v>
      </c>
      <c r="R509" s="4" t="b">
        <v>0</v>
      </c>
      <c r="S509" s="4" t="b">
        <v>0</v>
      </c>
      <c r="T509" s="4" t="b">
        <v>0</v>
      </c>
      <c r="U509" s="4" t="b">
        <v>0</v>
      </c>
      <c r="V509" s="4" t="b">
        <f>AND(_xlfn.XLOOKUP(_xlfn.TEXTJOIN(,,D509:O509),Aux!$B$3:$B$4098,'Truth Table'!$T$3:$T$4098)=1,P508&lt;='Line Follower'!$C$7)</f>
        <v>0</v>
      </c>
      <c r="W509" s="4" t="b">
        <f>AND(_xlfn.XLOOKUP(_xlfn.TEXTJOIN(,,D509:O509),Aux!$B$3:$B$4098,'Truth Table'!$U$3:$U$4098)=1,P508&gt;='Line Follower'!$C$6)</f>
        <v>0</v>
      </c>
      <c r="X509" s="4" t="b">
        <f>IFERROR(AND(_xlfn.XLOOKUP(_xlfn.TEXTJOIN(,,D509:O509),Aux!$B$3:$B$4098,'Truth Table'!$V$3:$V$4098)=1,ABS(P508)&lt;='Line Follower'!$C$6),FALSE)</f>
        <v>0</v>
      </c>
      <c r="Y509" s="4" t="b">
        <f t="shared" si="7"/>
        <v>1</v>
      </c>
    </row>
    <row r="510" spans="2:25" x14ac:dyDescent="0.25">
      <c r="B510" s="4">
        <v>507</v>
      </c>
      <c r="C510" s="4">
        <v>4109</v>
      </c>
      <c r="D510" s="4">
        <v>0</v>
      </c>
      <c r="E510" s="4">
        <v>0</v>
      </c>
      <c r="F510" s="4">
        <v>0</v>
      </c>
      <c r="G510" s="4">
        <v>0</v>
      </c>
      <c r="H510" s="4">
        <v>0</v>
      </c>
      <c r="I510" s="4">
        <v>1</v>
      </c>
      <c r="J510" s="4">
        <v>1</v>
      </c>
      <c r="K510" s="4">
        <v>0</v>
      </c>
      <c r="L510" s="4">
        <v>0</v>
      </c>
      <c r="M510" s="4">
        <v>0</v>
      </c>
      <c r="N510" s="4">
        <v>0</v>
      </c>
      <c r="O510" s="4">
        <v>1</v>
      </c>
      <c r="P510" s="51">
        <f>IFERROR(_xlfn.XLOOKUP(_xlfn.TEXTJOIN(,,D509:O509),Aux!$B$3:$B$4098,'Truth Table'!$N$3:$N$4098),P509)</f>
        <v>1</v>
      </c>
      <c r="Q510" s="4" t="b" cm="1">
        <f t="array" ref="Q510:U510">IFERROR(_xlfn.XLOOKUP(_xlfn.TEXTJOIN(,,D510:O510),Aux!$B$3:$B$4098,'Truth Table'!$O$3:$S$4098)=1,FALSE)</f>
        <v>1</v>
      </c>
      <c r="R510" s="4" t="b">
        <v>0</v>
      </c>
      <c r="S510" s="4" t="b">
        <v>0</v>
      </c>
      <c r="T510" s="4" t="b">
        <v>0</v>
      </c>
      <c r="U510" s="4" t="b">
        <v>0</v>
      </c>
      <c r="V510" s="4" t="b">
        <f>AND(_xlfn.XLOOKUP(_xlfn.TEXTJOIN(,,D510:O510),Aux!$B$3:$B$4098,'Truth Table'!$T$3:$T$4098)=1,P509&lt;='Line Follower'!$C$7)</f>
        <v>0</v>
      </c>
      <c r="W510" s="4" t="b">
        <f>AND(_xlfn.XLOOKUP(_xlfn.TEXTJOIN(,,D510:O510),Aux!$B$3:$B$4098,'Truth Table'!$U$3:$U$4098)=1,P509&gt;='Line Follower'!$C$6)</f>
        <v>0</v>
      </c>
      <c r="X510" s="4" t="b">
        <f>IFERROR(AND(_xlfn.XLOOKUP(_xlfn.TEXTJOIN(,,D510:O510),Aux!$B$3:$B$4098,'Truth Table'!$V$3:$V$4098)=1,ABS(P509)&lt;='Line Follower'!$C$6),FALSE)</f>
        <v>0</v>
      </c>
      <c r="Y510" s="4" t="b">
        <f t="shared" si="7"/>
        <v>1</v>
      </c>
    </row>
    <row r="511" spans="2:25" x14ac:dyDescent="0.25">
      <c r="B511" s="4">
        <v>508</v>
      </c>
      <c r="C511" s="4">
        <v>4114</v>
      </c>
      <c r="D511" s="4">
        <v>0</v>
      </c>
      <c r="E511" s="4">
        <v>0</v>
      </c>
      <c r="F511" s="4">
        <v>0</v>
      </c>
      <c r="G511" s="4">
        <v>0</v>
      </c>
      <c r="H511" s="4">
        <v>0</v>
      </c>
      <c r="I511" s="4">
        <v>1</v>
      </c>
      <c r="J511" s="4">
        <v>1</v>
      </c>
      <c r="K511" s="4">
        <v>0</v>
      </c>
      <c r="L511" s="4">
        <v>0</v>
      </c>
      <c r="M511" s="4">
        <v>0</v>
      </c>
      <c r="N511" s="4">
        <v>0</v>
      </c>
      <c r="O511" s="4">
        <v>1</v>
      </c>
      <c r="P511" s="51">
        <f>IFERROR(_xlfn.XLOOKUP(_xlfn.TEXTJOIN(,,D510:O510),Aux!$B$3:$B$4098,'Truth Table'!$N$3:$N$4098),P510)</f>
        <v>1</v>
      </c>
      <c r="Q511" s="4" t="b" cm="1">
        <f t="array" ref="Q511:U511">IFERROR(_xlfn.XLOOKUP(_xlfn.TEXTJOIN(,,D511:O511),Aux!$B$3:$B$4098,'Truth Table'!$O$3:$S$4098)=1,FALSE)</f>
        <v>1</v>
      </c>
      <c r="R511" s="4" t="b">
        <v>0</v>
      </c>
      <c r="S511" s="4" t="b">
        <v>0</v>
      </c>
      <c r="T511" s="4" t="b">
        <v>0</v>
      </c>
      <c r="U511" s="4" t="b">
        <v>0</v>
      </c>
      <c r="V511" s="4" t="b">
        <f>AND(_xlfn.XLOOKUP(_xlfn.TEXTJOIN(,,D511:O511),Aux!$B$3:$B$4098,'Truth Table'!$T$3:$T$4098)=1,P510&lt;='Line Follower'!$C$7)</f>
        <v>0</v>
      </c>
      <c r="W511" s="4" t="b">
        <f>AND(_xlfn.XLOOKUP(_xlfn.TEXTJOIN(,,D511:O511),Aux!$B$3:$B$4098,'Truth Table'!$U$3:$U$4098)=1,P510&gt;='Line Follower'!$C$6)</f>
        <v>0</v>
      </c>
      <c r="X511" s="4" t="b">
        <f>IFERROR(AND(_xlfn.XLOOKUP(_xlfn.TEXTJOIN(,,D511:O511),Aux!$B$3:$B$4098,'Truth Table'!$V$3:$V$4098)=1,ABS(P510)&lt;='Line Follower'!$C$6),FALSE)</f>
        <v>0</v>
      </c>
      <c r="Y511" s="4" t="b">
        <f t="shared" si="7"/>
        <v>1</v>
      </c>
    </row>
    <row r="512" spans="2:25" x14ac:dyDescent="0.25">
      <c r="B512" s="4">
        <v>509</v>
      </c>
      <c r="C512" s="4">
        <v>4128</v>
      </c>
      <c r="D512" s="4">
        <v>0</v>
      </c>
      <c r="E512" s="4">
        <v>0</v>
      </c>
      <c r="F512" s="4">
        <v>0</v>
      </c>
      <c r="G512" s="4">
        <v>0</v>
      </c>
      <c r="H512" s="4">
        <v>0</v>
      </c>
      <c r="I512" s="4">
        <v>1</v>
      </c>
      <c r="J512" s="4">
        <v>1</v>
      </c>
      <c r="K512" s="4">
        <v>0</v>
      </c>
      <c r="L512" s="4">
        <v>0</v>
      </c>
      <c r="M512" s="4">
        <v>0</v>
      </c>
      <c r="N512" s="4">
        <v>0</v>
      </c>
      <c r="O512" s="4">
        <v>1</v>
      </c>
      <c r="P512" s="51">
        <f>IFERROR(_xlfn.XLOOKUP(_xlfn.TEXTJOIN(,,D511:O511),Aux!$B$3:$B$4098,'Truth Table'!$N$3:$N$4098),P511)</f>
        <v>1</v>
      </c>
      <c r="Q512" s="4" t="b" cm="1">
        <f t="array" ref="Q512:U512">IFERROR(_xlfn.XLOOKUP(_xlfn.TEXTJOIN(,,D512:O512),Aux!$B$3:$B$4098,'Truth Table'!$O$3:$S$4098)=1,FALSE)</f>
        <v>1</v>
      </c>
      <c r="R512" s="4" t="b">
        <v>0</v>
      </c>
      <c r="S512" s="4" t="b">
        <v>0</v>
      </c>
      <c r="T512" s="4" t="b">
        <v>0</v>
      </c>
      <c r="U512" s="4" t="b">
        <v>0</v>
      </c>
      <c r="V512" s="4" t="b">
        <f>AND(_xlfn.XLOOKUP(_xlfn.TEXTJOIN(,,D512:O512),Aux!$B$3:$B$4098,'Truth Table'!$T$3:$T$4098)=1,P511&lt;='Line Follower'!$C$7)</f>
        <v>0</v>
      </c>
      <c r="W512" s="4" t="b">
        <f>AND(_xlfn.XLOOKUP(_xlfn.TEXTJOIN(,,D512:O512),Aux!$B$3:$B$4098,'Truth Table'!$U$3:$U$4098)=1,P511&gt;='Line Follower'!$C$6)</f>
        <v>0</v>
      </c>
      <c r="X512" s="4" t="b">
        <f>IFERROR(AND(_xlfn.XLOOKUP(_xlfn.TEXTJOIN(,,D512:O512),Aux!$B$3:$B$4098,'Truth Table'!$V$3:$V$4098)=1,ABS(P511)&lt;='Line Follower'!$C$6),FALSE)</f>
        <v>0</v>
      </c>
      <c r="Y512" s="4" t="b">
        <f t="shared" si="7"/>
        <v>1</v>
      </c>
    </row>
    <row r="513" spans="2:25" x14ac:dyDescent="0.25">
      <c r="B513" s="4">
        <v>510</v>
      </c>
      <c r="C513" s="4">
        <v>4134</v>
      </c>
      <c r="D513" s="4">
        <v>0</v>
      </c>
      <c r="E513" s="4">
        <v>0</v>
      </c>
      <c r="F513" s="4">
        <v>0</v>
      </c>
      <c r="G513" s="4">
        <v>0</v>
      </c>
      <c r="H513" s="4">
        <v>0</v>
      </c>
      <c r="I513" s="4">
        <v>1</v>
      </c>
      <c r="J513" s="4">
        <v>1</v>
      </c>
      <c r="K513" s="4">
        <v>0</v>
      </c>
      <c r="L513" s="4">
        <v>0</v>
      </c>
      <c r="M513" s="4">
        <v>0</v>
      </c>
      <c r="N513" s="4">
        <v>0</v>
      </c>
      <c r="O513" s="4">
        <v>1</v>
      </c>
      <c r="P513" s="51">
        <f>IFERROR(_xlfn.XLOOKUP(_xlfn.TEXTJOIN(,,D512:O512),Aux!$B$3:$B$4098,'Truth Table'!$N$3:$N$4098),P512)</f>
        <v>1</v>
      </c>
      <c r="Q513" s="4" t="b" cm="1">
        <f t="array" ref="Q513:U513">IFERROR(_xlfn.XLOOKUP(_xlfn.TEXTJOIN(,,D513:O513),Aux!$B$3:$B$4098,'Truth Table'!$O$3:$S$4098)=1,FALSE)</f>
        <v>1</v>
      </c>
      <c r="R513" s="4" t="b">
        <v>0</v>
      </c>
      <c r="S513" s="4" t="b">
        <v>0</v>
      </c>
      <c r="T513" s="4" t="b">
        <v>0</v>
      </c>
      <c r="U513" s="4" t="b">
        <v>0</v>
      </c>
      <c r="V513" s="4" t="b">
        <f>AND(_xlfn.XLOOKUP(_xlfn.TEXTJOIN(,,D513:O513),Aux!$B$3:$B$4098,'Truth Table'!$T$3:$T$4098)=1,P512&lt;='Line Follower'!$C$7)</f>
        <v>0</v>
      </c>
      <c r="W513" s="4" t="b">
        <f>AND(_xlfn.XLOOKUP(_xlfn.TEXTJOIN(,,D513:O513),Aux!$B$3:$B$4098,'Truth Table'!$U$3:$U$4098)=1,P512&gt;='Line Follower'!$C$6)</f>
        <v>0</v>
      </c>
      <c r="X513" s="4" t="b">
        <f>IFERROR(AND(_xlfn.XLOOKUP(_xlfn.TEXTJOIN(,,D513:O513),Aux!$B$3:$B$4098,'Truth Table'!$V$3:$V$4098)=1,ABS(P512)&lt;='Line Follower'!$C$6),FALSE)</f>
        <v>0</v>
      </c>
      <c r="Y513" s="4" t="b">
        <f t="shared" si="7"/>
        <v>1</v>
      </c>
    </row>
    <row r="514" spans="2:25" x14ac:dyDescent="0.25">
      <c r="B514" s="4">
        <v>511</v>
      </c>
      <c r="C514" s="4">
        <v>4143</v>
      </c>
      <c r="D514" s="4">
        <v>0</v>
      </c>
      <c r="E514" s="4">
        <v>0</v>
      </c>
      <c r="F514" s="4">
        <v>0</v>
      </c>
      <c r="G514" s="4">
        <v>0</v>
      </c>
      <c r="H514" s="4">
        <v>0</v>
      </c>
      <c r="I514" s="4">
        <v>1</v>
      </c>
      <c r="J514" s="4">
        <v>1</v>
      </c>
      <c r="K514" s="4">
        <v>0</v>
      </c>
      <c r="L514" s="4">
        <v>0</v>
      </c>
      <c r="M514" s="4">
        <v>0</v>
      </c>
      <c r="N514" s="4">
        <v>0</v>
      </c>
      <c r="O514" s="4">
        <v>1</v>
      </c>
      <c r="P514" s="51">
        <f>IFERROR(_xlfn.XLOOKUP(_xlfn.TEXTJOIN(,,D513:O513),Aux!$B$3:$B$4098,'Truth Table'!$N$3:$N$4098),P513)</f>
        <v>1</v>
      </c>
      <c r="Q514" s="4" t="b" cm="1">
        <f t="array" ref="Q514:U514">IFERROR(_xlfn.XLOOKUP(_xlfn.TEXTJOIN(,,D514:O514),Aux!$B$3:$B$4098,'Truth Table'!$O$3:$S$4098)=1,FALSE)</f>
        <v>1</v>
      </c>
      <c r="R514" s="4" t="b">
        <v>0</v>
      </c>
      <c r="S514" s="4" t="b">
        <v>0</v>
      </c>
      <c r="T514" s="4" t="b">
        <v>0</v>
      </c>
      <c r="U514" s="4" t="b">
        <v>0</v>
      </c>
      <c r="V514" s="4" t="b">
        <f>AND(_xlfn.XLOOKUP(_xlfn.TEXTJOIN(,,D514:O514),Aux!$B$3:$B$4098,'Truth Table'!$T$3:$T$4098)=1,P513&lt;='Line Follower'!$C$7)</f>
        <v>0</v>
      </c>
      <c r="W514" s="4" t="b">
        <f>AND(_xlfn.XLOOKUP(_xlfn.TEXTJOIN(,,D514:O514),Aux!$B$3:$B$4098,'Truth Table'!$U$3:$U$4098)=1,P513&gt;='Line Follower'!$C$6)</f>
        <v>0</v>
      </c>
      <c r="X514" s="4" t="b">
        <f>IFERROR(AND(_xlfn.XLOOKUP(_xlfn.TEXTJOIN(,,D514:O514),Aux!$B$3:$B$4098,'Truth Table'!$V$3:$V$4098)=1,ABS(P513)&lt;='Line Follower'!$C$6),FALSE)</f>
        <v>0</v>
      </c>
      <c r="Y514" s="4" t="b">
        <f t="shared" si="7"/>
        <v>1</v>
      </c>
    </row>
    <row r="515" spans="2:25" x14ac:dyDescent="0.25">
      <c r="B515" s="4">
        <v>512</v>
      </c>
      <c r="C515" s="4">
        <v>4159</v>
      </c>
      <c r="D515" s="4">
        <v>0</v>
      </c>
      <c r="E515" s="4">
        <v>0</v>
      </c>
      <c r="F515" s="4">
        <v>0</v>
      </c>
      <c r="G515" s="4">
        <v>0</v>
      </c>
      <c r="H515" s="4">
        <v>0</v>
      </c>
      <c r="I515" s="4">
        <v>1</v>
      </c>
      <c r="J515" s="4">
        <v>1</v>
      </c>
      <c r="K515" s="4">
        <v>0</v>
      </c>
      <c r="L515" s="4">
        <v>0</v>
      </c>
      <c r="M515" s="4">
        <v>0</v>
      </c>
      <c r="N515" s="4">
        <v>0</v>
      </c>
      <c r="O515" s="4">
        <v>1</v>
      </c>
      <c r="P515" s="51">
        <f>IFERROR(_xlfn.XLOOKUP(_xlfn.TEXTJOIN(,,D514:O514),Aux!$B$3:$B$4098,'Truth Table'!$N$3:$N$4098),P514)</f>
        <v>1</v>
      </c>
      <c r="Q515" s="4" t="b" cm="1">
        <f t="array" ref="Q515:U515">IFERROR(_xlfn.XLOOKUP(_xlfn.TEXTJOIN(,,D515:O515),Aux!$B$3:$B$4098,'Truth Table'!$O$3:$S$4098)=1,FALSE)</f>
        <v>1</v>
      </c>
      <c r="R515" s="4" t="b">
        <v>0</v>
      </c>
      <c r="S515" s="4" t="b">
        <v>0</v>
      </c>
      <c r="T515" s="4" t="b">
        <v>0</v>
      </c>
      <c r="U515" s="4" t="b">
        <v>0</v>
      </c>
      <c r="V515" s="4" t="b">
        <f>AND(_xlfn.XLOOKUP(_xlfn.TEXTJOIN(,,D515:O515),Aux!$B$3:$B$4098,'Truth Table'!$T$3:$T$4098)=1,P514&lt;='Line Follower'!$C$7)</f>
        <v>0</v>
      </c>
      <c r="W515" s="4" t="b">
        <f>AND(_xlfn.XLOOKUP(_xlfn.TEXTJOIN(,,D515:O515),Aux!$B$3:$B$4098,'Truth Table'!$U$3:$U$4098)=1,P514&gt;='Line Follower'!$C$6)</f>
        <v>0</v>
      </c>
      <c r="X515" s="4" t="b">
        <f>IFERROR(AND(_xlfn.XLOOKUP(_xlfn.TEXTJOIN(,,D515:O515),Aux!$B$3:$B$4098,'Truth Table'!$V$3:$V$4098)=1,ABS(P514)&lt;='Line Follower'!$C$6),FALSE)</f>
        <v>0</v>
      </c>
      <c r="Y515" s="4" t="b">
        <f t="shared" si="7"/>
        <v>1</v>
      </c>
    </row>
    <row r="516" spans="2:25" x14ac:dyDescent="0.25">
      <c r="B516" s="4">
        <v>513</v>
      </c>
      <c r="C516" s="4">
        <v>4166</v>
      </c>
      <c r="D516" s="4">
        <v>0</v>
      </c>
      <c r="E516" s="4">
        <v>0</v>
      </c>
      <c r="F516" s="4">
        <v>0</v>
      </c>
      <c r="G516" s="4">
        <v>0</v>
      </c>
      <c r="H516" s="4">
        <v>0</v>
      </c>
      <c r="I516" s="4">
        <v>1</v>
      </c>
      <c r="J516" s="4">
        <v>1</v>
      </c>
      <c r="K516" s="4">
        <v>0</v>
      </c>
      <c r="L516" s="4">
        <v>0</v>
      </c>
      <c r="M516" s="4">
        <v>0</v>
      </c>
      <c r="N516" s="4">
        <v>0</v>
      </c>
      <c r="O516" s="4">
        <v>1</v>
      </c>
      <c r="P516" s="51">
        <f>IFERROR(_xlfn.XLOOKUP(_xlfn.TEXTJOIN(,,D515:O515),Aux!$B$3:$B$4098,'Truth Table'!$N$3:$N$4098),P515)</f>
        <v>1</v>
      </c>
      <c r="Q516" s="4" t="b" cm="1">
        <f t="array" ref="Q516:U516">IFERROR(_xlfn.XLOOKUP(_xlfn.TEXTJOIN(,,D516:O516),Aux!$B$3:$B$4098,'Truth Table'!$O$3:$S$4098)=1,FALSE)</f>
        <v>1</v>
      </c>
      <c r="R516" s="4" t="b">
        <v>0</v>
      </c>
      <c r="S516" s="4" t="b">
        <v>0</v>
      </c>
      <c r="T516" s="4" t="b">
        <v>0</v>
      </c>
      <c r="U516" s="4" t="b">
        <v>0</v>
      </c>
      <c r="V516" s="4" t="b">
        <f>AND(_xlfn.XLOOKUP(_xlfn.TEXTJOIN(,,D516:O516),Aux!$B$3:$B$4098,'Truth Table'!$T$3:$T$4098)=1,P515&lt;='Line Follower'!$C$7)</f>
        <v>0</v>
      </c>
      <c r="W516" s="4" t="b">
        <f>AND(_xlfn.XLOOKUP(_xlfn.TEXTJOIN(,,D516:O516),Aux!$B$3:$B$4098,'Truth Table'!$U$3:$U$4098)=1,P515&gt;='Line Follower'!$C$6)</f>
        <v>0</v>
      </c>
      <c r="X516" s="4" t="b">
        <f>IFERROR(AND(_xlfn.XLOOKUP(_xlfn.TEXTJOIN(,,D516:O516),Aux!$B$3:$B$4098,'Truth Table'!$V$3:$V$4098)=1,ABS(P515)&lt;='Line Follower'!$C$6),FALSE)</f>
        <v>0</v>
      </c>
      <c r="Y516" s="4" t="b">
        <f t="shared" ref="Y516:Y579" si="8">OR(Q516:X516)</f>
        <v>1</v>
      </c>
    </row>
    <row r="517" spans="2:25" x14ac:dyDescent="0.25">
      <c r="B517" s="4">
        <v>514</v>
      </c>
      <c r="C517" s="4">
        <v>4174</v>
      </c>
      <c r="D517" s="4">
        <v>0</v>
      </c>
      <c r="E517" s="4">
        <v>0</v>
      </c>
      <c r="F517" s="4">
        <v>0</v>
      </c>
      <c r="G517" s="4">
        <v>0</v>
      </c>
      <c r="H517" s="4">
        <v>0</v>
      </c>
      <c r="I517" s="4">
        <v>1</v>
      </c>
      <c r="J517" s="4">
        <v>1</v>
      </c>
      <c r="K517" s="4">
        <v>0</v>
      </c>
      <c r="L517" s="4">
        <v>0</v>
      </c>
      <c r="M517" s="4">
        <v>0</v>
      </c>
      <c r="N517" s="4">
        <v>0</v>
      </c>
      <c r="O517" s="4">
        <v>1</v>
      </c>
      <c r="P517" s="51">
        <f>IFERROR(_xlfn.XLOOKUP(_xlfn.TEXTJOIN(,,D516:O516),Aux!$B$3:$B$4098,'Truth Table'!$N$3:$N$4098),P516)</f>
        <v>1</v>
      </c>
      <c r="Q517" s="4" t="b" cm="1">
        <f t="array" ref="Q517:U517">IFERROR(_xlfn.XLOOKUP(_xlfn.TEXTJOIN(,,D517:O517),Aux!$B$3:$B$4098,'Truth Table'!$O$3:$S$4098)=1,FALSE)</f>
        <v>1</v>
      </c>
      <c r="R517" s="4" t="b">
        <v>0</v>
      </c>
      <c r="S517" s="4" t="b">
        <v>0</v>
      </c>
      <c r="T517" s="4" t="b">
        <v>0</v>
      </c>
      <c r="U517" s="4" t="b">
        <v>0</v>
      </c>
      <c r="V517" s="4" t="b">
        <f>AND(_xlfn.XLOOKUP(_xlfn.TEXTJOIN(,,D517:O517),Aux!$B$3:$B$4098,'Truth Table'!$T$3:$T$4098)=1,P516&lt;='Line Follower'!$C$7)</f>
        <v>0</v>
      </c>
      <c r="W517" s="4" t="b">
        <f>AND(_xlfn.XLOOKUP(_xlfn.TEXTJOIN(,,D517:O517),Aux!$B$3:$B$4098,'Truth Table'!$U$3:$U$4098)=1,P516&gt;='Line Follower'!$C$6)</f>
        <v>0</v>
      </c>
      <c r="X517" s="4" t="b">
        <f>IFERROR(AND(_xlfn.XLOOKUP(_xlfn.TEXTJOIN(,,D517:O517),Aux!$B$3:$B$4098,'Truth Table'!$V$3:$V$4098)=1,ABS(P516)&lt;='Line Follower'!$C$6),FALSE)</f>
        <v>0</v>
      </c>
      <c r="Y517" s="4" t="b">
        <f t="shared" si="8"/>
        <v>1</v>
      </c>
    </row>
    <row r="518" spans="2:25" x14ac:dyDescent="0.25">
      <c r="B518" s="4">
        <v>515</v>
      </c>
      <c r="C518" s="4">
        <v>4183</v>
      </c>
      <c r="D518" s="4">
        <v>0</v>
      </c>
      <c r="E518" s="4">
        <v>0</v>
      </c>
      <c r="F518" s="4">
        <v>0</v>
      </c>
      <c r="G518" s="4">
        <v>0</v>
      </c>
      <c r="H518" s="4">
        <v>0</v>
      </c>
      <c r="I518" s="4">
        <v>1</v>
      </c>
      <c r="J518" s="4">
        <v>1</v>
      </c>
      <c r="K518" s="4">
        <v>0</v>
      </c>
      <c r="L518" s="4">
        <v>0</v>
      </c>
      <c r="M518" s="4">
        <v>0</v>
      </c>
      <c r="N518" s="4">
        <v>0</v>
      </c>
      <c r="O518" s="4">
        <v>1</v>
      </c>
      <c r="P518" s="51">
        <f>IFERROR(_xlfn.XLOOKUP(_xlfn.TEXTJOIN(,,D517:O517),Aux!$B$3:$B$4098,'Truth Table'!$N$3:$N$4098),P517)</f>
        <v>1</v>
      </c>
      <c r="Q518" s="4" t="b" cm="1">
        <f t="array" ref="Q518:U518">IFERROR(_xlfn.XLOOKUP(_xlfn.TEXTJOIN(,,D518:O518),Aux!$B$3:$B$4098,'Truth Table'!$O$3:$S$4098)=1,FALSE)</f>
        <v>1</v>
      </c>
      <c r="R518" s="4" t="b">
        <v>0</v>
      </c>
      <c r="S518" s="4" t="b">
        <v>0</v>
      </c>
      <c r="T518" s="4" t="b">
        <v>0</v>
      </c>
      <c r="U518" s="4" t="b">
        <v>0</v>
      </c>
      <c r="V518" s="4" t="b">
        <f>AND(_xlfn.XLOOKUP(_xlfn.TEXTJOIN(,,D518:O518),Aux!$B$3:$B$4098,'Truth Table'!$T$3:$T$4098)=1,P517&lt;='Line Follower'!$C$7)</f>
        <v>0</v>
      </c>
      <c r="W518" s="4" t="b">
        <f>AND(_xlfn.XLOOKUP(_xlfn.TEXTJOIN(,,D518:O518),Aux!$B$3:$B$4098,'Truth Table'!$U$3:$U$4098)=1,P517&gt;='Line Follower'!$C$6)</f>
        <v>0</v>
      </c>
      <c r="X518" s="4" t="b">
        <f>IFERROR(AND(_xlfn.XLOOKUP(_xlfn.TEXTJOIN(,,D518:O518),Aux!$B$3:$B$4098,'Truth Table'!$V$3:$V$4098)=1,ABS(P517)&lt;='Line Follower'!$C$6),FALSE)</f>
        <v>0</v>
      </c>
      <c r="Y518" s="4" t="b">
        <f t="shared" si="8"/>
        <v>1</v>
      </c>
    </row>
    <row r="519" spans="2:25" x14ac:dyDescent="0.25">
      <c r="B519" s="4">
        <v>516</v>
      </c>
      <c r="C519" s="4">
        <v>4189</v>
      </c>
      <c r="D519" s="4">
        <v>0</v>
      </c>
      <c r="E519" s="4">
        <v>0</v>
      </c>
      <c r="F519" s="4">
        <v>0</v>
      </c>
      <c r="G519" s="4">
        <v>0</v>
      </c>
      <c r="H519" s="4">
        <v>0</v>
      </c>
      <c r="I519" s="4">
        <v>1</v>
      </c>
      <c r="J519" s="4">
        <v>1</v>
      </c>
      <c r="K519" s="4">
        <v>0</v>
      </c>
      <c r="L519" s="4">
        <v>0</v>
      </c>
      <c r="M519" s="4">
        <v>0</v>
      </c>
      <c r="N519" s="4">
        <v>0</v>
      </c>
      <c r="O519" s="4">
        <v>1</v>
      </c>
      <c r="P519" s="51">
        <f>IFERROR(_xlfn.XLOOKUP(_xlfn.TEXTJOIN(,,D518:O518),Aux!$B$3:$B$4098,'Truth Table'!$N$3:$N$4098),P518)</f>
        <v>1</v>
      </c>
      <c r="Q519" s="4" t="b" cm="1">
        <f t="array" ref="Q519:U519">IFERROR(_xlfn.XLOOKUP(_xlfn.TEXTJOIN(,,D519:O519),Aux!$B$3:$B$4098,'Truth Table'!$O$3:$S$4098)=1,FALSE)</f>
        <v>1</v>
      </c>
      <c r="R519" s="4" t="b">
        <v>0</v>
      </c>
      <c r="S519" s="4" t="b">
        <v>0</v>
      </c>
      <c r="T519" s="4" t="b">
        <v>0</v>
      </c>
      <c r="U519" s="4" t="b">
        <v>0</v>
      </c>
      <c r="V519" s="4" t="b">
        <f>AND(_xlfn.XLOOKUP(_xlfn.TEXTJOIN(,,D519:O519),Aux!$B$3:$B$4098,'Truth Table'!$T$3:$T$4098)=1,P518&lt;='Line Follower'!$C$7)</f>
        <v>0</v>
      </c>
      <c r="W519" s="4" t="b">
        <f>AND(_xlfn.XLOOKUP(_xlfn.TEXTJOIN(,,D519:O519),Aux!$B$3:$B$4098,'Truth Table'!$U$3:$U$4098)=1,P518&gt;='Line Follower'!$C$6)</f>
        <v>0</v>
      </c>
      <c r="X519" s="4" t="b">
        <f>IFERROR(AND(_xlfn.XLOOKUP(_xlfn.TEXTJOIN(,,D519:O519),Aux!$B$3:$B$4098,'Truth Table'!$V$3:$V$4098)=1,ABS(P518)&lt;='Line Follower'!$C$6),FALSE)</f>
        <v>0</v>
      </c>
      <c r="Y519" s="4" t="b">
        <f t="shared" si="8"/>
        <v>1</v>
      </c>
    </row>
    <row r="520" spans="2:25" x14ac:dyDescent="0.25">
      <c r="B520" s="4">
        <v>517</v>
      </c>
      <c r="C520" s="4">
        <v>4206</v>
      </c>
      <c r="D520" s="4">
        <v>0</v>
      </c>
      <c r="E520" s="4">
        <v>0</v>
      </c>
      <c r="F520" s="4">
        <v>0</v>
      </c>
      <c r="G520" s="4">
        <v>0</v>
      </c>
      <c r="H520" s="4">
        <v>0</v>
      </c>
      <c r="I520" s="4">
        <v>1</v>
      </c>
      <c r="J520" s="4">
        <v>1</v>
      </c>
      <c r="K520" s="4">
        <v>0</v>
      </c>
      <c r="L520" s="4">
        <v>0</v>
      </c>
      <c r="M520" s="4">
        <v>0</v>
      </c>
      <c r="N520" s="4">
        <v>0</v>
      </c>
      <c r="O520" s="4">
        <v>1</v>
      </c>
      <c r="P520" s="51">
        <f>IFERROR(_xlfn.XLOOKUP(_xlfn.TEXTJOIN(,,D519:O519),Aux!$B$3:$B$4098,'Truth Table'!$N$3:$N$4098),P519)</f>
        <v>1</v>
      </c>
      <c r="Q520" s="4" t="b" cm="1">
        <f t="array" ref="Q520:U520">IFERROR(_xlfn.XLOOKUP(_xlfn.TEXTJOIN(,,D520:O520),Aux!$B$3:$B$4098,'Truth Table'!$O$3:$S$4098)=1,FALSE)</f>
        <v>1</v>
      </c>
      <c r="R520" s="4" t="b">
        <v>0</v>
      </c>
      <c r="S520" s="4" t="b">
        <v>0</v>
      </c>
      <c r="T520" s="4" t="b">
        <v>0</v>
      </c>
      <c r="U520" s="4" t="b">
        <v>0</v>
      </c>
      <c r="V520" s="4" t="b">
        <f>AND(_xlfn.XLOOKUP(_xlfn.TEXTJOIN(,,D520:O520),Aux!$B$3:$B$4098,'Truth Table'!$T$3:$T$4098)=1,P519&lt;='Line Follower'!$C$7)</f>
        <v>0</v>
      </c>
      <c r="W520" s="4" t="b">
        <f>AND(_xlfn.XLOOKUP(_xlfn.TEXTJOIN(,,D520:O520),Aux!$B$3:$B$4098,'Truth Table'!$U$3:$U$4098)=1,P519&gt;='Line Follower'!$C$6)</f>
        <v>0</v>
      </c>
      <c r="X520" s="4" t="b">
        <f>IFERROR(AND(_xlfn.XLOOKUP(_xlfn.TEXTJOIN(,,D520:O520),Aux!$B$3:$B$4098,'Truth Table'!$V$3:$V$4098)=1,ABS(P519)&lt;='Line Follower'!$C$6),FALSE)</f>
        <v>0</v>
      </c>
      <c r="Y520" s="4" t="b">
        <f t="shared" si="8"/>
        <v>1</v>
      </c>
    </row>
    <row r="521" spans="2:25" x14ac:dyDescent="0.25">
      <c r="B521" s="4">
        <v>518</v>
      </c>
      <c r="C521" s="4">
        <v>4212</v>
      </c>
      <c r="D521" s="4">
        <v>0</v>
      </c>
      <c r="E521" s="4">
        <v>0</v>
      </c>
      <c r="F521" s="4">
        <v>0</v>
      </c>
      <c r="G521" s="4">
        <v>0</v>
      </c>
      <c r="H521" s="4">
        <v>0</v>
      </c>
      <c r="I521" s="4">
        <v>1</v>
      </c>
      <c r="J521" s="4">
        <v>1</v>
      </c>
      <c r="K521" s="4">
        <v>0</v>
      </c>
      <c r="L521" s="4">
        <v>0</v>
      </c>
      <c r="M521" s="4">
        <v>0</v>
      </c>
      <c r="N521" s="4">
        <v>0</v>
      </c>
      <c r="O521" s="4">
        <v>1</v>
      </c>
      <c r="P521" s="51">
        <f>IFERROR(_xlfn.XLOOKUP(_xlfn.TEXTJOIN(,,D520:O520),Aux!$B$3:$B$4098,'Truth Table'!$N$3:$N$4098),P520)</f>
        <v>1</v>
      </c>
      <c r="Q521" s="4" t="b" cm="1">
        <f t="array" ref="Q521:U521">IFERROR(_xlfn.XLOOKUP(_xlfn.TEXTJOIN(,,D521:O521),Aux!$B$3:$B$4098,'Truth Table'!$O$3:$S$4098)=1,FALSE)</f>
        <v>1</v>
      </c>
      <c r="R521" s="4" t="b">
        <v>0</v>
      </c>
      <c r="S521" s="4" t="b">
        <v>0</v>
      </c>
      <c r="T521" s="4" t="b">
        <v>0</v>
      </c>
      <c r="U521" s="4" t="b">
        <v>0</v>
      </c>
      <c r="V521" s="4" t="b">
        <f>AND(_xlfn.XLOOKUP(_xlfn.TEXTJOIN(,,D521:O521),Aux!$B$3:$B$4098,'Truth Table'!$T$3:$T$4098)=1,P520&lt;='Line Follower'!$C$7)</f>
        <v>0</v>
      </c>
      <c r="W521" s="4" t="b">
        <f>AND(_xlfn.XLOOKUP(_xlfn.TEXTJOIN(,,D521:O521),Aux!$B$3:$B$4098,'Truth Table'!$U$3:$U$4098)=1,P520&gt;='Line Follower'!$C$6)</f>
        <v>0</v>
      </c>
      <c r="X521" s="4" t="b">
        <f>IFERROR(AND(_xlfn.XLOOKUP(_xlfn.TEXTJOIN(,,D521:O521),Aux!$B$3:$B$4098,'Truth Table'!$V$3:$V$4098)=1,ABS(P520)&lt;='Line Follower'!$C$6),FALSE)</f>
        <v>0</v>
      </c>
      <c r="Y521" s="4" t="b">
        <f t="shared" si="8"/>
        <v>1</v>
      </c>
    </row>
    <row r="522" spans="2:25" x14ac:dyDescent="0.25">
      <c r="B522" s="4">
        <v>519</v>
      </c>
      <c r="C522" s="4">
        <v>4221</v>
      </c>
      <c r="D522" s="4">
        <v>0</v>
      </c>
      <c r="E522" s="4">
        <v>0</v>
      </c>
      <c r="F522" s="4">
        <v>0</v>
      </c>
      <c r="G522" s="4">
        <v>0</v>
      </c>
      <c r="H522" s="4">
        <v>0</v>
      </c>
      <c r="I522" s="4">
        <v>1</v>
      </c>
      <c r="J522" s="4">
        <v>1</v>
      </c>
      <c r="K522" s="4">
        <v>0</v>
      </c>
      <c r="L522" s="4">
        <v>0</v>
      </c>
      <c r="M522" s="4">
        <v>0</v>
      </c>
      <c r="N522" s="4">
        <v>0</v>
      </c>
      <c r="O522" s="4">
        <v>1</v>
      </c>
      <c r="P522" s="51">
        <f>IFERROR(_xlfn.XLOOKUP(_xlfn.TEXTJOIN(,,D521:O521),Aux!$B$3:$B$4098,'Truth Table'!$N$3:$N$4098),P521)</f>
        <v>1</v>
      </c>
      <c r="Q522" s="4" t="b" cm="1">
        <f t="array" ref="Q522:U522">IFERROR(_xlfn.XLOOKUP(_xlfn.TEXTJOIN(,,D522:O522),Aux!$B$3:$B$4098,'Truth Table'!$O$3:$S$4098)=1,FALSE)</f>
        <v>1</v>
      </c>
      <c r="R522" s="4" t="b">
        <v>0</v>
      </c>
      <c r="S522" s="4" t="b">
        <v>0</v>
      </c>
      <c r="T522" s="4" t="b">
        <v>0</v>
      </c>
      <c r="U522" s="4" t="b">
        <v>0</v>
      </c>
      <c r="V522" s="4" t="b">
        <f>AND(_xlfn.XLOOKUP(_xlfn.TEXTJOIN(,,D522:O522),Aux!$B$3:$B$4098,'Truth Table'!$T$3:$T$4098)=1,P521&lt;='Line Follower'!$C$7)</f>
        <v>0</v>
      </c>
      <c r="W522" s="4" t="b">
        <f>AND(_xlfn.XLOOKUP(_xlfn.TEXTJOIN(,,D522:O522),Aux!$B$3:$B$4098,'Truth Table'!$U$3:$U$4098)=1,P521&gt;='Line Follower'!$C$6)</f>
        <v>0</v>
      </c>
      <c r="X522" s="4" t="b">
        <f>IFERROR(AND(_xlfn.XLOOKUP(_xlfn.TEXTJOIN(,,D522:O522),Aux!$B$3:$B$4098,'Truth Table'!$V$3:$V$4098)=1,ABS(P521)&lt;='Line Follower'!$C$6),FALSE)</f>
        <v>0</v>
      </c>
      <c r="Y522" s="4" t="b">
        <f t="shared" si="8"/>
        <v>1</v>
      </c>
    </row>
    <row r="523" spans="2:25" x14ac:dyDescent="0.25">
      <c r="B523" s="4">
        <v>520</v>
      </c>
      <c r="C523" s="4">
        <v>4232</v>
      </c>
      <c r="D523" s="4">
        <v>0</v>
      </c>
      <c r="E523" s="4">
        <v>0</v>
      </c>
      <c r="F523" s="4">
        <v>0</v>
      </c>
      <c r="G523" s="4">
        <v>0</v>
      </c>
      <c r="H523" s="4">
        <v>0</v>
      </c>
      <c r="I523" s="4">
        <v>1</v>
      </c>
      <c r="J523" s="4">
        <v>1</v>
      </c>
      <c r="K523" s="4">
        <v>0</v>
      </c>
      <c r="L523" s="4">
        <v>0</v>
      </c>
      <c r="M523" s="4">
        <v>0</v>
      </c>
      <c r="N523" s="4">
        <v>0</v>
      </c>
      <c r="O523" s="4">
        <v>1</v>
      </c>
      <c r="P523" s="51">
        <f>IFERROR(_xlfn.XLOOKUP(_xlfn.TEXTJOIN(,,D522:O522),Aux!$B$3:$B$4098,'Truth Table'!$N$3:$N$4098),P522)</f>
        <v>1</v>
      </c>
      <c r="Q523" s="4" t="b" cm="1">
        <f t="array" ref="Q523:U523">IFERROR(_xlfn.XLOOKUP(_xlfn.TEXTJOIN(,,D523:O523),Aux!$B$3:$B$4098,'Truth Table'!$O$3:$S$4098)=1,FALSE)</f>
        <v>1</v>
      </c>
      <c r="R523" s="4" t="b">
        <v>0</v>
      </c>
      <c r="S523" s="4" t="b">
        <v>0</v>
      </c>
      <c r="T523" s="4" t="b">
        <v>0</v>
      </c>
      <c r="U523" s="4" t="b">
        <v>0</v>
      </c>
      <c r="V523" s="4" t="b">
        <f>AND(_xlfn.XLOOKUP(_xlfn.TEXTJOIN(,,D523:O523),Aux!$B$3:$B$4098,'Truth Table'!$T$3:$T$4098)=1,P522&lt;='Line Follower'!$C$7)</f>
        <v>0</v>
      </c>
      <c r="W523" s="4" t="b">
        <f>AND(_xlfn.XLOOKUP(_xlfn.TEXTJOIN(,,D523:O523),Aux!$B$3:$B$4098,'Truth Table'!$U$3:$U$4098)=1,P522&gt;='Line Follower'!$C$6)</f>
        <v>0</v>
      </c>
      <c r="X523" s="4" t="b">
        <f>IFERROR(AND(_xlfn.XLOOKUP(_xlfn.TEXTJOIN(,,D523:O523),Aux!$B$3:$B$4098,'Truth Table'!$V$3:$V$4098)=1,ABS(P522)&lt;='Line Follower'!$C$6),FALSE)</f>
        <v>0</v>
      </c>
      <c r="Y523" s="4" t="b">
        <f t="shared" si="8"/>
        <v>1</v>
      </c>
    </row>
    <row r="524" spans="2:25" x14ac:dyDescent="0.25">
      <c r="B524" s="4">
        <v>521</v>
      </c>
      <c r="C524" s="4">
        <v>4241</v>
      </c>
      <c r="D524" s="4">
        <v>0</v>
      </c>
      <c r="E524" s="4">
        <v>0</v>
      </c>
      <c r="F524" s="4">
        <v>0</v>
      </c>
      <c r="G524" s="4">
        <v>0</v>
      </c>
      <c r="H524" s="4">
        <v>0</v>
      </c>
      <c r="I524" s="4">
        <v>1</v>
      </c>
      <c r="J524" s="4">
        <v>1</v>
      </c>
      <c r="K524" s="4">
        <v>0</v>
      </c>
      <c r="L524" s="4">
        <v>0</v>
      </c>
      <c r="M524" s="4">
        <v>0</v>
      </c>
      <c r="N524" s="4">
        <v>0</v>
      </c>
      <c r="O524" s="4">
        <v>1</v>
      </c>
      <c r="P524" s="51">
        <f>IFERROR(_xlfn.XLOOKUP(_xlfn.TEXTJOIN(,,D523:O523),Aux!$B$3:$B$4098,'Truth Table'!$N$3:$N$4098),P523)</f>
        <v>1</v>
      </c>
      <c r="Q524" s="4" t="b" cm="1">
        <f t="array" ref="Q524:U524">IFERROR(_xlfn.XLOOKUP(_xlfn.TEXTJOIN(,,D524:O524),Aux!$B$3:$B$4098,'Truth Table'!$O$3:$S$4098)=1,FALSE)</f>
        <v>1</v>
      </c>
      <c r="R524" s="4" t="b">
        <v>0</v>
      </c>
      <c r="S524" s="4" t="b">
        <v>0</v>
      </c>
      <c r="T524" s="4" t="b">
        <v>0</v>
      </c>
      <c r="U524" s="4" t="b">
        <v>0</v>
      </c>
      <c r="V524" s="4" t="b">
        <f>AND(_xlfn.XLOOKUP(_xlfn.TEXTJOIN(,,D524:O524),Aux!$B$3:$B$4098,'Truth Table'!$T$3:$T$4098)=1,P523&lt;='Line Follower'!$C$7)</f>
        <v>0</v>
      </c>
      <c r="W524" s="4" t="b">
        <f>AND(_xlfn.XLOOKUP(_xlfn.TEXTJOIN(,,D524:O524),Aux!$B$3:$B$4098,'Truth Table'!$U$3:$U$4098)=1,P523&gt;='Line Follower'!$C$6)</f>
        <v>0</v>
      </c>
      <c r="X524" s="4" t="b">
        <f>IFERROR(AND(_xlfn.XLOOKUP(_xlfn.TEXTJOIN(,,D524:O524),Aux!$B$3:$B$4098,'Truth Table'!$V$3:$V$4098)=1,ABS(P523)&lt;='Line Follower'!$C$6),FALSE)</f>
        <v>0</v>
      </c>
      <c r="Y524" s="4" t="b">
        <f t="shared" si="8"/>
        <v>1</v>
      </c>
    </row>
    <row r="525" spans="2:25" x14ac:dyDescent="0.25">
      <c r="B525" s="4">
        <v>522</v>
      </c>
      <c r="C525" s="4">
        <v>4254</v>
      </c>
      <c r="D525" s="4">
        <v>0</v>
      </c>
      <c r="E525" s="4">
        <v>0</v>
      </c>
      <c r="F525" s="4">
        <v>0</v>
      </c>
      <c r="G525" s="4">
        <v>0</v>
      </c>
      <c r="H525" s="4">
        <v>0</v>
      </c>
      <c r="I525" s="4">
        <v>1</v>
      </c>
      <c r="J525" s="4">
        <v>1</v>
      </c>
      <c r="K525" s="4">
        <v>0</v>
      </c>
      <c r="L525" s="4">
        <v>0</v>
      </c>
      <c r="M525" s="4">
        <v>0</v>
      </c>
      <c r="N525" s="4">
        <v>0</v>
      </c>
      <c r="O525" s="4">
        <v>1</v>
      </c>
      <c r="P525" s="51">
        <f>IFERROR(_xlfn.XLOOKUP(_xlfn.TEXTJOIN(,,D524:O524),Aux!$B$3:$B$4098,'Truth Table'!$N$3:$N$4098),P524)</f>
        <v>1</v>
      </c>
      <c r="Q525" s="4" t="b" cm="1">
        <f t="array" ref="Q525:U525">IFERROR(_xlfn.XLOOKUP(_xlfn.TEXTJOIN(,,D525:O525),Aux!$B$3:$B$4098,'Truth Table'!$O$3:$S$4098)=1,FALSE)</f>
        <v>1</v>
      </c>
      <c r="R525" s="4" t="b">
        <v>0</v>
      </c>
      <c r="S525" s="4" t="b">
        <v>0</v>
      </c>
      <c r="T525" s="4" t="b">
        <v>0</v>
      </c>
      <c r="U525" s="4" t="b">
        <v>0</v>
      </c>
      <c r="V525" s="4" t="b">
        <f>AND(_xlfn.XLOOKUP(_xlfn.TEXTJOIN(,,D525:O525),Aux!$B$3:$B$4098,'Truth Table'!$T$3:$T$4098)=1,P524&lt;='Line Follower'!$C$7)</f>
        <v>0</v>
      </c>
      <c r="W525" s="4" t="b">
        <f>AND(_xlfn.XLOOKUP(_xlfn.TEXTJOIN(,,D525:O525),Aux!$B$3:$B$4098,'Truth Table'!$U$3:$U$4098)=1,P524&gt;='Line Follower'!$C$6)</f>
        <v>0</v>
      </c>
      <c r="X525" s="4" t="b">
        <f>IFERROR(AND(_xlfn.XLOOKUP(_xlfn.TEXTJOIN(,,D525:O525),Aux!$B$3:$B$4098,'Truth Table'!$V$3:$V$4098)=1,ABS(P524)&lt;='Line Follower'!$C$6),FALSE)</f>
        <v>0</v>
      </c>
      <c r="Y525" s="4" t="b">
        <f t="shared" si="8"/>
        <v>1</v>
      </c>
    </row>
    <row r="526" spans="2:25" x14ac:dyDescent="0.25">
      <c r="B526" s="4">
        <v>523</v>
      </c>
      <c r="C526" s="4">
        <v>4263</v>
      </c>
      <c r="D526" s="4">
        <v>0</v>
      </c>
      <c r="E526" s="4">
        <v>0</v>
      </c>
      <c r="F526" s="4">
        <v>0</v>
      </c>
      <c r="G526" s="4">
        <v>0</v>
      </c>
      <c r="H526" s="4">
        <v>0</v>
      </c>
      <c r="I526" s="4">
        <v>1</v>
      </c>
      <c r="J526" s="4">
        <v>1</v>
      </c>
      <c r="K526" s="4">
        <v>0</v>
      </c>
      <c r="L526" s="4">
        <v>0</v>
      </c>
      <c r="M526" s="4">
        <v>0</v>
      </c>
      <c r="N526" s="4">
        <v>0</v>
      </c>
      <c r="O526" s="4">
        <v>1</v>
      </c>
      <c r="P526" s="51">
        <f>IFERROR(_xlfn.XLOOKUP(_xlfn.TEXTJOIN(,,D525:O525),Aux!$B$3:$B$4098,'Truth Table'!$N$3:$N$4098),P525)</f>
        <v>1</v>
      </c>
      <c r="Q526" s="4" t="b" cm="1">
        <f t="array" ref="Q526:U526">IFERROR(_xlfn.XLOOKUP(_xlfn.TEXTJOIN(,,D526:O526),Aux!$B$3:$B$4098,'Truth Table'!$O$3:$S$4098)=1,FALSE)</f>
        <v>1</v>
      </c>
      <c r="R526" s="4" t="b">
        <v>0</v>
      </c>
      <c r="S526" s="4" t="b">
        <v>0</v>
      </c>
      <c r="T526" s="4" t="b">
        <v>0</v>
      </c>
      <c r="U526" s="4" t="b">
        <v>0</v>
      </c>
      <c r="V526" s="4" t="b">
        <f>AND(_xlfn.XLOOKUP(_xlfn.TEXTJOIN(,,D526:O526),Aux!$B$3:$B$4098,'Truth Table'!$T$3:$T$4098)=1,P525&lt;='Line Follower'!$C$7)</f>
        <v>0</v>
      </c>
      <c r="W526" s="4" t="b">
        <f>AND(_xlfn.XLOOKUP(_xlfn.TEXTJOIN(,,D526:O526),Aux!$B$3:$B$4098,'Truth Table'!$U$3:$U$4098)=1,P525&gt;='Line Follower'!$C$6)</f>
        <v>0</v>
      </c>
      <c r="X526" s="4" t="b">
        <f>IFERROR(AND(_xlfn.XLOOKUP(_xlfn.TEXTJOIN(,,D526:O526),Aux!$B$3:$B$4098,'Truth Table'!$V$3:$V$4098)=1,ABS(P525)&lt;='Line Follower'!$C$6),FALSE)</f>
        <v>0</v>
      </c>
      <c r="Y526" s="4" t="b">
        <f t="shared" si="8"/>
        <v>1</v>
      </c>
    </row>
    <row r="527" spans="2:25" x14ac:dyDescent="0.25">
      <c r="B527" s="4">
        <v>524</v>
      </c>
      <c r="C527" s="4">
        <v>4274</v>
      </c>
      <c r="D527" s="4">
        <v>0</v>
      </c>
      <c r="E527" s="4">
        <v>0</v>
      </c>
      <c r="F527" s="4">
        <v>0</v>
      </c>
      <c r="G527" s="4">
        <v>0</v>
      </c>
      <c r="H527" s="4">
        <v>0</v>
      </c>
      <c r="I527" s="4">
        <v>1</v>
      </c>
      <c r="J527" s="4">
        <v>1</v>
      </c>
      <c r="K527" s="4">
        <v>0</v>
      </c>
      <c r="L527" s="4">
        <v>0</v>
      </c>
      <c r="M527" s="4">
        <v>0</v>
      </c>
      <c r="N527" s="4">
        <v>0</v>
      </c>
      <c r="O527" s="4">
        <v>1</v>
      </c>
      <c r="P527" s="51">
        <f>IFERROR(_xlfn.XLOOKUP(_xlfn.TEXTJOIN(,,D526:O526),Aux!$B$3:$B$4098,'Truth Table'!$N$3:$N$4098),P526)</f>
        <v>1</v>
      </c>
      <c r="Q527" s="4" t="b" cm="1">
        <f t="array" ref="Q527:U527">IFERROR(_xlfn.XLOOKUP(_xlfn.TEXTJOIN(,,D527:O527),Aux!$B$3:$B$4098,'Truth Table'!$O$3:$S$4098)=1,FALSE)</f>
        <v>1</v>
      </c>
      <c r="R527" s="4" t="b">
        <v>0</v>
      </c>
      <c r="S527" s="4" t="b">
        <v>0</v>
      </c>
      <c r="T527" s="4" t="b">
        <v>0</v>
      </c>
      <c r="U527" s="4" t="b">
        <v>0</v>
      </c>
      <c r="V527" s="4" t="b">
        <f>AND(_xlfn.XLOOKUP(_xlfn.TEXTJOIN(,,D527:O527),Aux!$B$3:$B$4098,'Truth Table'!$T$3:$T$4098)=1,P526&lt;='Line Follower'!$C$7)</f>
        <v>0</v>
      </c>
      <c r="W527" s="4" t="b">
        <f>AND(_xlfn.XLOOKUP(_xlfn.TEXTJOIN(,,D527:O527),Aux!$B$3:$B$4098,'Truth Table'!$U$3:$U$4098)=1,P526&gt;='Line Follower'!$C$6)</f>
        <v>0</v>
      </c>
      <c r="X527" s="4" t="b">
        <f>IFERROR(AND(_xlfn.XLOOKUP(_xlfn.TEXTJOIN(,,D527:O527),Aux!$B$3:$B$4098,'Truth Table'!$V$3:$V$4098)=1,ABS(P526)&lt;='Line Follower'!$C$6),FALSE)</f>
        <v>0</v>
      </c>
      <c r="Y527" s="4" t="b">
        <f t="shared" si="8"/>
        <v>1</v>
      </c>
    </row>
    <row r="528" spans="2:25" x14ac:dyDescent="0.25">
      <c r="B528" s="4">
        <v>525</v>
      </c>
      <c r="C528" s="4">
        <v>4283</v>
      </c>
      <c r="D528" s="4">
        <v>0</v>
      </c>
      <c r="E528" s="4">
        <v>0</v>
      </c>
      <c r="F528" s="4">
        <v>0</v>
      </c>
      <c r="G528" s="4">
        <v>0</v>
      </c>
      <c r="H528" s="4">
        <v>0</v>
      </c>
      <c r="I528" s="4">
        <v>1</v>
      </c>
      <c r="J528" s="4">
        <v>1</v>
      </c>
      <c r="K528" s="4">
        <v>0</v>
      </c>
      <c r="L528" s="4">
        <v>0</v>
      </c>
      <c r="M528" s="4">
        <v>0</v>
      </c>
      <c r="N528" s="4">
        <v>0</v>
      </c>
      <c r="O528" s="4">
        <v>1</v>
      </c>
      <c r="P528" s="51">
        <f>IFERROR(_xlfn.XLOOKUP(_xlfn.TEXTJOIN(,,D527:O527),Aux!$B$3:$B$4098,'Truth Table'!$N$3:$N$4098),P527)</f>
        <v>1</v>
      </c>
      <c r="Q528" s="4" t="b" cm="1">
        <f t="array" ref="Q528:U528">IFERROR(_xlfn.XLOOKUP(_xlfn.TEXTJOIN(,,D528:O528),Aux!$B$3:$B$4098,'Truth Table'!$O$3:$S$4098)=1,FALSE)</f>
        <v>1</v>
      </c>
      <c r="R528" s="4" t="b">
        <v>0</v>
      </c>
      <c r="S528" s="4" t="b">
        <v>0</v>
      </c>
      <c r="T528" s="4" t="b">
        <v>0</v>
      </c>
      <c r="U528" s="4" t="b">
        <v>0</v>
      </c>
      <c r="V528" s="4" t="b">
        <f>AND(_xlfn.XLOOKUP(_xlfn.TEXTJOIN(,,D528:O528),Aux!$B$3:$B$4098,'Truth Table'!$T$3:$T$4098)=1,P527&lt;='Line Follower'!$C$7)</f>
        <v>0</v>
      </c>
      <c r="W528" s="4" t="b">
        <f>AND(_xlfn.XLOOKUP(_xlfn.TEXTJOIN(,,D528:O528),Aux!$B$3:$B$4098,'Truth Table'!$U$3:$U$4098)=1,P527&gt;='Line Follower'!$C$6)</f>
        <v>0</v>
      </c>
      <c r="X528" s="4" t="b">
        <f>IFERROR(AND(_xlfn.XLOOKUP(_xlfn.TEXTJOIN(,,D528:O528),Aux!$B$3:$B$4098,'Truth Table'!$V$3:$V$4098)=1,ABS(P527)&lt;='Line Follower'!$C$6),FALSE)</f>
        <v>0</v>
      </c>
      <c r="Y528" s="4" t="b">
        <f t="shared" si="8"/>
        <v>1</v>
      </c>
    </row>
    <row r="529" spans="2:25" x14ac:dyDescent="0.25">
      <c r="B529" s="4">
        <v>526</v>
      </c>
      <c r="C529" s="4">
        <v>4297</v>
      </c>
      <c r="D529" s="4">
        <v>0</v>
      </c>
      <c r="E529" s="4">
        <v>0</v>
      </c>
      <c r="F529" s="4">
        <v>0</v>
      </c>
      <c r="G529" s="4">
        <v>0</v>
      </c>
      <c r="H529" s="4">
        <v>0</v>
      </c>
      <c r="I529" s="4">
        <v>1</v>
      </c>
      <c r="J529" s="4">
        <v>1</v>
      </c>
      <c r="K529" s="4">
        <v>0</v>
      </c>
      <c r="L529" s="4">
        <v>0</v>
      </c>
      <c r="M529" s="4">
        <v>0</v>
      </c>
      <c r="N529" s="4">
        <v>0</v>
      </c>
      <c r="O529" s="4">
        <v>1</v>
      </c>
      <c r="P529" s="51">
        <f>IFERROR(_xlfn.XLOOKUP(_xlfn.TEXTJOIN(,,D528:O528),Aux!$B$3:$B$4098,'Truth Table'!$N$3:$N$4098),P528)</f>
        <v>1</v>
      </c>
      <c r="Q529" s="4" t="b" cm="1">
        <f t="array" ref="Q529:U529">IFERROR(_xlfn.XLOOKUP(_xlfn.TEXTJOIN(,,D529:O529),Aux!$B$3:$B$4098,'Truth Table'!$O$3:$S$4098)=1,FALSE)</f>
        <v>1</v>
      </c>
      <c r="R529" s="4" t="b">
        <v>0</v>
      </c>
      <c r="S529" s="4" t="b">
        <v>0</v>
      </c>
      <c r="T529" s="4" t="b">
        <v>0</v>
      </c>
      <c r="U529" s="4" t="b">
        <v>0</v>
      </c>
      <c r="V529" s="4" t="b">
        <f>AND(_xlfn.XLOOKUP(_xlfn.TEXTJOIN(,,D529:O529),Aux!$B$3:$B$4098,'Truth Table'!$T$3:$T$4098)=1,P528&lt;='Line Follower'!$C$7)</f>
        <v>0</v>
      </c>
      <c r="W529" s="4" t="b">
        <f>AND(_xlfn.XLOOKUP(_xlfn.TEXTJOIN(,,D529:O529),Aux!$B$3:$B$4098,'Truth Table'!$U$3:$U$4098)=1,P528&gt;='Line Follower'!$C$6)</f>
        <v>0</v>
      </c>
      <c r="X529" s="4" t="b">
        <f>IFERROR(AND(_xlfn.XLOOKUP(_xlfn.TEXTJOIN(,,D529:O529),Aux!$B$3:$B$4098,'Truth Table'!$V$3:$V$4098)=1,ABS(P528)&lt;='Line Follower'!$C$6),FALSE)</f>
        <v>0</v>
      </c>
      <c r="Y529" s="4" t="b">
        <f t="shared" si="8"/>
        <v>1</v>
      </c>
    </row>
    <row r="530" spans="2:25" x14ac:dyDescent="0.25">
      <c r="B530" s="4">
        <v>527</v>
      </c>
      <c r="C530" s="4">
        <v>4306</v>
      </c>
      <c r="D530" s="4">
        <v>0</v>
      </c>
      <c r="E530" s="4">
        <v>0</v>
      </c>
      <c r="F530" s="4">
        <v>0</v>
      </c>
      <c r="G530" s="4">
        <v>0</v>
      </c>
      <c r="H530" s="4">
        <v>0</v>
      </c>
      <c r="I530" s="4">
        <v>1</v>
      </c>
      <c r="J530" s="4">
        <v>1</v>
      </c>
      <c r="K530" s="4">
        <v>0</v>
      </c>
      <c r="L530" s="4">
        <v>0</v>
      </c>
      <c r="M530" s="4">
        <v>0</v>
      </c>
      <c r="N530" s="4">
        <v>0</v>
      </c>
      <c r="O530" s="4">
        <v>1</v>
      </c>
      <c r="P530" s="51">
        <f>IFERROR(_xlfn.XLOOKUP(_xlfn.TEXTJOIN(,,D529:O529),Aux!$B$3:$B$4098,'Truth Table'!$N$3:$N$4098),P529)</f>
        <v>1</v>
      </c>
      <c r="Q530" s="4" t="b" cm="1">
        <f t="array" ref="Q530:U530">IFERROR(_xlfn.XLOOKUP(_xlfn.TEXTJOIN(,,D530:O530),Aux!$B$3:$B$4098,'Truth Table'!$O$3:$S$4098)=1,FALSE)</f>
        <v>1</v>
      </c>
      <c r="R530" s="4" t="b">
        <v>0</v>
      </c>
      <c r="S530" s="4" t="b">
        <v>0</v>
      </c>
      <c r="T530" s="4" t="b">
        <v>0</v>
      </c>
      <c r="U530" s="4" t="b">
        <v>0</v>
      </c>
      <c r="V530" s="4" t="b">
        <f>AND(_xlfn.XLOOKUP(_xlfn.TEXTJOIN(,,D530:O530),Aux!$B$3:$B$4098,'Truth Table'!$T$3:$T$4098)=1,P529&lt;='Line Follower'!$C$7)</f>
        <v>0</v>
      </c>
      <c r="W530" s="4" t="b">
        <f>AND(_xlfn.XLOOKUP(_xlfn.TEXTJOIN(,,D530:O530),Aux!$B$3:$B$4098,'Truth Table'!$U$3:$U$4098)=1,P529&gt;='Line Follower'!$C$6)</f>
        <v>0</v>
      </c>
      <c r="X530" s="4" t="b">
        <f>IFERROR(AND(_xlfn.XLOOKUP(_xlfn.TEXTJOIN(,,D530:O530),Aux!$B$3:$B$4098,'Truth Table'!$V$3:$V$4098)=1,ABS(P529)&lt;='Line Follower'!$C$6),FALSE)</f>
        <v>0</v>
      </c>
      <c r="Y530" s="4" t="b">
        <f t="shared" si="8"/>
        <v>1</v>
      </c>
    </row>
    <row r="531" spans="2:25" x14ac:dyDescent="0.25">
      <c r="B531" s="4">
        <v>528</v>
      </c>
      <c r="C531" s="4">
        <v>4314</v>
      </c>
      <c r="D531" s="4">
        <v>0</v>
      </c>
      <c r="E531" s="4">
        <v>0</v>
      </c>
      <c r="F531" s="4">
        <v>0</v>
      </c>
      <c r="G531" s="4">
        <v>0</v>
      </c>
      <c r="H531" s="4">
        <v>0</v>
      </c>
      <c r="I531" s="4">
        <v>1</v>
      </c>
      <c r="J531" s="4">
        <v>1</v>
      </c>
      <c r="K531" s="4">
        <v>0</v>
      </c>
      <c r="L531" s="4">
        <v>0</v>
      </c>
      <c r="M531" s="4">
        <v>0</v>
      </c>
      <c r="N531" s="4">
        <v>0</v>
      </c>
      <c r="O531" s="4">
        <v>1</v>
      </c>
      <c r="P531" s="51">
        <f>IFERROR(_xlfn.XLOOKUP(_xlfn.TEXTJOIN(,,D530:O530),Aux!$B$3:$B$4098,'Truth Table'!$N$3:$N$4098),P530)</f>
        <v>1</v>
      </c>
      <c r="Q531" s="4" t="b" cm="1">
        <f t="array" ref="Q531:U531">IFERROR(_xlfn.XLOOKUP(_xlfn.TEXTJOIN(,,D531:O531),Aux!$B$3:$B$4098,'Truth Table'!$O$3:$S$4098)=1,FALSE)</f>
        <v>1</v>
      </c>
      <c r="R531" s="4" t="b">
        <v>0</v>
      </c>
      <c r="S531" s="4" t="b">
        <v>0</v>
      </c>
      <c r="T531" s="4" t="b">
        <v>0</v>
      </c>
      <c r="U531" s="4" t="b">
        <v>0</v>
      </c>
      <c r="V531" s="4" t="b">
        <f>AND(_xlfn.XLOOKUP(_xlfn.TEXTJOIN(,,D531:O531),Aux!$B$3:$B$4098,'Truth Table'!$T$3:$T$4098)=1,P530&lt;='Line Follower'!$C$7)</f>
        <v>0</v>
      </c>
      <c r="W531" s="4" t="b">
        <f>AND(_xlfn.XLOOKUP(_xlfn.TEXTJOIN(,,D531:O531),Aux!$B$3:$B$4098,'Truth Table'!$U$3:$U$4098)=1,P530&gt;='Line Follower'!$C$6)</f>
        <v>0</v>
      </c>
      <c r="X531" s="4" t="b">
        <f>IFERROR(AND(_xlfn.XLOOKUP(_xlfn.TEXTJOIN(,,D531:O531),Aux!$B$3:$B$4098,'Truth Table'!$V$3:$V$4098)=1,ABS(P530)&lt;='Line Follower'!$C$6),FALSE)</f>
        <v>0</v>
      </c>
      <c r="Y531" s="4" t="b">
        <f t="shared" si="8"/>
        <v>1</v>
      </c>
    </row>
    <row r="532" spans="2:25" x14ac:dyDescent="0.25">
      <c r="B532" s="4">
        <v>529</v>
      </c>
      <c r="C532" s="4">
        <v>4328</v>
      </c>
      <c r="D532" s="4">
        <v>0</v>
      </c>
      <c r="E532" s="4">
        <v>0</v>
      </c>
      <c r="F532" s="4">
        <v>0</v>
      </c>
      <c r="G532" s="4">
        <v>0</v>
      </c>
      <c r="H532" s="4">
        <v>0</v>
      </c>
      <c r="I532" s="4">
        <v>1</v>
      </c>
      <c r="J532" s="4">
        <v>1</v>
      </c>
      <c r="K532" s="4">
        <v>0</v>
      </c>
      <c r="L532" s="4">
        <v>0</v>
      </c>
      <c r="M532" s="4">
        <v>0</v>
      </c>
      <c r="N532" s="4">
        <v>0</v>
      </c>
      <c r="O532" s="4">
        <v>1</v>
      </c>
      <c r="P532" s="51">
        <f>IFERROR(_xlfn.XLOOKUP(_xlfn.TEXTJOIN(,,D531:O531),Aux!$B$3:$B$4098,'Truth Table'!$N$3:$N$4098),P531)</f>
        <v>1</v>
      </c>
      <c r="Q532" s="4" t="b" cm="1">
        <f t="array" ref="Q532:U532">IFERROR(_xlfn.XLOOKUP(_xlfn.TEXTJOIN(,,D532:O532),Aux!$B$3:$B$4098,'Truth Table'!$O$3:$S$4098)=1,FALSE)</f>
        <v>1</v>
      </c>
      <c r="R532" s="4" t="b">
        <v>0</v>
      </c>
      <c r="S532" s="4" t="b">
        <v>0</v>
      </c>
      <c r="T532" s="4" t="b">
        <v>0</v>
      </c>
      <c r="U532" s="4" t="b">
        <v>0</v>
      </c>
      <c r="V532" s="4" t="b">
        <f>AND(_xlfn.XLOOKUP(_xlfn.TEXTJOIN(,,D532:O532),Aux!$B$3:$B$4098,'Truth Table'!$T$3:$T$4098)=1,P531&lt;='Line Follower'!$C$7)</f>
        <v>0</v>
      </c>
      <c r="W532" s="4" t="b">
        <f>AND(_xlfn.XLOOKUP(_xlfn.TEXTJOIN(,,D532:O532),Aux!$B$3:$B$4098,'Truth Table'!$U$3:$U$4098)=1,P531&gt;='Line Follower'!$C$6)</f>
        <v>0</v>
      </c>
      <c r="X532" s="4" t="b">
        <f>IFERROR(AND(_xlfn.XLOOKUP(_xlfn.TEXTJOIN(,,D532:O532),Aux!$B$3:$B$4098,'Truth Table'!$V$3:$V$4098)=1,ABS(P531)&lt;='Line Follower'!$C$6),FALSE)</f>
        <v>0</v>
      </c>
      <c r="Y532" s="4" t="b">
        <f t="shared" si="8"/>
        <v>1</v>
      </c>
    </row>
    <row r="533" spans="2:25" x14ac:dyDescent="0.25">
      <c r="B533" s="4">
        <v>530</v>
      </c>
      <c r="C533" s="4">
        <v>4337</v>
      </c>
      <c r="D533" s="4">
        <v>0</v>
      </c>
      <c r="E533" s="4">
        <v>0</v>
      </c>
      <c r="F533" s="4">
        <v>0</v>
      </c>
      <c r="G533" s="4">
        <v>0</v>
      </c>
      <c r="H533" s="4">
        <v>0</v>
      </c>
      <c r="I533" s="4">
        <v>1</v>
      </c>
      <c r="J533" s="4">
        <v>1</v>
      </c>
      <c r="K533" s="4">
        <v>0</v>
      </c>
      <c r="L533" s="4">
        <v>0</v>
      </c>
      <c r="M533" s="4">
        <v>0</v>
      </c>
      <c r="N533" s="4">
        <v>0</v>
      </c>
      <c r="O533" s="4">
        <v>1</v>
      </c>
      <c r="P533" s="51">
        <f>IFERROR(_xlfn.XLOOKUP(_xlfn.TEXTJOIN(,,D532:O532),Aux!$B$3:$B$4098,'Truth Table'!$N$3:$N$4098),P532)</f>
        <v>1</v>
      </c>
      <c r="Q533" s="4" t="b" cm="1">
        <f t="array" ref="Q533:U533">IFERROR(_xlfn.XLOOKUP(_xlfn.TEXTJOIN(,,D533:O533),Aux!$B$3:$B$4098,'Truth Table'!$O$3:$S$4098)=1,FALSE)</f>
        <v>1</v>
      </c>
      <c r="R533" s="4" t="b">
        <v>0</v>
      </c>
      <c r="S533" s="4" t="b">
        <v>0</v>
      </c>
      <c r="T533" s="4" t="b">
        <v>0</v>
      </c>
      <c r="U533" s="4" t="b">
        <v>0</v>
      </c>
      <c r="V533" s="4" t="b">
        <f>AND(_xlfn.XLOOKUP(_xlfn.TEXTJOIN(,,D533:O533),Aux!$B$3:$B$4098,'Truth Table'!$T$3:$T$4098)=1,P532&lt;='Line Follower'!$C$7)</f>
        <v>0</v>
      </c>
      <c r="W533" s="4" t="b">
        <f>AND(_xlfn.XLOOKUP(_xlfn.TEXTJOIN(,,D533:O533),Aux!$B$3:$B$4098,'Truth Table'!$U$3:$U$4098)=1,P532&gt;='Line Follower'!$C$6)</f>
        <v>0</v>
      </c>
      <c r="X533" s="4" t="b">
        <f>IFERROR(AND(_xlfn.XLOOKUP(_xlfn.TEXTJOIN(,,D533:O533),Aux!$B$3:$B$4098,'Truth Table'!$V$3:$V$4098)=1,ABS(P532)&lt;='Line Follower'!$C$6),FALSE)</f>
        <v>0</v>
      </c>
      <c r="Y533" s="4" t="b">
        <f t="shared" si="8"/>
        <v>1</v>
      </c>
    </row>
    <row r="534" spans="2:25" x14ac:dyDescent="0.25">
      <c r="B534" s="4">
        <v>531</v>
      </c>
      <c r="C534" s="4">
        <v>4346</v>
      </c>
      <c r="D534" s="4">
        <v>0</v>
      </c>
      <c r="E534" s="4">
        <v>0</v>
      </c>
      <c r="F534" s="4">
        <v>0</v>
      </c>
      <c r="G534" s="4">
        <v>0</v>
      </c>
      <c r="H534" s="4">
        <v>0</v>
      </c>
      <c r="I534" s="4">
        <v>1</v>
      </c>
      <c r="J534" s="4">
        <v>1</v>
      </c>
      <c r="K534" s="4">
        <v>0</v>
      </c>
      <c r="L534" s="4">
        <v>0</v>
      </c>
      <c r="M534" s="4">
        <v>0</v>
      </c>
      <c r="N534" s="4">
        <v>0</v>
      </c>
      <c r="O534" s="4">
        <v>1</v>
      </c>
      <c r="P534" s="51">
        <f>IFERROR(_xlfn.XLOOKUP(_xlfn.TEXTJOIN(,,D533:O533),Aux!$B$3:$B$4098,'Truth Table'!$N$3:$N$4098),P533)</f>
        <v>1</v>
      </c>
      <c r="Q534" s="4" t="b" cm="1">
        <f t="array" ref="Q534:U534">IFERROR(_xlfn.XLOOKUP(_xlfn.TEXTJOIN(,,D534:O534),Aux!$B$3:$B$4098,'Truth Table'!$O$3:$S$4098)=1,FALSE)</f>
        <v>1</v>
      </c>
      <c r="R534" s="4" t="b">
        <v>0</v>
      </c>
      <c r="S534" s="4" t="b">
        <v>0</v>
      </c>
      <c r="T534" s="4" t="b">
        <v>0</v>
      </c>
      <c r="U534" s="4" t="b">
        <v>0</v>
      </c>
      <c r="V534" s="4" t="b">
        <f>AND(_xlfn.XLOOKUP(_xlfn.TEXTJOIN(,,D534:O534),Aux!$B$3:$B$4098,'Truth Table'!$T$3:$T$4098)=1,P533&lt;='Line Follower'!$C$7)</f>
        <v>0</v>
      </c>
      <c r="W534" s="4" t="b">
        <f>AND(_xlfn.XLOOKUP(_xlfn.TEXTJOIN(,,D534:O534),Aux!$B$3:$B$4098,'Truth Table'!$U$3:$U$4098)=1,P533&gt;='Line Follower'!$C$6)</f>
        <v>0</v>
      </c>
      <c r="X534" s="4" t="b">
        <f>IFERROR(AND(_xlfn.XLOOKUP(_xlfn.TEXTJOIN(,,D534:O534),Aux!$B$3:$B$4098,'Truth Table'!$V$3:$V$4098)=1,ABS(P533)&lt;='Line Follower'!$C$6),FALSE)</f>
        <v>0</v>
      </c>
      <c r="Y534" s="4" t="b">
        <f t="shared" si="8"/>
        <v>1</v>
      </c>
    </row>
    <row r="535" spans="2:25" x14ac:dyDescent="0.25">
      <c r="B535" s="4">
        <v>532</v>
      </c>
      <c r="C535" s="4">
        <v>4346</v>
      </c>
      <c r="D535" s="4">
        <v>0</v>
      </c>
      <c r="E535" s="4">
        <v>0</v>
      </c>
      <c r="F535" s="4">
        <v>0</v>
      </c>
      <c r="G535" s="4">
        <v>0</v>
      </c>
      <c r="H535" s="4">
        <v>0</v>
      </c>
      <c r="I535" s="4">
        <v>1</v>
      </c>
      <c r="J535" s="4">
        <v>1</v>
      </c>
      <c r="K535" s="4">
        <v>0</v>
      </c>
      <c r="L535" s="4">
        <v>0</v>
      </c>
      <c r="M535" s="4">
        <v>0</v>
      </c>
      <c r="N535" s="4">
        <v>0</v>
      </c>
      <c r="O535" s="4">
        <v>1</v>
      </c>
      <c r="P535" s="51">
        <f>IFERROR(_xlfn.XLOOKUP(_xlfn.TEXTJOIN(,,D534:O534),Aux!$B$3:$B$4098,'Truth Table'!$N$3:$N$4098),P534)</f>
        <v>1</v>
      </c>
      <c r="Q535" s="4" t="b" cm="1">
        <f t="array" ref="Q535:U535">IFERROR(_xlfn.XLOOKUP(_xlfn.TEXTJOIN(,,D535:O535),Aux!$B$3:$B$4098,'Truth Table'!$O$3:$S$4098)=1,FALSE)</f>
        <v>1</v>
      </c>
      <c r="R535" s="4" t="b">
        <v>0</v>
      </c>
      <c r="S535" s="4" t="b">
        <v>0</v>
      </c>
      <c r="T535" s="4" t="b">
        <v>0</v>
      </c>
      <c r="U535" s="4" t="b">
        <v>0</v>
      </c>
      <c r="V535" s="4" t="b">
        <f>AND(_xlfn.XLOOKUP(_xlfn.TEXTJOIN(,,D535:O535),Aux!$B$3:$B$4098,'Truth Table'!$T$3:$T$4098)=1,P534&lt;='Line Follower'!$C$7)</f>
        <v>0</v>
      </c>
      <c r="W535" s="4" t="b">
        <f>AND(_xlfn.XLOOKUP(_xlfn.TEXTJOIN(,,D535:O535),Aux!$B$3:$B$4098,'Truth Table'!$U$3:$U$4098)=1,P534&gt;='Line Follower'!$C$6)</f>
        <v>0</v>
      </c>
      <c r="X535" s="4" t="b">
        <f>IFERROR(AND(_xlfn.XLOOKUP(_xlfn.TEXTJOIN(,,D535:O535),Aux!$B$3:$B$4098,'Truth Table'!$V$3:$V$4098)=1,ABS(P534)&lt;='Line Follower'!$C$6),FALSE)</f>
        <v>0</v>
      </c>
      <c r="Y535" s="4" t="b">
        <f t="shared" si="8"/>
        <v>1</v>
      </c>
    </row>
    <row r="536" spans="2:25" x14ac:dyDescent="0.25">
      <c r="B536" s="4">
        <v>533</v>
      </c>
      <c r="C536" s="4">
        <v>4357</v>
      </c>
      <c r="D536" s="4">
        <v>0</v>
      </c>
      <c r="E536" s="4">
        <v>0</v>
      </c>
      <c r="F536" s="4">
        <v>0</v>
      </c>
      <c r="G536" s="4">
        <v>0</v>
      </c>
      <c r="H536" s="4">
        <v>0</v>
      </c>
      <c r="I536" s="4">
        <v>1</v>
      </c>
      <c r="J536" s="4">
        <v>1</v>
      </c>
      <c r="K536" s="4">
        <v>0</v>
      </c>
      <c r="L536" s="4">
        <v>0</v>
      </c>
      <c r="M536" s="4">
        <v>0</v>
      </c>
      <c r="N536" s="4">
        <v>0</v>
      </c>
      <c r="O536" s="4">
        <v>1</v>
      </c>
      <c r="P536" s="51">
        <f>IFERROR(_xlfn.XLOOKUP(_xlfn.TEXTJOIN(,,D535:O535),Aux!$B$3:$B$4098,'Truth Table'!$N$3:$N$4098),P535)</f>
        <v>1</v>
      </c>
      <c r="Q536" s="4" t="b" cm="1">
        <f t="array" ref="Q536:U536">IFERROR(_xlfn.XLOOKUP(_xlfn.TEXTJOIN(,,D536:O536),Aux!$B$3:$B$4098,'Truth Table'!$O$3:$S$4098)=1,FALSE)</f>
        <v>1</v>
      </c>
      <c r="R536" s="4" t="b">
        <v>0</v>
      </c>
      <c r="S536" s="4" t="b">
        <v>0</v>
      </c>
      <c r="T536" s="4" t="b">
        <v>0</v>
      </c>
      <c r="U536" s="4" t="b">
        <v>0</v>
      </c>
      <c r="V536" s="4" t="b">
        <f>AND(_xlfn.XLOOKUP(_xlfn.TEXTJOIN(,,D536:O536),Aux!$B$3:$B$4098,'Truth Table'!$T$3:$T$4098)=1,P535&lt;='Line Follower'!$C$7)</f>
        <v>0</v>
      </c>
      <c r="W536" s="4" t="b">
        <f>AND(_xlfn.XLOOKUP(_xlfn.TEXTJOIN(,,D536:O536),Aux!$B$3:$B$4098,'Truth Table'!$U$3:$U$4098)=1,P535&gt;='Line Follower'!$C$6)</f>
        <v>0</v>
      </c>
      <c r="X536" s="4" t="b">
        <f>IFERROR(AND(_xlfn.XLOOKUP(_xlfn.TEXTJOIN(,,D536:O536),Aux!$B$3:$B$4098,'Truth Table'!$V$3:$V$4098)=1,ABS(P535)&lt;='Line Follower'!$C$6),FALSE)</f>
        <v>0</v>
      </c>
      <c r="Y536" s="4" t="b">
        <f t="shared" si="8"/>
        <v>1</v>
      </c>
    </row>
    <row r="537" spans="2:25" x14ac:dyDescent="0.25">
      <c r="B537" s="4">
        <v>534</v>
      </c>
      <c r="C537" s="4">
        <v>4366</v>
      </c>
      <c r="D537" s="4">
        <v>0</v>
      </c>
      <c r="E537" s="4">
        <v>0</v>
      </c>
      <c r="F537" s="4">
        <v>0</v>
      </c>
      <c r="G537" s="4">
        <v>0</v>
      </c>
      <c r="H537" s="4">
        <v>0</v>
      </c>
      <c r="I537" s="4">
        <v>1</v>
      </c>
      <c r="J537" s="4">
        <v>1</v>
      </c>
      <c r="K537" s="4">
        <v>0</v>
      </c>
      <c r="L537" s="4">
        <v>0</v>
      </c>
      <c r="M537" s="4">
        <v>0</v>
      </c>
      <c r="N537" s="4">
        <v>0</v>
      </c>
      <c r="O537" s="4">
        <v>1</v>
      </c>
      <c r="P537" s="51">
        <f>IFERROR(_xlfn.XLOOKUP(_xlfn.TEXTJOIN(,,D536:O536),Aux!$B$3:$B$4098,'Truth Table'!$N$3:$N$4098),P536)</f>
        <v>1</v>
      </c>
      <c r="Q537" s="4" t="b" cm="1">
        <f t="array" ref="Q537:U537">IFERROR(_xlfn.XLOOKUP(_xlfn.TEXTJOIN(,,D537:O537),Aux!$B$3:$B$4098,'Truth Table'!$O$3:$S$4098)=1,FALSE)</f>
        <v>1</v>
      </c>
      <c r="R537" s="4" t="b">
        <v>0</v>
      </c>
      <c r="S537" s="4" t="b">
        <v>0</v>
      </c>
      <c r="T537" s="4" t="b">
        <v>0</v>
      </c>
      <c r="U537" s="4" t="b">
        <v>0</v>
      </c>
      <c r="V537" s="4" t="b">
        <f>AND(_xlfn.XLOOKUP(_xlfn.TEXTJOIN(,,D537:O537),Aux!$B$3:$B$4098,'Truth Table'!$T$3:$T$4098)=1,P536&lt;='Line Follower'!$C$7)</f>
        <v>0</v>
      </c>
      <c r="W537" s="4" t="b">
        <f>AND(_xlfn.XLOOKUP(_xlfn.TEXTJOIN(,,D537:O537),Aux!$B$3:$B$4098,'Truth Table'!$U$3:$U$4098)=1,P536&gt;='Line Follower'!$C$6)</f>
        <v>0</v>
      </c>
      <c r="X537" s="4" t="b">
        <f>IFERROR(AND(_xlfn.XLOOKUP(_xlfn.TEXTJOIN(,,D537:O537),Aux!$B$3:$B$4098,'Truth Table'!$V$3:$V$4098)=1,ABS(P536)&lt;='Line Follower'!$C$6),FALSE)</f>
        <v>0</v>
      </c>
      <c r="Y537" s="4" t="b">
        <f t="shared" si="8"/>
        <v>1</v>
      </c>
    </row>
    <row r="538" spans="2:25" x14ac:dyDescent="0.25">
      <c r="B538" s="4">
        <v>535</v>
      </c>
      <c r="C538" s="4">
        <v>4379</v>
      </c>
      <c r="D538" s="4">
        <v>0</v>
      </c>
      <c r="E538" s="4">
        <v>0</v>
      </c>
      <c r="F538" s="4">
        <v>0</v>
      </c>
      <c r="G538" s="4">
        <v>0</v>
      </c>
      <c r="H538" s="4">
        <v>0</v>
      </c>
      <c r="I538" s="4">
        <v>1</v>
      </c>
      <c r="J538" s="4">
        <v>1</v>
      </c>
      <c r="K538" s="4">
        <v>0</v>
      </c>
      <c r="L538" s="4">
        <v>0</v>
      </c>
      <c r="M538" s="4">
        <v>0</v>
      </c>
      <c r="N538" s="4">
        <v>0</v>
      </c>
      <c r="O538" s="4">
        <v>1</v>
      </c>
      <c r="P538" s="51">
        <f>IFERROR(_xlfn.XLOOKUP(_xlfn.TEXTJOIN(,,D537:O537),Aux!$B$3:$B$4098,'Truth Table'!$N$3:$N$4098),P537)</f>
        <v>1</v>
      </c>
      <c r="Q538" s="4" t="b" cm="1">
        <f t="array" ref="Q538:U538">IFERROR(_xlfn.XLOOKUP(_xlfn.TEXTJOIN(,,D538:O538),Aux!$B$3:$B$4098,'Truth Table'!$O$3:$S$4098)=1,FALSE)</f>
        <v>1</v>
      </c>
      <c r="R538" s="4" t="b">
        <v>0</v>
      </c>
      <c r="S538" s="4" t="b">
        <v>0</v>
      </c>
      <c r="T538" s="4" t="b">
        <v>0</v>
      </c>
      <c r="U538" s="4" t="b">
        <v>0</v>
      </c>
      <c r="V538" s="4" t="b">
        <f>AND(_xlfn.XLOOKUP(_xlfn.TEXTJOIN(,,D538:O538),Aux!$B$3:$B$4098,'Truth Table'!$T$3:$T$4098)=1,P537&lt;='Line Follower'!$C$7)</f>
        <v>0</v>
      </c>
      <c r="W538" s="4" t="b">
        <f>AND(_xlfn.XLOOKUP(_xlfn.TEXTJOIN(,,D538:O538),Aux!$B$3:$B$4098,'Truth Table'!$U$3:$U$4098)=1,P537&gt;='Line Follower'!$C$6)</f>
        <v>0</v>
      </c>
      <c r="X538" s="4" t="b">
        <f>IFERROR(AND(_xlfn.XLOOKUP(_xlfn.TEXTJOIN(,,D538:O538),Aux!$B$3:$B$4098,'Truth Table'!$V$3:$V$4098)=1,ABS(P537)&lt;='Line Follower'!$C$6),FALSE)</f>
        <v>0</v>
      </c>
      <c r="Y538" s="4" t="b">
        <f t="shared" si="8"/>
        <v>1</v>
      </c>
    </row>
    <row r="539" spans="2:25" x14ac:dyDescent="0.25">
      <c r="B539" s="4">
        <v>536</v>
      </c>
      <c r="C539" s="4">
        <v>4388</v>
      </c>
      <c r="D539" s="4">
        <v>0</v>
      </c>
      <c r="E539" s="4">
        <v>0</v>
      </c>
      <c r="F539" s="4">
        <v>0</v>
      </c>
      <c r="G539" s="4">
        <v>0</v>
      </c>
      <c r="H539" s="4">
        <v>0</v>
      </c>
      <c r="I539" s="4">
        <v>1</v>
      </c>
      <c r="J539" s="4">
        <v>1</v>
      </c>
      <c r="K539" s="4">
        <v>0</v>
      </c>
      <c r="L539" s="4">
        <v>0</v>
      </c>
      <c r="M539" s="4">
        <v>0</v>
      </c>
      <c r="N539" s="4">
        <v>0</v>
      </c>
      <c r="O539" s="4">
        <v>1</v>
      </c>
      <c r="P539" s="51">
        <f>IFERROR(_xlfn.XLOOKUP(_xlfn.TEXTJOIN(,,D538:O538),Aux!$B$3:$B$4098,'Truth Table'!$N$3:$N$4098),P538)</f>
        <v>1</v>
      </c>
      <c r="Q539" s="4" t="b" cm="1">
        <f t="array" ref="Q539:U539">IFERROR(_xlfn.XLOOKUP(_xlfn.TEXTJOIN(,,D539:O539),Aux!$B$3:$B$4098,'Truth Table'!$O$3:$S$4098)=1,FALSE)</f>
        <v>1</v>
      </c>
      <c r="R539" s="4" t="b">
        <v>0</v>
      </c>
      <c r="S539" s="4" t="b">
        <v>0</v>
      </c>
      <c r="T539" s="4" t="b">
        <v>0</v>
      </c>
      <c r="U539" s="4" t="b">
        <v>0</v>
      </c>
      <c r="V539" s="4" t="b">
        <f>AND(_xlfn.XLOOKUP(_xlfn.TEXTJOIN(,,D539:O539),Aux!$B$3:$B$4098,'Truth Table'!$T$3:$T$4098)=1,P538&lt;='Line Follower'!$C$7)</f>
        <v>0</v>
      </c>
      <c r="W539" s="4" t="b">
        <f>AND(_xlfn.XLOOKUP(_xlfn.TEXTJOIN(,,D539:O539),Aux!$B$3:$B$4098,'Truth Table'!$U$3:$U$4098)=1,P538&gt;='Line Follower'!$C$6)</f>
        <v>0</v>
      </c>
      <c r="X539" s="4" t="b">
        <f>IFERROR(AND(_xlfn.XLOOKUP(_xlfn.TEXTJOIN(,,D539:O539),Aux!$B$3:$B$4098,'Truth Table'!$V$3:$V$4098)=1,ABS(P538)&lt;='Line Follower'!$C$6),FALSE)</f>
        <v>0</v>
      </c>
      <c r="Y539" s="4" t="b">
        <f t="shared" si="8"/>
        <v>1</v>
      </c>
    </row>
    <row r="540" spans="2:25" x14ac:dyDescent="0.25">
      <c r="B540" s="4">
        <v>537</v>
      </c>
      <c r="C540" s="4">
        <v>4413</v>
      </c>
      <c r="D540" s="4">
        <v>0</v>
      </c>
      <c r="E540" s="4">
        <v>0</v>
      </c>
      <c r="F540" s="4">
        <v>0</v>
      </c>
      <c r="G540" s="4">
        <v>0</v>
      </c>
      <c r="H540" s="4">
        <v>0</v>
      </c>
      <c r="I540" s="4">
        <v>1</v>
      </c>
      <c r="J540" s="4">
        <v>1</v>
      </c>
      <c r="K540" s="4">
        <v>0</v>
      </c>
      <c r="L540" s="4">
        <v>0</v>
      </c>
      <c r="M540" s="4">
        <v>0</v>
      </c>
      <c r="N540" s="4">
        <v>0</v>
      </c>
      <c r="O540" s="4">
        <v>1</v>
      </c>
      <c r="P540" s="51">
        <f>IFERROR(_xlfn.XLOOKUP(_xlfn.TEXTJOIN(,,D539:O539),Aux!$B$3:$B$4098,'Truth Table'!$N$3:$N$4098),P539)</f>
        <v>1</v>
      </c>
      <c r="Q540" s="4" t="b" cm="1">
        <f t="array" ref="Q540:U540">IFERROR(_xlfn.XLOOKUP(_xlfn.TEXTJOIN(,,D540:O540),Aux!$B$3:$B$4098,'Truth Table'!$O$3:$S$4098)=1,FALSE)</f>
        <v>1</v>
      </c>
      <c r="R540" s="4" t="b">
        <v>0</v>
      </c>
      <c r="S540" s="4" t="b">
        <v>0</v>
      </c>
      <c r="T540" s="4" t="b">
        <v>0</v>
      </c>
      <c r="U540" s="4" t="b">
        <v>0</v>
      </c>
      <c r="V540" s="4" t="b">
        <f>AND(_xlfn.XLOOKUP(_xlfn.TEXTJOIN(,,D540:O540),Aux!$B$3:$B$4098,'Truth Table'!$T$3:$T$4098)=1,P539&lt;='Line Follower'!$C$7)</f>
        <v>0</v>
      </c>
      <c r="W540" s="4" t="b">
        <f>AND(_xlfn.XLOOKUP(_xlfn.TEXTJOIN(,,D540:O540),Aux!$B$3:$B$4098,'Truth Table'!$U$3:$U$4098)=1,P539&gt;='Line Follower'!$C$6)</f>
        <v>0</v>
      </c>
      <c r="X540" s="4" t="b">
        <f>IFERROR(AND(_xlfn.XLOOKUP(_xlfn.TEXTJOIN(,,D540:O540),Aux!$B$3:$B$4098,'Truth Table'!$V$3:$V$4098)=1,ABS(P539)&lt;='Line Follower'!$C$6),FALSE)</f>
        <v>0</v>
      </c>
      <c r="Y540" s="4" t="b">
        <f t="shared" si="8"/>
        <v>1</v>
      </c>
    </row>
    <row r="541" spans="2:25" x14ac:dyDescent="0.25">
      <c r="B541" s="4">
        <v>538</v>
      </c>
      <c r="C541" s="4">
        <v>4414</v>
      </c>
      <c r="D541" s="4">
        <v>0</v>
      </c>
      <c r="E541" s="4">
        <v>0</v>
      </c>
      <c r="F541" s="4">
        <v>0</v>
      </c>
      <c r="G541" s="4">
        <v>0</v>
      </c>
      <c r="H541" s="4">
        <v>0</v>
      </c>
      <c r="I541" s="4">
        <v>1</v>
      </c>
      <c r="J541" s="4">
        <v>1</v>
      </c>
      <c r="K541" s="4">
        <v>0</v>
      </c>
      <c r="L541" s="4">
        <v>0</v>
      </c>
      <c r="M541" s="4">
        <v>0</v>
      </c>
      <c r="N541" s="4">
        <v>0</v>
      </c>
      <c r="O541" s="4">
        <v>1</v>
      </c>
      <c r="P541" s="51">
        <f>IFERROR(_xlfn.XLOOKUP(_xlfn.TEXTJOIN(,,D540:O540),Aux!$B$3:$B$4098,'Truth Table'!$N$3:$N$4098),P540)</f>
        <v>1</v>
      </c>
      <c r="Q541" s="4" t="b" cm="1">
        <f t="array" ref="Q541:U541">IFERROR(_xlfn.XLOOKUP(_xlfn.TEXTJOIN(,,D541:O541),Aux!$B$3:$B$4098,'Truth Table'!$O$3:$S$4098)=1,FALSE)</f>
        <v>1</v>
      </c>
      <c r="R541" s="4" t="b">
        <v>0</v>
      </c>
      <c r="S541" s="4" t="b">
        <v>0</v>
      </c>
      <c r="T541" s="4" t="b">
        <v>0</v>
      </c>
      <c r="U541" s="4" t="b">
        <v>0</v>
      </c>
      <c r="V541" s="4" t="b">
        <f>AND(_xlfn.XLOOKUP(_xlfn.TEXTJOIN(,,D541:O541),Aux!$B$3:$B$4098,'Truth Table'!$T$3:$T$4098)=1,P540&lt;='Line Follower'!$C$7)</f>
        <v>0</v>
      </c>
      <c r="W541" s="4" t="b">
        <f>AND(_xlfn.XLOOKUP(_xlfn.TEXTJOIN(,,D541:O541),Aux!$B$3:$B$4098,'Truth Table'!$U$3:$U$4098)=1,P540&gt;='Line Follower'!$C$6)</f>
        <v>0</v>
      </c>
      <c r="X541" s="4" t="b">
        <f>IFERROR(AND(_xlfn.XLOOKUP(_xlfn.TEXTJOIN(,,D541:O541),Aux!$B$3:$B$4098,'Truth Table'!$V$3:$V$4098)=1,ABS(P540)&lt;='Line Follower'!$C$6),FALSE)</f>
        <v>0</v>
      </c>
      <c r="Y541" s="4" t="b">
        <f t="shared" si="8"/>
        <v>1</v>
      </c>
    </row>
    <row r="542" spans="2:25" x14ac:dyDescent="0.25">
      <c r="B542" s="4">
        <v>539</v>
      </c>
      <c r="C542" s="4">
        <v>4438</v>
      </c>
      <c r="D542" s="4">
        <v>0</v>
      </c>
      <c r="E542" s="4">
        <v>0</v>
      </c>
      <c r="F542" s="4">
        <v>0</v>
      </c>
      <c r="G542" s="4">
        <v>0</v>
      </c>
      <c r="H542" s="4">
        <v>0</v>
      </c>
      <c r="I542" s="4">
        <v>1</v>
      </c>
      <c r="J542" s="4">
        <v>1</v>
      </c>
      <c r="K542" s="4">
        <v>0</v>
      </c>
      <c r="L542" s="4">
        <v>0</v>
      </c>
      <c r="M542" s="4">
        <v>0</v>
      </c>
      <c r="N542" s="4">
        <v>0</v>
      </c>
      <c r="O542" s="4">
        <v>1</v>
      </c>
      <c r="P542" s="51">
        <f>IFERROR(_xlfn.XLOOKUP(_xlfn.TEXTJOIN(,,D541:O541),Aux!$B$3:$B$4098,'Truth Table'!$N$3:$N$4098),P541)</f>
        <v>1</v>
      </c>
      <c r="Q542" s="4" t="b" cm="1">
        <f t="array" ref="Q542:U542">IFERROR(_xlfn.XLOOKUP(_xlfn.TEXTJOIN(,,D542:O542),Aux!$B$3:$B$4098,'Truth Table'!$O$3:$S$4098)=1,FALSE)</f>
        <v>1</v>
      </c>
      <c r="R542" s="4" t="b">
        <v>0</v>
      </c>
      <c r="S542" s="4" t="b">
        <v>0</v>
      </c>
      <c r="T542" s="4" t="b">
        <v>0</v>
      </c>
      <c r="U542" s="4" t="b">
        <v>0</v>
      </c>
      <c r="V542" s="4" t="b">
        <f>AND(_xlfn.XLOOKUP(_xlfn.TEXTJOIN(,,D542:O542),Aux!$B$3:$B$4098,'Truth Table'!$T$3:$T$4098)=1,P541&lt;='Line Follower'!$C$7)</f>
        <v>0</v>
      </c>
      <c r="W542" s="4" t="b">
        <f>AND(_xlfn.XLOOKUP(_xlfn.TEXTJOIN(,,D542:O542),Aux!$B$3:$B$4098,'Truth Table'!$U$3:$U$4098)=1,P541&gt;='Line Follower'!$C$6)</f>
        <v>0</v>
      </c>
      <c r="X542" s="4" t="b">
        <f>IFERROR(AND(_xlfn.XLOOKUP(_xlfn.TEXTJOIN(,,D542:O542),Aux!$B$3:$B$4098,'Truth Table'!$V$3:$V$4098)=1,ABS(P541)&lt;='Line Follower'!$C$6),FALSE)</f>
        <v>0</v>
      </c>
      <c r="Y542" s="4" t="b">
        <f t="shared" si="8"/>
        <v>1</v>
      </c>
    </row>
    <row r="543" spans="2:25" x14ac:dyDescent="0.25">
      <c r="B543" s="4">
        <v>540</v>
      </c>
      <c r="C543" s="4">
        <v>4439</v>
      </c>
      <c r="D543" s="4">
        <v>0</v>
      </c>
      <c r="E543" s="4">
        <v>0</v>
      </c>
      <c r="F543" s="4">
        <v>0</v>
      </c>
      <c r="G543" s="4">
        <v>0</v>
      </c>
      <c r="H543" s="4">
        <v>0</v>
      </c>
      <c r="I543" s="4">
        <v>1</v>
      </c>
      <c r="J543" s="4">
        <v>1</v>
      </c>
      <c r="K543" s="4">
        <v>0</v>
      </c>
      <c r="L543" s="4">
        <v>0</v>
      </c>
      <c r="M543" s="4">
        <v>0</v>
      </c>
      <c r="N543" s="4">
        <v>0</v>
      </c>
      <c r="O543" s="4">
        <v>1</v>
      </c>
      <c r="P543" s="51">
        <f>IFERROR(_xlfn.XLOOKUP(_xlfn.TEXTJOIN(,,D542:O542),Aux!$B$3:$B$4098,'Truth Table'!$N$3:$N$4098),P542)</f>
        <v>1</v>
      </c>
      <c r="Q543" s="4" t="b" cm="1">
        <f t="array" ref="Q543:U543">IFERROR(_xlfn.XLOOKUP(_xlfn.TEXTJOIN(,,D543:O543),Aux!$B$3:$B$4098,'Truth Table'!$O$3:$S$4098)=1,FALSE)</f>
        <v>1</v>
      </c>
      <c r="R543" s="4" t="b">
        <v>0</v>
      </c>
      <c r="S543" s="4" t="b">
        <v>0</v>
      </c>
      <c r="T543" s="4" t="b">
        <v>0</v>
      </c>
      <c r="U543" s="4" t="b">
        <v>0</v>
      </c>
      <c r="V543" s="4" t="b">
        <f>AND(_xlfn.XLOOKUP(_xlfn.TEXTJOIN(,,D543:O543),Aux!$B$3:$B$4098,'Truth Table'!$T$3:$T$4098)=1,P542&lt;='Line Follower'!$C$7)</f>
        <v>0</v>
      </c>
      <c r="W543" s="4" t="b">
        <f>AND(_xlfn.XLOOKUP(_xlfn.TEXTJOIN(,,D543:O543),Aux!$B$3:$B$4098,'Truth Table'!$U$3:$U$4098)=1,P542&gt;='Line Follower'!$C$6)</f>
        <v>0</v>
      </c>
      <c r="X543" s="4" t="b">
        <f>IFERROR(AND(_xlfn.XLOOKUP(_xlfn.TEXTJOIN(,,D543:O543),Aux!$B$3:$B$4098,'Truth Table'!$V$3:$V$4098)=1,ABS(P542)&lt;='Line Follower'!$C$6),FALSE)</f>
        <v>0</v>
      </c>
      <c r="Y543" s="4" t="b">
        <f t="shared" si="8"/>
        <v>1</v>
      </c>
    </row>
    <row r="544" spans="2:25" x14ac:dyDescent="0.25">
      <c r="B544" s="4">
        <v>541</v>
      </c>
      <c r="C544" s="4">
        <v>4440</v>
      </c>
      <c r="D544" s="4">
        <v>0</v>
      </c>
      <c r="E544" s="4">
        <v>0</v>
      </c>
      <c r="F544" s="4">
        <v>0</v>
      </c>
      <c r="G544" s="4">
        <v>0</v>
      </c>
      <c r="H544" s="4">
        <v>0</v>
      </c>
      <c r="I544" s="4">
        <v>1</v>
      </c>
      <c r="J544" s="4">
        <v>1</v>
      </c>
      <c r="K544" s="4">
        <v>0</v>
      </c>
      <c r="L544" s="4">
        <v>0</v>
      </c>
      <c r="M544" s="4">
        <v>0</v>
      </c>
      <c r="N544" s="4">
        <v>0</v>
      </c>
      <c r="O544" s="4">
        <v>1</v>
      </c>
      <c r="P544" s="51">
        <f>IFERROR(_xlfn.XLOOKUP(_xlfn.TEXTJOIN(,,D543:O543),Aux!$B$3:$B$4098,'Truth Table'!$N$3:$N$4098),P543)</f>
        <v>1</v>
      </c>
      <c r="Q544" s="4" t="b" cm="1">
        <f t="array" ref="Q544:U544">IFERROR(_xlfn.XLOOKUP(_xlfn.TEXTJOIN(,,D544:O544),Aux!$B$3:$B$4098,'Truth Table'!$O$3:$S$4098)=1,FALSE)</f>
        <v>1</v>
      </c>
      <c r="R544" s="4" t="b">
        <v>0</v>
      </c>
      <c r="S544" s="4" t="b">
        <v>0</v>
      </c>
      <c r="T544" s="4" t="b">
        <v>0</v>
      </c>
      <c r="U544" s="4" t="b">
        <v>0</v>
      </c>
      <c r="V544" s="4" t="b">
        <f>AND(_xlfn.XLOOKUP(_xlfn.TEXTJOIN(,,D544:O544),Aux!$B$3:$B$4098,'Truth Table'!$T$3:$T$4098)=1,P543&lt;='Line Follower'!$C$7)</f>
        <v>0</v>
      </c>
      <c r="W544" s="4" t="b">
        <f>AND(_xlfn.XLOOKUP(_xlfn.TEXTJOIN(,,D544:O544),Aux!$B$3:$B$4098,'Truth Table'!$U$3:$U$4098)=1,P543&gt;='Line Follower'!$C$6)</f>
        <v>0</v>
      </c>
      <c r="X544" s="4" t="b">
        <f>IFERROR(AND(_xlfn.XLOOKUP(_xlfn.TEXTJOIN(,,D544:O544),Aux!$B$3:$B$4098,'Truth Table'!$V$3:$V$4098)=1,ABS(P543)&lt;='Line Follower'!$C$6),FALSE)</f>
        <v>0</v>
      </c>
      <c r="Y544" s="4" t="b">
        <f t="shared" si="8"/>
        <v>1</v>
      </c>
    </row>
    <row r="545" spans="2:25" x14ac:dyDescent="0.25">
      <c r="B545" s="4">
        <v>542</v>
      </c>
      <c r="C545" s="4">
        <v>4452</v>
      </c>
      <c r="D545" s="4">
        <v>0</v>
      </c>
      <c r="E545" s="4">
        <v>0</v>
      </c>
      <c r="F545" s="4">
        <v>0</v>
      </c>
      <c r="G545" s="4">
        <v>0</v>
      </c>
      <c r="H545" s="4">
        <v>0</v>
      </c>
      <c r="I545" s="4">
        <v>1</v>
      </c>
      <c r="J545" s="4">
        <v>1</v>
      </c>
      <c r="K545" s="4">
        <v>0</v>
      </c>
      <c r="L545" s="4">
        <v>0</v>
      </c>
      <c r="M545" s="4">
        <v>0</v>
      </c>
      <c r="N545" s="4">
        <v>0</v>
      </c>
      <c r="O545" s="4">
        <v>1</v>
      </c>
      <c r="P545" s="51">
        <f>IFERROR(_xlfn.XLOOKUP(_xlfn.TEXTJOIN(,,D544:O544),Aux!$B$3:$B$4098,'Truth Table'!$N$3:$N$4098),P544)</f>
        <v>1</v>
      </c>
      <c r="Q545" s="4" t="b" cm="1">
        <f t="array" ref="Q545:U545">IFERROR(_xlfn.XLOOKUP(_xlfn.TEXTJOIN(,,D545:O545),Aux!$B$3:$B$4098,'Truth Table'!$O$3:$S$4098)=1,FALSE)</f>
        <v>1</v>
      </c>
      <c r="R545" s="4" t="b">
        <v>0</v>
      </c>
      <c r="S545" s="4" t="b">
        <v>0</v>
      </c>
      <c r="T545" s="4" t="b">
        <v>0</v>
      </c>
      <c r="U545" s="4" t="b">
        <v>0</v>
      </c>
      <c r="V545" s="4" t="b">
        <f>AND(_xlfn.XLOOKUP(_xlfn.TEXTJOIN(,,D545:O545),Aux!$B$3:$B$4098,'Truth Table'!$T$3:$T$4098)=1,P544&lt;='Line Follower'!$C$7)</f>
        <v>0</v>
      </c>
      <c r="W545" s="4" t="b">
        <f>AND(_xlfn.XLOOKUP(_xlfn.TEXTJOIN(,,D545:O545),Aux!$B$3:$B$4098,'Truth Table'!$U$3:$U$4098)=1,P544&gt;='Line Follower'!$C$6)</f>
        <v>0</v>
      </c>
      <c r="X545" s="4" t="b">
        <f>IFERROR(AND(_xlfn.XLOOKUP(_xlfn.TEXTJOIN(,,D545:O545),Aux!$B$3:$B$4098,'Truth Table'!$V$3:$V$4098)=1,ABS(P544)&lt;='Line Follower'!$C$6),FALSE)</f>
        <v>0</v>
      </c>
      <c r="Y545" s="4" t="b">
        <f t="shared" si="8"/>
        <v>1</v>
      </c>
    </row>
    <row r="546" spans="2:25" x14ac:dyDescent="0.25">
      <c r="B546" s="4">
        <v>543</v>
      </c>
      <c r="C546" s="4">
        <v>4461</v>
      </c>
      <c r="D546" s="4">
        <v>0</v>
      </c>
      <c r="E546" s="4">
        <v>0</v>
      </c>
      <c r="F546" s="4">
        <v>0</v>
      </c>
      <c r="G546" s="4">
        <v>0</v>
      </c>
      <c r="H546" s="4">
        <v>0</v>
      </c>
      <c r="I546" s="4">
        <v>1</v>
      </c>
      <c r="J546" s="4">
        <v>1</v>
      </c>
      <c r="K546" s="4">
        <v>0</v>
      </c>
      <c r="L546" s="4">
        <v>0</v>
      </c>
      <c r="M546" s="4">
        <v>0</v>
      </c>
      <c r="N546" s="4">
        <v>0</v>
      </c>
      <c r="O546" s="4">
        <v>1</v>
      </c>
      <c r="P546" s="51">
        <f>IFERROR(_xlfn.XLOOKUP(_xlfn.TEXTJOIN(,,D545:O545),Aux!$B$3:$B$4098,'Truth Table'!$N$3:$N$4098),P545)</f>
        <v>1</v>
      </c>
      <c r="Q546" s="4" t="b" cm="1">
        <f t="array" ref="Q546:U546">IFERROR(_xlfn.XLOOKUP(_xlfn.TEXTJOIN(,,D546:O546),Aux!$B$3:$B$4098,'Truth Table'!$O$3:$S$4098)=1,FALSE)</f>
        <v>1</v>
      </c>
      <c r="R546" s="4" t="b">
        <v>0</v>
      </c>
      <c r="S546" s="4" t="b">
        <v>0</v>
      </c>
      <c r="T546" s="4" t="b">
        <v>0</v>
      </c>
      <c r="U546" s="4" t="b">
        <v>0</v>
      </c>
      <c r="V546" s="4" t="b">
        <f>AND(_xlfn.XLOOKUP(_xlfn.TEXTJOIN(,,D546:O546),Aux!$B$3:$B$4098,'Truth Table'!$T$3:$T$4098)=1,P545&lt;='Line Follower'!$C$7)</f>
        <v>0</v>
      </c>
      <c r="W546" s="4" t="b">
        <f>AND(_xlfn.XLOOKUP(_xlfn.TEXTJOIN(,,D546:O546),Aux!$B$3:$B$4098,'Truth Table'!$U$3:$U$4098)=1,P545&gt;='Line Follower'!$C$6)</f>
        <v>0</v>
      </c>
      <c r="X546" s="4" t="b">
        <f>IFERROR(AND(_xlfn.XLOOKUP(_xlfn.TEXTJOIN(,,D546:O546),Aux!$B$3:$B$4098,'Truth Table'!$V$3:$V$4098)=1,ABS(P545)&lt;='Line Follower'!$C$6),FALSE)</f>
        <v>0</v>
      </c>
      <c r="Y546" s="4" t="b">
        <f t="shared" si="8"/>
        <v>1</v>
      </c>
    </row>
    <row r="547" spans="2:25" x14ac:dyDescent="0.25">
      <c r="B547" s="4">
        <v>544</v>
      </c>
      <c r="C547" s="4">
        <v>4474</v>
      </c>
      <c r="D547" s="4">
        <v>0</v>
      </c>
      <c r="E547" s="4">
        <v>0</v>
      </c>
      <c r="F547" s="4">
        <v>0</v>
      </c>
      <c r="G547" s="4">
        <v>0</v>
      </c>
      <c r="H547" s="4">
        <v>0</v>
      </c>
      <c r="I547" s="4">
        <v>1</v>
      </c>
      <c r="J547" s="4">
        <v>1</v>
      </c>
      <c r="K547" s="4">
        <v>0</v>
      </c>
      <c r="L547" s="4">
        <v>0</v>
      </c>
      <c r="M547" s="4">
        <v>0</v>
      </c>
      <c r="N547" s="4">
        <v>0</v>
      </c>
      <c r="O547" s="4">
        <v>1</v>
      </c>
      <c r="P547" s="51">
        <f>IFERROR(_xlfn.XLOOKUP(_xlfn.TEXTJOIN(,,D546:O546),Aux!$B$3:$B$4098,'Truth Table'!$N$3:$N$4098),P546)</f>
        <v>1</v>
      </c>
      <c r="Q547" s="4" t="b" cm="1">
        <f t="array" ref="Q547:U547">IFERROR(_xlfn.XLOOKUP(_xlfn.TEXTJOIN(,,D547:O547),Aux!$B$3:$B$4098,'Truth Table'!$O$3:$S$4098)=1,FALSE)</f>
        <v>1</v>
      </c>
      <c r="R547" s="4" t="b">
        <v>0</v>
      </c>
      <c r="S547" s="4" t="b">
        <v>0</v>
      </c>
      <c r="T547" s="4" t="b">
        <v>0</v>
      </c>
      <c r="U547" s="4" t="b">
        <v>0</v>
      </c>
      <c r="V547" s="4" t="b">
        <f>AND(_xlfn.XLOOKUP(_xlfn.TEXTJOIN(,,D547:O547),Aux!$B$3:$B$4098,'Truth Table'!$T$3:$T$4098)=1,P546&lt;='Line Follower'!$C$7)</f>
        <v>0</v>
      </c>
      <c r="W547" s="4" t="b">
        <f>AND(_xlfn.XLOOKUP(_xlfn.TEXTJOIN(,,D547:O547),Aux!$B$3:$B$4098,'Truth Table'!$U$3:$U$4098)=1,P546&gt;='Line Follower'!$C$6)</f>
        <v>0</v>
      </c>
      <c r="X547" s="4" t="b">
        <f>IFERROR(AND(_xlfn.XLOOKUP(_xlfn.TEXTJOIN(,,D547:O547),Aux!$B$3:$B$4098,'Truth Table'!$V$3:$V$4098)=1,ABS(P546)&lt;='Line Follower'!$C$6),FALSE)</f>
        <v>0</v>
      </c>
      <c r="Y547" s="4" t="b">
        <f t="shared" si="8"/>
        <v>1</v>
      </c>
    </row>
    <row r="548" spans="2:25" x14ac:dyDescent="0.25">
      <c r="B548" s="4">
        <v>545</v>
      </c>
      <c r="C548" s="4">
        <v>4481</v>
      </c>
      <c r="D548" s="4">
        <v>0</v>
      </c>
      <c r="E548" s="4">
        <v>0</v>
      </c>
      <c r="F548" s="4">
        <v>0</v>
      </c>
      <c r="G548" s="4">
        <v>0</v>
      </c>
      <c r="H548" s="4">
        <v>0</v>
      </c>
      <c r="I548" s="4">
        <v>1</v>
      </c>
      <c r="J548" s="4">
        <v>1</v>
      </c>
      <c r="K548" s="4">
        <v>0</v>
      </c>
      <c r="L548" s="4">
        <v>0</v>
      </c>
      <c r="M548" s="4">
        <v>0</v>
      </c>
      <c r="N548" s="4">
        <v>0</v>
      </c>
      <c r="O548" s="4">
        <v>1</v>
      </c>
      <c r="P548" s="51">
        <f>IFERROR(_xlfn.XLOOKUP(_xlfn.TEXTJOIN(,,D547:O547),Aux!$B$3:$B$4098,'Truth Table'!$N$3:$N$4098),P547)</f>
        <v>1</v>
      </c>
      <c r="Q548" s="4" t="b" cm="1">
        <f t="array" ref="Q548:U548">IFERROR(_xlfn.XLOOKUP(_xlfn.TEXTJOIN(,,D548:O548),Aux!$B$3:$B$4098,'Truth Table'!$O$3:$S$4098)=1,FALSE)</f>
        <v>1</v>
      </c>
      <c r="R548" s="4" t="b">
        <v>0</v>
      </c>
      <c r="S548" s="4" t="b">
        <v>0</v>
      </c>
      <c r="T548" s="4" t="b">
        <v>0</v>
      </c>
      <c r="U548" s="4" t="b">
        <v>0</v>
      </c>
      <c r="V548" s="4" t="b">
        <f>AND(_xlfn.XLOOKUP(_xlfn.TEXTJOIN(,,D548:O548),Aux!$B$3:$B$4098,'Truth Table'!$T$3:$T$4098)=1,P547&lt;='Line Follower'!$C$7)</f>
        <v>0</v>
      </c>
      <c r="W548" s="4" t="b">
        <f>AND(_xlfn.XLOOKUP(_xlfn.TEXTJOIN(,,D548:O548),Aux!$B$3:$B$4098,'Truth Table'!$U$3:$U$4098)=1,P547&gt;='Line Follower'!$C$6)</f>
        <v>0</v>
      </c>
      <c r="X548" s="4" t="b">
        <f>IFERROR(AND(_xlfn.XLOOKUP(_xlfn.TEXTJOIN(,,D548:O548),Aux!$B$3:$B$4098,'Truth Table'!$V$3:$V$4098)=1,ABS(P547)&lt;='Line Follower'!$C$6),FALSE)</f>
        <v>0</v>
      </c>
      <c r="Y548" s="4" t="b">
        <f t="shared" si="8"/>
        <v>1</v>
      </c>
    </row>
    <row r="549" spans="2:25" x14ac:dyDescent="0.25">
      <c r="B549" s="4">
        <v>546</v>
      </c>
      <c r="C549" s="4">
        <v>4494</v>
      </c>
      <c r="D549" s="4">
        <v>0</v>
      </c>
      <c r="E549" s="4">
        <v>0</v>
      </c>
      <c r="F549" s="4">
        <v>0</v>
      </c>
      <c r="G549" s="4">
        <v>0</v>
      </c>
      <c r="H549" s="4">
        <v>0</v>
      </c>
      <c r="I549" s="4">
        <v>1</v>
      </c>
      <c r="J549" s="4">
        <v>1</v>
      </c>
      <c r="K549" s="4">
        <v>0</v>
      </c>
      <c r="L549" s="4">
        <v>0</v>
      </c>
      <c r="M549" s="4">
        <v>0</v>
      </c>
      <c r="N549" s="4">
        <v>0</v>
      </c>
      <c r="O549" s="4">
        <v>1</v>
      </c>
      <c r="P549" s="51">
        <f>IFERROR(_xlfn.XLOOKUP(_xlfn.TEXTJOIN(,,D548:O548),Aux!$B$3:$B$4098,'Truth Table'!$N$3:$N$4098),P548)</f>
        <v>1</v>
      </c>
      <c r="Q549" s="4" t="b" cm="1">
        <f t="array" ref="Q549:U549">IFERROR(_xlfn.XLOOKUP(_xlfn.TEXTJOIN(,,D549:O549),Aux!$B$3:$B$4098,'Truth Table'!$O$3:$S$4098)=1,FALSE)</f>
        <v>1</v>
      </c>
      <c r="R549" s="4" t="b">
        <v>0</v>
      </c>
      <c r="S549" s="4" t="b">
        <v>0</v>
      </c>
      <c r="T549" s="4" t="b">
        <v>0</v>
      </c>
      <c r="U549" s="4" t="b">
        <v>0</v>
      </c>
      <c r="V549" s="4" t="b">
        <f>AND(_xlfn.XLOOKUP(_xlfn.TEXTJOIN(,,D549:O549),Aux!$B$3:$B$4098,'Truth Table'!$T$3:$T$4098)=1,P548&lt;='Line Follower'!$C$7)</f>
        <v>0</v>
      </c>
      <c r="W549" s="4" t="b">
        <f>AND(_xlfn.XLOOKUP(_xlfn.TEXTJOIN(,,D549:O549),Aux!$B$3:$B$4098,'Truth Table'!$U$3:$U$4098)=1,P548&gt;='Line Follower'!$C$6)</f>
        <v>0</v>
      </c>
      <c r="X549" s="4" t="b">
        <f>IFERROR(AND(_xlfn.XLOOKUP(_xlfn.TEXTJOIN(,,D549:O549),Aux!$B$3:$B$4098,'Truth Table'!$V$3:$V$4098)=1,ABS(P548)&lt;='Line Follower'!$C$6),FALSE)</f>
        <v>0</v>
      </c>
      <c r="Y549" s="4" t="b">
        <f t="shared" si="8"/>
        <v>1</v>
      </c>
    </row>
    <row r="550" spans="2:25" x14ac:dyDescent="0.25">
      <c r="B550" s="4">
        <v>547</v>
      </c>
      <c r="C550" s="4">
        <v>4495</v>
      </c>
      <c r="D550" s="4">
        <v>0</v>
      </c>
      <c r="E550" s="4">
        <v>0</v>
      </c>
      <c r="F550" s="4">
        <v>0</v>
      </c>
      <c r="G550" s="4">
        <v>0</v>
      </c>
      <c r="H550" s="4">
        <v>0</v>
      </c>
      <c r="I550" s="4">
        <v>1</v>
      </c>
      <c r="J550" s="4">
        <v>1</v>
      </c>
      <c r="K550" s="4">
        <v>0</v>
      </c>
      <c r="L550" s="4">
        <v>0</v>
      </c>
      <c r="M550" s="4">
        <v>0</v>
      </c>
      <c r="N550" s="4">
        <v>0</v>
      </c>
      <c r="O550" s="4">
        <v>1</v>
      </c>
      <c r="P550" s="51">
        <f>IFERROR(_xlfn.XLOOKUP(_xlfn.TEXTJOIN(,,D549:O549),Aux!$B$3:$B$4098,'Truth Table'!$N$3:$N$4098),P549)</f>
        <v>1</v>
      </c>
      <c r="Q550" s="4" t="b" cm="1">
        <f t="array" ref="Q550:U550">IFERROR(_xlfn.XLOOKUP(_xlfn.TEXTJOIN(,,D550:O550),Aux!$B$3:$B$4098,'Truth Table'!$O$3:$S$4098)=1,FALSE)</f>
        <v>1</v>
      </c>
      <c r="R550" s="4" t="b">
        <v>0</v>
      </c>
      <c r="S550" s="4" t="b">
        <v>0</v>
      </c>
      <c r="T550" s="4" t="b">
        <v>0</v>
      </c>
      <c r="U550" s="4" t="b">
        <v>0</v>
      </c>
      <c r="V550" s="4" t="b">
        <f>AND(_xlfn.XLOOKUP(_xlfn.TEXTJOIN(,,D550:O550),Aux!$B$3:$B$4098,'Truth Table'!$T$3:$T$4098)=1,P549&lt;='Line Follower'!$C$7)</f>
        <v>0</v>
      </c>
      <c r="W550" s="4" t="b">
        <f>AND(_xlfn.XLOOKUP(_xlfn.TEXTJOIN(,,D550:O550),Aux!$B$3:$B$4098,'Truth Table'!$U$3:$U$4098)=1,P549&gt;='Line Follower'!$C$6)</f>
        <v>0</v>
      </c>
      <c r="X550" s="4" t="b">
        <f>IFERROR(AND(_xlfn.XLOOKUP(_xlfn.TEXTJOIN(,,D550:O550),Aux!$B$3:$B$4098,'Truth Table'!$V$3:$V$4098)=1,ABS(P549)&lt;='Line Follower'!$C$6),FALSE)</f>
        <v>0</v>
      </c>
      <c r="Y550" s="4" t="b">
        <f t="shared" si="8"/>
        <v>1</v>
      </c>
    </row>
    <row r="551" spans="2:25" x14ac:dyDescent="0.25">
      <c r="B551" s="4">
        <v>548</v>
      </c>
      <c r="C551" s="4">
        <v>4503</v>
      </c>
      <c r="D551" s="4">
        <v>0</v>
      </c>
      <c r="E551" s="4">
        <v>0</v>
      </c>
      <c r="F551" s="4">
        <v>0</v>
      </c>
      <c r="G551" s="4">
        <v>0</v>
      </c>
      <c r="H551" s="4">
        <v>0</v>
      </c>
      <c r="I551" s="4">
        <v>1</v>
      </c>
      <c r="J551" s="4">
        <v>1</v>
      </c>
      <c r="K551" s="4">
        <v>0</v>
      </c>
      <c r="L551" s="4">
        <v>0</v>
      </c>
      <c r="M551" s="4">
        <v>0</v>
      </c>
      <c r="N551" s="4">
        <v>0</v>
      </c>
      <c r="O551" s="4">
        <v>1</v>
      </c>
      <c r="P551" s="51">
        <f>IFERROR(_xlfn.XLOOKUP(_xlfn.TEXTJOIN(,,D550:O550),Aux!$B$3:$B$4098,'Truth Table'!$N$3:$N$4098),P550)</f>
        <v>1</v>
      </c>
      <c r="Q551" s="4" t="b" cm="1">
        <f t="array" ref="Q551:U551">IFERROR(_xlfn.XLOOKUP(_xlfn.TEXTJOIN(,,D551:O551),Aux!$B$3:$B$4098,'Truth Table'!$O$3:$S$4098)=1,FALSE)</f>
        <v>1</v>
      </c>
      <c r="R551" s="4" t="b">
        <v>0</v>
      </c>
      <c r="S551" s="4" t="b">
        <v>0</v>
      </c>
      <c r="T551" s="4" t="b">
        <v>0</v>
      </c>
      <c r="U551" s="4" t="b">
        <v>0</v>
      </c>
      <c r="V551" s="4" t="b">
        <f>AND(_xlfn.XLOOKUP(_xlfn.TEXTJOIN(,,D551:O551),Aux!$B$3:$B$4098,'Truth Table'!$T$3:$T$4098)=1,P550&lt;='Line Follower'!$C$7)</f>
        <v>0</v>
      </c>
      <c r="W551" s="4" t="b">
        <f>AND(_xlfn.XLOOKUP(_xlfn.TEXTJOIN(,,D551:O551),Aux!$B$3:$B$4098,'Truth Table'!$U$3:$U$4098)=1,P550&gt;='Line Follower'!$C$6)</f>
        <v>0</v>
      </c>
      <c r="X551" s="4" t="b">
        <f>IFERROR(AND(_xlfn.XLOOKUP(_xlfn.TEXTJOIN(,,D551:O551),Aux!$B$3:$B$4098,'Truth Table'!$V$3:$V$4098)=1,ABS(P550)&lt;='Line Follower'!$C$6),FALSE)</f>
        <v>0</v>
      </c>
      <c r="Y551" s="4" t="b">
        <f t="shared" si="8"/>
        <v>1</v>
      </c>
    </row>
    <row r="552" spans="2:25" x14ac:dyDescent="0.25">
      <c r="B552" s="4">
        <v>549</v>
      </c>
      <c r="C552" s="4">
        <v>4518</v>
      </c>
      <c r="D552" s="4">
        <v>0</v>
      </c>
      <c r="E552" s="4">
        <v>0</v>
      </c>
      <c r="F552" s="4">
        <v>0</v>
      </c>
      <c r="G552" s="4">
        <v>0</v>
      </c>
      <c r="H552" s="4">
        <v>0</v>
      </c>
      <c r="I552" s="4">
        <v>1</v>
      </c>
      <c r="J552" s="4">
        <v>1</v>
      </c>
      <c r="K552" s="4">
        <v>0</v>
      </c>
      <c r="L552" s="4">
        <v>0</v>
      </c>
      <c r="M552" s="4">
        <v>0</v>
      </c>
      <c r="N552" s="4">
        <v>0</v>
      </c>
      <c r="O552" s="4">
        <v>1</v>
      </c>
      <c r="P552" s="51">
        <f>IFERROR(_xlfn.XLOOKUP(_xlfn.TEXTJOIN(,,D551:O551),Aux!$B$3:$B$4098,'Truth Table'!$N$3:$N$4098),P551)</f>
        <v>1</v>
      </c>
      <c r="Q552" s="4" t="b" cm="1">
        <f t="array" ref="Q552:U552">IFERROR(_xlfn.XLOOKUP(_xlfn.TEXTJOIN(,,D552:O552),Aux!$B$3:$B$4098,'Truth Table'!$O$3:$S$4098)=1,FALSE)</f>
        <v>1</v>
      </c>
      <c r="R552" s="4" t="b">
        <v>0</v>
      </c>
      <c r="S552" s="4" t="b">
        <v>0</v>
      </c>
      <c r="T552" s="4" t="b">
        <v>0</v>
      </c>
      <c r="U552" s="4" t="b">
        <v>0</v>
      </c>
      <c r="V552" s="4" t="b">
        <f>AND(_xlfn.XLOOKUP(_xlfn.TEXTJOIN(,,D552:O552),Aux!$B$3:$B$4098,'Truth Table'!$T$3:$T$4098)=1,P551&lt;='Line Follower'!$C$7)</f>
        <v>0</v>
      </c>
      <c r="W552" s="4" t="b">
        <f>AND(_xlfn.XLOOKUP(_xlfn.TEXTJOIN(,,D552:O552),Aux!$B$3:$B$4098,'Truth Table'!$U$3:$U$4098)=1,P551&gt;='Line Follower'!$C$6)</f>
        <v>0</v>
      </c>
      <c r="X552" s="4" t="b">
        <f>IFERROR(AND(_xlfn.XLOOKUP(_xlfn.TEXTJOIN(,,D552:O552),Aux!$B$3:$B$4098,'Truth Table'!$V$3:$V$4098)=1,ABS(P551)&lt;='Line Follower'!$C$6),FALSE)</f>
        <v>0</v>
      </c>
      <c r="Y552" s="4" t="b">
        <f t="shared" si="8"/>
        <v>1</v>
      </c>
    </row>
    <row r="553" spans="2:25" x14ac:dyDescent="0.25">
      <c r="B553" s="4">
        <v>550</v>
      </c>
      <c r="C553" s="4">
        <v>4524</v>
      </c>
      <c r="D553" s="4">
        <v>0</v>
      </c>
      <c r="E553" s="4">
        <v>0</v>
      </c>
      <c r="F553" s="4">
        <v>0</v>
      </c>
      <c r="G553" s="4">
        <v>0</v>
      </c>
      <c r="H553" s="4">
        <v>0</v>
      </c>
      <c r="I553" s="4">
        <v>1</v>
      </c>
      <c r="J553" s="4">
        <v>1</v>
      </c>
      <c r="K553" s="4">
        <v>0</v>
      </c>
      <c r="L553" s="4">
        <v>0</v>
      </c>
      <c r="M553" s="4">
        <v>0</v>
      </c>
      <c r="N553" s="4">
        <v>0</v>
      </c>
      <c r="O553" s="4">
        <v>1</v>
      </c>
      <c r="P553" s="51">
        <f>IFERROR(_xlfn.XLOOKUP(_xlfn.TEXTJOIN(,,D552:O552),Aux!$B$3:$B$4098,'Truth Table'!$N$3:$N$4098),P552)</f>
        <v>1</v>
      </c>
      <c r="Q553" s="4" t="b" cm="1">
        <f t="array" ref="Q553:U553">IFERROR(_xlfn.XLOOKUP(_xlfn.TEXTJOIN(,,D553:O553),Aux!$B$3:$B$4098,'Truth Table'!$O$3:$S$4098)=1,FALSE)</f>
        <v>1</v>
      </c>
      <c r="R553" s="4" t="b">
        <v>0</v>
      </c>
      <c r="S553" s="4" t="b">
        <v>0</v>
      </c>
      <c r="T553" s="4" t="b">
        <v>0</v>
      </c>
      <c r="U553" s="4" t="b">
        <v>0</v>
      </c>
      <c r="V553" s="4" t="b">
        <f>AND(_xlfn.XLOOKUP(_xlfn.TEXTJOIN(,,D553:O553),Aux!$B$3:$B$4098,'Truth Table'!$T$3:$T$4098)=1,P552&lt;='Line Follower'!$C$7)</f>
        <v>0</v>
      </c>
      <c r="W553" s="4" t="b">
        <f>AND(_xlfn.XLOOKUP(_xlfn.TEXTJOIN(,,D553:O553),Aux!$B$3:$B$4098,'Truth Table'!$U$3:$U$4098)=1,P552&gt;='Line Follower'!$C$6)</f>
        <v>0</v>
      </c>
      <c r="X553" s="4" t="b">
        <f>IFERROR(AND(_xlfn.XLOOKUP(_xlfn.TEXTJOIN(,,D553:O553),Aux!$B$3:$B$4098,'Truth Table'!$V$3:$V$4098)=1,ABS(P552)&lt;='Line Follower'!$C$6),FALSE)</f>
        <v>0</v>
      </c>
      <c r="Y553" s="4" t="b">
        <f t="shared" si="8"/>
        <v>1</v>
      </c>
    </row>
    <row r="554" spans="2:25" x14ac:dyDescent="0.25">
      <c r="B554" s="4">
        <v>551</v>
      </c>
      <c r="C554" s="4">
        <v>4538</v>
      </c>
      <c r="D554" s="4">
        <v>0</v>
      </c>
      <c r="E554" s="4">
        <v>0</v>
      </c>
      <c r="F554" s="4">
        <v>0</v>
      </c>
      <c r="G554" s="4">
        <v>0</v>
      </c>
      <c r="H554" s="4">
        <v>0</v>
      </c>
      <c r="I554" s="4">
        <v>1</v>
      </c>
      <c r="J554" s="4">
        <v>1</v>
      </c>
      <c r="K554" s="4">
        <v>0</v>
      </c>
      <c r="L554" s="4">
        <v>0</v>
      </c>
      <c r="M554" s="4">
        <v>0</v>
      </c>
      <c r="N554" s="4">
        <v>0</v>
      </c>
      <c r="O554" s="4">
        <v>1</v>
      </c>
      <c r="P554" s="51">
        <f>IFERROR(_xlfn.XLOOKUP(_xlfn.TEXTJOIN(,,D553:O553),Aux!$B$3:$B$4098,'Truth Table'!$N$3:$N$4098),P553)</f>
        <v>1</v>
      </c>
      <c r="Q554" s="4" t="b" cm="1">
        <f t="array" ref="Q554:U554">IFERROR(_xlfn.XLOOKUP(_xlfn.TEXTJOIN(,,D554:O554),Aux!$B$3:$B$4098,'Truth Table'!$O$3:$S$4098)=1,FALSE)</f>
        <v>1</v>
      </c>
      <c r="R554" s="4" t="b">
        <v>0</v>
      </c>
      <c r="S554" s="4" t="b">
        <v>0</v>
      </c>
      <c r="T554" s="4" t="b">
        <v>0</v>
      </c>
      <c r="U554" s="4" t="b">
        <v>0</v>
      </c>
      <c r="V554" s="4" t="b">
        <f>AND(_xlfn.XLOOKUP(_xlfn.TEXTJOIN(,,D554:O554),Aux!$B$3:$B$4098,'Truth Table'!$T$3:$T$4098)=1,P553&lt;='Line Follower'!$C$7)</f>
        <v>0</v>
      </c>
      <c r="W554" s="4" t="b">
        <f>AND(_xlfn.XLOOKUP(_xlfn.TEXTJOIN(,,D554:O554),Aux!$B$3:$B$4098,'Truth Table'!$U$3:$U$4098)=1,P553&gt;='Line Follower'!$C$6)</f>
        <v>0</v>
      </c>
      <c r="X554" s="4" t="b">
        <f>IFERROR(AND(_xlfn.XLOOKUP(_xlfn.TEXTJOIN(,,D554:O554),Aux!$B$3:$B$4098,'Truth Table'!$V$3:$V$4098)=1,ABS(P553)&lt;='Line Follower'!$C$6),FALSE)</f>
        <v>0</v>
      </c>
      <c r="Y554" s="4" t="b">
        <f t="shared" si="8"/>
        <v>1</v>
      </c>
    </row>
    <row r="555" spans="2:25" x14ac:dyDescent="0.25">
      <c r="B555" s="4">
        <v>552</v>
      </c>
      <c r="C555" s="4">
        <v>4547</v>
      </c>
      <c r="D555" s="4">
        <v>0</v>
      </c>
      <c r="E555" s="4">
        <v>0</v>
      </c>
      <c r="F555" s="4">
        <v>0</v>
      </c>
      <c r="G555" s="4">
        <v>0</v>
      </c>
      <c r="H555" s="4">
        <v>0</v>
      </c>
      <c r="I555" s="4">
        <v>1</v>
      </c>
      <c r="J555" s="4">
        <v>1</v>
      </c>
      <c r="K555" s="4">
        <v>0</v>
      </c>
      <c r="L555" s="4">
        <v>0</v>
      </c>
      <c r="M555" s="4">
        <v>0</v>
      </c>
      <c r="N555" s="4">
        <v>0</v>
      </c>
      <c r="O555" s="4">
        <v>1</v>
      </c>
      <c r="P555" s="51">
        <f>IFERROR(_xlfn.XLOOKUP(_xlfn.TEXTJOIN(,,D554:O554),Aux!$B$3:$B$4098,'Truth Table'!$N$3:$N$4098),P554)</f>
        <v>1</v>
      </c>
      <c r="Q555" s="4" t="b" cm="1">
        <f t="array" ref="Q555:U555">IFERROR(_xlfn.XLOOKUP(_xlfn.TEXTJOIN(,,D555:O555),Aux!$B$3:$B$4098,'Truth Table'!$O$3:$S$4098)=1,FALSE)</f>
        <v>1</v>
      </c>
      <c r="R555" s="4" t="b">
        <v>0</v>
      </c>
      <c r="S555" s="4" t="b">
        <v>0</v>
      </c>
      <c r="T555" s="4" t="b">
        <v>0</v>
      </c>
      <c r="U555" s="4" t="b">
        <v>0</v>
      </c>
      <c r="V555" s="4" t="b">
        <f>AND(_xlfn.XLOOKUP(_xlfn.TEXTJOIN(,,D555:O555),Aux!$B$3:$B$4098,'Truth Table'!$T$3:$T$4098)=1,P554&lt;='Line Follower'!$C$7)</f>
        <v>0</v>
      </c>
      <c r="W555" s="4" t="b">
        <f>AND(_xlfn.XLOOKUP(_xlfn.TEXTJOIN(,,D555:O555),Aux!$B$3:$B$4098,'Truth Table'!$U$3:$U$4098)=1,P554&gt;='Line Follower'!$C$6)</f>
        <v>0</v>
      </c>
      <c r="X555" s="4" t="b">
        <f>IFERROR(AND(_xlfn.XLOOKUP(_xlfn.TEXTJOIN(,,D555:O555),Aux!$B$3:$B$4098,'Truth Table'!$V$3:$V$4098)=1,ABS(P554)&lt;='Line Follower'!$C$6),FALSE)</f>
        <v>0</v>
      </c>
      <c r="Y555" s="4" t="b">
        <f t="shared" si="8"/>
        <v>1</v>
      </c>
    </row>
    <row r="556" spans="2:25" x14ac:dyDescent="0.25">
      <c r="B556" s="4">
        <v>553</v>
      </c>
      <c r="C556" s="4">
        <v>4555</v>
      </c>
      <c r="D556" s="4">
        <v>0</v>
      </c>
      <c r="E556" s="4">
        <v>0</v>
      </c>
      <c r="F556" s="4">
        <v>0</v>
      </c>
      <c r="G556" s="4">
        <v>0</v>
      </c>
      <c r="H556" s="4">
        <v>0</v>
      </c>
      <c r="I556" s="4">
        <v>1</v>
      </c>
      <c r="J556" s="4">
        <v>1</v>
      </c>
      <c r="K556" s="4">
        <v>0</v>
      </c>
      <c r="L556" s="4">
        <v>0</v>
      </c>
      <c r="M556" s="4">
        <v>0</v>
      </c>
      <c r="N556" s="4">
        <v>0</v>
      </c>
      <c r="O556" s="4">
        <v>1</v>
      </c>
      <c r="P556" s="51">
        <f>IFERROR(_xlfn.XLOOKUP(_xlfn.TEXTJOIN(,,D555:O555),Aux!$B$3:$B$4098,'Truth Table'!$N$3:$N$4098),P555)</f>
        <v>1</v>
      </c>
      <c r="Q556" s="4" t="b" cm="1">
        <f t="array" ref="Q556:U556">IFERROR(_xlfn.XLOOKUP(_xlfn.TEXTJOIN(,,D556:O556),Aux!$B$3:$B$4098,'Truth Table'!$O$3:$S$4098)=1,FALSE)</f>
        <v>1</v>
      </c>
      <c r="R556" s="4" t="b">
        <v>0</v>
      </c>
      <c r="S556" s="4" t="b">
        <v>0</v>
      </c>
      <c r="T556" s="4" t="b">
        <v>0</v>
      </c>
      <c r="U556" s="4" t="b">
        <v>0</v>
      </c>
      <c r="V556" s="4" t="b">
        <f>AND(_xlfn.XLOOKUP(_xlfn.TEXTJOIN(,,D556:O556),Aux!$B$3:$B$4098,'Truth Table'!$T$3:$T$4098)=1,P555&lt;='Line Follower'!$C$7)</f>
        <v>0</v>
      </c>
      <c r="W556" s="4" t="b">
        <f>AND(_xlfn.XLOOKUP(_xlfn.TEXTJOIN(,,D556:O556),Aux!$B$3:$B$4098,'Truth Table'!$U$3:$U$4098)=1,P555&gt;='Line Follower'!$C$6)</f>
        <v>0</v>
      </c>
      <c r="X556" s="4" t="b">
        <f>IFERROR(AND(_xlfn.XLOOKUP(_xlfn.TEXTJOIN(,,D556:O556),Aux!$B$3:$B$4098,'Truth Table'!$V$3:$V$4098)=1,ABS(P555)&lt;='Line Follower'!$C$6),FALSE)</f>
        <v>0</v>
      </c>
      <c r="Y556" s="4" t="b">
        <f t="shared" si="8"/>
        <v>1</v>
      </c>
    </row>
    <row r="557" spans="2:25" x14ac:dyDescent="0.25">
      <c r="B557" s="4">
        <v>554</v>
      </c>
      <c r="C557" s="4">
        <v>4567</v>
      </c>
      <c r="D557" s="4">
        <v>0</v>
      </c>
      <c r="E557" s="4">
        <v>0</v>
      </c>
      <c r="F557" s="4">
        <v>0</v>
      </c>
      <c r="G557" s="4">
        <v>0</v>
      </c>
      <c r="H557" s="4">
        <v>0</v>
      </c>
      <c r="I557" s="4">
        <v>1</v>
      </c>
      <c r="J557" s="4">
        <v>1</v>
      </c>
      <c r="K557" s="4">
        <v>0</v>
      </c>
      <c r="L557" s="4">
        <v>0</v>
      </c>
      <c r="M557" s="4">
        <v>0</v>
      </c>
      <c r="N557" s="4">
        <v>0</v>
      </c>
      <c r="O557" s="4">
        <v>1</v>
      </c>
      <c r="P557" s="51">
        <f>IFERROR(_xlfn.XLOOKUP(_xlfn.TEXTJOIN(,,D556:O556),Aux!$B$3:$B$4098,'Truth Table'!$N$3:$N$4098),P556)</f>
        <v>1</v>
      </c>
      <c r="Q557" s="4" t="b" cm="1">
        <f t="array" ref="Q557:U557">IFERROR(_xlfn.XLOOKUP(_xlfn.TEXTJOIN(,,D557:O557),Aux!$B$3:$B$4098,'Truth Table'!$O$3:$S$4098)=1,FALSE)</f>
        <v>1</v>
      </c>
      <c r="R557" s="4" t="b">
        <v>0</v>
      </c>
      <c r="S557" s="4" t="b">
        <v>0</v>
      </c>
      <c r="T557" s="4" t="b">
        <v>0</v>
      </c>
      <c r="U557" s="4" t="b">
        <v>0</v>
      </c>
      <c r="V557" s="4" t="b">
        <f>AND(_xlfn.XLOOKUP(_xlfn.TEXTJOIN(,,D557:O557),Aux!$B$3:$B$4098,'Truth Table'!$T$3:$T$4098)=1,P556&lt;='Line Follower'!$C$7)</f>
        <v>0</v>
      </c>
      <c r="W557" s="4" t="b">
        <f>AND(_xlfn.XLOOKUP(_xlfn.TEXTJOIN(,,D557:O557),Aux!$B$3:$B$4098,'Truth Table'!$U$3:$U$4098)=1,P556&gt;='Line Follower'!$C$6)</f>
        <v>0</v>
      </c>
      <c r="X557" s="4" t="b">
        <f>IFERROR(AND(_xlfn.XLOOKUP(_xlfn.TEXTJOIN(,,D557:O557),Aux!$B$3:$B$4098,'Truth Table'!$V$3:$V$4098)=1,ABS(P556)&lt;='Line Follower'!$C$6),FALSE)</f>
        <v>0</v>
      </c>
      <c r="Y557" s="4" t="b">
        <f t="shared" si="8"/>
        <v>1</v>
      </c>
    </row>
    <row r="558" spans="2:25" x14ac:dyDescent="0.25">
      <c r="B558" s="4">
        <v>555</v>
      </c>
      <c r="C558" s="4">
        <v>4576</v>
      </c>
      <c r="D558" s="4">
        <v>0</v>
      </c>
      <c r="E558" s="4">
        <v>0</v>
      </c>
      <c r="F558" s="4">
        <v>0</v>
      </c>
      <c r="G558" s="4">
        <v>0</v>
      </c>
      <c r="H558" s="4">
        <v>0</v>
      </c>
      <c r="I558" s="4">
        <v>1</v>
      </c>
      <c r="J558" s="4">
        <v>1</v>
      </c>
      <c r="K558" s="4">
        <v>0</v>
      </c>
      <c r="L558" s="4">
        <v>0</v>
      </c>
      <c r="M558" s="4">
        <v>0</v>
      </c>
      <c r="N558" s="4">
        <v>0</v>
      </c>
      <c r="O558" s="4">
        <v>1</v>
      </c>
      <c r="P558" s="51">
        <f>IFERROR(_xlfn.XLOOKUP(_xlfn.TEXTJOIN(,,D557:O557),Aux!$B$3:$B$4098,'Truth Table'!$N$3:$N$4098),P557)</f>
        <v>1</v>
      </c>
      <c r="Q558" s="4" t="b" cm="1">
        <f t="array" ref="Q558:U558">IFERROR(_xlfn.XLOOKUP(_xlfn.TEXTJOIN(,,D558:O558),Aux!$B$3:$B$4098,'Truth Table'!$O$3:$S$4098)=1,FALSE)</f>
        <v>1</v>
      </c>
      <c r="R558" s="4" t="b">
        <v>0</v>
      </c>
      <c r="S558" s="4" t="b">
        <v>0</v>
      </c>
      <c r="T558" s="4" t="b">
        <v>0</v>
      </c>
      <c r="U558" s="4" t="b">
        <v>0</v>
      </c>
      <c r="V558" s="4" t="b">
        <f>AND(_xlfn.XLOOKUP(_xlfn.TEXTJOIN(,,D558:O558),Aux!$B$3:$B$4098,'Truth Table'!$T$3:$T$4098)=1,P557&lt;='Line Follower'!$C$7)</f>
        <v>0</v>
      </c>
      <c r="W558" s="4" t="b">
        <f>AND(_xlfn.XLOOKUP(_xlfn.TEXTJOIN(,,D558:O558),Aux!$B$3:$B$4098,'Truth Table'!$U$3:$U$4098)=1,P557&gt;='Line Follower'!$C$6)</f>
        <v>0</v>
      </c>
      <c r="X558" s="4" t="b">
        <f>IFERROR(AND(_xlfn.XLOOKUP(_xlfn.TEXTJOIN(,,D558:O558),Aux!$B$3:$B$4098,'Truth Table'!$V$3:$V$4098)=1,ABS(P557)&lt;='Line Follower'!$C$6),FALSE)</f>
        <v>0</v>
      </c>
      <c r="Y558" s="4" t="b">
        <f t="shared" si="8"/>
        <v>1</v>
      </c>
    </row>
    <row r="559" spans="2:25" x14ac:dyDescent="0.25">
      <c r="B559" s="4">
        <v>556</v>
      </c>
      <c r="C559" s="4">
        <v>4589</v>
      </c>
      <c r="D559" s="4">
        <v>0</v>
      </c>
      <c r="E559" s="4">
        <v>0</v>
      </c>
      <c r="F559" s="4">
        <v>0</v>
      </c>
      <c r="G559" s="4">
        <v>0</v>
      </c>
      <c r="H559" s="4">
        <v>0</v>
      </c>
      <c r="I559" s="4">
        <v>1</v>
      </c>
      <c r="J559" s="4">
        <v>1</v>
      </c>
      <c r="K559" s="4">
        <v>0</v>
      </c>
      <c r="L559" s="4">
        <v>0</v>
      </c>
      <c r="M559" s="4">
        <v>0</v>
      </c>
      <c r="N559" s="4">
        <v>0</v>
      </c>
      <c r="O559" s="4">
        <v>1</v>
      </c>
      <c r="P559" s="51">
        <f>IFERROR(_xlfn.XLOOKUP(_xlfn.TEXTJOIN(,,D558:O558),Aux!$B$3:$B$4098,'Truth Table'!$N$3:$N$4098),P558)</f>
        <v>1</v>
      </c>
      <c r="Q559" s="4" t="b" cm="1">
        <f t="array" ref="Q559:U559">IFERROR(_xlfn.XLOOKUP(_xlfn.TEXTJOIN(,,D559:O559),Aux!$B$3:$B$4098,'Truth Table'!$O$3:$S$4098)=1,FALSE)</f>
        <v>1</v>
      </c>
      <c r="R559" s="4" t="b">
        <v>0</v>
      </c>
      <c r="S559" s="4" t="b">
        <v>0</v>
      </c>
      <c r="T559" s="4" t="b">
        <v>0</v>
      </c>
      <c r="U559" s="4" t="b">
        <v>0</v>
      </c>
      <c r="V559" s="4" t="b">
        <f>AND(_xlfn.XLOOKUP(_xlfn.TEXTJOIN(,,D559:O559),Aux!$B$3:$B$4098,'Truth Table'!$T$3:$T$4098)=1,P558&lt;='Line Follower'!$C$7)</f>
        <v>0</v>
      </c>
      <c r="W559" s="4" t="b">
        <f>AND(_xlfn.XLOOKUP(_xlfn.TEXTJOIN(,,D559:O559),Aux!$B$3:$B$4098,'Truth Table'!$U$3:$U$4098)=1,P558&gt;='Line Follower'!$C$6)</f>
        <v>0</v>
      </c>
      <c r="X559" s="4" t="b">
        <f>IFERROR(AND(_xlfn.XLOOKUP(_xlfn.TEXTJOIN(,,D559:O559),Aux!$B$3:$B$4098,'Truth Table'!$V$3:$V$4098)=1,ABS(P558)&lt;='Line Follower'!$C$6),FALSE)</f>
        <v>0</v>
      </c>
      <c r="Y559" s="4" t="b">
        <f t="shared" si="8"/>
        <v>1</v>
      </c>
    </row>
    <row r="560" spans="2:25" x14ac:dyDescent="0.25">
      <c r="B560" s="4">
        <v>557</v>
      </c>
      <c r="C560" s="4">
        <v>4598</v>
      </c>
      <c r="D560" s="4">
        <v>0</v>
      </c>
      <c r="E560" s="4">
        <v>0</v>
      </c>
      <c r="F560" s="4">
        <v>0</v>
      </c>
      <c r="G560" s="4">
        <v>0</v>
      </c>
      <c r="H560" s="4">
        <v>0</v>
      </c>
      <c r="I560" s="4">
        <v>1</v>
      </c>
      <c r="J560" s="4">
        <v>1</v>
      </c>
      <c r="K560" s="4">
        <v>0</v>
      </c>
      <c r="L560" s="4">
        <v>0</v>
      </c>
      <c r="M560" s="4">
        <v>0</v>
      </c>
      <c r="N560" s="4">
        <v>0</v>
      </c>
      <c r="O560" s="4">
        <v>1</v>
      </c>
      <c r="P560" s="51">
        <f>IFERROR(_xlfn.XLOOKUP(_xlfn.TEXTJOIN(,,D559:O559),Aux!$B$3:$B$4098,'Truth Table'!$N$3:$N$4098),P559)</f>
        <v>1</v>
      </c>
      <c r="Q560" s="4" t="b" cm="1">
        <f t="array" ref="Q560:U560">IFERROR(_xlfn.XLOOKUP(_xlfn.TEXTJOIN(,,D560:O560),Aux!$B$3:$B$4098,'Truth Table'!$O$3:$S$4098)=1,FALSE)</f>
        <v>1</v>
      </c>
      <c r="R560" s="4" t="b">
        <v>0</v>
      </c>
      <c r="S560" s="4" t="b">
        <v>0</v>
      </c>
      <c r="T560" s="4" t="b">
        <v>0</v>
      </c>
      <c r="U560" s="4" t="b">
        <v>0</v>
      </c>
      <c r="V560" s="4" t="b">
        <f>AND(_xlfn.XLOOKUP(_xlfn.TEXTJOIN(,,D560:O560),Aux!$B$3:$B$4098,'Truth Table'!$T$3:$T$4098)=1,P559&lt;='Line Follower'!$C$7)</f>
        <v>0</v>
      </c>
      <c r="W560" s="4" t="b">
        <f>AND(_xlfn.XLOOKUP(_xlfn.TEXTJOIN(,,D560:O560),Aux!$B$3:$B$4098,'Truth Table'!$U$3:$U$4098)=1,P559&gt;='Line Follower'!$C$6)</f>
        <v>0</v>
      </c>
      <c r="X560" s="4" t="b">
        <f>IFERROR(AND(_xlfn.XLOOKUP(_xlfn.TEXTJOIN(,,D560:O560),Aux!$B$3:$B$4098,'Truth Table'!$V$3:$V$4098)=1,ABS(P559)&lt;='Line Follower'!$C$6),FALSE)</f>
        <v>0</v>
      </c>
      <c r="Y560" s="4" t="b">
        <f t="shared" si="8"/>
        <v>1</v>
      </c>
    </row>
    <row r="561" spans="2:25" x14ac:dyDescent="0.25">
      <c r="B561" s="4">
        <v>558</v>
      </c>
      <c r="C561" s="4">
        <v>4609</v>
      </c>
      <c r="D561" s="4">
        <v>0</v>
      </c>
      <c r="E561" s="4">
        <v>0</v>
      </c>
      <c r="F561" s="4">
        <v>0</v>
      </c>
      <c r="G561" s="4">
        <v>0</v>
      </c>
      <c r="H561" s="4">
        <v>0</v>
      </c>
      <c r="I561" s="4">
        <v>1</v>
      </c>
      <c r="J561" s="4">
        <v>1</v>
      </c>
      <c r="K561" s="4">
        <v>0</v>
      </c>
      <c r="L561" s="4">
        <v>0</v>
      </c>
      <c r="M561" s="4">
        <v>0</v>
      </c>
      <c r="N561" s="4">
        <v>0</v>
      </c>
      <c r="O561" s="4">
        <v>1</v>
      </c>
      <c r="P561" s="51">
        <f>IFERROR(_xlfn.XLOOKUP(_xlfn.TEXTJOIN(,,D560:O560),Aux!$B$3:$B$4098,'Truth Table'!$N$3:$N$4098),P560)</f>
        <v>1</v>
      </c>
      <c r="Q561" s="4" t="b" cm="1">
        <f t="array" ref="Q561:U561">IFERROR(_xlfn.XLOOKUP(_xlfn.TEXTJOIN(,,D561:O561),Aux!$B$3:$B$4098,'Truth Table'!$O$3:$S$4098)=1,FALSE)</f>
        <v>1</v>
      </c>
      <c r="R561" s="4" t="b">
        <v>0</v>
      </c>
      <c r="S561" s="4" t="b">
        <v>0</v>
      </c>
      <c r="T561" s="4" t="b">
        <v>0</v>
      </c>
      <c r="U561" s="4" t="b">
        <v>0</v>
      </c>
      <c r="V561" s="4" t="b">
        <f>AND(_xlfn.XLOOKUP(_xlfn.TEXTJOIN(,,D561:O561),Aux!$B$3:$B$4098,'Truth Table'!$T$3:$T$4098)=1,P560&lt;='Line Follower'!$C$7)</f>
        <v>0</v>
      </c>
      <c r="W561" s="4" t="b">
        <f>AND(_xlfn.XLOOKUP(_xlfn.TEXTJOIN(,,D561:O561),Aux!$B$3:$B$4098,'Truth Table'!$U$3:$U$4098)=1,P560&gt;='Line Follower'!$C$6)</f>
        <v>0</v>
      </c>
      <c r="X561" s="4" t="b">
        <f>IFERROR(AND(_xlfn.XLOOKUP(_xlfn.TEXTJOIN(,,D561:O561),Aux!$B$3:$B$4098,'Truth Table'!$V$3:$V$4098)=1,ABS(P560)&lt;='Line Follower'!$C$6),FALSE)</f>
        <v>0</v>
      </c>
      <c r="Y561" s="4" t="b">
        <f t="shared" si="8"/>
        <v>1</v>
      </c>
    </row>
    <row r="562" spans="2:25" x14ac:dyDescent="0.25">
      <c r="B562" s="4">
        <v>559</v>
      </c>
      <c r="C562" s="4">
        <v>4618</v>
      </c>
      <c r="D562" s="4">
        <v>0</v>
      </c>
      <c r="E562" s="4">
        <v>0</v>
      </c>
      <c r="F562" s="4">
        <v>0</v>
      </c>
      <c r="G562" s="4">
        <v>0</v>
      </c>
      <c r="H562" s="4">
        <v>0</v>
      </c>
      <c r="I562" s="4">
        <v>1</v>
      </c>
      <c r="J562" s="4">
        <v>1</v>
      </c>
      <c r="K562" s="4">
        <v>0</v>
      </c>
      <c r="L562" s="4">
        <v>0</v>
      </c>
      <c r="M562" s="4">
        <v>0</v>
      </c>
      <c r="N562" s="4">
        <v>0</v>
      </c>
      <c r="O562" s="4">
        <v>1</v>
      </c>
      <c r="P562" s="51">
        <f>IFERROR(_xlfn.XLOOKUP(_xlfn.TEXTJOIN(,,D561:O561),Aux!$B$3:$B$4098,'Truth Table'!$N$3:$N$4098),P561)</f>
        <v>1</v>
      </c>
      <c r="Q562" s="4" t="b" cm="1">
        <f t="array" ref="Q562:U562">IFERROR(_xlfn.XLOOKUP(_xlfn.TEXTJOIN(,,D562:O562),Aux!$B$3:$B$4098,'Truth Table'!$O$3:$S$4098)=1,FALSE)</f>
        <v>1</v>
      </c>
      <c r="R562" s="4" t="b">
        <v>0</v>
      </c>
      <c r="S562" s="4" t="b">
        <v>0</v>
      </c>
      <c r="T562" s="4" t="b">
        <v>0</v>
      </c>
      <c r="U562" s="4" t="b">
        <v>0</v>
      </c>
      <c r="V562" s="4" t="b">
        <f>AND(_xlfn.XLOOKUP(_xlfn.TEXTJOIN(,,D562:O562),Aux!$B$3:$B$4098,'Truth Table'!$T$3:$T$4098)=1,P561&lt;='Line Follower'!$C$7)</f>
        <v>0</v>
      </c>
      <c r="W562" s="4" t="b">
        <f>AND(_xlfn.XLOOKUP(_xlfn.TEXTJOIN(,,D562:O562),Aux!$B$3:$B$4098,'Truth Table'!$U$3:$U$4098)=1,P561&gt;='Line Follower'!$C$6)</f>
        <v>0</v>
      </c>
      <c r="X562" s="4" t="b">
        <f>IFERROR(AND(_xlfn.XLOOKUP(_xlfn.TEXTJOIN(,,D562:O562),Aux!$B$3:$B$4098,'Truth Table'!$V$3:$V$4098)=1,ABS(P561)&lt;='Line Follower'!$C$6),FALSE)</f>
        <v>0</v>
      </c>
      <c r="Y562" s="4" t="b">
        <f t="shared" si="8"/>
        <v>1</v>
      </c>
    </row>
    <row r="563" spans="2:25" x14ac:dyDescent="0.25">
      <c r="B563" s="4">
        <v>560</v>
      </c>
      <c r="C563" s="4">
        <v>4629</v>
      </c>
      <c r="D563" s="4">
        <v>0</v>
      </c>
      <c r="E563" s="4">
        <v>0</v>
      </c>
      <c r="F563" s="4">
        <v>0</v>
      </c>
      <c r="G563" s="4">
        <v>0</v>
      </c>
      <c r="H563" s="4">
        <v>0</v>
      </c>
      <c r="I563" s="4">
        <v>1</v>
      </c>
      <c r="J563" s="4">
        <v>1</v>
      </c>
      <c r="K563" s="4">
        <v>0</v>
      </c>
      <c r="L563" s="4">
        <v>0</v>
      </c>
      <c r="M563" s="4">
        <v>0</v>
      </c>
      <c r="N563" s="4">
        <v>0</v>
      </c>
      <c r="O563" s="4">
        <v>1</v>
      </c>
      <c r="P563" s="51">
        <f>IFERROR(_xlfn.XLOOKUP(_xlfn.TEXTJOIN(,,D562:O562),Aux!$B$3:$B$4098,'Truth Table'!$N$3:$N$4098),P562)</f>
        <v>1</v>
      </c>
      <c r="Q563" s="4" t="b" cm="1">
        <f t="array" ref="Q563:U563">IFERROR(_xlfn.XLOOKUP(_xlfn.TEXTJOIN(,,D563:O563),Aux!$B$3:$B$4098,'Truth Table'!$O$3:$S$4098)=1,FALSE)</f>
        <v>1</v>
      </c>
      <c r="R563" s="4" t="b">
        <v>0</v>
      </c>
      <c r="S563" s="4" t="b">
        <v>0</v>
      </c>
      <c r="T563" s="4" t="b">
        <v>0</v>
      </c>
      <c r="U563" s="4" t="b">
        <v>0</v>
      </c>
      <c r="V563" s="4" t="b">
        <f>AND(_xlfn.XLOOKUP(_xlfn.TEXTJOIN(,,D563:O563),Aux!$B$3:$B$4098,'Truth Table'!$T$3:$T$4098)=1,P562&lt;='Line Follower'!$C$7)</f>
        <v>0</v>
      </c>
      <c r="W563" s="4" t="b">
        <f>AND(_xlfn.XLOOKUP(_xlfn.TEXTJOIN(,,D563:O563),Aux!$B$3:$B$4098,'Truth Table'!$U$3:$U$4098)=1,P562&gt;='Line Follower'!$C$6)</f>
        <v>0</v>
      </c>
      <c r="X563" s="4" t="b">
        <f>IFERROR(AND(_xlfn.XLOOKUP(_xlfn.TEXTJOIN(,,D563:O563),Aux!$B$3:$B$4098,'Truth Table'!$V$3:$V$4098)=1,ABS(P562)&lt;='Line Follower'!$C$6),FALSE)</f>
        <v>0</v>
      </c>
      <c r="Y563" s="4" t="b">
        <f t="shared" si="8"/>
        <v>1</v>
      </c>
    </row>
    <row r="564" spans="2:25" x14ac:dyDescent="0.25">
      <c r="B564" s="4">
        <v>561</v>
      </c>
      <c r="C564" s="4">
        <v>4643</v>
      </c>
      <c r="D564" s="4">
        <v>0</v>
      </c>
      <c r="E564" s="4">
        <v>0</v>
      </c>
      <c r="F564" s="4">
        <v>0</v>
      </c>
      <c r="G564" s="4">
        <v>0</v>
      </c>
      <c r="H564" s="4">
        <v>0</v>
      </c>
      <c r="I564" s="4">
        <v>1</v>
      </c>
      <c r="J564" s="4">
        <v>1</v>
      </c>
      <c r="K564" s="4">
        <v>0</v>
      </c>
      <c r="L564" s="4">
        <v>0</v>
      </c>
      <c r="M564" s="4">
        <v>0</v>
      </c>
      <c r="N564" s="4">
        <v>0</v>
      </c>
      <c r="O564" s="4">
        <v>1</v>
      </c>
      <c r="P564" s="51">
        <f>IFERROR(_xlfn.XLOOKUP(_xlfn.TEXTJOIN(,,D563:O563),Aux!$B$3:$B$4098,'Truth Table'!$N$3:$N$4098),P563)</f>
        <v>1</v>
      </c>
      <c r="Q564" s="4" t="b" cm="1">
        <f t="array" ref="Q564:U564">IFERROR(_xlfn.XLOOKUP(_xlfn.TEXTJOIN(,,D564:O564),Aux!$B$3:$B$4098,'Truth Table'!$O$3:$S$4098)=1,FALSE)</f>
        <v>1</v>
      </c>
      <c r="R564" s="4" t="b">
        <v>0</v>
      </c>
      <c r="S564" s="4" t="b">
        <v>0</v>
      </c>
      <c r="T564" s="4" t="b">
        <v>0</v>
      </c>
      <c r="U564" s="4" t="b">
        <v>0</v>
      </c>
      <c r="V564" s="4" t="b">
        <f>AND(_xlfn.XLOOKUP(_xlfn.TEXTJOIN(,,D564:O564),Aux!$B$3:$B$4098,'Truth Table'!$T$3:$T$4098)=1,P563&lt;='Line Follower'!$C$7)</f>
        <v>0</v>
      </c>
      <c r="W564" s="4" t="b">
        <f>AND(_xlfn.XLOOKUP(_xlfn.TEXTJOIN(,,D564:O564),Aux!$B$3:$B$4098,'Truth Table'!$U$3:$U$4098)=1,P563&gt;='Line Follower'!$C$6)</f>
        <v>0</v>
      </c>
      <c r="X564" s="4" t="b">
        <f>IFERROR(AND(_xlfn.XLOOKUP(_xlfn.TEXTJOIN(,,D564:O564),Aux!$B$3:$B$4098,'Truth Table'!$V$3:$V$4098)=1,ABS(P563)&lt;='Line Follower'!$C$6),FALSE)</f>
        <v>0</v>
      </c>
      <c r="Y564" s="4" t="b">
        <f t="shared" si="8"/>
        <v>1</v>
      </c>
    </row>
    <row r="565" spans="2:25" x14ac:dyDescent="0.25">
      <c r="B565" s="4">
        <v>562</v>
      </c>
      <c r="C565" s="4">
        <v>4649</v>
      </c>
      <c r="D565" s="4">
        <v>0</v>
      </c>
      <c r="E565" s="4">
        <v>0</v>
      </c>
      <c r="F565" s="4">
        <v>0</v>
      </c>
      <c r="G565" s="4">
        <v>0</v>
      </c>
      <c r="H565" s="4">
        <v>0</v>
      </c>
      <c r="I565" s="4">
        <v>1</v>
      </c>
      <c r="J565" s="4">
        <v>1</v>
      </c>
      <c r="K565" s="4">
        <v>0</v>
      </c>
      <c r="L565" s="4">
        <v>0</v>
      </c>
      <c r="M565" s="4">
        <v>0</v>
      </c>
      <c r="N565" s="4">
        <v>0</v>
      </c>
      <c r="O565" s="4">
        <v>1</v>
      </c>
      <c r="P565" s="51">
        <f>IFERROR(_xlfn.XLOOKUP(_xlfn.TEXTJOIN(,,D564:O564),Aux!$B$3:$B$4098,'Truth Table'!$N$3:$N$4098),P564)</f>
        <v>1</v>
      </c>
      <c r="Q565" s="4" t="b" cm="1">
        <f t="array" ref="Q565:U565">IFERROR(_xlfn.XLOOKUP(_xlfn.TEXTJOIN(,,D565:O565),Aux!$B$3:$B$4098,'Truth Table'!$O$3:$S$4098)=1,FALSE)</f>
        <v>1</v>
      </c>
      <c r="R565" s="4" t="b">
        <v>0</v>
      </c>
      <c r="S565" s="4" t="b">
        <v>0</v>
      </c>
      <c r="T565" s="4" t="b">
        <v>0</v>
      </c>
      <c r="U565" s="4" t="b">
        <v>0</v>
      </c>
      <c r="V565" s="4" t="b">
        <f>AND(_xlfn.XLOOKUP(_xlfn.TEXTJOIN(,,D565:O565),Aux!$B$3:$B$4098,'Truth Table'!$T$3:$T$4098)=1,P564&lt;='Line Follower'!$C$7)</f>
        <v>0</v>
      </c>
      <c r="W565" s="4" t="b">
        <f>AND(_xlfn.XLOOKUP(_xlfn.TEXTJOIN(,,D565:O565),Aux!$B$3:$B$4098,'Truth Table'!$U$3:$U$4098)=1,P564&gt;='Line Follower'!$C$6)</f>
        <v>0</v>
      </c>
      <c r="X565" s="4" t="b">
        <f>IFERROR(AND(_xlfn.XLOOKUP(_xlfn.TEXTJOIN(,,D565:O565),Aux!$B$3:$B$4098,'Truth Table'!$V$3:$V$4098)=1,ABS(P564)&lt;='Line Follower'!$C$6),FALSE)</f>
        <v>0</v>
      </c>
      <c r="Y565" s="4" t="b">
        <f t="shared" si="8"/>
        <v>1</v>
      </c>
    </row>
    <row r="566" spans="2:25" x14ac:dyDescent="0.25">
      <c r="B566" s="4">
        <v>563</v>
      </c>
      <c r="C566" s="4">
        <v>4650</v>
      </c>
      <c r="D566" s="4">
        <v>0</v>
      </c>
      <c r="E566" s="4">
        <v>0</v>
      </c>
      <c r="F566" s="4">
        <v>0</v>
      </c>
      <c r="G566" s="4">
        <v>0</v>
      </c>
      <c r="H566" s="4">
        <v>0</v>
      </c>
      <c r="I566" s="4">
        <v>1</v>
      </c>
      <c r="J566" s="4">
        <v>1</v>
      </c>
      <c r="K566" s="4">
        <v>0</v>
      </c>
      <c r="L566" s="4">
        <v>0</v>
      </c>
      <c r="M566" s="4">
        <v>0</v>
      </c>
      <c r="N566" s="4">
        <v>0</v>
      </c>
      <c r="O566" s="4">
        <v>1</v>
      </c>
      <c r="P566" s="51">
        <f>IFERROR(_xlfn.XLOOKUP(_xlfn.TEXTJOIN(,,D565:O565),Aux!$B$3:$B$4098,'Truth Table'!$N$3:$N$4098),P565)</f>
        <v>1</v>
      </c>
      <c r="Q566" s="4" t="b" cm="1">
        <f t="array" ref="Q566:U566">IFERROR(_xlfn.XLOOKUP(_xlfn.TEXTJOIN(,,D566:O566),Aux!$B$3:$B$4098,'Truth Table'!$O$3:$S$4098)=1,FALSE)</f>
        <v>1</v>
      </c>
      <c r="R566" s="4" t="b">
        <v>0</v>
      </c>
      <c r="S566" s="4" t="b">
        <v>0</v>
      </c>
      <c r="T566" s="4" t="b">
        <v>0</v>
      </c>
      <c r="U566" s="4" t="b">
        <v>0</v>
      </c>
      <c r="V566" s="4" t="b">
        <f>AND(_xlfn.XLOOKUP(_xlfn.TEXTJOIN(,,D566:O566),Aux!$B$3:$B$4098,'Truth Table'!$T$3:$T$4098)=1,P565&lt;='Line Follower'!$C$7)</f>
        <v>0</v>
      </c>
      <c r="W566" s="4" t="b">
        <f>AND(_xlfn.XLOOKUP(_xlfn.TEXTJOIN(,,D566:O566),Aux!$B$3:$B$4098,'Truth Table'!$U$3:$U$4098)=1,P565&gt;='Line Follower'!$C$6)</f>
        <v>0</v>
      </c>
      <c r="X566" s="4" t="b">
        <f>IFERROR(AND(_xlfn.XLOOKUP(_xlfn.TEXTJOIN(,,D566:O566),Aux!$B$3:$B$4098,'Truth Table'!$V$3:$V$4098)=1,ABS(P565)&lt;='Line Follower'!$C$6),FALSE)</f>
        <v>0</v>
      </c>
      <c r="Y566" s="4" t="b">
        <f t="shared" si="8"/>
        <v>1</v>
      </c>
    </row>
    <row r="567" spans="2:25" x14ac:dyDescent="0.25">
      <c r="B567" s="4">
        <v>564</v>
      </c>
      <c r="C567" s="4">
        <v>4683</v>
      </c>
      <c r="D567" s="4">
        <v>0</v>
      </c>
      <c r="E567" s="4">
        <v>0</v>
      </c>
      <c r="F567" s="4">
        <v>0</v>
      </c>
      <c r="G567" s="4">
        <v>0</v>
      </c>
      <c r="H567" s="4">
        <v>0</v>
      </c>
      <c r="I567" s="4">
        <v>1</v>
      </c>
      <c r="J567" s="4">
        <v>1</v>
      </c>
      <c r="K567" s="4">
        <v>0</v>
      </c>
      <c r="L567" s="4">
        <v>0</v>
      </c>
      <c r="M567" s="4">
        <v>0</v>
      </c>
      <c r="N567" s="4">
        <v>0</v>
      </c>
      <c r="O567" s="4">
        <v>1</v>
      </c>
      <c r="P567" s="51">
        <f>IFERROR(_xlfn.XLOOKUP(_xlfn.TEXTJOIN(,,D566:O566),Aux!$B$3:$B$4098,'Truth Table'!$N$3:$N$4098),P566)</f>
        <v>1</v>
      </c>
      <c r="Q567" s="4" t="b" cm="1">
        <f t="array" ref="Q567:U567">IFERROR(_xlfn.XLOOKUP(_xlfn.TEXTJOIN(,,D567:O567),Aux!$B$3:$B$4098,'Truth Table'!$O$3:$S$4098)=1,FALSE)</f>
        <v>1</v>
      </c>
      <c r="R567" s="4" t="b">
        <v>0</v>
      </c>
      <c r="S567" s="4" t="b">
        <v>0</v>
      </c>
      <c r="T567" s="4" t="b">
        <v>0</v>
      </c>
      <c r="U567" s="4" t="b">
        <v>0</v>
      </c>
      <c r="V567" s="4" t="b">
        <f>AND(_xlfn.XLOOKUP(_xlfn.TEXTJOIN(,,D567:O567),Aux!$B$3:$B$4098,'Truth Table'!$T$3:$T$4098)=1,P566&lt;='Line Follower'!$C$7)</f>
        <v>0</v>
      </c>
      <c r="W567" s="4" t="b">
        <f>AND(_xlfn.XLOOKUP(_xlfn.TEXTJOIN(,,D567:O567),Aux!$B$3:$B$4098,'Truth Table'!$U$3:$U$4098)=1,P566&gt;='Line Follower'!$C$6)</f>
        <v>0</v>
      </c>
      <c r="X567" s="4" t="b">
        <f>IFERROR(AND(_xlfn.XLOOKUP(_xlfn.TEXTJOIN(,,D567:O567),Aux!$B$3:$B$4098,'Truth Table'!$V$3:$V$4098)=1,ABS(P566)&lt;='Line Follower'!$C$6),FALSE)</f>
        <v>0</v>
      </c>
      <c r="Y567" s="4" t="b">
        <f t="shared" si="8"/>
        <v>1</v>
      </c>
    </row>
    <row r="568" spans="2:25" x14ac:dyDescent="0.25">
      <c r="B568" s="4">
        <v>565</v>
      </c>
      <c r="C568" s="4">
        <v>4684</v>
      </c>
      <c r="D568" s="4">
        <v>0</v>
      </c>
      <c r="E568" s="4">
        <v>0</v>
      </c>
      <c r="F568" s="4">
        <v>0</v>
      </c>
      <c r="G568" s="4">
        <v>0</v>
      </c>
      <c r="H568" s="4">
        <v>0</v>
      </c>
      <c r="I568" s="4">
        <v>1</v>
      </c>
      <c r="J568" s="4">
        <v>1</v>
      </c>
      <c r="K568" s="4">
        <v>0</v>
      </c>
      <c r="L568" s="4">
        <v>0</v>
      </c>
      <c r="M568" s="4">
        <v>0</v>
      </c>
      <c r="N568" s="4">
        <v>0</v>
      </c>
      <c r="O568" s="4">
        <v>1</v>
      </c>
      <c r="P568" s="51">
        <f>IFERROR(_xlfn.XLOOKUP(_xlfn.TEXTJOIN(,,D567:O567),Aux!$B$3:$B$4098,'Truth Table'!$N$3:$N$4098),P567)</f>
        <v>1</v>
      </c>
      <c r="Q568" s="4" t="b" cm="1">
        <f t="array" ref="Q568:U568">IFERROR(_xlfn.XLOOKUP(_xlfn.TEXTJOIN(,,D568:O568),Aux!$B$3:$B$4098,'Truth Table'!$O$3:$S$4098)=1,FALSE)</f>
        <v>1</v>
      </c>
      <c r="R568" s="4" t="b">
        <v>0</v>
      </c>
      <c r="S568" s="4" t="b">
        <v>0</v>
      </c>
      <c r="T568" s="4" t="b">
        <v>0</v>
      </c>
      <c r="U568" s="4" t="b">
        <v>0</v>
      </c>
      <c r="V568" s="4" t="b">
        <f>AND(_xlfn.XLOOKUP(_xlfn.TEXTJOIN(,,D568:O568),Aux!$B$3:$B$4098,'Truth Table'!$T$3:$T$4098)=1,P567&lt;='Line Follower'!$C$7)</f>
        <v>0</v>
      </c>
      <c r="W568" s="4" t="b">
        <f>AND(_xlfn.XLOOKUP(_xlfn.TEXTJOIN(,,D568:O568),Aux!$B$3:$B$4098,'Truth Table'!$U$3:$U$4098)=1,P567&gt;='Line Follower'!$C$6)</f>
        <v>0</v>
      </c>
      <c r="X568" s="4" t="b">
        <f>IFERROR(AND(_xlfn.XLOOKUP(_xlfn.TEXTJOIN(,,D568:O568),Aux!$B$3:$B$4098,'Truth Table'!$V$3:$V$4098)=1,ABS(P567)&lt;='Line Follower'!$C$6),FALSE)</f>
        <v>0</v>
      </c>
      <c r="Y568" s="4" t="b">
        <f t="shared" si="8"/>
        <v>1</v>
      </c>
    </row>
    <row r="569" spans="2:25" x14ac:dyDescent="0.25">
      <c r="B569" s="4">
        <v>566</v>
      </c>
      <c r="C569" s="4">
        <v>4685</v>
      </c>
      <c r="D569" s="4">
        <v>0</v>
      </c>
      <c r="E569" s="4">
        <v>0</v>
      </c>
      <c r="F569" s="4">
        <v>0</v>
      </c>
      <c r="G569" s="4">
        <v>0</v>
      </c>
      <c r="H569" s="4">
        <v>0</v>
      </c>
      <c r="I569" s="4">
        <v>1</v>
      </c>
      <c r="J569" s="4">
        <v>1</v>
      </c>
      <c r="K569" s="4">
        <v>0</v>
      </c>
      <c r="L569" s="4">
        <v>0</v>
      </c>
      <c r="M569" s="4">
        <v>0</v>
      </c>
      <c r="N569" s="4">
        <v>0</v>
      </c>
      <c r="O569" s="4">
        <v>1</v>
      </c>
      <c r="P569" s="51">
        <f>IFERROR(_xlfn.XLOOKUP(_xlfn.TEXTJOIN(,,D568:O568),Aux!$B$3:$B$4098,'Truth Table'!$N$3:$N$4098),P568)</f>
        <v>1</v>
      </c>
      <c r="Q569" s="4" t="b" cm="1">
        <f t="array" ref="Q569:U569">IFERROR(_xlfn.XLOOKUP(_xlfn.TEXTJOIN(,,D569:O569),Aux!$B$3:$B$4098,'Truth Table'!$O$3:$S$4098)=1,FALSE)</f>
        <v>1</v>
      </c>
      <c r="R569" s="4" t="b">
        <v>0</v>
      </c>
      <c r="S569" s="4" t="b">
        <v>0</v>
      </c>
      <c r="T569" s="4" t="b">
        <v>0</v>
      </c>
      <c r="U569" s="4" t="b">
        <v>0</v>
      </c>
      <c r="V569" s="4" t="b">
        <f>AND(_xlfn.XLOOKUP(_xlfn.TEXTJOIN(,,D569:O569),Aux!$B$3:$B$4098,'Truth Table'!$T$3:$T$4098)=1,P568&lt;='Line Follower'!$C$7)</f>
        <v>0</v>
      </c>
      <c r="W569" s="4" t="b">
        <f>AND(_xlfn.XLOOKUP(_xlfn.TEXTJOIN(,,D569:O569),Aux!$B$3:$B$4098,'Truth Table'!$U$3:$U$4098)=1,P568&gt;='Line Follower'!$C$6)</f>
        <v>0</v>
      </c>
      <c r="X569" s="4" t="b">
        <f>IFERROR(AND(_xlfn.XLOOKUP(_xlfn.TEXTJOIN(,,D569:O569),Aux!$B$3:$B$4098,'Truth Table'!$V$3:$V$4098)=1,ABS(P568)&lt;='Line Follower'!$C$6),FALSE)</f>
        <v>0</v>
      </c>
      <c r="Y569" s="4" t="b">
        <f t="shared" si="8"/>
        <v>1</v>
      </c>
    </row>
    <row r="570" spans="2:25" x14ac:dyDescent="0.25">
      <c r="B570" s="4">
        <v>567</v>
      </c>
      <c r="C570" s="4">
        <v>4702</v>
      </c>
      <c r="D570" s="4">
        <v>0</v>
      </c>
      <c r="E570" s="4">
        <v>0</v>
      </c>
      <c r="F570" s="4">
        <v>0</v>
      </c>
      <c r="G570" s="4">
        <v>0</v>
      </c>
      <c r="H570" s="4">
        <v>0</v>
      </c>
      <c r="I570" s="4">
        <v>1</v>
      </c>
      <c r="J570" s="4">
        <v>1</v>
      </c>
      <c r="K570" s="4">
        <v>0</v>
      </c>
      <c r="L570" s="4">
        <v>0</v>
      </c>
      <c r="M570" s="4">
        <v>0</v>
      </c>
      <c r="N570" s="4">
        <v>0</v>
      </c>
      <c r="O570" s="4">
        <v>1</v>
      </c>
      <c r="P570" s="51">
        <f>IFERROR(_xlfn.XLOOKUP(_xlfn.TEXTJOIN(,,D569:O569),Aux!$B$3:$B$4098,'Truth Table'!$N$3:$N$4098),P569)</f>
        <v>1</v>
      </c>
      <c r="Q570" s="4" t="b" cm="1">
        <f t="array" ref="Q570:U570">IFERROR(_xlfn.XLOOKUP(_xlfn.TEXTJOIN(,,D570:O570),Aux!$B$3:$B$4098,'Truth Table'!$O$3:$S$4098)=1,FALSE)</f>
        <v>1</v>
      </c>
      <c r="R570" s="4" t="b">
        <v>0</v>
      </c>
      <c r="S570" s="4" t="b">
        <v>0</v>
      </c>
      <c r="T570" s="4" t="b">
        <v>0</v>
      </c>
      <c r="U570" s="4" t="b">
        <v>0</v>
      </c>
      <c r="V570" s="4" t="b">
        <f>AND(_xlfn.XLOOKUP(_xlfn.TEXTJOIN(,,D570:O570),Aux!$B$3:$B$4098,'Truth Table'!$T$3:$T$4098)=1,P569&lt;='Line Follower'!$C$7)</f>
        <v>0</v>
      </c>
      <c r="W570" s="4" t="b">
        <f>AND(_xlfn.XLOOKUP(_xlfn.TEXTJOIN(,,D570:O570),Aux!$B$3:$B$4098,'Truth Table'!$U$3:$U$4098)=1,P569&gt;='Line Follower'!$C$6)</f>
        <v>0</v>
      </c>
      <c r="X570" s="4" t="b">
        <f>IFERROR(AND(_xlfn.XLOOKUP(_xlfn.TEXTJOIN(,,D570:O570),Aux!$B$3:$B$4098,'Truth Table'!$V$3:$V$4098)=1,ABS(P569)&lt;='Line Follower'!$C$6),FALSE)</f>
        <v>0</v>
      </c>
      <c r="Y570" s="4" t="b">
        <f t="shared" si="8"/>
        <v>1</v>
      </c>
    </row>
    <row r="571" spans="2:25" x14ac:dyDescent="0.25">
      <c r="B571" s="4">
        <v>568</v>
      </c>
      <c r="C571" s="4">
        <v>4703</v>
      </c>
      <c r="D571" s="4">
        <v>0</v>
      </c>
      <c r="E571" s="4">
        <v>0</v>
      </c>
      <c r="F571" s="4">
        <v>0</v>
      </c>
      <c r="G571" s="4">
        <v>0</v>
      </c>
      <c r="H571" s="4">
        <v>0</v>
      </c>
      <c r="I571" s="4">
        <v>1</v>
      </c>
      <c r="J571" s="4">
        <v>1</v>
      </c>
      <c r="K571" s="4">
        <v>1</v>
      </c>
      <c r="L571" s="4">
        <v>0</v>
      </c>
      <c r="M571" s="4">
        <v>0</v>
      </c>
      <c r="N571" s="4">
        <v>0</v>
      </c>
      <c r="O571" s="4">
        <v>1</v>
      </c>
      <c r="P571" s="51">
        <f>IFERROR(_xlfn.XLOOKUP(_xlfn.TEXTJOIN(,,D570:O570),Aux!$B$3:$B$4098,'Truth Table'!$N$3:$N$4098),P570)</f>
        <v>1</v>
      </c>
      <c r="Q571" s="4" t="b" cm="1">
        <f t="array" ref="Q571:U571">IFERROR(_xlfn.XLOOKUP(_xlfn.TEXTJOIN(,,D571:O571),Aux!$B$3:$B$4098,'Truth Table'!$O$3:$S$4098)=1,FALSE)</f>
        <v>1</v>
      </c>
      <c r="R571" s="4" t="b">
        <v>0</v>
      </c>
      <c r="S571" s="4" t="b">
        <v>0</v>
      </c>
      <c r="T571" s="4" t="b">
        <v>0</v>
      </c>
      <c r="U571" s="4" t="b">
        <v>0</v>
      </c>
      <c r="V571" s="4" t="b">
        <f>AND(_xlfn.XLOOKUP(_xlfn.TEXTJOIN(,,D571:O571),Aux!$B$3:$B$4098,'Truth Table'!$T$3:$T$4098)=1,P570&lt;='Line Follower'!$C$7)</f>
        <v>0</v>
      </c>
      <c r="W571" s="4" t="b">
        <f>AND(_xlfn.XLOOKUP(_xlfn.TEXTJOIN(,,D571:O571),Aux!$B$3:$B$4098,'Truth Table'!$U$3:$U$4098)=1,P570&gt;='Line Follower'!$C$6)</f>
        <v>0</v>
      </c>
      <c r="X571" s="4" t="b">
        <f>IFERROR(AND(_xlfn.XLOOKUP(_xlfn.TEXTJOIN(,,D571:O571),Aux!$B$3:$B$4098,'Truth Table'!$V$3:$V$4098)=1,ABS(P570)&lt;='Line Follower'!$C$6),FALSE)</f>
        <v>0</v>
      </c>
      <c r="Y571" s="4" t="b">
        <f t="shared" si="8"/>
        <v>1</v>
      </c>
    </row>
    <row r="572" spans="2:25" x14ac:dyDescent="0.25">
      <c r="B572" s="4">
        <v>569</v>
      </c>
      <c r="C572" s="4">
        <v>4712</v>
      </c>
      <c r="D572" s="4">
        <v>0</v>
      </c>
      <c r="E572" s="4">
        <v>0</v>
      </c>
      <c r="F572" s="4">
        <v>0</v>
      </c>
      <c r="G572" s="4">
        <v>0</v>
      </c>
      <c r="H572" s="4">
        <v>0</v>
      </c>
      <c r="I572" s="4">
        <v>0</v>
      </c>
      <c r="J572" s="4">
        <v>1</v>
      </c>
      <c r="K572" s="4">
        <v>1</v>
      </c>
      <c r="L572" s="4">
        <v>0</v>
      </c>
      <c r="M572" s="4">
        <v>0</v>
      </c>
      <c r="N572" s="4">
        <v>0</v>
      </c>
      <c r="O572" s="4">
        <v>1</v>
      </c>
      <c r="P572" s="51">
        <f>IFERROR(_xlfn.XLOOKUP(_xlfn.TEXTJOIN(,,D571:O571),Aux!$B$3:$B$4098,'Truth Table'!$N$3:$N$4098),P571)</f>
        <v>2</v>
      </c>
      <c r="Q572" s="4" t="b" cm="1">
        <f t="array" ref="Q572:U572">IFERROR(_xlfn.XLOOKUP(_xlfn.TEXTJOIN(,,D572:O572),Aux!$B$3:$B$4098,'Truth Table'!$O$3:$S$4098)=1,FALSE)</f>
        <v>1</v>
      </c>
      <c r="R572" s="4" t="b">
        <v>0</v>
      </c>
      <c r="S572" s="4" t="b">
        <v>0</v>
      </c>
      <c r="T572" s="4" t="b">
        <v>0</v>
      </c>
      <c r="U572" s="4" t="b">
        <v>0</v>
      </c>
      <c r="V572" s="4" t="b">
        <f>AND(_xlfn.XLOOKUP(_xlfn.TEXTJOIN(,,D572:O572),Aux!$B$3:$B$4098,'Truth Table'!$T$3:$T$4098)=1,P571&lt;='Line Follower'!$C$7)</f>
        <v>0</v>
      </c>
      <c r="W572" s="4" t="b">
        <f>AND(_xlfn.XLOOKUP(_xlfn.TEXTJOIN(,,D572:O572),Aux!$B$3:$B$4098,'Truth Table'!$U$3:$U$4098)=1,P571&gt;='Line Follower'!$C$6)</f>
        <v>0</v>
      </c>
      <c r="X572" s="4" t="b">
        <f>IFERROR(AND(_xlfn.XLOOKUP(_xlfn.TEXTJOIN(,,D572:O572),Aux!$B$3:$B$4098,'Truth Table'!$V$3:$V$4098)=1,ABS(P571)&lt;='Line Follower'!$C$6),FALSE)</f>
        <v>0</v>
      </c>
      <c r="Y572" s="4" t="b">
        <f t="shared" si="8"/>
        <v>1</v>
      </c>
    </row>
    <row r="573" spans="2:25" x14ac:dyDescent="0.25">
      <c r="B573" s="4">
        <v>570</v>
      </c>
      <c r="C573" s="4">
        <v>4728</v>
      </c>
      <c r="D573" s="4">
        <v>0</v>
      </c>
      <c r="E573" s="4">
        <v>0</v>
      </c>
      <c r="F573" s="4">
        <v>0</v>
      </c>
      <c r="G573" s="4">
        <v>0</v>
      </c>
      <c r="H573" s="4">
        <v>0</v>
      </c>
      <c r="I573" s="4">
        <v>0</v>
      </c>
      <c r="J573" s="4">
        <v>1</v>
      </c>
      <c r="K573" s="4">
        <v>1</v>
      </c>
      <c r="L573" s="4">
        <v>0</v>
      </c>
      <c r="M573" s="4">
        <v>0</v>
      </c>
      <c r="N573" s="4">
        <v>0</v>
      </c>
      <c r="O573" s="4">
        <v>1</v>
      </c>
      <c r="P573" s="51">
        <f>IFERROR(_xlfn.XLOOKUP(_xlfn.TEXTJOIN(,,D572:O572),Aux!$B$3:$B$4098,'Truth Table'!$N$3:$N$4098),P572)</f>
        <v>2</v>
      </c>
      <c r="Q573" s="4" t="b" cm="1">
        <f t="array" ref="Q573:U573">IFERROR(_xlfn.XLOOKUP(_xlfn.TEXTJOIN(,,D573:O573),Aux!$B$3:$B$4098,'Truth Table'!$O$3:$S$4098)=1,FALSE)</f>
        <v>1</v>
      </c>
      <c r="R573" s="4" t="b">
        <v>0</v>
      </c>
      <c r="S573" s="4" t="b">
        <v>0</v>
      </c>
      <c r="T573" s="4" t="b">
        <v>0</v>
      </c>
      <c r="U573" s="4" t="b">
        <v>0</v>
      </c>
      <c r="V573" s="4" t="b">
        <f>AND(_xlfn.XLOOKUP(_xlfn.TEXTJOIN(,,D573:O573),Aux!$B$3:$B$4098,'Truth Table'!$T$3:$T$4098)=1,P572&lt;='Line Follower'!$C$7)</f>
        <v>0</v>
      </c>
      <c r="W573" s="4" t="b">
        <f>AND(_xlfn.XLOOKUP(_xlfn.TEXTJOIN(,,D573:O573),Aux!$B$3:$B$4098,'Truth Table'!$U$3:$U$4098)=1,P572&gt;='Line Follower'!$C$6)</f>
        <v>0</v>
      </c>
      <c r="X573" s="4" t="b">
        <f>IFERROR(AND(_xlfn.XLOOKUP(_xlfn.TEXTJOIN(,,D573:O573),Aux!$B$3:$B$4098,'Truth Table'!$V$3:$V$4098)=1,ABS(P572)&lt;='Line Follower'!$C$6),FALSE)</f>
        <v>0</v>
      </c>
      <c r="Y573" s="4" t="b">
        <f t="shared" si="8"/>
        <v>1</v>
      </c>
    </row>
    <row r="574" spans="2:25" x14ac:dyDescent="0.25">
      <c r="B574" s="4">
        <v>571</v>
      </c>
      <c r="C574" s="4">
        <v>4729</v>
      </c>
      <c r="D574" s="4">
        <v>0</v>
      </c>
      <c r="E574" s="4">
        <v>0</v>
      </c>
      <c r="F574" s="4">
        <v>0</v>
      </c>
      <c r="G574" s="4">
        <v>0</v>
      </c>
      <c r="H574" s="4">
        <v>0</v>
      </c>
      <c r="I574" s="4">
        <v>0</v>
      </c>
      <c r="J574" s="4">
        <v>1</v>
      </c>
      <c r="K574" s="4">
        <v>1</v>
      </c>
      <c r="L574" s="4">
        <v>0</v>
      </c>
      <c r="M574" s="4">
        <v>0</v>
      </c>
      <c r="N574" s="4">
        <v>0</v>
      </c>
      <c r="O574" s="4">
        <v>1</v>
      </c>
      <c r="P574" s="51">
        <f>IFERROR(_xlfn.XLOOKUP(_xlfn.TEXTJOIN(,,D573:O573),Aux!$B$3:$B$4098,'Truth Table'!$N$3:$N$4098),P573)</f>
        <v>2</v>
      </c>
      <c r="Q574" s="4" t="b" cm="1">
        <f t="array" ref="Q574:U574">IFERROR(_xlfn.XLOOKUP(_xlfn.TEXTJOIN(,,D574:O574),Aux!$B$3:$B$4098,'Truth Table'!$O$3:$S$4098)=1,FALSE)</f>
        <v>1</v>
      </c>
      <c r="R574" s="4" t="b">
        <v>0</v>
      </c>
      <c r="S574" s="4" t="b">
        <v>0</v>
      </c>
      <c r="T574" s="4" t="b">
        <v>0</v>
      </c>
      <c r="U574" s="4" t="b">
        <v>0</v>
      </c>
      <c r="V574" s="4" t="b">
        <f>AND(_xlfn.XLOOKUP(_xlfn.TEXTJOIN(,,D574:O574),Aux!$B$3:$B$4098,'Truth Table'!$T$3:$T$4098)=1,P573&lt;='Line Follower'!$C$7)</f>
        <v>0</v>
      </c>
      <c r="W574" s="4" t="b">
        <f>AND(_xlfn.XLOOKUP(_xlfn.TEXTJOIN(,,D574:O574),Aux!$B$3:$B$4098,'Truth Table'!$U$3:$U$4098)=1,P573&gt;='Line Follower'!$C$6)</f>
        <v>0</v>
      </c>
      <c r="X574" s="4" t="b">
        <f>IFERROR(AND(_xlfn.XLOOKUP(_xlfn.TEXTJOIN(,,D574:O574),Aux!$B$3:$B$4098,'Truth Table'!$V$3:$V$4098)=1,ABS(P573)&lt;='Line Follower'!$C$6),FALSE)</f>
        <v>0</v>
      </c>
      <c r="Y574" s="4" t="b">
        <f t="shared" si="8"/>
        <v>1</v>
      </c>
    </row>
    <row r="575" spans="2:25" x14ac:dyDescent="0.25">
      <c r="B575" s="4">
        <v>572</v>
      </c>
      <c r="C575" s="4">
        <v>4743</v>
      </c>
      <c r="D575" s="4">
        <v>0</v>
      </c>
      <c r="E575" s="4">
        <v>0</v>
      </c>
      <c r="F575" s="4">
        <v>0</v>
      </c>
      <c r="G575" s="4">
        <v>0</v>
      </c>
      <c r="H575" s="4">
        <v>0</v>
      </c>
      <c r="I575" s="4">
        <v>0</v>
      </c>
      <c r="J575" s="4">
        <v>1</v>
      </c>
      <c r="K575" s="4">
        <v>1</v>
      </c>
      <c r="L575" s="4">
        <v>0</v>
      </c>
      <c r="M575" s="4">
        <v>0</v>
      </c>
      <c r="N575" s="4">
        <v>0</v>
      </c>
      <c r="O575" s="4">
        <v>1</v>
      </c>
      <c r="P575" s="51">
        <f>IFERROR(_xlfn.XLOOKUP(_xlfn.TEXTJOIN(,,D574:O574),Aux!$B$3:$B$4098,'Truth Table'!$N$3:$N$4098),P574)</f>
        <v>2</v>
      </c>
      <c r="Q575" s="4" t="b" cm="1">
        <f t="array" ref="Q575:U575">IFERROR(_xlfn.XLOOKUP(_xlfn.TEXTJOIN(,,D575:O575),Aux!$B$3:$B$4098,'Truth Table'!$O$3:$S$4098)=1,FALSE)</f>
        <v>1</v>
      </c>
      <c r="R575" s="4" t="b">
        <v>0</v>
      </c>
      <c r="S575" s="4" t="b">
        <v>0</v>
      </c>
      <c r="T575" s="4" t="b">
        <v>0</v>
      </c>
      <c r="U575" s="4" t="b">
        <v>0</v>
      </c>
      <c r="V575" s="4" t="b">
        <f>AND(_xlfn.XLOOKUP(_xlfn.TEXTJOIN(,,D575:O575),Aux!$B$3:$B$4098,'Truth Table'!$T$3:$T$4098)=1,P574&lt;='Line Follower'!$C$7)</f>
        <v>0</v>
      </c>
      <c r="W575" s="4" t="b">
        <f>AND(_xlfn.XLOOKUP(_xlfn.TEXTJOIN(,,D575:O575),Aux!$B$3:$B$4098,'Truth Table'!$U$3:$U$4098)=1,P574&gt;='Line Follower'!$C$6)</f>
        <v>0</v>
      </c>
      <c r="X575" s="4" t="b">
        <f>IFERROR(AND(_xlfn.XLOOKUP(_xlfn.TEXTJOIN(,,D575:O575),Aux!$B$3:$B$4098,'Truth Table'!$V$3:$V$4098)=1,ABS(P574)&lt;='Line Follower'!$C$6),FALSE)</f>
        <v>0</v>
      </c>
      <c r="Y575" s="4" t="b">
        <f t="shared" si="8"/>
        <v>1</v>
      </c>
    </row>
    <row r="576" spans="2:25" x14ac:dyDescent="0.25">
      <c r="B576" s="4">
        <v>573</v>
      </c>
      <c r="C576" s="4">
        <v>4757</v>
      </c>
      <c r="D576" s="4">
        <v>0</v>
      </c>
      <c r="E576" s="4">
        <v>0</v>
      </c>
      <c r="F576" s="4">
        <v>0</v>
      </c>
      <c r="G576" s="4">
        <v>0</v>
      </c>
      <c r="H576" s="4">
        <v>0</v>
      </c>
      <c r="I576" s="4">
        <v>0</v>
      </c>
      <c r="J576" s="4">
        <v>1</v>
      </c>
      <c r="K576" s="4">
        <v>1</v>
      </c>
      <c r="L576" s="4">
        <v>0</v>
      </c>
      <c r="M576" s="4">
        <v>0</v>
      </c>
      <c r="N576" s="4">
        <v>0</v>
      </c>
      <c r="O576" s="4">
        <v>1</v>
      </c>
      <c r="P576" s="51">
        <f>IFERROR(_xlfn.XLOOKUP(_xlfn.TEXTJOIN(,,D575:O575),Aux!$B$3:$B$4098,'Truth Table'!$N$3:$N$4098),P575)</f>
        <v>2</v>
      </c>
      <c r="Q576" s="4" t="b" cm="1">
        <f t="array" ref="Q576:U576">IFERROR(_xlfn.XLOOKUP(_xlfn.TEXTJOIN(,,D576:O576),Aux!$B$3:$B$4098,'Truth Table'!$O$3:$S$4098)=1,FALSE)</f>
        <v>1</v>
      </c>
      <c r="R576" s="4" t="b">
        <v>0</v>
      </c>
      <c r="S576" s="4" t="b">
        <v>0</v>
      </c>
      <c r="T576" s="4" t="b">
        <v>0</v>
      </c>
      <c r="U576" s="4" t="b">
        <v>0</v>
      </c>
      <c r="V576" s="4" t="b">
        <f>AND(_xlfn.XLOOKUP(_xlfn.TEXTJOIN(,,D576:O576),Aux!$B$3:$B$4098,'Truth Table'!$T$3:$T$4098)=1,P575&lt;='Line Follower'!$C$7)</f>
        <v>0</v>
      </c>
      <c r="W576" s="4" t="b">
        <f>AND(_xlfn.XLOOKUP(_xlfn.TEXTJOIN(,,D576:O576),Aux!$B$3:$B$4098,'Truth Table'!$U$3:$U$4098)=1,P575&gt;='Line Follower'!$C$6)</f>
        <v>0</v>
      </c>
      <c r="X576" s="4" t="b">
        <f>IFERROR(AND(_xlfn.XLOOKUP(_xlfn.TEXTJOIN(,,D576:O576),Aux!$B$3:$B$4098,'Truth Table'!$V$3:$V$4098)=1,ABS(P575)&lt;='Line Follower'!$C$6),FALSE)</f>
        <v>0</v>
      </c>
      <c r="Y576" s="4" t="b">
        <f t="shared" si="8"/>
        <v>1</v>
      </c>
    </row>
    <row r="577" spans="2:25" x14ac:dyDescent="0.25">
      <c r="B577" s="4">
        <v>574</v>
      </c>
      <c r="C577" s="4">
        <v>4782</v>
      </c>
      <c r="D577" s="4">
        <v>0</v>
      </c>
      <c r="E577" s="4">
        <v>0</v>
      </c>
      <c r="F577" s="4">
        <v>0</v>
      </c>
      <c r="G577" s="4">
        <v>0</v>
      </c>
      <c r="H577" s="4">
        <v>0</v>
      </c>
      <c r="I577" s="4">
        <v>0</v>
      </c>
      <c r="J577" s="4">
        <v>1</v>
      </c>
      <c r="K577" s="4">
        <v>1</v>
      </c>
      <c r="L577" s="4">
        <v>0</v>
      </c>
      <c r="M577" s="4">
        <v>0</v>
      </c>
      <c r="N577" s="4">
        <v>0</v>
      </c>
      <c r="O577" s="4">
        <v>1</v>
      </c>
      <c r="P577" s="51">
        <f>IFERROR(_xlfn.XLOOKUP(_xlfn.TEXTJOIN(,,D576:O576),Aux!$B$3:$B$4098,'Truth Table'!$N$3:$N$4098),P576)</f>
        <v>2</v>
      </c>
      <c r="Q577" s="4" t="b" cm="1">
        <f t="array" ref="Q577:U577">IFERROR(_xlfn.XLOOKUP(_xlfn.TEXTJOIN(,,D577:O577),Aux!$B$3:$B$4098,'Truth Table'!$O$3:$S$4098)=1,FALSE)</f>
        <v>1</v>
      </c>
      <c r="R577" s="4" t="b">
        <v>0</v>
      </c>
      <c r="S577" s="4" t="b">
        <v>0</v>
      </c>
      <c r="T577" s="4" t="b">
        <v>0</v>
      </c>
      <c r="U577" s="4" t="b">
        <v>0</v>
      </c>
      <c r="V577" s="4" t="b">
        <f>AND(_xlfn.XLOOKUP(_xlfn.TEXTJOIN(,,D577:O577),Aux!$B$3:$B$4098,'Truth Table'!$T$3:$T$4098)=1,P576&lt;='Line Follower'!$C$7)</f>
        <v>0</v>
      </c>
      <c r="W577" s="4" t="b">
        <f>AND(_xlfn.XLOOKUP(_xlfn.TEXTJOIN(,,D577:O577),Aux!$B$3:$B$4098,'Truth Table'!$U$3:$U$4098)=1,P576&gt;='Line Follower'!$C$6)</f>
        <v>0</v>
      </c>
      <c r="X577" s="4" t="b">
        <f>IFERROR(AND(_xlfn.XLOOKUP(_xlfn.TEXTJOIN(,,D577:O577),Aux!$B$3:$B$4098,'Truth Table'!$V$3:$V$4098)=1,ABS(P576)&lt;='Line Follower'!$C$6),FALSE)</f>
        <v>0</v>
      </c>
      <c r="Y577" s="4" t="b">
        <f t="shared" si="8"/>
        <v>1</v>
      </c>
    </row>
    <row r="578" spans="2:25" x14ac:dyDescent="0.25">
      <c r="B578" s="4">
        <v>575</v>
      </c>
      <c r="C578" s="4">
        <v>4783</v>
      </c>
      <c r="D578" s="4">
        <v>0</v>
      </c>
      <c r="E578" s="4">
        <v>0</v>
      </c>
      <c r="F578" s="4">
        <v>0</v>
      </c>
      <c r="G578" s="4">
        <v>0</v>
      </c>
      <c r="H578" s="4">
        <v>0</v>
      </c>
      <c r="I578" s="4">
        <v>0</v>
      </c>
      <c r="J578" s="4">
        <v>1</v>
      </c>
      <c r="K578" s="4">
        <v>1</v>
      </c>
      <c r="L578" s="4">
        <v>0</v>
      </c>
      <c r="M578" s="4">
        <v>0</v>
      </c>
      <c r="N578" s="4">
        <v>0</v>
      </c>
      <c r="O578" s="4">
        <v>1</v>
      </c>
      <c r="P578" s="51">
        <f>IFERROR(_xlfn.XLOOKUP(_xlfn.TEXTJOIN(,,D577:O577),Aux!$B$3:$B$4098,'Truth Table'!$N$3:$N$4098),P577)</f>
        <v>2</v>
      </c>
      <c r="Q578" s="4" t="b" cm="1">
        <f t="array" ref="Q578:U578">IFERROR(_xlfn.XLOOKUP(_xlfn.TEXTJOIN(,,D578:O578),Aux!$B$3:$B$4098,'Truth Table'!$O$3:$S$4098)=1,FALSE)</f>
        <v>1</v>
      </c>
      <c r="R578" s="4" t="b">
        <v>0</v>
      </c>
      <c r="S578" s="4" t="b">
        <v>0</v>
      </c>
      <c r="T578" s="4" t="b">
        <v>0</v>
      </c>
      <c r="U578" s="4" t="b">
        <v>0</v>
      </c>
      <c r="V578" s="4" t="b">
        <f>AND(_xlfn.XLOOKUP(_xlfn.TEXTJOIN(,,D578:O578),Aux!$B$3:$B$4098,'Truth Table'!$T$3:$T$4098)=1,P577&lt;='Line Follower'!$C$7)</f>
        <v>0</v>
      </c>
      <c r="W578" s="4" t="b">
        <f>AND(_xlfn.XLOOKUP(_xlfn.TEXTJOIN(,,D578:O578),Aux!$B$3:$B$4098,'Truth Table'!$U$3:$U$4098)=1,P577&gt;='Line Follower'!$C$6)</f>
        <v>0</v>
      </c>
      <c r="X578" s="4" t="b">
        <f>IFERROR(AND(_xlfn.XLOOKUP(_xlfn.TEXTJOIN(,,D578:O578),Aux!$B$3:$B$4098,'Truth Table'!$V$3:$V$4098)=1,ABS(P577)&lt;='Line Follower'!$C$6),FALSE)</f>
        <v>0</v>
      </c>
      <c r="Y578" s="4" t="b">
        <f t="shared" si="8"/>
        <v>1</v>
      </c>
    </row>
    <row r="579" spans="2:25" x14ac:dyDescent="0.25">
      <c r="B579" s="4">
        <v>576</v>
      </c>
      <c r="C579" s="4">
        <v>4802</v>
      </c>
      <c r="D579" s="4">
        <v>0</v>
      </c>
      <c r="E579" s="4">
        <v>0</v>
      </c>
      <c r="F579" s="4">
        <v>0</v>
      </c>
      <c r="G579" s="4">
        <v>0</v>
      </c>
      <c r="H579" s="4">
        <v>0</v>
      </c>
      <c r="I579" s="4">
        <v>0</v>
      </c>
      <c r="J579" s="4">
        <v>1</v>
      </c>
      <c r="K579" s="4">
        <v>1</v>
      </c>
      <c r="L579" s="4">
        <v>0</v>
      </c>
      <c r="M579" s="4">
        <v>0</v>
      </c>
      <c r="N579" s="4">
        <v>0</v>
      </c>
      <c r="O579" s="4">
        <v>1</v>
      </c>
      <c r="P579" s="51">
        <f>IFERROR(_xlfn.XLOOKUP(_xlfn.TEXTJOIN(,,D578:O578),Aux!$B$3:$B$4098,'Truth Table'!$N$3:$N$4098),P578)</f>
        <v>2</v>
      </c>
      <c r="Q579" s="4" t="b" cm="1">
        <f t="array" ref="Q579:U579">IFERROR(_xlfn.XLOOKUP(_xlfn.TEXTJOIN(,,D579:O579),Aux!$B$3:$B$4098,'Truth Table'!$O$3:$S$4098)=1,FALSE)</f>
        <v>1</v>
      </c>
      <c r="R579" s="4" t="b">
        <v>0</v>
      </c>
      <c r="S579" s="4" t="b">
        <v>0</v>
      </c>
      <c r="T579" s="4" t="b">
        <v>0</v>
      </c>
      <c r="U579" s="4" t="b">
        <v>0</v>
      </c>
      <c r="V579" s="4" t="b">
        <f>AND(_xlfn.XLOOKUP(_xlfn.TEXTJOIN(,,D579:O579),Aux!$B$3:$B$4098,'Truth Table'!$T$3:$T$4098)=1,P578&lt;='Line Follower'!$C$7)</f>
        <v>0</v>
      </c>
      <c r="W579" s="4" t="b">
        <f>AND(_xlfn.XLOOKUP(_xlfn.TEXTJOIN(,,D579:O579),Aux!$B$3:$B$4098,'Truth Table'!$U$3:$U$4098)=1,P578&gt;='Line Follower'!$C$6)</f>
        <v>0</v>
      </c>
      <c r="X579" s="4" t="b">
        <f>IFERROR(AND(_xlfn.XLOOKUP(_xlfn.TEXTJOIN(,,D579:O579),Aux!$B$3:$B$4098,'Truth Table'!$V$3:$V$4098)=1,ABS(P578)&lt;='Line Follower'!$C$6),FALSE)</f>
        <v>0</v>
      </c>
      <c r="Y579" s="4" t="b">
        <f t="shared" si="8"/>
        <v>1</v>
      </c>
    </row>
    <row r="580" spans="2:25" x14ac:dyDescent="0.25">
      <c r="B580" s="4">
        <v>577</v>
      </c>
      <c r="C580" s="4">
        <v>4803</v>
      </c>
      <c r="D580" s="4">
        <v>0</v>
      </c>
      <c r="E580" s="4">
        <v>0</v>
      </c>
      <c r="F580" s="4">
        <v>0</v>
      </c>
      <c r="G580" s="4">
        <v>0</v>
      </c>
      <c r="H580" s="4">
        <v>0</v>
      </c>
      <c r="I580" s="4">
        <v>0</v>
      </c>
      <c r="J580" s="4">
        <v>1</v>
      </c>
      <c r="K580" s="4">
        <v>1</v>
      </c>
      <c r="L580" s="4">
        <v>0</v>
      </c>
      <c r="M580" s="4">
        <v>0</v>
      </c>
      <c r="N580" s="4">
        <v>0</v>
      </c>
      <c r="O580" s="4">
        <v>1</v>
      </c>
      <c r="P580" s="51">
        <f>IFERROR(_xlfn.XLOOKUP(_xlfn.TEXTJOIN(,,D579:O579),Aux!$B$3:$B$4098,'Truth Table'!$N$3:$N$4098),P579)</f>
        <v>2</v>
      </c>
      <c r="Q580" s="4" t="b" cm="1">
        <f t="array" ref="Q580:U580">IFERROR(_xlfn.XLOOKUP(_xlfn.TEXTJOIN(,,D580:O580),Aux!$B$3:$B$4098,'Truth Table'!$O$3:$S$4098)=1,FALSE)</f>
        <v>1</v>
      </c>
      <c r="R580" s="4" t="b">
        <v>0</v>
      </c>
      <c r="S580" s="4" t="b">
        <v>0</v>
      </c>
      <c r="T580" s="4" t="b">
        <v>0</v>
      </c>
      <c r="U580" s="4" t="b">
        <v>0</v>
      </c>
      <c r="V580" s="4" t="b">
        <f>AND(_xlfn.XLOOKUP(_xlfn.TEXTJOIN(,,D580:O580),Aux!$B$3:$B$4098,'Truth Table'!$T$3:$T$4098)=1,P579&lt;='Line Follower'!$C$7)</f>
        <v>0</v>
      </c>
      <c r="W580" s="4" t="b">
        <f>AND(_xlfn.XLOOKUP(_xlfn.TEXTJOIN(,,D580:O580),Aux!$B$3:$B$4098,'Truth Table'!$U$3:$U$4098)=1,P579&gt;='Line Follower'!$C$6)</f>
        <v>0</v>
      </c>
      <c r="X580" s="4" t="b">
        <f>IFERROR(AND(_xlfn.XLOOKUP(_xlfn.TEXTJOIN(,,D580:O580),Aux!$B$3:$B$4098,'Truth Table'!$V$3:$V$4098)=1,ABS(P579)&lt;='Line Follower'!$C$6),FALSE)</f>
        <v>0</v>
      </c>
      <c r="Y580" s="4" t="b">
        <f t="shared" ref="Y580:Y643" si="9">OR(Q580:X580)</f>
        <v>1</v>
      </c>
    </row>
    <row r="581" spans="2:25" x14ac:dyDescent="0.25">
      <c r="B581" s="4">
        <v>578</v>
      </c>
      <c r="C581" s="4">
        <v>4804</v>
      </c>
      <c r="D581" s="4">
        <v>0</v>
      </c>
      <c r="E581" s="4">
        <v>0</v>
      </c>
      <c r="F581" s="4">
        <v>0</v>
      </c>
      <c r="G581" s="4">
        <v>0</v>
      </c>
      <c r="H581" s="4">
        <v>0</v>
      </c>
      <c r="I581" s="4">
        <v>0</v>
      </c>
      <c r="J581" s="4">
        <v>1</v>
      </c>
      <c r="K581" s="4">
        <v>1</v>
      </c>
      <c r="L581" s="4">
        <v>0</v>
      </c>
      <c r="M581" s="4">
        <v>0</v>
      </c>
      <c r="N581" s="4">
        <v>0</v>
      </c>
      <c r="O581" s="4">
        <v>0</v>
      </c>
      <c r="P581" s="51">
        <f>IFERROR(_xlfn.XLOOKUP(_xlfn.TEXTJOIN(,,D580:O580),Aux!$B$3:$B$4098,'Truth Table'!$N$3:$N$4098),P580)</f>
        <v>2</v>
      </c>
      <c r="Q581" s="4" t="b" cm="1">
        <f t="array" ref="Q581:U581">IFERROR(_xlfn.XLOOKUP(_xlfn.TEXTJOIN(,,D581:O581),Aux!$B$3:$B$4098,'Truth Table'!$O$3:$S$4098)=1,FALSE)</f>
        <v>1</v>
      </c>
      <c r="R581" s="4" t="b">
        <v>0</v>
      </c>
      <c r="S581" s="4" t="b">
        <v>0</v>
      </c>
      <c r="T581" s="4" t="b">
        <v>0</v>
      </c>
      <c r="U581" s="4" t="b">
        <v>0</v>
      </c>
      <c r="V581" s="4" t="b">
        <f>AND(_xlfn.XLOOKUP(_xlfn.TEXTJOIN(,,D581:O581),Aux!$B$3:$B$4098,'Truth Table'!$T$3:$T$4098)=1,P580&lt;='Line Follower'!$C$7)</f>
        <v>0</v>
      </c>
      <c r="W581" s="4" t="b">
        <f>AND(_xlfn.XLOOKUP(_xlfn.TEXTJOIN(,,D581:O581),Aux!$B$3:$B$4098,'Truth Table'!$U$3:$U$4098)=1,P580&gt;='Line Follower'!$C$6)</f>
        <v>0</v>
      </c>
      <c r="X581" s="4" t="b">
        <f>IFERROR(AND(_xlfn.XLOOKUP(_xlfn.TEXTJOIN(,,D581:O581),Aux!$B$3:$B$4098,'Truth Table'!$V$3:$V$4098)=1,ABS(P580)&lt;='Line Follower'!$C$6),FALSE)</f>
        <v>0</v>
      </c>
      <c r="Y581" s="4" t="b">
        <f t="shared" si="9"/>
        <v>1</v>
      </c>
    </row>
    <row r="582" spans="2:25" x14ac:dyDescent="0.25">
      <c r="B582" s="4">
        <v>579</v>
      </c>
      <c r="C582" s="4">
        <v>4805</v>
      </c>
      <c r="D582" s="4">
        <v>0</v>
      </c>
      <c r="E582" s="4">
        <v>0</v>
      </c>
      <c r="F582" s="4">
        <v>0</v>
      </c>
      <c r="G582" s="4">
        <v>0</v>
      </c>
      <c r="H582" s="4">
        <v>0</v>
      </c>
      <c r="I582" s="4">
        <v>0</v>
      </c>
      <c r="J582" s="4">
        <v>1</v>
      </c>
      <c r="K582" s="4">
        <v>1</v>
      </c>
      <c r="L582" s="4">
        <v>0</v>
      </c>
      <c r="M582" s="4">
        <v>0</v>
      </c>
      <c r="N582" s="4">
        <v>0</v>
      </c>
      <c r="O582" s="4">
        <v>0</v>
      </c>
      <c r="P582" s="51">
        <f>IFERROR(_xlfn.XLOOKUP(_xlfn.TEXTJOIN(,,D581:O581),Aux!$B$3:$B$4098,'Truth Table'!$N$3:$N$4098),P581)</f>
        <v>2</v>
      </c>
      <c r="Q582" s="4" t="b" cm="1">
        <f t="array" ref="Q582:U582">IFERROR(_xlfn.XLOOKUP(_xlfn.TEXTJOIN(,,D582:O582),Aux!$B$3:$B$4098,'Truth Table'!$O$3:$S$4098)=1,FALSE)</f>
        <v>1</v>
      </c>
      <c r="R582" s="4" t="b">
        <v>0</v>
      </c>
      <c r="S582" s="4" t="b">
        <v>0</v>
      </c>
      <c r="T582" s="4" t="b">
        <v>0</v>
      </c>
      <c r="U582" s="4" t="b">
        <v>0</v>
      </c>
      <c r="V582" s="4" t="b">
        <f>AND(_xlfn.XLOOKUP(_xlfn.TEXTJOIN(,,D582:O582),Aux!$B$3:$B$4098,'Truth Table'!$T$3:$T$4098)=1,P581&lt;='Line Follower'!$C$7)</f>
        <v>0</v>
      </c>
      <c r="W582" s="4" t="b">
        <f>AND(_xlfn.XLOOKUP(_xlfn.TEXTJOIN(,,D582:O582),Aux!$B$3:$B$4098,'Truth Table'!$U$3:$U$4098)=1,P581&gt;='Line Follower'!$C$6)</f>
        <v>0</v>
      </c>
      <c r="X582" s="4" t="b">
        <f>IFERROR(AND(_xlfn.XLOOKUP(_xlfn.TEXTJOIN(,,D582:O582),Aux!$B$3:$B$4098,'Truth Table'!$V$3:$V$4098)=1,ABS(P581)&lt;='Line Follower'!$C$6),FALSE)</f>
        <v>0</v>
      </c>
      <c r="Y582" s="4" t="b">
        <f t="shared" si="9"/>
        <v>1</v>
      </c>
    </row>
    <row r="583" spans="2:25" x14ac:dyDescent="0.25">
      <c r="B583" s="4">
        <v>580</v>
      </c>
      <c r="C583" s="4">
        <v>4821</v>
      </c>
      <c r="D583" s="4">
        <v>0</v>
      </c>
      <c r="E583" s="4">
        <v>0</v>
      </c>
      <c r="F583" s="4">
        <v>0</v>
      </c>
      <c r="G583" s="4">
        <v>0</v>
      </c>
      <c r="H583" s="4">
        <v>0</v>
      </c>
      <c r="I583" s="4">
        <v>0</v>
      </c>
      <c r="J583" s="4">
        <v>1</v>
      </c>
      <c r="K583" s="4">
        <v>1</v>
      </c>
      <c r="L583" s="4">
        <v>0</v>
      </c>
      <c r="M583" s="4">
        <v>0</v>
      </c>
      <c r="N583" s="4">
        <v>0</v>
      </c>
      <c r="O583" s="4">
        <v>0</v>
      </c>
      <c r="P583" s="51">
        <f>IFERROR(_xlfn.XLOOKUP(_xlfn.TEXTJOIN(,,D582:O582),Aux!$B$3:$B$4098,'Truth Table'!$N$3:$N$4098),P582)</f>
        <v>2</v>
      </c>
      <c r="Q583" s="4" t="b" cm="1">
        <f t="array" ref="Q583:U583">IFERROR(_xlfn.XLOOKUP(_xlfn.TEXTJOIN(,,D583:O583),Aux!$B$3:$B$4098,'Truth Table'!$O$3:$S$4098)=1,FALSE)</f>
        <v>1</v>
      </c>
      <c r="R583" s="4" t="b">
        <v>0</v>
      </c>
      <c r="S583" s="4" t="b">
        <v>0</v>
      </c>
      <c r="T583" s="4" t="b">
        <v>0</v>
      </c>
      <c r="U583" s="4" t="b">
        <v>0</v>
      </c>
      <c r="V583" s="4" t="b">
        <f>AND(_xlfn.XLOOKUP(_xlfn.TEXTJOIN(,,D583:O583),Aux!$B$3:$B$4098,'Truth Table'!$T$3:$T$4098)=1,P582&lt;='Line Follower'!$C$7)</f>
        <v>0</v>
      </c>
      <c r="W583" s="4" t="b">
        <f>AND(_xlfn.XLOOKUP(_xlfn.TEXTJOIN(,,D583:O583),Aux!$B$3:$B$4098,'Truth Table'!$U$3:$U$4098)=1,P582&gt;='Line Follower'!$C$6)</f>
        <v>0</v>
      </c>
      <c r="X583" s="4" t="b">
        <f>IFERROR(AND(_xlfn.XLOOKUP(_xlfn.TEXTJOIN(,,D583:O583),Aux!$B$3:$B$4098,'Truth Table'!$V$3:$V$4098)=1,ABS(P582)&lt;='Line Follower'!$C$6),FALSE)</f>
        <v>0</v>
      </c>
      <c r="Y583" s="4" t="b">
        <f t="shared" si="9"/>
        <v>1</v>
      </c>
    </row>
    <row r="584" spans="2:25" x14ac:dyDescent="0.25">
      <c r="B584" s="4">
        <v>581</v>
      </c>
      <c r="C584" s="4">
        <v>4827</v>
      </c>
      <c r="D584" s="4">
        <v>0</v>
      </c>
      <c r="E584" s="4">
        <v>0</v>
      </c>
      <c r="F584" s="4">
        <v>0</v>
      </c>
      <c r="G584" s="4">
        <v>0</v>
      </c>
      <c r="H584" s="4">
        <v>0</v>
      </c>
      <c r="I584" s="4">
        <v>0</v>
      </c>
      <c r="J584" s="4">
        <v>1</v>
      </c>
      <c r="K584" s="4">
        <v>1</v>
      </c>
      <c r="L584" s="4">
        <v>1</v>
      </c>
      <c r="M584" s="4">
        <v>0</v>
      </c>
      <c r="N584" s="4">
        <v>0</v>
      </c>
      <c r="O584" s="4">
        <v>0</v>
      </c>
      <c r="P584" s="51">
        <f>IFERROR(_xlfn.XLOOKUP(_xlfn.TEXTJOIN(,,D583:O583),Aux!$B$3:$B$4098,'Truth Table'!$N$3:$N$4098),P583)</f>
        <v>2</v>
      </c>
      <c r="Q584" s="4" t="b" cm="1">
        <f t="array" ref="Q584:U584">IFERROR(_xlfn.XLOOKUP(_xlfn.TEXTJOIN(,,D584:O584),Aux!$B$3:$B$4098,'Truth Table'!$O$3:$S$4098)=1,FALSE)</f>
        <v>1</v>
      </c>
      <c r="R584" s="4" t="b">
        <v>0</v>
      </c>
      <c r="S584" s="4" t="b">
        <v>0</v>
      </c>
      <c r="T584" s="4" t="b">
        <v>0</v>
      </c>
      <c r="U584" s="4" t="b">
        <v>0</v>
      </c>
      <c r="V584" s="4" t="b">
        <f>AND(_xlfn.XLOOKUP(_xlfn.TEXTJOIN(,,D584:O584),Aux!$B$3:$B$4098,'Truth Table'!$T$3:$T$4098)=1,P583&lt;='Line Follower'!$C$7)</f>
        <v>0</v>
      </c>
      <c r="W584" s="4" t="b">
        <f>AND(_xlfn.XLOOKUP(_xlfn.TEXTJOIN(,,D584:O584),Aux!$B$3:$B$4098,'Truth Table'!$U$3:$U$4098)=1,P583&gt;='Line Follower'!$C$6)</f>
        <v>0</v>
      </c>
      <c r="X584" s="4" t="b">
        <f>IFERROR(AND(_xlfn.XLOOKUP(_xlfn.TEXTJOIN(,,D584:O584),Aux!$B$3:$B$4098,'Truth Table'!$V$3:$V$4098)=1,ABS(P583)&lt;='Line Follower'!$C$6),FALSE)</f>
        <v>0</v>
      </c>
      <c r="Y584" s="4" t="b">
        <f t="shared" si="9"/>
        <v>1</v>
      </c>
    </row>
    <row r="585" spans="2:25" x14ac:dyDescent="0.25">
      <c r="B585" s="4">
        <v>582</v>
      </c>
      <c r="C585" s="4">
        <v>4837</v>
      </c>
      <c r="D585" s="4">
        <v>0</v>
      </c>
      <c r="E585" s="4">
        <v>0</v>
      </c>
      <c r="F585" s="4">
        <v>0</v>
      </c>
      <c r="G585" s="4">
        <v>0</v>
      </c>
      <c r="H585" s="4">
        <v>0</v>
      </c>
      <c r="I585" s="4">
        <v>0</v>
      </c>
      <c r="J585" s="4">
        <v>0</v>
      </c>
      <c r="K585" s="4">
        <v>1</v>
      </c>
      <c r="L585" s="4">
        <v>1</v>
      </c>
      <c r="M585" s="4">
        <v>0</v>
      </c>
      <c r="N585" s="4">
        <v>0</v>
      </c>
      <c r="O585" s="4">
        <v>0</v>
      </c>
      <c r="P585" s="51">
        <f>IFERROR(_xlfn.XLOOKUP(_xlfn.TEXTJOIN(,,D584:O584),Aux!$B$3:$B$4098,'Truth Table'!$N$3:$N$4098),P584)</f>
        <v>3</v>
      </c>
      <c r="Q585" s="4" t="b" cm="1">
        <f t="array" ref="Q585:U585">IFERROR(_xlfn.XLOOKUP(_xlfn.TEXTJOIN(,,D585:O585),Aux!$B$3:$B$4098,'Truth Table'!$O$3:$S$4098)=1,FALSE)</f>
        <v>1</v>
      </c>
      <c r="R585" s="4" t="b">
        <v>0</v>
      </c>
      <c r="S585" s="4" t="b">
        <v>0</v>
      </c>
      <c r="T585" s="4" t="b">
        <v>0</v>
      </c>
      <c r="U585" s="4" t="b">
        <v>0</v>
      </c>
      <c r="V585" s="4" t="b">
        <f>AND(_xlfn.XLOOKUP(_xlfn.TEXTJOIN(,,D585:O585),Aux!$B$3:$B$4098,'Truth Table'!$T$3:$T$4098)=1,P584&lt;='Line Follower'!$C$7)</f>
        <v>0</v>
      </c>
      <c r="W585" s="4" t="b">
        <f>AND(_xlfn.XLOOKUP(_xlfn.TEXTJOIN(,,D585:O585),Aux!$B$3:$B$4098,'Truth Table'!$U$3:$U$4098)=1,P584&gt;='Line Follower'!$C$6)</f>
        <v>0</v>
      </c>
      <c r="X585" s="4" t="b">
        <f>IFERROR(AND(_xlfn.XLOOKUP(_xlfn.TEXTJOIN(,,D585:O585),Aux!$B$3:$B$4098,'Truth Table'!$V$3:$V$4098)=1,ABS(P584)&lt;='Line Follower'!$C$6),FALSE)</f>
        <v>0</v>
      </c>
      <c r="Y585" s="4" t="b">
        <f t="shared" si="9"/>
        <v>1</v>
      </c>
    </row>
    <row r="586" spans="2:25" x14ac:dyDescent="0.25">
      <c r="B586" s="4">
        <v>583</v>
      </c>
      <c r="C586" s="4">
        <v>4862</v>
      </c>
      <c r="D586" s="4">
        <v>0</v>
      </c>
      <c r="E586" s="4">
        <v>0</v>
      </c>
      <c r="F586" s="4">
        <v>0</v>
      </c>
      <c r="G586" s="4">
        <v>0</v>
      </c>
      <c r="H586" s="4">
        <v>0</v>
      </c>
      <c r="I586" s="4">
        <v>0</v>
      </c>
      <c r="J586" s="4">
        <v>0</v>
      </c>
      <c r="K586" s="4">
        <v>1</v>
      </c>
      <c r="L586" s="4">
        <v>1</v>
      </c>
      <c r="M586" s="4">
        <v>0</v>
      </c>
      <c r="N586" s="4">
        <v>0</v>
      </c>
      <c r="O586" s="4">
        <v>0</v>
      </c>
      <c r="P586" s="51">
        <f>IFERROR(_xlfn.XLOOKUP(_xlfn.TEXTJOIN(,,D585:O585),Aux!$B$3:$B$4098,'Truth Table'!$N$3:$N$4098),P585)</f>
        <v>4</v>
      </c>
      <c r="Q586" s="4" t="b" cm="1">
        <f t="array" ref="Q586:U586">IFERROR(_xlfn.XLOOKUP(_xlfn.TEXTJOIN(,,D586:O586),Aux!$B$3:$B$4098,'Truth Table'!$O$3:$S$4098)=1,FALSE)</f>
        <v>1</v>
      </c>
      <c r="R586" s="4" t="b">
        <v>0</v>
      </c>
      <c r="S586" s="4" t="b">
        <v>0</v>
      </c>
      <c r="T586" s="4" t="b">
        <v>0</v>
      </c>
      <c r="U586" s="4" t="b">
        <v>0</v>
      </c>
      <c r="V586" s="4" t="b">
        <f>AND(_xlfn.XLOOKUP(_xlfn.TEXTJOIN(,,D586:O586),Aux!$B$3:$B$4098,'Truth Table'!$T$3:$T$4098)=1,P585&lt;='Line Follower'!$C$7)</f>
        <v>0</v>
      </c>
      <c r="W586" s="4" t="b">
        <f>AND(_xlfn.XLOOKUP(_xlfn.TEXTJOIN(,,D586:O586),Aux!$B$3:$B$4098,'Truth Table'!$U$3:$U$4098)=1,P585&gt;='Line Follower'!$C$6)</f>
        <v>0</v>
      </c>
      <c r="X586" s="4" t="b">
        <f>IFERROR(AND(_xlfn.XLOOKUP(_xlfn.TEXTJOIN(,,D586:O586),Aux!$B$3:$B$4098,'Truth Table'!$V$3:$V$4098)=1,ABS(P585)&lt;='Line Follower'!$C$6),FALSE)</f>
        <v>0</v>
      </c>
      <c r="Y586" s="4" t="b">
        <f t="shared" si="9"/>
        <v>1</v>
      </c>
    </row>
    <row r="587" spans="2:25" x14ac:dyDescent="0.25">
      <c r="B587" s="4">
        <v>584</v>
      </c>
      <c r="C587" s="4">
        <v>4863</v>
      </c>
      <c r="D587" s="4">
        <v>0</v>
      </c>
      <c r="E587" s="4">
        <v>0</v>
      </c>
      <c r="F587" s="4">
        <v>0</v>
      </c>
      <c r="G587" s="4">
        <v>0</v>
      </c>
      <c r="H587" s="4">
        <v>0</v>
      </c>
      <c r="I587" s="4">
        <v>0</v>
      </c>
      <c r="J587" s="4">
        <v>0</v>
      </c>
      <c r="K587" s="4">
        <v>1</v>
      </c>
      <c r="L587" s="4">
        <v>1</v>
      </c>
      <c r="M587" s="4">
        <v>0</v>
      </c>
      <c r="N587" s="4">
        <v>0</v>
      </c>
      <c r="O587" s="4">
        <v>0</v>
      </c>
      <c r="P587" s="51">
        <f>IFERROR(_xlfn.XLOOKUP(_xlfn.TEXTJOIN(,,D586:O586),Aux!$B$3:$B$4098,'Truth Table'!$N$3:$N$4098),P586)</f>
        <v>4</v>
      </c>
      <c r="Q587" s="4" t="b" cm="1">
        <f t="array" ref="Q587:U587">IFERROR(_xlfn.XLOOKUP(_xlfn.TEXTJOIN(,,D587:O587),Aux!$B$3:$B$4098,'Truth Table'!$O$3:$S$4098)=1,FALSE)</f>
        <v>1</v>
      </c>
      <c r="R587" s="4" t="b">
        <v>0</v>
      </c>
      <c r="S587" s="4" t="b">
        <v>0</v>
      </c>
      <c r="T587" s="4" t="b">
        <v>0</v>
      </c>
      <c r="U587" s="4" t="b">
        <v>0</v>
      </c>
      <c r="V587" s="4" t="b">
        <f>AND(_xlfn.XLOOKUP(_xlfn.TEXTJOIN(,,D587:O587),Aux!$B$3:$B$4098,'Truth Table'!$T$3:$T$4098)=1,P586&lt;='Line Follower'!$C$7)</f>
        <v>0</v>
      </c>
      <c r="W587" s="4" t="b">
        <f>AND(_xlfn.XLOOKUP(_xlfn.TEXTJOIN(,,D587:O587),Aux!$B$3:$B$4098,'Truth Table'!$U$3:$U$4098)=1,P586&gt;='Line Follower'!$C$6)</f>
        <v>0</v>
      </c>
      <c r="X587" s="4" t="b">
        <f>IFERROR(AND(_xlfn.XLOOKUP(_xlfn.TEXTJOIN(,,D587:O587),Aux!$B$3:$B$4098,'Truth Table'!$V$3:$V$4098)=1,ABS(P586)&lt;='Line Follower'!$C$6),FALSE)</f>
        <v>0</v>
      </c>
      <c r="Y587" s="4" t="b">
        <f t="shared" si="9"/>
        <v>1</v>
      </c>
    </row>
    <row r="588" spans="2:25" x14ac:dyDescent="0.25">
      <c r="B588" s="4">
        <v>585</v>
      </c>
      <c r="C588" s="4">
        <v>4870</v>
      </c>
      <c r="D588" s="4">
        <v>0</v>
      </c>
      <c r="E588" s="4">
        <v>0</v>
      </c>
      <c r="F588" s="4">
        <v>0</v>
      </c>
      <c r="G588" s="4">
        <v>0</v>
      </c>
      <c r="H588" s="4">
        <v>0</v>
      </c>
      <c r="I588" s="4">
        <v>0</v>
      </c>
      <c r="J588" s="4">
        <v>0</v>
      </c>
      <c r="K588" s="4">
        <v>1</v>
      </c>
      <c r="L588" s="4">
        <v>1</v>
      </c>
      <c r="M588" s="4">
        <v>0</v>
      </c>
      <c r="N588" s="4">
        <v>0</v>
      </c>
      <c r="O588" s="4">
        <v>0</v>
      </c>
      <c r="P588" s="51">
        <f>IFERROR(_xlfn.XLOOKUP(_xlfn.TEXTJOIN(,,D587:O587),Aux!$B$3:$B$4098,'Truth Table'!$N$3:$N$4098),P587)</f>
        <v>4</v>
      </c>
      <c r="Q588" s="4" t="b" cm="1">
        <f t="array" ref="Q588:U588">IFERROR(_xlfn.XLOOKUP(_xlfn.TEXTJOIN(,,D588:O588),Aux!$B$3:$B$4098,'Truth Table'!$O$3:$S$4098)=1,FALSE)</f>
        <v>1</v>
      </c>
      <c r="R588" s="4" t="b">
        <v>0</v>
      </c>
      <c r="S588" s="4" t="b">
        <v>0</v>
      </c>
      <c r="T588" s="4" t="b">
        <v>0</v>
      </c>
      <c r="U588" s="4" t="b">
        <v>0</v>
      </c>
      <c r="V588" s="4" t="b">
        <f>AND(_xlfn.XLOOKUP(_xlfn.TEXTJOIN(,,D588:O588),Aux!$B$3:$B$4098,'Truth Table'!$T$3:$T$4098)=1,P587&lt;='Line Follower'!$C$7)</f>
        <v>0</v>
      </c>
      <c r="W588" s="4" t="b">
        <f>AND(_xlfn.XLOOKUP(_xlfn.TEXTJOIN(,,D588:O588),Aux!$B$3:$B$4098,'Truth Table'!$U$3:$U$4098)=1,P587&gt;='Line Follower'!$C$6)</f>
        <v>0</v>
      </c>
      <c r="X588" s="4" t="b">
        <f>IFERROR(AND(_xlfn.XLOOKUP(_xlfn.TEXTJOIN(,,D588:O588),Aux!$B$3:$B$4098,'Truth Table'!$V$3:$V$4098)=1,ABS(P587)&lt;='Line Follower'!$C$6),FALSE)</f>
        <v>0</v>
      </c>
      <c r="Y588" s="4" t="b">
        <f t="shared" si="9"/>
        <v>1</v>
      </c>
    </row>
    <row r="589" spans="2:25" x14ac:dyDescent="0.25">
      <c r="B589" s="4">
        <v>586</v>
      </c>
      <c r="C589" s="4">
        <v>4879</v>
      </c>
      <c r="D589" s="4">
        <v>0</v>
      </c>
      <c r="E589" s="4">
        <v>0</v>
      </c>
      <c r="F589" s="4">
        <v>0</v>
      </c>
      <c r="G589" s="4">
        <v>0</v>
      </c>
      <c r="H589" s="4">
        <v>0</v>
      </c>
      <c r="I589" s="4">
        <v>0</v>
      </c>
      <c r="J589" s="4">
        <v>0</v>
      </c>
      <c r="K589" s="4">
        <v>1</v>
      </c>
      <c r="L589" s="4">
        <v>1</v>
      </c>
      <c r="M589" s="4">
        <v>0</v>
      </c>
      <c r="N589" s="4">
        <v>0</v>
      </c>
      <c r="O589" s="4">
        <v>0</v>
      </c>
      <c r="P589" s="51">
        <f>IFERROR(_xlfn.XLOOKUP(_xlfn.TEXTJOIN(,,D588:O588),Aux!$B$3:$B$4098,'Truth Table'!$N$3:$N$4098),P588)</f>
        <v>4</v>
      </c>
      <c r="Q589" s="4" t="b" cm="1">
        <f t="array" ref="Q589:U589">IFERROR(_xlfn.XLOOKUP(_xlfn.TEXTJOIN(,,D589:O589),Aux!$B$3:$B$4098,'Truth Table'!$O$3:$S$4098)=1,FALSE)</f>
        <v>1</v>
      </c>
      <c r="R589" s="4" t="b">
        <v>0</v>
      </c>
      <c r="S589" s="4" t="b">
        <v>0</v>
      </c>
      <c r="T589" s="4" t="b">
        <v>0</v>
      </c>
      <c r="U589" s="4" t="b">
        <v>0</v>
      </c>
      <c r="V589" s="4" t="b">
        <f>AND(_xlfn.XLOOKUP(_xlfn.TEXTJOIN(,,D589:O589),Aux!$B$3:$B$4098,'Truth Table'!$T$3:$T$4098)=1,P588&lt;='Line Follower'!$C$7)</f>
        <v>0</v>
      </c>
      <c r="W589" s="4" t="b">
        <f>AND(_xlfn.XLOOKUP(_xlfn.TEXTJOIN(,,D589:O589),Aux!$B$3:$B$4098,'Truth Table'!$U$3:$U$4098)=1,P588&gt;='Line Follower'!$C$6)</f>
        <v>0</v>
      </c>
      <c r="X589" s="4" t="b">
        <f>IFERROR(AND(_xlfn.XLOOKUP(_xlfn.TEXTJOIN(,,D589:O589),Aux!$B$3:$B$4098,'Truth Table'!$V$3:$V$4098)=1,ABS(P588)&lt;='Line Follower'!$C$6),FALSE)</f>
        <v>0</v>
      </c>
      <c r="Y589" s="4" t="b">
        <f t="shared" si="9"/>
        <v>1</v>
      </c>
    </row>
    <row r="590" spans="2:25" x14ac:dyDescent="0.25">
      <c r="B590" s="4">
        <v>587</v>
      </c>
      <c r="C590" s="4">
        <v>4888</v>
      </c>
      <c r="D590" s="4">
        <v>0</v>
      </c>
      <c r="E590" s="4">
        <v>0</v>
      </c>
      <c r="F590" s="4">
        <v>0</v>
      </c>
      <c r="G590" s="4">
        <v>0</v>
      </c>
      <c r="H590" s="4">
        <v>0</v>
      </c>
      <c r="I590" s="4">
        <v>0</v>
      </c>
      <c r="J590" s="4">
        <v>0</v>
      </c>
      <c r="K590" s="4">
        <v>1</v>
      </c>
      <c r="L590" s="4">
        <v>1</v>
      </c>
      <c r="M590" s="4">
        <v>0</v>
      </c>
      <c r="N590" s="4">
        <v>0</v>
      </c>
      <c r="O590" s="4">
        <v>0</v>
      </c>
      <c r="P590" s="51">
        <f>IFERROR(_xlfn.XLOOKUP(_xlfn.TEXTJOIN(,,D589:O589),Aux!$B$3:$B$4098,'Truth Table'!$N$3:$N$4098),P589)</f>
        <v>4</v>
      </c>
      <c r="Q590" s="4" t="b" cm="1">
        <f t="array" ref="Q590:U590">IFERROR(_xlfn.XLOOKUP(_xlfn.TEXTJOIN(,,D590:O590),Aux!$B$3:$B$4098,'Truth Table'!$O$3:$S$4098)=1,FALSE)</f>
        <v>1</v>
      </c>
      <c r="R590" s="4" t="b">
        <v>0</v>
      </c>
      <c r="S590" s="4" t="b">
        <v>0</v>
      </c>
      <c r="T590" s="4" t="b">
        <v>0</v>
      </c>
      <c r="U590" s="4" t="b">
        <v>0</v>
      </c>
      <c r="V590" s="4" t="b">
        <f>AND(_xlfn.XLOOKUP(_xlfn.TEXTJOIN(,,D590:O590),Aux!$B$3:$B$4098,'Truth Table'!$T$3:$T$4098)=1,P589&lt;='Line Follower'!$C$7)</f>
        <v>0</v>
      </c>
      <c r="W590" s="4" t="b">
        <f>AND(_xlfn.XLOOKUP(_xlfn.TEXTJOIN(,,D590:O590),Aux!$B$3:$B$4098,'Truth Table'!$U$3:$U$4098)=1,P589&gt;='Line Follower'!$C$6)</f>
        <v>0</v>
      </c>
      <c r="X590" s="4" t="b">
        <f>IFERROR(AND(_xlfn.XLOOKUP(_xlfn.TEXTJOIN(,,D590:O590),Aux!$B$3:$B$4098,'Truth Table'!$V$3:$V$4098)=1,ABS(P589)&lt;='Line Follower'!$C$6),FALSE)</f>
        <v>0</v>
      </c>
      <c r="Y590" s="4" t="b">
        <f t="shared" si="9"/>
        <v>1</v>
      </c>
    </row>
    <row r="591" spans="2:25" x14ac:dyDescent="0.25">
      <c r="B591" s="4">
        <v>588</v>
      </c>
      <c r="C591" s="4">
        <v>4899</v>
      </c>
      <c r="D591" s="4">
        <v>0</v>
      </c>
      <c r="E591" s="4">
        <v>0</v>
      </c>
      <c r="F591" s="4">
        <v>0</v>
      </c>
      <c r="G591" s="4">
        <v>0</v>
      </c>
      <c r="H591" s="4">
        <v>0</v>
      </c>
      <c r="I591" s="4">
        <v>0</v>
      </c>
      <c r="J591" s="4">
        <v>0</v>
      </c>
      <c r="K591" s="4">
        <v>1</v>
      </c>
      <c r="L591" s="4">
        <v>1</v>
      </c>
      <c r="M591" s="4">
        <v>0</v>
      </c>
      <c r="N591" s="4">
        <v>0</v>
      </c>
      <c r="O591" s="4">
        <v>0</v>
      </c>
      <c r="P591" s="51">
        <f>IFERROR(_xlfn.XLOOKUP(_xlfn.TEXTJOIN(,,D590:O590),Aux!$B$3:$B$4098,'Truth Table'!$N$3:$N$4098),P590)</f>
        <v>4</v>
      </c>
      <c r="Q591" s="4" t="b" cm="1">
        <f t="array" ref="Q591:U591">IFERROR(_xlfn.XLOOKUP(_xlfn.TEXTJOIN(,,D591:O591),Aux!$B$3:$B$4098,'Truth Table'!$O$3:$S$4098)=1,FALSE)</f>
        <v>1</v>
      </c>
      <c r="R591" s="4" t="b">
        <v>0</v>
      </c>
      <c r="S591" s="4" t="b">
        <v>0</v>
      </c>
      <c r="T591" s="4" t="b">
        <v>0</v>
      </c>
      <c r="U591" s="4" t="b">
        <v>0</v>
      </c>
      <c r="V591" s="4" t="b">
        <f>AND(_xlfn.XLOOKUP(_xlfn.TEXTJOIN(,,D591:O591),Aux!$B$3:$B$4098,'Truth Table'!$T$3:$T$4098)=1,P590&lt;='Line Follower'!$C$7)</f>
        <v>0</v>
      </c>
      <c r="W591" s="4" t="b">
        <f>AND(_xlfn.XLOOKUP(_xlfn.TEXTJOIN(,,D591:O591),Aux!$B$3:$B$4098,'Truth Table'!$U$3:$U$4098)=1,P590&gt;='Line Follower'!$C$6)</f>
        <v>0</v>
      </c>
      <c r="X591" s="4" t="b">
        <f>IFERROR(AND(_xlfn.XLOOKUP(_xlfn.TEXTJOIN(,,D591:O591),Aux!$B$3:$B$4098,'Truth Table'!$V$3:$V$4098)=1,ABS(P590)&lt;='Line Follower'!$C$6),FALSE)</f>
        <v>0</v>
      </c>
      <c r="Y591" s="4" t="b">
        <f t="shared" si="9"/>
        <v>1</v>
      </c>
    </row>
    <row r="592" spans="2:25" x14ac:dyDescent="0.25">
      <c r="B592" s="4">
        <v>589</v>
      </c>
      <c r="C592" s="4">
        <v>4908</v>
      </c>
      <c r="D592" s="4">
        <v>0</v>
      </c>
      <c r="E592" s="4">
        <v>0</v>
      </c>
      <c r="F592" s="4">
        <v>0</v>
      </c>
      <c r="G592" s="4">
        <v>0</v>
      </c>
      <c r="H592" s="4">
        <v>0</v>
      </c>
      <c r="I592" s="4">
        <v>0</v>
      </c>
      <c r="J592" s="4">
        <v>0</v>
      </c>
      <c r="K592" s="4">
        <v>1</v>
      </c>
      <c r="L592" s="4">
        <v>1</v>
      </c>
      <c r="M592" s="4">
        <v>0</v>
      </c>
      <c r="N592" s="4">
        <v>0</v>
      </c>
      <c r="O592" s="4">
        <v>0</v>
      </c>
      <c r="P592" s="51">
        <f>IFERROR(_xlfn.XLOOKUP(_xlfn.TEXTJOIN(,,D591:O591),Aux!$B$3:$B$4098,'Truth Table'!$N$3:$N$4098),P591)</f>
        <v>4</v>
      </c>
      <c r="Q592" s="4" t="b" cm="1">
        <f t="array" ref="Q592:U592">IFERROR(_xlfn.XLOOKUP(_xlfn.TEXTJOIN(,,D592:O592),Aux!$B$3:$B$4098,'Truth Table'!$O$3:$S$4098)=1,FALSE)</f>
        <v>1</v>
      </c>
      <c r="R592" s="4" t="b">
        <v>0</v>
      </c>
      <c r="S592" s="4" t="b">
        <v>0</v>
      </c>
      <c r="T592" s="4" t="b">
        <v>0</v>
      </c>
      <c r="U592" s="4" t="b">
        <v>0</v>
      </c>
      <c r="V592" s="4" t="b">
        <f>AND(_xlfn.XLOOKUP(_xlfn.TEXTJOIN(,,D592:O592),Aux!$B$3:$B$4098,'Truth Table'!$T$3:$T$4098)=1,P591&lt;='Line Follower'!$C$7)</f>
        <v>0</v>
      </c>
      <c r="W592" s="4" t="b">
        <f>AND(_xlfn.XLOOKUP(_xlfn.TEXTJOIN(,,D592:O592),Aux!$B$3:$B$4098,'Truth Table'!$U$3:$U$4098)=1,P591&gt;='Line Follower'!$C$6)</f>
        <v>0</v>
      </c>
      <c r="X592" s="4" t="b">
        <f>IFERROR(AND(_xlfn.XLOOKUP(_xlfn.TEXTJOIN(,,D592:O592),Aux!$B$3:$B$4098,'Truth Table'!$V$3:$V$4098)=1,ABS(P591)&lt;='Line Follower'!$C$6),FALSE)</f>
        <v>0</v>
      </c>
      <c r="Y592" s="4" t="b">
        <f t="shared" si="9"/>
        <v>1</v>
      </c>
    </row>
    <row r="593" spans="2:25" x14ac:dyDescent="0.25">
      <c r="B593" s="4">
        <v>590</v>
      </c>
      <c r="C593" s="4">
        <v>4922</v>
      </c>
      <c r="D593" s="4">
        <v>0</v>
      </c>
      <c r="E593" s="4">
        <v>0</v>
      </c>
      <c r="F593" s="4">
        <v>0</v>
      </c>
      <c r="G593" s="4">
        <v>0</v>
      </c>
      <c r="H593" s="4">
        <v>0</v>
      </c>
      <c r="I593" s="4">
        <v>0</v>
      </c>
      <c r="J593" s="4">
        <v>0</v>
      </c>
      <c r="K593" s="4">
        <v>1</v>
      </c>
      <c r="L593" s="4">
        <v>1</v>
      </c>
      <c r="M593" s="4">
        <v>0</v>
      </c>
      <c r="N593" s="4">
        <v>0</v>
      </c>
      <c r="O593" s="4">
        <v>0</v>
      </c>
      <c r="P593" s="51">
        <f>IFERROR(_xlfn.XLOOKUP(_xlfn.TEXTJOIN(,,D592:O592),Aux!$B$3:$B$4098,'Truth Table'!$N$3:$N$4098),P592)</f>
        <v>4</v>
      </c>
      <c r="Q593" s="4" t="b" cm="1">
        <f t="array" ref="Q593:U593">IFERROR(_xlfn.XLOOKUP(_xlfn.TEXTJOIN(,,D593:O593),Aux!$B$3:$B$4098,'Truth Table'!$O$3:$S$4098)=1,FALSE)</f>
        <v>1</v>
      </c>
      <c r="R593" s="4" t="b">
        <v>0</v>
      </c>
      <c r="S593" s="4" t="b">
        <v>0</v>
      </c>
      <c r="T593" s="4" t="b">
        <v>0</v>
      </c>
      <c r="U593" s="4" t="b">
        <v>0</v>
      </c>
      <c r="V593" s="4" t="b">
        <f>AND(_xlfn.XLOOKUP(_xlfn.TEXTJOIN(,,D593:O593),Aux!$B$3:$B$4098,'Truth Table'!$T$3:$T$4098)=1,P592&lt;='Line Follower'!$C$7)</f>
        <v>0</v>
      </c>
      <c r="W593" s="4" t="b">
        <f>AND(_xlfn.XLOOKUP(_xlfn.TEXTJOIN(,,D593:O593),Aux!$B$3:$B$4098,'Truth Table'!$U$3:$U$4098)=1,P592&gt;='Line Follower'!$C$6)</f>
        <v>0</v>
      </c>
      <c r="X593" s="4" t="b">
        <f>IFERROR(AND(_xlfn.XLOOKUP(_xlfn.TEXTJOIN(,,D593:O593),Aux!$B$3:$B$4098,'Truth Table'!$V$3:$V$4098)=1,ABS(P592)&lt;='Line Follower'!$C$6),FALSE)</f>
        <v>0</v>
      </c>
      <c r="Y593" s="4" t="b">
        <f t="shared" si="9"/>
        <v>1</v>
      </c>
    </row>
    <row r="594" spans="2:25" x14ac:dyDescent="0.25">
      <c r="B594" s="4">
        <v>591</v>
      </c>
      <c r="C594" s="4">
        <v>4931</v>
      </c>
      <c r="D594" s="4">
        <v>0</v>
      </c>
      <c r="E594" s="4">
        <v>0</v>
      </c>
      <c r="F594" s="4">
        <v>0</v>
      </c>
      <c r="G594" s="4">
        <v>0</v>
      </c>
      <c r="H594" s="4">
        <v>0</v>
      </c>
      <c r="I594" s="4">
        <v>0</v>
      </c>
      <c r="J594" s="4">
        <v>0</v>
      </c>
      <c r="K594" s="4">
        <v>1</v>
      </c>
      <c r="L594" s="4">
        <v>1</v>
      </c>
      <c r="M594" s="4">
        <v>0</v>
      </c>
      <c r="N594" s="4">
        <v>0</v>
      </c>
      <c r="O594" s="4">
        <v>0</v>
      </c>
      <c r="P594" s="51">
        <f>IFERROR(_xlfn.XLOOKUP(_xlfn.TEXTJOIN(,,D593:O593),Aux!$B$3:$B$4098,'Truth Table'!$N$3:$N$4098),P593)</f>
        <v>4</v>
      </c>
      <c r="Q594" s="4" t="b" cm="1">
        <f t="array" ref="Q594:U594">IFERROR(_xlfn.XLOOKUP(_xlfn.TEXTJOIN(,,D594:O594),Aux!$B$3:$B$4098,'Truth Table'!$O$3:$S$4098)=1,FALSE)</f>
        <v>1</v>
      </c>
      <c r="R594" s="4" t="b">
        <v>0</v>
      </c>
      <c r="S594" s="4" t="b">
        <v>0</v>
      </c>
      <c r="T594" s="4" t="b">
        <v>0</v>
      </c>
      <c r="U594" s="4" t="b">
        <v>0</v>
      </c>
      <c r="V594" s="4" t="b">
        <f>AND(_xlfn.XLOOKUP(_xlfn.TEXTJOIN(,,D594:O594),Aux!$B$3:$B$4098,'Truth Table'!$T$3:$T$4098)=1,P593&lt;='Line Follower'!$C$7)</f>
        <v>0</v>
      </c>
      <c r="W594" s="4" t="b">
        <f>AND(_xlfn.XLOOKUP(_xlfn.TEXTJOIN(,,D594:O594),Aux!$B$3:$B$4098,'Truth Table'!$U$3:$U$4098)=1,P593&gt;='Line Follower'!$C$6)</f>
        <v>0</v>
      </c>
      <c r="X594" s="4" t="b">
        <f>IFERROR(AND(_xlfn.XLOOKUP(_xlfn.TEXTJOIN(,,D594:O594),Aux!$B$3:$B$4098,'Truth Table'!$V$3:$V$4098)=1,ABS(P593)&lt;='Line Follower'!$C$6),FALSE)</f>
        <v>0</v>
      </c>
      <c r="Y594" s="4" t="b">
        <f t="shared" si="9"/>
        <v>1</v>
      </c>
    </row>
    <row r="595" spans="2:25" x14ac:dyDescent="0.25">
      <c r="B595" s="4">
        <v>592</v>
      </c>
      <c r="C595" s="4">
        <v>4937</v>
      </c>
      <c r="D595" s="4">
        <v>0</v>
      </c>
      <c r="E595" s="4">
        <v>0</v>
      </c>
      <c r="F595" s="4">
        <v>0</v>
      </c>
      <c r="G595" s="4">
        <v>0</v>
      </c>
      <c r="H595" s="4">
        <v>0</v>
      </c>
      <c r="I595" s="4">
        <v>0</v>
      </c>
      <c r="J595" s="4">
        <v>0</v>
      </c>
      <c r="K595" s="4">
        <v>1</v>
      </c>
      <c r="L595" s="4">
        <v>1</v>
      </c>
      <c r="M595" s="4">
        <v>0</v>
      </c>
      <c r="N595" s="4">
        <v>0</v>
      </c>
      <c r="O595" s="4">
        <v>0</v>
      </c>
      <c r="P595" s="51">
        <f>IFERROR(_xlfn.XLOOKUP(_xlfn.TEXTJOIN(,,D594:O594),Aux!$B$3:$B$4098,'Truth Table'!$N$3:$N$4098),P594)</f>
        <v>4</v>
      </c>
      <c r="Q595" s="4" t="b" cm="1">
        <f t="array" ref="Q595:U595">IFERROR(_xlfn.XLOOKUP(_xlfn.TEXTJOIN(,,D595:O595),Aux!$B$3:$B$4098,'Truth Table'!$O$3:$S$4098)=1,FALSE)</f>
        <v>1</v>
      </c>
      <c r="R595" s="4" t="b">
        <v>0</v>
      </c>
      <c r="S595" s="4" t="b">
        <v>0</v>
      </c>
      <c r="T595" s="4" t="b">
        <v>0</v>
      </c>
      <c r="U595" s="4" t="b">
        <v>0</v>
      </c>
      <c r="V595" s="4" t="b">
        <f>AND(_xlfn.XLOOKUP(_xlfn.TEXTJOIN(,,D595:O595),Aux!$B$3:$B$4098,'Truth Table'!$T$3:$T$4098)=1,P594&lt;='Line Follower'!$C$7)</f>
        <v>0</v>
      </c>
      <c r="W595" s="4" t="b">
        <f>AND(_xlfn.XLOOKUP(_xlfn.TEXTJOIN(,,D595:O595),Aux!$B$3:$B$4098,'Truth Table'!$U$3:$U$4098)=1,P594&gt;='Line Follower'!$C$6)</f>
        <v>0</v>
      </c>
      <c r="X595" s="4" t="b">
        <f>IFERROR(AND(_xlfn.XLOOKUP(_xlfn.TEXTJOIN(,,D595:O595),Aux!$B$3:$B$4098,'Truth Table'!$V$3:$V$4098)=1,ABS(P594)&lt;='Line Follower'!$C$6),FALSE)</f>
        <v>0</v>
      </c>
      <c r="Y595" s="4" t="b">
        <f t="shared" si="9"/>
        <v>1</v>
      </c>
    </row>
    <row r="596" spans="2:25" x14ac:dyDescent="0.25">
      <c r="B596" s="4">
        <v>593</v>
      </c>
      <c r="C596" s="4">
        <v>4950</v>
      </c>
      <c r="D596" s="4">
        <v>0</v>
      </c>
      <c r="E596" s="4">
        <v>0</v>
      </c>
      <c r="F596" s="4">
        <v>0</v>
      </c>
      <c r="G596" s="4">
        <v>0</v>
      </c>
      <c r="H596" s="4">
        <v>0</v>
      </c>
      <c r="I596" s="4">
        <v>0</v>
      </c>
      <c r="J596" s="4">
        <v>0</v>
      </c>
      <c r="K596" s="4">
        <v>1</v>
      </c>
      <c r="L596" s="4">
        <v>1</v>
      </c>
      <c r="M596" s="4">
        <v>0</v>
      </c>
      <c r="N596" s="4">
        <v>0</v>
      </c>
      <c r="O596" s="4">
        <v>0</v>
      </c>
      <c r="P596" s="51">
        <f>IFERROR(_xlfn.XLOOKUP(_xlfn.TEXTJOIN(,,D595:O595),Aux!$B$3:$B$4098,'Truth Table'!$N$3:$N$4098),P595)</f>
        <v>4</v>
      </c>
      <c r="Q596" s="4" t="b" cm="1">
        <f t="array" ref="Q596:U596">IFERROR(_xlfn.XLOOKUP(_xlfn.TEXTJOIN(,,D596:O596),Aux!$B$3:$B$4098,'Truth Table'!$O$3:$S$4098)=1,FALSE)</f>
        <v>1</v>
      </c>
      <c r="R596" s="4" t="b">
        <v>0</v>
      </c>
      <c r="S596" s="4" t="b">
        <v>0</v>
      </c>
      <c r="T596" s="4" t="b">
        <v>0</v>
      </c>
      <c r="U596" s="4" t="b">
        <v>0</v>
      </c>
      <c r="V596" s="4" t="b">
        <f>AND(_xlfn.XLOOKUP(_xlfn.TEXTJOIN(,,D596:O596),Aux!$B$3:$B$4098,'Truth Table'!$T$3:$T$4098)=1,P595&lt;='Line Follower'!$C$7)</f>
        <v>0</v>
      </c>
      <c r="W596" s="4" t="b">
        <f>AND(_xlfn.XLOOKUP(_xlfn.TEXTJOIN(,,D596:O596),Aux!$B$3:$B$4098,'Truth Table'!$U$3:$U$4098)=1,P595&gt;='Line Follower'!$C$6)</f>
        <v>0</v>
      </c>
      <c r="X596" s="4" t="b">
        <f>IFERROR(AND(_xlfn.XLOOKUP(_xlfn.TEXTJOIN(,,D596:O596),Aux!$B$3:$B$4098,'Truth Table'!$V$3:$V$4098)=1,ABS(P595)&lt;='Line Follower'!$C$6),FALSE)</f>
        <v>0</v>
      </c>
      <c r="Y596" s="4" t="b">
        <f t="shared" si="9"/>
        <v>1</v>
      </c>
    </row>
    <row r="597" spans="2:25" x14ac:dyDescent="0.25">
      <c r="B597" s="4">
        <v>594</v>
      </c>
      <c r="C597" s="4">
        <v>4964</v>
      </c>
      <c r="D597" s="4">
        <v>0</v>
      </c>
      <c r="E597" s="4">
        <v>0</v>
      </c>
      <c r="F597" s="4">
        <v>0</v>
      </c>
      <c r="G597" s="4">
        <v>0</v>
      </c>
      <c r="H597" s="4">
        <v>0</v>
      </c>
      <c r="I597" s="4">
        <v>0</v>
      </c>
      <c r="J597" s="4">
        <v>0</v>
      </c>
      <c r="K597" s="4">
        <v>1</v>
      </c>
      <c r="L597" s="4">
        <v>1</v>
      </c>
      <c r="M597" s="4">
        <v>0</v>
      </c>
      <c r="N597" s="4">
        <v>0</v>
      </c>
      <c r="O597" s="4">
        <v>0</v>
      </c>
      <c r="P597" s="51">
        <f>IFERROR(_xlfn.XLOOKUP(_xlfn.TEXTJOIN(,,D596:O596),Aux!$B$3:$B$4098,'Truth Table'!$N$3:$N$4098),P596)</f>
        <v>4</v>
      </c>
      <c r="Q597" s="4" t="b" cm="1">
        <f t="array" ref="Q597:U597">IFERROR(_xlfn.XLOOKUP(_xlfn.TEXTJOIN(,,D597:O597),Aux!$B$3:$B$4098,'Truth Table'!$O$3:$S$4098)=1,FALSE)</f>
        <v>1</v>
      </c>
      <c r="R597" s="4" t="b">
        <v>0</v>
      </c>
      <c r="S597" s="4" t="b">
        <v>0</v>
      </c>
      <c r="T597" s="4" t="b">
        <v>0</v>
      </c>
      <c r="U597" s="4" t="b">
        <v>0</v>
      </c>
      <c r="V597" s="4" t="b">
        <f>AND(_xlfn.XLOOKUP(_xlfn.TEXTJOIN(,,D597:O597),Aux!$B$3:$B$4098,'Truth Table'!$T$3:$T$4098)=1,P596&lt;='Line Follower'!$C$7)</f>
        <v>0</v>
      </c>
      <c r="W597" s="4" t="b">
        <f>AND(_xlfn.XLOOKUP(_xlfn.TEXTJOIN(,,D597:O597),Aux!$B$3:$B$4098,'Truth Table'!$U$3:$U$4098)=1,P596&gt;='Line Follower'!$C$6)</f>
        <v>0</v>
      </c>
      <c r="X597" s="4" t="b">
        <f>IFERROR(AND(_xlfn.XLOOKUP(_xlfn.TEXTJOIN(,,D597:O597),Aux!$B$3:$B$4098,'Truth Table'!$V$3:$V$4098)=1,ABS(P596)&lt;='Line Follower'!$C$6),FALSE)</f>
        <v>0</v>
      </c>
      <c r="Y597" s="4" t="b">
        <f t="shared" si="9"/>
        <v>1</v>
      </c>
    </row>
    <row r="598" spans="2:25" x14ac:dyDescent="0.25">
      <c r="B598" s="4">
        <v>595</v>
      </c>
      <c r="C598" s="4">
        <v>4969</v>
      </c>
      <c r="D598" s="4">
        <v>0</v>
      </c>
      <c r="E598" s="4">
        <v>0</v>
      </c>
      <c r="F598" s="4">
        <v>0</v>
      </c>
      <c r="G598" s="4">
        <v>0</v>
      </c>
      <c r="H598" s="4">
        <v>0</v>
      </c>
      <c r="I598" s="4">
        <v>0</v>
      </c>
      <c r="J598" s="4">
        <v>0</v>
      </c>
      <c r="K598" s="4">
        <v>1</v>
      </c>
      <c r="L598" s="4">
        <v>1</v>
      </c>
      <c r="M598" s="4">
        <v>0</v>
      </c>
      <c r="N598" s="4">
        <v>0</v>
      </c>
      <c r="O598" s="4">
        <v>0</v>
      </c>
      <c r="P598" s="51">
        <f>IFERROR(_xlfn.XLOOKUP(_xlfn.TEXTJOIN(,,D597:O597),Aux!$B$3:$B$4098,'Truth Table'!$N$3:$N$4098),P597)</f>
        <v>4</v>
      </c>
      <c r="Q598" s="4" t="b" cm="1">
        <f t="array" ref="Q598:U598">IFERROR(_xlfn.XLOOKUP(_xlfn.TEXTJOIN(,,D598:O598),Aux!$B$3:$B$4098,'Truth Table'!$O$3:$S$4098)=1,FALSE)</f>
        <v>1</v>
      </c>
      <c r="R598" s="4" t="b">
        <v>0</v>
      </c>
      <c r="S598" s="4" t="b">
        <v>0</v>
      </c>
      <c r="T598" s="4" t="b">
        <v>0</v>
      </c>
      <c r="U598" s="4" t="b">
        <v>0</v>
      </c>
      <c r="V598" s="4" t="b">
        <f>AND(_xlfn.XLOOKUP(_xlfn.TEXTJOIN(,,D598:O598),Aux!$B$3:$B$4098,'Truth Table'!$T$3:$T$4098)=1,P597&lt;='Line Follower'!$C$7)</f>
        <v>0</v>
      </c>
      <c r="W598" s="4" t="b">
        <f>AND(_xlfn.XLOOKUP(_xlfn.TEXTJOIN(,,D598:O598),Aux!$B$3:$B$4098,'Truth Table'!$U$3:$U$4098)=1,P597&gt;='Line Follower'!$C$6)</f>
        <v>0</v>
      </c>
      <c r="X598" s="4" t="b">
        <f>IFERROR(AND(_xlfn.XLOOKUP(_xlfn.TEXTJOIN(,,D598:O598),Aux!$B$3:$B$4098,'Truth Table'!$V$3:$V$4098)=1,ABS(P597)&lt;='Line Follower'!$C$6),FALSE)</f>
        <v>0</v>
      </c>
      <c r="Y598" s="4" t="b">
        <f t="shared" si="9"/>
        <v>1</v>
      </c>
    </row>
    <row r="599" spans="2:25" x14ac:dyDescent="0.25">
      <c r="B599" s="4">
        <v>596</v>
      </c>
      <c r="C599" s="4">
        <v>4986</v>
      </c>
      <c r="D599" s="4">
        <v>0</v>
      </c>
      <c r="E599" s="4">
        <v>0</v>
      </c>
      <c r="F599" s="4">
        <v>0</v>
      </c>
      <c r="G599" s="4">
        <v>0</v>
      </c>
      <c r="H599" s="4">
        <v>0</v>
      </c>
      <c r="I599" s="4">
        <v>0</v>
      </c>
      <c r="J599" s="4">
        <v>0</v>
      </c>
      <c r="K599" s="4">
        <v>0</v>
      </c>
      <c r="L599" s="4">
        <v>1</v>
      </c>
      <c r="M599" s="4">
        <v>1</v>
      </c>
      <c r="N599" s="4">
        <v>0</v>
      </c>
      <c r="O599" s="4">
        <v>0</v>
      </c>
      <c r="P599" s="51">
        <f>IFERROR(_xlfn.XLOOKUP(_xlfn.TEXTJOIN(,,D598:O598),Aux!$B$3:$B$4098,'Truth Table'!$N$3:$N$4098),P598)</f>
        <v>4</v>
      </c>
      <c r="Q599" s="4" t="b" cm="1">
        <f t="array" ref="Q599:U599">IFERROR(_xlfn.XLOOKUP(_xlfn.TEXTJOIN(,,D599:O599),Aux!$B$3:$B$4098,'Truth Table'!$O$3:$S$4098)=1,FALSE)</f>
        <v>1</v>
      </c>
      <c r="R599" s="4" t="b">
        <v>0</v>
      </c>
      <c r="S599" s="4" t="b">
        <v>0</v>
      </c>
      <c r="T599" s="4" t="b">
        <v>0</v>
      </c>
      <c r="U599" s="4" t="b">
        <v>0</v>
      </c>
      <c r="V599" s="4" t="b">
        <f>AND(_xlfn.XLOOKUP(_xlfn.TEXTJOIN(,,D599:O599),Aux!$B$3:$B$4098,'Truth Table'!$T$3:$T$4098)=1,P598&lt;='Line Follower'!$C$7)</f>
        <v>0</v>
      </c>
      <c r="W599" s="4" t="b">
        <f>AND(_xlfn.XLOOKUP(_xlfn.TEXTJOIN(,,D599:O599),Aux!$B$3:$B$4098,'Truth Table'!$U$3:$U$4098)=1,P598&gt;='Line Follower'!$C$6)</f>
        <v>0</v>
      </c>
      <c r="X599" s="4" t="b">
        <f>IFERROR(AND(_xlfn.XLOOKUP(_xlfn.TEXTJOIN(,,D599:O599),Aux!$B$3:$B$4098,'Truth Table'!$V$3:$V$4098)=1,ABS(P598)&lt;='Line Follower'!$C$6),FALSE)</f>
        <v>0</v>
      </c>
      <c r="Y599" s="4" t="b">
        <f t="shared" si="9"/>
        <v>1</v>
      </c>
    </row>
    <row r="600" spans="2:25" x14ac:dyDescent="0.25">
      <c r="B600" s="4">
        <v>597</v>
      </c>
      <c r="C600" s="4">
        <v>4994</v>
      </c>
      <c r="D600" s="4">
        <v>0</v>
      </c>
      <c r="E600" s="4">
        <v>0</v>
      </c>
      <c r="F600" s="4">
        <v>0</v>
      </c>
      <c r="G600" s="4">
        <v>0</v>
      </c>
      <c r="H600" s="4">
        <v>0</v>
      </c>
      <c r="I600" s="4">
        <v>0</v>
      </c>
      <c r="J600" s="4">
        <v>0</v>
      </c>
      <c r="K600" s="4">
        <v>0</v>
      </c>
      <c r="L600" s="4">
        <v>1</v>
      </c>
      <c r="M600" s="4">
        <v>1</v>
      </c>
      <c r="N600" s="4">
        <v>0</v>
      </c>
      <c r="O600" s="4">
        <v>0</v>
      </c>
      <c r="P600" s="51">
        <f>IFERROR(_xlfn.XLOOKUP(_xlfn.TEXTJOIN(,,D599:O599),Aux!$B$3:$B$4098,'Truth Table'!$N$3:$N$4098),P599)</f>
        <v>6</v>
      </c>
      <c r="Q600" s="4" t="b" cm="1">
        <f t="array" ref="Q600:U600">IFERROR(_xlfn.XLOOKUP(_xlfn.TEXTJOIN(,,D600:O600),Aux!$B$3:$B$4098,'Truth Table'!$O$3:$S$4098)=1,FALSE)</f>
        <v>1</v>
      </c>
      <c r="R600" s="4" t="b">
        <v>0</v>
      </c>
      <c r="S600" s="4" t="b">
        <v>0</v>
      </c>
      <c r="T600" s="4" t="b">
        <v>0</v>
      </c>
      <c r="U600" s="4" t="b">
        <v>0</v>
      </c>
      <c r="V600" s="4" t="b">
        <f>AND(_xlfn.XLOOKUP(_xlfn.TEXTJOIN(,,D600:O600),Aux!$B$3:$B$4098,'Truth Table'!$T$3:$T$4098)=1,P599&lt;='Line Follower'!$C$7)</f>
        <v>0</v>
      </c>
      <c r="W600" s="4" t="b">
        <f>AND(_xlfn.XLOOKUP(_xlfn.TEXTJOIN(,,D600:O600),Aux!$B$3:$B$4098,'Truth Table'!$U$3:$U$4098)=1,P599&gt;='Line Follower'!$C$6)</f>
        <v>0</v>
      </c>
      <c r="X600" s="4" t="b">
        <f>IFERROR(AND(_xlfn.XLOOKUP(_xlfn.TEXTJOIN(,,D600:O600),Aux!$B$3:$B$4098,'Truth Table'!$V$3:$V$4098)=1,ABS(P599)&lt;='Line Follower'!$C$6),FALSE)</f>
        <v>0</v>
      </c>
      <c r="Y600" s="4" t="b">
        <f t="shared" si="9"/>
        <v>1</v>
      </c>
    </row>
    <row r="601" spans="2:25" x14ac:dyDescent="0.25">
      <c r="B601" s="4">
        <v>598</v>
      </c>
      <c r="C601" s="4">
        <v>4994</v>
      </c>
      <c r="D601" s="4">
        <v>0</v>
      </c>
      <c r="E601" s="4">
        <v>0</v>
      </c>
      <c r="F601" s="4">
        <v>0</v>
      </c>
      <c r="G601" s="4">
        <v>0</v>
      </c>
      <c r="H601" s="4">
        <v>0</v>
      </c>
      <c r="I601" s="4">
        <v>0</v>
      </c>
      <c r="J601" s="4">
        <v>0</v>
      </c>
      <c r="K601" s="4">
        <v>0</v>
      </c>
      <c r="L601" s="4">
        <v>1</v>
      </c>
      <c r="M601" s="4">
        <v>1</v>
      </c>
      <c r="N601" s="4">
        <v>0</v>
      </c>
      <c r="O601" s="4">
        <v>0</v>
      </c>
      <c r="P601" s="51">
        <f>IFERROR(_xlfn.XLOOKUP(_xlfn.TEXTJOIN(,,D600:O600),Aux!$B$3:$B$4098,'Truth Table'!$N$3:$N$4098),P600)</f>
        <v>6</v>
      </c>
      <c r="Q601" s="4" t="b" cm="1">
        <f t="array" ref="Q601:U601">IFERROR(_xlfn.XLOOKUP(_xlfn.TEXTJOIN(,,D601:O601),Aux!$B$3:$B$4098,'Truth Table'!$O$3:$S$4098)=1,FALSE)</f>
        <v>1</v>
      </c>
      <c r="R601" s="4" t="b">
        <v>0</v>
      </c>
      <c r="S601" s="4" t="b">
        <v>0</v>
      </c>
      <c r="T601" s="4" t="b">
        <v>0</v>
      </c>
      <c r="U601" s="4" t="b">
        <v>0</v>
      </c>
      <c r="V601" s="4" t="b">
        <f>AND(_xlfn.XLOOKUP(_xlfn.TEXTJOIN(,,D601:O601),Aux!$B$3:$B$4098,'Truth Table'!$T$3:$T$4098)=1,P600&lt;='Line Follower'!$C$7)</f>
        <v>0</v>
      </c>
      <c r="W601" s="4" t="b">
        <f>AND(_xlfn.XLOOKUP(_xlfn.TEXTJOIN(,,D601:O601),Aux!$B$3:$B$4098,'Truth Table'!$U$3:$U$4098)=1,P600&gt;='Line Follower'!$C$6)</f>
        <v>0</v>
      </c>
      <c r="X601" s="4" t="b">
        <f>IFERROR(AND(_xlfn.XLOOKUP(_xlfn.TEXTJOIN(,,D601:O601),Aux!$B$3:$B$4098,'Truth Table'!$V$3:$V$4098)=1,ABS(P600)&lt;='Line Follower'!$C$6),FALSE)</f>
        <v>0</v>
      </c>
      <c r="Y601" s="4" t="b">
        <f t="shared" si="9"/>
        <v>1</v>
      </c>
    </row>
    <row r="602" spans="2:25" x14ac:dyDescent="0.25">
      <c r="B602" s="4">
        <v>599</v>
      </c>
      <c r="C602" s="4">
        <v>5003</v>
      </c>
      <c r="D602" s="4">
        <v>0</v>
      </c>
      <c r="E602" s="4">
        <v>0</v>
      </c>
      <c r="F602" s="4">
        <v>0</v>
      </c>
      <c r="G602" s="4">
        <v>0</v>
      </c>
      <c r="H602" s="4">
        <v>0</v>
      </c>
      <c r="I602" s="4">
        <v>0</v>
      </c>
      <c r="J602" s="4">
        <v>0</v>
      </c>
      <c r="K602" s="4">
        <v>0</v>
      </c>
      <c r="L602" s="4">
        <v>1</v>
      </c>
      <c r="M602" s="4">
        <v>1</v>
      </c>
      <c r="N602" s="4">
        <v>0</v>
      </c>
      <c r="O602" s="4">
        <v>0</v>
      </c>
      <c r="P602" s="51">
        <f>IFERROR(_xlfn.XLOOKUP(_xlfn.TEXTJOIN(,,D601:O601),Aux!$B$3:$B$4098,'Truth Table'!$N$3:$N$4098),P601)</f>
        <v>6</v>
      </c>
      <c r="Q602" s="4" t="b" cm="1">
        <f t="array" ref="Q602:U602">IFERROR(_xlfn.XLOOKUP(_xlfn.TEXTJOIN(,,D602:O602),Aux!$B$3:$B$4098,'Truth Table'!$O$3:$S$4098)=1,FALSE)</f>
        <v>1</v>
      </c>
      <c r="R602" s="4" t="b">
        <v>0</v>
      </c>
      <c r="S602" s="4" t="b">
        <v>0</v>
      </c>
      <c r="T602" s="4" t="b">
        <v>0</v>
      </c>
      <c r="U602" s="4" t="b">
        <v>0</v>
      </c>
      <c r="V602" s="4" t="b">
        <f>AND(_xlfn.XLOOKUP(_xlfn.TEXTJOIN(,,D602:O602),Aux!$B$3:$B$4098,'Truth Table'!$T$3:$T$4098)=1,P601&lt;='Line Follower'!$C$7)</f>
        <v>0</v>
      </c>
      <c r="W602" s="4" t="b">
        <f>AND(_xlfn.XLOOKUP(_xlfn.TEXTJOIN(,,D602:O602),Aux!$B$3:$B$4098,'Truth Table'!$U$3:$U$4098)=1,P601&gt;='Line Follower'!$C$6)</f>
        <v>0</v>
      </c>
      <c r="X602" s="4" t="b">
        <f>IFERROR(AND(_xlfn.XLOOKUP(_xlfn.TEXTJOIN(,,D602:O602),Aux!$B$3:$B$4098,'Truth Table'!$V$3:$V$4098)=1,ABS(P601)&lt;='Line Follower'!$C$6),FALSE)</f>
        <v>0</v>
      </c>
      <c r="Y602" s="4" t="b">
        <f t="shared" si="9"/>
        <v>1</v>
      </c>
    </row>
    <row r="603" spans="2:25" x14ac:dyDescent="0.25">
      <c r="B603" s="4">
        <v>600</v>
      </c>
      <c r="C603" s="4">
        <v>5017</v>
      </c>
      <c r="D603" s="4">
        <v>0</v>
      </c>
      <c r="E603" s="4">
        <v>0</v>
      </c>
      <c r="F603" s="4">
        <v>0</v>
      </c>
      <c r="G603" s="4">
        <v>0</v>
      </c>
      <c r="H603" s="4">
        <v>0</v>
      </c>
      <c r="I603" s="4">
        <v>0</v>
      </c>
      <c r="J603" s="4">
        <v>0</v>
      </c>
      <c r="K603" s="4">
        <v>0</v>
      </c>
      <c r="L603" s="4">
        <v>1</v>
      </c>
      <c r="M603" s="4">
        <v>1</v>
      </c>
      <c r="N603" s="4">
        <v>0</v>
      </c>
      <c r="O603" s="4">
        <v>0</v>
      </c>
      <c r="P603" s="51">
        <f>IFERROR(_xlfn.XLOOKUP(_xlfn.TEXTJOIN(,,D602:O602),Aux!$B$3:$B$4098,'Truth Table'!$N$3:$N$4098),P602)</f>
        <v>6</v>
      </c>
      <c r="Q603" s="4" t="b" cm="1">
        <f t="array" ref="Q603:U603">IFERROR(_xlfn.XLOOKUP(_xlfn.TEXTJOIN(,,D603:O603),Aux!$B$3:$B$4098,'Truth Table'!$O$3:$S$4098)=1,FALSE)</f>
        <v>1</v>
      </c>
      <c r="R603" s="4" t="b">
        <v>0</v>
      </c>
      <c r="S603" s="4" t="b">
        <v>0</v>
      </c>
      <c r="T603" s="4" t="b">
        <v>0</v>
      </c>
      <c r="U603" s="4" t="b">
        <v>0</v>
      </c>
      <c r="V603" s="4" t="b">
        <f>AND(_xlfn.XLOOKUP(_xlfn.TEXTJOIN(,,D603:O603),Aux!$B$3:$B$4098,'Truth Table'!$T$3:$T$4098)=1,P602&lt;='Line Follower'!$C$7)</f>
        <v>0</v>
      </c>
      <c r="W603" s="4" t="b">
        <f>AND(_xlfn.XLOOKUP(_xlfn.TEXTJOIN(,,D603:O603),Aux!$B$3:$B$4098,'Truth Table'!$U$3:$U$4098)=1,P602&gt;='Line Follower'!$C$6)</f>
        <v>0</v>
      </c>
      <c r="X603" s="4" t="b">
        <f>IFERROR(AND(_xlfn.XLOOKUP(_xlfn.TEXTJOIN(,,D603:O603),Aux!$B$3:$B$4098,'Truth Table'!$V$3:$V$4098)=1,ABS(P602)&lt;='Line Follower'!$C$6),FALSE)</f>
        <v>0</v>
      </c>
      <c r="Y603" s="4" t="b">
        <f t="shared" si="9"/>
        <v>1</v>
      </c>
    </row>
    <row r="604" spans="2:25" x14ac:dyDescent="0.25">
      <c r="B604" s="4">
        <v>601</v>
      </c>
      <c r="C604" s="4">
        <v>5023</v>
      </c>
      <c r="D604" s="4">
        <v>0</v>
      </c>
      <c r="E604" s="4">
        <v>0</v>
      </c>
      <c r="F604" s="4">
        <v>0</v>
      </c>
      <c r="G604" s="4">
        <v>0</v>
      </c>
      <c r="H604" s="4">
        <v>0</v>
      </c>
      <c r="I604" s="4">
        <v>0</v>
      </c>
      <c r="J604" s="4">
        <v>0</v>
      </c>
      <c r="K604" s="4">
        <v>0</v>
      </c>
      <c r="L604" s="4">
        <v>1</v>
      </c>
      <c r="M604" s="4">
        <v>1</v>
      </c>
      <c r="N604" s="4">
        <v>0</v>
      </c>
      <c r="O604" s="4">
        <v>0</v>
      </c>
      <c r="P604" s="51">
        <f>IFERROR(_xlfn.XLOOKUP(_xlfn.TEXTJOIN(,,D603:O603),Aux!$B$3:$B$4098,'Truth Table'!$N$3:$N$4098),P603)</f>
        <v>6</v>
      </c>
      <c r="Q604" s="4" t="b" cm="1">
        <f t="array" ref="Q604:U604">IFERROR(_xlfn.XLOOKUP(_xlfn.TEXTJOIN(,,D604:O604),Aux!$B$3:$B$4098,'Truth Table'!$O$3:$S$4098)=1,FALSE)</f>
        <v>1</v>
      </c>
      <c r="R604" s="4" t="b">
        <v>0</v>
      </c>
      <c r="S604" s="4" t="b">
        <v>0</v>
      </c>
      <c r="T604" s="4" t="b">
        <v>0</v>
      </c>
      <c r="U604" s="4" t="b">
        <v>0</v>
      </c>
      <c r="V604" s="4" t="b">
        <f>AND(_xlfn.XLOOKUP(_xlfn.TEXTJOIN(,,D604:O604),Aux!$B$3:$B$4098,'Truth Table'!$T$3:$T$4098)=1,P603&lt;='Line Follower'!$C$7)</f>
        <v>0</v>
      </c>
      <c r="W604" s="4" t="b">
        <f>AND(_xlfn.XLOOKUP(_xlfn.TEXTJOIN(,,D604:O604),Aux!$B$3:$B$4098,'Truth Table'!$U$3:$U$4098)=1,P603&gt;='Line Follower'!$C$6)</f>
        <v>0</v>
      </c>
      <c r="X604" s="4" t="b">
        <f>IFERROR(AND(_xlfn.XLOOKUP(_xlfn.TEXTJOIN(,,D604:O604),Aux!$B$3:$B$4098,'Truth Table'!$V$3:$V$4098)=1,ABS(P603)&lt;='Line Follower'!$C$6),FALSE)</f>
        <v>0</v>
      </c>
      <c r="Y604" s="4" t="b">
        <f t="shared" si="9"/>
        <v>1</v>
      </c>
    </row>
    <row r="605" spans="2:25" x14ac:dyDescent="0.25">
      <c r="B605" s="4">
        <v>602</v>
      </c>
      <c r="C605" s="4">
        <v>5037</v>
      </c>
      <c r="D605" s="4">
        <v>0</v>
      </c>
      <c r="E605" s="4">
        <v>0</v>
      </c>
      <c r="F605" s="4">
        <v>0</v>
      </c>
      <c r="G605" s="4">
        <v>0</v>
      </c>
      <c r="H605" s="4">
        <v>0</v>
      </c>
      <c r="I605" s="4">
        <v>0</v>
      </c>
      <c r="J605" s="4">
        <v>0</v>
      </c>
      <c r="K605" s="4">
        <v>0</v>
      </c>
      <c r="L605" s="4">
        <v>1</v>
      </c>
      <c r="M605" s="4">
        <v>1</v>
      </c>
      <c r="N605" s="4">
        <v>0</v>
      </c>
      <c r="O605" s="4">
        <v>0</v>
      </c>
      <c r="P605" s="51">
        <f>IFERROR(_xlfn.XLOOKUP(_xlfn.TEXTJOIN(,,D604:O604),Aux!$B$3:$B$4098,'Truth Table'!$N$3:$N$4098),P604)</f>
        <v>6</v>
      </c>
      <c r="Q605" s="4" t="b" cm="1">
        <f t="array" ref="Q605:U605">IFERROR(_xlfn.XLOOKUP(_xlfn.TEXTJOIN(,,D605:O605),Aux!$B$3:$B$4098,'Truth Table'!$O$3:$S$4098)=1,FALSE)</f>
        <v>1</v>
      </c>
      <c r="R605" s="4" t="b">
        <v>0</v>
      </c>
      <c r="S605" s="4" t="b">
        <v>0</v>
      </c>
      <c r="T605" s="4" t="b">
        <v>0</v>
      </c>
      <c r="U605" s="4" t="b">
        <v>0</v>
      </c>
      <c r="V605" s="4" t="b">
        <f>AND(_xlfn.XLOOKUP(_xlfn.TEXTJOIN(,,D605:O605),Aux!$B$3:$B$4098,'Truth Table'!$T$3:$T$4098)=1,P604&lt;='Line Follower'!$C$7)</f>
        <v>0</v>
      </c>
      <c r="W605" s="4" t="b">
        <f>AND(_xlfn.XLOOKUP(_xlfn.TEXTJOIN(,,D605:O605),Aux!$B$3:$B$4098,'Truth Table'!$U$3:$U$4098)=1,P604&gt;='Line Follower'!$C$6)</f>
        <v>0</v>
      </c>
      <c r="X605" s="4" t="b">
        <f>IFERROR(AND(_xlfn.XLOOKUP(_xlfn.TEXTJOIN(,,D605:O605),Aux!$B$3:$B$4098,'Truth Table'!$V$3:$V$4098)=1,ABS(P604)&lt;='Line Follower'!$C$6),FALSE)</f>
        <v>0</v>
      </c>
      <c r="Y605" s="4" t="b">
        <f t="shared" si="9"/>
        <v>1</v>
      </c>
    </row>
    <row r="606" spans="2:25" x14ac:dyDescent="0.25">
      <c r="B606" s="4">
        <v>603</v>
      </c>
      <c r="C606" s="4">
        <v>5044</v>
      </c>
      <c r="D606" s="4">
        <v>0</v>
      </c>
      <c r="E606" s="4">
        <v>0</v>
      </c>
      <c r="F606" s="4">
        <v>0</v>
      </c>
      <c r="G606" s="4">
        <v>0</v>
      </c>
      <c r="H606" s="4">
        <v>0</v>
      </c>
      <c r="I606" s="4">
        <v>0</v>
      </c>
      <c r="J606" s="4">
        <v>0</v>
      </c>
      <c r="K606" s="4">
        <v>0</v>
      </c>
      <c r="L606" s="4">
        <v>1</v>
      </c>
      <c r="M606" s="4">
        <v>1</v>
      </c>
      <c r="N606" s="4">
        <v>0</v>
      </c>
      <c r="O606" s="4">
        <v>0</v>
      </c>
      <c r="P606" s="51">
        <f>IFERROR(_xlfn.XLOOKUP(_xlfn.TEXTJOIN(,,D605:O605),Aux!$B$3:$B$4098,'Truth Table'!$N$3:$N$4098),P605)</f>
        <v>6</v>
      </c>
      <c r="Q606" s="4" t="b" cm="1">
        <f t="array" ref="Q606:U606">IFERROR(_xlfn.XLOOKUP(_xlfn.TEXTJOIN(,,D606:O606),Aux!$B$3:$B$4098,'Truth Table'!$O$3:$S$4098)=1,FALSE)</f>
        <v>1</v>
      </c>
      <c r="R606" s="4" t="b">
        <v>0</v>
      </c>
      <c r="S606" s="4" t="b">
        <v>0</v>
      </c>
      <c r="T606" s="4" t="b">
        <v>0</v>
      </c>
      <c r="U606" s="4" t="b">
        <v>0</v>
      </c>
      <c r="V606" s="4" t="b">
        <f>AND(_xlfn.XLOOKUP(_xlfn.TEXTJOIN(,,D606:O606),Aux!$B$3:$B$4098,'Truth Table'!$T$3:$T$4098)=1,P605&lt;='Line Follower'!$C$7)</f>
        <v>0</v>
      </c>
      <c r="W606" s="4" t="b">
        <f>AND(_xlfn.XLOOKUP(_xlfn.TEXTJOIN(,,D606:O606),Aux!$B$3:$B$4098,'Truth Table'!$U$3:$U$4098)=1,P605&gt;='Line Follower'!$C$6)</f>
        <v>0</v>
      </c>
      <c r="X606" s="4" t="b">
        <f>IFERROR(AND(_xlfn.XLOOKUP(_xlfn.TEXTJOIN(,,D606:O606),Aux!$B$3:$B$4098,'Truth Table'!$V$3:$V$4098)=1,ABS(P605)&lt;='Line Follower'!$C$6),FALSE)</f>
        <v>0</v>
      </c>
      <c r="Y606" s="4" t="b">
        <f t="shared" si="9"/>
        <v>1</v>
      </c>
    </row>
    <row r="607" spans="2:25" x14ac:dyDescent="0.25">
      <c r="B607" s="4">
        <v>604</v>
      </c>
      <c r="C607" s="4">
        <v>5093</v>
      </c>
      <c r="D607" s="4">
        <v>0</v>
      </c>
      <c r="E607" s="4">
        <v>0</v>
      </c>
      <c r="F607" s="4">
        <v>0</v>
      </c>
      <c r="G607" s="4">
        <v>0</v>
      </c>
      <c r="H607" s="4">
        <v>0</v>
      </c>
      <c r="I607" s="4">
        <v>0</v>
      </c>
      <c r="J607" s="4">
        <v>0</v>
      </c>
      <c r="K607" s="4">
        <v>0</v>
      </c>
      <c r="L607" s="4">
        <v>1</v>
      </c>
      <c r="M607" s="4">
        <v>1</v>
      </c>
      <c r="N607" s="4">
        <v>0</v>
      </c>
      <c r="O607" s="4">
        <v>0</v>
      </c>
      <c r="P607" s="51">
        <f>IFERROR(_xlfn.XLOOKUP(_xlfn.TEXTJOIN(,,D606:O606),Aux!$B$3:$B$4098,'Truth Table'!$N$3:$N$4098),P606)</f>
        <v>6</v>
      </c>
      <c r="Q607" s="4" t="b" cm="1">
        <f t="array" ref="Q607:U607">IFERROR(_xlfn.XLOOKUP(_xlfn.TEXTJOIN(,,D607:O607),Aux!$B$3:$B$4098,'Truth Table'!$O$3:$S$4098)=1,FALSE)</f>
        <v>1</v>
      </c>
      <c r="R607" s="4" t="b">
        <v>0</v>
      </c>
      <c r="S607" s="4" t="b">
        <v>0</v>
      </c>
      <c r="T607" s="4" t="b">
        <v>0</v>
      </c>
      <c r="U607" s="4" t="b">
        <v>0</v>
      </c>
      <c r="V607" s="4" t="b">
        <f>AND(_xlfn.XLOOKUP(_xlfn.TEXTJOIN(,,D607:O607),Aux!$B$3:$B$4098,'Truth Table'!$T$3:$T$4098)=1,P606&lt;='Line Follower'!$C$7)</f>
        <v>0</v>
      </c>
      <c r="W607" s="4" t="b">
        <f>AND(_xlfn.XLOOKUP(_xlfn.TEXTJOIN(,,D607:O607),Aux!$B$3:$B$4098,'Truth Table'!$U$3:$U$4098)=1,P606&gt;='Line Follower'!$C$6)</f>
        <v>0</v>
      </c>
      <c r="X607" s="4" t="b">
        <f>IFERROR(AND(_xlfn.XLOOKUP(_xlfn.TEXTJOIN(,,D607:O607),Aux!$B$3:$B$4098,'Truth Table'!$V$3:$V$4098)=1,ABS(P606)&lt;='Line Follower'!$C$6),FALSE)</f>
        <v>0</v>
      </c>
      <c r="Y607" s="4" t="b">
        <f t="shared" si="9"/>
        <v>1</v>
      </c>
    </row>
    <row r="608" spans="2:25" x14ac:dyDescent="0.25">
      <c r="B608" s="4">
        <v>605</v>
      </c>
      <c r="C608" s="4">
        <v>5094</v>
      </c>
      <c r="D608" s="4">
        <v>0</v>
      </c>
      <c r="E608" s="4">
        <v>0</v>
      </c>
      <c r="F608" s="4">
        <v>0</v>
      </c>
      <c r="G608" s="4">
        <v>0</v>
      </c>
      <c r="H608" s="4">
        <v>0</v>
      </c>
      <c r="I608" s="4">
        <v>0</v>
      </c>
      <c r="J608" s="4">
        <v>0</v>
      </c>
      <c r="K608" s="4">
        <v>0</v>
      </c>
      <c r="L608" s="4">
        <v>1</v>
      </c>
      <c r="M608" s="4">
        <v>1</v>
      </c>
      <c r="N608" s="4">
        <v>0</v>
      </c>
      <c r="O608" s="4">
        <v>0</v>
      </c>
      <c r="P608" s="51">
        <f>IFERROR(_xlfn.XLOOKUP(_xlfn.TEXTJOIN(,,D607:O607),Aux!$B$3:$B$4098,'Truth Table'!$N$3:$N$4098),P607)</f>
        <v>6</v>
      </c>
      <c r="Q608" s="4" t="b" cm="1">
        <f t="array" ref="Q608:U608">IFERROR(_xlfn.XLOOKUP(_xlfn.TEXTJOIN(,,D608:O608),Aux!$B$3:$B$4098,'Truth Table'!$O$3:$S$4098)=1,FALSE)</f>
        <v>1</v>
      </c>
      <c r="R608" s="4" t="b">
        <v>0</v>
      </c>
      <c r="S608" s="4" t="b">
        <v>0</v>
      </c>
      <c r="T608" s="4" t="b">
        <v>0</v>
      </c>
      <c r="U608" s="4" t="b">
        <v>0</v>
      </c>
      <c r="V608" s="4" t="b">
        <f>AND(_xlfn.XLOOKUP(_xlfn.TEXTJOIN(,,D608:O608),Aux!$B$3:$B$4098,'Truth Table'!$T$3:$T$4098)=1,P607&lt;='Line Follower'!$C$7)</f>
        <v>0</v>
      </c>
      <c r="W608" s="4" t="b">
        <f>AND(_xlfn.XLOOKUP(_xlfn.TEXTJOIN(,,D608:O608),Aux!$B$3:$B$4098,'Truth Table'!$U$3:$U$4098)=1,P607&gt;='Line Follower'!$C$6)</f>
        <v>0</v>
      </c>
      <c r="X608" s="4" t="b">
        <f>IFERROR(AND(_xlfn.XLOOKUP(_xlfn.TEXTJOIN(,,D608:O608),Aux!$B$3:$B$4098,'Truth Table'!$V$3:$V$4098)=1,ABS(P607)&lt;='Line Follower'!$C$6),FALSE)</f>
        <v>0</v>
      </c>
      <c r="Y608" s="4" t="b">
        <f t="shared" si="9"/>
        <v>1</v>
      </c>
    </row>
    <row r="609" spans="2:25" x14ac:dyDescent="0.25">
      <c r="B609" s="4">
        <v>606</v>
      </c>
      <c r="C609" s="4">
        <v>5096</v>
      </c>
      <c r="D609" s="4">
        <v>0</v>
      </c>
      <c r="E609" s="4">
        <v>0</v>
      </c>
      <c r="F609" s="4">
        <v>0</v>
      </c>
      <c r="G609" s="4">
        <v>0</v>
      </c>
      <c r="H609" s="4">
        <v>0</v>
      </c>
      <c r="I609" s="4">
        <v>0</v>
      </c>
      <c r="J609" s="4">
        <v>0</v>
      </c>
      <c r="K609" s="4">
        <v>0</v>
      </c>
      <c r="L609" s="4">
        <v>1</v>
      </c>
      <c r="M609" s="4">
        <v>1</v>
      </c>
      <c r="N609" s="4">
        <v>0</v>
      </c>
      <c r="O609" s="4">
        <v>0</v>
      </c>
      <c r="P609" s="51">
        <f>IFERROR(_xlfn.XLOOKUP(_xlfn.TEXTJOIN(,,D608:O608),Aux!$B$3:$B$4098,'Truth Table'!$N$3:$N$4098),P608)</f>
        <v>6</v>
      </c>
      <c r="Q609" s="4" t="b" cm="1">
        <f t="array" ref="Q609:U609">IFERROR(_xlfn.XLOOKUP(_xlfn.TEXTJOIN(,,D609:O609),Aux!$B$3:$B$4098,'Truth Table'!$O$3:$S$4098)=1,FALSE)</f>
        <v>1</v>
      </c>
      <c r="R609" s="4" t="b">
        <v>0</v>
      </c>
      <c r="S609" s="4" t="b">
        <v>0</v>
      </c>
      <c r="T609" s="4" t="b">
        <v>0</v>
      </c>
      <c r="U609" s="4" t="b">
        <v>0</v>
      </c>
      <c r="V609" s="4" t="b">
        <f>AND(_xlfn.XLOOKUP(_xlfn.TEXTJOIN(,,D609:O609),Aux!$B$3:$B$4098,'Truth Table'!$T$3:$T$4098)=1,P608&lt;='Line Follower'!$C$7)</f>
        <v>0</v>
      </c>
      <c r="W609" s="4" t="b">
        <f>AND(_xlfn.XLOOKUP(_xlfn.TEXTJOIN(,,D609:O609),Aux!$B$3:$B$4098,'Truth Table'!$U$3:$U$4098)=1,P608&gt;='Line Follower'!$C$6)</f>
        <v>0</v>
      </c>
      <c r="X609" s="4" t="b">
        <f>IFERROR(AND(_xlfn.XLOOKUP(_xlfn.TEXTJOIN(,,D609:O609),Aux!$B$3:$B$4098,'Truth Table'!$V$3:$V$4098)=1,ABS(P608)&lt;='Line Follower'!$C$6),FALSE)</f>
        <v>0</v>
      </c>
      <c r="Y609" s="4" t="b">
        <f t="shared" si="9"/>
        <v>1</v>
      </c>
    </row>
    <row r="610" spans="2:25" x14ac:dyDescent="0.25">
      <c r="B610" s="4">
        <v>607</v>
      </c>
      <c r="C610" s="4">
        <v>5097</v>
      </c>
      <c r="D610" s="4">
        <v>0</v>
      </c>
      <c r="E610" s="4">
        <v>0</v>
      </c>
      <c r="F610" s="4">
        <v>0</v>
      </c>
      <c r="G610" s="4">
        <v>0</v>
      </c>
      <c r="H610" s="4">
        <v>0</v>
      </c>
      <c r="I610" s="4">
        <v>0</v>
      </c>
      <c r="J610" s="4">
        <v>0</v>
      </c>
      <c r="K610" s="4">
        <v>0</v>
      </c>
      <c r="L610" s="4">
        <v>1</v>
      </c>
      <c r="M610" s="4">
        <v>1</v>
      </c>
      <c r="N610" s="4">
        <v>0</v>
      </c>
      <c r="O610" s="4">
        <v>0</v>
      </c>
      <c r="P610" s="51">
        <f>IFERROR(_xlfn.XLOOKUP(_xlfn.TEXTJOIN(,,D609:O609),Aux!$B$3:$B$4098,'Truth Table'!$N$3:$N$4098),P609)</f>
        <v>6</v>
      </c>
      <c r="Q610" s="4" t="b" cm="1">
        <f t="array" ref="Q610:U610">IFERROR(_xlfn.XLOOKUP(_xlfn.TEXTJOIN(,,D610:O610),Aux!$B$3:$B$4098,'Truth Table'!$O$3:$S$4098)=1,FALSE)</f>
        <v>1</v>
      </c>
      <c r="R610" s="4" t="b">
        <v>0</v>
      </c>
      <c r="S610" s="4" t="b">
        <v>0</v>
      </c>
      <c r="T610" s="4" t="b">
        <v>0</v>
      </c>
      <c r="U610" s="4" t="b">
        <v>0</v>
      </c>
      <c r="V610" s="4" t="b">
        <f>AND(_xlfn.XLOOKUP(_xlfn.TEXTJOIN(,,D610:O610),Aux!$B$3:$B$4098,'Truth Table'!$T$3:$T$4098)=1,P609&lt;='Line Follower'!$C$7)</f>
        <v>0</v>
      </c>
      <c r="W610" s="4" t="b">
        <f>AND(_xlfn.XLOOKUP(_xlfn.TEXTJOIN(,,D610:O610),Aux!$B$3:$B$4098,'Truth Table'!$U$3:$U$4098)=1,P609&gt;='Line Follower'!$C$6)</f>
        <v>0</v>
      </c>
      <c r="X610" s="4" t="b">
        <f>IFERROR(AND(_xlfn.XLOOKUP(_xlfn.TEXTJOIN(,,D610:O610),Aux!$B$3:$B$4098,'Truth Table'!$V$3:$V$4098)=1,ABS(P609)&lt;='Line Follower'!$C$6),FALSE)</f>
        <v>0</v>
      </c>
      <c r="Y610" s="4" t="b">
        <f t="shared" si="9"/>
        <v>1</v>
      </c>
    </row>
    <row r="611" spans="2:25" x14ac:dyDescent="0.25">
      <c r="B611" s="4">
        <v>608</v>
      </c>
      <c r="C611" s="4">
        <v>5098</v>
      </c>
      <c r="D611" s="4">
        <v>0</v>
      </c>
      <c r="E611" s="4">
        <v>0</v>
      </c>
      <c r="F611" s="4">
        <v>0</v>
      </c>
      <c r="G611" s="4">
        <v>0</v>
      </c>
      <c r="H611" s="4">
        <v>0</v>
      </c>
      <c r="I611" s="4">
        <v>0</v>
      </c>
      <c r="J611" s="4">
        <v>0</v>
      </c>
      <c r="K611" s="4">
        <v>0</v>
      </c>
      <c r="L611" s="4">
        <v>0</v>
      </c>
      <c r="M611" s="4">
        <v>1</v>
      </c>
      <c r="N611" s="4">
        <v>0</v>
      </c>
      <c r="O611" s="4">
        <v>0</v>
      </c>
      <c r="P611" s="51">
        <f>IFERROR(_xlfn.XLOOKUP(_xlfn.TEXTJOIN(,,D610:O610),Aux!$B$3:$B$4098,'Truth Table'!$N$3:$N$4098),P610)</f>
        <v>6</v>
      </c>
      <c r="Q611" s="4" t="b" cm="1">
        <f t="array" ref="Q611:U611">IFERROR(_xlfn.XLOOKUP(_xlfn.TEXTJOIN(,,D611:O611),Aux!$B$3:$B$4098,'Truth Table'!$O$3:$S$4098)=1,FALSE)</f>
        <v>1</v>
      </c>
      <c r="R611" s="4" t="b">
        <v>0</v>
      </c>
      <c r="S611" s="4" t="b">
        <v>0</v>
      </c>
      <c r="T611" s="4" t="b">
        <v>0</v>
      </c>
      <c r="U611" s="4" t="b">
        <v>0</v>
      </c>
      <c r="V611" s="4" t="b">
        <f>AND(_xlfn.XLOOKUP(_xlfn.TEXTJOIN(,,D611:O611),Aux!$B$3:$B$4098,'Truth Table'!$T$3:$T$4098)=1,P610&lt;='Line Follower'!$C$7)</f>
        <v>0</v>
      </c>
      <c r="W611" s="4" t="b">
        <f>AND(_xlfn.XLOOKUP(_xlfn.TEXTJOIN(,,D611:O611),Aux!$B$3:$B$4098,'Truth Table'!$U$3:$U$4098)=1,P610&gt;='Line Follower'!$C$6)</f>
        <v>0</v>
      </c>
      <c r="X611" s="4" t="b">
        <f>IFERROR(AND(_xlfn.XLOOKUP(_xlfn.TEXTJOIN(,,D611:O611),Aux!$B$3:$B$4098,'Truth Table'!$V$3:$V$4098)=1,ABS(P610)&lt;='Line Follower'!$C$6),FALSE)</f>
        <v>0</v>
      </c>
      <c r="Y611" s="4" t="b">
        <f t="shared" si="9"/>
        <v>1</v>
      </c>
    </row>
    <row r="612" spans="2:25" x14ac:dyDescent="0.25">
      <c r="B612" s="4">
        <v>609</v>
      </c>
      <c r="C612" s="4">
        <v>5114</v>
      </c>
      <c r="D612" s="4">
        <v>0</v>
      </c>
      <c r="E612" s="4">
        <v>0</v>
      </c>
      <c r="F612" s="4">
        <v>0</v>
      </c>
      <c r="G612" s="4">
        <v>0</v>
      </c>
      <c r="H612" s="4">
        <v>0</v>
      </c>
      <c r="I612" s="4">
        <v>0</v>
      </c>
      <c r="J612" s="4">
        <v>0</v>
      </c>
      <c r="K612" s="4">
        <v>0</v>
      </c>
      <c r="L612" s="4">
        <v>0</v>
      </c>
      <c r="M612" s="4">
        <v>1</v>
      </c>
      <c r="N612" s="4">
        <v>0</v>
      </c>
      <c r="O612" s="4">
        <v>0</v>
      </c>
      <c r="P612" s="51">
        <f>IFERROR(_xlfn.XLOOKUP(_xlfn.TEXTJOIN(,,D611:O611),Aux!$B$3:$B$4098,'Truth Table'!$N$3:$N$4098),P611)</f>
        <v>7</v>
      </c>
      <c r="Q612" s="4" t="b" cm="1">
        <f t="array" ref="Q612:U612">IFERROR(_xlfn.XLOOKUP(_xlfn.TEXTJOIN(,,D612:O612),Aux!$B$3:$B$4098,'Truth Table'!$O$3:$S$4098)=1,FALSE)</f>
        <v>1</v>
      </c>
      <c r="R612" s="4" t="b">
        <v>0</v>
      </c>
      <c r="S612" s="4" t="b">
        <v>0</v>
      </c>
      <c r="T612" s="4" t="b">
        <v>0</v>
      </c>
      <c r="U612" s="4" t="b">
        <v>0</v>
      </c>
      <c r="V612" s="4" t="b">
        <f>AND(_xlfn.XLOOKUP(_xlfn.TEXTJOIN(,,D612:O612),Aux!$B$3:$B$4098,'Truth Table'!$T$3:$T$4098)=1,P611&lt;='Line Follower'!$C$7)</f>
        <v>0</v>
      </c>
      <c r="W612" s="4" t="b">
        <f>AND(_xlfn.XLOOKUP(_xlfn.TEXTJOIN(,,D612:O612),Aux!$B$3:$B$4098,'Truth Table'!$U$3:$U$4098)=1,P611&gt;='Line Follower'!$C$6)</f>
        <v>0</v>
      </c>
      <c r="X612" s="4" t="b">
        <f>IFERROR(AND(_xlfn.XLOOKUP(_xlfn.TEXTJOIN(,,D612:O612),Aux!$B$3:$B$4098,'Truth Table'!$V$3:$V$4098)=1,ABS(P611)&lt;='Line Follower'!$C$6),FALSE)</f>
        <v>0</v>
      </c>
      <c r="Y612" s="4" t="b">
        <f t="shared" si="9"/>
        <v>1</v>
      </c>
    </row>
    <row r="613" spans="2:25" x14ac:dyDescent="0.25">
      <c r="B613" s="4">
        <v>610</v>
      </c>
      <c r="C613" s="4">
        <v>5118</v>
      </c>
      <c r="D613" s="4">
        <v>0</v>
      </c>
      <c r="E613" s="4">
        <v>0</v>
      </c>
      <c r="F613" s="4">
        <v>0</v>
      </c>
      <c r="G613" s="4">
        <v>0</v>
      </c>
      <c r="H613" s="4">
        <v>0</v>
      </c>
      <c r="I613" s="4">
        <v>0</v>
      </c>
      <c r="J613" s="4">
        <v>0</v>
      </c>
      <c r="K613" s="4">
        <v>0</v>
      </c>
      <c r="L613" s="4">
        <v>0</v>
      </c>
      <c r="M613" s="4">
        <v>1</v>
      </c>
      <c r="N613" s="4">
        <v>0</v>
      </c>
      <c r="O613" s="4">
        <v>0</v>
      </c>
      <c r="P613" s="51">
        <f>IFERROR(_xlfn.XLOOKUP(_xlfn.TEXTJOIN(,,D612:O612),Aux!$B$3:$B$4098,'Truth Table'!$N$3:$N$4098),P612)</f>
        <v>7</v>
      </c>
      <c r="Q613" s="4" t="b" cm="1">
        <f t="array" ref="Q613:U613">IFERROR(_xlfn.XLOOKUP(_xlfn.TEXTJOIN(,,D613:O613),Aux!$B$3:$B$4098,'Truth Table'!$O$3:$S$4098)=1,FALSE)</f>
        <v>1</v>
      </c>
      <c r="R613" s="4" t="b">
        <v>0</v>
      </c>
      <c r="S613" s="4" t="b">
        <v>0</v>
      </c>
      <c r="T613" s="4" t="b">
        <v>0</v>
      </c>
      <c r="U613" s="4" t="b">
        <v>0</v>
      </c>
      <c r="V613" s="4" t="b">
        <f>AND(_xlfn.XLOOKUP(_xlfn.TEXTJOIN(,,D613:O613),Aux!$B$3:$B$4098,'Truth Table'!$T$3:$T$4098)=1,P612&lt;='Line Follower'!$C$7)</f>
        <v>0</v>
      </c>
      <c r="W613" s="4" t="b">
        <f>AND(_xlfn.XLOOKUP(_xlfn.TEXTJOIN(,,D613:O613),Aux!$B$3:$B$4098,'Truth Table'!$U$3:$U$4098)=1,P612&gt;='Line Follower'!$C$6)</f>
        <v>0</v>
      </c>
      <c r="X613" s="4" t="b">
        <f>IFERROR(AND(_xlfn.XLOOKUP(_xlfn.TEXTJOIN(,,D613:O613),Aux!$B$3:$B$4098,'Truth Table'!$V$3:$V$4098)=1,ABS(P612)&lt;='Line Follower'!$C$6),FALSE)</f>
        <v>0</v>
      </c>
      <c r="Y613" s="4" t="b">
        <f t="shared" si="9"/>
        <v>1</v>
      </c>
    </row>
    <row r="614" spans="2:25" x14ac:dyDescent="0.25">
      <c r="B614" s="4">
        <v>611</v>
      </c>
      <c r="C614" s="4">
        <v>5119</v>
      </c>
      <c r="D614" s="4">
        <v>0</v>
      </c>
      <c r="E614" s="4">
        <v>0</v>
      </c>
      <c r="F614" s="4">
        <v>0</v>
      </c>
      <c r="G614" s="4">
        <v>0</v>
      </c>
      <c r="H614" s="4">
        <v>0</v>
      </c>
      <c r="I614" s="4">
        <v>0</v>
      </c>
      <c r="J614" s="4">
        <v>0</v>
      </c>
      <c r="K614" s="4">
        <v>0</v>
      </c>
      <c r="L614" s="4">
        <v>0</v>
      </c>
      <c r="M614" s="4">
        <v>1</v>
      </c>
      <c r="N614" s="4">
        <v>0</v>
      </c>
      <c r="O614" s="4">
        <v>0</v>
      </c>
      <c r="P614" s="51">
        <f>IFERROR(_xlfn.XLOOKUP(_xlfn.TEXTJOIN(,,D613:O613),Aux!$B$3:$B$4098,'Truth Table'!$N$3:$N$4098),P613)</f>
        <v>7</v>
      </c>
      <c r="Q614" s="4" t="b" cm="1">
        <f t="array" ref="Q614:U614">IFERROR(_xlfn.XLOOKUP(_xlfn.TEXTJOIN(,,D614:O614),Aux!$B$3:$B$4098,'Truth Table'!$O$3:$S$4098)=1,FALSE)</f>
        <v>1</v>
      </c>
      <c r="R614" s="4" t="b">
        <v>0</v>
      </c>
      <c r="S614" s="4" t="b">
        <v>0</v>
      </c>
      <c r="T614" s="4" t="b">
        <v>0</v>
      </c>
      <c r="U614" s="4" t="b">
        <v>0</v>
      </c>
      <c r="V614" s="4" t="b">
        <f>AND(_xlfn.XLOOKUP(_xlfn.TEXTJOIN(,,D614:O614),Aux!$B$3:$B$4098,'Truth Table'!$T$3:$T$4098)=1,P613&lt;='Line Follower'!$C$7)</f>
        <v>0</v>
      </c>
      <c r="W614" s="4" t="b">
        <f>AND(_xlfn.XLOOKUP(_xlfn.TEXTJOIN(,,D614:O614),Aux!$B$3:$B$4098,'Truth Table'!$U$3:$U$4098)=1,P613&gt;='Line Follower'!$C$6)</f>
        <v>0</v>
      </c>
      <c r="X614" s="4" t="b">
        <f>IFERROR(AND(_xlfn.XLOOKUP(_xlfn.TEXTJOIN(,,D614:O614),Aux!$B$3:$B$4098,'Truth Table'!$V$3:$V$4098)=1,ABS(P613)&lt;='Line Follower'!$C$6),FALSE)</f>
        <v>0</v>
      </c>
      <c r="Y614" s="4" t="b">
        <f t="shared" si="9"/>
        <v>1</v>
      </c>
    </row>
    <row r="615" spans="2:25" x14ac:dyDescent="0.25">
      <c r="B615" s="4">
        <v>612</v>
      </c>
      <c r="C615" s="4">
        <v>5151</v>
      </c>
      <c r="D615" s="4">
        <v>0</v>
      </c>
      <c r="E615" s="4">
        <v>0</v>
      </c>
      <c r="F615" s="4">
        <v>0</v>
      </c>
      <c r="G615" s="4">
        <v>0</v>
      </c>
      <c r="H615" s="4">
        <v>0</v>
      </c>
      <c r="I615" s="4">
        <v>0</v>
      </c>
      <c r="J615" s="4">
        <v>0</v>
      </c>
      <c r="K615" s="4">
        <v>0</v>
      </c>
      <c r="L615" s="4">
        <v>0</v>
      </c>
      <c r="M615" s="4">
        <v>1</v>
      </c>
      <c r="N615" s="4">
        <v>0</v>
      </c>
      <c r="O615" s="4">
        <v>0</v>
      </c>
      <c r="P615" s="51">
        <f>IFERROR(_xlfn.XLOOKUP(_xlfn.TEXTJOIN(,,D614:O614),Aux!$B$3:$B$4098,'Truth Table'!$N$3:$N$4098),P614)</f>
        <v>7</v>
      </c>
      <c r="Q615" s="4" t="b" cm="1">
        <f t="array" ref="Q615:U615">IFERROR(_xlfn.XLOOKUP(_xlfn.TEXTJOIN(,,D615:O615),Aux!$B$3:$B$4098,'Truth Table'!$O$3:$S$4098)=1,FALSE)</f>
        <v>1</v>
      </c>
      <c r="R615" s="4" t="b">
        <v>0</v>
      </c>
      <c r="S615" s="4" t="b">
        <v>0</v>
      </c>
      <c r="T615" s="4" t="b">
        <v>0</v>
      </c>
      <c r="U615" s="4" t="b">
        <v>0</v>
      </c>
      <c r="V615" s="4" t="b">
        <f>AND(_xlfn.XLOOKUP(_xlfn.TEXTJOIN(,,D615:O615),Aux!$B$3:$B$4098,'Truth Table'!$T$3:$T$4098)=1,P614&lt;='Line Follower'!$C$7)</f>
        <v>0</v>
      </c>
      <c r="W615" s="4" t="b">
        <f>AND(_xlfn.XLOOKUP(_xlfn.TEXTJOIN(,,D615:O615),Aux!$B$3:$B$4098,'Truth Table'!$U$3:$U$4098)=1,P614&gt;='Line Follower'!$C$6)</f>
        <v>0</v>
      </c>
      <c r="X615" s="4" t="b">
        <f>IFERROR(AND(_xlfn.XLOOKUP(_xlfn.TEXTJOIN(,,D615:O615),Aux!$B$3:$B$4098,'Truth Table'!$V$3:$V$4098)=1,ABS(P614)&lt;='Line Follower'!$C$6),FALSE)</f>
        <v>0</v>
      </c>
      <c r="Y615" s="4" t="b">
        <f t="shared" si="9"/>
        <v>1</v>
      </c>
    </row>
    <row r="616" spans="2:25" x14ac:dyDescent="0.25">
      <c r="B616" s="4">
        <v>613</v>
      </c>
      <c r="C616" s="4">
        <v>5152</v>
      </c>
      <c r="D616" s="4">
        <v>0</v>
      </c>
      <c r="E616" s="4">
        <v>0</v>
      </c>
      <c r="F616" s="4">
        <v>0</v>
      </c>
      <c r="G616" s="4">
        <v>0</v>
      </c>
      <c r="H616" s="4">
        <v>0</v>
      </c>
      <c r="I616" s="4">
        <v>0</v>
      </c>
      <c r="J616" s="4">
        <v>0</v>
      </c>
      <c r="K616" s="4">
        <v>0</v>
      </c>
      <c r="L616" s="4">
        <v>0</v>
      </c>
      <c r="M616" s="4">
        <v>1</v>
      </c>
      <c r="N616" s="4">
        <v>0</v>
      </c>
      <c r="O616" s="4">
        <v>0</v>
      </c>
      <c r="P616" s="51">
        <f>IFERROR(_xlfn.XLOOKUP(_xlfn.TEXTJOIN(,,D615:O615),Aux!$B$3:$B$4098,'Truth Table'!$N$3:$N$4098),P615)</f>
        <v>7</v>
      </c>
      <c r="Q616" s="4" t="b" cm="1">
        <f t="array" ref="Q616:U616">IFERROR(_xlfn.XLOOKUP(_xlfn.TEXTJOIN(,,D616:O616),Aux!$B$3:$B$4098,'Truth Table'!$O$3:$S$4098)=1,FALSE)</f>
        <v>1</v>
      </c>
      <c r="R616" s="4" t="b">
        <v>0</v>
      </c>
      <c r="S616" s="4" t="b">
        <v>0</v>
      </c>
      <c r="T616" s="4" t="b">
        <v>0</v>
      </c>
      <c r="U616" s="4" t="b">
        <v>0</v>
      </c>
      <c r="V616" s="4" t="b">
        <f>AND(_xlfn.XLOOKUP(_xlfn.TEXTJOIN(,,D616:O616),Aux!$B$3:$B$4098,'Truth Table'!$T$3:$T$4098)=1,P615&lt;='Line Follower'!$C$7)</f>
        <v>0</v>
      </c>
      <c r="W616" s="4" t="b">
        <f>AND(_xlfn.XLOOKUP(_xlfn.TEXTJOIN(,,D616:O616),Aux!$B$3:$B$4098,'Truth Table'!$U$3:$U$4098)=1,P615&gt;='Line Follower'!$C$6)</f>
        <v>0</v>
      </c>
      <c r="X616" s="4" t="b">
        <f>IFERROR(AND(_xlfn.XLOOKUP(_xlfn.TEXTJOIN(,,D616:O616),Aux!$B$3:$B$4098,'Truth Table'!$V$3:$V$4098)=1,ABS(P615)&lt;='Line Follower'!$C$6),FALSE)</f>
        <v>0</v>
      </c>
      <c r="Y616" s="4" t="b">
        <f t="shared" si="9"/>
        <v>1</v>
      </c>
    </row>
    <row r="617" spans="2:25" x14ac:dyDescent="0.25">
      <c r="B617" s="4">
        <v>614</v>
      </c>
      <c r="C617" s="4">
        <v>5172</v>
      </c>
      <c r="D617" s="4">
        <v>0</v>
      </c>
      <c r="E617" s="4">
        <v>0</v>
      </c>
      <c r="F617" s="4">
        <v>0</v>
      </c>
      <c r="G617" s="4">
        <v>0</v>
      </c>
      <c r="H617" s="4">
        <v>0</v>
      </c>
      <c r="I617" s="4">
        <v>0</v>
      </c>
      <c r="J617" s="4">
        <v>0</v>
      </c>
      <c r="K617" s="4">
        <v>0</v>
      </c>
      <c r="L617" s="4">
        <v>0</v>
      </c>
      <c r="M617" s="4">
        <v>1</v>
      </c>
      <c r="N617" s="4">
        <v>0</v>
      </c>
      <c r="O617" s="4">
        <v>0</v>
      </c>
      <c r="P617" s="51">
        <f>IFERROR(_xlfn.XLOOKUP(_xlfn.TEXTJOIN(,,D616:O616),Aux!$B$3:$B$4098,'Truth Table'!$N$3:$N$4098),P616)</f>
        <v>7</v>
      </c>
      <c r="Q617" s="4" t="b" cm="1">
        <f t="array" ref="Q617:U617">IFERROR(_xlfn.XLOOKUP(_xlfn.TEXTJOIN(,,D617:O617),Aux!$B$3:$B$4098,'Truth Table'!$O$3:$S$4098)=1,FALSE)</f>
        <v>1</v>
      </c>
      <c r="R617" s="4" t="b">
        <v>0</v>
      </c>
      <c r="S617" s="4" t="b">
        <v>0</v>
      </c>
      <c r="T617" s="4" t="b">
        <v>0</v>
      </c>
      <c r="U617" s="4" t="b">
        <v>0</v>
      </c>
      <c r="V617" s="4" t="b">
        <f>AND(_xlfn.XLOOKUP(_xlfn.TEXTJOIN(,,D617:O617),Aux!$B$3:$B$4098,'Truth Table'!$T$3:$T$4098)=1,P616&lt;='Line Follower'!$C$7)</f>
        <v>0</v>
      </c>
      <c r="W617" s="4" t="b">
        <f>AND(_xlfn.XLOOKUP(_xlfn.TEXTJOIN(,,D617:O617),Aux!$B$3:$B$4098,'Truth Table'!$U$3:$U$4098)=1,P616&gt;='Line Follower'!$C$6)</f>
        <v>0</v>
      </c>
      <c r="X617" s="4" t="b">
        <f>IFERROR(AND(_xlfn.XLOOKUP(_xlfn.TEXTJOIN(,,D617:O617),Aux!$B$3:$B$4098,'Truth Table'!$V$3:$V$4098)=1,ABS(P616)&lt;='Line Follower'!$C$6),FALSE)</f>
        <v>0</v>
      </c>
      <c r="Y617" s="4" t="b">
        <f t="shared" si="9"/>
        <v>1</v>
      </c>
    </row>
    <row r="618" spans="2:25" x14ac:dyDescent="0.25">
      <c r="B618" s="4">
        <v>615</v>
      </c>
      <c r="C618" s="4">
        <v>5173</v>
      </c>
      <c r="D618" s="4">
        <v>0</v>
      </c>
      <c r="E618" s="4">
        <v>0</v>
      </c>
      <c r="F618" s="4">
        <v>0</v>
      </c>
      <c r="G618" s="4">
        <v>0</v>
      </c>
      <c r="H618" s="4">
        <v>0</v>
      </c>
      <c r="I618" s="4">
        <v>0</v>
      </c>
      <c r="J618" s="4">
        <v>0</v>
      </c>
      <c r="K618" s="4">
        <v>0</v>
      </c>
      <c r="L618" s="4">
        <v>0</v>
      </c>
      <c r="M618" s="4">
        <v>1</v>
      </c>
      <c r="N618" s="4">
        <v>0</v>
      </c>
      <c r="O618" s="4">
        <v>0</v>
      </c>
      <c r="P618" s="51">
        <f>IFERROR(_xlfn.XLOOKUP(_xlfn.TEXTJOIN(,,D617:O617),Aux!$B$3:$B$4098,'Truth Table'!$N$3:$N$4098),P617)</f>
        <v>7</v>
      </c>
      <c r="Q618" s="4" t="b" cm="1">
        <f t="array" ref="Q618:U618">IFERROR(_xlfn.XLOOKUP(_xlfn.TEXTJOIN(,,D618:O618),Aux!$B$3:$B$4098,'Truth Table'!$O$3:$S$4098)=1,FALSE)</f>
        <v>1</v>
      </c>
      <c r="R618" s="4" t="b">
        <v>0</v>
      </c>
      <c r="S618" s="4" t="b">
        <v>0</v>
      </c>
      <c r="T618" s="4" t="b">
        <v>0</v>
      </c>
      <c r="U618" s="4" t="b">
        <v>0</v>
      </c>
      <c r="V618" s="4" t="b">
        <f>AND(_xlfn.XLOOKUP(_xlfn.TEXTJOIN(,,D618:O618),Aux!$B$3:$B$4098,'Truth Table'!$T$3:$T$4098)=1,P617&lt;='Line Follower'!$C$7)</f>
        <v>0</v>
      </c>
      <c r="W618" s="4" t="b">
        <f>AND(_xlfn.XLOOKUP(_xlfn.TEXTJOIN(,,D618:O618),Aux!$B$3:$B$4098,'Truth Table'!$U$3:$U$4098)=1,P617&gt;='Line Follower'!$C$6)</f>
        <v>0</v>
      </c>
      <c r="X618" s="4" t="b">
        <f>IFERROR(AND(_xlfn.XLOOKUP(_xlfn.TEXTJOIN(,,D618:O618),Aux!$B$3:$B$4098,'Truth Table'!$V$3:$V$4098)=1,ABS(P617)&lt;='Line Follower'!$C$6),FALSE)</f>
        <v>0</v>
      </c>
      <c r="Y618" s="4" t="b">
        <f t="shared" si="9"/>
        <v>1</v>
      </c>
    </row>
    <row r="619" spans="2:25" x14ac:dyDescent="0.25">
      <c r="B619" s="4">
        <v>616</v>
      </c>
      <c r="C619" s="4">
        <v>5174</v>
      </c>
      <c r="D619" s="4">
        <v>0</v>
      </c>
      <c r="E619" s="4">
        <v>0</v>
      </c>
      <c r="F619" s="4">
        <v>0</v>
      </c>
      <c r="G619" s="4">
        <v>0</v>
      </c>
      <c r="H619" s="4">
        <v>0</v>
      </c>
      <c r="I619" s="4">
        <v>0</v>
      </c>
      <c r="J619" s="4">
        <v>0</v>
      </c>
      <c r="K619" s="4">
        <v>0</v>
      </c>
      <c r="L619" s="4">
        <v>0</v>
      </c>
      <c r="M619" s="4">
        <v>1</v>
      </c>
      <c r="N619" s="4">
        <v>0</v>
      </c>
      <c r="O619" s="4">
        <v>0</v>
      </c>
      <c r="P619" s="51">
        <f>IFERROR(_xlfn.XLOOKUP(_xlfn.TEXTJOIN(,,D618:O618),Aux!$B$3:$B$4098,'Truth Table'!$N$3:$N$4098),P618)</f>
        <v>7</v>
      </c>
      <c r="Q619" s="4" t="b" cm="1">
        <f t="array" ref="Q619:U619">IFERROR(_xlfn.XLOOKUP(_xlfn.TEXTJOIN(,,D619:O619),Aux!$B$3:$B$4098,'Truth Table'!$O$3:$S$4098)=1,FALSE)</f>
        <v>1</v>
      </c>
      <c r="R619" s="4" t="b">
        <v>0</v>
      </c>
      <c r="S619" s="4" t="b">
        <v>0</v>
      </c>
      <c r="T619" s="4" t="b">
        <v>0</v>
      </c>
      <c r="U619" s="4" t="b">
        <v>0</v>
      </c>
      <c r="V619" s="4" t="b">
        <f>AND(_xlfn.XLOOKUP(_xlfn.TEXTJOIN(,,D619:O619),Aux!$B$3:$B$4098,'Truth Table'!$T$3:$T$4098)=1,P618&lt;='Line Follower'!$C$7)</f>
        <v>0</v>
      </c>
      <c r="W619" s="4" t="b">
        <f>AND(_xlfn.XLOOKUP(_xlfn.TEXTJOIN(,,D619:O619),Aux!$B$3:$B$4098,'Truth Table'!$U$3:$U$4098)=1,P618&gt;='Line Follower'!$C$6)</f>
        <v>0</v>
      </c>
      <c r="X619" s="4" t="b">
        <f>IFERROR(AND(_xlfn.XLOOKUP(_xlfn.TEXTJOIN(,,D619:O619),Aux!$B$3:$B$4098,'Truth Table'!$V$3:$V$4098)=1,ABS(P618)&lt;='Line Follower'!$C$6),FALSE)</f>
        <v>0</v>
      </c>
      <c r="Y619" s="4" t="b">
        <f t="shared" si="9"/>
        <v>1</v>
      </c>
    </row>
    <row r="620" spans="2:25" x14ac:dyDescent="0.25">
      <c r="B620" s="4">
        <v>617</v>
      </c>
      <c r="C620" s="4">
        <v>5191</v>
      </c>
      <c r="D620" s="4">
        <v>0</v>
      </c>
      <c r="E620" s="4">
        <v>0</v>
      </c>
      <c r="F620" s="4">
        <v>0</v>
      </c>
      <c r="G620" s="4">
        <v>0</v>
      </c>
      <c r="H620" s="4">
        <v>0</v>
      </c>
      <c r="I620" s="4">
        <v>0</v>
      </c>
      <c r="J620" s="4">
        <v>0</v>
      </c>
      <c r="K620" s="4">
        <v>0</v>
      </c>
      <c r="L620" s="4">
        <v>0</v>
      </c>
      <c r="M620" s="4">
        <v>0</v>
      </c>
      <c r="N620" s="4">
        <v>0</v>
      </c>
      <c r="O620" s="4">
        <v>0</v>
      </c>
      <c r="P620" s="51">
        <f>IFERROR(_xlfn.XLOOKUP(_xlfn.TEXTJOIN(,,D619:O619),Aux!$B$3:$B$4098,'Truth Table'!$N$3:$N$4098),P619)</f>
        <v>7</v>
      </c>
      <c r="Q620" s="4" t="b" cm="1">
        <f t="array" ref="Q620:U620">IFERROR(_xlfn.XLOOKUP(_xlfn.TEXTJOIN(,,D620:O620),Aux!$B$3:$B$4098,'Truth Table'!$O$3:$S$4098)=1,FALSE)</f>
        <v>0</v>
      </c>
      <c r="R620" s="4" t="b">
        <v>0</v>
      </c>
      <c r="S620" s="4" t="b">
        <v>0</v>
      </c>
      <c r="T620" s="4" t="b">
        <v>0</v>
      </c>
      <c r="U620" s="4" t="b">
        <v>0</v>
      </c>
      <c r="V620" s="4" t="b">
        <f>AND(_xlfn.XLOOKUP(_xlfn.TEXTJOIN(,,D620:O620),Aux!$B$3:$B$4098,'Truth Table'!$T$3:$T$4098)=1,P619&lt;='Line Follower'!$C$7)</f>
        <v>0</v>
      </c>
      <c r="W620" s="4" t="b">
        <f>AND(_xlfn.XLOOKUP(_xlfn.TEXTJOIN(,,D620:O620),Aux!$B$3:$B$4098,'Truth Table'!$U$3:$U$4098)=1,P619&gt;='Line Follower'!$C$6)</f>
        <v>1</v>
      </c>
      <c r="X620" s="4" t="b">
        <f>IFERROR(AND(_xlfn.XLOOKUP(_xlfn.TEXTJOIN(,,D620:O620),Aux!$B$3:$B$4098,'Truth Table'!$V$3:$V$4098)=1,ABS(P619)&lt;='Line Follower'!$C$6),FALSE)</f>
        <v>1</v>
      </c>
      <c r="Y620" s="4" t="b">
        <f t="shared" si="9"/>
        <v>1</v>
      </c>
    </row>
    <row r="621" spans="2:25" x14ac:dyDescent="0.25">
      <c r="B621" s="4">
        <v>618</v>
      </c>
      <c r="C621" s="4">
        <v>5192</v>
      </c>
      <c r="D621" s="4">
        <v>0</v>
      </c>
      <c r="E621" s="4">
        <v>0</v>
      </c>
      <c r="F621" s="4">
        <v>0</v>
      </c>
      <c r="G621" s="4">
        <v>0</v>
      </c>
      <c r="H621" s="4">
        <v>0</v>
      </c>
      <c r="I621" s="4">
        <v>0</v>
      </c>
      <c r="J621" s="4">
        <v>0</v>
      </c>
      <c r="K621" s="4">
        <v>0</v>
      </c>
      <c r="L621" s="4">
        <v>0</v>
      </c>
      <c r="M621" s="4">
        <v>0</v>
      </c>
      <c r="N621" s="4">
        <v>0</v>
      </c>
      <c r="O621" s="4">
        <v>0</v>
      </c>
      <c r="P621" s="51">
        <f>IFERROR(_xlfn.XLOOKUP(_xlfn.TEXTJOIN(,,D620:O620),Aux!$B$3:$B$4098,'Truth Table'!$N$3:$N$4098),P620)</f>
        <v>7</v>
      </c>
      <c r="Q621" s="4" t="b" cm="1">
        <f t="array" ref="Q621:U621">IFERROR(_xlfn.XLOOKUP(_xlfn.TEXTJOIN(,,D621:O621),Aux!$B$3:$B$4098,'Truth Table'!$O$3:$S$4098)=1,FALSE)</f>
        <v>0</v>
      </c>
      <c r="R621" s="4" t="b">
        <v>0</v>
      </c>
      <c r="S621" s="4" t="b">
        <v>0</v>
      </c>
      <c r="T621" s="4" t="b">
        <v>0</v>
      </c>
      <c r="U621" s="4" t="b">
        <v>0</v>
      </c>
      <c r="V621" s="4" t="b">
        <f>AND(_xlfn.XLOOKUP(_xlfn.TEXTJOIN(,,D621:O621),Aux!$B$3:$B$4098,'Truth Table'!$T$3:$T$4098)=1,P620&lt;='Line Follower'!$C$7)</f>
        <v>0</v>
      </c>
      <c r="W621" s="4" t="b">
        <f>AND(_xlfn.XLOOKUP(_xlfn.TEXTJOIN(,,D621:O621),Aux!$B$3:$B$4098,'Truth Table'!$U$3:$U$4098)=1,P620&gt;='Line Follower'!$C$6)</f>
        <v>1</v>
      </c>
      <c r="X621" s="4" t="b">
        <f>IFERROR(AND(_xlfn.XLOOKUP(_xlfn.TEXTJOIN(,,D621:O621),Aux!$B$3:$B$4098,'Truth Table'!$V$3:$V$4098)=1,ABS(P620)&lt;='Line Follower'!$C$6),FALSE)</f>
        <v>1</v>
      </c>
      <c r="Y621" s="4" t="b">
        <f t="shared" si="9"/>
        <v>1</v>
      </c>
    </row>
    <row r="622" spans="2:25" x14ac:dyDescent="0.25">
      <c r="B622" s="4">
        <v>619</v>
      </c>
      <c r="C622" s="4">
        <v>5206</v>
      </c>
      <c r="D622" s="4">
        <v>0</v>
      </c>
      <c r="E622" s="4">
        <v>0</v>
      </c>
      <c r="F622" s="4">
        <v>0</v>
      </c>
      <c r="G622" s="4">
        <v>0</v>
      </c>
      <c r="H622" s="4">
        <v>0</v>
      </c>
      <c r="I622" s="4">
        <v>0</v>
      </c>
      <c r="J622" s="4">
        <v>0</v>
      </c>
      <c r="K622" s="4">
        <v>0</v>
      </c>
      <c r="L622" s="4">
        <v>0</v>
      </c>
      <c r="M622" s="4">
        <v>0</v>
      </c>
      <c r="N622" s="4">
        <v>0</v>
      </c>
      <c r="O622" s="4">
        <v>0</v>
      </c>
      <c r="P622" s="51">
        <f>IFERROR(_xlfn.XLOOKUP(_xlfn.TEXTJOIN(,,D621:O621),Aux!$B$3:$B$4098,'Truth Table'!$N$3:$N$4098),P621)</f>
        <v>7</v>
      </c>
      <c r="Q622" s="4" t="b" cm="1">
        <f t="array" ref="Q622:U622">IFERROR(_xlfn.XLOOKUP(_xlfn.TEXTJOIN(,,D622:O622),Aux!$B$3:$B$4098,'Truth Table'!$O$3:$S$4098)=1,FALSE)</f>
        <v>0</v>
      </c>
      <c r="R622" s="4" t="b">
        <v>0</v>
      </c>
      <c r="S622" s="4" t="b">
        <v>0</v>
      </c>
      <c r="T622" s="4" t="b">
        <v>0</v>
      </c>
      <c r="U622" s="4" t="b">
        <v>0</v>
      </c>
      <c r="V622" s="4" t="b">
        <f>AND(_xlfn.XLOOKUP(_xlfn.TEXTJOIN(,,D622:O622),Aux!$B$3:$B$4098,'Truth Table'!$T$3:$T$4098)=1,P621&lt;='Line Follower'!$C$7)</f>
        <v>0</v>
      </c>
      <c r="W622" s="4" t="b">
        <f>AND(_xlfn.XLOOKUP(_xlfn.TEXTJOIN(,,D622:O622),Aux!$B$3:$B$4098,'Truth Table'!$U$3:$U$4098)=1,P621&gt;='Line Follower'!$C$6)</f>
        <v>1</v>
      </c>
      <c r="X622" s="4" t="b">
        <f>IFERROR(AND(_xlfn.XLOOKUP(_xlfn.TEXTJOIN(,,D622:O622),Aux!$B$3:$B$4098,'Truth Table'!$V$3:$V$4098)=1,ABS(P621)&lt;='Line Follower'!$C$6),FALSE)</f>
        <v>1</v>
      </c>
      <c r="Y622" s="4" t="b">
        <f t="shared" si="9"/>
        <v>1</v>
      </c>
    </row>
    <row r="623" spans="2:25" x14ac:dyDescent="0.25">
      <c r="B623" s="4">
        <v>620</v>
      </c>
      <c r="C623" s="4">
        <v>5215</v>
      </c>
      <c r="D623" s="4">
        <v>0</v>
      </c>
      <c r="E623" s="4">
        <v>0</v>
      </c>
      <c r="F623" s="4">
        <v>0</v>
      </c>
      <c r="G623" s="4">
        <v>0</v>
      </c>
      <c r="H623" s="4">
        <v>0</v>
      </c>
      <c r="I623" s="4">
        <v>0</v>
      </c>
      <c r="J623" s="4">
        <v>0</v>
      </c>
      <c r="K623" s="4">
        <v>0</v>
      </c>
      <c r="L623" s="4">
        <v>0</v>
      </c>
      <c r="M623" s="4">
        <v>0</v>
      </c>
      <c r="N623" s="4">
        <v>0</v>
      </c>
      <c r="O623" s="4">
        <v>0</v>
      </c>
      <c r="P623" s="51">
        <f>IFERROR(_xlfn.XLOOKUP(_xlfn.TEXTJOIN(,,D622:O622),Aux!$B$3:$B$4098,'Truth Table'!$N$3:$N$4098),P622)</f>
        <v>7</v>
      </c>
      <c r="Q623" s="4" t="b" cm="1">
        <f t="array" ref="Q623:U623">IFERROR(_xlfn.XLOOKUP(_xlfn.TEXTJOIN(,,D623:O623),Aux!$B$3:$B$4098,'Truth Table'!$O$3:$S$4098)=1,FALSE)</f>
        <v>0</v>
      </c>
      <c r="R623" s="4" t="b">
        <v>0</v>
      </c>
      <c r="S623" s="4" t="b">
        <v>0</v>
      </c>
      <c r="T623" s="4" t="b">
        <v>0</v>
      </c>
      <c r="U623" s="4" t="b">
        <v>0</v>
      </c>
      <c r="V623" s="4" t="b">
        <f>AND(_xlfn.XLOOKUP(_xlfn.TEXTJOIN(,,D623:O623),Aux!$B$3:$B$4098,'Truth Table'!$T$3:$T$4098)=1,P622&lt;='Line Follower'!$C$7)</f>
        <v>0</v>
      </c>
      <c r="W623" s="4" t="b">
        <f>AND(_xlfn.XLOOKUP(_xlfn.TEXTJOIN(,,D623:O623),Aux!$B$3:$B$4098,'Truth Table'!$U$3:$U$4098)=1,P622&gt;='Line Follower'!$C$6)</f>
        <v>1</v>
      </c>
      <c r="X623" s="4" t="b">
        <f>IFERROR(AND(_xlfn.XLOOKUP(_xlfn.TEXTJOIN(,,D623:O623),Aux!$B$3:$B$4098,'Truth Table'!$V$3:$V$4098)=1,ABS(P622)&lt;='Line Follower'!$C$6),FALSE)</f>
        <v>1</v>
      </c>
      <c r="Y623" s="4" t="b">
        <f t="shared" si="9"/>
        <v>1</v>
      </c>
    </row>
    <row r="624" spans="2:25" x14ac:dyDescent="0.25">
      <c r="B624" s="4">
        <v>621</v>
      </c>
      <c r="C624" s="4">
        <v>5226</v>
      </c>
      <c r="D624" s="4">
        <v>0</v>
      </c>
      <c r="E624" s="4">
        <v>0</v>
      </c>
      <c r="F624" s="4">
        <v>0</v>
      </c>
      <c r="G624" s="4">
        <v>0</v>
      </c>
      <c r="H624" s="4">
        <v>0</v>
      </c>
      <c r="I624" s="4">
        <v>0</v>
      </c>
      <c r="J624" s="4">
        <v>0</v>
      </c>
      <c r="K624" s="4">
        <v>0</v>
      </c>
      <c r="L624" s="4">
        <v>0</v>
      </c>
      <c r="M624" s="4">
        <v>0</v>
      </c>
      <c r="N624" s="4">
        <v>0</v>
      </c>
      <c r="O624" s="4">
        <v>0</v>
      </c>
      <c r="P624" s="51">
        <f>IFERROR(_xlfn.XLOOKUP(_xlfn.TEXTJOIN(,,D623:O623),Aux!$B$3:$B$4098,'Truth Table'!$N$3:$N$4098),P623)</f>
        <v>7</v>
      </c>
      <c r="Q624" s="4" t="b" cm="1">
        <f t="array" ref="Q624:U624">IFERROR(_xlfn.XLOOKUP(_xlfn.TEXTJOIN(,,D624:O624),Aux!$B$3:$B$4098,'Truth Table'!$O$3:$S$4098)=1,FALSE)</f>
        <v>0</v>
      </c>
      <c r="R624" s="4" t="b">
        <v>0</v>
      </c>
      <c r="S624" s="4" t="b">
        <v>0</v>
      </c>
      <c r="T624" s="4" t="b">
        <v>0</v>
      </c>
      <c r="U624" s="4" t="b">
        <v>0</v>
      </c>
      <c r="V624" s="4" t="b">
        <f>AND(_xlfn.XLOOKUP(_xlfn.TEXTJOIN(,,D624:O624),Aux!$B$3:$B$4098,'Truth Table'!$T$3:$T$4098)=1,P623&lt;='Line Follower'!$C$7)</f>
        <v>0</v>
      </c>
      <c r="W624" s="4" t="b">
        <f>AND(_xlfn.XLOOKUP(_xlfn.TEXTJOIN(,,D624:O624),Aux!$B$3:$B$4098,'Truth Table'!$U$3:$U$4098)=1,P623&gt;='Line Follower'!$C$6)</f>
        <v>1</v>
      </c>
      <c r="X624" s="4" t="b">
        <f>IFERROR(AND(_xlfn.XLOOKUP(_xlfn.TEXTJOIN(,,D624:O624),Aux!$B$3:$B$4098,'Truth Table'!$V$3:$V$4098)=1,ABS(P623)&lt;='Line Follower'!$C$6),FALSE)</f>
        <v>1</v>
      </c>
      <c r="Y624" s="4" t="b">
        <f t="shared" si="9"/>
        <v>1</v>
      </c>
    </row>
    <row r="625" spans="2:25" x14ac:dyDescent="0.25">
      <c r="B625" s="4">
        <v>622</v>
      </c>
      <c r="C625" s="4">
        <v>5239</v>
      </c>
      <c r="D625" s="4">
        <v>0</v>
      </c>
      <c r="E625" s="4">
        <v>0</v>
      </c>
      <c r="F625" s="4">
        <v>0</v>
      </c>
      <c r="G625" s="4">
        <v>0</v>
      </c>
      <c r="H625" s="4">
        <v>0</v>
      </c>
      <c r="I625" s="4">
        <v>0</v>
      </c>
      <c r="J625" s="4">
        <v>0</v>
      </c>
      <c r="K625" s="4">
        <v>0</v>
      </c>
      <c r="L625" s="4">
        <v>0</v>
      </c>
      <c r="M625" s="4">
        <v>0</v>
      </c>
      <c r="N625" s="4">
        <v>0</v>
      </c>
      <c r="O625" s="4">
        <v>0</v>
      </c>
      <c r="P625" s="51">
        <f>IFERROR(_xlfn.XLOOKUP(_xlfn.TEXTJOIN(,,D624:O624),Aux!$B$3:$B$4098,'Truth Table'!$N$3:$N$4098),P624)</f>
        <v>7</v>
      </c>
      <c r="Q625" s="4" t="b" cm="1">
        <f t="array" ref="Q625:U625">IFERROR(_xlfn.XLOOKUP(_xlfn.TEXTJOIN(,,D625:O625),Aux!$B$3:$B$4098,'Truth Table'!$O$3:$S$4098)=1,FALSE)</f>
        <v>0</v>
      </c>
      <c r="R625" s="4" t="b">
        <v>0</v>
      </c>
      <c r="S625" s="4" t="b">
        <v>0</v>
      </c>
      <c r="T625" s="4" t="b">
        <v>0</v>
      </c>
      <c r="U625" s="4" t="b">
        <v>0</v>
      </c>
      <c r="V625" s="4" t="b">
        <f>AND(_xlfn.XLOOKUP(_xlfn.TEXTJOIN(,,D625:O625),Aux!$B$3:$B$4098,'Truth Table'!$T$3:$T$4098)=1,P624&lt;='Line Follower'!$C$7)</f>
        <v>0</v>
      </c>
      <c r="W625" s="4" t="b">
        <f>AND(_xlfn.XLOOKUP(_xlfn.TEXTJOIN(,,D625:O625),Aux!$B$3:$B$4098,'Truth Table'!$U$3:$U$4098)=1,P624&gt;='Line Follower'!$C$6)</f>
        <v>1</v>
      </c>
      <c r="X625" s="4" t="b">
        <f>IFERROR(AND(_xlfn.XLOOKUP(_xlfn.TEXTJOIN(,,D625:O625),Aux!$B$3:$B$4098,'Truth Table'!$V$3:$V$4098)=1,ABS(P624)&lt;='Line Follower'!$C$6),FALSE)</f>
        <v>1</v>
      </c>
      <c r="Y625" s="4" t="b">
        <f t="shared" si="9"/>
        <v>1</v>
      </c>
    </row>
    <row r="626" spans="2:25" x14ac:dyDescent="0.25">
      <c r="B626" s="4">
        <v>623</v>
      </c>
      <c r="C626" s="4">
        <v>5244</v>
      </c>
      <c r="D626" s="4">
        <v>0</v>
      </c>
      <c r="E626" s="4">
        <v>0</v>
      </c>
      <c r="F626" s="4">
        <v>0</v>
      </c>
      <c r="G626" s="4">
        <v>0</v>
      </c>
      <c r="H626" s="4">
        <v>0</v>
      </c>
      <c r="I626" s="4">
        <v>0</v>
      </c>
      <c r="J626" s="4">
        <v>0</v>
      </c>
      <c r="K626" s="4">
        <v>0</v>
      </c>
      <c r="L626" s="4">
        <v>0</v>
      </c>
      <c r="M626" s="4">
        <v>0</v>
      </c>
      <c r="N626" s="4">
        <v>0</v>
      </c>
      <c r="O626" s="4">
        <v>0</v>
      </c>
      <c r="P626" s="51">
        <f>IFERROR(_xlfn.XLOOKUP(_xlfn.TEXTJOIN(,,D625:O625),Aux!$B$3:$B$4098,'Truth Table'!$N$3:$N$4098),P625)</f>
        <v>7</v>
      </c>
      <c r="Q626" s="4" t="b" cm="1">
        <f t="array" ref="Q626:U626">IFERROR(_xlfn.XLOOKUP(_xlfn.TEXTJOIN(,,D626:O626),Aux!$B$3:$B$4098,'Truth Table'!$O$3:$S$4098)=1,FALSE)</f>
        <v>0</v>
      </c>
      <c r="R626" s="4" t="b">
        <v>0</v>
      </c>
      <c r="S626" s="4" t="b">
        <v>0</v>
      </c>
      <c r="T626" s="4" t="b">
        <v>0</v>
      </c>
      <c r="U626" s="4" t="b">
        <v>0</v>
      </c>
      <c r="V626" s="4" t="b">
        <f>AND(_xlfn.XLOOKUP(_xlfn.TEXTJOIN(,,D626:O626),Aux!$B$3:$B$4098,'Truth Table'!$T$3:$T$4098)=1,P625&lt;='Line Follower'!$C$7)</f>
        <v>0</v>
      </c>
      <c r="W626" s="4" t="b">
        <f>AND(_xlfn.XLOOKUP(_xlfn.TEXTJOIN(,,D626:O626),Aux!$B$3:$B$4098,'Truth Table'!$U$3:$U$4098)=1,P625&gt;='Line Follower'!$C$6)</f>
        <v>1</v>
      </c>
      <c r="X626" s="4" t="b">
        <f>IFERROR(AND(_xlfn.XLOOKUP(_xlfn.TEXTJOIN(,,D626:O626),Aux!$B$3:$B$4098,'Truth Table'!$V$3:$V$4098)=1,ABS(P625)&lt;='Line Follower'!$C$6),FALSE)</f>
        <v>1</v>
      </c>
      <c r="Y626" s="4" t="b">
        <f t="shared" si="9"/>
        <v>1</v>
      </c>
    </row>
    <row r="627" spans="2:25" x14ac:dyDescent="0.25">
      <c r="B627" s="4">
        <v>624</v>
      </c>
      <c r="C627" s="4">
        <v>5260</v>
      </c>
      <c r="D627" s="4">
        <v>0</v>
      </c>
      <c r="E627" s="4">
        <v>0</v>
      </c>
      <c r="F627" s="4">
        <v>0</v>
      </c>
      <c r="G627" s="4">
        <v>0</v>
      </c>
      <c r="H627" s="4">
        <v>0</v>
      </c>
      <c r="I627" s="4">
        <v>0</v>
      </c>
      <c r="J627" s="4">
        <v>0</v>
      </c>
      <c r="K627" s="4">
        <v>0</v>
      </c>
      <c r="L627" s="4">
        <v>0</v>
      </c>
      <c r="M627" s="4">
        <v>0</v>
      </c>
      <c r="N627" s="4">
        <v>0</v>
      </c>
      <c r="O627" s="4">
        <v>0</v>
      </c>
      <c r="P627" s="51">
        <f>IFERROR(_xlfn.XLOOKUP(_xlfn.TEXTJOIN(,,D626:O626),Aux!$B$3:$B$4098,'Truth Table'!$N$3:$N$4098),P626)</f>
        <v>7</v>
      </c>
      <c r="Q627" s="4" t="b" cm="1">
        <f t="array" ref="Q627:U627">IFERROR(_xlfn.XLOOKUP(_xlfn.TEXTJOIN(,,D627:O627),Aux!$B$3:$B$4098,'Truth Table'!$O$3:$S$4098)=1,FALSE)</f>
        <v>0</v>
      </c>
      <c r="R627" s="4" t="b">
        <v>0</v>
      </c>
      <c r="S627" s="4" t="b">
        <v>0</v>
      </c>
      <c r="T627" s="4" t="b">
        <v>0</v>
      </c>
      <c r="U627" s="4" t="b">
        <v>0</v>
      </c>
      <c r="V627" s="4" t="b">
        <f>AND(_xlfn.XLOOKUP(_xlfn.TEXTJOIN(,,D627:O627),Aux!$B$3:$B$4098,'Truth Table'!$T$3:$T$4098)=1,P626&lt;='Line Follower'!$C$7)</f>
        <v>0</v>
      </c>
      <c r="W627" s="4" t="b">
        <f>AND(_xlfn.XLOOKUP(_xlfn.TEXTJOIN(,,D627:O627),Aux!$B$3:$B$4098,'Truth Table'!$U$3:$U$4098)=1,P626&gt;='Line Follower'!$C$6)</f>
        <v>1</v>
      </c>
      <c r="X627" s="4" t="b">
        <f>IFERROR(AND(_xlfn.XLOOKUP(_xlfn.TEXTJOIN(,,D627:O627),Aux!$B$3:$B$4098,'Truth Table'!$V$3:$V$4098)=1,ABS(P626)&lt;='Line Follower'!$C$6),FALSE)</f>
        <v>1</v>
      </c>
      <c r="Y627" s="4" t="b">
        <f t="shared" si="9"/>
        <v>1</v>
      </c>
    </row>
    <row r="628" spans="2:25" x14ac:dyDescent="0.25">
      <c r="B628" s="4">
        <v>625</v>
      </c>
      <c r="C628" s="4">
        <v>5266</v>
      </c>
      <c r="D628" s="4">
        <v>0</v>
      </c>
      <c r="E628" s="4">
        <v>0</v>
      </c>
      <c r="F628" s="4">
        <v>0</v>
      </c>
      <c r="G628" s="4">
        <v>0</v>
      </c>
      <c r="H628" s="4">
        <v>0</v>
      </c>
      <c r="I628" s="4">
        <v>0</v>
      </c>
      <c r="J628" s="4">
        <v>0</v>
      </c>
      <c r="K628" s="4">
        <v>0</v>
      </c>
      <c r="L628" s="4">
        <v>0</v>
      </c>
      <c r="M628" s="4">
        <v>0</v>
      </c>
      <c r="N628" s="4">
        <v>0</v>
      </c>
      <c r="O628" s="4">
        <v>0</v>
      </c>
      <c r="P628" s="51">
        <f>IFERROR(_xlfn.XLOOKUP(_xlfn.TEXTJOIN(,,D627:O627),Aux!$B$3:$B$4098,'Truth Table'!$N$3:$N$4098),P627)</f>
        <v>7</v>
      </c>
      <c r="Q628" s="4" t="b" cm="1">
        <f t="array" ref="Q628:U628">IFERROR(_xlfn.XLOOKUP(_xlfn.TEXTJOIN(,,D628:O628),Aux!$B$3:$B$4098,'Truth Table'!$O$3:$S$4098)=1,FALSE)</f>
        <v>0</v>
      </c>
      <c r="R628" s="4" t="b">
        <v>0</v>
      </c>
      <c r="S628" s="4" t="b">
        <v>0</v>
      </c>
      <c r="T628" s="4" t="b">
        <v>0</v>
      </c>
      <c r="U628" s="4" t="b">
        <v>0</v>
      </c>
      <c r="V628" s="4" t="b">
        <f>AND(_xlfn.XLOOKUP(_xlfn.TEXTJOIN(,,D628:O628),Aux!$B$3:$B$4098,'Truth Table'!$T$3:$T$4098)=1,P627&lt;='Line Follower'!$C$7)</f>
        <v>0</v>
      </c>
      <c r="W628" s="4" t="b">
        <f>AND(_xlfn.XLOOKUP(_xlfn.TEXTJOIN(,,D628:O628),Aux!$B$3:$B$4098,'Truth Table'!$U$3:$U$4098)=1,P627&gt;='Line Follower'!$C$6)</f>
        <v>1</v>
      </c>
      <c r="X628" s="4" t="b">
        <f>IFERROR(AND(_xlfn.XLOOKUP(_xlfn.TEXTJOIN(,,D628:O628),Aux!$B$3:$B$4098,'Truth Table'!$V$3:$V$4098)=1,ABS(P627)&lt;='Line Follower'!$C$6),FALSE)</f>
        <v>1</v>
      </c>
      <c r="Y628" s="4" t="b">
        <f t="shared" si="9"/>
        <v>1</v>
      </c>
    </row>
    <row r="629" spans="2:25" x14ac:dyDescent="0.25">
      <c r="B629" s="4">
        <v>626</v>
      </c>
      <c r="C629" s="4">
        <v>5279</v>
      </c>
      <c r="D629" s="4">
        <v>0</v>
      </c>
      <c r="E629" s="4">
        <v>0</v>
      </c>
      <c r="F629" s="4">
        <v>0</v>
      </c>
      <c r="G629" s="4">
        <v>0</v>
      </c>
      <c r="H629" s="4">
        <v>0</v>
      </c>
      <c r="I629" s="4">
        <v>0</v>
      </c>
      <c r="J629" s="4">
        <v>0</v>
      </c>
      <c r="K629" s="4">
        <v>0</v>
      </c>
      <c r="L629" s="4">
        <v>0</v>
      </c>
      <c r="M629" s="4">
        <v>0</v>
      </c>
      <c r="N629" s="4">
        <v>0</v>
      </c>
      <c r="O629" s="4">
        <v>0</v>
      </c>
      <c r="P629" s="51">
        <f>IFERROR(_xlfn.XLOOKUP(_xlfn.TEXTJOIN(,,D628:O628),Aux!$B$3:$B$4098,'Truth Table'!$N$3:$N$4098),P628)</f>
        <v>7</v>
      </c>
      <c r="Q629" s="4" t="b" cm="1">
        <f t="array" ref="Q629:U629">IFERROR(_xlfn.XLOOKUP(_xlfn.TEXTJOIN(,,D629:O629),Aux!$B$3:$B$4098,'Truth Table'!$O$3:$S$4098)=1,FALSE)</f>
        <v>0</v>
      </c>
      <c r="R629" s="4" t="b">
        <v>0</v>
      </c>
      <c r="S629" s="4" t="b">
        <v>0</v>
      </c>
      <c r="T629" s="4" t="b">
        <v>0</v>
      </c>
      <c r="U629" s="4" t="b">
        <v>0</v>
      </c>
      <c r="V629" s="4" t="b">
        <f>AND(_xlfn.XLOOKUP(_xlfn.TEXTJOIN(,,D629:O629),Aux!$B$3:$B$4098,'Truth Table'!$T$3:$T$4098)=1,P628&lt;='Line Follower'!$C$7)</f>
        <v>0</v>
      </c>
      <c r="W629" s="4" t="b">
        <f>AND(_xlfn.XLOOKUP(_xlfn.TEXTJOIN(,,D629:O629),Aux!$B$3:$B$4098,'Truth Table'!$U$3:$U$4098)=1,P628&gt;='Line Follower'!$C$6)</f>
        <v>1</v>
      </c>
      <c r="X629" s="4" t="b">
        <f>IFERROR(AND(_xlfn.XLOOKUP(_xlfn.TEXTJOIN(,,D629:O629),Aux!$B$3:$B$4098,'Truth Table'!$V$3:$V$4098)=1,ABS(P628)&lt;='Line Follower'!$C$6),FALSE)</f>
        <v>1</v>
      </c>
      <c r="Y629" s="4" t="b">
        <f t="shared" si="9"/>
        <v>1</v>
      </c>
    </row>
    <row r="630" spans="2:25" x14ac:dyDescent="0.25">
      <c r="B630" s="4">
        <v>627</v>
      </c>
      <c r="C630" s="4">
        <v>5280</v>
      </c>
      <c r="D630" s="4">
        <v>0</v>
      </c>
      <c r="E630" s="4">
        <v>0</v>
      </c>
      <c r="F630" s="4">
        <v>0</v>
      </c>
      <c r="G630" s="4">
        <v>0</v>
      </c>
      <c r="H630" s="4">
        <v>0</v>
      </c>
      <c r="I630" s="4">
        <v>0</v>
      </c>
      <c r="J630" s="4">
        <v>0</v>
      </c>
      <c r="K630" s="4">
        <v>0</v>
      </c>
      <c r="L630" s="4">
        <v>0</v>
      </c>
      <c r="M630" s="4">
        <v>0</v>
      </c>
      <c r="N630" s="4">
        <v>0</v>
      </c>
      <c r="O630" s="4">
        <v>0</v>
      </c>
      <c r="P630" s="51">
        <f>IFERROR(_xlfn.XLOOKUP(_xlfn.TEXTJOIN(,,D629:O629),Aux!$B$3:$B$4098,'Truth Table'!$N$3:$N$4098),P629)</f>
        <v>7</v>
      </c>
      <c r="Q630" s="4" t="b" cm="1">
        <f t="array" ref="Q630:U630">IFERROR(_xlfn.XLOOKUP(_xlfn.TEXTJOIN(,,D630:O630),Aux!$B$3:$B$4098,'Truth Table'!$O$3:$S$4098)=1,FALSE)</f>
        <v>0</v>
      </c>
      <c r="R630" s="4" t="b">
        <v>0</v>
      </c>
      <c r="S630" s="4" t="b">
        <v>0</v>
      </c>
      <c r="T630" s="4" t="b">
        <v>0</v>
      </c>
      <c r="U630" s="4" t="b">
        <v>0</v>
      </c>
      <c r="V630" s="4" t="b">
        <f>AND(_xlfn.XLOOKUP(_xlfn.TEXTJOIN(,,D630:O630),Aux!$B$3:$B$4098,'Truth Table'!$T$3:$T$4098)=1,P629&lt;='Line Follower'!$C$7)</f>
        <v>0</v>
      </c>
      <c r="W630" s="4" t="b">
        <f>AND(_xlfn.XLOOKUP(_xlfn.TEXTJOIN(,,D630:O630),Aux!$B$3:$B$4098,'Truth Table'!$U$3:$U$4098)=1,P629&gt;='Line Follower'!$C$6)</f>
        <v>1</v>
      </c>
      <c r="X630" s="4" t="b">
        <f>IFERROR(AND(_xlfn.XLOOKUP(_xlfn.TEXTJOIN(,,D630:O630),Aux!$B$3:$B$4098,'Truth Table'!$V$3:$V$4098)=1,ABS(P629)&lt;='Line Follower'!$C$6),FALSE)</f>
        <v>1</v>
      </c>
      <c r="Y630" s="4" t="b">
        <f t="shared" si="9"/>
        <v>1</v>
      </c>
    </row>
    <row r="631" spans="2:25" x14ac:dyDescent="0.25">
      <c r="B631" s="4">
        <v>628</v>
      </c>
      <c r="C631" s="4">
        <v>5289</v>
      </c>
      <c r="D631" s="4">
        <v>0</v>
      </c>
      <c r="E631" s="4">
        <v>0</v>
      </c>
      <c r="F631" s="4">
        <v>0</v>
      </c>
      <c r="G631" s="4">
        <v>0</v>
      </c>
      <c r="H631" s="4">
        <v>0</v>
      </c>
      <c r="I631" s="4">
        <v>0</v>
      </c>
      <c r="J631" s="4">
        <v>0</v>
      </c>
      <c r="K631" s="4">
        <v>0</v>
      </c>
      <c r="L631" s="4">
        <v>0</v>
      </c>
      <c r="M631" s="4">
        <v>0</v>
      </c>
      <c r="N631" s="4">
        <v>0</v>
      </c>
      <c r="O631" s="4">
        <v>0</v>
      </c>
      <c r="P631" s="51">
        <f>IFERROR(_xlfn.XLOOKUP(_xlfn.TEXTJOIN(,,D630:O630),Aux!$B$3:$B$4098,'Truth Table'!$N$3:$N$4098),P630)</f>
        <v>7</v>
      </c>
      <c r="Q631" s="4" t="b" cm="1">
        <f t="array" ref="Q631:U631">IFERROR(_xlfn.XLOOKUP(_xlfn.TEXTJOIN(,,D631:O631),Aux!$B$3:$B$4098,'Truth Table'!$O$3:$S$4098)=1,FALSE)</f>
        <v>0</v>
      </c>
      <c r="R631" s="4" t="b">
        <v>0</v>
      </c>
      <c r="S631" s="4" t="b">
        <v>0</v>
      </c>
      <c r="T631" s="4" t="b">
        <v>0</v>
      </c>
      <c r="U631" s="4" t="b">
        <v>0</v>
      </c>
      <c r="V631" s="4" t="b">
        <f>AND(_xlfn.XLOOKUP(_xlfn.TEXTJOIN(,,D631:O631),Aux!$B$3:$B$4098,'Truth Table'!$T$3:$T$4098)=1,P630&lt;='Line Follower'!$C$7)</f>
        <v>0</v>
      </c>
      <c r="W631" s="4" t="b">
        <f>AND(_xlfn.XLOOKUP(_xlfn.TEXTJOIN(,,D631:O631),Aux!$B$3:$B$4098,'Truth Table'!$U$3:$U$4098)=1,P630&gt;='Line Follower'!$C$6)</f>
        <v>1</v>
      </c>
      <c r="X631" s="4" t="b">
        <f>IFERROR(AND(_xlfn.XLOOKUP(_xlfn.TEXTJOIN(,,D631:O631),Aux!$B$3:$B$4098,'Truth Table'!$V$3:$V$4098)=1,ABS(P630)&lt;='Line Follower'!$C$6),FALSE)</f>
        <v>1</v>
      </c>
      <c r="Y631" s="4" t="b">
        <f t="shared" si="9"/>
        <v>1</v>
      </c>
    </row>
    <row r="632" spans="2:25" x14ac:dyDescent="0.25">
      <c r="B632" s="4">
        <v>629</v>
      </c>
      <c r="C632" s="4">
        <v>5323</v>
      </c>
      <c r="D632" s="4">
        <v>0</v>
      </c>
      <c r="E632" s="4">
        <v>0</v>
      </c>
      <c r="F632" s="4">
        <v>0</v>
      </c>
      <c r="G632" s="4">
        <v>0</v>
      </c>
      <c r="H632" s="4">
        <v>0</v>
      </c>
      <c r="I632" s="4">
        <v>0</v>
      </c>
      <c r="J632" s="4">
        <v>0</v>
      </c>
      <c r="K632" s="4">
        <v>0</v>
      </c>
      <c r="L632" s="4">
        <v>0</v>
      </c>
      <c r="M632" s="4">
        <v>0</v>
      </c>
      <c r="N632" s="4">
        <v>0</v>
      </c>
      <c r="O632" s="4">
        <v>0</v>
      </c>
      <c r="P632" s="51">
        <f>IFERROR(_xlfn.XLOOKUP(_xlfn.TEXTJOIN(,,D631:O631),Aux!$B$3:$B$4098,'Truth Table'!$N$3:$N$4098),P631)</f>
        <v>7</v>
      </c>
      <c r="Q632" s="4" t="b" cm="1">
        <f t="array" ref="Q632:U632">IFERROR(_xlfn.XLOOKUP(_xlfn.TEXTJOIN(,,D632:O632),Aux!$B$3:$B$4098,'Truth Table'!$O$3:$S$4098)=1,FALSE)</f>
        <v>0</v>
      </c>
      <c r="R632" s="4" t="b">
        <v>0</v>
      </c>
      <c r="S632" s="4" t="b">
        <v>0</v>
      </c>
      <c r="T632" s="4" t="b">
        <v>0</v>
      </c>
      <c r="U632" s="4" t="b">
        <v>0</v>
      </c>
      <c r="V632" s="4" t="b">
        <f>AND(_xlfn.XLOOKUP(_xlfn.TEXTJOIN(,,D632:O632),Aux!$B$3:$B$4098,'Truth Table'!$T$3:$T$4098)=1,P631&lt;='Line Follower'!$C$7)</f>
        <v>0</v>
      </c>
      <c r="W632" s="4" t="b">
        <f>AND(_xlfn.XLOOKUP(_xlfn.TEXTJOIN(,,D632:O632),Aux!$B$3:$B$4098,'Truth Table'!$U$3:$U$4098)=1,P631&gt;='Line Follower'!$C$6)</f>
        <v>1</v>
      </c>
      <c r="X632" s="4" t="b">
        <f>IFERROR(AND(_xlfn.XLOOKUP(_xlfn.TEXTJOIN(,,D632:O632),Aux!$B$3:$B$4098,'Truth Table'!$V$3:$V$4098)=1,ABS(P631)&lt;='Line Follower'!$C$6),FALSE)</f>
        <v>1</v>
      </c>
      <c r="Y632" s="4" t="b">
        <f t="shared" si="9"/>
        <v>1</v>
      </c>
    </row>
    <row r="633" spans="2:25" x14ac:dyDescent="0.25">
      <c r="B633" s="4">
        <v>630</v>
      </c>
      <c r="C633" s="4">
        <v>5324</v>
      </c>
      <c r="D633" s="4">
        <v>0</v>
      </c>
      <c r="E633" s="4">
        <v>0</v>
      </c>
      <c r="F633" s="4">
        <v>0</v>
      </c>
      <c r="G633" s="4">
        <v>0</v>
      </c>
      <c r="H633" s="4">
        <v>0</v>
      </c>
      <c r="I633" s="4">
        <v>0</v>
      </c>
      <c r="J633" s="4">
        <v>0</v>
      </c>
      <c r="K633" s="4">
        <v>0</v>
      </c>
      <c r="L633" s="4">
        <v>0</v>
      </c>
      <c r="M633" s="4">
        <v>0</v>
      </c>
      <c r="N633" s="4">
        <v>0</v>
      </c>
      <c r="O633" s="4">
        <v>0</v>
      </c>
      <c r="P633" s="51">
        <f>IFERROR(_xlfn.XLOOKUP(_xlfn.TEXTJOIN(,,D632:O632),Aux!$B$3:$B$4098,'Truth Table'!$N$3:$N$4098),P632)</f>
        <v>7</v>
      </c>
      <c r="Q633" s="4" t="b" cm="1">
        <f t="array" ref="Q633:U633">IFERROR(_xlfn.XLOOKUP(_xlfn.TEXTJOIN(,,D633:O633),Aux!$B$3:$B$4098,'Truth Table'!$O$3:$S$4098)=1,FALSE)</f>
        <v>0</v>
      </c>
      <c r="R633" s="4" t="b">
        <v>0</v>
      </c>
      <c r="S633" s="4" t="b">
        <v>0</v>
      </c>
      <c r="T633" s="4" t="b">
        <v>0</v>
      </c>
      <c r="U633" s="4" t="b">
        <v>0</v>
      </c>
      <c r="V633" s="4" t="b">
        <f>AND(_xlfn.XLOOKUP(_xlfn.TEXTJOIN(,,D633:O633),Aux!$B$3:$B$4098,'Truth Table'!$T$3:$T$4098)=1,P632&lt;='Line Follower'!$C$7)</f>
        <v>0</v>
      </c>
      <c r="W633" s="4" t="b">
        <f>AND(_xlfn.XLOOKUP(_xlfn.TEXTJOIN(,,D633:O633),Aux!$B$3:$B$4098,'Truth Table'!$U$3:$U$4098)=1,P632&gt;='Line Follower'!$C$6)</f>
        <v>1</v>
      </c>
      <c r="X633" s="4" t="b">
        <f>IFERROR(AND(_xlfn.XLOOKUP(_xlfn.TEXTJOIN(,,D633:O633),Aux!$B$3:$B$4098,'Truth Table'!$V$3:$V$4098)=1,ABS(P632)&lt;='Line Follower'!$C$6),FALSE)</f>
        <v>1</v>
      </c>
      <c r="Y633" s="4" t="b">
        <f t="shared" si="9"/>
        <v>1</v>
      </c>
    </row>
    <row r="634" spans="2:25" x14ac:dyDescent="0.25">
      <c r="B634" s="4">
        <v>631</v>
      </c>
      <c r="C634" s="4">
        <v>5326</v>
      </c>
      <c r="D634" s="4">
        <v>0</v>
      </c>
      <c r="E634" s="4">
        <v>0</v>
      </c>
      <c r="F634" s="4">
        <v>0</v>
      </c>
      <c r="G634" s="4">
        <v>0</v>
      </c>
      <c r="H634" s="4">
        <v>0</v>
      </c>
      <c r="I634" s="4">
        <v>0</v>
      </c>
      <c r="J634" s="4">
        <v>0</v>
      </c>
      <c r="K634" s="4">
        <v>0</v>
      </c>
      <c r="L634" s="4">
        <v>0</v>
      </c>
      <c r="M634" s="4">
        <v>0</v>
      </c>
      <c r="N634" s="4">
        <v>0</v>
      </c>
      <c r="O634" s="4">
        <v>0</v>
      </c>
      <c r="P634" s="51">
        <f>IFERROR(_xlfn.XLOOKUP(_xlfn.TEXTJOIN(,,D633:O633),Aux!$B$3:$B$4098,'Truth Table'!$N$3:$N$4098),P633)</f>
        <v>7</v>
      </c>
      <c r="Q634" s="4" t="b" cm="1">
        <f t="array" ref="Q634:U634">IFERROR(_xlfn.XLOOKUP(_xlfn.TEXTJOIN(,,D634:O634),Aux!$B$3:$B$4098,'Truth Table'!$O$3:$S$4098)=1,FALSE)</f>
        <v>0</v>
      </c>
      <c r="R634" s="4" t="b">
        <v>0</v>
      </c>
      <c r="S634" s="4" t="b">
        <v>0</v>
      </c>
      <c r="T634" s="4" t="b">
        <v>0</v>
      </c>
      <c r="U634" s="4" t="b">
        <v>0</v>
      </c>
      <c r="V634" s="4" t="b">
        <f>AND(_xlfn.XLOOKUP(_xlfn.TEXTJOIN(,,D634:O634),Aux!$B$3:$B$4098,'Truth Table'!$T$3:$T$4098)=1,P633&lt;='Line Follower'!$C$7)</f>
        <v>0</v>
      </c>
      <c r="W634" s="4" t="b">
        <f>AND(_xlfn.XLOOKUP(_xlfn.TEXTJOIN(,,D634:O634),Aux!$B$3:$B$4098,'Truth Table'!$U$3:$U$4098)=1,P633&gt;='Line Follower'!$C$6)</f>
        <v>1</v>
      </c>
      <c r="X634" s="4" t="b">
        <f>IFERROR(AND(_xlfn.XLOOKUP(_xlfn.TEXTJOIN(,,D634:O634),Aux!$B$3:$B$4098,'Truth Table'!$V$3:$V$4098)=1,ABS(P633)&lt;='Line Follower'!$C$6),FALSE)</f>
        <v>1</v>
      </c>
      <c r="Y634" s="4" t="b">
        <f t="shared" si="9"/>
        <v>1</v>
      </c>
    </row>
    <row r="635" spans="2:25" x14ac:dyDescent="0.25">
      <c r="B635" s="4">
        <v>632</v>
      </c>
      <c r="C635" s="4">
        <v>5327</v>
      </c>
      <c r="D635" s="4">
        <v>0</v>
      </c>
      <c r="E635" s="4">
        <v>0</v>
      </c>
      <c r="F635" s="4">
        <v>0</v>
      </c>
      <c r="G635" s="4">
        <v>0</v>
      </c>
      <c r="H635" s="4">
        <v>0</v>
      </c>
      <c r="I635" s="4">
        <v>0</v>
      </c>
      <c r="J635" s="4">
        <v>0</v>
      </c>
      <c r="K635" s="4">
        <v>0</v>
      </c>
      <c r="L635" s="4">
        <v>0</v>
      </c>
      <c r="M635" s="4">
        <v>0</v>
      </c>
      <c r="N635" s="4">
        <v>1</v>
      </c>
      <c r="O635" s="4">
        <v>0</v>
      </c>
      <c r="P635" s="51">
        <f>IFERROR(_xlfn.XLOOKUP(_xlfn.TEXTJOIN(,,D634:O634),Aux!$B$3:$B$4098,'Truth Table'!$N$3:$N$4098),P634)</f>
        <v>7</v>
      </c>
      <c r="Q635" s="4" t="b" cm="1">
        <f t="array" ref="Q635:U635">IFERROR(_xlfn.XLOOKUP(_xlfn.TEXTJOIN(,,D635:O635),Aux!$B$3:$B$4098,'Truth Table'!$O$3:$S$4098)=1,FALSE)</f>
        <v>0</v>
      </c>
      <c r="R635" s="4" t="b">
        <v>0</v>
      </c>
      <c r="S635" s="4" t="b">
        <v>0</v>
      </c>
      <c r="T635" s="4" t="b">
        <v>0</v>
      </c>
      <c r="U635" s="4" t="b">
        <v>0</v>
      </c>
      <c r="V635" s="4" t="b">
        <f>AND(_xlfn.XLOOKUP(_xlfn.TEXTJOIN(,,D635:O635),Aux!$B$3:$B$4098,'Truth Table'!$T$3:$T$4098)=1,P634&lt;='Line Follower'!$C$7)</f>
        <v>0</v>
      </c>
      <c r="W635" s="4" t="b">
        <f>AND(_xlfn.XLOOKUP(_xlfn.TEXTJOIN(,,D635:O635),Aux!$B$3:$B$4098,'Truth Table'!$U$3:$U$4098)=1,P634&gt;='Line Follower'!$C$6)</f>
        <v>1</v>
      </c>
      <c r="X635" s="4" t="b">
        <f>IFERROR(AND(_xlfn.XLOOKUP(_xlfn.TEXTJOIN(,,D635:O635),Aux!$B$3:$B$4098,'Truth Table'!$V$3:$V$4098)=1,ABS(P634)&lt;='Line Follower'!$C$6),FALSE)</f>
        <v>0</v>
      </c>
      <c r="Y635" s="4" t="b">
        <f t="shared" si="9"/>
        <v>1</v>
      </c>
    </row>
    <row r="636" spans="2:25" x14ac:dyDescent="0.25">
      <c r="B636" s="4">
        <v>633</v>
      </c>
      <c r="C636" s="4">
        <v>5341</v>
      </c>
      <c r="D636" s="4">
        <v>0</v>
      </c>
      <c r="E636" s="4">
        <v>0</v>
      </c>
      <c r="F636" s="4">
        <v>0</v>
      </c>
      <c r="G636" s="4">
        <v>0</v>
      </c>
      <c r="H636" s="4">
        <v>0</v>
      </c>
      <c r="I636" s="4">
        <v>0</v>
      </c>
      <c r="J636" s="4">
        <v>0</v>
      </c>
      <c r="K636" s="4">
        <v>0</v>
      </c>
      <c r="L636" s="4">
        <v>0</v>
      </c>
      <c r="M636" s="4">
        <v>0</v>
      </c>
      <c r="N636" s="4">
        <v>1</v>
      </c>
      <c r="O636" s="4">
        <v>0</v>
      </c>
      <c r="P636" s="51">
        <f>IFERROR(_xlfn.XLOOKUP(_xlfn.TEXTJOIN(,,D635:O635),Aux!$B$3:$B$4098,'Truth Table'!$N$3:$N$4098),P635)</f>
        <v>7</v>
      </c>
      <c r="Q636" s="4" t="b" cm="1">
        <f t="array" ref="Q636:U636">IFERROR(_xlfn.XLOOKUP(_xlfn.TEXTJOIN(,,D636:O636),Aux!$B$3:$B$4098,'Truth Table'!$O$3:$S$4098)=1,FALSE)</f>
        <v>0</v>
      </c>
      <c r="R636" s="4" t="b">
        <v>0</v>
      </c>
      <c r="S636" s="4" t="b">
        <v>0</v>
      </c>
      <c r="T636" s="4" t="b">
        <v>0</v>
      </c>
      <c r="U636" s="4" t="b">
        <v>0</v>
      </c>
      <c r="V636" s="4" t="b">
        <f>AND(_xlfn.XLOOKUP(_xlfn.TEXTJOIN(,,D636:O636),Aux!$B$3:$B$4098,'Truth Table'!$T$3:$T$4098)=1,P635&lt;='Line Follower'!$C$7)</f>
        <v>0</v>
      </c>
      <c r="W636" s="4" t="b">
        <f>AND(_xlfn.XLOOKUP(_xlfn.TEXTJOIN(,,D636:O636),Aux!$B$3:$B$4098,'Truth Table'!$U$3:$U$4098)=1,P635&gt;='Line Follower'!$C$6)</f>
        <v>1</v>
      </c>
      <c r="X636" s="4" t="b">
        <f>IFERROR(AND(_xlfn.XLOOKUP(_xlfn.TEXTJOIN(,,D636:O636),Aux!$B$3:$B$4098,'Truth Table'!$V$3:$V$4098)=1,ABS(P635)&lt;='Line Follower'!$C$6),FALSE)</f>
        <v>0</v>
      </c>
      <c r="Y636" s="4" t="b">
        <f t="shared" si="9"/>
        <v>1</v>
      </c>
    </row>
    <row r="637" spans="2:25" x14ac:dyDescent="0.25">
      <c r="B637" s="4">
        <v>634</v>
      </c>
      <c r="C637" s="4">
        <v>5352</v>
      </c>
      <c r="D637" s="4">
        <v>0</v>
      </c>
      <c r="E637" s="4">
        <v>0</v>
      </c>
      <c r="F637" s="4">
        <v>0</v>
      </c>
      <c r="G637" s="4">
        <v>0</v>
      </c>
      <c r="H637" s="4">
        <v>0</v>
      </c>
      <c r="I637" s="4">
        <v>0</v>
      </c>
      <c r="J637" s="4">
        <v>0</v>
      </c>
      <c r="K637" s="4">
        <v>0</v>
      </c>
      <c r="L637" s="4">
        <v>0</v>
      </c>
      <c r="M637" s="4">
        <v>0</v>
      </c>
      <c r="N637" s="4">
        <v>1</v>
      </c>
      <c r="O637" s="4">
        <v>0</v>
      </c>
      <c r="P637" s="51">
        <f>IFERROR(_xlfn.XLOOKUP(_xlfn.TEXTJOIN(,,D636:O636),Aux!$B$3:$B$4098,'Truth Table'!$N$3:$N$4098),P636)</f>
        <v>7</v>
      </c>
      <c r="Q637" s="4" t="b" cm="1">
        <f t="array" ref="Q637:U637">IFERROR(_xlfn.XLOOKUP(_xlfn.TEXTJOIN(,,D637:O637),Aux!$B$3:$B$4098,'Truth Table'!$O$3:$S$4098)=1,FALSE)</f>
        <v>0</v>
      </c>
      <c r="R637" s="4" t="b">
        <v>0</v>
      </c>
      <c r="S637" s="4" t="b">
        <v>0</v>
      </c>
      <c r="T637" s="4" t="b">
        <v>0</v>
      </c>
      <c r="U637" s="4" t="b">
        <v>0</v>
      </c>
      <c r="V637" s="4" t="b">
        <f>AND(_xlfn.XLOOKUP(_xlfn.TEXTJOIN(,,D637:O637),Aux!$B$3:$B$4098,'Truth Table'!$T$3:$T$4098)=1,P636&lt;='Line Follower'!$C$7)</f>
        <v>0</v>
      </c>
      <c r="W637" s="4" t="b">
        <f>AND(_xlfn.XLOOKUP(_xlfn.TEXTJOIN(,,D637:O637),Aux!$B$3:$B$4098,'Truth Table'!$U$3:$U$4098)=1,P636&gt;='Line Follower'!$C$6)</f>
        <v>1</v>
      </c>
      <c r="X637" s="4" t="b">
        <f>IFERROR(AND(_xlfn.XLOOKUP(_xlfn.TEXTJOIN(,,D637:O637),Aux!$B$3:$B$4098,'Truth Table'!$V$3:$V$4098)=1,ABS(P636)&lt;='Line Follower'!$C$6),FALSE)</f>
        <v>0</v>
      </c>
      <c r="Y637" s="4" t="b">
        <f t="shared" si="9"/>
        <v>1</v>
      </c>
    </row>
    <row r="638" spans="2:25" x14ac:dyDescent="0.25">
      <c r="B638" s="4">
        <v>635</v>
      </c>
      <c r="C638" s="4">
        <v>5363</v>
      </c>
      <c r="D638" s="4">
        <v>0</v>
      </c>
      <c r="E638" s="4">
        <v>0</v>
      </c>
      <c r="F638" s="4">
        <v>0</v>
      </c>
      <c r="G638" s="4">
        <v>0</v>
      </c>
      <c r="H638" s="4">
        <v>0</v>
      </c>
      <c r="I638" s="4">
        <v>0</v>
      </c>
      <c r="J638" s="4">
        <v>0</v>
      </c>
      <c r="K638" s="4">
        <v>0</v>
      </c>
      <c r="L638" s="4">
        <v>0</v>
      </c>
      <c r="M638" s="4">
        <v>0</v>
      </c>
      <c r="N638" s="4">
        <v>1</v>
      </c>
      <c r="O638" s="4">
        <v>0</v>
      </c>
      <c r="P638" s="51">
        <f>IFERROR(_xlfn.XLOOKUP(_xlfn.TEXTJOIN(,,D637:O637),Aux!$B$3:$B$4098,'Truth Table'!$N$3:$N$4098),P637)</f>
        <v>7</v>
      </c>
      <c r="Q638" s="4" t="b" cm="1">
        <f t="array" ref="Q638:U638">IFERROR(_xlfn.XLOOKUP(_xlfn.TEXTJOIN(,,D638:O638),Aux!$B$3:$B$4098,'Truth Table'!$O$3:$S$4098)=1,FALSE)</f>
        <v>0</v>
      </c>
      <c r="R638" s="4" t="b">
        <v>0</v>
      </c>
      <c r="S638" s="4" t="b">
        <v>0</v>
      </c>
      <c r="T638" s="4" t="b">
        <v>0</v>
      </c>
      <c r="U638" s="4" t="b">
        <v>0</v>
      </c>
      <c r="V638" s="4" t="b">
        <f>AND(_xlfn.XLOOKUP(_xlfn.TEXTJOIN(,,D638:O638),Aux!$B$3:$B$4098,'Truth Table'!$T$3:$T$4098)=1,P637&lt;='Line Follower'!$C$7)</f>
        <v>0</v>
      </c>
      <c r="W638" s="4" t="b">
        <f>AND(_xlfn.XLOOKUP(_xlfn.TEXTJOIN(,,D638:O638),Aux!$B$3:$B$4098,'Truth Table'!$U$3:$U$4098)=1,P637&gt;='Line Follower'!$C$6)</f>
        <v>1</v>
      </c>
      <c r="X638" s="4" t="b">
        <f>IFERROR(AND(_xlfn.XLOOKUP(_xlfn.TEXTJOIN(,,D638:O638),Aux!$B$3:$B$4098,'Truth Table'!$V$3:$V$4098)=1,ABS(P637)&lt;='Line Follower'!$C$6),FALSE)</f>
        <v>0</v>
      </c>
      <c r="Y638" s="4" t="b">
        <f t="shared" si="9"/>
        <v>1</v>
      </c>
    </row>
    <row r="639" spans="2:25" x14ac:dyDescent="0.25">
      <c r="B639" s="4">
        <v>636</v>
      </c>
      <c r="C639" s="4">
        <v>5372</v>
      </c>
      <c r="D639" s="4">
        <v>0</v>
      </c>
      <c r="E639" s="4">
        <v>0</v>
      </c>
      <c r="F639" s="4">
        <v>0</v>
      </c>
      <c r="G639" s="4">
        <v>0</v>
      </c>
      <c r="H639" s="4">
        <v>0</v>
      </c>
      <c r="I639" s="4">
        <v>0</v>
      </c>
      <c r="J639" s="4">
        <v>0</v>
      </c>
      <c r="K639" s="4">
        <v>0</v>
      </c>
      <c r="L639" s="4">
        <v>0</v>
      </c>
      <c r="M639" s="4">
        <v>0</v>
      </c>
      <c r="N639" s="4">
        <v>1</v>
      </c>
      <c r="O639" s="4">
        <v>0</v>
      </c>
      <c r="P639" s="51">
        <f>IFERROR(_xlfn.XLOOKUP(_xlfn.TEXTJOIN(,,D638:O638),Aux!$B$3:$B$4098,'Truth Table'!$N$3:$N$4098),P638)</f>
        <v>7</v>
      </c>
      <c r="Q639" s="4" t="b" cm="1">
        <f t="array" ref="Q639:U639">IFERROR(_xlfn.XLOOKUP(_xlfn.TEXTJOIN(,,D639:O639),Aux!$B$3:$B$4098,'Truth Table'!$O$3:$S$4098)=1,FALSE)</f>
        <v>0</v>
      </c>
      <c r="R639" s="4" t="b">
        <v>0</v>
      </c>
      <c r="S639" s="4" t="b">
        <v>0</v>
      </c>
      <c r="T639" s="4" t="b">
        <v>0</v>
      </c>
      <c r="U639" s="4" t="b">
        <v>0</v>
      </c>
      <c r="V639" s="4" t="b">
        <f>AND(_xlfn.XLOOKUP(_xlfn.TEXTJOIN(,,D639:O639),Aux!$B$3:$B$4098,'Truth Table'!$T$3:$T$4098)=1,P638&lt;='Line Follower'!$C$7)</f>
        <v>0</v>
      </c>
      <c r="W639" s="4" t="b">
        <f>AND(_xlfn.XLOOKUP(_xlfn.TEXTJOIN(,,D639:O639),Aux!$B$3:$B$4098,'Truth Table'!$U$3:$U$4098)=1,P638&gt;='Line Follower'!$C$6)</f>
        <v>1</v>
      </c>
      <c r="X639" s="4" t="b">
        <f>IFERROR(AND(_xlfn.XLOOKUP(_xlfn.TEXTJOIN(,,D639:O639),Aux!$B$3:$B$4098,'Truth Table'!$V$3:$V$4098)=1,ABS(P638)&lt;='Line Follower'!$C$6),FALSE)</f>
        <v>0</v>
      </c>
      <c r="Y639" s="4" t="b">
        <f t="shared" si="9"/>
        <v>1</v>
      </c>
    </row>
    <row r="640" spans="2:25" x14ac:dyDescent="0.25">
      <c r="B640" s="4">
        <v>637</v>
      </c>
      <c r="C640" s="4">
        <v>5386</v>
      </c>
      <c r="D640" s="4">
        <v>0</v>
      </c>
      <c r="E640" s="4">
        <v>0</v>
      </c>
      <c r="F640" s="4">
        <v>0</v>
      </c>
      <c r="G640" s="4">
        <v>0</v>
      </c>
      <c r="H640" s="4">
        <v>0</v>
      </c>
      <c r="I640" s="4">
        <v>0</v>
      </c>
      <c r="J640" s="4">
        <v>0</v>
      </c>
      <c r="K640" s="4">
        <v>0</v>
      </c>
      <c r="L640" s="4">
        <v>0</v>
      </c>
      <c r="M640" s="4">
        <v>0</v>
      </c>
      <c r="N640" s="4">
        <v>1</v>
      </c>
      <c r="O640" s="4">
        <v>0</v>
      </c>
      <c r="P640" s="51">
        <f>IFERROR(_xlfn.XLOOKUP(_xlfn.TEXTJOIN(,,D639:O639),Aux!$B$3:$B$4098,'Truth Table'!$N$3:$N$4098),P639)</f>
        <v>7</v>
      </c>
      <c r="Q640" s="4" t="b" cm="1">
        <f t="array" ref="Q640:U640">IFERROR(_xlfn.XLOOKUP(_xlfn.TEXTJOIN(,,D640:O640),Aux!$B$3:$B$4098,'Truth Table'!$O$3:$S$4098)=1,FALSE)</f>
        <v>0</v>
      </c>
      <c r="R640" s="4" t="b">
        <v>0</v>
      </c>
      <c r="S640" s="4" t="b">
        <v>0</v>
      </c>
      <c r="T640" s="4" t="b">
        <v>0</v>
      </c>
      <c r="U640" s="4" t="b">
        <v>0</v>
      </c>
      <c r="V640" s="4" t="b">
        <f>AND(_xlfn.XLOOKUP(_xlfn.TEXTJOIN(,,D640:O640),Aux!$B$3:$B$4098,'Truth Table'!$T$3:$T$4098)=1,P639&lt;='Line Follower'!$C$7)</f>
        <v>0</v>
      </c>
      <c r="W640" s="4" t="b">
        <f>AND(_xlfn.XLOOKUP(_xlfn.TEXTJOIN(,,D640:O640),Aux!$B$3:$B$4098,'Truth Table'!$U$3:$U$4098)=1,P639&gt;='Line Follower'!$C$6)</f>
        <v>1</v>
      </c>
      <c r="X640" s="4" t="b">
        <f>IFERROR(AND(_xlfn.XLOOKUP(_xlfn.TEXTJOIN(,,D640:O640),Aux!$B$3:$B$4098,'Truth Table'!$V$3:$V$4098)=1,ABS(P639)&lt;='Line Follower'!$C$6),FALSE)</f>
        <v>0</v>
      </c>
      <c r="Y640" s="4" t="b">
        <f t="shared" si="9"/>
        <v>1</v>
      </c>
    </row>
    <row r="641" spans="2:25" x14ac:dyDescent="0.25">
      <c r="B641" s="4">
        <v>638</v>
      </c>
      <c r="C641" s="4">
        <v>5393</v>
      </c>
      <c r="D641" s="4">
        <v>0</v>
      </c>
      <c r="E641" s="4">
        <v>0</v>
      </c>
      <c r="F641" s="4">
        <v>0</v>
      </c>
      <c r="G641" s="4">
        <v>0</v>
      </c>
      <c r="H641" s="4">
        <v>0</v>
      </c>
      <c r="I641" s="4">
        <v>0</v>
      </c>
      <c r="J641" s="4">
        <v>0</v>
      </c>
      <c r="K641" s="4">
        <v>0</v>
      </c>
      <c r="L641" s="4">
        <v>0</v>
      </c>
      <c r="M641" s="4">
        <v>0</v>
      </c>
      <c r="N641" s="4">
        <v>1</v>
      </c>
      <c r="O641" s="4">
        <v>0</v>
      </c>
      <c r="P641" s="51">
        <f>IFERROR(_xlfn.XLOOKUP(_xlfn.TEXTJOIN(,,D640:O640),Aux!$B$3:$B$4098,'Truth Table'!$N$3:$N$4098),P640)</f>
        <v>7</v>
      </c>
      <c r="Q641" s="4" t="b" cm="1">
        <f t="array" ref="Q641:U641">IFERROR(_xlfn.XLOOKUP(_xlfn.TEXTJOIN(,,D641:O641),Aux!$B$3:$B$4098,'Truth Table'!$O$3:$S$4098)=1,FALSE)</f>
        <v>0</v>
      </c>
      <c r="R641" s="4" t="b">
        <v>0</v>
      </c>
      <c r="S641" s="4" t="b">
        <v>0</v>
      </c>
      <c r="T641" s="4" t="b">
        <v>0</v>
      </c>
      <c r="U641" s="4" t="b">
        <v>0</v>
      </c>
      <c r="V641" s="4" t="b">
        <f>AND(_xlfn.XLOOKUP(_xlfn.TEXTJOIN(,,D641:O641),Aux!$B$3:$B$4098,'Truth Table'!$T$3:$T$4098)=1,P640&lt;='Line Follower'!$C$7)</f>
        <v>0</v>
      </c>
      <c r="W641" s="4" t="b">
        <f>AND(_xlfn.XLOOKUP(_xlfn.TEXTJOIN(,,D641:O641),Aux!$B$3:$B$4098,'Truth Table'!$U$3:$U$4098)=1,P640&gt;='Line Follower'!$C$6)</f>
        <v>1</v>
      </c>
      <c r="X641" s="4" t="b">
        <f>IFERROR(AND(_xlfn.XLOOKUP(_xlfn.TEXTJOIN(,,D641:O641),Aux!$B$3:$B$4098,'Truth Table'!$V$3:$V$4098)=1,ABS(P640)&lt;='Line Follower'!$C$6),FALSE)</f>
        <v>0</v>
      </c>
      <c r="Y641" s="4" t="b">
        <f t="shared" si="9"/>
        <v>1</v>
      </c>
    </row>
    <row r="642" spans="2:25" x14ac:dyDescent="0.25">
      <c r="B642" s="4">
        <v>639</v>
      </c>
      <c r="C642" s="4">
        <v>5402</v>
      </c>
      <c r="D642" s="4">
        <v>0</v>
      </c>
      <c r="E642" s="4">
        <v>0</v>
      </c>
      <c r="F642" s="4">
        <v>0</v>
      </c>
      <c r="G642" s="4">
        <v>0</v>
      </c>
      <c r="H642" s="4">
        <v>0</v>
      </c>
      <c r="I642" s="4">
        <v>0</v>
      </c>
      <c r="J642" s="4">
        <v>0</v>
      </c>
      <c r="K642" s="4">
        <v>0</v>
      </c>
      <c r="L642" s="4">
        <v>0</v>
      </c>
      <c r="M642" s="4">
        <v>0</v>
      </c>
      <c r="N642" s="4">
        <v>1</v>
      </c>
      <c r="O642" s="4">
        <v>0</v>
      </c>
      <c r="P642" s="51">
        <f>IFERROR(_xlfn.XLOOKUP(_xlfn.TEXTJOIN(,,D641:O641),Aux!$B$3:$B$4098,'Truth Table'!$N$3:$N$4098),P641)</f>
        <v>7</v>
      </c>
      <c r="Q642" s="4" t="b" cm="1">
        <f t="array" ref="Q642:U642">IFERROR(_xlfn.XLOOKUP(_xlfn.TEXTJOIN(,,D642:O642),Aux!$B$3:$B$4098,'Truth Table'!$O$3:$S$4098)=1,FALSE)</f>
        <v>0</v>
      </c>
      <c r="R642" s="4" t="b">
        <v>0</v>
      </c>
      <c r="S642" s="4" t="b">
        <v>0</v>
      </c>
      <c r="T642" s="4" t="b">
        <v>0</v>
      </c>
      <c r="U642" s="4" t="b">
        <v>0</v>
      </c>
      <c r="V642" s="4" t="b">
        <f>AND(_xlfn.XLOOKUP(_xlfn.TEXTJOIN(,,D642:O642),Aux!$B$3:$B$4098,'Truth Table'!$T$3:$T$4098)=1,P641&lt;='Line Follower'!$C$7)</f>
        <v>0</v>
      </c>
      <c r="W642" s="4" t="b">
        <f>AND(_xlfn.XLOOKUP(_xlfn.TEXTJOIN(,,D642:O642),Aux!$B$3:$B$4098,'Truth Table'!$U$3:$U$4098)=1,P641&gt;='Line Follower'!$C$6)</f>
        <v>1</v>
      </c>
      <c r="X642" s="4" t="b">
        <f>IFERROR(AND(_xlfn.XLOOKUP(_xlfn.TEXTJOIN(,,D642:O642),Aux!$B$3:$B$4098,'Truth Table'!$V$3:$V$4098)=1,ABS(P641)&lt;='Line Follower'!$C$6),FALSE)</f>
        <v>0</v>
      </c>
      <c r="Y642" s="4" t="b">
        <f t="shared" si="9"/>
        <v>1</v>
      </c>
    </row>
    <row r="643" spans="2:25" x14ac:dyDescent="0.25">
      <c r="B643" s="4">
        <v>640</v>
      </c>
      <c r="C643" s="4">
        <v>5416</v>
      </c>
      <c r="D643" s="4">
        <v>0</v>
      </c>
      <c r="E643" s="4">
        <v>0</v>
      </c>
      <c r="F643" s="4">
        <v>0</v>
      </c>
      <c r="G643" s="4">
        <v>0</v>
      </c>
      <c r="H643" s="4">
        <v>0</v>
      </c>
      <c r="I643" s="4">
        <v>0</v>
      </c>
      <c r="J643" s="4">
        <v>0</v>
      </c>
      <c r="K643" s="4">
        <v>0</v>
      </c>
      <c r="L643" s="4">
        <v>0</v>
      </c>
      <c r="M643" s="4">
        <v>0</v>
      </c>
      <c r="N643" s="4">
        <v>1</v>
      </c>
      <c r="O643" s="4">
        <v>0</v>
      </c>
      <c r="P643" s="51">
        <f>IFERROR(_xlfn.XLOOKUP(_xlfn.TEXTJOIN(,,D642:O642),Aux!$B$3:$B$4098,'Truth Table'!$N$3:$N$4098),P642)</f>
        <v>7</v>
      </c>
      <c r="Q643" s="4" t="b" cm="1">
        <f t="array" ref="Q643:U643">IFERROR(_xlfn.XLOOKUP(_xlfn.TEXTJOIN(,,D643:O643),Aux!$B$3:$B$4098,'Truth Table'!$O$3:$S$4098)=1,FALSE)</f>
        <v>0</v>
      </c>
      <c r="R643" s="4" t="b">
        <v>0</v>
      </c>
      <c r="S643" s="4" t="b">
        <v>0</v>
      </c>
      <c r="T643" s="4" t="b">
        <v>0</v>
      </c>
      <c r="U643" s="4" t="b">
        <v>0</v>
      </c>
      <c r="V643" s="4" t="b">
        <f>AND(_xlfn.XLOOKUP(_xlfn.TEXTJOIN(,,D643:O643),Aux!$B$3:$B$4098,'Truth Table'!$T$3:$T$4098)=1,P642&lt;='Line Follower'!$C$7)</f>
        <v>0</v>
      </c>
      <c r="W643" s="4" t="b">
        <f>AND(_xlfn.XLOOKUP(_xlfn.TEXTJOIN(,,D643:O643),Aux!$B$3:$B$4098,'Truth Table'!$U$3:$U$4098)=1,P642&gt;='Line Follower'!$C$6)</f>
        <v>1</v>
      </c>
      <c r="X643" s="4" t="b">
        <f>IFERROR(AND(_xlfn.XLOOKUP(_xlfn.TEXTJOIN(,,D643:O643),Aux!$B$3:$B$4098,'Truth Table'!$V$3:$V$4098)=1,ABS(P642)&lt;='Line Follower'!$C$6),FALSE)</f>
        <v>0</v>
      </c>
      <c r="Y643" s="4" t="b">
        <f t="shared" si="9"/>
        <v>1</v>
      </c>
    </row>
    <row r="644" spans="2:25" x14ac:dyDescent="0.25">
      <c r="B644" s="4">
        <v>641</v>
      </c>
      <c r="C644" s="4">
        <v>5416</v>
      </c>
      <c r="D644" s="4">
        <v>0</v>
      </c>
      <c r="E644" s="4">
        <v>0</v>
      </c>
      <c r="F644" s="4">
        <v>0</v>
      </c>
      <c r="G644" s="4">
        <v>0</v>
      </c>
      <c r="H644" s="4">
        <v>0</v>
      </c>
      <c r="I644" s="4">
        <v>0</v>
      </c>
      <c r="J644" s="4">
        <v>0</v>
      </c>
      <c r="K644" s="4">
        <v>0</v>
      </c>
      <c r="L644" s="4">
        <v>0</v>
      </c>
      <c r="M644" s="4">
        <v>0</v>
      </c>
      <c r="N644" s="4">
        <v>1</v>
      </c>
      <c r="O644" s="4">
        <v>0</v>
      </c>
      <c r="P644" s="51">
        <f>IFERROR(_xlfn.XLOOKUP(_xlfn.TEXTJOIN(,,D643:O643),Aux!$B$3:$B$4098,'Truth Table'!$N$3:$N$4098),P643)</f>
        <v>7</v>
      </c>
      <c r="Q644" s="4" t="b" cm="1">
        <f t="array" ref="Q644:U644">IFERROR(_xlfn.XLOOKUP(_xlfn.TEXTJOIN(,,D644:O644),Aux!$B$3:$B$4098,'Truth Table'!$O$3:$S$4098)=1,FALSE)</f>
        <v>0</v>
      </c>
      <c r="R644" s="4" t="b">
        <v>0</v>
      </c>
      <c r="S644" s="4" t="b">
        <v>0</v>
      </c>
      <c r="T644" s="4" t="b">
        <v>0</v>
      </c>
      <c r="U644" s="4" t="b">
        <v>0</v>
      </c>
      <c r="V644" s="4" t="b">
        <f>AND(_xlfn.XLOOKUP(_xlfn.TEXTJOIN(,,D644:O644),Aux!$B$3:$B$4098,'Truth Table'!$T$3:$T$4098)=1,P643&lt;='Line Follower'!$C$7)</f>
        <v>0</v>
      </c>
      <c r="W644" s="4" t="b">
        <f>AND(_xlfn.XLOOKUP(_xlfn.TEXTJOIN(,,D644:O644),Aux!$B$3:$B$4098,'Truth Table'!$U$3:$U$4098)=1,P643&gt;='Line Follower'!$C$6)</f>
        <v>1</v>
      </c>
      <c r="X644" s="4" t="b">
        <f>IFERROR(AND(_xlfn.XLOOKUP(_xlfn.TEXTJOIN(,,D644:O644),Aux!$B$3:$B$4098,'Truth Table'!$V$3:$V$4098)=1,ABS(P643)&lt;='Line Follower'!$C$6),FALSE)</f>
        <v>0</v>
      </c>
      <c r="Y644" s="4" t="b">
        <f t="shared" ref="Y644:Y707" si="10">OR(Q644:X644)</f>
        <v>1</v>
      </c>
    </row>
    <row r="645" spans="2:25" x14ac:dyDescent="0.25">
      <c r="B645" s="4">
        <v>642</v>
      </c>
      <c r="C645" s="4">
        <v>5424</v>
      </c>
      <c r="D645" s="4">
        <v>0</v>
      </c>
      <c r="E645" s="4">
        <v>0</v>
      </c>
      <c r="F645" s="4">
        <v>0</v>
      </c>
      <c r="G645" s="4">
        <v>0</v>
      </c>
      <c r="H645" s="4">
        <v>0</v>
      </c>
      <c r="I645" s="4">
        <v>0</v>
      </c>
      <c r="J645" s="4">
        <v>0</v>
      </c>
      <c r="K645" s="4">
        <v>0</v>
      </c>
      <c r="L645" s="4">
        <v>0</v>
      </c>
      <c r="M645" s="4">
        <v>0</v>
      </c>
      <c r="N645" s="4">
        <v>1</v>
      </c>
      <c r="O645" s="4">
        <v>0</v>
      </c>
      <c r="P645" s="51">
        <f>IFERROR(_xlfn.XLOOKUP(_xlfn.TEXTJOIN(,,D644:O644),Aux!$B$3:$B$4098,'Truth Table'!$N$3:$N$4098),P644)</f>
        <v>7</v>
      </c>
      <c r="Q645" s="4" t="b" cm="1">
        <f t="array" ref="Q645:U645">IFERROR(_xlfn.XLOOKUP(_xlfn.TEXTJOIN(,,D645:O645),Aux!$B$3:$B$4098,'Truth Table'!$O$3:$S$4098)=1,FALSE)</f>
        <v>0</v>
      </c>
      <c r="R645" s="4" t="b">
        <v>0</v>
      </c>
      <c r="S645" s="4" t="b">
        <v>0</v>
      </c>
      <c r="T645" s="4" t="b">
        <v>0</v>
      </c>
      <c r="U645" s="4" t="b">
        <v>0</v>
      </c>
      <c r="V645" s="4" t="b">
        <f>AND(_xlfn.XLOOKUP(_xlfn.TEXTJOIN(,,D645:O645),Aux!$B$3:$B$4098,'Truth Table'!$T$3:$T$4098)=1,P644&lt;='Line Follower'!$C$7)</f>
        <v>0</v>
      </c>
      <c r="W645" s="4" t="b">
        <f>AND(_xlfn.XLOOKUP(_xlfn.TEXTJOIN(,,D645:O645),Aux!$B$3:$B$4098,'Truth Table'!$U$3:$U$4098)=1,P644&gt;='Line Follower'!$C$6)</f>
        <v>1</v>
      </c>
      <c r="X645" s="4" t="b">
        <f>IFERROR(AND(_xlfn.XLOOKUP(_xlfn.TEXTJOIN(,,D645:O645),Aux!$B$3:$B$4098,'Truth Table'!$V$3:$V$4098)=1,ABS(P644)&lt;='Line Follower'!$C$6),FALSE)</f>
        <v>0</v>
      </c>
      <c r="Y645" s="4" t="b">
        <f t="shared" si="10"/>
        <v>1</v>
      </c>
    </row>
    <row r="646" spans="2:25" x14ac:dyDescent="0.25">
      <c r="B646" s="4">
        <v>643</v>
      </c>
      <c r="C646" s="4">
        <v>5436</v>
      </c>
      <c r="D646" s="4">
        <v>0</v>
      </c>
      <c r="E646" s="4">
        <v>0</v>
      </c>
      <c r="F646" s="4">
        <v>0</v>
      </c>
      <c r="G646" s="4">
        <v>0</v>
      </c>
      <c r="H646" s="4">
        <v>0</v>
      </c>
      <c r="I646" s="4">
        <v>0</v>
      </c>
      <c r="J646" s="4">
        <v>0</v>
      </c>
      <c r="K646" s="4">
        <v>0</v>
      </c>
      <c r="L646" s="4">
        <v>0</v>
      </c>
      <c r="M646" s="4">
        <v>0</v>
      </c>
      <c r="N646" s="4">
        <v>1</v>
      </c>
      <c r="O646" s="4">
        <v>0</v>
      </c>
      <c r="P646" s="51">
        <f>IFERROR(_xlfn.XLOOKUP(_xlfn.TEXTJOIN(,,D645:O645),Aux!$B$3:$B$4098,'Truth Table'!$N$3:$N$4098),P645)</f>
        <v>7</v>
      </c>
      <c r="Q646" s="4" t="b" cm="1">
        <f t="array" ref="Q646:U646">IFERROR(_xlfn.XLOOKUP(_xlfn.TEXTJOIN(,,D646:O646),Aux!$B$3:$B$4098,'Truth Table'!$O$3:$S$4098)=1,FALSE)</f>
        <v>0</v>
      </c>
      <c r="R646" s="4" t="b">
        <v>0</v>
      </c>
      <c r="S646" s="4" t="b">
        <v>0</v>
      </c>
      <c r="T646" s="4" t="b">
        <v>0</v>
      </c>
      <c r="U646" s="4" t="b">
        <v>0</v>
      </c>
      <c r="V646" s="4" t="b">
        <f>AND(_xlfn.XLOOKUP(_xlfn.TEXTJOIN(,,D646:O646),Aux!$B$3:$B$4098,'Truth Table'!$T$3:$T$4098)=1,P645&lt;='Line Follower'!$C$7)</f>
        <v>0</v>
      </c>
      <c r="W646" s="4" t="b">
        <f>AND(_xlfn.XLOOKUP(_xlfn.TEXTJOIN(,,D646:O646),Aux!$B$3:$B$4098,'Truth Table'!$U$3:$U$4098)=1,P645&gt;='Line Follower'!$C$6)</f>
        <v>1</v>
      </c>
      <c r="X646" s="4" t="b">
        <f>IFERROR(AND(_xlfn.XLOOKUP(_xlfn.TEXTJOIN(,,D646:O646),Aux!$B$3:$B$4098,'Truth Table'!$V$3:$V$4098)=1,ABS(P645)&lt;='Line Follower'!$C$6),FALSE)</f>
        <v>0</v>
      </c>
      <c r="Y646" s="4" t="b">
        <f t="shared" si="10"/>
        <v>1</v>
      </c>
    </row>
    <row r="647" spans="2:25" x14ac:dyDescent="0.25">
      <c r="B647" s="4">
        <v>644</v>
      </c>
      <c r="C647" s="4">
        <v>5444</v>
      </c>
      <c r="D647" s="4">
        <v>0</v>
      </c>
      <c r="E647" s="4">
        <v>0</v>
      </c>
      <c r="F647" s="4">
        <v>0</v>
      </c>
      <c r="G647" s="4">
        <v>0</v>
      </c>
      <c r="H647" s="4">
        <v>0</v>
      </c>
      <c r="I647" s="4">
        <v>0</v>
      </c>
      <c r="J647" s="4">
        <v>0</v>
      </c>
      <c r="K647" s="4">
        <v>0</v>
      </c>
      <c r="L647" s="4">
        <v>0</v>
      </c>
      <c r="M647" s="4">
        <v>0</v>
      </c>
      <c r="N647" s="4">
        <v>1</v>
      </c>
      <c r="O647" s="4">
        <v>0</v>
      </c>
      <c r="P647" s="51">
        <f>IFERROR(_xlfn.XLOOKUP(_xlfn.TEXTJOIN(,,D646:O646),Aux!$B$3:$B$4098,'Truth Table'!$N$3:$N$4098),P646)</f>
        <v>7</v>
      </c>
      <c r="Q647" s="4" t="b" cm="1">
        <f t="array" ref="Q647:U647">IFERROR(_xlfn.XLOOKUP(_xlfn.TEXTJOIN(,,D647:O647),Aux!$B$3:$B$4098,'Truth Table'!$O$3:$S$4098)=1,FALSE)</f>
        <v>0</v>
      </c>
      <c r="R647" s="4" t="b">
        <v>0</v>
      </c>
      <c r="S647" s="4" t="b">
        <v>0</v>
      </c>
      <c r="T647" s="4" t="b">
        <v>0</v>
      </c>
      <c r="U647" s="4" t="b">
        <v>0</v>
      </c>
      <c r="V647" s="4" t="b">
        <f>AND(_xlfn.XLOOKUP(_xlfn.TEXTJOIN(,,D647:O647),Aux!$B$3:$B$4098,'Truth Table'!$T$3:$T$4098)=1,P646&lt;='Line Follower'!$C$7)</f>
        <v>0</v>
      </c>
      <c r="W647" s="4" t="b">
        <f>AND(_xlfn.XLOOKUP(_xlfn.TEXTJOIN(,,D647:O647),Aux!$B$3:$B$4098,'Truth Table'!$U$3:$U$4098)=1,P646&gt;='Line Follower'!$C$6)</f>
        <v>1</v>
      </c>
      <c r="X647" s="4" t="b">
        <f>IFERROR(AND(_xlfn.XLOOKUP(_xlfn.TEXTJOIN(,,D647:O647),Aux!$B$3:$B$4098,'Truth Table'!$V$3:$V$4098)=1,ABS(P646)&lt;='Line Follower'!$C$6),FALSE)</f>
        <v>0</v>
      </c>
      <c r="Y647" s="4" t="b">
        <f t="shared" si="10"/>
        <v>1</v>
      </c>
    </row>
    <row r="648" spans="2:25" x14ac:dyDescent="0.25">
      <c r="B648" s="4">
        <v>645</v>
      </c>
      <c r="C648" s="4">
        <v>5458</v>
      </c>
      <c r="D648" s="4">
        <v>0</v>
      </c>
      <c r="E648" s="4">
        <v>0</v>
      </c>
      <c r="F648" s="4">
        <v>0</v>
      </c>
      <c r="G648" s="4">
        <v>0</v>
      </c>
      <c r="H648" s="4">
        <v>0</v>
      </c>
      <c r="I648" s="4">
        <v>0</v>
      </c>
      <c r="J648" s="4">
        <v>0</v>
      </c>
      <c r="K648" s="4">
        <v>0</v>
      </c>
      <c r="L648" s="4">
        <v>0</v>
      </c>
      <c r="M648" s="4">
        <v>0</v>
      </c>
      <c r="N648" s="4">
        <v>1</v>
      </c>
      <c r="O648" s="4">
        <v>0</v>
      </c>
      <c r="P648" s="51">
        <f>IFERROR(_xlfn.XLOOKUP(_xlfn.TEXTJOIN(,,D647:O647),Aux!$B$3:$B$4098,'Truth Table'!$N$3:$N$4098),P647)</f>
        <v>7</v>
      </c>
      <c r="Q648" s="4" t="b" cm="1">
        <f t="array" ref="Q648:U648">IFERROR(_xlfn.XLOOKUP(_xlfn.TEXTJOIN(,,D648:O648),Aux!$B$3:$B$4098,'Truth Table'!$O$3:$S$4098)=1,FALSE)</f>
        <v>0</v>
      </c>
      <c r="R648" s="4" t="b">
        <v>0</v>
      </c>
      <c r="S648" s="4" t="b">
        <v>0</v>
      </c>
      <c r="T648" s="4" t="b">
        <v>0</v>
      </c>
      <c r="U648" s="4" t="b">
        <v>0</v>
      </c>
      <c r="V648" s="4" t="b">
        <f>AND(_xlfn.XLOOKUP(_xlfn.TEXTJOIN(,,D648:O648),Aux!$B$3:$B$4098,'Truth Table'!$T$3:$T$4098)=1,P647&lt;='Line Follower'!$C$7)</f>
        <v>0</v>
      </c>
      <c r="W648" s="4" t="b">
        <f>AND(_xlfn.XLOOKUP(_xlfn.TEXTJOIN(,,D648:O648),Aux!$B$3:$B$4098,'Truth Table'!$U$3:$U$4098)=1,P647&gt;='Line Follower'!$C$6)</f>
        <v>1</v>
      </c>
      <c r="X648" s="4" t="b">
        <f>IFERROR(AND(_xlfn.XLOOKUP(_xlfn.TEXTJOIN(,,D648:O648),Aux!$B$3:$B$4098,'Truth Table'!$V$3:$V$4098)=1,ABS(P647)&lt;='Line Follower'!$C$6),FALSE)</f>
        <v>0</v>
      </c>
      <c r="Y648" s="4" t="b">
        <f t="shared" si="10"/>
        <v>1</v>
      </c>
    </row>
    <row r="649" spans="2:25" x14ac:dyDescent="0.25">
      <c r="B649" s="4">
        <v>646</v>
      </c>
      <c r="C649" s="4">
        <v>5469</v>
      </c>
      <c r="D649" s="4">
        <v>0</v>
      </c>
      <c r="E649" s="4">
        <v>0</v>
      </c>
      <c r="F649" s="4">
        <v>0</v>
      </c>
      <c r="G649" s="4">
        <v>0</v>
      </c>
      <c r="H649" s="4">
        <v>0</v>
      </c>
      <c r="I649" s="4">
        <v>0</v>
      </c>
      <c r="J649" s="4">
        <v>0</v>
      </c>
      <c r="K649" s="4">
        <v>0</v>
      </c>
      <c r="L649" s="4">
        <v>0</v>
      </c>
      <c r="M649" s="4">
        <v>0</v>
      </c>
      <c r="N649" s="4">
        <v>1</v>
      </c>
      <c r="O649" s="4">
        <v>0</v>
      </c>
      <c r="P649" s="51">
        <f>IFERROR(_xlfn.XLOOKUP(_xlfn.TEXTJOIN(,,D648:O648),Aux!$B$3:$B$4098,'Truth Table'!$N$3:$N$4098),P648)</f>
        <v>7</v>
      </c>
      <c r="Q649" s="4" t="b" cm="1">
        <f t="array" ref="Q649:U649">IFERROR(_xlfn.XLOOKUP(_xlfn.TEXTJOIN(,,D649:O649),Aux!$B$3:$B$4098,'Truth Table'!$O$3:$S$4098)=1,FALSE)</f>
        <v>0</v>
      </c>
      <c r="R649" s="4" t="b">
        <v>0</v>
      </c>
      <c r="S649" s="4" t="b">
        <v>0</v>
      </c>
      <c r="T649" s="4" t="b">
        <v>0</v>
      </c>
      <c r="U649" s="4" t="b">
        <v>0</v>
      </c>
      <c r="V649" s="4" t="b">
        <f>AND(_xlfn.XLOOKUP(_xlfn.TEXTJOIN(,,D649:O649),Aux!$B$3:$B$4098,'Truth Table'!$T$3:$T$4098)=1,P648&lt;='Line Follower'!$C$7)</f>
        <v>0</v>
      </c>
      <c r="W649" s="4" t="b">
        <f>AND(_xlfn.XLOOKUP(_xlfn.TEXTJOIN(,,D649:O649),Aux!$B$3:$B$4098,'Truth Table'!$U$3:$U$4098)=1,P648&gt;='Line Follower'!$C$6)</f>
        <v>1</v>
      </c>
      <c r="X649" s="4" t="b">
        <f>IFERROR(AND(_xlfn.XLOOKUP(_xlfn.TEXTJOIN(,,D649:O649),Aux!$B$3:$B$4098,'Truth Table'!$V$3:$V$4098)=1,ABS(P648)&lt;='Line Follower'!$C$6),FALSE)</f>
        <v>0</v>
      </c>
      <c r="Y649" s="4" t="b">
        <f t="shared" si="10"/>
        <v>1</v>
      </c>
    </row>
    <row r="650" spans="2:25" x14ac:dyDescent="0.25">
      <c r="B650" s="4">
        <v>647</v>
      </c>
      <c r="C650" s="4">
        <v>5476</v>
      </c>
      <c r="D650" s="4">
        <v>0</v>
      </c>
      <c r="E650" s="4">
        <v>0</v>
      </c>
      <c r="F650" s="4">
        <v>0</v>
      </c>
      <c r="G650" s="4">
        <v>0</v>
      </c>
      <c r="H650" s="4">
        <v>0</v>
      </c>
      <c r="I650" s="4">
        <v>0</v>
      </c>
      <c r="J650" s="4">
        <v>0</v>
      </c>
      <c r="K650" s="4">
        <v>0</v>
      </c>
      <c r="L650" s="4">
        <v>0</v>
      </c>
      <c r="M650" s="4">
        <v>0</v>
      </c>
      <c r="N650" s="4">
        <v>1</v>
      </c>
      <c r="O650" s="4">
        <v>0</v>
      </c>
      <c r="P650" s="51">
        <f>IFERROR(_xlfn.XLOOKUP(_xlfn.TEXTJOIN(,,D649:O649),Aux!$B$3:$B$4098,'Truth Table'!$N$3:$N$4098),P649)</f>
        <v>7</v>
      </c>
      <c r="Q650" s="4" t="b" cm="1">
        <f t="array" ref="Q650:U650">IFERROR(_xlfn.XLOOKUP(_xlfn.TEXTJOIN(,,D650:O650),Aux!$B$3:$B$4098,'Truth Table'!$O$3:$S$4098)=1,FALSE)</f>
        <v>0</v>
      </c>
      <c r="R650" s="4" t="b">
        <v>0</v>
      </c>
      <c r="S650" s="4" t="b">
        <v>0</v>
      </c>
      <c r="T650" s="4" t="b">
        <v>0</v>
      </c>
      <c r="U650" s="4" t="b">
        <v>0</v>
      </c>
      <c r="V650" s="4" t="b">
        <f>AND(_xlfn.XLOOKUP(_xlfn.TEXTJOIN(,,D650:O650),Aux!$B$3:$B$4098,'Truth Table'!$T$3:$T$4098)=1,P649&lt;='Line Follower'!$C$7)</f>
        <v>0</v>
      </c>
      <c r="W650" s="4" t="b">
        <f>AND(_xlfn.XLOOKUP(_xlfn.TEXTJOIN(,,D650:O650),Aux!$B$3:$B$4098,'Truth Table'!$U$3:$U$4098)=1,P649&gt;='Line Follower'!$C$6)</f>
        <v>1</v>
      </c>
      <c r="X650" s="4" t="b">
        <f>IFERROR(AND(_xlfn.XLOOKUP(_xlfn.TEXTJOIN(,,D650:O650),Aux!$B$3:$B$4098,'Truth Table'!$V$3:$V$4098)=1,ABS(P649)&lt;='Line Follower'!$C$6),FALSE)</f>
        <v>0</v>
      </c>
      <c r="Y650" s="4" t="b">
        <f t="shared" si="10"/>
        <v>1</v>
      </c>
    </row>
    <row r="651" spans="2:25" x14ac:dyDescent="0.25">
      <c r="B651" s="4">
        <v>648</v>
      </c>
      <c r="C651" s="4">
        <v>5533</v>
      </c>
      <c r="D651" s="4">
        <v>0</v>
      </c>
      <c r="E651" s="4">
        <v>0</v>
      </c>
      <c r="F651" s="4">
        <v>0</v>
      </c>
      <c r="G651" s="4">
        <v>0</v>
      </c>
      <c r="H651" s="4">
        <v>0</v>
      </c>
      <c r="I651" s="4">
        <v>0</v>
      </c>
      <c r="J651" s="4">
        <v>0</v>
      </c>
      <c r="K651" s="4">
        <v>0</v>
      </c>
      <c r="L651" s="4">
        <v>0</v>
      </c>
      <c r="M651" s="4">
        <v>0</v>
      </c>
      <c r="N651" s="4">
        <v>1</v>
      </c>
      <c r="O651" s="4">
        <v>0</v>
      </c>
      <c r="P651" s="51">
        <f>IFERROR(_xlfn.XLOOKUP(_xlfn.TEXTJOIN(,,D650:O650),Aux!$B$3:$B$4098,'Truth Table'!$N$3:$N$4098),P650)</f>
        <v>7</v>
      </c>
      <c r="Q651" s="4" t="b" cm="1">
        <f t="array" ref="Q651:U651">IFERROR(_xlfn.XLOOKUP(_xlfn.TEXTJOIN(,,D651:O651),Aux!$B$3:$B$4098,'Truth Table'!$O$3:$S$4098)=1,FALSE)</f>
        <v>0</v>
      </c>
      <c r="R651" s="4" t="b">
        <v>0</v>
      </c>
      <c r="S651" s="4" t="b">
        <v>0</v>
      </c>
      <c r="T651" s="4" t="b">
        <v>0</v>
      </c>
      <c r="U651" s="4" t="b">
        <v>0</v>
      </c>
      <c r="V651" s="4" t="b">
        <f>AND(_xlfn.XLOOKUP(_xlfn.TEXTJOIN(,,D651:O651),Aux!$B$3:$B$4098,'Truth Table'!$T$3:$T$4098)=1,P650&lt;='Line Follower'!$C$7)</f>
        <v>0</v>
      </c>
      <c r="W651" s="4" t="b">
        <f>AND(_xlfn.XLOOKUP(_xlfn.TEXTJOIN(,,D651:O651),Aux!$B$3:$B$4098,'Truth Table'!$U$3:$U$4098)=1,P650&gt;='Line Follower'!$C$6)</f>
        <v>1</v>
      </c>
      <c r="X651" s="4" t="b">
        <f>IFERROR(AND(_xlfn.XLOOKUP(_xlfn.TEXTJOIN(,,D651:O651),Aux!$B$3:$B$4098,'Truth Table'!$V$3:$V$4098)=1,ABS(P650)&lt;='Line Follower'!$C$6),FALSE)</f>
        <v>0</v>
      </c>
      <c r="Y651" s="4" t="b">
        <f t="shared" si="10"/>
        <v>1</v>
      </c>
    </row>
    <row r="652" spans="2:25" x14ac:dyDescent="0.25">
      <c r="B652" s="4">
        <v>649</v>
      </c>
      <c r="C652" s="4">
        <v>5534</v>
      </c>
      <c r="D652" s="4">
        <v>0</v>
      </c>
      <c r="E652" s="4">
        <v>0</v>
      </c>
      <c r="F652" s="4">
        <v>0</v>
      </c>
      <c r="G652" s="4">
        <v>0</v>
      </c>
      <c r="H652" s="4">
        <v>0</v>
      </c>
      <c r="I652" s="4">
        <v>0</v>
      </c>
      <c r="J652" s="4">
        <v>0</v>
      </c>
      <c r="K652" s="4">
        <v>0</v>
      </c>
      <c r="L652" s="4">
        <v>0</v>
      </c>
      <c r="M652" s="4">
        <v>0</v>
      </c>
      <c r="N652" s="4">
        <v>1</v>
      </c>
      <c r="O652" s="4">
        <v>0</v>
      </c>
      <c r="P652" s="51">
        <f>IFERROR(_xlfn.XLOOKUP(_xlfn.TEXTJOIN(,,D651:O651),Aux!$B$3:$B$4098,'Truth Table'!$N$3:$N$4098),P651)</f>
        <v>7</v>
      </c>
      <c r="Q652" s="4" t="b" cm="1">
        <f t="array" ref="Q652:U652">IFERROR(_xlfn.XLOOKUP(_xlfn.TEXTJOIN(,,D652:O652),Aux!$B$3:$B$4098,'Truth Table'!$O$3:$S$4098)=1,FALSE)</f>
        <v>0</v>
      </c>
      <c r="R652" s="4" t="b">
        <v>0</v>
      </c>
      <c r="S652" s="4" t="b">
        <v>0</v>
      </c>
      <c r="T652" s="4" t="b">
        <v>0</v>
      </c>
      <c r="U652" s="4" t="b">
        <v>0</v>
      </c>
      <c r="V652" s="4" t="b">
        <f>AND(_xlfn.XLOOKUP(_xlfn.TEXTJOIN(,,D652:O652),Aux!$B$3:$B$4098,'Truth Table'!$T$3:$T$4098)=1,P651&lt;='Line Follower'!$C$7)</f>
        <v>0</v>
      </c>
      <c r="W652" s="4" t="b">
        <f>AND(_xlfn.XLOOKUP(_xlfn.TEXTJOIN(,,D652:O652),Aux!$B$3:$B$4098,'Truth Table'!$U$3:$U$4098)=1,P651&gt;='Line Follower'!$C$6)</f>
        <v>1</v>
      </c>
      <c r="X652" s="4" t="b">
        <f>IFERROR(AND(_xlfn.XLOOKUP(_xlfn.TEXTJOIN(,,D652:O652),Aux!$B$3:$B$4098,'Truth Table'!$V$3:$V$4098)=1,ABS(P651)&lt;='Line Follower'!$C$6),FALSE)</f>
        <v>0</v>
      </c>
      <c r="Y652" s="4" t="b">
        <f t="shared" si="10"/>
        <v>1</v>
      </c>
    </row>
    <row r="653" spans="2:25" x14ac:dyDescent="0.25">
      <c r="B653" s="4">
        <v>650</v>
      </c>
      <c r="C653" s="4">
        <v>5536</v>
      </c>
      <c r="D653" s="4">
        <v>0</v>
      </c>
      <c r="E653" s="4">
        <v>0</v>
      </c>
      <c r="F653" s="4">
        <v>0</v>
      </c>
      <c r="G653" s="4">
        <v>0</v>
      </c>
      <c r="H653" s="4">
        <v>0</v>
      </c>
      <c r="I653" s="4">
        <v>0</v>
      </c>
      <c r="J653" s="4">
        <v>0</v>
      </c>
      <c r="K653" s="4">
        <v>0</v>
      </c>
      <c r="L653" s="4">
        <v>0</v>
      </c>
      <c r="M653" s="4">
        <v>0</v>
      </c>
      <c r="N653" s="4">
        <v>1</v>
      </c>
      <c r="O653" s="4">
        <v>0</v>
      </c>
      <c r="P653" s="51">
        <f>IFERROR(_xlfn.XLOOKUP(_xlfn.TEXTJOIN(,,D652:O652),Aux!$B$3:$B$4098,'Truth Table'!$N$3:$N$4098),P652)</f>
        <v>7</v>
      </c>
      <c r="Q653" s="4" t="b" cm="1">
        <f t="array" ref="Q653:U653">IFERROR(_xlfn.XLOOKUP(_xlfn.TEXTJOIN(,,D653:O653),Aux!$B$3:$B$4098,'Truth Table'!$O$3:$S$4098)=1,FALSE)</f>
        <v>0</v>
      </c>
      <c r="R653" s="4" t="b">
        <v>0</v>
      </c>
      <c r="S653" s="4" t="b">
        <v>0</v>
      </c>
      <c r="T653" s="4" t="b">
        <v>0</v>
      </c>
      <c r="U653" s="4" t="b">
        <v>0</v>
      </c>
      <c r="V653" s="4" t="b">
        <f>AND(_xlfn.XLOOKUP(_xlfn.TEXTJOIN(,,D653:O653),Aux!$B$3:$B$4098,'Truth Table'!$T$3:$T$4098)=1,P652&lt;='Line Follower'!$C$7)</f>
        <v>0</v>
      </c>
      <c r="W653" s="4" t="b">
        <f>AND(_xlfn.XLOOKUP(_xlfn.TEXTJOIN(,,D653:O653),Aux!$B$3:$B$4098,'Truth Table'!$U$3:$U$4098)=1,P652&gt;='Line Follower'!$C$6)</f>
        <v>1</v>
      </c>
      <c r="X653" s="4" t="b">
        <f>IFERROR(AND(_xlfn.XLOOKUP(_xlfn.TEXTJOIN(,,D653:O653),Aux!$B$3:$B$4098,'Truth Table'!$V$3:$V$4098)=1,ABS(P652)&lt;='Line Follower'!$C$6),FALSE)</f>
        <v>0</v>
      </c>
      <c r="Y653" s="4" t="b">
        <f t="shared" si="10"/>
        <v>1</v>
      </c>
    </row>
    <row r="654" spans="2:25" x14ac:dyDescent="0.25">
      <c r="B654" s="4">
        <v>651</v>
      </c>
      <c r="C654" s="4">
        <v>5537</v>
      </c>
      <c r="D654" s="4">
        <v>0</v>
      </c>
      <c r="E654" s="4">
        <v>0</v>
      </c>
      <c r="F654" s="4">
        <v>0</v>
      </c>
      <c r="G654" s="4">
        <v>0</v>
      </c>
      <c r="H654" s="4">
        <v>0</v>
      </c>
      <c r="I654" s="4">
        <v>0</v>
      </c>
      <c r="J654" s="4">
        <v>0</v>
      </c>
      <c r="K654" s="4">
        <v>0</v>
      </c>
      <c r="L654" s="4">
        <v>0</v>
      </c>
      <c r="M654" s="4">
        <v>0</v>
      </c>
      <c r="N654" s="4">
        <v>1</v>
      </c>
      <c r="O654" s="4">
        <v>0</v>
      </c>
      <c r="P654" s="51">
        <f>IFERROR(_xlfn.XLOOKUP(_xlfn.TEXTJOIN(,,D653:O653),Aux!$B$3:$B$4098,'Truth Table'!$N$3:$N$4098),P653)</f>
        <v>7</v>
      </c>
      <c r="Q654" s="4" t="b" cm="1">
        <f t="array" ref="Q654:U654">IFERROR(_xlfn.XLOOKUP(_xlfn.TEXTJOIN(,,D654:O654),Aux!$B$3:$B$4098,'Truth Table'!$O$3:$S$4098)=1,FALSE)</f>
        <v>0</v>
      </c>
      <c r="R654" s="4" t="b">
        <v>0</v>
      </c>
      <c r="S654" s="4" t="b">
        <v>0</v>
      </c>
      <c r="T654" s="4" t="b">
        <v>0</v>
      </c>
      <c r="U654" s="4" t="b">
        <v>0</v>
      </c>
      <c r="V654" s="4" t="b">
        <f>AND(_xlfn.XLOOKUP(_xlfn.TEXTJOIN(,,D654:O654),Aux!$B$3:$B$4098,'Truth Table'!$T$3:$T$4098)=1,P653&lt;='Line Follower'!$C$7)</f>
        <v>0</v>
      </c>
      <c r="W654" s="4" t="b">
        <f>AND(_xlfn.XLOOKUP(_xlfn.TEXTJOIN(,,D654:O654),Aux!$B$3:$B$4098,'Truth Table'!$U$3:$U$4098)=1,P653&gt;='Line Follower'!$C$6)</f>
        <v>1</v>
      </c>
      <c r="X654" s="4" t="b">
        <f>IFERROR(AND(_xlfn.XLOOKUP(_xlfn.TEXTJOIN(,,D654:O654),Aux!$B$3:$B$4098,'Truth Table'!$V$3:$V$4098)=1,ABS(P653)&lt;='Line Follower'!$C$6),FALSE)</f>
        <v>0</v>
      </c>
      <c r="Y654" s="4" t="b">
        <f t="shared" si="10"/>
        <v>1</v>
      </c>
    </row>
    <row r="655" spans="2:25" x14ac:dyDescent="0.25">
      <c r="B655" s="4">
        <v>652</v>
      </c>
      <c r="C655" s="4">
        <v>5538</v>
      </c>
      <c r="D655" s="4">
        <v>0</v>
      </c>
      <c r="E655" s="4">
        <v>0</v>
      </c>
      <c r="F655" s="4">
        <v>0</v>
      </c>
      <c r="G655" s="4">
        <v>0</v>
      </c>
      <c r="H655" s="4">
        <v>0</v>
      </c>
      <c r="I655" s="4">
        <v>0</v>
      </c>
      <c r="J655" s="4">
        <v>0</v>
      </c>
      <c r="K655" s="4">
        <v>0</v>
      </c>
      <c r="L655" s="4">
        <v>0</v>
      </c>
      <c r="M655" s="4">
        <v>0</v>
      </c>
      <c r="N655" s="4">
        <v>1</v>
      </c>
      <c r="O655" s="4">
        <v>0</v>
      </c>
      <c r="P655" s="51">
        <f>IFERROR(_xlfn.XLOOKUP(_xlfn.TEXTJOIN(,,D654:O654),Aux!$B$3:$B$4098,'Truth Table'!$N$3:$N$4098),P654)</f>
        <v>7</v>
      </c>
      <c r="Q655" s="4" t="b" cm="1">
        <f t="array" ref="Q655:U655">IFERROR(_xlfn.XLOOKUP(_xlfn.TEXTJOIN(,,D655:O655),Aux!$B$3:$B$4098,'Truth Table'!$O$3:$S$4098)=1,FALSE)</f>
        <v>0</v>
      </c>
      <c r="R655" s="4" t="b">
        <v>0</v>
      </c>
      <c r="S655" s="4" t="b">
        <v>0</v>
      </c>
      <c r="T655" s="4" t="b">
        <v>0</v>
      </c>
      <c r="U655" s="4" t="b">
        <v>0</v>
      </c>
      <c r="V655" s="4" t="b">
        <f>AND(_xlfn.XLOOKUP(_xlfn.TEXTJOIN(,,D655:O655),Aux!$B$3:$B$4098,'Truth Table'!$T$3:$T$4098)=1,P654&lt;='Line Follower'!$C$7)</f>
        <v>0</v>
      </c>
      <c r="W655" s="4" t="b">
        <f>AND(_xlfn.XLOOKUP(_xlfn.TEXTJOIN(,,D655:O655),Aux!$B$3:$B$4098,'Truth Table'!$U$3:$U$4098)=1,P654&gt;='Line Follower'!$C$6)</f>
        <v>1</v>
      </c>
      <c r="X655" s="4" t="b">
        <f>IFERROR(AND(_xlfn.XLOOKUP(_xlfn.TEXTJOIN(,,D655:O655),Aux!$B$3:$B$4098,'Truth Table'!$V$3:$V$4098)=1,ABS(P654)&lt;='Line Follower'!$C$6),FALSE)</f>
        <v>0</v>
      </c>
      <c r="Y655" s="4" t="b">
        <f t="shared" si="10"/>
        <v>1</v>
      </c>
    </row>
    <row r="656" spans="2:25" x14ac:dyDescent="0.25">
      <c r="B656" s="4">
        <v>653</v>
      </c>
      <c r="C656" s="4">
        <v>5539</v>
      </c>
      <c r="D656" s="4">
        <v>0</v>
      </c>
      <c r="E656" s="4">
        <v>0</v>
      </c>
      <c r="F656" s="4">
        <v>0</v>
      </c>
      <c r="G656" s="4">
        <v>0</v>
      </c>
      <c r="H656" s="4">
        <v>0</v>
      </c>
      <c r="I656" s="4">
        <v>0</v>
      </c>
      <c r="J656" s="4">
        <v>0</v>
      </c>
      <c r="K656" s="4">
        <v>0</v>
      </c>
      <c r="L656" s="4">
        <v>0</v>
      </c>
      <c r="M656" s="4">
        <v>0</v>
      </c>
      <c r="N656" s="4">
        <v>1</v>
      </c>
      <c r="O656" s="4">
        <v>0</v>
      </c>
      <c r="P656" s="51">
        <f>IFERROR(_xlfn.XLOOKUP(_xlfn.TEXTJOIN(,,D655:O655),Aux!$B$3:$B$4098,'Truth Table'!$N$3:$N$4098),P655)</f>
        <v>7</v>
      </c>
      <c r="Q656" s="4" t="b" cm="1">
        <f t="array" ref="Q656:U656">IFERROR(_xlfn.XLOOKUP(_xlfn.TEXTJOIN(,,D656:O656),Aux!$B$3:$B$4098,'Truth Table'!$O$3:$S$4098)=1,FALSE)</f>
        <v>0</v>
      </c>
      <c r="R656" s="4" t="b">
        <v>0</v>
      </c>
      <c r="S656" s="4" t="b">
        <v>0</v>
      </c>
      <c r="T656" s="4" t="b">
        <v>0</v>
      </c>
      <c r="U656" s="4" t="b">
        <v>0</v>
      </c>
      <c r="V656" s="4" t="b">
        <f>AND(_xlfn.XLOOKUP(_xlfn.TEXTJOIN(,,D656:O656),Aux!$B$3:$B$4098,'Truth Table'!$T$3:$T$4098)=1,P655&lt;='Line Follower'!$C$7)</f>
        <v>0</v>
      </c>
      <c r="W656" s="4" t="b">
        <f>AND(_xlfn.XLOOKUP(_xlfn.TEXTJOIN(,,D656:O656),Aux!$B$3:$B$4098,'Truth Table'!$U$3:$U$4098)=1,P655&gt;='Line Follower'!$C$6)</f>
        <v>1</v>
      </c>
      <c r="X656" s="4" t="b">
        <f>IFERROR(AND(_xlfn.XLOOKUP(_xlfn.TEXTJOIN(,,D656:O656),Aux!$B$3:$B$4098,'Truth Table'!$V$3:$V$4098)=1,ABS(P655)&lt;='Line Follower'!$C$6),FALSE)</f>
        <v>0</v>
      </c>
      <c r="Y656" s="4" t="b">
        <f t="shared" si="10"/>
        <v>1</v>
      </c>
    </row>
    <row r="657" spans="2:25" x14ac:dyDescent="0.25">
      <c r="B657" s="4">
        <v>654</v>
      </c>
      <c r="C657" s="4">
        <v>5553</v>
      </c>
      <c r="D657" s="4">
        <v>0</v>
      </c>
      <c r="E657" s="4">
        <v>0</v>
      </c>
      <c r="F657" s="4">
        <v>0</v>
      </c>
      <c r="G657" s="4">
        <v>0</v>
      </c>
      <c r="H657" s="4">
        <v>0</v>
      </c>
      <c r="I657" s="4">
        <v>0</v>
      </c>
      <c r="J657" s="4">
        <v>0</v>
      </c>
      <c r="K657" s="4">
        <v>0</v>
      </c>
      <c r="L657" s="4">
        <v>0</v>
      </c>
      <c r="M657" s="4">
        <v>0</v>
      </c>
      <c r="N657" s="4">
        <v>1</v>
      </c>
      <c r="O657" s="4">
        <v>0</v>
      </c>
      <c r="P657" s="51">
        <f>IFERROR(_xlfn.XLOOKUP(_xlfn.TEXTJOIN(,,D656:O656),Aux!$B$3:$B$4098,'Truth Table'!$N$3:$N$4098),P656)</f>
        <v>7</v>
      </c>
      <c r="Q657" s="4" t="b" cm="1">
        <f t="array" ref="Q657:U657">IFERROR(_xlfn.XLOOKUP(_xlfn.TEXTJOIN(,,D657:O657),Aux!$B$3:$B$4098,'Truth Table'!$O$3:$S$4098)=1,FALSE)</f>
        <v>0</v>
      </c>
      <c r="R657" s="4" t="b">
        <v>0</v>
      </c>
      <c r="S657" s="4" t="b">
        <v>0</v>
      </c>
      <c r="T657" s="4" t="b">
        <v>0</v>
      </c>
      <c r="U657" s="4" t="b">
        <v>0</v>
      </c>
      <c r="V657" s="4" t="b">
        <f>AND(_xlfn.XLOOKUP(_xlfn.TEXTJOIN(,,D657:O657),Aux!$B$3:$B$4098,'Truth Table'!$T$3:$T$4098)=1,P656&lt;='Line Follower'!$C$7)</f>
        <v>0</v>
      </c>
      <c r="W657" s="4" t="b">
        <f>AND(_xlfn.XLOOKUP(_xlfn.TEXTJOIN(,,D657:O657),Aux!$B$3:$B$4098,'Truth Table'!$U$3:$U$4098)=1,P656&gt;='Line Follower'!$C$6)</f>
        <v>1</v>
      </c>
      <c r="X657" s="4" t="b">
        <f>IFERROR(AND(_xlfn.XLOOKUP(_xlfn.TEXTJOIN(,,D657:O657),Aux!$B$3:$B$4098,'Truth Table'!$V$3:$V$4098)=1,ABS(P656)&lt;='Line Follower'!$C$6),FALSE)</f>
        <v>0</v>
      </c>
      <c r="Y657" s="4" t="b">
        <f t="shared" si="10"/>
        <v>1</v>
      </c>
    </row>
    <row r="658" spans="2:25" x14ac:dyDescent="0.25">
      <c r="B658" s="4">
        <v>655</v>
      </c>
      <c r="C658" s="4">
        <v>5558</v>
      </c>
      <c r="D658" s="4">
        <v>0</v>
      </c>
      <c r="E658" s="4">
        <v>0</v>
      </c>
      <c r="F658" s="4">
        <v>0</v>
      </c>
      <c r="G658" s="4">
        <v>0</v>
      </c>
      <c r="H658" s="4">
        <v>0</v>
      </c>
      <c r="I658" s="4">
        <v>0</v>
      </c>
      <c r="J658" s="4">
        <v>0</v>
      </c>
      <c r="K658" s="4">
        <v>0</v>
      </c>
      <c r="L658" s="4">
        <v>0</v>
      </c>
      <c r="M658" s="4">
        <v>0</v>
      </c>
      <c r="N658" s="4">
        <v>1</v>
      </c>
      <c r="O658" s="4">
        <v>0</v>
      </c>
      <c r="P658" s="51">
        <f>IFERROR(_xlfn.XLOOKUP(_xlfn.TEXTJOIN(,,D657:O657),Aux!$B$3:$B$4098,'Truth Table'!$N$3:$N$4098),P657)</f>
        <v>7</v>
      </c>
      <c r="Q658" s="4" t="b" cm="1">
        <f t="array" ref="Q658:U658">IFERROR(_xlfn.XLOOKUP(_xlfn.TEXTJOIN(,,D658:O658),Aux!$B$3:$B$4098,'Truth Table'!$O$3:$S$4098)=1,FALSE)</f>
        <v>0</v>
      </c>
      <c r="R658" s="4" t="b">
        <v>0</v>
      </c>
      <c r="S658" s="4" t="b">
        <v>0</v>
      </c>
      <c r="T658" s="4" t="b">
        <v>0</v>
      </c>
      <c r="U658" s="4" t="b">
        <v>0</v>
      </c>
      <c r="V658" s="4" t="b">
        <f>AND(_xlfn.XLOOKUP(_xlfn.TEXTJOIN(,,D658:O658),Aux!$B$3:$B$4098,'Truth Table'!$T$3:$T$4098)=1,P657&lt;='Line Follower'!$C$7)</f>
        <v>0</v>
      </c>
      <c r="W658" s="4" t="b">
        <f>AND(_xlfn.XLOOKUP(_xlfn.TEXTJOIN(,,D658:O658),Aux!$B$3:$B$4098,'Truth Table'!$U$3:$U$4098)=1,P657&gt;='Line Follower'!$C$6)</f>
        <v>1</v>
      </c>
      <c r="X658" s="4" t="b">
        <f>IFERROR(AND(_xlfn.XLOOKUP(_xlfn.TEXTJOIN(,,D658:O658),Aux!$B$3:$B$4098,'Truth Table'!$V$3:$V$4098)=1,ABS(P657)&lt;='Line Follower'!$C$6),FALSE)</f>
        <v>0</v>
      </c>
      <c r="Y658" s="4" t="b">
        <f t="shared" si="10"/>
        <v>1</v>
      </c>
    </row>
    <row r="659" spans="2:25" x14ac:dyDescent="0.25">
      <c r="B659" s="4">
        <v>656</v>
      </c>
      <c r="C659" s="4">
        <v>5572</v>
      </c>
      <c r="D659" s="4">
        <v>0</v>
      </c>
      <c r="E659" s="4">
        <v>0</v>
      </c>
      <c r="F659" s="4">
        <v>0</v>
      </c>
      <c r="G659" s="4">
        <v>0</v>
      </c>
      <c r="H659" s="4">
        <v>0</v>
      </c>
      <c r="I659" s="4">
        <v>0</v>
      </c>
      <c r="J659" s="4">
        <v>0</v>
      </c>
      <c r="K659" s="4">
        <v>0</v>
      </c>
      <c r="L659" s="4">
        <v>0</v>
      </c>
      <c r="M659" s="4">
        <v>0</v>
      </c>
      <c r="N659" s="4">
        <v>1</v>
      </c>
      <c r="O659" s="4">
        <v>0</v>
      </c>
      <c r="P659" s="51">
        <f>IFERROR(_xlfn.XLOOKUP(_xlfn.TEXTJOIN(,,D658:O658),Aux!$B$3:$B$4098,'Truth Table'!$N$3:$N$4098),P658)</f>
        <v>7</v>
      </c>
      <c r="Q659" s="4" t="b" cm="1">
        <f t="array" ref="Q659:U659">IFERROR(_xlfn.XLOOKUP(_xlfn.TEXTJOIN(,,D659:O659),Aux!$B$3:$B$4098,'Truth Table'!$O$3:$S$4098)=1,FALSE)</f>
        <v>0</v>
      </c>
      <c r="R659" s="4" t="b">
        <v>0</v>
      </c>
      <c r="S659" s="4" t="b">
        <v>0</v>
      </c>
      <c r="T659" s="4" t="b">
        <v>0</v>
      </c>
      <c r="U659" s="4" t="b">
        <v>0</v>
      </c>
      <c r="V659" s="4" t="b">
        <f>AND(_xlfn.XLOOKUP(_xlfn.TEXTJOIN(,,D659:O659),Aux!$B$3:$B$4098,'Truth Table'!$T$3:$T$4098)=1,P658&lt;='Line Follower'!$C$7)</f>
        <v>0</v>
      </c>
      <c r="W659" s="4" t="b">
        <f>AND(_xlfn.XLOOKUP(_xlfn.TEXTJOIN(,,D659:O659),Aux!$B$3:$B$4098,'Truth Table'!$U$3:$U$4098)=1,P658&gt;='Line Follower'!$C$6)</f>
        <v>1</v>
      </c>
      <c r="X659" s="4" t="b">
        <f>IFERROR(AND(_xlfn.XLOOKUP(_xlfn.TEXTJOIN(,,D659:O659),Aux!$B$3:$B$4098,'Truth Table'!$V$3:$V$4098)=1,ABS(P658)&lt;='Line Follower'!$C$6),FALSE)</f>
        <v>0</v>
      </c>
      <c r="Y659" s="4" t="b">
        <f t="shared" si="10"/>
        <v>1</v>
      </c>
    </row>
    <row r="660" spans="2:25" x14ac:dyDescent="0.25">
      <c r="B660" s="4">
        <v>657</v>
      </c>
      <c r="C660" s="4">
        <v>5577</v>
      </c>
      <c r="D660" s="4">
        <v>0</v>
      </c>
      <c r="E660" s="4">
        <v>0</v>
      </c>
      <c r="F660" s="4">
        <v>0</v>
      </c>
      <c r="G660" s="4">
        <v>0</v>
      </c>
      <c r="H660" s="4">
        <v>0</v>
      </c>
      <c r="I660" s="4">
        <v>0</v>
      </c>
      <c r="J660" s="4">
        <v>0</v>
      </c>
      <c r="K660" s="4">
        <v>0</v>
      </c>
      <c r="L660" s="4">
        <v>0</v>
      </c>
      <c r="M660" s="4">
        <v>0</v>
      </c>
      <c r="N660" s="4">
        <v>1</v>
      </c>
      <c r="O660" s="4">
        <v>0</v>
      </c>
      <c r="P660" s="51">
        <f>IFERROR(_xlfn.XLOOKUP(_xlfn.TEXTJOIN(,,D659:O659),Aux!$B$3:$B$4098,'Truth Table'!$N$3:$N$4098),P659)</f>
        <v>7</v>
      </c>
      <c r="Q660" s="4" t="b" cm="1">
        <f t="array" ref="Q660:U660">IFERROR(_xlfn.XLOOKUP(_xlfn.TEXTJOIN(,,D660:O660),Aux!$B$3:$B$4098,'Truth Table'!$O$3:$S$4098)=1,FALSE)</f>
        <v>0</v>
      </c>
      <c r="R660" s="4" t="b">
        <v>0</v>
      </c>
      <c r="S660" s="4" t="b">
        <v>0</v>
      </c>
      <c r="T660" s="4" t="b">
        <v>0</v>
      </c>
      <c r="U660" s="4" t="b">
        <v>0</v>
      </c>
      <c r="V660" s="4" t="b">
        <f>AND(_xlfn.XLOOKUP(_xlfn.TEXTJOIN(,,D660:O660),Aux!$B$3:$B$4098,'Truth Table'!$T$3:$T$4098)=1,P659&lt;='Line Follower'!$C$7)</f>
        <v>0</v>
      </c>
      <c r="W660" s="4" t="b">
        <f>AND(_xlfn.XLOOKUP(_xlfn.TEXTJOIN(,,D660:O660),Aux!$B$3:$B$4098,'Truth Table'!$U$3:$U$4098)=1,P659&gt;='Line Follower'!$C$6)</f>
        <v>1</v>
      </c>
      <c r="X660" s="4" t="b">
        <f>IFERROR(AND(_xlfn.XLOOKUP(_xlfn.TEXTJOIN(,,D660:O660),Aux!$B$3:$B$4098,'Truth Table'!$V$3:$V$4098)=1,ABS(P659)&lt;='Line Follower'!$C$6),FALSE)</f>
        <v>0</v>
      </c>
      <c r="Y660" s="4" t="b">
        <f t="shared" si="10"/>
        <v>1</v>
      </c>
    </row>
    <row r="661" spans="2:25" x14ac:dyDescent="0.25">
      <c r="B661" s="4">
        <v>658</v>
      </c>
      <c r="C661" s="4">
        <v>5591</v>
      </c>
      <c r="D661" s="4">
        <v>0</v>
      </c>
      <c r="E661" s="4">
        <v>0</v>
      </c>
      <c r="F661" s="4">
        <v>0</v>
      </c>
      <c r="G661" s="4">
        <v>0</v>
      </c>
      <c r="H661" s="4">
        <v>0</v>
      </c>
      <c r="I661" s="4">
        <v>0</v>
      </c>
      <c r="J661" s="4">
        <v>0</v>
      </c>
      <c r="K661" s="4">
        <v>0</v>
      </c>
      <c r="L661" s="4">
        <v>0</v>
      </c>
      <c r="M661" s="4">
        <v>0</v>
      </c>
      <c r="N661" s="4">
        <v>1</v>
      </c>
      <c r="O661" s="4">
        <v>0</v>
      </c>
      <c r="P661" s="51">
        <f>IFERROR(_xlfn.XLOOKUP(_xlfn.TEXTJOIN(,,D660:O660),Aux!$B$3:$B$4098,'Truth Table'!$N$3:$N$4098),P660)</f>
        <v>7</v>
      </c>
      <c r="Q661" s="4" t="b" cm="1">
        <f t="array" ref="Q661:U661">IFERROR(_xlfn.XLOOKUP(_xlfn.TEXTJOIN(,,D661:O661),Aux!$B$3:$B$4098,'Truth Table'!$O$3:$S$4098)=1,FALSE)</f>
        <v>0</v>
      </c>
      <c r="R661" s="4" t="b">
        <v>0</v>
      </c>
      <c r="S661" s="4" t="b">
        <v>0</v>
      </c>
      <c r="T661" s="4" t="b">
        <v>0</v>
      </c>
      <c r="U661" s="4" t="b">
        <v>0</v>
      </c>
      <c r="V661" s="4" t="b">
        <f>AND(_xlfn.XLOOKUP(_xlfn.TEXTJOIN(,,D661:O661),Aux!$B$3:$B$4098,'Truth Table'!$T$3:$T$4098)=1,P660&lt;='Line Follower'!$C$7)</f>
        <v>0</v>
      </c>
      <c r="W661" s="4" t="b">
        <f>AND(_xlfn.XLOOKUP(_xlfn.TEXTJOIN(,,D661:O661),Aux!$B$3:$B$4098,'Truth Table'!$U$3:$U$4098)=1,P660&gt;='Line Follower'!$C$6)</f>
        <v>1</v>
      </c>
      <c r="X661" s="4" t="b">
        <f>IFERROR(AND(_xlfn.XLOOKUP(_xlfn.TEXTJOIN(,,D661:O661),Aux!$B$3:$B$4098,'Truth Table'!$V$3:$V$4098)=1,ABS(P660)&lt;='Line Follower'!$C$6),FALSE)</f>
        <v>0</v>
      </c>
      <c r="Y661" s="4" t="b">
        <f t="shared" si="10"/>
        <v>1</v>
      </c>
    </row>
    <row r="662" spans="2:25" x14ac:dyDescent="0.25">
      <c r="B662" s="4">
        <v>659</v>
      </c>
      <c r="C662" s="4">
        <v>5591</v>
      </c>
      <c r="D662" s="4">
        <v>0</v>
      </c>
      <c r="E662" s="4">
        <v>0</v>
      </c>
      <c r="F662" s="4">
        <v>0</v>
      </c>
      <c r="G662" s="4">
        <v>0</v>
      </c>
      <c r="H662" s="4">
        <v>0</v>
      </c>
      <c r="I662" s="4">
        <v>0</v>
      </c>
      <c r="J662" s="4">
        <v>0</v>
      </c>
      <c r="K662" s="4">
        <v>0</v>
      </c>
      <c r="L662" s="4">
        <v>0</v>
      </c>
      <c r="M662" s="4">
        <v>0</v>
      </c>
      <c r="N662" s="4">
        <v>1</v>
      </c>
      <c r="O662" s="4">
        <v>0</v>
      </c>
      <c r="P662" s="51">
        <f>IFERROR(_xlfn.XLOOKUP(_xlfn.TEXTJOIN(,,D661:O661),Aux!$B$3:$B$4098,'Truth Table'!$N$3:$N$4098),P661)</f>
        <v>7</v>
      </c>
      <c r="Q662" s="4" t="b" cm="1">
        <f t="array" ref="Q662:U662">IFERROR(_xlfn.XLOOKUP(_xlfn.TEXTJOIN(,,D662:O662),Aux!$B$3:$B$4098,'Truth Table'!$O$3:$S$4098)=1,FALSE)</f>
        <v>0</v>
      </c>
      <c r="R662" s="4" t="b">
        <v>0</v>
      </c>
      <c r="S662" s="4" t="b">
        <v>0</v>
      </c>
      <c r="T662" s="4" t="b">
        <v>0</v>
      </c>
      <c r="U662" s="4" t="b">
        <v>0</v>
      </c>
      <c r="V662" s="4" t="b">
        <f>AND(_xlfn.XLOOKUP(_xlfn.TEXTJOIN(,,D662:O662),Aux!$B$3:$B$4098,'Truth Table'!$T$3:$T$4098)=1,P661&lt;='Line Follower'!$C$7)</f>
        <v>0</v>
      </c>
      <c r="W662" s="4" t="b">
        <f>AND(_xlfn.XLOOKUP(_xlfn.TEXTJOIN(,,D662:O662),Aux!$B$3:$B$4098,'Truth Table'!$U$3:$U$4098)=1,P661&gt;='Line Follower'!$C$6)</f>
        <v>1</v>
      </c>
      <c r="X662" s="4" t="b">
        <f>IFERROR(AND(_xlfn.XLOOKUP(_xlfn.TEXTJOIN(,,D662:O662),Aux!$B$3:$B$4098,'Truth Table'!$V$3:$V$4098)=1,ABS(P661)&lt;='Line Follower'!$C$6),FALSE)</f>
        <v>0</v>
      </c>
      <c r="Y662" s="4" t="b">
        <f t="shared" si="10"/>
        <v>1</v>
      </c>
    </row>
    <row r="663" spans="2:25" x14ac:dyDescent="0.25">
      <c r="B663" s="4">
        <v>660</v>
      </c>
      <c r="C663" s="4">
        <v>5602</v>
      </c>
      <c r="D663" s="4">
        <v>0</v>
      </c>
      <c r="E663" s="4">
        <v>0</v>
      </c>
      <c r="F663" s="4">
        <v>0</v>
      </c>
      <c r="G663" s="4">
        <v>0</v>
      </c>
      <c r="H663" s="4">
        <v>0</v>
      </c>
      <c r="I663" s="4">
        <v>0</v>
      </c>
      <c r="J663" s="4">
        <v>0</v>
      </c>
      <c r="K663" s="4">
        <v>0</v>
      </c>
      <c r="L663" s="4">
        <v>0</v>
      </c>
      <c r="M663" s="4">
        <v>0</v>
      </c>
      <c r="N663" s="4">
        <v>1</v>
      </c>
      <c r="O663" s="4">
        <v>0</v>
      </c>
      <c r="P663" s="51">
        <f>IFERROR(_xlfn.XLOOKUP(_xlfn.TEXTJOIN(,,D662:O662),Aux!$B$3:$B$4098,'Truth Table'!$N$3:$N$4098),P662)</f>
        <v>7</v>
      </c>
      <c r="Q663" s="4" t="b" cm="1">
        <f t="array" ref="Q663:U663">IFERROR(_xlfn.XLOOKUP(_xlfn.TEXTJOIN(,,D663:O663),Aux!$B$3:$B$4098,'Truth Table'!$O$3:$S$4098)=1,FALSE)</f>
        <v>0</v>
      </c>
      <c r="R663" s="4" t="b">
        <v>0</v>
      </c>
      <c r="S663" s="4" t="b">
        <v>0</v>
      </c>
      <c r="T663" s="4" t="b">
        <v>0</v>
      </c>
      <c r="U663" s="4" t="b">
        <v>0</v>
      </c>
      <c r="V663" s="4" t="b">
        <f>AND(_xlfn.XLOOKUP(_xlfn.TEXTJOIN(,,D663:O663),Aux!$B$3:$B$4098,'Truth Table'!$T$3:$T$4098)=1,P662&lt;='Line Follower'!$C$7)</f>
        <v>0</v>
      </c>
      <c r="W663" s="4" t="b">
        <f>AND(_xlfn.XLOOKUP(_xlfn.TEXTJOIN(,,D663:O663),Aux!$B$3:$B$4098,'Truth Table'!$U$3:$U$4098)=1,P662&gt;='Line Follower'!$C$6)</f>
        <v>1</v>
      </c>
      <c r="X663" s="4" t="b">
        <f>IFERROR(AND(_xlfn.XLOOKUP(_xlfn.TEXTJOIN(,,D663:O663),Aux!$B$3:$B$4098,'Truth Table'!$V$3:$V$4098)=1,ABS(P662)&lt;='Line Follower'!$C$6),FALSE)</f>
        <v>0</v>
      </c>
      <c r="Y663" s="4" t="b">
        <f t="shared" si="10"/>
        <v>1</v>
      </c>
    </row>
    <row r="664" spans="2:25" x14ac:dyDescent="0.25">
      <c r="B664" s="4">
        <v>661</v>
      </c>
      <c r="C664" s="4">
        <v>5611</v>
      </c>
      <c r="D664" s="4">
        <v>0</v>
      </c>
      <c r="E664" s="4">
        <v>0</v>
      </c>
      <c r="F664" s="4">
        <v>0</v>
      </c>
      <c r="G664" s="4">
        <v>0</v>
      </c>
      <c r="H664" s="4">
        <v>0</v>
      </c>
      <c r="I664" s="4">
        <v>0</v>
      </c>
      <c r="J664" s="4">
        <v>0</v>
      </c>
      <c r="K664" s="4">
        <v>0</v>
      </c>
      <c r="L664" s="4">
        <v>0</v>
      </c>
      <c r="M664" s="4">
        <v>0</v>
      </c>
      <c r="N664" s="4">
        <v>1</v>
      </c>
      <c r="O664" s="4">
        <v>0</v>
      </c>
      <c r="P664" s="51">
        <f>IFERROR(_xlfn.XLOOKUP(_xlfn.TEXTJOIN(,,D663:O663),Aux!$B$3:$B$4098,'Truth Table'!$N$3:$N$4098),P663)</f>
        <v>7</v>
      </c>
      <c r="Q664" s="4" t="b" cm="1">
        <f t="array" ref="Q664:U664">IFERROR(_xlfn.XLOOKUP(_xlfn.TEXTJOIN(,,D664:O664),Aux!$B$3:$B$4098,'Truth Table'!$O$3:$S$4098)=1,FALSE)</f>
        <v>0</v>
      </c>
      <c r="R664" s="4" t="b">
        <v>0</v>
      </c>
      <c r="S664" s="4" t="b">
        <v>0</v>
      </c>
      <c r="T664" s="4" t="b">
        <v>0</v>
      </c>
      <c r="U664" s="4" t="b">
        <v>0</v>
      </c>
      <c r="V664" s="4" t="b">
        <f>AND(_xlfn.XLOOKUP(_xlfn.TEXTJOIN(,,D664:O664),Aux!$B$3:$B$4098,'Truth Table'!$T$3:$T$4098)=1,P663&lt;='Line Follower'!$C$7)</f>
        <v>0</v>
      </c>
      <c r="W664" s="4" t="b">
        <f>AND(_xlfn.XLOOKUP(_xlfn.TEXTJOIN(,,D664:O664),Aux!$B$3:$B$4098,'Truth Table'!$U$3:$U$4098)=1,P663&gt;='Line Follower'!$C$6)</f>
        <v>1</v>
      </c>
      <c r="X664" s="4" t="b">
        <f>IFERROR(AND(_xlfn.XLOOKUP(_xlfn.TEXTJOIN(,,D664:O664),Aux!$B$3:$B$4098,'Truth Table'!$V$3:$V$4098)=1,ABS(P663)&lt;='Line Follower'!$C$6),FALSE)</f>
        <v>0</v>
      </c>
      <c r="Y664" s="4" t="b">
        <f t="shared" si="10"/>
        <v>1</v>
      </c>
    </row>
    <row r="665" spans="2:25" x14ac:dyDescent="0.25">
      <c r="B665" s="4">
        <v>662</v>
      </c>
      <c r="C665" s="4">
        <v>5624</v>
      </c>
      <c r="D665" s="4">
        <v>0</v>
      </c>
      <c r="E665" s="4">
        <v>0</v>
      </c>
      <c r="F665" s="4">
        <v>0</v>
      </c>
      <c r="G665" s="4">
        <v>0</v>
      </c>
      <c r="H665" s="4">
        <v>0</v>
      </c>
      <c r="I665" s="4">
        <v>0</v>
      </c>
      <c r="J665" s="4">
        <v>0</v>
      </c>
      <c r="K665" s="4">
        <v>0</v>
      </c>
      <c r="L665" s="4">
        <v>0</v>
      </c>
      <c r="M665" s="4">
        <v>0</v>
      </c>
      <c r="N665" s="4">
        <v>1</v>
      </c>
      <c r="O665" s="4">
        <v>0</v>
      </c>
      <c r="P665" s="51">
        <f>IFERROR(_xlfn.XLOOKUP(_xlfn.TEXTJOIN(,,D664:O664),Aux!$B$3:$B$4098,'Truth Table'!$N$3:$N$4098),P664)</f>
        <v>7</v>
      </c>
      <c r="Q665" s="4" t="b" cm="1">
        <f t="array" ref="Q665:U665">IFERROR(_xlfn.XLOOKUP(_xlfn.TEXTJOIN(,,D665:O665),Aux!$B$3:$B$4098,'Truth Table'!$O$3:$S$4098)=1,FALSE)</f>
        <v>0</v>
      </c>
      <c r="R665" s="4" t="b">
        <v>0</v>
      </c>
      <c r="S665" s="4" t="b">
        <v>0</v>
      </c>
      <c r="T665" s="4" t="b">
        <v>0</v>
      </c>
      <c r="U665" s="4" t="b">
        <v>0</v>
      </c>
      <c r="V665" s="4" t="b">
        <f>AND(_xlfn.XLOOKUP(_xlfn.TEXTJOIN(,,D665:O665),Aux!$B$3:$B$4098,'Truth Table'!$T$3:$T$4098)=1,P664&lt;='Line Follower'!$C$7)</f>
        <v>0</v>
      </c>
      <c r="W665" s="4" t="b">
        <f>AND(_xlfn.XLOOKUP(_xlfn.TEXTJOIN(,,D665:O665),Aux!$B$3:$B$4098,'Truth Table'!$U$3:$U$4098)=1,P664&gt;='Line Follower'!$C$6)</f>
        <v>1</v>
      </c>
      <c r="X665" s="4" t="b">
        <f>IFERROR(AND(_xlfn.XLOOKUP(_xlfn.TEXTJOIN(,,D665:O665),Aux!$B$3:$B$4098,'Truth Table'!$V$3:$V$4098)=1,ABS(P664)&lt;='Line Follower'!$C$6),FALSE)</f>
        <v>0</v>
      </c>
      <c r="Y665" s="4" t="b">
        <f t="shared" si="10"/>
        <v>1</v>
      </c>
    </row>
    <row r="666" spans="2:25" x14ac:dyDescent="0.25">
      <c r="B666" s="4">
        <v>663</v>
      </c>
      <c r="C666" s="4">
        <v>5633</v>
      </c>
      <c r="D666" s="4">
        <v>0</v>
      </c>
      <c r="E666" s="4">
        <v>0</v>
      </c>
      <c r="F666" s="4">
        <v>0</v>
      </c>
      <c r="G666" s="4">
        <v>0</v>
      </c>
      <c r="H666" s="4">
        <v>0</v>
      </c>
      <c r="I666" s="4">
        <v>0</v>
      </c>
      <c r="J666" s="4">
        <v>0</v>
      </c>
      <c r="K666" s="4">
        <v>0</v>
      </c>
      <c r="L666" s="4">
        <v>0</v>
      </c>
      <c r="M666" s="4">
        <v>0</v>
      </c>
      <c r="N666" s="4">
        <v>1</v>
      </c>
      <c r="O666" s="4">
        <v>0</v>
      </c>
      <c r="P666" s="51">
        <f>IFERROR(_xlfn.XLOOKUP(_xlfn.TEXTJOIN(,,D665:O665),Aux!$B$3:$B$4098,'Truth Table'!$N$3:$N$4098),P665)</f>
        <v>7</v>
      </c>
      <c r="Q666" s="4" t="b" cm="1">
        <f t="array" ref="Q666:U666">IFERROR(_xlfn.XLOOKUP(_xlfn.TEXTJOIN(,,D666:O666),Aux!$B$3:$B$4098,'Truth Table'!$O$3:$S$4098)=1,FALSE)</f>
        <v>0</v>
      </c>
      <c r="R666" s="4" t="b">
        <v>0</v>
      </c>
      <c r="S666" s="4" t="b">
        <v>0</v>
      </c>
      <c r="T666" s="4" t="b">
        <v>0</v>
      </c>
      <c r="U666" s="4" t="b">
        <v>0</v>
      </c>
      <c r="V666" s="4" t="b">
        <f>AND(_xlfn.XLOOKUP(_xlfn.TEXTJOIN(,,D666:O666),Aux!$B$3:$B$4098,'Truth Table'!$T$3:$T$4098)=1,P665&lt;='Line Follower'!$C$7)</f>
        <v>0</v>
      </c>
      <c r="W666" s="4" t="b">
        <f>AND(_xlfn.XLOOKUP(_xlfn.TEXTJOIN(,,D666:O666),Aux!$B$3:$B$4098,'Truth Table'!$U$3:$U$4098)=1,P665&gt;='Line Follower'!$C$6)</f>
        <v>1</v>
      </c>
      <c r="X666" s="4" t="b">
        <f>IFERROR(AND(_xlfn.XLOOKUP(_xlfn.TEXTJOIN(,,D666:O666),Aux!$B$3:$B$4098,'Truth Table'!$V$3:$V$4098)=1,ABS(P665)&lt;='Line Follower'!$C$6),FALSE)</f>
        <v>0</v>
      </c>
      <c r="Y666" s="4" t="b">
        <f t="shared" si="10"/>
        <v>1</v>
      </c>
    </row>
    <row r="667" spans="2:25" x14ac:dyDescent="0.25">
      <c r="B667" s="4">
        <v>664</v>
      </c>
      <c r="C667" s="4">
        <v>5644</v>
      </c>
      <c r="D667" s="4">
        <v>0</v>
      </c>
      <c r="E667" s="4">
        <v>0</v>
      </c>
      <c r="F667" s="4">
        <v>0</v>
      </c>
      <c r="G667" s="4">
        <v>0</v>
      </c>
      <c r="H667" s="4">
        <v>0</v>
      </c>
      <c r="I667" s="4">
        <v>0</v>
      </c>
      <c r="J667" s="4">
        <v>0</v>
      </c>
      <c r="K667" s="4">
        <v>0</v>
      </c>
      <c r="L667" s="4">
        <v>0</v>
      </c>
      <c r="M667" s="4">
        <v>0</v>
      </c>
      <c r="N667" s="4">
        <v>1</v>
      </c>
      <c r="O667" s="4">
        <v>0</v>
      </c>
      <c r="P667" s="51">
        <f>IFERROR(_xlfn.XLOOKUP(_xlfn.TEXTJOIN(,,D666:O666),Aux!$B$3:$B$4098,'Truth Table'!$N$3:$N$4098),P666)</f>
        <v>7</v>
      </c>
      <c r="Q667" s="4" t="b" cm="1">
        <f t="array" ref="Q667:U667">IFERROR(_xlfn.XLOOKUP(_xlfn.TEXTJOIN(,,D667:O667),Aux!$B$3:$B$4098,'Truth Table'!$O$3:$S$4098)=1,FALSE)</f>
        <v>0</v>
      </c>
      <c r="R667" s="4" t="b">
        <v>0</v>
      </c>
      <c r="S667" s="4" t="b">
        <v>0</v>
      </c>
      <c r="T667" s="4" t="b">
        <v>0</v>
      </c>
      <c r="U667" s="4" t="b">
        <v>0</v>
      </c>
      <c r="V667" s="4" t="b">
        <f>AND(_xlfn.XLOOKUP(_xlfn.TEXTJOIN(,,D667:O667),Aux!$B$3:$B$4098,'Truth Table'!$T$3:$T$4098)=1,P666&lt;='Line Follower'!$C$7)</f>
        <v>0</v>
      </c>
      <c r="W667" s="4" t="b">
        <f>AND(_xlfn.XLOOKUP(_xlfn.TEXTJOIN(,,D667:O667),Aux!$B$3:$B$4098,'Truth Table'!$U$3:$U$4098)=1,P666&gt;='Line Follower'!$C$6)</f>
        <v>1</v>
      </c>
      <c r="X667" s="4" t="b">
        <f>IFERROR(AND(_xlfn.XLOOKUP(_xlfn.TEXTJOIN(,,D667:O667),Aux!$B$3:$B$4098,'Truth Table'!$V$3:$V$4098)=1,ABS(P666)&lt;='Line Follower'!$C$6),FALSE)</f>
        <v>0</v>
      </c>
      <c r="Y667" s="4" t="b">
        <f t="shared" si="10"/>
        <v>1</v>
      </c>
    </row>
    <row r="668" spans="2:25" x14ac:dyDescent="0.25">
      <c r="B668" s="4">
        <v>665</v>
      </c>
      <c r="C668" s="4">
        <v>5653</v>
      </c>
      <c r="D668" s="4">
        <v>0</v>
      </c>
      <c r="E668" s="4">
        <v>0</v>
      </c>
      <c r="F668" s="4">
        <v>0</v>
      </c>
      <c r="G668" s="4">
        <v>0</v>
      </c>
      <c r="H668" s="4">
        <v>0</v>
      </c>
      <c r="I668" s="4">
        <v>0</v>
      </c>
      <c r="J668" s="4">
        <v>0</v>
      </c>
      <c r="K668" s="4">
        <v>0</v>
      </c>
      <c r="L668" s="4">
        <v>0</v>
      </c>
      <c r="M668" s="4">
        <v>0</v>
      </c>
      <c r="N668" s="4">
        <v>1</v>
      </c>
      <c r="O668" s="4">
        <v>0</v>
      </c>
      <c r="P668" s="51">
        <f>IFERROR(_xlfn.XLOOKUP(_xlfn.TEXTJOIN(,,D667:O667),Aux!$B$3:$B$4098,'Truth Table'!$N$3:$N$4098),P667)</f>
        <v>7</v>
      </c>
      <c r="Q668" s="4" t="b" cm="1">
        <f t="array" ref="Q668:U668">IFERROR(_xlfn.XLOOKUP(_xlfn.TEXTJOIN(,,D668:O668),Aux!$B$3:$B$4098,'Truth Table'!$O$3:$S$4098)=1,FALSE)</f>
        <v>0</v>
      </c>
      <c r="R668" s="4" t="b">
        <v>0</v>
      </c>
      <c r="S668" s="4" t="b">
        <v>0</v>
      </c>
      <c r="T668" s="4" t="b">
        <v>0</v>
      </c>
      <c r="U668" s="4" t="b">
        <v>0</v>
      </c>
      <c r="V668" s="4" t="b">
        <f>AND(_xlfn.XLOOKUP(_xlfn.TEXTJOIN(,,D668:O668),Aux!$B$3:$B$4098,'Truth Table'!$T$3:$T$4098)=1,P667&lt;='Line Follower'!$C$7)</f>
        <v>0</v>
      </c>
      <c r="W668" s="4" t="b">
        <f>AND(_xlfn.XLOOKUP(_xlfn.TEXTJOIN(,,D668:O668),Aux!$B$3:$B$4098,'Truth Table'!$U$3:$U$4098)=1,P667&gt;='Line Follower'!$C$6)</f>
        <v>1</v>
      </c>
      <c r="X668" s="4" t="b">
        <f>IFERROR(AND(_xlfn.XLOOKUP(_xlfn.TEXTJOIN(,,D668:O668),Aux!$B$3:$B$4098,'Truth Table'!$V$3:$V$4098)=1,ABS(P667)&lt;='Line Follower'!$C$6),FALSE)</f>
        <v>0</v>
      </c>
      <c r="Y668" s="4" t="b">
        <f t="shared" si="10"/>
        <v>1</v>
      </c>
    </row>
    <row r="669" spans="2:25" x14ac:dyDescent="0.25">
      <c r="B669" s="4">
        <v>666</v>
      </c>
      <c r="C669" s="4">
        <v>5667</v>
      </c>
      <c r="D669" s="4">
        <v>0</v>
      </c>
      <c r="E669" s="4">
        <v>0</v>
      </c>
      <c r="F669" s="4">
        <v>0</v>
      </c>
      <c r="G669" s="4">
        <v>0</v>
      </c>
      <c r="H669" s="4">
        <v>0</v>
      </c>
      <c r="I669" s="4">
        <v>0</v>
      </c>
      <c r="J669" s="4">
        <v>0</v>
      </c>
      <c r="K669" s="4">
        <v>0</v>
      </c>
      <c r="L669" s="4">
        <v>0</v>
      </c>
      <c r="M669" s="4">
        <v>0</v>
      </c>
      <c r="N669" s="4">
        <v>1</v>
      </c>
      <c r="O669" s="4">
        <v>0</v>
      </c>
      <c r="P669" s="51">
        <f>IFERROR(_xlfn.XLOOKUP(_xlfn.TEXTJOIN(,,D668:O668),Aux!$B$3:$B$4098,'Truth Table'!$N$3:$N$4098),P668)</f>
        <v>7</v>
      </c>
      <c r="Q669" s="4" t="b" cm="1">
        <f t="array" ref="Q669:U669">IFERROR(_xlfn.XLOOKUP(_xlfn.TEXTJOIN(,,D669:O669),Aux!$B$3:$B$4098,'Truth Table'!$O$3:$S$4098)=1,FALSE)</f>
        <v>0</v>
      </c>
      <c r="R669" s="4" t="b">
        <v>0</v>
      </c>
      <c r="S669" s="4" t="b">
        <v>0</v>
      </c>
      <c r="T669" s="4" t="b">
        <v>0</v>
      </c>
      <c r="U669" s="4" t="b">
        <v>0</v>
      </c>
      <c r="V669" s="4" t="b">
        <f>AND(_xlfn.XLOOKUP(_xlfn.TEXTJOIN(,,D669:O669),Aux!$B$3:$B$4098,'Truth Table'!$T$3:$T$4098)=1,P668&lt;='Line Follower'!$C$7)</f>
        <v>0</v>
      </c>
      <c r="W669" s="4" t="b">
        <f>AND(_xlfn.XLOOKUP(_xlfn.TEXTJOIN(,,D669:O669),Aux!$B$3:$B$4098,'Truth Table'!$U$3:$U$4098)=1,P668&gt;='Line Follower'!$C$6)</f>
        <v>1</v>
      </c>
      <c r="X669" s="4" t="b">
        <f>IFERROR(AND(_xlfn.XLOOKUP(_xlfn.TEXTJOIN(,,D669:O669),Aux!$B$3:$B$4098,'Truth Table'!$V$3:$V$4098)=1,ABS(P668)&lt;='Line Follower'!$C$6),FALSE)</f>
        <v>0</v>
      </c>
      <c r="Y669" s="4" t="b">
        <f t="shared" si="10"/>
        <v>1</v>
      </c>
    </row>
    <row r="670" spans="2:25" x14ac:dyDescent="0.25">
      <c r="B670" s="4">
        <v>667</v>
      </c>
      <c r="C670" s="4">
        <v>5678</v>
      </c>
      <c r="D670" s="4">
        <v>0</v>
      </c>
      <c r="E670" s="4">
        <v>0</v>
      </c>
      <c r="F670" s="4">
        <v>0</v>
      </c>
      <c r="G670" s="4">
        <v>0</v>
      </c>
      <c r="H670" s="4">
        <v>0</v>
      </c>
      <c r="I670" s="4">
        <v>0</v>
      </c>
      <c r="J670" s="4">
        <v>0</v>
      </c>
      <c r="K670" s="4">
        <v>0</v>
      </c>
      <c r="L670" s="4">
        <v>0</v>
      </c>
      <c r="M670" s="4">
        <v>0</v>
      </c>
      <c r="N670" s="4">
        <v>1</v>
      </c>
      <c r="O670" s="4">
        <v>0</v>
      </c>
      <c r="P670" s="51">
        <f>IFERROR(_xlfn.XLOOKUP(_xlfn.TEXTJOIN(,,D669:O669),Aux!$B$3:$B$4098,'Truth Table'!$N$3:$N$4098),P669)</f>
        <v>7</v>
      </c>
      <c r="Q670" s="4" t="b" cm="1">
        <f t="array" ref="Q670:U670">IFERROR(_xlfn.XLOOKUP(_xlfn.TEXTJOIN(,,D670:O670),Aux!$B$3:$B$4098,'Truth Table'!$O$3:$S$4098)=1,FALSE)</f>
        <v>0</v>
      </c>
      <c r="R670" s="4" t="b">
        <v>0</v>
      </c>
      <c r="S670" s="4" t="b">
        <v>0</v>
      </c>
      <c r="T670" s="4" t="b">
        <v>0</v>
      </c>
      <c r="U670" s="4" t="b">
        <v>0</v>
      </c>
      <c r="V670" s="4" t="b">
        <f>AND(_xlfn.XLOOKUP(_xlfn.TEXTJOIN(,,D670:O670),Aux!$B$3:$B$4098,'Truth Table'!$T$3:$T$4098)=1,P669&lt;='Line Follower'!$C$7)</f>
        <v>0</v>
      </c>
      <c r="W670" s="4" t="b">
        <f>AND(_xlfn.XLOOKUP(_xlfn.TEXTJOIN(,,D670:O670),Aux!$B$3:$B$4098,'Truth Table'!$U$3:$U$4098)=1,P669&gt;='Line Follower'!$C$6)</f>
        <v>1</v>
      </c>
      <c r="X670" s="4" t="b">
        <f>IFERROR(AND(_xlfn.XLOOKUP(_xlfn.TEXTJOIN(,,D670:O670),Aux!$B$3:$B$4098,'Truth Table'!$V$3:$V$4098)=1,ABS(P669)&lt;='Line Follower'!$C$6),FALSE)</f>
        <v>0</v>
      </c>
      <c r="Y670" s="4" t="b">
        <f t="shared" si="10"/>
        <v>1</v>
      </c>
    </row>
    <row r="671" spans="2:25" x14ac:dyDescent="0.25">
      <c r="B671" s="4">
        <v>668</v>
      </c>
      <c r="C671" s="4">
        <v>5683</v>
      </c>
      <c r="D671" s="4">
        <v>0</v>
      </c>
      <c r="E671" s="4">
        <v>0</v>
      </c>
      <c r="F671" s="4">
        <v>0</v>
      </c>
      <c r="G671" s="4">
        <v>0</v>
      </c>
      <c r="H671" s="4">
        <v>0</v>
      </c>
      <c r="I671" s="4">
        <v>0</v>
      </c>
      <c r="J671" s="4">
        <v>0</v>
      </c>
      <c r="K671" s="4">
        <v>0</v>
      </c>
      <c r="L671" s="4">
        <v>0</v>
      </c>
      <c r="M671" s="4">
        <v>0</v>
      </c>
      <c r="N671" s="4">
        <v>0</v>
      </c>
      <c r="O671" s="4">
        <v>0</v>
      </c>
      <c r="P671" s="51">
        <f>IFERROR(_xlfn.XLOOKUP(_xlfn.TEXTJOIN(,,D670:O670),Aux!$B$3:$B$4098,'Truth Table'!$N$3:$N$4098),P670)</f>
        <v>7</v>
      </c>
      <c r="Q671" s="4" t="b" cm="1">
        <f t="array" ref="Q671:U671">IFERROR(_xlfn.XLOOKUP(_xlfn.TEXTJOIN(,,D671:O671),Aux!$B$3:$B$4098,'Truth Table'!$O$3:$S$4098)=1,FALSE)</f>
        <v>0</v>
      </c>
      <c r="R671" s="4" t="b">
        <v>0</v>
      </c>
      <c r="S671" s="4" t="b">
        <v>0</v>
      </c>
      <c r="T671" s="4" t="b">
        <v>0</v>
      </c>
      <c r="U671" s="4" t="b">
        <v>0</v>
      </c>
      <c r="V671" s="4" t="b">
        <f>AND(_xlfn.XLOOKUP(_xlfn.TEXTJOIN(,,D671:O671),Aux!$B$3:$B$4098,'Truth Table'!$T$3:$T$4098)=1,P670&lt;='Line Follower'!$C$7)</f>
        <v>0</v>
      </c>
      <c r="W671" s="4" t="b">
        <f>AND(_xlfn.XLOOKUP(_xlfn.TEXTJOIN(,,D671:O671),Aux!$B$3:$B$4098,'Truth Table'!$U$3:$U$4098)=1,P670&gt;='Line Follower'!$C$6)</f>
        <v>1</v>
      </c>
      <c r="X671" s="4" t="b">
        <f>IFERROR(AND(_xlfn.XLOOKUP(_xlfn.TEXTJOIN(,,D671:O671),Aux!$B$3:$B$4098,'Truth Table'!$V$3:$V$4098)=1,ABS(P670)&lt;='Line Follower'!$C$6),FALSE)</f>
        <v>1</v>
      </c>
      <c r="Y671" s="4" t="b">
        <f t="shared" si="10"/>
        <v>1</v>
      </c>
    </row>
    <row r="672" spans="2:25" x14ac:dyDescent="0.25">
      <c r="B672" s="4">
        <v>669</v>
      </c>
      <c r="C672" s="4">
        <v>5697</v>
      </c>
      <c r="D672" s="4">
        <v>0</v>
      </c>
      <c r="E672" s="4">
        <v>0</v>
      </c>
      <c r="F672" s="4">
        <v>0</v>
      </c>
      <c r="G672" s="4">
        <v>0</v>
      </c>
      <c r="H672" s="4">
        <v>0</v>
      </c>
      <c r="I672" s="4">
        <v>0</v>
      </c>
      <c r="J672" s="4">
        <v>0</v>
      </c>
      <c r="K672" s="4">
        <v>0</v>
      </c>
      <c r="L672" s="4">
        <v>0</v>
      </c>
      <c r="M672" s="4">
        <v>0</v>
      </c>
      <c r="N672" s="4">
        <v>0</v>
      </c>
      <c r="O672" s="4">
        <v>0</v>
      </c>
      <c r="P672" s="51">
        <f>IFERROR(_xlfn.XLOOKUP(_xlfn.TEXTJOIN(,,D671:O671),Aux!$B$3:$B$4098,'Truth Table'!$N$3:$N$4098),P671)</f>
        <v>7</v>
      </c>
      <c r="Q672" s="4" t="b" cm="1">
        <f t="array" ref="Q672:U672">IFERROR(_xlfn.XLOOKUP(_xlfn.TEXTJOIN(,,D672:O672),Aux!$B$3:$B$4098,'Truth Table'!$O$3:$S$4098)=1,FALSE)</f>
        <v>0</v>
      </c>
      <c r="R672" s="4" t="b">
        <v>0</v>
      </c>
      <c r="S672" s="4" t="b">
        <v>0</v>
      </c>
      <c r="T672" s="4" t="b">
        <v>0</v>
      </c>
      <c r="U672" s="4" t="b">
        <v>0</v>
      </c>
      <c r="V672" s="4" t="b">
        <f>AND(_xlfn.XLOOKUP(_xlfn.TEXTJOIN(,,D672:O672),Aux!$B$3:$B$4098,'Truth Table'!$T$3:$T$4098)=1,P671&lt;='Line Follower'!$C$7)</f>
        <v>0</v>
      </c>
      <c r="W672" s="4" t="b">
        <f>AND(_xlfn.XLOOKUP(_xlfn.TEXTJOIN(,,D672:O672),Aux!$B$3:$B$4098,'Truth Table'!$U$3:$U$4098)=1,P671&gt;='Line Follower'!$C$6)</f>
        <v>1</v>
      </c>
      <c r="X672" s="4" t="b">
        <f>IFERROR(AND(_xlfn.XLOOKUP(_xlfn.TEXTJOIN(,,D672:O672),Aux!$B$3:$B$4098,'Truth Table'!$V$3:$V$4098)=1,ABS(P671)&lt;='Line Follower'!$C$6),FALSE)</f>
        <v>1</v>
      </c>
      <c r="Y672" s="4" t="b">
        <f t="shared" si="10"/>
        <v>1</v>
      </c>
    </row>
    <row r="673" spans="2:25" x14ac:dyDescent="0.25">
      <c r="B673" s="4">
        <v>670</v>
      </c>
      <c r="C673" s="4">
        <v>5706</v>
      </c>
      <c r="D673" s="4">
        <v>0</v>
      </c>
      <c r="E673" s="4">
        <v>0</v>
      </c>
      <c r="F673" s="4">
        <v>0</v>
      </c>
      <c r="G673" s="4">
        <v>0</v>
      </c>
      <c r="H673" s="4">
        <v>0</v>
      </c>
      <c r="I673" s="4">
        <v>0</v>
      </c>
      <c r="J673" s="4">
        <v>0</v>
      </c>
      <c r="K673" s="4">
        <v>0</v>
      </c>
      <c r="L673" s="4">
        <v>0</v>
      </c>
      <c r="M673" s="4">
        <v>0</v>
      </c>
      <c r="N673" s="4">
        <v>0</v>
      </c>
      <c r="O673" s="4">
        <v>0</v>
      </c>
      <c r="P673" s="51">
        <f>IFERROR(_xlfn.XLOOKUP(_xlfn.TEXTJOIN(,,D672:O672),Aux!$B$3:$B$4098,'Truth Table'!$N$3:$N$4098),P672)</f>
        <v>7</v>
      </c>
      <c r="Q673" s="4" t="b" cm="1">
        <f t="array" ref="Q673:U673">IFERROR(_xlfn.XLOOKUP(_xlfn.TEXTJOIN(,,D673:O673),Aux!$B$3:$B$4098,'Truth Table'!$O$3:$S$4098)=1,FALSE)</f>
        <v>0</v>
      </c>
      <c r="R673" s="4" t="b">
        <v>0</v>
      </c>
      <c r="S673" s="4" t="b">
        <v>0</v>
      </c>
      <c r="T673" s="4" t="b">
        <v>0</v>
      </c>
      <c r="U673" s="4" t="b">
        <v>0</v>
      </c>
      <c r="V673" s="4" t="b">
        <f>AND(_xlfn.XLOOKUP(_xlfn.TEXTJOIN(,,D673:O673),Aux!$B$3:$B$4098,'Truth Table'!$T$3:$T$4098)=1,P672&lt;='Line Follower'!$C$7)</f>
        <v>0</v>
      </c>
      <c r="W673" s="4" t="b">
        <f>AND(_xlfn.XLOOKUP(_xlfn.TEXTJOIN(,,D673:O673),Aux!$B$3:$B$4098,'Truth Table'!$U$3:$U$4098)=1,P672&gt;='Line Follower'!$C$6)</f>
        <v>1</v>
      </c>
      <c r="X673" s="4" t="b">
        <f>IFERROR(AND(_xlfn.XLOOKUP(_xlfn.TEXTJOIN(,,D673:O673),Aux!$B$3:$B$4098,'Truth Table'!$V$3:$V$4098)=1,ABS(P672)&lt;='Line Follower'!$C$6),FALSE)</f>
        <v>1</v>
      </c>
      <c r="Y673" s="4" t="b">
        <f t="shared" si="10"/>
        <v>1</v>
      </c>
    </row>
    <row r="674" spans="2:25" x14ac:dyDescent="0.25">
      <c r="B674" s="4">
        <v>671</v>
      </c>
      <c r="C674" s="4">
        <v>5719</v>
      </c>
      <c r="D674" s="4">
        <v>0</v>
      </c>
      <c r="E674" s="4">
        <v>0</v>
      </c>
      <c r="F674" s="4">
        <v>0</v>
      </c>
      <c r="G674" s="4">
        <v>0</v>
      </c>
      <c r="H674" s="4">
        <v>0</v>
      </c>
      <c r="I674" s="4">
        <v>0</v>
      </c>
      <c r="J674" s="4">
        <v>0</v>
      </c>
      <c r="K674" s="4">
        <v>0</v>
      </c>
      <c r="L674" s="4">
        <v>0</v>
      </c>
      <c r="M674" s="4">
        <v>0</v>
      </c>
      <c r="N674" s="4">
        <v>0</v>
      </c>
      <c r="O674" s="4">
        <v>0</v>
      </c>
      <c r="P674" s="51">
        <f>IFERROR(_xlfn.XLOOKUP(_xlfn.TEXTJOIN(,,D673:O673),Aux!$B$3:$B$4098,'Truth Table'!$N$3:$N$4098),P673)</f>
        <v>7</v>
      </c>
      <c r="Q674" s="4" t="b" cm="1">
        <f t="array" ref="Q674:U674">IFERROR(_xlfn.XLOOKUP(_xlfn.TEXTJOIN(,,D674:O674),Aux!$B$3:$B$4098,'Truth Table'!$O$3:$S$4098)=1,FALSE)</f>
        <v>0</v>
      </c>
      <c r="R674" s="4" t="b">
        <v>0</v>
      </c>
      <c r="S674" s="4" t="b">
        <v>0</v>
      </c>
      <c r="T674" s="4" t="b">
        <v>0</v>
      </c>
      <c r="U674" s="4" t="b">
        <v>0</v>
      </c>
      <c r="V674" s="4" t="b">
        <f>AND(_xlfn.XLOOKUP(_xlfn.TEXTJOIN(,,D674:O674),Aux!$B$3:$B$4098,'Truth Table'!$T$3:$T$4098)=1,P673&lt;='Line Follower'!$C$7)</f>
        <v>0</v>
      </c>
      <c r="W674" s="4" t="b">
        <f>AND(_xlfn.XLOOKUP(_xlfn.TEXTJOIN(,,D674:O674),Aux!$B$3:$B$4098,'Truth Table'!$U$3:$U$4098)=1,P673&gt;='Line Follower'!$C$6)</f>
        <v>1</v>
      </c>
      <c r="X674" s="4" t="b">
        <f>IFERROR(AND(_xlfn.XLOOKUP(_xlfn.TEXTJOIN(,,D674:O674),Aux!$B$3:$B$4098,'Truth Table'!$V$3:$V$4098)=1,ABS(P673)&lt;='Line Follower'!$C$6),FALSE)</f>
        <v>1</v>
      </c>
      <c r="Y674" s="4" t="b">
        <f t="shared" si="10"/>
        <v>1</v>
      </c>
    </row>
    <row r="675" spans="2:25" x14ac:dyDescent="0.25">
      <c r="B675" s="4">
        <v>672</v>
      </c>
      <c r="C675" s="4">
        <v>5726</v>
      </c>
      <c r="D675" s="4">
        <v>0</v>
      </c>
      <c r="E675" s="4">
        <v>0</v>
      </c>
      <c r="F675" s="4">
        <v>0</v>
      </c>
      <c r="G675" s="4">
        <v>0</v>
      </c>
      <c r="H675" s="4">
        <v>0</v>
      </c>
      <c r="I675" s="4">
        <v>0</v>
      </c>
      <c r="J675" s="4">
        <v>0</v>
      </c>
      <c r="K675" s="4">
        <v>0</v>
      </c>
      <c r="L675" s="4">
        <v>0</v>
      </c>
      <c r="M675" s="4">
        <v>0</v>
      </c>
      <c r="N675" s="4">
        <v>0</v>
      </c>
      <c r="O675" s="4">
        <v>0</v>
      </c>
      <c r="P675" s="51">
        <f>IFERROR(_xlfn.XLOOKUP(_xlfn.TEXTJOIN(,,D674:O674),Aux!$B$3:$B$4098,'Truth Table'!$N$3:$N$4098),P674)</f>
        <v>7</v>
      </c>
      <c r="Q675" s="4" t="b" cm="1">
        <f t="array" ref="Q675:U675">IFERROR(_xlfn.XLOOKUP(_xlfn.TEXTJOIN(,,D675:O675),Aux!$B$3:$B$4098,'Truth Table'!$O$3:$S$4098)=1,FALSE)</f>
        <v>0</v>
      </c>
      <c r="R675" s="4" t="b">
        <v>0</v>
      </c>
      <c r="S675" s="4" t="b">
        <v>0</v>
      </c>
      <c r="T675" s="4" t="b">
        <v>0</v>
      </c>
      <c r="U675" s="4" t="b">
        <v>0</v>
      </c>
      <c r="V675" s="4" t="b">
        <f>AND(_xlfn.XLOOKUP(_xlfn.TEXTJOIN(,,D675:O675),Aux!$B$3:$B$4098,'Truth Table'!$T$3:$T$4098)=1,P674&lt;='Line Follower'!$C$7)</f>
        <v>0</v>
      </c>
      <c r="W675" s="4" t="b">
        <f>AND(_xlfn.XLOOKUP(_xlfn.TEXTJOIN(,,D675:O675),Aux!$B$3:$B$4098,'Truth Table'!$U$3:$U$4098)=1,P674&gt;='Line Follower'!$C$6)</f>
        <v>1</v>
      </c>
      <c r="X675" s="4" t="b">
        <f>IFERROR(AND(_xlfn.XLOOKUP(_xlfn.TEXTJOIN(,,D675:O675),Aux!$B$3:$B$4098,'Truth Table'!$V$3:$V$4098)=1,ABS(P674)&lt;='Line Follower'!$C$6),FALSE)</f>
        <v>1</v>
      </c>
      <c r="Y675" s="4" t="b">
        <f t="shared" si="10"/>
        <v>1</v>
      </c>
    </row>
    <row r="676" spans="2:25" x14ac:dyDescent="0.25">
      <c r="B676" s="4">
        <v>673</v>
      </c>
      <c r="C676" s="4">
        <v>5739</v>
      </c>
      <c r="D676" s="4">
        <v>0</v>
      </c>
      <c r="E676" s="4">
        <v>0</v>
      </c>
      <c r="F676" s="4">
        <v>0</v>
      </c>
      <c r="G676" s="4">
        <v>0</v>
      </c>
      <c r="H676" s="4">
        <v>0</v>
      </c>
      <c r="I676" s="4">
        <v>0</v>
      </c>
      <c r="J676" s="4">
        <v>0</v>
      </c>
      <c r="K676" s="4">
        <v>0</v>
      </c>
      <c r="L676" s="4">
        <v>0</v>
      </c>
      <c r="M676" s="4">
        <v>0</v>
      </c>
      <c r="N676" s="4">
        <v>0</v>
      </c>
      <c r="O676" s="4">
        <v>0</v>
      </c>
      <c r="P676" s="51">
        <f>IFERROR(_xlfn.XLOOKUP(_xlfn.TEXTJOIN(,,D675:O675),Aux!$B$3:$B$4098,'Truth Table'!$N$3:$N$4098),P675)</f>
        <v>7</v>
      </c>
      <c r="Q676" s="4" t="b" cm="1">
        <f t="array" ref="Q676:U676">IFERROR(_xlfn.XLOOKUP(_xlfn.TEXTJOIN(,,D676:O676),Aux!$B$3:$B$4098,'Truth Table'!$O$3:$S$4098)=1,FALSE)</f>
        <v>0</v>
      </c>
      <c r="R676" s="4" t="b">
        <v>0</v>
      </c>
      <c r="S676" s="4" t="b">
        <v>0</v>
      </c>
      <c r="T676" s="4" t="b">
        <v>0</v>
      </c>
      <c r="U676" s="4" t="b">
        <v>0</v>
      </c>
      <c r="V676" s="4" t="b">
        <f>AND(_xlfn.XLOOKUP(_xlfn.TEXTJOIN(,,D676:O676),Aux!$B$3:$B$4098,'Truth Table'!$T$3:$T$4098)=1,P675&lt;='Line Follower'!$C$7)</f>
        <v>0</v>
      </c>
      <c r="W676" s="4" t="b">
        <f>AND(_xlfn.XLOOKUP(_xlfn.TEXTJOIN(,,D676:O676),Aux!$B$3:$B$4098,'Truth Table'!$U$3:$U$4098)=1,P675&gt;='Line Follower'!$C$6)</f>
        <v>1</v>
      </c>
      <c r="X676" s="4" t="b">
        <f>IFERROR(AND(_xlfn.XLOOKUP(_xlfn.TEXTJOIN(,,D676:O676),Aux!$B$3:$B$4098,'Truth Table'!$V$3:$V$4098)=1,ABS(P675)&lt;='Line Follower'!$C$6),FALSE)</f>
        <v>1</v>
      </c>
      <c r="Y676" s="4" t="b">
        <f t="shared" si="10"/>
        <v>1</v>
      </c>
    </row>
    <row r="677" spans="2:25" x14ac:dyDescent="0.25">
      <c r="B677" s="4">
        <v>674</v>
      </c>
      <c r="C677" s="4">
        <v>5748</v>
      </c>
      <c r="D677" s="4">
        <v>0</v>
      </c>
      <c r="E677" s="4">
        <v>0</v>
      </c>
      <c r="F677" s="4">
        <v>0</v>
      </c>
      <c r="G677" s="4">
        <v>0</v>
      </c>
      <c r="H677" s="4">
        <v>0</v>
      </c>
      <c r="I677" s="4">
        <v>0</v>
      </c>
      <c r="J677" s="4">
        <v>0</v>
      </c>
      <c r="K677" s="4">
        <v>0</v>
      </c>
      <c r="L677" s="4">
        <v>0</v>
      </c>
      <c r="M677" s="4">
        <v>0</v>
      </c>
      <c r="N677" s="4">
        <v>0</v>
      </c>
      <c r="O677" s="4">
        <v>0</v>
      </c>
      <c r="P677" s="51">
        <f>IFERROR(_xlfn.XLOOKUP(_xlfn.TEXTJOIN(,,D676:O676),Aux!$B$3:$B$4098,'Truth Table'!$N$3:$N$4098),P676)</f>
        <v>7</v>
      </c>
      <c r="Q677" s="4" t="b" cm="1">
        <f t="array" ref="Q677:U677">IFERROR(_xlfn.XLOOKUP(_xlfn.TEXTJOIN(,,D677:O677),Aux!$B$3:$B$4098,'Truth Table'!$O$3:$S$4098)=1,FALSE)</f>
        <v>0</v>
      </c>
      <c r="R677" s="4" t="b">
        <v>0</v>
      </c>
      <c r="S677" s="4" t="b">
        <v>0</v>
      </c>
      <c r="T677" s="4" t="b">
        <v>0</v>
      </c>
      <c r="U677" s="4" t="b">
        <v>0</v>
      </c>
      <c r="V677" s="4" t="b">
        <f>AND(_xlfn.XLOOKUP(_xlfn.TEXTJOIN(,,D677:O677),Aux!$B$3:$B$4098,'Truth Table'!$T$3:$T$4098)=1,P676&lt;='Line Follower'!$C$7)</f>
        <v>0</v>
      </c>
      <c r="W677" s="4" t="b">
        <f>AND(_xlfn.XLOOKUP(_xlfn.TEXTJOIN(,,D677:O677),Aux!$B$3:$B$4098,'Truth Table'!$U$3:$U$4098)=1,P676&gt;='Line Follower'!$C$6)</f>
        <v>1</v>
      </c>
      <c r="X677" s="4" t="b">
        <f>IFERROR(AND(_xlfn.XLOOKUP(_xlfn.TEXTJOIN(,,D677:O677),Aux!$B$3:$B$4098,'Truth Table'!$V$3:$V$4098)=1,ABS(P676)&lt;='Line Follower'!$C$6),FALSE)</f>
        <v>1</v>
      </c>
      <c r="Y677" s="4" t="b">
        <f t="shared" si="10"/>
        <v>1</v>
      </c>
    </row>
    <row r="678" spans="2:25" x14ac:dyDescent="0.25">
      <c r="B678" s="4">
        <v>675</v>
      </c>
      <c r="C678" s="4">
        <v>5749</v>
      </c>
      <c r="D678" s="4">
        <v>0</v>
      </c>
      <c r="E678" s="4">
        <v>0</v>
      </c>
      <c r="F678" s="4">
        <v>0</v>
      </c>
      <c r="G678" s="4">
        <v>0</v>
      </c>
      <c r="H678" s="4">
        <v>0</v>
      </c>
      <c r="I678" s="4">
        <v>0</v>
      </c>
      <c r="J678" s="4">
        <v>0</v>
      </c>
      <c r="K678" s="4">
        <v>0</v>
      </c>
      <c r="L678" s="4">
        <v>0</v>
      </c>
      <c r="M678" s="4">
        <v>0</v>
      </c>
      <c r="N678" s="4">
        <v>0</v>
      </c>
      <c r="O678" s="4">
        <v>0</v>
      </c>
      <c r="P678" s="51">
        <f>IFERROR(_xlfn.XLOOKUP(_xlfn.TEXTJOIN(,,D677:O677),Aux!$B$3:$B$4098,'Truth Table'!$N$3:$N$4098),P677)</f>
        <v>7</v>
      </c>
      <c r="Q678" s="4" t="b" cm="1">
        <f t="array" ref="Q678:U678">IFERROR(_xlfn.XLOOKUP(_xlfn.TEXTJOIN(,,D678:O678),Aux!$B$3:$B$4098,'Truth Table'!$O$3:$S$4098)=1,FALSE)</f>
        <v>0</v>
      </c>
      <c r="R678" s="4" t="b">
        <v>0</v>
      </c>
      <c r="S678" s="4" t="b">
        <v>0</v>
      </c>
      <c r="T678" s="4" t="b">
        <v>0</v>
      </c>
      <c r="U678" s="4" t="b">
        <v>0</v>
      </c>
      <c r="V678" s="4" t="b">
        <f>AND(_xlfn.XLOOKUP(_xlfn.TEXTJOIN(,,D678:O678),Aux!$B$3:$B$4098,'Truth Table'!$T$3:$T$4098)=1,P677&lt;='Line Follower'!$C$7)</f>
        <v>0</v>
      </c>
      <c r="W678" s="4" t="b">
        <f>AND(_xlfn.XLOOKUP(_xlfn.TEXTJOIN(,,D678:O678),Aux!$B$3:$B$4098,'Truth Table'!$U$3:$U$4098)=1,P677&gt;='Line Follower'!$C$6)</f>
        <v>1</v>
      </c>
      <c r="X678" s="4" t="b">
        <f>IFERROR(AND(_xlfn.XLOOKUP(_xlfn.TEXTJOIN(,,D678:O678),Aux!$B$3:$B$4098,'Truth Table'!$V$3:$V$4098)=1,ABS(P677)&lt;='Line Follower'!$C$6),FALSE)</f>
        <v>1</v>
      </c>
      <c r="Y678" s="4" t="b">
        <f t="shared" si="10"/>
        <v>1</v>
      </c>
    </row>
    <row r="679" spans="2:25" x14ac:dyDescent="0.25">
      <c r="B679" s="4">
        <v>676</v>
      </c>
      <c r="C679" s="4">
        <v>5757</v>
      </c>
      <c r="D679" s="4">
        <v>0</v>
      </c>
      <c r="E679" s="4">
        <v>0</v>
      </c>
      <c r="F679" s="4">
        <v>0</v>
      </c>
      <c r="G679" s="4">
        <v>0</v>
      </c>
      <c r="H679" s="4">
        <v>0</v>
      </c>
      <c r="I679" s="4">
        <v>0</v>
      </c>
      <c r="J679" s="4">
        <v>0</v>
      </c>
      <c r="K679" s="4">
        <v>0</v>
      </c>
      <c r="L679" s="4">
        <v>0</v>
      </c>
      <c r="M679" s="4">
        <v>0</v>
      </c>
      <c r="N679" s="4">
        <v>0</v>
      </c>
      <c r="O679" s="4">
        <v>0</v>
      </c>
      <c r="P679" s="51">
        <f>IFERROR(_xlfn.XLOOKUP(_xlfn.TEXTJOIN(,,D678:O678),Aux!$B$3:$B$4098,'Truth Table'!$N$3:$N$4098),P678)</f>
        <v>7</v>
      </c>
      <c r="Q679" s="4" t="b" cm="1">
        <f t="array" ref="Q679:U679">IFERROR(_xlfn.XLOOKUP(_xlfn.TEXTJOIN(,,D679:O679),Aux!$B$3:$B$4098,'Truth Table'!$O$3:$S$4098)=1,FALSE)</f>
        <v>0</v>
      </c>
      <c r="R679" s="4" t="b">
        <v>0</v>
      </c>
      <c r="S679" s="4" t="b">
        <v>0</v>
      </c>
      <c r="T679" s="4" t="b">
        <v>0</v>
      </c>
      <c r="U679" s="4" t="b">
        <v>0</v>
      </c>
      <c r="V679" s="4" t="b">
        <f>AND(_xlfn.XLOOKUP(_xlfn.TEXTJOIN(,,D679:O679),Aux!$B$3:$B$4098,'Truth Table'!$T$3:$T$4098)=1,P678&lt;='Line Follower'!$C$7)</f>
        <v>0</v>
      </c>
      <c r="W679" s="4" t="b">
        <f>AND(_xlfn.XLOOKUP(_xlfn.TEXTJOIN(,,D679:O679),Aux!$B$3:$B$4098,'Truth Table'!$U$3:$U$4098)=1,P678&gt;='Line Follower'!$C$6)</f>
        <v>1</v>
      </c>
      <c r="X679" s="4" t="b">
        <f>IFERROR(AND(_xlfn.XLOOKUP(_xlfn.TEXTJOIN(,,D679:O679),Aux!$B$3:$B$4098,'Truth Table'!$V$3:$V$4098)=1,ABS(P678)&lt;='Line Follower'!$C$6),FALSE)</f>
        <v>1</v>
      </c>
      <c r="Y679" s="4" t="b">
        <f t="shared" si="10"/>
        <v>1</v>
      </c>
    </row>
    <row r="680" spans="2:25" x14ac:dyDescent="0.25">
      <c r="B680" s="4">
        <v>677</v>
      </c>
      <c r="C680" s="4">
        <v>5768</v>
      </c>
      <c r="D680" s="4">
        <v>0</v>
      </c>
      <c r="E680" s="4">
        <v>0</v>
      </c>
      <c r="F680" s="4">
        <v>0</v>
      </c>
      <c r="G680" s="4">
        <v>0</v>
      </c>
      <c r="H680" s="4">
        <v>0</v>
      </c>
      <c r="I680" s="4">
        <v>0</v>
      </c>
      <c r="J680" s="4">
        <v>0</v>
      </c>
      <c r="K680" s="4">
        <v>0</v>
      </c>
      <c r="L680" s="4">
        <v>0</v>
      </c>
      <c r="M680" s="4">
        <v>0</v>
      </c>
      <c r="N680" s="4">
        <v>0</v>
      </c>
      <c r="O680" s="4">
        <v>0</v>
      </c>
      <c r="P680" s="51">
        <f>IFERROR(_xlfn.XLOOKUP(_xlfn.TEXTJOIN(,,D679:O679),Aux!$B$3:$B$4098,'Truth Table'!$N$3:$N$4098),P679)</f>
        <v>7</v>
      </c>
      <c r="Q680" s="4" t="b" cm="1">
        <f t="array" ref="Q680:U680">IFERROR(_xlfn.XLOOKUP(_xlfn.TEXTJOIN(,,D680:O680),Aux!$B$3:$B$4098,'Truth Table'!$O$3:$S$4098)=1,FALSE)</f>
        <v>0</v>
      </c>
      <c r="R680" s="4" t="b">
        <v>0</v>
      </c>
      <c r="S680" s="4" t="b">
        <v>0</v>
      </c>
      <c r="T680" s="4" t="b">
        <v>0</v>
      </c>
      <c r="U680" s="4" t="b">
        <v>0</v>
      </c>
      <c r="V680" s="4" t="b">
        <f>AND(_xlfn.XLOOKUP(_xlfn.TEXTJOIN(,,D680:O680),Aux!$B$3:$B$4098,'Truth Table'!$T$3:$T$4098)=1,P679&lt;='Line Follower'!$C$7)</f>
        <v>0</v>
      </c>
      <c r="W680" s="4" t="b">
        <f>AND(_xlfn.XLOOKUP(_xlfn.TEXTJOIN(,,D680:O680),Aux!$B$3:$B$4098,'Truth Table'!$U$3:$U$4098)=1,P679&gt;='Line Follower'!$C$6)</f>
        <v>1</v>
      </c>
      <c r="X680" s="4" t="b">
        <f>IFERROR(AND(_xlfn.XLOOKUP(_xlfn.TEXTJOIN(,,D680:O680),Aux!$B$3:$B$4098,'Truth Table'!$V$3:$V$4098)=1,ABS(P679)&lt;='Line Follower'!$C$6),FALSE)</f>
        <v>1</v>
      </c>
      <c r="Y680" s="4" t="b">
        <f t="shared" si="10"/>
        <v>1</v>
      </c>
    </row>
    <row r="681" spans="2:25" x14ac:dyDescent="0.25">
      <c r="B681" s="4">
        <v>678</v>
      </c>
      <c r="C681" s="4">
        <v>5777</v>
      </c>
      <c r="D681" s="4">
        <v>0</v>
      </c>
      <c r="E681" s="4">
        <v>0</v>
      </c>
      <c r="F681" s="4">
        <v>0</v>
      </c>
      <c r="G681" s="4">
        <v>0</v>
      </c>
      <c r="H681" s="4">
        <v>0</v>
      </c>
      <c r="I681" s="4">
        <v>0</v>
      </c>
      <c r="J681" s="4">
        <v>0</v>
      </c>
      <c r="K681" s="4">
        <v>0</v>
      </c>
      <c r="L681" s="4">
        <v>0</v>
      </c>
      <c r="M681" s="4">
        <v>0</v>
      </c>
      <c r="N681" s="4">
        <v>0</v>
      </c>
      <c r="O681" s="4">
        <v>0</v>
      </c>
      <c r="P681" s="51">
        <f>IFERROR(_xlfn.XLOOKUP(_xlfn.TEXTJOIN(,,D680:O680),Aux!$B$3:$B$4098,'Truth Table'!$N$3:$N$4098),P680)</f>
        <v>7</v>
      </c>
      <c r="Q681" s="4" t="b" cm="1">
        <f t="array" ref="Q681:U681">IFERROR(_xlfn.XLOOKUP(_xlfn.TEXTJOIN(,,D681:O681),Aux!$B$3:$B$4098,'Truth Table'!$O$3:$S$4098)=1,FALSE)</f>
        <v>0</v>
      </c>
      <c r="R681" s="4" t="b">
        <v>0</v>
      </c>
      <c r="S681" s="4" t="b">
        <v>0</v>
      </c>
      <c r="T681" s="4" t="b">
        <v>0</v>
      </c>
      <c r="U681" s="4" t="b">
        <v>0</v>
      </c>
      <c r="V681" s="4" t="b">
        <f>AND(_xlfn.XLOOKUP(_xlfn.TEXTJOIN(,,D681:O681),Aux!$B$3:$B$4098,'Truth Table'!$T$3:$T$4098)=1,P680&lt;='Line Follower'!$C$7)</f>
        <v>0</v>
      </c>
      <c r="W681" s="4" t="b">
        <f>AND(_xlfn.XLOOKUP(_xlfn.TEXTJOIN(,,D681:O681),Aux!$B$3:$B$4098,'Truth Table'!$U$3:$U$4098)=1,P680&gt;='Line Follower'!$C$6)</f>
        <v>1</v>
      </c>
      <c r="X681" s="4" t="b">
        <f>IFERROR(AND(_xlfn.XLOOKUP(_xlfn.TEXTJOIN(,,D681:O681),Aux!$B$3:$B$4098,'Truth Table'!$V$3:$V$4098)=1,ABS(P680)&lt;='Line Follower'!$C$6),FALSE)</f>
        <v>1</v>
      </c>
      <c r="Y681" s="4" t="b">
        <f t="shared" si="10"/>
        <v>1</v>
      </c>
    </row>
    <row r="682" spans="2:25" x14ac:dyDescent="0.25">
      <c r="B682" s="4">
        <v>679</v>
      </c>
      <c r="C682" s="4">
        <v>5788</v>
      </c>
      <c r="D682" s="4">
        <v>0</v>
      </c>
      <c r="E682" s="4">
        <v>0</v>
      </c>
      <c r="F682" s="4">
        <v>0</v>
      </c>
      <c r="G682" s="4">
        <v>0</v>
      </c>
      <c r="H682" s="4">
        <v>0</v>
      </c>
      <c r="I682" s="4">
        <v>0</v>
      </c>
      <c r="J682" s="4">
        <v>0</v>
      </c>
      <c r="K682" s="4">
        <v>0</v>
      </c>
      <c r="L682" s="4">
        <v>0</v>
      </c>
      <c r="M682" s="4">
        <v>0</v>
      </c>
      <c r="N682" s="4">
        <v>0</v>
      </c>
      <c r="O682" s="4">
        <v>0</v>
      </c>
      <c r="P682" s="51">
        <f>IFERROR(_xlfn.XLOOKUP(_xlfn.TEXTJOIN(,,D681:O681),Aux!$B$3:$B$4098,'Truth Table'!$N$3:$N$4098),P681)</f>
        <v>7</v>
      </c>
      <c r="Q682" s="4" t="b" cm="1">
        <f t="array" ref="Q682:U682">IFERROR(_xlfn.XLOOKUP(_xlfn.TEXTJOIN(,,D682:O682),Aux!$B$3:$B$4098,'Truth Table'!$O$3:$S$4098)=1,FALSE)</f>
        <v>0</v>
      </c>
      <c r="R682" s="4" t="b">
        <v>0</v>
      </c>
      <c r="S682" s="4" t="b">
        <v>0</v>
      </c>
      <c r="T682" s="4" t="b">
        <v>0</v>
      </c>
      <c r="U682" s="4" t="b">
        <v>0</v>
      </c>
      <c r="V682" s="4" t="b">
        <f>AND(_xlfn.XLOOKUP(_xlfn.TEXTJOIN(,,D682:O682),Aux!$B$3:$B$4098,'Truth Table'!$T$3:$T$4098)=1,P681&lt;='Line Follower'!$C$7)</f>
        <v>0</v>
      </c>
      <c r="W682" s="4" t="b">
        <f>AND(_xlfn.XLOOKUP(_xlfn.TEXTJOIN(,,D682:O682),Aux!$B$3:$B$4098,'Truth Table'!$U$3:$U$4098)=1,P681&gt;='Line Follower'!$C$6)</f>
        <v>1</v>
      </c>
      <c r="X682" s="4" t="b">
        <f>IFERROR(AND(_xlfn.XLOOKUP(_xlfn.TEXTJOIN(,,D682:O682),Aux!$B$3:$B$4098,'Truth Table'!$V$3:$V$4098)=1,ABS(P681)&lt;='Line Follower'!$C$6),FALSE)</f>
        <v>1</v>
      </c>
      <c r="Y682" s="4" t="b">
        <f t="shared" si="10"/>
        <v>1</v>
      </c>
    </row>
    <row r="683" spans="2:25" x14ac:dyDescent="0.25">
      <c r="B683" s="4">
        <v>680</v>
      </c>
      <c r="C683" s="4">
        <v>5802</v>
      </c>
      <c r="D683" s="4">
        <v>0</v>
      </c>
      <c r="E683" s="4">
        <v>0</v>
      </c>
      <c r="F683" s="4">
        <v>0</v>
      </c>
      <c r="G683" s="4">
        <v>0</v>
      </c>
      <c r="H683" s="4">
        <v>0</v>
      </c>
      <c r="I683" s="4">
        <v>0</v>
      </c>
      <c r="J683" s="4">
        <v>0</v>
      </c>
      <c r="K683" s="4">
        <v>0</v>
      </c>
      <c r="L683" s="4">
        <v>0</v>
      </c>
      <c r="M683" s="4">
        <v>0</v>
      </c>
      <c r="N683" s="4">
        <v>0</v>
      </c>
      <c r="O683" s="4">
        <v>0</v>
      </c>
      <c r="P683" s="51">
        <f>IFERROR(_xlfn.XLOOKUP(_xlfn.TEXTJOIN(,,D682:O682),Aux!$B$3:$B$4098,'Truth Table'!$N$3:$N$4098),P682)</f>
        <v>7</v>
      </c>
      <c r="Q683" s="4" t="b" cm="1">
        <f t="array" ref="Q683:U683">IFERROR(_xlfn.XLOOKUP(_xlfn.TEXTJOIN(,,D683:O683),Aux!$B$3:$B$4098,'Truth Table'!$O$3:$S$4098)=1,FALSE)</f>
        <v>0</v>
      </c>
      <c r="R683" s="4" t="b">
        <v>0</v>
      </c>
      <c r="S683" s="4" t="b">
        <v>0</v>
      </c>
      <c r="T683" s="4" t="b">
        <v>0</v>
      </c>
      <c r="U683" s="4" t="b">
        <v>0</v>
      </c>
      <c r="V683" s="4" t="b">
        <f>AND(_xlfn.XLOOKUP(_xlfn.TEXTJOIN(,,D683:O683),Aux!$B$3:$B$4098,'Truth Table'!$T$3:$T$4098)=1,P682&lt;='Line Follower'!$C$7)</f>
        <v>0</v>
      </c>
      <c r="W683" s="4" t="b">
        <f>AND(_xlfn.XLOOKUP(_xlfn.TEXTJOIN(,,D683:O683),Aux!$B$3:$B$4098,'Truth Table'!$U$3:$U$4098)=1,P682&gt;='Line Follower'!$C$6)</f>
        <v>1</v>
      </c>
      <c r="X683" s="4" t="b">
        <f>IFERROR(AND(_xlfn.XLOOKUP(_xlfn.TEXTJOIN(,,D683:O683),Aux!$B$3:$B$4098,'Truth Table'!$V$3:$V$4098)=1,ABS(P682)&lt;='Line Follower'!$C$6),FALSE)</f>
        <v>1</v>
      </c>
      <c r="Y683" s="4" t="b">
        <f t="shared" si="10"/>
        <v>1</v>
      </c>
    </row>
    <row r="684" spans="2:25" x14ac:dyDescent="0.25">
      <c r="B684" s="4">
        <v>681</v>
      </c>
      <c r="C684" s="4">
        <v>5808</v>
      </c>
      <c r="D684" s="4">
        <v>0</v>
      </c>
      <c r="E684" s="4">
        <v>0</v>
      </c>
      <c r="F684" s="4">
        <v>0</v>
      </c>
      <c r="G684" s="4">
        <v>0</v>
      </c>
      <c r="H684" s="4">
        <v>0</v>
      </c>
      <c r="I684" s="4">
        <v>0</v>
      </c>
      <c r="J684" s="4">
        <v>0</v>
      </c>
      <c r="K684" s="4">
        <v>0</v>
      </c>
      <c r="L684" s="4">
        <v>0</v>
      </c>
      <c r="M684" s="4">
        <v>1</v>
      </c>
      <c r="N684" s="4">
        <v>0</v>
      </c>
      <c r="O684" s="4">
        <v>0</v>
      </c>
      <c r="P684" s="51">
        <f>IFERROR(_xlfn.XLOOKUP(_xlfn.TEXTJOIN(,,D683:O683),Aux!$B$3:$B$4098,'Truth Table'!$N$3:$N$4098),P683)</f>
        <v>7</v>
      </c>
      <c r="Q684" s="4" t="b" cm="1">
        <f t="array" ref="Q684:U684">IFERROR(_xlfn.XLOOKUP(_xlfn.TEXTJOIN(,,D684:O684),Aux!$B$3:$B$4098,'Truth Table'!$O$3:$S$4098)=1,FALSE)</f>
        <v>1</v>
      </c>
      <c r="R684" s="4" t="b">
        <v>0</v>
      </c>
      <c r="S684" s="4" t="b">
        <v>0</v>
      </c>
      <c r="T684" s="4" t="b">
        <v>0</v>
      </c>
      <c r="U684" s="4" t="b">
        <v>0</v>
      </c>
      <c r="V684" s="4" t="b">
        <f>AND(_xlfn.XLOOKUP(_xlfn.TEXTJOIN(,,D684:O684),Aux!$B$3:$B$4098,'Truth Table'!$T$3:$T$4098)=1,P683&lt;='Line Follower'!$C$7)</f>
        <v>0</v>
      </c>
      <c r="W684" s="4" t="b">
        <f>AND(_xlfn.XLOOKUP(_xlfn.TEXTJOIN(,,D684:O684),Aux!$B$3:$B$4098,'Truth Table'!$U$3:$U$4098)=1,P683&gt;='Line Follower'!$C$6)</f>
        <v>0</v>
      </c>
      <c r="X684" s="4" t="b">
        <f>IFERROR(AND(_xlfn.XLOOKUP(_xlfn.TEXTJOIN(,,D684:O684),Aux!$B$3:$B$4098,'Truth Table'!$V$3:$V$4098)=1,ABS(P683)&lt;='Line Follower'!$C$6),FALSE)</f>
        <v>0</v>
      </c>
      <c r="Y684" s="4" t="b">
        <f t="shared" si="10"/>
        <v>1</v>
      </c>
    </row>
    <row r="685" spans="2:25" x14ac:dyDescent="0.25">
      <c r="B685" s="4">
        <v>682</v>
      </c>
      <c r="C685" s="4">
        <v>5822</v>
      </c>
      <c r="D685" s="4">
        <v>0</v>
      </c>
      <c r="E685" s="4">
        <v>0</v>
      </c>
      <c r="F685" s="4">
        <v>0</v>
      </c>
      <c r="G685" s="4">
        <v>0</v>
      </c>
      <c r="H685" s="4">
        <v>0</v>
      </c>
      <c r="I685" s="4">
        <v>0</v>
      </c>
      <c r="J685" s="4">
        <v>0</v>
      </c>
      <c r="K685" s="4">
        <v>0</v>
      </c>
      <c r="L685" s="4">
        <v>0</v>
      </c>
      <c r="M685" s="4">
        <v>1</v>
      </c>
      <c r="N685" s="4">
        <v>0</v>
      </c>
      <c r="O685" s="4">
        <v>0</v>
      </c>
      <c r="P685" s="51">
        <f>IFERROR(_xlfn.XLOOKUP(_xlfn.TEXTJOIN(,,D684:O684),Aux!$B$3:$B$4098,'Truth Table'!$N$3:$N$4098),P684)</f>
        <v>7</v>
      </c>
      <c r="Q685" s="4" t="b" cm="1">
        <f t="array" ref="Q685:U685">IFERROR(_xlfn.XLOOKUP(_xlfn.TEXTJOIN(,,D685:O685),Aux!$B$3:$B$4098,'Truth Table'!$O$3:$S$4098)=1,FALSE)</f>
        <v>1</v>
      </c>
      <c r="R685" s="4" t="b">
        <v>0</v>
      </c>
      <c r="S685" s="4" t="b">
        <v>0</v>
      </c>
      <c r="T685" s="4" t="b">
        <v>0</v>
      </c>
      <c r="U685" s="4" t="b">
        <v>0</v>
      </c>
      <c r="V685" s="4" t="b">
        <f>AND(_xlfn.XLOOKUP(_xlfn.TEXTJOIN(,,D685:O685),Aux!$B$3:$B$4098,'Truth Table'!$T$3:$T$4098)=1,P684&lt;='Line Follower'!$C$7)</f>
        <v>0</v>
      </c>
      <c r="W685" s="4" t="b">
        <f>AND(_xlfn.XLOOKUP(_xlfn.TEXTJOIN(,,D685:O685),Aux!$B$3:$B$4098,'Truth Table'!$U$3:$U$4098)=1,P684&gt;='Line Follower'!$C$6)</f>
        <v>0</v>
      </c>
      <c r="X685" s="4" t="b">
        <f>IFERROR(AND(_xlfn.XLOOKUP(_xlfn.TEXTJOIN(,,D685:O685),Aux!$B$3:$B$4098,'Truth Table'!$V$3:$V$4098)=1,ABS(P684)&lt;='Line Follower'!$C$6),FALSE)</f>
        <v>0</v>
      </c>
      <c r="Y685" s="4" t="b">
        <f t="shared" si="10"/>
        <v>1</v>
      </c>
    </row>
    <row r="686" spans="2:25" x14ac:dyDescent="0.25">
      <c r="B686" s="4">
        <v>683</v>
      </c>
      <c r="C686" s="4">
        <v>5831</v>
      </c>
      <c r="D686" s="4">
        <v>0</v>
      </c>
      <c r="E686" s="4">
        <v>0</v>
      </c>
      <c r="F686" s="4">
        <v>0</v>
      </c>
      <c r="G686" s="4">
        <v>0</v>
      </c>
      <c r="H686" s="4">
        <v>0</v>
      </c>
      <c r="I686" s="4">
        <v>0</v>
      </c>
      <c r="J686" s="4">
        <v>0</v>
      </c>
      <c r="K686" s="4">
        <v>0</v>
      </c>
      <c r="L686" s="4">
        <v>0</v>
      </c>
      <c r="M686" s="4">
        <v>1</v>
      </c>
      <c r="N686" s="4">
        <v>0</v>
      </c>
      <c r="O686" s="4">
        <v>0</v>
      </c>
      <c r="P686" s="51">
        <f>IFERROR(_xlfn.XLOOKUP(_xlfn.TEXTJOIN(,,D685:O685),Aux!$B$3:$B$4098,'Truth Table'!$N$3:$N$4098),P685)</f>
        <v>7</v>
      </c>
      <c r="Q686" s="4" t="b" cm="1">
        <f t="array" ref="Q686:U686">IFERROR(_xlfn.XLOOKUP(_xlfn.TEXTJOIN(,,D686:O686),Aux!$B$3:$B$4098,'Truth Table'!$O$3:$S$4098)=1,FALSE)</f>
        <v>1</v>
      </c>
      <c r="R686" s="4" t="b">
        <v>0</v>
      </c>
      <c r="S686" s="4" t="b">
        <v>0</v>
      </c>
      <c r="T686" s="4" t="b">
        <v>0</v>
      </c>
      <c r="U686" s="4" t="b">
        <v>0</v>
      </c>
      <c r="V686" s="4" t="b">
        <f>AND(_xlfn.XLOOKUP(_xlfn.TEXTJOIN(,,D686:O686),Aux!$B$3:$B$4098,'Truth Table'!$T$3:$T$4098)=1,P685&lt;='Line Follower'!$C$7)</f>
        <v>0</v>
      </c>
      <c r="W686" s="4" t="b">
        <f>AND(_xlfn.XLOOKUP(_xlfn.TEXTJOIN(,,D686:O686),Aux!$B$3:$B$4098,'Truth Table'!$U$3:$U$4098)=1,P685&gt;='Line Follower'!$C$6)</f>
        <v>0</v>
      </c>
      <c r="X686" s="4" t="b">
        <f>IFERROR(AND(_xlfn.XLOOKUP(_xlfn.TEXTJOIN(,,D686:O686),Aux!$B$3:$B$4098,'Truth Table'!$V$3:$V$4098)=1,ABS(P685)&lt;='Line Follower'!$C$6),FALSE)</f>
        <v>0</v>
      </c>
      <c r="Y686" s="4" t="b">
        <f t="shared" si="10"/>
        <v>1</v>
      </c>
    </row>
    <row r="687" spans="2:25" x14ac:dyDescent="0.25">
      <c r="B687" s="4">
        <v>684</v>
      </c>
      <c r="C687" s="4">
        <v>5844</v>
      </c>
      <c r="D687" s="4">
        <v>0</v>
      </c>
      <c r="E687" s="4">
        <v>0</v>
      </c>
      <c r="F687" s="4">
        <v>0</v>
      </c>
      <c r="G687" s="4">
        <v>0</v>
      </c>
      <c r="H687" s="4">
        <v>0</v>
      </c>
      <c r="I687" s="4">
        <v>0</v>
      </c>
      <c r="J687" s="4">
        <v>0</v>
      </c>
      <c r="K687" s="4">
        <v>0</v>
      </c>
      <c r="L687" s="4">
        <v>0</v>
      </c>
      <c r="M687" s="4">
        <v>1</v>
      </c>
      <c r="N687" s="4">
        <v>0</v>
      </c>
      <c r="O687" s="4">
        <v>0</v>
      </c>
      <c r="P687" s="51">
        <f>IFERROR(_xlfn.XLOOKUP(_xlfn.TEXTJOIN(,,D686:O686),Aux!$B$3:$B$4098,'Truth Table'!$N$3:$N$4098),P686)</f>
        <v>7</v>
      </c>
      <c r="Q687" s="4" t="b" cm="1">
        <f t="array" ref="Q687:U687">IFERROR(_xlfn.XLOOKUP(_xlfn.TEXTJOIN(,,D687:O687),Aux!$B$3:$B$4098,'Truth Table'!$O$3:$S$4098)=1,FALSE)</f>
        <v>1</v>
      </c>
      <c r="R687" s="4" t="b">
        <v>0</v>
      </c>
      <c r="S687" s="4" t="b">
        <v>0</v>
      </c>
      <c r="T687" s="4" t="b">
        <v>0</v>
      </c>
      <c r="U687" s="4" t="b">
        <v>0</v>
      </c>
      <c r="V687" s="4" t="b">
        <f>AND(_xlfn.XLOOKUP(_xlfn.TEXTJOIN(,,D687:O687),Aux!$B$3:$B$4098,'Truth Table'!$T$3:$T$4098)=1,P686&lt;='Line Follower'!$C$7)</f>
        <v>0</v>
      </c>
      <c r="W687" s="4" t="b">
        <f>AND(_xlfn.XLOOKUP(_xlfn.TEXTJOIN(,,D687:O687),Aux!$B$3:$B$4098,'Truth Table'!$U$3:$U$4098)=1,P686&gt;='Line Follower'!$C$6)</f>
        <v>0</v>
      </c>
      <c r="X687" s="4" t="b">
        <f>IFERROR(AND(_xlfn.XLOOKUP(_xlfn.TEXTJOIN(,,D687:O687),Aux!$B$3:$B$4098,'Truth Table'!$V$3:$V$4098)=1,ABS(P686)&lt;='Line Follower'!$C$6),FALSE)</f>
        <v>0</v>
      </c>
      <c r="Y687" s="4" t="b">
        <f t="shared" si="10"/>
        <v>1</v>
      </c>
    </row>
    <row r="688" spans="2:25" x14ac:dyDescent="0.25">
      <c r="B688" s="4">
        <v>685</v>
      </c>
      <c r="C688" s="4">
        <v>5851</v>
      </c>
      <c r="D688" s="4">
        <v>0</v>
      </c>
      <c r="E688" s="4">
        <v>0</v>
      </c>
      <c r="F688" s="4">
        <v>0</v>
      </c>
      <c r="G688" s="4">
        <v>0</v>
      </c>
      <c r="H688" s="4">
        <v>0</v>
      </c>
      <c r="I688" s="4">
        <v>0</v>
      </c>
      <c r="J688" s="4">
        <v>0</v>
      </c>
      <c r="K688" s="4">
        <v>0</v>
      </c>
      <c r="L688" s="4">
        <v>0</v>
      </c>
      <c r="M688" s="4">
        <v>1</v>
      </c>
      <c r="N688" s="4">
        <v>0</v>
      </c>
      <c r="O688" s="4">
        <v>0</v>
      </c>
      <c r="P688" s="51">
        <f>IFERROR(_xlfn.XLOOKUP(_xlfn.TEXTJOIN(,,D687:O687),Aux!$B$3:$B$4098,'Truth Table'!$N$3:$N$4098),P687)</f>
        <v>7</v>
      </c>
      <c r="Q688" s="4" t="b" cm="1">
        <f t="array" ref="Q688:U688">IFERROR(_xlfn.XLOOKUP(_xlfn.TEXTJOIN(,,D688:O688),Aux!$B$3:$B$4098,'Truth Table'!$O$3:$S$4098)=1,FALSE)</f>
        <v>1</v>
      </c>
      <c r="R688" s="4" t="b">
        <v>0</v>
      </c>
      <c r="S688" s="4" t="b">
        <v>0</v>
      </c>
      <c r="T688" s="4" t="b">
        <v>0</v>
      </c>
      <c r="U688" s="4" t="b">
        <v>0</v>
      </c>
      <c r="V688" s="4" t="b">
        <f>AND(_xlfn.XLOOKUP(_xlfn.TEXTJOIN(,,D688:O688),Aux!$B$3:$B$4098,'Truth Table'!$T$3:$T$4098)=1,P687&lt;='Line Follower'!$C$7)</f>
        <v>0</v>
      </c>
      <c r="W688" s="4" t="b">
        <f>AND(_xlfn.XLOOKUP(_xlfn.TEXTJOIN(,,D688:O688),Aux!$B$3:$B$4098,'Truth Table'!$U$3:$U$4098)=1,P687&gt;='Line Follower'!$C$6)</f>
        <v>0</v>
      </c>
      <c r="X688" s="4" t="b">
        <f>IFERROR(AND(_xlfn.XLOOKUP(_xlfn.TEXTJOIN(,,D688:O688),Aux!$B$3:$B$4098,'Truth Table'!$V$3:$V$4098)=1,ABS(P687)&lt;='Line Follower'!$C$6),FALSE)</f>
        <v>0</v>
      </c>
      <c r="Y688" s="4" t="b">
        <f t="shared" si="10"/>
        <v>1</v>
      </c>
    </row>
    <row r="689" spans="2:25" x14ac:dyDescent="0.25">
      <c r="B689" s="4">
        <v>686</v>
      </c>
      <c r="C689" s="4">
        <v>5881</v>
      </c>
      <c r="D689" s="4">
        <v>0</v>
      </c>
      <c r="E689" s="4">
        <v>0</v>
      </c>
      <c r="F689" s="4">
        <v>0</v>
      </c>
      <c r="G689" s="4">
        <v>0</v>
      </c>
      <c r="H689" s="4">
        <v>0</v>
      </c>
      <c r="I689" s="4">
        <v>0</v>
      </c>
      <c r="J689" s="4">
        <v>0</v>
      </c>
      <c r="K689" s="4">
        <v>0</v>
      </c>
      <c r="L689" s="4">
        <v>0</v>
      </c>
      <c r="M689" s="4">
        <v>1</v>
      </c>
      <c r="N689" s="4">
        <v>0</v>
      </c>
      <c r="O689" s="4">
        <v>0</v>
      </c>
      <c r="P689" s="51">
        <f>IFERROR(_xlfn.XLOOKUP(_xlfn.TEXTJOIN(,,D688:O688),Aux!$B$3:$B$4098,'Truth Table'!$N$3:$N$4098),P688)</f>
        <v>7</v>
      </c>
      <c r="Q689" s="4" t="b" cm="1">
        <f t="array" ref="Q689:U689">IFERROR(_xlfn.XLOOKUP(_xlfn.TEXTJOIN(,,D689:O689),Aux!$B$3:$B$4098,'Truth Table'!$O$3:$S$4098)=1,FALSE)</f>
        <v>1</v>
      </c>
      <c r="R689" s="4" t="b">
        <v>0</v>
      </c>
      <c r="S689" s="4" t="b">
        <v>0</v>
      </c>
      <c r="T689" s="4" t="b">
        <v>0</v>
      </c>
      <c r="U689" s="4" t="b">
        <v>0</v>
      </c>
      <c r="V689" s="4" t="b">
        <f>AND(_xlfn.XLOOKUP(_xlfn.TEXTJOIN(,,D689:O689),Aux!$B$3:$B$4098,'Truth Table'!$T$3:$T$4098)=1,P688&lt;='Line Follower'!$C$7)</f>
        <v>0</v>
      </c>
      <c r="W689" s="4" t="b">
        <f>AND(_xlfn.XLOOKUP(_xlfn.TEXTJOIN(,,D689:O689),Aux!$B$3:$B$4098,'Truth Table'!$U$3:$U$4098)=1,P688&gt;='Line Follower'!$C$6)</f>
        <v>0</v>
      </c>
      <c r="X689" s="4" t="b">
        <f>IFERROR(AND(_xlfn.XLOOKUP(_xlfn.TEXTJOIN(,,D689:O689),Aux!$B$3:$B$4098,'Truth Table'!$V$3:$V$4098)=1,ABS(P688)&lt;='Line Follower'!$C$6),FALSE)</f>
        <v>0</v>
      </c>
      <c r="Y689" s="4" t="b">
        <f t="shared" si="10"/>
        <v>1</v>
      </c>
    </row>
    <row r="690" spans="2:25" x14ac:dyDescent="0.25">
      <c r="B690" s="4">
        <v>687</v>
      </c>
      <c r="C690" s="4">
        <v>5882</v>
      </c>
      <c r="D690" s="4">
        <v>0</v>
      </c>
      <c r="E690" s="4">
        <v>0</v>
      </c>
      <c r="F690" s="4">
        <v>0</v>
      </c>
      <c r="G690" s="4">
        <v>0</v>
      </c>
      <c r="H690" s="4">
        <v>0</v>
      </c>
      <c r="I690" s="4">
        <v>0</v>
      </c>
      <c r="J690" s="4">
        <v>0</v>
      </c>
      <c r="K690" s="4">
        <v>0</v>
      </c>
      <c r="L690" s="4">
        <v>0</v>
      </c>
      <c r="M690" s="4">
        <v>1</v>
      </c>
      <c r="N690" s="4">
        <v>0</v>
      </c>
      <c r="O690" s="4">
        <v>0</v>
      </c>
      <c r="P690" s="51">
        <f>IFERROR(_xlfn.XLOOKUP(_xlfn.TEXTJOIN(,,D689:O689),Aux!$B$3:$B$4098,'Truth Table'!$N$3:$N$4098),P689)</f>
        <v>7</v>
      </c>
      <c r="Q690" s="4" t="b" cm="1">
        <f t="array" ref="Q690:U690">IFERROR(_xlfn.XLOOKUP(_xlfn.TEXTJOIN(,,D690:O690),Aux!$B$3:$B$4098,'Truth Table'!$O$3:$S$4098)=1,FALSE)</f>
        <v>1</v>
      </c>
      <c r="R690" s="4" t="b">
        <v>0</v>
      </c>
      <c r="S690" s="4" t="b">
        <v>0</v>
      </c>
      <c r="T690" s="4" t="b">
        <v>0</v>
      </c>
      <c r="U690" s="4" t="b">
        <v>0</v>
      </c>
      <c r="V690" s="4" t="b">
        <f>AND(_xlfn.XLOOKUP(_xlfn.TEXTJOIN(,,D690:O690),Aux!$B$3:$B$4098,'Truth Table'!$T$3:$T$4098)=1,P689&lt;='Line Follower'!$C$7)</f>
        <v>0</v>
      </c>
      <c r="W690" s="4" t="b">
        <f>AND(_xlfn.XLOOKUP(_xlfn.TEXTJOIN(,,D690:O690),Aux!$B$3:$B$4098,'Truth Table'!$U$3:$U$4098)=1,P689&gt;='Line Follower'!$C$6)</f>
        <v>0</v>
      </c>
      <c r="X690" s="4" t="b">
        <f>IFERROR(AND(_xlfn.XLOOKUP(_xlfn.TEXTJOIN(,,D690:O690),Aux!$B$3:$B$4098,'Truth Table'!$V$3:$V$4098)=1,ABS(P689)&lt;='Line Follower'!$C$6),FALSE)</f>
        <v>0</v>
      </c>
      <c r="Y690" s="4" t="b">
        <f t="shared" si="10"/>
        <v>1</v>
      </c>
    </row>
    <row r="691" spans="2:25" x14ac:dyDescent="0.25">
      <c r="B691" s="4">
        <v>688</v>
      </c>
      <c r="C691" s="4">
        <v>5906</v>
      </c>
      <c r="D691" s="4">
        <v>0</v>
      </c>
      <c r="E691" s="4">
        <v>0</v>
      </c>
      <c r="F691" s="4">
        <v>0</v>
      </c>
      <c r="G691" s="4">
        <v>0</v>
      </c>
      <c r="H691" s="4">
        <v>0</v>
      </c>
      <c r="I691" s="4">
        <v>0</v>
      </c>
      <c r="J691" s="4">
        <v>0</v>
      </c>
      <c r="K691" s="4">
        <v>0</v>
      </c>
      <c r="L691" s="4">
        <v>0</v>
      </c>
      <c r="M691" s="4">
        <v>1</v>
      </c>
      <c r="N691" s="4">
        <v>0</v>
      </c>
      <c r="O691" s="4">
        <v>0</v>
      </c>
      <c r="P691" s="51">
        <f>IFERROR(_xlfn.XLOOKUP(_xlfn.TEXTJOIN(,,D690:O690),Aux!$B$3:$B$4098,'Truth Table'!$N$3:$N$4098),P690)</f>
        <v>7</v>
      </c>
      <c r="Q691" s="4" t="b" cm="1">
        <f t="array" ref="Q691:U691">IFERROR(_xlfn.XLOOKUP(_xlfn.TEXTJOIN(,,D691:O691),Aux!$B$3:$B$4098,'Truth Table'!$O$3:$S$4098)=1,FALSE)</f>
        <v>1</v>
      </c>
      <c r="R691" s="4" t="b">
        <v>0</v>
      </c>
      <c r="S691" s="4" t="b">
        <v>0</v>
      </c>
      <c r="T691" s="4" t="b">
        <v>0</v>
      </c>
      <c r="U691" s="4" t="b">
        <v>0</v>
      </c>
      <c r="V691" s="4" t="b">
        <f>AND(_xlfn.XLOOKUP(_xlfn.TEXTJOIN(,,D691:O691),Aux!$B$3:$B$4098,'Truth Table'!$T$3:$T$4098)=1,P690&lt;='Line Follower'!$C$7)</f>
        <v>0</v>
      </c>
      <c r="W691" s="4" t="b">
        <f>AND(_xlfn.XLOOKUP(_xlfn.TEXTJOIN(,,D691:O691),Aux!$B$3:$B$4098,'Truth Table'!$U$3:$U$4098)=1,P690&gt;='Line Follower'!$C$6)</f>
        <v>0</v>
      </c>
      <c r="X691" s="4" t="b">
        <f>IFERROR(AND(_xlfn.XLOOKUP(_xlfn.TEXTJOIN(,,D691:O691),Aux!$B$3:$B$4098,'Truth Table'!$V$3:$V$4098)=1,ABS(P690)&lt;='Line Follower'!$C$6),FALSE)</f>
        <v>0</v>
      </c>
      <c r="Y691" s="4" t="b">
        <f t="shared" si="10"/>
        <v>1</v>
      </c>
    </row>
    <row r="692" spans="2:25" x14ac:dyDescent="0.25">
      <c r="B692" s="4">
        <v>689</v>
      </c>
      <c r="C692" s="4">
        <v>5907</v>
      </c>
      <c r="D692" s="4">
        <v>0</v>
      </c>
      <c r="E692" s="4">
        <v>0</v>
      </c>
      <c r="F692" s="4">
        <v>0</v>
      </c>
      <c r="G692" s="4">
        <v>0</v>
      </c>
      <c r="H692" s="4">
        <v>0</v>
      </c>
      <c r="I692" s="4">
        <v>0</v>
      </c>
      <c r="J692" s="4">
        <v>0</v>
      </c>
      <c r="K692" s="4">
        <v>0</v>
      </c>
      <c r="L692" s="4">
        <v>0</v>
      </c>
      <c r="M692" s="4">
        <v>1</v>
      </c>
      <c r="N692" s="4">
        <v>0</v>
      </c>
      <c r="O692" s="4">
        <v>0</v>
      </c>
      <c r="P692" s="51">
        <f>IFERROR(_xlfn.XLOOKUP(_xlfn.TEXTJOIN(,,D691:O691),Aux!$B$3:$B$4098,'Truth Table'!$N$3:$N$4098),P691)</f>
        <v>7</v>
      </c>
      <c r="Q692" s="4" t="b" cm="1">
        <f t="array" ref="Q692:U692">IFERROR(_xlfn.XLOOKUP(_xlfn.TEXTJOIN(,,D692:O692),Aux!$B$3:$B$4098,'Truth Table'!$O$3:$S$4098)=1,FALSE)</f>
        <v>1</v>
      </c>
      <c r="R692" s="4" t="b">
        <v>0</v>
      </c>
      <c r="S692" s="4" t="b">
        <v>0</v>
      </c>
      <c r="T692" s="4" t="b">
        <v>0</v>
      </c>
      <c r="U692" s="4" t="b">
        <v>0</v>
      </c>
      <c r="V692" s="4" t="b">
        <f>AND(_xlfn.XLOOKUP(_xlfn.TEXTJOIN(,,D692:O692),Aux!$B$3:$B$4098,'Truth Table'!$T$3:$T$4098)=1,P691&lt;='Line Follower'!$C$7)</f>
        <v>0</v>
      </c>
      <c r="W692" s="4" t="b">
        <f>AND(_xlfn.XLOOKUP(_xlfn.TEXTJOIN(,,D692:O692),Aux!$B$3:$B$4098,'Truth Table'!$U$3:$U$4098)=1,P691&gt;='Line Follower'!$C$6)</f>
        <v>0</v>
      </c>
      <c r="X692" s="4" t="b">
        <f>IFERROR(AND(_xlfn.XLOOKUP(_xlfn.TEXTJOIN(,,D692:O692),Aux!$B$3:$B$4098,'Truth Table'!$V$3:$V$4098)=1,ABS(P691)&lt;='Line Follower'!$C$6),FALSE)</f>
        <v>0</v>
      </c>
      <c r="Y692" s="4" t="b">
        <f t="shared" si="10"/>
        <v>1</v>
      </c>
    </row>
    <row r="693" spans="2:25" x14ac:dyDescent="0.25">
      <c r="B693" s="4">
        <v>690</v>
      </c>
      <c r="C693" s="4">
        <v>5908</v>
      </c>
      <c r="D693" s="4">
        <v>0</v>
      </c>
      <c r="E693" s="4">
        <v>0</v>
      </c>
      <c r="F693" s="4">
        <v>0</v>
      </c>
      <c r="G693" s="4">
        <v>0</v>
      </c>
      <c r="H693" s="4">
        <v>0</v>
      </c>
      <c r="I693" s="4">
        <v>0</v>
      </c>
      <c r="J693" s="4">
        <v>0</v>
      </c>
      <c r="K693" s="4">
        <v>0</v>
      </c>
      <c r="L693" s="4">
        <v>0</v>
      </c>
      <c r="M693" s="4">
        <v>1</v>
      </c>
      <c r="N693" s="4">
        <v>0</v>
      </c>
      <c r="O693" s="4">
        <v>0</v>
      </c>
      <c r="P693" s="51">
        <f>IFERROR(_xlfn.XLOOKUP(_xlfn.TEXTJOIN(,,D692:O692),Aux!$B$3:$B$4098,'Truth Table'!$N$3:$N$4098),P692)</f>
        <v>7</v>
      </c>
      <c r="Q693" s="4" t="b" cm="1">
        <f t="array" ref="Q693:U693">IFERROR(_xlfn.XLOOKUP(_xlfn.TEXTJOIN(,,D693:O693),Aux!$B$3:$B$4098,'Truth Table'!$O$3:$S$4098)=1,FALSE)</f>
        <v>1</v>
      </c>
      <c r="R693" s="4" t="b">
        <v>0</v>
      </c>
      <c r="S693" s="4" t="b">
        <v>0</v>
      </c>
      <c r="T693" s="4" t="b">
        <v>0</v>
      </c>
      <c r="U693" s="4" t="b">
        <v>0</v>
      </c>
      <c r="V693" s="4" t="b">
        <f>AND(_xlfn.XLOOKUP(_xlfn.TEXTJOIN(,,D693:O693),Aux!$B$3:$B$4098,'Truth Table'!$T$3:$T$4098)=1,P692&lt;='Line Follower'!$C$7)</f>
        <v>0</v>
      </c>
      <c r="W693" s="4" t="b">
        <f>AND(_xlfn.XLOOKUP(_xlfn.TEXTJOIN(,,D693:O693),Aux!$B$3:$B$4098,'Truth Table'!$U$3:$U$4098)=1,P692&gt;='Line Follower'!$C$6)</f>
        <v>0</v>
      </c>
      <c r="X693" s="4" t="b">
        <f>IFERROR(AND(_xlfn.XLOOKUP(_xlfn.TEXTJOIN(,,D693:O693),Aux!$B$3:$B$4098,'Truth Table'!$V$3:$V$4098)=1,ABS(P692)&lt;='Line Follower'!$C$6),FALSE)</f>
        <v>0</v>
      </c>
      <c r="Y693" s="4" t="b">
        <f t="shared" si="10"/>
        <v>1</v>
      </c>
    </row>
    <row r="694" spans="2:25" x14ac:dyDescent="0.25">
      <c r="B694" s="4">
        <v>691</v>
      </c>
      <c r="C694" s="4">
        <v>5909</v>
      </c>
      <c r="D694" s="4">
        <v>0</v>
      </c>
      <c r="E694" s="4">
        <v>0</v>
      </c>
      <c r="F694" s="4">
        <v>0</v>
      </c>
      <c r="G694" s="4">
        <v>0</v>
      </c>
      <c r="H694" s="4">
        <v>0</v>
      </c>
      <c r="I694" s="4">
        <v>0</v>
      </c>
      <c r="J694" s="4">
        <v>0</v>
      </c>
      <c r="K694" s="4">
        <v>0</v>
      </c>
      <c r="L694" s="4">
        <v>0</v>
      </c>
      <c r="M694" s="4">
        <v>1</v>
      </c>
      <c r="N694" s="4">
        <v>0</v>
      </c>
      <c r="O694" s="4">
        <v>0</v>
      </c>
      <c r="P694" s="51">
        <f>IFERROR(_xlfn.XLOOKUP(_xlfn.TEXTJOIN(,,D693:O693),Aux!$B$3:$B$4098,'Truth Table'!$N$3:$N$4098),P693)</f>
        <v>7</v>
      </c>
      <c r="Q694" s="4" t="b" cm="1">
        <f t="array" ref="Q694:U694">IFERROR(_xlfn.XLOOKUP(_xlfn.TEXTJOIN(,,D694:O694),Aux!$B$3:$B$4098,'Truth Table'!$O$3:$S$4098)=1,FALSE)</f>
        <v>1</v>
      </c>
      <c r="R694" s="4" t="b">
        <v>0</v>
      </c>
      <c r="S694" s="4" t="b">
        <v>0</v>
      </c>
      <c r="T694" s="4" t="b">
        <v>0</v>
      </c>
      <c r="U694" s="4" t="b">
        <v>0</v>
      </c>
      <c r="V694" s="4" t="b">
        <f>AND(_xlfn.XLOOKUP(_xlfn.TEXTJOIN(,,D694:O694),Aux!$B$3:$B$4098,'Truth Table'!$T$3:$T$4098)=1,P693&lt;='Line Follower'!$C$7)</f>
        <v>0</v>
      </c>
      <c r="W694" s="4" t="b">
        <f>AND(_xlfn.XLOOKUP(_xlfn.TEXTJOIN(,,D694:O694),Aux!$B$3:$B$4098,'Truth Table'!$U$3:$U$4098)=1,P693&gt;='Line Follower'!$C$6)</f>
        <v>0</v>
      </c>
      <c r="X694" s="4" t="b">
        <f>IFERROR(AND(_xlfn.XLOOKUP(_xlfn.TEXTJOIN(,,D694:O694),Aux!$B$3:$B$4098,'Truth Table'!$V$3:$V$4098)=1,ABS(P693)&lt;='Line Follower'!$C$6),FALSE)</f>
        <v>0</v>
      </c>
      <c r="Y694" s="4" t="b">
        <f t="shared" si="10"/>
        <v>1</v>
      </c>
    </row>
    <row r="695" spans="2:25" x14ac:dyDescent="0.25">
      <c r="B695" s="4">
        <v>692</v>
      </c>
      <c r="C695" s="4">
        <v>5923</v>
      </c>
      <c r="D695" s="4">
        <v>0</v>
      </c>
      <c r="E695" s="4">
        <v>0</v>
      </c>
      <c r="F695" s="4">
        <v>0</v>
      </c>
      <c r="G695" s="4">
        <v>0</v>
      </c>
      <c r="H695" s="4">
        <v>0</v>
      </c>
      <c r="I695" s="4">
        <v>0</v>
      </c>
      <c r="J695" s="4">
        <v>0</v>
      </c>
      <c r="K695" s="4">
        <v>0</v>
      </c>
      <c r="L695" s="4">
        <v>0</v>
      </c>
      <c r="M695" s="4">
        <v>1</v>
      </c>
      <c r="N695" s="4">
        <v>0</v>
      </c>
      <c r="O695" s="4">
        <v>0</v>
      </c>
      <c r="P695" s="51">
        <f>IFERROR(_xlfn.XLOOKUP(_xlfn.TEXTJOIN(,,D694:O694),Aux!$B$3:$B$4098,'Truth Table'!$N$3:$N$4098),P694)</f>
        <v>7</v>
      </c>
      <c r="Q695" s="4" t="b" cm="1">
        <f t="array" ref="Q695:U695">IFERROR(_xlfn.XLOOKUP(_xlfn.TEXTJOIN(,,D695:O695),Aux!$B$3:$B$4098,'Truth Table'!$O$3:$S$4098)=1,FALSE)</f>
        <v>1</v>
      </c>
      <c r="R695" s="4" t="b">
        <v>0</v>
      </c>
      <c r="S695" s="4" t="b">
        <v>0</v>
      </c>
      <c r="T695" s="4" t="b">
        <v>0</v>
      </c>
      <c r="U695" s="4" t="b">
        <v>0</v>
      </c>
      <c r="V695" s="4" t="b">
        <f>AND(_xlfn.XLOOKUP(_xlfn.TEXTJOIN(,,D695:O695),Aux!$B$3:$B$4098,'Truth Table'!$T$3:$T$4098)=1,P694&lt;='Line Follower'!$C$7)</f>
        <v>0</v>
      </c>
      <c r="W695" s="4" t="b">
        <f>AND(_xlfn.XLOOKUP(_xlfn.TEXTJOIN(,,D695:O695),Aux!$B$3:$B$4098,'Truth Table'!$U$3:$U$4098)=1,P694&gt;='Line Follower'!$C$6)</f>
        <v>0</v>
      </c>
      <c r="X695" s="4" t="b">
        <f>IFERROR(AND(_xlfn.XLOOKUP(_xlfn.TEXTJOIN(,,D695:O695),Aux!$B$3:$B$4098,'Truth Table'!$V$3:$V$4098)=1,ABS(P694)&lt;='Line Follower'!$C$6),FALSE)</f>
        <v>0</v>
      </c>
      <c r="Y695" s="4" t="b">
        <f t="shared" si="10"/>
        <v>1</v>
      </c>
    </row>
    <row r="696" spans="2:25" x14ac:dyDescent="0.25">
      <c r="B696" s="4">
        <v>693</v>
      </c>
      <c r="C696" s="4">
        <v>5934</v>
      </c>
      <c r="D696" s="4">
        <v>0</v>
      </c>
      <c r="E696" s="4">
        <v>0</v>
      </c>
      <c r="F696" s="4">
        <v>0</v>
      </c>
      <c r="G696" s="4">
        <v>0</v>
      </c>
      <c r="H696" s="4">
        <v>0</v>
      </c>
      <c r="I696" s="4">
        <v>0</v>
      </c>
      <c r="J696" s="4">
        <v>0</v>
      </c>
      <c r="K696" s="4">
        <v>0</v>
      </c>
      <c r="L696" s="4">
        <v>0</v>
      </c>
      <c r="M696" s="4">
        <v>1</v>
      </c>
      <c r="N696" s="4">
        <v>0</v>
      </c>
      <c r="O696" s="4">
        <v>0</v>
      </c>
      <c r="P696" s="51">
        <f>IFERROR(_xlfn.XLOOKUP(_xlfn.TEXTJOIN(,,D695:O695),Aux!$B$3:$B$4098,'Truth Table'!$N$3:$N$4098),P695)</f>
        <v>7</v>
      </c>
      <c r="Q696" s="4" t="b" cm="1">
        <f t="array" ref="Q696:U696">IFERROR(_xlfn.XLOOKUP(_xlfn.TEXTJOIN(,,D696:O696),Aux!$B$3:$B$4098,'Truth Table'!$O$3:$S$4098)=1,FALSE)</f>
        <v>1</v>
      </c>
      <c r="R696" s="4" t="b">
        <v>0</v>
      </c>
      <c r="S696" s="4" t="b">
        <v>0</v>
      </c>
      <c r="T696" s="4" t="b">
        <v>0</v>
      </c>
      <c r="U696" s="4" t="b">
        <v>0</v>
      </c>
      <c r="V696" s="4" t="b">
        <f>AND(_xlfn.XLOOKUP(_xlfn.TEXTJOIN(,,D696:O696),Aux!$B$3:$B$4098,'Truth Table'!$T$3:$T$4098)=1,P695&lt;='Line Follower'!$C$7)</f>
        <v>0</v>
      </c>
      <c r="W696" s="4" t="b">
        <f>AND(_xlfn.XLOOKUP(_xlfn.TEXTJOIN(,,D696:O696),Aux!$B$3:$B$4098,'Truth Table'!$U$3:$U$4098)=1,P695&gt;='Line Follower'!$C$6)</f>
        <v>0</v>
      </c>
      <c r="X696" s="4" t="b">
        <f>IFERROR(AND(_xlfn.XLOOKUP(_xlfn.TEXTJOIN(,,D696:O696),Aux!$B$3:$B$4098,'Truth Table'!$V$3:$V$4098)=1,ABS(P695)&lt;='Line Follower'!$C$6),FALSE)</f>
        <v>0</v>
      </c>
      <c r="Y696" s="4" t="b">
        <f t="shared" si="10"/>
        <v>1</v>
      </c>
    </row>
    <row r="697" spans="2:25" x14ac:dyDescent="0.25">
      <c r="B697" s="4">
        <v>694</v>
      </c>
      <c r="C697" s="4">
        <v>5935</v>
      </c>
      <c r="D697" s="4">
        <v>0</v>
      </c>
      <c r="E697" s="4">
        <v>0</v>
      </c>
      <c r="F697" s="4">
        <v>0</v>
      </c>
      <c r="G697" s="4">
        <v>0</v>
      </c>
      <c r="H697" s="4">
        <v>0</v>
      </c>
      <c r="I697" s="4">
        <v>0</v>
      </c>
      <c r="J697" s="4">
        <v>0</v>
      </c>
      <c r="K697" s="4">
        <v>0</v>
      </c>
      <c r="L697" s="4">
        <v>1</v>
      </c>
      <c r="M697" s="4">
        <v>1</v>
      </c>
      <c r="N697" s="4">
        <v>0</v>
      </c>
      <c r="O697" s="4">
        <v>0</v>
      </c>
      <c r="P697" s="51">
        <f>IFERROR(_xlfn.XLOOKUP(_xlfn.TEXTJOIN(,,D696:O696),Aux!$B$3:$B$4098,'Truth Table'!$N$3:$N$4098),P696)</f>
        <v>7</v>
      </c>
      <c r="Q697" s="4" t="b" cm="1">
        <f t="array" ref="Q697:U697">IFERROR(_xlfn.XLOOKUP(_xlfn.TEXTJOIN(,,D697:O697),Aux!$B$3:$B$4098,'Truth Table'!$O$3:$S$4098)=1,FALSE)</f>
        <v>1</v>
      </c>
      <c r="R697" s="4" t="b">
        <v>0</v>
      </c>
      <c r="S697" s="4" t="b">
        <v>0</v>
      </c>
      <c r="T697" s="4" t="b">
        <v>0</v>
      </c>
      <c r="U697" s="4" t="b">
        <v>0</v>
      </c>
      <c r="V697" s="4" t="b">
        <f>AND(_xlfn.XLOOKUP(_xlfn.TEXTJOIN(,,D697:O697),Aux!$B$3:$B$4098,'Truth Table'!$T$3:$T$4098)=1,P696&lt;='Line Follower'!$C$7)</f>
        <v>0</v>
      </c>
      <c r="W697" s="4" t="b">
        <f>AND(_xlfn.XLOOKUP(_xlfn.TEXTJOIN(,,D697:O697),Aux!$B$3:$B$4098,'Truth Table'!$U$3:$U$4098)=1,P696&gt;='Line Follower'!$C$6)</f>
        <v>0</v>
      </c>
      <c r="X697" s="4" t="b">
        <f>IFERROR(AND(_xlfn.XLOOKUP(_xlfn.TEXTJOIN(,,D697:O697),Aux!$B$3:$B$4098,'Truth Table'!$V$3:$V$4098)=1,ABS(P696)&lt;='Line Follower'!$C$6),FALSE)</f>
        <v>0</v>
      </c>
      <c r="Y697" s="4" t="b">
        <f t="shared" si="10"/>
        <v>1</v>
      </c>
    </row>
    <row r="698" spans="2:25" x14ac:dyDescent="0.25">
      <c r="B698" s="4">
        <v>695</v>
      </c>
      <c r="C698" s="4">
        <v>5963</v>
      </c>
      <c r="D698" s="4">
        <v>0</v>
      </c>
      <c r="E698" s="4">
        <v>0</v>
      </c>
      <c r="F698" s="4">
        <v>0</v>
      </c>
      <c r="G698" s="4">
        <v>0</v>
      </c>
      <c r="H698" s="4">
        <v>0</v>
      </c>
      <c r="I698" s="4">
        <v>0</v>
      </c>
      <c r="J698" s="4">
        <v>0</v>
      </c>
      <c r="K698" s="4">
        <v>0</v>
      </c>
      <c r="L698" s="4">
        <v>1</v>
      </c>
      <c r="M698" s="4">
        <v>1</v>
      </c>
      <c r="N698" s="4">
        <v>0</v>
      </c>
      <c r="O698" s="4">
        <v>0</v>
      </c>
      <c r="P698" s="51">
        <f>IFERROR(_xlfn.XLOOKUP(_xlfn.TEXTJOIN(,,D697:O697),Aux!$B$3:$B$4098,'Truth Table'!$N$3:$N$4098),P697)</f>
        <v>6</v>
      </c>
      <c r="Q698" s="4" t="b" cm="1">
        <f t="array" ref="Q698:U698">IFERROR(_xlfn.XLOOKUP(_xlfn.TEXTJOIN(,,D698:O698),Aux!$B$3:$B$4098,'Truth Table'!$O$3:$S$4098)=1,FALSE)</f>
        <v>1</v>
      </c>
      <c r="R698" s="4" t="b">
        <v>0</v>
      </c>
      <c r="S698" s="4" t="b">
        <v>0</v>
      </c>
      <c r="T698" s="4" t="b">
        <v>0</v>
      </c>
      <c r="U698" s="4" t="b">
        <v>0</v>
      </c>
      <c r="V698" s="4" t="b">
        <f>AND(_xlfn.XLOOKUP(_xlfn.TEXTJOIN(,,D698:O698),Aux!$B$3:$B$4098,'Truth Table'!$T$3:$T$4098)=1,P697&lt;='Line Follower'!$C$7)</f>
        <v>0</v>
      </c>
      <c r="W698" s="4" t="b">
        <f>AND(_xlfn.XLOOKUP(_xlfn.TEXTJOIN(,,D698:O698),Aux!$B$3:$B$4098,'Truth Table'!$U$3:$U$4098)=1,P697&gt;='Line Follower'!$C$6)</f>
        <v>0</v>
      </c>
      <c r="X698" s="4" t="b">
        <f>IFERROR(AND(_xlfn.XLOOKUP(_xlfn.TEXTJOIN(,,D698:O698),Aux!$B$3:$B$4098,'Truth Table'!$V$3:$V$4098)=1,ABS(P697)&lt;='Line Follower'!$C$6),FALSE)</f>
        <v>0</v>
      </c>
      <c r="Y698" s="4" t="b">
        <f t="shared" si="10"/>
        <v>1</v>
      </c>
    </row>
    <row r="699" spans="2:25" x14ac:dyDescent="0.25">
      <c r="B699" s="4">
        <v>696</v>
      </c>
      <c r="C699" s="4">
        <v>5964</v>
      </c>
      <c r="D699" s="4">
        <v>0</v>
      </c>
      <c r="E699" s="4">
        <v>0</v>
      </c>
      <c r="F699" s="4">
        <v>0</v>
      </c>
      <c r="G699" s="4">
        <v>0</v>
      </c>
      <c r="H699" s="4">
        <v>0</v>
      </c>
      <c r="I699" s="4">
        <v>0</v>
      </c>
      <c r="J699" s="4">
        <v>0</v>
      </c>
      <c r="K699" s="4">
        <v>0</v>
      </c>
      <c r="L699" s="4">
        <v>1</v>
      </c>
      <c r="M699" s="4">
        <v>1</v>
      </c>
      <c r="N699" s="4">
        <v>0</v>
      </c>
      <c r="O699" s="4">
        <v>0</v>
      </c>
      <c r="P699" s="51">
        <f>IFERROR(_xlfn.XLOOKUP(_xlfn.TEXTJOIN(,,D698:O698),Aux!$B$3:$B$4098,'Truth Table'!$N$3:$N$4098),P698)</f>
        <v>6</v>
      </c>
      <c r="Q699" s="4" t="b" cm="1">
        <f t="array" ref="Q699:U699">IFERROR(_xlfn.XLOOKUP(_xlfn.TEXTJOIN(,,D699:O699),Aux!$B$3:$B$4098,'Truth Table'!$O$3:$S$4098)=1,FALSE)</f>
        <v>1</v>
      </c>
      <c r="R699" s="4" t="b">
        <v>0</v>
      </c>
      <c r="S699" s="4" t="b">
        <v>0</v>
      </c>
      <c r="T699" s="4" t="b">
        <v>0</v>
      </c>
      <c r="U699" s="4" t="b">
        <v>0</v>
      </c>
      <c r="V699" s="4" t="b">
        <f>AND(_xlfn.XLOOKUP(_xlfn.TEXTJOIN(,,D699:O699),Aux!$B$3:$B$4098,'Truth Table'!$T$3:$T$4098)=1,P698&lt;='Line Follower'!$C$7)</f>
        <v>0</v>
      </c>
      <c r="W699" s="4" t="b">
        <f>AND(_xlfn.XLOOKUP(_xlfn.TEXTJOIN(,,D699:O699),Aux!$B$3:$B$4098,'Truth Table'!$U$3:$U$4098)=1,P698&gt;='Line Follower'!$C$6)</f>
        <v>0</v>
      </c>
      <c r="X699" s="4" t="b">
        <f>IFERROR(AND(_xlfn.XLOOKUP(_xlfn.TEXTJOIN(,,D699:O699),Aux!$B$3:$B$4098,'Truth Table'!$V$3:$V$4098)=1,ABS(P698)&lt;='Line Follower'!$C$6),FALSE)</f>
        <v>0</v>
      </c>
      <c r="Y699" s="4" t="b">
        <f t="shared" si="10"/>
        <v>1</v>
      </c>
    </row>
    <row r="700" spans="2:25" x14ac:dyDescent="0.25">
      <c r="B700" s="4">
        <v>697</v>
      </c>
      <c r="C700" s="4">
        <v>5965</v>
      </c>
      <c r="D700" s="4">
        <v>0</v>
      </c>
      <c r="E700" s="4">
        <v>0</v>
      </c>
      <c r="F700" s="4">
        <v>0</v>
      </c>
      <c r="G700" s="4">
        <v>0</v>
      </c>
      <c r="H700" s="4">
        <v>0</v>
      </c>
      <c r="I700" s="4">
        <v>0</v>
      </c>
      <c r="J700" s="4">
        <v>0</v>
      </c>
      <c r="K700" s="4">
        <v>0</v>
      </c>
      <c r="L700" s="4">
        <v>1</v>
      </c>
      <c r="M700" s="4">
        <v>1</v>
      </c>
      <c r="N700" s="4">
        <v>0</v>
      </c>
      <c r="O700" s="4">
        <v>0</v>
      </c>
      <c r="P700" s="51">
        <f>IFERROR(_xlfn.XLOOKUP(_xlfn.TEXTJOIN(,,D699:O699),Aux!$B$3:$B$4098,'Truth Table'!$N$3:$N$4098),P699)</f>
        <v>6</v>
      </c>
      <c r="Q700" s="4" t="b" cm="1">
        <f t="array" ref="Q700:U700">IFERROR(_xlfn.XLOOKUP(_xlfn.TEXTJOIN(,,D700:O700),Aux!$B$3:$B$4098,'Truth Table'!$O$3:$S$4098)=1,FALSE)</f>
        <v>1</v>
      </c>
      <c r="R700" s="4" t="b">
        <v>0</v>
      </c>
      <c r="S700" s="4" t="b">
        <v>0</v>
      </c>
      <c r="T700" s="4" t="b">
        <v>0</v>
      </c>
      <c r="U700" s="4" t="b">
        <v>0</v>
      </c>
      <c r="V700" s="4" t="b">
        <f>AND(_xlfn.XLOOKUP(_xlfn.TEXTJOIN(,,D700:O700),Aux!$B$3:$B$4098,'Truth Table'!$T$3:$T$4098)=1,P699&lt;='Line Follower'!$C$7)</f>
        <v>0</v>
      </c>
      <c r="W700" s="4" t="b">
        <f>AND(_xlfn.XLOOKUP(_xlfn.TEXTJOIN(,,D700:O700),Aux!$B$3:$B$4098,'Truth Table'!$U$3:$U$4098)=1,P699&gt;='Line Follower'!$C$6)</f>
        <v>0</v>
      </c>
      <c r="X700" s="4" t="b">
        <f>IFERROR(AND(_xlfn.XLOOKUP(_xlfn.TEXTJOIN(,,D700:O700),Aux!$B$3:$B$4098,'Truth Table'!$V$3:$V$4098)=1,ABS(P699)&lt;='Line Follower'!$C$6),FALSE)</f>
        <v>0</v>
      </c>
      <c r="Y700" s="4" t="b">
        <f t="shared" si="10"/>
        <v>1</v>
      </c>
    </row>
    <row r="701" spans="2:25" x14ac:dyDescent="0.25">
      <c r="B701" s="4">
        <v>698</v>
      </c>
      <c r="C701" s="4">
        <v>5977</v>
      </c>
      <c r="D701" s="4">
        <v>0</v>
      </c>
      <c r="E701" s="4">
        <v>0</v>
      </c>
      <c r="F701" s="4">
        <v>0</v>
      </c>
      <c r="G701" s="4">
        <v>0</v>
      </c>
      <c r="H701" s="4">
        <v>0</v>
      </c>
      <c r="I701" s="4">
        <v>0</v>
      </c>
      <c r="J701" s="4">
        <v>0</v>
      </c>
      <c r="K701" s="4">
        <v>0</v>
      </c>
      <c r="L701" s="4">
        <v>1</v>
      </c>
      <c r="M701" s="4">
        <v>1</v>
      </c>
      <c r="N701" s="4">
        <v>0</v>
      </c>
      <c r="O701" s="4">
        <v>0</v>
      </c>
      <c r="P701" s="51">
        <f>IFERROR(_xlfn.XLOOKUP(_xlfn.TEXTJOIN(,,D700:O700),Aux!$B$3:$B$4098,'Truth Table'!$N$3:$N$4098),P700)</f>
        <v>6</v>
      </c>
      <c r="Q701" s="4" t="b" cm="1">
        <f t="array" ref="Q701:U701">IFERROR(_xlfn.XLOOKUP(_xlfn.TEXTJOIN(,,D701:O701),Aux!$B$3:$B$4098,'Truth Table'!$O$3:$S$4098)=1,FALSE)</f>
        <v>1</v>
      </c>
      <c r="R701" s="4" t="b">
        <v>0</v>
      </c>
      <c r="S701" s="4" t="b">
        <v>0</v>
      </c>
      <c r="T701" s="4" t="b">
        <v>0</v>
      </c>
      <c r="U701" s="4" t="b">
        <v>0</v>
      </c>
      <c r="V701" s="4" t="b">
        <f>AND(_xlfn.XLOOKUP(_xlfn.TEXTJOIN(,,D701:O701),Aux!$B$3:$B$4098,'Truth Table'!$T$3:$T$4098)=1,P700&lt;='Line Follower'!$C$7)</f>
        <v>0</v>
      </c>
      <c r="W701" s="4" t="b">
        <f>AND(_xlfn.XLOOKUP(_xlfn.TEXTJOIN(,,D701:O701),Aux!$B$3:$B$4098,'Truth Table'!$U$3:$U$4098)=1,P700&gt;='Line Follower'!$C$6)</f>
        <v>0</v>
      </c>
      <c r="X701" s="4" t="b">
        <f>IFERROR(AND(_xlfn.XLOOKUP(_xlfn.TEXTJOIN(,,D701:O701),Aux!$B$3:$B$4098,'Truth Table'!$V$3:$V$4098)=1,ABS(P700)&lt;='Line Follower'!$C$6),FALSE)</f>
        <v>0</v>
      </c>
      <c r="Y701" s="4" t="b">
        <f t="shared" si="10"/>
        <v>1</v>
      </c>
    </row>
    <row r="702" spans="2:25" x14ac:dyDescent="0.25">
      <c r="B702" s="4">
        <v>699</v>
      </c>
      <c r="C702" s="4">
        <v>5986</v>
      </c>
      <c r="D702" s="4">
        <v>0</v>
      </c>
      <c r="E702" s="4">
        <v>0</v>
      </c>
      <c r="F702" s="4">
        <v>0</v>
      </c>
      <c r="G702" s="4">
        <v>0</v>
      </c>
      <c r="H702" s="4">
        <v>0</v>
      </c>
      <c r="I702" s="4">
        <v>0</v>
      </c>
      <c r="J702" s="4">
        <v>0</v>
      </c>
      <c r="K702" s="4">
        <v>0</v>
      </c>
      <c r="L702" s="4">
        <v>1</v>
      </c>
      <c r="M702" s="4">
        <v>1</v>
      </c>
      <c r="N702" s="4">
        <v>0</v>
      </c>
      <c r="O702" s="4">
        <v>0</v>
      </c>
      <c r="P702" s="51">
        <f>IFERROR(_xlfn.XLOOKUP(_xlfn.TEXTJOIN(,,D701:O701),Aux!$B$3:$B$4098,'Truth Table'!$N$3:$N$4098),P701)</f>
        <v>6</v>
      </c>
      <c r="Q702" s="4" t="b" cm="1">
        <f t="array" ref="Q702:U702">IFERROR(_xlfn.XLOOKUP(_xlfn.TEXTJOIN(,,D702:O702),Aux!$B$3:$B$4098,'Truth Table'!$O$3:$S$4098)=1,FALSE)</f>
        <v>1</v>
      </c>
      <c r="R702" s="4" t="b">
        <v>0</v>
      </c>
      <c r="S702" s="4" t="b">
        <v>0</v>
      </c>
      <c r="T702" s="4" t="b">
        <v>0</v>
      </c>
      <c r="U702" s="4" t="b">
        <v>0</v>
      </c>
      <c r="V702" s="4" t="b">
        <f>AND(_xlfn.XLOOKUP(_xlfn.TEXTJOIN(,,D702:O702),Aux!$B$3:$B$4098,'Truth Table'!$T$3:$T$4098)=1,P701&lt;='Line Follower'!$C$7)</f>
        <v>0</v>
      </c>
      <c r="W702" s="4" t="b">
        <f>AND(_xlfn.XLOOKUP(_xlfn.TEXTJOIN(,,D702:O702),Aux!$B$3:$B$4098,'Truth Table'!$U$3:$U$4098)=1,P701&gt;='Line Follower'!$C$6)</f>
        <v>0</v>
      </c>
      <c r="X702" s="4" t="b">
        <f>IFERROR(AND(_xlfn.XLOOKUP(_xlfn.TEXTJOIN(,,D702:O702),Aux!$B$3:$B$4098,'Truth Table'!$V$3:$V$4098)=1,ABS(P701)&lt;='Line Follower'!$C$6),FALSE)</f>
        <v>0</v>
      </c>
      <c r="Y702" s="4" t="b">
        <f t="shared" si="10"/>
        <v>1</v>
      </c>
    </row>
    <row r="703" spans="2:25" x14ac:dyDescent="0.25">
      <c r="B703" s="4">
        <v>700</v>
      </c>
      <c r="C703" s="4">
        <v>5999</v>
      </c>
      <c r="D703" s="4">
        <v>0</v>
      </c>
      <c r="E703" s="4">
        <v>0</v>
      </c>
      <c r="F703" s="4">
        <v>0</v>
      </c>
      <c r="G703" s="4">
        <v>0</v>
      </c>
      <c r="H703" s="4">
        <v>0</v>
      </c>
      <c r="I703" s="4">
        <v>0</v>
      </c>
      <c r="J703" s="4">
        <v>0</v>
      </c>
      <c r="K703" s="4">
        <v>0</v>
      </c>
      <c r="L703" s="4">
        <v>1</v>
      </c>
      <c r="M703" s="4">
        <v>1</v>
      </c>
      <c r="N703" s="4">
        <v>0</v>
      </c>
      <c r="O703" s="4">
        <v>0</v>
      </c>
      <c r="P703" s="51">
        <f>IFERROR(_xlfn.XLOOKUP(_xlfn.TEXTJOIN(,,D702:O702),Aux!$B$3:$B$4098,'Truth Table'!$N$3:$N$4098),P702)</f>
        <v>6</v>
      </c>
      <c r="Q703" s="4" t="b" cm="1">
        <f t="array" ref="Q703:U703">IFERROR(_xlfn.XLOOKUP(_xlfn.TEXTJOIN(,,D703:O703),Aux!$B$3:$B$4098,'Truth Table'!$O$3:$S$4098)=1,FALSE)</f>
        <v>1</v>
      </c>
      <c r="R703" s="4" t="b">
        <v>0</v>
      </c>
      <c r="S703" s="4" t="b">
        <v>0</v>
      </c>
      <c r="T703" s="4" t="b">
        <v>0</v>
      </c>
      <c r="U703" s="4" t="b">
        <v>0</v>
      </c>
      <c r="V703" s="4" t="b">
        <f>AND(_xlfn.XLOOKUP(_xlfn.TEXTJOIN(,,D703:O703),Aux!$B$3:$B$4098,'Truth Table'!$T$3:$T$4098)=1,P702&lt;='Line Follower'!$C$7)</f>
        <v>0</v>
      </c>
      <c r="W703" s="4" t="b">
        <f>AND(_xlfn.XLOOKUP(_xlfn.TEXTJOIN(,,D703:O703),Aux!$B$3:$B$4098,'Truth Table'!$U$3:$U$4098)=1,P702&gt;='Line Follower'!$C$6)</f>
        <v>0</v>
      </c>
      <c r="X703" s="4" t="b">
        <f>IFERROR(AND(_xlfn.XLOOKUP(_xlfn.TEXTJOIN(,,D703:O703),Aux!$B$3:$B$4098,'Truth Table'!$V$3:$V$4098)=1,ABS(P702)&lt;='Line Follower'!$C$6),FALSE)</f>
        <v>0</v>
      </c>
      <c r="Y703" s="4" t="b">
        <f t="shared" si="10"/>
        <v>1</v>
      </c>
    </row>
    <row r="704" spans="2:25" x14ac:dyDescent="0.25">
      <c r="B704" s="4">
        <v>701</v>
      </c>
      <c r="C704" s="4">
        <v>6008</v>
      </c>
      <c r="D704" s="4">
        <v>0</v>
      </c>
      <c r="E704" s="4">
        <v>0</v>
      </c>
      <c r="F704" s="4">
        <v>0</v>
      </c>
      <c r="G704" s="4">
        <v>0</v>
      </c>
      <c r="H704" s="4">
        <v>0</v>
      </c>
      <c r="I704" s="4">
        <v>0</v>
      </c>
      <c r="J704" s="4">
        <v>0</v>
      </c>
      <c r="K704" s="4">
        <v>0</v>
      </c>
      <c r="L704" s="4">
        <v>1</v>
      </c>
      <c r="M704" s="4">
        <v>1</v>
      </c>
      <c r="N704" s="4">
        <v>0</v>
      </c>
      <c r="O704" s="4">
        <v>0</v>
      </c>
      <c r="P704" s="51">
        <f>IFERROR(_xlfn.XLOOKUP(_xlfn.TEXTJOIN(,,D703:O703),Aux!$B$3:$B$4098,'Truth Table'!$N$3:$N$4098),P703)</f>
        <v>6</v>
      </c>
      <c r="Q704" s="4" t="b" cm="1">
        <f t="array" ref="Q704:U704">IFERROR(_xlfn.XLOOKUP(_xlfn.TEXTJOIN(,,D704:O704),Aux!$B$3:$B$4098,'Truth Table'!$O$3:$S$4098)=1,FALSE)</f>
        <v>1</v>
      </c>
      <c r="R704" s="4" t="b">
        <v>0</v>
      </c>
      <c r="S704" s="4" t="b">
        <v>0</v>
      </c>
      <c r="T704" s="4" t="b">
        <v>0</v>
      </c>
      <c r="U704" s="4" t="b">
        <v>0</v>
      </c>
      <c r="V704" s="4" t="b">
        <f>AND(_xlfn.XLOOKUP(_xlfn.TEXTJOIN(,,D704:O704),Aux!$B$3:$B$4098,'Truth Table'!$T$3:$T$4098)=1,P703&lt;='Line Follower'!$C$7)</f>
        <v>0</v>
      </c>
      <c r="W704" s="4" t="b">
        <f>AND(_xlfn.XLOOKUP(_xlfn.TEXTJOIN(,,D704:O704),Aux!$B$3:$B$4098,'Truth Table'!$U$3:$U$4098)=1,P703&gt;='Line Follower'!$C$6)</f>
        <v>0</v>
      </c>
      <c r="X704" s="4" t="b">
        <f>IFERROR(AND(_xlfn.XLOOKUP(_xlfn.TEXTJOIN(,,D704:O704),Aux!$B$3:$B$4098,'Truth Table'!$V$3:$V$4098)=1,ABS(P703)&lt;='Line Follower'!$C$6),FALSE)</f>
        <v>0</v>
      </c>
      <c r="Y704" s="4" t="b">
        <f t="shared" si="10"/>
        <v>1</v>
      </c>
    </row>
    <row r="705" spans="2:25" x14ac:dyDescent="0.25">
      <c r="B705" s="4">
        <v>702</v>
      </c>
      <c r="C705" s="4">
        <v>6019</v>
      </c>
      <c r="D705" s="4">
        <v>0</v>
      </c>
      <c r="E705" s="4">
        <v>0</v>
      </c>
      <c r="F705" s="4">
        <v>0</v>
      </c>
      <c r="G705" s="4">
        <v>0</v>
      </c>
      <c r="H705" s="4">
        <v>0</v>
      </c>
      <c r="I705" s="4">
        <v>0</v>
      </c>
      <c r="J705" s="4">
        <v>0</v>
      </c>
      <c r="K705" s="4">
        <v>0</v>
      </c>
      <c r="L705" s="4">
        <v>1</v>
      </c>
      <c r="M705" s="4">
        <v>1</v>
      </c>
      <c r="N705" s="4">
        <v>0</v>
      </c>
      <c r="O705" s="4">
        <v>0</v>
      </c>
      <c r="P705" s="51">
        <f>IFERROR(_xlfn.XLOOKUP(_xlfn.TEXTJOIN(,,D704:O704),Aux!$B$3:$B$4098,'Truth Table'!$N$3:$N$4098),P704)</f>
        <v>6</v>
      </c>
      <c r="Q705" s="4" t="b" cm="1">
        <f t="array" ref="Q705:U705">IFERROR(_xlfn.XLOOKUP(_xlfn.TEXTJOIN(,,D705:O705),Aux!$B$3:$B$4098,'Truth Table'!$O$3:$S$4098)=1,FALSE)</f>
        <v>1</v>
      </c>
      <c r="R705" s="4" t="b">
        <v>0</v>
      </c>
      <c r="S705" s="4" t="b">
        <v>0</v>
      </c>
      <c r="T705" s="4" t="b">
        <v>0</v>
      </c>
      <c r="U705" s="4" t="b">
        <v>0</v>
      </c>
      <c r="V705" s="4" t="b">
        <f>AND(_xlfn.XLOOKUP(_xlfn.TEXTJOIN(,,D705:O705),Aux!$B$3:$B$4098,'Truth Table'!$T$3:$T$4098)=1,P704&lt;='Line Follower'!$C$7)</f>
        <v>0</v>
      </c>
      <c r="W705" s="4" t="b">
        <f>AND(_xlfn.XLOOKUP(_xlfn.TEXTJOIN(,,D705:O705),Aux!$B$3:$B$4098,'Truth Table'!$U$3:$U$4098)=1,P704&gt;='Line Follower'!$C$6)</f>
        <v>0</v>
      </c>
      <c r="X705" s="4" t="b">
        <f>IFERROR(AND(_xlfn.XLOOKUP(_xlfn.TEXTJOIN(,,D705:O705),Aux!$B$3:$B$4098,'Truth Table'!$V$3:$V$4098)=1,ABS(P704)&lt;='Line Follower'!$C$6),FALSE)</f>
        <v>0</v>
      </c>
      <c r="Y705" s="4" t="b">
        <f t="shared" si="10"/>
        <v>1</v>
      </c>
    </row>
    <row r="706" spans="2:25" x14ac:dyDescent="0.25">
      <c r="B706" s="4">
        <v>703</v>
      </c>
      <c r="C706" s="4">
        <v>6028</v>
      </c>
      <c r="D706" s="4">
        <v>0</v>
      </c>
      <c r="E706" s="4">
        <v>0</v>
      </c>
      <c r="F706" s="4">
        <v>0</v>
      </c>
      <c r="G706" s="4">
        <v>0</v>
      </c>
      <c r="H706" s="4">
        <v>0</v>
      </c>
      <c r="I706" s="4">
        <v>0</v>
      </c>
      <c r="J706" s="4">
        <v>0</v>
      </c>
      <c r="K706" s="4">
        <v>0</v>
      </c>
      <c r="L706" s="4">
        <v>1</v>
      </c>
      <c r="M706" s="4">
        <v>1</v>
      </c>
      <c r="N706" s="4">
        <v>0</v>
      </c>
      <c r="O706" s="4">
        <v>0</v>
      </c>
      <c r="P706" s="51">
        <f>IFERROR(_xlfn.XLOOKUP(_xlfn.TEXTJOIN(,,D705:O705),Aux!$B$3:$B$4098,'Truth Table'!$N$3:$N$4098),P705)</f>
        <v>6</v>
      </c>
      <c r="Q706" s="4" t="b" cm="1">
        <f t="array" ref="Q706:U706">IFERROR(_xlfn.XLOOKUP(_xlfn.TEXTJOIN(,,D706:O706),Aux!$B$3:$B$4098,'Truth Table'!$O$3:$S$4098)=1,FALSE)</f>
        <v>1</v>
      </c>
      <c r="R706" s="4" t="b">
        <v>0</v>
      </c>
      <c r="S706" s="4" t="b">
        <v>0</v>
      </c>
      <c r="T706" s="4" t="b">
        <v>0</v>
      </c>
      <c r="U706" s="4" t="b">
        <v>0</v>
      </c>
      <c r="V706" s="4" t="b">
        <f>AND(_xlfn.XLOOKUP(_xlfn.TEXTJOIN(,,D706:O706),Aux!$B$3:$B$4098,'Truth Table'!$T$3:$T$4098)=1,P705&lt;='Line Follower'!$C$7)</f>
        <v>0</v>
      </c>
      <c r="W706" s="4" t="b">
        <f>AND(_xlfn.XLOOKUP(_xlfn.TEXTJOIN(,,D706:O706),Aux!$B$3:$B$4098,'Truth Table'!$U$3:$U$4098)=1,P705&gt;='Line Follower'!$C$6)</f>
        <v>0</v>
      </c>
      <c r="X706" s="4" t="b">
        <f>IFERROR(AND(_xlfn.XLOOKUP(_xlfn.TEXTJOIN(,,D706:O706),Aux!$B$3:$B$4098,'Truth Table'!$V$3:$V$4098)=1,ABS(P705)&lt;='Line Follower'!$C$6),FALSE)</f>
        <v>0</v>
      </c>
      <c r="Y706" s="4" t="b">
        <f t="shared" si="10"/>
        <v>1</v>
      </c>
    </row>
    <row r="707" spans="2:25" x14ac:dyDescent="0.25">
      <c r="B707" s="4">
        <v>704</v>
      </c>
      <c r="C707" s="4">
        <v>6042</v>
      </c>
      <c r="D707" s="4">
        <v>0</v>
      </c>
      <c r="E707" s="4">
        <v>0</v>
      </c>
      <c r="F707" s="4">
        <v>0</v>
      </c>
      <c r="G707" s="4">
        <v>0</v>
      </c>
      <c r="H707" s="4">
        <v>0</v>
      </c>
      <c r="I707" s="4">
        <v>0</v>
      </c>
      <c r="J707" s="4">
        <v>0</v>
      </c>
      <c r="K707" s="4">
        <v>0</v>
      </c>
      <c r="L707" s="4">
        <v>1</v>
      </c>
      <c r="M707" s="4">
        <v>0</v>
      </c>
      <c r="N707" s="4">
        <v>0</v>
      </c>
      <c r="O707" s="4">
        <v>0</v>
      </c>
      <c r="P707" s="51">
        <f>IFERROR(_xlfn.XLOOKUP(_xlfn.TEXTJOIN(,,D706:O706),Aux!$B$3:$B$4098,'Truth Table'!$N$3:$N$4098),P706)</f>
        <v>6</v>
      </c>
      <c r="Q707" s="4" t="b" cm="1">
        <f t="array" ref="Q707:U707">IFERROR(_xlfn.XLOOKUP(_xlfn.TEXTJOIN(,,D707:O707),Aux!$B$3:$B$4098,'Truth Table'!$O$3:$S$4098)=1,FALSE)</f>
        <v>1</v>
      </c>
      <c r="R707" s="4" t="b">
        <v>0</v>
      </c>
      <c r="S707" s="4" t="b">
        <v>0</v>
      </c>
      <c r="T707" s="4" t="b">
        <v>0</v>
      </c>
      <c r="U707" s="4" t="b">
        <v>0</v>
      </c>
      <c r="V707" s="4" t="b">
        <f>AND(_xlfn.XLOOKUP(_xlfn.TEXTJOIN(,,D707:O707),Aux!$B$3:$B$4098,'Truth Table'!$T$3:$T$4098)=1,P706&lt;='Line Follower'!$C$7)</f>
        <v>0</v>
      </c>
      <c r="W707" s="4" t="b">
        <f>AND(_xlfn.XLOOKUP(_xlfn.TEXTJOIN(,,D707:O707),Aux!$B$3:$B$4098,'Truth Table'!$U$3:$U$4098)=1,P706&gt;='Line Follower'!$C$6)</f>
        <v>0</v>
      </c>
      <c r="X707" s="4" t="b">
        <f>IFERROR(AND(_xlfn.XLOOKUP(_xlfn.TEXTJOIN(,,D707:O707),Aux!$B$3:$B$4098,'Truth Table'!$V$3:$V$4098)=1,ABS(P706)&lt;='Line Follower'!$C$6),FALSE)</f>
        <v>0</v>
      </c>
      <c r="Y707" s="4" t="b">
        <f t="shared" si="10"/>
        <v>1</v>
      </c>
    </row>
    <row r="708" spans="2:25" x14ac:dyDescent="0.25">
      <c r="B708" s="4">
        <v>705</v>
      </c>
      <c r="C708" s="4">
        <v>6050</v>
      </c>
      <c r="D708" s="4">
        <v>0</v>
      </c>
      <c r="E708" s="4">
        <v>0</v>
      </c>
      <c r="F708" s="4">
        <v>0</v>
      </c>
      <c r="G708" s="4">
        <v>0</v>
      </c>
      <c r="H708" s="4">
        <v>0</v>
      </c>
      <c r="I708" s="4">
        <v>0</v>
      </c>
      <c r="J708" s="4">
        <v>0</v>
      </c>
      <c r="K708" s="4">
        <v>1</v>
      </c>
      <c r="L708" s="4">
        <v>1</v>
      </c>
      <c r="M708" s="4">
        <v>0</v>
      </c>
      <c r="N708" s="4">
        <v>0</v>
      </c>
      <c r="O708" s="4">
        <v>0</v>
      </c>
      <c r="P708" s="51">
        <f>IFERROR(_xlfn.XLOOKUP(_xlfn.TEXTJOIN(,,D707:O707),Aux!$B$3:$B$4098,'Truth Table'!$N$3:$N$4098),P707)</f>
        <v>5</v>
      </c>
      <c r="Q708" s="4" t="b" cm="1">
        <f t="array" ref="Q708:U708">IFERROR(_xlfn.XLOOKUP(_xlfn.TEXTJOIN(,,D708:O708),Aux!$B$3:$B$4098,'Truth Table'!$O$3:$S$4098)=1,FALSE)</f>
        <v>1</v>
      </c>
      <c r="R708" s="4" t="b">
        <v>0</v>
      </c>
      <c r="S708" s="4" t="b">
        <v>0</v>
      </c>
      <c r="T708" s="4" t="b">
        <v>0</v>
      </c>
      <c r="U708" s="4" t="b">
        <v>0</v>
      </c>
      <c r="V708" s="4" t="b">
        <f>AND(_xlfn.XLOOKUP(_xlfn.TEXTJOIN(,,D708:O708),Aux!$B$3:$B$4098,'Truth Table'!$T$3:$T$4098)=1,P707&lt;='Line Follower'!$C$7)</f>
        <v>0</v>
      </c>
      <c r="W708" s="4" t="b">
        <f>AND(_xlfn.XLOOKUP(_xlfn.TEXTJOIN(,,D708:O708),Aux!$B$3:$B$4098,'Truth Table'!$U$3:$U$4098)=1,P707&gt;='Line Follower'!$C$6)</f>
        <v>0</v>
      </c>
      <c r="X708" s="4" t="b">
        <f>IFERROR(AND(_xlfn.XLOOKUP(_xlfn.TEXTJOIN(,,D708:O708),Aux!$B$3:$B$4098,'Truth Table'!$V$3:$V$4098)=1,ABS(P707)&lt;='Line Follower'!$C$6),FALSE)</f>
        <v>0</v>
      </c>
      <c r="Y708" s="4" t="b">
        <f t="shared" ref="Y708:Y771" si="11">OR(Q708:X708)</f>
        <v>1</v>
      </c>
    </row>
    <row r="709" spans="2:25" x14ac:dyDescent="0.25">
      <c r="B709" s="4">
        <v>706</v>
      </c>
      <c r="C709" s="4">
        <v>6062</v>
      </c>
      <c r="D709" s="4">
        <v>0</v>
      </c>
      <c r="E709" s="4">
        <v>0</v>
      </c>
      <c r="F709" s="4">
        <v>0</v>
      </c>
      <c r="G709" s="4">
        <v>0</v>
      </c>
      <c r="H709" s="4">
        <v>0</v>
      </c>
      <c r="I709" s="4">
        <v>0</v>
      </c>
      <c r="J709" s="4">
        <v>0</v>
      </c>
      <c r="K709" s="4">
        <v>1</v>
      </c>
      <c r="L709" s="4">
        <v>1</v>
      </c>
      <c r="M709" s="4">
        <v>0</v>
      </c>
      <c r="N709" s="4">
        <v>0</v>
      </c>
      <c r="O709" s="4">
        <v>0</v>
      </c>
      <c r="P709" s="51">
        <f>IFERROR(_xlfn.XLOOKUP(_xlfn.TEXTJOIN(,,D708:O708),Aux!$B$3:$B$4098,'Truth Table'!$N$3:$N$4098),P708)</f>
        <v>4</v>
      </c>
      <c r="Q709" s="4" t="b" cm="1">
        <f t="array" ref="Q709:U709">IFERROR(_xlfn.XLOOKUP(_xlfn.TEXTJOIN(,,D709:O709),Aux!$B$3:$B$4098,'Truth Table'!$O$3:$S$4098)=1,FALSE)</f>
        <v>1</v>
      </c>
      <c r="R709" s="4" t="b">
        <v>0</v>
      </c>
      <c r="S709" s="4" t="b">
        <v>0</v>
      </c>
      <c r="T709" s="4" t="b">
        <v>0</v>
      </c>
      <c r="U709" s="4" t="b">
        <v>0</v>
      </c>
      <c r="V709" s="4" t="b">
        <f>AND(_xlfn.XLOOKUP(_xlfn.TEXTJOIN(,,D709:O709),Aux!$B$3:$B$4098,'Truth Table'!$T$3:$T$4098)=1,P708&lt;='Line Follower'!$C$7)</f>
        <v>0</v>
      </c>
      <c r="W709" s="4" t="b">
        <f>AND(_xlfn.XLOOKUP(_xlfn.TEXTJOIN(,,D709:O709),Aux!$B$3:$B$4098,'Truth Table'!$U$3:$U$4098)=1,P708&gt;='Line Follower'!$C$6)</f>
        <v>0</v>
      </c>
      <c r="X709" s="4" t="b">
        <f>IFERROR(AND(_xlfn.XLOOKUP(_xlfn.TEXTJOIN(,,D709:O709),Aux!$B$3:$B$4098,'Truth Table'!$V$3:$V$4098)=1,ABS(P708)&lt;='Line Follower'!$C$6),FALSE)</f>
        <v>0</v>
      </c>
      <c r="Y709" s="4" t="b">
        <f t="shared" si="11"/>
        <v>1</v>
      </c>
    </row>
    <row r="710" spans="2:25" x14ac:dyDescent="0.25">
      <c r="B710" s="4">
        <v>707</v>
      </c>
      <c r="C710" s="4">
        <v>6062</v>
      </c>
      <c r="D710" s="4">
        <v>0</v>
      </c>
      <c r="E710" s="4">
        <v>0</v>
      </c>
      <c r="F710" s="4">
        <v>0</v>
      </c>
      <c r="G710" s="4">
        <v>0</v>
      </c>
      <c r="H710" s="4">
        <v>0</v>
      </c>
      <c r="I710" s="4">
        <v>0</v>
      </c>
      <c r="J710" s="4">
        <v>0</v>
      </c>
      <c r="K710" s="4">
        <v>1</v>
      </c>
      <c r="L710" s="4">
        <v>1</v>
      </c>
      <c r="M710" s="4">
        <v>0</v>
      </c>
      <c r="N710" s="4">
        <v>0</v>
      </c>
      <c r="O710" s="4">
        <v>0</v>
      </c>
      <c r="P710" s="51">
        <f>IFERROR(_xlfn.XLOOKUP(_xlfn.TEXTJOIN(,,D709:O709),Aux!$B$3:$B$4098,'Truth Table'!$N$3:$N$4098),P709)</f>
        <v>4</v>
      </c>
      <c r="Q710" s="4" t="b" cm="1">
        <f t="array" ref="Q710:U710">IFERROR(_xlfn.XLOOKUP(_xlfn.TEXTJOIN(,,D710:O710),Aux!$B$3:$B$4098,'Truth Table'!$O$3:$S$4098)=1,FALSE)</f>
        <v>1</v>
      </c>
      <c r="R710" s="4" t="b">
        <v>0</v>
      </c>
      <c r="S710" s="4" t="b">
        <v>0</v>
      </c>
      <c r="T710" s="4" t="b">
        <v>0</v>
      </c>
      <c r="U710" s="4" t="b">
        <v>0</v>
      </c>
      <c r="V710" s="4" t="b">
        <f>AND(_xlfn.XLOOKUP(_xlfn.TEXTJOIN(,,D710:O710),Aux!$B$3:$B$4098,'Truth Table'!$T$3:$T$4098)=1,P709&lt;='Line Follower'!$C$7)</f>
        <v>0</v>
      </c>
      <c r="W710" s="4" t="b">
        <f>AND(_xlfn.XLOOKUP(_xlfn.TEXTJOIN(,,D710:O710),Aux!$B$3:$B$4098,'Truth Table'!$U$3:$U$4098)=1,P709&gt;='Line Follower'!$C$6)</f>
        <v>0</v>
      </c>
      <c r="X710" s="4" t="b">
        <f>IFERROR(AND(_xlfn.XLOOKUP(_xlfn.TEXTJOIN(,,D710:O710),Aux!$B$3:$B$4098,'Truth Table'!$V$3:$V$4098)=1,ABS(P709)&lt;='Line Follower'!$C$6),FALSE)</f>
        <v>0</v>
      </c>
      <c r="Y710" s="4" t="b">
        <f t="shared" si="11"/>
        <v>1</v>
      </c>
    </row>
    <row r="711" spans="2:25" x14ac:dyDescent="0.25">
      <c r="B711" s="4">
        <v>708</v>
      </c>
      <c r="C711" s="4">
        <v>6071</v>
      </c>
      <c r="D711" s="4">
        <v>0</v>
      </c>
      <c r="E711" s="4">
        <v>0</v>
      </c>
      <c r="F711" s="4">
        <v>0</v>
      </c>
      <c r="G711" s="4">
        <v>0</v>
      </c>
      <c r="H711" s="4">
        <v>0</v>
      </c>
      <c r="I711" s="4">
        <v>0</v>
      </c>
      <c r="J711" s="4">
        <v>0</v>
      </c>
      <c r="K711" s="4">
        <v>1</v>
      </c>
      <c r="L711" s="4">
        <v>1</v>
      </c>
      <c r="M711" s="4">
        <v>0</v>
      </c>
      <c r="N711" s="4">
        <v>0</v>
      </c>
      <c r="O711" s="4">
        <v>0</v>
      </c>
      <c r="P711" s="51">
        <f>IFERROR(_xlfn.XLOOKUP(_xlfn.TEXTJOIN(,,D710:O710),Aux!$B$3:$B$4098,'Truth Table'!$N$3:$N$4098),P710)</f>
        <v>4</v>
      </c>
      <c r="Q711" s="4" t="b" cm="1">
        <f t="array" ref="Q711:U711">IFERROR(_xlfn.XLOOKUP(_xlfn.TEXTJOIN(,,D711:O711),Aux!$B$3:$B$4098,'Truth Table'!$O$3:$S$4098)=1,FALSE)</f>
        <v>1</v>
      </c>
      <c r="R711" s="4" t="b">
        <v>0</v>
      </c>
      <c r="S711" s="4" t="b">
        <v>0</v>
      </c>
      <c r="T711" s="4" t="b">
        <v>0</v>
      </c>
      <c r="U711" s="4" t="b">
        <v>0</v>
      </c>
      <c r="V711" s="4" t="b">
        <f>AND(_xlfn.XLOOKUP(_xlfn.TEXTJOIN(,,D711:O711),Aux!$B$3:$B$4098,'Truth Table'!$T$3:$T$4098)=1,P710&lt;='Line Follower'!$C$7)</f>
        <v>0</v>
      </c>
      <c r="W711" s="4" t="b">
        <f>AND(_xlfn.XLOOKUP(_xlfn.TEXTJOIN(,,D711:O711),Aux!$B$3:$B$4098,'Truth Table'!$U$3:$U$4098)=1,P710&gt;='Line Follower'!$C$6)</f>
        <v>0</v>
      </c>
      <c r="X711" s="4" t="b">
        <f>IFERROR(AND(_xlfn.XLOOKUP(_xlfn.TEXTJOIN(,,D711:O711),Aux!$B$3:$B$4098,'Truth Table'!$V$3:$V$4098)=1,ABS(P710)&lt;='Line Follower'!$C$6),FALSE)</f>
        <v>0</v>
      </c>
      <c r="Y711" s="4" t="b">
        <f t="shared" si="11"/>
        <v>1</v>
      </c>
    </row>
    <row r="712" spans="2:25" x14ac:dyDescent="0.25">
      <c r="B712" s="4">
        <v>709</v>
      </c>
      <c r="C712" s="4">
        <v>6088</v>
      </c>
      <c r="D712" s="4">
        <v>0</v>
      </c>
      <c r="E712" s="4">
        <v>0</v>
      </c>
      <c r="F712" s="4">
        <v>0</v>
      </c>
      <c r="G712" s="4">
        <v>0</v>
      </c>
      <c r="H712" s="4">
        <v>0</v>
      </c>
      <c r="I712" s="4">
        <v>0</v>
      </c>
      <c r="J712" s="4">
        <v>0</v>
      </c>
      <c r="K712" s="4">
        <v>1</v>
      </c>
      <c r="L712" s="4">
        <v>1</v>
      </c>
      <c r="M712" s="4">
        <v>0</v>
      </c>
      <c r="N712" s="4">
        <v>0</v>
      </c>
      <c r="O712" s="4">
        <v>0</v>
      </c>
      <c r="P712" s="51">
        <f>IFERROR(_xlfn.XLOOKUP(_xlfn.TEXTJOIN(,,D711:O711),Aux!$B$3:$B$4098,'Truth Table'!$N$3:$N$4098),P711)</f>
        <v>4</v>
      </c>
      <c r="Q712" s="4" t="b" cm="1">
        <f t="array" ref="Q712:U712">IFERROR(_xlfn.XLOOKUP(_xlfn.TEXTJOIN(,,D712:O712),Aux!$B$3:$B$4098,'Truth Table'!$O$3:$S$4098)=1,FALSE)</f>
        <v>1</v>
      </c>
      <c r="R712" s="4" t="b">
        <v>0</v>
      </c>
      <c r="S712" s="4" t="b">
        <v>0</v>
      </c>
      <c r="T712" s="4" t="b">
        <v>0</v>
      </c>
      <c r="U712" s="4" t="b">
        <v>0</v>
      </c>
      <c r="V712" s="4" t="b">
        <f>AND(_xlfn.XLOOKUP(_xlfn.TEXTJOIN(,,D712:O712),Aux!$B$3:$B$4098,'Truth Table'!$T$3:$T$4098)=1,P711&lt;='Line Follower'!$C$7)</f>
        <v>0</v>
      </c>
      <c r="W712" s="4" t="b">
        <f>AND(_xlfn.XLOOKUP(_xlfn.TEXTJOIN(,,D712:O712),Aux!$B$3:$B$4098,'Truth Table'!$U$3:$U$4098)=1,P711&gt;='Line Follower'!$C$6)</f>
        <v>0</v>
      </c>
      <c r="X712" s="4" t="b">
        <f>IFERROR(AND(_xlfn.XLOOKUP(_xlfn.TEXTJOIN(,,D712:O712),Aux!$B$3:$B$4098,'Truth Table'!$V$3:$V$4098)=1,ABS(P711)&lt;='Line Follower'!$C$6),FALSE)</f>
        <v>0</v>
      </c>
      <c r="Y712" s="4" t="b">
        <f t="shared" si="11"/>
        <v>1</v>
      </c>
    </row>
    <row r="713" spans="2:25" x14ac:dyDescent="0.25">
      <c r="B713" s="4">
        <v>710</v>
      </c>
      <c r="C713" s="4">
        <v>6093</v>
      </c>
      <c r="D713" s="4">
        <v>0</v>
      </c>
      <c r="E713" s="4">
        <v>0</v>
      </c>
      <c r="F713" s="4">
        <v>0</v>
      </c>
      <c r="G713" s="4">
        <v>0</v>
      </c>
      <c r="H713" s="4">
        <v>0</v>
      </c>
      <c r="I713" s="4">
        <v>0</v>
      </c>
      <c r="J713" s="4">
        <v>0</v>
      </c>
      <c r="K713" s="4">
        <v>1</v>
      </c>
      <c r="L713" s="4">
        <v>1</v>
      </c>
      <c r="M713" s="4">
        <v>0</v>
      </c>
      <c r="N713" s="4">
        <v>0</v>
      </c>
      <c r="O713" s="4">
        <v>0</v>
      </c>
      <c r="P713" s="51">
        <f>IFERROR(_xlfn.XLOOKUP(_xlfn.TEXTJOIN(,,D712:O712),Aux!$B$3:$B$4098,'Truth Table'!$N$3:$N$4098),P712)</f>
        <v>4</v>
      </c>
      <c r="Q713" s="4" t="b" cm="1">
        <f t="array" ref="Q713:U713">IFERROR(_xlfn.XLOOKUP(_xlfn.TEXTJOIN(,,D713:O713),Aux!$B$3:$B$4098,'Truth Table'!$O$3:$S$4098)=1,FALSE)</f>
        <v>1</v>
      </c>
      <c r="R713" s="4" t="b">
        <v>0</v>
      </c>
      <c r="S713" s="4" t="b">
        <v>0</v>
      </c>
      <c r="T713" s="4" t="b">
        <v>0</v>
      </c>
      <c r="U713" s="4" t="b">
        <v>0</v>
      </c>
      <c r="V713" s="4" t="b">
        <f>AND(_xlfn.XLOOKUP(_xlfn.TEXTJOIN(,,D713:O713),Aux!$B$3:$B$4098,'Truth Table'!$T$3:$T$4098)=1,P712&lt;='Line Follower'!$C$7)</f>
        <v>0</v>
      </c>
      <c r="W713" s="4" t="b">
        <f>AND(_xlfn.XLOOKUP(_xlfn.TEXTJOIN(,,D713:O713),Aux!$B$3:$B$4098,'Truth Table'!$U$3:$U$4098)=1,P712&gt;='Line Follower'!$C$6)</f>
        <v>0</v>
      </c>
      <c r="X713" s="4" t="b">
        <f>IFERROR(AND(_xlfn.XLOOKUP(_xlfn.TEXTJOIN(,,D713:O713),Aux!$B$3:$B$4098,'Truth Table'!$V$3:$V$4098)=1,ABS(P712)&lt;='Line Follower'!$C$6),FALSE)</f>
        <v>0</v>
      </c>
      <c r="Y713" s="4" t="b">
        <f t="shared" si="11"/>
        <v>1</v>
      </c>
    </row>
    <row r="714" spans="2:25" x14ac:dyDescent="0.25">
      <c r="B714" s="4">
        <v>711</v>
      </c>
      <c r="C714" s="4">
        <v>6104</v>
      </c>
      <c r="D714" s="4">
        <v>0</v>
      </c>
      <c r="E714" s="4">
        <v>0</v>
      </c>
      <c r="F714" s="4">
        <v>0</v>
      </c>
      <c r="G714" s="4">
        <v>0</v>
      </c>
      <c r="H714" s="4">
        <v>0</v>
      </c>
      <c r="I714" s="4">
        <v>0</v>
      </c>
      <c r="J714" s="4">
        <v>0</v>
      </c>
      <c r="K714" s="4">
        <v>1</v>
      </c>
      <c r="L714" s="4">
        <v>1</v>
      </c>
      <c r="M714" s="4">
        <v>0</v>
      </c>
      <c r="N714" s="4">
        <v>0</v>
      </c>
      <c r="O714" s="4">
        <v>0</v>
      </c>
      <c r="P714" s="51">
        <f>IFERROR(_xlfn.XLOOKUP(_xlfn.TEXTJOIN(,,D713:O713),Aux!$B$3:$B$4098,'Truth Table'!$N$3:$N$4098),P713)</f>
        <v>4</v>
      </c>
      <c r="Q714" s="4" t="b" cm="1">
        <f t="array" ref="Q714:U714">IFERROR(_xlfn.XLOOKUP(_xlfn.TEXTJOIN(,,D714:O714),Aux!$B$3:$B$4098,'Truth Table'!$O$3:$S$4098)=1,FALSE)</f>
        <v>1</v>
      </c>
      <c r="R714" s="4" t="b">
        <v>0</v>
      </c>
      <c r="S714" s="4" t="b">
        <v>0</v>
      </c>
      <c r="T714" s="4" t="b">
        <v>0</v>
      </c>
      <c r="U714" s="4" t="b">
        <v>0</v>
      </c>
      <c r="V714" s="4" t="b">
        <f>AND(_xlfn.XLOOKUP(_xlfn.TEXTJOIN(,,D714:O714),Aux!$B$3:$B$4098,'Truth Table'!$T$3:$T$4098)=1,P713&lt;='Line Follower'!$C$7)</f>
        <v>0</v>
      </c>
      <c r="W714" s="4" t="b">
        <f>AND(_xlfn.XLOOKUP(_xlfn.TEXTJOIN(,,D714:O714),Aux!$B$3:$B$4098,'Truth Table'!$U$3:$U$4098)=1,P713&gt;='Line Follower'!$C$6)</f>
        <v>0</v>
      </c>
      <c r="X714" s="4" t="b">
        <f>IFERROR(AND(_xlfn.XLOOKUP(_xlfn.TEXTJOIN(,,D714:O714),Aux!$B$3:$B$4098,'Truth Table'!$V$3:$V$4098)=1,ABS(P713)&lt;='Line Follower'!$C$6),FALSE)</f>
        <v>0</v>
      </c>
      <c r="Y714" s="4" t="b">
        <f t="shared" si="11"/>
        <v>1</v>
      </c>
    </row>
    <row r="715" spans="2:25" x14ac:dyDescent="0.25">
      <c r="B715" s="4">
        <v>712</v>
      </c>
      <c r="C715" s="4">
        <v>6113</v>
      </c>
      <c r="D715" s="4">
        <v>0</v>
      </c>
      <c r="E715" s="4">
        <v>0</v>
      </c>
      <c r="F715" s="4">
        <v>0</v>
      </c>
      <c r="G715" s="4">
        <v>0</v>
      </c>
      <c r="H715" s="4">
        <v>0</v>
      </c>
      <c r="I715" s="4">
        <v>0</v>
      </c>
      <c r="J715" s="4">
        <v>1</v>
      </c>
      <c r="K715" s="4">
        <v>1</v>
      </c>
      <c r="L715" s="4">
        <v>0</v>
      </c>
      <c r="M715" s="4">
        <v>0</v>
      </c>
      <c r="N715" s="4">
        <v>0</v>
      </c>
      <c r="O715" s="4">
        <v>0</v>
      </c>
      <c r="P715" s="51">
        <f>IFERROR(_xlfn.XLOOKUP(_xlfn.TEXTJOIN(,,D714:O714),Aux!$B$3:$B$4098,'Truth Table'!$N$3:$N$4098),P714)</f>
        <v>4</v>
      </c>
      <c r="Q715" s="4" t="b" cm="1">
        <f t="array" ref="Q715:U715">IFERROR(_xlfn.XLOOKUP(_xlfn.TEXTJOIN(,,D715:O715),Aux!$B$3:$B$4098,'Truth Table'!$O$3:$S$4098)=1,FALSE)</f>
        <v>1</v>
      </c>
      <c r="R715" s="4" t="b">
        <v>0</v>
      </c>
      <c r="S715" s="4" t="b">
        <v>0</v>
      </c>
      <c r="T715" s="4" t="b">
        <v>0</v>
      </c>
      <c r="U715" s="4" t="b">
        <v>0</v>
      </c>
      <c r="V715" s="4" t="b">
        <f>AND(_xlfn.XLOOKUP(_xlfn.TEXTJOIN(,,D715:O715),Aux!$B$3:$B$4098,'Truth Table'!$T$3:$T$4098)=1,P714&lt;='Line Follower'!$C$7)</f>
        <v>0</v>
      </c>
      <c r="W715" s="4" t="b">
        <f>AND(_xlfn.XLOOKUP(_xlfn.TEXTJOIN(,,D715:O715),Aux!$B$3:$B$4098,'Truth Table'!$U$3:$U$4098)=1,P714&gt;='Line Follower'!$C$6)</f>
        <v>0</v>
      </c>
      <c r="X715" s="4" t="b">
        <f>IFERROR(AND(_xlfn.XLOOKUP(_xlfn.TEXTJOIN(,,D715:O715),Aux!$B$3:$B$4098,'Truth Table'!$V$3:$V$4098)=1,ABS(P714)&lt;='Line Follower'!$C$6),FALSE)</f>
        <v>0</v>
      </c>
      <c r="Y715" s="4" t="b">
        <f t="shared" si="11"/>
        <v>1</v>
      </c>
    </row>
    <row r="716" spans="2:25" x14ac:dyDescent="0.25">
      <c r="B716" s="4">
        <v>713</v>
      </c>
      <c r="C716" s="4">
        <v>6127</v>
      </c>
      <c r="D716" s="4">
        <v>0</v>
      </c>
      <c r="E716" s="4">
        <v>0</v>
      </c>
      <c r="F716" s="4">
        <v>0</v>
      </c>
      <c r="G716" s="4">
        <v>0</v>
      </c>
      <c r="H716" s="4">
        <v>0</v>
      </c>
      <c r="I716" s="4">
        <v>0</v>
      </c>
      <c r="J716" s="4">
        <v>1</v>
      </c>
      <c r="K716" s="4">
        <v>1</v>
      </c>
      <c r="L716" s="4">
        <v>0</v>
      </c>
      <c r="M716" s="4">
        <v>0</v>
      </c>
      <c r="N716" s="4">
        <v>0</v>
      </c>
      <c r="O716" s="4">
        <v>0</v>
      </c>
      <c r="P716" s="51">
        <f>IFERROR(_xlfn.XLOOKUP(_xlfn.TEXTJOIN(,,D715:O715),Aux!$B$3:$B$4098,'Truth Table'!$N$3:$N$4098),P715)</f>
        <v>2</v>
      </c>
      <c r="Q716" s="4" t="b" cm="1">
        <f t="array" ref="Q716:U716">IFERROR(_xlfn.XLOOKUP(_xlfn.TEXTJOIN(,,D716:O716),Aux!$B$3:$B$4098,'Truth Table'!$O$3:$S$4098)=1,FALSE)</f>
        <v>1</v>
      </c>
      <c r="R716" s="4" t="b">
        <v>0</v>
      </c>
      <c r="S716" s="4" t="b">
        <v>0</v>
      </c>
      <c r="T716" s="4" t="b">
        <v>0</v>
      </c>
      <c r="U716" s="4" t="b">
        <v>0</v>
      </c>
      <c r="V716" s="4" t="b">
        <f>AND(_xlfn.XLOOKUP(_xlfn.TEXTJOIN(,,D716:O716),Aux!$B$3:$B$4098,'Truth Table'!$T$3:$T$4098)=1,P715&lt;='Line Follower'!$C$7)</f>
        <v>0</v>
      </c>
      <c r="W716" s="4" t="b">
        <f>AND(_xlfn.XLOOKUP(_xlfn.TEXTJOIN(,,D716:O716),Aux!$B$3:$B$4098,'Truth Table'!$U$3:$U$4098)=1,P715&gt;='Line Follower'!$C$6)</f>
        <v>0</v>
      </c>
      <c r="X716" s="4" t="b">
        <f>IFERROR(AND(_xlfn.XLOOKUP(_xlfn.TEXTJOIN(,,D716:O716),Aux!$B$3:$B$4098,'Truth Table'!$V$3:$V$4098)=1,ABS(P715)&lt;='Line Follower'!$C$6),FALSE)</f>
        <v>0</v>
      </c>
      <c r="Y716" s="4" t="b">
        <f t="shared" si="11"/>
        <v>1</v>
      </c>
    </row>
    <row r="717" spans="2:25" x14ac:dyDescent="0.25">
      <c r="B717" s="4">
        <v>714</v>
      </c>
      <c r="C717" s="4">
        <v>6136</v>
      </c>
      <c r="D717" s="4">
        <v>0</v>
      </c>
      <c r="E717" s="4">
        <v>0</v>
      </c>
      <c r="F717" s="4">
        <v>0</v>
      </c>
      <c r="G717" s="4">
        <v>0</v>
      </c>
      <c r="H717" s="4">
        <v>0</v>
      </c>
      <c r="I717" s="4">
        <v>0</v>
      </c>
      <c r="J717" s="4">
        <v>1</v>
      </c>
      <c r="K717" s="4">
        <v>1</v>
      </c>
      <c r="L717" s="4">
        <v>0</v>
      </c>
      <c r="M717" s="4">
        <v>0</v>
      </c>
      <c r="N717" s="4">
        <v>0</v>
      </c>
      <c r="O717" s="4">
        <v>0</v>
      </c>
      <c r="P717" s="51">
        <f>IFERROR(_xlfn.XLOOKUP(_xlfn.TEXTJOIN(,,D716:O716),Aux!$B$3:$B$4098,'Truth Table'!$N$3:$N$4098),P716)</f>
        <v>2</v>
      </c>
      <c r="Q717" s="4" t="b" cm="1">
        <f t="array" ref="Q717:U717">IFERROR(_xlfn.XLOOKUP(_xlfn.TEXTJOIN(,,D717:O717),Aux!$B$3:$B$4098,'Truth Table'!$O$3:$S$4098)=1,FALSE)</f>
        <v>1</v>
      </c>
      <c r="R717" s="4" t="b">
        <v>0</v>
      </c>
      <c r="S717" s="4" t="b">
        <v>0</v>
      </c>
      <c r="T717" s="4" t="b">
        <v>0</v>
      </c>
      <c r="U717" s="4" t="b">
        <v>0</v>
      </c>
      <c r="V717" s="4" t="b">
        <f>AND(_xlfn.XLOOKUP(_xlfn.TEXTJOIN(,,D717:O717),Aux!$B$3:$B$4098,'Truth Table'!$T$3:$T$4098)=1,P716&lt;='Line Follower'!$C$7)</f>
        <v>0</v>
      </c>
      <c r="W717" s="4" t="b">
        <f>AND(_xlfn.XLOOKUP(_xlfn.TEXTJOIN(,,D717:O717),Aux!$B$3:$B$4098,'Truth Table'!$U$3:$U$4098)=1,P716&gt;='Line Follower'!$C$6)</f>
        <v>0</v>
      </c>
      <c r="X717" s="4" t="b">
        <f>IFERROR(AND(_xlfn.XLOOKUP(_xlfn.TEXTJOIN(,,D717:O717),Aux!$B$3:$B$4098,'Truth Table'!$V$3:$V$4098)=1,ABS(P716)&lt;='Line Follower'!$C$6),FALSE)</f>
        <v>0</v>
      </c>
      <c r="Y717" s="4" t="b">
        <f t="shared" si="11"/>
        <v>1</v>
      </c>
    </row>
    <row r="718" spans="2:25" x14ac:dyDescent="0.25">
      <c r="B718" s="4">
        <v>715</v>
      </c>
      <c r="C718" s="4">
        <v>6147</v>
      </c>
      <c r="D718" s="4">
        <v>0</v>
      </c>
      <c r="E718" s="4">
        <v>0</v>
      </c>
      <c r="F718" s="4">
        <v>0</v>
      </c>
      <c r="G718" s="4">
        <v>0</v>
      </c>
      <c r="H718" s="4">
        <v>0</v>
      </c>
      <c r="I718" s="4">
        <v>0</v>
      </c>
      <c r="J718" s="4">
        <v>1</v>
      </c>
      <c r="K718" s="4">
        <v>1</v>
      </c>
      <c r="L718" s="4">
        <v>0</v>
      </c>
      <c r="M718" s="4">
        <v>0</v>
      </c>
      <c r="N718" s="4">
        <v>0</v>
      </c>
      <c r="O718" s="4">
        <v>0</v>
      </c>
      <c r="P718" s="51">
        <f>IFERROR(_xlfn.XLOOKUP(_xlfn.TEXTJOIN(,,D717:O717),Aux!$B$3:$B$4098,'Truth Table'!$N$3:$N$4098),P717)</f>
        <v>2</v>
      </c>
      <c r="Q718" s="4" t="b" cm="1">
        <f t="array" ref="Q718:U718">IFERROR(_xlfn.XLOOKUP(_xlfn.TEXTJOIN(,,D718:O718),Aux!$B$3:$B$4098,'Truth Table'!$O$3:$S$4098)=1,FALSE)</f>
        <v>1</v>
      </c>
      <c r="R718" s="4" t="b">
        <v>0</v>
      </c>
      <c r="S718" s="4" t="b">
        <v>0</v>
      </c>
      <c r="T718" s="4" t="b">
        <v>0</v>
      </c>
      <c r="U718" s="4" t="b">
        <v>0</v>
      </c>
      <c r="V718" s="4" t="b">
        <f>AND(_xlfn.XLOOKUP(_xlfn.TEXTJOIN(,,D718:O718),Aux!$B$3:$B$4098,'Truth Table'!$T$3:$T$4098)=1,P717&lt;='Line Follower'!$C$7)</f>
        <v>0</v>
      </c>
      <c r="W718" s="4" t="b">
        <f>AND(_xlfn.XLOOKUP(_xlfn.TEXTJOIN(,,D718:O718),Aux!$B$3:$B$4098,'Truth Table'!$U$3:$U$4098)=1,P717&gt;='Line Follower'!$C$6)</f>
        <v>0</v>
      </c>
      <c r="X718" s="4" t="b">
        <f>IFERROR(AND(_xlfn.XLOOKUP(_xlfn.TEXTJOIN(,,D718:O718),Aux!$B$3:$B$4098,'Truth Table'!$V$3:$V$4098)=1,ABS(P717)&lt;='Line Follower'!$C$6),FALSE)</f>
        <v>0</v>
      </c>
      <c r="Y718" s="4" t="b">
        <f t="shared" si="11"/>
        <v>1</v>
      </c>
    </row>
    <row r="719" spans="2:25" x14ac:dyDescent="0.25">
      <c r="B719" s="4">
        <v>716</v>
      </c>
      <c r="C719" s="4">
        <v>6156</v>
      </c>
      <c r="D719" s="4">
        <v>0</v>
      </c>
      <c r="E719" s="4">
        <v>0</v>
      </c>
      <c r="F719" s="4">
        <v>0</v>
      </c>
      <c r="G719" s="4">
        <v>0</v>
      </c>
      <c r="H719" s="4">
        <v>0</v>
      </c>
      <c r="I719" s="4">
        <v>0</v>
      </c>
      <c r="J719" s="4">
        <v>1</v>
      </c>
      <c r="K719" s="4">
        <v>1</v>
      </c>
      <c r="L719" s="4">
        <v>0</v>
      </c>
      <c r="M719" s="4">
        <v>0</v>
      </c>
      <c r="N719" s="4">
        <v>0</v>
      </c>
      <c r="O719" s="4">
        <v>0</v>
      </c>
      <c r="P719" s="51">
        <f>IFERROR(_xlfn.XLOOKUP(_xlfn.TEXTJOIN(,,D718:O718),Aux!$B$3:$B$4098,'Truth Table'!$N$3:$N$4098),P718)</f>
        <v>2</v>
      </c>
      <c r="Q719" s="4" t="b" cm="1">
        <f t="array" ref="Q719:U719">IFERROR(_xlfn.XLOOKUP(_xlfn.TEXTJOIN(,,D719:O719),Aux!$B$3:$B$4098,'Truth Table'!$O$3:$S$4098)=1,FALSE)</f>
        <v>1</v>
      </c>
      <c r="R719" s="4" t="b">
        <v>0</v>
      </c>
      <c r="S719" s="4" t="b">
        <v>0</v>
      </c>
      <c r="T719" s="4" t="b">
        <v>0</v>
      </c>
      <c r="U719" s="4" t="b">
        <v>0</v>
      </c>
      <c r="V719" s="4" t="b">
        <f>AND(_xlfn.XLOOKUP(_xlfn.TEXTJOIN(,,D719:O719),Aux!$B$3:$B$4098,'Truth Table'!$T$3:$T$4098)=1,P718&lt;='Line Follower'!$C$7)</f>
        <v>0</v>
      </c>
      <c r="W719" s="4" t="b">
        <f>AND(_xlfn.XLOOKUP(_xlfn.TEXTJOIN(,,D719:O719),Aux!$B$3:$B$4098,'Truth Table'!$U$3:$U$4098)=1,P718&gt;='Line Follower'!$C$6)</f>
        <v>0</v>
      </c>
      <c r="X719" s="4" t="b">
        <f>IFERROR(AND(_xlfn.XLOOKUP(_xlfn.TEXTJOIN(,,D719:O719),Aux!$B$3:$B$4098,'Truth Table'!$V$3:$V$4098)=1,ABS(P718)&lt;='Line Follower'!$C$6),FALSE)</f>
        <v>0</v>
      </c>
      <c r="Y719" s="4" t="b">
        <f t="shared" si="11"/>
        <v>1</v>
      </c>
    </row>
    <row r="720" spans="2:25" x14ac:dyDescent="0.25">
      <c r="B720" s="4">
        <v>717</v>
      </c>
      <c r="C720" s="4">
        <v>6169</v>
      </c>
      <c r="D720" s="4">
        <v>0</v>
      </c>
      <c r="E720" s="4">
        <v>0</v>
      </c>
      <c r="F720" s="4">
        <v>0</v>
      </c>
      <c r="G720" s="4">
        <v>0</v>
      </c>
      <c r="H720" s="4">
        <v>0</v>
      </c>
      <c r="I720" s="4">
        <v>0</v>
      </c>
      <c r="J720" s="4">
        <v>1</v>
      </c>
      <c r="K720" s="4">
        <v>1</v>
      </c>
      <c r="L720" s="4">
        <v>0</v>
      </c>
      <c r="M720" s="4">
        <v>0</v>
      </c>
      <c r="N720" s="4">
        <v>0</v>
      </c>
      <c r="O720" s="4">
        <v>0</v>
      </c>
      <c r="P720" s="51">
        <f>IFERROR(_xlfn.XLOOKUP(_xlfn.TEXTJOIN(,,D719:O719),Aux!$B$3:$B$4098,'Truth Table'!$N$3:$N$4098),P719)</f>
        <v>2</v>
      </c>
      <c r="Q720" s="4" t="b" cm="1">
        <f t="array" ref="Q720:U720">IFERROR(_xlfn.XLOOKUP(_xlfn.TEXTJOIN(,,D720:O720),Aux!$B$3:$B$4098,'Truth Table'!$O$3:$S$4098)=1,FALSE)</f>
        <v>1</v>
      </c>
      <c r="R720" s="4" t="b">
        <v>0</v>
      </c>
      <c r="S720" s="4" t="b">
        <v>0</v>
      </c>
      <c r="T720" s="4" t="b">
        <v>0</v>
      </c>
      <c r="U720" s="4" t="b">
        <v>0</v>
      </c>
      <c r="V720" s="4" t="b">
        <f>AND(_xlfn.XLOOKUP(_xlfn.TEXTJOIN(,,D720:O720),Aux!$B$3:$B$4098,'Truth Table'!$T$3:$T$4098)=1,P719&lt;='Line Follower'!$C$7)</f>
        <v>0</v>
      </c>
      <c r="W720" s="4" t="b">
        <f>AND(_xlfn.XLOOKUP(_xlfn.TEXTJOIN(,,D720:O720),Aux!$B$3:$B$4098,'Truth Table'!$U$3:$U$4098)=1,P719&gt;='Line Follower'!$C$6)</f>
        <v>0</v>
      </c>
      <c r="X720" s="4" t="b">
        <f>IFERROR(AND(_xlfn.XLOOKUP(_xlfn.TEXTJOIN(,,D720:O720),Aux!$B$3:$B$4098,'Truth Table'!$V$3:$V$4098)=1,ABS(P719)&lt;='Line Follower'!$C$6),FALSE)</f>
        <v>0</v>
      </c>
      <c r="Y720" s="4" t="b">
        <f t="shared" si="11"/>
        <v>1</v>
      </c>
    </row>
    <row r="721" spans="2:25" x14ac:dyDescent="0.25">
      <c r="B721" s="4">
        <v>718</v>
      </c>
      <c r="C721" s="4">
        <v>6178</v>
      </c>
      <c r="D721" s="4">
        <v>0</v>
      </c>
      <c r="E721" s="4">
        <v>0</v>
      </c>
      <c r="F721" s="4">
        <v>0</v>
      </c>
      <c r="G721" s="4">
        <v>0</v>
      </c>
      <c r="H721" s="4">
        <v>0</v>
      </c>
      <c r="I721" s="4">
        <v>1</v>
      </c>
      <c r="J721" s="4">
        <v>1</v>
      </c>
      <c r="K721" s="4">
        <v>0</v>
      </c>
      <c r="L721" s="4">
        <v>0</v>
      </c>
      <c r="M721" s="4">
        <v>0</v>
      </c>
      <c r="N721" s="4">
        <v>0</v>
      </c>
      <c r="O721" s="4">
        <v>0</v>
      </c>
      <c r="P721" s="51">
        <f>IFERROR(_xlfn.XLOOKUP(_xlfn.TEXTJOIN(,,D720:O720),Aux!$B$3:$B$4098,'Truth Table'!$N$3:$N$4098),P720)</f>
        <v>2</v>
      </c>
      <c r="Q721" s="4" t="b" cm="1">
        <f t="array" ref="Q721:U721">IFERROR(_xlfn.XLOOKUP(_xlfn.TEXTJOIN(,,D721:O721),Aux!$B$3:$B$4098,'Truth Table'!$O$3:$S$4098)=1,FALSE)</f>
        <v>1</v>
      </c>
      <c r="R721" s="4" t="b">
        <v>0</v>
      </c>
      <c r="S721" s="4" t="b">
        <v>0</v>
      </c>
      <c r="T721" s="4" t="b">
        <v>0</v>
      </c>
      <c r="U721" s="4" t="b">
        <v>0</v>
      </c>
      <c r="V721" s="4" t="b">
        <f>AND(_xlfn.XLOOKUP(_xlfn.TEXTJOIN(,,D721:O721),Aux!$B$3:$B$4098,'Truth Table'!$T$3:$T$4098)=1,P720&lt;='Line Follower'!$C$7)</f>
        <v>0</v>
      </c>
      <c r="W721" s="4" t="b">
        <f>AND(_xlfn.XLOOKUP(_xlfn.TEXTJOIN(,,D721:O721),Aux!$B$3:$B$4098,'Truth Table'!$U$3:$U$4098)=1,P720&gt;='Line Follower'!$C$6)</f>
        <v>0</v>
      </c>
      <c r="X721" s="4" t="b">
        <f>IFERROR(AND(_xlfn.XLOOKUP(_xlfn.TEXTJOIN(,,D721:O721),Aux!$B$3:$B$4098,'Truth Table'!$V$3:$V$4098)=1,ABS(P720)&lt;='Line Follower'!$C$6),FALSE)</f>
        <v>0</v>
      </c>
      <c r="Y721" s="4" t="b">
        <f t="shared" si="11"/>
        <v>1</v>
      </c>
    </row>
    <row r="722" spans="2:25" x14ac:dyDescent="0.25">
      <c r="B722" s="4">
        <v>719</v>
      </c>
      <c r="C722" s="4">
        <v>6189</v>
      </c>
      <c r="D722" s="4">
        <v>0</v>
      </c>
      <c r="E722" s="4">
        <v>0</v>
      </c>
      <c r="F722" s="4">
        <v>0</v>
      </c>
      <c r="G722" s="4">
        <v>0</v>
      </c>
      <c r="H722" s="4">
        <v>0</v>
      </c>
      <c r="I722" s="4">
        <v>1</v>
      </c>
      <c r="J722" s="4">
        <v>1</v>
      </c>
      <c r="K722" s="4">
        <v>0</v>
      </c>
      <c r="L722" s="4">
        <v>0</v>
      </c>
      <c r="M722" s="4">
        <v>0</v>
      </c>
      <c r="N722" s="4">
        <v>0</v>
      </c>
      <c r="O722" s="4">
        <v>0</v>
      </c>
      <c r="P722" s="51">
        <f>IFERROR(_xlfn.XLOOKUP(_xlfn.TEXTJOIN(,,D721:O721),Aux!$B$3:$B$4098,'Truth Table'!$N$3:$N$4098),P721)</f>
        <v>1</v>
      </c>
      <c r="Q722" s="4" t="b" cm="1">
        <f t="array" ref="Q722:U722">IFERROR(_xlfn.XLOOKUP(_xlfn.TEXTJOIN(,,D722:O722),Aux!$B$3:$B$4098,'Truth Table'!$O$3:$S$4098)=1,FALSE)</f>
        <v>1</v>
      </c>
      <c r="R722" s="4" t="b">
        <v>0</v>
      </c>
      <c r="S722" s="4" t="b">
        <v>0</v>
      </c>
      <c r="T722" s="4" t="b">
        <v>0</v>
      </c>
      <c r="U722" s="4" t="b">
        <v>0</v>
      </c>
      <c r="V722" s="4" t="b">
        <f>AND(_xlfn.XLOOKUP(_xlfn.TEXTJOIN(,,D722:O722),Aux!$B$3:$B$4098,'Truth Table'!$T$3:$T$4098)=1,P721&lt;='Line Follower'!$C$7)</f>
        <v>0</v>
      </c>
      <c r="W722" s="4" t="b">
        <f>AND(_xlfn.XLOOKUP(_xlfn.TEXTJOIN(,,D722:O722),Aux!$B$3:$B$4098,'Truth Table'!$U$3:$U$4098)=1,P721&gt;='Line Follower'!$C$6)</f>
        <v>0</v>
      </c>
      <c r="X722" s="4" t="b">
        <f>IFERROR(AND(_xlfn.XLOOKUP(_xlfn.TEXTJOIN(,,D722:O722),Aux!$B$3:$B$4098,'Truth Table'!$V$3:$V$4098)=1,ABS(P721)&lt;='Line Follower'!$C$6),FALSE)</f>
        <v>0</v>
      </c>
      <c r="Y722" s="4" t="b">
        <f t="shared" si="11"/>
        <v>1</v>
      </c>
    </row>
    <row r="723" spans="2:25" x14ac:dyDescent="0.25">
      <c r="B723" s="4">
        <v>720</v>
      </c>
      <c r="C723" s="4">
        <v>6190</v>
      </c>
      <c r="D723" s="4">
        <v>0</v>
      </c>
      <c r="E723" s="4">
        <v>0</v>
      </c>
      <c r="F723" s="4">
        <v>0</v>
      </c>
      <c r="G723" s="4">
        <v>0</v>
      </c>
      <c r="H723" s="4">
        <v>0</v>
      </c>
      <c r="I723" s="4">
        <v>1</v>
      </c>
      <c r="J723" s="4">
        <v>1</v>
      </c>
      <c r="K723" s="4">
        <v>0</v>
      </c>
      <c r="L723" s="4">
        <v>0</v>
      </c>
      <c r="M723" s="4">
        <v>0</v>
      </c>
      <c r="N723" s="4">
        <v>0</v>
      </c>
      <c r="O723" s="4">
        <v>1</v>
      </c>
      <c r="P723" s="51">
        <f>IFERROR(_xlfn.XLOOKUP(_xlfn.TEXTJOIN(,,D722:O722),Aux!$B$3:$B$4098,'Truth Table'!$N$3:$N$4098),P722)</f>
        <v>1</v>
      </c>
      <c r="Q723" s="4" t="b" cm="1">
        <f t="array" ref="Q723:U723">IFERROR(_xlfn.XLOOKUP(_xlfn.TEXTJOIN(,,D723:O723),Aux!$B$3:$B$4098,'Truth Table'!$O$3:$S$4098)=1,FALSE)</f>
        <v>1</v>
      </c>
      <c r="R723" s="4" t="b">
        <v>0</v>
      </c>
      <c r="S723" s="4" t="b">
        <v>0</v>
      </c>
      <c r="T723" s="4" t="b">
        <v>0</v>
      </c>
      <c r="U723" s="4" t="b">
        <v>0</v>
      </c>
      <c r="V723" s="4" t="b">
        <f>AND(_xlfn.XLOOKUP(_xlfn.TEXTJOIN(,,D723:O723),Aux!$B$3:$B$4098,'Truth Table'!$T$3:$T$4098)=1,P722&lt;='Line Follower'!$C$7)</f>
        <v>0</v>
      </c>
      <c r="W723" s="4" t="b">
        <f>AND(_xlfn.XLOOKUP(_xlfn.TEXTJOIN(,,D723:O723),Aux!$B$3:$B$4098,'Truth Table'!$U$3:$U$4098)=1,P722&gt;='Line Follower'!$C$6)</f>
        <v>0</v>
      </c>
      <c r="X723" s="4" t="b">
        <f>IFERROR(AND(_xlfn.XLOOKUP(_xlfn.TEXTJOIN(,,D723:O723),Aux!$B$3:$B$4098,'Truth Table'!$V$3:$V$4098)=1,ABS(P722)&lt;='Line Follower'!$C$6),FALSE)</f>
        <v>0</v>
      </c>
      <c r="Y723" s="4" t="b">
        <f t="shared" si="11"/>
        <v>1</v>
      </c>
    </row>
    <row r="724" spans="2:25" x14ac:dyDescent="0.25">
      <c r="B724" s="4">
        <v>721</v>
      </c>
      <c r="C724" s="4">
        <v>6199</v>
      </c>
      <c r="D724" s="4">
        <v>0</v>
      </c>
      <c r="E724" s="4">
        <v>0</v>
      </c>
      <c r="F724" s="4">
        <v>0</v>
      </c>
      <c r="G724" s="4">
        <v>0</v>
      </c>
      <c r="H724" s="4">
        <v>0</v>
      </c>
      <c r="I724" s="4">
        <v>1</v>
      </c>
      <c r="J724" s="4">
        <v>1</v>
      </c>
      <c r="K724" s="4">
        <v>0</v>
      </c>
      <c r="L724" s="4">
        <v>0</v>
      </c>
      <c r="M724" s="4">
        <v>0</v>
      </c>
      <c r="N724" s="4">
        <v>0</v>
      </c>
      <c r="O724" s="4">
        <v>1</v>
      </c>
      <c r="P724" s="51">
        <f>IFERROR(_xlfn.XLOOKUP(_xlfn.TEXTJOIN(,,D723:O723),Aux!$B$3:$B$4098,'Truth Table'!$N$3:$N$4098),P723)</f>
        <v>1</v>
      </c>
      <c r="Q724" s="4" t="b" cm="1">
        <f t="array" ref="Q724:U724">IFERROR(_xlfn.XLOOKUP(_xlfn.TEXTJOIN(,,D724:O724),Aux!$B$3:$B$4098,'Truth Table'!$O$3:$S$4098)=1,FALSE)</f>
        <v>1</v>
      </c>
      <c r="R724" s="4" t="b">
        <v>0</v>
      </c>
      <c r="S724" s="4" t="b">
        <v>0</v>
      </c>
      <c r="T724" s="4" t="b">
        <v>0</v>
      </c>
      <c r="U724" s="4" t="b">
        <v>0</v>
      </c>
      <c r="V724" s="4" t="b">
        <f>AND(_xlfn.XLOOKUP(_xlfn.TEXTJOIN(,,D724:O724),Aux!$B$3:$B$4098,'Truth Table'!$T$3:$T$4098)=1,P723&lt;='Line Follower'!$C$7)</f>
        <v>0</v>
      </c>
      <c r="W724" s="4" t="b">
        <f>AND(_xlfn.XLOOKUP(_xlfn.TEXTJOIN(,,D724:O724),Aux!$B$3:$B$4098,'Truth Table'!$U$3:$U$4098)=1,P723&gt;='Line Follower'!$C$6)</f>
        <v>0</v>
      </c>
      <c r="X724" s="4" t="b">
        <f>IFERROR(AND(_xlfn.XLOOKUP(_xlfn.TEXTJOIN(,,D724:O724),Aux!$B$3:$B$4098,'Truth Table'!$V$3:$V$4098)=1,ABS(P723)&lt;='Line Follower'!$C$6),FALSE)</f>
        <v>0</v>
      </c>
      <c r="Y724" s="4" t="b">
        <f t="shared" si="11"/>
        <v>1</v>
      </c>
    </row>
    <row r="725" spans="2:25" x14ac:dyDescent="0.25">
      <c r="B725" s="4">
        <v>722</v>
      </c>
      <c r="C725" s="4">
        <v>6213</v>
      </c>
      <c r="D725" s="4">
        <v>0</v>
      </c>
      <c r="E725" s="4">
        <v>0</v>
      </c>
      <c r="F725" s="4">
        <v>0</v>
      </c>
      <c r="G725" s="4">
        <v>0</v>
      </c>
      <c r="H725" s="4">
        <v>0</v>
      </c>
      <c r="I725" s="4">
        <v>1</v>
      </c>
      <c r="J725" s="4">
        <v>1</v>
      </c>
      <c r="K725" s="4">
        <v>0</v>
      </c>
      <c r="L725" s="4">
        <v>0</v>
      </c>
      <c r="M725" s="4">
        <v>0</v>
      </c>
      <c r="N725" s="4">
        <v>0</v>
      </c>
      <c r="O725" s="4">
        <v>1</v>
      </c>
      <c r="P725" s="51">
        <f>IFERROR(_xlfn.XLOOKUP(_xlfn.TEXTJOIN(,,D724:O724),Aux!$B$3:$B$4098,'Truth Table'!$N$3:$N$4098),P724)</f>
        <v>1</v>
      </c>
      <c r="Q725" s="4" t="b" cm="1">
        <f t="array" ref="Q725:U725">IFERROR(_xlfn.XLOOKUP(_xlfn.TEXTJOIN(,,D725:O725),Aux!$B$3:$B$4098,'Truth Table'!$O$3:$S$4098)=1,FALSE)</f>
        <v>1</v>
      </c>
      <c r="R725" s="4" t="b">
        <v>0</v>
      </c>
      <c r="S725" s="4" t="b">
        <v>0</v>
      </c>
      <c r="T725" s="4" t="b">
        <v>0</v>
      </c>
      <c r="U725" s="4" t="b">
        <v>0</v>
      </c>
      <c r="V725" s="4" t="b">
        <f>AND(_xlfn.XLOOKUP(_xlfn.TEXTJOIN(,,D725:O725),Aux!$B$3:$B$4098,'Truth Table'!$T$3:$T$4098)=1,P724&lt;='Line Follower'!$C$7)</f>
        <v>0</v>
      </c>
      <c r="W725" s="4" t="b">
        <f>AND(_xlfn.XLOOKUP(_xlfn.TEXTJOIN(,,D725:O725),Aux!$B$3:$B$4098,'Truth Table'!$U$3:$U$4098)=1,P724&gt;='Line Follower'!$C$6)</f>
        <v>0</v>
      </c>
      <c r="X725" s="4" t="b">
        <f>IFERROR(AND(_xlfn.XLOOKUP(_xlfn.TEXTJOIN(,,D725:O725),Aux!$B$3:$B$4098,'Truth Table'!$V$3:$V$4098)=1,ABS(P724)&lt;='Line Follower'!$C$6),FALSE)</f>
        <v>0</v>
      </c>
      <c r="Y725" s="4" t="b">
        <f t="shared" si="11"/>
        <v>1</v>
      </c>
    </row>
    <row r="726" spans="2:25" x14ac:dyDescent="0.25">
      <c r="B726" s="4">
        <v>723</v>
      </c>
      <c r="C726" s="4">
        <v>6218</v>
      </c>
      <c r="D726" s="4">
        <v>0</v>
      </c>
      <c r="E726" s="4">
        <v>0</v>
      </c>
      <c r="F726" s="4">
        <v>0</v>
      </c>
      <c r="G726" s="4">
        <v>0</v>
      </c>
      <c r="H726" s="4">
        <v>0</v>
      </c>
      <c r="I726" s="4">
        <v>1</v>
      </c>
      <c r="J726" s="4">
        <v>1</v>
      </c>
      <c r="K726" s="4">
        <v>0</v>
      </c>
      <c r="L726" s="4">
        <v>0</v>
      </c>
      <c r="M726" s="4">
        <v>0</v>
      </c>
      <c r="N726" s="4">
        <v>0</v>
      </c>
      <c r="O726" s="4">
        <v>1</v>
      </c>
      <c r="P726" s="51">
        <f>IFERROR(_xlfn.XLOOKUP(_xlfn.TEXTJOIN(,,D725:O725),Aux!$B$3:$B$4098,'Truth Table'!$N$3:$N$4098),P725)</f>
        <v>1</v>
      </c>
      <c r="Q726" s="4" t="b" cm="1">
        <f t="array" ref="Q726:U726">IFERROR(_xlfn.XLOOKUP(_xlfn.TEXTJOIN(,,D726:O726),Aux!$B$3:$B$4098,'Truth Table'!$O$3:$S$4098)=1,FALSE)</f>
        <v>1</v>
      </c>
      <c r="R726" s="4" t="b">
        <v>0</v>
      </c>
      <c r="S726" s="4" t="b">
        <v>0</v>
      </c>
      <c r="T726" s="4" t="b">
        <v>0</v>
      </c>
      <c r="U726" s="4" t="b">
        <v>0</v>
      </c>
      <c r="V726" s="4" t="b">
        <f>AND(_xlfn.XLOOKUP(_xlfn.TEXTJOIN(,,D726:O726),Aux!$B$3:$B$4098,'Truth Table'!$T$3:$T$4098)=1,P725&lt;='Line Follower'!$C$7)</f>
        <v>0</v>
      </c>
      <c r="W726" s="4" t="b">
        <f>AND(_xlfn.XLOOKUP(_xlfn.TEXTJOIN(,,D726:O726),Aux!$B$3:$B$4098,'Truth Table'!$U$3:$U$4098)=1,P725&gt;='Line Follower'!$C$6)</f>
        <v>0</v>
      </c>
      <c r="X726" s="4" t="b">
        <f>IFERROR(AND(_xlfn.XLOOKUP(_xlfn.TEXTJOIN(,,D726:O726),Aux!$B$3:$B$4098,'Truth Table'!$V$3:$V$4098)=1,ABS(P725)&lt;='Line Follower'!$C$6),FALSE)</f>
        <v>0</v>
      </c>
      <c r="Y726" s="4" t="b">
        <f t="shared" si="11"/>
        <v>1</v>
      </c>
    </row>
    <row r="727" spans="2:25" x14ac:dyDescent="0.25">
      <c r="B727" s="4">
        <v>724</v>
      </c>
      <c r="C727" s="4">
        <v>6268</v>
      </c>
      <c r="D727" s="4">
        <v>0</v>
      </c>
      <c r="E727" s="4">
        <v>0</v>
      </c>
      <c r="F727" s="4">
        <v>0</v>
      </c>
      <c r="G727" s="4">
        <v>0</v>
      </c>
      <c r="H727" s="4">
        <v>0</v>
      </c>
      <c r="I727" s="4">
        <v>1</v>
      </c>
      <c r="J727" s="4">
        <v>1</v>
      </c>
      <c r="K727" s="4">
        <v>0</v>
      </c>
      <c r="L727" s="4">
        <v>0</v>
      </c>
      <c r="M727" s="4">
        <v>0</v>
      </c>
      <c r="N727" s="4">
        <v>0</v>
      </c>
      <c r="O727" s="4">
        <v>1</v>
      </c>
      <c r="P727" s="51">
        <f>IFERROR(_xlfn.XLOOKUP(_xlfn.TEXTJOIN(,,D726:O726),Aux!$B$3:$B$4098,'Truth Table'!$N$3:$N$4098),P726)</f>
        <v>1</v>
      </c>
      <c r="Q727" s="4" t="b" cm="1">
        <f t="array" ref="Q727:U727">IFERROR(_xlfn.XLOOKUP(_xlfn.TEXTJOIN(,,D727:O727),Aux!$B$3:$B$4098,'Truth Table'!$O$3:$S$4098)=1,FALSE)</f>
        <v>1</v>
      </c>
      <c r="R727" s="4" t="b">
        <v>0</v>
      </c>
      <c r="S727" s="4" t="b">
        <v>0</v>
      </c>
      <c r="T727" s="4" t="b">
        <v>0</v>
      </c>
      <c r="U727" s="4" t="b">
        <v>0</v>
      </c>
      <c r="V727" s="4" t="b">
        <f>AND(_xlfn.XLOOKUP(_xlfn.TEXTJOIN(,,D727:O727),Aux!$B$3:$B$4098,'Truth Table'!$T$3:$T$4098)=1,P726&lt;='Line Follower'!$C$7)</f>
        <v>0</v>
      </c>
      <c r="W727" s="4" t="b">
        <f>AND(_xlfn.XLOOKUP(_xlfn.TEXTJOIN(,,D727:O727),Aux!$B$3:$B$4098,'Truth Table'!$U$3:$U$4098)=1,P726&gt;='Line Follower'!$C$6)</f>
        <v>0</v>
      </c>
      <c r="X727" s="4" t="b">
        <f>IFERROR(AND(_xlfn.XLOOKUP(_xlfn.TEXTJOIN(,,D727:O727),Aux!$B$3:$B$4098,'Truth Table'!$V$3:$V$4098)=1,ABS(P726)&lt;='Line Follower'!$C$6),FALSE)</f>
        <v>0</v>
      </c>
      <c r="Y727" s="4" t="b">
        <f t="shared" si="11"/>
        <v>1</v>
      </c>
    </row>
    <row r="728" spans="2:25" x14ac:dyDescent="0.25">
      <c r="B728" s="4">
        <v>725</v>
      </c>
      <c r="C728" s="4">
        <v>6269</v>
      </c>
      <c r="D728" s="4">
        <v>0</v>
      </c>
      <c r="E728" s="4">
        <v>0</v>
      </c>
      <c r="F728" s="4">
        <v>0</v>
      </c>
      <c r="G728" s="4">
        <v>0</v>
      </c>
      <c r="H728" s="4">
        <v>0</v>
      </c>
      <c r="I728" s="4">
        <v>1</v>
      </c>
      <c r="J728" s="4">
        <v>0</v>
      </c>
      <c r="K728" s="4">
        <v>0</v>
      </c>
      <c r="L728" s="4">
        <v>0</v>
      </c>
      <c r="M728" s="4">
        <v>0</v>
      </c>
      <c r="N728" s="4">
        <v>0</v>
      </c>
      <c r="O728" s="4">
        <v>1</v>
      </c>
      <c r="P728" s="51">
        <f>IFERROR(_xlfn.XLOOKUP(_xlfn.TEXTJOIN(,,D727:O727),Aux!$B$3:$B$4098,'Truth Table'!$N$3:$N$4098),P727)</f>
        <v>1</v>
      </c>
      <c r="Q728" s="4" t="b" cm="1">
        <f t="array" ref="Q728:U728">IFERROR(_xlfn.XLOOKUP(_xlfn.TEXTJOIN(,,D728:O728),Aux!$B$3:$B$4098,'Truth Table'!$O$3:$S$4098)=1,FALSE)</f>
        <v>1</v>
      </c>
      <c r="R728" s="4" t="b">
        <v>1</v>
      </c>
      <c r="S728" s="4" t="b">
        <v>0</v>
      </c>
      <c r="T728" s="4" t="b">
        <v>0</v>
      </c>
      <c r="U728" s="4" t="b">
        <v>0</v>
      </c>
      <c r="V728" s="4" t="b">
        <f>AND(_xlfn.XLOOKUP(_xlfn.TEXTJOIN(,,D728:O728),Aux!$B$3:$B$4098,'Truth Table'!$T$3:$T$4098)=1,P727&lt;='Line Follower'!$C$7)</f>
        <v>0</v>
      </c>
      <c r="W728" s="4" t="b">
        <f>AND(_xlfn.XLOOKUP(_xlfn.TEXTJOIN(,,D728:O728),Aux!$B$3:$B$4098,'Truth Table'!$U$3:$U$4098)=1,P727&gt;='Line Follower'!$C$6)</f>
        <v>0</v>
      </c>
      <c r="X728" s="4" t="b">
        <f>IFERROR(AND(_xlfn.XLOOKUP(_xlfn.TEXTJOIN(,,D728:O728),Aux!$B$3:$B$4098,'Truth Table'!$V$3:$V$4098)=1,ABS(P727)&lt;='Line Follower'!$C$6),FALSE)</f>
        <v>0</v>
      </c>
      <c r="Y728" s="4" t="b">
        <f t="shared" si="11"/>
        <v>1</v>
      </c>
    </row>
    <row r="729" spans="2:25" x14ac:dyDescent="0.25">
      <c r="B729" s="4">
        <v>726</v>
      </c>
      <c r="C729" s="4">
        <v>6271</v>
      </c>
      <c r="D729" s="4">
        <v>0</v>
      </c>
      <c r="E729" s="4">
        <v>0</v>
      </c>
      <c r="F729" s="4">
        <v>0</v>
      </c>
      <c r="G729" s="4">
        <v>0</v>
      </c>
      <c r="H729" s="4">
        <v>1</v>
      </c>
      <c r="I729" s="4">
        <v>1</v>
      </c>
      <c r="J729" s="4">
        <v>0</v>
      </c>
      <c r="K729" s="4">
        <v>0</v>
      </c>
      <c r="L729" s="4">
        <v>0</v>
      </c>
      <c r="M729" s="4">
        <v>0</v>
      </c>
      <c r="N729" s="4">
        <v>0</v>
      </c>
      <c r="O729" s="4">
        <v>1</v>
      </c>
      <c r="P729" s="51">
        <f>IFERROR(_xlfn.XLOOKUP(_xlfn.TEXTJOIN(,,D728:O728),Aux!$B$3:$B$4098,'Truth Table'!$N$3:$N$4098),P728)</f>
        <v>0</v>
      </c>
      <c r="Q729" s="4" t="b" cm="1">
        <f t="array" ref="Q729:U729">IFERROR(_xlfn.XLOOKUP(_xlfn.TEXTJOIN(,,D729:O729),Aux!$B$3:$B$4098,'Truth Table'!$O$3:$S$4098)=1,FALSE)</f>
        <v>1</v>
      </c>
      <c r="R729" s="4" t="b">
        <v>0</v>
      </c>
      <c r="S729" s="4" t="b">
        <v>0</v>
      </c>
      <c r="T729" s="4" t="b">
        <v>0</v>
      </c>
      <c r="U729" s="4" t="b">
        <v>0</v>
      </c>
      <c r="V729" s="4" t="b">
        <f>AND(_xlfn.XLOOKUP(_xlfn.TEXTJOIN(,,D729:O729),Aux!$B$3:$B$4098,'Truth Table'!$T$3:$T$4098)=1,P728&lt;='Line Follower'!$C$7)</f>
        <v>0</v>
      </c>
      <c r="W729" s="4" t="b">
        <f>AND(_xlfn.XLOOKUP(_xlfn.TEXTJOIN(,,D729:O729),Aux!$B$3:$B$4098,'Truth Table'!$U$3:$U$4098)=1,P728&gt;='Line Follower'!$C$6)</f>
        <v>0</v>
      </c>
      <c r="X729" s="4" t="b">
        <f>IFERROR(AND(_xlfn.XLOOKUP(_xlfn.TEXTJOIN(,,D729:O729),Aux!$B$3:$B$4098,'Truth Table'!$V$3:$V$4098)=1,ABS(P728)&lt;='Line Follower'!$C$6),FALSE)</f>
        <v>0</v>
      </c>
      <c r="Y729" s="4" t="b">
        <f t="shared" si="11"/>
        <v>1</v>
      </c>
    </row>
    <row r="730" spans="2:25" x14ac:dyDescent="0.25">
      <c r="B730" s="4">
        <v>727</v>
      </c>
      <c r="C730" s="4">
        <v>6272</v>
      </c>
      <c r="D730" s="4">
        <v>0</v>
      </c>
      <c r="E730" s="4">
        <v>0</v>
      </c>
      <c r="F730" s="4">
        <v>0</v>
      </c>
      <c r="G730" s="4">
        <v>0</v>
      </c>
      <c r="H730" s="4">
        <v>1</v>
      </c>
      <c r="I730" s="4">
        <v>1</v>
      </c>
      <c r="J730" s="4">
        <v>0</v>
      </c>
      <c r="K730" s="4">
        <v>0</v>
      </c>
      <c r="L730" s="4">
        <v>0</v>
      </c>
      <c r="M730" s="4">
        <v>0</v>
      </c>
      <c r="N730" s="4">
        <v>0</v>
      </c>
      <c r="O730" s="4">
        <v>1</v>
      </c>
      <c r="P730" s="51">
        <f>IFERROR(_xlfn.XLOOKUP(_xlfn.TEXTJOIN(,,D729:O729),Aux!$B$3:$B$4098,'Truth Table'!$N$3:$N$4098),P729)</f>
        <v>-1</v>
      </c>
      <c r="Q730" s="4" t="b" cm="1">
        <f t="array" ref="Q730:U730">IFERROR(_xlfn.XLOOKUP(_xlfn.TEXTJOIN(,,D730:O730),Aux!$B$3:$B$4098,'Truth Table'!$O$3:$S$4098)=1,FALSE)</f>
        <v>1</v>
      </c>
      <c r="R730" s="4" t="b">
        <v>0</v>
      </c>
      <c r="S730" s="4" t="b">
        <v>0</v>
      </c>
      <c r="T730" s="4" t="b">
        <v>0</v>
      </c>
      <c r="U730" s="4" t="b">
        <v>0</v>
      </c>
      <c r="V730" s="4" t="b">
        <f>AND(_xlfn.XLOOKUP(_xlfn.TEXTJOIN(,,D730:O730),Aux!$B$3:$B$4098,'Truth Table'!$T$3:$T$4098)=1,P729&lt;='Line Follower'!$C$7)</f>
        <v>0</v>
      </c>
      <c r="W730" s="4" t="b">
        <f>AND(_xlfn.XLOOKUP(_xlfn.TEXTJOIN(,,D730:O730),Aux!$B$3:$B$4098,'Truth Table'!$U$3:$U$4098)=1,P729&gt;='Line Follower'!$C$6)</f>
        <v>0</v>
      </c>
      <c r="X730" s="4" t="b">
        <f>IFERROR(AND(_xlfn.XLOOKUP(_xlfn.TEXTJOIN(,,D730:O730),Aux!$B$3:$B$4098,'Truth Table'!$V$3:$V$4098)=1,ABS(P729)&lt;='Line Follower'!$C$6),FALSE)</f>
        <v>0</v>
      </c>
      <c r="Y730" s="4" t="b">
        <f t="shared" si="11"/>
        <v>1</v>
      </c>
    </row>
    <row r="731" spans="2:25" x14ac:dyDescent="0.25">
      <c r="B731" s="4">
        <v>728</v>
      </c>
      <c r="C731" s="4">
        <v>6273</v>
      </c>
      <c r="D731" s="4">
        <v>0</v>
      </c>
      <c r="E731" s="4">
        <v>0</v>
      </c>
      <c r="F731" s="4">
        <v>0</v>
      </c>
      <c r="G731" s="4">
        <v>0</v>
      </c>
      <c r="H731" s="4">
        <v>1</v>
      </c>
      <c r="I731" s="4">
        <v>1</v>
      </c>
      <c r="J731" s="4">
        <v>0</v>
      </c>
      <c r="K731" s="4">
        <v>0</v>
      </c>
      <c r="L731" s="4">
        <v>0</v>
      </c>
      <c r="M731" s="4">
        <v>0</v>
      </c>
      <c r="N731" s="4">
        <v>0</v>
      </c>
      <c r="O731" s="4">
        <v>1</v>
      </c>
      <c r="P731" s="51">
        <f>IFERROR(_xlfn.XLOOKUP(_xlfn.TEXTJOIN(,,D730:O730),Aux!$B$3:$B$4098,'Truth Table'!$N$3:$N$4098),P730)</f>
        <v>-1</v>
      </c>
      <c r="Q731" s="4" t="b" cm="1">
        <f t="array" ref="Q731:U731">IFERROR(_xlfn.XLOOKUP(_xlfn.TEXTJOIN(,,D731:O731),Aux!$B$3:$B$4098,'Truth Table'!$O$3:$S$4098)=1,FALSE)</f>
        <v>1</v>
      </c>
      <c r="R731" s="4" t="b">
        <v>0</v>
      </c>
      <c r="S731" s="4" t="b">
        <v>0</v>
      </c>
      <c r="T731" s="4" t="b">
        <v>0</v>
      </c>
      <c r="U731" s="4" t="b">
        <v>0</v>
      </c>
      <c r="V731" s="4" t="b">
        <f>AND(_xlfn.XLOOKUP(_xlfn.TEXTJOIN(,,D731:O731),Aux!$B$3:$B$4098,'Truth Table'!$T$3:$T$4098)=1,P730&lt;='Line Follower'!$C$7)</f>
        <v>0</v>
      </c>
      <c r="W731" s="4" t="b">
        <f>AND(_xlfn.XLOOKUP(_xlfn.TEXTJOIN(,,D731:O731),Aux!$B$3:$B$4098,'Truth Table'!$U$3:$U$4098)=1,P730&gt;='Line Follower'!$C$6)</f>
        <v>0</v>
      </c>
      <c r="X731" s="4" t="b">
        <f>IFERROR(AND(_xlfn.XLOOKUP(_xlfn.TEXTJOIN(,,D731:O731),Aux!$B$3:$B$4098,'Truth Table'!$V$3:$V$4098)=1,ABS(P730)&lt;='Line Follower'!$C$6),FALSE)</f>
        <v>0</v>
      </c>
      <c r="Y731" s="4" t="b">
        <f t="shared" si="11"/>
        <v>1</v>
      </c>
    </row>
    <row r="732" spans="2:25" x14ac:dyDescent="0.25">
      <c r="B732" s="4">
        <v>729</v>
      </c>
      <c r="C732" s="4">
        <v>6283</v>
      </c>
      <c r="D732" s="4">
        <v>0</v>
      </c>
      <c r="E732" s="4">
        <v>0</v>
      </c>
      <c r="F732" s="4">
        <v>0</v>
      </c>
      <c r="G732" s="4">
        <v>0</v>
      </c>
      <c r="H732" s="4">
        <v>1</v>
      </c>
      <c r="I732" s="4">
        <v>1</v>
      </c>
      <c r="J732" s="4">
        <v>0</v>
      </c>
      <c r="K732" s="4">
        <v>0</v>
      </c>
      <c r="L732" s="4">
        <v>0</v>
      </c>
      <c r="M732" s="4">
        <v>0</v>
      </c>
      <c r="N732" s="4">
        <v>0</v>
      </c>
      <c r="O732" s="4">
        <v>1</v>
      </c>
      <c r="P732" s="51">
        <f>IFERROR(_xlfn.XLOOKUP(_xlfn.TEXTJOIN(,,D731:O731),Aux!$B$3:$B$4098,'Truth Table'!$N$3:$N$4098),P731)</f>
        <v>-1</v>
      </c>
      <c r="Q732" s="4" t="b" cm="1">
        <f t="array" ref="Q732:U732">IFERROR(_xlfn.XLOOKUP(_xlfn.TEXTJOIN(,,D732:O732),Aux!$B$3:$B$4098,'Truth Table'!$O$3:$S$4098)=1,FALSE)</f>
        <v>1</v>
      </c>
      <c r="R732" s="4" t="b">
        <v>0</v>
      </c>
      <c r="S732" s="4" t="b">
        <v>0</v>
      </c>
      <c r="T732" s="4" t="b">
        <v>0</v>
      </c>
      <c r="U732" s="4" t="b">
        <v>0</v>
      </c>
      <c r="V732" s="4" t="b">
        <f>AND(_xlfn.XLOOKUP(_xlfn.TEXTJOIN(,,D732:O732),Aux!$B$3:$B$4098,'Truth Table'!$T$3:$T$4098)=1,P731&lt;='Line Follower'!$C$7)</f>
        <v>0</v>
      </c>
      <c r="W732" s="4" t="b">
        <f>AND(_xlfn.XLOOKUP(_xlfn.TEXTJOIN(,,D732:O732),Aux!$B$3:$B$4098,'Truth Table'!$U$3:$U$4098)=1,P731&gt;='Line Follower'!$C$6)</f>
        <v>0</v>
      </c>
      <c r="X732" s="4" t="b">
        <f>IFERROR(AND(_xlfn.XLOOKUP(_xlfn.TEXTJOIN(,,D732:O732),Aux!$B$3:$B$4098,'Truth Table'!$V$3:$V$4098)=1,ABS(P731)&lt;='Line Follower'!$C$6),FALSE)</f>
        <v>0</v>
      </c>
      <c r="Y732" s="4" t="b">
        <f t="shared" si="11"/>
        <v>1</v>
      </c>
    </row>
    <row r="733" spans="2:25" x14ac:dyDescent="0.25">
      <c r="B733" s="4">
        <v>730</v>
      </c>
      <c r="C733" s="4">
        <v>6292</v>
      </c>
      <c r="D733" s="4">
        <v>0</v>
      </c>
      <c r="E733" s="4">
        <v>0</v>
      </c>
      <c r="F733" s="4">
        <v>0</v>
      </c>
      <c r="G733" s="4">
        <v>0</v>
      </c>
      <c r="H733" s="4">
        <v>1</v>
      </c>
      <c r="I733" s="4">
        <v>1</v>
      </c>
      <c r="J733" s="4">
        <v>0</v>
      </c>
      <c r="K733" s="4">
        <v>0</v>
      </c>
      <c r="L733" s="4">
        <v>0</v>
      </c>
      <c r="M733" s="4">
        <v>0</v>
      </c>
      <c r="N733" s="4">
        <v>0</v>
      </c>
      <c r="O733" s="4">
        <v>1</v>
      </c>
      <c r="P733" s="51">
        <f>IFERROR(_xlfn.XLOOKUP(_xlfn.TEXTJOIN(,,D732:O732),Aux!$B$3:$B$4098,'Truth Table'!$N$3:$N$4098),P732)</f>
        <v>-1</v>
      </c>
      <c r="Q733" s="4" t="b" cm="1">
        <f t="array" ref="Q733:U733">IFERROR(_xlfn.XLOOKUP(_xlfn.TEXTJOIN(,,D733:O733),Aux!$B$3:$B$4098,'Truth Table'!$O$3:$S$4098)=1,FALSE)</f>
        <v>1</v>
      </c>
      <c r="R733" s="4" t="b">
        <v>0</v>
      </c>
      <c r="S733" s="4" t="b">
        <v>0</v>
      </c>
      <c r="T733" s="4" t="b">
        <v>0</v>
      </c>
      <c r="U733" s="4" t="b">
        <v>0</v>
      </c>
      <c r="V733" s="4" t="b">
        <f>AND(_xlfn.XLOOKUP(_xlfn.TEXTJOIN(,,D733:O733),Aux!$B$3:$B$4098,'Truth Table'!$T$3:$T$4098)=1,P732&lt;='Line Follower'!$C$7)</f>
        <v>0</v>
      </c>
      <c r="W733" s="4" t="b">
        <f>AND(_xlfn.XLOOKUP(_xlfn.TEXTJOIN(,,D733:O733),Aux!$B$3:$B$4098,'Truth Table'!$U$3:$U$4098)=1,P732&gt;='Line Follower'!$C$6)</f>
        <v>0</v>
      </c>
      <c r="X733" s="4" t="b">
        <f>IFERROR(AND(_xlfn.XLOOKUP(_xlfn.TEXTJOIN(,,D733:O733),Aux!$B$3:$B$4098,'Truth Table'!$V$3:$V$4098)=1,ABS(P732)&lt;='Line Follower'!$C$6),FALSE)</f>
        <v>0</v>
      </c>
      <c r="Y733" s="4" t="b">
        <f t="shared" si="11"/>
        <v>1</v>
      </c>
    </row>
    <row r="734" spans="2:25" x14ac:dyDescent="0.25">
      <c r="B734" s="4">
        <v>731</v>
      </c>
      <c r="C734" s="4">
        <v>6303</v>
      </c>
      <c r="D734" s="4">
        <v>0</v>
      </c>
      <c r="E734" s="4">
        <v>0</v>
      </c>
      <c r="F734" s="4">
        <v>0</v>
      </c>
      <c r="G734" s="4">
        <v>1</v>
      </c>
      <c r="H734" s="4">
        <v>1</v>
      </c>
      <c r="I734" s="4">
        <v>1</v>
      </c>
      <c r="J734" s="4">
        <v>0</v>
      </c>
      <c r="K734" s="4">
        <v>0</v>
      </c>
      <c r="L734" s="4">
        <v>0</v>
      </c>
      <c r="M734" s="4">
        <v>0</v>
      </c>
      <c r="N734" s="4">
        <v>0</v>
      </c>
      <c r="O734" s="4">
        <v>1</v>
      </c>
      <c r="P734" s="51">
        <f>IFERROR(_xlfn.XLOOKUP(_xlfn.TEXTJOIN(,,D733:O733),Aux!$B$3:$B$4098,'Truth Table'!$N$3:$N$4098),P733)</f>
        <v>-1</v>
      </c>
      <c r="Q734" s="4" t="b" cm="1">
        <f t="array" ref="Q734:U734">IFERROR(_xlfn.XLOOKUP(_xlfn.TEXTJOIN(,,D734:O734),Aux!$B$3:$B$4098,'Truth Table'!$O$3:$S$4098)=1,FALSE)</f>
        <v>1</v>
      </c>
      <c r="R734" s="4" t="b">
        <v>0</v>
      </c>
      <c r="S734" s="4" t="b">
        <v>0</v>
      </c>
      <c r="T734" s="4" t="b">
        <v>0</v>
      </c>
      <c r="U734" s="4" t="b">
        <v>0</v>
      </c>
      <c r="V734" s="4" t="b">
        <f>AND(_xlfn.XLOOKUP(_xlfn.TEXTJOIN(,,D734:O734),Aux!$B$3:$B$4098,'Truth Table'!$T$3:$T$4098)=1,P733&lt;='Line Follower'!$C$7)</f>
        <v>0</v>
      </c>
      <c r="W734" s="4" t="b">
        <f>AND(_xlfn.XLOOKUP(_xlfn.TEXTJOIN(,,D734:O734),Aux!$B$3:$B$4098,'Truth Table'!$U$3:$U$4098)=1,P733&gt;='Line Follower'!$C$6)</f>
        <v>0</v>
      </c>
      <c r="X734" s="4" t="b">
        <f>IFERROR(AND(_xlfn.XLOOKUP(_xlfn.TEXTJOIN(,,D734:O734),Aux!$B$3:$B$4098,'Truth Table'!$V$3:$V$4098)=1,ABS(P733)&lt;='Line Follower'!$C$6),FALSE)</f>
        <v>0</v>
      </c>
      <c r="Y734" s="4" t="b">
        <f t="shared" si="11"/>
        <v>1</v>
      </c>
    </row>
    <row r="735" spans="2:25" x14ac:dyDescent="0.25">
      <c r="B735" s="4">
        <v>732</v>
      </c>
      <c r="C735" s="4">
        <v>6314</v>
      </c>
      <c r="D735" s="4">
        <v>0</v>
      </c>
      <c r="E735" s="4">
        <v>0</v>
      </c>
      <c r="F735" s="4">
        <v>0</v>
      </c>
      <c r="G735" s="4">
        <v>1</v>
      </c>
      <c r="H735" s="4">
        <v>1</v>
      </c>
      <c r="I735" s="4">
        <v>0</v>
      </c>
      <c r="J735" s="4">
        <v>0</v>
      </c>
      <c r="K735" s="4">
        <v>0</v>
      </c>
      <c r="L735" s="4">
        <v>0</v>
      </c>
      <c r="M735" s="4">
        <v>0</v>
      </c>
      <c r="N735" s="4">
        <v>0</v>
      </c>
      <c r="O735" s="4">
        <v>1</v>
      </c>
      <c r="P735" s="51">
        <f>IFERROR(_xlfn.XLOOKUP(_xlfn.TEXTJOIN(,,D734:O734),Aux!$B$3:$B$4098,'Truth Table'!$N$3:$N$4098),P734)</f>
        <v>-2</v>
      </c>
      <c r="Q735" s="4" t="b" cm="1">
        <f t="array" ref="Q735:U735">IFERROR(_xlfn.XLOOKUP(_xlfn.TEXTJOIN(,,D735:O735),Aux!$B$3:$B$4098,'Truth Table'!$O$3:$S$4098)=1,FALSE)</f>
        <v>1</v>
      </c>
      <c r="R735" s="4" t="b">
        <v>0</v>
      </c>
      <c r="S735" s="4" t="b">
        <v>0</v>
      </c>
      <c r="T735" s="4" t="b">
        <v>0</v>
      </c>
      <c r="U735" s="4" t="b">
        <v>0</v>
      </c>
      <c r="V735" s="4" t="b">
        <f>AND(_xlfn.XLOOKUP(_xlfn.TEXTJOIN(,,D735:O735),Aux!$B$3:$B$4098,'Truth Table'!$T$3:$T$4098)=1,P734&lt;='Line Follower'!$C$7)</f>
        <v>0</v>
      </c>
      <c r="W735" s="4" t="b">
        <f>AND(_xlfn.XLOOKUP(_xlfn.TEXTJOIN(,,D735:O735),Aux!$B$3:$B$4098,'Truth Table'!$U$3:$U$4098)=1,P734&gt;='Line Follower'!$C$6)</f>
        <v>0</v>
      </c>
      <c r="X735" s="4" t="b">
        <f>IFERROR(AND(_xlfn.XLOOKUP(_xlfn.TEXTJOIN(,,D735:O735),Aux!$B$3:$B$4098,'Truth Table'!$V$3:$V$4098)=1,ABS(P734)&lt;='Line Follower'!$C$6),FALSE)</f>
        <v>0</v>
      </c>
      <c r="Y735" s="4" t="b">
        <f t="shared" si="11"/>
        <v>1</v>
      </c>
    </row>
    <row r="736" spans="2:25" x14ac:dyDescent="0.25">
      <c r="B736" s="4">
        <v>733</v>
      </c>
      <c r="C736" s="4">
        <v>6323</v>
      </c>
      <c r="D736" s="4">
        <v>0</v>
      </c>
      <c r="E736" s="4">
        <v>0</v>
      </c>
      <c r="F736" s="4">
        <v>0</v>
      </c>
      <c r="G736" s="4">
        <v>1</v>
      </c>
      <c r="H736" s="4">
        <v>1</v>
      </c>
      <c r="I736" s="4">
        <v>0</v>
      </c>
      <c r="J736" s="4">
        <v>0</v>
      </c>
      <c r="K736" s="4">
        <v>0</v>
      </c>
      <c r="L736" s="4">
        <v>0</v>
      </c>
      <c r="M736" s="4">
        <v>0</v>
      </c>
      <c r="N736" s="4">
        <v>0</v>
      </c>
      <c r="O736" s="4">
        <v>1</v>
      </c>
      <c r="P736" s="51">
        <f>IFERROR(_xlfn.XLOOKUP(_xlfn.TEXTJOIN(,,D735:O735),Aux!$B$3:$B$4098,'Truth Table'!$N$3:$N$4098),P735)</f>
        <v>-2</v>
      </c>
      <c r="Q736" s="4" t="b" cm="1">
        <f t="array" ref="Q736:U736">IFERROR(_xlfn.XLOOKUP(_xlfn.TEXTJOIN(,,D736:O736),Aux!$B$3:$B$4098,'Truth Table'!$O$3:$S$4098)=1,FALSE)</f>
        <v>1</v>
      </c>
      <c r="R736" s="4" t="b">
        <v>0</v>
      </c>
      <c r="S736" s="4" t="b">
        <v>0</v>
      </c>
      <c r="T736" s="4" t="b">
        <v>0</v>
      </c>
      <c r="U736" s="4" t="b">
        <v>0</v>
      </c>
      <c r="V736" s="4" t="b">
        <f>AND(_xlfn.XLOOKUP(_xlfn.TEXTJOIN(,,D736:O736),Aux!$B$3:$B$4098,'Truth Table'!$T$3:$T$4098)=1,P735&lt;='Line Follower'!$C$7)</f>
        <v>0</v>
      </c>
      <c r="W736" s="4" t="b">
        <f>AND(_xlfn.XLOOKUP(_xlfn.TEXTJOIN(,,D736:O736),Aux!$B$3:$B$4098,'Truth Table'!$U$3:$U$4098)=1,P735&gt;='Line Follower'!$C$6)</f>
        <v>0</v>
      </c>
      <c r="X736" s="4" t="b">
        <f>IFERROR(AND(_xlfn.XLOOKUP(_xlfn.TEXTJOIN(,,D736:O736),Aux!$B$3:$B$4098,'Truth Table'!$V$3:$V$4098)=1,ABS(P735)&lt;='Line Follower'!$C$6),FALSE)</f>
        <v>0</v>
      </c>
      <c r="Y736" s="4" t="b">
        <f t="shared" si="11"/>
        <v>1</v>
      </c>
    </row>
    <row r="737" spans="2:25" x14ac:dyDescent="0.25">
      <c r="B737" s="4">
        <v>734</v>
      </c>
      <c r="C737" s="4">
        <v>6337</v>
      </c>
      <c r="D737" s="4">
        <v>0</v>
      </c>
      <c r="E737" s="4">
        <v>0</v>
      </c>
      <c r="F737" s="4">
        <v>0</v>
      </c>
      <c r="G737" s="4">
        <v>1</v>
      </c>
      <c r="H737" s="4">
        <v>1</v>
      </c>
      <c r="I737" s="4">
        <v>0</v>
      </c>
      <c r="J737" s="4">
        <v>0</v>
      </c>
      <c r="K737" s="4">
        <v>0</v>
      </c>
      <c r="L737" s="4">
        <v>0</v>
      </c>
      <c r="M737" s="4">
        <v>0</v>
      </c>
      <c r="N737" s="4">
        <v>0</v>
      </c>
      <c r="O737" s="4">
        <v>1</v>
      </c>
      <c r="P737" s="51">
        <f>IFERROR(_xlfn.XLOOKUP(_xlfn.TEXTJOIN(,,D736:O736),Aux!$B$3:$B$4098,'Truth Table'!$N$3:$N$4098),P736)</f>
        <v>-2</v>
      </c>
      <c r="Q737" s="4" t="b" cm="1">
        <f t="array" ref="Q737:U737">IFERROR(_xlfn.XLOOKUP(_xlfn.TEXTJOIN(,,D737:O737),Aux!$B$3:$B$4098,'Truth Table'!$O$3:$S$4098)=1,FALSE)</f>
        <v>1</v>
      </c>
      <c r="R737" s="4" t="b">
        <v>0</v>
      </c>
      <c r="S737" s="4" t="b">
        <v>0</v>
      </c>
      <c r="T737" s="4" t="b">
        <v>0</v>
      </c>
      <c r="U737" s="4" t="b">
        <v>0</v>
      </c>
      <c r="V737" s="4" t="b">
        <f>AND(_xlfn.XLOOKUP(_xlfn.TEXTJOIN(,,D737:O737),Aux!$B$3:$B$4098,'Truth Table'!$T$3:$T$4098)=1,P736&lt;='Line Follower'!$C$7)</f>
        <v>0</v>
      </c>
      <c r="W737" s="4" t="b">
        <f>AND(_xlfn.XLOOKUP(_xlfn.TEXTJOIN(,,D737:O737),Aux!$B$3:$B$4098,'Truth Table'!$U$3:$U$4098)=1,P736&gt;='Line Follower'!$C$6)</f>
        <v>0</v>
      </c>
      <c r="X737" s="4" t="b">
        <f>IFERROR(AND(_xlfn.XLOOKUP(_xlfn.TEXTJOIN(,,D737:O737),Aux!$B$3:$B$4098,'Truth Table'!$V$3:$V$4098)=1,ABS(P736)&lt;='Line Follower'!$C$6),FALSE)</f>
        <v>0</v>
      </c>
      <c r="Y737" s="4" t="b">
        <f t="shared" si="11"/>
        <v>1</v>
      </c>
    </row>
    <row r="738" spans="2:25" x14ac:dyDescent="0.25">
      <c r="B738" s="4">
        <v>735</v>
      </c>
      <c r="C738" s="4">
        <v>6346</v>
      </c>
      <c r="D738" s="4">
        <v>0</v>
      </c>
      <c r="E738" s="4">
        <v>0</v>
      </c>
      <c r="F738" s="4">
        <v>0</v>
      </c>
      <c r="G738" s="4">
        <v>1</v>
      </c>
      <c r="H738" s="4">
        <v>1</v>
      </c>
      <c r="I738" s="4">
        <v>0</v>
      </c>
      <c r="J738" s="4">
        <v>0</v>
      </c>
      <c r="K738" s="4">
        <v>0</v>
      </c>
      <c r="L738" s="4">
        <v>0</v>
      </c>
      <c r="M738" s="4">
        <v>0</v>
      </c>
      <c r="N738" s="4">
        <v>0</v>
      </c>
      <c r="O738" s="4">
        <v>1</v>
      </c>
      <c r="P738" s="51">
        <f>IFERROR(_xlfn.XLOOKUP(_xlfn.TEXTJOIN(,,D737:O737),Aux!$B$3:$B$4098,'Truth Table'!$N$3:$N$4098),P737)</f>
        <v>-2</v>
      </c>
      <c r="Q738" s="4" t="b" cm="1">
        <f t="array" ref="Q738:U738">IFERROR(_xlfn.XLOOKUP(_xlfn.TEXTJOIN(,,D738:O738),Aux!$B$3:$B$4098,'Truth Table'!$O$3:$S$4098)=1,FALSE)</f>
        <v>1</v>
      </c>
      <c r="R738" s="4" t="b">
        <v>0</v>
      </c>
      <c r="S738" s="4" t="b">
        <v>0</v>
      </c>
      <c r="T738" s="4" t="b">
        <v>0</v>
      </c>
      <c r="U738" s="4" t="b">
        <v>0</v>
      </c>
      <c r="V738" s="4" t="b">
        <f>AND(_xlfn.XLOOKUP(_xlfn.TEXTJOIN(,,D738:O738),Aux!$B$3:$B$4098,'Truth Table'!$T$3:$T$4098)=1,P737&lt;='Line Follower'!$C$7)</f>
        <v>0</v>
      </c>
      <c r="W738" s="4" t="b">
        <f>AND(_xlfn.XLOOKUP(_xlfn.TEXTJOIN(,,D738:O738),Aux!$B$3:$B$4098,'Truth Table'!$U$3:$U$4098)=1,P737&gt;='Line Follower'!$C$6)</f>
        <v>0</v>
      </c>
      <c r="X738" s="4" t="b">
        <f>IFERROR(AND(_xlfn.XLOOKUP(_xlfn.TEXTJOIN(,,D738:O738),Aux!$B$3:$B$4098,'Truth Table'!$V$3:$V$4098)=1,ABS(P737)&lt;='Line Follower'!$C$6),FALSE)</f>
        <v>0</v>
      </c>
      <c r="Y738" s="4" t="b">
        <f t="shared" si="11"/>
        <v>1</v>
      </c>
    </row>
    <row r="739" spans="2:25" x14ac:dyDescent="0.25">
      <c r="B739" s="4">
        <v>736</v>
      </c>
      <c r="C739" s="4">
        <v>6357</v>
      </c>
      <c r="D739" s="4">
        <v>0</v>
      </c>
      <c r="E739" s="4">
        <v>0</v>
      </c>
      <c r="F739" s="4">
        <v>0</v>
      </c>
      <c r="G739" s="4">
        <v>1</v>
      </c>
      <c r="H739" s="4">
        <v>1</v>
      </c>
      <c r="I739" s="4">
        <v>0</v>
      </c>
      <c r="J739" s="4">
        <v>0</v>
      </c>
      <c r="K739" s="4">
        <v>0</v>
      </c>
      <c r="L739" s="4">
        <v>0</v>
      </c>
      <c r="M739" s="4">
        <v>0</v>
      </c>
      <c r="N739" s="4">
        <v>0</v>
      </c>
      <c r="O739" s="4">
        <v>0</v>
      </c>
      <c r="P739" s="51">
        <f>IFERROR(_xlfn.XLOOKUP(_xlfn.TEXTJOIN(,,D738:O738),Aux!$B$3:$B$4098,'Truth Table'!$N$3:$N$4098),P738)</f>
        <v>-2</v>
      </c>
      <c r="Q739" s="4" t="b" cm="1">
        <f t="array" ref="Q739:U739">IFERROR(_xlfn.XLOOKUP(_xlfn.TEXTJOIN(,,D739:O739),Aux!$B$3:$B$4098,'Truth Table'!$O$3:$S$4098)=1,FALSE)</f>
        <v>1</v>
      </c>
      <c r="R739" s="4" t="b">
        <v>0</v>
      </c>
      <c r="S739" s="4" t="b">
        <v>0</v>
      </c>
      <c r="T739" s="4" t="b">
        <v>0</v>
      </c>
      <c r="U739" s="4" t="b">
        <v>0</v>
      </c>
      <c r="V739" s="4" t="b">
        <f>AND(_xlfn.XLOOKUP(_xlfn.TEXTJOIN(,,D739:O739),Aux!$B$3:$B$4098,'Truth Table'!$T$3:$T$4098)=1,P738&lt;='Line Follower'!$C$7)</f>
        <v>0</v>
      </c>
      <c r="W739" s="4" t="b">
        <f>AND(_xlfn.XLOOKUP(_xlfn.TEXTJOIN(,,D739:O739),Aux!$B$3:$B$4098,'Truth Table'!$U$3:$U$4098)=1,P738&gt;='Line Follower'!$C$6)</f>
        <v>0</v>
      </c>
      <c r="X739" s="4" t="b">
        <f>IFERROR(AND(_xlfn.XLOOKUP(_xlfn.TEXTJOIN(,,D739:O739),Aux!$B$3:$B$4098,'Truth Table'!$V$3:$V$4098)=1,ABS(P738)&lt;='Line Follower'!$C$6),FALSE)</f>
        <v>0</v>
      </c>
      <c r="Y739" s="4" t="b">
        <f t="shared" si="11"/>
        <v>1</v>
      </c>
    </row>
    <row r="740" spans="2:25" x14ac:dyDescent="0.25">
      <c r="B740" s="4">
        <v>737</v>
      </c>
      <c r="C740" s="4">
        <v>6357</v>
      </c>
      <c r="D740" s="4">
        <v>0</v>
      </c>
      <c r="E740" s="4">
        <v>0</v>
      </c>
      <c r="F740" s="4">
        <v>0</v>
      </c>
      <c r="G740" s="4">
        <v>1</v>
      </c>
      <c r="H740" s="4">
        <v>1</v>
      </c>
      <c r="I740" s="4">
        <v>0</v>
      </c>
      <c r="J740" s="4">
        <v>0</v>
      </c>
      <c r="K740" s="4">
        <v>0</v>
      </c>
      <c r="L740" s="4">
        <v>0</v>
      </c>
      <c r="M740" s="4">
        <v>0</v>
      </c>
      <c r="N740" s="4">
        <v>0</v>
      </c>
      <c r="O740" s="4">
        <v>0</v>
      </c>
      <c r="P740" s="51">
        <f>IFERROR(_xlfn.XLOOKUP(_xlfn.TEXTJOIN(,,D739:O739),Aux!$B$3:$B$4098,'Truth Table'!$N$3:$N$4098),P739)</f>
        <v>-2</v>
      </c>
      <c r="Q740" s="4" t="b" cm="1">
        <f t="array" ref="Q740:U740">IFERROR(_xlfn.XLOOKUP(_xlfn.TEXTJOIN(,,D740:O740),Aux!$B$3:$B$4098,'Truth Table'!$O$3:$S$4098)=1,FALSE)</f>
        <v>1</v>
      </c>
      <c r="R740" s="4" t="b">
        <v>0</v>
      </c>
      <c r="S740" s="4" t="b">
        <v>0</v>
      </c>
      <c r="T740" s="4" t="b">
        <v>0</v>
      </c>
      <c r="U740" s="4" t="b">
        <v>0</v>
      </c>
      <c r="V740" s="4" t="b">
        <f>AND(_xlfn.XLOOKUP(_xlfn.TEXTJOIN(,,D740:O740),Aux!$B$3:$B$4098,'Truth Table'!$T$3:$T$4098)=1,P739&lt;='Line Follower'!$C$7)</f>
        <v>0</v>
      </c>
      <c r="W740" s="4" t="b">
        <f>AND(_xlfn.XLOOKUP(_xlfn.TEXTJOIN(,,D740:O740),Aux!$B$3:$B$4098,'Truth Table'!$U$3:$U$4098)=1,P739&gt;='Line Follower'!$C$6)</f>
        <v>0</v>
      </c>
      <c r="X740" s="4" t="b">
        <f>IFERROR(AND(_xlfn.XLOOKUP(_xlfn.TEXTJOIN(,,D740:O740),Aux!$B$3:$B$4098,'Truth Table'!$V$3:$V$4098)=1,ABS(P739)&lt;='Line Follower'!$C$6),FALSE)</f>
        <v>0</v>
      </c>
      <c r="Y740" s="4" t="b">
        <f t="shared" si="11"/>
        <v>1</v>
      </c>
    </row>
    <row r="741" spans="2:25" x14ac:dyDescent="0.25">
      <c r="B741" s="4">
        <v>738</v>
      </c>
      <c r="C741" s="4">
        <v>6366</v>
      </c>
      <c r="D741" s="4">
        <v>0</v>
      </c>
      <c r="E741" s="4">
        <v>0</v>
      </c>
      <c r="F741" s="4">
        <v>1</v>
      </c>
      <c r="G741" s="4">
        <v>1</v>
      </c>
      <c r="H741" s="4">
        <v>0</v>
      </c>
      <c r="I741" s="4">
        <v>0</v>
      </c>
      <c r="J741" s="4">
        <v>0</v>
      </c>
      <c r="K741" s="4">
        <v>0</v>
      </c>
      <c r="L741" s="4">
        <v>0</v>
      </c>
      <c r="M741" s="4">
        <v>0</v>
      </c>
      <c r="N741" s="4">
        <v>0</v>
      </c>
      <c r="O741" s="4">
        <v>0</v>
      </c>
      <c r="P741" s="51">
        <f>IFERROR(_xlfn.XLOOKUP(_xlfn.TEXTJOIN(,,D740:O740),Aux!$B$3:$B$4098,'Truth Table'!$N$3:$N$4098),P740)</f>
        <v>-2</v>
      </c>
      <c r="Q741" s="4" t="b" cm="1">
        <f t="array" ref="Q741:U741">IFERROR(_xlfn.XLOOKUP(_xlfn.TEXTJOIN(,,D741:O741),Aux!$B$3:$B$4098,'Truth Table'!$O$3:$S$4098)=1,FALSE)</f>
        <v>1</v>
      </c>
      <c r="R741" s="4" t="b">
        <v>0</v>
      </c>
      <c r="S741" s="4" t="b">
        <v>0</v>
      </c>
      <c r="T741" s="4" t="b">
        <v>0</v>
      </c>
      <c r="U741" s="4" t="b">
        <v>0</v>
      </c>
      <c r="V741" s="4" t="b">
        <f>AND(_xlfn.XLOOKUP(_xlfn.TEXTJOIN(,,D741:O741),Aux!$B$3:$B$4098,'Truth Table'!$T$3:$T$4098)=1,P740&lt;='Line Follower'!$C$7)</f>
        <v>0</v>
      </c>
      <c r="W741" s="4" t="b">
        <f>AND(_xlfn.XLOOKUP(_xlfn.TEXTJOIN(,,D741:O741),Aux!$B$3:$B$4098,'Truth Table'!$U$3:$U$4098)=1,P740&gt;='Line Follower'!$C$6)</f>
        <v>0</v>
      </c>
      <c r="X741" s="4" t="b">
        <f>IFERROR(AND(_xlfn.XLOOKUP(_xlfn.TEXTJOIN(,,D741:O741),Aux!$B$3:$B$4098,'Truth Table'!$V$3:$V$4098)=1,ABS(P740)&lt;='Line Follower'!$C$6),FALSE)</f>
        <v>0</v>
      </c>
      <c r="Y741" s="4" t="b">
        <f t="shared" si="11"/>
        <v>1</v>
      </c>
    </row>
    <row r="742" spans="2:25" x14ac:dyDescent="0.25">
      <c r="B742" s="4">
        <v>739</v>
      </c>
      <c r="C742" s="4">
        <v>6374</v>
      </c>
      <c r="D742" s="4">
        <v>0</v>
      </c>
      <c r="E742" s="4">
        <v>0</v>
      </c>
      <c r="F742" s="4">
        <v>1</v>
      </c>
      <c r="G742" s="4">
        <v>1</v>
      </c>
      <c r="H742" s="4">
        <v>0</v>
      </c>
      <c r="I742" s="4">
        <v>0</v>
      </c>
      <c r="J742" s="4">
        <v>0</v>
      </c>
      <c r="K742" s="4">
        <v>0</v>
      </c>
      <c r="L742" s="4">
        <v>0</v>
      </c>
      <c r="M742" s="4">
        <v>0</v>
      </c>
      <c r="N742" s="4">
        <v>0</v>
      </c>
      <c r="O742" s="4">
        <v>0</v>
      </c>
      <c r="P742" s="51">
        <f>IFERROR(_xlfn.XLOOKUP(_xlfn.TEXTJOIN(,,D741:O741),Aux!$B$3:$B$4098,'Truth Table'!$N$3:$N$4098),P741)</f>
        <v>-4</v>
      </c>
      <c r="Q742" s="4" t="b" cm="1">
        <f t="array" ref="Q742:U742">IFERROR(_xlfn.XLOOKUP(_xlfn.TEXTJOIN(,,D742:O742),Aux!$B$3:$B$4098,'Truth Table'!$O$3:$S$4098)=1,FALSE)</f>
        <v>1</v>
      </c>
      <c r="R742" s="4" t="b">
        <v>0</v>
      </c>
      <c r="S742" s="4" t="b">
        <v>0</v>
      </c>
      <c r="T742" s="4" t="b">
        <v>0</v>
      </c>
      <c r="U742" s="4" t="b">
        <v>0</v>
      </c>
      <c r="V742" s="4" t="b">
        <f>AND(_xlfn.XLOOKUP(_xlfn.TEXTJOIN(,,D742:O742),Aux!$B$3:$B$4098,'Truth Table'!$T$3:$T$4098)=1,P741&lt;='Line Follower'!$C$7)</f>
        <v>0</v>
      </c>
      <c r="W742" s="4" t="b">
        <f>AND(_xlfn.XLOOKUP(_xlfn.TEXTJOIN(,,D742:O742),Aux!$B$3:$B$4098,'Truth Table'!$U$3:$U$4098)=1,P741&gt;='Line Follower'!$C$6)</f>
        <v>0</v>
      </c>
      <c r="X742" s="4" t="b">
        <f>IFERROR(AND(_xlfn.XLOOKUP(_xlfn.TEXTJOIN(,,D742:O742),Aux!$B$3:$B$4098,'Truth Table'!$V$3:$V$4098)=1,ABS(P741)&lt;='Line Follower'!$C$6),FALSE)</f>
        <v>0</v>
      </c>
      <c r="Y742" s="4" t="b">
        <f t="shared" si="11"/>
        <v>1</v>
      </c>
    </row>
    <row r="743" spans="2:25" x14ac:dyDescent="0.25">
      <c r="B743" s="4">
        <v>740</v>
      </c>
      <c r="C743" s="4">
        <v>6383</v>
      </c>
      <c r="D743" s="4">
        <v>0</v>
      </c>
      <c r="E743" s="4">
        <v>0</v>
      </c>
      <c r="F743" s="4">
        <v>1</v>
      </c>
      <c r="G743" s="4">
        <v>1</v>
      </c>
      <c r="H743" s="4">
        <v>0</v>
      </c>
      <c r="I743" s="4">
        <v>0</v>
      </c>
      <c r="J743" s="4">
        <v>0</v>
      </c>
      <c r="K743" s="4">
        <v>0</v>
      </c>
      <c r="L743" s="4">
        <v>0</v>
      </c>
      <c r="M743" s="4">
        <v>0</v>
      </c>
      <c r="N743" s="4">
        <v>0</v>
      </c>
      <c r="O743" s="4">
        <v>0</v>
      </c>
      <c r="P743" s="51">
        <f>IFERROR(_xlfn.XLOOKUP(_xlfn.TEXTJOIN(,,D742:O742),Aux!$B$3:$B$4098,'Truth Table'!$N$3:$N$4098),P742)</f>
        <v>-4</v>
      </c>
      <c r="Q743" s="4" t="b" cm="1">
        <f t="array" ref="Q743:U743">IFERROR(_xlfn.XLOOKUP(_xlfn.TEXTJOIN(,,D743:O743),Aux!$B$3:$B$4098,'Truth Table'!$O$3:$S$4098)=1,FALSE)</f>
        <v>1</v>
      </c>
      <c r="R743" s="4" t="b">
        <v>0</v>
      </c>
      <c r="S743" s="4" t="b">
        <v>0</v>
      </c>
      <c r="T743" s="4" t="b">
        <v>0</v>
      </c>
      <c r="U743" s="4" t="b">
        <v>0</v>
      </c>
      <c r="V743" s="4" t="b">
        <f>AND(_xlfn.XLOOKUP(_xlfn.TEXTJOIN(,,D743:O743),Aux!$B$3:$B$4098,'Truth Table'!$T$3:$T$4098)=1,P742&lt;='Line Follower'!$C$7)</f>
        <v>0</v>
      </c>
      <c r="W743" s="4" t="b">
        <f>AND(_xlfn.XLOOKUP(_xlfn.TEXTJOIN(,,D743:O743),Aux!$B$3:$B$4098,'Truth Table'!$U$3:$U$4098)=1,P742&gt;='Line Follower'!$C$6)</f>
        <v>0</v>
      </c>
      <c r="X743" s="4" t="b">
        <f>IFERROR(AND(_xlfn.XLOOKUP(_xlfn.TEXTJOIN(,,D743:O743),Aux!$B$3:$B$4098,'Truth Table'!$V$3:$V$4098)=1,ABS(P742)&lt;='Line Follower'!$C$6),FALSE)</f>
        <v>0</v>
      </c>
      <c r="Y743" s="4" t="b">
        <f t="shared" si="11"/>
        <v>1</v>
      </c>
    </row>
    <row r="744" spans="2:25" x14ac:dyDescent="0.25">
      <c r="B744" s="4">
        <v>741</v>
      </c>
      <c r="C744" s="4">
        <v>6401</v>
      </c>
      <c r="D744" s="4">
        <v>0</v>
      </c>
      <c r="E744" s="4">
        <v>0</v>
      </c>
      <c r="F744" s="4">
        <v>1</v>
      </c>
      <c r="G744" s="4">
        <v>1</v>
      </c>
      <c r="H744" s="4">
        <v>0</v>
      </c>
      <c r="I744" s="4">
        <v>0</v>
      </c>
      <c r="J744" s="4">
        <v>0</v>
      </c>
      <c r="K744" s="4">
        <v>0</v>
      </c>
      <c r="L744" s="4">
        <v>0</v>
      </c>
      <c r="M744" s="4">
        <v>0</v>
      </c>
      <c r="N744" s="4">
        <v>0</v>
      </c>
      <c r="O744" s="4">
        <v>0</v>
      </c>
      <c r="P744" s="51">
        <f>IFERROR(_xlfn.XLOOKUP(_xlfn.TEXTJOIN(,,D743:O743),Aux!$B$3:$B$4098,'Truth Table'!$N$3:$N$4098),P743)</f>
        <v>-4</v>
      </c>
      <c r="Q744" s="4" t="b" cm="1">
        <f t="array" ref="Q744:U744">IFERROR(_xlfn.XLOOKUP(_xlfn.TEXTJOIN(,,D744:O744),Aux!$B$3:$B$4098,'Truth Table'!$O$3:$S$4098)=1,FALSE)</f>
        <v>1</v>
      </c>
      <c r="R744" s="4" t="b">
        <v>0</v>
      </c>
      <c r="S744" s="4" t="b">
        <v>0</v>
      </c>
      <c r="T744" s="4" t="b">
        <v>0</v>
      </c>
      <c r="U744" s="4" t="b">
        <v>0</v>
      </c>
      <c r="V744" s="4" t="b">
        <f>AND(_xlfn.XLOOKUP(_xlfn.TEXTJOIN(,,D744:O744),Aux!$B$3:$B$4098,'Truth Table'!$T$3:$T$4098)=1,P743&lt;='Line Follower'!$C$7)</f>
        <v>0</v>
      </c>
      <c r="W744" s="4" t="b">
        <f>AND(_xlfn.XLOOKUP(_xlfn.TEXTJOIN(,,D744:O744),Aux!$B$3:$B$4098,'Truth Table'!$U$3:$U$4098)=1,P743&gt;='Line Follower'!$C$6)</f>
        <v>0</v>
      </c>
      <c r="X744" s="4" t="b">
        <f>IFERROR(AND(_xlfn.XLOOKUP(_xlfn.TEXTJOIN(,,D744:O744),Aux!$B$3:$B$4098,'Truth Table'!$V$3:$V$4098)=1,ABS(P743)&lt;='Line Follower'!$C$6),FALSE)</f>
        <v>0</v>
      </c>
      <c r="Y744" s="4" t="b">
        <f t="shared" si="11"/>
        <v>1</v>
      </c>
    </row>
    <row r="745" spans="2:25" x14ac:dyDescent="0.25">
      <c r="B745" s="4">
        <v>742</v>
      </c>
      <c r="C745" s="4">
        <v>6402</v>
      </c>
      <c r="D745" s="4">
        <v>0</v>
      </c>
      <c r="E745" s="4">
        <v>0</v>
      </c>
      <c r="F745" s="4">
        <v>1</v>
      </c>
      <c r="G745" s="4">
        <v>1</v>
      </c>
      <c r="H745" s="4">
        <v>0</v>
      </c>
      <c r="I745" s="4">
        <v>0</v>
      </c>
      <c r="J745" s="4">
        <v>0</v>
      </c>
      <c r="K745" s="4">
        <v>0</v>
      </c>
      <c r="L745" s="4">
        <v>0</v>
      </c>
      <c r="M745" s="4">
        <v>0</v>
      </c>
      <c r="N745" s="4">
        <v>0</v>
      </c>
      <c r="O745" s="4">
        <v>0</v>
      </c>
      <c r="P745" s="51">
        <f>IFERROR(_xlfn.XLOOKUP(_xlfn.TEXTJOIN(,,D744:O744),Aux!$B$3:$B$4098,'Truth Table'!$N$3:$N$4098),P744)</f>
        <v>-4</v>
      </c>
      <c r="Q745" s="4" t="b" cm="1">
        <f t="array" ref="Q745:U745">IFERROR(_xlfn.XLOOKUP(_xlfn.TEXTJOIN(,,D745:O745),Aux!$B$3:$B$4098,'Truth Table'!$O$3:$S$4098)=1,FALSE)</f>
        <v>1</v>
      </c>
      <c r="R745" s="4" t="b">
        <v>0</v>
      </c>
      <c r="S745" s="4" t="b">
        <v>0</v>
      </c>
      <c r="T745" s="4" t="b">
        <v>0</v>
      </c>
      <c r="U745" s="4" t="b">
        <v>0</v>
      </c>
      <c r="V745" s="4" t="b">
        <f>AND(_xlfn.XLOOKUP(_xlfn.TEXTJOIN(,,D745:O745),Aux!$B$3:$B$4098,'Truth Table'!$T$3:$T$4098)=1,P744&lt;='Line Follower'!$C$7)</f>
        <v>0</v>
      </c>
      <c r="W745" s="4" t="b">
        <f>AND(_xlfn.XLOOKUP(_xlfn.TEXTJOIN(,,D745:O745),Aux!$B$3:$B$4098,'Truth Table'!$U$3:$U$4098)=1,P744&gt;='Line Follower'!$C$6)</f>
        <v>0</v>
      </c>
      <c r="X745" s="4" t="b">
        <f>IFERROR(AND(_xlfn.XLOOKUP(_xlfn.TEXTJOIN(,,D745:O745),Aux!$B$3:$B$4098,'Truth Table'!$V$3:$V$4098)=1,ABS(P744)&lt;='Line Follower'!$C$6),FALSE)</f>
        <v>0</v>
      </c>
      <c r="Y745" s="4" t="b">
        <f t="shared" si="11"/>
        <v>1</v>
      </c>
    </row>
    <row r="746" spans="2:25" x14ac:dyDescent="0.25">
      <c r="B746" s="4">
        <v>743</v>
      </c>
      <c r="C746" s="4">
        <v>6414</v>
      </c>
      <c r="D746" s="4">
        <v>0</v>
      </c>
      <c r="E746" s="4">
        <v>0</v>
      </c>
      <c r="F746" s="4">
        <v>1</v>
      </c>
      <c r="G746" s="4">
        <v>1</v>
      </c>
      <c r="H746" s="4">
        <v>0</v>
      </c>
      <c r="I746" s="4">
        <v>0</v>
      </c>
      <c r="J746" s="4">
        <v>0</v>
      </c>
      <c r="K746" s="4">
        <v>0</v>
      </c>
      <c r="L746" s="4">
        <v>0</v>
      </c>
      <c r="M746" s="4">
        <v>0</v>
      </c>
      <c r="N746" s="4">
        <v>0</v>
      </c>
      <c r="O746" s="4">
        <v>0</v>
      </c>
      <c r="P746" s="51">
        <f>IFERROR(_xlfn.XLOOKUP(_xlfn.TEXTJOIN(,,D745:O745),Aux!$B$3:$B$4098,'Truth Table'!$N$3:$N$4098),P745)</f>
        <v>-4</v>
      </c>
      <c r="Q746" s="4" t="b" cm="1">
        <f t="array" ref="Q746:U746">IFERROR(_xlfn.XLOOKUP(_xlfn.TEXTJOIN(,,D746:O746),Aux!$B$3:$B$4098,'Truth Table'!$O$3:$S$4098)=1,FALSE)</f>
        <v>1</v>
      </c>
      <c r="R746" s="4" t="b">
        <v>0</v>
      </c>
      <c r="S746" s="4" t="b">
        <v>0</v>
      </c>
      <c r="T746" s="4" t="b">
        <v>0</v>
      </c>
      <c r="U746" s="4" t="b">
        <v>0</v>
      </c>
      <c r="V746" s="4" t="b">
        <f>AND(_xlfn.XLOOKUP(_xlfn.TEXTJOIN(,,D746:O746),Aux!$B$3:$B$4098,'Truth Table'!$T$3:$T$4098)=1,P745&lt;='Line Follower'!$C$7)</f>
        <v>0</v>
      </c>
      <c r="W746" s="4" t="b">
        <f>AND(_xlfn.XLOOKUP(_xlfn.TEXTJOIN(,,D746:O746),Aux!$B$3:$B$4098,'Truth Table'!$U$3:$U$4098)=1,P745&gt;='Line Follower'!$C$6)</f>
        <v>0</v>
      </c>
      <c r="X746" s="4" t="b">
        <f>IFERROR(AND(_xlfn.XLOOKUP(_xlfn.TEXTJOIN(,,D746:O746),Aux!$B$3:$B$4098,'Truth Table'!$V$3:$V$4098)=1,ABS(P745)&lt;='Line Follower'!$C$6),FALSE)</f>
        <v>0</v>
      </c>
      <c r="Y746" s="4" t="b">
        <f t="shared" si="11"/>
        <v>1</v>
      </c>
    </row>
    <row r="747" spans="2:25" x14ac:dyDescent="0.25">
      <c r="B747" s="4">
        <v>744</v>
      </c>
      <c r="C747" s="4">
        <v>6428</v>
      </c>
      <c r="D747" s="4">
        <v>0</v>
      </c>
      <c r="E747" s="4">
        <v>0</v>
      </c>
      <c r="F747" s="4">
        <v>1</v>
      </c>
      <c r="G747" s="4">
        <v>1</v>
      </c>
      <c r="H747" s="4">
        <v>0</v>
      </c>
      <c r="I747" s="4">
        <v>0</v>
      </c>
      <c r="J747" s="4">
        <v>0</v>
      </c>
      <c r="K747" s="4">
        <v>0</v>
      </c>
      <c r="L747" s="4">
        <v>0</v>
      </c>
      <c r="M747" s="4">
        <v>0</v>
      </c>
      <c r="N747" s="4">
        <v>0</v>
      </c>
      <c r="O747" s="4">
        <v>0</v>
      </c>
      <c r="P747" s="51">
        <f>IFERROR(_xlfn.XLOOKUP(_xlfn.TEXTJOIN(,,D746:O746),Aux!$B$3:$B$4098,'Truth Table'!$N$3:$N$4098),P746)</f>
        <v>-4</v>
      </c>
      <c r="Q747" s="4" t="b" cm="1">
        <f t="array" ref="Q747:U747">IFERROR(_xlfn.XLOOKUP(_xlfn.TEXTJOIN(,,D747:O747),Aux!$B$3:$B$4098,'Truth Table'!$O$3:$S$4098)=1,FALSE)</f>
        <v>1</v>
      </c>
      <c r="R747" s="4" t="b">
        <v>0</v>
      </c>
      <c r="S747" s="4" t="b">
        <v>0</v>
      </c>
      <c r="T747" s="4" t="b">
        <v>0</v>
      </c>
      <c r="U747" s="4" t="b">
        <v>0</v>
      </c>
      <c r="V747" s="4" t="b">
        <f>AND(_xlfn.XLOOKUP(_xlfn.TEXTJOIN(,,D747:O747),Aux!$B$3:$B$4098,'Truth Table'!$T$3:$T$4098)=1,P746&lt;='Line Follower'!$C$7)</f>
        <v>0</v>
      </c>
      <c r="W747" s="4" t="b">
        <f>AND(_xlfn.XLOOKUP(_xlfn.TEXTJOIN(,,D747:O747),Aux!$B$3:$B$4098,'Truth Table'!$U$3:$U$4098)=1,P746&gt;='Line Follower'!$C$6)</f>
        <v>0</v>
      </c>
      <c r="X747" s="4" t="b">
        <f>IFERROR(AND(_xlfn.XLOOKUP(_xlfn.TEXTJOIN(,,D747:O747),Aux!$B$3:$B$4098,'Truth Table'!$V$3:$V$4098)=1,ABS(P746)&lt;='Line Follower'!$C$6),FALSE)</f>
        <v>0</v>
      </c>
      <c r="Y747" s="4" t="b">
        <f t="shared" si="11"/>
        <v>1</v>
      </c>
    </row>
    <row r="748" spans="2:25" x14ac:dyDescent="0.25">
      <c r="B748" s="4">
        <v>745</v>
      </c>
      <c r="C748" s="4">
        <v>6434</v>
      </c>
      <c r="D748" s="4">
        <v>0</v>
      </c>
      <c r="E748" s="4">
        <v>0</v>
      </c>
      <c r="F748" s="4">
        <v>1</v>
      </c>
      <c r="G748" s="4">
        <v>1</v>
      </c>
      <c r="H748" s="4">
        <v>0</v>
      </c>
      <c r="I748" s="4">
        <v>0</v>
      </c>
      <c r="J748" s="4">
        <v>0</v>
      </c>
      <c r="K748" s="4">
        <v>0</v>
      </c>
      <c r="L748" s="4">
        <v>0</v>
      </c>
      <c r="M748" s="4">
        <v>0</v>
      </c>
      <c r="N748" s="4">
        <v>0</v>
      </c>
      <c r="O748" s="4">
        <v>0</v>
      </c>
      <c r="P748" s="51">
        <f>IFERROR(_xlfn.XLOOKUP(_xlfn.TEXTJOIN(,,D747:O747),Aux!$B$3:$B$4098,'Truth Table'!$N$3:$N$4098),P747)</f>
        <v>-4</v>
      </c>
      <c r="Q748" s="4" t="b" cm="1">
        <f t="array" ref="Q748:U748">IFERROR(_xlfn.XLOOKUP(_xlfn.TEXTJOIN(,,D748:O748),Aux!$B$3:$B$4098,'Truth Table'!$O$3:$S$4098)=1,FALSE)</f>
        <v>1</v>
      </c>
      <c r="R748" s="4" t="b">
        <v>0</v>
      </c>
      <c r="S748" s="4" t="b">
        <v>0</v>
      </c>
      <c r="T748" s="4" t="b">
        <v>0</v>
      </c>
      <c r="U748" s="4" t="b">
        <v>0</v>
      </c>
      <c r="V748" s="4" t="b">
        <f>AND(_xlfn.XLOOKUP(_xlfn.TEXTJOIN(,,D748:O748),Aux!$B$3:$B$4098,'Truth Table'!$T$3:$T$4098)=1,P747&lt;='Line Follower'!$C$7)</f>
        <v>0</v>
      </c>
      <c r="W748" s="4" t="b">
        <f>AND(_xlfn.XLOOKUP(_xlfn.TEXTJOIN(,,D748:O748),Aux!$B$3:$B$4098,'Truth Table'!$U$3:$U$4098)=1,P747&gt;='Line Follower'!$C$6)</f>
        <v>0</v>
      </c>
      <c r="X748" s="4" t="b">
        <f>IFERROR(AND(_xlfn.XLOOKUP(_xlfn.TEXTJOIN(,,D748:O748),Aux!$B$3:$B$4098,'Truth Table'!$V$3:$V$4098)=1,ABS(P747)&lt;='Line Follower'!$C$6),FALSE)</f>
        <v>0</v>
      </c>
      <c r="Y748" s="4" t="b">
        <f t="shared" si="11"/>
        <v>1</v>
      </c>
    </row>
    <row r="749" spans="2:25" x14ac:dyDescent="0.25">
      <c r="B749" s="4">
        <v>746</v>
      </c>
      <c r="C749" s="4">
        <v>6448</v>
      </c>
      <c r="D749" s="4">
        <v>0</v>
      </c>
      <c r="E749" s="4">
        <v>0</v>
      </c>
      <c r="F749" s="4">
        <v>1</v>
      </c>
      <c r="G749" s="4">
        <v>1</v>
      </c>
      <c r="H749" s="4">
        <v>0</v>
      </c>
      <c r="I749" s="4">
        <v>0</v>
      </c>
      <c r="J749" s="4">
        <v>0</v>
      </c>
      <c r="K749" s="4">
        <v>0</v>
      </c>
      <c r="L749" s="4">
        <v>0</v>
      </c>
      <c r="M749" s="4">
        <v>0</v>
      </c>
      <c r="N749" s="4">
        <v>0</v>
      </c>
      <c r="O749" s="4">
        <v>0</v>
      </c>
      <c r="P749" s="51">
        <f>IFERROR(_xlfn.XLOOKUP(_xlfn.TEXTJOIN(,,D748:O748),Aux!$B$3:$B$4098,'Truth Table'!$N$3:$N$4098),P748)</f>
        <v>-4</v>
      </c>
      <c r="Q749" s="4" t="b" cm="1">
        <f t="array" ref="Q749:U749">IFERROR(_xlfn.XLOOKUP(_xlfn.TEXTJOIN(,,D749:O749),Aux!$B$3:$B$4098,'Truth Table'!$O$3:$S$4098)=1,FALSE)</f>
        <v>1</v>
      </c>
      <c r="R749" s="4" t="b">
        <v>0</v>
      </c>
      <c r="S749" s="4" t="b">
        <v>0</v>
      </c>
      <c r="T749" s="4" t="b">
        <v>0</v>
      </c>
      <c r="U749" s="4" t="b">
        <v>0</v>
      </c>
      <c r="V749" s="4" t="b">
        <f>AND(_xlfn.XLOOKUP(_xlfn.TEXTJOIN(,,D749:O749),Aux!$B$3:$B$4098,'Truth Table'!$T$3:$T$4098)=1,P748&lt;='Line Follower'!$C$7)</f>
        <v>0</v>
      </c>
      <c r="W749" s="4" t="b">
        <f>AND(_xlfn.XLOOKUP(_xlfn.TEXTJOIN(,,D749:O749),Aux!$B$3:$B$4098,'Truth Table'!$U$3:$U$4098)=1,P748&gt;='Line Follower'!$C$6)</f>
        <v>0</v>
      </c>
      <c r="X749" s="4" t="b">
        <f>IFERROR(AND(_xlfn.XLOOKUP(_xlfn.TEXTJOIN(,,D749:O749),Aux!$B$3:$B$4098,'Truth Table'!$V$3:$V$4098)=1,ABS(P748)&lt;='Line Follower'!$C$6),FALSE)</f>
        <v>0</v>
      </c>
      <c r="Y749" s="4" t="b">
        <f t="shared" si="11"/>
        <v>1</v>
      </c>
    </row>
    <row r="750" spans="2:25" x14ac:dyDescent="0.25">
      <c r="B750" s="4">
        <v>747</v>
      </c>
      <c r="C750" s="4">
        <v>6457</v>
      </c>
      <c r="D750" s="4">
        <v>0</v>
      </c>
      <c r="E750" s="4">
        <v>0</v>
      </c>
      <c r="F750" s="4">
        <v>1</v>
      </c>
      <c r="G750" s="4">
        <v>1</v>
      </c>
      <c r="H750" s="4">
        <v>0</v>
      </c>
      <c r="I750" s="4">
        <v>0</v>
      </c>
      <c r="J750" s="4">
        <v>0</v>
      </c>
      <c r="K750" s="4">
        <v>0</v>
      </c>
      <c r="L750" s="4">
        <v>0</v>
      </c>
      <c r="M750" s="4">
        <v>0</v>
      </c>
      <c r="N750" s="4">
        <v>0</v>
      </c>
      <c r="O750" s="4">
        <v>0</v>
      </c>
      <c r="P750" s="51">
        <f>IFERROR(_xlfn.XLOOKUP(_xlfn.TEXTJOIN(,,D749:O749),Aux!$B$3:$B$4098,'Truth Table'!$N$3:$N$4098),P749)</f>
        <v>-4</v>
      </c>
      <c r="Q750" s="4" t="b" cm="1">
        <f t="array" ref="Q750:U750">IFERROR(_xlfn.XLOOKUP(_xlfn.TEXTJOIN(,,D750:O750),Aux!$B$3:$B$4098,'Truth Table'!$O$3:$S$4098)=1,FALSE)</f>
        <v>1</v>
      </c>
      <c r="R750" s="4" t="b">
        <v>0</v>
      </c>
      <c r="S750" s="4" t="b">
        <v>0</v>
      </c>
      <c r="T750" s="4" t="b">
        <v>0</v>
      </c>
      <c r="U750" s="4" t="b">
        <v>0</v>
      </c>
      <c r="V750" s="4" t="b">
        <f>AND(_xlfn.XLOOKUP(_xlfn.TEXTJOIN(,,D750:O750),Aux!$B$3:$B$4098,'Truth Table'!$T$3:$T$4098)=1,P749&lt;='Line Follower'!$C$7)</f>
        <v>0</v>
      </c>
      <c r="W750" s="4" t="b">
        <f>AND(_xlfn.XLOOKUP(_xlfn.TEXTJOIN(,,D750:O750),Aux!$B$3:$B$4098,'Truth Table'!$U$3:$U$4098)=1,P749&gt;='Line Follower'!$C$6)</f>
        <v>0</v>
      </c>
      <c r="X750" s="4" t="b">
        <f>IFERROR(AND(_xlfn.XLOOKUP(_xlfn.TEXTJOIN(,,D750:O750),Aux!$B$3:$B$4098,'Truth Table'!$V$3:$V$4098)=1,ABS(P749)&lt;='Line Follower'!$C$6),FALSE)</f>
        <v>0</v>
      </c>
      <c r="Y750" s="4" t="b">
        <f t="shared" si="11"/>
        <v>1</v>
      </c>
    </row>
    <row r="751" spans="2:25" x14ac:dyDescent="0.25">
      <c r="B751" s="4">
        <v>748</v>
      </c>
      <c r="C751" s="4">
        <v>6471</v>
      </c>
      <c r="D751" s="4">
        <v>0</v>
      </c>
      <c r="E751" s="4">
        <v>0</v>
      </c>
      <c r="F751" s="4">
        <v>1</v>
      </c>
      <c r="G751" s="4">
        <v>1</v>
      </c>
      <c r="H751" s="4">
        <v>0</v>
      </c>
      <c r="I751" s="4">
        <v>0</v>
      </c>
      <c r="J751" s="4">
        <v>0</v>
      </c>
      <c r="K751" s="4">
        <v>0</v>
      </c>
      <c r="L751" s="4">
        <v>0</v>
      </c>
      <c r="M751" s="4">
        <v>0</v>
      </c>
      <c r="N751" s="4">
        <v>0</v>
      </c>
      <c r="O751" s="4">
        <v>0</v>
      </c>
      <c r="P751" s="51">
        <f>IFERROR(_xlfn.XLOOKUP(_xlfn.TEXTJOIN(,,D750:O750),Aux!$B$3:$B$4098,'Truth Table'!$N$3:$N$4098),P750)</f>
        <v>-4</v>
      </c>
      <c r="Q751" s="4" t="b" cm="1">
        <f t="array" ref="Q751:U751">IFERROR(_xlfn.XLOOKUP(_xlfn.TEXTJOIN(,,D751:O751),Aux!$B$3:$B$4098,'Truth Table'!$O$3:$S$4098)=1,FALSE)</f>
        <v>1</v>
      </c>
      <c r="R751" s="4" t="b">
        <v>0</v>
      </c>
      <c r="S751" s="4" t="b">
        <v>0</v>
      </c>
      <c r="T751" s="4" t="b">
        <v>0</v>
      </c>
      <c r="U751" s="4" t="b">
        <v>0</v>
      </c>
      <c r="V751" s="4" t="b">
        <f>AND(_xlfn.XLOOKUP(_xlfn.TEXTJOIN(,,D751:O751),Aux!$B$3:$B$4098,'Truth Table'!$T$3:$T$4098)=1,P750&lt;='Line Follower'!$C$7)</f>
        <v>0</v>
      </c>
      <c r="W751" s="4" t="b">
        <f>AND(_xlfn.XLOOKUP(_xlfn.TEXTJOIN(,,D751:O751),Aux!$B$3:$B$4098,'Truth Table'!$U$3:$U$4098)=1,P750&gt;='Line Follower'!$C$6)</f>
        <v>0</v>
      </c>
      <c r="X751" s="4" t="b">
        <f>IFERROR(AND(_xlfn.XLOOKUP(_xlfn.TEXTJOIN(,,D751:O751),Aux!$B$3:$B$4098,'Truth Table'!$V$3:$V$4098)=1,ABS(P750)&lt;='Line Follower'!$C$6),FALSE)</f>
        <v>0</v>
      </c>
      <c r="Y751" s="4" t="b">
        <f t="shared" si="11"/>
        <v>1</v>
      </c>
    </row>
    <row r="752" spans="2:25" x14ac:dyDescent="0.25">
      <c r="B752" s="4">
        <v>749</v>
      </c>
      <c r="C752" s="4">
        <v>6477</v>
      </c>
      <c r="D752" s="4">
        <v>0</v>
      </c>
      <c r="E752" s="4">
        <v>0</v>
      </c>
      <c r="F752" s="4">
        <v>1</v>
      </c>
      <c r="G752" s="4">
        <v>1</v>
      </c>
      <c r="H752" s="4">
        <v>0</v>
      </c>
      <c r="I752" s="4">
        <v>0</v>
      </c>
      <c r="J752" s="4">
        <v>0</v>
      </c>
      <c r="K752" s="4">
        <v>0</v>
      </c>
      <c r="L752" s="4">
        <v>0</v>
      </c>
      <c r="M752" s="4">
        <v>0</v>
      </c>
      <c r="N752" s="4">
        <v>0</v>
      </c>
      <c r="O752" s="4">
        <v>0</v>
      </c>
      <c r="P752" s="51">
        <f>IFERROR(_xlfn.XLOOKUP(_xlfn.TEXTJOIN(,,D751:O751),Aux!$B$3:$B$4098,'Truth Table'!$N$3:$N$4098),P751)</f>
        <v>-4</v>
      </c>
      <c r="Q752" s="4" t="b" cm="1">
        <f t="array" ref="Q752:U752">IFERROR(_xlfn.XLOOKUP(_xlfn.TEXTJOIN(,,D752:O752),Aux!$B$3:$B$4098,'Truth Table'!$O$3:$S$4098)=1,FALSE)</f>
        <v>1</v>
      </c>
      <c r="R752" s="4" t="b">
        <v>0</v>
      </c>
      <c r="S752" s="4" t="b">
        <v>0</v>
      </c>
      <c r="T752" s="4" t="b">
        <v>0</v>
      </c>
      <c r="U752" s="4" t="b">
        <v>0</v>
      </c>
      <c r="V752" s="4" t="b">
        <f>AND(_xlfn.XLOOKUP(_xlfn.TEXTJOIN(,,D752:O752),Aux!$B$3:$B$4098,'Truth Table'!$T$3:$T$4098)=1,P751&lt;='Line Follower'!$C$7)</f>
        <v>0</v>
      </c>
      <c r="W752" s="4" t="b">
        <f>AND(_xlfn.XLOOKUP(_xlfn.TEXTJOIN(,,D752:O752),Aux!$B$3:$B$4098,'Truth Table'!$U$3:$U$4098)=1,P751&gt;='Line Follower'!$C$6)</f>
        <v>0</v>
      </c>
      <c r="X752" s="4" t="b">
        <f>IFERROR(AND(_xlfn.XLOOKUP(_xlfn.TEXTJOIN(,,D752:O752),Aux!$B$3:$B$4098,'Truth Table'!$V$3:$V$4098)=1,ABS(P751)&lt;='Line Follower'!$C$6),FALSE)</f>
        <v>0</v>
      </c>
      <c r="Y752" s="4" t="b">
        <f t="shared" si="11"/>
        <v>1</v>
      </c>
    </row>
    <row r="753" spans="2:25" x14ac:dyDescent="0.25">
      <c r="B753" s="4">
        <v>750</v>
      </c>
      <c r="C753" s="4">
        <v>6501</v>
      </c>
      <c r="D753" s="4">
        <v>0</v>
      </c>
      <c r="E753" s="4">
        <v>0</v>
      </c>
      <c r="F753" s="4">
        <v>1</v>
      </c>
      <c r="G753" s="4">
        <v>1</v>
      </c>
      <c r="H753" s="4">
        <v>0</v>
      </c>
      <c r="I753" s="4">
        <v>0</v>
      </c>
      <c r="J753" s="4">
        <v>0</v>
      </c>
      <c r="K753" s="4">
        <v>0</v>
      </c>
      <c r="L753" s="4">
        <v>0</v>
      </c>
      <c r="M753" s="4">
        <v>0</v>
      </c>
      <c r="N753" s="4">
        <v>0</v>
      </c>
      <c r="O753" s="4">
        <v>0</v>
      </c>
      <c r="P753" s="51">
        <f>IFERROR(_xlfn.XLOOKUP(_xlfn.TEXTJOIN(,,D752:O752),Aux!$B$3:$B$4098,'Truth Table'!$N$3:$N$4098),P752)</f>
        <v>-4</v>
      </c>
      <c r="Q753" s="4" t="b" cm="1">
        <f t="array" ref="Q753:U753">IFERROR(_xlfn.XLOOKUP(_xlfn.TEXTJOIN(,,D753:O753),Aux!$B$3:$B$4098,'Truth Table'!$O$3:$S$4098)=1,FALSE)</f>
        <v>1</v>
      </c>
      <c r="R753" s="4" t="b">
        <v>0</v>
      </c>
      <c r="S753" s="4" t="b">
        <v>0</v>
      </c>
      <c r="T753" s="4" t="b">
        <v>0</v>
      </c>
      <c r="U753" s="4" t="b">
        <v>0</v>
      </c>
      <c r="V753" s="4" t="b">
        <f>AND(_xlfn.XLOOKUP(_xlfn.TEXTJOIN(,,D753:O753),Aux!$B$3:$B$4098,'Truth Table'!$T$3:$T$4098)=1,P752&lt;='Line Follower'!$C$7)</f>
        <v>0</v>
      </c>
      <c r="W753" s="4" t="b">
        <f>AND(_xlfn.XLOOKUP(_xlfn.TEXTJOIN(,,D753:O753),Aux!$B$3:$B$4098,'Truth Table'!$U$3:$U$4098)=1,P752&gt;='Line Follower'!$C$6)</f>
        <v>0</v>
      </c>
      <c r="X753" s="4" t="b">
        <f>IFERROR(AND(_xlfn.XLOOKUP(_xlfn.TEXTJOIN(,,D753:O753),Aux!$B$3:$B$4098,'Truth Table'!$V$3:$V$4098)=1,ABS(P752)&lt;='Line Follower'!$C$6),FALSE)</f>
        <v>0</v>
      </c>
      <c r="Y753" s="4" t="b">
        <f t="shared" si="11"/>
        <v>1</v>
      </c>
    </row>
    <row r="754" spans="2:25" x14ac:dyDescent="0.25">
      <c r="B754" s="4">
        <v>751</v>
      </c>
      <c r="C754" s="4">
        <v>6502</v>
      </c>
      <c r="D754" s="4">
        <v>0</v>
      </c>
      <c r="E754" s="4">
        <v>0</v>
      </c>
      <c r="F754" s="4">
        <v>1</v>
      </c>
      <c r="G754" s="4">
        <v>1</v>
      </c>
      <c r="H754" s="4">
        <v>0</v>
      </c>
      <c r="I754" s="4">
        <v>0</v>
      </c>
      <c r="J754" s="4">
        <v>0</v>
      </c>
      <c r="K754" s="4">
        <v>0</v>
      </c>
      <c r="L754" s="4">
        <v>0</v>
      </c>
      <c r="M754" s="4">
        <v>0</v>
      </c>
      <c r="N754" s="4">
        <v>0</v>
      </c>
      <c r="O754" s="4">
        <v>0</v>
      </c>
      <c r="P754" s="51">
        <f>IFERROR(_xlfn.XLOOKUP(_xlfn.TEXTJOIN(,,D753:O753),Aux!$B$3:$B$4098,'Truth Table'!$N$3:$N$4098),P753)</f>
        <v>-4</v>
      </c>
      <c r="Q754" s="4" t="b" cm="1">
        <f t="array" ref="Q754:U754">IFERROR(_xlfn.XLOOKUP(_xlfn.TEXTJOIN(,,D754:O754),Aux!$B$3:$B$4098,'Truth Table'!$O$3:$S$4098)=1,FALSE)</f>
        <v>1</v>
      </c>
      <c r="R754" s="4" t="b">
        <v>0</v>
      </c>
      <c r="S754" s="4" t="b">
        <v>0</v>
      </c>
      <c r="T754" s="4" t="b">
        <v>0</v>
      </c>
      <c r="U754" s="4" t="b">
        <v>0</v>
      </c>
      <c r="V754" s="4" t="b">
        <f>AND(_xlfn.XLOOKUP(_xlfn.TEXTJOIN(,,D754:O754),Aux!$B$3:$B$4098,'Truth Table'!$T$3:$T$4098)=1,P753&lt;='Line Follower'!$C$7)</f>
        <v>0</v>
      </c>
      <c r="W754" s="4" t="b">
        <f>AND(_xlfn.XLOOKUP(_xlfn.TEXTJOIN(,,D754:O754),Aux!$B$3:$B$4098,'Truth Table'!$U$3:$U$4098)=1,P753&gt;='Line Follower'!$C$6)</f>
        <v>0</v>
      </c>
      <c r="X754" s="4" t="b">
        <f>IFERROR(AND(_xlfn.XLOOKUP(_xlfn.TEXTJOIN(,,D754:O754),Aux!$B$3:$B$4098,'Truth Table'!$V$3:$V$4098)=1,ABS(P753)&lt;='Line Follower'!$C$6),FALSE)</f>
        <v>0</v>
      </c>
      <c r="Y754" s="4" t="b">
        <f t="shared" si="11"/>
        <v>1</v>
      </c>
    </row>
    <row r="755" spans="2:25" x14ac:dyDescent="0.25">
      <c r="B755" s="4">
        <v>752</v>
      </c>
      <c r="C755" s="4">
        <v>6508</v>
      </c>
      <c r="D755" s="4">
        <v>0</v>
      </c>
      <c r="E755" s="4">
        <v>1</v>
      </c>
      <c r="F755" s="4">
        <v>1</v>
      </c>
      <c r="G755" s="4">
        <v>0</v>
      </c>
      <c r="H755" s="4">
        <v>0</v>
      </c>
      <c r="I755" s="4">
        <v>0</v>
      </c>
      <c r="J755" s="4">
        <v>0</v>
      </c>
      <c r="K755" s="4">
        <v>0</v>
      </c>
      <c r="L755" s="4">
        <v>0</v>
      </c>
      <c r="M755" s="4">
        <v>0</v>
      </c>
      <c r="N755" s="4">
        <v>0</v>
      </c>
      <c r="O755" s="4">
        <v>0</v>
      </c>
      <c r="P755" s="51">
        <f>IFERROR(_xlfn.XLOOKUP(_xlfn.TEXTJOIN(,,D754:O754),Aux!$B$3:$B$4098,'Truth Table'!$N$3:$N$4098),P754)</f>
        <v>-4</v>
      </c>
      <c r="Q755" s="4" t="b" cm="1">
        <f t="array" ref="Q755:U755">IFERROR(_xlfn.XLOOKUP(_xlfn.TEXTJOIN(,,D755:O755),Aux!$B$3:$B$4098,'Truth Table'!$O$3:$S$4098)=1,FALSE)</f>
        <v>1</v>
      </c>
      <c r="R755" s="4" t="b">
        <v>0</v>
      </c>
      <c r="S755" s="4" t="b">
        <v>0</v>
      </c>
      <c r="T755" s="4" t="b">
        <v>0</v>
      </c>
      <c r="U755" s="4" t="b">
        <v>0</v>
      </c>
      <c r="V755" s="4" t="b">
        <f>AND(_xlfn.XLOOKUP(_xlfn.TEXTJOIN(,,D755:O755),Aux!$B$3:$B$4098,'Truth Table'!$T$3:$T$4098)=1,P754&lt;='Line Follower'!$C$7)</f>
        <v>0</v>
      </c>
      <c r="W755" s="4" t="b">
        <f>AND(_xlfn.XLOOKUP(_xlfn.TEXTJOIN(,,D755:O755),Aux!$B$3:$B$4098,'Truth Table'!$U$3:$U$4098)=1,P754&gt;='Line Follower'!$C$6)</f>
        <v>0</v>
      </c>
      <c r="X755" s="4" t="b">
        <f>IFERROR(AND(_xlfn.XLOOKUP(_xlfn.TEXTJOIN(,,D755:O755),Aux!$B$3:$B$4098,'Truth Table'!$V$3:$V$4098)=1,ABS(P754)&lt;='Line Follower'!$C$6),FALSE)</f>
        <v>0</v>
      </c>
      <c r="Y755" s="4" t="b">
        <f t="shared" si="11"/>
        <v>1</v>
      </c>
    </row>
    <row r="756" spans="2:25" x14ac:dyDescent="0.25">
      <c r="B756" s="4">
        <v>753</v>
      </c>
      <c r="C756" s="4">
        <v>6519</v>
      </c>
      <c r="D756" s="4">
        <v>0</v>
      </c>
      <c r="E756" s="4">
        <v>1</v>
      </c>
      <c r="F756" s="4">
        <v>1</v>
      </c>
      <c r="G756" s="4">
        <v>0</v>
      </c>
      <c r="H756" s="4">
        <v>0</v>
      </c>
      <c r="I756" s="4">
        <v>0</v>
      </c>
      <c r="J756" s="4">
        <v>0</v>
      </c>
      <c r="K756" s="4">
        <v>0</v>
      </c>
      <c r="L756" s="4">
        <v>0</v>
      </c>
      <c r="M756" s="4">
        <v>0</v>
      </c>
      <c r="N756" s="4">
        <v>1</v>
      </c>
      <c r="O756" s="4">
        <v>0</v>
      </c>
      <c r="P756" s="51">
        <f>IFERROR(_xlfn.XLOOKUP(_xlfn.TEXTJOIN(,,D755:O755),Aux!$B$3:$B$4098,'Truth Table'!$N$3:$N$4098),P755)</f>
        <v>-6</v>
      </c>
      <c r="Q756" s="4" t="b" cm="1">
        <f t="array" ref="Q756:U756">IFERROR(_xlfn.XLOOKUP(_xlfn.TEXTJOIN(,,D756:O756),Aux!$B$3:$B$4098,'Truth Table'!$O$3:$S$4098)=1,FALSE)</f>
        <v>1</v>
      </c>
      <c r="R756" s="4" t="b">
        <v>0</v>
      </c>
      <c r="S756" s="4" t="b">
        <v>0</v>
      </c>
      <c r="T756" s="4" t="b">
        <v>0</v>
      </c>
      <c r="U756" s="4" t="b">
        <v>1</v>
      </c>
      <c r="V756" s="4" t="b">
        <f>AND(_xlfn.XLOOKUP(_xlfn.TEXTJOIN(,,D756:O756),Aux!$B$3:$B$4098,'Truth Table'!$T$3:$T$4098)=1,P755&lt;='Line Follower'!$C$7)</f>
        <v>0</v>
      </c>
      <c r="W756" s="4" t="b">
        <f>AND(_xlfn.XLOOKUP(_xlfn.TEXTJOIN(,,D756:O756),Aux!$B$3:$B$4098,'Truth Table'!$U$3:$U$4098)=1,P755&gt;='Line Follower'!$C$6)</f>
        <v>0</v>
      </c>
      <c r="X756" s="4" t="b">
        <f>IFERROR(AND(_xlfn.XLOOKUP(_xlfn.TEXTJOIN(,,D756:O756),Aux!$B$3:$B$4098,'Truth Table'!$V$3:$V$4098)=1,ABS(P755)&lt;='Line Follower'!$C$6),FALSE)</f>
        <v>0</v>
      </c>
      <c r="Y756" s="4" t="b">
        <f t="shared" si="11"/>
        <v>1</v>
      </c>
    </row>
    <row r="757" spans="2:25" x14ac:dyDescent="0.25">
      <c r="B757" s="4">
        <v>754</v>
      </c>
      <c r="C757" s="4">
        <v>6528</v>
      </c>
      <c r="D757" s="4">
        <v>0</v>
      </c>
      <c r="E757" s="4">
        <v>1</v>
      </c>
      <c r="F757" s="4">
        <v>1</v>
      </c>
      <c r="G757" s="4">
        <v>0</v>
      </c>
      <c r="H757" s="4">
        <v>0</v>
      </c>
      <c r="I757" s="4">
        <v>0</v>
      </c>
      <c r="J757" s="4">
        <v>0</v>
      </c>
      <c r="K757" s="4">
        <v>0</v>
      </c>
      <c r="L757" s="4">
        <v>0</v>
      </c>
      <c r="M757" s="4">
        <v>0</v>
      </c>
      <c r="N757" s="4">
        <v>1</v>
      </c>
      <c r="O757" s="4">
        <v>0</v>
      </c>
      <c r="P757" s="51">
        <f>IFERROR(_xlfn.XLOOKUP(_xlfn.TEXTJOIN(,,D756:O756),Aux!$B$3:$B$4098,'Truth Table'!$N$3:$N$4098),P756)</f>
        <v>-6</v>
      </c>
      <c r="Q757" s="4" t="b" cm="1">
        <f t="array" ref="Q757:U757">IFERROR(_xlfn.XLOOKUP(_xlfn.TEXTJOIN(,,D757:O757),Aux!$B$3:$B$4098,'Truth Table'!$O$3:$S$4098)=1,FALSE)</f>
        <v>1</v>
      </c>
      <c r="R757" s="4" t="b">
        <v>0</v>
      </c>
      <c r="S757" s="4" t="b">
        <v>0</v>
      </c>
      <c r="T757" s="4" t="b">
        <v>0</v>
      </c>
      <c r="U757" s="4" t="b">
        <v>1</v>
      </c>
      <c r="V757" s="4" t="b">
        <f>AND(_xlfn.XLOOKUP(_xlfn.TEXTJOIN(,,D757:O757),Aux!$B$3:$B$4098,'Truth Table'!$T$3:$T$4098)=1,P756&lt;='Line Follower'!$C$7)</f>
        <v>0</v>
      </c>
      <c r="W757" s="4" t="b">
        <f>AND(_xlfn.XLOOKUP(_xlfn.TEXTJOIN(,,D757:O757),Aux!$B$3:$B$4098,'Truth Table'!$U$3:$U$4098)=1,P756&gt;='Line Follower'!$C$6)</f>
        <v>0</v>
      </c>
      <c r="X757" s="4" t="b">
        <f>IFERROR(AND(_xlfn.XLOOKUP(_xlfn.TEXTJOIN(,,D757:O757),Aux!$B$3:$B$4098,'Truth Table'!$V$3:$V$4098)=1,ABS(P756)&lt;='Line Follower'!$C$6),FALSE)</f>
        <v>0</v>
      </c>
      <c r="Y757" s="4" t="b">
        <f t="shared" si="11"/>
        <v>1</v>
      </c>
    </row>
    <row r="758" spans="2:25" x14ac:dyDescent="0.25">
      <c r="B758" s="4">
        <v>755</v>
      </c>
      <c r="C758" s="4">
        <v>6542</v>
      </c>
      <c r="D758" s="4">
        <v>0</v>
      </c>
      <c r="E758" s="4">
        <v>1</v>
      </c>
      <c r="F758" s="4">
        <v>1</v>
      </c>
      <c r="G758" s="4">
        <v>0</v>
      </c>
      <c r="H758" s="4">
        <v>0</v>
      </c>
      <c r="I758" s="4">
        <v>0</v>
      </c>
      <c r="J758" s="4">
        <v>0</v>
      </c>
      <c r="K758" s="4">
        <v>0</v>
      </c>
      <c r="L758" s="4">
        <v>0</v>
      </c>
      <c r="M758" s="4">
        <v>0</v>
      </c>
      <c r="N758" s="4">
        <v>1</v>
      </c>
      <c r="O758" s="4">
        <v>0</v>
      </c>
      <c r="P758" s="51">
        <f>IFERROR(_xlfn.XLOOKUP(_xlfn.TEXTJOIN(,,D757:O757),Aux!$B$3:$B$4098,'Truth Table'!$N$3:$N$4098),P757)</f>
        <v>-6</v>
      </c>
      <c r="Q758" s="4" t="b" cm="1">
        <f t="array" ref="Q758:U758">IFERROR(_xlfn.XLOOKUP(_xlfn.TEXTJOIN(,,D758:O758),Aux!$B$3:$B$4098,'Truth Table'!$O$3:$S$4098)=1,FALSE)</f>
        <v>1</v>
      </c>
      <c r="R758" s="4" t="b">
        <v>0</v>
      </c>
      <c r="S758" s="4" t="b">
        <v>0</v>
      </c>
      <c r="T758" s="4" t="b">
        <v>0</v>
      </c>
      <c r="U758" s="4" t="b">
        <v>1</v>
      </c>
      <c r="V758" s="4" t="b">
        <f>AND(_xlfn.XLOOKUP(_xlfn.TEXTJOIN(,,D758:O758),Aux!$B$3:$B$4098,'Truth Table'!$T$3:$T$4098)=1,P757&lt;='Line Follower'!$C$7)</f>
        <v>0</v>
      </c>
      <c r="W758" s="4" t="b">
        <f>AND(_xlfn.XLOOKUP(_xlfn.TEXTJOIN(,,D758:O758),Aux!$B$3:$B$4098,'Truth Table'!$U$3:$U$4098)=1,P757&gt;='Line Follower'!$C$6)</f>
        <v>0</v>
      </c>
      <c r="X758" s="4" t="b">
        <f>IFERROR(AND(_xlfn.XLOOKUP(_xlfn.TEXTJOIN(,,D758:O758),Aux!$B$3:$B$4098,'Truth Table'!$V$3:$V$4098)=1,ABS(P757)&lt;='Line Follower'!$C$6),FALSE)</f>
        <v>0</v>
      </c>
      <c r="Y758" s="4" t="b">
        <f t="shared" si="11"/>
        <v>1</v>
      </c>
    </row>
    <row r="759" spans="2:25" x14ac:dyDescent="0.25">
      <c r="B759" s="4">
        <v>756</v>
      </c>
      <c r="C759" s="4">
        <v>6551</v>
      </c>
      <c r="D759" s="4">
        <v>0</v>
      </c>
      <c r="E759" s="4">
        <v>1</v>
      </c>
      <c r="F759" s="4">
        <v>1</v>
      </c>
      <c r="G759" s="4">
        <v>0</v>
      </c>
      <c r="H759" s="4">
        <v>0</v>
      </c>
      <c r="I759" s="4">
        <v>0</v>
      </c>
      <c r="J759" s="4">
        <v>0</v>
      </c>
      <c r="K759" s="4">
        <v>0</v>
      </c>
      <c r="L759" s="4">
        <v>0</v>
      </c>
      <c r="M759" s="4">
        <v>0</v>
      </c>
      <c r="N759" s="4">
        <v>1</v>
      </c>
      <c r="O759" s="4">
        <v>0</v>
      </c>
      <c r="P759" s="51">
        <f>IFERROR(_xlfn.XLOOKUP(_xlfn.TEXTJOIN(,,D758:O758),Aux!$B$3:$B$4098,'Truth Table'!$N$3:$N$4098),P758)</f>
        <v>-6</v>
      </c>
      <c r="Q759" s="4" t="b" cm="1">
        <f t="array" ref="Q759:U759">IFERROR(_xlfn.XLOOKUP(_xlfn.TEXTJOIN(,,D759:O759),Aux!$B$3:$B$4098,'Truth Table'!$O$3:$S$4098)=1,FALSE)</f>
        <v>1</v>
      </c>
      <c r="R759" s="4" t="b">
        <v>0</v>
      </c>
      <c r="S759" s="4" t="b">
        <v>0</v>
      </c>
      <c r="T759" s="4" t="b">
        <v>0</v>
      </c>
      <c r="U759" s="4" t="b">
        <v>1</v>
      </c>
      <c r="V759" s="4" t="b">
        <f>AND(_xlfn.XLOOKUP(_xlfn.TEXTJOIN(,,D759:O759),Aux!$B$3:$B$4098,'Truth Table'!$T$3:$T$4098)=1,P758&lt;='Line Follower'!$C$7)</f>
        <v>0</v>
      </c>
      <c r="W759" s="4" t="b">
        <f>AND(_xlfn.XLOOKUP(_xlfn.TEXTJOIN(,,D759:O759),Aux!$B$3:$B$4098,'Truth Table'!$U$3:$U$4098)=1,P758&gt;='Line Follower'!$C$6)</f>
        <v>0</v>
      </c>
      <c r="X759" s="4" t="b">
        <f>IFERROR(AND(_xlfn.XLOOKUP(_xlfn.TEXTJOIN(,,D759:O759),Aux!$B$3:$B$4098,'Truth Table'!$V$3:$V$4098)=1,ABS(P758)&lt;='Line Follower'!$C$6),FALSE)</f>
        <v>0</v>
      </c>
      <c r="Y759" s="4" t="b">
        <f t="shared" si="11"/>
        <v>1</v>
      </c>
    </row>
    <row r="760" spans="2:25" x14ac:dyDescent="0.25">
      <c r="B760" s="4">
        <v>757</v>
      </c>
      <c r="C760" s="4">
        <v>6562</v>
      </c>
      <c r="D760" s="4">
        <v>0</v>
      </c>
      <c r="E760" s="4">
        <v>1</v>
      </c>
      <c r="F760" s="4">
        <v>1</v>
      </c>
      <c r="G760" s="4">
        <v>0</v>
      </c>
      <c r="H760" s="4">
        <v>0</v>
      </c>
      <c r="I760" s="4">
        <v>0</v>
      </c>
      <c r="J760" s="4">
        <v>0</v>
      </c>
      <c r="K760" s="4">
        <v>0</v>
      </c>
      <c r="L760" s="4">
        <v>0</v>
      </c>
      <c r="M760" s="4">
        <v>0</v>
      </c>
      <c r="N760" s="4">
        <v>1</v>
      </c>
      <c r="O760" s="4">
        <v>0</v>
      </c>
      <c r="P760" s="51">
        <f>IFERROR(_xlfn.XLOOKUP(_xlfn.TEXTJOIN(,,D759:O759),Aux!$B$3:$B$4098,'Truth Table'!$N$3:$N$4098),P759)</f>
        <v>-6</v>
      </c>
      <c r="Q760" s="4" t="b" cm="1">
        <f t="array" ref="Q760:U760">IFERROR(_xlfn.XLOOKUP(_xlfn.TEXTJOIN(,,D760:O760),Aux!$B$3:$B$4098,'Truth Table'!$O$3:$S$4098)=1,FALSE)</f>
        <v>1</v>
      </c>
      <c r="R760" s="4" t="b">
        <v>0</v>
      </c>
      <c r="S760" s="4" t="b">
        <v>0</v>
      </c>
      <c r="T760" s="4" t="b">
        <v>0</v>
      </c>
      <c r="U760" s="4" t="b">
        <v>1</v>
      </c>
      <c r="V760" s="4" t="b">
        <f>AND(_xlfn.XLOOKUP(_xlfn.TEXTJOIN(,,D760:O760),Aux!$B$3:$B$4098,'Truth Table'!$T$3:$T$4098)=1,P759&lt;='Line Follower'!$C$7)</f>
        <v>0</v>
      </c>
      <c r="W760" s="4" t="b">
        <f>AND(_xlfn.XLOOKUP(_xlfn.TEXTJOIN(,,D760:O760),Aux!$B$3:$B$4098,'Truth Table'!$U$3:$U$4098)=1,P759&gt;='Line Follower'!$C$6)</f>
        <v>0</v>
      </c>
      <c r="X760" s="4" t="b">
        <f>IFERROR(AND(_xlfn.XLOOKUP(_xlfn.TEXTJOIN(,,D760:O760),Aux!$B$3:$B$4098,'Truth Table'!$V$3:$V$4098)=1,ABS(P759)&lt;='Line Follower'!$C$6),FALSE)</f>
        <v>0</v>
      </c>
      <c r="Y760" s="4" t="b">
        <f t="shared" si="11"/>
        <v>1</v>
      </c>
    </row>
    <row r="761" spans="2:25" x14ac:dyDescent="0.25">
      <c r="B761" s="4">
        <v>758</v>
      </c>
      <c r="C761" s="4">
        <v>6562</v>
      </c>
      <c r="D761" s="4">
        <v>0</v>
      </c>
      <c r="E761" s="4">
        <v>1</v>
      </c>
      <c r="F761" s="4">
        <v>1</v>
      </c>
      <c r="G761" s="4">
        <v>0</v>
      </c>
      <c r="H761" s="4">
        <v>0</v>
      </c>
      <c r="I761" s="4">
        <v>0</v>
      </c>
      <c r="J761" s="4">
        <v>0</v>
      </c>
      <c r="K761" s="4">
        <v>0</v>
      </c>
      <c r="L761" s="4">
        <v>0</v>
      </c>
      <c r="M761" s="4">
        <v>0</v>
      </c>
      <c r="N761" s="4">
        <v>1</v>
      </c>
      <c r="O761" s="4">
        <v>0</v>
      </c>
      <c r="P761" s="51">
        <f>IFERROR(_xlfn.XLOOKUP(_xlfn.TEXTJOIN(,,D760:O760),Aux!$B$3:$B$4098,'Truth Table'!$N$3:$N$4098),P760)</f>
        <v>-6</v>
      </c>
      <c r="Q761" s="4" t="b" cm="1">
        <f t="array" ref="Q761:U761">IFERROR(_xlfn.XLOOKUP(_xlfn.TEXTJOIN(,,D761:O761),Aux!$B$3:$B$4098,'Truth Table'!$O$3:$S$4098)=1,FALSE)</f>
        <v>1</v>
      </c>
      <c r="R761" s="4" t="b">
        <v>0</v>
      </c>
      <c r="S761" s="4" t="b">
        <v>0</v>
      </c>
      <c r="T761" s="4" t="b">
        <v>0</v>
      </c>
      <c r="U761" s="4" t="b">
        <v>1</v>
      </c>
      <c r="V761" s="4" t="b">
        <f>AND(_xlfn.XLOOKUP(_xlfn.TEXTJOIN(,,D761:O761),Aux!$B$3:$B$4098,'Truth Table'!$T$3:$T$4098)=1,P760&lt;='Line Follower'!$C$7)</f>
        <v>0</v>
      </c>
      <c r="W761" s="4" t="b">
        <f>AND(_xlfn.XLOOKUP(_xlfn.TEXTJOIN(,,D761:O761),Aux!$B$3:$B$4098,'Truth Table'!$U$3:$U$4098)=1,P760&gt;='Line Follower'!$C$6)</f>
        <v>0</v>
      </c>
      <c r="X761" s="4" t="b">
        <f>IFERROR(AND(_xlfn.XLOOKUP(_xlfn.TEXTJOIN(,,D761:O761),Aux!$B$3:$B$4098,'Truth Table'!$V$3:$V$4098)=1,ABS(P760)&lt;='Line Follower'!$C$6),FALSE)</f>
        <v>0</v>
      </c>
      <c r="Y761" s="4" t="b">
        <f t="shared" si="11"/>
        <v>1</v>
      </c>
    </row>
    <row r="762" spans="2:25" x14ac:dyDescent="0.25">
      <c r="B762" s="4">
        <v>759</v>
      </c>
      <c r="C762" s="4">
        <v>6571</v>
      </c>
      <c r="D762" s="4">
        <v>0</v>
      </c>
      <c r="E762" s="4">
        <v>1</v>
      </c>
      <c r="F762" s="4">
        <v>1</v>
      </c>
      <c r="G762" s="4">
        <v>0</v>
      </c>
      <c r="H762" s="4">
        <v>0</v>
      </c>
      <c r="I762" s="4">
        <v>0</v>
      </c>
      <c r="J762" s="4">
        <v>0</v>
      </c>
      <c r="K762" s="4">
        <v>0</v>
      </c>
      <c r="L762" s="4">
        <v>0</v>
      </c>
      <c r="M762" s="4">
        <v>0</v>
      </c>
      <c r="N762" s="4">
        <v>1</v>
      </c>
      <c r="O762" s="4">
        <v>0</v>
      </c>
      <c r="P762" s="51">
        <f>IFERROR(_xlfn.XLOOKUP(_xlfn.TEXTJOIN(,,D761:O761),Aux!$B$3:$B$4098,'Truth Table'!$N$3:$N$4098),P761)</f>
        <v>-6</v>
      </c>
      <c r="Q762" s="4" t="b" cm="1">
        <f t="array" ref="Q762:U762">IFERROR(_xlfn.XLOOKUP(_xlfn.TEXTJOIN(,,D762:O762),Aux!$B$3:$B$4098,'Truth Table'!$O$3:$S$4098)=1,FALSE)</f>
        <v>1</v>
      </c>
      <c r="R762" s="4" t="b">
        <v>0</v>
      </c>
      <c r="S762" s="4" t="b">
        <v>0</v>
      </c>
      <c r="T762" s="4" t="b">
        <v>0</v>
      </c>
      <c r="U762" s="4" t="b">
        <v>1</v>
      </c>
      <c r="V762" s="4" t="b">
        <f>AND(_xlfn.XLOOKUP(_xlfn.TEXTJOIN(,,D762:O762),Aux!$B$3:$B$4098,'Truth Table'!$T$3:$T$4098)=1,P761&lt;='Line Follower'!$C$7)</f>
        <v>0</v>
      </c>
      <c r="W762" s="4" t="b">
        <f>AND(_xlfn.XLOOKUP(_xlfn.TEXTJOIN(,,D762:O762),Aux!$B$3:$B$4098,'Truth Table'!$U$3:$U$4098)=1,P761&gt;='Line Follower'!$C$6)</f>
        <v>0</v>
      </c>
      <c r="X762" s="4" t="b">
        <f>IFERROR(AND(_xlfn.XLOOKUP(_xlfn.TEXTJOIN(,,D762:O762),Aux!$B$3:$B$4098,'Truth Table'!$V$3:$V$4098)=1,ABS(P761)&lt;='Line Follower'!$C$6),FALSE)</f>
        <v>0</v>
      </c>
      <c r="Y762" s="4" t="b">
        <f t="shared" si="11"/>
        <v>1</v>
      </c>
    </row>
    <row r="763" spans="2:25" x14ac:dyDescent="0.25">
      <c r="B763" s="4">
        <v>760</v>
      </c>
      <c r="C763" s="4">
        <v>6603</v>
      </c>
      <c r="D763" s="4">
        <v>0</v>
      </c>
      <c r="E763" s="4">
        <v>1</v>
      </c>
      <c r="F763" s="4">
        <v>1</v>
      </c>
      <c r="G763" s="4">
        <v>0</v>
      </c>
      <c r="H763" s="4">
        <v>0</v>
      </c>
      <c r="I763" s="4">
        <v>0</v>
      </c>
      <c r="J763" s="4">
        <v>0</v>
      </c>
      <c r="K763" s="4">
        <v>0</v>
      </c>
      <c r="L763" s="4">
        <v>0</v>
      </c>
      <c r="M763" s="4">
        <v>0</v>
      </c>
      <c r="N763" s="4">
        <v>1</v>
      </c>
      <c r="O763" s="4">
        <v>0</v>
      </c>
      <c r="P763" s="51">
        <f>IFERROR(_xlfn.XLOOKUP(_xlfn.TEXTJOIN(,,D762:O762),Aux!$B$3:$B$4098,'Truth Table'!$N$3:$N$4098),P762)</f>
        <v>-6</v>
      </c>
      <c r="Q763" s="4" t="b" cm="1">
        <f t="array" ref="Q763:U763">IFERROR(_xlfn.XLOOKUP(_xlfn.TEXTJOIN(,,D763:O763),Aux!$B$3:$B$4098,'Truth Table'!$O$3:$S$4098)=1,FALSE)</f>
        <v>1</v>
      </c>
      <c r="R763" s="4" t="b">
        <v>0</v>
      </c>
      <c r="S763" s="4" t="b">
        <v>0</v>
      </c>
      <c r="T763" s="4" t="b">
        <v>0</v>
      </c>
      <c r="U763" s="4" t="b">
        <v>1</v>
      </c>
      <c r="V763" s="4" t="b">
        <f>AND(_xlfn.XLOOKUP(_xlfn.TEXTJOIN(,,D763:O763),Aux!$B$3:$B$4098,'Truth Table'!$T$3:$T$4098)=1,P762&lt;='Line Follower'!$C$7)</f>
        <v>0</v>
      </c>
      <c r="W763" s="4" t="b">
        <f>AND(_xlfn.XLOOKUP(_xlfn.TEXTJOIN(,,D763:O763),Aux!$B$3:$B$4098,'Truth Table'!$U$3:$U$4098)=1,P762&gt;='Line Follower'!$C$6)</f>
        <v>0</v>
      </c>
      <c r="X763" s="4" t="b">
        <f>IFERROR(AND(_xlfn.XLOOKUP(_xlfn.TEXTJOIN(,,D763:O763),Aux!$B$3:$B$4098,'Truth Table'!$V$3:$V$4098)=1,ABS(P762)&lt;='Line Follower'!$C$6),FALSE)</f>
        <v>0</v>
      </c>
      <c r="Y763" s="4" t="b">
        <f t="shared" si="11"/>
        <v>1</v>
      </c>
    </row>
    <row r="764" spans="2:25" x14ac:dyDescent="0.25">
      <c r="B764" s="4">
        <v>761</v>
      </c>
      <c r="C764" s="4">
        <v>6604</v>
      </c>
      <c r="D764" s="4">
        <v>0</v>
      </c>
      <c r="E764" s="4">
        <v>1</v>
      </c>
      <c r="F764" s="4">
        <v>1</v>
      </c>
      <c r="G764" s="4">
        <v>0</v>
      </c>
      <c r="H764" s="4">
        <v>0</v>
      </c>
      <c r="I764" s="4">
        <v>0</v>
      </c>
      <c r="J764" s="4">
        <v>0</v>
      </c>
      <c r="K764" s="4">
        <v>0</v>
      </c>
      <c r="L764" s="4">
        <v>0</v>
      </c>
      <c r="M764" s="4">
        <v>0</v>
      </c>
      <c r="N764" s="4">
        <v>1</v>
      </c>
      <c r="O764" s="4">
        <v>0</v>
      </c>
      <c r="P764" s="51">
        <f>IFERROR(_xlfn.XLOOKUP(_xlfn.TEXTJOIN(,,D763:O763),Aux!$B$3:$B$4098,'Truth Table'!$N$3:$N$4098),P763)</f>
        <v>-6</v>
      </c>
      <c r="Q764" s="4" t="b" cm="1">
        <f t="array" ref="Q764:U764">IFERROR(_xlfn.XLOOKUP(_xlfn.TEXTJOIN(,,D764:O764),Aux!$B$3:$B$4098,'Truth Table'!$O$3:$S$4098)=1,FALSE)</f>
        <v>1</v>
      </c>
      <c r="R764" s="4" t="b">
        <v>0</v>
      </c>
      <c r="S764" s="4" t="b">
        <v>0</v>
      </c>
      <c r="T764" s="4" t="b">
        <v>0</v>
      </c>
      <c r="U764" s="4" t="b">
        <v>1</v>
      </c>
      <c r="V764" s="4" t="b">
        <f>AND(_xlfn.XLOOKUP(_xlfn.TEXTJOIN(,,D764:O764),Aux!$B$3:$B$4098,'Truth Table'!$T$3:$T$4098)=1,P763&lt;='Line Follower'!$C$7)</f>
        <v>0</v>
      </c>
      <c r="W764" s="4" t="b">
        <f>AND(_xlfn.XLOOKUP(_xlfn.TEXTJOIN(,,D764:O764),Aux!$B$3:$B$4098,'Truth Table'!$U$3:$U$4098)=1,P763&gt;='Line Follower'!$C$6)</f>
        <v>0</v>
      </c>
      <c r="X764" s="4" t="b">
        <f>IFERROR(AND(_xlfn.XLOOKUP(_xlfn.TEXTJOIN(,,D764:O764),Aux!$B$3:$B$4098,'Truth Table'!$V$3:$V$4098)=1,ABS(P763)&lt;='Line Follower'!$C$6),FALSE)</f>
        <v>0</v>
      </c>
      <c r="Y764" s="4" t="b">
        <f t="shared" si="11"/>
        <v>1</v>
      </c>
    </row>
    <row r="765" spans="2:25" x14ac:dyDescent="0.25">
      <c r="B765" s="4">
        <v>762</v>
      </c>
      <c r="C765" s="4">
        <v>6629</v>
      </c>
      <c r="D765" s="4">
        <v>0</v>
      </c>
      <c r="E765" s="4">
        <v>1</v>
      </c>
      <c r="F765" s="4">
        <v>1</v>
      </c>
      <c r="G765" s="4">
        <v>0</v>
      </c>
      <c r="H765" s="4">
        <v>0</v>
      </c>
      <c r="I765" s="4">
        <v>0</v>
      </c>
      <c r="J765" s="4">
        <v>0</v>
      </c>
      <c r="K765" s="4">
        <v>0</v>
      </c>
      <c r="L765" s="4">
        <v>0</v>
      </c>
      <c r="M765" s="4">
        <v>0</v>
      </c>
      <c r="N765" s="4">
        <v>1</v>
      </c>
      <c r="O765" s="4">
        <v>0</v>
      </c>
      <c r="P765" s="51">
        <f>IFERROR(_xlfn.XLOOKUP(_xlfn.TEXTJOIN(,,D764:O764),Aux!$B$3:$B$4098,'Truth Table'!$N$3:$N$4098),P764)</f>
        <v>-6</v>
      </c>
      <c r="Q765" s="4" t="b" cm="1">
        <f t="array" ref="Q765:U765">IFERROR(_xlfn.XLOOKUP(_xlfn.TEXTJOIN(,,D765:O765),Aux!$B$3:$B$4098,'Truth Table'!$O$3:$S$4098)=1,FALSE)</f>
        <v>1</v>
      </c>
      <c r="R765" s="4" t="b">
        <v>0</v>
      </c>
      <c r="S765" s="4" t="b">
        <v>0</v>
      </c>
      <c r="T765" s="4" t="b">
        <v>0</v>
      </c>
      <c r="U765" s="4" t="b">
        <v>1</v>
      </c>
      <c r="V765" s="4" t="b">
        <f>AND(_xlfn.XLOOKUP(_xlfn.TEXTJOIN(,,D765:O765),Aux!$B$3:$B$4098,'Truth Table'!$T$3:$T$4098)=1,P764&lt;='Line Follower'!$C$7)</f>
        <v>0</v>
      </c>
      <c r="W765" s="4" t="b">
        <f>AND(_xlfn.XLOOKUP(_xlfn.TEXTJOIN(,,D765:O765),Aux!$B$3:$B$4098,'Truth Table'!$U$3:$U$4098)=1,P764&gt;='Line Follower'!$C$6)</f>
        <v>0</v>
      </c>
      <c r="X765" s="4" t="b">
        <f>IFERROR(AND(_xlfn.XLOOKUP(_xlfn.TEXTJOIN(,,D765:O765),Aux!$B$3:$B$4098,'Truth Table'!$V$3:$V$4098)=1,ABS(P764)&lt;='Line Follower'!$C$6),FALSE)</f>
        <v>0</v>
      </c>
      <c r="Y765" s="4" t="b">
        <f t="shared" si="11"/>
        <v>1</v>
      </c>
    </row>
    <row r="766" spans="2:25" x14ac:dyDescent="0.25">
      <c r="B766" s="4">
        <v>763</v>
      </c>
      <c r="C766" s="4">
        <v>6631</v>
      </c>
      <c r="D766" s="4">
        <v>0</v>
      </c>
      <c r="E766" s="4">
        <v>1</v>
      </c>
      <c r="F766" s="4">
        <v>1</v>
      </c>
      <c r="G766" s="4">
        <v>0</v>
      </c>
      <c r="H766" s="4">
        <v>0</v>
      </c>
      <c r="I766" s="4">
        <v>0</v>
      </c>
      <c r="J766" s="4">
        <v>0</v>
      </c>
      <c r="K766" s="4">
        <v>0</v>
      </c>
      <c r="L766" s="4">
        <v>0</v>
      </c>
      <c r="M766" s="4">
        <v>0</v>
      </c>
      <c r="N766" s="4">
        <v>1</v>
      </c>
      <c r="O766" s="4">
        <v>0</v>
      </c>
      <c r="P766" s="51">
        <f>IFERROR(_xlfn.XLOOKUP(_xlfn.TEXTJOIN(,,D765:O765),Aux!$B$3:$B$4098,'Truth Table'!$N$3:$N$4098),P765)</f>
        <v>-6</v>
      </c>
      <c r="Q766" s="4" t="b" cm="1">
        <f t="array" ref="Q766:U766">IFERROR(_xlfn.XLOOKUP(_xlfn.TEXTJOIN(,,D766:O766),Aux!$B$3:$B$4098,'Truth Table'!$O$3:$S$4098)=1,FALSE)</f>
        <v>1</v>
      </c>
      <c r="R766" s="4" t="b">
        <v>0</v>
      </c>
      <c r="S766" s="4" t="b">
        <v>0</v>
      </c>
      <c r="T766" s="4" t="b">
        <v>0</v>
      </c>
      <c r="U766" s="4" t="b">
        <v>1</v>
      </c>
      <c r="V766" s="4" t="b">
        <f>AND(_xlfn.XLOOKUP(_xlfn.TEXTJOIN(,,D766:O766),Aux!$B$3:$B$4098,'Truth Table'!$T$3:$T$4098)=1,P765&lt;='Line Follower'!$C$7)</f>
        <v>0</v>
      </c>
      <c r="W766" s="4" t="b">
        <f>AND(_xlfn.XLOOKUP(_xlfn.TEXTJOIN(,,D766:O766),Aux!$B$3:$B$4098,'Truth Table'!$U$3:$U$4098)=1,P765&gt;='Line Follower'!$C$6)</f>
        <v>0</v>
      </c>
      <c r="X766" s="4" t="b">
        <f>IFERROR(AND(_xlfn.XLOOKUP(_xlfn.TEXTJOIN(,,D766:O766),Aux!$B$3:$B$4098,'Truth Table'!$V$3:$V$4098)=1,ABS(P765)&lt;='Line Follower'!$C$6),FALSE)</f>
        <v>0</v>
      </c>
      <c r="Y766" s="4" t="b">
        <f t="shared" si="11"/>
        <v>1</v>
      </c>
    </row>
    <row r="767" spans="2:25" x14ac:dyDescent="0.25">
      <c r="B767" s="4">
        <v>764</v>
      </c>
      <c r="C767" s="4">
        <v>6652</v>
      </c>
      <c r="D767" s="4">
        <v>0</v>
      </c>
      <c r="E767" s="4">
        <v>1</v>
      </c>
      <c r="F767" s="4">
        <v>1</v>
      </c>
      <c r="G767" s="4">
        <v>0</v>
      </c>
      <c r="H767" s="4">
        <v>0</v>
      </c>
      <c r="I767" s="4">
        <v>0</v>
      </c>
      <c r="J767" s="4">
        <v>0</v>
      </c>
      <c r="K767" s="4">
        <v>0</v>
      </c>
      <c r="L767" s="4">
        <v>0</v>
      </c>
      <c r="M767" s="4">
        <v>0</v>
      </c>
      <c r="N767" s="4">
        <v>1</v>
      </c>
      <c r="O767" s="4">
        <v>0</v>
      </c>
      <c r="P767" s="51">
        <f>IFERROR(_xlfn.XLOOKUP(_xlfn.TEXTJOIN(,,D766:O766),Aux!$B$3:$B$4098,'Truth Table'!$N$3:$N$4098),P766)</f>
        <v>-6</v>
      </c>
      <c r="Q767" s="4" t="b" cm="1">
        <f t="array" ref="Q767:U767">IFERROR(_xlfn.XLOOKUP(_xlfn.TEXTJOIN(,,D767:O767),Aux!$B$3:$B$4098,'Truth Table'!$O$3:$S$4098)=1,FALSE)</f>
        <v>1</v>
      </c>
      <c r="R767" s="4" t="b">
        <v>0</v>
      </c>
      <c r="S767" s="4" t="b">
        <v>0</v>
      </c>
      <c r="T767" s="4" t="b">
        <v>0</v>
      </c>
      <c r="U767" s="4" t="b">
        <v>1</v>
      </c>
      <c r="V767" s="4" t="b">
        <f>AND(_xlfn.XLOOKUP(_xlfn.TEXTJOIN(,,D767:O767),Aux!$B$3:$B$4098,'Truth Table'!$T$3:$T$4098)=1,P766&lt;='Line Follower'!$C$7)</f>
        <v>0</v>
      </c>
      <c r="W767" s="4" t="b">
        <f>AND(_xlfn.XLOOKUP(_xlfn.TEXTJOIN(,,D767:O767),Aux!$B$3:$B$4098,'Truth Table'!$U$3:$U$4098)=1,P766&gt;='Line Follower'!$C$6)</f>
        <v>0</v>
      </c>
      <c r="X767" s="4" t="b">
        <f>IFERROR(AND(_xlfn.XLOOKUP(_xlfn.TEXTJOIN(,,D767:O767),Aux!$B$3:$B$4098,'Truth Table'!$V$3:$V$4098)=1,ABS(P766)&lt;='Line Follower'!$C$6),FALSE)</f>
        <v>0</v>
      </c>
      <c r="Y767" s="4" t="b">
        <f t="shared" si="11"/>
        <v>1</v>
      </c>
    </row>
    <row r="768" spans="2:25" x14ac:dyDescent="0.25">
      <c r="B768" s="4">
        <v>765</v>
      </c>
      <c r="C768" s="4">
        <v>6653</v>
      </c>
      <c r="D768" s="4">
        <v>0</v>
      </c>
      <c r="E768" s="4">
        <v>1</v>
      </c>
      <c r="F768" s="4">
        <v>1</v>
      </c>
      <c r="G768" s="4">
        <v>0</v>
      </c>
      <c r="H768" s="4">
        <v>0</v>
      </c>
      <c r="I768" s="4">
        <v>0</v>
      </c>
      <c r="J768" s="4">
        <v>0</v>
      </c>
      <c r="K768" s="4">
        <v>0</v>
      </c>
      <c r="L768" s="4">
        <v>0</v>
      </c>
      <c r="M768" s="4">
        <v>0</v>
      </c>
      <c r="N768" s="4">
        <v>1</v>
      </c>
      <c r="O768" s="4">
        <v>0</v>
      </c>
      <c r="P768" s="51">
        <f>IFERROR(_xlfn.XLOOKUP(_xlfn.TEXTJOIN(,,D767:O767),Aux!$B$3:$B$4098,'Truth Table'!$N$3:$N$4098),P767)</f>
        <v>-6</v>
      </c>
      <c r="Q768" s="4" t="b" cm="1">
        <f t="array" ref="Q768:U768">IFERROR(_xlfn.XLOOKUP(_xlfn.TEXTJOIN(,,D768:O768),Aux!$B$3:$B$4098,'Truth Table'!$O$3:$S$4098)=1,FALSE)</f>
        <v>1</v>
      </c>
      <c r="R768" s="4" t="b">
        <v>0</v>
      </c>
      <c r="S768" s="4" t="b">
        <v>0</v>
      </c>
      <c r="T768" s="4" t="b">
        <v>0</v>
      </c>
      <c r="U768" s="4" t="b">
        <v>1</v>
      </c>
      <c r="V768" s="4" t="b">
        <f>AND(_xlfn.XLOOKUP(_xlfn.TEXTJOIN(,,D768:O768),Aux!$B$3:$B$4098,'Truth Table'!$T$3:$T$4098)=1,P767&lt;='Line Follower'!$C$7)</f>
        <v>0</v>
      </c>
      <c r="W768" s="4" t="b">
        <f>AND(_xlfn.XLOOKUP(_xlfn.TEXTJOIN(,,D768:O768),Aux!$B$3:$B$4098,'Truth Table'!$U$3:$U$4098)=1,P767&gt;='Line Follower'!$C$6)</f>
        <v>0</v>
      </c>
      <c r="X768" s="4" t="b">
        <f>IFERROR(AND(_xlfn.XLOOKUP(_xlfn.TEXTJOIN(,,D768:O768),Aux!$B$3:$B$4098,'Truth Table'!$V$3:$V$4098)=1,ABS(P767)&lt;='Line Follower'!$C$6),FALSE)</f>
        <v>0</v>
      </c>
      <c r="Y768" s="4" t="b">
        <f t="shared" si="11"/>
        <v>1</v>
      </c>
    </row>
    <row r="769" spans="2:25" x14ac:dyDescent="0.25">
      <c r="B769" s="4">
        <v>766</v>
      </c>
      <c r="C769" s="4">
        <v>6654</v>
      </c>
      <c r="D769" s="4">
        <v>0</v>
      </c>
      <c r="E769" s="4">
        <v>1</v>
      </c>
      <c r="F769" s="4">
        <v>1</v>
      </c>
      <c r="G769" s="4">
        <v>0</v>
      </c>
      <c r="H769" s="4">
        <v>0</v>
      </c>
      <c r="I769" s="4">
        <v>0</v>
      </c>
      <c r="J769" s="4">
        <v>0</v>
      </c>
      <c r="K769" s="4">
        <v>0</v>
      </c>
      <c r="L769" s="4">
        <v>0</v>
      </c>
      <c r="M769" s="4">
        <v>0</v>
      </c>
      <c r="N769" s="4">
        <v>1</v>
      </c>
      <c r="O769" s="4">
        <v>0</v>
      </c>
      <c r="P769" s="51">
        <f>IFERROR(_xlfn.XLOOKUP(_xlfn.TEXTJOIN(,,D768:O768),Aux!$B$3:$B$4098,'Truth Table'!$N$3:$N$4098),P768)</f>
        <v>-6</v>
      </c>
      <c r="Q769" s="4" t="b" cm="1">
        <f t="array" ref="Q769:U769">IFERROR(_xlfn.XLOOKUP(_xlfn.TEXTJOIN(,,D769:O769),Aux!$B$3:$B$4098,'Truth Table'!$O$3:$S$4098)=1,FALSE)</f>
        <v>1</v>
      </c>
      <c r="R769" s="4" t="b">
        <v>0</v>
      </c>
      <c r="S769" s="4" t="b">
        <v>0</v>
      </c>
      <c r="T769" s="4" t="b">
        <v>0</v>
      </c>
      <c r="U769" s="4" t="b">
        <v>1</v>
      </c>
      <c r="V769" s="4" t="b">
        <f>AND(_xlfn.XLOOKUP(_xlfn.TEXTJOIN(,,D769:O769),Aux!$B$3:$B$4098,'Truth Table'!$T$3:$T$4098)=1,P768&lt;='Line Follower'!$C$7)</f>
        <v>0</v>
      </c>
      <c r="W769" s="4" t="b">
        <f>AND(_xlfn.XLOOKUP(_xlfn.TEXTJOIN(,,D769:O769),Aux!$B$3:$B$4098,'Truth Table'!$U$3:$U$4098)=1,P768&gt;='Line Follower'!$C$6)</f>
        <v>0</v>
      </c>
      <c r="X769" s="4" t="b">
        <f>IFERROR(AND(_xlfn.XLOOKUP(_xlfn.TEXTJOIN(,,D769:O769),Aux!$B$3:$B$4098,'Truth Table'!$V$3:$V$4098)=1,ABS(P768)&lt;='Line Follower'!$C$6),FALSE)</f>
        <v>0</v>
      </c>
      <c r="Y769" s="4" t="b">
        <f t="shared" si="11"/>
        <v>1</v>
      </c>
    </row>
    <row r="770" spans="2:25" x14ac:dyDescent="0.25">
      <c r="B770" s="4">
        <v>767</v>
      </c>
      <c r="C770" s="4">
        <v>6655</v>
      </c>
      <c r="D770" s="4">
        <v>0</v>
      </c>
      <c r="E770" s="4">
        <v>1</v>
      </c>
      <c r="F770" s="4">
        <v>1</v>
      </c>
      <c r="G770" s="4">
        <v>0</v>
      </c>
      <c r="H770" s="4">
        <v>0</v>
      </c>
      <c r="I770" s="4">
        <v>0</v>
      </c>
      <c r="J770" s="4">
        <v>0</v>
      </c>
      <c r="K770" s="4">
        <v>0</v>
      </c>
      <c r="L770" s="4">
        <v>0</v>
      </c>
      <c r="M770" s="4">
        <v>0</v>
      </c>
      <c r="N770" s="4">
        <v>1</v>
      </c>
      <c r="O770" s="4">
        <v>0</v>
      </c>
      <c r="P770" s="51">
        <f>IFERROR(_xlfn.XLOOKUP(_xlfn.TEXTJOIN(,,D769:O769),Aux!$B$3:$B$4098,'Truth Table'!$N$3:$N$4098),P769)</f>
        <v>-6</v>
      </c>
      <c r="Q770" s="4" t="b" cm="1">
        <f t="array" ref="Q770:U770">IFERROR(_xlfn.XLOOKUP(_xlfn.TEXTJOIN(,,D770:O770),Aux!$B$3:$B$4098,'Truth Table'!$O$3:$S$4098)=1,FALSE)</f>
        <v>1</v>
      </c>
      <c r="R770" s="4" t="b">
        <v>0</v>
      </c>
      <c r="S770" s="4" t="b">
        <v>0</v>
      </c>
      <c r="T770" s="4" t="b">
        <v>0</v>
      </c>
      <c r="U770" s="4" t="b">
        <v>1</v>
      </c>
      <c r="V770" s="4" t="b">
        <f>AND(_xlfn.XLOOKUP(_xlfn.TEXTJOIN(,,D770:O770),Aux!$B$3:$B$4098,'Truth Table'!$T$3:$T$4098)=1,P769&lt;='Line Follower'!$C$7)</f>
        <v>0</v>
      </c>
      <c r="W770" s="4" t="b">
        <f>AND(_xlfn.XLOOKUP(_xlfn.TEXTJOIN(,,D770:O770),Aux!$B$3:$B$4098,'Truth Table'!$U$3:$U$4098)=1,P769&gt;='Line Follower'!$C$6)</f>
        <v>0</v>
      </c>
      <c r="X770" s="4" t="b">
        <f>IFERROR(AND(_xlfn.XLOOKUP(_xlfn.TEXTJOIN(,,D770:O770),Aux!$B$3:$B$4098,'Truth Table'!$V$3:$V$4098)=1,ABS(P769)&lt;='Line Follower'!$C$6),FALSE)</f>
        <v>0</v>
      </c>
      <c r="Y770" s="4" t="b">
        <f t="shared" si="11"/>
        <v>1</v>
      </c>
    </row>
    <row r="771" spans="2:25" x14ac:dyDescent="0.25">
      <c r="B771" s="4">
        <v>768</v>
      </c>
      <c r="C771" s="4">
        <v>6671</v>
      </c>
      <c r="D771" s="4">
        <v>0</v>
      </c>
      <c r="E771" s="4">
        <v>1</v>
      </c>
      <c r="F771" s="4">
        <v>0</v>
      </c>
      <c r="G771" s="4">
        <v>0</v>
      </c>
      <c r="H771" s="4">
        <v>0</v>
      </c>
      <c r="I771" s="4">
        <v>0</v>
      </c>
      <c r="J771" s="4">
        <v>0</v>
      </c>
      <c r="K771" s="4">
        <v>0</v>
      </c>
      <c r="L771" s="4">
        <v>0</v>
      </c>
      <c r="M771" s="4">
        <v>0</v>
      </c>
      <c r="N771" s="4">
        <v>1</v>
      </c>
      <c r="O771" s="4">
        <v>0</v>
      </c>
      <c r="P771" s="51">
        <f>IFERROR(_xlfn.XLOOKUP(_xlfn.TEXTJOIN(,,D770:O770),Aux!$B$3:$B$4098,'Truth Table'!$N$3:$N$4098),P770)</f>
        <v>-6</v>
      </c>
      <c r="Q771" s="4" t="b" cm="1">
        <f t="array" ref="Q771:U771">IFERROR(_xlfn.XLOOKUP(_xlfn.TEXTJOIN(,,D771:O771),Aux!$B$3:$B$4098,'Truth Table'!$O$3:$S$4098)=1,FALSE)</f>
        <v>1</v>
      </c>
      <c r="R771" s="4" t="b">
        <v>0</v>
      </c>
      <c r="S771" s="4" t="b">
        <v>0</v>
      </c>
      <c r="T771" s="4" t="b">
        <v>0</v>
      </c>
      <c r="U771" s="4" t="b">
        <v>1</v>
      </c>
      <c r="V771" s="4" t="b">
        <f>AND(_xlfn.XLOOKUP(_xlfn.TEXTJOIN(,,D771:O771),Aux!$B$3:$B$4098,'Truth Table'!$T$3:$T$4098)=1,P770&lt;='Line Follower'!$C$7)</f>
        <v>0</v>
      </c>
      <c r="W771" s="4" t="b">
        <f>AND(_xlfn.XLOOKUP(_xlfn.TEXTJOIN(,,D771:O771),Aux!$B$3:$B$4098,'Truth Table'!$U$3:$U$4098)=1,P770&gt;='Line Follower'!$C$6)</f>
        <v>0</v>
      </c>
      <c r="X771" s="4" t="b">
        <f>IFERROR(AND(_xlfn.XLOOKUP(_xlfn.TEXTJOIN(,,D771:O771),Aux!$B$3:$B$4098,'Truth Table'!$V$3:$V$4098)=1,ABS(P770)&lt;='Line Follower'!$C$6),FALSE)</f>
        <v>0</v>
      </c>
      <c r="Y771" s="4" t="b">
        <f t="shared" si="11"/>
        <v>1</v>
      </c>
    </row>
    <row r="772" spans="2:25" x14ac:dyDescent="0.25">
      <c r="B772" s="4">
        <v>769</v>
      </c>
      <c r="C772" s="4">
        <v>6676</v>
      </c>
      <c r="D772" s="4">
        <v>0</v>
      </c>
      <c r="E772" s="4">
        <v>1</v>
      </c>
      <c r="F772" s="4">
        <v>0</v>
      </c>
      <c r="G772" s="4">
        <v>0</v>
      </c>
      <c r="H772" s="4">
        <v>0</v>
      </c>
      <c r="I772" s="4">
        <v>0</v>
      </c>
      <c r="J772" s="4">
        <v>0</v>
      </c>
      <c r="K772" s="4">
        <v>0</v>
      </c>
      <c r="L772" s="4">
        <v>0</v>
      </c>
      <c r="M772" s="4">
        <v>0</v>
      </c>
      <c r="N772" s="4">
        <v>1</v>
      </c>
      <c r="O772" s="4">
        <v>0</v>
      </c>
      <c r="P772" s="51">
        <f>IFERROR(_xlfn.XLOOKUP(_xlfn.TEXTJOIN(,,D771:O771),Aux!$B$3:$B$4098,'Truth Table'!$N$3:$N$4098),P771)</f>
        <v>-7</v>
      </c>
      <c r="Q772" s="4" t="b" cm="1">
        <f t="array" ref="Q772:U772">IFERROR(_xlfn.XLOOKUP(_xlfn.TEXTJOIN(,,D772:O772),Aux!$B$3:$B$4098,'Truth Table'!$O$3:$S$4098)=1,FALSE)</f>
        <v>1</v>
      </c>
      <c r="R772" s="4" t="b">
        <v>0</v>
      </c>
      <c r="S772" s="4" t="b">
        <v>0</v>
      </c>
      <c r="T772" s="4" t="b">
        <v>0</v>
      </c>
      <c r="U772" s="4" t="b">
        <v>1</v>
      </c>
      <c r="V772" s="4" t="b">
        <f>AND(_xlfn.XLOOKUP(_xlfn.TEXTJOIN(,,D772:O772),Aux!$B$3:$B$4098,'Truth Table'!$T$3:$T$4098)=1,P771&lt;='Line Follower'!$C$7)</f>
        <v>0</v>
      </c>
      <c r="W772" s="4" t="b">
        <f>AND(_xlfn.XLOOKUP(_xlfn.TEXTJOIN(,,D772:O772),Aux!$B$3:$B$4098,'Truth Table'!$U$3:$U$4098)=1,P771&gt;='Line Follower'!$C$6)</f>
        <v>0</v>
      </c>
      <c r="X772" s="4" t="b">
        <f>IFERROR(AND(_xlfn.XLOOKUP(_xlfn.TEXTJOIN(,,D772:O772),Aux!$B$3:$B$4098,'Truth Table'!$V$3:$V$4098)=1,ABS(P771)&lt;='Line Follower'!$C$6),FALSE)</f>
        <v>0</v>
      </c>
      <c r="Y772" s="4" t="b">
        <f t="shared" ref="Y772:Y835" si="12">OR(Q772:X772)</f>
        <v>1</v>
      </c>
    </row>
    <row r="773" spans="2:25" x14ac:dyDescent="0.25">
      <c r="B773" s="4">
        <v>770</v>
      </c>
      <c r="C773" s="4">
        <v>6692</v>
      </c>
      <c r="D773" s="4">
        <v>0</v>
      </c>
      <c r="E773" s="4">
        <v>1</v>
      </c>
      <c r="F773" s="4">
        <v>0</v>
      </c>
      <c r="G773" s="4">
        <v>0</v>
      </c>
      <c r="H773" s="4">
        <v>0</v>
      </c>
      <c r="I773" s="4">
        <v>0</v>
      </c>
      <c r="J773" s="4">
        <v>0</v>
      </c>
      <c r="K773" s="4">
        <v>0</v>
      </c>
      <c r="L773" s="4">
        <v>0</v>
      </c>
      <c r="M773" s="4">
        <v>0</v>
      </c>
      <c r="N773" s="4">
        <v>1</v>
      </c>
      <c r="O773" s="4">
        <v>0</v>
      </c>
      <c r="P773" s="51">
        <f>IFERROR(_xlfn.XLOOKUP(_xlfn.TEXTJOIN(,,D772:O772),Aux!$B$3:$B$4098,'Truth Table'!$N$3:$N$4098),P772)</f>
        <v>-7</v>
      </c>
      <c r="Q773" s="4" t="b" cm="1">
        <f t="array" ref="Q773:U773">IFERROR(_xlfn.XLOOKUP(_xlfn.TEXTJOIN(,,D773:O773),Aux!$B$3:$B$4098,'Truth Table'!$O$3:$S$4098)=1,FALSE)</f>
        <v>1</v>
      </c>
      <c r="R773" s="4" t="b">
        <v>0</v>
      </c>
      <c r="S773" s="4" t="b">
        <v>0</v>
      </c>
      <c r="T773" s="4" t="b">
        <v>0</v>
      </c>
      <c r="U773" s="4" t="b">
        <v>1</v>
      </c>
      <c r="V773" s="4" t="b">
        <f>AND(_xlfn.XLOOKUP(_xlfn.TEXTJOIN(,,D773:O773),Aux!$B$3:$B$4098,'Truth Table'!$T$3:$T$4098)=1,P772&lt;='Line Follower'!$C$7)</f>
        <v>0</v>
      </c>
      <c r="W773" s="4" t="b">
        <f>AND(_xlfn.XLOOKUP(_xlfn.TEXTJOIN(,,D773:O773),Aux!$B$3:$B$4098,'Truth Table'!$U$3:$U$4098)=1,P772&gt;='Line Follower'!$C$6)</f>
        <v>0</v>
      </c>
      <c r="X773" s="4" t="b">
        <f>IFERROR(AND(_xlfn.XLOOKUP(_xlfn.TEXTJOIN(,,D773:O773),Aux!$B$3:$B$4098,'Truth Table'!$V$3:$V$4098)=1,ABS(P772)&lt;='Line Follower'!$C$6),FALSE)</f>
        <v>0</v>
      </c>
      <c r="Y773" s="4" t="b">
        <f t="shared" si="12"/>
        <v>1</v>
      </c>
    </row>
    <row r="774" spans="2:25" x14ac:dyDescent="0.25">
      <c r="B774" s="4">
        <v>771</v>
      </c>
      <c r="C774" s="4">
        <v>6693</v>
      </c>
      <c r="D774" s="4">
        <v>0</v>
      </c>
      <c r="E774" s="4">
        <v>1</v>
      </c>
      <c r="F774" s="4">
        <v>0</v>
      </c>
      <c r="G774" s="4">
        <v>0</v>
      </c>
      <c r="H774" s="4">
        <v>0</v>
      </c>
      <c r="I774" s="4">
        <v>0</v>
      </c>
      <c r="J774" s="4">
        <v>0</v>
      </c>
      <c r="K774" s="4">
        <v>0</v>
      </c>
      <c r="L774" s="4">
        <v>0</v>
      </c>
      <c r="M774" s="4">
        <v>0</v>
      </c>
      <c r="N774" s="4">
        <v>1</v>
      </c>
      <c r="O774" s="4">
        <v>0</v>
      </c>
      <c r="P774" s="51">
        <f>IFERROR(_xlfn.XLOOKUP(_xlfn.TEXTJOIN(,,D773:O773),Aux!$B$3:$B$4098,'Truth Table'!$N$3:$N$4098),P773)</f>
        <v>-7</v>
      </c>
      <c r="Q774" s="4" t="b" cm="1">
        <f t="array" ref="Q774:U774">IFERROR(_xlfn.XLOOKUP(_xlfn.TEXTJOIN(,,D774:O774),Aux!$B$3:$B$4098,'Truth Table'!$O$3:$S$4098)=1,FALSE)</f>
        <v>1</v>
      </c>
      <c r="R774" s="4" t="b">
        <v>0</v>
      </c>
      <c r="S774" s="4" t="b">
        <v>0</v>
      </c>
      <c r="T774" s="4" t="b">
        <v>0</v>
      </c>
      <c r="U774" s="4" t="b">
        <v>1</v>
      </c>
      <c r="V774" s="4" t="b">
        <f>AND(_xlfn.XLOOKUP(_xlfn.TEXTJOIN(,,D774:O774),Aux!$B$3:$B$4098,'Truth Table'!$T$3:$T$4098)=1,P773&lt;='Line Follower'!$C$7)</f>
        <v>0</v>
      </c>
      <c r="W774" s="4" t="b">
        <f>AND(_xlfn.XLOOKUP(_xlfn.TEXTJOIN(,,D774:O774),Aux!$B$3:$B$4098,'Truth Table'!$U$3:$U$4098)=1,P773&gt;='Line Follower'!$C$6)</f>
        <v>0</v>
      </c>
      <c r="X774" s="4" t="b">
        <f>IFERROR(AND(_xlfn.XLOOKUP(_xlfn.TEXTJOIN(,,D774:O774),Aux!$B$3:$B$4098,'Truth Table'!$V$3:$V$4098)=1,ABS(P773)&lt;='Line Follower'!$C$6),FALSE)</f>
        <v>0</v>
      </c>
      <c r="Y774" s="4" t="b">
        <f t="shared" si="12"/>
        <v>1</v>
      </c>
    </row>
    <row r="775" spans="2:25" x14ac:dyDescent="0.25">
      <c r="B775" s="4">
        <v>772</v>
      </c>
      <c r="C775" s="4">
        <v>6697</v>
      </c>
      <c r="D775" s="4">
        <v>0</v>
      </c>
      <c r="E775" s="4">
        <v>1</v>
      </c>
      <c r="F775" s="4">
        <v>0</v>
      </c>
      <c r="G775" s="4">
        <v>0</v>
      </c>
      <c r="H775" s="4">
        <v>0</v>
      </c>
      <c r="I775" s="4">
        <v>0</v>
      </c>
      <c r="J775" s="4">
        <v>0</v>
      </c>
      <c r="K775" s="4">
        <v>0</v>
      </c>
      <c r="L775" s="4">
        <v>0</v>
      </c>
      <c r="M775" s="4">
        <v>0</v>
      </c>
      <c r="N775" s="4">
        <v>1</v>
      </c>
      <c r="O775" s="4">
        <v>0</v>
      </c>
      <c r="P775" s="51">
        <f>IFERROR(_xlfn.XLOOKUP(_xlfn.TEXTJOIN(,,D774:O774),Aux!$B$3:$B$4098,'Truth Table'!$N$3:$N$4098),P774)</f>
        <v>-7</v>
      </c>
      <c r="Q775" s="4" t="b" cm="1">
        <f t="array" ref="Q775:U775">IFERROR(_xlfn.XLOOKUP(_xlfn.TEXTJOIN(,,D775:O775),Aux!$B$3:$B$4098,'Truth Table'!$O$3:$S$4098)=1,FALSE)</f>
        <v>1</v>
      </c>
      <c r="R775" s="4" t="b">
        <v>0</v>
      </c>
      <c r="S775" s="4" t="b">
        <v>0</v>
      </c>
      <c r="T775" s="4" t="b">
        <v>0</v>
      </c>
      <c r="U775" s="4" t="b">
        <v>1</v>
      </c>
      <c r="V775" s="4" t="b">
        <f>AND(_xlfn.XLOOKUP(_xlfn.TEXTJOIN(,,D775:O775),Aux!$B$3:$B$4098,'Truth Table'!$T$3:$T$4098)=1,P774&lt;='Line Follower'!$C$7)</f>
        <v>0</v>
      </c>
      <c r="W775" s="4" t="b">
        <f>AND(_xlfn.XLOOKUP(_xlfn.TEXTJOIN(,,D775:O775),Aux!$B$3:$B$4098,'Truth Table'!$U$3:$U$4098)=1,P774&gt;='Line Follower'!$C$6)</f>
        <v>0</v>
      </c>
      <c r="X775" s="4" t="b">
        <f>IFERROR(AND(_xlfn.XLOOKUP(_xlfn.TEXTJOIN(,,D775:O775),Aux!$B$3:$B$4098,'Truth Table'!$V$3:$V$4098)=1,ABS(P774)&lt;='Line Follower'!$C$6),FALSE)</f>
        <v>0</v>
      </c>
      <c r="Y775" s="4" t="b">
        <f t="shared" si="12"/>
        <v>1</v>
      </c>
    </row>
    <row r="776" spans="2:25" x14ac:dyDescent="0.25">
      <c r="B776" s="4">
        <v>773</v>
      </c>
      <c r="C776" s="4">
        <v>6711</v>
      </c>
      <c r="D776" s="4">
        <v>0</v>
      </c>
      <c r="E776" s="4">
        <v>1</v>
      </c>
      <c r="F776" s="4">
        <v>0</v>
      </c>
      <c r="G776" s="4">
        <v>0</v>
      </c>
      <c r="H776" s="4">
        <v>0</v>
      </c>
      <c r="I776" s="4">
        <v>0</v>
      </c>
      <c r="J776" s="4">
        <v>0</v>
      </c>
      <c r="K776" s="4">
        <v>0</v>
      </c>
      <c r="L776" s="4">
        <v>0</v>
      </c>
      <c r="M776" s="4">
        <v>0</v>
      </c>
      <c r="N776" s="4">
        <v>1</v>
      </c>
      <c r="O776" s="4">
        <v>0</v>
      </c>
      <c r="P776" s="51">
        <f>IFERROR(_xlfn.XLOOKUP(_xlfn.TEXTJOIN(,,D775:O775),Aux!$B$3:$B$4098,'Truth Table'!$N$3:$N$4098),P775)</f>
        <v>-7</v>
      </c>
      <c r="Q776" s="4" t="b" cm="1">
        <f t="array" ref="Q776:U776">IFERROR(_xlfn.XLOOKUP(_xlfn.TEXTJOIN(,,D776:O776),Aux!$B$3:$B$4098,'Truth Table'!$O$3:$S$4098)=1,FALSE)</f>
        <v>1</v>
      </c>
      <c r="R776" s="4" t="b">
        <v>0</v>
      </c>
      <c r="S776" s="4" t="b">
        <v>0</v>
      </c>
      <c r="T776" s="4" t="b">
        <v>0</v>
      </c>
      <c r="U776" s="4" t="b">
        <v>1</v>
      </c>
      <c r="V776" s="4" t="b">
        <f>AND(_xlfn.XLOOKUP(_xlfn.TEXTJOIN(,,D776:O776),Aux!$B$3:$B$4098,'Truth Table'!$T$3:$T$4098)=1,P775&lt;='Line Follower'!$C$7)</f>
        <v>0</v>
      </c>
      <c r="W776" s="4" t="b">
        <f>AND(_xlfn.XLOOKUP(_xlfn.TEXTJOIN(,,D776:O776),Aux!$B$3:$B$4098,'Truth Table'!$U$3:$U$4098)=1,P775&gt;='Line Follower'!$C$6)</f>
        <v>0</v>
      </c>
      <c r="X776" s="4" t="b">
        <f>IFERROR(AND(_xlfn.XLOOKUP(_xlfn.TEXTJOIN(,,D776:O776),Aux!$B$3:$B$4098,'Truth Table'!$V$3:$V$4098)=1,ABS(P775)&lt;='Line Follower'!$C$6),FALSE)</f>
        <v>0</v>
      </c>
      <c r="Y776" s="4" t="b">
        <f t="shared" si="12"/>
        <v>1</v>
      </c>
    </row>
    <row r="777" spans="2:25" x14ac:dyDescent="0.25">
      <c r="B777" s="4">
        <v>774</v>
      </c>
      <c r="C777" s="4">
        <v>6719</v>
      </c>
      <c r="D777" s="4">
        <v>0</v>
      </c>
      <c r="E777" s="4">
        <v>1</v>
      </c>
      <c r="F777" s="4">
        <v>0</v>
      </c>
      <c r="G777" s="4">
        <v>0</v>
      </c>
      <c r="H777" s="4">
        <v>0</v>
      </c>
      <c r="I777" s="4">
        <v>0</v>
      </c>
      <c r="J777" s="4">
        <v>0</v>
      </c>
      <c r="K777" s="4">
        <v>0</v>
      </c>
      <c r="L777" s="4">
        <v>0</v>
      </c>
      <c r="M777" s="4">
        <v>0</v>
      </c>
      <c r="N777" s="4">
        <v>1</v>
      </c>
      <c r="O777" s="4">
        <v>0</v>
      </c>
      <c r="P777" s="51">
        <f>IFERROR(_xlfn.XLOOKUP(_xlfn.TEXTJOIN(,,D776:O776),Aux!$B$3:$B$4098,'Truth Table'!$N$3:$N$4098),P776)</f>
        <v>-7</v>
      </c>
      <c r="Q777" s="4" t="b" cm="1">
        <f t="array" ref="Q777:U777">IFERROR(_xlfn.XLOOKUP(_xlfn.TEXTJOIN(,,D777:O777),Aux!$B$3:$B$4098,'Truth Table'!$O$3:$S$4098)=1,FALSE)</f>
        <v>1</v>
      </c>
      <c r="R777" s="4" t="b">
        <v>0</v>
      </c>
      <c r="S777" s="4" t="b">
        <v>0</v>
      </c>
      <c r="T777" s="4" t="b">
        <v>0</v>
      </c>
      <c r="U777" s="4" t="b">
        <v>1</v>
      </c>
      <c r="V777" s="4" t="b">
        <f>AND(_xlfn.XLOOKUP(_xlfn.TEXTJOIN(,,D777:O777),Aux!$B$3:$B$4098,'Truth Table'!$T$3:$T$4098)=1,P776&lt;='Line Follower'!$C$7)</f>
        <v>0</v>
      </c>
      <c r="W777" s="4" t="b">
        <f>AND(_xlfn.XLOOKUP(_xlfn.TEXTJOIN(,,D777:O777),Aux!$B$3:$B$4098,'Truth Table'!$U$3:$U$4098)=1,P776&gt;='Line Follower'!$C$6)</f>
        <v>0</v>
      </c>
      <c r="X777" s="4" t="b">
        <f>IFERROR(AND(_xlfn.XLOOKUP(_xlfn.TEXTJOIN(,,D777:O777),Aux!$B$3:$B$4098,'Truth Table'!$V$3:$V$4098)=1,ABS(P776)&lt;='Line Follower'!$C$6),FALSE)</f>
        <v>0</v>
      </c>
      <c r="Y777" s="4" t="b">
        <f t="shared" si="12"/>
        <v>1</v>
      </c>
    </row>
    <row r="778" spans="2:25" x14ac:dyDescent="0.25">
      <c r="B778" s="4">
        <v>775</v>
      </c>
      <c r="C778" s="4">
        <v>6727</v>
      </c>
      <c r="D778" s="4">
        <v>0</v>
      </c>
      <c r="E778" s="4">
        <v>1</v>
      </c>
      <c r="F778" s="4">
        <v>0</v>
      </c>
      <c r="G778" s="4">
        <v>0</v>
      </c>
      <c r="H778" s="4">
        <v>0</v>
      </c>
      <c r="I778" s="4">
        <v>0</v>
      </c>
      <c r="J778" s="4">
        <v>0</v>
      </c>
      <c r="K778" s="4">
        <v>0</v>
      </c>
      <c r="L778" s="4">
        <v>0</v>
      </c>
      <c r="M778" s="4">
        <v>0</v>
      </c>
      <c r="N778" s="4">
        <v>0</v>
      </c>
      <c r="O778" s="4">
        <v>0</v>
      </c>
      <c r="P778" s="51">
        <f>IFERROR(_xlfn.XLOOKUP(_xlfn.TEXTJOIN(,,D777:O777),Aux!$B$3:$B$4098,'Truth Table'!$N$3:$N$4098),P777)</f>
        <v>-7</v>
      </c>
      <c r="Q778" s="4" t="b" cm="1">
        <f t="array" ref="Q778:U778">IFERROR(_xlfn.XLOOKUP(_xlfn.TEXTJOIN(,,D778:O778),Aux!$B$3:$B$4098,'Truth Table'!$O$3:$S$4098)=1,FALSE)</f>
        <v>1</v>
      </c>
      <c r="R778" s="4" t="b">
        <v>0</v>
      </c>
      <c r="S778" s="4" t="b">
        <v>0</v>
      </c>
      <c r="T778" s="4" t="b">
        <v>0</v>
      </c>
      <c r="U778" s="4" t="b">
        <v>0</v>
      </c>
      <c r="V778" s="4" t="b">
        <f>AND(_xlfn.XLOOKUP(_xlfn.TEXTJOIN(,,D778:O778),Aux!$B$3:$B$4098,'Truth Table'!$T$3:$T$4098)=1,P777&lt;='Line Follower'!$C$7)</f>
        <v>0</v>
      </c>
      <c r="W778" s="4" t="b">
        <f>AND(_xlfn.XLOOKUP(_xlfn.TEXTJOIN(,,D778:O778),Aux!$B$3:$B$4098,'Truth Table'!$U$3:$U$4098)=1,P777&gt;='Line Follower'!$C$6)</f>
        <v>0</v>
      </c>
      <c r="X778" s="4" t="b">
        <f>IFERROR(AND(_xlfn.XLOOKUP(_xlfn.TEXTJOIN(,,D778:O778),Aux!$B$3:$B$4098,'Truth Table'!$V$3:$V$4098)=1,ABS(P777)&lt;='Line Follower'!$C$6),FALSE)</f>
        <v>0</v>
      </c>
      <c r="Y778" s="4" t="b">
        <f t="shared" si="12"/>
        <v>1</v>
      </c>
    </row>
    <row r="779" spans="2:25" x14ac:dyDescent="0.25">
      <c r="B779" s="4">
        <v>776</v>
      </c>
      <c r="C779" s="4">
        <v>6741</v>
      </c>
      <c r="D779" s="4">
        <v>0</v>
      </c>
      <c r="E779" s="4">
        <v>1</v>
      </c>
      <c r="F779" s="4">
        <v>0</v>
      </c>
      <c r="G779" s="4">
        <v>0</v>
      </c>
      <c r="H779" s="4">
        <v>0</v>
      </c>
      <c r="I779" s="4">
        <v>0</v>
      </c>
      <c r="J779" s="4">
        <v>0</v>
      </c>
      <c r="K779" s="4">
        <v>0</v>
      </c>
      <c r="L779" s="4">
        <v>0</v>
      </c>
      <c r="M779" s="4">
        <v>0</v>
      </c>
      <c r="N779" s="4">
        <v>0</v>
      </c>
      <c r="O779" s="4">
        <v>0</v>
      </c>
      <c r="P779" s="51">
        <f>IFERROR(_xlfn.XLOOKUP(_xlfn.TEXTJOIN(,,D778:O778),Aux!$B$3:$B$4098,'Truth Table'!$N$3:$N$4098),P778)</f>
        <v>-7</v>
      </c>
      <c r="Q779" s="4" t="b" cm="1">
        <f t="array" ref="Q779:U779">IFERROR(_xlfn.XLOOKUP(_xlfn.TEXTJOIN(,,D779:O779),Aux!$B$3:$B$4098,'Truth Table'!$O$3:$S$4098)=1,FALSE)</f>
        <v>1</v>
      </c>
      <c r="R779" s="4" t="b">
        <v>0</v>
      </c>
      <c r="S779" s="4" t="b">
        <v>0</v>
      </c>
      <c r="T779" s="4" t="b">
        <v>0</v>
      </c>
      <c r="U779" s="4" t="b">
        <v>0</v>
      </c>
      <c r="V779" s="4" t="b">
        <f>AND(_xlfn.XLOOKUP(_xlfn.TEXTJOIN(,,D779:O779),Aux!$B$3:$B$4098,'Truth Table'!$T$3:$T$4098)=1,P778&lt;='Line Follower'!$C$7)</f>
        <v>0</v>
      </c>
      <c r="W779" s="4" t="b">
        <f>AND(_xlfn.XLOOKUP(_xlfn.TEXTJOIN(,,D779:O779),Aux!$B$3:$B$4098,'Truth Table'!$U$3:$U$4098)=1,P778&gt;='Line Follower'!$C$6)</f>
        <v>0</v>
      </c>
      <c r="X779" s="4" t="b">
        <f>IFERROR(AND(_xlfn.XLOOKUP(_xlfn.TEXTJOIN(,,D779:O779),Aux!$B$3:$B$4098,'Truth Table'!$V$3:$V$4098)=1,ABS(P778)&lt;='Line Follower'!$C$6),FALSE)</f>
        <v>0</v>
      </c>
      <c r="Y779" s="4" t="b">
        <f t="shared" si="12"/>
        <v>1</v>
      </c>
    </row>
    <row r="780" spans="2:25" x14ac:dyDescent="0.25">
      <c r="B780" s="4">
        <v>777</v>
      </c>
      <c r="C780" s="4">
        <v>6754</v>
      </c>
      <c r="D780" s="4">
        <v>0</v>
      </c>
      <c r="E780" s="4">
        <v>1</v>
      </c>
      <c r="F780" s="4">
        <v>0</v>
      </c>
      <c r="G780" s="4">
        <v>0</v>
      </c>
      <c r="H780" s="4">
        <v>0</v>
      </c>
      <c r="I780" s="4">
        <v>0</v>
      </c>
      <c r="J780" s="4">
        <v>0</v>
      </c>
      <c r="K780" s="4">
        <v>0</v>
      </c>
      <c r="L780" s="4">
        <v>0</v>
      </c>
      <c r="M780" s="4">
        <v>0</v>
      </c>
      <c r="N780" s="4">
        <v>0</v>
      </c>
      <c r="O780" s="4">
        <v>0</v>
      </c>
      <c r="P780" s="51">
        <f>IFERROR(_xlfn.XLOOKUP(_xlfn.TEXTJOIN(,,D779:O779),Aux!$B$3:$B$4098,'Truth Table'!$N$3:$N$4098),P779)</f>
        <v>-7</v>
      </c>
      <c r="Q780" s="4" t="b" cm="1">
        <f t="array" ref="Q780:U780">IFERROR(_xlfn.XLOOKUP(_xlfn.TEXTJOIN(,,D780:O780),Aux!$B$3:$B$4098,'Truth Table'!$O$3:$S$4098)=1,FALSE)</f>
        <v>1</v>
      </c>
      <c r="R780" s="4" t="b">
        <v>0</v>
      </c>
      <c r="S780" s="4" t="b">
        <v>0</v>
      </c>
      <c r="T780" s="4" t="b">
        <v>0</v>
      </c>
      <c r="U780" s="4" t="b">
        <v>0</v>
      </c>
      <c r="V780" s="4" t="b">
        <f>AND(_xlfn.XLOOKUP(_xlfn.TEXTJOIN(,,D780:O780),Aux!$B$3:$B$4098,'Truth Table'!$T$3:$T$4098)=1,P779&lt;='Line Follower'!$C$7)</f>
        <v>0</v>
      </c>
      <c r="W780" s="4" t="b">
        <f>AND(_xlfn.XLOOKUP(_xlfn.TEXTJOIN(,,D780:O780),Aux!$B$3:$B$4098,'Truth Table'!$U$3:$U$4098)=1,P779&gt;='Line Follower'!$C$6)</f>
        <v>0</v>
      </c>
      <c r="X780" s="4" t="b">
        <f>IFERROR(AND(_xlfn.XLOOKUP(_xlfn.TEXTJOIN(,,D780:O780),Aux!$B$3:$B$4098,'Truth Table'!$V$3:$V$4098)=1,ABS(P779)&lt;='Line Follower'!$C$6),FALSE)</f>
        <v>0</v>
      </c>
      <c r="Y780" s="4" t="b">
        <f t="shared" si="12"/>
        <v>1</v>
      </c>
    </row>
    <row r="781" spans="2:25" x14ac:dyDescent="0.25">
      <c r="B781" s="4">
        <v>778</v>
      </c>
      <c r="C781" s="4">
        <v>6759</v>
      </c>
      <c r="D781" s="4">
        <v>0</v>
      </c>
      <c r="E781" s="4">
        <v>1</v>
      </c>
      <c r="F781" s="4">
        <v>0</v>
      </c>
      <c r="G781" s="4">
        <v>0</v>
      </c>
      <c r="H781" s="4">
        <v>0</v>
      </c>
      <c r="I781" s="4">
        <v>0</v>
      </c>
      <c r="J781" s="4">
        <v>0</v>
      </c>
      <c r="K781" s="4">
        <v>0</v>
      </c>
      <c r="L781" s="4">
        <v>0</v>
      </c>
      <c r="M781" s="4">
        <v>0</v>
      </c>
      <c r="N781" s="4">
        <v>0</v>
      </c>
      <c r="O781" s="4">
        <v>0</v>
      </c>
      <c r="P781" s="51">
        <f>IFERROR(_xlfn.XLOOKUP(_xlfn.TEXTJOIN(,,D780:O780),Aux!$B$3:$B$4098,'Truth Table'!$N$3:$N$4098),P780)</f>
        <v>-7</v>
      </c>
      <c r="Q781" s="4" t="b" cm="1">
        <f t="array" ref="Q781:U781">IFERROR(_xlfn.XLOOKUP(_xlfn.TEXTJOIN(,,D781:O781),Aux!$B$3:$B$4098,'Truth Table'!$O$3:$S$4098)=1,FALSE)</f>
        <v>1</v>
      </c>
      <c r="R781" s="4" t="b">
        <v>0</v>
      </c>
      <c r="S781" s="4" t="b">
        <v>0</v>
      </c>
      <c r="T781" s="4" t="b">
        <v>0</v>
      </c>
      <c r="U781" s="4" t="b">
        <v>0</v>
      </c>
      <c r="V781" s="4" t="b">
        <f>AND(_xlfn.XLOOKUP(_xlfn.TEXTJOIN(,,D781:O781),Aux!$B$3:$B$4098,'Truth Table'!$T$3:$T$4098)=1,P780&lt;='Line Follower'!$C$7)</f>
        <v>0</v>
      </c>
      <c r="W781" s="4" t="b">
        <f>AND(_xlfn.XLOOKUP(_xlfn.TEXTJOIN(,,D781:O781),Aux!$B$3:$B$4098,'Truth Table'!$U$3:$U$4098)=1,P780&gt;='Line Follower'!$C$6)</f>
        <v>0</v>
      </c>
      <c r="X781" s="4" t="b">
        <f>IFERROR(AND(_xlfn.XLOOKUP(_xlfn.TEXTJOIN(,,D781:O781),Aux!$B$3:$B$4098,'Truth Table'!$V$3:$V$4098)=1,ABS(P780)&lt;='Line Follower'!$C$6),FALSE)</f>
        <v>0</v>
      </c>
      <c r="Y781" s="4" t="b">
        <f t="shared" si="12"/>
        <v>1</v>
      </c>
    </row>
    <row r="782" spans="2:25" x14ac:dyDescent="0.25">
      <c r="B782" s="4">
        <v>779</v>
      </c>
      <c r="C782" s="4">
        <v>6771</v>
      </c>
      <c r="D782" s="4">
        <v>0</v>
      </c>
      <c r="E782" s="4">
        <v>1</v>
      </c>
      <c r="F782" s="4">
        <v>0</v>
      </c>
      <c r="G782" s="4">
        <v>0</v>
      </c>
      <c r="H782" s="4">
        <v>0</v>
      </c>
      <c r="I782" s="4">
        <v>0</v>
      </c>
      <c r="J782" s="4">
        <v>0</v>
      </c>
      <c r="K782" s="4">
        <v>0</v>
      </c>
      <c r="L782" s="4">
        <v>0</v>
      </c>
      <c r="M782" s="4">
        <v>0</v>
      </c>
      <c r="N782" s="4">
        <v>0</v>
      </c>
      <c r="O782" s="4">
        <v>0</v>
      </c>
      <c r="P782" s="51">
        <f>IFERROR(_xlfn.XLOOKUP(_xlfn.TEXTJOIN(,,D781:O781),Aux!$B$3:$B$4098,'Truth Table'!$N$3:$N$4098),P781)</f>
        <v>-7</v>
      </c>
      <c r="Q782" s="4" t="b" cm="1">
        <f t="array" ref="Q782:U782">IFERROR(_xlfn.XLOOKUP(_xlfn.TEXTJOIN(,,D782:O782),Aux!$B$3:$B$4098,'Truth Table'!$O$3:$S$4098)=1,FALSE)</f>
        <v>1</v>
      </c>
      <c r="R782" s="4" t="b">
        <v>0</v>
      </c>
      <c r="S782" s="4" t="b">
        <v>0</v>
      </c>
      <c r="T782" s="4" t="b">
        <v>0</v>
      </c>
      <c r="U782" s="4" t="b">
        <v>0</v>
      </c>
      <c r="V782" s="4" t="b">
        <f>AND(_xlfn.XLOOKUP(_xlfn.TEXTJOIN(,,D782:O782),Aux!$B$3:$B$4098,'Truth Table'!$T$3:$T$4098)=1,P781&lt;='Line Follower'!$C$7)</f>
        <v>0</v>
      </c>
      <c r="W782" s="4" t="b">
        <f>AND(_xlfn.XLOOKUP(_xlfn.TEXTJOIN(,,D782:O782),Aux!$B$3:$B$4098,'Truth Table'!$U$3:$U$4098)=1,P781&gt;='Line Follower'!$C$6)</f>
        <v>0</v>
      </c>
      <c r="X782" s="4" t="b">
        <f>IFERROR(AND(_xlfn.XLOOKUP(_xlfn.TEXTJOIN(,,D782:O782),Aux!$B$3:$B$4098,'Truth Table'!$V$3:$V$4098)=1,ABS(P781)&lt;='Line Follower'!$C$6),FALSE)</f>
        <v>0</v>
      </c>
      <c r="Y782" s="4" t="b">
        <f t="shared" si="12"/>
        <v>1</v>
      </c>
    </row>
    <row r="783" spans="2:25" x14ac:dyDescent="0.25">
      <c r="B783" s="4">
        <v>780</v>
      </c>
      <c r="C783" s="4">
        <v>6784</v>
      </c>
      <c r="D783" s="4">
        <v>0</v>
      </c>
      <c r="E783" s="4">
        <v>1</v>
      </c>
      <c r="F783" s="4">
        <v>0</v>
      </c>
      <c r="G783" s="4">
        <v>0</v>
      </c>
      <c r="H783" s="4">
        <v>0</v>
      </c>
      <c r="I783" s="4">
        <v>0</v>
      </c>
      <c r="J783" s="4">
        <v>0</v>
      </c>
      <c r="K783" s="4">
        <v>0</v>
      </c>
      <c r="L783" s="4">
        <v>0</v>
      </c>
      <c r="M783" s="4">
        <v>0</v>
      </c>
      <c r="N783" s="4">
        <v>0</v>
      </c>
      <c r="O783" s="4">
        <v>0</v>
      </c>
      <c r="P783" s="51">
        <f>IFERROR(_xlfn.XLOOKUP(_xlfn.TEXTJOIN(,,D782:O782),Aux!$B$3:$B$4098,'Truth Table'!$N$3:$N$4098),P782)</f>
        <v>-7</v>
      </c>
      <c r="Q783" s="4" t="b" cm="1">
        <f t="array" ref="Q783:U783">IFERROR(_xlfn.XLOOKUP(_xlfn.TEXTJOIN(,,D783:O783),Aux!$B$3:$B$4098,'Truth Table'!$O$3:$S$4098)=1,FALSE)</f>
        <v>1</v>
      </c>
      <c r="R783" s="4" t="b">
        <v>0</v>
      </c>
      <c r="S783" s="4" t="b">
        <v>0</v>
      </c>
      <c r="T783" s="4" t="b">
        <v>0</v>
      </c>
      <c r="U783" s="4" t="b">
        <v>0</v>
      </c>
      <c r="V783" s="4" t="b">
        <f>AND(_xlfn.XLOOKUP(_xlfn.TEXTJOIN(,,D783:O783),Aux!$B$3:$B$4098,'Truth Table'!$T$3:$T$4098)=1,P782&lt;='Line Follower'!$C$7)</f>
        <v>0</v>
      </c>
      <c r="W783" s="4" t="b">
        <f>AND(_xlfn.XLOOKUP(_xlfn.TEXTJOIN(,,D783:O783),Aux!$B$3:$B$4098,'Truth Table'!$U$3:$U$4098)=1,P782&gt;='Line Follower'!$C$6)</f>
        <v>0</v>
      </c>
      <c r="X783" s="4" t="b">
        <f>IFERROR(AND(_xlfn.XLOOKUP(_xlfn.TEXTJOIN(,,D783:O783),Aux!$B$3:$B$4098,'Truth Table'!$V$3:$V$4098)=1,ABS(P782)&lt;='Line Follower'!$C$6),FALSE)</f>
        <v>0</v>
      </c>
      <c r="Y783" s="4" t="b">
        <f t="shared" si="12"/>
        <v>1</v>
      </c>
    </row>
    <row r="784" spans="2:25" x14ac:dyDescent="0.25">
      <c r="B784" s="4">
        <v>781</v>
      </c>
      <c r="C784" s="4">
        <v>6791</v>
      </c>
      <c r="D784" s="4">
        <v>0</v>
      </c>
      <c r="E784" s="4">
        <v>1</v>
      </c>
      <c r="F784" s="4">
        <v>0</v>
      </c>
      <c r="G784" s="4">
        <v>0</v>
      </c>
      <c r="H784" s="4">
        <v>0</v>
      </c>
      <c r="I784" s="4">
        <v>0</v>
      </c>
      <c r="J784" s="4">
        <v>0</v>
      </c>
      <c r="K784" s="4">
        <v>0</v>
      </c>
      <c r="L784" s="4">
        <v>0</v>
      </c>
      <c r="M784" s="4">
        <v>0</v>
      </c>
      <c r="N784" s="4">
        <v>0</v>
      </c>
      <c r="O784" s="4">
        <v>0</v>
      </c>
      <c r="P784" s="51">
        <f>IFERROR(_xlfn.XLOOKUP(_xlfn.TEXTJOIN(,,D783:O783),Aux!$B$3:$B$4098,'Truth Table'!$N$3:$N$4098),P783)</f>
        <v>-7</v>
      </c>
      <c r="Q784" s="4" t="b" cm="1">
        <f t="array" ref="Q784:U784">IFERROR(_xlfn.XLOOKUP(_xlfn.TEXTJOIN(,,D784:O784),Aux!$B$3:$B$4098,'Truth Table'!$O$3:$S$4098)=1,FALSE)</f>
        <v>1</v>
      </c>
      <c r="R784" s="4" t="b">
        <v>0</v>
      </c>
      <c r="S784" s="4" t="b">
        <v>0</v>
      </c>
      <c r="T784" s="4" t="b">
        <v>0</v>
      </c>
      <c r="U784" s="4" t="b">
        <v>0</v>
      </c>
      <c r="V784" s="4" t="b">
        <f>AND(_xlfn.XLOOKUP(_xlfn.TEXTJOIN(,,D784:O784),Aux!$B$3:$B$4098,'Truth Table'!$T$3:$T$4098)=1,P783&lt;='Line Follower'!$C$7)</f>
        <v>0</v>
      </c>
      <c r="W784" s="4" t="b">
        <f>AND(_xlfn.XLOOKUP(_xlfn.TEXTJOIN(,,D784:O784),Aux!$B$3:$B$4098,'Truth Table'!$U$3:$U$4098)=1,P783&gt;='Line Follower'!$C$6)</f>
        <v>0</v>
      </c>
      <c r="X784" s="4" t="b">
        <f>IFERROR(AND(_xlfn.XLOOKUP(_xlfn.TEXTJOIN(,,D784:O784),Aux!$B$3:$B$4098,'Truth Table'!$V$3:$V$4098)=1,ABS(P783)&lt;='Line Follower'!$C$6),FALSE)</f>
        <v>0</v>
      </c>
      <c r="Y784" s="4" t="b">
        <f t="shared" si="12"/>
        <v>1</v>
      </c>
    </row>
    <row r="785" spans="2:25" x14ac:dyDescent="0.25">
      <c r="B785" s="4">
        <v>782</v>
      </c>
      <c r="C785" s="4">
        <v>6805</v>
      </c>
      <c r="D785" s="4">
        <v>0</v>
      </c>
      <c r="E785" s="4">
        <v>1</v>
      </c>
      <c r="F785" s="4">
        <v>0</v>
      </c>
      <c r="G785" s="4">
        <v>0</v>
      </c>
      <c r="H785" s="4">
        <v>0</v>
      </c>
      <c r="I785" s="4">
        <v>0</v>
      </c>
      <c r="J785" s="4">
        <v>0</v>
      </c>
      <c r="K785" s="4">
        <v>0</v>
      </c>
      <c r="L785" s="4">
        <v>0</v>
      </c>
      <c r="M785" s="4">
        <v>0</v>
      </c>
      <c r="N785" s="4">
        <v>0</v>
      </c>
      <c r="O785" s="4">
        <v>0</v>
      </c>
      <c r="P785" s="51">
        <f>IFERROR(_xlfn.XLOOKUP(_xlfn.TEXTJOIN(,,D784:O784),Aux!$B$3:$B$4098,'Truth Table'!$N$3:$N$4098),P784)</f>
        <v>-7</v>
      </c>
      <c r="Q785" s="4" t="b" cm="1">
        <f t="array" ref="Q785:U785">IFERROR(_xlfn.XLOOKUP(_xlfn.TEXTJOIN(,,D785:O785),Aux!$B$3:$B$4098,'Truth Table'!$O$3:$S$4098)=1,FALSE)</f>
        <v>1</v>
      </c>
      <c r="R785" s="4" t="b">
        <v>0</v>
      </c>
      <c r="S785" s="4" t="b">
        <v>0</v>
      </c>
      <c r="T785" s="4" t="b">
        <v>0</v>
      </c>
      <c r="U785" s="4" t="b">
        <v>0</v>
      </c>
      <c r="V785" s="4" t="b">
        <f>AND(_xlfn.XLOOKUP(_xlfn.TEXTJOIN(,,D785:O785),Aux!$B$3:$B$4098,'Truth Table'!$T$3:$T$4098)=1,P784&lt;='Line Follower'!$C$7)</f>
        <v>0</v>
      </c>
      <c r="W785" s="4" t="b">
        <f>AND(_xlfn.XLOOKUP(_xlfn.TEXTJOIN(,,D785:O785),Aux!$B$3:$B$4098,'Truth Table'!$U$3:$U$4098)=1,P784&gt;='Line Follower'!$C$6)</f>
        <v>0</v>
      </c>
      <c r="X785" s="4" t="b">
        <f>IFERROR(AND(_xlfn.XLOOKUP(_xlfn.TEXTJOIN(,,D785:O785),Aux!$B$3:$B$4098,'Truth Table'!$V$3:$V$4098)=1,ABS(P784)&lt;='Line Follower'!$C$6),FALSE)</f>
        <v>0</v>
      </c>
      <c r="Y785" s="4" t="b">
        <f t="shared" si="12"/>
        <v>1</v>
      </c>
    </row>
    <row r="786" spans="2:25" x14ac:dyDescent="0.25">
      <c r="B786" s="4">
        <v>783</v>
      </c>
      <c r="C786" s="4">
        <v>6811</v>
      </c>
      <c r="D786" s="4">
        <v>0</v>
      </c>
      <c r="E786" s="4">
        <v>1</v>
      </c>
      <c r="F786" s="4">
        <v>0</v>
      </c>
      <c r="G786" s="4">
        <v>0</v>
      </c>
      <c r="H786" s="4">
        <v>0</v>
      </c>
      <c r="I786" s="4">
        <v>0</v>
      </c>
      <c r="J786" s="4">
        <v>0</v>
      </c>
      <c r="K786" s="4">
        <v>0</v>
      </c>
      <c r="L786" s="4">
        <v>0</v>
      </c>
      <c r="M786" s="4">
        <v>0</v>
      </c>
      <c r="N786" s="4">
        <v>1</v>
      </c>
      <c r="O786" s="4">
        <v>0</v>
      </c>
      <c r="P786" s="51">
        <f>IFERROR(_xlfn.XLOOKUP(_xlfn.TEXTJOIN(,,D785:O785),Aux!$B$3:$B$4098,'Truth Table'!$N$3:$N$4098),P785)</f>
        <v>-7</v>
      </c>
      <c r="Q786" s="4" t="b" cm="1">
        <f t="array" ref="Q786:U786">IFERROR(_xlfn.XLOOKUP(_xlfn.TEXTJOIN(,,D786:O786),Aux!$B$3:$B$4098,'Truth Table'!$O$3:$S$4098)=1,FALSE)</f>
        <v>1</v>
      </c>
      <c r="R786" s="4" t="b">
        <v>0</v>
      </c>
      <c r="S786" s="4" t="b">
        <v>0</v>
      </c>
      <c r="T786" s="4" t="b">
        <v>0</v>
      </c>
      <c r="U786" s="4" t="b">
        <v>1</v>
      </c>
      <c r="V786" s="4" t="b">
        <f>AND(_xlfn.XLOOKUP(_xlfn.TEXTJOIN(,,D786:O786),Aux!$B$3:$B$4098,'Truth Table'!$T$3:$T$4098)=1,P785&lt;='Line Follower'!$C$7)</f>
        <v>0</v>
      </c>
      <c r="W786" s="4" t="b">
        <f>AND(_xlfn.XLOOKUP(_xlfn.TEXTJOIN(,,D786:O786),Aux!$B$3:$B$4098,'Truth Table'!$U$3:$U$4098)=1,P785&gt;='Line Follower'!$C$6)</f>
        <v>0</v>
      </c>
      <c r="X786" s="4" t="b">
        <f>IFERROR(AND(_xlfn.XLOOKUP(_xlfn.TEXTJOIN(,,D786:O786),Aux!$B$3:$B$4098,'Truth Table'!$V$3:$V$4098)=1,ABS(P785)&lt;='Line Follower'!$C$6),FALSE)</f>
        <v>0</v>
      </c>
      <c r="Y786" s="4" t="b">
        <f t="shared" si="12"/>
        <v>1</v>
      </c>
    </row>
    <row r="787" spans="2:25" x14ac:dyDescent="0.25">
      <c r="B787" s="4">
        <v>784</v>
      </c>
      <c r="C787" s="4">
        <v>6826</v>
      </c>
      <c r="D787" s="4">
        <v>0</v>
      </c>
      <c r="E787" s="4">
        <v>1</v>
      </c>
      <c r="F787" s="4">
        <v>0</v>
      </c>
      <c r="G787" s="4">
        <v>0</v>
      </c>
      <c r="H787" s="4">
        <v>0</v>
      </c>
      <c r="I787" s="4">
        <v>0</v>
      </c>
      <c r="J787" s="4">
        <v>0</v>
      </c>
      <c r="K787" s="4">
        <v>0</v>
      </c>
      <c r="L787" s="4">
        <v>0</v>
      </c>
      <c r="M787" s="4">
        <v>0</v>
      </c>
      <c r="N787" s="4">
        <v>1</v>
      </c>
      <c r="O787" s="4">
        <v>0</v>
      </c>
      <c r="P787" s="51">
        <f>IFERROR(_xlfn.XLOOKUP(_xlfn.TEXTJOIN(,,D786:O786),Aux!$B$3:$B$4098,'Truth Table'!$N$3:$N$4098),P786)</f>
        <v>-7</v>
      </c>
      <c r="Q787" s="4" t="b" cm="1">
        <f t="array" ref="Q787:U787">IFERROR(_xlfn.XLOOKUP(_xlfn.TEXTJOIN(,,D787:O787),Aux!$B$3:$B$4098,'Truth Table'!$O$3:$S$4098)=1,FALSE)</f>
        <v>1</v>
      </c>
      <c r="R787" s="4" t="b">
        <v>0</v>
      </c>
      <c r="S787" s="4" t="b">
        <v>0</v>
      </c>
      <c r="T787" s="4" t="b">
        <v>0</v>
      </c>
      <c r="U787" s="4" t="b">
        <v>1</v>
      </c>
      <c r="V787" s="4" t="b">
        <f>AND(_xlfn.XLOOKUP(_xlfn.TEXTJOIN(,,D787:O787),Aux!$B$3:$B$4098,'Truth Table'!$T$3:$T$4098)=1,P786&lt;='Line Follower'!$C$7)</f>
        <v>0</v>
      </c>
      <c r="W787" s="4" t="b">
        <f>AND(_xlfn.XLOOKUP(_xlfn.TEXTJOIN(,,D787:O787),Aux!$B$3:$B$4098,'Truth Table'!$U$3:$U$4098)=1,P786&gt;='Line Follower'!$C$6)</f>
        <v>0</v>
      </c>
      <c r="X787" s="4" t="b">
        <f>IFERROR(AND(_xlfn.XLOOKUP(_xlfn.TEXTJOIN(,,D787:O787),Aux!$B$3:$B$4098,'Truth Table'!$V$3:$V$4098)=1,ABS(P786)&lt;='Line Follower'!$C$6),FALSE)</f>
        <v>0</v>
      </c>
      <c r="Y787" s="4" t="b">
        <f t="shared" si="12"/>
        <v>1</v>
      </c>
    </row>
    <row r="788" spans="2:25" x14ac:dyDescent="0.25">
      <c r="B788" s="4">
        <v>785</v>
      </c>
      <c r="C788" s="4">
        <v>6832</v>
      </c>
      <c r="D788" s="4">
        <v>0</v>
      </c>
      <c r="E788" s="4">
        <v>1</v>
      </c>
      <c r="F788" s="4">
        <v>0</v>
      </c>
      <c r="G788" s="4">
        <v>0</v>
      </c>
      <c r="H788" s="4">
        <v>0</v>
      </c>
      <c r="I788" s="4">
        <v>0</v>
      </c>
      <c r="J788" s="4">
        <v>0</v>
      </c>
      <c r="K788" s="4">
        <v>0</v>
      </c>
      <c r="L788" s="4">
        <v>0</v>
      </c>
      <c r="M788" s="4">
        <v>0</v>
      </c>
      <c r="N788" s="4">
        <v>1</v>
      </c>
      <c r="O788" s="4">
        <v>0</v>
      </c>
      <c r="P788" s="51">
        <f>IFERROR(_xlfn.XLOOKUP(_xlfn.TEXTJOIN(,,D787:O787),Aux!$B$3:$B$4098,'Truth Table'!$N$3:$N$4098),P787)</f>
        <v>-7</v>
      </c>
      <c r="Q788" s="4" t="b" cm="1">
        <f t="array" ref="Q788:U788">IFERROR(_xlfn.XLOOKUP(_xlfn.TEXTJOIN(,,D788:O788),Aux!$B$3:$B$4098,'Truth Table'!$O$3:$S$4098)=1,FALSE)</f>
        <v>1</v>
      </c>
      <c r="R788" s="4" t="b">
        <v>0</v>
      </c>
      <c r="S788" s="4" t="b">
        <v>0</v>
      </c>
      <c r="T788" s="4" t="b">
        <v>0</v>
      </c>
      <c r="U788" s="4" t="b">
        <v>1</v>
      </c>
      <c r="V788" s="4" t="b">
        <f>AND(_xlfn.XLOOKUP(_xlfn.TEXTJOIN(,,D788:O788),Aux!$B$3:$B$4098,'Truth Table'!$T$3:$T$4098)=1,P787&lt;='Line Follower'!$C$7)</f>
        <v>0</v>
      </c>
      <c r="W788" s="4" t="b">
        <f>AND(_xlfn.XLOOKUP(_xlfn.TEXTJOIN(,,D788:O788),Aux!$B$3:$B$4098,'Truth Table'!$U$3:$U$4098)=1,P787&gt;='Line Follower'!$C$6)</f>
        <v>0</v>
      </c>
      <c r="X788" s="4" t="b">
        <f>IFERROR(AND(_xlfn.XLOOKUP(_xlfn.TEXTJOIN(,,D788:O788),Aux!$B$3:$B$4098,'Truth Table'!$V$3:$V$4098)=1,ABS(P787)&lt;='Line Follower'!$C$6),FALSE)</f>
        <v>0</v>
      </c>
      <c r="Y788" s="4" t="b">
        <f t="shared" si="12"/>
        <v>1</v>
      </c>
    </row>
    <row r="789" spans="2:25" x14ac:dyDescent="0.25">
      <c r="B789" s="4">
        <v>786</v>
      </c>
      <c r="C789" s="4">
        <v>6846</v>
      </c>
      <c r="D789" s="4">
        <v>0</v>
      </c>
      <c r="E789" s="4">
        <v>1</v>
      </c>
      <c r="F789" s="4">
        <v>0</v>
      </c>
      <c r="G789" s="4">
        <v>0</v>
      </c>
      <c r="H789" s="4">
        <v>0</v>
      </c>
      <c r="I789" s="4">
        <v>0</v>
      </c>
      <c r="J789" s="4">
        <v>0</v>
      </c>
      <c r="K789" s="4">
        <v>0</v>
      </c>
      <c r="L789" s="4">
        <v>0</v>
      </c>
      <c r="M789" s="4">
        <v>0</v>
      </c>
      <c r="N789" s="4">
        <v>1</v>
      </c>
      <c r="O789" s="4">
        <v>0</v>
      </c>
      <c r="P789" s="51">
        <f>IFERROR(_xlfn.XLOOKUP(_xlfn.TEXTJOIN(,,D788:O788),Aux!$B$3:$B$4098,'Truth Table'!$N$3:$N$4098),P788)</f>
        <v>-7</v>
      </c>
      <c r="Q789" s="4" t="b" cm="1">
        <f t="array" ref="Q789:U789">IFERROR(_xlfn.XLOOKUP(_xlfn.TEXTJOIN(,,D789:O789),Aux!$B$3:$B$4098,'Truth Table'!$O$3:$S$4098)=1,FALSE)</f>
        <v>1</v>
      </c>
      <c r="R789" s="4" t="b">
        <v>0</v>
      </c>
      <c r="S789" s="4" t="b">
        <v>0</v>
      </c>
      <c r="T789" s="4" t="b">
        <v>0</v>
      </c>
      <c r="U789" s="4" t="b">
        <v>1</v>
      </c>
      <c r="V789" s="4" t="b">
        <f>AND(_xlfn.XLOOKUP(_xlfn.TEXTJOIN(,,D789:O789),Aux!$B$3:$B$4098,'Truth Table'!$T$3:$T$4098)=1,P788&lt;='Line Follower'!$C$7)</f>
        <v>0</v>
      </c>
      <c r="W789" s="4" t="b">
        <f>AND(_xlfn.XLOOKUP(_xlfn.TEXTJOIN(,,D789:O789),Aux!$B$3:$B$4098,'Truth Table'!$U$3:$U$4098)=1,P788&gt;='Line Follower'!$C$6)</f>
        <v>0</v>
      </c>
      <c r="X789" s="4" t="b">
        <f>IFERROR(AND(_xlfn.XLOOKUP(_xlfn.TEXTJOIN(,,D789:O789),Aux!$B$3:$B$4098,'Truth Table'!$V$3:$V$4098)=1,ABS(P788)&lt;='Line Follower'!$C$6),FALSE)</f>
        <v>0</v>
      </c>
      <c r="Y789" s="4" t="b">
        <f t="shared" si="12"/>
        <v>1</v>
      </c>
    </row>
    <row r="790" spans="2:25" x14ac:dyDescent="0.25">
      <c r="B790" s="4">
        <v>787</v>
      </c>
      <c r="C790" s="4">
        <v>6853</v>
      </c>
      <c r="D790" s="4">
        <v>0</v>
      </c>
      <c r="E790" s="4">
        <v>1</v>
      </c>
      <c r="F790" s="4">
        <v>0</v>
      </c>
      <c r="G790" s="4">
        <v>0</v>
      </c>
      <c r="H790" s="4">
        <v>0</v>
      </c>
      <c r="I790" s="4">
        <v>0</v>
      </c>
      <c r="J790" s="4">
        <v>0</v>
      </c>
      <c r="K790" s="4">
        <v>0</v>
      </c>
      <c r="L790" s="4">
        <v>0</v>
      </c>
      <c r="M790" s="4">
        <v>0</v>
      </c>
      <c r="N790" s="4">
        <v>1</v>
      </c>
      <c r="O790" s="4">
        <v>0</v>
      </c>
      <c r="P790" s="51">
        <f>IFERROR(_xlfn.XLOOKUP(_xlfn.TEXTJOIN(,,D789:O789),Aux!$B$3:$B$4098,'Truth Table'!$N$3:$N$4098),P789)</f>
        <v>-7</v>
      </c>
      <c r="Q790" s="4" t="b" cm="1">
        <f t="array" ref="Q790:U790">IFERROR(_xlfn.XLOOKUP(_xlfn.TEXTJOIN(,,D790:O790),Aux!$B$3:$B$4098,'Truth Table'!$O$3:$S$4098)=1,FALSE)</f>
        <v>1</v>
      </c>
      <c r="R790" s="4" t="b">
        <v>0</v>
      </c>
      <c r="S790" s="4" t="b">
        <v>0</v>
      </c>
      <c r="T790" s="4" t="b">
        <v>0</v>
      </c>
      <c r="U790" s="4" t="b">
        <v>1</v>
      </c>
      <c r="V790" s="4" t="b">
        <f>AND(_xlfn.XLOOKUP(_xlfn.TEXTJOIN(,,D790:O790),Aux!$B$3:$B$4098,'Truth Table'!$T$3:$T$4098)=1,P789&lt;='Line Follower'!$C$7)</f>
        <v>0</v>
      </c>
      <c r="W790" s="4" t="b">
        <f>AND(_xlfn.XLOOKUP(_xlfn.TEXTJOIN(,,D790:O790),Aux!$B$3:$B$4098,'Truth Table'!$U$3:$U$4098)=1,P789&gt;='Line Follower'!$C$6)</f>
        <v>0</v>
      </c>
      <c r="X790" s="4" t="b">
        <f>IFERROR(AND(_xlfn.XLOOKUP(_xlfn.TEXTJOIN(,,D790:O790),Aux!$B$3:$B$4098,'Truth Table'!$V$3:$V$4098)=1,ABS(P789)&lt;='Line Follower'!$C$6),FALSE)</f>
        <v>0</v>
      </c>
      <c r="Y790" s="4" t="b">
        <f t="shared" si="12"/>
        <v>1</v>
      </c>
    </row>
    <row r="791" spans="2:25" x14ac:dyDescent="0.25">
      <c r="B791" s="4">
        <v>788</v>
      </c>
      <c r="C791" s="4">
        <v>6867</v>
      </c>
      <c r="D791" s="4">
        <v>0</v>
      </c>
      <c r="E791" s="4">
        <v>1</v>
      </c>
      <c r="F791" s="4">
        <v>0</v>
      </c>
      <c r="G791" s="4">
        <v>0</v>
      </c>
      <c r="H791" s="4">
        <v>0</v>
      </c>
      <c r="I791" s="4">
        <v>0</v>
      </c>
      <c r="J791" s="4">
        <v>0</v>
      </c>
      <c r="K791" s="4">
        <v>0</v>
      </c>
      <c r="L791" s="4">
        <v>0</v>
      </c>
      <c r="M791" s="4">
        <v>0</v>
      </c>
      <c r="N791" s="4">
        <v>1</v>
      </c>
      <c r="O791" s="4">
        <v>0</v>
      </c>
      <c r="P791" s="51">
        <f>IFERROR(_xlfn.XLOOKUP(_xlfn.TEXTJOIN(,,D790:O790),Aux!$B$3:$B$4098,'Truth Table'!$N$3:$N$4098),P790)</f>
        <v>-7</v>
      </c>
      <c r="Q791" s="4" t="b" cm="1">
        <f t="array" ref="Q791:U791">IFERROR(_xlfn.XLOOKUP(_xlfn.TEXTJOIN(,,D791:O791),Aux!$B$3:$B$4098,'Truth Table'!$O$3:$S$4098)=1,FALSE)</f>
        <v>1</v>
      </c>
      <c r="R791" s="4" t="b">
        <v>0</v>
      </c>
      <c r="S791" s="4" t="b">
        <v>0</v>
      </c>
      <c r="T791" s="4" t="b">
        <v>0</v>
      </c>
      <c r="U791" s="4" t="b">
        <v>1</v>
      </c>
      <c r="V791" s="4" t="b">
        <f>AND(_xlfn.XLOOKUP(_xlfn.TEXTJOIN(,,D791:O791),Aux!$B$3:$B$4098,'Truth Table'!$T$3:$T$4098)=1,P790&lt;='Line Follower'!$C$7)</f>
        <v>0</v>
      </c>
      <c r="W791" s="4" t="b">
        <f>AND(_xlfn.XLOOKUP(_xlfn.TEXTJOIN(,,D791:O791),Aux!$B$3:$B$4098,'Truth Table'!$U$3:$U$4098)=1,P790&gt;='Line Follower'!$C$6)</f>
        <v>0</v>
      </c>
      <c r="X791" s="4" t="b">
        <f>IFERROR(AND(_xlfn.XLOOKUP(_xlfn.TEXTJOIN(,,D791:O791),Aux!$B$3:$B$4098,'Truth Table'!$V$3:$V$4098)=1,ABS(P790)&lt;='Line Follower'!$C$6),FALSE)</f>
        <v>0</v>
      </c>
      <c r="Y791" s="4" t="b">
        <f t="shared" si="12"/>
        <v>1</v>
      </c>
    </row>
    <row r="792" spans="2:25" x14ac:dyDescent="0.25">
      <c r="B792" s="4">
        <v>789</v>
      </c>
      <c r="C792" s="4">
        <v>6876</v>
      </c>
      <c r="D792" s="4">
        <v>0</v>
      </c>
      <c r="E792" s="4">
        <v>1</v>
      </c>
      <c r="F792" s="4">
        <v>0</v>
      </c>
      <c r="G792" s="4">
        <v>0</v>
      </c>
      <c r="H792" s="4">
        <v>0</v>
      </c>
      <c r="I792" s="4">
        <v>0</v>
      </c>
      <c r="J792" s="4">
        <v>0</v>
      </c>
      <c r="K792" s="4">
        <v>0</v>
      </c>
      <c r="L792" s="4">
        <v>0</v>
      </c>
      <c r="M792" s="4">
        <v>0</v>
      </c>
      <c r="N792" s="4">
        <v>1</v>
      </c>
      <c r="O792" s="4">
        <v>0</v>
      </c>
      <c r="P792" s="51">
        <f>IFERROR(_xlfn.XLOOKUP(_xlfn.TEXTJOIN(,,D791:O791),Aux!$B$3:$B$4098,'Truth Table'!$N$3:$N$4098),P791)</f>
        <v>-7</v>
      </c>
      <c r="Q792" s="4" t="b" cm="1">
        <f t="array" ref="Q792:U792">IFERROR(_xlfn.XLOOKUP(_xlfn.TEXTJOIN(,,D792:O792),Aux!$B$3:$B$4098,'Truth Table'!$O$3:$S$4098)=1,FALSE)</f>
        <v>1</v>
      </c>
      <c r="R792" s="4" t="b">
        <v>0</v>
      </c>
      <c r="S792" s="4" t="b">
        <v>0</v>
      </c>
      <c r="T792" s="4" t="b">
        <v>0</v>
      </c>
      <c r="U792" s="4" t="b">
        <v>1</v>
      </c>
      <c r="V792" s="4" t="b">
        <f>AND(_xlfn.XLOOKUP(_xlfn.TEXTJOIN(,,D792:O792),Aux!$B$3:$B$4098,'Truth Table'!$T$3:$T$4098)=1,P791&lt;='Line Follower'!$C$7)</f>
        <v>0</v>
      </c>
      <c r="W792" s="4" t="b">
        <f>AND(_xlfn.XLOOKUP(_xlfn.TEXTJOIN(,,D792:O792),Aux!$B$3:$B$4098,'Truth Table'!$U$3:$U$4098)=1,P791&gt;='Line Follower'!$C$6)</f>
        <v>0</v>
      </c>
      <c r="X792" s="4" t="b">
        <f>IFERROR(AND(_xlfn.XLOOKUP(_xlfn.TEXTJOIN(,,D792:O792),Aux!$B$3:$B$4098,'Truth Table'!$V$3:$V$4098)=1,ABS(P791)&lt;='Line Follower'!$C$6),FALSE)</f>
        <v>0</v>
      </c>
      <c r="Y792" s="4" t="b">
        <f t="shared" si="12"/>
        <v>1</v>
      </c>
    </row>
    <row r="793" spans="2:25" x14ac:dyDescent="0.25">
      <c r="B793" s="4">
        <v>790</v>
      </c>
      <c r="C793" s="4">
        <v>6876</v>
      </c>
      <c r="D793" s="4">
        <v>0</v>
      </c>
      <c r="E793" s="4">
        <v>1</v>
      </c>
      <c r="F793" s="4">
        <v>0</v>
      </c>
      <c r="G793" s="4">
        <v>0</v>
      </c>
      <c r="H793" s="4">
        <v>0</v>
      </c>
      <c r="I793" s="4">
        <v>0</v>
      </c>
      <c r="J793" s="4">
        <v>0</v>
      </c>
      <c r="K793" s="4">
        <v>0</v>
      </c>
      <c r="L793" s="4">
        <v>0</v>
      </c>
      <c r="M793" s="4">
        <v>0</v>
      </c>
      <c r="N793" s="4">
        <v>1</v>
      </c>
      <c r="O793" s="4">
        <v>0</v>
      </c>
      <c r="P793" s="51">
        <f>IFERROR(_xlfn.XLOOKUP(_xlfn.TEXTJOIN(,,D792:O792),Aux!$B$3:$B$4098,'Truth Table'!$N$3:$N$4098),P792)</f>
        <v>-7</v>
      </c>
      <c r="Q793" s="4" t="b" cm="1">
        <f t="array" ref="Q793:U793">IFERROR(_xlfn.XLOOKUP(_xlfn.TEXTJOIN(,,D793:O793),Aux!$B$3:$B$4098,'Truth Table'!$O$3:$S$4098)=1,FALSE)</f>
        <v>1</v>
      </c>
      <c r="R793" s="4" t="b">
        <v>0</v>
      </c>
      <c r="S793" s="4" t="b">
        <v>0</v>
      </c>
      <c r="T793" s="4" t="b">
        <v>0</v>
      </c>
      <c r="U793" s="4" t="b">
        <v>1</v>
      </c>
      <c r="V793" s="4" t="b">
        <f>AND(_xlfn.XLOOKUP(_xlfn.TEXTJOIN(,,D793:O793),Aux!$B$3:$B$4098,'Truth Table'!$T$3:$T$4098)=1,P792&lt;='Line Follower'!$C$7)</f>
        <v>0</v>
      </c>
      <c r="W793" s="4" t="b">
        <f>AND(_xlfn.XLOOKUP(_xlfn.TEXTJOIN(,,D793:O793),Aux!$B$3:$B$4098,'Truth Table'!$U$3:$U$4098)=1,P792&gt;='Line Follower'!$C$6)</f>
        <v>0</v>
      </c>
      <c r="X793" s="4" t="b">
        <f>IFERROR(AND(_xlfn.XLOOKUP(_xlfn.TEXTJOIN(,,D793:O793),Aux!$B$3:$B$4098,'Truth Table'!$V$3:$V$4098)=1,ABS(P792)&lt;='Line Follower'!$C$6),FALSE)</f>
        <v>0</v>
      </c>
      <c r="Y793" s="4" t="b">
        <f t="shared" si="12"/>
        <v>1</v>
      </c>
    </row>
    <row r="794" spans="2:25" x14ac:dyDescent="0.25">
      <c r="B794" s="4">
        <v>791</v>
      </c>
      <c r="C794" s="4">
        <v>6884</v>
      </c>
      <c r="D794" s="4">
        <v>0</v>
      </c>
      <c r="E794" s="4">
        <v>1</v>
      </c>
      <c r="F794" s="4">
        <v>0</v>
      </c>
      <c r="G794" s="4">
        <v>0</v>
      </c>
      <c r="H794" s="4">
        <v>0</v>
      </c>
      <c r="I794" s="4">
        <v>0</v>
      </c>
      <c r="J794" s="4">
        <v>0</v>
      </c>
      <c r="K794" s="4">
        <v>0</v>
      </c>
      <c r="L794" s="4">
        <v>0</v>
      </c>
      <c r="M794" s="4">
        <v>0</v>
      </c>
      <c r="N794" s="4">
        <v>1</v>
      </c>
      <c r="O794" s="4">
        <v>0</v>
      </c>
      <c r="P794" s="51">
        <f>IFERROR(_xlfn.XLOOKUP(_xlfn.TEXTJOIN(,,D793:O793),Aux!$B$3:$B$4098,'Truth Table'!$N$3:$N$4098),P793)</f>
        <v>-7</v>
      </c>
      <c r="Q794" s="4" t="b" cm="1">
        <f t="array" ref="Q794:U794">IFERROR(_xlfn.XLOOKUP(_xlfn.TEXTJOIN(,,D794:O794),Aux!$B$3:$B$4098,'Truth Table'!$O$3:$S$4098)=1,FALSE)</f>
        <v>1</v>
      </c>
      <c r="R794" s="4" t="b">
        <v>0</v>
      </c>
      <c r="S794" s="4" t="b">
        <v>0</v>
      </c>
      <c r="T794" s="4" t="b">
        <v>0</v>
      </c>
      <c r="U794" s="4" t="b">
        <v>1</v>
      </c>
      <c r="V794" s="4" t="b">
        <f>AND(_xlfn.XLOOKUP(_xlfn.TEXTJOIN(,,D794:O794),Aux!$B$3:$B$4098,'Truth Table'!$T$3:$T$4098)=1,P793&lt;='Line Follower'!$C$7)</f>
        <v>0</v>
      </c>
      <c r="W794" s="4" t="b">
        <f>AND(_xlfn.XLOOKUP(_xlfn.TEXTJOIN(,,D794:O794),Aux!$B$3:$B$4098,'Truth Table'!$U$3:$U$4098)=1,P793&gt;='Line Follower'!$C$6)</f>
        <v>0</v>
      </c>
      <c r="X794" s="4" t="b">
        <f>IFERROR(AND(_xlfn.XLOOKUP(_xlfn.TEXTJOIN(,,D794:O794),Aux!$B$3:$B$4098,'Truth Table'!$V$3:$V$4098)=1,ABS(P793)&lt;='Line Follower'!$C$6),FALSE)</f>
        <v>0</v>
      </c>
      <c r="Y794" s="4" t="b">
        <f t="shared" si="12"/>
        <v>1</v>
      </c>
    </row>
    <row r="795" spans="2:25" x14ac:dyDescent="0.25">
      <c r="B795" s="4">
        <v>792</v>
      </c>
      <c r="C795" s="4">
        <v>6896</v>
      </c>
      <c r="D795" s="4">
        <v>0</v>
      </c>
      <c r="E795" s="4">
        <v>1</v>
      </c>
      <c r="F795" s="4">
        <v>0</v>
      </c>
      <c r="G795" s="4">
        <v>0</v>
      </c>
      <c r="H795" s="4">
        <v>0</v>
      </c>
      <c r="I795" s="4">
        <v>0</v>
      </c>
      <c r="J795" s="4">
        <v>0</v>
      </c>
      <c r="K795" s="4">
        <v>0</v>
      </c>
      <c r="L795" s="4">
        <v>0</v>
      </c>
      <c r="M795" s="4">
        <v>0</v>
      </c>
      <c r="N795" s="4">
        <v>1</v>
      </c>
      <c r="O795" s="4">
        <v>0</v>
      </c>
      <c r="P795" s="51">
        <f>IFERROR(_xlfn.XLOOKUP(_xlfn.TEXTJOIN(,,D794:O794),Aux!$B$3:$B$4098,'Truth Table'!$N$3:$N$4098),P794)</f>
        <v>-7</v>
      </c>
      <c r="Q795" s="4" t="b" cm="1">
        <f t="array" ref="Q795:U795">IFERROR(_xlfn.XLOOKUP(_xlfn.TEXTJOIN(,,D795:O795),Aux!$B$3:$B$4098,'Truth Table'!$O$3:$S$4098)=1,FALSE)</f>
        <v>1</v>
      </c>
      <c r="R795" s="4" t="b">
        <v>0</v>
      </c>
      <c r="S795" s="4" t="b">
        <v>0</v>
      </c>
      <c r="T795" s="4" t="b">
        <v>0</v>
      </c>
      <c r="U795" s="4" t="b">
        <v>1</v>
      </c>
      <c r="V795" s="4" t="b">
        <f>AND(_xlfn.XLOOKUP(_xlfn.TEXTJOIN(,,D795:O795),Aux!$B$3:$B$4098,'Truth Table'!$T$3:$T$4098)=1,P794&lt;='Line Follower'!$C$7)</f>
        <v>0</v>
      </c>
      <c r="W795" s="4" t="b">
        <f>AND(_xlfn.XLOOKUP(_xlfn.TEXTJOIN(,,D795:O795),Aux!$B$3:$B$4098,'Truth Table'!$U$3:$U$4098)=1,P794&gt;='Line Follower'!$C$6)</f>
        <v>0</v>
      </c>
      <c r="X795" s="4" t="b">
        <f>IFERROR(AND(_xlfn.XLOOKUP(_xlfn.TEXTJOIN(,,D795:O795),Aux!$B$3:$B$4098,'Truth Table'!$V$3:$V$4098)=1,ABS(P794)&lt;='Line Follower'!$C$6),FALSE)</f>
        <v>0</v>
      </c>
      <c r="Y795" s="4" t="b">
        <f t="shared" si="12"/>
        <v>1</v>
      </c>
    </row>
    <row r="796" spans="2:25" x14ac:dyDescent="0.25">
      <c r="B796" s="4">
        <v>793</v>
      </c>
      <c r="C796" s="4">
        <v>6909</v>
      </c>
      <c r="D796" s="4">
        <v>0</v>
      </c>
      <c r="E796" s="4">
        <v>1</v>
      </c>
      <c r="F796" s="4">
        <v>0</v>
      </c>
      <c r="G796" s="4">
        <v>0</v>
      </c>
      <c r="H796" s="4">
        <v>0</v>
      </c>
      <c r="I796" s="4">
        <v>0</v>
      </c>
      <c r="J796" s="4">
        <v>0</v>
      </c>
      <c r="K796" s="4">
        <v>0</v>
      </c>
      <c r="L796" s="4">
        <v>0</v>
      </c>
      <c r="M796" s="4">
        <v>0</v>
      </c>
      <c r="N796" s="4">
        <v>1</v>
      </c>
      <c r="O796" s="4">
        <v>0</v>
      </c>
      <c r="P796" s="51">
        <f>IFERROR(_xlfn.XLOOKUP(_xlfn.TEXTJOIN(,,D795:O795),Aux!$B$3:$B$4098,'Truth Table'!$N$3:$N$4098),P795)</f>
        <v>-7</v>
      </c>
      <c r="Q796" s="4" t="b" cm="1">
        <f t="array" ref="Q796:U796">IFERROR(_xlfn.XLOOKUP(_xlfn.TEXTJOIN(,,D796:O796),Aux!$B$3:$B$4098,'Truth Table'!$O$3:$S$4098)=1,FALSE)</f>
        <v>1</v>
      </c>
      <c r="R796" s="4" t="b">
        <v>0</v>
      </c>
      <c r="S796" s="4" t="b">
        <v>0</v>
      </c>
      <c r="T796" s="4" t="b">
        <v>0</v>
      </c>
      <c r="U796" s="4" t="b">
        <v>1</v>
      </c>
      <c r="V796" s="4" t="b">
        <f>AND(_xlfn.XLOOKUP(_xlfn.TEXTJOIN(,,D796:O796),Aux!$B$3:$B$4098,'Truth Table'!$T$3:$T$4098)=1,P795&lt;='Line Follower'!$C$7)</f>
        <v>0</v>
      </c>
      <c r="W796" s="4" t="b">
        <f>AND(_xlfn.XLOOKUP(_xlfn.TEXTJOIN(,,D796:O796),Aux!$B$3:$B$4098,'Truth Table'!$U$3:$U$4098)=1,P795&gt;='Line Follower'!$C$6)</f>
        <v>0</v>
      </c>
      <c r="X796" s="4" t="b">
        <f>IFERROR(AND(_xlfn.XLOOKUP(_xlfn.TEXTJOIN(,,D796:O796),Aux!$B$3:$B$4098,'Truth Table'!$V$3:$V$4098)=1,ABS(P795)&lt;='Line Follower'!$C$6),FALSE)</f>
        <v>0</v>
      </c>
      <c r="Y796" s="4" t="b">
        <f t="shared" si="12"/>
        <v>1</v>
      </c>
    </row>
    <row r="797" spans="2:25" x14ac:dyDescent="0.25">
      <c r="B797" s="4">
        <v>794</v>
      </c>
      <c r="C797" s="4">
        <v>6916</v>
      </c>
      <c r="D797" s="4">
        <v>0</v>
      </c>
      <c r="E797" s="4">
        <v>1</v>
      </c>
      <c r="F797" s="4">
        <v>0</v>
      </c>
      <c r="G797" s="4">
        <v>0</v>
      </c>
      <c r="H797" s="4">
        <v>0</v>
      </c>
      <c r="I797" s="4">
        <v>0</v>
      </c>
      <c r="J797" s="4">
        <v>0</v>
      </c>
      <c r="K797" s="4">
        <v>0</v>
      </c>
      <c r="L797" s="4">
        <v>0</v>
      </c>
      <c r="M797" s="4">
        <v>0</v>
      </c>
      <c r="N797" s="4">
        <v>1</v>
      </c>
      <c r="O797" s="4">
        <v>0</v>
      </c>
      <c r="P797" s="51">
        <f>IFERROR(_xlfn.XLOOKUP(_xlfn.TEXTJOIN(,,D796:O796),Aux!$B$3:$B$4098,'Truth Table'!$N$3:$N$4098),P796)</f>
        <v>-7</v>
      </c>
      <c r="Q797" s="4" t="b" cm="1">
        <f t="array" ref="Q797:U797">IFERROR(_xlfn.XLOOKUP(_xlfn.TEXTJOIN(,,D797:O797),Aux!$B$3:$B$4098,'Truth Table'!$O$3:$S$4098)=1,FALSE)</f>
        <v>1</v>
      </c>
      <c r="R797" s="4" t="b">
        <v>0</v>
      </c>
      <c r="S797" s="4" t="b">
        <v>0</v>
      </c>
      <c r="T797" s="4" t="b">
        <v>0</v>
      </c>
      <c r="U797" s="4" t="b">
        <v>1</v>
      </c>
      <c r="V797" s="4" t="b">
        <f>AND(_xlfn.XLOOKUP(_xlfn.TEXTJOIN(,,D797:O797),Aux!$B$3:$B$4098,'Truth Table'!$T$3:$T$4098)=1,P796&lt;='Line Follower'!$C$7)</f>
        <v>0</v>
      </c>
      <c r="W797" s="4" t="b">
        <f>AND(_xlfn.XLOOKUP(_xlfn.TEXTJOIN(,,D797:O797),Aux!$B$3:$B$4098,'Truth Table'!$U$3:$U$4098)=1,P796&gt;='Line Follower'!$C$6)</f>
        <v>0</v>
      </c>
      <c r="X797" s="4" t="b">
        <f>IFERROR(AND(_xlfn.XLOOKUP(_xlfn.TEXTJOIN(,,D797:O797),Aux!$B$3:$B$4098,'Truth Table'!$V$3:$V$4098)=1,ABS(P796)&lt;='Line Follower'!$C$6),FALSE)</f>
        <v>0</v>
      </c>
      <c r="Y797" s="4" t="b">
        <f t="shared" si="12"/>
        <v>1</v>
      </c>
    </row>
    <row r="798" spans="2:25" x14ac:dyDescent="0.25">
      <c r="B798" s="4">
        <v>795</v>
      </c>
      <c r="C798" s="4">
        <v>6928</v>
      </c>
      <c r="D798" s="4">
        <v>0</v>
      </c>
      <c r="E798" s="4">
        <v>1</v>
      </c>
      <c r="F798" s="4">
        <v>0</v>
      </c>
      <c r="G798" s="4">
        <v>0</v>
      </c>
      <c r="H798" s="4">
        <v>0</v>
      </c>
      <c r="I798" s="4">
        <v>0</v>
      </c>
      <c r="J798" s="4">
        <v>0</v>
      </c>
      <c r="K798" s="4">
        <v>0</v>
      </c>
      <c r="L798" s="4">
        <v>0</v>
      </c>
      <c r="M798" s="4">
        <v>0</v>
      </c>
      <c r="N798" s="4">
        <v>0</v>
      </c>
      <c r="O798" s="4">
        <v>0</v>
      </c>
      <c r="P798" s="51">
        <f>IFERROR(_xlfn.XLOOKUP(_xlfn.TEXTJOIN(,,D797:O797),Aux!$B$3:$B$4098,'Truth Table'!$N$3:$N$4098),P797)</f>
        <v>-7</v>
      </c>
      <c r="Q798" s="4" t="b" cm="1">
        <f t="array" ref="Q798:U798">IFERROR(_xlfn.XLOOKUP(_xlfn.TEXTJOIN(,,D798:O798),Aux!$B$3:$B$4098,'Truth Table'!$O$3:$S$4098)=1,FALSE)</f>
        <v>1</v>
      </c>
      <c r="R798" s="4" t="b">
        <v>0</v>
      </c>
      <c r="S798" s="4" t="b">
        <v>0</v>
      </c>
      <c r="T798" s="4" t="b">
        <v>0</v>
      </c>
      <c r="U798" s="4" t="b">
        <v>0</v>
      </c>
      <c r="V798" s="4" t="b">
        <f>AND(_xlfn.XLOOKUP(_xlfn.TEXTJOIN(,,D798:O798),Aux!$B$3:$B$4098,'Truth Table'!$T$3:$T$4098)=1,P797&lt;='Line Follower'!$C$7)</f>
        <v>0</v>
      </c>
      <c r="W798" s="4" t="b">
        <f>AND(_xlfn.XLOOKUP(_xlfn.TEXTJOIN(,,D798:O798),Aux!$B$3:$B$4098,'Truth Table'!$U$3:$U$4098)=1,P797&gt;='Line Follower'!$C$6)</f>
        <v>0</v>
      </c>
      <c r="X798" s="4" t="b">
        <f>IFERROR(AND(_xlfn.XLOOKUP(_xlfn.TEXTJOIN(,,D798:O798),Aux!$B$3:$B$4098,'Truth Table'!$V$3:$V$4098)=1,ABS(P797)&lt;='Line Follower'!$C$6),FALSE)</f>
        <v>0</v>
      </c>
      <c r="Y798" s="4" t="b">
        <f t="shared" si="12"/>
        <v>1</v>
      </c>
    </row>
    <row r="799" spans="2:25" x14ac:dyDescent="0.25">
      <c r="B799" s="4">
        <v>796</v>
      </c>
      <c r="C799" s="4">
        <v>6939</v>
      </c>
      <c r="D799" s="4">
        <v>0</v>
      </c>
      <c r="E799" s="4">
        <v>1</v>
      </c>
      <c r="F799" s="4">
        <v>0</v>
      </c>
      <c r="G799" s="4">
        <v>0</v>
      </c>
      <c r="H799" s="4">
        <v>0</v>
      </c>
      <c r="I799" s="4">
        <v>0</v>
      </c>
      <c r="J799" s="4">
        <v>0</v>
      </c>
      <c r="K799" s="4">
        <v>0</v>
      </c>
      <c r="L799" s="4">
        <v>0</v>
      </c>
      <c r="M799" s="4">
        <v>0</v>
      </c>
      <c r="N799" s="4">
        <v>0</v>
      </c>
      <c r="O799" s="4">
        <v>0</v>
      </c>
      <c r="P799" s="51">
        <f>IFERROR(_xlfn.XLOOKUP(_xlfn.TEXTJOIN(,,D798:O798),Aux!$B$3:$B$4098,'Truth Table'!$N$3:$N$4098),P798)</f>
        <v>-7</v>
      </c>
      <c r="Q799" s="4" t="b" cm="1">
        <f t="array" ref="Q799:U799">IFERROR(_xlfn.XLOOKUP(_xlfn.TEXTJOIN(,,D799:O799),Aux!$B$3:$B$4098,'Truth Table'!$O$3:$S$4098)=1,FALSE)</f>
        <v>1</v>
      </c>
      <c r="R799" s="4" t="b">
        <v>0</v>
      </c>
      <c r="S799" s="4" t="b">
        <v>0</v>
      </c>
      <c r="T799" s="4" t="b">
        <v>0</v>
      </c>
      <c r="U799" s="4" t="b">
        <v>0</v>
      </c>
      <c r="V799" s="4" t="b">
        <f>AND(_xlfn.XLOOKUP(_xlfn.TEXTJOIN(,,D799:O799),Aux!$B$3:$B$4098,'Truth Table'!$T$3:$T$4098)=1,P798&lt;='Line Follower'!$C$7)</f>
        <v>0</v>
      </c>
      <c r="W799" s="4" t="b">
        <f>AND(_xlfn.XLOOKUP(_xlfn.TEXTJOIN(,,D799:O799),Aux!$B$3:$B$4098,'Truth Table'!$U$3:$U$4098)=1,P798&gt;='Line Follower'!$C$6)</f>
        <v>0</v>
      </c>
      <c r="X799" s="4" t="b">
        <f>IFERROR(AND(_xlfn.XLOOKUP(_xlfn.TEXTJOIN(,,D799:O799),Aux!$B$3:$B$4098,'Truth Table'!$V$3:$V$4098)=1,ABS(P798)&lt;='Line Follower'!$C$6),FALSE)</f>
        <v>0</v>
      </c>
      <c r="Y799" s="4" t="b">
        <f t="shared" si="12"/>
        <v>1</v>
      </c>
    </row>
    <row r="800" spans="2:25" x14ac:dyDescent="0.25">
      <c r="B800" s="4">
        <v>797</v>
      </c>
      <c r="C800" s="4">
        <v>6948</v>
      </c>
      <c r="D800" s="4">
        <v>0</v>
      </c>
      <c r="E800" s="4">
        <v>1</v>
      </c>
      <c r="F800" s="4">
        <v>0</v>
      </c>
      <c r="G800" s="4">
        <v>0</v>
      </c>
      <c r="H800" s="4">
        <v>0</v>
      </c>
      <c r="I800" s="4">
        <v>0</v>
      </c>
      <c r="J800" s="4">
        <v>0</v>
      </c>
      <c r="K800" s="4">
        <v>0</v>
      </c>
      <c r="L800" s="4">
        <v>0</v>
      </c>
      <c r="M800" s="4">
        <v>0</v>
      </c>
      <c r="N800" s="4">
        <v>0</v>
      </c>
      <c r="O800" s="4">
        <v>0</v>
      </c>
      <c r="P800" s="51">
        <f>IFERROR(_xlfn.XLOOKUP(_xlfn.TEXTJOIN(,,D799:O799),Aux!$B$3:$B$4098,'Truth Table'!$N$3:$N$4098),P799)</f>
        <v>-7</v>
      </c>
      <c r="Q800" s="4" t="b" cm="1">
        <f t="array" ref="Q800:U800">IFERROR(_xlfn.XLOOKUP(_xlfn.TEXTJOIN(,,D800:O800),Aux!$B$3:$B$4098,'Truth Table'!$O$3:$S$4098)=1,FALSE)</f>
        <v>1</v>
      </c>
      <c r="R800" s="4" t="b">
        <v>0</v>
      </c>
      <c r="S800" s="4" t="b">
        <v>0</v>
      </c>
      <c r="T800" s="4" t="b">
        <v>0</v>
      </c>
      <c r="U800" s="4" t="b">
        <v>0</v>
      </c>
      <c r="V800" s="4" t="b">
        <f>AND(_xlfn.XLOOKUP(_xlfn.TEXTJOIN(,,D800:O800),Aux!$B$3:$B$4098,'Truth Table'!$T$3:$T$4098)=1,P799&lt;='Line Follower'!$C$7)</f>
        <v>0</v>
      </c>
      <c r="W800" s="4" t="b">
        <f>AND(_xlfn.XLOOKUP(_xlfn.TEXTJOIN(,,D800:O800),Aux!$B$3:$B$4098,'Truth Table'!$U$3:$U$4098)=1,P799&gt;='Line Follower'!$C$6)</f>
        <v>0</v>
      </c>
      <c r="X800" s="4" t="b">
        <f>IFERROR(AND(_xlfn.XLOOKUP(_xlfn.TEXTJOIN(,,D800:O800),Aux!$B$3:$B$4098,'Truth Table'!$V$3:$V$4098)=1,ABS(P799)&lt;='Line Follower'!$C$6),FALSE)</f>
        <v>0</v>
      </c>
      <c r="Y800" s="4" t="b">
        <f t="shared" si="12"/>
        <v>1</v>
      </c>
    </row>
    <row r="801" spans="2:25" x14ac:dyDescent="0.25">
      <c r="B801" s="4">
        <v>798</v>
      </c>
      <c r="C801" s="4">
        <v>6962</v>
      </c>
      <c r="D801" s="4">
        <v>0</v>
      </c>
      <c r="E801" s="4">
        <v>1</v>
      </c>
      <c r="F801" s="4">
        <v>0</v>
      </c>
      <c r="G801" s="4">
        <v>0</v>
      </c>
      <c r="H801" s="4">
        <v>0</v>
      </c>
      <c r="I801" s="4">
        <v>0</v>
      </c>
      <c r="J801" s="4">
        <v>0</v>
      </c>
      <c r="K801" s="4">
        <v>0</v>
      </c>
      <c r="L801" s="4">
        <v>0</v>
      </c>
      <c r="M801" s="4">
        <v>0</v>
      </c>
      <c r="N801" s="4">
        <v>0</v>
      </c>
      <c r="O801" s="4">
        <v>0</v>
      </c>
      <c r="P801" s="51">
        <f>IFERROR(_xlfn.XLOOKUP(_xlfn.TEXTJOIN(,,D800:O800),Aux!$B$3:$B$4098,'Truth Table'!$N$3:$N$4098),P800)</f>
        <v>-7</v>
      </c>
      <c r="Q801" s="4" t="b" cm="1">
        <f t="array" ref="Q801:U801">IFERROR(_xlfn.XLOOKUP(_xlfn.TEXTJOIN(,,D801:O801),Aux!$B$3:$B$4098,'Truth Table'!$O$3:$S$4098)=1,FALSE)</f>
        <v>1</v>
      </c>
      <c r="R801" s="4" t="b">
        <v>0</v>
      </c>
      <c r="S801" s="4" t="b">
        <v>0</v>
      </c>
      <c r="T801" s="4" t="b">
        <v>0</v>
      </c>
      <c r="U801" s="4" t="b">
        <v>0</v>
      </c>
      <c r="V801" s="4" t="b">
        <f>AND(_xlfn.XLOOKUP(_xlfn.TEXTJOIN(,,D801:O801),Aux!$B$3:$B$4098,'Truth Table'!$T$3:$T$4098)=1,P800&lt;='Line Follower'!$C$7)</f>
        <v>0</v>
      </c>
      <c r="W801" s="4" t="b">
        <f>AND(_xlfn.XLOOKUP(_xlfn.TEXTJOIN(,,D801:O801),Aux!$B$3:$B$4098,'Truth Table'!$U$3:$U$4098)=1,P800&gt;='Line Follower'!$C$6)</f>
        <v>0</v>
      </c>
      <c r="X801" s="4" t="b">
        <f>IFERROR(AND(_xlfn.XLOOKUP(_xlfn.TEXTJOIN(,,D801:O801),Aux!$B$3:$B$4098,'Truth Table'!$V$3:$V$4098)=1,ABS(P800)&lt;='Line Follower'!$C$6),FALSE)</f>
        <v>0</v>
      </c>
      <c r="Y801" s="4" t="b">
        <f t="shared" si="12"/>
        <v>1</v>
      </c>
    </row>
    <row r="802" spans="2:25" x14ac:dyDescent="0.25">
      <c r="B802" s="4">
        <v>799</v>
      </c>
      <c r="C802" s="4">
        <v>6987</v>
      </c>
      <c r="D802" s="4">
        <v>0</v>
      </c>
      <c r="E802" s="4">
        <v>0</v>
      </c>
      <c r="F802" s="4">
        <v>0</v>
      </c>
      <c r="G802" s="4">
        <v>0</v>
      </c>
      <c r="H802" s="4">
        <v>0</v>
      </c>
      <c r="I802" s="4">
        <v>0</v>
      </c>
      <c r="J802" s="4">
        <v>0</v>
      </c>
      <c r="K802" s="4">
        <v>0</v>
      </c>
      <c r="L802" s="4">
        <v>0</v>
      </c>
      <c r="M802" s="4">
        <v>0</v>
      </c>
      <c r="N802" s="4">
        <v>0</v>
      </c>
      <c r="O802" s="4">
        <v>0</v>
      </c>
      <c r="P802" s="51">
        <f>IFERROR(_xlfn.XLOOKUP(_xlfn.TEXTJOIN(,,D801:O801),Aux!$B$3:$B$4098,'Truth Table'!$N$3:$N$4098),P801)</f>
        <v>-7</v>
      </c>
      <c r="Q802" s="4" t="b" cm="1">
        <f t="array" ref="Q802:U802">IFERROR(_xlfn.XLOOKUP(_xlfn.TEXTJOIN(,,D802:O802),Aux!$B$3:$B$4098,'Truth Table'!$O$3:$S$4098)=1,FALSE)</f>
        <v>0</v>
      </c>
      <c r="R802" s="4" t="b">
        <v>0</v>
      </c>
      <c r="S802" s="4" t="b">
        <v>0</v>
      </c>
      <c r="T802" s="4" t="b">
        <v>0</v>
      </c>
      <c r="U802" s="4" t="b">
        <v>0</v>
      </c>
      <c r="V802" s="4" t="b">
        <f>AND(_xlfn.XLOOKUP(_xlfn.TEXTJOIN(,,D802:O802),Aux!$B$3:$B$4098,'Truth Table'!$T$3:$T$4098)=1,P801&lt;='Line Follower'!$C$7)</f>
        <v>1</v>
      </c>
      <c r="W802" s="4" t="b">
        <f>AND(_xlfn.XLOOKUP(_xlfn.TEXTJOIN(,,D802:O802),Aux!$B$3:$B$4098,'Truth Table'!$U$3:$U$4098)=1,P801&gt;='Line Follower'!$C$6)</f>
        <v>0</v>
      </c>
      <c r="X802" s="4" t="b">
        <f>IFERROR(AND(_xlfn.XLOOKUP(_xlfn.TEXTJOIN(,,D802:O802),Aux!$B$3:$B$4098,'Truth Table'!$V$3:$V$4098)=1,ABS(P801)&lt;='Line Follower'!$C$6),FALSE)</f>
        <v>1</v>
      </c>
      <c r="Y802" s="4" t="b">
        <f t="shared" si="12"/>
        <v>1</v>
      </c>
    </row>
    <row r="803" spans="2:25" x14ac:dyDescent="0.25">
      <c r="B803" s="4">
        <v>800</v>
      </c>
      <c r="C803" s="4">
        <v>6988</v>
      </c>
      <c r="D803" s="4">
        <v>0</v>
      </c>
      <c r="E803" s="4">
        <v>0</v>
      </c>
      <c r="F803" s="4">
        <v>0</v>
      </c>
      <c r="G803" s="4">
        <v>0</v>
      </c>
      <c r="H803" s="4">
        <v>0</v>
      </c>
      <c r="I803" s="4">
        <v>0</v>
      </c>
      <c r="J803" s="4">
        <v>0</v>
      </c>
      <c r="K803" s="4">
        <v>0</v>
      </c>
      <c r="L803" s="4">
        <v>0</v>
      </c>
      <c r="M803" s="4">
        <v>0</v>
      </c>
      <c r="N803" s="4">
        <v>0</v>
      </c>
      <c r="O803" s="4">
        <v>0</v>
      </c>
      <c r="P803" s="51">
        <f>IFERROR(_xlfn.XLOOKUP(_xlfn.TEXTJOIN(,,D802:O802),Aux!$B$3:$B$4098,'Truth Table'!$N$3:$N$4098),P802)</f>
        <v>-7</v>
      </c>
      <c r="Q803" s="4" t="b" cm="1">
        <f t="array" ref="Q803:U803">IFERROR(_xlfn.XLOOKUP(_xlfn.TEXTJOIN(,,D803:O803),Aux!$B$3:$B$4098,'Truth Table'!$O$3:$S$4098)=1,FALSE)</f>
        <v>0</v>
      </c>
      <c r="R803" s="4" t="b">
        <v>0</v>
      </c>
      <c r="S803" s="4" t="b">
        <v>0</v>
      </c>
      <c r="T803" s="4" t="b">
        <v>0</v>
      </c>
      <c r="U803" s="4" t="b">
        <v>0</v>
      </c>
      <c r="V803" s="4" t="b">
        <f>AND(_xlfn.XLOOKUP(_xlfn.TEXTJOIN(,,D803:O803),Aux!$B$3:$B$4098,'Truth Table'!$T$3:$T$4098)=1,P802&lt;='Line Follower'!$C$7)</f>
        <v>1</v>
      </c>
      <c r="W803" s="4" t="b">
        <f>AND(_xlfn.XLOOKUP(_xlfn.TEXTJOIN(,,D803:O803),Aux!$B$3:$B$4098,'Truth Table'!$U$3:$U$4098)=1,P802&gt;='Line Follower'!$C$6)</f>
        <v>0</v>
      </c>
      <c r="X803" s="4" t="b">
        <f>IFERROR(AND(_xlfn.XLOOKUP(_xlfn.TEXTJOIN(,,D803:O803),Aux!$B$3:$B$4098,'Truth Table'!$V$3:$V$4098)=1,ABS(P802)&lt;='Line Follower'!$C$6),FALSE)</f>
        <v>1</v>
      </c>
      <c r="Y803" s="4" t="b">
        <f t="shared" si="12"/>
        <v>1</v>
      </c>
    </row>
    <row r="804" spans="2:25" x14ac:dyDescent="0.25">
      <c r="B804" s="4">
        <v>801</v>
      </c>
      <c r="C804" s="4">
        <v>7007</v>
      </c>
      <c r="D804" s="4">
        <v>0</v>
      </c>
      <c r="E804" s="4">
        <v>0</v>
      </c>
      <c r="F804" s="4">
        <v>0</v>
      </c>
      <c r="G804" s="4">
        <v>0</v>
      </c>
      <c r="H804" s="4">
        <v>0</v>
      </c>
      <c r="I804" s="4">
        <v>0</v>
      </c>
      <c r="J804" s="4">
        <v>0</v>
      </c>
      <c r="K804" s="4">
        <v>0</v>
      </c>
      <c r="L804" s="4">
        <v>0</v>
      </c>
      <c r="M804" s="4">
        <v>0</v>
      </c>
      <c r="N804" s="4">
        <v>0</v>
      </c>
      <c r="O804" s="4">
        <v>0</v>
      </c>
      <c r="P804" s="51">
        <f>IFERROR(_xlfn.XLOOKUP(_xlfn.TEXTJOIN(,,D803:O803),Aux!$B$3:$B$4098,'Truth Table'!$N$3:$N$4098),P803)</f>
        <v>-7</v>
      </c>
      <c r="Q804" s="4" t="b" cm="1">
        <f t="array" ref="Q804:U804">IFERROR(_xlfn.XLOOKUP(_xlfn.TEXTJOIN(,,D804:O804),Aux!$B$3:$B$4098,'Truth Table'!$O$3:$S$4098)=1,FALSE)</f>
        <v>0</v>
      </c>
      <c r="R804" s="4" t="b">
        <v>0</v>
      </c>
      <c r="S804" s="4" t="b">
        <v>0</v>
      </c>
      <c r="T804" s="4" t="b">
        <v>0</v>
      </c>
      <c r="U804" s="4" t="b">
        <v>0</v>
      </c>
      <c r="V804" s="4" t="b">
        <f>AND(_xlfn.XLOOKUP(_xlfn.TEXTJOIN(,,D804:O804),Aux!$B$3:$B$4098,'Truth Table'!$T$3:$T$4098)=1,P803&lt;='Line Follower'!$C$7)</f>
        <v>1</v>
      </c>
      <c r="W804" s="4" t="b">
        <f>AND(_xlfn.XLOOKUP(_xlfn.TEXTJOIN(,,D804:O804),Aux!$B$3:$B$4098,'Truth Table'!$U$3:$U$4098)=1,P803&gt;='Line Follower'!$C$6)</f>
        <v>0</v>
      </c>
      <c r="X804" s="4" t="b">
        <f>IFERROR(AND(_xlfn.XLOOKUP(_xlfn.TEXTJOIN(,,D804:O804),Aux!$B$3:$B$4098,'Truth Table'!$V$3:$V$4098)=1,ABS(P803)&lt;='Line Follower'!$C$6),FALSE)</f>
        <v>1</v>
      </c>
      <c r="Y804" s="4" t="b">
        <f t="shared" si="12"/>
        <v>1</v>
      </c>
    </row>
    <row r="805" spans="2:25" x14ac:dyDescent="0.25">
      <c r="B805" s="4">
        <v>802</v>
      </c>
      <c r="C805" s="4">
        <v>7008</v>
      </c>
      <c r="D805" s="4">
        <v>0</v>
      </c>
      <c r="E805" s="4">
        <v>0</v>
      </c>
      <c r="F805" s="4">
        <v>0</v>
      </c>
      <c r="G805" s="4">
        <v>0</v>
      </c>
      <c r="H805" s="4">
        <v>0</v>
      </c>
      <c r="I805" s="4">
        <v>0</v>
      </c>
      <c r="J805" s="4">
        <v>0</v>
      </c>
      <c r="K805" s="4">
        <v>0</v>
      </c>
      <c r="L805" s="4">
        <v>0</v>
      </c>
      <c r="M805" s="4">
        <v>0</v>
      </c>
      <c r="N805" s="4">
        <v>0</v>
      </c>
      <c r="O805" s="4">
        <v>0</v>
      </c>
      <c r="P805" s="51">
        <f>IFERROR(_xlfn.XLOOKUP(_xlfn.TEXTJOIN(,,D804:O804),Aux!$B$3:$B$4098,'Truth Table'!$N$3:$N$4098),P804)</f>
        <v>-7</v>
      </c>
      <c r="Q805" s="4" t="b" cm="1">
        <f t="array" ref="Q805:U805">IFERROR(_xlfn.XLOOKUP(_xlfn.TEXTJOIN(,,D805:O805),Aux!$B$3:$B$4098,'Truth Table'!$O$3:$S$4098)=1,FALSE)</f>
        <v>0</v>
      </c>
      <c r="R805" s="4" t="b">
        <v>0</v>
      </c>
      <c r="S805" s="4" t="b">
        <v>0</v>
      </c>
      <c r="T805" s="4" t="b">
        <v>0</v>
      </c>
      <c r="U805" s="4" t="b">
        <v>0</v>
      </c>
      <c r="V805" s="4" t="b">
        <f>AND(_xlfn.XLOOKUP(_xlfn.TEXTJOIN(,,D805:O805),Aux!$B$3:$B$4098,'Truth Table'!$T$3:$T$4098)=1,P804&lt;='Line Follower'!$C$7)</f>
        <v>1</v>
      </c>
      <c r="W805" s="4" t="b">
        <f>AND(_xlfn.XLOOKUP(_xlfn.TEXTJOIN(,,D805:O805),Aux!$B$3:$B$4098,'Truth Table'!$U$3:$U$4098)=1,P804&gt;='Line Follower'!$C$6)</f>
        <v>0</v>
      </c>
      <c r="X805" s="4" t="b">
        <f>IFERROR(AND(_xlfn.XLOOKUP(_xlfn.TEXTJOIN(,,D805:O805),Aux!$B$3:$B$4098,'Truth Table'!$V$3:$V$4098)=1,ABS(P804)&lt;='Line Follower'!$C$6),FALSE)</f>
        <v>1</v>
      </c>
      <c r="Y805" s="4" t="b">
        <f t="shared" si="12"/>
        <v>1</v>
      </c>
    </row>
    <row r="806" spans="2:25" x14ac:dyDescent="0.25">
      <c r="B806" s="4">
        <v>803</v>
      </c>
      <c r="C806" s="4">
        <v>7009</v>
      </c>
      <c r="D806" s="4">
        <v>0</v>
      </c>
      <c r="E806" s="4">
        <v>0</v>
      </c>
      <c r="F806" s="4">
        <v>0</v>
      </c>
      <c r="G806" s="4">
        <v>0</v>
      </c>
      <c r="H806" s="4">
        <v>0</v>
      </c>
      <c r="I806" s="4">
        <v>0</v>
      </c>
      <c r="J806" s="4">
        <v>0</v>
      </c>
      <c r="K806" s="4">
        <v>0</v>
      </c>
      <c r="L806" s="4">
        <v>0</v>
      </c>
      <c r="M806" s="4">
        <v>0</v>
      </c>
      <c r="N806" s="4">
        <v>0</v>
      </c>
      <c r="O806" s="4">
        <v>0</v>
      </c>
      <c r="P806" s="51">
        <f>IFERROR(_xlfn.XLOOKUP(_xlfn.TEXTJOIN(,,D805:O805),Aux!$B$3:$B$4098,'Truth Table'!$N$3:$N$4098),P805)</f>
        <v>-7</v>
      </c>
      <c r="Q806" s="4" t="b" cm="1">
        <f t="array" ref="Q806:U806">IFERROR(_xlfn.XLOOKUP(_xlfn.TEXTJOIN(,,D806:O806),Aux!$B$3:$B$4098,'Truth Table'!$O$3:$S$4098)=1,FALSE)</f>
        <v>0</v>
      </c>
      <c r="R806" s="4" t="b">
        <v>0</v>
      </c>
      <c r="S806" s="4" t="b">
        <v>0</v>
      </c>
      <c r="T806" s="4" t="b">
        <v>0</v>
      </c>
      <c r="U806" s="4" t="b">
        <v>0</v>
      </c>
      <c r="V806" s="4" t="b">
        <f>AND(_xlfn.XLOOKUP(_xlfn.TEXTJOIN(,,D806:O806),Aux!$B$3:$B$4098,'Truth Table'!$T$3:$T$4098)=1,P805&lt;='Line Follower'!$C$7)</f>
        <v>1</v>
      </c>
      <c r="W806" s="4" t="b">
        <f>AND(_xlfn.XLOOKUP(_xlfn.TEXTJOIN(,,D806:O806),Aux!$B$3:$B$4098,'Truth Table'!$U$3:$U$4098)=1,P805&gt;='Line Follower'!$C$6)</f>
        <v>0</v>
      </c>
      <c r="X806" s="4" t="b">
        <f>IFERROR(AND(_xlfn.XLOOKUP(_xlfn.TEXTJOIN(,,D806:O806),Aux!$B$3:$B$4098,'Truth Table'!$V$3:$V$4098)=1,ABS(P805)&lt;='Line Follower'!$C$6),FALSE)</f>
        <v>1</v>
      </c>
      <c r="Y806" s="4" t="b">
        <f t="shared" si="12"/>
        <v>1</v>
      </c>
    </row>
    <row r="807" spans="2:25" x14ac:dyDescent="0.25">
      <c r="B807" s="4">
        <v>804</v>
      </c>
      <c r="C807" s="4">
        <v>7011</v>
      </c>
      <c r="D807" s="4">
        <v>0</v>
      </c>
      <c r="E807" s="4">
        <v>0</v>
      </c>
      <c r="F807" s="4">
        <v>0</v>
      </c>
      <c r="G807" s="4">
        <v>0</v>
      </c>
      <c r="H807" s="4">
        <v>0</v>
      </c>
      <c r="I807" s="4">
        <v>0</v>
      </c>
      <c r="J807" s="4">
        <v>0</v>
      </c>
      <c r="K807" s="4">
        <v>0</v>
      </c>
      <c r="L807" s="4">
        <v>0</v>
      </c>
      <c r="M807" s="4">
        <v>0</v>
      </c>
      <c r="N807" s="4">
        <v>0</v>
      </c>
      <c r="O807" s="4">
        <v>0</v>
      </c>
      <c r="P807" s="51">
        <f>IFERROR(_xlfn.XLOOKUP(_xlfn.TEXTJOIN(,,D806:O806),Aux!$B$3:$B$4098,'Truth Table'!$N$3:$N$4098),P806)</f>
        <v>-7</v>
      </c>
      <c r="Q807" s="4" t="b" cm="1">
        <f t="array" ref="Q807:U807">IFERROR(_xlfn.XLOOKUP(_xlfn.TEXTJOIN(,,D807:O807),Aux!$B$3:$B$4098,'Truth Table'!$O$3:$S$4098)=1,FALSE)</f>
        <v>0</v>
      </c>
      <c r="R807" s="4" t="b">
        <v>0</v>
      </c>
      <c r="S807" s="4" t="b">
        <v>0</v>
      </c>
      <c r="T807" s="4" t="b">
        <v>0</v>
      </c>
      <c r="U807" s="4" t="b">
        <v>0</v>
      </c>
      <c r="V807" s="4" t="b">
        <f>AND(_xlfn.XLOOKUP(_xlfn.TEXTJOIN(,,D807:O807),Aux!$B$3:$B$4098,'Truth Table'!$T$3:$T$4098)=1,P806&lt;='Line Follower'!$C$7)</f>
        <v>1</v>
      </c>
      <c r="W807" s="4" t="b">
        <f>AND(_xlfn.XLOOKUP(_xlfn.TEXTJOIN(,,D807:O807),Aux!$B$3:$B$4098,'Truth Table'!$U$3:$U$4098)=1,P806&gt;='Line Follower'!$C$6)</f>
        <v>0</v>
      </c>
      <c r="X807" s="4" t="b">
        <f>IFERROR(AND(_xlfn.XLOOKUP(_xlfn.TEXTJOIN(,,D807:O807),Aux!$B$3:$B$4098,'Truth Table'!$V$3:$V$4098)=1,ABS(P806)&lt;='Line Follower'!$C$6),FALSE)</f>
        <v>1</v>
      </c>
      <c r="Y807" s="4" t="b">
        <f t="shared" si="12"/>
        <v>1</v>
      </c>
    </row>
    <row r="808" spans="2:25" x14ac:dyDescent="0.25">
      <c r="B808" s="4">
        <v>805</v>
      </c>
      <c r="C808" s="4">
        <v>7022</v>
      </c>
      <c r="D808" s="4">
        <v>0</v>
      </c>
      <c r="E808" s="4">
        <v>0</v>
      </c>
      <c r="F808" s="4">
        <v>0</v>
      </c>
      <c r="G808" s="4">
        <v>0</v>
      </c>
      <c r="H808" s="4">
        <v>0</v>
      </c>
      <c r="I808" s="4">
        <v>0</v>
      </c>
      <c r="J808" s="4">
        <v>0</v>
      </c>
      <c r="K808" s="4">
        <v>0</v>
      </c>
      <c r="L808" s="4">
        <v>0</v>
      </c>
      <c r="M808" s="4">
        <v>0</v>
      </c>
      <c r="N808" s="4">
        <v>0</v>
      </c>
      <c r="O808" s="4">
        <v>0</v>
      </c>
      <c r="P808" s="51">
        <f>IFERROR(_xlfn.XLOOKUP(_xlfn.TEXTJOIN(,,D807:O807),Aux!$B$3:$B$4098,'Truth Table'!$N$3:$N$4098),P807)</f>
        <v>-7</v>
      </c>
      <c r="Q808" s="4" t="b" cm="1">
        <f t="array" ref="Q808:U808">IFERROR(_xlfn.XLOOKUP(_xlfn.TEXTJOIN(,,D808:O808),Aux!$B$3:$B$4098,'Truth Table'!$O$3:$S$4098)=1,FALSE)</f>
        <v>0</v>
      </c>
      <c r="R808" s="4" t="b">
        <v>0</v>
      </c>
      <c r="S808" s="4" t="b">
        <v>0</v>
      </c>
      <c r="T808" s="4" t="b">
        <v>0</v>
      </c>
      <c r="U808" s="4" t="b">
        <v>0</v>
      </c>
      <c r="V808" s="4" t="b">
        <f>AND(_xlfn.XLOOKUP(_xlfn.TEXTJOIN(,,D808:O808),Aux!$B$3:$B$4098,'Truth Table'!$T$3:$T$4098)=1,P807&lt;='Line Follower'!$C$7)</f>
        <v>1</v>
      </c>
      <c r="W808" s="4" t="b">
        <f>AND(_xlfn.XLOOKUP(_xlfn.TEXTJOIN(,,D808:O808),Aux!$B$3:$B$4098,'Truth Table'!$U$3:$U$4098)=1,P807&gt;='Line Follower'!$C$6)</f>
        <v>0</v>
      </c>
      <c r="X808" s="4" t="b">
        <f>IFERROR(AND(_xlfn.XLOOKUP(_xlfn.TEXTJOIN(,,D808:O808),Aux!$B$3:$B$4098,'Truth Table'!$V$3:$V$4098)=1,ABS(P807)&lt;='Line Follower'!$C$6),FALSE)</f>
        <v>1</v>
      </c>
      <c r="Y808" s="4" t="b">
        <f t="shared" si="12"/>
        <v>1</v>
      </c>
    </row>
    <row r="809" spans="2:25" x14ac:dyDescent="0.25">
      <c r="B809" s="4">
        <v>806</v>
      </c>
      <c r="C809" s="4">
        <v>7033</v>
      </c>
      <c r="D809" s="4">
        <v>0</v>
      </c>
      <c r="E809" s="4">
        <v>0</v>
      </c>
      <c r="F809" s="4">
        <v>0</v>
      </c>
      <c r="G809" s="4">
        <v>0</v>
      </c>
      <c r="H809" s="4">
        <v>0</v>
      </c>
      <c r="I809" s="4">
        <v>0</v>
      </c>
      <c r="J809" s="4">
        <v>0</v>
      </c>
      <c r="K809" s="4">
        <v>0</v>
      </c>
      <c r="L809" s="4">
        <v>0</v>
      </c>
      <c r="M809" s="4">
        <v>0</v>
      </c>
      <c r="N809" s="4">
        <v>0</v>
      </c>
      <c r="O809" s="4">
        <v>0</v>
      </c>
      <c r="P809" s="51">
        <f>IFERROR(_xlfn.XLOOKUP(_xlfn.TEXTJOIN(,,D808:O808),Aux!$B$3:$B$4098,'Truth Table'!$N$3:$N$4098),P808)</f>
        <v>-7</v>
      </c>
      <c r="Q809" s="4" t="b" cm="1">
        <f t="array" ref="Q809:U809">IFERROR(_xlfn.XLOOKUP(_xlfn.TEXTJOIN(,,D809:O809),Aux!$B$3:$B$4098,'Truth Table'!$O$3:$S$4098)=1,FALSE)</f>
        <v>0</v>
      </c>
      <c r="R809" s="4" t="b">
        <v>0</v>
      </c>
      <c r="S809" s="4" t="b">
        <v>0</v>
      </c>
      <c r="T809" s="4" t="b">
        <v>0</v>
      </c>
      <c r="U809" s="4" t="b">
        <v>0</v>
      </c>
      <c r="V809" s="4" t="b">
        <f>AND(_xlfn.XLOOKUP(_xlfn.TEXTJOIN(,,D809:O809),Aux!$B$3:$B$4098,'Truth Table'!$T$3:$T$4098)=1,P808&lt;='Line Follower'!$C$7)</f>
        <v>1</v>
      </c>
      <c r="W809" s="4" t="b">
        <f>AND(_xlfn.XLOOKUP(_xlfn.TEXTJOIN(,,D809:O809),Aux!$B$3:$B$4098,'Truth Table'!$U$3:$U$4098)=1,P808&gt;='Line Follower'!$C$6)</f>
        <v>0</v>
      </c>
      <c r="X809" s="4" t="b">
        <f>IFERROR(AND(_xlfn.XLOOKUP(_xlfn.TEXTJOIN(,,D809:O809),Aux!$B$3:$B$4098,'Truth Table'!$V$3:$V$4098)=1,ABS(P808)&lt;='Line Follower'!$C$6),FALSE)</f>
        <v>1</v>
      </c>
      <c r="Y809" s="4" t="b">
        <f t="shared" si="12"/>
        <v>1</v>
      </c>
    </row>
    <row r="810" spans="2:25" x14ac:dyDescent="0.25">
      <c r="B810" s="4">
        <v>807</v>
      </c>
      <c r="C810" s="4">
        <v>7047</v>
      </c>
      <c r="D810" s="4">
        <v>0</v>
      </c>
      <c r="E810" s="4">
        <v>0</v>
      </c>
      <c r="F810" s="4">
        <v>0</v>
      </c>
      <c r="G810" s="4">
        <v>0</v>
      </c>
      <c r="H810" s="4">
        <v>0</v>
      </c>
      <c r="I810" s="4">
        <v>0</v>
      </c>
      <c r="J810" s="4">
        <v>0</v>
      </c>
      <c r="K810" s="4">
        <v>0</v>
      </c>
      <c r="L810" s="4">
        <v>0</v>
      </c>
      <c r="M810" s="4">
        <v>0</v>
      </c>
      <c r="N810" s="4">
        <v>0</v>
      </c>
      <c r="O810" s="4">
        <v>0</v>
      </c>
      <c r="P810" s="51">
        <f>IFERROR(_xlfn.XLOOKUP(_xlfn.TEXTJOIN(,,D809:O809),Aux!$B$3:$B$4098,'Truth Table'!$N$3:$N$4098),P809)</f>
        <v>-7</v>
      </c>
      <c r="Q810" s="4" t="b" cm="1">
        <f t="array" ref="Q810:U810">IFERROR(_xlfn.XLOOKUP(_xlfn.TEXTJOIN(,,D810:O810),Aux!$B$3:$B$4098,'Truth Table'!$O$3:$S$4098)=1,FALSE)</f>
        <v>0</v>
      </c>
      <c r="R810" s="4" t="b">
        <v>0</v>
      </c>
      <c r="S810" s="4" t="b">
        <v>0</v>
      </c>
      <c r="T810" s="4" t="b">
        <v>0</v>
      </c>
      <c r="U810" s="4" t="b">
        <v>0</v>
      </c>
      <c r="V810" s="4" t="b">
        <f>AND(_xlfn.XLOOKUP(_xlfn.TEXTJOIN(,,D810:O810),Aux!$B$3:$B$4098,'Truth Table'!$T$3:$T$4098)=1,P809&lt;='Line Follower'!$C$7)</f>
        <v>1</v>
      </c>
      <c r="W810" s="4" t="b">
        <f>AND(_xlfn.XLOOKUP(_xlfn.TEXTJOIN(,,D810:O810),Aux!$B$3:$B$4098,'Truth Table'!$U$3:$U$4098)=1,P809&gt;='Line Follower'!$C$6)</f>
        <v>0</v>
      </c>
      <c r="X810" s="4" t="b">
        <f>IFERROR(AND(_xlfn.XLOOKUP(_xlfn.TEXTJOIN(,,D810:O810),Aux!$B$3:$B$4098,'Truth Table'!$V$3:$V$4098)=1,ABS(P809)&lt;='Line Follower'!$C$6),FALSE)</f>
        <v>1</v>
      </c>
      <c r="Y810" s="4" t="b">
        <f t="shared" si="12"/>
        <v>1</v>
      </c>
    </row>
    <row r="811" spans="2:25" x14ac:dyDescent="0.25">
      <c r="B811" s="4">
        <v>808</v>
      </c>
      <c r="C811" s="4">
        <v>7053</v>
      </c>
      <c r="D811" s="4">
        <v>0</v>
      </c>
      <c r="E811" s="4">
        <v>0</v>
      </c>
      <c r="F811" s="4">
        <v>0</v>
      </c>
      <c r="G811" s="4">
        <v>0</v>
      </c>
      <c r="H811" s="4">
        <v>0</v>
      </c>
      <c r="I811" s="4">
        <v>0</v>
      </c>
      <c r="J811" s="4">
        <v>0</v>
      </c>
      <c r="K811" s="4">
        <v>0</v>
      </c>
      <c r="L811" s="4">
        <v>0</v>
      </c>
      <c r="M811" s="4">
        <v>0</v>
      </c>
      <c r="N811" s="4">
        <v>0</v>
      </c>
      <c r="O811" s="4">
        <v>0</v>
      </c>
      <c r="P811" s="51">
        <f>IFERROR(_xlfn.XLOOKUP(_xlfn.TEXTJOIN(,,D810:O810),Aux!$B$3:$B$4098,'Truth Table'!$N$3:$N$4098),P810)</f>
        <v>-7</v>
      </c>
      <c r="Q811" s="4" t="b" cm="1">
        <f t="array" ref="Q811:U811">IFERROR(_xlfn.XLOOKUP(_xlfn.TEXTJOIN(,,D811:O811),Aux!$B$3:$B$4098,'Truth Table'!$O$3:$S$4098)=1,FALSE)</f>
        <v>0</v>
      </c>
      <c r="R811" s="4" t="b">
        <v>0</v>
      </c>
      <c r="S811" s="4" t="b">
        <v>0</v>
      </c>
      <c r="T811" s="4" t="b">
        <v>0</v>
      </c>
      <c r="U811" s="4" t="b">
        <v>0</v>
      </c>
      <c r="V811" s="4" t="b">
        <f>AND(_xlfn.XLOOKUP(_xlfn.TEXTJOIN(,,D811:O811),Aux!$B$3:$B$4098,'Truth Table'!$T$3:$T$4098)=1,P810&lt;='Line Follower'!$C$7)</f>
        <v>1</v>
      </c>
      <c r="W811" s="4" t="b">
        <f>AND(_xlfn.XLOOKUP(_xlfn.TEXTJOIN(,,D811:O811),Aux!$B$3:$B$4098,'Truth Table'!$U$3:$U$4098)=1,P810&gt;='Line Follower'!$C$6)</f>
        <v>0</v>
      </c>
      <c r="X811" s="4" t="b">
        <f>IFERROR(AND(_xlfn.XLOOKUP(_xlfn.TEXTJOIN(,,D811:O811),Aux!$B$3:$B$4098,'Truth Table'!$V$3:$V$4098)=1,ABS(P810)&lt;='Line Follower'!$C$6),FALSE)</f>
        <v>1</v>
      </c>
      <c r="Y811" s="4" t="b">
        <f t="shared" si="12"/>
        <v>1</v>
      </c>
    </row>
    <row r="812" spans="2:25" x14ac:dyDescent="0.25">
      <c r="B812" s="4">
        <v>809</v>
      </c>
      <c r="C812" s="4">
        <v>7065</v>
      </c>
      <c r="D812" s="4">
        <v>1</v>
      </c>
      <c r="E812" s="4">
        <v>0</v>
      </c>
      <c r="F812" s="4">
        <v>0</v>
      </c>
      <c r="G812" s="4">
        <v>0</v>
      </c>
      <c r="H812" s="4">
        <v>0</v>
      </c>
      <c r="I812" s="4">
        <v>0</v>
      </c>
      <c r="J812" s="4">
        <v>0</v>
      </c>
      <c r="K812" s="4">
        <v>0</v>
      </c>
      <c r="L812" s="4">
        <v>0</v>
      </c>
      <c r="M812" s="4">
        <v>0</v>
      </c>
      <c r="N812" s="4">
        <v>0</v>
      </c>
      <c r="O812" s="4">
        <v>0</v>
      </c>
      <c r="P812" s="51">
        <f>IFERROR(_xlfn.XLOOKUP(_xlfn.TEXTJOIN(,,D811:O811),Aux!$B$3:$B$4098,'Truth Table'!$N$3:$N$4098),P811)</f>
        <v>-7</v>
      </c>
      <c r="Q812" s="4" t="b" cm="1">
        <f t="array" ref="Q812:U812">IFERROR(_xlfn.XLOOKUP(_xlfn.TEXTJOIN(,,D812:O812),Aux!$B$3:$B$4098,'Truth Table'!$O$3:$S$4098)=1,FALSE)</f>
        <v>0</v>
      </c>
      <c r="R812" s="4" t="b">
        <v>0</v>
      </c>
      <c r="S812" s="4" t="b">
        <v>0</v>
      </c>
      <c r="T812" s="4" t="b">
        <v>0</v>
      </c>
      <c r="U812" s="4" t="b">
        <v>0</v>
      </c>
      <c r="V812" s="4" t="b">
        <f>AND(_xlfn.XLOOKUP(_xlfn.TEXTJOIN(,,D812:O812),Aux!$B$3:$B$4098,'Truth Table'!$T$3:$T$4098)=1,P811&lt;='Line Follower'!$C$7)</f>
        <v>1</v>
      </c>
      <c r="W812" s="4" t="b">
        <f>AND(_xlfn.XLOOKUP(_xlfn.TEXTJOIN(,,D812:O812),Aux!$B$3:$B$4098,'Truth Table'!$U$3:$U$4098)=1,P811&gt;='Line Follower'!$C$6)</f>
        <v>0</v>
      </c>
      <c r="X812" s="4" t="b">
        <f>IFERROR(AND(_xlfn.XLOOKUP(_xlfn.TEXTJOIN(,,D812:O812),Aux!$B$3:$B$4098,'Truth Table'!$V$3:$V$4098)=1,ABS(P811)&lt;='Line Follower'!$C$6),FALSE)</f>
        <v>0</v>
      </c>
      <c r="Y812" s="4" t="b">
        <f t="shared" si="12"/>
        <v>1</v>
      </c>
    </row>
    <row r="813" spans="2:25" x14ac:dyDescent="0.25">
      <c r="B813" s="4">
        <v>810</v>
      </c>
      <c r="C813" s="4">
        <v>7073</v>
      </c>
      <c r="D813" s="4">
        <v>1</v>
      </c>
      <c r="E813" s="4">
        <v>0</v>
      </c>
      <c r="F813" s="4">
        <v>0</v>
      </c>
      <c r="G813" s="4">
        <v>0</v>
      </c>
      <c r="H813" s="4">
        <v>0</v>
      </c>
      <c r="I813" s="4">
        <v>0</v>
      </c>
      <c r="J813" s="4">
        <v>0</v>
      </c>
      <c r="K813" s="4">
        <v>0</v>
      </c>
      <c r="L813" s="4">
        <v>0</v>
      </c>
      <c r="M813" s="4">
        <v>0</v>
      </c>
      <c r="N813" s="4">
        <v>0</v>
      </c>
      <c r="O813" s="4">
        <v>0</v>
      </c>
      <c r="P813" s="51">
        <f>IFERROR(_xlfn.XLOOKUP(_xlfn.TEXTJOIN(,,D812:O812),Aux!$B$3:$B$4098,'Truth Table'!$N$3:$N$4098),P812)</f>
        <v>-7</v>
      </c>
      <c r="Q813" s="4" t="b" cm="1">
        <f t="array" ref="Q813:U813">IFERROR(_xlfn.XLOOKUP(_xlfn.TEXTJOIN(,,D813:O813),Aux!$B$3:$B$4098,'Truth Table'!$O$3:$S$4098)=1,FALSE)</f>
        <v>0</v>
      </c>
      <c r="R813" s="4" t="b">
        <v>0</v>
      </c>
      <c r="S813" s="4" t="b">
        <v>0</v>
      </c>
      <c r="T813" s="4" t="b">
        <v>0</v>
      </c>
      <c r="U813" s="4" t="b">
        <v>0</v>
      </c>
      <c r="V813" s="4" t="b">
        <f>AND(_xlfn.XLOOKUP(_xlfn.TEXTJOIN(,,D813:O813),Aux!$B$3:$B$4098,'Truth Table'!$T$3:$T$4098)=1,P812&lt;='Line Follower'!$C$7)</f>
        <v>1</v>
      </c>
      <c r="W813" s="4" t="b">
        <f>AND(_xlfn.XLOOKUP(_xlfn.TEXTJOIN(,,D813:O813),Aux!$B$3:$B$4098,'Truth Table'!$U$3:$U$4098)=1,P812&gt;='Line Follower'!$C$6)</f>
        <v>0</v>
      </c>
      <c r="X813" s="4" t="b">
        <f>IFERROR(AND(_xlfn.XLOOKUP(_xlfn.TEXTJOIN(,,D813:O813),Aux!$B$3:$B$4098,'Truth Table'!$V$3:$V$4098)=1,ABS(P812)&lt;='Line Follower'!$C$6),FALSE)</f>
        <v>0</v>
      </c>
      <c r="Y813" s="4" t="b">
        <f t="shared" si="12"/>
        <v>1</v>
      </c>
    </row>
    <row r="814" spans="2:25" x14ac:dyDescent="0.25">
      <c r="B814" s="4">
        <v>811</v>
      </c>
      <c r="C814" s="4">
        <v>7087</v>
      </c>
      <c r="D814" s="4">
        <v>1</v>
      </c>
      <c r="E814" s="4">
        <v>0</v>
      </c>
      <c r="F814" s="4">
        <v>0</v>
      </c>
      <c r="G814" s="4">
        <v>0</v>
      </c>
      <c r="H814" s="4">
        <v>0</v>
      </c>
      <c r="I814" s="4">
        <v>0</v>
      </c>
      <c r="J814" s="4">
        <v>0</v>
      </c>
      <c r="K814" s="4">
        <v>0</v>
      </c>
      <c r="L814" s="4">
        <v>0</v>
      </c>
      <c r="M814" s="4">
        <v>0</v>
      </c>
      <c r="N814" s="4">
        <v>0</v>
      </c>
      <c r="O814" s="4">
        <v>0</v>
      </c>
      <c r="P814" s="51">
        <f>IFERROR(_xlfn.XLOOKUP(_xlfn.TEXTJOIN(,,D813:O813),Aux!$B$3:$B$4098,'Truth Table'!$N$3:$N$4098),P813)</f>
        <v>-7</v>
      </c>
      <c r="Q814" s="4" t="b" cm="1">
        <f t="array" ref="Q814:U814">IFERROR(_xlfn.XLOOKUP(_xlfn.TEXTJOIN(,,D814:O814),Aux!$B$3:$B$4098,'Truth Table'!$O$3:$S$4098)=1,FALSE)</f>
        <v>0</v>
      </c>
      <c r="R814" s="4" t="b">
        <v>0</v>
      </c>
      <c r="S814" s="4" t="b">
        <v>0</v>
      </c>
      <c r="T814" s="4" t="b">
        <v>0</v>
      </c>
      <c r="U814" s="4" t="b">
        <v>0</v>
      </c>
      <c r="V814" s="4" t="b">
        <f>AND(_xlfn.XLOOKUP(_xlfn.TEXTJOIN(,,D814:O814),Aux!$B$3:$B$4098,'Truth Table'!$T$3:$T$4098)=1,P813&lt;='Line Follower'!$C$7)</f>
        <v>1</v>
      </c>
      <c r="W814" s="4" t="b">
        <f>AND(_xlfn.XLOOKUP(_xlfn.TEXTJOIN(,,D814:O814),Aux!$B$3:$B$4098,'Truth Table'!$U$3:$U$4098)=1,P813&gt;='Line Follower'!$C$6)</f>
        <v>0</v>
      </c>
      <c r="X814" s="4" t="b">
        <f>IFERROR(AND(_xlfn.XLOOKUP(_xlfn.TEXTJOIN(,,D814:O814),Aux!$B$3:$B$4098,'Truth Table'!$V$3:$V$4098)=1,ABS(P813)&lt;='Line Follower'!$C$6),FALSE)</f>
        <v>0</v>
      </c>
      <c r="Y814" s="4" t="b">
        <f t="shared" si="12"/>
        <v>1</v>
      </c>
    </row>
    <row r="815" spans="2:25" x14ac:dyDescent="0.25">
      <c r="B815" s="4">
        <v>812</v>
      </c>
      <c r="C815" s="4">
        <v>7096</v>
      </c>
      <c r="D815" s="4">
        <v>1</v>
      </c>
      <c r="E815" s="4">
        <v>0</v>
      </c>
      <c r="F815" s="4">
        <v>0</v>
      </c>
      <c r="G815" s="4">
        <v>0</v>
      </c>
      <c r="H815" s="4">
        <v>0</v>
      </c>
      <c r="I815" s="4">
        <v>0</v>
      </c>
      <c r="J815" s="4">
        <v>0</v>
      </c>
      <c r="K815" s="4">
        <v>0</v>
      </c>
      <c r="L815" s="4">
        <v>0</v>
      </c>
      <c r="M815" s="4">
        <v>0</v>
      </c>
      <c r="N815" s="4">
        <v>0</v>
      </c>
      <c r="O815" s="4">
        <v>0</v>
      </c>
      <c r="P815" s="51">
        <f>IFERROR(_xlfn.XLOOKUP(_xlfn.TEXTJOIN(,,D814:O814),Aux!$B$3:$B$4098,'Truth Table'!$N$3:$N$4098),P814)</f>
        <v>-7</v>
      </c>
      <c r="Q815" s="4" t="b" cm="1">
        <f t="array" ref="Q815:U815">IFERROR(_xlfn.XLOOKUP(_xlfn.TEXTJOIN(,,D815:O815),Aux!$B$3:$B$4098,'Truth Table'!$O$3:$S$4098)=1,FALSE)</f>
        <v>0</v>
      </c>
      <c r="R815" s="4" t="b">
        <v>0</v>
      </c>
      <c r="S815" s="4" t="b">
        <v>0</v>
      </c>
      <c r="T815" s="4" t="b">
        <v>0</v>
      </c>
      <c r="U815" s="4" t="b">
        <v>0</v>
      </c>
      <c r="V815" s="4" t="b">
        <f>AND(_xlfn.XLOOKUP(_xlfn.TEXTJOIN(,,D815:O815),Aux!$B$3:$B$4098,'Truth Table'!$T$3:$T$4098)=1,P814&lt;='Line Follower'!$C$7)</f>
        <v>1</v>
      </c>
      <c r="W815" s="4" t="b">
        <f>AND(_xlfn.XLOOKUP(_xlfn.TEXTJOIN(,,D815:O815),Aux!$B$3:$B$4098,'Truth Table'!$U$3:$U$4098)=1,P814&gt;='Line Follower'!$C$6)</f>
        <v>0</v>
      </c>
      <c r="X815" s="4" t="b">
        <f>IFERROR(AND(_xlfn.XLOOKUP(_xlfn.TEXTJOIN(,,D815:O815),Aux!$B$3:$B$4098,'Truth Table'!$V$3:$V$4098)=1,ABS(P814)&lt;='Line Follower'!$C$6),FALSE)</f>
        <v>0</v>
      </c>
      <c r="Y815" s="4" t="b">
        <f t="shared" si="12"/>
        <v>1</v>
      </c>
    </row>
    <row r="816" spans="2:25" x14ac:dyDescent="0.25">
      <c r="B816" s="4">
        <v>813</v>
      </c>
      <c r="C816" s="4">
        <v>7107</v>
      </c>
      <c r="D816" s="4">
        <v>1</v>
      </c>
      <c r="E816" s="4">
        <v>0</v>
      </c>
      <c r="F816" s="4">
        <v>0</v>
      </c>
      <c r="G816" s="4">
        <v>0</v>
      </c>
      <c r="H816" s="4">
        <v>0</v>
      </c>
      <c r="I816" s="4">
        <v>0</v>
      </c>
      <c r="J816" s="4">
        <v>0</v>
      </c>
      <c r="K816" s="4">
        <v>0</v>
      </c>
      <c r="L816" s="4">
        <v>0</v>
      </c>
      <c r="M816" s="4">
        <v>0</v>
      </c>
      <c r="N816" s="4">
        <v>0</v>
      </c>
      <c r="O816" s="4">
        <v>0</v>
      </c>
      <c r="P816" s="51">
        <f>IFERROR(_xlfn.XLOOKUP(_xlfn.TEXTJOIN(,,D815:O815),Aux!$B$3:$B$4098,'Truth Table'!$N$3:$N$4098),P815)</f>
        <v>-7</v>
      </c>
      <c r="Q816" s="4" t="b" cm="1">
        <f t="array" ref="Q816:U816">IFERROR(_xlfn.XLOOKUP(_xlfn.TEXTJOIN(,,D816:O816),Aux!$B$3:$B$4098,'Truth Table'!$O$3:$S$4098)=1,FALSE)</f>
        <v>0</v>
      </c>
      <c r="R816" s="4" t="b">
        <v>0</v>
      </c>
      <c r="S816" s="4" t="b">
        <v>0</v>
      </c>
      <c r="T816" s="4" t="b">
        <v>0</v>
      </c>
      <c r="U816" s="4" t="b">
        <v>0</v>
      </c>
      <c r="V816" s="4" t="b">
        <f>AND(_xlfn.XLOOKUP(_xlfn.TEXTJOIN(,,D816:O816),Aux!$B$3:$B$4098,'Truth Table'!$T$3:$T$4098)=1,P815&lt;='Line Follower'!$C$7)</f>
        <v>1</v>
      </c>
      <c r="W816" s="4" t="b">
        <f>AND(_xlfn.XLOOKUP(_xlfn.TEXTJOIN(,,D816:O816),Aux!$B$3:$B$4098,'Truth Table'!$U$3:$U$4098)=1,P815&gt;='Line Follower'!$C$6)</f>
        <v>0</v>
      </c>
      <c r="X816" s="4" t="b">
        <f>IFERROR(AND(_xlfn.XLOOKUP(_xlfn.TEXTJOIN(,,D816:O816),Aux!$B$3:$B$4098,'Truth Table'!$V$3:$V$4098)=1,ABS(P815)&lt;='Line Follower'!$C$6),FALSE)</f>
        <v>0</v>
      </c>
      <c r="Y816" s="4" t="b">
        <f t="shared" si="12"/>
        <v>1</v>
      </c>
    </row>
    <row r="817" spans="2:25" x14ac:dyDescent="0.25">
      <c r="B817" s="4">
        <v>814</v>
      </c>
      <c r="C817" s="4">
        <v>7116</v>
      </c>
      <c r="D817" s="4">
        <v>1</v>
      </c>
      <c r="E817" s="4">
        <v>0</v>
      </c>
      <c r="F817" s="4">
        <v>0</v>
      </c>
      <c r="G817" s="4">
        <v>0</v>
      </c>
      <c r="H817" s="4">
        <v>0</v>
      </c>
      <c r="I817" s="4">
        <v>0</v>
      </c>
      <c r="J817" s="4">
        <v>0</v>
      </c>
      <c r="K817" s="4">
        <v>0</v>
      </c>
      <c r="L817" s="4">
        <v>0</v>
      </c>
      <c r="M817" s="4">
        <v>0</v>
      </c>
      <c r="N817" s="4">
        <v>0</v>
      </c>
      <c r="O817" s="4">
        <v>0</v>
      </c>
      <c r="P817" s="51">
        <f>IFERROR(_xlfn.XLOOKUP(_xlfn.TEXTJOIN(,,D816:O816),Aux!$B$3:$B$4098,'Truth Table'!$N$3:$N$4098),P816)</f>
        <v>-7</v>
      </c>
      <c r="Q817" s="4" t="b" cm="1">
        <f t="array" ref="Q817:U817">IFERROR(_xlfn.XLOOKUP(_xlfn.TEXTJOIN(,,D817:O817),Aux!$B$3:$B$4098,'Truth Table'!$O$3:$S$4098)=1,FALSE)</f>
        <v>0</v>
      </c>
      <c r="R817" s="4" t="b">
        <v>0</v>
      </c>
      <c r="S817" s="4" t="b">
        <v>0</v>
      </c>
      <c r="T817" s="4" t="b">
        <v>0</v>
      </c>
      <c r="U817" s="4" t="b">
        <v>0</v>
      </c>
      <c r="V817" s="4" t="b">
        <f>AND(_xlfn.XLOOKUP(_xlfn.TEXTJOIN(,,D817:O817),Aux!$B$3:$B$4098,'Truth Table'!$T$3:$T$4098)=1,P816&lt;='Line Follower'!$C$7)</f>
        <v>1</v>
      </c>
      <c r="W817" s="4" t="b">
        <f>AND(_xlfn.XLOOKUP(_xlfn.TEXTJOIN(,,D817:O817),Aux!$B$3:$B$4098,'Truth Table'!$U$3:$U$4098)=1,P816&gt;='Line Follower'!$C$6)</f>
        <v>0</v>
      </c>
      <c r="X817" s="4" t="b">
        <f>IFERROR(AND(_xlfn.XLOOKUP(_xlfn.TEXTJOIN(,,D817:O817),Aux!$B$3:$B$4098,'Truth Table'!$V$3:$V$4098)=1,ABS(P816)&lt;='Line Follower'!$C$6),FALSE)</f>
        <v>0</v>
      </c>
      <c r="Y817" s="4" t="b">
        <f t="shared" si="12"/>
        <v>1</v>
      </c>
    </row>
    <row r="818" spans="2:25" x14ac:dyDescent="0.25">
      <c r="B818" s="4">
        <v>815</v>
      </c>
      <c r="C818" s="4">
        <v>7129</v>
      </c>
      <c r="D818" s="4">
        <v>1</v>
      </c>
      <c r="E818" s="4">
        <v>0</v>
      </c>
      <c r="F818" s="4">
        <v>0</v>
      </c>
      <c r="G818" s="4">
        <v>0</v>
      </c>
      <c r="H818" s="4">
        <v>0</v>
      </c>
      <c r="I818" s="4">
        <v>0</v>
      </c>
      <c r="J818" s="4">
        <v>0</v>
      </c>
      <c r="K818" s="4">
        <v>0</v>
      </c>
      <c r="L818" s="4">
        <v>0</v>
      </c>
      <c r="M818" s="4">
        <v>0</v>
      </c>
      <c r="N818" s="4">
        <v>0</v>
      </c>
      <c r="O818" s="4">
        <v>0</v>
      </c>
      <c r="P818" s="51">
        <f>IFERROR(_xlfn.XLOOKUP(_xlfn.TEXTJOIN(,,D817:O817),Aux!$B$3:$B$4098,'Truth Table'!$N$3:$N$4098),P817)</f>
        <v>-7</v>
      </c>
      <c r="Q818" s="4" t="b" cm="1">
        <f t="array" ref="Q818:U818">IFERROR(_xlfn.XLOOKUP(_xlfn.TEXTJOIN(,,D818:O818),Aux!$B$3:$B$4098,'Truth Table'!$O$3:$S$4098)=1,FALSE)</f>
        <v>0</v>
      </c>
      <c r="R818" s="4" t="b">
        <v>0</v>
      </c>
      <c r="S818" s="4" t="b">
        <v>0</v>
      </c>
      <c r="T818" s="4" t="b">
        <v>0</v>
      </c>
      <c r="U818" s="4" t="b">
        <v>0</v>
      </c>
      <c r="V818" s="4" t="b">
        <f>AND(_xlfn.XLOOKUP(_xlfn.TEXTJOIN(,,D818:O818),Aux!$B$3:$B$4098,'Truth Table'!$T$3:$T$4098)=1,P817&lt;='Line Follower'!$C$7)</f>
        <v>1</v>
      </c>
      <c r="W818" s="4" t="b">
        <f>AND(_xlfn.XLOOKUP(_xlfn.TEXTJOIN(,,D818:O818),Aux!$B$3:$B$4098,'Truth Table'!$U$3:$U$4098)=1,P817&gt;='Line Follower'!$C$6)</f>
        <v>0</v>
      </c>
      <c r="X818" s="4" t="b">
        <f>IFERROR(AND(_xlfn.XLOOKUP(_xlfn.TEXTJOIN(,,D818:O818),Aux!$B$3:$B$4098,'Truth Table'!$V$3:$V$4098)=1,ABS(P817)&lt;='Line Follower'!$C$6),FALSE)</f>
        <v>0</v>
      </c>
      <c r="Y818" s="4" t="b">
        <f t="shared" si="12"/>
        <v>1</v>
      </c>
    </row>
    <row r="819" spans="2:25" x14ac:dyDescent="0.25">
      <c r="B819" s="4">
        <v>816</v>
      </c>
      <c r="C819" s="4">
        <v>7138</v>
      </c>
      <c r="D819" s="4">
        <v>1</v>
      </c>
      <c r="E819" s="4">
        <v>0</v>
      </c>
      <c r="F819" s="4">
        <v>0</v>
      </c>
      <c r="G819" s="4">
        <v>0</v>
      </c>
      <c r="H819" s="4">
        <v>0</v>
      </c>
      <c r="I819" s="4">
        <v>0</v>
      </c>
      <c r="J819" s="4">
        <v>0</v>
      </c>
      <c r="K819" s="4">
        <v>0</v>
      </c>
      <c r="L819" s="4">
        <v>0</v>
      </c>
      <c r="M819" s="4">
        <v>0</v>
      </c>
      <c r="N819" s="4">
        <v>0</v>
      </c>
      <c r="O819" s="4">
        <v>0</v>
      </c>
      <c r="P819" s="51">
        <f>IFERROR(_xlfn.XLOOKUP(_xlfn.TEXTJOIN(,,D818:O818),Aux!$B$3:$B$4098,'Truth Table'!$N$3:$N$4098),P818)</f>
        <v>-7</v>
      </c>
      <c r="Q819" s="4" t="b" cm="1">
        <f t="array" ref="Q819:U819">IFERROR(_xlfn.XLOOKUP(_xlfn.TEXTJOIN(,,D819:O819),Aux!$B$3:$B$4098,'Truth Table'!$O$3:$S$4098)=1,FALSE)</f>
        <v>0</v>
      </c>
      <c r="R819" s="4" t="b">
        <v>0</v>
      </c>
      <c r="S819" s="4" t="b">
        <v>0</v>
      </c>
      <c r="T819" s="4" t="b">
        <v>0</v>
      </c>
      <c r="U819" s="4" t="b">
        <v>0</v>
      </c>
      <c r="V819" s="4" t="b">
        <f>AND(_xlfn.XLOOKUP(_xlfn.TEXTJOIN(,,D819:O819),Aux!$B$3:$B$4098,'Truth Table'!$T$3:$T$4098)=1,P818&lt;='Line Follower'!$C$7)</f>
        <v>1</v>
      </c>
      <c r="W819" s="4" t="b">
        <f>AND(_xlfn.XLOOKUP(_xlfn.TEXTJOIN(,,D819:O819),Aux!$B$3:$B$4098,'Truth Table'!$U$3:$U$4098)=1,P818&gt;='Line Follower'!$C$6)</f>
        <v>0</v>
      </c>
      <c r="X819" s="4" t="b">
        <f>IFERROR(AND(_xlfn.XLOOKUP(_xlfn.TEXTJOIN(,,D819:O819),Aux!$B$3:$B$4098,'Truth Table'!$V$3:$V$4098)=1,ABS(P818)&lt;='Line Follower'!$C$6),FALSE)</f>
        <v>0</v>
      </c>
      <c r="Y819" s="4" t="b">
        <f t="shared" si="12"/>
        <v>1</v>
      </c>
    </row>
    <row r="820" spans="2:25" x14ac:dyDescent="0.25">
      <c r="B820" s="4">
        <v>817</v>
      </c>
      <c r="C820" s="4">
        <v>7149</v>
      </c>
      <c r="D820" s="4">
        <v>1</v>
      </c>
      <c r="E820" s="4">
        <v>0</v>
      </c>
      <c r="F820" s="4">
        <v>0</v>
      </c>
      <c r="G820" s="4">
        <v>0</v>
      </c>
      <c r="H820" s="4">
        <v>0</v>
      </c>
      <c r="I820" s="4">
        <v>0</v>
      </c>
      <c r="J820" s="4">
        <v>0</v>
      </c>
      <c r="K820" s="4">
        <v>0</v>
      </c>
      <c r="L820" s="4">
        <v>0</v>
      </c>
      <c r="M820" s="4">
        <v>0</v>
      </c>
      <c r="N820" s="4">
        <v>0</v>
      </c>
      <c r="O820" s="4">
        <v>0</v>
      </c>
      <c r="P820" s="51">
        <f>IFERROR(_xlfn.XLOOKUP(_xlfn.TEXTJOIN(,,D819:O819),Aux!$B$3:$B$4098,'Truth Table'!$N$3:$N$4098),P819)</f>
        <v>-7</v>
      </c>
      <c r="Q820" s="4" t="b" cm="1">
        <f t="array" ref="Q820:U820">IFERROR(_xlfn.XLOOKUP(_xlfn.TEXTJOIN(,,D820:O820),Aux!$B$3:$B$4098,'Truth Table'!$O$3:$S$4098)=1,FALSE)</f>
        <v>0</v>
      </c>
      <c r="R820" s="4" t="b">
        <v>0</v>
      </c>
      <c r="S820" s="4" t="b">
        <v>0</v>
      </c>
      <c r="T820" s="4" t="b">
        <v>0</v>
      </c>
      <c r="U820" s="4" t="b">
        <v>0</v>
      </c>
      <c r="V820" s="4" t="b">
        <f>AND(_xlfn.XLOOKUP(_xlfn.TEXTJOIN(,,D820:O820),Aux!$B$3:$B$4098,'Truth Table'!$T$3:$T$4098)=1,P819&lt;='Line Follower'!$C$7)</f>
        <v>1</v>
      </c>
      <c r="W820" s="4" t="b">
        <f>AND(_xlfn.XLOOKUP(_xlfn.TEXTJOIN(,,D820:O820),Aux!$B$3:$B$4098,'Truth Table'!$U$3:$U$4098)=1,P819&gt;='Line Follower'!$C$6)</f>
        <v>0</v>
      </c>
      <c r="X820" s="4" t="b">
        <f>IFERROR(AND(_xlfn.XLOOKUP(_xlfn.TEXTJOIN(,,D820:O820),Aux!$B$3:$B$4098,'Truth Table'!$V$3:$V$4098)=1,ABS(P819)&lt;='Line Follower'!$C$6),FALSE)</f>
        <v>0</v>
      </c>
      <c r="Y820" s="4" t="b">
        <f t="shared" si="12"/>
        <v>1</v>
      </c>
    </row>
    <row r="821" spans="2:25" x14ac:dyDescent="0.25">
      <c r="B821" s="4">
        <v>818</v>
      </c>
      <c r="C821" s="4">
        <v>7150</v>
      </c>
      <c r="D821" s="4">
        <v>1</v>
      </c>
      <c r="E821" s="4">
        <v>0</v>
      </c>
      <c r="F821" s="4">
        <v>0</v>
      </c>
      <c r="G821" s="4">
        <v>0</v>
      </c>
      <c r="H821" s="4">
        <v>0</v>
      </c>
      <c r="I821" s="4">
        <v>0</v>
      </c>
      <c r="J821" s="4">
        <v>0</v>
      </c>
      <c r="K821" s="4">
        <v>0</v>
      </c>
      <c r="L821" s="4">
        <v>0</v>
      </c>
      <c r="M821" s="4">
        <v>0</v>
      </c>
      <c r="N821" s="4">
        <v>0</v>
      </c>
      <c r="O821" s="4">
        <v>0</v>
      </c>
      <c r="P821" s="51">
        <f>IFERROR(_xlfn.XLOOKUP(_xlfn.TEXTJOIN(,,D820:O820),Aux!$B$3:$B$4098,'Truth Table'!$N$3:$N$4098),P820)</f>
        <v>-7</v>
      </c>
      <c r="Q821" s="4" t="b" cm="1">
        <f t="array" ref="Q821:U821">IFERROR(_xlfn.XLOOKUP(_xlfn.TEXTJOIN(,,D821:O821),Aux!$B$3:$B$4098,'Truth Table'!$O$3:$S$4098)=1,FALSE)</f>
        <v>0</v>
      </c>
      <c r="R821" s="4" t="b">
        <v>0</v>
      </c>
      <c r="S821" s="4" t="b">
        <v>0</v>
      </c>
      <c r="T821" s="4" t="b">
        <v>0</v>
      </c>
      <c r="U821" s="4" t="b">
        <v>0</v>
      </c>
      <c r="V821" s="4" t="b">
        <f>AND(_xlfn.XLOOKUP(_xlfn.TEXTJOIN(,,D821:O821),Aux!$B$3:$B$4098,'Truth Table'!$T$3:$T$4098)=1,P820&lt;='Line Follower'!$C$7)</f>
        <v>1</v>
      </c>
      <c r="W821" s="4" t="b">
        <f>AND(_xlfn.XLOOKUP(_xlfn.TEXTJOIN(,,D821:O821),Aux!$B$3:$B$4098,'Truth Table'!$U$3:$U$4098)=1,P820&gt;='Line Follower'!$C$6)</f>
        <v>0</v>
      </c>
      <c r="X821" s="4" t="b">
        <f>IFERROR(AND(_xlfn.XLOOKUP(_xlfn.TEXTJOIN(,,D821:O821),Aux!$B$3:$B$4098,'Truth Table'!$V$3:$V$4098)=1,ABS(P820)&lt;='Line Follower'!$C$6),FALSE)</f>
        <v>0</v>
      </c>
      <c r="Y821" s="4" t="b">
        <f t="shared" si="12"/>
        <v>1</v>
      </c>
    </row>
    <row r="822" spans="2:25" x14ac:dyDescent="0.25">
      <c r="B822" s="4">
        <v>819</v>
      </c>
      <c r="C822" s="4">
        <v>7158</v>
      </c>
      <c r="D822" s="4">
        <v>1</v>
      </c>
      <c r="E822" s="4">
        <v>0</v>
      </c>
      <c r="F822" s="4">
        <v>0</v>
      </c>
      <c r="G822" s="4">
        <v>0</v>
      </c>
      <c r="H822" s="4">
        <v>0</v>
      </c>
      <c r="I822" s="4">
        <v>0</v>
      </c>
      <c r="J822" s="4">
        <v>0</v>
      </c>
      <c r="K822" s="4">
        <v>0</v>
      </c>
      <c r="L822" s="4">
        <v>0</v>
      </c>
      <c r="M822" s="4">
        <v>0</v>
      </c>
      <c r="N822" s="4">
        <v>0</v>
      </c>
      <c r="O822" s="4">
        <v>0</v>
      </c>
      <c r="P822" s="51">
        <f>IFERROR(_xlfn.XLOOKUP(_xlfn.TEXTJOIN(,,D821:O821),Aux!$B$3:$B$4098,'Truth Table'!$N$3:$N$4098),P821)</f>
        <v>-7</v>
      </c>
      <c r="Q822" s="4" t="b" cm="1">
        <f t="array" ref="Q822:U822">IFERROR(_xlfn.XLOOKUP(_xlfn.TEXTJOIN(,,D822:O822),Aux!$B$3:$B$4098,'Truth Table'!$O$3:$S$4098)=1,FALSE)</f>
        <v>0</v>
      </c>
      <c r="R822" s="4" t="b">
        <v>0</v>
      </c>
      <c r="S822" s="4" t="b">
        <v>0</v>
      </c>
      <c r="T822" s="4" t="b">
        <v>0</v>
      </c>
      <c r="U822" s="4" t="b">
        <v>0</v>
      </c>
      <c r="V822" s="4" t="b">
        <f>AND(_xlfn.XLOOKUP(_xlfn.TEXTJOIN(,,D822:O822),Aux!$B$3:$B$4098,'Truth Table'!$T$3:$T$4098)=1,P821&lt;='Line Follower'!$C$7)</f>
        <v>1</v>
      </c>
      <c r="W822" s="4" t="b">
        <f>AND(_xlfn.XLOOKUP(_xlfn.TEXTJOIN(,,D822:O822),Aux!$B$3:$B$4098,'Truth Table'!$U$3:$U$4098)=1,P821&gt;='Line Follower'!$C$6)</f>
        <v>0</v>
      </c>
      <c r="X822" s="4" t="b">
        <f>IFERROR(AND(_xlfn.XLOOKUP(_xlfn.TEXTJOIN(,,D822:O822),Aux!$B$3:$B$4098,'Truth Table'!$V$3:$V$4098)=1,ABS(P821)&lt;='Line Follower'!$C$6),FALSE)</f>
        <v>0</v>
      </c>
      <c r="Y822" s="4" t="b">
        <f t="shared" si="12"/>
        <v>1</v>
      </c>
    </row>
    <row r="823" spans="2:25" x14ac:dyDescent="0.25">
      <c r="B823" s="4">
        <v>820</v>
      </c>
      <c r="C823" s="4">
        <v>7172</v>
      </c>
      <c r="D823" s="4">
        <v>1</v>
      </c>
      <c r="E823" s="4">
        <v>0</v>
      </c>
      <c r="F823" s="4">
        <v>0</v>
      </c>
      <c r="G823" s="4">
        <v>0</v>
      </c>
      <c r="H823" s="4">
        <v>0</v>
      </c>
      <c r="I823" s="4">
        <v>0</v>
      </c>
      <c r="J823" s="4">
        <v>0</v>
      </c>
      <c r="K823" s="4">
        <v>0</v>
      </c>
      <c r="L823" s="4">
        <v>0</v>
      </c>
      <c r="M823" s="4">
        <v>0</v>
      </c>
      <c r="N823" s="4">
        <v>0</v>
      </c>
      <c r="O823" s="4">
        <v>0</v>
      </c>
      <c r="P823" s="51">
        <f>IFERROR(_xlfn.XLOOKUP(_xlfn.TEXTJOIN(,,D822:O822),Aux!$B$3:$B$4098,'Truth Table'!$N$3:$N$4098),P822)</f>
        <v>-7</v>
      </c>
      <c r="Q823" s="4" t="b" cm="1">
        <f t="array" ref="Q823:U823">IFERROR(_xlfn.XLOOKUP(_xlfn.TEXTJOIN(,,D823:O823),Aux!$B$3:$B$4098,'Truth Table'!$O$3:$S$4098)=1,FALSE)</f>
        <v>0</v>
      </c>
      <c r="R823" s="4" t="b">
        <v>0</v>
      </c>
      <c r="S823" s="4" t="b">
        <v>0</v>
      </c>
      <c r="T823" s="4" t="b">
        <v>0</v>
      </c>
      <c r="U823" s="4" t="b">
        <v>0</v>
      </c>
      <c r="V823" s="4" t="b">
        <f>AND(_xlfn.XLOOKUP(_xlfn.TEXTJOIN(,,D823:O823),Aux!$B$3:$B$4098,'Truth Table'!$T$3:$T$4098)=1,P822&lt;='Line Follower'!$C$7)</f>
        <v>1</v>
      </c>
      <c r="W823" s="4" t="b">
        <f>AND(_xlfn.XLOOKUP(_xlfn.TEXTJOIN(,,D823:O823),Aux!$B$3:$B$4098,'Truth Table'!$U$3:$U$4098)=1,P822&gt;='Line Follower'!$C$6)</f>
        <v>0</v>
      </c>
      <c r="X823" s="4" t="b">
        <f>IFERROR(AND(_xlfn.XLOOKUP(_xlfn.TEXTJOIN(,,D823:O823),Aux!$B$3:$B$4098,'Truth Table'!$V$3:$V$4098)=1,ABS(P822)&lt;='Line Follower'!$C$6),FALSE)</f>
        <v>0</v>
      </c>
      <c r="Y823" s="4" t="b">
        <f t="shared" si="12"/>
        <v>1</v>
      </c>
    </row>
    <row r="824" spans="2:25" x14ac:dyDescent="0.25">
      <c r="B824" s="4">
        <v>821</v>
      </c>
      <c r="C824" s="4">
        <v>7181</v>
      </c>
      <c r="D824" s="4">
        <v>1</v>
      </c>
      <c r="E824" s="4">
        <v>0</v>
      </c>
      <c r="F824" s="4">
        <v>0</v>
      </c>
      <c r="G824" s="4">
        <v>0</v>
      </c>
      <c r="H824" s="4">
        <v>0</v>
      </c>
      <c r="I824" s="4">
        <v>0</v>
      </c>
      <c r="J824" s="4">
        <v>0</v>
      </c>
      <c r="K824" s="4">
        <v>0</v>
      </c>
      <c r="L824" s="4">
        <v>0</v>
      </c>
      <c r="M824" s="4">
        <v>0</v>
      </c>
      <c r="N824" s="4">
        <v>0</v>
      </c>
      <c r="O824" s="4">
        <v>0</v>
      </c>
      <c r="P824" s="51">
        <f>IFERROR(_xlfn.XLOOKUP(_xlfn.TEXTJOIN(,,D823:O823),Aux!$B$3:$B$4098,'Truth Table'!$N$3:$N$4098),P823)</f>
        <v>-7</v>
      </c>
      <c r="Q824" s="4" t="b" cm="1">
        <f t="array" ref="Q824:U824">IFERROR(_xlfn.XLOOKUP(_xlfn.TEXTJOIN(,,D824:O824),Aux!$B$3:$B$4098,'Truth Table'!$O$3:$S$4098)=1,FALSE)</f>
        <v>0</v>
      </c>
      <c r="R824" s="4" t="b">
        <v>0</v>
      </c>
      <c r="S824" s="4" t="b">
        <v>0</v>
      </c>
      <c r="T824" s="4" t="b">
        <v>0</v>
      </c>
      <c r="U824" s="4" t="b">
        <v>0</v>
      </c>
      <c r="V824" s="4" t="b">
        <f>AND(_xlfn.XLOOKUP(_xlfn.TEXTJOIN(,,D824:O824),Aux!$B$3:$B$4098,'Truth Table'!$T$3:$T$4098)=1,P823&lt;='Line Follower'!$C$7)</f>
        <v>1</v>
      </c>
      <c r="W824" s="4" t="b">
        <f>AND(_xlfn.XLOOKUP(_xlfn.TEXTJOIN(,,D824:O824),Aux!$B$3:$B$4098,'Truth Table'!$U$3:$U$4098)=1,P823&gt;='Line Follower'!$C$6)</f>
        <v>0</v>
      </c>
      <c r="X824" s="4" t="b">
        <f>IFERROR(AND(_xlfn.XLOOKUP(_xlfn.TEXTJOIN(,,D824:O824),Aux!$B$3:$B$4098,'Truth Table'!$V$3:$V$4098)=1,ABS(P823)&lt;='Line Follower'!$C$6),FALSE)</f>
        <v>0</v>
      </c>
      <c r="Y824" s="4" t="b">
        <f t="shared" si="12"/>
        <v>1</v>
      </c>
    </row>
    <row r="825" spans="2:25" x14ac:dyDescent="0.25">
      <c r="B825" s="4">
        <v>822</v>
      </c>
      <c r="C825" s="4">
        <v>7191</v>
      </c>
      <c r="D825" s="4">
        <v>1</v>
      </c>
      <c r="E825" s="4">
        <v>0</v>
      </c>
      <c r="F825" s="4">
        <v>0</v>
      </c>
      <c r="G825" s="4">
        <v>0</v>
      </c>
      <c r="H825" s="4">
        <v>0</v>
      </c>
      <c r="I825" s="4">
        <v>0</v>
      </c>
      <c r="J825" s="4">
        <v>0</v>
      </c>
      <c r="K825" s="4">
        <v>0</v>
      </c>
      <c r="L825" s="4">
        <v>0</v>
      </c>
      <c r="M825" s="4">
        <v>0</v>
      </c>
      <c r="N825" s="4">
        <v>0</v>
      </c>
      <c r="O825" s="4">
        <v>0</v>
      </c>
      <c r="P825" s="51">
        <f>IFERROR(_xlfn.XLOOKUP(_xlfn.TEXTJOIN(,,D824:O824),Aux!$B$3:$B$4098,'Truth Table'!$N$3:$N$4098),P824)</f>
        <v>-7</v>
      </c>
      <c r="Q825" s="4" t="b" cm="1">
        <f t="array" ref="Q825:U825">IFERROR(_xlfn.XLOOKUP(_xlfn.TEXTJOIN(,,D825:O825),Aux!$B$3:$B$4098,'Truth Table'!$O$3:$S$4098)=1,FALSE)</f>
        <v>0</v>
      </c>
      <c r="R825" s="4" t="b">
        <v>0</v>
      </c>
      <c r="S825" s="4" t="b">
        <v>0</v>
      </c>
      <c r="T825" s="4" t="b">
        <v>0</v>
      </c>
      <c r="U825" s="4" t="b">
        <v>0</v>
      </c>
      <c r="V825" s="4" t="b">
        <f>AND(_xlfn.XLOOKUP(_xlfn.TEXTJOIN(,,D825:O825),Aux!$B$3:$B$4098,'Truth Table'!$T$3:$T$4098)=1,P824&lt;='Line Follower'!$C$7)</f>
        <v>1</v>
      </c>
      <c r="W825" s="4" t="b">
        <f>AND(_xlfn.XLOOKUP(_xlfn.TEXTJOIN(,,D825:O825),Aux!$B$3:$B$4098,'Truth Table'!$U$3:$U$4098)=1,P824&gt;='Line Follower'!$C$6)</f>
        <v>0</v>
      </c>
      <c r="X825" s="4" t="b">
        <f>IFERROR(AND(_xlfn.XLOOKUP(_xlfn.TEXTJOIN(,,D825:O825),Aux!$B$3:$B$4098,'Truth Table'!$V$3:$V$4098)=1,ABS(P824)&lt;='Line Follower'!$C$6),FALSE)</f>
        <v>0</v>
      </c>
      <c r="Y825" s="4" t="b">
        <f t="shared" si="12"/>
        <v>1</v>
      </c>
    </row>
    <row r="826" spans="2:25" x14ac:dyDescent="0.25">
      <c r="B826" s="4">
        <v>823</v>
      </c>
      <c r="C826" s="4">
        <v>7204</v>
      </c>
      <c r="D826" s="4">
        <v>1</v>
      </c>
      <c r="E826" s="4">
        <v>0</v>
      </c>
      <c r="F826" s="4">
        <v>0</v>
      </c>
      <c r="G826" s="4">
        <v>0</v>
      </c>
      <c r="H826" s="4">
        <v>0</v>
      </c>
      <c r="I826" s="4">
        <v>0</v>
      </c>
      <c r="J826" s="4">
        <v>0</v>
      </c>
      <c r="K826" s="4">
        <v>0</v>
      </c>
      <c r="L826" s="4">
        <v>0</v>
      </c>
      <c r="M826" s="4">
        <v>0</v>
      </c>
      <c r="N826" s="4">
        <v>0</v>
      </c>
      <c r="O826" s="4">
        <v>0</v>
      </c>
      <c r="P826" s="51">
        <f>IFERROR(_xlfn.XLOOKUP(_xlfn.TEXTJOIN(,,D825:O825),Aux!$B$3:$B$4098,'Truth Table'!$N$3:$N$4098),P825)</f>
        <v>-7</v>
      </c>
      <c r="Q826" s="4" t="b" cm="1">
        <f t="array" ref="Q826:U826">IFERROR(_xlfn.XLOOKUP(_xlfn.TEXTJOIN(,,D826:O826),Aux!$B$3:$B$4098,'Truth Table'!$O$3:$S$4098)=1,FALSE)</f>
        <v>0</v>
      </c>
      <c r="R826" s="4" t="b">
        <v>0</v>
      </c>
      <c r="S826" s="4" t="b">
        <v>0</v>
      </c>
      <c r="T826" s="4" t="b">
        <v>0</v>
      </c>
      <c r="U826" s="4" t="b">
        <v>0</v>
      </c>
      <c r="V826" s="4" t="b">
        <f>AND(_xlfn.XLOOKUP(_xlfn.TEXTJOIN(,,D826:O826),Aux!$B$3:$B$4098,'Truth Table'!$T$3:$T$4098)=1,P825&lt;='Line Follower'!$C$7)</f>
        <v>1</v>
      </c>
      <c r="W826" s="4" t="b">
        <f>AND(_xlfn.XLOOKUP(_xlfn.TEXTJOIN(,,D826:O826),Aux!$B$3:$B$4098,'Truth Table'!$U$3:$U$4098)=1,P825&gt;='Line Follower'!$C$6)</f>
        <v>0</v>
      </c>
      <c r="X826" s="4" t="b">
        <f>IFERROR(AND(_xlfn.XLOOKUP(_xlfn.TEXTJOIN(,,D826:O826),Aux!$B$3:$B$4098,'Truth Table'!$V$3:$V$4098)=1,ABS(P825)&lt;='Line Follower'!$C$6),FALSE)</f>
        <v>0</v>
      </c>
      <c r="Y826" s="4" t="b">
        <f t="shared" si="12"/>
        <v>1</v>
      </c>
    </row>
    <row r="827" spans="2:25" x14ac:dyDescent="0.25">
      <c r="B827" s="4">
        <v>824</v>
      </c>
      <c r="C827" s="4">
        <v>7211</v>
      </c>
      <c r="D827" s="4">
        <v>1</v>
      </c>
      <c r="E827" s="4">
        <v>0</v>
      </c>
      <c r="F827" s="4">
        <v>0</v>
      </c>
      <c r="G827" s="4">
        <v>0</v>
      </c>
      <c r="H827" s="4">
        <v>0</v>
      </c>
      <c r="I827" s="4">
        <v>0</v>
      </c>
      <c r="J827" s="4">
        <v>0</v>
      </c>
      <c r="K827" s="4">
        <v>0</v>
      </c>
      <c r="L827" s="4">
        <v>0</v>
      </c>
      <c r="M827" s="4">
        <v>0</v>
      </c>
      <c r="N827" s="4">
        <v>0</v>
      </c>
      <c r="O827" s="4">
        <v>0</v>
      </c>
      <c r="P827" s="51">
        <f>IFERROR(_xlfn.XLOOKUP(_xlfn.TEXTJOIN(,,D826:O826),Aux!$B$3:$B$4098,'Truth Table'!$N$3:$N$4098),P826)</f>
        <v>-7</v>
      </c>
      <c r="Q827" s="4" t="b" cm="1">
        <f t="array" ref="Q827:U827">IFERROR(_xlfn.XLOOKUP(_xlfn.TEXTJOIN(,,D827:O827),Aux!$B$3:$B$4098,'Truth Table'!$O$3:$S$4098)=1,FALSE)</f>
        <v>0</v>
      </c>
      <c r="R827" s="4" t="b">
        <v>0</v>
      </c>
      <c r="S827" s="4" t="b">
        <v>0</v>
      </c>
      <c r="T827" s="4" t="b">
        <v>0</v>
      </c>
      <c r="U827" s="4" t="b">
        <v>0</v>
      </c>
      <c r="V827" s="4" t="b">
        <f>AND(_xlfn.XLOOKUP(_xlfn.TEXTJOIN(,,D827:O827),Aux!$B$3:$B$4098,'Truth Table'!$T$3:$T$4098)=1,P826&lt;='Line Follower'!$C$7)</f>
        <v>1</v>
      </c>
      <c r="W827" s="4" t="b">
        <f>AND(_xlfn.XLOOKUP(_xlfn.TEXTJOIN(,,D827:O827),Aux!$B$3:$B$4098,'Truth Table'!$U$3:$U$4098)=1,P826&gt;='Line Follower'!$C$6)</f>
        <v>0</v>
      </c>
      <c r="X827" s="4" t="b">
        <f>IFERROR(AND(_xlfn.XLOOKUP(_xlfn.TEXTJOIN(,,D827:O827),Aux!$B$3:$B$4098,'Truth Table'!$V$3:$V$4098)=1,ABS(P826)&lt;='Line Follower'!$C$6),FALSE)</f>
        <v>0</v>
      </c>
      <c r="Y827" s="4" t="b">
        <f t="shared" si="12"/>
        <v>1</v>
      </c>
    </row>
    <row r="828" spans="2:25" x14ac:dyDescent="0.25">
      <c r="B828" s="4">
        <v>825</v>
      </c>
      <c r="C828" s="4">
        <v>7246</v>
      </c>
      <c r="D828" s="4">
        <v>1</v>
      </c>
      <c r="E828" s="4">
        <v>0</v>
      </c>
      <c r="F828" s="4">
        <v>0</v>
      </c>
      <c r="G828" s="4">
        <v>0</v>
      </c>
      <c r="H828" s="4">
        <v>0</v>
      </c>
      <c r="I828" s="4">
        <v>0</v>
      </c>
      <c r="J828" s="4">
        <v>0</v>
      </c>
      <c r="K828" s="4">
        <v>0</v>
      </c>
      <c r="L828" s="4">
        <v>0</v>
      </c>
      <c r="M828" s="4">
        <v>0</v>
      </c>
      <c r="N828" s="4">
        <v>0</v>
      </c>
      <c r="O828" s="4">
        <v>0</v>
      </c>
      <c r="P828" s="51">
        <f>IFERROR(_xlfn.XLOOKUP(_xlfn.TEXTJOIN(,,D827:O827),Aux!$B$3:$B$4098,'Truth Table'!$N$3:$N$4098),P827)</f>
        <v>-7</v>
      </c>
      <c r="Q828" s="4" t="b" cm="1">
        <f t="array" ref="Q828:U828">IFERROR(_xlfn.XLOOKUP(_xlfn.TEXTJOIN(,,D828:O828),Aux!$B$3:$B$4098,'Truth Table'!$O$3:$S$4098)=1,FALSE)</f>
        <v>0</v>
      </c>
      <c r="R828" s="4" t="b">
        <v>0</v>
      </c>
      <c r="S828" s="4" t="b">
        <v>0</v>
      </c>
      <c r="T828" s="4" t="b">
        <v>0</v>
      </c>
      <c r="U828" s="4" t="b">
        <v>0</v>
      </c>
      <c r="V828" s="4" t="b">
        <f>AND(_xlfn.XLOOKUP(_xlfn.TEXTJOIN(,,D828:O828),Aux!$B$3:$B$4098,'Truth Table'!$T$3:$T$4098)=1,P827&lt;='Line Follower'!$C$7)</f>
        <v>1</v>
      </c>
      <c r="W828" s="4" t="b">
        <f>AND(_xlfn.XLOOKUP(_xlfn.TEXTJOIN(,,D828:O828),Aux!$B$3:$B$4098,'Truth Table'!$U$3:$U$4098)=1,P827&gt;='Line Follower'!$C$6)</f>
        <v>0</v>
      </c>
      <c r="X828" s="4" t="b">
        <f>IFERROR(AND(_xlfn.XLOOKUP(_xlfn.TEXTJOIN(,,D828:O828),Aux!$B$3:$B$4098,'Truth Table'!$V$3:$V$4098)=1,ABS(P827)&lt;='Line Follower'!$C$6),FALSE)</f>
        <v>0</v>
      </c>
      <c r="Y828" s="4" t="b">
        <f t="shared" si="12"/>
        <v>1</v>
      </c>
    </row>
    <row r="829" spans="2:25" x14ac:dyDescent="0.25">
      <c r="B829" s="4">
        <v>826</v>
      </c>
      <c r="C829" s="4">
        <v>7247</v>
      </c>
      <c r="D829" s="4">
        <v>1</v>
      </c>
      <c r="E829" s="4">
        <v>0</v>
      </c>
      <c r="F829" s="4">
        <v>0</v>
      </c>
      <c r="G829" s="4">
        <v>0</v>
      </c>
      <c r="H829" s="4">
        <v>0</v>
      </c>
      <c r="I829" s="4">
        <v>0</v>
      </c>
      <c r="J829" s="4">
        <v>0</v>
      </c>
      <c r="K829" s="4">
        <v>0</v>
      </c>
      <c r="L829" s="4">
        <v>0</v>
      </c>
      <c r="M829" s="4">
        <v>0</v>
      </c>
      <c r="N829" s="4">
        <v>0</v>
      </c>
      <c r="O829" s="4">
        <v>0</v>
      </c>
      <c r="P829" s="51">
        <f>IFERROR(_xlfn.XLOOKUP(_xlfn.TEXTJOIN(,,D828:O828),Aux!$B$3:$B$4098,'Truth Table'!$N$3:$N$4098),P828)</f>
        <v>-7</v>
      </c>
      <c r="Q829" s="4" t="b" cm="1">
        <f t="array" ref="Q829:U829">IFERROR(_xlfn.XLOOKUP(_xlfn.TEXTJOIN(,,D829:O829),Aux!$B$3:$B$4098,'Truth Table'!$O$3:$S$4098)=1,FALSE)</f>
        <v>0</v>
      </c>
      <c r="R829" s="4" t="b">
        <v>0</v>
      </c>
      <c r="S829" s="4" t="b">
        <v>0</v>
      </c>
      <c r="T829" s="4" t="b">
        <v>0</v>
      </c>
      <c r="U829" s="4" t="b">
        <v>0</v>
      </c>
      <c r="V829" s="4" t="b">
        <f>AND(_xlfn.XLOOKUP(_xlfn.TEXTJOIN(,,D829:O829),Aux!$B$3:$B$4098,'Truth Table'!$T$3:$T$4098)=1,P828&lt;='Line Follower'!$C$7)</f>
        <v>1</v>
      </c>
      <c r="W829" s="4" t="b">
        <f>AND(_xlfn.XLOOKUP(_xlfn.TEXTJOIN(,,D829:O829),Aux!$B$3:$B$4098,'Truth Table'!$U$3:$U$4098)=1,P828&gt;='Line Follower'!$C$6)</f>
        <v>0</v>
      </c>
      <c r="X829" s="4" t="b">
        <f>IFERROR(AND(_xlfn.XLOOKUP(_xlfn.TEXTJOIN(,,D829:O829),Aux!$B$3:$B$4098,'Truth Table'!$V$3:$V$4098)=1,ABS(P828)&lt;='Line Follower'!$C$6),FALSE)</f>
        <v>0</v>
      </c>
      <c r="Y829" s="4" t="b">
        <f t="shared" si="12"/>
        <v>1</v>
      </c>
    </row>
    <row r="830" spans="2:25" x14ac:dyDescent="0.25">
      <c r="B830" s="4">
        <v>827</v>
      </c>
      <c r="C830" s="4">
        <v>7248</v>
      </c>
      <c r="D830" s="4">
        <v>1</v>
      </c>
      <c r="E830" s="4">
        <v>0</v>
      </c>
      <c r="F830" s="4">
        <v>0</v>
      </c>
      <c r="G830" s="4">
        <v>0</v>
      </c>
      <c r="H830" s="4">
        <v>0</v>
      </c>
      <c r="I830" s="4">
        <v>0</v>
      </c>
      <c r="J830" s="4">
        <v>0</v>
      </c>
      <c r="K830" s="4">
        <v>0</v>
      </c>
      <c r="L830" s="4">
        <v>0</v>
      </c>
      <c r="M830" s="4">
        <v>0</v>
      </c>
      <c r="N830" s="4">
        <v>0</v>
      </c>
      <c r="O830" s="4">
        <v>0</v>
      </c>
      <c r="P830" s="51">
        <f>IFERROR(_xlfn.XLOOKUP(_xlfn.TEXTJOIN(,,D829:O829),Aux!$B$3:$B$4098,'Truth Table'!$N$3:$N$4098),P829)</f>
        <v>-7</v>
      </c>
      <c r="Q830" s="4" t="b" cm="1">
        <f t="array" ref="Q830:U830">IFERROR(_xlfn.XLOOKUP(_xlfn.TEXTJOIN(,,D830:O830),Aux!$B$3:$B$4098,'Truth Table'!$O$3:$S$4098)=1,FALSE)</f>
        <v>0</v>
      </c>
      <c r="R830" s="4" t="b">
        <v>0</v>
      </c>
      <c r="S830" s="4" t="b">
        <v>0</v>
      </c>
      <c r="T830" s="4" t="b">
        <v>0</v>
      </c>
      <c r="U830" s="4" t="b">
        <v>0</v>
      </c>
      <c r="V830" s="4" t="b">
        <f>AND(_xlfn.XLOOKUP(_xlfn.TEXTJOIN(,,D830:O830),Aux!$B$3:$B$4098,'Truth Table'!$T$3:$T$4098)=1,P829&lt;='Line Follower'!$C$7)</f>
        <v>1</v>
      </c>
      <c r="W830" s="4" t="b">
        <f>AND(_xlfn.XLOOKUP(_xlfn.TEXTJOIN(,,D830:O830),Aux!$B$3:$B$4098,'Truth Table'!$U$3:$U$4098)=1,P829&gt;='Line Follower'!$C$6)</f>
        <v>0</v>
      </c>
      <c r="X830" s="4" t="b">
        <f>IFERROR(AND(_xlfn.XLOOKUP(_xlfn.TEXTJOIN(,,D830:O830),Aux!$B$3:$B$4098,'Truth Table'!$V$3:$V$4098)=1,ABS(P829)&lt;='Line Follower'!$C$6),FALSE)</f>
        <v>0</v>
      </c>
      <c r="Y830" s="4" t="b">
        <f t="shared" si="12"/>
        <v>1</v>
      </c>
    </row>
    <row r="831" spans="2:25" x14ac:dyDescent="0.25">
      <c r="B831" s="4">
        <v>828</v>
      </c>
      <c r="C831" s="4">
        <v>7249</v>
      </c>
      <c r="D831" s="4">
        <v>1</v>
      </c>
      <c r="E831" s="4">
        <v>0</v>
      </c>
      <c r="F831" s="4">
        <v>0</v>
      </c>
      <c r="G831" s="4">
        <v>0</v>
      </c>
      <c r="H831" s="4">
        <v>0</v>
      </c>
      <c r="I831" s="4">
        <v>0</v>
      </c>
      <c r="J831" s="4">
        <v>0</v>
      </c>
      <c r="K831" s="4">
        <v>0</v>
      </c>
      <c r="L831" s="4">
        <v>0</v>
      </c>
      <c r="M831" s="4">
        <v>0</v>
      </c>
      <c r="N831" s="4">
        <v>0</v>
      </c>
      <c r="O831" s="4">
        <v>0</v>
      </c>
      <c r="P831" s="51">
        <f>IFERROR(_xlfn.XLOOKUP(_xlfn.TEXTJOIN(,,D830:O830),Aux!$B$3:$B$4098,'Truth Table'!$N$3:$N$4098),P830)</f>
        <v>-7</v>
      </c>
      <c r="Q831" s="4" t="b" cm="1">
        <f t="array" ref="Q831:U831">IFERROR(_xlfn.XLOOKUP(_xlfn.TEXTJOIN(,,D831:O831),Aux!$B$3:$B$4098,'Truth Table'!$O$3:$S$4098)=1,FALSE)</f>
        <v>0</v>
      </c>
      <c r="R831" s="4" t="b">
        <v>0</v>
      </c>
      <c r="S831" s="4" t="b">
        <v>0</v>
      </c>
      <c r="T831" s="4" t="b">
        <v>0</v>
      </c>
      <c r="U831" s="4" t="b">
        <v>0</v>
      </c>
      <c r="V831" s="4" t="b">
        <f>AND(_xlfn.XLOOKUP(_xlfn.TEXTJOIN(,,D831:O831),Aux!$B$3:$B$4098,'Truth Table'!$T$3:$T$4098)=1,P830&lt;='Line Follower'!$C$7)</f>
        <v>1</v>
      </c>
      <c r="W831" s="4" t="b">
        <f>AND(_xlfn.XLOOKUP(_xlfn.TEXTJOIN(,,D831:O831),Aux!$B$3:$B$4098,'Truth Table'!$U$3:$U$4098)=1,P830&gt;='Line Follower'!$C$6)</f>
        <v>0</v>
      </c>
      <c r="X831" s="4" t="b">
        <f>IFERROR(AND(_xlfn.XLOOKUP(_xlfn.TEXTJOIN(,,D831:O831),Aux!$B$3:$B$4098,'Truth Table'!$V$3:$V$4098)=1,ABS(P830)&lt;='Line Follower'!$C$6),FALSE)</f>
        <v>0</v>
      </c>
      <c r="Y831" s="4" t="b">
        <f t="shared" si="12"/>
        <v>1</v>
      </c>
    </row>
    <row r="832" spans="2:25" x14ac:dyDescent="0.25">
      <c r="B832" s="4">
        <v>829</v>
      </c>
      <c r="C832" s="4">
        <v>7263</v>
      </c>
      <c r="D832" s="4">
        <v>1</v>
      </c>
      <c r="E832" s="4">
        <v>0</v>
      </c>
      <c r="F832" s="4">
        <v>0</v>
      </c>
      <c r="G832" s="4">
        <v>0</v>
      </c>
      <c r="H832" s="4">
        <v>0</v>
      </c>
      <c r="I832" s="4">
        <v>0</v>
      </c>
      <c r="J832" s="4">
        <v>0</v>
      </c>
      <c r="K832" s="4">
        <v>0</v>
      </c>
      <c r="L832" s="4">
        <v>0</v>
      </c>
      <c r="M832" s="4">
        <v>0</v>
      </c>
      <c r="N832" s="4">
        <v>0</v>
      </c>
      <c r="O832" s="4">
        <v>0</v>
      </c>
      <c r="P832" s="51">
        <f>IFERROR(_xlfn.XLOOKUP(_xlfn.TEXTJOIN(,,D831:O831),Aux!$B$3:$B$4098,'Truth Table'!$N$3:$N$4098),P831)</f>
        <v>-7</v>
      </c>
      <c r="Q832" s="4" t="b" cm="1">
        <f t="array" ref="Q832:U832">IFERROR(_xlfn.XLOOKUP(_xlfn.TEXTJOIN(,,D832:O832),Aux!$B$3:$B$4098,'Truth Table'!$O$3:$S$4098)=1,FALSE)</f>
        <v>0</v>
      </c>
      <c r="R832" s="4" t="b">
        <v>0</v>
      </c>
      <c r="S832" s="4" t="b">
        <v>0</v>
      </c>
      <c r="T832" s="4" t="b">
        <v>0</v>
      </c>
      <c r="U832" s="4" t="b">
        <v>0</v>
      </c>
      <c r="V832" s="4" t="b">
        <f>AND(_xlfn.XLOOKUP(_xlfn.TEXTJOIN(,,D832:O832),Aux!$B$3:$B$4098,'Truth Table'!$T$3:$T$4098)=1,P831&lt;='Line Follower'!$C$7)</f>
        <v>1</v>
      </c>
      <c r="W832" s="4" t="b">
        <f>AND(_xlfn.XLOOKUP(_xlfn.TEXTJOIN(,,D832:O832),Aux!$B$3:$B$4098,'Truth Table'!$U$3:$U$4098)=1,P831&gt;='Line Follower'!$C$6)</f>
        <v>0</v>
      </c>
      <c r="X832" s="4" t="b">
        <f>IFERROR(AND(_xlfn.XLOOKUP(_xlfn.TEXTJOIN(,,D832:O832),Aux!$B$3:$B$4098,'Truth Table'!$V$3:$V$4098)=1,ABS(P831)&lt;='Line Follower'!$C$6),FALSE)</f>
        <v>0</v>
      </c>
      <c r="Y832" s="4" t="b">
        <f t="shared" si="12"/>
        <v>1</v>
      </c>
    </row>
    <row r="833" spans="2:25" x14ac:dyDescent="0.25">
      <c r="B833" s="4">
        <v>830</v>
      </c>
      <c r="C833" s="4">
        <v>7274</v>
      </c>
      <c r="D833" s="4">
        <v>1</v>
      </c>
      <c r="E833" s="4">
        <v>0</v>
      </c>
      <c r="F833" s="4">
        <v>0</v>
      </c>
      <c r="G833" s="4">
        <v>0</v>
      </c>
      <c r="H833" s="4">
        <v>0</v>
      </c>
      <c r="I833" s="4">
        <v>0</v>
      </c>
      <c r="J833" s="4">
        <v>0</v>
      </c>
      <c r="K833" s="4">
        <v>0</v>
      </c>
      <c r="L833" s="4">
        <v>0</v>
      </c>
      <c r="M833" s="4">
        <v>0</v>
      </c>
      <c r="N833" s="4">
        <v>0</v>
      </c>
      <c r="O833" s="4">
        <v>0</v>
      </c>
      <c r="P833" s="51">
        <f>IFERROR(_xlfn.XLOOKUP(_xlfn.TEXTJOIN(,,D832:O832),Aux!$B$3:$B$4098,'Truth Table'!$N$3:$N$4098),P832)</f>
        <v>-7</v>
      </c>
      <c r="Q833" s="4" t="b" cm="1">
        <f t="array" ref="Q833:U833">IFERROR(_xlfn.XLOOKUP(_xlfn.TEXTJOIN(,,D833:O833),Aux!$B$3:$B$4098,'Truth Table'!$O$3:$S$4098)=1,FALSE)</f>
        <v>0</v>
      </c>
      <c r="R833" s="4" t="b">
        <v>0</v>
      </c>
      <c r="S833" s="4" t="b">
        <v>0</v>
      </c>
      <c r="T833" s="4" t="b">
        <v>0</v>
      </c>
      <c r="U833" s="4" t="b">
        <v>0</v>
      </c>
      <c r="V833" s="4" t="b">
        <f>AND(_xlfn.XLOOKUP(_xlfn.TEXTJOIN(,,D833:O833),Aux!$B$3:$B$4098,'Truth Table'!$T$3:$T$4098)=1,P832&lt;='Line Follower'!$C$7)</f>
        <v>1</v>
      </c>
      <c r="W833" s="4" t="b">
        <f>AND(_xlfn.XLOOKUP(_xlfn.TEXTJOIN(,,D833:O833),Aux!$B$3:$B$4098,'Truth Table'!$U$3:$U$4098)=1,P832&gt;='Line Follower'!$C$6)</f>
        <v>0</v>
      </c>
      <c r="X833" s="4" t="b">
        <f>IFERROR(AND(_xlfn.XLOOKUP(_xlfn.TEXTJOIN(,,D833:O833),Aux!$B$3:$B$4098,'Truth Table'!$V$3:$V$4098)=1,ABS(P832)&lt;='Line Follower'!$C$6),FALSE)</f>
        <v>0</v>
      </c>
      <c r="Y833" s="4" t="b">
        <f t="shared" si="12"/>
        <v>1</v>
      </c>
    </row>
    <row r="834" spans="2:25" x14ac:dyDescent="0.25">
      <c r="B834" s="4">
        <v>831</v>
      </c>
      <c r="C834" s="4">
        <v>7283</v>
      </c>
      <c r="D834" s="4">
        <v>1</v>
      </c>
      <c r="E834" s="4">
        <v>0</v>
      </c>
      <c r="F834" s="4">
        <v>0</v>
      </c>
      <c r="G834" s="4">
        <v>0</v>
      </c>
      <c r="H834" s="4">
        <v>0</v>
      </c>
      <c r="I834" s="4">
        <v>0</v>
      </c>
      <c r="J834" s="4">
        <v>0</v>
      </c>
      <c r="K834" s="4">
        <v>0</v>
      </c>
      <c r="L834" s="4">
        <v>0</v>
      </c>
      <c r="M834" s="4">
        <v>0</v>
      </c>
      <c r="N834" s="4">
        <v>0</v>
      </c>
      <c r="O834" s="4">
        <v>0</v>
      </c>
      <c r="P834" s="51">
        <f>IFERROR(_xlfn.XLOOKUP(_xlfn.TEXTJOIN(,,D833:O833),Aux!$B$3:$B$4098,'Truth Table'!$N$3:$N$4098),P833)</f>
        <v>-7</v>
      </c>
      <c r="Q834" s="4" t="b" cm="1">
        <f t="array" ref="Q834:U834">IFERROR(_xlfn.XLOOKUP(_xlfn.TEXTJOIN(,,D834:O834),Aux!$B$3:$B$4098,'Truth Table'!$O$3:$S$4098)=1,FALSE)</f>
        <v>0</v>
      </c>
      <c r="R834" s="4" t="b">
        <v>0</v>
      </c>
      <c r="S834" s="4" t="b">
        <v>0</v>
      </c>
      <c r="T834" s="4" t="b">
        <v>0</v>
      </c>
      <c r="U834" s="4" t="b">
        <v>0</v>
      </c>
      <c r="V834" s="4" t="b">
        <f>AND(_xlfn.XLOOKUP(_xlfn.TEXTJOIN(,,D834:O834),Aux!$B$3:$B$4098,'Truth Table'!$T$3:$T$4098)=1,P833&lt;='Line Follower'!$C$7)</f>
        <v>1</v>
      </c>
      <c r="W834" s="4" t="b">
        <f>AND(_xlfn.XLOOKUP(_xlfn.TEXTJOIN(,,D834:O834),Aux!$B$3:$B$4098,'Truth Table'!$U$3:$U$4098)=1,P833&gt;='Line Follower'!$C$6)</f>
        <v>0</v>
      </c>
      <c r="X834" s="4" t="b">
        <f>IFERROR(AND(_xlfn.XLOOKUP(_xlfn.TEXTJOIN(,,D834:O834),Aux!$B$3:$B$4098,'Truth Table'!$V$3:$V$4098)=1,ABS(P833)&lt;='Line Follower'!$C$6),FALSE)</f>
        <v>0</v>
      </c>
      <c r="Y834" s="4" t="b">
        <f t="shared" si="12"/>
        <v>1</v>
      </c>
    </row>
    <row r="835" spans="2:25" x14ac:dyDescent="0.25">
      <c r="B835" s="4">
        <v>832</v>
      </c>
      <c r="C835" s="4">
        <v>7297</v>
      </c>
      <c r="D835" s="4">
        <v>1</v>
      </c>
      <c r="E835" s="4">
        <v>0</v>
      </c>
      <c r="F835" s="4">
        <v>0</v>
      </c>
      <c r="G835" s="4">
        <v>0</v>
      </c>
      <c r="H835" s="4">
        <v>0</v>
      </c>
      <c r="I835" s="4">
        <v>0</v>
      </c>
      <c r="J835" s="4">
        <v>0</v>
      </c>
      <c r="K835" s="4">
        <v>0</v>
      </c>
      <c r="L835" s="4">
        <v>0</v>
      </c>
      <c r="M835" s="4">
        <v>0</v>
      </c>
      <c r="N835" s="4">
        <v>0</v>
      </c>
      <c r="O835" s="4">
        <v>0</v>
      </c>
      <c r="P835" s="51">
        <f>IFERROR(_xlfn.XLOOKUP(_xlfn.TEXTJOIN(,,D834:O834),Aux!$B$3:$B$4098,'Truth Table'!$N$3:$N$4098),P834)</f>
        <v>-7</v>
      </c>
      <c r="Q835" s="4" t="b" cm="1">
        <f t="array" ref="Q835:U835">IFERROR(_xlfn.XLOOKUP(_xlfn.TEXTJOIN(,,D835:O835),Aux!$B$3:$B$4098,'Truth Table'!$O$3:$S$4098)=1,FALSE)</f>
        <v>0</v>
      </c>
      <c r="R835" s="4" t="b">
        <v>0</v>
      </c>
      <c r="S835" s="4" t="b">
        <v>0</v>
      </c>
      <c r="T835" s="4" t="b">
        <v>0</v>
      </c>
      <c r="U835" s="4" t="b">
        <v>0</v>
      </c>
      <c r="V835" s="4" t="b">
        <f>AND(_xlfn.XLOOKUP(_xlfn.TEXTJOIN(,,D835:O835),Aux!$B$3:$B$4098,'Truth Table'!$T$3:$T$4098)=1,P834&lt;='Line Follower'!$C$7)</f>
        <v>1</v>
      </c>
      <c r="W835" s="4" t="b">
        <f>AND(_xlfn.XLOOKUP(_xlfn.TEXTJOIN(,,D835:O835),Aux!$B$3:$B$4098,'Truth Table'!$U$3:$U$4098)=1,P834&gt;='Line Follower'!$C$6)</f>
        <v>0</v>
      </c>
      <c r="X835" s="4" t="b">
        <f>IFERROR(AND(_xlfn.XLOOKUP(_xlfn.TEXTJOIN(,,D835:O835),Aux!$B$3:$B$4098,'Truth Table'!$V$3:$V$4098)=1,ABS(P834)&lt;='Line Follower'!$C$6),FALSE)</f>
        <v>0</v>
      </c>
      <c r="Y835" s="4" t="b">
        <f t="shared" si="12"/>
        <v>1</v>
      </c>
    </row>
    <row r="836" spans="2:25" x14ac:dyDescent="0.25">
      <c r="B836" s="4">
        <v>833</v>
      </c>
      <c r="C836" s="4">
        <v>7306</v>
      </c>
      <c r="D836" s="4">
        <v>1</v>
      </c>
      <c r="E836" s="4">
        <v>0</v>
      </c>
      <c r="F836" s="4">
        <v>0</v>
      </c>
      <c r="G836" s="4">
        <v>0</v>
      </c>
      <c r="H836" s="4">
        <v>0</v>
      </c>
      <c r="I836" s="4">
        <v>0</v>
      </c>
      <c r="J836" s="4">
        <v>0</v>
      </c>
      <c r="K836" s="4">
        <v>0</v>
      </c>
      <c r="L836" s="4">
        <v>0</v>
      </c>
      <c r="M836" s="4">
        <v>0</v>
      </c>
      <c r="N836" s="4">
        <v>0</v>
      </c>
      <c r="O836" s="4">
        <v>0</v>
      </c>
      <c r="P836" s="51">
        <f>IFERROR(_xlfn.XLOOKUP(_xlfn.TEXTJOIN(,,D835:O835),Aux!$B$3:$B$4098,'Truth Table'!$N$3:$N$4098),P835)</f>
        <v>-7</v>
      </c>
      <c r="Q836" s="4" t="b" cm="1">
        <f t="array" ref="Q836:U836">IFERROR(_xlfn.XLOOKUP(_xlfn.TEXTJOIN(,,D836:O836),Aux!$B$3:$B$4098,'Truth Table'!$O$3:$S$4098)=1,FALSE)</f>
        <v>0</v>
      </c>
      <c r="R836" s="4" t="b">
        <v>0</v>
      </c>
      <c r="S836" s="4" t="b">
        <v>0</v>
      </c>
      <c r="T836" s="4" t="b">
        <v>0</v>
      </c>
      <c r="U836" s="4" t="b">
        <v>0</v>
      </c>
      <c r="V836" s="4" t="b">
        <f>AND(_xlfn.XLOOKUP(_xlfn.TEXTJOIN(,,D836:O836),Aux!$B$3:$B$4098,'Truth Table'!$T$3:$T$4098)=1,P835&lt;='Line Follower'!$C$7)</f>
        <v>1</v>
      </c>
      <c r="W836" s="4" t="b">
        <f>AND(_xlfn.XLOOKUP(_xlfn.TEXTJOIN(,,D836:O836),Aux!$B$3:$B$4098,'Truth Table'!$U$3:$U$4098)=1,P835&gt;='Line Follower'!$C$6)</f>
        <v>0</v>
      </c>
      <c r="X836" s="4" t="b">
        <f>IFERROR(AND(_xlfn.XLOOKUP(_xlfn.TEXTJOIN(,,D836:O836),Aux!$B$3:$B$4098,'Truth Table'!$V$3:$V$4098)=1,ABS(P835)&lt;='Line Follower'!$C$6),FALSE)</f>
        <v>0</v>
      </c>
      <c r="Y836" s="4" t="b">
        <f t="shared" ref="Y836:Y866" si="13">OR(Q836:X836)</f>
        <v>1</v>
      </c>
    </row>
    <row r="837" spans="2:25" x14ac:dyDescent="0.25">
      <c r="B837" s="4">
        <v>834</v>
      </c>
      <c r="C837" s="4">
        <v>7317</v>
      </c>
      <c r="D837" s="4">
        <v>1</v>
      </c>
      <c r="E837" s="4">
        <v>0</v>
      </c>
      <c r="F837" s="4">
        <v>0</v>
      </c>
      <c r="G837" s="4">
        <v>0</v>
      </c>
      <c r="H837" s="4">
        <v>0</v>
      </c>
      <c r="I837" s="4">
        <v>0</v>
      </c>
      <c r="J837" s="4">
        <v>0</v>
      </c>
      <c r="K837" s="4">
        <v>0</v>
      </c>
      <c r="L837" s="4">
        <v>0</v>
      </c>
      <c r="M837" s="4">
        <v>0</v>
      </c>
      <c r="N837" s="4">
        <v>0</v>
      </c>
      <c r="O837" s="4">
        <v>0</v>
      </c>
      <c r="P837" s="51">
        <f>IFERROR(_xlfn.XLOOKUP(_xlfn.TEXTJOIN(,,D836:O836),Aux!$B$3:$B$4098,'Truth Table'!$N$3:$N$4098),P836)</f>
        <v>-7</v>
      </c>
      <c r="Q837" s="4" t="b" cm="1">
        <f t="array" ref="Q837:U837">IFERROR(_xlfn.XLOOKUP(_xlfn.TEXTJOIN(,,D837:O837),Aux!$B$3:$B$4098,'Truth Table'!$O$3:$S$4098)=1,FALSE)</f>
        <v>0</v>
      </c>
      <c r="R837" s="4" t="b">
        <v>0</v>
      </c>
      <c r="S837" s="4" t="b">
        <v>0</v>
      </c>
      <c r="T837" s="4" t="b">
        <v>0</v>
      </c>
      <c r="U837" s="4" t="b">
        <v>0</v>
      </c>
      <c r="V837" s="4" t="b">
        <f>AND(_xlfn.XLOOKUP(_xlfn.TEXTJOIN(,,D837:O837),Aux!$B$3:$B$4098,'Truth Table'!$T$3:$T$4098)=1,P836&lt;='Line Follower'!$C$7)</f>
        <v>1</v>
      </c>
      <c r="W837" s="4" t="b">
        <f>AND(_xlfn.XLOOKUP(_xlfn.TEXTJOIN(,,D837:O837),Aux!$B$3:$B$4098,'Truth Table'!$U$3:$U$4098)=1,P836&gt;='Line Follower'!$C$6)</f>
        <v>0</v>
      </c>
      <c r="X837" s="4" t="b">
        <f>IFERROR(AND(_xlfn.XLOOKUP(_xlfn.TEXTJOIN(,,D837:O837),Aux!$B$3:$B$4098,'Truth Table'!$V$3:$V$4098)=1,ABS(P836)&lt;='Line Follower'!$C$6),FALSE)</f>
        <v>0</v>
      </c>
      <c r="Y837" s="4" t="b">
        <f t="shared" si="13"/>
        <v>1</v>
      </c>
    </row>
    <row r="838" spans="2:25" x14ac:dyDescent="0.25">
      <c r="B838" s="4">
        <v>835</v>
      </c>
      <c r="C838" s="4">
        <v>7317</v>
      </c>
      <c r="D838" s="4">
        <v>1</v>
      </c>
      <c r="E838" s="4">
        <v>0</v>
      </c>
      <c r="F838" s="4">
        <v>0</v>
      </c>
      <c r="G838" s="4">
        <v>0</v>
      </c>
      <c r="H838" s="4">
        <v>0</v>
      </c>
      <c r="I838" s="4">
        <v>0</v>
      </c>
      <c r="J838" s="4">
        <v>0</v>
      </c>
      <c r="K838" s="4">
        <v>0</v>
      </c>
      <c r="L838" s="4">
        <v>0</v>
      </c>
      <c r="M838" s="4">
        <v>0</v>
      </c>
      <c r="N838" s="4">
        <v>0</v>
      </c>
      <c r="O838" s="4">
        <v>0</v>
      </c>
      <c r="P838" s="51">
        <f>IFERROR(_xlfn.XLOOKUP(_xlfn.TEXTJOIN(,,D837:O837),Aux!$B$3:$B$4098,'Truth Table'!$N$3:$N$4098),P837)</f>
        <v>-7</v>
      </c>
      <c r="Q838" s="4" t="b" cm="1">
        <f t="array" ref="Q838:U838">IFERROR(_xlfn.XLOOKUP(_xlfn.TEXTJOIN(,,D838:O838),Aux!$B$3:$B$4098,'Truth Table'!$O$3:$S$4098)=1,FALSE)</f>
        <v>0</v>
      </c>
      <c r="R838" s="4" t="b">
        <v>0</v>
      </c>
      <c r="S838" s="4" t="b">
        <v>0</v>
      </c>
      <c r="T838" s="4" t="b">
        <v>0</v>
      </c>
      <c r="U838" s="4" t="b">
        <v>0</v>
      </c>
      <c r="V838" s="4" t="b">
        <f>AND(_xlfn.XLOOKUP(_xlfn.TEXTJOIN(,,D838:O838),Aux!$B$3:$B$4098,'Truth Table'!$T$3:$T$4098)=1,P837&lt;='Line Follower'!$C$7)</f>
        <v>1</v>
      </c>
      <c r="W838" s="4" t="b">
        <f>AND(_xlfn.XLOOKUP(_xlfn.TEXTJOIN(,,D838:O838),Aux!$B$3:$B$4098,'Truth Table'!$U$3:$U$4098)=1,P837&gt;='Line Follower'!$C$6)</f>
        <v>0</v>
      </c>
      <c r="X838" s="4" t="b">
        <f>IFERROR(AND(_xlfn.XLOOKUP(_xlfn.TEXTJOIN(,,D838:O838),Aux!$B$3:$B$4098,'Truth Table'!$V$3:$V$4098)=1,ABS(P837)&lt;='Line Follower'!$C$6),FALSE)</f>
        <v>0</v>
      </c>
      <c r="Y838" s="4" t="b">
        <f t="shared" si="13"/>
        <v>1</v>
      </c>
    </row>
    <row r="839" spans="2:25" x14ac:dyDescent="0.25">
      <c r="B839" s="4">
        <v>836</v>
      </c>
      <c r="C839" s="4">
        <v>7326</v>
      </c>
      <c r="D839" s="4">
        <v>1</v>
      </c>
      <c r="E839" s="4">
        <v>0</v>
      </c>
      <c r="F839" s="4">
        <v>0</v>
      </c>
      <c r="G839" s="4">
        <v>0</v>
      </c>
      <c r="H839" s="4">
        <v>0</v>
      </c>
      <c r="I839" s="4">
        <v>0</v>
      </c>
      <c r="J839" s="4">
        <v>0</v>
      </c>
      <c r="K839" s="4">
        <v>0</v>
      </c>
      <c r="L839" s="4">
        <v>0</v>
      </c>
      <c r="M839" s="4">
        <v>0</v>
      </c>
      <c r="N839" s="4">
        <v>0</v>
      </c>
      <c r="O839" s="4">
        <v>0</v>
      </c>
      <c r="P839" s="51">
        <f>IFERROR(_xlfn.XLOOKUP(_xlfn.TEXTJOIN(,,D838:O838),Aux!$B$3:$B$4098,'Truth Table'!$N$3:$N$4098),P838)</f>
        <v>-7</v>
      </c>
      <c r="Q839" s="4" t="b" cm="1">
        <f t="array" ref="Q839:U839">IFERROR(_xlfn.XLOOKUP(_xlfn.TEXTJOIN(,,D839:O839),Aux!$B$3:$B$4098,'Truth Table'!$O$3:$S$4098)=1,FALSE)</f>
        <v>0</v>
      </c>
      <c r="R839" s="4" t="b">
        <v>0</v>
      </c>
      <c r="S839" s="4" t="b">
        <v>0</v>
      </c>
      <c r="T839" s="4" t="b">
        <v>0</v>
      </c>
      <c r="U839" s="4" t="b">
        <v>0</v>
      </c>
      <c r="V839" s="4" t="b">
        <f>AND(_xlfn.XLOOKUP(_xlfn.TEXTJOIN(,,D839:O839),Aux!$B$3:$B$4098,'Truth Table'!$T$3:$T$4098)=1,P838&lt;='Line Follower'!$C$7)</f>
        <v>1</v>
      </c>
      <c r="W839" s="4" t="b">
        <f>AND(_xlfn.XLOOKUP(_xlfn.TEXTJOIN(,,D839:O839),Aux!$B$3:$B$4098,'Truth Table'!$U$3:$U$4098)=1,P838&gt;='Line Follower'!$C$6)</f>
        <v>0</v>
      </c>
      <c r="X839" s="4" t="b">
        <f>IFERROR(AND(_xlfn.XLOOKUP(_xlfn.TEXTJOIN(,,D839:O839),Aux!$B$3:$B$4098,'Truth Table'!$V$3:$V$4098)=1,ABS(P838)&lt;='Line Follower'!$C$6),FALSE)</f>
        <v>0</v>
      </c>
      <c r="Y839" s="4" t="b">
        <f t="shared" si="13"/>
        <v>1</v>
      </c>
    </row>
    <row r="840" spans="2:25" x14ac:dyDescent="0.25">
      <c r="B840" s="4">
        <v>837</v>
      </c>
      <c r="C840" s="4">
        <v>7374</v>
      </c>
      <c r="D840" s="4">
        <v>1</v>
      </c>
      <c r="E840" s="4">
        <v>0</v>
      </c>
      <c r="F840" s="4">
        <v>0</v>
      </c>
      <c r="G840" s="4">
        <v>0</v>
      </c>
      <c r="H840" s="4">
        <v>0</v>
      </c>
      <c r="I840" s="4">
        <v>0</v>
      </c>
      <c r="J840" s="4">
        <v>0</v>
      </c>
      <c r="K840" s="4">
        <v>0</v>
      </c>
      <c r="L840" s="4">
        <v>0</v>
      </c>
      <c r="M840" s="4">
        <v>1</v>
      </c>
      <c r="N840" s="4">
        <v>0</v>
      </c>
      <c r="O840" s="4">
        <v>0</v>
      </c>
      <c r="P840" s="51">
        <f>IFERROR(_xlfn.XLOOKUP(_xlfn.TEXTJOIN(,,D839:O839),Aux!$B$3:$B$4098,'Truth Table'!$N$3:$N$4098),P839)</f>
        <v>-7</v>
      </c>
      <c r="Q840" s="4" t="b" cm="1">
        <f t="array" ref="Q840:U840">IFERROR(_xlfn.XLOOKUP(_xlfn.TEXTJOIN(,,D840:O840),Aux!$B$3:$B$4098,'Truth Table'!$O$3:$S$4098)=1,FALSE)</f>
        <v>1</v>
      </c>
      <c r="R840" s="4" t="b">
        <v>0</v>
      </c>
      <c r="S840" s="4" t="b">
        <v>0</v>
      </c>
      <c r="T840" s="4" t="b">
        <v>1</v>
      </c>
      <c r="U840" s="4" t="b">
        <v>0</v>
      </c>
      <c r="V840" s="4" t="b">
        <f>AND(_xlfn.XLOOKUP(_xlfn.TEXTJOIN(,,D840:O840),Aux!$B$3:$B$4098,'Truth Table'!$T$3:$T$4098)=1,P839&lt;='Line Follower'!$C$7)</f>
        <v>0</v>
      </c>
      <c r="W840" s="4" t="b">
        <f>AND(_xlfn.XLOOKUP(_xlfn.TEXTJOIN(,,D840:O840),Aux!$B$3:$B$4098,'Truth Table'!$U$3:$U$4098)=1,P839&gt;='Line Follower'!$C$6)</f>
        <v>0</v>
      </c>
      <c r="X840" s="4" t="b">
        <f>IFERROR(AND(_xlfn.XLOOKUP(_xlfn.TEXTJOIN(,,D840:O840),Aux!$B$3:$B$4098,'Truth Table'!$V$3:$V$4098)=1,ABS(P839)&lt;='Line Follower'!$C$6),FALSE)</f>
        <v>0</v>
      </c>
      <c r="Y840" s="4" t="b">
        <f t="shared" si="13"/>
        <v>1</v>
      </c>
    </row>
    <row r="841" spans="2:25" x14ac:dyDescent="0.25">
      <c r="B841" s="4">
        <v>838</v>
      </c>
      <c r="C841" s="4">
        <v>7376</v>
      </c>
      <c r="D841" s="4">
        <v>1</v>
      </c>
      <c r="E841" s="4">
        <v>0</v>
      </c>
      <c r="F841" s="4">
        <v>0</v>
      </c>
      <c r="G841" s="4">
        <v>0</v>
      </c>
      <c r="H841" s="4">
        <v>0</v>
      </c>
      <c r="I841" s="4">
        <v>0</v>
      </c>
      <c r="J841" s="4">
        <v>0</v>
      </c>
      <c r="K841" s="4">
        <v>0</v>
      </c>
      <c r="L841" s="4">
        <v>0</v>
      </c>
      <c r="M841" s="4">
        <v>1</v>
      </c>
      <c r="N841" s="4">
        <v>0</v>
      </c>
      <c r="O841" s="4">
        <v>0</v>
      </c>
      <c r="P841" s="51">
        <f>IFERROR(_xlfn.XLOOKUP(_xlfn.TEXTJOIN(,,D840:O840),Aux!$B$3:$B$4098,'Truth Table'!$N$3:$N$4098),P840)</f>
        <v>7</v>
      </c>
      <c r="Q841" s="4" t="b" cm="1">
        <f t="array" ref="Q841:U841">IFERROR(_xlfn.XLOOKUP(_xlfn.TEXTJOIN(,,D841:O841),Aux!$B$3:$B$4098,'Truth Table'!$O$3:$S$4098)=1,FALSE)</f>
        <v>1</v>
      </c>
      <c r="R841" s="4" t="b">
        <v>0</v>
      </c>
      <c r="S841" s="4" t="b">
        <v>0</v>
      </c>
      <c r="T841" s="4" t="b">
        <v>1</v>
      </c>
      <c r="U841" s="4" t="b">
        <v>0</v>
      </c>
      <c r="V841" s="4" t="b">
        <f>AND(_xlfn.XLOOKUP(_xlfn.TEXTJOIN(,,D841:O841),Aux!$B$3:$B$4098,'Truth Table'!$T$3:$T$4098)=1,P840&lt;='Line Follower'!$C$7)</f>
        <v>0</v>
      </c>
      <c r="W841" s="4" t="b">
        <f>AND(_xlfn.XLOOKUP(_xlfn.TEXTJOIN(,,D841:O841),Aux!$B$3:$B$4098,'Truth Table'!$U$3:$U$4098)=1,P840&gt;='Line Follower'!$C$6)</f>
        <v>0</v>
      </c>
      <c r="X841" s="4" t="b">
        <f>IFERROR(AND(_xlfn.XLOOKUP(_xlfn.TEXTJOIN(,,D841:O841),Aux!$B$3:$B$4098,'Truth Table'!$V$3:$V$4098)=1,ABS(P840)&lt;='Line Follower'!$C$6),FALSE)</f>
        <v>0</v>
      </c>
      <c r="Y841" s="4" t="b">
        <f t="shared" si="13"/>
        <v>1</v>
      </c>
    </row>
    <row r="842" spans="2:25" x14ac:dyDescent="0.25">
      <c r="B842" s="4">
        <v>839</v>
      </c>
      <c r="C842" s="4">
        <v>7377</v>
      </c>
      <c r="D842" s="4">
        <v>1</v>
      </c>
      <c r="E842" s="4">
        <v>0</v>
      </c>
      <c r="F842" s="4">
        <v>0</v>
      </c>
      <c r="G842" s="4">
        <v>0</v>
      </c>
      <c r="H842" s="4">
        <v>0</v>
      </c>
      <c r="I842" s="4">
        <v>0</v>
      </c>
      <c r="J842" s="4">
        <v>0</v>
      </c>
      <c r="K842" s="4">
        <v>0</v>
      </c>
      <c r="L842" s="4">
        <v>0</v>
      </c>
      <c r="M842" s="4">
        <v>0</v>
      </c>
      <c r="N842" s="4">
        <v>0</v>
      </c>
      <c r="O842" s="4">
        <v>0</v>
      </c>
      <c r="P842" s="51">
        <f>IFERROR(_xlfn.XLOOKUP(_xlfn.TEXTJOIN(,,D841:O841),Aux!$B$3:$B$4098,'Truth Table'!$N$3:$N$4098),P841)</f>
        <v>7</v>
      </c>
      <c r="Q842" s="4" t="b" cm="1">
        <f t="array" ref="Q842:U842">IFERROR(_xlfn.XLOOKUP(_xlfn.TEXTJOIN(,,D842:O842),Aux!$B$3:$B$4098,'Truth Table'!$O$3:$S$4098)=1,FALSE)</f>
        <v>0</v>
      </c>
      <c r="R842" s="4" t="b">
        <v>0</v>
      </c>
      <c r="S842" s="4" t="b">
        <v>0</v>
      </c>
      <c r="T842" s="4" t="b">
        <v>0</v>
      </c>
      <c r="U842" s="4" t="b">
        <v>0</v>
      </c>
      <c r="V842" s="4" t="b">
        <f>AND(_xlfn.XLOOKUP(_xlfn.TEXTJOIN(,,D842:O842),Aux!$B$3:$B$4098,'Truth Table'!$T$3:$T$4098)=1,P841&lt;='Line Follower'!$C$7)</f>
        <v>0</v>
      </c>
      <c r="W842" s="4" t="b">
        <f>AND(_xlfn.XLOOKUP(_xlfn.TEXTJOIN(,,D842:O842),Aux!$B$3:$B$4098,'Truth Table'!$U$3:$U$4098)=1,P841&gt;='Line Follower'!$C$6)</f>
        <v>0</v>
      </c>
      <c r="X842" s="4" t="b">
        <f>IFERROR(AND(_xlfn.XLOOKUP(_xlfn.TEXTJOIN(,,D842:O842),Aux!$B$3:$B$4098,'Truth Table'!$V$3:$V$4098)=1,ABS(P841)&lt;='Line Follower'!$C$6),FALSE)</f>
        <v>0</v>
      </c>
      <c r="Y842" s="4" t="b">
        <f t="shared" si="13"/>
        <v>0</v>
      </c>
    </row>
    <row r="843" spans="2:25" x14ac:dyDescent="0.25">
      <c r="B843" s="4">
        <v>840</v>
      </c>
      <c r="C843" s="4">
        <v>7378</v>
      </c>
      <c r="D843" s="4">
        <v>1</v>
      </c>
      <c r="E843" s="4">
        <v>0</v>
      </c>
      <c r="F843" s="4">
        <v>0</v>
      </c>
      <c r="G843" s="4">
        <v>0</v>
      </c>
      <c r="H843" s="4">
        <v>0</v>
      </c>
      <c r="I843" s="4">
        <v>0</v>
      </c>
      <c r="J843" s="4">
        <v>0</v>
      </c>
      <c r="K843" s="4">
        <v>0</v>
      </c>
      <c r="L843" s="4">
        <v>0</v>
      </c>
      <c r="M843" s="4">
        <v>1</v>
      </c>
      <c r="N843" s="4">
        <v>0</v>
      </c>
      <c r="O843" s="4">
        <v>0</v>
      </c>
      <c r="P843" s="51">
        <f>IFERROR(_xlfn.XLOOKUP(_xlfn.TEXTJOIN(,,D842:O842),Aux!$B$3:$B$4098,'Truth Table'!$N$3:$N$4098),P842)</f>
        <v>7</v>
      </c>
      <c r="Q843" s="4" t="b" cm="1">
        <f t="array" ref="Q843:U843">IFERROR(_xlfn.XLOOKUP(_xlfn.TEXTJOIN(,,D843:O843),Aux!$B$3:$B$4098,'Truth Table'!$O$3:$S$4098)=1,FALSE)</f>
        <v>1</v>
      </c>
      <c r="R843" s="4" t="b">
        <v>0</v>
      </c>
      <c r="S843" s="4" t="b">
        <v>0</v>
      </c>
      <c r="T843" s="4" t="b">
        <v>1</v>
      </c>
      <c r="U843" s="4" t="b">
        <v>0</v>
      </c>
      <c r="V843" s="4" t="b">
        <f>AND(_xlfn.XLOOKUP(_xlfn.TEXTJOIN(,,D843:O843),Aux!$B$3:$B$4098,'Truth Table'!$T$3:$T$4098)=1,P842&lt;='Line Follower'!$C$7)</f>
        <v>0</v>
      </c>
      <c r="W843" s="4" t="b">
        <f>AND(_xlfn.XLOOKUP(_xlfn.TEXTJOIN(,,D843:O843),Aux!$B$3:$B$4098,'Truth Table'!$U$3:$U$4098)=1,P842&gt;='Line Follower'!$C$6)</f>
        <v>0</v>
      </c>
      <c r="X843" s="4" t="b">
        <f>IFERROR(AND(_xlfn.XLOOKUP(_xlfn.TEXTJOIN(,,D843:O843),Aux!$B$3:$B$4098,'Truth Table'!$V$3:$V$4098)=1,ABS(P842)&lt;='Line Follower'!$C$6),FALSE)</f>
        <v>0</v>
      </c>
      <c r="Y843" s="4" t="b">
        <f t="shared" si="13"/>
        <v>1</v>
      </c>
    </row>
    <row r="844" spans="2:25" x14ac:dyDescent="0.25">
      <c r="B844" s="4">
        <v>841</v>
      </c>
      <c r="C844" s="4">
        <v>7379</v>
      </c>
      <c r="D844" s="4">
        <v>1</v>
      </c>
      <c r="E844" s="4">
        <v>0</v>
      </c>
      <c r="F844" s="4">
        <v>0</v>
      </c>
      <c r="G844" s="4">
        <v>0</v>
      </c>
      <c r="H844" s="4">
        <v>0</v>
      </c>
      <c r="I844" s="4">
        <v>0</v>
      </c>
      <c r="J844" s="4">
        <v>0</v>
      </c>
      <c r="K844" s="4">
        <v>0</v>
      </c>
      <c r="L844" s="4">
        <v>0</v>
      </c>
      <c r="M844" s="4">
        <v>1</v>
      </c>
      <c r="N844" s="4">
        <v>0</v>
      </c>
      <c r="O844" s="4">
        <v>0</v>
      </c>
      <c r="P844" s="51">
        <f>IFERROR(_xlfn.XLOOKUP(_xlfn.TEXTJOIN(,,D843:O843),Aux!$B$3:$B$4098,'Truth Table'!$N$3:$N$4098),P843)</f>
        <v>7</v>
      </c>
      <c r="Q844" s="4" t="b" cm="1">
        <f t="array" ref="Q844:U844">IFERROR(_xlfn.XLOOKUP(_xlfn.TEXTJOIN(,,D844:O844),Aux!$B$3:$B$4098,'Truth Table'!$O$3:$S$4098)=1,FALSE)</f>
        <v>1</v>
      </c>
      <c r="R844" s="4" t="b">
        <v>0</v>
      </c>
      <c r="S844" s="4" t="b">
        <v>0</v>
      </c>
      <c r="T844" s="4" t="b">
        <v>1</v>
      </c>
      <c r="U844" s="4" t="b">
        <v>0</v>
      </c>
      <c r="V844" s="4" t="b">
        <f>AND(_xlfn.XLOOKUP(_xlfn.TEXTJOIN(,,D844:O844),Aux!$B$3:$B$4098,'Truth Table'!$T$3:$T$4098)=1,P843&lt;='Line Follower'!$C$7)</f>
        <v>0</v>
      </c>
      <c r="W844" s="4" t="b">
        <f>AND(_xlfn.XLOOKUP(_xlfn.TEXTJOIN(,,D844:O844),Aux!$B$3:$B$4098,'Truth Table'!$U$3:$U$4098)=1,P843&gt;='Line Follower'!$C$6)</f>
        <v>0</v>
      </c>
      <c r="X844" s="4" t="b">
        <f>IFERROR(AND(_xlfn.XLOOKUP(_xlfn.TEXTJOIN(,,D844:O844),Aux!$B$3:$B$4098,'Truth Table'!$V$3:$V$4098)=1,ABS(P843)&lt;='Line Follower'!$C$6),FALSE)</f>
        <v>0</v>
      </c>
      <c r="Y844" s="4" t="b">
        <f t="shared" si="13"/>
        <v>1</v>
      </c>
    </row>
    <row r="845" spans="2:25" x14ac:dyDescent="0.25">
      <c r="B845" s="4">
        <v>842</v>
      </c>
      <c r="C845" s="4">
        <v>7393</v>
      </c>
      <c r="D845" s="4">
        <v>1</v>
      </c>
      <c r="E845" s="4">
        <v>0</v>
      </c>
      <c r="F845" s="4">
        <v>0</v>
      </c>
      <c r="G845" s="4">
        <v>0</v>
      </c>
      <c r="H845" s="4">
        <v>0</v>
      </c>
      <c r="I845" s="4">
        <v>0</v>
      </c>
      <c r="J845" s="4">
        <v>0</v>
      </c>
      <c r="K845" s="4">
        <v>0</v>
      </c>
      <c r="L845" s="4">
        <v>0</v>
      </c>
      <c r="M845" s="4">
        <v>1</v>
      </c>
      <c r="N845" s="4">
        <v>0</v>
      </c>
      <c r="O845" s="4">
        <v>0</v>
      </c>
      <c r="P845" s="51">
        <f>IFERROR(_xlfn.XLOOKUP(_xlfn.TEXTJOIN(,,D844:O844),Aux!$B$3:$B$4098,'Truth Table'!$N$3:$N$4098),P844)</f>
        <v>7</v>
      </c>
      <c r="Q845" s="4" t="b" cm="1">
        <f t="array" ref="Q845:U845">IFERROR(_xlfn.XLOOKUP(_xlfn.TEXTJOIN(,,D845:O845),Aux!$B$3:$B$4098,'Truth Table'!$O$3:$S$4098)=1,FALSE)</f>
        <v>1</v>
      </c>
      <c r="R845" s="4" t="b">
        <v>0</v>
      </c>
      <c r="S845" s="4" t="b">
        <v>0</v>
      </c>
      <c r="T845" s="4" t="b">
        <v>1</v>
      </c>
      <c r="U845" s="4" t="b">
        <v>0</v>
      </c>
      <c r="V845" s="4" t="b">
        <f>AND(_xlfn.XLOOKUP(_xlfn.TEXTJOIN(,,D845:O845),Aux!$B$3:$B$4098,'Truth Table'!$T$3:$T$4098)=1,P844&lt;='Line Follower'!$C$7)</f>
        <v>0</v>
      </c>
      <c r="W845" s="4" t="b">
        <f>AND(_xlfn.XLOOKUP(_xlfn.TEXTJOIN(,,D845:O845),Aux!$B$3:$B$4098,'Truth Table'!$U$3:$U$4098)=1,P844&gt;='Line Follower'!$C$6)</f>
        <v>0</v>
      </c>
      <c r="X845" s="4" t="b">
        <f>IFERROR(AND(_xlfn.XLOOKUP(_xlfn.TEXTJOIN(,,D845:O845),Aux!$B$3:$B$4098,'Truth Table'!$V$3:$V$4098)=1,ABS(P844)&lt;='Line Follower'!$C$6),FALSE)</f>
        <v>0</v>
      </c>
      <c r="Y845" s="4" t="b">
        <f t="shared" si="13"/>
        <v>1</v>
      </c>
    </row>
    <row r="846" spans="2:25" x14ac:dyDescent="0.25">
      <c r="B846" s="4">
        <v>843</v>
      </c>
      <c r="C846" s="4">
        <v>7404</v>
      </c>
      <c r="D846" s="4">
        <v>1</v>
      </c>
      <c r="E846" s="4">
        <v>0</v>
      </c>
      <c r="F846" s="4">
        <v>0</v>
      </c>
      <c r="G846" s="4">
        <v>0</v>
      </c>
      <c r="H846" s="4">
        <v>0</v>
      </c>
      <c r="I846" s="4">
        <v>0</v>
      </c>
      <c r="J846" s="4">
        <v>0</v>
      </c>
      <c r="K846" s="4">
        <v>0</v>
      </c>
      <c r="L846" s="4">
        <v>0</v>
      </c>
      <c r="M846" s="4">
        <v>1</v>
      </c>
      <c r="N846" s="4">
        <v>0</v>
      </c>
      <c r="O846" s="4">
        <v>0</v>
      </c>
      <c r="P846" s="51">
        <f>IFERROR(_xlfn.XLOOKUP(_xlfn.TEXTJOIN(,,D845:O845),Aux!$B$3:$B$4098,'Truth Table'!$N$3:$N$4098),P845)</f>
        <v>7</v>
      </c>
      <c r="Q846" s="4" t="b" cm="1">
        <f t="array" ref="Q846:U846">IFERROR(_xlfn.XLOOKUP(_xlfn.TEXTJOIN(,,D846:O846),Aux!$B$3:$B$4098,'Truth Table'!$O$3:$S$4098)=1,FALSE)</f>
        <v>1</v>
      </c>
      <c r="R846" s="4" t="b">
        <v>0</v>
      </c>
      <c r="S846" s="4" t="b">
        <v>0</v>
      </c>
      <c r="T846" s="4" t="b">
        <v>1</v>
      </c>
      <c r="U846" s="4" t="b">
        <v>0</v>
      </c>
      <c r="V846" s="4" t="b">
        <f>AND(_xlfn.XLOOKUP(_xlfn.TEXTJOIN(,,D846:O846),Aux!$B$3:$B$4098,'Truth Table'!$T$3:$T$4098)=1,P845&lt;='Line Follower'!$C$7)</f>
        <v>0</v>
      </c>
      <c r="W846" s="4" t="b">
        <f>AND(_xlfn.XLOOKUP(_xlfn.TEXTJOIN(,,D846:O846),Aux!$B$3:$B$4098,'Truth Table'!$U$3:$U$4098)=1,P845&gt;='Line Follower'!$C$6)</f>
        <v>0</v>
      </c>
      <c r="X846" s="4" t="b">
        <f>IFERROR(AND(_xlfn.XLOOKUP(_xlfn.TEXTJOIN(,,D846:O846),Aux!$B$3:$B$4098,'Truth Table'!$V$3:$V$4098)=1,ABS(P845)&lt;='Line Follower'!$C$6),FALSE)</f>
        <v>0</v>
      </c>
      <c r="Y846" s="4" t="b">
        <f t="shared" si="13"/>
        <v>1</v>
      </c>
    </row>
    <row r="847" spans="2:25" x14ac:dyDescent="0.25">
      <c r="B847" s="4">
        <v>844</v>
      </c>
      <c r="C847" s="4">
        <v>7409</v>
      </c>
      <c r="D847" s="4">
        <v>1</v>
      </c>
      <c r="E847" s="4">
        <v>0</v>
      </c>
      <c r="F847" s="4">
        <v>0</v>
      </c>
      <c r="G847" s="4">
        <v>0</v>
      </c>
      <c r="H847" s="4">
        <v>0</v>
      </c>
      <c r="I847" s="4">
        <v>0</v>
      </c>
      <c r="J847" s="4">
        <v>0</v>
      </c>
      <c r="K847" s="4">
        <v>0</v>
      </c>
      <c r="L847" s="4">
        <v>0</v>
      </c>
      <c r="M847" s="4">
        <v>1</v>
      </c>
      <c r="N847" s="4">
        <v>0</v>
      </c>
      <c r="O847" s="4">
        <v>0</v>
      </c>
      <c r="P847" s="51">
        <f>IFERROR(_xlfn.XLOOKUP(_xlfn.TEXTJOIN(,,D846:O846),Aux!$B$3:$B$4098,'Truth Table'!$N$3:$N$4098),P846)</f>
        <v>7</v>
      </c>
      <c r="Q847" s="4" t="b" cm="1">
        <f t="array" ref="Q847:U847">IFERROR(_xlfn.XLOOKUP(_xlfn.TEXTJOIN(,,D847:O847),Aux!$B$3:$B$4098,'Truth Table'!$O$3:$S$4098)=1,FALSE)</f>
        <v>1</v>
      </c>
      <c r="R847" s="4" t="b">
        <v>0</v>
      </c>
      <c r="S847" s="4" t="b">
        <v>0</v>
      </c>
      <c r="T847" s="4" t="b">
        <v>1</v>
      </c>
      <c r="U847" s="4" t="b">
        <v>0</v>
      </c>
      <c r="V847" s="4" t="b">
        <f>AND(_xlfn.XLOOKUP(_xlfn.TEXTJOIN(,,D847:O847),Aux!$B$3:$B$4098,'Truth Table'!$T$3:$T$4098)=1,P846&lt;='Line Follower'!$C$7)</f>
        <v>0</v>
      </c>
      <c r="W847" s="4" t="b">
        <f>AND(_xlfn.XLOOKUP(_xlfn.TEXTJOIN(,,D847:O847),Aux!$B$3:$B$4098,'Truth Table'!$U$3:$U$4098)=1,P846&gt;='Line Follower'!$C$6)</f>
        <v>0</v>
      </c>
      <c r="X847" s="4" t="b">
        <f>IFERROR(AND(_xlfn.XLOOKUP(_xlfn.TEXTJOIN(,,D847:O847),Aux!$B$3:$B$4098,'Truth Table'!$V$3:$V$4098)=1,ABS(P846)&lt;='Line Follower'!$C$6),FALSE)</f>
        <v>0</v>
      </c>
      <c r="Y847" s="4" t="b">
        <f t="shared" si="13"/>
        <v>1</v>
      </c>
    </row>
    <row r="848" spans="2:25" x14ac:dyDescent="0.25">
      <c r="B848" s="4">
        <v>845</v>
      </c>
      <c r="C848" s="4">
        <v>7418</v>
      </c>
      <c r="D848" s="4">
        <v>1</v>
      </c>
      <c r="E848" s="4">
        <v>0</v>
      </c>
      <c r="F848" s="4">
        <v>0</v>
      </c>
      <c r="G848" s="4">
        <v>0</v>
      </c>
      <c r="H848" s="4">
        <v>0</v>
      </c>
      <c r="I848" s="4">
        <v>0</v>
      </c>
      <c r="J848" s="4">
        <v>0</v>
      </c>
      <c r="K848" s="4">
        <v>0</v>
      </c>
      <c r="L848" s="4">
        <v>0</v>
      </c>
      <c r="M848" s="4">
        <v>1</v>
      </c>
      <c r="N848" s="4">
        <v>0</v>
      </c>
      <c r="O848" s="4">
        <v>0</v>
      </c>
      <c r="P848" s="51">
        <f>IFERROR(_xlfn.XLOOKUP(_xlfn.TEXTJOIN(,,D847:O847),Aux!$B$3:$B$4098,'Truth Table'!$N$3:$N$4098),P847)</f>
        <v>7</v>
      </c>
      <c r="Q848" s="4" t="b" cm="1">
        <f t="array" ref="Q848:U848">IFERROR(_xlfn.XLOOKUP(_xlfn.TEXTJOIN(,,D848:O848),Aux!$B$3:$B$4098,'Truth Table'!$O$3:$S$4098)=1,FALSE)</f>
        <v>1</v>
      </c>
      <c r="R848" s="4" t="b">
        <v>0</v>
      </c>
      <c r="S848" s="4" t="b">
        <v>0</v>
      </c>
      <c r="T848" s="4" t="b">
        <v>1</v>
      </c>
      <c r="U848" s="4" t="b">
        <v>0</v>
      </c>
      <c r="V848" s="4" t="b">
        <f>AND(_xlfn.XLOOKUP(_xlfn.TEXTJOIN(,,D848:O848),Aux!$B$3:$B$4098,'Truth Table'!$T$3:$T$4098)=1,P847&lt;='Line Follower'!$C$7)</f>
        <v>0</v>
      </c>
      <c r="W848" s="4" t="b">
        <f>AND(_xlfn.XLOOKUP(_xlfn.TEXTJOIN(,,D848:O848),Aux!$B$3:$B$4098,'Truth Table'!$U$3:$U$4098)=1,P847&gt;='Line Follower'!$C$6)</f>
        <v>0</v>
      </c>
      <c r="X848" s="4" t="b">
        <f>IFERROR(AND(_xlfn.XLOOKUP(_xlfn.TEXTJOIN(,,D848:O848),Aux!$B$3:$B$4098,'Truth Table'!$V$3:$V$4098)=1,ABS(P847)&lt;='Line Follower'!$C$6),FALSE)</f>
        <v>0</v>
      </c>
      <c r="Y848" s="4" t="b">
        <f t="shared" si="13"/>
        <v>1</v>
      </c>
    </row>
    <row r="849" spans="2:25" x14ac:dyDescent="0.25">
      <c r="B849" s="4">
        <v>846</v>
      </c>
      <c r="C849" s="4">
        <v>7432</v>
      </c>
      <c r="D849" s="4">
        <v>1</v>
      </c>
      <c r="E849" s="4">
        <v>0</v>
      </c>
      <c r="F849" s="4">
        <v>0</v>
      </c>
      <c r="G849" s="4">
        <v>0</v>
      </c>
      <c r="H849" s="4">
        <v>0</v>
      </c>
      <c r="I849" s="4">
        <v>0</v>
      </c>
      <c r="J849" s="4">
        <v>0</v>
      </c>
      <c r="K849" s="4">
        <v>0</v>
      </c>
      <c r="L849" s="4">
        <v>0</v>
      </c>
      <c r="M849" s="4">
        <v>1</v>
      </c>
      <c r="N849" s="4">
        <v>0</v>
      </c>
      <c r="O849" s="4">
        <v>0</v>
      </c>
      <c r="P849" s="51">
        <f>IFERROR(_xlfn.XLOOKUP(_xlfn.TEXTJOIN(,,D848:O848),Aux!$B$3:$B$4098,'Truth Table'!$N$3:$N$4098),P848)</f>
        <v>7</v>
      </c>
      <c r="Q849" s="4" t="b" cm="1">
        <f t="array" ref="Q849:U849">IFERROR(_xlfn.XLOOKUP(_xlfn.TEXTJOIN(,,D849:O849),Aux!$B$3:$B$4098,'Truth Table'!$O$3:$S$4098)=1,FALSE)</f>
        <v>1</v>
      </c>
      <c r="R849" s="4" t="b">
        <v>0</v>
      </c>
      <c r="S849" s="4" t="b">
        <v>0</v>
      </c>
      <c r="T849" s="4" t="b">
        <v>1</v>
      </c>
      <c r="U849" s="4" t="b">
        <v>0</v>
      </c>
      <c r="V849" s="4" t="b">
        <f>AND(_xlfn.XLOOKUP(_xlfn.TEXTJOIN(,,D849:O849),Aux!$B$3:$B$4098,'Truth Table'!$T$3:$T$4098)=1,P848&lt;='Line Follower'!$C$7)</f>
        <v>0</v>
      </c>
      <c r="W849" s="4" t="b">
        <f>AND(_xlfn.XLOOKUP(_xlfn.TEXTJOIN(,,D849:O849),Aux!$B$3:$B$4098,'Truth Table'!$U$3:$U$4098)=1,P848&gt;='Line Follower'!$C$6)</f>
        <v>0</v>
      </c>
      <c r="X849" s="4" t="b">
        <f>IFERROR(AND(_xlfn.XLOOKUP(_xlfn.TEXTJOIN(,,D849:O849),Aux!$B$3:$B$4098,'Truth Table'!$V$3:$V$4098)=1,ABS(P848)&lt;='Line Follower'!$C$6),FALSE)</f>
        <v>0</v>
      </c>
      <c r="Y849" s="4" t="b">
        <f t="shared" si="13"/>
        <v>1</v>
      </c>
    </row>
    <row r="850" spans="2:25" x14ac:dyDescent="0.25">
      <c r="B850" s="4">
        <v>847</v>
      </c>
      <c r="C850" s="4">
        <v>7443</v>
      </c>
      <c r="D850" s="4">
        <v>1</v>
      </c>
      <c r="E850" s="4">
        <v>0</v>
      </c>
      <c r="F850" s="4">
        <v>0</v>
      </c>
      <c r="G850" s="4">
        <v>0</v>
      </c>
      <c r="H850" s="4">
        <v>0</v>
      </c>
      <c r="I850" s="4">
        <v>0</v>
      </c>
      <c r="J850" s="4">
        <v>0</v>
      </c>
      <c r="K850" s="4">
        <v>0</v>
      </c>
      <c r="L850" s="4">
        <v>0</v>
      </c>
      <c r="M850" s="4">
        <v>1</v>
      </c>
      <c r="N850" s="4">
        <v>1</v>
      </c>
      <c r="O850" s="4">
        <v>0</v>
      </c>
      <c r="P850" s="51">
        <f>IFERROR(_xlfn.XLOOKUP(_xlfn.TEXTJOIN(,,D849:O849),Aux!$B$3:$B$4098,'Truth Table'!$N$3:$N$4098),P849)</f>
        <v>7</v>
      </c>
      <c r="Q850" s="4" t="b" cm="1">
        <f t="array" ref="Q850:U850">IFERROR(_xlfn.XLOOKUP(_xlfn.TEXTJOIN(,,D850:O850),Aux!$B$3:$B$4098,'Truth Table'!$O$3:$S$4098)=1,FALSE)</f>
        <v>1</v>
      </c>
      <c r="R850" s="4" t="b">
        <v>0</v>
      </c>
      <c r="S850" s="4" t="b">
        <v>0</v>
      </c>
      <c r="T850" s="4" t="b">
        <v>1</v>
      </c>
      <c r="U850" s="4" t="b">
        <v>0</v>
      </c>
      <c r="V850" s="4" t="b">
        <f>AND(_xlfn.XLOOKUP(_xlfn.TEXTJOIN(,,D850:O850),Aux!$B$3:$B$4098,'Truth Table'!$T$3:$T$4098)=1,P849&lt;='Line Follower'!$C$7)</f>
        <v>0</v>
      </c>
      <c r="W850" s="4" t="b">
        <f>AND(_xlfn.XLOOKUP(_xlfn.TEXTJOIN(,,D850:O850),Aux!$B$3:$B$4098,'Truth Table'!$U$3:$U$4098)=1,P849&gt;='Line Follower'!$C$6)</f>
        <v>0</v>
      </c>
      <c r="X850" s="4" t="b">
        <f>IFERROR(AND(_xlfn.XLOOKUP(_xlfn.TEXTJOIN(,,D850:O850),Aux!$B$3:$B$4098,'Truth Table'!$V$3:$V$4098)=1,ABS(P849)&lt;='Line Follower'!$C$6),FALSE)</f>
        <v>0</v>
      </c>
      <c r="Y850" s="4" t="b">
        <f t="shared" si="13"/>
        <v>1</v>
      </c>
    </row>
    <row r="851" spans="2:25" x14ac:dyDescent="0.25">
      <c r="B851" s="4">
        <v>848</v>
      </c>
      <c r="C851" s="4">
        <v>7444</v>
      </c>
      <c r="D851" s="4">
        <v>1</v>
      </c>
      <c r="E851" s="4">
        <v>0</v>
      </c>
      <c r="F851" s="4">
        <v>0</v>
      </c>
      <c r="G851" s="4">
        <v>0</v>
      </c>
      <c r="H851" s="4">
        <v>0</v>
      </c>
      <c r="I851" s="4">
        <v>0</v>
      </c>
      <c r="J851" s="4">
        <v>0</v>
      </c>
      <c r="K851" s="4">
        <v>0</v>
      </c>
      <c r="L851" s="4">
        <v>0</v>
      </c>
      <c r="M851" s="4">
        <v>1</v>
      </c>
      <c r="N851" s="4">
        <v>1</v>
      </c>
      <c r="O851" s="4">
        <v>0</v>
      </c>
      <c r="P851" s="51">
        <f>IFERROR(_xlfn.XLOOKUP(_xlfn.TEXTJOIN(,,D850:O850),Aux!$B$3:$B$4098,'Truth Table'!$N$3:$N$4098),P850)</f>
        <v>7</v>
      </c>
      <c r="Q851" s="4" t="b" cm="1">
        <f t="array" ref="Q851:U851">IFERROR(_xlfn.XLOOKUP(_xlfn.TEXTJOIN(,,D851:O851),Aux!$B$3:$B$4098,'Truth Table'!$O$3:$S$4098)=1,FALSE)</f>
        <v>1</v>
      </c>
      <c r="R851" s="4" t="b">
        <v>0</v>
      </c>
      <c r="S851" s="4" t="b">
        <v>0</v>
      </c>
      <c r="T851" s="4" t="b">
        <v>1</v>
      </c>
      <c r="U851" s="4" t="b">
        <v>0</v>
      </c>
      <c r="V851" s="4" t="b">
        <f>AND(_xlfn.XLOOKUP(_xlfn.TEXTJOIN(,,D851:O851),Aux!$B$3:$B$4098,'Truth Table'!$T$3:$T$4098)=1,P850&lt;='Line Follower'!$C$7)</f>
        <v>0</v>
      </c>
      <c r="W851" s="4" t="b">
        <f>AND(_xlfn.XLOOKUP(_xlfn.TEXTJOIN(,,D851:O851),Aux!$B$3:$B$4098,'Truth Table'!$U$3:$U$4098)=1,P850&gt;='Line Follower'!$C$6)</f>
        <v>0</v>
      </c>
      <c r="X851" s="4" t="b">
        <f>IFERROR(AND(_xlfn.XLOOKUP(_xlfn.TEXTJOIN(,,D851:O851),Aux!$B$3:$B$4098,'Truth Table'!$V$3:$V$4098)=1,ABS(P850)&lt;='Line Follower'!$C$6),FALSE)</f>
        <v>0</v>
      </c>
      <c r="Y851" s="4" t="b">
        <f t="shared" si="13"/>
        <v>1</v>
      </c>
    </row>
    <row r="852" spans="2:25" x14ac:dyDescent="0.25">
      <c r="B852" s="4">
        <v>849</v>
      </c>
      <c r="C852" s="4">
        <v>7452</v>
      </c>
      <c r="D852" s="4">
        <v>1</v>
      </c>
      <c r="E852" s="4">
        <v>0</v>
      </c>
      <c r="F852" s="4">
        <v>0</v>
      </c>
      <c r="G852" s="4">
        <v>0</v>
      </c>
      <c r="H852" s="4">
        <v>0</v>
      </c>
      <c r="I852" s="4">
        <v>0</v>
      </c>
      <c r="J852" s="4">
        <v>0</v>
      </c>
      <c r="K852" s="4">
        <v>0</v>
      </c>
      <c r="L852" s="4">
        <v>0</v>
      </c>
      <c r="M852" s="4">
        <v>1</v>
      </c>
      <c r="N852" s="4">
        <v>1</v>
      </c>
      <c r="O852" s="4">
        <v>0</v>
      </c>
      <c r="P852" s="51">
        <f>IFERROR(_xlfn.XLOOKUP(_xlfn.TEXTJOIN(,,D851:O851),Aux!$B$3:$B$4098,'Truth Table'!$N$3:$N$4098),P851)</f>
        <v>7</v>
      </c>
      <c r="Q852" s="4" t="b" cm="1">
        <f t="array" ref="Q852:U852">IFERROR(_xlfn.XLOOKUP(_xlfn.TEXTJOIN(,,D852:O852),Aux!$B$3:$B$4098,'Truth Table'!$O$3:$S$4098)=1,FALSE)</f>
        <v>1</v>
      </c>
      <c r="R852" s="4" t="b">
        <v>0</v>
      </c>
      <c r="S852" s="4" t="b">
        <v>0</v>
      </c>
      <c r="T852" s="4" t="b">
        <v>1</v>
      </c>
      <c r="U852" s="4" t="b">
        <v>0</v>
      </c>
      <c r="V852" s="4" t="b">
        <f>AND(_xlfn.XLOOKUP(_xlfn.TEXTJOIN(,,D852:O852),Aux!$B$3:$B$4098,'Truth Table'!$T$3:$T$4098)=1,P851&lt;='Line Follower'!$C$7)</f>
        <v>0</v>
      </c>
      <c r="W852" s="4" t="b">
        <f>AND(_xlfn.XLOOKUP(_xlfn.TEXTJOIN(,,D852:O852),Aux!$B$3:$B$4098,'Truth Table'!$U$3:$U$4098)=1,P851&gt;='Line Follower'!$C$6)</f>
        <v>0</v>
      </c>
      <c r="X852" s="4" t="b">
        <f>IFERROR(AND(_xlfn.XLOOKUP(_xlfn.TEXTJOIN(,,D852:O852),Aux!$B$3:$B$4098,'Truth Table'!$V$3:$V$4098)=1,ABS(P851)&lt;='Line Follower'!$C$6),FALSE)</f>
        <v>0</v>
      </c>
      <c r="Y852" s="4" t="b">
        <f t="shared" si="13"/>
        <v>1</v>
      </c>
    </row>
    <row r="853" spans="2:25" x14ac:dyDescent="0.25">
      <c r="B853" s="4">
        <v>850</v>
      </c>
      <c r="C853" s="4">
        <v>7466</v>
      </c>
      <c r="D853" s="4">
        <v>1</v>
      </c>
      <c r="E853" s="4">
        <v>0</v>
      </c>
      <c r="F853" s="4">
        <v>0</v>
      </c>
      <c r="G853" s="4">
        <v>0</v>
      </c>
      <c r="H853" s="4">
        <v>0</v>
      </c>
      <c r="I853" s="4">
        <v>0</v>
      </c>
      <c r="J853" s="4">
        <v>0</v>
      </c>
      <c r="K853" s="4">
        <v>0</v>
      </c>
      <c r="L853" s="4">
        <v>0</v>
      </c>
      <c r="M853" s="4">
        <v>1</v>
      </c>
      <c r="N853" s="4">
        <v>1</v>
      </c>
      <c r="O853" s="4">
        <v>0</v>
      </c>
      <c r="P853" s="51">
        <f>IFERROR(_xlfn.XLOOKUP(_xlfn.TEXTJOIN(,,D852:O852),Aux!$B$3:$B$4098,'Truth Table'!$N$3:$N$4098),P852)</f>
        <v>7</v>
      </c>
      <c r="Q853" s="4" t="b" cm="1">
        <f t="array" ref="Q853:U853">IFERROR(_xlfn.XLOOKUP(_xlfn.TEXTJOIN(,,D853:O853),Aux!$B$3:$B$4098,'Truth Table'!$O$3:$S$4098)=1,FALSE)</f>
        <v>1</v>
      </c>
      <c r="R853" s="4" t="b">
        <v>0</v>
      </c>
      <c r="S853" s="4" t="b">
        <v>0</v>
      </c>
      <c r="T853" s="4" t="b">
        <v>1</v>
      </c>
      <c r="U853" s="4" t="b">
        <v>0</v>
      </c>
      <c r="V853" s="4" t="b">
        <f>AND(_xlfn.XLOOKUP(_xlfn.TEXTJOIN(,,D853:O853),Aux!$B$3:$B$4098,'Truth Table'!$T$3:$T$4098)=1,P852&lt;='Line Follower'!$C$7)</f>
        <v>0</v>
      </c>
      <c r="W853" s="4" t="b">
        <f>AND(_xlfn.XLOOKUP(_xlfn.TEXTJOIN(,,D853:O853),Aux!$B$3:$B$4098,'Truth Table'!$U$3:$U$4098)=1,P852&gt;='Line Follower'!$C$6)</f>
        <v>0</v>
      </c>
      <c r="X853" s="4" t="b">
        <f>IFERROR(AND(_xlfn.XLOOKUP(_xlfn.TEXTJOIN(,,D853:O853),Aux!$B$3:$B$4098,'Truth Table'!$V$3:$V$4098)=1,ABS(P852)&lt;='Line Follower'!$C$6),FALSE)</f>
        <v>0</v>
      </c>
      <c r="Y853" s="4" t="b">
        <f t="shared" si="13"/>
        <v>1</v>
      </c>
    </row>
    <row r="854" spans="2:25" x14ac:dyDescent="0.25">
      <c r="B854" s="4">
        <v>851</v>
      </c>
      <c r="C854" s="4">
        <v>7474</v>
      </c>
      <c r="D854" s="4">
        <v>1</v>
      </c>
      <c r="E854" s="4">
        <v>0</v>
      </c>
      <c r="F854" s="4">
        <v>0</v>
      </c>
      <c r="G854" s="4">
        <v>0</v>
      </c>
      <c r="H854" s="4">
        <v>0</v>
      </c>
      <c r="I854" s="4">
        <v>0</v>
      </c>
      <c r="J854" s="4">
        <v>0</v>
      </c>
      <c r="K854" s="4">
        <v>0</v>
      </c>
      <c r="L854" s="4">
        <v>0</v>
      </c>
      <c r="M854" s="4">
        <v>0</v>
      </c>
      <c r="N854" s="4">
        <v>1</v>
      </c>
      <c r="O854" s="4">
        <v>0</v>
      </c>
      <c r="P854" s="51">
        <f>IFERROR(_xlfn.XLOOKUP(_xlfn.TEXTJOIN(,,D853:O853),Aux!$B$3:$B$4098,'Truth Table'!$N$3:$N$4098),P853)</f>
        <v>7</v>
      </c>
      <c r="Q854" s="4" t="b" cm="1">
        <f t="array" ref="Q854:U854">IFERROR(_xlfn.XLOOKUP(_xlfn.TEXTJOIN(,,D854:O854),Aux!$B$3:$B$4098,'Truth Table'!$O$3:$S$4098)=1,FALSE)</f>
        <v>0</v>
      </c>
      <c r="R854" s="4" t="b">
        <v>0</v>
      </c>
      <c r="S854" s="4" t="b">
        <v>0</v>
      </c>
      <c r="T854" s="4" t="b">
        <v>0</v>
      </c>
      <c r="U854" s="4" t="b">
        <v>0</v>
      </c>
      <c r="V854" s="4" t="b">
        <f>AND(_xlfn.XLOOKUP(_xlfn.TEXTJOIN(,,D854:O854),Aux!$B$3:$B$4098,'Truth Table'!$T$3:$T$4098)=1,P853&lt;='Line Follower'!$C$7)</f>
        <v>0</v>
      </c>
      <c r="W854" s="4" t="b">
        <f>AND(_xlfn.XLOOKUP(_xlfn.TEXTJOIN(,,D854:O854),Aux!$B$3:$B$4098,'Truth Table'!$U$3:$U$4098)=1,P853&gt;='Line Follower'!$C$6)</f>
        <v>0</v>
      </c>
      <c r="X854" s="4" t="b">
        <f>IFERROR(AND(_xlfn.XLOOKUP(_xlfn.TEXTJOIN(,,D854:O854),Aux!$B$3:$B$4098,'Truth Table'!$V$3:$V$4098)=1,ABS(P853)&lt;='Line Follower'!$C$6),FALSE)</f>
        <v>0</v>
      </c>
      <c r="Y854" s="4" t="b">
        <f t="shared" si="13"/>
        <v>0</v>
      </c>
    </row>
    <row r="855" spans="2:25" x14ac:dyDescent="0.25">
      <c r="B855" s="4">
        <v>852</v>
      </c>
      <c r="C855" s="4">
        <v>7486</v>
      </c>
      <c r="D855" s="4">
        <v>1</v>
      </c>
      <c r="E855" s="4">
        <v>0</v>
      </c>
      <c r="F855" s="4">
        <v>0</v>
      </c>
      <c r="G855" s="4">
        <v>0</v>
      </c>
      <c r="H855" s="4">
        <v>0</v>
      </c>
      <c r="I855" s="4">
        <v>0</v>
      </c>
      <c r="J855" s="4">
        <v>0</v>
      </c>
      <c r="K855" s="4">
        <v>0</v>
      </c>
      <c r="L855" s="4">
        <v>0</v>
      </c>
      <c r="M855" s="4">
        <v>0</v>
      </c>
      <c r="N855" s="4">
        <v>1</v>
      </c>
      <c r="O855" s="4">
        <v>0</v>
      </c>
      <c r="P855" s="51">
        <f>IFERROR(_xlfn.XLOOKUP(_xlfn.TEXTJOIN(,,D854:O854),Aux!$B$3:$B$4098,'Truth Table'!$N$3:$N$4098),P854)</f>
        <v>7</v>
      </c>
      <c r="Q855" s="4" t="b" cm="1">
        <f t="array" ref="Q855:U855">IFERROR(_xlfn.XLOOKUP(_xlfn.TEXTJOIN(,,D855:O855),Aux!$B$3:$B$4098,'Truth Table'!$O$3:$S$4098)=1,FALSE)</f>
        <v>0</v>
      </c>
      <c r="R855" s="4" t="b">
        <v>0</v>
      </c>
      <c r="S855" s="4" t="b">
        <v>0</v>
      </c>
      <c r="T855" s="4" t="b">
        <v>0</v>
      </c>
      <c r="U855" s="4" t="b">
        <v>0</v>
      </c>
      <c r="V855" s="4" t="b">
        <f>AND(_xlfn.XLOOKUP(_xlfn.TEXTJOIN(,,D855:O855),Aux!$B$3:$B$4098,'Truth Table'!$T$3:$T$4098)=1,P854&lt;='Line Follower'!$C$7)</f>
        <v>0</v>
      </c>
      <c r="W855" s="4" t="b">
        <f>AND(_xlfn.XLOOKUP(_xlfn.TEXTJOIN(,,D855:O855),Aux!$B$3:$B$4098,'Truth Table'!$U$3:$U$4098)=1,P854&gt;='Line Follower'!$C$6)</f>
        <v>0</v>
      </c>
      <c r="X855" s="4" t="b">
        <f>IFERROR(AND(_xlfn.XLOOKUP(_xlfn.TEXTJOIN(,,D855:O855),Aux!$B$3:$B$4098,'Truth Table'!$V$3:$V$4098)=1,ABS(P854)&lt;='Line Follower'!$C$6),FALSE)</f>
        <v>0</v>
      </c>
      <c r="Y855" s="4" t="b">
        <f t="shared" si="13"/>
        <v>0</v>
      </c>
    </row>
    <row r="856" spans="2:25" x14ac:dyDescent="0.25">
      <c r="B856" s="4">
        <v>853</v>
      </c>
      <c r="C856" s="4">
        <v>7494</v>
      </c>
      <c r="D856" s="4">
        <v>1</v>
      </c>
      <c r="E856" s="4">
        <v>0</v>
      </c>
      <c r="F856" s="4">
        <v>0</v>
      </c>
      <c r="G856" s="4">
        <v>0</v>
      </c>
      <c r="H856" s="4">
        <v>0</v>
      </c>
      <c r="I856" s="4">
        <v>0</v>
      </c>
      <c r="J856" s="4">
        <v>0</v>
      </c>
      <c r="K856" s="4">
        <v>0</v>
      </c>
      <c r="L856" s="4">
        <v>0</v>
      </c>
      <c r="M856" s="4">
        <v>0</v>
      </c>
      <c r="N856" s="4">
        <v>1</v>
      </c>
      <c r="O856" s="4">
        <v>0</v>
      </c>
      <c r="P856" s="51">
        <f>IFERROR(_xlfn.XLOOKUP(_xlfn.TEXTJOIN(,,D855:O855),Aux!$B$3:$B$4098,'Truth Table'!$N$3:$N$4098),P855)</f>
        <v>7</v>
      </c>
      <c r="Q856" s="4" t="b" cm="1">
        <f t="array" ref="Q856:U856">IFERROR(_xlfn.XLOOKUP(_xlfn.TEXTJOIN(,,D856:O856),Aux!$B$3:$B$4098,'Truth Table'!$O$3:$S$4098)=1,FALSE)</f>
        <v>0</v>
      </c>
      <c r="R856" s="4" t="b">
        <v>0</v>
      </c>
      <c r="S856" s="4" t="b">
        <v>0</v>
      </c>
      <c r="T856" s="4" t="b">
        <v>0</v>
      </c>
      <c r="U856" s="4" t="b">
        <v>0</v>
      </c>
      <c r="V856" s="4" t="b">
        <f>AND(_xlfn.XLOOKUP(_xlfn.TEXTJOIN(,,D856:O856),Aux!$B$3:$B$4098,'Truth Table'!$T$3:$T$4098)=1,P855&lt;='Line Follower'!$C$7)</f>
        <v>0</v>
      </c>
      <c r="W856" s="4" t="b">
        <f>AND(_xlfn.XLOOKUP(_xlfn.TEXTJOIN(,,D856:O856),Aux!$B$3:$B$4098,'Truth Table'!$U$3:$U$4098)=1,P855&gt;='Line Follower'!$C$6)</f>
        <v>0</v>
      </c>
      <c r="X856" s="4" t="b">
        <f>IFERROR(AND(_xlfn.XLOOKUP(_xlfn.TEXTJOIN(,,D856:O856),Aux!$B$3:$B$4098,'Truth Table'!$V$3:$V$4098)=1,ABS(P855)&lt;='Line Follower'!$C$6),FALSE)</f>
        <v>0</v>
      </c>
      <c r="Y856" s="4" t="b">
        <f t="shared" si="13"/>
        <v>0</v>
      </c>
    </row>
    <row r="857" spans="2:25" x14ac:dyDescent="0.25">
      <c r="B857" s="4">
        <v>854</v>
      </c>
      <c r="C857" s="4">
        <v>7508</v>
      </c>
      <c r="D857" s="4">
        <v>1</v>
      </c>
      <c r="E857" s="4">
        <v>0</v>
      </c>
      <c r="F857" s="4">
        <v>0</v>
      </c>
      <c r="G857" s="4">
        <v>0</v>
      </c>
      <c r="H857" s="4">
        <v>0</v>
      </c>
      <c r="I857" s="4">
        <v>0</v>
      </c>
      <c r="J857" s="4">
        <v>0</v>
      </c>
      <c r="K857" s="4">
        <v>0</v>
      </c>
      <c r="L857" s="4">
        <v>0</v>
      </c>
      <c r="M857" s="4">
        <v>0</v>
      </c>
      <c r="N857" s="4">
        <v>1</v>
      </c>
      <c r="O857" s="4">
        <v>0</v>
      </c>
      <c r="P857" s="51">
        <f>IFERROR(_xlfn.XLOOKUP(_xlfn.TEXTJOIN(,,D856:O856),Aux!$B$3:$B$4098,'Truth Table'!$N$3:$N$4098),P856)</f>
        <v>7</v>
      </c>
      <c r="Q857" s="4" t="b" cm="1">
        <f t="array" ref="Q857:U857">IFERROR(_xlfn.XLOOKUP(_xlfn.TEXTJOIN(,,D857:O857),Aux!$B$3:$B$4098,'Truth Table'!$O$3:$S$4098)=1,FALSE)</f>
        <v>0</v>
      </c>
      <c r="R857" s="4" t="b">
        <v>0</v>
      </c>
      <c r="S857" s="4" t="b">
        <v>0</v>
      </c>
      <c r="T857" s="4" t="b">
        <v>0</v>
      </c>
      <c r="U857" s="4" t="b">
        <v>0</v>
      </c>
      <c r="V857" s="4" t="b">
        <f>AND(_xlfn.XLOOKUP(_xlfn.TEXTJOIN(,,D857:O857),Aux!$B$3:$B$4098,'Truth Table'!$T$3:$T$4098)=1,P856&lt;='Line Follower'!$C$7)</f>
        <v>0</v>
      </c>
      <c r="W857" s="4" t="b">
        <f>AND(_xlfn.XLOOKUP(_xlfn.TEXTJOIN(,,D857:O857),Aux!$B$3:$B$4098,'Truth Table'!$U$3:$U$4098)=1,P856&gt;='Line Follower'!$C$6)</f>
        <v>0</v>
      </c>
      <c r="X857" s="4" t="b">
        <f>IFERROR(AND(_xlfn.XLOOKUP(_xlfn.TEXTJOIN(,,D857:O857),Aux!$B$3:$B$4098,'Truth Table'!$V$3:$V$4098)=1,ABS(P856)&lt;='Line Follower'!$C$6),FALSE)</f>
        <v>0</v>
      </c>
      <c r="Y857" s="4" t="b">
        <f t="shared" si="13"/>
        <v>0</v>
      </c>
    </row>
    <row r="858" spans="2:25" x14ac:dyDescent="0.25">
      <c r="B858" s="4">
        <v>855</v>
      </c>
      <c r="C858" s="4">
        <v>7517</v>
      </c>
      <c r="D858" s="4">
        <v>1</v>
      </c>
      <c r="E858" s="4">
        <v>0</v>
      </c>
      <c r="F858" s="4">
        <v>0</v>
      </c>
      <c r="G858" s="4">
        <v>0</v>
      </c>
      <c r="H858" s="4">
        <v>0</v>
      </c>
      <c r="I858" s="4">
        <v>0</v>
      </c>
      <c r="J858" s="4">
        <v>0</v>
      </c>
      <c r="K858" s="4">
        <v>0</v>
      </c>
      <c r="L858" s="4">
        <v>0</v>
      </c>
      <c r="M858" s="4">
        <v>0</v>
      </c>
      <c r="N858" s="4">
        <v>1</v>
      </c>
      <c r="O858" s="4">
        <v>0</v>
      </c>
      <c r="P858" s="51">
        <f>IFERROR(_xlfn.XLOOKUP(_xlfn.TEXTJOIN(,,D857:O857),Aux!$B$3:$B$4098,'Truth Table'!$N$3:$N$4098),P857)</f>
        <v>7</v>
      </c>
      <c r="Q858" s="4" t="b" cm="1">
        <f t="array" ref="Q858:U858">IFERROR(_xlfn.XLOOKUP(_xlfn.TEXTJOIN(,,D858:O858),Aux!$B$3:$B$4098,'Truth Table'!$O$3:$S$4098)=1,FALSE)</f>
        <v>0</v>
      </c>
      <c r="R858" s="4" t="b">
        <v>0</v>
      </c>
      <c r="S858" s="4" t="b">
        <v>0</v>
      </c>
      <c r="T858" s="4" t="b">
        <v>0</v>
      </c>
      <c r="U858" s="4" t="b">
        <v>0</v>
      </c>
      <c r="V858" s="4" t="b">
        <f>AND(_xlfn.XLOOKUP(_xlfn.TEXTJOIN(,,D858:O858),Aux!$B$3:$B$4098,'Truth Table'!$T$3:$T$4098)=1,P857&lt;='Line Follower'!$C$7)</f>
        <v>0</v>
      </c>
      <c r="W858" s="4" t="b">
        <f>AND(_xlfn.XLOOKUP(_xlfn.TEXTJOIN(,,D858:O858),Aux!$B$3:$B$4098,'Truth Table'!$U$3:$U$4098)=1,P857&gt;='Line Follower'!$C$6)</f>
        <v>0</v>
      </c>
      <c r="X858" s="4" t="b">
        <f>IFERROR(AND(_xlfn.XLOOKUP(_xlfn.TEXTJOIN(,,D858:O858),Aux!$B$3:$B$4098,'Truth Table'!$V$3:$V$4098)=1,ABS(P857)&lt;='Line Follower'!$C$6),FALSE)</f>
        <v>0</v>
      </c>
      <c r="Y858" s="4" t="b">
        <f t="shared" si="13"/>
        <v>0</v>
      </c>
    </row>
    <row r="859" spans="2:25" x14ac:dyDescent="0.25">
      <c r="B859" s="4">
        <v>856</v>
      </c>
      <c r="C859" s="4">
        <v>7528</v>
      </c>
      <c r="D859" s="4">
        <v>0</v>
      </c>
      <c r="E859" s="4">
        <v>0</v>
      </c>
      <c r="F859" s="4">
        <v>0</v>
      </c>
      <c r="G859" s="4">
        <v>0</v>
      </c>
      <c r="H859" s="4">
        <v>0</v>
      </c>
      <c r="I859" s="4">
        <v>0</v>
      </c>
      <c r="J859" s="4">
        <v>0</v>
      </c>
      <c r="K859" s="4">
        <v>0</v>
      </c>
      <c r="L859" s="4">
        <v>0</v>
      </c>
      <c r="M859" s="4">
        <v>0</v>
      </c>
      <c r="N859" s="4">
        <v>1</v>
      </c>
      <c r="O859" s="4">
        <v>0</v>
      </c>
      <c r="P859" s="51">
        <f>IFERROR(_xlfn.XLOOKUP(_xlfn.TEXTJOIN(,,D858:O858),Aux!$B$3:$B$4098,'Truth Table'!$N$3:$N$4098),P858)</f>
        <v>7</v>
      </c>
      <c r="Q859" s="4" t="b" cm="1">
        <f t="array" ref="Q859:U859">IFERROR(_xlfn.XLOOKUP(_xlfn.TEXTJOIN(,,D859:O859),Aux!$B$3:$B$4098,'Truth Table'!$O$3:$S$4098)=1,FALSE)</f>
        <v>0</v>
      </c>
      <c r="R859" s="4" t="b">
        <v>0</v>
      </c>
      <c r="S859" s="4" t="b">
        <v>0</v>
      </c>
      <c r="T859" s="4" t="b">
        <v>0</v>
      </c>
      <c r="U859" s="4" t="b">
        <v>0</v>
      </c>
      <c r="V859" s="4" t="b">
        <f>AND(_xlfn.XLOOKUP(_xlfn.TEXTJOIN(,,D859:O859),Aux!$B$3:$B$4098,'Truth Table'!$T$3:$T$4098)=1,P858&lt;='Line Follower'!$C$7)</f>
        <v>0</v>
      </c>
      <c r="W859" s="4" t="b">
        <f>AND(_xlfn.XLOOKUP(_xlfn.TEXTJOIN(,,D859:O859),Aux!$B$3:$B$4098,'Truth Table'!$U$3:$U$4098)=1,P858&gt;='Line Follower'!$C$6)</f>
        <v>1</v>
      </c>
      <c r="X859" s="4" t="b">
        <f>IFERROR(AND(_xlfn.XLOOKUP(_xlfn.TEXTJOIN(,,D859:O859),Aux!$B$3:$B$4098,'Truth Table'!$V$3:$V$4098)=1,ABS(P858)&lt;='Line Follower'!$C$6),FALSE)</f>
        <v>0</v>
      </c>
      <c r="Y859" s="4" t="b">
        <f t="shared" si="13"/>
        <v>1</v>
      </c>
    </row>
    <row r="860" spans="2:25" x14ac:dyDescent="0.25">
      <c r="B860" s="4">
        <v>857</v>
      </c>
      <c r="C860" s="4">
        <v>7537</v>
      </c>
      <c r="D860" s="4">
        <v>0</v>
      </c>
      <c r="E860" s="4">
        <v>0</v>
      </c>
      <c r="F860" s="4">
        <v>0</v>
      </c>
      <c r="G860" s="4">
        <v>0</v>
      </c>
      <c r="H860" s="4">
        <v>0</v>
      </c>
      <c r="I860" s="4">
        <v>0</v>
      </c>
      <c r="J860" s="4">
        <v>0</v>
      </c>
      <c r="K860" s="4">
        <v>0</v>
      </c>
      <c r="L860" s="4">
        <v>0</v>
      </c>
      <c r="M860" s="4">
        <v>0</v>
      </c>
      <c r="N860" s="4">
        <v>1</v>
      </c>
      <c r="O860" s="4">
        <v>0</v>
      </c>
      <c r="P860" s="51">
        <f>IFERROR(_xlfn.XLOOKUP(_xlfn.TEXTJOIN(,,D859:O859),Aux!$B$3:$B$4098,'Truth Table'!$N$3:$N$4098),P859)</f>
        <v>7</v>
      </c>
      <c r="Q860" s="4" t="b" cm="1">
        <f t="array" ref="Q860:U860">IFERROR(_xlfn.XLOOKUP(_xlfn.TEXTJOIN(,,D860:O860),Aux!$B$3:$B$4098,'Truth Table'!$O$3:$S$4098)=1,FALSE)</f>
        <v>0</v>
      </c>
      <c r="R860" s="4" t="b">
        <v>0</v>
      </c>
      <c r="S860" s="4" t="b">
        <v>0</v>
      </c>
      <c r="T860" s="4" t="b">
        <v>0</v>
      </c>
      <c r="U860" s="4" t="b">
        <v>0</v>
      </c>
      <c r="V860" s="4" t="b">
        <f>AND(_xlfn.XLOOKUP(_xlfn.TEXTJOIN(,,D860:O860),Aux!$B$3:$B$4098,'Truth Table'!$T$3:$T$4098)=1,P859&lt;='Line Follower'!$C$7)</f>
        <v>0</v>
      </c>
      <c r="W860" s="4" t="b">
        <f>AND(_xlfn.XLOOKUP(_xlfn.TEXTJOIN(,,D860:O860),Aux!$B$3:$B$4098,'Truth Table'!$U$3:$U$4098)=1,P859&gt;='Line Follower'!$C$6)</f>
        <v>1</v>
      </c>
      <c r="X860" s="4" t="b">
        <f>IFERROR(AND(_xlfn.XLOOKUP(_xlfn.TEXTJOIN(,,D860:O860),Aux!$B$3:$B$4098,'Truth Table'!$V$3:$V$4098)=1,ABS(P859)&lt;='Line Follower'!$C$6),FALSE)</f>
        <v>0</v>
      </c>
      <c r="Y860" s="4" t="b">
        <f t="shared" si="13"/>
        <v>1</v>
      </c>
    </row>
    <row r="861" spans="2:25" x14ac:dyDescent="0.25">
      <c r="B861" s="4">
        <v>858</v>
      </c>
      <c r="C861" s="4">
        <v>7551</v>
      </c>
      <c r="D861" s="4">
        <v>0</v>
      </c>
      <c r="E861" s="4">
        <v>0</v>
      </c>
      <c r="F861" s="4">
        <v>0</v>
      </c>
      <c r="G861" s="4">
        <v>0</v>
      </c>
      <c r="H861" s="4">
        <v>0</v>
      </c>
      <c r="I861" s="4">
        <v>0</v>
      </c>
      <c r="J861" s="4">
        <v>0</v>
      </c>
      <c r="K861" s="4">
        <v>0</v>
      </c>
      <c r="L861" s="4">
        <v>0</v>
      </c>
      <c r="M861" s="4">
        <v>0</v>
      </c>
      <c r="N861" s="4">
        <v>1</v>
      </c>
      <c r="O861" s="4">
        <v>0</v>
      </c>
      <c r="P861" s="51">
        <f>IFERROR(_xlfn.XLOOKUP(_xlfn.TEXTJOIN(,,D860:O860),Aux!$B$3:$B$4098,'Truth Table'!$N$3:$N$4098),P860)</f>
        <v>7</v>
      </c>
      <c r="Q861" s="4" t="b" cm="1">
        <f t="array" ref="Q861:U861">IFERROR(_xlfn.XLOOKUP(_xlfn.TEXTJOIN(,,D861:O861),Aux!$B$3:$B$4098,'Truth Table'!$O$3:$S$4098)=1,FALSE)</f>
        <v>0</v>
      </c>
      <c r="R861" s="4" t="b">
        <v>0</v>
      </c>
      <c r="S861" s="4" t="b">
        <v>0</v>
      </c>
      <c r="T861" s="4" t="b">
        <v>0</v>
      </c>
      <c r="U861" s="4" t="b">
        <v>0</v>
      </c>
      <c r="V861" s="4" t="b">
        <f>AND(_xlfn.XLOOKUP(_xlfn.TEXTJOIN(,,D861:O861),Aux!$B$3:$B$4098,'Truth Table'!$T$3:$T$4098)=1,P860&lt;='Line Follower'!$C$7)</f>
        <v>0</v>
      </c>
      <c r="W861" s="4" t="b">
        <f>AND(_xlfn.XLOOKUP(_xlfn.TEXTJOIN(,,D861:O861),Aux!$B$3:$B$4098,'Truth Table'!$U$3:$U$4098)=1,P860&gt;='Line Follower'!$C$6)</f>
        <v>1</v>
      </c>
      <c r="X861" s="4" t="b">
        <f>IFERROR(AND(_xlfn.XLOOKUP(_xlfn.TEXTJOIN(,,D861:O861),Aux!$B$3:$B$4098,'Truth Table'!$V$3:$V$4098)=1,ABS(P860)&lt;='Line Follower'!$C$6),FALSE)</f>
        <v>0</v>
      </c>
      <c r="Y861" s="4" t="b">
        <f t="shared" si="13"/>
        <v>1</v>
      </c>
    </row>
    <row r="862" spans="2:25" x14ac:dyDescent="0.25">
      <c r="B862" s="4">
        <v>859</v>
      </c>
      <c r="C862" s="4">
        <v>7558</v>
      </c>
      <c r="D862" s="4">
        <v>0</v>
      </c>
      <c r="E862" s="4">
        <v>0</v>
      </c>
      <c r="F862" s="4">
        <v>0</v>
      </c>
      <c r="G862" s="4">
        <v>0</v>
      </c>
      <c r="H862" s="4">
        <v>0</v>
      </c>
      <c r="I862" s="4">
        <v>0</v>
      </c>
      <c r="J862" s="4">
        <v>0</v>
      </c>
      <c r="K862" s="4">
        <v>0</v>
      </c>
      <c r="L862" s="4">
        <v>0</v>
      </c>
      <c r="M862" s="4">
        <v>0</v>
      </c>
      <c r="N862" s="4">
        <v>1</v>
      </c>
      <c r="O862" s="4">
        <v>0</v>
      </c>
      <c r="P862" s="51">
        <f>IFERROR(_xlfn.XLOOKUP(_xlfn.TEXTJOIN(,,D861:O861),Aux!$B$3:$B$4098,'Truth Table'!$N$3:$N$4098),P861)</f>
        <v>7</v>
      </c>
      <c r="Q862" s="4" t="b" cm="1">
        <f t="array" ref="Q862:U862">IFERROR(_xlfn.XLOOKUP(_xlfn.TEXTJOIN(,,D862:O862),Aux!$B$3:$B$4098,'Truth Table'!$O$3:$S$4098)=1,FALSE)</f>
        <v>0</v>
      </c>
      <c r="R862" s="4" t="b">
        <v>0</v>
      </c>
      <c r="S862" s="4" t="b">
        <v>0</v>
      </c>
      <c r="T862" s="4" t="b">
        <v>0</v>
      </c>
      <c r="U862" s="4" t="b">
        <v>0</v>
      </c>
      <c r="V862" s="4" t="b">
        <f>AND(_xlfn.XLOOKUP(_xlfn.TEXTJOIN(,,D862:O862),Aux!$B$3:$B$4098,'Truth Table'!$T$3:$T$4098)=1,P861&lt;='Line Follower'!$C$7)</f>
        <v>0</v>
      </c>
      <c r="W862" s="4" t="b">
        <f>AND(_xlfn.XLOOKUP(_xlfn.TEXTJOIN(,,D862:O862),Aux!$B$3:$B$4098,'Truth Table'!$U$3:$U$4098)=1,P861&gt;='Line Follower'!$C$6)</f>
        <v>1</v>
      </c>
      <c r="X862" s="4" t="b">
        <f>IFERROR(AND(_xlfn.XLOOKUP(_xlfn.TEXTJOIN(,,D862:O862),Aux!$B$3:$B$4098,'Truth Table'!$V$3:$V$4098)=1,ABS(P861)&lt;='Line Follower'!$C$6),FALSE)</f>
        <v>0</v>
      </c>
      <c r="Y862" s="4" t="b">
        <f t="shared" si="13"/>
        <v>1</v>
      </c>
    </row>
    <row r="863" spans="2:25" x14ac:dyDescent="0.25">
      <c r="B863" s="4">
        <v>860</v>
      </c>
      <c r="C863" s="4">
        <v>7569</v>
      </c>
      <c r="D863" s="4">
        <v>0</v>
      </c>
      <c r="E863" s="4">
        <v>0</v>
      </c>
      <c r="F863" s="4">
        <v>0</v>
      </c>
      <c r="G863" s="4">
        <v>0</v>
      </c>
      <c r="H863" s="4">
        <v>0</v>
      </c>
      <c r="I863" s="4">
        <v>0</v>
      </c>
      <c r="J863" s="4">
        <v>0</v>
      </c>
      <c r="K863" s="4">
        <v>0</v>
      </c>
      <c r="L863" s="4">
        <v>0</v>
      </c>
      <c r="M863" s="4">
        <v>0</v>
      </c>
      <c r="N863" s="4">
        <v>1</v>
      </c>
      <c r="O863" s="4">
        <v>0</v>
      </c>
      <c r="P863" s="51">
        <f>IFERROR(_xlfn.XLOOKUP(_xlfn.TEXTJOIN(,,D862:O862),Aux!$B$3:$B$4098,'Truth Table'!$N$3:$N$4098),P862)</f>
        <v>7</v>
      </c>
      <c r="Q863" s="4" t="b" cm="1">
        <f t="array" ref="Q863:U863">IFERROR(_xlfn.XLOOKUP(_xlfn.TEXTJOIN(,,D863:O863),Aux!$B$3:$B$4098,'Truth Table'!$O$3:$S$4098)=1,FALSE)</f>
        <v>0</v>
      </c>
      <c r="R863" s="4" t="b">
        <v>0</v>
      </c>
      <c r="S863" s="4" t="b">
        <v>0</v>
      </c>
      <c r="T863" s="4" t="b">
        <v>0</v>
      </c>
      <c r="U863" s="4" t="b">
        <v>0</v>
      </c>
      <c r="V863" s="4" t="b">
        <f>AND(_xlfn.XLOOKUP(_xlfn.TEXTJOIN(,,D863:O863),Aux!$B$3:$B$4098,'Truth Table'!$T$3:$T$4098)=1,P862&lt;='Line Follower'!$C$7)</f>
        <v>0</v>
      </c>
      <c r="W863" s="4" t="b">
        <f>AND(_xlfn.XLOOKUP(_xlfn.TEXTJOIN(,,D863:O863),Aux!$B$3:$B$4098,'Truth Table'!$U$3:$U$4098)=1,P862&gt;='Line Follower'!$C$6)</f>
        <v>1</v>
      </c>
      <c r="X863" s="4" t="b">
        <f>IFERROR(AND(_xlfn.XLOOKUP(_xlfn.TEXTJOIN(,,D863:O863),Aux!$B$3:$B$4098,'Truth Table'!$V$3:$V$4098)=1,ABS(P862)&lt;='Line Follower'!$C$6),FALSE)</f>
        <v>0</v>
      </c>
      <c r="Y863" s="4" t="b">
        <f t="shared" si="13"/>
        <v>1</v>
      </c>
    </row>
    <row r="864" spans="2:25" x14ac:dyDescent="0.25">
      <c r="B864" s="4">
        <v>861</v>
      </c>
      <c r="C864" s="4">
        <v>7578</v>
      </c>
      <c r="D864" s="4">
        <v>0</v>
      </c>
      <c r="E864" s="4">
        <v>0</v>
      </c>
      <c r="F864" s="4">
        <v>0</v>
      </c>
      <c r="G864" s="4">
        <v>0</v>
      </c>
      <c r="H864" s="4">
        <v>0</v>
      </c>
      <c r="I864" s="4">
        <v>0</v>
      </c>
      <c r="J864" s="4">
        <v>0</v>
      </c>
      <c r="K864" s="4">
        <v>0</v>
      </c>
      <c r="L864" s="4">
        <v>0</v>
      </c>
      <c r="M864" s="4">
        <v>0</v>
      </c>
      <c r="N864" s="4">
        <v>1</v>
      </c>
      <c r="O864" s="4">
        <v>0</v>
      </c>
      <c r="P864" s="51">
        <f>IFERROR(_xlfn.XLOOKUP(_xlfn.TEXTJOIN(,,D863:O863),Aux!$B$3:$B$4098,'Truth Table'!$N$3:$N$4098),P863)</f>
        <v>7</v>
      </c>
      <c r="Q864" s="4" t="b" cm="1">
        <f t="array" ref="Q864:U864">IFERROR(_xlfn.XLOOKUP(_xlfn.TEXTJOIN(,,D864:O864),Aux!$B$3:$B$4098,'Truth Table'!$O$3:$S$4098)=1,FALSE)</f>
        <v>0</v>
      </c>
      <c r="R864" s="4" t="b">
        <v>0</v>
      </c>
      <c r="S864" s="4" t="b">
        <v>0</v>
      </c>
      <c r="T864" s="4" t="b">
        <v>0</v>
      </c>
      <c r="U864" s="4" t="b">
        <v>0</v>
      </c>
      <c r="V864" s="4" t="b">
        <f>AND(_xlfn.XLOOKUP(_xlfn.TEXTJOIN(,,D864:O864),Aux!$B$3:$B$4098,'Truth Table'!$T$3:$T$4098)=1,P863&lt;='Line Follower'!$C$7)</f>
        <v>0</v>
      </c>
      <c r="W864" s="4" t="b">
        <f>AND(_xlfn.XLOOKUP(_xlfn.TEXTJOIN(,,D864:O864),Aux!$B$3:$B$4098,'Truth Table'!$U$3:$U$4098)=1,P863&gt;='Line Follower'!$C$6)</f>
        <v>1</v>
      </c>
      <c r="X864" s="4" t="b">
        <f>IFERROR(AND(_xlfn.XLOOKUP(_xlfn.TEXTJOIN(,,D864:O864),Aux!$B$3:$B$4098,'Truth Table'!$V$3:$V$4098)=1,ABS(P863)&lt;='Line Follower'!$C$6),FALSE)</f>
        <v>0</v>
      </c>
      <c r="Y864" s="4" t="b">
        <f t="shared" si="13"/>
        <v>1</v>
      </c>
    </row>
    <row r="865" spans="2:25" x14ac:dyDescent="0.25">
      <c r="B865" s="4">
        <v>862</v>
      </c>
      <c r="C865" s="4">
        <v>7578</v>
      </c>
      <c r="D865" s="4">
        <v>0</v>
      </c>
      <c r="E865" s="4">
        <v>0</v>
      </c>
      <c r="F865" s="4">
        <v>0</v>
      </c>
      <c r="G865" s="4">
        <v>0</v>
      </c>
      <c r="H865" s="4">
        <v>0</v>
      </c>
      <c r="I865" s="4">
        <v>0</v>
      </c>
      <c r="J865" s="4">
        <v>0</v>
      </c>
      <c r="K865" s="4">
        <v>0</v>
      </c>
      <c r="L865" s="4">
        <v>0</v>
      </c>
      <c r="M865" s="4">
        <v>0</v>
      </c>
      <c r="N865" s="4">
        <v>1</v>
      </c>
      <c r="O865" s="4">
        <v>0</v>
      </c>
      <c r="P865" s="51">
        <f>IFERROR(_xlfn.XLOOKUP(_xlfn.TEXTJOIN(,,D864:O864),Aux!$B$3:$B$4098,'Truth Table'!$N$3:$N$4098),P864)</f>
        <v>7</v>
      </c>
      <c r="Q865" s="4" t="b" cm="1">
        <f t="array" ref="Q865:U865">IFERROR(_xlfn.XLOOKUP(_xlfn.TEXTJOIN(,,D865:O865),Aux!$B$3:$B$4098,'Truth Table'!$O$3:$S$4098)=1,FALSE)</f>
        <v>0</v>
      </c>
      <c r="R865" s="4" t="b">
        <v>0</v>
      </c>
      <c r="S865" s="4" t="b">
        <v>0</v>
      </c>
      <c r="T865" s="4" t="b">
        <v>0</v>
      </c>
      <c r="U865" s="4" t="b">
        <v>0</v>
      </c>
      <c r="V865" s="4" t="b">
        <f>AND(_xlfn.XLOOKUP(_xlfn.TEXTJOIN(,,D865:O865),Aux!$B$3:$B$4098,'Truth Table'!$T$3:$T$4098)=1,P864&lt;='Line Follower'!$C$7)</f>
        <v>0</v>
      </c>
      <c r="W865" s="4" t="b">
        <f>AND(_xlfn.XLOOKUP(_xlfn.TEXTJOIN(,,D865:O865),Aux!$B$3:$B$4098,'Truth Table'!$U$3:$U$4098)=1,P864&gt;='Line Follower'!$C$6)</f>
        <v>1</v>
      </c>
      <c r="X865" s="4" t="b">
        <f>IFERROR(AND(_xlfn.XLOOKUP(_xlfn.TEXTJOIN(,,D865:O865),Aux!$B$3:$B$4098,'Truth Table'!$V$3:$V$4098)=1,ABS(P864)&lt;='Line Follower'!$C$6),FALSE)</f>
        <v>0</v>
      </c>
      <c r="Y865" s="4" t="b">
        <f t="shared" si="13"/>
        <v>1</v>
      </c>
    </row>
    <row r="866" spans="2:25" x14ac:dyDescent="0.25">
      <c r="B866" s="4">
        <v>863</v>
      </c>
      <c r="C866" s="4">
        <v>7592</v>
      </c>
      <c r="D866" s="4">
        <v>0</v>
      </c>
      <c r="E866" s="4">
        <v>1</v>
      </c>
      <c r="F866" s="4">
        <v>0</v>
      </c>
      <c r="G866" s="4">
        <v>0</v>
      </c>
      <c r="H866" s="4">
        <v>0</v>
      </c>
      <c r="I866" s="4">
        <v>0</v>
      </c>
      <c r="J866" s="4">
        <v>0</v>
      </c>
      <c r="K866" s="4">
        <v>0</v>
      </c>
      <c r="L866" s="4">
        <v>0</v>
      </c>
      <c r="M866" s="4">
        <v>0</v>
      </c>
      <c r="N866" s="4">
        <v>1</v>
      </c>
      <c r="O866" s="4">
        <v>0</v>
      </c>
      <c r="P866" s="51">
        <f>IFERROR(_xlfn.XLOOKUP(_xlfn.TEXTJOIN(,,D865:O865),Aux!$B$3:$B$4098,'Truth Table'!$N$3:$N$4098),P865)</f>
        <v>7</v>
      </c>
      <c r="Q866" s="4" t="b" cm="1">
        <f t="array" ref="Q866:U866">IFERROR(_xlfn.XLOOKUP(_xlfn.TEXTJOIN(,,D866:O866),Aux!$B$3:$B$4098,'Truth Table'!$O$3:$S$4098)=1,FALSE)</f>
        <v>1</v>
      </c>
      <c r="R866" s="4" t="b">
        <v>0</v>
      </c>
      <c r="S866" s="4" t="b">
        <v>0</v>
      </c>
      <c r="T866" s="4" t="b">
        <v>0</v>
      </c>
      <c r="U866" s="4" t="b">
        <v>1</v>
      </c>
      <c r="V866" s="4" t="b">
        <f>AND(_xlfn.XLOOKUP(_xlfn.TEXTJOIN(,,D866:O866),Aux!$B$3:$B$4098,'Truth Table'!$T$3:$T$4098)=1,P865&lt;='Line Follower'!$C$7)</f>
        <v>0</v>
      </c>
      <c r="W866" s="4" t="b">
        <f>AND(_xlfn.XLOOKUP(_xlfn.TEXTJOIN(,,D866:O866),Aux!$B$3:$B$4098,'Truth Table'!$U$3:$U$4098)=1,P865&gt;='Line Follower'!$C$6)</f>
        <v>0</v>
      </c>
      <c r="X866" s="4" t="b">
        <f>IFERROR(AND(_xlfn.XLOOKUP(_xlfn.TEXTJOIN(,,D866:O866),Aux!$B$3:$B$4098,'Truth Table'!$V$3:$V$4098)=1,ABS(P865)&lt;='Line Follower'!$C$6),FALSE)</f>
        <v>0</v>
      </c>
      <c r="Y866" s="4" t="b">
        <f t="shared" si="13"/>
        <v>1</v>
      </c>
    </row>
  </sheetData>
  <autoFilter ref="B2:Y866" xr:uid="{8ACA26B6-5175-4577-B97F-A4613B7AD68E}"/>
  <conditionalFormatting sqref="Q1:Y1 Q2:X2 Q3:Y1048576">
    <cfRule type="containsText" dxfId="2" priority="2" operator="containsText" text="FALSE">
      <formula>NOT(ISERROR(SEARCH("FALSE",Q1)))</formula>
    </cfRule>
    <cfRule type="cellIs" dxfId="1" priority="3" operator="equal">
      <formula>TRUE</formula>
    </cfRule>
  </conditionalFormatting>
  <conditionalFormatting sqref="D1:O1048576">
    <cfRule type="cellIs" dxfId="0" priority="1" operator="equal">
      <formula>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70E9A-2B30-43D9-96B9-EE4C61D9C1FD}">
  <dimension ref="B2:M4098"/>
  <sheetViews>
    <sheetView showGridLines="0" topLeftCell="A4062" workbookViewId="0">
      <selection activeCell="B3" sqref="B3"/>
    </sheetView>
  </sheetViews>
  <sheetFormatPr defaultRowHeight="15" x14ac:dyDescent="0.25"/>
  <cols>
    <col min="1" max="1" width="9.140625" style="1"/>
    <col min="2" max="2" width="20.5703125" style="1" bestFit="1" customWidth="1"/>
    <col min="3" max="3" width="9.140625" style="1"/>
    <col min="4" max="4" width="10" style="1" bestFit="1" customWidth="1"/>
    <col min="5" max="16384" width="9.140625" style="1"/>
  </cols>
  <sheetData>
    <row r="2" spans="2:13" x14ac:dyDescent="0.25">
      <c r="B2" s="40" t="s">
        <v>39</v>
      </c>
      <c r="D2" s="47" t="s">
        <v>32</v>
      </c>
      <c r="E2" s="47"/>
      <c r="F2" s="47"/>
      <c r="G2" s="47"/>
      <c r="H2" s="47"/>
      <c r="I2" s="47"/>
      <c r="J2" s="47"/>
      <c r="K2" s="47"/>
      <c r="L2" s="47"/>
      <c r="M2" s="47"/>
    </row>
    <row r="3" spans="2:13" x14ac:dyDescent="0.25">
      <c r="B3" s="4" t="str">
        <f>_xlfn.TEXTJOIN(,,'Truth Table'!B3:M3)</f>
        <v>000000000000</v>
      </c>
      <c r="D3" s="39" t="str">
        <f>_xlfn.TEXTJOIN(,,E3:M3)</f>
        <v>100000001</v>
      </c>
      <c r="E3" s="4">
        <v>1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1</v>
      </c>
    </row>
    <row r="4" spans="2:13" x14ac:dyDescent="0.25">
      <c r="B4" s="4" t="str">
        <f>_xlfn.TEXTJOIN(,,'Truth Table'!B4:M4)</f>
        <v>100000000000</v>
      </c>
      <c r="D4" s="39" t="str">
        <f t="shared" ref="D4:D9" si="0">_xlfn.TEXTJOIN(,,E4:M4)</f>
        <v>10000001</v>
      </c>
      <c r="E4" s="4">
        <v>1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1</v>
      </c>
    </row>
    <row r="5" spans="2:13" x14ac:dyDescent="0.25">
      <c r="B5" s="4" t="str">
        <f>_xlfn.TEXTJOIN(,,'Truth Table'!B5:M5)</f>
        <v>010000000000</v>
      </c>
      <c r="D5" s="39" t="str">
        <f t="shared" si="0"/>
        <v>1000001</v>
      </c>
      <c r="E5" s="4">
        <v>1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1</v>
      </c>
    </row>
    <row r="6" spans="2:13" x14ac:dyDescent="0.25">
      <c r="B6" s="4" t="str">
        <f>_xlfn.TEXTJOIN(,,'Truth Table'!B6:M6)</f>
        <v>110000000000</v>
      </c>
      <c r="D6" s="39" t="str">
        <f t="shared" si="0"/>
        <v>100001</v>
      </c>
      <c r="E6" s="4">
        <v>1</v>
      </c>
      <c r="F6" s="4">
        <v>0</v>
      </c>
      <c r="G6" s="4">
        <v>0</v>
      </c>
      <c r="H6" s="4">
        <v>0</v>
      </c>
      <c r="I6" s="4">
        <v>0</v>
      </c>
      <c r="J6" s="4">
        <v>1</v>
      </c>
    </row>
    <row r="7" spans="2:13" x14ac:dyDescent="0.25">
      <c r="B7" s="4" t="str">
        <f>_xlfn.TEXTJOIN(,,'Truth Table'!B7:M7)</f>
        <v>001000000000</v>
      </c>
      <c r="D7" s="39" t="str">
        <f t="shared" si="0"/>
        <v>10001</v>
      </c>
      <c r="E7" s="4">
        <v>1</v>
      </c>
      <c r="F7" s="4">
        <v>0</v>
      </c>
      <c r="G7" s="4">
        <v>0</v>
      </c>
      <c r="H7" s="4">
        <v>0</v>
      </c>
      <c r="I7" s="4">
        <v>1</v>
      </c>
    </row>
    <row r="8" spans="2:13" x14ac:dyDescent="0.25">
      <c r="B8" s="4" t="str">
        <f>_xlfn.TEXTJOIN(,,'Truth Table'!B8:M8)</f>
        <v>101000000000</v>
      </c>
      <c r="D8" s="39" t="str">
        <f t="shared" si="0"/>
        <v>1001</v>
      </c>
      <c r="E8" s="4">
        <v>1</v>
      </c>
      <c r="F8" s="4">
        <v>0</v>
      </c>
      <c r="G8" s="4">
        <v>0</v>
      </c>
      <c r="H8" s="4">
        <v>1</v>
      </c>
    </row>
    <row r="9" spans="2:13" x14ac:dyDescent="0.25">
      <c r="B9" s="4" t="str">
        <f>_xlfn.TEXTJOIN(,,'Truth Table'!B9:M9)</f>
        <v>011000000000</v>
      </c>
      <c r="D9" s="39" t="str">
        <f t="shared" si="0"/>
        <v>101</v>
      </c>
      <c r="E9" s="4">
        <v>1</v>
      </c>
      <c r="F9" s="4">
        <v>0</v>
      </c>
      <c r="G9" s="4">
        <v>1</v>
      </c>
    </row>
    <row r="10" spans="2:13" x14ac:dyDescent="0.25">
      <c r="B10" s="4" t="str">
        <f>_xlfn.TEXTJOIN(,,'Truth Table'!B10:M10)</f>
        <v>111000000000</v>
      </c>
    </row>
    <row r="11" spans="2:13" x14ac:dyDescent="0.25">
      <c r="B11" s="4" t="str">
        <f>_xlfn.TEXTJOIN(,,'Truth Table'!B11:M11)</f>
        <v>000100000000</v>
      </c>
    </row>
    <row r="12" spans="2:13" x14ac:dyDescent="0.25">
      <c r="B12" s="4" t="str">
        <f>_xlfn.TEXTJOIN(,,'Truth Table'!B12:M12)</f>
        <v>100100000000</v>
      </c>
    </row>
    <row r="13" spans="2:13" x14ac:dyDescent="0.25">
      <c r="B13" s="4" t="str">
        <f>_xlfn.TEXTJOIN(,,'Truth Table'!B13:M13)</f>
        <v>010100000000</v>
      </c>
    </row>
    <row r="14" spans="2:13" x14ac:dyDescent="0.25">
      <c r="B14" s="4" t="str">
        <f>_xlfn.TEXTJOIN(,,'Truth Table'!B14:M14)</f>
        <v>110100000000</v>
      </c>
    </row>
    <row r="15" spans="2:13" x14ac:dyDescent="0.25">
      <c r="B15" s="4" t="str">
        <f>_xlfn.TEXTJOIN(,,'Truth Table'!B15:M15)</f>
        <v>001100000000</v>
      </c>
    </row>
    <row r="16" spans="2:13" x14ac:dyDescent="0.25">
      <c r="B16" s="4" t="str">
        <f>_xlfn.TEXTJOIN(,,'Truth Table'!B16:M16)</f>
        <v>101100000000</v>
      </c>
    </row>
    <row r="17" spans="2:2" x14ac:dyDescent="0.25">
      <c r="B17" s="4" t="str">
        <f>_xlfn.TEXTJOIN(,,'Truth Table'!B17:M17)</f>
        <v>011100000000</v>
      </c>
    </row>
    <row r="18" spans="2:2" x14ac:dyDescent="0.25">
      <c r="B18" s="4" t="str">
        <f>_xlfn.TEXTJOIN(,,'Truth Table'!B18:M18)</f>
        <v>111100000000</v>
      </c>
    </row>
    <row r="19" spans="2:2" x14ac:dyDescent="0.25">
      <c r="B19" s="4" t="str">
        <f>_xlfn.TEXTJOIN(,,'Truth Table'!B19:M19)</f>
        <v>000010000000</v>
      </c>
    </row>
    <row r="20" spans="2:2" x14ac:dyDescent="0.25">
      <c r="B20" s="4" t="str">
        <f>_xlfn.TEXTJOIN(,,'Truth Table'!B20:M20)</f>
        <v>100010000000</v>
      </c>
    </row>
    <row r="21" spans="2:2" x14ac:dyDescent="0.25">
      <c r="B21" s="4" t="str">
        <f>_xlfn.TEXTJOIN(,,'Truth Table'!B21:M21)</f>
        <v>010010000000</v>
      </c>
    </row>
    <row r="22" spans="2:2" x14ac:dyDescent="0.25">
      <c r="B22" s="4" t="str">
        <f>_xlfn.TEXTJOIN(,,'Truth Table'!B22:M22)</f>
        <v>110010000000</v>
      </c>
    </row>
    <row r="23" spans="2:2" x14ac:dyDescent="0.25">
      <c r="B23" s="4" t="str">
        <f>_xlfn.TEXTJOIN(,,'Truth Table'!B23:M23)</f>
        <v>001010000000</v>
      </c>
    </row>
    <row r="24" spans="2:2" x14ac:dyDescent="0.25">
      <c r="B24" s="4" t="str">
        <f>_xlfn.TEXTJOIN(,,'Truth Table'!B24:M24)</f>
        <v>101010000000</v>
      </c>
    </row>
    <row r="25" spans="2:2" x14ac:dyDescent="0.25">
      <c r="B25" s="4" t="str">
        <f>_xlfn.TEXTJOIN(,,'Truth Table'!B25:M25)</f>
        <v>011010000000</v>
      </c>
    </row>
    <row r="26" spans="2:2" x14ac:dyDescent="0.25">
      <c r="B26" s="4" t="str">
        <f>_xlfn.TEXTJOIN(,,'Truth Table'!B26:M26)</f>
        <v>111010000000</v>
      </c>
    </row>
    <row r="27" spans="2:2" x14ac:dyDescent="0.25">
      <c r="B27" s="4" t="str">
        <f>_xlfn.TEXTJOIN(,,'Truth Table'!B27:M27)</f>
        <v>000110000000</v>
      </c>
    </row>
    <row r="28" spans="2:2" x14ac:dyDescent="0.25">
      <c r="B28" s="4" t="str">
        <f>_xlfn.TEXTJOIN(,,'Truth Table'!B28:M28)</f>
        <v>100110000000</v>
      </c>
    </row>
    <row r="29" spans="2:2" x14ac:dyDescent="0.25">
      <c r="B29" s="4" t="str">
        <f>_xlfn.TEXTJOIN(,,'Truth Table'!B29:M29)</f>
        <v>010110000000</v>
      </c>
    </row>
    <row r="30" spans="2:2" x14ac:dyDescent="0.25">
      <c r="B30" s="4" t="str">
        <f>_xlfn.TEXTJOIN(,,'Truth Table'!B30:M30)</f>
        <v>110110000000</v>
      </c>
    </row>
    <row r="31" spans="2:2" x14ac:dyDescent="0.25">
      <c r="B31" s="4" t="str">
        <f>_xlfn.TEXTJOIN(,,'Truth Table'!B31:M31)</f>
        <v>001110000000</v>
      </c>
    </row>
    <row r="32" spans="2:2" x14ac:dyDescent="0.25">
      <c r="B32" s="4" t="str">
        <f>_xlfn.TEXTJOIN(,,'Truth Table'!B32:M32)</f>
        <v>101110000000</v>
      </c>
    </row>
    <row r="33" spans="2:2" x14ac:dyDescent="0.25">
      <c r="B33" s="4" t="str">
        <f>_xlfn.TEXTJOIN(,,'Truth Table'!B33:M33)</f>
        <v>011110000000</v>
      </c>
    </row>
    <row r="34" spans="2:2" x14ac:dyDescent="0.25">
      <c r="B34" s="4" t="str">
        <f>_xlfn.TEXTJOIN(,,'Truth Table'!B34:M34)</f>
        <v>111110000000</v>
      </c>
    </row>
    <row r="35" spans="2:2" x14ac:dyDescent="0.25">
      <c r="B35" s="4" t="str">
        <f>_xlfn.TEXTJOIN(,,'Truth Table'!B35:M35)</f>
        <v>000001000000</v>
      </c>
    </row>
    <row r="36" spans="2:2" x14ac:dyDescent="0.25">
      <c r="B36" s="4" t="str">
        <f>_xlfn.TEXTJOIN(,,'Truth Table'!B36:M36)</f>
        <v>100001000000</v>
      </c>
    </row>
    <row r="37" spans="2:2" x14ac:dyDescent="0.25">
      <c r="B37" s="4" t="str">
        <f>_xlfn.TEXTJOIN(,,'Truth Table'!B37:M37)</f>
        <v>010001000000</v>
      </c>
    </row>
    <row r="38" spans="2:2" x14ac:dyDescent="0.25">
      <c r="B38" s="4" t="str">
        <f>_xlfn.TEXTJOIN(,,'Truth Table'!B38:M38)</f>
        <v>110001000000</v>
      </c>
    </row>
    <row r="39" spans="2:2" x14ac:dyDescent="0.25">
      <c r="B39" s="4" t="str">
        <f>_xlfn.TEXTJOIN(,,'Truth Table'!B39:M39)</f>
        <v>001001000000</v>
      </c>
    </row>
    <row r="40" spans="2:2" x14ac:dyDescent="0.25">
      <c r="B40" s="4" t="str">
        <f>_xlfn.TEXTJOIN(,,'Truth Table'!B40:M40)</f>
        <v>101001000000</v>
      </c>
    </row>
    <row r="41" spans="2:2" x14ac:dyDescent="0.25">
      <c r="B41" s="4" t="str">
        <f>_xlfn.TEXTJOIN(,,'Truth Table'!B41:M41)</f>
        <v>011001000000</v>
      </c>
    </row>
    <row r="42" spans="2:2" x14ac:dyDescent="0.25">
      <c r="B42" s="4" t="str">
        <f>_xlfn.TEXTJOIN(,,'Truth Table'!B42:M42)</f>
        <v>111001000000</v>
      </c>
    </row>
    <row r="43" spans="2:2" x14ac:dyDescent="0.25">
      <c r="B43" s="4" t="str">
        <f>_xlfn.TEXTJOIN(,,'Truth Table'!B43:M43)</f>
        <v>000101000000</v>
      </c>
    </row>
    <row r="44" spans="2:2" x14ac:dyDescent="0.25">
      <c r="B44" s="4" t="str">
        <f>_xlfn.TEXTJOIN(,,'Truth Table'!B44:M44)</f>
        <v>100101000000</v>
      </c>
    </row>
    <row r="45" spans="2:2" x14ac:dyDescent="0.25">
      <c r="B45" s="4" t="str">
        <f>_xlfn.TEXTJOIN(,,'Truth Table'!B45:M45)</f>
        <v>010101000000</v>
      </c>
    </row>
    <row r="46" spans="2:2" x14ac:dyDescent="0.25">
      <c r="B46" s="4" t="str">
        <f>_xlfn.TEXTJOIN(,,'Truth Table'!B46:M46)</f>
        <v>110101000000</v>
      </c>
    </row>
    <row r="47" spans="2:2" x14ac:dyDescent="0.25">
      <c r="B47" s="4" t="str">
        <f>_xlfn.TEXTJOIN(,,'Truth Table'!B47:M47)</f>
        <v>001101000000</v>
      </c>
    </row>
    <row r="48" spans="2:2" x14ac:dyDescent="0.25">
      <c r="B48" s="4" t="str">
        <f>_xlfn.TEXTJOIN(,,'Truth Table'!B48:M48)</f>
        <v>101101000000</v>
      </c>
    </row>
    <row r="49" spans="2:2" x14ac:dyDescent="0.25">
      <c r="B49" s="4" t="str">
        <f>_xlfn.TEXTJOIN(,,'Truth Table'!B49:M49)</f>
        <v>011101000000</v>
      </c>
    </row>
    <row r="50" spans="2:2" x14ac:dyDescent="0.25">
      <c r="B50" s="4" t="str">
        <f>_xlfn.TEXTJOIN(,,'Truth Table'!B50:M50)</f>
        <v>111101000000</v>
      </c>
    </row>
    <row r="51" spans="2:2" x14ac:dyDescent="0.25">
      <c r="B51" s="4" t="str">
        <f>_xlfn.TEXTJOIN(,,'Truth Table'!B51:M51)</f>
        <v>000011000000</v>
      </c>
    </row>
    <row r="52" spans="2:2" x14ac:dyDescent="0.25">
      <c r="B52" s="4" t="str">
        <f>_xlfn.TEXTJOIN(,,'Truth Table'!B52:M52)</f>
        <v>100011000000</v>
      </c>
    </row>
    <row r="53" spans="2:2" x14ac:dyDescent="0.25">
      <c r="B53" s="4" t="str">
        <f>_xlfn.TEXTJOIN(,,'Truth Table'!B53:M53)</f>
        <v>010011000000</v>
      </c>
    </row>
    <row r="54" spans="2:2" x14ac:dyDescent="0.25">
      <c r="B54" s="4" t="str">
        <f>_xlfn.TEXTJOIN(,,'Truth Table'!B54:M54)</f>
        <v>110011000000</v>
      </c>
    </row>
    <row r="55" spans="2:2" x14ac:dyDescent="0.25">
      <c r="B55" s="4" t="str">
        <f>_xlfn.TEXTJOIN(,,'Truth Table'!B55:M55)</f>
        <v>001011000000</v>
      </c>
    </row>
    <row r="56" spans="2:2" x14ac:dyDescent="0.25">
      <c r="B56" s="4" t="str">
        <f>_xlfn.TEXTJOIN(,,'Truth Table'!B56:M56)</f>
        <v>101011000000</v>
      </c>
    </row>
    <row r="57" spans="2:2" x14ac:dyDescent="0.25">
      <c r="B57" s="4" t="str">
        <f>_xlfn.TEXTJOIN(,,'Truth Table'!B57:M57)</f>
        <v>011011000000</v>
      </c>
    </row>
    <row r="58" spans="2:2" x14ac:dyDescent="0.25">
      <c r="B58" s="4" t="str">
        <f>_xlfn.TEXTJOIN(,,'Truth Table'!B58:M58)</f>
        <v>111011000000</v>
      </c>
    </row>
    <row r="59" spans="2:2" x14ac:dyDescent="0.25">
      <c r="B59" s="4" t="str">
        <f>_xlfn.TEXTJOIN(,,'Truth Table'!B59:M59)</f>
        <v>000111000000</v>
      </c>
    </row>
    <row r="60" spans="2:2" x14ac:dyDescent="0.25">
      <c r="B60" s="4" t="str">
        <f>_xlfn.TEXTJOIN(,,'Truth Table'!B60:M60)</f>
        <v>100111000000</v>
      </c>
    </row>
    <row r="61" spans="2:2" x14ac:dyDescent="0.25">
      <c r="B61" s="4" t="str">
        <f>_xlfn.TEXTJOIN(,,'Truth Table'!B61:M61)</f>
        <v>010111000000</v>
      </c>
    </row>
    <row r="62" spans="2:2" x14ac:dyDescent="0.25">
      <c r="B62" s="4" t="str">
        <f>_xlfn.TEXTJOIN(,,'Truth Table'!B62:M62)</f>
        <v>110111000000</v>
      </c>
    </row>
    <row r="63" spans="2:2" x14ac:dyDescent="0.25">
      <c r="B63" s="4" t="str">
        <f>_xlfn.TEXTJOIN(,,'Truth Table'!B63:M63)</f>
        <v>001111000000</v>
      </c>
    </row>
    <row r="64" spans="2:2" x14ac:dyDescent="0.25">
      <c r="B64" s="4" t="str">
        <f>_xlfn.TEXTJOIN(,,'Truth Table'!B64:M64)</f>
        <v>101111000000</v>
      </c>
    </row>
    <row r="65" spans="2:2" x14ac:dyDescent="0.25">
      <c r="B65" s="4" t="str">
        <f>_xlfn.TEXTJOIN(,,'Truth Table'!B65:M65)</f>
        <v>011111000000</v>
      </c>
    </row>
    <row r="66" spans="2:2" x14ac:dyDescent="0.25">
      <c r="B66" s="4" t="str">
        <f>_xlfn.TEXTJOIN(,,'Truth Table'!B66:M66)</f>
        <v>111111000000</v>
      </c>
    </row>
    <row r="67" spans="2:2" x14ac:dyDescent="0.25">
      <c r="B67" s="4" t="str">
        <f>_xlfn.TEXTJOIN(,,'Truth Table'!B67:M67)</f>
        <v>000000100000</v>
      </c>
    </row>
    <row r="68" spans="2:2" x14ac:dyDescent="0.25">
      <c r="B68" s="4" t="str">
        <f>_xlfn.TEXTJOIN(,,'Truth Table'!B68:M68)</f>
        <v>100000100000</v>
      </c>
    </row>
    <row r="69" spans="2:2" x14ac:dyDescent="0.25">
      <c r="B69" s="4" t="str">
        <f>_xlfn.TEXTJOIN(,,'Truth Table'!B69:M69)</f>
        <v>010000100000</v>
      </c>
    </row>
    <row r="70" spans="2:2" x14ac:dyDescent="0.25">
      <c r="B70" s="4" t="str">
        <f>_xlfn.TEXTJOIN(,,'Truth Table'!B70:M70)</f>
        <v>110000100000</v>
      </c>
    </row>
    <row r="71" spans="2:2" x14ac:dyDescent="0.25">
      <c r="B71" s="4" t="str">
        <f>_xlfn.TEXTJOIN(,,'Truth Table'!B71:M71)</f>
        <v>001000100000</v>
      </c>
    </row>
    <row r="72" spans="2:2" x14ac:dyDescent="0.25">
      <c r="B72" s="4" t="str">
        <f>_xlfn.TEXTJOIN(,,'Truth Table'!B72:M72)</f>
        <v>101000100000</v>
      </c>
    </row>
    <row r="73" spans="2:2" x14ac:dyDescent="0.25">
      <c r="B73" s="4" t="str">
        <f>_xlfn.TEXTJOIN(,,'Truth Table'!B73:M73)</f>
        <v>011000100000</v>
      </c>
    </row>
    <row r="74" spans="2:2" x14ac:dyDescent="0.25">
      <c r="B74" s="4" t="str">
        <f>_xlfn.TEXTJOIN(,,'Truth Table'!B74:M74)</f>
        <v>111000100000</v>
      </c>
    </row>
    <row r="75" spans="2:2" x14ac:dyDescent="0.25">
      <c r="B75" s="4" t="str">
        <f>_xlfn.TEXTJOIN(,,'Truth Table'!B75:M75)</f>
        <v>000100100000</v>
      </c>
    </row>
    <row r="76" spans="2:2" x14ac:dyDescent="0.25">
      <c r="B76" s="4" t="str">
        <f>_xlfn.TEXTJOIN(,,'Truth Table'!B76:M76)</f>
        <v>100100100000</v>
      </c>
    </row>
    <row r="77" spans="2:2" x14ac:dyDescent="0.25">
      <c r="B77" s="4" t="str">
        <f>_xlfn.TEXTJOIN(,,'Truth Table'!B77:M77)</f>
        <v>010100100000</v>
      </c>
    </row>
    <row r="78" spans="2:2" x14ac:dyDescent="0.25">
      <c r="B78" s="4" t="str">
        <f>_xlfn.TEXTJOIN(,,'Truth Table'!B78:M78)</f>
        <v>110100100000</v>
      </c>
    </row>
    <row r="79" spans="2:2" x14ac:dyDescent="0.25">
      <c r="B79" s="4" t="str">
        <f>_xlfn.TEXTJOIN(,,'Truth Table'!B79:M79)</f>
        <v>001100100000</v>
      </c>
    </row>
    <row r="80" spans="2:2" x14ac:dyDescent="0.25">
      <c r="B80" s="4" t="str">
        <f>_xlfn.TEXTJOIN(,,'Truth Table'!B80:M80)</f>
        <v>101100100000</v>
      </c>
    </row>
    <row r="81" spans="2:2" x14ac:dyDescent="0.25">
      <c r="B81" s="4" t="str">
        <f>_xlfn.TEXTJOIN(,,'Truth Table'!B81:M81)</f>
        <v>011100100000</v>
      </c>
    </row>
    <row r="82" spans="2:2" x14ac:dyDescent="0.25">
      <c r="B82" s="4" t="str">
        <f>_xlfn.TEXTJOIN(,,'Truth Table'!B82:M82)</f>
        <v>111100100000</v>
      </c>
    </row>
    <row r="83" spans="2:2" x14ac:dyDescent="0.25">
      <c r="B83" s="4" t="str">
        <f>_xlfn.TEXTJOIN(,,'Truth Table'!B83:M83)</f>
        <v>000010100000</v>
      </c>
    </row>
    <row r="84" spans="2:2" x14ac:dyDescent="0.25">
      <c r="B84" s="4" t="str">
        <f>_xlfn.TEXTJOIN(,,'Truth Table'!B84:M84)</f>
        <v>100010100000</v>
      </c>
    </row>
    <row r="85" spans="2:2" x14ac:dyDescent="0.25">
      <c r="B85" s="4" t="str">
        <f>_xlfn.TEXTJOIN(,,'Truth Table'!B85:M85)</f>
        <v>010010100000</v>
      </c>
    </row>
    <row r="86" spans="2:2" x14ac:dyDescent="0.25">
      <c r="B86" s="4" t="str">
        <f>_xlfn.TEXTJOIN(,,'Truth Table'!B86:M86)</f>
        <v>110010100000</v>
      </c>
    </row>
    <row r="87" spans="2:2" x14ac:dyDescent="0.25">
      <c r="B87" s="4" t="str">
        <f>_xlfn.TEXTJOIN(,,'Truth Table'!B87:M87)</f>
        <v>001010100000</v>
      </c>
    </row>
    <row r="88" spans="2:2" x14ac:dyDescent="0.25">
      <c r="B88" s="4" t="str">
        <f>_xlfn.TEXTJOIN(,,'Truth Table'!B88:M88)</f>
        <v>101010100000</v>
      </c>
    </row>
    <row r="89" spans="2:2" x14ac:dyDescent="0.25">
      <c r="B89" s="4" t="str">
        <f>_xlfn.TEXTJOIN(,,'Truth Table'!B89:M89)</f>
        <v>011010100000</v>
      </c>
    </row>
    <row r="90" spans="2:2" x14ac:dyDescent="0.25">
      <c r="B90" s="4" t="str">
        <f>_xlfn.TEXTJOIN(,,'Truth Table'!B90:M90)</f>
        <v>111010100000</v>
      </c>
    </row>
    <row r="91" spans="2:2" x14ac:dyDescent="0.25">
      <c r="B91" s="4" t="str">
        <f>_xlfn.TEXTJOIN(,,'Truth Table'!B91:M91)</f>
        <v>000110100000</v>
      </c>
    </row>
    <row r="92" spans="2:2" x14ac:dyDescent="0.25">
      <c r="B92" s="4" t="str">
        <f>_xlfn.TEXTJOIN(,,'Truth Table'!B92:M92)</f>
        <v>100110100000</v>
      </c>
    </row>
    <row r="93" spans="2:2" x14ac:dyDescent="0.25">
      <c r="B93" s="4" t="str">
        <f>_xlfn.TEXTJOIN(,,'Truth Table'!B93:M93)</f>
        <v>010110100000</v>
      </c>
    </row>
    <row r="94" spans="2:2" x14ac:dyDescent="0.25">
      <c r="B94" s="4" t="str">
        <f>_xlfn.TEXTJOIN(,,'Truth Table'!B94:M94)</f>
        <v>110110100000</v>
      </c>
    </row>
    <row r="95" spans="2:2" x14ac:dyDescent="0.25">
      <c r="B95" s="4" t="str">
        <f>_xlfn.TEXTJOIN(,,'Truth Table'!B95:M95)</f>
        <v>001110100000</v>
      </c>
    </row>
    <row r="96" spans="2:2" x14ac:dyDescent="0.25">
      <c r="B96" s="4" t="str">
        <f>_xlfn.TEXTJOIN(,,'Truth Table'!B96:M96)</f>
        <v>101110100000</v>
      </c>
    </row>
    <row r="97" spans="2:2" x14ac:dyDescent="0.25">
      <c r="B97" s="4" t="str">
        <f>_xlfn.TEXTJOIN(,,'Truth Table'!B97:M97)</f>
        <v>011110100000</v>
      </c>
    </row>
    <row r="98" spans="2:2" x14ac:dyDescent="0.25">
      <c r="B98" s="4" t="str">
        <f>_xlfn.TEXTJOIN(,,'Truth Table'!B98:M98)</f>
        <v>111110100000</v>
      </c>
    </row>
    <row r="99" spans="2:2" x14ac:dyDescent="0.25">
      <c r="B99" s="4" t="str">
        <f>_xlfn.TEXTJOIN(,,'Truth Table'!B99:M99)</f>
        <v>000001100000</v>
      </c>
    </row>
    <row r="100" spans="2:2" x14ac:dyDescent="0.25">
      <c r="B100" s="4" t="str">
        <f>_xlfn.TEXTJOIN(,,'Truth Table'!B100:M100)</f>
        <v>100001100000</v>
      </c>
    </row>
    <row r="101" spans="2:2" x14ac:dyDescent="0.25">
      <c r="B101" s="4" t="str">
        <f>_xlfn.TEXTJOIN(,,'Truth Table'!B101:M101)</f>
        <v>010001100000</v>
      </c>
    </row>
    <row r="102" spans="2:2" x14ac:dyDescent="0.25">
      <c r="B102" s="4" t="str">
        <f>_xlfn.TEXTJOIN(,,'Truth Table'!B102:M102)</f>
        <v>110001100000</v>
      </c>
    </row>
    <row r="103" spans="2:2" x14ac:dyDescent="0.25">
      <c r="B103" s="4" t="str">
        <f>_xlfn.TEXTJOIN(,,'Truth Table'!B103:M103)</f>
        <v>001001100000</v>
      </c>
    </row>
    <row r="104" spans="2:2" x14ac:dyDescent="0.25">
      <c r="B104" s="4" t="str">
        <f>_xlfn.TEXTJOIN(,,'Truth Table'!B104:M104)</f>
        <v>101001100000</v>
      </c>
    </row>
    <row r="105" spans="2:2" x14ac:dyDescent="0.25">
      <c r="B105" s="4" t="str">
        <f>_xlfn.TEXTJOIN(,,'Truth Table'!B105:M105)</f>
        <v>011001100000</v>
      </c>
    </row>
    <row r="106" spans="2:2" x14ac:dyDescent="0.25">
      <c r="B106" s="4" t="str">
        <f>_xlfn.TEXTJOIN(,,'Truth Table'!B106:M106)</f>
        <v>111001100000</v>
      </c>
    </row>
    <row r="107" spans="2:2" x14ac:dyDescent="0.25">
      <c r="B107" s="4" t="str">
        <f>_xlfn.TEXTJOIN(,,'Truth Table'!B107:M107)</f>
        <v>000101100000</v>
      </c>
    </row>
    <row r="108" spans="2:2" x14ac:dyDescent="0.25">
      <c r="B108" s="4" t="str">
        <f>_xlfn.TEXTJOIN(,,'Truth Table'!B108:M108)</f>
        <v>100101100000</v>
      </c>
    </row>
    <row r="109" spans="2:2" x14ac:dyDescent="0.25">
      <c r="B109" s="4" t="str">
        <f>_xlfn.TEXTJOIN(,,'Truth Table'!B109:M109)</f>
        <v>010101100000</v>
      </c>
    </row>
    <row r="110" spans="2:2" x14ac:dyDescent="0.25">
      <c r="B110" s="4" t="str">
        <f>_xlfn.TEXTJOIN(,,'Truth Table'!B110:M110)</f>
        <v>110101100000</v>
      </c>
    </row>
    <row r="111" spans="2:2" x14ac:dyDescent="0.25">
      <c r="B111" s="4" t="str">
        <f>_xlfn.TEXTJOIN(,,'Truth Table'!B111:M111)</f>
        <v>001101100000</v>
      </c>
    </row>
    <row r="112" spans="2:2" x14ac:dyDescent="0.25">
      <c r="B112" s="4" t="str">
        <f>_xlfn.TEXTJOIN(,,'Truth Table'!B112:M112)</f>
        <v>101101100000</v>
      </c>
    </row>
    <row r="113" spans="2:2" x14ac:dyDescent="0.25">
      <c r="B113" s="4" t="str">
        <f>_xlfn.TEXTJOIN(,,'Truth Table'!B113:M113)</f>
        <v>011101100000</v>
      </c>
    </row>
    <row r="114" spans="2:2" x14ac:dyDescent="0.25">
      <c r="B114" s="4" t="str">
        <f>_xlfn.TEXTJOIN(,,'Truth Table'!B114:M114)</f>
        <v>111101100000</v>
      </c>
    </row>
    <row r="115" spans="2:2" x14ac:dyDescent="0.25">
      <c r="B115" s="4" t="str">
        <f>_xlfn.TEXTJOIN(,,'Truth Table'!B115:M115)</f>
        <v>000011100000</v>
      </c>
    </row>
    <row r="116" spans="2:2" x14ac:dyDescent="0.25">
      <c r="B116" s="4" t="str">
        <f>_xlfn.TEXTJOIN(,,'Truth Table'!B116:M116)</f>
        <v>100011100000</v>
      </c>
    </row>
    <row r="117" spans="2:2" x14ac:dyDescent="0.25">
      <c r="B117" s="4" t="str">
        <f>_xlfn.TEXTJOIN(,,'Truth Table'!B117:M117)</f>
        <v>010011100000</v>
      </c>
    </row>
    <row r="118" spans="2:2" x14ac:dyDescent="0.25">
      <c r="B118" s="4" t="str">
        <f>_xlfn.TEXTJOIN(,,'Truth Table'!B118:M118)</f>
        <v>110011100000</v>
      </c>
    </row>
    <row r="119" spans="2:2" x14ac:dyDescent="0.25">
      <c r="B119" s="4" t="str">
        <f>_xlfn.TEXTJOIN(,,'Truth Table'!B119:M119)</f>
        <v>001011100000</v>
      </c>
    </row>
    <row r="120" spans="2:2" x14ac:dyDescent="0.25">
      <c r="B120" s="4" t="str">
        <f>_xlfn.TEXTJOIN(,,'Truth Table'!B120:M120)</f>
        <v>101011100000</v>
      </c>
    </row>
    <row r="121" spans="2:2" x14ac:dyDescent="0.25">
      <c r="B121" s="4" t="str">
        <f>_xlfn.TEXTJOIN(,,'Truth Table'!B121:M121)</f>
        <v>011011100000</v>
      </c>
    </row>
    <row r="122" spans="2:2" x14ac:dyDescent="0.25">
      <c r="B122" s="4" t="str">
        <f>_xlfn.TEXTJOIN(,,'Truth Table'!B122:M122)</f>
        <v>111011100000</v>
      </c>
    </row>
    <row r="123" spans="2:2" x14ac:dyDescent="0.25">
      <c r="B123" s="4" t="str">
        <f>_xlfn.TEXTJOIN(,,'Truth Table'!B123:M123)</f>
        <v>000111100000</v>
      </c>
    </row>
    <row r="124" spans="2:2" x14ac:dyDescent="0.25">
      <c r="B124" s="4" t="str">
        <f>_xlfn.TEXTJOIN(,,'Truth Table'!B124:M124)</f>
        <v>100111100000</v>
      </c>
    </row>
    <row r="125" spans="2:2" x14ac:dyDescent="0.25">
      <c r="B125" s="4" t="str">
        <f>_xlfn.TEXTJOIN(,,'Truth Table'!B125:M125)</f>
        <v>010111100000</v>
      </c>
    </row>
    <row r="126" spans="2:2" x14ac:dyDescent="0.25">
      <c r="B126" s="4" t="str">
        <f>_xlfn.TEXTJOIN(,,'Truth Table'!B126:M126)</f>
        <v>110111100000</v>
      </c>
    </row>
    <row r="127" spans="2:2" x14ac:dyDescent="0.25">
      <c r="B127" s="4" t="str">
        <f>_xlfn.TEXTJOIN(,,'Truth Table'!B127:M127)</f>
        <v>001111100000</v>
      </c>
    </row>
    <row r="128" spans="2:2" x14ac:dyDescent="0.25">
      <c r="B128" s="4" t="str">
        <f>_xlfn.TEXTJOIN(,,'Truth Table'!B128:M128)</f>
        <v>101111100000</v>
      </c>
    </row>
    <row r="129" spans="2:2" x14ac:dyDescent="0.25">
      <c r="B129" s="4" t="str">
        <f>_xlfn.TEXTJOIN(,,'Truth Table'!B129:M129)</f>
        <v>011111100000</v>
      </c>
    </row>
    <row r="130" spans="2:2" x14ac:dyDescent="0.25">
      <c r="B130" s="4" t="str">
        <f>_xlfn.TEXTJOIN(,,'Truth Table'!B130:M130)</f>
        <v>111111100000</v>
      </c>
    </row>
    <row r="131" spans="2:2" x14ac:dyDescent="0.25">
      <c r="B131" s="4" t="str">
        <f>_xlfn.TEXTJOIN(,,'Truth Table'!B131:M131)</f>
        <v>000000010000</v>
      </c>
    </row>
    <row r="132" spans="2:2" x14ac:dyDescent="0.25">
      <c r="B132" s="4" t="str">
        <f>_xlfn.TEXTJOIN(,,'Truth Table'!B132:M132)</f>
        <v>100000010000</v>
      </c>
    </row>
    <row r="133" spans="2:2" x14ac:dyDescent="0.25">
      <c r="B133" s="4" t="str">
        <f>_xlfn.TEXTJOIN(,,'Truth Table'!B133:M133)</f>
        <v>010000010000</v>
      </c>
    </row>
    <row r="134" spans="2:2" x14ac:dyDescent="0.25">
      <c r="B134" s="4" t="str">
        <f>_xlfn.TEXTJOIN(,,'Truth Table'!B134:M134)</f>
        <v>110000010000</v>
      </c>
    </row>
    <row r="135" spans="2:2" x14ac:dyDescent="0.25">
      <c r="B135" s="4" t="str">
        <f>_xlfn.TEXTJOIN(,,'Truth Table'!B135:M135)</f>
        <v>001000010000</v>
      </c>
    </row>
    <row r="136" spans="2:2" x14ac:dyDescent="0.25">
      <c r="B136" s="4" t="str">
        <f>_xlfn.TEXTJOIN(,,'Truth Table'!B136:M136)</f>
        <v>101000010000</v>
      </c>
    </row>
    <row r="137" spans="2:2" x14ac:dyDescent="0.25">
      <c r="B137" s="4" t="str">
        <f>_xlfn.TEXTJOIN(,,'Truth Table'!B137:M137)</f>
        <v>011000010000</v>
      </c>
    </row>
    <row r="138" spans="2:2" x14ac:dyDescent="0.25">
      <c r="B138" s="4" t="str">
        <f>_xlfn.TEXTJOIN(,,'Truth Table'!B138:M138)</f>
        <v>111000010000</v>
      </c>
    </row>
    <row r="139" spans="2:2" x14ac:dyDescent="0.25">
      <c r="B139" s="4" t="str">
        <f>_xlfn.TEXTJOIN(,,'Truth Table'!B139:M139)</f>
        <v>000100010000</v>
      </c>
    </row>
    <row r="140" spans="2:2" x14ac:dyDescent="0.25">
      <c r="B140" s="4" t="str">
        <f>_xlfn.TEXTJOIN(,,'Truth Table'!B140:M140)</f>
        <v>100100010000</v>
      </c>
    </row>
    <row r="141" spans="2:2" x14ac:dyDescent="0.25">
      <c r="B141" s="4" t="str">
        <f>_xlfn.TEXTJOIN(,,'Truth Table'!B141:M141)</f>
        <v>010100010000</v>
      </c>
    </row>
    <row r="142" spans="2:2" x14ac:dyDescent="0.25">
      <c r="B142" s="4" t="str">
        <f>_xlfn.TEXTJOIN(,,'Truth Table'!B142:M142)</f>
        <v>110100010000</v>
      </c>
    </row>
    <row r="143" spans="2:2" x14ac:dyDescent="0.25">
      <c r="B143" s="4" t="str">
        <f>_xlfn.TEXTJOIN(,,'Truth Table'!B143:M143)</f>
        <v>001100010000</v>
      </c>
    </row>
    <row r="144" spans="2:2" x14ac:dyDescent="0.25">
      <c r="B144" s="4" t="str">
        <f>_xlfn.TEXTJOIN(,,'Truth Table'!B144:M144)</f>
        <v>101100010000</v>
      </c>
    </row>
    <row r="145" spans="2:2" x14ac:dyDescent="0.25">
      <c r="B145" s="4" t="str">
        <f>_xlfn.TEXTJOIN(,,'Truth Table'!B145:M145)</f>
        <v>011100010000</v>
      </c>
    </row>
    <row r="146" spans="2:2" x14ac:dyDescent="0.25">
      <c r="B146" s="4" t="str">
        <f>_xlfn.TEXTJOIN(,,'Truth Table'!B146:M146)</f>
        <v>111100010000</v>
      </c>
    </row>
    <row r="147" spans="2:2" x14ac:dyDescent="0.25">
      <c r="B147" s="4" t="str">
        <f>_xlfn.TEXTJOIN(,,'Truth Table'!B147:M147)</f>
        <v>000010010000</v>
      </c>
    </row>
    <row r="148" spans="2:2" x14ac:dyDescent="0.25">
      <c r="B148" s="4" t="str">
        <f>_xlfn.TEXTJOIN(,,'Truth Table'!B148:M148)</f>
        <v>100010010000</v>
      </c>
    </row>
    <row r="149" spans="2:2" x14ac:dyDescent="0.25">
      <c r="B149" s="4" t="str">
        <f>_xlfn.TEXTJOIN(,,'Truth Table'!B149:M149)</f>
        <v>010010010000</v>
      </c>
    </row>
    <row r="150" spans="2:2" x14ac:dyDescent="0.25">
      <c r="B150" s="4" t="str">
        <f>_xlfn.TEXTJOIN(,,'Truth Table'!B150:M150)</f>
        <v>110010010000</v>
      </c>
    </row>
    <row r="151" spans="2:2" x14ac:dyDescent="0.25">
      <c r="B151" s="4" t="str">
        <f>_xlfn.TEXTJOIN(,,'Truth Table'!B151:M151)</f>
        <v>001010010000</v>
      </c>
    </row>
    <row r="152" spans="2:2" x14ac:dyDescent="0.25">
      <c r="B152" s="4" t="str">
        <f>_xlfn.TEXTJOIN(,,'Truth Table'!B152:M152)</f>
        <v>101010010000</v>
      </c>
    </row>
    <row r="153" spans="2:2" x14ac:dyDescent="0.25">
      <c r="B153" s="4" t="str">
        <f>_xlfn.TEXTJOIN(,,'Truth Table'!B153:M153)</f>
        <v>011010010000</v>
      </c>
    </row>
    <row r="154" spans="2:2" x14ac:dyDescent="0.25">
      <c r="B154" s="4" t="str">
        <f>_xlfn.TEXTJOIN(,,'Truth Table'!B154:M154)</f>
        <v>111010010000</v>
      </c>
    </row>
    <row r="155" spans="2:2" x14ac:dyDescent="0.25">
      <c r="B155" s="4" t="str">
        <f>_xlfn.TEXTJOIN(,,'Truth Table'!B155:M155)</f>
        <v>000110010000</v>
      </c>
    </row>
    <row r="156" spans="2:2" x14ac:dyDescent="0.25">
      <c r="B156" s="4" t="str">
        <f>_xlfn.TEXTJOIN(,,'Truth Table'!B156:M156)</f>
        <v>100110010000</v>
      </c>
    </row>
    <row r="157" spans="2:2" x14ac:dyDescent="0.25">
      <c r="B157" s="4" t="str">
        <f>_xlfn.TEXTJOIN(,,'Truth Table'!B157:M157)</f>
        <v>010110010000</v>
      </c>
    </row>
    <row r="158" spans="2:2" x14ac:dyDescent="0.25">
      <c r="B158" s="4" t="str">
        <f>_xlfn.TEXTJOIN(,,'Truth Table'!B158:M158)</f>
        <v>110110010000</v>
      </c>
    </row>
    <row r="159" spans="2:2" x14ac:dyDescent="0.25">
      <c r="B159" s="4" t="str">
        <f>_xlfn.TEXTJOIN(,,'Truth Table'!B159:M159)</f>
        <v>001110010000</v>
      </c>
    </row>
    <row r="160" spans="2:2" x14ac:dyDescent="0.25">
      <c r="B160" s="4" t="str">
        <f>_xlfn.TEXTJOIN(,,'Truth Table'!B160:M160)</f>
        <v>101110010000</v>
      </c>
    </row>
    <row r="161" spans="2:2" x14ac:dyDescent="0.25">
      <c r="B161" s="4" t="str">
        <f>_xlfn.TEXTJOIN(,,'Truth Table'!B161:M161)</f>
        <v>011110010000</v>
      </c>
    </row>
    <row r="162" spans="2:2" x14ac:dyDescent="0.25">
      <c r="B162" s="4" t="str">
        <f>_xlfn.TEXTJOIN(,,'Truth Table'!B162:M162)</f>
        <v>111110010000</v>
      </c>
    </row>
    <row r="163" spans="2:2" x14ac:dyDescent="0.25">
      <c r="B163" s="4" t="str">
        <f>_xlfn.TEXTJOIN(,,'Truth Table'!B163:M163)</f>
        <v>000001010000</v>
      </c>
    </row>
    <row r="164" spans="2:2" x14ac:dyDescent="0.25">
      <c r="B164" s="4" t="str">
        <f>_xlfn.TEXTJOIN(,,'Truth Table'!B164:M164)</f>
        <v>100001010000</v>
      </c>
    </row>
    <row r="165" spans="2:2" x14ac:dyDescent="0.25">
      <c r="B165" s="4" t="str">
        <f>_xlfn.TEXTJOIN(,,'Truth Table'!B165:M165)</f>
        <v>010001010000</v>
      </c>
    </row>
    <row r="166" spans="2:2" x14ac:dyDescent="0.25">
      <c r="B166" s="4" t="str">
        <f>_xlfn.TEXTJOIN(,,'Truth Table'!B166:M166)</f>
        <v>110001010000</v>
      </c>
    </row>
    <row r="167" spans="2:2" x14ac:dyDescent="0.25">
      <c r="B167" s="4" t="str">
        <f>_xlfn.TEXTJOIN(,,'Truth Table'!B167:M167)</f>
        <v>001001010000</v>
      </c>
    </row>
    <row r="168" spans="2:2" x14ac:dyDescent="0.25">
      <c r="B168" s="4" t="str">
        <f>_xlfn.TEXTJOIN(,,'Truth Table'!B168:M168)</f>
        <v>101001010000</v>
      </c>
    </row>
    <row r="169" spans="2:2" x14ac:dyDescent="0.25">
      <c r="B169" s="4" t="str">
        <f>_xlfn.TEXTJOIN(,,'Truth Table'!B169:M169)</f>
        <v>011001010000</v>
      </c>
    </row>
    <row r="170" spans="2:2" x14ac:dyDescent="0.25">
      <c r="B170" s="4" t="str">
        <f>_xlfn.TEXTJOIN(,,'Truth Table'!B170:M170)</f>
        <v>111001010000</v>
      </c>
    </row>
    <row r="171" spans="2:2" x14ac:dyDescent="0.25">
      <c r="B171" s="4" t="str">
        <f>_xlfn.TEXTJOIN(,,'Truth Table'!B171:M171)</f>
        <v>000101010000</v>
      </c>
    </row>
    <row r="172" spans="2:2" x14ac:dyDescent="0.25">
      <c r="B172" s="4" t="str">
        <f>_xlfn.TEXTJOIN(,,'Truth Table'!B172:M172)</f>
        <v>100101010000</v>
      </c>
    </row>
    <row r="173" spans="2:2" x14ac:dyDescent="0.25">
      <c r="B173" s="4" t="str">
        <f>_xlfn.TEXTJOIN(,,'Truth Table'!B173:M173)</f>
        <v>010101010000</v>
      </c>
    </row>
    <row r="174" spans="2:2" x14ac:dyDescent="0.25">
      <c r="B174" s="4" t="str">
        <f>_xlfn.TEXTJOIN(,,'Truth Table'!B174:M174)</f>
        <v>110101010000</v>
      </c>
    </row>
    <row r="175" spans="2:2" x14ac:dyDescent="0.25">
      <c r="B175" s="4" t="str">
        <f>_xlfn.TEXTJOIN(,,'Truth Table'!B175:M175)</f>
        <v>001101010000</v>
      </c>
    </row>
    <row r="176" spans="2:2" x14ac:dyDescent="0.25">
      <c r="B176" s="4" t="str">
        <f>_xlfn.TEXTJOIN(,,'Truth Table'!B176:M176)</f>
        <v>101101010000</v>
      </c>
    </row>
    <row r="177" spans="2:2" x14ac:dyDescent="0.25">
      <c r="B177" s="4" t="str">
        <f>_xlfn.TEXTJOIN(,,'Truth Table'!B177:M177)</f>
        <v>011101010000</v>
      </c>
    </row>
    <row r="178" spans="2:2" x14ac:dyDescent="0.25">
      <c r="B178" s="4" t="str">
        <f>_xlfn.TEXTJOIN(,,'Truth Table'!B178:M178)</f>
        <v>111101010000</v>
      </c>
    </row>
    <row r="179" spans="2:2" x14ac:dyDescent="0.25">
      <c r="B179" s="4" t="str">
        <f>_xlfn.TEXTJOIN(,,'Truth Table'!B179:M179)</f>
        <v>000011010000</v>
      </c>
    </row>
    <row r="180" spans="2:2" x14ac:dyDescent="0.25">
      <c r="B180" s="4" t="str">
        <f>_xlfn.TEXTJOIN(,,'Truth Table'!B180:M180)</f>
        <v>100011010000</v>
      </c>
    </row>
    <row r="181" spans="2:2" x14ac:dyDescent="0.25">
      <c r="B181" s="4" t="str">
        <f>_xlfn.TEXTJOIN(,,'Truth Table'!B181:M181)</f>
        <v>010011010000</v>
      </c>
    </row>
    <row r="182" spans="2:2" x14ac:dyDescent="0.25">
      <c r="B182" s="4" t="str">
        <f>_xlfn.TEXTJOIN(,,'Truth Table'!B182:M182)</f>
        <v>110011010000</v>
      </c>
    </row>
    <row r="183" spans="2:2" x14ac:dyDescent="0.25">
      <c r="B183" s="4" t="str">
        <f>_xlfn.TEXTJOIN(,,'Truth Table'!B183:M183)</f>
        <v>001011010000</v>
      </c>
    </row>
    <row r="184" spans="2:2" x14ac:dyDescent="0.25">
      <c r="B184" s="4" t="str">
        <f>_xlfn.TEXTJOIN(,,'Truth Table'!B184:M184)</f>
        <v>101011010000</v>
      </c>
    </row>
    <row r="185" spans="2:2" x14ac:dyDescent="0.25">
      <c r="B185" s="4" t="str">
        <f>_xlfn.TEXTJOIN(,,'Truth Table'!B185:M185)</f>
        <v>011011010000</v>
      </c>
    </row>
    <row r="186" spans="2:2" x14ac:dyDescent="0.25">
      <c r="B186" s="4" t="str">
        <f>_xlfn.TEXTJOIN(,,'Truth Table'!B186:M186)</f>
        <v>111011010000</v>
      </c>
    </row>
    <row r="187" spans="2:2" x14ac:dyDescent="0.25">
      <c r="B187" s="4" t="str">
        <f>_xlfn.TEXTJOIN(,,'Truth Table'!B187:M187)</f>
        <v>000111010000</v>
      </c>
    </row>
    <row r="188" spans="2:2" x14ac:dyDescent="0.25">
      <c r="B188" s="4" t="str">
        <f>_xlfn.TEXTJOIN(,,'Truth Table'!B188:M188)</f>
        <v>100111010000</v>
      </c>
    </row>
    <row r="189" spans="2:2" x14ac:dyDescent="0.25">
      <c r="B189" s="4" t="str">
        <f>_xlfn.TEXTJOIN(,,'Truth Table'!B189:M189)</f>
        <v>010111010000</v>
      </c>
    </row>
    <row r="190" spans="2:2" x14ac:dyDescent="0.25">
      <c r="B190" s="4" t="str">
        <f>_xlfn.TEXTJOIN(,,'Truth Table'!B190:M190)</f>
        <v>110111010000</v>
      </c>
    </row>
    <row r="191" spans="2:2" x14ac:dyDescent="0.25">
      <c r="B191" s="4" t="str">
        <f>_xlfn.TEXTJOIN(,,'Truth Table'!B191:M191)</f>
        <v>001111010000</v>
      </c>
    </row>
    <row r="192" spans="2:2" x14ac:dyDescent="0.25">
      <c r="B192" s="4" t="str">
        <f>_xlfn.TEXTJOIN(,,'Truth Table'!B192:M192)</f>
        <v>101111010000</v>
      </c>
    </row>
    <row r="193" spans="2:2" x14ac:dyDescent="0.25">
      <c r="B193" s="4" t="str">
        <f>_xlfn.TEXTJOIN(,,'Truth Table'!B193:M193)</f>
        <v>011111010000</v>
      </c>
    </row>
    <row r="194" spans="2:2" x14ac:dyDescent="0.25">
      <c r="B194" s="4" t="str">
        <f>_xlfn.TEXTJOIN(,,'Truth Table'!B194:M194)</f>
        <v>111111010000</v>
      </c>
    </row>
    <row r="195" spans="2:2" x14ac:dyDescent="0.25">
      <c r="B195" s="4" t="str">
        <f>_xlfn.TEXTJOIN(,,'Truth Table'!B195:M195)</f>
        <v>000000110000</v>
      </c>
    </row>
    <row r="196" spans="2:2" x14ac:dyDescent="0.25">
      <c r="B196" s="4" t="str">
        <f>_xlfn.TEXTJOIN(,,'Truth Table'!B196:M196)</f>
        <v>100000110000</v>
      </c>
    </row>
    <row r="197" spans="2:2" x14ac:dyDescent="0.25">
      <c r="B197" s="4" t="str">
        <f>_xlfn.TEXTJOIN(,,'Truth Table'!B197:M197)</f>
        <v>010000110000</v>
      </c>
    </row>
    <row r="198" spans="2:2" x14ac:dyDescent="0.25">
      <c r="B198" s="4" t="str">
        <f>_xlfn.TEXTJOIN(,,'Truth Table'!B198:M198)</f>
        <v>110000110000</v>
      </c>
    </row>
    <row r="199" spans="2:2" x14ac:dyDescent="0.25">
      <c r="B199" s="4" t="str">
        <f>_xlfn.TEXTJOIN(,,'Truth Table'!B199:M199)</f>
        <v>001000110000</v>
      </c>
    </row>
    <row r="200" spans="2:2" x14ac:dyDescent="0.25">
      <c r="B200" s="4" t="str">
        <f>_xlfn.TEXTJOIN(,,'Truth Table'!B200:M200)</f>
        <v>101000110000</v>
      </c>
    </row>
    <row r="201" spans="2:2" x14ac:dyDescent="0.25">
      <c r="B201" s="4" t="str">
        <f>_xlfn.TEXTJOIN(,,'Truth Table'!B201:M201)</f>
        <v>011000110000</v>
      </c>
    </row>
    <row r="202" spans="2:2" x14ac:dyDescent="0.25">
      <c r="B202" s="4" t="str">
        <f>_xlfn.TEXTJOIN(,,'Truth Table'!B202:M202)</f>
        <v>111000110000</v>
      </c>
    </row>
    <row r="203" spans="2:2" x14ac:dyDescent="0.25">
      <c r="B203" s="4" t="str">
        <f>_xlfn.TEXTJOIN(,,'Truth Table'!B203:M203)</f>
        <v>000100110000</v>
      </c>
    </row>
    <row r="204" spans="2:2" x14ac:dyDescent="0.25">
      <c r="B204" s="4" t="str">
        <f>_xlfn.TEXTJOIN(,,'Truth Table'!B204:M204)</f>
        <v>100100110000</v>
      </c>
    </row>
    <row r="205" spans="2:2" x14ac:dyDescent="0.25">
      <c r="B205" s="4" t="str">
        <f>_xlfn.TEXTJOIN(,,'Truth Table'!B205:M205)</f>
        <v>010100110000</v>
      </c>
    </row>
    <row r="206" spans="2:2" x14ac:dyDescent="0.25">
      <c r="B206" s="4" t="str">
        <f>_xlfn.TEXTJOIN(,,'Truth Table'!B206:M206)</f>
        <v>110100110000</v>
      </c>
    </row>
    <row r="207" spans="2:2" x14ac:dyDescent="0.25">
      <c r="B207" s="4" t="str">
        <f>_xlfn.TEXTJOIN(,,'Truth Table'!B207:M207)</f>
        <v>001100110000</v>
      </c>
    </row>
    <row r="208" spans="2:2" x14ac:dyDescent="0.25">
      <c r="B208" s="4" t="str">
        <f>_xlfn.TEXTJOIN(,,'Truth Table'!B208:M208)</f>
        <v>101100110000</v>
      </c>
    </row>
    <row r="209" spans="2:2" x14ac:dyDescent="0.25">
      <c r="B209" s="4" t="str">
        <f>_xlfn.TEXTJOIN(,,'Truth Table'!B209:M209)</f>
        <v>011100110000</v>
      </c>
    </row>
    <row r="210" spans="2:2" x14ac:dyDescent="0.25">
      <c r="B210" s="4" t="str">
        <f>_xlfn.TEXTJOIN(,,'Truth Table'!B210:M210)</f>
        <v>111100110000</v>
      </c>
    </row>
    <row r="211" spans="2:2" x14ac:dyDescent="0.25">
      <c r="B211" s="4" t="str">
        <f>_xlfn.TEXTJOIN(,,'Truth Table'!B211:M211)</f>
        <v>000010110000</v>
      </c>
    </row>
    <row r="212" spans="2:2" x14ac:dyDescent="0.25">
      <c r="B212" s="4" t="str">
        <f>_xlfn.TEXTJOIN(,,'Truth Table'!B212:M212)</f>
        <v>100010110000</v>
      </c>
    </row>
    <row r="213" spans="2:2" x14ac:dyDescent="0.25">
      <c r="B213" s="4" t="str">
        <f>_xlfn.TEXTJOIN(,,'Truth Table'!B213:M213)</f>
        <v>010010110000</v>
      </c>
    </row>
    <row r="214" spans="2:2" x14ac:dyDescent="0.25">
      <c r="B214" s="4" t="str">
        <f>_xlfn.TEXTJOIN(,,'Truth Table'!B214:M214)</f>
        <v>110010110000</v>
      </c>
    </row>
    <row r="215" spans="2:2" x14ac:dyDescent="0.25">
      <c r="B215" s="4" t="str">
        <f>_xlfn.TEXTJOIN(,,'Truth Table'!B215:M215)</f>
        <v>001010110000</v>
      </c>
    </row>
    <row r="216" spans="2:2" x14ac:dyDescent="0.25">
      <c r="B216" s="4" t="str">
        <f>_xlfn.TEXTJOIN(,,'Truth Table'!B216:M216)</f>
        <v>101010110000</v>
      </c>
    </row>
    <row r="217" spans="2:2" x14ac:dyDescent="0.25">
      <c r="B217" s="4" t="str">
        <f>_xlfn.TEXTJOIN(,,'Truth Table'!B217:M217)</f>
        <v>011010110000</v>
      </c>
    </row>
    <row r="218" spans="2:2" x14ac:dyDescent="0.25">
      <c r="B218" s="4" t="str">
        <f>_xlfn.TEXTJOIN(,,'Truth Table'!B218:M218)</f>
        <v>111010110000</v>
      </c>
    </row>
    <row r="219" spans="2:2" x14ac:dyDescent="0.25">
      <c r="B219" s="4" t="str">
        <f>_xlfn.TEXTJOIN(,,'Truth Table'!B219:M219)</f>
        <v>000110110000</v>
      </c>
    </row>
    <row r="220" spans="2:2" x14ac:dyDescent="0.25">
      <c r="B220" s="4" t="str">
        <f>_xlfn.TEXTJOIN(,,'Truth Table'!B220:M220)</f>
        <v>100110110000</v>
      </c>
    </row>
    <row r="221" spans="2:2" x14ac:dyDescent="0.25">
      <c r="B221" s="4" t="str">
        <f>_xlfn.TEXTJOIN(,,'Truth Table'!B221:M221)</f>
        <v>010110110000</v>
      </c>
    </row>
    <row r="222" spans="2:2" x14ac:dyDescent="0.25">
      <c r="B222" s="4" t="str">
        <f>_xlfn.TEXTJOIN(,,'Truth Table'!B222:M222)</f>
        <v>110110110000</v>
      </c>
    </row>
    <row r="223" spans="2:2" x14ac:dyDescent="0.25">
      <c r="B223" s="4" t="str">
        <f>_xlfn.TEXTJOIN(,,'Truth Table'!B223:M223)</f>
        <v>001110110000</v>
      </c>
    </row>
    <row r="224" spans="2:2" x14ac:dyDescent="0.25">
      <c r="B224" s="4" t="str">
        <f>_xlfn.TEXTJOIN(,,'Truth Table'!B224:M224)</f>
        <v>101110110000</v>
      </c>
    </row>
    <row r="225" spans="2:2" x14ac:dyDescent="0.25">
      <c r="B225" s="4" t="str">
        <f>_xlfn.TEXTJOIN(,,'Truth Table'!B225:M225)</f>
        <v>011110110000</v>
      </c>
    </row>
    <row r="226" spans="2:2" x14ac:dyDescent="0.25">
      <c r="B226" s="4" t="str">
        <f>_xlfn.TEXTJOIN(,,'Truth Table'!B226:M226)</f>
        <v>111110110000</v>
      </c>
    </row>
    <row r="227" spans="2:2" x14ac:dyDescent="0.25">
      <c r="B227" s="4" t="str">
        <f>_xlfn.TEXTJOIN(,,'Truth Table'!B227:M227)</f>
        <v>000001110000</v>
      </c>
    </row>
    <row r="228" spans="2:2" x14ac:dyDescent="0.25">
      <c r="B228" s="4" t="str">
        <f>_xlfn.TEXTJOIN(,,'Truth Table'!B228:M228)</f>
        <v>100001110000</v>
      </c>
    </row>
    <row r="229" spans="2:2" x14ac:dyDescent="0.25">
      <c r="B229" s="4" t="str">
        <f>_xlfn.TEXTJOIN(,,'Truth Table'!B229:M229)</f>
        <v>010001110000</v>
      </c>
    </row>
    <row r="230" spans="2:2" x14ac:dyDescent="0.25">
      <c r="B230" s="4" t="str">
        <f>_xlfn.TEXTJOIN(,,'Truth Table'!B230:M230)</f>
        <v>110001110000</v>
      </c>
    </row>
    <row r="231" spans="2:2" x14ac:dyDescent="0.25">
      <c r="B231" s="4" t="str">
        <f>_xlfn.TEXTJOIN(,,'Truth Table'!B231:M231)</f>
        <v>001001110000</v>
      </c>
    </row>
    <row r="232" spans="2:2" x14ac:dyDescent="0.25">
      <c r="B232" s="4" t="str">
        <f>_xlfn.TEXTJOIN(,,'Truth Table'!B232:M232)</f>
        <v>101001110000</v>
      </c>
    </row>
    <row r="233" spans="2:2" x14ac:dyDescent="0.25">
      <c r="B233" s="4" t="str">
        <f>_xlfn.TEXTJOIN(,,'Truth Table'!B233:M233)</f>
        <v>011001110000</v>
      </c>
    </row>
    <row r="234" spans="2:2" x14ac:dyDescent="0.25">
      <c r="B234" s="4" t="str">
        <f>_xlfn.TEXTJOIN(,,'Truth Table'!B234:M234)</f>
        <v>111001110000</v>
      </c>
    </row>
    <row r="235" spans="2:2" x14ac:dyDescent="0.25">
      <c r="B235" s="4" t="str">
        <f>_xlfn.TEXTJOIN(,,'Truth Table'!B235:M235)</f>
        <v>000101110000</v>
      </c>
    </row>
    <row r="236" spans="2:2" x14ac:dyDescent="0.25">
      <c r="B236" s="4" t="str">
        <f>_xlfn.TEXTJOIN(,,'Truth Table'!B236:M236)</f>
        <v>100101110000</v>
      </c>
    </row>
    <row r="237" spans="2:2" x14ac:dyDescent="0.25">
      <c r="B237" s="4" t="str">
        <f>_xlfn.TEXTJOIN(,,'Truth Table'!B237:M237)</f>
        <v>010101110000</v>
      </c>
    </row>
    <row r="238" spans="2:2" x14ac:dyDescent="0.25">
      <c r="B238" s="4" t="str">
        <f>_xlfn.TEXTJOIN(,,'Truth Table'!B238:M238)</f>
        <v>110101110000</v>
      </c>
    </row>
    <row r="239" spans="2:2" x14ac:dyDescent="0.25">
      <c r="B239" s="4" t="str">
        <f>_xlfn.TEXTJOIN(,,'Truth Table'!B239:M239)</f>
        <v>001101110000</v>
      </c>
    </row>
    <row r="240" spans="2:2" x14ac:dyDescent="0.25">
      <c r="B240" s="4" t="str">
        <f>_xlfn.TEXTJOIN(,,'Truth Table'!B240:M240)</f>
        <v>101101110000</v>
      </c>
    </row>
    <row r="241" spans="2:2" x14ac:dyDescent="0.25">
      <c r="B241" s="4" t="str">
        <f>_xlfn.TEXTJOIN(,,'Truth Table'!B241:M241)</f>
        <v>011101110000</v>
      </c>
    </row>
    <row r="242" spans="2:2" x14ac:dyDescent="0.25">
      <c r="B242" s="4" t="str">
        <f>_xlfn.TEXTJOIN(,,'Truth Table'!B242:M242)</f>
        <v>111101110000</v>
      </c>
    </row>
    <row r="243" spans="2:2" x14ac:dyDescent="0.25">
      <c r="B243" s="4" t="str">
        <f>_xlfn.TEXTJOIN(,,'Truth Table'!B243:M243)</f>
        <v>000011110000</v>
      </c>
    </row>
    <row r="244" spans="2:2" x14ac:dyDescent="0.25">
      <c r="B244" s="4" t="str">
        <f>_xlfn.TEXTJOIN(,,'Truth Table'!B244:M244)</f>
        <v>100011110000</v>
      </c>
    </row>
    <row r="245" spans="2:2" x14ac:dyDescent="0.25">
      <c r="B245" s="4" t="str">
        <f>_xlfn.TEXTJOIN(,,'Truth Table'!B245:M245)</f>
        <v>010011110000</v>
      </c>
    </row>
    <row r="246" spans="2:2" x14ac:dyDescent="0.25">
      <c r="B246" s="4" t="str">
        <f>_xlfn.TEXTJOIN(,,'Truth Table'!B246:M246)</f>
        <v>110011110000</v>
      </c>
    </row>
    <row r="247" spans="2:2" x14ac:dyDescent="0.25">
      <c r="B247" s="4" t="str">
        <f>_xlfn.TEXTJOIN(,,'Truth Table'!B247:M247)</f>
        <v>001011110000</v>
      </c>
    </row>
    <row r="248" spans="2:2" x14ac:dyDescent="0.25">
      <c r="B248" s="4" t="str">
        <f>_xlfn.TEXTJOIN(,,'Truth Table'!B248:M248)</f>
        <v>101011110000</v>
      </c>
    </row>
    <row r="249" spans="2:2" x14ac:dyDescent="0.25">
      <c r="B249" s="4" t="str">
        <f>_xlfn.TEXTJOIN(,,'Truth Table'!B249:M249)</f>
        <v>011011110000</v>
      </c>
    </row>
    <row r="250" spans="2:2" x14ac:dyDescent="0.25">
      <c r="B250" s="4" t="str">
        <f>_xlfn.TEXTJOIN(,,'Truth Table'!B250:M250)</f>
        <v>111011110000</v>
      </c>
    </row>
    <row r="251" spans="2:2" x14ac:dyDescent="0.25">
      <c r="B251" s="4" t="str">
        <f>_xlfn.TEXTJOIN(,,'Truth Table'!B251:M251)</f>
        <v>000111110000</v>
      </c>
    </row>
    <row r="252" spans="2:2" x14ac:dyDescent="0.25">
      <c r="B252" s="4" t="str">
        <f>_xlfn.TEXTJOIN(,,'Truth Table'!B252:M252)</f>
        <v>100111110000</v>
      </c>
    </row>
    <row r="253" spans="2:2" x14ac:dyDescent="0.25">
      <c r="B253" s="4" t="str">
        <f>_xlfn.TEXTJOIN(,,'Truth Table'!B253:M253)</f>
        <v>010111110000</v>
      </c>
    </row>
    <row r="254" spans="2:2" x14ac:dyDescent="0.25">
      <c r="B254" s="4" t="str">
        <f>_xlfn.TEXTJOIN(,,'Truth Table'!B254:M254)</f>
        <v>110111110000</v>
      </c>
    </row>
    <row r="255" spans="2:2" x14ac:dyDescent="0.25">
      <c r="B255" s="4" t="str">
        <f>_xlfn.TEXTJOIN(,,'Truth Table'!B255:M255)</f>
        <v>001111110000</v>
      </c>
    </row>
    <row r="256" spans="2:2" x14ac:dyDescent="0.25">
      <c r="B256" s="4" t="str">
        <f>_xlfn.TEXTJOIN(,,'Truth Table'!B256:M256)</f>
        <v>101111110000</v>
      </c>
    </row>
    <row r="257" spans="2:2" x14ac:dyDescent="0.25">
      <c r="B257" s="4" t="str">
        <f>_xlfn.TEXTJOIN(,,'Truth Table'!B257:M257)</f>
        <v>011111110000</v>
      </c>
    </row>
    <row r="258" spans="2:2" x14ac:dyDescent="0.25">
      <c r="B258" s="4" t="str">
        <f>_xlfn.TEXTJOIN(,,'Truth Table'!B258:M258)</f>
        <v>111111110000</v>
      </c>
    </row>
    <row r="259" spans="2:2" x14ac:dyDescent="0.25">
      <c r="B259" s="4" t="str">
        <f>_xlfn.TEXTJOIN(,,'Truth Table'!B259:M259)</f>
        <v>000000001000</v>
      </c>
    </row>
    <row r="260" spans="2:2" x14ac:dyDescent="0.25">
      <c r="B260" s="4" t="str">
        <f>_xlfn.TEXTJOIN(,,'Truth Table'!B260:M260)</f>
        <v>100000001000</v>
      </c>
    </row>
    <row r="261" spans="2:2" x14ac:dyDescent="0.25">
      <c r="B261" s="4" t="str">
        <f>_xlfn.TEXTJOIN(,,'Truth Table'!B261:M261)</f>
        <v>010000001000</v>
      </c>
    </row>
    <row r="262" spans="2:2" x14ac:dyDescent="0.25">
      <c r="B262" s="4" t="str">
        <f>_xlfn.TEXTJOIN(,,'Truth Table'!B262:M262)</f>
        <v>110000001000</v>
      </c>
    </row>
    <row r="263" spans="2:2" x14ac:dyDescent="0.25">
      <c r="B263" s="4" t="str">
        <f>_xlfn.TEXTJOIN(,,'Truth Table'!B263:M263)</f>
        <v>001000001000</v>
      </c>
    </row>
    <row r="264" spans="2:2" x14ac:dyDescent="0.25">
      <c r="B264" s="4" t="str">
        <f>_xlfn.TEXTJOIN(,,'Truth Table'!B264:M264)</f>
        <v>101000001000</v>
      </c>
    </row>
    <row r="265" spans="2:2" x14ac:dyDescent="0.25">
      <c r="B265" s="4" t="str">
        <f>_xlfn.TEXTJOIN(,,'Truth Table'!B265:M265)</f>
        <v>011000001000</v>
      </c>
    </row>
    <row r="266" spans="2:2" x14ac:dyDescent="0.25">
      <c r="B266" s="4" t="str">
        <f>_xlfn.TEXTJOIN(,,'Truth Table'!B266:M266)</f>
        <v>111000001000</v>
      </c>
    </row>
    <row r="267" spans="2:2" x14ac:dyDescent="0.25">
      <c r="B267" s="4" t="str">
        <f>_xlfn.TEXTJOIN(,,'Truth Table'!B267:M267)</f>
        <v>000100001000</v>
      </c>
    </row>
    <row r="268" spans="2:2" x14ac:dyDescent="0.25">
      <c r="B268" s="4" t="str">
        <f>_xlfn.TEXTJOIN(,,'Truth Table'!B268:M268)</f>
        <v>100100001000</v>
      </c>
    </row>
    <row r="269" spans="2:2" x14ac:dyDescent="0.25">
      <c r="B269" s="4" t="str">
        <f>_xlfn.TEXTJOIN(,,'Truth Table'!B269:M269)</f>
        <v>010100001000</v>
      </c>
    </row>
    <row r="270" spans="2:2" x14ac:dyDescent="0.25">
      <c r="B270" s="4" t="str">
        <f>_xlfn.TEXTJOIN(,,'Truth Table'!B270:M270)</f>
        <v>110100001000</v>
      </c>
    </row>
    <row r="271" spans="2:2" x14ac:dyDescent="0.25">
      <c r="B271" s="4" t="str">
        <f>_xlfn.TEXTJOIN(,,'Truth Table'!B271:M271)</f>
        <v>001100001000</v>
      </c>
    </row>
    <row r="272" spans="2:2" x14ac:dyDescent="0.25">
      <c r="B272" s="4" t="str">
        <f>_xlfn.TEXTJOIN(,,'Truth Table'!B272:M272)</f>
        <v>101100001000</v>
      </c>
    </row>
    <row r="273" spans="2:2" x14ac:dyDescent="0.25">
      <c r="B273" s="4" t="str">
        <f>_xlfn.TEXTJOIN(,,'Truth Table'!B273:M273)</f>
        <v>011100001000</v>
      </c>
    </row>
    <row r="274" spans="2:2" x14ac:dyDescent="0.25">
      <c r="B274" s="4" t="str">
        <f>_xlfn.TEXTJOIN(,,'Truth Table'!B274:M274)</f>
        <v>111100001000</v>
      </c>
    </row>
    <row r="275" spans="2:2" x14ac:dyDescent="0.25">
      <c r="B275" s="4" t="str">
        <f>_xlfn.TEXTJOIN(,,'Truth Table'!B275:M275)</f>
        <v>000010001000</v>
      </c>
    </row>
    <row r="276" spans="2:2" x14ac:dyDescent="0.25">
      <c r="B276" s="4" t="str">
        <f>_xlfn.TEXTJOIN(,,'Truth Table'!B276:M276)</f>
        <v>100010001000</v>
      </c>
    </row>
    <row r="277" spans="2:2" x14ac:dyDescent="0.25">
      <c r="B277" s="4" t="str">
        <f>_xlfn.TEXTJOIN(,,'Truth Table'!B277:M277)</f>
        <v>010010001000</v>
      </c>
    </row>
    <row r="278" spans="2:2" x14ac:dyDescent="0.25">
      <c r="B278" s="4" t="str">
        <f>_xlfn.TEXTJOIN(,,'Truth Table'!B278:M278)</f>
        <v>110010001000</v>
      </c>
    </row>
    <row r="279" spans="2:2" x14ac:dyDescent="0.25">
      <c r="B279" s="4" t="str">
        <f>_xlfn.TEXTJOIN(,,'Truth Table'!B279:M279)</f>
        <v>001010001000</v>
      </c>
    </row>
    <row r="280" spans="2:2" x14ac:dyDescent="0.25">
      <c r="B280" s="4" t="str">
        <f>_xlfn.TEXTJOIN(,,'Truth Table'!B280:M280)</f>
        <v>101010001000</v>
      </c>
    </row>
    <row r="281" spans="2:2" x14ac:dyDescent="0.25">
      <c r="B281" s="4" t="str">
        <f>_xlfn.TEXTJOIN(,,'Truth Table'!B281:M281)</f>
        <v>011010001000</v>
      </c>
    </row>
    <row r="282" spans="2:2" x14ac:dyDescent="0.25">
      <c r="B282" s="4" t="str">
        <f>_xlfn.TEXTJOIN(,,'Truth Table'!B282:M282)</f>
        <v>111010001000</v>
      </c>
    </row>
    <row r="283" spans="2:2" x14ac:dyDescent="0.25">
      <c r="B283" s="4" t="str">
        <f>_xlfn.TEXTJOIN(,,'Truth Table'!B283:M283)</f>
        <v>000110001000</v>
      </c>
    </row>
    <row r="284" spans="2:2" x14ac:dyDescent="0.25">
      <c r="B284" s="4" t="str">
        <f>_xlfn.TEXTJOIN(,,'Truth Table'!B284:M284)</f>
        <v>100110001000</v>
      </c>
    </row>
    <row r="285" spans="2:2" x14ac:dyDescent="0.25">
      <c r="B285" s="4" t="str">
        <f>_xlfn.TEXTJOIN(,,'Truth Table'!B285:M285)</f>
        <v>010110001000</v>
      </c>
    </row>
    <row r="286" spans="2:2" x14ac:dyDescent="0.25">
      <c r="B286" s="4" t="str">
        <f>_xlfn.TEXTJOIN(,,'Truth Table'!B286:M286)</f>
        <v>110110001000</v>
      </c>
    </row>
    <row r="287" spans="2:2" x14ac:dyDescent="0.25">
      <c r="B287" s="4" t="str">
        <f>_xlfn.TEXTJOIN(,,'Truth Table'!B287:M287)</f>
        <v>001110001000</v>
      </c>
    </row>
    <row r="288" spans="2:2" x14ac:dyDescent="0.25">
      <c r="B288" s="4" t="str">
        <f>_xlfn.TEXTJOIN(,,'Truth Table'!B288:M288)</f>
        <v>101110001000</v>
      </c>
    </row>
    <row r="289" spans="2:2" x14ac:dyDescent="0.25">
      <c r="B289" s="4" t="str">
        <f>_xlfn.TEXTJOIN(,,'Truth Table'!B289:M289)</f>
        <v>011110001000</v>
      </c>
    </row>
    <row r="290" spans="2:2" x14ac:dyDescent="0.25">
      <c r="B290" s="4" t="str">
        <f>_xlfn.TEXTJOIN(,,'Truth Table'!B290:M290)</f>
        <v>111110001000</v>
      </c>
    </row>
    <row r="291" spans="2:2" x14ac:dyDescent="0.25">
      <c r="B291" s="4" t="str">
        <f>_xlfn.TEXTJOIN(,,'Truth Table'!B291:M291)</f>
        <v>000001001000</v>
      </c>
    </row>
    <row r="292" spans="2:2" x14ac:dyDescent="0.25">
      <c r="B292" s="4" t="str">
        <f>_xlfn.TEXTJOIN(,,'Truth Table'!B292:M292)</f>
        <v>100001001000</v>
      </c>
    </row>
    <row r="293" spans="2:2" x14ac:dyDescent="0.25">
      <c r="B293" s="4" t="str">
        <f>_xlfn.TEXTJOIN(,,'Truth Table'!B293:M293)</f>
        <v>010001001000</v>
      </c>
    </row>
    <row r="294" spans="2:2" x14ac:dyDescent="0.25">
      <c r="B294" s="4" t="str">
        <f>_xlfn.TEXTJOIN(,,'Truth Table'!B294:M294)</f>
        <v>110001001000</v>
      </c>
    </row>
    <row r="295" spans="2:2" x14ac:dyDescent="0.25">
      <c r="B295" s="4" t="str">
        <f>_xlfn.TEXTJOIN(,,'Truth Table'!B295:M295)</f>
        <v>001001001000</v>
      </c>
    </row>
    <row r="296" spans="2:2" x14ac:dyDescent="0.25">
      <c r="B296" s="4" t="str">
        <f>_xlfn.TEXTJOIN(,,'Truth Table'!B296:M296)</f>
        <v>101001001000</v>
      </c>
    </row>
    <row r="297" spans="2:2" x14ac:dyDescent="0.25">
      <c r="B297" s="4" t="str">
        <f>_xlfn.TEXTJOIN(,,'Truth Table'!B297:M297)</f>
        <v>011001001000</v>
      </c>
    </row>
    <row r="298" spans="2:2" x14ac:dyDescent="0.25">
      <c r="B298" s="4" t="str">
        <f>_xlfn.TEXTJOIN(,,'Truth Table'!B298:M298)</f>
        <v>111001001000</v>
      </c>
    </row>
    <row r="299" spans="2:2" x14ac:dyDescent="0.25">
      <c r="B299" s="4" t="str">
        <f>_xlfn.TEXTJOIN(,,'Truth Table'!B299:M299)</f>
        <v>000101001000</v>
      </c>
    </row>
    <row r="300" spans="2:2" x14ac:dyDescent="0.25">
      <c r="B300" s="4" t="str">
        <f>_xlfn.TEXTJOIN(,,'Truth Table'!B300:M300)</f>
        <v>100101001000</v>
      </c>
    </row>
    <row r="301" spans="2:2" x14ac:dyDescent="0.25">
      <c r="B301" s="4" t="str">
        <f>_xlfn.TEXTJOIN(,,'Truth Table'!B301:M301)</f>
        <v>010101001000</v>
      </c>
    </row>
    <row r="302" spans="2:2" x14ac:dyDescent="0.25">
      <c r="B302" s="4" t="str">
        <f>_xlfn.TEXTJOIN(,,'Truth Table'!B302:M302)</f>
        <v>110101001000</v>
      </c>
    </row>
    <row r="303" spans="2:2" x14ac:dyDescent="0.25">
      <c r="B303" s="4" t="str">
        <f>_xlfn.TEXTJOIN(,,'Truth Table'!B303:M303)</f>
        <v>001101001000</v>
      </c>
    </row>
    <row r="304" spans="2:2" x14ac:dyDescent="0.25">
      <c r="B304" s="4" t="str">
        <f>_xlfn.TEXTJOIN(,,'Truth Table'!B304:M304)</f>
        <v>101101001000</v>
      </c>
    </row>
    <row r="305" spans="2:2" x14ac:dyDescent="0.25">
      <c r="B305" s="4" t="str">
        <f>_xlfn.TEXTJOIN(,,'Truth Table'!B305:M305)</f>
        <v>011101001000</v>
      </c>
    </row>
    <row r="306" spans="2:2" x14ac:dyDescent="0.25">
      <c r="B306" s="4" t="str">
        <f>_xlfn.TEXTJOIN(,,'Truth Table'!B306:M306)</f>
        <v>111101001000</v>
      </c>
    </row>
    <row r="307" spans="2:2" x14ac:dyDescent="0.25">
      <c r="B307" s="4" t="str">
        <f>_xlfn.TEXTJOIN(,,'Truth Table'!B307:M307)</f>
        <v>000011001000</v>
      </c>
    </row>
    <row r="308" spans="2:2" x14ac:dyDescent="0.25">
      <c r="B308" s="4" t="str">
        <f>_xlfn.TEXTJOIN(,,'Truth Table'!B308:M308)</f>
        <v>100011001000</v>
      </c>
    </row>
    <row r="309" spans="2:2" x14ac:dyDescent="0.25">
      <c r="B309" s="4" t="str">
        <f>_xlfn.TEXTJOIN(,,'Truth Table'!B309:M309)</f>
        <v>010011001000</v>
      </c>
    </row>
    <row r="310" spans="2:2" x14ac:dyDescent="0.25">
      <c r="B310" s="4" t="str">
        <f>_xlfn.TEXTJOIN(,,'Truth Table'!B310:M310)</f>
        <v>110011001000</v>
      </c>
    </row>
    <row r="311" spans="2:2" x14ac:dyDescent="0.25">
      <c r="B311" s="4" t="str">
        <f>_xlfn.TEXTJOIN(,,'Truth Table'!B311:M311)</f>
        <v>001011001000</v>
      </c>
    </row>
    <row r="312" spans="2:2" x14ac:dyDescent="0.25">
      <c r="B312" s="4" t="str">
        <f>_xlfn.TEXTJOIN(,,'Truth Table'!B312:M312)</f>
        <v>101011001000</v>
      </c>
    </row>
    <row r="313" spans="2:2" x14ac:dyDescent="0.25">
      <c r="B313" s="4" t="str">
        <f>_xlfn.TEXTJOIN(,,'Truth Table'!B313:M313)</f>
        <v>011011001000</v>
      </c>
    </row>
    <row r="314" spans="2:2" x14ac:dyDescent="0.25">
      <c r="B314" s="4" t="str">
        <f>_xlfn.TEXTJOIN(,,'Truth Table'!B314:M314)</f>
        <v>111011001000</v>
      </c>
    </row>
    <row r="315" spans="2:2" x14ac:dyDescent="0.25">
      <c r="B315" s="4" t="str">
        <f>_xlfn.TEXTJOIN(,,'Truth Table'!B315:M315)</f>
        <v>000111001000</v>
      </c>
    </row>
    <row r="316" spans="2:2" x14ac:dyDescent="0.25">
      <c r="B316" s="4" t="str">
        <f>_xlfn.TEXTJOIN(,,'Truth Table'!B316:M316)</f>
        <v>100111001000</v>
      </c>
    </row>
    <row r="317" spans="2:2" x14ac:dyDescent="0.25">
      <c r="B317" s="4" t="str">
        <f>_xlfn.TEXTJOIN(,,'Truth Table'!B317:M317)</f>
        <v>010111001000</v>
      </c>
    </row>
    <row r="318" spans="2:2" x14ac:dyDescent="0.25">
      <c r="B318" s="4" t="str">
        <f>_xlfn.TEXTJOIN(,,'Truth Table'!B318:M318)</f>
        <v>110111001000</v>
      </c>
    </row>
    <row r="319" spans="2:2" x14ac:dyDescent="0.25">
      <c r="B319" s="4" t="str">
        <f>_xlfn.TEXTJOIN(,,'Truth Table'!B319:M319)</f>
        <v>001111001000</v>
      </c>
    </row>
    <row r="320" spans="2:2" x14ac:dyDescent="0.25">
      <c r="B320" s="4" t="str">
        <f>_xlfn.TEXTJOIN(,,'Truth Table'!B320:M320)</f>
        <v>101111001000</v>
      </c>
    </row>
    <row r="321" spans="2:2" x14ac:dyDescent="0.25">
      <c r="B321" s="4" t="str">
        <f>_xlfn.TEXTJOIN(,,'Truth Table'!B321:M321)</f>
        <v>011111001000</v>
      </c>
    </row>
    <row r="322" spans="2:2" x14ac:dyDescent="0.25">
      <c r="B322" s="4" t="str">
        <f>_xlfn.TEXTJOIN(,,'Truth Table'!B322:M322)</f>
        <v>111111001000</v>
      </c>
    </row>
    <row r="323" spans="2:2" x14ac:dyDescent="0.25">
      <c r="B323" s="4" t="str">
        <f>_xlfn.TEXTJOIN(,,'Truth Table'!B323:M323)</f>
        <v>000000101000</v>
      </c>
    </row>
    <row r="324" spans="2:2" x14ac:dyDescent="0.25">
      <c r="B324" s="4" t="str">
        <f>_xlfn.TEXTJOIN(,,'Truth Table'!B324:M324)</f>
        <v>100000101000</v>
      </c>
    </row>
    <row r="325" spans="2:2" x14ac:dyDescent="0.25">
      <c r="B325" s="4" t="str">
        <f>_xlfn.TEXTJOIN(,,'Truth Table'!B325:M325)</f>
        <v>010000101000</v>
      </c>
    </row>
    <row r="326" spans="2:2" x14ac:dyDescent="0.25">
      <c r="B326" s="4" t="str">
        <f>_xlfn.TEXTJOIN(,,'Truth Table'!B326:M326)</f>
        <v>110000101000</v>
      </c>
    </row>
    <row r="327" spans="2:2" x14ac:dyDescent="0.25">
      <c r="B327" s="4" t="str">
        <f>_xlfn.TEXTJOIN(,,'Truth Table'!B327:M327)</f>
        <v>001000101000</v>
      </c>
    </row>
    <row r="328" spans="2:2" x14ac:dyDescent="0.25">
      <c r="B328" s="4" t="str">
        <f>_xlfn.TEXTJOIN(,,'Truth Table'!B328:M328)</f>
        <v>101000101000</v>
      </c>
    </row>
    <row r="329" spans="2:2" x14ac:dyDescent="0.25">
      <c r="B329" s="4" t="str">
        <f>_xlfn.TEXTJOIN(,,'Truth Table'!B329:M329)</f>
        <v>011000101000</v>
      </c>
    </row>
    <row r="330" spans="2:2" x14ac:dyDescent="0.25">
      <c r="B330" s="4" t="str">
        <f>_xlfn.TEXTJOIN(,,'Truth Table'!B330:M330)</f>
        <v>111000101000</v>
      </c>
    </row>
    <row r="331" spans="2:2" x14ac:dyDescent="0.25">
      <c r="B331" s="4" t="str">
        <f>_xlfn.TEXTJOIN(,,'Truth Table'!B331:M331)</f>
        <v>000100101000</v>
      </c>
    </row>
    <row r="332" spans="2:2" x14ac:dyDescent="0.25">
      <c r="B332" s="4" t="str">
        <f>_xlfn.TEXTJOIN(,,'Truth Table'!B332:M332)</f>
        <v>100100101000</v>
      </c>
    </row>
    <row r="333" spans="2:2" x14ac:dyDescent="0.25">
      <c r="B333" s="4" t="str">
        <f>_xlfn.TEXTJOIN(,,'Truth Table'!B333:M333)</f>
        <v>010100101000</v>
      </c>
    </row>
    <row r="334" spans="2:2" x14ac:dyDescent="0.25">
      <c r="B334" s="4" t="str">
        <f>_xlfn.TEXTJOIN(,,'Truth Table'!B334:M334)</f>
        <v>110100101000</v>
      </c>
    </row>
    <row r="335" spans="2:2" x14ac:dyDescent="0.25">
      <c r="B335" s="4" t="str">
        <f>_xlfn.TEXTJOIN(,,'Truth Table'!B335:M335)</f>
        <v>001100101000</v>
      </c>
    </row>
    <row r="336" spans="2:2" x14ac:dyDescent="0.25">
      <c r="B336" s="4" t="str">
        <f>_xlfn.TEXTJOIN(,,'Truth Table'!B336:M336)</f>
        <v>101100101000</v>
      </c>
    </row>
    <row r="337" spans="2:2" x14ac:dyDescent="0.25">
      <c r="B337" s="4" t="str">
        <f>_xlfn.TEXTJOIN(,,'Truth Table'!B337:M337)</f>
        <v>011100101000</v>
      </c>
    </row>
    <row r="338" spans="2:2" x14ac:dyDescent="0.25">
      <c r="B338" s="4" t="str">
        <f>_xlfn.TEXTJOIN(,,'Truth Table'!B338:M338)</f>
        <v>111100101000</v>
      </c>
    </row>
    <row r="339" spans="2:2" x14ac:dyDescent="0.25">
      <c r="B339" s="4" t="str">
        <f>_xlfn.TEXTJOIN(,,'Truth Table'!B339:M339)</f>
        <v>000010101000</v>
      </c>
    </row>
    <row r="340" spans="2:2" x14ac:dyDescent="0.25">
      <c r="B340" s="4" t="str">
        <f>_xlfn.TEXTJOIN(,,'Truth Table'!B340:M340)</f>
        <v>100010101000</v>
      </c>
    </row>
    <row r="341" spans="2:2" x14ac:dyDescent="0.25">
      <c r="B341" s="4" t="str">
        <f>_xlfn.TEXTJOIN(,,'Truth Table'!B341:M341)</f>
        <v>010010101000</v>
      </c>
    </row>
    <row r="342" spans="2:2" x14ac:dyDescent="0.25">
      <c r="B342" s="4" t="str">
        <f>_xlfn.TEXTJOIN(,,'Truth Table'!B342:M342)</f>
        <v>110010101000</v>
      </c>
    </row>
    <row r="343" spans="2:2" x14ac:dyDescent="0.25">
      <c r="B343" s="4" t="str">
        <f>_xlfn.TEXTJOIN(,,'Truth Table'!B343:M343)</f>
        <v>001010101000</v>
      </c>
    </row>
    <row r="344" spans="2:2" x14ac:dyDescent="0.25">
      <c r="B344" s="4" t="str">
        <f>_xlfn.TEXTJOIN(,,'Truth Table'!B344:M344)</f>
        <v>101010101000</v>
      </c>
    </row>
    <row r="345" spans="2:2" x14ac:dyDescent="0.25">
      <c r="B345" s="4" t="str">
        <f>_xlfn.TEXTJOIN(,,'Truth Table'!B345:M345)</f>
        <v>011010101000</v>
      </c>
    </row>
    <row r="346" spans="2:2" x14ac:dyDescent="0.25">
      <c r="B346" s="4" t="str">
        <f>_xlfn.TEXTJOIN(,,'Truth Table'!B346:M346)</f>
        <v>111010101000</v>
      </c>
    </row>
    <row r="347" spans="2:2" x14ac:dyDescent="0.25">
      <c r="B347" s="4" t="str">
        <f>_xlfn.TEXTJOIN(,,'Truth Table'!B347:M347)</f>
        <v>000110101000</v>
      </c>
    </row>
    <row r="348" spans="2:2" x14ac:dyDescent="0.25">
      <c r="B348" s="4" t="str">
        <f>_xlfn.TEXTJOIN(,,'Truth Table'!B348:M348)</f>
        <v>100110101000</v>
      </c>
    </row>
    <row r="349" spans="2:2" x14ac:dyDescent="0.25">
      <c r="B349" s="4" t="str">
        <f>_xlfn.TEXTJOIN(,,'Truth Table'!B349:M349)</f>
        <v>010110101000</v>
      </c>
    </row>
    <row r="350" spans="2:2" x14ac:dyDescent="0.25">
      <c r="B350" s="4" t="str">
        <f>_xlfn.TEXTJOIN(,,'Truth Table'!B350:M350)</f>
        <v>110110101000</v>
      </c>
    </row>
    <row r="351" spans="2:2" x14ac:dyDescent="0.25">
      <c r="B351" s="4" t="str">
        <f>_xlfn.TEXTJOIN(,,'Truth Table'!B351:M351)</f>
        <v>001110101000</v>
      </c>
    </row>
    <row r="352" spans="2:2" x14ac:dyDescent="0.25">
      <c r="B352" s="4" t="str">
        <f>_xlfn.TEXTJOIN(,,'Truth Table'!B352:M352)</f>
        <v>101110101000</v>
      </c>
    </row>
    <row r="353" spans="2:2" x14ac:dyDescent="0.25">
      <c r="B353" s="4" t="str">
        <f>_xlfn.TEXTJOIN(,,'Truth Table'!B353:M353)</f>
        <v>011110101000</v>
      </c>
    </row>
    <row r="354" spans="2:2" x14ac:dyDescent="0.25">
      <c r="B354" s="4" t="str">
        <f>_xlfn.TEXTJOIN(,,'Truth Table'!B354:M354)</f>
        <v>111110101000</v>
      </c>
    </row>
    <row r="355" spans="2:2" x14ac:dyDescent="0.25">
      <c r="B355" s="4" t="str">
        <f>_xlfn.TEXTJOIN(,,'Truth Table'!B355:M355)</f>
        <v>000001101000</v>
      </c>
    </row>
    <row r="356" spans="2:2" x14ac:dyDescent="0.25">
      <c r="B356" s="4" t="str">
        <f>_xlfn.TEXTJOIN(,,'Truth Table'!B356:M356)</f>
        <v>100001101000</v>
      </c>
    </row>
    <row r="357" spans="2:2" x14ac:dyDescent="0.25">
      <c r="B357" s="4" t="str">
        <f>_xlfn.TEXTJOIN(,,'Truth Table'!B357:M357)</f>
        <v>010001101000</v>
      </c>
    </row>
    <row r="358" spans="2:2" x14ac:dyDescent="0.25">
      <c r="B358" s="4" t="str">
        <f>_xlfn.TEXTJOIN(,,'Truth Table'!B358:M358)</f>
        <v>110001101000</v>
      </c>
    </row>
    <row r="359" spans="2:2" x14ac:dyDescent="0.25">
      <c r="B359" s="4" t="str">
        <f>_xlfn.TEXTJOIN(,,'Truth Table'!B359:M359)</f>
        <v>001001101000</v>
      </c>
    </row>
    <row r="360" spans="2:2" x14ac:dyDescent="0.25">
      <c r="B360" s="4" t="str">
        <f>_xlfn.TEXTJOIN(,,'Truth Table'!B360:M360)</f>
        <v>101001101000</v>
      </c>
    </row>
    <row r="361" spans="2:2" x14ac:dyDescent="0.25">
      <c r="B361" s="4" t="str">
        <f>_xlfn.TEXTJOIN(,,'Truth Table'!B361:M361)</f>
        <v>011001101000</v>
      </c>
    </row>
    <row r="362" spans="2:2" x14ac:dyDescent="0.25">
      <c r="B362" s="4" t="str">
        <f>_xlfn.TEXTJOIN(,,'Truth Table'!B362:M362)</f>
        <v>111001101000</v>
      </c>
    </row>
    <row r="363" spans="2:2" x14ac:dyDescent="0.25">
      <c r="B363" s="4" t="str">
        <f>_xlfn.TEXTJOIN(,,'Truth Table'!B363:M363)</f>
        <v>000101101000</v>
      </c>
    </row>
    <row r="364" spans="2:2" x14ac:dyDescent="0.25">
      <c r="B364" s="4" t="str">
        <f>_xlfn.TEXTJOIN(,,'Truth Table'!B364:M364)</f>
        <v>100101101000</v>
      </c>
    </row>
    <row r="365" spans="2:2" x14ac:dyDescent="0.25">
      <c r="B365" s="4" t="str">
        <f>_xlfn.TEXTJOIN(,,'Truth Table'!B365:M365)</f>
        <v>010101101000</v>
      </c>
    </row>
    <row r="366" spans="2:2" x14ac:dyDescent="0.25">
      <c r="B366" s="4" t="str">
        <f>_xlfn.TEXTJOIN(,,'Truth Table'!B366:M366)</f>
        <v>110101101000</v>
      </c>
    </row>
    <row r="367" spans="2:2" x14ac:dyDescent="0.25">
      <c r="B367" s="4" t="str">
        <f>_xlfn.TEXTJOIN(,,'Truth Table'!B367:M367)</f>
        <v>001101101000</v>
      </c>
    </row>
    <row r="368" spans="2:2" x14ac:dyDescent="0.25">
      <c r="B368" s="4" t="str">
        <f>_xlfn.TEXTJOIN(,,'Truth Table'!B368:M368)</f>
        <v>101101101000</v>
      </c>
    </row>
    <row r="369" spans="2:2" x14ac:dyDescent="0.25">
      <c r="B369" s="4" t="str">
        <f>_xlfn.TEXTJOIN(,,'Truth Table'!B369:M369)</f>
        <v>011101101000</v>
      </c>
    </row>
    <row r="370" spans="2:2" x14ac:dyDescent="0.25">
      <c r="B370" s="4" t="str">
        <f>_xlfn.TEXTJOIN(,,'Truth Table'!B370:M370)</f>
        <v>111101101000</v>
      </c>
    </row>
    <row r="371" spans="2:2" x14ac:dyDescent="0.25">
      <c r="B371" s="4" t="str">
        <f>_xlfn.TEXTJOIN(,,'Truth Table'!B371:M371)</f>
        <v>000011101000</v>
      </c>
    </row>
    <row r="372" spans="2:2" x14ac:dyDescent="0.25">
      <c r="B372" s="4" t="str">
        <f>_xlfn.TEXTJOIN(,,'Truth Table'!B372:M372)</f>
        <v>100011101000</v>
      </c>
    </row>
    <row r="373" spans="2:2" x14ac:dyDescent="0.25">
      <c r="B373" s="4" t="str">
        <f>_xlfn.TEXTJOIN(,,'Truth Table'!B373:M373)</f>
        <v>010011101000</v>
      </c>
    </row>
    <row r="374" spans="2:2" x14ac:dyDescent="0.25">
      <c r="B374" s="4" t="str">
        <f>_xlfn.TEXTJOIN(,,'Truth Table'!B374:M374)</f>
        <v>110011101000</v>
      </c>
    </row>
    <row r="375" spans="2:2" x14ac:dyDescent="0.25">
      <c r="B375" s="4" t="str">
        <f>_xlfn.TEXTJOIN(,,'Truth Table'!B375:M375)</f>
        <v>001011101000</v>
      </c>
    </row>
    <row r="376" spans="2:2" x14ac:dyDescent="0.25">
      <c r="B376" s="4" t="str">
        <f>_xlfn.TEXTJOIN(,,'Truth Table'!B376:M376)</f>
        <v>101011101000</v>
      </c>
    </row>
    <row r="377" spans="2:2" x14ac:dyDescent="0.25">
      <c r="B377" s="4" t="str">
        <f>_xlfn.TEXTJOIN(,,'Truth Table'!B377:M377)</f>
        <v>011011101000</v>
      </c>
    </row>
    <row r="378" spans="2:2" x14ac:dyDescent="0.25">
      <c r="B378" s="4" t="str">
        <f>_xlfn.TEXTJOIN(,,'Truth Table'!B378:M378)</f>
        <v>111011101000</v>
      </c>
    </row>
    <row r="379" spans="2:2" x14ac:dyDescent="0.25">
      <c r="B379" s="4" t="str">
        <f>_xlfn.TEXTJOIN(,,'Truth Table'!B379:M379)</f>
        <v>000111101000</v>
      </c>
    </row>
    <row r="380" spans="2:2" x14ac:dyDescent="0.25">
      <c r="B380" s="4" t="str">
        <f>_xlfn.TEXTJOIN(,,'Truth Table'!B380:M380)</f>
        <v>100111101000</v>
      </c>
    </row>
    <row r="381" spans="2:2" x14ac:dyDescent="0.25">
      <c r="B381" s="4" t="str">
        <f>_xlfn.TEXTJOIN(,,'Truth Table'!B381:M381)</f>
        <v>010111101000</v>
      </c>
    </row>
    <row r="382" spans="2:2" x14ac:dyDescent="0.25">
      <c r="B382" s="4" t="str">
        <f>_xlfn.TEXTJOIN(,,'Truth Table'!B382:M382)</f>
        <v>110111101000</v>
      </c>
    </row>
    <row r="383" spans="2:2" x14ac:dyDescent="0.25">
      <c r="B383" s="4" t="str">
        <f>_xlfn.TEXTJOIN(,,'Truth Table'!B383:M383)</f>
        <v>001111101000</v>
      </c>
    </row>
    <row r="384" spans="2:2" x14ac:dyDescent="0.25">
      <c r="B384" s="4" t="str">
        <f>_xlfn.TEXTJOIN(,,'Truth Table'!B384:M384)</f>
        <v>101111101000</v>
      </c>
    </row>
    <row r="385" spans="2:2" x14ac:dyDescent="0.25">
      <c r="B385" s="4" t="str">
        <f>_xlfn.TEXTJOIN(,,'Truth Table'!B385:M385)</f>
        <v>011111101000</v>
      </c>
    </row>
    <row r="386" spans="2:2" x14ac:dyDescent="0.25">
      <c r="B386" s="4" t="str">
        <f>_xlfn.TEXTJOIN(,,'Truth Table'!B386:M386)</f>
        <v>111111101000</v>
      </c>
    </row>
    <row r="387" spans="2:2" x14ac:dyDescent="0.25">
      <c r="B387" s="4" t="str">
        <f>_xlfn.TEXTJOIN(,,'Truth Table'!B387:M387)</f>
        <v>000000011000</v>
      </c>
    </row>
    <row r="388" spans="2:2" x14ac:dyDescent="0.25">
      <c r="B388" s="4" t="str">
        <f>_xlfn.TEXTJOIN(,,'Truth Table'!B388:M388)</f>
        <v>100000011000</v>
      </c>
    </row>
    <row r="389" spans="2:2" x14ac:dyDescent="0.25">
      <c r="B389" s="4" t="str">
        <f>_xlfn.TEXTJOIN(,,'Truth Table'!B389:M389)</f>
        <v>010000011000</v>
      </c>
    </row>
    <row r="390" spans="2:2" x14ac:dyDescent="0.25">
      <c r="B390" s="4" t="str">
        <f>_xlfn.TEXTJOIN(,,'Truth Table'!B390:M390)</f>
        <v>110000011000</v>
      </c>
    </row>
    <row r="391" spans="2:2" x14ac:dyDescent="0.25">
      <c r="B391" s="4" t="str">
        <f>_xlfn.TEXTJOIN(,,'Truth Table'!B391:M391)</f>
        <v>001000011000</v>
      </c>
    </row>
    <row r="392" spans="2:2" x14ac:dyDescent="0.25">
      <c r="B392" s="4" t="str">
        <f>_xlfn.TEXTJOIN(,,'Truth Table'!B392:M392)</f>
        <v>101000011000</v>
      </c>
    </row>
    <row r="393" spans="2:2" x14ac:dyDescent="0.25">
      <c r="B393" s="4" t="str">
        <f>_xlfn.TEXTJOIN(,,'Truth Table'!B393:M393)</f>
        <v>011000011000</v>
      </c>
    </row>
    <row r="394" spans="2:2" x14ac:dyDescent="0.25">
      <c r="B394" s="4" t="str">
        <f>_xlfn.TEXTJOIN(,,'Truth Table'!B394:M394)</f>
        <v>111000011000</v>
      </c>
    </row>
    <row r="395" spans="2:2" x14ac:dyDescent="0.25">
      <c r="B395" s="4" t="str">
        <f>_xlfn.TEXTJOIN(,,'Truth Table'!B395:M395)</f>
        <v>000100011000</v>
      </c>
    </row>
    <row r="396" spans="2:2" x14ac:dyDescent="0.25">
      <c r="B396" s="4" t="str">
        <f>_xlfn.TEXTJOIN(,,'Truth Table'!B396:M396)</f>
        <v>100100011000</v>
      </c>
    </row>
    <row r="397" spans="2:2" x14ac:dyDescent="0.25">
      <c r="B397" s="4" t="str">
        <f>_xlfn.TEXTJOIN(,,'Truth Table'!B397:M397)</f>
        <v>010100011000</v>
      </c>
    </row>
    <row r="398" spans="2:2" x14ac:dyDescent="0.25">
      <c r="B398" s="4" t="str">
        <f>_xlfn.TEXTJOIN(,,'Truth Table'!B398:M398)</f>
        <v>110100011000</v>
      </c>
    </row>
    <row r="399" spans="2:2" x14ac:dyDescent="0.25">
      <c r="B399" s="4" t="str">
        <f>_xlfn.TEXTJOIN(,,'Truth Table'!B399:M399)</f>
        <v>001100011000</v>
      </c>
    </row>
    <row r="400" spans="2:2" x14ac:dyDescent="0.25">
      <c r="B400" s="4" t="str">
        <f>_xlfn.TEXTJOIN(,,'Truth Table'!B400:M400)</f>
        <v>101100011000</v>
      </c>
    </row>
    <row r="401" spans="2:2" x14ac:dyDescent="0.25">
      <c r="B401" s="4" t="str">
        <f>_xlfn.TEXTJOIN(,,'Truth Table'!B401:M401)</f>
        <v>011100011000</v>
      </c>
    </row>
    <row r="402" spans="2:2" x14ac:dyDescent="0.25">
      <c r="B402" s="4" t="str">
        <f>_xlfn.TEXTJOIN(,,'Truth Table'!B402:M402)</f>
        <v>111100011000</v>
      </c>
    </row>
    <row r="403" spans="2:2" x14ac:dyDescent="0.25">
      <c r="B403" s="4" t="str">
        <f>_xlfn.TEXTJOIN(,,'Truth Table'!B403:M403)</f>
        <v>000010011000</v>
      </c>
    </row>
    <row r="404" spans="2:2" x14ac:dyDescent="0.25">
      <c r="B404" s="4" t="str">
        <f>_xlfn.TEXTJOIN(,,'Truth Table'!B404:M404)</f>
        <v>100010011000</v>
      </c>
    </row>
    <row r="405" spans="2:2" x14ac:dyDescent="0.25">
      <c r="B405" s="4" t="str">
        <f>_xlfn.TEXTJOIN(,,'Truth Table'!B405:M405)</f>
        <v>010010011000</v>
      </c>
    </row>
    <row r="406" spans="2:2" x14ac:dyDescent="0.25">
      <c r="B406" s="4" t="str">
        <f>_xlfn.TEXTJOIN(,,'Truth Table'!B406:M406)</f>
        <v>110010011000</v>
      </c>
    </row>
    <row r="407" spans="2:2" x14ac:dyDescent="0.25">
      <c r="B407" s="4" t="str">
        <f>_xlfn.TEXTJOIN(,,'Truth Table'!B407:M407)</f>
        <v>001010011000</v>
      </c>
    </row>
    <row r="408" spans="2:2" x14ac:dyDescent="0.25">
      <c r="B408" s="4" t="str">
        <f>_xlfn.TEXTJOIN(,,'Truth Table'!B408:M408)</f>
        <v>101010011000</v>
      </c>
    </row>
    <row r="409" spans="2:2" x14ac:dyDescent="0.25">
      <c r="B409" s="4" t="str">
        <f>_xlfn.TEXTJOIN(,,'Truth Table'!B409:M409)</f>
        <v>011010011000</v>
      </c>
    </row>
    <row r="410" spans="2:2" x14ac:dyDescent="0.25">
      <c r="B410" s="4" t="str">
        <f>_xlfn.TEXTJOIN(,,'Truth Table'!B410:M410)</f>
        <v>111010011000</v>
      </c>
    </row>
    <row r="411" spans="2:2" x14ac:dyDescent="0.25">
      <c r="B411" s="4" t="str">
        <f>_xlfn.TEXTJOIN(,,'Truth Table'!B411:M411)</f>
        <v>000110011000</v>
      </c>
    </row>
    <row r="412" spans="2:2" x14ac:dyDescent="0.25">
      <c r="B412" s="4" t="str">
        <f>_xlfn.TEXTJOIN(,,'Truth Table'!B412:M412)</f>
        <v>100110011000</v>
      </c>
    </row>
    <row r="413" spans="2:2" x14ac:dyDescent="0.25">
      <c r="B413" s="4" t="str">
        <f>_xlfn.TEXTJOIN(,,'Truth Table'!B413:M413)</f>
        <v>010110011000</v>
      </c>
    </row>
    <row r="414" spans="2:2" x14ac:dyDescent="0.25">
      <c r="B414" s="4" t="str">
        <f>_xlfn.TEXTJOIN(,,'Truth Table'!B414:M414)</f>
        <v>110110011000</v>
      </c>
    </row>
    <row r="415" spans="2:2" x14ac:dyDescent="0.25">
      <c r="B415" s="4" t="str">
        <f>_xlfn.TEXTJOIN(,,'Truth Table'!B415:M415)</f>
        <v>001110011000</v>
      </c>
    </row>
    <row r="416" spans="2:2" x14ac:dyDescent="0.25">
      <c r="B416" s="4" t="str">
        <f>_xlfn.TEXTJOIN(,,'Truth Table'!B416:M416)</f>
        <v>101110011000</v>
      </c>
    </row>
    <row r="417" spans="2:2" x14ac:dyDescent="0.25">
      <c r="B417" s="4" t="str">
        <f>_xlfn.TEXTJOIN(,,'Truth Table'!B417:M417)</f>
        <v>011110011000</v>
      </c>
    </row>
    <row r="418" spans="2:2" x14ac:dyDescent="0.25">
      <c r="B418" s="4" t="str">
        <f>_xlfn.TEXTJOIN(,,'Truth Table'!B418:M418)</f>
        <v>111110011000</v>
      </c>
    </row>
    <row r="419" spans="2:2" x14ac:dyDescent="0.25">
      <c r="B419" s="4" t="str">
        <f>_xlfn.TEXTJOIN(,,'Truth Table'!B419:M419)</f>
        <v>000001011000</v>
      </c>
    </row>
    <row r="420" spans="2:2" x14ac:dyDescent="0.25">
      <c r="B420" s="4" t="str">
        <f>_xlfn.TEXTJOIN(,,'Truth Table'!B420:M420)</f>
        <v>100001011000</v>
      </c>
    </row>
    <row r="421" spans="2:2" x14ac:dyDescent="0.25">
      <c r="B421" s="4" t="str">
        <f>_xlfn.TEXTJOIN(,,'Truth Table'!B421:M421)</f>
        <v>010001011000</v>
      </c>
    </row>
    <row r="422" spans="2:2" x14ac:dyDescent="0.25">
      <c r="B422" s="4" t="str">
        <f>_xlfn.TEXTJOIN(,,'Truth Table'!B422:M422)</f>
        <v>110001011000</v>
      </c>
    </row>
    <row r="423" spans="2:2" x14ac:dyDescent="0.25">
      <c r="B423" s="4" t="str">
        <f>_xlfn.TEXTJOIN(,,'Truth Table'!B423:M423)</f>
        <v>001001011000</v>
      </c>
    </row>
    <row r="424" spans="2:2" x14ac:dyDescent="0.25">
      <c r="B424" s="4" t="str">
        <f>_xlfn.TEXTJOIN(,,'Truth Table'!B424:M424)</f>
        <v>101001011000</v>
      </c>
    </row>
    <row r="425" spans="2:2" x14ac:dyDescent="0.25">
      <c r="B425" s="4" t="str">
        <f>_xlfn.TEXTJOIN(,,'Truth Table'!B425:M425)</f>
        <v>011001011000</v>
      </c>
    </row>
    <row r="426" spans="2:2" x14ac:dyDescent="0.25">
      <c r="B426" s="4" t="str">
        <f>_xlfn.TEXTJOIN(,,'Truth Table'!B426:M426)</f>
        <v>111001011000</v>
      </c>
    </row>
    <row r="427" spans="2:2" x14ac:dyDescent="0.25">
      <c r="B427" s="4" t="str">
        <f>_xlfn.TEXTJOIN(,,'Truth Table'!B427:M427)</f>
        <v>000101011000</v>
      </c>
    </row>
    <row r="428" spans="2:2" x14ac:dyDescent="0.25">
      <c r="B428" s="4" t="str">
        <f>_xlfn.TEXTJOIN(,,'Truth Table'!B428:M428)</f>
        <v>100101011000</v>
      </c>
    </row>
    <row r="429" spans="2:2" x14ac:dyDescent="0.25">
      <c r="B429" s="4" t="str">
        <f>_xlfn.TEXTJOIN(,,'Truth Table'!B429:M429)</f>
        <v>010101011000</v>
      </c>
    </row>
    <row r="430" spans="2:2" x14ac:dyDescent="0.25">
      <c r="B430" s="4" t="str">
        <f>_xlfn.TEXTJOIN(,,'Truth Table'!B430:M430)</f>
        <v>110101011000</v>
      </c>
    </row>
    <row r="431" spans="2:2" x14ac:dyDescent="0.25">
      <c r="B431" s="4" t="str">
        <f>_xlfn.TEXTJOIN(,,'Truth Table'!B431:M431)</f>
        <v>001101011000</v>
      </c>
    </row>
    <row r="432" spans="2:2" x14ac:dyDescent="0.25">
      <c r="B432" s="4" t="str">
        <f>_xlfn.TEXTJOIN(,,'Truth Table'!B432:M432)</f>
        <v>101101011000</v>
      </c>
    </row>
    <row r="433" spans="2:2" x14ac:dyDescent="0.25">
      <c r="B433" s="4" t="str">
        <f>_xlfn.TEXTJOIN(,,'Truth Table'!B433:M433)</f>
        <v>011101011000</v>
      </c>
    </row>
    <row r="434" spans="2:2" x14ac:dyDescent="0.25">
      <c r="B434" s="4" t="str">
        <f>_xlfn.TEXTJOIN(,,'Truth Table'!B434:M434)</f>
        <v>111101011000</v>
      </c>
    </row>
    <row r="435" spans="2:2" x14ac:dyDescent="0.25">
      <c r="B435" s="4" t="str">
        <f>_xlfn.TEXTJOIN(,,'Truth Table'!B435:M435)</f>
        <v>000011011000</v>
      </c>
    </row>
    <row r="436" spans="2:2" x14ac:dyDescent="0.25">
      <c r="B436" s="4" t="str">
        <f>_xlfn.TEXTJOIN(,,'Truth Table'!B436:M436)</f>
        <v>100011011000</v>
      </c>
    </row>
    <row r="437" spans="2:2" x14ac:dyDescent="0.25">
      <c r="B437" s="4" t="str">
        <f>_xlfn.TEXTJOIN(,,'Truth Table'!B437:M437)</f>
        <v>010011011000</v>
      </c>
    </row>
    <row r="438" spans="2:2" x14ac:dyDescent="0.25">
      <c r="B438" s="4" t="str">
        <f>_xlfn.TEXTJOIN(,,'Truth Table'!B438:M438)</f>
        <v>110011011000</v>
      </c>
    </row>
    <row r="439" spans="2:2" x14ac:dyDescent="0.25">
      <c r="B439" s="4" t="str">
        <f>_xlfn.TEXTJOIN(,,'Truth Table'!B439:M439)</f>
        <v>001011011000</v>
      </c>
    </row>
    <row r="440" spans="2:2" x14ac:dyDescent="0.25">
      <c r="B440" s="4" t="str">
        <f>_xlfn.TEXTJOIN(,,'Truth Table'!B440:M440)</f>
        <v>101011011000</v>
      </c>
    </row>
    <row r="441" spans="2:2" x14ac:dyDescent="0.25">
      <c r="B441" s="4" t="str">
        <f>_xlfn.TEXTJOIN(,,'Truth Table'!B441:M441)</f>
        <v>011011011000</v>
      </c>
    </row>
    <row r="442" spans="2:2" x14ac:dyDescent="0.25">
      <c r="B442" s="4" t="str">
        <f>_xlfn.TEXTJOIN(,,'Truth Table'!B442:M442)</f>
        <v>111011011000</v>
      </c>
    </row>
    <row r="443" spans="2:2" x14ac:dyDescent="0.25">
      <c r="B443" s="4" t="str">
        <f>_xlfn.TEXTJOIN(,,'Truth Table'!B443:M443)</f>
        <v>000111011000</v>
      </c>
    </row>
    <row r="444" spans="2:2" x14ac:dyDescent="0.25">
      <c r="B444" s="4" t="str">
        <f>_xlfn.TEXTJOIN(,,'Truth Table'!B444:M444)</f>
        <v>100111011000</v>
      </c>
    </row>
    <row r="445" spans="2:2" x14ac:dyDescent="0.25">
      <c r="B445" s="4" t="str">
        <f>_xlfn.TEXTJOIN(,,'Truth Table'!B445:M445)</f>
        <v>010111011000</v>
      </c>
    </row>
    <row r="446" spans="2:2" x14ac:dyDescent="0.25">
      <c r="B446" s="4" t="str">
        <f>_xlfn.TEXTJOIN(,,'Truth Table'!B446:M446)</f>
        <v>110111011000</v>
      </c>
    </row>
    <row r="447" spans="2:2" x14ac:dyDescent="0.25">
      <c r="B447" s="4" t="str">
        <f>_xlfn.TEXTJOIN(,,'Truth Table'!B447:M447)</f>
        <v>001111011000</v>
      </c>
    </row>
    <row r="448" spans="2:2" x14ac:dyDescent="0.25">
      <c r="B448" s="4" t="str">
        <f>_xlfn.TEXTJOIN(,,'Truth Table'!B448:M448)</f>
        <v>101111011000</v>
      </c>
    </row>
    <row r="449" spans="2:2" x14ac:dyDescent="0.25">
      <c r="B449" s="4" t="str">
        <f>_xlfn.TEXTJOIN(,,'Truth Table'!B449:M449)</f>
        <v>011111011000</v>
      </c>
    </row>
    <row r="450" spans="2:2" x14ac:dyDescent="0.25">
      <c r="B450" s="4" t="str">
        <f>_xlfn.TEXTJOIN(,,'Truth Table'!B450:M450)</f>
        <v>111111011000</v>
      </c>
    </row>
    <row r="451" spans="2:2" x14ac:dyDescent="0.25">
      <c r="B451" s="4" t="str">
        <f>_xlfn.TEXTJOIN(,,'Truth Table'!B451:M451)</f>
        <v>000000111000</v>
      </c>
    </row>
    <row r="452" spans="2:2" x14ac:dyDescent="0.25">
      <c r="B452" s="4" t="str">
        <f>_xlfn.TEXTJOIN(,,'Truth Table'!B452:M452)</f>
        <v>100000111000</v>
      </c>
    </row>
    <row r="453" spans="2:2" x14ac:dyDescent="0.25">
      <c r="B453" s="4" t="str">
        <f>_xlfn.TEXTJOIN(,,'Truth Table'!B453:M453)</f>
        <v>010000111000</v>
      </c>
    </row>
    <row r="454" spans="2:2" x14ac:dyDescent="0.25">
      <c r="B454" s="4" t="str">
        <f>_xlfn.TEXTJOIN(,,'Truth Table'!B454:M454)</f>
        <v>110000111000</v>
      </c>
    </row>
    <row r="455" spans="2:2" x14ac:dyDescent="0.25">
      <c r="B455" s="4" t="str">
        <f>_xlfn.TEXTJOIN(,,'Truth Table'!B455:M455)</f>
        <v>001000111000</v>
      </c>
    </row>
    <row r="456" spans="2:2" x14ac:dyDescent="0.25">
      <c r="B456" s="4" t="str">
        <f>_xlfn.TEXTJOIN(,,'Truth Table'!B456:M456)</f>
        <v>101000111000</v>
      </c>
    </row>
    <row r="457" spans="2:2" x14ac:dyDescent="0.25">
      <c r="B457" s="4" t="str">
        <f>_xlfn.TEXTJOIN(,,'Truth Table'!B457:M457)</f>
        <v>011000111000</v>
      </c>
    </row>
    <row r="458" spans="2:2" x14ac:dyDescent="0.25">
      <c r="B458" s="4" t="str">
        <f>_xlfn.TEXTJOIN(,,'Truth Table'!B458:M458)</f>
        <v>111000111000</v>
      </c>
    </row>
    <row r="459" spans="2:2" x14ac:dyDescent="0.25">
      <c r="B459" s="4" t="str">
        <f>_xlfn.TEXTJOIN(,,'Truth Table'!B459:M459)</f>
        <v>000100111000</v>
      </c>
    </row>
    <row r="460" spans="2:2" x14ac:dyDescent="0.25">
      <c r="B460" s="4" t="str">
        <f>_xlfn.TEXTJOIN(,,'Truth Table'!B460:M460)</f>
        <v>100100111000</v>
      </c>
    </row>
    <row r="461" spans="2:2" x14ac:dyDescent="0.25">
      <c r="B461" s="4" t="str">
        <f>_xlfn.TEXTJOIN(,,'Truth Table'!B461:M461)</f>
        <v>010100111000</v>
      </c>
    </row>
    <row r="462" spans="2:2" x14ac:dyDescent="0.25">
      <c r="B462" s="4" t="str">
        <f>_xlfn.TEXTJOIN(,,'Truth Table'!B462:M462)</f>
        <v>110100111000</v>
      </c>
    </row>
    <row r="463" spans="2:2" x14ac:dyDescent="0.25">
      <c r="B463" s="4" t="str">
        <f>_xlfn.TEXTJOIN(,,'Truth Table'!B463:M463)</f>
        <v>001100111000</v>
      </c>
    </row>
    <row r="464" spans="2:2" x14ac:dyDescent="0.25">
      <c r="B464" s="4" t="str">
        <f>_xlfn.TEXTJOIN(,,'Truth Table'!B464:M464)</f>
        <v>101100111000</v>
      </c>
    </row>
    <row r="465" spans="2:2" x14ac:dyDescent="0.25">
      <c r="B465" s="4" t="str">
        <f>_xlfn.TEXTJOIN(,,'Truth Table'!B465:M465)</f>
        <v>011100111000</v>
      </c>
    </row>
    <row r="466" spans="2:2" x14ac:dyDescent="0.25">
      <c r="B466" s="4" t="str">
        <f>_xlfn.TEXTJOIN(,,'Truth Table'!B466:M466)</f>
        <v>111100111000</v>
      </c>
    </row>
    <row r="467" spans="2:2" x14ac:dyDescent="0.25">
      <c r="B467" s="4" t="str">
        <f>_xlfn.TEXTJOIN(,,'Truth Table'!B467:M467)</f>
        <v>000010111000</v>
      </c>
    </row>
    <row r="468" spans="2:2" x14ac:dyDescent="0.25">
      <c r="B468" s="4" t="str">
        <f>_xlfn.TEXTJOIN(,,'Truth Table'!B468:M468)</f>
        <v>100010111000</v>
      </c>
    </row>
    <row r="469" spans="2:2" x14ac:dyDescent="0.25">
      <c r="B469" s="4" t="str">
        <f>_xlfn.TEXTJOIN(,,'Truth Table'!B469:M469)</f>
        <v>010010111000</v>
      </c>
    </row>
    <row r="470" spans="2:2" x14ac:dyDescent="0.25">
      <c r="B470" s="4" t="str">
        <f>_xlfn.TEXTJOIN(,,'Truth Table'!B470:M470)</f>
        <v>110010111000</v>
      </c>
    </row>
    <row r="471" spans="2:2" x14ac:dyDescent="0.25">
      <c r="B471" s="4" t="str">
        <f>_xlfn.TEXTJOIN(,,'Truth Table'!B471:M471)</f>
        <v>001010111000</v>
      </c>
    </row>
    <row r="472" spans="2:2" x14ac:dyDescent="0.25">
      <c r="B472" s="4" t="str">
        <f>_xlfn.TEXTJOIN(,,'Truth Table'!B472:M472)</f>
        <v>101010111000</v>
      </c>
    </row>
    <row r="473" spans="2:2" x14ac:dyDescent="0.25">
      <c r="B473" s="4" t="str">
        <f>_xlfn.TEXTJOIN(,,'Truth Table'!B473:M473)</f>
        <v>011010111000</v>
      </c>
    </row>
    <row r="474" spans="2:2" x14ac:dyDescent="0.25">
      <c r="B474" s="4" t="str">
        <f>_xlfn.TEXTJOIN(,,'Truth Table'!B474:M474)</f>
        <v>111010111000</v>
      </c>
    </row>
    <row r="475" spans="2:2" x14ac:dyDescent="0.25">
      <c r="B475" s="4" t="str">
        <f>_xlfn.TEXTJOIN(,,'Truth Table'!B475:M475)</f>
        <v>000110111000</v>
      </c>
    </row>
    <row r="476" spans="2:2" x14ac:dyDescent="0.25">
      <c r="B476" s="4" t="str">
        <f>_xlfn.TEXTJOIN(,,'Truth Table'!B476:M476)</f>
        <v>100110111000</v>
      </c>
    </row>
    <row r="477" spans="2:2" x14ac:dyDescent="0.25">
      <c r="B477" s="4" t="str">
        <f>_xlfn.TEXTJOIN(,,'Truth Table'!B477:M477)</f>
        <v>010110111000</v>
      </c>
    </row>
    <row r="478" spans="2:2" x14ac:dyDescent="0.25">
      <c r="B478" s="4" t="str">
        <f>_xlfn.TEXTJOIN(,,'Truth Table'!B478:M478)</f>
        <v>110110111000</v>
      </c>
    </row>
    <row r="479" spans="2:2" x14ac:dyDescent="0.25">
      <c r="B479" s="4" t="str">
        <f>_xlfn.TEXTJOIN(,,'Truth Table'!B479:M479)</f>
        <v>001110111000</v>
      </c>
    </row>
    <row r="480" spans="2:2" x14ac:dyDescent="0.25">
      <c r="B480" s="4" t="str">
        <f>_xlfn.TEXTJOIN(,,'Truth Table'!B480:M480)</f>
        <v>101110111000</v>
      </c>
    </row>
    <row r="481" spans="2:2" x14ac:dyDescent="0.25">
      <c r="B481" s="4" t="str">
        <f>_xlfn.TEXTJOIN(,,'Truth Table'!B481:M481)</f>
        <v>011110111000</v>
      </c>
    </row>
    <row r="482" spans="2:2" x14ac:dyDescent="0.25">
      <c r="B482" s="4" t="str">
        <f>_xlfn.TEXTJOIN(,,'Truth Table'!B482:M482)</f>
        <v>111110111000</v>
      </c>
    </row>
    <row r="483" spans="2:2" x14ac:dyDescent="0.25">
      <c r="B483" s="4" t="str">
        <f>_xlfn.TEXTJOIN(,,'Truth Table'!B483:M483)</f>
        <v>000001111000</v>
      </c>
    </row>
    <row r="484" spans="2:2" x14ac:dyDescent="0.25">
      <c r="B484" s="4" t="str">
        <f>_xlfn.TEXTJOIN(,,'Truth Table'!B484:M484)</f>
        <v>100001111000</v>
      </c>
    </row>
    <row r="485" spans="2:2" x14ac:dyDescent="0.25">
      <c r="B485" s="4" t="str">
        <f>_xlfn.TEXTJOIN(,,'Truth Table'!B485:M485)</f>
        <v>010001111000</v>
      </c>
    </row>
    <row r="486" spans="2:2" x14ac:dyDescent="0.25">
      <c r="B486" s="4" t="str">
        <f>_xlfn.TEXTJOIN(,,'Truth Table'!B486:M486)</f>
        <v>110001111000</v>
      </c>
    </row>
    <row r="487" spans="2:2" x14ac:dyDescent="0.25">
      <c r="B487" s="4" t="str">
        <f>_xlfn.TEXTJOIN(,,'Truth Table'!B487:M487)</f>
        <v>001001111000</v>
      </c>
    </row>
    <row r="488" spans="2:2" x14ac:dyDescent="0.25">
      <c r="B488" s="4" t="str">
        <f>_xlfn.TEXTJOIN(,,'Truth Table'!B488:M488)</f>
        <v>101001111000</v>
      </c>
    </row>
    <row r="489" spans="2:2" x14ac:dyDescent="0.25">
      <c r="B489" s="4" t="str">
        <f>_xlfn.TEXTJOIN(,,'Truth Table'!B489:M489)</f>
        <v>011001111000</v>
      </c>
    </row>
    <row r="490" spans="2:2" x14ac:dyDescent="0.25">
      <c r="B490" s="4" t="str">
        <f>_xlfn.TEXTJOIN(,,'Truth Table'!B490:M490)</f>
        <v>111001111000</v>
      </c>
    </row>
    <row r="491" spans="2:2" x14ac:dyDescent="0.25">
      <c r="B491" s="4" t="str">
        <f>_xlfn.TEXTJOIN(,,'Truth Table'!B491:M491)</f>
        <v>000101111000</v>
      </c>
    </row>
    <row r="492" spans="2:2" x14ac:dyDescent="0.25">
      <c r="B492" s="4" t="str">
        <f>_xlfn.TEXTJOIN(,,'Truth Table'!B492:M492)</f>
        <v>100101111000</v>
      </c>
    </row>
    <row r="493" spans="2:2" x14ac:dyDescent="0.25">
      <c r="B493" s="4" t="str">
        <f>_xlfn.TEXTJOIN(,,'Truth Table'!B493:M493)</f>
        <v>010101111000</v>
      </c>
    </row>
    <row r="494" spans="2:2" x14ac:dyDescent="0.25">
      <c r="B494" s="4" t="str">
        <f>_xlfn.TEXTJOIN(,,'Truth Table'!B494:M494)</f>
        <v>110101111000</v>
      </c>
    </row>
    <row r="495" spans="2:2" x14ac:dyDescent="0.25">
      <c r="B495" s="4" t="str">
        <f>_xlfn.TEXTJOIN(,,'Truth Table'!B495:M495)</f>
        <v>001101111000</v>
      </c>
    </row>
    <row r="496" spans="2:2" x14ac:dyDescent="0.25">
      <c r="B496" s="4" t="str">
        <f>_xlfn.TEXTJOIN(,,'Truth Table'!B496:M496)</f>
        <v>101101111000</v>
      </c>
    </row>
    <row r="497" spans="2:2" x14ac:dyDescent="0.25">
      <c r="B497" s="4" t="str">
        <f>_xlfn.TEXTJOIN(,,'Truth Table'!B497:M497)</f>
        <v>011101111000</v>
      </c>
    </row>
    <row r="498" spans="2:2" x14ac:dyDescent="0.25">
      <c r="B498" s="4" t="str">
        <f>_xlfn.TEXTJOIN(,,'Truth Table'!B498:M498)</f>
        <v>111101111000</v>
      </c>
    </row>
    <row r="499" spans="2:2" x14ac:dyDescent="0.25">
      <c r="B499" s="4" t="str">
        <f>_xlfn.TEXTJOIN(,,'Truth Table'!B499:M499)</f>
        <v>000011111000</v>
      </c>
    </row>
    <row r="500" spans="2:2" x14ac:dyDescent="0.25">
      <c r="B500" s="4" t="str">
        <f>_xlfn.TEXTJOIN(,,'Truth Table'!B500:M500)</f>
        <v>100011111000</v>
      </c>
    </row>
    <row r="501" spans="2:2" x14ac:dyDescent="0.25">
      <c r="B501" s="4" t="str">
        <f>_xlfn.TEXTJOIN(,,'Truth Table'!B501:M501)</f>
        <v>010011111000</v>
      </c>
    </row>
    <row r="502" spans="2:2" x14ac:dyDescent="0.25">
      <c r="B502" s="4" t="str">
        <f>_xlfn.TEXTJOIN(,,'Truth Table'!B502:M502)</f>
        <v>110011111000</v>
      </c>
    </row>
    <row r="503" spans="2:2" x14ac:dyDescent="0.25">
      <c r="B503" s="4" t="str">
        <f>_xlfn.TEXTJOIN(,,'Truth Table'!B503:M503)</f>
        <v>001011111000</v>
      </c>
    </row>
    <row r="504" spans="2:2" x14ac:dyDescent="0.25">
      <c r="B504" s="4" t="str">
        <f>_xlfn.TEXTJOIN(,,'Truth Table'!B504:M504)</f>
        <v>101011111000</v>
      </c>
    </row>
    <row r="505" spans="2:2" x14ac:dyDescent="0.25">
      <c r="B505" s="4" t="str">
        <f>_xlfn.TEXTJOIN(,,'Truth Table'!B505:M505)</f>
        <v>011011111000</v>
      </c>
    </row>
    <row r="506" spans="2:2" x14ac:dyDescent="0.25">
      <c r="B506" s="4" t="str">
        <f>_xlfn.TEXTJOIN(,,'Truth Table'!B506:M506)</f>
        <v>111011111000</v>
      </c>
    </row>
    <row r="507" spans="2:2" x14ac:dyDescent="0.25">
      <c r="B507" s="4" t="str">
        <f>_xlfn.TEXTJOIN(,,'Truth Table'!B507:M507)</f>
        <v>000111111000</v>
      </c>
    </row>
    <row r="508" spans="2:2" x14ac:dyDescent="0.25">
      <c r="B508" s="4" t="str">
        <f>_xlfn.TEXTJOIN(,,'Truth Table'!B508:M508)</f>
        <v>100111111000</v>
      </c>
    </row>
    <row r="509" spans="2:2" x14ac:dyDescent="0.25">
      <c r="B509" s="4" t="str">
        <f>_xlfn.TEXTJOIN(,,'Truth Table'!B509:M509)</f>
        <v>010111111000</v>
      </c>
    </row>
    <row r="510" spans="2:2" x14ac:dyDescent="0.25">
      <c r="B510" s="4" t="str">
        <f>_xlfn.TEXTJOIN(,,'Truth Table'!B510:M510)</f>
        <v>110111111000</v>
      </c>
    </row>
    <row r="511" spans="2:2" x14ac:dyDescent="0.25">
      <c r="B511" s="4" t="str">
        <f>_xlfn.TEXTJOIN(,,'Truth Table'!B511:M511)</f>
        <v>001111111000</v>
      </c>
    </row>
    <row r="512" spans="2:2" x14ac:dyDescent="0.25">
      <c r="B512" s="4" t="str">
        <f>_xlfn.TEXTJOIN(,,'Truth Table'!B512:M512)</f>
        <v>101111111000</v>
      </c>
    </row>
    <row r="513" spans="2:2" x14ac:dyDescent="0.25">
      <c r="B513" s="4" t="str">
        <f>_xlfn.TEXTJOIN(,,'Truth Table'!B513:M513)</f>
        <v>011111111000</v>
      </c>
    </row>
    <row r="514" spans="2:2" x14ac:dyDescent="0.25">
      <c r="B514" s="4" t="str">
        <f>_xlfn.TEXTJOIN(,,'Truth Table'!B514:M514)</f>
        <v>111111111000</v>
      </c>
    </row>
    <row r="515" spans="2:2" x14ac:dyDescent="0.25">
      <c r="B515" s="4" t="str">
        <f>_xlfn.TEXTJOIN(,,'Truth Table'!B515:M515)</f>
        <v>000000000100</v>
      </c>
    </row>
    <row r="516" spans="2:2" x14ac:dyDescent="0.25">
      <c r="B516" s="4" t="str">
        <f>_xlfn.TEXTJOIN(,,'Truth Table'!B516:M516)</f>
        <v>100000000100</v>
      </c>
    </row>
    <row r="517" spans="2:2" x14ac:dyDescent="0.25">
      <c r="B517" s="4" t="str">
        <f>_xlfn.TEXTJOIN(,,'Truth Table'!B517:M517)</f>
        <v>010000000100</v>
      </c>
    </row>
    <row r="518" spans="2:2" x14ac:dyDescent="0.25">
      <c r="B518" s="4" t="str">
        <f>_xlfn.TEXTJOIN(,,'Truth Table'!B518:M518)</f>
        <v>110000000100</v>
      </c>
    </row>
    <row r="519" spans="2:2" x14ac:dyDescent="0.25">
      <c r="B519" s="4" t="str">
        <f>_xlfn.TEXTJOIN(,,'Truth Table'!B519:M519)</f>
        <v>001000000100</v>
      </c>
    </row>
    <row r="520" spans="2:2" x14ac:dyDescent="0.25">
      <c r="B520" s="4" t="str">
        <f>_xlfn.TEXTJOIN(,,'Truth Table'!B520:M520)</f>
        <v>101000000100</v>
      </c>
    </row>
    <row r="521" spans="2:2" x14ac:dyDescent="0.25">
      <c r="B521" s="4" t="str">
        <f>_xlfn.TEXTJOIN(,,'Truth Table'!B521:M521)</f>
        <v>011000000100</v>
      </c>
    </row>
    <row r="522" spans="2:2" x14ac:dyDescent="0.25">
      <c r="B522" s="4" t="str">
        <f>_xlfn.TEXTJOIN(,,'Truth Table'!B522:M522)</f>
        <v>111000000100</v>
      </c>
    </row>
    <row r="523" spans="2:2" x14ac:dyDescent="0.25">
      <c r="B523" s="4" t="str">
        <f>_xlfn.TEXTJOIN(,,'Truth Table'!B523:M523)</f>
        <v>000100000100</v>
      </c>
    </row>
    <row r="524" spans="2:2" x14ac:dyDescent="0.25">
      <c r="B524" s="4" t="str">
        <f>_xlfn.TEXTJOIN(,,'Truth Table'!B524:M524)</f>
        <v>100100000100</v>
      </c>
    </row>
    <row r="525" spans="2:2" x14ac:dyDescent="0.25">
      <c r="B525" s="4" t="str">
        <f>_xlfn.TEXTJOIN(,,'Truth Table'!B525:M525)</f>
        <v>010100000100</v>
      </c>
    </row>
    <row r="526" spans="2:2" x14ac:dyDescent="0.25">
      <c r="B526" s="4" t="str">
        <f>_xlfn.TEXTJOIN(,,'Truth Table'!B526:M526)</f>
        <v>110100000100</v>
      </c>
    </row>
    <row r="527" spans="2:2" x14ac:dyDescent="0.25">
      <c r="B527" s="4" t="str">
        <f>_xlfn.TEXTJOIN(,,'Truth Table'!B527:M527)</f>
        <v>001100000100</v>
      </c>
    </row>
    <row r="528" spans="2:2" x14ac:dyDescent="0.25">
      <c r="B528" s="4" t="str">
        <f>_xlfn.TEXTJOIN(,,'Truth Table'!B528:M528)</f>
        <v>101100000100</v>
      </c>
    </row>
    <row r="529" spans="2:2" x14ac:dyDescent="0.25">
      <c r="B529" s="4" t="str">
        <f>_xlfn.TEXTJOIN(,,'Truth Table'!B529:M529)</f>
        <v>011100000100</v>
      </c>
    </row>
    <row r="530" spans="2:2" x14ac:dyDescent="0.25">
      <c r="B530" s="4" t="str">
        <f>_xlfn.TEXTJOIN(,,'Truth Table'!B530:M530)</f>
        <v>111100000100</v>
      </c>
    </row>
    <row r="531" spans="2:2" x14ac:dyDescent="0.25">
      <c r="B531" s="4" t="str">
        <f>_xlfn.TEXTJOIN(,,'Truth Table'!B531:M531)</f>
        <v>000010000100</v>
      </c>
    </row>
    <row r="532" spans="2:2" x14ac:dyDescent="0.25">
      <c r="B532" s="4" t="str">
        <f>_xlfn.TEXTJOIN(,,'Truth Table'!B532:M532)</f>
        <v>100010000100</v>
      </c>
    </row>
    <row r="533" spans="2:2" x14ac:dyDescent="0.25">
      <c r="B533" s="4" t="str">
        <f>_xlfn.TEXTJOIN(,,'Truth Table'!B533:M533)</f>
        <v>010010000100</v>
      </c>
    </row>
    <row r="534" spans="2:2" x14ac:dyDescent="0.25">
      <c r="B534" s="4" t="str">
        <f>_xlfn.TEXTJOIN(,,'Truth Table'!B534:M534)</f>
        <v>110010000100</v>
      </c>
    </row>
    <row r="535" spans="2:2" x14ac:dyDescent="0.25">
      <c r="B535" s="4" t="str">
        <f>_xlfn.TEXTJOIN(,,'Truth Table'!B535:M535)</f>
        <v>001010000100</v>
      </c>
    </row>
    <row r="536" spans="2:2" x14ac:dyDescent="0.25">
      <c r="B536" s="4" t="str">
        <f>_xlfn.TEXTJOIN(,,'Truth Table'!B536:M536)</f>
        <v>101010000100</v>
      </c>
    </row>
    <row r="537" spans="2:2" x14ac:dyDescent="0.25">
      <c r="B537" s="4" t="str">
        <f>_xlfn.TEXTJOIN(,,'Truth Table'!B537:M537)</f>
        <v>011010000100</v>
      </c>
    </row>
    <row r="538" spans="2:2" x14ac:dyDescent="0.25">
      <c r="B538" s="4" t="str">
        <f>_xlfn.TEXTJOIN(,,'Truth Table'!B538:M538)</f>
        <v>111010000100</v>
      </c>
    </row>
    <row r="539" spans="2:2" x14ac:dyDescent="0.25">
      <c r="B539" s="4" t="str">
        <f>_xlfn.TEXTJOIN(,,'Truth Table'!B539:M539)</f>
        <v>000110000100</v>
      </c>
    </row>
    <row r="540" spans="2:2" x14ac:dyDescent="0.25">
      <c r="B540" s="4" t="str">
        <f>_xlfn.TEXTJOIN(,,'Truth Table'!B540:M540)</f>
        <v>100110000100</v>
      </c>
    </row>
    <row r="541" spans="2:2" x14ac:dyDescent="0.25">
      <c r="B541" s="4" t="str">
        <f>_xlfn.TEXTJOIN(,,'Truth Table'!B541:M541)</f>
        <v>010110000100</v>
      </c>
    </row>
    <row r="542" spans="2:2" x14ac:dyDescent="0.25">
      <c r="B542" s="4" t="str">
        <f>_xlfn.TEXTJOIN(,,'Truth Table'!B542:M542)</f>
        <v>110110000100</v>
      </c>
    </row>
    <row r="543" spans="2:2" x14ac:dyDescent="0.25">
      <c r="B543" s="4" t="str">
        <f>_xlfn.TEXTJOIN(,,'Truth Table'!B543:M543)</f>
        <v>001110000100</v>
      </c>
    </row>
    <row r="544" spans="2:2" x14ac:dyDescent="0.25">
      <c r="B544" s="4" t="str">
        <f>_xlfn.TEXTJOIN(,,'Truth Table'!B544:M544)</f>
        <v>101110000100</v>
      </c>
    </row>
    <row r="545" spans="2:2" x14ac:dyDescent="0.25">
      <c r="B545" s="4" t="str">
        <f>_xlfn.TEXTJOIN(,,'Truth Table'!B545:M545)</f>
        <v>011110000100</v>
      </c>
    </row>
    <row r="546" spans="2:2" x14ac:dyDescent="0.25">
      <c r="B546" s="4" t="str">
        <f>_xlfn.TEXTJOIN(,,'Truth Table'!B546:M546)</f>
        <v>111110000100</v>
      </c>
    </row>
    <row r="547" spans="2:2" x14ac:dyDescent="0.25">
      <c r="B547" s="4" t="str">
        <f>_xlfn.TEXTJOIN(,,'Truth Table'!B547:M547)</f>
        <v>000001000100</v>
      </c>
    </row>
    <row r="548" spans="2:2" x14ac:dyDescent="0.25">
      <c r="B548" s="4" t="str">
        <f>_xlfn.TEXTJOIN(,,'Truth Table'!B548:M548)</f>
        <v>100001000100</v>
      </c>
    </row>
    <row r="549" spans="2:2" x14ac:dyDescent="0.25">
      <c r="B549" s="4" t="str">
        <f>_xlfn.TEXTJOIN(,,'Truth Table'!B549:M549)</f>
        <v>010001000100</v>
      </c>
    </row>
    <row r="550" spans="2:2" x14ac:dyDescent="0.25">
      <c r="B550" s="4" t="str">
        <f>_xlfn.TEXTJOIN(,,'Truth Table'!B550:M550)</f>
        <v>110001000100</v>
      </c>
    </row>
    <row r="551" spans="2:2" x14ac:dyDescent="0.25">
      <c r="B551" s="4" t="str">
        <f>_xlfn.TEXTJOIN(,,'Truth Table'!B551:M551)</f>
        <v>001001000100</v>
      </c>
    </row>
    <row r="552" spans="2:2" x14ac:dyDescent="0.25">
      <c r="B552" s="4" t="str">
        <f>_xlfn.TEXTJOIN(,,'Truth Table'!B552:M552)</f>
        <v>101001000100</v>
      </c>
    </row>
    <row r="553" spans="2:2" x14ac:dyDescent="0.25">
      <c r="B553" s="4" t="str">
        <f>_xlfn.TEXTJOIN(,,'Truth Table'!B553:M553)</f>
        <v>011001000100</v>
      </c>
    </row>
    <row r="554" spans="2:2" x14ac:dyDescent="0.25">
      <c r="B554" s="4" t="str">
        <f>_xlfn.TEXTJOIN(,,'Truth Table'!B554:M554)</f>
        <v>111001000100</v>
      </c>
    </row>
    <row r="555" spans="2:2" x14ac:dyDescent="0.25">
      <c r="B555" s="4" t="str">
        <f>_xlfn.TEXTJOIN(,,'Truth Table'!B555:M555)</f>
        <v>000101000100</v>
      </c>
    </row>
    <row r="556" spans="2:2" x14ac:dyDescent="0.25">
      <c r="B556" s="4" t="str">
        <f>_xlfn.TEXTJOIN(,,'Truth Table'!B556:M556)</f>
        <v>100101000100</v>
      </c>
    </row>
    <row r="557" spans="2:2" x14ac:dyDescent="0.25">
      <c r="B557" s="4" t="str">
        <f>_xlfn.TEXTJOIN(,,'Truth Table'!B557:M557)</f>
        <v>010101000100</v>
      </c>
    </row>
    <row r="558" spans="2:2" x14ac:dyDescent="0.25">
      <c r="B558" s="4" t="str">
        <f>_xlfn.TEXTJOIN(,,'Truth Table'!B558:M558)</f>
        <v>110101000100</v>
      </c>
    </row>
    <row r="559" spans="2:2" x14ac:dyDescent="0.25">
      <c r="B559" s="4" t="str">
        <f>_xlfn.TEXTJOIN(,,'Truth Table'!B559:M559)</f>
        <v>001101000100</v>
      </c>
    </row>
    <row r="560" spans="2:2" x14ac:dyDescent="0.25">
      <c r="B560" s="4" t="str">
        <f>_xlfn.TEXTJOIN(,,'Truth Table'!B560:M560)</f>
        <v>101101000100</v>
      </c>
    </row>
    <row r="561" spans="2:2" x14ac:dyDescent="0.25">
      <c r="B561" s="4" t="str">
        <f>_xlfn.TEXTJOIN(,,'Truth Table'!B561:M561)</f>
        <v>011101000100</v>
      </c>
    </row>
    <row r="562" spans="2:2" x14ac:dyDescent="0.25">
      <c r="B562" s="4" t="str">
        <f>_xlfn.TEXTJOIN(,,'Truth Table'!B562:M562)</f>
        <v>111101000100</v>
      </c>
    </row>
    <row r="563" spans="2:2" x14ac:dyDescent="0.25">
      <c r="B563" s="4" t="str">
        <f>_xlfn.TEXTJOIN(,,'Truth Table'!B563:M563)</f>
        <v>000011000100</v>
      </c>
    </row>
    <row r="564" spans="2:2" x14ac:dyDescent="0.25">
      <c r="B564" s="4" t="str">
        <f>_xlfn.TEXTJOIN(,,'Truth Table'!B564:M564)</f>
        <v>100011000100</v>
      </c>
    </row>
    <row r="565" spans="2:2" x14ac:dyDescent="0.25">
      <c r="B565" s="4" t="str">
        <f>_xlfn.TEXTJOIN(,,'Truth Table'!B565:M565)</f>
        <v>010011000100</v>
      </c>
    </row>
    <row r="566" spans="2:2" x14ac:dyDescent="0.25">
      <c r="B566" s="4" t="str">
        <f>_xlfn.TEXTJOIN(,,'Truth Table'!B566:M566)</f>
        <v>110011000100</v>
      </c>
    </row>
    <row r="567" spans="2:2" x14ac:dyDescent="0.25">
      <c r="B567" s="4" t="str">
        <f>_xlfn.TEXTJOIN(,,'Truth Table'!B567:M567)</f>
        <v>001011000100</v>
      </c>
    </row>
    <row r="568" spans="2:2" x14ac:dyDescent="0.25">
      <c r="B568" s="4" t="str">
        <f>_xlfn.TEXTJOIN(,,'Truth Table'!B568:M568)</f>
        <v>101011000100</v>
      </c>
    </row>
    <row r="569" spans="2:2" x14ac:dyDescent="0.25">
      <c r="B569" s="4" t="str">
        <f>_xlfn.TEXTJOIN(,,'Truth Table'!B569:M569)</f>
        <v>011011000100</v>
      </c>
    </row>
    <row r="570" spans="2:2" x14ac:dyDescent="0.25">
      <c r="B570" s="4" t="str">
        <f>_xlfn.TEXTJOIN(,,'Truth Table'!B570:M570)</f>
        <v>111011000100</v>
      </c>
    </row>
    <row r="571" spans="2:2" x14ac:dyDescent="0.25">
      <c r="B571" s="4" t="str">
        <f>_xlfn.TEXTJOIN(,,'Truth Table'!B571:M571)</f>
        <v>000111000100</v>
      </c>
    </row>
    <row r="572" spans="2:2" x14ac:dyDescent="0.25">
      <c r="B572" s="4" t="str">
        <f>_xlfn.TEXTJOIN(,,'Truth Table'!B572:M572)</f>
        <v>100111000100</v>
      </c>
    </row>
    <row r="573" spans="2:2" x14ac:dyDescent="0.25">
      <c r="B573" s="4" t="str">
        <f>_xlfn.TEXTJOIN(,,'Truth Table'!B573:M573)</f>
        <v>010111000100</v>
      </c>
    </row>
    <row r="574" spans="2:2" x14ac:dyDescent="0.25">
      <c r="B574" s="4" t="str">
        <f>_xlfn.TEXTJOIN(,,'Truth Table'!B574:M574)</f>
        <v>110111000100</v>
      </c>
    </row>
    <row r="575" spans="2:2" x14ac:dyDescent="0.25">
      <c r="B575" s="4" t="str">
        <f>_xlfn.TEXTJOIN(,,'Truth Table'!B575:M575)</f>
        <v>001111000100</v>
      </c>
    </row>
    <row r="576" spans="2:2" x14ac:dyDescent="0.25">
      <c r="B576" s="4" t="str">
        <f>_xlfn.TEXTJOIN(,,'Truth Table'!B576:M576)</f>
        <v>101111000100</v>
      </c>
    </row>
    <row r="577" spans="2:2" x14ac:dyDescent="0.25">
      <c r="B577" s="4" t="str">
        <f>_xlfn.TEXTJOIN(,,'Truth Table'!B577:M577)</f>
        <v>011111000100</v>
      </c>
    </row>
    <row r="578" spans="2:2" x14ac:dyDescent="0.25">
      <c r="B578" s="4" t="str">
        <f>_xlfn.TEXTJOIN(,,'Truth Table'!B578:M578)</f>
        <v>111111000100</v>
      </c>
    </row>
    <row r="579" spans="2:2" x14ac:dyDescent="0.25">
      <c r="B579" s="4" t="str">
        <f>_xlfn.TEXTJOIN(,,'Truth Table'!B579:M579)</f>
        <v>000000100100</v>
      </c>
    </row>
    <row r="580" spans="2:2" x14ac:dyDescent="0.25">
      <c r="B580" s="4" t="str">
        <f>_xlfn.TEXTJOIN(,,'Truth Table'!B580:M580)</f>
        <v>100000100100</v>
      </c>
    </row>
    <row r="581" spans="2:2" x14ac:dyDescent="0.25">
      <c r="B581" s="4" t="str">
        <f>_xlfn.TEXTJOIN(,,'Truth Table'!B581:M581)</f>
        <v>010000100100</v>
      </c>
    </row>
    <row r="582" spans="2:2" x14ac:dyDescent="0.25">
      <c r="B582" s="4" t="str">
        <f>_xlfn.TEXTJOIN(,,'Truth Table'!B582:M582)</f>
        <v>110000100100</v>
      </c>
    </row>
    <row r="583" spans="2:2" x14ac:dyDescent="0.25">
      <c r="B583" s="4" t="str">
        <f>_xlfn.TEXTJOIN(,,'Truth Table'!B583:M583)</f>
        <v>001000100100</v>
      </c>
    </row>
    <row r="584" spans="2:2" x14ac:dyDescent="0.25">
      <c r="B584" s="4" t="str">
        <f>_xlfn.TEXTJOIN(,,'Truth Table'!B584:M584)</f>
        <v>101000100100</v>
      </c>
    </row>
    <row r="585" spans="2:2" x14ac:dyDescent="0.25">
      <c r="B585" s="4" t="str">
        <f>_xlfn.TEXTJOIN(,,'Truth Table'!B585:M585)</f>
        <v>011000100100</v>
      </c>
    </row>
    <row r="586" spans="2:2" x14ac:dyDescent="0.25">
      <c r="B586" s="4" t="str">
        <f>_xlfn.TEXTJOIN(,,'Truth Table'!B586:M586)</f>
        <v>111000100100</v>
      </c>
    </row>
    <row r="587" spans="2:2" x14ac:dyDescent="0.25">
      <c r="B587" s="4" t="str">
        <f>_xlfn.TEXTJOIN(,,'Truth Table'!B587:M587)</f>
        <v>000100100100</v>
      </c>
    </row>
    <row r="588" spans="2:2" x14ac:dyDescent="0.25">
      <c r="B588" s="4" t="str">
        <f>_xlfn.TEXTJOIN(,,'Truth Table'!B588:M588)</f>
        <v>100100100100</v>
      </c>
    </row>
    <row r="589" spans="2:2" x14ac:dyDescent="0.25">
      <c r="B589" s="4" t="str">
        <f>_xlfn.TEXTJOIN(,,'Truth Table'!B589:M589)</f>
        <v>010100100100</v>
      </c>
    </row>
    <row r="590" spans="2:2" x14ac:dyDescent="0.25">
      <c r="B590" s="4" t="str">
        <f>_xlfn.TEXTJOIN(,,'Truth Table'!B590:M590)</f>
        <v>110100100100</v>
      </c>
    </row>
    <row r="591" spans="2:2" x14ac:dyDescent="0.25">
      <c r="B591" s="4" t="str">
        <f>_xlfn.TEXTJOIN(,,'Truth Table'!B591:M591)</f>
        <v>001100100100</v>
      </c>
    </row>
    <row r="592" spans="2:2" x14ac:dyDescent="0.25">
      <c r="B592" s="4" t="str">
        <f>_xlfn.TEXTJOIN(,,'Truth Table'!B592:M592)</f>
        <v>101100100100</v>
      </c>
    </row>
    <row r="593" spans="2:2" x14ac:dyDescent="0.25">
      <c r="B593" s="4" t="str">
        <f>_xlfn.TEXTJOIN(,,'Truth Table'!B593:M593)</f>
        <v>011100100100</v>
      </c>
    </row>
    <row r="594" spans="2:2" x14ac:dyDescent="0.25">
      <c r="B594" s="4" t="str">
        <f>_xlfn.TEXTJOIN(,,'Truth Table'!B594:M594)</f>
        <v>111100100100</v>
      </c>
    </row>
    <row r="595" spans="2:2" x14ac:dyDescent="0.25">
      <c r="B595" s="4" t="str">
        <f>_xlfn.TEXTJOIN(,,'Truth Table'!B595:M595)</f>
        <v>000010100100</v>
      </c>
    </row>
    <row r="596" spans="2:2" x14ac:dyDescent="0.25">
      <c r="B596" s="4" t="str">
        <f>_xlfn.TEXTJOIN(,,'Truth Table'!B596:M596)</f>
        <v>100010100100</v>
      </c>
    </row>
    <row r="597" spans="2:2" x14ac:dyDescent="0.25">
      <c r="B597" s="4" t="str">
        <f>_xlfn.TEXTJOIN(,,'Truth Table'!B597:M597)</f>
        <v>010010100100</v>
      </c>
    </row>
    <row r="598" spans="2:2" x14ac:dyDescent="0.25">
      <c r="B598" s="4" t="str">
        <f>_xlfn.TEXTJOIN(,,'Truth Table'!B598:M598)</f>
        <v>110010100100</v>
      </c>
    </row>
    <row r="599" spans="2:2" x14ac:dyDescent="0.25">
      <c r="B599" s="4" t="str">
        <f>_xlfn.TEXTJOIN(,,'Truth Table'!B599:M599)</f>
        <v>001010100100</v>
      </c>
    </row>
    <row r="600" spans="2:2" x14ac:dyDescent="0.25">
      <c r="B600" s="4" t="str">
        <f>_xlfn.TEXTJOIN(,,'Truth Table'!B600:M600)</f>
        <v>101010100100</v>
      </c>
    </row>
    <row r="601" spans="2:2" x14ac:dyDescent="0.25">
      <c r="B601" s="4" t="str">
        <f>_xlfn.TEXTJOIN(,,'Truth Table'!B601:M601)</f>
        <v>011010100100</v>
      </c>
    </row>
    <row r="602" spans="2:2" x14ac:dyDescent="0.25">
      <c r="B602" s="4" t="str">
        <f>_xlfn.TEXTJOIN(,,'Truth Table'!B602:M602)</f>
        <v>111010100100</v>
      </c>
    </row>
    <row r="603" spans="2:2" x14ac:dyDescent="0.25">
      <c r="B603" s="4" t="str">
        <f>_xlfn.TEXTJOIN(,,'Truth Table'!B603:M603)</f>
        <v>000110100100</v>
      </c>
    </row>
    <row r="604" spans="2:2" x14ac:dyDescent="0.25">
      <c r="B604" s="4" t="str">
        <f>_xlfn.TEXTJOIN(,,'Truth Table'!B604:M604)</f>
        <v>100110100100</v>
      </c>
    </row>
    <row r="605" spans="2:2" x14ac:dyDescent="0.25">
      <c r="B605" s="4" t="str">
        <f>_xlfn.TEXTJOIN(,,'Truth Table'!B605:M605)</f>
        <v>010110100100</v>
      </c>
    </row>
    <row r="606" spans="2:2" x14ac:dyDescent="0.25">
      <c r="B606" s="4" t="str">
        <f>_xlfn.TEXTJOIN(,,'Truth Table'!B606:M606)</f>
        <v>110110100100</v>
      </c>
    </row>
    <row r="607" spans="2:2" x14ac:dyDescent="0.25">
      <c r="B607" s="4" t="str">
        <f>_xlfn.TEXTJOIN(,,'Truth Table'!B607:M607)</f>
        <v>001110100100</v>
      </c>
    </row>
    <row r="608" spans="2:2" x14ac:dyDescent="0.25">
      <c r="B608" s="4" t="str">
        <f>_xlfn.TEXTJOIN(,,'Truth Table'!B608:M608)</f>
        <v>101110100100</v>
      </c>
    </row>
    <row r="609" spans="2:2" x14ac:dyDescent="0.25">
      <c r="B609" s="4" t="str">
        <f>_xlfn.TEXTJOIN(,,'Truth Table'!B609:M609)</f>
        <v>011110100100</v>
      </c>
    </row>
    <row r="610" spans="2:2" x14ac:dyDescent="0.25">
      <c r="B610" s="4" t="str">
        <f>_xlfn.TEXTJOIN(,,'Truth Table'!B610:M610)</f>
        <v>111110100100</v>
      </c>
    </row>
    <row r="611" spans="2:2" x14ac:dyDescent="0.25">
      <c r="B611" s="4" t="str">
        <f>_xlfn.TEXTJOIN(,,'Truth Table'!B611:M611)</f>
        <v>000001100100</v>
      </c>
    </row>
    <row r="612" spans="2:2" x14ac:dyDescent="0.25">
      <c r="B612" s="4" t="str">
        <f>_xlfn.TEXTJOIN(,,'Truth Table'!B612:M612)</f>
        <v>100001100100</v>
      </c>
    </row>
    <row r="613" spans="2:2" x14ac:dyDescent="0.25">
      <c r="B613" s="4" t="str">
        <f>_xlfn.TEXTJOIN(,,'Truth Table'!B613:M613)</f>
        <v>010001100100</v>
      </c>
    </row>
    <row r="614" spans="2:2" x14ac:dyDescent="0.25">
      <c r="B614" s="4" t="str">
        <f>_xlfn.TEXTJOIN(,,'Truth Table'!B614:M614)</f>
        <v>110001100100</v>
      </c>
    </row>
    <row r="615" spans="2:2" x14ac:dyDescent="0.25">
      <c r="B615" s="4" t="str">
        <f>_xlfn.TEXTJOIN(,,'Truth Table'!B615:M615)</f>
        <v>001001100100</v>
      </c>
    </row>
    <row r="616" spans="2:2" x14ac:dyDescent="0.25">
      <c r="B616" s="4" t="str">
        <f>_xlfn.TEXTJOIN(,,'Truth Table'!B616:M616)</f>
        <v>101001100100</v>
      </c>
    </row>
    <row r="617" spans="2:2" x14ac:dyDescent="0.25">
      <c r="B617" s="4" t="str">
        <f>_xlfn.TEXTJOIN(,,'Truth Table'!B617:M617)</f>
        <v>011001100100</v>
      </c>
    </row>
    <row r="618" spans="2:2" x14ac:dyDescent="0.25">
      <c r="B618" s="4" t="str">
        <f>_xlfn.TEXTJOIN(,,'Truth Table'!B618:M618)</f>
        <v>111001100100</v>
      </c>
    </row>
    <row r="619" spans="2:2" x14ac:dyDescent="0.25">
      <c r="B619" s="4" t="str">
        <f>_xlfn.TEXTJOIN(,,'Truth Table'!B619:M619)</f>
        <v>000101100100</v>
      </c>
    </row>
    <row r="620" spans="2:2" x14ac:dyDescent="0.25">
      <c r="B620" s="4" t="str">
        <f>_xlfn.TEXTJOIN(,,'Truth Table'!B620:M620)</f>
        <v>100101100100</v>
      </c>
    </row>
    <row r="621" spans="2:2" x14ac:dyDescent="0.25">
      <c r="B621" s="4" t="str">
        <f>_xlfn.TEXTJOIN(,,'Truth Table'!B621:M621)</f>
        <v>010101100100</v>
      </c>
    </row>
    <row r="622" spans="2:2" x14ac:dyDescent="0.25">
      <c r="B622" s="4" t="str">
        <f>_xlfn.TEXTJOIN(,,'Truth Table'!B622:M622)</f>
        <v>110101100100</v>
      </c>
    </row>
    <row r="623" spans="2:2" x14ac:dyDescent="0.25">
      <c r="B623" s="4" t="str">
        <f>_xlfn.TEXTJOIN(,,'Truth Table'!B623:M623)</f>
        <v>001101100100</v>
      </c>
    </row>
    <row r="624" spans="2:2" x14ac:dyDescent="0.25">
      <c r="B624" s="4" t="str">
        <f>_xlfn.TEXTJOIN(,,'Truth Table'!B624:M624)</f>
        <v>101101100100</v>
      </c>
    </row>
    <row r="625" spans="2:2" x14ac:dyDescent="0.25">
      <c r="B625" s="4" t="str">
        <f>_xlfn.TEXTJOIN(,,'Truth Table'!B625:M625)</f>
        <v>011101100100</v>
      </c>
    </row>
    <row r="626" spans="2:2" x14ac:dyDescent="0.25">
      <c r="B626" s="4" t="str">
        <f>_xlfn.TEXTJOIN(,,'Truth Table'!B626:M626)</f>
        <v>111101100100</v>
      </c>
    </row>
    <row r="627" spans="2:2" x14ac:dyDescent="0.25">
      <c r="B627" s="4" t="str">
        <f>_xlfn.TEXTJOIN(,,'Truth Table'!B627:M627)</f>
        <v>000011100100</v>
      </c>
    </row>
    <row r="628" spans="2:2" x14ac:dyDescent="0.25">
      <c r="B628" s="4" t="str">
        <f>_xlfn.TEXTJOIN(,,'Truth Table'!B628:M628)</f>
        <v>100011100100</v>
      </c>
    </row>
    <row r="629" spans="2:2" x14ac:dyDescent="0.25">
      <c r="B629" s="4" t="str">
        <f>_xlfn.TEXTJOIN(,,'Truth Table'!B629:M629)</f>
        <v>010011100100</v>
      </c>
    </row>
    <row r="630" spans="2:2" x14ac:dyDescent="0.25">
      <c r="B630" s="4" t="str">
        <f>_xlfn.TEXTJOIN(,,'Truth Table'!B630:M630)</f>
        <v>110011100100</v>
      </c>
    </row>
    <row r="631" spans="2:2" x14ac:dyDescent="0.25">
      <c r="B631" s="4" t="str">
        <f>_xlfn.TEXTJOIN(,,'Truth Table'!B631:M631)</f>
        <v>001011100100</v>
      </c>
    </row>
    <row r="632" spans="2:2" x14ac:dyDescent="0.25">
      <c r="B632" s="4" t="str">
        <f>_xlfn.TEXTJOIN(,,'Truth Table'!B632:M632)</f>
        <v>101011100100</v>
      </c>
    </row>
    <row r="633" spans="2:2" x14ac:dyDescent="0.25">
      <c r="B633" s="4" t="str">
        <f>_xlfn.TEXTJOIN(,,'Truth Table'!B633:M633)</f>
        <v>011011100100</v>
      </c>
    </row>
    <row r="634" spans="2:2" x14ac:dyDescent="0.25">
      <c r="B634" s="4" t="str">
        <f>_xlfn.TEXTJOIN(,,'Truth Table'!B634:M634)</f>
        <v>111011100100</v>
      </c>
    </row>
    <row r="635" spans="2:2" x14ac:dyDescent="0.25">
      <c r="B635" s="4" t="str">
        <f>_xlfn.TEXTJOIN(,,'Truth Table'!B635:M635)</f>
        <v>000111100100</v>
      </c>
    </row>
    <row r="636" spans="2:2" x14ac:dyDescent="0.25">
      <c r="B636" s="4" t="str">
        <f>_xlfn.TEXTJOIN(,,'Truth Table'!B636:M636)</f>
        <v>100111100100</v>
      </c>
    </row>
    <row r="637" spans="2:2" x14ac:dyDescent="0.25">
      <c r="B637" s="4" t="str">
        <f>_xlfn.TEXTJOIN(,,'Truth Table'!B637:M637)</f>
        <v>010111100100</v>
      </c>
    </row>
    <row r="638" spans="2:2" x14ac:dyDescent="0.25">
      <c r="B638" s="4" t="str">
        <f>_xlfn.TEXTJOIN(,,'Truth Table'!B638:M638)</f>
        <v>110111100100</v>
      </c>
    </row>
    <row r="639" spans="2:2" x14ac:dyDescent="0.25">
      <c r="B639" s="4" t="str">
        <f>_xlfn.TEXTJOIN(,,'Truth Table'!B639:M639)</f>
        <v>001111100100</v>
      </c>
    </row>
    <row r="640" spans="2:2" x14ac:dyDescent="0.25">
      <c r="B640" s="4" t="str">
        <f>_xlfn.TEXTJOIN(,,'Truth Table'!B640:M640)</f>
        <v>101111100100</v>
      </c>
    </row>
    <row r="641" spans="2:2" x14ac:dyDescent="0.25">
      <c r="B641" s="4" t="str">
        <f>_xlfn.TEXTJOIN(,,'Truth Table'!B641:M641)</f>
        <v>011111100100</v>
      </c>
    </row>
    <row r="642" spans="2:2" x14ac:dyDescent="0.25">
      <c r="B642" s="4" t="str">
        <f>_xlfn.TEXTJOIN(,,'Truth Table'!B642:M642)</f>
        <v>111111100100</v>
      </c>
    </row>
    <row r="643" spans="2:2" x14ac:dyDescent="0.25">
      <c r="B643" s="4" t="str">
        <f>_xlfn.TEXTJOIN(,,'Truth Table'!B643:M643)</f>
        <v>000000010100</v>
      </c>
    </row>
    <row r="644" spans="2:2" x14ac:dyDescent="0.25">
      <c r="B644" s="4" t="str">
        <f>_xlfn.TEXTJOIN(,,'Truth Table'!B644:M644)</f>
        <v>100000010100</v>
      </c>
    </row>
    <row r="645" spans="2:2" x14ac:dyDescent="0.25">
      <c r="B645" s="4" t="str">
        <f>_xlfn.TEXTJOIN(,,'Truth Table'!B645:M645)</f>
        <v>010000010100</v>
      </c>
    </row>
    <row r="646" spans="2:2" x14ac:dyDescent="0.25">
      <c r="B646" s="4" t="str">
        <f>_xlfn.TEXTJOIN(,,'Truth Table'!B646:M646)</f>
        <v>110000010100</v>
      </c>
    </row>
    <row r="647" spans="2:2" x14ac:dyDescent="0.25">
      <c r="B647" s="4" t="str">
        <f>_xlfn.TEXTJOIN(,,'Truth Table'!B647:M647)</f>
        <v>001000010100</v>
      </c>
    </row>
    <row r="648" spans="2:2" x14ac:dyDescent="0.25">
      <c r="B648" s="4" t="str">
        <f>_xlfn.TEXTJOIN(,,'Truth Table'!B648:M648)</f>
        <v>101000010100</v>
      </c>
    </row>
    <row r="649" spans="2:2" x14ac:dyDescent="0.25">
      <c r="B649" s="4" t="str">
        <f>_xlfn.TEXTJOIN(,,'Truth Table'!B649:M649)</f>
        <v>011000010100</v>
      </c>
    </row>
    <row r="650" spans="2:2" x14ac:dyDescent="0.25">
      <c r="B650" s="4" t="str">
        <f>_xlfn.TEXTJOIN(,,'Truth Table'!B650:M650)</f>
        <v>111000010100</v>
      </c>
    </row>
    <row r="651" spans="2:2" x14ac:dyDescent="0.25">
      <c r="B651" s="4" t="str">
        <f>_xlfn.TEXTJOIN(,,'Truth Table'!B651:M651)</f>
        <v>000100010100</v>
      </c>
    </row>
    <row r="652" spans="2:2" x14ac:dyDescent="0.25">
      <c r="B652" s="4" t="str">
        <f>_xlfn.TEXTJOIN(,,'Truth Table'!B652:M652)</f>
        <v>100100010100</v>
      </c>
    </row>
    <row r="653" spans="2:2" x14ac:dyDescent="0.25">
      <c r="B653" s="4" t="str">
        <f>_xlfn.TEXTJOIN(,,'Truth Table'!B653:M653)</f>
        <v>010100010100</v>
      </c>
    </row>
    <row r="654" spans="2:2" x14ac:dyDescent="0.25">
      <c r="B654" s="4" t="str">
        <f>_xlfn.TEXTJOIN(,,'Truth Table'!B654:M654)</f>
        <v>110100010100</v>
      </c>
    </row>
    <row r="655" spans="2:2" x14ac:dyDescent="0.25">
      <c r="B655" s="4" t="str">
        <f>_xlfn.TEXTJOIN(,,'Truth Table'!B655:M655)</f>
        <v>001100010100</v>
      </c>
    </row>
    <row r="656" spans="2:2" x14ac:dyDescent="0.25">
      <c r="B656" s="4" t="str">
        <f>_xlfn.TEXTJOIN(,,'Truth Table'!B656:M656)</f>
        <v>101100010100</v>
      </c>
    </row>
    <row r="657" spans="2:2" x14ac:dyDescent="0.25">
      <c r="B657" s="4" t="str">
        <f>_xlfn.TEXTJOIN(,,'Truth Table'!B657:M657)</f>
        <v>011100010100</v>
      </c>
    </row>
    <row r="658" spans="2:2" x14ac:dyDescent="0.25">
      <c r="B658" s="4" t="str">
        <f>_xlfn.TEXTJOIN(,,'Truth Table'!B658:M658)</f>
        <v>111100010100</v>
      </c>
    </row>
    <row r="659" spans="2:2" x14ac:dyDescent="0.25">
      <c r="B659" s="4" t="str">
        <f>_xlfn.TEXTJOIN(,,'Truth Table'!B659:M659)</f>
        <v>000010010100</v>
      </c>
    </row>
    <row r="660" spans="2:2" x14ac:dyDescent="0.25">
      <c r="B660" s="4" t="str">
        <f>_xlfn.TEXTJOIN(,,'Truth Table'!B660:M660)</f>
        <v>100010010100</v>
      </c>
    </row>
    <row r="661" spans="2:2" x14ac:dyDescent="0.25">
      <c r="B661" s="4" t="str">
        <f>_xlfn.TEXTJOIN(,,'Truth Table'!B661:M661)</f>
        <v>010010010100</v>
      </c>
    </row>
    <row r="662" spans="2:2" x14ac:dyDescent="0.25">
      <c r="B662" s="4" t="str">
        <f>_xlfn.TEXTJOIN(,,'Truth Table'!B662:M662)</f>
        <v>110010010100</v>
      </c>
    </row>
    <row r="663" spans="2:2" x14ac:dyDescent="0.25">
      <c r="B663" s="4" t="str">
        <f>_xlfn.TEXTJOIN(,,'Truth Table'!B663:M663)</f>
        <v>001010010100</v>
      </c>
    </row>
    <row r="664" spans="2:2" x14ac:dyDescent="0.25">
      <c r="B664" s="4" t="str">
        <f>_xlfn.TEXTJOIN(,,'Truth Table'!B664:M664)</f>
        <v>101010010100</v>
      </c>
    </row>
    <row r="665" spans="2:2" x14ac:dyDescent="0.25">
      <c r="B665" s="4" t="str">
        <f>_xlfn.TEXTJOIN(,,'Truth Table'!B665:M665)</f>
        <v>011010010100</v>
      </c>
    </row>
    <row r="666" spans="2:2" x14ac:dyDescent="0.25">
      <c r="B666" s="4" t="str">
        <f>_xlfn.TEXTJOIN(,,'Truth Table'!B666:M666)</f>
        <v>111010010100</v>
      </c>
    </row>
    <row r="667" spans="2:2" x14ac:dyDescent="0.25">
      <c r="B667" s="4" t="str">
        <f>_xlfn.TEXTJOIN(,,'Truth Table'!B667:M667)</f>
        <v>000110010100</v>
      </c>
    </row>
    <row r="668" spans="2:2" x14ac:dyDescent="0.25">
      <c r="B668" s="4" t="str">
        <f>_xlfn.TEXTJOIN(,,'Truth Table'!B668:M668)</f>
        <v>100110010100</v>
      </c>
    </row>
    <row r="669" spans="2:2" x14ac:dyDescent="0.25">
      <c r="B669" s="4" t="str">
        <f>_xlfn.TEXTJOIN(,,'Truth Table'!B669:M669)</f>
        <v>010110010100</v>
      </c>
    </row>
    <row r="670" spans="2:2" x14ac:dyDescent="0.25">
      <c r="B670" s="4" t="str">
        <f>_xlfn.TEXTJOIN(,,'Truth Table'!B670:M670)</f>
        <v>110110010100</v>
      </c>
    </row>
    <row r="671" spans="2:2" x14ac:dyDescent="0.25">
      <c r="B671" s="4" t="str">
        <f>_xlfn.TEXTJOIN(,,'Truth Table'!B671:M671)</f>
        <v>001110010100</v>
      </c>
    </row>
    <row r="672" spans="2:2" x14ac:dyDescent="0.25">
      <c r="B672" s="4" t="str">
        <f>_xlfn.TEXTJOIN(,,'Truth Table'!B672:M672)</f>
        <v>101110010100</v>
      </c>
    </row>
    <row r="673" spans="2:2" x14ac:dyDescent="0.25">
      <c r="B673" s="4" t="str">
        <f>_xlfn.TEXTJOIN(,,'Truth Table'!B673:M673)</f>
        <v>011110010100</v>
      </c>
    </row>
    <row r="674" spans="2:2" x14ac:dyDescent="0.25">
      <c r="B674" s="4" t="str">
        <f>_xlfn.TEXTJOIN(,,'Truth Table'!B674:M674)</f>
        <v>111110010100</v>
      </c>
    </row>
    <row r="675" spans="2:2" x14ac:dyDescent="0.25">
      <c r="B675" s="4" t="str">
        <f>_xlfn.TEXTJOIN(,,'Truth Table'!B675:M675)</f>
        <v>000001010100</v>
      </c>
    </row>
    <row r="676" spans="2:2" x14ac:dyDescent="0.25">
      <c r="B676" s="4" t="str">
        <f>_xlfn.TEXTJOIN(,,'Truth Table'!B676:M676)</f>
        <v>100001010100</v>
      </c>
    </row>
    <row r="677" spans="2:2" x14ac:dyDescent="0.25">
      <c r="B677" s="4" t="str">
        <f>_xlfn.TEXTJOIN(,,'Truth Table'!B677:M677)</f>
        <v>010001010100</v>
      </c>
    </row>
    <row r="678" spans="2:2" x14ac:dyDescent="0.25">
      <c r="B678" s="4" t="str">
        <f>_xlfn.TEXTJOIN(,,'Truth Table'!B678:M678)</f>
        <v>110001010100</v>
      </c>
    </row>
    <row r="679" spans="2:2" x14ac:dyDescent="0.25">
      <c r="B679" s="4" t="str">
        <f>_xlfn.TEXTJOIN(,,'Truth Table'!B679:M679)</f>
        <v>001001010100</v>
      </c>
    </row>
    <row r="680" spans="2:2" x14ac:dyDescent="0.25">
      <c r="B680" s="4" t="str">
        <f>_xlfn.TEXTJOIN(,,'Truth Table'!B680:M680)</f>
        <v>101001010100</v>
      </c>
    </row>
    <row r="681" spans="2:2" x14ac:dyDescent="0.25">
      <c r="B681" s="4" t="str">
        <f>_xlfn.TEXTJOIN(,,'Truth Table'!B681:M681)</f>
        <v>011001010100</v>
      </c>
    </row>
    <row r="682" spans="2:2" x14ac:dyDescent="0.25">
      <c r="B682" s="4" t="str">
        <f>_xlfn.TEXTJOIN(,,'Truth Table'!B682:M682)</f>
        <v>111001010100</v>
      </c>
    </row>
    <row r="683" spans="2:2" x14ac:dyDescent="0.25">
      <c r="B683" s="4" t="str">
        <f>_xlfn.TEXTJOIN(,,'Truth Table'!B683:M683)</f>
        <v>000101010100</v>
      </c>
    </row>
    <row r="684" spans="2:2" x14ac:dyDescent="0.25">
      <c r="B684" s="4" t="str">
        <f>_xlfn.TEXTJOIN(,,'Truth Table'!B684:M684)</f>
        <v>100101010100</v>
      </c>
    </row>
    <row r="685" spans="2:2" x14ac:dyDescent="0.25">
      <c r="B685" s="4" t="str">
        <f>_xlfn.TEXTJOIN(,,'Truth Table'!B685:M685)</f>
        <v>010101010100</v>
      </c>
    </row>
    <row r="686" spans="2:2" x14ac:dyDescent="0.25">
      <c r="B686" s="4" t="str">
        <f>_xlfn.TEXTJOIN(,,'Truth Table'!B686:M686)</f>
        <v>110101010100</v>
      </c>
    </row>
    <row r="687" spans="2:2" x14ac:dyDescent="0.25">
      <c r="B687" s="4" t="str">
        <f>_xlfn.TEXTJOIN(,,'Truth Table'!B687:M687)</f>
        <v>001101010100</v>
      </c>
    </row>
    <row r="688" spans="2:2" x14ac:dyDescent="0.25">
      <c r="B688" s="4" t="str">
        <f>_xlfn.TEXTJOIN(,,'Truth Table'!B688:M688)</f>
        <v>101101010100</v>
      </c>
    </row>
    <row r="689" spans="2:2" x14ac:dyDescent="0.25">
      <c r="B689" s="4" t="str">
        <f>_xlfn.TEXTJOIN(,,'Truth Table'!B689:M689)</f>
        <v>011101010100</v>
      </c>
    </row>
    <row r="690" spans="2:2" x14ac:dyDescent="0.25">
      <c r="B690" s="4" t="str">
        <f>_xlfn.TEXTJOIN(,,'Truth Table'!B690:M690)</f>
        <v>111101010100</v>
      </c>
    </row>
    <row r="691" spans="2:2" x14ac:dyDescent="0.25">
      <c r="B691" s="4" t="str">
        <f>_xlfn.TEXTJOIN(,,'Truth Table'!B691:M691)</f>
        <v>000011010100</v>
      </c>
    </row>
    <row r="692" spans="2:2" x14ac:dyDescent="0.25">
      <c r="B692" s="4" t="str">
        <f>_xlfn.TEXTJOIN(,,'Truth Table'!B692:M692)</f>
        <v>100011010100</v>
      </c>
    </row>
    <row r="693" spans="2:2" x14ac:dyDescent="0.25">
      <c r="B693" s="4" t="str">
        <f>_xlfn.TEXTJOIN(,,'Truth Table'!B693:M693)</f>
        <v>010011010100</v>
      </c>
    </row>
    <row r="694" spans="2:2" x14ac:dyDescent="0.25">
      <c r="B694" s="4" t="str">
        <f>_xlfn.TEXTJOIN(,,'Truth Table'!B694:M694)</f>
        <v>110011010100</v>
      </c>
    </row>
    <row r="695" spans="2:2" x14ac:dyDescent="0.25">
      <c r="B695" s="4" t="str">
        <f>_xlfn.TEXTJOIN(,,'Truth Table'!B695:M695)</f>
        <v>001011010100</v>
      </c>
    </row>
    <row r="696" spans="2:2" x14ac:dyDescent="0.25">
      <c r="B696" s="4" t="str">
        <f>_xlfn.TEXTJOIN(,,'Truth Table'!B696:M696)</f>
        <v>101011010100</v>
      </c>
    </row>
    <row r="697" spans="2:2" x14ac:dyDescent="0.25">
      <c r="B697" s="4" t="str">
        <f>_xlfn.TEXTJOIN(,,'Truth Table'!B697:M697)</f>
        <v>011011010100</v>
      </c>
    </row>
    <row r="698" spans="2:2" x14ac:dyDescent="0.25">
      <c r="B698" s="4" t="str">
        <f>_xlfn.TEXTJOIN(,,'Truth Table'!B698:M698)</f>
        <v>111011010100</v>
      </c>
    </row>
    <row r="699" spans="2:2" x14ac:dyDescent="0.25">
      <c r="B699" s="4" t="str">
        <f>_xlfn.TEXTJOIN(,,'Truth Table'!B699:M699)</f>
        <v>000111010100</v>
      </c>
    </row>
    <row r="700" spans="2:2" x14ac:dyDescent="0.25">
      <c r="B700" s="4" t="str">
        <f>_xlfn.TEXTJOIN(,,'Truth Table'!B700:M700)</f>
        <v>100111010100</v>
      </c>
    </row>
    <row r="701" spans="2:2" x14ac:dyDescent="0.25">
      <c r="B701" s="4" t="str">
        <f>_xlfn.TEXTJOIN(,,'Truth Table'!B701:M701)</f>
        <v>010111010100</v>
      </c>
    </row>
    <row r="702" spans="2:2" x14ac:dyDescent="0.25">
      <c r="B702" s="4" t="str">
        <f>_xlfn.TEXTJOIN(,,'Truth Table'!B702:M702)</f>
        <v>110111010100</v>
      </c>
    </row>
    <row r="703" spans="2:2" x14ac:dyDescent="0.25">
      <c r="B703" s="4" t="str">
        <f>_xlfn.TEXTJOIN(,,'Truth Table'!B703:M703)</f>
        <v>001111010100</v>
      </c>
    </row>
    <row r="704" spans="2:2" x14ac:dyDescent="0.25">
      <c r="B704" s="4" t="str">
        <f>_xlfn.TEXTJOIN(,,'Truth Table'!B704:M704)</f>
        <v>101111010100</v>
      </c>
    </row>
    <row r="705" spans="2:2" x14ac:dyDescent="0.25">
      <c r="B705" s="4" t="str">
        <f>_xlfn.TEXTJOIN(,,'Truth Table'!B705:M705)</f>
        <v>011111010100</v>
      </c>
    </row>
    <row r="706" spans="2:2" x14ac:dyDescent="0.25">
      <c r="B706" s="4" t="str">
        <f>_xlfn.TEXTJOIN(,,'Truth Table'!B706:M706)</f>
        <v>111111010100</v>
      </c>
    </row>
    <row r="707" spans="2:2" x14ac:dyDescent="0.25">
      <c r="B707" s="4" t="str">
        <f>_xlfn.TEXTJOIN(,,'Truth Table'!B707:M707)</f>
        <v>000000110100</v>
      </c>
    </row>
    <row r="708" spans="2:2" x14ac:dyDescent="0.25">
      <c r="B708" s="4" t="str">
        <f>_xlfn.TEXTJOIN(,,'Truth Table'!B708:M708)</f>
        <v>100000110100</v>
      </c>
    </row>
    <row r="709" spans="2:2" x14ac:dyDescent="0.25">
      <c r="B709" s="4" t="str">
        <f>_xlfn.TEXTJOIN(,,'Truth Table'!B709:M709)</f>
        <v>010000110100</v>
      </c>
    </row>
    <row r="710" spans="2:2" x14ac:dyDescent="0.25">
      <c r="B710" s="4" t="str">
        <f>_xlfn.TEXTJOIN(,,'Truth Table'!B710:M710)</f>
        <v>110000110100</v>
      </c>
    </row>
    <row r="711" spans="2:2" x14ac:dyDescent="0.25">
      <c r="B711" s="4" t="str">
        <f>_xlfn.TEXTJOIN(,,'Truth Table'!B711:M711)</f>
        <v>001000110100</v>
      </c>
    </row>
    <row r="712" spans="2:2" x14ac:dyDescent="0.25">
      <c r="B712" s="4" t="str">
        <f>_xlfn.TEXTJOIN(,,'Truth Table'!B712:M712)</f>
        <v>101000110100</v>
      </c>
    </row>
    <row r="713" spans="2:2" x14ac:dyDescent="0.25">
      <c r="B713" s="4" t="str">
        <f>_xlfn.TEXTJOIN(,,'Truth Table'!B713:M713)</f>
        <v>011000110100</v>
      </c>
    </row>
    <row r="714" spans="2:2" x14ac:dyDescent="0.25">
      <c r="B714" s="4" t="str">
        <f>_xlfn.TEXTJOIN(,,'Truth Table'!B714:M714)</f>
        <v>111000110100</v>
      </c>
    </row>
    <row r="715" spans="2:2" x14ac:dyDescent="0.25">
      <c r="B715" s="4" t="str">
        <f>_xlfn.TEXTJOIN(,,'Truth Table'!B715:M715)</f>
        <v>000100110100</v>
      </c>
    </row>
    <row r="716" spans="2:2" x14ac:dyDescent="0.25">
      <c r="B716" s="4" t="str">
        <f>_xlfn.TEXTJOIN(,,'Truth Table'!B716:M716)</f>
        <v>100100110100</v>
      </c>
    </row>
    <row r="717" spans="2:2" x14ac:dyDescent="0.25">
      <c r="B717" s="4" t="str">
        <f>_xlfn.TEXTJOIN(,,'Truth Table'!B717:M717)</f>
        <v>010100110100</v>
      </c>
    </row>
    <row r="718" spans="2:2" x14ac:dyDescent="0.25">
      <c r="B718" s="4" t="str">
        <f>_xlfn.TEXTJOIN(,,'Truth Table'!B718:M718)</f>
        <v>110100110100</v>
      </c>
    </row>
    <row r="719" spans="2:2" x14ac:dyDescent="0.25">
      <c r="B719" s="4" t="str">
        <f>_xlfn.TEXTJOIN(,,'Truth Table'!B719:M719)</f>
        <v>001100110100</v>
      </c>
    </row>
    <row r="720" spans="2:2" x14ac:dyDescent="0.25">
      <c r="B720" s="4" t="str">
        <f>_xlfn.TEXTJOIN(,,'Truth Table'!B720:M720)</f>
        <v>101100110100</v>
      </c>
    </row>
    <row r="721" spans="2:2" x14ac:dyDescent="0.25">
      <c r="B721" s="4" t="str">
        <f>_xlfn.TEXTJOIN(,,'Truth Table'!B721:M721)</f>
        <v>011100110100</v>
      </c>
    </row>
    <row r="722" spans="2:2" x14ac:dyDescent="0.25">
      <c r="B722" s="4" t="str">
        <f>_xlfn.TEXTJOIN(,,'Truth Table'!B722:M722)</f>
        <v>111100110100</v>
      </c>
    </row>
    <row r="723" spans="2:2" x14ac:dyDescent="0.25">
      <c r="B723" s="4" t="str">
        <f>_xlfn.TEXTJOIN(,,'Truth Table'!B723:M723)</f>
        <v>000010110100</v>
      </c>
    </row>
    <row r="724" spans="2:2" x14ac:dyDescent="0.25">
      <c r="B724" s="4" t="str">
        <f>_xlfn.TEXTJOIN(,,'Truth Table'!B724:M724)</f>
        <v>100010110100</v>
      </c>
    </row>
    <row r="725" spans="2:2" x14ac:dyDescent="0.25">
      <c r="B725" s="4" t="str">
        <f>_xlfn.TEXTJOIN(,,'Truth Table'!B725:M725)</f>
        <v>010010110100</v>
      </c>
    </row>
    <row r="726" spans="2:2" x14ac:dyDescent="0.25">
      <c r="B726" s="4" t="str">
        <f>_xlfn.TEXTJOIN(,,'Truth Table'!B726:M726)</f>
        <v>110010110100</v>
      </c>
    </row>
    <row r="727" spans="2:2" x14ac:dyDescent="0.25">
      <c r="B727" s="4" t="str">
        <f>_xlfn.TEXTJOIN(,,'Truth Table'!B727:M727)</f>
        <v>001010110100</v>
      </c>
    </row>
    <row r="728" spans="2:2" x14ac:dyDescent="0.25">
      <c r="B728" s="4" t="str">
        <f>_xlfn.TEXTJOIN(,,'Truth Table'!B728:M728)</f>
        <v>101010110100</v>
      </c>
    </row>
    <row r="729" spans="2:2" x14ac:dyDescent="0.25">
      <c r="B729" s="4" t="str">
        <f>_xlfn.TEXTJOIN(,,'Truth Table'!B729:M729)</f>
        <v>011010110100</v>
      </c>
    </row>
    <row r="730" spans="2:2" x14ac:dyDescent="0.25">
      <c r="B730" s="4" t="str">
        <f>_xlfn.TEXTJOIN(,,'Truth Table'!B730:M730)</f>
        <v>111010110100</v>
      </c>
    </row>
    <row r="731" spans="2:2" x14ac:dyDescent="0.25">
      <c r="B731" s="4" t="str">
        <f>_xlfn.TEXTJOIN(,,'Truth Table'!B731:M731)</f>
        <v>000110110100</v>
      </c>
    </row>
    <row r="732" spans="2:2" x14ac:dyDescent="0.25">
      <c r="B732" s="4" t="str">
        <f>_xlfn.TEXTJOIN(,,'Truth Table'!B732:M732)</f>
        <v>100110110100</v>
      </c>
    </row>
    <row r="733" spans="2:2" x14ac:dyDescent="0.25">
      <c r="B733" s="4" t="str">
        <f>_xlfn.TEXTJOIN(,,'Truth Table'!B733:M733)</f>
        <v>010110110100</v>
      </c>
    </row>
    <row r="734" spans="2:2" x14ac:dyDescent="0.25">
      <c r="B734" s="4" t="str">
        <f>_xlfn.TEXTJOIN(,,'Truth Table'!B734:M734)</f>
        <v>110110110100</v>
      </c>
    </row>
    <row r="735" spans="2:2" x14ac:dyDescent="0.25">
      <c r="B735" s="4" t="str">
        <f>_xlfn.TEXTJOIN(,,'Truth Table'!B735:M735)</f>
        <v>001110110100</v>
      </c>
    </row>
    <row r="736" spans="2:2" x14ac:dyDescent="0.25">
      <c r="B736" s="4" t="str">
        <f>_xlfn.TEXTJOIN(,,'Truth Table'!B736:M736)</f>
        <v>101110110100</v>
      </c>
    </row>
    <row r="737" spans="2:2" x14ac:dyDescent="0.25">
      <c r="B737" s="4" t="str">
        <f>_xlfn.TEXTJOIN(,,'Truth Table'!B737:M737)</f>
        <v>011110110100</v>
      </c>
    </row>
    <row r="738" spans="2:2" x14ac:dyDescent="0.25">
      <c r="B738" s="4" t="str">
        <f>_xlfn.TEXTJOIN(,,'Truth Table'!B738:M738)</f>
        <v>111110110100</v>
      </c>
    </row>
    <row r="739" spans="2:2" x14ac:dyDescent="0.25">
      <c r="B739" s="4" t="str">
        <f>_xlfn.TEXTJOIN(,,'Truth Table'!B739:M739)</f>
        <v>000001110100</v>
      </c>
    </row>
    <row r="740" spans="2:2" x14ac:dyDescent="0.25">
      <c r="B740" s="4" t="str">
        <f>_xlfn.TEXTJOIN(,,'Truth Table'!B740:M740)</f>
        <v>100001110100</v>
      </c>
    </row>
    <row r="741" spans="2:2" x14ac:dyDescent="0.25">
      <c r="B741" s="4" t="str">
        <f>_xlfn.TEXTJOIN(,,'Truth Table'!B741:M741)</f>
        <v>010001110100</v>
      </c>
    </row>
    <row r="742" spans="2:2" x14ac:dyDescent="0.25">
      <c r="B742" s="4" t="str">
        <f>_xlfn.TEXTJOIN(,,'Truth Table'!B742:M742)</f>
        <v>110001110100</v>
      </c>
    </row>
    <row r="743" spans="2:2" x14ac:dyDescent="0.25">
      <c r="B743" s="4" t="str">
        <f>_xlfn.TEXTJOIN(,,'Truth Table'!B743:M743)</f>
        <v>001001110100</v>
      </c>
    </row>
    <row r="744" spans="2:2" x14ac:dyDescent="0.25">
      <c r="B744" s="4" t="str">
        <f>_xlfn.TEXTJOIN(,,'Truth Table'!B744:M744)</f>
        <v>101001110100</v>
      </c>
    </row>
    <row r="745" spans="2:2" x14ac:dyDescent="0.25">
      <c r="B745" s="4" t="str">
        <f>_xlfn.TEXTJOIN(,,'Truth Table'!B745:M745)</f>
        <v>011001110100</v>
      </c>
    </row>
    <row r="746" spans="2:2" x14ac:dyDescent="0.25">
      <c r="B746" s="4" t="str">
        <f>_xlfn.TEXTJOIN(,,'Truth Table'!B746:M746)</f>
        <v>111001110100</v>
      </c>
    </row>
    <row r="747" spans="2:2" x14ac:dyDescent="0.25">
      <c r="B747" s="4" t="str">
        <f>_xlfn.TEXTJOIN(,,'Truth Table'!B747:M747)</f>
        <v>000101110100</v>
      </c>
    </row>
    <row r="748" spans="2:2" x14ac:dyDescent="0.25">
      <c r="B748" s="4" t="str">
        <f>_xlfn.TEXTJOIN(,,'Truth Table'!B748:M748)</f>
        <v>100101110100</v>
      </c>
    </row>
    <row r="749" spans="2:2" x14ac:dyDescent="0.25">
      <c r="B749" s="4" t="str">
        <f>_xlfn.TEXTJOIN(,,'Truth Table'!B749:M749)</f>
        <v>010101110100</v>
      </c>
    </row>
    <row r="750" spans="2:2" x14ac:dyDescent="0.25">
      <c r="B750" s="4" t="str">
        <f>_xlfn.TEXTJOIN(,,'Truth Table'!B750:M750)</f>
        <v>110101110100</v>
      </c>
    </row>
    <row r="751" spans="2:2" x14ac:dyDescent="0.25">
      <c r="B751" s="4" t="str">
        <f>_xlfn.TEXTJOIN(,,'Truth Table'!B751:M751)</f>
        <v>001101110100</v>
      </c>
    </row>
    <row r="752" spans="2:2" x14ac:dyDescent="0.25">
      <c r="B752" s="4" t="str">
        <f>_xlfn.TEXTJOIN(,,'Truth Table'!B752:M752)</f>
        <v>101101110100</v>
      </c>
    </row>
    <row r="753" spans="2:2" x14ac:dyDescent="0.25">
      <c r="B753" s="4" t="str">
        <f>_xlfn.TEXTJOIN(,,'Truth Table'!B753:M753)</f>
        <v>011101110100</v>
      </c>
    </row>
    <row r="754" spans="2:2" x14ac:dyDescent="0.25">
      <c r="B754" s="4" t="str">
        <f>_xlfn.TEXTJOIN(,,'Truth Table'!B754:M754)</f>
        <v>111101110100</v>
      </c>
    </row>
    <row r="755" spans="2:2" x14ac:dyDescent="0.25">
      <c r="B755" s="4" t="str">
        <f>_xlfn.TEXTJOIN(,,'Truth Table'!B755:M755)</f>
        <v>000011110100</v>
      </c>
    </row>
    <row r="756" spans="2:2" x14ac:dyDescent="0.25">
      <c r="B756" s="4" t="str">
        <f>_xlfn.TEXTJOIN(,,'Truth Table'!B756:M756)</f>
        <v>100011110100</v>
      </c>
    </row>
    <row r="757" spans="2:2" x14ac:dyDescent="0.25">
      <c r="B757" s="4" t="str">
        <f>_xlfn.TEXTJOIN(,,'Truth Table'!B757:M757)</f>
        <v>010011110100</v>
      </c>
    </row>
    <row r="758" spans="2:2" x14ac:dyDescent="0.25">
      <c r="B758" s="4" t="str">
        <f>_xlfn.TEXTJOIN(,,'Truth Table'!B758:M758)</f>
        <v>110011110100</v>
      </c>
    </row>
    <row r="759" spans="2:2" x14ac:dyDescent="0.25">
      <c r="B759" s="4" t="str">
        <f>_xlfn.TEXTJOIN(,,'Truth Table'!B759:M759)</f>
        <v>001011110100</v>
      </c>
    </row>
    <row r="760" spans="2:2" x14ac:dyDescent="0.25">
      <c r="B760" s="4" t="str">
        <f>_xlfn.TEXTJOIN(,,'Truth Table'!B760:M760)</f>
        <v>101011110100</v>
      </c>
    </row>
    <row r="761" spans="2:2" x14ac:dyDescent="0.25">
      <c r="B761" s="4" t="str">
        <f>_xlfn.TEXTJOIN(,,'Truth Table'!B761:M761)</f>
        <v>011011110100</v>
      </c>
    </row>
    <row r="762" spans="2:2" x14ac:dyDescent="0.25">
      <c r="B762" s="4" t="str">
        <f>_xlfn.TEXTJOIN(,,'Truth Table'!B762:M762)</f>
        <v>111011110100</v>
      </c>
    </row>
    <row r="763" spans="2:2" x14ac:dyDescent="0.25">
      <c r="B763" s="4" t="str">
        <f>_xlfn.TEXTJOIN(,,'Truth Table'!B763:M763)</f>
        <v>000111110100</v>
      </c>
    </row>
    <row r="764" spans="2:2" x14ac:dyDescent="0.25">
      <c r="B764" s="4" t="str">
        <f>_xlfn.TEXTJOIN(,,'Truth Table'!B764:M764)</f>
        <v>100111110100</v>
      </c>
    </row>
    <row r="765" spans="2:2" x14ac:dyDescent="0.25">
      <c r="B765" s="4" t="str">
        <f>_xlfn.TEXTJOIN(,,'Truth Table'!B765:M765)</f>
        <v>010111110100</v>
      </c>
    </row>
    <row r="766" spans="2:2" x14ac:dyDescent="0.25">
      <c r="B766" s="4" t="str">
        <f>_xlfn.TEXTJOIN(,,'Truth Table'!B766:M766)</f>
        <v>110111110100</v>
      </c>
    </row>
    <row r="767" spans="2:2" x14ac:dyDescent="0.25">
      <c r="B767" s="4" t="str">
        <f>_xlfn.TEXTJOIN(,,'Truth Table'!B767:M767)</f>
        <v>001111110100</v>
      </c>
    </row>
    <row r="768" spans="2:2" x14ac:dyDescent="0.25">
      <c r="B768" s="4" t="str">
        <f>_xlfn.TEXTJOIN(,,'Truth Table'!B768:M768)</f>
        <v>101111110100</v>
      </c>
    </row>
    <row r="769" spans="2:2" x14ac:dyDescent="0.25">
      <c r="B769" s="4" t="str">
        <f>_xlfn.TEXTJOIN(,,'Truth Table'!B769:M769)</f>
        <v>011111110100</v>
      </c>
    </row>
    <row r="770" spans="2:2" x14ac:dyDescent="0.25">
      <c r="B770" s="4" t="str">
        <f>_xlfn.TEXTJOIN(,,'Truth Table'!B770:M770)</f>
        <v>111111110100</v>
      </c>
    </row>
    <row r="771" spans="2:2" x14ac:dyDescent="0.25">
      <c r="B771" s="4" t="str">
        <f>_xlfn.TEXTJOIN(,,'Truth Table'!B771:M771)</f>
        <v>000000001100</v>
      </c>
    </row>
    <row r="772" spans="2:2" x14ac:dyDescent="0.25">
      <c r="B772" s="4" t="str">
        <f>_xlfn.TEXTJOIN(,,'Truth Table'!B772:M772)</f>
        <v>100000001100</v>
      </c>
    </row>
    <row r="773" spans="2:2" x14ac:dyDescent="0.25">
      <c r="B773" s="4" t="str">
        <f>_xlfn.TEXTJOIN(,,'Truth Table'!B773:M773)</f>
        <v>010000001100</v>
      </c>
    </row>
    <row r="774" spans="2:2" x14ac:dyDescent="0.25">
      <c r="B774" s="4" t="str">
        <f>_xlfn.TEXTJOIN(,,'Truth Table'!B774:M774)</f>
        <v>110000001100</v>
      </c>
    </row>
    <row r="775" spans="2:2" x14ac:dyDescent="0.25">
      <c r="B775" s="4" t="str">
        <f>_xlfn.TEXTJOIN(,,'Truth Table'!B775:M775)</f>
        <v>001000001100</v>
      </c>
    </row>
    <row r="776" spans="2:2" x14ac:dyDescent="0.25">
      <c r="B776" s="4" t="str">
        <f>_xlfn.TEXTJOIN(,,'Truth Table'!B776:M776)</f>
        <v>101000001100</v>
      </c>
    </row>
    <row r="777" spans="2:2" x14ac:dyDescent="0.25">
      <c r="B777" s="4" t="str">
        <f>_xlfn.TEXTJOIN(,,'Truth Table'!B777:M777)</f>
        <v>011000001100</v>
      </c>
    </row>
    <row r="778" spans="2:2" x14ac:dyDescent="0.25">
      <c r="B778" s="4" t="str">
        <f>_xlfn.TEXTJOIN(,,'Truth Table'!B778:M778)</f>
        <v>111000001100</v>
      </c>
    </row>
    <row r="779" spans="2:2" x14ac:dyDescent="0.25">
      <c r="B779" s="4" t="str">
        <f>_xlfn.TEXTJOIN(,,'Truth Table'!B779:M779)</f>
        <v>000100001100</v>
      </c>
    </row>
    <row r="780" spans="2:2" x14ac:dyDescent="0.25">
      <c r="B780" s="4" t="str">
        <f>_xlfn.TEXTJOIN(,,'Truth Table'!B780:M780)</f>
        <v>100100001100</v>
      </c>
    </row>
    <row r="781" spans="2:2" x14ac:dyDescent="0.25">
      <c r="B781" s="4" t="str">
        <f>_xlfn.TEXTJOIN(,,'Truth Table'!B781:M781)</f>
        <v>010100001100</v>
      </c>
    </row>
    <row r="782" spans="2:2" x14ac:dyDescent="0.25">
      <c r="B782" s="4" t="str">
        <f>_xlfn.TEXTJOIN(,,'Truth Table'!B782:M782)</f>
        <v>110100001100</v>
      </c>
    </row>
    <row r="783" spans="2:2" x14ac:dyDescent="0.25">
      <c r="B783" s="4" t="str">
        <f>_xlfn.TEXTJOIN(,,'Truth Table'!B783:M783)</f>
        <v>001100001100</v>
      </c>
    </row>
    <row r="784" spans="2:2" x14ac:dyDescent="0.25">
      <c r="B784" s="4" t="str">
        <f>_xlfn.TEXTJOIN(,,'Truth Table'!B784:M784)</f>
        <v>101100001100</v>
      </c>
    </row>
    <row r="785" spans="2:2" x14ac:dyDescent="0.25">
      <c r="B785" s="4" t="str">
        <f>_xlfn.TEXTJOIN(,,'Truth Table'!B785:M785)</f>
        <v>011100001100</v>
      </c>
    </row>
    <row r="786" spans="2:2" x14ac:dyDescent="0.25">
      <c r="B786" s="4" t="str">
        <f>_xlfn.TEXTJOIN(,,'Truth Table'!B786:M786)</f>
        <v>111100001100</v>
      </c>
    </row>
    <row r="787" spans="2:2" x14ac:dyDescent="0.25">
      <c r="B787" s="4" t="str">
        <f>_xlfn.TEXTJOIN(,,'Truth Table'!B787:M787)</f>
        <v>000010001100</v>
      </c>
    </row>
    <row r="788" spans="2:2" x14ac:dyDescent="0.25">
      <c r="B788" s="4" t="str">
        <f>_xlfn.TEXTJOIN(,,'Truth Table'!B788:M788)</f>
        <v>100010001100</v>
      </c>
    </row>
    <row r="789" spans="2:2" x14ac:dyDescent="0.25">
      <c r="B789" s="4" t="str">
        <f>_xlfn.TEXTJOIN(,,'Truth Table'!B789:M789)</f>
        <v>010010001100</v>
      </c>
    </row>
    <row r="790" spans="2:2" x14ac:dyDescent="0.25">
      <c r="B790" s="4" t="str">
        <f>_xlfn.TEXTJOIN(,,'Truth Table'!B790:M790)</f>
        <v>110010001100</v>
      </c>
    </row>
    <row r="791" spans="2:2" x14ac:dyDescent="0.25">
      <c r="B791" s="4" t="str">
        <f>_xlfn.TEXTJOIN(,,'Truth Table'!B791:M791)</f>
        <v>001010001100</v>
      </c>
    </row>
    <row r="792" spans="2:2" x14ac:dyDescent="0.25">
      <c r="B792" s="4" t="str">
        <f>_xlfn.TEXTJOIN(,,'Truth Table'!B792:M792)</f>
        <v>101010001100</v>
      </c>
    </row>
    <row r="793" spans="2:2" x14ac:dyDescent="0.25">
      <c r="B793" s="4" t="str">
        <f>_xlfn.TEXTJOIN(,,'Truth Table'!B793:M793)</f>
        <v>011010001100</v>
      </c>
    </row>
    <row r="794" spans="2:2" x14ac:dyDescent="0.25">
      <c r="B794" s="4" t="str">
        <f>_xlfn.TEXTJOIN(,,'Truth Table'!B794:M794)</f>
        <v>111010001100</v>
      </c>
    </row>
    <row r="795" spans="2:2" x14ac:dyDescent="0.25">
      <c r="B795" s="4" t="str">
        <f>_xlfn.TEXTJOIN(,,'Truth Table'!B795:M795)</f>
        <v>000110001100</v>
      </c>
    </row>
    <row r="796" spans="2:2" x14ac:dyDescent="0.25">
      <c r="B796" s="4" t="str">
        <f>_xlfn.TEXTJOIN(,,'Truth Table'!B796:M796)</f>
        <v>100110001100</v>
      </c>
    </row>
    <row r="797" spans="2:2" x14ac:dyDescent="0.25">
      <c r="B797" s="4" t="str">
        <f>_xlfn.TEXTJOIN(,,'Truth Table'!B797:M797)</f>
        <v>010110001100</v>
      </c>
    </row>
    <row r="798" spans="2:2" x14ac:dyDescent="0.25">
      <c r="B798" s="4" t="str">
        <f>_xlfn.TEXTJOIN(,,'Truth Table'!B798:M798)</f>
        <v>110110001100</v>
      </c>
    </row>
    <row r="799" spans="2:2" x14ac:dyDescent="0.25">
      <c r="B799" s="4" t="str">
        <f>_xlfn.TEXTJOIN(,,'Truth Table'!B799:M799)</f>
        <v>001110001100</v>
      </c>
    </row>
    <row r="800" spans="2:2" x14ac:dyDescent="0.25">
      <c r="B800" s="4" t="str">
        <f>_xlfn.TEXTJOIN(,,'Truth Table'!B800:M800)</f>
        <v>101110001100</v>
      </c>
    </row>
    <row r="801" spans="2:2" x14ac:dyDescent="0.25">
      <c r="B801" s="4" t="str">
        <f>_xlfn.TEXTJOIN(,,'Truth Table'!B801:M801)</f>
        <v>011110001100</v>
      </c>
    </row>
    <row r="802" spans="2:2" x14ac:dyDescent="0.25">
      <c r="B802" s="4" t="str">
        <f>_xlfn.TEXTJOIN(,,'Truth Table'!B802:M802)</f>
        <v>111110001100</v>
      </c>
    </row>
    <row r="803" spans="2:2" x14ac:dyDescent="0.25">
      <c r="B803" s="4" t="str">
        <f>_xlfn.TEXTJOIN(,,'Truth Table'!B803:M803)</f>
        <v>000001001100</v>
      </c>
    </row>
    <row r="804" spans="2:2" x14ac:dyDescent="0.25">
      <c r="B804" s="4" t="str">
        <f>_xlfn.TEXTJOIN(,,'Truth Table'!B804:M804)</f>
        <v>100001001100</v>
      </c>
    </row>
    <row r="805" spans="2:2" x14ac:dyDescent="0.25">
      <c r="B805" s="4" t="str">
        <f>_xlfn.TEXTJOIN(,,'Truth Table'!B805:M805)</f>
        <v>010001001100</v>
      </c>
    </row>
    <row r="806" spans="2:2" x14ac:dyDescent="0.25">
      <c r="B806" s="4" t="str">
        <f>_xlfn.TEXTJOIN(,,'Truth Table'!B806:M806)</f>
        <v>110001001100</v>
      </c>
    </row>
    <row r="807" spans="2:2" x14ac:dyDescent="0.25">
      <c r="B807" s="4" t="str">
        <f>_xlfn.TEXTJOIN(,,'Truth Table'!B807:M807)</f>
        <v>001001001100</v>
      </c>
    </row>
    <row r="808" spans="2:2" x14ac:dyDescent="0.25">
      <c r="B808" s="4" t="str">
        <f>_xlfn.TEXTJOIN(,,'Truth Table'!B808:M808)</f>
        <v>101001001100</v>
      </c>
    </row>
    <row r="809" spans="2:2" x14ac:dyDescent="0.25">
      <c r="B809" s="4" t="str">
        <f>_xlfn.TEXTJOIN(,,'Truth Table'!B809:M809)</f>
        <v>011001001100</v>
      </c>
    </row>
    <row r="810" spans="2:2" x14ac:dyDescent="0.25">
      <c r="B810" s="4" t="str">
        <f>_xlfn.TEXTJOIN(,,'Truth Table'!B810:M810)</f>
        <v>111001001100</v>
      </c>
    </row>
    <row r="811" spans="2:2" x14ac:dyDescent="0.25">
      <c r="B811" s="4" t="str">
        <f>_xlfn.TEXTJOIN(,,'Truth Table'!B811:M811)</f>
        <v>000101001100</v>
      </c>
    </row>
    <row r="812" spans="2:2" x14ac:dyDescent="0.25">
      <c r="B812" s="4" t="str">
        <f>_xlfn.TEXTJOIN(,,'Truth Table'!B812:M812)</f>
        <v>100101001100</v>
      </c>
    </row>
    <row r="813" spans="2:2" x14ac:dyDescent="0.25">
      <c r="B813" s="4" t="str">
        <f>_xlfn.TEXTJOIN(,,'Truth Table'!B813:M813)</f>
        <v>010101001100</v>
      </c>
    </row>
    <row r="814" spans="2:2" x14ac:dyDescent="0.25">
      <c r="B814" s="4" t="str">
        <f>_xlfn.TEXTJOIN(,,'Truth Table'!B814:M814)</f>
        <v>110101001100</v>
      </c>
    </row>
    <row r="815" spans="2:2" x14ac:dyDescent="0.25">
      <c r="B815" s="4" t="str">
        <f>_xlfn.TEXTJOIN(,,'Truth Table'!B815:M815)</f>
        <v>001101001100</v>
      </c>
    </row>
    <row r="816" spans="2:2" x14ac:dyDescent="0.25">
      <c r="B816" s="4" t="str">
        <f>_xlfn.TEXTJOIN(,,'Truth Table'!B816:M816)</f>
        <v>101101001100</v>
      </c>
    </row>
    <row r="817" spans="2:2" x14ac:dyDescent="0.25">
      <c r="B817" s="4" t="str">
        <f>_xlfn.TEXTJOIN(,,'Truth Table'!B817:M817)</f>
        <v>011101001100</v>
      </c>
    </row>
    <row r="818" spans="2:2" x14ac:dyDescent="0.25">
      <c r="B818" s="4" t="str">
        <f>_xlfn.TEXTJOIN(,,'Truth Table'!B818:M818)</f>
        <v>111101001100</v>
      </c>
    </row>
    <row r="819" spans="2:2" x14ac:dyDescent="0.25">
      <c r="B819" s="4" t="str">
        <f>_xlfn.TEXTJOIN(,,'Truth Table'!B819:M819)</f>
        <v>000011001100</v>
      </c>
    </row>
    <row r="820" spans="2:2" x14ac:dyDescent="0.25">
      <c r="B820" s="4" t="str">
        <f>_xlfn.TEXTJOIN(,,'Truth Table'!B820:M820)</f>
        <v>100011001100</v>
      </c>
    </row>
    <row r="821" spans="2:2" x14ac:dyDescent="0.25">
      <c r="B821" s="4" t="str">
        <f>_xlfn.TEXTJOIN(,,'Truth Table'!B821:M821)</f>
        <v>010011001100</v>
      </c>
    </row>
    <row r="822" spans="2:2" x14ac:dyDescent="0.25">
      <c r="B822" s="4" t="str">
        <f>_xlfn.TEXTJOIN(,,'Truth Table'!B822:M822)</f>
        <v>110011001100</v>
      </c>
    </row>
    <row r="823" spans="2:2" x14ac:dyDescent="0.25">
      <c r="B823" s="4" t="str">
        <f>_xlfn.TEXTJOIN(,,'Truth Table'!B823:M823)</f>
        <v>001011001100</v>
      </c>
    </row>
    <row r="824" spans="2:2" x14ac:dyDescent="0.25">
      <c r="B824" s="4" t="str">
        <f>_xlfn.TEXTJOIN(,,'Truth Table'!B824:M824)</f>
        <v>101011001100</v>
      </c>
    </row>
    <row r="825" spans="2:2" x14ac:dyDescent="0.25">
      <c r="B825" s="4" t="str">
        <f>_xlfn.TEXTJOIN(,,'Truth Table'!B825:M825)</f>
        <v>011011001100</v>
      </c>
    </row>
    <row r="826" spans="2:2" x14ac:dyDescent="0.25">
      <c r="B826" s="4" t="str">
        <f>_xlfn.TEXTJOIN(,,'Truth Table'!B826:M826)</f>
        <v>111011001100</v>
      </c>
    </row>
    <row r="827" spans="2:2" x14ac:dyDescent="0.25">
      <c r="B827" s="4" t="str">
        <f>_xlfn.TEXTJOIN(,,'Truth Table'!B827:M827)</f>
        <v>000111001100</v>
      </c>
    </row>
    <row r="828" spans="2:2" x14ac:dyDescent="0.25">
      <c r="B828" s="4" t="str">
        <f>_xlfn.TEXTJOIN(,,'Truth Table'!B828:M828)</f>
        <v>100111001100</v>
      </c>
    </row>
    <row r="829" spans="2:2" x14ac:dyDescent="0.25">
      <c r="B829" s="4" t="str">
        <f>_xlfn.TEXTJOIN(,,'Truth Table'!B829:M829)</f>
        <v>010111001100</v>
      </c>
    </row>
    <row r="830" spans="2:2" x14ac:dyDescent="0.25">
      <c r="B830" s="4" t="str">
        <f>_xlfn.TEXTJOIN(,,'Truth Table'!B830:M830)</f>
        <v>110111001100</v>
      </c>
    </row>
    <row r="831" spans="2:2" x14ac:dyDescent="0.25">
      <c r="B831" s="4" t="str">
        <f>_xlfn.TEXTJOIN(,,'Truth Table'!B831:M831)</f>
        <v>001111001100</v>
      </c>
    </row>
    <row r="832" spans="2:2" x14ac:dyDescent="0.25">
      <c r="B832" s="4" t="str">
        <f>_xlfn.TEXTJOIN(,,'Truth Table'!B832:M832)</f>
        <v>101111001100</v>
      </c>
    </row>
    <row r="833" spans="2:2" x14ac:dyDescent="0.25">
      <c r="B833" s="4" t="str">
        <f>_xlfn.TEXTJOIN(,,'Truth Table'!B833:M833)</f>
        <v>011111001100</v>
      </c>
    </row>
    <row r="834" spans="2:2" x14ac:dyDescent="0.25">
      <c r="B834" s="4" t="str">
        <f>_xlfn.TEXTJOIN(,,'Truth Table'!B834:M834)</f>
        <v>111111001100</v>
      </c>
    </row>
    <row r="835" spans="2:2" x14ac:dyDescent="0.25">
      <c r="B835" s="4" t="str">
        <f>_xlfn.TEXTJOIN(,,'Truth Table'!B835:M835)</f>
        <v>000000101100</v>
      </c>
    </row>
    <row r="836" spans="2:2" x14ac:dyDescent="0.25">
      <c r="B836" s="4" t="str">
        <f>_xlfn.TEXTJOIN(,,'Truth Table'!B836:M836)</f>
        <v>100000101100</v>
      </c>
    </row>
    <row r="837" spans="2:2" x14ac:dyDescent="0.25">
      <c r="B837" s="4" t="str">
        <f>_xlfn.TEXTJOIN(,,'Truth Table'!B837:M837)</f>
        <v>010000101100</v>
      </c>
    </row>
    <row r="838" spans="2:2" x14ac:dyDescent="0.25">
      <c r="B838" s="4" t="str">
        <f>_xlfn.TEXTJOIN(,,'Truth Table'!B838:M838)</f>
        <v>110000101100</v>
      </c>
    </row>
    <row r="839" spans="2:2" x14ac:dyDescent="0.25">
      <c r="B839" s="4" t="str">
        <f>_xlfn.TEXTJOIN(,,'Truth Table'!B839:M839)</f>
        <v>001000101100</v>
      </c>
    </row>
    <row r="840" spans="2:2" x14ac:dyDescent="0.25">
      <c r="B840" s="4" t="str">
        <f>_xlfn.TEXTJOIN(,,'Truth Table'!B840:M840)</f>
        <v>101000101100</v>
      </c>
    </row>
    <row r="841" spans="2:2" x14ac:dyDescent="0.25">
      <c r="B841" s="4" t="str">
        <f>_xlfn.TEXTJOIN(,,'Truth Table'!B841:M841)</f>
        <v>011000101100</v>
      </c>
    </row>
    <row r="842" spans="2:2" x14ac:dyDescent="0.25">
      <c r="B842" s="4" t="str">
        <f>_xlfn.TEXTJOIN(,,'Truth Table'!B842:M842)</f>
        <v>111000101100</v>
      </c>
    </row>
    <row r="843" spans="2:2" x14ac:dyDescent="0.25">
      <c r="B843" s="4" t="str">
        <f>_xlfn.TEXTJOIN(,,'Truth Table'!B843:M843)</f>
        <v>000100101100</v>
      </c>
    </row>
    <row r="844" spans="2:2" x14ac:dyDescent="0.25">
      <c r="B844" s="4" t="str">
        <f>_xlfn.TEXTJOIN(,,'Truth Table'!B844:M844)</f>
        <v>100100101100</v>
      </c>
    </row>
    <row r="845" spans="2:2" x14ac:dyDescent="0.25">
      <c r="B845" s="4" t="str">
        <f>_xlfn.TEXTJOIN(,,'Truth Table'!B845:M845)</f>
        <v>010100101100</v>
      </c>
    </row>
    <row r="846" spans="2:2" x14ac:dyDescent="0.25">
      <c r="B846" s="4" t="str">
        <f>_xlfn.TEXTJOIN(,,'Truth Table'!B846:M846)</f>
        <v>110100101100</v>
      </c>
    </row>
    <row r="847" spans="2:2" x14ac:dyDescent="0.25">
      <c r="B847" s="4" t="str">
        <f>_xlfn.TEXTJOIN(,,'Truth Table'!B847:M847)</f>
        <v>001100101100</v>
      </c>
    </row>
    <row r="848" spans="2:2" x14ac:dyDescent="0.25">
      <c r="B848" s="4" t="str">
        <f>_xlfn.TEXTJOIN(,,'Truth Table'!B848:M848)</f>
        <v>101100101100</v>
      </c>
    </row>
    <row r="849" spans="2:2" x14ac:dyDescent="0.25">
      <c r="B849" s="4" t="str">
        <f>_xlfn.TEXTJOIN(,,'Truth Table'!B849:M849)</f>
        <v>011100101100</v>
      </c>
    </row>
    <row r="850" spans="2:2" x14ac:dyDescent="0.25">
      <c r="B850" s="4" t="str">
        <f>_xlfn.TEXTJOIN(,,'Truth Table'!B850:M850)</f>
        <v>111100101100</v>
      </c>
    </row>
    <row r="851" spans="2:2" x14ac:dyDescent="0.25">
      <c r="B851" s="4" t="str">
        <f>_xlfn.TEXTJOIN(,,'Truth Table'!B851:M851)</f>
        <v>000010101100</v>
      </c>
    </row>
    <row r="852" spans="2:2" x14ac:dyDescent="0.25">
      <c r="B852" s="4" t="str">
        <f>_xlfn.TEXTJOIN(,,'Truth Table'!B852:M852)</f>
        <v>100010101100</v>
      </c>
    </row>
    <row r="853" spans="2:2" x14ac:dyDescent="0.25">
      <c r="B853" s="4" t="str">
        <f>_xlfn.TEXTJOIN(,,'Truth Table'!B853:M853)</f>
        <v>010010101100</v>
      </c>
    </row>
    <row r="854" spans="2:2" x14ac:dyDescent="0.25">
      <c r="B854" s="4" t="str">
        <f>_xlfn.TEXTJOIN(,,'Truth Table'!B854:M854)</f>
        <v>110010101100</v>
      </c>
    </row>
    <row r="855" spans="2:2" x14ac:dyDescent="0.25">
      <c r="B855" s="4" t="str">
        <f>_xlfn.TEXTJOIN(,,'Truth Table'!B855:M855)</f>
        <v>001010101100</v>
      </c>
    </row>
    <row r="856" spans="2:2" x14ac:dyDescent="0.25">
      <c r="B856" s="4" t="str">
        <f>_xlfn.TEXTJOIN(,,'Truth Table'!B856:M856)</f>
        <v>101010101100</v>
      </c>
    </row>
    <row r="857" spans="2:2" x14ac:dyDescent="0.25">
      <c r="B857" s="4" t="str">
        <f>_xlfn.TEXTJOIN(,,'Truth Table'!B857:M857)</f>
        <v>011010101100</v>
      </c>
    </row>
    <row r="858" spans="2:2" x14ac:dyDescent="0.25">
      <c r="B858" s="4" t="str">
        <f>_xlfn.TEXTJOIN(,,'Truth Table'!B858:M858)</f>
        <v>111010101100</v>
      </c>
    </row>
    <row r="859" spans="2:2" x14ac:dyDescent="0.25">
      <c r="B859" s="4" t="str">
        <f>_xlfn.TEXTJOIN(,,'Truth Table'!B859:M859)</f>
        <v>000110101100</v>
      </c>
    </row>
    <row r="860" spans="2:2" x14ac:dyDescent="0.25">
      <c r="B860" s="4" t="str">
        <f>_xlfn.TEXTJOIN(,,'Truth Table'!B860:M860)</f>
        <v>100110101100</v>
      </c>
    </row>
    <row r="861" spans="2:2" x14ac:dyDescent="0.25">
      <c r="B861" s="4" t="str">
        <f>_xlfn.TEXTJOIN(,,'Truth Table'!B861:M861)</f>
        <v>010110101100</v>
      </c>
    </row>
    <row r="862" spans="2:2" x14ac:dyDescent="0.25">
      <c r="B862" s="4" t="str">
        <f>_xlfn.TEXTJOIN(,,'Truth Table'!B862:M862)</f>
        <v>110110101100</v>
      </c>
    </row>
    <row r="863" spans="2:2" x14ac:dyDescent="0.25">
      <c r="B863" s="4" t="str">
        <f>_xlfn.TEXTJOIN(,,'Truth Table'!B863:M863)</f>
        <v>001110101100</v>
      </c>
    </row>
    <row r="864" spans="2:2" x14ac:dyDescent="0.25">
      <c r="B864" s="4" t="str">
        <f>_xlfn.TEXTJOIN(,,'Truth Table'!B864:M864)</f>
        <v>101110101100</v>
      </c>
    </row>
    <row r="865" spans="2:2" x14ac:dyDescent="0.25">
      <c r="B865" s="4" t="str">
        <f>_xlfn.TEXTJOIN(,,'Truth Table'!B865:M865)</f>
        <v>011110101100</v>
      </c>
    </row>
    <row r="866" spans="2:2" x14ac:dyDescent="0.25">
      <c r="B866" s="4" t="str">
        <f>_xlfn.TEXTJOIN(,,'Truth Table'!B866:M866)</f>
        <v>111110101100</v>
      </c>
    </row>
    <row r="867" spans="2:2" x14ac:dyDescent="0.25">
      <c r="B867" s="4" t="str">
        <f>_xlfn.TEXTJOIN(,,'Truth Table'!B867:M867)</f>
        <v>000001101100</v>
      </c>
    </row>
    <row r="868" spans="2:2" x14ac:dyDescent="0.25">
      <c r="B868" s="4" t="str">
        <f>_xlfn.TEXTJOIN(,,'Truth Table'!B868:M868)</f>
        <v>100001101100</v>
      </c>
    </row>
    <row r="869" spans="2:2" x14ac:dyDescent="0.25">
      <c r="B869" s="4" t="str">
        <f>_xlfn.TEXTJOIN(,,'Truth Table'!B869:M869)</f>
        <v>010001101100</v>
      </c>
    </row>
    <row r="870" spans="2:2" x14ac:dyDescent="0.25">
      <c r="B870" s="4" t="str">
        <f>_xlfn.TEXTJOIN(,,'Truth Table'!B870:M870)</f>
        <v>110001101100</v>
      </c>
    </row>
    <row r="871" spans="2:2" x14ac:dyDescent="0.25">
      <c r="B871" s="4" t="str">
        <f>_xlfn.TEXTJOIN(,,'Truth Table'!B871:M871)</f>
        <v>001001101100</v>
      </c>
    </row>
    <row r="872" spans="2:2" x14ac:dyDescent="0.25">
      <c r="B872" s="4" t="str">
        <f>_xlfn.TEXTJOIN(,,'Truth Table'!B872:M872)</f>
        <v>101001101100</v>
      </c>
    </row>
    <row r="873" spans="2:2" x14ac:dyDescent="0.25">
      <c r="B873" s="4" t="str">
        <f>_xlfn.TEXTJOIN(,,'Truth Table'!B873:M873)</f>
        <v>011001101100</v>
      </c>
    </row>
    <row r="874" spans="2:2" x14ac:dyDescent="0.25">
      <c r="B874" s="4" t="str">
        <f>_xlfn.TEXTJOIN(,,'Truth Table'!B874:M874)</f>
        <v>111001101100</v>
      </c>
    </row>
    <row r="875" spans="2:2" x14ac:dyDescent="0.25">
      <c r="B875" s="4" t="str">
        <f>_xlfn.TEXTJOIN(,,'Truth Table'!B875:M875)</f>
        <v>000101101100</v>
      </c>
    </row>
    <row r="876" spans="2:2" x14ac:dyDescent="0.25">
      <c r="B876" s="4" t="str">
        <f>_xlfn.TEXTJOIN(,,'Truth Table'!B876:M876)</f>
        <v>100101101100</v>
      </c>
    </row>
    <row r="877" spans="2:2" x14ac:dyDescent="0.25">
      <c r="B877" s="4" t="str">
        <f>_xlfn.TEXTJOIN(,,'Truth Table'!B877:M877)</f>
        <v>010101101100</v>
      </c>
    </row>
    <row r="878" spans="2:2" x14ac:dyDescent="0.25">
      <c r="B878" s="4" t="str">
        <f>_xlfn.TEXTJOIN(,,'Truth Table'!B878:M878)</f>
        <v>110101101100</v>
      </c>
    </row>
    <row r="879" spans="2:2" x14ac:dyDescent="0.25">
      <c r="B879" s="4" t="str">
        <f>_xlfn.TEXTJOIN(,,'Truth Table'!B879:M879)</f>
        <v>001101101100</v>
      </c>
    </row>
    <row r="880" spans="2:2" x14ac:dyDescent="0.25">
      <c r="B880" s="4" t="str">
        <f>_xlfn.TEXTJOIN(,,'Truth Table'!B880:M880)</f>
        <v>101101101100</v>
      </c>
    </row>
    <row r="881" spans="2:2" x14ac:dyDescent="0.25">
      <c r="B881" s="4" t="str">
        <f>_xlfn.TEXTJOIN(,,'Truth Table'!B881:M881)</f>
        <v>011101101100</v>
      </c>
    </row>
    <row r="882" spans="2:2" x14ac:dyDescent="0.25">
      <c r="B882" s="4" t="str">
        <f>_xlfn.TEXTJOIN(,,'Truth Table'!B882:M882)</f>
        <v>111101101100</v>
      </c>
    </row>
    <row r="883" spans="2:2" x14ac:dyDescent="0.25">
      <c r="B883" s="4" t="str">
        <f>_xlfn.TEXTJOIN(,,'Truth Table'!B883:M883)</f>
        <v>000011101100</v>
      </c>
    </row>
    <row r="884" spans="2:2" x14ac:dyDescent="0.25">
      <c r="B884" s="4" t="str">
        <f>_xlfn.TEXTJOIN(,,'Truth Table'!B884:M884)</f>
        <v>100011101100</v>
      </c>
    </row>
    <row r="885" spans="2:2" x14ac:dyDescent="0.25">
      <c r="B885" s="4" t="str">
        <f>_xlfn.TEXTJOIN(,,'Truth Table'!B885:M885)</f>
        <v>010011101100</v>
      </c>
    </row>
    <row r="886" spans="2:2" x14ac:dyDescent="0.25">
      <c r="B886" s="4" t="str">
        <f>_xlfn.TEXTJOIN(,,'Truth Table'!B886:M886)</f>
        <v>110011101100</v>
      </c>
    </row>
    <row r="887" spans="2:2" x14ac:dyDescent="0.25">
      <c r="B887" s="4" t="str">
        <f>_xlfn.TEXTJOIN(,,'Truth Table'!B887:M887)</f>
        <v>001011101100</v>
      </c>
    </row>
    <row r="888" spans="2:2" x14ac:dyDescent="0.25">
      <c r="B888" s="4" t="str">
        <f>_xlfn.TEXTJOIN(,,'Truth Table'!B888:M888)</f>
        <v>101011101100</v>
      </c>
    </row>
    <row r="889" spans="2:2" x14ac:dyDescent="0.25">
      <c r="B889" s="4" t="str">
        <f>_xlfn.TEXTJOIN(,,'Truth Table'!B889:M889)</f>
        <v>011011101100</v>
      </c>
    </row>
    <row r="890" spans="2:2" x14ac:dyDescent="0.25">
      <c r="B890" s="4" t="str">
        <f>_xlfn.TEXTJOIN(,,'Truth Table'!B890:M890)</f>
        <v>111011101100</v>
      </c>
    </row>
    <row r="891" spans="2:2" x14ac:dyDescent="0.25">
      <c r="B891" s="4" t="str">
        <f>_xlfn.TEXTJOIN(,,'Truth Table'!B891:M891)</f>
        <v>000111101100</v>
      </c>
    </row>
    <row r="892" spans="2:2" x14ac:dyDescent="0.25">
      <c r="B892" s="4" t="str">
        <f>_xlfn.TEXTJOIN(,,'Truth Table'!B892:M892)</f>
        <v>100111101100</v>
      </c>
    </row>
    <row r="893" spans="2:2" x14ac:dyDescent="0.25">
      <c r="B893" s="4" t="str">
        <f>_xlfn.TEXTJOIN(,,'Truth Table'!B893:M893)</f>
        <v>010111101100</v>
      </c>
    </row>
    <row r="894" spans="2:2" x14ac:dyDescent="0.25">
      <c r="B894" s="4" t="str">
        <f>_xlfn.TEXTJOIN(,,'Truth Table'!B894:M894)</f>
        <v>110111101100</v>
      </c>
    </row>
    <row r="895" spans="2:2" x14ac:dyDescent="0.25">
      <c r="B895" s="4" t="str">
        <f>_xlfn.TEXTJOIN(,,'Truth Table'!B895:M895)</f>
        <v>001111101100</v>
      </c>
    </row>
    <row r="896" spans="2:2" x14ac:dyDescent="0.25">
      <c r="B896" s="4" t="str">
        <f>_xlfn.TEXTJOIN(,,'Truth Table'!B896:M896)</f>
        <v>101111101100</v>
      </c>
    </row>
    <row r="897" spans="2:2" x14ac:dyDescent="0.25">
      <c r="B897" s="4" t="str">
        <f>_xlfn.TEXTJOIN(,,'Truth Table'!B897:M897)</f>
        <v>011111101100</v>
      </c>
    </row>
    <row r="898" spans="2:2" x14ac:dyDescent="0.25">
      <c r="B898" s="4" t="str">
        <f>_xlfn.TEXTJOIN(,,'Truth Table'!B898:M898)</f>
        <v>111111101100</v>
      </c>
    </row>
    <row r="899" spans="2:2" x14ac:dyDescent="0.25">
      <c r="B899" s="4" t="str">
        <f>_xlfn.TEXTJOIN(,,'Truth Table'!B899:M899)</f>
        <v>000000011100</v>
      </c>
    </row>
    <row r="900" spans="2:2" x14ac:dyDescent="0.25">
      <c r="B900" s="4" t="str">
        <f>_xlfn.TEXTJOIN(,,'Truth Table'!B900:M900)</f>
        <v>100000011100</v>
      </c>
    </row>
    <row r="901" spans="2:2" x14ac:dyDescent="0.25">
      <c r="B901" s="4" t="str">
        <f>_xlfn.TEXTJOIN(,,'Truth Table'!B901:M901)</f>
        <v>010000011100</v>
      </c>
    </row>
    <row r="902" spans="2:2" x14ac:dyDescent="0.25">
      <c r="B902" s="4" t="str">
        <f>_xlfn.TEXTJOIN(,,'Truth Table'!B902:M902)</f>
        <v>110000011100</v>
      </c>
    </row>
    <row r="903" spans="2:2" x14ac:dyDescent="0.25">
      <c r="B903" s="4" t="str">
        <f>_xlfn.TEXTJOIN(,,'Truth Table'!B903:M903)</f>
        <v>001000011100</v>
      </c>
    </row>
    <row r="904" spans="2:2" x14ac:dyDescent="0.25">
      <c r="B904" s="4" t="str">
        <f>_xlfn.TEXTJOIN(,,'Truth Table'!B904:M904)</f>
        <v>101000011100</v>
      </c>
    </row>
    <row r="905" spans="2:2" x14ac:dyDescent="0.25">
      <c r="B905" s="4" t="str">
        <f>_xlfn.TEXTJOIN(,,'Truth Table'!B905:M905)</f>
        <v>011000011100</v>
      </c>
    </row>
    <row r="906" spans="2:2" x14ac:dyDescent="0.25">
      <c r="B906" s="4" t="str">
        <f>_xlfn.TEXTJOIN(,,'Truth Table'!B906:M906)</f>
        <v>111000011100</v>
      </c>
    </row>
    <row r="907" spans="2:2" x14ac:dyDescent="0.25">
      <c r="B907" s="4" t="str">
        <f>_xlfn.TEXTJOIN(,,'Truth Table'!B907:M907)</f>
        <v>000100011100</v>
      </c>
    </row>
    <row r="908" spans="2:2" x14ac:dyDescent="0.25">
      <c r="B908" s="4" t="str">
        <f>_xlfn.TEXTJOIN(,,'Truth Table'!B908:M908)</f>
        <v>100100011100</v>
      </c>
    </row>
    <row r="909" spans="2:2" x14ac:dyDescent="0.25">
      <c r="B909" s="4" t="str">
        <f>_xlfn.TEXTJOIN(,,'Truth Table'!B909:M909)</f>
        <v>010100011100</v>
      </c>
    </row>
    <row r="910" spans="2:2" x14ac:dyDescent="0.25">
      <c r="B910" s="4" t="str">
        <f>_xlfn.TEXTJOIN(,,'Truth Table'!B910:M910)</f>
        <v>110100011100</v>
      </c>
    </row>
    <row r="911" spans="2:2" x14ac:dyDescent="0.25">
      <c r="B911" s="4" t="str">
        <f>_xlfn.TEXTJOIN(,,'Truth Table'!B911:M911)</f>
        <v>001100011100</v>
      </c>
    </row>
    <row r="912" spans="2:2" x14ac:dyDescent="0.25">
      <c r="B912" s="4" t="str">
        <f>_xlfn.TEXTJOIN(,,'Truth Table'!B912:M912)</f>
        <v>101100011100</v>
      </c>
    </row>
    <row r="913" spans="2:2" x14ac:dyDescent="0.25">
      <c r="B913" s="4" t="str">
        <f>_xlfn.TEXTJOIN(,,'Truth Table'!B913:M913)</f>
        <v>011100011100</v>
      </c>
    </row>
    <row r="914" spans="2:2" x14ac:dyDescent="0.25">
      <c r="B914" s="4" t="str">
        <f>_xlfn.TEXTJOIN(,,'Truth Table'!B914:M914)</f>
        <v>111100011100</v>
      </c>
    </row>
    <row r="915" spans="2:2" x14ac:dyDescent="0.25">
      <c r="B915" s="4" t="str">
        <f>_xlfn.TEXTJOIN(,,'Truth Table'!B915:M915)</f>
        <v>000010011100</v>
      </c>
    </row>
    <row r="916" spans="2:2" x14ac:dyDescent="0.25">
      <c r="B916" s="4" t="str">
        <f>_xlfn.TEXTJOIN(,,'Truth Table'!B916:M916)</f>
        <v>100010011100</v>
      </c>
    </row>
    <row r="917" spans="2:2" x14ac:dyDescent="0.25">
      <c r="B917" s="4" t="str">
        <f>_xlfn.TEXTJOIN(,,'Truth Table'!B917:M917)</f>
        <v>010010011100</v>
      </c>
    </row>
    <row r="918" spans="2:2" x14ac:dyDescent="0.25">
      <c r="B918" s="4" t="str">
        <f>_xlfn.TEXTJOIN(,,'Truth Table'!B918:M918)</f>
        <v>110010011100</v>
      </c>
    </row>
    <row r="919" spans="2:2" x14ac:dyDescent="0.25">
      <c r="B919" s="4" t="str">
        <f>_xlfn.TEXTJOIN(,,'Truth Table'!B919:M919)</f>
        <v>001010011100</v>
      </c>
    </row>
    <row r="920" spans="2:2" x14ac:dyDescent="0.25">
      <c r="B920" s="4" t="str">
        <f>_xlfn.TEXTJOIN(,,'Truth Table'!B920:M920)</f>
        <v>101010011100</v>
      </c>
    </row>
    <row r="921" spans="2:2" x14ac:dyDescent="0.25">
      <c r="B921" s="4" t="str">
        <f>_xlfn.TEXTJOIN(,,'Truth Table'!B921:M921)</f>
        <v>011010011100</v>
      </c>
    </row>
    <row r="922" spans="2:2" x14ac:dyDescent="0.25">
      <c r="B922" s="4" t="str">
        <f>_xlfn.TEXTJOIN(,,'Truth Table'!B922:M922)</f>
        <v>111010011100</v>
      </c>
    </row>
    <row r="923" spans="2:2" x14ac:dyDescent="0.25">
      <c r="B923" s="4" t="str">
        <f>_xlfn.TEXTJOIN(,,'Truth Table'!B923:M923)</f>
        <v>000110011100</v>
      </c>
    </row>
    <row r="924" spans="2:2" x14ac:dyDescent="0.25">
      <c r="B924" s="4" t="str">
        <f>_xlfn.TEXTJOIN(,,'Truth Table'!B924:M924)</f>
        <v>100110011100</v>
      </c>
    </row>
    <row r="925" spans="2:2" x14ac:dyDescent="0.25">
      <c r="B925" s="4" t="str">
        <f>_xlfn.TEXTJOIN(,,'Truth Table'!B925:M925)</f>
        <v>010110011100</v>
      </c>
    </row>
    <row r="926" spans="2:2" x14ac:dyDescent="0.25">
      <c r="B926" s="4" t="str">
        <f>_xlfn.TEXTJOIN(,,'Truth Table'!B926:M926)</f>
        <v>110110011100</v>
      </c>
    </row>
    <row r="927" spans="2:2" x14ac:dyDescent="0.25">
      <c r="B927" s="4" t="str">
        <f>_xlfn.TEXTJOIN(,,'Truth Table'!B927:M927)</f>
        <v>001110011100</v>
      </c>
    </row>
    <row r="928" spans="2:2" x14ac:dyDescent="0.25">
      <c r="B928" s="4" t="str">
        <f>_xlfn.TEXTJOIN(,,'Truth Table'!B928:M928)</f>
        <v>101110011100</v>
      </c>
    </row>
    <row r="929" spans="2:2" x14ac:dyDescent="0.25">
      <c r="B929" s="4" t="str">
        <f>_xlfn.TEXTJOIN(,,'Truth Table'!B929:M929)</f>
        <v>011110011100</v>
      </c>
    </row>
    <row r="930" spans="2:2" x14ac:dyDescent="0.25">
      <c r="B930" s="4" t="str">
        <f>_xlfn.TEXTJOIN(,,'Truth Table'!B930:M930)</f>
        <v>111110011100</v>
      </c>
    </row>
    <row r="931" spans="2:2" x14ac:dyDescent="0.25">
      <c r="B931" s="4" t="str">
        <f>_xlfn.TEXTJOIN(,,'Truth Table'!B931:M931)</f>
        <v>000001011100</v>
      </c>
    </row>
    <row r="932" spans="2:2" x14ac:dyDescent="0.25">
      <c r="B932" s="4" t="str">
        <f>_xlfn.TEXTJOIN(,,'Truth Table'!B932:M932)</f>
        <v>100001011100</v>
      </c>
    </row>
    <row r="933" spans="2:2" x14ac:dyDescent="0.25">
      <c r="B933" s="4" t="str">
        <f>_xlfn.TEXTJOIN(,,'Truth Table'!B933:M933)</f>
        <v>010001011100</v>
      </c>
    </row>
    <row r="934" spans="2:2" x14ac:dyDescent="0.25">
      <c r="B934" s="4" t="str">
        <f>_xlfn.TEXTJOIN(,,'Truth Table'!B934:M934)</f>
        <v>110001011100</v>
      </c>
    </row>
    <row r="935" spans="2:2" x14ac:dyDescent="0.25">
      <c r="B935" s="4" t="str">
        <f>_xlfn.TEXTJOIN(,,'Truth Table'!B935:M935)</f>
        <v>001001011100</v>
      </c>
    </row>
    <row r="936" spans="2:2" x14ac:dyDescent="0.25">
      <c r="B936" s="4" t="str">
        <f>_xlfn.TEXTJOIN(,,'Truth Table'!B936:M936)</f>
        <v>101001011100</v>
      </c>
    </row>
    <row r="937" spans="2:2" x14ac:dyDescent="0.25">
      <c r="B937" s="4" t="str">
        <f>_xlfn.TEXTJOIN(,,'Truth Table'!B937:M937)</f>
        <v>011001011100</v>
      </c>
    </row>
    <row r="938" spans="2:2" x14ac:dyDescent="0.25">
      <c r="B938" s="4" t="str">
        <f>_xlfn.TEXTJOIN(,,'Truth Table'!B938:M938)</f>
        <v>111001011100</v>
      </c>
    </row>
    <row r="939" spans="2:2" x14ac:dyDescent="0.25">
      <c r="B939" s="4" t="str">
        <f>_xlfn.TEXTJOIN(,,'Truth Table'!B939:M939)</f>
        <v>000101011100</v>
      </c>
    </row>
    <row r="940" spans="2:2" x14ac:dyDescent="0.25">
      <c r="B940" s="4" t="str">
        <f>_xlfn.TEXTJOIN(,,'Truth Table'!B940:M940)</f>
        <v>100101011100</v>
      </c>
    </row>
    <row r="941" spans="2:2" x14ac:dyDescent="0.25">
      <c r="B941" s="4" t="str">
        <f>_xlfn.TEXTJOIN(,,'Truth Table'!B941:M941)</f>
        <v>010101011100</v>
      </c>
    </row>
    <row r="942" spans="2:2" x14ac:dyDescent="0.25">
      <c r="B942" s="4" t="str">
        <f>_xlfn.TEXTJOIN(,,'Truth Table'!B942:M942)</f>
        <v>110101011100</v>
      </c>
    </row>
    <row r="943" spans="2:2" x14ac:dyDescent="0.25">
      <c r="B943" s="4" t="str">
        <f>_xlfn.TEXTJOIN(,,'Truth Table'!B943:M943)</f>
        <v>001101011100</v>
      </c>
    </row>
    <row r="944" spans="2:2" x14ac:dyDescent="0.25">
      <c r="B944" s="4" t="str">
        <f>_xlfn.TEXTJOIN(,,'Truth Table'!B944:M944)</f>
        <v>101101011100</v>
      </c>
    </row>
    <row r="945" spans="2:2" x14ac:dyDescent="0.25">
      <c r="B945" s="4" t="str">
        <f>_xlfn.TEXTJOIN(,,'Truth Table'!B945:M945)</f>
        <v>011101011100</v>
      </c>
    </row>
    <row r="946" spans="2:2" x14ac:dyDescent="0.25">
      <c r="B946" s="4" t="str">
        <f>_xlfn.TEXTJOIN(,,'Truth Table'!B946:M946)</f>
        <v>111101011100</v>
      </c>
    </row>
    <row r="947" spans="2:2" x14ac:dyDescent="0.25">
      <c r="B947" s="4" t="str">
        <f>_xlfn.TEXTJOIN(,,'Truth Table'!B947:M947)</f>
        <v>000011011100</v>
      </c>
    </row>
    <row r="948" spans="2:2" x14ac:dyDescent="0.25">
      <c r="B948" s="4" t="str">
        <f>_xlfn.TEXTJOIN(,,'Truth Table'!B948:M948)</f>
        <v>100011011100</v>
      </c>
    </row>
    <row r="949" spans="2:2" x14ac:dyDescent="0.25">
      <c r="B949" s="4" t="str">
        <f>_xlfn.TEXTJOIN(,,'Truth Table'!B949:M949)</f>
        <v>010011011100</v>
      </c>
    </row>
    <row r="950" spans="2:2" x14ac:dyDescent="0.25">
      <c r="B950" s="4" t="str">
        <f>_xlfn.TEXTJOIN(,,'Truth Table'!B950:M950)</f>
        <v>110011011100</v>
      </c>
    </row>
    <row r="951" spans="2:2" x14ac:dyDescent="0.25">
      <c r="B951" s="4" t="str">
        <f>_xlfn.TEXTJOIN(,,'Truth Table'!B951:M951)</f>
        <v>001011011100</v>
      </c>
    </row>
    <row r="952" spans="2:2" x14ac:dyDescent="0.25">
      <c r="B952" s="4" t="str">
        <f>_xlfn.TEXTJOIN(,,'Truth Table'!B952:M952)</f>
        <v>101011011100</v>
      </c>
    </row>
    <row r="953" spans="2:2" x14ac:dyDescent="0.25">
      <c r="B953" s="4" t="str">
        <f>_xlfn.TEXTJOIN(,,'Truth Table'!B953:M953)</f>
        <v>011011011100</v>
      </c>
    </row>
    <row r="954" spans="2:2" x14ac:dyDescent="0.25">
      <c r="B954" s="4" t="str">
        <f>_xlfn.TEXTJOIN(,,'Truth Table'!B954:M954)</f>
        <v>111011011100</v>
      </c>
    </row>
    <row r="955" spans="2:2" x14ac:dyDescent="0.25">
      <c r="B955" s="4" t="str">
        <f>_xlfn.TEXTJOIN(,,'Truth Table'!B955:M955)</f>
        <v>000111011100</v>
      </c>
    </row>
    <row r="956" spans="2:2" x14ac:dyDescent="0.25">
      <c r="B956" s="4" t="str">
        <f>_xlfn.TEXTJOIN(,,'Truth Table'!B956:M956)</f>
        <v>100111011100</v>
      </c>
    </row>
    <row r="957" spans="2:2" x14ac:dyDescent="0.25">
      <c r="B957" s="4" t="str">
        <f>_xlfn.TEXTJOIN(,,'Truth Table'!B957:M957)</f>
        <v>010111011100</v>
      </c>
    </row>
    <row r="958" spans="2:2" x14ac:dyDescent="0.25">
      <c r="B958" s="4" t="str">
        <f>_xlfn.TEXTJOIN(,,'Truth Table'!B958:M958)</f>
        <v>110111011100</v>
      </c>
    </row>
    <row r="959" spans="2:2" x14ac:dyDescent="0.25">
      <c r="B959" s="4" t="str">
        <f>_xlfn.TEXTJOIN(,,'Truth Table'!B959:M959)</f>
        <v>001111011100</v>
      </c>
    </row>
    <row r="960" spans="2:2" x14ac:dyDescent="0.25">
      <c r="B960" s="4" t="str">
        <f>_xlfn.TEXTJOIN(,,'Truth Table'!B960:M960)</f>
        <v>101111011100</v>
      </c>
    </row>
    <row r="961" spans="2:2" x14ac:dyDescent="0.25">
      <c r="B961" s="4" t="str">
        <f>_xlfn.TEXTJOIN(,,'Truth Table'!B961:M961)</f>
        <v>011111011100</v>
      </c>
    </row>
    <row r="962" spans="2:2" x14ac:dyDescent="0.25">
      <c r="B962" s="4" t="str">
        <f>_xlfn.TEXTJOIN(,,'Truth Table'!B962:M962)</f>
        <v>111111011100</v>
      </c>
    </row>
    <row r="963" spans="2:2" x14ac:dyDescent="0.25">
      <c r="B963" s="4" t="str">
        <f>_xlfn.TEXTJOIN(,,'Truth Table'!B963:M963)</f>
        <v>000000111100</v>
      </c>
    </row>
    <row r="964" spans="2:2" x14ac:dyDescent="0.25">
      <c r="B964" s="4" t="str">
        <f>_xlfn.TEXTJOIN(,,'Truth Table'!B964:M964)</f>
        <v>100000111100</v>
      </c>
    </row>
    <row r="965" spans="2:2" x14ac:dyDescent="0.25">
      <c r="B965" s="4" t="str">
        <f>_xlfn.TEXTJOIN(,,'Truth Table'!B965:M965)</f>
        <v>010000111100</v>
      </c>
    </row>
    <row r="966" spans="2:2" x14ac:dyDescent="0.25">
      <c r="B966" s="4" t="str">
        <f>_xlfn.TEXTJOIN(,,'Truth Table'!B966:M966)</f>
        <v>110000111100</v>
      </c>
    </row>
    <row r="967" spans="2:2" x14ac:dyDescent="0.25">
      <c r="B967" s="4" t="str">
        <f>_xlfn.TEXTJOIN(,,'Truth Table'!B967:M967)</f>
        <v>001000111100</v>
      </c>
    </row>
    <row r="968" spans="2:2" x14ac:dyDescent="0.25">
      <c r="B968" s="4" t="str">
        <f>_xlfn.TEXTJOIN(,,'Truth Table'!B968:M968)</f>
        <v>101000111100</v>
      </c>
    </row>
    <row r="969" spans="2:2" x14ac:dyDescent="0.25">
      <c r="B969" s="4" t="str">
        <f>_xlfn.TEXTJOIN(,,'Truth Table'!B969:M969)</f>
        <v>011000111100</v>
      </c>
    </row>
    <row r="970" spans="2:2" x14ac:dyDescent="0.25">
      <c r="B970" s="4" t="str">
        <f>_xlfn.TEXTJOIN(,,'Truth Table'!B970:M970)</f>
        <v>111000111100</v>
      </c>
    </row>
    <row r="971" spans="2:2" x14ac:dyDescent="0.25">
      <c r="B971" s="4" t="str">
        <f>_xlfn.TEXTJOIN(,,'Truth Table'!B971:M971)</f>
        <v>000100111100</v>
      </c>
    </row>
    <row r="972" spans="2:2" x14ac:dyDescent="0.25">
      <c r="B972" s="4" t="str">
        <f>_xlfn.TEXTJOIN(,,'Truth Table'!B972:M972)</f>
        <v>100100111100</v>
      </c>
    </row>
    <row r="973" spans="2:2" x14ac:dyDescent="0.25">
      <c r="B973" s="4" t="str">
        <f>_xlfn.TEXTJOIN(,,'Truth Table'!B973:M973)</f>
        <v>010100111100</v>
      </c>
    </row>
    <row r="974" spans="2:2" x14ac:dyDescent="0.25">
      <c r="B974" s="4" t="str">
        <f>_xlfn.TEXTJOIN(,,'Truth Table'!B974:M974)</f>
        <v>110100111100</v>
      </c>
    </row>
    <row r="975" spans="2:2" x14ac:dyDescent="0.25">
      <c r="B975" s="4" t="str">
        <f>_xlfn.TEXTJOIN(,,'Truth Table'!B975:M975)</f>
        <v>001100111100</v>
      </c>
    </row>
    <row r="976" spans="2:2" x14ac:dyDescent="0.25">
      <c r="B976" s="4" t="str">
        <f>_xlfn.TEXTJOIN(,,'Truth Table'!B976:M976)</f>
        <v>101100111100</v>
      </c>
    </row>
    <row r="977" spans="2:2" x14ac:dyDescent="0.25">
      <c r="B977" s="4" t="str">
        <f>_xlfn.TEXTJOIN(,,'Truth Table'!B977:M977)</f>
        <v>011100111100</v>
      </c>
    </row>
    <row r="978" spans="2:2" x14ac:dyDescent="0.25">
      <c r="B978" s="4" t="str">
        <f>_xlfn.TEXTJOIN(,,'Truth Table'!B978:M978)</f>
        <v>111100111100</v>
      </c>
    </row>
    <row r="979" spans="2:2" x14ac:dyDescent="0.25">
      <c r="B979" s="4" t="str">
        <f>_xlfn.TEXTJOIN(,,'Truth Table'!B979:M979)</f>
        <v>000010111100</v>
      </c>
    </row>
    <row r="980" spans="2:2" x14ac:dyDescent="0.25">
      <c r="B980" s="4" t="str">
        <f>_xlfn.TEXTJOIN(,,'Truth Table'!B980:M980)</f>
        <v>100010111100</v>
      </c>
    </row>
    <row r="981" spans="2:2" x14ac:dyDescent="0.25">
      <c r="B981" s="4" t="str">
        <f>_xlfn.TEXTJOIN(,,'Truth Table'!B981:M981)</f>
        <v>010010111100</v>
      </c>
    </row>
    <row r="982" spans="2:2" x14ac:dyDescent="0.25">
      <c r="B982" s="4" t="str">
        <f>_xlfn.TEXTJOIN(,,'Truth Table'!B982:M982)</f>
        <v>110010111100</v>
      </c>
    </row>
    <row r="983" spans="2:2" x14ac:dyDescent="0.25">
      <c r="B983" s="4" t="str">
        <f>_xlfn.TEXTJOIN(,,'Truth Table'!B983:M983)</f>
        <v>001010111100</v>
      </c>
    </row>
    <row r="984" spans="2:2" x14ac:dyDescent="0.25">
      <c r="B984" s="4" t="str">
        <f>_xlfn.TEXTJOIN(,,'Truth Table'!B984:M984)</f>
        <v>101010111100</v>
      </c>
    </row>
    <row r="985" spans="2:2" x14ac:dyDescent="0.25">
      <c r="B985" s="4" t="str">
        <f>_xlfn.TEXTJOIN(,,'Truth Table'!B985:M985)</f>
        <v>011010111100</v>
      </c>
    </row>
    <row r="986" spans="2:2" x14ac:dyDescent="0.25">
      <c r="B986" s="4" t="str">
        <f>_xlfn.TEXTJOIN(,,'Truth Table'!B986:M986)</f>
        <v>111010111100</v>
      </c>
    </row>
    <row r="987" spans="2:2" x14ac:dyDescent="0.25">
      <c r="B987" s="4" t="str">
        <f>_xlfn.TEXTJOIN(,,'Truth Table'!B987:M987)</f>
        <v>000110111100</v>
      </c>
    </row>
    <row r="988" spans="2:2" x14ac:dyDescent="0.25">
      <c r="B988" s="4" t="str">
        <f>_xlfn.TEXTJOIN(,,'Truth Table'!B988:M988)</f>
        <v>100110111100</v>
      </c>
    </row>
    <row r="989" spans="2:2" x14ac:dyDescent="0.25">
      <c r="B989" s="4" t="str">
        <f>_xlfn.TEXTJOIN(,,'Truth Table'!B989:M989)</f>
        <v>010110111100</v>
      </c>
    </row>
    <row r="990" spans="2:2" x14ac:dyDescent="0.25">
      <c r="B990" s="4" t="str">
        <f>_xlfn.TEXTJOIN(,,'Truth Table'!B990:M990)</f>
        <v>110110111100</v>
      </c>
    </row>
    <row r="991" spans="2:2" x14ac:dyDescent="0.25">
      <c r="B991" s="4" t="str">
        <f>_xlfn.TEXTJOIN(,,'Truth Table'!B991:M991)</f>
        <v>001110111100</v>
      </c>
    </row>
    <row r="992" spans="2:2" x14ac:dyDescent="0.25">
      <c r="B992" s="4" t="str">
        <f>_xlfn.TEXTJOIN(,,'Truth Table'!B992:M992)</f>
        <v>101110111100</v>
      </c>
    </row>
    <row r="993" spans="2:2" x14ac:dyDescent="0.25">
      <c r="B993" s="4" t="str">
        <f>_xlfn.TEXTJOIN(,,'Truth Table'!B993:M993)</f>
        <v>011110111100</v>
      </c>
    </row>
    <row r="994" spans="2:2" x14ac:dyDescent="0.25">
      <c r="B994" s="4" t="str">
        <f>_xlfn.TEXTJOIN(,,'Truth Table'!B994:M994)</f>
        <v>111110111100</v>
      </c>
    </row>
    <row r="995" spans="2:2" x14ac:dyDescent="0.25">
      <c r="B995" s="4" t="str">
        <f>_xlfn.TEXTJOIN(,,'Truth Table'!B995:M995)</f>
        <v>000001111100</v>
      </c>
    </row>
    <row r="996" spans="2:2" x14ac:dyDescent="0.25">
      <c r="B996" s="4" t="str">
        <f>_xlfn.TEXTJOIN(,,'Truth Table'!B996:M996)</f>
        <v>100001111100</v>
      </c>
    </row>
    <row r="997" spans="2:2" x14ac:dyDescent="0.25">
      <c r="B997" s="4" t="str">
        <f>_xlfn.TEXTJOIN(,,'Truth Table'!B997:M997)</f>
        <v>010001111100</v>
      </c>
    </row>
    <row r="998" spans="2:2" x14ac:dyDescent="0.25">
      <c r="B998" s="4" t="str">
        <f>_xlfn.TEXTJOIN(,,'Truth Table'!B998:M998)</f>
        <v>110001111100</v>
      </c>
    </row>
    <row r="999" spans="2:2" x14ac:dyDescent="0.25">
      <c r="B999" s="4" t="str">
        <f>_xlfn.TEXTJOIN(,,'Truth Table'!B999:M999)</f>
        <v>001001111100</v>
      </c>
    </row>
    <row r="1000" spans="2:2" x14ac:dyDescent="0.25">
      <c r="B1000" s="4" t="str">
        <f>_xlfn.TEXTJOIN(,,'Truth Table'!B1000:M1000)</f>
        <v>101001111100</v>
      </c>
    </row>
    <row r="1001" spans="2:2" x14ac:dyDescent="0.25">
      <c r="B1001" s="4" t="str">
        <f>_xlfn.TEXTJOIN(,,'Truth Table'!B1001:M1001)</f>
        <v>011001111100</v>
      </c>
    </row>
    <row r="1002" spans="2:2" x14ac:dyDescent="0.25">
      <c r="B1002" s="4" t="str">
        <f>_xlfn.TEXTJOIN(,,'Truth Table'!B1002:M1002)</f>
        <v>111001111100</v>
      </c>
    </row>
    <row r="1003" spans="2:2" x14ac:dyDescent="0.25">
      <c r="B1003" s="4" t="str">
        <f>_xlfn.TEXTJOIN(,,'Truth Table'!B1003:M1003)</f>
        <v>000101111100</v>
      </c>
    </row>
    <row r="1004" spans="2:2" x14ac:dyDescent="0.25">
      <c r="B1004" s="4" t="str">
        <f>_xlfn.TEXTJOIN(,,'Truth Table'!B1004:M1004)</f>
        <v>100101111100</v>
      </c>
    </row>
    <row r="1005" spans="2:2" x14ac:dyDescent="0.25">
      <c r="B1005" s="4" t="str">
        <f>_xlfn.TEXTJOIN(,,'Truth Table'!B1005:M1005)</f>
        <v>010101111100</v>
      </c>
    </row>
    <row r="1006" spans="2:2" x14ac:dyDescent="0.25">
      <c r="B1006" s="4" t="str">
        <f>_xlfn.TEXTJOIN(,,'Truth Table'!B1006:M1006)</f>
        <v>110101111100</v>
      </c>
    </row>
    <row r="1007" spans="2:2" x14ac:dyDescent="0.25">
      <c r="B1007" s="4" t="str">
        <f>_xlfn.TEXTJOIN(,,'Truth Table'!B1007:M1007)</f>
        <v>001101111100</v>
      </c>
    </row>
    <row r="1008" spans="2:2" x14ac:dyDescent="0.25">
      <c r="B1008" s="4" t="str">
        <f>_xlfn.TEXTJOIN(,,'Truth Table'!B1008:M1008)</f>
        <v>101101111100</v>
      </c>
    </row>
    <row r="1009" spans="2:2" x14ac:dyDescent="0.25">
      <c r="B1009" s="4" t="str">
        <f>_xlfn.TEXTJOIN(,,'Truth Table'!B1009:M1009)</f>
        <v>011101111100</v>
      </c>
    </row>
    <row r="1010" spans="2:2" x14ac:dyDescent="0.25">
      <c r="B1010" s="4" t="str">
        <f>_xlfn.TEXTJOIN(,,'Truth Table'!B1010:M1010)</f>
        <v>111101111100</v>
      </c>
    </row>
    <row r="1011" spans="2:2" x14ac:dyDescent="0.25">
      <c r="B1011" s="4" t="str">
        <f>_xlfn.TEXTJOIN(,,'Truth Table'!B1011:M1011)</f>
        <v>000011111100</v>
      </c>
    </row>
    <row r="1012" spans="2:2" x14ac:dyDescent="0.25">
      <c r="B1012" s="4" t="str">
        <f>_xlfn.TEXTJOIN(,,'Truth Table'!B1012:M1012)</f>
        <v>100011111100</v>
      </c>
    </row>
    <row r="1013" spans="2:2" x14ac:dyDescent="0.25">
      <c r="B1013" s="4" t="str">
        <f>_xlfn.TEXTJOIN(,,'Truth Table'!B1013:M1013)</f>
        <v>010011111100</v>
      </c>
    </row>
    <row r="1014" spans="2:2" x14ac:dyDescent="0.25">
      <c r="B1014" s="4" t="str">
        <f>_xlfn.TEXTJOIN(,,'Truth Table'!B1014:M1014)</f>
        <v>110011111100</v>
      </c>
    </row>
    <row r="1015" spans="2:2" x14ac:dyDescent="0.25">
      <c r="B1015" s="4" t="str">
        <f>_xlfn.TEXTJOIN(,,'Truth Table'!B1015:M1015)</f>
        <v>001011111100</v>
      </c>
    </row>
    <row r="1016" spans="2:2" x14ac:dyDescent="0.25">
      <c r="B1016" s="4" t="str">
        <f>_xlfn.TEXTJOIN(,,'Truth Table'!B1016:M1016)</f>
        <v>101011111100</v>
      </c>
    </row>
    <row r="1017" spans="2:2" x14ac:dyDescent="0.25">
      <c r="B1017" s="4" t="str">
        <f>_xlfn.TEXTJOIN(,,'Truth Table'!B1017:M1017)</f>
        <v>011011111100</v>
      </c>
    </row>
    <row r="1018" spans="2:2" x14ac:dyDescent="0.25">
      <c r="B1018" s="4" t="str">
        <f>_xlfn.TEXTJOIN(,,'Truth Table'!B1018:M1018)</f>
        <v>111011111100</v>
      </c>
    </row>
    <row r="1019" spans="2:2" x14ac:dyDescent="0.25">
      <c r="B1019" s="4" t="str">
        <f>_xlfn.TEXTJOIN(,,'Truth Table'!B1019:M1019)</f>
        <v>000111111100</v>
      </c>
    </row>
    <row r="1020" spans="2:2" x14ac:dyDescent="0.25">
      <c r="B1020" s="4" t="str">
        <f>_xlfn.TEXTJOIN(,,'Truth Table'!B1020:M1020)</f>
        <v>100111111100</v>
      </c>
    </row>
    <row r="1021" spans="2:2" x14ac:dyDescent="0.25">
      <c r="B1021" s="4" t="str">
        <f>_xlfn.TEXTJOIN(,,'Truth Table'!B1021:M1021)</f>
        <v>010111111100</v>
      </c>
    </row>
    <row r="1022" spans="2:2" x14ac:dyDescent="0.25">
      <c r="B1022" s="4" t="str">
        <f>_xlfn.TEXTJOIN(,,'Truth Table'!B1022:M1022)</f>
        <v>110111111100</v>
      </c>
    </row>
    <row r="1023" spans="2:2" x14ac:dyDescent="0.25">
      <c r="B1023" s="4" t="str">
        <f>_xlfn.TEXTJOIN(,,'Truth Table'!B1023:M1023)</f>
        <v>001111111100</v>
      </c>
    </row>
    <row r="1024" spans="2:2" x14ac:dyDescent="0.25">
      <c r="B1024" s="4" t="str">
        <f>_xlfn.TEXTJOIN(,,'Truth Table'!B1024:M1024)</f>
        <v>101111111100</v>
      </c>
    </row>
    <row r="1025" spans="2:2" x14ac:dyDescent="0.25">
      <c r="B1025" s="4" t="str">
        <f>_xlfn.TEXTJOIN(,,'Truth Table'!B1025:M1025)</f>
        <v>011111111100</v>
      </c>
    </row>
    <row r="1026" spans="2:2" x14ac:dyDescent="0.25">
      <c r="B1026" s="4" t="str">
        <f>_xlfn.TEXTJOIN(,,'Truth Table'!B1026:M1026)</f>
        <v>111111111100</v>
      </c>
    </row>
    <row r="1027" spans="2:2" x14ac:dyDescent="0.25">
      <c r="B1027" s="4" t="str">
        <f>_xlfn.TEXTJOIN(,,'Truth Table'!B1027:M1027)</f>
        <v>000000000010</v>
      </c>
    </row>
    <row r="1028" spans="2:2" x14ac:dyDescent="0.25">
      <c r="B1028" s="4" t="str">
        <f>_xlfn.TEXTJOIN(,,'Truth Table'!B1028:M1028)</f>
        <v>100000000010</v>
      </c>
    </row>
    <row r="1029" spans="2:2" x14ac:dyDescent="0.25">
      <c r="B1029" s="4" t="str">
        <f>_xlfn.TEXTJOIN(,,'Truth Table'!B1029:M1029)</f>
        <v>010000000010</v>
      </c>
    </row>
    <row r="1030" spans="2:2" x14ac:dyDescent="0.25">
      <c r="B1030" s="4" t="str">
        <f>_xlfn.TEXTJOIN(,,'Truth Table'!B1030:M1030)</f>
        <v>110000000010</v>
      </c>
    </row>
    <row r="1031" spans="2:2" x14ac:dyDescent="0.25">
      <c r="B1031" s="4" t="str">
        <f>_xlfn.TEXTJOIN(,,'Truth Table'!B1031:M1031)</f>
        <v>001000000010</v>
      </c>
    </row>
    <row r="1032" spans="2:2" x14ac:dyDescent="0.25">
      <c r="B1032" s="4" t="str">
        <f>_xlfn.TEXTJOIN(,,'Truth Table'!B1032:M1032)</f>
        <v>101000000010</v>
      </c>
    </row>
    <row r="1033" spans="2:2" x14ac:dyDescent="0.25">
      <c r="B1033" s="4" t="str">
        <f>_xlfn.TEXTJOIN(,,'Truth Table'!B1033:M1033)</f>
        <v>011000000010</v>
      </c>
    </row>
    <row r="1034" spans="2:2" x14ac:dyDescent="0.25">
      <c r="B1034" s="4" t="str">
        <f>_xlfn.TEXTJOIN(,,'Truth Table'!B1034:M1034)</f>
        <v>111000000010</v>
      </c>
    </row>
    <row r="1035" spans="2:2" x14ac:dyDescent="0.25">
      <c r="B1035" s="4" t="str">
        <f>_xlfn.TEXTJOIN(,,'Truth Table'!B1035:M1035)</f>
        <v>000100000010</v>
      </c>
    </row>
    <row r="1036" spans="2:2" x14ac:dyDescent="0.25">
      <c r="B1036" s="4" t="str">
        <f>_xlfn.TEXTJOIN(,,'Truth Table'!B1036:M1036)</f>
        <v>100100000010</v>
      </c>
    </row>
    <row r="1037" spans="2:2" x14ac:dyDescent="0.25">
      <c r="B1037" s="4" t="str">
        <f>_xlfn.TEXTJOIN(,,'Truth Table'!B1037:M1037)</f>
        <v>010100000010</v>
      </c>
    </row>
    <row r="1038" spans="2:2" x14ac:dyDescent="0.25">
      <c r="B1038" s="4" t="str">
        <f>_xlfn.TEXTJOIN(,,'Truth Table'!B1038:M1038)</f>
        <v>110100000010</v>
      </c>
    </row>
    <row r="1039" spans="2:2" x14ac:dyDescent="0.25">
      <c r="B1039" s="4" t="str">
        <f>_xlfn.TEXTJOIN(,,'Truth Table'!B1039:M1039)</f>
        <v>001100000010</v>
      </c>
    </row>
    <row r="1040" spans="2:2" x14ac:dyDescent="0.25">
      <c r="B1040" s="4" t="str">
        <f>_xlfn.TEXTJOIN(,,'Truth Table'!B1040:M1040)</f>
        <v>101100000010</v>
      </c>
    </row>
    <row r="1041" spans="2:2" x14ac:dyDescent="0.25">
      <c r="B1041" s="4" t="str">
        <f>_xlfn.TEXTJOIN(,,'Truth Table'!B1041:M1041)</f>
        <v>011100000010</v>
      </c>
    </row>
    <row r="1042" spans="2:2" x14ac:dyDescent="0.25">
      <c r="B1042" s="4" t="str">
        <f>_xlfn.TEXTJOIN(,,'Truth Table'!B1042:M1042)</f>
        <v>111100000010</v>
      </c>
    </row>
    <row r="1043" spans="2:2" x14ac:dyDescent="0.25">
      <c r="B1043" s="4" t="str">
        <f>_xlfn.TEXTJOIN(,,'Truth Table'!B1043:M1043)</f>
        <v>000010000010</v>
      </c>
    </row>
    <row r="1044" spans="2:2" x14ac:dyDescent="0.25">
      <c r="B1044" s="4" t="str">
        <f>_xlfn.TEXTJOIN(,,'Truth Table'!B1044:M1044)</f>
        <v>100010000010</v>
      </c>
    </row>
    <row r="1045" spans="2:2" x14ac:dyDescent="0.25">
      <c r="B1045" s="4" t="str">
        <f>_xlfn.TEXTJOIN(,,'Truth Table'!B1045:M1045)</f>
        <v>010010000010</v>
      </c>
    </row>
    <row r="1046" spans="2:2" x14ac:dyDescent="0.25">
      <c r="B1046" s="4" t="str">
        <f>_xlfn.TEXTJOIN(,,'Truth Table'!B1046:M1046)</f>
        <v>110010000010</v>
      </c>
    </row>
    <row r="1047" spans="2:2" x14ac:dyDescent="0.25">
      <c r="B1047" s="4" t="str">
        <f>_xlfn.TEXTJOIN(,,'Truth Table'!B1047:M1047)</f>
        <v>001010000010</v>
      </c>
    </row>
    <row r="1048" spans="2:2" x14ac:dyDescent="0.25">
      <c r="B1048" s="4" t="str">
        <f>_xlfn.TEXTJOIN(,,'Truth Table'!B1048:M1048)</f>
        <v>101010000010</v>
      </c>
    </row>
    <row r="1049" spans="2:2" x14ac:dyDescent="0.25">
      <c r="B1049" s="4" t="str">
        <f>_xlfn.TEXTJOIN(,,'Truth Table'!B1049:M1049)</f>
        <v>011010000010</v>
      </c>
    </row>
    <row r="1050" spans="2:2" x14ac:dyDescent="0.25">
      <c r="B1050" s="4" t="str">
        <f>_xlfn.TEXTJOIN(,,'Truth Table'!B1050:M1050)</f>
        <v>111010000010</v>
      </c>
    </row>
    <row r="1051" spans="2:2" x14ac:dyDescent="0.25">
      <c r="B1051" s="4" t="str">
        <f>_xlfn.TEXTJOIN(,,'Truth Table'!B1051:M1051)</f>
        <v>000110000010</v>
      </c>
    </row>
    <row r="1052" spans="2:2" x14ac:dyDescent="0.25">
      <c r="B1052" s="4" t="str">
        <f>_xlfn.TEXTJOIN(,,'Truth Table'!B1052:M1052)</f>
        <v>100110000010</v>
      </c>
    </row>
    <row r="1053" spans="2:2" x14ac:dyDescent="0.25">
      <c r="B1053" s="4" t="str">
        <f>_xlfn.TEXTJOIN(,,'Truth Table'!B1053:M1053)</f>
        <v>010110000010</v>
      </c>
    </row>
    <row r="1054" spans="2:2" x14ac:dyDescent="0.25">
      <c r="B1054" s="4" t="str">
        <f>_xlfn.TEXTJOIN(,,'Truth Table'!B1054:M1054)</f>
        <v>110110000010</v>
      </c>
    </row>
    <row r="1055" spans="2:2" x14ac:dyDescent="0.25">
      <c r="B1055" s="4" t="str">
        <f>_xlfn.TEXTJOIN(,,'Truth Table'!B1055:M1055)</f>
        <v>001110000010</v>
      </c>
    </row>
    <row r="1056" spans="2:2" x14ac:dyDescent="0.25">
      <c r="B1056" s="4" t="str">
        <f>_xlfn.TEXTJOIN(,,'Truth Table'!B1056:M1056)</f>
        <v>101110000010</v>
      </c>
    </row>
    <row r="1057" spans="2:2" x14ac:dyDescent="0.25">
      <c r="B1057" s="4" t="str">
        <f>_xlfn.TEXTJOIN(,,'Truth Table'!B1057:M1057)</f>
        <v>011110000010</v>
      </c>
    </row>
    <row r="1058" spans="2:2" x14ac:dyDescent="0.25">
      <c r="B1058" s="4" t="str">
        <f>_xlfn.TEXTJOIN(,,'Truth Table'!B1058:M1058)</f>
        <v>111110000010</v>
      </c>
    </row>
    <row r="1059" spans="2:2" x14ac:dyDescent="0.25">
      <c r="B1059" s="4" t="str">
        <f>_xlfn.TEXTJOIN(,,'Truth Table'!B1059:M1059)</f>
        <v>000001000010</v>
      </c>
    </row>
    <row r="1060" spans="2:2" x14ac:dyDescent="0.25">
      <c r="B1060" s="4" t="str">
        <f>_xlfn.TEXTJOIN(,,'Truth Table'!B1060:M1060)</f>
        <v>100001000010</v>
      </c>
    </row>
    <row r="1061" spans="2:2" x14ac:dyDescent="0.25">
      <c r="B1061" s="4" t="str">
        <f>_xlfn.TEXTJOIN(,,'Truth Table'!B1061:M1061)</f>
        <v>010001000010</v>
      </c>
    </row>
    <row r="1062" spans="2:2" x14ac:dyDescent="0.25">
      <c r="B1062" s="4" t="str">
        <f>_xlfn.TEXTJOIN(,,'Truth Table'!B1062:M1062)</f>
        <v>110001000010</v>
      </c>
    </row>
    <row r="1063" spans="2:2" x14ac:dyDescent="0.25">
      <c r="B1063" s="4" t="str">
        <f>_xlfn.TEXTJOIN(,,'Truth Table'!B1063:M1063)</f>
        <v>001001000010</v>
      </c>
    </row>
    <row r="1064" spans="2:2" x14ac:dyDescent="0.25">
      <c r="B1064" s="4" t="str">
        <f>_xlfn.TEXTJOIN(,,'Truth Table'!B1064:M1064)</f>
        <v>101001000010</v>
      </c>
    </row>
    <row r="1065" spans="2:2" x14ac:dyDescent="0.25">
      <c r="B1065" s="4" t="str">
        <f>_xlfn.TEXTJOIN(,,'Truth Table'!B1065:M1065)</f>
        <v>011001000010</v>
      </c>
    </row>
    <row r="1066" spans="2:2" x14ac:dyDescent="0.25">
      <c r="B1066" s="4" t="str">
        <f>_xlfn.TEXTJOIN(,,'Truth Table'!B1066:M1066)</f>
        <v>111001000010</v>
      </c>
    </row>
    <row r="1067" spans="2:2" x14ac:dyDescent="0.25">
      <c r="B1067" s="4" t="str">
        <f>_xlfn.TEXTJOIN(,,'Truth Table'!B1067:M1067)</f>
        <v>000101000010</v>
      </c>
    </row>
    <row r="1068" spans="2:2" x14ac:dyDescent="0.25">
      <c r="B1068" s="4" t="str">
        <f>_xlfn.TEXTJOIN(,,'Truth Table'!B1068:M1068)</f>
        <v>100101000010</v>
      </c>
    </row>
    <row r="1069" spans="2:2" x14ac:dyDescent="0.25">
      <c r="B1069" s="4" t="str">
        <f>_xlfn.TEXTJOIN(,,'Truth Table'!B1069:M1069)</f>
        <v>010101000010</v>
      </c>
    </row>
    <row r="1070" spans="2:2" x14ac:dyDescent="0.25">
      <c r="B1070" s="4" t="str">
        <f>_xlfn.TEXTJOIN(,,'Truth Table'!B1070:M1070)</f>
        <v>110101000010</v>
      </c>
    </row>
    <row r="1071" spans="2:2" x14ac:dyDescent="0.25">
      <c r="B1071" s="4" t="str">
        <f>_xlfn.TEXTJOIN(,,'Truth Table'!B1071:M1071)</f>
        <v>001101000010</v>
      </c>
    </row>
    <row r="1072" spans="2:2" x14ac:dyDescent="0.25">
      <c r="B1072" s="4" t="str">
        <f>_xlfn.TEXTJOIN(,,'Truth Table'!B1072:M1072)</f>
        <v>101101000010</v>
      </c>
    </row>
    <row r="1073" spans="2:2" x14ac:dyDescent="0.25">
      <c r="B1073" s="4" t="str">
        <f>_xlfn.TEXTJOIN(,,'Truth Table'!B1073:M1073)</f>
        <v>011101000010</v>
      </c>
    </row>
    <row r="1074" spans="2:2" x14ac:dyDescent="0.25">
      <c r="B1074" s="4" t="str">
        <f>_xlfn.TEXTJOIN(,,'Truth Table'!B1074:M1074)</f>
        <v>111101000010</v>
      </c>
    </row>
    <row r="1075" spans="2:2" x14ac:dyDescent="0.25">
      <c r="B1075" s="4" t="str">
        <f>_xlfn.TEXTJOIN(,,'Truth Table'!B1075:M1075)</f>
        <v>000011000010</v>
      </c>
    </row>
    <row r="1076" spans="2:2" x14ac:dyDescent="0.25">
      <c r="B1076" s="4" t="str">
        <f>_xlfn.TEXTJOIN(,,'Truth Table'!B1076:M1076)</f>
        <v>100011000010</v>
      </c>
    </row>
    <row r="1077" spans="2:2" x14ac:dyDescent="0.25">
      <c r="B1077" s="4" t="str">
        <f>_xlfn.TEXTJOIN(,,'Truth Table'!B1077:M1077)</f>
        <v>010011000010</v>
      </c>
    </row>
    <row r="1078" spans="2:2" x14ac:dyDescent="0.25">
      <c r="B1078" s="4" t="str">
        <f>_xlfn.TEXTJOIN(,,'Truth Table'!B1078:M1078)</f>
        <v>110011000010</v>
      </c>
    </row>
    <row r="1079" spans="2:2" x14ac:dyDescent="0.25">
      <c r="B1079" s="4" t="str">
        <f>_xlfn.TEXTJOIN(,,'Truth Table'!B1079:M1079)</f>
        <v>001011000010</v>
      </c>
    </row>
    <row r="1080" spans="2:2" x14ac:dyDescent="0.25">
      <c r="B1080" s="4" t="str">
        <f>_xlfn.TEXTJOIN(,,'Truth Table'!B1080:M1080)</f>
        <v>101011000010</v>
      </c>
    </row>
    <row r="1081" spans="2:2" x14ac:dyDescent="0.25">
      <c r="B1081" s="4" t="str">
        <f>_xlfn.TEXTJOIN(,,'Truth Table'!B1081:M1081)</f>
        <v>011011000010</v>
      </c>
    </row>
    <row r="1082" spans="2:2" x14ac:dyDescent="0.25">
      <c r="B1082" s="4" t="str">
        <f>_xlfn.TEXTJOIN(,,'Truth Table'!B1082:M1082)</f>
        <v>111011000010</v>
      </c>
    </row>
    <row r="1083" spans="2:2" x14ac:dyDescent="0.25">
      <c r="B1083" s="4" t="str">
        <f>_xlfn.TEXTJOIN(,,'Truth Table'!B1083:M1083)</f>
        <v>000111000010</v>
      </c>
    </row>
    <row r="1084" spans="2:2" x14ac:dyDescent="0.25">
      <c r="B1084" s="4" t="str">
        <f>_xlfn.TEXTJOIN(,,'Truth Table'!B1084:M1084)</f>
        <v>100111000010</v>
      </c>
    </row>
    <row r="1085" spans="2:2" x14ac:dyDescent="0.25">
      <c r="B1085" s="4" t="str">
        <f>_xlfn.TEXTJOIN(,,'Truth Table'!B1085:M1085)</f>
        <v>010111000010</v>
      </c>
    </row>
    <row r="1086" spans="2:2" x14ac:dyDescent="0.25">
      <c r="B1086" s="4" t="str">
        <f>_xlfn.TEXTJOIN(,,'Truth Table'!B1086:M1086)</f>
        <v>110111000010</v>
      </c>
    </row>
    <row r="1087" spans="2:2" x14ac:dyDescent="0.25">
      <c r="B1087" s="4" t="str">
        <f>_xlfn.TEXTJOIN(,,'Truth Table'!B1087:M1087)</f>
        <v>001111000010</v>
      </c>
    </row>
    <row r="1088" spans="2:2" x14ac:dyDescent="0.25">
      <c r="B1088" s="4" t="str">
        <f>_xlfn.TEXTJOIN(,,'Truth Table'!B1088:M1088)</f>
        <v>101111000010</v>
      </c>
    </row>
    <row r="1089" spans="2:2" x14ac:dyDescent="0.25">
      <c r="B1089" s="4" t="str">
        <f>_xlfn.TEXTJOIN(,,'Truth Table'!B1089:M1089)</f>
        <v>011111000010</v>
      </c>
    </row>
    <row r="1090" spans="2:2" x14ac:dyDescent="0.25">
      <c r="B1090" s="4" t="str">
        <f>_xlfn.TEXTJOIN(,,'Truth Table'!B1090:M1090)</f>
        <v>111111000010</v>
      </c>
    </row>
    <row r="1091" spans="2:2" x14ac:dyDescent="0.25">
      <c r="B1091" s="4" t="str">
        <f>_xlfn.TEXTJOIN(,,'Truth Table'!B1091:M1091)</f>
        <v>000000100010</v>
      </c>
    </row>
    <row r="1092" spans="2:2" x14ac:dyDescent="0.25">
      <c r="B1092" s="4" t="str">
        <f>_xlfn.TEXTJOIN(,,'Truth Table'!B1092:M1092)</f>
        <v>100000100010</v>
      </c>
    </row>
    <row r="1093" spans="2:2" x14ac:dyDescent="0.25">
      <c r="B1093" s="4" t="str">
        <f>_xlfn.TEXTJOIN(,,'Truth Table'!B1093:M1093)</f>
        <v>010000100010</v>
      </c>
    </row>
    <row r="1094" spans="2:2" x14ac:dyDescent="0.25">
      <c r="B1094" s="4" t="str">
        <f>_xlfn.TEXTJOIN(,,'Truth Table'!B1094:M1094)</f>
        <v>110000100010</v>
      </c>
    </row>
    <row r="1095" spans="2:2" x14ac:dyDescent="0.25">
      <c r="B1095" s="4" t="str">
        <f>_xlfn.TEXTJOIN(,,'Truth Table'!B1095:M1095)</f>
        <v>001000100010</v>
      </c>
    </row>
    <row r="1096" spans="2:2" x14ac:dyDescent="0.25">
      <c r="B1096" s="4" t="str">
        <f>_xlfn.TEXTJOIN(,,'Truth Table'!B1096:M1096)</f>
        <v>101000100010</v>
      </c>
    </row>
    <row r="1097" spans="2:2" x14ac:dyDescent="0.25">
      <c r="B1097" s="4" t="str">
        <f>_xlfn.TEXTJOIN(,,'Truth Table'!B1097:M1097)</f>
        <v>011000100010</v>
      </c>
    </row>
    <row r="1098" spans="2:2" x14ac:dyDescent="0.25">
      <c r="B1098" s="4" t="str">
        <f>_xlfn.TEXTJOIN(,,'Truth Table'!B1098:M1098)</f>
        <v>111000100010</v>
      </c>
    </row>
    <row r="1099" spans="2:2" x14ac:dyDescent="0.25">
      <c r="B1099" s="4" t="str">
        <f>_xlfn.TEXTJOIN(,,'Truth Table'!B1099:M1099)</f>
        <v>000100100010</v>
      </c>
    </row>
    <row r="1100" spans="2:2" x14ac:dyDescent="0.25">
      <c r="B1100" s="4" t="str">
        <f>_xlfn.TEXTJOIN(,,'Truth Table'!B1100:M1100)</f>
        <v>100100100010</v>
      </c>
    </row>
    <row r="1101" spans="2:2" x14ac:dyDescent="0.25">
      <c r="B1101" s="4" t="str">
        <f>_xlfn.TEXTJOIN(,,'Truth Table'!B1101:M1101)</f>
        <v>010100100010</v>
      </c>
    </row>
    <row r="1102" spans="2:2" x14ac:dyDescent="0.25">
      <c r="B1102" s="4" t="str">
        <f>_xlfn.TEXTJOIN(,,'Truth Table'!B1102:M1102)</f>
        <v>110100100010</v>
      </c>
    </row>
    <row r="1103" spans="2:2" x14ac:dyDescent="0.25">
      <c r="B1103" s="4" t="str">
        <f>_xlfn.TEXTJOIN(,,'Truth Table'!B1103:M1103)</f>
        <v>001100100010</v>
      </c>
    </row>
    <row r="1104" spans="2:2" x14ac:dyDescent="0.25">
      <c r="B1104" s="4" t="str">
        <f>_xlfn.TEXTJOIN(,,'Truth Table'!B1104:M1104)</f>
        <v>101100100010</v>
      </c>
    </row>
    <row r="1105" spans="2:2" x14ac:dyDescent="0.25">
      <c r="B1105" s="4" t="str">
        <f>_xlfn.TEXTJOIN(,,'Truth Table'!B1105:M1105)</f>
        <v>011100100010</v>
      </c>
    </row>
    <row r="1106" spans="2:2" x14ac:dyDescent="0.25">
      <c r="B1106" s="4" t="str">
        <f>_xlfn.TEXTJOIN(,,'Truth Table'!B1106:M1106)</f>
        <v>111100100010</v>
      </c>
    </row>
    <row r="1107" spans="2:2" x14ac:dyDescent="0.25">
      <c r="B1107" s="4" t="str">
        <f>_xlfn.TEXTJOIN(,,'Truth Table'!B1107:M1107)</f>
        <v>000010100010</v>
      </c>
    </row>
    <row r="1108" spans="2:2" x14ac:dyDescent="0.25">
      <c r="B1108" s="4" t="str">
        <f>_xlfn.TEXTJOIN(,,'Truth Table'!B1108:M1108)</f>
        <v>100010100010</v>
      </c>
    </row>
    <row r="1109" spans="2:2" x14ac:dyDescent="0.25">
      <c r="B1109" s="4" t="str">
        <f>_xlfn.TEXTJOIN(,,'Truth Table'!B1109:M1109)</f>
        <v>010010100010</v>
      </c>
    </row>
    <row r="1110" spans="2:2" x14ac:dyDescent="0.25">
      <c r="B1110" s="4" t="str">
        <f>_xlfn.TEXTJOIN(,,'Truth Table'!B1110:M1110)</f>
        <v>110010100010</v>
      </c>
    </row>
    <row r="1111" spans="2:2" x14ac:dyDescent="0.25">
      <c r="B1111" s="4" t="str">
        <f>_xlfn.TEXTJOIN(,,'Truth Table'!B1111:M1111)</f>
        <v>001010100010</v>
      </c>
    </row>
    <row r="1112" spans="2:2" x14ac:dyDescent="0.25">
      <c r="B1112" s="4" t="str">
        <f>_xlfn.TEXTJOIN(,,'Truth Table'!B1112:M1112)</f>
        <v>101010100010</v>
      </c>
    </row>
    <row r="1113" spans="2:2" x14ac:dyDescent="0.25">
      <c r="B1113" s="4" t="str">
        <f>_xlfn.TEXTJOIN(,,'Truth Table'!B1113:M1113)</f>
        <v>011010100010</v>
      </c>
    </row>
    <row r="1114" spans="2:2" x14ac:dyDescent="0.25">
      <c r="B1114" s="4" t="str">
        <f>_xlfn.TEXTJOIN(,,'Truth Table'!B1114:M1114)</f>
        <v>111010100010</v>
      </c>
    </row>
    <row r="1115" spans="2:2" x14ac:dyDescent="0.25">
      <c r="B1115" s="4" t="str">
        <f>_xlfn.TEXTJOIN(,,'Truth Table'!B1115:M1115)</f>
        <v>000110100010</v>
      </c>
    </row>
    <row r="1116" spans="2:2" x14ac:dyDescent="0.25">
      <c r="B1116" s="4" t="str">
        <f>_xlfn.TEXTJOIN(,,'Truth Table'!B1116:M1116)</f>
        <v>100110100010</v>
      </c>
    </row>
    <row r="1117" spans="2:2" x14ac:dyDescent="0.25">
      <c r="B1117" s="4" t="str">
        <f>_xlfn.TEXTJOIN(,,'Truth Table'!B1117:M1117)</f>
        <v>010110100010</v>
      </c>
    </row>
    <row r="1118" spans="2:2" x14ac:dyDescent="0.25">
      <c r="B1118" s="4" t="str">
        <f>_xlfn.TEXTJOIN(,,'Truth Table'!B1118:M1118)</f>
        <v>110110100010</v>
      </c>
    </row>
    <row r="1119" spans="2:2" x14ac:dyDescent="0.25">
      <c r="B1119" s="4" t="str">
        <f>_xlfn.TEXTJOIN(,,'Truth Table'!B1119:M1119)</f>
        <v>001110100010</v>
      </c>
    </row>
    <row r="1120" spans="2:2" x14ac:dyDescent="0.25">
      <c r="B1120" s="4" t="str">
        <f>_xlfn.TEXTJOIN(,,'Truth Table'!B1120:M1120)</f>
        <v>101110100010</v>
      </c>
    </row>
    <row r="1121" spans="2:2" x14ac:dyDescent="0.25">
      <c r="B1121" s="4" t="str">
        <f>_xlfn.TEXTJOIN(,,'Truth Table'!B1121:M1121)</f>
        <v>011110100010</v>
      </c>
    </row>
    <row r="1122" spans="2:2" x14ac:dyDescent="0.25">
      <c r="B1122" s="4" t="str">
        <f>_xlfn.TEXTJOIN(,,'Truth Table'!B1122:M1122)</f>
        <v>111110100010</v>
      </c>
    </row>
    <row r="1123" spans="2:2" x14ac:dyDescent="0.25">
      <c r="B1123" s="4" t="str">
        <f>_xlfn.TEXTJOIN(,,'Truth Table'!B1123:M1123)</f>
        <v>000001100010</v>
      </c>
    </row>
    <row r="1124" spans="2:2" x14ac:dyDescent="0.25">
      <c r="B1124" s="4" t="str">
        <f>_xlfn.TEXTJOIN(,,'Truth Table'!B1124:M1124)</f>
        <v>100001100010</v>
      </c>
    </row>
    <row r="1125" spans="2:2" x14ac:dyDescent="0.25">
      <c r="B1125" s="4" t="str">
        <f>_xlfn.TEXTJOIN(,,'Truth Table'!B1125:M1125)</f>
        <v>010001100010</v>
      </c>
    </row>
    <row r="1126" spans="2:2" x14ac:dyDescent="0.25">
      <c r="B1126" s="4" t="str">
        <f>_xlfn.TEXTJOIN(,,'Truth Table'!B1126:M1126)</f>
        <v>110001100010</v>
      </c>
    </row>
    <row r="1127" spans="2:2" x14ac:dyDescent="0.25">
      <c r="B1127" s="4" t="str">
        <f>_xlfn.TEXTJOIN(,,'Truth Table'!B1127:M1127)</f>
        <v>001001100010</v>
      </c>
    </row>
    <row r="1128" spans="2:2" x14ac:dyDescent="0.25">
      <c r="B1128" s="4" t="str">
        <f>_xlfn.TEXTJOIN(,,'Truth Table'!B1128:M1128)</f>
        <v>101001100010</v>
      </c>
    </row>
    <row r="1129" spans="2:2" x14ac:dyDescent="0.25">
      <c r="B1129" s="4" t="str">
        <f>_xlfn.TEXTJOIN(,,'Truth Table'!B1129:M1129)</f>
        <v>011001100010</v>
      </c>
    </row>
    <row r="1130" spans="2:2" x14ac:dyDescent="0.25">
      <c r="B1130" s="4" t="str">
        <f>_xlfn.TEXTJOIN(,,'Truth Table'!B1130:M1130)</f>
        <v>111001100010</v>
      </c>
    </row>
    <row r="1131" spans="2:2" x14ac:dyDescent="0.25">
      <c r="B1131" s="4" t="str">
        <f>_xlfn.TEXTJOIN(,,'Truth Table'!B1131:M1131)</f>
        <v>000101100010</v>
      </c>
    </row>
    <row r="1132" spans="2:2" x14ac:dyDescent="0.25">
      <c r="B1132" s="4" t="str">
        <f>_xlfn.TEXTJOIN(,,'Truth Table'!B1132:M1132)</f>
        <v>100101100010</v>
      </c>
    </row>
    <row r="1133" spans="2:2" x14ac:dyDescent="0.25">
      <c r="B1133" s="4" t="str">
        <f>_xlfn.TEXTJOIN(,,'Truth Table'!B1133:M1133)</f>
        <v>010101100010</v>
      </c>
    </row>
    <row r="1134" spans="2:2" x14ac:dyDescent="0.25">
      <c r="B1134" s="4" t="str">
        <f>_xlfn.TEXTJOIN(,,'Truth Table'!B1134:M1134)</f>
        <v>110101100010</v>
      </c>
    </row>
    <row r="1135" spans="2:2" x14ac:dyDescent="0.25">
      <c r="B1135" s="4" t="str">
        <f>_xlfn.TEXTJOIN(,,'Truth Table'!B1135:M1135)</f>
        <v>001101100010</v>
      </c>
    </row>
    <row r="1136" spans="2:2" x14ac:dyDescent="0.25">
      <c r="B1136" s="4" t="str">
        <f>_xlfn.TEXTJOIN(,,'Truth Table'!B1136:M1136)</f>
        <v>101101100010</v>
      </c>
    </row>
    <row r="1137" spans="2:2" x14ac:dyDescent="0.25">
      <c r="B1137" s="4" t="str">
        <f>_xlfn.TEXTJOIN(,,'Truth Table'!B1137:M1137)</f>
        <v>011101100010</v>
      </c>
    </row>
    <row r="1138" spans="2:2" x14ac:dyDescent="0.25">
      <c r="B1138" s="4" t="str">
        <f>_xlfn.TEXTJOIN(,,'Truth Table'!B1138:M1138)</f>
        <v>111101100010</v>
      </c>
    </row>
    <row r="1139" spans="2:2" x14ac:dyDescent="0.25">
      <c r="B1139" s="4" t="str">
        <f>_xlfn.TEXTJOIN(,,'Truth Table'!B1139:M1139)</f>
        <v>000011100010</v>
      </c>
    </row>
    <row r="1140" spans="2:2" x14ac:dyDescent="0.25">
      <c r="B1140" s="4" t="str">
        <f>_xlfn.TEXTJOIN(,,'Truth Table'!B1140:M1140)</f>
        <v>100011100010</v>
      </c>
    </row>
    <row r="1141" spans="2:2" x14ac:dyDescent="0.25">
      <c r="B1141" s="4" t="str">
        <f>_xlfn.TEXTJOIN(,,'Truth Table'!B1141:M1141)</f>
        <v>010011100010</v>
      </c>
    </row>
    <row r="1142" spans="2:2" x14ac:dyDescent="0.25">
      <c r="B1142" s="4" t="str">
        <f>_xlfn.TEXTJOIN(,,'Truth Table'!B1142:M1142)</f>
        <v>110011100010</v>
      </c>
    </row>
    <row r="1143" spans="2:2" x14ac:dyDescent="0.25">
      <c r="B1143" s="4" t="str">
        <f>_xlfn.TEXTJOIN(,,'Truth Table'!B1143:M1143)</f>
        <v>001011100010</v>
      </c>
    </row>
    <row r="1144" spans="2:2" x14ac:dyDescent="0.25">
      <c r="B1144" s="4" t="str">
        <f>_xlfn.TEXTJOIN(,,'Truth Table'!B1144:M1144)</f>
        <v>101011100010</v>
      </c>
    </row>
    <row r="1145" spans="2:2" x14ac:dyDescent="0.25">
      <c r="B1145" s="4" t="str">
        <f>_xlfn.TEXTJOIN(,,'Truth Table'!B1145:M1145)</f>
        <v>011011100010</v>
      </c>
    </row>
    <row r="1146" spans="2:2" x14ac:dyDescent="0.25">
      <c r="B1146" s="4" t="str">
        <f>_xlfn.TEXTJOIN(,,'Truth Table'!B1146:M1146)</f>
        <v>111011100010</v>
      </c>
    </row>
    <row r="1147" spans="2:2" x14ac:dyDescent="0.25">
      <c r="B1147" s="4" t="str">
        <f>_xlfn.TEXTJOIN(,,'Truth Table'!B1147:M1147)</f>
        <v>000111100010</v>
      </c>
    </row>
    <row r="1148" spans="2:2" x14ac:dyDescent="0.25">
      <c r="B1148" s="4" t="str">
        <f>_xlfn.TEXTJOIN(,,'Truth Table'!B1148:M1148)</f>
        <v>100111100010</v>
      </c>
    </row>
    <row r="1149" spans="2:2" x14ac:dyDescent="0.25">
      <c r="B1149" s="4" t="str">
        <f>_xlfn.TEXTJOIN(,,'Truth Table'!B1149:M1149)</f>
        <v>010111100010</v>
      </c>
    </row>
    <row r="1150" spans="2:2" x14ac:dyDescent="0.25">
      <c r="B1150" s="4" t="str">
        <f>_xlfn.TEXTJOIN(,,'Truth Table'!B1150:M1150)</f>
        <v>110111100010</v>
      </c>
    </row>
    <row r="1151" spans="2:2" x14ac:dyDescent="0.25">
      <c r="B1151" s="4" t="str">
        <f>_xlfn.TEXTJOIN(,,'Truth Table'!B1151:M1151)</f>
        <v>001111100010</v>
      </c>
    </row>
    <row r="1152" spans="2:2" x14ac:dyDescent="0.25">
      <c r="B1152" s="4" t="str">
        <f>_xlfn.TEXTJOIN(,,'Truth Table'!B1152:M1152)</f>
        <v>101111100010</v>
      </c>
    </row>
    <row r="1153" spans="2:2" x14ac:dyDescent="0.25">
      <c r="B1153" s="4" t="str">
        <f>_xlfn.TEXTJOIN(,,'Truth Table'!B1153:M1153)</f>
        <v>011111100010</v>
      </c>
    </row>
    <row r="1154" spans="2:2" x14ac:dyDescent="0.25">
      <c r="B1154" s="4" t="str">
        <f>_xlfn.TEXTJOIN(,,'Truth Table'!B1154:M1154)</f>
        <v>111111100010</v>
      </c>
    </row>
    <row r="1155" spans="2:2" x14ac:dyDescent="0.25">
      <c r="B1155" s="4" t="str">
        <f>_xlfn.TEXTJOIN(,,'Truth Table'!B1155:M1155)</f>
        <v>000000010010</v>
      </c>
    </row>
    <row r="1156" spans="2:2" x14ac:dyDescent="0.25">
      <c r="B1156" s="4" t="str">
        <f>_xlfn.TEXTJOIN(,,'Truth Table'!B1156:M1156)</f>
        <v>100000010010</v>
      </c>
    </row>
    <row r="1157" spans="2:2" x14ac:dyDescent="0.25">
      <c r="B1157" s="4" t="str">
        <f>_xlfn.TEXTJOIN(,,'Truth Table'!B1157:M1157)</f>
        <v>010000010010</v>
      </c>
    </row>
    <row r="1158" spans="2:2" x14ac:dyDescent="0.25">
      <c r="B1158" s="4" t="str">
        <f>_xlfn.TEXTJOIN(,,'Truth Table'!B1158:M1158)</f>
        <v>110000010010</v>
      </c>
    </row>
    <row r="1159" spans="2:2" x14ac:dyDescent="0.25">
      <c r="B1159" s="4" t="str">
        <f>_xlfn.TEXTJOIN(,,'Truth Table'!B1159:M1159)</f>
        <v>001000010010</v>
      </c>
    </row>
    <row r="1160" spans="2:2" x14ac:dyDescent="0.25">
      <c r="B1160" s="4" t="str">
        <f>_xlfn.TEXTJOIN(,,'Truth Table'!B1160:M1160)</f>
        <v>101000010010</v>
      </c>
    </row>
    <row r="1161" spans="2:2" x14ac:dyDescent="0.25">
      <c r="B1161" s="4" t="str">
        <f>_xlfn.TEXTJOIN(,,'Truth Table'!B1161:M1161)</f>
        <v>011000010010</v>
      </c>
    </row>
    <row r="1162" spans="2:2" x14ac:dyDescent="0.25">
      <c r="B1162" s="4" t="str">
        <f>_xlfn.TEXTJOIN(,,'Truth Table'!B1162:M1162)</f>
        <v>111000010010</v>
      </c>
    </row>
    <row r="1163" spans="2:2" x14ac:dyDescent="0.25">
      <c r="B1163" s="4" t="str">
        <f>_xlfn.TEXTJOIN(,,'Truth Table'!B1163:M1163)</f>
        <v>000100010010</v>
      </c>
    </row>
    <row r="1164" spans="2:2" x14ac:dyDescent="0.25">
      <c r="B1164" s="4" t="str">
        <f>_xlfn.TEXTJOIN(,,'Truth Table'!B1164:M1164)</f>
        <v>100100010010</v>
      </c>
    </row>
    <row r="1165" spans="2:2" x14ac:dyDescent="0.25">
      <c r="B1165" s="4" t="str">
        <f>_xlfn.TEXTJOIN(,,'Truth Table'!B1165:M1165)</f>
        <v>010100010010</v>
      </c>
    </row>
    <row r="1166" spans="2:2" x14ac:dyDescent="0.25">
      <c r="B1166" s="4" t="str">
        <f>_xlfn.TEXTJOIN(,,'Truth Table'!B1166:M1166)</f>
        <v>110100010010</v>
      </c>
    </row>
    <row r="1167" spans="2:2" x14ac:dyDescent="0.25">
      <c r="B1167" s="4" t="str">
        <f>_xlfn.TEXTJOIN(,,'Truth Table'!B1167:M1167)</f>
        <v>001100010010</v>
      </c>
    </row>
    <row r="1168" spans="2:2" x14ac:dyDescent="0.25">
      <c r="B1168" s="4" t="str">
        <f>_xlfn.TEXTJOIN(,,'Truth Table'!B1168:M1168)</f>
        <v>101100010010</v>
      </c>
    </row>
    <row r="1169" spans="2:2" x14ac:dyDescent="0.25">
      <c r="B1169" s="4" t="str">
        <f>_xlfn.TEXTJOIN(,,'Truth Table'!B1169:M1169)</f>
        <v>011100010010</v>
      </c>
    </row>
    <row r="1170" spans="2:2" x14ac:dyDescent="0.25">
      <c r="B1170" s="4" t="str">
        <f>_xlfn.TEXTJOIN(,,'Truth Table'!B1170:M1170)</f>
        <v>111100010010</v>
      </c>
    </row>
    <row r="1171" spans="2:2" x14ac:dyDescent="0.25">
      <c r="B1171" s="4" t="str">
        <f>_xlfn.TEXTJOIN(,,'Truth Table'!B1171:M1171)</f>
        <v>000010010010</v>
      </c>
    </row>
    <row r="1172" spans="2:2" x14ac:dyDescent="0.25">
      <c r="B1172" s="4" t="str">
        <f>_xlfn.TEXTJOIN(,,'Truth Table'!B1172:M1172)</f>
        <v>100010010010</v>
      </c>
    </row>
    <row r="1173" spans="2:2" x14ac:dyDescent="0.25">
      <c r="B1173" s="4" t="str">
        <f>_xlfn.TEXTJOIN(,,'Truth Table'!B1173:M1173)</f>
        <v>010010010010</v>
      </c>
    </row>
    <row r="1174" spans="2:2" x14ac:dyDescent="0.25">
      <c r="B1174" s="4" t="str">
        <f>_xlfn.TEXTJOIN(,,'Truth Table'!B1174:M1174)</f>
        <v>110010010010</v>
      </c>
    </row>
    <row r="1175" spans="2:2" x14ac:dyDescent="0.25">
      <c r="B1175" s="4" t="str">
        <f>_xlfn.TEXTJOIN(,,'Truth Table'!B1175:M1175)</f>
        <v>001010010010</v>
      </c>
    </row>
    <row r="1176" spans="2:2" x14ac:dyDescent="0.25">
      <c r="B1176" s="4" t="str">
        <f>_xlfn.TEXTJOIN(,,'Truth Table'!B1176:M1176)</f>
        <v>101010010010</v>
      </c>
    </row>
    <row r="1177" spans="2:2" x14ac:dyDescent="0.25">
      <c r="B1177" s="4" t="str">
        <f>_xlfn.TEXTJOIN(,,'Truth Table'!B1177:M1177)</f>
        <v>011010010010</v>
      </c>
    </row>
    <row r="1178" spans="2:2" x14ac:dyDescent="0.25">
      <c r="B1178" s="4" t="str">
        <f>_xlfn.TEXTJOIN(,,'Truth Table'!B1178:M1178)</f>
        <v>111010010010</v>
      </c>
    </row>
    <row r="1179" spans="2:2" x14ac:dyDescent="0.25">
      <c r="B1179" s="4" t="str">
        <f>_xlfn.TEXTJOIN(,,'Truth Table'!B1179:M1179)</f>
        <v>000110010010</v>
      </c>
    </row>
    <row r="1180" spans="2:2" x14ac:dyDescent="0.25">
      <c r="B1180" s="4" t="str">
        <f>_xlfn.TEXTJOIN(,,'Truth Table'!B1180:M1180)</f>
        <v>100110010010</v>
      </c>
    </row>
    <row r="1181" spans="2:2" x14ac:dyDescent="0.25">
      <c r="B1181" s="4" t="str">
        <f>_xlfn.TEXTJOIN(,,'Truth Table'!B1181:M1181)</f>
        <v>010110010010</v>
      </c>
    </row>
    <row r="1182" spans="2:2" x14ac:dyDescent="0.25">
      <c r="B1182" s="4" t="str">
        <f>_xlfn.TEXTJOIN(,,'Truth Table'!B1182:M1182)</f>
        <v>110110010010</v>
      </c>
    </row>
    <row r="1183" spans="2:2" x14ac:dyDescent="0.25">
      <c r="B1183" s="4" t="str">
        <f>_xlfn.TEXTJOIN(,,'Truth Table'!B1183:M1183)</f>
        <v>001110010010</v>
      </c>
    </row>
    <row r="1184" spans="2:2" x14ac:dyDescent="0.25">
      <c r="B1184" s="4" t="str">
        <f>_xlfn.TEXTJOIN(,,'Truth Table'!B1184:M1184)</f>
        <v>101110010010</v>
      </c>
    </row>
    <row r="1185" spans="2:2" x14ac:dyDescent="0.25">
      <c r="B1185" s="4" t="str">
        <f>_xlfn.TEXTJOIN(,,'Truth Table'!B1185:M1185)</f>
        <v>011110010010</v>
      </c>
    </row>
    <row r="1186" spans="2:2" x14ac:dyDescent="0.25">
      <c r="B1186" s="4" t="str">
        <f>_xlfn.TEXTJOIN(,,'Truth Table'!B1186:M1186)</f>
        <v>111110010010</v>
      </c>
    </row>
    <row r="1187" spans="2:2" x14ac:dyDescent="0.25">
      <c r="B1187" s="4" t="str">
        <f>_xlfn.TEXTJOIN(,,'Truth Table'!B1187:M1187)</f>
        <v>000001010010</v>
      </c>
    </row>
    <row r="1188" spans="2:2" x14ac:dyDescent="0.25">
      <c r="B1188" s="4" t="str">
        <f>_xlfn.TEXTJOIN(,,'Truth Table'!B1188:M1188)</f>
        <v>100001010010</v>
      </c>
    </row>
    <row r="1189" spans="2:2" x14ac:dyDescent="0.25">
      <c r="B1189" s="4" t="str">
        <f>_xlfn.TEXTJOIN(,,'Truth Table'!B1189:M1189)</f>
        <v>010001010010</v>
      </c>
    </row>
    <row r="1190" spans="2:2" x14ac:dyDescent="0.25">
      <c r="B1190" s="4" t="str">
        <f>_xlfn.TEXTJOIN(,,'Truth Table'!B1190:M1190)</f>
        <v>110001010010</v>
      </c>
    </row>
    <row r="1191" spans="2:2" x14ac:dyDescent="0.25">
      <c r="B1191" s="4" t="str">
        <f>_xlfn.TEXTJOIN(,,'Truth Table'!B1191:M1191)</f>
        <v>001001010010</v>
      </c>
    </row>
    <row r="1192" spans="2:2" x14ac:dyDescent="0.25">
      <c r="B1192" s="4" t="str">
        <f>_xlfn.TEXTJOIN(,,'Truth Table'!B1192:M1192)</f>
        <v>101001010010</v>
      </c>
    </row>
    <row r="1193" spans="2:2" x14ac:dyDescent="0.25">
      <c r="B1193" s="4" t="str">
        <f>_xlfn.TEXTJOIN(,,'Truth Table'!B1193:M1193)</f>
        <v>011001010010</v>
      </c>
    </row>
    <row r="1194" spans="2:2" x14ac:dyDescent="0.25">
      <c r="B1194" s="4" t="str">
        <f>_xlfn.TEXTJOIN(,,'Truth Table'!B1194:M1194)</f>
        <v>111001010010</v>
      </c>
    </row>
    <row r="1195" spans="2:2" x14ac:dyDescent="0.25">
      <c r="B1195" s="4" t="str">
        <f>_xlfn.TEXTJOIN(,,'Truth Table'!B1195:M1195)</f>
        <v>000101010010</v>
      </c>
    </row>
    <row r="1196" spans="2:2" x14ac:dyDescent="0.25">
      <c r="B1196" s="4" t="str">
        <f>_xlfn.TEXTJOIN(,,'Truth Table'!B1196:M1196)</f>
        <v>100101010010</v>
      </c>
    </row>
    <row r="1197" spans="2:2" x14ac:dyDescent="0.25">
      <c r="B1197" s="4" t="str">
        <f>_xlfn.TEXTJOIN(,,'Truth Table'!B1197:M1197)</f>
        <v>010101010010</v>
      </c>
    </row>
    <row r="1198" spans="2:2" x14ac:dyDescent="0.25">
      <c r="B1198" s="4" t="str">
        <f>_xlfn.TEXTJOIN(,,'Truth Table'!B1198:M1198)</f>
        <v>110101010010</v>
      </c>
    </row>
    <row r="1199" spans="2:2" x14ac:dyDescent="0.25">
      <c r="B1199" s="4" t="str">
        <f>_xlfn.TEXTJOIN(,,'Truth Table'!B1199:M1199)</f>
        <v>001101010010</v>
      </c>
    </row>
    <row r="1200" spans="2:2" x14ac:dyDescent="0.25">
      <c r="B1200" s="4" t="str">
        <f>_xlfn.TEXTJOIN(,,'Truth Table'!B1200:M1200)</f>
        <v>101101010010</v>
      </c>
    </row>
    <row r="1201" spans="2:2" x14ac:dyDescent="0.25">
      <c r="B1201" s="4" t="str">
        <f>_xlfn.TEXTJOIN(,,'Truth Table'!B1201:M1201)</f>
        <v>011101010010</v>
      </c>
    </row>
    <row r="1202" spans="2:2" x14ac:dyDescent="0.25">
      <c r="B1202" s="4" t="str">
        <f>_xlfn.TEXTJOIN(,,'Truth Table'!B1202:M1202)</f>
        <v>111101010010</v>
      </c>
    </row>
    <row r="1203" spans="2:2" x14ac:dyDescent="0.25">
      <c r="B1203" s="4" t="str">
        <f>_xlfn.TEXTJOIN(,,'Truth Table'!B1203:M1203)</f>
        <v>000011010010</v>
      </c>
    </row>
    <row r="1204" spans="2:2" x14ac:dyDescent="0.25">
      <c r="B1204" s="4" t="str">
        <f>_xlfn.TEXTJOIN(,,'Truth Table'!B1204:M1204)</f>
        <v>100011010010</v>
      </c>
    </row>
    <row r="1205" spans="2:2" x14ac:dyDescent="0.25">
      <c r="B1205" s="4" t="str">
        <f>_xlfn.TEXTJOIN(,,'Truth Table'!B1205:M1205)</f>
        <v>010011010010</v>
      </c>
    </row>
    <row r="1206" spans="2:2" x14ac:dyDescent="0.25">
      <c r="B1206" s="4" t="str">
        <f>_xlfn.TEXTJOIN(,,'Truth Table'!B1206:M1206)</f>
        <v>110011010010</v>
      </c>
    </row>
    <row r="1207" spans="2:2" x14ac:dyDescent="0.25">
      <c r="B1207" s="4" t="str">
        <f>_xlfn.TEXTJOIN(,,'Truth Table'!B1207:M1207)</f>
        <v>001011010010</v>
      </c>
    </row>
    <row r="1208" spans="2:2" x14ac:dyDescent="0.25">
      <c r="B1208" s="4" t="str">
        <f>_xlfn.TEXTJOIN(,,'Truth Table'!B1208:M1208)</f>
        <v>101011010010</v>
      </c>
    </row>
    <row r="1209" spans="2:2" x14ac:dyDescent="0.25">
      <c r="B1209" s="4" t="str">
        <f>_xlfn.TEXTJOIN(,,'Truth Table'!B1209:M1209)</f>
        <v>011011010010</v>
      </c>
    </row>
    <row r="1210" spans="2:2" x14ac:dyDescent="0.25">
      <c r="B1210" s="4" t="str">
        <f>_xlfn.TEXTJOIN(,,'Truth Table'!B1210:M1210)</f>
        <v>111011010010</v>
      </c>
    </row>
    <row r="1211" spans="2:2" x14ac:dyDescent="0.25">
      <c r="B1211" s="4" t="str">
        <f>_xlfn.TEXTJOIN(,,'Truth Table'!B1211:M1211)</f>
        <v>000111010010</v>
      </c>
    </row>
    <row r="1212" spans="2:2" x14ac:dyDescent="0.25">
      <c r="B1212" s="4" t="str">
        <f>_xlfn.TEXTJOIN(,,'Truth Table'!B1212:M1212)</f>
        <v>100111010010</v>
      </c>
    </row>
    <row r="1213" spans="2:2" x14ac:dyDescent="0.25">
      <c r="B1213" s="4" t="str">
        <f>_xlfn.TEXTJOIN(,,'Truth Table'!B1213:M1213)</f>
        <v>010111010010</v>
      </c>
    </row>
    <row r="1214" spans="2:2" x14ac:dyDescent="0.25">
      <c r="B1214" s="4" t="str">
        <f>_xlfn.TEXTJOIN(,,'Truth Table'!B1214:M1214)</f>
        <v>110111010010</v>
      </c>
    </row>
    <row r="1215" spans="2:2" x14ac:dyDescent="0.25">
      <c r="B1215" s="4" t="str">
        <f>_xlfn.TEXTJOIN(,,'Truth Table'!B1215:M1215)</f>
        <v>001111010010</v>
      </c>
    </row>
    <row r="1216" spans="2:2" x14ac:dyDescent="0.25">
      <c r="B1216" s="4" t="str">
        <f>_xlfn.TEXTJOIN(,,'Truth Table'!B1216:M1216)</f>
        <v>101111010010</v>
      </c>
    </row>
    <row r="1217" spans="2:2" x14ac:dyDescent="0.25">
      <c r="B1217" s="4" t="str">
        <f>_xlfn.TEXTJOIN(,,'Truth Table'!B1217:M1217)</f>
        <v>011111010010</v>
      </c>
    </row>
    <row r="1218" spans="2:2" x14ac:dyDescent="0.25">
      <c r="B1218" s="4" t="str">
        <f>_xlfn.TEXTJOIN(,,'Truth Table'!B1218:M1218)</f>
        <v>111111010010</v>
      </c>
    </row>
    <row r="1219" spans="2:2" x14ac:dyDescent="0.25">
      <c r="B1219" s="4" t="str">
        <f>_xlfn.TEXTJOIN(,,'Truth Table'!B1219:M1219)</f>
        <v>000000110010</v>
      </c>
    </row>
    <row r="1220" spans="2:2" x14ac:dyDescent="0.25">
      <c r="B1220" s="4" t="str">
        <f>_xlfn.TEXTJOIN(,,'Truth Table'!B1220:M1220)</f>
        <v>100000110010</v>
      </c>
    </row>
    <row r="1221" spans="2:2" x14ac:dyDescent="0.25">
      <c r="B1221" s="4" t="str">
        <f>_xlfn.TEXTJOIN(,,'Truth Table'!B1221:M1221)</f>
        <v>010000110010</v>
      </c>
    </row>
    <row r="1222" spans="2:2" x14ac:dyDescent="0.25">
      <c r="B1222" s="4" t="str">
        <f>_xlfn.TEXTJOIN(,,'Truth Table'!B1222:M1222)</f>
        <v>110000110010</v>
      </c>
    </row>
    <row r="1223" spans="2:2" x14ac:dyDescent="0.25">
      <c r="B1223" s="4" t="str">
        <f>_xlfn.TEXTJOIN(,,'Truth Table'!B1223:M1223)</f>
        <v>001000110010</v>
      </c>
    </row>
    <row r="1224" spans="2:2" x14ac:dyDescent="0.25">
      <c r="B1224" s="4" t="str">
        <f>_xlfn.TEXTJOIN(,,'Truth Table'!B1224:M1224)</f>
        <v>101000110010</v>
      </c>
    </row>
    <row r="1225" spans="2:2" x14ac:dyDescent="0.25">
      <c r="B1225" s="4" t="str">
        <f>_xlfn.TEXTJOIN(,,'Truth Table'!B1225:M1225)</f>
        <v>011000110010</v>
      </c>
    </row>
    <row r="1226" spans="2:2" x14ac:dyDescent="0.25">
      <c r="B1226" s="4" t="str">
        <f>_xlfn.TEXTJOIN(,,'Truth Table'!B1226:M1226)</f>
        <v>111000110010</v>
      </c>
    </row>
    <row r="1227" spans="2:2" x14ac:dyDescent="0.25">
      <c r="B1227" s="4" t="str">
        <f>_xlfn.TEXTJOIN(,,'Truth Table'!B1227:M1227)</f>
        <v>000100110010</v>
      </c>
    </row>
    <row r="1228" spans="2:2" x14ac:dyDescent="0.25">
      <c r="B1228" s="4" t="str">
        <f>_xlfn.TEXTJOIN(,,'Truth Table'!B1228:M1228)</f>
        <v>100100110010</v>
      </c>
    </row>
    <row r="1229" spans="2:2" x14ac:dyDescent="0.25">
      <c r="B1229" s="4" t="str">
        <f>_xlfn.TEXTJOIN(,,'Truth Table'!B1229:M1229)</f>
        <v>010100110010</v>
      </c>
    </row>
    <row r="1230" spans="2:2" x14ac:dyDescent="0.25">
      <c r="B1230" s="4" t="str">
        <f>_xlfn.TEXTJOIN(,,'Truth Table'!B1230:M1230)</f>
        <v>110100110010</v>
      </c>
    </row>
    <row r="1231" spans="2:2" x14ac:dyDescent="0.25">
      <c r="B1231" s="4" t="str">
        <f>_xlfn.TEXTJOIN(,,'Truth Table'!B1231:M1231)</f>
        <v>001100110010</v>
      </c>
    </row>
    <row r="1232" spans="2:2" x14ac:dyDescent="0.25">
      <c r="B1232" s="4" t="str">
        <f>_xlfn.TEXTJOIN(,,'Truth Table'!B1232:M1232)</f>
        <v>101100110010</v>
      </c>
    </row>
    <row r="1233" spans="2:2" x14ac:dyDescent="0.25">
      <c r="B1233" s="4" t="str">
        <f>_xlfn.TEXTJOIN(,,'Truth Table'!B1233:M1233)</f>
        <v>011100110010</v>
      </c>
    </row>
    <row r="1234" spans="2:2" x14ac:dyDescent="0.25">
      <c r="B1234" s="4" t="str">
        <f>_xlfn.TEXTJOIN(,,'Truth Table'!B1234:M1234)</f>
        <v>111100110010</v>
      </c>
    </row>
    <row r="1235" spans="2:2" x14ac:dyDescent="0.25">
      <c r="B1235" s="4" t="str">
        <f>_xlfn.TEXTJOIN(,,'Truth Table'!B1235:M1235)</f>
        <v>000010110010</v>
      </c>
    </row>
    <row r="1236" spans="2:2" x14ac:dyDescent="0.25">
      <c r="B1236" s="4" t="str">
        <f>_xlfn.TEXTJOIN(,,'Truth Table'!B1236:M1236)</f>
        <v>100010110010</v>
      </c>
    </row>
    <row r="1237" spans="2:2" x14ac:dyDescent="0.25">
      <c r="B1237" s="4" t="str">
        <f>_xlfn.TEXTJOIN(,,'Truth Table'!B1237:M1237)</f>
        <v>010010110010</v>
      </c>
    </row>
    <row r="1238" spans="2:2" x14ac:dyDescent="0.25">
      <c r="B1238" s="4" t="str">
        <f>_xlfn.TEXTJOIN(,,'Truth Table'!B1238:M1238)</f>
        <v>110010110010</v>
      </c>
    </row>
    <row r="1239" spans="2:2" x14ac:dyDescent="0.25">
      <c r="B1239" s="4" t="str">
        <f>_xlfn.TEXTJOIN(,,'Truth Table'!B1239:M1239)</f>
        <v>001010110010</v>
      </c>
    </row>
    <row r="1240" spans="2:2" x14ac:dyDescent="0.25">
      <c r="B1240" s="4" t="str">
        <f>_xlfn.TEXTJOIN(,,'Truth Table'!B1240:M1240)</f>
        <v>101010110010</v>
      </c>
    </row>
    <row r="1241" spans="2:2" x14ac:dyDescent="0.25">
      <c r="B1241" s="4" t="str">
        <f>_xlfn.TEXTJOIN(,,'Truth Table'!B1241:M1241)</f>
        <v>011010110010</v>
      </c>
    </row>
    <row r="1242" spans="2:2" x14ac:dyDescent="0.25">
      <c r="B1242" s="4" t="str">
        <f>_xlfn.TEXTJOIN(,,'Truth Table'!B1242:M1242)</f>
        <v>111010110010</v>
      </c>
    </row>
    <row r="1243" spans="2:2" x14ac:dyDescent="0.25">
      <c r="B1243" s="4" t="str">
        <f>_xlfn.TEXTJOIN(,,'Truth Table'!B1243:M1243)</f>
        <v>000110110010</v>
      </c>
    </row>
    <row r="1244" spans="2:2" x14ac:dyDescent="0.25">
      <c r="B1244" s="4" t="str">
        <f>_xlfn.TEXTJOIN(,,'Truth Table'!B1244:M1244)</f>
        <v>100110110010</v>
      </c>
    </row>
    <row r="1245" spans="2:2" x14ac:dyDescent="0.25">
      <c r="B1245" s="4" t="str">
        <f>_xlfn.TEXTJOIN(,,'Truth Table'!B1245:M1245)</f>
        <v>010110110010</v>
      </c>
    </row>
    <row r="1246" spans="2:2" x14ac:dyDescent="0.25">
      <c r="B1246" s="4" t="str">
        <f>_xlfn.TEXTJOIN(,,'Truth Table'!B1246:M1246)</f>
        <v>110110110010</v>
      </c>
    </row>
    <row r="1247" spans="2:2" x14ac:dyDescent="0.25">
      <c r="B1247" s="4" t="str">
        <f>_xlfn.TEXTJOIN(,,'Truth Table'!B1247:M1247)</f>
        <v>001110110010</v>
      </c>
    </row>
    <row r="1248" spans="2:2" x14ac:dyDescent="0.25">
      <c r="B1248" s="4" t="str">
        <f>_xlfn.TEXTJOIN(,,'Truth Table'!B1248:M1248)</f>
        <v>101110110010</v>
      </c>
    </row>
    <row r="1249" spans="2:2" x14ac:dyDescent="0.25">
      <c r="B1249" s="4" t="str">
        <f>_xlfn.TEXTJOIN(,,'Truth Table'!B1249:M1249)</f>
        <v>011110110010</v>
      </c>
    </row>
    <row r="1250" spans="2:2" x14ac:dyDescent="0.25">
      <c r="B1250" s="4" t="str">
        <f>_xlfn.TEXTJOIN(,,'Truth Table'!B1250:M1250)</f>
        <v>111110110010</v>
      </c>
    </row>
    <row r="1251" spans="2:2" x14ac:dyDescent="0.25">
      <c r="B1251" s="4" t="str">
        <f>_xlfn.TEXTJOIN(,,'Truth Table'!B1251:M1251)</f>
        <v>000001110010</v>
      </c>
    </row>
    <row r="1252" spans="2:2" x14ac:dyDescent="0.25">
      <c r="B1252" s="4" t="str">
        <f>_xlfn.TEXTJOIN(,,'Truth Table'!B1252:M1252)</f>
        <v>100001110010</v>
      </c>
    </row>
    <row r="1253" spans="2:2" x14ac:dyDescent="0.25">
      <c r="B1253" s="4" t="str">
        <f>_xlfn.TEXTJOIN(,,'Truth Table'!B1253:M1253)</f>
        <v>010001110010</v>
      </c>
    </row>
    <row r="1254" spans="2:2" x14ac:dyDescent="0.25">
      <c r="B1254" s="4" t="str">
        <f>_xlfn.TEXTJOIN(,,'Truth Table'!B1254:M1254)</f>
        <v>110001110010</v>
      </c>
    </row>
    <row r="1255" spans="2:2" x14ac:dyDescent="0.25">
      <c r="B1255" s="4" t="str">
        <f>_xlfn.TEXTJOIN(,,'Truth Table'!B1255:M1255)</f>
        <v>001001110010</v>
      </c>
    </row>
    <row r="1256" spans="2:2" x14ac:dyDescent="0.25">
      <c r="B1256" s="4" t="str">
        <f>_xlfn.TEXTJOIN(,,'Truth Table'!B1256:M1256)</f>
        <v>101001110010</v>
      </c>
    </row>
    <row r="1257" spans="2:2" x14ac:dyDescent="0.25">
      <c r="B1257" s="4" t="str">
        <f>_xlfn.TEXTJOIN(,,'Truth Table'!B1257:M1257)</f>
        <v>011001110010</v>
      </c>
    </row>
    <row r="1258" spans="2:2" x14ac:dyDescent="0.25">
      <c r="B1258" s="4" t="str">
        <f>_xlfn.TEXTJOIN(,,'Truth Table'!B1258:M1258)</f>
        <v>111001110010</v>
      </c>
    </row>
    <row r="1259" spans="2:2" x14ac:dyDescent="0.25">
      <c r="B1259" s="4" t="str">
        <f>_xlfn.TEXTJOIN(,,'Truth Table'!B1259:M1259)</f>
        <v>000101110010</v>
      </c>
    </row>
    <row r="1260" spans="2:2" x14ac:dyDescent="0.25">
      <c r="B1260" s="4" t="str">
        <f>_xlfn.TEXTJOIN(,,'Truth Table'!B1260:M1260)</f>
        <v>100101110010</v>
      </c>
    </row>
    <row r="1261" spans="2:2" x14ac:dyDescent="0.25">
      <c r="B1261" s="4" t="str">
        <f>_xlfn.TEXTJOIN(,,'Truth Table'!B1261:M1261)</f>
        <v>010101110010</v>
      </c>
    </row>
    <row r="1262" spans="2:2" x14ac:dyDescent="0.25">
      <c r="B1262" s="4" t="str">
        <f>_xlfn.TEXTJOIN(,,'Truth Table'!B1262:M1262)</f>
        <v>110101110010</v>
      </c>
    </row>
    <row r="1263" spans="2:2" x14ac:dyDescent="0.25">
      <c r="B1263" s="4" t="str">
        <f>_xlfn.TEXTJOIN(,,'Truth Table'!B1263:M1263)</f>
        <v>001101110010</v>
      </c>
    </row>
    <row r="1264" spans="2:2" x14ac:dyDescent="0.25">
      <c r="B1264" s="4" t="str">
        <f>_xlfn.TEXTJOIN(,,'Truth Table'!B1264:M1264)</f>
        <v>101101110010</v>
      </c>
    </row>
    <row r="1265" spans="2:2" x14ac:dyDescent="0.25">
      <c r="B1265" s="4" t="str">
        <f>_xlfn.TEXTJOIN(,,'Truth Table'!B1265:M1265)</f>
        <v>011101110010</v>
      </c>
    </row>
    <row r="1266" spans="2:2" x14ac:dyDescent="0.25">
      <c r="B1266" s="4" t="str">
        <f>_xlfn.TEXTJOIN(,,'Truth Table'!B1266:M1266)</f>
        <v>111101110010</v>
      </c>
    </row>
    <row r="1267" spans="2:2" x14ac:dyDescent="0.25">
      <c r="B1267" s="4" t="str">
        <f>_xlfn.TEXTJOIN(,,'Truth Table'!B1267:M1267)</f>
        <v>000011110010</v>
      </c>
    </row>
    <row r="1268" spans="2:2" x14ac:dyDescent="0.25">
      <c r="B1268" s="4" t="str">
        <f>_xlfn.TEXTJOIN(,,'Truth Table'!B1268:M1268)</f>
        <v>100011110010</v>
      </c>
    </row>
    <row r="1269" spans="2:2" x14ac:dyDescent="0.25">
      <c r="B1269" s="4" t="str">
        <f>_xlfn.TEXTJOIN(,,'Truth Table'!B1269:M1269)</f>
        <v>010011110010</v>
      </c>
    </row>
    <row r="1270" spans="2:2" x14ac:dyDescent="0.25">
      <c r="B1270" s="4" t="str">
        <f>_xlfn.TEXTJOIN(,,'Truth Table'!B1270:M1270)</f>
        <v>110011110010</v>
      </c>
    </row>
    <row r="1271" spans="2:2" x14ac:dyDescent="0.25">
      <c r="B1271" s="4" t="str">
        <f>_xlfn.TEXTJOIN(,,'Truth Table'!B1271:M1271)</f>
        <v>001011110010</v>
      </c>
    </row>
    <row r="1272" spans="2:2" x14ac:dyDescent="0.25">
      <c r="B1272" s="4" t="str">
        <f>_xlfn.TEXTJOIN(,,'Truth Table'!B1272:M1272)</f>
        <v>101011110010</v>
      </c>
    </row>
    <row r="1273" spans="2:2" x14ac:dyDescent="0.25">
      <c r="B1273" s="4" t="str">
        <f>_xlfn.TEXTJOIN(,,'Truth Table'!B1273:M1273)</f>
        <v>011011110010</v>
      </c>
    </row>
    <row r="1274" spans="2:2" x14ac:dyDescent="0.25">
      <c r="B1274" s="4" t="str">
        <f>_xlfn.TEXTJOIN(,,'Truth Table'!B1274:M1274)</f>
        <v>111011110010</v>
      </c>
    </row>
    <row r="1275" spans="2:2" x14ac:dyDescent="0.25">
      <c r="B1275" s="4" t="str">
        <f>_xlfn.TEXTJOIN(,,'Truth Table'!B1275:M1275)</f>
        <v>000111110010</v>
      </c>
    </row>
    <row r="1276" spans="2:2" x14ac:dyDescent="0.25">
      <c r="B1276" s="4" t="str">
        <f>_xlfn.TEXTJOIN(,,'Truth Table'!B1276:M1276)</f>
        <v>100111110010</v>
      </c>
    </row>
    <row r="1277" spans="2:2" x14ac:dyDescent="0.25">
      <c r="B1277" s="4" t="str">
        <f>_xlfn.TEXTJOIN(,,'Truth Table'!B1277:M1277)</f>
        <v>010111110010</v>
      </c>
    </row>
    <row r="1278" spans="2:2" x14ac:dyDescent="0.25">
      <c r="B1278" s="4" t="str">
        <f>_xlfn.TEXTJOIN(,,'Truth Table'!B1278:M1278)</f>
        <v>110111110010</v>
      </c>
    </row>
    <row r="1279" spans="2:2" x14ac:dyDescent="0.25">
      <c r="B1279" s="4" t="str">
        <f>_xlfn.TEXTJOIN(,,'Truth Table'!B1279:M1279)</f>
        <v>001111110010</v>
      </c>
    </row>
    <row r="1280" spans="2:2" x14ac:dyDescent="0.25">
      <c r="B1280" s="4" t="str">
        <f>_xlfn.TEXTJOIN(,,'Truth Table'!B1280:M1280)</f>
        <v>101111110010</v>
      </c>
    </row>
    <row r="1281" spans="2:2" x14ac:dyDescent="0.25">
      <c r="B1281" s="4" t="str">
        <f>_xlfn.TEXTJOIN(,,'Truth Table'!B1281:M1281)</f>
        <v>011111110010</v>
      </c>
    </row>
    <row r="1282" spans="2:2" x14ac:dyDescent="0.25">
      <c r="B1282" s="4" t="str">
        <f>_xlfn.TEXTJOIN(,,'Truth Table'!B1282:M1282)</f>
        <v>111111110010</v>
      </c>
    </row>
    <row r="1283" spans="2:2" x14ac:dyDescent="0.25">
      <c r="B1283" s="4" t="str">
        <f>_xlfn.TEXTJOIN(,,'Truth Table'!B1283:M1283)</f>
        <v>000000001010</v>
      </c>
    </row>
    <row r="1284" spans="2:2" x14ac:dyDescent="0.25">
      <c r="B1284" s="4" t="str">
        <f>_xlfn.TEXTJOIN(,,'Truth Table'!B1284:M1284)</f>
        <v>100000001010</v>
      </c>
    </row>
    <row r="1285" spans="2:2" x14ac:dyDescent="0.25">
      <c r="B1285" s="4" t="str">
        <f>_xlfn.TEXTJOIN(,,'Truth Table'!B1285:M1285)</f>
        <v>010000001010</v>
      </c>
    </row>
    <row r="1286" spans="2:2" x14ac:dyDescent="0.25">
      <c r="B1286" s="4" t="str">
        <f>_xlfn.TEXTJOIN(,,'Truth Table'!B1286:M1286)</f>
        <v>110000001010</v>
      </c>
    </row>
    <row r="1287" spans="2:2" x14ac:dyDescent="0.25">
      <c r="B1287" s="4" t="str">
        <f>_xlfn.TEXTJOIN(,,'Truth Table'!B1287:M1287)</f>
        <v>001000001010</v>
      </c>
    </row>
    <row r="1288" spans="2:2" x14ac:dyDescent="0.25">
      <c r="B1288" s="4" t="str">
        <f>_xlfn.TEXTJOIN(,,'Truth Table'!B1288:M1288)</f>
        <v>101000001010</v>
      </c>
    </row>
    <row r="1289" spans="2:2" x14ac:dyDescent="0.25">
      <c r="B1289" s="4" t="str">
        <f>_xlfn.TEXTJOIN(,,'Truth Table'!B1289:M1289)</f>
        <v>011000001010</v>
      </c>
    </row>
    <row r="1290" spans="2:2" x14ac:dyDescent="0.25">
      <c r="B1290" s="4" t="str">
        <f>_xlfn.TEXTJOIN(,,'Truth Table'!B1290:M1290)</f>
        <v>111000001010</v>
      </c>
    </row>
    <row r="1291" spans="2:2" x14ac:dyDescent="0.25">
      <c r="B1291" s="4" t="str">
        <f>_xlfn.TEXTJOIN(,,'Truth Table'!B1291:M1291)</f>
        <v>000100001010</v>
      </c>
    </row>
    <row r="1292" spans="2:2" x14ac:dyDescent="0.25">
      <c r="B1292" s="4" t="str">
        <f>_xlfn.TEXTJOIN(,,'Truth Table'!B1292:M1292)</f>
        <v>100100001010</v>
      </c>
    </row>
    <row r="1293" spans="2:2" x14ac:dyDescent="0.25">
      <c r="B1293" s="4" t="str">
        <f>_xlfn.TEXTJOIN(,,'Truth Table'!B1293:M1293)</f>
        <v>010100001010</v>
      </c>
    </row>
    <row r="1294" spans="2:2" x14ac:dyDescent="0.25">
      <c r="B1294" s="4" t="str">
        <f>_xlfn.TEXTJOIN(,,'Truth Table'!B1294:M1294)</f>
        <v>110100001010</v>
      </c>
    </row>
    <row r="1295" spans="2:2" x14ac:dyDescent="0.25">
      <c r="B1295" s="4" t="str">
        <f>_xlfn.TEXTJOIN(,,'Truth Table'!B1295:M1295)</f>
        <v>001100001010</v>
      </c>
    </row>
    <row r="1296" spans="2:2" x14ac:dyDescent="0.25">
      <c r="B1296" s="4" t="str">
        <f>_xlfn.TEXTJOIN(,,'Truth Table'!B1296:M1296)</f>
        <v>101100001010</v>
      </c>
    </row>
    <row r="1297" spans="2:2" x14ac:dyDescent="0.25">
      <c r="B1297" s="4" t="str">
        <f>_xlfn.TEXTJOIN(,,'Truth Table'!B1297:M1297)</f>
        <v>011100001010</v>
      </c>
    </row>
    <row r="1298" spans="2:2" x14ac:dyDescent="0.25">
      <c r="B1298" s="4" t="str">
        <f>_xlfn.TEXTJOIN(,,'Truth Table'!B1298:M1298)</f>
        <v>111100001010</v>
      </c>
    </row>
    <row r="1299" spans="2:2" x14ac:dyDescent="0.25">
      <c r="B1299" s="4" t="str">
        <f>_xlfn.TEXTJOIN(,,'Truth Table'!B1299:M1299)</f>
        <v>000010001010</v>
      </c>
    </row>
    <row r="1300" spans="2:2" x14ac:dyDescent="0.25">
      <c r="B1300" s="4" t="str">
        <f>_xlfn.TEXTJOIN(,,'Truth Table'!B1300:M1300)</f>
        <v>100010001010</v>
      </c>
    </row>
    <row r="1301" spans="2:2" x14ac:dyDescent="0.25">
      <c r="B1301" s="4" t="str">
        <f>_xlfn.TEXTJOIN(,,'Truth Table'!B1301:M1301)</f>
        <v>010010001010</v>
      </c>
    </row>
    <row r="1302" spans="2:2" x14ac:dyDescent="0.25">
      <c r="B1302" s="4" t="str">
        <f>_xlfn.TEXTJOIN(,,'Truth Table'!B1302:M1302)</f>
        <v>110010001010</v>
      </c>
    </row>
    <row r="1303" spans="2:2" x14ac:dyDescent="0.25">
      <c r="B1303" s="4" t="str">
        <f>_xlfn.TEXTJOIN(,,'Truth Table'!B1303:M1303)</f>
        <v>001010001010</v>
      </c>
    </row>
    <row r="1304" spans="2:2" x14ac:dyDescent="0.25">
      <c r="B1304" s="4" t="str">
        <f>_xlfn.TEXTJOIN(,,'Truth Table'!B1304:M1304)</f>
        <v>101010001010</v>
      </c>
    </row>
    <row r="1305" spans="2:2" x14ac:dyDescent="0.25">
      <c r="B1305" s="4" t="str">
        <f>_xlfn.TEXTJOIN(,,'Truth Table'!B1305:M1305)</f>
        <v>011010001010</v>
      </c>
    </row>
    <row r="1306" spans="2:2" x14ac:dyDescent="0.25">
      <c r="B1306" s="4" t="str">
        <f>_xlfn.TEXTJOIN(,,'Truth Table'!B1306:M1306)</f>
        <v>111010001010</v>
      </c>
    </row>
    <row r="1307" spans="2:2" x14ac:dyDescent="0.25">
      <c r="B1307" s="4" t="str">
        <f>_xlfn.TEXTJOIN(,,'Truth Table'!B1307:M1307)</f>
        <v>000110001010</v>
      </c>
    </row>
    <row r="1308" spans="2:2" x14ac:dyDescent="0.25">
      <c r="B1308" s="4" t="str">
        <f>_xlfn.TEXTJOIN(,,'Truth Table'!B1308:M1308)</f>
        <v>100110001010</v>
      </c>
    </row>
    <row r="1309" spans="2:2" x14ac:dyDescent="0.25">
      <c r="B1309" s="4" t="str">
        <f>_xlfn.TEXTJOIN(,,'Truth Table'!B1309:M1309)</f>
        <v>010110001010</v>
      </c>
    </row>
    <row r="1310" spans="2:2" x14ac:dyDescent="0.25">
      <c r="B1310" s="4" t="str">
        <f>_xlfn.TEXTJOIN(,,'Truth Table'!B1310:M1310)</f>
        <v>110110001010</v>
      </c>
    </row>
    <row r="1311" spans="2:2" x14ac:dyDescent="0.25">
      <c r="B1311" s="4" t="str">
        <f>_xlfn.TEXTJOIN(,,'Truth Table'!B1311:M1311)</f>
        <v>001110001010</v>
      </c>
    </row>
    <row r="1312" spans="2:2" x14ac:dyDescent="0.25">
      <c r="B1312" s="4" t="str">
        <f>_xlfn.TEXTJOIN(,,'Truth Table'!B1312:M1312)</f>
        <v>101110001010</v>
      </c>
    </row>
    <row r="1313" spans="2:2" x14ac:dyDescent="0.25">
      <c r="B1313" s="4" t="str">
        <f>_xlfn.TEXTJOIN(,,'Truth Table'!B1313:M1313)</f>
        <v>011110001010</v>
      </c>
    </row>
    <row r="1314" spans="2:2" x14ac:dyDescent="0.25">
      <c r="B1314" s="4" t="str">
        <f>_xlfn.TEXTJOIN(,,'Truth Table'!B1314:M1314)</f>
        <v>111110001010</v>
      </c>
    </row>
    <row r="1315" spans="2:2" x14ac:dyDescent="0.25">
      <c r="B1315" s="4" t="str">
        <f>_xlfn.TEXTJOIN(,,'Truth Table'!B1315:M1315)</f>
        <v>000001001010</v>
      </c>
    </row>
    <row r="1316" spans="2:2" x14ac:dyDescent="0.25">
      <c r="B1316" s="4" t="str">
        <f>_xlfn.TEXTJOIN(,,'Truth Table'!B1316:M1316)</f>
        <v>100001001010</v>
      </c>
    </row>
    <row r="1317" spans="2:2" x14ac:dyDescent="0.25">
      <c r="B1317" s="4" t="str">
        <f>_xlfn.TEXTJOIN(,,'Truth Table'!B1317:M1317)</f>
        <v>010001001010</v>
      </c>
    </row>
    <row r="1318" spans="2:2" x14ac:dyDescent="0.25">
      <c r="B1318" s="4" t="str">
        <f>_xlfn.TEXTJOIN(,,'Truth Table'!B1318:M1318)</f>
        <v>110001001010</v>
      </c>
    </row>
    <row r="1319" spans="2:2" x14ac:dyDescent="0.25">
      <c r="B1319" s="4" t="str">
        <f>_xlfn.TEXTJOIN(,,'Truth Table'!B1319:M1319)</f>
        <v>001001001010</v>
      </c>
    </row>
    <row r="1320" spans="2:2" x14ac:dyDescent="0.25">
      <c r="B1320" s="4" t="str">
        <f>_xlfn.TEXTJOIN(,,'Truth Table'!B1320:M1320)</f>
        <v>101001001010</v>
      </c>
    </row>
    <row r="1321" spans="2:2" x14ac:dyDescent="0.25">
      <c r="B1321" s="4" t="str">
        <f>_xlfn.TEXTJOIN(,,'Truth Table'!B1321:M1321)</f>
        <v>011001001010</v>
      </c>
    </row>
    <row r="1322" spans="2:2" x14ac:dyDescent="0.25">
      <c r="B1322" s="4" t="str">
        <f>_xlfn.TEXTJOIN(,,'Truth Table'!B1322:M1322)</f>
        <v>111001001010</v>
      </c>
    </row>
    <row r="1323" spans="2:2" x14ac:dyDescent="0.25">
      <c r="B1323" s="4" t="str">
        <f>_xlfn.TEXTJOIN(,,'Truth Table'!B1323:M1323)</f>
        <v>000101001010</v>
      </c>
    </row>
    <row r="1324" spans="2:2" x14ac:dyDescent="0.25">
      <c r="B1324" s="4" t="str">
        <f>_xlfn.TEXTJOIN(,,'Truth Table'!B1324:M1324)</f>
        <v>100101001010</v>
      </c>
    </row>
    <row r="1325" spans="2:2" x14ac:dyDescent="0.25">
      <c r="B1325" s="4" t="str">
        <f>_xlfn.TEXTJOIN(,,'Truth Table'!B1325:M1325)</f>
        <v>010101001010</v>
      </c>
    </row>
    <row r="1326" spans="2:2" x14ac:dyDescent="0.25">
      <c r="B1326" s="4" t="str">
        <f>_xlfn.TEXTJOIN(,,'Truth Table'!B1326:M1326)</f>
        <v>110101001010</v>
      </c>
    </row>
    <row r="1327" spans="2:2" x14ac:dyDescent="0.25">
      <c r="B1327" s="4" t="str">
        <f>_xlfn.TEXTJOIN(,,'Truth Table'!B1327:M1327)</f>
        <v>001101001010</v>
      </c>
    </row>
    <row r="1328" spans="2:2" x14ac:dyDescent="0.25">
      <c r="B1328" s="4" t="str">
        <f>_xlfn.TEXTJOIN(,,'Truth Table'!B1328:M1328)</f>
        <v>101101001010</v>
      </c>
    </row>
    <row r="1329" spans="2:2" x14ac:dyDescent="0.25">
      <c r="B1329" s="4" t="str">
        <f>_xlfn.TEXTJOIN(,,'Truth Table'!B1329:M1329)</f>
        <v>011101001010</v>
      </c>
    </row>
    <row r="1330" spans="2:2" x14ac:dyDescent="0.25">
      <c r="B1330" s="4" t="str">
        <f>_xlfn.TEXTJOIN(,,'Truth Table'!B1330:M1330)</f>
        <v>111101001010</v>
      </c>
    </row>
    <row r="1331" spans="2:2" x14ac:dyDescent="0.25">
      <c r="B1331" s="4" t="str">
        <f>_xlfn.TEXTJOIN(,,'Truth Table'!B1331:M1331)</f>
        <v>000011001010</v>
      </c>
    </row>
    <row r="1332" spans="2:2" x14ac:dyDescent="0.25">
      <c r="B1332" s="4" t="str">
        <f>_xlfn.TEXTJOIN(,,'Truth Table'!B1332:M1332)</f>
        <v>100011001010</v>
      </c>
    </row>
    <row r="1333" spans="2:2" x14ac:dyDescent="0.25">
      <c r="B1333" s="4" t="str">
        <f>_xlfn.TEXTJOIN(,,'Truth Table'!B1333:M1333)</f>
        <v>010011001010</v>
      </c>
    </row>
    <row r="1334" spans="2:2" x14ac:dyDescent="0.25">
      <c r="B1334" s="4" t="str">
        <f>_xlfn.TEXTJOIN(,,'Truth Table'!B1334:M1334)</f>
        <v>110011001010</v>
      </c>
    </row>
    <row r="1335" spans="2:2" x14ac:dyDescent="0.25">
      <c r="B1335" s="4" t="str">
        <f>_xlfn.TEXTJOIN(,,'Truth Table'!B1335:M1335)</f>
        <v>001011001010</v>
      </c>
    </row>
    <row r="1336" spans="2:2" x14ac:dyDescent="0.25">
      <c r="B1336" s="4" t="str">
        <f>_xlfn.TEXTJOIN(,,'Truth Table'!B1336:M1336)</f>
        <v>101011001010</v>
      </c>
    </row>
    <row r="1337" spans="2:2" x14ac:dyDescent="0.25">
      <c r="B1337" s="4" t="str">
        <f>_xlfn.TEXTJOIN(,,'Truth Table'!B1337:M1337)</f>
        <v>011011001010</v>
      </c>
    </row>
    <row r="1338" spans="2:2" x14ac:dyDescent="0.25">
      <c r="B1338" s="4" t="str">
        <f>_xlfn.TEXTJOIN(,,'Truth Table'!B1338:M1338)</f>
        <v>111011001010</v>
      </c>
    </row>
    <row r="1339" spans="2:2" x14ac:dyDescent="0.25">
      <c r="B1339" s="4" t="str">
        <f>_xlfn.TEXTJOIN(,,'Truth Table'!B1339:M1339)</f>
        <v>000111001010</v>
      </c>
    </row>
    <row r="1340" spans="2:2" x14ac:dyDescent="0.25">
      <c r="B1340" s="4" t="str">
        <f>_xlfn.TEXTJOIN(,,'Truth Table'!B1340:M1340)</f>
        <v>100111001010</v>
      </c>
    </row>
    <row r="1341" spans="2:2" x14ac:dyDescent="0.25">
      <c r="B1341" s="4" t="str">
        <f>_xlfn.TEXTJOIN(,,'Truth Table'!B1341:M1341)</f>
        <v>010111001010</v>
      </c>
    </row>
    <row r="1342" spans="2:2" x14ac:dyDescent="0.25">
      <c r="B1342" s="4" t="str">
        <f>_xlfn.TEXTJOIN(,,'Truth Table'!B1342:M1342)</f>
        <v>110111001010</v>
      </c>
    </row>
    <row r="1343" spans="2:2" x14ac:dyDescent="0.25">
      <c r="B1343" s="4" t="str">
        <f>_xlfn.TEXTJOIN(,,'Truth Table'!B1343:M1343)</f>
        <v>001111001010</v>
      </c>
    </row>
    <row r="1344" spans="2:2" x14ac:dyDescent="0.25">
      <c r="B1344" s="4" t="str">
        <f>_xlfn.TEXTJOIN(,,'Truth Table'!B1344:M1344)</f>
        <v>101111001010</v>
      </c>
    </row>
    <row r="1345" spans="2:2" x14ac:dyDescent="0.25">
      <c r="B1345" s="4" t="str">
        <f>_xlfn.TEXTJOIN(,,'Truth Table'!B1345:M1345)</f>
        <v>011111001010</v>
      </c>
    </row>
    <row r="1346" spans="2:2" x14ac:dyDescent="0.25">
      <c r="B1346" s="4" t="str">
        <f>_xlfn.TEXTJOIN(,,'Truth Table'!B1346:M1346)</f>
        <v>111111001010</v>
      </c>
    </row>
    <row r="1347" spans="2:2" x14ac:dyDescent="0.25">
      <c r="B1347" s="4" t="str">
        <f>_xlfn.TEXTJOIN(,,'Truth Table'!B1347:M1347)</f>
        <v>000000101010</v>
      </c>
    </row>
    <row r="1348" spans="2:2" x14ac:dyDescent="0.25">
      <c r="B1348" s="4" t="str">
        <f>_xlfn.TEXTJOIN(,,'Truth Table'!B1348:M1348)</f>
        <v>100000101010</v>
      </c>
    </row>
    <row r="1349" spans="2:2" x14ac:dyDescent="0.25">
      <c r="B1349" s="4" t="str">
        <f>_xlfn.TEXTJOIN(,,'Truth Table'!B1349:M1349)</f>
        <v>010000101010</v>
      </c>
    </row>
    <row r="1350" spans="2:2" x14ac:dyDescent="0.25">
      <c r="B1350" s="4" t="str">
        <f>_xlfn.TEXTJOIN(,,'Truth Table'!B1350:M1350)</f>
        <v>110000101010</v>
      </c>
    </row>
    <row r="1351" spans="2:2" x14ac:dyDescent="0.25">
      <c r="B1351" s="4" t="str">
        <f>_xlfn.TEXTJOIN(,,'Truth Table'!B1351:M1351)</f>
        <v>001000101010</v>
      </c>
    </row>
    <row r="1352" spans="2:2" x14ac:dyDescent="0.25">
      <c r="B1352" s="4" t="str">
        <f>_xlfn.TEXTJOIN(,,'Truth Table'!B1352:M1352)</f>
        <v>101000101010</v>
      </c>
    </row>
    <row r="1353" spans="2:2" x14ac:dyDescent="0.25">
      <c r="B1353" s="4" t="str">
        <f>_xlfn.TEXTJOIN(,,'Truth Table'!B1353:M1353)</f>
        <v>011000101010</v>
      </c>
    </row>
    <row r="1354" spans="2:2" x14ac:dyDescent="0.25">
      <c r="B1354" s="4" t="str">
        <f>_xlfn.TEXTJOIN(,,'Truth Table'!B1354:M1354)</f>
        <v>111000101010</v>
      </c>
    </row>
    <row r="1355" spans="2:2" x14ac:dyDescent="0.25">
      <c r="B1355" s="4" t="str">
        <f>_xlfn.TEXTJOIN(,,'Truth Table'!B1355:M1355)</f>
        <v>000100101010</v>
      </c>
    </row>
    <row r="1356" spans="2:2" x14ac:dyDescent="0.25">
      <c r="B1356" s="4" t="str">
        <f>_xlfn.TEXTJOIN(,,'Truth Table'!B1356:M1356)</f>
        <v>100100101010</v>
      </c>
    </row>
    <row r="1357" spans="2:2" x14ac:dyDescent="0.25">
      <c r="B1357" s="4" t="str">
        <f>_xlfn.TEXTJOIN(,,'Truth Table'!B1357:M1357)</f>
        <v>010100101010</v>
      </c>
    </row>
    <row r="1358" spans="2:2" x14ac:dyDescent="0.25">
      <c r="B1358" s="4" t="str">
        <f>_xlfn.TEXTJOIN(,,'Truth Table'!B1358:M1358)</f>
        <v>110100101010</v>
      </c>
    </row>
    <row r="1359" spans="2:2" x14ac:dyDescent="0.25">
      <c r="B1359" s="4" t="str">
        <f>_xlfn.TEXTJOIN(,,'Truth Table'!B1359:M1359)</f>
        <v>001100101010</v>
      </c>
    </row>
    <row r="1360" spans="2:2" x14ac:dyDescent="0.25">
      <c r="B1360" s="4" t="str">
        <f>_xlfn.TEXTJOIN(,,'Truth Table'!B1360:M1360)</f>
        <v>101100101010</v>
      </c>
    </row>
    <row r="1361" spans="2:2" x14ac:dyDescent="0.25">
      <c r="B1361" s="4" t="str">
        <f>_xlfn.TEXTJOIN(,,'Truth Table'!B1361:M1361)</f>
        <v>011100101010</v>
      </c>
    </row>
    <row r="1362" spans="2:2" x14ac:dyDescent="0.25">
      <c r="B1362" s="4" t="str">
        <f>_xlfn.TEXTJOIN(,,'Truth Table'!B1362:M1362)</f>
        <v>111100101010</v>
      </c>
    </row>
    <row r="1363" spans="2:2" x14ac:dyDescent="0.25">
      <c r="B1363" s="4" t="str">
        <f>_xlfn.TEXTJOIN(,,'Truth Table'!B1363:M1363)</f>
        <v>000010101010</v>
      </c>
    </row>
    <row r="1364" spans="2:2" x14ac:dyDescent="0.25">
      <c r="B1364" s="4" t="str">
        <f>_xlfn.TEXTJOIN(,,'Truth Table'!B1364:M1364)</f>
        <v>100010101010</v>
      </c>
    </row>
    <row r="1365" spans="2:2" x14ac:dyDescent="0.25">
      <c r="B1365" s="4" t="str">
        <f>_xlfn.TEXTJOIN(,,'Truth Table'!B1365:M1365)</f>
        <v>010010101010</v>
      </c>
    </row>
    <row r="1366" spans="2:2" x14ac:dyDescent="0.25">
      <c r="B1366" s="4" t="str">
        <f>_xlfn.TEXTJOIN(,,'Truth Table'!B1366:M1366)</f>
        <v>110010101010</v>
      </c>
    </row>
    <row r="1367" spans="2:2" x14ac:dyDescent="0.25">
      <c r="B1367" s="4" t="str">
        <f>_xlfn.TEXTJOIN(,,'Truth Table'!B1367:M1367)</f>
        <v>001010101010</v>
      </c>
    </row>
    <row r="1368" spans="2:2" x14ac:dyDescent="0.25">
      <c r="B1368" s="4" t="str">
        <f>_xlfn.TEXTJOIN(,,'Truth Table'!B1368:M1368)</f>
        <v>101010101010</v>
      </c>
    </row>
    <row r="1369" spans="2:2" x14ac:dyDescent="0.25">
      <c r="B1369" s="4" t="str">
        <f>_xlfn.TEXTJOIN(,,'Truth Table'!B1369:M1369)</f>
        <v>011010101010</v>
      </c>
    </row>
    <row r="1370" spans="2:2" x14ac:dyDescent="0.25">
      <c r="B1370" s="4" t="str">
        <f>_xlfn.TEXTJOIN(,,'Truth Table'!B1370:M1370)</f>
        <v>111010101010</v>
      </c>
    </row>
    <row r="1371" spans="2:2" x14ac:dyDescent="0.25">
      <c r="B1371" s="4" t="str">
        <f>_xlfn.TEXTJOIN(,,'Truth Table'!B1371:M1371)</f>
        <v>000110101010</v>
      </c>
    </row>
    <row r="1372" spans="2:2" x14ac:dyDescent="0.25">
      <c r="B1372" s="4" t="str">
        <f>_xlfn.TEXTJOIN(,,'Truth Table'!B1372:M1372)</f>
        <v>100110101010</v>
      </c>
    </row>
    <row r="1373" spans="2:2" x14ac:dyDescent="0.25">
      <c r="B1373" s="4" t="str">
        <f>_xlfn.TEXTJOIN(,,'Truth Table'!B1373:M1373)</f>
        <v>010110101010</v>
      </c>
    </row>
    <row r="1374" spans="2:2" x14ac:dyDescent="0.25">
      <c r="B1374" s="4" t="str">
        <f>_xlfn.TEXTJOIN(,,'Truth Table'!B1374:M1374)</f>
        <v>110110101010</v>
      </c>
    </row>
    <row r="1375" spans="2:2" x14ac:dyDescent="0.25">
      <c r="B1375" s="4" t="str">
        <f>_xlfn.TEXTJOIN(,,'Truth Table'!B1375:M1375)</f>
        <v>001110101010</v>
      </c>
    </row>
    <row r="1376" spans="2:2" x14ac:dyDescent="0.25">
      <c r="B1376" s="4" t="str">
        <f>_xlfn.TEXTJOIN(,,'Truth Table'!B1376:M1376)</f>
        <v>101110101010</v>
      </c>
    </row>
    <row r="1377" spans="2:2" x14ac:dyDescent="0.25">
      <c r="B1377" s="4" t="str">
        <f>_xlfn.TEXTJOIN(,,'Truth Table'!B1377:M1377)</f>
        <v>011110101010</v>
      </c>
    </row>
    <row r="1378" spans="2:2" x14ac:dyDescent="0.25">
      <c r="B1378" s="4" t="str">
        <f>_xlfn.TEXTJOIN(,,'Truth Table'!B1378:M1378)</f>
        <v>111110101010</v>
      </c>
    </row>
    <row r="1379" spans="2:2" x14ac:dyDescent="0.25">
      <c r="B1379" s="4" t="str">
        <f>_xlfn.TEXTJOIN(,,'Truth Table'!B1379:M1379)</f>
        <v>000001101010</v>
      </c>
    </row>
    <row r="1380" spans="2:2" x14ac:dyDescent="0.25">
      <c r="B1380" s="4" t="str">
        <f>_xlfn.TEXTJOIN(,,'Truth Table'!B1380:M1380)</f>
        <v>100001101010</v>
      </c>
    </row>
    <row r="1381" spans="2:2" x14ac:dyDescent="0.25">
      <c r="B1381" s="4" t="str">
        <f>_xlfn.TEXTJOIN(,,'Truth Table'!B1381:M1381)</f>
        <v>010001101010</v>
      </c>
    </row>
    <row r="1382" spans="2:2" x14ac:dyDescent="0.25">
      <c r="B1382" s="4" t="str">
        <f>_xlfn.TEXTJOIN(,,'Truth Table'!B1382:M1382)</f>
        <v>110001101010</v>
      </c>
    </row>
    <row r="1383" spans="2:2" x14ac:dyDescent="0.25">
      <c r="B1383" s="4" t="str">
        <f>_xlfn.TEXTJOIN(,,'Truth Table'!B1383:M1383)</f>
        <v>001001101010</v>
      </c>
    </row>
    <row r="1384" spans="2:2" x14ac:dyDescent="0.25">
      <c r="B1384" s="4" t="str">
        <f>_xlfn.TEXTJOIN(,,'Truth Table'!B1384:M1384)</f>
        <v>101001101010</v>
      </c>
    </row>
    <row r="1385" spans="2:2" x14ac:dyDescent="0.25">
      <c r="B1385" s="4" t="str">
        <f>_xlfn.TEXTJOIN(,,'Truth Table'!B1385:M1385)</f>
        <v>011001101010</v>
      </c>
    </row>
    <row r="1386" spans="2:2" x14ac:dyDescent="0.25">
      <c r="B1386" s="4" t="str">
        <f>_xlfn.TEXTJOIN(,,'Truth Table'!B1386:M1386)</f>
        <v>111001101010</v>
      </c>
    </row>
    <row r="1387" spans="2:2" x14ac:dyDescent="0.25">
      <c r="B1387" s="4" t="str">
        <f>_xlfn.TEXTJOIN(,,'Truth Table'!B1387:M1387)</f>
        <v>000101101010</v>
      </c>
    </row>
    <row r="1388" spans="2:2" x14ac:dyDescent="0.25">
      <c r="B1388" s="4" t="str">
        <f>_xlfn.TEXTJOIN(,,'Truth Table'!B1388:M1388)</f>
        <v>100101101010</v>
      </c>
    </row>
    <row r="1389" spans="2:2" x14ac:dyDescent="0.25">
      <c r="B1389" s="4" t="str">
        <f>_xlfn.TEXTJOIN(,,'Truth Table'!B1389:M1389)</f>
        <v>010101101010</v>
      </c>
    </row>
    <row r="1390" spans="2:2" x14ac:dyDescent="0.25">
      <c r="B1390" s="4" t="str">
        <f>_xlfn.TEXTJOIN(,,'Truth Table'!B1390:M1390)</f>
        <v>110101101010</v>
      </c>
    </row>
    <row r="1391" spans="2:2" x14ac:dyDescent="0.25">
      <c r="B1391" s="4" t="str">
        <f>_xlfn.TEXTJOIN(,,'Truth Table'!B1391:M1391)</f>
        <v>001101101010</v>
      </c>
    </row>
    <row r="1392" spans="2:2" x14ac:dyDescent="0.25">
      <c r="B1392" s="4" t="str">
        <f>_xlfn.TEXTJOIN(,,'Truth Table'!B1392:M1392)</f>
        <v>101101101010</v>
      </c>
    </row>
    <row r="1393" spans="2:2" x14ac:dyDescent="0.25">
      <c r="B1393" s="4" t="str">
        <f>_xlfn.TEXTJOIN(,,'Truth Table'!B1393:M1393)</f>
        <v>011101101010</v>
      </c>
    </row>
    <row r="1394" spans="2:2" x14ac:dyDescent="0.25">
      <c r="B1394" s="4" t="str">
        <f>_xlfn.TEXTJOIN(,,'Truth Table'!B1394:M1394)</f>
        <v>111101101010</v>
      </c>
    </row>
    <row r="1395" spans="2:2" x14ac:dyDescent="0.25">
      <c r="B1395" s="4" t="str">
        <f>_xlfn.TEXTJOIN(,,'Truth Table'!B1395:M1395)</f>
        <v>000011101010</v>
      </c>
    </row>
    <row r="1396" spans="2:2" x14ac:dyDescent="0.25">
      <c r="B1396" s="4" t="str">
        <f>_xlfn.TEXTJOIN(,,'Truth Table'!B1396:M1396)</f>
        <v>100011101010</v>
      </c>
    </row>
    <row r="1397" spans="2:2" x14ac:dyDescent="0.25">
      <c r="B1397" s="4" t="str">
        <f>_xlfn.TEXTJOIN(,,'Truth Table'!B1397:M1397)</f>
        <v>010011101010</v>
      </c>
    </row>
    <row r="1398" spans="2:2" x14ac:dyDescent="0.25">
      <c r="B1398" s="4" t="str">
        <f>_xlfn.TEXTJOIN(,,'Truth Table'!B1398:M1398)</f>
        <v>110011101010</v>
      </c>
    </row>
    <row r="1399" spans="2:2" x14ac:dyDescent="0.25">
      <c r="B1399" s="4" t="str">
        <f>_xlfn.TEXTJOIN(,,'Truth Table'!B1399:M1399)</f>
        <v>001011101010</v>
      </c>
    </row>
    <row r="1400" spans="2:2" x14ac:dyDescent="0.25">
      <c r="B1400" s="4" t="str">
        <f>_xlfn.TEXTJOIN(,,'Truth Table'!B1400:M1400)</f>
        <v>101011101010</v>
      </c>
    </row>
    <row r="1401" spans="2:2" x14ac:dyDescent="0.25">
      <c r="B1401" s="4" t="str">
        <f>_xlfn.TEXTJOIN(,,'Truth Table'!B1401:M1401)</f>
        <v>011011101010</v>
      </c>
    </row>
    <row r="1402" spans="2:2" x14ac:dyDescent="0.25">
      <c r="B1402" s="4" t="str">
        <f>_xlfn.TEXTJOIN(,,'Truth Table'!B1402:M1402)</f>
        <v>111011101010</v>
      </c>
    </row>
    <row r="1403" spans="2:2" x14ac:dyDescent="0.25">
      <c r="B1403" s="4" t="str">
        <f>_xlfn.TEXTJOIN(,,'Truth Table'!B1403:M1403)</f>
        <v>000111101010</v>
      </c>
    </row>
    <row r="1404" spans="2:2" x14ac:dyDescent="0.25">
      <c r="B1404" s="4" t="str">
        <f>_xlfn.TEXTJOIN(,,'Truth Table'!B1404:M1404)</f>
        <v>100111101010</v>
      </c>
    </row>
    <row r="1405" spans="2:2" x14ac:dyDescent="0.25">
      <c r="B1405" s="4" t="str">
        <f>_xlfn.TEXTJOIN(,,'Truth Table'!B1405:M1405)</f>
        <v>010111101010</v>
      </c>
    </row>
    <row r="1406" spans="2:2" x14ac:dyDescent="0.25">
      <c r="B1406" s="4" t="str">
        <f>_xlfn.TEXTJOIN(,,'Truth Table'!B1406:M1406)</f>
        <v>110111101010</v>
      </c>
    </row>
    <row r="1407" spans="2:2" x14ac:dyDescent="0.25">
      <c r="B1407" s="4" t="str">
        <f>_xlfn.TEXTJOIN(,,'Truth Table'!B1407:M1407)</f>
        <v>001111101010</v>
      </c>
    </row>
    <row r="1408" spans="2:2" x14ac:dyDescent="0.25">
      <c r="B1408" s="4" t="str">
        <f>_xlfn.TEXTJOIN(,,'Truth Table'!B1408:M1408)</f>
        <v>101111101010</v>
      </c>
    </row>
    <row r="1409" spans="2:2" x14ac:dyDescent="0.25">
      <c r="B1409" s="4" t="str">
        <f>_xlfn.TEXTJOIN(,,'Truth Table'!B1409:M1409)</f>
        <v>011111101010</v>
      </c>
    </row>
    <row r="1410" spans="2:2" x14ac:dyDescent="0.25">
      <c r="B1410" s="4" t="str">
        <f>_xlfn.TEXTJOIN(,,'Truth Table'!B1410:M1410)</f>
        <v>111111101010</v>
      </c>
    </row>
    <row r="1411" spans="2:2" x14ac:dyDescent="0.25">
      <c r="B1411" s="4" t="str">
        <f>_xlfn.TEXTJOIN(,,'Truth Table'!B1411:M1411)</f>
        <v>000000011010</v>
      </c>
    </row>
    <row r="1412" spans="2:2" x14ac:dyDescent="0.25">
      <c r="B1412" s="4" t="str">
        <f>_xlfn.TEXTJOIN(,,'Truth Table'!B1412:M1412)</f>
        <v>100000011010</v>
      </c>
    </row>
    <row r="1413" spans="2:2" x14ac:dyDescent="0.25">
      <c r="B1413" s="4" t="str">
        <f>_xlfn.TEXTJOIN(,,'Truth Table'!B1413:M1413)</f>
        <v>010000011010</v>
      </c>
    </row>
    <row r="1414" spans="2:2" x14ac:dyDescent="0.25">
      <c r="B1414" s="4" t="str">
        <f>_xlfn.TEXTJOIN(,,'Truth Table'!B1414:M1414)</f>
        <v>110000011010</v>
      </c>
    </row>
    <row r="1415" spans="2:2" x14ac:dyDescent="0.25">
      <c r="B1415" s="4" t="str">
        <f>_xlfn.TEXTJOIN(,,'Truth Table'!B1415:M1415)</f>
        <v>001000011010</v>
      </c>
    </row>
    <row r="1416" spans="2:2" x14ac:dyDescent="0.25">
      <c r="B1416" s="4" t="str">
        <f>_xlfn.TEXTJOIN(,,'Truth Table'!B1416:M1416)</f>
        <v>101000011010</v>
      </c>
    </row>
    <row r="1417" spans="2:2" x14ac:dyDescent="0.25">
      <c r="B1417" s="4" t="str">
        <f>_xlfn.TEXTJOIN(,,'Truth Table'!B1417:M1417)</f>
        <v>011000011010</v>
      </c>
    </row>
    <row r="1418" spans="2:2" x14ac:dyDescent="0.25">
      <c r="B1418" s="4" t="str">
        <f>_xlfn.TEXTJOIN(,,'Truth Table'!B1418:M1418)</f>
        <v>111000011010</v>
      </c>
    </row>
    <row r="1419" spans="2:2" x14ac:dyDescent="0.25">
      <c r="B1419" s="4" t="str">
        <f>_xlfn.TEXTJOIN(,,'Truth Table'!B1419:M1419)</f>
        <v>000100011010</v>
      </c>
    </row>
    <row r="1420" spans="2:2" x14ac:dyDescent="0.25">
      <c r="B1420" s="4" t="str">
        <f>_xlfn.TEXTJOIN(,,'Truth Table'!B1420:M1420)</f>
        <v>100100011010</v>
      </c>
    </row>
    <row r="1421" spans="2:2" x14ac:dyDescent="0.25">
      <c r="B1421" s="4" t="str">
        <f>_xlfn.TEXTJOIN(,,'Truth Table'!B1421:M1421)</f>
        <v>010100011010</v>
      </c>
    </row>
    <row r="1422" spans="2:2" x14ac:dyDescent="0.25">
      <c r="B1422" s="4" t="str">
        <f>_xlfn.TEXTJOIN(,,'Truth Table'!B1422:M1422)</f>
        <v>110100011010</v>
      </c>
    </row>
    <row r="1423" spans="2:2" x14ac:dyDescent="0.25">
      <c r="B1423" s="4" t="str">
        <f>_xlfn.TEXTJOIN(,,'Truth Table'!B1423:M1423)</f>
        <v>001100011010</v>
      </c>
    </row>
    <row r="1424" spans="2:2" x14ac:dyDescent="0.25">
      <c r="B1424" s="4" t="str">
        <f>_xlfn.TEXTJOIN(,,'Truth Table'!B1424:M1424)</f>
        <v>101100011010</v>
      </c>
    </row>
    <row r="1425" spans="2:2" x14ac:dyDescent="0.25">
      <c r="B1425" s="4" t="str">
        <f>_xlfn.TEXTJOIN(,,'Truth Table'!B1425:M1425)</f>
        <v>011100011010</v>
      </c>
    </row>
    <row r="1426" spans="2:2" x14ac:dyDescent="0.25">
      <c r="B1426" s="4" t="str">
        <f>_xlfn.TEXTJOIN(,,'Truth Table'!B1426:M1426)</f>
        <v>111100011010</v>
      </c>
    </row>
    <row r="1427" spans="2:2" x14ac:dyDescent="0.25">
      <c r="B1427" s="4" t="str">
        <f>_xlfn.TEXTJOIN(,,'Truth Table'!B1427:M1427)</f>
        <v>000010011010</v>
      </c>
    </row>
    <row r="1428" spans="2:2" x14ac:dyDescent="0.25">
      <c r="B1428" s="4" t="str">
        <f>_xlfn.TEXTJOIN(,,'Truth Table'!B1428:M1428)</f>
        <v>100010011010</v>
      </c>
    </row>
    <row r="1429" spans="2:2" x14ac:dyDescent="0.25">
      <c r="B1429" s="4" t="str">
        <f>_xlfn.TEXTJOIN(,,'Truth Table'!B1429:M1429)</f>
        <v>010010011010</v>
      </c>
    </row>
    <row r="1430" spans="2:2" x14ac:dyDescent="0.25">
      <c r="B1430" s="4" t="str">
        <f>_xlfn.TEXTJOIN(,,'Truth Table'!B1430:M1430)</f>
        <v>110010011010</v>
      </c>
    </row>
    <row r="1431" spans="2:2" x14ac:dyDescent="0.25">
      <c r="B1431" s="4" t="str">
        <f>_xlfn.TEXTJOIN(,,'Truth Table'!B1431:M1431)</f>
        <v>001010011010</v>
      </c>
    </row>
    <row r="1432" spans="2:2" x14ac:dyDescent="0.25">
      <c r="B1432" s="4" t="str">
        <f>_xlfn.TEXTJOIN(,,'Truth Table'!B1432:M1432)</f>
        <v>101010011010</v>
      </c>
    </row>
    <row r="1433" spans="2:2" x14ac:dyDescent="0.25">
      <c r="B1433" s="4" t="str">
        <f>_xlfn.TEXTJOIN(,,'Truth Table'!B1433:M1433)</f>
        <v>011010011010</v>
      </c>
    </row>
    <row r="1434" spans="2:2" x14ac:dyDescent="0.25">
      <c r="B1434" s="4" t="str">
        <f>_xlfn.TEXTJOIN(,,'Truth Table'!B1434:M1434)</f>
        <v>111010011010</v>
      </c>
    </row>
    <row r="1435" spans="2:2" x14ac:dyDescent="0.25">
      <c r="B1435" s="4" t="str">
        <f>_xlfn.TEXTJOIN(,,'Truth Table'!B1435:M1435)</f>
        <v>000110011010</v>
      </c>
    </row>
    <row r="1436" spans="2:2" x14ac:dyDescent="0.25">
      <c r="B1436" s="4" t="str">
        <f>_xlfn.TEXTJOIN(,,'Truth Table'!B1436:M1436)</f>
        <v>100110011010</v>
      </c>
    </row>
    <row r="1437" spans="2:2" x14ac:dyDescent="0.25">
      <c r="B1437" s="4" t="str">
        <f>_xlfn.TEXTJOIN(,,'Truth Table'!B1437:M1437)</f>
        <v>010110011010</v>
      </c>
    </row>
    <row r="1438" spans="2:2" x14ac:dyDescent="0.25">
      <c r="B1438" s="4" t="str">
        <f>_xlfn.TEXTJOIN(,,'Truth Table'!B1438:M1438)</f>
        <v>110110011010</v>
      </c>
    </row>
    <row r="1439" spans="2:2" x14ac:dyDescent="0.25">
      <c r="B1439" s="4" t="str">
        <f>_xlfn.TEXTJOIN(,,'Truth Table'!B1439:M1439)</f>
        <v>001110011010</v>
      </c>
    </row>
    <row r="1440" spans="2:2" x14ac:dyDescent="0.25">
      <c r="B1440" s="4" t="str">
        <f>_xlfn.TEXTJOIN(,,'Truth Table'!B1440:M1440)</f>
        <v>101110011010</v>
      </c>
    </row>
    <row r="1441" spans="2:2" x14ac:dyDescent="0.25">
      <c r="B1441" s="4" t="str">
        <f>_xlfn.TEXTJOIN(,,'Truth Table'!B1441:M1441)</f>
        <v>011110011010</v>
      </c>
    </row>
    <row r="1442" spans="2:2" x14ac:dyDescent="0.25">
      <c r="B1442" s="4" t="str">
        <f>_xlfn.TEXTJOIN(,,'Truth Table'!B1442:M1442)</f>
        <v>111110011010</v>
      </c>
    </row>
    <row r="1443" spans="2:2" x14ac:dyDescent="0.25">
      <c r="B1443" s="4" t="str">
        <f>_xlfn.TEXTJOIN(,,'Truth Table'!B1443:M1443)</f>
        <v>000001011010</v>
      </c>
    </row>
    <row r="1444" spans="2:2" x14ac:dyDescent="0.25">
      <c r="B1444" s="4" t="str">
        <f>_xlfn.TEXTJOIN(,,'Truth Table'!B1444:M1444)</f>
        <v>100001011010</v>
      </c>
    </row>
    <row r="1445" spans="2:2" x14ac:dyDescent="0.25">
      <c r="B1445" s="4" t="str">
        <f>_xlfn.TEXTJOIN(,,'Truth Table'!B1445:M1445)</f>
        <v>010001011010</v>
      </c>
    </row>
    <row r="1446" spans="2:2" x14ac:dyDescent="0.25">
      <c r="B1446" s="4" t="str">
        <f>_xlfn.TEXTJOIN(,,'Truth Table'!B1446:M1446)</f>
        <v>110001011010</v>
      </c>
    </row>
    <row r="1447" spans="2:2" x14ac:dyDescent="0.25">
      <c r="B1447" s="4" t="str">
        <f>_xlfn.TEXTJOIN(,,'Truth Table'!B1447:M1447)</f>
        <v>001001011010</v>
      </c>
    </row>
    <row r="1448" spans="2:2" x14ac:dyDescent="0.25">
      <c r="B1448" s="4" t="str">
        <f>_xlfn.TEXTJOIN(,,'Truth Table'!B1448:M1448)</f>
        <v>101001011010</v>
      </c>
    </row>
    <row r="1449" spans="2:2" x14ac:dyDescent="0.25">
      <c r="B1449" s="4" t="str">
        <f>_xlfn.TEXTJOIN(,,'Truth Table'!B1449:M1449)</f>
        <v>011001011010</v>
      </c>
    </row>
    <row r="1450" spans="2:2" x14ac:dyDescent="0.25">
      <c r="B1450" s="4" t="str">
        <f>_xlfn.TEXTJOIN(,,'Truth Table'!B1450:M1450)</f>
        <v>111001011010</v>
      </c>
    </row>
    <row r="1451" spans="2:2" x14ac:dyDescent="0.25">
      <c r="B1451" s="4" t="str">
        <f>_xlfn.TEXTJOIN(,,'Truth Table'!B1451:M1451)</f>
        <v>000101011010</v>
      </c>
    </row>
    <row r="1452" spans="2:2" x14ac:dyDescent="0.25">
      <c r="B1452" s="4" t="str">
        <f>_xlfn.TEXTJOIN(,,'Truth Table'!B1452:M1452)</f>
        <v>100101011010</v>
      </c>
    </row>
    <row r="1453" spans="2:2" x14ac:dyDescent="0.25">
      <c r="B1453" s="4" t="str">
        <f>_xlfn.TEXTJOIN(,,'Truth Table'!B1453:M1453)</f>
        <v>010101011010</v>
      </c>
    </row>
    <row r="1454" spans="2:2" x14ac:dyDescent="0.25">
      <c r="B1454" s="4" t="str">
        <f>_xlfn.TEXTJOIN(,,'Truth Table'!B1454:M1454)</f>
        <v>110101011010</v>
      </c>
    </row>
    <row r="1455" spans="2:2" x14ac:dyDescent="0.25">
      <c r="B1455" s="4" t="str">
        <f>_xlfn.TEXTJOIN(,,'Truth Table'!B1455:M1455)</f>
        <v>001101011010</v>
      </c>
    </row>
    <row r="1456" spans="2:2" x14ac:dyDescent="0.25">
      <c r="B1456" s="4" t="str">
        <f>_xlfn.TEXTJOIN(,,'Truth Table'!B1456:M1456)</f>
        <v>101101011010</v>
      </c>
    </row>
    <row r="1457" spans="2:2" x14ac:dyDescent="0.25">
      <c r="B1457" s="4" t="str">
        <f>_xlfn.TEXTJOIN(,,'Truth Table'!B1457:M1457)</f>
        <v>011101011010</v>
      </c>
    </row>
    <row r="1458" spans="2:2" x14ac:dyDescent="0.25">
      <c r="B1458" s="4" t="str">
        <f>_xlfn.TEXTJOIN(,,'Truth Table'!B1458:M1458)</f>
        <v>111101011010</v>
      </c>
    </row>
    <row r="1459" spans="2:2" x14ac:dyDescent="0.25">
      <c r="B1459" s="4" t="str">
        <f>_xlfn.TEXTJOIN(,,'Truth Table'!B1459:M1459)</f>
        <v>000011011010</v>
      </c>
    </row>
    <row r="1460" spans="2:2" x14ac:dyDescent="0.25">
      <c r="B1460" s="4" t="str">
        <f>_xlfn.TEXTJOIN(,,'Truth Table'!B1460:M1460)</f>
        <v>100011011010</v>
      </c>
    </row>
    <row r="1461" spans="2:2" x14ac:dyDescent="0.25">
      <c r="B1461" s="4" t="str">
        <f>_xlfn.TEXTJOIN(,,'Truth Table'!B1461:M1461)</f>
        <v>010011011010</v>
      </c>
    </row>
    <row r="1462" spans="2:2" x14ac:dyDescent="0.25">
      <c r="B1462" s="4" t="str">
        <f>_xlfn.TEXTJOIN(,,'Truth Table'!B1462:M1462)</f>
        <v>110011011010</v>
      </c>
    </row>
    <row r="1463" spans="2:2" x14ac:dyDescent="0.25">
      <c r="B1463" s="4" t="str">
        <f>_xlfn.TEXTJOIN(,,'Truth Table'!B1463:M1463)</f>
        <v>001011011010</v>
      </c>
    </row>
    <row r="1464" spans="2:2" x14ac:dyDescent="0.25">
      <c r="B1464" s="4" t="str">
        <f>_xlfn.TEXTJOIN(,,'Truth Table'!B1464:M1464)</f>
        <v>101011011010</v>
      </c>
    </row>
    <row r="1465" spans="2:2" x14ac:dyDescent="0.25">
      <c r="B1465" s="4" t="str">
        <f>_xlfn.TEXTJOIN(,,'Truth Table'!B1465:M1465)</f>
        <v>011011011010</v>
      </c>
    </row>
    <row r="1466" spans="2:2" x14ac:dyDescent="0.25">
      <c r="B1466" s="4" t="str">
        <f>_xlfn.TEXTJOIN(,,'Truth Table'!B1466:M1466)</f>
        <v>111011011010</v>
      </c>
    </row>
    <row r="1467" spans="2:2" x14ac:dyDescent="0.25">
      <c r="B1467" s="4" t="str">
        <f>_xlfn.TEXTJOIN(,,'Truth Table'!B1467:M1467)</f>
        <v>000111011010</v>
      </c>
    </row>
    <row r="1468" spans="2:2" x14ac:dyDescent="0.25">
      <c r="B1468" s="4" t="str">
        <f>_xlfn.TEXTJOIN(,,'Truth Table'!B1468:M1468)</f>
        <v>100111011010</v>
      </c>
    </row>
    <row r="1469" spans="2:2" x14ac:dyDescent="0.25">
      <c r="B1469" s="4" t="str">
        <f>_xlfn.TEXTJOIN(,,'Truth Table'!B1469:M1469)</f>
        <v>010111011010</v>
      </c>
    </row>
    <row r="1470" spans="2:2" x14ac:dyDescent="0.25">
      <c r="B1470" s="4" t="str">
        <f>_xlfn.TEXTJOIN(,,'Truth Table'!B1470:M1470)</f>
        <v>110111011010</v>
      </c>
    </row>
    <row r="1471" spans="2:2" x14ac:dyDescent="0.25">
      <c r="B1471" s="4" t="str">
        <f>_xlfn.TEXTJOIN(,,'Truth Table'!B1471:M1471)</f>
        <v>001111011010</v>
      </c>
    </row>
    <row r="1472" spans="2:2" x14ac:dyDescent="0.25">
      <c r="B1472" s="4" t="str">
        <f>_xlfn.TEXTJOIN(,,'Truth Table'!B1472:M1472)</f>
        <v>101111011010</v>
      </c>
    </row>
    <row r="1473" spans="2:2" x14ac:dyDescent="0.25">
      <c r="B1473" s="4" t="str">
        <f>_xlfn.TEXTJOIN(,,'Truth Table'!B1473:M1473)</f>
        <v>011111011010</v>
      </c>
    </row>
    <row r="1474" spans="2:2" x14ac:dyDescent="0.25">
      <c r="B1474" s="4" t="str">
        <f>_xlfn.TEXTJOIN(,,'Truth Table'!B1474:M1474)</f>
        <v>111111011010</v>
      </c>
    </row>
    <row r="1475" spans="2:2" x14ac:dyDescent="0.25">
      <c r="B1475" s="4" t="str">
        <f>_xlfn.TEXTJOIN(,,'Truth Table'!B1475:M1475)</f>
        <v>000000111010</v>
      </c>
    </row>
    <row r="1476" spans="2:2" x14ac:dyDescent="0.25">
      <c r="B1476" s="4" t="str">
        <f>_xlfn.TEXTJOIN(,,'Truth Table'!B1476:M1476)</f>
        <v>100000111010</v>
      </c>
    </row>
    <row r="1477" spans="2:2" x14ac:dyDescent="0.25">
      <c r="B1477" s="4" t="str">
        <f>_xlfn.TEXTJOIN(,,'Truth Table'!B1477:M1477)</f>
        <v>010000111010</v>
      </c>
    </row>
    <row r="1478" spans="2:2" x14ac:dyDescent="0.25">
      <c r="B1478" s="4" t="str">
        <f>_xlfn.TEXTJOIN(,,'Truth Table'!B1478:M1478)</f>
        <v>110000111010</v>
      </c>
    </row>
    <row r="1479" spans="2:2" x14ac:dyDescent="0.25">
      <c r="B1479" s="4" t="str">
        <f>_xlfn.TEXTJOIN(,,'Truth Table'!B1479:M1479)</f>
        <v>001000111010</v>
      </c>
    </row>
    <row r="1480" spans="2:2" x14ac:dyDescent="0.25">
      <c r="B1480" s="4" t="str">
        <f>_xlfn.TEXTJOIN(,,'Truth Table'!B1480:M1480)</f>
        <v>101000111010</v>
      </c>
    </row>
    <row r="1481" spans="2:2" x14ac:dyDescent="0.25">
      <c r="B1481" s="4" t="str">
        <f>_xlfn.TEXTJOIN(,,'Truth Table'!B1481:M1481)</f>
        <v>011000111010</v>
      </c>
    </row>
    <row r="1482" spans="2:2" x14ac:dyDescent="0.25">
      <c r="B1482" s="4" t="str">
        <f>_xlfn.TEXTJOIN(,,'Truth Table'!B1482:M1482)</f>
        <v>111000111010</v>
      </c>
    </row>
    <row r="1483" spans="2:2" x14ac:dyDescent="0.25">
      <c r="B1483" s="4" t="str">
        <f>_xlfn.TEXTJOIN(,,'Truth Table'!B1483:M1483)</f>
        <v>000100111010</v>
      </c>
    </row>
    <row r="1484" spans="2:2" x14ac:dyDescent="0.25">
      <c r="B1484" s="4" t="str">
        <f>_xlfn.TEXTJOIN(,,'Truth Table'!B1484:M1484)</f>
        <v>100100111010</v>
      </c>
    </row>
    <row r="1485" spans="2:2" x14ac:dyDescent="0.25">
      <c r="B1485" s="4" t="str">
        <f>_xlfn.TEXTJOIN(,,'Truth Table'!B1485:M1485)</f>
        <v>010100111010</v>
      </c>
    </row>
    <row r="1486" spans="2:2" x14ac:dyDescent="0.25">
      <c r="B1486" s="4" t="str">
        <f>_xlfn.TEXTJOIN(,,'Truth Table'!B1486:M1486)</f>
        <v>110100111010</v>
      </c>
    </row>
    <row r="1487" spans="2:2" x14ac:dyDescent="0.25">
      <c r="B1487" s="4" t="str">
        <f>_xlfn.TEXTJOIN(,,'Truth Table'!B1487:M1487)</f>
        <v>001100111010</v>
      </c>
    </row>
    <row r="1488" spans="2:2" x14ac:dyDescent="0.25">
      <c r="B1488" s="4" t="str">
        <f>_xlfn.TEXTJOIN(,,'Truth Table'!B1488:M1488)</f>
        <v>101100111010</v>
      </c>
    </row>
    <row r="1489" spans="2:2" x14ac:dyDescent="0.25">
      <c r="B1489" s="4" t="str">
        <f>_xlfn.TEXTJOIN(,,'Truth Table'!B1489:M1489)</f>
        <v>011100111010</v>
      </c>
    </row>
    <row r="1490" spans="2:2" x14ac:dyDescent="0.25">
      <c r="B1490" s="4" t="str">
        <f>_xlfn.TEXTJOIN(,,'Truth Table'!B1490:M1490)</f>
        <v>111100111010</v>
      </c>
    </row>
    <row r="1491" spans="2:2" x14ac:dyDescent="0.25">
      <c r="B1491" s="4" t="str">
        <f>_xlfn.TEXTJOIN(,,'Truth Table'!B1491:M1491)</f>
        <v>000010111010</v>
      </c>
    </row>
    <row r="1492" spans="2:2" x14ac:dyDescent="0.25">
      <c r="B1492" s="4" t="str">
        <f>_xlfn.TEXTJOIN(,,'Truth Table'!B1492:M1492)</f>
        <v>100010111010</v>
      </c>
    </row>
    <row r="1493" spans="2:2" x14ac:dyDescent="0.25">
      <c r="B1493" s="4" t="str">
        <f>_xlfn.TEXTJOIN(,,'Truth Table'!B1493:M1493)</f>
        <v>010010111010</v>
      </c>
    </row>
    <row r="1494" spans="2:2" x14ac:dyDescent="0.25">
      <c r="B1494" s="4" t="str">
        <f>_xlfn.TEXTJOIN(,,'Truth Table'!B1494:M1494)</f>
        <v>110010111010</v>
      </c>
    </row>
    <row r="1495" spans="2:2" x14ac:dyDescent="0.25">
      <c r="B1495" s="4" t="str">
        <f>_xlfn.TEXTJOIN(,,'Truth Table'!B1495:M1495)</f>
        <v>001010111010</v>
      </c>
    </row>
    <row r="1496" spans="2:2" x14ac:dyDescent="0.25">
      <c r="B1496" s="4" t="str">
        <f>_xlfn.TEXTJOIN(,,'Truth Table'!B1496:M1496)</f>
        <v>101010111010</v>
      </c>
    </row>
    <row r="1497" spans="2:2" x14ac:dyDescent="0.25">
      <c r="B1497" s="4" t="str">
        <f>_xlfn.TEXTJOIN(,,'Truth Table'!B1497:M1497)</f>
        <v>011010111010</v>
      </c>
    </row>
    <row r="1498" spans="2:2" x14ac:dyDescent="0.25">
      <c r="B1498" s="4" t="str">
        <f>_xlfn.TEXTJOIN(,,'Truth Table'!B1498:M1498)</f>
        <v>111010111010</v>
      </c>
    </row>
    <row r="1499" spans="2:2" x14ac:dyDescent="0.25">
      <c r="B1499" s="4" t="str">
        <f>_xlfn.TEXTJOIN(,,'Truth Table'!B1499:M1499)</f>
        <v>000110111010</v>
      </c>
    </row>
    <row r="1500" spans="2:2" x14ac:dyDescent="0.25">
      <c r="B1500" s="4" t="str">
        <f>_xlfn.TEXTJOIN(,,'Truth Table'!B1500:M1500)</f>
        <v>100110111010</v>
      </c>
    </row>
    <row r="1501" spans="2:2" x14ac:dyDescent="0.25">
      <c r="B1501" s="4" t="str">
        <f>_xlfn.TEXTJOIN(,,'Truth Table'!B1501:M1501)</f>
        <v>010110111010</v>
      </c>
    </row>
    <row r="1502" spans="2:2" x14ac:dyDescent="0.25">
      <c r="B1502" s="4" t="str">
        <f>_xlfn.TEXTJOIN(,,'Truth Table'!B1502:M1502)</f>
        <v>110110111010</v>
      </c>
    </row>
    <row r="1503" spans="2:2" x14ac:dyDescent="0.25">
      <c r="B1503" s="4" t="str">
        <f>_xlfn.TEXTJOIN(,,'Truth Table'!B1503:M1503)</f>
        <v>001110111010</v>
      </c>
    </row>
    <row r="1504" spans="2:2" x14ac:dyDescent="0.25">
      <c r="B1504" s="4" t="str">
        <f>_xlfn.TEXTJOIN(,,'Truth Table'!B1504:M1504)</f>
        <v>101110111010</v>
      </c>
    </row>
    <row r="1505" spans="2:2" x14ac:dyDescent="0.25">
      <c r="B1505" s="4" t="str">
        <f>_xlfn.TEXTJOIN(,,'Truth Table'!B1505:M1505)</f>
        <v>011110111010</v>
      </c>
    </row>
    <row r="1506" spans="2:2" x14ac:dyDescent="0.25">
      <c r="B1506" s="4" t="str">
        <f>_xlfn.TEXTJOIN(,,'Truth Table'!B1506:M1506)</f>
        <v>111110111010</v>
      </c>
    </row>
    <row r="1507" spans="2:2" x14ac:dyDescent="0.25">
      <c r="B1507" s="4" t="str">
        <f>_xlfn.TEXTJOIN(,,'Truth Table'!B1507:M1507)</f>
        <v>000001111010</v>
      </c>
    </row>
    <row r="1508" spans="2:2" x14ac:dyDescent="0.25">
      <c r="B1508" s="4" t="str">
        <f>_xlfn.TEXTJOIN(,,'Truth Table'!B1508:M1508)</f>
        <v>100001111010</v>
      </c>
    </row>
    <row r="1509" spans="2:2" x14ac:dyDescent="0.25">
      <c r="B1509" s="4" t="str">
        <f>_xlfn.TEXTJOIN(,,'Truth Table'!B1509:M1509)</f>
        <v>010001111010</v>
      </c>
    </row>
    <row r="1510" spans="2:2" x14ac:dyDescent="0.25">
      <c r="B1510" s="4" t="str">
        <f>_xlfn.TEXTJOIN(,,'Truth Table'!B1510:M1510)</f>
        <v>110001111010</v>
      </c>
    </row>
    <row r="1511" spans="2:2" x14ac:dyDescent="0.25">
      <c r="B1511" s="4" t="str">
        <f>_xlfn.TEXTJOIN(,,'Truth Table'!B1511:M1511)</f>
        <v>001001111010</v>
      </c>
    </row>
    <row r="1512" spans="2:2" x14ac:dyDescent="0.25">
      <c r="B1512" s="4" t="str">
        <f>_xlfn.TEXTJOIN(,,'Truth Table'!B1512:M1512)</f>
        <v>101001111010</v>
      </c>
    </row>
    <row r="1513" spans="2:2" x14ac:dyDescent="0.25">
      <c r="B1513" s="4" t="str">
        <f>_xlfn.TEXTJOIN(,,'Truth Table'!B1513:M1513)</f>
        <v>011001111010</v>
      </c>
    </row>
    <row r="1514" spans="2:2" x14ac:dyDescent="0.25">
      <c r="B1514" s="4" t="str">
        <f>_xlfn.TEXTJOIN(,,'Truth Table'!B1514:M1514)</f>
        <v>111001111010</v>
      </c>
    </row>
    <row r="1515" spans="2:2" x14ac:dyDescent="0.25">
      <c r="B1515" s="4" t="str">
        <f>_xlfn.TEXTJOIN(,,'Truth Table'!B1515:M1515)</f>
        <v>000101111010</v>
      </c>
    </row>
    <row r="1516" spans="2:2" x14ac:dyDescent="0.25">
      <c r="B1516" s="4" t="str">
        <f>_xlfn.TEXTJOIN(,,'Truth Table'!B1516:M1516)</f>
        <v>100101111010</v>
      </c>
    </row>
    <row r="1517" spans="2:2" x14ac:dyDescent="0.25">
      <c r="B1517" s="4" t="str">
        <f>_xlfn.TEXTJOIN(,,'Truth Table'!B1517:M1517)</f>
        <v>010101111010</v>
      </c>
    </row>
    <row r="1518" spans="2:2" x14ac:dyDescent="0.25">
      <c r="B1518" s="4" t="str">
        <f>_xlfn.TEXTJOIN(,,'Truth Table'!B1518:M1518)</f>
        <v>110101111010</v>
      </c>
    </row>
    <row r="1519" spans="2:2" x14ac:dyDescent="0.25">
      <c r="B1519" s="4" t="str">
        <f>_xlfn.TEXTJOIN(,,'Truth Table'!B1519:M1519)</f>
        <v>001101111010</v>
      </c>
    </row>
    <row r="1520" spans="2:2" x14ac:dyDescent="0.25">
      <c r="B1520" s="4" t="str">
        <f>_xlfn.TEXTJOIN(,,'Truth Table'!B1520:M1520)</f>
        <v>101101111010</v>
      </c>
    </row>
    <row r="1521" spans="2:2" x14ac:dyDescent="0.25">
      <c r="B1521" s="4" t="str">
        <f>_xlfn.TEXTJOIN(,,'Truth Table'!B1521:M1521)</f>
        <v>011101111010</v>
      </c>
    </row>
    <row r="1522" spans="2:2" x14ac:dyDescent="0.25">
      <c r="B1522" s="4" t="str">
        <f>_xlfn.TEXTJOIN(,,'Truth Table'!B1522:M1522)</f>
        <v>111101111010</v>
      </c>
    </row>
    <row r="1523" spans="2:2" x14ac:dyDescent="0.25">
      <c r="B1523" s="4" t="str">
        <f>_xlfn.TEXTJOIN(,,'Truth Table'!B1523:M1523)</f>
        <v>000011111010</v>
      </c>
    </row>
    <row r="1524" spans="2:2" x14ac:dyDescent="0.25">
      <c r="B1524" s="4" t="str">
        <f>_xlfn.TEXTJOIN(,,'Truth Table'!B1524:M1524)</f>
        <v>100011111010</v>
      </c>
    </row>
    <row r="1525" spans="2:2" x14ac:dyDescent="0.25">
      <c r="B1525" s="4" t="str">
        <f>_xlfn.TEXTJOIN(,,'Truth Table'!B1525:M1525)</f>
        <v>010011111010</v>
      </c>
    </row>
    <row r="1526" spans="2:2" x14ac:dyDescent="0.25">
      <c r="B1526" s="4" t="str">
        <f>_xlfn.TEXTJOIN(,,'Truth Table'!B1526:M1526)</f>
        <v>110011111010</v>
      </c>
    </row>
    <row r="1527" spans="2:2" x14ac:dyDescent="0.25">
      <c r="B1527" s="4" t="str">
        <f>_xlfn.TEXTJOIN(,,'Truth Table'!B1527:M1527)</f>
        <v>001011111010</v>
      </c>
    </row>
    <row r="1528" spans="2:2" x14ac:dyDescent="0.25">
      <c r="B1528" s="4" t="str">
        <f>_xlfn.TEXTJOIN(,,'Truth Table'!B1528:M1528)</f>
        <v>101011111010</v>
      </c>
    </row>
    <row r="1529" spans="2:2" x14ac:dyDescent="0.25">
      <c r="B1529" s="4" t="str">
        <f>_xlfn.TEXTJOIN(,,'Truth Table'!B1529:M1529)</f>
        <v>011011111010</v>
      </c>
    </row>
    <row r="1530" spans="2:2" x14ac:dyDescent="0.25">
      <c r="B1530" s="4" t="str">
        <f>_xlfn.TEXTJOIN(,,'Truth Table'!B1530:M1530)</f>
        <v>111011111010</v>
      </c>
    </row>
    <row r="1531" spans="2:2" x14ac:dyDescent="0.25">
      <c r="B1531" s="4" t="str">
        <f>_xlfn.TEXTJOIN(,,'Truth Table'!B1531:M1531)</f>
        <v>000111111010</v>
      </c>
    </row>
    <row r="1532" spans="2:2" x14ac:dyDescent="0.25">
      <c r="B1532" s="4" t="str">
        <f>_xlfn.TEXTJOIN(,,'Truth Table'!B1532:M1532)</f>
        <v>100111111010</v>
      </c>
    </row>
    <row r="1533" spans="2:2" x14ac:dyDescent="0.25">
      <c r="B1533" s="4" t="str">
        <f>_xlfn.TEXTJOIN(,,'Truth Table'!B1533:M1533)</f>
        <v>010111111010</v>
      </c>
    </row>
    <row r="1534" spans="2:2" x14ac:dyDescent="0.25">
      <c r="B1534" s="4" t="str">
        <f>_xlfn.TEXTJOIN(,,'Truth Table'!B1534:M1534)</f>
        <v>110111111010</v>
      </c>
    </row>
    <row r="1535" spans="2:2" x14ac:dyDescent="0.25">
      <c r="B1535" s="4" t="str">
        <f>_xlfn.TEXTJOIN(,,'Truth Table'!B1535:M1535)</f>
        <v>001111111010</v>
      </c>
    </row>
    <row r="1536" spans="2:2" x14ac:dyDescent="0.25">
      <c r="B1536" s="4" t="str">
        <f>_xlfn.TEXTJOIN(,,'Truth Table'!B1536:M1536)</f>
        <v>101111111010</v>
      </c>
    </row>
    <row r="1537" spans="2:2" x14ac:dyDescent="0.25">
      <c r="B1537" s="4" t="str">
        <f>_xlfn.TEXTJOIN(,,'Truth Table'!B1537:M1537)</f>
        <v>011111111010</v>
      </c>
    </row>
    <row r="1538" spans="2:2" x14ac:dyDescent="0.25">
      <c r="B1538" s="4" t="str">
        <f>_xlfn.TEXTJOIN(,,'Truth Table'!B1538:M1538)</f>
        <v>111111111010</v>
      </c>
    </row>
    <row r="1539" spans="2:2" x14ac:dyDescent="0.25">
      <c r="B1539" s="4" t="str">
        <f>_xlfn.TEXTJOIN(,,'Truth Table'!B1539:M1539)</f>
        <v>000000000110</v>
      </c>
    </row>
    <row r="1540" spans="2:2" x14ac:dyDescent="0.25">
      <c r="B1540" s="4" t="str">
        <f>_xlfn.TEXTJOIN(,,'Truth Table'!B1540:M1540)</f>
        <v>100000000110</v>
      </c>
    </row>
    <row r="1541" spans="2:2" x14ac:dyDescent="0.25">
      <c r="B1541" s="4" t="str">
        <f>_xlfn.TEXTJOIN(,,'Truth Table'!B1541:M1541)</f>
        <v>010000000110</v>
      </c>
    </row>
    <row r="1542" spans="2:2" x14ac:dyDescent="0.25">
      <c r="B1542" s="4" t="str">
        <f>_xlfn.TEXTJOIN(,,'Truth Table'!B1542:M1542)</f>
        <v>110000000110</v>
      </c>
    </row>
    <row r="1543" spans="2:2" x14ac:dyDescent="0.25">
      <c r="B1543" s="4" t="str">
        <f>_xlfn.TEXTJOIN(,,'Truth Table'!B1543:M1543)</f>
        <v>001000000110</v>
      </c>
    </row>
    <row r="1544" spans="2:2" x14ac:dyDescent="0.25">
      <c r="B1544" s="4" t="str">
        <f>_xlfn.TEXTJOIN(,,'Truth Table'!B1544:M1544)</f>
        <v>101000000110</v>
      </c>
    </row>
    <row r="1545" spans="2:2" x14ac:dyDescent="0.25">
      <c r="B1545" s="4" t="str">
        <f>_xlfn.TEXTJOIN(,,'Truth Table'!B1545:M1545)</f>
        <v>011000000110</v>
      </c>
    </row>
    <row r="1546" spans="2:2" x14ac:dyDescent="0.25">
      <c r="B1546" s="4" t="str">
        <f>_xlfn.TEXTJOIN(,,'Truth Table'!B1546:M1546)</f>
        <v>111000000110</v>
      </c>
    </row>
    <row r="1547" spans="2:2" x14ac:dyDescent="0.25">
      <c r="B1547" s="4" t="str">
        <f>_xlfn.TEXTJOIN(,,'Truth Table'!B1547:M1547)</f>
        <v>000100000110</v>
      </c>
    </row>
    <row r="1548" spans="2:2" x14ac:dyDescent="0.25">
      <c r="B1548" s="4" t="str">
        <f>_xlfn.TEXTJOIN(,,'Truth Table'!B1548:M1548)</f>
        <v>100100000110</v>
      </c>
    </row>
    <row r="1549" spans="2:2" x14ac:dyDescent="0.25">
      <c r="B1549" s="4" t="str">
        <f>_xlfn.TEXTJOIN(,,'Truth Table'!B1549:M1549)</f>
        <v>010100000110</v>
      </c>
    </row>
    <row r="1550" spans="2:2" x14ac:dyDescent="0.25">
      <c r="B1550" s="4" t="str">
        <f>_xlfn.TEXTJOIN(,,'Truth Table'!B1550:M1550)</f>
        <v>110100000110</v>
      </c>
    </row>
    <row r="1551" spans="2:2" x14ac:dyDescent="0.25">
      <c r="B1551" s="4" t="str">
        <f>_xlfn.TEXTJOIN(,,'Truth Table'!B1551:M1551)</f>
        <v>001100000110</v>
      </c>
    </row>
    <row r="1552" spans="2:2" x14ac:dyDescent="0.25">
      <c r="B1552" s="4" t="str">
        <f>_xlfn.TEXTJOIN(,,'Truth Table'!B1552:M1552)</f>
        <v>101100000110</v>
      </c>
    </row>
    <row r="1553" spans="2:2" x14ac:dyDescent="0.25">
      <c r="B1553" s="4" t="str">
        <f>_xlfn.TEXTJOIN(,,'Truth Table'!B1553:M1553)</f>
        <v>011100000110</v>
      </c>
    </row>
    <row r="1554" spans="2:2" x14ac:dyDescent="0.25">
      <c r="B1554" s="4" t="str">
        <f>_xlfn.TEXTJOIN(,,'Truth Table'!B1554:M1554)</f>
        <v>111100000110</v>
      </c>
    </row>
    <row r="1555" spans="2:2" x14ac:dyDescent="0.25">
      <c r="B1555" s="4" t="str">
        <f>_xlfn.TEXTJOIN(,,'Truth Table'!B1555:M1555)</f>
        <v>000010000110</v>
      </c>
    </row>
    <row r="1556" spans="2:2" x14ac:dyDescent="0.25">
      <c r="B1556" s="4" t="str">
        <f>_xlfn.TEXTJOIN(,,'Truth Table'!B1556:M1556)</f>
        <v>100010000110</v>
      </c>
    </row>
    <row r="1557" spans="2:2" x14ac:dyDescent="0.25">
      <c r="B1557" s="4" t="str">
        <f>_xlfn.TEXTJOIN(,,'Truth Table'!B1557:M1557)</f>
        <v>010010000110</v>
      </c>
    </row>
    <row r="1558" spans="2:2" x14ac:dyDescent="0.25">
      <c r="B1558" s="4" t="str">
        <f>_xlfn.TEXTJOIN(,,'Truth Table'!B1558:M1558)</f>
        <v>110010000110</v>
      </c>
    </row>
    <row r="1559" spans="2:2" x14ac:dyDescent="0.25">
      <c r="B1559" s="4" t="str">
        <f>_xlfn.TEXTJOIN(,,'Truth Table'!B1559:M1559)</f>
        <v>001010000110</v>
      </c>
    </row>
    <row r="1560" spans="2:2" x14ac:dyDescent="0.25">
      <c r="B1560" s="4" t="str">
        <f>_xlfn.TEXTJOIN(,,'Truth Table'!B1560:M1560)</f>
        <v>101010000110</v>
      </c>
    </row>
    <row r="1561" spans="2:2" x14ac:dyDescent="0.25">
      <c r="B1561" s="4" t="str">
        <f>_xlfn.TEXTJOIN(,,'Truth Table'!B1561:M1561)</f>
        <v>011010000110</v>
      </c>
    </row>
    <row r="1562" spans="2:2" x14ac:dyDescent="0.25">
      <c r="B1562" s="4" t="str">
        <f>_xlfn.TEXTJOIN(,,'Truth Table'!B1562:M1562)</f>
        <v>111010000110</v>
      </c>
    </row>
    <row r="1563" spans="2:2" x14ac:dyDescent="0.25">
      <c r="B1563" s="4" t="str">
        <f>_xlfn.TEXTJOIN(,,'Truth Table'!B1563:M1563)</f>
        <v>000110000110</v>
      </c>
    </row>
    <row r="1564" spans="2:2" x14ac:dyDescent="0.25">
      <c r="B1564" s="4" t="str">
        <f>_xlfn.TEXTJOIN(,,'Truth Table'!B1564:M1564)</f>
        <v>100110000110</v>
      </c>
    </row>
    <row r="1565" spans="2:2" x14ac:dyDescent="0.25">
      <c r="B1565" s="4" t="str">
        <f>_xlfn.TEXTJOIN(,,'Truth Table'!B1565:M1565)</f>
        <v>010110000110</v>
      </c>
    </row>
    <row r="1566" spans="2:2" x14ac:dyDescent="0.25">
      <c r="B1566" s="4" t="str">
        <f>_xlfn.TEXTJOIN(,,'Truth Table'!B1566:M1566)</f>
        <v>110110000110</v>
      </c>
    </row>
    <row r="1567" spans="2:2" x14ac:dyDescent="0.25">
      <c r="B1567" s="4" t="str">
        <f>_xlfn.TEXTJOIN(,,'Truth Table'!B1567:M1567)</f>
        <v>001110000110</v>
      </c>
    </row>
    <row r="1568" spans="2:2" x14ac:dyDescent="0.25">
      <c r="B1568" s="4" t="str">
        <f>_xlfn.TEXTJOIN(,,'Truth Table'!B1568:M1568)</f>
        <v>101110000110</v>
      </c>
    </row>
    <row r="1569" spans="2:2" x14ac:dyDescent="0.25">
      <c r="B1569" s="4" t="str">
        <f>_xlfn.TEXTJOIN(,,'Truth Table'!B1569:M1569)</f>
        <v>011110000110</v>
      </c>
    </row>
    <row r="1570" spans="2:2" x14ac:dyDescent="0.25">
      <c r="B1570" s="4" t="str">
        <f>_xlfn.TEXTJOIN(,,'Truth Table'!B1570:M1570)</f>
        <v>111110000110</v>
      </c>
    </row>
    <row r="1571" spans="2:2" x14ac:dyDescent="0.25">
      <c r="B1571" s="4" t="str">
        <f>_xlfn.TEXTJOIN(,,'Truth Table'!B1571:M1571)</f>
        <v>000001000110</v>
      </c>
    </row>
    <row r="1572" spans="2:2" x14ac:dyDescent="0.25">
      <c r="B1572" s="4" t="str">
        <f>_xlfn.TEXTJOIN(,,'Truth Table'!B1572:M1572)</f>
        <v>100001000110</v>
      </c>
    </row>
    <row r="1573" spans="2:2" x14ac:dyDescent="0.25">
      <c r="B1573" s="4" t="str">
        <f>_xlfn.TEXTJOIN(,,'Truth Table'!B1573:M1573)</f>
        <v>010001000110</v>
      </c>
    </row>
    <row r="1574" spans="2:2" x14ac:dyDescent="0.25">
      <c r="B1574" s="4" t="str">
        <f>_xlfn.TEXTJOIN(,,'Truth Table'!B1574:M1574)</f>
        <v>110001000110</v>
      </c>
    </row>
    <row r="1575" spans="2:2" x14ac:dyDescent="0.25">
      <c r="B1575" s="4" t="str">
        <f>_xlfn.TEXTJOIN(,,'Truth Table'!B1575:M1575)</f>
        <v>001001000110</v>
      </c>
    </row>
    <row r="1576" spans="2:2" x14ac:dyDescent="0.25">
      <c r="B1576" s="4" t="str">
        <f>_xlfn.TEXTJOIN(,,'Truth Table'!B1576:M1576)</f>
        <v>101001000110</v>
      </c>
    </row>
    <row r="1577" spans="2:2" x14ac:dyDescent="0.25">
      <c r="B1577" s="4" t="str">
        <f>_xlfn.TEXTJOIN(,,'Truth Table'!B1577:M1577)</f>
        <v>011001000110</v>
      </c>
    </row>
    <row r="1578" spans="2:2" x14ac:dyDescent="0.25">
      <c r="B1578" s="4" t="str">
        <f>_xlfn.TEXTJOIN(,,'Truth Table'!B1578:M1578)</f>
        <v>111001000110</v>
      </c>
    </row>
    <row r="1579" spans="2:2" x14ac:dyDescent="0.25">
      <c r="B1579" s="4" t="str">
        <f>_xlfn.TEXTJOIN(,,'Truth Table'!B1579:M1579)</f>
        <v>000101000110</v>
      </c>
    </row>
    <row r="1580" spans="2:2" x14ac:dyDescent="0.25">
      <c r="B1580" s="4" t="str">
        <f>_xlfn.TEXTJOIN(,,'Truth Table'!B1580:M1580)</f>
        <v>100101000110</v>
      </c>
    </row>
    <row r="1581" spans="2:2" x14ac:dyDescent="0.25">
      <c r="B1581" s="4" t="str">
        <f>_xlfn.TEXTJOIN(,,'Truth Table'!B1581:M1581)</f>
        <v>010101000110</v>
      </c>
    </row>
    <row r="1582" spans="2:2" x14ac:dyDescent="0.25">
      <c r="B1582" s="4" t="str">
        <f>_xlfn.TEXTJOIN(,,'Truth Table'!B1582:M1582)</f>
        <v>110101000110</v>
      </c>
    </row>
    <row r="1583" spans="2:2" x14ac:dyDescent="0.25">
      <c r="B1583" s="4" t="str">
        <f>_xlfn.TEXTJOIN(,,'Truth Table'!B1583:M1583)</f>
        <v>001101000110</v>
      </c>
    </row>
    <row r="1584" spans="2:2" x14ac:dyDescent="0.25">
      <c r="B1584" s="4" t="str">
        <f>_xlfn.TEXTJOIN(,,'Truth Table'!B1584:M1584)</f>
        <v>101101000110</v>
      </c>
    </row>
    <row r="1585" spans="2:2" x14ac:dyDescent="0.25">
      <c r="B1585" s="4" t="str">
        <f>_xlfn.TEXTJOIN(,,'Truth Table'!B1585:M1585)</f>
        <v>011101000110</v>
      </c>
    </row>
    <row r="1586" spans="2:2" x14ac:dyDescent="0.25">
      <c r="B1586" s="4" t="str">
        <f>_xlfn.TEXTJOIN(,,'Truth Table'!B1586:M1586)</f>
        <v>111101000110</v>
      </c>
    </row>
    <row r="1587" spans="2:2" x14ac:dyDescent="0.25">
      <c r="B1587" s="4" t="str">
        <f>_xlfn.TEXTJOIN(,,'Truth Table'!B1587:M1587)</f>
        <v>000011000110</v>
      </c>
    </row>
    <row r="1588" spans="2:2" x14ac:dyDescent="0.25">
      <c r="B1588" s="4" t="str">
        <f>_xlfn.TEXTJOIN(,,'Truth Table'!B1588:M1588)</f>
        <v>100011000110</v>
      </c>
    </row>
    <row r="1589" spans="2:2" x14ac:dyDescent="0.25">
      <c r="B1589" s="4" t="str">
        <f>_xlfn.TEXTJOIN(,,'Truth Table'!B1589:M1589)</f>
        <v>010011000110</v>
      </c>
    </row>
    <row r="1590" spans="2:2" x14ac:dyDescent="0.25">
      <c r="B1590" s="4" t="str">
        <f>_xlfn.TEXTJOIN(,,'Truth Table'!B1590:M1590)</f>
        <v>110011000110</v>
      </c>
    </row>
    <row r="1591" spans="2:2" x14ac:dyDescent="0.25">
      <c r="B1591" s="4" t="str">
        <f>_xlfn.TEXTJOIN(,,'Truth Table'!B1591:M1591)</f>
        <v>001011000110</v>
      </c>
    </row>
    <row r="1592" spans="2:2" x14ac:dyDescent="0.25">
      <c r="B1592" s="4" t="str">
        <f>_xlfn.TEXTJOIN(,,'Truth Table'!B1592:M1592)</f>
        <v>101011000110</v>
      </c>
    </row>
    <row r="1593" spans="2:2" x14ac:dyDescent="0.25">
      <c r="B1593" s="4" t="str">
        <f>_xlfn.TEXTJOIN(,,'Truth Table'!B1593:M1593)</f>
        <v>011011000110</v>
      </c>
    </row>
    <row r="1594" spans="2:2" x14ac:dyDescent="0.25">
      <c r="B1594" s="4" t="str">
        <f>_xlfn.TEXTJOIN(,,'Truth Table'!B1594:M1594)</f>
        <v>111011000110</v>
      </c>
    </row>
    <row r="1595" spans="2:2" x14ac:dyDescent="0.25">
      <c r="B1595" s="4" t="str">
        <f>_xlfn.TEXTJOIN(,,'Truth Table'!B1595:M1595)</f>
        <v>000111000110</v>
      </c>
    </row>
    <row r="1596" spans="2:2" x14ac:dyDescent="0.25">
      <c r="B1596" s="4" t="str">
        <f>_xlfn.TEXTJOIN(,,'Truth Table'!B1596:M1596)</f>
        <v>100111000110</v>
      </c>
    </row>
    <row r="1597" spans="2:2" x14ac:dyDescent="0.25">
      <c r="B1597" s="4" t="str">
        <f>_xlfn.TEXTJOIN(,,'Truth Table'!B1597:M1597)</f>
        <v>010111000110</v>
      </c>
    </row>
    <row r="1598" spans="2:2" x14ac:dyDescent="0.25">
      <c r="B1598" s="4" t="str">
        <f>_xlfn.TEXTJOIN(,,'Truth Table'!B1598:M1598)</f>
        <v>110111000110</v>
      </c>
    </row>
    <row r="1599" spans="2:2" x14ac:dyDescent="0.25">
      <c r="B1599" s="4" t="str">
        <f>_xlfn.TEXTJOIN(,,'Truth Table'!B1599:M1599)</f>
        <v>001111000110</v>
      </c>
    </row>
    <row r="1600" spans="2:2" x14ac:dyDescent="0.25">
      <c r="B1600" s="4" t="str">
        <f>_xlfn.TEXTJOIN(,,'Truth Table'!B1600:M1600)</f>
        <v>101111000110</v>
      </c>
    </row>
    <row r="1601" spans="2:2" x14ac:dyDescent="0.25">
      <c r="B1601" s="4" t="str">
        <f>_xlfn.TEXTJOIN(,,'Truth Table'!B1601:M1601)</f>
        <v>011111000110</v>
      </c>
    </row>
    <row r="1602" spans="2:2" x14ac:dyDescent="0.25">
      <c r="B1602" s="4" t="str">
        <f>_xlfn.TEXTJOIN(,,'Truth Table'!B1602:M1602)</f>
        <v>111111000110</v>
      </c>
    </row>
    <row r="1603" spans="2:2" x14ac:dyDescent="0.25">
      <c r="B1603" s="4" t="str">
        <f>_xlfn.TEXTJOIN(,,'Truth Table'!B1603:M1603)</f>
        <v>000000100110</v>
      </c>
    </row>
    <row r="1604" spans="2:2" x14ac:dyDescent="0.25">
      <c r="B1604" s="4" t="str">
        <f>_xlfn.TEXTJOIN(,,'Truth Table'!B1604:M1604)</f>
        <v>100000100110</v>
      </c>
    </row>
    <row r="1605" spans="2:2" x14ac:dyDescent="0.25">
      <c r="B1605" s="4" t="str">
        <f>_xlfn.TEXTJOIN(,,'Truth Table'!B1605:M1605)</f>
        <v>010000100110</v>
      </c>
    </row>
    <row r="1606" spans="2:2" x14ac:dyDescent="0.25">
      <c r="B1606" s="4" t="str">
        <f>_xlfn.TEXTJOIN(,,'Truth Table'!B1606:M1606)</f>
        <v>110000100110</v>
      </c>
    </row>
    <row r="1607" spans="2:2" x14ac:dyDescent="0.25">
      <c r="B1607" s="4" t="str">
        <f>_xlfn.TEXTJOIN(,,'Truth Table'!B1607:M1607)</f>
        <v>001000100110</v>
      </c>
    </row>
    <row r="1608" spans="2:2" x14ac:dyDescent="0.25">
      <c r="B1608" s="4" t="str">
        <f>_xlfn.TEXTJOIN(,,'Truth Table'!B1608:M1608)</f>
        <v>101000100110</v>
      </c>
    </row>
    <row r="1609" spans="2:2" x14ac:dyDescent="0.25">
      <c r="B1609" s="4" t="str">
        <f>_xlfn.TEXTJOIN(,,'Truth Table'!B1609:M1609)</f>
        <v>011000100110</v>
      </c>
    </row>
    <row r="1610" spans="2:2" x14ac:dyDescent="0.25">
      <c r="B1610" s="4" t="str">
        <f>_xlfn.TEXTJOIN(,,'Truth Table'!B1610:M1610)</f>
        <v>111000100110</v>
      </c>
    </row>
    <row r="1611" spans="2:2" x14ac:dyDescent="0.25">
      <c r="B1611" s="4" t="str">
        <f>_xlfn.TEXTJOIN(,,'Truth Table'!B1611:M1611)</f>
        <v>000100100110</v>
      </c>
    </row>
    <row r="1612" spans="2:2" x14ac:dyDescent="0.25">
      <c r="B1612" s="4" t="str">
        <f>_xlfn.TEXTJOIN(,,'Truth Table'!B1612:M1612)</f>
        <v>100100100110</v>
      </c>
    </row>
    <row r="1613" spans="2:2" x14ac:dyDescent="0.25">
      <c r="B1613" s="4" t="str">
        <f>_xlfn.TEXTJOIN(,,'Truth Table'!B1613:M1613)</f>
        <v>010100100110</v>
      </c>
    </row>
    <row r="1614" spans="2:2" x14ac:dyDescent="0.25">
      <c r="B1614" s="4" t="str">
        <f>_xlfn.TEXTJOIN(,,'Truth Table'!B1614:M1614)</f>
        <v>110100100110</v>
      </c>
    </row>
    <row r="1615" spans="2:2" x14ac:dyDescent="0.25">
      <c r="B1615" s="4" t="str">
        <f>_xlfn.TEXTJOIN(,,'Truth Table'!B1615:M1615)</f>
        <v>001100100110</v>
      </c>
    </row>
    <row r="1616" spans="2:2" x14ac:dyDescent="0.25">
      <c r="B1616" s="4" t="str">
        <f>_xlfn.TEXTJOIN(,,'Truth Table'!B1616:M1616)</f>
        <v>101100100110</v>
      </c>
    </row>
    <row r="1617" spans="2:2" x14ac:dyDescent="0.25">
      <c r="B1617" s="4" t="str">
        <f>_xlfn.TEXTJOIN(,,'Truth Table'!B1617:M1617)</f>
        <v>011100100110</v>
      </c>
    </row>
    <row r="1618" spans="2:2" x14ac:dyDescent="0.25">
      <c r="B1618" s="4" t="str">
        <f>_xlfn.TEXTJOIN(,,'Truth Table'!B1618:M1618)</f>
        <v>111100100110</v>
      </c>
    </row>
    <row r="1619" spans="2:2" x14ac:dyDescent="0.25">
      <c r="B1619" s="4" t="str">
        <f>_xlfn.TEXTJOIN(,,'Truth Table'!B1619:M1619)</f>
        <v>000010100110</v>
      </c>
    </row>
    <row r="1620" spans="2:2" x14ac:dyDescent="0.25">
      <c r="B1620" s="4" t="str">
        <f>_xlfn.TEXTJOIN(,,'Truth Table'!B1620:M1620)</f>
        <v>100010100110</v>
      </c>
    </row>
    <row r="1621" spans="2:2" x14ac:dyDescent="0.25">
      <c r="B1621" s="4" t="str">
        <f>_xlfn.TEXTJOIN(,,'Truth Table'!B1621:M1621)</f>
        <v>010010100110</v>
      </c>
    </row>
    <row r="1622" spans="2:2" x14ac:dyDescent="0.25">
      <c r="B1622" s="4" t="str">
        <f>_xlfn.TEXTJOIN(,,'Truth Table'!B1622:M1622)</f>
        <v>110010100110</v>
      </c>
    </row>
    <row r="1623" spans="2:2" x14ac:dyDescent="0.25">
      <c r="B1623" s="4" t="str">
        <f>_xlfn.TEXTJOIN(,,'Truth Table'!B1623:M1623)</f>
        <v>001010100110</v>
      </c>
    </row>
    <row r="1624" spans="2:2" x14ac:dyDescent="0.25">
      <c r="B1624" s="4" t="str">
        <f>_xlfn.TEXTJOIN(,,'Truth Table'!B1624:M1624)</f>
        <v>101010100110</v>
      </c>
    </row>
    <row r="1625" spans="2:2" x14ac:dyDescent="0.25">
      <c r="B1625" s="4" t="str">
        <f>_xlfn.TEXTJOIN(,,'Truth Table'!B1625:M1625)</f>
        <v>011010100110</v>
      </c>
    </row>
    <row r="1626" spans="2:2" x14ac:dyDescent="0.25">
      <c r="B1626" s="4" t="str">
        <f>_xlfn.TEXTJOIN(,,'Truth Table'!B1626:M1626)</f>
        <v>111010100110</v>
      </c>
    </row>
    <row r="1627" spans="2:2" x14ac:dyDescent="0.25">
      <c r="B1627" s="4" t="str">
        <f>_xlfn.TEXTJOIN(,,'Truth Table'!B1627:M1627)</f>
        <v>000110100110</v>
      </c>
    </row>
    <row r="1628" spans="2:2" x14ac:dyDescent="0.25">
      <c r="B1628" s="4" t="str">
        <f>_xlfn.TEXTJOIN(,,'Truth Table'!B1628:M1628)</f>
        <v>100110100110</v>
      </c>
    </row>
    <row r="1629" spans="2:2" x14ac:dyDescent="0.25">
      <c r="B1629" s="4" t="str">
        <f>_xlfn.TEXTJOIN(,,'Truth Table'!B1629:M1629)</f>
        <v>010110100110</v>
      </c>
    </row>
    <row r="1630" spans="2:2" x14ac:dyDescent="0.25">
      <c r="B1630" s="4" t="str">
        <f>_xlfn.TEXTJOIN(,,'Truth Table'!B1630:M1630)</f>
        <v>110110100110</v>
      </c>
    </row>
    <row r="1631" spans="2:2" x14ac:dyDescent="0.25">
      <c r="B1631" s="4" t="str">
        <f>_xlfn.TEXTJOIN(,,'Truth Table'!B1631:M1631)</f>
        <v>001110100110</v>
      </c>
    </row>
    <row r="1632" spans="2:2" x14ac:dyDescent="0.25">
      <c r="B1632" s="4" t="str">
        <f>_xlfn.TEXTJOIN(,,'Truth Table'!B1632:M1632)</f>
        <v>101110100110</v>
      </c>
    </row>
    <row r="1633" spans="2:2" x14ac:dyDescent="0.25">
      <c r="B1633" s="4" t="str">
        <f>_xlfn.TEXTJOIN(,,'Truth Table'!B1633:M1633)</f>
        <v>011110100110</v>
      </c>
    </row>
    <row r="1634" spans="2:2" x14ac:dyDescent="0.25">
      <c r="B1634" s="4" t="str">
        <f>_xlfn.TEXTJOIN(,,'Truth Table'!B1634:M1634)</f>
        <v>111110100110</v>
      </c>
    </row>
    <row r="1635" spans="2:2" x14ac:dyDescent="0.25">
      <c r="B1635" s="4" t="str">
        <f>_xlfn.TEXTJOIN(,,'Truth Table'!B1635:M1635)</f>
        <v>000001100110</v>
      </c>
    </row>
    <row r="1636" spans="2:2" x14ac:dyDescent="0.25">
      <c r="B1636" s="4" t="str">
        <f>_xlfn.TEXTJOIN(,,'Truth Table'!B1636:M1636)</f>
        <v>100001100110</v>
      </c>
    </row>
    <row r="1637" spans="2:2" x14ac:dyDescent="0.25">
      <c r="B1637" s="4" t="str">
        <f>_xlfn.TEXTJOIN(,,'Truth Table'!B1637:M1637)</f>
        <v>010001100110</v>
      </c>
    </row>
    <row r="1638" spans="2:2" x14ac:dyDescent="0.25">
      <c r="B1638" s="4" t="str">
        <f>_xlfn.TEXTJOIN(,,'Truth Table'!B1638:M1638)</f>
        <v>110001100110</v>
      </c>
    </row>
    <row r="1639" spans="2:2" x14ac:dyDescent="0.25">
      <c r="B1639" s="4" t="str">
        <f>_xlfn.TEXTJOIN(,,'Truth Table'!B1639:M1639)</f>
        <v>001001100110</v>
      </c>
    </row>
    <row r="1640" spans="2:2" x14ac:dyDescent="0.25">
      <c r="B1640" s="4" t="str">
        <f>_xlfn.TEXTJOIN(,,'Truth Table'!B1640:M1640)</f>
        <v>101001100110</v>
      </c>
    </row>
    <row r="1641" spans="2:2" x14ac:dyDescent="0.25">
      <c r="B1641" s="4" t="str">
        <f>_xlfn.TEXTJOIN(,,'Truth Table'!B1641:M1641)</f>
        <v>011001100110</v>
      </c>
    </row>
    <row r="1642" spans="2:2" x14ac:dyDescent="0.25">
      <c r="B1642" s="4" t="str">
        <f>_xlfn.TEXTJOIN(,,'Truth Table'!B1642:M1642)</f>
        <v>111001100110</v>
      </c>
    </row>
    <row r="1643" spans="2:2" x14ac:dyDescent="0.25">
      <c r="B1643" s="4" t="str">
        <f>_xlfn.TEXTJOIN(,,'Truth Table'!B1643:M1643)</f>
        <v>000101100110</v>
      </c>
    </row>
    <row r="1644" spans="2:2" x14ac:dyDescent="0.25">
      <c r="B1644" s="4" t="str">
        <f>_xlfn.TEXTJOIN(,,'Truth Table'!B1644:M1644)</f>
        <v>100101100110</v>
      </c>
    </row>
    <row r="1645" spans="2:2" x14ac:dyDescent="0.25">
      <c r="B1645" s="4" t="str">
        <f>_xlfn.TEXTJOIN(,,'Truth Table'!B1645:M1645)</f>
        <v>010101100110</v>
      </c>
    </row>
    <row r="1646" spans="2:2" x14ac:dyDescent="0.25">
      <c r="B1646" s="4" t="str">
        <f>_xlfn.TEXTJOIN(,,'Truth Table'!B1646:M1646)</f>
        <v>110101100110</v>
      </c>
    </row>
    <row r="1647" spans="2:2" x14ac:dyDescent="0.25">
      <c r="B1647" s="4" t="str">
        <f>_xlfn.TEXTJOIN(,,'Truth Table'!B1647:M1647)</f>
        <v>001101100110</v>
      </c>
    </row>
    <row r="1648" spans="2:2" x14ac:dyDescent="0.25">
      <c r="B1648" s="4" t="str">
        <f>_xlfn.TEXTJOIN(,,'Truth Table'!B1648:M1648)</f>
        <v>101101100110</v>
      </c>
    </row>
    <row r="1649" spans="2:2" x14ac:dyDescent="0.25">
      <c r="B1649" s="4" t="str">
        <f>_xlfn.TEXTJOIN(,,'Truth Table'!B1649:M1649)</f>
        <v>011101100110</v>
      </c>
    </row>
    <row r="1650" spans="2:2" x14ac:dyDescent="0.25">
      <c r="B1650" s="4" t="str">
        <f>_xlfn.TEXTJOIN(,,'Truth Table'!B1650:M1650)</f>
        <v>111101100110</v>
      </c>
    </row>
    <row r="1651" spans="2:2" x14ac:dyDescent="0.25">
      <c r="B1651" s="4" t="str">
        <f>_xlfn.TEXTJOIN(,,'Truth Table'!B1651:M1651)</f>
        <v>000011100110</v>
      </c>
    </row>
    <row r="1652" spans="2:2" x14ac:dyDescent="0.25">
      <c r="B1652" s="4" t="str">
        <f>_xlfn.TEXTJOIN(,,'Truth Table'!B1652:M1652)</f>
        <v>100011100110</v>
      </c>
    </row>
    <row r="1653" spans="2:2" x14ac:dyDescent="0.25">
      <c r="B1653" s="4" t="str">
        <f>_xlfn.TEXTJOIN(,,'Truth Table'!B1653:M1653)</f>
        <v>010011100110</v>
      </c>
    </row>
    <row r="1654" spans="2:2" x14ac:dyDescent="0.25">
      <c r="B1654" s="4" t="str">
        <f>_xlfn.TEXTJOIN(,,'Truth Table'!B1654:M1654)</f>
        <v>110011100110</v>
      </c>
    </row>
    <row r="1655" spans="2:2" x14ac:dyDescent="0.25">
      <c r="B1655" s="4" t="str">
        <f>_xlfn.TEXTJOIN(,,'Truth Table'!B1655:M1655)</f>
        <v>001011100110</v>
      </c>
    </row>
    <row r="1656" spans="2:2" x14ac:dyDescent="0.25">
      <c r="B1656" s="4" t="str">
        <f>_xlfn.TEXTJOIN(,,'Truth Table'!B1656:M1656)</f>
        <v>101011100110</v>
      </c>
    </row>
    <row r="1657" spans="2:2" x14ac:dyDescent="0.25">
      <c r="B1657" s="4" t="str">
        <f>_xlfn.TEXTJOIN(,,'Truth Table'!B1657:M1657)</f>
        <v>011011100110</v>
      </c>
    </row>
    <row r="1658" spans="2:2" x14ac:dyDescent="0.25">
      <c r="B1658" s="4" t="str">
        <f>_xlfn.TEXTJOIN(,,'Truth Table'!B1658:M1658)</f>
        <v>111011100110</v>
      </c>
    </row>
    <row r="1659" spans="2:2" x14ac:dyDescent="0.25">
      <c r="B1659" s="4" t="str">
        <f>_xlfn.TEXTJOIN(,,'Truth Table'!B1659:M1659)</f>
        <v>000111100110</v>
      </c>
    </row>
    <row r="1660" spans="2:2" x14ac:dyDescent="0.25">
      <c r="B1660" s="4" t="str">
        <f>_xlfn.TEXTJOIN(,,'Truth Table'!B1660:M1660)</f>
        <v>100111100110</v>
      </c>
    </row>
    <row r="1661" spans="2:2" x14ac:dyDescent="0.25">
      <c r="B1661" s="4" t="str">
        <f>_xlfn.TEXTJOIN(,,'Truth Table'!B1661:M1661)</f>
        <v>010111100110</v>
      </c>
    </row>
    <row r="1662" spans="2:2" x14ac:dyDescent="0.25">
      <c r="B1662" s="4" t="str">
        <f>_xlfn.TEXTJOIN(,,'Truth Table'!B1662:M1662)</f>
        <v>110111100110</v>
      </c>
    </row>
    <row r="1663" spans="2:2" x14ac:dyDescent="0.25">
      <c r="B1663" s="4" t="str">
        <f>_xlfn.TEXTJOIN(,,'Truth Table'!B1663:M1663)</f>
        <v>001111100110</v>
      </c>
    </row>
    <row r="1664" spans="2:2" x14ac:dyDescent="0.25">
      <c r="B1664" s="4" t="str">
        <f>_xlfn.TEXTJOIN(,,'Truth Table'!B1664:M1664)</f>
        <v>101111100110</v>
      </c>
    </row>
    <row r="1665" spans="2:2" x14ac:dyDescent="0.25">
      <c r="B1665" s="4" t="str">
        <f>_xlfn.TEXTJOIN(,,'Truth Table'!B1665:M1665)</f>
        <v>011111100110</v>
      </c>
    </row>
    <row r="1666" spans="2:2" x14ac:dyDescent="0.25">
      <c r="B1666" s="4" t="str">
        <f>_xlfn.TEXTJOIN(,,'Truth Table'!B1666:M1666)</f>
        <v>111111100110</v>
      </c>
    </row>
    <row r="1667" spans="2:2" x14ac:dyDescent="0.25">
      <c r="B1667" s="4" t="str">
        <f>_xlfn.TEXTJOIN(,,'Truth Table'!B1667:M1667)</f>
        <v>000000010110</v>
      </c>
    </row>
    <row r="1668" spans="2:2" x14ac:dyDescent="0.25">
      <c r="B1668" s="4" t="str">
        <f>_xlfn.TEXTJOIN(,,'Truth Table'!B1668:M1668)</f>
        <v>100000010110</v>
      </c>
    </row>
    <row r="1669" spans="2:2" x14ac:dyDescent="0.25">
      <c r="B1669" s="4" t="str">
        <f>_xlfn.TEXTJOIN(,,'Truth Table'!B1669:M1669)</f>
        <v>010000010110</v>
      </c>
    </row>
    <row r="1670" spans="2:2" x14ac:dyDescent="0.25">
      <c r="B1670" s="4" t="str">
        <f>_xlfn.TEXTJOIN(,,'Truth Table'!B1670:M1670)</f>
        <v>110000010110</v>
      </c>
    </row>
    <row r="1671" spans="2:2" x14ac:dyDescent="0.25">
      <c r="B1671" s="4" t="str">
        <f>_xlfn.TEXTJOIN(,,'Truth Table'!B1671:M1671)</f>
        <v>001000010110</v>
      </c>
    </row>
    <row r="1672" spans="2:2" x14ac:dyDescent="0.25">
      <c r="B1672" s="4" t="str">
        <f>_xlfn.TEXTJOIN(,,'Truth Table'!B1672:M1672)</f>
        <v>101000010110</v>
      </c>
    </row>
    <row r="1673" spans="2:2" x14ac:dyDescent="0.25">
      <c r="B1673" s="4" t="str">
        <f>_xlfn.TEXTJOIN(,,'Truth Table'!B1673:M1673)</f>
        <v>011000010110</v>
      </c>
    </row>
    <row r="1674" spans="2:2" x14ac:dyDescent="0.25">
      <c r="B1674" s="4" t="str">
        <f>_xlfn.TEXTJOIN(,,'Truth Table'!B1674:M1674)</f>
        <v>111000010110</v>
      </c>
    </row>
    <row r="1675" spans="2:2" x14ac:dyDescent="0.25">
      <c r="B1675" s="4" t="str">
        <f>_xlfn.TEXTJOIN(,,'Truth Table'!B1675:M1675)</f>
        <v>000100010110</v>
      </c>
    </row>
    <row r="1676" spans="2:2" x14ac:dyDescent="0.25">
      <c r="B1676" s="4" t="str">
        <f>_xlfn.TEXTJOIN(,,'Truth Table'!B1676:M1676)</f>
        <v>100100010110</v>
      </c>
    </row>
    <row r="1677" spans="2:2" x14ac:dyDescent="0.25">
      <c r="B1677" s="4" t="str">
        <f>_xlfn.TEXTJOIN(,,'Truth Table'!B1677:M1677)</f>
        <v>010100010110</v>
      </c>
    </row>
    <row r="1678" spans="2:2" x14ac:dyDescent="0.25">
      <c r="B1678" s="4" t="str">
        <f>_xlfn.TEXTJOIN(,,'Truth Table'!B1678:M1678)</f>
        <v>110100010110</v>
      </c>
    </row>
    <row r="1679" spans="2:2" x14ac:dyDescent="0.25">
      <c r="B1679" s="4" t="str">
        <f>_xlfn.TEXTJOIN(,,'Truth Table'!B1679:M1679)</f>
        <v>001100010110</v>
      </c>
    </row>
    <row r="1680" spans="2:2" x14ac:dyDescent="0.25">
      <c r="B1680" s="4" t="str">
        <f>_xlfn.TEXTJOIN(,,'Truth Table'!B1680:M1680)</f>
        <v>101100010110</v>
      </c>
    </row>
    <row r="1681" spans="2:2" x14ac:dyDescent="0.25">
      <c r="B1681" s="4" t="str">
        <f>_xlfn.TEXTJOIN(,,'Truth Table'!B1681:M1681)</f>
        <v>011100010110</v>
      </c>
    </row>
    <row r="1682" spans="2:2" x14ac:dyDescent="0.25">
      <c r="B1682" s="4" t="str">
        <f>_xlfn.TEXTJOIN(,,'Truth Table'!B1682:M1682)</f>
        <v>111100010110</v>
      </c>
    </row>
    <row r="1683" spans="2:2" x14ac:dyDescent="0.25">
      <c r="B1683" s="4" t="str">
        <f>_xlfn.TEXTJOIN(,,'Truth Table'!B1683:M1683)</f>
        <v>000010010110</v>
      </c>
    </row>
    <row r="1684" spans="2:2" x14ac:dyDescent="0.25">
      <c r="B1684" s="4" t="str">
        <f>_xlfn.TEXTJOIN(,,'Truth Table'!B1684:M1684)</f>
        <v>100010010110</v>
      </c>
    </row>
    <row r="1685" spans="2:2" x14ac:dyDescent="0.25">
      <c r="B1685" s="4" t="str">
        <f>_xlfn.TEXTJOIN(,,'Truth Table'!B1685:M1685)</f>
        <v>010010010110</v>
      </c>
    </row>
    <row r="1686" spans="2:2" x14ac:dyDescent="0.25">
      <c r="B1686" s="4" t="str">
        <f>_xlfn.TEXTJOIN(,,'Truth Table'!B1686:M1686)</f>
        <v>110010010110</v>
      </c>
    </row>
    <row r="1687" spans="2:2" x14ac:dyDescent="0.25">
      <c r="B1687" s="4" t="str">
        <f>_xlfn.TEXTJOIN(,,'Truth Table'!B1687:M1687)</f>
        <v>001010010110</v>
      </c>
    </row>
    <row r="1688" spans="2:2" x14ac:dyDescent="0.25">
      <c r="B1688" s="4" t="str">
        <f>_xlfn.TEXTJOIN(,,'Truth Table'!B1688:M1688)</f>
        <v>101010010110</v>
      </c>
    </row>
    <row r="1689" spans="2:2" x14ac:dyDescent="0.25">
      <c r="B1689" s="4" t="str">
        <f>_xlfn.TEXTJOIN(,,'Truth Table'!B1689:M1689)</f>
        <v>011010010110</v>
      </c>
    </row>
    <row r="1690" spans="2:2" x14ac:dyDescent="0.25">
      <c r="B1690" s="4" t="str">
        <f>_xlfn.TEXTJOIN(,,'Truth Table'!B1690:M1690)</f>
        <v>111010010110</v>
      </c>
    </row>
    <row r="1691" spans="2:2" x14ac:dyDescent="0.25">
      <c r="B1691" s="4" t="str">
        <f>_xlfn.TEXTJOIN(,,'Truth Table'!B1691:M1691)</f>
        <v>000110010110</v>
      </c>
    </row>
    <row r="1692" spans="2:2" x14ac:dyDescent="0.25">
      <c r="B1692" s="4" t="str">
        <f>_xlfn.TEXTJOIN(,,'Truth Table'!B1692:M1692)</f>
        <v>100110010110</v>
      </c>
    </row>
    <row r="1693" spans="2:2" x14ac:dyDescent="0.25">
      <c r="B1693" s="4" t="str">
        <f>_xlfn.TEXTJOIN(,,'Truth Table'!B1693:M1693)</f>
        <v>010110010110</v>
      </c>
    </row>
    <row r="1694" spans="2:2" x14ac:dyDescent="0.25">
      <c r="B1694" s="4" t="str">
        <f>_xlfn.TEXTJOIN(,,'Truth Table'!B1694:M1694)</f>
        <v>110110010110</v>
      </c>
    </row>
    <row r="1695" spans="2:2" x14ac:dyDescent="0.25">
      <c r="B1695" s="4" t="str">
        <f>_xlfn.TEXTJOIN(,,'Truth Table'!B1695:M1695)</f>
        <v>001110010110</v>
      </c>
    </row>
    <row r="1696" spans="2:2" x14ac:dyDescent="0.25">
      <c r="B1696" s="4" t="str">
        <f>_xlfn.TEXTJOIN(,,'Truth Table'!B1696:M1696)</f>
        <v>101110010110</v>
      </c>
    </row>
    <row r="1697" spans="2:2" x14ac:dyDescent="0.25">
      <c r="B1697" s="4" t="str">
        <f>_xlfn.TEXTJOIN(,,'Truth Table'!B1697:M1697)</f>
        <v>011110010110</v>
      </c>
    </row>
    <row r="1698" spans="2:2" x14ac:dyDescent="0.25">
      <c r="B1698" s="4" t="str">
        <f>_xlfn.TEXTJOIN(,,'Truth Table'!B1698:M1698)</f>
        <v>111110010110</v>
      </c>
    </row>
    <row r="1699" spans="2:2" x14ac:dyDescent="0.25">
      <c r="B1699" s="4" t="str">
        <f>_xlfn.TEXTJOIN(,,'Truth Table'!B1699:M1699)</f>
        <v>000001010110</v>
      </c>
    </row>
    <row r="1700" spans="2:2" x14ac:dyDescent="0.25">
      <c r="B1700" s="4" t="str">
        <f>_xlfn.TEXTJOIN(,,'Truth Table'!B1700:M1700)</f>
        <v>100001010110</v>
      </c>
    </row>
    <row r="1701" spans="2:2" x14ac:dyDescent="0.25">
      <c r="B1701" s="4" t="str">
        <f>_xlfn.TEXTJOIN(,,'Truth Table'!B1701:M1701)</f>
        <v>010001010110</v>
      </c>
    </row>
    <row r="1702" spans="2:2" x14ac:dyDescent="0.25">
      <c r="B1702" s="4" t="str">
        <f>_xlfn.TEXTJOIN(,,'Truth Table'!B1702:M1702)</f>
        <v>110001010110</v>
      </c>
    </row>
    <row r="1703" spans="2:2" x14ac:dyDescent="0.25">
      <c r="B1703" s="4" t="str">
        <f>_xlfn.TEXTJOIN(,,'Truth Table'!B1703:M1703)</f>
        <v>001001010110</v>
      </c>
    </row>
    <row r="1704" spans="2:2" x14ac:dyDescent="0.25">
      <c r="B1704" s="4" t="str">
        <f>_xlfn.TEXTJOIN(,,'Truth Table'!B1704:M1704)</f>
        <v>101001010110</v>
      </c>
    </row>
    <row r="1705" spans="2:2" x14ac:dyDescent="0.25">
      <c r="B1705" s="4" t="str">
        <f>_xlfn.TEXTJOIN(,,'Truth Table'!B1705:M1705)</f>
        <v>011001010110</v>
      </c>
    </row>
    <row r="1706" spans="2:2" x14ac:dyDescent="0.25">
      <c r="B1706" s="4" t="str">
        <f>_xlfn.TEXTJOIN(,,'Truth Table'!B1706:M1706)</f>
        <v>111001010110</v>
      </c>
    </row>
    <row r="1707" spans="2:2" x14ac:dyDescent="0.25">
      <c r="B1707" s="4" t="str">
        <f>_xlfn.TEXTJOIN(,,'Truth Table'!B1707:M1707)</f>
        <v>000101010110</v>
      </c>
    </row>
    <row r="1708" spans="2:2" x14ac:dyDescent="0.25">
      <c r="B1708" s="4" t="str">
        <f>_xlfn.TEXTJOIN(,,'Truth Table'!B1708:M1708)</f>
        <v>100101010110</v>
      </c>
    </row>
    <row r="1709" spans="2:2" x14ac:dyDescent="0.25">
      <c r="B1709" s="4" t="str">
        <f>_xlfn.TEXTJOIN(,,'Truth Table'!B1709:M1709)</f>
        <v>010101010110</v>
      </c>
    </row>
    <row r="1710" spans="2:2" x14ac:dyDescent="0.25">
      <c r="B1710" s="4" t="str">
        <f>_xlfn.TEXTJOIN(,,'Truth Table'!B1710:M1710)</f>
        <v>110101010110</v>
      </c>
    </row>
    <row r="1711" spans="2:2" x14ac:dyDescent="0.25">
      <c r="B1711" s="4" t="str">
        <f>_xlfn.TEXTJOIN(,,'Truth Table'!B1711:M1711)</f>
        <v>001101010110</v>
      </c>
    </row>
    <row r="1712" spans="2:2" x14ac:dyDescent="0.25">
      <c r="B1712" s="4" t="str">
        <f>_xlfn.TEXTJOIN(,,'Truth Table'!B1712:M1712)</f>
        <v>101101010110</v>
      </c>
    </row>
    <row r="1713" spans="2:2" x14ac:dyDescent="0.25">
      <c r="B1713" s="4" t="str">
        <f>_xlfn.TEXTJOIN(,,'Truth Table'!B1713:M1713)</f>
        <v>011101010110</v>
      </c>
    </row>
    <row r="1714" spans="2:2" x14ac:dyDescent="0.25">
      <c r="B1714" s="4" t="str">
        <f>_xlfn.TEXTJOIN(,,'Truth Table'!B1714:M1714)</f>
        <v>111101010110</v>
      </c>
    </row>
    <row r="1715" spans="2:2" x14ac:dyDescent="0.25">
      <c r="B1715" s="4" t="str">
        <f>_xlfn.TEXTJOIN(,,'Truth Table'!B1715:M1715)</f>
        <v>000011010110</v>
      </c>
    </row>
    <row r="1716" spans="2:2" x14ac:dyDescent="0.25">
      <c r="B1716" s="4" t="str">
        <f>_xlfn.TEXTJOIN(,,'Truth Table'!B1716:M1716)</f>
        <v>100011010110</v>
      </c>
    </row>
    <row r="1717" spans="2:2" x14ac:dyDescent="0.25">
      <c r="B1717" s="4" t="str">
        <f>_xlfn.TEXTJOIN(,,'Truth Table'!B1717:M1717)</f>
        <v>010011010110</v>
      </c>
    </row>
    <row r="1718" spans="2:2" x14ac:dyDescent="0.25">
      <c r="B1718" s="4" t="str">
        <f>_xlfn.TEXTJOIN(,,'Truth Table'!B1718:M1718)</f>
        <v>110011010110</v>
      </c>
    </row>
    <row r="1719" spans="2:2" x14ac:dyDescent="0.25">
      <c r="B1719" s="4" t="str">
        <f>_xlfn.TEXTJOIN(,,'Truth Table'!B1719:M1719)</f>
        <v>001011010110</v>
      </c>
    </row>
    <row r="1720" spans="2:2" x14ac:dyDescent="0.25">
      <c r="B1720" s="4" t="str">
        <f>_xlfn.TEXTJOIN(,,'Truth Table'!B1720:M1720)</f>
        <v>101011010110</v>
      </c>
    </row>
    <row r="1721" spans="2:2" x14ac:dyDescent="0.25">
      <c r="B1721" s="4" t="str">
        <f>_xlfn.TEXTJOIN(,,'Truth Table'!B1721:M1721)</f>
        <v>011011010110</v>
      </c>
    </row>
    <row r="1722" spans="2:2" x14ac:dyDescent="0.25">
      <c r="B1722" s="4" t="str">
        <f>_xlfn.TEXTJOIN(,,'Truth Table'!B1722:M1722)</f>
        <v>111011010110</v>
      </c>
    </row>
    <row r="1723" spans="2:2" x14ac:dyDescent="0.25">
      <c r="B1723" s="4" t="str">
        <f>_xlfn.TEXTJOIN(,,'Truth Table'!B1723:M1723)</f>
        <v>000111010110</v>
      </c>
    </row>
    <row r="1724" spans="2:2" x14ac:dyDescent="0.25">
      <c r="B1724" s="4" t="str">
        <f>_xlfn.TEXTJOIN(,,'Truth Table'!B1724:M1724)</f>
        <v>100111010110</v>
      </c>
    </row>
    <row r="1725" spans="2:2" x14ac:dyDescent="0.25">
      <c r="B1725" s="4" t="str">
        <f>_xlfn.TEXTJOIN(,,'Truth Table'!B1725:M1725)</f>
        <v>010111010110</v>
      </c>
    </row>
    <row r="1726" spans="2:2" x14ac:dyDescent="0.25">
      <c r="B1726" s="4" t="str">
        <f>_xlfn.TEXTJOIN(,,'Truth Table'!B1726:M1726)</f>
        <v>110111010110</v>
      </c>
    </row>
    <row r="1727" spans="2:2" x14ac:dyDescent="0.25">
      <c r="B1727" s="4" t="str">
        <f>_xlfn.TEXTJOIN(,,'Truth Table'!B1727:M1727)</f>
        <v>001111010110</v>
      </c>
    </row>
    <row r="1728" spans="2:2" x14ac:dyDescent="0.25">
      <c r="B1728" s="4" t="str">
        <f>_xlfn.TEXTJOIN(,,'Truth Table'!B1728:M1728)</f>
        <v>101111010110</v>
      </c>
    </row>
    <row r="1729" spans="2:2" x14ac:dyDescent="0.25">
      <c r="B1729" s="4" t="str">
        <f>_xlfn.TEXTJOIN(,,'Truth Table'!B1729:M1729)</f>
        <v>011111010110</v>
      </c>
    </row>
    <row r="1730" spans="2:2" x14ac:dyDescent="0.25">
      <c r="B1730" s="4" t="str">
        <f>_xlfn.TEXTJOIN(,,'Truth Table'!B1730:M1730)</f>
        <v>111111010110</v>
      </c>
    </row>
    <row r="1731" spans="2:2" x14ac:dyDescent="0.25">
      <c r="B1731" s="4" t="str">
        <f>_xlfn.TEXTJOIN(,,'Truth Table'!B1731:M1731)</f>
        <v>000000110110</v>
      </c>
    </row>
    <row r="1732" spans="2:2" x14ac:dyDescent="0.25">
      <c r="B1732" s="4" t="str">
        <f>_xlfn.TEXTJOIN(,,'Truth Table'!B1732:M1732)</f>
        <v>100000110110</v>
      </c>
    </row>
    <row r="1733" spans="2:2" x14ac:dyDescent="0.25">
      <c r="B1733" s="4" t="str">
        <f>_xlfn.TEXTJOIN(,,'Truth Table'!B1733:M1733)</f>
        <v>010000110110</v>
      </c>
    </row>
    <row r="1734" spans="2:2" x14ac:dyDescent="0.25">
      <c r="B1734" s="4" t="str">
        <f>_xlfn.TEXTJOIN(,,'Truth Table'!B1734:M1734)</f>
        <v>110000110110</v>
      </c>
    </row>
    <row r="1735" spans="2:2" x14ac:dyDescent="0.25">
      <c r="B1735" s="4" t="str">
        <f>_xlfn.TEXTJOIN(,,'Truth Table'!B1735:M1735)</f>
        <v>001000110110</v>
      </c>
    </row>
    <row r="1736" spans="2:2" x14ac:dyDescent="0.25">
      <c r="B1736" s="4" t="str">
        <f>_xlfn.TEXTJOIN(,,'Truth Table'!B1736:M1736)</f>
        <v>101000110110</v>
      </c>
    </row>
    <row r="1737" spans="2:2" x14ac:dyDescent="0.25">
      <c r="B1737" s="4" t="str">
        <f>_xlfn.TEXTJOIN(,,'Truth Table'!B1737:M1737)</f>
        <v>011000110110</v>
      </c>
    </row>
    <row r="1738" spans="2:2" x14ac:dyDescent="0.25">
      <c r="B1738" s="4" t="str">
        <f>_xlfn.TEXTJOIN(,,'Truth Table'!B1738:M1738)</f>
        <v>111000110110</v>
      </c>
    </row>
    <row r="1739" spans="2:2" x14ac:dyDescent="0.25">
      <c r="B1739" s="4" t="str">
        <f>_xlfn.TEXTJOIN(,,'Truth Table'!B1739:M1739)</f>
        <v>000100110110</v>
      </c>
    </row>
    <row r="1740" spans="2:2" x14ac:dyDescent="0.25">
      <c r="B1740" s="4" t="str">
        <f>_xlfn.TEXTJOIN(,,'Truth Table'!B1740:M1740)</f>
        <v>100100110110</v>
      </c>
    </row>
    <row r="1741" spans="2:2" x14ac:dyDescent="0.25">
      <c r="B1741" s="4" t="str">
        <f>_xlfn.TEXTJOIN(,,'Truth Table'!B1741:M1741)</f>
        <v>010100110110</v>
      </c>
    </row>
    <row r="1742" spans="2:2" x14ac:dyDescent="0.25">
      <c r="B1742" s="4" t="str">
        <f>_xlfn.TEXTJOIN(,,'Truth Table'!B1742:M1742)</f>
        <v>110100110110</v>
      </c>
    </row>
    <row r="1743" spans="2:2" x14ac:dyDescent="0.25">
      <c r="B1743" s="4" t="str">
        <f>_xlfn.TEXTJOIN(,,'Truth Table'!B1743:M1743)</f>
        <v>001100110110</v>
      </c>
    </row>
    <row r="1744" spans="2:2" x14ac:dyDescent="0.25">
      <c r="B1744" s="4" t="str">
        <f>_xlfn.TEXTJOIN(,,'Truth Table'!B1744:M1744)</f>
        <v>101100110110</v>
      </c>
    </row>
    <row r="1745" spans="2:2" x14ac:dyDescent="0.25">
      <c r="B1745" s="4" t="str">
        <f>_xlfn.TEXTJOIN(,,'Truth Table'!B1745:M1745)</f>
        <v>011100110110</v>
      </c>
    </row>
    <row r="1746" spans="2:2" x14ac:dyDescent="0.25">
      <c r="B1746" s="4" t="str">
        <f>_xlfn.TEXTJOIN(,,'Truth Table'!B1746:M1746)</f>
        <v>111100110110</v>
      </c>
    </row>
    <row r="1747" spans="2:2" x14ac:dyDescent="0.25">
      <c r="B1747" s="4" t="str">
        <f>_xlfn.TEXTJOIN(,,'Truth Table'!B1747:M1747)</f>
        <v>000010110110</v>
      </c>
    </row>
    <row r="1748" spans="2:2" x14ac:dyDescent="0.25">
      <c r="B1748" s="4" t="str">
        <f>_xlfn.TEXTJOIN(,,'Truth Table'!B1748:M1748)</f>
        <v>100010110110</v>
      </c>
    </row>
    <row r="1749" spans="2:2" x14ac:dyDescent="0.25">
      <c r="B1749" s="4" t="str">
        <f>_xlfn.TEXTJOIN(,,'Truth Table'!B1749:M1749)</f>
        <v>010010110110</v>
      </c>
    </row>
    <row r="1750" spans="2:2" x14ac:dyDescent="0.25">
      <c r="B1750" s="4" t="str">
        <f>_xlfn.TEXTJOIN(,,'Truth Table'!B1750:M1750)</f>
        <v>110010110110</v>
      </c>
    </row>
    <row r="1751" spans="2:2" x14ac:dyDescent="0.25">
      <c r="B1751" s="4" t="str">
        <f>_xlfn.TEXTJOIN(,,'Truth Table'!B1751:M1751)</f>
        <v>001010110110</v>
      </c>
    </row>
    <row r="1752" spans="2:2" x14ac:dyDescent="0.25">
      <c r="B1752" s="4" t="str">
        <f>_xlfn.TEXTJOIN(,,'Truth Table'!B1752:M1752)</f>
        <v>101010110110</v>
      </c>
    </row>
    <row r="1753" spans="2:2" x14ac:dyDescent="0.25">
      <c r="B1753" s="4" t="str">
        <f>_xlfn.TEXTJOIN(,,'Truth Table'!B1753:M1753)</f>
        <v>011010110110</v>
      </c>
    </row>
    <row r="1754" spans="2:2" x14ac:dyDescent="0.25">
      <c r="B1754" s="4" t="str">
        <f>_xlfn.TEXTJOIN(,,'Truth Table'!B1754:M1754)</f>
        <v>111010110110</v>
      </c>
    </row>
    <row r="1755" spans="2:2" x14ac:dyDescent="0.25">
      <c r="B1755" s="4" t="str">
        <f>_xlfn.TEXTJOIN(,,'Truth Table'!B1755:M1755)</f>
        <v>000110110110</v>
      </c>
    </row>
    <row r="1756" spans="2:2" x14ac:dyDescent="0.25">
      <c r="B1756" s="4" t="str">
        <f>_xlfn.TEXTJOIN(,,'Truth Table'!B1756:M1756)</f>
        <v>100110110110</v>
      </c>
    </row>
    <row r="1757" spans="2:2" x14ac:dyDescent="0.25">
      <c r="B1757" s="4" t="str">
        <f>_xlfn.TEXTJOIN(,,'Truth Table'!B1757:M1757)</f>
        <v>010110110110</v>
      </c>
    </row>
    <row r="1758" spans="2:2" x14ac:dyDescent="0.25">
      <c r="B1758" s="4" t="str">
        <f>_xlfn.TEXTJOIN(,,'Truth Table'!B1758:M1758)</f>
        <v>110110110110</v>
      </c>
    </row>
    <row r="1759" spans="2:2" x14ac:dyDescent="0.25">
      <c r="B1759" s="4" t="str">
        <f>_xlfn.TEXTJOIN(,,'Truth Table'!B1759:M1759)</f>
        <v>001110110110</v>
      </c>
    </row>
    <row r="1760" spans="2:2" x14ac:dyDescent="0.25">
      <c r="B1760" s="4" t="str">
        <f>_xlfn.TEXTJOIN(,,'Truth Table'!B1760:M1760)</f>
        <v>101110110110</v>
      </c>
    </row>
    <row r="1761" spans="2:2" x14ac:dyDescent="0.25">
      <c r="B1761" s="4" t="str">
        <f>_xlfn.TEXTJOIN(,,'Truth Table'!B1761:M1761)</f>
        <v>011110110110</v>
      </c>
    </row>
    <row r="1762" spans="2:2" x14ac:dyDescent="0.25">
      <c r="B1762" s="4" t="str">
        <f>_xlfn.TEXTJOIN(,,'Truth Table'!B1762:M1762)</f>
        <v>111110110110</v>
      </c>
    </row>
    <row r="1763" spans="2:2" x14ac:dyDescent="0.25">
      <c r="B1763" s="4" t="str">
        <f>_xlfn.TEXTJOIN(,,'Truth Table'!B1763:M1763)</f>
        <v>000001110110</v>
      </c>
    </row>
    <row r="1764" spans="2:2" x14ac:dyDescent="0.25">
      <c r="B1764" s="4" t="str">
        <f>_xlfn.TEXTJOIN(,,'Truth Table'!B1764:M1764)</f>
        <v>100001110110</v>
      </c>
    </row>
    <row r="1765" spans="2:2" x14ac:dyDescent="0.25">
      <c r="B1765" s="4" t="str">
        <f>_xlfn.TEXTJOIN(,,'Truth Table'!B1765:M1765)</f>
        <v>010001110110</v>
      </c>
    </row>
    <row r="1766" spans="2:2" x14ac:dyDescent="0.25">
      <c r="B1766" s="4" t="str">
        <f>_xlfn.TEXTJOIN(,,'Truth Table'!B1766:M1766)</f>
        <v>110001110110</v>
      </c>
    </row>
    <row r="1767" spans="2:2" x14ac:dyDescent="0.25">
      <c r="B1767" s="4" t="str">
        <f>_xlfn.TEXTJOIN(,,'Truth Table'!B1767:M1767)</f>
        <v>001001110110</v>
      </c>
    </row>
    <row r="1768" spans="2:2" x14ac:dyDescent="0.25">
      <c r="B1768" s="4" t="str">
        <f>_xlfn.TEXTJOIN(,,'Truth Table'!B1768:M1768)</f>
        <v>101001110110</v>
      </c>
    </row>
    <row r="1769" spans="2:2" x14ac:dyDescent="0.25">
      <c r="B1769" s="4" t="str">
        <f>_xlfn.TEXTJOIN(,,'Truth Table'!B1769:M1769)</f>
        <v>011001110110</v>
      </c>
    </row>
    <row r="1770" spans="2:2" x14ac:dyDescent="0.25">
      <c r="B1770" s="4" t="str">
        <f>_xlfn.TEXTJOIN(,,'Truth Table'!B1770:M1770)</f>
        <v>111001110110</v>
      </c>
    </row>
    <row r="1771" spans="2:2" x14ac:dyDescent="0.25">
      <c r="B1771" s="4" t="str">
        <f>_xlfn.TEXTJOIN(,,'Truth Table'!B1771:M1771)</f>
        <v>000101110110</v>
      </c>
    </row>
    <row r="1772" spans="2:2" x14ac:dyDescent="0.25">
      <c r="B1772" s="4" t="str">
        <f>_xlfn.TEXTJOIN(,,'Truth Table'!B1772:M1772)</f>
        <v>100101110110</v>
      </c>
    </row>
    <row r="1773" spans="2:2" x14ac:dyDescent="0.25">
      <c r="B1773" s="4" t="str">
        <f>_xlfn.TEXTJOIN(,,'Truth Table'!B1773:M1773)</f>
        <v>010101110110</v>
      </c>
    </row>
    <row r="1774" spans="2:2" x14ac:dyDescent="0.25">
      <c r="B1774" s="4" t="str">
        <f>_xlfn.TEXTJOIN(,,'Truth Table'!B1774:M1774)</f>
        <v>110101110110</v>
      </c>
    </row>
    <row r="1775" spans="2:2" x14ac:dyDescent="0.25">
      <c r="B1775" s="4" t="str">
        <f>_xlfn.TEXTJOIN(,,'Truth Table'!B1775:M1775)</f>
        <v>001101110110</v>
      </c>
    </row>
    <row r="1776" spans="2:2" x14ac:dyDescent="0.25">
      <c r="B1776" s="4" t="str">
        <f>_xlfn.TEXTJOIN(,,'Truth Table'!B1776:M1776)</f>
        <v>101101110110</v>
      </c>
    </row>
    <row r="1777" spans="2:2" x14ac:dyDescent="0.25">
      <c r="B1777" s="4" t="str">
        <f>_xlfn.TEXTJOIN(,,'Truth Table'!B1777:M1777)</f>
        <v>011101110110</v>
      </c>
    </row>
    <row r="1778" spans="2:2" x14ac:dyDescent="0.25">
      <c r="B1778" s="4" t="str">
        <f>_xlfn.TEXTJOIN(,,'Truth Table'!B1778:M1778)</f>
        <v>111101110110</v>
      </c>
    </row>
    <row r="1779" spans="2:2" x14ac:dyDescent="0.25">
      <c r="B1779" s="4" t="str">
        <f>_xlfn.TEXTJOIN(,,'Truth Table'!B1779:M1779)</f>
        <v>000011110110</v>
      </c>
    </row>
    <row r="1780" spans="2:2" x14ac:dyDescent="0.25">
      <c r="B1780" s="4" t="str">
        <f>_xlfn.TEXTJOIN(,,'Truth Table'!B1780:M1780)</f>
        <v>100011110110</v>
      </c>
    </row>
    <row r="1781" spans="2:2" x14ac:dyDescent="0.25">
      <c r="B1781" s="4" t="str">
        <f>_xlfn.TEXTJOIN(,,'Truth Table'!B1781:M1781)</f>
        <v>010011110110</v>
      </c>
    </row>
    <row r="1782" spans="2:2" x14ac:dyDescent="0.25">
      <c r="B1782" s="4" t="str">
        <f>_xlfn.TEXTJOIN(,,'Truth Table'!B1782:M1782)</f>
        <v>110011110110</v>
      </c>
    </row>
    <row r="1783" spans="2:2" x14ac:dyDescent="0.25">
      <c r="B1783" s="4" t="str">
        <f>_xlfn.TEXTJOIN(,,'Truth Table'!B1783:M1783)</f>
        <v>001011110110</v>
      </c>
    </row>
    <row r="1784" spans="2:2" x14ac:dyDescent="0.25">
      <c r="B1784" s="4" t="str">
        <f>_xlfn.TEXTJOIN(,,'Truth Table'!B1784:M1784)</f>
        <v>101011110110</v>
      </c>
    </row>
    <row r="1785" spans="2:2" x14ac:dyDescent="0.25">
      <c r="B1785" s="4" t="str">
        <f>_xlfn.TEXTJOIN(,,'Truth Table'!B1785:M1785)</f>
        <v>011011110110</v>
      </c>
    </row>
    <row r="1786" spans="2:2" x14ac:dyDescent="0.25">
      <c r="B1786" s="4" t="str">
        <f>_xlfn.TEXTJOIN(,,'Truth Table'!B1786:M1786)</f>
        <v>111011110110</v>
      </c>
    </row>
    <row r="1787" spans="2:2" x14ac:dyDescent="0.25">
      <c r="B1787" s="4" t="str">
        <f>_xlfn.TEXTJOIN(,,'Truth Table'!B1787:M1787)</f>
        <v>000111110110</v>
      </c>
    </row>
    <row r="1788" spans="2:2" x14ac:dyDescent="0.25">
      <c r="B1788" s="4" t="str">
        <f>_xlfn.TEXTJOIN(,,'Truth Table'!B1788:M1788)</f>
        <v>100111110110</v>
      </c>
    </row>
    <row r="1789" spans="2:2" x14ac:dyDescent="0.25">
      <c r="B1789" s="4" t="str">
        <f>_xlfn.TEXTJOIN(,,'Truth Table'!B1789:M1789)</f>
        <v>010111110110</v>
      </c>
    </row>
    <row r="1790" spans="2:2" x14ac:dyDescent="0.25">
      <c r="B1790" s="4" t="str">
        <f>_xlfn.TEXTJOIN(,,'Truth Table'!B1790:M1790)</f>
        <v>110111110110</v>
      </c>
    </row>
    <row r="1791" spans="2:2" x14ac:dyDescent="0.25">
      <c r="B1791" s="4" t="str">
        <f>_xlfn.TEXTJOIN(,,'Truth Table'!B1791:M1791)</f>
        <v>001111110110</v>
      </c>
    </row>
    <row r="1792" spans="2:2" x14ac:dyDescent="0.25">
      <c r="B1792" s="4" t="str">
        <f>_xlfn.TEXTJOIN(,,'Truth Table'!B1792:M1792)</f>
        <v>101111110110</v>
      </c>
    </row>
    <row r="1793" spans="2:2" x14ac:dyDescent="0.25">
      <c r="B1793" s="4" t="str">
        <f>_xlfn.TEXTJOIN(,,'Truth Table'!B1793:M1793)</f>
        <v>011111110110</v>
      </c>
    </row>
    <row r="1794" spans="2:2" x14ac:dyDescent="0.25">
      <c r="B1794" s="4" t="str">
        <f>_xlfn.TEXTJOIN(,,'Truth Table'!B1794:M1794)</f>
        <v>111111110110</v>
      </c>
    </row>
    <row r="1795" spans="2:2" x14ac:dyDescent="0.25">
      <c r="B1795" s="4" t="str">
        <f>_xlfn.TEXTJOIN(,,'Truth Table'!B1795:M1795)</f>
        <v>000000001110</v>
      </c>
    </row>
    <row r="1796" spans="2:2" x14ac:dyDescent="0.25">
      <c r="B1796" s="4" t="str">
        <f>_xlfn.TEXTJOIN(,,'Truth Table'!B1796:M1796)</f>
        <v>100000001110</v>
      </c>
    </row>
    <row r="1797" spans="2:2" x14ac:dyDescent="0.25">
      <c r="B1797" s="4" t="str">
        <f>_xlfn.TEXTJOIN(,,'Truth Table'!B1797:M1797)</f>
        <v>010000001110</v>
      </c>
    </row>
    <row r="1798" spans="2:2" x14ac:dyDescent="0.25">
      <c r="B1798" s="4" t="str">
        <f>_xlfn.TEXTJOIN(,,'Truth Table'!B1798:M1798)</f>
        <v>110000001110</v>
      </c>
    </row>
    <row r="1799" spans="2:2" x14ac:dyDescent="0.25">
      <c r="B1799" s="4" t="str">
        <f>_xlfn.TEXTJOIN(,,'Truth Table'!B1799:M1799)</f>
        <v>001000001110</v>
      </c>
    </row>
    <row r="1800" spans="2:2" x14ac:dyDescent="0.25">
      <c r="B1800" s="4" t="str">
        <f>_xlfn.TEXTJOIN(,,'Truth Table'!B1800:M1800)</f>
        <v>101000001110</v>
      </c>
    </row>
    <row r="1801" spans="2:2" x14ac:dyDescent="0.25">
      <c r="B1801" s="4" t="str">
        <f>_xlfn.TEXTJOIN(,,'Truth Table'!B1801:M1801)</f>
        <v>011000001110</v>
      </c>
    </row>
    <row r="1802" spans="2:2" x14ac:dyDescent="0.25">
      <c r="B1802" s="4" t="str">
        <f>_xlfn.TEXTJOIN(,,'Truth Table'!B1802:M1802)</f>
        <v>111000001110</v>
      </c>
    </row>
    <row r="1803" spans="2:2" x14ac:dyDescent="0.25">
      <c r="B1803" s="4" t="str">
        <f>_xlfn.TEXTJOIN(,,'Truth Table'!B1803:M1803)</f>
        <v>000100001110</v>
      </c>
    </row>
    <row r="1804" spans="2:2" x14ac:dyDescent="0.25">
      <c r="B1804" s="4" t="str">
        <f>_xlfn.TEXTJOIN(,,'Truth Table'!B1804:M1804)</f>
        <v>100100001110</v>
      </c>
    </row>
    <row r="1805" spans="2:2" x14ac:dyDescent="0.25">
      <c r="B1805" s="4" t="str">
        <f>_xlfn.TEXTJOIN(,,'Truth Table'!B1805:M1805)</f>
        <v>010100001110</v>
      </c>
    </row>
    <row r="1806" spans="2:2" x14ac:dyDescent="0.25">
      <c r="B1806" s="4" t="str">
        <f>_xlfn.TEXTJOIN(,,'Truth Table'!B1806:M1806)</f>
        <v>110100001110</v>
      </c>
    </row>
    <row r="1807" spans="2:2" x14ac:dyDescent="0.25">
      <c r="B1807" s="4" t="str">
        <f>_xlfn.TEXTJOIN(,,'Truth Table'!B1807:M1807)</f>
        <v>001100001110</v>
      </c>
    </row>
    <row r="1808" spans="2:2" x14ac:dyDescent="0.25">
      <c r="B1808" s="4" t="str">
        <f>_xlfn.TEXTJOIN(,,'Truth Table'!B1808:M1808)</f>
        <v>101100001110</v>
      </c>
    </row>
    <row r="1809" spans="2:2" x14ac:dyDescent="0.25">
      <c r="B1809" s="4" t="str">
        <f>_xlfn.TEXTJOIN(,,'Truth Table'!B1809:M1809)</f>
        <v>011100001110</v>
      </c>
    </row>
    <row r="1810" spans="2:2" x14ac:dyDescent="0.25">
      <c r="B1810" s="4" t="str">
        <f>_xlfn.TEXTJOIN(,,'Truth Table'!B1810:M1810)</f>
        <v>111100001110</v>
      </c>
    </row>
    <row r="1811" spans="2:2" x14ac:dyDescent="0.25">
      <c r="B1811" s="4" t="str">
        <f>_xlfn.TEXTJOIN(,,'Truth Table'!B1811:M1811)</f>
        <v>000010001110</v>
      </c>
    </row>
    <row r="1812" spans="2:2" x14ac:dyDescent="0.25">
      <c r="B1812" s="4" t="str">
        <f>_xlfn.TEXTJOIN(,,'Truth Table'!B1812:M1812)</f>
        <v>100010001110</v>
      </c>
    </row>
    <row r="1813" spans="2:2" x14ac:dyDescent="0.25">
      <c r="B1813" s="4" t="str">
        <f>_xlfn.TEXTJOIN(,,'Truth Table'!B1813:M1813)</f>
        <v>010010001110</v>
      </c>
    </row>
    <row r="1814" spans="2:2" x14ac:dyDescent="0.25">
      <c r="B1814" s="4" t="str">
        <f>_xlfn.TEXTJOIN(,,'Truth Table'!B1814:M1814)</f>
        <v>110010001110</v>
      </c>
    </row>
    <row r="1815" spans="2:2" x14ac:dyDescent="0.25">
      <c r="B1815" s="4" t="str">
        <f>_xlfn.TEXTJOIN(,,'Truth Table'!B1815:M1815)</f>
        <v>001010001110</v>
      </c>
    </row>
    <row r="1816" spans="2:2" x14ac:dyDescent="0.25">
      <c r="B1816" s="4" t="str">
        <f>_xlfn.TEXTJOIN(,,'Truth Table'!B1816:M1816)</f>
        <v>101010001110</v>
      </c>
    </row>
    <row r="1817" spans="2:2" x14ac:dyDescent="0.25">
      <c r="B1817" s="4" t="str">
        <f>_xlfn.TEXTJOIN(,,'Truth Table'!B1817:M1817)</f>
        <v>011010001110</v>
      </c>
    </row>
    <row r="1818" spans="2:2" x14ac:dyDescent="0.25">
      <c r="B1818" s="4" t="str">
        <f>_xlfn.TEXTJOIN(,,'Truth Table'!B1818:M1818)</f>
        <v>111010001110</v>
      </c>
    </row>
    <row r="1819" spans="2:2" x14ac:dyDescent="0.25">
      <c r="B1819" s="4" t="str">
        <f>_xlfn.TEXTJOIN(,,'Truth Table'!B1819:M1819)</f>
        <v>000110001110</v>
      </c>
    </row>
    <row r="1820" spans="2:2" x14ac:dyDescent="0.25">
      <c r="B1820" s="4" t="str">
        <f>_xlfn.TEXTJOIN(,,'Truth Table'!B1820:M1820)</f>
        <v>100110001110</v>
      </c>
    </row>
    <row r="1821" spans="2:2" x14ac:dyDescent="0.25">
      <c r="B1821" s="4" t="str">
        <f>_xlfn.TEXTJOIN(,,'Truth Table'!B1821:M1821)</f>
        <v>010110001110</v>
      </c>
    </row>
    <row r="1822" spans="2:2" x14ac:dyDescent="0.25">
      <c r="B1822" s="4" t="str">
        <f>_xlfn.TEXTJOIN(,,'Truth Table'!B1822:M1822)</f>
        <v>110110001110</v>
      </c>
    </row>
    <row r="1823" spans="2:2" x14ac:dyDescent="0.25">
      <c r="B1823" s="4" t="str">
        <f>_xlfn.TEXTJOIN(,,'Truth Table'!B1823:M1823)</f>
        <v>001110001110</v>
      </c>
    </row>
    <row r="1824" spans="2:2" x14ac:dyDescent="0.25">
      <c r="B1824" s="4" t="str">
        <f>_xlfn.TEXTJOIN(,,'Truth Table'!B1824:M1824)</f>
        <v>101110001110</v>
      </c>
    </row>
    <row r="1825" spans="2:2" x14ac:dyDescent="0.25">
      <c r="B1825" s="4" t="str">
        <f>_xlfn.TEXTJOIN(,,'Truth Table'!B1825:M1825)</f>
        <v>011110001110</v>
      </c>
    </row>
    <row r="1826" spans="2:2" x14ac:dyDescent="0.25">
      <c r="B1826" s="4" t="str">
        <f>_xlfn.TEXTJOIN(,,'Truth Table'!B1826:M1826)</f>
        <v>111110001110</v>
      </c>
    </row>
    <row r="1827" spans="2:2" x14ac:dyDescent="0.25">
      <c r="B1827" s="4" t="str">
        <f>_xlfn.TEXTJOIN(,,'Truth Table'!B1827:M1827)</f>
        <v>000001001110</v>
      </c>
    </row>
    <row r="1828" spans="2:2" x14ac:dyDescent="0.25">
      <c r="B1828" s="4" t="str">
        <f>_xlfn.TEXTJOIN(,,'Truth Table'!B1828:M1828)</f>
        <v>100001001110</v>
      </c>
    </row>
    <row r="1829" spans="2:2" x14ac:dyDescent="0.25">
      <c r="B1829" s="4" t="str">
        <f>_xlfn.TEXTJOIN(,,'Truth Table'!B1829:M1829)</f>
        <v>010001001110</v>
      </c>
    </row>
    <row r="1830" spans="2:2" x14ac:dyDescent="0.25">
      <c r="B1830" s="4" t="str">
        <f>_xlfn.TEXTJOIN(,,'Truth Table'!B1830:M1830)</f>
        <v>110001001110</v>
      </c>
    </row>
    <row r="1831" spans="2:2" x14ac:dyDescent="0.25">
      <c r="B1831" s="4" t="str">
        <f>_xlfn.TEXTJOIN(,,'Truth Table'!B1831:M1831)</f>
        <v>001001001110</v>
      </c>
    </row>
    <row r="1832" spans="2:2" x14ac:dyDescent="0.25">
      <c r="B1832" s="4" t="str">
        <f>_xlfn.TEXTJOIN(,,'Truth Table'!B1832:M1832)</f>
        <v>101001001110</v>
      </c>
    </row>
    <row r="1833" spans="2:2" x14ac:dyDescent="0.25">
      <c r="B1833" s="4" t="str">
        <f>_xlfn.TEXTJOIN(,,'Truth Table'!B1833:M1833)</f>
        <v>011001001110</v>
      </c>
    </row>
    <row r="1834" spans="2:2" x14ac:dyDescent="0.25">
      <c r="B1834" s="4" t="str">
        <f>_xlfn.TEXTJOIN(,,'Truth Table'!B1834:M1834)</f>
        <v>111001001110</v>
      </c>
    </row>
    <row r="1835" spans="2:2" x14ac:dyDescent="0.25">
      <c r="B1835" s="4" t="str">
        <f>_xlfn.TEXTJOIN(,,'Truth Table'!B1835:M1835)</f>
        <v>000101001110</v>
      </c>
    </row>
    <row r="1836" spans="2:2" x14ac:dyDescent="0.25">
      <c r="B1836" s="4" t="str">
        <f>_xlfn.TEXTJOIN(,,'Truth Table'!B1836:M1836)</f>
        <v>100101001110</v>
      </c>
    </row>
    <row r="1837" spans="2:2" x14ac:dyDescent="0.25">
      <c r="B1837" s="4" t="str">
        <f>_xlfn.TEXTJOIN(,,'Truth Table'!B1837:M1837)</f>
        <v>010101001110</v>
      </c>
    </row>
    <row r="1838" spans="2:2" x14ac:dyDescent="0.25">
      <c r="B1838" s="4" t="str">
        <f>_xlfn.TEXTJOIN(,,'Truth Table'!B1838:M1838)</f>
        <v>110101001110</v>
      </c>
    </row>
    <row r="1839" spans="2:2" x14ac:dyDescent="0.25">
      <c r="B1839" s="4" t="str">
        <f>_xlfn.TEXTJOIN(,,'Truth Table'!B1839:M1839)</f>
        <v>001101001110</v>
      </c>
    </row>
    <row r="1840" spans="2:2" x14ac:dyDescent="0.25">
      <c r="B1840" s="4" t="str">
        <f>_xlfn.TEXTJOIN(,,'Truth Table'!B1840:M1840)</f>
        <v>101101001110</v>
      </c>
    </row>
    <row r="1841" spans="2:2" x14ac:dyDescent="0.25">
      <c r="B1841" s="4" t="str">
        <f>_xlfn.TEXTJOIN(,,'Truth Table'!B1841:M1841)</f>
        <v>011101001110</v>
      </c>
    </row>
    <row r="1842" spans="2:2" x14ac:dyDescent="0.25">
      <c r="B1842" s="4" t="str">
        <f>_xlfn.TEXTJOIN(,,'Truth Table'!B1842:M1842)</f>
        <v>111101001110</v>
      </c>
    </row>
    <row r="1843" spans="2:2" x14ac:dyDescent="0.25">
      <c r="B1843" s="4" t="str">
        <f>_xlfn.TEXTJOIN(,,'Truth Table'!B1843:M1843)</f>
        <v>000011001110</v>
      </c>
    </row>
    <row r="1844" spans="2:2" x14ac:dyDescent="0.25">
      <c r="B1844" s="4" t="str">
        <f>_xlfn.TEXTJOIN(,,'Truth Table'!B1844:M1844)</f>
        <v>100011001110</v>
      </c>
    </row>
    <row r="1845" spans="2:2" x14ac:dyDescent="0.25">
      <c r="B1845" s="4" t="str">
        <f>_xlfn.TEXTJOIN(,,'Truth Table'!B1845:M1845)</f>
        <v>010011001110</v>
      </c>
    </row>
    <row r="1846" spans="2:2" x14ac:dyDescent="0.25">
      <c r="B1846" s="4" t="str">
        <f>_xlfn.TEXTJOIN(,,'Truth Table'!B1846:M1846)</f>
        <v>110011001110</v>
      </c>
    </row>
    <row r="1847" spans="2:2" x14ac:dyDescent="0.25">
      <c r="B1847" s="4" t="str">
        <f>_xlfn.TEXTJOIN(,,'Truth Table'!B1847:M1847)</f>
        <v>001011001110</v>
      </c>
    </row>
    <row r="1848" spans="2:2" x14ac:dyDescent="0.25">
      <c r="B1848" s="4" t="str">
        <f>_xlfn.TEXTJOIN(,,'Truth Table'!B1848:M1848)</f>
        <v>101011001110</v>
      </c>
    </row>
    <row r="1849" spans="2:2" x14ac:dyDescent="0.25">
      <c r="B1849" s="4" t="str">
        <f>_xlfn.TEXTJOIN(,,'Truth Table'!B1849:M1849)</f>
        <v>011011001110</v>
      </c>
    </row>
    <row r="1850" spans="2:2" x14ac:dyDescent="0.25">
      <c r="B1850" s="4" t="str">
        <f>_xlfn.TEXTJOIN(,,'Truth Table'!B1850:M1850)</f>
        <v>111011001110</v>
      </c>
    </row>
    <row r="1851" spans="2:2" x14ac:dyDescent="0.25">
      <c r="B1851" s="4" t="str">
        <f>_xlfn.TEXTJOIN(,,'Truth Table'!B1851:M1851)</f>
        <v>000111001110</v>
      </c>
    </row>
    <row r="1852" spans="2:2" x14ac:dyDescent="0.25">
      <c r="B1852" s="4" t="str">
        <f>_xlfn.TEXTJOIN(,,'Truth Table'!B1852:M1852)</f>
        <v>100111001110</v>
      </c>
    </row>
    <row r="1853" spans="2:2" x14ac:dyDescent="0.25">
      <c r="B1853" s="4" t="str">
        <f>_xlfn.TEXTJOIN(,,'Truth Table'!B1853:M1853)</f>
        <v>010111001110</v>
      </c>
    </row>
    <row r="1854" spans="2:2" x14ac:dyDescent="0.25">
      <c r="B1854" s="4" t="str">
        <f>_xlfn.TEXTJOIN(,,'Truth Table'!B1854:M1854)</f>
        <v>110111001110</v>
      </c>
    </row>
    <row r="1855" spans="2:2" x14ac:dyDescent="0.25">
      <c r="B1855" s="4" t="str">
        <f>_xlfn.TEXTJOIN(,,'Truth Table'!B1855:M1855)</f>
        <v>001111001110</v>
      </c>
    </row>
    <row r="1856" spans="2:2" x14ac:dyDescent="0.25">
      <c r="B1856" s="4" t="str">
        <f>_xlfn.TEXTJOIN(,,'Truth Table'!B1856:M1856)</f>
        <v>101111001110</v>
      </c>
    </row>
    <row r="1857" spans="2:2" x14ac:dyDescent="0.25">
      <c r="B1857" s="4" t="str">
        <f>_xlfn.TEXTJOIN(,,'Truth Table'!B1857:M1857)</f>
        <v>011111001110</v>
      </c>
    </row>
    <row r="1858" spans="2:2" x14ac:dyDescent="0.25">
      <c r="B1858" s="4" t="str">
        <f>_xlfn.TEXTJOIN(,,'Truth Table'!B1858:M1858)</f>
        <v>111111001110</v>
      </c>
    </row>
    <row r="1859" spans="2:2" x14ac:dyDescent="0.25">
      <c r="B1859" s="4" t="str">
        <f>_xlfn.TEXTJOIN(,,'Truth Table'!B1859:M1859)</f>
        <v>000000101110</v>
      </c>
    </row>
    <row r="1860" spans="2:2" x14ac:dyDescent="0.25">
      <c r="B1860" s="4" t="str">
        <f>_xlfn.TEXTJOIN(,,'Truth Table'!B1860:M1860)</f>
        <v>100000101110</v>
      </c>
    </row>
    <row r="1861" spans="2:2" x14ac:dyDescent="0.25">
      <c r="B1861" s="4" t="str">
        <f>_xlfn.TEXTJOIN(,,'Truth Table'!B1861:M1861)</f>
        <v>010000101110</v>
      </c>
    </row>
    <row r="1862" spans="2:2" x14ac:dyDescent="0.25">
      <c r="B1862" s="4" t="str">
        <f>_xlfn.TEXTJOIN(,,'Truth Table'!B1862:M1862)</f>
        <v>110000101110</v>
      </c>
    </row>
    <row r="1863" spans="2:2" x14ac:dyDescent="0.25">
      <c r="B1863" s="4" t="str">
        <f>_xlfn.TEXTJOIN(,,'Truth Table'!B1863:M1863)</f>
        <v>001000101110</v>
      </c>
    </row>
    <row r="1864" spans="2:2" x14ac:dyDescent="0.25">
      <c r="B1864" s="4" t="str">
        <f>_xlfn.TEXTJOIN(,,'Truth Table'!B1864:M1864)</f>
        <v>101000101110</v>
      </c>
    </row>
    <row r="1865" spans="2:2" x14ac:dyDescent="0.25">
      <c r="B1865" s="4" t="str">
        <f>_xlfn.TEXTJOIN(,,'Truth Table'!B1865:M1865)</f>
        <v>011000101110</v>
      </c>
    </row>
    <row r="1866" spans="2:2" x14ac:dyDescent="0.25">
      <c r="B1866" s="4" t="str">
        <f>_xlfn.TEXTJOIN(,,'Truth Table'!B1866:M1866)</f>
        <v>111000101110</v>
      </c>
    </row>
    <row r="1867" spans="2:2" x14ac:dyDescent="0.25">
      <c r="B1867" s="4" t="str">
        <f>_xlfn.TEXTJOIN(,,'Truth Table'!B1867:M1867)</f>
        <v>000100101110</v>
      </c>
    </row>
    <row r="1868" spans="2:2" x14ac:dyDescent="0.25">
      <c r="B1868" s="4" t="str">
        <f>_xlfn.TEXTJOIN(,,'Truth Table'!B1868:M1868)</f>
        <v>100100101110</v>
      </c>
    </row>
    <row r="1869" spans="2:2" x14ac:dyDescent="0.25">
      <c r="B1869" s="4" t="str">
        <f>_xlfn.TEXTJOIN(,,'Truth Table'!B1869:M1869)</f>
        <v>010100101110</v>
      </c>
    </row>
    <row r="1870" spans="2:2" x14ac:dyDescent="0.25">
      <c r="B1870" s="4" t="str">
        <f>_xlfn.TEXTJOIN(,,'Truth Table'!B1870:M1870)</f>
        <v>110100101110</v>
      </c>
    </row>
    <row r="1871" spans="2:2" x14ac:dyDescent="0.25">
      <c r="B1871" s="4" t="str">
        <f>_xlfn.TEXTJOIN(,,'Truth Table'!B1871:M1871)</f>
        <v>001100101110</v>
      </c>
    </row>
    <row r="1872" spans="2:2" x14ac:dyDescent="0.25">
      <c r="B1872" s="4" t="str">
        <f>_xlfn.TEXTJOIN(,,'Truth Table'!B1872:M1872)</f>
        <v>101100101110</v>
      </c>
    </row>
    <row r="1873" spans="2:2" x14ac:dyDescent="0.25">
      <c r="B1873" s="4" t="str">
        <f>_xlfn.TEXTJOIN(,,'Truth Table'!B1873:M1873)</f>
        <v>011100101110</v>
      </c>
    </row>
    <row r="1874" spans="2:2" x14ac:dyDescent="0.25">
      <c r="B1874" s="4" t="str">
        <f>_xlfn.TEXTJOIN(,,'Truth Table'!B1874:M1874)</f>
        <v>111100101110</v>
      </c>
    </row>
    <row r="1875" spans="2:2" x14ac:dyDescent="0.25">
      <c r="B1875" s="4" t="str">
        <f>_xlfn.TEXTJOIN(,,'Truth Table'!B1875:M1875)</f>
        <v>000010101110</v>
      </c>
    </row>
    <row r="1876" spans="2:2" x14ac:dyDescent="0.25">
      <c r="B1876" s="4" t="str">
        <f>_xlfn.TEXTJOIN(,,'Truth Table'!B1876:M1876)</f>
        <v>100010101110</v>
      </c>
    </row>
    <row r="1877" spans="2:2" x14ac:dyDescent="0.25">
      <c r="B1877" s="4" t="str">
        <f>_xlfn.TEXTJOIN(,,'Truth Table'!B1877:M1877)</f>
        <v>010010101110</v>
      </c>
    </row>
    <row r="1878" spans="2:2" x14ac:dyDescent="0.25">
      <c r="B1878" s="4" t="str">
        <f>_xlfn.TEXTJOIN(,,'Truth Table'!B1878:M1878)</f>
        <v>110010101110</v>
      </c>
    </row>
    <row r="1879" spans="2:2" x14ac:dyDescent="0.25">
      <c r="B1879" s="4" t="str">
        <f>_xlfn.TEXTJOIN(,,'Truth Table'!B1879:M1879)</f>
        <v>001010101110</v>
      </c>
    </row>
    <row r="1880" spans="2:2" x14ac:dyDescent="0.25">
      <c r="B1880" s="4" t="str">
        <f>_xlfn.TEXTJOIN(,,'Truth Table'!B1880:M1880)</f>
        <v>101010101110</v>
      </c>
    </row>
    <row r="1881" spans="2:2" x14ac:dyDescent="0.25">
      <c r="B1881" s="4" t="str">
        <f>_xlfn.TEXTJOIN(,,'Truth Table'!B1881:M1881)</f>
        <v>011010101110</v>
      </c>
    </row>
    <row r="1882" spans="2:2" x14ac:dyDescent="0.25">
      <c r="B1882" s="4" t="str">
        <f>_xlfn.TEXTJOIN(,,'Truth Table'!B1882:M1882)</f>
        <v>111010101110</v>
      </c>
    </row>
    <row r="1883" spans="2:2" x14ac:dyDescent="0.25">
      <c r="B1883" s="4" t="str">
        <f>_xlfn.TEXTJOIN(,,'Truth Table'!B1883:M1883)</f>
        <v>000110101110</v>
      </c>
    </row>
    <row r="1884" spans="2:2" x14ac:dyDescent="0.25">
      <c r="B1884" s="4" t="str">
        <f>_xlfn.TEXTJOIN(,,'Truth Table'!B1884:M1884)</f>
        <v>100110101110</v>
      </c>
    </row>
    <row r="1885" spans="2:2" x14ac:dyDescent="0.25">
      <c r="B1885" s="4" t="str">
        <f>_xlfn.TEXTJOIN(,,'Truth Table'!B1885:M1885)</f>
        <v>010110101110</v>
      </c>
    </row>
    <row r="1886" spans="2:2" x14ac:dyDescent="0.25">
      <c r="B1886" s="4" t="str">
        <f>_xlfn.TEXTJOIN(,,'Truth Table'!B1886:M1886)</f>
        <v>110110101110</v>
      </c>
    </row>
    <row r="1887" spans="2:2" x14ac:dyDescent="0.25">
      <c r="B1887" s="4" t="str">
        <f>_xlfn.TEXTJOIN(,,'Truth Table'!B1887:M1887)</f>
        <v>001110101110</v>
      </c>
    </row>
    <row r="1888" spans="2:2" x14ac:dyDescent="0.25">
      <c r="B1888" s="4" t="str">
        <f>_xlfn.TEXTJOIN(,,'Truth Table'!B1888:M1888)</f>
        <v>101110101110</v>
      </c>
    </row>
    <row r="1889" spans="2:2" x14ac:dyDescent="0.25">
      <c r="B1889" s="4" t="str">
        <f>_xlfn.TEXTJOIN(,,'Truth Table'!B1889:M1889)</f>
        <v>011110101110</v>
      </c>
    </row>
    <row r="1890" spans="2:2" x14ac:dyDescent="0.25">
      <c r="B1890" s="4" t="str">
        <f>_xlfn.TEXTJOIN(,,'Truth Table'!B1890:M1890)</f>
        <v>111110101110</v>
      </c>
    </row>
    <row r="1891" spans="2:2" x14ac:dyDescent="0.25">
      <c r="B1891" s="4" t="str">
        <f>_xlfn.TEXTJOIN(,,'Truth Table'!B1891:M1891)</f>
        <v>000001101110</v>
      </c>
    </row>
    <row r="1892" spans="2:2" x14ac:dyDescent="0.25">
      <c r="B1892" s="4" t="str">
        <f>_xlfn.TEXTJOIN(,,'Truth Table'!B1892:M1892)</f>
        <v>100001101110</v>
      </c>
    </row>
    <row r="1893" spans="2:2" x14ac:dyDescent="0.25">
      <c r="B1893" s="4" t="str">
        <f>_xlfn.TEXTJOIN(,,'Truth Table'!B1893:M1893)</f>
        <v>010001101110</v>
      </c>
    </row>
    <row r="1894" spans="2:2" x14ac:dyDescent="0.25">
      <c r="B1894" s="4" t="str">
        <f>_xlfn.TEXTJOIN(,,'Truth Table'!B1894:M1894)</f>
        <v>110001101110</v>
      </c>
    </row>
    <row r="1895" spans="2:2" x14ac:dyDescent="0.25">
      <c r="B1895" s="4" t="str">
        <f>_xlfn.TEXTJOIN(,,'Truth Table'!B1895:M1895)</f>
        <v>001001101110</v>
      </c>
    </row>
    <row r="1896" spans="2:2" x14ac:dyDescent="0.25">
      <c r="B1896" s="4" t="str">
        <f>_xlfn.TEXTJOIN(,,'Truth Table'!B1896:M1896)</f>
        <v>101001101110</v>
      </c>
    </row>
    <row r="1897" spans="2:2" x14ac:dyDescent="0.25">
      <c r="B1897" s="4" t="str">
        <f>_xlfn.TEXTJOIN(,,'Truth Table'!B1897:M1897)</f>
        <v>011001101110</v>
      </c>
    </row>
    <row r="1898" spans="2:2" x14ac:dyDescent="0.25">
      <c r="B1898" s="4" t="str">
        <f>_xlfn.TEXTJOIN(,,'Truth Table'!B1898:M1898)</f>
        <v>111001101110</v>
      </c>
    </row>
    <row r="1899" spans="2:2" x14ac:dyDescent="0.25">
      <c r="B1899" s="4" t="str">
        <f>_xlfn.TEXTJOIN(,,'Truth Table'!B1899:M1899)</f>
        <v>000101101110</v>
      </c>
    </row>
    <row r="1900" spans="2:2" x14ac:dyDescent="0.25">
      <c r="B1900" s="4" t="str">
        <f>_xlfn.TEXTJOIN(,,'Truth Table'!B1900:M1900)</f>
        <v>100101101110</v>
      </c>
    </row>
    <row r="1901" spans="2:2" x14ac:dyDescent="0.25">
      <c r="B1901" s="4" t="str">
        <f>_xlfn.TEXTJOIN(,,'Truth Table'!B1901:M1901)</f>
        <v>010101101110</v>
      </c>
    </row>
    <row r="1902" spans="2:2" x14ac:dyDescent="0.25">
      <c r="B1902" s="4" t="str">
        <f>_xlfn.TEXTJOIN(,,'Truth Table'!B1902:M1902)</f>
        <v>110101101110</v>
      </c>
    </row>
    <row r="1903" spans="2:2" x14ac:dyDescent="0.25">
      <c r="B1903" s="4" t="str">
        <f>_xlfn.TEXTJOIN(,,'Truth Table'!B1903:M1903)</f>
        <v>001101101110</v>
      </c>
    </row>
    <row r="1904" spans="2:2" x14ac:dyDescent="0.25">
      <c r="B1904" s="4" t="str">
        <f>_xlfn.TEXTJOIN(,,'Truth Table'!B1904:M1904)</f>
        <v>101101101110</v>
      </c>
    </row>
    <row r="1905" spans="2:2" x14ac:dyDescent="0.25">
      <c r="B1905" s="4" t="str">
        <f>_xlfn.TEXTJOIN(,,'Truth Table'!B1905:M1905)</f>
        <v>011101101110</v>
      </c>
    </row>
    <row r="1906" spans="2:2" x14ac:dyDescent="0.25">
      <c r="B1906" s="4" t="str">
        <f>_xlfn.TEXTJOIN(,,'Truth Table'!B1906:M1906)</f>
        <v>111101101110</v>
      </c>
    </row>
    <row r="1907" spans="2:2" x14ac:dyDescent="0.25">
      <c r="B1907" s="4" t="str">
        <f>_xlfn.TEXTJOIN(,,'Truth Table'!B1907:M1907)</f>
        <v>000011101110</v>
      </c>
    </row>
    <row r="1908" spans="2:2" x14ac:dyDescent="0.25">
      <c r="B1908" s="4" t="str">
        <f>_xlfn.TEXTJOIN(,,'Truth Table'!B1908:M1908)</f>
        <v>100011101110</v>
      </c>
    </row>
    <row r="1909" spans="2:2" x14ac:dyDescent="0.25">
      <c r="B1909" s="4" t="str">
        <f>_xlfn.TEXTJOIN(,,'Truth Table'!B1909:M1909)</f>
        <v>010011101110</v>
      </c>
    </row>
    <row r="1910" spans="2:2" x14ac:dyDescent="0.25">
      <c r="B1910" s="4" t="str">
        <f>_xlfn.TEXTJOIN(,,'Truth Table'!B1910:M1910)</f>
        <v>110011101110</v>
      </c>
    </row>
    <row r="1911" spans="2:2" x14ac:dyDescent="0.25">
      <c r="B1911" s="4" t="str">
        <f>_xlfn.TEXTJOIN(,,'Truth Table'!B1911:M1911)</f>
        <v>001011101110</v>
      </c>
    </row>
    <row r="1912" spans="2:2" x14ac:dyDescent="0.25">
      <c r="B1912" s="4" t="str">
        <f>_xlfn.TEXTJOIN(,,'Truth Table'!B1912:M1912)</f>
        <v>101011101110</v>
      </c>
    </row>
    <row r="1913" spans="2:2" x14ac:dyDescent="0.25">
      <c r="B1913" s="4" t="str">
        <f>_xlfn.TEXTJOIN(,,'Truth Table'!B1913:M1913)</f>
        <v>011011101110</v>
      </c>
    </row>
    <row r="1914" spans="2:2" x14ac:dyDescent="0.25">
      <c r="B1914" s="4" t="str">
        <f>_xlfn.TEXTJOIN(,,'Truth Table'!B1914:M1914)</f>
        <v>111011101110</v>
      </c>
    </row>
    <row r="1915" spans="2:2" x14ac:dyDescent="0.25">
      <c r="B1915" s="4" t="str">
        <f>_xlfn.TEXTJOIN(,,'Truth Table'!B1915:M1915)</f>
        <v>000111101110</v>
      </c>
    </row>
    <row r="1916" spans="2:2" x14ac:dyDescent="0.25">
      <c r="B1916" s="4" t="str">
        <f>_xlfn.TEXTJOIN(,,'Truth Table'!B1916:M1916)</f>
        <v>100111101110</v>
      </c>
    </row>
    <row r="1917" spans="2:2" x14ac:dyDescent="0.25">
      <c r="B1917" s="4" t="str">
        <f>_xlfn.TEXTJOIN(,,'Truth Table'!B1917:M1917)</f>
        <v>010111101110</v>
      </c>
    </row>
    <row r="1918" spans="2:2" x14ac:dyDescent="0.25">
      <c r="B1918" s="4" t="str">
        <f>_xlfn.TEXTJOIN(,,'Truth Table'!B1918:M1918)</f>
        <v>110111101110</v>
      </c>
    </row>
    <row r="1919" spans="2:2" x14ac:dyDescent="0.25">
      <c r="B1919" s="4" t="str">
        <f>_xlfn.TEXTJOIN(,,'Truth Table'!B1919:M1919)</f>
        <v>001111101110</v>
      </c>
    </row>
    <row r="1920" spans="2:2" x14ac:dyDescent="0.25">
      <c r="B1920" s="4" t="str">
        <f>_xlfn.TEXTJOIN(,,'Truth Table'!B1920:M1920)</f>
        <v>101111101110</v>
      </c>
    </row>
    <row r="1921" spans="2:2" x14ac:dyDescent="0.25">
      <c r="B1921" s="4" t="str">
        <f>_xlfn.TEXTJOIN(,,'Truth Table'!B1921:M1921)</f>
        <v>011111101110</v>
      </c>
    </row>
    <row r="1922" spans="2:2" x14ac:dyDescent="0.25">
      <c r="B1922" s="4" t="str">
        <f>_xlfn.TEXTJOIN(,,'Truth Table'!B1922:M1922)</f>
        <v>111111101110</v>
      </c>
    </row>
    <row r="1923" spans="2:2" x14ac:dyDescent="0.25">
      <c r="B1923" s="4" t="str">
        <f>_xlfn.TEXTJOIN(,,'Truth Table'!B1923:M1923)</f>
        <v>000000011110</v>
      </c>
    </row>
    <row r="1924" spans="2:2" x14ac:dyDescent="0.25">
      <c r="B1924" s="4" t="str">
        <f>_xlfn.TEXTJOIN(,,'Truth Table'!B1924:M1924)</f>
        <v>100000011110</v>
      </c>
    </row>
    <row r="1925" spans="2:2" x14ac:dyDescent="0.25">
      <c r="B1925" s="4" t="str">
        <f>_xlfn.TEXTJOIN(,,'Truth Table'!B1925:M1925)</f>
        <v>010000011110</v>
      </c>
    </row>
    <row r="1926" spans="2:2" x14ac:dyDescent="0.25">
      <c r="B1926" s="4" t="str">
        <f>_xlfn.TEXTJOIN(,,'Truth Table'!B1926:M1926)</f>
        <v>110000011110</v>
      </c>
    </row>
    <row r="1927" spans="2:2" x14ac:dyDescent="0.25">
      <c r="B1927" s="4" t="str">
        <f>_xlfn.TEXTJOIN(,,'Truth Table'!B1927:M1927)</f>
        <v>001000011110</v>
      </c>
    </row>
    <row r="1928" spans="2:2" x14ac:dyDescent="0.25">
      <c r="B1928" s="4" t="str">
        <f>_xlfn.TEXTJOIN(,,'Truth Table'!B1928:M1928)</f>
        <v>101000011110</v>
      </c>
    </row>
    <row r="1929" spans="2:2" x14ac:dyDescent="0.25">
      <c r="B1929" s="4" t="str">
        <f>_xlfn.TEXTJOIN(,,'Truth Table'!B1929:M1929)</f>
        <v>011000011110</v>
      </c>
    </row>
    <row r="1930" spans="2:2" x14ac:dyDescent="0.25">
      <c r="B1930" s="4" t="str">
        <f>_xlfn.TEXTJOIN(,,'Truth Table'!B1930:M1930)</f>
        <v>111000011110</v>
      </c>
    </row>
    <row r="1931" spans="2:2" x14ac:dyDescent="0.25">
      <c r="B1931" s="4" t="str">
        <f>_xlfn.TEXTJOIN(,,'Truth Table'!B1931:M1931)</f>
        <v>000100011110</v>
      </c>
    </row>
    <row r="1932" spans="2:2" x14ac:dyDescent="0.25">
      <c r="B1932" s="4" t="str">
        <f>_xlfn.TEXTJOIN(,,'Truth Table'!B1932:M1932)</f>
        <v>100100011110</v>
      </c>
    </row>
    <row r="1933" spans="2:2" x14ac:dyDescent="0.25">
      <c r="B1933" s="4" t="str">
        <f>_xlfn.TEXTJOIN(,,'Truth Table'!B1933:M1933)</f>
        <v>010100011110</v>
      </c>
    </row>
    <row r="1934" spans="2:2" x14ac:dyDescent="0.25">
      <c r="B1934" s="4" t="str">
        <f>_xlfn.TEXTJOIN(,,'Truth Table'!B1934:M1934)</f>
        <v>110100011110</v>
      </c>
    </row>
    <row r="1935" spans="2:2" x14ac:dyDescent="0.25">
      <c r="B1935" s="4" t="str">
        <f>_xlfn.TEXTJOIN(,,'Truth Table'!B1935:M1935)</f>
        <v>001100011110</v>
      </c>
    </row>
    <row r="1936" spans="2:2" x14ac:dyDescent="0.25">
      <c r="B1936" s="4" t="str">
        <f>_xlfn.TEXTJOIN(,,'Truth Table'!B1936:M1936)</f>
        <v>101100011110</v>
      </c>
    </row>
    <row r="1937" spans="2:2" x14ac:dyDescent="0.25">
      <c r="B1937" s="4" t="str">
        <f>_xlfn.TEXTJOIN(,,'Truth Table'!B1937:M1937)</f>
        <v>011100011110</v>
      </c>
    </row>
    <row r="1938" spans="2:2" x14ac:dyDescent="0.25">
      <c r="B1938" s="4" t="str">
        <f>_xlfn.TEXTJOIN(,,'Truth Table'!B1938:M1938)</f>
        <v>111100011110</v>
      </c>
    </row>
    <row r="1939" spans="2:2" x14ac:dyDescent="0.25">
      <c r="B1939" s="4" t="str">
        <f>_xlfn.TEXTJOIN(,,'Truth Table'!B1939:M1939)</f>
        <v>000010011110</v>
      </c>
    </row>
    <row r="1940" spans="2:2" x14ac:dyDescent="0.25">
      <c r="B1940" s="4" t="str">
        <f>_xlfn.TEXTJOIN(,,'Truth Table'!B1940:M1940)</f>
        <v>100010011110</v>
      </c>
    </row>
    <row r="1941" spans="2:2" x14ac:dyDescent="0.25">
      <c r="B1941" s="4" t="str">
        <f>_xlfn.TEXTJOIN(,,'Truth Table'!B1941:M1941)</f>
        <v>010010011110</v>
      </c>
    </row>
    <row r="1942" spans="2:2" x14ac:dyDescent="0.25">
      <c r="B1942" s="4" t="str">
        <f>_xlfn.TEXTJOIN(,,'Truth Table'!B1942:M1942)</f>
        <v>110010011110</v>
      </c>
    </row>
    <row r="1943" spans="2:2" x14ac:dyDescent="0.25">
      <c r="B1943" s="4" t="str">
        <f>_xlfn.TEXTJOIN(,,'Truth Table'!B1943:M1943)</f>
        <v>001010011110</v>
      </c>
    </row>
    <row r="1944" spans="2:2" x14ac:dyDescent="0.25">
      <c r="B1944" s="4" t="str">
        <f>_xlfn.TEXTJOIN(,,'Truth Table'!B1944:M1944)</f>
        <v>101010011110</v>
      </c>
    </row>
    <row r="1945" spans="2:2" x14ac:dyDescent="0.25">
      <c r="B1945" s="4" t="str">
        <f>_xlfn.TEXTJOIN(,,'Truth Table'!B1945:M1945)</f>
        <v>011010011110</v>
      </c>
    </row>
    <row r="1946" spans="2:2" x14ac:dyDescent="0.25">
      <c r="B1946" s="4" t="str">
        <f>_xlfn.TEXTJOIN(,,'Truth Table'!B1946:M1946)</f>
        <v>111010011110</v>
      </c>
    </row>
    <row r="1947" spans="2:2" x14ac:dyDescent="0.25">
      <c r="B1947" s="4" t="str">
        <f>_xlfn.TEXTJOIN(,,'Truth Table'!B1947:M1947)</f>
        <v>000110011110</v>
      </c>
    </row>
    <row r="1948" spans="2:2" x14ac:dyDescent="0.25">
      <c r="B1948" s="4" t="str">
        <f>_xlfn.TEXTJOIN(,,'Truth Table'!B1948:M1948)</f>
        <v>100110011110</v>
      </c>
    </row>
    <row r="1949" spans="2:2" x14ac:dyDescent="0.25">
      <c r="B1949" s="4" t="str">
        <f>_xlfn.TEXTJOIN(,,'Truth Table'!B1949:M1949)</f>
        <v>010110011110</v>
      </c>
    </row>
    <row r="1950" spans="2:2" x14ac:dyDescent="0.25">
      <c r="B1950" s="4" t="str">
        <f>_xlfn.TEXTJOIN(,,'Truth Table'!B1950:M1950)</f>
        <v>110110011110</v>
      </c>
    </row>
    <row r="1951" spans="2:2" x14ac:dyDescent="0.25">
      <c r="B1951" s="4" t="str">
        <f>_xlfn.TEXTJOIN(,,'Truth Table'!B1951:M1951)</f>
        <v>001110011110</v>
      </c>
    </row>
    <row r="1952" spans="2:2" x14ac:dyDescent="0.25">
      <c r="B1952" s="4" t="str">
        <f>_xlfn.TEXTJOIN(,,'Truth Table'!B1952:M1952)</f>
        <v>101110011110</v>
      </c>
    </row>
    <row r="1953" spans="2:2" x14ac:dyDescent="0.25">
      <c r="B1953" s="4" t="str">
        <f>_xlfn.TEXTJOIN(,,'Truth Table'!B1953:M1953)</f>
        <v>011110011110</v>
      </c>
    </row>
    <row r="1954" spans="2:2" x14ac:dyDescent="0.25">
      <c r="B1954" s="4" t="str">
        <f>_xlfn.TEXTJOIN(,,'Truth Table'!B1954:M1954)</f>
        <v>111110011110</v>
      </c>
    </row>
    <row r="1955" spans="2:2" x14ac:dyDescent="0.25">
      <c r="B1955" s="4" t="str">
        <f>_xlfn.TEXTJOIN(,,'Truth Table'!B1955:M1955)</f>
        <v>000001011110</v>
      </c>
    </row>
    <row r="1956" spans="2:2" x14ac:dyDescent="0.25">
      <c r="B1956" s="4" t="str">
        <f>_xlfn.TEXTJOIN(,,'Truth Table'!B1956:M1956)</f>
        <v>100001011110</v>
      </c>
    </row>
    <row r="1957" spans="2:2" x14ac:dyDescent="0.25">
      <c r="B1957" s="4" t="str">
        <f>_xlfn.TEXTJOIN(,,'Truth Table'!B1957:M1957)</f>
        <v>010001011110</v>
      </c>
    </row>
    <row r="1958" spans="2:2" x14ac:dyDescent="0.25">
      <c r="B1958" s="4" t="str">
        <f>_xlfn.TEXTJOIN(,,'Truth Table'!B1958:M1958)</f>
        <v>110001011110</v>
      </c>
    </row>
    <row r="1959" spans="2:2" x14ac:dyDescent="0.25">
      <c r="B1959" s="4" t="str">
        <f>_xlfn.TEXTJOIN(,,'Truth Table'!B1959:M1959)</f>
        <v>001001011110</v>
      </c>
    </row>
    <row r="1960" spans="2:2" x14ac:dyDescent="0.25">
      <c r="B1960" s="4" t="str">
        <f>_xlfn.TEXTJOIN(,,'Truth Table'!B1960:M1960)</f>
        <v>101001011110</v>
      </c>
    </row>
    <row r="1961" spans="2:2" x14ac:dyDescent="0.25">
      <c r="B1961" s="4" t="str">
        <f>_xlfn.TEXTJOIN(,,'Truth Table'!B1961:M1961)</f>
        <v>011001011110</v>
      </c>
    </row>
    <row r="1962" spans="2:2" x14ac:dyDescent="0.25">
      <c r="B1962" s="4" t="str">
        <f>_xlfn.TEXTJOIN(,,'Truth Table'!B1962:M1962)</f>
        <v>111001011110</v>
      </c>
    </row>
    <row r="1963" spans="2:2" x14ac:dyDescent="0.25">
      <c r="B1963" s="4" t="str">
        <f>_xlfn.TEXTJOIN(,,'Truth Table'!B1963:M1963)</f>
        <v>000101011110</v>
      </c>
    </row>
    <row r="1964" spans="2:2" x14ac:dyDescent="0.25">
      <c r="B1964" s="4" t="str">
        <f>_xlfn.TEXTJOIN(,,'Truth Table'!B1964:M1964)</f>
        <v>100101011110</v>
      </c>
    </row>
    <row r="1965" spans="2:2" x14ac:dyDescent="0.25">
      <c r="B1965" s="4" t="str">
        <f>_xlfn.TEXTJOIN(,,'Truth Table'!B1965:M1965)</f>
        <v>010101011110</v>
      </c>
    </row>
    <row r="1966" spans="2:2" x14ac:dyDescent="0.25">
      <c r="B1966" s="4" t="str">
        <f>_xlfn.TEXTJOIN(,,'Truth Table'!B1966:M1966)</f>
        <v>110101011110</v>
      </c>
    </row>
    <row r="1967" spans="2:2" x14ac:dyDescent="0.25">
      <c r="B1967" s="4" t="str">
        <f>_xlfn.TEXTJOIN(,,'Truth Table'!B1967:M1967)</f>
        <v>001101011110</v>
      </c>
    </row>
    <row r="1968" spans="2:2" x14ac:dyDescent="0.25">
      <c r="B1968" s="4" t="str">
        <f>_xlfn.TEXTJOIN(,,'Truth Table'!B1968:M1968)</f>
        <v>101101011110</v>
      </c>
    </row>
    <row r="1969" spans="2:2" x14ac:dyDescent="0.25">
      <c r="B1969" s="4" t="str">
        <f>_xlfn.TEXTJOIN(,,'Truth Table'!B1969:M1969)</f>
        <v>011101011110</v>
      </c>
    </row>
    <row r="1970" spans="2:2" x14ac:dyDescent="0.25">
      <c r="B1970" s="4" t="str">
        <f>_xlfn.TEXTJOIN(,,'Truth Table'!B1970:M1970)</f>
        <v>111101011110</v>
      </c>
    </row>
    <row r="1971" spans="2:2" x14ac:dyDescent="0.25">
      <c r="B1971" s="4" t="str">
        <f>_xlfn.TEXTJOIN(,,'Truth Table'!B1971:M1971)</f>
        <v>000011011110</v>
      </c>
    </row>
    <row r="1972" spans="2:2" x14ac:dyDescent="0.25">
      <c r="B1972" s="4" t="str">
        <f>_xlfn.TEXTJOIN(,,'Truth Table'!B1972:M1972)</f>
        <v>100011011110</v>
      </c>
    </row>
    <row r="1973" spans="2:2" x14ac:dyDescent="0.25">
      <c r="B1973" s="4" t="str">
        <f>_xlfn.TEXTJOIN(,,'Truth Table'!B1973:M1973)</f>
        <v>010011011110</v>
      </c>
    </row>
    <row r="1974" spans="2:2" x14ac:dyDescent="0.25">
      <c r="B1974" s="4" t="str">
        <f>_xlfn.TEXTJOIN(,,'Truth Table'!B1974:M1974)</f>
        <v>110011011110</v>
      </c>
    </row>
    <row r="1975" spans="2:2" x14ac:dyDescent="0.25">
      <c r="B1975" s="4" t="str">
        <f>_xlfn.TEXTJOIN(,,'Truth Table'!B1975:M1975)</f>
        <v>001011011110</v>
      </c>
    </row>
    <row r="1976" spans="2:2" x14ac:dyDescent="0.25">
      <c r="B1976" s="4" t="str">
        <f>_xlfn.TEXTJOIN(,,'Truth Table'!B1976:M1976)</f>
        <v>101011011110</v>
      </c>
    </row>
    <row r="1977" spans="2:2" x14ac:dyDescent="0.25">
      <c r="B1977" s="4" t="str">
        <f>_xlfn.TEXTJOIN(,,'Truth Table'!B1977:M1977)</f>
        <v>011011011110</v>
      </c>
    </row>
    <row r="1978" spans="2:2" x14ac:dyDescent="0.25">
      <c r="B1978" s="4" t="str">
        <f>_xlfn.TEXTJOIN(,,'Truth Table'!B1978:M1978)</f>
        <v>111011011110</v>
      </c>
    </row>
    <row r="1979" spans="2:2" x14ac:dyDescent="0.25">
      <c r="B1979" s="4" t="str">
        <f>_xlfn.TEXTJOIN(,,'Truth Table'!B1979:M1979)</f>
        <v>000111011110</v>
      </c>
    </row>
    <row r="1980" spans="2:2" x14ac:dyDescent="0.25">
      <c r="B1980" s="4" t="str">
        <f>_xlfn.TEXTJOIN(,,'Truth Table'!B1980:M1980)</f>
        <v>100111011110</v>
      </c>
    </row>
    <row r="1981" spans="2:2" x14ac:dyDescent="0.25">
      <c r="B1981" s="4" t="str">
        <f>_xlfn.TEXTJOIN(,,'Truth Table'!B1981:M1981)</f>
        <v>010111011110</v>
      </c>
    </row>
    <row r="1982" spans="2:2" x14ac:dyDescent="0.25">
      <c r="B1982" s="4" t="str">
        <f>_xlfn.TEXTJOIN(,,'Truth Table'!B1982:M1982)</f>
        <v>110111011110</v>
      </c>
    </row>
    <row r="1983" spans="2:2" x14ac:dyDescent="0.25">
      <c r="B1983" s="4" t="str">
        <f>_xlfn.TEXTJOIN(,,'Truth Table'!B1983:M1983)</f>
        <v>001111011110</v>
      </c>
    </row>
    <row r="1984" spans="2:2" x14ac:dyDescent="0.25">
      <c r="B1984" s="4" t="str">
        <f>_xlfn.TEXTJOIN(,,'Truth Table'!B1984:M1984)</f>
        <v>101111011110</v>
      </c>
    </row>
    <row r="1985" spans="2:2" x14ac:dyDescent="0.25">
      <c r="B1985" s="4" t="str">
        <f>_xlfn.TEXTJOIN(,,'Truth Table'!B1985:M1985)</f>
        <v>011111011110</v>
      </c>
    </row>
    <row r="1986" spans="2:2" x14ac:dyDescent="0.25">
      <c r="B1986" s="4" t="str">
        <f>_xlfn.TEXTJOIN(,,'Truth Table'!B1986:M1986)</f>
        <v>111111011110</v>
      </c>
    </row>
    <row r="1987" spans="2:2" x14ac:dyDescent="0.25">
      <c r="B1987" s="4" t="str">
        <f>_xlfn.TEXTJOIN(,,'Truth Table'!B1987:M1987)</f>
        <v>000000111110</v>
      </c>
    </row>
    <row r="1988" spans="2:2" x14ac:dyDescent="0.25">
      <c r="B1988" s="4" t="str">
        <f>_xlfn.TEXTJOIN(,,'Truth Table'!B1988:M1988)</f>
        <v>100000111110</v>
      </c>
    </row>
    <row r="1989" spans="2:2" x14ac:dyDescent="0.25">
      <c r="B1989" s="4" t="str">
        <f>_xlfn.TEXTJOIN(,,'Truth Table'!B1989:M1989)</f>
        <v>010000111110</v>
      </c>
    </row>
    <row r="1990" spans="2:2" x14ac:dyDescent="0.25">
      <c r="B1990" s="4" t="str">
        <f>_xlfn.TEXTJOIN(,,'Truth Table'!B1990:M1990)</f>
        <v>110000111110</v>
      </c>
    </row>
    <row r="1991" spans="2:2" x14ac:dyDescent="0.25">
      <c r="B1991" s="4" t="str">
        <f>_xlfn.TEXTJOIN(,,'Truth Table'!B1991:M1991)</f>
        <v>001000111110</v>
      </c>
    </row>
    <row r="1992" spans="2:2" x14ac:dyDescent="0.25">
      <c r="B1992" s="4" t="str">
        <f>_xlfn.TEXTJOIN(,,'Truth Table'!B1992:M1992)</f>
        <v>101000111110</v>
      </c>
    </row>
    <row r="1993" spans="2:2" x14ac:dyDescent="0.25">
      <c r="B1993" s="4" t="str">
        <f>_xlfn.TEXTJOIN(,,'Truth Table'!B1993:M1993)</f>
        <v>011000111110</v>
      </c>
    </row>
    <row r="1994" spans="2:2" x14ac:dyDescent="0.25">
      <c r="B1994" s="4" t="str">
        <f>_xlfn.TEXTJOIN(,,'Truth Table'!B1994:M1994)</f>
        <v>111000111110</v>
      </c>
    </row>
    <row r="1995" spans="2:2" x14ac:dyDescent="0.25">
      <c r="B1995" s="4" t="str">
        <f>_xlfn.TEXTJOIN(,,'Truth Table'!B1995:M1995)</f>
        <v>000100111110</v>
      </c>
    </row>
    <row r="1996" spans="2:2" x14ac:dyDescent="0.25">
      <c r="B1996" s="4" t="str">
        <f>_xlfn.TEXTJOIN(,,'Truth Table'!B1996:M1996)</f>
        <v>100100111110</v>
      </c>
    </row>
    <row r="1997" spans="2:2" x14ac:dyDescent="0.25">
      <c r="B1997" s="4" t="str">
        <f>_xlfn.TEXTJOIN(,,'Truth Table'!B1997:M1997)</f>
        <v>010100111110</v>
      </c>
    </row>
    <row r="1998" spans="2:2" x14ac:dyDescent="0.25">
      <c r="B1998" s="4" t="str">
        <f>_xlfn.TEXTJOIN(,,'Truth Table'!B1998:M1998)</f>
        <v>110100111110</v>
      </c>
    </row>
    <row r="1999" spans="2:2" x14ac:dyDescent="0.25">
      <c r="B1999" s="4" t="str">
        <f>_xlfn.TEXTJOIN(,,'Truth Table'!B1999:M1999)</f>
        <v>001100111110</v>
      </c>
    </row>
    <row r="2000" spans="2:2" x14ac:dyDescent="0.25">
      <c r="B2000" s="4" t="str">
        <f>_xlfn.TEXTJOIN(,,'Truth Table'!B2000:M2000)</f>
        <v>101100111110</v>
      </c>
    </row>
    <row r="2001" spans="2:2" x14ac:dyDescent="0.25">
      <c r="B2001" s="4" t="str">
        <f>_xlfn.TEXTJOIN(,,'Truth Table'!B2001:M2001)</f>
        <v>011100111110</v>
      </c>
    </row>
    <row r="2002" spans="2:2" x14ac:dyDescent="0.25">
      <c r="B2002" s="4" t="str">
        <f>_xlfn.TEXTJOIN(,,'Truth Table'!B2002:M2002)</f>
        <v>111100111110</v>
      </c>
    </row>
    <row r="2003" spans="2:2" x14ac:dyDescent="0.25">
      <c r="B2003" s="4" t="str">
        <f>_xlfn.TEXTJOIN(,,'Truth Table'!B2003:M2003)</f>
        <v>000010111110</v>
      </c>
    </row>
    <row r="2004" spans="2:2" x14ac:dyDescent="0.25">
      <c r="B2004" s="4" t="str">
        <f>_xlfn.TEXTJOIN(,,'Truth Table'!B2004:M2004)</f>
        <v>100010111110</v>
      </c>
    </row>
    <row r="2005" spans="2:2" x14ac:dyDescent="0.25">
      <c r="B2005" s="4" t="str">
        <f>_xlfn.TEXTJOIN(,,'Truth Table'!B2005:M2005)</f>
        <v>010010111110</v>
      </c>
    </row>
    <row r="2006" spans="2:2" x14ac:dyDescent="0.25">
      <c r="B2006" s="4" t="str">
        <f>_xlfn.TEXTJOIN(,,'Truth Table'!B2006:M2006)</f>
        <v>110010111110</v>
      </c>
    </row>
    <row r="2007" spans="2:2" x14ac:dyDescent="0.25">
      <c r="B2007" s="4" t="str">
        <f>_xlfn.TEXTJOIN(,,'Truth Table'!B2007:M2007)</f>
        <v>001010111110</v>
      </c>
    </row>
    <row r="2008" spans="2:2" x14ac:dyDescent="0.25">
      <c r="B2008" s="4" t="str">
        <f>_xlfn.TEXTJOIN(,,'Truth Table'!B2008:M2008)</f>
        <v>101010111110</v>
      </c>
    </row>
    <row r="2009" spans="2:2" x14ac:dyDescent="0.25">
      <c r="B2009" s="4" t="str">
        <f>_xlfn.TEXTJOIN(,,'Truth Table'!B2009:M2009)</f>
        <v>011010111110</v>
      </c>
    </row>
    <row r="2010" spans="2:2" x14ac:dyDescent="0.25">
      <c r="B2010" s="4" t="str">
        <f>_xlfn.TEXTJOIN(,,'Truth Table'!B2010:M2010)</f>
        <v>111010111110</v>
      </c>
    </row>
    <row r="2011" spans="2:2" x14ac:dyDescent="0.25">
      <c r="B2011" s="4" t="str">
        <f>_xlfn.TEXTJOIN(,,'Truth Table'!B2011:M2011)</f>
        <v>000110111110</v>
      </c>
    </row>
    <row r="2012" spans="2:2" x14ac:dyDescent="0.25">
      <c r="B2012" s="4" t="str">
        <f>_xlfn.TEXTJOIN(,,'Truth Table'!B2012:M2012)</f>
        <v>100110111110</v>
      </c>
    </row>
    <row r="2013" spans="2:2" x14ac:dyDescent="0.25">
      <c r="B2013" s="4" t="str">
        <f>_xlfn.TEXTJOIN(,,'Truth Table'!B2013:M2013)</f>
        <v>010110111110</v>
      </c>
    </row>
    <row r="2014" spans="2:2" x14ac:dyDescent="0.25">
      <c r="B2014" s="4" t="str">
        <f>_xlfn.TEXTJOIN(,,'Truth Table'!B2014:M2014)</f>
        <v>110110111110</v>
      </c>
    </row>
    <row r="2015" spans="2:2" x14ac:dyDescent="0.25">
      <c r="B2015" s="4" t="str">
        <f>_xlfn.TEXTJOIN(,,'Truth Table'!B2015:M2015)</f>
        <v>001110111110</v>
      </c>
    </row>
    <row r="2016" spans="2:2" x14ac:dyDescent="0.25">
      <c r="B2016" s="4" t="str">
        <f>_xlfn.TEXTJOIN(,,'Truth Table'!B2016:M2016)</f>
        <v>101110111110</v>
      </c>
    </row>
    <row r="2017" spans="2:2" x14ac:dyDescent="0.25">
      <c r="B2017" s="4" t="str">
        <f>_xlfn.TEXTJOIN(,,'Truth Table'!B2017:M2017)</f>
        <v>011110111110</v>
      </c>
    </row>
    <row r="2018" spans="2:2" x14ac:dyDescent="0.25">
      <c r="B2018" s="4" t="str">
        <f>_xlfn.TEXTJOIN(,,'Truth Table'!B2018:M2018)</f>
        <v>111110111110</v>
      </c>
    </row>
    <row r="2019" spans="2:2" x14ac:dyDescent="0.25">
      <c r="B2019" s="4" t="str">
        <f>_xlfn.TEXTJOIN(,,'Truth Table'!B2019:M2019)</f>
        <v>000001111110</v>
      </c>
    </row>
    <row r="2020" spans="2:2" x14ac:dyDescent="0.25">
      <c r="B2020" s="4" t="str">
        <f>_xlfn.TEXTJOIN(,,'Truth Table'!B2020:M2020)</f>
        <v>100001111110</v>
      </c>
    </row>
    <row r="2021" spans="2:2" x14ac:dyDescent="0.25">
      <c r="B2021" s="4" t="str">
        <f>_xlfn.TEXTJOIN(,,'Truth Table'!B2021:M2021)</f>
        <v>010001111110</v>
      </c>
    </row>
    <row r="2022" spans="2:2" x14ac:dyDescent="0.25">
      <c r="B2022" s="4" t="str">
        <f>_xlfn.TEXTJOIN(,,'Truth Table'!B2022:M2022)</f>
        <v>110001111110</v>
      </c>
    </row>
    <row r="2023" spans="2:2" x14ac:dyDescent="0.25">
      <c r="B2023" s="4" t="str">
        <f>_xlfn.TEXTJOIN(,,'Truth Table'!B2023:M2023)</f>
        <v>001001111110</v>
      </c>
    </row>
    <row r="2024" spans="2:2" x14ac:dyDescent="0.25">
      <c r="B2024" s="4" t="str">
        <f>_xlfn.TEXTJOIN(,,'Truth Table'!B2024:M2024)</f>
        <v>101001111110</v>
      </c>
    </row>
    <row r="2025" spans="2:2" x14ac:dyDescent="0.25">
      <c r="B2025" s="4" t="str">
        <f>_xlfn.TEXTJOIN(,,'Truth Table'!B2025:M2025)</f>
        <v>011001111110</v>
      </c>
    </row>
    <row r="2026" spans="2:2" x14ac:dyDescent="0.25">
      <c r="B2026" s="4" t="str">
        <f>_xlfn.TEXTJOIN(,,'Truth Table'!B2026:M2026)</f>
        <v>111001111110</v>
      </c>
    </row>
    <row r="2027" spans="2:2" x14ac:dyDescent="0.25">
      <c r="B2027" s="4" t="str">
        <f>_xlfn.TEXTJOIN(,,'Truth Table'!B2027:M2027)</f>
        <v>000101111110</v>
      </c>
    </row>
    <row r="2028" spans="2:2" x14ac:dyDescent="0.25">
      <c r="B2028" s="4" t="str">
        <f>_xlfn.TEXTJOIN(,,'Truth Table'!B2028:M2028)</f>
        <v>100101111110</v>
      </c>
    </row>
    <row r="2029" spans="2:2" x14ac:dyDescent="0.25">
      <c r="B2029" s="4" t="str">
        <f>_xlfn.TEXTJOIN(,,'Truth Table'!B2029:M2029)</f>
        <v>010101111110</v>
      </c>
    </row>
    <row r="2030" spans="2:2" x14ac:dyDescent="0.25">
      <c r="B2030" s="4" t="str">
        <f>_xlfn.TEXTJOIN(,,'Truth Table'!B2030:M2030)</f>
        <v>110101111110</v>
      </c>
    </row>
    <row r="2031" spans="2:2" x14ac:dyDescent="0.25">
      <c r="B2031" s="4" t="str">
        <f>_xlfn.TEXTJOIN(,,'Truth Table'!B2031:M2031)</f>
        <v>001101111110</v>
      </c>
    </row>
    <row r="2032" spans="2:2" x14ac:dyDescent="0.25">
      <c r="B2032" s="4" t="str">
        <f>_xlfn.TEXTJOIN(,,'Truth Table'!B2032:M2032)</f>
        <v>101101111110</v>
      </c>
    </row>
    <row r="2033" spans="2:2" x14ac:dyDescent="0.25">
      <c r="B2033" s="4" t="str">
        <f>_xlfn.TEXTJOIN(,,'Truth Table'!B2033:M2033)</f>
        <v>011101111110</v>
      </c>
    </row>
    <row r="2034" spans="2:2" x14ac:dyDescent="0.25">
      <c r="B2034" s="4" t="str">
        <f>_xlfn.TEXTJOIN(,,'Truth Table'!B2034:M2034)</f>
        <v>111101111110</v>
      </c>
    </row>
    <row r="2035" spans="2:2" x14ac:dyDescent="0.25">
      <c r="B2035" s="4" t="str">
        <f>_xlfn.TEXTJOIN(,,'Truth Table'!B2035:M2035)</f>
        <v>000011111110</v>
      </c>
    </row>
    <row r="2036" spans="2:2" x14ac:dyDescent="0.25">
      <c r="B2036" s="4" t="str">
        <f>_xlfn.TEXTJOIN(,,'Truth Table'!B2036:M2036)</f>
        <v>100011111110</v>
      </c>
    </row>
    <row r="2037" spans="2:2" x14ac:dyDescent="0.25">
      <c r="B2037" s="4" t="str">
        <f>_xlfn.TEXTJOIN(,,'Truth Table'!B2037:M2037)</f>
        <v>010011111110</v>
      </c>
    </row>
    <row r="2038" spans="2:2" x14ac:dyDescent="0.25">
      <c r="B2038" s="4" t="str">
        <f>_xlfn.TEXTJOIN(,,'Truth Table'!B2038:M2038)</f>
        <v>110011111110</v>
      </c>
    </row>
    <row r="2039" spans="2:2" x14ac:dyDescent="0.25">
      <c r="B2039" s="4" t="str">
        <f>_xlfn.TEXTJOIN(,,'Truth Table'!B2039:M2039)</f>
        <v>001011111110</v>
      </c>
    </row>
    <row r="2040" spans="2:2" x14ac:dyDescent="0.25">
      <c r="B2040" s="4" t="str">
        <f>_xlfn.TEXTJOIN(,,'Truth Table'!B2040:M2040)</f>
        <v>101011111110</v>
      </c>
    </row>
    <row r="2041" spans="2:2" x14ac:dyDescent="0.25">
      <c r="B2041" s="4" t="str">
        <f>_xlfn.TEXTJOIN(,,'Truth Table'!B2041:M2041)</f>
        <v>011011111110</v>
      </c>
    </row>
    <row r="2042" spans="2:2" x14ac:dyDescent="0.25">
      <c r="B2042" s="4" t="str">
        <f>_xlfn.TEXTJOIN(,,'Truth Table'!B2042:M2042)</f>
        <v>111011111110</v>
      </c>
    </row>
    <row r="2043" spans="2:2" x14ac:dyDescent="0.25">
      <c r="B2043" s="4" t="str">
        <f>_xlfn.TEXTJOIN(,,'Truth Table'!B2043:M2043)</f>
        <v>000111111110</v>
      </c>
    </row>
    <row r="2044" spans="2:2" x14ac:dyDescent="0.25">
      <c r="B2044" s="4" t="str">
        <f>_xlfn.TEXTJOIN(,,'Truth Table'!B2044:M2044)</f>
        <v>100111111110</v>
      </c>
    </row>
    <row r="2045" spans="2:2" x14ac:dyDescent="0.25">
      <c r="B2045" s="4" t="str">
        <f>_xlfn.TEXTJOIN(,,'Truth Table'!B2045:M2045)</f>
        <v>010111111110</v>
      </c>
    </row>
    <row r="2046" spans="2:2" x14ac:dyDescent="0.25">
      <c r="B2046" s="4" t="str">
        <f>_xlfn.TEXTJOIN(,,'Truth Table'!B2046:M2046)</f>
        <v>110111111110</v>
      </c>
    </row>
    <row r="2047" spans="2:2" x14ac:dyDescent="0.25">
      <c r="B2047" s="4" t="str">
        <f>_xlfn.TEXTJOIN(,,'Truth Table'!B2047:M2047)</f>
        <v>001111111110</v>
      </c>
    </row>
    <row r="2048" spans="2:2" x14ac:dyDescent="0.25">
      <c r="B2048" s="4" t="str">
        <f>_xlfn.TEXTJOIN(,,'Truth Table'!B2048:M2048)</f>
        <v>101111111110</v>
      </c>
    </row>
    <row r="2049" spans="2:2" x14ac:dyDescent="0.25">
      <c r="B2049" s="4" t="str">
        <f>_xlfn.TEXTJOIN(,,'Truth Table'!B2049:M2049)</f>
        <v>011111111110</v>
      </c>
    </row>
    <row r="2050" spans="2:2" x14ac:dyDescent="0.25">
      <c r="B2050" s="4" t="str">
        <f>_xlfn.TEXTJOIN(,,'Truth Table'!B2050:M2050)</f>
        <v>111111111110</v>
      </c>
    </row>
    <row r="2051" spans="2:2" x14ac:dyDescent="0.25">
      <c r="B2051" s="4" t="str">
        <f>_xlfn.TEXTJOIN(,,'Truth Table'!B2051:M2051)</f>
        <v>000000000001</v>
      </c>
    </row>
    <row r="2052" spans="2:2" x14ac:dyDescent="0.25">
      <c r="B2052" s="4" t="str">
        <f>_xlfn.TEXTJOIN(,,'Truth Table'!B2052:M2052)</f>
        <v>100000000001</v>
      </c>
    </row>
    <row r="2053" spans="2:2" x14ac:dyDescent="0.25">
      <c r="B2053" s="4" t="str">
        <f>_xlfn.TEXTJOIN(,,'Truth Table'!B2053:M2053)</f>
        <v>010000000001</v>
      </c>
    </row>
    <row r="2054" spans="2:2" x14ac:dyDescent="0.25">
      <c r="B2054" s="4" t="str">
        <f>_xlfn.TEXTJOIN(,,'Truth Table'!B2054:M2054)</f>
        <v>110000000001</v>
      </c>
    </row>
    <row r="2055" spans="2:2" x14ac:dyDescent="0.25">
      <c r="B2055" s="4" t="str">
        <f>_xlfn.TEXTJOIN(,,'Truth Table'!B2055:M2055)</f>
        <v>001000000001</v>
      </c>
    </row>
    <row r="2056" spans="2:2" x14ac:dyDescent="0.25">
      <c r="B2056" s="4" t="str">
        <f>_xlfn.TEXTJOIN(,,'Truth Table'!B2056:M2056)</f>
        <v>101000000001</v>
      </c>
    </row>
    <row r="2057" spans="2:2" x14ac:dyDescent="0.25">
      <c r="B2057" s="4" t="str">
        <f>_xlfn.TEXTJOIN(,,'Truth Table'!B2057:M2057)</f>
        <v>011000000001</v>
      </c>
    </row>
    <row r="2058" spans="2:2" x14ac:dyDescent="0.25">
      <c r="B2058" s="4" t="str">
        <f>_xlfn.TEXTJOIN(,,'Truth Table'!B2058:M2058)</f>
        <v>111000000001</v>
      </c>
    </row>
    <row r="2059" spans="2:2" x14ac:dyDescent="0.25">
      <c r="B2059" s="4" t="str">
        <f>_xlfn.TEXTJOIN(,,'Truth Table'!B2059:M2059)</f>
        <v>000100000001</v>
      </c>
    </row>
    <row r="2060" spans="2:2" x14ac:dyDescent="0.25">
      <c r="B2060" s="4" t="str">
        <f>_xlfn.TEXTJOIN(,,'Truth Table'!B2060:M2060)</f>
        <v>100100000001</v>
      </c>
    </row>
    <row r="2061" spans="2:2" x14ac:dyDescent="0.25">
      <c r="B2061" s="4" t="str">
        <f>_xlfn.TEXTJOIN(,,'Truth Table'!B2061:M2061)</f>
        <v>010100000001</v>
      </c>
    </row>
    <row r="2062" spans="2:2" x14ac:dyDescent="0.25">
      <c r="B2062" s="4" t="str">
        <f>_xlfn.TEXTJOIN(,,'Truth Table'!B2062:M2062)</f>
        <v>110100000001</v>
      </c>
    </row>
    <row r="2063" spans="2:2" x14ac:dyDescent="0.25">
      <c r="B2063" s="4" t="str">
        <f>_xlfn.TEXTJOIN(,,'Truth Table'!B2063:M2063)</f>
        <v>001100000001</v>
      </c>
    </row>
    <row r="2064" spans="2:2" x14ac:dyDescent="0.25">
      <c r="B2064" s="4" t="str">
        <f>_xlfn.TEXTJOIN(,,'Truth Table'!B2064:M2064)</f>
        <v>101100000001</v>
      </c>
    </row>
    <row r="2065" spans="2:2" x14ac:dyDescent="0.25">
      <c r="B2065" s="4" t="str">
        <f>_xlfn.TEXTJOIN(,,'Truth Table'!B2065:M2065)</f>
        <v>011100000001</v>
      </c>
    </row>
    <row r="2066" spans="2:2" x14ac:dyDescent="0.25">
      <c r="B2066" s="4" t="str">
        <f>_xlfn.TEXTJOIN(,,'Truth Table'!B2066:M2066)</f>
        <v>111100000001</v>
      </c>
    </row>
    <row r="2067" spans="2:2" x14ac:dyDescent="0.25">
      <c r="B2067" s="4" t="str">
        <f>_xlfn.TEXTJOIN(,,'Truth Table'!B2067:M2067)</f>
        <v>000010000001</v>
      </c>
    </row>
    <row r="2068" spans="2:2" x14ac:dyDescent="0.25">
      <c r="B2068" s="4" t="str">
        <f>_xlfn.TEXTJOIN(,,'Truth Table'!B2068:M2068)</f>
        <v>100010000001</v>
      </c>
    </row>
    <row r="2069" spans="2:2" x14ac:dyDescent="0.25">
      <c r="B2069" s="4" t="str">
        <f>_xlfn.TEXTJOIN(,,'Truth Table'!B2069:M2069)</f>
        <v>010010000001</v>
      </c>
    </row>
    <row r="2070" spans="2:2" x14ac:dyDescent="0.25">
      <c r="B2070" s="4" t="str">
        <f>_xlfn.TEXTJOIN(,,'Truth Table'!B2070:M2070)</f>
        <v>110010000001</v>
      </c>
    </row>
    <row r="2071" spans="2:2" x14ac:dyDescent="0.25">
      <c r="B2071" s="4" t="str">
        <f>_xlfn.TEXTJOIN(,,'Truth Table'!B2071:M2071)</f>
        <v>001010000001</v>
      </c>
    </row>
    <row r="2072" spans="2:2" x14ac:dyDescent="0.25">
      <c r="B2072" s="4" t="str">
        <f>_xlfn.TEXTJOIN(,,'Truth Table'!B2072:M2072)</f>
        <v>101010000001</v>
      </c>
    </row>
    <row r="2073" spans="2:2" x14ac:dyDescent="0.25">
      <c r="B2073" s="4" t="str">
        <f>_xlfn.TEXTJOIN(,,'Truth Table'!B2073:M2073)</f>
        <v>011010000001</v>
      </c>
    </row>
    <row r="2074" spans="2:2" x14ac:dyDescent="0.25">
      <c r="B2074" s="4" t="str">
        <f>_xlfn.TEXTJOIN(,,'Truth Table'!B2074:M2074)</f>
        <v>111010000001</v>
      </c>
    </row>
    <row r="2075" spans="2:2" x14ac:dyDescent="0.25">
      <c r="B2075" s="4" t="str">
        <f>_xlfn.TEXTJOIN(,,'Truth Table'!B2075:M2075)</f>
        <v>000110000001</v>
      </c>
    </row>
    <row r="2076" spans="2:2" x14ac:dyDescent="0.25">
      <c r="B2076" s="4" t="str">
        <f>_xlfn.TEXTJOIN(,,'Truth Table'!B2076:M2076)</f>
        <v>100110000001</v>
      </c>
    </row>
    <row r="2077" spans="2:2" x14ac:dyDescent="0.25">
      <c r="B2077" s="4" t="str">
        <f>_xlfn.TEXTJOIN(,,'Truth Table'!B2077:M2077)</f>
        <v>010110000001</v>
      </c>
    </row>
    <row r="2078" spans="2:2" x14ac:dyDescent="0.25">
      <c r="B2078" s="4" t="str">
        <f>_xlfn.TEXTJOIN(,,'Truth Table'!B2078:M2078)</f>
        <v>110110000001</v>
      </c>
    </row>
    <row r="2079" spans="2:2" x14ac:dyDescent="0.25">
      <c r="B2079" s="4" t="str">
        <f>_xlfn.TEXTJOIN(,,'Truth Table'!B2079:M2079)</f>
        <v>001110000001</v>
      </c>
    </row>
    <row r="2080" spans="2:2" x14ac:dyDescent="0.25">
      <c r="B2080" s="4" t="str">
        <f>_xlfn.TEXTJOIN(,,'Truth Table'!B2080:M2080)</f>
        <v>101110000001</v>
      </c>
    </row>
    <row r="2081" spans="2:2" x14ac:dyDescent="0.25">
      <c r="B2081" s="4" t="str">
        <f>_xlfn.TEXTJOIN(,,'Truth Table'!B2081:M2081)</f>
        <v>011110000001</v>
      </c>
    </row>
    <row r="2082" spans="2:2" x14ac:dyDescent="0.25">
      <c r="B2082" s="4" t="str">
        <f>_xlfn.TEXTJOIN(,,'Truth Table'!B2082:M2082)</f>
        <v>111110000001</v>
      </c>
    </row>
    <row r="2083" spans="2:2" x14ac:dyDescent="0.25">
      <c r="B2083" s="4" t="str">
        <f>_xlfn.TEXTJOIN(,,'Truth Table'!B2083:M2083)</f>
        <v>000001000001</v>
      </c>
    </row>
    <row r="2084" spans="2:2" x14ac:dyDescent="0.25">
      <c r="B2084" s="4" t="str">
        <f>_xlfn.TEXTJOIN(,,'Truth Table'!B2084:M2084)</f>
        <v>100001000001</v>
      </c>
    </row>
    <row r="2085" spans="2:2" x14ac:dyDescent="0.25">
      <c r="B2085" s="4" t="str">
        <f>_xlfn.TEXTJOIN(,,'Truth Table'!B2085:M2085)</f>
        <v>010001000001</v>
      </c>
    </row>
    <row r="2086" spans="2:2" x14ac:dyDescent="0.25">
      <c r="B2086" s="4" t="str">
        <f>_xlfn.TEXTJOIN(,,'Truth Table'!B2086:M2086)</f>
        <v>110001000001</v>
      </c>
    </row>
    <row r="2087" spans="2:2" x14ac:dyDescent="0.25">
      <c r="B2087" s="4" t="str">
        <f>_xlfn.TEXTJOIN(,,'Truth Table'!B2087:M2087)</f>
        <v>001001000001</v>
      </c>
    </row>
    <row r="2088" spans="2:2" x14ac:dyDescent="0.25">
      <c r="B2088" s="4" t="str">
        <f>_xlfn.TEXTJOIN(,,'Truth Table'!B2088:M2088)</f>
        <v>101001000001</v>
      </c>
    </row>
    <row r="2089" spans="2:2" x14ac:dyDescent="0.25">
      <c r="B2089" s="4" t="str">
        <f>_xlfn.TEXTJOIN(,,'Truth Table'!B2089:M2089)</f>
        <v>011001000001</v>
      </c>
    </row>
    <row r="2090" spans="2:2" x14ac:dyDescent="0.25">
      <c r="B2090" s="4" t="str">
        <f>_xlfn.TEXTJOIN(,,'Truth Table'!B2090:M2090)</f>
        <v>111001000001</v>
      </c>
    </row>
    <row r="2091" spans="2:2" x14ac:dyDescent="0.25">
      <c r="B2091" s="4" t="str">
        <f>_xlfn.TEXTJOIN(,,'Truth Table'!B2091:M2091)</f>
        <v>000101000001</v>
      </c>
    </row>
    <row r="2092" spans="2:2" x14ac:dyDescent="0.25">
      <c r="B2092" s="4" t="str">
        <f>_xlfn.TEXTJOIN(,,'Truth Table'!B2092:M2092)</f>
        <v>100101000001</v>
      </c>
    </row>
    <row r="2093" spans="2:2" x14ac:dyDescent="0.25">
      <c r="B2093" s="4" t="str">
        <f>_xlfn.TEXTJOIN(,,'Truth Table'!B2093:M2093)</f>
        <v>010101000001</v>
      </c>
    </row>
    <row r="2094" spans="2:2" x14ac:dyDescent="0.25">
      <c r="B2094" s="4" t="str">
        <f>_xlfn.TEXTJOIN(,,'Truth Table'!B2094:M2094)</f>
        <v>110101000001</v>
      </c>
    </row>
    <row r="2095" spans="2:2" x14ac:dyDescent="0.25">
      <c r="B2095" s="4" t="str">
        <f>_xlfn.TEXTJOIN(,,'Truth Table'!B2095:M2095)</f>
        <v>001101000001</v>
      </c>
    </row>
    <row r="2096" spans="2:2" x14ac:dyDescent="0.25">
      <c r="B2096" s="4" t="str">
        <f>_xlfn.TEXTJOIN(,,'Truth Table'!B2096:M2096)</f>
        <v>101101000001</v>
      </c>
    </row>
    <row r="2097" spans="2:2" x14ac:dyDescent="0.25">
      <c r="B2097" s="4" t="str">
        <f>_xlfn.TEXTJOIN(,,'Truth Table'!B2097:M2097)</f>
        <v>011101000001</v>
      </c>
    </row>
    <row r="2098" spans="2:2" x14ac:dyDescent="0.25">
      <c r="B2098" s="4" t="str">
        <f>_xlfn.TEXTJOIN(,,'Truth Table'!B2098:M2098)</f>
        <v>111101000001</v>
      </c>
    </row>
    <row r="2099" spans="2:2" x14ac:dyDescent="0.25">
      <c r="B2099" s="4" t="str">
        <f>_xlfn.TEXTJOIN(,,'Truth Table'!B2099:M2099)</f>
        <v>000011000001</v>
      </c>
    </row>
    <row r="2100" spans="2:2" x14ac:dyDescent="0.25">
      <c r="B2100" s="4" t="str">
        <f>_xlfn.TEXTJOIN(,,'Truth Table'!B2100:M2100)</f>
        <v>100011000001</v>
      </c>
    </row>
    <row r="2101" spans="2:2" x14ac:dyDescent="0.25">
      <c r="B2101" s="4" t="str">
        <f>_xlfn.TEXTJOIN(,,'Truth Table'!B2101:M2101)</f>
        <v>010011000001</v>
      </c>
    </row>
    <row r="2102" spans="2:2" x14ac:dyDescent="0.25">
      <c r="B2102" s="4" t="str">
        <f>_xlfn.TEXTJOIN(,,'Truth Table'!B2102:M2102)</f>
        <v>110011000001</v>
      </c>
    </row>
    <row r="2103" spans="2:2" x14ac:dyDescent="0.25">
      <c r="B2103" s="4" t="str">
        <f>_xlfn.TEXTJOIN(,,'Truth Table'!B2103:M2103)</f>
        <v>001011000001</v>
      </c>
    </row>
    <row r="2104" spans="2:2" x14ac:dyDescent="0.25">
      <c r="B2104" s="4" t="str">
        <f>_xlfn.TEXTJOIN(,,'Truth Table'!B2104:M2104)</f>
        <v>101011000001</v>
      </c>
    </row>
    <row r="2105" spans="2:2" x14ac:dyDescent="0.25">
      <c r="B2105" s="4" t="str">
        <f>_xlfn.TEXTJOIN(,,'Truth Table'!B2105:M2105)</f>
        <v>011011000001</v>
      </c>
    </row>
    <row r="2106" spans="2:2" x14ac:dyDescent="0.25">
      <c r="B2106" s="4" t="str">
        <f>_xlfn.TEXTJOIN(,,'Truth Table'!B2106:M2106)</f>
        <v>111011000001</v>
      </c>
    </row>
    <row r="2107" spans="2:2" x14ac:dyDescent="0.25">
      <c r="B2107" s="4" t="str">
        <f>_xlfn.TEXTJOIN(,,'Truth Table'!B2107:M2107)</f>
        <v>000111000001</v>
      </c>
    </row>
    <row r="2108" spans="2:2" x14ac:dyDescent="0.25">
      <c r="B2108" s="4" t="str">
        <f>_xlfn.TEXTJOIN(,,'Truth Table'!B2108:M2108)</f>
        <v>100111000001</v>
      </c>
    </row>
    <row r="2109" spans="2:2" x14ac:dyDescent="0.25">
      <c r="B2109" s="4" t="str">
        <f>_xlfn.TEXTJOIN(,,'Truth Table'!B2109:M2109)</f>
        <v>010111000001</v>
      </c>
    </row>
    <row r="2110" spans="2:2" x14ac:dyDescent="0.25">
      <c r="B2110" s="4" t="str">
        <f>_xlfn.TEXTJOIN(,,'Truth Table'!B2110:M2110)</f>
        <v>110111000001</v>
      </c>
    </row>
    <row r="2111" spans="2:2" x14ac:dyDescent="0.25">
      <c r="B2111" s="4" t="str">
        <f>_xlfn.TEXTJOIN(,,'Truth Table'!B2111:M2111)</f>
        <v>001111000001</v>
      </c>
    </row>
    <row r="2112" spans="2:2" x14ac:dyDescent="0.25">
      <c r="B2112" s="4" t="str">
        <f>_xlfn.TEXTJOIN(,,'Truth Table'!B2112:M2112)</f>
        <v>101111000001</v>
      </c>
    </row>
    <row r="2113" spans="2:2" x14ac:dyDescent="0.25">
      <c r="B2113" s="4" t="str">
        <f>_xlfn.TEXTJOIN(,,'Truth Table'!B2113:M2113)</f>
        <v>011111000001</v>
      </c>
    </row>
    <row r="2114" spans="2:2" x14ac:dyDescent="0.25">
      <c r="B2114" s="4" t="str">
        <f>_xlfn.TEXTJOIN(,,'Truth Table'!B2114:M2114)</f>
        <v>111111000001</v>
      </c>
    </row>
    <row r="2115" spans="2:2" x14ac:dyDescent="0.25">
      <c r="B2115" s="4" t="str">
        <f>_xlfn.TEXTJOIN(,,'Truth Table'!B2115:M2115)</f>
        <v>000000100001</v>
      </c>
    </row>
    <row r="2116" spans="2:2" x14ac:dyDescent="0.25">
      <c r="B2116" s="4" t="str">
        <f>_xlfn.TEXTJOIN(,,'Truth Table'!B2116:M2116)</f>
        <v>100000100001</v>
      </c>
    </row>
    <row r="2117" spans="2:2" x14ac:dyDescent="0.25">
      <c r="B2117" s="4" t="str">
        <f>_xlfn.TEXTJOIN(,,'Truth Table'!B2117:M2117)</f>
        <v>010000100001</v>
      </c>
    </row>
    <row r="2118" spans="2:2" x14ac:dyDescent="0.25">
      <c r="B2118" s="4" t="str">
        <f>_xlfn.TEXTJOIN(,,'Truth Table'!B2118:M2118)</f>
        <v>110000100001</v>
      </c>
    </row>
    <row r="2119" spans="2:2" x14ac:dyDescent="0.25">
      <c r="B2119" s="4" t="str">
        <f>_xlfn.TEXTJOIN(,,'Truth Table'!B2119:M2119)</f>
        <v>001000100001</v>
      </c>
    </row>
    <row r="2120" spans="2:2" x14ac:dyDescent="0.25">
      <c r="B2120" s="4" t="str">
        <f>_xlfn.TEXTJOIN(,,'Truth Table'!B2120:M2120)</f>
        <v>101000100001</v>
      </c>
    </row>
    <row r="2121" spans="2:2" x14ac:dyDescent="0.25">
      <c r="B2121" s="4" t="str">
        <f>_xlfn.TEXTJOIN(,,'Truth Table'!B2121:M2121)</f>
        <v>011000100001</v>
      </c>
    </row>
    <row r="2122" spans="2:2" x14ac:dyDescent="0.25">
      <c r="B2122" s="4" t="str">
        <f>_xlfn.TEXTJOIN(,,'Truth Table'!B2122:M2122)</f>
        <v>111000100001</v>
      </c>
    </row>
    <row r="2123" spans="2:2" x14ac:dyDescent="0.25">
      <c r="B2123" s="4" t="str">
        <f>_xlfn.TEXTJOIN(,,'Truth Table'!B2123:M2123)</f>
        <v>000100100001</v>
      </c>
    </row>
    <row r="2124" spans="2:2" x14ac:dyDescent="0.25">
      <c r="B2124" s="4" t="str">
        <f>_xlfn.TEXTJOIN(,,'Truth Table'!B2124:M2124)</f>
        <v>100100100001</v>
      </c>
    </row>
    <row r="2125" spans="2:2" x14ac:dyDescent="0.25">
      <c r="B2125" s="4" t="str">
        <f>_xlfn.TEXTJOIN(,,'Truth Table'!B2125:M2125)</f>
        <v>010100100001</v>
      </c>
    </row>
    <row r="2126" spans="2:2" x14ac:dyDescent="0.25">
      <c r="B2126" s="4" t="str">
        <f>_xlfn.TEXTJOIN(,,'Truth Table'!B2126:M2126)</f>
        <v>110100100001</v>
      </c>
    </row>
    <row r="2127" spans="2:2" x14ac:dyDescent="0.25">
      <c r="B2127" s="4" t="str">
        <f>_xlfn.TEXTJOIN(,,'Truth Table'!B2127:M2127)</f>
        <v>001100100001</v>
      </c>
    </row>
    <row r="2128" spans="2:2" x14ac:dyDescent="0.25">
      <c r="B2128" s="4" t="str">
        <f>_xlfn.TEXTJOIN(,,'Truth Table'!B2128:M2128)</f>
        <v>101100100001</v>
      </c>
    </row>
    <row r="2129" spans="2:2" x14ac:dyDescent="0.25">
      <c r="B2129" s="4" t="str">
        <f>_xlfn.TEXTJOIN(,,'Truth Table'!B2129:M2129)</f>
        <v>011100100001</v>
      </c>
    </row>
    <row r="2130" spans="2:2" x14ac:dyDescent="0.25">
      <c r="B2130" s="4" t="str">
        <f>_xlfn.TEXTJOIN(,,'Truth Table'!B2130:M2130)</f>
        <v>111100100001</v>
      </c>
    </row>
    <row r="2131" spans="2:2" x14ac:dyDescent="0.25">
      <c r="B2131" s="4" t="str">
        <f>_xlfn.TEXTJOIN(,,'Truth Table'!B2131:M2131)</f>
        <v>000010100001</v>
      </c>
    </row>
    <row r="2132" spans="2:2" x14ac:dyDescent="0.25">
      <c r="B2132" s="4" t="str">
        <f>_xlfn.TEXTJOIN(,,'Truth Table'!B2132:M2132)</f>
        <v>100010100001</v>
      </c>
    </row>
    <row r="2133" spans="2:2" x14ac:dyDescent="0.25">
      <c r="B2133" s="4" t="str">
        <f>_xlfn.TEXTJOIN(,,'Truth Table'!B2133:M2133)</f>
        <v>010010100001</v>
      </c>
    </row>
    <row r="2134" spans="2:2" x14ac:dyDescent="0.25">
      <c r="B2134" s="4" t="str">
        <f>_xlfn.TEXTJOIN(,,'Truth Table'!B2134:M2134)</f>
        <v>110010100001</v>
      </c>
    </row>
    <row r="2135" spans="2:2" x14ac:dyDescent="0.25">
      <c r="B2135" s="4" t="str">
        <f>_xlfn.TEXTJOIN(,,'Truth Table'!B2135:M2135)</f>
        <v>001010100001</v>
      </c>
    </row>
    <row r="2136" spans="2:2" x14ac:dyDescent="0.25">
      <c r="B2136" s="4" t="str">
        <f>_xlfn.TEXTJOIN(,,'Truth Table'!B2136:M2136)</f>
        <v>101010100001</v>
      </c>
    </row>
    <row r="2137" spans="2:2" x14ac:dyDescent="0.25">
      <c r="B2137" s="4" t="str">
        <f>_xlfn.TEXTJOIN(,,'Truth Table'!B2137:M2137)</f>
        <v>011010100001</v>
      </c>
    </row>
    <row r="2138" spans="2:2" x14ac:dyDescent="0.25">
      <c r="B2138" s="4" t="str">
        <f>_xlfn.TEXTJOIN(,,'Truth Table'!B2138:M2138)</f>
        <v>111010100001</v>
      </c>
    </row>
    <row r="2139" spans="2:2" x14ac:dyDescent="0.25">
      <c r="B2139" s="4" t="str">
        <f>_xlfn.TEXTJOIN(,,'Truth Table'!B2139:M2139)</f>
        <v>000110100001</v>
      </c>
    </row>
    <row r="2140" spans="2:2" x14ac:dyDescent="0.25">
      <c r="B2140" s="4" t="str">
        <f>_xlfn.TEXTJOIN(,,'Truth Table'!B2140:M2140)</f>
        <v>100110100001</v>
      </c>
    </row>
    <row r="2141" spans="2:2" x14ac:dyDescent="0.25">
      <c r="B2141" s="4" t="str">
        <f>_xlfn.TEXTJOIN(,,'Truth Table'!B2141:M2141)</f>
        <v>010110100001</v>
      </c>
    </row>
    <row r="2142" spans="2:2" x14ac:dyDescent="0.25">
      <c r="B2142" s="4" t="str">
        <f>_xlfn.TEXTJOIN(,,'Truth Table'!B2142:M2142)</f>
        <v>110110100001</v>
      </c>
    </row>
    <row r="2143" spans="2:2" x14ac:dyDescent="0.25">
      <c r="B2143" s="4" t="str">
        <f>_xlfn.TEXTJOIN(,,'Truth Table'!B2143:M2143)</f>
        <v>001110100001</v>
      </c>
    </row>
    <row r="2144" spans="2:2" x14ac:dyDescent="0.25">
      <c r="B2144" s="4" t="str">
        <f>_xlfn.TEXTJOIN(,,'Truth Table'!B2144:M2144)</f>
        <v>101110100001</v>
      </c>
    </row>
    <row r="2145" spans="2:2" x14ac:dyDescent="0.25">
      <c r="B2145" s="4" t="str">
        <f>_xlfn.TEXTJOIN(,,'Truth Table'!B2145:M2145)</f>
        <v>011110100001</v>
      </c>
    </row>
    <row r="2146" spans="2:2" x14ac:dyDescent="0.25">
      <c r="B2146" s="4" t="str">
        <f>_xlfn.TEXTJOIN(,,'Truth Table'!B2146:M2146)</f>
        <v>111110100001</v>
      </c>
    </row>
    <row r="2147" spans="2:2" x14ac:dyDescent="0.25">
      <c r="B2147" s="4" t="str">
        <f>_xlfn.TEXTJOIN(,,'Truth Table'!B2147:M2147)</f>
        <v>000001100001</v>
      </c>
    </row>
    <row r="2148" spans="2:2" x14ac:dyDescent="0.25">
      <c r="B2148" s="4" t="str">
        <f>_xlfn.TEXTJOIN(,,'Truth Table'!B2148:M2148)</f>
        <v>100001100001</v>
      </c>
    </row>
    <row r="2149" spans="2:2" x14ac:dyDescent="0.25">
      <c r="B2149" s="4" t="str">
        <f>_xlfn.TEXTJOIN(,,'Truth Table'!B2149:M2149)</f>
        <v>010001100001</v>
      </c>
    </row>
    <row r="2150" spans="2:2" x14ac:dyDescent="0.25">
      <c r="B2150" s="4" t="str">
        <f>_xlfn.TEXTJOIN(,,'Truth Table'!B2150:M2150)</f>
        <v>110001100001</v>
      </c>
    </row>
    <row r="2151" spans="2:2" x14ac:dyDescent="0.25">
      <c r="B2151" s="4" t="str">
        <f>_xlfn.TEXTJOIN(,,'Truth Table'!B2151:M2151)</f>
        <v>001001100001</v>
      </c>
    </row>
    <row r="2152" spans="2:2" x14ac:dyDescent="0.25">
      <c r="B2152" s="4" t="str">
        <f>_xlfn.TEXTJOIN(,,'Truth Table'!B2152:M2152)</f>
        <v>101001100001</v>
      </c>
    </row>
    <row r="2153" spans="2:2" x14ac:dyDescent="0.25">
      <c r="B2153" s="4" t="str">
        <f>_xlfn.TEXTJOIN(,,'Truth Table'!B2153:M2153)</f>
        <v>011001100001</v>
      </c>
    </row>
    <row r="2154" spans="2:2" x14ac:dyDescent="0.25">
      <c r="B2154" s="4" t="str">
        <f>_xlfn.TEXTJOIN(,,'Truth Table'!B2154:M2154)</f>
        <v>111001100001</v>
      </c>
    </row>
    <row r="2155" spans="2:2" x14ac:dyDescent="0.25">
      <c r="B2155" s="4" t="str">
        <f>_xlfn.TEXTJOIN(,,'Truth Table'!B2155:M2155)</f>
        <v>000101100001</v>
      </c>
    </row>
    <row r="2156" spans="2:2" x14ac:dyDescent="0.25">
      <c r="B2156" s="4" t="str">
        <f>_xlfn.TEXTJOIN(,,'Truth Table'!B2156:M2156)</f>
        <v>100101100001</v>
      </c>
    </row>
    <row r="2157" spans="2:2" x14ac:dyDescent="0.25">
      <c r="B2157" s="4" t="str">
        <f>_xlfn.TEXTJOIN(,,'Truth Table'!B2157:M2157)</f>
        <v>010101100001</v>
      </c>
    </row>
    <row r="2158" spans="2:2" x14ac:dyDescent="0.25">
      <c r="B2158" s="4" t="str">
        <f>_xlfn.TEXTJOIN(,,'Truth Table'!B2158:M2158)</f>
        <v>110101100001</v>
      </c>
    </row>
    <row r="2159" spans="2:2" x14ac:dyDescent="0.25">
      <c r="B2159" s="4" t="str">
        <f>_xlfn.TEXTJOIN(,,'Truth Table'!B2159:M2159)</f>
        <v>001101100001</v>
      </c>
    </row>
    <row r="2160" spans="2:2" x14ac:dyDescent="0.25">
      <c r="B2160" s="4" t="str">
        <f>_xlfn.TEXTJOIN(,,'Truth Table'!B2160:M2160)</f>
        <v>101101100001</v>
      </c>
    </row>
    <row r="2161" spans="2:2" x14ac:dyDescent="0.25">
      <c r="B2161" s="4" t="str">
        <f>_xlfn.TEXTJOIN(,,'Truth Table'!B2161:M2161)</f>
        <v>011101100001</v>
      </c>
    </row>
    <row r="2162" spans="2:2" x14ac:dyDescent="0.25">
      <c r="B2162" s="4" t="str">
        <f>_xlfn.TEXTJOIN(,,'Truth Table'!B2162:M2162)</f>
        <v>111101100001</v>
      </c>
    </row>
    <row r="2163" spans="2:2" x14ac:dyDescent="0.25">
      <c r="B2163" s="4" t="str">
        <f>_xlfn.TEXTJOIN(,,'Truth Table'!B2163:M2163)</f>
        <v>000011100001</v>
      </c>
    </row>
    <row r="2164" spans="2:2" x14ac:dyDescent="0.25">
      <c r="B2164" s="4" t="str">
        <f>_xlfn.TEXTJOIN(,,'Truth Table'!B2164:M2164)</f>
        <v>100011100001</v>
      </c>
    </row>
    <row r="2165" spans="2:2" x14ac:dyDescent="0.25">
      <c r="B2165" s="4" t="str">
        <f>_xlfn.TEXTJOIN(,,'Truth Table'!B2165:M2165)</f>
        <v>010011100001</v>
      </c>
    </row>
    <row r="2166" spans="2:2" x14ac:dyDescent="0.25">
      <c r="B2166" s="4" t="str">
        <f>_xlfn.TEXTJOIN(,,'Truth Table'!B2166:M2166)</f>
        <v>110011100001</v>
      </c>
    </row>
    <row r="2167" spans="2:2" x14ac:dyDescent="0.25">
      <c r="B2167" s="4" t="str">
        <f>_xlfn.TEXTJOIN(,,'Truth Table'!B2167:M2167)</f>
        <v>001011100001</v>
      </c>
    </row>
    <row r="2168" spans="2:2" x14ac:dyDescent="0.25">
      <c r="B2168" s="4" t="str">
        <f>_xlfn.TEXTJOIN(,,'Truth Table'!B2168:M2168)</f>
        <v>101011100001</v>
      </c>
    </row>
    <row r="2169" spans="2:2" x14ac:dyDescent="0.25">
      <c r="B2169" s="4" t="str">
        <f>_xlfn.TEXTJOIN(,,'Truth Table'!B2169:M2169)</f>
        <v>011011100001</v>
      </c>
    </row>
    <row r="2170" spans="2:2" x14ac:dyDescent="0.25">
      <c r="B2170" s="4" t="str">
        <f>_xlfn.TEXTJOIN(,,'Truth Table'!B2170:M2170)</f>
        <v>111011100001</v>
      </c>
    </row>
    <row r="2171" spans="2:2" x14ac:dyDescent="0.25">
      <c r="B2171" s="4" t="str">
        <f>_xlfn.TEXTJOIN(,,'Truth Table'!B2171:M2171)</f>
        <v>000111100001</v>
      </c>
    </row>
    <row r="2172" spans="2:2" x14ac:dyDescent="0.25">
      <c r="B2172" s="4" t="str">
        <f>_xlfn.TEXTJOIN(,,'Truth Table'!B2172:M2172)</f>
        <v>100111100001</v>
      </c>
    </row>
    <row r="2173" spans="2:2" x14ac:dyDescent="0.25">
      <c r="B2173" s="4" t="str">
        <f>_xlfn.TEXTJOIN(,,'Truth Table'!B2173:M2173)</f>
        <v>010111100001</v>
      </c>
    </row>
    <row r="2174" spans="2:2" x14ac:dyDescent="0.25">
      <c r="B2174" s="4" t="str">
        <f>_xlfn.TEXTJOIN(,,'Truth Table'!B2174:M2174)</f>
        <v>110111100001</v>
      </c>
    </row>
    <row r="2175" spans="2:2" x14ac:dyDescent="0.25">
      <c r="B2175" s="4" t="str">
        <f>_xlfn.TEXTJOIN(,,'Truth Table'!B2175:M2175)</f>
        <v>001111100001</v>
      </c>
    </row>
    <row r="2176" spans="2:2" x14ac:dyDescent="0.25">
      <c r="B2176" s="4" t="str">
        <f>_xlfn.TEXTJOIN(,,'Truth Table'!B2176:M2176)</f>
        <v>101111100001</v>
      </c>
    </row>
    <row r="2177" spans="2:2" x14ac:dyDescent="0.25">
      <c r="B2177" s="4" t="str">
        <f>_xlfn.TEXTJOIN(,,'Truth Table'!B2177:M2177)</f>
        <v>011111100001</v>
      </c>
    </row>
    <row r="2178" spans="2:2" x14ac:dyDescent="0.25">
      <c r="B2178" s="4" t="str">
        <f>_xlfn.TEXTJOIN(,,'Truth Table'!B2178:M2178)</f>
        <v>111111100001</v>
      </c>
    </row>
    <row r="2179" spans="2:2" x14ac:dyDescent="0.25">
      <c r="B2179" s="4" t="str">
        <f>_xlfn.TEXTJOIN(,,'Truth Table'!B2179:M2179)</f>
        <v>000000010001</v>
      </c>
    </row>
    <row r="2180" spans="2:2" x14ac:dyDescent="0.25">
      <c r="B2180" s="4" t="str">
        <f>_xlfn.TEXTJOIN(,,'Truth Table'!B2180:M2180)</f>
        <v>100000010001</v>
      </c>
    </row>
    <row r="2181" spans="2:2" x14ac:dyDescent="0.25">
      <c r="B2181" s="4" t="str">
        <f>_xlfn.TEXTJOIN(,,'Truth Table'!B2181:M2181)</f>
        <v>010000010001</v>
      </c>
    </row>
    <row r="2182" spans="2:2" x14ac:dyDescent="0.25">
      <c r="B2182" s="4" t="str">
        <f>_xlfn.TEXTJOIN(,,'Truth Table'!B2182:M2182)</f>
        <v>110000010001</v>
      </c>
    </row>
    <row r="2183" spans="2:2" x14ac:dyDescent="0.25">
      <c r="B2183" s="4" t="str">
        <f>_xlfn.TEXTJOIN(,,'Truth Table'!B2183:M2183)</f>
        <v>001000010001</v>
      </c>
    </row>
    <row r="2184" spans="2:2" x14ac:dyDescent="0.25">
      <c r="B2184" s="4" t="str">
        <f>_xlfn.TEXTJOIN(,,'Truth Table'!B2184:M2184)</f>
        <v>101000010001</v>
      </c>
    </row>
    <row r="2185" spans="2:2" x14ac:dyDescent="0.25">
      <c r="B2185" s="4" t="str">
        <f>_xlfn.TEXTJOIN(,,'Truth Table'!B2185:M2185)</f>
        <v>011000010001</v>
      </c>
    </row>
    <row r="2186" spans="2:2" x14ac:dyDescent="0.25">
      <c r="B2186" s="4" t="str">
        <f>_xlfn.TEXTJOIN(,,'Truth Table'!B2186:M2186)</f>
        <v>111000010001</v>
      </c>
    </row>
    <row r="2187" spans="2:2" x14ac:dyDescent="0.25">
      <c r="B2187" s="4" t="str">
        <f>_xlfn.TEXTJOIN(,,'Truth Table'!B2187:M2187)</f>
        <v>000100010001</v>
      </c>
    </row>
    <row r="2188" spans="2:2" x14ac:dyDescent="0.25">
      <c r="B2188" s="4" t="str">
        <f>_xlfn.TEXTJOIN(,,'Truth Table'!B2188:M2188)</f>
        <v>100100010001</v>
      </c>
    </row>
    <row r="2189" spans="2:2" x14ac:dyDescent="0.25">
      <c r="B2189" s="4" t="str">
        <f>_xlfn.TEXTJOIN(,,'Truth Table'!B2189:M2189)</f>
        <v>010100010001</v>
      </c>
    </row>
    <row r="2190" spans="2:2" x14ac:dyDescent="0.25">
      <c r="B2190" s="4" t="str">
        <f>_xlfn.TEXTJOIN(,,'Truth Table'!B2190:M2190)</f>
        <v>110100010001</v>
      </c>
    </row>
    <row r="2191" spans="2:2" x14ac:dyDescent="0.25">
      <c r="B2191" s="4" t="str">
        <f>_xlfn.TEXTJOIN(,,'Truth Table'!B2191:M2191)</f>
        <v>001100010001</v>
      </c>
    </row>
    <row r="2192" spans="2:2" x14ac:dyDescent="0.25">
      <c r="B2192" s="4" t="str">
        <f>_xlfn.TEXTJOIN(,,'Truth Table'!B2192:M2192)</f>
        <v>101100010001</v>
      </c>
    </row>
    <row r="2193" spans="2:2" x14ac:dyDescent="0.25">
      <c r="B2193" s="4" t="str">
        <f>_xlfn.TEXTJOIN(,,'Truth Table'!B2193:M2193)</f>
        <v>011100010001</v>
      </c>
    </row>
    <row r="2194" spans="2:2" x14ac:dyDescent="0.25">
      <c r="B2194" s="4" t="str">
        <f>_xlfn.TEXTJOIN(,,'Truth Table'!B2194:M2194)</f>
        <v>111100010001</v>
      </c>
    </row>
    <row r="2195" spans="2:2" x14ac:dyDescent="0.25">
      <c r="B2195" s="4" t="str">
        <f>_xlfn.TEXTJOIN(,,'Truth Table'!B2195:M2195)</f>
        <v>000010010001</v>
      </c>
    </row>
    <row r="2196" spans="2:2" x14ac:dyDescent="0.25">
      <c r="B2196" s="4" t="str">
        <f>_xlfn.TEXTJOIN(,,'Truth Table'!B2196:M2196)</f>
        <v>100010010001</v>
      </c>
    </row>
    <row r="2197" spans="2:2" x14ac:dyDescent="0.25">
      <c r="B2197" s="4" t="str">
        <f>_xlfn.TEXTJOIN(,,'Truth Table'!B2197:M2197)</f>
        <v>010010010001</v>
      </c>
    </row>
    <row r="2198" spans="2:2" x14ac:dyDescent="0.25">
      <c r="B2198" s="4" t="str">
        <f>_xlfn.TEXTJOIN(,,'Truth Table'!B2198:M2198)</f>
        <v>110010010001</v>
      </c>
    </row>
    <row r="2199" spans="2:2" x14ac:dyDescent="0.25">
      <c r="B2199" s="4" t="str">
        <f>_xlfn.TEXTJOIN(,,'Truth Table'!B2199:M2199)</f>
        <v>001010010001</v>
      </c>
    </row>
    <row r="2200" spans="2:2" x14ac:dyDescent="0.25">
      <c r="B2200" s="4" t="str">
        <f>_xlfn.TEXTJOIN(,,'Truth Table'!B2200:M2200)</f>
        <v>101010010001</v>
      </c>
    </row>
    <row r="2201" spans="2:2" x14ac:dyDescent="0.25">
      <c r="B2201" s="4" t="str">
        <f>_xlfn.TEXTJOIN(,,'Truth Table'!B2201:M2201)</f>
        <v>011010010001</v>
      </c>
    </row>
    <row r="2202" spans="2:2" x14ac:dyDescent="0.25">
      <c r="B2202" s="4" t="str">
        <f>_xlfn.TEXTJOIN(,,'Truth Table'!B2202:M2202)</f>
        <v>111010010001</v>
      </c>
    </row>
    <row r="2203" spans="2:2" x14ac:dyDescent="0.25">
      <c r="B2203" s="4" t="str">
        <f>_xlfn.TEXTJOIN(,,'Truth Table'!B2203:M2203)</f>
        <v>000110010001</v>
      </c>
    </row>
    <row r="2204" spans="2:2" x14ac:dyDescent="0.25">
      <c r="B2204" s="4" t="str">
        <f>_xlfn.TEXTJOIN(,,'Truth Table'!B2204:M2204)</f>
        <v>100110010001</v>
      </c>
    </row>
    <row r="2205" spans="2:2" x14ac:dyDescent="0.25">
      <c r="B2205" s="4" t="str">
        <f>_xlfn.TEXTJOIN(,,'Truth Table'!B2205:M2205)</f>
        <v>010110010001</v>
      </c>
    </row>
    <row r="2206" spans="2:2" x14ac:dyDescent="0.25">
      <c r="B2206" s="4" t="str">
        <f>_xlfn.TEXTJOIN(,,'Truth Table'!B2206:M2206)</f>
        <v>110110010001</v>
      </c>
    </row>
    <row r="2207" spans="2:2" x14ac:dyDescent="0.25">
      <c r="B2207" s="4" t="str">
        <f>_xlfn.TEXTJOIN(,,'Truth Table'!B2207:M2207)</f>
        <v>001110010001</v>
      </c>
    </row>
    <row r="2208" spans="2:2" x14ac:dyDescent="0.25">
      <c r="B2208" s="4" t="str">
        <f>_xlfn.TEXTJOIN(,,'Truth Table'!B2208:M2208)</f>
        <v>101110010001</v>
      </c>
    </row>
    <row r="2209" spans="2:2" x14ac:dyDescent="0.25">
      <c r="B2209" s="4" t="str">
        <f>_xlfn.TEXTJOIN(,,'Truth Table'!B2209:M2209)</f>
        <v>011110010001</v>
      </c>
    </row>
    <row r="2210" spans="2:2" x14ac:dyDescent="0.25">
      <c r="B2210" s="4" t="str">
        <f>_xlfn.TEXTJOIN(,,'Truth Table'!B2210:M2210)</f>
        <v>111110010001</v>
      </c>
    </row>
    <row r="2211" spans="2:2" x14ac:dyDescent="0.25">
      <c r="B2211" s="4" t="str">
        <f>_xlfn.TEXTJOIN(,,'Truth Table'!B2211:M2211)</f>
        <v>000001010001</v>
      </c>
    </row>
    <row r="2212" spans="2:2" x14ac:dyDescent="0.25">
      <c r="B2212" s="4" t="str">
        <f>_xlfn.TEXTJOIN(,,'Truth Table'!B2212:M2212)</f>
        <v>100001010001</v>
      </c>
    </row>
    <row r="2213" spans="2:2" x14ac:dyDescent="0.25">
      <c r="B2213" s="4" t="str">
        <f>_xlfn.TEXTJOIN(,,'Truth Table'!B2213:M2213)</f>
        <v>010001010001</v>
      </c>
    </row>
    <row r="2214" spans="2:2" x14ac:dyDescent="0.25">
      <c r="B2214" s="4" t="str">
        <f>_xlfn.TEXTJOIN(,,'Truth Table'!B2214:M2214)</f>
        <v>110001010001</v>
      </c>
    </row>
    <row r="2215" spans="2:2" x14ac:dyDescent="0.25">
      <c r="B2215" s="4" t="str">
        <f>_xlfn.TEXTJOIN(,,'Truth Table'!B2215:M2215)</f>
        <v>001001010001</v>
      </c>
    </row>
    <row r="2216" spans="2:2" x14ac:dyDescent="0.25">
      <c r="B2216" s="4" t="str">
        <f>_xlfn.TEXTJOIN(,,'Truth Table'!B2216:M2216)</f>
        <v>101001010001</v>
      </c>
    </row>
    <row r="2217" spans="2:2" x14ac:dyDescent="0.25">
      <c r="B2217" s="4" t="str">
        <f>_xlfn.TEXTJOIN(,,'Truth Table'!B2217:M2217)</f>
        <v>011001010001</v>
      </c>
    </row>
    <row r="2218" spans="2:2" x14ac:dyDescent="0.25">
      <c r="B2218" s="4" t="str">
        <f>_xlfn.TEXTJOIN(,,'Truth Table'!B2218:M2218)</f>
        <v>111001010001</v>
      </c>
    </row>
    <row r="2219" spans="2:2" x14ac:dyDescent="0.25">
      <c r="B2219" s="4" t="str">
        <f>_xlfn.TEXTJOIN(,,'Truth Table'!B2219:M2219)</f>
        <v>000101010001</v>
      </c>
    </row>
    <row r="2220" spans="2:2" x14ac:dyDescent="0.25">
      <c r="B2220" s="4" t="str">
        <f>_xlfn.TEXTJOIN(,,'Truth Table'!B2220:M2220)</f>
        <v>100101010001</v>
      </c>
    </row>
    <row r="2221" spans="2:2" x14ac:dyDescent="0.25">
      <c r="B2221" s="4" t="str">
        <f>_xlfn.TEXTJOIN(,,'Truth Table'!B2221:M2221)</f>
        <v>010101010001</v>
      </c>
    </row>
    <row r="2222" spans="2:2" x14ac:dyDescent="0.25">
      <c r="B2222" s="4" t="str">
        <f>_xlfn.TEXTJOIN(,,'Truth Table'!B2222:M2222)</f>
        <v>110101010001</v>
      </c>
    </row>
    <row r="2223" spans="2:2" x14ac:dyDescent="0.25">
      <c r="B2223" s="4" t="str">
        <f>_xlfn.TEXTJOIN(,,'Truth Table'!B2223:M2223)</f>
        <v>001101010001</v>
      </c>
    </row>
    <row r="2224" spans="2:2" x14ac:dyDescent="0.25">
      <c r="B2224" s="4" t="str">
        <f>_xlfn.TEXTJOIN(,,'Truth Table'!B2224:M2224)</f>
        <v>101101010001</v>
      </c>
    </row>
    <row r="2225" spans="2:2" x14ac:dyDescent="0.25">
      <c r="B2225" s="4" t="str">
        <f>_xlfn.TEXTJOIN(,,'Truth Table'!B2225:M2225)</f>
        <v>011101010001</v>
      </c>
    </row>
    <row r="2226" spans="2:2" x14ac:dyDescent="0.25">
      <c r="B2226" s="4" t="str">
        <f>_xlfn.TEXTJOIN(,,'Truth Table'!B2226:M2226)</f>
        <v>111101010001</v>
      </c>
    </row>
    <row r="2227" spans="2:2" x14ac:dyDescent="0.25">
      <c r="B2227" s="4" t="str">
        <f>_xlfn.TEXTJOIN(,,'Truth Table'!B2227:M2227)</f>
        <v>000011010001</v>
      </c>
    </row>
    <row r="2228" spans="2:2" x14ac:dyDescent="0.25">
      <c r="B2228" s="4" t="str">
        <f>_xlfn.TEXTJOIN(,,'Truth Table'!B2228:M2228)</f>
        <v>100011010001</v>
      </c>
    </row>
    <row r="2229" spans="2:2" x14ac:dyDescent="0.25">
      <c r="B2229" s="4" t="str">
        <f>_xlfn.TEXTJOIN(,,'Truth Table'!B2229:M2229)</f>
        <v>010011010001</v>
      </c>
    </row>
    <row r="2230" spans="2:2" x14ac:dyDescent="0.25">
      <c r="B2230" s="4" t="str">
        <f>_xlfn.TEXTJOIN(,,'Truth Table'!B2230:M2230)</f>
        <v>110011010001</v>
      </c>
    </row>
    <row r="2231" spans="2:2" x14ac:dyDescent="0.25">
      <c r="B2231" s="4" t="str">
        <f>_xlfn.TEXTJOIN(,,'Truth Table'!B2231:M2231)</f>
        <v>001011010001</v>
      </c>
    </row>
    <row r="2232" spans="2:2" x14ac:dyDescent="0.25">
      <c r="B2232" s="4" t="str">
        <f>_xlfn.TEXTJOIN(,,'Truth Table'!B2232:M2232)</f>
        <v>101011010001</v>
      </c>
    </row>
    <row r="2233" spans="2:2" x14ac:dyDescent="0.25">
      <c r="B2233" s="4" t="str">
        <f>_xlfn.TEXTJOIN(,,'Truth Table'!B2233:M2233)</f>
        <v>011011010001</v>
      </c>
    </row>
    <row r="2234" spans="2:2" x14ac:dyDescent="0.25">
      <c r="B2234" s="4" t="str">
        <f>_xlfn.TEXTJOIN(,,'Truth Table'!B2234:M2234)</f>
        <v>111011010001</v>
      </c>
    </row>
    <row r="2235" spans="2:2" x14ac:dyDescent="0.25">
      <c r="B2235" s="4" t="str">
        <f>_xlfn.TEXTJOIN(,,'Truth Table'!B2235:M2235)</f>
        <v>000111010001</v>
      </c>
    </row>
    <row r="2236" spans="2:2" x14ac:dyDescent="0.25">
      <c r="B2236" s="4" t="str">
        <f>_xlfn.TEXTJOIN(,,'Truth Table'!B2236:M2236)</f>
        <v>100111010001</v>
      </c>
    </row>
    <row r="2237" spans="2:2" x14ac:dyDescent="0.25">
      <c r="B2237" s="4" t="str">
        <f>_xlfn.TEXTJOIN(,,'Truth Table'!B2237:M2237)</f>
        <v>010111010001</v>
      </c>
    </row>
    <row r="2238" spans="2:2" x14ac:dyDescent="0.25">
      <c r="B2238" s="4" t="str">
        <f>_xlfn.TEXTJOIN(,,'Truth Table'!B2238:M2238)</f>
        <v>110111010001</v>
      </c>
    </row>
    <row r="2239" spans="2:2" x14ac:dyDescent="0.25">
      <c r="B2239" s="4" t="str">
        <f>_xlfn.TEXTJOIN(,,'Truth Table'!B2239:M2239)</f>
        <v>001111010001</v>
      </c>
    </row>
    <row r="2240" spans="2:2" x14ac:dyDescent="0.25">
      <c r="B2240" s="4" t="str">
        <f>_xlfn.TEXTJOIN(,,'Truth Table'!B2240:M2240)</f>
        <v>101111010001</v>
      </c>
    </row>
    <row r="2241" spans="2:2" x14ac:dyDescent="0.25">
      <c r="B2241" s="4" t="str">
        <f>_xlfn.TEXTJOIN(,,'Truth Table'!B2241:M2241)</f>
        <v>011111010001</v>
      </c>
    </row>
    <row r="2242" spans="2:2" x14ac:dyDescent="0.25">
      <c r="B2242" s="4" t="str">
        <f>_xlfn.TEXTJOIN(,,'Truth Table'!B2242:M2242)</f>
        <v>111111010001</v>
      </c>
    </row>
    <row r="2243" spans="2:2" x14ac:dyDescent="0.25">
      <c r="B2243" s="4" t="str">
        <f>_xlfn.TEXTJOIN(,,'Truth Table'!B2243:M2243)</f>
        <v>000000110001</v>
      </c>
    </row>
    <row r="2244" spans="2:2" x14ac:dyDescent="0.25">
      <c r="B2244" s="4" t="str">
        <f>_xlfn.TEXTJOIN(,,'Truth Table'!B2244:M2244)</f>
        <v>100000110001</v>
      </c>
    </row>
    <row r="2245" spans="2:2" x14ac:dyDescent="0.25">
      <c r="B2245" s="4" t="str">
        <f>_xlfn.TEXTJOIN(,,'Truth Table'!B2245:M2245)</f>
        <v>010000110001</v>
      </c>
    </row>
    <row r="2246" spans="2:2" x14ac:dyDescent="0.25">
      <c r="B2246" s="4" t="str">
        <f>_xlfn.TEXTJOIN(,,'Truth Table'!B2246:M2246)</f>
        <v>110000110001</v>
      </c>
    </row>
    <row r="2247" spans="2:2" x14ac:dyDescent="0.25">
      <c r="B2247" s="4" t="str">
        <f>_xlfn.TEXTJOIN(,,'Truth Table'!B2247:M2247)</f>
        <v>001000110001</v>
      </c>
    </row>
    <row r="2248" spans="2:2" x14ac:dyDescent="0.25">
      <c r="B2248" s="4" t="str">
        <f>_xlfn.TEXTJOIN(,,'Truth Table'!B2248:M2248)</f>
        <v>101000110001</v>
      </c>
    </row>
    <row r="2249" spans="2:2" x14ac:dyDescent="0.25">
      <c r="B2249" s="4" t="str">
        <f>_xlfn.TEXTJOIN(,,'Truth Table'!B2249:M2249)</f>
        <v>011000110001</v>
      </c>
    </row>
    <row r="2250" spans="2:2" x14ac:dyDescent="0.25">
      <c r="B2250" s="4" t="str">
        <f>_xlfn.TEXTJOIN(,,'Truth Table'!B2250:M2250)</f>
        <v>111000110001</v>
      </c>
    </row>
    <row r="2251" spans="2:2" x14ac:dyDescent="0.25">
      <c r="B2251" s="4" t="str">
        <f>_xlfn.TEXTJOIN(,,'Truth Table'!B2251:M2251)</f>
        <v>000100110001</v>
      </c>
    </row>
    <row r="2252" spans="2:2" x14ac:dyDescent="0.25">
      <c r="B2252" s="4" t="str">
        <f>_xlfn.TEXTJOIN(,,'Truth Table'!B2252:M2252)</f>
        <v>100100110001</v>
      </c>
    </row>
    <row r="2253" spans="2:2" x14ac:dyDescent="0.25">
      <c r="B2253" s="4" t="str">
        <f>_xlfn.TEXTJOIN(,,'Truth Table'!B2253:M2253)</f>
        <v>010100110001</v>
      </c>
    </row>
    <row r="2254" spans="2:2" x14ac:dyDescent="0.25">
      <c r="B2254" s="4" t="str">
        <f>_xlfn.TEXTJOIN(,,'Truth Table'!B2254:M2254)</f>
        <v>110100110001</v>
      </c>
    </row>
    <row r="2255" spans="2:2" x14ac:dyDescent="0.25">
      <c r="B2255" s="4" t="str">
        <f>_xlfn.TEXTJOIN(,,'Truth Table'!B2255:M2255)</f>
        <v>001100110001</v>
      </c>
    </row>
    <row r="2256" spans="2:2" x14ac:dyDescent="0.25">
      <c r="B2256" s="4" t="str">
        <f>_xlfn.TEXTJOIN(,,'Truth Table'!B2256:M2256)</f>
        <v>101100110001</v>
      </c>
    </row>
    <row r="2257" spans="2:2" x14ac:dyDescent="0.25">
      <c r="B2257" s="4" t="str">
        <f>_xlfn.TEXTJOIN(,,'Truth Table'!B2257:M2257)</f>
        <v>011100110001</v>
      </c>
    </row>
    <row r="2258" spans="2:2" x14ac:dyDescent="0.25">
      <c r="B2258" s="4" t="str">
        <f>_xlfn.TEXTJOIN(,,'Truth Table'!B2258:M2258)</f>
        <v>111100110001</v>
      </c>
    </row>
    <row r="2259" spans="2:2" x14ac:dyDescent="0.25">
      <c r="B2259" s="4" t="str">
        <f>_xlfn.TEXTJOIN(,,'Truth Table'!B2259:M2259)</f>
        <v>000010110001</v>
      </c>
    </row>
    <row r="2260" spans="2:2" x14ac:dyDescent="0.25">
      <c r="B2260" s="4" t="str">
        <f>_xlfn.TEXTJOIN(,,'Truth Table'!B2260:M2260)</f>
        <v>100010110001</v>
      </c>
    </row>
    <row r="2261" spans="2:2" x14ac:dyDescent="0.25">
      <c r="B2261" s="4" t="str">
        <f>_xlfn.TEXTJOIN(,,'Truth Table'!B2261:M2261)</f>
        <v>010010110001</v>
      </c>
    </row>
    <row r="2262" spans="2:2" x14ac:dyDescent="0.25">
      <c r="B2262" s="4" t="str">
        <f>_xlfn.TEXTJOIN(,,'Truth Table'!B2262:M2262)</f>
        <v>110010110001</v>
      </c>
    </row>
    <row r="2263" spans="2:2" x14ac:dyDescent="0.25">
      <c r="B2263" s="4" t="str">
        <f>_xlfn.TEXTJOIN(,,'Truth Table'!B2263:M2263)</f>
        <v>001010110001</v>
      </c>
    </row>
    <row r="2264" spans="2:2" x14ac:dyDescent="0.25">
      <c r="B2264" s="4" t="str">
        <f>_xlfn.TEXTJOIN(,,'Truth Table'!B2264:M2264)</f>
        <v>101010110001</v>
      </c>
    </row>
    <row r="2265" spans="2:2" x14ac:dyDescent="0.25">
      <c r="B2265" s="4" t="str">
        <f>_xlfn.TEXTJOIN(,,'Truth Table'!B2265:M2265)</f>
        <v>011010110001</v>
      </c>
    </row>
    <row r="2266" spans="2:2" x14ac:dyDescent="0.25">
      <c r="B2266" s="4" t="str">
        <f>_xlfn.TEXTJOIN(,,'Truth Table'!B2266:M2266)</f>
        <v>111010110001</v>
      </c>
    </row>
    <row r="2267" spans="2:2" x14ac:dyDescent="0.25">
      <c r="B2267" s="4" t="str">
        <f>_xlfn.TEXTJOIN(,,'Truth Table'!B2267:M2267)</f>
        <v>000110110001</v>
      </c>
    </row>
    <row r="2268" spans="2:2" x14ac:dyDescent="0.25">
      <c r="B2268" s="4" t="str">
        <f>_xlfn.TEXTJOIN(,,'Truth Table'!B2268:M2268)</f>
        <v>100110110001</v>
      </c>
    </row>
    <row r="2269" spans="2:2" x14ac:dyDescent="0.25">
      <c r="B2269" s="4" t="str">
        <f>_xlfn.TEXTJOIN(,,'Truth Table'!B2269:M2269)</f>
        <v>010110110001</v>
      </c>
    </row>
    <row r="2270" spans="2:2" x14ac:dyDescent="0.25">
      <c r="B2270" s="4" t="str">
        <f>_xlfn.TEXTJOIN(,,'Truth Table'!B2270:M2270)</f>
        <v>110110110001</v>
      </c>
    </row>
    <row r="2271" spans="2:2" x14ac:dyDescent="0.25">
      <c r="B2271" s="4" t="str">
        <f>_xlfn.TEXTJOIN(,,'Truth Table'!B2271:M2271)</f>
        <v>001110110001</v>
      </c>
    </row>
    <row r="2272" spans="2:2" x14ac:dyDescent="0.25">
      <c r="B2272" s="4" t="str">
        <f>_xlfn.TEXTJOIN(,,'Truth Table'!B2272:M2272)</f>
        <v>101110110001</v>
      </c>
    </row>
    <row r="2273" spans="2:2" x14ac:dyDescent="0.25">
      <c r="B2273" s="4" t="str">
        <f>_xlfn.TEXTJOIN(,,'Truth Table'!B2273:M2273)</f>
        <v>011110110001</v>
      </c>
    </row>
    <row r="2274" spans="2:2" x14ac:dyDescent="0.25">
      <c r="B2274" s="4" t="str">
        <f>_xlfn.TEXTJOIN(,,'Truth Table'!B2274:M2274)</f>
        <v>111110110001</v>
      </c>
    </row>
    <row r="2275" spans="2:2" x14ac:dyDescent="0.25">
      <c r="B2275" s="4" t="str">
        <f>_xlfn.TEXTJOIN(,,'Truth Table'!B2275:M2275)</f>
        <v>000001110001</v>
      </c>
    </row>
    <row r="2276" spans="2:2" x14ac:dyDescent="0.25">
      <c r="B2276" s="4" t="str">
        <f>_xlfn.TEXTJOIN(,,'Truth Table'!B2276:M2276)</f>
        <v>100001110001</v>
      </c>
    </row>
    <row r="2277" spans="2:2" x14ac:dyDescent="0.25">
      <c r="B2277" s="4" t="str">
        <f>_xlfn.TEXTJOIN(,,'Truth Table'!B2277:M2277)</f>
        <v>010001110001</v>
      </c>
    </row>
    <row r="2278" spans="2:2" x14ac:dyDescent="0.25">
      <c r="B2278" s="4" t="str">
        <f>_xlfn.TEXTJOIN(,,'Truth Table'!B2278:M2278)</f>
        <v>110001110001</v>
      </c>
    </row>
    <row r="2279" spans="2:2" x14ac:dyDescent="0.25">
      <c r="B2279" s="4" t="str">
        <f>_xlfn.TEXTJOIN(,,'Truth Table'!B2279:M2279)</f>
        <v>001001110001</v>
      </c>
    </row>
    <row r="2280" spans="2:2" x14ac:dyDescent="0.25">
      <c r="B2280" s="4" t="str">
        <f>_xlfn.TEXTJOIN(,,'Truth Table'!B2280:M2280)</f>
        <v>101001110001</v>
      </c>
    </row>
    <row r="2281" spans="2:2" x14ac:dyDescent="0.25">
      <c r="B2281" s="4" t="str">
        <f>_xlfn.TEXTJOIN(,,'Truth Table'!B2281:M2281)</f>
        <v>011001110001</v>
      </c>
    </row>
    <row r="2282" spans="2:2" x14ac:dyDescent="0.25">
      <c r="B2282" s="4" t="str">
        <f>_xlfn.TEXTJOIN(,,'Truth Table'!B2282:M2282)</f>
        <v>111001110001</v>
      </c>
    </row>
    <row r="2283" spans="2:2" x14ac:dyDescent="0.25">
      <c r="B2283" s="4" t="str">
        <f>_xlfn.TEXTJOIN(,,'Truth Table'!B2283:M2283)</f>
        <v>000101110001</v>
      </c>
    </row>
    <row r="2284" spans="2:2" x14ac:dyDescent="0.25">
      <c r="B2284" s="4" t="str">
        <f>_xlfn.TEXTJOIN(,,'Truth Table'!B2284:M2284)</f>
        <v>100101110001</v>
      </c>
    </row>
    <row r="2285" spans="2:2" x14ac:dyDescent="0.25">
      <c r="B2285" s="4" t="str">
        <f>_xlfn.TEXTJOIN(,,'Truth Table'!B2285:M2285)</f>
        <v>010101110001</v>
      </c>
    </row>
    <row r="2286" spans="2:2" x14ac:dyDescent="0.25">
      <c r="B2286" s="4" t="str">
        <f>_xlfn.TEXTJOIN(,,'Truth Table'!B2286:M2286)</f>
        <v>110101110001</v>
      </c>
    </row>
    <row r="2287" spans="2:2" x14ac:dyDescent="0.25">
      <c r="B2287" s="4" t="str">
        <f>_xlfn.TEXTJOIN(,,'Truth Table'!B2287:M2287)</f>
        <v>001101110001</v>
      </c>
    </row>
    <row r="2288" spans="2:2" x14ac:dyDescent="0.25">
      <c r="B2288" s="4" t="str">
        <f>_xlfn.TEXTJOIN(,,'Truth Table'!B2288:M2288)</f>
        <v>101101110001</v>
      </c>
    </row>
    <row r="2289" spans="2:2" x14ac:dyDescent="0.25">
      <c r="B2289" s="4" t="str">
        <f>_xlfn.TEXTJOIN(,,'Truth Table'!B2289:M2289)</f>
        <v>011101110001</v>
      </c>
    </row>
    <row r="2290" spans="2:2" x14ac:dyDescent="0.25">
      <c r="B2290" s="4" t="str">
        <f>_xlfn.TEXTJOIN(,,'Truth Table'!B2290:M2290)</f>
        <v>111101110001</v>
      </c>
    </row>
    <row r="2291" spans="2:2" x14ac:dyDescent="0.25">
      <c r="B2291" s="4" t="str">
        <f>_xlfn.TEXTJOIN(,,'Truth Table'!B2291:M2291)</f>
        <v>000011110001</v>
      </c>
    </row>
    <row r="2292" spans="2:2" x14ac:dyDescent="0.25">
      <c r="B2292" s="4" t="str">
        <f>_xlfn.TEXTJOIN(,,'Truth Table'!B2292:M2292)</f>
        <v>100011110001</v>
      </c>
    </row>
    <row r="2293" spans="2:2" x14ac:dyDescent="0.25">
      <c r="B2293" s="4" t="str">
        <f>_xlfn.TEXTJOIN(,,'Truth Table'!B2293:M2293)</f>
        <v>010011110001</v>
      </c>
    </row>
    <row r="2294" spans="2:2" x14ac:dyDescent="0.25">
      <c r="B2294" s="4" t="str">
        <f>_xlfn.TEXTJOIN(,,'Truth Table'!B2294:M2294)</f>
        <v>110011110001</v>
      </c>
    </row>
    <row r="2295" spans="2:2" x14ac:dyDescent="0.25">
      <c r="B2295" s="4" t="str">
        <f>_xlfn.TEXTJOIN(,,'Truth Table'!B2295:M2295)</f>
        <v>001011110001</v>
      </c>
    </row>
    <row r="2296" spans="2:2" x14ac:dyDescent="0.25">
      <c r="B2296" s="4" t="str">
        <f>_xlfn.TEXTJOIN(,,'Truth Table'!B2296:M2296)</f>
        <v>101011110001</v>
      </c>
    </row>
    <row r="2297" spans="2:2" x14ac:dyDescent="0.25">
      <c r="B2297" s="4" t="str">
        <f>_xlfn.TEXTJOIN(,,'Truth Table'!B2297:M2297)</f>
        <v>011011110001</v>
      </c>
    </row>
    <row r="2298" spans="2:2" x14ac:dyDescent="0.25">
      <c r="B2298" s="4" t="str">
        <f>_xlfn.TEXTJOIN(,,'Truth Table'!B2298:M2298)</f>
        <v>111011110001</v>
      </c>
    </row>
    <row r="2299" spans="2:2" x14ac:dyDescent="0.25">
      <c r="B2299" s="4" t="str">
        <f>_xlfn.TEXTJOIN(,,'Truth Table'!B2299:M2299)</f>
        <v>000111110001</v>
      </c>
    </row>
    <row r="2300" spans="2:2" x14ac:dyDescent="0.25">
      <c r="B2300" s="4" t="str">
        <f>_xlfn.TEXTJOIN(,,'Truth Table'!B2300:M2300)</f>
        <v>100111110001</v>
      </c>
    </row>
    <row r="2301" spans="2:2" x14ac:dyDescent="0.25">
      <c r="B2301" s="4" t="str">
        <f>_xlfn.TEXTJOIN(,,'Truth Table'!B2301:M2301)</f>
        <v>010111110001</v>
      </c>
    </row>
    <row r="2302" spans="2:2" x14ac:dyDescent="0.25">
      <c r="B2302" s="4" t="str">
        <f>_xlfn.TEXTJOIN(,,'Truth Table'!B2302:M2302)</f>
        <v>110111110001</v>
      </c>
    </row>
    <row r="2303" spans="2:2" x14ac:dyDescent="0.25">
      <c r="B2303" s="4" t="str">
        <f>_xlfn.TEXTJOIN(,,'Truth Table'!B2303:M2303)</f>
        <v>001111110001</v>
      </c>
    </row>
    <row r="2304" spans="2:2" x14ac:dyDescent="0.25">
      <c r="B2304" s="4" t="str">
        <f>_xlfn.TEXTJOIN(,,'Truth Table'!B2304:M2304)</f>
        <v>101111110001</v>
      </c>
    </row>
    <row r="2305" spans="2:2" x14ac:dyDescent="0.25">
      <c r="B2305" s="4" t="str">
        <f>_xlfn.TEXTJOIN(,,'Truth Table'!B2305:M2305)</f>
        <v>011111110001</v>
      </c>
    </row>
    <row r="2306" spans="2:2" x14ac:dyDescent="0.25">
      <c r="B2306" s="4" t="str">
        <f>_xlfn.TEXTJOIN(,,'Truth Table'!B2306:M2306)</f>
        <v>111111110001</v>
      </c>
    </row>
    <row r="2307" spans="2:2" x14ac:dyDescent="0.25">
      <c r="B2307" s="4" t="str">
        <f>_xlfn.TEXTJOIN(,,'Truth Table'!B2307:M2307)</f>
        <v>000000001001</v>
      </c>
    </row>
    <row r="2308" spans="2:2" x14ac:dyDescent="0.25">
      <c r="B2308" s="4" t="str">
        <f>_xlfn.TEXTJOIN(,,'Truth Table'!B2308:M2308)</f>
        <v>100000001001</v>
      </c>
    </row>
    <row r="2309" spans="2:2" x14ac:dyDescent="0.25">
      <c r="B2309" s="4" t="str">
        <f>_xlfn.TEXTJOIN(,,'Truth Table'!B2309:M2309)</f>
        <v>010000001001</v>
      </c>
    </row>
    <row r="2310" spans="2:2" x14ac:dyDescent="0.25">
      <c r="B2310" s="4" t="str">
        <f>_xlfn.TEXTJOIN(,,'Truth Table'!B2310:M2310)</f>
        <v>110000001001</v>
      </c>
    </row>
    <row r="2311" spans="2:2" x14ac:dyDescent="0.25">
      <c r="B2311" s="4" t="str">
        <f>_xlfn.TEXTJOIN(,,'Truth Table'!B2311:M2311)</f>
        <v>001000001001</v>
      </c>
    </row>
    <row r="2312" spans="2:2" x14ac:dyDescent="0.25">
      <c r="B2312" s="4" t="str">
        <f>_xlfn.TEXTJOIN(,,'Truth Table'!B2312:M2312)</f>
        <v>101000001001</v>
      </c>
    </row>
    <row r="2313" spans="2:2" x14ac:dyDescent="0.25">
      <c r="B2313" s="4" t="str">
        <f>_xlfn.TEXTJOIN(,,'Truth Table'!B2313:M2313)</f>
        <v>011000001001</v>
      </c>
    </row>
    <row r="2314" spans="2:2" x14ac:dyDescent="0.25">
      <c r="B2314" s="4" t="str">
        <f>_xlfn.TEXTJOIN(,,'Truth Table'!B2314:M2314)</f>
        <v>111000001001</v>
      </c>
    </row>
    <row r="2315" spans="2:2" x14ac:dyDescent="0.25">
      <c r="B2315" s="4" t="str">
        <f>_xlfn.TEXTJOIN(,,'Truth Table'!B2315:M2315)</f>
        <v>000100001001</v>
      </c>
    </row>
    <row r="2316" spans="2:2" x14ac:dyDescent="0.25">
      <c r="B2316" s="4" t="str">
        <f>_xlfn.TEXTJOIN(,,'Truth Table'!B2316:M2316)</f>
        <v>100100001001</v>
      </c>
    </row>
    <row r="2317" spans="2:2" x14ac:dyDescent="0.25">
      <c r="B2317" s="4" t="str">
        <f>_xlfn.TEXTJOIN(,,'Truth Table'!B2317:M2317)</f>
        <v>010100001001</v>
      </c>
    </row>
    <row r="2318" spans="2:2" x14ac:dyDescent="0.25">
      <c r="B2318" s="4" t="str">
        <f>_xlfn.TEXTJOIN(,,'Truth Table'!B2318:M2318)</f>
        <v>110100001001</v>
      </c>
    </row>
    <row r="2319" spans="2:2" x14ac:dyDescent="0.25">
      <c r="B2319" s="4" t="str">
        <f>_xlfn.TEXTJOIN(,,'Truth Table'!B2319:M2319)</f>
        <v>001100001001</v>
      </c>
    </row>
    <row r="2320" spans="2:2" x14ac:dyDescent="0.25">
      <c r="B2320" s="4" t="str">
        <f>_xlfn.TEXTJOIN(,,'Truth Table'!B2320:M2320)</f>
        <v>101100001001</v>
      </c>
    </row>
    <row r="2321" spans="2:2" x14ac:dyDescent="0.25">
      <c r="B2321" s="4" t="str">
        <f>_xlfn.TEXTJOIN(,,'Truth Table'!B2321:M2321)</f>
        <v>011100001001</v>
      </c>
    </row>
    <row r="2322" spans="2:2" x14ac:dyDescent="0.25">
      <c r="B2322" s="4" t="str">
        <f>_xlfn.TEXTJOIN(,,'Truth Table'!B2322:M2322)</f>
        <v>111100001001</v>
      </c>
    </row>
    <row r="2323" spans="2:2" x14ac:dyDescent="0.25">
      <c r="B2323" s="4" t="str">
        <f>_xlfn.TEXTJOIN(,,'Truth Table'!B2323:M2323)</f>
        <v>000010001001</v>
      </c>
    </row>
    <row r="2324" spans="2:2" x14ac:dyDescent="0.25">
      <c r="B2324" s="4" t="str">
        <f>_xlfn.TEXTJOIN(,,'Truth Table'!B2324:M2324)</f>
        <v>100010001001</v>
      </c>
    </row>
    <row r="2325" spans="2:2" x14ac:dyDescent="0.25">
      <c r="B2325" s="4" t="str">
        <f>_xlfn.TEXTJOIN(,,'Truth Table'!B2325:M2325)</f>
        <v>010010001001</v>
      </c>
    </row>
    <row r="2326" spans="2:2" x14ac:dyDescent="0.25">
      <c r="B2326" s="4" t="str">
        <f>_xlfn.TEXTJOIN(,,'Truth Table'!B2326:M2326)</f>
        <v>110010001001</v>
      </c>
    </row>
    <row r="2327" spans="2:2" x14ac:dyDescent="0.25">
      <c r="B2327" s="4" t="str">
        <f>_xlfn.TEXTJOIN(,,'Truth Table'!B2327:M2327)</f>
        <v>001010001001</v>
      </c>
    </row>
    <row r="2328" spans="2:2" x14ac:dyDescent="0.25">
      <c r="B2328" s="4" t="str">
        <f>_xlfn.TEXTJOIN(,,'Truth Table'!B2328:M2328)</f>
        <v>101010001001</v>
      </c>
    </row>
    <row r="2329" spans="2:2" x14ac:dyDescent="0.25">
      <c r="B2329" s="4" t="str">
        <f>_xlfn.TEXTJOIN(,,'Truth Table'!B2329:M2329)</f>
        <v>011010001001</v>
      </c>
    </row>
    <row r="2330" spans="2:2" x14ac:dyDescent="0.25">
      <c r="B2330" s="4" t="str">
        <f>_xlfn.TEXTJOIN(,,'Truth Table'!B2330:M2330)</f>
        <v>111010001001</v>
      </c>
    </row>
    <row r="2331" spans="2:2" x14ac:dyDescent="0.25">
      <c r="B2331" s="4" t="str">
        <f>_xlfn.TEXTJOIN(,,'Truth Table'!B2331:M2331)</f>
        <v>000110001001</v>
      </c>
    </row>
    <row r="2332" spans="2:2" x14ac:dyDescent="0.25">
      <c r="B2332" s="4" t="str">
        <f>_xlfn.TEXTJOIN(,,'Truth Table'!B2332:M2332)</f>
        <v>100110001001</v>
      </c>
    </row>
    <row r="2333" spans="2:2" x14ac:dyDescent="0.25">
      <c r="B2333" s="4" t="str">
        <f>_xlfn.TEXTJOIN(,,'Truth Table'!B2333:M2333)</f>
        <v>010110001001</v>
      </c>
    </row>
    <row r="2334" spans="2:2" x14ac:dyDescent="0.25">
      <c r="B2334" s="4" t="str">
        <f>_xlfn.TEXTJOIN(,,'Truth Table'!B2334:M2334)</f>
        <v>110110001001</v>
      </c>
    </row>
    <row r="2335" spans="2:2" x14ac:dyDescent="0.25">
      <c r="B2335" s="4" t="str">
        <f>_xlfn.TEXTJOIN(,,'Truth Table'!B2335:M2335)</f>
        <v>001110001001</v>
      </c>
    </row>
    <row r="2336" spans="2:2" x14ac:dyDescent="0.25">
      <c r="B2336" s="4" t="str">
        <f>_xlfn.TEXTJOIN(,,'Truth Table'!B2336:M2336)</f>
        <v>101110001001</v>
      </c>
    </row>
    <row r="2337" spans="2:2" x14ac:dyDescent="0.25">
      <c r="B2337" s="4" t="str">
        <f>_xlfn.TEXTJOIN(,,'Truth Table'!B2337:M2337)</f>
        <v>011110001001</v>
      </c>
    </row>
    <row r="2338" spans="2:2" x14ac:dyDescent="0.25">
      <c r="B2338" s="4" t="str">
        <f>_xlfn.TEXTJOIN(,,'Truth Table'!B2338:M2338)</f>
        <v>111110001001</v>
      </c>
    </row>
    <row r="2339" spans="2:2" x14ac:dyDescent="0.25">
      <c r="B2339" s="4" t="str">
        <f>_xlfn.TEXTJOIN(,,'Truth Table'!B2339:M2339)</f>
        <v>000001001001</v>
      </c>
    </row>
    <row r="2340" spans="2:2" x14ac:dyDescent="0.25">
      <c r="B2340" s="4" t="str">
        <f>_xlfn.TEXTJOIN(,,'Truth Table'!B2340:M2340)</f>
        <v>100001001001</v>
      </c>
    </row>
    <row r="2341" spans="2:2" x14ac:dyDescent="0.25">
      <c r="B2341" s="4" t="str">
        <f>_xlfn.TEXTJOIN(,,'Truth Table'!B2341:M2341)</f>
        <v>010001001001</v>
      </c>
    </row>
    <row r="2342" spans="2:2" x14ac:dyDescent="0.25">
      <c r="B2342" s="4" t="str">
        <f>_xlfn.TEXTJOIN(,,'Truth Table'!B2342:M2342)</f>
        <v>110001001001</v>
      </c>
    </row>
    <row r="2343" spans="2:2" x14ac:dyDescent="0.25">
      <c r="B2343" s="4" t="str">
        <f>_xlfn.TEXTJOIN(,,'Truth Table'!B2343:M2343)</f>
        <v>001001001001</v>
      </c>
    </row>
    <row r="2344" spans="2:2" x14ac:dyDescent="0.25">
      <c r="B2344" s="4" t="str">
        <f>_xlfn.TEXTJOIN(,,'Truth Table'!B2344:M2344)</f>
        <v>101001001001</v>
      </c>
    </row>
    <row r="2345" spans="2:2" x14ac:dyDescent="0.25">
      <c r="B2345" s="4" t="str">
        <f>_xlfn.TEXTJOIN(,,'Truth Table'!B2345:M2345)</f>
        <v>011001001001</v>
      </c>
    </row>
    <row r="2346" spans="2:2" x14ac:dyDescent="0.25">
      <c r="B2346" s="4" t="str">
        <f>_xlfn.TEXTJOIN(,,'Truth Table'!B2346:M2346)</f>
        <v>111001001001</v>
      </c>
    </row>
    <row r="2347" spans="2:2" x14ac:dyDescent="0.25">
      <c r="B2347" s="4" t="str">
        <f>_xlfn.TEXTJOIN(,,'Truth Table'!B2347:M2347)</f>
        <v>000101001001</v>
      </c>
    </row>
    <row r="2348" spans="2:2" x14ac:dyDescent="0.25">
      <c r="B2348" s="4" t="str">
        <f>_xlfn.TEXTJOIN(,,'Truth Table'!B2348:M2348)</f>
        <v>100101001001</v>
      </c>
    </row>
    <row r="2349" spans="2:2" x14ac:dyDescent="0.25">
      <c r="B2349" s="4" t="str">
        <f>_xlfn.TEXTJOIN(,,'Truth Table'!B2349:M2349)</f>
        <v>010101001001</v>
      </c>
    </row>
    <row r="2350" spans="2:2" x14ac:dyDescent="0.25">
      <c r="B2350" s="4" t="str">
        <f>_xlfn.TEXTJOIN(,,'Truth Table'!B2350:M2350)</f>
        <v>110101001001</v>
      </c>
    </row>
    <row r="2351" spans="2:2" x14ac:dyDescent="0.25">
      <c r="B2351" s="4" t="str">
        <f>_xlfn.TEXTJOIN(,,'Truth Table'!B2351:M2351)</f>
        <v>001101001001</v>
      </c>
    </row>
    <row r="2352" spans="2:2" x14ac:dyDescent="0.25">
      <c r="B2352" s="4" t="str">
        <f>_xlfn.TEXTJOIN(,,'Truth Table'!B2352:M2352)</f>
        <v>101101001001</v>
      </c>
    </row>
    <row r="2353" spans="2:2" x14ac:dyDescent="0.25">
      <c r="B2353" s="4" t="str">
        <f>_xlfn.TEXTJOIN(,,'Truth Table'!B2353:M2353)</f>
        <v>011101001001</v>
      </c>
    </row>
    <row r="2354" spans="2:2" x14ac:dyDescent="0.25">
      <c r="B2354" s="4" t="str">
        <f>_xlfn.TEXTJOIN(,,'Truth Table'!B2354:M2354)</f>
        <v>111101001001</v>
      </c>
    </row>
    <row r="2355" spans="2:2" x14ac:dyDescent="0.25">
      <c r="B2355" s="4" t="str">
        <f>_xlfn.TEXTJOIN(,,'Truth Table'!B2355:M2355)</f>
        <v>000011001001</v>
      </c>
    </row>
    <row r="2356" spans="2:2" x14ac:dyDescent="0.25">
      <c r="B2356" s="4" t="str">
        <f>_xlfn.TEXTJOIN(,,'Truth Table'!B2356:M2356)</f>
        <v>100011001001</v>
      </c>
    </row>
    <row r="2357" spans="2:2" x14ac:dyDescent="0.25">
      <c r="B2357" s="4" t="str">
        <f>_xlfn.TEXTJOIN(,,'Truth Table'!B2357:M2357)</f>
        <v>010011001001</v>
      </c>
    </row>
    <row r="2358" spans="2:2" x14ac:dyDescent="0.25">
      <c r="B2358" s="4" t="str">
        <f>_xlfn.TEXTJOIN(,,'Truth Table'!B2358:M2358)</f>
        <v>110011001001</v>
      </c>
    </row>
    <row r="2359" spans="2:2" x14ac:dyDescent="0.25">
      <c r="B2359" s="4" t="str">
        <f>_xlfn.TEXTJOIN(,,'Truth Table'!B2359:M2359)</f>
        <v>001011001001</v>
      </c>
    </row>
    <row r="2360" spans="2:2" x14ac:dyDescent="0.25">
      <c r="B2360" s="4" t="str">
        <f>_xlfn.TEXTJOIN(,,'Truth Table'!B2360:M2360)</f>
        <v>101011001001</v>
      </c>
    </row>
    <row r="2361" spans="2:2" x14ac:dyDescent="0.25">
      <c r="B2361" s="4" t="str">
        <f>_xlfn.TEXTJOIN(,,'Truth Table'!B2361:M2361)</f>
        <v>011011001001</v>
      </c>
    </row>
    <row r="2362" spans="2:2" x14ac:dyDescent="0.25">
      <c r="B2362" s="4" t="str">
        <f>_xlfn.TEXTJOIN(,,'Truth Table'!B2362:M2362)</f>
        <v>111011001001</v>
      </c>
    </row>
    <row r="2363" spans="2:2" x14ac:dyDescent="0.25">
      <c r="B2363" s="4" t="str">
        <f>_xlfn.TEXTJOIN(,,'Truth Table'!B2363:M2363)</f>
        <v>000111001001</v>
      </c>
    </row>
    <row r="2364" spans="2:2" x14ac:dyDescent="0.25">
      <c r="B2364" s="4" t="str">
        <f>_xlfn.TEXTJOIN(,,'Truth Table'!B2364:M2364)</f>
        <v>100111001001</v>
      </c>
    </row>
    <row r="2365" spans="2:2" x14ac:dyDescent="0.25">
      <c r="B2365" s="4" t="str">
        <f>_xlfn.TEXTJOIN(,,'Truth Table'!B2365:M2365)</f>
        <v>010111001001</v>
      </c>
    </row>
    <row r="2366" spans="2:2" x14ac:dyDescent="0.25">
      <c r="B2366" s="4" t="str">
        <f>_xlfn.TEXTJOIN(,,'Truth Table'!B2366:M2366)</f>
        <v>110111001001</v>
      </c>
    </row>
    <row r="2367" spans="2:2" x14ac:dyDescent="0.25">
      <c r="B2367" s="4" t="str">
        <f>_xlfn.TEXTJOIN(,,'Truth Table'!B2367:M2367)</f>
        <v>001111001001</v>
      </c>
    </row>
    <row r="2368" spans="2:2" x14ac:dyDescent="0.25">
      <c r="B2368" s="4" t="str">
        <f>_xlfn.TEXTJOIN(,,'Truth Table'!B2368:M2368)</f>
        <v>101111001001</v>
      </c>
    </row>
    <row r="2369" spans="2:2" x14ac:dyDescent="0.25">
      <c r="B2369" s="4" t="str">
        <f>_xlfn.TEXTJOIN(,,'Truth Table'!B2369:M2369)</f>
        <v>011111001001</v>
      </c>
    </row>
    <row r="2370" spans="2:2" x14ac:dyDescent="0.25">
      <c r="B2370" s="4" t="str">
        <f>_xlfn.TEXTJOIN(,,'Truth Table'!B2370:M2370)</f>
        <v>111111001001</v>
      </c>
    </row>
    <row r="2371" spans="2:2" x14ac:dyDescent="0.25">
      <c r="B2371" s="4" t="str">
        <f>_xlfn.TEXTJOIN(,,'Truth Table'!B2371:M2371)</f>
        <v>000000101001</v>
      </c>
    </row>
    <row r="2372" spans="2:2" x14ac:dyDescent="0.25">
      <c r="B2372" s="4" t="str">
        <f>_xlfn.TEXTJOIN(,,'Truth Table'!B2372:M2372)</f>
        <v>100000101001</v>
      </c>
    </row>
    <row r="2373" spans="2:2" x14ac:dyDescent="0.25">
      <c r="B2373" s="4" t="str">
        <f>_xlfn.TEXTJOIN(,,'Truth Table'!B2373:M2373)</f>
        <v>010000101001</v>
      </c>
    </row>
    <row r="2374" spans="2:2" x14ac:dyDescent="0.25">
      <c r="B2374" s="4" t="str">
        <f>_xlfn.TEXTJOIN(,,'Truth Table'!B2374:M2374)</f>
        <v>110000101001</v>
      </c>
    </row>
    <row r="2375" spans="2:2" x14ac:dyDescent="0.25">
      <c r="B2375" s="4" t="str">
        <f>_xlfn.TEXTJOIN(,,'Truth Table'!B2375:M2375)</f>
        <v>001000101001</v>
      </c>
    </row>
    <row r="2376" spans="2:2" x14ac:dyDescent="0.25">
      <c r="B2376" s="4" t="str">
        <f>_xlfn.TEXTJOIN(,,'Truth Table'!B2376:M2376)</f>
        <v>101000101001</v>
      </c>
    </row>
    <row r="2377" spans="2:2" x14ac:dyDescent="0.25">
      <c r="B2377" s="4" t="str">
        <f>_xlfn.TEXTJOIN(,,'Truth Table'!B2377:M2377)</f>
        <v>011000101001</v>
      </c>
    </row>
    <row r="2378" spans="2:2" x14ac:dyDescent="0.25">
      <c r="B2378" s="4" t="str">
        <f>_xlfn.TEXTJOIN(,,'Truth Table'!B2378:M2378)</f>
        <v>111000101001</v>
      </c>
    </row>
    <row r="2379" spans="2:2" x14ac:dyDescent="0.25">
      <c r="B2379" s="4" t="str">
        <f>_xlfn.TEXTJOIN(,,'Truth Table'!B2379:M2379)</f>
        <v>000100101001</v>
      </c>
    </row>
    <row r="2380" spans="2:2" x14ac:dyDescent="0.25">
      <c r="B2380" s="4" t="str">
        <f>_xlfn.TEXTJOIN(,,'Truth Table'!B2380:M2380)</f>
        <v>100100101001</v>
      </c>
    </row>
    <row r="2381" spans="2:2" x14ac:dyDescent="0.25">
      <c r="B2381" s="4" t="str">
        <f>_xlfn.TEXTJOIN(,,'Truth Table'!B2381:M2381)</f>
        <v>010100101001</v>
      </c>
    </row>
    <row r="2382" spans="2:2" x14ac:dyDescent="0.25">
      <c r="B2382" s="4" t="str">
        <f>_xlfn.TEXTJOIN(,,'Truth Table'!B2382:M2382)</f>
        <v>110100101001</v>
      </c>
    </row>
    <row r="2383" spans="2:2" x14ac:dyDescent="0.25">
      <c r="B2383" s="4" t="str">
        <f>_xlfn.TEXTJOIN(,,'Truth Table'!B2383:M2383)</f>
        <v>001100101001</v>
      </c>
    </row>
    <row r="2384" spans="2:2" x14ac:dyDescent="0.25">
      <c r="B2384" s="4" t="str">
        <f>_xlfn.TEXTJOIN(,,'Truth Table'!B2384:M2384)</f>
        <v>101100101001</v>
      </c>
    </row>
    <row r="2385" spans="2:2" x14ac:dyDescent="0.25">
      <c r="B2385" s="4" t="str">
        <f>_xlfn.TEXTJOIN(,,'Truth Table'!B2385:M2385)</f>
        <v>011100101001</v>
      </c>
    </row>
    <row r="2386" spans="2:2" x14ac:dyDescent="0.25">
      <c r="B2386" s="4" t="str">
        <f>_xlfn.TEXTJOIN(,,'Truth Table'!B2386:M2386)</f>
        <v>111100101001</v>
      </c>
    </row>
    <row r="2387" spans="2:2" x14ac:dyDescent="0.25">
      <c r="B2387" s="4" t="str">
        <f>_xlfn.TEXTJOIN(,,'Truth Table'!B2387:M2387)</f>
        <v>000010101001</v>
      </c>
    </row>
    <row r="2388" spans="2:2" x14ac:dyDescent="0.25">
      <c r="B2388" s="4" t="str">
        <f>_xlfn.TEXTJOIN(,,'Truth Table'!B2388:M2388)</f>
        <v>100010101001</v>
      </c>
    </row>
    <row r="2389" spans="2:2" x14ac:dyDescent="0.25">
      <c r="B2389" s="4" t="str">
        <f>_xlfn.TEXTJOIN(,,'Truth Table'!B2389:M2389)</f>
        <v>010010101001</v>
      </c>
    </row>
    <row r="2390" spans="2:2" x14ac:dyDescent="0.25">
      <c r="B2390" s="4" t="str">
        <f>_xlfn.TEXTJOIN(,,'Truth Table'!B2390:M2390)</f>
        <v>110010101001</v>
      </c>
    </row>
    <row r="2391" spans="2:2" x14ac:dyDescent="0.25">
      <c r="B2391" s="4" t="str">
        <f>_xlfn.TEXTJOIN(,,'Truth Table'!B2391:M2391)</f>
        <v>001010101001</v>
      </c>
    </row>
    <row r="2392" spans="2:2" x14ac:dyDescent="0.25">
      <c r="B2392" s="4" t="str">
        <f>_xlfn.TEXTJOIN(,,'Truth Table'!B2392:M2392)</f>
        <v>101010101001</v>
      </c>
    </row>
    <row r="2393" spans="2:2" x14ac:dyDescent="0.25">
      <c r="B2393" s="4" t="str">
        <f>_xlfn.TEXTJOIN(,,'Truth Table'!B2393:M2393)</f>
        <v>011010101001</v>
      </c>
    </row>
    <row r="2394" spans="2:2" x14ac:dyDescent="0.25">
      <c r="B2394" s="4" t="str">
        <f>_xlfn.TEXTJOIN(,,'Truth Table'!B2394:M2394)</f>
        <v>111010101001</v>
      </c>
    </row>
    <row r="2395" spans="2:2" x14ac:dyDescent="0.25">
      <c r="B2395" s="4" t="str">
        <f>_xlfn.TEXTJOIN(,,'Truth Table'!B2395:M2395)</f>
        <v>000110101001</v>
      </c>
    </row>
    <row r="2396" spans="2:2" x14ac:dyDescent="0.25">
      <c r="B2396" s="4" t="str">
        <f>_xlfn.TEXTJOIN(,,'Truth Table'!B2396:M2396)</f>
        <v>100110101001</v>
      </c>
    </row>
    <row r="2397" spans="2:2" x14ac:dyDescent="0.25">
      <c r="B2397" s="4" t="str">
        <f>_xlfn.TEXTJOIN(,,'Truth Table'!B2397:M2397)</f>
        <v>010110101001</v>
      </c>
    </row>
    <row r="2398" spans="2:2" x14ac:dyDescent="0.25">
      <c r="B2398" s="4" t="str">
        <f>_xlfn.TEXTJOIN(,,'Truth Table'!B2398:M2398)</f>
        <v>110110101001</v>
      </c>
    </row>
    <row r="2399" spans="2:2" x14ac:dyDescent="0.25">
      <c r="B2399" s="4" t="str">
        <f>_xlfn.TEXTJOIN(,,'Truth Table'!B2399:M2399)</f>
        <v>001110101001</v>
      </c>
    </row>
    <row r="2400" spans="2:2" x14ac:dyDescent="0.25">
      <c r="B2400" s="4" t="str">
        <f>_xlfn.TEXTJOIN(,,'Truth Table'!B2400:M2400)</f>
        <v>101110101001</v>
      </c>
    </row>
    <row r="2401" spans="2:2" x14ac:dyDescent="0.25">
      <c r="B2401" s="4" t="str">
        <f>_xlfn.TEXTJOIN(,,'Truth Table'!B2401:M2401)</f>
        <v>011110101001</v>
      </c>
    </row>
    <row r="2402" spans="2:2" x14ac:dyDescent="0.25">
      <c r="B2402" s="4" t="str">
        <f>_xlfn.TEXTJOIN(,,'Truth Table'!B2402:M2402)</f>
        <v>111110101001</v>
      </c>
    </row>
    <row r="2403" spans="2:2" x14ac:dyDescent="0.25">
      <c r="B2403" s="4" t="str">
        <f>_xlfn.TEXTJOIN(,,'Truth Table'!B2403:M2403)</f>
        <v>000001101001</v>
      </c>
    </row>
    <row r="2404" spans="2:2" x14ac:dyDescent="0.25">
      <c r="B2404" s="4" t="str">
        <f>_xlfn.TEXTJOIN(,,'Truth Table'!B2404:M2404)</f>
        <v>100001101001</v>
      </c>
    </row>
    <row r="2405" spans="2:2" x14ac:dyDescent="0.25">
      <c r="B2405" s="4" t="str">
        <f>_xlfn.TEXTJOIN(,,'Truth Table'!B2405:M2405)</f>
        <v>010001101001</v>
      </c>
    </row>
    <row r="2406" spans="2:2" x14ac:dyDescent="0.25">
      <c r="B2406" s="4" t="str">
        <f>_xlfn.TEXTJOIN(,,'Truth Table'!B2406:M2406)</f>
        <v>110001101001</v>
      </c>
    </row>
    <row r="2407" spans="2:2" x14ac:dyDescent="0.25">
      <c r="B2407" s="4" t="str">
        <f>_xlfn.TEXTJOIN(,,'Truth Table'!B2407:M2407)</f>
        <v>001001101001</v>
      </c>
    </row>
    <row r="2408" spans="2:2" x14ac:dyDescent="0.25">
      <c r="B2408" s="4" t="str">
        <f>_xlfn.TEXTJOIN(,,'Truth Table'!B2408:M2408)</f>
        <v>101001101001</v>
      </c>
    </row>
    <row r="2409" spans="2:2" x14ac:dyDescent="0.25">
      <c r="B2409" s="4" t="str">
        <f>_xlfn.TEXTJOIN(,,'Truth Table'!B2409:M2409)</f>
        <v>011001101001</v>
      </c>
    </row>
    <row r="2410" spans="2:2" x14ac:dyDescent="0.25">
      <c r="B2410" s="4" t="str">
        <f>_xlfn.TEXTJOIN(,,'Truth Table'!B2410:M2410)</f>
        <v>111001101001</v>
      </c>
    </row>
    <row r="2411" spans="2:2" x14ac:dyDescent="0.25">
      <c r="B2411" s="4" t="str">
        <f>_xlfn.TEXTJOIN(,,'Truth Table'!B2411:M2411)</f>
        <v>000101101001</v>
      </c>
    </row>
    <row r="2412" spans="2:2" x14ac:dyDescent="0.25">
      <c r="B2412" s="4" t="str">
        <f>_xlfn.TEXTJOIN(,,'Truth Table'!B2412:M2412)</f>
        <v>100101101001</v>
      </c>
    </row>
    <row r="2413" spans="2:2" x14ac:dyDescent="0.25">
      <c r="B2413" s="4" t="str">
        <f>_xlfn.TEXTJOIN(,,'Truth Table'!B2413:M2413)</f>
        <v>010101101001</v>
      </c>
    </row>
    <row r="2414" spans="2:2" x14ac:dyDescent="0.25">
      <c r="B2414" s="4" t="str">
        <f>_xlfn.TEXTJOIN(,,'Truth Table'!B2414:M2414)</f>
        <v>110101101001</v>
      </c>
    </row>
    <row r="2415" spans="2:2" x14ac:dyDescent="0.25">
      <c r="B2415" s="4" t="str">
        <f>_xlfn.TEXTJOIN(,,'Truth Table'!B2415:M2415)</f>
        <v>001101101001</v>
      </c>
    </row>
    <row r="2416" spans="2:2" x14ac:dyDescent="0.25">
      <c r="B2416" s="4" t="str">
        <f>_xlfn.TEXTJOIN(,,'Truth Table'!B2416:M2416)</f>
        <v>101101101001</v>
      </c>
    </row>
    <row r="2417" spans="2:2" x14ac:dyDescent="0.25">
      <c r="B2417" s="4" t="str">
        <f>_xlfn.TEXTJOIN(,,'Truth Table'!B2417:M2417)</f>
        <v>011101101001</v>
      </c>
    </row>
    <row r="2418" spans="2:2" x14ac:dyDescent="0.25">
      <c r="B2418" s="4" t="str">
        <f>_xlfn.TEXTJOIN(,,'Truth Table'!B2418:M2418)</f>
        <v>111101101001</v>
      </c>
    </row>
    <row r="2419" spans="2:2" x14ac:dyDescent="0.25">
      <c r="B2419" s="4" t="str">
        <f>_xlfn.TEXTJOIN(,,'Truth Table'!B2419:M2419)</f>
        <v>000011101001</v>
      </c>
    </row>
    <row r="2420" spans="2:2" x14ac:dyDescent="0.25">
      <c r="B2420" s="4" t="str">
        <f>_xlfn.TEXTJOIN(,,'Truth Table'!B2420:M2420)</f>
        <v>100011101001</v>
      </c>
    </row>
    <row r="2421" spans="2:2" x14ac:dyDescent="0.25">
      <c r="B2421" s="4" t="str">
        <f>_xlfn.TEXTJOIN(,,'Truth Table'!B2421:M2421)</f>
        <v>010011101001</v>
      </c>
    </row>
    <row r="2422" spans="2:2" x14ac:dyDescent="0.25">
      <c r="B2422" s="4" t="str">
        <f>_xlfn.TEXTJOIN(,,'Truth Table'!B2422:M2422)</f>
        <v>110011101001</v>
      </c>
    </row>
    <row r="2423" spans="2:2" x14ac:dyDescent="0.25">
      <c r="B2423" s="4" t="str">
        <f>_xlfn.TEXTJOIN(,,'Truth Table'!B2423:M2423)</f>
        <v>001011101001</v>
      </c>
    </row>
    <row r="2424" spans="2:2" x14ac:dyDescent="0.25">
      <c r="B2424" s="4" t="str">
        <f>_xlfn.TEXTJOIN(,,'Truth Table'!B2424:M2424)</f>
        <v>101011101001</v>
      </c>
    </row>
    <row r="2425" spans="2:2" x14ac:dyDescent="0.25">
      <c r="B2425" s="4" t="str">
        <f>_xlfn.TEXTJOIN(,,'Truth Table'!B2425:M2425)</f>
        <v>011011101001</v>
      </c>
    </row>
    <row r="2426" spans="2:2" x14ac:dyDescent="0.25">
      <c r="B2426" s="4" t="str">
        <f>_xlfn.TEXTJOIN(,,'Truth Table'!B2426:M2426)</f>
        <v>111011101001</v>
      </c>
    </row>
    <row r="2427" spans="2:2" x14ac:dyDescent="0.25">
      <c r="B2427" s="4" t="str">
        <f>_xlfn.TEXTJOIN(,,'Truth Table'!B2427:M2427)</f>
        <v>000111101001</v>
      </c>
    </row>
    <row r="2428" spans="2:2" x14ac:dyDescent="0.25">
      <c r="B2428" s="4" t="str">
        <f>_xlfn.TEXTJOIN(,,'Truth Table'!B2428:M2428)</f>
        <v>100111101001</v>
      </c>
    </row>
    <row r="2429" spans="2:2" x14ac:dyDescent="0.25">
      <c r="B2429" s="4" t="str">
        <f>_xlfn.TEXTJOIN(,,'Truth Table'!B2429:M2429)</f>
        <v>010111101001</v>
      </c>
    </row>
    <row r="2430" spans="2:2" x14ac:dyDescent="0.25">
      <c r="B2430" s="4" t="str">
        <f>_xlfn.TEXTJOIN(,,'Truth Table'!B2430:M2430)</f>
        <v>110111101001</v>
      </c>
    </row>
    <row r="2431" spans="2:2" x14ac:dyDescent="0.25">
      <c r="B2431" s="4" t="str">
        <f>_xlfn.TEXTJOIN(,,'Truth Table'!B2431:M2431)</f>
        <v>001111101001</v>
      </c>
    </row>
    <row r="2432" spans="2:2" x14ac:dyDescent="0.25">
      <c r="B2432" s="4" t="str">
        <f>_xlfn.TEXTJOIN(,,'Truth Table'!B2432:M2432)</f>
        <v>101111101001</v>
      </c>
    </row>
    <row r="2433" spans="2:2" x14ac:dyDescent="0.25">
      <c r="B2433" s="4" t="str">
        <f>_xlfn.TEXTJOIN(,,'Truth Table'!B2433:M2433)</f>
        <v>011111101001</v>
      </c>
    </row>
    <row r="2434" spans="2:2" x14ac:dyDescent="0.25">
      <c r="B2434" s="4" t="str">
        <f>_xlfn.TEXTJOIN(,,'Truth Table'!B2434:M2434)</f>
        <v>111111101001</v>
      </c>
    </row>
    <row r="2435" spans="2:2" x14ac:dyDescent="0.25">
      <c r="B2435" s="4" t="str">
        <f>_xlfn.TEXTJOIN(,,'Truth Table'!B2435:M2435)</f>
        <v>000000011001</v>
      </c>
    </row>
    <row r="2436" spans="2:2" x14ac:dyDescent="0.25">
      <c r="B2436" s="4" t="str">
        <f>_xlfn.TEXTJOIN(,,'Truth Table'!B2436:M2436)</f>
        <v>100000011001</v>
      </c>
    </row>
    <row r="2437" spans="2:2" x14ac:dyDescent="0.25">
      <c r="B2437" s="4" t="str">
        <f>_xlfn.TEXTJOIN(,,'Truth Table'!B2437:M2437)</f>
        <v>010000011001</v>
      </c>
    </row>
    <row r="2438" spans="2:2" x14ac:dyDescent="0.25">
      <c r="B2438" s="4" t="str">
        <f>_xlfn.TEXTJOIN(,,'Truth Table'!B2438:M2438)</f>
        <v>110000011001</v>
      </c>
    </row>
    <row r="2439" spans="2:2" x14ac:dyDescent="0.25">
      <c r="B2439" s="4" t="str">
        <f>_xlfn.TEXTJOIN(,,'Truth Table'!B2439:M2439)</f>
        <v>001000011001</v>
      </c>
    </row>
    <row r="2440" spans="2:2" x14ac:dyDescent="0.25">
      <c r="B2440" s="4" t="str">
        <f>_xlfn.TEXTJOIN(,,'Truth Table'!B2440:M2440)</f>
        <v>101000011001</v>
      </c>
    </row>
    <row r="2441" spans="2:2" x14ac:dyDescent="0.25">
      <c r="B2441" s="4" t="str">
        <f>_xlfn.TEXTJOIN(,,'Truth Table'!B2441:M2441)</f>
        <v>011000011001</v>
      </c>
    </row>
    <row r="2442" spans="2:2" x14ac:dyDescent="0.25">
      <c r="B2442" s="4" t="str">
        <f>_xlfn.TEXTJOIN(,,'Truth Table'!B2442:M2442)</f>
        <v>111000011001</v>
      </c>
    </row>
    <row r="2443" spans="2:2" x14ac:dyDescent="0.25">
      <c r="B2443" s="4" t="str">
        <f>_xlfn.TEXTJOIN(,,'Truth Table'!B2443:M2443)</f>
        <v>000100011001</v>
      </c>
    </row>
    <row r="2444" spans="2:2" x14ac:dyDescent="0.25">
      <c r="B2444" s="4" t="str">
        <f>_xlfn.TEXTJOIN(,,'Truth Table'!B2444:M2444)</f>
        <v>100100011001</v>
      </c>
    </row>
    <row r="2445" spans="2:2" x14ac:dyDescent="0.25">
      <c r="B2445" s="4" t="str">
        <f>_xlfn.TEXTJOIN(,,'Truth Table'!B2445:M2445)</f>
        <v>010100011001</v>
      </c>
    </row>
    <row r="2446" spans="2:2" x14ac:dyDescent="0.25">
      <c r="B2446" s="4" t="str">
        <f>_xlfn.TEXTJOIN(,,'Truth Table'!B2446:M2446)</f>
        <v>110100011001</v>
      </c>
    </row>
    <row r="2447" spans="2:2" x14ac:dyDescent="0.25">
      <c r="B2447" s="4" t="str">
        <f>_xlfn.TEXTJOIN(,,'Truth Table'!B2447:M2447)</f>
        <v>001100011001</v>
      </c>
    </row>
    <row r="2448" spans="2:2" x14ac:dyDescent="0.25">
      <c r="B2448" s="4" t="str">
        <f>_xlfn.TEXTJOIN(,,'Truth Table'!B2448:M2448)</f>
        <v>101100011001</v>
      </c>
    </row>
    <row r="2449" spans="2:2" x14ac:dyDescent="0.25">
      <c r="B2449" s="4" t="str">
        <f>_xlfn.TEXTJOIN(,,'Truth Table'!B2449:M2449)</f>
        <v>011100011001</v>
      </c>
    </row>
    <row r="2450" spans="2:2" x14ac:dyDescent="0.25">
      <c r="B2450" s="4" t="str">
        <f>_xlfn.TEXTJOIN(,,'Truth Table'!B2450:M2450)</f>
        <v>111100011001</v>
      </c>
    </row>
    <row r="2451" spans="2:2" x14ac:dyDescent="0.25">
      <c r="B2451" s="4" t="str">
        <f>_xlfn.TEXTJOIN(,,'Truth Table'!B2451:M2451)</f>
        <v>000010011001</v>
      </c>
    </row>
    <row r="2452" spans="2:2" x14ac:dyDescent="0.25">
      <c r="B2452" s="4" t="str">
        <f>_xlfn.TEXTJOIN(,,'Truth Table'!B2452:M2452)</f>
        <v>100010011001</v>
      </c>
    </row>
    <row r="2453" spans="2:2" x14ac:dyDescent="0.25">
      <c r="B2453" s="4" t="str">
        <f>_xlfn.TEXTJOIN(,,'Truth Table'!B2453:M2453)</f>
        <v>010010011001</v>
      </c>
    </row>
    <row r="2454" spans="2:2" x14ac:dyDescent="0.25">
      <c r="B2454" s="4" t="str">
        <f>_xlfn.TEXTJOIN(,,'Truth Table'!B2454:M2454)</f>
        <v>110010011001</v>
      </c>
    </row>
    <row r="2455" spans="2:2" x14ac:dyDescent="0.25">
      <c r="B2455" s="4" t="str">
        <f>_xlfn.TEXTJOIN(,,'Truth Table'!B2455:M2455)</f>
        <v>001010011001</v>
      </c>
    </row>
    <row r="2456" spans="2:2" x14ac:dyDescent="0.25">
      <c r="B2456" s="4" t="str">
        <f>_xlfn.TEXTJOIN(,,'Truth Table'!B2456:M2456)</f>
        <v>101010011001</v>
      </c>
    </row>
    <row r="2457" spans="2:2" x14ac:dyDescent="0.25">
      <c r="B2457" s="4" t="str">
        <f>_xlfn.TEXTJOIN(,,'Truth Table'!B2457:M2457)</f>
        <v>011010011001</v>
      </c>
    </row>
    <row r="2458" spans="2:2" x14ac:dyDescent="0.25">
      <c r="B2458" s="4" t="str">
        <f>_xlfn.TEXTJOIN(,,'Truth Table'!B2458:M2458)</f>
        <v>111010011001</v>
      </c>
    </row>
    <row r="2459" spans="2:2" x14ac:dyDescent="0.25">
      <c r="B2459" s="4" t="str">
        <f>_xlfn.TEXTJOIN(,,'Truth Table'!B2459:M2459)</f>
        <v>000110011001</v>
      </c>
    </row>
    <row r="2460" spans="2:2" x14ac:dyDescent="0.25">
      <c r="B2460" s="4" t="str">
        <f>_xlfn.TEXTJOIN(,,'Truth Table'!B2460:M2460)</f>
        <v>100110011001</v>
      </c>
    </row>
    <row r="2461" spans="2:2" x14ac:dyDescent="0.25">
      <c r="B2461" s="4" t="str">
        <f>_xlfn.TEXTJOIN(,,'Truth Table'!B2461:M2461)</f>
        <v>010110011001</v>
      </c>
    </row>
    <row r="2462" spans="2:2" x14ac:dyDescent="0.25">
      <c r="B2462" s="4" t="str">
        <f>_xlfn.TEXTJOIN(,,'Truth Table'!B2462:M2462)</f>
        <v>110110011001</v>
      </c>
    </row>
    <row r="2463" spans="2:2" x14ac:dyDescent="0.25">
      <c r="B2463" s="4" t="str">
        <f>_xlfn.TEXTJOIN(,,'Truth Table'!B2463:M2463)</f>
        <v>001110011001</v>
      </c>
    </row>
    <row r="2464" spans="2:2" x14ac:dyDescent="0.25">
      <c r="B2464" s="4" t="str">
        <f>_xlfn.TEXTJOIN(,,'Truth Table'!B2464:M2464)</f>
        <v>101110011001</v>
      </c>
    </row>
    <row r="2465" spans="2:2" x14ac:dyDescent="0.25">
      <c r="B2465" s="4" t="str">
        <f>_xlfn.TEXTJOIN(,,'Truth Table'!B2465:M2465)</f>
        <v>011110011001</v>
      </c>
    </row>
    <row r="2466" spans="2:2" x14ac:dyDescent="0.25">
      <c r="B2466" s="4" t="str">
        <f>_xlfn.TEXTJOIN(,,'Truth Table'!B2466:M2466)</f>
        <v>111110011001</v>
      </c>
    </row>
    <row r="2467" spans="2:2" x14ac:dyDescent="0.25">
      <c r="B2467" s="4" t="str">
        <f>_xlfn.TEXTJOIN(,,'Truth Table'!B2467:M2467)</f>
        <v>000001011001</v>
      </c>
    </row>
    <row r="2468" spans="2:2" x14ac:dyDescent="0.25">
      <c r="B2468" s="4" t="str">
        <f>_xlfn.TEXTJOIN(,,'Truth Table'!B2468:M2468)</f>
        <v>100001011001</v>
      </c>
    </row>
    <row r="2469" spans="2:2" x14ac:dyDescent="0.25">
      <c r="B2469" s="4" t="str">
        <f>_xlfn.TEXTJOIN(,,'Truth Table'!B2469:M2469)</f>
        <v>010001011001</v>
      </c>
    </row>
    <row r="2470" spans="2:2" x14ac:dyDescent="0.25">
      <c r="B2470" s="4" t="str">
        <f>_xlfn.TEXTJOIN(,,'Truth Table'!B2470:M2470)</f>
        <v>110001011001</v>
      </c>
    </row>
    <row r="2471" spans="2:2" x14ac:dyDescent="0.25">
      <c r="B2471" s="4" t="str">
        <f>_xlfn.TEXTJOIN(,,'Truth Table'!B2471:M2471)</f>
        <v>001001011001</v>
      </c>
    </row>
    <row r="2472" spans="2:2" x14ac:dyDescent="0.25">
      <c r="B2472" s="4" t="str">
        <f>_xlfn.TEXTJOIN(,,'Truth Table'!B2472:M2472)</f>
        <v>101001011001</v>
      </c>
    </row>
    <row r="2473" spans="2:2" x14ac:dyDescent="0.25">
      <c r="B2473" s="4" t="str">
        <f>_xlfn.TEXTJOIN(,,'Truth Table'!B2473:M2473)</f>
        <v>011001011001</v>
      </c>
    </row>
    <row r="2474" spans="2:2" x14ac:dyDescent="0.25">
      <c r="B2474" s="4" t="str">
        <f>_xlfn.TEXTJOIN(,,'Truth Table'!B2474:M2474)</f>
        <v>111001011001</v>
      </c>
    </row>
    <row r="2475" spans="2:2" x14ac:dyDescent="0.25">
      <c r="B2475" s="4" t="str">
        <f>_xlfn.TEXTJOIN(,,'Truth Table'!B2475:M2475)</f>
        <v>000101011001</v>
      </c>
    </row>
    <row r="2476" spans="2:2" x14ac:dyDescent="0.25">
      <c r="B2476" s="4" t="str">
        <f>_xlfn.TEXTJOIN(,,'Truth Table'!B2476:M2476)</f>
        <v>100101011001</v>
      </c>
    </row>
    <row r="2477" spans="2:2" x14ac:dyDescent="0.25">
      <c r="B2477" s="4" t="str">
        <f>_xlfn.TEXTJOIN(,,'Truth Table'!B2477:M2477)</f>
        <v>010101011001</v>
      </c>
    </row>
    <row r="2478" spans="2:2" x14ac:dyDescent="0.25">
      <c r="B2478" s="4" t="str">
        <f>_xlfn.TEXTJOIN(,,'Truth Table'!B2478:M2478)</f>
        <v>110101011001</v>
      </c>
    </row>
    <row r="2479" spans="2:2" x14ac:dyDescent="0.25">
      <c r="B2479" s="4" t="str">
        <f>_xlfn.TEXTJOIN(,,'Truth Table'!B2479:M2479)</f>
        <v>001101011001</v>
      </c>
    </row>
    <row r="2480" spans="2:2" x14ac:dyDescent="0.25">
      <c r="B2480" s="4" t="str">
        <f>_xlfn.TEXTJOIN(,,'Truth Table'!B2480:M2480)</f>
        <v>101101011001</v>
      </c>
    </row>
    <row r="2481" spans="2:2" x14ac:dyDescent="0.25">
      <c r="B2481" s="4" t="str">
        <f>_xlfn.TEXTJOIN(,,'Truth Table'!B2481:M2481)</f>
        <v>011101011001</v>
      </c>
    </row>
    <row r="2482" spans="2:2" x14ac:dyDescent="0.25">
      <c r="B2482" s="4" t="str">
        <f>_xlfn.TEXTJOIN(,,'Truth Table'!B2482:M2482)</f>
        <v>111101011001</v>
      </c>
    </row>
    <row r="2483" spans="2:2" x14ac:dyDescent="0.25">
      <c r="B2483" s="4" t="str">
        <f>_xlfn.TEXTJOIN(,,'Truth Table'!B2483:M2483)</f>
        <v>000011011001</v>
      </c>
    </row>
    <row r="2484" spans="2:2" x14ac:dyDescent="0.25">
      <c r="B2484" s="4" t="str">
        <f>_xlfn.TEXTJOIN(,,'Truth Table'!B2484:M2484)</f>
        <v>100011011001</v>
      </c>
    </row>
    <row r="2485" spans="2:2" x14ac:dyDescent="0.25">
      <c r="B2485" s="4" t="str">
        <f>_xlfn.TEXTJOIN(,,'Truth Table'!B2485:M2485)</f>
        <v>010011011001</v>
      </c>
    </row>
    <row r="2486" spans="2:2" x14ac:dyDescent="0.25">
      <c r="B2486" s="4" t="str">
        <f>_xlfn.TEXTJOIN(,,'Truth Table'!B2486:M2486)</f>
        <v>110011011001</v>
      </c>
    </row>
    <row r="2487" spans="2:2" x14ac:dyDescent="0.25">
      <c r="B2487" s="4" t="str">
        <f>_xlfn.TEXTJOIN(,,'Truth Table'!B2487:M2487)</f>
        <v>001011011001</v>
      </c>
    </row>
    <row r="2488" spans="2:2" x14ac:dyDescent="0.25">
      <c r="B2488" s="4" t="str">
        <f>_xlfn.TEXTJOIN(,,'Truth Table'!B2488:M2488)</f>
        <v>101011011001</v>
      </c>
    </row>
    <row r="2489" spans="2:2" x14ac:dyDescent="0.25">
      <c r="B2489" s="4" t="str">
        <f>_xlfn.TEXTJOIN(,,'Truth Table'!B2489:M2489)</f>
        <v>011011011001</v>
      </c>
    </row>
    <row r="2490" spans="2:2" x14ac:dyDescent="0.25">
      <c r="B2490" s="4" t="str">
        <f>_xlfn.TEXTJOIN(,,'Truth Table'!B2490:M2490)</f>
        <v>111011011001</v>
      </c>
    </row>
    <row r="2491" spans="2:2" x14ac:dyDescent="0.25">
      <c r="B2491" s="4" t="str">
        <f>_xlfn.TEXTJOIN(,,'Truth Table'!B2491:M2491)</f>
        <v>000111011001</v>
      </c>
    </row>
    <row r="2492" spans="2:2" x14ac:dyDescent="0.25">
      <c r="B2492" s="4" t="str">
        <f>_xlfn.TEXTJOIN(,,'Truth Table'!B2492:M2492)</f>
        <v>100111011001</v>
      </c>
    </row>
    <row r="2493" spans="2:2" x14ac:dyDescent="0.25">
      <c r="B2493" s="4" t="str">
        <f>_xlfn.TEXTJOIN(,,'Truth Table'!B2493:M2493)</f>
        <v>010111011001</v>
      </c>
    </row>
    <row r="2494" spans="2:2" x14ac:dyDescent="0.25">
      <c r="B2494" s="4" t="str">
        <f>_xlfn.TEXTJOIN(,,'Truth Table'!B2494:M2494)</f>
        <v>110111011001</v>
      </c>
    </row>
    <row r="2495" spans="2:2" x14ac:dyDescent="0.25">
      <c r="B2495" s="4" t="str">
        <f>_xlfn.TEXTJOIN(,,'Truth Table'!B2495:M2495)</f>
        <v>001111011001</v>
      </c>
    </row>
    <row r="2496" spans="2:2" x14ac:dyDescent="0.25">
      <c r="B2496" s="4" t="str">
        <f>_xlfn.TEXTJOIN(,,'Truth Table'!B2496:M2496)</f>
        <v>101111011001</v>
      </c>
    </row>
    <row r="2497" spans="2:2" x14ac:dyDescent="0.25">
      <c r="B2497" s="4" t="str">
        <f>_xlfn.TEXTJOIN(,,'Truth Table'!B2497:M2497)</f>
        <v>011111011001</v>
      </c>
    </row>
    <row r="2498" spans="2:2" x14ac:dyDescent="0.25">
      <c r="B2498" s="4" t="str">
        <f>_xlfn.TEXTJOIN(,,'Truth Table'!B2498:M2498)</f>
        <v>111111011001</v>
      </c>
    </row>
    <row r="2499" spans="2:2" x14ac:dyDescent="0.25">
      <c r="B2499" s="4" t="str">
        <f>_xlfn.TEXTJOIN(,,'Truth Table'!B2499:M2499)</f>
        <v>000000111001</v>
      </c>
    </row>
    <row r="2500" spans="2:2" x14ac:dyDescent="0.25">
      <c r="B2500" s="4" t="str">
        <f>_xlfn.TEXTJOIN(,,'Truth Table'!B2500:M2500)</f>
        <v>100000111001</v>
      </c>
    </row>
    <row r="2501" spans="2:2" x14ac:dyDescent="0.25">
      <c r="B2501" s="4" t="str">
        <f>_xlfn.TEXTJOIN(,,'Truth Table'!B2501:M2501)</f>
        <v>010000111001</v>
      </c>
    </row>
    <row r="2502" spans="2:2" x14ac:dyDescent="0.25">
      <c r="B2502" s="4" t="str">
        <f>_xlfn.TEXTJOIN(,,'Truth Table'!B2502:M2502)</f>
        <v>110000111001</v>
      </c>
    </row>
    <row r="2503" spans="2:2" x14ac:dyDescent="0.25">
      <c r="B2503" s="4" t="str">
        <f>_xlfn.TEXTJOIN(,,'Truth Table'!B2503:M2503)</f>
        <v>001000111001</v>
      </c>
    </row>
    <row r="2504" spans="2:2" x14ac:dyDescent="0.25">
      <c r="B2504" s="4" t="str">
        <f>_xlfn.TEXTJOIN(,,'Truth Table'!B2504:M2504)</f>
        <v>101000111001</v>
      </c>
    </row>
    <row r="2505" spans="2:2" x14ac:dyDescent="0.25">
      <c r="B2505" s="4" t="str">
        <f>_xlfn.TEXTJOIN(,,'Truth Table'!B2505:M2505)</f>
        <v>011000111001</v>
      </c>
    </row>
    <row r="2506" spans="2:2" x14ac:dyDescent="0.25">
      <c r="B2506" s="4" t="str">
        <f>_xlfn.TEXTJOIN(,,'Truth Table'!B2506:M2506)</f>
        <v>111000111001</v>
      </c>
    </row>
    <row r="2507" spans="2:2" x14ac:dyDescent="0.25">
      <c r="B2507" s="4" t="str">
        <f>_xlfn.TEXTJOIN(,,'Truth Table'!B2507:M2507)</f>
        <v>000100111001</v>
      </c>
    </row>
    <row r="2508" spans="2:2" x14ac:dyDescent="0.25">
      <c r="B2508" s="4" t="str">
        <f>_xlfn.TEXTJOIN(,,'Truth Table'!B2508:M2508)</f>
        <v>100100111001</v>
      </c>
    </row>
    <row r="2509" spans="2:2" x14ac:dyDescent="0.25">
      <c r="B2509" s="4" t="str">
        <f>_xlfn.TEXTJOIN(,,'Truth Table'!B2509:M2509)</f>
        <v>010100111001</v>
      </c>
    </row>
    <row r="2510" spans="2:2" x14ac:dyDescent="0.25">
      <c r="B2510" s="4" t="str">
        <f>_xlfn.TEXTJOIN(,,'Truth Table'!B2510:M2510)</f>
        <v>110100111001</v>
      </c>
    </row>
    <row r="2511" spans="2:2" x14ac:dyDescent="0.25">
      <c r="B2511" s="4" t="str">
        <f>_xlfn.TEXTJOIN(,,'Truth Table'!B2511:M2511)</f>
        <v>001100111001</v>
      </c>
    </row>
    <row r="2512" spans="2:2" x14ac:dyDescent="0.25">
      <c r="B2512" s="4" t="str">
        <f>_xlfn.TEXTJOIN(,,'Truth Table'!B2512:M2512)</f>
        <v>101100111001</v>
      </c>
    </row>
    <row r="2513" spans="2:2" x14ac:dyDescent="0.25">
      <c r="B2513" s="4" t="str">
        <f>_xlfn.TEXTJOIN(,,'Truth Table'!B2513:M2513)</f>
        <v>011100111001</v>
      </c>
    </row>
    <row r="2514" spans="2:2" x14ac:dyDescent="0.25">
      <c r="B2514" s="4" t="str">
        <f>_xlfn.TEXTJOIN(,,'Truth Table'!B2514:M2514)</f>
        <v>111100111001</v>
      </c>
    </row>
    <row r="2515" spans="2:2" x14ac:dyDescent="0.25">
      <c r="B2515" s="4" t="str">
        <f>_xlfn.TEXTJOIN(,,'Truth Table'!B2515:M2515)</f>
        <v>000010111001</v>
      </c>
    </row>
    <row r="2516" spans="2:2" x14ac:dyDescent="0.25">
      <c r="B2516" s="4" t="str">
        <f>_xlfn.TEXTJOIN(,,'Truth Table'!B2516:M2516)</f>
        <v>100010111001</v>
      </c>
    </row>
    <row r="2517" spans="2:2" x14ac:dyDescent="0.25">
      <c r="B2517" s="4" t="str">
        <f>_xlfn.TEXTJOIN(,,'Truth Table'!B2517:M2517)</f>
        <v>010010111001</v>
      </c>
    </row>
    <row r="2518" spans="2:2" x14ac:dyDescent="0.25">
      <c r="B2518" s="4" t="str">
        <f>_xlfn.TEXTJOIN(,,'Truth Table'!B2518:M2518)</f>
        <v>110010111001</v>
      </c>
    </row>
    <row r="2519" spans="2:2" x14ac:dyDescent="0.25">
      <c r="B2519" s="4" t="str">
        <f>_xlfn.TEXTJOIN(,,'Truth Table'!B2519:M2519)</f>
        <v>001010111001</v>
      </c>
    </row>
    <row r="2520" spans="2:2" x14ac:dyDescent="0.25">
      <c r="B2520" s="4" t="str">
        <f>_xlfn.TEXTJOIN(,,'Truth Table'!B2520:M2520)</f>
        <v>101010111001</v>
      </c>
    </row>
    <row r="2521" spans="2:2" x14ac:dyDescent="0.25">
      <c r="B2521" s="4" t="str">
        <f>_xlfn.TEXTJOIN(,,'Truth Table'!B2521:M2521)</f>
        <v>011010111001</v>
      </c>
    </row>
    <row r="2522" spans="2:2" x14ac:dyDescent="0.25">
      <c r="B2522" s="4" t="str">
        <f>_xlfn.TEXTJOIN(,,'Truth Table'!B2522:M2522)</f>
        <v>111010111001</v>
      </c>
    </row>
    <row r="2523" spans="2:2" x14ac:dyDescent="0.25">
      <c r="B2523" s="4" t="str">
        <f>_xlfn.TEXTJOIN(,,'Truth Table'!B2523:M2523)</f>
        <v>000110111001</v>
      </c>
    </row>
    <row r="2524" spans="2:2" x14ac:dyDescent="0.25">
      <c r="B2524" s="4" t="str">
        <f>_xlfn.TEXTJOIN(,,'Truth Table'!B2524:M2524)</f>
        <v>100110111001</v>
      </c>
    </row>
    <row r="2525" spans="2:2" x14ac:dyDescent="0.25">
      <c r="B2525" s="4" t="str">
        <f>_xlfn.TEXTJOIN(,,'Truth Table'!B2525:M2525)</f>
        <v>010110111001</v>
      </c>
    </row>
    <row r="2526" spans="2:2" x14ac:dyDescent="0.25">
      <c r="B2526" s="4" t="str">
        <f>_xlfn.TEXTJOIN(,,'Truth Table'!B2526:M2526)</f>
        <v>110110111001</v>
      </c>
    </row>
    <row r="2527" spans="2:2" x14ac:dyDescent="0.25">
      <c r="B2527" s="4" t="str">
        <f>_xlfn.TEXTJOIN(,,'Truth Table'!B2527:M2527)</f>
        <v>001110111001</v>
      </c>
    </row>
    <row r="2528" spans="2:2" x14ac:dyDescent="0.25">
      <c r="B2528" s="4" t="str">
        <f>_xlfn.TEXTJOIN(,,'Truth Table'!B2528:M2528)</f>
        <v>101110111001</v>
      </c>
    </row>
    <row r="2529" spans="2:2" x14ac:dyDescent="0.25">
      <c r="B2529" s="4" t="str">
        <f>_xlfn.TEXTJOIN(,,'Truth Table'!B2529:M2529)</f>
        <v>011110111001</v>
      </c>
    </row>
    <row r="2530" spans="2:2" x14ac:dyDescent="0.25">
      <c r="B2530" s="4" t="str">
        <f>_xlfn.TEXTJOIN(,,'Truth Table'!B2530:M2530)</f>
        <v>111110111001</v>
      </c>
    </row>
    <row r="2531" spans="2:2" x14ac:dyDescent="0.25">
      <c r="B2531" s="4" t="str">
        <f>_xlfn.TEXTJOIN(,,'Truth Table'!B2531:M2531)</f>
        <v>000001111001</v>
      </c>
    </row>
    <row r="2532" spans="2:2" x14ac:dyDescent="0.25">
      <c r="B2532" s="4" t="str">
        <f>_xlfn.TEXTJOIN(,,'Truth Table'!B2532:M2532)</f>
        <v>100001111001</v>
      </c>
    </row>
    <row r="2533" spans="2:2" x14ac:dyDescent="0.25">
      <c r="B2533" s="4" t="str">
        <f>_xlfn.TEXTJOIN(,,'Truth Table'!B2533:M2533)</f>
        <v>010001111001</v>
      </c>
    </row>
    <row r="2534" spans="2:2" x14ac:dyDescent="0.25">
      <c r="B2534" s="4" t="str">
        <f>_xlfn.TEXTJOIN(,,'Truth Table'!B2534:M2534)</f>
        <v>110001111001</v>
      </c>
    </row>
    <row r="2535" spans="2:2" x14ac:dyDescent="0.25">
      <c r="B2535" s="4" t="str">
        <f>_xlfn.TEXTJOIN(,,'Truth Table'!B2535:M2535)</f>
        <v>001001111001</v>
      </c>
    </row>
    <row r="2536" spans="2:2" x14ac:dyDescent="0.25">
      <c r="B2536" s="4" t="str">
        <f>_xlfn.TEXTJOIN(,,'Truth Table'!B2536:M2536)</f>
        <v>101001111001</v>
      </c>
    </row>
    <row r="2537" spans="2:2" x14ac:dyDescent="0.25">
      <c r="B2537" s="4" t="str">
        <f>_xlfn.TEXTJOIN(,,'Truth Table'!B2537:M2537)</f>
        <v>011001111001</v>
      </c>
    </row>
    <row r="2538" spans="2:2" x14ac:dyDescent="0.25">
      <c r="B2538" s="4" t="str">
        <f>_xlfn.TEXTJOIN(,,'Truth Table'!B2538:M2538)</f>
        <v>111001111001</v>
      </c>
    </row>
    <row r="2539" spans="2:2" x14ac:dyDescent="0.25">
      <c r="B2539" s="4" t="str">
        <f>_xlfn.TEXTJOIN(,,'Truth Table'!B2539:M2539)</f>
        <v>000101111001</v>
      </c>
    </row>
    <row r="2540" spans="2:2" x14ac:dyDescent="0.25">
      <c r="B2540" s="4" t="str">
        <f>_xlfn.TEXTJOIN(,,'Truth Table'!B2540:M2540)</f>
        <v>100101111001</v>
      </c>
    </row>
    <row r="2541" spans="2:2" x14ac:dyDescent="0.25">
      <c r="B2541" s="4" t="str">
        <f>_xlfn.TEXTJOIN(,,'Truth Table'!B2541:M2541)</f>
        <v>010101111001</v>
      </c>
    </row>
    <row r="2542" spans="2:2" x14ac:dyDescent="0.25">
      <c r="B2542" s="4" t="str">
        <f>_xlfn.TEXTJOIN(,,'Truth Table'!B2542:M2542)</f>
        <v>110101111001</v>
      </c>
    </row>
    <row r="2543" spans="2:2" x14ac:dyDescent="0.25">
      <c r="B2543" s="4" t="str">
        <f>_xlfn.TEXTJOIN(,,'Truth Table'!B2543:M2543)</f>
        <v>001101111001</v>
      </c>
    </row>
    <row r="2544" spans="2:2" x14ac:dyDescent="0.25">
      <c r="B2544" s="4" t="str">
        <f>_xlfn.TEXTJOIN(,,'Truth Table'!B2544:M2544)</f>
        <v>101101111001</v>
      </c>
    </row>
    <row r="2545" spans="2:2" x14ac:dyDescent="0.25">
      <c r="B2545" s="4" t="str">
        <f>_xlfn.TEXTJOIN(,,'Truth Table'!B2545:M2545)</f>
        <v>011101111001</v>
      </c>
    </row>
    <row r="2546" spans="2:2" x14ac:dyDescent="0.25">
      <c r="B2546" s="4" t="str">
        <f>_xlfn.TEXTJOIN(,,'Truth Table'!B2546:M2546)</f>
        <v>111101111001</v>
      </c>
    </row>
    <row r="2547" spans="2:2" x14ac:dyDescent="0.25">
      <c r="B2547" s="4" t="str">
        <f>_xlfn.TEXTJOIN(,,'Truth Table'!B2547:M2547)</f>
        <v>000011111001</v>
      </c>
    </row>
    <row r="2548" spans="2:2" x14ac:dyDescent="0.25">
      <c r="B2548" s="4" t="str">
        <f>_xlfn.TEXTJOIN(,,'Truth Table'!B2548:M2548)</f>
        <v>100011111001</v>
      </c>
    </row>
    <row r="2549" spans="2:2" x14ac:dyDescent="0.25">
      <c r="B2549" s="4" t="str">
        <f>_xlfn.TEXTJOIN(,,'Truth Table'!B2549:M2549)</f>
        <v>010011111001</v>
      </c>
    </row>
    <row r="2550" spans="2:2" x14ac:dyDescent="0.25">
      <c r="B2550" s="4" t="str">
        <f>_xlfn.TEXTJOIN(,,'Truth Table'!B2550:M2550)</f>
        <v>110011111001</v>
      </c>
    </row>
    <row r="2551" spans="2:2" x14ac:dyDescent="0.25">
      <c r="B2551" s="4" t="str">
        <f>_xlfn.TEXTJOIN(,,'Truth Table'!B2551:M2551)</f>
        <v>001011111001</v>
      </c>
    </row>
    <row r="2552" spans="2:2" x14ac:dyDescent="0.25">
      <c r="B2552" s="4" t="str">
        <f>_xlfn.TEXTJOIN(,,'Truth Table'!B2552:M2552)</f>
        <v>101011111001</v>
      </c>
    </row>
    <row r="2553" spans="2:2" x14ac:dyDescent="0.25">
      <c r="B2553" s="4" t="str">
        <f>_xlfn.TEXTJOIN(,,'Truth Table'!B2553:M2553)</f>
        <v>011011111001</v>
      </c>
    </row>
    <row r="2554" spans="2:2" x14ac:dyDescent="0.25">
      <c r="B2554" s="4" t="str">
        <f>_xlfn.TEXTJOIN(,,'Truth Table'!B2554:M2554)</f>
        <v>111011111001</v>
      </c>
    </row>
    <row r="2555" spans="2:2" x14ac:dyDescent="0.25">
      <c r="B2555" s="4" t="str">
        <f>_xlfn.TEXTJOIN(,,'Truth Table'!B2555:M2555)</f>
        <v>000111111001</v>
      </c>
    </row>
    <row r="2556" spans="2:2" x14ac:dyDescent="0.25">
      <c r="B2556" s="4" t="str">
        <f>_xlfn.TEXTJOIN(,,'Truth Table'!B2556:M2556)</f>
        <v>100111111001</v>
      </c>
    </row>
    <row r="2557" spans="2:2" x14ac:dyDescent="0.25">
      <c r="B2557" s="4" t="str">
        <f>_xlfn.TEXTJOIN(,,'Truth Table'!B2557:M2557)</f>
        <v>010111111001</v>
      </c>
    </row>
    <row r="2558" spans="2:2" x14ac:dyDescent="0.25">
      <c r="B2558" s="4" t="str">
        <f>_xlfn.TEXTJOIN(,,'Truth Table'!B2558:M2558)</f>
        <v>110111111001</v>
      </c>
    </row>
    <row r="2559" spans="2:2" x14ac:dyDescent="0.25">
      <c r="B2559" s="4" t="str">
        <f>_xlfn.TEXTJOIN(,,'Truth Table'!B2559:M2559)</f>
        <v>001111111001</v>
      </c>
    </row>
    <row r="2560" spans="2:2" x14ac:dyDescent="0.25">
      <c r="B2560" s="4" t="str">
        <f>_xlfn.TEXTJOIN(,,'Truth Table'!B2560:M2560)</f>
        <v>101111111001</v>
      </c>
    </row>
    <row r="2561" spans="2:2" x14ac:dyDescent="0.25">
      <c r="B2561" s="4" t="str">
        <f>_xlfn.TEXTJOIN(,,'Truth Table'!B2561:M2561)</f>
        <v>011111111001</v>
      </c>
    </row>
    <row r="2562" spans="2:2" x14ac:dyDescent="0.25">
      <c r="B2562" s="4" t="str">
        <f>_xlfn.TEXTJOIN(,,'Truth Table'!B2562:M2562)</f>
        <v>111111111001</v>
      </c>
    </row>
    <row r="2563" spans="2:2" x14ac:dyDescent="0.25">
      <c r="B2563" s="4" t="str">
        <f>_xlfn.TEXTJOIN(,,'Truth Table'!B2563:M2563)</f>
        <v>000000000101</v>
      </c>
    </row>
    <row r="2564" spans="2:2" x14ac:dyDescent="0.25">
      <c r="B2564" s="4" t="str">
        <f>_xlfn.TEXTJOIN(,,'Truth Table'!B2564:M2564)</f>
        <v>100000000101</v>
      </c>
    </row>
    <row r="2565" spans="2:2" x14ac:dyDescent="0.25">
      <c r="B2565" s="4" t="str">
        <f>_xlfn.TEXTJOIN(,,'Truth Table'!B2565:M2565)</f>
        <v>010000000101</v>
      </c>
    </row>
    <row r="2566" spans="2:2" x14ac:dyDescent="0.25">
      <c r="B2566" s="4" t="str">
        <f>_xlfn.TEXTJOIN(,,'Truth Table'!B2566:M2566)</f>
        <v>110000000101</v>
      </c>
    </row>
    <row r="2567" spans="2:2" x14ac:dyDescent="0.25">
      <c r="B2567" s="4" t="str">
        <f>_xlfn.TEXTJOIN(,,'Truth Table'!B2567:M2567)</f>
        <v>001000000101</v>
      </c>
    </row>
    <row r="2568" spans="2:2" x14ac:dyDescent="0.25">
      <c r="B2568" s="4" t="str">
        <f>_xlfn.TEXTJOIN(,,'Truth Table'!B2568:M2568)</f>
        <v>101000000101</v>
      </c>
    </row>
    <row r="2569" spans="2:2" x14ac:dyDescent="0.25">
      <c r="B2569" s="4" t="str">
        <f>_xlfn.TEXTJOIN(,,'Truth Table'!B2569:M2569)</f>
        <v>011000000101</v>
      </c>
    </row>
    <row r="2570" spans="2:2" x14ac:dyDescent="0.25">
      <c r="B2570" s="4" t="str">
        <f>_xlfn.TEXTJOIN(,,'Truth Table'!B2570:M2570)</f>
        <v>111000000101</v>
      </c>
    </row>
    <row r="2571" spans="2:2" x14ac:dyDescent="0.25">
      <c r="B2571" s="4" t="str">
        <f>_xlfn.TEXTJOIN(,,'Truth Table'!B2571:M2571)</f>
        <v>000100000101</v>
      </c>
    </row>
    <row r="2572" spans="2:2" x14ac:dyDescent="0.25">
      <c r="B2572" s="4" t="str">
        <f>_xlfn.TEXTJOIN(,,'Truth Table'!B2572:M2572)</f>
        <v>100100000101</v>
      </c>
    </row>
    <row r="2573" spans="2:2" x14ac:dyDescent="0.25">
      <c r="B2573" s="4" t="str">
        <f>_xlfn.TEXTJOIN(,,'Truth Table'!B2573:M2573)</f>
        <v>010100000101</v>
      </c>
    </row>
    <row r="2574" spans="2:2" x14ac:dyDescent="0.25">
      <c r="B2574" s="4" t="str">
        <f>_xlfn.TEXTJOIN(,,'Truth Table'!B2574:M2574)</f>
        <v>110100000101</v>
      </c>
    </row>
    <row r="2575" spans="2:2" x14ac:dyDescent="0.25">
      <c r="B2575" s="4" t="str">
        <f>_xlfn.TEXTJOIN(,,'Truth Table'!B2575:M2575)</f>
        <v>001100000101</v>
      </c>
    </row>
    <row r="2576" spans="2:2" x14ac:dyDescent="0.25">
      <c r="B2576" s="4" t="str">
        <f>_xlfn.TEXTJOIN(,,'Truth Table'!B2576:M2576)</f>
        <v>101100000101</v>
      </c>
    </row>
    <row r="2577" spans="2:2" x14ac:dyDescent="0.25">
      <c r="B2577" s="4" t="str">
        <f>_xlfn.TEXTJOIN(,,'Truth Table'!B2577:M2577)</f>
        <v>011100000101</v>
      </c>
    </row>
    <row r="2578" spans="2:2" x14ac:dyDescent="0.25">
      <c r="B2578" s="4" t="str">
        <f>_xlfn.TEXTJOIN(,,'Truth Table'!B2578:M2578)</f>
        <v>111100000101</v>
      </c>
    </row>
    <row r="2579" spans="2:2" x14ac:dyDescent="0.25">
      <c r="B2579" s="4" t="str">
        <f>_xlfn.TEXTJOIN(,,'Truth Table'!B2579:M2579)</f>
        <v>000010000101</v>
      </c>
    </row>
    <row r="2580" spans="2:2" x14ac:dyDescent="0.25">
      <c r="B2580" s="4" t="str">
        <f>_xlfn.TEXTJOIN(,,'Truth Table'!B2580:M2580)</f>
        <v>100010000101</v>
      </c>
    </row>
    <row r="2581" spans="2:2" x14ac:dyDescent="0.25">
      <c r="B2581" s="4" t="str">
        <f>_xlfn.TEXTJOIN(,,'Truth Table'!B2581:M2581)</f>
        <v>010010000101</v>
      </c>
    </row>
    <row r="2582" spans="2:2" x14ac:dyDescent="0.25">
      <c r="B2582" s="4" t="str">
        <f>_xlfn.TEXTJOIN(,,'Truth Table'!B2582:M2582)</f>
        <v>110010000101</v>
      </c>
    </row>
    <row r="2583" spans="2:2" x14ac:dyDescent="0.25">
      <c r="B2583" s="4" t="str">
        <f>_xlfn.TEXTJOIN(,,'Truth Table'!B2583:M2583)</f>
        <v>001010000101</v>
      </c>
    </row>
    <row r="2584" spans="2:2" x14ac:dyDescent="0.25">
      <c r="B2584" s="4" t="str">
        <f>_xlfn.TEXTJOIN(,,'Truth Table'!B2584:M2584)</f>
        <v>101010000101</v>
      </c>
    </row>
    <row r="2585" spans="2:2" x14ac:dyDescent="0.25">
      <c r="B2585" s="4" t="str">
        <f>_xlfn.TEXTJOIN(,,'Truth Table'!B2585:M2585)</f>
        <v>011010000101</v>
      </c>
    </row>
    <row r="2586" spans="2:2" x14ac:dyDescent="0.25">
      <c r="B2586" s="4" t="str">
        <f>_xlfn.TEXTJOIN(,,'Truth Table'!B2586:M2586)</f>
        <v>111010000101</v>
      </c>
    </row>
    <row r="2587" spans="2:2" x14ac:dyDescent="0.25">
      <c r="B2587" s="4" t="str">
        <f>_xlfn.TEXTJOIN(,,'Truth Table'!B2587:M2587)</f>
        <v>000110000101</v>
      </c>
    </row>
    <row r="2588" spans="2:2" x14ac:dyDescent="0.25">
      <c r="B2588" s="4" t="str">
        <f>_xlfn.TEXTJOIN(,,'Truth Table'!B2588:M2588)</f>
        <v>100110000101</v>
      </c>
    </row>
    <row r="2589" spans="2:2" x14ac:dyDescent="0.25">
      <c r="B2589" s="4" t="str">
        <f>_xlfn.TEXTJOIN(,,'Truth Table'!B2589:M2589)</f>
        <v>010110000101</v>
      </c>
    </row>
    <row r="2590" spans="2:2" x14ac:dyDescent="0.25">
      <c r="B2590" s="4" t="str">
        <f>_xlfn.TEXTJOIN(,,'Truth Table'!B2590:M2590)</f>
        <v>110110000101</v>
      </c>
    </row>
    <row r="2591" spans="2:2" x14ac:dyDescent="0.25">
      <c r="B2591" s="4" t="str">
        <f>_xlfn.TEXTJOIN(,,'Truth Table'!B2591:M2591)</f>
        <v>001110000101</v>
      </c>
    </row>
    <row r="2592" spans="2:2" x14ac:dyDescent="0.25">
      <c r="B2592" s="4" t="str">
        <f>_xlfn.TEXTJOIN(,,'Truth Table'!B2592:M2592)</f>
        <v>101110000101</v>
      </c>
    </row>
    <row r="2593" spans="2:2" x14ac:dyDescent="0.25">
      <c r="B2593" s="4" t="str">
        <f>_xlfn.TEXTJOIN(,,'Truth Table'!B2593:M2593)</f>
        <v>011110000101</v>
      </c>
    </row>
    <row r="2594" spans="2:2" x14ac:dyDescent="0.25">
      <c r="B2594" s="4" t="str">
        <f>_xlfn.TEXTJOIN(,,'Truth Table'!B2594:M2594)</f>
        <v>111110000101</v>
      </c>
    </row>
    <row r="2595" spans="2:2" x14ac:dyDescent="0.25">
      <c r="B2595" s="4" t="str">
        <f>_xlfn.TEXTJOIN(,,'Truth Table'!B2595:M2595)</f>
        <v>000001000101</v>
      </c>
    </row>
    <row r="2596" spans="2:2" x14ac:dyDescent="0.25">
      <c r="B2596" s="4" t="str">
        <f>_xlfn.TEXTJOIN(,,'Truth Table'!B2596:M2596)</f>
        <v>100001000101</v>
      </c>
    </row>
    <row r="2597" spans="2:2" x14ac:dyDescent="0.25">
      <c r="B2597" s="4" t="str">
        <f>_xlfn.TEXTJOIN(,,'Truth Table'!B2597:M2597)</f>
        <v>010001000101</v>
      </c>
    </row>
    <row r="2598" spans="2:2" x14ac:dyDescent="0.25">
      <c r="B2598" s="4" t="str">
        <f>_xlfn.TEXTJOIN(,,'Truth Table'!B2598:M2598)</f>
        <v>110001000101</v>
      </c>
    </row>
    <row r="2599" spans="2:2" x14ac:dyDescent="0.25">
      <c r="B2599" s="4" t="str">
        <f>_xlfn.TEXTJOIN(,,'Truth Table'!B2599:M2599)</f>
        <v>001001000101</v>
      </c>
    </row>
    <row r="2600" spans="2:2" x14ac:dyDescent="0.25">
      <c r="B2600" s="4" t="str">
        <f>_xlfn.TEXTJOIN(,,'Truth Table'!B2600:M2600)</f>
        <v>101001000101</v>
      </c>
    </row>
    <row r="2601" spans="2:2" x14ac:dyDescent="0.25">
      <c r="B2601" s="4" t="str">
        <f>_xlfn.TEXTJOIN(,,'Truth Table'!B2601:M2601)</f>
        <v>011001000101</v>
      </c>
    </row>
    <row r="2602" spans="2:2" x14ac:dyDescent="0.25">
      <c r="B2602" s="4" t="str">
        <f>_xlfn.TEXTJOIN(,,'Truth Table'!B2602:M2602)</f>
        <v>111001000101</v>
      </c>
    </row>
    <row r="2603" spans="2:2" x14ac:dyDescent="0.25">
      <c r="B2603" s="4" t="str">
        <f>_xlfn.TEXTJOIN(,,'Truth Table'!B2603:M2603)</f>
        <v>000101000101</v>
      </c>
    </row>
    <row r="2604" spans="2:2" x14ac:dyDescent="0.25">
      <c r="B2604" s="4" t="str">
        <f>_xlfn.TEXTJOIN(,,'Truth Table'!B2604:M2604)</f>
        <v>100101000101</v>
      </c>
    </row>
    <row r="2605" spans="2:2" x14ac:dyDescent="0.25">
      <c r="B2605" s="4" t="str">
        <f>_xlfn.TEXTJOIN(,,'Truth Table'!B2605:M2605)</f>
        <v>010101000101</v>
      </c>
    </row>
    <row r="2606" spans="2:2" x14ac:dyDescent="0.25">
      <c r="B2606" s="4" t="str">
        <f>_xlfn.TEXTJOIN(,,'Truth Table'!B2606:M2606)</f>
        <v>110101000101</v>
      </c>
    </row>
    <row r="2607" spans="2:2" x14ac:dyDescent="0.25">
      <c r="B2607" s="4" t="str">
        <f>_xlfn.TEXTJOIN(,,'Truth Table'!B2607:M2607)</f>
        <v>001101000101</v>
      </c>
    </row>
    <row r="2608" spans="2:2" x14ac:dyDescent="0.25">
      <c r="B2608" s="4" t="str">
        <f>_xlfn.TEXTJOIN(,,'Truth Table'!B2608:M2608)</f>
        <v>101101000101</v>
      </c>
    </row>
    <row r="2609" spans="2:2" x14ac:dyDescent="0.25">
      <c r="B2609" s="4" t="str">
        <f>_xlfn.TEXTJOIN(,,'Truth Table'!B2609:M2609)</f>
        <v>011101000101</v>
      </c>
    </row>
    <row r="2610" spans="2:2" x14ac:dyDescent="0.25">
      <c r="B2610" s="4" t="str">
        <f>_xlfn.TEXTJOIN(,,'Truth Table'!B2610:M2610)</f>
        <v>111101000101</v>
      </c>
    </row>
    <row r="2611" spans="2:2" x14ac:dyDescent="0.25">
      <c r="B2611" s="4" t="str">
        <f>_xlfn.TEXTJOIN(,,'Truth Table'!B2611:M2611)</f>
        <v>000011000101</v>
      </c>
    </row>
    <row r="2612" spans="2:2" x14ac:dyDescent="0.25">
      <c r="B2612" s="4" t="str">
        <f>_xlfn.TEXTJOIN(,,'Truth Table'!B2612:M2612)</f>
        <v>100011000101</v>
      </c>
    </row>
    <row r="2613" spans="2:2" x14ac:dyDescent="0.25">
      <c r="B2613" s="4" t="str">
        <f>_xlfn.TEXTJOIN(,,'Truth Table'!B2613:M2613)</f>
        <v>010011000101</v>
      </c>
    </row>
    <row r="2614" spans="2:2" x14ac:dyDescent="0.25">
      <c r="B2614" s="4" t="str">
        <f>_xlfn.TEXTJOIN(,,'Truth Table'!B2614:M2614)</f>
        <v>110011000101</v>
      </c>
    </row>
    <row r="2615" spans="2:2" x14ac:dyDescent="0.25">
      <c r="B2615" s="4" t="str">
        <f>_xlfn.TEXTJOIN(,,'Truth Table'!B2615:M2615)</f>
        <v>001011000101</v>
      </c>
    </row>
    <row r="2616" spans="2:2" x14ac:dyDescent="0.25">
      <c r="B2616" s="4" t="str">
        <f>_xlfn.TEXTJOIN(,,'Truth Table'!B2616:M2616)</f>
        <v>101011000101</v>
      </c>
    </row>
    <row r="2617" spans="2:2" x14ac:dyDescent="0.25">
      <c r="B2617" s="4" t="str">
        <f>_xlfn.TEXTJOIN(,,'Truth Table'!B2617:M2617)</f>
        <v>011011000101</v>
      </c>
    </row>
    <row r="2618" spans="2:2" x14ac:dyDescent="0.25">
      <c r="B2618" s="4" t="str">
        <f>_xlfn.TEXTJOIN(,,'Truth Table'!B2618:M2618)</f>
        <v>111011000101</v>
      </c>
    </row>
    <row r="2619" spans="2:2" x14ac:dyDescent="0.25">
      <c r="B2619" s="4" t="str">
        <f>_xlfn.TEXTJOIN(,,'Truth Table'!B2619:M2619)</f>
        <v>000111000101</v>
      </c>
    </row>
    <row r="2620" spans="2:2" x14ac:dyDescent="0.25">
      <c r="B2620" s="4" t="str">
        <f>_xlfn.TEXTJOIN(,,'Truth Table'!B2620:M2620)</f>
        <v>100111000101</v>
      </c>
    </row>
    <row r="2621" spans="2:2" x14ac:dyDescent="0.25">
      <c r="B2621" s="4" t="str">
        <f>_xlfn.TEXTJOIN(,,'Truth Table'!B2621:M2621)</f>
        <v>010111000101</v>
      </c>
    </row>
    <row r="2622" spans="2:2" x14ac:dyDescent="0.25">
      <c r="B2622" s="4" t="str">
        <f>_xlfn.TEXTJOIN(,,'Truth Table'!B2622:M2622)</f>
        <v>110111000101</v>
      </c>
    </row>
    <row r="2623" spans="2:2" x14ac:dyDescent="0.25">
      <c r="B2623" s="4" t="str">
        <f>_xlfn.TEXTJOIN(,,'Truth Table'!B2623:M2623)</f>
        <v>001111000101</v>
      </c>
    </row>
    <row r="2624" spans="2:2" x14ac:dyDescent="0.25">
      <c r="B2624" s="4" t="str">
        <f>_xlfn.TEXTJOIN(,,'Truth Table'!B2624:M2624)</f>
        <v>101111000101</v>
      </c>
    </row>
    <row r="2625" spans="2:2" x14ac:dyDescent="0.25">
      <c r="B2625" s="4" t="str">
        <f>_xlfn.TEXTJOIN(,,'Truth Table'!B2625:M2625)</f>
        <v>011111000101</v>
      </c>
    </row>
    <row r="2626" spans="2:2" x14ac:dyDescent="0.25">
      <c r="B2626" s="4" t="str">
        <f>_xlfn.TEXTJOIN(,,'Truth Table'!B2626:M2626)</f>
        <v>111111000101</v>
      </c>
    </row>
    <row r="2627" spans="2:2" x14ac:dyDescent="0.25">
      <c r="B2627" s="4" t="str">
        <f>_xlfn.TEXTJOIN(,,'Truth Table'!B2627:M2627)</f>
        <v>000000100101</v>
      </c>
    </row>
    <row r="2628" spans="2:2" x14ac:dyDescent="0.25">
      <c r="B2628" s="4" t="str">
        <f>_xlfn.TEXTJOIN(,,'Truth Table'!B2628:M2628)</f>
        <v>100000100101</v>
      </c>
    </row>
    <row r="2629" spans="2:2" x14ac:dyDescent="0.25">
      <c r="B2629" s="4" t="str">
        <f>_xlfn.TEXTJOIN(,,'Truth Table'!B2629:M2629)</f>
        <v>010000100101</v>
      </c>
    </row>
    <row r="2630" spans="2:2" x14ac:dyDescent="0.25">
      <c r="B2630" s="4" t="str">
        <f>_xlfn.TEXTJOIN(,,'Truth Table'!B2630:M2630)</f>
        <v>110000100101</v>
      </c>
    </row>
    <row r="2631" spans="2:2" x14ac:dyDescent="0.25">
      <c r="B2631" s="4" t="str">
        <f>_xlfn.TEXTJOIN(,,'Truth Table'!B2631:M2631)</f>
        <v>001000100101</v>
      </c>
    </row>
    <row r="2632" spans="2:2" x14ac:dyDescent="0.25">
      <c r="B2632" s="4" t="str">
        <f>_xlfn.TEXTJOIN(,,'Truth Table'!B2632:M2632)</f>
        <v>101000100101</v>
      </c>
    </row>
    <row r="2633" spans="2:2" x14ac:dyDescent="0.25">
      <c r="B2633" s="4" t="str">
        <f>_xlfn.TEXTJOIN(,,'Truth Table'!B2633:M2633)</f>
        <v>011000100101</v>
      </c>
    </row>
    <row r="2634" spans="2:2" x14ac:dyDescent="0.25">
      <c r="B2634" s="4" t="str">
        <f>_xlfn.TEXTJOIN(,,'Truth Table'!B2634:M2634)</f>
        <v>111000100101</v>
      </c>
    </row>
    <row r="2635" spans="2:2" x14ac:dyDescent="0.25">
      <c r="B2635" s="4" t="str">
        <f>_xlfn.TEXTJOIN(,,'Truth Table'!B2635:M2635)</f>
        <v>000100100101</v>
      </c>
    </row>
    <row r="2636" spans="2:2" x14ac:dyDescent="0.25">
      <c r="B2636" s="4" t="str">
        <f>_xlfn.TEXTJOIN(,,'Truth Table'!B2636:M2636)</f>
        <v>100100100101</v>
      </c>
    </row>
    <row r="2637" spans="2:2" x14ac:dyDescent="0.25">
      <c r="B2637" s="4" t="str">
        <f>_xlfn.TEXTJOIN(,,'Truth Table'!B2637:M2637)</f>
        <v>010100100101</v>
      </c>
    </row>
    <row r="2638" spans="2:2" x14ac:dyDescent="0.25">
      <c r="B2638" s="4" t="str">
        <f>_xlfn.TEXTJOIN(,,'Truth Table'!B2638:M2638)</f>
        <v>110100100101</v>
      </c>
    </row>
    <row r="2639" spans="2:2" x14ac:dyDescent="0.25">
      <c r="B2639" s="4" t="str">
        <f>_xlfn.TEXTJOIN(,,'Truth Table'!B2639:M2639)</f>
        <v>001100100101</v>
      </c>
    </row>
    <row r="2640" spans="2:2" x14ac:dyDescent="0.25">
      <c r="B2640" s="4" t="str">
        <f>_xlfn.TEXTJOIN(,,'Truth Table'!B2640:M2640)</f>
        <v>101100100101</v>
      </c>
    </row>
    <row r="2641" spans="2:2" x14ac:dyDescent="0.25">
      <c r="B2641" s="4" t="str">
        <f>_xlfn.TEXTJOIN(,,'Truth Table'!B2641:M2641)</f>
        <v>011100100101</v>
      </c>
    </row>
    <row r="2642" spans="2:2" x14ac:dyDescent="0.25">
      <c r="B2642" s="4" t="str">
        <f>_xlfn.TEXTJOIN(,,'Truth Table'!B2642:M2642)</f>
        <v>111100100101</v>
      </c>
    </row>
    <row r="2643" spans="2:2" x14ac:dyDescent="0.25">
      <c r="B2643" s="4" t="str">
        <f>_xlfn.TEXTJOIN(,,'Truth Table'!B2643:M2643)</f>
        <v>000010100101</v>
      </c>
    </row>
    <row r="2644" spans="2:2" x14ac:dyDescent="0.25">
      <c r="B2644" s="4" t="str">
        <f>_xlfn.TEXTJOIN(,,'Truth Table'!B2644:M2644)</f>
        <v>100010100101</v>
      </c>
    </row>
    <row r="2645" spans="2:2" x14ac:dyDescent="0.25">
      <c r="B2645" s="4" t="str">
        <f>_xlfn.TEXTJOIN(,,'Truth Table'!B2645:M2645)</f>
        <v>010010100101</v>
      </c>
    </row>
    <row r="2646" spans="2:2" x14ac:dyDescent="0.25">
      <c r="B2646" s="4" t="str">
        <f>_xlfn.TEXTJOIN(,,'Truth Table'!B2646:M2646)</f>
        <v>110010100101</v>
      </c>
    </row>
    <row r="2647" spans="2:2" x14ac:dyDescent="0.25">
      <c r="B2647" s="4" t="str">
        <f>_xlfn.TEXTJOIN(,,'Truth Table'!B2647:M2647)</f>
        <v>001010100101</v>
      </c>
    </row>
    <row r="2648" spans="2:2" x14ac:dyDescent="0.25">
      <c r="B2648" s="4" t="str">
        <f>_xlfn.TEXTJOIN(,,'Truth Table'!B2648:M2648)</f>
        <v>101010100101</v>
      </c>
    </row>
    <row r="2649" spans="2:2" x14ac:dyDescent="0.25">
      <c r="B2649" s="4" t="str">
        <f>_xlfn.TEXTJOIN(,,'Truth Table'!B2649:M2649)</f>
        <v>011010100101</v>
      </c>
    </row>
    <row r="2650" spans="2:2" x14ac:dyDescent="0.25">
      <c r="B2650" s="4" t="str">
        <f>_xlfn.TEXTJOIN(,,'Truth Table'!B2650:M2650)</f>
        <v>111010100101</v>
      </c>
    </row>
    <row r="2651" spans="2:2" x14ac:dyDescent="0.25">
      <c r="B2651" s="4" t="str">
        <f>_xlfn.TEXTJOIN(,,'Truth Table'!B2651:M2651)</f>
        <v>000110100101</v>
      </c>
    </row>
    <row r="2652" spans="2:2" x14ac:dyDescent="0.25">
      <c r="B2652" s="4" t="str">
        <f>_xlfn.TEXTJOIN(,,'Truth Table'!B2652:M2652)</f>
        <v>100110100101</v>
      </c>
    </row>
    <row r="2653" spans="2:2" x14ac:dyDescent="0.25">
      <c r="B2653" s="4" t="str">
        <f>_xlfn.TEXTJOIN(,,'Truth Table'!B2653:M2653)</f>
        <v>010110100101</v>
      </c>
    </row>
    <row r="2654" spans="2:2" x14ac:dyDescent="0.25">
      <c r="B2654" s="4" t="str">
        <f>_xlfn.TEXTJOIN(,,'Truth Table'!B2654:M2654)</f>
        <v>110110100101</v>
      </c>
    </row>
    <row r="2655" spans="2:2" x14ac:dyDescent="0.25">
      <c r="B2655" s="4" t="str">
        <f>_xlfn.TEXTJOIN(,,'Truth Table'!B2655:M2655)</f>
        <v>001110100101</v>
      </c>
    </row>
    <row r="2656" spans="2:2" x14ac:dyDescent="0.25">
      <c r="B2656" s="4" t="str">
        <f>_xlfn.TEXTJOIN(,,'Truth Table'!B2656:M2656)</f>
        <v>101110100101</v>
      </c>
    </row>
    <row r="2657" spans="2:2" x14ac:dyDescent="0.25">
      <c r="B2657" s="4" t="str">
        <f>_xlfn.TEXTJOIN(,,'Truth Table'!B2657:M2657)</f>
        <v>011110100101</v>
      </c>
    </row>
    <row r="2658" spans="2:2" x14ac:dyDescent="0.25">
      <c r="B2658" s="4" t="str">
        <f>_xlfn.TEXTJOIN(,,'Truth Table'!B2658:M2658)</f>
        <v>111110100101</v>
      </c>
    </row>
    <row r="2659" spans="2:2" x14ac:dyDescent="0.25">
      <c r="B2659" s="4" t="str">
        <f>_xlfn.TEXTJOIN(,,'Truth Table'!B2659:M2659)</f>
        <v>000001100101</v>
      </c>
    </row>
    <row r="2660" spans="2:2" x14ac:dyDescent="0.25">
      <c r="B2660" s="4" t="str">
        <f>_xlfn.TEXTJOIN(,,'Truth Table'!B2660:M2660)</f>
        <v>100001100101</v>
      </c>
    </row>
    <row r="2661" spans="2:2" x14ac:dyDescent="0.25">
      <c r="B2661" s="4" t="str">
        <f>_xlfn.TEXTJOIN(,,'Truth Table'!B2661:M2661)</f>
        <v>010001100101</v>
      </c>
    </row>
    <row r="2662" spans="2:2" x14ac:dyDescent="0.25">
      <c r="B2662" s="4" t="str">
        <f>_xlfn.TEXTJOIN(,,'Truth Table'!B2662:M2662)</f>
        <v>110001100101</v>
      </c>
    </row>
    <row r="2663" spans="2:2" x14ac:dyDescent="0.25">
      <c r="B2663" s="4" t="str">
        <f>_xlfn.TEXTJOIN(,,'Truth Table'!B2663:M2663)</f>
        <v>001001100101</v>
      </c>
    </row>
    <row r="2664" spans="2:2" x14ac:dyDescent="0.25">
      <c r="B2664" s="4" t="str">
        <f>_xlfn.TEXTJOIN(,,'Truth Table'!B2664:M2664)</f>
        <v>101001100101</v>
      </c>
    </row>
    <row r="2665" spans="2:2" x14ac:dyDescent="0.25">
      <c r="B2665" s="4" t="str">
        <f>_xlfn.TEXTJOIN(,,'Truth Table'!B2665:M2665)</f>
        <v>011001100101</v>
      </c>
    </row>
    <row r="2666" spans="2:2" x14ac:dyDescent="0.25">
      <c r="B2666" s="4" t="str">
        <f>_xlfn.TEXTJOIN(,,'Truth Table'!B2666:M2666)</f>
        <v>111001100101</v>
      </c>
    </row>
    <row r="2667" spans="2:2" x14ac:dyDescent="0.25">
      <c r="B2667" s="4" t="str">
        <f>_xlfn.TEXTJOIN(,,'Truth Table'!B2667:M2667)</f>
        <v>000101100101</v>
      </c>
    </row>
    <row r="2668" spans="2:2" x14ac:dyDescent="0.25">
      <c r="B2668" s="4" t="str">
        <f>_xlfn.TEXTJOIN(,,'Truth Table'!B2668:M2668)</f>
        <v>100101100101</v>
      </c>
    </row>
    <row r="2669" spans="2:2" x14ac:dyDescent="0.25">
      <c r="B2669" s="4" t="str">
        <f>_xlfn.TEXTJOIN(,,'Truth Table'!B2669:M2669)</f>
        <v>010101100101</v>
      </c>
    </row>
    <row r="2670" spans="2:2" x14ac:dyDescent="0.25">
      <c r="B2670" s="4" t="str">
        <f>_xlfn.TEXTJOIN(,,'Truth Table'!B2670:M2670)</f>
        <v>110101100101</v>
      </c>
    </row>
    <row r="2671" spans="2:2" x14ac:dyDescent="0.25">
      <c r="B2671" s="4" t="str">
        <f>_xlfn.TEXTJOIN(,,'Truth Table'!B2671:M2671)</f>
        <v>001101100101</v>
      </c>
    </row>
    <row r="2672" spans="2:2" x14ac:dyDescent="0.25">
      <c r="B2672" s="4" t="str">
        <f>_xlfn.TEXTJOIN(,,'Truth Table'!B2672:M2672)</f>
        <v>101101100101</v>
      </c>
    </row>
    <row r="2673" spans="2:2" x14ac:dyDescent="0.25">
      <c r="B2673" s="4" t="str">
        <f>_xlfn.TEXTJOIN(,,'Truth Table'!B2673:M2673)</f>
        <v>011101100101</v>
      </c>
    </row>
    <row r="2674" spans="2:2" x14ac:dyDescent="0.25">
      <c r="B2674" s="4" t="str">
        <f>_xlfn.TEXTJOIN(,,'Truth Table'!B2674:M2674)</f>
        <v>111101100101</v>
      </c>
    </row>
    <row r="2675" spans="2:2" x14ac:dyDescent="0.25">
      <c r="B2675" s="4" t="str">
        <f>_xlfn.TEXTJOIN(,,'Truth Table'!B2675:M2675)</f>
        <v>000011100101</v>
      </c>
    </row>
    <row r="2676" spans="2:2" x14ac:dyDescent="0.25">
      <c r="B2676" s="4" t="str">
        <f>_xlfn.TEXTJOIN(,,'Truth Table'!B2676:M2676)</f>
        <v>100011100101</v>
      </c>
    </row>
    <row r="2677" spans="2:2" x14ac:dyDescent="0.25">
      <c r="B2677" s="4" t="str">
        <f>_xlfn.TEXTJOIN(,,'Truth Table'!B2677:M2677)</f>
        <v>010011100101</v>
      </c>
    </row>
    <row r="2678" spans="2:2" x14ac:dyDescent="0.25">
      <c r="B2678" s="4" t="str">
        <f>_xlfn.TEXTJOIN(,,'Truth Table'!B2678:M2678)</f>
        <v>110011100101</v>
      </c>
    </row>
    <row r="2679" spans="2:2" x14ac:dyDescent="0.25">
      <c r="B2679" s="4" t="str">
        <f>_xlfn.TEXTJOIN(,,'Truth Table'!B2679:M2679)</f>
        <v>001011100101</v>
      </c>
    </row>
    <row r="2680" spans="2:2" x14ac:dyDescent="0.25">
      <c r="B2680" s="4" t="str">
        <f>_xlfn.TEXTJOIN(,,'Truth Table'!B2680:M2680)</f>
        <v>101011100101</v>
      </c>
    </row>
    <row r="2681" spans="2:2" x14ac:dyDescent="0.25">
      <c r="B2681" s="4" t="str">
        <f>_xlfn.TEXTJOIN(,,'Truth Table'!B2681:M2681)</f>
        <v>011011100101</v>
      </c>
    </row>
    <row r="2682" spans="2:2" x14ac:dyDescent="0.25">
      <c r="B2682" s="4" t="str">
        <f>_xlfn.TEXTJOIN(,,'Truth Table'!B2682:M2682)</f>
        <v>111011100101</v>
      </c>
    </row>
    <row r="2683" spans="2:2" x14ac:dyDescent="0.25">
      <c r="B2683" s="4" t="str">
        <f>_xlfn.TEXTJOIN(,,'Truth Table'!B2683:M2683)</f>
        <v>000111100101</v>
      </c>
    </row>
    <row r="2684" spans="2:2" x14ac:dyDescent="0.25">
      <c r="B2684" s="4" t="str">
        <f>_xlfn.TEXTJOIN(,,'Truth Table'!B2684:M2684)</f>
        <v>100111100101</v>
      </c>
    </row>
    <row r="2685" spans="2:2" x14ac:dyDescent="0.25">
      <c r="B2685" s="4" t="str">
        <f>_xlfn.TEXTJOIN(,,'Truth Table'!B2685:M2685)</f>
        <v>010111100101</v>
      </c>
    </row>
    <row r="2686" spans="2:2" x14ac:dyDescent="0.25">
      <c r="B2686" s="4" t="str">
        <f>_xlfn.TEXTJOIN(,,'Truth Table'!B2686:M2686)</f>
        <v>110111100101</v>
      </c>
    </row>
    <row r="2687" spans="2:2" x14ac:dyDescent="0.25">
      <c r="B2687" s="4" t="str">
        <f>_xlfn.TEXTJOIN(,,'Truth Table'!B2687:M2687)</f>
        <v>001111100101</v>
      </c>
    </row>
    <row r="2688" spans="2:2" x14ac:dyDescent="0.25">
      <c r="B2688" s="4" t="str">
        <f>_xlfn.TEXTJOIN(,,'Truth Table'!B2688:M2688)</f>
        <v>101111100101</v>
      </c>
    </row>
    <row r="2689" spans="2:2" x14ac:dyDescent="0.25">
      <c r="B2689" s="4" t="str">
        <f>_xlfn.TEXTJOIN(,,'Truth Table'!B2689:M2689)</f>
        <v>011111100101</v>
      </c>
    </row>
    <row r="2690" spans="2:2" x14ac:dyDescent="0.25">
      <c r="B2690" s="4" t="str">
        <f>_xlfn.TEXTJOIN(,,'Truth Table'!B2690:M2690)</f>
        <v>111111100101</v>
      </c>
    </row>
    <row r="2691" spans="2:2" x14ac:dyDescent="0.25">
      <c r="B2691" s="4" t="str">
        <f>_xlfn.TEXTJOIN(,,'Truth Table'!B2691:M2691)</f>
        <v>000000010101</v>
      </c>
    </row>
    <row r="2692" spans="2:2" x14ac:dyDescent="0.25">
      <c r="B2692" s="4" t="str">
        <f>_xlfn.TEXTJOIN(,,'Truth Table'!B2692:M2692)</f>
        <v>100000010101</v>
      </c>
    </row>
    <row r="2693" spans="2:2" x14ac:dyDescent="0.25">
      <c r="B2693" s="4" t="str">
        <f>_xlfn.TEXTJOIN(,,'Truth Table'!B2693:M2693)</f>
        <v>010000010101</v>
      </c>
    </row>
    <row r="2694" spans="2:2" x14ac:dyDescent="0.25">
      <c r="B2694" s="4" t="str">
        <f>_xlfn.TEXTJOIN(,,'Truth Table'!B2694:M2694)</f>
        <v>110000010101</v>
      </c>
    </row>
    <row r="2695" spans="2:2" x14ac:dyDescent="0.25">
      <c r="B2695" s="4" t="str">
        <f>_xlfn.TEXTJOIN(,,'Truth Table'!B2695:M2695)</f>
        <v>001000010101</v>
      </c>
    </row>
    <row r="2696" spans="2:2" x14ac:dyDescent="0.25">
      <c r="B2696" s="4" t="str">
        <f>_xlfn.TEXTJOIN(,,'Truth Table'!B2696:M2696)</f>
        <v>101000010101</v>
      </c>
    </row>
    <row r="2697" spans="2:2" x14ac:dyDescent="0.25">
      <c r="B2697" s="4" t="str">
        <f>_xlfn.TEXTJOIN(,,'Truth Table'!B2697:M2697)</f>
        <v>011000010101</v>
      </c>
    </row>
    <row r="2698" spans="2:2" x14ac:dyDescent="0.25">
      <c r="B2698" s="4" t="str">
        <f>_xlfn.TEXTJOIN(,,'Truth Table'!B2698:M2698)</f>
        <v>111000010101</v>
      </c>
    </row>
    <row r="2699" spans="2:2" x14ac:dyDescent="0.25">
      <c r="B2699" s="4" t="str">
        <f>_xlfn.TEXTJOIN(,,'Truth Table'!B2699:M2699)</f>
        <v>000100010101</v>
      </c>
    </row>
    <row r="2700" spans="2:2" x14ac:dyDescent="0.25">
      <c r="B2700" s="4" t="str">
        <f>_xlfn.TEXTJOIN(,,'Truth Table'!B2700:M2700)</f>
        <v>100100010101</v>
      </c>
    </row>
    <row r="2701" spans="2:2" x14ac:dyDescent="0.25">
      <c r="B2701" s="4" t="str">
        <f>_xlfn.TEXTJOIN(,,'Truth Table'!B2701:M2701)</f>
        <v>010100010101</v>
      </c>
    </row>
    <row r="2702" spans="2:2" x14ac:dyDescent="0.25">
      <c r="B2702" s="4" t="str">
        <f>_xlfn.TEXTJOIN(,,'Truth Table'!B2702:M2702)</f>
        <v>110100010101</v>
      </c>
    </row>
    <row r="2703" spans="2:2" x14ac:dyDescent="0.25">
      <c r="B2703" s="4" t="str">
        <f>_xlfn.TEXTJOIN(,,'Truth Table'!B2703:M2703)</f>
        <v>001100010101</v>
      </c>
    </row>
    <row r="2704" spans="2:2" x14ac:dyDescent="0.25">
      <c r="B2704" s="4" t="str">
        <f>_xlfn.TEXTJOIN(,,'Truth Table'!B2704:M2704)</f>
        <v>101100010101</v>
      </c>
    </row>
    <row r="2705" spans="2:2" x14ac:dyDescent="0.25">
      <c r="B2705" s="4" t="str">
        <f>_xlfn.TEXTJOIN(,,'Truth Table'!B2705:M2705)</f>
        <v>011100010101</v>
      </c>
    </row>
    <row r="2706" spans="2:2" x14ac:dyDescent="0.25">
      <c r="B2706" s="4" t="str">
        <f>_xlfn.TEXTJOIN(,,'Truth Table'!B2706:M2706)</f>
        <v>111100010101</v>
      </c>
    </row>
    <row r="2707" spans="2:2" x14ac:dyDescent="0.25">
      <c r="B2707" s="4" t="str">
        <f>_xlfn.TEXTJOIN(,,'Truth Table'!B2707:M2707)</f>
        <v>000010010101</v>
      </c>
    </row>
    <row r="2708" spans="2:2" x14ac:dyDescent="0.25">
      <c r="B2708" s="4" t="str">
        <f>_xlfn.TEXTJOIN(,,'Truth Table'!B2708:M2708)</f>
        <v>100010010101</v>
      </c>
    </row>
    <row r="2709" spans="2:2" x14ac:dyDescent="0.25">
      <c r="B2709" s="4" t="str">
        <f>_xlfn.TEXTJOIN(,,'Truth Table'!B2709:M2709)</f>
        <v>010010010101</v>
      </c>
    </row>
    <row r="2710" spans="2:2" x14ac:dyDescent="0.25">
      <c r="B2710" s="4" t="str">
        <f>_xlfn.TEXTJOIN(,,'Truth Table'!B2710:M2710)</f>
        <v>110010010101</v>
      </c>
    </row>
    <row r="2711" spans="2:2" x14ac:dyDescent="0.25">
      <c r="B2711" s="4" t="str">
        <f>_xlfn.TEXTJOIN(,,'Truth Table'!B2711:M2711)</f>
        <v>001010010101</v>
      </c>
    </row>
    <row r="2712" spans="2:2" x14ac:dyDescent="0.25">
      <c r="B2712" s="4" t="str">
        <f>_xlfn.TEXTJOIN(,,'Truth Table'!B2712:M2712)</f>
        <v>101010010101</v>
      </c>
    </row>
    <row r="2713" spans="2:2" x14ac:dyDescent="0.25">
      <c r="B2713" s="4" t="str">
        <f>_xlfn.TEXTJOIN(,,'Truth Table'!B2713:M2713)</f>
        <v>011010010101</v>
      </c>
    </row>
    <row r="2714" spans="2:2" x14ac:dyDescent="0.25">
      <c r="B2714" s="4" t="str">
        <f>_xlfn.TEXTJOIN(,,'Truth Table'!B2714:M2714)</f>
        <v>111010010101</v>
      </c>
    </row>
    <row r="2715" spans="2:2" x14ac:dyDescent="0.25">
      <c r="B2715" s="4" t="str">
        <f>_xlfn.TEXTJOIN(,,'Truth Table'!B2715:M2715)</f>
        <v>000110010101</v>
      </c>
    </row>
    <row r="2716" spans="2:2" x14ac:dyDescent="0.25">
      <c r="B2716" s="4" t="str">
        <f>_xlfn.TEXTJOIN(,,'Truth Table'!B2716:M2716)</f>
        <v>100110010101</v>
      </c>
    </row>
    <row r="2717" spans="2:2" x14ac:dyDescent="0.25">
      <c r="B2717" s="4" t="str">
        <f>_xlfn.TEXTJOIN(,,'Truth Table'!B2717:M2717)</f>
        <v>010110010101</v>
      </c>
    </row>
    <row r="2718" spans="2:2" x14ac:dyDescent="0.25">
      <c r="B2718" s="4" t="str">
        <f>_xlfn.TEXTJOIN(,,'Truth Table'!B2718:M2718)</f>
        <v>110110010101</v>
      </c>
    </row>
    <row r="2719" spans="2:2" x14ac:dyDescent="0.25">
      <c r="B2719" s="4" t="str">
        <f>_xlfn.TEXTJOIN(,,'Truth Table'!B2719:M2719)</f>
        <v>001110010101</v>
      </c>
    </row>
    <row r="2720" spans="2:2" x14ac:dyDescent="0.25">
      <c r="B2720" s="4" t="str">
        <f>_xlfn.TEXTJOIN(,,'Truth Table'!B2720:M2720)</f>
        <v>101110010101</v>
      </c>
    </row>
    <row r="2721" spans="2:2" x14ac:dyDescent="0.25">
      <c r="B2721" s="4" t="str">
        <f>_xlfn.TEXTJOIN(,,'Truth Table'!B2721:M2721)</f>
        <v>011110010101</v>
      </c>
    </row>
    <row r="2722" spans="2:2" x14ac:dyDescent="0.25">
      <c r="B2722" s="4" t="str">
        <f>_xlfn.TEXTJOIN(,,'Truth Table'!B2722:M2722)</f>
        <v>111110010101</v>
      </c>
    </row>
    <row r="2723" spans="2:2" x14ac:dyDescent="0.25">
      <c r="B2723" s="4" t="str">
        <f>_xlfn.TEXTJOIN(,,'Truth Table'!B2723:M2723)</f>
        <v>000001010101</v>
      </c>
    </row>
    <row r="2724" spans="2:2" x14ac:dyDescent="0.25">
      <c r="B2724" s="4" t="str">
        <f>_xlfn.TEXTJOIN(,,'Truth Table'!B2724:M2724)</f>
        <v>100001010101</v>
      </c>
    </row>
    <row r="2725" spans="2:2" x14ac:dyDescent="0.25">
      <c r="B2725" s="4" t="str">
        <f>_xlfn.TEXTJOIN(,,'Truth Table'!B2725:M2725)</f>
        <v>010001010101</v>
      </c>
    </row>
    <row r="2726" spans="2:2" x14ac:dyDescent="0.25">
      <c r="B2726" s="4" t="str">
        <f>_xlfn.TEXTJOIN(,,'Truth Table'!B2726:M2726)</f>
        <v>110001010101</v>
      </c>
    </row>
    <row r="2727" spans="2:2" x14ac:dyDescent="0.25">
      <c r="B2727" s="4" t="str">
        <f>_xlfn.TEXTJOIN(,,'Truth Table'!B2727:M2727)</f>
        <v>001001010101</v>
      </c>
    </row>
    <row r="2728" spans="2:2" x14ac:dyDescent="0.25">
      <c r="B2728" s="4" t="str">
        <f>_xlfn.TEXTJOIN(,,'Truth Table'!B2728:M2728)</f>
        <v>101001010101</v>
      </c>
    </row>
    <row r="2729" spans="2:2" x14ac:dyDescent="0.25">
      <c r="B2729" s="4" t="str">
        <f>_xlfn.TEXTJOIN(,,'Truth Table'!B2729:M2729)</f>
        <v>011001010101</v>
      </c>
    </row>
    <row r="2730" spans="2:2" x14ac:dyDescent="0.25">
      <c r="B2730" s="4" t="str">
        <f>_xlfn.TEXTJOIN(,,'Truth Table'!B2730:M2730)</f>
        <v>111001010101</v>
      </c>
    </row>
    <row r="2731" spans="2:2" x14ac:dyDescent="0.25">
      <c r="B2731" s="4" t="str">
        <f>_xlfn.TEXTJOIN(,,'Truth Table'!B2731:M2731)</f>
        <v>000101010101</v>
      </c>
    </row>
    <row r="2732" spans="2:2" x14ac:dyDescent="0.25">
      <c r="B2732" s="4" t="str">
        <f>_xlfn.TEXTJOIN(,,'Truth Table'!B2732:M2732)</f>
        <v>100101010101</v>
      </c>
    </row>
    <row r="2733" spans="2:2" x14ac:dyDescent="0.25">
      <c r="B2733" s="4" t="str">
        <f>_xlfn.TEXTJOIN(,,'Truth Table'!B2733:M2733)</f>
        <v>010101010101</v>
      </c>
    </row>
    <row r="2734" spans="2:2" x14ac:dyDescent="0.25">
      <c r="B2734" s="4" t="str">
        <f>_xlfn.TEXTJOIN(,,'Truth Table'!B2734:M2734)</f>
        <v>110101010101</v>
      </c>
    </row>
    <row r="2735" spans="2:2" x14ac:dyDescent="0.25">
      <c r="B2735" s="4" t="str">
        <f>_xlfn.TEXTJOIN(,,'Truth Table'!B2735:M2735)</f>
        <v>001101010101</v>
      </c>
    </row>
    <row r="2736" spans="2:2" x14ac:dyDescent="0.25">
      <c r="B2736" s="4" t="str">
        <f>_xlfn.TEXTJOIN(,,'Truth Table'!B2736:M2736)</f>
        <v>101101010101</v>
      </c>
    </row>
    <row r="2737" spans="2:2" x14ac:dyDescent="0.25">
      <c r="B2737" s="4" t="str">
        <f>_xlfn.TEXTJOIN(,,'Truth Table'!B2737:M2737)</f>
        <v>011101010101</v>
      </c>
    </row>
    <row r="2738" spans="2:2" x14ac:dyDescent="0.25">
      <c r="B2738" s="4" t="str">
        <f>_xlfn.TEXTJOIN(,,'Truth Table'!B2738:M2738)</f>
        <v>111101010101</v>
      </c>
    </row>
    <row r="2739" spans="2:2" x14ac:dyDescent="0.25">
      <c r="B2739" s="4" t="str">
        <f>_xlfn.TEXTJOIN(,,'Truth Table'!B2739:M2739)</f>
        <v>000011010101</v>
      </c>
    </row>
    <row r="2740" spans="2:2" x14ac:dyDescent="0.25">
      <c r="B2740" s="4" t="str">
        <f>_xlfn.TEXTJOIN(,,'Truth Table'!B2740:M2740)</f>
        <v>100011010101</v>
      </c>
    </row>
    <row r="2741" spans="2:2" x14ac:dyDescent="0.25">
      <c r="B2741" s="4" t="str">
        <f>_xlfn.TEXTJOIN(,,'Truth Table'!B2741:M2741)</f>
        <v>010011010101</v>
      </c>
    </row>
    <row r="2742" spans="2:2" x14ac:dyDescent="0.25">
      <c r="B2742" s="4" t="str">
        <f>_xlfn.TEXTJOIN(,,'Truth Table'!B2742:M2742)</f>
        <v>110011010101</v>
      </c>
    </row>
    <row r="2743" spans="2:2" x14ac:dyDescent="0.25">
      <c r="B2743" s="4" t="str">
        <f>_xlfn.TEXTJOIN(,,'Truth Table'!B2743:M2743)</f>
        <v>001011010101</v>
      </c>
    </row>
    <row r="2744" spans="2:2" x14ac:dyDescent="0.25">
      <c r="B2744" s="4" t="str">
        <f>_xlfn.TEXTJOIN(,,'Truth Table'!B2744:M2744)</f>
        <v>101011010101</v>
      </c>
    </row>
    <row r="2745" spans="2:2" x14ac:dyDescent="0.25">
      <c r="B2745" s="4" t="str">
        <f>_xlfn.TEXTJOIN(,,'Truth Table'!B2745:M2745)</f>
        <v>011011010101</v>
      </c>
    </row>
    <row r="2746" spans="2:2" x14ac:dyDescent="0.25">
      <c r="B2746" s="4" t="str">
        <f>_xlfn.TEXTJOIN(,,'Truth Table'!B2746:M2746)</f>
        <v>111011010101</v>
      </c>
    </row>
    <row r="2747" spans="2:2" x14ac:dyDescent="0.25">
      <c r="B2747" s="4" t="str">
        <f>_xlfn.TEXTJOIN(,,'Truth Table'!B2747:M2747)</f>
        <v>000111010101</v>
      </c>
    </row>
    <row r="2748" spans="2:2" x14ac:dyDescent="0.25">
      <c r="B2748" s="4" t="str">
        <f>_xlfn.TEXTJOIN(,,'Truth Table'!B2748:M2748)</f>
        <v>100111010101</v>
      </c>
    </row>
    <row r="2749" spans="2:2" x14ac:dyDescent="0.25">
      <c r="B2749" s="4" t="str">
        <f>_xlfn.TEXTJOIN(,,'Truth Table'!B2749:M2749)</f>
        <v>010111010101</v>
      </c>
    </row>
    <row r="2750" spans="2:2" x14ac:dyDescent="0.25">
      <c r="B2750" s="4" t="str">
        <f>_xlfn.TEXTJOIN(,,'Truth Table'!B2750:M2750)</f>
        <v>110111010101</v>
      </c>
    </row>
    <row r="2751" spans="2:2" x14ac:dyDescent="0.25">
      <c r="B2751" s="4" t="str">
        <f>_xlfn.TEXTJOIN(,,'Truth Table'!B2751:M2751)</f>
        <v>001111010101</v>
      </c>
    </row>
    <row r="2752" spans="2:2" x14ac:dyDescent="0.25">
      <c r="B2752" s="4" t="str">
        <f>_xlfn.TEXTJOIN(,,'Truth Table'!B2752:M2752)</f>
        <v>101111010101</v>
      </c>
    </row>
    <row r="2753" spans="2:2" x14ac:dyDescent="0.25">
      <c r="B2753" s="4" t="str">
        <f>_xlfn.TEXTJOIN(,,'Truth Table'!B2753:M2753)</f>
        <v>011111010101</v>
      </c>
    </row>
    <row r="2754" spans="2:2" x14ac:dyDescent="0.25">
      <c r="B2754" s="4" t="str">
        <f>_xlfn.TEXTJOIN(,,'Truth Table'!B2754:M2754)</f>
        <v>111111010101</v>
      </c>
    </row>
    <row r="2755" spans="2:2" x14ac:dyDescent="0.25">
      <c r="B2755" s="4" t="str">
        <f>_xlfn.TEXTJOIN(,,'Truth Table'!B2755:M2755)</f>
        <v>000000110101</v>
      </c>
    </row>
    <row r="2756" spans="2:2" x14ac:dyDescent="0.25">
      <c r="B2756" s="4" t="str">
        <f>_xlfn.TEXTJOIN(,,'Truth Table'!B2756:M2756)</f>
        <v>100000110101</v>
      </c>
    </row>
    <row r="2757" spans="2:2" x14ac:dyDescent="0.25">
      <c r="B2757" s="4" t="str">
        <f>_xlfn.TEXTJOIN(,,'Truth Table'!B2757:M2757)</f>
        <v>010000110101</v>
      </c>
    </row>
    <row r="2758" spans="2:2" x14ac:dyDescent="0.25">
      <c r="B2758" s="4" t="str">
        <f>_xlfn.TEXTJOIN(,,'Truth Table'!B2758:M2758)</f>
        <v>110000110101</v>
      </c>
    </row>
    <row r="2759" spans="2:2" x14ac:dyDescent="0.25">
      <c r="B2759" s="4" t="str">
        <f>_xlfn.TEXTJOIN(,,'Truth Table'!B2759:M2759)</f>
        <v>001000110101</v>
      </c>
    </row>
    <row r="2760" spans="2:2" x14ac:dyDescent="0.25">
      <c r="B2760" s="4" t="str">
        <f>_xlfn.TEXTJOIN(,,'Truth Table'!B2760:M2760)</f>
        <v>101000110101</v>
      </c>
    </row>
    <row r="2761" spans="2:2" x14ac:dyDescent="0.25">
      <c r="B2761" s="4" t="str">
        <f>_xlfn.TEXTJOIN(,,'Truth Table'!B2761:M2761)</f>
        <v>011000110101</v>
      </c>
    </row>
    <row r="2762" spans="2:2" x14ac:dyDescent="0.25">
      <c r="B2762" s="4" t="str">
        <f>_xlfn.TEXTJOIN(,,'Truth Table'!B2762:M2762)</f>
        <v>111000110101</v>
      </c>
    </row>
    <row r="2763" spans="2:2" x14ac:dyDescent="0.25">
      <c r="B2763" s="4" t="str">
        <f>_xlfn.TEXTJOIN(,,'Truth Table'!B2763:M2763)</f>
        <v>000100110101</v>
      </c>
    </row>
    <row r="2764" spans="2:2" x14ac:dyDescent="0.25">
      <c r="B2764" s="4" t="str">
        <f>_xlfn.TEXTJOIN(,,'Truth Table'!B2764:M2764)</f>
        <v>100100110101</v>
      </c>
    </row>
    <row r="2765" spans="2:2" x14ac:dyDescent="0.25">
      <c r="B2765" s="4" t="str">
        <f>_xlfn.TEXTJOIN(,,'Truth Table'!B2765:M2765)</f>
        <v>010100110101</v>
      </c>
    </row>
    <row r="2766" spans="2:2" x14ac:dyDescent="0.25">
      <c r="B2766" s="4" t="str">
        <f>_xlfn.TEXTJOIN(,,'Truth Table'!B2766:M2766)</f>
        <v>110100110101</v>
      </c>
    </row>
    <row r="2767" spans="2:2" x14ac:dyDescent="0.25">
      <c r="B2767" s="4" t="str">
        <f>_xlfn.TEXTJOIN(,,'Truth Table'!B2767:M2767)</f>
        <v>001100110101</v>
      </c>
    </row>
    <row r="2768" spans="2:2" x14ac:dyDescent="0.25">
      <c r="B2768" s="4" t="str">
        <f>_xlfn.TEXTJOIN(,,'Truth Table'!B2768:M2768)</f>
        <v>101100110101</v>
      </c>
    </row>
    <row r="2769" spans="2:2" x14ac:dyDescent="0.25">
      <c r="B2769" s="4" t="str">
        <f>_xlfn.TEXTJOIN(,,'Truth Table'!B2769:M2769)</f>
        <v>011100110101</v>
      </c>
    </row>
    <row r="2770" spans="2:2" x14ac:dyDescent="0.25">
      <c r="B2770" s="4" t="str">
        <f>_xlfn.TEXTJOIN(,,'Truth Table'!B2770:M2770)</f>
        <v>111100110101</v>
      </c>
    </row>
    <row r="2771" spans="2:2" x14ac:dyDescent="0.25">
      <c r="B2771" s="4" t="str">
        <f>_xlfn.TEXTJOIN(,,'Truth Table'!B2771:M2771)</f>
        <v>000010110101</v>
      </c>
    </row>
    <row r="2772" spans="2:2" x14ac:dyDescent="0.25">
      <c r="B2772" s="4" t="str">
        <f>_xlfn.TEXTJOIN(,,'Truth Table'!B2772:M2772)</f>
        <v>100010110101</v>
      </c>
    </row>
    <row r="2773" spans="2:2" x14ac:dyDescent="0.25">
      <c r="B2773" s="4" t="str">
        <f>_xlfn.TEXTJOIN(,,'Truth Table'!B2773:M2773)</f>
        <v>010010110101</v>
      </c>
    </row>
    <row r="2774" spans="2:2" x14ac:dyDescent="0.25">
      <c r="B2774" s="4" t="str">
        <f>_xlfn.TEXTJOIN(,,'Truth Table'!B2774:M2774)</f>
        <v>110010110101</v>
      </c>
    </row>
    <row r="2775" spans="2:2" x14ac:dyDescent="0.25">
      <c r="B2775" s="4" t="str">
        <f>_xlfn.TEXTJOIN(,,'Truth Table'!B2775:M2775)</f>
        <v>001010110101</v>
      </c>
    </row>
    <row r="2776" spans="2:2" x14ac:dyDescent="0.25">
      <c r="B2776" s="4" t="str">
        <f>_xlfn.TEXTJOIN(,,'Truth Table'!B2776:M2776)</f>
        <v>101010110101</v>
      </c>
    </row>
    <row r="2777" spans="2:2" x14ac:dyDescent="0.25">
      <c r="B2777" s="4" t="str">
        <f>_xlfn.TEXTJOIN(,,'Truth Table'!B2777:M2777)</f>
        <v>011010110101</v>
      </c>
    </row>
    <row r="2778" spans="2:2" x14ac:dyDescent="0.25">
      <c r="B2778" s="4" t="str">
        <f>_xlfn.TEXTJOIN(,,'Truth Table'!B2778:M2778)</f>
        <v>111010110101</v>
      </c>
    </row>
    <row r="2779" spans="2:2" x14ac:dyDescent="0.25">
      <c r="B2779" s="4" t="str">
        <f>_xlfn.TEXTJOIN(,,'Truth Table'!B2779:M2779)</f>
        <v>000110110101</v>
      </c>
    </row>
    <row r="2780" spans="2:2" x14ac:dyDescent="0.25">
      <c r="B2780" s="4" t="str">
        <f>_xlfn.TEXTJOIN(,,'Truth Table'!B2780:M2780)</f>
        <v>100110110101</v>
      </c>
    </row>
    <row r="2781" spans="2:2" x14ac:dyDescent="0.25">
      <c r="B2781" s="4" t="str">
        <f>_xlfn.TEXTJOIN(,,'Truth Table'!B2781:M2781)</f>
        <v>010110110101</v>
      </c>
    </row>
    <row r="2782" spans="2:2" x14ac:dyDescent="0.25">
      <c r="B2782" s="4" t="str">
        <f>_xlfn.TEXTJOIN(,,'Truth Table'!B2782:M2782)</f>
        <v>110110110101</v>
      </c>
    </row>
    <row r="2783" spans="2:2" x14ac:dyDescent="0.25">
      <c r="B2783" s="4" t="str">
        <f>_xlfn.TEXTJOIN(,,'Truth Table'!B2783:M2783)</f>
        <v>001110110101</v>
      </c>
    </row>
    <row r="2784" spans="2:2" x14ac:dyDescent="0.25">
      <c r="B2784" s="4" t="str">
        <f>_xlfn.TEXTJOIN(,,'Truth Table'!B2784:M2784)</f>
        <v>101110110101</v>
      </c>
    </row>
    <row r="2785" spans="2:2" x14ac:dyDescent="0.25">
      <c r="B2785" s="4" t="str">
        <f>_xlfn.TEXTJOIN(,,'Truth Table'!B2785:M2785)</f>
        <v>011110110101</v>
      </c>
    </row>
    <row r="2786" spans="2:2" x14ac:dyDescent="0.25">
      <c r="B2786" s="4" t="str">
        <f>_xlfn.TEXTJOIN(,,'Truth Table'!B2786:M2786)</f>
        <v>111110110101</v>
      </c>
    </row>
    <row r="2787" spans="2:2" x14ac:dyDescent="0.25">
      <c r="B2787" s="4" t="str">
        <f>_xlfn.TEXTJOIN(,,'Truth Table'!B2787:M2787)</f>
        <v>000001110101</v>
      </c>
    </row>
    <row r="2788" spans="2:2" x14ac:dyDescent="0.25">
      <c r="B2788" s="4" t="str">
        <f>_xlfn.TEXTJOIN(,,'Truth Table'!B2788:M2788)</f>
        <v>100001110101</v>
      </c>
    </row>
    <row r="2789" spans="2:2" x14ac:dyDescent="0.25">
      <c r="B2789" s="4" t="str">
        <f>_xlfn.TEXTJOIN(,,'Truth Table'!B2789:M2789)</f>
        <v>010001110101</v>
      </c>
    </row>
    <row r="2790" spans="2:2" x14ac:dyDescent="0.25">
      <c r="B2790" s="4" t="str">
        <f>_xlfn.TEXTJOIN(,,'Truth Table'!B2790:M2790)</f>
        <v>110001110101</v>
      </c>
    </row>
    <row r="2791" spans="2:2" x14ac:dyDescent="0.25">
      <c r="B2791" s="4" t="str">
        <f>_xlfn.TEXTJOIN(,,'Truth Table'!B2791:M2791)</f>
        <v>001001110101</v>
      </c>
    </row>
    <row r="2792" spans="2:2" x14ac:dyDescent="0.25">
      <c r="B2792" s="4" t="str">
        <f>_xlfn.TEXTJOIN(,,'Truth Table'!B2792:M2792)</f>
        <v>101001110101</v>
      </c>
    </row>
    <row r="2793" spans="2:2" x14ac:dyDescent="0.25">
      <c r="B2793" s="4" t="str">
        <f>_xlfn.TEXTJOIN(,,'Truth Table'!B2793:M2793)</f>
        <v>011001110101</v>
      </c>
    </row>
    <row r="2794" spans="2:2" x14ac:dyDescent="0.25">
      <c r="B2794" s="4" t="str">
        <f>_xlfn.TEXTJOIN(,,'Truth Table'!B2794:M2794)</f>
        <v>111001110101</v>
      </c>
    </row>
    <row r="2795" spans="2:2" x14ac:dyDescent="0.25">
      <c r="B2795" s="4" t="str">
        <f>_xlfn.TEXTJOIN(,,'Truth Table'!B2795:M2795)</f>
        <v>000101110101</v>
      </c>
    </row>
    <row r="2796" spans="2:2" x14ac:dyDescent="0.25">
      <c r="B2796" s="4" t="str">
        <f>_xlfn.TEXTJOIN(,,'Truth Table'!B2796:M2796)</f>
        <v>100101110101</v>
      </c>
    </row>
    <row r="2797" spans="2:2" x14ac:dyDescent="0.25">
      <c r="B2797" s="4" t="str">
        <f>_xlfn.TEXTJOIN(,,'Truth Table'!B2797:M2797)</f>
        <v>010101110101</v>
      </c>
    </row>
    <row r="2798" spans="2:2" x14ac:dyDescent="0.25">
      <c r="B2798" s="4" t="str">
        <f>_xlfn.TEXTJOIN(,,'Truth Table'!B2798:M2798)</f>
        <v>110101110101</v>
      </c>
    </row>
    <row r="2799" spans="2:2" x14ac:dyDescent="0.25">
      <c r="B2799" s="4" t="str">
        <f>_xlfn.TEXTJOIN(,,'Truth Table'!B2799:M2799)</f>
        <v>001101110101</v>
      </c>
    </row>
    <row r="2800" spans="2:2" x14ac:dyDescent="0.25">
      <c r="B2800" s="4" t="str">
        <f>_xlfn.TEXTJOIN(,,'Truth Table'!B2800:M2800)</f>
        <v>101101110101</v>
      </c>
    </row>
    <row r="2801" spans="2:2" x14ac:dyDescent="0.25">
      <c r="B2801" s="4" t="str">
        <f>_xlfn.TEXTJOIN(,,'Truth Table'!B2801:M2801)</f>
        <v>011101110101</v>
      </c>
    </row>
    <row r="2802" spans="2:2" x14ac:dyDescent="0.25">
      <c r="B2802" s="4" t="str">
        <f>_xlfn.TEXTJOIN(,,'Truth Table'!B2802:M2802)</f>
        <v>111101110101</v>
      </c>
    </row>
    <row r="2803" spans="2:2" x14ac:dyDescent="0.25">
      <c r="B2803" s="4" t="str">
        <f>_xlfn.TEXTJOIN(,,'Truth Table'!B2803:M2803)</f>
        <v>000011110101</v>
      </c>
    </row>
    <row r="2804" spans="2:2" x14ac:dyDescent="0.25">
      <c r="B2804" s="4" t="str">
        <f>_xlfn.TEXTJOIN(,,'Truth Table'!B2804:M2804)</f>
        <v>100011110101</v>
      </c>
    </row>
    <row r="2805" spans="2:2" x14ac:dyDescent="0.25">
      <c r="B2805" s="4" t="str">
        <f>_xlfn.TEXTJOIN(,,'Truth Table'!B2805:M2805)</f>
        <v>010011110101</v>
      </c>
    </row>
    <row r="2806" spans="2:2" x14ac:dyDescent="0.25">
      <c r="B2806" s="4" t="str">
        <f>_xlfn.TEXTJOIN(,,'Truth Table'!B2806:M2806)</f>
        <v>110011110101</v>
      </c>
    </row>
    <row r="2807" spans="2:2" x14ac:dyDescent="0.25">
      <c r="B2807" s="4" t="str">
        <f>_xlfn.TEXTJOIN(,,'Truth Table'!B2807:M2807)</f>
        <v>001011110101</v>
      </c>
    </row>
    <row r="2808" spans="2:2" x14ac:dyDescent="0.25">
      <c r="B2808" s="4" t="str">
        <f>_xlfn.TEXTJOIN(,,'Truth Table'!B2808:M2808)</f>
        <v>101011110101</v>
      </c>
    </row>
    <row r="2809" spans="2:2" x14ac:dyDescent="0.25">
      <c r="B2809" s="4" t="str">
        <f>_xlfn.TEXTJOIN(,,'Truth Table'!B2809:M2809)</f>
        <v>011011110101</v>
      </c>
    </row>
    <row r="2810" spans="2:2" x14ac:dyDescent="0.25">
      <c r="B2810" s="4" t="str">
        <f>_xlfn.TEXTJOIN(,,'Truth Table'!B2810:M2810)</f>
        <v>111011110101</v>
      </c>
    </row>
    <row r="2811" spans="2:2" x14ac:dyDescent="0.25">
      <c r="B2811" s="4" t="str">
        <f>_xlfn.TEXTJOIN(,,'Truth Table'!B2811:M2811)</f>
        <v>000111110101</v>
      </c>
    </row>
    <row r="2812" spans="2:2" x14ac:dyDescent="0.25">
      <c r="B2812" s="4" t="str">
        <f>_xlfn.TEXTJOIN(,,'Truth Table'!B2812:M2812)</f>
        <v>100111110101</v>
      </c>
    </row>
    <row r="2813" spans="2:2" x14ac:dyDescent="0.25">
      <c r="B2813" s="4" t="str">
        <f>_xlfn.TEXTJOIN(,,'Truth Table'!B2813:M2813)</f>
        <v>010111110101</v>
      </c>
    </row>
    <row r="2814" spans="2:2" x14ac:dyDescent="0.25">
      <c r="B2814" s="4" t="str">
        <f>_xlfn.TEXTJOIN(,,'Truth Table'!B2814:M2814)</f>
        <v>110111110101</v>
      </c>
    </row>
    <row r="2815" spans="2:2" x14ac:dyDescent="0.25">
      <c r="B2815" s="4" t="str">
        <f>_xlfn.TEXTJOIN(,,'Truth Table'!B2815:M2815)</f>
        <v>001111110101</v>
      </c>
    </row>
    <row r="2816" spans="2:2" x14ac:dyDescent="0.25">
      <c r="B2816" s="4" t="str">
        <f>_xlfn.TEXTJOIN(,,'Truth Table'!B2816:M2816)</f>
        <v>101111110101</v>
      </c>
    </row>
    <row r="2817" spans="2:2" x14ac:dyDescent="0.25">
      <c r="B2817" s="4" t="str">
        <f>_xlfn.TEXTJOIN(,,'Truth Table'!B2817:M2817)</f>
        <v>011111110101</v>
      </c>
    </row>
    <row r="2818" spans="2:2" x14ac:dyDescent="0.25">
      <c r="B2818" s="4" t="str">
        <f>_xlfn.TEXTJOIN(,,'Truth Table'!B2818:M2818)</f>
        <v>111111110101</v>
      </c>
    </row>
    <row r="2819" spans="2:2" x14ac:dyDescent="0.25">
      <c r="B2819" s="4" t="str">
        <f>_xlfn.TEXTJOIN(,,'Truth Table'!B2819:M2819)</f>
        <v>000000001101</v>
      </c>
    </row>
    <row r="2820" spans="2:2" x14ac:dyDescent="0.25">
      <c r="B2820" s="4" t="str">
        <f>_xlfn.TEXTJOIN(,,'Truth Table'!B2820:M2820)</f>
        <v>100000001101</v>
      </c>
    </row>
    <row r="2821" spans="2:2" x14ac:dyDescent="0.25">
      <c r="B2821" s="4" t="str">
        <f>_xlfn.TEXTJOIN(,,'Truth Table'!B2821:M2821)</f>
        <v>010000001101</v>
      </c>
    </row>
    <row r="2822" spans="2:2" x14ac:dyDescent="0.25">
      <c r="B2822" s="4" t="str">
        <f>_xlfn.TEXTJOIN(,,'Truth Table'!B2822:M2822)</f>
        <v>110000001101</v>
      </c>
    </row>
    <row r="2823" spans="2:2" x14ac:dyDescent="0.25">
      <c r="B2823" s="4" t="str">
        <f>_xlfn.TEXTJOIN(,,'Truth Table'!B2823:M2823)</f>
        <v>001000001101</v>
      </c>
    </row>
    <row r="2824" spans="2:2" x14ac:dyDescent="0.25">
      <c r="B2824" s="4" t="str">
        <f>_xlfn.TEXTJOIN(,,'Truth Table'!B2824:M2824)</f>
        <v>101000001101</v>
      </c>
    </row>
    <row r="2825" spans="2:2" x14ac:dyDescent="0.25">
      <c r="B2825" s="4" t="str">
        <f>_xlfn.TEXTJOIN(,,'Truth Table'!B2825:M2825)</f>
        <v>011000001101</v>
      </c>
    </row>
    <row r="2826" spans="2:2" x14ac:dyDescent="0.25">
      <c r="B2826" s="4" t="str">
        <f>_xlfn.TEXTJOIN(,,'Truth Table'!B2826:M2826)</f>
        <v>111000001101</v>
      </c>
    </row>
    <row r="2827" spans="2:2" x14ac:dyDescent="0.25">
      <c r="B2827" s="4" t="str">
        <f>_xlfn.TEXTJOIN(,,'Truth Table'!B2827:M2827)</f>
        <v>000100001101</v>
      </c>
    </row>
    <row r="2828" spans="2:2" x14ac:dyDescent="0.25">
      <c r="B2828" s="4" t="str">
        <f>_xlfn.TEXTJOIN(,,'Truth Table'!B2828:M2828)</f>
        <v>100100001101</v>
      </c>
    </row>
    <row r="2829" spans="2:2" x14ac:dyDescent="0.25">
      <c r="B2829" s="4" t="str">
        <f>_xlfn.TEXTJOIN(,,'Truth Table'!B2829:M2829)</f>
        <v>010100001101</v>
      </c>
    </row>
    <row r="2830" spans="2:2" x14ac:dyDescent="0.25">
      <c r="B2830" s="4" t="str">
        <f>_xlfn.TEXTJOIN(,,'Truth Table'!B2830:M2830)</f>
        <v>110100001101</v>
      </c>
    </row>
    <row r="2831" spans="2:2" x14ac:dyDescent="0.25">
      <c r="B2831" s="4" t="str">
        <f>_xlfn.TEXTJOIN(,,'Truth Table'!B2831:M2831)</f>
        <v>001100001101</v>
      </c>
    </row>
    <row r="2832" spans="2:2" x14ac:dyDescent="0.25">
      <c r="B2832" s="4" t="str">
        <f>_xlfn.TEXTJOIN(,,'Truth Table'!B2832:M2832)</f>
        <v>101100001101</v>
      </c>
    </row>
    <row r="2833" spans="2:2" x14ac:dyDescent="0.25">
      <c r="B2833" s="4" t="str">
        <f>_xlfn.TEXTJOIN(,,'Truth Table'!B2833:M2833)</f>
        <v>011100001101</v>
      </c>
    </row>
    <row r="2834" spans="2:2" x14ac:dyDescent="0.25">
      <c r="B2834" s="4" t="str">
        <f>_xlfn.TEXTJOIN(,,'Truth Table'!B2834:M2834)</f>
        <v>111100001101</v>
      </c>
    </row>
    <row r="2835" spans="2:2" x14ac:dyDescent="0.25">
      <c r="B2835" s="4" t="str">
        <f>_xlfn.TEXTJOIN(,,'Truth Table'!B2835:M2835)</f>
        <v>000010001101</v>
      </c>
    </row>
    <row r="2836" spans="2:2" x14ac:dyDescent="0.25">
      <c r="B2836" s="4" t="str">
        <f>_xlfn.TEXTJOIN(,,'Truth Table'!B2836:M2836)</f>
        <v>100010001101</v>
      </c>
    </row>
    <row r="2837" spans="2:2" x14ac:dyDescent="0.25">
      <c r="B2837" s="4" t="str">
        <f>_xlfn.TEXTJOIN(,,'Truth Table'!B2837:M2837)</f>
        <v>010010001101</v>
      </c>
    </row>
    <row r="2838" spans="2:2" x14ac:dyDescent="0.25">
      <c r="B2838" s="4" t="str">
        <f>_xlfn.TEXTJOIN(,,'Truth Table'!B2838:M2838)</f>
        <v>110010001101</v>
      </c>
    </row>
    <row r="2839" spans="2:2" x14ac:dyDescent="0.25">
      <c r="B2839" s="4" t="str">
        <f>_xlfn.TEXTJOIN(,,'Truth Table'!B2839:M2839)</f>
        <v>001010001101</v>
      </c>
    </row>
    <row r="2840" spans="2:2" x14ac:dyDescent="0.25">
      <c r="B2840" s="4" t="str">
        <f>_xlfn.TEXTJOIN(,,'Truth Table'!B2840:M2840)</f>
        <v>101010001101</v>
      </c>
    </row>
    <row r="2841" spans="2:2" x14ac:dyDescent="0.25">
      <c r="B2841" s="4" t="str">
        <f>_xlfn.TEXTJOIN(,,'Truth Table'!B2841:M2841)</f>
        <v>011010001101</v>
      </c>
    </row>
    <row r="2842" spans="2:2" x14ac:dyDescent="0.25">
      <c r="B2842" s="4" t="str">
        <f>_xlfn.TEXTJOIN(,,'Truth Table'!B2842:M2842)</f>
        <v>111010001101</v>
      </c>
    </row>
    <row r="2843" spans="2:2" x14ac:dyDescent="0.25">
      <c r="B2843" s="4" t="str">
        <f>_xlfn.TEXTJOIN(,,'Truth Table'!B2843:M2843)</f>
        <v>000110001101</v>
      </c>
    </row>
    <row r="2844" spans="2:2" x14ac:dyDescent="0.25">
      <c r="B2844" s="4" t="str">
        <f>_xlfn.TEXTJOIN(,,'Truth Table'!B2844:M2844)</f>
        <v>100110001101</v>
      </c>
    </row>
    <row r="2845" spans="2:2" x14ac:dyDescent="0.25">
      <c r="B2845" s="4" t="str">
        <f>_xlfn.TEXTJOIN(,,'Truth Table'!B2845:M2845)</f>
        <v>010110001101</v>
      </c>
    </row>
    <row r="2846" spans="2:2" x14ac:dyDescent="0.25">
      <c r="B2846" s="4" t="str">
        <f>_xlfn.TEXTJOIN(,,'Truth Table'!B2846:M2846)</f>
        <v>110110001101</v>
      </c>
    </row>
    <row r="2847" spans="2:2" x14ac:dyDescent="0.25">
      <c r="B2847" s="4" t="str">
        <f>_xlfn.TEXTJOIN(,,'Truth Table'!B2847:M2847)</f>
        <v>001110001101</v>
      </c>
    </row>
    <row r="2848" spans="2:2" x14ac:dyDescent="0.25">
      <c r="B2848" s="4" t="str">
        <f>_xlfn.TEXTJOIN(,,'Truth Table'!B2848:M2848)</f>
        <v>101110001101</v>
      </c>
    </row>
    <row r="2849" spans="2:2" x14ac:dyDescent="0.25">
      <c r="B2849" s="4" t="str">
        <f>_xlfn.TEXTJOIN(,,'Truth Table'!B2849:M2849)</f>
        <v>011110001101</v>
      </c>
    </row>
    <row r="2850" spans="2:2" x14ac:dyDescent="0.25">
      <c r="B2850" s="4" t="str">
        <f>_xlfn.TEXTJOIN(,,'Truth Table'!B2850:M2850)</f>
        <v>111110001101</v>
      </c>
    </row>
    <row r="2851" spans="2:2" x14ac:dyDescent="0.25">
      <c r="B2851" s="4" t="str">
        <f>_xlfn.TEXTJOIN(,,'Truth Table'!B2851:M2851)</f>
        <v>000001001101</v>
      </c>
    </row>
    <row r="2852" spans="2:2" x14ac:dyDescent="0.25">
      <c r="B2852" s="4" t="str">
        <f>_xlfn.TEXTJOIN(,,'Truth Table'!B2852:M2852)</f>
        <v>100001001101</v>
      </c>
    </row>
    <row r="2853" spans="2:2" x14ac:dyDescent="0.25">
      <c r="B2853" s="4" t="str">
        <f>_xlfn.TEXTJOIN(,,'Truth Table'!B2853:M2853)</f>
        <v>010001001101</v>
      </c>
    </row>
    <row r="2854" spans="2:2" x14ac:dyDescent="0.25">
      <c r="B2854" s="4" t="str">
        <f>_xlfn.TEXTJOIN(,,'Truth Table'!B2854:M2854)</f>
        <v>110001001101</v>
      </c>
    </row>
    <row r="2855" spans="2:2" x14ac:dyDescent="0.25">
      <c r="B2855" s="4" t="str">
        <f>_xlfn.TEXTJOIN(,,'Truth Table'!B2855:M2855)</f>
        <v>001001001101</v>
      </c>
    </row>
    <row r="2856" spans="2:2" x14ac:dyDescent="0.25">
      <c r="B2856" s="4" t="str">
        <f>_xlfn.TEXTJOIN(,,'Truth Table'!B2856:M2856)</f>
        <v>101001001101</v>
      </c>
    </row>
    <row r="2857" spans="2:2" x14ac:dyDescent="0.25">
      <c r="B2857" s="4" t="str">
        <f>_xlfn.TEXTJOIN(,,'Truth Table'!B2857:M2857)</f>
        <v>011001001101</v>
      </c>
    </row>
    <row r="2858" spans="2:2" x14ac:dyDescent="0.25">
      <c r="B2858" s="4" t="str">
        <f>_xlfn.TEXTJOIN(,,'Truth Table'!B2858:M2858)</f>
        <v>111001001101</v>
      </c>
    </row>
    <row r="2859" spans="2:2" x14ac:dyDescent="0.25">
      <c r="B2859" s="4" t="str">
        <f>_xlfn.TEXTJOIN(,,'Truth Table'!B2859:M2859)</f>
        <v>000101001101</v>
      </c>
    </row>
    <row r="2860" spans="2:2" x14ac:dyDescent="0.25">
      <c r="B2860" s="4" t="str">
        <f>_xlfn.TEXTJOIN(,,'Truth Table'!B2860:M2860)</f>
        <v>100101001101</v>
      </c>
    </row>
    <row r="2861" spans="2:2" x14ac:dyDescent="0.25">
      <c r="B2861" s="4" t="str">
        <f>_xlfn.TEXTJOIN(,,'Truth Table'!B2861:M2861)</f>
        <v>010101001101</v>
      </c>
    </row>
    <row r="2862" spans="2:2" x14ac:dyDescent="0.25">
      <c r="B2862" s="4" t="str">
        <f>_xlfn.TEXTJOIN(,,'Truth Table'!B2862:M2862)</f>
        <v>110101001101</v>
      </c>
    </row>
    <row r="2863" spans="2:2" x14ac:dyDescent="0.25">
      <c r="B2863" s="4" t="str">
        <f>_xlfn.TEXTJOIN(,,'Truth Table'!B2863:M2863)</f>
        <v>001101001101</v>
      </c>
    </row>
    <row r="2864" spans="2:2" x14ac:dyDescent="0.25">
      <c r="B2864" s="4" t="str">
        <f>_xlfn.TEXTJOIN(,,'Truth Table'!B2864:M2864)</f>
        <v>101101001101</v>
      </c>
    </row>
    <row r="2865" spans="2:2" x14ac:dyDescent="0.25">
      <c r="B2865" s="4" t="str">
        <f>_xlfn.TEXTJOIN(,,'Truth Table'!B2865:M2865)</f>
        <v>011101001101</v>
      </c>
    </row>
    <row r="2866" spans="2:2" x14ac:dyDescent="0.25">
      <c r="B2866" s="4" t="str">
        <f>_xlfn.TEXTJOIN(,,'Truth Table'!B2866:M2866)</f>
        <v>111101001101</v>
      </c>
    </row>
    <row r="2867" spans="2:2" x14ac:dyDescent="0.25">
      <c r="B2867" s="4" t="str">
        <f>_xlfn.TEXTJOIN(,,'Truth Table'!B2867:M2867)</f>
        <v>000011001101</v>
      </c>
    </row>
    <row r="2868" spans="2:2" x14ac:dyDescent="0.25">
      <c r="B2868" s="4" t="str">
        <f>_xlfn.TEXTJOIN(,,'Truth Table'!B2868:M2868)</f>
        <v>100011001101</v>
      </c>
    </row>
    <row r="2869" spans="2:2" x14ac:dyDescent="0.25">
      <c r="B2869" s="4" t="str">
        <f>_xlfn.TEXTJOIN(,,'Truth Table'!B2869:M2869)</f>
        <v>010011001101</v>
      </c>
    </row>
    <row r="2870" spans="2:2" x14ac:dyDescent="0.25">
      <c r="B2870" s="4" t="str">
        <f>_xlfn.TEXTJOIN(,,'Truth Table'!B2870:M2870)</f>
        <v>110011001101</v>
      </c>
    </row>
    <row r="2871" spans="2:2" x14ac:dyDescent="0.25">
      <c r="B2871" s="4" t="str">
        <f>_xlfn.TEXTJOIN(,,'Truth Table'!B2871:M2871)</f>
        <v>001011001101</v>
      </c>
    </row>
    <row r="2872" spans="2:2" x14ac:dyDescent="0.25">
      <c r="B2872" s="4" t="str">
        <f>_xlfn.TEXTJOIN(,,'Truth Table'!B2872:M2872)</f>
        <v>101011001101</v>
      </c>
    </row>
    <row r="2873" spans="2:2" x14ac:dyDescent="0.25">
      <c r="B2873" s="4" t="str">
        <f>_xlfn.TEXTJOIN(,,'Truth Table'!B2873:M2873)</f>
        <v>011011001101</v>
      </c>
    </row>
    <row r="2874" spans="2:2" x14ac:dyDescent="0.25">
      <c r="B2874" s="4" t="str">
        <f>_xlfn.TEXTJOIN(,,'Truth Table'!B2874:M2874)</f>
        <v>111011001101</v>
      </c>
    </row>
    <row r="2875" spans="2:2" x14ac:dyDescent="0.25">
      <c r="B2875" s="4" t="str">
        <f>_xlfn.TEXTJOIN(,,'Truth Table'!B2875:M2875)</f>
        <v>000111001101</v>
      </c>
    </row>
    <row r="2876" spans="2:2" x14ac:dyDescent="0.25">
      <c r="B2876" s="4" t="str">
        <f>_xlfn.TEXTJOIN(,,'Truth Table'!B2876:M2876)</f>
        <v>100111001101</v>
      </c>
    </row>
    <row r="2877" spans="2:2" x14ac:dyDescent="0.25">
      <c r="B2877" s="4" t="str">
        <f>_xlfn.TEXTJOIN(,,'Truth Table'!B2877:M2877)</f>
        <v>010111001101</v>
      </c>
    </row>
    <row r="2878" spans="2:2" x14ac:dyDescent="0.25">
      <c r="B2878" s="4" t="str">
        <f>_xlfn.TEXTJOIN(,,'Truth Table'!B2878:M2878)</f>
        <v>110111001101</v>
      </c>
    </row>
    <row r="2879" spans="2:2" x14ac:dyDescent="0.25">
      <c r="B2879" s="4" t="str">
        <f>_xlfn.TEXTJOIN(,,'Truth Table'!B2879:M2879)</f>
        <v>001111001101</v>
      </c>
    </row>
    <row r="2880" spans="2:2" x14ac:dyDescent="0.25">
      <c r="B2880" s="4" t="str">
        <f>_xlfn.TEXTJOIN(,,'Truth Table'!B2880:M2880)</f>
        <v>101111001101</v>
      </c>
    </row>
    <row r="2881" spans="2:2" x14ac:dyDescent="0.25">
      <c r="B2881" s="4" t="str">
        <f>_xlfn.TEXTJOIN(,,'Truth Table'!B2881:M2881)</f>
        <v>011111001101</v>
      </c>
    </row>
    <row r="2882" spans="2:2" x14ac:dyDescent="0.25">
      <c r="B2882" s="4" t="str">
        <f>_xlfn.TEXTJOIN(,,'Truth Table'!B2882:M2882)</f>
        <v>111111001101</v>
      </c>
    </row>
    <row r="2883" spans="2:2" x14ac:dyDescent="0.25">
      <c r="B2883" s="4" t="str">
        <f>_xlfn.TEXTJOIN(,,'Truth Table'!B2883:M2883)</f>
        <v>000000101101</v>
      </c>
    </row>
    <row r="2884" spans="2:2" x14ac:dyDescent="0.25">
      <c r="B2884" s="4" t="str">
        <f>_xlfn.TEXTJOIN(,,'Truth Table'!B2884:M2884)</f>
        <v>100000101101</v>
      </c>
    </row>
    <row r="2885" spans="2:2" x14ac:dyDescent="0.25">
      <c r="B2885" s="4" t="str">
        <f>_xlfn.TEXTJOIN(,,'Truth Table'!B2885:M2885)</f>
        <v>010000101101</v>
      </c>
    </row>
    <row r="2886" spans="2:2" x14ac:dyDescent="0.25">
      <c r="B2886" s="4" t="str">
        <f>_xlfn.TEXTJOIN(,,'Truth Table'!B2886:M2886)</f>
        <v>110000101101</v>
      </c>
    </row>
    <row r="2887" spans="2:2" x14ac:dyDescent="0.25">
      <c r="B2887" s="4" t="str">
        <f>_xlfn.TEXTJOIN(,,'Truth Table'!B2887:M2887)</f>
        <v>001000101101</v>
      </c>
    </row>
    <row r="2888" spans="2:2" x14ac:dyDescent="0.25">
      <c r="B2888" s="4" t="str">
        <f>_xlfn.TEXTJOIN(,,'Truth Table'!B2888:M2888)</f>
        <v>101000101101</v>
      </c>
    </row>
    <row r="2889" spans="2:2" x14ac:dyDescent="0.25">
      <c r="B2889" s="4" t="str">
        <f>_xlfn.TEXTJOIN(,,'Truth Table'!B2889:M2889)</f>
        <v>011000101101</v>
      </c>
    </row>
    <row r="2890" spans="2:2" x14ac:dyDescent="0.25">
      <c r="B2890" s="4" t="str">
        <f>_xlfn.TEXTJOIN(,,'Truth Table'!B2890:M2890)</f>
        <v>111000101101</v>
      </c>
    </row>
    <row r="2891" spans="2:2" x14ac:dyDescent="0.25">
      <c r="B2891" s="4" t="str">
        <f>_xlfn.TEXTJOIN(,,'Truth Table'!B2891:M2891)</f>
        <v>000100101101</v>
      </c>
    </row>
    <row r="2892" spans="2:2" x14ac:dyDescent="0.25">
      <c r="B2892" s="4" t="str">
        <f>_xlfn.TEXTJOIN(,,'Truth Table'!B2892:M2892)</f>
        <v>100100101101</v>
      </c>
    </row>
    <row r="2893" spans="2:2" x14ac:dyDescent="0.25">
      <c r="B2893" s="4" t="str">
        <f>_xlfn.TEXTJOIN(,,'Truth Table'!B2893:M2893)</f>
        <v>010100101101</v>
      </c>
    </row>
    <row r="2894" spans="2:2" x14ac:dyDescent="0.25">
      <c r="B2894" s="4" t="str">
        <f>_xlfn.TEXTJOIN(,,'Truth Table'!B2894:M2894)</f>
        <v>110100101101</v>
      </c>
    </row>
    <row r="2895" spans="2:2" x14ac:dyDescent="0.25">
      <c r="B2895" s="4" t="str">
        <f>_xlfn.TEXTJOIN(,,'Truth Table'!B2895:M2895)</f>
        <v>001100101101</v>
      </c>
    </row>
    <row r="2896" spans="2:2" x14ac:dyDescent="0.25">
      <c r="B2896" s="4" t="str">
        <f>_xlfn.TEXTJOIN(,,'Truth Table'!B2896:M2896)</f>
        <v>101100101101</v>
      </c>
    </row>
    <row r="2897" spans="2:2" x14ac:dyDescent="0.25">
      <c r="B2897" s="4" t="str">
        <f>_xlfn.TEXTJOIN(,,'Truth Table'!B2897:M2897)</f>
        <v>011100101101</v>
      </c>
    </row>
    <row r="2898" spans="2:2" x14ac:dyDescent="0.25">
      <c r="B2898" s="4" t="str">
        <f>_xlfn.TEXTJOIN(,,'Truth Table'!B2898:M2898)</f>
        <v>111100101101</v>
      </c>
    </row>
    <row r="2899" spans="2:2" x14ac:dyDescent="0.25">
      <c r="B2899" s="4" t="str">
        <f>_xlfn.TEXTJOIN(,,'Truth Table'!B2899:M2899)</f>
        <v>000010101101</v>
      </c>
    </row>
    <row r="2900" spans="2:2" x14ac:dyDescent="0.25">
      <c r="B2900" s="4" t="str">
        <f>_xlfn.TEXTJOIN(,,'Truth Table'!B2900:M2900)</f>
        <v>100010101101</v>
      </c>
    </row>
    <row r="2901" spans="2:2" x14ac:dyDescent="0.25">
      <c r="B2901" s="4" t="str">
        <f>_xlfn.TEXTJOIN(,,'Truth Table'!B2901:M2901)</f>
        <v>010010101101</v>
      </c>
    </row>
    <row r="2902" spans="2:2" x14ac:dyDescent="0.25">
      <c r="B2902" s="4" t="str">
        <f>_xlfn.TEXTJOIN(,,'Truth Table'!B2902:M2902)</f>
        <v>110010101101</v>
      </c>
    </row>
    <row r="2903" spans="2:2" x14ac:dyDescent="0.25">
      <c r="B2903" s="4" t="str">
        <f>_xlfn.TEXTJOIN(,,'Truth Table'!B2903:M2903)</f>
        <v>001010101101</v>
      </c>
    </row>
    <row r="2904" spans="2:2" x14ac:dyDescent="0.25">
      <c r="B2904" s="4" t="str">
        <f>_xlfn.TEXTJOIN(,,'Truth Table'!B2904:M2904)</f>
        <v>101010101101</v>
      </c>
    </row>
    <row r="2905" spans="2:2" x14ac:dyDescent="0.25">
      <c r="B2905" s="4" t="str">
        <f>_xlfn.TEXTJOIN(,,'Truth Table'!B2905:M2905)</f>
        <v>011010101101</v>
      </c>
    </row>
    <row r="2906" spans="2:2" x14ac:dyDescent="0.25">
      <c r="B2906" s="4" t="str">
        <f>_xlfn.TEXTJOIN(,,'Truth Table'!B2906:M2906)</f>
        <v>111010101101</v>
      </c>
    </row>
    <row r="2907" spans="2:2" x14ac:dyDescent="0.25">
      <c r="B2907" s="4" t="str">
        <f>_xlfn.TEXTJOIN(,,'Truth Table'!B2907:M2907)</f>
        <v>000110101101</v>
      </c>
    </row>
    <row r="2908" spans="2:2" x14ac:dyDescent="0.25">
      <c r="B2908" s="4" t="str">
        <f>_xlfn.TEXTJOIN(,,'Truth Table'!B2908:M2908)</f>
        <v>100110101101</v>
      </c>
    </row>
    <row r="2909" spans="2:2" x14ac:dyDescent="0.25">
      <c r="B2909" s="4" t="str">
        <f>_xlfn.TEXTJOIN(,,'Truth Table'!B2909:M2909)</f>
        <v>010110101101</v>
      </c>
    </row>
    <row r="2910" spans="2:2" x14ac:dyDescent="0.25">
      <c r="B2910" s="4" t="str">
        <f>_xlfn.TEXTJOIN(,,'Truth Table'!B2910:M2910)</f>
        <v>110110101101</v>
      </c>
    </row>
    <row r="2911" spans="2:2" x14ac:dyDescent="0.25">
      <c r="B2911" s="4" t="str">
        <f>_xlfn.TEXTJOIN(,,'Truth Table'!B2911:M2911)</f>
        <v>001110101101</v>
      </c>
    </row>
    <row r="2912" spans="2:2" x14ac:dyDescent="0.25">
      <c r="B2912" s="4" t="str">
        <f>_xlfn.TEXTJOIN(,,'Truth Table'!B2912:M2912)</f>
        <v>101110101101</v>
      </c>
    </row>
    <row r="2913" spans="2:2" x14ac:dyDescent="0.25">
      <c r="B2913" s="4" t="str">
        <f>_xlfn.TEXTJOIN(,,'Truth Table'!B2913:M2913)</f>
        <v>011110101101</v>
      </c>
    </row>
    <row r="2914" spans="2:2" x14ac:dyDescent="0.25">
      <c r="B2914" s="4" t="str">
        <f>_xlfn.TEXTJOIN(,,'Truth Table'!B2914:M2914)</f>
        <v>111110101101</v>
      </c>
    </row>
    <row r="2915" spans="2:2" x14ac:dyDescent="0.25">
      <c r="B2915" s="4" t="str">
        <f>_xlfn.TEXTJOIN(,,'Truth Table'!B2915:M2915)</f>
        <v>000001101101</v>
      </c>
    </row>
    <row r="2916" spans="2:2" x14ac:dyDescent="0.25">
      <c r="B2916" s="4" t="str">
        <f>_xlfn.TEXTJOIN(,,'Truth Table'!B2916:M2916)</f>
        <v>100001101101</v>
      </c>
    </row>
    <row r="2917" spans="2:2" x14ac:dyDescent="0.25">
      <c r="B2917" s="4" t="str">
        <f>_xlfn.TEXTJOIN(,,'Truth Table'!B2917:M2917)</f>
        <v>010001101101</v>
      </c>
    </row>
    <row r="2918" spans="2:2" x14ac:dyDescent="0.25">
      <c r="B2918" s="4" t="str">
        <f>_xlfn.TEXTJOIN(,,'Truth Table'!B2918:M2918)</f>
        <v>110001101101</v>
      </c>
    </row>
    <row r="2919" spans="2:2" x14ac:dyDescent="0.25">
      <c r="B2919" s="4" t="str">
        <f>_xlfn.TEXTJOIN(,,'Truth Table'!B2919:M2919)</f>
        <v>001001101101</v>
      </c>
    </row>
    <row r="2920" spans="2:2" x14ac:dyDescent="0.25">
      <c r="B2920" s="4" t="str">
        <f>_xlfn.TEXTJOIN(,,'Truth Table'!B2920:M2920)</f>
        <v>101001101101</v>
      </c>
    </row>
    <row r="2921" spans="2:2" x14ac:dyDescent="0.25">
      <c r="B2921" s="4" t="str">
        <f>_xlfn.TEXTJOIN(,,'Truth Table'!B2921:M2921)</f>
        <v>011001101101</v>
      </c>
    </row>
    <row r="2922" spans="2:2" x14ac:dyDescent="0.25">
      <c r="B2922" s="4" t="str">
        <f>_xlfn.TEXTJOIN(,,'Truth Table'!B2922:M2922)</f>
        <v>111001101101</v>
      </c>
    </row>
    <row r="2923" spans="2:2" x14ac:dyDescent="0.25">
      <c r="B2923" s="4" t="str">
        <f>_xlfn.TEXTJOIN(,,'Truth Table'!B2923:M2923)</f>
        <v>000101101101</v>
      </c>
    </row>
    <row r="2924" spans="2:2" x14ac:dyDescent="0.25">
      <c r="B2924" s="4" t="str">
        <f>_xlfn.TEXTJOIN(,,'Truth Table'!B2924:M2924)</f>
        <v>100101101101</v>
      </c>
    </row>
    <row r="2925" spans="2:2" x14ac:dyDescent="0.25">
      <c r="B2925" s="4" t="str">
        <f>_xlfn.TEXTJOIN(,,'Truth Table'!B2925:M2925)</f>
        <v>010101101101</v>
      </c>
    </row>
    <row r="2926" spans="2:2" x14ac:dyDescent="0.25">
      <c r="B2926" s="4" t="str">
        <f>_xlfn.TEXTJOIN(,,'Truth Table'!B2926:M2926)</f>
        <v>110101101101</v>
      </c>
    </row>
    <row r="2927" spans="2:2" x14ac:dyDescent="0.25">
      <c r="B2927" s="4" t="str">
        <f>_xlfn.TEXTJOIN(,,'Truth Table'!B2927:M2927)</f>
        <v>001101101101</v>
      </c>
    </row>
    <row r="2928" spans="2:2" x14ac:dyDescent="0.25">
      <c r="B2928" s="4" t="str">
        <f>_xlfn.TEXTJOIN(,,'Truth Table'!B2928:M2928)</f>
        <v>101101101101</v>
      </c>
    </row>
    <row r="2929" spans="2:2" x14ac:dyDescent="0.25">
      <c r="B2929" s="4" t="str">
        <f>_xlfn.TEXTJOIN(,,'Truth Table'!B2929:M2929)</f>
        <v>011101101101</v>
      </c>
    </row>
    <row r="2930" spans="2:2" x14ac:dyDescent="0.25">
      <c r="B2930" s="4" t="str">
        <f>_xlfn.TEXTJOIN(,,'Truth Table'!B2930:M2930)</f>
        <v>111101101101</v>
      </c>
    </row>
    <row r="2931" spans="2:2" x14ac:dyDescent="0.25">
      <c r="B2931" s="4" t="str">
        <f>_xlfn.TEXTJOIN(,,'Truth Table'!B2931:M2931)</f>
        <v>000011101101</v>
      </c>
    </row>
    <row r="2932" spans="2:2" x14ac:dyDescent="0.25">
      <c r="B2932" s="4" t="str">
        <f>_xlfn.TEXTJOIN(,,'Truth Table'!B2932:M2932)</f>
        <v>100011101101</v>
      </c>
    </row>
    <row r="2933" spans="2:2" x14ac:dyDescent="0.25">
      <c r="B2933" s="4" t="str">
        <f>_xlfn.TEXTJOIN(,,'Truth Table'!B2933:M2933)</f>
        <v>010011101101</v>
      </c>
    </row>
    <row r="2934" spans="2:2" x14ac:dyDescent="0.25">
      <c r="B2934" s="4" t="str">
        <f>_xlfn.TEXTJOIN(,,'Truth Table'!B2934:M2934)</f>
        <v>110011101101</v>
      </c>
    </row>
    <row r="2935" spans="2:2" x14ac:dyDescent="0.25">
      <c r="B2935" s="4" t="str">
        <f>_xlfn.TEXTJOIN(,,'Truth Table'!B2935:M2935)</f>
        <v>001011101101</v>
      </c>
    </row>
    <row r="2936" spans="2:2" x14ac:dyDescent="0.25">
      <c r="B2936" s="4" t="str">
        <f>_xlfn.TEXTJOIN(,,'Truth Table'!B2936:M2936)</f>
        <v>101011101101</v>
      </c>
    </row>
    <row r="2937" spans="2:2" x14ac:dyDescent="0.25">
      <c r="B2937" s="4" t="str">
        <f>_xlfn.TEXTJOIN(,,'Truth Table'!B2937:M2937)</f>
        <v>011011101101</v>
      </c>
    </row>
    <row r="2938" spans="2:2" x14ac:dyDescent="0.25">
      <c r="B2938" s="4" t="str">
        <f>_xlfn.TEXTJOIN(,,'Truth Table'!B2938:M2938)</f>
        <v>111011101101</v>
      </c>
    </row>
    <row r="2939" spans="2:2" x14ac:dyDescent="0.25">
      <c r="B2939" s="4" t="str">
        <f>_xlfn.TEXTJOIN(,,'Truth Table'!B2939:M2939)</f>
        <v>000111101101</v>
      </c>
    </row>
    <row r="2940" spans="2:2" x14ac:dyDescent="0.25">
      <c r="B2940" s="4" t="str">
        <f>_xlfn.TEXTJOIN(,,'Truth Table'!B2940:M2940)</f>
        <v>100111101101</v>
      </c>
    </row>
    <row r="2941" spans="2:2" x14ac:dyDescent="0.25">
      <c r="B2941" s="4" t="str">
        <f>_xlfn.TEXTJOIN(,,'Truth Table'!B2941:M2941)</f>
        <v>010111101101</v>
      </c>
    </row>
    <row r="2942" spans="2:2" x14ac:dyDescent="0.25">
      <c r="B2942" s="4" t="str">
        <f>_xlfn.TEXTJOIN(,,'Truth Table'!B2942:M2942)</f>
        <v>110111101101</v>
      </c>
    </row>
    <row r="2943" spans="2:2" x14ac:dyDescent="0.25">
      <c r="B2943" s="4" t="str">
        <f>_xlfn.TEXTJOIN(,,'Truth Table'!B2943:M2943)</f>
        <v>001111101101</v>
      </c>
    </row>
    <row r="2944" spans="2:2" x14ac:dyDescent="0.25">
      <c r="B2944" s="4" t="str">
        <f>_xlfn.TEXTJOIN(,,'Truth Table'!B2944:M2944)</f>
        <v>101111101101</v>
      </c>
    </row>
    <row r="2945" spans="2:2" x14ac:dyDescent="0.25">
      <c r="B2945" s="4" t="str">
        <f>_xlfn.TEXTJOIN(,,'Truth Table'!B2945:M2945)</f>
        <v>011111101101</v>
      </c>
    </row>
    <row r="2946" spans="2:2" x14ac:dyDescent="0.25">
      <c r="B2946" s="4" t="str">
        <f>_xlfn.TEXTJOIN(,,'Truth Table'!B2946:M2946)</f>
        <v>111111101101</v>
      </c>
    </row>
    <row r="2947" spans="2:2" x14ac:dyDescent="0.25">
      <c r="B2947" s="4" t="str">
        <f>_xlfn.TEXTJOIN(,,'Truth Table'!B2947:M2947)</f>
        <v>000000011101</v>
      </c>
    </row>
    <row r="2948" spans="2:2" x14ac:dyDescent="0.25">
      <c r="B2948" s="4" t="str">
        <f>_xlfn.TEXTJOIN(,,'Truth Table'!B2948:M2948)</f>
        <v>100000011101</v>
      </c>
    </row>
    <row r="2949" spans="2:2" x14ac:dyDescent="0.25">
      <c r="B2949" s="4" t="str">
        <f>_xlfn.TEXTJOIN(,,'Truth Table'!B2949:M2949)</f>
        <v>010000011101</v>
      </c>
    </row>
    <row r="2950" spans="2:2" x14ac:dyDescent="0.25">
      <c r="B2950" s="4" t="str">
        <f>_xlfn.TEXTJOIN(,,'Truth Table'!B2950:M2950)</f>
        <v>110000011101</v>
      </c>
    </row>
    <row r="2951" spans="2:2" x14ac:dyDescent="0.25">
      <c r="B2951" s="4" t="str">
        <f>_xlfn.TEXTJOIN(,,'Truth Table'!B2951:M2951)</f>
        <v>001000011101</v>
      </c>
    </row>
    <row r="2952" spans="2:2" x14ac:dyDescent="0.25">
      <c r="B2952" s="4" t="str">
        <f>_xlfn.TEXTJOIN(,,'Truth Table'!B2952:M2952)</f>
        <v>101000011101</v>
      </c>
    </row>
    <row r="2953" spans="2:2" x14ac:dyDescent="0.25">
      <c r="B2953" s="4" t="str">
        <f>_xlfn.TEXTJOIN(,,'Truth Table'!B2953:M2953)</f>
        <v>011000011101</v>
      </c>
    </row>
    <row r="2954" spans="2:2" x14ac:dyDescent="0.25">
      <c r="B2954" s="4" t="str">
        <f>_xlfn.TEXTJOIN(,,'Truth Table'!B2954:M2954)</f>
        <v>111000011101</v>
      </c>
    </row>
    <row r="2955" spans="2:2" x14ac:dyDescent="0.25">
      <c r="B2955" s="4" t="str">
        <f>_xlfn.TEXTJOIN(,,'Truth Table'!B2955:M2955)</f>
        <v>000100011101</v>
      </c>
    </row>
    <row r="2956" spans="2:2" x14ac:dyDescent="0.25">
      <c r="B2956" s="4" t="str">
        <f>_xlfn.TEXTJOIN(,,'Truth Table'!B2956:M2956)</f>
        <v>100100011101</v>
      </c>
    </row>
    <row r="2957" spans="2:2" x14ac:dyDescent="0.25">
      <c r="B2957" s="4" t="str">
        <f>_xlfn.TEXTJOIN(,,'Truth Table'!B2957:M2957)</f>
        <v>010100011101</v>
      </c>
    </row>
    <row r="2958" spans="2:2" x14ac:dyDescent="0.25">
      <c r="B2958" s="4" t="str">
        <f>_xlfn.TEXTJOIN(,,'Truth Table'!B2958:M2958)</f>
        <v>110100011101</v>
      </c>
    </row>
    <row r="2959" spans="2:2" x14ac:dyDescent="0.25">
      <c r="B2959" s="4" t="str">
        <f>_xlfn.TEXTJOIN(,,'Truth Table'!B2959:M2959)</f>
        <v>001100011101</v>
      </c>
    </row>
    <row r="2960" spans="2:2" x14ac:dyDescent="0.25">
      <c r="B2960" s="4" t="str">
        <f>_xlfn.TEXTJOIN(,,'Truth Table'!B2960:M2960)</f>
        <v>101100011101</v>
      </c>
    </row>
    <row r="2961" spans="2:2" x14ac:dyDescent="0.25">
      <c r="B2961" s="4" t="str">
        <f>_xlfn.TEXTJOIN(,,'Truth Table'!B2961:M2961)</f>
        <v>011100011101</v>
      </c>
    </row>
    <row r="2962" spans="2:2" x14ac:dyDescent="0.25">
      <c r="B2962" s="4" t="str">
        <f>_xlfn.TEXTJOIN(,,'Truth Table'!B2962:M2962)</f>
        <v>111100011101</v>
      </c>
    </row>
    <row r="2963" spans="2:2" x14ac:dyDescent="0.25">
      <c r="B2963" s="4" t="str">
        <f>_xlfn.TEXTJOIN(,,'Truth Table'!B2963:M2963)</f>
        <v>000010011101</v>
      </c>
    </row>
    <row r="2964" spans="2:2" x14ac:dyDescent="0.25">
      <c r="B2964" s="4" t="str">
        <f>_xlfn.TEXTJOIN(,,'Truth Table'!B2964:M2964)</f>
        <v>100010011101</v>
      </c>
    </row>
    <row r="2965" spans="2:2" x14ac:dyDescent="0.25">
      <c r="B2965" s="4" t="str">
        <f>_xlfn.TEXTJOIN(,,'Truth Table'!B2965:M2965)</f>
        <v>010010011101</v>
      </c>
    </row>
    <row r="2966" spans="2:2" x14ac:dyDescent="0.25">
      <c r="B2966" s="4" t="str">
        <f>_xlfn.TEXTJOIN(,,'Truth Table'!B2966:M2966)</f>
        <v>110010011101</v>
      </c>
    </row>
    <row r="2967" spans="2:2" x14ac:dyDescent="0.25">
      <c r="B2967" s="4" t="str">
        <f>_xlfn.TEXTJOIN(,,'Truth Table'!B2967:M2967)</f>
        <v>001010011101</v>
      </c>
    </row>
    <row r="2968" spans="2:2" x14ac:dyDescent="0.25">
      <c r="B2968" s="4" t="str">
        <f>_xlfn.TEXTJOIN(,,'Truth Table'!B2968:M2968)</f>
        <v>101010011101</v>
      </c>
    </row>
    <row r="2969" spans="2:2" x14ac:dyDescent="0.25">
      <c r="B2969" s="4" t="str">
        <f>_xlfn.TEXTJOIN(,,'Truth Table'!B2969:M2969)</f>
        <v>011010011101</v>
      </c>
    </row>
    <row r="2970" spans="2:2" x14ac:dyDescent="0.25">
      <c r="B2970" s="4" t="str">
        <f>_xlfn.TEXTJOIN(,,'Truth Table'!B2970:M2970)</f>
        <v>111010011101</v>
      </c>
    </row>
    <row r="2971" spans="2:2" x14ac:dyDescent="0.25">
      <c r="B2971" s="4" t="str">
        <f>_xlfn.TEXTJOIN(,,'Truth Table'!B2971:M2971)</f>
        <v>000110011101</v>
      </c>
    </row>
    <row r="2972" spans="2:2" x14ac:dyDescent="0.25">
      <c r="B2972" s="4" t="str">
        <f>_xlfn.TEXTJOIN(,,'Truth Table'!B2972:M2972)</f>
        <v>100110011101</v>
      </c>
    </row>
    <row r="2973" spans="2:2" x14ac:dyDescent="0.25">
      <c r="B2973" s="4" t="str">
        <f>_xlfn.TEXTJOIN(,,'Truth Table'!B2973:M2973)</f>
        <v>010110011101</v>
      </c>
    </row>
    <row r="2974" spans="2:2" x14ac:dyDescent="0.25">
      <c r="B2974" s="4" t="str">
        <f>_xlfn.TEXTJOIN(,,'Truth Table'!B2974:M2974)</f>
        <v>110110011101</v>
      </c>
    </row>
    <row r="2975" spans="2:2" x14ac:dyDescent="0.25">
      <c r="B2975" s="4" t="str">
        <f>_xlfn.TEXTJOIN(,,'Truth Table'!B2975:M2975)</f>
        <v>001110011101</v>
      </c>
    </row>
    <row r="2976" spans="2:2" x14ac:dyDescent="0.25">
      <c r="B2976" s="4" t="str">
        <f>_xlfn.TEXTJOIN(,,'Truth Table'!B2976:M2976)</f>
        <v>101110011101</v>
      </c>
    </row>
    <row r="2977" spans="2:2" x14ac:dyDescent="0.25">
      <c r="B2977" s="4" t="str">
        <f>_xlfn.TEXTJOIN(,,'Truth Table'!B2977:M2977)</f>
        <v>011110011101</v>
      </c>
    </row>
    <row r="2978" spans="2:2" x14ac:dyDescent="0.25">
      <c r="B2978" s="4" t="str">
        <f>_xlfn.TEXTJOIN(,,'Truth Table'!B2978:M2978)</f>
        <v>111110011101</v>
      </c>
    </row>
    <row r="2979" spans="2:2" x14ac:dyDescent="0.25">
      <c r="B2979" s="4" t="str">
        <f>_xlfn.TEXTJOIN(,,'Truth Table'!B2979:M2979)</f>
        <v>000001011101</v>
      </c>
    </row>
    <row r="2980" spans="2:2" x14ac:dyDescent="0.25">
      <c r="B2980" s="4" t="str">
        <f>_xlfn.TEXTJOIN(,,'Truth Table'!B2980:M2980)</f>
        <v>100001011101</v>
      </c>
    </row>
    <row r="2981" spans="2:2" x14ac:dyDescent="0.25">
      <c r="B2981" s="4" t="str">
        <f>_xlfn.TEXTJOIN(,,'Truth Table'!B2981:M2981)</f>
        <v>010001011101</v>
      </c>
    </row>
    <row r="2982" spans="2:2" x14ac:dyDescent="0.25">
      <c r="B2982" s="4" t="str">
        <f>_xlfn.TEXTJOIN(,,'Truth Table'!B2982:M2982)</f>
        <v>110001011101</v>
      </c>
    </row>
    <row r="2983" spans="2:2" x14ac:dyDescent="0.25">
      <c r="B2983" s="4" t="str">
        <f>_xlfn.TEXTJOIN(,,'Truth Table'!B2983:M2983)</f>
        <v>001001011101</v>
      </c>
    </row>
    <row r="2984" spans="2:2" x14ac:dyDescent="0.25">
      <c r="B2984" s="4" t="str">
        <f>_xlfn.TEXTJOIN(,,'Truth Table'!B2984:M2984)</f>
        <v>101001011101</v>
      </c>
    </row>
    <row r="2985" spans="2:2" x14ac:dyDescent="0.25">
      <c r="B2985" s="4" t="str">
        <f>_xlfn.TEXTJOIN(,,'Truth Table'!B2985:M2985)</f>
        <v>011001011101</v>
      </c>
    </row>
    <row r="2986" spans="2:2" x14ac:dyDescent="0.25">
      <c r="B2986" s="4" t="str">
        <f>_xlfn.TEXTJOIN(,,'Truth Table'!B2986:M2986)</f>
        <v>111001011101</v>
      </c>
    </row>
    <row r="2987" spans="2:2" x14ac:dyDescent="0.25">
      <c r="B2987" s="4" t="str">
        <f>_xlfn.TEXTJOIN(,,'Truth Table'!B2987:M2987)</f>
        <v>000101011101</v>
      </c>
    </row>
    <row r="2988" spans="2:2" x14ac:dyDescent="0.25">
      <c r="B2988" s="4" t="str">
        <f>_xlfn.TEXTJOIN(,,'Truth Table'!B2988:M2988)</f>
        <v>100101011101</v>
      </c>
    </row>
    <row r="2989" spans="2:2" x14ac:dyDescent="0.25">
      <c r="B2989" s="4" t="str">
        <f>_xlfn.TEXTJOIN(,,'Truth Table'!B2989:M2989)</f>
        <v>010101011101</v>
      </c>
    </row>
    <row r="2990" spans="2:2" x14ac:dyDescent="0.25">
      <c r="B2990" s="4" t="str">
        <f>_xlfn.TEXTJOIN(,,'Truth Table'!B2990:M2990)</f>
        <v>110101011101</v>
      </c>
    </row>
    <row r="2991" spans="2:2" x14ac:dyDescent="0.25">
      <c r="B2991" s="4" t="str">
        <f>_xlfn.TEXTJOIN(,,'Truth Table'!B2991:M2991)</f>
        <v>001101011101</v>
      </c>
    </row>
    <row r="2992" spans="2:2" x14ac:dyDescent="0.25">
      <c r="B2992" s="4" t="str">
        <f>_xlfn.TEXTJOIN(,,'Truth Table'!B2992:M2992)</f>
        <v>101101011101</v>
      </c>
    </row>
    <row r="2993" spans="2:2" x14ac:dyDescent="0.25">
      <c r="B2993" s="4" t="str">
        <f>_xlfn.TEXTJOIN(,,'Truth Table'!B2993:M2993)</f>
        <v>011101011101</v>
      </c>
    </row>
    <row r="2994" spans="2:2" x14ac:dyDescent="0.25">
      <c r="B2994" s="4" t="str">
        <f>_xlfn.TEXTJOIN(,,'Truth Table'!B2994:M2994)</f>
        <v>111101011101</v>
      </c>
    </row>
    <row r="2995" spans="2:2" x14ac:dyDescent="0.25">
      <c r="B2995" s="4" t="str">
        <f>_xlfn.TEXTJOIN(,,'Truth Table'!B2995:M2995)</f>
        <v>000011011101</v>
      </c>
    </row>
    <row r="2996" spans="2:2" x14ac:dyDescent="0.25">
      <c r="B2996" s="4" t="str">
        <f>_xlfn.TEXTJOIN(,,'Truth Table'!B2996:M2996)</f>
        <v>100011011101</v>
      </c>
    </row>
    <row r="2997" spans="2:2" x14ac:dyDescent="0.25">
      <c r="B2997" s="4" t="str">
        <f>_xlfn.TEXTJOIN(,,'Truth Table'!B2997:M2997)</f>
        <v>010011011101</v>
      </c>
    </row>
    <row r="2998" spans="2:2" x14ac:dyDescent="0.25">
      <c r="B2998" s="4" t="str">
        <f>_xlfn.TEXTJOIN(,,'Truth Table'!B2998:M2998)</f>
        <v>110011011101</v>
      </c>
    </row>
    <row r="2999" spans="2:2" x14ac:dyDescent="0.25">
      <c r="B2999" s="4" t="str">
        <f>_xlfn.TEXTJOIN(,,'Truth Table'!B2999:M2999)</f>
        <v>001011011101</v>
      </c>
    </row>
    <row r="3000" spans="2:2" x14ac:dyDescent="0.25">
      <c r="B3000" s="4" t="str">
        <f>_xlfn.TEXTJOIN(,,'Truth Table'!B3000:M3000)</f>
        <v>101011011101</v>
      </c>
    </row>
    <row r="3001" spans="2:2" x14ac:dyDescent="0.25">
      <c r="B3001" s="4" t="str">
        <f>_xlfn.TEXTJOIN(,,'Truth Table'!B3001:M3001)</f>
        <v>011011011101</v>
      </c>
    </row>
    <row r="3002" spans="2:2" x14ac:dyDescent="0.25">
      <c r="B3002" s="4" t="str">
        <f>_xlfn.TEXTJOIN(,,'Truth Table'!B3002:M3002)</f>
        <v>111011011101</v>
      </c>
    </row>
    <row r="3003" spans="2:2" x14ac:dyDescent="0.25">
      <c r="B3003" s="4" t="str">
        <f>_xlfn.TEXTJOIN(,,'Truth Table'!B3003:M3003)</f>
        <v>000111011101</v>
      </c>
    </row>
    <row r="3004" spans="2:2" x14ac:dyDescent="0.25">
      <c r="B3004" s="4" t="str">
        <f>_xlfn.TEXTJOIN(,,'Truth Table'!B3004:M3004)</f>
        <v>100111011101</v>
      </c>
    </row>
    <row r="3005" spans="2:2" x14ac:dyDescent="0.25">
      <c r="B3005" s="4" t="str">
        <f>_xlfn.TEXTJOIN(,,'Truth Table'!B3005:M3005)</f>
        <v>010111011101</v>
      </c>
    </row>
    <row r="3006" spans="2:2" x14ac:dyDescent="0.25">
      <c r="B3006" s="4" t="str">
        <f>_xlfn.TEXTJOIN(,,'Truth Table'!B3006:M3006)</f>
        <v>110111011101</v>
      </c>
    </row>
    <row r="3007" spans="2:2" x14ac:dyDescent="0.25">
      <c r="B3007" s="4" t="str">
        <f>_xlfn.TEXTJOIN(,,'Truth Table'!B3007:M3007)</f>
        <v>001111011101</v>
      </c>
    </row>
    <row r="3008" spans="2:2" x14ac:dyDescent="0.25">
      <c r="B3008" s="4" t="str">
        <f>_xlfn.TEXTJOIN(,,'Truth Table'!B3008:M3008)</f>
        <v>101111011101</v>
      </c>
    </row>
    <row r="3009" spans="2:2" x14ac:dyDescent="0.25">
      <c r="B3009" s="4" t="str">
        <f>_xlfn.TEXTJOIN(,,'Truth Table'!B3009:M3009)</f>
        <v>011111011101</v>
      </c>
    </row>
    <row r="3010" spans="2:2" x14ac:dyDescent="0.25">
      <c r="B3010" s="4" t="str">
        <f>_xlfn.TEXTJOIN(,,'Truth Table'!B3010:M3010)</f>
        <v>111111011101</v>
      </c>
    </row>
    <row r="3011" spans="2:2" x14ac:dyDescent="0.25">
      <c r="B3011" s="4" t="str">
        <f>_xlfn.TEXTJOIN(,,'Truth Table'!B3011:M3011)</f>
        <v>000000111101</v>
      </c>
    </row>
    <row r="3012" spans="2:2" x14ac:dyDescent="0.25">
      <c r="B3012" s="4" t="str">
        <f>_xlfn.TEXTJOIN(,,'Truth Table'!B3012:M3012)</f>
        <v>100000111101</v>
      </c>
    </row>
    <row r="3013" spans="2:2" x14ac:dyDescent="0.25">
      <c r="B3013" s="4" t="str">
        <f>_xlfn.TEXTJOIN(,,'Truth Table'!B3013:M3013)</f>
        <v>010000111101</v>
      </c>
    </row>
    <row r="3014" spans="2:2" x14ac:dyDescent="0.25">
      <c r="B3014" s="4" t="str">
        <f>_xlfn.TEXTJOIN(,,'Truth Table'!B3014:M3014)</f>
        <v>110000111101</v>
      </c>
    </row>
    <row r="3015" spans="2:2" x14ac:dyDescent="0.25">
      <c r="B3015" s="4" t="str">
        <f>_xlfn.TEXTJOIN(,,'Truth Table'!B3015:M3015)</f>
        <v>001000111101</v>
      </c>
    </row>
    <row r="3016" spans="2:2" x14ac:dyDescent="0.25">
      <c r="B3016" s="4" t="str">
        <f>_xlfn.TEXTJOIN(,,'Truth Table'!B3016:M3016)</f>
        <v>101000111101</v>
      </c>
    </row>
    <row r="3017" spans="2:2" x14ac:dyDescent="0.25">
      <c r="B3017" s="4" t="str">
        <f>_xlfn.TEXTJOIN(,,'Truth Table'!B3017:M3017)</f>
        <v>011000111101</v>
      </c>
    </row>
    <row r="3018" spans="2:2" x14ac:dyDescent="0.25">
      <c r="B3018" s="4" t="str">
        <f>_xlfn.TEXTJOIN(,,'Truth Table'!B3018:M3018)</f>
        <v>111000111101</v>
      </c>
    </row>
    <row r="3019" spans="2:2" x14ac:dyDescent="0.25">
      <c r="B3019" s="4" t="str">
        <f>_xlfn.TEXTJOIN(,,'Truth Table'!B3019:M3019)</f>
        <v>000100111101</v>
      </c>
    </row>
    <row r="3020" spans="2:2" x14ac:dyDescent="0.25">
      <c r="B3020" s="4" t="str">
        <f>_xlfn.TEXTJOIN(,,'Truth Table'!B3020:M3020)</f>
        <v>100100111101</v>
      </c>
    </row>
    <row r="3021" spans="2:2" x14ac:dyDescent="0.25">
      <c r="B3021" s="4" t="str">
        <f>_xlfn.TEXTJOIN(,,'Truth Table'!B3021:M3021)</f>
        <v>010100111101</v>
      </c>
    </row>
    <row r="3022" spans="2:2" x14ac:dyDescent="0.25">
      <c r="B3022" s="4" t="str">
        <f>_xlfn.TEXTJOIN(,,'Truth Table'!B3022:M3022)</f>
        <v>110100111101</v>
      </c>
    </row>
    <row r="3023" spans="2:2" x14ac:dyDescent="0.25">
      <c r="B3023" s="4" t="str">
        <f>_xlfn.TEXTJOIN(,,'Truth Table'!B3023:M3023)</f>
        <v>001100111101</v>
      </c>
    </row>
    <row r="3024" spans="2:2" x14ac:dyDescent="0.25">
      <c r="B3024" s="4" t="str">
        <f>_xlfn.TEXTJOIN(,,'Truth Table'!B3024:M3024)</f>
        <v>101100111101</v>
      </c>
    </row>
    <row r="3025" spans="2:2" x14ac:dyDescent="0.25">
      <c r="B3025" s="4" t="str">
        <f>_xlfn.TEXTJOIN(,,'Truth Table'!B3025:M3025)</f>
        <v>011100111101</v>
      </c>
    </row>
    <row r="3026" spans="2:2" x14ac:dyDescent="0.25">
      <c r="B3026" s="4" t="str">
        <f>_xlfn.TEXTJOIN(,,'Truth Table'!B3026:M3026)</f>
        <v>111100111101</v>
      </c>
    </row>
    <row r="3027" spans="2:2" x14ac:dyDescent="0.25">
      <c r="B3027" s="4" t="str">
        <f>_xlfn.TEXTJOIN(,,'Truth Table'!B3027:M3027)</f>
        <v>000010111101</v>
      </c>
    </row>
    <row r="3028" spans="2:2" x14ac:dyDescent="0.25">
      <c r="B3028" s="4" t="str">
        <f>_xlfn.TEXTJOIN(,,'Truth Table'!B3028:M3028)</f>
        <v>100010111101</v>
      </c>
    </row>
    <row r="3029" spans="2:2" x14ac:dyDescent="0.25">
      <c r="B3029" s="4" t="str">
        <f>_xlfn.TEXTJOIN(,,'Truth Table'!B3029:M3029)</f>
        <v>010010111101</v>
      </c>
    </row>
    <row r="3030" spans="2:2" x14ac:dyDescent="0.25">
      <c r="B3030" s="4" t="str">
        <f>_xlfn.TEXTJOIN(,,'Truth Table'!B3030:M3030)</f>
        <v>110010111101</v>
      </c>
    </row>
    <row r="3031" spans="2:2" x14ac:dyDescent="0.25">
      <c r="B3031" s="4" t="str">
        <f>_xlfn.TEXTJOIN(,,'Truth Table'!B3031:M3031)</f>
        <v>001010111101</v>
      </c>
    </row>
    <row r="3032" spans="2:2" x14ac:dyDescent="0.25">
      <c r="B3032" s="4" t="str">
        <f>_xlfn.TEXTJOIN(,,'Truth Table'!B3032:M3032)</f>
        <v>101010111101</v>
      </c>
    </row>
    <row r="3033" spans="2:2" x14ac:dyDescent="0.25">
      <c r="B3033" s="4" t="str">
        <f>_xlfn.TEXTJOIN(,,'Truth Table'!B3033:M3033)</f>
        <v>011010111101</v>
      </c>
    </row>
    <row r="3034" spans="2:2" x14ac:dyDescent="0.25">
      <c r="B3034" s="4" t="str">
        <f>_xlfn.TEXTJOIN(,,'Truth Table'!B3034:M3034)</f>
        <v>111010111101</v>
      </c>
    </row>
    <row r="3035" spans="2:2" x14ac:dyDescent="0.25">
      <c r="B3035" s="4" t="str">
        <f>_xlfn.TEXTJOIN(,,'Truth Table'!B3035:M3035)</f>
        <v>000110111101</v>
      </c>
    </row>
    <row r="3036" spans="2:2" x14ac:dyDescent="0.25">
      <c r="B3036" s="4" t="str">
        <f>_xlfn.TEXTJOIN(,,'Truth Table'!B3036:M3036)</f>
        <v>100110111101</v>
      </c>
    </row>
    <row r="3037" spans="2:2" x14ac:dyDescent="0.25">
      <c r="B3037" s="4" t="str">
        <f>_xlfn.TEXTJOIN(,,'Truth Table'!B3037:M3037)</f>
        <v>010110111101</v>
      </c>
    </row>
    <row r="3038" spans="2:2" x14ac:dyDescent="0.25">
      <c r="B3038" s="4" t="str">
        <f>_xlfn.TEXTJOIN(,,'Truth Table'!B3038:M3038)</f>
        <v>110110111101</v>
      </c>
    </row>
    <row r="3039" spans="2:2" x14ac:dyDescent="0.25">
      <c r="B3039" s="4" t="str">
        <f>_xlfn.TEXTJOIN(,,'Truth Table'!B3039:M3039)</f>
        <v>001110111101</v>
      </c>
    </row>
    <row r="3040" spans="2:2" x14ac:dyDescent="0.25">
      <c r="B3040" s="4" t="str">
        <f>_xlfn.TEXTJOIN(,,'Truth Table'!B3040:M3040)</f>
        <v>101110111101</v>
      </c>
    </row>
    <row r="3041" spans="2:2" x14ac:dyDescent="0.25">
      <c r="B3041" s="4" t="str">
        <f>_xlfn.TEXTJOIN(,,'Truth Table'!B3041:M3041)</f>
        <v>011110111101</v>
      </c>
    </row>
    <row r="3042" spans="2:2" x14ac:dyDescent="0.25">
      <c r="B3042" s="4" t="str">
        <f>_xlfn.TEXTJOIN(,,'Truth Table'!B3042:M3042)</f>
        <v>111110111101</v>
      </c>
    </row>
    <row r="3043" spans="2:2" x14ac:dyDescent="0.25">
      <c r="B3043" s="4" t="str">
        <f>_xlfn.TEXTJOIN(,,'Truth Table'!B3043:M3043)</f>
        <v>000001111101</v>
      </c>
    </row>
    <row r="3044" spans="2:2" x14ac:dyDescent="0.25">
      <c r="B3044" s="4" t="str">
        <f>_xlfn.TEXTJOIN(,,'Truth Table'!B3044:M3044)</f>
        <v>100001111101</v>
      </c>
    </row>
    <row r="3045" spans="2:2" x14ac:dyDescent="0.25">
      <c r="B3045" s="4" t="str">
        <f>_xlfn.TEXTJOIN(,,'Truth Table'!B3045:M3045)</f>
        <v>010001111101</v>
      </c>
    </row>
    <row r="3046" spans="2:2" x14ac:dyDescent="0.25">
      <c r="B3046" s="4" t="str">
        <f>_xlfn.TEXTJOIN(,,'Truth Table'!B3046:M3046)</f>
        <v>110001111101</v>
      </c>
    </row>
    <row r="3047" spans="2:2" x14ac:dyDescent="0.25">
      <c r="B3047" s="4" t="str">
        <f>_xlfn.TEXTJOIN(,,'Truth Table'!B3047:M3047)</f>
        <v>001001111101</v>
      </c>
    </row>
    <row r="3048" spans="2:2" x14ac:dyDescent="0.25">
      <c r="B3048" s="4" t="str">
        <f>_xlfn.TEXTJOIN(,,'Truth Table'!B3048:M3048)</f>
        <v>101001111101</v>
      </c>
    </row>
    <row r="3049" spans="2:2" x14ac:dyDescent="0.25">
      <c r="B3049" s="4" t="str">
        <f>_xlfn.TEXTJOIN(,,'Truth Table'!B3049:M3049)</f>
        <v>011001111101</v>
      </c>
    </row>
    <row r="3050" spans="2:2" x14ac:dyDescent="0.25">
      <c r="B3050" s="4" t="str">
        <f>_xlfn.TEXTJOIN(,,'Truth Table'!B3050:M3050)</f>
        <v>111001111101</v>
      </c>
    </row>
    <row r="3051" spans="2:2" x14ac:dyDescent="0.25">
      <c r="B3051" s="4" t="str">
        <f>_xlfn.TEXTJOIN(,,'Truth Table'!B3051:M3051)</f>
        <v>000101111101</v>
      </c>
    </row>
    <row r="3052" spans="2:2" x14ac:dyDescent="0.25">
      <c r="B3052" s="4" t="str">
        <f>_xlfn.TEXTJOIN(,,'Truth Table'!B3052:M3052)</f>
        <v>100101111101</v>
      </c>
    </row>
    <row r="3053" spans="2:2" x14ac:dyDescent="0.25">
      <c r="B3053" s="4" t="str">
        <f>_xlfn.TEXTJOIN(,,'Truth Table'!B3053:M3053)</f>
        <v>010101111101</v>
      </c>
    </row>
    <row r="3054" spans="2:2" x14ac:dyDescent="0.25">
      <c r="B3054" s="4" t="str">
        <f>_xlfn.TEXTJOIN(,,'Truth Table'!B3054:M3054)</f>
        <v>110101111101</v>
      </c>
    </row>
    <row r="3055" spans="2:2" x14ac:dyDescent="0.25">
      <c r="B3055" s="4" t="str">
        <f>_xlfn.TEXTJOIN(,,'Truth Table'!B3055:M3055)</f>
        <v>001101111101</v>
      </c>
    </row>
    <row r="3056" spans="2:2" x14ac:dyDescent="0.25">
      <c r="B3056" s="4" t="str">
        <f>_xlfn.TEXTJOIN(,,'Truth Table'!B3056:M3056)</f>
        <v>101101111101</v>
      </c>
    </row>
    <row r="3057" spans="2:2" x14ac:dyDescent="0.25">
      <c r="B3057" s="4" t="str">
        <f>_xlfn.TEXTJOIN(,,'Truth Table'!B3057:M3057)</f>
        <v>011101111101</v>
      </c>
    </row>
    <row r="3058" spans="2:2" x14ac:dyDescent="0.25">
      <c r="B3058" s="4" t="str">
        <f>_xlfn.TEXTJOIN(,,'Truth Table'!B3058:M3058)</f>
        <v>111101111101</v>
      </c>
    </row>
    <row r="3059" spans="2:2" x14ac:dyDescent="0.25">
      <c r="B3059" s="4" t="str">
        <f>_xlfn.TEXTJOIN(,,'Truth Table'!B3059:M3059)</f>
        <v>000011111101</v>
      </c>
    </row>
    <row r="3060" spans="2:2" x14ac:dyDescent="0.25">
      <c r="B3060" s="4" t="str">
        <f>_xlfn.TEXTJOIN(,,'Truth Table'!B3060:M3060)</f>
        <v>100011111101</v>
      </c>
    </row>
    <row r="3061" spans="2:2" x14ac:dyDescent="0.25">
      <c r="B3061" s="4" t="str">
        <f>_xlfn.TEXTJOIN(,,'Truth Table'!B3061:M3061)</f>
        <v>010011111101</v>
      </c>
    </row>
    <row r="3062" spans="2:2" x14ac:dyDescent="0.25">
      <c r="B3062" s="4" t="str">
        <f>_xlfn.TEXTJOIN(,,'Truth Table'!B3062:M3062)</f>
        <v>110011111101</v>
      </c>
    </row>
    <row r="3063" spans="2:2" x14ac:dyDescent="0.25">
      <c r="B3063" s="4" t="str">
        <f>_xlfn.TEXTJOIN(,,'Truth Table'!B3063:M3063)</f>
        <v>001011111101</v>
      </c>
    </row>
    <row r="3064" spans="2:2" x14ac:dyDescent="0.25">
      <c r="B3064" s="4" t="str">
        <f>_xlfn.TEXTJOIN(,,'Truth Table'!B3064:M3064)</f>
        <v>101011111101</v>
      </c>
    </row>
    <row r="3065" spans="2:2" x14ac:dyDescent="0.25">
      <c r="B3065" s="4" t="str">
        <f>_xlfn.TEXTJOIN(,,'Truth Table'!B3065:M3065)</f>
        <v>011011111101</v>
      </c>
    </row>
    <row r="3066" spans="2:2" x14ac:dyDescent="0.25">
      <c r="B3066" s="4" t="str">
        <f>_xlfn.TEXTJOIN(,,'Truth Table'!B3066:M3066)</f>
        <v>111011111101</v>
      </c>
    </row>
    <row r="3067" spans="2:2" x14ac:dyDescent="0.25">
      <c r="B3067" s="4" t="str">
        <f>_xlfn.TEXTJOIN(,,'Truth Table'!B3067:M3067)</f>
        <v>000111111101</v>
      </c>
    </row>
    <row r="3068" spans="2:2" x14ac:dyDescent="0.25">
      <c r="B3068" s="4" t="str">
        <f>_xlfn.TEXTJOIN(,,'Truth Table'!B3068:M3068)</f>
        <v>100111111101</v>
      </c>
    </row>
    <row r="3069" spans="2:2" x14ac:dyDescent="0.25">
      <c r="B3069" s="4" t="str">
        <f>_xlfn.TEXTJOIN(,,'Truth Table'!B3069:M3069)</f>
        <v>010111111101</v>
      </c>
    </row>
    <row r="3070" spans="2:2" x14ac:dyDescent="0.25">
      <c r="B3070" s="4" t="str">
        <f>_xlfn.TEXTJOIN(,,'Truth Table'!B3070:M3070)</f>
        <v>110111111101</v>
      </c>
    </row>
    <row r="3071" spans="2:2" x14ac:dyDescent="0.25">
      <c r="B3071" s="4" t="str">
        <f>_xlfn.TEXTJOIN(,,'Truth Table'!B3071:M3071)</f>
        <v>001111111101</v>
      </c>
    </row>
    <row r="3072" spans="2:2" x14ac:dyDescent="0.25">
      <c r="B3072" s="4" t="str">
        <f>_xlfn.TEXTJOIN(,,'Truth Table'!B3072:M3072)</f>
        <v>101111111101</v>
      </c>
    </row>
    <row r="3073" spans="2:2" x14ac:dyDescent="0.25">
      <c r="B3073" s="4" t="str">
        <f>_xlfn.TEXTJOIN(,,'Truth Table'!B3073:M3073)</f>
        <v>011111111101</v>
      </c>
    </row>
    <row r="3074" spans="2:2" x14ac:dyDescent="0.25">
      <c r="B3074" s="4" t="str">
        <f>_xlfn.TEXTJOIN(,,'Truth Table'!B3074:M3074)</f>
        <v>111111111101</v>
      </c>
    </row>
    <row r="3075" spans="2:2" x14ac:dyDescent="0.25">
      <c r="B3075" s="4" t="str">
        <f>_xlfn.TEXTJOIN(,,'Truth Table'!B3075:M3075)</f>
        <v>000000000011</v>
      </c>
    </row>
    <row r="3076" spans="2:2" x14ac:dyDescent="0.25">
      <c r="B3076" s="4" t="str">
        <f>_xlfn.TEXTJOIN(,,'Truth Table'!B3076:M3076)</f>
        <v>100000000011</v>
      </c>
    </row>
    <row r="3077" spans="2:2" x14ac:dyDescent="0.25">
      <c r="B3077" s="4" t="str">
        <f>_xlfn.TEXTJOIN(,,'Truth Table'!B3077:M3077)</f>
        <v>010000000011</v>
      </c>
    </row>
    <row r="3078" spans="2:2" x14ac:dyDescent="0.25">
      <c r="B3078" s="4" t="str">
        <f>_xlfn.TEXTJOIN(,,'Truth Table'!B3078:M3078)</f>
        <v>110000000011</v>
      </c>
    </row>
    <row r="3079" spans="2:2" x14ac:dyDescent="0.25">
      <c r="B3079" s="4" t="str">
        <f>_xlfn.TEXTJOIN(,,'Truth Table'!B3079:M3079)</f>
        <v>001000000011</v>
      </c>
    </row>
    <row r="3080" spans="2:2" x14ac:dyDescent="0.25">
      <c r="B3080" s="4" t="str">
        <f>_xlfn.TEXTJOIN(,,'Truth Table'!B3080:M3080)</f>
        <v>101000000011</v>
      </c>
    </row>
    <row r="3081" spans="2:2" x14ac:dyDescent="0.25">
      <c r="B3081" s="4" t="str">
        <f>_xlfn.TEXTJOIN(,,'Truth Table'!B3081:M3081)</f>
        <v>011000000011</v>
      </c>
    </row>
    <row r="3082" spans="2:2" x14ac:dyDescent="0.25">
      <c r="B3082" s="4" t="str">
        <f>_xlfn.TEXTJOIN(,,'Truth Table'!B3082:M3082)</f>
        <v>111000000011</v>
      </c>
    </row>
    <row r="3083" spans="2:2" x14ac:dyDescent="0.25">
      <c r="B3083" s="4" t="str">
        <f>_xlfn.TEXTJOIN(,,'Truth Table'!B3083:M3083)</f>
        <v>000100000011</v>
      </c>
    </row>
    <row r="3084" spans="2:2" x14ac:dyDescent="0.25">
      <c r="B3084" s="4" t="str">
        <f>_xlfn.TEXTJOIN(,,'Truth Table'!B3084:M3084)</f>
        <v>100100000011</v>
      </c>
    </row>
    <row r="3085" spans="2:2" x14ac:dyDescent="0.25">
      <c r="B3085" s="4" t="str">
        <f>_xlfn.TEXTJOIN(,,'Truth Table'!B3085:M3085)</f>
        <v>010100000011</v>
      </c>
    </row>
    <row r="3086" spans="2:2" x14ac:dyDescent="0.25">
      <c r="B3086" s="4" t="str">
        <f>_xlfn.TEXTJOIN(,,'Truth Table'!B3086:M3086)</f>
        <v>110100000011</v>
      </c>
    </row>
    <row r="3087" spans="2:2" x14ac:dyDescent="0.25">
      <c r="B3087" s="4" t="str">
        <f>_xlfn.TEXTJOIN(,,'Truth Table'!B3087:M3087)</f>
        <v>001100000011</v>
      </c>
    </row>
    <row r="3088" spans="2:2" x14ac:dyDescent="0.25">
      <c r="B3088" s="4" t="str">
        <f>_xlfn.TEXTJOIN(,,'Truth Table'!B3088:M3088)</f>
        <v>101100000011</v>
      </c>
    </row>
    <row r="3089" spans="2:2" x14ac:dyDescent="0.25">
      <c r="B3089" s="4" t="str">
        <f>_xlfn.TEXTJOIN(,,'Truth Table'!B3089:M3089)</f>
        <v>011100000011</v>
      </c>
    </row>
    <row r="3090" spans="2:2" x14ac:dyDescent="0.25">
      <c r="B3090" s="4" t="str">
        <f>_xlfn.TEXTJOIN(,,'Truth Table'!B3090:M3090)</f>
        <v>111100000011</v>
      </c>
    </row>
    <row r="3091" spans="2:2" x14ac:dyDescent="0.25">
      <c r="B3091" s="4" t="str">
        <f>_xlfn.TEXTJOIN(,,'Truth Table'!B3091:M3091)</f>
        <v>000010000011</v>
      </c>
    </row>
    <row r="3092" spans="2:2" x14ac:dyDescent="0.25">
      <c r="B3092" s="4" t="str">
        <f>_xlfn.TEXTJOIN(,,'Truth Table'!B3092:M3092)</f>
        <v>100010000011</v>
      </c>
    </row>
    <row r="3093" spans="2:2" x14ac:dyDescent="0.25">
      <c r="B3093" s="4" t="str">
        <f>_xlfn.TEXTJOIN(,,'Truth Table'!B3093:M3093)</f>
        <v>010010000011</v>
      </c>
    </row>
    <row r="3094" spans="2:2" x14ac:dyDescent="0.25">
      <c r="B3094" s="4" t="str">
        <f>_xlfn.TEXTJOIN(,,'Truth Table'!B3094:M3094)</f>
        <v>110010000011</v>
      </c>
    </row>
    <row r="3095" spans="2:2" x14ac:dyDescent="0.25">
      <c r="B3095" s="4" t="str">
        <f>_xlfn.TEXTJOIN(,,'Truth Table'!B3095:M3095)</f>
        <v>001010000011</v>
      </c>
    </row>
    <row r="3096" spans="2:2" x14ac:dyDescent="0.25">
      <c r="B3096" s="4" t="str">
        <f>_xlfn.TEXTJOIN(,,'Truth Table'!B3096:M3096)</f>
        <v>101010000011</v>
      </c>
    </row>
    <row r="3097" spans="2:2" x14ac:dyDescent="0.25">
      <c r="B3097" s="4" t="str">
        <f>_xlfn.TEXTJOIN(,,'Truth Table'!B3097:M3097)</f>
        <v>011010000011</v>
      </c>
    </row>
    <row r="3098" spans="2:2" x14ac:dyDescent="0.25">
      <c r="B3098" s="4" t="str">
        <f>_xlfn.TEXTJOIN(,,'Truth Table'!B3098:M3098)</f>
        <v>111010000011</v>
      </c>
    </row>
    <row r="3099" spans="2:2" x14ac:dyDescent="0.25">
      <c r="B3099" s="4" t="str">
        <f>_xlfn.TEXTJOIN(,,'Truth Table'!B3099:M3099)</f>
        <v>000110000011</v>
      </c>
    </row>
    <row r="3100" spans="2:2" x14ac:dyDescent="0.25">
      <c r="B3100" s="4" t="str">
        <f>_xlfn.TEXTJOIN(,,'Truth Table'!B3100:M3100)</f>
        <v>100110000011</v>
      </c>
    </row>
    <row r="3101" spans="2:2" x14ac:dyDescent="0.25">
      <c r="B3101" s="4" t="str">
        <f>_xlfn.TEXTJOIN(,,'Truth Table'!B3101:M3101)</f>
        <v>010110000011</v>
      </c>
    </row>
    <row r="3102" spans="2:2" x14ac:dyDescent="0.25">
      <c r="B3102" s="4" t="str">
        <f>_xlfn.TEXTJOIN(,,'Truth Table'!B3102:M3102)</f>
        <v>110110000011</v>
      </c>
    </row>
    <row r="3103" spans="2:2" x14ac:dyDescent="0.25">
      <c r="B3103" s="4" t="str">
        <f>_xlfn.TEXTJOIN(,,'Truth Table'!B3103:M3103)</f>
        <v>001110000011</v>
      </c>
    </row>
    <row r="3104" spans="2:2" x14ac:dyDescent="0.25">
      <c r="B3104" s="4" t="str">
        <f>_xlfn.TEXTJOIN(,,'Truth Table'!B3104:M3104)</f>
        <v>101110000011</v>
      </c>
    </row>
    <row r="3105" spans="2:2" x14ac:dyDescent="0.25">
      <c r="B3105" s="4" t="str">
        <f>_xlfn.TEXTJOIN(,,'Truth Table'!B3105:M3105)</f>
        <v>011110000011</v>
      </c>
    </row>
    <row r="3106" spans="2:2" x14ac:dyDescent="0.25">
      <c r="B3106" s="4" t="str">
        <f>_xlfn.TEXTJOIN(,,'Truth Table'!B3106:M3106)</f>
        <v>111110000011</v>
      </c>
    </row>
    <row r="3107" spans="2:2" x14ac:dyDescent="0.25">
      <c r="B3107" s="4" t="str">
        <f>_xlfn.TEXTJOIN(,,'Truth Table'!B3107:M3107)</f>
        <v>000001000011</v>
      </c>
    </row>
    <row r="3108" spans="2:2" x14ac:dyDescent="0.25">
      <c r="B3108" s="4" t="str">
        <f>_xlfn.TEXTJOIN(,,'Truth Table'!B3108:M3108)</f>
        <v>100001000011</v>
      </c>
    </row>
    <row r="3109" spans="2:2" x14ac:dyDescent="0.25">
      <c r="B3109" s="4" t="str">
        <f>_xlfn.TEXTJOIN(,,'Truth Table'!B3109:M3109)</f>
        <v>010001000011</v>
      </c>
    </row>
    <row r="3110" spans="2:2" x14ac:dyDescent="0.25">
      <c r="B3110" s="4" t="str">
        <f>_xlfn.TEXTJOIN(,,'Truth Table'!B3110:M3110)</f>
        <v>110001000011</v>
      </c>
    </row>
    <row r="3111" spans="2:2" x14ac:dyDescent="0.25">
      <c r="B3111" s="4" t="str">
        <f>_xlfn.TEXTJOIN(,,'Truth Table'!B3111:M3111)</f>
        <v>001001000011</v>
      </c>
    </row>
    <row r="3112" spans="2:2" x14ac:dyDescent="0.25">
      <c r="B3112" s="4" t="str">
        <f>_xlfn.TEXTJOIN(,,'Truth Table'!B3112:M3112)</f>
        <v>101001000011</v>
      </c>
    </row>
    <row r="3113" spans="2:2" x14ac:dyDescent="0.25">
      <c r="B3113" s="4" t="str">
        <f>_xlfn.TEXTJOIN(,,'Truth Table'!B3113:M3113)</f>
        <v>011001000011</v>
      </c>
    </row>
    <row r="3114" spans="2:2" x14ac:dyDescent="0.25">
      <c r="B3114" s="4" t="str">
        <f>_xlfn.TEXTJOIN(,,'Truth Table'!B3114:M3114)</f>
        <v>111001000011</v>
      </c>
    </row>
    <row r="3115" spans="2:2" x14ac:dyDescent="0.25">
      <c r="B3115" s="4" t="str">
        <f>_xlfn.TEXTJOIN(,,'Truth Table'!B3115:M3115)</f>
        <v>000101000011</v>
      </c>
    </row>
    <row r="3116" spans="2:2" x14ac:dyDescent="0.25">
      <c r="B3116" s="4" t="str">
        <f>_xlfn.TEXTJOIN(,,'Truth Table'!B3116:M3116)</f>
        <v>100101000011</v>
      </c>
    </row>
    <row r="3117" spans="2:2" x14ac:dyDescent="0.25">
      <c r="B3117" s="4" t="str">
        <f>_xlfn.TEXTJOIN(,,'Truth Table'!B3117:M3117)</f>
        <v>010101000011</v>
      </c>
    </row>
    <row r="3118" spans="2:2" x14ac:dyDescent="0.25">
      <c r="B3118" s="4" t="str">
        <f>_xlfn.TEXTJOIN(,,'Truth Table'!B3118:M3118)</f>
        <v>110101000011</v>
      </c>
    </row>
    <row r="3119" spans="2:2" x14ac:dyDescent="0.25">
      <c r="B3119" s="4" t="str">
        <f>_xlfn.TEXTJOIN(,,'Truth Table'!B3119:M3119)</f>
        <v>001101000011</v>
      </c>
    </row>
    <row r="3120" spans="2:2" x14ac:dyDescent="0.25">
      <c r="B3120" s="4" t="str">
        <f>_xlfn.TEXTJOIN(,,'Truth Table'!B3120:M3120)</f>
        <v>101101000011</v>
      </c>
    </row>
    <row r="3121" spans="2:2" x14ac:dyDescent="0.25">
      <c r="B3121" s="4" t="str">
        <f>_xlfn.TEXTJOIN(,,'Truth Table'!B3121:M3121)</f>
        <v>011101000011</v>
      </c>
    </row>
    <row r="3122" spans="2:2" x14ac:dyDescent="0.25">
      <c r="B3122" s="4" t="str">
        <f>_xlfn.TEXTJOIN(,,'Truth Table'!B3122:M3122)</f>
        <v>111101000011</v>
      </c>
    </row>
    <row r="3123" spans="2:2" x14ac:dyDescent="0.25">
      <c r="B3123" s="4" t="str">
        <f>_xlfn.TEXTJOIN(,,'Truth Table'!B3123:M3123)</f>
        <v>000011000011</v>
      </c>
    </row>
    <row r="3124" spans="2:2" x14ac:dyDescent="0.25">
      <c r="B3124" s="4" t="str">
        <f>_xlfn.TEXTJOIN(,,'Truth Table'!B3124:M3124)</f>
        <v>100011000011</v>
      </c>
    </row>
    <row r="3125" spans="2:2" x14ac:dyDescent="0.25">
      <c r="B3125" s="4" t="str">
        <f>_xlfn.TEXTJOIN(,,'Truth Table'!B3125:M3125)</f>
        <v>010011000011</v>
      </c>
    </row>
    <row r="3126" spans="2:2" x14ac:dyDescent="0.25">
      <c r="B3126" s="4" t="str">
        <f>_xlfn.TEXTJOIN(,,'Truth Table'!B3126:M3126)</f>
        <v>110011000011</v>
      </c>
    </row>
    <row r="3127" spans="2:2" x14ac:dyDescent="0.25">
      <c r="B3127" s="4" t="str">
        <f>_xlfn.TEXTJOIN(,,'Truth Table'!B3127:M3127)</f>
        <v>001011000011</v>
      </c>
    </row>
    <row r="3128" spans="2:2" x14ac:dyDescent="0.25">
      <c r="B3128" s="4" t="str">
        <f>_xlfn.TEXTJOIN(,,'Truth Table'!B3128:M3128)</f>
        <v>101011000011</v>
      </c>
    </row>
    <row r="3129" spans="2:2" x14ac:dyDescent="0.25">
      <c r="B3129" s="4" t="str">
        <f>_xlfn.TEXTJOIN(,,'Truth Table'!B3129:M3129)</f>
        <v>011011000011</v>
      </c>
    </row>
    <row r="3130" spans="2:2" x14ac:dyDescent="0.25">
      <c r="B3130" s="4" t="str">
        <f>_xlfn.TEXTJOIN(,,'Truth Table'!B3130:M3130)</f>
        <v>111011000011</v>
      </c>
    </row>
    <row r="3131" spans="2:2" x14ac:dyDescent="0.25">
      <c r="B3131" s="4" t="str">
        <f>_xlfn.TEXTJOIN(,,'Truth Table'!B3131:M3131)</f>
        <v>000111000011</v>
      </c>
    </row>
    <row r="3132" spans="2:2" x14ac:dyDescent="0.25">
      <c r="B3132" s="4" t="str">
        <f>_xlfn.TEXTJOIN(,,'Truth Table'!B3132:M3132)</f>
        <v>100111000011</v>
      </c>
    </row>
    <row r="3133" spans="2:2" x14ac:dyDescent="0.25">
      <c r="B3133" s="4" t="str">
        <f>_xlfn.TEXTJOIN(,,'Truth Table'!B3133:M3133)</f>
        <v>010111000011</v>
      </c>
    </row>
    <row r="3134" spans="2:2" x14ac:dyDescent="0.25">
      <c r="B3134" s="4" t="str">
        <f>_xlfn.TEXTJOIN(,,'Truth Table'!B3134:M3134)</f>
        <v>110111000011</v>
      </c>
    </row>
    <row r="3135" spans="2:2" x14ac:dyDescent="0.25">
      <c r="B3135" s="4" t="str">
        <f>_xlfn.TEXTJOIN(,,'Truth Table'!B3135:M3135)</f>
        <v>001111000011</v>
      </c>
    </row>
    <row r="3136" spans="2:2" x14ac:dyDescent="0.25">
      <c r="B3136" s="4" t="str">
        <f>_xlfn.TEXTJOIN(,,'Truth Table'!B3136:M3136)</f>
        <v>101111000011</v>
      </c>
    </row>
    <row r="3137" spans="2:2" x14ac:dyDescent="0.25">
      <c r="B3137" s="4" t="str">
        <f>_xlfn.TEXTJOIN(,,'Truth Table'!B3137:M3137)</f>
        <v>011111000011</v>
      </c>
    </row>
    <row r="3138" spans="2:2" x14ac:dyDescent="0.25">
      <c r="B3138" s="4" t="str">
        <f>_xlfn.TEXTJOIN(,,'Truth Table'!B3138:M3138)</f>
        <v>111111000011</v>
      </c>
    </row>
    <row r="3139" spans="2:2" x14ac:dyDescent="0.25">
      <c r="B3139" s="4" t="str">
        <f>_xlfn.TEXTJOIN(,,'Truth Table'!B3139:M3139)</f>
        <v>000000100011</v>
      </c>
    </row>
    <row r="3140" spans="2:2" x14ac:dyDescent="0.25">
      <c r="B3140" s="4" t="str">
        <f>_xlfn.TEXTJOIN(,,'Truth Table'!B3140:M3140)</f>
        <v>100000100011</v>
      </c>
    </row>
    <row r="3141" spans="2:2" x14ac:dyDescent="0.25">
      <c r="B3141" s="4" t="str">
        <f>_xlfn.TEXTJOIN(,,'Truth Table'!B3141:M3141)</f>
        <v>010000100011</v>
      </c>
    </row>
    <row r="3142" spans="2:2" x14ac:dyDescent="0.25">
      <c r="B3142" s="4" t="str">
        <f>_xlfn.TEXTJOIN(,,'Truth Table'!B3142:M3142)</f>
        <v>110000100011</v>
      </c>
    </row>
    <row r="3143" spans="2:2" x14ac:dyDescent="0.25">
      <c r="B3143" s="4" t="str">
        <f>_xlfn.TEXTJOIN(,,'Truth Table'!B3143:M3143)</f>
        <v>001000100011</v>
      </c>
    </row>
    <row r="3144" spans="2:2" x14ac:dyDescent="0.25">
      <c r="B3144" s="4" t="str">
        <f>_xlfn.TEXTJOIN(,,'Truth Table'!B3144:M3144)</f>
        <v>101000100011</v>
      </c>
    </row>
    <row r="3145" spans="2:2" x14ac:dyDescent="0.25">
      <c r="B3145" s="4" t="str">
        <f>_xlfn.TEXTJOIN(,,'Truth Table'!B3145:M3145)</f>
        <v>011000100011</v>
      </c>
    </row>
    <row r="3146" spans="2:2" x14ac:dyDescent="0.25">
      <c r="B3146" s="4" t="str">
        <f>_xlfn.TEXTJOIN(,,'Truth Table'!B3146:M3146)</f>
        <v>111000100011</v>
      </c>
    </row>
    <row r="3147" spans="2:2" x14ac:dyDescent="0.25">
      <c r="B3147" s="4" t="str">
        <f>_xlfn.TEXTJOIN(,,'Truth Table'!B3147:M3147)</f>
        <v>000100100011</v>
      </c>
    </row>
    <row r="3148" spans="2:2" x14ac:dyDescent="0.25">
      <c r="B3148" s="4" t="str">
        <f>_xlfn.TEXTJOIN(,,'Truth Table'!B3148:M3148)</f>
        <v>100100100011</v>
      </c>
    </row>
    <row r="3149" spans="2:2" x14ac:dyDescent="0.25">
      <c r="B3149" s="4" t="str">
        <f>_xlfn.TEXTJOIN(,,'Truth Table'!B3149:M3149)</f>
        <v>010100100011</v>
      </c>
    </row>
    <row r="3150" spans="2:2" x14ac:dyDescent="0.25">
      <c r="B3150" s="4" t="str">
        <f>_xlfn.TEXTJOIN(,,'Truth Table'!B3150:M3150)</f>
        <v>110100100011</v>
      </c>
    </row>
    <row r="3151" spans="2:2" x14ac:dyDescent="0.25">
      <c r="B3151" s="4" t="str">
        <f>_xlfn.TEXTJOIN(,,'Truth Table'!B3151:M3151)</f>
        <v>001100100011</v>
      </c>
    </row>
    <row r="3152" spans="2:2" x14ac:dyDescent="0.25">
      <c r="B3152" s="4" t="str">
        <f>_xlfn.TEXTJOIN(,,'Truth Table'!B3152:M3152)</f>
        <v>101100100011</v>
      </c>
    </row>
    <row r="3153" spans="2:2" x14ac:dyDescent="0.25">
      <c r="B3153" s="4" t="str">
        <f>_xlfn.TEXTJOIN(,,'Truth Table'!B3153:M3153)</f>
        <v>011100100011</v>
      </c>
    </row>
    <row r="3154" spans="2:2" x14ac:dyDescent="0.25">
      <c r="B3154" s="4" t="str">
        <f>_xlfn.TEXTJOIN(,,'Truth Table'!B3154:M3154)</f>
        <v>111100100011</v>
      </c>
    </row>
    <row r="3155" spans="2:2" x14ac:dyDescent="0.25">
      <c r="B3155" s="4" t="str">
        <f>_xlfn.TEXTJOIN(,,'Truth Table'!B3155:M3155)</f>
        <v>000010100011</v>
      </c>
    </row>
    <row r="3156" spans="2:2" x14ac:dyDescent="0.25">
      <c r="B3156" s="4" t="str">
        <f>_xlfn.TEXTJOIN(,,'Truth Table'!B3156:M3156)</f>
        <v>100010100011</v>
      </c>
    </row>
    <row r="3157" spans="2:2" x14ac:dyDescent="0.25">
      <c r="B3157" s="4" t="str">
        <f>_xlfn.TEXTJOIN(,,'Truth Table'!B3157:M3157)</f>
        <v>010010100011</v>
      </c>
    </row>
    <row r="3158" spans="2:2" x14ac:dyDescent="0.25">
      <c r="B3158" s="4" t="str">
        <f>_xlfn.TEXTJOIN(,,'Truth Table'!B3158:M3158)</f>
        <v>110010100011</v>
      </c>
    </row>
    <row r="3159" spans="2:2" x14ac:dyDescent="0.25">
      <c r="B3159" s="4" t="str">
        <f>_xlfn.TEXTJOIN(,,'Truth Table'!B3159:M3159)</f>
        <v>001010100011</v>
      </c>
    </row>
    <row r="3160" spans="2:2" x14ac:dyDescent="0.25">
      <c r="B3160" s="4" t="str">
        <f>_xlfn.TEXTJOIN(,,'Truth Table'!B3160:M3160)</f>
        <v>101010100011</v>
      </c>
    </row>
    <row r="3161" spans="2:2" x14ac:dyDescent="0.25">
      <c r="B3161" s="4" t="str">
        <f>_xlfn.TEXTJOIN(,,'Truth Table'!B3161:M3161)</f>
        <v>011010100011</v>
      </c>
    </row>
    <row r="3162" spans="2:2" x14ac:dyDescent="0.25">
      <c r="B3162" s="4" t="str">
        <f>_xlfn.TEXTJOIN(,,'Truth Table'!B3162:M3162)</f>
        <v>111010100011</v>
      </c>
    </row>
    <row r="3163" spans="2:2" x14ac:dyDescent="0.25">
      <c r="B3163" s="4" t="str">
        <f>_xlfn.TEXTJOIN(,,'Truth Table'!B3163:M3163)</f>
        <v>000110100011</v>
      </c>
    </row>
    <row r="3164" spans="2:2" x14ac:dyDescent="0.25">
      <c r="B3164" s="4" t="str">
        <f>_xlfn.TEXTJOIN(,,'Truth Table'!B3164:M3164)</f>
        <v>100110100011</v>
      </c>
    </row>
    <row r="3165" spans="2:2" x14ac:dyDescent="0.25">
      <c r="B3165" s="4" t="str">
        <f>_xlfn.TEXTJOIN(,,'Truth Table'!B3165:M3165)</f>
        <v>010110100011</v>
      </c>
    </row>
    <row r="3166" spans="2:2" x14ac:dyDescent="0.25">
      <c r="B3166" s="4" t="str">
        <f>_xlfn.TEXTJOIN(,,'Truth Table'!B3166:M3166)</f>
        <v>110110100011</v>
      </c>
    </row>
    <row r="3167" spans="2:2" x14ac:dyDescent="0.25">
      <c r="B3167" s="4" t="str">
        <f>_xlfn.TEXTJOIN(,,'Truth Table'!B3167:M3167)</f>
        <v>001110100011</v>
      </c>
    </row>
    <row r="3168" spans="2:2" x14ac:dyDescent="0.25">
      <c r="B3168" s="4" t="str">
        <f>_xlfn.TEXTJOIN(,,'Truth Table'!B3168:M3168)</f>
        <v>101110100011</v>
      </c>
    </row>
    <row r="3169" spans="2:2" x14ac:dyDescent="0.25">
      <c r="B3169" s="4" t="str">
        <f>_xlfn.TEXTJOIN(,,'Truth Table'!B3169:M3169)</f>
        <v>011110100011</v>
      </c>
    </row>
    <row r="3170" spans="2:2" x14ac:dyDescent="0.25">
      <c r="B3170" s="4" t="str">
        <f>_xlfn.TEXTJOIN(,,'Truth Table'!B3170:M3170)</f>
        <v>111110100011</v>
      </c>
    </row>
    <row r="3171" spans="2:2" x14ac:dyDescent="0.25">
      <c r="B3171" s="4" t="str">
        <f>_xlfn.TEXTJOIN(,,'Truth Table'!B3171:M3171)</f>
        <v>000001100011</v>
      </c>
    </row>
    <row r="3172" spans="2:2" x14ac:dyDescent="0.25">
      <c r="B3172" s="4" t="str">
        <f>_xlfn.TEXTJOIN(,,'Truth Table'!B3172:M3172)</f>
        <v>100001100011</v>
      </c>
    </row>
    <row r="3173" spans="2:2" x14ac:dyDescent="0.25">
      <c r="B3173" s="4" t="str">
        <f>_xlfn.TEXTJOIN(,,'Truth Table'!B3173:M3173)</f>
        <v>010001100011</v>
      </c>
    </row>
    <row r="3174" spans="2:2" x14ac:dyDescent="0.25">
      <c r="B3174" s="4" t="str">
        <f>_xlfn.TEXTJOIN(,,'Truth Table'!B3174:M3174)</f>
        <v>110001100011</v>
      </c>
    </row>
    <row r="3175" spans="2:2" x14ac:dyDescent="0.25">
      <c r="B3175" s="4" t="str">
        <f>_xlfn.TEXTJOIN(,,'Truth Table'!B3175:M3175)</f>
        <v>001001100011</v>
      </c>
    </row>
    <row r="3176" spans="2:2" x14ac:dyDescent="0.25">
      <c r="B3176" s="4" t="str">
        <f>_xlfn.TEXTJOIN(,,'Truth Table'!B3176:M3176)</f>
        <v>101001100011</v>
      </c>
    </row>
    <row r="3177" spans="2:2" x14ac:dyDescent="0.25">
      <c r="B3177" s="4" t="str">
        <f>_xlfn.TEXTJOIN(,,'Truth Table'!B3177:M3177)</f>
        <v>011001100011</v>
      </c>
    </row>
    <row r="3178" spans="2:2" x14ac:dyDescent="0.25">
      <c r="B3178" s="4" t="str">
        <f>_xlfn.TEXTJOIN(,,'Truth Table'!B3178:M3178)</f>
        <v>111001100011</v>
      </c>
    </row>
    <row r="3179" spans="2:2" x14ac:dyDescent="0.25">
      <c r="B3179" s="4" t="str">
        <f>_xlfn.TEXTJOIN(,,'Truth Table'!B3179:M3179)</f>
        <v>000101100011</v>
      </c>
    </row>
    <row r="3180" spans="2:2" x14ac:dyDescent="0.25">
      <c r="B3180" s="4" t="str">
        <f>_xlfn.TEXTJOIN(,,'Truth Table'!B3180:M3180)</f>
        <v>100101100011</v>
      </c>
    </row>
    <row r="3181" spans="2:2" x14ac:dyDescent="0.25">
      <c r="B3181" s="4" t="str">
        <f>_xlfn.TEXTJOIN(,,'Truth Table'!B3181:M3181)</f>
        <v>010101100011</v>
      </c>
    </row>
    <row r="3182" spans="2:2" x14ac:dyDescent="0.25">
      <c r="B3182" s="4" t="str">
        <f>_xlfn.TEXTJOIN(,,'Truth Table'!B3182:M3182)</f>
        <v>110101100011</v>
      </c>
    </row>
    <row r="3183" spans="2:2" x14ac:dyDescent="0.25">
      <c r="B3183" s="4" t="str">
        <f>_xlfn.TEXTJOIN(,,'Truth Table'!B3183:M3183)</f>
        <v>001101100011</v>
      </c>
    </row>
    <row r="3184" spans="2:2" x14ac:dyDescent="0.25">
      <c r="B3184" s="4" t="str">
        <f>_xlfn.TEXTJOIN(,,'Truth Table'!B3184:M3184)</f>
        <v>101101100011</v>
      </c>
    </row>
    <row r="3185" spans="2:2" x14ac:dyDescent="0.25">
      <c r="B3185" s="4" t="str">
        <f>_xlfn.TEXTJOIN(,,'Truth Table'!B3185:M3185)</f>
        <v>011101100011</v>
      </c>
    </row>
    <row r="3186" spans="2:2" x14ac:dyDescent="0.25">
      <c r="B3186" s="4" t="str">
        <f>_xlfn.TEXTJOIN(,,'Truth Table'!B3186:M3186)</f>
        <v>111101100011</v>
      </c>
    </row>
    <row r="3187" spans="2:2" x14ac:dyDescent="0.25">
      <c r="B3187" s="4" t="str">
        <f>_xlfn.TEXTJOIN(,,'Truth Table'!B3187:M3187)</f>
        <v>000011100011</v>
      </c>
    </row>
    <row r="3188" spans="2:2" x14ac:dyDescent="0.25">
      <c r="B3188" s="4" t="str">
        <f>_xlfn.TEXTJOIN(,,'Truth Table'!B3188:M3188)</f>
        <v>100011100011</v>
      </c>
    </row>
    <row r="3189" spans="2:2" x14ac:dyDescent="0.25">
      <c r="B3189" s="4" t="str">
        <f>_xlfn.TEXTJOIN(,,'Truth Table'!B3189:M3189)</f>
        <v>010011100011</v>
      </c>
    </row>
    <row r="3190" spans="2:2" x14ac:dyDescent="0.25">
      <c r="B3190" s="4" t="str">
        <f>_xlfn.TEXTJOIN(,,'Truth Table'!B3190:M3190)</f>
        <v>110011100011</v>
      </c>
    </row>
    <row r="3191" spans="2:2" x14ac:dyDescent="0.25">
      <c r="B3191" s="4" t="str">
        <f>_xlfn.TEXTJOIN(,,'Truth Table'!B3191:M3191)</f>
        <v>001011100011</v>
      </c>
    </row>
    <row r="3192" spans="2:2" x14ac:dyDescent="0.25">
      <c r="B3192" s="4" t="str">
        <f>_xlfn.TEXTJOIN(,,'Truth Table'!B3192:M3192)</f>
        <v>101011100011</v>
      </c>
    </row>
    <row r="3193" spans="2:2" x14ac:dyDescent="0.25">
      <c r="B3193" s="4" t="str">
        <f>_xlfn.TEXTJOIN(,,'Truth Table'!B3193:M3193)</f>
        <v>011011100011</v>
      </c>
    </row>
    <row r="3194" spans="2:2" x14ac:dyDescent="0.25">
      <c r="B3194" s="4" t="str">
        <f>_xlfn.TEXTJOIN(,,'Truth Table'!B3194:M3194)</f>
        <v>111011100011</v>
      </c>
    </row>
    <row r="3195" spans="2:2" x14ac:dyDescent="0.25">
      <c r="B3195" s="4" t="str">
        <f>_xlfn.TEXTJOIN(,,'Truth Table'!B3195:M3195)</f>
        <v>000111100011</v>
      </c>
    </row>
    <row r="3196" spans="2:2" x14ac:dyDescent="0.25">
      <c r="B3196" s="4" t="str">
        <f>_xlfn.TEXTJOIN(,,'Truth Table'!B3196:M3196)</f>
        <v>100111100011</v>
      </c>
    </row>
    <row r="3197" spans="2:2" x14ac:dyDescent="0.25">
      <c r="B3197" s="4" t="str">
        <f>_xlfn.TEXTJOIN(,,'Truth Table'!B3197:M3197)</f>
        <v>010111100011</v>
      </c>
    </row>
    <row r="3198" spans="2:2" x14ac:dyDescent="0.25">
      <c r="B3198" s="4" t="str">
        <f>_xlfn.TEXTJOIN(,,'Truth Table'!B3198:M3198)</f>
        <v>110111100011</v>
      </c>
    </row>
    <row r="3199" spans="2:2" x14ac:dyDescent="0.25">
      <c r="B3199" s="4" t="str">
        <f>_xlfn.TEXTJOIN(,,'Truth Table'!B3199:M3199)</f>
        <v>001111100011</v>
      </c>
    </row>
    <row r="3200" spans="2:2" x14ac:dyDescent="0.25">
      <c r="B3200" s="4" t="str">
        <f>_xlfn.TEXTJOIN(,,'Truth Table'!B3200:M3200)</f>
        <v>101111100011</v>
      </c>
    </row>
    <row r="3201" spans="2:2" x14ac:dyDescent="0.25">
      <c r="B3201" s="4" t="str">
        <f>_xlfn.TEXTJOIN(,,'Truth Table'!B3201:M3201)</f>
        <v>011111100011</v>
      </c>
    </row>
    <row r="3202" spans="2:2" x14ac:dyDescent="0.25">
      <c r="B3202" s="4" t="str">
        <f>_xlfn.TEXTJOIN(,,'Truth Table'!B3202:M3202)</f>
        <v>111111100011</v>
      </c>
    </row>
    <row r="3203" spans="2:2" x14ac:dyDescent="0.25">
      <c r="B3203" s="4" t="str">
        <f>_xlfn.TEXTJOIN(,,'Truth Table'!B3203:M3203)</f>
        <v>000000010011</v>
      </c>
    </row>
    <row r="3204" spans="2:2" x14ac:dyDescent="0.25">
      <c r="B3204" s="4" t="str">
        <f>_xlfn.TEXTJOIN(,,'Truth Table'!B3204:M3204)</f>
        <v>100000010011</v>
      </c>
    </row>
    <row r="3205" spans="2:2" x14ac:dyDescent="0.25">
      <c r="B3205" s="4" t="str">
        <f>_xlfn.TEXTJOIN(,,'Truth Table'!B3205:M3205)</f>
        <v>010000010011</v>
      </c>
    </row>
    <row r="3206" spans="2:2" x14ac:dyDescent="0.25">
      <c r="B3206" s="4" t="str">
        <f>_xlfn.TEXTJOIN(,,'Truth Table'!B3206:M3206)</f>
        <v>110000010011</v>
      </c>
    </row>
    <row r="3207" spans="2:2" x14ac:dyDescent="0.25">
      <c r="B3207" s="4" t="str">
        <f>_xlfn.TEXTJOIN(,,'Truth Table'!B3207:M3207)</f>
        <v>001000010011</v>
      </c>
    </row>
    <row r="3208" spans="2:2" x14ac:dyDescent="0.25">
      <c r="B3208" s="4" t="str">
        <f>_xlfn.TEXTJOIN(,,'Truth Table'!B3208:M3208)</f>
        <v>101000010011</v>
      </c>
    </row>
    <row r="3209" spans="2:2" x14ac:dyDescent="0.25">
      <c r="B3209" s="4" t="str">
        <f>_xlfn.TEXTJOIN(,,'Truth Table'!B3209:M3209)</f>
        <v>011000010011</v>
      </c>
    </row>
    <row r="3210" spans="2:2" x14ac:dyDescent="0.25">
      <c r="B3210" s="4" t="str">
        <f>_xlfn.TEXTJOIN(,,'Truth Table'!B3210:M3210)</f>
        <v>111000010011</v>
      </c>
    </row>
    <row r="3211" spans="2:2" x14ac:dyDescent="0.25">
      <c r="B3211" s="4" t="str">
        <f>_xlfn.TEXTJOIN(,,'Truth Table'!B3211:M3211)</f>
        <v>000100010011</v>
      </c>
    </row>
    <row r="3212" spans="2:2" x14ac:dyDescent="0.25">
      <c r="B3212" s="4" t="str">
        <f>_xlfn.TEXTJOIN(,,'Truth Table'!B3212:M3212)</f>
        <v>100100010011</v>
      </c>
    </row>
    <row r="3213" spans="2:2" x14ac:dyDescent="0.25">
      <c r="B3213" s="4" t="str">
        <f>_xlfn.TEXTJOIN(,,'Truth Table'!B3213:M3213)</f>
        <v>010100010011</v>
      </c>
    </row>
    <row r="3214" spans="2:2" x14ac:dyDescent="0.25">
      <c r="B3214" s="4" t="str">
        <f>_xlfn.TEXTJOIN(,,'Truth Table'!B3214:M3214)</f>
        <v>110100010011</v>
      </c>
    </row>
    <row r="3215" spans="2:2" x14ac:dyDescent="0.25">
      <c r="B3215" s="4" t="str">
        <f>_xlfn.TEXTJOIN(,,'Truth Table'!B3215:M3215)</f>
        <v>001100010011</v>
      </c>
    </row>
    <row r="3216" spans="2:2" x14ac:dyDescent="0.25">
      <c r="B3216" s="4" t="str">
        <f>_xlfn.TEXTJOIN(,,'Truth Table'!B3216:M3216)</f>
        <v>101100010011</v>
      </c>
    </row>
    <row r="3217" spans="2:2" x14ac:dyDescent="0.25">
      <c r="B3217" s="4" t="str">
        <f>_xlfn.TEXTJOIN(,,'Truth Table'!B3217:M3217)</f>
        <v>011100010011</v>
      </c>
    </row>
    <row r="3218" spans="2:2" x14ac:dyDescent="0.25">
      <c r="B3218" s="4" t="str">
        <f>_xlfn.TEXTJOIN(,,'Truth Table'!B3218:M3218)</f>
        <v>111100010011</v>
      </c>
    </row>
    <row r="3219" spans="2:2" x14ac:dyDescent="0.25">
      <c r="B3219" s="4" t="str">
        <f>_xlfn.TEXTJOIN(,,'Truth Table'!B3219:M3219)</f>
        <v>000010010011</v>
      </c>
    </row>
    <row r="3220" spans="2:2" x14ac:dyDescent="0.25">
      <c r="B3220" s="4" t="str">
        <f>_xlfn.TEXTJOIN(,,'Truth Table'!B3220:M3220)</f>
        <v>100010010011</v>
      </c>
    </row>
    <row r="3221" spans="2:2" x14ac:dyDescent="0.25">
      <c r="B3221" s="4" t="str">
        <f>_xlfn.TEXTJOIN(,,'Truth Table'!B3221:M3221)</f>
        <v>010010010011</v>
      </c>
    </row>
    <row r="3222" spans="2:2" x14ac:dyDescent="0.25">
      <c r="B3222" s="4" t="str">
        <f>_xlfn.TEXTJOIN(,,'Truth Table'!B3222:M3222)</f>
        <v>110010010011</v>
      </c>
    </row>
    <row r="3223" spans="2:2" x14ac:dyDescent="0.25">
      <c r="B3223" s="4" t="str">
        <f>_xlfn.TEXTJOIN(,,'Truth Table'!B3223:M3223)</f>
        <v>001010010011</v>
      </c>
    </row>
    <row r="3224" spans="2:2" x14ac:dyDescent="0.25">
      <c r="B3224" s="4" t="str">
        <f>_xlfn.TEXTJOIN(,,'Truth Table'!B3224:M3224)</f>
        <v>101010010011</v>
      </c>
    </row>
    <row r="3225" spans="2:2" x14ac:dyDescent="0.25">
      <c r="B3225" s="4" t="str">
        <f>_xlfn.TEXTJOIN(,,'Truth Table'!B3225:M3225)</f>
        <v>011010010011</v>
      </c>
    </row>
    <row r="3226" spans="2:2" x14ac:dyDescent="0.25">
      <c r="B3226" s="4" t="str">
        <f>_xlfn.TEXTJOIN(,,'Truth Table'!B3226:M3226)</f>
        <v>111010010011</v>
      </c>
    </row>
    <row r="3227" spans="2:2" x14ac:dyDescent="0.25">
      <c r="B3227" s="4" t="str">
        <f>_xlfn.TEXTJOIN(,,'Truth Table'!B3227:M3227)</f>
        <v>000110010011</v>
      </c>
    </row>
    <row r="3228" spans="2:2" x14ac:dyDescent="0.25">
      <c r="B3228" s="4" t="str">
        <f>_xlfn.TEXTJOIN(,,'Truth Table'!B3228:M3228)</f>
        <v>100110010011</v>
      </c>
    </row>
    <row r="3229" spans="2:2" x14ac:dyDescent="0.25">
      <c r="B3229" s="4" t="str">
        <f>_xlfn.TEXTJOIN(,,'Truth Table'!B3229:M3229)</f>
        <v>010110010011</v>
      </c>
    </row>
    <row r="3230" spans="2:2" x14ac:dyDescent="0.25">
      <c r="B3230" s="4" t="str">
        <f>_xlfn.TEXTJOIN(,,'Truth Table'!B3230:M3230)</f>
        <v>110110010011</v>
      </c>
    </row>
    <row r="3231" spans="2:2" x14ac:dyDescent="0.25">
      <c r="B3231" s="4" t="str">
        <f>_xlfn.TEXTJOIN(,,'Truth Table'!B3231:M3231)</f>
        <v>001110010011</v>
      </c>
    </row>
    <row r="3232" spans="2:2" x14ac:dyDescent="0.25">
      <c r="B3232" s="4" t="str">
        <f>_xlfn.TEXTJOIN(,,'Truth Table'!B3232:M3232)</f>
        <v>101110010011</v>
      </c>
    </row>
    <row r="3233" spans="2:2" x14ac:dyDescent="0.25">
      <c r="B3233" s="4" t="str">
        <f>_xlfn.TEXTJOIN(,,'Truth Table'!B3233:M3233)</f>
        <v>011110010011</v>
      </c>
    </row>
    <row r="3234" spans="2:2" x14ac:dyDescent="0.25">
      <c r="B3234" s="4" t="str">
        <f>_xlfn.TEXTJOIN(,,'Truth Table'!B3234:M3234)</f>
        <v>111110010011</v>
      </c>
    </row>
    <row r="3235" spans="2:2" x14ac:dyDescent="0.25">
      <c r="B3235" s="4" t="str">
        <f>_xlfn.TEXTJOIN(,,'Truth Table'!B3235:M3235)</f>
        <v>000001010011</v>
      </c>
    </row>
    <row r="3236" spans="2:2" x14ac:dyDescent="0.25">
      <c r="B3236" s="4" t="str">
        <f>_xlfn.TEXTJOIN(,,'Truth Table'!B3236:M3236)</f>
        <v>100001010011</v>
      </c>
    </row>
    <row r="3237" spans="2:2" x14ac:dyDescent="0.25">
      <c r="B3237" s="4" t="str">
        <f>_xlfn.TEXTJOIN(,,'Truth Table'!B3237:M3237)</f>
        <v>010001010011</v>
      </c>
    </row>
    <row r="3238" spans="2:2" x14ac:dyDescent="0.25">
      <c r="B3238" s="4" t="str">
        <f>_xlfn.TEXTJOIN(,,'Truth Table'!B3238:M3238)</f>
        <v>110001010011</v>
      </c>
    </row>
    <row r="3239" spans="2:2" x14ac:dyDescent="0.25">
      <c r="B3239" s="4" t="str">
        <f>_xlfn.TEXTJOIN(,,'Truth Table'!B3239:M3239)</f>
        <v>001001010011</v>
      </c>
    </row>
    <row r="3240" spans="2:2" x14ac:dyDescent="0.25">
      <c r="B3240" s="4" t="str">
        <f>_xlfn.TEXTJOIN(,,'Truth Table'!B3240:M3240)</f>
        <v>101001010011</v>
      </c>
    </row>
    <row r="3241" spans="2:2" x14ac:dyDescent="0.25">
      <c r="B3241" s="4" t="str">
        <f>_xlfn.TEXTJOIN(,,'Truth Table'!B3241:M3241)</f>
        <v>011001010011</v>
      </c>
    </row>
    <row r="3242" spans="2:2" x14ac:dyDescent="0.25">
      <c r="B3242" s="4" t="str">
        <f>_xlfn.TEXTJOIN(,,'Truth Table'!B3242:M3242)</f>
        <v>111001010011</v>
      </c>
    </row>
    <row r="3243" spans="2:2" x14ac:dyDescent="0.25">
      <c r="B3243" s="4" t="str">
        <f>_xlfn.TEXTJOIN(,,'Truth Table'!B3243:M3243)</f>
        <v>000101010011</v>
      </c>
    </row>
    <row r="3244" spans="2:2" x14ac:dyDescent="0.25">
      <c r="B3244" s="4" t="str">
        <f>_xlfn.TEXTJOIN(,,'Truth Table'!B3244:M3244)</f>
        <v>100101010011</v>
      </c>
    </row>
    <row r="3245" spans="2:2" x14ac:dyDescent="0.25">
      <c r="B3245" s="4" t="str">
        <f>_xlfn.TEXTJOIN(,,'Truth Table'!B3245:M3245)</f>
        <v>010101010011</v>
      </c>
    </row>
    <row r="3246" spans="2:2" x14ac:dyDescent="0.25">
      <c r="B3246" s="4" t="str">
        <f>_xlfn.TEXTJOIN(,,'Truth Table'!B3246:M3246)</f>
        <v>110101010011</v>
      </c>
    </row>
    <row r="3247" spans="2:2" x14ac:dyDescent="0.25">
      <c r="B3247" s="4" t="str">
        <f>_xlfn.TEXTJOIN(,,'Truth Table'!B3247:M3247)</f>
        <v>001101010011</v>
      </c>
    </row>
    <row r="3248" spans="2:2" x14ac:dyDescent="0.25">
      <c r="B3248" s="4" t="str">
        <f>_xlfn.TEXTJOIN(,,'Truth Table'!B3248:M3248)</f>
        <v>101101010011</v>
      </c>
    </row>
    <row r="3249" spans="2:2" x14ac:dyDescent="0.25">
      <c r="B3249" s="4" t="str">
        <f>_xlfn.TEXTJOIN(,,'Truth Table'!B3249:M3249)</f>
        <v>011101010011</v>
      </c>
    </row>
    <row r="3250" spans="2:2" x14ac:dyDescent="0.25">
      <c r="B3250" s="4" t="str">
        <f>_xlfn.TEXTJOIN(,,'Truth Table'!B3250:M3250)</f>
        <v>111101010011</v>
      </c>
    </row>
    <row r="3251" spans="2:2" x14ac:dyDescent="0.25">
      <c r="B3251" s="4" t="str">
        <f>_xlfn.TEXTJOIN(,,'Truth Table'!B3251:M3251)</f>
        <v>000011010011</v>
      </c>
    </row>
    <row r="3252" spans="2:2" x14ac:dyDescent="0.25">
      <c r="B3252" s="4" t="str">
        <f>_xlfn.TEXTJOIN(,,'Truth Table'!B3252:M3252)</f>
        <v>100011010011</v>
      </c>
    </row>
    <row r="3253" spans="2:2" x14ac:dyDescent="0.25">
      <c r="B3253" s="4" t="str">
        <f>_xlfn.TEXTJOIN(,,'Truth Table'!B3253:M3253)</f>
        <v>010011010011</v>
      </c>
    </row>
    <row r="3254" spans="2:2" x14ac:dyDescent="0.25">
      <c r="B3254" s="4" t="str">
        <f>_xlfn.TEXTJOIN(,,'Truth Table'!B3254:M3254)</f>
        <v>110011010011</v>
      </c>
    </row>
    <row r="3255" spans="2:2" x14ac:dyDescent="0.25">
      <c r="B3255" s="4" t="str">
        <f>_xlfn.TEXTJOIN(,,'Truth Table'!B3255:M3255)</f>
        <v>001011010011</v>
      </c>
    </row>
    <row r="3256" spans="2:2" x14ac:dyDescent="0.25">
      <c r="B3256" s="4" t="str">
        <f>_xlfn.TEXTJOIN(,,'Truth Table'!B3256:M3256)</f>
        <v>101011010011</v>
      </c>
    </row>
    <row r="3257" spans="2:2" x14ac:dyDescent="0.25">
      <c r="B3257" s="4" t="str">
        <f>_xlfn.TEXTJOIN(,,'Truth Table'!B3257:M3257)</f>
        <v>011011010011</v>
      </c>
    </row>
    <row r="3258" spans="2:2" x14ac:dyDescent="0.25">
      <c r="B3258" s="4" t="str">
        <f>_xlfn.TEXTJOIN(,,'Truth Table'!B3258:M3258)</f>
        <v>111011010011</v>
      </c>
    </row>
    <row r="3259" spans="2:2" x14ac:dyDescent="0.25">
      <c r="B3259" s="4" t="str">
        <f>_xlfn.TEXTJOIN(,,'Truth Table'!B3259:M3259)</f>
        <v>000111010011</v>
      </c>
    </row>
    <row r="3260" spans="2:2" x14ac:dyDescent="0.25">
      <c r="B3260" s="4" t="str">
        <f>_xlfn.TEXTJOIN(,,'Truth Table'!B3260:M3260)</f>
        <v>100111010011</v>
      </c>
    </row>
    <row r="3261" spans="2:2" x14ac:dyDescent="0.25">
      <c r="B3261" s="4" t="str">
        <f>_xlfn.TEXTJOIN(,,'Truth Table'!B3261:M3261)</f>
        <v>010111010011</v>
      </c>
    </row>
    <row r="3262" spans="2:2" x14ac:dyDescent="0.25">
      <c r="B3262" s="4" t="str">
        <f>_xlfn.TEXTJOIN(,,'Truth Table'!B3262:M3262)</f>
        <v>110111010011</v>
      </c>
    </row>
    <row r="3263" spans="2:2" x14ac:dyDescent="0.25">
      <c r="B3263" s="4" t="str">
        <f>_xlfn.TEXTJOIN(,,'Truth Table'!B3263:M3263)</f>
        <v>001111010011</v>
      </c>
    </row>
    <row r="3264" spans="2:2" x14ac:dyDescent="0.25">
      <c r="B3264" s="4" t="str">
        <f>_xlfn.TEXTJOIN(,,'Truth Table'!B3264:M3264)</f>
        <v>101111010011</v>
      </c>
    </row>
    <row r="3265" spans="2:2" x14ac:dyDescent="0.25">
      <c r="B3265" s="4" t="str">
        <f>_xlfn.TEXTJOIN(,,'Truth Table'!B3265:M3265)</f>
        <v>011111010011</v>
      </c>
    </row>
    <row r="3266" spans="2:2" x14ac:dyDescent="0.25">
      <c r="B3266" s="4" t="str">
        <f>_xlfn.TEXTJOIN(,,'Truth Table'!B3266:M3266)</f>
        <v>111111010011</v>
      </c>
    </row>
    <row r="3267" spans="2:2" x14ac:dyDescent="0.25">
      <c r="B3267" s="4" t="str">
        <f>_xlfn.TEXTJOIN(,,'Truth Table'!B3267:M3267)</f>
        <v>000000110011</v>
      </c>
    </row>
    <row r="3268" spans="2:2" x14ac:dyDescent="0.25">
      <c r="B3268" s="4" t="str">
        <f>_xlfn.TEXTJOIN(,,'Truth Table'!B3268:M3268)</f>
        <v>100000110011</v>
      </c>
    </row>
    <row r="3269" spans="2:2" x14ac:dyDescent="0.25">
      <c r="B3269" s="4" t="str">
        <f>_xlfn.TEXTJOIN(,,'Truth Table'!B3269:M3269)</f>
        <v>010000110011</v>
      </c>
    </row>
    <row r="3270" spans="2:2" x14ac:dyDescent="0.25">
      <c r="B3270" s="4" t="str">
        <f>_xlfn.TEXTJOIN(,,'Truth Table'!B3270:M3270)</f>
        <v>110000110011</v>
      </c>
    </row>
    <row r="3271" spans="2:2" x14ac:dyDescent="0.25">
      <c r="B3271" s="4" t="str">
        <f>_xlfn.TEXTJOIN(,,'Truth Table'!B3271:M3271)</f>
        <v>001000110011</v>
      </c>
    </row>
    <row r="3272" spans="2:2" x14ac:dyDescent="0.25">
      <c r="B3272" s="4" t="str">
        <f>_xlfn.TEXTJOIN(,,'Truth Table'!B3272:M3272)</f>
        <v>101000110011</v>
      </c>
    </row>
    <row r="3273" spans="2:2" x14ac:dyDescent="0.25">
      <c r="B3273" s="4" t="str">
        <f>_xlfn.TEXTJOIN(,,'Truth Table'!B3273:M3273)</f>
        <v>011000110011</v>
      </c>
    </row>
    <row r="3274" spans="2:2" x14ac:dyDescent="0.25">
      <c r="B3274" s="4" t="str">
        <f>_xlfn.TEXTJOIN(,,'Truth Table'!B3274:M3274)</f>
        <v>111000110011</v>
      </c>
    </row>
    <row r="3275" spans="2:2" x14ac:dyDescent="0.25">
      <c r="B3275" s="4" t="str">
        <f>_xlfn.TEXTJOIN(,,'Truth Table'!B3275:M3275)</f>
        <v>000100110011</v>
      </c>
    </row>
    <row r="3276" spans="2:2" x14ac:dyDescent="0.25">
      <c r="B3276" s="4" t="str">
        <f>_xlfn.TEXTJOIN(,,'Truth Table'!B3276:M3276)</f>
        <v>100100110011</v>
      </c>
    </row>
    <row r="3277" spans="2:2" x14ac:dyDescent="0.25">
      <c r="B3277" s="4" t="str">
        <f>_xlfn.TEXTJOIN(,,'Truth Table'!B3277:M3277)</f>
        <v>010100110011</v>
      </c>
    </row>
    <row r="3278" spans="2:2" x14ac:dyDescent="0.25">
      <c r="B3278" s="4" t="str">
        <f>_xlfn.TEXTJOIN(,,'Truth Table'!B3278:M3278)</f>
        <v>110100110011</v>
      </c>
    </row>
    <row r="3279" spans="2:2" x14ac:dyDescent="0.25">
      <c r="B3279" s="4" t="str">
        <f>_xlfn.TEXTJOIN(,,'Truth Table'!B3279:M3279)</f>
        <v>001100110011</v>
      </c>
    </row>
    <row r="3280" spans="2:2" x14ac:dyDescent="0.25">
      <c r="B3280" s="4" t="str">
        <f>_xlfn.TEXTJOIN(,,'Truth Table'!B3280:M3280)</f>
        <v>101100110011</v>
      </c>
    </row>
    <row r="3281" spans="2:2" x14ac:dyDescent="0.25">
      <c r="B3281" s="4" t="str">
        <f>_xlfn.TEXTJOIN(,,'Truth Table'!B3281:M3281)</f>
        <v>011100110011</v>
      </c>
    </row>
    <row r="3282" spans="2:2" x14ac:dyDescent="0.25">
      <c r="B3282" s="4" t="str">
        <f>_xlfn.TEXTJOIN(,,'Truth Table'!B3282:M3282)</f>
        <v>111100110011</v>
      </c>
    </row>
    <row r="3283" spans="2:2" x14ac:dyDescent="0.25">
      <c r="B3283" s="4" t="str">
        <f>_xlfn.TEXTJOIN(,,'Truth Table'!B3283:M3283)</f>
        <v>000010110011</v>
      </c>
    </row>
    <row r="3284" spans="2:2" x14ac:dyDescent="0.25">
      <c r="B3284" s="4" t="str">
        <f>_xlfn.TEXTJOIN(,,'Truth Table'!B3284:M3284)</f>
        <v>100010110011</v>
      </c>
    </row>
    <row r="3285" spans="2:2" x14ac:dyDescent="0.25">
      <c r="B3285" s="4" t="str">
        <f>_xlfn.TEXTJOIN(,,'Truth Table'!B3285:M3285)</f>
        <v>010010110011</v>
      </c>
    </row>
    <row r="3286" spans="2:2" x14ac:dyDescent="0.25">
      <c r="B3286" s="4" t="str">
        <f>_xlfn.TEXTJOIN(,,'Truth Table'!B3286:M3286)</f>
        <v>110010110011</v>
      </c>
    </row>
    <row r="3287" spans="2:2" x14ac:dyDescent="0.25">
      <c r="B3287" s="4" t="str">
        <f>_xlfn.TEXTJOIN(,,'Truth Table'!B3287:M3287)</f>
        <v>001010110011</v>
      </c>
    </row>
    <row r="3288" spans="2:2" x14ac:dyDescent="0.25">
      <c r="B3288" s="4" t="str">
        <f>_xlfn.TEXTJOIN(,,'Truth Table'!B3288:M3288)</f>
        <v>101010110011</v>
      </c>
    </row>
    <row r="3289" spans="2:2" x14ac:dyDescent="0.25">
      <c r="B3289" s="4" t="str">
        <f>_xlfn.TEXTJOIN(,,'Truth Table'!B3289:M3289)</f>
        <v>011010110011</v>
      </c>
    </row>
    <row r="3290" spans="2:2" x14ac:dyDescent="0.25">
      <c r="B3290" s="4" t="str">
        <f>_xlfn.TEXTJOIN(,,'Truth Table'!B3290:M3290)</f>
        <v>111010110011</v>
      </c>
    </row>
    <row r="3291" spans="2:2" x14ac:dyDescent="0.25">
      <c r="B3291" s="4" t="str">
        <f>_xlfn.TEXTJOIN(,,'Truth Table'!B3291:M3291)</f>
        <v>000110110011</v>
      </c>
    </row>
    <row r="3292" spans="2:2" x14ac:dyDescent="0.25">
      <c r="B3292" s="4" t="str">
        <f>_xlfn.TEXTJOIN(,,'Truth Table'!B3292:M3292)</f>
        <v>100110110011</v>
      </c>
    </row>
    <row r="3293" spans="2:2" x14ac:dyDescent="0.25">
      <c r="B3293" s="4" t="str">
        <f>_xlfn.TEXTJOIN(,,'Truth Table'!B3293:M3293)</f>
        <v>010110110011</v>
      </c>
    </row>
    <row r="3294" spans="2:2" x14ac:dyDescent="0.25">
      <c r="B3294" s="4" t="str">
        <f>_xlfn.TEXTJOIN(,,'Truth Table'!B3294:M3294)</f>
        <v>110110110011</v>
      </c>
    </row>
    <row r="3295" spans="2:2" x14ac:dyDescent="0.25">
      <c r="B3295" s="4" t="str">
        <f>_xlfn.TEXTJOIN(,,'Truth Table'!B3295:M3295)</f>
        <v>001110110011</v>
      </c>
    </row>
    <row r="3296" spans="2:2" x14ac:dyDescent="0.25">
      <c r="B3296" s="4" t="str">
        <f>_xlfn.TEXTJOIN(,,'Truth Table'!B3296:M3296)</f>
        <v>101110110011</v>
      </c>
    </row>
    <row r="3297" spans="2:2" x14ac:dyDescent="0.25">
      <c r="B3297" s="4" t="str">
        <f>_xlfn.TEXTJOIN(,,'Truth Table'!B3297:M3297)</f>
        <v>011110110011</v>
      </c>
    </row>
    <row r="3298" spans="2:2" x14ac:dyDescent="0.25">
      <c r="B3298" s="4" t="str">
        <f>_xlfn.TEXTJOIN(,,'Truth Table'!B3298:M3298)</f>
        <v>111110110011</v>
      </c>
    </row>
    <row r="3299" spans="2:2" x14ac:dyDescent="0.25">
      <c r="B3299" s="4" t="str">
        <f>_xlfn.TEXTJOIN(,,'Truth Table'!B3299:M3299)</f>
        <v>000001110011</v>
      </c>
    </row>
    <row r="3300" spans="2:2" x14ac:dyDescent="0.25">
      <c r="B3300" s="4" t="str">
        <f>_xlfn.TEXTJOIN(,,'Truth Table'!B3300:M3300)</f>
        <v>100001110011</v>
      </c>
    </row>
    <row r="3301" spans="2:2" x14ac:dyDescent="0.25">
      <c r="B3301" s="4" t="str">
        <f>_xlfn.TEXTJOIN(,,'Truth Table'!B3301:M3301)</f>
        <v>010001110011</v>
      </c>
    </row>
    <row r="3302" spans="2:2" x14ac:dyDescent="0.25">
      <c r="B3302" s="4" t="str">
        <f>_xlfn.TEXTJOIN(,,'Truth Table'!B3302:M3302)</f>
        <v>110001110011</v>
      </c>
    </row>
    <row r="3303" spans="2:2" x14ac:dyDescent="0.25">
      <c r="B3303" s="4" t="str">
        <f>_xlfn.TEXTJOIN(,,'Truth Table'!B3303:M3303)</f>
        <v>001001110011</v>
      </c>
    </row>
    <row r="3304" spans="2:2" x14ac:dyDescent="0.25">
      <c r="B3304" s="4" t="str">
        <f>_xlfn.TEXTJOIN(,,'Truth Table'!B3304:M3304)</f>
        <v>101001110011</v>
      </c>
    </row>
    <row r="3305" spans="2:2" x14ac:dyDescent="0.25">
      <c r="B3305" s="4" t="str">
        <f>_xlfn.TEXTJOIN(,,'Truth Table'!B3305:M3305)</f>
        <v>011001110011</v>
      </c>
    </row>
    <row r="3306" spans="2:2" x14ac:dyDescent="0.25">
      <c r="B3306" s="4" t="str">
        <f>_xlfn.TEXTJOIN(,,'Truth Table'!B3306:M3306)</f>
        <v>111001110011</v>
      </c>
    </row>
    <row r="3307" spans="2:2" x14ac:dyDescent="0.25">
      <c r="B3307" s="4" t="str">
        <f>_xlfn.TEXTJOIN(,,'Truth Table'!B3307:M3307)</f>
        <v>000101110011</v>
      </c>
    </row>
    <row r="3308" spans="2:2" x14ac:dyDescent="0.25">
      <c r="B3308" s="4" t="str">
        <f>_xlfn.TEXTJOIN(,,'Truth Table'!B3308:M3308)</f>
        <v>100101110011</v>
      </c>
    </row>
    <row r="3309" spans="2:2" x14ac:dyDescent="0.25">
      <c r="B3309" s="4" t="str">
        <f>_xlfn.TEXTJOIN(,,'Truth Table'!B3309:M3309)</f>
        <v>010101110011</v>
      </c>
    </row>
    <row r="3310" spans="2:2" x14ac:dyDescent="0.25">
      <c r="B3310" s="4" t="str">
        <f>_xlfn.TEXTJOIN(,,'Truth Table'!B3310:M3310)</f>
        <v>110101110011</v>
      </c>
    </row>
    <row r="3311" spans="2:2" x14ac:dyDescent="0.25">
      <c r="B3311" s="4" t="str">
        <f>_xlfn.TEXTJOIN(,,'Truth Table'!B3311:M3311)</f>
        <v>001101110011</v>
      </c>
    </row>
    <row r="3312" spans="2:2" x14ac:dyDescent="0.25">
      <c r="B3312" s="4" t="str">
        <f>_xlfn.TEXTJOIN(,,'Truth Table'!B3312:M3312)</f>
        <v>101101110011</v>
      </c>
    </row>
    <row r="3313" spans="2:2" x14ac:dyDescent="0.25">
      <c r="B3313" s="4" t="str">
        <f>_xlfn.TEXTJOIN(,,'Truth Table'!B3313:M3313)</f>
        <v>011101110011</v>
      </c>
    </row>
    <row r="3314" spans="2:2" x14ac:dyDescent="0.25">
      <c r="B3314" s="4" t="str">
        <f>_xlfn.TEXTJOIN(,,'Truth Table'!B3314:M3314)</f>
        <v>111101110011</v>
      </c>
    </row>
    <row r="3315" spans="2:2" x14ac:dyDescent="0.25">
      <c r="B3315" s="4" t="str">
        <f>_xlfn.TEXTJOIN(,,'Truth Table'!B3315:M3315)</f>
        <v>000011110011</v>
      </c>
    </row>
    <row r="3316" spans="2:2" x14ac:dyDescent="0.25">
      <c r="B3316" s="4" t="str">
        <f>_xlfn.TEXTJOIN(,,'Truth Table'!B3316:M3316)</f>
        <v>100011110011</v>
      </c>
    </row>
    <row r="3317" spans="2:2" x14ac:dyDescent="0.25">
      <c r="B3317" s="4" t="str">
        <f>_xlfn.TEXTJOIN(,,'Truth Table'!B3317:M3317)</f>
        <v>010011110011</v>
      </c>
    </row>
    <row r="3318" spans="2:2" x14ac:dyDescent="0.25">
      <c r="B3318" s="4" t="str">
        <f>_xlfn.TEXTJOIN(,,'Truth Table'!B3318:M3318)</f>
        <v>110011110011</v>
      </c>
    </row>
    <row r="3319" spans="2:2" x14ac:dyDescent="0.25">
      <c r="B3319" s="4" t="str">
        <f>_xlfn.TEXTJOIN(,,'Truth Table'!B3319:M3319)</f>
        <v>001011110011</v>
      </c>
    </row>
    <row r="3320" spans="2:2" x14ac:dyDescent="0.25">
      <c r="B3320" s="4" t="str">
        <f>_xlfn.TEXTJOIN(,,'Truth Table'!B3320:M3320)</f>
        <v>101011110011</v>
      </c>
    </row>
    <row r="3321" spans="2:2" x14ac:dyDescent="0.25">
      <c r="B3321" s="4" t="str">
        <f>_xlfn.TEXTJOIN(,,'Truth Table'!B3321:M3321)</f>
        <v>011011110011</v>
      </c>
    </row>
    <row r="3322" spans="2:2" x14ac:dyDescent="0.25">
      <c r="B3322" s="4" t="str">
        <f>_xlfn.TEXTJOIN(,,'Truth Table'!B3322:M3322)</f>
        <v>111011110011</v>
      </c>
    </row>
    <row r="3323" spans="2:2" x14ac:dyDescent="0.25">
      <c r="B3323" s="4" t="str">
        <f>_xlfn.TEXTJOIN(,,'Truth Table'!B3323:M3323)</f>
        <v>000111110011</v>
      </c>
    </row>
    <row r="3324" spans="2:2" x14ac:dyDescent="0.25">
      <c r="B3324" s="4" t="str">
        <f>_xlfn.TEXTJOIN(,,'Truth Table'!B3324:M3324)</f>
        <v>100111110011</v>
      </c>
    </row>
    <row r="3325" spans="2:2" x14ac:dyDescent="0.25">
      <c r="B3325" s="4" t="str">
        <f>_xlfn.TEXTJOIN(,,'Truth Table'!B3325:M3325)</f>
        <v>010111110011</v>
      </c>
    </row>
    <row r="3326" spans="2:2" x14ac:dyDescent="0.25">
      <c r="B3326" s="4" t="str">
        <f>_xlfn.TEXTJOIN(,,'Truth Table'!B3326:M3326)</f>
        <v>110111110011</v>
      </c>
    </row>
    <row r="3327" spans="2:2" x14ac:dyDescent="0.25">
      <c r="B3327" s="4" t="str">
        <f>_xlfn.TEXTJOIN(,,'Truth Table'!B3327:M3327)</f>
        <v>001111110011</v>
      </c>
    </row>
    <row r="3328" spans="2:2" x14ac:dyDescent="0.25">
      <c r="B3328" s="4" t="str">
        <f>_xlfn.TEXTJOIN(,,'Truth Table'!B3328:M3328)</f>
        <v>101111110011</v>
      </c>
    </row>
    <row r="3329" spans="2:2" x14ac:dyDescent="0.25">
      <c r="B3329" s="4" t="str">
        <f>_xlfn.TEXTJOIN(,,'Truth Table'!B3329:M3329)</f>
        <v>011111110011</v>
      </c>
    </row>
    <row r="3330" spans="2:2" x14ac:dyDescent="0.25">
      <c r="B3330" s="4" t="str">
        <f>_xlfn.TEXTJOIN(,,'Truth Table'!B3330:M3330)</f>
        <v>111111110011</v>
      </c>
    </row>
    <row r="3331" spans="2:2" x14ac:dyDescent="0.25">
      <c r="B3331" s="4" t="str">
        <f>_xlfn.TEXTJOIN(,,'Truth Table'!B3331:M3331)</f>
        <v>000000001011</v>
      </c>
    </row>
    <row r="3332" spans="2:2" x14ac:dyDescent="0.25">
      <c r="B3332" s="4" t="str">
        <f>_xlfn.TEXTJOIN(,,'Truth Table'!B3332:M3332)</f>
        <v>100000001011</v>
      </c>
    </row>
    <row r="3333" spans="2:2" x14ac:dyDescent="0.25">
      <c r="B3333" s="4" t="str">
        <f>_xlfn.TEXTJOIN(,,'Truth Table'!B3333:M3333)</f>
        <v>010000001011</v>
      </c>
    </row>
    <row r="3334" spans="2:2" x14ac:dyDescent="0.25">
      <c r="B3334" s="4" t="str">
        <f>_xlfn.TEXTJOIN(,,'Truth Table'!B3334:M3334)</f>
        <v>110000001011</v>
      </c>
    </row>
    <row r="3335" spans="2:2" x14ac:dyDescent="0.25">
      <c r="B3335" s="4" t="str">
        <f>_xlfn.TEXTJOIN(,,'Truth Table'!B3335:M3335)</f>
        <v>001000001011</v>
      </c>
    </row>
    <row r="3336" spans="2:2" x14ac:dyDescent="0.25">
      <c r="B3336" s="4" t="str">
        <f>_xlfn.TEXTJOIN(,,'Truth Table'!B3336:M3336)</f>
        <v>101000001011</v>
      </c>
    </row>
    <row r="3337" spans="2:2" x14ac:dyDescent="0.25">
      <c r="B3337" s="4" t="str">
        <f>_xlfn.TEXTJOIN(,,'Truth Table'!B3337:M3337)</f>
        <v>011000001011</v>
      </c>
    </row>
    <row r="3338" spans="2:2" x14ac:dyDescent="0.25">
      <c r="B3338" s="4" t="str">
        <f>_xlfn.TEXTJOIN(,,'Truth Table'!B3338:M3338)</f>
        <v>111000001011</v>
      </c>
    </row>
    <row r="3339" spans="2:2" x14ac:dyDescent="0.25">
      <c r="B3339" s="4" t="str">
        <f>_xlfn.TEXTJOIN(,,'Truth Table'!B3339:M3339)</f>
        <v>000100001011</v>
      </c>
    </row>
    <row r="3340" spans="2:2" x14ac:dyDescent="0.25">
      <c r="B3340" s="4" t="str">
        <f>_xlfn.TEXTJOIN(,,'Truth Table'!B3340:M3340)</f>
        <v>100100001011</v>
      </c>
    </row>
    <row r="3341" spans="2:2" x14ac:dyDescent="0.25">
      <c r="B3341" s="4" t="str">
        <f>_xlfn.TEXTJOIN(,,'Truth Table'!B3341:M3341)</f>
        <v>010100001011</v>
      </c>
    </row>
    <row r="3342" spans="2:2" x14ac:dyDescent="0.25">
      <c r="B3342" s="4" t="str">
        <f>_xlfn.TEXTJOIN(,,'Truth Table'!B3342:M3342)</f>
        <v>110100001011</v>
      </c>
    </row>
    <row r="3343" spans="2:2" x14ac:dyDescent="0.25">
      <c r="B3343" s="4" t="str">
        <f>_xlfn.TEXTJOIN(,,'Truth Table'!B3343:M3343)</f>
        <v>001100001011</v>
      </c>
    </row>
    <row r="3344" spans="2:2" x14ac:dyDescent="0.25">
      <c r="B3344" s="4" t="str">
        <f>_xlfn.TEXTJOIN(,,'Truth Table'!B3344:M3344)</f>
        <v>101100001011</v>
      </c>
    </row>
    <row r="3345" spans="2:2" x14ac:dyDescent="0.25">
      <c r="B3345" s="4" t="str">
        <f>_xlfn.TEXTJOIN(,,'Truth Table'!B3345:M3345)</f>
        <v>011100001011</v>
      </c>
    </row>
    <row r="3346" spans="2:2" x14ac:dyDescent="0.25">
      <c r="B3346" s="4" t="str">
        <f>_xlfn.TEXTJOIN(,,'Truth Table'!B3346:M3346)</f>
        <v>111100001011</v>
      </c>
    </row>
    <row r="3347" spans="2:2" x14ac:dyDescent="0.25">
      <c r="B3347" s="4" t="str">
        <f>_xlfn.TEXTJOIN(,,'Truth Table'!B3347:M3347)</f>
        <v>000010001011</v>
      </c>
    </row>
    <row r="3348" spans="2:2" x14ac:dyDescent="0.25">
      <c r="B3348" s="4" t="str">
        <f>_xlfn.TEXTJOIN(,,'Truth Table'!B3348:M3348)</f>
        <v>100010001011</v>
      </c>
    </row>
    <row r="3349" spans="2:2" x14ac:dyDescent="0.25">
      <c r="B3349" s="4" t="str">
        <f>_xlfn.TEXTJOIN(,,'Truth Table'!B3349:M3349)</f>
        <v>010010001011</v>
      </c>
    </row>
    <row r="3350" spans="2:2" x14ac:dyDescent="0.25">
      <c r="B3350" s="4" t="str">
        <f>_xlfn.TEXTJOIN(,,'Truth Table'!B3350:M3350)</f>
        <v>110010001011</v>
      </c>
    </row>
    <row r="3351" spans="2:2" x14ac:dyDescent="0.25">
      <c r="B3351" s="4" t="str">
        <f>_xlfn.TEXTJOIN(,,'Truth Table'!B3351:M3351)</f>
        <v>001010001011</v>
      </c>
    </row>
    <row r="3352" spans="2:2" x14ac:dyDescent="0.25">
      <c r="B3352" s="4" t="str">
        <f>_xlfn.TEXTJOIN(,,'Truth Table'!B3352:M3352)</f>
        <v>101010001011</v>
      </c>
    </row>
    <row r="3353" spans="2:2" x14ac:dyDescent="0.25">
      <c r="B3353" s="4" t="str">
        <f>_xlfn.TEXTJOIN(,,'Truth Table'!B3353:M3353)</f>
        <v>011010001011</v>
      </c>
    </row>
    <row r="3354" spans="2:2" x14ac:dyDescent="0.25">
      <c r="B3354" s="4" t="str">
        <f>_xlfn.TEXTJOIN(,,'Truth Table'!B3354:M3354)</f>
        <v>111010001011</v>
      </c>
    </row>
    <row r="3355" spans="2:2" x14ac:dyDescent="0.25">
      <c r="B3355" s="4" t="str">
        <f>_xlfn.TEXTJOIN(,,'Truth Table'!B3355:M3355)</f>
        <v>000110001011</v>
      </c>
    </row>
    <row r="3356" spans="2:2" x14ac:dyDescent="0.25">
      <c r="B3356" s="4" t="str">
        <f>_xlfn.TEXTJOIN(,,'Truth Table'!B3356:M3356)</f>
        <v>100110001011</v>
      </c>
    </row>
    <row r="3357" spans="2:2" x14ac:dyDescent="0.25">
      <c r="B3357" s="4" t="str">
        <f>_xlfn.TEXTJOIN(,,'Truth Table'!B3357:M3357)</f>
        <v>010110001011</v>
      </c>
    </row>
    <row r="3358" spans="2:2" x14ac:dyDescent="0.25">
      <c r="B3358" s="4" t="str">
        <f>_xlfn.TEXTJOIN(,,'Truth Table'!B3358:M3358)</f>
        <v>110110001011</v>
      </c>
    </row>
    <row r="3359" spans="2:2" x14ac:dyDescent="0.25">
      <c r="B3359" s="4" t="str">
        <f>_xlfn.TEXTJOIN(,,'Truth Table'!B3359:M3359)</f>
        <v>001110001011</v>
      </c>
    </row>
    <row r="3360" spans="2:2" x14ac:dyDescent="0.25">
      <c r="B3360" s="4" t="str">
        <f>_xlfn.TEXTJOIN(,,'Truth Table'!B3360:M3360)</f>
        <v>101110001011</v>
      </c>
    </row>
    <row r="3361" spans="2:2" x14ac:dyDescent="0.25">
      <c r="B3361" s="4" t="str">
        <f>_xlfn.TEXTJOIN(,,'Truth Table'!B3361:M3361)</f>
        <v>011110001011</v>
      </c>
    </row>
    <row r="3362" spans="2:2" x14ac:dyDescent="0.25">
      <c r="B3362" s="4" t="str">
        <f>_xlfn.TEXTJOIN(,,'Truth Table'!B3362:M3362)</f>
        <v>111110001011</v>
      </c>
    </row>
    <row r="3363" spans="2:2" x14ac:dyDescent="0.25">
      <c r="B3363" s="4" t="str">
        <f>_xlfn.TEXTJOIN(,,'Truth Table'!B3363:M3363)</f>
        <v>000001001011</v>
      </c>
    </row>
    <row r="3364" spans="2:2" x14ac:dyDescent="0.25">
      <c r="B3364" s="4" t="str">
        <f>_xlfn.TEXTJOIN(,,'Truth Table'!B3364:M3364)</f>
        <v>100001001011</v>
      </c>
    </row>
    <row r="3365" spans="2:2" x14ac:dyDescent="0.25">
      <c r="B3365" s="4" t="str">
        <f>_xlfn.TEXTJOIN(,,'Truth Table'!B3365:M3365)</f>
        <v>010001001011</v>
      </c>
    </row>
    <row r="3366" spans="2:2" x14ac:dyDescent="0.25">
      <c r="B3366" s="4" t="str">
        <f>_xlfn.TEXTJOIN(,,'Truth Table'!B3366:M3366)</f>
        <v>110001001011</v>
      </c>
    </row>
    <row r="3367" spans="2:2" x14ac:dyDescent="0.25">
      <c r="B3367" s="4" t="str">
        <f>_xlfn.TEXTJOIN(,,'Truth Table'!B3367:M3367)</f>
        <v>001001001011</v>
      </c>
    </row>
    <row r="3368" spans="2:2" x14ac:dyDescent="0.25">
      <c r="B3368" s="4" t="str">
        <f>_xlfn.TEXTJOIN(,,'Truth Table'!B3368:M3368)</f>
        <v>101001001011</v>
      </c>
    </row>
    <row r="3369" spans="2:2" x14ac:dyDescent="0.25">
      <c r="B3369" s="4" t="str">
        <f>_xlfn.TEXTJOIN(,,'Truth Table'!B3369:M3369)</f>
        <v>011001001011</v>
      </c>
    </row>
    <row r="3370" spans="2:2" x14ac:dyDescent="0.25">
      <c r="B3370" s="4" t="str">
        <f>_xlfn.TEXTJOIN(,,'Truth Table'!B3370:M3370)</f>
        <v>111001001011</v>
      </c>
    </row>
    <row r="3371" spans="2:2" x14ac:dyDescent="0.25">
      <c r="B3371" s="4" t="str">
        <f>_xlfn.TEXTJOIN(,,'Truth Table'!B3371:M3371)</f>
        <v>000101001011</v>
      </c>
    </row>
    <row r="3372" spans="2:2" x14ac:dyDescent="0.25">
      <c r="B3372" s="4" t="str">
        <f>_xlfn.TEXTJOIN(,,'Truth Table'!B3372:M3372)</f>
        <v>100101001011</v>
      </c>
    </row>
    <row r="3373" spans="2:2" x14ac:dyDescent="0.25">
      <c r="B3373" s="4" t="str">
        <f>_xlfn.TEXTJOIN(,,'Truth Table'!B3373:M3373)</f>
        <v>010101001011</v>
      </c>
    </row>
    <row r="3374" spans="2:2" x14ac:dyDescent="0.25">
      <c r="B3374" s="4" t="str">
        <f>_xlfn.TEXTJOIN(,,'Truth Table'!B3374:M3374)</f>
        <v>110101001011</v>
      </c>
    </row>
    <row r="3375" spans="2:2" x14ac:dyDescent="0.25">
      <c r="B3375" s="4" t="str">
        <f>_xlfn.TEXTJOIN(,,'Truth Table'!B3375:M3375)</f>
        <v>001101001011</v>
      </c>
    </row>
    <row r="3376" spans="2:2" x14ac:dyDescent="0.25">
      <c r="B3376" s="4" t="str">
        <f>_xlfn.TEXTJOIN(,,'Truth Table'!B3376:M3376)</f>
        <v>101101001011</v>
      </c>
    </row>
    <row r="3377" spans="2:2" x14ac:dyDescent="0.25">
      <c r="B3377" s="4" t="str">
        <f>_xlfn.TEXTJOIN(,,'Truth Table'!B3377:M3377)</f>
        <v>011101001011</v>
      </c>
    </row>
    <row r="3378" spans="2:2" x14ac:dyDescent="0.25">
      <c r="B3378" s="4" t="str">
        <f>_xlfn.TEXTJOIN(,,'Truth Table'!B3378:M3378)</f>
        <v>111101001011</v>
      </c>
    </row>
    <row r="3379" spans="2:2" x14ac:dyDescent="0.25">
      <c r="B3379" s="4" t="str">
        <f>_xlfn.TEXTJOIN(,,'Truth Table'!B3379:M3379)</f>
        <v>000011001011</v>
      </c>
    </row>
    <row r="3380" spans="2:2" x14ac:dyDescent="0.25">
      <c r="B3380" s="4" t="str">
        <f>_xlfn.TEXTJOIN(,,'Truth Table'!B3380:M3380)</f>
        <v>100011001011</v>
      </c>
    </row>
    <row r="3381" spans="2:2" x14ac:dyDescent="0.25">
      <c r="B3381" s="4" t="str">
        <f>_xlfn.TEXTJOIN(,,'Truth Table'!B3381:M3381)</f>
        <v>010011001011</v>
      </c>
    </row>
    <row r="3382" spans="2:2" x14ac:dyDescent="0.25">
      <c r="B3382" s="4" t="str">
        <f>_xlfn.TEXTJOIN(,,'Truth Table'!B3382:M3382)</f>
        <v>110011001011</v>
      </c>
    </row>
    <row r="3383" spans="2:2" x14ac:dyDescent="0.25">
      <c r="B3383" s="4" t="str">
        <f>_xlfn.TEXTJOIN(,,'Truth Table'!B3383:M3383)</f>
        <v>001011001011</v>
      </c>
    </row>
    <row r="3384" spans="2:2" x14ac:dyDescent="0.25">
      <c r="B3384" s="4" t="str">
        <f>_xlfn.TEXTJOIN(,,'Truth Table'!B3384:M3384)</f>
        <v>101011001011</v>
      </c>
    </row>
    <row r="3385" spans="2:2" x14ac:dyDescent="0.25">
      <c r="B3385" s="4" t="str">
        <f>_xlfn.TEXTJOIN(,,'Truth Table'!B3385:M3385)</f>
        <v>011011001011</v>
      </c>
    </row>
    <row r="3386" spans="2:2" x14ac:dyDescent="0.25">
      <c r="B3386" s="4" t="str">
        <f>_xlfn.TEXTJOIN(,,'Truth Table'!B3386:M3386)</f>
        <v>111011001011</v>
      </c>
    </row>
    <row r="3387" spans="2:2" x14ac:dyDescent="0.25">
      <c r="B3387" s="4" t="str">
        <f>_xlfn.TEXTJOIN(,,'Truth Table'!B3387:M3387)</f>
        <v>000111001011</v>
      </c>
    </row>
    <row r="3388" spans="2:2" x14ac:dyDescent="0.25">
      <c r="B3388" s="4" t="str">
        <f>_xlfn.TEXTJOIN(,,'Truth Table'!B3388:M3388)</f>
        <v>100111001011</v>
      </c>
    </row>
    <row r="3389" spans="2:2" x14ac:dyDescent="0.25">
      <c r="B3389" s="4" t="str">
        <f>_xlfn.TEXTJOIN(,,'Truth Table'!B3389:M3389)</f>
        <v>010111001011</v>
      </c>
    </row>
    <row r="3390" spans="2:2" x14ac:dyDescent="0.25">
      <c r="B3390" s="4" t="str">
        <f>_xlfn.TEXTJOIN(,,'Truth Table'!B3390:M3390)</f>
        <v>110111001011</v>
      </c>
    </row>
    <row r="3391" spans="2:2" x14ac:dyDescent="0.25">
      <c r="B3391" s="4" t="str">
        <f>_xlfn.TEXTJOIN(,,'Truth Table'!B3391:M3391)</f>
        <v>001111001011</v>
      </c>
    </row>
    <row r="3392" spans="2:2" x14ac:dyDescent="0.25">
      <c r="B3392" s="4" t="str">
        <f>_xlfn.TEXTJOIN(,,'Truth Table'!B3392:M3392)</f>
        <v>101111001011</v>
      </c>
    </row>
    <row r="3393" spans="2:2" x14ac:dyDescent="0.25">
      <c r="B3393" s="4" t="str">
        <f>_xlfn.TEXTJOIN(,,'Truth Table'!B3393:M3393)</f>
        <v>011111001011</v>
      </c>
    </row>
    <row r="3394" spans="2:2" x14ac:dyDescent="0.25">
      <c r="B3394" s="4" t="str">
        <f>_xlfn.TEXTJOIN(,,'Truth Table'!B3394:M3394)</f>
        <v>111111001011</v>
      </c>
    </row>
    <row r="3395" spans="2:2" x14ac:dyDescent="0.25">
      <c r="B3395" s="4" t="str">
        <f>_xlfn.TEXTJOIN(,,'Truth Table'!B3395:M3395)</f>
        <v>000000101011</v>
      </c>
    </row>
    <row r="3396" spans="2:2" x14ac:dyDescent="0.25">
      <c r="B3396" s="4" t="str">
        <f>_xlfn.TEXTJOIN(,,'Truth Table'!B3396:M3396)</f>
        <v>100000101011</v>
      </c>
    </row>
    <row r="3397" spans="2:2" x14ac:dyDescent="0.25">
      <c r="B3397" s="4" t="str">
        <f>_xlfn.TEXTJOIN(,,'Truth Table'!B3397:M3397)</f>
        <v>010000101011</v>
      </c>
    </row>
    <row r="3398" spans="2:2" x14ac:dyDescent="0.25">
      <c r="B3398" s="4" t="str">
        <f>_xlfn.TEXTJOIN(,,'Truth Table'!B3398:M3398)</f>
        <v>110000101011</v>
      </c>
    </row>
    <row r="3399" spans="2:2" x14ac:dyDescent="0.25">
      <c r="B3399" s="4" t="str">
        <f>_xlfn.TEXTJOIN(,,'Truth Table'!B3399:M3399)</f>
        <v>001000101011</v>
      </c>
    </row>
    <row r="3400" spans="2:2" x14ac:dyDescent="0.25">
      <c r="B3400" s="4" t="str">
        <f>_xlfn.TEXTJOIN(,,'Truth Table'!B3400:M3400)</f>
        <v>101000101011</v>
      </c>
    </row>
    <row r="3401" spans="2:2" x14ac:dyDescent="0.25">
      <c r="B3401" s="4" t="str">
        <f>_xlfn.TEXTJOIN(,,'Truth Table'!B3401:M3401)</f>
        <v>011000101011</v>
      </c>
    </row>
    <row r="3402" spans="2:2" x14ac:dyDescent="0.25">
      <c r="B3402" s="4" t="str">
        <f>_xlfn.TEXTJOIN(,,'Truth Table'!B3402:M3402)</f>
        <v>111000101011</v>
      </c>
    </row>
    <row r="3403" spans="2:2" x14ac:dyDescent="0.25">
      <c r="B3403" s="4" t="str">
        <f>_xlfn.TEXTJOIN(,,'Truth Table'!B3403:M3403)</f>
        <v>000100101011</v>
      </c>
    </row>
    <row r="3404" spans="2:2" x14ac:dyDescent="0.25">
      <c r="B3404" s="4" t="str">
        <f>_xlfn.TEXTJOIN(,,'Truth Table'!B3404:M3404)</f>
        <v>100100101011</v>
      </c>
    </row>
    <row r="3405" spans="2:2" x14ac:dyDescent="0.25">
      <c r="B3405" s="4" t="str">
        <f>_xlfn.TEXTJOIN(,,'Truth Table'!B3405:M3405)</f>
        <v>010100101011</v>
      </c>
    </row>
    <row r="3406" spans="2:2" x14ac:dyDescent="0.25">
      <c r="B3406" s="4" t="str">
        <f>_xlfn.TEXTJOIN(,,'Truth Table'!B3406:M3406)</f>
        <v>110100101011</v>
      </c>
    </row>
    <row r="3407" spans="2:2" x14ac:dyDescent="0.25">
      <c r="B3407" s="4" t="str">
        <f>_xlfn.TEXTJOIN(,,'Truth Table'!B3407:M3407)</f>
        <v>001100101011</v>
      </c>
    </row>
    <row r="3408" spans="2:2" x14ac:dyDescent="0.25">
      <c r="B3408" s="4" t="str">
        <f>_xlfn.TEXTJOIN(,,'Truth Table'!B3408:M3408)</f>
        <v>101100101011</v>
      </c>
    </row>
    <row r="3409" spans="2:2" x14ac:dyDescent="0.25">
      <c r="B3409" s="4" t="str">
        <f>_xlfn.TEXTJOIN(,,'Truth Table'!B3409:M3409)</f>
        <v>011100101011</v>
      </c>
    </row>
    <row r="3410" spans="2:2" x14ac:dyDescent="0.25">
      <c r="B3410" s="4" t="str">
        <f>_xlfn.TEXTJOIN(,,'Truth Table'!B3410:M3410)</f>
        <v>111100101011</v>
      </c>
    </row>
    <row r="3411" spans="2:2" x14ac:dyDescent="0.25">
      <c r="B3411" s="4" t="str">
        <f>_xlfn.TEXTJOIN(,,'Truth Table'!B3411:M3411)</f>
        <v>000010101011</v>
      </c>
    </row>
    <row r="3412" spans="2:2" x14ac:dyDescent="0.25">
      <c r="B3412" s="4" t="str">
        <f>_xlfn.TEXTJOIN(,,'Truth Table'!B3412:M3412)</f>
        <v>100010101011</v>
      </c>
    </row>
    <row r="3413" spans="2:2" x14ac:dyDescent="0.25">
      <c r="B3413" s="4" t="str">
        <f>_xlfn.TEXTJOIN(,,'Truth Table'!B3413:M3413)</f>
        <v>010010101011</v>
      </c>
    </row>
    <row r="3414" spans="2:2" x14ac:dyDescent="0.25">
      <c r="B3414" s="4" t="str">
        <f>_xlfn.TEXTJOIN(,,'Truth Table'!B3414:M3414)</f>
        <v>110010101011</v>
      </c>
    </row>
    <row r="3415" spans="2:2" x14ac:dyDescent="0.25">
      <c r="B3415" s="4" t="str">
        <f>_xlfn.TEXTJOIN(,,'Truth Table'!B3415:M3415)</f>
        <v>001010101011</v>
      </c>
    </row>
    <row r="3416" spans="2:2" x14ac:dyDescent="0.25">
      <c r="B3416" s="4" t="str">
        <f>_xlfn.TEXTJOIN(,,'Truth Table'!B3416:M3416)</f>
        <v>101010101011</v>
      </c>
    </row>
    <row r="3417" spans="2:2" x14ac:dyDescent="0.25">
      <c r="B3417" s="4" t="str">
        <f>_xlfn.TEXTJOIN(,,'Truth Table'!B3417:M3417)</f>
        <v>011010101011</v>
      </c>
    </row>
    <row r="3418" spans="2:2" x14ac:dyDescent="0.25">
      <c r="B3418" s="4" t="str">
        <f>_xlfn.TEXTJOIN(,,'Truth Table'!B3418:M3418)</f>
        <v>111010101011</v>
      </c>
    </row>
    <row r="3419" spans="2:2" x14ac:dyDescent="0.25">
      <c r="B3419" s="4" t="str">
        <f>_xlfn.TEXTJOIN(,,'Truth Table'!B3419:M3419)</f>
        <v>000110101011</v>
      </c>
    </row>
    <row r="3420" spans="2:2" x14ac:dyDescent="0.25">
      <c r="B3420" s="4" t="str">
        <f>_xlfn.TEXTJOIN(,,'Truth Table'!B3420:M3420)</f>
        <v>100110101011</v>
      </c>
    </row>
    <row r="3421" spans="2:2" x14ac:dyDescent="0.25">
      <c r="B3421" s="4" t="str">
        <f>_xlfn.TEXTJOIN(,,'Truth Table'!B3421:M3421)</f>
        <v>010110101011</v>
      </c>
    </row>
    <row r="3422" spans="2:2" x14ac:dyDescent="0.25">
      <c r="B3422" s="4" t="str">
        <f>_xlfn.TEXTJOIN(,,'Truth Table'!B3422:M3422)</f>
        <v>110110101011</v>
      </c>
    </row>
    <row r="3423" spans="2:2" x14ac:dyDescent="0.25">
      <c r="B3423" s="4" t="str">
        <f>_xlfn.TEXTJOIN(,,'Truth Table'!B3423:M3423)</f>
        <v>001110101011</v>
      </c>
    </row>
    <row r="3424" spans="2:2" x14ac:dyDescent="0.25">
      <c r="B3424" s="4" t="str">
        <f>_xlfn.TEXTJOIN(,,'Truth Table'!B3424:M3424)</f>
        <v>101110101011</v>
      </c>
    </row>
    <row r="3425" spans="2:2" x14ac:dyDescent="0.25">
      <c r="B3425" s="4" t="str">
        <f>_xlfn.TEXTJOIN(,,'Truth Table'!B3425:M3425)</f>
        <v>011110101011</v>
      </c>
    </row>
    <row r="3426" spans="2:2" x14ac:dyDescent="0.25">
      <c r="B3426" s="4" t="str">
        <f>_xlfn.TEXTJOIN(,,'Truth Table'!B3426:M3426)</f>
        <v>111110101011</v>
      </c>
    </row>
    <row r="3427" spans="2:2" x14ac:dyDescent="0.25">
      <c r="B3427" s="4" t="str">
        <f>_xlfn.TEXTJOIN(,,'Truth Table'!B3427:M3427)</f>
        <v>000001101011</v>
      </c>
    </row>
    <row r="3428" spans="2:2" x14ac:dyDescent="0.25">
      <c r="B3428" s="4" t="str">
        <f>_xlfn.TEXTJOIN(,,'Truth Table'!B3428:M3428)</f>
        <v>100001101011</v>
      </c>
    </row>
    <row r="3429" spans="2:2" x14ac:dyDescent="0.25">
      <c r="B3429" s="4" t="str">
        <f>_xlfn.TEXTJOIN(,,'Truth Table'!B3429:M3429)</f>
        <v>010001101011</v>
      </c>
    </row>
    <row r="3430" spans="2:2" x14ac:dyDescent="0.25">
      <c r="B3430" s="4" t="str">
        <f>_xlfn.TEXTJOIN(,,'Truth Table'!B3430:M3430)</f>
        <v>110001101011</v>
      </c>
    </row>
    <row r="3431" spans="2:2" x14ac:dyDescent="0.25">
      <c r="B3431" s="4" t="str">
        <f>_xlfn.TEXTJOIN(,,'Truth Table'!B3431:M3431)</f>
        <v>001001101011</v>
      </c>
    </row>
    <row r="3432" spans="2:2" x14ac:dyDescent="0.25">
      <c r="B3432" s="4" t="str">
        <f>_xlfn.TEXTJOIN(,,'Truth Table'!B3432:M3432)</f>
        <v>101001101011</v>
      </c>
    </row>
    <row r="3433" spans="2:2" x14ac:dyDescent="0.25">
      <c r="B3433" s="4" t="str">
        <f>_xlfn.TEXTJOIN(,,'Truth Table'!B3433:M3433)</f>
        <v>011001101011</v>
      </c>
    </row>
    <row r="3434" spans="2:2" x14ac:dyDescent="0.25">
      <c r="B3434" s="4" t="str">
        <f>_xlfn.TEXTJOIN(,,'Truth Table'!B3434:M3434)</f>
        <v>111001101011</v>
      </c>
    </row>
    <row r="3435" spans="2:2" x14ac:dyDescent="0.25">
      <c r="B3435" s="4" t="str">
        <f>_xlfn.TEXTJOIN(,,'Truth Table'!B3435:M3435)</f>
        <v>000101101011</v>
      </c>
    </row>
    <row r="3436" spans="2:2" x14ac:dyDescent="0.25">
      <c r="B3436" s="4" t="str">
        <f>_xlfn.TEXTJOIN(,,'Truth Table'!B3436:M3436)</f>
        <v>100101101011</v>
      </c>
    </row>
    <row r="3437" spans="2:2" x14ac:dyDescent="0.25">
      <c r="B3437" s="4" t="str">
        <f>_xlfn.TEXTJOIN(,,'Truth Table'!B3437:M3437)</f>
        <v>010101101011</v>
      </c>
    </row>
    <row r="3438" spans="2:2" x14ac:dyDescent="0.25">
      <c r="B3438" s="4" t="str">
        <f>_xlfn.TEXTJOIN(,,'Truth Table'!B3438:M3438)</f>
        <v>110101101011</v>
      </c>
    </row>
    <row r="3439" spans="2:2" x14ac:dyDescent="0.25">
      <c r="B3439" s="4" t="str">
        <f>_xlfn.TEXTJOIN(,,'Truth Table'!B3439:M3439)</f>
        <v>001101101011</v>
      </c>
    </row>
    <row r="3440" spans="2:2" x14ac:dyDescent="0.25">
      <c r="B3440" s="4" t="str">
        <f>_xlfn.TEXTJOIN(,,'Truth Table'!B3440:M3440)</f>
        <v>101101101011</v>
      </c>
    </row>
    <row r="3441" spans="2:2" x14ac:dyDescent="0.25">
      <c r="B3441" s="4" t="str">
        <f>_xlfn.TEXTJOIN(,,'Truth Table'!B3441:M3441)</f>
        <v>011101101011</v>
      </c>
    </row>
    <row r="3442" spans="2:2" x14ac:dyDescent="0.25">
      <c r="B3442" s="4" t="str">
        <f>_xlfn.TEXTJOIN(,,'Truth Table'!B3442:M3442)</f>
        <v>111101101011</v>
      </c>
    </row>
    <row r="3443" spans="2:2" x14ac:dyDescent="0.25">
      <c r="B3443" s="4" t="str">
        <f>_xlfn.TEXTJOIN(,,'Truth Table'!B3443:M3443)</f>
        <v>000011101011</v>
      </c>
    </row>
    <row r="3444" spans="2:2" x14ac:dyDescent="0.25">
      <c r="B3444" s="4" t="str">
        <f>_xlfn.TEXTJOIN(,,'Truth Table'!B3444:M3444)</f>
        <v>100011101011</v>
      </c>
    </row>
    <row r="3445" spans="2:2" x14ac:dyDescent="0.25">
      <c r="B3445" s="4" t="str">
        <f>_xlfn.TEXTJOIN(,,'Truth Table'!B3445:M3445)</f>
        <v>010011101011</v>
      </c>
    </row>
    <row r="3446" spans="2:2" x14ac:dyDescent="0.25">
      <c r="B3446" s="4" t="str">
        <f>_xlfn.TEXTJOIN(,,'Truth Table'!B3446:M3446)</f>
        <v>110011101011</v>
      </c>
    </row>
    <row r="3447" spans="2:2" x14ac:dyDescent="0.25">
      <c r="B3447" s="4" t="str">
        <f>_xlfn.TEXTJOIN(,,'Truth Table'!B3447:M3447)</f>
        <v>001011101011</v>
      </c>
    </row>
    <row r="3448" spans="2:2" x14ac:dyDescent="0.25">
      <c r="B3448" s="4" t="str">
        <f>_xlfn.TEXTJOIN(,,'Truth Table'!B3448:M3448)</f>
        <v>101011101011</v>
      </c>
    </row>
    <row r="3449" spans="2:2" x14ac:dyDescent="0.25">
      <c r="B3449" s="4" t="str">
        <f>_xlfn.TEXTJOIN(,,'Truth Table'!B3449:M3449)</f>
        <v>011011101011</v>
      </c>
    </row>
    <row r="3450" spans="2:2" x14ac:dyDescent="0.25">
      <c r="B3450" s="4" t="str">
        <f>_xlfn.TEXTJOIN(,,'Truth Table'!B3450:M3450)</f>
        <v>111011101011</v>
      </c>
    </row>
    <row r="3451" spans="2:2" x14ac:dyDescent="0.25">
      <c r="B3451" s="4" t="str">
        <f>_xlfn.TEXTJOIN(,,'Truth Table'!B3451:M3451)</f>
        <v>000111101011</v>
      </c>
    </row>
    <row r="3452" spans="2:2" x14ac:dyDescent="0.25">
      <c r="B3452" s="4" t="str">
        <f>_xlfn.TEXTJOIN(,,'Truth Table'!B3452:M3452)</f>
        <v>100111101011</v>
      </c>
    </row>
    <row r="3453" spans="2:2" x14ac:dyDescent="0.25">
      <c r="B3453" s="4" t="str">
        <f>_xlfn.TEXTJOIN(,,'Truth Table'!B3453:M3453)</f>
        <v>010111101011</v>
      </c>
    </row>
    <row r="3454" spans="2:2" x14ac:dyDescent="0.25">
      <c r="B3454" s="4" t="str">
        <f>_xlfn.TEXTJOIN(,,'Truth Table'!B3454:M3454)</f>
        <v>110111101011</v>
      </c>
    </row>
    <row r="3455" spans="2:2" x14ac:dyDescent="0.25">
      <c r="B3455" s="4" t="str">
        <f>_xlfn.TEXTJOIN(,,'Truth Table'!B3455:M3455)</f>
        <v>001111101011</v>
      </c>
    </row>
    <row r="3456" spans="2:2" x14ac:dyDescent="0.25">
      <c r="B3456" s="4" t="str">
        <f>_xlfn.TEXTJOIN(,,'Truth Table'!B3456:M3456)</f>
        <v>101111101011</v>
      </c>
    </row>
    <row r="3457" spans="2:2" x14ac:dyDescent="0.25">
      <c r="B3457" s="4" t="str">
        <f>_xlfn.TEXTJOIN(,,'Truth Table'!B3457:M3457)</f>
        <v>011111101011</v>
      </c>
    </row>
    <row r="3458" spans="2:2" x14ac:dyDescent="0.25">
      <c r="B3458" s="4" t="str">
        <f>_xlfn.TEXTJOIN(,,'Truth Table'!B3458:M3458)</f>
        <v>111111101011</v>
      </c>
    </row>
    <row r="3459" spans="2:2" x14ac:dyDescent="0.25">
      <c r="B3459" s="4" t="str">
        <f>_xlfn.TEXTJOIN(,,'Truth Table'!B3459:M3459)</f>
        <v>000000011011</v>
      </c>
    </row>
    <row r="3460" spans="2:2" x14ac:dyDescent="0.25">
      <c r="B3460" s="4" t="str">
        <f>_xlfn.TEXTJOIN(,,'Truth Table'!B3460:M3460)</f>
        <v>100000011011</v>
      </c>
    </row>
    <row r="3461" spans="2:2" x14ac:dyDescent="0.25">
      <c r="B3461" s="4" t="str">
        <f>_xlfn.TEXTJOIN(,,'Truth Table'!B3461:M3461)</f>
        <v>010000011011</v>
      </c>
    </row>
    <row r="3462" spans="2:2" x14ac:dyDescent="0.25">
      <c r="B3462" s="4" t="str">
        <f>_xlfn.TEXTJOIN(,,'Truth Table'!B3462:M3462)</f>
        <v>110000011011</v>
      </c>
    </row>
    <row r="3463" spans="2:2" x14ac:dyDescent="0.25">
      <c r="B3463" s="4" t="str">
        <f>_xlfn.TEXTJOIN(,,'Truth Table'!B3463:M3463)</f>
        <v>001000011011</v>
      </c>
    </row>
    <row r="3464" spans="2:2" x14ac:dyDescent="0.25">
      <c r="B3464" s="4" t="str">
        <f>_xlfn.TEXTJOIN(,,'Truth Table'!B3464:M3464)</f>
        <v>101000011011</v>
      </c>
    </row>
    <row r="3465" spans="2:2" x14ac:dyDescent="0.25">
      <c r="B3465" s="4" t="str">
        <f>_xlfn.TEXTJOIN(,,'Truth Table'!B3465:M3465)</f>
        <v>011000011011</v>
      </c>
    </row>
    <row r="3466" spans="2:2" x14ac:dyDescent="0.25">
      <c r="B3466" s="4" t="str">
        <f>_xlfn.TEXTJOIN(,,'Truth Table'!B3466:M3466)</f>
        <v>111000011011</v>
      </c>
    </row>
    <row r="3467" spans="2:2" x14ac:dyDescent="0.25">
      <c r="B3467" s="4" t="str">
        <f>_xlfn.TEXTJOIN(,,'Truth Table'!B3467:M3467)</f>
        <v>000100011011</v>
      </c>
    </row>
    <row r="3468" spans="2:2" x14ac:dyDescent="0.25">
      <c r="B3468" s="4" t="str">
        <f>_xlfn.TEXTJOIN(,,'Truth Table'!B3468:M3468)</f>
        <v>100100011011</v>
      </c>
    </row>
    <row r="3469" spans="2:2" x14ac:dyDescent="0.25">
      <c r="B3469" s="4" t="str">
        <f>_xlfn.TEXTJOIN(,,'Truth Table'!B3469:M3469)</f>
        <v>010100011011</v>
      </c>
    </row>
    <row r="3470" spans="2:2" x14ac:dyDescent="0.25">
      <c r="B3470" s="4" t="str">
        <f>_xlfn.TEXTJOIN(,,'Truth Table'!B3470:M3470)</f>
        <v>110100011011</v>
      </c>
    </row>
    <row r="3471" spans="2:2" x14ac:dyDescent="0.25">
      <c r="B3471" s="4" t="str">
        <f>_xlfn.TEXTJOIN(,,'Truth Table'!B3471:M3471)</f>
        <v>001100011011</v>
      </c>
    </row>
    <row r="3472" spans="2:2" x14ac:dyDescent="0.25">
      <c r="B3472" s="4" t="str">
        <f>_xlfn.TEXTJOIN(,,'Truth Table'!B3472:M3472)</f>
        <v>101100011011</v>
      </c>
    </row>
    <row r="3473" spans="2:2" x14ac:dyDescent="0.25">
      <c r="B3473" s="4" t="str">
        <f>_xlfn.TEXTJOIN(,,'Truth Table'!B3473:M3473)</f>
        <v>011100011011</v>
      </c>
    </row>
    <row r="3474" spans="2:2" x14ac:dyDescent="0.25">
      <c r="B3474" s="4" t="str">
        <f>_xlfn.TEXTJOIN(,,'Truth Table'!B3474:M3474)</f>
        <v>111100011011</v>
      </c>
    </row>
    <row r="3475" spans="2:2" x14ac:dyDescent="0.25">
      <c r="B3475" s="4" t="str">
        <f>_xlfn.TEXTJOIN(,,'Truth Table'!B3475:M3475)</f>
        <v>000010011011</v>
      </c>
    </row>
    <row r="3476" spans="2:2" x14ac:dyDescent="0.25">
      <c r="B3476" s="4" t="str">
        <f>_xlfn.TEXTJOIN(,,'Truth Table'!B3476:M3476)</f>
        <v>100010011011</v>
      </c>
    </row>
    <row r="3477" spans="2:2" x14ac:dyDescent="0.25">
      <c r="B3477" s="4" t="str">
        <f>_xlfn.TEXTJOIN(,,'Truth Table'!B3477:M3477)</f>
        <v>010010011011</v>
      </c>
    </row>
    <row r="3478" spans="2:2" x14ac:dyDescent="0.25">
      <c r="B3478" s="4" t="str">
        <f>_xlfn.TEXTJOIN(,,'Truth Table'!B3478:M3478)</f>
        <v>110010011011</v>
      </c>
    </row>
    <row r="3479" spans="2:2" x14ac:dyDescent="0.25">
      <c r="B3479" s="4" t="str">
        <f>_xlfn.TEXTJOIN(,,'Truth Table'!B3479:M3479)</f>
        <v>001010011011</v>
      </c>
    </row>
    <row r="3480" spans="2:2" x14ac:dyDescent="0.25">
      <c r="B3480" s="4" t="str">
        <f>_xlfn.TEXTJOIN(,,'Truth Table'!B3480:M3480)</f>
        <v>101010011011</v>
      </c>
    </row>
    <row r="3481" spans="2:2" x14ac:dyDescent="0.25">
      <c r="B3481" s="4" t="str">
        <f>_xlfn.TEXTJOIN(,,'Truth Table'!B3481:M3481)</f>
        <v>011010011011</v>
      </c>
    </row>
    <row r="3482" spans="2:2" x14ac:dyDescent="0.25">
      <c r="B3482" s="4" t="str">
        <f>_xlfn.TEXTJOIN(,,'Truth Table'!B3482:M3482)</f>
        <v>111010011011</v>
      </c>
    </row>
    <row r="3483" spans="2:2" x14ac:dyDescent="0.25">
      <c r="B3483" s="4" t="str">
        <f>_xlfn.TEXTJOIN(,,'Truth Table'!B3483:M3483)</f>
        <v>000110011011</v>
      </c>
    </row>
    <row r="3484" spans="2:2" x14ac:dyDescent="0.25">
      <c r="B3484" s="4" t="str">
        <f>_xlfn.TEXTJOIN(,,'Truth Table'!B3484:M3484)</f>
        <v>100110011011</v>
      </c>
    </row>
    <row r="3485" spans="2:2" x14ac:dyDescent="0.25">
      <c r="B3485" s="4" t="str">
        <f>_xlfn.TEXTJOIN(,,'Truth Table'!B3485:M3485)</f>
        <v>010110011011</v>
      </c>
    </row>
    <row r="3486" spans="2:2" x14ac:dyDescent="0.25">
      <c r="B3486" s="4" t="str">
        <f>_xlfn.TEXTJOIN(,,'Truth Table'!B3486:M3486)</f>
        <v>110110011011</v>
      </c>
    </row>
    <row r="3487" spans="2:2" x14ac:dyDescent="0.25">
      <c r="B3487" s="4" t="str">
        <f>_xlfn.TEXTJOIN(,,'Truth Table'!B3487:M3487)</f>
        <v>001110011011</v>
      </c>
    </row>
    <row r="3488" spans="2:2" x14ac:dyDescent="0.25">
      <c r="B3488" s="4" t="str">
        <f>_xlfn.TEXTJOIN(,,'Truth Table'!B3488:M3488)</f>
        <v>101110011011</v>
      </c>
    </row>
    <row r="3489" spans="2:2" x14ac:dyDescent="0.25">
      <c r="B3489" s="4" t="str">
        <f>_xlfn.TEXTJOIN(,,'Truth Table'!B3489:M3489)</f>
        <v>011110011011</v>
      </c>
    </row>
    <row r="3490" spans="2:2" x14ac:dyDescent="0.25">
      <c r="B3490" s="4" t="str">
        <f>_xlfn.TEXTJOIN(,,'Truth Table'!B3490:M3490)</f>
        <v>111110011011</v>
      </c>
    </row>
    <row r="3491" spans="2:2" x14ac:dyDescent="0.25">
      <c r="B3491" s="4" t="str">
        <f>_xlfn.TEXTJOIN(,,'Truth Table'!B3491:M3491)</f>
        <v>000001011011</v>
      </c>
    </row>
    <row r="3492" spans="2:2" x14ac:dyDescent="0.25">
      <c r="B3492" s="4" t="str">
        <f>_xlfn.TEXTJOIN(,,'Truth Table'!B3492:M3492)</f>
        <v>100001011011</v>
      </c>
    </row>
    <row r="3493" spans="2:2" x14ac:dyDescent="0.25">
      <c r="B3493" s="4" t="str">
        <f>_xlfn.TEXTJOIN(,,'Truth Table'!B3493:M3493)</f>
        <v>010001011011</v>
      </c>
    </row>
    <row r="3494" spans="2:2" x14ac:dyDescent="0.25">
      <c r="B3494" s="4" t="str">
        <f>_xlfn.TEXTJOIN(,,'Truth Table'!B3494:M3494)</f>
        <v>110001011011</v>
      </c>
    </row>
    <row r="3495" spans="2:2" x14ac:dyDescent="0.25">
      <c r="B3495" s="4" t="str">
        <f>_xlfn.TEXTJOIN(,,'Truth Table'!B3495:M3495)</f>
        <v>001001011011</v>
      </c>
    </row>
    <row r="3496" spans="2:2" x14ac:dyDescent="0.25">
      <c r="B3496" s="4" t="str">
        <f>_xlfn.TEXTJOIN(,,'Truth Table'!B3496:M3496)</f>
        <v>101001011011</v>
      </c>
    </row>
    <row r="3497" spans="2:2" x14ac:dyDescent="0.25">
      <c r="B3497" s="4" t="str">
        <f>_xlfn.TEXTJOIN(,,'Truth Table'!B3497:M3497)</f>
        <v>011001011011</v>
      </c>
    </row>
    <row r="3498" spans="2:2" x14ac:dyDescent="0.25">
      <c r="B3498" s="4" t="str">
        <f>_xlfn.TEXTJOIN(,,'Truth Table'!B3498:M3498)</f>
        <v>111001011011</v>
      </c>
    </row>
    <row r="3499" spans="2:2" x14ac:dyDescent="0.25">
      <c r="B3499" s="4" t="str">
        <f>_xlfn.TEXTJOIN(,,'Truth Table'!B3499:M3499)</f>
        <v>000101011011</v>
      </c>
    </row>
    <row r="3500" spans="2:2" x14ac:dyDescent="0.25">
      <c r="B3500" s="4" t="str">
        <f>_xlfn.TEXTJOIN(,,'Truth Table'!B3500:M3500)</f>
        <v>100101011011</v>
      </c>
    </row>
    <row r="3501" spans="2:2" x14ac:dyDescent="0.25">
      <c r="B3501" s="4" t="str">
        <f>_xlfn.TEXTJOIN(,,'Truth Table'!B3501:M3501)</f>
        <v>010101011011</v>
      </c>
    </row>
    <row r="3502" spans="2:2" x14ac:dyDescent="0.25">
      <c r="B3502" s="4" t="str">
        <f>_xlfn.TEXTJOIN(,,'Truth Table'!B3502:M3502)</f>
        <v>110101011011</v>
      </c>
    </row>
    <row r="3503" spans="2:2" x14ac:dyDescent="0.25">
      <c r="B3503" s="4" t="str">
        <f>_xlfn.TEXTJOIN(,,'Truth Table'!B3503:M3503)</f>
        <v>001101011011</v>
      </c>
    </row>
    <row r="3504" spans="2:2" x14ac:dyDescent="0.25">
      <c r="B3504" s="4" t="str">
        <f>_xlfn.TEXTJOIN(,,'Truth Table'!B3504:M3504)</f>
        <v>101101011011</v>
      </c>
    </row>
    <row r="3505" spans="2:2" x14ac:dyDescent="0.25">
      <c r="B3505" s="4" t="str">
        <f>_xlfn.TEXTJOIN(,,'Truth Table'!B3505:M3505)</f>
        <v>011101011011</v>
      </c>
    </row>
    <row r="3506" spans="2:2" x14ac:dyDescent="0.25">
      <c r="B3506" s="4" t="str">
        <f>_xlfn.TEXTJOIN(,,'Truth Table'!B3506:M3506)</f>
        <v>111101011011</v>
      </c>
    </row>
    <row r="3507" spans="2:2" x14ac:dyDescent="0.25">
      <c r="B3507" s="4" t="str">
        <f>_xlfn.TEXTJOIN(,,'Truth Table'!B3507:M3507)</f>
        <v>000011011011</v>
      </c>
    </row>
    <row r="3508" spans="2:2" x14ac:dyDescent="0.25">
      <c r="B3508" s="4" t="str">
        <f>_xlfn.TEXTJOIN(,,'Truth Table'!B3508:M3508)</f>
        <v>100011011011</v>
      </c>
    </row>
    <row r="3509" spans="2:2" x14ac:dyDescent="0.25">
      <c r="B3509" s="4" t="str">
        <f>_xlfn.TEXTJOIN(,,'Truth Table'!B3509:M3509)</f>
        <v>010011011011</v>
      </c>
    </row>
    <row r="3510" spans="2:2" x14ac:dyDescent="0.25">
      <c r="B3510" s="4" t="str">
        <f>_xlfn.TEXTJOIN(,,'Truth Table'!B3510:M3510)</f>
        <v>110011011011</v>
      </c>
    </row>
    <row r="3511" spans="2:2" x14ac:dyDescent="0.25">
      <c r="B3511" s="4" t="str">
        <f>_xlfn.TEXTJOIN(,,'Truth Table'!B3511:M3511)</f>
        <v>001011011011</v>
      </c>
    </row>
    <row r="3512" spans="2:2" x14ac:dyDescent="0.25">
      <c r="B3512" s="4" t="str">
        <f>_xlfn.TEXTJOIN(,,'Truth Table'!B3512:M3512)</f>
        <v>101011011011</v>
      </c>
    </row>
    <row r="3513" spans="2:2" x14ac:dyDescent="0.25">
      <c r="B3513" s="4" t="str">
        <f>_xlfn.TEXTJOIN(,,'Truth Table'!B3513:M3513)</f>
        <v>011011011011</v>
      </c>
    </row>
    <row r="3514" spans="2:2" x14ac:dyDescent="0.25">
      <c r="B3514" s="4" t="str">
        <f>_xlfn.TEXTJOIN(,,'Truth Table'!B3514:M3514)</f>
        <v>111011011011</v>
      </c>
    </row>
    <row r="3515" spans="2:2" x14ac:dyDescent="0.25">
      <c r="B3515" s="4" t="str">
        <f>_xlfn.TEXTJOIN(,,'Truth Table'!B3515:M3515)</f>
        <v>000111011011</v>
      </c>
    </row>
    <row r="3516" spans="2:2" x14ac:dyDescent="0.25">
      <c r="B3516" s="4" t="str">
        <f>_xlfn.TEXTJOIN(,,'Truth Table'!B3516:M3516)</f>
        <v>100111011011</v>
      </c>
    </row>
    <row r="3517" spans="2:2" x14ac:dyDescent="0.25">
      <c r="B3517" s="4" t="str">
        <f>_xlfn.TEXTJOIN(,,'Truth Table'!B3517:M3517)</f>
        <v>010111011011</v>
      </c>
    </row>
    <row r="3518" spans="2:2" x14ac:dyDescent="0.25">
      <c r="B3518" s="4" t="str">
        <f>_xlfn.TEXTJOIN(,,'Truth Table'!B3518:M3518)</f>
        <v>110111011011</v>
      </c>
    </row>
    <row r="3519" spans="2:2" x14ac:dyDescent="0.25">
      <c r="B3519" s="4" t="str">
        <f>_xlfn.TEXTJOIN(,,'Truth Table'!B3519:M3519)</f>
        <v>001111011011</v>
      </c>
    </row>
    <row r="3520" spans="2:2" x14ac:dyDescent="0.25">
      <c r="B3520" s="4" t="str">
        <f>_xlfn.TEXTJOIN(,,'Truth Table'!B3520:M3520)</f>
        <v>101111011011</v>
      </c>
    </row>
    <row r="3521" spans="2:2" x14ac:dyDescent="0.25">
      <c r="B3521" s="4" t="str">
        <f>_xlfn.TEXTJOIN(,,'Truth Table'!B3521:M3521)</f>
        <v>011111011011</v>
      </c>
    </row>
    <row r="3522" spans="2:2" x14ac:dyDescent="0.25">
      <c r="B3522" s="4" t="str">
        <f>_xlfn.TEXTJOIN(,,'Truth Table'!B3522:M3522)</f>
        <v>111111011011</v>
      </c>
    </row>
    <row r="3523" spans="2:2" x14ac:dyDescent="0.25">
      <c r="B3523" s="4" t="str">
        <f>_xlfn.TEXTJOIN(,,'Truth Table'!B3523:M3523)</f>
        <v>000000111011</v>
      </c>
    </row>
    <row r="3524" spans="2:2" x14ac:dyDescent="0.25">
      <c r="B3524" s="4" t="str">
        <f>_xlfn.TEXTJOIN(,,'Truth Table'!B3524:M3524)</f>
        <v>100000111011</v>
      </c>
    </row>
    <row r="3525" spans="2:2" x14ac:dyDescent="0.25">
      <c r="B3525" s="4" t="str">
        <f>_xlfn.TEXTJOIN(,,'Truth Table'!B3525:M3525)</f>
        <v>010000111011</v>
      </c>
    </row>
    <row r="3526" spans="2:2" x14ac:dyDescent="0.25">
      <c r="B3526" s="4" t="str">
        <f>_xlfn.TEXTJOIN(,,'Truth Table'!B3526:M3526)</f>
        <v>110000111011</v>
      </c>
    </row>
    <row r="3527" spans="2:2" x14ac:dyDescent="0.25">
      <c r="B3527" s="4" t="str">
        <f>_xlfn.TEXTJOIN(,,'Truth Table'!B3527:M3527)</f>
        <v>001000111011</v>
      </c>
    </row>
    <row r="3528" spans="2:2" x14ac:dyDescent="0.25">
      <c r="B3528" s="4" t="str">
        <f>_xlfn.TEXTJOIN(,,'Truth Table'!B3528:M3528)</f>
        <v>101000111011</v>
      </c>
    </row>
    <row r="3529" spans="2:2" x14ac:dyDescent="0.25">
      <c r="B3529" s="4" t="str">
        <f>_xlfn.TEXTJOIN(,,'Truth Table'!B3529:M3529)</f>
        <v>011000111011</v>
      </c>
    </row>
    <row r="3530" spans="2:2" x14ac:dyDescent="0.25">
      <c r="B3530" s="4" t="str">
        <f>_xlfn.TEXTJOIN(,,'Truth Table'!B3530:M3530)</f>
        <v>111000111011</v>
      </c>
    </row>
    <row r="3531" spans="2:2" x14ac:dyDescent="0.25">
      <c r="B3531" s="4" t="str">
        <f>_xlfn.TEXTJOIN(,,'Truth Table'!B3531:M3531)</f>
        <v>000100111011</v>
      </c>
    </row>
    <row r="3532" spans="2:2" x14ac:dyDescent="0.25">
      <c r="B3532" s="4" t="str">
        <f>_xlfn.TEXTJOIN(,,'Truth Table'!B3532:M3532)</f>
        <v>100100111011</v>
      </c>
    </row>
    <row r="3533" spans="2:2" x14ac:dyDescent="0.25">
      <c r="B3533" s="4" t="str">
        <f>_xlfn.TEXTJOIN(,,'Truth Table'!B3533:M3533)</f>
        <v>010100111011</v>
      </c>
    </row>
    <row r="3534" spans="2:2" x14ac:dyDescent="0.25">
      <c r="B3534" s="4" t="str">
        <f>_xlfn.TEXTJOIN(,,'Truth Table'!B3534:M3534)</f>
        <v>110100111011</v>
      </c>
    </row>
    <row r="3535" spans="2:2" x14ac:dyDescent="0.25">
      <c r="B3535" s="4" t="str">
        <f>_xlfn.TEXTJOIN(,,'Truth Table'!B3535:M3535)</f>
        <v>001100111011</v>
      </c>
    </row>
    <row r="3536" spans="2:2" x14ac:dyDescent="0.25">
      <c r="B3536" s="4" t="str">
        <f>_xlfn.TEXTJOIN(,,'Truth Table'!B3536:M3536)</f>
        <v>101100111011</v>
      </c>
    </row>
    <row r="3537" spans="2:2" x14ac:dyDescent="0.25">
      <c r="B3537" s="4" t="str">
        <f>_xlfn.TEXTJOIN(,,'Truth Table'!B3537:M3537)</f>
        <v>011100111011</v>
      </c>
    </row>
    <row r="3538" spans="2:2" x14ac:dyDescent="0.25">
      <c r="B3538" s="4" t="str">
        <f>_xlfn.TEXTJOIN(,,'Truth Table'!B3538:M3538)</f>
        <v>111100111011</v>
      </c>
    </row>
    <row r="3539" spans="2:2" x14ac:dyDescent="0.25">
      <c r="B3539" s="4" t="str">
        <f>_xlfn.TEXTJOIN(,,'Truth Table'!B3539:M3539)</f>
        <v>000010111011</v>
      </c>
    </row>
    <row r="3540" spans="2:2" x14ac:dyDescent="0.25">
      <c r="B3540" s="4" t="str">
        <f>_xlfn.TEXTJOIN(,,'Truth Table'!B3540:M3540)</f>
        <v>100010111011</v>
      </c>
    </row>
    <row r="3541" spans="2:2" x14ac:dyDescent="0.25">
      <c r="B3541" s="4" t="str">
        <f>_xlfn.TEXTJOIN(,,'Truth Table'!B3541:M3541)</f>
        <v>010010111011</v>
      </c>
    </row>
    <row r="3542" spans="2:2" x14ac:dyDescent="0.25">
      <c r="B3542" s="4" t="str">
        <f>_xlfn.TEXTJOIN(,,'Truth Table'!B3542:M3542)</f>
        <v>110010111011</v>
      </c>
    </row>
    <row r="3543" spans="2:2" x14ac:dyDescent="0.25">
      <c r="B3543" s="4" t="str">
        <f>_xlfn.TEXTJOIN(,,'Truth Table'!B3543:M3543)</f>
        <v>001010111011</v>
      </c>
    </row>
    <row r="3544" spans="2:2" x14ac:dyDescent="0.25">
      <c r="B3544" s="4" t="str">
        <f>_xlfn.TEXTJOIN(,,'Truth Table'!B3544:M3544)</f>
        <v>101010111011</v>
      </c>
    </row>
    <row r="3545" spans="2:2" x14ac:dyDescent="0.25">
      <c r="B3545" s="4" t="str">
        <f>_xlfn.TEXTJOIN(,,'Truth Table'!B3545:M3545)</f>
        <v>011010111011</v>
      </c>
    </row>
    <row r="3546" spans="2:2" x14ac:dyDescent="0.25">
      <c r="B3546" s="4" t="str">
        <f>_xlfn.TEXTJOIN(,,'Truth Table'!B3546:M3546)</f>
        <v>111010111011</v>
      </c>
    </row>
    <row r="3547" spans="2:2" x14ac:dyDescent="0.25">
      <c r="B3547" s="4" t="str">
        <f>_xlfn.TEXTJOIN(,,'Truth Table'!B3547:M3547)</f>
        <v>000110111011</v>
      </c>
    </row>
    <row r="3548" spans="2:2" x14ac:dyDescent="0.25">
      <c r="B3548" s="4" t="str">
        <f>_xlfn.TEXTJOIN(,,'Truth Table'!B3548:M3548)</f>
        <v>100110111011</v>
      </c>
    </row>
    <row r="3549" spans="2:2" x14ac:dyDescent="0.25">
      <c r="B3549" s="4" t="str">
        <f>_xlfn.TEXTJOIN(,,'Truth Table'!B3549:M3549)</f>
        <v>010110111011</v>
      </c>
    </row>
    <row r="3550" spans="2:2" x14ac:dyDescent="0.25">
      <c r="B3550" s="4" t="str">
        <f>_xlfn.TEXTJOIN(,,'Truth Table'!B3550:M3550)</f>
        <v>110110111011</v>
      </c>
    </row>
    <row r="3551" spans="2:2" x14ac:dyDescent="0.25">
      <c r="B3551" s="4" t="str">
        <f>_xlfn.TEXTJOIN(,,'Truth Table'!B3551:M3551)</f>
        <v>001110111011</v>
      </c>
    </row>
    <row r="3552" spans="2:2" x14ac:dyDescent="0.25">
      <c r="B3552" s="4" t="str">
        <f>_xlfn.TEXTJOIN(,,'Truth Table'!B3552:M3552)</f>
        <v>101110111011</v>
      </c>
    </row>
    <row r="3553" spans="2:2" x14ac:dyDescent="0.25">
      <c r="B3553" s="4" t="str">
        <f>_xlfn.TEXTJOIN(,,'Truth Table'!B3553:M3553)</f>
        <v>011110111011</v>
      </c>
    </row>
    <row r="3554" spans="2:2" x14ac:dyDescent="0.25">
      <c r="B3554" s="4" t="str">
        <f>_xlfn.TEXTJOIN(,,'Truth Table'!B3554:M3554)</f>
        <v>111110111011</v>
      </c>
    </row>
    <row r="3555" spans="2:2" x14ac:dyDescent="0.25">
      <c r="B3555" s="4" t="str">
        <f>_xlfn.TEXTJOIN(,,'Truth Table'!B3555:M3555)</f>
        <v>000001111011</v>
      </c>
    </row>
    <row r="3556" spans="2:2" x14ac:dyDescent="0.25">
      <c r="B3556" s="4" t="str">
        <f>_xlfn.TEXTJOIN(,,'Truth Table'!B3556:M3556)</f>
        <v>100001111011</v>
      </c>
    </row>
    <row r="3557" spans="2:2" x14ac:dyDescent="0.25">
      <c r="B3557" s="4" t="str">
        <f>_xlfn.TEXTJOIN(,,'Truth Table'!B3557:M3557)</f>
        <v>010001111011</v>
      </c>
    </row>
    <row r="3558" spans="2:2" x14ac:dyDescent="0.25">
      <c r="B3558" s="4" t="str">
        <f>_xlfn.TEXTJOIN(,,'Truth Table'!B3558:M3558)</f>
        <v>110001111011</v>
      </c>
    </row>
    <row r="3559" spans="2:2" x14ac:dyDescent="0.25">
      <c r="B3559" s="4" t="str">
        <f>_xlfn.TEXTJOIN(,,'Truth Table'!B3559:M3559)</f>
        <v>001001111011</v>
      </c>
    </row>
    <row r="3560" spans="2:2" x14ac:dyDescent="0.25">
      <c r="B3560" s="4" t="str">
        <f>_xlfn.TEXTJOIN(,,'Truth Table'!B3560:M3560)</f>
        <v>101001111011</v>
      </c>
    </row>
    <row r="3561" spans="2:2" x14ac:dyDescent="0.25">
      <c r="B3561" s="4" t="str">
        <f>_xlfn.TEXTJOIN(,,'Truth Table'!B3561:M3561)</f>
        <v>011001111011</v>
      </c>
    </row>
    <row r="3562" spans="2:2" x14ac:dyDescent="0.25">
      <c r="B3562" s="4" t="str">
        <f>_xlfn.TEXTJOIN(,,'Truth Table'!B3562:M3562)</f>
        <v>111001111011</v>
      </c>
    </row>
    <row r="3563" spans="2:2" x14ac:dyDescent="0.25">
      <c r="B3563" s="4" t="str">
        <f>_xlfn.TEXTJOIN(,,'Truth Table'!B3563:M3563)</f>
        <v>000101111011</v>
      </c>
    </row>
    <row r="3564" spans="2:2" x14ac:dyDescent="0.25">
      <c r="B3564" s="4" t="str">
        <f>_xlfn.TEXTJOIN(,,'Truth Table'!B3564:M3564)</f>
        <v>100101111011</v>
      </c>
    </row>
    <row r="3565" spans="2:2" x14ac:dyDescent="0.25">
      <c r="B3565" s="4" t="str">
        <f>_xlfn.TEXTJOIN(,,'Truth Table'!B3565:M3565)</f>
        <v>010101111011</v>
      </c>
    </row>
    <row r="3566" spans="2:2" x14ac:dyDescent="0.25">
      <c r="B3566" s="4" t="str">
        <f>_xlfn.TEXTJOIN(,,'Truth Table'!B3566:M3566)</f>
        <v>110101111011</v>
      </c>
    </row>
    <row r="3567" spans="2:2" x14ac:dyDescent="0.25">
      <c r="B3567" s="4" t="str">
        <f>_xlfn.TEXTJOIN(,,'Truth Table'!B3567:M3567)</f>
        <v>001101111011</v>
      </c>
    </row>
    <row r="3568" spans="2:2" x14ac:dyDescent="0.25">
      <c r="B3568" s="4" t="str">
        <f>_xlfn.TEXTJOIN(,,'Truth Table'!B3568:M3568)</f>
        <v>101101111011</v>
      </c>
    </row>
    <row r="3569" spans="2:2" x14ac:dyDescent="0.25">
      <c r="B3569" s="4" t="str">
        <f>_xlfn.TEXTJOIN(,,'Truth Table'!B3569:M3569)</f>
        <v>011101111011</v>
      </c>
    </row>
    <row r="3570" spans="2:2" x14ac:dyDescent="0.25">
      <c r="B3570" s="4" t="str">
        <f>_xlfn.TEXTJOIN(,,'Truth Table'!B3570:M3570)</f>
        <v>111101111011</v>
      </c>
    </row>
    <row r="3571" spans="2:2" x14ac:dyDescent="0.25">
      <c r="B3571" s="4" t="str">
        <f>_xlfn.TEXTJOIN(,,'Truth Table'!B3571:M3571)</f>
        <v>000011111011</v>
      </c>
    </row>
    <row r="3572" spans="2:2" x14ac:dyDescent="0.25">
      <c r="B3572" s="4" t="str">
        <f>_xlfn.TEXTJOIN(,,'Truth Table'!B3572:M3572)</f>
        <v>100011111011</v>
      </c>
    </row>
    <row r="3573" spans="2:2" x14ac:dyDescent="0.25">
      <c r="B3573" s="4" t="str">
        <f>_xlfn.TEXTJOIN(,,'Truth Table'!B3573:M3573)</f>
        <v>010011111011</v>
      </c>
    </row>
    <row r="3574" spans="2:2" x14ac:dyDescent="0.25">
      <c r="B3574" s="4" t="str">
        <f>_xlfn.TEXTJOIN(,,'Truth Table'!B3574:M3574)</f>
        <v>110011111011</v>
      </c>
    </row>
    <row r="3575" spans="2:2" x14ac:dyDescent="0.25">
      <c r="B3575" s="4" t="str">
        <f>_xlfn.TEXTJOIN(,,'Truth Table'!B3575:M3575)</f>
        <v>001011111011</v>
      </c>
    </row>
    <row r="3576" spans="2:2" x14ac:dyDescent="0.25">
      <c r="B3576" s="4" t="str">
        <f>_xlfn.TEXTJOIN(,,'Truth Table'!B3576:M3576)</f>
        <v>101011111011</v>
      </c>
    </row>
    <row r="3577" spans="2:2" x14ac:dyDescent="0.25">
      <c r="B3577" s="4" t="str">
        <f>_xlfn.TEXTJOIN(,,'Truth Table'!B3577:M3577)</f>
        <v>011011111011</v>
      </c>
    </row>
    <row r="3578" spans="2:2" x14ac:dyDescent="0.25">
      <c r="B3578" s="4" t="str">
        <f>_xlfn.TEXTJOIN(,,'Truth Table'!B3578:M3578)</f>
        <v>111011111011</v>
      </c>
    </row>
    <row r="3579" spans="2:2" x14ac:dyDescent="0.25">
      <c r="B3579" s="4" t="str">
        <f>_xlfn.TEXTJOIN(,,'Truth Table'!B3579:M3579)</f>
        <v>000111111011</v>
      </c>
    </row>
    <row r="3580" spans="2:2" x14ac:dyDescent="0.25">
      <c r="B3580" s="4" t="str">
        <f>_xlfn.TEXTJOIN(,,'Truth Table'!B3580:M3580)</f>
        <v>100111111011</v>
      </c>
    </row>
    <row r="3581" spans="2:2" x14ac:dyDescent="0.25">
      <c r="B3581" s="4" t="str">
        <f>_xlfn.TEXTJOIN(,,'Truth Table'!B3581:M3581)</f>
        <v>010111111011</v>
      </c>
    </row>
    <row r="3582" spans="2:2" x14ac:dyDescent="0.25">
      <c r="B3582" s="4" t="str">
        <f>_xlfn.TEXTJOIN(,,'Truth Table'!B3582:M3582)</f>
        <v>110111111011</v>
      </c>
    </row>
    <row r="3583" spans="2:2" x14ac:dyDescent="0.25">
      <c r="B3583" s="4" t="str">
        <f>_xlfn.TEXTJOIN(,,'Truth Table'!B3583:M3583)</f>
        <v>001111111011</v>
      </c>
    </row>
    <row r="3584" spans="2:2" x14ac:dyDescent="0.25">
      <c r="B3584" s="4" t="str">
        <f>_xlfn.TEXTJOIN(,,'Truth Table'!B3584:M3584)</f>
        <v>101111111011</v>
      </c>
    </row>
    <row r="3585" spans="2:2" x14ac:dyDescent="0.25">
      <c r="B3585" s="4" t="str">
        <f>_xlfn.TEXTJOIN(,,'Truth Table'!B3585:M3585)</f>
        <v>011111111011</v>
      </c>
    </row>
    <row r="3586" spans="2:2" x14ac:dyDescent="0.25">
      <c r="B3586" s="4" t="str">
        <f>_xlfn.TEXTJOIN(,,'Truth Table'!B3586:M3586)</f>
        <v>111111111011</v>
      </c>
    </row>
    <row r="3587" spans="2:2" x14ac:dyDescent="0.25">
      <c r="B3587" s="4" t="str">
        <f>_xlfn.TEXTJOIN(,,'Truth Table'!B3587:M3587)</f>
        <v>000000000111</v>
      </c>
    </row>
    <row r="3588" spans="2:2" x14ac:dyDescent="0.25">
      <c r="B3588" s="4" t="str">
        <f>_xlfn.TEXTJOIN(,,'Truth Table'!B3588:M3588)</f>
        <v>100000000111</v>
      </c>
    </row>
    <row r="3589" spans="2:2" x14ac:dyDescent="0.25">
      <c r="B3589" s="4" t="str">
        <f>_xlfn.TEXTJOIN(,,'Truth Table'!B3589:M3589)</f>
        <v>010000000111</v>
      </c>
    </row>
    <row r="3590" spans="2:2" x14ac:dyDescent="0.25">
      <c r="B3590" s="4" t="str">
        <f>_xlfn.TEXTJOIN(,,'Truth Table'!B3590:M3590)</f>
        <v>110000000111</v>
      </c>
    </row>
    <row r="3591" spans="2:2" x14ac:dyDescent="0.25">
      <c r="B3591" s="4" t="str">
        <f>_xlfn.TEXTJOIN(,,'Truth Table'!B3591:M3591)</f>
        <v>001000000111</v>
      </c>
    </row>
    <row r="3592" spans="2:2" x14ac:dyDescent="0.25">
      <c r="B3592" s="4" t="str">
        <f>_xlfn.TEXTJOIN(,,'Truth Table'!B3592:M3592)</f>
        <v>101000000111</v>
      </c>
    </row>
    <row r="3593" spans="2:2" x14ac:dyDescent="0.25">
      <c r="B3593" s="4" t="str">
        <f>_xlfn.TEXTJOIN(,,'Truth Table'!B3593:M3593)</f>
        <v>011000000111</v>
      </c>
    </row>
    <row r="3594" spans="2:2" x14ac:dyDescent="0.25">
      <c r="B3594" s="4" t="str">
        <f>_xlfn.TEXTJOIN(,,'Truth Table'!B3594:M3594)</f>
        <v>111000000111</v>
      </c>
    </row>
    <row r="3595" spans="2:2" x14ac:dyDescent="0.25">
      <c r="B3595" s="4" t="str">
        <f>_xlfn.TEXTJOIN(,,'Truth Table'!B3595:M3595)</f>
        <v>000100000111</v>
      </c>
    </row>
    <row r="3596" spans="2:2" x14ac:dyDescent="0.25">
      <c r="B3596" s="4" t="str">
        <f>_xlfn.TEXTJOIN(,,'Truth Table'!B3596:M3596)</f>
        <v>100100000111</v>
      </c>
    </row>
    <row r="3597" spans="2:2" x14ac:dyDescent="0.25">
      <c r="B3597" s="4" t="str">
        <f>_xlfn.TEXTJOIN(,,'Truth Table'!B3597:M3597)</f>
        <v>010100000111</v>
      </c>
    </row>
    <row r="3598" spans="2:2" x14ac:dyDescent="0.25">
      <c r="B3598" s="4" t="str">
        <f>_xlfn.TEXTJOIN(,,'Truth Table'!B3598:M3598)</f>
        <v>110100000111</v>
      </c>
    </row>
    <row r="3599" spans="2:2" x14ac:dyDescent="0.25">
      <c r="B3599" s="4" t="str">
        <f>_xlfn.TEXTJOIN(,,'Truth Table'!B3599:M3599)</f>
        <v>001100000111</v>
      </c>
    </row>
    <row r="3600" spans="2:2" x14ac:dyDescent="0.25">
      <c r="B3600" s="4" t="str">
        <f>_xlfn.TEXTJOIN(,,'Truth Table'!B3600:M3600)</f>
        <v>101100000111</v>
      </c>
    </row>
    <row r="3601" spans="2:2" x14ac:dyDescent="0.25">
      <c r="B3601" s="4" t="str">
        <f>_xlfn.TEXTJOIN(,,'Truth Table'!B3601:M3601)</f>
        <v>011100000111</v>
      </c>
    </row>
    <row r="3602" spans="2:2" x14ac:dyDescent="0.25">
      <c r="B3602" s="4" t="str">
        <f>_xlfn.TEXTJOIN(,,'Truth Table'!B3602:M3602)</f>
        <v>111100000111</v>
      </c>
    </row>
    <row r="3603" spans="2:2" x14ac:dyDescent="0.25">
      <c r="B3603" s="4" t="str">
        <f>_xlfn.TEXTJOIN(,,'Truth Table'!B3603:M3603)</f>
        <v>000010000111</v>
      </c>
    </row>
    <row r="3604" spans="2:2" x14ac:dyDescent="0.25">
      <c r="B3604" s="4" t="str">
        <f>_xlfn.TEXTJOIN(,,'Truth Table'!B3604:M3604)</f>
        <v>100010000111</v>
      </c>
    </row>
    <row r="3605" spans="2:2" x14ac:dyDescent="0.25">
      <c r="B3605" s="4" t="str">
        <f>_xlfn.TEXTJOIN(,,'Truth Table'!B3605:M3605)</f>
        <v>010010000111</v>
      </c>
    </row>
    <row r="3606" spans="2:2" x14ac:dyDescent="0.25">
      <c r="B3606" s="4" t="str">
        <f>_xlfn.TEXTJOIN(,,'Truth Table'!B3606:M3606)</f>
        <v>110010000111</v>
      </c>
    </row>
    <row r="3607" spans="2:2" x14ac:dyDescent="0.25">
      <c r="B3607" s="4" t="str">
        <f>_xlfn.TEXTJOIN(,,'Truth Table'!B3607:M3607)</f>
        <v>001010000111</v>
      </c>
    </row>
    <row r="3608" spans="2:2" x14ac:dyDescent="0.25">
      <c r="B3608" s="4" t="str">
        <f>_xlfn.TEXTJOIN(,,'Truth Table'!B3608:M3608)</f>
        <v>101010000111</v>
      </c>
    </row>
    <row r="3609" spans="2:2" x14ac:dyDescent="0.25">
      <c r="B3609" s="4" t="str">
        <f>_xlfn.TEXTJOIN(,,'Truth Table'!B3609:M3609)</f>
        <v>011010000111</v>
      </c>
    </row>
    <row r="3610" spans="2:2" x14ac:dyDescent="0.25">
      <c r="B3610" s="4" t="str">
        <f>_xlfn.TEXTJOIN(,,'Truth Table'!B3610:M3610)</f>
        <v>111010000111</v>
      </c>
    </row>
    <row r="3611" spans="2:2" x14ac:dyDescent="0.25">
      <c r="B3611" s="4" t="str">
        <f>_xlfn.TEXTJOIN(,,'Truth Table'!B3611:M3611)</f>
        <v>000110000111</v>
      </c>
    </row>
    <row r="3612" spans="2:2" x14ac:dyDescent="0.25">
      <c r="B3612" s="4" t="str">
        <f>_xlfn.TEXTJOIN(,,'Truth Table'!B3612:M3612)</f>
        <v>100110000111</v>
      </c>
    </row>
    <row r="3613" spans="2:2" x14ac:dyDescent="0.25">
      <c r="B3613" s="4" t="str">
        <f>_xlfn.TEXTJOIN(,,'Truth Table'!B3613:M3613)</f>
        <v>010110000111</v>
      </c>
    </row>
    <row r="3614" spans="2:2" x14ac:dyDescent="0.25">
      <c r="B3614" s="4" t="str">
        <f>_xlfn.TEXTJOIN(,,'Truth Table'!B3614:M3614)</f>
        <v>110110000111</v>
      </c>
    </row>
    <row r="3615" spans="2:2" x14ac:dyDescent="0.25">
      <c r="B3615" s="4" t="str">
        <f>_xlfn.TEXTJOIN(,,'Truth Table'!B3615:M3615)</f>
        <v>001110000111</v>
      </c>
    </row>
    <row r="3616" spans="2:2" x14ac:dyDescent="0.25">
      <c r="B3616" s="4" t="str">
        <f>_xlfn.TEXTJOIN(,,'Truth Table'!B3616:M3616)</f>
        <v>101110000111</v>
      </c>
    </row>
    <row r="3617" spans="2:2" x14ac:dyDescent="0.25">
      <c r="B3617" s="4" t="str">
        <f>_xlfn.TEXTJOIN(,,'Truth Table'!B3617:M3617)</f>
        <v>011110000111</v>
      </c>
    </row>
    <row r="3618" spans="2:2" x14ac:dyDescent="0.25">
      <c r="B3618" s="4" t="str">
        <f>_xlfn.TEXTJOIN(,,'Truth Table'!B3618:M3618)</f>
        <v>111110000111</v>
      </c>
    </row>
    <row r="3619" spans="2:2" x14ac:dyDescent="0.25">
      <c r="B3619" s="4" t="str">
        <f>_xlfn.TEXTJOIN(,,'Truth Table'!B3619:M3619)</f>
        <v>000001000111</v>
      </c>
    </row>
    <row r="3620" spans="2:2" x14ac:dyDescent="0.25">
      <c r="B3620" s="4" t="str">
        <f>_xlfn.TEXTJOIN(,,'Truth Table'!B3620:M3620)</f>
        <v>100001000111</v>
      </c>
    </row>
    <row r="3621" spans="2:2" x14ac:dyDescent="0.25">
      <c r="B3621" s="4" t="str">
        <f>_xlfn.TEXTJOIN(,,'Truth Table'!B3621:M3621)</f>
        <v>010001000111</v>
      </c>
    </row>
    <row r="3622" spans="2:2" x14ac:dyDescent="0.25">
      <c r="B3622" s="4" t="str">
        <f>_xlfn.TEXTJOIN(,,'Truth Table'!B3622:M3622)</f>
        <v>110001000111</v>
      </c>
    </row>
    <row r="3623" spans="2:2" x14ac:dyDescent="0.25">
      <c r="B3623" s="4" t="str">
        <f>_xlfn.TEXTJOIN(,,'Truth Table'!B3623:M3623)</f>
        <v>001001000111</v>
      </c>
    </row>
    <row r="3624" spans="2:2" x14ac:dyDescent="0.25">
      <c r="B3624" s="4" t="str">
        <f>_xlfn.TEXTJOIN(,,'Truth Table'!B3624:M3624)</f>
        <v>101001000111</v>
      </c>
    </row>
    <row r="3625" spans="2:2" x14ac:dyDescent="0.25">
      <c r="B3625" s="4" t="str">
        <f>_xlfn.TEXTJOIN(,,'Truth Table'!B3625:M3625)</f>
        <v>011001000111</v>
      </c>
    </row>
    <row r="3626" spans="2:2" x14ac:dyDescent="0.25">
      <c r="B3626" s="4" t="str">
        <f>_xlfn.TEXTJOIN(,,'Truth Table'!B3626:M3626)</f>
        <v>111001000111</v>
      </c>
    </row>
    <row r="3627" spans="2:2" x14ac:dyDescent="0.25">
      <c r="B3627" s="4" t="str">
        <f>_xlfn.TEXTJOIN(,,'Truth Table'!B3627:M3627)</f>
        <v>000101000111</v>
      </c>
    </row>
    <row r="3628" spans="2:2" x14ac:dyDescent="0.25">
      <c r="B3628" s="4" t="str">
        <f>_xlfn.TEXTJOIN(,,'Truth Table'!B3628:M3628)</f>
        <v>100101000111</v>
      </c>
    </row>
    <row r="3629" spans="2:2" x14ac:dyDescent="0.25">
      <c r="B3629" s="4" t="str">
        <f>_xlfn.TEXTJOIN(,,'Truth Table'!B3629:M3629)</f>
        <v>010101000111</v>
      </c>
    </row>
    <row r="3630" spans="2:2" x14ac:dyDescent="0.25">
      <c r="B3630" s="4" t="str">
        <f>_xlfn.TEXTJOIN(,,'Truth Table'!B3630:M3630)</f>
        <v>110101000111</v>
      </c>
    </row>
    <row r="3631" spans="2:2" x14ac:dyDescent="0.25">
      <c r="B3631" s="4" t="str">
        <f>_xlfn.TEXTJOIN(,,'Truth Table'!B3631:M3631)</f>
        <v>001101000111</v>
      </c>
    </row>
    <row r="3632" spans="2:2" x14ac:dyDescent="0.25">
      <c r="B3632" s="4" t="str">
        <f>_xlfn.TEXTJOIN(,,'Truth Table'!B3632:M3632)</f>
        <v>101101000111</v>
      </c>
    </row>
    <row r="3633" spans="2:2" x14ac:dyDescent="0.25">
      <c r="B3633" s="4" t="str">
        <f>_xlfn.TEXTJOIN(,,'Truth Table'!B3633:M3633)</f>
        <v>011101000111</v>
      </c>
    </row>
    <row r="3634" spans="2:2" x14ac:dyDescent="0.25">
      <c r="B3634" s="4" t="str">
        <f>_xlfn.TEXTJOIN(,,'Truth Table'!B3634:M3634)</f>
        <v>111101000111</v>
      </c>
    </row>
    <row r="3635" spans="2:2" x14ac:dyDescent="0.25">
      <c r="B3635" s="4" t="str">
        <f>_xlfn.TEXTJOIN(,,'Truth Table'!B3635:M3635)</f>
        <v>000011000111</v>
      </c>
    </row>
    <row r="3636" spans="2:2" x14ac:dyDescent="0.25">
      <c r="B3636" s="4" t="str">
        <f>_xlfn.TEXTJOIN(,,'Truth Table'!B3636:M3636)</f>
        <v>100011000111</v>
      </c>
    </row>
    <row r="3637" spans="2:2" x14ac:dyDescent="0.25">
      <c r="B3637" s="4" t="str">
        <f>_xlfn.TEXTJOIN(,,'Truth Table'!B3637:M3637)</f>
        <v>010011000111</v>
      </c>
    </row>
    <row r="3638" spans="2:2" x14ac:dyDescent="0.25">
      <c r="B3638" s="4" t="str">
        <f>_xlfn.TEXTJOIN(,,'Truth Table'!B3638:M3638)</f>
        <v>110011000111</v>
      </c>
    </row>
    <row r="3639" spans="2:2" x14ac:dyDescent="0.25">
      <c r="B3639" s="4" t="str">
        <f>_xlfn.TEXTJOIN(,,'Truth Table'!B3639:M3639)</f>
        <v>001011000111</v>
      </c>
    </row>
    <row r="3640" spans="2:2" x14ac:dyDescent="0.25">
      <c r="B3640" s="4" t="str">
        <f>_xlfn.TEXTJOIN(,,'Truth Table'!B3640:M3640)</f>
        <v>101011000111</v>
      </c>
    </row>
    <row r="3641" spans="2:2" x14ac:dyDescent="0.25">
      <c r="B3641" s="4" t="str">
        <f>_xlfn.TEXTJOIN(,,'Truth Table'!B3641:M3641)</f>
        <v>011011000111</v>
      </c>
    </row>
    <row r="3642" spans="2:2" x14ac:dyDescent="0.25">
      <c r="B3642" s="4" t="str">
        <f>_xlfn.TEXTJOIN(,,'Truth Table'!B3642:M3642)</f>
        <v>111011000111</v>
      </c>
    </row>
    <row r="3643" spans="2:2" x14ac:dyDescent="0.25">
      <c r="B3643" s="4" t="str">
        <f>_xlfn.TEXTJOIN(,,'Truth Table'!B3643:M3643)</f>
        <v>000111000111</v>
      </c>
    </row>
    <row r="3644" spans="2:2" x14ac:dyDescent="0.25">
      <c r="B3644" s="4" t="str">
        <f>_xlfn.TEXTJOIN(,,'Truth Table'!B3644:M3644)</f>
        <v>100111000111</v>
      </c>
    </row>
    <row r="3645" spans="2:2" x14ac:dyDescent="0.25">
      <c r="B3645" s="4" t="str">
        <f>_xlfn.TEXTJOIN(,,'Truth Table'!B3645:M3645)</f>
        <v>010111000111</v>
      </c>
    </row>
    <row r="3646" spans="2:2" x14ac:dyDescent="0.25">
      <c r="B3646" s="4" t="str">
        <f>_xlfn.TEXTJOIN(,,'Truth Table'!B3646:M3646)</f>
        <v>110111000111</v>
      </c>
    </row>
    <row r="3647" spans="2:2" x14ac:dyDescent="0.25">
      <c r="B3647" s="4" t="str">
        <f>_xlfn.TEXTJOIN(,,'Truth Table'!B3647:M3647)</f>
        <v>001111000111</v>
      </c>
    </row>
    <row r="3648" spans="2:2" x14ac:dyDescent="0.25">
      <c r="B3648" s="4" t="str">
        <f>_xlfn.TEXTJOIN(,,'Truth Table'!B3648:M3648)</f>
        <v>101111000111</v>
      </c>
    </row>
    <row r="3649" spans="2:2" x14ac:dyDescent="0.25">
      <c r="B3649" s="4" t="str">
        <f>_xlfn.TEXTJOIN(,,'Truth Table'!B3649:M3649)</f>
        <v>011111000111</v>
      </c>
    </row>
    <row r="3650" spans="2:2" x14ac:dyDescent="0.25">
      <c r="B3650" s="4" t="str">
        <f>_xlfn.TEXTJOIN(,,'Truth Table'!B3650:M3650)</f>
        <v>111111000111</v>
      </c>
    </row>
    <row r="3651" spans="2:2" x14ac:dyDescent="0.25">
      <c r="B3651" s="4" t="str">
        <f>_xlfn.TEXTJOIN(,,'Truth Table'!B3651:M3651)</f>
        <v>000000100111</v>
      </c>
    </row>
    <row r="3652" spans="2:2" x14ac:dyDescent="0.25">
      <c r="B3652" s="4" t="str">
        <f>_xlfn.TEXTJOIN(,,'Truth Table'!B3652:M3652)</f>
        <v>100000100111</v>
      </c>
    </row>
    <row r="3653" spans="2:2" x14ac:dyDescent="0.25">
      <c r="B3653" s="4" t="str">
        <f>_xlfn.TEXTJOIN(,,'Truth Table'!B3653:M3653)</f>
        <v>010000100111</v>
      </c>
    </row>
    <row r="3654" spans="2:2" x14ac:dyDescent="0.25">
      <c r="B3654" s="4" t="str">
        <f>_xlfn.TEXTJOIN(,,'Truth Table'!B3654:M3654)</f>
        <v>110000100111</v>
      </c>
    </row>
    <row r="3655" spans="2:2" x14ac:dyDescent="0.25">
      <c r="B3655" s="4" t="str">
        <f>_xlfn.TEXTJOIN(,,'Truth Table'!B3655:M3655)</f>
        <v>001000100111</v>
      </c>
    </row>
    <row r="3656" spans="2:2" x14ac:dyDescent="0.25">
      <c r="B3656" s="4" t="str">
        <f>_xlfn.TEXTJOIN(,,'Truth Table'!B3656:M3656)</f>
        <v>101000100111</v>
      </c>
    </row>
    <row r="3657" spans="2:2" x14ac:dyDescent="0.25">
      <c r="B3657" s="4" t="str">
        <f>_xlfn.TEXTJOIN(,,'Truth Table'!B3657:M3657)</f>
        <v>011000100111</v>
      </c>
    </row>
    <row r="3658" spans="2:2" x14ac:dyDescent="0.25">
      <c r="B3658" s="4" t="str">
        <f>_xlfn.TEXTJOIN(,,'Truth Table'!B3658:M3658)</f>
        <v>111000100111</v>
      </c>
    </row>
    <row r="3659" spans="2:2" x14ac:dyDescent="0.25">
      <c r="B3659" s="4" t="str">
        <f>_xlfn.TEXTJOIN(,,'Truth Table'!B3659:M3659)</f>
        <v>000100100111</v>
      </c>
    </row>
    <row r="3660" spans="2:2" x14ac:dyDescent="0.25">
      <c r="B3660" s="4" t="str">
        <f>_xlfn.TEXTJOIN(,,'Truth Table'!B3660:M3660)</f>
        <v>100100100111</v>
      </c>
    </row>
    <row r="3661" spans="2:2" x14ac:dyDescent="0.25">
      <c r="B3661" s="4" t="str">
        <f>_xlfn.TEXTJOIN(,,'Truth Table'!B3661:M3661)</f>
        <v>010100100111</v>
      </c>
    </row>
    <row r="3662" spans="2:2" x14ac:dyDescent="0.25">
      <c r="B3662" s="4" t="str">
        <f>_xlfn.TEXTJOIN(,,'Truth Table'!B3662:M3662)</f>
        <v>110100100111</v>
      </c>
    </row>
    <row r="3663" spans="2:2" x14ac:dyDescent="0.25">
      <c r="B3663" s="4" t="str">
        <f>_xlfn.TEXTJOIN(,,'Truth Table'!B3663:M3663)</f>
        <v>001100100111</v>
      </c>
    </row>
    <row r="3664" spans="2:2" x14ac:dyDescent="0.25">
      <c r="B3664" s="4" t="str">
        <f>_xlfn.TEXTJOIN(,,'Truth Table'!B3664:M3664)</f>
        <v>101100100111</v>
      </c>
    </row>
    <row r="3665" spans="2:2" x14ac:dyDescent="0.25">
      <c r="B3665" s="4" t="str">
        <f>_xlfn.TEXTJOIN(,,'Truth Table'!B3665:M3665)</f>
        <v>011100100111</v>
      </c>
    </row>
    <row r="3666" spans="2:2" x14ac:dyDescent="0.25">
      <c r="B3666" s="4" t="str">
        <f>_xlfn.TEXTJOIN(,,'Truth Table'!B3666:M3666)</f>
        <v>111100100111</v>
      </c>
    </row>
    <row r="3667" spans="2:2" x14ac:dyDescent="0.25">
      <c r="B3667" s="4" t="str">
        <f>_xlfn.TEXTJOIN(,,'Truth Table'!B3667:M3667)</f>
        <v>000010100111</v>
      </c>
    </row>
    <row r="3668" spans="2:2" x14ac:dyDescent="0.25">
      <c r="B3668" s="4" t="str">
        <f>_xlfn.TEXTJOIN(,,'Truth Table'!B3668:M3668)</f>
        <v>100010100111</v>
      </c>
    </row>
    <row r="3669" spans="2:2" x14ac:dyDescent="0.25">
      <c r="B3669" s="4" t="str">
        <f>_xlfn.TEXTJOIN(,,'Truth Table'!B3669:M3669)</f>
        <v>010010100111</v>
      </c>
    </row>
    <row r="3670" spans="2:2" x14ac:dyDescent="0.25">
      <c r="B3670" s="4" t="str">
        <f>_xlfn.TEXTJOIN(,,'Truth Table'!B3670:M3670)</f>
        <v>110010100111</v>
      </c>
    </row>
    <row r="3671" spans="2:2" x14ac:dyDescent="0.25">
      <c r="B3671" s="4" t="str">
        <f>_xlfn.TEXTJOIN(,,'Truth Table'!B3671:M3671)</f>
        <v>001010100111</v>
      </c>
    </row>
    <row r="3672" spans="2:2" x14ac:dyDescent="0.25">
      <c r="B3672" s="4" t="str">
        <f>_xlfn.TEXTJOIN(,,'Truth Table'!B3672:M3672)</f>
        <v>101010100111</v>
      </c>
    </row>
    <row r="3673" spans="2:2" x14ac:dyDescent="0.25">
      <c r="B3673" s="4" t="str">
        <f>_xlfn.TEXTJOIN(,,'Truth Table'!B3673:M3673)</f>
        <v>011010100111</v>
      </c>
    </row>
    <row r="3674" spans="2:2" x14ac:dyDescent="0.25">
      <c r="B3674" s="4" t="str">
        <f>_xlfn.TEXTJOIN(,,'Truth Table'!B3674:M3674)</f>
        <v>111010100111</v>
      </c>
    </row>
    <row r="3675" spans="2:2" x14ac:dyDescent="0.25">
      <c r="B3675" s="4" t="str">
        <f>_xlfn.TEXTJOIN(,,'Truth Table'!B3675:M3675)</f>
        <v>000110100111</v>
      </c>
    </row>
    <row r="3676" spans="2:2" x14ac:dyDescent="0.25">
      <c r="B3676" s="4" t="str">
        <f>_xlfn.TEXTJOIN(,,'Truth Table'!B3676:M3676)</f>
        <v>100110100111</v>
      </c>
    </row>
    <row r="3677" spans="2:2" x14ac:dyDescent="0.25">
      <c r="B3677" s="4" t="str">
        <f>_xlfn.TEXTJOIN(,,'Truth Table'!B3677:M3677)</f>
        <v>010110100111</v>
      </c>
    </row>
    <row r="3678" spans="2:2" x14ac:dyDescent="0.25">
      <c r="B3678" s="4" t="str">
        <f>_xlfn.TEXTJOIN(,,'Truth Table'!B3678:M3678)</f>
        <v>110110100111</v>
      </c>
    </row>
    <row r="3679" spans="2:2" x14ac:dyDescent="0.25">
      <c r="B3679" s="4" t="str">
        <f>_xlfn.TEXTJOIN(,,'Truth Table'!B3679:M3679)</f>
        <v>001110100111</v>
      </c>
    </row>
    <row r="3680" spans="2:2" x14ac:dyDescent="0.25">
      <c r="B3680" s="4" t="str">
        <f>_xlfn.TEXTJOIN(,,'Truth Table'!B3680:M3680)</f>
        <v>101110100111</v>
      </c>
    </row>
    <row r="3681" spans="2:2" x14ac:dyDescent="0.25">
      <c r="B3681" s="4" t="str">
        <f>_xlfn.TEXTJOIN(,,'Truth Table'!B3681:M3681)</f>
        <v>011110100111</v>
      </c>
    </row>
    <row r="3682" spans="2:2" x14ac:dyDescent="0.25">
      <c r="B3682" s="4" t="str">
        <f>_xlfn.TEXTJOIN(,,'Truth Table'!B3682:M3682)</f>
        <v>111110100111</v>
      </c>
    </row>
    <row r="3683" spans="2:2" x14ac:dyDescent="0.25">
      <c r="B3683" s="4" t="str">
        <f>_xlfn.TEXTJOIN(,,'Truth Table'!B3683:M3683)</f>
        <v>000001100111</v>
      </c>
    </row>
    <row r="3684" spans="2:2" x14ac:dyDescent="0.25">
      <c r="B3684" s="4" t="str">
        <f>_xlfn.TEXTJOIN(,,'Truth Table'!B3684:M3684)</f>
        <v>100001100111</v>
      </c>
    </row>
    <row r="3685" spans="2:2" x14ac:dyDescent="0.25">
      <c r="B3685" s="4" t="str">
        <f>_xlfn.TEXTJOIN(,,'Truth Table'!B3685:M3685)</f>
        <v>010001100111</v>
      </c>
    </row>
    <row r="3686" spans="2:2" x14ac:dyDescent="0.25">
      <c r="B3686" s="4" t="str">
        <f>_xlfn.TEXTJOIN(,,'Truth Table'!B3686:M3686)</f>
        <v>110001100111</v>
      </c>
    </row>
    <row r="3687" spans="2:2" x14ac:dyDescent="0.25">
      <c r="B3687" s="4" t="str">
        <f>_xlfn.TEXTJOIN(,,'Truth Table'!B3687:M3687)</f>
        <v>001001100111</v>
      </c>
    </row>
    <row r="3688" spans="2:2" x14ac:dyDescent="0.25">
      <c r="B3688" s="4" t="str">
        <f>_xlfn.TEXTJOIN(,,'Truth Table'!B3688:M3688)</f>
        <v>101001100111</v>
      </c>
    </row>
    <row r="3689" spans="2:2" x14ac:dyDescent="0.25">
      <c r="B3689" s="4" t="str">
        <f>_xlfn.TEXTJOIN(,,'Truth Table'!B3689:M3689)</f>
        <v>011001100111</v>
      </c>
    </row>
    <row r="3690" spans="2:2" x14ac:dyDescent="0.25">
      <c r="B3690" s="4" t="str">
        <f>_xlfn.TEXTJOIN(,,'Truth Table'!B3690:M3690)</f>
        <v>111001100111</v>
      </c>
    </row>
    <row r="3691" spans="2:2" x14ac:dyDescent="0.25">
      <c r="B3691" s="4" t="str">
        <f>_xlfn.TEXTJOIN(,,'Truth Table'!B3691:M3691)</f>
        <v>000101100111</v>
      </c>
    </row>
    <row r="3692" spans="2:2" x14ac:dyDescent="0.25">
      <c r="B3692" s="4" t="str">
        <f>_xlfn.TEXTJOIN(,,'Truth Table'!B3692:M3692)</f>
        <v>100101100111</v>
      </c>
    </row>
    <row r="3693" spans="2:2" x14ac:dyDescent="0.25">
      <c r="B3693" s="4" t="str">
        <f>_xlfn.TEXTJOIN(,,'Truth Table'!B3693:M3693)</f>
        <v>010101100111</v>
      </c>
    </row>
    <row r="3694" spans="2:2" x14ac:dyDescent="0.25">
      <c r="B3694" s="4" t="str">
        <f>_xlfn.TEXTJOIN(,,'Truth Table'!B3694:M3694)</f>
        <v>110101100111</v>
      </c>
    </row>
    <row r="3695" spans="2:2" x14ac:dyDescent="0.25">
      <c r="B3695" s="4" t="str">
        <f>_xlfn.TEXTJOIN(,,'Truth Table'!B3695:M3695)</f>
        <v>001101100111</v>
      </c>
    </row>
    <row r="3696" spans="2:2" x14ac:dyDescent="0.25">
      <c r="B3696" s="4" t="str">
        <f>_xlfn.TEXTJOIN(,,'Truth Table'!B3696:M3696)</f>
        <v>101101100111</v>
      </c>
    </row>
    <row r="3697" spans="2:2" x14ac:dyDescent="0.25">
      <c r="B3697" s="4" t="str">
        <f>_xlfn.TEXTJOIN(,,'Truth Table'!B3697:M3697)</f>
        <v>011101100111</v>
      </c>
    </row>
    <row r="3698" spans="2:2" x14ac:dyDescent="0.25">
      <c r="B3698" s="4" t="str">
        <f>_xlfn.TEXTJOIN(,,'Truth Table'!B3698:M3698)</f>
        <v>111101100111</v>
      </c>
    </row>
    <row r="3699" spans="2:2" x14ac:dyDescent="0.25">
      <c r="B3699" s="4" t="str">
        <f>_xlfn.TEXTJOIN(,,'Truth Table'!B3699:M3699)</f>
        <v>000011100111</v>
      </c>
    </row>
    <row r="3700" spans="2:2" x14ac:dyDescent="0.25">
      <c r="B3700" s="4" t="str">
        <f>_xlfn.TEXTJOIN(,,'Truth Table'!B3700:M3700)</f>
        <v>100011100111</v>
      </c>
    </row>
    <row r="3701" spans="2:2" x14ac:dyDescent="0.25">
      <c r="B3701" s="4" t="str">
        <f>_xlfn.TEXTJOIN(,,'Truth Table'!B3701:M3701)</f>
        <v>010011100111</v>
      </c>
    </row>
    <row r="3702" spans="2:2" x14ac:dyDescent="0.25">
      <c r="B3702" s="4" t="str">
        <f>_xlfn.TEXTJOIN(,,'Truth Table'!B3702:M3702)</f>
        <v>110011100111</v>
      </c>
    </row>
    <row r="3703" spans="2:2" x14ac:dyDescent="0.25">
      <c r="B3703" s="4" t="str">
        <f>_xlfn.TEXTJOIN(,,'Truth Table'!B3703:M3703)</f>
        <v>001011100111</v>
      </c>
    </row>
    <row r="3704" spans="2:2" x14ac:dyDescent="0.25">
      <c r="B3704" s="4" t="str">
        <f>_xlfn.TEXTJOIN(,,'Truth Table'!B3704:M3704)</f>
        <v>101011100111</v>
      </c>
    </row>
    <row r="3705" spans="2:2" x14ac:dyDescent="0.25">
      <c r="B3705" s="4" t="str">
        <f>_xlfn.TEXTJOIN(,,'Truth Table'!B3705:M3705)</f>
        <v>011011100111</v>
      </c>
    </row>
    <row r="3706" spans="2:2" x14ac:dyDescent="0.25">
      <c r="B3706" s="4" t="str">
        <f>_xlfn.TEXTJOIN(,,'Truth Table'!B3706:M3706)</f>
        <v>111011100111</v>
      </c>
    </row>
    <row r="3707" spans="2:2" x14ac:dyDescent="0.25">
      <c r="B3707" s="4" t="str">
        <f>_xlfn.TEXTJOIN(,,'Truth Table'!B3707:M3707)</f>
        <v>000111100111</v>
      </c>
    </row>
    <row r="3708" spans="2:2" x14ac:dyDescent="0.25">
      <c r="B3708" s="4" t="str">
        <f>_xlfn.TEXTJOIN(,,'Truth Table'!B3708:M3708)</f>
        <v>100111100111</v>
      </c>
    </row>
    <row r="3709" spans="2:2" x14ac:dyDescent="0.25">
      <c r="B3709" s="4" t="str">
        <f>_xlfn.TEXTJOIN(,,'Truth Table'!B3709:M3709)</f>
        <v>010111100111</v>
      </c>
    </row>
    <row r="3710" spans="2:2" x14ac:dyDescent="0.25">
      <c r="B3710" s="4" t="str">
        <f>_xlfn.TEXTJOIN(,,'Truth Table'!B3710:M3710)</f>
        <v>110111100111</v>
      </c>
    </row>
    <row r="3711" spans="2:2" x14ac:dyDescent="0.25">
      <c r="B3711" s="4" t="str">
        <f>_xlfn.TEXTJOIN(,,'Truth Table'!B3711:M3711)</f>
        <v>001111100111</v>
      </c>
    </row>
    <row r="3712" spans="2:2" x14ac:dyDescent="0.25">
      <c r="B3712" s="4" t="str">
        <f>_xlfn.TEXTJOIN(,,'Truth Table'!B3712:M3712)</f>
        <v>101111100111</v>
      </c>
    </row>
    <row r="3713" spans="2:2" x14ac:dyDescent="0.25">
      <c r="B3713" s="4" t="str">
        <f>_xlfn.TEXTJOIN(,,'Truth Table'!B3713:M3713)</f>
        <v>011111100111</v>
      </c>
    </row>
    <row r="3714" spans="2:2" x14ac:dyDescent="0.25">
      <c r="B3714" s="4" t="str">
        <f>_xlfn.TEXTJOIN(,,'Truth Table'!B3714:M3714)</f>
        <v>111111100111</v>
      </c>
    </row>
    <row r="3715" spans="2:2" x14ac:dyDescent="0.25">
      <c r="B3715" s="4" t="str">
        <f>_xlfn.TEXTJOIN(,,'Truth Table'!B3715:M3715)</f>
        <v>000000010111</v>
      </c>
    </row>
    <row r="3716" spans="2:2" x14ac:dyDescent="0.25">
      <c r="B3716" s="4" t="str">
        <f>_xlfn.TEXTJOIN(,,'Truth Table'!B3716:M3716)</f>
        <v>100000010111</v>
      </c>
    </row>
    <row r="3717" spans="2:2" x14ac:dyDescent="0.25">
      <c r="B3717" s="4" t="str">
        <f>_xlfn.TEXTJOIN(,,'Truth Table'!B3717:M3717)</f>
        <v>010000010111</v>
      </c>
    </row>
    <row r="3718" spans="2:2" x14ac:dyDescent="0.25">
      <c r="B3718" s="4" t="str">
        <f>_xlfn.TEXTJOIN(,,'Truth Table'!B3718:M3718)</f>
        <v>110000010111</v>
      </c>
    </row>
    <row r="3719" spans="2:2" x14ac:dyDescent="0.25">
      <c r="B3719" s="4" t="str">
        <f>_xlfn.TEXTJOIN(,,'Truth Table'!B3719:M3719)</f>
        <v>001000010111</v>
      </c>
    </row>
    <row r="3720" spans="2:2" x14ac:dyDescent="0.25">
      <c r="B3720" s="4" t="str">
        <f>_xlfn.TEXTJOIN(,,'Truth Table'!B3720:M3720)</f>
        <v>101000010111</v>
      </c>
    </row>
    <row r="3721" spans="2:2" x14ac:dyDescent="0.25">
      <c r="B3721" s="4" t="str">
        <f>_xlfn.TEXTJOIN(,,'Truth Table'!B3721:M3721)</f>
        <v>011000010111</v>
      </c>
    </row>
    <row r="3722" spans="2:2" x14ac:dyDescent="0.25">
      <c r="B3722" s="4" t="str">
        <f>_xlfn.TEXTJOIN(,,'Truth Table'!B3722:M3722)</f>
        <v>111000010111</v>
      </c>
    </row>
    <row r="3723" spans="2:2" x14ac:dyDescent="0.25">
      <c r="B3723" s="4" t="str">
        <f>_xlfn.TEXTJOIN(,,'Truth Table'!B3723:M3723)</f>
        <v>000100010111</v>
      </c>
    </row>
    <row r="3724" spans="2:2" x14ac:dyDescent="0.25">
      <c r="B3724" s="4" t="str">
        <f>_xlfn.TEXTJOIN(,,'Truth Table'!B3724:M3724)</f>
        <v>100100010111</v>
      </c>
    </row>
    <row r="3725" spans="2:2" x14ac:dyDescent="0.25">
      <c r="B3725" s="4" t="str">
        <f>_xlfn.TEXTJOIN(,,'Truth Table'!B3725:M3725)</f>
        <v>010100010111</v>
      </c>
    </row>
    <row r="3726" spans="2:2" x14ac:dyDescent="0.25">
      <c r="B3726" s="4" t="str">
        <f>_xlfn.TEXTJOIN(,,'Truth Table'!B3726:M3726)</f>
        <v>110100010111</v>
      </c>
    </row>
    <row r="3727" spans="2:2" x14ac:dyDescent="0.25">
      <c r="B3727" s="4" t="str">
        <f>_xlfn.TEXTJOIN(,,'Truth Table'!B3727:M3727)</f>
        <v>001100010111</v>
      </c>
    </row>
    <row r="3728" spans="2:2" x14ac:dyDescent="0.25">
      <c r="B3728" s="4" t="str">
        <f>_xlfn.TEXTJOIN(,,'Truth Table'!B3728:M3728)</f>
        <v>101100010111</v>
      </c>
    </row>
    <row r="3729" spans="2:2" x14ac:dyDescent="0.25">
      <c r="B3729" s="4" t="str">
        <f>_xlfn.TEXTJOIN(,,'Truth Table'!B3729:M3729)</f>
        <v>011100010111</v>
      </c>
    </row>
    <row r="3730" spans="2:2" x14ac:dyDescent="0.25">
      <c r="B3730" s="4" t="str">
        <f>_xlfn.TEXTJOIN(,,'Truth Table'!B3730:M3730)</f>
        <v>111100010111</v>
      </c>
    </row>
    <row r="3731" spans="2:2" x14ac:dyDescent="0.25">
      <c r="B3731" s="4" t="str">
        <f>_xlfn.TEXTJOIN(,,'Truth Table'!B3731:M3731)</f>
        <v>000010010111</v>
      </c>
    </row>
    <row r="3732" spans="2:2" x14ac:dyDescent="0.25">
      <c r="B3732" s="4" t="str">
        <f>_xlfn.TEXTJOIN(,,'Truth Table'!B3732:M3732)</f>
        <v>100010010111</v>
      </c>
    </row>
    <row r="3733" spans="2:2" x14ac:dyDescent="0.25">
      <c r="B3733" s="4" t="str">
        <f>_xlfn.TEXTJOIN(,,'Truth Table'!B3733:M3733)</f>
        <v>010010010111</v>
      </c>
    </row>
    <row r="3734" spans="2:2" x14ac:dyDescent="0.25">
      <c r="B3734" s="4" t="str">
        <f>_xlfn.TEXTJOIN(,,'Truth Table'!B3734:M3734)</f>
        <v>110010010111</v>
      </c>
    </row>
    <row r="3735" spans="2:2" x14ac:dyDescent="0.25">
      <c r="B3735" s="4" t="str">
        <f>_xlfn.TEXTJOIN(,,'Truth Table'!B3735:M3735)</f>
        <v>001010010111</v>
      </c>
    </row>
    <row r="3736" spans="2:2" x14ac:dyDescent="0.25">
      <c r="B3736" s="4" t="str">
        <f>_xlfn.TEXTJOIN(,,'Truth Table'!B3736:M3736)</f>
        <v>101010010111</v>
      </c>
    </row>
    <row r="3737" spans="2:2" x14ac:dyDescent="0.25">
      <c r="B3737" s="4" t="str">
        <f>_xlfn.TEXTJOIN(,,'Truth Table'!B3737:M3737)</f>
        <v>011010010111</v>
      </c>
    </row>
    <row r="3738" spans="2:2" x14ac:dyDescent="0.25">
      <c r="B3738" s="4" t="str">
        <f>_xlfn.TEXTJOIN(,,'Truth Table'!B3738:M3738)</f>
        <v>111010010111</v>
      </c>
    </row>
    <row r="3739" spans="2:2" x14ac:dyDescent="0.25">
      <c r="B3739" s="4" t="str">
        <f>_xlfn.TEXTJOIN(,,'Truth Table'!B3739:M3739)</f>
        <v>000110010111</v>
      </c>
    </row>
    <row r="3740" spans="2:2" x14ac:dyDescent="0.25">
      <c r="B3740" s="4" t="str">
        <f>_xlfn.TEXTJOIN(,,'Truth Table'!B3740:M3740)</f>
        <v>100110010111</v>
      </c>
    </row>
    <row r="3741" spans="2:2" x14ac:dyDescent="0.25">
      <c r="B3741" s="4" t="str">
        <f>_xlfn.TEXTJOIN(,,'Truth Table'!B3741:M3741)</f>
        <v>010110010111</v>
      </c>
    </row>
    <row r="3742" spans="2:2" x14ac:dyDescent="0.25">
      <c r="B3742" s="4" t="str">
        <f>_xlfn.TEXTJOIN(,,'Truth Table'!B3742:M3742)</f>
        <v>110110010111</v>
      </c>
    </row>
    <row r="3743" spans="2:2" x14ac:dyDescent="0.25">
      <c r="B3743" s="4" t="str">
        <f>_xlfn.TEXTJOIN(,,'Truth Table'!B3743:M3743)</f>
        <v>001110010111</v>
      </c>
    </row>
    <row r="3744" spans="2:2" x14ac:dyDescent="0.25">
      <c r="B3744" s="4" t="str">
        <f>_xlfn.TEXTJOIN(,,'Truth Table'!B3744:M3744)</f>
        <v>101110010111</v>
      </c>
    </row>
    <row r="3745" spans="2:2" x14ac:dyDescent="0.25">
      <c r="B3745" s="4" t="str">
        <f>_xlfn.TEXTJOIN(,,'Truth Table'!B3745:M3745)</f>
        <v>011110010111</v>
      </c>
    </row>
    <row r="3746" spans="2:2" x14ac:dyDescent="0.25">
      <c r="B3746" s="4" t="str">
        <f>_xlfn.TEXTJOIN(,,'Truth Table'!B3746:M3746)</f>
        <v>111110010111</v>
      </c>
    </row>
    <row r="3747" spans="2:2" x14ac:dyDescent="0.25">
      <c r="B3747" s="4" t="str">
        <f>_xlfn.TEXTJOIN(,,'Truth Table'!B3747:M3747)</f>
        <v>000001010111</v>
      </c>
    </row>
    <row r="3748" spans="2:2" x14ac:dyDescent="0.25">
      <c r="B3748" s="4" t="str">
        <f>_xlfn.TEXTJOIN(,,'Truth Table'!B3748:M3748)</f>
        <v>100001010111</v>
      </c>
    </row>
    <row r="3749" spans="2:2" x14ac:dyDescent="0.25">
      <c r="B3749" s="4" t="str">
        <f>_xlfn.TEXTJOIN(,,'Truth Table'!B3749:M3749)</f>
        <v>010001010111</v>
      </c>
    </row>
    <row r="3750" spans="2:2" x14ac:dyDescent="0.25">
      <c r="B3750" s="4" t="str">
        <f>_xlfn.TEXTJOIN(,,'Truth Table'!B3750:M3750)</f>
        <v>110001010111</v>
      </c>
    </row>
    <row r="3751" spans="2:2" x14ac:dyDescent="0.25">
      <c r="B3751" s="4" t="str">
        <f>_xlfn.TEXTJOIN(,,'Truth Table'!B3751:M3751)</f>
        <v>001001010111</v>
      </c>
    </row>
    <row r="3752" spans="2:2" x14ac:dyDescent="0.25">
      <c r="B3752" s="4" t="str">
        <f>_xlfn.TEXTJOIN(,,'Truth Table'!B3752:M3752)</f>
        <v>101001010111</v>
      </c>
    </row>
    <row r="3753" spans="2:2" x14ac:dyDescent="0.25">
      <c r="B3753" s="4" t="str">
        <f>_xlfn.TEXTJOIN(,,'Truth Table'!B3753:M3753)</f>
        <v>011001010111</v>
      </c>
    </row>
    <row r="3754" spans="2:2" x14ac:dyDescent="0.25">
      <c r="B3754" s="4" t="str">
        <f>_xlfn.TEXTJOIN(,,'Truth Table'!B3754:M3754)</f>
        <v>111001010111</v>
      </c>
    </row>
    <row r="3755" spans="2:2" x14ac:dyDescent="0.25">
      <c r="B3755" s="4" t="str">
        <f>_xlfn.TEXTJOIN(,,'Truth Table'!B3755:M3755)</f>
        <v>000101010111</v>
      </c>
    </row>
    <row r="3756" spans="2:2" x14ac:dyDescent="0.25">
      <c r="B3756" s="4" t="str">
        <f>_xlfn.TEXTJOIN(,,'Truth Table'!B3756:M3756)</f>
        <v>100101010111</v>
      </c>
    </row>
    <row r="3757" spans="2:2" x14ac:dyDescent="0.25">
      <c r="B3757" s="4" t="str">
        <f>_xlfn.TEXTJOIN(,,'Truth Table'!B3757:M3757)</f>
        <v>010101010111</v>
      </c>
    </row>
    <row r="3758" spans="2:2" x14ac:dyDescent="0.25">
      <c r="B3758" s="4" t="str">
        <f>_xlfn.TEXTJOIN(,,'Truth Table'!B3758:M3758)</f>
        <v>110101010111</v>
      </c>
    </row>
    <row r="3759" spans="2:2" x14ac:dyDescent="0.25">
      <c r="B3759" s="4" t="str">
        <f>_xlfn.TEXTJOIN(,,'Truth Table'!B3759:M3759)</f>
        <v>001101010111</v>
      </c>
    </row>
    <row r="3760" spans="2:2" x14ac:dyDescent="0.25">
      <c r="B3760" s="4" t="str">
        <f>_xlfn.TEXTJOIN(,,'Truth Table'!B3760:M3760)</f>
        <v>101101010111</v>
      </c>
    </row>
    <row r="3761" spans="2:2" x14ac:dyDescent="0.25">
      <c r="B3761" s="4" t="str">
        <f>_xlfn.TEXTJOIN(,,'Truth Table'!B3761:M3761)</f>
        <v>011101010111</v>
      </c>
    </row>
    <row r="3762" spans="2:2" x14ac:dyDescent="0.25">
      <c r="B3762" s="4" t="str">
        <f>_xlfn.TEXTJOIN(,,'Truth Table'!B3762:M3762)</f>
        <v>111101010111</v>
      </c>
    </row>
    <row r="3763" spans="2:2" x14ac:dyDescent="0.25">
      <c r="B3763" s="4" t="str">
        <f>_xlfn.TEXTJOIN(,,'Truth Table'!B3763:M3763)</f>
        <v>000011010111</v>
      </c>
    </row>
    <row r="3764" spans="2:2" x14ac:dyDescent="0.25">
      <c r="B3764" s="4" t="str">
        <f>_xlfn.TEXTJOIN(,,'Truth Table'!B3764:M3764)</f>
        <v>100011010111</v>
      </c>
    </row>
    <row r="3765" spans="2:2" x14ac:dyDescent="0.25">
      <c r="B3765" s="4" t="str">
        <f>_xlfn.TEXTJOIN(,,'Truth Table'!B3765:M3765)</f>
        <v>010011010111</v>
      </c>
    </row>
    <row r="3766" spans="2:2" x14ac:dyDescent="0.25">
      <c r="B3766" s="4" t="str">
        <f>_xlfn.TEXTJOIN(,,'Truth Table'!B3766:M3766)</f>
        <v>110011010111</v>
      </c>
    </row>
    <row r="3767" spans="2:2" x14ac:dyDescent="0.25">
      <c r="B3767" s="4" t="str">
        <f>_xlfn.TEXTJOIN(,,'Truth Table'!B3767:M3767)</f>
        <v>001011010111</v>
      </c>
    </row>
    <row r="3768" spans="2:2" x14ac:dyDescent="0.25">
      <c r="B3768" s="4" t="str">
        <f>_xlfn.TEXTJOIN(,,'Truth Table'!B3768:M3768)</f>
        <v>101011010111</v>
      </c>
    </row>
    <row r="3769" spans="2:2" x14ac:dyDescent="0.25">
      <c r="B3769" s="4" t="str">
        <f>_xlfn.TEXTJOIN(,,'Truth Table'!B3769:M3769)</f>
        <v>011011010111</v>
      </c>
    </row>
    <row r="3770" spans="2:2" x14ac:dyDescent="0.25">
      <c r="B3770" s="4" t="str">
        <f>_xlfn.TEXTJOIN(,,'Truth Table'!B3770:M3770)</f>
        <v>111011010111</v>
      </c>
    </row>
    <row r="3771" spans="2:2" x14ac:dyDescent="0.25">
      <c r="B3771" s="4" t="str">
        <f>_xlfn.TEXTJOIN(,,'Truth Table'!B3771:M3771)</f>
        <v>000111010111</v>
      </c>
    </row>
    <row r="3772" spans="2:2" x14ac:dyDescent="0.25">
      <c r="B3772" s="4" t="str">
        <f>_xlfn.TEXTJOIN(,,'Truth Table'!B3772:M3772)</f>
        <v>100111010111</v>
      </c>
    </row>
    <row r="3773" spans="2:2" x14ac:dyDescent="0.25">
      <c r="B3773" s="4" t="str">
        <f>_xlfn.TEXTJOIN(,,'Truth Table'!B3773:M3773)</f>
        <v>010111010111</v>
      </c>
    </row>
    <row r="3774" spans="2:2" x14ac:dyDescent="0.25">
      <c r="B3774" s="4" t="str">
        <f>_xlfn.TEXTJOIN(,,'Truth Table'!B3774:M3774)</f>
        <v>110111010111</v>
      </c>
    </row>
    <row r="3775" spans="2:2" x14ac:dyDescent="0.25">
      <c r="B3775" s="4" t="str">
        <f>_xlfn.TEXTJOIN(,,'Truth Table'!B3775:M3775)</f>
        <v>001111010111</v>
      </c>
    </row>
    <row r="3776" spans="2:2" x14ac:dyDescent="0.25">
      <c r="B3776" s="4" t="str">
        <f>_xlfn.TEXTJOIN(,,'Truth Table'!B3776:M3776)</f>
        <v>101111010111</v>
      </c>
    </row>
    <row r="3777" spans="2:2" x14ac:dyDescent="0.25">
      <c r="B3777" s="4" t="str">
        <f>_xlfn.TEXTJOIN(,,'Truth Table'!B3777:M3777)</f>
        <v>011111010111</v>
      </c>
    </row>
    <row r="3778" spans="2:2" x14ac:dyDescent="0.25">
      <c r="B3778" s="4" t="str">
        <f>_xlfn.TEXTJOIN(,,'Truth Table'!B3778:M3778)</f>
        <v>111111010111</v>
      </c>
    </row>
    <row r="3779" spans="2:2" x14ac:dyDescent="0.25">
      <c r="B3779" s="4" t="str">
        <f>_xlfn.TEXTJOIN(,,'Truth Table'!B3779:M3779)</f>
        <v>000000110111</v>
      </c>
    </row>
    <row r="3780" spans="2:2" x14ac:dyDescent="0.25">
      <c r="B3780" s="4" t="str">
        <f>_xlfn.TEXTJOIN(,,'Truth Table'!B3780:M3780)</f>
        <v>100000110111</v>
      </c>
    </row>
    <row r="3781" spans="2:2" x14ac:dyDescent="0.25">
      <c r="B3781" s="4" t="str">
        <f>_xlfn.TEXTJOIN(,,'Truth Table'!B3781:M3781)</f>
        <v>010000110111</v>
      </c>
    </row>
    <row r="3782" spans="2:2" x14ac:dyDescent="0.25">
      <c r="B3782" s="4" t="str">
        <f>_xlfn.TEXTJOIN(,,'Truth Table'!B3782:M3782)</f>
        <v>110000110111</v>
      </c>
    </row>
    <row r="3783" spans="2:2" x14ac:dyDescent="0.25">
      <c r="B3783" s="4" t="str">
        <f>_xlfn.TEXTJOIN(,,'Truth Table'!B3783:M3783)</f>
        <v>001000110111</v>
      </c>
    </row>
    <row r="3784" spans="2:2" x14ac:dyDescent="0.25">
      <c r="B3784" s="4" t="str">
        <f>_xlfn.TEXTJOIN(,,'Truth Table'!B3784:M3784)</f>
        <v>101000110111</v>
      </c>
    </row>
    <row r="3785" spans="2:2" x14ac:dyDescent="0.25">
      <c r="B3785" s="4" t="str">
        <f>_xlfn.TEXTJOIN(,,'Truth Table'!B3785:M3785)</f>
        <v>011000110111</v>
      </c>
    </row>
    <row r="3786" spans="2:2" x14ac:dyDescent="0.25">
      <c r="B3786" s="4" t="str">
        <f>_xlfn.TEXTJOIN(,,'Truth Table'!B3786:M3786)</f>
        <v>111000110111</v>
      </c>
    </row>
    <row r="3787" spans="2:2" x14ac:dyDescent="0.25">
      <c r="B3787" s="4" t="str">
        <f>_xlfn.TEXTJOIN(,,'Truth Table'!B3787:M3787)</f>
        <v>000100110111</v>
      </c>
    </row>
    <row r="3788" spans="2:2" x14ac:dyDescent="0.25">
      <c r="B3788" s="4" t="str">
        <f>_xlfn.TEXTJOIN(,,'Truth Table'!B3788:M3788)</f>
        <v>100100110111</v>
      </c>
    </row>
    <row r="3789" spans="2:2" x14ac:dyDescent="0.25">
      <c r="B3789" s="4" t="str">
        <f>_xlfn.TEXTJOIN(,,'Truth Table'!B3789:M3789)</f>
        <v>010100110111</v>
      </c>
    </row>
    <row r="3790" spans="2:2" x14ac:dyDescent="0.25">
      <c r="B3790" s="4" t="str">
        <f>_xlfn.TEXTJOIN(,,'Truth Table'!B3790:M3790)</f>
        <v>110100110111</v>
      </c>
    </row>
    <row r="3791" spans="2:2" x14ac:dyDescent="0.25">
      <c r="B3791" s="4" t="str">
        <f>_xlfn.TEXTJOIN(,,'Truth Table'!B3791:M3791)</f>
        <v>001100110111</v>
      </c>
    </row>
    <row r="3792" spans="2:2" x14ac:dyDescent="0.25">
      <c r="B3792" s="4" t="str">
        <f>_xlfn.TEXTJOIN(,,'Truth Table'!B3792:M3792)</f>
        <v>101100110111</v>
      </c>
    </row>
    <row r="3793" spans="2:2" x14ac:dyDescent="0.25">
      <c r="B3793" s="4" t="str">
        <f>_xlfn.TEXTJOIN(,,'Truth Table'!B3793:M3793)</f>
        <v>011100110111</v>
      </c>
    </row>
    <row r="3794" spans="2:2" x14ac:dyDescent="0.25">
      <c r="B3794" s="4" t="str">
        <f>_xlfn.TEXTJOIN(,,'Truth Table'!B3794:M3794)</f>
        <v>111100110111</v>
      </c>
    </row>
    <row r="3795" spans="2:2" x14ac:dyDescent="0.25">
      <c r="B3795" s="4" t="str">
        <f>_xlfn.TEXTJOIN(,,'Truth Table'!B3795:M3795)</f>
        <v>000010110111</v>
      </c>
    </row>
    <row r="3796" spans="2:2" x14ac:dyDescent="0.25">
      <c r="B3796" s="4" t="str">
        <f>_xlfn.TEXTJOIN(,,'Truth Table'!B3796:M3796)</f>
        <v>100010110111</v>
      </c>
    </row>
    <row r="3797" spans="2:2" x14ac:dyDescent="0.25">
      <c r="B3797" s="4" t="str">
        <f>_xlfn.TEXTJOIN(,,'Truth Table'!B3797:M3797)</f>
        <v>010010110111</v>
      </c>
    </row>
    <row r="3798" spans="2:2" x14ac:dyDescent="0.25">
      <c r="B3798" s="4" t="str">
        <f>_xlfn.TEXTJOIN(,,'Truth Table'!B3798:M3798)</f>
        <v>110010110111</v>
      </c>
    </row>
    <row r="3799" spans="2:2" x14ac:dyDescent="0.25">
      <c r="B3799" s="4" t="str">
        <f>_xlfn.TEXTJOIN(,,'Truth Table'!B3799:M3799)</f>
        <v>001010110111</v>
      </c>
    </row>
    <row r="3800" spans="2:2" x14ac:dyDescent="0.25">
      <c r="B3800" s="4" t="str">
        <f>_xlfn.TEXTJOIN(,,'Truth Table'!B3800:M3800)</f>
        <v>101010110111</v>
      </c>
    </row>
    <row r="3801" spans="2:2" x14ac:dyDescent="0.25">
      <c r="B3801" s="4" t="str">
        <f>_xlfn.TEXTJOIN(,,'Truth Table'!B3801:M3801)</f>
        <v>011010110111</v>
      </c>
    </row>
    <row r="3802" spans="2:2" x14ac:dyDescent="0.25">
      <c r="B3802" s="4" t="str">
        <f>_xlfn.TEXTJOIN(,,'Truth Table'!B3802:M3802)</f>
        <v>111010110111</v>
      </c>
    </row>
    <row r="3803" spans="2:2" x14ac:dyDescent="0.25">
      <c r="B3803" s="4" t="str">
        <f>_xlfn.TEXTJOIN(,,'Truth Table'!B3803:M3803)</f>
        <v>000110110111</v>
      </c>
    </row>
    <row r="3804" spans="2:2" x14ac:dyDescent="0.25">
      <c r="B3804" s="4" t="str">
        <f>_xlfn.TEXTJOIN(,,'Truth Table'!B3804:M3804)</f>
        <v>100110110111</v>
      </c>
    </row>
    <row r="3805" spans="2:2" x14ac:dyDescent="0.25">
      <c r="B3805" s="4" t="str">
        <f>_xlfn.TEXTJOIN(,,'Truth Table'!B3805:M3805)</f>
        <v>010110110111</v>
      </c>
    </row>
    <row r="3806" spans="2:2" x14ac:dyDescent="0.25">
      <c r="B3806" s="4" t="str">
        <f>_xlfn.TEXTJOIN(,,'Truth Table'!B3806:M3806)</f>
        <v>110110110111</v>
      </c>
    </row>
    <row r="3807" spans="2:2" x14ac:dyDescent="0.25">
      <c r="B3807" s="4" t="str">
        <f>_xlfn.TEXTJOIN(,,'Truth Table'!B3807:M3807)</f>
        <v>001110110111</v>
      </c>
    </row>
    <row r="3808" spans="2:2" x14ac:dyDescent="0.25">
      <c r="B3808" s="4" t="str">
        <f>_xlfn.TEXTJOIN(,,'Truth Table'!B3808:M3808)</f>
        <v>101110110111</v>
      </c>
    </row>
    <row r="3809" spans="2:2" x14ac:dyDescent="0.25">
      <c r="B3809" s="4" t="str">
        <f>_xlfn.TEXTJOIN(,,'Truth Table'!B3809:M3809)</f>
        <v>011110110111</v>
      </c>
    </row>
    <row r="3810" spans="2:2" x14ac:dyDescent="0.25">
      <c r="B3810" s="4" t="str">
        <f>_xlfn.TEXTJOIN(,,'Truth Table'!B3810:M3810)</f>
        <v>111110110111</v>
      </c>
    </row>
    <row r="3811" spans="2:2" x14ac:dyDescent="0.25">
      <c r="B3811" s="4" t="str">
        <f>_xlfn.TEXTJOIN(,,'Truth Table'!B3811:M3811)</f>
        <v>000001110111</v>
      </c>
    </row>
    <row r="3812" spans="2:2" x14ac:dyDescent="0.25">
      <c r="B3812" s="4" t="str">
        <f>_xlfn.TEXTJOIN(,,'Truth Table'!B3812:M3812)</f>
        <v>100001110111</v>
      </c>
    </row>
    <row r="3813" spans="2:2" x14ac:dyDescent="0.25">
      <c r="B3813" s="4" t="str">
        <f>_xlfn.TEXTJOIN(,,'Truth Table'!B3813:M3813)</f>
        <v>010001110111</v>
      </c>
    </row>
    <row r="3814" spans="2:2" x14ac:dyDescent="0.25">
      <c r="B3814" s="4" t="str">
        <f>_xlfn.TEXTJOIN(,,'Truth Table'!B3814:M3814)</f>
        <v>110001110111</v>
      </c>
    </row>
    <row r="3815" spans="2:2" x14ac:dyDescent="0.25">
      <c r="B3815" s="4" t="str">
        <f>_xlfn.TEXTJOIN(,,'Truth Table'!B3815:M3815)</f>
        <v>001001110111</v>
      </c>
    </row>
    <row r="3816" spans="2:2" x14ac:dyDescent="0.25">
      <c r="B3816" s="4" t="str">
        <f>_xlfn.TEXTJOIN(,,'Truth Table'!B3816:M3816)</f>
        <v>101001110111</v>
      </c>
    </row>
    <row r="3817" spans="2:2" x14ac:dyDescent="0.25">
      <c r="B3817" s="4" t="str">
        <f>_xlfn.TEXTJOIN(,,'Truth Table'!B3817:M3817)</f>
        <v>011001110111</v>
      </c>
    </row>
    <row r="3818" spans="2:2" x14ac:dyDescent="0.25">
      <c r="B3818" s="4" t="str">
        <f>_xlfn.TEXTJOIN(,,'Truth Table'!B3818:M3818)</f>
        <v>111001110111</v>
      </c>
    </row>
    <row r="3819" spans="2:2" x14ac:dyDescent="0.25">
      <c r="B3819" s="4" t="str">
        <f>_xlfn.TEXTJOIN(,,'Truth Table'!B3819:M3819)</f>
        <v>000101110111</v>
      </c>
    </row>
    <row r="3820" spans="2:2" x14ac:dyDescent="0.25">
      <c r="B3820" s="4" t="str">
        <f>_xlfn.TEXTJOIN(,,'Truth Table'!B3820:M3820)</f>
        <v>100101110111</v>
      </c>
    </row>
    <row r="3821" spans="2:2" x14ac:dyDescent="0.25">
      <c r="B3821" s="4" t="str">
        <f>_xlfn.TEXTJOIN(,,'Truth Table'!B3821:M3821)</f>
        <v>010101110111</v>
      </c>
    </row>
    <row r="3822" spans="2:2" x14ac:dyDescent="0.25">
      <c r="B3822" s="4" t="str">
        <f>_xlfn.TEXTJOIN(,,'Truth Table'!B3822:M3822)</f>
        <v>110101110111</v>
      </c>
    </row>
    <row r="3823" spans="2:2" x14ac:dyDescent="0.25">
      <c r="B3823" s="4" t="str">
        <f>_xlfn.TEXTJOIN(,,'Truth Table'!B3823:M3823)</f>
        <v>001101110111</v>
      </c>
    </row>
    <row r="3824" spans="2:2" x14ac:dyDescent="0.25">
      <c r="B3824" s="4" t="str">
        <f>_xlfn.TEXTJOIN(,,'Truth Table'!B3824:M3824)</f>
        <v>101101110111</v>
      </c>
    </row>
    <row r="3825" spans="2:2" x14ac:dyDescent="0.25">
      <c r="B3825" s="4" t="str">
        <f>_xlfn.TEXTJOIN(,,'Truth Table'!B3825:M3825)</f>
        <v>011101110111</v>
      </c>
    </row>
    <row r="3826" spans="2:2" x14ac:dyDescent="0.25">
      <c r="B3826" s="4" t="str">
        <f>_xlfn.TEXTJOIN(,,'Truth Table'!B3826:M3826)</f>
        <v>111101110111</v>
      </c>
    </row>
    <row r="3827" spans="2:2" x14ac:dyDescent="0.25">
      <c r="B3827" s="4" t="str">
        <f>_xlfn.TEXTJOIN(,,'Truth Table'!B3827:M3827)</f>
        <v>000011110111</v>
      </c>
    </row>
    <row r="3828" spans="2:2" x14ac:dyDescent="0.25">
      <c r="B3828" s="4" t="str">
        <f>_xlfn.TEXTJOIN(,,'Truth Table'!B3828:M3828)</f>
        <v>100011110111</v>
      </c>
    </row>
    <row r="3829" spans="2:2" x14ac:dyDescent="0.25">
      <c r="B3829" s="4" t="str">
        <f>_xlfn.TEXTJOIN(,,'Truth Table'!B3829:M3829)</f>
        <v>010011110111</v>
      </c>
    </row>
    <row r="3830" spans="2:2" x14ac:dyDescent="0.25">
      <c r="B3830" s="4" t="str">
        <f>_xlfn.TEXTJOIN(,,'Truth Table'!B3830:M3830)</f>
        <v>110011110111</v>
      </c>
    </row>
    <row r="3831" spans="2:2" x14ac:dyDescent="0.25">
      <c r="B3831" s="4" t="str">
        <f>_xlfn.TEXTJOIN(,,'Truth Table'!B3831:M3831)</f>
        <v>001011110111</v>
      </c>
    </row>
    <row r="3832" spans="2:2" x14ac:dyDescent="0.25">
      <c r="B3832" s="4" t="str">
        <f>_xlfn.TEXTJOIN(,,'Truth Table'!B3832:M3832)</f>
        <v>101011110111</v>
      </c>
    </row>
    <row r="3833" spans="2:2" x14ac:dyDescent="0.25">
      <c r="B3833" s="4" t="str">
        <f>_xlfn.TEXTJOIN(,,'Truth Table'!B3833:M3833)</f>
        <v>011011110111</v>
      </c>
    </row>
    <row r="3834" spans="2:2" x14ac:dyDescent="0.25">
      <c r="B3834" s="4" t="str">
        <f>_xlfn.TEXTJOIN(,,'Truth Table'!B3834:M3834)</f>
        <v>111011110111</v>
      </c>
    </row>
    <row r="3835" spans="2:2" x14ac:dyDescent="0.25">
      <c r="B3835" s="4" t="str">
        <f>_xlfn.TEXTJOIN(,,'Truth Table'!B3835:M3835)</f>
        <v>000111110111</v>
      </c>
    </row>
    <row r="3836" spans="2:2" x14ac:dyDescent="0.25">
      <c r="B3836" s="4" t="str">
        <f>_xlfn.TEXTJOIN(,,'Truth Table'!B3836:M3836)</f>
        <v>100111110111</v>
      </c>
    </row>
    <row r="3837" spans="2:2" x14ac:dyDescent="0.25">
      <c r="B3837" s="4" t="str">
        <f>_xlfn.TEXTJOIN(,,'Truth Table'!B3837:M3837)</f>
        <v>010111110111</v>
      </c>
    </row>
    <row r="3838" spans="2:2" x14ac:dyDescent="0.25">
      <c r="B3838" s="4" t="str">
        <f>_xlfn.TEXTJOIN(,,'Truth Table'!B3838:M3838)</f>
        <v>110111110111</v>
      </c>
    </row>
    <row r="3839" spans="2:2" x14ac:dyDescent="0.25">
      <c r="B3839" s="4" t="str">
        <f>_xlfn.TEXTJOIN(,,'Truth Table'!B3839:M3839)</f>
        <v>001111110111</v>
      </c>
    </row>
    <row r="3840" spans="2:2" x14ac:dyDescent="0.25">
      <c r="B3840" s="4" t="str">
        <f>_xlfn.TEXTJOIN(,,'Truth Table'!B3840:M3840)</f>
        <v>101111110111</v>
      </c>
    </row>
    <row r="3841" spans="2:2" x14ac:dyDescent="0.25">
      <c r="B3841" s="4" t="str">
        <f>_xlfn.TEXTJOIN(,,'Truth Table'!B3841:M3841)</f>
        <v>011111110111</v>
      </c>
    </row>
    <row r="3842" spans="2:2" x14ac:dyDescent="0.25">
      <c r="B3842" s="4" t="str">
        <f>_xlfn.TEXTJOIN(,,'Truth Table'!B3842:M3842)</f>
        <v>111111110111</v>
      </c>
    </row>
    <row r="3843" spans="2:2" x14ac:dyDescent="0.25">
      <c r="B3843" s="4" t="str">
        <f>_xlfn.TEXTJOIN(,,'Truth Table'!B3843:M3843)</f>
        <v>000000001111</v>
      </c>
    </row>
    <row r="3844" spans="2:2" x14ac:dyDescent="0.25">
      <c r="B3844" s="4" t="str">
        <f>_xlfn.TEXTJOIN(,,'Truth Table'!B3844:M3844)</f>
        <v>100000001111</v>
      </c>
    </row>
    <row r="3845" spans="2:2" x14ac:dyDescent="0.25">
      <c r="B3845" s="4" t="str">
        <f>_xlfn.TEXTJOIN(,,'Truth Table'!B3845:M3845)</f>
        <v>010000001111</v>
      </c>
    </row>
    <row r="3846" spans="2:2" x14ac:dyDescent="0.25">
      <c r="B3846" s="4" t="str">
        <f>_xlfn.TEXTJOIN(,,'Truth Table'!B3846:M3846)</f>
        <v>110000001111</v>
      </c>
    </row>
    <row r="3847" spans="2:2" x14ac:dyDescent="0.25">
      <c r="B3847" s="4" t="str">
        <f>_xlfn.TEXTJOIN(,,'Truth Table'!B3847:M3847)</f>
        <v>001000001111</v>
      </c>
    </row>
    <row r="3848" spans="2:2" x14ac:dyDescent="0.25">
      <c r="B3848" s="4" t="str">
        <f>_xlfn.TEXTJOIN(,,'Truth Table'!B3848:M3848)</f>
        <v>101000001111</v>
      </c>
    </row>
    <row r="3849" spans="2:2" x14ac:dyDescent="0.25">
      <c r="B3849" s="4" t="str">
        <f>_xlfn.TEXTJOIN(,,'Truth Table'!B3849:M3849)</f>
        <v>011000001111</v>
      </c>
    </row>
    <row r="3850" spans="2:2" x14ac:dyDescent="0.25">
      <c r="B3850" s="4" t="str">
        <f>_xlfn.TEXTJOIN(,,'Truth Table'!B3850:M3850)</f>
        <v>111000001111</v>
      </c>
    </row>
    <row r="3851" spans="2:2" x14ac:dyDescent="0.25">
      <c r="B3851" s="4" t="str">
        <f>_xlfn.TEXTJOIN(,,'Truth Table'!B3851:M3851)</f>
        <v>000100001111</v>
      </c>
    </row>
    <row r="3852" spans="2:2" x14ac:dyDescent="0.25">
      <c r="B3852" s="4" t="str">
        <f>_xlfn.TEXTJOIN(,,'Truth Table'!B3852:M3852)</f>
        <v>100100001111</v>
      </c>
    </row>
    <row r="3853" spans="2:2" x14ac:dyDescent="0.25">
      <c r="B3853" s="4" t="str">
        <f>_xlfn.TEXTJOIN(,,'Truth Table'!B3853:M3853)</f>
        <v>010100001111</v>
      </c>
    </row>
    <row r="3854" spans="2:2" x14ac:dyDescent="0.25">
      <c r="B3854" s="4" t="str">
        <f>_xlfn.TEXTJOIN(,,'Truth Table'!B3854:M3854)</f>
        <v>110100001111</v>
      </c>
    </row>
    <row r="3855" spans="2:2" x14ac:dyDescent="0.25">
      <c r="B3855" s="4" t="str">
        <f>_xlfn.TEXTJOIN(,,'Truth Table'!B3855:M3855)</f>
        <v>001100001111</v>
      </c>
    </row>
    <row r="3856" spans="2:2" x14ac:dyDescent="0.25">
      <c r="B3856" s="4" t="str">
        <f>_xlfn.TEXTJOIN(,,'Truth Table'!B3856:M3856)</f>
        <v>101100001111</v>
      </c>
    </row>
    <row r="3857" spans="2:2" x14ac:dyDescent="0.25">
      <c r="B3857" s="4" t="str">
        <f>_xlfn.TEXTJOIN(,,'Truth Table'!B3857:M3857)</f>
        <v>011100001111</v>
      </c>
    </row>
    <row r="3858" spans="2:2" x14ac:dyDescent="0.25">
      <c r="B3858" s="4" t="str">
        <f>_xlfn.TEXTJOIN(,,'Truth Table'!B3858:M3858)</f>
        <v>111100001111</v>
      </c>
    </row>
    <row r="3859" spans="2:2" x14ac:dyDescent="0.25">
      <c r="B3859" s="4" t="str">
        <f>_xlfn.TEXTJOIN(,,'Truth Table'!B3859:M3859)</f>
        <v>000010001111</v>
      </c>
    </row>
    <row r="3860" spans="2:2" x14ac:dyDescent="0.25">
      <c r="B3860" s="4" t="str">
        <f>_xlfn.TEXTJOIN(,,'Truth Table'!B3860:M3860)</f>
        <v>100010001111</v>
      </c>
    </row>
    <row r="3861" spans="2:2" x14ac:dyDescent="0.25">
      <c r="B3861" s="4" t="str">
        <f>_xlfn.TEXTJOIN(,,'Truth Table'!B3861:M3861)</f>
        <v>010010001111</v>
      </c>
    </row>
    <row r="3862" spans="2:2" x14ac:dyDescent="0.25">
      <c r="B3862" s="4" t="str">
        <f>_xlfn.TEXTJOIN(,,'Truth Table'!B3862:M3862)</f>
        <v>110010001111</v>
      </c>
    </row>
    <row r="3863" spans="2:2" x14ac:dyDescent="0.25">
      <c r="B3863" s="4" t="str">
        <f>_xlfn.TEXTJOIN(,,'Truth Table'!B3863:M3863)</f>
        <v>001010001111</v>
      </c>
    </row>
    <row r="3864" spans="2:2" x14ac:dyDescent="0.25">
      <c r="B3864" s="4" t="str">
        <f>_xlfn.TEXTJOIN(,,'Truth Table'!B3864:M3864)</f>
        <v>101010001111</v>
      </c>
    </row>
    <row r="3865" spans="2:2" x14ac:dyDescent="0.25">
      <c r="B3865" s="4" t="str">
        <f>_xlfn.TEXTJOIN(,,'Truth Table'!B3865:M3865)</f>
        <v>011010001111</v>
      </c>
    </row>
    <row r="3866" spans="2:2" x14ac:dyDescent="0.25">
      <c r="B3866" s="4" t="str">
        <f>_xlfn.TEXTJOIN(,,'Truth Table'!B3866:M3866)</f>
        <v>111010001111</v>
      </c>
    </row>
    <row r="3867" spans="2:2" x14ac:dyDescent="0.25">
      <c r="B3867" s="4" t="str">
        <f>_xlfn.TEXTJOIN(,,'Truth Table'!B3867:M3867)</f>
        <v>000110001111</v>
      </c>
    </row>
    <row r="3868" spans="2:2" x14ac:dyDescent="0.25">
      <c r="B3868" s="4" t="str">
        <f>_xlfn.TEXTJOIN(,,'Truth Table'!B3868:M3868)</f>
        <v>100110001111</v>
      </c>
    </row>
    <row r="3869" spans="2:2" x14ac:dyDescent="0.25">
      <c r="B3869" s="4" t="str">
        <f>_xlfn.TEXTJOIN(,,'Truth Table'!B3869:M3869)</f>
        <v>010110001111</v>
      </c>
    </row>
    <row r="3870" spans="2:2" x14ac:dyDescent="0.25">
      <c r="B3870" s="4" t="str">
        <f>_xlfn.TEXTJOIN(,,'Truth Table'!B3870:M3870)</f>
        <v>110110001111</v>
      </c>
    </row>
    <row r="3871" spans="2:2" x14ac:dyDescent="0.25">
      <c r="B3871" s="4" t="str">
        <f>_xlfn.TEXTJOIN(,,'Truth Table'!B3871:M3871)</f>
        <v>001110001111</v>
      </c>
    </row>
    <row r="3872" spans="2:2" x14ac:dyDescent="0.25">
      <c r="B3872" s="4" t="str">
        <f>_xlfn.TEXTJOIN(,,'Truth Table'!B3872:M3872)</f>
        <v>101110001111</v>
      </c>
    </row>
    <row r="3873" spans="2:2" x14ac:dyDescent="0.25">
      <c r="B3873" s="4" t="str">
        <f>_xlfn.TEXTJOIN(,,'Truth Table'!B3873:M3873)</f>
        <v>011110001111</v>
      </c>
    </row>
    <row r="3874" spans="2:2" x14ac:dyDescent="0.25">
      <c r="B3874" s="4" t="str">
        <f>_xlfn.TEXTJOIN(,,'Truth Table'!B3874:M3874)</f>
        <v>111110001111</v>
      </c>
    </row>
    <row r="3875" spans="2:2" x14ac:dyDescent="0.25">
      <c r="B3875" s="4" t="str">
        <f>_xlfn.TEXTJOIN(,,'Truth Table'!B3875:M3875)</f>
        <v>000001001111</v>
      </c>
    </row>
    <row r="3876" spans="2:2" x14ac:dyDescent="0.25">
      <c r="B3876" s="4" t="str">
        <f>_xlfn.TEXTJOIN(,,'Truth Table'!B3876:M3876)</f>
        <v>100001001111</v>
      </c>
    </row>
    <row r="3877" spans="2:2" x14ac:dyDescent="0.25">
      <c r="B3877" s="4" t="str">
        <f>_xlfn.TEXTJOIN(,,'Truth Table'!B3877:M3877)</f>
        <v>010001001111</v>
      </c>
    </row>
    <row r="3878" spans="2:2" x14ac:dyDescent="0.25">
      <c r="B3878" s="4" t="str">
        <f>_xlfn.TEXTJOIN(,,'Truth Table'!B3878:M3878)</f>
        <v>110001001111</v>
      </c>
    </row>
    <row r="3879" spans="2:2" x14ac:dyDescent="0.25">
      <c r="B3879" s="4" t="str">
        <f>_xlfn.TEXTJOIN(,,'Truth Table'!B3879:M3879)</f>
        <v>001001001111</v>
      </c>
    </row>
    <row r="3880" spans="2:2" x14ac:dyDescent="0.25">
      <c r="B3880" s="4" t="str">
        <f>_xlfn.TEXTJOIN(,,'Truth Table'!B3880:M3880)</f>
        <v>101001001111</v>
      </c>
    </row>
    <row r="3881" spans="2:2" x14ac:dyDescent="0.25">
      <c r="B3881" s="4" t="str">
        <f>_xlfn.TEXTJOIN(,,'Truth Table'!B3881:M3881)</f>
        <v>011001001111</v>
      </c>
    </row>
    <row r="3882" spans="2:2" x14ac:dyDescent="0.25">
      <c r="B3882" s="4" t="str">
        <f>_xlfn.TEXTJOIN(,,'Truth Table'!B3882:M3882)</f>
        <v>111001001111</v>
      </c>
    </row>
    <row r="3883" spans="2:2" x14ac:dyDescent="0.25">
      <c r="B3883" s="4" t="str">
        <f>_xlfn.TEXTJOIN(,,'Truth Table'!B3883:M3883)</f>
        <v>000101001111</v>
      </c>
    </row>
    <row r="3884" spans="2:2" x14ac:dyDescent="0.25">
      <c r="B3884" s="4" t="str">
        <f>_xlfn.TEXTJOIN(,,'Truth Table'!B3884:M3884)</f>
        <v>100101001111</v>
      </c>
    </row>
    <row r="3885" spans="2:2" x14ac:dyDescent="0.25">
      <c r="B3885" s="4" t="str">
        <f>_xlfn.TEXTJOIN(,,'Truth Table'!B3885:M3885)</f>
        <v>010101001111</v>
      </c>
    </row>
    <row r="3886" spans="2:2" x14ac:dyDescent="0.25">
      <c r="B3886" s="4" t="str">
        <f>_xlfn.TEXTJOIN(,,'Truth Table'!B3886:M3886)</f>
        <v>110101001111</v>
      </c>
    </row>
    <row r="3887" spans="2:2" x14ac:dyDescent="0.25">
      <c r="B3887" s="4" t="str">
        <f>_xlfn.TEXTJOIN(,,'Truth Table'!B3887:M3887)</f>
        <v>001101001111</v>
      </c>
    </row>
    <row r="3888" spans="2:2" x14ac:dyDescent="0.25">
      <c r="B3888" s="4" t="str">
        <f>_xlfn.TEXTJOIN(,,'Truth Table'!B3888:M3888)</f>
        <v>101101001111</v>
      </c>
    </row>
    <row r="3889" spans="2:2" x14ac:dyDescent="0.25">
      <c r="B3889" s="4" t="str">
        <f>_xlfn.TEXTJOIN(,,'Truth Table'!B3889:M3889)</f>
        <v>011101001111</v>
      </c>
    </row>
    <row r="3890" spans="2:2" x14ac:dyDescent="0.25">
      <c r="B3890" s="4" t="str">
        <f>_xlfn.TEXTJOIN(,,'Truth Table'!B3890:M3890)</f>
        <v>111101001111</v>
      </c>
    </row>
    <row r="3891" spans="2:2" x14ac:dyDescent="0.25">
      <c r="B3891" s="4" t="str">
        <f>_xlfn.TEXTJOIN(,,'Truth Table'!B3891:M3891)</f>
        <v>000011001111</v>
      </c>
    </row>
    <row r="3892" spans="2:2" x14ac:dyDescent="0.25">
      <c r="B3892" s="4" t="str">
        <f>_xlfn.TEXTJOIN(,,'Truth Table'!B3892:M3892)</f>
        <v>100011001111</v>
      </c>
    </row>
    <row r="3893" spans="2:2" x14ac:dyDescent="0.25">
      <c r="B3893" s="4" t="str">
        <f>_xlfn.TEXTJOIN(,,'Truth Table'!B3893:M3893)</f>
        <v>010011001111</v>
      </c>
    </row>
    <row r="3894" spans="2:2" x14ac:dyDescent="0.25">
      <c r="B3894" s="4" t="str">
        <f>_xlfn.TEXTJOIN(,,'Truth Table'!B3894:M3894)</f>
        <v>110011001111</v>
      </c>
    </row>
    <row r="3895" spans="2:2" x14ac:dyDescent="0.25">
      <c r="B3895" s="4" t="str">
        <f>_xlfn.TEXTJOIN(,,'Truth Table'!B3895:M3895)</f>
        <v>001011001111</v>
      </c>
    </row>
    <row r="3896" spans="2:2" x14ac:dyDescent="0.25">
      <c r="B3896" s="4" t="str">
        <f>_xlfn.TEXTJOIN(,,'Truth Table'!B3896:M3896)</f>
        <v>101011001111</v>
      </c>
    </row>
    <row r="3897" spans="2:2" x14ac:dyDescent="0.25">
      <c r="B3897" s="4" t="str">
        <f>_xlfn.TEXTJOIN(,,'Truth Table'!B3897:M3897)</f>
        <v>011011001111</v>
      </c>
    </row>
    <row r="3898" spans="2:2" x14ac:dyDescent="0.25">
      <c r="B3898" s="4" t="str">
        <f>_xlfn.TEXTJOIN(,,'Truth Table'!B3898:M3898)</f>
        <v>111011001111</v>
      </c>
    </row>
    <row r="3899" spans="2:2" x14ac:dyDescent="0.25">
      <c r="B3899" s="4" t="str">
        <f>_xlfn.TEXTJOIN(,,'Truth Table'!B3899:M3899)</f>
        <v>000111001111</v>
      </c>
    </row>
    <row r="3900" spans="2:2" x14ac:dyDescent="0.25">
      <c r="B3900" s="4" t="str">
        <f>_xlfn.TEXTJOIN(,,'Truth Table'!B3900:M3900)</f>
        <v>100111001111</v>
      </c>
    </row>
    <row r="3901" spans="2:2" x14ac:dyDescent="0.25">
      <c r="B3901" s="4" t="str">
        <f>_xlfn.TEXTJOIN(,,'Truth Table'!B3901:M3901)</f>
        <v>010111001111</v>
      </c>
    </row>
    <row r="3902" spans="2:2" x14ac:dyDescent="0.25">
      <c r="B3902" s="4" t="str">
        <f>_xlfn.TEXTJOIN(,,'Truth Table'!B3902:M3902)</f>
        <v>110111001111</v>
      </c>
    </row>
    <row r="3903" spans="2:2" x14ac:dyDescent="0.25">
      <c r="B3903" s="4" t="str">
        <f>_xlfn.TEXTJOIN(,,'Truth Table'!B3903:M3903)</f>
        <v>001111001111</v>
      </c>
    </row>
    <row r="3904" spans="2:2" x14ac:dyDescent="0.25">
      <c r="B3904" s="4" t="str">
        <f>_xlfn.TEXTJOIN(,,'Truth Table'!B3904:M3904)</f>
        <v>101111001111</v>
      </c>
    </row>
    <row r="3905" spans="2:2" x14ac:dyDescent="0.25">
      <c r="B3905" s="4" t="str">
        <f>_xlfn.TEXTJOIN(,,'Truth Table'!B3905:M3905)</f>
        <v>011111001111</v>
      </c>
    </row>
    <row r="3906" spans="2:2" x14ac:dyDescent="0.25">
      <c r="B3906" s="4" t="str">
        <f>_xlfn.TEXTJOIN(,,'Truth Table'!B3906:M3906)</f>
        <v>111111001111</v>
      </c>
    </row>
    <row r="3907" spans="2:2" x14ac:dyDescent="0.25">
      <c r="B3907" s="4" t="str">
        <f>_xlfn.TEXTJOIN(,,'Truth Table'!B3907:M3907)</f>
        <v>000000101111</v>
      </c>
    </row>
    <row r="3908" spans="2:2" x14ac:dyDescent="0.25">
      <c r="B3908" s="4" t="str">
        <f>_xlfn.TEXTJOIN(,,'Truth Table'!B3908:M3908)</f>
        <v>100000101111</v>
      </c>
    </row>
    <row r="3909" spans="2:2" x14ac:dyDescent="0.25">
      <c r="B3909" s="4" t="str">
        <f>_xlfn.TEXTJOIN(,,'Truth Table'!B3909:M3909)</f>
        <v>010000101111</v>
      </c>
    </row>
    <row r="3910" spans="2:2" x14ac:dyDescent="0.25">
      <c r="B3910" s="4" t="str">
        <f>_xlfn.TEXTJOIN(,,'Truth Table'!B3910:M3910)</f>
        <v>110000101111</v>
      </c>
    </row>
    <row r="3911" spans="2:2" x14ac:dyDescent="0.25">
      <c r="B3911" s="4" t="str">
        <f>_xlfn.TEXTJOIN(,,'Truth Table'!B3911:M3911)</f>
        <v>001000101111</v>
      </c>
    </row>
    <row r="3912" spans="2:2" x14ac:dyDescent="0.25">
      <c r="B3912" s="4" t="str">
        <f>_xlfn.TEXTJOIN(,,'Truth Table'!B3912:M3912)</f>
        <v>101000101111</v>
      </c>
    </row>
    <row r="3913" spans="2:2" x14ac:dyDescent="0.25">
      <c r="B3913" s="4" t="str">
        <f>_xlfn.TEXTJOIN(,,'Truth Table'!B3913:M3913)</f>
        <v>011000101111</v>
      </c>
    </row>
    <row r="3914" spans="2:2" x14ac:dyDescent="0.25">
      <c r="B3914" s="4" t="str">
        <f>_xlfn.TEXTJOIN(,,'Truth Table'!B3914:M3914)</f>
        <v>111000101111</v>
      </c>
    </row>
    <row r="3915" spans="2:2" x14ac:dyDescent="0.25">
      <c r="B3915" s="4" t="str">
        <f>_xlfn.TEXTJOIN(,,'Truth Table'!B3915:M3915)</f>
        <v>000100101111</v>
      </c>
    </row>
    <row r="3916" spans="2:2" x14ac:dyDescent="0.25">
      <c r="B3916" s="4" t="str">
        <f>_xlfn.TEXTJOIN(,,'Truth Table'!B3916:M3916)</f>
        <v>100100101111</v>
      </c>
    </row>
    <row r="3917" spans="2:2" x14ac:dyDescent="0.25">
      <c r="B3917" s="4" t="str">
        <f>_xlfn.TEXTJOIN(,,'Truth Table'!B3917:M3917)</f>
        <v>010100101111</v>
      </c>
    </row>
    <row r="3918" spans="2:2" x14ac:dyDescent="0.25">
      <c r="B3918" s="4" t="str">
        <f>_xlfn.TEXTJOIN(,,'Truth Table'!B3918:M3918)</f>
        <v>110100101111</v>
      </c>
    </row>
    <row r="3919" spans="2:2" x14ac:dyDescent="0.25">
      <c r="B3919" s="4" t="str">
        <f>_xlfn.TEXTJOIN(,,'Truth Table'!B3919:M3919)</f>
        <v>001100101111</v>
      </c>
    </row>
    <row r="3920" spans="2:2" x14ac:dyDescent="0.25">
      <c r="B3920" s="4" t="str">
        <f>_xlfn.TEXTJOIN(,,'Truth Table'!B3920:M3920)</f>
        <v>101100101111</v>
      </c>
    </row>
    <row r="3921" spans="2:2" x14ac:dyDescent="0.25">
      <c r="B3921" s="4" t="str">
        <f>_xlfn.TEXTJOIN(,,'Truth Table'!B3921:M3921)</f>
        <v>011100101111</v>
      </c>
    </row>
    <row r="3922" spans="2:2" x14ac:dyDescent="0.25">
      <c r="B3922" s="4" t="str">
        <f>_xlfn.TEXTJOIN(,,'Truth Table'!B3922:M3922)</f>
        <v>111100101111</v>
      </c>
    </row>
    <row r="3923" spans="2:2" x14ac:dyDescent="0.25">
      <c r="B3923" s="4" t="str">
        <f>_xlfn.TEXTJOIN(,,'Truth Table'!B3923:M3923)</f>
        <v>000010101111</v>
      </c>
    </row>
    <row r="3924" spans="2:2" x14ac:dyDescent="0.25">
      <c r="B3924" s="4" t="str">
        <f>_xlfn.TEXTJOIN(,,'Truth Table'!B3924:M3924)</f>
        <v>100010101111</v>
      </c>
    </row>
    <row r="3925" spans="2:2" x14ac:dyDescent="0.25">
      <c r="B3925" s="4" t="str">
        <f>_xlfn.TEXTJOIN(,,'Truth Table'!B3925:M3925)</f>
        <v>010010101111</v>
      </c>
    </row>
    <row r="3926" spans="2:2" x14ac:dyDescent="0.25">
      <c r="B3926" s="4" t="str">
        <f>_xlfn.TEXTJOIN(,,'Truth Table'!B3926:M3926)</f>
        <v>110010101111</v>
      </c>
    </row>
    <row r="3927" spans="2:2" x14ac:dyDescent="0.25">
      <c r="B3927" s="4" t="str">
        <f>_xlfn.TEXTJOIN(,,'Truth Table'!B3927:M3927)</f>
        <v>001010101111</v>
      </c>
    </row>
    <row r="3928" spans="2:2" x14ac:dyDescent="0.25">
      <c r="B3928" s="4" t="str">
        <f>_xlfn.TEXTJOIN(,,'Truth Table'!B3928:M3928)</f>
        <v>101010101111</v>
      </c>
    </row>
    <row r="3929" spans="2:2" x14ac:dyDescent="0.25">
      <c r="B3929" s="4" t="str">
        <f>_xlfn.TEXTJOIN(,,'Truth Table'!B3929:M3929)</f>
        <v>011010101111</v>
      </c>
    </row>
    <row r="3930" spans="2:2" x14ac:dyDescent="0.25">
      <c r="B3930" s="4" t="str">
        <f>_xlfn.TEXTJOIN(,,'Truth Table'!B3930:M3930)</f>
        <v>111010101111</v>
      </c>
    </row>
    <row r="3931" spans="2:2" x14ac:dyDescent="0.25">
      <c r="B3931" s="4" t="str">
        <f>_xlfn.TEXTJOIN(,,'Truth Table'!B3931:M3931)</f>
        <v>000110101111</v>
      </c>
    </row>
    <row r="3932" spans="2:2" x14ac:dyDescent="0.25">
      <c r="B3932" s="4" t="str">
        <f>_xlfn.TEXTJOIN(,,'Truth Table'!B3932:M3932)</f>
        <v>100110101111</v>
      </c>
    </row>
    <row r="3933" spans="2:2" x14ac:dyDescent="0.25">
      <c r="B3933" s="4" t="str">
        <f>_xlfn.TEXTJOIN(,,'Truth Table'!B3933:M3933)</f>
        <v>010110101111</v>
      </c>
    </row>
    <row r="3934" spans="2:2" x14ac:dyDescent="0.25">
      <c r="B3934" s="4" t="str">
        <f>_xlfn.TEXTJOIN(,,'Truth Table'!B3934:M3934)</f>
        <v>110110101111</v>
      </c>
    </row>
    <row r="3935" spans="2:2" x14ac:dyDescent="0.25">
      <c r="B3935" s="4" t="str">
        <f>_xlfn.TEXTJOIN(,,'Truth Table'!B3935:M3935)</f>
        <v>001110101111</v>
      </c>
    </row>
    <row r="3936" spans="2:2" x14ac:dyDescent="0.25">
      <c r="B3936" s="4" t="str">
        <f>_xlfn.TEXTJOIN(,,'Truth Table'!B3936:M3936)</f>
        <v>101110101111</v>
      </c>
    </row>
    <row r="3937" spans="2:2" x14ac:dyDescent="0.25">
      <c r="B3937" s="4" t="str">
        <f>_xlfn.TEXTJOIN(,,'Truth Table'!B3937:M3937)</f>
        <v>011110101111</v>
      </c>
    </row>
    <row r="3938" spans="2:2" x14ac:dyDescent="0.25">
      <c r="B3938" s="4" t="str">
        <f>_xlfn.TEXTJOIN(,,'Truth Table'!B3938:M3938)</f>
        <v>111110101111</v>
      </c>
    </row>
    <row r="3939" spans="2:2" x14ac:dyDescent="0.25">
      <c r="B3939" s="4" t="str">
        <f>_xlfn.TEXTJOIN(,,'Truth Table'!B3939:M3939)</f>
        <v>000001101111</v>
      </c>
    </row>
    <row r="3940" spans="2:2" x14ac:dyDescent="0.25">
      <c r="B3940" s="4" t="str">
        <f>_xlfn.TEXTJOIN(,,'Truth Table'!B3940:M3940)</f>
        <v>100001101111</v>
      </c>
    </row>
    <row r="3941" spans="2:2" x14ac:dyDescent="0.25">
      <c r="B3941" s="4" t="str">
        <f>_xlfn.TEXTJOIN(,,'Truth Table'!B3941:M3941)</f>
        <v>010001101111</v>
      </c>
    </row>
    <row r="3942" spans="2:2" x14ac:dyDescent="0.25">
      <c r="B3942" s="4" t="str">
        <f>_xlfn.TEXTJOIN(,,'Truth Table'!B3942:M3942)</f>
        <v>110001101111</v>
      </c>
    </row>
    <row r="3943" spans="2:2" x14ac:dyDescent="0.25">
      <c r="B3943" s="4" t="str">
        <f>_xlfn.TEXTJOIN(,,'Truth Table'!B3943:M3943)</f>
        <v>001001101111</v>
      </c>
    </row>
    <row r="3944" spans="2:2" x14ac:dyDescent="0.25">
      <c r="B3944" s="4" t="str">
        <f>_xlfn.TEXTJOIN(,,'Truth Table'!B3944:M3944)</f>
        <v>101001101111</v>
      </c>
    </row>
    <row r="3945" spans="2:2" x14ac:dyDescent="0.25">
      <c r="B3945" s="4" t="str">
        <f>_xlfn.TEXTJOIN(,,'Truth Table'!B3945:M3945)</f>
        <v>011001101111</v>
      </c>
    </row>
    <row r="3946" spans="2:2" x14ac:dyDescent="0.25">
      <c r="B3946" s="4" t="str">
        <f>_xlfn.TEXTJOIN(,,'Truth Table'!B3946:M3946)</f>
        <v>111001101111</v>
      </c>
    </row>
    <row r="3947" spans="2:2" x14ac:dyDescent="0.25">
      <c r="B3947" s="4" t="str">
        <f>_xlfn.TEXTJOIN(,,'Truth Table'!B3947:M3947)</f>
        <v>000101101111</v>
      </c>
    </row>
    <row r="3948" spans="2:2" x14ac:dyDescent="0.25">
      <c r="B3948" s="4" t="str">
        <f>_xlfn.TEXTJOIN(,,'Truth Table'!B3948:M3948)</f>
        <v>100101101111</v>
      </c>
    </row>
    <row r="3949" spans="2:2" x14ac:dyDescent="0.25">
      <c r="B3949" s="4" t="str">
        <f>_xlfn.TEXTJOIN(,,'Truth Table'!B3949:M3949)</f>
        <v>010101101111</v>
      </c>
    </row>
    <row r="3950" spans="2:2" x14ac:dyDescent="0.25">
      <c r="B3950" s="4" t="str">
        <f>_xlfn.TEXTJOIN(,,'Truth Table'!B3950:M3950)</f>
        <v>110101101111</v>
      </c>
    </row>
    <row r="3951" spans="2:2" x14ac:dyDescent="0.25">
      <c r="B3951" s="4" t="str">
        <f>_xlfn.TEXTJOIN(,,'Truth Table'!B3951:M3951)</f>
        <v>001101101111</v>
      </c>
    </row>
    <row r="3952" spans="2:2" x14ac:dyDescent="0.25">
      <c r="B3952" s="4" t="str">
        <f>_xlfn.TEXTJOIN(,,'Truth Table'!B3952:M3952)</f>
        <v>101101101111</v>
      </c>
    </row>
    <row r="3953" spans="2:2" x14ac:dyDescent="0.25">
      <c r="B3953" s="4" t="str">
        <f>_xlfn.TEXTJOIN(,,'Truth Table'!B3953:M3953)</f>
        <v>011101101111</v>
      </c>
    </row>
    <row r="3954" spans="2:2" x14ac:dyDescent="0.25">
      <c r="B3954" s="4" t="str">
        <f>_xlfn.TEXTJOIN(,,'Truth Table'!B3954:M3954)</f>
        <v>111101101111</v>
      </c>
    </row>
    <row r="3955" spans="2:2" x14ac:dyDescent="0.25">
      <c r="B3955" s="4" t="str">
        <f>_xlfn.TEXTJOIN(,,'Truth Table'!B3955:M3955)</f>
        <v>000011101111</v>
      </c>
    </row>
    <row r="3956" spans="2:2" x14ac:dyDescent="0.25">
      <c r="B3956" s="4" t="str">
        <f>_xlfn.TEXTJOIN(,,'Truth Table'!B3956:M3956)</f>
        <v>100011101111</v>
      </c>
    </row>
    <row r="3957" spans="2:2" x14ac:dyDescent="0.25">
      <c r="B3957" s="4" t="str">
        <f>_xlfn.TEXTJOIN(,,'Truth Table'!B3957:M3957)</f>
        <v>010011101111</v>
      </c>
    </row>
    <row r="3958" spans="2:2" x14ac:dyDescent="0.25">
      <c r="B3958" s="4" t="str">
        <f>_xlfn.TEXTJOIN(,,'Truth Table'!B3958:M3958)</f>
        <v>110011101111</v>
      </c>
    </row>
    <row r="3959" spans="2:2" x14ac:dyDescent="0.25">
      <c r="B3959" s="4" t="str">
        <f>_xlfn.TEXTJOIN(,,'Truth Table'!B3959:M3959)</f>
        <v>001011101111</v>
      </c>
    </row>
    <row r="3960" spans="2:2" x14ac:dyDescent="0.25">
      <c r="B3960" s="4" t="str">
        <f>_xlfn.TEXTJOIN(,,'Truth Table'!B3960:M3960)</f>
        <v>101011101111</v>
      </c>
    </row>
    <row r="3961" spans="2:2" x14ac:dyDescent="0.25">
      <c r="B3961" s="4" t="str">
        <f>_xlfn.TEXTJOIN(,,'Truth Table'!B3961:M3961)</f>
        <v>011011101111</v>
      </c>
    </row>
    <row r="3962" spans="2:2" x14ac:dyDescent="0.25">
      <c r="B3962" s="4" t="str">
        <f>_xlfn.TEXTJOIN(,,'Truth Table'!B3962:M3962)</f>
        <v>111011101111</v>
      </c>
    </row>
    <row r="3963" spans="2:2" x14ac:dyDescent="0.25">
      <c r="B3963" s="4" t="str">
        <f>_xlfn.TEXTJOIN(,,'Truth Table'!B3963:M3963)</f>
        <v>000111101111</v>
      </c>
    </row>
    <row r="3964" spans="2:2" x14ac:dyDescent="0.25">
      <c r="B3964" s="4" t="str">
        <f>_xlfn.TEXTJOIN(,,'Truth Table'!B3964:M3964)</f>
        <v>100111101111</v>
      </c>
    </row>
    <row r="3965" spans="2:2" x14ac:dyDescent="0.25">
      <c r="B3965" s="4" t="str">
        <f>_xlfn.TEXTJOIN(,,'Truth Table'!B3965:M3965)</f>
        <v>010111101111</v>
      </c>
    </row>
    <row r="3966" spans="2:2" x14ac:dyDescent="0.25">
      <c r="B3966" s="4" t="str">
        <f>_xlfn.TEXTJOIN(,,'Truth Table'!B3966:M3966)</f>
        <v>110111101111</v>
      </c>
    </row>
    <row r="3967" spans="2:2" x14ac:dyDescent="0.25">
      <c r="B3967" s="4" t="str">
        <f>_xlfn.TEXTJOIN(,,'Truth Table'!B3967:M3967)</f>
        <v>001111101111</v>
      </c>
    </row>
    <row r="3968" spans="2:2" x14ac:dyDescent="0.25">
      <c r="B3968" s="4" t="str">
        <f>_xlfn.TEXTJOIN(,,'Truth Table'!B3968:M3968)</f>
        <v>101111101111</v>
      </c>
    </row>
    <row r="3969" spans="2:2" x14ac:dyDescent="0.25">
      <c r="B3969" s="4" t="str">
        <f>_xlfn.TEXTJOIN(,,'Truth Table'!B3969:M3969)</f>
        <v>011111101111</v>
      </c>
    </row>
    <row r="3970" spans="2:2" x14ac:dyDescent="0.25">
      <c r="B3970" s="4" t="str">
        <f>_xlfn.TEXTJOIN(,,'Truth Table'!B3970:M3970)</f>
        <v>111111101111</v>
      </c>
    </row>
    <row r="3971" spans="2:2" x14ac:dyDescent="0.25">
      <c r="B3971" s="4" t="str">
        <f>_xlfn.TEXTJOIN(,,'Truth Table'!B3971:M3971)</f>
        <v>000000011111</v>
      </c>
    </row>
    <row r="3972" spans="2:2" x14ac:dyDescent="0.25">
      <c r="B3972" s="4" t="str">
        <f>_xlfn.TEXTJOIN(,,'Truth Table'!B3972:M3972)</f>
        <v>100000011111</v>
      </c>
    </row>
    <row r="3973" spans="2:2" x14ac:dyDescent="0.25">
      <c r="B3973" s="4" t="str">
        <f>_xlfn.TEXTJOIN(,,'Truth Table'!B3973:M3973)</f>
        <v>010000011111</v>
      </c>
    </row>
    <row r="3974" spans="2:2" x14ac:dyDescent="0.25">
      <c r="B3974" s="4" t="str">
        <f>_xlfn.TEXTJOIN(,,'Truth Table'!B3974:M3974)</f>
        <v>110000011111</v>
      </c>
    </row>
    <row r="3975" spans="2:2" x14ac:dyDescent="0.25">
      <c r="B3975" s="4" t="str">
        <f>_xlfn.TEXTJOIN(,,'Truth Table'!B3975:M3975)</f>
        <v>001000011111</v>
      </c>
    </row>
    <row r="3976" spans="2:2" x14ac:dyDescent="0.25">
      <c r="B3976" s="4" t="str">
        <f>_xlfn.TEXTJOIN(,,'Truth Table'!B3976:M3976)</f>
        <v>101000011111</v>
      </c>
    </row>
    <row r="3977" spans="2:2" x14ac:dyDescent="0.25">
      <c r="B3977" s="4" t="str">
        <f>_xlfn.TEXTJOIN(,,'Truth Table'!B3977:M3977)</f>
        <v>011000011111</v>
      </c>
    </row>
    <row r="3978" spans="2:2" x14ac:dyDescent="0.25">
      <c r="B3978" s="4" t="str">
        <f>_xlfn.TEXTJOIN(,,'Truth Table'!B3978:M3978)</f>
        <v>111000011111</v>
      </c>
    </row>
    <row r="3979" spans="2:2" x14ac:dyDescent="0.25">
      <c r="B3979" s="4" t="str">
        <f>_xlfn.TEXTJOIN(,,'Truth Table'!B3979:M3979)</f>
        <v>000100011111</v>
      </c>
    </row>
    <row r="3980" spans="2:2" x14ac:dyDescent="0.25">
      <c r="B3980" s="4" t="str">
        <f>_xlfn.TEXTJOIN(,,'Truth Table'!B3980:M3980)</f>
        <v>100100011111</v>
      </c>
    </row>
    <row r="3981" spans="2:2" x14ac:dyDescent="0.25">
      <c r="B3981" s="4" t="str">
        <f>_xlfn.TEXTJOIN(,,'Truth Table'!B3981:M3981)</f>
        <v>010100011111</v>
      </c>
    </row>
    <row r="3982" spans="2:2" x14ac:dyDescent="0.25">
      <c r="B3982" s="4" t="str">
        <f>_xlfn.TEXTJOIN(,,'Truth Table'!B3982:M3982)</f>
        <v>110100011111</v>
      </c>
    </row>
    <row r="3983" spans="2:2" x14ac:dyDescent="0.25">
      <c r="B3983" s="4" t="str">
        <f>_xlfn.TEXTJOIN(,,'Truth Table'!B3983:M3983)</f>
        <v>001100011111</v>
      </c>
    </row>
    <row r="3984" spans="2:2" x14ac:dyDescent="0.25">
      <c r="B3984" s="4" t="str">
        <f>_xlfn.TEXTJOIN(,,'Truth Table'!B3984:M3984)</f>
        <v>101100011111</v>
      </c>
    </row>
    <row r="3985" spans="2:2" x14ac:dyDescent="0.25">
      <c r="B3985" s="4" t="str">
        <f>_xlfn.TEXTJOIN(,,'Truth Table'!B3985:M3985)</f>
        <v>011100011111</v>
      </c>
    </row>
    <row r="3986" spans="2:2" x14ac:dyDescent="0.25">
      <c r="B3986" s="4" t="str">
        <f>_xlfn.TEXTJOIN(,,'Truth Table'!B3986:M3986)</f>
        <v>111100011111</v>
      </c>
    </row>
    <row r="3987" spans="2:2" x14ac:dyDescent="0.25">
      <c r="B3987" s="4" t="str">
        <f>_xlfn.TEXTJOIN(,,'Truth Table'!B3987:M3987)</f>
        <v>000010011111</v>
      </c>
    </row>
    <row r="3988" spans="2:2" x14ac:dyDescent="0.25">
      <c r="B3988" s="4" t="str">
        <f>_xlfn.TEXTJOIN(,,'Truth Table'!B3988:M3988)</f>
        <v>100010011111</v>
      </c>
    </row>
    <row r="3989" spans="2:2" x14ac:dyDescent="0.25">
      <c r="B3989" s="4" t="str">
        <f>_xlfn.TEXTJOIN(,,'Truth Table'!B3989:M3989)</f>
        <v>010010011111</v>
      </c>
    </row>
    <row r="3990" spans="2:2" x14ac:dyDescent="0.25">
      <c r="B3990" s="4" t="str">
        <f>_xlfn.TEXTJOIN(,,'Truth Table'!B3990:M3990)</f>
        <v>110010011111</v>
      </c>
    </row>
    <row r="3991" spans="2:2" x14ac:dyDescent="0.25">
      <c r="B3991" s="4" t="str">
        <f>_xlfn.TEXTJOIN(,,'Truth Table'!B3991:M3991)</f>
        <v>001010011111</v>
      </c>
    </row>
    <row r="3992" spans="2:2" x14ac:dyDescent="0.25">
      <c r="B3992" s="4" t="str">
        <f>_xlfn.TEXTJOIN(,,'Truth Table'!B3992:M3992)</f>
        <v>101010011111</v>
      </c>
    </row>
    <row r="3993" spans="2:2" x14ac:dyDescent="0.25">
      <c r="B3993" s="4" t="str">
        <f>_xlfn.TEXTJOIN(,,'Truth Table'!B3993:M3993)</f>
        <v>011010011111</v>
      </c>
    </row>
    <row r="3994" spans="2:2" x14ac:dyDescent="0.25">
      <c r="B3994" s="4" t="str">
        <f>_xlfn.TEXTJOIN(,,'Truth Table'!B3994:M3994)</f>
        <v>111010011111</v>
      </c>
    </row>
    <row r="3995" spans="2:2" x14ac:dyDescent="0.25">
      <c r="B3995" s="4" t="str">
        <f>_xlfn.TEXTJOIN(,,'Truth Table'!B3995:M3995)</f>
        <v>000110011111</v>
      </c>
    </row>
    <row r="3996" spans="2:2" x14ac:dyDescent="0.25">
      <c r="B3996" s="4" t="str">
        <f>_xlfn.TEXTJOIN(,,'Truth Table'!B3996:M3996)</f>
        <v>100110011111</v>
      </c>
    </row>
    <row r="3997" spans="2:2" x14ac:dyDescent="0.25">
      <c r="B3997" s="4" t="str">
        <f>_xlfn.TEXTJOIN(,,'Truth Table'!B3997:M3997)</f>
        <v>010110011111</v>
      </c>
    </row>
    <row r="3998" spans="2:2" x14ac:dyDescent="0.25">
      <c r="B3998" s="4" t="str">
        <f>_xlfn.TEXTJOIN(,,'Truth Table'!B3998:M3998)</f>
        <v>110110011111</v>
      </c>
    </row>
    <row r="3999" spans="2:2" x14ac:dyDescent="0.25">
      <c r="B3999" s="4" t="str">
        <f>_xlfn.TEXTJOIN(,,'Truth Table'!B3999:M3999)</f>
        <v>001110011111</v>
      </c>
    </row>
    <row r="4000" spans="2:2" x14ac:dyDescent="0.25">
      <c r="B4000" s="4" t="str">
        <f>_xlfn.TEXTJOIN(,,'Truth Table'!B4000:M4000)</f>
        <v>101110011111</v>
      </c>
    </row>
    <row r="4001" spans="2:2" x14ac:dyDescent="0.25">
      <c r="B4001" s="4" t="str">
        <f>_xlfn.TEXTJOIN(,,'Truth Table'!B4001:M4001)</f>
        <v>011110011111</v>
      </c>
    </row>
    <row r="4002" spans="2:2" x14ac:dyDescent="0.25">
      <c r="B4002" s="4" t="str">
        <f>_xlfn.TEXTJOIN(,,'Truth Table'!B4002:M4002)</f>
        <v>111110011111</v>
      </c>
    </row>
    <row r="4003" spans="2:2" x14ac:dyDescent="0.25">
      <c r="B4003" s="4" t="str">
        <f>_xlfn.TEXTJOIN(,,'Truth Table'!B4003:M4003)</f>
        <v>000001011111</v>
      </c>
    </row>
    <row r="4004" spans="2:2" x14ac:dyDescent="0.25">
      <c r="B4004" s="4" t="str">
        <f>_xlfn.TEXTJOIN(,,'Truth Table'!B4004:M4004)</f>
        <v>100001011111</v>
      </c>
    </row>
    <row r="4005" spans="2:2" x14ac:dyDescent="0.25">
      <c r="B4005" s="4" t="str">
        <f>_xlfn.TEXTJOIN(,,'Truth Table'!B4005:M4005)</f>
        <v>010001011111</v>
      </c>
    </row>
    <row r="4006" spans="2:2" x14ac:dyDescent="0.25">
      <c r="B4006" s="4" t="str">
        <f>_xlfn.TEXTJOIN(,,'Truth Table'!B4006:M4006)</f>
        <v>110001011111</v>
      </c>
    </row>
    <row r="4007" spans="2:2" x14ac:dyDescent="0.25">
      <c r="B4007" s="4" t="str">
        <f>_xlfn.TEXTJOIN(,,'Truth Table'!B4007:M4007)</f>
        <v>001001011111</v>
      </c>
    </row>
    <row r="4008" spans="2:2" x14ac:dyDescent="0.25">
      <c r="B4008" s="4" t="str">
        <f>_xlfn.TEXTJOIN(,,'Truth Table'!B4008:M4008)</f>
        <v>101001011111</v>
      </c>
    </row>
    <row r="4009" spans="2:2" x14ac:dyDescent="0.25">
      <c r="B4009" s="4" t="str">
        <f>_xlfn.TEXTJOIN(,,'Truth Table'!B4009:M4009)</f>
        <v>011001011111</v>
      </c>
    </row>
    <row r="4010" spans="2:2" x14ac:dyDescent="0.25">
      <c r="B4010" s="4" t="str">
        <f>_xlfn.TEXTJOIN(,,'Truth Table'!B4010:M4010)</f>
        <v>111001011111</v>
      </c>
    </row>
    <row r="4011" spans="2:2" x14ac:dyDescent="0.25">
      <c r="B4011" s="4" t="str">
        <f>_xlfn.TEXTJOIN(,,'Truth Table'!B4011:M4011)</f>
        <v>000101011111</v>
      </c>
    </row>
    <row r="4012" spans="2:2" x14ac:dyDescent="0.25">
      <c r="B4012" s="4" t="str">
        <f>_xlfn.TEXTJOIN(,,'Truth Table'!B4012:M4012)</f>
        <v>100101011111</v>
      </c>
    </row>
    <row r="4013" spans="2:2" x14ac:dyDescent="0.25">
      <c r="B4013" s="4" t="str">
        <f>_xlfn.TEXTJOIN(,,'Truth Table'!B4013:M4013)</f>
        <v>010101011111</v>
      </c>
    </row>
    <row r="4014" spans="2:2" x14ac:dyDescent="0.25">
      <c r="B4014" s="4" t="str">
        <f>_xlfn.TEXTJOIN(,,'Truth Table'!B4014:M4014)</f>
        <v>110101011111</v>
      </c>
    </row>
    <row r="4015" spans="2:2" x14ac:dyDescent="0.25">
      <c r="B4015" s="4" t="str">
        <f>_xlfn.TEXTJOIN(,,'Truth Table'!B4015:M4015)</f>
        <v>001101011111</v>
      </c>
    </row>
    <row r="4016" spans="2:2" x14ac:dyDescent="0.25">
      <c r="B4016" s="4" t="str">
        <f>_xlfn.TEXTJOIN(,,'Truth Table'!B4016:M4016)</f>
        <v>101101011111</v>
      </c>
    </row>
    <row r="4017" spans="2:2" x14ac:dyDescent="0.25">
      <c r="B4017" s="4" t="str">
        <f>_xlfn.TEXTJOIN(,,'Truth Table'!B4017:M4017)</f>
        <v>011101011111</v>
      </c>
    </row>
    <row r="4018" spans="2:2" x14ac:dyDescent="0.25">
      <c r="B4018" s="4" t="str">
        <f>_xlfn.TEXTJOIN(,,'Truth Table'!B4018:M4018)</f>
        <v>111101011111</v>
      </c>
    </row>
    <row r="4019" spans="2:2" x14ac:dyDescent="0.25">
      <c r="B4019" s="4" t="str">
        <f>_xlfn.TEXTJOIN(,,'Truth Table'!B4019:M4019)</f>
        <v>000011011111</v>
      </c>
    </row>
    <row r="4020" spans="2:2" x14ac:dyDescent="0.25">
      <c r="B4020" s="4" t="str">
        <f>_xlfn.TEXTJOIN(,,'Truth Table'!B4020:M4020)</f>
        <v>100011011111</v>
      </c>
    </row>
    <row r="4021" spans="2:2" x14ac:dyDescent="0.25">
      <c r="B4021" s="4" t="str">
        <f>_xlfn.TEXTJOIN(,,'Truth Table'!B4021:M4021)</f>
        <v>010011011111</v>
      </c>
    </row>
    <row r="4022" spans="2:2" x14ac:dyDescent="0.25">
      <c r="B4022" s="4" t="str">
        <f>_xlfn.TEXTJOIN(,,'Truth Table'!B4022:M4022)</f>
        <v>110011011111</v>
      </c>
    </row>
    <row r="4023" spans="2:2" x14ac:dyDescent="0.25">
      <c r="B4023" s="4" t="str">
        <f>_xlfn.TEXTJOIN(,,'Truth Table'!B4023:M4023)</f>
        <v>001011011111</v>
      </c>
    </row>
    <row r="4024" spans="2:2" x14ac:dyDescent="0.25">
      <c r="B4024" s="4" t="str">
        <f>_xlfn.TEXTJOIN(,,'Truth Table'!B4024:M4024)</f>
        <v>101011011111</v>
      </c>
    </row>
    <row r="4025" spans="2:2" x14ac:dyDescent="0.25">
      <c r="B4025" s="4" t="str">
        <f>_xlfn.TEXTJOIN(,,'Truth Table'!B4025:M4025)</f>
        <v>011011011111</v>
      </c>
    </row>
    <row r="4026" spans="2:2" x14ac:dyDescent="0.25">
      <c r="B4026" s="4" t="str">
        <f>_xlfn.TEXTJOIN(,,'Truth Table'!B4026:M4026)</f>
        <v>111011011111</v>
      </c>
    </row>
    <row r="4027" spans="2:2" x14ac:dyDescent="0.25">
      <c r="B4027" s="4" t="str">
        <f>_xlfn.TEXTJOIN(,,'Truth Table'!B4027:M4027)</f>
        <v>000111011111</v>
      </c>
    </row>
    <row r="4028" spans="2:2" x14ac:dyDescent="0.25">
      <c r="B4028" s="4" t="str">
        <f>_xlfn.TEXTJOIN(,,'Truth Table'!B4028:M4028)</f>
        <v>100111011111</v>
      </c>
    </row>
    <row r="4029" spans="2:2" x14ac:dyDescent="0.25">
      <c r="B4029" s="4" t="str">
        <f>_xlfn.TEXTJOIN(,,'Truth Table'!B4029:M4029)</f>
        <v>010111011111</v>
      </c>
    </row>
    <row r="4030" spans="2:2" x14ac:dyDescent="0.25">
      <c r="B4030" s="4" t="str">
        <f>_xlfn.TEXTJOIN(,,'Truth Table'!B4030:M4030)</f>
        <v>110111011111</v>
      </c>
    </row>
    <row r="4031" spans="2:2" x14ac:dyDescent="0.25">
      <c r="B4031" s="4" t="str">
        <f>_xlfn.TEXTJOIN(,,'Truth Table'!B4031:M4031)</f>
        <v>001111011111</v>
      </c>
    </row>
    <row r="4032" spans="2:2" x14ac:dyDescent="0.25">
      <c r="B4032" s="4" t="str">
        <f>_xlfn.TEXTJOIN(,,'Truth Table'!B4032:M4032)</f>
        <v>101111011111</v>
      </c>
    </row>
    <row r="4033" spans="2:2" x14ac:dyDescent="0.25">
      <c r="B4033" s="4" t="str">
        <f>_xlfn.TEXTJOIN(,,'Truth Table'!B4033:M4033)</f>
        <v>011111011111</v>
      </c>
    </row>
    <row r="4034" spans="2:2" x14ac:dyDescent="0.25">
      <c r="B4034" s="4" t="str">
        <f>_xlfn.TEXTJOIN(,,'Truth Table'!B4034:M4034)</f>
        <v>111111011111</v>
      </c>
    </row>
    <row r="4035" spans="2:2" x14ac:dyDescent="0.25">
      <c r="B4035" s="4" t="str">
        <f>_xlfn.TEXTJOIN(,,'Truth Table'!B4035:M4035)</f>
        <v>000000111111</v>
      </c>
    </row>
    <row r="4036" spans="2:2" x14ac:dyDescent="0.25">
      <c r="B4036" s="4" t="str">
        <f>_xlfn.TEXTJOIN(,,'Truth Table'!B4036:M4036)</f>
        <v>100000111111</v>
      </c>
    </row>
    <row r="4037" spans="2:2" x14ac:dyDescent="0.25">
      <c r="B4037" s="4" t="str">
        <f>_xlfn.TEXTJOIN(,,'Truth Table'!B4037:M4037)</f>
        <v>010000111111</v>
      </c>
    </row>
    <row r="4038" spans="2:2" x14ac:dyDescent="0.25">
      <c r="B4038" s="4" t="str">
        <f>_xlfn.TEXTJOIN(,,'Truth Table'!B4038:M4038)</f>
        <v>110000111111</v>
      </c>
    </row>
    <row r="4039" spans="2:2" x14ac:dyDescent="0.25">
      <c r="B4039" s="4" t="str">
        <f>_xlfn.TEXTJOIN(,,'Truth Table'!B4039:M4039)</f>
        <v>001000111111</v>
      </c>
    </row>
    <row r="4040" spans="2:2" x14ac:dyDescent="0.25">
      <c r="B4040" s="4" t="str">
        <f>_xlfn.TEXTJOIN(,,'Truth Table'!B4040:M4040)</f>
        <v>101000111111</v>
      </c>
    </row>
    <row r="4041" spans="2:2" x14ac:dyDescent="0.25">
      <c r="B4041" s="4" t="str">
        <f>_xlfn.TEXTJOIN(,,'Truth Table'!B4041:M4041)</f>
        <v>011000111111</v>
      </c>
    </row>
    <row r="4042" spans="2:2" x14ac:dyDescent="0.25">
      <c r="B4042" s="4" t="str">
        <f>_xlfn.TEXTJOIN(,,'Truth Table'!B4042:M4042)</f>
        <v>111000111111</v>
      </c>
    </row>
    <row r="4043" spans="2:2" x14ac:dyDescent="0.25">
      <c r="B4043" s="4" t="str">
        <f>_xlfn.TEXTJOIN(,,'Truth Table'!B4043:M4043)</f>
        <v>000100111111</v>
      </c>
    </row>
    <row r="4044" spans="2:2" x14ac:dyDescent="0.25">
      <c r="B4044" s="4" t="str">
        <f>_xlfn.TEXTJOIN(,,'Truth Table'!B4044:M4044)</f>
        <v>100100111111</v>
      </c>
    </row>
    <row r="4045" spans="2:2" x14ac:dyDescent="0.25">
      <c r="B4045" s="4" t="str">
        <f>_xlfn.TEXTJOIN(,,'Truth Table'!B4045:M4045)</f>
        <v>010100111111</v>
      </c>
    </row>
    <row r="4046" spans="2:2" x14ac:dyDescent="0.25">
      <c r="B4046" s="4" t="str">
        <f>_xlfn.TEXTJOIN(,,'Truth Table'!B4046:M4046)</f>
        <v>110100111111</v>
      </c>
    </row>
    <row r="4047" spans="2:2" x14ac:dyDescent="0.25">
      <c r="B4047" s="4" t="str">
        <f>_xlfn.TEXTJOIN(,,'Truth Table'!B4047:M4047)</f>
        <v>001100111111</v>
      </c>
    </row>
    <row r="4048" spans="2:2" x14ac:dyDescent="0.25">
      <c r="B4048" s="4" t="str">
        <f>_xlfn.TEXTJOIN(,,'Truth Table'!B4048:M4048)</f>
        <v>101100111111</v>
      </c>
    </row>
    <row r="4049" spans="2:2" x14ac:dyDescent="0.25">
      <c r="B4049" s="4" t="str">
        <f>_xlfn.TEXTJOIN(,,'Truth Table'!B4049:M4049)</f>
        <v>011100111111</v>
      </c>
    </row>
    <row r="4050" spans="2:2" x14ac:dyDescent="0.25">
      <c r="B4050" s="4" t="str">
        <f>_xlfn.TEXTJOIN(,,'Truth Table'!B4050:M4050)</f>
        <v>111100111111</v>
      </c>
    </row>
    <row r="4051" spans="2:2" x14ac:dyDescent="0.25">
      <c r="B4051" s="4" t="str">
        <f>_xlfn.TEXTJOIN(,,'Truth Table'!B4051:M4051)</f>
        <v>000010111111</v>
      </c>
    </row>
    <row r="4052" spans="2:2" x14ac:dyDescent="0.25">
      <c r="B4052" s="4" t="str">
        <f>_xlfn.TEXTJOIN(,,'Truth Table'!B4052:M4052)</f>
        <v>100010111111</v>
      </c>
    </row>
    <row r="4053" spans="2:2" x14ac:dyDescent="0.25">
      <c r="B4053" s="4" t="str">
        <f>_xlfn.TEXTJOIN(,,'Truth Table'!B4053:M4053)</f>
        <v>010010111111</v>
      </c>
    </row>
    <row r="4054" spans="2:2" x14ac:dyDescent="0.25">
      <c r="B4054" s="4" t="str">
        <f>_xlfn.TEXTJOIN(,,'Truth Table'!B4054:M4054)</f>
        <v>110010111111</v>
      </c>
    </row>
    <row r="4055" spans="2:2" x14ac:dyDescent="0.25">
      <c r="B4055" s="4" t="str">
        <f>_xlfn.TEXTJOIN(,,'Truth Table'!B4055:M4055)</f>
        <v>001010111111</v>
      </c>
    </row>
    <row r="4056" spans="2:2" x14ac:dyDescent="0.25">
      <c r="B4056" s="4" t="str">
        <f>_xlfn.TEXTJOIN(,,'Truth Table'!B4056:M4056)</f>
        <v>101010111111</v>
      </c>
    </row>
    <row r="4057" spans="2:2" x14ac:dyDescent="0.25">
      <c r="B4057" s="4" t="str">
        <f>_xlfn.TEXTJOIN(,,'Truth Table'!B4057:M4057)</f>
        <v>011010111111</v>
      </c>
    </row>
    <row r="4058" spans="2:2" x14ac:dyDescent="0.25">
      <c r="B4058" s="4" t="str">
        <f>_xlfn.TEXTJOIN(,,'Truth Table'!B4058:M4058)</f>
        <v>111010111111</v>
      </c>
    </row>
    <row r="4059" spans="2:2" x14ac:dyDescent="0.25">
      <c r="B4059" s="4" t="str">
        <f>_xlfn.TEXTJOIN(,,'Truth Table'!B4059:M4059)</f>
        <v>000110111111</v>
      </c>
    </row>
    <row r="4060" spans="2:2" x14ac:dyDescent="0.25">
      <c r="B4060" s="4" t="str">
        <f>_xlfn.TEXTJOIN(,,'Truth Table'!B4060:M4060)</f>
        <v>100110111111</v>
      </c>
    </row>
    <row r="4061" spans="2:2" x14ac:dyDescent="0.25">
      <c r="B4061" s="4" t="str">
        <f>_xlfn.TEXTJOIN(,,'Truth Table'!B4061:M4061)</f>
        <v>010110111111</v>
      </c>
    </row>
    <row r="4062" spans="2:2" x14ac:dyDescent="0.25">
      <c r="B4062" s="4" t="str">
        <f>_xlfn.TEXTJOIN(,,'Truth Table'!B4062:M4062)</f>
        <v>110110111111</v>
      </c>
    </row>
    <row r="4063" spans="2:2" x14ac:dyDescent="0.25">
      <c r="B4063" s="4" t="str">
        <f>_xlfn.TEXTJOIN(,,'Truth Table'!B4063:M4063)</f>
        <v>001110111111</v>
      </c>
    </row>
    <row r="4064" spans="2:2" x14ac:dyDescent="0.25">
      <c r="B4064" s="4" t="str">
        <f>_xlfn.TEXTJOIN(,,'Truth Table'!B4064:M4064)</f>
        <v>101110111111</v>
      </c>
    </row>
    <row r="4065" spans="2:2" x14ac:dyDescent="0.25">
      <c r="B4065" s="4" t="str">
        <f>_xlfn.TEXTJOIN(,,'Truth Table'!B4065:M4065)</f>
        <v>011110111111</v>
      </c>
    </row>
    <row r="4066" spans="2:2" x14ac:dyDescent="0.25">
      <c r="B4066" s="4" t="str">
        <f>_xlfn.TEXTJOIN(,,'Truth Table'!B4066:M4066)</f>
        <v>111110111111</v>
      </c>
    </row>
    <row r="4067" spans="2:2" x14ac:dyDescent="0.25">
      <c r="B4067" s="4" t="str">
        <f>_xlfn.TEXTJOIN(,,'Truth Table'!B4067:M4067)</f>
        <v>000001111111</v>
      </c>
    </row>
    <row r="4068" spans="2:2" x14ac:dyDescent="0.25">
      <c r="B4068" s="4" t="str">
        <f>_xlfn.TEXTJOIN(,,'Truth Table'!B4068:M4068)</f>
        <v>100001111111</v>
      </c>
    </row>
    <row r="4069" spans="2:2" x14ac:dyDescent="0.25">
      <c r="B4069" s="4" t="str">
        <f>_xlfn.TEXTJOIN(,,'Truth Table'!B4069:M4069)</f>
        <v>010001111111</v>
      </c>
    </row>
    <row r="4070" spans="2:2" x14ac:dyDescent="0.25">
      <c r="B4070" s="4" t="str">
        <f>_xlfn.TEXTJOIN(,,'Truth Table'!B4070:M4070)</f>
        <v>110001111111</v>
      </c>
    </row>
    <row r="4071" spans="2:2" x14ac:dyDescent="0.25">
      <c r="B4071" s="4" t="str">
        <f>_xlfn.TEXTJOIN(,,'Truth Table'!B4071:M4071)</f>
        <v>001001111111</v>
      </c>
    </row>
    <row r="4072" spans="2:2" x14ac:dyDescent="0.25">
      <c r="B4072" s="4" t="str">
        <f>_xlfn.TEXTJOIN(,,'Truth Table'!B4072:M4072)</f>
        <v>101001111111</v>
      </c>
    </row>
    <row r="4073" spans="2:2" x14ac:dyDescent="0.25">
      <c r="B4073" s="4" t="str">
        <f>_xlfn.TEXTJOIN(,,'Truth Table'!B4073:M4073)</f>
        <v>011001111111</v>
      </c>
    </row>
    <row r="4074" spans="2:2" x14ac:dyDescent="0.25">
      <c r="B4074" s="4" t="str">
        <f>_xlfn.TEXTJOIN(,,'Truth Table'!B4074:M4074)</f>
        <v>111001111111</v>
      </c>
    </row>
    <row r="4075" spans="2:2" x14ac:dyDescent="0.25">
      <c r="B4075" s="4" t="str">
        <f>_xlfn.TEXTJOIN(,,'Truth Table'!B4075:M4075)</f>
        <v>000101111111</v>
      </c>
    </row>
    <row r="4076" spans="2:2" x14ac:dyDescent="0.25">
      <c r="B4076" s="4" t="str">
        <f>_xlfn.TEXTJOIN(,,'Truth Table'!B4076:M4076)</f>
        <v>100101111111</v>
      </c>
    </row>
    <row r="4077" spans="2:2" x14ac:dyDescent="0.25">
      <c r="B4077" s="4" t="str">
        <f>_xlfn.TEXTJOIN(,,'Truth Table'!B4077:M4077)</f>
        <v>010101111111</v>
      </c>
    </row>
    <row r="4078" spans="2:2" x14ac:dyDescent="0.25">
      <c r="B4078" s="4" t="str">
        <f>_xlfn.TEXTJOIN(,,'Truth Table'!B4078:M4078)</f>
        <v>110101111111</v>
      </c>
    </row>
    <row r="4079" spans="2:2" x14ac:dyDescent="0.25">
      <c r="B4079" s="4" t="str">
        <f>_xlfn.TEXTJOIN(,,'Truth Table'!B4079:M4079)</f>
        <v>001101111111</v>
      </c>
    </row>
    <row r="4080" spans="2:2" x14ac:dyDescent="0.25">
      <c r="B4080" s="4" t="str">
        <f>_xlfn.TEXTJOIN(,,'Truth Table'!B4080:M4080)</f>
        <v>101101111111</v>
      </c>
    </row>
    <row r="4081" spans="2:2" x14ac:dyDescent="0.25">
      <c r="B4081" s="4" t="str">
        <f>_xlfn.TEXTJOIN(,,'Truth Table'!B4081:M4081)</f>
        <v>011101111111</v>
      </c>
    </row>
    <row r="4082" spans="2:2" x14ac:dyDescent="0.25">
      <c r="B4082" s="4" t="str">
        <f>_xlfn.TEXTJOIN(,,'Truth Table'!B4082:M4082)</f>
        <v>111101111111</v>
      </c>
    </row>
    <row r="4083" spans="2:2" x14ac:dyDescent="0.25">
      <c r="B4083" s="4" t="str">
        <f>_xlfn.TEXTJOIN(,,'Truth Table'!B4083:M4083)</f>
        <v>000011111111</v>
      </c>
    </row>
    <row r="4084" spans="2:2" x14ac:dyDescent="0.25">
      <c r="B4084" s="4" t="str">
        <f>_xlfn.TEXTJOIN(,,'Truth Table'!B4084:M4084)</f>
        <v>100011111111</v>
      </c>
    </row>
    <row r="4085" spans="2:2" x14ac:dyDescent="0.25">
      <c r="B4085" s="4" t="str">
        <f>_xlfn.TEXTJOIN(,,'Truth Table'!B4085:M4085)</f>
        <v>010011111111</v>
      </c>
    </row>
    <row r="4086" spans="2:2" x14ac:dyDescent="0.25">
      <c r="B4086" s="4" t="str">
        <f>_xlfn.TEXTJOIN(,,'Truth Table'!B4086:M4086)</f>
        <v>110011111111</v>
      </c>
    </row>
    <row r="4087" spans="2:2" x14ac:dyDescent="0.25">
      <c r="B4087" s="4" t="str">
        <f>_xlfn.TEXTJOIN(,,'Truth Table'!B4087:M4087)</f>
        <v>001011111111</v>
      </c>
    </row>
    <row r="4088" spans="2:2" x14ac:dyDescent="0.25">
      <c r="B4088" s="4" t="str">
        <f>_xlfn.TEXTJOIN(,,'Truth Table'!B4088:M4088)</f>
        <v>101011111111</v>
      </c>
    </row>
    <row r="4089" spans="2:2" x14ac:dyDescent="0.25">
      <c r="B4089" s="4" t="str">
        <f>_xlfn.TEXTJOIN(,,'Truth Table'!B4089:M4089)</f>
        <v>011011111111</v>
      </c>
    </row>
    <row r="4090" spans="2:2" x14ac:dyDescent="0.25">
      <c r="B4090" s="4" t="str">
        <f>_xlfn.TEXTJOIN(,,'Truth Table'!B4090:M4090)</f>
        <v>111011111111</v>
      </c>
    </row>
    <row r="4091" spans="2:2" x14ac:dyDescent="0.25">
      <c r="B4091" s="4" t="str">
        <f>_xlfn.TEXTJOIN(,,'Truth Table'!B4091:M4091)</f>
        <v>000111111111</v>
      </c>
    </row>
    <row r="4092" spans="2:2" x14ac:dyDescent="0.25">
      <c r="B4092" s="4" t="str">
        <f>_xlfn.TEXTJOIN(,,'Truth Table'!B4092:M4092)</f>
        <v>100111111111</v>
      </c>
    </row>
    <row r="4093" spans="2:2" x14ac:dyDescent="0.25">
      <c r="B4093" s="4" t="str">
        <f>_xlfn.TEXTJOIN(,,'Truth Table'!B4093:M4093)</f>
        <v>010111111111</v>
      </c>
    </row>
    <row r="4094" spans="2:2" x14ac:dyDescent="0.25">
      <c r="B4094" s="4" t="str">
        <f>_xlfn.TEXTJOIN(,,'Truth Table'!B4094:M4094)</f>
        <v>110111111111</v>
      </c>
    </row>
    <row r="4095" spans="2:2" x14ac:dyDescent="0.25">
      <c r="B4095" s="4" t="str">
        <f>_xlfn.TEXTJOIN(,,'Truth Table'!B4095:M4095)</f>
        <v>001111111111</v>
      </c>
    </row>
    <row r="4096" spans="2:2" x14ac:dyDescent="0.25">
      <c r="B4096" s="4" t="str">
        <f>_xlfn.TEXTJOIN(,,'Truth Table'!B4096:M4096)</f>
        <v>101111111111</v>
      </c>
    </row>
    <row r="4097" spans="2:2" x14ac:dyDescent="0.25">
      <c r="B4097" s="4" t="str">
        <f>_xlfn.TEXTJOIN(,,'Truth Table'!B4097:M4097)</f>
        <v>011111111111</v>
      </c>
    </row>
    <row r="4098" spans="2:2" x14ac:dyDescent="0.25">
      <c r="B4098" s="4" t="str">
        <f>_xlfn.TEXTJOIN(,,'Truth Table'!B4098:M4098)</f>
        <v>111111111111</v>
      </c>
    </row>
  </sheetData>
  <mergeCells count="1">
    <mergeCell ref="D2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Line Follower</vt:lpstr>
      <vt:lpstr>Truth Table</vt:lpstr>
      <vt:lpstr>Track Observer</vt:lpstr>
      <vt:lpstr>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Huguenin</dc:creator>
  <cp:lastModifiedBy>Lucas Huguenin</cp:lastModifiedBy>
  <dcterms:created xsi:type="dcterms:W3CDTF">2025-04-15T20:22:15Z</dcterms:created>
  <dcterms:modified xsi:type="dcterms:W3CDTF">2025-04-25T21:01:44Z</dcterms:modified>
</cp:coreProperties>
</file>